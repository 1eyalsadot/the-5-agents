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קופת חולים כללית" sheetId="2" state="visible" r:id="rId4"/>
    <sheet name="155138 לקוח אינטרנט" sheetId="3" state="visible" r:id="rId5"/>
    <sheet name="160251 AMAZON" sheetId="4" state="visible" r:id="rId6"/>
    <sheet name="150390 סופר פארם ישראל" sheetId="5" state="visible" r:id="rId7"/>
    <sheet name="160134 SUPER-PHARM HOLDING. SP" sheetId="6" state="visible" r:id="rId8"/>
    <sheet name="160351 ORTHO- PARTNER AG." sheetId="7" state="visible" r:id="rId9"/>
    <sheet name="160955 ORTOPROFIL PROD. ROMANIA" sheetId="8" state="visible" r:id="rId10"/>
    <sheet name="C02266 SANAFLEX L.P" sheetId="9" state="visible" r:id="rId11"/>
    <sheet name="160920 SALUS" sheetId="10" state="visible" r:id="rId12"/>
    <sheet name="160951 MEDIPAL COMPANY" sheetId="11" state="visible" r:id="rId13"/>
    <sheet name="160226 HEALTH CARE PROD. GMBH" sheetId="12" state="visible" r:id="rId14"/>
    <sheet name="160150 MAX KONNARIS LTD" sheetId="13" state="visible" r:id="rId15"/>
    <sheet name="151209 רוני אורטופדיה  בע&quot;מ -" sheetId="14" state="visible" r:id="rId16"/>
    <sheet name="160450 OY. EA. AB." sheetId="15" state="visible" r:id="rId17"/>
    <sheet name="150366 א.א.אורטופדיה איתי-יהוד" sheetId="16" state="visible" r:id="rId18"/>
    <sheet name="157464 מדיקל הצפון ב.מ-חורי" sheetId="17" state="visible" r:id="rId19"/>
    <sheet name="Source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sharedStrings.xml><?xml version="1.0" encoding="utf-8"?>
<sst xmlns="http://schemas.openxmlformats.org/spreadsheetml/2006/main" count="45362" uniqueCount="1341">
  <si>
    <t xml:space="preserve">Sales Comparison 2025 vs 2026 - by Customer (NetSuite "1-Sales: Customer by Item")</t>
  </si>
  <si>
    <t xml:space="preserve">Calculation date:</t>
  </si>
  <si>
    <t xml:space="preserve">Same 18-column format as Index in 2026-09-19-grouped-2025-vs-2026.xlsx (no annualized columns here - annualization lives inside each customer sheet only). "# Raw categories" is not meaningful for a single NetSuite customer - shown as N/A. Excludes Chemipal (150000, largest customer, explicitly out of scope per the user) and "- No Customer/Project -" (not a real customer).</t>
  </si>
  <si>
    <t xml:space="preserve">Group</t>
  </si>
  <si>
    <t xml:space="preserve">Sheet</t>
  </si>
  <si>
    <t xml:space="preserve"># Raw categories</t>
  </si>
  <si>
    <t xml:space="preserve"># Product Codes</t>
  </si>
  <si>
    <t xml:space="preserve"># Product Codes 2025</t>
  </si>
  <si>
    <t xml:space="preserve"># Product Codes 2026</t>
  </si>
  <si>
    <t xml:space="preserve"># DROP (sold 2025, 0 in 2026)</t>
  </si>
  <si>
    <t xml:space="preserve"># NEW (sold 2026, 0 in 2025)</t>
  </si>
  <si>
    <t xml:space="preserve">DROP — Quantity 2025</t>
  </si>
  <si>
    <t xml:space="preserve">DROP — Amount 2025 (₪)</t>
  </si>
  <si>
    <t xml:space="preserve">NEW — Quantity 2026</t>
  </si>
  <si>
    <t xml:space="preserve">NEW — Amount 2026 (₪)</t>
  </si>
  <si>
    <t xml:space="preserve">Quantity 2025</t>
  </si>
  <si>
    <t xml:space="preserve">Quantity 2026</t>
  </si>
  <si>
    <t xml:space="preserve">Qty Change %</t>
  </si>
  <si>
    <t xml:space="preserve">Amount 2025 (₪)</t>
  </si>
  <si>
    <t xml:space="preserve">Amount 2026 (₪)</t>
  </si>
  <si>
    <t xml:space="preserve">Amount Change %</t>
  </si>
  <si>
    <t xml:space="preserve">152501 קופ"ח כללית 1203-9</t>
  </si>
  <si>
    <t xml:space="preserve">קופת חולים כללית</t>
  </si>
  <si>
    <t xml:space="preserve">N/A</t>
  </si>
  <si>
    <t xml:space="preserve">155138 לקוח אינטרנט</t>
  </si>
  <si>
    <t xml:space="preserve">160251 AMAZON</t>
  </si>
  <si>
    <t xml:space="preserve">150390 סופר פארם ישראל</t>
  </si>
  <si>
    <t xml:space="preserve">160134 SUPER-PHARM HOLDING. SP.ZO.O</t>
  </si>
  <si>
    <t xml:space="preserve">160134 SUPER-PHARM HOLDING. SP</t>
  </si>
  <si>
    <t xml:space="preserve">160351 ORTHO- PARTNER AG.</t>
  </si>
  <si>
    <t xml:space="preserve">160955 ORTOPROFIL PROD. ROMANIA</t>
  </si>
  <si>
    <t xml:space="preserve">C02266 SANAFLEX L.P</t>
  </si>
  <si>
    <t xml:space="preserve">160920 SALUS</t>
  </si>
  <si>
    <t xml:space="preserve">160951 MEDIPAL COMPANY</t>
  </si>
  <si>
    <t xml:space="preserve">160226 HEALTH CARE PROD. GMBH</t>
  </si>
  <si>
    <t xml:space="preserve">160150 MAX KONNARIS LTD</t>
  </si>
  <si>
    <t xml:space="preserve">151209 רוני אורטופדיה  בע"מ - רמבם</t>
  </si>
  <si>
    <t xml:space="preserve">151209 רוני אורטופדיה  בע"מ -</t>
  </si>
  <si>
    <t xml:space="preserve">160450 OY. EA. AB.</t>
  </si>
  <si>
    <t xml:space="preserve">150366 א.א.אורטופדיה איתי-יהוד</t>
  </si>
  <si>
    <t xml:space="preserve">157464 מדיקל הצפון ב.מ-חורי</t>
  </si>
  <si>
    <t xml:space="preserve">Sales Comparison 2025 vs 2026 (Annualized) - Customer: 152501 קופ"ח כללית 1203-9 (by Product CODE)</t>
  </si>
  <si>
    <t xml:space="preserve">Source: NetSuite report "1-Sales: Customer by Item" (01/01/2025-31/12/2026), customer = "152501 קופ"ח כללית 1203-9"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</si>
  <si>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Annualization note: 2026 actual data is assumed to cover approximately 9.5 months (1 Jan - 15 Sep 2026), consistent with the rest of this workbook. Scaled to a full year via a simple linear factor = 12 / 9.5 (≈ 1.263158) - straight-line extrapolation, does NOT account for seasonality. Treat as an estimate.</t>
  </si>
  <si>
    <t xml:space="preserve">Months in full year:</t>
  </si>
  <si>
    <t xml:space="preserve">Months covered by 2026 actual (assumed 1/1–15/9):</t>
  </si>
  <si>
    <t xml:space="preserve"># DROP (sold 2025, 0 in 2026):</t>
  </si>
  <si>
    <t xml:space="preserve"># NEW (sold 2026, 0 in 2025):</t>
  </si>
  <si>
    <t xml:space="preserve">Normalization factor (J4/L4):</t>
  </si>
  <si>
    <t xml:space="preserve">DROP — Quantity 2025:</t>
  </si>
  <si>
    <t xml:space="preserve">DROP — Amount 2025 (₪):</t>
  </si>
  <si>
    <t xml:space="preserve">NEW — Quantity 2026:</t>
  </si>
  <si>
    <t xml:space="preserve">NEW — Amount 2026 (₪):</t>
  </si>
  <si>
    <t xml:space="preserve">Product Code</t>
  </si>
  <si>
    <t xml:space="preserve">Item Display Name</t>
  </si>
  <si>
    <t xml:space="preserve">Quantity 2026 (Actual, partial year)</t>
  </si>
  <si>
    <t xml:space="preserve">Quantity 2026 (Annualized)</t>
  </si>
  <si>
    <t xml:space="preserve">Quantity Change (Annualized vs 2025)</t>
  </si>
  <si>
    <t xml:space="preserve">Quantity Change % (Annualized vs 2025)</t>
  </si>
  <si>
    <t xml:space="preserve">Amount 2026 (Actual, partial year) (₪)</t>
  </si>
  <si>
    <t xml:space="preserve">Amount 2026 (Annualized) (₪)</t>
  </si>
  <si>
    <t xml:space="preserve">Amount Change (Annualized vs 2025) (₪)</t>
  </si>
  <si>
    <t xml:space="preserve">Amount Change % (Annualized vs 2025)</t>
  </si>
  <si>
    <t xml:space="preserve">Note</t>
  </si>
  <si>
    <t xml:space="preserve">KST422 0</t>
  </si>
  <si>
    <t xml:space="preserve">K078 L</t>
  </si>
  <si>
    <t xml:space="preserve">K078 XL</t>
  </si>
  <si>
    <t xml:space="preserve">KST25 0</t>
  </si>
  <si>
    <t xml:space="preserve">K078 M</t>
  </si>
  <si>
    <t xml:space="preserve">K078 XXL</t>
  </si>
  <si>
    <t xml:space="preserve">KST27R 0</t>
  </si>
  <si>
    <t xml:space="preserve">KST95 0</t>
  </si>
  <si>
    <t xml:space="preserve">K45 XL</t>
  </si>
  <si>
    <t xml:space="preserve">K35 L</t>
  </si>
  <si>
    <t xml:space="preserve">KST37 0</t>
  </si>
  <si>
    <t xml:space="preserve">KST28 0</t>
  </si>
  <si>
    <t xml:space="preserve">K45 M</t>
  </si>
  <si>
    <t xml:space="preserve">KST27L 0</t>
  </si>
  <si>
    <t xml:space="preserve">K45 L</t>
  </si>
  <si>
    <t xml:space="preserve">KST91 0</t>
  </si>
  <si>
    <t xml:space="preserve">K11U XL</t>
  </si>
  <si>
    <t xml:space="preserve">K11U L</t>
  </si>
  <si>
    <t xml:space="preserve">K35 M</t>
  </si>
  <si>
    <t xml:space="preserve">KST11 0</t>
  </si>
  <si>
    <t xml:space="preserve">K11U M</t>
  </si>
  <si>
    <t xml:space="preserve">K61 L</t>
  </si>
  <si>
    <t xml:space="preserve">KST20 0</t>
  </si>
  <si>
    <t xml:space="preserve">K85 L</t>
  </si>
  <si>
    <t xml:space="preserve">K11U XXL</t>
  </si>
  <si>
    <t xml:space="preserve">K35 XL</t>
  </si>
  <si>
    <t xml:space="preserve">K45 S</t>
  </si>
  <si>
    <t xml:space="preserve">K35 S</t>
  </si>
  <si>
    <t xml:space="preserve">K801 0</t>
  </si>
  <si>
    <t xml:space="preserve">K85 M</t>
  </si>
  <si>
    <t xml:space="preserve">K61 M</t>
  </si>
  <si>
    <t xml:space="preserve">99 General</t>
  </si>
  <si>
    <t xml:space="preserve">ST27L 0</t>
  </si>
  <si>
    <t xml:space="preserve">TOTAL</t>
  </si>
  <si>
    <t xml:space="preserve">Sales Comparison 2025 vs 2026 (Annualized) - Customer: 155138 לקוח אינטרנט (by Product CODE)</t>
  </si>
  <si>
    <t xml:space="preserve">Source: NetSuite report "1-Sales: Customer by Item" (01/01/2025-31/12/2026), customer = "155138 לקוח אינטרנט"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</si>
  <si>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67 0</t>
  </si>
  <si>
    <t xml:space="preserve">AC75-S-XL</t>
  </si>
  <si>
    <t xml:space="preserve">WEB-AC75-S-XL</t>
  </si>
  <si>
    <t xml:space="preserve">AC75 XXL</t>
  </si>
  <si>
    <t xml:space="preserve">397A-39-42</t>
  </si>
  <si>
    <t xml:space="preserve">WEB-AC75 XXL</t>
  </si>
  <si>
    <t xml:space="preserve">397A-43-46</t>
  </si>
  <si>
    <t xml:space="preserve">M95</t>
  </si>
  <si>
    <t xml:space="preserve">M94</t>
  </si>
  <si>
    <t xml:space="preserve">MSG001FB 0</t>
  </si>
  <si>
    <t xml:space="preserve">397A-35-38</t>
  </si>
  <si>
    <t xml:space="preserve">397-39-42</t>
  </si>
  <si>
    <t xml:space="preserve">MSG002S 0</t>
  </si>
  <si>
    <t xml:space="preserve">397-43-46</t>
  </si>
  <si>
    <t xml:space="preserve">213CTSR S</t>
  </si>
  <si>
    <t xml:space="preserve">MSG001FC</t>
  </si>
  <si>
    <t xml:space="preserve">213CTSR M</t>
  </si>
  <si>
    <t xml:space="preserve">397-35-38</t>
  </si>
  <si>
    <t xml:space="preserve">395B-43-46</t>
  </si>
  <si>
    <t xml:space="preserve">386 0</t>
  </si>
  <si>
    <t xml:space="preserve">213CTSR L</t>
  </si>
  <si>
    <t xml:space="preserve">213CTSL S</t>
  </si>
  <si>
    <t xml:space="preserve">SH422 3</t>
  </si>
  <si>
    <t xml:space="preserve">ST433D 0</t>
  </si>
  <si>
    <t xml:space="preserve">394B-43-46</t>
  </si>
  <si>
    <t xml:space="preserve">351 0</t>
  </si>
  <si>
    <t xml:space="preserve">SC25 L</t>
  </si>
  <si>
    <t xml:space="preserve">395W-43-46</t>
  </si>
  <si>
    <t xml:space="preserve">SH422 4</t>
  </si>
  <si>
    <t xml:space="preserve">4022 0</t>
  </si>
  <si>
    <t xml:space="preserve">59R M</t>
  </si>
  <si>
    <t xml:space="preserve">M92</t>
  </si>
  <si>
    <t xml:space="preserve">SH422 2</t>
  </si>
  <si>
    <t xml:space="preserve">ST28 0</t>
  </si>
  <si>
    <t xml:space="preserve">3674 0</t>
  </si>
  <si>
    <t xml:space="preserve">AC45X 0</t>
  </si>
  <si>
    <t xml:space="preserve">SC95 M</t>
  </si>
  <si>
    <t xml:space="preserve">395W-39-42</t>
  </si>
  <si>
    <t xml:space="preserve">70N S</t>
  </si>
  <si>
    <t xml:space="preserve">213CTSL L</t>
  </si>
  <si>
    <t xml:space="preserve">SH776 S</t>
  </si>
  <si>
    <t xml:space="preserve">391B-43-46</t>
  </si>
  <si>
    <t xml:space="preserve">SH776 L</t>
  </si>
  <si>
    <t xml:space="preserve">266 0</t>
  </si>
  <si>
    <t xml:space="preserve">776 L</t>
  </si>
  <si>
    <t xml:space="preserve">59L M</t>
  </si>
  <si>
    <t xml:space="preserve">213CTSL M</t>
  </si>
  <si>
    <t xml:space="preserve">14 0</t>
  </si>
  <si>
    <t xml:space="preserve">SC422 M</t>
  </si>
  <si>
    <t xml:space="preserve">SH776 XL</t>
  </si>
  <si>
    <t xml:space="preserve">SC422 XL</t>
  </si>
  <si>
    <t xml:space="preserve">SC25 XL</t>
  </si>
  <si>
    <t xml:space="preserve">SH422 5</t>
  </si>
  <si>
    <t xml:space="preserve">395B-39-42</t>
  </si>
  <si>
    <t xml:space="preserve">91B 0</t>
  </si>
  <si>
    <t xml:space="preserve">84-S-M</t>
  </si>
  <si>
    <t xml:space="preserve">AC27R 0</t>
  </si>
  <si>
    <t xml:space="preserve">SC25 M</t>
  </si>
  <si>
    <t xml:space="preserve">87 L</t>
  </si>
  <si>
    <t xml:space="preserve">362-L-R</t>
  </si>
  <si>
    <t xml:space="preserve">078 M</t>
  </si>
  <si>
    <t xml:space="preserve">268 0</t>
  </si>
  <si>
    <t xml:space="preserve">305-41-42</t>
  </si>
  <si>
    <t xml:space="preserve">251 0</t>
  </si>
  <si>
    <t xml:space="preserve">T33 L</t>
  </si>
  <si>
    <t xml:space="preserve">395W-35-38</t>
  </si>
  <si>
    <t xml:space="preserve">394W-43-46</t>
  </si>
  <si>
    <t xml:space="preserve">N433D M</t>
  </si>
  <si>
    <t xml:space="preserve">305GA-43-44</t>
  </si>
  <si>
    <t xml:space="preserve">59D M</t>
  </si>
  <si>
    <t xml:space="preserve">(NO ITEM CODE)</t>
  </si>
  <si>
    <t xml:space="preserve">305-43-44</t>
  </si>
  <si>
    <t xml:space="preserve">379WRK-43-46</t>
  </si>
  <si>
    <t xml:space="preserve">390B-43-46</t>
  </si>
  <si>
    <t xml:space="preserve">AC27L 0</t>
  </si>
  <si>
    <t xml:space="preserve">776 XL</t>
  </si>
  <si>
    <t xml:space="preserve">ST25 0</t>
  </si>
  <si>
    <t xml:space="preserve">FC3422 0</t>
  </si>
  <si>
    <t xml:space="preserve">394W-39-42</t>
  </si>
  <si>
    <t xml:space="preserve">85K 0</t>
  </si>
  <si>
    <t xml:space="preserve">776 S</t>
  </si>
  <si>
    <t xml:space="preserve">34+ L</t>
  </si>
  <si>
    <t xml:space="preserve">379COM-35-38</t>
  </si>
  <si>
    <t xml:space="preserve">390W-43-46</t>
  </si>
  <si>
    <t xml:space="preserve">59R L</t>
  </si>
  <si>
    <t xml:space="preserve">3623 0</t>
  </si>
  <si>
    <t xml:space="preserve">N433D XXL</t>
  </si>
  <si>
    <t xml:space="preserve">SH333 0</t>
  </si>
  <si>
    <t xml:space="preserve">394B-39-42</t>
  </si>
  <si>
    <t xml:space="preserve">85+ M</t>
  </si>
  <si>
    <t xml:space="preserve">FC334 0</t>
  </si>
  <si>
    <t xml:space="preserve">379COM-43-46</t>
  </si>
  <si>
    <t xml:space="preserve">N433D L</t>
  </si>
  <si>
    <t xml:space="preserve">305GA-41-42</t>
  </si>
  <si>
    <t xml:space="preserve">87 XL</t>
  </si>
  <si>
    <t xml:space="preserve">76 XS</t>
  </si>
  <si>
    <t xml:space="preserve">11STO XL</t>
  </si>
  <si>
    <t xml:space="preserve">11STO XXL</t>
  </si>
  <si>
    <t xml:space="preserve">212 S</t>
  </si>
  <si>
    <t xml:space="preserve">8011 0</t>
  </si>
  <si>
    <t xml:space="preserve">70N XS</t>
  </si>
  <si>
    <t xml:space="preserve">SH422 1</t>
  </si>
  <si>
    <t xml:space="preserve">26 M</t>
  </si>
  <si>
    <t xml:space="preserve">75 M</t>
  </si>
  <si>
    <t xml:space="preserve">SC35R M</t>
  </si>
  <si>
    <t xml:space="preserve">T33 M</t>
  </si>
  <si>
    <t xml:space="preserve">07AU L</t>
  </si>
  <si>
    <t xml:space="preserve">59LB M</t>
  </si>
  <si>
    <t xml:space="preserve">305-39-40</t>
  </si>
  <si>
    <t xml:space="preserve">AC40 0</t>
  </si>
  <si>
    <t xml:space="preserve">T03 L</t>
  </si>
  <si>
    <t xml:space="preserve">062 XL</t>
  </si>
  <si>
    <t xml:space="preserve">078G L</t>
  </si>
  <si>
    <t xml:space="preserve">ST27R 0</t>
  </si>
  <si>
    <t xml:space="preserve">078G XXL</t>
  </si>
  <si>
    <t xml:space="preserve">59RB M</t>
  </si>
  <si>
    <t xml:space="preserve">350 0</t>
  </si>
  <si>
    <t xml:space="preserve">3675 0</t>
  </si>
  <si>
    <t xml:space="preserve">776 M</t>
  </si>
  <si>
    <t xml:space="preserve">820 0</t>
  </si>
  <si>
    <t xml:space="preserve">16-S-M</t>
  </si>
  <si>
    <t xml:space="preserve">212 L</t>
  </si>
  <si>
    <t xml:space="preserve">301CM-41-45</t>
  </si>
  <si>
    <t xml:space="preserve">76 L</t>
  </si>
  <si>
    <t xml:space="preserve">32 XL</t>
  </si>
  <si>
    <t xml:space="preserve">3655 0</t>
  </si>
  <si>
    <t xml:space="preserve">390G-43-46</t>
  </si>
  <si>
    <t xml:space="preserve">307 XL</t>
  </si>
  <si>
    <t xml:space="preserve">15W M</t>
  </si>
  <si>
    <t xml:space="preserve">38 0</t>
  </si>
  <si>
    <t xml:space="preserve">379MSP-39-42</t>
  </si>
  <si>
    <t xml:space="preserve">11TO L</t>
  </si>
  <si>
    <t xml:space="preserve">078G XL</t>
  </si>
  <si>
    <t xml:space="preserve">SC422 S</t>
  </si>
  <si>
    <t xml:space="preserve">75 XXL</t>
  </si>
  <si>
    <t xml:space="preserve">07AU XS</t>
  </si>
  <si>
    <t xml:space="preserve">13 XXL</t>
  </si>
  <si>
    <t xml:space="preserve">AC95 0</t>
  </si>
  <si>
    <t xml:space="preserve">T78 XS</t>
  </si>
  <si>
    <t xml:space="preserve">11NOR XL</t>
  </si>
  <si>
    <t xml:space="preserve">SC35R L</t>
  </si>
  <si>
    <t xml:space="preserve">T43V XL</t>
  </si>
  <si>
    <t xml:space="preserve">40 0</t>
  </si>
  <si>
    <t xml:space="preserve">422EB L</t>
  </si>
  <si>
    <t xml:space="preserve">85+ L</t>
  </si>
  <si>
    <t xml:space="preserve">AC91 0</t>
  </si>
  <si>
    <t xml:space="preserve">212 M</t>
  </si>
  <si>
    <t xml:space="preserve">11EU XXL</t>
  </si>
  <si>
    <t xml:space="preserve">T78 M</t>
  </si>
  <si>
    <t xml:space="preserve">59L S</t>
  </si>
  <si>
    <t xml:space="preserve">379WRK-39-42</t>
  </si>
  <si>
    <t xml:space="preserve">3444B 0</t>
  </si>
  <si>
    <t xml:space="preserve">SH422 6</t>
  </si>
  <si>
    <t xml:space="preserve">AC28 0</t>
  </si>
  <si>
    <t xml:space="preserve">391W-43-46</t>
  </si>
  <si>
    <t xml:space="preserve">391B-39-42</t>
  </si>
  <si>
    <t xml:space="preserve">T03 XL</t>
  </si>
  <si>
    <t xml:space="preserve">13 M</t>
  </si>
  <si>
    <t xml:space="preserve">SC95 XL</t>
  </si>
  <si>
    <t xml:space="preserve">SC95 S</t>
  </si>
  <si>
    <t xml:space="preserve">76 M</t>
  </si>
  <si>
    <t xml:space="preserve">T40B 0</t>
  </si>
  <si>
    <t xml:space="preserve">60 M</t>
  </si>
  <si>
    <t xml:space="preserve">85B XL</t>
  </si>
  <si>
    <t xml:space="preserve">T39 L</t>
  </si>
  <si>
    <t xml:space="preserve">06U L</t>
  </si>
  <si>
    <t xml:space="preserve">11TO XL</t>
  </si>
  <si>
    <t xml:space="preserve">85B M</t>
  </si>
  <si>
    <t xml:space="preserve">11STOB L</t>
  </si>
  <si>
    <t xml:space="preserve">N433D XL</t>
  </si>
  <si>
    <t xml:space="preserve">FC342 0</t>
  </si>
  <si>
    <t xml:space="preserve">59DB L</t>
  </si>
  <si>
    <t xml:space="preserve">10 L</t>
  </si>
  <si>
    <t xml:space="preserve">88R- L-XL</t>
  </si>
  <si>
    <t xml:space="preserve">11STO S</t>
  </si>
  <si>
    <t xml:space="preserve">804AT-W</t>
  </si>
  <si>
    <t xml:space="preserve">41 XL</t>
  </si>
  <si>
    <t xml:space="preserve">74-L-XL</t>
  </si>
  <si>
    <t xml:space="preserve">87 S</t>
  </si>
  <si>
    <t xml:space="preserve">11STO M</t>
  </si>
  <si>
    <t xml:space="preserve">ST45X 0</t>
  </si>
  <si>
    <t xml:space="preserve">59DB M</t>
  </si>
  <si>
    <t xml:space="preserve">365 S-L</t>
  </si>
  <si>
    <t xml:space="preserve">SC25 S</t>
  </si>
  <si>
    <t xml:space="preserve">85B L</t>
  </si>
  <si>
    <t xml:space="preserve">SC39 XL</t>
  </si>
  <si>
    <t xml:space="preserve">3672 0</t>
  </si>
  <si>
    <t xml:space="preserve">59R XL</t>
  </si>
  <si>
    <t xml:space="preserve">41 XXL</t>
  </si>
  <si>
    <t xml:space="preserve">11EU M</t>
  </si>
  <si>
    <t xml:space="preserve">63 M</t>
  </si>
  <si>
    <t xml:space="preserve">76 S</t>
  </si>
  <si>
    <t xml:space="preserve">078G S</t>
  </si>
  <si>
    <t xml:space="preserve">394G-35-38</t>
  </si>
  <si>
    <t xml:space="preserve">333 0</t>
  </si>
  <si>
    <t xml:space="preserve">SC35L M</t>
  </si>
  <si>
    <t xml:space="preserve">808KT-C</t>
  </si>
  <si>
    <t xml:space="preserve">078 XL</t>
  </si>
  <si>
    <t xml:space="preserve">305GA-45-46</t>
  </si>
  <si>
    <t xml:space="preserve">395B-35-38</t>
  </si>
  <si>
    <t xml:space="preserve">AC11 0</t>
  </si>
  <si>
    <t xml:space="preserve">11STOB S</t>
  </si>
  <si>
    <t xml:space="preserve">305GA-37-38</t>
  </si>
  <si>
    <t xml:space="preserve">SC35L L</t>
  </si>
  <si>
    <t xml:space="preserve">077A-S-M</t>
  </si>
  <si>
    <t xml:space="preserve">ST11 0</t>
  </si>
  <si>
    <t xml:space="preserve">379COM-39-42</t>
  </si>
  <si>
    <t xml:space="preserve">T28AC-S-M</t>
  </si>
  <si>
    <t xml:space="preserve">T25B 0</t>
  </si>
  <si>
    <t xml:space="preserve">13 XL</t>
  </si>
  <si>
    <t xml:space="preserve">41X L</t>
  </si>
  <si>
    <t xml:space="preserve">AC43D 0</t>
  </si>
  <si>
    <t xml:space="preserve">SH776 M</t>
  </si>
  <si>
    <t xml:space="preserve">60B M</t>
  </si>
  <si>
    <t xml:space="preserve">59L L</t>
  </si>
  <si>
    <t xml:space="preserve">394G-39-42</t>
  </si>
  <si>
    <t xml:space="preserve">26 L</t>
  </si>
  <si>
    <t xml:space="preserve">376-41-43</t>
  </si>
  <si>
    <t xml:space="preserve">T402 M</t>
  </si>
  <si>
    <t xml:space="preserve">305-37-38</t>
  </si>
  <si>
    <t xml:space="preserve">FC333 0</t>
  </si>
  <si>
    <t xml:space="preserve">84-L-XXL</t>
  </si>
  <si>
    <t xml:space="preserve">SC422 L</t>
  </si>
  <si>
    <t xml:space="preserve">16-L-XL</t>
  </si>
  <si>
    <t xml:space="preserve">T28A-L-XL</t>
  </si>
  <si>
    <t xml:space="preserve">11 M</t>
  </si>
  <si>
    <t xml:space="preserve">SC39 L</t>
  </si>
  <si>
    <t xml:space="preserve">078 XXL</t>
  </si>
  <si>
    <t xml:space="preserve">379MSP-43-46</t>
  </si>
  <si>
    <t xml:space="preserve">305-45-46</t>
  </si>
  <si>
    <t xml:space="preserve">922 XXL</t>
  </si>
  <si>
    <t xml:space="preserve">10 XXL</t>
  </si>
  <si>
    <t xml:space="preserve">11UG XXL</t>
  </si>
  <si>
    <t xml:space="preserve">T33 S</t>
  </si>
  <si>
    <t xml:space="preserve">388BR 0</t>
  </si>
  <si>
    <t xml:space="preserve">T43V L</t>
  </si>
  <si>
    <t xml:space="preserve">59RB L</t>
  </si>
  <si>
    <t xml:space="preserve">3666 0</t>
  </si>
  <si>
    <t xml:space="preserve">49PS L</t>
  </si>
  <si>
    <t xml:space="preserve">41 L</t>
  </si>
  <si>
    <t xml:space="preserve">T35 L</t>
  </si>
  <si>
    <t xml:space="preserve">34 XXL</t>
  </si>
  <si>
    <t xml:space="preserve">302W 0</t>
  </si>
  <si>
    <t xml:space="preserve">35B L</t>
  </si>
  <si>
    <t xml:space="preserve">07UB XS</t>
  </si>
  <si>
    <t xml:space="preserve">T402 XXL</t>
  </si>
  <si>
    <t xml:space="preserve">11PS XL</t>
  </si>
  <si>
    <t xml:space="preserve">76 XL</t>
  </si>
  <si>
    <t xml:space="preserve">369 XL</t>
  </si>
  <si>
    <t xml:space="preserve">078 L</t>
  </si>
  <si>
    <t xml:space="preserve">T43V M</t>
  </si>
  <si>
    <t xml:space="preserve">T78 L</t>
  </si>
  <si>
    <t xml:space="preserve">11PS L</t>
  </si>
  <si>
    <t xml:space="preserve">26 S</t>
  </si>
  <si>
    <t xml:space="preserve">SC39 S</t>
  </si>
  <si>
    <t xml:space="preserve">394G-43-46</t>
  </si>
  <si>
    <t xml:space="preserve">250 0</t>
  </si>
  <si>
    <t xml:space="preserve">07UB-L-XL</t>
  </si>
  <si>
    <t xml:space="preserve">87 M</t>
  </si>
  <si>
    <t xml:space="preserve">T11C M</t>
  </si>
  <si>
    <t xml:space="preserve">59L XL</t>
  </si>
  <si>
    <t xml:space="preserve">305-35-36</t>
  </si>
  <si>
    <t xml:space="preserve">11STOB XL</t>
  </si>
  <si>
    <t xml:space="preserve">T42 L</t>
  </si>
  <si>
    <t xml:space="preserve">88L- L-XL</t>
  </si>
  <si>
    <t xml:space="preserve">T03 S</t>
  </si>
  <si>
    <t xml:space="preserve">305GA-35-36</t>
  </si>
  <si>
    <t xml:space="preserve">369-XL</t>
  </si>
  <si>
    <t xml:space="preserve">422N XXL</t>
  </si>
  <si>
    <t xml:space="preserve">45B L</t>
  </si>
  <si>
    <t xml:space="preserve">239B-S-M</t>
  </si>
  <si>
    <t xml:space="preserve">267LC-S-M</t>
  </si>
  <si>
    <t xml:space="preserve">70N M</t>
  </si>
  <si>
    <t xml:space="preserve">11PS XS</t>
  </si>
  <si>
    <t xml:space="preserve">805AT-B</t>
  </si>
  <si>
    <t xml:space="preserve">807CB-B</t>
  </si>
  <si>
    <t xml:space="preserve">211 L</t>
  </si>
  <si>
    <t xml:space="preserve">3622S 0</t>
  </si>
  <si>
    <t xml:space="preserve">T78 S</t>
  </si>
  <si>
    <t xml:space="preserve">88R- S-M</t>
  </si>
  <si>
    <t xml:space="preserve">T35 M</t>
  </si>
  <si>
    <t xml:space="preserve">20 S</t>
  </si>
  <si>
    <t xml:space="preserve">34+ XL</t>
  </si>
  <si>
    <t xml:space="preserve">76 XXL</t>
  </si>
  <si>
    <t xml:space="preserve">59DB S</t>
  </si>
  <si>
    <t xml:space="preserve">59D S</t>
  </si>
  <si>
    <t xml:space="preserve">11TO XXXL</t>
  </si>
  <si>
    <t xml:space="preserve">369-S-L</t>
  </si>
  <si>
    <t xml:space="preserve">T39 M</t>
  </si>
  <si>
    <t xml:space="preserve">305GA-39-40</t>
  </si>
  <si>
    <t xml:space="preserve">078G M</t>
  </si>
  <si>
    <t xml:space="preserve">11STO L</t>
  </si>
  <si>
    <t xml:space="preserve">T45X L</t>
  </si>
  <si>
    <t xml:space="preserve">26 XS</t>
  </si>
  <si>
    <t xml:space="preserve">34+ M</t>
  </si>
  <si>
    <t xml:space="preserve">099-L-XL</t>
  </si>
  <si>
    <t xml:space="preserve">88R XXL</t>
  </si>
  <si>
    <t xml:space="preserve">88L- S-M</t>
  </si>
  <si>
    <t xml:space="preserve">804AT-C</t>
  </si>
  <si>
    <t xml:space="preserve">75 XL</t>
  </si>
  <si>
    <t xml:space="preserve">07AU XL</t>
  </si>
  <si>
    <t xml:space="preserve">35 XL</t>
  </si>
  <si>
    <t xml:space="preserve">13 L</t>
  </si>
  <si>
    <t xml:space="preserve">59D L</t>
  </si>
  <si>
    <t xml:space="preserve">AC49 0</t>
  </si>
  <si>
    <t xml:space="preserve">238 L</t>
  </si>
  <si>
    <t xml:space="preserve">390W-39-42</t>
  </si>
  <si>
    <t xml:space="preserve">59D XL</t>
  </si>
  <si>
    <t xml:space="preserve">11 XS</t>
  </si>
  <si>
    <t xml:space="preserve">376-44-45</t>
  </si>
  <si>
    <t xml:space="preserve">267RB-L-XL</t>
  </si>
  <si>
    <t xml:space="preserve">32 L</t>
  </si>
  <si>
    <t xml:space="preserve">807CB-P</t>
  </si>
  <si>
    <t xml:space="preserve">85+ XL</t>
  </si>
  <si>
    <t xml:space="preserve">15M XL</t>
  </si>
  <si>
    <t xml:space="preserve">390W-35-38</t>
  </si>
  <si>
    <t xml:space="preserve">808KT-P</t>
  </si>
  <si>
    <t xml:space="preserve">41X M</t>
  </si>
  <si>
    <t xml:space="preserve">313 0</t>
  </si>
  <si>
    <t xml:space="preserve">3667 0</t>
  </si>
  <si>
    <t xml:space="preserve">49PS M</t>
  </si>
  <si>
    <t xml:space="preserve">59DB XL</t>
  </si>
  <si>
    <t xml:space="preserve">T20-S-M</t>
  </si>
  <si>
    <t xml:space="preserve">49PS XXL</t>
  </si>
  <si>
    <t xml:space="preserve">SC35L S</t>
  </si>
  <si>
    <t xml:space="preserve">10 M</t>
  </si>
  <si>
    <t xml:space="preserve">10 XL</t>
  </si>
  <si>
    <t xml:space="preserve">11UG L</t>
  </si>
  <si>
    <t xml:space="preserve">07AU S</t>
  </si>
  <si>
    <t xml:space="preserve">28 S</t>
  </si>
  <si>
    <t xml:space="preserve">15W S</t>
  </si>
  <si>
    <t xml:space="preserve">422EB M</t>
  </si>
  <si>
    <t xml:space="preserve">303-45-46</t>
  </si>
  <si>
    <t xml:space="preserve">88L XXL</t>
  </si>
  <si>
    <t xml:space="preserve">30 XL</t>
  </si>
  <si>
    <t xml:space="preserve">45B M</t>
  </si>
  <si>
    <t xml:space="preserve">59R S</t>
  </si>
  <si>
    <t xml:space="preserve">AC07 0</t>
  </si>
  <si>
    <t xml:space="preserve">11PS M</t>
  </si>
  <si>
    <t xml:space="preserve">11PS S</t>
  </si>
  <si>
    <t xml:space="preserve">T11C XL</t>
  </si>
  <si>
    <t xml:space="preserve">AC37 0</t>
  </si>
  <si>
    <t xml:space="preserve">062 L</t>
  </si>
  <si>
    <t xml:space="preserve">062 S</t>
  </si>
  <si>
    <t xml:space="preserve">062 M</t>
  </si>
  <si>
    <t xml:space="preserve">15M M</t>
  </si>
  <si>
    <t xml:space="preserve">55 XL</t>
  </si>
  <si>
    <t xml:space="preserve">T25C 0</t>
  </si>
  <si>
    <t xml:space="preserve">239B-L-XL</t>
  </si>
  <si>
    <t xml:space="preserve">49 M</t>
  </si>
  <si>
    <t xml:space="preserve">30 M</t>
  </si>
  <si>
    <t xml:space="preserve">T11C XXL</t>
  </si>
  <si>
    <t xml:space="preserve">T95 M</t>
  </si>
  <si>
    <t xml:space="preserve">11PS XXL</t>
  </si>
  <si>
    <t xml:space="preserve">T45 XL</t>
  </si>
  <si>
    <t xml:space="preserve">45EC L</t>
  </si>
  <si>
    <t xml:space="preserve">391B-35-38</t>
  </si>
  <si>
    <t xml:space="preserve">34+ XS</t>
  </si>
  <si>
    <t xml:space="preserve">85B S</t>
  </si>
  <si>
    <t xml:space="preserve">804AT-B</t>
  </si>
  <si>
    <t xml:space="preserve">60 XS</t>
  </si>
  <si>
    <t xml:space="preserve">379MSP-35-38</t>
  </si>
  <si>
    <t xml:space="preserve">T78 XL</t>
  </si>
  <si>
    <t xml:space="preserve">11NOR L</t>
  </si>
  <si>
    <t xml:space="preserve">35B XXL</t>
  </si>
  <si>
    <t xml:space="preserve">60 L</t>
  </si>
  <si>
    <t xml:space="preserve">07AU M</t>
  </si>
  <si>
    <t xml:space="preserve">T33 XXL</t>
  </si>
  <si>
    <t xml:space="preserve">390G-39-42</t>
  </si>
  <si>
    <t xml:space="preserve">302M 0</t>
  </si>
  <si>
    <t xml:space="preserve">390B-39-42</t>
  </si>
  <si>
    <t xml:space="preserve">11EU L</t>
  </si>
  <si>
    <t xml:space="preserve">63 S</t>
  </si>
  <si>
    <t xml:space="preserve">95B L</t>
  </si>
  <si>
    <t xml:space="preserve">T45X M</t>
  </si>
  <si>
    <t xml:space="preserve">369 S-L</t>
  </si>
  <si>
    <t xml:space="preserve">26 XXL</t>
  </si>
  <si>
    <t xml:space="preserve">28 XL</t>
  </si>
  <si>
    <t xml:space="preserve">312 0</t>
  </si>
  <si>
    <t xml:space="preserve">SC422 XXL</t>
  </si>
  <si>
    <t xml:space="preserve">07UB-S-M</t>
  </si>
  <si>
    <t xml:space="preserve">11UG XS</t>
  </si>
  <si>
    <t xml:space="preserve">11EU XL</t>
  </si>
  <si>
    <t xml:space="preserve">307 L</t>
  </si>
  <si>
    <t xml:space="preserve">32 XXL</t>
  </si>
  <si>
    <t xml:space="preserve">26 XL</t>
  </si>
  <si>
    <t xml:space="preserve">T43 XXL</t>
  </si>
  <si>
    <t xml:space="preserve">T43 XL</t>
  </si>
  <si>
    <t xml:space="preserve">T95 XS</t>
  </si>
  <si>
    <t xml:space="preserve">59RB XL</t>
  </si>
  <si>
    <t xml:space="preserve">30 XXL</t>
  </si>
  <si>
    <t xml:space="preserve">T28AC XS</t>
  </si>
  <si>
    <t xml:space="preserve">303-43-44</t>
  </si>
  <si>
    <t xml:space="preserve">86U XXL</t>
  </si>
  <si>
    <t xml:space="preserve">363 L/R</t>
  </si>
  <si>
    <t xml:space="preserve">379WRK-35-38</t>
  </si>
  <si>
    <t xml:space="preserve">45EC M</t>
  </si>
  <si>
    <t xml:space="preserve">35 XXL</t>
  </si>
  <si>
    <t xml:space="preserve">390G-35-38</t>
  </si>
  <si>
    <t xml:space="preserve">422N+ M</t>
  </si>
  <si>
    <t xml:space="preserve">422N+ L</t>
  </si>
  <si>
    <t xml:space="preserve">11UG S</t>
  </si>
  <si>
    <t xml:space="preserve">3641 0</t>
  </si>
  <si>
    <t xml:space="preserve">34 L</t>
  </si>
  <si>
    <t xml:space="preserve">366S 0</t>
  </si>
  <si>
    <t xml:space="preserve">45C M</t>
  </si>
  <si>
    <t xml:space="preserve">T402 XL</t>
  </si>
  <si>
    <t xml:space="preserve">74 XXL</t>
  </si>
  <si>
    <t xml:space="preserve">06U S</t>
  </si>
  <si>
    <t xml:space="preserve">394B-35-38</t>
  </si>
  <si>
    <t xml:space="preserve">422EB XXL</t>
  </si>
  <si>
    <t xml:space="preserve">212 XL</t>
  </si>
  <si>
    <t xml:space="preserve">35 S</t>
  </si>
  <si>
    <t xml:space="preserve">07AU XXL</t>
  </si>
  <si>
    <t xml:space="preserve">T42X L</t>
  </si>
  <si>
    <t xml:space="preserve">365-XL</t>
  </si>
  <si>
    <t xml:space="preserve">365-S-L</t>
  </si>
  <si>
    <t xml:space="preserve">388BL 0</t>
  </si>
  <si>
    <t xml:space="preserve">422N+ XXL</t>
  </si>
  <si>
    <t xml:space="preserve">59LB L</t>
  </si>
  <si>
    <t xml:space="preserve">11UG XL</t>
  </si>
  <si>
    <t xml:space="preserve">55 XXL</t>
  </si>
  <si>
    <t xml:space="preserve">35 M</t>
  </si>
  <si>
    <t xml:space="preserve">267LC-L-XL</t>
  </si>
  <si>
    <t xml:space="preserve">21 L</t>
  </si>
  <si>
    <t xml:space="preserve">394W-35-38</t>
  </si>
  <si>
    <t xml:space="preserve">SC39 XXL</t>
  </si>
  <si>
    <t xml:space="preserve">T28A-S-M</t>
  </si>
  <si>
    <t xml:space="preserve">390B-35-38</t>
  </si>
  <si>
    <t xml:space="preserve">T42 XL</t>
  </si>
  <si>
    <t xml:space="preserve">T42 M</t>
  </si>
  <si>
    <t xml:space="preserve">T20-L-XL</t>
  </si>
  <si>
    <t xml:space="preserve">48 XL</t>
  </si>
  <si>
    <t xml:space="preserve">85 XL</t>
  </si>
  <si>
    <t xml:space="preserve">FC321 0</t>
  </si>
  <si>
    <t xml:space="preserve">34+ XXL</t>
  </si>
  <si>
    <t xml:space="preserve">55 M</t>
  </si>
  <si>
    <t xml:space="preserve">807CB-C</t>
  </si>
  <si>
    <t xml:space="preserve">59RB XXL</t>
  </si>
  <si>
    <t xml:space="preserve">13 XS</t>
  </si>
  <si>
    <t xml:space="preserve">11TO S</t>
  </si>
  <si>
    <t xml:space="preserve">60B L</t>
  </si>
  <si>
    <t xml:space="preserve">922 M</t>
  </si>
  <si>
    <t xml:space="preserve">75 S</t>
  </si>
  <si>
    <t xml:space="preserve">34 S</t>
  </si>
  <si>
    <t xml:space="preserve">11EU S</t>
  </si>
  <si>
    <t xml:space="preserve">422 XL</t>
  </si>
  <si>
    <t xml:space="preserve">15W XL</t>
  </si>
  <si>
    <t xml:space="preserve">11NOR XXL</t>
  </si>
  <si>
    <t xml:space="preserve">PD341 0</t>
  </si>
  <si>
    <t xml:space="preserve">60B XL</t>
  </si>
  <si>
    <t xml:space="preserve">60 XL</t>
  </si>
  <si>
    <t xml:space="preserve">06U XS</t>
  </si>
  <si>
    <t xml:space="preserve">T28AC-L-XL</t>
  </si>
  <si>
    <t xml:space="preserve">T25 0</t>
  </si>
  <si>
    <t xml:space="preserve">87 XXL</t>
  </si>
  <si>
    <t xml:space="preserve">45 L</t>
  </si>
  <si>
    <t xml:space="preserve">211 S</t>
  </si>
  <si>
    <t xml:space="preserve">60B S</t>
  </si>
  <si>
    <t xml:space="preserve">T45X XXL</t>
  </si>
  <si>
    <t xml:space="preserve">45B S</t>
  </si>
  <si>
    <t xml:space="preserve">41X XXL</t>
  </si>
  <si>
    <t xml:space="preserve">41X S</t>
  </si>
  <si>
    <t xml:space="preserve">35 L</t>
  </si>
  <si>
    <t xml:space="preserve">49PS XL</t>
  </si>
  <si>
    <t xml:space="preserve">13 S</t>
  </si>
  <si>
    <t xml:space="preserve">371 0</t>
  </si>
  <si>
    <t xml:space="preserve">238 XL</t>
  </si>
  <si>
    <t xml:space="preserve">202 0</t>
  </si>
  <si>
    <t xml:space="preserve">303-39-40</t>
  </si>
  <si>
    <t xml:space="preserve">376-38-40</t>
  </si>
  <si>
    <t xml:space="preserve">364 S-L</t>
  </si>
  <si>
    <t xml:space="preserve">45 S</t>
  </si>
  <si>
    <t xml:space="preserve">06U XXL</t>
  </si>
  <si>
    <t xml:space="preserve">15W XXL</t>
  </si>
  <si>
    <t xml:space="preserve">ST37 0</t>
  </si>
  <si>
    <t xml:space="preserve">11 S</t>
  </si>
  <si>
    <t xml:space="preserve">10 S</t>
  </si>
  <si>
    <t xml:space="preserve">45 XL</t>
  </si>
  <si>
    <t xml:space="preserve">332B M</t>
  </si>
  <si>
    <t xml:space="preserve">45 M</t>
  </si>
  <si>
    <t xml:space="preserve">50 M</t>
  </si>
  <si>
    <t xml:space="preserve">AC25 0</t>
  </si>
  <si>
    <t xml:space="preserve">391W-35-38</t>
  </si>
  <si>
    <t xml:space="preserve">06U XL</t>
  </si>
  <si>
    <t xml:space="preserve">922 XL</t>
  </si>
  <si>
    <t xml:space="preserve">422E XL</t>
  </si>
  <si>
    <t xml:space="preserve">86U XL</t>
  </si>
  <si>
    <t xml:space="preserve">13B S</t>
  </si>
  <si>
    <t xml:space="preserve">75 L</t>
  </si>
  <si>
    <t xml:space="preserve">372 0</t>
  </si>
  <si>
    <t xml:space="preserve">267LB-S-M</t>
  </si>
  <si>
    <t xml:space="preserve">41 XS</t>
  </si>
  <si>
    <t xml:space="preserve">41 S</t>
  </si>
  <si>
    <t xml:space="preserve">48 M</t>
  </si>
  <si>
    <t xml:space="preserve">85 L</t>
  </si>
  <si>
    <t xml:space="preserve">60 S</t>
  </si>
  <si>
    <t xml:space="preserve">34 M</t>
  </si>
  <si>
    <t xml:space="preserve">48 L</t>
  </si>
  <si>
    <t xml:space="preserve">11EU XS</t>
  </si>
  <si>
    <t xml:space="preserve">20 XS</t>
  </si>
  <si>
    <t xml:space="preserve">808KT-BL</t>
  </si>
  <si>
    <t xml:space="preserve">T402 L</t>
  </si>
  <si>
    <t xml:space="preserve">808KT-B</t>
  </si>
  <si>
    <t xml:space="preserve">267LC XXL</t>
  </si>
  <si>
    <t xml:space="preserve">35C L</t>
  </si>
  <si>
    <t xml:space="preserve">370K 0</t>
  </si>
  <si>
    <t xml:space="preserve">T39 S</t>
  </si>
  <si>
    <t xml:space="preserve">T39 XS</t>
  </si>
  <si>
    <t xml:space="preserve">VMFPCB30 0</t>
  </si>
  <si>
    <t xml:space="preserve">50 S</t>
  </si>
  <si>
    <t xml:space="preserve">T03 XXL</t>
  </si>
  <si>
    <t xml:space="preserve">422E L</t>
  </si>
  <si>
    <t xml:space="preserve">35C XXL</t>
  </si>
  <si>
    <t xml:space="preserve">28 M</t>
  </si>
  <si>
    <t xml:space="preserve">30 L</t>
  </si>
  <si>
    <t xml:space="preserve">34 XL</t>
  </si>
  <si>
    <t xml:space="preserve">806CB-C</t>
  </si>
  <si>
    <t xml:space="preserve">35C M</t>
  </si>
  <si>
    <t xml:space="preserve">VMFPCN32 0</t>
  </si>
  <si>
    <t xml:space="preserve">303-37-38</t>
  </si>
  <si>
    <t xml:space="preserve">T45X XL</t>
  </si>
  <si>
    <t xml:space="preserve">הנחות לקוחות</t>
  </si>
  <si>
    <t xml:space="preserve">60B XS</t>
  </si>
  <si>
    <t xml:space="preserve">M93</t>
  </si>
  <si>
    <t xml:space="preserve">06U M</t>
  </si>
  <si>
    <t xml:space="preserve">11 L</t>
  </si>
  <si>
    <t xml:space="preserve">806CB-B</t>
  </si>
  <si>
    <t xml:space="preserve">45E XXL</t>
  </si>
  <si>
    <t xml:space="preserve">T45 XS</t>
  </si>
  <si>
    <t xml:space="preserve">303-41-42</t>
  </si>
  <si>
    <t xml:space="preserve">85+ S</t>
  </si>
  <si>
    <t xml:space="preserve">808KTP-BL</t>
  </si>
  <si>
    <t xml:space="preserve">077A XXL</t>
  </si>
  <si>
    <t xml:space="preserve">הנחה 200 ש"ח</t>
  </si>
  <si>
    <t xml:space="preserve">35C XL</t>
  </si>
  <si>
    <t xml:space="preserve">267RC-L-XL</t>
  </si>
  <si>
    <t xml:space="preserve">11U M</t>
  </si>
  <si>
    <t xml:space="preserve">20 L</t>
  </si>
  <si>
    <t xml:space="preserve">3611 0</t>
  </si>
  <si>
    <t xml:space="preserve">20 M</t>
  </si>
  <si>
    <t xml:space="preserve">45 XXL</t>
  </si>
  <si>
    <t xml:space="preserve">376-35-37</t>
  </si>
  <si>
    <t xml:space="preserve">307 S</t>
  </si>
  <si>
    <t xml:space="preserve">28 XS</t>
  </si>
  <si>
    <t xml:space="preserve">11UG M</t>
  </si>
  <si>
    <t xml:space="preserve">ST20 0</t>
  </si>
  <si>
    <t xml:space="preserve">T402 S</t>
  </si>
  <si>
    <t xml:space="preserve">95B XS</t>
  </si>
  <si>
    <t xml:space="preserve">307 M</t>
  </si>
  <si>
    <t xml:space="preserve">364-S-L</t>
  </si>
  <si>
    <t xml:space="preserve">SC39 M</t>
  </si>
  <si>
    <t xml:space="preserve">T95 S</t>
  </si>
  <si>
    <t xml:space="preserve">808KTP-C</t>
  </si>
  <si>
    <t xml:space="preserve">21 S</t>
  </si>
  <si>
    <t xml:space="preserve">11TO XXL</t>
  </si>
  <si>
    <t xml:space="preserve">T28A XS</t>
  </si>
  <si>
    <t xml:space="preserve">45C XXL</t>
  </si>
  <si>
    <t xml:space="preserve">95C XL</t>
  </si>
  <si>
    <t xml:space="preserve">267RC-S-M</t>
  </si>
  <si>
    <t xml:space="preserve">376-46-47</t>
  </si>
  <si>
    <t xml:space="preserve">370 0</t>
  </si>
  <si>
    <t xml:space="preserve">32 M</t>
  </si>
  <si>
    <t xml:space="preserve">807CB-BL</t>
  </si>
  <si>
    <t xml:space="preserve">PD344 0</t>
  </si>
  <si>
    <t xml:space="preserve">801 0</t>
  </si>
  <si>
    <t xml:space="preserve">45EC XXL</t>
  </si>
  <si>
    <t xml:space="preserve">56B M</t>
  </si>
  <si>
    <t xml:space="preserve">301JW-36-40</t>
  </si>
  <si>
    <t xml:space="preserve">45EC XL</t>
  </si>
  <si>
    <t xml:space="preserve">922 S</t>
  </si>
  <si>
    <t xml:space="preserve">T28A XXL</t>
  </si>
  <si>
    <t xml:space="preserve">267RB XXL</t>
  </si>
  <si>
    <t xml:space="preserve">267LB-L-XL</t>
  </si>
  <si>
    <t xml:space="preserve">FC335 0</t>
  </si>
  <si>
    <t xml:space="preserve">21 XL</t>
  </si>
  <si>
    <t xml:space="preserve">45B XL</t>
  </si>
  <si>
    <t xml:space="preserve">45E L</t>
  </si>
  <si>
    <t xml:space="preserve">VMSPCC52 0</t>
  </si>
  <si>
    <t xml:space="preserve">T35 XXL</t>
  </si>
  <si>
    <t xml:space="preserve">20 XL</t>
  </si>
  <si>
    <t xml:space="preserve">95B XL</t>
  </si>
  <si>
    <t xml:space="preserve">49 XL</t>
  </si>
  <si>
    <t xml:space="preserve">237 0</t>
  </si>
  <si>
    <t xml:space="preserve">95B M</t>
  </si>
  <si>
    <t xml:space="preserve">95C XXL</t>
  </si>
  <si>
    <t xml:space="preserve">95B S</t>
  </si>
  <si>
    <t xml:space="preserve">13B M</t>
  </si>
  <si>
    <t xml:space="preserve">45E M</t>
  </si>
  <si>
    <t xml:space="preserve">308 L</t>
  </si>
  <si>
    <t xml:space="preserve">49 XXL</t>
  </si>
  <si>
    <t xml:space="preserve">301JM-41-45</t>
  </si>
  <si>
    <t xml:space="preserve">85 S</t>
  </si>
  <si>
    <t xml:space="preserve">85 M</t>
  </si>
  <si>
    <t xml:space="preserve">35 XS</t>
  </si>
  <si>
    <t xml:space="preserve">63 L</t>
  </si>
  <si>
    <t xml:space="preserve">238 M</t>
  </si>
  <si>
    <t xml:space="preserve">13B L</t>
  </si>
  <si>
    <t xml:space="preserve">45C L</t>
  </si>
  <si>
    <t xml:space="preserve">365 XL</t>
  </si>
  <si>
    <t xml:space="preserve">238 S</t>
  </si>
  <si>
    <t xml:space="preserve">806CB-GR</t>
  </si>
  <si>
    <t xml:space="preserve">35C S</t>
  </si>
  <si>
    <t xml:space="preserve">805AT-C</t>
  </si>
  <si>
    <t xml:space="preserve">35B S</t>
  </si>
  <si>
    <t xml:space="preserve">T33 XL</t>
  </si>
  <si>
    <t xml:space="preserve">15M XXL</t>
  </si>
  <si>
    <t xml:space="preserve">45E S</t>
  </si>
  <si>
    <t xml:space="preserve">74-S-M</t>
  </si>
  <si>
    <t xml:space="preserve">48 XS</t>
  </si>
  <si>
    <t xml:space="preserve">35B XL</t>
  </si>
  <si>
    <t xml:space="preserve">49 L</t>
  </si>
  <si>
    <t xml:space="preserve">T95 L</t>
  </si>
  <si>
    <t xml:space="preserve">808KTP-B</t>
  </si>
  <si>
    <t xml:space="preserve">95 M</t>
  </si>
  <si>
    <t xml:space="preserve">T35 XL</t>
  </si>
  <si>
    <t xml:space="preserve">077A-L-XL</t>
  </si>
  <si>
    <t xml:space="preserve">45 XS</t>
  </si>
  <si>
    <t xml:space="preserve">95G S</t>
  </si>
  <si>
    <t xml:space="preserve">60B XXL</t>
  </si>
  <si>
    <t xml:space="preserve">60 XXL</t>
  </si>
  <si>
    <t xml:space="preserve">T20C-L-XL</t>
  </si>
  <si>
    <t xml:space="preserve">95G XL</t>
  </si>
  <si>
    <t xml:space="preserve">T45 L</t>
  </si>
  <si>
    <t xml:space="preserve">11 XXL</t>
  </si>
  <si>
    <t xml:space="preserve">320 0</t>
  </si>
  <si>
    <t xml:space="preserve">34 XS</t>
  </si>
  <si>
    <t xml:space="preserve">95 XXL</t>
  </si>
  <si>
    <t xml:space="preserve">239P-S-M</t>
  </si>
  <si>
    <t xml:space="preserve">45EC S</t>
  </si>
  <si>
    <t xml:space="preserve">211 XL</t>
  </si>
  <si>
    <t xml:space="preserve">808KTP-P</t>
  </si>
  <si>
    <t xml:space="preserve">ST49 0</t>
  </si>
  <si>
    <t xml:space="preserve">VMFPCW33 0</t>
  </si>
  <si>
    <t xml:space="preserve">PD346 0</t>
  </si>
  <si>
    <t xml:space="preserve">374 0</t>
  </si>
  <si>
    <t xml:space="preserve">PD340 0</t>
  </si>
  <si>
    <t xml:space="preserve">07UB XXL</t>
  </si>
  <si>
    <t xml:space="preserve">391W-39-42</t>
  </si>
  <si>
    <t xml:space="preserve">SC35L XL</t>
  </si>
  <si>
    <t xml:space="preserve">3677S 0</t>
  </si>
  <si>
    <t xml:space="preserve">308 M</t>
  </si>
  <si>
    <t xml:space="preserve">VMSPCL55 0</t>
  </si>
  <si>
    <t xml:space="preserve">VMFPCB31 0</t>
  </si>
  <si>
    <t xml:space="preserve">T03 M</t>
  </si>
  <si>
    <t xml:space="preserve">11STOB M</t>
  </si>
  <si>
    <t xml:space="preserve">ST422 0</t>
  </si>
  <si>
    <t xml:space="preserve">VMFPCG34 0</t>
  </si>
  <si>
    <t xml:space="preserve">49 S</t>
  </si>
  <si>
    <t xml:space="preserve">95 XS</t>
  </si>
  <si>
    <t xml:space="preserve">15W L</t>
  </si>
  <si>
    <t xml:space="preserve">95C XS</t>
  </si>
  <si>
    <t xml:space="preserve">T20C-S-M</t>
  </si>
  <si>
    <t xml:space="preserve">T20C XS</t>
  </si>
  <si>
    <t xml:space="preserve">805AT-BL</t>
  </si>
  <si>
    <t xml:space="preserve">SC95 L</t>
  </si>
  <si>
    <t xml:space="preserve">95G L</t>
  </si>
  <si>
    <t xml:space="preserve">T78 XXL</t>
  </si>
  <si>
    <t xml:space="preserve">34+ S</t>
  </si>
  <si>
    <t xml:space="preserve">SC35R XL</t>
  </si>
  <si>
    <t xml:space="preserve">099-S-M</t>
  </si>
  <si>
    <t xml:space="preserve">806CB-P</t>
  </si>
  <si>
    <t xml:space="preserve">SP302W 0</t>
  </si>
  <si>
    <t xml:space="preserve">078 S</t>
  </si>
  <si>
    <t xml:space="preserve">45C XS</t>
  </si>
  <si>
    <t xml:space="preserve">239TR-L-XL</t>
  </si>
  <si>
    <t xml:space="preserve">45E XL</t>
  </si>
  <si>
    <t xml:space="preserve">95C L</t>
  </si>
  <si>
    <t xml:space="preserve">75 XS</t>
  </si>
  <si>
    <t xml:space="preserve">267RB-S-M</t>
  </si>
  <si>
    <t xml:space="preserve">T39 XL</t>
  </si>
  <si>
    <t xml:space="preserve">18 L</t>
  </si>
  <si>
    <t xml:space="preserve">805AT-W</t>
  </si>
  <si>
    <t xml:space="preserve">301CW-36-40</t>
  </si>
  <si>
    <t xml:space="preserve">804AT-BL</t>
  </si>
  <si>
    <t xml:space="preserve">95 XL</t>
  </si>
  <si>
    <t xml:space="preserve">95C M</t>
  </si>
  <si>
    <t xml:space="preserve">45C S</t>
  </si>
  <si>
    <t xml:space="preserve">15M L</t>
  </si>
  <si>
    <t xml:space="preserve">364 XL</t>
  </si>
  <si>
    <t xml:space="preserve">41 M</t>
  </si>
  <si>
    <t xml:space="preserve">PD342 0</t>
  </si>
  <si>
    <t xml:space="preserve">45B XXL</t>
  </si>
  <si>
    <t xml:space="preserve">95G M</t>
  </si>
  <si>
    <t xml:space="preserve">50 XL</t>
  </si>
  <si>
    <t xml:space="preserve">50 L</t>
  </si>
  <si>
    <t xml:space="preserve">50 XXL</t>
  </si>
  <si>
    <t xml:space="preserve">50 XS</t>
  </si>
  <si>
    <t xml:space="preserve">T45 XXL</t>
  </si>
  <si>
    <t xml:space="preserve">11TO M</t>
  </si>
  <si>
    <t xml:space="preserve">922 L</t>
  </si>
  <si>
    <t xml:space="preserve">SC35R S</t>
  </si>
  <si>
    <t xml:space="preserve">28 L</t>
  </si>
  <si>
    <t xml:space="preserve">35C XS</t>
  </si>
  <si>
    <t xml:space="preserve">16 XXL</t>
  </si>
  <si>
    <t xml:space="preserve">21 M</t>
  </si>
  <si>
    <t xml:space="preserve">48 XXL</t>
  </si>
  <si>
    <t xml:space="preserve">11 XL</t>
  </si>
  <si>
    <t xml:space="preserve">311 0</t>
  </si>
  <si>
    <t xml:space="preserve">95 S</t>
  </si>
  <si>
    <t xml:space="preserve">211 M</t>
  </si>
  <si>
    <t xml:space="preserve">95 L</t>
  </si>
  <si>
    <t xml:space="preserve">35B M</t>
  </si>
  <si>
    <t xml:space="preserve">T43V XXL</t>
  </si>
  <si>
    <t xml:space="preserve">VMSPCS48 0</t>
  </si>
  <si>
    <t xml:space="preserve">45C XL</t>
  </si>
  <si>
    <t xml:space="preserve">VMSPCT49 0</t>
  </si>
  <si>
    <t xml:space="preserve">VMSPCL46 0</t>
  </si>
  <si>
    <t xml:space="preserve">T28AC XXL</t>
  </si>
  <si>
    <t xml:space="preserve">VMSPCN51 0</t>
  </si>
  <si>
    <t xml:space="preserve">30 Days Trial</t>
  </si>
  <si>
    <t xml:space="preserve">95B XXL</t>
  </si>
  <si>
    <t xml:space="preserve">T39 XXL</t>
  </si>
  <si>
    <t xml:space="preserve">T45 M</t>
  </si>
  <si>
    <t xml:space="preserve">18 M</t>
  </si>
  <si>
    <t xml:space="preserve">N433D S</t>
  </si>
  <si>
    <t xml:space="preserve">30 Nights Trial</t>
  </si>
  <si>
    <t xml:space="preserve">422EB XL</t>
  </si>
  <si>
    <t xml:space="preserve">Sales Comparison 2025 vs 2026 (Annualized) - Customer: 160251 AMAZON (by Product CODE)</t>
  </si>
  <si>
    <t xml:space="preserve">Source: NetSuite report "1-Sales: Customer by Item" (01/01/2025-31/12/2026), customer = "160251 AMAZON"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</si>
  <si>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EC-59R M</t>
  </si>
  <si>
    <t xml:space="preserve">EC-59L M</t>
  </si>
  <si>
    <t xml:space="preserve">EC-59R S</t>
  </si>
  <si>
    <t xml:space="preserve">FC342K 0</t>
  </si>
  <si>
    <t xml:space="preserve">EC-59R L</t>
  </si>
  <si>
    <t xml:space="preserve">EC-59RB M</t>
  </si>
  <si>
    <t xml:space="preserve">EC-DIFF</t>
  </si>
  <si>
    <t xml:space="preserve">EC-59D M</t>
  </si>
  <si>
    <t xml:space="preserve">EC-11STO XXL</t>
  </si>
  <si>
    <t xml:space="preserve">EC-59L L</t>
  </si>
  <si>
    <t xml:space="preserve">EC-59L S</t>
  </si>
  <si>
    <t xml:space="preserve">EC-11STO XL</t>
  </si>
  <si>
    <t xml:space="preserve">EC-11NOR XXL</t>
  </si>
  <si>
    <t xml:space="preserve">EC-11NOR XL</t>
  </si>
  <si>
    <t xml:space="preserve">EC-59D S</t>
  </si>
  <si>
    <t xml:space="preserve">EC-59RB S</t>
  </si>
  <si>
    <t xml:space="preserve">EC-59RB L</t>
  </si>
  <si>
    <t xml:space="preserve">EC-59LB S</t>
  </si>
  <si>
    <t xml:space="preserve">EC-59D L</t>
  </si>
  <si>
    <t xml:space="preserve">EC-11STO L</t>
  </si>
  <si>
    <t xml:space="preserve">EC-11NOR L</t>
  </si>
  <si>
    <t xml:space="preserve">EC-11STOB XXL</t>
  </si>
  <si>
    <t xml:space="preserve">EC-59R XL</t>
  </si>
  <si>
    <t xml:space="preserve">EC-11STOB XL</t>
  </si>
  <si>
    <t xml:space="preserve">EC-11STOB M</t>
  </si>
  <si>
    <t xml:space="preserve">EC-11STO M</t>
  </si>
  <si>
    <t xml:space="preserve">EC-59RB XL</t>
  </si>
  <si>
    <t xml:space="preserve">EC-59D XL</t>
  </si>
  <si>
    <t xml:space="preserve">EC-59DB S</t>
  </si>
  <si>
    <t xml:space="preserve">EC-59L XL</t>
  </si>
  <si>
    <t xml:space="preserve">EC-59LB L</t>
  </si>
  <si>
    <t xml:space="preserve">EC-59R XXL</t>
  </si>
  <si>
    <t xml:space="preserve">EC-11STOB L</t>
  </si>
  <si>
    <t xml:space="preserve">EC-11NOR M</t>
  </si>
  <si>
    <t xml:space="preserve">EC-59DB XL</t>
  </si>
  <si>
    <t xml:space="preserve">EC-11STOB S</t>
  </si>
  <si>
    <t xml:space="preserve">EC-59LB M</t>
  </si>
  <si>
    <t xml:space="preserve">TC342 0</t>
  </si>
  <si>
    <t xml:space="preserve">EC-59DB M</t>
  </si>
  <si>
    <t xml:space="preserve">EC-59DB L</t>
  </si>
  <si>
    <t xml:space="preserve">EC-59D XXL</t>
  </si>
  <si>
    <t xml:space="preserve">EC-11NOR S</t>
  </si>
  <si>
    <t xml:space="preserve">EC-078 M</t>
  </si>
  <si>
    <t xml:space="preserve">EC-59LB XL</t>
  </si>
  <si>
    <t xml:space="preserve">EC-078 L</t>
  </si>
  <si>
    <t xml:space="preserve">EC-59LB XXL</t>
  </si>
  <si>
    <t xml:space="preserve">EC-59DB XXL</t>
  </si>
  <si>
    <t xml:space="preserve">EC-078 XXL</t>
  </si>
  <si>
    <t xml:space="preserve">EC-11STO S</t>
  </si>
  <si>
    <t xml:space="preserve">EC-59RB XXL</t>
  </si>
  <si>
    <t xml:space="preserve">AC95</t>
  </si>
  <si>
    <t xml:space="preserve">EC-078 XL</t>
  </si>
  <si>
    <t xml:space="preserve">386</t>
  </si>
  <si>
    <t xml:space="preserve">FC3162 0</t>
  </si>
  <si>
    <t xml:space="preserve">Sales Comparison 2025 vs 2026 (Annualized) - Customer: 150390 סופר פארם ישראל (by Product CODE)</t>
  </si>
  <si>
    <t xml:space="preserve">Source: NetSuite report "1-Sales: Customer by Item" (01/01/2025-31/12/2026), customer = "150390 סופר פארם ישראל"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</si>
  <si>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LU3655 0</t>
  </si>
  <si>
    <t xml:space="preserve">LU370 0</t>
  </si>
  <si>
    <t xml:space="preserve">LU372 0</t>
  </si>
  <si>
    <t xml:space="preserve">LU3641 0</t>
  </si>
  <si>
    <t xml:space="preserve">LUPD340 0</t>
  </si>
  <si>
    <t xml:space="preserve">LUPD342 0</t>
  </si>
  <si>
    <t xml:space="preserve">LU374 0</t>
  </si>
  <si>
    <t xml:space="preserve">LU364-S-L</t>
  </si>
  <si>
    <t xml:space="preserve">LU364 XL</t>
  </si>
  <si>
    <t xml:space="preserve">LU365-S-L</t>
  </si>
  <si>
    <t xml:space="preserve">LU366S 0</t>
  </si>
  <si>
    <t xml:space="preserve">LULF370 0</t>
  </si>
  <si>
    <t xml:space="preserve">LUPD344 0</t>
  </si>
  <si>
    <t xml:space="preserve">LULF373 0</t>
  </si>
  <si>
    <t xml:space="preserve">LU302M 0</t>
  </si>
  <si>
    <t xml:space="preserve">LU302W 0</t>
  </si>
  <si>
    <t xml:space="preserve">LU313 0</t>
  </si>
  <si>
    <t xml:space="preserve">LU3677S 0</t>
  </si>
  <si>
    <t xml:space="preserve">LU308 L</t>
  </si>
  <si>
    <t xml:space="preserve">LU308 M</t>
  </si>
  <si>
    <t xml:space="preserve">Sales Comparison 2025 vs 2026 (Annualized) - Customer: 160134 SUPER-PHARM HOLDING. SP.ZO.O (by Product CODE)</t>
  </si>
  <si>
    <t xml:space="preserve">Source: NetSuite report "1-Sales: Customer by Item" (01/01/2025-31/12/2026), customer = "160134 SUPER-PHARM HOLDING. SP.ZO.O"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</si>
  <si>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LF373 0</t>
  </si>
  <si>
    <t xml:space="preserve">LF360 0</t>
  </si>
  <si>
    <t xml:space="preserve">376-44-46</t>
  </si>
  <si>
    <t xml:space="preserve">LF374 0</t>
  </si>
  <si>
    <t xml:space="preserve">95C S</t>
  </si>
  <si>
    <t xml:space="preserve">LF370 0</t>
  </si>
  <si>
    <t xml:space="preserve">LF377 M</t>
  </si>
  <si>
    <t xml:space="preserve">LF377 S</t>
  </si>
  <si>
    <t xml:space="preserve">LF377 L</t>
  </si>
  <si>
    <t xml:space="preserve">LF371 0</t>
  </si>
  <si>
    <t xml:space="preserve">Sales Comparison 2025 vs 2026 (Annualized) - Customer: 160351 ORTHO- PARTNER AG. (by Product CODE)</t>
  </si>
  <si>
    <t xml:space="preserve">Source: NetSuite report "1-Sales: Customer by Item" (01/01/2025-31/12/2026), customer = "160351 ORTHO- PARTNER AG."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</si>
  <si>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T43V S</t>
  </si>
  <si>
    <t xml:space="preserve">86U L</t>
  </si>
  <si>
    <t xml:space="preserve">49PS S</t>
  </si>
  <si>
    <t xml:space="preserve">86U M</t>
  </si>
  <si>
    <t xml:space="preserve">62FC M</t>
  </si>
  <si>
    <t xml:space="preserve">422N+ XL</t>
  </si>
  <si>
    <t xml:space="preserve">38R 0</t>
  </si>
  <si>
    <t xml:space="preserve">422N M</t>
  </si>
  <si>
    <t xml:space="preserve">422N XL</t>
  </si>
  <si>
    <t xml:space="preserve">422N L</t>
  </si>
  <si>
    <t xml:space="preserve">T43V XS</t>
  </si>
  <si>
    <t xml:space="preserve">62FC L</t>
  </si>
  <si>
    <t xml:space="preserve">T43V XXXL</t>
  </si>
  <si>
    <t xml:space="preserve">62FC S</t>
  </si>
  <si>
    <t xml:space="preserve">38L 0</t>
  </si>
  <si>
    <t xml:space="preserve">62FC XS</t>
  </si>
  <si>
    <t xml:space="preserve">62FC XL</t>
  </si>
  <si>
    <t xml:space="preserve">15W XS</t>
  </si>
  <si>
    <t xml:space="preserve">Sales Comparison 2025 vs 2026 (Annualized) - Customer: 160955 ORTOPROFIL PROD. ROMANIA (by Product CODE)</t>
  </si>
  <si>
    <t xml:space="preserve">Source: NetSuite report "1-Sales: Customer by Item" (01/01/2025-31/12/2026), customer = "160955 ORTOPROFIL PROD. ROMANIA"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</si>
  <si>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Sales Comparison 2025 vs 2026 (Annualized) - Customer: C02266 SANAFLEX L.P (by Product CODE)</t>
  </si>
  <si>
    <t xml:space="preserve">Source: NetSuite report "1-Sales: Customer by Item" (01/01/2025-31/12/2026), customer = "C02266 SANAFLEX L.P"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</si>
  <si>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55 L</t>
  </si>
  <si>
    <t xml:space="preserve">61 L</t>
  </si>
  <si>
    <t xml:space="preserve">82 0</t>
  </si>
  <si>
    <t xml:space="preserve">61 M</t>
  </si>
  <si>
    <t xml:space="preserve">332B L</t>
  </si>
  <si>
    <t xml:space="preserve">392B-43-46</t>
  </si>
  <si>
    <t xml:space="preserve">61 XL</t>
  </si>
  <si>
    <t xml:space="preserve">61 S</t>
  </si>
  <si>
    <t xml:space="preserve">91 0</t>
  </si>
  <si>
    <t xml:space="preserve">392B-39-42</t>
  </si>
  <si>
    <t xml:space="preserve">55 S</t>
  </si>
  <si>
    <t xml:space="preserve">332B XL</t>
  </si>
  <si>
    <t xml:space="preserve">30 S</t>
  </si>
  <si>
    <t xml:space="preserve">ST95 0</t>
  </si>
  <si>
    <t xml:space="preserve">67800020</t>
  </si>
  <si>
    <t xml:space="preserve">809PW-C</t>
  </si>
  <si>
    <t xml:space="preserve">364XL+ 0</t>
  </si>
  <si>
    <t xml:space="preserve">Sales Comparison 2025 vs 2026 (Annualized) - Customer: 160920 SALUS (by Product CODE)</t>
  </si>
  <si>
    <t xml:space="preserve">Source: NetSuite report "1-Sales: Customer by Item" (01/01/2025-31/12/2026), customer = "160920 SALUS"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</si>
  <si>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43BD L</t>
  </si>
  <si>
    <t xml:space="preserve">43BD XL</t>
  </si>
  <si>
    <t xml:space="preserve">43BD M</t>
  </si>
  <si>
    <t xml:space="preserve">ST10 0</t>
  </si>
  <si>
    <t xml:space="preserve">43BD S</t>
  </si>
  <si>
    <t xml:space="preserve">ST433 0</t>
  </si>
  <si>
    <t xml:space="preserve">43BD XXL</t>
  </si>
  <si>
    <t xml:space="preserve">59DB XXL</t>
  </si>
  <si>
    <t xml:space="preserve">59RB S</t>
  </si>
  <si>
    <t xml:space="preserve">59LB XL</t>
  </si>
  <si>
    <t xml:space="preserve">59LB S</t>
  </si>
  <si>
    <t xml:space="preserve">59LB XXL</t>
  </si>
  <si>
    <t xml:space="preserve">ST91 0</t>
  </si>
  <si>
    <t xml:space="preserve">SH322-6</t>
  </si>
  <si>
    <t xml:space="preserve">T46B L</t>
  </si>
  <si>
    <t xml:space="preserve">T066B-L-XL</t>
  </si>
  <si>
    <t xml:space="preserve">SH423L 6</t>
  </si>
  <si>
    <t xml:space="preserve">T36B L</t>
  </si>
  <si>
    <t xml:space="preserve">Sales Comparison 2025 vs 2026 (Annualized) - Customer: 160951 MEDIPAL COMPANY (by Product CODE)</t>
  </si>
  <si>
    <t xml:space="preserve">Source: NetSuite report "1-Sales: Customer by Item" (01/01/2025-31/12/2026), customer = "160951 MEDIPAL COMPANY"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</si>
  <si>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07AE M</t>
  </si>
  <si>
    <t xml:space="preserve">07AE L</t>
  </si>
  <si>
    <t xml:space="preserve">07AE XXL</t>
  </si>
  <si>
    <t xml:space="preserve">07AE S</t>
  </si>
  <si>
    <t xml:space="preserve">10 XS</t>
  </si>
  <si>
    <t xml:space="preserve">15M S</t>
  </si>
  <si>
    <t xml:space="preserve">20 XXL</t>
  </si>
  <si>
    <t xml:space="preserve">1000FC</t>
  </si>
  <si>
    <t xml:space="preserve">70 XS</t>
  </si>
  <si>
    <t xml:space="preserve">07AE XL</t>
  </si>
  <si>
    <t xml:space="preserve">70N L</t>
  </si>
  <si>
    <t xml:space="preserve">Sales Comparison 2025 vs 2026 (Annualized) - Customer: 160226 HEALTH CARE PROD. GMBH (by Product CODE)</t>
  </si>
  <si>
    <t xml:space="preserve">Source: NetSuite report "1-Sales: Customer by Item" (01/01/2025-31/12/2026), customer = "160226 HEALTH CARE PROD. GMBH"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</si>
  <si>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Sales Comparison 2025 vs 2026 (Annualized) - Customer: 160150 MAX KONNARIS LTD (by Product CODE)</t>
  </si>
  <si>
    <t xml:space="preserve">Source: NetSuite report "1-Sales: Customer by Item" (01/01/2025-31/12/2026), customer = "160150 MAX KONNARIS LTD"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</si>
  <si>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SH776 XXL</t>
  </si>
  <si>
    <t xml:space="preserve">67813000</t>
  </si>
  <si>
    <t xml:space="preserve">67812000</t>
  </si>
  <si>
    <t xml:space="preserve">Sales Comparison 2025 vs 2026 (Annualized) - Customer: 151209 רוני אורטופדיה  בע"מ - רמבם (by Product CODE)</t>
  </si>
  <si>
    <t xml:space="preserve">Source: NetSuite report "1-Sales: Customer by Item" (01/01/2025-31/12/2026), customer = "151209 רוני אורטופדיה  בע"מ - רמבם"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</si>
  <si>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355 L</t>
  </si>
  <si>
    <t xml:space="preserve">422 M</t>
  </si>
  <si>
    <t xml:space="preserve">T33 XS</t>
  </si>
  <si>
    <t xml:space="preserve">079 XXL</t>
  </si>
  <si>
    <t xml:space="preserve">T49 M</t>
  </si>
  <si>
    <t xml:space="preserve">Sales Comparison 2025 vs 2026 (Annualized) - Customer: 160450 OY. EA. AB. (by Product CODE)</t>
  </si>
  <si>
    <t xml:space="preserve">Source: NetSuite report "1-Sales: Customer by Item" (01/01/2025-31/12/2026), customer = "160450 OY. EA. AB."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</si>
  <si>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ST3555-L-XL</t>
  </si>
  <si>
    <t xml:space="preserve">ST3555-S-M</t>
  </si>
  <si>
    <t xml:space="preserve">78A M</t>
  </si>
  <si>
    <t xml:space="preserve">T43F XXL</t>
  </si>
  <si>
    <t xml:space="preserve">78A L</t>
  </si>
  <si>
    <t xml:space="preserve">332B XXL</t>
  </si>
  <si>
    <t xml:space="preserve">332B S</t>
  </si>
  <si>
    <t xml:space="preserve">Sales Comparison 2025 vs 2026 (Annualized) - Customer: 150366 א.א.אורטופדיה איתי-יהוד (by Product CODE)</t>
  </si>
  <si>
    <t xml:space="preserve">Source: NetSuite report "1-Sales: Customer by Item" (01/01/2025-31/12/2026), customer = "150366 א.א.אורטופדיה איתי-יהוד"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</si>
  <si>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70 L</t>
  </si>
  <si>
    <t xml:space="preserve">70 S</t>
  </si>
  <si>
    <t xml:space="preserve">70 M</t>
  </si>
  <si>
    <t xml:space="preserve">322 L</t>
  </si>
  <si>
    <t xml:space="preserve">Sales Comparison 2025 vs 2026 (Annualized) - Customer: 157464 מדיקל הצפון ב.מ-חורי (by Product CODE)</t>
  </si>
  <si>
    <t xml:space="preserve">Source: NetSuite report "1-Sales: Customer by Item" (01/01/2025-31/12/2026), customer = "157464 מדיקל הצפון ב.מ-חורי" only (exact match on the "Customer" column). Product CODE = column "Item: Name" (F in the original report) - NOT "Item: Name (Grouped)" (E), which carries a PARENT prefix. 2025 = columns J/K (Quantity/Amount Net); 2026 = columns O/P. Multiple rows per CODE per customer (one per unit-price tier) are summed (SUMIFS) per CODE, not taken from a single row. Raw rows kept unchanged in the shared "Source" sheet (filtered to only these 16 customers, not the full 32,141-row report). IMPORTANT: the source file’s own header states the report range as "01 January 2025 - 31 December 2026", but has no per-row date/timestamp field, so the exact 2026 cutoff cannot be verified from the data itself. Same assumption used across this whole workbook for consistency: 2026 actual covers approximately 9.5 months (1 Jan - 15 Sep).</t>
  </si>
  <si>
    <t xml:space="preserve">422EU XL</t>
  </si>
  <si>
    <t xml:space="preserve">355 M</t>
  </si>
  <si>
    <t xml:space="preserve">322B M</t>
  </si>
  <si>
    <t xml:space="preserve">422EU XXL</t>
  </si>
  <si>
    <t xml:space="preserve">322 M</t>
  </si>
  <si>
    <t xml:space="preserve">322 XL</t>
  </si>
  <si>
    <t xml:space="preserve">422EU M</t>
  </si>
  <si>
    <t xml:space="preserve">422ED XL</t>
  </si>
  <si>
    <t xml:space="preserve">422ED XXL</t>
  </si>
  <si>
    <t xml:space="preserve">422EBD XL</t>
  </si>
  <si>
    <t xml:space="preserve">422EBD L</t>
  </si>
  <si>
    <t xml:space="preserve">322 XXL</t>
  </si>
  <si>
    <t xml:space="preserve">322 S</t>
  </si>
  <si>
    <t xml:space="preserve">21 XXL</t>
  </si>
  <si>
    <t xml:space="preserve">21 XS</t>
  </si>
  <si>
    <t xml:space="preserve">Raw source rows - 16 customers only (from NetSuite "1-Sales: Customer by Item", 01/01/2025-31/12/2026), unchanged. Shared by all customer sheets (SUMIFS by Customer + CODE).</t>
  </si>
  <si>
    <t xml:space="preserve">Customer</t>
  </si>
  <si>
    <t xml:space="preserve">Item Name (CODE)</t>
  </si>
  <si>
    <t xml:space="preserve">Item: Display Name</t>
  </si>
  <si>
    <t xml:space="preserve">Amount 2025 (Net, ₪)</t>
  </si>
  <si>
    <t xml:space="preserve">Amount 2026 (Net, ₪)</t>
  </si>
  <si>
    <t xml:space="preserve">חגורת גב+סגירה כפולה</t>
  </si>
  <si>
    <t xml:space="preserve">חגורת גב אפורה</t>
  </si>
  <si>
    <t xml:space="preserve">חגורת בטן</t>
  </si>
  <si>
    <t xml:space="preserve">חגורת בטן לנורבגיה</t>
  </si>
  <si>
    <t xml:space="preserve">חגורה אחרי ניתוח</t>
  </si>
  <si>
    <t xml:space="preserve">חגורה למנותחי בית החזה</t>
  </si>
  <si>
    <t xml:space="preserve">חגורה לשבר טבור</t>
  </si>
  <si>
    <t xml:space="preserve">חגורה למנותחי בית חזה</t>
  </si>
  <si>
    <t xml:space="preserve">חגורת צלעות לגבר</t>
  </si>
  <si>
    <t xml:space="preserve">כפפת CTS שמאל</t>
  </si>
  <si>
    <t xml:space="preserve">כפפת CTS ימין</t>
  </si>
  <si>
    <t xml:space="preserve">שרוול לגבס קצר יד</t>
  </si>
  <si>
    <t xml:space="preserve">שרוול לגבס ארוך יד</t>
  </si>
  <si>
    <t xml:space="preserve">סד יד דו צדדי</t>
  </si>
  <si>
    <t xml:space="preserve">סד לתמיכה פרק כף יד ואגודל</t>
  </si>
  <si>
    <t xml:space="preserve">מגן קרסול+כרית סיליקון</t>
  </si>
  <si>
    <t xml:space="preserve">מגן קרסול סגור</t>
  </si>
  <si>
    <t xml:space="preserve">שרוול לגבס קצר רגל</t>
  </si>
  <si>
    <t xml:space="preserve">שרוול לגבס ארוך רגל</t>
  </si>
  <si>
    <t xml:space="preserve">כרית עם סרט אלסט</t>
  </si>
  <si>
    <t xml:space="preserve">בננה לתמכת אצבעו</t>
  </si>
  <si>
    <t xml:space="preserve">גרבי טיסה</t>
  </si>
  <si>
    <t xml:space="preserve">מגן ברך חום</t>
  </si>
  <si>
    <t xml:space="preserve">מתלה</t>
  </si>
  <si>
    <t xml:space="preserve">חגורת שבר דו צדדית</t>
  </si>
  <si>
    <t xml:space="preserve">חגורת שבר לצד שמאל</t>
  </si>
  <si>
    <t xml:space="preserve">חגורת שבר לצד ימין</t>
  </si>
  <si>
    <t xml:space="preserve">צוארון עממי</t>
  </si>
  <si>
    <t xml:space="preserve">צוארון פלסטי מתכוונן</t>
  </si>
  <si>
    <t xml:space="preserve">חגורת פיסוק פאבליק</t>
  </si>
  <si>
    <t xml:space="preserve">חגורת פאבליק (רצועות אבדוקציה)</t>
  </si>
  <si>
    <t xml:space="preserve">מישר כתפיים רחב+תמיכה לבית השח</t>
  </si>
  <si>
    <t xml:space="preserve">חגורת גב+מיישר+תמיכה לבית השחי</t>
  </si>
  <si>
    <t xml:space="preserve">קינזיולוגי טייפ</t>
  </si>
  <si>
    <t xml:space="preserve">חגורת קיבוע לכתף</t>
  </si>
  <si>
    <t xml:space="preserve">מגן מרפק</t>
  </si>
  <si>
    <t xml:space="preserve">דאודורנט ספרי לנעל 100 מל</t>
  </si>
  <si>
    <t xml:space="preserve">תרסיס דיאודורנט לכף הרגל</t>
  </si>
  <si>
    <t xml:space="preserve">טלק לכף הרגל מועשר באלוורה</t>
  </si>
  <si>
    <t xml:space="preserve">חבק יד SC25</t>
  </si>
  <si>
    <t xml:space="preserve">מגן שוק SC39</t>
  </si>
  <si>
    <t xml:space="preserve">מגן ברך SC422</t>
  </si>
  <si>
    <t xml:space="preserve">SpinaShield | חגורת תיקון יציבה לעמוד שדרה וכתפיים</t>
  </si>
  <si>
    <t xml:space="preserve">גרב לילה לטיפול בדורבן</t>
  </si>
  <si>
    <t xml:space="preserve">מיצב פיקה</t>
  </si>
  <si>
    <t xml:space="preserve">מגן ברך רגיל</t>
  </si>
  <si>
    <t xml:space="preserve">מגן לכתף ימין/שמאל</t>
  </si>
  <si>
    <t xml:space="preserve">חגורת גב סגירה כפולה</t>
  </si>
  <si>
    <t xml:space="preserve">ח.בטן 25 ס'מ</t>
  </si>
  <si>
    <t xml:space="preserve">מדרס מתכוונן</t>
  </si>
  <si>
    <t xml:space="preserve">מדרס מתכוונן לגיל</t>
  </si>
  <si>
    <t xml:space="preserve">גרביים עם עקב ג'ל</t>
  </si>
  <si>
    <t xml:space="preserve">מגן קרסול + סיליקון</t>
  </si>
  <si>
    <t xml:space="preserve">כרית מטטרזלי מס</t>
  </si>
  <si>
    <t xml:space="preserve">כ.הפרדת אצבעות ס</t>
  </si>
  <si>
    <t xml:space="preserve">מפריד אצבע</t>
  </si>
  <si>
    <t xml:space="preserve">מיישר בוהן</t>
  </si>
  <si>
    <t xml:space="preserve">שרוול מסיליקון ל</t>
  </si>
  <si>
    <t xml:space="preserve">שרוול לבוניון מסיליקון</t>
  </si>
  <si>
    <t xml:space="preserve">מ. בוניון + מפריד אצבע</t>
  </si>
  <si>
    <t xml:space="preserve">מגן זרת מסיליקון</t>
  </si>
  <si>
    <t xml:space="preserve">אצבעון מסיליקון</t>
  </si>
  <si>
    <t xml:space="preserve">רפידת נוחות</t>
  </si>
  <si>
    <t xml:space="preserve">רפידת אנטי-ריח</t>
  </si>
  <si>
    <t xml:space="preserve">רפידה בולמת זעזועים</t>
  </si>
  <si>
    <t xml:space="preserve">מכשיר ליצוב הבוהן</t>
  </si>
  <si>
    <t xml:space="preserve">מיישר בוניון-HALUX VALGUS</t>
  </si>
  <si>
    <t xml:space="preserve">סד לילה לבוהן</t>
  </si>
  <si>
    <t xml:space="preserve">גרבי נוחות קיץ שחור</t>
  </si>
  <si>
    <t xml:space="preserve">גרבי נוחות קיץ לבן</t>
  </si>
  <si>
    <t xml:space="preserve">גרבי קיץ אנטיבקטריאלי שחור</t>
  </si>
  <si>
    <t xml:space="preserve">גרבי נסיעות אנטיבקטריאלי</t>
  </si>
  <si>
    <t xml:space="preserve">מ.ברךגנוסיל+כ .</t>
  </si>
  <si>
    <t xml:space="preserve">צוארון ספוגי</t>
  </si>
  <si>
    <t xml:space="preserve">מיצב כתפיים</t>
  </si>
  <si>
    <t xml:space="preserve">מישר כתפיים</t>
  </si>
  <si>
    <t xml:space="preserve">תחבושת אלסטית נצמדת צבע שחור</t>
  </si>
  <si>
    <t xml:space="preserve">'תחבושת אלסטית נצמדת צבע בז</t>
  </si>
  <si>
    <t xml:space="preserve">תחבושת אלסטית נצמדת צבע ירוק</t>
  </si>
  <si>
    <t xml:space="preserve">תחבושת אלסטית נצמדת צבע וורוד</t>
  </si>
  <si>
    <t xml:space="preserve">תחבושת נצמדת צבע שחור</t>
  </si>
  <si>
    <t xml:space="preserve">תחבושת נצמדת צבע כחול</t>
  </si>
  <si>
    <t xml:space="preserve">תחבושת נצמדת צבע ורוד</t>
  </si>
  <si>
    <t xml:space="preserve">מתלה יד + קיבוע מרפק</t>
  </si>
  <si>
    <t xml:space="preserve">מתלה יד-כיס</t>
  </si>
  <si>
    <t xml:space="preserve">מתלה רשת לזרוע שחור 85B</t>
  </si>
  <si>
    <t xml:space="preserve">מתלה ליד לילדים</t>
  </si>
  <si>
    <t xml:space="preserve">מיישר כתפיים</t>
  </si>
  <si>
    <t xml:space="preserve">מדרס מטטרזלי</t>
  </si>
  <si>
    <t xml:space="preserve">מ.ברך מנאופרן+ציר D +כ.סיליקון</t>
  </si>
  <si>
    <t xml:space="preserve">מגן קרסול שמאל SC35</t>
  </si>
  <si>
    <t xml:space="preserve">מגן קרסול שמאלSC35</t>
  </si>
  <si>
    <t xml:space="preserve">מגן קרסול ימין SC35</t>
  </si>
  <si>
    <t xml:space="preserve">מגן מרפק SC95</t>
  </si>
  <si>
    <t xml:space="preserve">מגן מופק SC95</t>
  </si>
  <si>
    <t xml:space="preserve">מגן מרפק SC95 XL</t>
  </si>
  <si>
    <t xml:space="preserve">תומך ברך גנושילד</t>
  </si>
  <si>
    <t xml:space="preserve">חבק יד אגודלי ימ</t>
  </si>
  <si>
    <t xml:space="preserve">חבק יד אגודלי שחור</t>
  </si>
  <si>
    <t xml:space="preserve">סד לקרסול</t>
  </si>
  <si>
    <t xml:space="preserve">מגן שוק רגיל</t>
  </si>
  <si>
    <t xml:space="preserve">מגן ירך רגיל</t>
  </si>
  <si>
    <t xml:space="preserve">חגורה אוורירית איטלקית</t>
  </si>
  <si>
    <t xml:space="preserve">חגורת שרוכים</t>
  </si>
  <si>
    <t xml:space="preserve">חגורת היריון</t>
  </si>
  <si>
    <t xml:space="preserve">חבק יד מתכוון</t>
  </si>
  <si>
    <t xml:space="preserve">מגן יד</t>
  </si>
  <si>
    <t xml:space="preserve">אצבעון מפלסטיק  ליד</t>
  </si>
  <si>
    <t xml:space="preserve">סד לאגודל</t>
  </si>
  <si>
    <t xml:space="preserve">מדרס מג'ל</t>
  </si>
  <si>
    <t xml:space="preserve">כרית סיליקון לעקב</t>
  </si>
  <si>
    <t xml:space="preserve">מגן קרסול+כרית סיליקון שחור</t>
  </si>
  <si>
    <t xml:space="preserve">סד קרסול קל שחורL</t>
  </si>
  <si>
    <t xml:space="preserve">סד קרסול קל שחור M</t>
  </si>
  <si>
    <t xml:space="preserve">סד קרסול קל שחור XL</t>
  </si>
  <si>
    <t xml:space="preserve">מגן קרסול+ עקב סגור+רצועות</t>
  </si>
  <si>
    <t xml:space="preserve">מגן קרסול פתוח</t>
  </si>
  <si>
    <t xml:space="preserve">מגן קרסול שחור</t>
  </si>
  <si>
    <t xml:space="preserve">מגן קרסול חום</t>
  </si>
  <si>
    <t xml:space="preserve">רצועות פיקה לברך</t>
  </si>
  <si>
    <t xml:space="preserve">רצועה לפיקה+כרית</t>
  </si>
  <si>
    <t xml:space="preserve">מגן ברך מוצלב+מוטות</t>
  </si>
  <si>
    <t xml:space="preserve">כ. סיל.+ציר D</t>
  </si>
  <si>
    <t xml:space="preserve">מ.ברך ארוך+כ. סיל.+ציר D</t>
  </si>
  <si>
    <t xml:space="preserve">מגן ברך ארוך עם כרית סיליקון</t>
  </si>
  <si>
    <t xml:space="preserve">מגן ברך ארוך</t>
  </si>
  <si>
    <t xml:space="preserve">כרית שינה חלומית</t>
  </si>
  <si>
    <t xml:space="preserve">חבק טניס</t>
  </si>
  <si>
    <t xml:space="preserve">חבק טניס שחור</t>
  </si>
  <si>
    <t xml:space="preserve">מגן מרפק + סיליקון</t>
  </si>
  <si>
    <t xml:space="preserve">מגן מרפק שחור</t>
  </si>
  <si>
    <t xml:space="preserve">סד מאורך לאגודל</t>
  </si>
  <si>
    <t xml:space="preserve">מדרס מג'ל לגבר</t>
  </si>
  <si>
    <t xml:space="preserve">מדרס מג'ל לאשה</t>
  </si>
  <si>
    <t xml:space="preserve">עקב סיליקון שטוח</t>
  </si>
  <si>
    <t xml:space="preserve">סט פלסטרים הידרוקולואידים 313</t>
  </si>
  <si>
    <t xml:space="preserve">כרית להפרדת אצבע</t>
  </si>
  <si>
    <t xml:space="preserve">טבעת אלסטית מסי</t>
  </si>
  <si>
    <t xml:space="preserve">מדבקה רב פעמית ל</t>
  </si>
  <si>
    <t xml:space="preserve">מדבקה לשחרור לחץ</t>
  </si>
  <si>
    <t xml:space="preserve">ריפוד סיליקון לעקב אחורי</t>
  </si>
  <si>
    <t xml:space="preserve">ריפוד סיליקון לכרית כף הרגל</t>
  </si>
  <si>
    <t xml:space="preserve">קוצץ ציפורניים</t>
  </si>
  <si>
    <t xml:space="preserve">פומפיה להסרת עור</t>
  </si>
  <si>
    <t xml:space="preserve">אבן שיוף להסירת</t>
  </si>
  <si>
    <t xml:space="preserve">(Unassigned / adjustment row - no item code in source)</t>
  </si>
  <si>
    <t xml:space="preserve">חגורת בטן עממית</t>
  </si>
  <si>
    <t xml:space="preserve">ICE &amp; GO</t>
  </si>
  <si>
    <t xml:space="preserve">חגורת בטן קלה</t>
  </si>
  <si>
    <t xml:space="preserve">חבק יד</t>
  </si>
  <si>
    <t xml:space="preserve">סד יד</t>
  </si>
  <si>
    <t xml:space="preserve">מגן קרסול</t>
  </si>
  <si>
    <t xml:space="preserve">מגן ברך עם כרית ג'ל</t>
  </si>
  <si>
    <t xml:space="preserve">חגורת גב</t>
  </si>
  <si>
    <t xml:space="preserve">חגורה מותנית צרה</t>
  </si>
  <si>
    <t xml:space="preserve">חגורת גב עם חיזוק</t>
  </si>
  <si>
    <t xml:space="preserve">חגורת לומבו-סקרל-צבע</t>
  </si>
  <si>
    <t xml:space="preserve">חגורת גב-לומבו</t>
  </si>
  <si>
    <t xml:space="preserve">חגורה למנותחי בטן</t>
  </si>
  <si>
    <t xml:space="preserve">חגורה אחרי ניתוח שחור</t>
  </si>
  <si>
    <t xml:space="preserve">חגורת בטן עממית אפור</t>
  </si>
  <si>
    <t xml:space="preserve">תגורת שבר בטבור לתינוקות</t>
  </si>
  <si>
    <t xml:space="preserve">חגורת צלעות לאשה</t>
  </si>
  <si>
    <t xml:space="preserve">חגורת הריון מכנס</t>
  </si>
  <si>
    <t xml:space="preserve">WRISTO STRAP חבק יד</t>
  </si>
  <si>
    <t xml:space="preserve">כפפת לחץ</t>
  </si>
  <si>
    <t xml:space="preserve">כפפת אגודל לחץ</t>
  </si>
  <si>
    <t xml:space="preserve">סד לאצבע הדק</t>
  </si>
  <si>
    <t xml:space="preserve">URIEL STRAP4U BLACK L-XL</t>
  </si>
  <si>
    <t xml:space="preserve">URIEL STRAP4U BLACK S-M</t>
  </si>
  <si>
    <t xml:space="preserve">URIEL STRAP4U PINK S-M</t>
  </si>
  <si>
    <t xml:space="preserve">URIEL STRAP4U TR L-XL</t>
  </si>
  <si>
    <t xml:space="preserve">סד יד שמאל  שחור</t>
  </si>
  <si>
    <t xml:space="preserve">סד יד שחור</t>
  </si>
  <si>
    <t xml:space="preserve">סד יד שמאל  בז' XXL</t>
  </si>
  <si>
    <t xml:space="preserve">סד יד שמאל  בז'  L-XL</t>
  </si>
  <si>
    <t xml:space="preserve">סד יד שמאל  בז'  S-M</t>
  </si>
  <si>
    <t xml:space="preserve">סד יד  בז'</t>
  </si>
  <si>
    <t xml:space="preserve">מגן קרסול מתכוון</t>
  </si>
  <si>
    <t xml:space="preserve">שלושים ימי ניסיון</t>
  </si>
  <si>
    <t xml:space="preserve">שלושים לילות ניסיון</t>
  </si>
  <si>
    <t xml:space="preserve">רפידת ג'ל זיכרון M בז'</t>
  </si>
  <si>
    <t xml:space="preserve">רפידת ג'ל זיכרון M כחול</t>
  </si>
  <si>
    <t xml:space="preserve">רפידת ג'ל זיכרון W כחול</t>
  </si>
  <si>
    <t xml:space="preserve">מידרסים מסיליקון</t>
  </si>
  <si>
    <t xml:space="preserve">מדבקה ג'ל למניעת יבלות</t>
  </si>
  <si>
    <t xml:space="preserve">מדבקה גדולה מסיליקון</t>
  </si>
  <si>
    <t xml:space="preserve">סד קרסול</t>
  </si>
  <si>
    <t xml:space="preserve">בליסטר פלסטר</t>
  </si>
  <si>
    <t xml:space="preserve">מגן קרסול עם תמיכה</t>
  </si>
  <si>
    <t xml:space="preserve">שרוול מטטרזלי מסיליקון</t>
  </si>
  <si>
    <t xml:space="preserve">מדבקה מסיליקון ל</t>
  </si>
  <si>
    <t xml:space="preserve">טבעת אלסטית מסיליקון</t>
  </si>
  <si>
    <t xml:space="preserve">מפריד הלוקס עם כרית</t>
  </si>
  <si>
    <t xml:space="preserve">מגן בוניון עדין לנעל צרה</t>
  </si>
  <si>
    <t xml:space="preserve">רפידה לילדים אנטי ריח</t>
  </si>
  <si>
    <t xml:space="preserve">רפידת מגבת כותנה</t>
  </si>
  <si>
    <t xml:space="preserve">רפידת זיכרון 376</t>
  </si>
  <si>
    <t xml:space="preserve">מדרסי ג'ל קומפורט</t>
  </si>
  <si>
    <t xml:space="preserve">מדרסי ג'ל מולטי ספורט</t>
  </si>
  <si>
    <t xml:space="preserve">מדרסי ג'ל וורק</t>
  </si>
  <si>
    <t xml:space="preserve">גרבי נוחות חורף שחור</t>
  </si>
  <si>
    <t xml:space="preserve">גרבי נוחות חורף אפור</t>
  </si>
  <si>
    <t xml:space="preserve">גרבי נוחות חורף לבן</t>
  </si>
  <si>
    <t xml:space="preserve">גרבי חורף אנטיבקטריאלי שחור</t>
  </si>
  <si>
    <t xml:space="preserve">גרבי חורף אנטיבקטריאלי לבן</t>
  </si>
  <si>
    <t xml:space="preserve">גרבי נוחות קיץ אפור</t>
  </si>
  <si>
    <t xml:space="preserve">גרבי קיץ אנטיבקטריאלי לבן</t>
  </si>
  <si>
    <t xml:space="preserve">מגן ברך מוצלב+מוט</t>
  </si>
  <si>
    <t xml:space="preserve">מגן ברך סיליקון - אנטומיק</t>
  </si>
  <si>
    <t xml:space="preserve">מ. ברך אפור + כרית סיליקון</t>
  </si>
  <si>
    <t xml:space="preserve">מגן ברך + כרית סיליקון+ רצועות</t>
  </si>
  <si>
    <t xml:space="preserve">מגן ברך שחור</t>
  </si>
  <si>
    <t xml:space="preserve">מגן ברך ארוך בז'</t>
  </si>
  <si>
    <t xml:space="preserve">מגן ברך מחמם</t>
  </si>
  <si>
    <t xml:space="preserve">מגן ירך</t>
  </si>
  <si>
    <t xml:space="preserve">מגן ירך לאחר ניתוח</t>
  </si>
  <si>
    <t xml:space="preserve">סופורטר</t>
  </si>
  <si>
    <t xml:space="preserve">מגן אתלטי לגבר-תומך ספורטיבי לאשכים</t>
  </si>
  <si>
    <t xml:space="preserve">חגורת שבר שחור</t>
  </si>
  <si>
    <t xml:space="preserve">צווארון ספוג</t>
  </si>
  <si>
    <t xml:space="preserve">חגורת גב+מיישר+תמיכה בית שחי</t>
  </si>
  <si>
    <t xml:space="preserve">תחבושת אלסטית רפואית</t>
  </si>
  <si>
    <t xml:space="preserve">טייפ חבישה לספורט שחור</t>
  </si>
  <si>
    <t xml:space="preserve">טיפ תחבושת לספורט כחול</t>
  </si>
  <si>
    <t xml:space="preserve">טייפ חבישה לספורט בז'</t>
  </si>
  <si>
    <t xml:space="preserve">טייפ חבישה לספורט לבן</t>
  </si>
  <si>
    <t xml:space="preserve">אטלטיק טייפ</t>
  </si>
  <si>
    <t xml:space="preserve">תחבושת נצמדת צבע בז'</t>
  </si>
  <si>
    <t xml:space="preserve">כרית חום וקור</t>
  </si>
  <si>
    <t xml:space="preserve">מיתלה שרוול</t>
  </si>
  <si>
    <t xml:space="preserve">מגן כתף להמיפלגיה</t>
  </si>
  <si>
    <t xml:space="preserve">מגן מרפק בז'</t>
  </si>
  <si>
    <t xml:space="preserve">מגן מרפק אפור</t>
  </si>
  <si>
    <t xml:space="preserve">חגורת גב עם תמיכות</t>
  </si>
  <si>
    <t xml:space="preserve">חבק לשורש כף היד</t>
  </si>
  <si>
    <t xml:space="preserve">AC27</t>
  </si>
  <si>
    <t xml:space="preserve">רצועה לפיקת הברך</t>
  </si>
  <si>
    <t xml:space="preserve">מגן ברך + צירים</t>
  </si>
  <si>
    <t xml:space="preserve">מגן ברך עם תמיכות</t>
  </si>
  <si>
    <t xml:space="preserve">מלח אמבט לכף הרגל</t>
  </si>
  <si>
    <t xml:space="preserve">נוזל לריכוך ציפורן חודרנית</t>
  </si>
  <si>
    <t xml:space="preserve">משלוח חינם</t>
  </si>
  <si>
    <t xml:space="preserve">משלוח בארץ</t>
  </si>
  <si>
    <t xml:space="preserve">משלוח מהיר</t>
  </si>
  <si>
    <t xml:space="preserve">איסוף מנקודת מסירה</t>
  </si>
  <si>
    <t xml:space="preserve">מכשיר עיסוי ויטלימד פלקסי - פלוס שחור</t>
  </si>
  <si>
    <t xml:space="preserve">מכשיר עיסוי ויטלימד פלקסי - פלוס קרם</t>
  </si>
  <si>
    <t xml:space="preserve">כרית עיסוי ויטלימד סופט - פלוס</t>
  </si>
  <si>
    <t xml:space="preserve">כיסוי מכשיר עיסוי ויטלימד פלקסי שחור</t>
  </si>
  <si>
    <t xml:space="preserve">כיסוי מכשיר עיסוי ויטלימד פלקסי חום</t>
  </si>
  <si>
    <t xml:space="preserve">כיסוי מכשיר עיסוי ויטלימד פלקסי אפור</t>
  </si>
  <si>
    <t xml:space="preserve">כיסוי מכשיר עיסוי ויטלימד פלקסי נייבי</t>
  </si>
  <si>
    <t xml:space="preserve">כיסוי מכשיר עיסוי ויטלימד פלקסי לבן</t>
  </si>
  <si>
    <t xml:space="preserve">כיסוי כרית עיסוי ויטלימד סופט - פלוס קרם</t>
  </si>
  <si>
    <t xml:space="preserve">כיסוי כרית עיסוי ויטלימד סופט - פלוס ירוק ליים</t>
  </si>
  <si>
    <t xml:space="preserve">כיסוי כרית עיסוי ויטלימד סופט - פלוס אפור בהיר</t>
  </si>
  <si>
    <t xml:space="preserve">כיסוי כרית עיסוי ויטלימד סופט - פלוס נייבי</t>
  </si>
  <si>
    <t xml:space="preserve">כיסוי כרית עיסוי ויטלימד סופט - פלוס סהרה</t>
  </si>
  <si>
    <t xml:space="preserve">כיסוי כרית עיסוי ויטלימד סופט - פלוס טורקיז</t>
  </si>
  <si>
    <t xml:space="preserve">מכשיר להסרת עור</t>
  </si>
  <si>
    <t xml:space="preserve">סכין להחלפה</t>
  </si>
  <si>
    <t xml:space="preserve">TaluAirShield | מקבע קרסול</t>
  </si>
  <si>
    <t xml:space="preserve">מדרס ג'ל ספורט לאשה</t>
  </si>
  <si>
    <t xml:space="preserve">מגן ברך ST+צירD+כרית סיליקון</t>
  </si>
  <si>
    <t xml:space="preserve">מ.ברך</t>
  </si>
  <si>
    <t xml:space="preserve">חגורת אגן  צר מנאופרן</t>
  </si>
  <si>
    <t xml:space="preserve">מגן קרסול+צמדן-לכו</t>
  </si>
  <si>
    <t xml:space="preserve">מ.שוק רגיל</t>
  </si>
  <si>
    <t xml:space="preserve">רצועה לפטלה עם כרית סיליקון</t>
  </si>
  <si>
    <t xml:space="preserve">מגן ברך גנופיקס</t>
  </si>
  <si>
    <t xml:space="preserve">מגן ברך גנופיקס +</t>
  </si>
  <si>
    <t xml:space="preserve">מגן ברך עם סגר צמד</t>
  </si>
  <si>
    <t xml:space="preserve">מגן ברך משופר עם צ</t>
  </si>
  <si>
    <t xml:space="preserve">מגן ברך +חור לפיקה</t>
  </si>
  <si>
    <t xml:space="preserve">מגן מרפק רגיל</t>
  </si>
  <si>
    <t xml:space="preserve">ריפוד סיליקון לנעלי אצבע</t>
  </si>
  <si>
    <t xml:space="preserve">ריפוד סיליקון לעקב תחתון</t>
  </si>
  <si>
    <t xml:space="preserve">מדרס סיליקון לנעלי עקב</t>
  </si>
  <si>
    <t xml:space="preserve">סטנד URIEL לבן  מתכת 20 סמ לבתי מרקחת</t>
  </si>
  <si>
    <t xml:space="preserve">סטנד URIEL שחור מסתובב מתכת 35 ס''מ לבתי מרקחת</t>
  </si>
  <si>
    <t xml:space="preserve">מתלה יד-ספוגי</t>
  </si>
  <si>
    <t xml:space="preserve">חגורת שבר</t>
  </si>
  <si>
    <t xml:space="preserve">הפרשים אמזון</t>
  </si>
  <si>
    <t xml:space="preserve">קרם לרגלים X 3</t>
  </si>
  <si>
    <t xml:space="preserve">קיט טיפות + 365 XL</t>
  </si>
  <si>
    <t xml:space="preserve">טיטניום קורקטור – ערכה לציפורן חודרנית</t>
  </si>
  <si>
    <t xml:space="preserve">מכשיר ליצוב הבוהן שמעל</t>
  </si>
  <si>
    <t xml:space="preserve">צוארון ספוגי צבע</t>
  </si>
  <si>
    <t xml:space="preserve">סד קרסול קל שחור S</t>
  </si>
  <si>
    <t xml:space="preserve">סד קרסול קל שחור XXL</t>
  </si>
  <si>
    <t xml:space="preserve">מגן למפרק כתף</t>
  </si>
  <si>
    <t xml:space="preserve">מגן ברך+ציר H</t>
  </si>
  <si>
    <t xml:space="preserve">מגן ברך עם רצועות</t>
  </si>
  <si>
    <t xml:space="preserve">מפריד בוהן עם רצועה</t>
  </si>
  <si>
    <t xml:space="preserve">גרבי במבוק</t>
  </si>
  <si>
    <t xml:space="preserve">סטנד שחור URIEL  מתפרק גב</t>
  </si>
  <si>
    <t xml:space="preserve">טייפ בסיס מקדים</t>
  </si>
  <si>
    <t xml:space="preserve">מגן ברך מנאופרן 2 ממ שחור</t>
  </si>
  <si>
    <t xml:space="preserve">MalleoShield תומך קרסול עם כריות ג'ל</t>
  </si>
  <si>
    <t xml:space="preserve">גינושילד פרו מייצב ברך עם צירים- שמאל</t>
  </si>
  <si>
    <t xml:space="preserve">חגורת גב + מוטות</t>
  </si>
  <si>
    <t xml:space="preserve">ThermaSpine חגורת גב תרמית לתמיכה</t>
  </si>
  <si>
    <t xml:space="preserve">תרמה קרסול</t>
  </si>
  <si>
    <t xml:space="preserve">תרמה ברך</t>
  </si>
  <si>
    <t xml:space="preserve">ח.גב אורירית (30)</t>
  </si>
  <si>
    <t xml:space="preserve">סטנד כף רגל מסתובב חדש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</si>
</sst>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#,##0"/>
    <numFmt numFmtId="167" formatCode="0%"/>
    <numFmt numFmtId="168" formatCode="0.0"/>
    <numFmt numFmtId="169" formatCode="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8" min="5" style="0" width="1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7" min="16" style="0" width="14"/>
    <col collapsed="false" customWidth="true" hidden="false" outlineLevel="0" max="18" min="18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39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customFormat="false" ht="15" hidden="false" customHeight="false" outlineLevel="0" collapsed="false">
      <c r="A6" s="6" t="s">
        <v>21</v>
      </c>
      <c r="B6" s="7" t="s">
        <v>22</v>
      </c>
      <c r="C6" s="7" t="s">
        <v>23</v>
      </c>
      <c r="D6" s="8" t="n">
        <f aca="false">COUNTA('קופת חולים כללית'!$A$9:$A$41)</f>
        <v>33</v>
      </c>
      <c r="E6" s="8" t="n">
        <f aca="false">SUMPRODUCT(--(('קופת חולים כללית'!$C$9:$C$41&lt;&gt;0)+('קופת חולים כללית'!$H$9:$H$41&lt;&gt;0)&gt;0))</f>
        <v>32</v>
      </c>
      <c r="F6" s="8" t="n">
        <f aca="false">SUMPRODUCT(--(('קופת חולים כללית'!$D$9:$D$41&lt;&gt;0)+('קופת חולים כללית'!$I$9:$I$41&lt;&gt;0)&gt;0))</f>
        <v>32</v>
      </c>
      <c r="G6" s="8" t="n">
        <f aca="false">'קופת חולים כללית'!B5</f>
        <v>1</v>
      </c>
      <c r="H6" s="8" t="n">
        <f aca="false">'קופת חולים כללית'!D5</f>
        <v>1</v>
      </c>
      <c r="I6" s="8" t="n">
        <f aca="false">'קופת חולים כללית'!B6</f>
        <v>-1</v>
      </c>
      <c r="J6" s="8" t="n">
        <f aca="false">'קופת חולים כללית'!D6</f>
        <v>-62.43</v>
      </c>
      <c r="K6" s="8" t="n">
        <f aca="false">'קופת חולים כללית'!F6</f>
        <v>-2</v>
      </c>
      <c r="L6" s="8" t="n">
        <f aca="false">'קופת חולים כללית'!H6</f>
        <v>-1176</v>
      </c>
      <c r="M6" s="8" t="n">
        <f aca="false">'קופת חולים כללית'!C43</f>
        <v>152395</v>
      </c>
      <c r="N6" s="8" t="n">
        <f aca="false">'קופת חולים כללית'!D43</f>
        <v>110137</v>
      </c>
      <c r="O6" s="9" t="n">
        <f aca="false">IF('קופת חולים כללית'!C43=0,"N/A",('קופת חולים כללית'!D43-'קופת חולים כללית'!C43)/'קופת חולים כללית'!C43)</f>
        <v>-0.277292562091932</v>
      </c>
      <c r="P6" s="8" t="n">
        <f aca="false">'קופת חולים כללית'!H43</f>
        <v>3809616.42</v>
      </c>
      <c r="Q6" s="8" t="n">
        <f aca="false">'קופת חולים כללית'!I43</f>
        <v>2569653.05</v>
      </c>
      <c r="R6" s="9" t="n">
        <f aca="false">IF('קופת חולים כללית'!H43=0,"N/A",('קופת חולים כללית'!I43-'קופת חולים כללית'!H43)/'קופת חולים כללית'!H43)</f>
        <v>-0.325482472064734</v>
      </c>
    </row>
    <row r="7" customFormat="false" ht="15" hidden="false" customHeight="false" outlineLevel="0" collapsed="false">
      <c r="A7" s="6" t="s">
        <v>24</v>
      </c>
      <c r="B7" s="7" t="s">
        <v>24</v>
      </c>
      <c r="C7" s="7" t="s">
        <v>23</v>
      </c>
      <c r="D7" s="8" t="n">
        <f aca="false">COUNTA('155138 לקוח אינטרנט'!$A$9:$A$728)</f>
        <v>720</v>
      </c>
      <c r="E7" s="8" t="n">
        <f aca="false">SUMPRODUCT(--(('155138 לקוח אינטרנט'!$C$9:$C$728&lt;&gt;0)+('155138 לקוח אינטרנט'!$H$9:$H$728&lt;&gt;0)&gt;0))</f>
        <v>618</v>
      </c>
      <c r="F7" s="8" t="n">
        <f aca="false">SUMPRODUCT(--(('155138 לקוח אינטרנט'!$D$9:$D$728&lt;&gt;0)+('155138 לקוח אינטרנט'!$I$9:$I$728&lt;&gt;0)&gt;0))</f>
        <v>632</v>
      </c>
      <c r="G7" s="8" t="n">
        <f aca="false">'155138 לקוח אינטרנט'!B5</f>
        <v>88</v>
      </c>
      <c r="H7" s="8" t="n">
        <f aca="false">'155138 לקוח אינטרנט'!D5</f>
        <v>102</v>
      </c>
      <c r="I7" s="8" t="n">
        <f aca="false">'155138 לקוח אינטרנט'!B6</f>
        <v>580</v>
      </c>
      <c r="J7" s="8" t="n">
        <f aca="false">'155138 לקוח אינטרנט'!D6</f>
        <v>69822.79</v>
      </c>
      <c r="K7" s="8" t="n">
        <f aca="false">'155138 לקוח אינטרנט'!F6</f>
        <v>2375</v>
      </c>
      <c r="L7" s="8" t="n">
        <f aca="false">'155138 לקוח אינטרנט'!H6</f>
        <v>147591.2</v>
      </c>
      <c r="M7" s="8" t="n">
        <f aca="false">'155138 לקוח אינטרנט'!C730</f>
        <v>20444</v>
      </c>
      <c r="N7" s="8" t="n">
        <f aca="false">'155138 לקוח אינטרנט'!D730</f>
        <v>28580</v>
      </c>
      <c r="O7" s="9" t="n">
        <f aca="false">IF('155138 לקוח אינטרנט'!C730=0,"N/A",('155138 לקוח אינטרנט'!D730-'155138 לקוח אינטרנט'!C730)/'155138 לקוח אינטרנט'!C730)</f>
        <v>0.397965173155938</v>
      </c>
      <c r="P7" s="8" t="n">
        <f aca="false">'155138 לקוח אינטרנט'!H730</f>
        <v>1655344.28</v>
      </c>
      <c r="Q7" s="8" t="n">
        <f aca="false">'155138 לקוח אינטרנט'!I730</f>
        <v>3196334.61</v>
      </c>
      <c r="R7" s="9" t="n">
        <f aca="false">IF('155138 לקוח אינטרנט'!H730=0,"N/A",('155138 לקוח אינטרנט'!I730-'155138 לקוח אינטרנט'!H730)/'155138 לקוח אינטרנט'!H730)</f>
        <v>0.930918328361276</v>
      </c>
    </row>
    <row r="8" customFormat="false" ht="15" hidden="false" customHeight="false" outlineLevel="0" collapsed="false">
      <c r="A8" s="6" t="s">
        <v>25</v>
      </c>
      <c r="B8" s="7" t="s">
        <v>25</v>
      </c>
      <c r="C8" s="7" t="s">
        <v>23</v>
      </c>
      <c r="D8" s="8" t="n">
        <f aca="false">COUNTA('160251 AMAZON'!$A$9:$A$87)</f>
        <v>79</v>
      </c>
      <c r="E8" s="8" t="n">
        <f aca="false">SUMPRODUCT(--(('160251 AMAZON'!$C$9:$C$87&lt;&gt;0)+('160251 AMAZON'!$H$9:$H$87&lt;&gt;0)&gt;0))</f>
        <v>73</v>
      </c>
      <c r="F8" s="8" t="n">
        <f aca="false">SUMPRODUCT(--(('160251 AMAZON'!$D$9:$D$87&lt;&gt;0)+('160251 AMAZON'!$I$9:$I$87&lt;&gt;0)&gt;0))</f>
        <v>62</v>
      </c>
      <c r="G8" s="8" t="n">
        <f aca="false">'160251 AMAZON'!B5</f>
        <v>17</v>
      </c>
      <c r="H8" s="8" t="n">
        <f aca="false">'160251 AMAZON'!D5</f>
        <v>6</v>
      </c>
      <c r="I8" s="8" t="n">
        <f aca="false">'160251 AMAZON'!B6</f>
        <v>448</v>
      </c>
      <c r="J8" s="8" t="n">
        <f aca="false">'160251 AMAZON'!D6</f>
        <v>94856.4</v>
      </c>
      <c r="K8" s="8" t="n">
        <f aca="false">'160251 AMAZON'!F6</f>
        <v>47</v>
      </c>
      <c r="L8" s="8" t="n">
        <f aca="false">'160251 AMAZON'!H6</f>
        <v>3274.06</v>
      </c>
      <c r="M8" s="8" t="n">
        <f aca="false">'160251 AMAZON'!C89</f>
        <v>27158</v>
      </c>
      <c r="N8" s="8" t="n">
        <f aca="false">'160251 AMAZON'!D89</f>
        <v>18808</v>
      </c>
      <c r="O8" s="9" t="n">
        <f aca="false">IF('160251 AMAZON'!C89=0,"N/A",('160251 AMAZON'!D89-'160251 AMAZON'!C89)/'160251 AMAZON'!C89)</f>
        <v>-0.307460048604463</v>
      </c>
      <c r="P8" s="8" t="n">
        <f aca="false">'160251 AMAZON'!H89</f>
        <v>2705391.22</v>
      </c>
      <c r="Q8" s="8" t="n">
        <f aca="false">'160251 AMAZON'!I89</f>
        <v>1632890.82</v>
      </c>
      <c r="R8" s="9" t="n">
        <f aca="false">IF('160251 AMAZON'!H89=0,"N/A",('160251 AMAZON'!I89-'160251 AMAZON'!H89)/'160251 AMAZON'!H89)</f>
        <v>-0.396430797908777</v>
      </c>
    </row>
    <row r="9" customFormat="false" ht="15" hidden="false" customHeight="false" outlineLevel="0" collapsed="false">
      <c r="A9" s="6" t="s">
        <v>26</v>
      </c>
      <c r="B9" s="7" t="s">
        <v>26</v>
      </c>
      <c r="C9" s="7" t="s">
        <v>23</v>
      </c>
      <c r="D9" s="8" t="n">
        <f aca="false">COUNTA('150390 סופר פארם ישראל'!$A$9:$A$29)</f>
        <v>21</v>
      </c>
      <c r="E9" s="8" t="n">
        <f aca="false">SUMPRODUCT(--(('150390 סופר פארם ישראל'!$C$9:$C$29&lt;&gt;0)+('150390 סופר פארם ישראל'!$H$9:$H$29&lt;&gt;0)&gt;0))</f>
        <v>21</v>
      </c>
      <c r="F9" s="8" t="n">
        <f aca="false">SUMPRODUCT(--(('150390 סופר פארם ישראל'!$D$9:$D$29&lt;&gt;0)+('150390 סופר פארם ישראל'!$I$9:$I$29&lt;&gt;0)&gt;0))</f>
        <v>20</v>
      </c>
      <c r="G9" s="8" t="n">
        <f aca="false">'150390 סופר פארם ישראל'!B5</f>
        <v>1</v>
      </c>
      <c r="H9" s="8" t="n">
        <f aca="false">'150390 סופר פארם ישראל'!D5</f>
        <v>0</v>
      </c>
      <c r="I9" s="8" t="n">
        <f aca="false">'150390 סופר פארם ישראל'!B6</f>
        <v>0</v>
      </c>
      <c r="J9" s="8" t="n">
        <f aca="false">'150390 סופר פארם ישראל'!D6</f>
        <v>7427.59</v>
      </c>
      <c r="K9" s="8" t="n">
        <f aca="false">'150390 סופר פארם ישראל'!F6</f>
        <v>0</v>
      </c>
      <c r="L9" s="8" t="n">
        <f aca="false">'150390 סופר פארם ישראל'!H6</f>
        <v>0</v>
      </c>
      <c r="M9" s="8" t="n">
        <f aca="false">'150390 סופר פארם ישראל'!C31</f>
        <v>118392</v>
      </c>
      <c r="N9" s="8" t="n">
        <f aca="false">'150390 סופר פארם ישראל'!D31</f>
        <v>62455</v>
      </c>
      <c r="O9" s="9" t="n">
        <f aca="false">IF('150390 סופר פארם ישראל'!C31=0,"N/A",('150390 סופר פארם ישראל'!D31-'150390 סופר פארם ישראל'!C31)/'150390 סופר פארם ישראל'!C31)</f>
        <v>-0.472472802216366</v>
      </c>
      <c r="P9" s="8" t="n">
        <f aca="false">'150390 סופר פארם ישראל'!H31</f>
        <v>1708656.85</v>
      </c>
      <c r="Q9" s="8" t="n">
        <f aca="false">'150390 סופר פארם ישראל'!I31</f>
        <v>1113833.85</v>
      </c>
      <c r="R9" s="9" t="n">
        <f aca="false">IF('150390 סופר פארם ישראל'!H31=0,"N/A",('150390 סופר פארם ישראל'!I31-'150390 סופר פארם ישראל'!H31)/'150390 סופר פארם ישראל'!H31)</f>
        <v>-0.348123147137472</v>
      </c>
    </row>
    <row r="10" customFormat="false" ht="15" hidden="false" customHeight="false" outlineLevel="0" collapsed="false">
      <c r="A10" s="6" t="s">
        <v>27</v>
      </c>
      <c r="B10" s="7" t="s">
        <v>28</v>
      </c>
      <c r="C10" s="7" t="s">
        <v>23</v>
      </c>
      <c r="D10" s="8" t="n">
        <f aca="false">COUNTA('160134 SUPER-PHARM HOLDING. SP'!$A$9:$A$143)</f>
        <v>135</v>
      </c>
      <c r="E10" s="8" t="n">
        <f aca="false">SUMPRODUCT(--(('160134 SUPER-PHARM HOLDING. SP'!$C$9:$C$143&lt;&gt;0)+('160134 SUPER-PHARM HOLDING. SP'!$H$9:$H$143&lt;&gt;0)&gt;0))</f>
        <v>130</v>
      </c>
      <c r="F10" s="8" t="n">
        <f aca="false">SUMPRODUCT(--(('160134 SUPER-PHARM HOLDING. SP'!$D$9:$D$143&lt;&gt;0)+('160134 SUPER-PHARM HOLDING. SP'!$I$9:$I$143&lt;&gt;0)&gt;0))</f>
        <v>123</v>
      </c>
      <c r="G10" s="8" t="n">
        <f aca="false">'160134 SUPER-PHARM HOLDING. SP'!B5</f>
        <v>12</v>
      </c>
      <c r="H10" s="8" t="n">
        <f aca="false">'160134 SUPER-PHARM HOLDING. SP'!D5</f>
        <v>5</v>
      </c>
      <c r="I10" s="8" t="n">
        <f aca="false">'160134 SUPER-PHARM HOLDING. SP'!B6</f>
        <v>3550</v>
      </c>
      <c r="J10" s="8" t="n">
        <f aca="false">'160134 SUPER-PHARM HOLDING. SP'!D6</f>
        <v>92320.46</v>
      </c>
      <c r="K10" s="8" t="n">
        <f aca="false">'160134 SUPER-PHARM HOLDING. SP'!F6</f>
        <v>250</v>
      </c>
      <c r="L10" s="8" t="n">
        <f aca="false">'160134 SUPER-PHARM HOLDING. SP'!H6</f>
        <v>11540.57</v>
      </c>
      <c r="M10" s="8" t="n">
        <f aca="false">'160134 SUPER-PHARM HOLDING. SP'!C145</f>
        <v>48363</v>
      </c>
      <c r="N10" s="8" t="n">
        <f aca="false">'160134 SUPER-PHARM HOLDING. SP'!D145</f>
        <v>28188</v>
      </c>
      <c r="O10" s="9" t="n">
        <f aca="false">IF('160134 SUPER-PHARM HOLDING. SP'!C145=0,"N/A",('160134 SUPER-PHARM HOLDING. SP'!D145-'160134 SUPER-PHARM HOLDING. SP'!C145)/'160134 SUPER-PHARM HOLDING. SP'!C145)</f>
        <v>-0.417157744556789</v>
      </c>
      <c r="P10" s="8" t="n">
        <f aca="false">'160134 SUPER-PHARM HOLDING. SP'!H145</f>
        <v>902537.64</v>
      </c>
      <c r="Q10" s="8" t="n">
        <f aca="false">'160134 SUPER-PHARM HOLDING. SP'!I145</f>
        <v>474182.59</v>
      </c>
      <c r="R10" s="9" t="n">
        <f aca="false">IF('160134 SUPER-PHARM HOLDING. SP'!H145=0,"N/A",('160134 SUPER-PHARM HOLDING. SP'!I145-'160134 SUPER-PHARM HOLDING. SP'!H145)/'160134 SUPER-PHARM HOLDING. SP'!H145)</f>
        <v>-0.474611840011459</v>
      </c>
    </row>
    <row r="11" customFormat="false" ht="15" hidden="false" customHeight="false" outlineLevel="0" collapsed="false">
      <c r="A11" s="6" t="s">
        <v>29</v>
      </c>
      <c r="B11" s="7" t="s">
        <v>29</v>
      </c>
      <c r="C11" s="7" t="s">
        <v>23</v>
      </c>
      <c r="D11" s="8" t="n">
        <f aca="false">COUNTA('160351 ORTHO- PARTNER AG.'!$A$9:$A$119)</f>
        <v>111</v>
      </c>
      <c r="E11" s="8" t="n">
        <f aca="false">SUMPRODUCT(--(('160351 ORTHO- PARTNER AG.'!$C$9:$C$119&lt;&gt;0)+('160351 ORTHO- PARTNER AG.'!$H$9:$H$119&lt;&gt;0)&gt;0))</f>
        <v>99</v>
      </c>
      <c r="F11" s="8" t="n">
        <f aca="false">SUMPRODUCT(--(('160351 ORTHO- PARTNER AG.'!$D$9:$D$119&lt;&gt;0)+('160351 ORTHO- PARTNER AG.'!$I$9:$I$119&lt;&gt;0)&gt;0))</f>
        <v>78</v>
      </c>
      <c r="G11" s="8" t="n">
        <f aca="false">'160351 ORTHO- PARTNER AG.'!B5</f>
        <v>33</v>
      </c>
      <c r="H11" s="8" t="n">
        <f aca="false">'160351 ORTHO- PARTNER AG.'!D5</f>
        <v>12</v>
      </c>
      <c r="I11" s="8" t="n">
        <f aca="false">'160351 ORTHO- PARTNER AG.'!B6</f>
        <v>563</v>
      </c>
      <c r="J11" s="8" t="n">
        <f aca="false">'160351 ORTHO- PARTNER AG.'!D6</f>
        <v>21452.36</v>
      </c>
      <c r="K11" s="8" t="n">
        <f aca="false">'160351 ORTHO- PARTNER AG.'!F6</f>
        <v>131</v>
      </c>
      <c r="L11" s="8" t="n">
        <f aca="false">'160351 ORTHO- PARTNER AG.'!H6</f>
        <v>4054.38</v>
      </c>
      <c r="M11" s="8" t="n">
        <f aca="false">'160351 ORTHO- PARTNER AG.'!C121</f>
        <v>6959</v>
      </c>
      <c r="N11" s="8" t="n">
        <f aca="false">'160351 ORTHO- PARTNER AG.'!D121</f>
        <v>6740</v>
      </c>
      <c r="O11" s="9" t="n">
        <f aca="false">IF('160351 ORTHO- PARTNER AG.'!C121=0,"N/A",('160351 ORTHO- PARTNER AG.'!D121-'160351 ORTHO- PARTNER AG.'!C121)/'160351 ORTHO- PARTNER AG.'!C121)</f>
        <v>-0.031470038798678</v>
      </c>
      <c r="P11" s="8" t="n">
        <f aca="false">'160351 ORTHO- PARTNER AG.'!H121</f>
        <v>405920.85</v>
      </c>
      <c r="Q11" s="8" t="n">
        <f aca="false">'160351 ORTHO- PARTNER AG.'!I121</f>
        <v>344263.09</v>
      </c>
      <c r="R11" s="9" t="n">
        <f aca="false">IF('160351 ORTHO- PARTNER AG.'!H121=0,"N/A",('160351 ORTHO- PARTNER AG.'!I121-'160351 ORTHO- PARTNER AG.'!H121)/'160351 ORTHO- PARTNER AG.'!H121)</f>
        <v>-0.15189601618148</v>
      </c>
    </row>
    <row r="12" customFormat="false" ht="15" hidden="false" customHeight="false" outlineLevel="0" collapsed="false">
      <c r="A12" s="6" t="s">
        <v>30</v>
      </c>
      <c r="B12" s="7" t="s">
        <v>30</v>
      </c>
      <c r="C12" s="7" t="s">
        <v>23</v>
      </c>
      <c r="D12" s="8" t="n">
        <f aca="false">COUNTA('160955 ORTOPROFIL PROD. ROMANIA'!$A$9:$A$99)</f>
        <v>91</v>
      </c>
      <c r="E12" s="8" t="n">
        <f aca="false">SUMPRODUCT(--(('160955 ORTOPROFIL PROD. ROMANIA'!$C$9:$C$99&lt;&gt;0)+('160955 ORTOPROFIL PROD. ROMANIA'!$H$9:$H$99&lt;&gt;0)&gt;0))</f>
        <v>83</v>
      </c>
      <c r="F12" s="8" t="n">
        <f aca="false">SUMPRODUCT(--(('160955 ORTOPROFIL PROD. ROMANIA'!$D$9:$D$99&lt;&gt;0)+('160955 ORTOPROFIL PROD. ROMANIA'!$I$9:$I$99&lt;&gt;0)&gt;0))</f>
        <v>74</v>
      </c>
      <c r="G12" s="8" t="n">
        <f aca="false">'160955 ORTOPROFIL PROD. ROMANIA'!B5</f>
        <v>17</v>
      </c>
      <c r="H12" s="8" t="n">
        <f aca="false">'160955 ORTOPROFIL PROD. ROMANIA'!D5</f>
        <v>8</v>
      </c>
      <c r="I12" s="8" t="n">
        <f aca="false">'160955 ORTOPROFIL PROD. ROMANIA'!B6</f>
        <v>184</v>
      </c>
      <c r="J12" s="8" t="n">
        <f aca="false">'160955 ORTOPROFIL PROD. ROMANIA'!D6</f>
        <v>2098.73</v>
      </c>
      <c r="K12" s="8" t="n">
        <f aca="false">'160955 ORTOPROFIL PROD. ROMANIA'!F6</f>
        <v>147</v>
      </c>
      <c r="L12" s="8" t="n">
        <f aca="false">'160955 ORTOPROFIL PROD. ROMANIA'!H6</f>
        <v>6167.14</v>
      </c>
      <c r="M12" s="8" t="n">
        <f aca="false">'160955 ORTOPROFIL PROD. ROMANIA'!C101</f>
        <v>13479</v>
      </c>
      <c r="N12" s="8" t="n">
        <f aca="false">'160955 ORTOPROFIL PROD. ROMANIA'!D101</f>
        <v>9703</v>
      </c>
      <c r="O12" s="9" t="n">
        <f aca="false">IF('160955 ORTOPROFIL PROD. ROMANIA'!C101=0,"N/A",('160955 ORTOPROFIL PROD. ROMANIA'!D101-'160955 ORTOPROFIL PROD. ROMANIA'!C101)/'160955 ORTOPROFIL PROD. ROMANIA'!C101)</f>
        <v>-0.280139476222272</v>
      </c>
      <c r="P12" s="8" t="n">
        <f aca="false">'160955 ORTOPROFIL PROD. ROMANIA'!H101</f>
        <v>407234.61</v>
      </c>
      <c r="Q12" s="8" t="n">
        <f aca="false">'160955 ORTOPROFIL PROD. ROMANIA'!I101</f>
        <v>300835.19</v>
      </c>
      <c r="R12" s="9" t="n">
        <f aca="false">IF('160955 ORTOPROFIL PROD. ROMANIA'!H101=0,"N/A",('160955 ORTOPROFIL PROD. ROMANIA'!I101-'160955 ORTOPROFIL PROD. ROMANIA'!H101)/'160955 ORTOPROFIL PROD. ROMANIA'!H101)</f>
        <v>-0.261273028832201</v>
      </c>
    </row>
    <row r="13" customFormat="false" ht="15" hidden="false" customHeight="false" outlineLevel="0" collapsed="false">
      <c r="A13" s="6" t="s">
        <v>31</v>
      </c>
      <c r="B13" s="7" t="s">
        <v>31</v>
      </c>
      <c r="C13" s="7" t="s">
        <v>23</v>
      </c>
      <c r="D13" s="8" t="n">
        <f aca="false">COUNTA('C02266 SANAFLEX L.P'!$A$9:$A$212)</f>
        <v>204</v>
      </c>
      <c r="E13" s="8" t="n">
        <f aca="false">SUMPRODUCT(--(('C02266 SANAFLEX L.P'!$C$9:$C$212&lt;&gt;0)+('C02266 SANAFLEX L.P'!$H$9:$H$212&lt;&gt;0)&gt;0))</f>
        <v>185</v>
      </c>
      <c r="F13" s="8" t="n">
        <f aca="false">SUMPRODUCT(--(('C02266 SANAFLEX L.P'!$D$9:$D$212&lt;&gt;0)+('C02266 SANAFLEX L.P'!$I$9:$I$212&lt;&gt;0)&gt;0))</f>
        <v>173</v>
      </c>
      <c r="G13" s="8" t="n">
        <f aca="false">'C02266 SANAFLEX L.P'!B5</f>
        <v>31</v>
      </c>
      <c r="H13" s="8" t="n">
        <f aca="false">'C02266 SANAFLEX L.P'!D5</f>
        <v>19</v>
      </c>
      <c r="I13" s="8" t="n">
        <f aca="false">'C02266 SANAFLEX L.P'!B6</f>
        <v>347</v>
      </c>
      <c r="J13" s="8" t="n">
        <f aca="false">'C02266 SANAFLEX L.P'!D6</f>
        <v>10736.31</v>
      </c>
      <c r="K13" s="8" t="n">
        <f aca="false">'C02266 SANAFLEX L.P'!F6</f>
        <v>154</v>
      </c>
      <c r="L13" s="8" t="n">
        <f aca="false">'C02266 SANAFLEX L.P'!H6</f>
        <v>3246.9</v>
      </c>
      <c r="M13" s="8" t="n">
        <f aca="false">'C02266 SANAFLEX L.P'!C214</f>
        <v>20757</v>
      </c>
      <c r="N13" s="8" t="n">
        <f aca="false">'C02266 SANAFLEX L.P'!D214</f>
        <v>18128</v>
      </c>
      <c r="O13" s="9" t="n">
        <f aca="false">IF('C02266 SANAFLEX L.P'!C214=0,"N/A",('C02266 SANAFLEX L.P'!D214-'C02266 SANAFLEX L.P'!C214)/'C02266 SANAFLEX L.P'!C214)</f>
        <v>-0.126656067832538</v>
      </c>
      <c r="P13" s="8" t="n">
        <f aca="false">'C02266 SANAFLEX L.P'!H214</f>
        <v>395351.38</v>
      </c>
      <c r="Q13" s="8" t="n">
        <f aca="false">'C02266 SANAFLEX L.P'!I214</f>
        <v>307055.17</v>
      </c>
      <c r="R13" s="9" t="n">
        <f aca="false">IF('C02266 SANAFLEX L.P'!H214=0,"N/A",('C02266 SANAFLEX L.P'!I214-'C02266 SANAFLEX L.P'!H214)/'C02266 SANAFLEX L.P'!H214)</f>
        <v>-0.223336035908108</v>
      </c>
    </row>
    <row r="14" customFormat="false" ht="15" hidden="false" customHeight="false" outlineLevel="0" collapsed="false">
      <c r="A14" s="6" t="s">
        <v>32</v>
      </c>
      <c r="B14" s="7" t="s">
        <v>32</v>
      </c>
      <c r="C14" s="7" t="s">
        <v>23</v>
      </c>
      <c r="D14" s="8" t="n">
        <f aca="false">COUNTA('160920 SALUS'!$A$9:$A$225)</f>
        <v>217</v>
      </c>
      <c r="E14" s="8" t="n">
        <f aca="false">SUMPRODUCT(--(('160920 SALUS'!$C$9:$C$225&lt;&gt;0)+('160920 SALUS'!$H$9:$H$225&lt;&gt;0)&gt;0))</f>
        <v>195</v>
      </c>
      <c r="F14" s="8" t="n">
        <f aca="false">SUMPRODUCT(--(('160920 SALUS'!$D$9:$D$225&lt;&gt;0)+('160920 SALUS'!$I$9:$I$225&lt;&gt;0)&gt;0))</f>
        <v>151</v>
      </c>
      <c r="G14" s="8" t="n">
        <f aca="false">'160920 SALUS'!B5</f>
        <v>66</v>
      </c>
      <c r="H14" s="8" t="n">
        <f aca="false">'160920 SALUS'!D5</f>
        <v>22</v>
      </c>
      <c r="I14" s="8" t="n">
        <f aca="false">'160920 SALUS'!B6</f>
        <v>797</v>
      </c>
      <c r="J14" s="8" t="n">
        <f aca="false">'160920 SALUS'!D6</f>
        <v>28651.54</v>
      </c>
      <c r="K14" s="8" t="n">
        <f aca="false">'160920 SALUS'!F6</f>
        <v>991</v>
      </c>
      <c r="L14" s="8" t="n">
        <f aca="false">'160920 SALUS'!H6</f>
        <v>14625</v>
      </c>
      <c r="M14" s="8" t="n">
        <f aca="false">'160920 SALUS'!C227</f>
        <v>18268</v>
      </c>
      <c r="N14" s="8" t="n">
        <f aca="false">'160920 SALUS'!D227</f>
        <v>20601</v>
      </c>
      <c r="O14" s="9" t="n">
        <f aca="false">IF('160920 SALUS'!C227=0,"N/A",('160920 SALUS'!D227-'160920 SALUS'!C227)/'160920 SALUS'!C227)</f>
        <v>0.127709656229472</v>
      </c>
      <c r="P14" s="8" t="n">
        <f aca="false">'160920 SALUS'!H227</f>
        <v>319558.55</v>
      </c>
      <c r="Q14" s="8" t="n">
        <f aca="false">'160920 SALUS'!I227</f>
        <v>365555.25</v>
      </c>
      <c r="R14" s="9" t="n">
        <f aca="false">IF('160920 SALUS'!H227=0,"N/A",('160920 SALUS'!I227-'160920 SALUS'!H227)/'160920 SALUS'!H227)</f>
        <v>0.143938254820596</v>
      </c>
    </row>
    <row r="15" customFormat="false" ht="15" hidden="false" customHeight="false" outlineLevel="0" collapsed="false">
      <c r="A15" s="6" t="s">
        <v>33</v>
      </c>
      <c r="B15" s="7" t="s">
        <v>33</v>
      </c>
      <c r="C15" s="7" t="s">
        <v>23</v>
      </c>
      <c r="D15" s="8" t="n">
        <f aca="false">COUNTA('160951 MEDIPAL COMPANY'!$A$9:$A$98)</f>
        <v>90</v>
      </c>
      <c r="E15" s="8" t="n">
        <f aca="false">SUMPRODUCT(--(('160951 MEDIPAL COMPANY'!$C$9:$C$98&lt;&gt;0)+('160951 MEDIPAL COMPANY'!$H$9:$H$98&lt;&gt;0)&gt;0))</f>
        <v>90</v>
      </c>
      <c r="F15" s="8" t="n">
        <f aca="false">SUMPRODUCT(--(('160951 MEDIPAL COMPANY'!$D$9:$D$98&lt;&gt;0)+('160951 MEDIPAL COMPANY'!$I$9:$I$98&lt;&gt;0)&gt;0))</f>
        <v>0</v>
      </c>
      <c r="G15" s="8" t="n">
        <f aca="false">'160951 MEDIPAL COMPANY'!B5</f>
        <v>90</v>
      </c>
      <c r="H15" s="8" t="n">
        <f aca="false">'160951 MEDIPAL COMPANY'!D5</f>
        <v>0</v>
      </c>
      <c r="I15" s="8" t="n">
        <f aca="false">'160951 MEDIPAL COMPANY'!B6</f>
        <v>6687</v>
      </c>
      <c r="J15" s="8" t="n">
        <f aca="false">'160951 MEDIPAL COMPANY'!D6</f>
        <v>256772.1</v>
      </c>
      <c r="K15" s="8" t="n">
        <f aca="false">'160951 MEDIPAL COMPANY'!F6</f>
        <v>0</v>
      </c>
      <c r="L15" s="8" t="n">
        <f aca="false">'160951 MEDIPAL COMPANY'!H6</f>
        <v>0</v>
      </c>
      <c r="M15" s="8" t="n">
        <f aca="false">'160951 MEDIPAL COMPANY'!C100</f>
        <v>6687</v>
      </c>
      <c r="N15" s="8" t="n">
        <f aca="false">'160951 MEDIPAL COMPANY'!D100</f>
        <v>0</v>
      </c>
      <c r="O15" s="9" t="n">
        <f aca="false">IF('160951 MEDIPAL COMPANY'!C100=0,"N/A",('160951 MEDIPAL COMPANY'!D100-'160951 MEDIPAL COMPANY'!C100)/'160951 MEDIPAL COMPANY'!C100)</f>
        <v>-1</v>
      </c>
      <c r="P15" s="8" t="n">
        <f aca="false">'160951 MEDIPAL COMPANY'!H100</f>
        <v>256772.1</v>
      </c>
      <c r="Q15" s="8" t="n">
        <f aca="false">'160951 MEDIPAL COMPANY'!I100</f>
        <v>0</v>
      </c>
      <c r="R15" s="9" t="n">
        <f aca="false">IF('160951 MEDIPAL COMPANY'!H100=0,"N/A",('160951 MEDIPAL COMPANY'!I100-'160951 MEDIPAL COMPANY'!H100)/'160951 MEDIPAL COMPANY'!H100)</f>
        <v>-1</v>
      </c>
    </row>
    <row r="16" customFormat="false" ht="15" hidden="false" customHeight="false" outlineLevel="0" collapsed="false">
      <c r="A16" s="6" t="s">
        <v>34</v>
      </c>
      <c r="B16" s="7" t="s">
        <v>34</v>
      </c>
      <c r="C16" s="7" t="s">
        <v>23</v>
      </c>
      <c r="D16" s="8" t="n">
        <f aca="false">COUNTA('160226 HEALTH CARE PROD. GMBH'!$A$9:$A$45)</f>
        <v>37</v>
      </c>
      <c r="E16" s="8" t="n">
        <f aca="false">SUMPRODUCT(--(('160226 HEALTH CARE PROD. GMBH'!$C$9:$C$45&lt;&gt;0)+('160226 HEALTH CARE PROD. GMBH'!$H$9:$H$45&lt;&gt;0)&gt;0))</f>
        <v>37</v>
      </c>
      <c r="F16" s="8" t="n">
        <f aca="false">SUMPRODUCT(--(('160226 HEALTH CARE PROD. GMBH'!$D$9:$D$45&lt;&gt;0)+('160226 HEALTH CARE PROD. GMBH'!$I$9:$I$45&lt;&gt;0)&gt;0))</f>
        <v>23</v>
      </c>
      <c r="G16" s="8" t="n">
        <f aca="false">'160226 HEALTH CARE PROD. GMBH'!B5</f>
        <v>14</v>
      </c>
      <c r="H16" s="8" t="n">
        <f aca="false">'160226 HEALTH CARE PROD. GMBH'!D5</f>
        <v>0</v>
      </c>
      <c r="I16" s="8" t="n">
        <f aca="false">'160226 HEALTH CARE PROD. GMBH'!B6</f>
        <v>653</v>
      </c>
      <c r="J16" s="8" t="n">
        <f aca="false">'160226 HEALTH CARE PROD. GMBH'!D6</f>
        <v>14501.3</v>
      </c>
      <c r="K16" s="8" t="n">
        <f aca="false">'160226 HEALTH CARE PROD. GMBH'!F6</f>
        <v>0</v>
      </c>
      <c r="L16" s="8" t="n">
        <f aca="false">'160226 HEALTH CARE PROD. GMBH'!H6</f>
        <v>0</v>
      </c>
      <c r="M16" s="8" t="n">
        <f aca="false">'160226 HEALTH CARE PROD. GMBH'!C47</f>
        <v>12986</v>
      </c>
      <c r="N16" s="8" t="n">
        <f aca="false">'160226 HEALTH CARE PROD. GMBH'!D47</f>
        <v>12906</v>
      </c>
      <c r="O16" s="9" t="n">
        <f aca="false">IF('160226 HEALTH CARE PROD. GMBH'!C47=0,"N/A",('160226 HEALTH CARE PROD. GMBH'!D47-'160226 HEALTH CARE PROD. GMBH'!C47)/'160226 HEALTH CARE PROD. GMBH'!C47)</f>
        <v>-0.00616048051748036</v>
      </c>
      <c r="P16" s="8" t="n">
        <f aca="false">'160226 HEALTH CARE PROD. GMBH'!H47</f>
        <v>122339</v>
      </c>
      <c r="Q16" s="8" t="n">
        <f aca="false">'160226 HEALTH CARE PROD. GMBH'!I47</f>
        <v>96129.82</v>
      </c>
      <c r="R16" s="9" t="n">
        <f aca="false">IF('160226 HEALTH CARE PROD. GMBH'!H47=0,"N/A",('160226 HEALTH CARE PROD. GMBH'!I47-'160226 HEALTH CARE PROD. GMBH'!H47)/'160226 HEALTH CARE PROD. GMBH'!H47)</f>
        <v>-0.214234054553331</v>
      </c>
    </row>
    <row r="17" customFormat="false" ht="15" hidden="false" customHeight="false" outlineLevel="0" collapsed="false">
      <c r="A17" s="6" t="s">
        <v>35</v>
      </c>
      <c r="B17" s="7" t="s">
        <v>35</v>
      </c>
      <c r="C17" s="7" t="s">
        <v>23</v>
      </c>
      <c r="D17" s="8" t="n">
        <f aca="false">COUNTA('160150 MAX KONNARIS LTD'!$A$9:$A$253)</f>
        <v>245</v>
      </c>
      <c r="E17" s="8" t="n">
        <f aca="false">SUMPRODUCT(--(('160150 MAX KONNARIS LTD'!$C$9:$C$253&lt;&gt;0)+('160150 MAX KONNARIS LTD'!$H$9:$H$253&lt;&gt;0)&gt;0))</f>
        <v>177</v>
      </c>
      <c r="F17" s="8" t="n">
        <f aca="false">SUMPRODUCT(--(('160150 MAX KONNARIS LTD'!$D$9:$D$253&lt;&gt;0)+('160150 MAX KONNARIS LTD'!$I$9:$I$253&lt;&gt;0)&gt;0))</f>
        <v>154</v>
      </c>
      <c r="G17" s="8" t="n">
        <f aca="false">'160150 MAX KONNARIS LTD'!B5</f>
        <v>91</v>
      </c>
      <c r="H17" s="8" t="n">
        <f aca="false">'160150 MAX KONNARIS LTD'!D5</f>
        <v>68</v>
      </c>
      <c r="I17" s="8" t="n">
        <f aca="false">'160150 MAX KONNARIS LTD'!B6</f>
        <v>1696</v>
      </c>
      <c r="J17" s="8" t="n">
        <f aca="false">'160150 MAX KONNARIS LTD'!D6</f>
        <v>47367.29</v>
      </c>
      <c r="K17" s="8" t="n">
        <f aca="false">'160150 MAX KONNARIS LTD'!F6</f>
        <v>754</v>
      </c>
      <c r="L17" s="8" t="n">
        <f aca="false">'160150 MAX KONNARIS LTD'!H6</f>
        <v>27727.77</v>
      </c>
      <c r="M17" s="8" t="n">
        <f aca="false">'160150 MAX KONNARIS LTD'!C255</f>
        <v>3507</v>
      </c>
      <c r="N17" s="8" t="n">
        <f aca="false">'160150 MAX KONNARIS LTD'!D255</f>
        <v>2337</v>
      </c>
      <c r="O17" s="9" t="n">
        <f aca="false">IF('160150 MAX KONNARIS LTD'!C255=0,"N/A",('160150 MAX KONNARIS LTD'!D255-'160150 MAX KONNARIS LTD'!C255)/'160150 MAX KONNARIS LTD'!C255)</f>
        <v>-0.333618477331052</v>
      </c>
      <c r="P17" s="8" t="n">
        <f aca="false">'160150 MAX KONNARIS LTD'!H255</f>
        <v>86855.65</v>
      </c>
      <c r="Q17" s="8" t="n">
        <f aca="false">'160150 MAX KONNARIS LTD'!I255</f>
        <v>60462.39</v>
      </c>
      <c r="R17" s="9" t="n">
        <f aca="false">IF('160150 MAX KONNARIS LTD'!H255=0,"N/A",('160150 MAX KONNARIS LTD'!I255-'160150 MAX KONNARIS LTD'!H255)/'160150 MAX KONNARIS LTD'!H255)</f>
        <v>-0.303874992588277</v>
      </c>
    </row>
    <row r="18" customFormat="false" ht="15" hidden="false" customHeight="false" outlineLevel="0" collapsed="false">
      <c r="A18" s="6" t="s">
        <v>36</v>
      </c>
      <c r="B18" s="7" t="s">
        <v>37</v>
      </c>
      <c r="C18" s="7" t="s">
        <v>23</v>
      </c>
      <c r="D18" s="8" t="n">
        <f aca="false">COUNTA('151209 רוני אורטופדיה  בע"מ -'!$A$9:$A$173)</f>
        <v>165</v>
      </c>
      <c r="E18" s="8" t="n">
        <f aca="false">SUMPRODUCT(--(('151209 רוני אורטופדיה  בע"מ -'!$C$9:$C$173&lt;&gt;0)+('151209 רוני אורטופדיה  בע"מ -'!$H$9:$H$173&lt;&gt;0)&gt;0))</f>
        <v>148</v>
      </c>
      <c r="F18" s="8" t="n">
        <f aca="false">SUMPRODUCT(--(('151209 רוני אורטופדיה  בע"מ -'!$D$9:$D$173&lt;&gt;0)+('151209 רוני אורטופדיה  בע"מ -'!$I$9:$I$173&lt;&gt;0)&gt;0))</f>
        <v>82</v>
      </c>
      <c r="G18" s="8" t="n">
        <f aca="false">'151209 רוני אורטופדיה  בע"מ -'!B5</f>
        <v>83</v>
      </c>
      <c r="H18" s="8" t="n">
        <f aca="false">'151209 רוני אורטופדיה  בע"מ -'!D5</f>
        <v>17</v>
      </c>
      <c r="I18" s="8" t="n">
        <f aca="false">'151209 רוני אורטופדיה  בע"מ -'!B6</f>
        <v>243</v>
      </c>
      <c r="J18" s="8" t="n">
        <f aca="false">'151209 רוני אורטופדיה  בע"מ -'!D6</f>
        <v>13460.59</v>
      </c>
      <c r="K18" s="8" t="n">
        <f aca="false">'151209 רוני אורטופדיה  בע"מ -'!F6</f>
        <v>52</v>
      </c>
      <c r="L18" s="8" t="n">
        <f aca="false">'151209 רוני אורטופדיה  בע"מ -'!H6</f>
        <v>3461.13</v>
      </c>
      <c r="M18" s="8" t="n">
        <f aca="false">'151209 רוני אורטופדיה  בע"מ -'!C175</f>
        <v>600</v>
      </c>
      <c r="N18" s="8" t="n">
        <f aca="false">'151209 רוני אורטופדיה  בע"מ -'!D175</f>
        <v>502</v>
      </c>
      <c r="O18" s="9" t="n">
        <f aca="false">IF('151209 רוני אורטופדיה  בע"מ -'!C175=0,"N/A",('151209 רוני אורטופדיה  בע"מ -'!D175-'151209 רוני אורטופדיה  בע"מ -'!C175)/'151209 רוני אורטופדיה  בע"מ -'!C175)</f>
        <v>-0.163333333333333</v>
      </c>
      <c r="P18" s="8" t="n">
        <f aca="false">'151209 רוני אורטופדיה  בע"מ -'!H175</f>
        <v>54526.13</v>
      </c>
      <c r="Q18" s="8" t="n">
        <f aca="false">'151209 רוני אורטופדיה  בע"מ -'!I175</f>
        <v>63540.64</v>
      </c>
      <c r="R18" s="9" t="n">
        <f aca="false">IF('151209 רוני אורטופדיה  בע"מ -'!H175=0,"N/A",('151209 רוני אורטופדיה  בע"מ -'!I175-'151209 רוני אורטופדיה  בע"מ -'!H175)/'151209 רוני אורטופדיה  בע"מ -'!H175)</f>
        <v>0.165324588412932</v>
      </c>
    </row>
    <row r="19" customFormat="false" ht="15" hidden="false" customHeight="false" outlineLevel="0" collapsed="false">
      <c r="A19" s="6" t="s">
        <v>38</v>
      </c>
      <c r="B19" s="7" t="s">
        <v>38</v>
      </c>
      <c r="C19" s="7" t="s">
        <v>23</v>
      </c>
      <c r="D19" s="8" t="n">
        <f aca="false">COUNTA('160450 OY. EA. AB.'!$A$9:$A$191)</f>
        <v>183</v>
      </c>
      <c r="E19" s="8" t="n">
        <f aca="false">SUMPRODUCT(--(('160450 OY. EA. AB.'!$C$9:$C$191&lt;&gt;0)+('160450 OY. EA. AB.'!$H$9:$H$191&lt;&gt;0)&gt;0))</f>
        <v>128</v>
      </c>
      <c r="F19" s="8" t="n">
        <f aca="false">SUMPRODUCT(--(('160450 OY. EA. AB.'!$D$9:$D$191&lt;&gt;0)+('160450 OY. EA. AB.'!$I$9:$I$191&lt;&gt;0)&gt;0))</f>
        <v>145</v>
      </c>
      <c r="G19" s="8" t="n">
        <f aca="false">'160450 OY. EA. AB.'!B5</f>
        <v>38</v>
      </c>
      <c r="H19" s="8" t="n">
        <f aca="false">'160450 OY. EA. AB.'!D5</f>
        <v>55</v>
      </c>
      <c r="I19" s="8" t="n">
        <f aca="false">'160450 OY. EA. AB.'!B6</f>
        <v>533</v>
      </c>
      <c r="J19" s="8" t="n">
        <f aca="false">'160450 OY. EA. AB.'!D6</f>
        <v>15504.74</v>
      </c>
      <c r="K19" s="8" t="n">
        <f aca="false">'160450 OY. EA. AB.'!F6</f>
        <v>360</v>
      </c>
      <c r="L19" s="8" t="n">
        <f aca="false">'160450 OY. EA. AB.'!H6</f>
        <v>16342.42</v>
      </c>
      <c r="M19" s="8" t="n">
        <f aca="false">'160450 OY. EA. AB.'!C193</f>
        <v>2672</v>
      </c>
      <c r="N19" s="8" t="n">
        <f aca="false">'160450 OY. EA. AB.'!D193</f>
        <v>1516</v>
      </c>
      <c r="O19" s="9" t="n">
        <f aca="false">IF('160450 OY. EA. AB.'!C193=0,"N/A",('160450 OY. EA. AB.'!D193-'160450 OY. EA. AB.'!C193)/'160450 OY. EA. AB.'!C193)</f>
        <v>-0.432634730538922</v>
      </c>
      <c r="P19" s="8" t="n">
        <f aca="false">'160450 OY. EA. AB.'!H193</f>
        <v>64554.59</v>
      </c>
      <c r="Q19" s="8" t="n">
        <f aca="false">'160450 OY. EA. AB.'!I193</f>
        <v>43116.44</v>
      </c>
      <c r="R19" s="9" t="n">
        <f aca="false">IF('160450 OY. EA. AB.'!H193=0,"N/A",('160450 OY. EA. AB.'!I193-'160450 OY. EA. AB.'!H193)/'160450 OY. EA. AB.'!H193)</f>
        <v>-0.332093349210335</v>
      </c>
    </row>
    <row r="20" customFormat="false" ht="15" hidden="false" customHeight="false" outlineLevel="0" collapsed="false">
      <c r="A20" s="6" t="s">
        <v>39</v>
      </c>
      <c r="B20" s="7" t="s">
        <v>39</v>
      </c>
      <c r="C20" s="7" t="s">
        <v>23</v>
      </c>
      <c r="D20" s="8" t="n">
        <f aca="false">COUNTA('150366 א.א.אורטופדיה איתי-יהוד'!$A$9:$A$104)</f>
        <v>96</v>
      </c>
      <c r="E20" s="8" t="n">
        <f aca="false">SUMPRODUCT(--(('150366 א.א.אורטופדיה איתי-יהוד'!$C$9:$C$104&lt;&gt;0)+('150366 א.א.אורטופדיה איתי-יהוד'!$H$9:$H$104&lt;&gt;0)&gt;0))</f>
        <v>68</v>
      </c>
      <c r="F20" s="8" t="n">
        <f aca="false">SUMPRODUCT(--(('150366 א.א.אורטופדיה איתי-יהוד'!$D$9:$D$104&lt;&gt;0)+('150366 א.א.אורטופדיה איתי-יהוד'!$I$9:$I$104&lt;&gt;0)&gt;0))</f>
        <v>63</v>
      </c>
      <c r="G20" s="8" t="n">
        <f aca="false">'150366 א.א.אורטופדיה איתי-יהוד'!B5</f>
        <v>33</v>
      </c>
      <c r="H20" s="8" t="n">
        <f aca="false">'150366 א.א.אורטופדיה איתי-יהוד'!D5</f>
        <v>28</v>
      </c>
      <c r="I20" s="8" t="n">
        <f aca="false">'150366 א.א.אורטופדיה איתי-יהוד'!B6</f>
        <v>187</v>
      </c>
      <c r="J20" s="8" t="n">
        <f aca="false">'150366 א.א.אורטופדיה איתי-יהוד'!D6</f>
        <v>12103.28</v>
      </c>
      <c r="K20" s="8" t="n">
        <f aca="false">'150366 א.א.אורטופדיה איתי-יהוד'!F6</f>
        <v>-30</v>
      </c>
      <c r="L20" s="8" t="n">
        <f aca="false">'150366 א.א.אורטופדיה איתי-יהוד'!H6</f>
        <v>695.09</v>
      </c>
      <c r="M20" s="8" t="n">
        <f aca="false">'150366 א.א.אורטופדיה איתי-יהוד'!C106</f>
        <v>864</v>
      </c>
      <c r="N20" s="8" t="n">
        <f aca="false">'150366 א.א.אורטופדיה איתי-יהוד'!D106</f>
        <v>588</v>
      </c>
      <c r="O20" s="9" t="n">
        <f aca="false">IF('150366 א.א.אורטופדיה איתי-יהוד'!C106=0,"N/A",('150366 א.א.אורטופדיה איתי-יהוד'!D106-'150366 א.א.אורטופדיה איתי-יהוד'!C106)/'150366 א.א.אורטופדיה איתי-יהוד'!C106)</f>
        <v>-0.319444444444444</v>
      </c>
      <c r="P20" s="8" t="n">
        <f aca="false">'150366 א.א.אורטופדיה איתי-יהוד'!H106</f>
        <v>58517.41</v>
      </c>
      <c r="Q20" s="8" t="n">
        <f aca="false">'150366 א.א.אורטופדיה איתי-יהוד'!I106</f>
        <v>46019.93</v>
      </c>
      <c r="R20" s="9" t="n">
        <f aca="false">IF('150366 א.א.אורטופדיה איתי-יהוד'!H106=0,"N/A",('150366 א.א.אורטופדיה איתי-יהוד'!I106-'150366 א.א.אורטופדיה איתי-יהוד'!H106)/'150366 א.א.אורטופדיה איתי-יהוד'!H106)</f>
        <v>-0.213568577283239</v>
      </c>
    </row>
    <row r="21" customFormat="false" ht="15" hidden="false" customHeight="false" outlineLevel="0" collapsed="false">
      <c r="A21" s="6" t="s">
        <v>40</v>
      </c>
      <c r="B21" s="7" t="s">
        <v>40</v>
      </c>
      <c r="C21" s="7" t="s">
        <v>23</v>
      </c>
      <c r="D21" s="8" t="n">
        <f aca="false">COUNTA('157464 מדיקל הצפון ב.מ-חורי'!$A$9:$A$220)</f>
        <v>212</v>
      </c>
      <c r="E21" s="8" t="n">
        <f aca="false">SUMPRODUCT(--(('157464 מדיקל הצפון ב.מ-חורי'!$C$9:$C$220&lt;&gt;0)+('157464 מדיקל הצפון ב.מ-חורי'!$H$9:$H$220&lt;&gt;0)&gt;0))</f>
        <v>168</v>
      </c>
      <c r="F21" s="8" t="n">
        <f aca="false">SUMPRODUCT(--(('157464 מדיקל הצפון ב.מ-חורי'!$D$9:$D$220&lt;&gt;0)+('157464 מדיקל הצפון ב.מ-חורי'!$I$9:$I$220&lt;&gt;0)&gt;0))</f>
        <v>147</v>
      </c>
      <c r="G21" s="8" t="n">
        <f aca="false">'157464 מדיקל הצפון ב.מ-חורי'!B5</f>
        <v>65</v>
      </c>
      <c r="H21" s="8" t="n">
        <f aca="false">'157464 מדיקל הצפון ב.מ-חורי'!D5</f>
        <v>44</v>
      </c>
      <c r="I21" s="8" t="n">
        <f aca="false">'157464 מדיקל הצפון ב.מ-חורי'!B6</f>
        <v>188</v>
      </c>
      <c r="J21" s="8" t="n">
        <f aca="false">'157464 מדיקל הצפון ב.מ-חורי'!D6</f>
        <v>13951.94</v>
      </c>
      <c r="K21" s="8" t="n">
        <f aca="false">'157464 מדיקל הצפון ב.מ-חורי'!F6</f>
        <v>123</v>
      </c>
      <c r="L21" s="8" t="n">
        <f aca="false">'157464 מדיקל הצפון ב.מ-חורי'!H6</f>
        <v>10518.59</v>
      </c>
      <c r="M21" s="8" t="n">
        <f aca="false">'157464 מדיקל הצפון ב.מ-חורי'!C222</f>
        <v>589</v>
      </c>
      <c r="N21" s="8" t="n">
        <f aca="false">'157464 מדיקל הצפון ב.מ-חורי'!D222</f>
        <v>617</v>
      </c>
      <c r="O21" s="9" t="n">
        <f aca="false">IF('157464 מדיקל הצפון ב.מ-חורי'!C222=0,"N/A",('157464 מדיקל הצפון ב.מ-חורי'!D222-'157464 מדיקל הצפון ב.מ-חורי'!C222)/'157464 מדיקל הצפון ב.מ-חורי'!C222)</f>
        <v>0.0475382003395586</v>
      </c>
      <c r="P21" s="8" t="n">
        <f aca="false">'157464 מדיקל הצפון ב.מ-חורי'!H222</f>
        <v>46725.38</v>
      </c>
      <c r="Q21" s="8" t="n">
        <f aca="false">'157464 מדיקל הצפון ב.מ-חורי'!I222</f>
        <v>50813.46</v>
      </c>
      <c r="R21" s="9" t="n">
        <f aca="false">IF('157464 מדיקל הצפון ב.מ-חורי'!H222=0,"N/A",('157464 מדיקל הצפון ב.מ-חורי'!I222-'157464 מדיקל הצפון ב.מ-חורי'!H222)/'157464 מדיקל הצפון ב.מ-חורי'!H222)</f>
        <v>0.0874916373071766</v>
      </c>
    </row>
  </sheetData>
  <mergeCells count="1">
    <mergeCell ref="A3:R3"/>
  </mergeCells>
  <hyperlinks>
    <hyperlink ref="A6" location="'קופת חולים כללית'!A1" display="152501 קופ&quot;ח כללית 1203-9"/>
    <hyperlink ref="A7" location="'155138 לקוח אינטרנט'!A1" display="155138 לקוח אינטרנט"/>
    <hyperlink ref="A8" location="'160251 AMAZON'!A1" display="160251 AMAZON"/>
    <hyperlink ref="A9" location="'150390 סופר פארם ישראל'!A1" display="150390 סופר פארם ישראל"/>
    <hyperlink ref="A10" location="'160134 SUPER-PHARM HOLDING. SP'!A1" display="160134 SUPER-PHARM HOLDING. SP.ZO.O"/>
    <hyperlink ref="A11" location="'160351 ORTHO- PARTNER AG.'!A1" display="160351 ORTHO- PARTNER AG."/>
    <hyperlink ref="A12" location="'160955 ORTOPROFIL PROD. ROMANIA'!A1" display="160955 ORTOPROFIL PROD. ROMANIA"/>
    <hyperlink ref="A13" location="'C02266 SANAFLEX L.P'!A1" display="C02266 SANAFLEX L.P"/>
    <hyperlink ref="A14" location="'160920 SALUS'!A1" display="160920 SALUS"/>
    <hyperlink ref="A15" location="'160951 MEDIPAL COMPANY'!A1" display="160951 MEDIPAL COMPANY"/>
    <hyperlink ref="A16" location="'160226 HEALTH CARE PROD. GMBH'!A1" display="160226 HEALTH CARE PROD. GMBH"/>
    <hyperlink ref="A17" location="'160150 MAX KONNARIS LTD'!A1" display="160150 MAX KONNARIS LTD"/>
    <hyperlink ref="A18" location="'151209 רוני אורטופדיה  בע&quot;מ -'!A1" display="151209 רוני אורטופדיה  בע&quot;מ - רמבם"/>
    <hyperlink ref="A19" location="'160450 OY. EA. AB.'!A1" display="160450 OY. EA. AB."/>
    <hyperlink ref="A20" location="'150366 א.א.אורטופדיה איתי-יהוד'!A1" display="150366 א.א.אורטופדיה איתי-יהוד"/>
    <hyperlink ref="A21" location="'157464 מדיקל הצפון ב.מ-חורי'!A1" display="157464 מדיקל הצפון ב.מ-חורי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SUMPRODUCT(--(((C9:C41&lt;&gt;0)+(H9:H41&lt;&gt;0)&gt;0)*((D9:D41=0)*(I9:I41=0))))</f>
        <v>1</v>
      </c>
      <c r="C5" s="13" t="s">
        <v>47</v>
      </c>
      <c r="D5" s="14" t="n">
        <f aca="false">SUMPRODUCT(--(((D9:D41&lt;&gt;0)+(I9:I41&lt;&gt;0)&gt;0)*((C9:C41=0)*(H9:H41=0))))</f>
        <v>1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SUMPRODUCT(--(((C9:C41&lt;&gt;0)+(H9:H41&lt;&gt;0)&gt;0)*((D9:D41=0)*(I9:I41=0)))*C9:C41)</f>
        <v>-1</v>
      </c>
      <c r="C6" s="13" t="s">
        <v>50</v>
      </c>
      <c r="D6" s="14" t="n">
        <f aca="false">SUMPRODUCT(--(((C9:C41&lt;&gt;0)+(H9:H41&lt;&gt;0)&gt;0)*((D9:D41=0)*(I9:I41=0)))*H9:H41)</f>
        <v>-62.43</v>
      </c>
      <c r="E6" s="13" t="s">
        <v>51</v>
      </c>
      <c r="F6" s="14" t="n">
        <f aca="false">SUMPRODUCT(--(((D9:D41&lt;&gt;0)+(I9:I41&lt;&gt;0)&gt;0)*((C9:C41=0)*(H9:H41=0)))*D9:D41)</f>
        <v>-2</v>
      </c>
      <c r="G6" s="13" t="s">
        <v>52</v>
      </c>
      <c r="H6" s="14" t="n">
        <f aca="false">SUMPRODUCT(--(((D9:D41&lt;&gt;0)+(I9:I41&lt;&gt;0)&gt;0)*((C9:C41=0)*(H9:H41=0)))*I9:I41)</f>
        <v>-1176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64</v>
      </c>
      <c r="B9" s="7" t="str">
        <f aca="false">IFERROR(INDEX('Source'!$C:$C,MATCH($A9,'Source'!$B:$B,0)),"")</f>
        <v>מגן ברך עם כרית ג'ל</v>
      </c>
      <c r="C9" s="8" t="n">
        <f aca="false">SUMIFS('Source'!$D:$D,'Source'!$A:$A,"152501 קופ""ח כללית 1203-9",'Source'!$B:$B,$A9)</f>
        <v>13299</v>
      </c>
      <c r="D9" s="8" t="n">
        <f aca="false">SUMIFS('Source'!$F:$F,'Source'!$A:$A,"152501 קופ""ח כללית 1203-9",'Source'!$B:$B,$A9)</f>
        <v>9589</v>
      </c>
      <c r="E9" s="8" t="n">
        <f aca="false">D9*$J$5</f>
        <v>12112.4210526316</v>
      </c>
      <c r="F9" s="8" t="n">
        <f aca="false">E9-C9</f>
        <v>-1186.57894736842</v>
      </c>
      <c r="G9" s="9" t="n">
        <f aca="false">IF(AND(C9=0,E9=0),0,IF(C9=0,"New",(E9-C9)/C9))</f>
        <v>-0.0892231707172285</v>
      </c>
      <c r="H9" s="8" t="n">
        <f aca="false">SUMIFS('Source'!$E:$E,'Source'!$A:$A,"152501 קופ""ח כללית 1203-9",'Source'!$B:$B,$A9)</f>
        <v>577794.6</v>
      </c>
      <c r="I9" s="8" t="n">
        <f aca="false">SUMIFS('Source'!$G:$G,'Source'!$A:$A,"152501 קופ""ח כללית 1203-9",'Source'!$B:$B,$A9)</f>
        <v>396984.6</v>
      </c>
      <c r="J9" s="8" t="n">
        <f aca="false">I9*$J$5</f>
        <v>501454.231578947</v>
      </c>
      <c r="K9" s="8" t="n">
        <f aca="false">J9-H9</f>
        <v>-76340.3684210526</v>
      </c>
      <c r="L9" s="9" t="n">
        <f aca="false">IF(AND(H9=0,J9=0),0,IF(H9=0,"New",(J9-H9)/H9))</f>
        <v>-0.132123713895998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65</v>
      </c>
      <c r="B10" s="7" t="str">
        <f aca="false">IFERROR(INDEX('Source'!$C:$C,MATCH($A10,'Source'!$B:$B,0)),"")</f>
        <v>חגורת גב+סגירה כפולה</v>
      </c>
      <c r="C10" s="8" t="n">
        <f aca="false">SUMIFS('Source'!$D:$D,'Source'!$A:$A,"152501 קופ""ח כללית 1203-9",'Source'!$B:$B,$A10)</f>
        <v>7450</v>
      </c>
      <c r="D10" s="8" t="n">
        <f aca="false">SUMIFS('Source'!$F:$F,'Source'!$A:$A,"152501 קופ""ח כללית 1203-9",'Source'!$B:$B,$A10)</f>
        <v>5000</v>
      </c>
      <c r="E10" s="8" t="n">
        <f aca="false">D10*$J$5</f>
        <v>6315.78947368421</v>
      </c>
      <c r="F10" s="8" t="n">
        <f aca="false">E10-C10</f>
        <v>-1134.21052631579</v>
      </c>
      <c r="G10" s="9" t="n">
        <f aca="false">IF(AND(C10=0,E10=0),0,IF(C10=0,"New",(E10-C10)/C10))</f>
        <v>-0.152243023666549</v>
      </c>
      <c r="H10" s="8" t="n">
        <f aca="false">SUMIFS('Source'!$E:$E,'Source'!$A:$A,"152501 קופ""ח כללית 1203-9",'Source'!$B:$B,$A10)</f>
        <v>422328</v>
      </c>
      <c r="I10" s="8" t="n">
        <f aca="false">SUMIFS('Source'!$G:$G,'Source'!$A:$A,"152501 קופ""ח כללית 1203-9",'Source'!$B:$B,$A10)</f>
        <v>272050</v>
      </c>
      <c r="J10" s="8" t="n">
        <f aca="false">I10*$J$5</f>
        <v>343642.105263158</v>
      </c>
      <c r="K10" s="8" t="n">
        <f aca="false">J10-H10</f>
        <v>-78685.8947368421</v>
      </c>
      <c r="L10" s="9" t="n">
        <f aca="false">IF(AND(H10=0,J10=0),0,IF(H10=0,"New",(J10-H10)/H10))</f>
        <v>-0.186314652916317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66</v>
      </c>
      <c r="B11" s="7" t="str">
        <f aca="false">IFERROR(INDEX('Source'!$C:$C,MATCH($A11,'Source'!$B:$B,0)),"")</f>
        <v>חגורת גב+סגירה כפולה</v>
      </c>
      <c r="C11" s="8" t="n">
        <f aca="false">SUMIFS('Source'!$D:$D,'Source'!$A:$A,"152501 קופ""ח כללית 1203-9",'Source'!$B:$B,$A11)</f>
        <v>5850</v>
      </c>
      <c r="D11" s="8" t="n">
        <f aca="false">SUMIFS('Source'!$F:$F,'Source'!$A:$A,"152501 קופ""ח כללית 1203-9",'Source'!$B:$B,$A11)</f>
        <v>3700</v>
      </c>
      <c r="E11" s="8" t="n">
        <f aca="false">D11*$J$5</f>
        <v>4673.68421052632</v>
      </c>
      <c r="F11" s="8" t="n">
        <f aca="false">E11-C11</f>
        <v>-1176.31578947368</v>
      </c>
      <c r="G11" s="9" t="n">
        <f aca="false">IF(AND(C11=0,E11=0),0,IF(C11=0,"New",(E11-C11)/C11))</f>
        <v>-0.201079622132254</v>
      </c>
      <c r="H11" s="8" t="n">
        <f aca="false">SUMIFS('Source'!$E:$E,'Source'!$A:$A,"152501 קופ""ח כללית 1203-9",'Source'!$B:$B,$A11)</f>
        <v>332000</v>
      </c>
      <c r="I11" s="8" t="n">
        <f aca="false">SUMIFS('Source'!$G:$G,'Source'!$A:$A,"152501 קופ""ח כללית 1203-9",'Source'!$B:$B,$A11)</f>
        <v>201317</v>
      </c>
      <c r="J11" s="8" t="n">
        <f aca="false">I11*$J$5</f>
        <v>254295.157894737</v>
      </c>
      <c r="K11" s="8" t="n">
        <f aca="false">J11-H11</f>
        <v>-77704.8421052632</v>
      </c>
      <c r="L11" s="9" t="n">
        <f aca="false">IF(AND(H11=0,J11=0),0,IF(H11=0,"New",(J11-H11)/H11))</f>
        <v>-0.23405072923272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67</v>
      </c>
      <c r="B12" s="7" t="str">
        <f aca="false">IFERROR(INDEX('Source'!$C:$C,MATCH($A12,'Source'!$B:$B,0)),"")</f>
        <v>חבק יד</v>
      </c>
      <c r="C12" s="8" t="n">
        <f aca="false">SUMIFS('Source'!$D:$D,'Source'!$A:$A,"152501 קופ""ח כללית 1203-9",'Source'!$B:$B,$A12)</f>
        <v>21480</v>
      </c>
      <c r="D12" s="8" t="n">
        <f aca="false">SUMIFS('Source'!$F:$F,'Source'!$A:$A,"152501 קופ""ח כללית 1203-9",'Source'!$B:$B,$A12)</f>
        <v>15110</v>
      </c>
      <c r="E12" s="8" t="n">
        <f aca="false">D12*$J$5</f>
        <v>19086.3157894737</v>
      </c>
      <c r="F12" s="8" t="n">
        <f aca="false">E12-C12</f>
        <v>-2393.68421052632</v>
      </c>
      <c r="G12" s="9" t="n">
        <f aca="false">IF(AND(C12=0,E12=0),0,IF(C12=0,"New",(E12-C12)/C12))</f>
        <v>-0.111437812408115</v>
      </c>
      <c r="H12" s="8" t="n">
        <f aca="false">SUMIFS('Source'!$E:$E,'Source'!$A:$A,"152501 קופ""ח כללית 1203-9",'Source'!$B:$B,$A12)</f>
        <v>344287.2</v>
      </c>
      <c r="I12" s="8" t="n">
        <f aca="false">SUMIFS('Source'!$G:$G,'Source'!$A:$A,"152501 קופ""ח כללית 1203-9",'Source'!$B:$B,$A12)</f>
        <v>227103.3</v>
      </c>
      <c r="J12" s="8" t="n">
        <f aca="false">I12*$J$5</f>
        <v>286867.326315789</v>
      </c>
      <c r="K12" s="8" t="n">
        <f aca="false">J12-H12</f>
        <v>-57419.8736842106</v>
      </c>
      <c r="L12" s="9" t="n">
        <f aca="false">IF(AND(H12=0,J12=0),0,IF(H12=0,"New",(J12-H12)/H12))</f>
        <v>-0.166778996385026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68</v>
      </c>
      <c r="B13" s="7" t="str">
        <f aca="false">IFERROR(INDEX('Source'!$C:$C,MATCH($A13,'Source'!$B:$B,0)),"")</f>
        <v>חגורת גב+סגירה כפולה</v>
      </c>
      <c r="C13" s="8" t="n">
        <f aca="false">SUMIFS('Source'!$D:$D,'Source'!$A:$A,"152501 קופ""ח כללית 1203-9",'Source'!$B:$B,$A13)</f>
        <v>3800</v>
      </c>
      <c r="D13" s="8" t="n">
        <f aca="false">SUMIFS('Source'!$F:$F,'Source'!$A:$A,"152501 קופ""ח כללית 1203-9",'Source'!$B:$B,$A13)</f>
        <v>2200</v>
      </c>
      <c r="E13" s="8" t="n">
        <f aca="false">D13*$J$5</f>
        <v>2778.94736842105</v>
      </c>
      <c r="F13" s="8" t="n">
        <f aca="false">E13-C13</f>
        <v>-1021.05263157895</v>
      </c>
      <c r="G13" s="9" t="n">
        <f aca="false">IF(AND(C13=0,E13=0),0,IF(C13=0,"New",(E13-C13)/C13))</f>
        <v>-0.268698060941828</v>
      </c>
      <c r="H13" s="8" t="n">
        <f aca="false">SUMIFS('Source'!$E:$E,'Source'!$A:$A,"152501 קופ""ח כללית 1203-9",'Source'!$B:$B,$A13)</f>
        <v>215142.5</v>
      </c>
      <c r="I13" s="8" t="n">
        <f aca="false">SUMIFS('Source'!$G:$G,'Source'!$A:$A,"152501 קופ""ח כללית 1203-9",'Source'!$B:$B,$A13)</f>
        <v>119702</v>
      </c>
      <c r="J13" s="8" t="n">
        <f aca="false">I13*$J$5</f>
        <v>151202.526315789</v>
      </c>
      <c r="K13" s="8" t="n">
        <f aca="false">J13-H13</f>
        <v>-63939.9736842105</v>
      </c>
      <c r="L13" s="9" t="n">
        <f aca="false">IF(AND(H13=0,J13=0),0,IF(H13=0,"New",(J13-H13)/H13))</f>
        <v>-0.297198246205239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69</v>
      </c>
      <c r="B14" s="7" t="str">
        <f aca="false">IFERROR(INDEX('Source'!$C:$C,MATCH($A14,'Source'!$B:$B,0)),"")</f>
        <v>חגורת גב+סגירה כפולה</v>
      </c>
      <c r="C14" s="8" t="n">
        <f aca="false">SUMIFS('Source'!$D:$D,'Source'!$A:$A,"152501 קופ""ח כללית 1203-9",'Source'!$B:$B,$A14)</f>
        <v>2565</v>
      </c>
      <c r="D14" s="8" t="n">
        <f aca="false">SUMIFS('Source'!$F:$F,'Source'!$A:$A,"152501 קופ""ח כללית 1203-9",'Source'!$B:$B,$A14)</f>
        <v>1305</v>
      </c>
      <c r="E14" s="8" t="n">
        <f aca="false">D14*$J$5</f>
        <v>1648.42105263158</v>
      </c>
      <c r="F14" s="8" t="n">
        <f aca="false">E14-C14</f>
        <v>-916.578947368421</v>
      </c>
      <c r="G14" s="9" t="n">
        <f aca="false">IF(AND(C14=0,E14=0),0,IF(C14=0,"New",(E14-C14)/C14))</f>
        <v>-0.357340720221607</v>
      </c>
      <c r="H14" s="8" t="n">
        <f aca="false">SUMIFS('Source'!$E:$E,'Source'!$A:$A,"152501 קופ""ח כללית 1203-9",'Source'!$B:$B,$A14)</f>
        <v>146555.55</v>
      </c>
      <c r="I14" s="8" t="n">
        <f aca="false">SUMIFS('Source'!$G:$G,'Source'!$A:$A,"152501 קופ""ח כללית 1203-9",'Source'!$B:$B,$A14)</f>
        <v>71005.05</v>
      </c>
      <c r="J14" s="8" t="n">
        <f aca="false">I14*$J$5</f>
        <v>89690.5894736842</v>
      </c>
      <c r="K14" s="8" t="n">
        <f aca="false">J14-H14</f>
        <v>-56864.9605263158</v>
      </c>
      <c r="L14" s="9" t="n">
        <f aca="false">IF(AND(H14=0,J14=0),0,IF(H14=0,"New",(J14-H14)/H14))</f>
        <v>-0.388009601317151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70</v>
      </c>
      <c r="B15" s="7" t="str">
        <f aca="false">IFERROR(INDEX('Source'!$C:$C,MATCH($A15,'Source'!$B:$B,0)),"")</f>
        <v>סד יד</v>
      </c>
      <c r="C15" s="8" t="n">
        <f aca="false">SUMIFS('Source'!$D:$D,'Source'!$A:$A,"152501 קופ""ח כללית 1203-9",'Source'!$B:$B,$A15)</f>
        <v>5600</v>
      </c>
      <c r="D15" s="8" t="n">
        <f aca="false">SUMIFS('Source'!$F:$F,'Source'!$A:$A,"152501 קופ""ח כללית 1203-9",'Source'!$B:$B,$A15)</f>
        <v>3920</v>
      </c>
      <c r="E15" s="8" t="n">
        <f aca="false">D15*$J$5</f>
        <v>4951.57894736842</v>
      </c>
      <c r="F15" s="8" t="n">
        <f aca="false">E15-C15</f>
        <v>-648.421052631579</v>
      </c>
      <c r="G15" s="9" t="n">
        <f aca="false">IF(AND(C15=0,E15=0),0,IF(C15=0,"New",(E15-C15)/C15))</f>
        <v>-0.115789473684211</v>
      </c>
      <c r="H15" s="8" t="n">
        <f aca="false">SUMIFS('Source'!$E:$E,'Source'!$A:$A,"152501 קופ""ח כללית 1203-9",'Source'!$B:$B,$A15)</f>
        <v>135200</v>
      </c>
      <c r="I15" s="8" t="n">
        <f aca="false">SUMIFS('Source'!$G:$G,'Source'!$A:$A,"152501 קופ""ח כללית 1203-9",'Source'!$B:$B,$A15)</f>
        <v>88200</v>
      </c>
      <c r="J15" s="8" t="n">
        <f aca="false">I15*$J$5</f>
        <v>111410.526315789</v>
      </c>
      <c r="K15" s="8" t="n">
        <f aca="false">J15-H15</f>
        <v>-23789.4736842105</v>
      </c>
      <c r="L15" s="9" t="n">
        <f aca="false">IF(AND(H15=0,J15=0),0,IF(H15=0,"New",(J15-H15)/H15))</f>
        <v>-0.175957645593273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71</v>
      </c>
      <c r="B16" s="7" t="str">
        <f aca="false">IFERROR(INDEX('Source'!$C:$C,MATCH($A16,'Source'!$B:$B,0)),"")</f>
        <v>מגן מרפק</v>
      </c>
      <c r="C16" s="8" t="n">
        <f aca="false">SUMIFS('Source'!$D:$D,'Source'!$A:$A,"152501 קופ""ח כללית 1203-9",'Source'!$B:$B,$A16)</f>
        <v>5040</v>
      </c>
      <c r="D16" s="8" t="n">
        <f aca="false">SUMIFS('Source'!$F:$F,'Source'!$A:$A,"152501 קופ""ח כללית 1203-9",'Source'!$B:$B,$A16)</f>
        <v>3360</v>
      </c>
      <c r="E16" s="8" t="n">
        <f aca="false">D16*$J$5</f>
        <v>4244.21052631579</v>
      </c>
      <c r="F16" s="8" t="n">
        <f aca="false">E16-C16</f>
        <v>-795.789473684211</v>
      </c>
      <c r="G16" s="9" t="n">
        <f aca="false">IF(AND(C16=0,E16=0),0,IF(C16=0,"New",(E16-C16)/C16))</f>
        <v>-0.157894736842105</v>
      </c>
      <c r="H16" s="8" t="n">
        <f aca="false">SUMIFS('Source'!$E:$E,'Source'!$A:$A,"152501 קופ""ח כללית 1203-9",'Source'!$B:$B,$A16)</f>
        <v>114775.2</v>
      </c>
      <c r="I16" s="8" t="n">
        <f aca="false">SUMIFS('Source'!$G:$G,'Source'!$A:$A,"152501 קופ""ח כללית 1203-9",'Source'!$B:$B,$A16)</f>
        <v>71467.2</v>
      </c>
      <c r="J16" s="8" t="n">
        <f aca="false">I16*$J$5</f>
        <v>90274.3578947368</v>
      </c>
      <c r="K16" s="8" t="n">
        <f aca="false">J16-H16</f>
        <v>-24500.8421052632</v>
      </c>
      <c r="L16" s="9" t="n">
        <f aca="false">IF(AND(H16=0,J16=0),0,IF(H16=0,"New",(J16-H16)/H16))</f>
        <v>-0.213468084614648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72</v>
      </c>
      <c r="B17" s="7" t="str">
        <f aca="false">IFERROR(INDEX('Source'!$C:$C,MATCH($A17,'Source'!$B:$B,0)),"")</f>
        <v>מגן ברך רגיל</v>
      </c>
      <c r="C17" s="8" t="n">
        <f aca="false">SUMIFS('Source'!$D:$D,'Source'!$A:$A,"152501 קופ""ח כללית 1203-9",'Source'!$B:$B,$A17)</f>
        <v>9960</v>
      </c>
      <c r="D17" s="8" t="n">
        <f aca="false">SUMIFS('Source'!$F:$F,'Source'!$A:$A,"152501 קופ""ח כללית 1203-9",'Source'!$B:$B,$A17)</f>
        <v>6840</v>
      </c>
      <c r="E17" s="8" t="n">
        <f aca="false">D17*$J$5</f>
        <v>8640</v>
      </c>
      <c r="F17" s="8" t="n">
        <f aca="false">E17-C17</f>
        <v>-1320</v>
      </c>
      <c r="G17" s="9" t="n">
        <f aca="false">IF(AND(C17=0,E17=0),0,IF(C17=0,"New",(E17-C17)/C17))</f>
        <v>-0.132530120481928</v>
      </c>
      <c r="H17" s="8" t="n">
        <f aca="false">SUMIFS('Source'!$E:$E,'Source'!$A:$A,"152501 קופ""ח כללית 1203-9",'Source'!$B:$B,$A17)</f>
        <v>124737.6</v>
      </c>
      <c r="I17" s="8" t="n">
        <f aca="false">SUMIFS('Source'!$G:$G,'Source'!$A:$A,"152501 קופ""ח כללית 1203-9",'Source'!$B:$B,$A17)</f>
        <v>81806.4</v>
      </c>
      <c r="J17" s="8" t="n">
        <f aca="false">I17*$J$5</f>
        <v>103334.4</v>
      </c>
      <c r="K17" s="8" t="n">
        <f aca="false">J17-H17</f>
        <v>-21403.2</v>
      </c>
      <c r="L17" s="9" t="n">
        <f aca="false">IF(AND(H17=0,J17=0),0,IF(H17=0,"New",(J17-H17)/H17))</f>
        <v>-0.171585792896448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73</v>
      </c>
      <c r="B18" s="7" t="str">
        <f aca="false">IFERROR(INDEX('Source'!$C:$C,MATCH($A18,'Source'!$B:$B,0)),"")</f>
        <v>מגן קרסול פתוח</v>
      </c>
      <c r="C18" s="8" t="n">
        <f aca="false">SUMIFS('Source'!$D:$D,'Source'!$A:$A,"152501 קופ""ח כללית 1203-9",'Source'!$B:$B,$A18)</f>
        <v>7320</v>
      </c>
      <c r="D18" s="8" t="n">
        <f aca="false">SUMIFS('Source'!$F:$F,'Source'!$A:$A,"152501 קופ""ח כללית 1203-9",'Source'!$B:$B,$A18)</f>
        <v>4200</v>
      </c>
      <c r="E18" s="8" t="n">
        <f aca="false">D18*$J$5</f>
        <v>5305.26315789474</v>
      </c>
      <c r="F18" s="8" t="n">
        <f aca="false">E18-C18</f>
        <v>-2014.73684210526</v>
      </c>
      <c r="G18" s="9" t="n">
        <f aca="false">IF(AND(C18=0,E18=0),0,IF(C18=0,"New",(E18-C18)/C18))</f>
        <v>-0.275237273511648</v>
      </c>
      <c r="H18" s="8" t="n">
        <f aca="false">SUMIFS('Source'!$E:$E,'Source'!$A:$A,"152501 קופ""ח כללית 1203-9",'Source'!$B:$B,$A18)</f>
        <v>92964</v>
      </c>
      <c r="I18" s="8" t="n">
        <f aca="false">SUMIFS('Source'!$G:$G,'Source'!$A:$A,"152501 קופ""ח כללית 1203-9",'Source'!$B:$B,$A18)</f>
        <v>53340</v>
      </c>
      <c r="J18" s="8" t="n">
        <f aca="false">I18*$J$5</f>
        <v>67376.8421052632</v>
      </c>
      <c r="K18" s="8" t="n">
        <f aca="false">J18-H18</f>
        <v>-25587.1578947368</v>
      </c>
      <c r="L18" s="9" t="n">
        <f aca="false">IF(AND(H18=0,J18=0),0,IF(H18=0,"New",(J18-H18)/H18))</f>
        <v>-0.275237273511648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74</v>
      </c>
      <c r="B19" s="7" t="str">
        <f aca="false">IFERROR(INDEX('Source'!$C:$C,MATCH($A19,'Source'!$B:$B,0)),"")</f>
        <v>מגן קרסול</v>
      </c>
      <c r="C19" s="8" t="n">
        <f aca="false">SUMIFS('Source'!$D:$D,'Source'!$A:$A,"152501 קופ""ח כללית 1203-9",'Source'!$B:$B,$A19)</f>
        <v>7800</v>
      </c>
      <c r="D19" s="8" t="n">
        <f aca="false">SUMIFS('Source'!$F:$F,'Source'!$A:$A,"152501 קופ""ח כללית 1203-9",'Source'!$B:$B,$A19)</f>
        <v>6120</v>
      </c>
      <c r="E19" s="8" t="n">
        <f aca="false">D19*$J$5</f>
        <v>7730.52631578947</v>
      </c>
      <c r="F19" s="8" t="n">
        <f aca="false">E19-C19</f>
        <v>-69.4736842105267</v>
      </c>
      <c r="G19" s="9" t="n">
        <f aca="false">IF(AND(C19=0,E19=0),0,IF(C19=0,"New",(E19-C19)/C19))</f>
        <v>-0.00890688259109317</v>
      </c>
      <c r="H19" s="8" t="n">
        <f aca="false">SUMIFS('Source'!$E:$E,'Source'!$A:$A,"152501 קופ""ח כללית 1203-9",'Source'!$B:$B,$A19)</f>
        <v>145066.8</v>
      </c>
      <c r="I19" s="8" t="n">
        <f aca="false">SUMIFS('Source'!$G:$G,'Source'!$A:$A,"152501 קופ""ח כללית 1203-9",'Source'!$B:$B,$A19)</f>
        <v>107283.6</v>
      </c>
      <c r="J19" s="8" t="n">
        <f aca="false">I19*$J$5</f>
        <v>135516.126315789</v>
      </c>
      <c r="K19" s="8" t="n">
        <f aca="false">J19-H19</f>
        <v>-9550.67368421052</v>
      </c>
      <c r="L19" s="9" t="n">
        <f aca="false">IF(AND(H19=0,J19=0),0,IF(H19=0,"New",(J19-H19)/H19))</f>
        <v>-0.0658363849220533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75</v>
      </c>
      <c r="B20" s="7" t="str">
        <f aca="false">IFERROR(INDEX('Source'!$C:$C,MATCH($A20,'Source'!$B:$B,0)),"")</f>
        <v>סד יד</v>
      </c>
      <c r="C20" s="8" t="n">
        <f aca="false">SUMIFS('Source'!$D:$D,'Source'!$A:$A,"152501 קופ""ח כללית 1203-9",'Source'!$B:$B,$A20)</f>
        <v>6240</v>
      </c>
      <c r="D20" s="8" t="n">
        <f aca="false">SUMIFS('Source'!$F:$F,'Source'!$A:$A,"152501 קופ""ח כללית 1203-9",'Source'!$B:$B,$A20)</f>
        <v>4956</v>
      </c>
      <c r="E20" s="8" t="n">
        <f aca="false">D20*$J$5</f>
        <v>6260.21052631579</v>
      </c>
      <c r="F20" s="8" t="n">
        <f aca="false">E20-C20</f>
        <v>20.2105263157891</v>
      </c>
      <c r="G20" s="9" t="n">
        <f aca="false">IF(AND(C20=0,E20=0),0,IF(C20=0,"New",(E20-C20)/C20))</f>
        <v>0.00323886639676108</v>
      </c>
      <c r="H20" s="8" t="n">
        <f aca="false">SUMIFS('Source'!$E:$E,'Source'!$A:$A,"152501 קופ""ח כללית 1203-9",'Source'!$B:$B,$A20)</f>
        <v>119520</v>
      </c>
      <c r="I20" s="8" t="n">
        <f aca="false">SUMIFS('Source'!$G:$G,'Source'!$A:$A,"152501 קופ""ח כללית 1203-9",'Source'!$B:$B,$A20)</f>
        <v>88216.8</v>
      </c>
      <c r="J20" s="8" t="n">
        <f aca="false">I20*$J$5</f>
        <v>111431.747368421</v>
      </c>
      <c r="K20" s="8" t="n">
        <f aca="false">J20-H20</f>
        <v>-8088.25263157894</v>
      </c>
      <c r="L20" s="9" t="n">
        <f aca="false">IF(AND(H20=0,J20=0),0,IF(H20=0,"New",(J20-H20)/H20))</f>
        <v>-0.0676727964489537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76</v>
      </c>
      <c r="B21" s="7" t="str">
        <f aca="false">IFERROR(INDEX('Source'!$C:$C,MATCH($A21,'Source'!$B:$B,0)),"")</f>
        <v>מגן ברך רגיל</v>
      </c>
      <c r="C21" s="8" t="n">
        <f aca="false">SUMIFS('Source'!$D:$D,'Source'!$A:$A,"152501 קופ""ח כללית 1203-9",'Source'!$B:$B,$A21)</f>
        <v>6720</v>
      </c>
      <c r="D21" s="8" t="n">
        <f aca="false">SUMIFS('Source'!$F:$F,'Source'!$A:$A,"152501 קופ""ח כללית 1203-9",'Source'!$B:$B,$A21)</f>
        <v>4560</v>
      </c>
      <c r="E21" s="8" t="n">
        <f aca="false">D21*$J$5</f>
        <v>5760</v>
      </c>
      <c r="F21" s="8" t="n">
        <f aca="false">E21-C21</f>
        <v>-960</v>
      </c>
      <c r="G21" s="9" t="n">
        <f aca="false">IF(AND(C21=0,E21=0),0,IF(C21=0,"New",(E21-C21)/C21))</f>
        <v>-0.142857142857143</v>
      </c>
      <c r="H21" s="8" t="n">
        <f aca="false">SUMIFS('Source'!$E:$E,'Source'!$A:$A,"152501 קופ""ח כללית 1203-9",'Source'!$B:$B,$A21)</f>
        <v>87360</v>
      </c>
      <c r="I21" s="8" t="n">
        <f aca="false">SUMIFS('Source'!$G:$G,'Source'!$A:$A,"152501 קופ""ח כללית 1203-9",'Source'!$B:$B,$A21)</f>
        <v>59280</v>
      </c>
      <c r="J21" s="8" t="n">
        <f aca="false">I21*$J$5</f>
        <v>74880</v>
      </c>
      <c r="K21" s="8" t="n">
        <f aca="false">J21-H21</f>
        <v>-12480</v>
      </c>
      <c r="L21" s="9" t="n">
        <f aca="false">IF(AND(H21=0,J21=0),0,IF(H21=0,"New",(J21-H21)/H21))</f>
        <v>-0.142857142857143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77</v>
      </c>
      <c r="B22" s="7" t="str">
        <f aca="false">IFERROR(INDEX('Source'!$C:$C,MATCH($A22,'Source'!$B:$B,0)),"")</f>
        <v>סד יד</v>
      </c>
      <c r="C22" s="8" t="n">
        <f aca="false">SUMIFS('Source'!$D:$D,'Source'!$A:$A,"152501 קופ""ח כללית 1203-9",'Source'!$B:$B,$A22)</f>
        <v>4157</v>
      </c>
      <c r="D22" s="8" t="n">
        <f aca="false">SUMIFS('Source'!$F:$F,'Source'!$A:$A,"152501 קופ""ח כללית 1203-9",'Source'!$B:$B,$A22)</f>
        <v>3359</v>
      </c>
      <c r="E22" s="8" t="n">
        <f aca="false">D22*$J$5</f>
        <v>4242.94736842105</v>
      </c>
      <c r="F22" s="8" t="n">
        <f aca="false">E22-C22</f>
        <v>85.9473684210525</v>
      </c>
      <c r="G22" s="9" t="n">
        <f aca="false">IF(AND(C22=0,E22=0),0,IF(C22=0,"New",(E22-C22)/C22))</f>
        <v>0.0206753351987136</v>
      </c>
      <c r="H22" s="8" t="n">
        <f aca="false">SUMIFS('Source'!$E:$E,'Source'!$A:$A,"152501 קופ""ח כללית 1203-9",'Source'!$B:$B,$A22)</f>
        <v>99932.5</v>
      </c>
      <c r="I22" s="8" t="n">
        <f aca="false">SUMIFS('Source'!$G:$G,'Source'!$A:$A,"152501 קופ""ח כללית 1203-9",'Source'!$B:$B,$A22)</f>
        <v>75577.5</v>
      </c>
      <c r="J22" s="8" t="n">
        <f aca="false">I22*$J$5</f>
        <v>95466.3157894737</v>
      </c>
      <c r="K22" s="8" t="n">
        <f aca="false">J22-H22</f>
        <v>-4466.18421052632</v>
      </c>
      <c r="L22" s="9" t="n">
        <f aca="false">IF(AND(H22=0,J22=0),0,IF(H22=0,"New",(J22-H22)/H22))</f>
        <v>-0.044692009211481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78</v>
      </c>
      <c r="B23" s="7" t="str">
        <f aca="false">IFERROR(INDEX('Source'!$C:$C,MATCH($A23,'Source'!$B:$B,0)),"")</f>
        <v>מגן ברך רגיל</v>
      </c>
      <c r="C23" s="8" t="n">
        <f aca="false">SUMIFS('Source'!$D:$D,'Source'!$A:$A,"152501 קופ""ח כללית 1203-9",'Source'!$B:$B,$A23)</f>
        <v>9480</v>
      </c>
      <c r="D23" s="8" t="n">
        <f aca="false">SUMIFS('Source'!$F:$F,'Source'!$A:$A,"152501 קופ""ח כללית 1203-9",'Source'!$B:$B,$A23)</f>
        <v>8160</v>
      </c>
      <c r="E23" s="8" t="n">
        <f aca="false">D23*$J$5</f>
        <v>10307.3684210526</v>
      </c>
      <c r="F23" s="8" t="n">
        <f aca="false">E23-C23</f>
        <v>827.368421052632</v>
      </c>
      <c r="G23" s="9" t="n">
        <f aca="false">IF(AND(C23=0,E23=0),0,IF(C23=0,"New",(E23-C23)/C23))</f>
        <v>0.0872751499000666</v>
      </c>
      <c r="H23" s="8" t="n">
        <f aca="false">SUMIFS('Source'!$E:$E,'Source'!$A:$A,"152501 קופ""ח כללית 1203-9",'Source'!$B:$B,$A23)</f>
        <v>118622.4</v>
      </c>
      <c r="I23" s="8" t="n">
        <f aca="false">SUMIFS('Source'!$G:$G,'Source'!$A:$A,"152501 קופ""ח כללית 1203-9",'Source'!$B:$B,$A23)</f>
        <v>97593.6</v>
      </c>
      <c r="J23" s="8" t="n">
        <f aca="false">I23*$J$5</f>
        <v>123276.126315789</v>
      </c>
      <c r="K23" s="8" t="n">
        <f aca="false">J23-H23</f>
        <v>4653.72631578948</v>
      </c>
      <c r="L23" s="9" t="n">
        <f aca="false">IF(AND(H23=0,J23=0),0,IF(H23=0,"New",(J23-H23)/H23))</f>
        <v>0.0392314294415682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79</v>
      </c>
      <c r="B24" s="7" t="str">
        <f aca="false">IFERROR(INDEX('Source'!$C:$C,MATCH($A24,'Source'!$B:$B,0)),"")</f>
        <v>חבק טניס</v>
      </c>
      <c r="C24" s="8" t="n">
        <f aca="false">SUMIFS('Source'!$D:$D,'Source'!$A:$A,"152501 קופ""ח כללית 1203-9",'Source'!$B:$B,$A24)</f>
        <v>4080</v>
      </c>
      <c r="D24" s="8" t="n">
        <f aca="false">SUMIFS('Source'!$F:$F,'Source'!$A:$A,"152501 קופ""ח כללית 1203-9",'Source'!$B:$B,$A24)</f>
        <v>3000</v>
      </c>
      <c r="E24" s="8" t="n">
        <f aca="false">D24*$J$5</f>
        <v>3789.47368421053</v>
      </c>
      <c r="F24" s="8" t="n">
        <f aca="false">E24-C24</f>
        <v>-290.526315789474</v>
      </c>
      <c r="G24" s="9" t="n">
        <f aca="false">IF(AND(C24=0,E24=0),0,IF(C24=0,"New",(E24-C24)/C24))</f>
        <v>-0.0712074303405573</v>
      </c>
      <c r="H24" s="8" t="n">
        <f aca="false">SUMIFS('Source'!$E:$E,'Source'!$A:$A,"152501 קופ""ח כללית 1203-9",'Source'!$B:$B,$A24)</f>
        <v>77112</v>
      </c>
      <c r="I24" s="8" t="n">
        <f aca="false">SUMIFS('Source'!$G:$G,'Source'!$A:$A,"152501 קופ""ח כללית 1203-9",'Source'!$B:$B,$A24)</f>
        <v>56700</v>
      </c>
      <c r="J24" s="8" t="n">
        <f aca="false">I24*$J$5</f>
        <v>71621.052631579</v>
      </c>
      <c r="K24" s="8" t="n">
        <f aca="false">J24-H24</f>
        <v>-5490.94736842105</v>
      </c>
      <c r="L24" s="9" t="n">
        <f aca="false">IF(AND(H24=0,J24=0),0,IF(H24=0,"New",(J24-H24)/H24))</f>
        <v>-0.0712074303405573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80</v>
      </c>
      <c r="B25" s="7" t="str">
        <f aca="false">IFERROR(INDEX('Source'!$C:$C,MATCH($A25,'Source'!$B:$B,0)),"")</f>
        <v>חגורת בטן עממית</v>
      </c>
      <c r="C25" s="8" t="n">
        <f aca="false">SUMIFS('Source'!$D:$D,'Source'!$A:$A,"152501 קופ""ח כללית 1203-9",'Source'!$B:$B,$A25)</f>
        <v>1300</v>
      </c>
      <c r="D25" s="8" t="n">
        <f aca="false">SUMIFS('Source'!$F:$F,'Source'!$A:$A,"152501 קופ""ח כללית 1203-9",'Source'!$B:$B,$A25)</f>
        <v>900</v>
      </c>
      <c r="E25" s="8" t="n">
        <f aca="false">D25*$J$5</f>
        <v>1136.84210526316</v>
      </c>
      <c r="F25" s="8" t="n">
        <f aca="false">E25-C25</f>
        <v>-163.157894736842</v>
      </c>
      <c r="G25" s="9" t="n">
        <f aca="false">IF(AND(C25=0,E25=0),0,IF(C25=0,"New",(E25-C25)/C25))</f>
        <v>-0.125506072874494</v>
      </c>
      <c r="H25" s="8" t="n">
        <f aca="false">SUMIFS('Source'!$E:$E,'Source'!$A:$A,"152501 קופ""ח כללית 1203-9",'Source'!$B:$B,$A25)</f>
        <v>57590</v>
      </c>
      <c r="I25" s="8" t="n">
        <f aca="false">SUMIFS('Source'!$G:$G,'Source'!$A:$A,"152501 קופ""ח כללית 1203-9",'Source'!$B:$B,$A25)</f>
        <v>39870</v>
      </c>
      <c r="J25" s="8" t="n">
        <f aca="false">I25*$J$5</f>
        <v>50362.1052631579</v>
      </c>
      <c r="K25" s="8" t="n">
        <f aca="false">J25-H25</f>
        <v>-7227.89473684211</v>
      </c>
      <c r="L25" s="9" t="n">
        <f aca="false">IF(AND(H25=0,J25=0),0,IF(H25=0,"New",(J25-H25)/H25))</f>
        <v>-0.125506072874494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81</v>
      </c>
      <c r="B26" s="7" t="str">
        <f aca="false">IFERROR(INDEX('Source'!$C:$C,MATCH($A26,'Source'!$B:$B,0)),"")</f>
        <v>חגורת בטן עממית</v>
      </c>
      <c r="C26" s="8" t="n">
        <f aca="false">SUMIFS('Source'!$D:$D,'Source'!$A:$A,"152501 קופ""ח כללית 1203-9",'Source'!$B:$B,$A26)</f>
        <v>1400</v>
      </c>
      <c r="D26" s="8" t="n">
        <f aca="false">SUMIFS('Source'!$F:$F,'Source'!$A:$A,"152501 קופ""ח כללית 1203-9",'Source'!$B:$B,$A26)</f>
        <v>1000</v>
      </c>
      <c r="E26" s="8" t="n">
        <f aca="false">D26*$J$5</f>
        <v>1263.15789473684</v>
      </c>
      <c r="F26" s="8" t="n">
        <f aca="false">E26-C26</f>
        <v>-136.842105263158</v>
      </c>
      <c r="G26" s="9" t="n">
        <f aca="false">IF(AND(C26=0,E26=0),0,IF(C26=0,"New",(E26-C26)/C26))</f>
        <v>-0.0977443609022557</v>
      </c>
      <c r="H26" s="8" t="n">
        <f aca="false">SUMIFS('Source'!$E:$E,'Source'!$A:$A,"152501 קופ""ח כללית 1203-9",'Source'!$B:$B,$A26)</f>
        <v>62020</v>
      </c>
      <c r="I26" s="8" t="n">
        <f aca="false">SUMIFS('Source'!$G:$G,'Source'!$A:$A,"152501 קופ""ח כללית 1203-9",'Source'!$B:$B,$A26)</f>
        <v>44300</v>
      </c>
      <c r="J26" s="8" t="n">
        <f aca="false">I26*$J$5</f>
        <v>55957.8947368421</v>
      </c>
      <c r="K26" s="8" t="n">
        <f aca="false">J26-H26</f>
        <v>-6062.1052631579</v>
      </c>
      <c r="L26" s="9" t="n">
        <f aca="false">IF(AND(H26=0,J26=0),0,IF(H26=0,"New",(J26-H26)/H26))</f>
        <v>-0.0977443609022557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82</v>
      </c>
      <c r="B27" s="7" t="str">
        <f aca="false">IFERROR(INDEX('Source'!$C:$C,MATCH($A27,'Source'!$B:$B,0)),"")</f>
        <v>מגן קרסול פתוח</v>
      </c>
      <c r="C27" s="8" t="n">
        <f aca="false">SUMIFS('Source'!$D:$D,'Source'!$A:$A,"152501 קופ""ח כללית 1203-9",'Source'!$B:$B,$A27)</f>
        <v>4920</v>
      </c>
      <c r="D27" s="8" t="n">
        <f aca="false">SUMIFS('Source'!$F:$F,'Source'!$A:$A,"152501 קופ""ח כללית 1203-9",'Source'!$B:$B,$A27)</f>
        <v>3720</v>
      </c>
      <c r="E27" s="8" t="n">
        <f aca="false">D27*$J$5</f>
        <v>4698.94736842105</v>
      </c>
      <c r="F27" s="8" t="n">
        <f aca="false">E27-C27</f>
        <v>-221.052631578948</v>
      </c>
      <c r="G27" s="9" t="n">
        <f aca="false">IF(AND(C27=0,E27=0),0,IF(C27=0,"New",(E27-C27)/C27))</f>
        <v>-0.0449293966623877</v>
      </c>
      <c r="H27" s="8" t="n">
        <f aca="false">SUMIFS('Source'!$E:$E,'Source'!$A:$A,"152501 קופ""ח כללית 1203-9",'Source'!$B:$B,$A27)</f>
        <v>62484</v>
      </c>
      <c r="I27" s="8" t="n">
        <f aca="false">SUMIFS('Source'!$G:$G,'Source'!$A:$A,"152501 קופ""ח כללית 1203-9",'Source'!$B:$B,$A27)</f>
        <v>47244</v>
      </c>
      <c r="J27" s="8" t="n">
        <f aca="false">I27*$J$5</f>
        <v>59676.6315789474</v>
      </c>
      <c r="K27" s="8" t="n">
        <f aca="false">J27-H27</f>
        <v>-2807.36842105263</v>
      </c>
      <c r="L27" s="9" t="n">
        <f aca="false">IF(AND(H27=0,J27=0),0,IF(H27=0,"New",(J27-H27)/H27))</f>
        <v>-0.0449293966623877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83</v>
      </c>
      <c r="B28" s="7" t="str">
        <f aca="false">IFERROR(INDEX('Source'!$C:$C,MATCH($A28,'Source'!$B:$B,0)),"")</f>
        <v>חגורת בטן קלה</v>
      </c>
      <c r="C28" s="8" t="n">
        <f aca="false">SUMIFS('Source'!$D:$D,'Source'!$A:$A,"152501 קופ""ח כללית 1203-9",'Source'!$B:$B,$A28)</f>
        <v>1700</v>
      </c>
      <c r="D28" s="8" t="n">
        <f aca="false">SUMIFS('Source'!$F:$F,'Source'!$A:$A,"152501 קופ""ח כללית 1203-9",'Source'!$B:$B,$A28)</f>
        <v>1250</v>
      </c>
      <c r="E28" s="8" t="n">
        <f aca="false">D28*$J$5</f>
        <v>1578.94736842105</v>
      </c>
      <c r="F28" s="8" t="n">
        <f aca="false">E28-C28</f>
        <v>-121.052631578948</v>
      </c>
      <c r="G28" s="9" t="n">
        <f aca="false">IF(AND(C28=0,E28=0),0,IF(C28=0,"New",(E28-C28)/C28))</f>
        <v>-0.0712074303405574</v>
      </c>
      <c r="H28" s="8" t="n">
        <f aca="false">SUMIFS('Source'!$E:$E,'Source'!$A:$A,"152501 קופ""ח כללית 1203-9",'Source'!$B:$B,$A28)</f>
        <v>53890</v>
      </c>
      <c r="I28" s="8" t="n">
        <f aca="false">SUMIFS('Source'!$G:$G,'Source'!$A:$A,"152501 קופ""ח כללית 1203-9",'Source'!$B:$B,$A28)</f>
        <v>39625</v>
      </c>
      <c r="J28" s="8" t="n">
        <f aca="false">I28*$J$5</f>
        <v>50052.6315789474</v>
      </c>
      <c r="K28" s="8" t="n">
        <f aca="false">J28-H28</f>
        <v>-3837.36842105263</v>
      </c>
      <c r="L28" s="9" t="n">
        <f aca="false">IF(AND(H28=0,J28=0),0,IF(H28=0,"New",(J28-H28)/H28))</f>
        <v>-0.0712074303405573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84</v>
      </c>
      <c r="B29" s="7" t="str">
        <f aca="false">IFERROR(INDEX('Source'!$C:$C,MATCH($A29,'Source'!$B:$B,0)),"")</f>
        <v>חגורת בטן עממית</v>
      </c>
      <c r="C29" s="8" t="n">
        <f aca="false">SUMIFS('Source'!$D:$D,'Source'!$A:$A,"152501 קופ""ח כללית 1203-9",'Source'!$B:$B,$A29)</f>
        <v>950</v>
      </c>
      <c r="D29" s="8" t="n">
        <f aca="false">SUMIFS('Source'!$F:$F,'Source'!$A:$A,"152501 קופ""ח כללית 1203-9",'Source'!$B:$B,$A29)</f>
        <v>650</v>
      </c>
      <c r="E29" s="8" t="n">
        <f aca="false">D29*$J$5</f>
        <v>821.052631578947</v>
      </c>
      <c r="F29" s="8" t="n">
        <f aca="false">E29-C29</f>
        <v>-128.947368421053</v>
      </c>
      <c r="G29" s="9" t="n">
        <f aca="false">IF(AND(C29=0,E29=0),0,IF(C29=0,"New",(E29-C29)/C29))</f>
        <v>-0.135734072022161</v>
      </c>
      <c r="H29" s="8" t="n">
        <f aca="false">SUMIFS('Source'!$E:$E,'Source'!$A:$A,"152501 קופ""ח כללית 1203-9",'Source'!$B:$B,$A29)</f>
        <v>42085</v>
      </c>
      <c r="I29" s="8" t="n">
        <f aca="false">SUMIFS('Source'!$G:$G,'Source'!$A:$A,"152501 קופ""ח כללית 1203-9",'Source'!$B:$B,$A29)</f>
        <v>28795</v>
      </c>
      <c r="J29" s="8" t="n">
        <f aca="false">I29*$J$5</f>
        <v>36372.6315789474</v>
      </c>
      <c r="K29" s="8" t="n">
        <f aca="false">J29-H29</f>
        <v>-5712.36842105263</v>
      </c>
      <c r="L29" s="9" t="n">
        <f aca="false">IF(AND(H29=0,J29=0),0,IF(H29=0,"New",(J29-H29)/H29))</f>
        <v>-0.135734072022161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85</v>
      </c>
      <c r="B30" s="7" t="str">
        <f aca="false">IFERROR(INDEX('Source'!$C:$C,MATCH($A30,'Source'!$B:$B,0)),"")</f>
        <v>צוארון עממי</v>
      </c>
      <c r="C30" s="8" t="n">
        <f aca="false">SUMIFS('Source'!$D:$D,'Source'!$A:$A,"152501 קופ""ח כללית 1203-9",'Source'!$B:$B,$A30)</f>
        <v>1500</v>
      </c>
      <c r="D30" s="8" t="n">
        <f aca="false">SUMIFS('Source'!$F:$F,'Source'!$A:$A,"152501 קופ""ח כללית 1203-9",'Source'!$B:$B,$A30)</f>
        <v>900</v>
      </c>
      <c r="E30" s="8" t="n">
        <f aca="false">D30*$J$5</f>
        <v>1136.84210526316</v>
      </c>
      <c r="F30" s="8" t="n">
        <f aca="false">E30-C30</f>
        <v>-363.157894736842</v>
      </c>
      <c r="G30" s="9" t="n">
        <f aca="false">IF(AND(C30=0,E30=0),0,IF(C30=0,"New",(E30-C30)/C30))</f>
        <v>-0.242105263157895</v>
      </c>
      <c r="H30" s="8" t="n">
        <f aca="false">SUMIFS('Source'!$E:$E,'Source'!$A:$A,"152501 קופ""ח כללית 1203-9",'Source'!$B:$B,$A30)</f>
        <v>32400</v>
      </c>
      <c r="I30" s="8" t="n">
        <f aca="false">SUMIFS('Source'!$G:$G,'Source'!$A:$A,"152501 קופ""ח כללית 1203-9",'Source'!$B:$B,$A30)</f>
        <v>19440</v>
      </c>
      <c r="J30" s="8" t="n">
        <f aca="false">I30*$J$5</f>
        <v>24555.7894736842</v>
      </c>
      <c r="K30" s="8" t="n">
        <f aca="false">J30-H30</f>
        <v>-7844.21052631579</v>
      </c>
      <c r="L30" s="9" t="n">
        <f aca="false">IF(AND(H30=0,J30=0),0,IF(H30=0,"New",(J30-H30)/H30))</f>
        <v>-0.242105263157895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86</v>
      </c>
      <c r="B31" s="7" t="str">
        <f aca="false">IFERROR(INDEX('Source'!$C:$C,MATCH($A31,'Source'!$B:$B,0)),"")</f>
        <v>חבק יד</v>
      </c>
      <c r="C31" s="8" t="n">
        <f aca="false">SUMIFS('Source'!$D:$D,'Source'!$A:$A,"152501 קופ""ח כללית 1203-9",'Source'!$B:$B,$A31)</f>
        <v>4920</v>
      </c>
      <c r="D31" s="8" t="n">
        <f aca="false">SUMIFS('Source'!$F:$F,'Source'!$A:$A,"152501 קופ""ח כללית 1203-9",'Source'!$B:$B,$A31)</f>
        <v>4080</v>
      </c>
      <c r="E31" s="8" t="n">
        <f aca="false">D31*$J$5</f>
        <v>5153.68421052632</v>
      </c>
      <c r="F31" s="8" t="n">
        <f aca="false">E31-C31</f>
        <v>233.684210526316</v>
      </c>
      <c r="G31" s="9" t="n">
        <f aca="false">IF(AND(C31=0,E31=0),0,IF(C31=0,"New",(E31-C31)/C31))</f>
        <v>0.0474967907573813</v>
      </c>
      <c r="H31" s="8" t="n">
        <f aca="false">SUMIFS('Source'!$E:$E,'Source'!$A:$A,"152501 קופ""ח כללית 1203-9",'Source'!$B:$B,$A31)</f>
        <v>66912</v>
      </c>
      <c r="I31" s="8" t="n">
        <f aca="false">SUMIFS('Source'!$G:$G,'Source'!$A:$A,"152501 קופ""ח כללית 1203-9",'Source'!$B:$B,$A31)</f>
        <v>55488</v>
      </c>
      <c r="J31" s="8" t="n">
        <f aca="false">I31*$J$5</f>
        <v>70090.1052631579</v>
      </c>
      <c r="K31" s="8" t="n">
        <f aca="false">J31-H31</f>
        <v>3178.10526315789</v>
      </c>
      <c r="L31" s="9" t="n">
        <f aca="false">IF(AND(H31=0,J31=0),0,IF(H31=0,"New",(J31-H31)/H31))</f>
        <v>0.0474967907573812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87</v>
      </c>
      <c r="B32" s="7" t="str">
        <f aca="false">IFERROR(INDEX('Source'!$C:$C,MATCH($A32,'Source'!$B:$B,0)),"")</f>
        <v>מתלה יד-כיס</v>
      </c>
      <c r="C32" s="8" t="n">
        <f aca="false">SUMIFS('Source'!$D:$D,'Source'!$A:$A,"152501 קופ""ח כללית 1203-9",'Source'!$B:$B,$A32)</f>
        <v>1360</v>
      </c>
      <c r="D32" s="8" t="n">
        <f aca="false">SUMIFS('Source'!$F:$F,'Source'!$A:$A,"152501 קופ""ח כללית 1203-9",'Source'!$B:$B,$A32)</f>
        <v>1040</v>
      </c>
      <c r="E32" s="8" t="n">
        <f aca="false">D32*$J$5</f>
        <v>1313.68421052632</v>
      </c>
      <c r="F32" s="8" t="n">
        <f aca="false">E32-C32</f>
        <v>-46.3157894736844</v>
      </c>
      <c r="G32" s="9" t="n">
        <f aca="false">IF(AND(C32=0,E32=0),0,IF(C32=0,"New",(E32-C32)/C32))</f>
        <v>-0.0340557275541797</v>
      </c>
      <c r="H32" s="8" t="n">
        <f aca="false">SUMIFS('Source'!$E:$E,'Source'!$A:$A,"152501 קופ""ח כללית 1203-9",'Source'!$B:$B,$A32)</f>
        <v>46240</v>
      </c>
      <c r="I32" s="8" t="n">
        <f aca="false">SUMIFS('Source'!$G:$G,'Source'!$A:$A,"152501 קופ""ח כללית 1203-9",'Source'!$B:$B,$A32)</f>
        <v>35360</v>
      </c>
      <c r="J32" s="8" t="n">
        <f aca="false">I32*$J$5</f>
        <v>44665.2631578947</v>
      </c>
      <c r="K32" s="8" t="n">
        <f aca="false">J32-H32</f>
        <v>-1574.73684210527</v>
      </c>
      <c r="L32" s="9" t="n">
        <f aca="false">IF(AND(H32=0,J32=0),0,IF(H32=0,"New",(J32-H32)/H32))</f>
        <v>-0.0340557275541797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88</v>
      </c>
      <c r="B33" s="7" t="str">
        <f aca="false">IFERROR(INDEX('Source'!$C:$C,MATCH($A33,'Source'!$B:$B,0)),"")</f>
        <v>חגורת בטן עממית</v>
      </c>
      <c r="C33" s="8" t="n">
        <f aca="false">SUMIFS('Source'!$D:$D,'Source'!$A:$A,"152501 קופ""ח כללית 1203-9",'Source'!$B:$B,$A33)</f>
        <v>945</v>
      </c>
      <c r="D33" s="8" t="n">
        <f aca="false">SUMIFS('Source'!$F:$F,'Source'!$A:$A,"152501 קופ""ח כללית 1203-9",'Source'!$B:$B,$A33)</f>
        <v>720</v>
      </c>
      <c r="E33" s="8" t="n">
        <f aca="false">D33*$J$5</f>
        <v>909.473684210526</v>
      </c>
      <c r="F33" s="8" t="n">
        <f aca="false">E33-C33</f>
        <v>-35.5263157894738</v>
      </c>
      <c r="G33" s="9" t="n">
        <f aca="false">IF(AND(C33=0,E33=0),0,IF(C33=0,"New",(E33-C33)/C33))</f>
        <v>-0.0375939849624061</v>
      </c>
      <c r="H33" s="8" t="n">
        <f aca="false">SUMIFS('Source'!$E:$E,'Source'!$A:$A,"152501 קופ""ח כללית 1203-9",'Source'!$B:$B,$A33)</f>
        <v>41863.5</v>
      </c>
      <c r="I33" s="8" t="n">
        <f aca="false">SUMIFS('Source'!$G:$G,'Source'!$A:$A,"152501 קופ""ח כללית 1203-9",'Source'!$B:$B,$A33)</f>
        <v>31896</v>
      </c>
      <c r="J33" s="8" t="n">
        <f aca="false">I33*$J$5</f>
        <v>40289.6842105263</v>
      </c>
      <c r="K33" s="8" t="n">
        <f aca="false">J33-H33</f>
        <v>-1573.81578947369</v>
      </c>
      <c r="L33" s="9" t="n">
        <f aca="false">IF(AND(H33=0,J33=0),0,IF(H33=0,"New",(J33-H33)/H33))</f>
        <v>-0.0375939849624061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89</v>
      </c>
      <c r="B34" s="7" t="str">
        <f aca="false">IFERROR(INDEX('Source'!$C:$C,MATCH($A34,'Source'!$B:$B,0)),"")</f>
        <v>מגן קרסול פתוח</v>
      </c>
      <c r="C34" s="8" t="n">
        <f aca="false">SUMIFS('Source'!$D:$D,'Source'!$A:$A,"152501 קופ""ח כללית 1203-9",'Source'!$B:$B,$A34)</f>
        <v>5400</v>
      </c>
      <c r="D34" s="8" t="n">
        <f aca="false">SUMIFS('Source'!$F:$F,'Source'!$A:$A,"152501 קופ""ח כללית 1203-9",'Source'!$B:$B,$A34)</f>
        <v>4680</v>
      </c>
      <c r="E34" s="8" t="n">
        <f aca="false">D34*$J$5</f>
        <v>5911.57894736842</v>
      </c>
      <c r="F34" s="8" t="n">
        <f aca="false">E34-C34</f>
        <v>511.578947368421</v>
      </c>
      <c r="G34" s="9" t="n">
        <f aca="false">IF(AND(C34=0,E34=0),0,IF(C34=0,"New",(E34-C34)/C34))</f>
        <v>0.0947368421052631</v>
      </c>
      <c r="H34" s="8" t="n">
        <f aca="false">SUMIFS('Source'!$E:$E,'Source'!$A:$A,"152501 קופ""ח כללית 1203-9",'Source'!$B:$B,$A34)</f>
        <v>68580</v>
      </c>
      <c r="I34" s="8" t="n">
        <f aca="false">SUMIFS('Source'!$G:$G,'Source'!$A:$A,"152501 קופ""ח כללית 1203-9",'Source'!$B:$B,$A34)</f>
        <v>59436</v>
      </c>
      <c r="J34" s="8" t="n">
        <f aca="false">I34*$J$5</f>
        <v>75077.052631579</v>
      </c>
      <c r="K34" s="8" t="n">
        <f aca="false">J34-H34</f>
        <v>6497.05263157895</v>
      </c>
      <c r="L34" s="9" t="n">
        <f aca="false">IF(AND(H34=0,J34=0),0,IF(H34=0,"New",(J34-H34)/H34))</f>
        <v>0.0947368421052632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90</v>
      </c>
      <c r="B35" s="7" t="str">
        <f aca="false">IFERROR(INDEX('Source'!$C:$C,MATCH($A35,'Source'!$B:$B,0)),"")</f>
        <v>מגן ברך רגיל</v>
      </c>
      <c r="C35" s="8" t="n">
        <f aca="false">SUMIFS('Source'!$D:$D,'Source'!$A:$A,"152501 קופ""ח כללית 1203-9",'Source'!$B:$B,$A35)</f>
        <v>2040</v>
      </c>
      <c r="D35" s="8" t="n">
        <f aca="false">SUMIFS('Source'!$F:$F,'Source'!$A:$A,"152501 קופ""ח כללית 1203-9",'Source'!$B:$B,$A35)</f>
        <v>1440</v>
      </c>
      <c r="E35" s="8" t="n">
        <f aca="false">D35*$J$5</f>
        <v>1818.94736842105</v>
      </c>
      <c r="F35" s="8" t="n">
        <f aca="false">E35-C35</f>
        <v>-221.052631578948</v>
      </c>
      <c r="G35" s="9" t="n">
        <f aca="false">IF(AND(C35=0,E35=0),0,IF(C35=0,"New",(E35-C35)/C35))</f>
        <v>-0.108359133126935</v>
      </c>
      <c r="H35" s="8" t="n">
        <f aca="false">SUMIFS('Source'!$E:$E,'Source'!$A:$A,"152501 קופ""ח כללית 1203-9",'Source'!$B:$B,$A35)</f>
        <v>26520</v>
      </c>
      <c r="I35" s="8" t="n">
        <f aca="false">SUMIFS('Source'!$G:$G,'Source'!$A:$A,"152501 קופ""ח כללית 1203-9",'Source'!$B:$B,$A35)</f>
        <v>18720</v>
      </c>
      <c r="J35" s="8" t="n">
        <f aca="false">I35*$J$5</f>
        <v>23646.3157894737</v>
      </c>
      <c r="K35" s="8" t="n">
        <f aca="false">J35-H35</f>
        <v>-2873.68421052632</v>
      </c>
      <c r="L35" s="9" t="n">
        <f aca="false">IF(AND(H35=0,J35=0),0,IF(H35=0,"New",(J35-H35)/H35))</f>
        <v>-0.108359133126935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91</v>
      </c>
      <c r="B36" s="7" t="str">
        <f aca="false">IFERROR(INDEX('Source'!$C:$C,MATCH($A36,'Source'!$B:$B,0)),"")</f>
        <v>מגן קרסול פתוח</v>
      </c>
      <c r="C36" s="8" t="n">
        <f aca="false">SUMIFS('Source'!$D:$D,'Source'!$A:$A,"152501 קופ""ח כללית 1203-9",'Source'!$B:$B,$A36)</f>
        <v>1920</v>
      </c>
      <c r="D36" s="8" t="n">
        <f aca="false">SUMIFS('Source'!$F:$F,'Source'!$A:$A,"152501 קופ""ח כללית 1203-9",'Source'!$B:$B,$A36)</f>
        <v>1560</v>
      </c>
      <c r="E36" s="8" t="n">
        <f aca="false">D36*$J$5</f>
        <v>1970.52631578947</v>
      </c>
      <c r="F36" s="8" t="n">
        <f aca="false">E36-C36</f>
        <v>50.5263157894735</v>
      </c>
      <c r="G36" s="9" t="n">
        <f aca="false">IF(AND(C36=0,E36=0),0,IF(C36=0,"New",(E36-C36)/C36))</f>
        <v>0.0263157894736841</v>
      </c>
      <c r="H36" s="8" t="n">
        <f aca="false">SUMIFS('Source'!$E:$E,'Source'!$A:$A,"152501 קופ""ח כללית 1203-9",'Source'!$B:$B,$A36)</f>
        <v>24384</v>
      </c>
      <c r="I36" s="8" t="n">
        <f aca="false">SUMIFS('Source'!$G:$G,'Source'!$A:$A,"152501 קופ""ח כללית 1203-9",'Source'!$B:$B,$A36)</f>
        <v>19812</v>
      </c>
      <c r="J36" s="8" t="n">
        <f aca="false">I36*$J$5</f>
        <v>25025.6842105263</v>
      </c>
      <c r="K36" s="8" t="n">
        <f aca="false">J36-H36</f>
        <v>641.684210526313</v>
      </c>
      <c r="L36" s="9" t="n">
        <f aca="false">IF(AND(H36=0,J36=0),0,IF(H36=0,"New",(J36-H36)/H36))</f>
        <v>0.0263157894736841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92</v>
      </c>
      <c r="B37" s="7" t="str">
        <f aca="false">IFERROR(INDEX('Source'!$C:$C,MATCH($A37,'Source'!$B:$B,0)),"")</f>
        <v>ICE &amp; GO</v>
      </c>
      <c r="C37" s="8" t="n">
        <f aca="false">SUMIFS('Source'!$D:$D,'Source'!$A:$A,"152501 קופ""ח כללית 1203-9",'Source'!$B:$B,$A37)</f>
        <v>1680</v>
      </c>
      <c r="D37" s="8" t="n">
        <f aca="false">SUMIFS('Source'!$F:$F,'Source'!$A:$A,"152501 קופ""ח כללית 1203-9",'Source'!$B:$B,$A37)</f>
        <v>1440</v>
      </c>
      <c r="E37" s="8" t="n">
        <f aca="false">D37*$J$5</f>
        <v>1818.94736842105</v>
      </c>
      <c r="F37" s="8" t="n">
        <f aca="false">E37-C37</f>
        <v>138.947368421053</v>
      </c>
      <c r="G37" s="9" t="n">
        <f aca="false">IF(AND(C37=0,E37=0),0,IF(C37=0,"New",(E37-C37)/C37))</f>
        <v>0.0827067669172932</v>
      </c>
      <c r="H37" s="8" t="n">
        <f aca="false">SUMIFS('Source'!$E:$E,'Source'!$A:$A,"152501 קופ""ח כללית 1203-9",'Source'!$B:$B,$A37)</f>
        <v>28560</v>
      </c>
      <c r="I37" s="8" t="n">
        <f aca="false">SUMIFS('Source'!$G:$G,'Source'!$A:$A,"152501 קופ""ח כללית 1203-9",'Source'!$B:$B,$A37)</f>
        <v>24480</v>
      </c>
      <c r="J37" s="8" t="n">
        <f aca="false">I37*$J$5</f>
        <v>30922.1052631579</v>
      </c>
      <c r="K37" s="8" t="n">
        <f aca="false">J37-H37</f>
        <v>2362.10526315789</v>
      </c>
      <c r="L37" s="9" t="n">
        <f aca="false">IF(AND(H37=0,J37=0),0,IF(H37=0,"New",(J37-H37)/H37))</f>
        <v>0.0827067669172932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93</v>
      </c>
      <c r="B38" s="7" t="str">
        <f aca="false">IFERROR(INDEX('Source'!$C:$C,MATCH($A38,'Source'!$B:$B,0)),"")</f>
        <v>מתלה יד-כיס</v>
      </c>
      <c r="C38" s="8" t="n">
        <f aca="false">SUMIFS('Source'!$D:$D,'Source'!$A:$A,"152501 קופ""ח כללית 1203-9",'Source'!$B:$B,$A38)</f>
        <v>800</v>
      </c>
      <c r="D38" s="8" t="n">
        <f aca="false">SUMIFS('Source'!$F:$F,'Source'!$A:$A,"152501 קופ""ח כללית 1203-9",'Source'!$B:$B,$A38)</f>
        <v>720</v>
      </c>
      <c r="E38" s="8" t="n">
        <f aca="false">D38*$J$5</f>
        <v>909.473684210526</v>
      </c>
      <c r="F38" s="8" t="n">
        <f aca="false">E38-C38</f>
        <v>109.473684210526</v>
      </c>
      <c r="G38" s="9" t="n">
        <f aca="false">IF(AND(C38=0,E38=0),0,IF(C38=0,"New",(E38-C38)/C38))</f>
        <v>0.136842105263158</v>
      </c>
      <c r="H38" s="8" t="n">
        <f aca="false">SUMIFS('Source'!$E:$E,'Source'!$A:$A,"152501 קופ""ח כללית 1203-9",'Source'!$B:$B,$A38)</f>
        <v>27200</v>
      </c>
      <c r="I38" s="8" t="n">
        <f aca="false">SUMIFS('Source'!$G:$G,'Source'!$A:$A,"152501 קופ""ח כללית 1203-9",'Source'!$B:$B,$A38)</f>
        <v>24480</v>
      </c>
      <c r="J38" s="8" t="n">
        <f aca="false">I38*$J$5</f>
        <v>30922.1052631579</v>
      </c>
      <c r="K38" s="8" t="n">
        <f aca="false">J38-H38</f>
        <v>3722.10526315789</v>
      </c>
      <c r="L38" s="9" t="n">
        <f aca="false">IF(AND(H38=0,J38=0),0,IF(H38=0,"New",(J38-H38)/H38))</f>
        <v>0.136842105263158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94</v>
      </c>
      <c r="B39" s="7" t="str">
        <f aca="false">IFERROR(INDEX('Source'!$C:$C,MATCH($A39,'Source'!$B:$B,0)),"")</f>
        <v>צוארון עממי</v>
      </c>
      <c r="C39" s="8" t="n">
        <f aca="false">SUMIFS('Source'!$D:$D,'Source'!$A:$A,"152501 קופ""ח כללית 1203-9",'Source'!$B:$B,$A39)</f>
        <v>720</v>
      </c>
      <c r="D39" s="8" t="n">
        <f aca="false">SUMIFS('Source'!$F:$F,'Source'!$A:$A,"152501 קופ""ח כללית 1203-9",'Source'!$B:$B,$A39)</f>
        <v>660</v>
      </c>
      <c r="E39" s="8" t="n">
        <f aca="false">D39*$J$5</f>
        <v>833.684210526316</v>
      </c>
      <c r="F39" s="8" t="n">
        <f aca="false">E39-C39</f>
        <v>113.684210526316</v>
      </c>
      <c r="G39" s="9" t="n">
        <f aca="false">IF(AND(C39=0,E39=0),0,IF(C39=0,"New",(E39-C39)/C39))</f>
        <v>0.157894736842105</v>
      </c>
      <c r="H39" s="8" t="n">
        <f aca="false">SUMIFS('Source'!$E:$E,'Source'!$A:$A,"152501 קופ""ח כללית 1203-9",'Source'!$B:$B,$A39)</f>
        <v>15552</v>
      </c>
      <c r="I39" s="8" t="n">
        <f aca="false">SUMIFS('Source'!$G:$G,'Source'!$A:$A,"152501 קופ""ח כללית 1203-9",'Source'!$B:$B,$A39)</f>
        <v>14256</v>
      </c>
      <c r="J39" s="8" t="n">
        <f aca="false">I39*$J$5</f>
        <v>18007.5789473684</v>
      </c>
      <c r="K39" s="8" t="n">
        <f aca="false">J39-H39</f>
        <v>2455.57894736842</v>
      </c>
      <c r="L39" s="9" t="n">
        <f aca="false">IF(AND(H39=0,J39=0),0,IF(H39=0,"New",(J39-H39)/H39))</f>
        <v>0.157894736842105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95</v>
      </c>
      <c r="B40" s="7" t="str">
        <f aca="false">IFERROR(INDEX('Source'!$C:$C,MATCH($A40,'Source'!$B:$B,0)),"")</f>
        <v>99 General</v>
      </c>
      <c r="C40" s="8" t="n">
        <f aca="false">SUMIFS('Source'!$D:$D,'Source'!$A:$A,"152501 קופ""ח כללית 1203-9",'Source'!$B:$B,$A40)</f>
        <v>0</v>
      </c>
      <c r="D40" s="8" t="n">
        <f aca="false">SUMIFS('Source'!$F:$F,'Source'!$A:$A,"152501 קופ""ח כללית 1203-9",'Source'!$B:$B,$A40)</f>
        <v>-2</v>
      </c>
      <c r="E40" s="8" t="n">
        <f aca="false">D40*$J$5</f>
        <v>-2.52631578947368</v>
      </c>
      <c r="F40" s="8" t="n">
        <f aca="false">E40-C40</f>
        <v>-2.52631578947368</v>
      </c>
      <c r="G40" s="9" t="str">
        <f aca="false">IF(AND(C40=0,E40=0),0,IF(C40=0,"New",(E40-C40)/C40))</f>
        <v>New</v>
      </c>
      <c r="H40" s="8" t="n">
        <f aca="false">SUMIFS('Source'!$E:$E,'Source'!$A:$A,"152501 קופ""ח כללית 1203-9",'Source'!$B:$B,$A40)</f>
        <v>0</v>
      </c>
      <c r="I40" s="8" t="n">
        <f aca="false">SUMIFS('Source'!$G:$G,'Source'!$A:$A,"152501 קופ""ח כללית 1203-9",'Source'!$B:$B,$A40)</f>
        <v>-1176</v>
      </c>
      <c r="J40" s="8" t="n">
        <f aca="false">I40*$J$5</f>
        <v>-1485.47368421053</v>
      </c>
      <c r="K40" s="8" t="n">
        <f aca="false">J40-H40</f>
        <v>-1485.47368421053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96</v>
      </c>
      <c r="B41" s="7" t="str">
        <f aca="false">IFERROR(INDEX('Source'!$C:$C,MATCH($A41,'Source'!$B:$B,0)),"")</f>
        <v>סד יד</v>
      </c>
      <c r="C41" s="8" t="n">
        <f aca="false">SUMIFS('Source'!$D:$D,'Source'!$A:$A,"152501 קופ""ח כללית 1203-9",'Source'!$B:$B,$A41)</f>
        <v>-1</v>
      </c>
      <c r="D41" s="8" t="n">
        <f aca="false">SUMIFS('Source'!$F:$F,'Source'!$A:$A,"152501 קופ""ח כללית 1203-9",'Source'!$B:$B,$A41)</f>
        <v>0</v>
      </c>
      <c r="E41" s="8" t="n">
        <f aca="false">D41*$J$5</f>
        <v>0</v>
      </c>
      <c r="F41" s="8" t="n">
        <f aca="false">E41-C41</f>
        <v>1</v>
      </c>
      <c r="G41" s="9" t="n">
        <f aca="false">IF(AND(C41=0,E41=0),0,IF(C41=0,"New",(E41-C41)/C41))</f>
        <v>-1</v>
      </c>
      <c r="H41" s="8" t="n">
        <f aca="false">SUMIFS('Source'!$E:$E,'Source'!$A:$A,"152501 קופ""ח כללית 1203-9",'Source'!$B:$B,$A41)</f>
        <v>-62.43</v>
      </c>
      <c r="I41" s="8" t="n">
        <f aca="false">SUMIFS('Source'!$G:$G,'Source'!$A:$A,"152501 קופ""ח כללית 1203-9",'Source'!$B:$B,$A41)</f>
        <v>0</v>
      </c>
      <c r="J41" s="8" t="n">
        <f aca="false">I41*$J$5</f>
        <v>0</v>
      </c>
      <c r="K41" s="8" t="n">
        <f aca="false">J41-H41</f>
        <v>62.43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3" customFormat="false" ht="15" hidden="false" customHeight="false" outlineLevel="0" collapsed="false">
      <c r="A43" s="17"/>
      <c r="B43" s="18" t="s">
        <v>97</v>
      </c>
      <c r="C43" s="19" t="n">
        <f aca="false">SUM(C9:C41)</f>
        <v>152395</v>
      </c>
      <c r="D43" s="19" t="n">
        <f aca="false">SUM(D9:D41)</f>
        <v>110137</v>
      </c>
      <c r="E43" s="19" t="n">
        <f aca="false">SUM(E9:E41)</f>
        <v>139120.421052632</v>
      </c>
      <c r="F43" s="19" t="n">
        <f aca="false">SUM(F9:F41)</f>
        <v>-13274.5789473684</v>
      </c>
      <c r="G43" s="20" t="n">
        <f aca="false">IF(C43=0,"N/A",F43/C43)</f>
        <v>-0.087106394221388</v>
      </c>
      <c r="H43" s="19" t="n">
        <f aca="false">SUM(H9:H41)</f>
        <v>3809616.42</v>
      </c>
      <c r="I43" s="19" t="n">
        <f aca="false">SUM(I9:I41)</f>
        <v>2569653.05</v>
      </c>
      <c r="J43" s="19" t="n">
        <f aca="false">SUM(J9:J41)</f>
        <v>3245877.53684211</v>
      </c>
      <c r="K43" s="19" t="n">
        <f aca="false">SUM(K9:K41)</f>
        <v>-563738.883157895</v>
      </c>
      <c r="L43" s="20" t="n">
        <f aca="false">IF(H43=0,"N/A",K43/H43)</f>
        <v>-0.14797785945019</v>
      </c>
      <c r="M43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SUMPRODUCT(--(((C9:C728&lt;&gt;0)+(H9:H728&lt;&gt;0)&gt;0)*((D9:D728=0)*(I9:I728=0))))</f>
        <v>88</v>
      </c>
      <c r="C5" s="13" t="s">
        <v>47</v>
      </c>
      <c r="D5" s="14" t="n">
        <f aca="false">SUMPRODUCT(--(((D9:D728&lt;&gt;0)+(I9:I728&lt;&gt;0)&gt;0)*((C9:C728=0)*(H9:H728=0))))</f>
        <v>102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SUMPRODUCT(--(((C9:C728&lt;&gt;0)+(H9:H728&lt;&gt;0)&gt;0)*((D9:D728=0)*(I9:I728=0)))*C9:C728)</f>
        <v>580</v>
      </c>
      <c r="C6" s="13" t="s">
        <v>50</v>
      </c>
      <c r="D6" s="14" t="n">
        <f aca="false">SUMPRODUCT(--(((C9:C728&lt;&gt;0)+(H9:H728&lt;&gt;0)&gt;0)*((D9:D728=0)*(I9:I728=0)))*H9:H728)</f>
        <v>69822.79</v>
      </c>
      <c r="E6" s="13" t="s">
        <v>51</v>
      </c>
      <c r="F6" s="14" t="n">
        <f aca="false">SUMPRODUCT(--(((D9:D728&lt;&gt;0)+(I9:I728&lt;&gt;0)&gt;0)*((C9:C728=0)*(H9:H728=0)))*D9:D728)</f>
        <v>2375</v>
      </c>
      <c r="G6" s="13" t="s">
        <v>52</v>
      </c>
      <c r="H6" s="14" t="n">
        <f aca="false">SUMPRODUCT(--(((D9:D728&lt;&gt;0)+(I9:I728&lt;&gt;0)&gt;0)*((C9:C728=0)*(H9:H728=0)))*I9:I728)</f>
        <v>147591.2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100</v>
      </c>
      <c r="B9" s="7" t="str">
        <f aca="false">IFERROR(INDEX('Source'!$C:$C,MATCH($A9,'Source'!$B:$B,0)),"")</f>
        <v>כרית שינה חלומית</v>
      </c>
      <c r="C9" s="8" t="n">
        <f aca="false">SUMIFS('Source'!$D:$D,'Source'!$A:$A,"155138 לקוח אינטרנט",'Source'!$B:$B,$A9)</f>
        <v>231</v>
      </c>
      <c r="D9" s="8" t="n">
        <f aca="false">SUMIFS('Source'!$F:$F,'Source'!$A:$A,"155138 לקוח אינטרנט",'Source'!$B:$B,$A9)</f>
        <v>3486</v>
      </c>
      <c r="E9" s="8" t="n">
        <f aca="false">D9*$J$5</f>
        <v>4403.36842105263</v>
      </c>
      <c r="F9" s="8" t="n">
        <f aca="false">E9-C9</f>
        <v>4172.36842105263</v>
      </c>
      <c r="G9" s="9" t="n">
        <f aca="false">IF(AND(C9=0,E9=0),0,IF(C9=0,"New",(E9-C9)/C9))</f>
        <v>18.0622009569378</v>
      </c>
      <c r="H9" s="8" t="n">
        <f aca="false">SUMIFS('Source'!$E:$E,'Source'!$A:$A,"155138 לקוח אינטרנט",'Source'!$B:$B,$A9)</f>
        <v>59147.42</v>
      </c>
      <c r="I9" s="8" t="n">
        <f aca="false">SUMIFS('Source'!$G:$G,'Source'!$A:$A,"155138 לקוח אינטרנט",'Source'!$B:$B,$A9)</f>
        <v>946061.13</v>
      </c>
      <c r="J9" s="8" t="n">
        <f aca="false">I9*$J$5</f>
        <v>1195024.58526316</v>
      </c>
      <c r="K9" s="8" t="n">
        <f aca="false">J9-H9</f>
        <v>1135877.16526316</v>
      </c>
      <c r="L9" s="9" t="n">
        <f aca="false">IF(AND(H9=0,J9=0),0,IF(H9=0,"New",(J9-H9)/H9))</f>
        <v>19.2041709556082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101</v>
      </c>
      <c r="B10" s="7" t="str">
        <f aca="false">IFERROR(INDEX('Source'!$C:$C,MATCH($A10,'Source'!$B:$B,0)),"")</f>
        <v>מיישר כתפיים</v>
      </c>
      <c r="C10" s="8" t="n">
        <f aca="false">SUMIFS('Source'!$D:$D,'Source'!$A:$A,"155138 לקוח אינטרנט",'Source'!$B:$B,$A10)</f>
        <v>489</v>
      </c>
      <c r="D10" s="8" t="n">
        <f aca="false">SUMIFS('Source'!$F:$F,'Source'!$A:$A,"155138 לקוח אינטרנט",'Source'!$B:$B,$A10)</f>
        <v>5248</v>
      </c>
      <c r="E10" s="8" t="n">
        <f aca="false">D10*$J$5</f>
        <v>6629.05263157895</v>
      </c>
      <c r="F10" s="8" t="n">
        <f aca="false">E10-C10</f>
        <v>6140.05263157895</v>
      </c>
      <c r="G10" s="9" t="n">
        <f aca="false">IF(AND(C10=0,E10=0),0,IF(C10=0,"New",(E10-C10)/C10))</f>
        <v>12.5563448498547</v>
      </c>
      <c r="H10" s="8" t="n">
        <f aca="false">SUMIFS('Source'!$E:$E,'Source'!$A:$A,"155138 לקוח אינטרנט",'Source'!$B:$B,$A10)</f>
        <v>59910.55</v>
      </c>
      <c r="I10" s="8" t="n">
        <f aca="false">SUMIFS('Source'!$G:$G,'Source'!$A:$A,"155138 לקוח אינטרנט",'Source'!$B:$B,$A10)</f>
        <v>711931.41</v>
      </c>
      <c r="J10" s="8" t="n">
        <f aca="false">I10*$J$5</f>
        <v>899281.781052632</v>
      </c>
      <c r="K10" s="8" t="n">
        <f aca="false">J10-H10</f>
        <v>839371.231052632</v>
      </c>
      <c r="L10" s="9" t="n">
        <f aca="false">IF(AND(H10=0,J10=0),0,IF(H10=0,"New",(J10-H10)/H10))</f>
        <v>14.0104077003571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102</v>
      </c>
      <c r="B11" s="7" t="str">
        <f aca="false">IFERROR(INDEX('Source'!$C:$C,MATCH($A11,'Source'!$B:$B,0)),"")</f>
        <v>מיישר כתפיים</v>
      </c>
      <c r="C11" s="8" t="n">
        <f aca="false">SUMIFS('Source'!$D:$D,'Source'!$A:$A,"155138 לקוח אינטרנט",'Source'!$B:$B,$A11)</f>
        <v>1815</v>
      </c>
      <c r="D11" s="8" t="n">
        <f aca="false">SUMIFS('Source'!$F:$F,'Source'!$A:$A,"155138 לקוח אינטרנט",'Source'!$B:$B,$A11)</f>
        <v>20</v>
      </c>
      <c r="E11" s="8" t="n">
        <f aca="false">D11*$J$5</f>
        <v>25.2631578947368</v>
      </c>
      <c r="F11" s="8" t="n">
        <f aca="false">E11-C11</f>
        <v>-1789.73684210526</v>
      </c>
      <c r="G11" s="9" t="n">
        <f aca="false">IF(AND(C11=0,E11=0),0,IF(C11=0,"New",(E11-C11)/C11))</f>
        <v>-0.986080904741192</v>
      </c>
      <c r="H11" s="8" t="n">
        <f aca="false">SUMIFS('Source'!$E:$E,'Source'!$A:$A,"155138 לקוח אינטרנט",'Source'!$B:$B,$A11)</f>
        <v>240271.27</v>
      </c>
      <c r="I11" s="8" t="n">
        <f aca="false">SUMIFS('Source'!$G:$G,'Source'!$A:$A,"155138 לקוח אינטרנט",'Source'!$B:$B,$A11)</f>
        <v>2706.8</v>
      </c>
      <c r="J11" s="8" t="n">
        <f aca="false">I11*$J$5</f>
        <v>3419.11578947368</v>
      </c>
      <c r="K11" s="8" t="n">
        <f aca="false">J11-H11</f>
        <v>-236852.154210526</v>
      </c>
      <c r="L11" s="9" t="n">
        <f aca="false">IF(AND(H11=0,J11=0),0,IF(H11=0,"New",(J11-H11)/H11))</f>
        <v>-0.98576976852258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103</v>
      </c>
      <c r="B12" s="7" t="str">
        <f aca="false">IFERROR(INDEX('Source'!$C:$C,MATCH($A12,'Source'!$B:$B,0)),"")</f>
        <v>מיישר כתפיים</v>
      </c>
      <c r="C12" s="8" t="n">
        <f aca="false">SUMIFS('Source'!$D:$D,'Source'!$A:$A,"155138 לקוח אינטרנט",'Source'!$B:$B,$A12)</f>
        <v>128</v>
      </c>
      <c r="D12" s="8" t="n">
        <f aca="false">SUMIFS('Source'!$F:$F,'Source'!$A:$A,"155138 לקוח אינטרנט",'Source'!$B:$B,$A12)</f>
        <v>903</v>
      </c>
      <c r="E12" s="8" t="n">
        <f aca="false">D12*$J$5</f>
        <v>1140.63157894737</v>
      </c>
      <c r="F12" s="8" t="n">
        <f aca="false">E12-C12</f>
        <v>1012.63157894737</v>
      </c>
      <c r="G12" s="9" t="n">
        <f aca="false">IF(AND(C12=0,E12=0),0,IF(C12=0,"New",(E12-C12)/C12))</f>
        <v>7.91118421052632</v>
      </c>
      <c r="H12" s="8" t="n">
        <f aca="false">SUMIFS('Source'!$E:$E,'Source'!$A:$A,"155138 לקוח אינטרנט",'Source'!$B:$B,$A12)</f>
        <v>15662.12</v>
      </c>
      <c r="I12" s="8" t="n">
        <f aca="false">SUMIFS('Source'!$G:$G,'Source'!$A:$A,"155138 לקוח אינטרנט",'Source'!$B:$B,$A12)</f>
        <v>121131.92</v>
      </c>
      <c r="J12" s="8" t="n">
        <f aca="false">I12*$J$5</f>
        <v>153008.741052632</v>
      </c>
      <c r="K12" s="8" t="n">
        <f aca="false">J12-H12</f>
        <v>137346.621052632</v>
      </c>
      <c r="L12" s="9" t="n">
        <f aca="false">IF(AND(H12=0,J12=0),0,IF(H12=0,"New",(J12-H12)/H12))</f>
        <v>8.76935057659063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104</v>
      </c>
      <c r="B13" s="7" t="str">
        <f aca="false">IFERROR(INDEX('Source'!$C:$C,MATCH($A13,'Source'!$B:$B,0)),"")</f>
        <v>גרבי נסיעות אנטיבקטריאלי</v>
      </c>
      <c r="C13" s="8" t="n">
        <f aca="false">SUMIFS('Source'!$D:$D,'Source'!$A:$A,"155138 לקוח אינטרנט",'Source'!$B:$B,$A13)</f>
        <v>21</v>
      </c>
      <c r="D13" s="8" t="n">
        <f aca="false">SUMIFS('Source'!$F:$F,'Source'!$A:$A,"155138 לקוח אינטרנט",'Source'!$B:$B,$A13)</f>
        <v>488</v>
      </c>
      <c r="E13" s="8" t="n">
        <f aca="false">D13*$J$5</f>
        <v>616.421052631579</v>
      </c>
      <c r="F13" s="8" t="n">
        <f aca="false">E13-C13</f>
        <v>595.421052631579</v>
      </c>
      <c r="G13" s="9" t="n">
        <f aca="false">IF(AND(C13=0,E13=0),0,IF(C13=0,"New",(E13-C13)/C13))</f>
        <v>28.3533834586466</v>
      </c>
      <c r="H13" s="8" t="n">
        <f aca="false">SUMIFS('Source'!$E:$E,'Source'!$A:$A,"155138 לקוח אינטרנט",'Source'!$B:$B,$A13)</f>
        <v>2194.94</v>
      </c>
      <c r="I13" s="8" t="n">
        <f aca="false">SUMIFS('Source'!$G:$G,'Source'!$A:$A,"155138 לקוח אינטרנט",'Source'!$B:$B,$A13)</f>
        <v>50859.04</v>
      </c>
      <c r="J13" s="8" t="n">
        <f aca="false">I13*$J$5</f>
        <v>64242.9978947368</v>
      </c>
      <c r="K13" s="8" t="n">
        <f aca="false">J13-H13</f>
        <v>62048.0578947368</v>
      </c>
      <c r="L13" s="9" t="n">
        <f aca="false">IF(AND(H13=0,J13=0),0,IF(H13=0,"New",(J13-H13)/H13))</f>
        <v>28.2686806449091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105</v>
      </c>
      <c r="B14" s="7" t="str">
        <f aca="false">IFERROR(INDEX('Source'!$C:$C,MATCH($A14,'Source'!$B:$B,0)),"")</f>
        <v>מיישר כתפיים</v>
      </c>
      <c r="C14" s="8" t="n">
        <f aca="false">SUMIFS('Source'!$D:$D,'Source'!$A:$A,"155138 לקוח אינטרנט",'Source'!$B:$B,$A14)</f>
        <v>342</v>
      </c>
      <c r="D14" s="8" t="n">
        <f aca="false">SUMIFS('Source'!$F:$F,'Source'!$A:$A,"155138 לקוח אינטרנט",'Source'!$B:$B,$A14)</f>
        <v>4</v>
      </c>
      <c r="E14" s="8" t="n">
        <f aca="false">D14*$J$5</f>
        <v>5.05263157894737</v>
      </c>
      <c r="F14" s="8" t="n">
        <f aca="false">E14-C14</f>
        <v>-336.947368421053</v>
      </c>
      <c r="G14" s="9" t="n">
        <f aca="false">IF(AND(C14=0,E14=0),0,IF(C14=0,"New",(E14-C14)/C14))</f>
        <v>-0.98522622345337</v>
      </c>
      <c r="H14" s="8" t="n">
        <f aca="false">SUMIFS('Source'!$E:$E,'Source'!$A:$A,"155138 לקוח אינטרנט",'Source'!$B:$B,$A14)</f>
        <v>45417.98</v>
      </c>
      <c r="I14" s="8" t="n">
        <f aca="false">SUMIFS('Source'!$G:$G,'Source'!$A:$A,"155138 לקוח אינטרנט",'Source'!$B:$B,$A14)</f>
        <v>532.72</v>
      </c>
      <c r="J14" s="8" t="n">
        <f aca="false">I14*$J$5</f>
        <v>672.909473684211</v>
      </c>
      <c r="K14" s="8" t="n">
        <f aca="false">J14-H14</f>
        <v>-44745.0705263158</v>
      </c>
      <c r="L14" s="9" t="n">
        <f aca="false">IF(AND(H14=0,J14=0),0,IF(H14=0,"New",(J14-H14)/H14))</f>
        <v>-0.985184073054676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106</v>
      </c>
      <c r="B15" s="7" t="str">
        <f aca="false">IFERROR(INDEX('Source'!$C:$C,MATCH($A15,'Source'!$B:$B,0)),"")</f>
        <v>גרבי נסיעות אנטיבקטריאלי</v>
      </c>
      <c r="C15" s="8" t="n">
        <f aca="false">SUMIFS('Source'!$D:$D,'Source'!$A:$A,"155138 לקוח אינטרנט",'Source'!$B:$B,$A15)</f>
        <v>15</v>
      </c>
      <c r="D15" s="8" t="n">
        <f aca="false">SUMIFS('Source'!$F:$F,'Source'!$A:$A,"155138 לקוח אינטרנט",'Source'!$B:$B,$A15)</f>
        <v>348</v>
      </c>
      <c r="E15" s="8" t="n">
        <f aca="false">D15*$J$5</f>
        <v>439.578947368421</v>
      </c>
      <c r="F15" s="8" t="n">
        <f aca="false">E15-C15</f>
        <v>424.578947368421</v>
      </c>
      <c r="G15" s="9" t="n">
        <f aca="false">IF(AND(C15=0,E15=0),0,IF(C15=0,"New",(E15-C15)/C15))</f>
        <v>28.3052631578947</v>
      </c>
      <c r="H15" s="8" t="n">
        <f aca="false">SUMIFS('Source'!$E:$E,'Source'!$A:$A,"155138 לקוח אינטרנט",'Source'!$B:$B,$A15)</f>
        <v>1497.59</v>
      </c>
      <c r="I15" s="8" t="n">
        <f aca="false">SUMIFS('Source'!$G:$G,'Source'!$A:$A,"155138 לקוח אינטרנט",'Source'!$B:$B,$A15)</f>
        <v>35869.72</v>
      </c>
      <c r="J15" s="8" t="n">
        <f aca="false">I15*$J$5</f>
        <v>45309.12</v>
      </c>
      <c r="K15" s="8" t="n">
        <f aca="false">J15-H15</f>
        <v>43811.53</v>
      </c>
      <c r="L15" s="9" t="n">
        <f aca="false">IF(AND(H15=0,J15=0),0,IF(H15=0,"New",(J15-H15)/H15))</f>
        <v>29.254689200649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107</v>
      </c>
      <c r="B16" s="7" t="str">
        <f aca="false">IFERROR(INDEX('Source'!$C:$C,MATCH($A16,'Source'!$B:$B,0)),"")</f>
        <v>איסוף מנקודת מסירה</v>
      </c>
      <c r="C16" s="8" t="n">
        <f aca="false">SUMIFS('Source'!$D:$D,'Source'!$A:$A,"155138 לקוח אינטרנט",'Source'!$B:$B,$A16)</f>
        <v>4978</v>
      </c>
      <c r="D16" s="8" t="n">
        <f aca="false">SUMIFS('Source'!$F:$F,'Source'!$A:$A,"155138 לקוח אינטרנט",'Source'!$B:$B,$A16)</f>
        <v>3342</v>
      </c>
      <c r="E16" s="8" t="n">
        <f aca="false">D16*$J$5</f>
        <v>4221.47368421053</v>
      </c>
      <c r="F16" s="8" t="n">
        <f aca="false">E16-C16</f>
        <v>-756.526315789474</v>
      </c>
      <c r="G16" s="9" t="n">
        <f aca="false">IF(AND(C16=0,E16=0),0,IF(C16=0,"New",(E16-C16)/C16))</f>
        <v>-0.151973948531433</v>
      </c>
      <c r="H16" s="8" t="n">
        <f aca="false">SUMIFS('Source'!$E:$E,'Source'!$A:$A,"155138 לקוח אינטרנט",'Source'!$B:$B,$A16)</f>
        <v>83925.83</v>
      </c>
      <c r="I16" s="8" t="n">
        <f aca="false">SUMIFS('Source'!$G:$G,'Source'!$A:$A,"155138 לקוח אינטרנט",'Source'!$B:$B,$A16)</f>
        <v>51232.76</v>
      </c>
      <c r="J16" s="8" t="n">
        <f aca="false">I16*$J$5</f>
        <v>64715.0652631579</v>
      </c>
      <c r="K16" s="8" t="n">
        <f aca="false">J16-H16</f>
        <v>-19210.7647368421</v>
      </c>
      <c r="L16" s="9" t="n">
        <f aca="false">IF(AND(H16=0,J16=0),0,IF(H16=0,"New",(J16-H16)/H16))</f>
        <v>-0.228901694947099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108</v>
      </c>
      <c r="B17" s="7" t="str">
        <f aca="false">IFERROR(INDEX('Source'!$C:$C,MATCH($A17,'Source'!$B:$B,0)),"")</f>
        <v>משלוח מהיר</v>
      </c>
      <c r="C17" s="8" t="n">
        <f aca="false">SUMIFS('Source'!$D:$D,'Source'!$A:$A,"155138 לקוח אינטרנט",'Source'!$B:$B,$A17)</f>
        <v>1942</v>
      </c>
      <c r="D17" s="8" t="n">
        <f aca="false">SUMIFS('Source'!$F:$F,'Source'!$A:$A,"155138 לקוח אינטרנט",'Source'!$B:$B,$A17)</f>
        <v>1329</v>
      </c>
      <c r="E17" s="8" t="n">
        <f aca="false">D17*$J$5</f>
        <v>1678.73684210526</v>
      </c>
      <c r="F17" s="8" t="n">
        <f aca="false">E17-C17</f>
        <v>-263.263157894737</v>
      </c>
      <c r="G17" s="9" t="n">
        <f aca="false">IF(AND(C17=0,E17=0),0,IF(C17=0,"New",(E17-C17)/C17))</f>
        <v>-0.135562903138382</v>
      </c>
      <c r="H17" s="8" t="n">
        <f aca="false">SUMIFS('Source'!$E:$E,'Source'!$A:$A,"155138 לקוח אינטרנט",'Source'!$B:$B,$A17)</f>
        <v>82126.22</v>
      </c>
      <c r="I17" s="8" t="n">
        <f aca="false">SUMIFS('Source'!$G:$G,'Source'!$A:$A,"155138 לקוח אינטרנט",'Source'!$B:$B,$A17)</f>
        <v>54328.93</v>
      </c>
      <c r="J17" s="8" t="n">
        <f aca="false">I17*$J$5</f>
        <v>68626.0168421053</v>
      </c>
      <c r="K17" s="8" t="n">
        <f aca="false">J17-H17</f>
        <v>-13500.2031578947</v>
      </c>
      <c r="L17" s="9" t="n">
        <f aca="false">IF(AND(H17=0,J17=0),0,IF(H17=0,"New",(J17-H17)/H17))</f>
        <v>-0.164383593423571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109</v>
      </c>
      <c r="B18" s="7" t="str">
        <f aca="false">IFERROR(INDEX('Source'!$C:$C,MATCH($A18,'Source'!$B:$B,0)),"")</f>
        <v>מכשיר עיסוי ויטלימד פלקסי - פלוס שחור</v>
      </c>
      <c r="C18" s="8" t="n">
        <f aca="false">SUMIFS('Source'!$D:$D,'Source'!$A:$A,"155138 לקוח אינטרנט",'Source'!$B:$B,$A18)</f>
        <v>0</v>
      </c>
      <c r="D18" s="8" t="n">
        <f aca="false">SUMIFS('Source'!$F:$F,'Source'!$A:$A,"155138 לקוח אינטרנט",'Source'!$B:$B,$A18)</f>
        <v>25</v>
      </c>
      <c r="E18" s="8" t="n">
        <f aca="false">D18*$J$5</f>
        <v>31.5789473684211</v>
      </c>
      <c r="F18" s="8" t="n">
        <f aca="false">E18-C18</f>
        <v>31.5789473684211</v>
      </c>
      <c r="G18" s="9" t="str">
        <f aca="false">IF(AND(C18=0,E18=0),0,IF(C18=0,"New",(E18-C18)/C18))</f>
        <v>New</v>
      </c>
      <c r="H18" s="8" t="n">
        <f aca="false">SUMIFS('Source'!$E:$E,'Source'!$A:$A,"155138 לקוח אינטרנט",'Source'!$B:$B,$A18)</f>
        <v>0</v>
      </c>
      <c r="I18" s="8" t="n">
        <f aca="false">SUMIFS('Source'!$G:$G,'Source'!$A:$A,"155138 לקוח אינטרנט",'Source'!$B:$B,$A18)</f>
        <v>23150.68</v>
      </c>
      <c r="J18" s="8" t="n">
        <f aca="false">I18*$J$5</f>
        <v>29242.9642105263</v>
      </c>
      <c r="K18" s="8" t="n">
        <f aca="false">J18-H18</f>
        <v>29242.9642105263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110</v>
      </c>
      <c r="B19" s="7" t="str">
        <f aca="false">IFERROR(INDEX('Source'!$C:$C,MATCH($A19,'Source'!$B:$B,0)),"")</f>
        <v>גרבי נסיעות אנטיבקטריאלי</v>
      </c>
      <c r="C19" s="8" t="n">
        <f aca="false">SUMIFS('Source'!$D:$D,'Source'!$A:$A,"155138 לקוח אינטרנט",'Source'!$B:$B,$A19)</f>
        <v>12</v>
      </c>
      <c r="D19" s="8" t="n">
        <f aca="false">SUMIFS('Source'!$F:$F,'Source'!$A:$A,"155138 לקוח אינטרנט",'Source'!$B:$B,$A19)</f>
        <v>216</v>
      </c>
      <c r="E19" s="8" t="n">
        <f aca="false">D19*$J$5</f>
        <v>272.842105263158</v>
      </c>
      <c r="F19" s="8" t="n">
        <f aca="false">E19-C19</f>
        <v>260.842105263158</v>
      </c>
      <c r="G19" s="9" t="n">
        <f aca="false">IF(AND(C19=0,E19=0),0,IF(C19=0,"New",(E19-C19)/C19))</f>
        <v>21.7368421052632</v>
      </c>
      <c r="H19" s="8" t="n">
        <f aca="false">SUMIFS('Source'!$E:$E,'Source'!$A:$A,"155138 לקוח אינטרנט",'Source'!$B:$B,$A19)</f>
        <v>1234.64</v>
      </c>
      <c r="I19" s="8" t="n">
        <f aca="false">SUMIFS('Source'!$G:$G,'Source'!$A:$A,"155138 לקוח אינטרנט",'Source'!$B:$B,$A19)</f>
        <v>22588</v>
      </c>
      <c r="J19" s="8" t="n">
        <f aca="false">I19*$J$5</f>
        <v>28532.2105263158</v>
      </c>
      <c r="K19" s="8" t="n">
        <f aca="false">J19-H19</f>
        <v>27297.5705263158</v>
      </c>
      <c r="L19" s="9" t="n">
        <f aca="false">IF(AND(H19=0,J19=0),0,IF(H19=0,"New",(J19-H19)/H19))</f>
        <v>22.1097409174462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111</v>
      </c>
      <c r="B20" s="7" t="str">
        <f aca="false">IFERROR(INDEX('Source'!$C:$C,MATCH($A20,'Source'!$B:$B,0)),"")</f>
        <v>גרבי טיסה</v>
      </c>
      <c r="C20" s="8" t="n">
        <f aca="false">SUMIFS('Source'!$D:$D,'Source'!$A:$A,"155138 לקוח אינטרנט",'Source'!$B:$B,$A20)</f>
        <v>174</v>
      </c>
      <c r="D20" s="8" t="n">
        <f aca="false">SUMIFS('Source'!$F:$F,'Source'!$A:$A,"155138 לקוח אינטרנט",'Source'!$B:$B,$A20)</f>
        <v>1</v>
      </c>
      <c r="E20" s="8" t="n">
        <f aca="false">D20*$J$5</f>
        <v>1.26315789473684</v>
      </c>
      <c r="F20" s="8" t="n">
        <f aca="false">E20-C20</f>
        <v>-172.736842105263</v>
      </c>
      <c r="G20" s="9" t="n">
        <f aca="false">IF(AND(C20=0,E20=0),0,IF(C20=0,"New",(E20-C20)/C20))</f>
        <v>-0.992740471869329</v>
      </c>
      <c r="H20" s="8" t="n">
        <f aca="false">SUMIFS('Source'!$E:$E,'Source'!$A:$A,"155138 לקוח אינטרנט",'Source'!$B:$B,$A20)</f>
        <v>17260.97</v>
      </c>
      <c r="I20" s="8" t="n">
        <f aca="false">SUMIFS('Source'!$G:$G,'Source'!$A:$A,"155138 לקוח אינטרנט",'Source'!$B:$B,$A20)</f>
        <v>97.17</v>
      </c>
      <c r="J20" s="8" t="n">
        <f aca="false">I20*$J$5</f>
        <v>122.741052631579</v>
      </c>
      <c r="K20" s="8" t="n">
        <f aca="false">J20-H20</f>
        <v>-17138.2289473684</v>
      </c>
      <c r="L20" s="9" t="n">
        <f aca="false">IF(AND(H20=0,J20=0),0,IF(H20=0,"New",(J20-H20)/H20))</f>
        <v>-0.992889098779989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112</v>
      </c>
      <c r="B21" s="7" t="str">
        <f aca="false">IFERROR(INDEX('Source'!$C:$C,MATCH($A21,'Source'!$B:$B,0)),"")</f>
        <v>כרית עיסוי ויטלימד סופט - פלוס</v>
      </c>
      <c r="C21" s="8" t="n">
        <f aca="false">SUMIFS('Source'!$D:$D,'Source'!$A:$A,"155138 לקוח אינטרנט",'Source'!$B:$B,$A21)</f>
        <v>0</v>
      </c>
      <c r="D21" s="8" t="n">
        <f aca="false">SUMIFS('Source'!$F:$F,'Source'!$A:$A,"155138 לקוח אינטרנט",'Source'!$B:$B,$A21)</f>
        <v>18</v>
      </c>
      <c r="E21" s="8" t="n">
        <f aca="false">D21*$J$5</f>
        <v>22.7368421052632</v>
      </c>
      <c r="F21" s="8" t="n">
        <f aca="false">E21-C21</f>
        <v>22.7368421052632</v>
      </c>
      <c r="G21" s="9" t="str">
        <f aca="false">IF(AND(C21=0,E21=0),0,IF(C21=0,"New",(E21-C21)/C21))</f>
        <v>New</v>
      </c>
      <c r="H21" s="8" t="n">
        <f aca="false">SUMIFS('Source'!$E:$E,'Source'!$A:$A,"155138 לקוח אינטרנט",'Source'!$B:$B,$A21)</f>
        <v>0</v>
      </c>
      <c r="I21" s="8" t="n">
        <f aca="false">SUMIFS('Source'!$G:$G,'Source'!$A:$A,"155138 לקוח אינטרנט",'Source'!$B:$B,$A21)</f>
        <v>16626.44</v>
      </c>
      <c r="J21" s="8" t="n">
        <f aca="false">I21*$J$5</f>
        <v>21001.8189473684</v>
      </c>
      <c r="K21" s="8" t="n">
        <f aca="false">J21-H21</f>
        <v>21001.8189473684</v>
      </c>
      <c r="L21" s="9" t="str">
        <f aca="false">IF(AND(H21=0,J21=0),0,IF(H21=0,"New",(J21-H21)/H21))</f>
        <v>New</v>
      </c>
      <c r="M21" s="7" t="str">
        <f aca="false">IF(AND(OR(C21&lt;&gt;0,H21&lt;&gt;0),D21=0,I21=0),"DROP",IF(AND(OR(D21&lt;&gt;0,I21&lt;&gt;0),C21=0,H21=0),"NEW",""))</f>
        <v>NEW</v>
      </c>
    </row>
    <row r="22" customFormat="false" ht="15" hidden="false" customHeight="false" outlineLevel="0" collapsed="false">
      <c r="A22" s="7" t="s">
        <v>113</v>
      </c>
      <c r="B22" s="7" t="str">
        <f aca="false">IFERROR(INDEX('Source'!$C:$C,MATCH($A22,'Source'!$B:$B,0)),"")</f>
        <v>גרבי טיסה</v>
      </c>
      <c r="C22" s="8" t="n">
        <f aca="false">SUMIFS('Source'!$D:$D,'Source'!$A:$A,"155138 לקוח אינטרנט",'Source'!$B:$B,$A22)</f>
        <v>172</v>
      </c>
      <c r="D22" s="8" t="n">
        <f aca="false">SUMIFS('Source'!$F:$F,'Source'!$A:$A,"155138 לקוח אינטרנט",'Source'!$B:$B,$A22)</f>
        <v>0</v>
      </c>
      <c r="E22" s="8" t="n">
        <f aca="false">D22*$J$5</f>
        <v>0</v>
      </c>
      <c r="F22" s="8" t="n">
        <f aca="false">E22-C22</f>
        <v>-172</v>
      </c>
      <c r="G22" s="9" t="n">
        <f aca="false">IF(AND(C22=0,E22=0),0,IF(C22=0,"New",(E22-C22)/C22))</f>
        <v>-1</v>
      </c>
      <c r="H22" s="8" t="n">
        <f aca="false">SUMIFS('Source'!$E:$E,'Source'!$A:$A,"155138 לקוח אינטרנט",'Source'!$B:$B,$A22)</f>
        <v>16455.99</v>
      </c>
      <c r="I22" s="8" t="n">
        <f aca="false">SUMIFS('Source'!$G:$G,'Source'!$A:$A,"155138 לקוח אינטרנט",'Source'!$B:$B,$A22)</f>
        <v>0</v>
      </c>
      <c r="J22" s="8" t="n">
        <f aca="false">I22*$J$5</f>
        <v>0</v>
      </c>
      <c r="K22" s="8" t="n">
        <f aca="false">J22-H22</f>
        <v>-16455.99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114</v>
      </c>
      <c r="B23" s="7" t="str">
        <f aca="false">IFERROR(INDEX('Source'!$C:$C,MATCH($A23,'Source'!$B:$B,0)),"")</f>
        <v>כפפת CTS ימין</v>
      </c>
      <c r="C23" s="8" t="n">
        <f aca="false">SUMIFS('Source'!$D:$D,'Source'!$A:$A,"155138 לקוח אינטרנט",'Source'!$B:$B,$A23)</f>
        <v>21</v>
      </c>
      <c r="D23" s="8" t="n">
        <f aca="false">SUMIFS('Source'!$F:$F,'Source'!$A:$A,"155138 לקוח אינטרנט",'Source'!$B:$B,$A23)</f>
        <v>90</v>
      </c>
      <c r="E23" s="8" t="n">
        <f aca="false">D23*$J$5</f>
        <v>113.684210526316</v>
      </c>
      <c r="F23" s="8" t="n">
        <f aca="false">E23-C23</f>
        <v>92.6842105263158</v>
      </c>
      <c r="G23" s="9" t="n">
        <f aca="false">IF(AND(C23=0,E23=0),0,IF(C23=0,"New",(E23-C23)/C23))</f>
        <v>4.41353383458647</v>
      </c>
      <c r="H23" s="8" t="n">
        <f aca="false">SUMIFS('Source'!$E:$E,'Source'!$A:$A,"155138 לקוח אינטרנט",'Source'!$B:$B,$A23)</f>
        <v>3928.48</v>
      </c>
      <c r="I23" s="8" t="n">
        <f aca="false">SUMIFS('Source'!$G:$G,'Source'!$A:$A,"155138 לקוח אינטרנט",'Source'!$B:$B,$A23)</f>
        <v>17558.83</v>
      </c>
      <c r="J23" s="8" t="n">
        <f aca="false">I23*$J$5</f>
        <v>22179.5747368421</v>
      </c>
      <c r="K23" s="8" t="n">
        <f aca="false">J23-H23</f>
        <v>18251.0947368421</v>
      </c>
      <c r="L23" s="9" t="n">
        <f aca="false">IF(AND(H23=0,J23=0),0,IF(H23=0,"New",(J23-H23)/H23))</f>
        <v>4.64584132713979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115</v>
      </c>
      <c r="B24" s="7" t="str">
        <f aca="false">IFERROR(INDEX('Source'!$C:$C,MATCH($A24,'Source'!$B:$B,0)),"")</f>
        <v>מכשיר עיסוי ויטלימד פלקסי - פלוס קרם</v>
      </c>
      <c r="C24" s="8" t="n">
        <f aca="false">SUMIFS('Source'!$D:$D,'Source'!$A:$A,"155138 לקוח אינטרנט",'Source'!$B:$B,$A24)</f>
        <v>0</v>
      </c>
      <c r="D24" s="8" t="n">
        <f aca="false">SUMIFS('Source'!$F:$F,'Source'!$A:$A,"155138 לקוח אינטרנט",'Source'!$B:$B,$A24)</f>
        <v>12</v>
      </c>
      <c r="E24" s="8" t="n">
        <f aca="false">D24*$J$5</f>
        <v>15.1578947368421</v>
      </c>
      <c r="F24" s="8" t="n">
        <f aca="false">E24-C24</f>
        <v>15.1578947368421</v>
      </c>
      <c r="G24" s="9" t="str">
        <f aca="false">IF(AND(C24=0,E24=0),0,IF(C24=0,"New",(E24-C24)/C24))</f>
        <v>New</v>
      </c>
      <c r="H24" s="8" t="n">
        <f aca="false">SUMIFS('Source'!$E:$E,'Source'!$A:$A,"155138 לקוח אינטרנט",'Source'!$B:$B,$A24)</f>
        <v>0</v>
      </c>
      <c r="I24" s="8" t="n">
        <f aca="false">SUMIFS('Source'!$G:$G,'Source'!$A:$A,"155138 לקוח אינטרנט",'Source'!$B:$B,$A24)</f>
        <v>11151.68</v>
      </c>
      <c r="J24" s="8" t="n">
        <f aca="false">I24*$J$5</f>
        <v>14086.3326315789</v>
      </c>
      <c r="K24" s="8" t="n">
        <f aca="false">J24-H24</f>
        <v>14086.3326315789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116</v>
      </c>
      <c r="B25" s="7" t="str">
        <f aca="false">IFERROR(INDEX('Source'!$C:$C,MATCH($A25,'Source'!$B:$B,0)),"")</f>
        <v>כפפת CTS ימין</v>
      </c>
      <c r="C25" s="8" t="n">
        <f aca="false">SUMIFS('Source'!$D:$D,'Source'!$A:$A,"155138 לקוח אינטרנט",'Source'!$B:$B,$A25)</f>
        <v>29</v>
      </c>
      <c r="D25" s="8" t="n">
        <f aca="false">SUMIFS('Source'!$F:$F,'Source'!$A:$A,"155138 לקוח אינטרנט",'Source'!$B:$B,$A25)</f>
        <v>81</v>
      </c>
      <c r="E25" s="8" t="n">
        <f aca="false">D25*$J$5</f>
        <v>102.315789473684</v>
      </c>
      <c r="F25" s="8" t="n">
        <f aca="false">E25-C25</f>
        <v>73.3157894736842</v>
      </c>
      <c r="G25" s="9" t="n">
        <f aca="false">IF(AND(C25=0,E25=0),0,IF(C25=0,"New",(E25-C25)/C25))</f>
        <v>2.52813067150635</v>
      </c>
      <c r="H25" s="8" t="n">
        <f aca="false">SUMIFS('Source'!$E:$E,'Source'!$A:$A,"155138 לקוח אינטרנט",'Source'!$B:$B,$A25)</f>
        <v>5601.54</v>
      </c>
      <c r="I25" s="8" t="n">
        <f aca="false">SUMIFS('Source'!$G:$G,'Source'!$A:$A,"155138 לקוח אינטרנט",'Source'!$B:$B,$A25)</f>
        <v>15851.97</v>
      </c>
      <c r="J25" s="8" t="n">
        <f aca="false">I25*$J$5</f>
        <v>20023.5410526316</v>
      </c>
      <c r="K25" s="8" t="n">
        <f aca="false">J25-H25</f>
        <v>14422.0010526316</v>
      </c>
      <c r="L25" s="9" t="n">
        <f aca="false">IF(AND(H25=0,J25=0),0,IF(H25=0,"New",(J25-H25)/H25))</f>
        <v>2.57464930226894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117</v>
      </c>
      <c r="B26" s="7" t="str">
        <f aca="false">IFERROR(INDEX('Source'!$C:$C,MATCH($A26,'Source'!$B:$B,0)),"")</f>
        <v>גרבי טיסה</v>
      </c>
      <c r="C26" s="8" t="n">
        <f aca="false">SUMIFS('Source'!$D:$D,'Source'!$A:$A,"155138 לקוח אינטרנט",'Source'!$B:$B,$A26)</f>
        <v>85</v>
      </c>
      <c r="D26" s="8" t="n">
        <f aca="false">SUMIFS('Source'!$F:$F,'Source'!$A:$A,"155138 לקוח אינטרנט",'Source'!$B:$B,$A26)</f>
        <v>0</v>
      </c>
      <c r="E26" s="8" t="n">
        <f aca="false">D26*$J$5</f>
        <v>0</v>
      </c>
      <c r="F26" s="8" t="n">
        <f aca="false">E26-C26</f>
        <v>-85</v>
      </c>
      <c r="G26" s="9" t="n">
        <f aca="false">IF(AND(C26=0,E26=0),0,IF(C26=0,"New",(E26-C26)/C26))</f>
        <v>-1</v>
      </c>
      <c r="H26" s="8" t="n">
        <f aca="false">SUMIFS('Source'!$E:$E,'Source'!$A:$A,"155138 לקוח אינטרנט",'Source'!$B:$B,$A26)</f>
        <v>8777.86</v>
      </c>
      <c r="I26" s="8" t="n">
        <f aca="false">SUMIFS('Source'!$G:$G,'Source'!$A:$A,"155138 לקוח אינטרנט",'Source'!$B:$B,$A26)</f>
        <v>0</v>
      </c>
      <c r="J26" s="8" t="n">
        <f aca="false">I26*$J$5</f>
        <v>0</v>
      </c>
      <c r="K26" s="8" t="n">
        <f aca="false">J26-H26</f>
        <v>-8777.86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118</v>
      </c>
      <c r="B27" s="7" t="str">
        <f aca="false">IFERROR(INDEX('Source'!$C:$C,MATCH($A27,'Source'!$B:$B,0)),"")</f>
        <v>גרבי קיץ אנטיבקטריאלי שחור</v>
      </c>
      <c r="C27" s="8" t="n">
        <f aca="false">SUMIFS('Source'!$D:$D,'Source'!$A:$A,"155138 לקוח אינטרנט",'Source'!$B:$B,$A27)</f>
        <v>0</v>
      </c>
      <c r="D27" s="8" t="n">
        <f aca="false">SUMIFS('Source'!$F:$F,'Source'!$A:$A,"155138 לקוח אינטרנט",'Source'!$B:$B,$A27)</f>
        <v>185</v>
      </c>
      <c r="E27" s="8" t="n">
        <f aca="false">D27*$J$5</f>
        <v>233.684210526316</v>
      </c>
      <c r="F27" s="8" t="n">
        <f aca="false">E27-C27</f>
        <v>233.684210526316</v>
      </c>
      <c r="G27" s="9" t="str">
        <f aca="false">IF(AND(C27=0,E27=0),0,IF(C27=0,"New",(E27-C27)/C27))</f>
        <v>New</v>
      </c>
      <c r="H27" s="8" t="n">
        <f aca="false">SUMIFS('Source'!$E:$E,'Source'!$A:$A,"155138 לקוח אינטרנט",'Source'!$B:$B,$A27)</f>
        <v>0</v>
      </c>
      <c r="I27" s="8" t="n">
        <f aca="false">SUMIFS('Source'!$G:$G,'Source'!$A:$A,"155138 לקוח אינטרנט",'Source'!$B:$B,$A27)</f>
        <v>8537.98</v>
      </c>
      <c r="J27" s="8" t="n">
        <f aca="false">I27*$J$5</f>
        <v>10784.8168421053</v>
      </c>
      <c r="K27" s="8" t="n">
        <f aca="false">J27-H27</f>
        <v>10784.8168421053</v>
      </c>
      <c r="L27" s="9" t="str">
        <f aca="false">IF(AND(H27=0,J27=0),0,IF(H27=0,"New",(J27-H27)/H27))</f>
        <v>New</v>
      </c>
      <c r="M27" s="7" t="str">
        <f aca="false">IF(AND(OR(C27&lt;&gt;0,H27&lt;&gt;0),D27=0,I27=0),"DROP",IF(AND(OR(D27&lt;&gt;0,I27&lt;&gt;0),C27=0,H27=0),"NEW",""))</f>
        <v>NEW</v>
      </c>
    </row>
    <row r="28" customFormat="false" ht="15" hidden="false" customHeight="false" outlineLevel="0" collapsed="false">
      <c r="A28" s="7" t="s">
        <v>119</v>
      </c>
      <c r="B28" s="7" t="str">
        <f aca="false">IFERROR(INDEX('Source'!$C:$C,MATCH($A28,'Source'!$B:$B,0)),"")</f>
        <v>מיישר בוניון-HALUX VALGUS</v>
      </c>
      <c r="C28" s="8" t="n">
        <f aca="false">SUMIFS('Source'!$D:$D,'Source'!$A:$A,"155138 לקוח אינטרנט",'Source'!$B:$B,$A28)</f>
        <v>58</v>
      </c>
      <c r="D28" s="8" t="n">
        <f aca="false">SUMIFS('Source'!$F:$F,'Source'!$A:$A,"155138 לקוח אינטרנט",'Source'!$B:$B,$A28)</f>
        <v>158</v>
      </c>
      <c r="E28" s="8" t="n">
        <f aca="false">D28*$J$5</f>
        <v>199.578947368421</v>
      </c>
      <c r="F28" s="8" t="n">
        <f aca="false">E28-C28</f>
        <v>141.578947368421</v>
      </c>
      <c r="G28" s="9" t="n">
        <f aca="false">IF(AND(C28=0,E28=0),0,IF(C28=0,"New",(E28-C28)/C28))</f>
        <v>2.44101633393829</v>
      </c>
      <c r="H28" s="8" t="n">
        <f aca="false">SUMIFS('Source'!$E:$E,'Source'!$A:$A,"155138 לקוח אינטרנט",'Source'!$B:$B,$A28)</f>
        <v>4549.11</v>
      </c>
      <c r="I28" s="8" t="n">
        <f aca="false">SUMIFS('Source'!$G:$G,'Source'!$A:$A,"155138 לקוח אינטרנט",'Source'!$B:$B,$A28)</f>
        <v>12859.93</v>
      </c>
      <c r="J28" s="8" t="n">
        <f aca="false">I28*$J$5</f>
        <v>16244.1221052632</v>
      </c>
      <c r="K28" s="8" t="n">
        <f aca="false">J28-H28</f>
        <v>11695.0121052632</v>
      </c>
      <c r="L28" s="9" t="n">
        <f aca="false">IF(AND(H28=0,J28=0),0,IF(H28=0,"New",(J28-H28)/H28))</f>
        <v>2.57083519749207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120</v>
      </c>
      <c r="B29" s="7" t="str">
        <f aca="false">IFERROR(INDEX('Source'!$C:$C,MATCH($A29,'Source'!$B:$B,0)),"")</f>
        <v>כפפת CTS ימין</v>
      </c>
      <c r="C29" s="8" t="n">
        <f aca="false">SUMIFS('Source'!$D:$D,'Source'!$A:$A,"155138 לקוח אינטרנט",'Source'!$B:$B,$A29)</f>
        <v>9</v>
      </c>
      <c r="D29" s="8" t="n">
        <f aca="false">SUMIFS('Source'!$F:$F,'Source'!$A:$A,"155138 לקוח אינטרנט",'Source'!$B:$B,$A29)</f>
        <v>48</v>
      </c>
      <c r="E29" s="8" t="n">
        <f aca="false">D29*$J$5</f>
        <v>60.6315789473684</v>
      </c>
      <c r="F29" s="8" t="n">
        <f aca="false">E29-C29</f>
        <v>51.6315789473684</v>
      </c>
      <c r="G29" s="9" t="n">
        <f aca="false">IF(AND(C29=0,E29=0),0,IF(C29=0,"New",(E29-C29)/C29))</f>
        <v>5.73684210526316</v>
      </c>
      <c r="H29" s="8" t="n">
        <f aca="false">SUMIFS('Source'!$E:$E,'Source'!$A:$A,"155138 לקוח אינטרנט",'Source'!$B:$B,$A29)</f>
        <v>1662.46</v>
      </c>
      <c r="I29" s="8" t="n">
        <f aca="false">SUMIFS('Source'!$G:$G,'Source'!$A:$A,"155138 לקוח אינטרנט",'Source'!$B:$B,$A29)</f>
        <v>9857.91</v>
      </c>
      <c r="J29" s="8" t="n">
        <f aca="false">I29*$J$5</f>
        <v>12452.0968421053</v>
      </c>
      <c r="K29" s="8" t="n">
        <f aca="false">J29-H29</f>
        <v>10789.6368421053</v>
      </c>
      <c r="L29" s="9" t="n">
        <f aca="false">IF(AND(H29=0,J29=0),0,IF(H29=0,"New",(J29-H29)/H29))</f>
        <v>6.49016327737525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121</v>
      </c>
      <c r="B30" s="7" t="str">
        <f aca="false">IFERROR(INDEX('Source'!$C:$C,MATCH($A30,'Source'!$B:$B,0)),"")</f>
        <v>כפפת CTS שמאל</v>
      </c>
      <c r="C30" s="8" t="n">
        <f aca="false">SUMIFS('Source'!$D:$D,'Source'!$A:$A,"155138 לקוח אינטרנט",'Source'!$B:$B,$A30)</f>
        <v>16</v>
      </c>
      <c r="D30" s="8" t="n">
        <f aca="false">SUMIFS('Source'!$F:$F,'Source'!$A:$A,"155138 לקוח אינטרנט",'Source'!$B:$B,$A30)</f>
        <v>55</v>
      </c>
      <c r="E30" s="8" t="n">
        <f aca="false">D30*$J$5</f>
        <v>69.4736842105263</v>
      </c>
      <c r="F30" s="8" t="n">
        <f aca="false">E30-C30</f>
        <v>53.4736842105263</v>
      </c>
      <c r="G30" s="9" t="n">
        <f aca="false">IF(AND(C30=0,E30=0),0,IF(C30=0,"New",(E30-C30)/C30))</f>
        <v>3.34210526315789</v>
      </c>
      <c r="H30" s="8" t="n">
        <f aca="false">SUMIFS('Source'!$E:$E,'Source'!$A:$A,"155138 לקוח אינטרנט",'Source'!$B:$B,$A30)</f>
        <v>3060.19</v>
      </c>
      <c r="I30" s="8" t="n">
        <f aca="false">SUMIFS('Source'!$G:$G,'Source'!$A:$A,"155138 לקוח אינטרנט",'Source'!$B:$B,$A30)</f>
        <v>10996.54</v>
      </c>
      <c r="J30" s="8" t="n">
        <f aca="false">I30*$J$5</f>
        <v>13890.3663157895</v>
      </c>
      <c r="K30" s="8" t="n">
        <f aca="false">J30-H30</f>
        <v>10830.1763157895</v>
      </c>
      <c r="L30" s="9" t="n">
        <f aca="false">IF(AND(H30=0,J30=0),0,IF(H30=0,"New",(J30-H30)/H30))</f>
        <v>3.53905356065783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122</v>
      </c>
      <c r="B31" s="7" t="str">
        <f aca="false">IFERROR(INDEX('Source'!$C:$C,MATCH($A31,'Source'!$B:$B,0)),"")</f>
        <v>תומך ברך גנושילד</v>
      </c>
      <c r="C31" s="8" t="n">
        <f aca="false">SUMIFS('Source'!$D:$D,'Source'!$A:$A,"155138 לקוח אינטרנט",'Source'!$B:$B,$A31)</f>
        <v>3</v>
      </c>
      <c r="D31" s="8" t="n">
        <f aca="false">SUMIFS('Source'!$F:$F,'Source'!$A:$A,"155138 לקוח אינטרנט",'Source'!$B:$B,$A31)</f>
        <v>25</v>
      </c>
      <c r="E31" s="8" t="n">
        <f aca="false">D31*$J$5</f>
        <v>31.5789473684211</v>
      </c>
      <c r="F31" s="8" t="n">
        <f aca="false">E31-C31</f>
        <v>28.5789473684211</v>
      </c>
      <c r="G31" s="9" t="n">
        <f aca="false">IF(AND(C31=0,E31=0),0,IF(C31=0,"New",(E31-C31)/C31))</f>
        <v>9.52631578947368</v>
      </c>
      <c r="H31" s="8" t="n">
        <f aca="false">SUMIFS('Source'!$E:$E,'Source'!$A:$A,"155138 לקוח אינטרנט",'Source'!$B:$B,$A31)</f>
        <v>953.18</v>
      </c>
      <c r="I31" s="8" t="n">
        <f aca="false">SUMIFS('Source'!$G:$G,'Source'!$A:$A,"155138 לקוח אינטרנט",'Source'!$B:$B,$A31)</f>
        <v>8864.49</v>
      </c>
      <c r="J31" s="8" t="n">
        <f aca="false">I31*$J$5</f>
        <v>11197.2505263158</v>
      </c>
      <c r="K31" s="8" t="n">
        <f aca="false">J31-H31</f>
        <v>10244.0705263158</v>
      </c>
      <c r="L31" s="9" t="n">
        <f aca="false">IF(AND(H31=0,J31=0),0,IF(H31=0,"New",(J31-H31)/H31))</f>
        <v>10.7472571039214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123</v>
      </c>
      <c r="B32" s="7" t="str">
        <f aca="false">IFERROR(INDEX('Source'!$C:$C,MATCH($A32,'Source'!$B:$B,0)),"")</f>
        <v>מגן ברך ST+צירD+כרית סיליקון</v>
      </c>
      <c r="C32" s="8" t="n">
        <f aca="false">SUMIFS('Source'!$D:$D,'Source'!$A:$A,"155138 לקוח אינטרנט",'Source'!$B:$B,$A32)</f>
        <v>0</v>
      </c>
      <c r="D32" s="8" t="n">
        <f aca="false">SUMIFS('Source'!$F:$F,'Source'!$A:$A,"155138 לקוח אינטרנט",'Source'!$B:$B,$A32)</f>
        <v>20</v>
      </c>
      <c r="E32" s="8" t="n">
        <f aca="false">D32*$J$5</f>
        <v>25.2631578947368</v>
      </c>
      <c r="F32" s="8" t="n">
        <f aca="false">E32-C32</f>
        <v>25.2631578947368</v>
      </c>
      <c r="G32" s="9" t="str">
        <f aca="false">IF(AND(C32=0,E32=0),0,IF(C32=0,"New",(E32-C32)/C32))</f>
        <v>New</v>
      </c>
      <c r="H32" s="8" t="n">
        <f aca="false">SUMIFS('Source'!$E:$E,'Source'!$A:$A,"155138 לקוח אינטרנט",'Source'!$B:$B,$A32)</f>
        <v>0</v>
      </c>
      <c r="I32" s="8" t="n">
        <f aca="false">SUMIFS('Source'!$G:$G,'Source'!$A:$A,"155138 לקוח אינטרנט",'Source'!$B:$B,$A32)</f>
        <v>7780.4</v>
      </c>
      <c r="J32" s="8" t="n">
        <f aca="false">I32*$J$5</f>
        <v>9827.87368421053</v>
      </c>
      <c r="K32" s="8" t="n">
        <f aca="false">J32-H32</f>
        <v>9827.87368421053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124</v>
      </c>
      <c r="B33" s="7" t="str">
        <f aca="false">IFERROR(INDEX('Source'!$C:$C,MATCH($A33,'Source'!$B:$B,0)),"")</f>
        <v>גרבי נוחות קיץ שחור</v>
      </c>
      <c r="C33" s="8" t="n">
        <f aca="false">SUMIFS('Source'!$D:$D,'Source'!$A:$A,"155138 לקוח אינטרנט",'Source'!$B:$B,$A33)</f>
        <v>214</v>
      </c>
      <c r="D33" s="8" t="n">
        <f aca="false">SUMIFS('Source'!$F:$F,'Source'!$A:$A,"155138 לקוח אינטרנט",'Source'!$B:$B,$A33)</f>
        <v>21</v>
      </c>
      <c r="E33" s="8" t="n">
        <f aca="false">D33*$J$5</f>
        <v>26.5263157894737</v>
      </c>
      <c r="F33" s="8" t="n">
        <f aca="false">E33-C33</f>
        <v>-187.473684210526</v>
      </c>
      <c r="G33" s="9" t="n">
        <f aca="false">IF(AND(C33=0,E33=0),0,IF(C33=0,"New",(E33-C33)/C33))</f>
        <v>-0.876045253320217</v>
      </c>
      <c r="H33" s="8" t="n">
        <f aca="false">SUMIFS('Source'!$E:$E,'Source'!$A:$A,"155138 לקוח אינטרנט",'Source'!$B:$B,$A33)</f>
        <v>8505.31</v>
      </c>
      <c r="I33" s="8" t="n">
        <f aca="false">SUMIFS('Source'!$G:$G,'Source'!$A:$A,"155138 לקוח אינטרנט",'Source'!$B:$B,$A33)</f>
        <v>827.7</v>
      </c>
      <c r="J33" s="8" t="n">
        <f aca="false">I33*$J$5</f>
        <v>1045.51578947368</v>
      </c>
      <c r="K33" s="8" t="n">
        <f aca="false">J33-H33</f>
        <v>-7459.79421052632</v>
      </c>
      <c r="L33" s="9" t="n">
        <f aca="false">IF(AND(H33=0,J33=0),0,IF(H33=0,"New",(J33-H33)/H33))</f>
        <v>-0.877074934426413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125</v>
      </c>
      <c r="B34" s="7" t="str">
        <f aca="false">IFERROR(INDEX('Source'!$C:$C,MATCH($A34,'Source'!$B:$B,0)),"")</f>
        <v>שרוול לגבס ארוך רגל</v>
      </c>
      <c r="C34" s="8" t="n">
        <f aca="false">SUMIFS('Source'!$D:$D,'Source'!$A:$A,"155138 לקוח אינטרנט",'Source'!$B:$B,$A34)</f>
        <v>29</v>
      </c>
      <c r="D34" s="8" t="n">
        <f aca="false">SUMIFS('Source'!$F:$F,'Source'!$A:$A,"155138 לקוח אינטרנט",'Source'!$B:$B,$A34)</f>
        <v>109</v>
      </c>
      <c r="E34" s="8" t="n">
        <f aca="false">D34*$J$5</f>
        <v>137.684210526316</v>
      </c>
      <c r="F34" s="8" t="n">
        <f aca="false">E34-C34</f>
        <v>108.684210526316</v>
      </c>
      <c r="G34" s="9" t="n">
        <f aca="false">IF(AND(C34=0,E34=0),0,IF(C34=0,"New",(E34-C34)/C34))</f>
        <v>3.74773139745917</v>
      </c>
      <c r="H34" s="8" t="n">
        <f aca="false">SUMIFS('Source'!$E:$E,'Source'!$A:$A,"155138 לקוח אינטרנט",'Source'!$B:$B,$A34)</f>
        <v>2300.87</v>
      </c>
      <c r="I34" s="8" t="n">
        <f aca="false">SUMIFS('Source'!$G:$G,'Source'!$A:$A,"155138 לקוח אינטרנט",'Source'!$B:$B,$A34)</f>
        <v>8986.71</v>
      </c>
      <c r="J34" s="8" t="n">
        <f aca="false">I34*$J$5</f>
        <v>11351.6336842105</v>
      </c>
      <c r="K34" s="8" t="n">
        <f aca="false">J34-H34</f>
        <v>9050.76368421052</v>
      </c>
      <c r="L34" s="9" t="n">
        <f aca="false">IF(AND(H34=0,J34=0),0,IF(H34=0,"New",(J34-H34)/H34))</f>
        <v>3.93362670824972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126</v>
      </c>
      <c r="B35" s="7" t="str">
        <f aca="false">IFERROR(INDEX('Source'!$C:$C,MATCH($A35,'Source'!$B:$B,0)),"")</f>
        <v>חבק יד SC25</v>
      </c>
      <c r="C35" s="8" t="n">
        <f aca="false">SUMIFS('Source'!$D:$D,'Source'!$A:$A,"155138 לקוח אינטרנט",'Source'!$B:$B,$A35)</f>
        <v>232</v>
      </c>
      <c r="D35" s="8" t="n">
        <f aca="false">SUMIFS('Source'!$F:$F,'Source'!$A:$A,"155138 לקוח אינטרנט",'Source'!$B:$B,$A35)</f>
        <v>163</v>
      </c>
      <c r="E35" s="8" t="n">
        <f aca="false">D35*$J$5</f>
        <v>205.894736842105</v>
      </c>
      <c r="F35" s="8" t="n">
        <f aca="false">E35-C35</f>
        <v>-26.1052631578947</v>
      </c>
      <c r="G35" s="9" t="n">
        <f aca="false">IF(AND(C35=0,E35=0),0,IF(C35=0,"New",(E35-C35)/C35))</f>
        <v>-0.112522686025408</v>
      </c>
      <c r="H35" s="8" t="n">
        <f aca="false">SUMIFS('Source'!$E:$E,'Source'!$A:$A,"155138 לקוח אינטרנט",'Source'!$B:$B,$A35)</f>
        <v>31029.93</v>
      </c>
      <c r="I35" s="8" t="n">
        <f aca="false">SUMIFS('Source'!$G:$G,'Source'!$A:$A,"155138 לקוח אינטרנט",'Source'!$B:$B,$A35)</f>
        <v>25188.4</v>
      </c>
      <c r="J35" s="8" t="n">
        <f aca="false">I35*$J$5</f>
        <v>31816.9263157895</v>
      </c>
      <c r="K35" s="8" t="n">
        <f aca="false">J35-H35</f>
        <v>786.996315789475</v>
      </c>
      <c r="L35" s="9" t="n">
        <f aca="false">IF(AND(H35=0,J35=0),0,IF(H35=0,"New",(J35-H35)/H35))</f>
        <v>0.0253624908528467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127</v>
      </c>
      <c r="B36" s="7" t="str">
        <f aca="false">IFERROR(INDEX('Source'!$C:$C,MATCH($A36,'Source'!$B:$B,0)),"")</f>
        <v>גרבי קיץ אנטיבקטריאלי לבן</v>
      </c>
      <c r="C36" s="8" t="n">
        <f aca="false">SUMIFS('Source'!$D:$D,'Source'!$A:$A,"155138 לקוח אינטרנט",'Source'!$B:$B,$A36)</f>
        <v>0</v>
      </c>
      <c r="D36" s="8" t="n">
        <f aca="false">SUMIFS('Source'!$F:$F,'Source'!$A:$A,"155138 לקוח אינטרנט",'Source'!$B:$B,$A36)</f>
        <v>124</v>
      </c>
      <c r="E36" s="8" t="n">
        <f aca="false">D36*$J$5</f>
        <v>156.631578947368</v>
      </c>
      <c r="F36" s="8" t="n">
        <f aca="false">E36-C36</f>
        <v>156.631578947368</v>
      </c>
      <c r="G36" s="9" t="str">
        <f aca="false">IF(AND(C36=0,E36=0),0,IF(C36=0,"New",(E36-C36)/C36))</f>
        <v>New</v>
      </c>
      <c r="H36" s="8" t="n">
        <f aca="false">SUMIFS('Source'!$E:$E,'Source'!$A:$A,"155138 לקוח אינטרנט",'Source'!$B:$B,$A36)</f>
        <v>0</v>
      </c>
      <c r="I36" s="8" t="n">
        <f aca="false">SUMIFS('Source'!$G:$G,'Source'!$A:$A,"155138 לקוח אינטרנט",'Source'!$B:$B,$A36)</f>
        <v>5835.45</v>
      </c>
      <c r="J36" s="8" t="n">
        <f aca="false">I36*$J$5</f>
        <v>7371.09473684211</v>
      </c>
      <c r="K36" s="8" t="n">
        <f aca="false">J36-H36</f>
        <v>7371.09473684211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7" customFormat="false" ht="15" hidden="false" customHeight="false" outlineLevel="0" collapsed="false">
      <c r="A37" s="7" t="s">
        <v>128</v>
      </c>
      <c r="B37" s="7" t="str">
        <f aca="false">IFERROR(INDEX('Source'!$C:$C,MATCH($A37,'Source'!$B:$B,0)),"")</f>
        <v>תומך ברך גנושילד</v>
      </c>
      <c r="C37" s="8" t="n">
        <f aca="false">SUMIFS('Source'!$D:$D,'Source'!$A:$A,"155138 לקוח אינטרנט",'Source'!$B:$B,$A37)</f>
        <v>3</v>
      </c>
      <c r="D37" s="8" t="n">
        <f aca="false">SUMIFS('Source'!$F:$F,'Source'!$A:$A,"155138 לקוח אינטרנט",'Source'!$B:$B,$A37)</f>
        <v>17</v>
      </c>
      <c r="E37" s="8" t="n">
        <f aca="false">D37*$J$5</f>
        <v>21.4736842105263</v>
      </c>
      <c r="F37" s="8" t="n">
        <f aca="false">E37-C37</f>
        <v>18.4736842105263</v>
      </c>
      <c r="G37" s="9" t="n">
        <f aca="false">IF(AND(C37=0,E37=0),0,IF(C37=0,"New",(E37-C37)/C37))</f>
        <v>6.15789473684211</v>
      </c>
      <c r="H37" s="8" t="n">
        <f aca="false">SUMIFS('Source'!$E:$E,'Source'!$A:$A,"155138 לקוח אינטרנט",'Source'!$B:$B,$A37)</f>
        <v>972.23</v>
      </c>
      <c r="I37" s="8" t="n">
        <f aca="false">SUMIFS('Source'!$G:$G,'Source'!$A:$A,"155138 לקוח אינטרנט",'Source'!$B:$B,$A37)</f>
        <v>6115.75</v>
      </c>
      <c r="J37" s="8" t="n">
        <f aca="false">I37*$J$5</f>
        <v>7725.15789473684</v>
      </c>
      <c r="K37" s="8" t="n">
        <f aca="false">J37-H37</f>
        <v>6752.92789473684</v>
      </c>
      <c r="L37" s="9" t="n">
        <f aca="false">IF(AND(H37=0,J37=0),0,IF(H37=0,"New",(J37-H37)/H37))</f>
        <v>6.94581312522432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129</v>
      </c>
      <c r="B38" s="7" t="str">
        <f aca="false">IFERROR(INDEX('Source'!$C:$C,MATCH($A38,'Source'!$B:$B,0)),"")</f>
        <v>רצועה לפיקה+כרית</v>
      </c>
      <c r="C38" s="8" t="n">
        <f aca="false">SUMIFS('Source'!$D:$D,'Source'!$A:$A,"155138 לקוח אינטרנט",'Source'!$B:$B,$A38)</f>
        <v>18</v>
      </c>
      <c r="D38" s="8" t="n">
        <f aca="false">SUMIFS('Source'!$F:$F,'Source'!$A:$A,"155138 לקוח אינטרנט",'Source'!$B:$B,$A38)</f>
        <v>49</v>
      </c>
      <c r="E38" s="8" t="n">
        <f aca="false">D38*$J$5</f>
        <v>61.8947368421053</v>
      </c>
      <c r="F38" s="8" t="n">
        <f aca="false">E38-C38</f>
        <v>43.8947368421053</v>
      </c>
      <c r="G38" s="9" t="n">
        <f aca="false">IF(AND(C38=0,E38=0),0,IF(C38=0,"New",(E38-C38)/C38))</f>
        <v>2.43859649122807</v>
      </c>
      <c r="H38" s="8" t="n">
        <f aca="false">SUMIFS('Source'!$E:$E,'Source'!$A:$A,"155138 לקוח אינטרנט",'Source'!$B:$B,$A38)</f>
        <v>2925.79</v>
      </c>
      <c r="I38" s="8" t="n">
        <f aca="false">SUMIFS('Source'!$G:$G,'Source'!$A:$A,"155138 לקוח אינטרנט",'Source'!$B:$B,$A38)</f>
        <v>8024.67</v>
      </c>
      <c r="J38" s="8" t="n">
        <f aca="false">I38*$J$5</f>
        <v>10136.4252631579</v>
      </c>
      <c r="K38" s="8" t="n">
        <f aca="false">J38-H38</f>
        <v>7210.6352631579</v>
      </c>
      <c r="L38" s="9" t="n">
        <f aca="false">IF(AND(H38=0,J38=0),0,IF(H38=0,"New",(J38-H38)/H38))</f>
        <v>2.46450882091944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130</v>
      </c>
      <c r="B39" s="7" t="str">
        <f aca="false">IFERROR(INDEX('Source'!$C:$C,MATCH($A39,'Source'!$B:$B,0)),"")</f>
        <v>חגורת שבר לצד ימין</v>
      </c>
      <c r="C39" s="8" t="n">
        <f aca="false">SUMIFS('Source'!$D:$D,'Source'!$A:$A,"155138 לקוח אינטרנט",'Source'!$B:$B,$A39)</f>
        <v>22</v>
      </c>
      <c r="D39" s="8" t="n">
        <f aca="false">SUMIFS('Source'!$F:$F,'Source'!$A:$A,"155138 לקוח אינטרנט",'Source'!$B:$B,$A39)</f>
        <v>6</v>
      </c>
      <c r="E39" s="8" t="n">
        <f aca="false">D39*$J$5</f>
        <v>7.57894736842105</v>
      </c>
      <c r="F39" s="8" t="n">
        <f aca="false">E39-C39</f>
        <v>-14.4210526315789</v>
      </c>
      <c r="G39" s="9" t="n">
        <f aca="false">IF(AND(C39=0,E39=0),0,IF(C39=0,"New",(E39-C39)/C39))</f>
        <v>-0.655502392344498</v>
      </c>
      <c r="H39" s="8" t="n">
        <f aca="false">SUMIFS('Source'!$E:$E,'Source'!$A:$A,"155138 לקוח אינטרנט",'Source'!$B:$B,$A39)</f>
        <v>6832</v>
      </c>
      <c r="I39" s="8" t="n">
        <f aca="false">SUMIFS('Source'!$G:$G,'Source'!$A:$A,"155138 לקוח אינטרנט",'Source'!$B:$B,$A39)</f>
        <v>2033.4</v>
      </c>
      <c r="J39" s="8" t="n">
        <f aca="false">I39*$J$5</f>
        <v>2568.50526315789</v>
      </c>
      <c r="K39" s="8" t="n">
        <f aca="false">J39-H39</f>
        <v>-4263.49473684211</v>
      </c>
      <c r="L39" s="9" t="n">
        <f aca="false">IF(AND(H39=0,J39=0),0,IF(H39=0,"New",(J39-H39)/H39))</f>
        <v>-0.624047824479231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131</v>
      </c>
      <c r="B40" s="7" t="str">
        <f aca="false">IFERROR(INDEX('Source'!$C:$C,MATCH($A40,'Source'!$B:$B,0)),"")</f>
        <v>משלוח חינם</v>
      </c>
      <c r="C40" s="8" t="n">
        <f aca="false">SUMIFS('Source'!$D:$D,'Source'!$A:$A,"155138 לקוח אינטרנט",'Source'!$B:$B,$A40)</f>
        <v>1340</v>
      </c>
      <c r="D40" s="8" t="n">
        <f aca="false">SUMIFS('Source'!$F:$F,'Source'!$A:$A,"155138 לקוח אינטרנט",'Source'!$B:$B,$A40)</f>
        <v>1764</v>
      </c>
      <c r="E40" s="8" t="n">
        <f aca="false">D40*$J$5</f>
        <v>2228.21052631579</v>
      </c>
      <c r="F40" s="8" t="n">
        <f aca="false">E40-C40</f>
        <v>888.210526315789</v>
      </c>
      <c r="G40" s="9" t="n">
        <f aca="false">IF(AND(C40=0,E40=0),0,IF(C40=0,"New",(E40-C40)/C40))</f>
        <v>0.662843676355067</v>
      </c>
      <c r="H40" s="8" t="n">
        <f aca="false">SUMIFS('Source'!$E:$E,'Source'!$A:$A,"155138 לקוח אינטרנט",'Source'!$B:$B,$A40)</f>
        <v>13.36</v>
      </c>
      <c r="I40" s="8" t="n">
        <f aca="false">SUMIFS('Source'!$G:$G,'Source'!$A:$A,"155138 לקוח אינטרנט",'Source'!$B:$B,$A40)</f>
        <v>-4708.49</v>
      </c>
      <c r="J40" s="8" t="n">
        <f aca="false">I40*$J$5</f>
        <v>-5947.56631578947</v>
      </c>
      <c r="K40" s="8" t="n">
        <f aca="false">J40-H40</f>
        <v>-5960.92631578947</v>
      </c>
      <c r="L40" s="9" t="n">
        <f aca="false">IF(AND(H40=0,J40=0),0,IF(H40=0,"New",(J40-H40)/H40))</f>
        <v>-446.17711944532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132</v>
      </c>
      <c r="B41" s="7" t="str">
        <f aca="false">IFERROR(INDEX('Source'!$C:$C,MATCH($A41,'Source'!$B:$B,0)),"")</f>
        <v>תומך ברך גנושילד</v>
      </c>
      <c r="C41" s="8" t="n">
        <f aca="false">SUMIFS('Source'!$D:$D,'Source'!$A:$A,"155138 לקוח אינטרנט",'Source'!$B:$B,$A41)</f>
        <v>0</v>
      </c>
      <c r="D41" s="8" t="n">
        <f aca="false">SUMIFS('Source'!$F:$F,'Source'!$A:$A,"155138 לקוח אינטרנט",'Source'!$B:$B,$A41)</f>
        <v>13</v>
      </c>
      <c r="E41" s="8" t="n">
        <f aca="false">D41*$J$5</f>
        <v>16.4210526315789</v>
      </c>
      <c r="F41" s="8" t="n">
        <f aca="false">E41-C41</f>
        <v>16.4210526315789</v>
      </c>
      <c r="G41" s="9" t="str">
        <f aca="false">IF(AND(C41=0,E41=0),0,IF(C41=0,"New",(E41-C41)/C41))</f>
        <v>New</v>
      </c>
      <c r="H41" s="8" t="n">
        <f aca="false">SUMIFS('Source'!$E:$E,'Source'!$A:$A,"155138 לקוח אינטרנט",'Source'!$B:$B,$A41)</f>
        <v>0</v>
      </c>
      <c r="I41" s="8" t="n">
        <f aca="false">SUMIFS('Source'!$G:$G,'Source'!$A:$A,"155138 לקוח אינטרנט",'Source'!$B:$B,$A41)</f>
        <v>4594.31</v>
      </c>
      <c r="J41" s="8" t="n">
        <f aca="false">I41*$J$5</f>
        <v>5803.33894736842</v>
      </c>
      <c r="K41" s="8" t="n">
        <f aca="false">J41-H41</f>
        <v>5803.33894736842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133</v>
      </c>
      <c r="B42" s="7" t="str">
        <f aca="false">IFERROR(INDEX('Source'!$C:$C,MATCH($A42,'Source'!$B:$B,0)),"")</f>
        <v>סד יד</v>
      </c>
      <c r="C42" s="8" t="n">
        <f aca="false">SUMIFS('Source'!$D:$D,'Source'!$A:$A,"155138 לקוח אינטרנט",'Source'!$B:$B,$A42)</f>
        <v>139</v>
      </c>
      <c r="D42" s="8" t="n">
        <f aca="false">SUMIFS('Source'!$F:$F,'Source'!$A:$A,"155138 לקוח אינטרנט",'Source'!$B:$B,$A42)</f>
        <v>195</v>
      </c>
      <c r="E42" s="8" t="n">
        <f aca="false">D42*$J$5</f>
        <v>246.315789473684</v>
      </c>
      <c r="F42" s="8" t="n">
        <f aca="false">E42-C42</f>
        <v>107.315789473684</v>
      </c>
      <c r="G42" s="9" t="n">
        <f aca="false">IF(AND(C42=0,E42=0),0,IF(C42=0,"New",(E42-C42)/C42))</f>
        <v>0.772056039379023</v>
      </c>
      <c r="H42" s="8" t="n">
        <f aca="false">SUMIFS('Source'!$E:$E,'Source'!$A:$A,"155138 לקוח אינטרנט",'Source'!$B:$B,$A42)</f>
        <v>9859.42</v>
      </c>
      <c r="I42" s="8" t="n">
        <f aca="false">SUMIFS('Source'!$G:$G,'Source'!$A:$A,"155138 לקוח אינטרנט",'Source'!$B:$B,$A42)</f>
        <v>14388.34</v>
      </c>
      <c r="J42" s="8" t="n">
        <f aca="false">I42*$J$5</f>
        <v>18174.7452631579</v>
      </c>
      <c r="K42" s="8" t="n">
        <f aca="false">J42-H42</f>
        <v>8315.32526315789</v>
      </c>
      <c r="L42" s="9" t="n">
        <f aca="false">IF(AND(H42=0,J42=0),0,IF(H42=0,"New",(J42-H42)/H42))</f>
        <v>0.843388887293359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134</v>
      </c>
      <c r="B43" s="7" t="str">
        <f aca="false">IFERROR(INDEX('Source'!$C:$C,MATCH($A43,'Source'!$B:$B,0)),"")</f>
        <v>מ. בוניון + מפריד אצבע</v>
      </c>
      <c r="C43" s="8" t="n">
        <f aca="false">SUMIFS('Source'!$D:$D,'Source'!$A:$A,"155138 לקוח אינטרנט",'Source'!$B:$B,$A43)</f>
        <v>96</v>
      </c>
      <c r="D43" s="8" t="n">
        <f aca="false">SUMIFS('Source'!$F:$F,'Source'!$A:$A,"155138 לקוח אינטרנט",'Source'!$B:$B,$A43)</f>
        <v>157</v>
      </c>
      <c r="E43" s="8" t="n">
        <f aca="false">D43*$J$5</f>
        <v>198.315789473684</v>
      </c>
      <c r="F43" s="8" t="n">
        <f aca="false">E43-C43</f>
        <v>102.315789473684</v>
      </c>
      <c r="G43" s="9" t="n">
        <f aca="false">IF(AND(C43=0,E43=0),0,IF(C43=0,"New",(E43-C43)/C43))</f>
        <v>1.06578947368421</v>
      </c>
      <c r="H43" s="8" t="n">
        <f aca="false">SUMIFS('Source'!$E:$E,'Source'!$A:$A,"155138 לקוח אינטרנט",'Source'!$B:$B,$A43)</f>
        <v>6399.12</v>
      </c>
      <c r="I43" s="8" t="n">
        <f aca="false">SUMIFS('Source'!$G:$G,'Source'!$A:$A,"155138 לקוח אינטרנט",'Source'!$B:$B,$A43)</f>
        <v>10900.19</v>
      </c>
      <c r="J43" s="8" t="n">
        <f aca="false">I43*$J$5</f>
        <v>13768.6610526316</v>
      </c>
      <c r="K43" s="8" t="n">
        <f aca="false">J43-H43</f>
        <v>7369.54105263158</v>
      </c>
      <c r="L43" s="9" t="n">
        <f aca="false">IF(AND(H43=0,J43=0),0,IF(H43=0,"New",(J43-H43)/H43))</f>
        <v>1.1516491412306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135</v>
      </c>
      <c r="B44" s="7" t="str">
        <f aca="false">IFERROR(INDEX('Source'!$C:$C,MATCH($A44,'Source'!$B:$B,0)),"")</f>
        <v>מגן ברך עם תמיכות</v>
      </c>
      <c r="C44" s="8" t="n">
        <f aca="false">SUMIFS('Source'!$D:$D,'Source'!$A:$A,"155138 לקוח אינטרנט",'Source'!$B:$B,$A44)</f>
        <v>107</v>
      </c>
      <c r="D44" s="8" t="n">
        <f aca="false">SUMIFS('Source'!$F:$F,'Source'!$A:$A,"155138 לקוח אינטרנט",'Source'!$B:$B,$A44)</f>
        <v>136</v>
      </c>
      <c r="E44" s="8" t="n">
        <f aca="false">D44*$J$5</f>
        <v>171.789473684211</v>
      </c>
      <c r="F44" s="8" t="n">
        <f aca="false">E44-C44</f>
        <v>64.7894736842105</v>
      </c>
      <c r="G44" s="9" t="n">
        <f aca="false">IF(AND(C44=0,E44=0),0,IF(C44=0,"New",(E44-C44)/C44))</f>
        <v>0.605509099852435</v>
      </c>
      <c r="H44" s="8" t="n">
        <f aca="false">SUMIFS('Source'!$E:$E,'Source'!$A:$A,"155138 לקוח אינטרנט",'Source'!$B:$B,$A44)</f>
        <v>13400.11</v>
      </c>
      <c r="I44" s="8" t="n">
        <f aca="false">SUMIFS('Source'!$G:$G,'Source'!$A:$A,"155138 לקוח אינטרנט",'Source'!$B:$B,$A44)</f>
        <v>17867.04</v>
      </c>
      <c r="J44" s="8" t="n">
        <f aca="false">I44*$J$5</f>
        <v>22568.8926315789</v>
      </c>
      <c r="K44" s="8" t="n">
        <f aca="false">J44-H44</f>
        <v>9168.78263157895</v>
      </c>
      <c r="L44" s="9" t="n">
        <f aca="false">IF(AND(H44=0,J44=0),0,IF(H44=0,"New",(J44-H44)/H44))</f>
        <v>0.684231892990352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136</v>
      </c>
      <c r="B45" s="7" t="str">
        <f aca="false">IFERROR(INDEX('Source'!$C:$C,MATCH($A45,'Source'!$B:$B,0)),"")</f>
        <v>מגן מרפק SC95</v>
      </c>
      <c r="C45" s="8" t="n">
        <f aca="false">SUMIFS('Source'!$D:$D,'Source'!$A:$A,"155138 לקוח אינטרנט",'Source'!$B:$B,$A45)</f>
        <v>62</v>
      </c>
      <c r="D45" s="8" t="n">
        <f aca="false">SUMIFS('Source'!$F:$F,'Source'!$A:$A,"155138 לקוח אינטרנט",'Source'!$B:$B,$A45)</f>
        <v>24</v>
      </c>
      <c r="E45" s="8" t="n">
        <f aca="false">D45*$J$5</f>
        <v>30.3157894736842</v>
      </c>
      <c r="F45" s="8" t="n">
        <f aca="false">E45-C45</f>
        <v>-31.6842105263158</v>
      </c>
      <c r="G45" s="9" t="n">
        <f aca="false">IF(AND(C45=0,E45=0),0,IF(C45=0,"New",(E45-C45)/C45))</f>
        <v>-0.511035653650255</v>
      </c>
      <c r="H45" s="8" t="n">
        <f aca="false">SUMIFS('Source'!$E:$E,'Source'!$A:$A,"155138 לקוח אינטרנט",'Source'!$B:$B,$A45)</f>
        <v>7912.97</v>
      </c>
      <c r="I45" s="8" t="n">
        <f aca="false">SUMIFS('Source'!$G:$G,'Source'!$A:$A,"155138 לקוח אינטרנט",'Source'!$B:$B,$A45)</f>
        <v>3511.4</v>
      </c>
      <c r="J45" s="8" t="n">
        <f aca="false">I45*$J$5</f>
        <v>4435.45263157895</v>
      </c>
      <c r="K45" s="8" t="n">
        <f aca="false">J45-H45</f>
        <v>-3477.51736842105</v>
      </c>
      <c r="L45" s="9" t="n">
        <f aca="false">IF(AND(H45=0,J45=0),0,IF(H45=0,"New",(J45-H45)/H45))</f>
        <v>-0.439470561422709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137</v>
      </c>
      <c r="B46" s="7" t="str">
        <f aca="false">IFERROR(INDEX('Source'!$C:$C,MATCH($A46,'Source'!$B:$B,0)),"")</f>
        <v>גרבי קיץ אנטיבקטריאלי לבן</v>
      </c>
      <c r="C46" s="8" t="n">
        <f aca="false">SUMIFS('Source'!$D:$D,'Source'!$A:$A,"155138 לקוח אינטרנט",'Source'!$B:$B,$A46)</f>
        <v>0</v>
      </c>
      <c r="D46" s="8" t="n">
        <f aca="false">SUMIFS('Source'!$F:$F,'Source'!$A:$A,"155138 לקוח אינטרנט",'Source'!$B:$B,$A46)</f>
        <v>93</v>
      </c>
      <c r="E46" s="8" t="n">
        <f aca="false">D46*$J$5</f>
        <v>117.473684210526</v>
      </c>
      <c r="F46" s="8" t="n">
        <f aca="false">E46-C46</f>
        <v>117.473684210526</v>
      </c>
      <c r="G46" s="9" t="str">
        <f aca="false">IF(AND(C46=0,E46=0),0,IF(C46=0,"New",(E46-C46)/C46))</f>
        <v>New</v>
      </c>
      <c r="H46" s="8" t="n">
        <f aca="false">SUMIFS('Source'!$E:$E,'Source'!$A:$A,"155138 לקוח אינטרנט",'Source'!$B:$B,$A46)</f>
        <v>0</v>
      </c>
      <c r="I46" s="8" t="n">
        <f aca="false">SUMIFS('Source'!$G:$G,'Source'!$A:$A,"155138 לקוח אינטרנט",'Source'!$B:$B,$A46)</f>
        <v>4332.58</v>
      </c>
      <c r="J46" s="8" t="n">
        <f aca="false">I46*$J$5</f>
        <v>5472.73263157895</v>
      </c>
      <c r="K46" s="8" t="n">
        <f aca="false">J46-H46</f>
        <v>5472.73263157895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138</v>
      </c>
      <c r="B47" s="7" t="str">
        <f aca="false">IFERROR(INDEX('Source'!$C:$C,MATCH($A47,'Source'!$B:$B,0)),"")</f>
        <v>חגורת פאבליק (רצועות אבדוקציה)</v>
      </c>
      <c r="C47" s="8" t="n">
        <f aca="false">SUMIFS('Source'!$D:$D,'Source'!$A:$A,"155138 לקוח אינטרנט",'Source'!$B:$B,$A47)</f>
        <v>1</v>
      </c>
      <c r="D47" s="8" t="n">
        <f aca="false">SUMIFS('Source'!$F:$F,'Source'!$A:$A,"155138 לקוח אינטרנט",'Source'!$B:$B,$A47)</f>
        <v>8</v>
      </c>
      <c r="E47" s="8" t="n">
        <f aca="false">D47*$J$5</f>
        <v>10.1052631578947</v>
      </c>
      <c r="F47" s="8" t="n">
        <f aca="false">E47-C47</f>
        <v>9.10526315789474</v>
      </c>
      <c r="G47" s="9" t="n">
        <f aca="false">IF(AND(C47=0,E47=0),0,IF(C47=0,"New",(E47-C47)/C47))</f>
        <v>9.10526315789474</v>
      </c>
      <c r="H47" s="8" t="n">
        <f aca="false">SUMIFS('Source'!$E:$E,'Source'!$A:$A,"155138 לקוח אינטרנט",'Source'!$B:$B,$A47)</f>
        <v>467.73</v>
      </c>
      <c r="I47" s="8" t="n">
        <f aca="false">SUMIFS('Source'!$G:$G,'Source'!$A:$A,"155138 לקוח אינטרנט",'Source'!$B:$B,$A47)</f>
        <v>4677.28</v>
      </c>
      <c r="J47" s="8" t="n">
        <f aca="false">I47*$J$5</f>
        <v>5908.14315789474</v>
      </c>
      <c r="K47" s="8" t="n">
        <f aca="false">J47-H47</f>
        <v>5440.41315789474</v>
      </c>
      <c r="L47" s="9" t="n">
        <f aca="false">IF(AND(H47=0,J47=0),0,IF(H47=0,"New",(J47-H47)/H47))</f>
        <v>11.6315249351009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139</v>
      </c>
      <c r="B48" s="7" t="str">
        <f aca="false">IFERROR(INDEX('Source'!$C:$C,MATCH($A48,'Source'!$B:$B,0)),"")</f>
        <v>כפפת CTS שמאל</v>
      </c>
      <c r="C48" s="8" t="n">
        <f aca="false">SUMIFS('Source'!$D:$D,'Source'!$A:$A,"155138 לקוח אינטרנט",'Source'!$B:$B,$A48)</f>
        <v>4</v>
      </c>
      <c r="D48" s="8" t="n">
        <f aca="false">SUMIFS('Source'!$F:$F,'Source'!$A:$A,"155138 לקוח אינטרנט",'Source'!$B:$B,$A48)</f>
        <v>25</v>
      </c>
      <c r="E48" s="8" t="n">
        <f aca="false">D48*$J$5</f>
        <v>31.5789473684211</v>
      </c>
      <c r="F48" s="8" t="n">
        <f aca="false">E48-C48</f>
        <v>27.5789473684211</v>
      </c>
      <c r="G48" s="9" t="n">
        <f aca="false">IF(AND(C48=0,E48=0),0,IF(C48=0,"New",(E48-C48)/C48))</f>
        <v>6.89473684210526</v>
      </c>
      <c r="H48" s="8" t="n">
        <f aca="false">SUMIFS('Source'!$E:$E,'Source'!$A:$A,"155138 לקוח אינטרנט",'Source'!$B:$B,$A48)</f>
        <v>762.4</v>
      </c>
      <c r="I48" s="8" t="n">
        <f aca="false">SUMIFS('Source'!$G:$G,'Source'!$A:$A,"155138 לקוח אינטרנט",'Source'!$B:$B,$A48)</f>
        <v>4913.91</v>
      </c>
      <c r="J48" s="8" t="n">
        <f aca="false">I48*$J$5</f>
        <v>6207.04421052632</v>
      </c>
      <c r="K48" s="8" t="n">
        <f aca="false">J48-H48</f>
        <v>5444.64421052632</v>
      </c>
      <c r="L48" s="9" t="n">
        <f aca="false">IF(AND(H48=0,J48=0),0,IF(H48=0,"New",(J48-H48)/H48))</f>
        <v>7.14145358148782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140</v>
      </c>
      <c r="B49" s="7" t="str">
        <f aca="false">IFERROR(INDEX('Source'!$C:$C,MATCH($A49,'Source'!$B:$B,0)),"")</f>
        <v>SpinaShield | חגורת תיקון יציבה לעמוד שדרה וכתפיים</v>
      </c>
      <c r="C49" s="8" t="n">
        <f aca="false">SUMIFS('Source'!$D:$D,'Source'!$A:$A,"155138 לקוח אינטרנט",'Source'!$B:$B,$A49)</f>
        <v>0</v>
      </c>
      <c r="D49" s="8" t="n">
        <f aca="false">SUMIFS('Source'!$F:$F,'Source'!$A:$A,"155138 לקוח אינטרנט",'Source'!$B:$B,$A49)</f>
        <v>5</v>
      </c>
      <c r="E49" s="8" t="n">
        <f aca="false">D49*$J$5</f>
        <v>6.31578947368421</v>
      </c>
      <c r="F49" s="8" t="n">
        <f aca="false">E49-C49</f>
        <v>6.31578947368421</v>
      </c>
      <c r="G49" s="9" t="str">
        <f aca="false">IF(AND(C49=0,E49=0),0,IF(C49=0,"New",(E49-C49)/C49))</f>
        <v>New</v>
      </c>
      <c r="H49" s="8" t="n">
        <f aca="false">SUMIFS('Source'!$E:$E,'Source'!$A:$A,"155138 לקוח אינטרנט",'Source'!$B:$B,$A49)</f>
        <v>0</v>
      </c>
      <c r="I49" s="8" t="n">
        <f aca="false">SUMIFS('Source'!$G:$G,'Source'!$A:$A,"155138 לקוח אינטרנט",'Source'!$B:$B,$A49)</f>
        <v>4109.75</v>
      </c>
      <c r="J49" s="8" t="n">
        <f aca="false">I49*$J$5</f>
        <v>5191.26315789474</v>
      </c>
      <c r="K49" s="8" t="n">
        <f aca="false">J49-H49</f>
        <v>5191.26315789474</v>
      </c>
      <c r="L49" s="9" t="str">
        <f aca="false">IF(AND(H49=0,J49=0),0,IF(H49=0,"New",(J49-H49)/H49))</f>
        <v>New</v>
      </c>
      <c r="M49" s="7" t="str">
        <f aca="false">IF(AND(OR(C49&lt;&gt;0,H49&lt;&gt;0),D49=0,I49=0),"DROP",IF(AND(OR(D49&lt;&gt;0,I49&lt;&gt;0),C49=0,H49=0),"NEW",""))</f>
        <v>NEW</v>
      </c>
    </row>
    <row r="50" customFormat="false" ht="15" hidden="false" customHeight="false" outlineLevel="0" collapsed="false">
      <c r="A50" s="7" t="s">
        <v>141</v>
      </c>
      <c r="B50" s="7" t="str">
        <f aca="false">IFERROR(INDEX('Source'!$C:$C,MATCH($A50,'Source'!$B:$B,0)),"")</f>
        <v>גרבי חורף אנטיבקטריאלי שחור</v>
      </c>
      <c r="C50" s="8" t="n">
        <f aca="false">SUMIFS('Source'!$D:$D,'Source'!$A:$A,"155138 לקוח אינטרנט",'Source'!$B:$B,$A50)</f>
        <v>0</v>
      </c>
      <c r="D50" s="8" t="n">
        <f aca="false">SUMIFS('Source'!$F:$F,'Source'!$A:$A,"155138 לקוח אינטרנט",'Source'!$B:$B,$A50)</f>
        <v>75</v>
      </c>
      <c r="E50" s="8" t="n">
        <f aca="false">D50*$J$5</f>
        <v>94.7368421052632</v>
      </c>
      <c r="F50" s="8" t="n">
        <f aca="false">E50-C50</f>
        <v>94.7368421052632</v>
      </c>
      <c r="G50" s="9" t="str">
        <f aca="false">IF(AND(C50=0,E50=0),0,IF(C50=0,"New",(E50-C50)/C50))</f>
        <v>New</v>
      </c>
      <c r="H50" s="8" t="n">
        <f aca="false">SUMIFS('Source'!$E:$E,'Source'!$A:$A,"155138 לקוח אינטרנט",'Source'!$B:$B,$A50)</f>
        <v>0</v>
      </c>
      <c r="I50" s="8" t="n">
        <f aca="false">SUMIFS('Source'!$G:$G,'Source'!$A:$A,"155138 לקוח אינטרנט",'Source'!$B:$B,$A50)</f>
        <v>3844.42</v>
      </c>
      <c r="J50" s="8" t="n">
        <f aca="false">I50*$J$5</f>
        <v>4856.10947368421</v>
      </c>
      <c r="K50" s="8" t="n">
        <f aca="false">J50-H50</f>
        <v>4856.10947368421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142</v>
      </c>
      <c r="B51" s="7" t="str">
        <f aca="false">IFERROR(INDEX('Source'!$C:$C,MATCH($A51,'Source'!$B:$B,0)),"")</f>
        <v>SpinaShield | חגורת תיקון יציבה לעמוד שדרה וכתפיים</v>
      </c>
      <c r="C51" s="8" t="n">
        <f aca="false">SUMIFS('Source'!$D:$D,'Source'!$A:$A,"155138 לקוח אינטרנט",'Source'!$B:$B,$A51)</f>
        <v>0</v>
      </c>
      <c r="D51" s="8" t="n">
        <f aca="false">SUMIFS('Source'!$F:$F,'Source'!$A:$A,"155138 לקוח אינטרנט",'Source'!$B:$B,$A51)</f>
        <v>5</v>
      </c>
      <c r="E51" s="8" t="n">
        <f aca="false">D51*$J$5</f>
        <v>6.31578947368421</v>
      </c>
      <c r="F51" s="8" t="n">
        <f aca="false">E51-C51</f>
        <v>6.31578947368421</v>
      </c>
      <c r="G51" s="9" t="str">
        <f aca="false">IF(AND(C51=0,E51=0),0,IF(C51=0,"New",(E51-C51)/C51))</f>
        <v>New</v>
      </c>
      <c r="H51" s="8" t="n">
        <f aca="false">SUMIFS('Source'!$E:$E,'Source'!$A:$A,"155138 לקוח אינטרנט",'Source'!$B:$B,$A51)</f>
        <v>0</v>
      </c>
      <c r="I51" s="8" t="n">
        <f aca="false">SUMIFS('Source'!$G:$G,'Source'!$A:$A,"155138 לקוח אינטרנט",'Source'!$B:$B,$A51)</f>
        <v>3770.84</v>
      </c>
      <c r="J51" s="8" t="n">
        <f aca="false">I51*$J$5</f>
        <v>4763.16631578947</v>
      </c>
      <c r="K51" s="8" t="n">
        <f aca="false">J51-H51</f>
        <v>4763.16631578947</v>
      </c>
      <c r="L51" s="9" t="str">
        <f aca="false">IF(AND(H51=0,J51=0),0,IF(H51=0,"New",(J51-H51)/H51))</f>
        <v>New</v>
      </c>
      <c r="M51" s="7" t="str">
        <f aca="false">IF(AND(OR(C51&lt;&gt;0,H51&lt;&gt;0),D51=0,I51=0),"DROP",IF(AND(OR(D51&lt;&gt;0,I51&lt;&gt;0),C51=0,H51=0),"NEW",""))</f>
        <v>NEW</v>
      </c>
    </row>
    <row r="52" customFormat="false" ht="15" hidden="false" customHeight="false" outlineLevel="0" collapsed="false">
      <c r="A52" s="7" t="s">
        <v>143</v>
      </c>
      <c r="B52" s="7" t="str">
        <f aca="false">IFERROR(INDEX('Source'!$C:$C,MATCH($A52,'Source'!$B:$B,0)),"")</f>
        <v>סד יד דו צדדי</v>
      </c>
      <c r="C52" s="8" t="n">
        <f aca="false">SUMIFS('Source'!$D:$D,'Source'!$A:$A,"155138 לקוח אינטרנט",'Source'!$B:$B,$A52)</f>
        <v>111</v>
      </c>
      <c r="D52" s="8" t="n">
        <f aca="false">SUMIFS('Source'!$F:$F,'Source'!$A:$A,"155138 לקוח אינטרנט",'Source'!$B:$B,$A52)</f>
        <v>82</v>
      </c>
      <c r="E52" s="8" t="n">
        <f aca="false">D52*$J$5</f>
        <v>103.578947368421</v>
      </c>
      <c r="F52" s="8" t="n">
        <f aca="false">E52-C52</f>
        <v>-7.42105263157896</v>
      </c>
      <c r="G52" s="9" t="n">
        <f aca="false">IF(AND(C52=0,E52=0),0,IF(C52=0,"New",(E52-C52)/C52))</f>
        <v>-0.0668563300142249</v>
      </c>
      <c r="H52" s="8" t="n">
        <f aca="false">SUMIFS('Source'!$E:$E,'Source'!$A:$A,"155138 לקוח אינטרנט",'Source'!$B:$B,$A52)</f>
        <v>15059.63</v>
      </c>
      <c r="I52" s="8" t="n">
        <f aca="false">SUMIFS('Source'!$G:$G,'Source'!$A:$A,"155138 לקוח אינטרנט",'Source'!$B:$B,$A52)</f>
        <v>11331.44</v>
      </c>
      <c r="J52" s="8" t="n">
        <f aca="false">I52*$J$5</f>
        <v>14313.3978947368</v>
      </c>
      <c r="K52" s="8" t="n">
        <f aca="false">J52-H52</f>
        <v>-746.232105263158</v>
      </c>
      <c r="L52" s="9" t="n">
        <f aca="false">IF(AND(H52=0,J52=0),0,IF(H52=0,"New",(J52-H52)/H52))</f>
        <v>-0.0495518220077889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144</v>
      </c>
      <c r="B53" s="7" t="str">
        <f aca="false">IFERROR(INDEX('Source'!$C:$C,MATCH($A53,'Source'!$B:$B,0)),"")</f>
        <v>חגורת גב+מיישר+תמיכה לבית השחי</v>
      </c>
      <c r="C53" s="8" t="n">
        <f aca="false">SUMIFS('Source'!$D:$D,'Source'!$A:$A,"155138 לקוח אינטרנט",'Source'!$B:$B,$A53)</f>
        <v>5</v>
      </c>
      <c r="D53" s="8" t="n">
        <f aca="false">SUMIFS('Source'!$F:$F,'Source'!$A:$A,"155138 לקוח אינטרנט",'Source'!$B:$B,$A53)</f>
        <v>0</v>
      </c>
      <c r="E53" s="8" t="n">
        <f aca="false">D53*$J$5</f>
        <v>0</v>
      </c>
      <c r="F53" s="8" t="n">
        <f aca="false">E53-C53</f>
        <v>-5</v>
      </c>
      <c r="G53" s="9" t="n">
        <f aca="false">IF(AND(C53=0,E53=0),0,IF(C53=0,"New",(E53-C53)/C53))</f>
        <v>-1</v>
      </c>
      <c r="H53" s="8" t="n">
        <f aca="false">SUMIFS('Source'!$E:$E,'Source'!$A:$A,"155138 לקוח אינטרנט",'Source'!$B:$B,$A53)</f>
        <v>3676.5</v>
      </c>
      <c r="I53" s="8" t="n">
        <f aca="false">SUMIFS('Source'!$G:$G,'Source'!$A:$A,"155138 לקוח אינטרנט",'Source'!$B:$B,$A53)</f>
        <v>0</v>
      </c>
      <c r="J53" s="8" t="n">
        <f aca="false">I53*$J$5</f>
        <v>0</v>
      </c>
      <c r="K53" s="8" t="n">
        <f aca="false">J53-H53</f>
        <v>-3676.5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145</v>
      </c>
      <c r="B54" s="7" t="str">
        <f aca="false">IFERROR(INDEX('Source'!$C:$C,MATCH($A54,'Source'!$B:$B,0)),"")</f>
        <v>חגורת שבר לצד שמאל</v>
      </c>
      <c r="C54" s="8" t="n">
        <f aca="false">SUMIFS('Source'!$D:$D,'Source'!$A:$A,"155138 לקוח אינטרנט",'Source'!$B:$B,$A54)</f>
        <v>19</v>
      </c>
      <c r="D54" s="8" t="n">
        <f aca="false">SUMIFS('Source'!$F:$F,'Source'!$A:$A,"155138 לקוח אינטרנט",'Source'!$B:$B,$A54)</f>
        <v>8</v>
      </c>
      <c r="E54" s="8" t="n">
        <f aca="false">D54*$J$5</f>
        <v>10.1052631578947</v>
      </c>
      <c r="F54" s="8" t="n">
        <f aca="false">E54-C54</f>
        <v>-8.89473684210526</v>
      </c>
      <c r="G54" s="9" t="n">
        <f aca="false">IF(AND(C54=0,E54=0),0,IF(C54=0,"New",(E54-C54)/C54))</f>
        <v>-0.46814404432133</v>
      </c>
      <c r="H54" s="8" t="n">
        <f aca="false">SUMIFS('Source'!$E:$E,'Source'!$A:$A,"155138 לקוח אינטרנט",'Source'!$B:$B,$A54)</f>
        <v>6160.04</v>
      </c>
      <c r="I54" s="8" t="n">
        <f aca="false">SUMIFS('Source'!$G:$G,'Source'!$A:$A,"155138 לקוח אינטרנט",'Source'!$B:$B,$A54)</f>
        <v>2643.42</v>
      </c>
      <c r="J54" s="8" t="n">
        <f aca="false">I54*$J$5</f>
        <v>3339.05684210526</v>
      </c>
      <c r="K54" s="8" t="n">
        <f aca="false">J54-H54</f>
        <v>-2820.98315789474</v>
      </c>
      <c r="L54" s="9" t="n">
        <f aca="false">IF(AND(H54=0,J54=0),0,IF(H54=0,"New",(J54-H54)/H54))</f>
        <v>-0.457948837652797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146</v>
      </c>
      <c r="B55" s="7" t="str">
        <f aca="false">IFERROR(INDEX('Source'!$C:$C,MATCH($A55,'Source'!$B:$B,0)),"")</f>
        <v>כפפת CTS שמאל</v>
      </c>
      <c r="C55" s="8" t="n">
        <f aca="false">SUMIFS('Source'!$D:$D,'Source'!$A:$A,"155138 לקוח אינטרנט",'Source'!$B:$B,$A55)</f>
        <v>21</v>
      </c>
      <c r="D55" s="8" t="n">
        <f aca="false">SUMIFS('Source'!$F:$F,'Source'!$A:$A,"155138 לקוח אינטרנט",'Source'!$B:$B,$A55)</f>
        <v>38</v>
      </c>
      <c r="E55" s="8" t="n">
        <f aca="false">D55*$J$5</f>
        <v>48</v>
      </c>
      <c r="F55" s="8" t="n">
        <f aca="false">E55-C55</f>
        <v>27</v>
      </c>
      <c r="G55" s="9" t="n">
        <f aca="false">IF(AND(C55=0,E55=0),0,IF(C55=0,"New",(E55-C55)/C55))</f>
        <v>1.28571428571429</v>
      </c>
      <c r="H55" s="8" t="n">
        <f aca="false">SUMIFS('Source'!$E:$E,'Source'!$A:$A,"155138 לקוח אינטרנט",'Source'!$B:$B,$A55)</f>
        <v>3886.13</v>
      </c>
      <c r="I55" s="8" t="n">
        <f aca="false">SUMIFS('Source'!$G:$G,'Source'!$A:$A,"155138 לקוח אינטרנט",'Source'!$B:$B,$A55)</f>
        <v>7359.01</v>
      </c>
      <c r="J55" s="8" t="n">
        <f aca="false">I55*$J$5</f>
        <v>9295.59157894737</v>
      </c>
      <c r="K55" s="8" t="n">
        <f aca="false">J55-H55</f>
        <v>5409.46157894737</v>
      </c>
      <c r="L55" s="9" t="n">
        <f aca="false">IF(AND(H55=0,J55=0),0,IF(H55=0,"New",(J55-H55)/H55))</f>
        <v>1.39199192485773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147</v>
      </c>
      <c r="B56" s="7" t="str">
        <f aca="false">IFERROR(INDEX('Source'!$C:$C,MATCH($A56,'Source'!$B:$B,0)),"")</f>
        <v>חגורה למנותחי בית חזה</v>
      </c>
      <c r="C56" s="8" t="n">
        <f aca="false">SUMIFS('Source'!$D:$D,'Source'!$A:$A,"155138 לקוח אינטרנט",'Source'!$B:$B,$A56)</f>
        <v>13</v>
      </c>
      <c r="D56" s="8" t="n">
        <f aca="false">SUMIFS('Source'!$F:$F,'Source'!$A:$A,"155138 לקוח אינטרנט",'Source'!$B:$B,$A56)</f>
        <v>5</v>
      </c>
      <c r="E56" s="8" t="n">
        <f aca="false">D56*$J$5</f>
        <v>6.31578947368421</v>
      </c>
      <c r="F56" s="8" t="n">
        <f aca="false">E56-C56</f>
        <v>-6.68421052631579</v>
      </c>
      <c r="G56" s="9" t="n">
        <f aca="false">IF(AND(C56=0,E56=0),0,IF(C56=0,"New",(E56-C56)/C56))</f>
        <v>-0.51417004048583</v>
      </c>
      <c r="H56" s="8" t="n">
        <f aca="false">SUMIFS('Source'!$E:$E,'Source'!$A:$A,"155138 לקוח אינטרנט",'Source'!$B:$B,$A56)</f>
        <v>5658.71</v>
      </c>
      <c r="I56" s="8" t="n">
        <f aca="false">SUMIFS('Source'!$G:$G,'Source'!$A:$A,"155138 לקוח אינטרנט",'Source'!$B:$B,$A56)</f>
        <v>2277.55</v>
      </c>
      <c r="J56" s="8" t="n">
        <f aca="false">I56*$J$5</f>
        <v>2876.90526315789</v>
      </c>
      <c r="K56" s="8" t="n">
        <f aca="false">J56-H56</f>
        <v>-2781.80473684211</v>
      </c>
      <c r="L56" s="9" t="n">
        <f aca="false">IF(AND(H56=0,J56=0),0,IF(H56=0,"New",(J56-H56)/H56))</f>
        <v>-0.491596978258668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148</v>
      </c>
      <c r="B57" s="7" t="str">
        <f aca="false">IFERROR(INDEX('Source'!$C:$C,MATCH($A57,'Source'!$B:$B,0)),"")</f>
        <v>מגן ברך SC422</v>
      </c>
      <c r="C57" s="8" t="n">
        <f aca="false">SUMIFS('Source'!$D:$D,'Source'!$A:$A,"155138 לקוח אינטרנט",'Source'!$B:$B,$A57)</f>
        <v>110</v>
      </c>
      <c r="D57" s="8" t="n">
        <f aca="false">SUMIFS('Source'!$F:$F,'Source'!$A:$A,"155138 לקוח אינטרנט",'Source'!$B:$B,$A57)</f>
        <v>92</v>
      </c>
      <c r="E57" s="8" t="n">
        <f aca="false">D57*$J$5</f>
        <v>116.210526315789</v>
      </c>
      <c r="F57" s="8" t="n">
        <f aca="false">E57-C57</f>
        <v>6.21052631578947</v>
      </c>
      <c r="G57" s="9" t="n">
        <f aca="false">IF(AND(C57=0,E57=0),0,IF(C57=0,"New",(E57-C57)/C57))</f>
        <v>0.0564593301435406</v>
      </c>
      <c r="H57" s="8" t="n">
        <f aca="false">SUMIFS('Source'!$E:$E,'Source'!$A:$A,"155138 לקוח אינטרנט",'Source'!$B:$B,$A57)</f>
        <v>23786.53</v>
      </c>
      <c r="I57" s="8" t="n">
        <f aca="false">SUMIFS('Source'!$G:$G,'Source'!$A:$A,"155138 לקוח אינטרנט",'Source'!$B:$B,$A57)</f>
        <v>20424.09</v>
      </c>
      <c r="J57" s="8" t="n">
        <f aca="false">I57*$J$5</f>
        <v>25798.8505263158</v>
      </c>
      <c r="K57" s="8" t="n">
        <f aca="false">J57-H57</f>
        <v>2012.32052631579</v>
      </c>
      <c r="L57" s="9" t="n">
        <f aca="false">IF(AND(H57=0,J57=0),0,IF(H57=0,"New",(J57-H57)/H57))</f>
        <v>0.0845991629008429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149</v>
      </c>
      <c r="B58" s="7" t="str">
        <f aca="false">IFERROR(INDEX('Source'!$C:$C,MATCH($A58,'Source'!$B:$B,0)),"")</f>
        <v>SpinaShield | חגורת תיקון יציבה לעמוד שדרה וכתפיים</v>
      </c>
      <c r="C58" s="8" t="n">
        <f aca="false">SUMIFS('Source'!$D:$D,'Source'!$A:$A,"155138 לקוח אינטרנט",'Source'!$B:$B,$A58)</f>
        <v>0</v>
      </c>
      <c r="D58" s="8" t="n">
        <f aca="false">SUMIFS('Source'!$F:$F,'Source'!$A:$A,"155138 לקוח אינטרנט",'Source'!$B:$B,$A58)</f>
        <v>4</v>
      </c>
      <c r="E58" s="8" t="n">
        <f aca="false">D58*$J$5</f>
        <v>5.05263157894737</v>
      </c>
      <c r="F58" s="8" t="n">
        <f aca="false">E58-C58</f>
        <v>5.05263157894737</v>
      </c>
      <c r="G58" s="9" t="str">
        <f aca="false">IF(AND(C58=0,E58=0),0,IF(C58=0,"New",(E58-C58)/C58))</f>
        <v>New</v>
      </c>
      <c r="H58" s="8" t="n">
        <f aca="false">SUMIFS('Source'!$E:$E,'Source'!$A:$A,"155138 לקוח אינטרנט",'Source'!$B:$B,$A58)</f>
        <v>0</v>
      </c>
      <c r="I58" s="8" t="n">
        <f aca="false">SUMIFS('Source'!$G:$G,'Source'!$A:$A,"155138 לקוח אינטרנט",'Source'!$B:$B,$A58)</f>
        <v>3347.11</v>
      </c>
      <c r="J58" s="8" t="n">
        <f aca="false">I58*$J$5</f>
        <v>4227.92842105263</v>
      </c>
      <c r="K58" s="8" t="n">
        <f aca="false">J58-H58</f>
        <v>4227.92842105263</v>
      </c>
      <c r="L58" s="9" t="str">
        <f aca="false">IF(AND(H58=0,J58=0),0,IF(H58=0,"New",(J58-H58)/H58))</f>
        <v>New</v>
      </c>
      <c r="M58" s="7" t="str">
        <f aca="false">IF(AND(OR(C58&lt;&gt;0,H58&lt;&gt;0),D58=0,I58=0),"DROP",IF(AND(OR(D58&lt;&gt;0,I58&lt;&gt;0),C58=0,H58=0),"NEW",""))</f>
        <v>NEW</v>
      </c>
    </row>
    <row r="59" customFormat="false" ht="15" hidden="false" customHeight="false" outlineLevel="0" collapsed="false">
      <c r="A59" s="7" t="s">
        <v>150</v>
      </c>
      <c r="B59" s="7" t="str">
        <f aca="false">IFERROR(INDEX('Source'!$C:$C,MATCH($A59,'Source'!$B:$B,0)),"")</f>
        <v>מגן ברך SC422</v>
      </c>
      <c r="C59" s="8" t="n">
        <f aca="false">SUMIFS('Source'!$D:$D,'Source'!$A:$A,"155138 לקוח אינטרנט",'Source'!$B:$B,$A59)</f>
        <v>30</v>
      </c>
      <c r="D59" s="8" t="n">
        <f aca="false">SUMIFS('Source'!$F:$F,'Source'!$A:$A,"155138 לקוח אינטרנט",'Source'!$B:$B,$A59)</f>
        <v>44</v>
      </c>
      <c r="E59" s="8" t="n">
        <f aca="false">D59*$J$5</f>
        <v>55.5789473684211</v>
      </c>
      <c r="F59" s="8" t="n">
        <f aca="false">E59-C59</f>
        <v>25.578947368421</v>
      </c>
      <c r="G59" s="9" t="n">
        <f aca="false">IF(AND(C59=0,E59=0),0,IF(C59=0,"New",(E59-C59)/C59))</f>
        <v>0.852631578947368</v>
      </c>
      <c r="H59" s="8" t="n">
        <f aca="false">SUMIFS('Source'!$E:$E,'Source'!$A:$A,"155138 לקוח אינטרנט",'Source'!$B:$B,$A59)</f>
        <v>6655.4</v>
      </c>
      <c r="I59" s="8" t="n">
        <f aca="false">SUMIFS('Source'!$G:$G,'Source'!$A:$A,"155138 לקוח אינטרנט",'Source'!$B:$B,$A59)</f>
        <v>9975.14</v>
      </c>
      <c r="J59" s="8" t="n">
        <f aca="false">I59*$J$5</f>
        <v>12600.1768421053</v>
      </c>
      <c r="K59" s="8" t="n">
        <f aca="false">J59-H59</f>
        <v>5944.77684210526</v>
      </c>
      <c r="L59" s="9" t="n">
        <f aca="false">IF(AND(H59=0,J59=0),0,IF(H59=0,"New",(J59-H59)/H59))</f>
        <v>0.893226078388266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151</v>
      </c>
      <c r="B60" s="7" t="str">
        <f aca="false">IFERROR(INDEX('Source'!$C:$C,MATCH($A60,'Source'!$B:$B,0)),"")</f>
        <v>חבק יד SC25</v>
      </c>
      <c r="C60" s="8" t="n">
        <f aca="false">SUMIFS('Source'!$D:$D,'Source'!$A:$A,"155138 לקוח אינטרנט",'Source'!$B:$B,$A60)</f>
        <v>117</v>
      </c>
      <c r="D60" s="8" t="n">
        <f aca="false">SUMIFS('Source'!$F:$F,'Source'!$A:$A,"155138 לקוח אינטרנט",'Source'!$B:$B,$A60)</f>
        <v>78</v>
      </c>
      <c r="E60" s="8" t="n">
        <f aca="false">D60*$J$5</f>
        <v>98.5263157894737</v>
      </c>
      <c r="F60" s="8" t="n">
        <f aca="false">E60-C60</f>
        <v>-18.4736842105263</v>
      </c>
      <c r="G60" s="9" t="n">
        <f aca="false">IF(AND(C60=0,E60=0),0,IF(C60=0,"New",(E60-C60)/C60))</f>
        <v>-0.157894736842105</v>
      </c>
      <c r="H60" s="8" t="n">
        <f aca="false">SUMIFS('Source'!$E:$E,'Source'!$A:$A,"155138 לקוח אינטרנט",'Source'!$B:$B,$A60)</f>
        <v>14875.86</v>
      </c>
      <c r="I60" s="8" t="n">
        <f aca="false">SUMIFS('Source'!$G:$G,'Source'!$A:$A,"155138 לקוח אינטרנט",'Source'!$B:$B,$A60)</f>
        <v>11585</v>
      </c>
      <c r="J60" s="8" t="n">
        <f aca="false">I60*$J$5</f>
        <v>14633.6842105263</v>
      </c>
      <c r="K60" s="8" t="n">
        <f aca="false">J60-H60</f>
        <v>-242.175789473686</v>
      </c>
      <c r="L60" s="9" t="n">
        <f aca="false">IF(AND(H60=0,J60=0),0,IF(H60=0,"New",(J60-H60)/H60))</f>
        <v>-0.0162797841249975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152</v>
      </c>
      <c r="B61" s="7" t="str">
        <f aca="false">IFERROR(INDEX('Source'!$C:$C,MATCH($A61,'Source'!$B:$B,0)),"")</f>
        <v>תומך ברך גנושילד</v>
      </c>
      <c r="C61" s="8" t="n">
        <f aca="false">SUMIFS('Source'!$D:$D,'Source'!$A:$A,"155138 לקוח אינטרנט",'Source'!$B:$B,$A61)</f>
        <v>2</v>
      </c>
      <c r="D61" s="8" t="n">
        <f aca="false">SUMIFS('Source'!$F:$F,'Source'!$A:$A,"155138 לקוח אינטרנט",'Source'!$B:$B,$A61)</f>
        <v>11</v>
      </c>
      <c r="E61" s="8" t="n">
        <f aca="false">D61*$J$5</f>
        <v>13.8947368421053</v>
      </c>
      <c r="F61" s="8" t="n">
        <f aca="false">E61-C61</f>
        <v>11.8947368421053</v>
      </c>
      <c r="G61" s="9" t="n">
        <f aca="false">IF(AND(C61=0,E61=0),0,IF(C61=0,"New",(E61-C61)/C61))</f>
        <v>5.94736842105263</v>
      </c>
      <c r="H61" s="8" t="n">
        <f aca="false">SUMIFS('Source'!$E:$E,'Source'!$A:$A,"155138 לקוח אינטרנט",'Source'!$B:$B,$A61)</f>
        <v>629.09</v>
      </c>
      <c r="I61" s="8" t="n">
        <f aca="false">SUMIFS('Source'!$G:$G,'Source'!$A:$A,"155138 לקוח אינטרנט",'Source'!$B:$B,$A61)</f>
        <v>3899.34</v>
      </c>
      <c r="J61" s="8" t="n">
        <f aca="false">I61*$J$5</f>
        <v>4925.48210526316</v>
      </c>
      <c r="K61" s="8" t="n">
        <f aca="false">J61-H61</f>
        <v>4296.39210526316</v>
      </c>
      <c r="L61" s="9" t="n">
        <f aca="false">IF(AND(H61=0,J61=0),0,IF(H61=0,"New",(J61-H61)/H61))</f>
        <v>6.82953489208723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153</v>
      </c>
      <c r="B62" s="7" t="str">
        <f aca="false">IFERROR(INDEX('Source'!$C:$C,MATCH($A62,'Source'!$B:$B,0)),"")</f>
        <v>גרבי קיץ אנטיבקטריאלי שחור</v>
      </c>
      <c r="C62" s="8" t="n">
        <f aca="false">SUMIFS('Source'!$D:$D,'Source'!$A:$A,"155138 לקוח אינטרנט",'Source'!$B:$B,$A62)</f>
        <v>0</v>
      </c>
      <c r="D62" s="8" t="n">
        <f aca="false">SUMIFS('Source'!$F:$F,'Source'!$A:$A,"155138 לקוח אינטרנט",'Source'!$B:$B,$A62)</f>
        <v>69</v>
      </c>
      <c r="E62" s="8" t="n">
        <f aca="false">D62*$J$5</f>
        <v>87.1578947368421</v>
      </c>
      <c r="F62" s="8" t="n">
        <f aca="false">E62-C62</f>
        <v>87.1578947368421</v>
      </c>
      <c r="G62" s="9" t="str">
        <f aca="false">IF(AND(C62=0,E62=0),0,IF(C62=0,"New",(E62-C62)/C62))</f>
        <v>New</v>
      </c>
      <c r="H62" s="8" t="n">
        <f aca="false">SUMIFS('Source'!$E:$E,'Source'!$A:$A,"155138 לקוח אינטרנט",'Source'!$B:$B,$A62)</f>
        <v>0</v>
      </c>
      <c r="I62" s="8" t="n">
        <f aca="false">SUMIFS('Source'!$G:$G,'Source'!$A:$A,"155138 לקוח אינטרנט",'Source'!$B:$B,$A62)</f>
        <v>3268.57</v>
      </c>
      <c r="J62" s="8" t="n">
        <f aca="false">I62*$J$5</f>
        <v>4128.72</v>
      </c>
      <c r="K62" s="8" t="n">
        <f aca="false">J62-H62</f>
        <v>4128.72</v>
      </c>
      <c r="L62" s="9" t="str">
        <f aca="false">IF(AND(H62=0,J62=0),0,IF(H62=0,"New",(J62-H62)/H62))</f>
        <v>New</v>
      </c>
      <c r="M62" s="7" t="str">
        <f aca="false">IF(AND(OR(C62&lt;&gt;0,H62&lt;&gt;0),D62=0,I62=0),"DROP",IF(AND(OR(D62&lt;&gt;0,I62&lt;&gt;0),C62=0,H62=0),"NEW",""))</f>
        <v>NEW</v>
      </c>
    </row>
    <row r="63" customFormat="false" ht="15" hidden="false" customHeight="false" outlineLevel="0" collapsed="false">
      <c r="A63" s="7" t="s">
        <v>154</v>
      </c>
      <c r="B63" s="7" t="str">
        <f aca="false">IFERROR(INDEX('Source'!$C:$C,MATCH($A63,'Source'!$B:$B,0)),"")</f>
        <v>חבק טניס שחור</v>
      </c>
      <c r="C63" s="8" t="n">
        <f aca="false">SUMIFS('Source'!$D:$D,'Source'!$A:$A,"155138 לקוח אינטרנט",'Source'!$B:$B,$A63)</f>
        <v>90</v>
      </c>
      <c r="D63" s="8" t="n">
        <f aca="false">SUMIFS('Source'!$F:$F,'Source'!$A:$A,"155138 לקוח אינטרנט",'Source'!$B:$B,$A63)</f>
        <v>108</v>
      </c>
      <c r="E63" s="8" t="n">
        <f aca="false">D63*$J$5</f>
        <v>136.421052631579</v>
      </c>
      <c r="F63" s="8" t="n">
        <f aca="false">E63-C63</f>
        <v>46.4210526315789</v>
      </c>
      <c r="G63" s="9" t="n">
        <f aca="false">IF(AND(C63=0,E63=0),0,IF(C63=0,"New",(E63-C63)/C63))</f>
        <v>0.51578947368421</v>
      </c>
      <c r="H63" s="8" t="n">
        <f aca="false">SUMIFS('Source'!$E:$E,'Source'!$A:$A,"155138 לקוח אינטרנט",'Source'!$B:$B,$A63)</f>
        <v>12488.58</v>
      </c>
      <c r="I63" s="8" t="n">
        <f aca="false">SUMIFS('Source'!$G:$G,'Source'!$A:$A,"155138 לקוח אינטרנט",'Source'!$B:$B,$A63)</f>
        <v>15573.72</v>
      </c>
      <c r="J63" s="8" t="n">
        <f aca="false">I63*$J$5</f>
        <v>19672.0673684211</v>
      </c>
      <c r="K63" s="8" t="n">
        <f aca="false">J63-H63</f>
        <v>7183.48736842105</v>
      </c>
      <c r="L63" s="9" t="n">
        <f aca="false">IF(AND(H63=0,J63=0),0,IF(H63=0,"New",(J63-H63)/H63))</f>
        <v>0.575204496301505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155</v>
      </c>
      <c r="B64" s="7" t="str">
        <f aca="false">IFERROR(INDEX('Source'!$C:$C,MATCH($A64,'Source'!$B:$B,0)),"")</f>
        <v>חגורת קיבוע לכתף</v>
      </c>
      <c r="C64" s="8" t="n">
        <f aca="false">SUMIFS('Source'!$D:$D,'Source'!$A:$A,"155138 לקוח אינטרנט",'Source'!$B:$B,$A64)</f>
        <v>71</v>
      </c>
      <c r="D64" s="8" t="n">
        <f aca="false">SUMIFS('Source'!$F:$F,'Source'!$A:$A,"155138 לקוח אינטרנט",'Source'!$B:$B,$A64)</f>
        <v>57</v>
      </c>
      <c r="E64" s="8" t="n">
        <f aca="false">D64*$J$5</f>
        <v>72</v>
      </c>
      <c r="F64" s="8" t="n">
        <f aca="false">E64-C64</f>
        <v>1</v>
      </c>
      <c r="G64" s="9" t="n">
        <f aca="false">IF(AND(C64=0,E64=0),0,IF(C64=0,"New",(E64-C64)/C64))</f>
        <v>0.0140845070422535</v>
      </c>
      <c r="H64" s="8" t="n">
        <f aca="false">SUMIFS('Source'!$E:$E,'Source'!$A:$A,"155138 לקוח אינטרנט",'Source'!$B:$B,$A64)</f>
        <v>17147.06</v>
      </c>
      <c r="I64" s="8" t="n">
        <f aca="false">SUMIFS('Source'!$G:$G,'Source'!$A:$A,"155138 לקוח אינטרנט",'Source'!$B:$B,$A64)</f>
        <v>14092.68</v>
      </c>
      <c r="J64" s="8" t="n">
        <f aca="false">I64*$J$5</f>
        <v>17801.28</v>
      </c>
      <c r="K64" s="8" t="n">
        <f aca="false">J64-H64</f>
        <v>654.220000000001</v>
      </c>
      <c r="L64" s="9" t="n">
        <f aca="false">IF(AND(H64=0,J64=0),0,IF(H64=0,"New",(J64-H64)/H64))</f>
        <v>0.038153479371974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156</v>
      </c>
      <c r="B65" s="7" t="str">
        <f aca="false">IFERROR(INDEX('Source'!$C:$C,MATCH($A65,'Source'!$B:$B,0)),"")</f>
        <v>AC27</v>
      </c>
      <c r="C65" s="8" t="n">
        <f aca="false">SUMIFS('Source'!$D:$D,'Source'!$A:$A,"155138 לקוח אינטרנט",'Source'!$B:$B,$A65)</f>
        <v>35</v>
      </c>
      <c r="D65" s="8" t="n">
        <f aca="false">SUMIFS('Source'!$F:$F,'Source'!$A:$A,"155138 לקוח אינטרנט",'Source'!$B:$B,$A65)</f>
        <v>71</v>
      </c>
      <c r="E65" s="8" t="n">
        <f aca="false">D65*$J$5</f>
        <v>89.6842105263158</v>
      </c>
      <c r="F65" s="8" t="n">
        <f aca="false">E65-C65</f>
        <v>54.6842105263158</v>
      </c>
      <c r="G65" s="9" t="n">
        <f aca="false">IF(AND(C65=0,E65=0),0,IF(C65=0,"New",(E65-C65)/C65))</f>
        <v>1.56240601503759</v>
      </c>
      <c r="H65" s="8" t="n">
        <f aca="false">SUMIFS('Source'!$E:$E,'Source'!$A:$A,"155138 לקוח אינטרנט",'Source'!$B:$B,$A65)</f>
        <v>2758.36</v>
      </c>
      <c r="I65" s="8" t="n">
        <f aca="false">SUMIFS('Source'!$G:$G,'Source'!$A:$A,"155138 לקוח אינטרנט",'Source'!$B:$B,$A65)</f>
        <v>5807.67</v>
      </c>
      <c r="J65" s="8" t="n">
        <f aca="false">I65*$J$5</f>
        <v>7336.00421052632</v>
      </c>
      <c r="K65" s="8" t="n">
        <f aca="false">J65-H65</f>
        <v>4577.64421052632</v>
      </c>
      <c r="L65" s="9" t="n">
        <f aca="false">IF(AND(H65=0,J65=0),0,IF(H65=0,"New",(J65-H65)/H65))</f>
        <v>1.6595528540605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157</v>
      </c>
      <c r="B66" s="7" t="str">
        <f aca="false">IFERROR(INDEX('Source'!$C:$C,MATCH($A66,'Source'!$B:$B,0)),"")</f>
        <v>חבק יד SC25</v>
      </c>
      <c r="C66" s="8" t="n">
        <f aca="false">SUMIFS('Source'!$D:$D,'Source'!$A:$A,"155138 לקוח אינטרנט",'Source'!$B:$B,$A66)</f>
        <v>175</v>
      </c>
      <c r="D66" s="8" t="n">
        <f aca="false">SUMIFS('Source'!$F:$F,'Source'!$A:$A,"155138 לקוח אינטרנט",'Source'!$B:$B,$A66)</f>
        <v>139</v>
      </c>
      <c r="E66" s="8" t="n">
        <f aca="false">D66*$J$5</f>
        <v>175.578947368421</v>
      </c>
      <c r="F66" s="8" t="n">
        <f aca="false">E66-C66</f>
        <v>0.578947368421041</v>
      </c>
      <c r="G66" s="9" t="n">
        <f aca="false">IF(AND(C66=0,E66=0),0,IF(C66=0,"New",(E66-C66)/C66))</f>
        <v>0.00330827067669166</v>
      </c>
      <c r="H66" s="8" t="n">
        <f aca="false">SUMIFS('Source'!$E:$E,'Source'!$A:$A,"155138 לקוח אינטרנט",'Source'!$B:$B,$A66)</f>
        <v>23677.47</v>
      </c>
      <c r="I66" s="8" t="n">
        <f aca="false">SUMIFS('Source'!$G:$G,'Source'!$A:$A,"155138 לקוח אינטרנט",'Source'!$B:$B,$A66)</f>
        <v>20844.09</v>
      </c>
      <c r="J66" s="8" t="n">
        <f aca="false">I66*$J$5</f>
        <v>26329.3768421053</v>
      </c>
      <c r="K66" s="8" t="n">
        <f aca="false">J66-H66</f>
        <v>2651.90684210526</v>
      </c>
      <c r="L66" s="9" t="n">
        <f aca="false">IF(AND(H66=0,J66=0),0,IF(H66=0,"New",(J66-H66)/H66))</f>
        <v>0.112001275563025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158</v>
      </c>
      <c r="B67" s="7" t="str">
        <f aca="false">IFERROR(INDEX('Source'!$C:$C,MATCH($A67,'Source'!$B:$B,0)),"")</f>
        <v>חגורת קיבוע לכתף</v>
      </c>
      <c r="C67" s="8" t="n">
        <f aca="false">SUMIFS('Source'!$D:$D,'Source'!$A:$A,"155138 לקוח אינטרנט",'Source'!$B:$B,$A67)</f>
        <v>6</v>
      </c>
      <c r="D67" s="8" t="n">
        <f aca="false">SUMIFS('Source'!$F:$F,'Source'!$A:$A,"155138 לקוח אינטרנט",'Source'!$B:$B,$A67)</f>
        <v>14</v>
      </c>
      <c r="E67" s="8" t="n">
        <f aca="false">D67*$J$5</f>
        <v>17.6842105263158</v>
      </c>
      <c r="F67" s="8" t="n">
        <f aca="false">E67-C67</f>
        <v>11.6842105263158</v>
      </c>
      <c r="G67" s="9" t="n">
        <f aca="false">IF(AND(C67=0,E67=0),0,IF(C67=0,"New",(E67-C67)/C67))</f>
        <v>1.94736842105263</v>
      </c>
      <c r="H67" s="8" t="n">
        <f aca="false">SUMIFS('Source'!$E:$E,'Source'!$A:$A,"155138 לקוח אינטרנט",'Source'!$B:$B,$A67)</f>
        <v>2040.19</v>
      </c>
      <c r="I67" s="8" t="n">
        <f aca="false">SUMIFS('Source'!$G:$G,'Source'!$A:$A,"155138 לקוח אינטרנט",'Source'!$B:$B,$A67)</f>
        <v>4863.68</v>
      </c>
      <c r="J67" s="8" t="n">
        <f aca="false">I67*$J$5</f>
        <v>6143.59578947368</v>
      </c>
      <c r="K67" s="8" t="n">
        <f aca="false">J67-H67</f>
        <v>4103.40578947368</v>
      </c>
      <c r="L67" s="9" t="n">
        <f aca="false">IF(AND(H67=0,J67=0),0,IF(H67=0,"New",(J67-H67)/H67))</f>
        <v>2.01128610054636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159</v>
      </c>
      <c r="B68" s="7" t="str">
        <f aca="false">IFERROR(INDEX('Source'!$C:$C,MATCH($A68,'Source'!$B:$B,0)),"")</f>
        <v>כרית מטטרזלי מס</v>
      </c>
      <c r="C68" s="8" t="n">
        <f aca="false">SUMIFS('Source'!$D:$D,'Source'!$A:$A,"155138 לקוח אינטרנט",'Source'!$B:$B,$A68)</f>
        <v>53</v>
      </c>
      <c r="D68" s="8" t="n">
        <f aca="false">SUMIFS('Source'!$F:$F,'Source'!$A:$A,"155138 לקוח אינטרנט",'Source'!$B:$B,$A68)</f>
        <v>101</v>
      </c>
      <c r="E68" s="8" t="n">
        <f aca="false">D68*$J$5</f>
        <v>127.578947368421</v>
      </c>
      <c r="F68" s="8" t="n">
        <f aca="false">E68-C68</f>
        <v>74.578947368421</v>
      </c>
      <c r="G68" s="9" t="n">
        <f aca="false">IF(AND(C68=0,E68=0),0,IF(C68=0,"New",(E68-C68)/C68))</f>
        <v>1.40714995034757</v>
      </c>
      <c r="H68" s="8" t="n">
        <f aca="false">SUMIFS('Source'!$E:$E,'Source'!$A:$A,"155138 לקוח אינטרנט",'Source'!$B:$B,$A68)</f>
        <v>2553.04</v>
      </c>
      <c r="I68" s="8" t="n">
        <f aca="false">SUMIFS('Source'!$G:$G,'Source'!$A:$A,"155138 לקוח אינטרנט",'Source'!$B:$B,$A68)</f>
        <v>5373.49</v>
      </c>
      <c r="J68" s="8" t="n">
        <f aca="false">I68*$J$5</f>
        <v>6787.56631578947</v>
      </c>
      <c r="K68" s="8" t="n">
        <f aca="false">J68-H68</f>
        <v>4234.52631578947</v>
      </c>
      <c r="L68" s="9" t="n">
        <f aca="false">IF(AND(H68=0,J68=0),0,IF(H68=0,"New",(J68-H68)/H68))</f>
        <v>1.65862121854318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160</v>
      </c>
      <c r="B69" s="7" t="str">
        <f aca="false">IFERROR(INDEX('Source'!$C:$C,MATCH($A69,'Source'!$B:$B,0)),"")</f>
        <v>חגורת גב+סגירה כפולה</v>
      </c>
      <c r="C69" s="8" t="n">
        <f aca="false">SUMIFS('Source'!$D:$D,'Source'!$A:$A,"155138 לקוח אינטרנט",'Source'!$B:$B,$A69)</f>
        <v>47</v>
      </c>
      <c r="D69" s="8" t="n">
        <f aca="false">SUMIFS('Source'!$F:$F,'Source'!$A:$A,"155138 לקוח אינטרנט",'Source'!$B:$B,$A69)</f>
        <v>32</v>
      </c>
      <c r="E69" s="8" t="n">
        <f aca="false">D69*$J$5</f>
        <v>40.4210526315789</v>
      </c>
      <c r="F69" s="8" t="n">
        <f aca="false">E69-C69</f>
        <v>-6.57894736842106</v>
      </c>
      <c r="G69" s="9" t="n">
        <f aca="false">IF(AND(C69=0,E69=0),0,IF(C69=0,"New",(E69-C69)/C69))</f>
        <v>-0.139977603583427</v>
      </c>
      <c r="H69" s="8" t="n">
        <f aca="false">SUMIFS('Source'!$E:$E,'Source'!$A:$A,"155138 לקוח אינטרנט",'Source'!$B:$B,$A69)</f>
        <v>9331.31</v>
      </c>
      <c r="I69" s="8" t="n">
        <f aca="false">SUMIFS('Source'!$G:$G,'Source'!$A:$A,"155138 לקוח אינטרנט",'Source'!$B:$B,$A69)</f>
        <v>6512.22</v>
      </c>
      <c r="J69" s="8" t="n">
        <f aca="false">I69*$J$5</f>
        <v>8225.96210526316</v>
      </c>
      <c r="K69" s="8" t="n">
        <f aca="false">J69-H69</f>
        <v>-1105.34789473684</v>
      </c>
      <c r="L69" s="9" t="n">
        <f aca="false">IF(AND(H69=0,J69=0),0,IF(H69=0,"New",(J69-H69)/H69))</f>
        <v>-0.11845581110657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161</v>
      </c>
      <c r="B70" s="7" t="str">
        <f aca="false">IFERROR(INDEX('Source'!$C:$C,MATCH($A70,'Source'!$B:$B,0)),"")</f>
        <v>סד לתמיכה פרק כף יד ואגודל</v>
      </c>
      <c r="C70" s="8" t="n">
        <f aca="false">SUMIFS('Source'!$D:$D,'Source'!$A:$A,"155138 לקוח אינטרנט",'Source'!$B:$B,$A70)</f>
        <v>37</v>
      </c>
      <c r="D70" s="8" t="n">
        <f aca="false">SUMIFS('Source'!$F:$F,'Source'!$A:$A,"155138 לקוח אינטרנט",'Source'!$B:$B,$A70)</f>
        <v>48</v>
      </c>
      <c r="E70" s="8" t="n">
        <f aca="false">D70*$J$5</f>
        <v>60.6315789473684</v>
      </c>
      <c r="F70" s="8" t="n">
        <f aca="false">E70-C70</f>
        <v>23.6315789473684</v>
      </c>
      <c r="G70" s="9" t="n">
        <f aca="false">IF(AND(C70=0,E70=0),0,IF(C70=0,"New",(E70-C70)/C70))</f>
        <v>0.638691322901849</v>
      </c>
      <c r="H70" s="8" t="n">
        <f aca="false">SUMIFS('Source'!$E:$E,'Source'!$A:$A,"155138 לקוח אינטרנט",'Source'!$B:$B,$A70)</f>
        <v>7197.31</v>
      </c>
      <c r="I70" s="8" t="n">
        <f aca="false">SUMIFS('Source'!$G:$G,'Source'!$A:$A,"155138 לקוח אינטרנט",'Source'!$B:$B,$A70)</f>
        <v>9990.82</v>
      </c>
      <c r="J70" s="8" t="n">
        <f aca="false">I70*$J$5</f>
        <v>12619.9831578947</v>
      </c>
      <c r="K70" s="8" t="n">
        <f aca="false">J70-H70</f>
        <v>5422.67315789474</v>
      </c>
      <c r="L70" s="9" t="n">
        <f aca="false">IF(AND(H70=0,J70=0),0,IF(H70=0,"New",(J70-H70)/H70))</f>
        <v>0.753430539728695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162</v>
      </c>
      <c r="B71" s="7" t="str">
        <f aca="false">IFERROR(INDEX('Source'!$C:$C,MATCH($A71,'Source'!$B:$B,0)),"")</f>
        <v>מדרס מתכוונן</v>
      </c>
      <c r="C71" s="8" t="n">
        <f aca="false">SUMIFS('Source'!$D:$D,'Source'!$A:$A,"155138 לקוח אינטרנט",'Source'!$B:$B,$A71)</f>
        <v>0</v>
      </c>
      <c r="D71" s="8" t="n">
        <f aca="false">SUMIFS('Source'!$F:$F,'Source'!$A:$A,"155138 לקוח אינטרנט",'Source'!$B:$B,$A71)</f>
        <v>17</v>
      </c>
      <c r="E71" s="8" t="n">
        <f aca="false">D71*$J$5</f>
        <v>21.4736842105263</v>
      </c>
      <c r="F71" s="8" t="n">
        <f aca="false">E71-C71</f>
        <v>21.4736842105263</v>
      </c>
      <c r="G71" s="9" t="str">
        <f aca="false">IF(AND(C71=0,E71=0),0,IF(C71=0,"New",(E71-C71)/C71))</f>
        <v>New</v>
      </c>
      <c r="H71" s="8" t="n">
        <f aca="false">SUMIFS('Source'!$E:$E,'Source'!$A:$A,"155138 לקוח אינטרנט",'Source'!$B:$B,$A71)</f>
        <v>0</v>
      </c>
      <c r="I71" s="8" t="n">
        <f aca="false">SUMIFS('Source'!$G:$G,'Source'!$A:$A,"155138 לקוח אינטרנט",'Source'!$B:$B,$A71)</f>
        <v>2752.89</v>
      </c>
      <c r="J71" s="8" t="n">
        <f aca="false">I71*$J$5</f>
        <v>3477.33473684211</v>
      </c>
      <c r="K71" s="8" t="n">
        <f aca="false">J71-H71</f>
        <v>3477.33473684211</v>
      </c>
      <c r="L71" s="9" t="str">
        <f aca="false">IF(AND(H71=0,J71=0),0,IF(H71=0,"New",(J71-H71)/H71))</f>
        <v>New</v>
      </c>
      <c r="M71" s="7" t="str">
        <f aca="false">IF(AND(OR(C71&lt;&gt;0,H71&lt;&gt;0),D71=0,I71=0),"DROP",IF(AND(OR(D71&lt;&gt;0,I71&lt;&gt;0),C71=0,H71=0),"NEW",""))</f>
        <v>NEW</v>
      </c>
    </row>
    <row r="72" customFormat="false" ht="15" hidden="false" customHeight="false" outlineLevel="0" collapsed="false">
      <c r="A72" s="7" t="s">
        <v>163</v>
      </c>
      <c r="B72" s="7" t="str">
        <f aca="false">IFERROR(INDEX('Source'!$C:$C,MATCH($A72,'Source'!$B:$B,0)),"")</f>
        <v>שרוול לגבס ארוך יד</v>
      </c>
      <c r="C72" s="8" t="n">
        <f aca="false">SUMIFS('Source'!$D:$D,'Source'!$A:$A,"155138 לקוח אינטרנט",'Source'!$B:$B,$A72)</f>
        <v>88</v>
      </c>
      <c r="D72" s="8" t="n">
        <f aca="false">SUMIFS('Source'!$F:$F,'Source'!$A:$A,"155138 לקוח אינטרנט",'Source'!$B:$B,$A72)</f>
        <v>119</v>
      </c>
      <c r="E72" s="8" t="n">
        <f aca="false">D72*$J$5</f>
        <v>150.315789473684</v>
      </c>
      <c r="F72" s="8" t="n">
        <f aca="false">E72-C72</f>
        <v>62.3157894736842</v>
      </c>
      <c r="G72" s="9" t="n">
        <f aca="false">IF(AND(C72=0,E72=0),0,IF(C72=0,"New",(E72-C72)/C72))</f>
        <v>0.708133971291866</v>
      </c>
      <c r="H72" s="8" t="n">
        <f aca="false">SUMIFS('Source'!$E:$E,'Source'!$A:$A,"155138 לקוח אינטרנט",'Source'!$B:$B,$A72)</f>
        <v>6228.56</v>
      </c>
      <c r="I72" s="8" t="n">
        <f aca="false">SUMIFS('Source'!$G:$G,'Source'!$A:$A,"155138 לקוח אינטרנט",'Source'!$B:$B,$A72)</f>
        <v>8898.68</v>
      </c>
      <c r="J72" s="8" t="n">
        <f aca="false">I72*$J$5</f>
        <v>11240.4378947368</v>
      </c>
      <c r="K72" s="8" t="n">
        <f aca="false">J72-H72</f>
        <v>5011.87789473684</v>
      </c>
      <c r="L72" s="9" t="n">
        <f aca="false">IF(AND(H72=0,J72=0),0,IF(H72=0,"New",(J72-H72)/H72))</f>
        <v>0.80466077146834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164</v>
      </c>
      <c r="B73" s="7" t="str">
        <f aca="false">IFERROR(INDEX('Source'!$C:$C,MATCH($A73,'Source'!$B:$B,0)),"")</f>
        <v>סד לקרסול</v>
      </c>
      <c r="C73" s="8" t="n">
        <f aca="false">SUMIFS('Source'!$D:$D,'Source'!$A:$A,"155138 לקוח אינטרנט",'Source'!$B:$B,$A73)</f>
        <v>7</v>
      </c>
      <c r="D73" s="8" t="n">
        <f aca="false">SUMIFS('Source'!$F:$F,'Source'!$A:$A,"155138 לקוח אינטרנט",'Source'!$B:$B,$A73)</f>
        <v>18</v>
      </c>
      <c r="E73" s="8" t="n">
        <f aca="false">D73*$J$5</f>
        <v>22.7368421052632</v>
      </c>
      <c r="F73" s="8" t="n">
        <f aca="false">E73-C73</f>
        <v>15.7368421052632</v>
      </c>
      <c r="G73" s="9" t="n">
        <f aca="false">IF(AND(C73=0,E73=0),0,IF(C73=0,"New",(E73-C73)/C73))</f>
        <v>2.24812030075188</v>
      </c>
      <c r="H73" s="8" t="n">
        <f aca="false">SUMIFS('Source'!$E:$E,'Source'!$A:$A,"155138 לקוח אינטרנט",'Source'!$B:$B,$A73)</f>
        <v>1735.88</v>
      </c>
      <c r="I73" s="8" t="n">
        <f aca="false">SUMIFS('Source'!$G:$G,'Source'!$A:$A,"155138 לקוח אינטרנט",'Source'!$B:$B,$A73)</f>
        <v>4396.84</v>
      </c>
      <c r="J73" s="8" t="n">
        <f aca="false">I73*$J$5</f>
        <v>5553.90315789474</v>
      </c>
      <c r="K73" s="8" t="n">
        <f aca="false">J73-H73</f>
        <v>3818.02315789474</v>
      </c>
      <c r="L73" s="9" t="n">
        <f aca="false">IF(AND(H73=0,J73=0),0,IF(H73=0,"New",(J73-H73)/H73))</f>
        <v>2.19947413294395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165</v>
      </c>
      <c r="B74" s="7" t="str">
        <f aca="false">IFERROR(INDEX('Source'!$C:$C,MATCH($A74,'Source'!$B:$B,0)),"")</f>
        <v>גרבי קיץ אנטיבקטריאלי לבן</v>
      </c>
      <c r="C74" s="8" t="n">
        <f aca="false">SUMIFS('Source'!$D:$D,'Source'!$A:$A,"155138 לקוח אינטרנט",'Source'!$B:$B,$A74)</f>
        <v>0</v>
      </c>
      <c r="D74" s="8" t="n">
        <f aca="false">SUMIFS('Source'!$F:$F,'Source'!$A:$A,"155138 לקוח אינטרנט",'Source'!$B:$B,$A74)</f>
        <v>57</v>
      </c>
      <c r="E74" s="8" t="n">
        <f aca="false">D74*$J$5</f>
        <v>72</v>
      </c>
      <c r="F74" s="8" t="n">
        <f aca="false">E74-C74</f>
        <v>72</v>
      </c>
      <c r="G74" s="9" t="str">
        <f aca="false">IF(AND(C74=0,E74=0),0,IF(C74=0,"New",(E74-C74)/C74))</f>
        <v>New</v>
      </c>
      <c r="H74" s="8" t="n">
        <f aca="false">SUMIFS('Source'!$E:$E,'Source'!$A:$A,"155138 לקוח אינטרנט",'Source'!$B:$B,$A74)</f>
        <v>0</v>
      </c>
      <c r="I74" s="8" t="n">
        <f aca="false">SUMIFS('Source'!$G:$G,'Source'!$A:$A,"155138 לקוח אינטרנט",'Source'!$B:$B,$A74)</f>
        <v>2646.58</v>
      </c>
      <c r="J74" s="8" t="n">
        <f aca="false">I74*$J$5</f>
        <v>3343.04842105263</v>
      </c>
      <c r="K74" s="8" t="n">
        <f aca="false">J74-H74</f>
        <v>3343.04842105263</v>
      </c>
      <c r="L74" s="9" t="str">
        <f aca="false">IF(AND(H74=0,J74=0),0,IF(H74=0,"New",(J74-H74)/H74))</f>
        <v>New</v>
      </c>
      <c r="M74" s="7" t="str">
        <f aca="false">IF(AND(OR(C74&lt;&gt;0,H74&lt;&gt;0),D74=0,I74=0),"DROP",IF(AND(OR(D74&lt;&gt;0,I74&lt;&gt;0),C74=0,H74=0),"NEW",""))</f>
        <v>NEW</v>
      </c>
    </row>
    <row r="75" customFormat="false" ht="15" hidden="false" customHeight="false" outlineLevel="0" collapsed="false">
      <c r="A75" s="7" t="s">
        <v>166</v>
      </c>
      <c r="B75" s="7" t="str">
        <f aca="false">IFERROR(INDEX('Source'!$C:$C,MATCH($A75,'Source'!$B:$B,0)),"")</f>
        <v>גרבי נוחות קיץ לבן</v>
      </c>
      <c r="C75" s="8" t="n">
        <f aca="false">SUMIFS('Source'!$D:$D,'Source'!$A:$A,"155138 לקוח אינטרנט",'Source'!$B:$B,$A75)</f>
        <v>106</v>
      </c>
      <c r="D75" s="8" t="n">
        <f aca="false">SUMIFS('Source'!$F:$F,'Source'!$A:$A,"155138 לקוח אינטרנט",'Source'!$B:$B,$A75)</f>
        <v>41</v>
      </c>
      <c r="E75" s="8" t="n">
        <f aca="false">D75*$J$5</f>
        <v>51.7894736842105</v>
      </c>
      <c r="F75" s="8" t="n">
        <f aca="false">E75-C75</f>
        <v>-54.2105263157895</v>
      </c>
      <c r="G75" s="9" t="n">
        <f aca="false">IF(AND(C75=0,E75=0),0,IF(C75=0,"New",(E75-C75)/C75))</f>
        <v>-0.51142005958292</v>
      </c>
      <c r="H75" s="8" t="n">
        <f aca="false">SUMIFS('Source'!$E:$E,'Source'!$A:$A,"155138 לקוח אינטרנט",'Source'!$B:$B,$A75)</f>
        <v>4288.69</v>
      </c>
      <c r="I75" s="8" t="n">
        <f aca="false">SUMIFS('Source'!$G:$G,'Source'!$A:$A,"155138 לקוח אינטרנט",'Source'!$B:$B,$A75)</f>
        <v>1642.18</v>
      </c>
      <c r="J75" s="8" t="n">
        <f aca="false">I75*$J$5</f>
        <v>2074.33263157895</v>
      </c>
      <c r="K75" s="8" t="n">
        <f aca="false">J75-H75</f>
        <v>-2214.35736842105</v>
      </c>
      <c r="L75" s="9" t="n">
        <f aca="false">IF(AND(H75=0,J75=0),0,IF(H75=0,"New",(J75-H75)/H75))</f>
        <v>-0.516324884386853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167</v>
      </c>
      <c r="B76" s="7" t="str">
        <f aca="false">IFERROR(INDEX('Source'!$C:$C,MATCH($A76,'Source'!$B:$B,0)),"")</f>
        <v>מ.ברך מנאופרן+ציר D +כ.סיליקון</v>
      </c>
      <c r="C76" s="8" t="n">
        <f aca="false">SUMIFS('Source'!$D:$D,'Source'!$A:$A,"155138 לקוח אינטרנט",'Source'!$B:$B,$A76)</f>
        <v>10</v>
      </c>
      <c r="D76" s="8" t="n">
        <f aca="false">SUMIFS('Source'!$F:$F,'Source'!$A:$A,"155138 לקוח אינטרנט",'Source'!$B:$B,$A76)</f>
        <v>5</v>
      </c>
      <c r="E76" s="8" t="n">
        <f aca="false">D76*$J$5</f>
        <v>6.31578947368421</v>
      </c>
      <c r="F76" s="8" t="n">
        <f aca="false">E76-C76</f>
        <v>-3.68421052631579</v>
      </c>
      <c r="G76" s="9" t="n">
        <f aca="false">IF(AND(C76=0,E76=0),0,IF(C76=0,"New",(E76-C76)/C76))</f>
        <v>-0.368421052631579</v>
      </c>
      <c r="H76" s="8" t="n">
        <f aca="false">SUMIFS('Source'!$E:$E,'Source'!$A:$A,"155138 לקוח אינטרנט",'Source'!$B:$B,$A76)</f>
        <v>5369.65</v>
      </c>
      <c r="I76" s="8" t="n">
        <f aca="false">SUMIFS('Source'!$G:$G,'Source'!$A:$A,"155138 לקוח אינטרנט",'Source'!$B:$B,$A76)</f>
        <v>2728.44</v>
      </c>
      <c r="J76" s="8" t="n">
        <f aca="false">I76*$J$5</f>
        <v>3446.45052631579</v>
      </c>
      <c r="K76" s="8" t="n">
        <f aca="false">J76-H76</f>
        <v>-1923.19947368421</v>
      </c>
      <c r="L76" s="9" t="n">
        <f aca="false">IF(AND(H76=0,J76=0),0,IF(H76=0,"New",(J76-H76)/H76))</f>
        <v>-0.358161048426659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168</v>
      </c>
      <c r="B77" s="7" t="str">
        <f aca="false">IFERROR(INDEX('Source'!$C:$C,MATCH($A77,'Source'!$B:$B,0)),"")</f>
        <v>מדרס מתכוונן לגיל</v>
      </c>
      <c r="C77" s="8" t="n">
        <f aca="false">SUMIFS('Source'!$D:$D,'Source'!$A:$A,"155138 לקוח אינטרנט",'Source'!$B:$B,$A77)</f>
        <v>32</v>
      </c>
      <c r="D77" s="8" t="n">
        <f aca="false">SUMIFS('Source'!$F:$F,'Source'!$A:$A,"155138 לקוח אינטרנט",'Source'!$B:$B,$A77)</f>
        <v>15</v>
      </c>
      <c r="E77" s="8" t="n">
        <f aca="false">D77*$J$5</f>
        <v>18.9473684210526</v>
      </c>
      <c r="F77" s="8" t="n">
        <f aca="false">E77-C77</f>
        <v>-13.0526315789474</v>
      </c>
      <c r="G77" s="9" t="n">
        <f aca="false">IF(AND(C77=0,E77=0),0,IF(C77=0,"New",(E77-C77)/C77))</f>
        <v>-0.407894736842105</v>
      </c>
      <c r="H77" s="8" t="n">
        <f aca="false">SUMIFS('Source'!$E:$E,'Source'!$A:$A,"155138 לקוח אינטרנט",'Source'!$B:$B,$A77)</f>
        <v>4917.04</v>
      </c>
      <c r="I77" s="8" t="n">
        <f aca="false">SUMIFS('Source'!$G:$G,'Source'!$A:$A,"155138 לקוח אינטרנט",'Source'!$B:$B,$A77)</f>
        <v>2312.44</v>
      </c>
      <c r="J77" s="8" t="n">
        <f aca="false">I77*$J$5</f>
        <v>2920.97684210526</v>
      </c>
      <c r="K77" s="8" t="n">
        <f aca="false">J77-H77</f>
        <v>-1996.06315789474</v>
      </c>
      <c r="L77" s="9" t="n">
        <f aca="false">IF(AND(H77=0,J77=0),0,IF(H77=0,"New",(J77-H77)/H77))</f>
        <v>-0.405948122832992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169</v>
      </c>
      <c r="B78" s="7" t="str">
        <f aca="false">IFERROR(INDEX('Source'!$C:$C,MATCH($A78,'Source'!$B:$B,0)),"")</f>
        <v>חגורת שבר דו צדדית</v>
      </c>
      <c r="C78" s="8" t="n">
        <f aca="false">SUMIFS('Source'!$D:$D,'Source'!$A:$A,"155138 לקוח אינטרנט",'Source'!$B:$B,$A78)</f>
        <v>10</v>
      </c>
      <c r="D78" s="8" t="n">
        <f aca="false">SUMIFS('Source'!$F:$F,'Source'!$A:$A,"155138 לקוח אינטרנט",'Source'!$B:$B,$A78)</f>
        <v>5</v>
      </c>
      <c r="E78" s="8" t="n">
        <f aca="false">D78*$J$5</f>
        <v>6.31578947368421</v>
      </c>
      <c r="F78" s="8" t="n">
        <f aca="false">E78-C78</f>
        <v>-3.68421052631579</v>
      </c>
      <c r="G78" s="9" t="n">
        <f aca="false">IF(AND(C78=0,E78=0),0,IF(C78=0,"New",(E78-C78)/C78))</f>
        <v>-0.368421052631579</v>
      </c>
      <c r="H78" s="8" t="n">
        <f aca="false">SUMIFS('Source'!$E:$E,'Source'!$A:$A,"155138 לקוח אינטרנט",'Source'!$B:$B,$A78)</f>
        <v>5220.04</v>
      </c>
      <c r="I78" s="8" t="n">
        <f aca="false">SUMIFS('Source'!$G:$G,'Source'!$A:$A,"155138 לקוח אינטרנט",'Source'!$B:$B,$A78)</f>
        <v>2668.24</v>
      </c>
      <c r="J78" s="8" t="n">
        <f aca="false">I78*$J$5</f>
        <v>3370.40842105263</v>
      </c>
      <c r="K78" s="8" t="n">
        <f aca="false">J78-H78</f>
        <v>-1849.63157894737</v>
      </c>
      <c r="L78" s="9" t="n">
        <f aca="false">IF(AND(H78=0,J78=0),0,IF(H78=0,"New",(J78-H78)/H78))</f>
        <v>-0.354332836328336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170</v>
      </c>
      <c r="B79" s="7" t="str">
        <f aca="false">IFERROR(INDEX('Source'!$C:$C,MATCH($A79,'Source'!$B:$B,0)),"")</f>
        <v>(Unassigned / adjustment row - no item code in source)</v>
      </c>
      <c r="C79" s="8" t="n">
        <f aca="false">SUMIFS('Source'!$D:$D,'Source'!$A:$A,"155138 לקוח אינטרנט",'Source'!$B:$B,$A79)</f>
        <v>0</v>
      </c>
      <c r="D79" s="8" t="n">
        <f aca="false">SUMIFS('Source'!$F:$F,'Source'!$A:$A,"155138 לקוח אינטרנט",'Source'!$B:$B,$A79)</f>
        <v>0</v>
      </c>
      <c r="E79" s="8" t="n">
        <f aca="false">D79*$J$5</f>
        <v>0</v>
      </c>
      <c r="F79" s="8" t="n">
        <f aca="false">E79-C79</f>
        <v>0</v>
      </c>
      <c r="G79" s="9" t="n">
        <f aca="false">IF(AND(C79=0,E79=0),0,IF(C79=0,"New",(E79-C79)/C79))</f>
        <v>0</v>
      </c>
      <c r="H79" s="8" t="n">
        <f aca="false">SUMIFS('Source'!$E:$E,'Source'!$A:$A,"155138 לקוח אינטרנט",'Source'!$B:$B,$A79)</f>
        <v>-2545.41</v>
      </c>
      <c r="I79" s="8" t="n">
        <f aca="false">SUMIFS('Source'!$G:$G,'Source'!$A:$A,"155138 לקוח אינטרנט",'Source'!$B:$B,$A79)</f>
        <v>0</v>
      </c>
      <c r="J79" s="8" t="n">
        <f aca="false">I79*$J$5</f>
        <v>0</v>
      </c>
      <c r="K79" s="8" t="n">
        <f aca="false">J79-H79</f>
        <v>2545.41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171</v>
      </c>
      <c r="B80" s="7" t="str">
        <f aca="false">IFERROR(INDEX('Source'!$C:$C,MATCH($A80,'Source'!$B:$B,0)),"")</f>
        <v>מדרס מתכוונן</v>
      </c>
      <c r="C80" s="8" t="n">
        <f aca="false">SUMIFS('Source'!$D:$D,'Source'!$A:$A,"155138 לקוח אינטרנט",'Source'!$B:$B,$A80)</f>
        <v>0</v>
      </c>
      <c r="D80" s="8" t="n">
        <f aca="false">SUMIFS('Source'!$F:$F,'Source'!$A:$A,"155138 לקוח אינטרנט",'Source'!$B:$B,$A80)</f>
        <v>16</v>
      </c>
      <c r="E80" s="8" t="n">
        <f aca="false">D80*$J$5</f>
        <v>20.2105263157895</v>
      </c>
      <c r="F80" s="8" t="n">
        <f aca="false">E80-C80</f>
        <v>20.2105263157895</v>
      </c>
      <c r="G80" s="9" t="str">
        <f aca="false">IF(AND(C80=0,E80=0),0,IF(C80=0,"New",(E80-C80)/C80))</f>
        <v>New</v>
      </c>
      <c r="H80" s="8" t="n">
        <f aca="false">SUMIFS('Source'!$E:$E,'Source'!$A:$A,"155138 לקוח אינטרנט",'Source'!$B:$B,$A80)</f>
        <v>0</v>
      </c>
      <c r="I80" s="8" t="n">
        <f aca="false">SUMIFS('Source'!$G:$G,'Source'!$A:$A,"155138 לקוח אינטרנט",'Source'!$B:$B,$A80)</f>
        <v>2524.16</v>
      </c>
      <c r="J80" s="8" t="n">
        <f aca="false">I80*$J$5</f>
        <v>3188.41263157895</v>
      </c>
      <c r="K80" s="8" t="n">
        <f aca="false">J80-H80</f>
        <v>3188.41263157895</v>
      </c>
      <c r="L80" s="9" t="str">
        <f aca="false">IF(AND(H80=0,J80=0),0,IF(H80=0,"New",(J80-H80)/H80))</f>
        <v>New</v>
      </c>
      <c r="M80" s="7" t="str">
        <f aca="false">IF(AND(OR(C80&lt;&gt;0,H80&lt;&gt;0),D80=0,I80=0),"DROP",IF(AND(OR(D80&lt;&gt;0,I80&lt;&gt;0),C80=0,H80=0),"NEW",""))</f>
        <v>NEW</v>
      </c>
    </row>
    <row r="81" customFormat="false" ht="15" hidden="false" customHeight="false" outlineLevel="0" collapsed="false">
      <c r="A81" s="7" t="s">
        <v>172</v>
      </c>
      <c r="B81" s="7" t="str">
        <f aca="false">IFERROR(INDEX('Source'!$C:$C,MATCH($A81,'Source'!$B:$B,0)),"")</f>
        <v>מדרסי ג'ל וורק</v>
      </c>
      <c r="C81" s="8" t="n">
        <f aca="false">SUMIFS('Source'!$D:$D,'Source'!$A:$A,"155138 לקוח אינטרנט",'Source'!$B:$B,$A81)</f>
        <v>38</v>
      </c>
      <c r="D81" s="8" t="n">
        <f aca="false">SUMIFS('Source'!$F:$F,'Source'!$A:$A,"155138 לקוח אינטרנט",'Source'!$B:$B,$A81)</f>
        <v>25</v>
      </c>
      <c r="E81" s="8" t="n">
        <f aca="false">D81*$J$5</f>
        <v>31.5789473684211</v>
      </c>
      <c r="F81" s="8" t="n">
        <f aca="false">E81-C81</f>
        <v>-6.42105263157895</v>
      </c>
      <c r="G81" s="9" t="n">
        <f aca="false">IF(AND(C81=0,E81=0),0,IF(C81=0,"New",(E81-C81)/C81))</f>
        <v>-0.168975069252078</v>
      </c>
      <c r="H81" s="8" t="n">
        <f aca="false">SUMIFS('Source'!$E:$E,'Source'!$A:$A,"155138 לקוח אינטרנט",'Source'!$B:$B,$A81)</f>
        <v>7404.9</v>
      </c>
      <c r="I81" s="8" t="n">
        <f aca="false">SUMIFS('Source'!$G:$G,'Source'!$A:$A,"155138 לקוח אינטרנט",'Source'!$B:$B,$A81)</f>
        <v>4931.83</v>
      </c>
      <c r="J81" s="8" t="n">
        <f aca="false">I81*$J$5</f>
        <v>6229.68</v>
      </c>
      <c r="K81" s="8" t="n">
        <f aca="false">J81-H81</f>
        <v>-1175.22</v>
      </c>
      <c r="L81" s="9" t="n">
        <f aca="false">IF(AND(H81=0,J81=0),0,IF(H81=0,"New",(J81-H81)/H81))</f>
        <v>-0.158708422801118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173</v>
      </c>
      <c r="B82" s="7" t="str">
        <f aca="false">IFERROR(INDEX('Source'!$C:$C,MATCH($A82,'Source'!$B:$B,0)),"")</f>
        <v>גרבי נוחות חורף שחור</v>
      </c>
      <c r="C82" s="8" t="n">
        <f aca="false">SUMIFS('Source'!$D:$D,'Source'!$A:$A,"155138 לקוח אינטרנט",'Source'!$B:$B,$A82)</f>
        <v>49</v>
      </c>
      <c r="D82" s="8" t="n">
        <f aca="false">SUMIFS('Source'!$F:$F,'Source'!$A:$A,"155138 לקוח אינטרנט",'Source'!$B:$B,$A82)</f>
        <v>0</v>
      </c>
      <c r="E82" s="8" t="n">
        <f aca="false">D82*$J$5</f>
        <v>0</v>
      </c>
      <c r="F82" s="8" t="n">
        <f aca="false">E82-C82</f>
        <v>-49</v>
      </c>
      <c r="G82" s="9" t="n">
        <f aca="false">IF(AND(C82=0,E82=0),0,IF(C82=0,"New",(E82-C82)/C82))</f>
        <v>-1</v>
      </c>
      <c r="H82" s="8" t="n">
        <f aca="false">SUMIFS('Source'!$E:$E,'Source'!$A:$A,"155138 לקוח אינטרנט",'Source'!$B:$B,$A82)</f>
        <v>2348.86</v>
      </c>
      <c r="I82" s="8" t="n">
        <f aca="false">SUMIFS('Source'!$G:$G,'Source'!$A:$A,"155138 לקוח אינטרנט",'Source'!$B:$B,$A82)</f>
        <v>0</v>
      </c>
      <c r="J82" s="8" t="n">
        <f aca="false">I82*$J$5</f>
        <v>0</v>
      </c>
      <c r="K82" s="8" t="n">
        <f aca="false">J82-H82</f>
        <v>-2348.86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174</v>
      </c>
      <c r="B83" s="7" t="str">
        <f aca="false">IFERROR(INDEX('Source'!$C:$C,MATCH($A83,'Source'!$B:$B,0)),"")</f>
        <v>AC27</v>
      </c>
      <c r="C83" s="8" t="n">
        <f aca="false">SUMIFS('Source'!$D:$D,'Source'!$A:$A,"155138 לקוח אינטרנט",'Source'!$B:$B,$A83)</f>
        <v>38</v>
      </c>
      <c r="D83" s="8" t="n">
        <f aca="false">SUMIFS('Source'!$F:$F,'Source'!$A:$A,"155138 לקוח אינטרנט",'Source'!$B:$B,$A83)</f>
        <v>63</v>
      </c>
      <c r="E83" s="8" t="n">
        <f aca="false">D83*$J$5</f>
        <v>79.5789473684211</v>
      </c>
      <c r="F83" s="8" t="n">
        <f aca="false">E83-C83</f>
        <v>41.5789473684211</v>
      </c>
      <c r="G83" s="9" t="n">
        <f aca="false">IF(AND(C83=0,E83=0),0,IF(C83=0,"New",(E83-C83)/C83))</f>
        <v>1.09418282548476</v>
      </c>
      <c r="H83" s="8" t="n">
        <f aca="false">SUMIFS('Source'!$E:$E,'Source'!$A:$A,"155138 לקוח אינטרנט",'Source'!$B:$B,$A83)</f>
        <v>2834.69</v>
      </c>
      <c r="I83" s="8" t="n">
        <f aca="false">SUMIFS('Source'!$G:$G,'Source'!$A:$A,"155138 לקוח אינטרנט",'Source'!$B:$B,$A83)</f>
        <v>5168.55</v>
      </c>
      <c r="J83" s="8" t="n">
        <f aca="false">I83*$J$5</f>
        <v>6528.69473684211</v>
      </c>
      <c r="K83" s="8" t="n">
        <f aca="false">J83-H83</f>
        <v>3694.00473684211</v>
      </c>
      <c r="L83" s="9" t="n">
        <f aca="false">IF(AND(H83=0,J83=0),0,IF(H83=0,"New",(J83-H83)/H83))</f>
        <v>1.3031424024645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175</v>
      </c>
      <c r="B84" s="7" t="str">
        <f aca="false">IFERROR(INDEX('Source'!$C:$C,MATCH($A84,'Source'!$B:$B,0)),"")</f>
        <v>חגורת גב+מיישר+תמיכה לבית השחי</v>
      </c>
      <c r="C84" s="8" t="n">
        <f aca="false">SUMIFS('Source'!$D:$D,'Source'!$A:$A,"155138 לקוח אינטרנט",'Source'!$B:$B,$A84)</f>
        <v>3</v>
      </c>
      <c r="D84" s="8" t="n">
        <f aca="false">SUMIFS('Source'!$F:$F,'Source'!$A:$A,"155138 לקוח אינטרנט",'Source'!$B:$B,$A84)</f>
        <v>0</v>
      </c>
      <c r="E84" s="8" t="n">
        <f aca="false">D84*$J$5</f>
        <v>0</v>
      </c>
      <c r="F84" s="8" t="n">
        <f aca="false">E84-C84</f>
        <v>-3</v>
      </c>
      <c r="G84" s="9" t="n">
        <f aca="false">IF(AND(C84=0,E84=0),0,IF(C84=0,"New",(E84-C84)/C84))</f>
        <v>-1</v>
      </c>
      <c r="H84" s="8" t="n">
        <f aca="false">SUMIFS('Source'!$E:$E,'Source'!$A:$A,"155138 לקוח אינטרנט",'Source'!$B:$B,$A84)</f>
        <v>2308.5</v>
      </c>
      <c r="I84" s="8" t="n">
        <f aca="false">SUMIFS('Source'!$G:$G,'Source'!$A:$A,"155138 לקוח אינטרנט",'Source'!$B:$B,$A84)</f>
        <v>0</v>
      </c>
      <c r="J84" s="8" t="n">
        <f aca="false">I84*$J$5</f>
        <v>0</v>
      </c>
      <c r="K84" s="8" t="n">
        <f aca="false">J84-H84</f>
        <v>-2308.5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176</v>
      </c>
      <c r="B85" s="7" t="str">
        <f aca="false">IFERROR(INDEX('Source'!$C:$C,MATCH($A85,'Source'!$B:$B,0)),"")</f>
        <v>חבק יד</v>
      </c>
      <c r="C85" s="8" t="n">
        <f aca="false">SUMIFS('Source'!$D:$D,'Source'!$A:$A,"155138 לקוח אינטרנט",'Source'!$B:$B,$A85)</f>
        <v>119</v>
      </c>
      <c r="D85" s="8" t="n">
        <f aca="false">SUMIFS('Source'!$F:$F,'Source'!$A:$A,"155138 לקוח אינטרנט",'Source'!$B:$B,$A85)</f>
        <v>75</v>
      </c>
      <c r="E85" s="8" t="n">
        <f aca="false">D85*$J$5</f>
        <v>94.7368421052632</v>
      </c>
      <c r="F85" s="8" t="n">
        <f aca="false">E85-C85</f>
        <v>-24.2631578947369</v>
      </c>
      <c r="G85" s="9" t="n">
        <f aca="false">IF(AND(C85=0,E85=0),0,IF(C85=0,"New",(E85-C85)/C85))</f>
        <v>-0.203892083149049</v>
      </c>
      <c r="H85" s="8" t="n">
        <f aca="false">SUMIFS('Source'!$E:$E,'Source'!$A:$A,"155138 לקוח אינטרנט",'Source'!$B:$B,$A85)</f>
        <v>6627.84</v>
      </c>
      <c r="I85" s="8" t="n">
        <f aca="false">SUMIFS('Source'!$G:$G,'Source'!$A:$A,"155138 לקוח אינטרנט",'Source'!$B:$B,$A85)</f>
        <v>4330.42</v>
      </c>
      <c r="J85" s="8" t="n">
        <f aca="false">I85*$J$5</f>
        <v>5470.00421052632</v>
      </c>
      <c r="K85" s="8" t="n">
        <f aca="false">J85-H85</f>
        <v>-1157.83578947368</v>
      </c>
      <c r="L85" s="9" t="n">
        <f aca="false">IF(AND(H85=0,J85=0),0,IF(H85=0,"New",(J85-H85)/H85))</f>
        <v>-0.174692779166921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177</v>
      </c>
      <c r="B86" s="7" t="str">
        <f aca="false">IFERROR(INDEX('Source'!$C:$C,MATCH($A86,'Source'!$B:$B,0)),"")</f>
        <v>נוזל לריכוך ציפורן חודרנית</v>
      </c>
      <c r="C86" s="8" t="n">
        <f aca="false">SUMIFS('Source'!$D:$D,'Source'!$A:$A,"155138 לקוח אינטרנט",'Source'!$B:$B,$A86)</f>
        <v>22</v>
      </c>
      <c r="D86" s="8" t="n">
        <f aca="false">SUMIFS('Source'!$F:$F,'Source'!$A:$A,"155138 לקוח אינטרנט",'Source'!$B:$B,$A86)</f>
        <v>59</v>
      </c>
      <c r="E86" s="8" t="n">
        <f aca="false">D86*$J$5</f>
        <v>74.5263157894737</v>
      </c>
      <c r="F86" s="8" t="n">
        <f aca="false">E86-C86</f>
        <v>52.5263157894737</v>
      </c>
      <c r="G86" s="9" t="n">
        <f aca="false">IF(AND(C86=0,E86=0),0,IF(C86=0,"New",(E86-C86)/C86))</f>
        <v>2.38755980861244</v>
      </c>
      <c r="H86" s="8" t="n">
        <f aca="false">SUMIFS('Source'!$E:$E,'Source'!$A:$A,"155138 לקוח אינטרנט",'Source'!$B:$B,$A86)</f>
        <v>2430.05</v>
      </c>
      <c r="I86" s="8" t="n">
        <f aca="false">SUMIFS('Source'!$G:$G,'Source'!$A:$A,"155138 לקוח אינטרנט",'Source'!$B:$B,$A86)</f>
        <v>4725.26</v>
      </c>
      <c r="J86" s="8" t="n">
        <f aca="false">I86*$J$5</f>
        <v>5968.74947368421</v>
      </c>
      <c r="K86" s="8" t="n">
        <f aca="false">J86-H86</f>
        <v>3538.69947368421</v>
      </c>
      <c r="L86" s="9" t="n">
        <f aca="false">IF(AND(H86=0,J86=0),0,IF(H86=0,"New",(J86-H86)/H86))</f>
        <v>1.45622496396544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178</v>
      </c>
      <c r="B87" s="7" t="str">
        <f aca="false">IFERROR(INDEX('Source'!$C:$C,MATCH($A87,'Source'!$B:$B,0)),"")</f>
        <v>גרבי נוחות קיץ לבן</v>
      </c>
      <c r="C87" s="8" t="n">
        <f aca="false">SUMIFS('Source'!$D:$D,'Source'!$A:$A,"155138 לקוח אינטרנט",'Source'!$B:$B,$A87)</f>
        <v>70</v>
      </c>
      <c r="D87" s="8" t="n">
        <f aca="false">SUMIFS('Source'!$F:$F,'Source'!$A:$A,"155138 לקוח אינטרנט",'Source'!$B:$B,$A87)</f>
        <v>11</v>
      </c>
      <c r="E87" s="8" t="n">
        <f aca="false">D87*$J$5</f>
        <v>13.8947368421053</v>
      </c>
      <c r="F87" s="8" t="n">
        <f aca="false">E87-C87</f>
        <v>-56.1052631578947</v>
      </c>
      <c r="G87" s="9" t="n">
        <f aca="false">IF(AND(C87=0,E87=0),0,IF(C87=0,"New",(E87-C87)/C87))</f>
        <v>-0.801503759398496</v>
      </c>
      <c r="H87" s="8" t="n">
        <f aca="false">SUMIFS('Source'!$E:$E,'Source'!$A:$A,"155138 לקוח אינטרנט",'Source'!$B:$B,$A87)</f>
        <v>2796.69</v>
      </c>
      <c r="I87" s="8" t="n">
        <f aca="false">SUMIFS('Source'!$G:$G,'Source'!$A:$A,"155138 לקוח אינטרנט",'Source'!$B:$B,$A87)</f>
        <v>525.39</v>
      </c>
      <c r="J87" s="8" t="n">
        <f aca="false">I87*$J$5</f>
        <v>663.650526315789</v>
      </c>
      <c r="K87" s="8" t="n">
        <f aca="false">J87-H87</f>
        <v>-2133.03947368421</v>
      </c>
      <c r="L87" s="9" t="n">
        <f aca="false">IF(AND(H87=0,J87=0),0,IF(H87=0,"New",(J87-H87)/H87))</f>
        <v>-0.762701434082509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179</v>
      </c>
      <c r="B88" s="7" t="str">
        <f aca="false">IFERROR(INDEX('Source'!$C:$C,MATCH($A88,'Source'!$B:$B,0)),"")</f>
        <v>מתלה ליד לילדים</v>
      </c>
      <c r="C88" s="8" t="n">
        <f aca="false">SUMIFS('Source'!$D:$D,'Source'!$A:$A,"155138 לקוח אינטרנט",'Source'!$B:$B,$A88)</f>
        <v>63</v>
      </c>
      <c r="D88" s="8" t="n">
        <f aca="false">SUMIFS('Source'!$F:$F,'Source'!$A:$A,"155138 לקוח אינטרנט",'Source'!$B:$B,$A88)</f>
        <v>37</v>
      </c>
      <c r="E88" s="8" t="n">
        <f aca="false">D88*$J$5</f>
        <v>46.7368421052632</v>
      </c>
      <c r="F88" s="8" t="n">
        <f aca="false">E88-C88</f>
        <v>-16.2631578947368</v>
      </c>
      <c r="G88" s="9" t="n">
        <f aca="false">IF(AND(C88=0,E88=0),0,IF(C88=0,"New",(E88-C88)/C88))</f>
        <v>-0.258145363408521</v>
      </c>
      <c r="H88" s="8" t="n">
        <f aca="false">SUMIFS('Source'!$E:$E,'Source'!$A:$A,"155138 לקוח אינטרנט",'Source'!$B:$B,$A88)</f>
        <v>5676.34</v>
      </c>
      <c r="I88" s="8" t="n">
        <f aca="false">SUMIFS('Source'!$G:$G,'Source'!$A:$A,"155138 לקוח אינטרנט",'Source'!$B:$B,$A88)</f>
        <v>3406.84</v>
      </c>
      <c r="J88" s="8" t="n">
        <f aca="false">I88*$J$5</f>
        <v>4303.37684210526</v>
      </c>
      <c r="K88" s="8" t="n">
        <f aca="false">J88-H88</f>
        <v>-1372.96315789474</v>
      </c>
      <c r="L88" s="9" t="n">
        <f aca="false">IF(AND(H88=0,J88=0),0,IF(H88=0,"New",(J88-H88)/H88))</f>
        <v>-0.241874721721168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180</v>
      </c>
      <c r="B89" s="7" t="str">
        <f aca="false">IFERROR(INDEX('Source'!$C:$C,MATCH($A89,'Source'!$B:$B,0)),"")</f>
        <v>חגורת גב+מיישר+תמיכה בית שחי</v>
      </c>
      <c r="C89" s="8" t="n">
        <f aca="false">SUMIFS('Source'!$D:$D,'Source'!$A:$A,"155138 לקוח אינטרנט",'Source'!$B:$B,$A89)</f>
        <v>3</v>
      </c>
      <c r="D89" s="8" t="n">
        <f aca="false">SUMIFS('Source'!$F:$F,'Source'!$A:$A,"155138 לקוח אינטרנט",'Source'!$B:$B,$A89)</f>
        <v>0</v>
      </c>
      <c r="E89" s="8" t="n">
        <f aca="false">D89*$J$5</f>
        <v>0</v>
      </c>
      <c r="F89" s="8" t="n">
        <f aca="false">E89-C89</f>
        <v>-3</v>
      </c>
      <c r="G89" s="9" t="n">
        <f aca="false">IF(AND(C89=0,E89=0),0,IF(C89=0,"New",(E89-C89)/C89))</f>
        <v>-1</v>
      </c>
      <c r="H89" s="8" t="n">
        <f aca="false">SUMIFS('Source'!$E:$E,'Source'!$A:$A,"155138 לקוח אינטרנט",'Source'!$B:$B,$A89)</f>
        <v>2265.75</v>
      </c>
      <c r="I89" s="8" t="n">
        <f aca="false">SUMIFS('Source'!$G:$G,'Source'!$A:$A,"155138 לקוח אינטרנט",'Source'!$B:$B,$A89)</f>
        <v>0</v>
      </c>
      <c r="J89" s="8" t="n">
        <f aca="false">I89*$J$5</f>
        <v>0</v>
      </c>
      <c r="K89" s="8" t="n">
        <f aca="false">J89-H89</f>
        <v>-2265.75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181</v>
      </c>
      <c r="B90" s="7" t="str">
        <f aca="false">IFERROR(INDEX('Source'!$C:$C,MATCH($A90,'Source'!$B:$B,0)),"")</f>
        <v>מגן קרסול+ עקב סגור+רצועות</v>
      </c>
      <c r="C90" s="8" t="n">
        <f aca="false">SUMIFS('Source'!$D:$D,'Source'!$A:$A,"155138 לקוח אינטרנט",'Source'!$B:$B,$A90)</f>
        <v>10</v>
      </c>
      <c r="D90" s="8" t="n">
        <f aca="false">SUMIFS('Source'!$F:$F,'Source'!$A:$A,"155138 לקוח אינטרנט",'Source'!$B:$B,$A90)</f>
        <v>28</v>
      </c>
      <c r="E90" s="8" t="n">
        <f aca="false">D90*$J$5</f>
        <v>35.3684210526316</v>
      </c>
      <c r="F90" s="8" t="n">
        <f aca="false">E90-C90</f>
        <v>25.3684210526316</v>
      </c>
      <c r="G90" s="9" t="n">
        <f aca="false">IF(AND(C90=0,E90=0),0,IF(C90=0,"New",(E90-C90)/C90))</f>
        <v>2.53684210526316</v>
      </c>
      <c r="H90" s="8" t="n">
        <f aca="false">SUMIFS('Source'!$E:$E,'Source'!$A:$A,"155138 לקוח אינטרנט",'Source'!$B:$B,$A90)</f>
        <v>1165.88</v>
      </c>
      <c r="I90" s="8" t="n">
        <f aca="false">SUMIFS('Source'!$G:$G,'Source'!$A:$A,"155138 לקוח אינטרנט",'Source'!$B:$B,$A90)</f>
        <v>3410.85</v>
      </c>
      <c r="J90" s="8" t="n">
        <f aca="false">I90*$J$5</f>
        <v>4308.44210526316</v>
      </c>
      <c r="K90" s="8" t="n">
        <f aca="false">J90-H90</f>
        <v>3142.56210526316</v>
      </c>
      <c r="L90" s="9" t="n">
        <f aca="false">IF(AND(H90=0,J90=0),0,IF(H90=0,"New",(J90-H90)/H90))</f>
        <v>2.69544215979617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182</v>
      </c>
      <c r="B91" s="7" t="str">
        <f aca="false">IFERROR(INDEX('Source'!$C:$C,MATCH($A91,'Source'!$B:$B,0)),"")</f>
        <v>מדרסי ג'ל קומפורט</v>
      </c>
      <c r="C91" s="8" t="n">
        <f aca="false">SUMIFS('Source'!$D:$D,'Source'!$A:$A,"155138 לקוח אינטרנט",'Source'!$B:$B,$A91)</f>
        <v>19</v>
      </c>
      <c r="D91" s="8" t="n">
        <f aca="false">SUMIFS('Source'!$F:$F,'Source'!$A:$A,"155138 לקוח אינטרנט",'Source'!$B:$B,$A91)</f>
        <v>6</v>
      </c>
      <c r="E91" s="8" t="n">
        <f aca="false">D91*$J$5</f>
        <v>7.57894736842105</v>
      </c>
      <c r="F91" s="8" t="n">
        <f aca="false">E91-C91</f>
        <v>-11.4210526315789</v>
      </c>
      <c r="G91" s="9" t="n">
        <f aca="false">IF(AND(C91=0,E91=0),0,IF(C91=0,"New",(E91-C91)/C91))</f>
        <v>-0.601108033240997</v>
      </c>
      <c r="H91" s="8" t="n">
        <f aca="false">SUMIFS('Source'!$E:$E,'Source'!$A:$A,"155138 לקוח אינטרנט",'Source'!$B:$B,$A91)</f>
        <v>3386.25</v>
      </c>
      <c r="I91" s="8" t="n">
        <f aca="false">SUMIFS('Source'!$G:$G,'Source'!$A:$A,"155138 לקוח אינטרנט",'Source'!$B:$B,$A91)</f>
        <v>1157.33</v>
      </c>
      <c r="J91" s="8" t="n">
        <f aca="false">I91*$J$5</f>
        <v>1461.89052631579</v>
      </c>
      <c r="K91" s="8" t="n">
        <f aca="false">J91-H91</f>
        <v>-1924.35947368421</v>
      </c>
      <c r="L91" s="9" t="n">
        <f aca="false">IF(AND(H91=0,J91=0),0,IF(H91=0,"New",(J91-H91)/H91))</f>
        <v>-0.568286297138195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183</v>
      </c>
      <c r="B92" s="7" t="str">
        <f aca="false">IFERROR(INDEX('Source'!$C:$C,MATCH($A92,'Source'!$B:$B,0)),"")</f>
        <v>גרבי נוחות חורף לבן</v>
      </c>
      <c r="C92" s="8" t="n">
        <f aca="false">SUMIFS('Source'!$D:$D,'Source'!$A:$A,"155138 לקוח אינטרנט",'Source'!$B:$B,$A92)</f>
        <v>60</v>
      </c>
      <c r="D92" s="8" t="n">
        <f aca="false">SUMIFS('Source'!$F:$F,'Source'!$A:$A,"155138 לקוח אינטרנט",'Source'!$B:$B,$A92)</f>
        <v>12</v>
      </c>
      <c r="E92" s="8" t="n">
        <f aca="false">D92*$J$5</f>
        <v>15.1578947368421</v>
      </c>
      <c r="F92" s="8" t="n">
        <f aca="false">E92-C92</f>
        <v>-44.8421052631579</v>
      </c>
      <c r="G92" s="9" t="n">
        <f aca="false">IF(AND(C92=0,E92=0),0,IF(C92=0,"New",(E92-C92)/C92))</f>
        <v>-0.747368421052632</v>
      </c>
      <c r="H92" s="8" t="n">
        <f aca="false">SUMIFS('Source'!$E:$E,'Source'!$A:$A,"155138 לקוח אינטרנט",'Source'!$B:$B,$A92)</f>
        <v>2866.3</v>
      </c>
      <c r="I92" s="8" t="n">
        <f aca="false">SUMIFS('Source'!$G:$G,'Source'!$A:$A,"155138 לקוח אינטרנט",'Source'!$B:$B,$A92)</f>
        <v>637.89</v>
      </c>
      <c r="J92" s="8" t="n">
        <f aca="false">I92*$J$5</f>
        <v>805.755789473684</v>
      </c>
      <c r="K92" s="8" t="n">
        <f aca="false">J92-H92</f>
        <v>-2060.54421052632</v>
      </c>
      <c r="L92" s="9" t="n">
        <f aca="false">IF(AND(H92=0,J92=0),0,IF(H92=0,"New",(J92-H92)/H92))</f>
        <v>-0.718886442635564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184</v>
      </c>
      <c r="B93" s="7" t="str">
        <f aca="false">IFERROR(INDEX('Source'!$C:$C,MATCH($A93,'Source'!$B:$B,0)),"")</f>
        <v>חגורת שבר לצד ימין</v>
      </c>
      <c r="C93" s="8" t="n">
        <f aca="false">SUMIFS('Source'!$D:$D,'Source'!$A:$A,"155138 לקוח אינטרנט",'Source'!$B:$B,$A93)</f>
        <v>12</v>
      </c>
      <c r="D93" s="8" t="n">
        <f aca="false">SUMIFS('Source'!$F:$F,'Source'!$A:$A,"155138 לקוח אינטרנט",'Source'!$B:$B,$A93)</f>
        <v>5</v>
      </c>
      <c r="E93" s="8" t="n">
        <f aca="false">D93*$J$5</f>
        <v>6.31578947368421</v>
      </c>
      <c r="F93" s="8" t="n">
        <f aca="false">E93-C93</f>
        <v>-5.68421052631579</v>
      </c>
      <c r="G93" s="9" t="n">
        <f aca="false">IF(AND(C93=0,E93=0),0,IF(C93=0,"New",(E93-C93)/C93))</f>
        <v>-0.473684210526316</v>
      </c>
      <c r="H93" s="8" t="n">
        <f aca="false">SUMIFS('Source'!$E:$E,'Source'!$A:$A,"155138 לקוח אינטרנט",'Source'!$B:$B,$A93)</f>
        <v>3763.9</v>
      </c>
      <c r="I93" s="8" t="n">
        <f aca="false">SUMIFS('Source'!$G:$G,'Source'!$A:$A,"155138 לקוח אינטרנט",'Source'!$B:$B,$A93)</f>
        <v>1609.78</v>
      </c>
      <c r="J93" s="8" t="n">
        <f aca="false">I93*$J$5</f>
        <v>2033.40631578947</v>
      </c>
      <c r="K93" s="8" t="n">
        <f aca="false">J93-H93</f>
        <v>-1730.49368421053</v>
      </c>
      <c r="L93" s="9" t="n">
        <f aca="false">IF(AND(H93=0,J93=0),0,IF(H93=0,"New",(J93-H93)/H93))</f>
        <v>-0.459760802415188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185</v>
      </c>
      <c r="B94" s="7" t="str">
        <f aca="false">IFERROR(INDEX('Source'!$C:$C,MATCH($A94,'Source'!$B:$B,0)),"")</f>
        <v>כרית עם סרט אלסט</v>
      </c>
      <c r="C94" s="8" t="n">
        <f aca="false">SUMIFS('Source'!$D:$D,'Source'!$A:$A,"155138 לקוח אינטרנט",'Source'!$B:$B,$A94)</f>
        <v>52</v>
      </c>
      <c r="D94" s="8" t="n">
        <f aca="false">SUMIFS('Source'!$F:$F,'Source'!$A:$A,"155138 לקוח אינטרנט",'Source'!$B:$B,$A94)</f>
        <v>92</v>
      </c>
      <c r="E94" s="8" t="n">
        <f aca="false">D94*$J$5</f>
        <v>116.210526315789</v>
      </c>
      <c r="F94" s="8" t="n">
        <f aca="false">E94-C94</f>
        <v>64.2105263157895</v>
      </c>
      <c r="G94" s="9" t="n">
        <f aca="false">IF(AND(C94=0,E94=0),0,IF(C94=0,"New",(E94-C94)/C94))</f>
        <v>1.23481781376518</v>
      </c>
      <c r="H94" s="8" t="n">
        <f aca="false">SUMIFS('Source'!$E:$E,'Source'!$A:$A,"155138 לקוח אינטרנט",'Source'!$B:$B,$A94)</f>
        <v>2526.33</v>
      </c>
      <c r="I94" s="8" t="n">
        <f aca="false">SUMIFS('Source'!$G:$G,'Source'!$A:$A,"155138 לקוח אינטרנט",'Source'!$B:$B,$A94)</f>
        <v>4567.53</v>
      </c>
      <c r="J94" s="8" t="n">
        <f aca="false">I94*$J$5</f>
        <v>5769.51157894737</v>
      </c>
      <c r="K94" s="8" t="n">
        <f aca="false">J94-H94</f>
        <v>3243.18157894737</v>
      </c>
      <c r="L94" s="9" t="n">
        <f aca="false">IF(AND(H94=0,J94=0),0,IF(H94=0,"New",(J94-H94)/H94))</f>
        <v>1.28375215389413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186</v>
      </c>
      <c r="B95" s="7" t="str">
        <f aca="false">IFERROR(INDEX('Source'!$C:$C,MATCH($A95,'Source'!$B:$B,0)),"")</f>
        <v>מ.ברך מנאופרן+ציר D +כ.סיליקון</v>
      </c>
      <c r="C95" s="8" t="n">
        <f aca="false">SUMIFS('Source'!$D:$D,'Source'!$A:$A,"155138 לקוח אינטרנט",'Source'!$B:$B,$A95)</f>
        <v>5</v>
      </c>
      <c r="D95" s="8" t="n">
        <f aca="false">SUMIFS('Source'!$F:$F,'Source'!$A:$A,"155138 לקוח אינטרנט",'Source'!$B:$B,$A95)</f>
        <v>1</v>
      </c>
      <c r="E95" s="8" t="n">
        <f aca="false">D95*$J$5</f>
        <v>1.26315789473684</v>
      </c>
      <c r="F95" s="8" t="n">
        <f aca="false">E95-C95</f>
        <v>-3.73684210526316</v>
      </c>
      <c r="G95" s="9" t="n">
        <f aca="false">IF(AND(C95=0,E95=0),0,IF(C95=0,"New",(E95-C95)/C95))</f>
        <v>-0.747368421052632</v>
      </c>
      <c r="H95" s="8" t="n">
        <f aca="false">SUMIFS('Source'!$E:$E,'Source'!$A:$A,"155138 לקוח אינטרנט",'Source'!$B:$B,$A95)</f>
        <v>2698.79</v>
      </c>
      <c r="I95" s="8" t="n">
        <f aca="false">SUMIFS('Source'!$G:$G,'Source'!$A:$A,"155138 לקוח אינטרנט",'Source'!$B:$B,$A95)</f>
        <v>682.11</v>
      </c>
      <c r="J95" s="8" t="n">
        <f aca="false">I95*$J$5</f>
        <v>861.612631578947</v>
      </c>
      <c r="K95" s="8" t="n">
        <f aca="false">J95-H95</f>
        <v>-1837.17736842105</v>
      </c>
      <c r="L95" s="9" t="n">
        <f aca="false">IF(AND(H95=0,J95=0),0,IF(H95=0,"New",(J95-H95)/H95))</f>
        <v>-0.680741135257301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187</v>
      </c>
      <c r="B96" s="7" t="str">
        <f aca="false">IFERROR(INDEX('Source'!$C:$C,MATCH($A96,'Source'!$B:$B,0)),"")</f>
        <v>TaluAirShield | מקבע קרסול</v>
      </c>
      <c r="C96" s="8" t="n">
        <f aca="false">SUMIFS('Source'!$D:$D,'Source'!$A:$A,"155138 לקוח אינטרנט",'Source'!$B:$B,$A96)</f>
        <v>0</v>
      </c>
      <c r="D96" s="8" t="n">
        <f aca="false">SUMIFS('Source'!$F:$F,'Source'!$A:$A,"155138 לקוח אינטרנט",'Source'!$B:$B,$A96)</f>
        <v>7</v>
      </c>
      <c r="E96" s="8" t="n">
        <f aca="false">D96*$J$5</f>
        <v>8.84210526315789</v>
      </c>
      <c r="F96" s="8" t="n">
        <f aca="false">E96-C96</f>
        <v>8.84210526315789</v>
      </c>
      <c r="G96" s="9" t="str">
        <f aca="false">IF(AND(C96=0,E96=0),0,IF(C96=0,"New",(E96-C96)/C96))</f>
        <v>New</v>
      </c>
      <c r="H96" s="8" t="n">
        <f aca="false">SUMIFS('Source'!$E:$E,'Source'!$A:$A,"155138 לקוח אינטרנט",'Source'!$B:$B,$A96)</f>
        <v>0</v>
      </c>
      <c r="I96" s="8" t="n">
        <f aca="false">SUMIFS('Source'!$G:$G,'Source'!$A:$A,"155138 לקוח אינטרנט",'Source'!$B:$B,$A96)</f>
        <v>1976.39</v>
      </c>
      <c r="J96" s="8" t="n">
        <f aca="false">I96*$J$5</f>
        <v>2496.49263157895</v>
      </c>
      <c r="K96" s="8" t="n">
        <f aca="false">J96-H96</f>
        <v>2496.49263157895</v>
      </c>
      <c r="L96" s="9" t="str">
        <f aca="false">IF(AND(H96=0,J96=0),0,IF(H96=0,"New",(J96-H96)/H96))</f>
        <v>New</v>
      </c>
      <c r="M96" s="7" t="str">
        <f aca="false">IF(AND(OR(C96&lt;&gt;0,H96&lt;&gt;0),D96=0,I96=0),"DROP",IF(AND(OR(D96&lt;&gt;0,I96&lt;&gt;0),C96=0,H96=0),"NEW",""))</f>
        <v>NEW</v>
      </c>
    </row>
    <row r="97" customFormat="false" ht="15" hidden="false" customHeight="false" outlineLevel="0" collapsed="false">
      <c r="A97" s="7" t="s">
        <v>188</v>
      </c>
      <c r="B97" s="7" t="str">
        <f aca="false">IFERROR(INDEX('Source'!$C:$C,MATCH($A97,'Source'!$B:$B,0)),"")</f>
        <v>גרבי נוחות קיץ שחור</v>
      </c>
      <c r="C97" s="8" t="n">
        <f aca="false">SUMIFS('Source'!$D:$D,'Source'!$A:$A,"155138 לקוח אינטרנט",'Source'!$B:$B,$A97)</f>
        <v>50</v>
      </c>
      <c r="D97" s="8" t="n">
        <f aca="false">SUMIFS('Source'!$F:$F,'Source'!$A:$A,"155138 לקוח אינטרנט",'Source'!$B:$B,$A97)</f>
        <v>0</v>
      </c>
      <c r="E97" s="8" t="n">
        <f aca="false">D97*$J$5</f>
        <v>0</v>
      </c>
      <c r="F97" s="8" t="n">
        <f aca="false">E97-C97</f>
        <v>-50</v>
      </c>
      <c r="G97" s="9" t="n">
        <f aca="false">IF(AND(C97=0,E97=0),0,IF(C97=0,"New",(E97-C97)/C97))</f>
        <v>-1</v>
      </c>
      <c r="H97" s="8" t="n">
        <f aca="false">SUMIFS('Source'!$E:$E,'Source'!$A:$A,"155138 לקוח אינטרנט",'Source'!$B:$B,$A97)</f>
        <v>1968.05</v>
      </c>
      <c r="I97" s="8" t="n">
        <f aca="false">SUMIFS('Source'!$G:$G,'Source'!$A:$A,"155138 לקוח אינטרנט",'Source'!$B:$B,$A97)</f>
        <v>0</v>
      </c>
      <c r="J97" s="8" t="n">
        <f aca="false">I97*$J$5</f>
        <v>0</v>
      </c>
      <c r="K97" s="8" t="n">
        <f aca="false">J97-H97</f>
        <v>-1968.05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189</v>
      </c>
      <c r="B98" s="7" t="str">
        <f aca="false">IFERROR(INDEX('Source'!$C:$C,MATCH($A98,'Source'!$B:$B,0)),"")</f>
        <v>מתלה יד + קיבוע מרפק</v>
      </c>
      <c r="C98" s="8" t="n">
        <f aca="false">SUMIFS('Source'!$D:$D,'Source'!$A:$A,"155138 לקוח אינטרנט",'Source'!$B:$B,$A98)</f>
        <v>15</v>
      </c>
      <c r="D98" s="8" t="n">
        <f aca="false">SUMIFS('Source'!$F:$F,'Source'!$A:$A,"155138 לקוח אינטרנט",'Source'!$B:$B,$A98)</f>
        <v>3</v>
      </c>
      <c r="E98" s="8" t="n">
        <f aca="false">D98*$J$5</f>
        <v>3.78947368421053</v>
      </c>
      <c r="F98" s="8" t="n">
        <f aca="false">E98-C98</f>
        <v>-11.2105263157895</v>
      </c>
      <c r="G98" s="9" t="n">
        <f aca="false">IF(AND(C98=0,E98=0),0,IF(C98=0,"New",(E98-C98)/C98))</f>
        <v>-0.747368421052632</v>
      </c>
      <c r="H98" s="8" t="n">
        <f aca="false">SUMIFS('Source'!$E:$E,'Source'!$A:$A,"155138 לקוח אינטרנט",'Source'!$B:$B,$A98)</f>
        <v>2455.27</v>
      </c>
      <c r="I98" s="8" t="n">
        <f aca="false">SUMIFS('Source'!$G:$G,'Source'!$A:$A,"155138 לקוח אינטרנט",'Source'!$B:$B,$A98)</f>
        <v>496.2</v>
      </c>
      <c r="J98" s="8" t="n">
        <f aca="false">I98*$J$5</f>
        <v>626.778947368421</v>
      </c>
      <c r="K98" s="8" t="n">
        <f aca="false">J98-H98</f>
        <v>-1828.49105263158</v>
      </c>
      <c r="L98" s="9" t="n">
        <f aca="false">IF(AND(H98=0,J98=0),0,IF(H98=0,"New",(J98-H98)/H98))</f>
        <v>-0.744720968623239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190</v>
      </c>
      <c r="B99" s="7" t="str">
        <f aca="false">IFERROR(INDEX('Source'!$C:$C,MATCH($A99,'Source'!$B:$B,0)),"")</f>
        <v>תרסיס דיאודורנט לכף הרגל</v>
      </c>
      <c r="C99" s="8" t="n">
        <f aca="false">SUMIFS('Source'!$D:$D,'Source'!$A:$A,"155138 לקוח אינטרנט",'Source'!$B:$B,$A99)</f>
        <v>37</v>
      </c>
      <c r="D99" s="8" t="n">
        <f aca="false">SUMIFS('Source'!$F:$F,'Source'!$A:$A,"155138 לקוח אינטרנט",'Source'!$B:$B,$A99)</f>
        <v>84</v>
      </c>
      <c r="E99" s="8" t="n">
        <f aca="false">D99*$J$5</f>
        <v>106.105263157895</v>
      </c>
      <c r="F99" s="8" t="n">
        <f aca="false">E99-C99</f>
        <v>69.1052631578947</v>
      </c>
      <c r="G99" s="9" t="n">
        <f aca="false">IF(AND(C99=0,E99=0),0,IF(C99=0,"New",(E99-C99)/C99))</f>
        <v>1.86770981507824</v>
      </c>
      <c r="H99" s="8" t="n">
        <f aca="false">SUMIFS('Source'!$E:$E,'Source'!$A:$A,"155138 לקוח אינטרנט",'Source'!$B:$B,$A99)</f>
        <v>1488.94</v>
      </c>
      <c r="I99" s="8" t="n">
        <f aca="false">SUMIFS('Source'!$G:$G,'Source'!$A:$A,"155138 לקוח אינטרנט",'Source'!$B:$B,$A99)</f>
        <v>3401.31</v>
      </c>
      <c r="J99" s="8" t="n">
        <f aca="false">I99*$J$5</f>
        <v>4296.39157894737</v>
      </c>
      <c r="K99" s="8" t="n">
        <f aca="false">J99-H99</f>
        <v>2807.45157894737</v>
      </c>
      <c r="L99" s="9" t="n">
        <f aca="false">IF(AND(H99=0,J99=0),0,IF(H99=0,"New",(J99-H99)/H99))</f>
        <v>1.88553707936342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191</v>
      </c>
      <c r="B100" s="7" t="str">
        <f aca="false">IFERROR(INDEX('Source'!$C:$C,MATCH($A100,'Source'!$B:$B,0)),"")</f>
        <v>מדרסי ג'ל קומפורט</v>
      </c>
      <c r="C100" s="8" t="n">
        <f aca="false">SUMIFS('Source'!$D:$D,'Source'!$A:$A,"155138 לקוח אינטרנט",'Source'!$B:$B,$A100)</f>
        <v>21</v>
      </c>
      <c r="D100" s="8" t="n">
        <f aca="false">SUMIFS('Source'!$F:$F,'Source'!$A:$A,"155138 לקוח אינטרנט",'Source'!$B:$B,$A100)</f>
        <v>10</v>
      </c>
      <c r="E100" s="8" t="n">
        <f aca="false">D100*$J$5</f>
        <v>12.6315789473684</v>
      </c>
      <c r="F100" s="8" t="n">
        <f aca="false">E100-C100</f>
        <v>-8.36842105263158</v>
      </c>
      <c r="G100" s="9" t="n">
        <f aca="false">IF(AND(C100=0,E100=0),0,IF(C100=0,"New",(E100-C100)/C100))</f>
        <v>-0.398496240601504</v>
      </c>
      <c r="H100" s="8" t="n">
        <f aca="false">SUMIFS('Source'!$E:$E,'Source'!$A:$A,"155138 לקוח אינטרנט",'Source'!$B:$B,$A100)</f>
        <v>3932.8</v>
      </c>
      <c r="I100" s="8" t="n">
        <f aca="false">SUMIFS('Source'!$G:$G,'Source'!$A:$A,"155138 לקוח אינטרנט",'Source'!$B:$B,$A100)</f>
        <v>2023.27</v>
      </c>
      <c r="J100" s="8" t="n">
        <f aca="false">I100*$J$5</f>
        <v>2555.70947368421</v>
      </c>
      <c r="K100" s="8" t="n">
        <f aca="false">J100-H100</f>
        <v>-1377.09052631579</v>
      </c>
      <c r="L100" s="9" t="n">
        <f aca="false">IF(AND(H100=0,J100=0),0,IF(H100=0,"New",(J100-H100)/H100))</f>
        <v>-0.3501552396043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192</v>
      </c>
      <c r="B101" s="7" t="str">
        <f aca="false">IFERROR(INDEX('Source'!$C:$C,MATCH($A101,'Source'!$B:$B,0)),"")</f>
        <v>מ.ברך מנאופרן+ציר D +כ.סיליקון</v>
      </c>
      <c r="C101" s="8" t="n">
        <f aca="false">SUMIFS('Source'!$D:$D,'Source'!$A:$A,"155138 לקוח אינטרנט",'Source'!$B:$B,$A101)</f>
        <v>13</v>
      </c>
      <c r="D101" s="8" t="n">
        <f aca="false">SUMIFS('Source'!$F:$F,'Source'!$A:$A,"155138 לקוח אינטרנט",'Source'!$B:$B,$A101)</f>
        <v>8</v>
      </c>
      <c r="E101" s="8" t="n">
        <f aca="false">D101*$J$5</f>
        <v>10.1052631578947</v>
      </c>
      <c r="F101" s="8" t="n">
        <f aca="false">E101-C101</f>
        <v>-2.89473684210526</v>
      </c>
      <c r="G101" s="9" t="n">
        <f aca="false">IF(AND(C101=0,E101=0),0,IF(C101=0,"New",(E101-C101)/C101))</f>
        <v>-0.222672064777328</v>
      </c>
      <c r="H101" s="8" t="n">
        <f aca="false">SUMIFS('Source'!$E:$E,'Source'!$A:$A,"155138 לקוח אינטרנט",'Source'!$B:$B,$A101)</f>
        <v>6356.08</v>
      </c>
      <c r="I101" s="8" t="n">
        <f aca="false">SUMIFS('Source'!$G:$G,'Source'!$A:$A,"155138 לקוח אינטרנט",'Source'!$B:$B,$A101)</f>
        <v>4448.54</v>
      </c>
      <c r="J101" s="8" t="n">
        <f aca="false">I101*$J$5</f>
        <v>5619.20842105263</v>
      </c>
      <c r="K101" s="8" t="n">
        <f aca="false">J101-H101</f>
        <v>-736.871578947369</v>
      </c>
      <c r="L101" s="9" t="n">
        <f aca="false">IF(AND(H101=0,J101=0),0,IF(H101=0,"New",(J101-H101)/H101))</f>
        <v>-0.115931765954388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193</v>
      </c>
      <c r="B102" s="7" t="str">
        <f aca="false">IFERROR(INDEX('Source'!$C:$C,MATCH($A102,'Source'!$B:$B,0)),"")</f>
        <v>מדרס מתכוונן לגיל</v>
      </c>
      <c r="C102" s="8" t="n">
        <f aca="false">SUMIFS('Source'!$D:$D,'Source'!$A:$A,"155138 לקוח אינטרנט",'Source'!$B:$B,$A102)</f>
        <v>23</v>
      </c>
      <c r="D102" s="8" t="n">
        <f aca="false">SUMIFS('Source'!$F:$F,'Source'!$A:$A,"155138 לקוח אינטרנט",'Source'!$B:$B,$A102)</f>
        <v>11</v>
      </c>
      <c r="E102" s="8" t="n">
        <f aca="false">D102*$J$5</f>
        <v>13.8947368421053</v>
      </c>
      <c r="F102" s="8" t="n">
        <f aca="false">E102-C102</f>
        <v>-9.10526315789474</v>
      </c>
      <c r="G102" s="9" t="n">
        <f aca="false">IF(AND(C102=0,E102=0),0,IF(C102=0,"New",(E102-C102)/C102))</f>
        <v>-0.395881006864989</v>
      </c>
      <c r="H102" s="8" t="n">
        <f aca="false">SUMIFS('Source'!$E:$E,'Source'!$A:$A,"155138 לקוח אינטרנט",'Source'!$B:$B,$A102)</f>
        <v>3618.11</v>
      </c>
      <c r="I102" s="8" t="n">
        <f aca="false">SUMIFS('Source'!$G:$G,'Source'!$A:$A,"155138 לקוח אינטרנט",'Source'!$B:$B,$A102)</f>
        <v>1753.37</v>
      </c>
      <c r="J102" s="8" t="n">
        <f aca="false">I102*$J$5</f>
        <v>2214.78315789474</v>
      </c>
      <c r="K102" s="8" t="n">
        <f aca="false">J102-H102</f>
        <v>-1403.32684210526</v>
      </c>
      <c r="L102" s="9" t="n">
        <f aca="false">IF(AND(H102=0,J102=0),0,IF(H102=0,"New",(J102-H102)/H102))</f>
        <v>-0.387861851106037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194</v>
      </c>
      <c r="B103" s="7" t="str">
        <f aca="false">IFERROR(INDEX('Source'!$C:$C,MATCH($A103,'Source'!$B:$B,0)),"")</f>
        <v>חגורת קיבוע לכתף</v>
      </c>
      <c r="C103" s="8" t="n">
        <f aca="false">SUMIFS('Source'!$D:$D,'Source'!$A:$A,"155138 לקוח אינטרנט",'Source'!$B:$B,$A103)</f>
        <v>8</v>
      </c>
      <c r="D103" s="8" t="n">
        <f aca="false">SUMIFS('Source'!$F:$F,'Source'!$A:$A,"155138 לקוח אינטרנט",'Source'!$B:$B,$A103)</f>
        <v>13</v>
      </c>
      <c r="E103" s="8" t="n">
        <f aca="false">D103*$J$5</f>
        <v>16.4210526315789</v>
      </c>
      <c r="F103" s="8" t="n">
        <f aca="false">E103-C103</f>
        <v>8.42105263157895</v>
      </c>
      <c r="G103" s="9" t="n">
        <f aca="false">IF(AND(C103=0,E103=0),0,IF(C103=0,"New",(E103-C103)/C103))</f>
        <v>1.05263157894737</v>
      </c>
      <c r="H103" s="8" t="n">
        <f aca="false">SUMIFS('Source'!$E:$E,'Source'!$A:$A,"155138 לקוח אינטרנט",'Source'!$B:$B,$A103)</f>
        <v>2623.1</v>
      </c>
      <c r="I103" s="8" t="n">
        <f aca="false">SUMIFS('Source'!$G:$G,'Source'!$A:$A,"155138 לקוח אינטרנט",'Source'!$B:$B,$A103)</f>
        <v>4486.14</v>
      </c>
      <c r="J103" s="8" t="n">
        <f aca="false">I103*$J$5</f>
        <v>5666.70315789474</v>
      </c>
      <c r="K103" s="8" t="n">
        <f aca="false">J103-H103</f>
        <v>3043.60315789474</v>
      </c>
      <c r="L103" s="9" t="n">
        <f aca="false">IF(AND(H103=0,J103=0),0,IF(H103=0,"New",(J103-H103)/H103))</f>
        <v>1.16030771144628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195</v>
      </c>
      <c r="B104" s="7" t="str">
        <f aca="false">IFERROR(INDEX('Source'!$C:$C,MATCH($A104,'Source'!$B:$B,0)),"")</f>
        <v>מישר כתפיים רחב+תמיכה לבית השח</v>
      </c>
      <c r="C104" s="8" t="n">
        <f aca="false">SUMIFS('Source'!$D:$D,'Source'!$A:$A,"155138 לקוח אינטרנט",'Source'!$B:$B,$A104)</f>
        <v>4</v>
      </c>
      <c r="D104" s="8" t="n">
        <f aca="false">SUMIFS('Source'!$F:$F,'Source'!$A:$A,"155138 לקוח אינטרנט",'Source'!$B:$B,$A104)</f>
        <v>8</v>
      </c>
      <c r="E104" s="8" t="n">
        <f aca="false">D104*$J$5</f>
        <v>10.1052631578947</v>
      </c>
      <c r="F104" s="8" t="n">
        <f aca="false">E104-C104</f>
        <v>6.10526315789474</v>
      </c>
      <c r="G104" s="9" t="n">
        <f aca="false">IF(AND(C104=0,E104=0),0,IF(C104=0,"New",(E104-C104)/C104))</f>
        <v>1.52631578947368</v>
      </c>
      <c r="H104" s="8" t="n">
        <f aca="false">SUMIFS('Source'!$E:$E,'Source'!$A:$A,"155138 לקוח אינטרנט",'Source'!$B:$B,$A104)</f>
        <v>1005.54</v>
      </c>
      <c r="I104" s="8" t="n">
        <f aca="false">SUMIFS('Source'!$G:$G,'Source'!$A:$A,"155138 לקוח אינטרנט",'Source'!$B:$B,$A104)</f>
        <v>2859.54</v>
      </c>
      <c r="J104" s="8" t="n">
        <f aca="false">I104*$J$5</f>
        <v>3612.05052631579</v>
      </c>
      <c r="K104" s="8" t="n">
        <f aca="false">J104-H104</f>
        <v>2606.51052631579</v>
      </c>
      <c r="L104" s="9" t="n">
        <f aca="false">IF(AND(H104=0,J104=0),0,IF(H104=0,"New",(J104-H104)/H104))</f>
        <v>2.59215001523141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196</v>
      </c>
      <c r="B105" s="7" t="str">
        <f aca="false">IFERROR(INDEX('Source'!$C:$C,MATCH($A105,'Source'!$B:$B,0)),"")</f>
        <v>חגורה אחרי ניתוח</v>
      </c>
      <c r="C105" s="8" t="n">
        <f aca="false">SUMIFS('Source'!$D:$D,'Source'!$A:$A,"155138 לקוח אינטרנט",'Source'!$B:$B,$A105)</f>
        <v>11</v>
      </c>
      <c r="D105" s="8" t="n">
        <f aca="false">SUMIFS('Source'!$F:$F,'Source'!$A:$A,"155138 לקוח אינטרנט",'Source'!$B:$B,$A105)</f>
        <v>4</v>
      </c>
      <c r="E105" s="8" t="n">
        <f aca="false">D105*$J$5</f>
        <v>5.05263157894737</v>
      </c>
      <c r="F105" s="8" t="n">
        <f aca="false">E105-C105</f>
        <v>-5.94736842105263</v>
      </c>
      <c r="G105" s="9" t="n">
        <f aca="false">IF(AND(C105=0,E105=0),0,IF(C105=0,"New",(E105-C105)/C105))</f>
        <v>-0.54066985645933</v>
      </c>
      <c r="H105" s="8" t="n">
        <f aca="false">SUMIFS('Source'!$E:$E,'Source'!$A:$A,"155138 לקוח אינטרנט",'Source'!$B:$B,$A105)</f>
        <v>3022.64</v>
      </c>
      <c r="I105" s="8" t="n">
        <f aca="false">SUMIFS('Source'!$G:$G,'Source'!$A:$A,"155138 לקוח אינטרנט",'Source'!$B:$B,$A105)</f>
        <v>1172.97</v>
      </c>
      <c r="J105" s="8" t="n">
        <f aca="false">I105*$J$5</f>
        <v>1481.64631578947</v>
      </c>
      <c r="K105" s="8" t="n">
        <f aca="false">J105-H105</f>
        <v>-1540.99368421053</v>
      </c>
      <c r="L105" s="9" t="n">
        <f aca="false">IF(AND(H105=0,J105=0),0,IF(H105=0,"New",(J105-H105)/H105))</f>
        <v>-0.509817141376587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197</v>
      </c>
      <c r="B106" s="7" t="str">
        <f aca="false">IFERROR(INDEX('Source'!$C:$C,MATCH($A106,'Source'!$B:$B,0)),"")</f>
        <v>חגורה אחרי ניתוח</v>
      </c>
      <c r="C106" s="8" t="n">
        <f aca="false">SUMIFS('Source'!$D:$D,'Source'!$A:$A,"155138 לקוח אינטרנט",'Source'!$B:$B,$A106)</f>
        <v>13</v>
      </c>
      <c r="D106" s="8" t="n">
        <f aca="false">SUMIFS('Source'!$F:$F,'Source'!$A:$A,"155138 לקוח אינטרנט",'Source'!$B:$B,$A106)</f>
        <v>7</v>
      </c>
      <c r="E106" s="8" t="n">
        <f aca="false">D106*$J$5</f>
        <v>8.84210526315789</v>
      </c>
      <c r="F106" s="8" t="n">
        <f aca="false">E106-C106</f>
        <v>-4.15789473684211</v>
      </c>
      <c r="G106" s="9" t="n">
        <f aca="false">IF(AND(C106=0,E106=0),0,IF(C106=0,"New",(E106-C106)/C106))</f>
        <v>-0.319838056680162</v>
      </c>
      <c r="H106" s="8" t="n">
        <f aca="false">SUMIFS('Source'!$E:$E,'Source'!$A:$A,"155138 לקוח אינטרנט",'Source'!$B:$B,$A106)</f>
        <v>4020.81</v>
      </c>
      <c r="I106" s="8" t="n">
        <f aca="false">SUMIFS('Source'!$G:$G,'Source'!$A:$A,"155138 לקוח אינטרנט",'Source'!$B:$B,$A106)</f>
        <v>2182.28</v>
      </c>
      <c r="J106" s="8" t="n">
        <f aca="false">I106*$J$5</f>
        <v>2756.56421052632</v>
      </c>
      <c r="K106" s="8" t="n">
        <f aca="false">J106-H106</f>
        <v>-1264.24578947368</v>
      </c>
      <c r="L106" s="9" t="n">
        <f aca="false">IF(AND(H106=0,J106=0),0,IF(H106=0,"New",(J106-H106)/H106))</f>
        <v>-0.314425647935039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198</v>
      </c>
      <c r="B107" s="7" t="str">
        <f aca="false">IFERROR(INDEX('Source'!$C:$C,MATCH($A107,'Source'!$B:$B,0)),"")</f>
        <v>כפפת אגודל לחץ</v>
      </c>
      <c r="C107" s="8" t="n">
        <f aca="false">SUMIFS('Source'!$D:$D,'Source'!$A:$A,"155138 לקוח אינטרנט",'Source'!$B:$B,$A107)</f>
        <v>61</v>
      </c>
      <c r="D107" s="8" t="n">
        <f aca="false">SUMIFS('Source'!$F:$F,'Source'!$A:$A,"155138 לקוח אינטרנט",'Source'!$B:$B,$A107)</f>
        <v>83</v>
      </c>
      <c r="E107" s="8" t="n">
        <f aca="false">D107*$J$5</f>
        <v>104.842105263158</v>
      </c>
      <c r="F107" s="8" t="n">
        <f aca="false">E107-C107</f>
        <v>43.8421052631579</v>
      </c>
      <c r="G107" s="9" t="n">
        <f aca="false">IF(AND(C107=0,E107=0),0,IF(C107=0,"New",(E107-C107)/C107))</f>
        <v>0.718723037100949</v>
      </c>
      <c r="H107" s="8" t="n">
        <f aca="false">SUMIFS('Source'!$E:$E,'Source'!$A:$A,"155138 לקוח אינטרנט",'Source'!$B:$B,$A107)</f>
        <v>3870.96</v>
      </c>
      <c r="I107" s="8" t="n">
        <f aca="false">SUMIFS('Source'!$G:$G,'Source'!$A:$A,"155138 לקוח אינטרנט",'Source'!$B:$B,$A107)</f>
        <v>5689.48</v>
      </c>
      <c r="J107" s="8" t="n">
        <f aca="false">I107*$J$5</f>
        <v>7186.71157894737</v>
      </c>
      <c r="K107" s="8" t="n">
        <f aca="false">J107-H107</f>
        <v>3315.75157894737</v>
      </c>
      <c r="L107" s="9" t="n">
        <f aca="false">IF(AND(H107=0,J107=0),0,IF(H107=0,"New",(J107-H107)/H107))</f>
        <v>0.856570871036479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199</v>
      </c>
      <c r="B108" s="7" t="str">
        <f aca="false">IFERROR(INDEX('Source'!$C:$C,MATCH($A108,'Source'!$B:$B,0)),"")</f>
        <v>תחבושת אלסטית רפואית</v>
      </c>
      <c r="C108" s="8" t="n">
        <f aca="false">SUMIFS('Source'!$D:$D,'Source'!$A:$A,"155138 לקוח אינטרנט",'Source'!$B:$B,$A108)</f>
        <v>34</v>
      </c>
      <c r="D108" s="8" t="n">
        <f aca="false">SUMIFS('Source'!$F:$F,'Source'!$A:$A,"155138 לקוח אינטרנט",'Source'!$B:$B,$A108)</f>
        <v>353</v>
      </c>
      <c r="E108" s="8" t="n">
        <f aca="false">D108*$J$5</f>
        <v>445.894736842105</v>
      </c>
      <c r="F108" s="8" t="n">
        <f aca="false">E108-C108</f>
        <v>411.894736842105</v>
      </c>
      <c r="G108" s="9" t="n">
        <f aca="false">IF(AND(C108=0,E108=0),0,IF(C108=0,"New",(E108-C108)/C108))</f>
        <v>12.1145510835913</v>
      </c>
      <c r="H108" s="8" t="n">
        <f aca="false">SUMIFS('Source'!$E:$E,'Source'!$A:$A,"155138 לקוח אינטרנט",'Source'!$B:$B,$A108)</f>
        <v>176.64</v>
      </c>
      <c r="I108" s="8" t="n">
        <f aca="false">SUMIFS('Source'!$G:$G,'Source'!$A:$A,"155138 לקוח אינטרנט",'Source'!$B:$B,$A108)</f>
        <v>1994.13</v>
      </c>
      <c r="J108" s="8" t="n">
        <f aca="false">I108*$J$5</f>
        <v>2518.90105263158</v>
      </c>
      <c r="K108" s="8" t="n">
        <f aca="false">J108-H108</f>
        <v>2342.26105263158</v>
      </c>
      <c r="L108" s="9" t="n">
        <f aca="false">IF(AND(H108=0,J108=0),0,IF(H108=0,"New",(J108-H108)/H108))</f>
        <v>13.2600829519451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200</v>
      </c>
      <c r="B109" s="7" t="str">
        <f aca="false">IFERROR(INDEX('Source'!$C:$C,MATCH($A109,'Source'!$B:$B,0)),"")</f>
        <v>חגורת פאבליק (רצועות אבדוקציה)</v>
      </c>
      <c r="C109" s="8" t="n">
        <f aca="false">SUMIFS('Source'!$D:$D,'Source'!$A:$A,"155138 לקוח אינטרנט",'Source'!$B:$B,$A109)</f>
        <v>3</v>
      </c>
      <c r="D109" s="8" t="n">
        <f aca="false">SUMIFS('Source'!$F:$F,'Source'!$A:$A,"155138 לקוח אינטרנט",'Source'!$B:$B,$A109)</f>
        <v>6</v>
      </c>
      <c r="E109" s="8" t="n">
        <f aca="false">D109*$J$5</f>
        <v>7.57894736842105</v>
      </c>
      <c r="F109" s="8" t="n">
        <f aca="false">E109-C109</f>
        <v>4.57894736842105</v>
      </c>
      <c r="G109" s="9" t="n">
        <f aca="false">IF(AND(C109=0,E109=0),0,IF(C109=0,"New",(E109-C109)/C109))</f>
        <v>1.52631578947368</v>
      </c>
      <c r="H109" s="8" t="n">
        <f aca="false">SUMIFS('Source'!$E:$E,'Source'!$A:$A,"155138 לקוח אינטרנט",'Source'!$B:$B,$A109)</f>
        <v>1520.1</v>
      </c>
      <c r="I109" s="8" t="n">
        <f aca="false">SUMIFS('Source'!$G:$G,'Source'!$A:$A,"155138 לקוח אינטרנט",'Source'!$B:$B,$A109)</f>
        <v>3332.55</v>
      </c>
      <c r="J109" s="8" t="n">
        <f aca="false">I109*$J$5</f>
        <v>4209.53684210526</v>
      </c>
      <c r="K109" s="8" t="n">
        <f aca="false">J109-H109</f>
        <v>2689.43684210526</v>
      </c>
      <c r="L109" s="9" t="n">
        <f aca="false">IF(AND(H109=0,J109=0),0,IF(H109=0,"New",(J109-H109)/H109))</f>
        <v>1.76924994546758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201</v>
      </c>
      <c r="B110" s="7" t="str">
        <f aca="false">IFERROR(INDEX('Source'!$C:$C,MATCH($A110,'Source'!$B:$B,0)),"")</f>
        <v>תומך ברך גנושילד</v>
      </c>
      <c r="C110" s="8" t="n">
        <f aca="false">SUMIFS('Source'!$D:$D,'Source'!$A:$A,"155138 לקוח אינטרנט",'Source'!$B:$B,$A110)</f>
        <v>1</v>
      </c>
      <c r="D110" s="8" t="n">
        <f aca="false">SUMIFS('Source'!$F:$F,'Source'!$A:$A,"155138 לקוח אינטרנט",'Source'!$B:$B,$A110)</f>
        <v>6</v>
      </c>
      <c r="E110" s="8" t="n">
        <f aca="false">D110*$J$5</f>
        <v>7.57894736842105</v>
      </c>
      <c r="F110" s="8" t="n">
        <f aca="false">E110-C110</f>
        <v>6.57894736842105</v>
      </c>
      <c r="G110" s="9" t="n">
        <f aca="false">IF(AND(C110=0,E110=0),0,IF(C110=0,"New",(E110-C110)/C110))</f>
        <v>6.57894736842105</v>
      </c>
      <c r="H110" s="8" t="n">
        <f aca="false">SUMIFS('Source'!$E:$E,'Source'!$A:$A,"155138 לקוח אינטרנט",'Source'!$B:$B,$A110)</f>
        <v>324.08</v>
      </c>
      <c r="I110" s="8" t="n">
        <f aca="false">SUMIFS('Source'!$G:$G,'Source'!$A:$A,"155138 לקוח אינטרנט",'Source'!$B:$B,$A110)</f>
        <v>2116.04</v>
      </c>
      <c r="J110" s="8" t="n">
        <f aca="false">I110*$J$5</f>
        <v>2672.89263157895</v>
      </c>
      <c r="K110" s="8" t="n">
        <f aca="false">J110-H110</f>
        <v>2348.81263157895</v>
      </c>
      <c r="L110" s="9" t="n">
        <f aca="false">IF(AND(H110=0,J110=0),0,IF(H110=0,"New",(J110-H110)/H110))</f>
        <v>7.24763216359833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202</v>
      </c>
      <c r="B111" s="7" t="str">
        <f aca="false">IFERROR(INDEX('Source'!$C:$C,MATCH($A111,'Source'!$B:$B,0)),"")</f>
        <v>סד יד דו צדדי</v>
      </c>
      <c r="C111" s="8" t="n">
        <f aca="false">SUMIFS('Source'!$D:$D,'Source'!$A:$A,"155138 לקוח אינטרנט",'Source'!$B:$B,$A111)</f>
        <v>15</v>
      </c>
      <c r="D111" s="8" t="n">
        <f aca="false">SUMIFS('Source'!$F:$F,'Source'!$A:$A,"155138 לקוח אינטרנט",'Source'!$B:$B,$A111)</f>
        <v>5</v>
      </c>
      <c r="E111" s="8" t="n">
        <f aca="false">D111*$J$5</f>
        <v>6.31578947368421</v>
      </c>
      <c r="F111" s="8" t="n">
        <f aca="false">E111-C111</f>
        <v>-8.68421052631579</v>
      </c>
      <c r="G111" s="9" t="n">
        <f aca="false">IF(AND(C111=0,E111=0),0,IF(C111=0,"New",(E111-C111)/C111))</f>
        <v>-0.578947368421053</v>
      </c>
      <c r="H111" s="8" t="n">
        <f aca="false">SUMIFS('Source'!$E:$E,'Source'!$A:$A,"155138 לקוח אינטרנט",'Source'!$B:$B,$A111)</f>
        <v>2693.71</v>
      </c>
      <c r="I111" s="8" t="n">
        <f aca="false">SUMIFS('Source'!$G:$G,'Source'!$A:$A,"155138 לקוח אינטרנט",'Source'!$B:$B,$A111)</f>
        <v>913.16</v>
      </c>
      <c r="J111" s="8" t="n">
        <f aca="false">I111*$J$5</f>
        <v>1153.46526315789</v>
      </c>
      <c r="K111" s="8" t="n">
        <f aca="false">J111-H111</f>
        <v>-1540.24473684211</v>
      </c>
      <c r="L111" s="9" t="n">
        <f aca="false">IF(AND(H111=0,J111=0),0,IF(H111=0,"New",(J111-H111)/H111))</f>
        <v>-0.571793079745817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203</v>
      </c>
      <c r="B112" s="7" t="str">
        <f aca="false">IFERROR(INDEX('Source'!$C:$C,MATCH($A112,'Source'!$B:$B,0)),"")</f>
        <v>מישר כתפיים</v>
      </c>
      <c r="C112" s="8" t="n">
        <f aca="false">SUMIFS('Source'!$D:$D,'Source'!$A:$A,"155138 לקוח אינטרנט",'Source'!$B:$B,$A112)</f>
        <v>6</v>
      </c>
      <c r="D112" s="8" t="n">
        <f aca="false">SUMIFS('Source'!$F:$F,'Source'!$A:$A,"155138 לקוח אינטרנט",'Source'!$B:$B,$A112)</f>
        <v>12</v>
      </c>
      <c r="E112" s="8" t="n">
        <f aca="false">D112*$J$5</f>
        <v>15.1578947368421</v>
      </c>
      <c r="F112" s="8" t="n">
        <f aca="false">E112-C112</f>
        <v>9.1578947368421</v>
      </c>
      <c r="G112" s="9" t="n">
        <f aca="false">IF(AND(C112=0,E112=0),0,IF(C112=0,"New",(E112-C112)/C112))</f>
        <v>1.52631578947368</v>
      </c>
      <c r="H112" s="8" t="n">
        <f aca="false">SUMIFS('Source'!$E:$E,'Source'!$A:$A,"155138 לקוח אינטרנט",'Source'!$B:$B,$A112)</f>
        <v>1645.74</v>
      </c>
      <c r="I112" s="8" t="n">
        <f aca="false">SUMIFS('Source'!$G:$G,'Source'!$A:$A,"155138 לקוח אינטרנט",'Source'!$B:$B,$A112)</f>
        <v>3380.44</v>
      </c>
      <c r="J112" s="8" t="n">
        <f aca="false">I112*$J$5</f>
        <v>4270.02947368421</v>
      </c>
      <c r="K112" s="8" t="n">
        <f aca="false">J112-H112</f>
        <v>2624.28947368421</v>
      </c>
      <c r="L112" s="9" t="n">
        <f aca="false">IF(AND(H112=0,J112=0),0,IF(H112=0,"New",(J112-H112)/H112))</f>
        <v>1.59459542435878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204</v>
      </c>
      <c r="B113" s="7" t="str">
        <f aca="false">IFERROR(INDEX('Source'!$C:$C,MATCH($A113,'Source'!$B:$B,0)),"")</f>
        <v>מגן קרסול ימין SC35</v>
      </c>
      <c r="C113" s="8" t="n">
        <f aca="false">SUMIFS('Source'!$D:$D,'Source'!$A:$A,"155138 לקוח אינטרנט",'Source'!$B:$B,$A113)</f>
        <v>22</v>
      </c>
      <c r="D113" s="8" t="n">
        <f aca="false">SUMIFS('Source'!$F:$F,'Source'!$A:$A,"155138 לקוח אינטרנט",'Source'!$B:$B,$A113)</f>
        <v>33</v>
      </c>
      <c r="E113" s="8" t="n">
        <f aca="false">D113*$J$5</f>
        <v>41.6842105263158</v>
      </c>
      <c r="F113" s="8" t="n">
        <f aca="false">E113-C113</f>
        <v>19.6842105263158</v>
      </c>
      <c r="G113" s="9" t="n">
        <f aca="false">IF(AND(C113=0,E113=0),0,IF(C113=0,"New",(E113-C113)/C113))</f>
        <v>0.894736842105263</v>
      </c>
      <c r="H113" s="8" t="n">
        <f aca="false">SUMIFS('Source'!$E:$E,'Source'!$A:$A,"155138 לקוח אינטרנט",'Source'!$B:$B,$A113)</f>
        <v>2807.29</v>
      </c>
      <c r="I113" s="8" t="n">
        <f aca="false">SUMIFS('Source'!$G:$G,'Source'!$A:$A,"155138 לקוח אינטרנט",'Source'!$B:$B,$A113)</f>
        <v>4540.08</v>
      </c>
      <c r="J113" s="8" t="n">
        <f aca="false">I113*$J$5</f>
        <v>5734.83789473684</v>
      </c>
      <c r="K113" s="8" t="n">
        <f aca="false">J113-H113</f>
        <v>2927.54789473684</v>
      </c>
      <c r="L113" s="9" t="n">
        <f aca="false">IF(AND(H113=0,J113=0),0,IF(H113=0,"New",(J113-H113)/H113))</f>
        <v>1.04283771706409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205</v>
      </c>
      <c r="B114" s="7" t="str">
        <f aca="false">IFERROR(INDEX('Source'!$C:$C,MATCH($A114,'Source'!$B:$B,0)),"")</f>
        <v>סד לקרסול</v>
      </c>
      <c r="C114" s="8" t="n">
        <f aca="false">SUMIFS('Source'!$D:$D,'Source'!$A:$A,"155138 לקוח אינטרנט",'Source'!$B:$B,$A114)</f>
        <v>2</v>
      </c>
      <c r="D114" s="8" t="n">
        <f aca="false">SUMIFS('Source'!$F:$F,'Source'!$A:$A,"155138 לקוח אינטרנט",'Source'!$B:$B,$A114)</f>
        <v>9</v>
      </c>
      <c r="E114" s="8" t="n">
        <f aca="false">D114*$J$5</f>
        <v>11.3684210526316</v>
      </c>
      <c r="F114" s="8" t="n">
        <f aca="false">E114-C114</f>
        <v>9.36842105263158</v>
      </c>
      <c r="G114" s="9" t="n">
        <f aca="false">IF(AND(C114=0,E114=0),0,IF(C114=0,"New",(E114-C114)/C114))</f>
        <v>4.68421052631579</v>
      </c>
      <c r="H114" s="8" t="n">
        <f aca="false">SUMIFS('Source'!$E:$E,'Source'!$A:$A,"155138 לקוח אינטרנט",'Source'!$B:$B,$A114)</f>
        <v>508.3</v>
      </c>
      <c r="I114" s="8" t="n">
        <f aca="false">SUMIFS('Source'!$G:$G,'Source'!$A:$A,"155138 לקוח אינטרנט",'Source'!$B:$B,$A114)</f>
        <v>2236.54</v>
      </c>
      <c r="J114" s="8" t="n">
        <f aca="false">I114*$J$5</f>
        <v>2825.10315789474</v>
      </c>
      <c r="K114" s="8" t="n">
        <f aca="false">J114-H114</f>
        <v>2316.80315789474</v>
      </c>
      <c r="L114" s="9" t="n">
        <f aca="false">IF(AND(H114=0,J114=0),0,IF(H114=0,"New",(J114-H114)/H114))</f>
        <v>4.55794443811674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206</v>
      </c>
      <c r="B115" s="7" t="str">
        <f aca="false">IFERROR(INDEX('Source'!$C:$C,MATCH($A115,'Source'!$B:$B,0)),"")</f>
        <v>חגורה אוורירית איטלקית</v>
      </c>
      <c r="C115" s="8" t="n">
        <f aca="false">SUMIFS('Source'!$D:$D,'Source'!$A:$A,"155138 לקוח אינטרנט",'Source'!$B:$B,$A115)</f>
        <v>5</v>
      </c>
      <c r="D115" s="8" t="n">
        <f aca="false">SUMIFS('Source'!$F:$F,'Source'!$A:$A,"155138 לקוח אינטרנט",'Source'!$B:$B,$A115)</f>
        <v>1</v>
      </c>
      <c r="E115" s="8" t="n">
        <f aca="false">D115*$J$5</f>
        <v>1.26315789473684</v>
      </c>
      <c r="F115" s="8" t="n">
        <f aca="false">E115-C115</f>
        <v>-3.73684210526316</v>
      </c>
      <c r="G115" s="9" t="n">
        <f aca="false">IF(AND(C115=0,E115=0),0,IF(C115=0,"New",(E115-C115)/C115))</f>
        <v>-0.747368421052632</v>
      </c>
      <c r="H115" s="8" t="n">
        <f aca="false">SUMIFS('Source'!$E:$E,'Source'!$A:$A,"155138 לקוח אינטרנט",'Source'!$B:$B,$A115)</f>
        <v>2111.49</v>
      </c>
      <c r="I115" s="8" t="n">
        <f aca="false">SUMIFS('Source'!$G:$G,'Source'!$A:$A,"155138 לקוח אינטרנט",'Source'!$B:$B,$A115)</f>
        <v>427.04</v>
      </c>
      <c r="J115" s="8" t="n">
        <f aca="false">I115*$J$5</f>
        <v>539.418947368421</v>
      </c>
      <c r="K115" s="8" t="n">
        <f aca="false">J115-H115</f>
        <v>-1572.07105263158</v>
      </c>
      <c r="L115" s="9" t="n">
        <f aca="false">IF(AND(H115=0,J115=0),0,IF(H115=0,"New",(J115-H115)/H115))</f>
        <v>-0.744531611625714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207</v>
      </c>
      <c r="B116" s="7" t="str">
        <f aca="false">IFERROR(INDEX('Source'!$C:$C,MATCH($A116,'Source'!$B:$B,0)),"")</f>
        <v>חגורת שבר שחור</v>
      </c>
      <c r="C116" s="8" t="n">
        <f aca="false">SUMIFS('Source'!$D:$D,'Source'!$A:$A,"155138 לקוח אינטרנט",'Source'!$B:$B,$A116)</f>
        <v>0</v>
      </c>
      <c r="D116" s="8" t="n">
        <f aca="false">SUMIFS('Source'!$F:$F,'Source'!$A:$A,"155138 לקוח אינטרנט",'Source'!$B:$B,$A116)</f>
        <v>5</v>
      </c>
      <c r="E116" s="8" t="n">
        <f aca="false">D116*$J$5</f>
        <v>6.31578947368421</v>
      </c>
      <c r="F116" s="8" t="n">
        <f aca="false">E116-C116</f>
        <v>6.31578947368421</v>
      </c>
      <c r="G116" s="9" t="str">
        <f aca="false">IF(AND(C116=0,E116=0),0,IF(C116=0,"New",(E116-C116)/C116))</f>
        <v>New</v>
      </c>
      <c r="H116" s="8" t="n">
        <f aca="false">SUMIFS('Source'!$E:$E,'Source'!$A:$A,"155138 לקוח אינטרנט",'Source'!$B:$B,$A116)</f>
        <v>0</v>
      </c>
      <c r="I116" s="8" t="n">
        <f aca="false">SUMIFS('Source'!$G:$G,'Source'!$A:$A,"155138 לקוח אינטרנט",'Source'!$B:$B,$A116)</f>
        <v>1660.61</v>
      </c>
      <c r="J116" s="8" t="n">
        <f aca="false">I116*$J$5</f>
        <v>2097.61263157895</v>
      </c>
      <c r="K116" s="8" t="n">
        <f aca="false">J116-H116</f>
        <v>2097.61263157895</v>
      </c>
      <c r="L116" s="9" t="str">
        <f aca="false">IF(AND(H116=0,J116=0),0,IF(H116=0,"New",(J116-H116)/H116))</f>
        <v>New</v>
      </c>
      <c r="M116" s="7" t="str">
        <f aca="false">IF(AND(OR(C116&lt;&gt;0,H116&lt;&gt;0),D116=0,I116=0),"DROP",IF(AND(OR(D116&lt;&gt;0,I116&lt;&gt;0),C116=0,H116=0),"NEW",""))</f>
        <v>NEW</v>
      </c>
    </row>
    <row r="117" customFormat="false" ht="15" hidden="false" customHeight="false" outlineLevel="0" collapsed="false">
      <c r="A117" s="7" t="s">
        <v>208</v>
      </c>
      <c r="B117" s="7" t="str">
        <f aca="false">IFERROR(INDEX('Source'!$C:$C,MATCH($A117,'Source'!$B:$B,0)),"")</f>
        <v>מדרס מתכוונן</v>
      </c>
      <c r="C117" s="8" t="n">
        <f aca="false">SUMIFS('Source'!$D:$D,'Source'!$A:$A,"155138 לקוח אינטרנט",'Source'!$B:$B,$A117)</f>
        <v>0</v>
      </c>
      <c r="D117" s="8" t="n">
        <f aca="false">SUMIFS('Source'!$F:$F,'Source'!$A:$A,"155138 לקוח אינטרנט",'Source'!$B:$B,$A117)</f>
        <v>10</v>
      </c>
      <c r="E117" s="8" t="n">
        <f aca="false">D117*$J$5</f>
        <v>12.6315789473684</v>
      </c>
      <c r="F117" s="8" t="n">
        <f aca="false">E117-C117</f>
        <v>12.6315789473684</v>
      </c>
      <c r="G117" s="9" t="str">
        <f aca="false">IF(AND(C117=0,E117=0),0,IF(C117=0,"New",(E117-C117)/C117))</f>
        <v>New</v>
      </c>
      <c r="H117" s="8" t="n">
        <f aca="false">SUMIFS('Source'!$E:$E,'Source'!$A:$A,"155138 לקוח אינטרנט",'Source'!$B:$B,$A117)</f>
        <v>0</v>
      </c>
      <c r="I117" s="8" t="n">
        <f aca="false">SUMIFS('Source'!$G:$G,'Source'!$A:$A,"155138 לקוח אינטרנט",'Source'!$B:$B,$A117)</f>
        <v>1660.18</v>
      </c>
      <c r="J117" s="8" t="n">
        <f aca="false">I117*$J$5</f>
        <v>2097.06947368421</v>
      </c>
      <c r="K117" s="8" t="n">
        <f aca="false">J117-H117</f>
        <v>2097.06947368421</v>
      </c>
      <c r="L117" s="9" t="str">
        <f aca="false">IF(AND(H117=0,J117=0),0,IF(H117=0,"New",(J117-H117)/H117))</f>
        <v>New</v>
      </c>
      <c r="M117" s="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false" outlineLevel="0" collapsed="false">
      <c r="A118" s="7" t="s">
        <v>209</v>
      </c>
      <c r="B118" s="7" t="str">
        <f aca="false">IFERROR(INDEX('Source'!$C:$C,MATCH($A118,'Source'!$B:$B,0)),"")</f>
        <v>רצועה לפיקת הברך</v>
      </c>
      <c r="C118" s="8" t="n">
        <f aca="false">SUMIFS('Source'!$D:$D,'Source'!$A:$A,"155138 לקוח אינטרנט",'Source'!$B:$B,$A118)</f>
        <v>27</v>
      </c>
      <c r="D118" s="8" t="n">
        <f aca="false">SUMIFS('Source'!$F:$F,'Source'!$A:$A,"155138 לקוח אינטרנט",'Source'!$B:$B,$A118)</f>
        <v>38</v>
      </c>
      <c r="E118" s="8" t="n">
        <f aca="false">D118*$J$5</f>
        <v>48</v>
      </c>
      <c r="F118" s="8" t="n">
        <f aca="false">E118-C118</f>
        <v>21</v>
      </c>
      <c r="G118" s="9" t="n">
        <f aca="false">IF(AND(C118=0,E118=0),0,IF(C118=0,"New",(E118-C118)/C118))</f>
        <v>0.777777777777778</v>
      </c>
      <c r="H118" s="8" t="n">
        <f aca="false">SUMIFS('Source'!$E:$E,'Source'!$A:$A,"155138 לקוח אינטרנט",'Source'!$B:$B,$A118)</f>
        <v>3649.3</v>
      </c>
      <c r="I118" s="8" t="n">
        <f aca="false">SUMIFS('Source'!$G:$G,'Source'!$A:$A,"155138 לקוח אינטרנט",'Source'!$B:$B,$A118)</f>
        <v>5302.73</v>
      </c>
      <c r="J118" s="8" t="n">
        <f aca="false">I118*$J$5</f>
        <v>6698.1852631579</v>
      </c>
      <c r="K118" s="8" t="n">
        <f aca="false">J118-H118</f>
        <v>3048.88526315789</v>
      </c>
      <c r="L118" s="9" t="n">
        <f aca="false">IF(AND(H118=0,J118=0),0,IF(H118=0,"New",(J118-H118)/H118))</f>
        <v>0.835471258366781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210</v>
      </c>
      <c r="B119" s="7" t="str">
        <f aca="false">IFERROR(INDEX('Source'!$C:$C,MATCH($A119,'Source'!$B:$B,0)),"")</f>
        <v>חגורת אגן  צר מנאופרן</v>
      </c>
      <c r="C119" s="8" t="n">
        <f aca="false">SUMIFS('Source'!$D:$D,'Source'!$A:$A,"155138 לקוח אינטרנט",'Source'!$B:$B,$A119)</f>
        <v>5</v>
      </c>
      <c r="D119" s="8" t="n">
        <f aca="false">SUMIFS('Source'!$F:$F,'Source'!$A:$A,"155138 לקוח אינטרנט",'Source'!$B:$B,$A119)</f>
        <v>13</v>
      </c>
      <c r="E119" s="8" t="n">
        <f aca="false">D119*$J$5</f>
        <v>16.4210526315789</v>
      </c>
      <c r="F119" s="8" t="n">
        <f aca="false">E119-C119</f>
        <v>11.4210526315789</v>
      </c>
      <c r="G119" s="9" t="n">
        <f aca="false">IF(AND(C119=0,E119=0),0,IF(C119=0,"New",(E119-C119)/C119))</f>
        <v>2.28421052631579</v>
      </c>
      <c r="H119" s="8" t="n">
        <f aca="false">SUMIFS('Source'!$E:$E,'Source'!$A:$A,"155138 לקוח אינטרנט",'Source'!$B:$B,$A119)</f>
        <v>893.39</v>
      </c>
      <c r="I119" s="8" t="n">
        <f aca="false">SUMIFS('Source'!$G:$G,'Source'!$A:$A,"155138 לקוח אינטרנט",'Source'!$B:$B,$A119)</f>
        <v>2539.63</v>
      </c>
      <c r="J119" s="8" t="n">
        <f aca="false">I119*$J$5</f>
        <v>3207.95368421053</v>
      </c>
      <c r="K119" s="8" t="n">
        <f aca="false">J119-H119</f>
        <v>2314.56368421053</v>
      </c>
      <c r="L119" s="9" t="n">
        <f aca="false">IF(AND(H119=0,J119=0),0,IF(H119=0,"New",(J119-H119)/H119))</f>
        <v>2.59076515766969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211</v>
      </c>
      <c r="B120" s="7" t="str">
        <f aca="false">IFERROR(INDEX('Source'!$C:$C,MATCH($A120,'Source'!$B:$B,0)),"")</f>
        <v>חגורת גב</v>
      </c>
      <c r="C120" s="8" t="n">
        <f aca="false">SUMIFS('Source'!$D:$D,'Source'!$A:$A,"155138 לקוח אינטרנט",'Source'!$B:$B,$A120)</f>
        <v>5</v>
      </c>
      <c r="D120" s="8" t="n">
        <f aca="false">SUMIFS('Source'!$F:$F,'Source'!$A:$A,"155138 לקוח אינטרנט",'Source'!$B:$B,$A120)</f>
        <v>0</v>
      </c>
      <c r="E120" s="8" t="n">
        <f aca="false">D120*$J$5</f>
        <v>0</v>
      </c>
      <c r="F120" s="8" t="n">
        <f aca="false">E120-C120</f>
        <v>-5</v>
      </c>
      <c r="G120" s="9" t="n">
        <f aca="false">IF(AND(C120=0,E120=0),0,IF(C120=0,"New",(E120-C120)/C120))</f>
        <v>-1</v>
      </c>
      <c r="H120" s="8" t="n">
        <f aca="false">SUMIFS('Source'!$E:$E,'Source'!$A:$A,"155138 לקוח אינטרנט",'Source'!$B:$B,$A120)</f>
        <v>1645.89</v>
      </c>
      <c r="I120" s="8" t="n">
        <f aca="false">SUMIFS('Source'!$G:$G,'Source'!$A:$A,"155138 לקוח אינטרנט",'Source'!$B:$B,$A120)</f>
        <v>0</v>
      </c>
      <c r="J120" s="8" t="n">
        <f aca="false">I120*$J$5</f>
        <v>0</v>
      </c>
      <c r="K120" s="8" t="n">
        <f aca="false">J120-H120</f>
        <v>-1645.89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212</v>
      </c>
      <c r="B121" s="7" t="str">
        <f aca="false">IFERROR(INDEX('Source'!$C:$C,MATCH($A121,'Source'!$B:$B,0)),"")</f>
        <v>חגורת גב אפורה</v>
      </c>
      <c r="C121" s="8" t="n">
        <f aca="false">SUMIFS('Source'!$D:$D,'Source'!$A:$A,"155138 לקוח אינטרנט",'Source'!$B:$B,$A121)</f>
        <v>14</v>
      </c>
      <c r="D121" s="8" t="n">
        <f aca="false">SUMIFS('Source'!$F:$F,'Source'!$A:$A,"155138 לקוח אינטרנט",'Source'!$B:$B,$A121)</f>
        <v>21</v>
      </c>
      <c r="E121" s="8" t="n">
        <f aca="false">D121*$J$5</f>
        <v>26.5263157894737</v>
      </c>
      <c r="F121" s="8" t="n">
        <f aca="false">E121-C121</f>
        <v>12.5263157894737</v>
      </c>
      <c r="G121" s="9" t="n">
        <f aca="false">IF(AND(C121=0,E121=0),0,IF(C121=0,"New",(E121-C121)/C121))</f>
        <v>0.894736842105263</v>
      </c>
      <c r="H121" s="8" t="n">
        <f aca="false">SUMIFS('Source'!$E:$E,'Source'!$A:$A,"155138 לקוח אינטרנט",'Source'!$B:$B,$A121)</f>
        <v>2782.52</v>
      </c>
      <c r="I121" s="8" t="n">
        <f aca="false">SUMIFS('Source'!$G:$G,'Source'!$A:$A,"155138 לקוח אינטרנט",'Source'!$B:$B,$A121)</f>
        <v>4405.02</v>
      </c>
      <c r="J121" s="8" t="n">
        <f aca="false">I121*$J$5</f>
        <v>5564.23578947368</v>
      </c>
      <c r="K121" s="8" t="n">
        <f aca="false">J121-H121</f>
        <v>2781.71578947368</v>
      </c>
      <c r="L121" s="9" t="n">
        <f aca="false">IF(AND(H121=0,J121=0),0,IF(H121=0,"New",(J121-H121)/H121))</f>
        <v>0.999710977629517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213</v>
      </c>
      <c r="B122" s="7" t="str">
        <f aca="false">IFERROR(INDEX('Source'!$C:$C,MATCH($A122,'Source'!$B:$B,0)),"")</f>
        <v>סד יד</v>
      </c>
      <c r="C122" s="8" t="n">
        <f aca="false">SUMIFS('Source'!$D:$D,'Source'!$A:$A,"155138 לקוח אינטרנט",'Source'!$B:$B,$A122)</f>
        <v>58</v>
      </c>
      <c r="D122" s="8" t="n">
        <f aca="false">SUMIFS('Source'!$F:$F,'Source'!$A:$A,"155138 לקוח אינטרנט",'Source'!$B:$B,$A122)</f>
        <v>35</v>
      </c>
      <c r="E122" s="8" t="n">
        <f aca="false">D122*$J$5</f>
        <v>44.2105263157895</v>
      </c>
      <c r="F122" s="8" t="n">
        <f aca="false">E122-C122</f>
        <v>-13.7894736842105</v>
      </c>
      <c r="G122" s="9" t="n">
        <f aca="false">IF(AND(C122=0,E122=0),0,IF(C122=0,"New",(E122-C122)/C122))</f>
        <v>-0.237749546279492</v>
      </c>
      <c r="H122" s="8" t="n">
        <f aca="false">SUMIFS('Source'!$E:$E,'Source'!$A:$A,"155138 לקוח אינטרנט",'Source'!$B:$B,$A122)</f>
        <v>4518.28</v>
      </c>
      <c r="I122" s="8" t="n">
        <f aca="false">SUMIFS('Source'!$G:$G,'Source'!$A:$A,"155138 לקוח אינטרנט",'Source'!$B:$B,$A122)</f>
        <v>2899.65</v>
      </c>
      <c r="J122" s="8" t="n">
        <f aca="false">I122*$J$5</f>
        <v>3662.71578947368</v>
      </c>
      <c r="K122" s="8" t="n">
        <f aca="false">J122-H122</f>
        <v>-855.564210526316</v>
      </c>
      <c r="L122" s="9" t="n">
        <f aca="false">IF(AND(H122=0,J122=0),0,IF(H122=0,"New",(J122-H122)/H122))</f>
        <v>-0.189356173262019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214</v>
      </c>
      <c r="B123" s="7" t="str">
        <f aca="false">IFERROR(INDEX('Source'!$C:$C,MATCH($A123,'Source'!$B:$B,0)),"")</f>
        <v>חגורת גב אפורה</v>
      </c>
      <c r="C123" s="8" t="n">
        <f aca="false">SUMIFS('Source'!$D:$D,'Source'!$A:$A,"155138 לקוח אינטרנט",'Source'!$B:$B,$A123)</f>
        <v>14</v>
      </c>
      <c r="D123" s="8" t="n">
        <f aca="false">SUMIFS('Source'!$F:$F,'Source'!$A:$A,"155138 לקוח אינטרנט",'Source'!$B:$B,$A123)</f>
        <v>6</v>
      </c>
      <c r="E123" s="8" t="n">
        <f aca="false">D123*$J$5</f>
        <v>7.57894736842105</v>
      </c>
      <c r="F123" s="8" t="n">
        <f aca="false">E123-C123</f>
        <v>-6.42105263157895</v>
      </c>
      <c r="G123" s="9" t="n">
        <f aca="false">IF(AND(C123=0,E123=0),0,IF(C123=0,"New",(E123-C123)/C123))</f>
        <v>-0.458646616541353</v>
      </c>
      <c r="H123" s="8" t="n">
        <f aca="false">SUMIFS('Source'!$E:$E,'Source'!$A:$A,"155138 לקוח אינטרנט",'Source'!$B:$B,$A123)</f>
        <v>2824.88</v>
      </c>
      <c r="I123" s="8" t="n">
        <f aca="false">SUMIFS('Source'!$G:$G,'Source'!$A:$A,"155138 לקוח אינטרנט",'Source'!$B:$B,$A123)</f>
        <v>1207.14</v>
      </c>
      <c r="J123" s="8" t="n">
        <f aca="false">I123*$J$5</f>
        <v>1524.80842105263</v>
      </c>
      <c r="K123" s="8" t="n">
        <f aca="false">J123-H123</f>
        <v>-1300.07157894737</v>
      </c>
      <c r="L123" s="9" t="n">
        <f aca="false">IF(AND(H123=0,J123=0),0,IF(H123=0,"New",(J123-H123)/H123))</f>
        <v>-0.460221878078845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215</v>
      </c>
      <c r="B124" s="7" t="str">
        <f aca="false">IFERROR(INDEX('Source'!$C:$C,MATCH($A124,'Source'!$B:$B,0)),"")</f>
        <v>חגורת שבר שחור</v>
      </c>
      <c r="C124" s="8" t="n">
        <f aca="false">SUMIFS('Source'!$D:$D,'Source'!$A:$A,"155138 לקוח אינטרנט",'Source'!$B:$B,$A124)</f>
        <v>0</v>
      </c>
      <c r="D124" s="8" t="n">
        <f aca="false">SUMIFS('Source'!$F:$F,'Source'!$A:$A,"155138 לקוח אינטרנט",'Source'!$B:$B,$A124)</f>
        <v>5</v>
      </c>
      <c r="E124" s="8" t="n">
        <f aca="false">D124*$J$5</f>
        <v>6.31578947368421</v>
      </c>
      <c r="F124" s="8" t="n">
        <f aca="false">E124-C124</f>
        <v>6.31578947368421</v>
      </c>
      <c r="G124" s="9" t="str">
        <f aca="false">IF(AND(C124=0,E124=0),0,IF(C124=0,"New",(E124-C124)/C124))</f>
        <v>New</v>
      </c>
      <c r="H124" s="8" t="n">
        <f aca="false">SUMIFS('Source'!$E:$E,'Source'!$A:$A,"155138 לקוח אינטרנט",'Source'!$B:$B,$A124)</f>
        <v>0</v>
      </c>
      <c r="I124" s="8" t="n">
        <f aca="false">SUMIFS('Source'!$G:$G,'Source'!$A:$A,"155138 לקוח אינטרנט",'Source'!$B:$B,$A124)</f>
        <v>1585.61</v>
      </c>
      <c r="J124" s="8" t="n">
        <f aca="false">I124*$J$5</f>
        <v>2002.87578947368</v>
      </c>
      <c r="K124" s="8" t="n">
        <f aca="false">J124-H124</f>
        <v>2002.87578947368</v>
      </c>
      <c r="L124" s="9" t="str">
        <f aca="false">IF(AND(H124=0,J124=0),0,IF(H124=0,"New",(J124-H124)/H124))</f>
        <v>New</v>
      </c>
      <c r="M124" s="7" t="str">
        <f aca="false">IF(AND(OR(C124&lt;&gt;0,H124&lt;&gt;0),D124=0,I124=0),"DROP",IF(AND(OR(D124&lt;&gt;0,I124&lt;&gt;0),C124=0,H124=0),"NEW",""))</f>
        <v>NEW</v>
      </c>
    </row>
    <row r="125" customFormat="false" ht="15" hidden="false" customHeight="false" outlineLevel="0" collapsed="false">
      <c r="A125" s="7" t="s">
        <v>216</v>
      </c>
      <c r="B125" s="7" t="str">
        <f aca="false">IFERROR(INDEX('Source'!$C:$C,MATCH($A125,'Source'!$B:$B,0)),"")</f>
        <v>שרוול לגבס קצר רגל</v>
      </c>
      <c r="C125" s="8" t="n">
        <f aca="false">SUMIFS('Source'!$D:$D,'Source'!$A:$A,"155138 לקוח אינטרנט",'Source'!$B:$B,$A125)</f>
        <v>59</v>
      </c>
      <c r="D125" s="8" t="n">
        <f aca="false">SUMIFS('Source'!$F:$F,'Source'!$A:$A,"155138 לקוח אינטרנט",'Source'!$B:$B,$A125)</f>
        <v>78</v>
      </c>
      <c r="E125" s="8" t="n">
        <f aca="false">D125*$J$5</f>
        <v>98.5263157894737</v>
      </c>
      <c r="F125" s="8" t="n">
        <f aca="false">E125-C125</f>
        <v>39.5263157894737</v>
      </c>
      <c r="G125" s="9" t="n">
        <f aca="false">IF(AND(C125=0,E125=0),0,IF(C125=0,"New",(E125-C125)/C125))</f>
        <v>0.669937555753791</v>
      </c>
      <c r="H125" s="8" t="n">
        <f aca="false">SUMIFS('Source'!$E:$E,'Source'!$A:$A,"155138 לקוח אינטרנט",'Source'!$B:$B,$A125)</f>
        <v>4542.97</v>
      </c>
      <c r="I125" s="8" t="n">
        <f aca="false">SUMIFS('Source'!$G:$G,'Source'!$A:$A,"155138 לקוח אינטרנט",'Source'!$B:$B,$A125)</f>
        <v>6127.87</v>
      </c>
      <c r="J125" s="8" t="n">
        <f aca="false">I125*$J$5</f>
        <v>7740.46736842105</v>
      </c>
      <c r="K125" s="8" t="n">
        <f aca="false">J125-H125</f>
        <v>3197.49736842105</v>
      </c>
      <c r="L125" s="9" t="n">
        <f aca="false">IF(AND(H125=0,J125=0),0,IF(H125=0,"New",(J125-H125)/H125))</f>
        <v>0.703834136791802</v>
      </c>
      <c r="M125" s="7" t="str">
        <f aca="false">IF(AND(OR(C125&lt;&gt;0,H125&lt;&gt;0),D125=0,I125=0),"DROP",IF(AND(OR(D125&lt;&gt;0,I125&lt;&gt;0),C125=0,H125=0),"NEW",""))</f>
        <v/>
      </c>
    </row>
    <row r="126" customFormat="false" ht="15" hidden="false" customHeight="false" outlineLevel="0" collapsed="false">
      <c r="A126" s="7" t="s">
        <v>217</v>
      </c>
      <c r="B126" s="7" t="str">
        <f aca="false">IFERROR(INDEX('Source'!$C:$C,MATCH($A126,'Source'!$B:$B,0)),"")</f>
        <v>מגן זרת מסיליקון</v>
      </c>
      <c r="C126" s="8" t="n">
        <f aca="false">SUMIFS('Source'!$D:$D,'Source'!$A:$A,"155138 לקוח אינטרנט",'Source'!$B:$B,$A126)</f>
        <v>21</v>
      </c>
      <c r="D126" s="8" t="n">
        <f aca="false">SUMIFS('Source'!$F:$F,'Source'!$A:$A,"155138 לקוח אינטרנט",'Source'!$B:$B,$A126)</f>
        <v>50</v>
      </c>
      <c r="E126" s="8" t="n">
        <f aca="false">D126*$J$5</f>
        <v>63.1578947368421</v>
      </c>
      <c r="F126" s="8" t="n">
        <f aca="false">E126-C126</f>
        <v>42.1578947368421</v>
      </c>
      <c r="G126" s="9" t="n">
        <f aca="false">IF(AND(C126=0,E126=0),0,IF(C126=0,"New",(E126-C126)/C126))</f>
        <v>2.00751879699248</v>
      </c>
      <c r="H126" s="8" t="n">
        <f aca="false">SUMIFS('Source'!$E:$E,'Source'!$A:$A,"155138 לקוח אינטרנט",'Source'!$B:$B,$A126)</f>
        <v>1097.25</v>
      </c>
      <c r="I126" s="8" t="n">
        <f aca="false">SUMIFS('Source'!$G:$G,'Source'!$A:$A,"155138 לקוח אינטרנט",'Source'!$B:$B,$A126)</f>
        <v>2679.34</v>
      </c>
      <c r="J126" s="8" t="n">
        <f aca="false">I126*$J$5</f>
        <v>3384.42947368421</v>
      </c>
      <c r="K126" s="8" t="n">
        <f aca="false">J126-H126</f>
        <v>2287.17947368421</v>
      </c>
      <c r="L126" s="9" t="n">
        <f aca="false">IF(AND(H126=0,J126=0),0,IF(H126=0,"New",(J126-H126)/H126))</f>
        <v>2.0844652300608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218</v>
      </c>
      <c r="B127" s="7" t="str">
        <f aca="false">IFERROR(INDEX('Source'!$C:$C,MATCH($A127,'Source'!$B:$B,0)),"")</f>
        <v>חגורת גב+מיישר+תמיכה לבית השחי</v>
      </c>
      <c r="C127" s="8" t="n">
        <f aca="false">SUMIFS('Source'!$D:$D,'Source'!$A:$A,"155138 לקוח אינטרנט",'Source'!$B:$B,$A127)</f>
        <v>2</v>
      </c>
      <c r="D127" s="8" t="n">
        <f aca="false">SUMIFS('Source'!$F:$F,'Source'!$A:$A,"155138 לקוח אינטרנט",'Source'!$B:$B,$A127)</f>
        <v>0</v>
      </c>
      <c r="E127" s="8" t="n">
        <f aca="false">D127*$J$5</f>
        <v>0</v>
      </c>
      <c r="F127" s="8" t="n">
        <f aca="false">E127-C127</f>
        <v>-2</v>
      </c>
      <c r="G127" s="9" t="n">
        <f aca="false">IF(AND(C127=0,E127=0),0,IF(C127=0,"New",(E127-C127)/C127))</f>
        <v>-1</v>
      </c>
      <c r="H127" s="8" t="n">
        <f aca="false">SUMIFS('Source'!$E:$E,'Source'!$A:$A,"155138 לקוח אינטרנט",'Source'!$B:$B,$A127)</f>
        <v>1581.75</v>
      </c>
      <c r="I127" s="8" t="n">
        <f aca="false">SUMIFS('Source'!$G:$G,'Source'!$A:$A,"155138 לקוח אינטרנט",'Source'!$B:$B,$A127)</f>
        <v>0</v>
      </c>
      <c r="J127" s="8" t="n">
        <f aca="false">I127*$J$5</f>
        <v>0</v>
      </c>
      <c r="K127" s="8" t="n">
        <f aca="false">J127-H127</f>
        <v>-1581.75</v>
      </c>
      <c r="L127" s="9" t="n">
        <f aca="false">IF(AND(H127=0,J127=0),0,IF(H127=0,"New",(J127-H127)/H127))</f>
        <v>-1</v>
      </c>
      <c r="M127" s="7" t="str">
        <f aca="false">IF(AND(OR(C127&lt;&gt;0,H127&lt;&gt;0),D127=0,I127=0),"DROP",IF(AND(OR(D127&lt;&gt;0,I127&lt;&gt;0),C127=0,H127=0),"NEW",""))</f>
        <v>DROP</v>
      </c>
    </row>
    <row r="128" customFormat="false" ht="15" hidden="false" customHeight="false" outlineLevel="0" collapsed="false">
      <c r="A128" s="7" t="s">
        <v>219</v>
      </c>
      <c r="B128" s="7" t="str">
        <f aca="false">IFERROR(INDEX('Source'!$C:$C,MATCH($A128,'Source'!$B:$B,0)),"")</f>
        <v>כרית חום וקור</v>
      </c>
      <c r="C128" s="8" t="n">
        <f aca="false">SUMIFS('Source'!$D:$D,'Source'!$A:$A,"155138 לקוח אינטרנט",'Source'!$B:$B,$A128)</f>
        <v>19</v>
      </c>
      <c r="D128" s="8" t="n">
        <f aca="false">SUMIFS('Source'!$F:$F,'Source'!$A:$A,"155138 לקוח אינטרנט",'Source'!$B:$B,$A128)</f>
        <v>37</v>
      </c>
      <c r="E128" s="8" t="n">
        <f aca="false">D128*$J$5</f>
        <v>46.7368421052632</v>
      </c>
      <c r="F128" s="8" t="n">
        <f aca="false">E128-C128</f>
        <v>27.7368421052632</v>
      </c>
      <c r="G128" s="9" t="n">
        <f aca="false">IF(AND(C128=0,E128=0),0,IF(C128=0,"New",(E128-C128)/C128))</f>
        <v>1.45983379501385</v>
      </c>
      <c r="H128" s="8" t="n">
        <f aca="false">SUMIFS('Source'!$E:$E,'Source'!$A:$A,"155138 לקוח אינטרנט",'Source'!$B:$B,$A128)</f>
        <v>1463.4</v>
      </c>
      <c r="I128" s="8" t="n">
        <f aca="false">SUMIFS('Source'!$G:$G,'Source'!$A:$A,"155138 לקוח אינטרנט",'Source'!$B:$B,$A128)</f>
        <v>3044.13</v>
      </c>
      <c r="J128" s="8" t="n">
        <f aca="false">I128*$J$5</f>
        <v>3845.21684210526</v>
      </c>
      <c r="K128" s="8" t="n">
        <f aca="false">J128-H128</f>
        <v>2381.81684210526</v>
      </c>
      <c r="L128" s="9" t="n">
        <f aca="false">IF(AND(H128=0,J128=0),0,IF(H128=0,"New",(J128-H128)/H128))</f>
        <v>1.62759111801644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220</v>
      </c>
      <c r="B129" s="7" t="str">
        <f aca="false">IFERROR(INDEX('Source'!$C:$C,MATCH($A129,'Source'!$B:$B,0)),"")</f>
        <v>חגורת היריון</v>
      </c>
      <c r="C129" s="8" t="n">
        <f aca="false">SUMIFS('Source'!$D:$D,'Source'!$A:$A,"155138 לקוח אינטרנט",'Source'!$B:$B,$A129)</f>
        <v>3</v>
      </c>
      <c r="D129" s="8" t="n">
        <f aca="false">SUMIFS('Source'!$F:$F,'Source'!$A:$A,"155138 לקוח אינטרנט",'Source'!$B:$B,$A129)</f>
        <v>10</v>
      </c>
      <c r="E129" s="8" t="n">
        <f aca="false">D129*$J$5</f>
        <v>12.6315789473684</v>
      </c>
      <c r="F129" s="8" t="n">
        <f aca="false">E129-C129</f>
        <v>9.63157894736842</v>
      </c>
      <c r="G129" s="9" t="n">
        <f aca="false">IF(AND(C129=0,E129=0),0,IF(C129=0,"New",(E129-C129)/C129))</f>
        <v>3.21052631578947</v>
      </c>
      <c r="H129" s="8" t="n">
        <f aca="false">SUMIFS('Source'!$E:$E,'Source'!$A:$A,"155138 לקוח אינטרנט",'Source'!$B:$B,$A129)</f>
        <v>640.44</v>
      </c>
      <c r="I129" s="8" t="n">
        <f aca="false">SUMIFS('Source'!$G:$G,'Source'!$A:$A,"155138 לקוח אינטרנט",'Source'!$B:$B,$A129)</f>
        <v>2218.69</v>
      </c>
      <c r="J129" s="8" t="n">
        <f aca="false">I129*$J$5</f>
        <v>2802.55578947368</v>
      </c>
      <c r="K129" s="8" t="n">
        <f aca="false">J129-H129</f>
        <v>2162.11578947368</v>
      </c>
      <c r="L129" s="9" t="n">
        <f aca="false">IF(AND(H129=0,J129=0),0,IF(H129=0,"New",(J129-H129)/H129))</f>
        <v>3.37598493141229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221</v>
      </c>
      <c r="B130" s="7" t="str">
        <f aca="false">IFERROR(INDEX('Source'!$C:$C,MATCH($A130,'Source'!$B:$B,0)),"")</f>
        <v>כפפת אגודל לחץ</v>
      </c>
      <c r="C130" s="8" t="n">
        <f aca="false">SUMIFS('Source'!$D:$D,'Source'!$A:$A,"155138 לקוח אינטרנט",'Source'!$B:$B,$A130)</f>
        <v>26</v>
      </c>
      <c r="D130" s="8" t="n">
        <f aca="false">SUMIFS('Source'!$F:$F,'Source'!$A:$A,"155138 לקוח אינטרנט",'Source'!$B:$B,$A130)</f>
        <v>48</v>
      </c>
      <c r="E130" s="8" t="n">
        <f aca="false">D130*$J$5</f>
        <v>60.6315789473684</v>
      </c>
      <c r="F130" s="8" t="n">
        <f aca="false">E130-C130</f>
        <v>34.6315789473684</v>
      </c>
      <c r="G130" s="9" t="n">
        <f aca="false">IF(AND(C130=0,E130=0),0,IF(C130=0,"New",(E130-C130)/C130))</f>
        <v>1.33198380566802</v>
      </c>
      <c r="H130" s="8" t="n">
        <f aca="false">SUMIFS('Source'!$E:$E,'Source'!$A:$A,"155138 לקוח אינטרנט",'Source'!$B:$B,$A130)</f>
        <v>1703.91</v>
      </c>
      <c r="I130" s="8" t="n">
        <f aca="false">SUMIFS('Source'!$G:$G,'Source'!$A:$A,"155138 לקוח אינטרנט",'Source'!$B:$B,$A130)</f>
        <v>3263.75</v>
      </c>
      <c r="J130" s="8" t="n">
        <f aca="false">I130*$J$5</f>
        <v>4122.63157894737</v>
      </c>
      <c r="K130" s="8" t="n">
        <f aca="false">J130-H130</f>
        <v>2418.72157894737</v>
      </c>
      <c r="L130" s="9" t="n">
        <f aca="false">IF(AND(H130=0,J130=0),0,IF(H130=0,"New",(J130-H130)/H130))</f>
        <v>1.41951252058346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222</v>
      </c>
      <c r="B131" s="7" t="str">
        <f aca="false">IFERROR(INDEX('Source'!$C:$C,MATCH($A131,'Source'!$B:$B,0)),"")</f>
        <v>רפידת ג'ל זיכרון M בז'</v>
      </c>
      <c r="C131" s="8" t="n">
        <f aca="false">SUMIFS('Source'!$D:$D,'Source'!$A:$A,"155138 לקוח אינטרנט",'Source'!$B:$B,$A131)</f>
        <v>13</v>
      </c>
      <c r="D131" s="8" t="n">
        <f aca="false">SUMIFS('Source'!$F:$F,'Source'!$A:$A,"155138 לקוח אינטרנט",'Source'!$B:$B,$A131)</f>
        <v>0</v>
      </c>
      <c r="E131" s="8" t="n">
        <f aca="false">D131*$J$5</f>
        <v>0</v>
      </c>
      <c r="F131" s="8" t="n">
        <f aca="false">E131-C131</f>
        <v>-13</v>
      </c>
      <c r="G131" s="9" t="n">
        <f aca="false">IF(AND(C131=0,E131=0),0,IF(C131=0,"New",(E131-C131)/C131))</f>
        <v>-1</v>
      </c>
      <c r="H131" s="8" t="n">
        <f aca="false">SUMIFS('Source'!$E:$E,'Source'!$A:$A,"155138 לקוח אינטרנט",'Source'!$B:$B,$A131)</f>
        <v>1557.63</v>
      </c>
      <c r="I131" s="8" t="n">
        <f aca="false">SUMIFS('Source'!$G:$G,'Source'!$A:$A,"155138 לקוח אינטרנט",'Source'!$B:$B,$A131)</f>
        <v>0</v>
      </c>
      <c r="J131" s="8" t="n">
        <f aca="false">I131*$J$5</f>
        <v>0</v>
      </c>
      <c r="K131" s="8" t="n">
        <f aca="false">J131-H131</f>
        <v>-1557.63</v>
      </c>
      <c r="L131" s="9" t="n">
        <f aca="false">IF(AND(H131=0,J131=0),0,IF(H131=0,"New",(J131-H131)/H131))</f>
        <v>-1</v>
      </c>
      <c r="M131" s="7" t="str">
        <f aca="false">IF(AND(OR(C131&lt;&gt;0,H131&lt;&gt;0),D131=0,I131=0),"DROP",IF(AND(OR(D131&lt;&gt;0,I131&lt;&gt;0),C131=0,H131=0),"NEW",""))</f>
        <v>DROP</v>
      </c>
    </row>
    <row r="132" customFormat="false" ht="15" hidden="false" customHeight="false" outlineLevel="0" collapsed="false">
      <c r="A132" s="7" t="s">
        <v>223</v>
      </c>
      <c r="B132" s="7" t="str">
        <f aca="false">IFERROR(INDEX('Source'!$C:$C,MATCH($A132,'Source'!$B:$B,0)),"")</f>
        <v>מישר כתפיים רחב+תמיכה לבית השח</v>
      </c>
      <c r="C132" s="8" t="n">
        <f aca="false">SUMIFS('Source'!$D:$D,'Source'!$A:$A,"155138 לקוח אינטרנט",'Source'!$B:$B,$A132)</f>
        <v>18</v>
      </c>
      <c r="D132" s="8" t="n">
        <f aca="false">SUMIFS('Source'!$F:$F,'Source'!$A:$A,"155138 לקוח אינטרנט",'Source'!$B:$B,$A132)</f>
        <v>13</v>
      </c>
      <c r="E132" s="8" t="n">
        <f aca="false">D132*$J$5</f>
        <v>16.4210526315789</v>
      </c>
      <c r="F132" s="8" t="n">
        <f aca="false">E132-C132</f>
        <v>-1.57894736842105</v>
      </c>
      <c r="G132" s="9" t="n">
        <f aca="false">IF(AND(C132=0,E132=0),0,IF(C132=0,"New",(E132-C132)/C132))</f>
        <v>-0.0877192982456142</v>
      </c>
      <c r="H132" s="8" t="n">
        <f aca="false">SUMIFS('Source'!$E:$E,'Source'!$A:$A,"155138 לקוח אינטרנט",'Source'!$B:$B,$A132)</f>
        <v>6268.91</v>
      </c>
      <c r="I132" s="8" t="n">
        <f aca="false">SUMIFS('Source'!$G:$G,'Source'!$A:$A,"155138 לקוח אינטרנט",'Source'!$B:$B,$A132)</f>
        <v>4727.73</v>
      </c>
      <c r="J132" s="8" t="n">
        <f aca="false">I132*$J$5</f>
        <v>5971.86947368421</v>
      </c>
      <c r="K132" s="8" t="n">
        <f aca="false">J132-H132</f>
        <v>-297.04052631579</v>
      </c>
      <c r="L132" s="9" t="n">
        <f aca="false">IF(AND(H132=0,J132=0),0,IF(H132=0,"New",(J132-H132)/H132))</f>
        <v>-0.0473831218370961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224</v>
      </c>
      <c r="B133" s="7" t="str">
        <f aca="false">IFERROR(INDEX('Source'!$C:$C,MATCH($A133,'Source'!$B:$B,0)),"")</f>
        <v>סד קרסול</v>
      </c>
      <c r="C133" s="8" t="n">
        <f aca="false">SUMIFS('Source'!$D:$D,'Source'!$A:$A,"155138 לקוח אינטרנט",'Source'!$B:$B,$A133)</f>
        <v>0</v>
      </c>
      <c r="D133" s="8" t="n">
        <f aca="false">SUMIFS('Source'!$F:$F,'Source'!$A:$A,"155138 לקוח אינטרנט",'Source'!$B:$B,$A133)</f>
        <v>4</v>
      </c>
      <c r="E133" s="8" t="n">
        <f aca="false">D133*$J$5</f>
        <v>5.05263157894737</v>
      </c>
      <c r="F133" s="8" t="n">
        <f aca="false">E133-C133</f>
        <v>5.05263157894737</v>
      </c>
      <c r="G133" s="9" t="str">
        <f aca="false">IF(AND(C133=0,E133=0),0,IF(C133=0,"New",(E133-C133)/C133))</f>
        <v>New</v>
      </c>
      <c r="H133" s="8" t="n">
        <f aca="false">SUMIFS('Source'!$E:$E,'Source'!$A:$A,"155138 לקוח אינטרנט",'Source'!$B:$B,$A133)</f>
        <v>0</v>
      </c>
      <c r="I133" s="8" t="n">
        <f aca="false">SUMIFS('Source'!$G:$G,'Source'!$A:$A,"155138 לקוח אינטרנט",'Source'!$B:$B,$A133)</f>
        <v>1538.64</v>
      </c>
      <c r="J133" s="8" t="n">
        <f aca="false">I133*$J$5</f>
        <v>1943.54526315789</v>
      </c>
      <c r="K133" s="8" t="n">
        <f aca="false">J133-H133</f>
        <v>1943.54526315789</v>
      </c>
      <c r="L133" s="9" t="str">
        <f aca="false">IF(AND(H133=0,J133=0),0,IF(H133=0,"New",(J133-H133)/H133))</f>
        <v>New</v>
      </c>
      <c r="M133" s="7" t="str">
        <f aca="false">IF(AND(OR(C133&lt;&gt;0,H133&lt;&gt;0),D133=0,I133=0),"DROP",IF(AND(OR(D133&lt;&gt;0,I133&lt;&gt;0),C133=0,H133=0),"NEW",""))</f>
        <v>NEW</v>
      </c>
    </row>
    <row r="134" customFormat="false" ht="15" hidden="false" customHeight="false" outlineLevel="0" collapsed="false">
      <c r="A134" s="7" t="s">
        <v>225</v>
      </c>
      <c r="B134" s="7" t="str">
        <f aca="false">IFERROR(INDEX('Source'!$C:$C,MATCH($A134,'Source'!$B:$B,0)),"")</f>
        <v>שרוול מסיליקון ל</v>
      </c>
      <c r="C134" s="8" t="n">
        <f aca="false">SUMIFS('Source'!$D:$D,'Source'!$A:$A,"155138 לקוח אינטרנט",'Source'!$B:$B,$A134)</f>
        <v>51</v>
      </c>
      <c r="D134" s="8" t="n">
        <f aca="false">SUMIFS('Source'!$F:$F,'Source'!$A:$A,"155138 לקוח אינטרנט",'Source'!$B:$B,$A134)</f>
        <v>98</v>
      </c>
      <c r="E134" s="8" t="n">
        <f aca="false">D134*$J$5</f>
        <v>123.789473684211</v>
      </c>
      <c r="F134" s="8" t="n">
        <f aca="false">E134-C134</f>
        <v>72.7894736842105</v>
      </c>
      <c r="G134" s="9" t="n">
        <f aca="false">IF(AND(C134=0,E134=0),0,IF(C134=0,"New",(E134-C134)/C134))</f>
        <v>1.42724458204334</v>
      </c>
      <c r="H134" s="8" t="n">
        <f aca="false">SUMIFS('Source'!$E:$E,'Source'!$A:$A,"155138 לקוח אינטרנט",'Source'!$B:$B,$A134)</f>
        <v>1617.89</v>
      </c>
      <c r="I134" s="8" t="n">
        <f aca="false">SUMIFS('Source'!$G:$G,'Source'!$A:$A,"155138 לקוח אינטרנט",'Source'!$B:$B,$A134)</f>
        <v>3156.38</v>
      </c>
      <c r="J134" s="8" t="n">
        <f aca="false">I134*$J$5</f>
        <v>3987.00631578947</v>
      </c>
      <c r="K134" s="8" t="n">
        <f aca="false">J134-H134</f>
        <v>2369.11631578947</v>
      </c>
      <c r="L134" s="9" t="n">
        <f aca="false">IF(AND(H134=0,J134=0),0,IF(H134=0,"New",(J134-H134)/H134))</f>
        <v>1.4643247166306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226</v>
      </c>
      <c r="B135" s="7" t="str">
        <f aca="false">IFERROR(INDEX('Source'!$C:$C,MATCH($A135,'Source'!$B:$B,0)),"")</f>
        <v>גרבי נוחות חורף אפור</v>
      </c>
      <c r="C135" s="8" t="n">
        <f aca="false">SUMIFS('Source'!$D:$D,'Source'!$A:$A,"155138 לקוח אינטרנט",'Source'!$B:$B,$A135)</f>
        <v>43</v>
      </c>
      <c r="D135" s="8" t="n">
        <f aca="false">SUMIFS('Source'!$F:$F,'Source'!$A:$A,"155138 לקוח אינטרנט",'Source'!$B:$B,$A135)</f>
        <v>12</v>
      </c>
      <c r="E135" s="8" t="n">
        <f aca="false">D135*$J$5</f>
        <v>15.1578947368421</v>
      </c>
      <c r="F135" s="8" t="n">
        <f aca="false">E135-C135</f>
        <v>-27.8421052631579</v>
      </c>
      <c r="G135" s="9" t="n">
        <f aca="false">IF(AND(C135=0,E135=0),0,IF(C135=0,"New",(E135-C135)/C135))</f>
        <v>-0.64749082007344</v>
      </c>
      <c r="H135" s="8" t="n">
        <f aca="false">SUMIFS('Source'!$E:$E,'Source'!$A:$A,"155138 לקוח אינטרנט",'Source'!$B:$B,$A135)</f>
        <v>2129.24</v>
      </c>
      <c r="I135" s="8" t="n">
        <f aca="false">SUMIFS('Source'!$G:$G,'Source'!$A:$A,"155138 לקוח אינטרנט",'Source'!$B:$B,$A135)</f>
        <v>596.68</v>
      </c>
      <c r="J135" s="8" t="n">
        <f aca="false">I135*$J$5</f>
        <v>753.701052631579</v>
      </c>
      <c r="K135" s="8" t="n">
        <f aca="false">J135-H135</f>
        <v>-1375.53894736842</v>
      </c>
      <c r="L135" s="9" t="n">
        <f aca="false">IF(AND(H135=0,J135=0),0,IF(H135=0,"New",(J135-H135)/H135))</f>
        <v>-0.64602343905263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227</v>
      </c>
      <c r="B136" s="7" t="str">
        <f aca="false">IFERROR(INDEX('Source'!$C:$C,MATCH($A136,'Source'!$B:$B,0)),"")</f>
        <v>כרית סיליקון לעקב</v>
      </c>
      <c r="C136" s="8" t="n">
        <f aca="false">SUMIFS('Source'!$D:$D,'Source'!$A:$A,"155138 לקוח אינטרנט",'Source'!$B:$B,$A136)</f>
        <v>9</v>
      </c>
      <c r="D136" s="8" t="n">
        <f aca="false">SUMIFS('Source'!$F:$F,'Source'!$A:$A,"155138 לקוח אינטרנט",'Source'!$B:$B,$A136)</f>
        <v>19</v>
      </c>
      <c r="E136" s="8" t="n">
        <f aca="false">D136*$J$5</f>
        <v>24</v>
      </c>
      <c r="F136" s="8" t="n">
        <f aca="false">E136-C136</f>
        <v>15</v>
      </c>
      <c r="G136" s="9" t="n">
        <f aca="false">IF(AND(C136=0,E136=0),0,IF(C136=0,"New",(E136-C136)/C136))</f>
        <v>1.66666666666667</v>
      </c>
      <c r="H136" s="8" t="n">
        <f aca="false">SUMIFS('Source'!$E:$E,'Source'!$A:$A,"155138 לקוח אינטרנט",'Source'!$B:$B,$A136)</f>
        <v>1451.68</v>
      </c>
      <c r="I136" s="8" t="n">
        <f aca="false">SUMIFS('Source'!$G:$G,'Source'!$A:$A,"155138 לקוח אינטרנט",'Source'!$B:$B,$A136)</f>
        <v>2978.53</v>
      </c>
      <c r="J136" s="8" t="n">
        <f aca="false">I136*$J$5</f>
        <v>3762.35368421053</v>
      </c>
      <c r="K136" s="8" t="n">
        <f aca="false">J136-H136</f>
        <v>2310.67368421053</v>
      </c>
      <c r="L136" s="9" t="n">
        <f aca="false">IF(AND(H136=0,J136=0),0,IF(H136=0,"New",(J136-H136)/H136))</f>
        <v>1.59172385388689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228</v>
      </c>
      <c r="B137" s="7" t="str">
        <f aca="false">IFERROR(INDEX('Source'!$C:$C,MATCH($A137,'Source'!$B:$B,0)),"")</f>
        <v>חגורת צלעות לאשה</v>
      </c>
      <c r="C137" s="8" t="n">
        <f aca="false">SUMIFS('Source'!$D:$D,'Source'!$A:$A,"155138 לקוח אינטרנט",'Source'!$B:$B,$A137)</f>
        <v>6</v>
      </c>
      <c r="D137" s="8" t="n">
        <f aca="false">SUMIFS('Source'!$F:$F,'Source'!$A:$A,"155138 לקוח אינטרנט",'Source'!$B:$B,$A137)</f>
        <v>0</v>
      </c>
      <c r="E137" s="8" t="n">
        <f aca="false">D137*$J$5</f>
        <v>0</v>
      </c>
      <c r="F137" s="8" t="n">
        <f aca="false">E137-C137</f>
        <v>-6</v>
      </c>
      <c r="G137" s="9" t="n">
        <f aca="false">IF(AND(C137=0,E137=0),0,IF(C137=0,"New",(E137-C137)/C137))</f>
        <v>-1</v>
      </c>
      <c r="H137" s="8" t="n">
        <f aca="false">SUMIFS('Source'!$E:$E,'Source'!$A:$A,"155138 לקוח אינטרנט",'Source'!$B:$B,$A137)</f>
        <v>1524.9</v>
      </c>
      <c r="I137" s="8" t="n">
        <f aca="false">SUMIFS('Source'!$G:$G,'Source'!$A:$A,"155138 לקוח אינטרנט",'Source'!$B:$B,$A137)</f>
        <v>0.00999999999999091</v>
      </c>
      <c r="J137" s="8" t="n">
        <f aca="false">I137*$J$5</f>
        <v>0.0126315789473569</v>
      </c>
      <c r="K137" s="8" t="n">
        <f aca="false">J137-H137</f>
        <v>-1524.88736842105</v>
      </c>
      <c r="L137" s="9" t="n">
        <f aca="false">IF(AND(H137=0,J137=0),0,IF(H137=0,"New",(J137-H137)/H137))</f>
        <v>-0.999991716454228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229</v>
      </c>
      <c r="B138" s="7" t="str">
        <f aca="false">IFERROR(INDEX('Source'!$C:$C,MATCH($A138,'Source'!$B:$B,0)),"")</f>
        <v>מכשיר ליצוב הבוהן</v>
      </c>
      <c r="C138" s="8" t="n">
        <f aca="false">SUMIFS('Source'!$D:$D,'Source'!$A:$A,"155138 לקוח אינטרנט",'Source'!$B:$B,$A138)</f>
        <v>14</v>
      </c>
      <c r="D138" s="8" t="n">
        <f aca="false">SUMIFS('Source'!$F:$F,'Source'!$A:$A,"155138 לקוח אינטרנט",'Source'!$B:$B,$A138)</f>
        <v>4</v>
      </c>
      <c r="E138" s="8" t="n">
        <f aca="false">D138*$J$5</f>
        <v>5.05263157894737</v>
      </c>
      <c r="F138" s="8" t="n">
        <f aca="false">E138-C138</f>
        <v>-8.94736842105263</v>
      </c>
      <c r="G138" s="9" t="n">
        <f aca="false">IF(AND(C138=0,E138=0),0,IF(C138=0,"New",(E138-C138)/C138))</f>
        <v>-0.639097744360902</v>
      </c>
      <c r="H138" s="8" t="n">
        <f aca="false">SUMIFS('Source'!$E:$E,'Source'!$A:$A,"155138 לקוח אינטרנט",'Source'!$B:$B,$A138)</f>
        <v>2149.27</v>
      </c>
      <c r="I138" s="8" t="n">
        <f aca="false">SUMIFS('Source'!$G:$G,'Source'!$A:$A,"155138 לקוח אינטרנט",'Source'!$B:$B,$A138)</f>
        <v>627.65</v>
      </c>
      <c r="J138" s="8" t="n">
        <f aca="false">I138*$J$5</f>
        <v>792.821052631579</v>
      </c>
      <c r="K138" s="8" t="n">
        <f aca="false">J138-H138</f>
        <v>-1356.44894736842</v>
      </c>
      <c r="L138" s="9" t="n">
        <f aca="false">IF(AND(H138=0,J138=0),0,IF(H138=0,"New",(J138-H138)/H138))</f>
        <v>-0.631120774666943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230</v>
      </c>
      <c r="B139" s="7" t="str">
        <f aca="false">IFERROR(INDEX('Source'!$C:$C,MATCH($A139,'Source'!$B:$B,0)),"")</f>
        <v>מדרסי ג'ל מולטי ספורט</v>
      </c>
      <c r="C139" s="8" t="n">
        <f aca="false">SUMIFS('Source'!$D:$D,'Source'!$A:$A,"155138 לקוח אינטרנט",'Source'!$B:$B,$A139)</f>
        <v>7</v>
      </c>
      <c r="D139" s="8" t="n">
        <f aca="false">SUMIFS('Source'!$F:$F,'Source'!$A:$A,"155138 לקוח אינטרנט",'Source'!$B:$B,$A139)</f>
        <v>14</v>
      </c>
      <c r="E139" s="8" t="n">
        <f aca="false">D139*$J$5</f>
        <v>17.6842105263158</v>
      </c>
      <c r="F139" s="8" t="n">
        <f aca="false">E139-C139</f>
        <v>10.6842105263158</v>
      </c>
      <c r="G139" s="9" t="n">
        <f aca="false">IF(AND(C139=0,E139=0),0,IF(C139=0,"New",(E139-C139)/C139))</f>
        <v>1.52631578947368</v>
      </c>
      <c r="H139" s="8" t="n">
        <f aca="false">SUMIFS('Source'!$E:$E,'Source'!$A:$A,"155138 לקוח אינטרנט",'Source'!$B:$B,$A139)</f>
        <v>1382.35</v>
      </c>
      <c r="I139" s="8" t="n">
        <f aca="false">SUMIFS('Source'!$G:$G,'Source'!$A:$A,"155138 לקוח אינטרנט",'Source'!$B:$B,$A139)</f>
        <v>2893.34</v>
      </c>
      <c r="J139" s="8" t="n">
        <f aca="false">I139*$J$5</f>
        <v>3654.7452631579</v>
      </c>
      <c r="K139" s="8" t="n">
        <f aca="false">J139-H139</f>
        <v>2272.3952631579</v>
      </c>
      <c r="L139" s="9" t="n">
        <f aca="false">IF(AND(H139=0,J139=0),0,IF(H139=0,"New",(J139-H139)/H139))</f>
        <v>1.64386390071827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231</v>
      </c>
      <c r="B140" s="7" t="str">
        <f aca="false">IFERROR(INDEX('Source'!$C:$C,MATCH($A140,'Source'!$B:$B,0)),"")</f>
        <v>חגורה למנותחי בית החזה</v>
      </c>
      <c r="C140" s="8" t="n">
        <f aca="false">SUMIFS('Source'!$D:$D,'Source'!$A:$A,"155138 לקוח אינטרנט",'Source'!$B:$B,$A140)</f>
        <v>3</v>
      </c>
      <c r="D140" s="8" t="n">
        <f aca="false">SUMIFS('Source'!$F:$F,'Source'!$A:$A,"155138 לקוח אינטרנט",'Source'!$B:$B,$A140)</f>
        <v>8</v>
      </c>
      <c r="E140" s="8" t="n">
        <f aca="false">D140*$J$5</f>
        <v>10.1052631578947</v>
      </c>
      <c r="F140" s="8" t="n">
        <f aca="false">E140-C140</f>
        <v>7.10526315789474</v>
      </c>
      <c r="G140" s="9" t="n">
        <f aca="false">IF(AND(C140=0,E140=0),0,IF(C140=0,"New",(E140-C140)/C140))</f>
        <v>2.36842105263158</v>
      </c>
      <c r="H140" s="8" t="n">
        <f aca="false">SUMIFS('Source'!$E:$E,'Source'!$A:$A,"155138 לקוח אינטרנט",'Source'!$B:$B,$A140)</f>
        <v>807.17</v>
      </c>
      <c r="I140" s="8" t="n">
        <f aca="false">SUMIFS('Source'!$G:$G,'Source'!$A:$A,"155138 לקוח אינטרנט",'Source'!$B:$B,$A140)</f>
        <v>2295.32</v>
      </c>
      <c r="J140" s="8" t="n">
        <f aca="false">I140*$J$5</f>
        <v>2899.35157894737</v>
      </c>
      <c r="K140" s="8" t="n">
        <f aca="false">J140-H140</f>
        <v>2092.18157894737</v>
      </c>
      <c r="L140" s="9" t="n">
        <f aca="false">IF(AND(H140=0,J140=0),0,IF(H140=0,"New",(J140-H140)/H140))</f>
        <v>2.59199620767294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232</v>
      </c>
      <c r="B141" s="7" t="str">
        <f aca="false">IFERROR(INDEX('Source'!$C:$C,MATCH($A141,'Source'!$B:$B,0)),"")</f>
        <v>חגורת גב אפורה</v>
      </c>
      <c r="C141" s="8" t="n">
        <f aca="false">SUMIFS('Source'!$D:$D,'Source'!$A:$A,"155138 לקוח אינטרנט",'Source'!$B:$B,$A141)</f>
        <v>12</v>
      </c>
      <c r="D141" s="8" t="n">
        <f aca="false">SUMIFS('Source'!$F:$F,'Source'!$A:$A,"155138 לקוח אינטרנט",'Source'!$B:$B,$A141)</f>
        <v>4</v>
      </c>
      <c r="E141" s="8" t="n">
        <f aca="false">D141*$J$5</f>
        <v>5.05263157894737</v>
      </c>
      <c r="F141" s="8" t="n">
        <f aca="false">E141-C141</f>
        <v>-6.94736842105263</v>
      </c>
      <c r="G141" s="9" t="n">
        <f aca="false">IF(AND(C141=0,E141=0),0,IF(C141=0,"New",(E141-C141)/C141))</f>
        <v>-0.578947368421053</v>
      </c>
      <c r="H141" s="8" t="n">
        <f aca="false">SUMIFS('Source'!$E:$E,'Source'!$A:$A,"155138 לקוח אינטרנט",'Source'!$B:$B,$A141)</f>
        <v>2290.76</v>
      </c>
      <c r="I141" s="8" t="n">
        <f aca="false">SUMIFS('Source'!$G:$G,'Source'!$A:$A,"155138 לקוח אינטרנט",'Source'!$B:$B,$A141)</f>
        <v>825.94</v>
      </c>
      <c r="J141" s="8" t="n">
        <f aca="false">I141*$J$5</f>
        <v>1043.29263157895</v>
      </c>
      <c r="K141" s="8" t="n">
        <f aca="false">J141-H141</f>
        <v>-1247.46736842105</v>
      </c>
      <c r="L141" s="9" t="n">
        <f aca="false">IF(AND(H141=0,J141=0),0,IF(H141=0,"New",(J141-H141)/H141))</f>
        <v>-0.544564846784933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233</v>
      </c>
      <c r="B142" s="7" t="str">
        <f aca="false">IFERROR(INDEX('Source'!$C:$C,MATCH($A142,'Source'!$B:$B,0)),"")</f>
        <v>מגן ברך SC422</v>
      </c>
      <c r="C142" s="8" t="n">
        <f aca="false">SUMIFS('Source'!$D:$D,'Source'!$A:$A,"155138 לקוח אינטרנט",'Source'!$B:$B,$A142)</f>
        <v>24</v>
      </c>
      <c r="D142" s="8" t="n">
        <f aca="false">SUMIFS('Source'!$F:$F,'Source'!$A:$A,"155138 לקוח אינטרנט",'Source'!$B:$B,$A142)</f>
        <v>32</v>
      </c>
      <c r="E142" s="8" t="n">
        <f aca="false">D142*$J$5</f>
        <v>40.4210526315789</v>
      </c>
      <c r="F142" s="8" t="n">
        <f aca="false">E142-C142</f>
        <v>16.4210526315789</v>
      </c>
      <c r="G142" s="9" t="n">
        <f aca="false">IF(AND(C142=0,E142=0),0,IF(C142=0,"New",(E142-C142)/C142))</f>
        <v>0.684210526315789</v>
      </c>
      <c r="H142" s="8" t="n">
        <f aca="false">SUMIFS('Source'!$E:$E,'Source'!$A:$A,"155138 לקוח אינטרנט",'Source'!$B:$B,$A142)</f>
        <v>5398.22</v>
      </c>
      <c r="I142" s="8" t="n">
        <f aca="false">SUMIFS('Source'!$G:$G,'Source'!$A:$A,"155138 לקוח אינטרנט",'Source'!$B:$B,$A142)</f>
        <v>6862.08</v>
      </c>
      <c r="J142" s="8" t="n">
        <f aca="false">I142*$J$5</f>
        <v>8667.89052631579</v>
      </c>
      <c r="K142" s="8" t="n">
        <f aca="false">J142-H142</f>
        <v>3269.67052631579</v>
      </c>
      <c r="L142" s="9" t="n">
        <f aca="false">IF(AND(H142=0,J142=0),0,IF(H142=0,"New",(J142-H142)/H142))</f>
        <v>0.605694196664046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234</v>
      </c>
      <c r="B143" s="7" t="str">
        <f aca="false">IFERROR(INDEX('Source'!$C:$C,MATCH($A143,'Source'!$B:$B,0)),"")</f>
        <v>מישר כתפיים</v>
      </c>
      <c r="C143" s="8" t="n">
        <f aca="false">SUMIFS('Source'!$D:$D,'Source'!$A:$A,"155138 לקוח אינטרנט",'Source'!$B:$B,$A143)</f>
        <v>4</v>
      </c>
      <c r="D143" s="8" t="n">
        <f aca="false">SUMIFS('Source'!$F:$F,'Source'!$A:$A,"155138 לקוח אינטרנט",'Source'!$B:$B,$A143)</f>
        <v>9</v>
      </c>
      <c r="E143" s="8" t="n">
        <f aca="false">D143*$J$5</f>
        <v>11.3684210526316</v>
      </c>
      <c r="F143" s="8" t="n">
        <f aca="false">E143-C143</f>
        <v>7.36842105263158</v>
      </c>
      <c r="G143" s="9" t="n">
        <f aca="false">IF(AND(C143=0,E143=0),0,IF(C143=0,"New",(E143-C143)/C143))</f>
        <v>1.84210526315789</v>
      </c>
      <c r="H143" s="8" t="n">
        <f aca="false">SUMIFS('Source'!$E:$E,'Source'!$A:$A,"155138 לקוח אינטרנט",'Source'!$B:$B,$A143)</f>
        <v>1082.33</v>
      </c>
      <c r="I143" s="8" t="n">
        <f aca="false">SUMIFS('Source'!$G:$G,'Source'!$A:$A,"155138 לקוח אינטרנט",'Source'!$B:$B,$A143)</f>
        <v>2535.29</v>
      </c>
      <c r="J143" s="8" t="n">
        <f aca="false">I143*$J$5</f>
        <v>3202.47157894737</v>
      </c>
      <c r="K143" s="8" t="n">
        <f aca="false">J143-H143</f>
        <v>2120.14157894737</v>
      </c>
      <c r="L143" s="9" t="n">
        <f aca="false">IF(AND(H143=0,J143=0),0,IF(H143=0,"New",(J143-H143)/H143))</f>
        <v>1.95886797829439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235</v>
      </c>
      <c r="B144" s="7" t="str">
        <f aca="false">IFERROR(INDEX('Source'!$C:$C,MATCH($A144,'Source'!$B:$B,0)),"")</f>
        <v>חגורה אוורירית איטלקית</v>
      </c>
      <c r="C144" s="8" t="n">
        <f aca="false">SUMIFS('Source'!$D:$D,'Source'!$A:$A,"155138 לקוח אינטרנט",'Source'!$B:$B,$A144)</f>
        <v>0</v>
      </c>
      <c r="D144" s="8" t="n">
        <f aca="false">SUMIFS('Source'!$F:$F,'Source'!$A:$A,"155138 לקוח אינטרנט",'Source'!$B:$B,$A144)</f>
        <v>3</v>
      </c>
      <c r="E144" s="8" t="n">
        <f aca="false">D144*$J$5</f>
        <v>3.78947368421053</v>
      </c>
      <c r="F144" s="8" t="n">
        <f aca="false">E144-C144</f>
        <v>3.78947368421053</v>
      </c>
      <c r="G144" s="9" t="str">
        <f aca="false">IF(AND(C144=0,E144=0),0,IF(C144=0,"New",(E144-C144)/C144))</f>
        <v>New</v>
      </c>
      <c r="H144" s="8" t="n">
        <f aca="false">SUMIFS('Source'!$E:$E,'Source'!$A:$A,"155138 לקוח אינטרנט",'Source'!$B:$B,$A144)</f>
        <v>0</v>
      </c>
      <c r="I144" s="8" t="n">
        <f aca="false">SUMIFS('Source'!$G:$G,'Source'!$A:$A,"155138 לקוח אינטרנט",'Source'!$B:$B,$A144)</f>
        <v>1423.47</v>
      </c>
      <c r="J144" s="8" t="n">
        <f aca="false">I144*$J$5</f>
        <v>1798.06736842105</v>
      </c>
      <c r="K144" s="8" t="n">
        <f aca="false">J144-H144</f>
        <v>1798.06736842105</v>
      </c>
      <c r="L144" s="9" t="str">
        <f aca="false">IF(AND(H144=0,J144=0),0,IF(H144=0,"New",(J144-H144)/H144))</f>
        <v>New</v>
      </c>
      <c r="M144" s="7" t="str">
        <f aca="false">IF(AND(OR(C144&lt;&gt;0,H144&lt;&gt;0),D144=0,I144=0),"DROP",IF(AND(OR(D144&lt;&gt;0,I144&lt;&gt;0),C144=0,H144=0),"NEW",""))</f>
        <v>NEW</v>
      </c>
    </row>
    <row r="145" customFormat="false" ht="15" hidden="false" customHeight="false" outlineLevel="0" collapsed="false">
      <c r="A145" s="7" t="s">
        <v>236</v>
      </c>
      <c r="B145" s="7" t="str">
        <f aca="false">IFERROR(INDEX('Source'!$C:$C,MATCH($A145,'Source'!$B:$B,0)),"")</f>
        <v>חגורה לשבר טבור</v>
      </c>
      <c r="C145" s="8" t="n">
        <f aca="false">SUMIFS('Source'!$D:$D,'Source'!$A:$A,"155138 לקוח אינטרנט",'Source'!$B:$B,$A145)</f>
        <v>2</v>
      </c>
      <c r="D145" s="8" t="n">
        <f aca="false">SUMIFS('Source'!$F:$F,'Source'!$A:$A,"155138 לקוח אינטרנט",'Source'!$B:$B,$A145)</f>
        <v>7</v>
      </c>
      <c r="E145" s="8" t="n">
        <f aca="false">D145*$J$5</f>
        <v>8.84210526315789</v>
      </c>
      <c r="F145" s="8" t="n">
        <f aca="false">E145-C145</f>
        <v>6.84210526315789</v>
      </c>
      <c r="G145" s="9" t="n">
        <f aca="false">IF(AND(C145=0,E145=0),0,IF(C145=0,"New",(E145-C145)/C145))</f>
        <v>3.42105263157895</v>
      </c>
      <c r="H145" s="8" t="n">
        <f aca="false">SUMIFS('Source'!$E:$E,'Source'!$A:$A,"155138 לקוח אינטרנט",'Source'!$B:$B,$A145)</f>
        <v>481.04</v>
      </c>
      <c r="I145" s="8" t="n">
        <f aca="false">SUMIFS('Source'!$G:$G,'Source'!$A:$A,"155138 לקוח אינטרנט",'Source'!$B:$B,$A145)</f>
        <v>1901.53</v>
      </c>
      <c r="J145" s="8" t="n">
        <f aca="false">I145*$J$5</f>
        <v>2401.93263157895</v>
      </c>
      <c r="K145" s="8" t="n">
        <f aca="false">J145-H145</f>
        <v>1920.89263157895</v>
      </c>
      <c r="L145" s="9" t="n">
        <f aca="false">IF(AND(H145=0,J145=0),0,IF(H145=0,"New",(J145-H145)/H145))</f>
        <v>3.99320769910807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237</v>
      </c>
      <c r="B146" s="7" t="str">
        <f aca="false">IFERROR(INDEX('Source'!$C:$C,MATCH($A146,'Source'!$B:$B,0)),"")</f>
        <v>מגן מרפק</v>
      </c>
      <c r="C146" s="8" t="n">
        <f aca="false">SUMIFS('Source'!$D:$D,'Source'!$A:$A,"155138 לקוח אינטרנט",'Source'!$B:$B,$A146)</f>
        <v>46</v>
      </c>
      <c r="D146" s="8" t="n">
        <f aca="false">SUMIFS('Source'!$F:$F,'Source'!$A:$A,"155138 לקוח אינטרנט",'Source'!$B:$B,$A146)</f>
        <v>25</v>
      </c>
      <c r="E146" s="8" t="n">
        <f aca="false">D146*$J$5</f>
        <v>31.5789473684211</v>
      </c>
      <c r="F146" s="8" t="n">
        <f aca="false">E146-C146</f>
        <v>-14.4210526315789</v>
      </c>
      <c r="G146" s="9" t="n">
        <f aca="false">IF(AND(C146=0,E146=0),0,IF(C146=0,"New",(E146-C146)/C146))</f>
        <v>-0.31350114416476</v>
      </c>
      <c r="H146" s="8" t="n">
        <f aca="false">SUMIFS('Source'!$E:$E,'Source'!$A:$A,"155138 לקוח אינטרנט",'Source'!$B:$B,$A146)</f>
        <v>3244.73</v>
      </c>
      <c r="I146" s="8" t="n">
        <f aca="false">SUMIFS('Source'!$G:$G,'Source'!$A:$A,"155138 לקוח אינטרנט",'Source'!$B:$B,$A146)</f>
        <v>1839.94</v>
      </c>
      <c r="J146" s="8" t="n">
        <f aca="false">I146*$J$5</f>
        <v>2324.13473684211</v>
      </c>
      <c r="K146" s="8" t="n">
        <f aca="false">J146-H146</f>
        <v>-920.595263157895</v>
      </c>
      <c r="L146" s="9" t="n">
        <f aca="false">IF(AND(H146=0,J146=0),0,IF(H146=0,"New",(J146-H146)/H146))</f>
        <v>-0.283720144097627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238</v>
      </c>
      <c r="B147" s="7" t="str">
        <f aca="false">IFERROR(INDEX('Source'!$C:$C,MATCH($A147,'Source'!$B:$B,0)),"")</f>
        <v>מגן לכתף ימין/שמאל</v>
      </c>
      <c r="C147" s="8" t="n">
        <f aca="false">SUMIFS('Source'!$D:$D,'Source'!$A:$A,"155138 לקוח אינטרנט",'Source'!$B:$B,$A147)</f>
        <v>7</v>
      </c>
      <c r="D147" s="8" t="n">
        <f aca="false">SUMIFS('Source'!$F:$F,'Source'!$A:$A,"155138 לקוח אינטרנט",'Source'!$B:$B,$A147)</f>
        <v>11</v>
      </c>
      <c r="E147" s="8" t="n">
        <f aca="false">D147*$J$5</f>
        <v>13.8947368421053</v>
      </c>
      <c r="F147" s="8" t="n">
        <f aca="false">E147-C147</f>
        <v>6.89473684210526</v>
      </c>
      <c r="G147" s="9" t="n">
        <f aca="false">IF(AND(C147=0,E147=0),0,IF(C147=0,"New",(E147-C147)/C147))</f>
        <v>0.984962406015037</v>
      </c>
      <c r="H147" s="8" t="n">
        <f aca="false">SUMIFS('Source'!$E:$E,'Source'!$A:$A,"155138 לקוח אינטרנט",'Source'!$B:$B,$A147)</f>
        <v>2187.78</v>
      </c>
      <c r="I147" s="8" t="n">
        <f aca="false">SUMIFS('Source'!$G:$G,'Source'!$A:$A,"155138 לקוח אינטרנט",'Source'!$B:$B,$A147)</f>
        <v>3592.34</v>
      </c>
      <c r="J147" s="8" t="n">
        <f aca="false">I147*$J$5</f>
        <v>4537.69263157895</v>
      </c>
      <c r="K147" s="8" t="n">
        <f aca="false">J147-H147</f>
        <v>2349.91263157895</v>
      </c>
      <c r="L147" s="9" t="n">
        <f aca="false">IF(AND(H147=0,J147=0),0,IF(H147=0,"New",(J147-H147)/H147))</f>
        <v>1.07410828857515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239</v>
      </c>
      <c r="B148" s="7" t="str">
        <f aca="false">IFERROR(INDEX('Source'!$C:$C,MATCH($A148,'Source'!$B:$B,0)),"")</f>
        <v>חגורת בטן לנורבגיה</v>
      </c>
      <c r="C148" s="8" t="n">
        <f aca="false">SUMIFS('Source'!$D:$D,'Source'!$A:$A,"155138 לקוח אינטרנט",'Source'!$B:$B,$A148)</f>
        <v>4</v>
      </c>
      <c r="D148" s="8" t="n">
        <f aca="false">SUMIFS('Source'!$F:$F,'Source'!$A:$A,"155138 לקוח אינטרנט",'Source'!$B:$B,$A148)</f>
        <v>0</v>
      </c>
      <c r="E148" s="8" t="n">
        <f aca="false">D148*$J$5</f>
        <v>0</v>
      </c>
      <c r="F148" s="8" t="n">
        <f aca="false">E148-C148</f>
        <v>-4</v>
      </c>
      <c r="G148" s="9" t="n">
        <f aca="false">IF(AND(C148=0,E148=0),0,IF(C148=0,"New",(E148-C148)/C148))</f>
        <v>-1</v>
      </c>
      <c r="H148" s="8" t="n">
        <f aca="false">SUMIFS('Source'!$E:$E,'Source'!$A:$A,"155138 לקוח אינטרנט",'Source'!$B:$B,$A148)</f>
        <v>1404.01</v>
      </c>
      <c r="I148" s="8" t="n">
        <f aca="false">SUMIFS('Source'!$G:$G,'Source'!$A:$A,"155138 לקוח אינטרנט",'Source'!$B:$B,$A148)</f>
        <v>0</v>
      </c>
      <c r="J148" s="8" t="n">
        <f aca="false">I148*$J$5</f>
        <v>0</v>
      </c>
      <c r="K148" s="8" t="n">
        <f aca="false">J148-H148</f>
        <v>-1404.01</v>
      </c>
      <c r="L148" s="9" t="n">
        <f aca="false">IF(AND(H148=0,J148=0),0,IF(H148=0,"New",(J148-H148)/H148))</f>
        <v>-1</v>
      </c>
      <c r="M148" s="7" t="str">
        <f aca="false">IF(AND(OR(C148&lt;&gt;0,H148&lt;&gt;0),D148=0,I148=0),"DROP",IF(AND(OR(D148&lt;&gt;0,I148&lt;&gt;0),C148=0,H148=0),"NEW",""))</f>
        <v>DROP</v>
      </c>
    </row>
    <row r="149" customFormat="false" ht="15" hidden="false" customHeight="false" outlineLevel="0" collapsed="false">
      <c r="A149" s="7" t="s">
        <v>240</v>
      </c>
      <c r="B149" s="7" t="str">
        <f aca="false">IFERROR(INDEX('Source'!$C:$C,MATCH($A149,'Source'!$B:$B,0)),"")</f>
        <v>מגן קרסול ימין SC35</v>
      </c>
      <c r="C149" s="8" t="n">
        <f aca="false">SUMIFS('Source'!$D:$D,'Source'!$A:$A,"155138 לקוח אינטרנט",'Source'!$B:$B,$A149)</f>
        <v>19</v>
      </c>
      <c r="D149" s="8" t="n">
        <f aca="false">SUMIFS('Source'!$F:$F,'Source'!$A:$A,"155138 לקוח אינטרנט",'Source'!$B:$B,$A149)</f>
        <v>8</v>
      </c>
      <c r="E149" s="8" t="n">
        <f aca="false">D149*$J$5</f>
        <v>10.1052631578947</v>
      </c>
      <c r="F149" s="8" t="n">
        <f aca="false">E149-C149</f>
        <v>-8.89473684210526</v>
      </c>
      <c r="G149" s="9" t="n">
        <f aca="false">IF(AND(C149=0,E149=0),0,IF(C149=0,"New",(E149-C149)/C149))</f>
        <v>-0.46814404432133</v>
      </c>
      <c r="H149" s="8" t="n">
        <f aca="false">SUMIFS('Source'!$E:$E,'Source'!$A:$A,"155138 לקוח אינטרנט",'Source'!$B:$B,$A149)</f>
        <v>2558.22</v>
      </c>
      <c r="I149" s="8" t="n">
        <f aca="false">SUMIFS('Source'!$G:$G,'Source'!$A:$A,"155138 לקוח אינטרנט",'Source'!$B:$B,$A149)</f>
        <v>1168.91</v>
      </c>
      <c r="J149" s="8" t="n">
        <f aca="false">I149*$J$5</f>
        <v>1476.51789473684</v>
      </c>
      <c r="K149" s="8" t="n">
        <f aca="false">J149-H149</f>
        <v>-1081.70210526316</v>
      </c>
      <c r="L149" s="9" t="n">
        <f aca="false">IF(AND(H149=0,J149=0),0,IF(H149=0,"New",(J149-H149)/H149))</f>
        <v>-0.422833886555166</v>
      </c>
      <c r="M149" s="7" t="str">
        <f aca="false">IF(AND(OR(C149&lt;&gt;0,H149&lt;&gt;0),D149=0,I149=0),"DROP",IF(AND(OR(D149&lt;&gt;0,I149&lt;&gt;0),C149=0,H149=0),"NEW",""))</f>
        <v/>
      </c>
    </row>
    <row r="150" customFormat="false" ht="15" hidden="false" customHeight="false" outlineLevel="0" collapsed="false">
      <c r="A150" s="7" t="s">
        <v>241</v>
      </c>
      <c r="B150" s="7" t="str">
        <f aca="false">IFERROR(INDEX('Source'!$C:$C,MATCH($A150,'Source'!$B:$B,0)),"")</f>
        <v>מגן ברך משופר עם צ</v>
      </c>
      <c r="C150" s="8" t="n">
        <f aca="false">SUMIFS('Source'!$D:$D,'Source'!$A:$A,"155138 לקוח אינטרנט",'Source'!$B:$B,$A150)</f>
        <v>0</v>
      </c>
      <c r="D150" s="8" t="n">
        <f aca="false">SUMIFS('Source'!$F:$F,'Source'!$A:$A,"155138 לקוח אינטרנט",'Source'!$B:$B,$A150)</f>
        <v>2</v>
      </c>
      <c r="E150" s="8" t="n">
        <f aca="false">D150*$J$5</f>
        <v>2.52631578947368</v>
      </c>
      <c r="F150" s="8" t="n">
        <f aca="false">E150-C150</f>
        <v>2.52631578947368</v>
      </c>
      <c r="G150" s="9" t="str">
        <f aca="false">IF(AND(C150=0,E150=0),0,IF(C150=0,"New",(E150-C150)/C150))</f>
        <v>New</v>
      </c>
      <c r="H150" s="8" t="n">
        <f aca="false">SUMIFS('Source'!$E:$E,'Source'!$A:$A,"155138 לקוח אינטרנט",'Source'!$B:$B,$A150)</f>
        <v>0</v>
      </c>
      <c r="I150" s="8" t="n">
        <f aca="false">SUMIFS('Source'!$G:$G,'Source'!$A:$A,"155138 לקוח אינטרנט",'Source'!$B:$B,$A150)</f>
        <v>1384.59</v>
      </c>
      <c r="J150" s="8" t="n">
        <f aca="false">I150*$J$5</f>
        <v>1748.95578947368</v>
      </c>
      <c r="K150" s="8" t="n">
        <f aca="false">J150-H150</f>
        <v>1748.95578947368</v>
      </c>
      <c r="L150" s="9" t="str">
        <f aca="false">IF(AND(H150=0,J150=0),0,IF(H150=0,"New",(J150-H150)/H150))</f>
        <v>New</v>
      </c>
      <c r="M150" s="7" t="str">
        <f aca="false">IF(AND(OR(C150&lt;&gt;0,H150&lt;&gt;0),D150=0,I150=0),"DROP",IF(AND(OR(D150&lt;&gt;0,I150&lt;&gt;0),C150=0,H150=0),"NEW",""))</f>
        <v>NEW</v>
      </c>
    </row>
    <row r="151" customFormat="false" ht="15" hidden="false" customHeight="false" outlineLevel="0" collapsed="false">
      <c r="A151" s="7" t="s">
        <v>242</v>
      </c>
      <c r="B151" s="7" t="str">
        <f aca="false">IFERROR(INDEX('Source'!$C:$C,MATCH($A151,'Source'!$B:$B,0)),"")</f>
        <v>רצועות פיקה לברך</v>
      </c>
      <c r="C151" s="8" t="n">
        <f aca="false">SUMIFS('Source'!$D:$D,'Source'!$A:$A,"155138 לקוח אינטרנט",'Source'!$B:$B,$A151)</f>
        <v>20</v>
      </c>
      <c r="D151" s="8" t="n">
        <f aca="false">SUMIFS('Source'!$F:$F,'Source'!$A:$A,"155138 לקוח אינטרנט",'Source'!$B:$B,$A151)</f>
        <v>34</v>
      </c>
      <c r="E151" s="8" t="n">
        <f aca="false">D151*$J$5</f>
        <v>42.9473684210526</v>
      </c>
      <c r="F151" s="8" t="n">
        <f aca="false">E151-C151</f>
        <v>22.9473684210526</v>
      </c>
      <c r="G151" s="9" t="n">
        <f aca="false">IF(AND(C151=0,E151=0),0,IF(C151=0,"New",(E151-C151)/C151))</f>
        <v>1.14736842105263</v>
      </c>
      <c r="H151" s="8" t="n">
        <f aca="false">SUMIFS('Source'!$E:$E,'Source'!$A:$A,"155138 לקוח אינטרנט",'Source'!$B:$B,$A151)</f>
        <v>1809.11</v>
      </c>
      <c r="I151" s="8" t="n">
        <f aca="false">SUMIFS('Source'!$G:$G,'Source'!$A:$A,"155138 לקוח אינטרנט",'Source'!$B:$B,$A151)</f>
        <v>3139.12</v>
      </c>
      <c r="J151" s="8" t="n">
        <f aca="false">I151*$J$5</f>
        <v>3965.20421052632</v>
      </c>
      <c r="K151" s="8" t="n">
        <f aca="false">J151-H151</f>
        <v>2156.09421052632</v>
      </c>
      <c r="L151" s="9" t="n">
        <f aca="false">IF(AND(H151=0,J151=0),0,IF(H151=0,"New",(J151-H151)/H151))</f>
        <v>1.19179829337426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243</v>
      </c>
      <c r="B152" s="7" t="str">
        <f aca="false">IFERROR(INDEX('Source'!$C:$C,MATCH($A152,'Source'!$B:$B,0)),"")</f>
        <v>מגן ברך סיליקון - אנטומיק</v>
      </c>
      <c r="C152" s="8" t="n">
        <f aca="false">SUMIFS('Source'!$D:$D,'Source'!$A:$A,"155138 לקוח אינטרנט",'Source'!$B:$B,$A152)</f>
        <v>9</v>
      </c>
      <c r="D152" s="8" t="n">
        <f aca="false">SUMIFS('Source'!$F:$F,'Source'!$A:$A,"155138 לקוח אינטרנט",'Source'!$B:$B,$A152)</f>
        <v>7</v>
      </c>
      <c r="E152" s="8" t="n">
        <f aca="false">D152*$J$5</f>
        <v>8.84210526315789</v>
      </c>
      <c r="F152" s="8" t="n">
        <f aca="false">E152-C152</f>
        <v>-0.157894736842106</v>
      </c>
      <c r="G152" s="9" t="n">
        <f aca="false">IF(AND(C152=0,E152=0),0,IF(C152=0,"New",(E152-C152)/C152))</f>
        <v>-0.0175438596491229</v>
      </c>
      <c r="H152" s="8" t="n">
        <f aca="false">SUMIFS('Source'!$E:$E,'Source'!$A:$A,"155138 לקוח אינטרנט",'Source'!$B:$B,$A152)</f>
        <v>2960.06</v>
      </c>
      <c r="I152" s="8" t="n">
        <f aca="false">SUMIFS('Source'!$G:$G,'Source'!$A:$A,"155138 לקוח אינטרנט",'Source'!$B:$B,$A152)</f>
        <v>1638.38</v>
      </c>
      <c r="J152" s="8" t="n">
        <f aca="false">I152*$J$5</f>
        <v>2069.53263157895</v>
      </c>
      <c r="K152" s="8" t="n">
        <f aca="false">J152-H152</f>
        <v>-890.527368421052</v>
      </c>
      <c r="L152" s="9" t="n">
        <f aca="false">IF(AND(H152=0,J152=0),0,IF(H152=0,"New",(J152-H152)/H152))</f>
        <v>-0.300847742417739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244</v>
      </c>
      <c r="B153" s="7" t="str">
        <f aca="false">IFERROR(INDEX('Source'!$C:$C,MATCH($A153,'Source'!$B:$B,0)),"")</f>
        <v>מתלה יד + קיבוע מרפק</v>
      </c>
      <c r="C153" s="8" t="n">
        <f aca="false">SUMIFS('Source'!$D:$D,'Source'!$A:$A,"155138 לקוח אינטרנט",'Source'!$B:$B,$A153)</f>
        <v>23</v>
      </c>
      <c r="D153" s="8" t="n">
        <f aca="false">SUMIFS('Source'!$F:$F,'Source'!$A:$A,"155138 לקוח אינטרנט",'Source'!$B:$B,$A153)</f>
        <v>14</v>
      </c>
      <c r="E153" s="8" t="n">
        <f aca="false">D153*$J$5</f>
        <v>17.6842105263158</v>
      </c>
      <c r="F153" s="8" t="n">
        <f aca="false">E153-C153</f>
        <v>-5.31578947368421</v>
      </c>
      <c r="G153" s="9" t="n">
        <f aca="false">IF(AND(C153=0,E153=0),0,IF(C153=0,"New",(E153-C153)/C153))</f>
        <v>-0.231121281464531</v>
      </c>
      <c r="H153" s="8" t="n">
        <f aca="false">SUMIFS('Source'!$E:$E,'Source'!$A:$A,"155138 לקוח אינטרנט",'Source'!$B:$B,$A153)</f>
        <v>3618.72</v>
      </c>
      <c r="I153" s="8" t="n">
        <f aca="false">SUMIFS('Source'!$G:$G,'Source'!$A:$A,"155138 לקוח אינטרנט",'Source'!$B:$B,$A153)</f>
        <v>2309.85</v>
      </c>
      <c r="J153" s="8" t="n">
        <f aca="false">I153*$J$5</f>
        <v>2917.70526315789</v>
      </c>
      <c r="K153" s="8" t="n">
        <f aca="false">J153-H153</f>
        <v>-701.014736842105</v>
      </c>
      <c r="L153" s="9" t="n">
        <f aca="false">IF(AND(H153=0,J153=0),0,IF(H153=0,"New",(J153-H153)/H153))</f>
        <v>-0.193718977108509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245</v>
      </c>
      <c r="B154" s="7" t="str">
        <f aca="false">IFERROR(INDEX('Source'!$C:$C,MATCH($A154,'Source'!$B:$B,0)),"")</f>
        <v>חבק טניס</v>
      </c>
      <c r="C154" s="8" t="n">
        <f aca="false">SUMIFS('Source'!$D:$D,'Source'!$A:$A,"155138 לקוח אינטרנט",'Source'!$B:$B,$A154)</f>
        <v>177</v>
      </c>
      <c r="D154" s="8" t="n">
        <f aca="false">SUMIFS('Source'!$F:$F,'Source'!$A:$A,"155138 לקוח אינטרנט",'Source'!$B:$B,$A154)</f>
        <v>151</v>
      </c>
      <c r="E154" s="8" t="n">
        <f aca="false">D154*$J$5</f>
        <v>190.736842105263</v>
      </c>
      <c r="F154" s="8" t="n">
        <f aca="false">E154-C154</f>
        <v>13.7368421052632</v>
      </c>
      <c r="G154" s="9" t="n">
        <f aca="false">IF(AND(C154=0,E154=0),0,IF(C154=0,"New",(E154-C154)/C154))</f>
        <v>0.0776092774308653</v>
      </c>
      <c r="H154" s="8" t="n">
        <f aca="false">SUMIFS('Source'!$E:$E,'Source'!$A:$A,"155138 לקוח אינטרנט",'Source'!$B:$B,$A154)</f>
        <v>11579.94</v>
      </c>
      <c r="I154" s="8" t="n">
        <f aca="false">SUMIFS('Source'!$G:$G,'Source'!$A:$A,"155138 לקוח אינטרנט",'Source'!$B:$B,$A154)</f>
        <v>10272.38</v>
      </c>
      <c r="J154" s="8" t="n">
        <f aca="false">I154*$J$5</f>
        <v>12975.6378947368</v>
      </c>
      <c r="K154" s="8" t="n">
        <f aca="false">J154-H154</f>
        <v>1395.69789473684</v>
      </c>
      <c r="L154" s="9" t="n">
        <f aca="false">IF(AND(H154=0,J154=0),0,IF(H154=0,"New",(J154-H154)/H154))</f>
        <v>0.120527212985287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246</v>
      </c>
      <c r="B155" s="7" t="str">
        <f aca="false">IFERROR(INDEX('Source'!$C:$C,MATCH($A155,'Source'!$B:$B,0)),"")</f>
        <v>כפפת אגודל לחץ</v>
      </c>
      <c r="C155" s="8" t="n">
        <f aca="false">SUMIFS('Source'!$D:$D,'Source'!$A:$A,"155138 לקוח אינטרנט",'Source'!$B:$B,$A155)</f>
        <v>67</v>
      </c>
      <c r="D155" s="8" t="n">
        <f aca="false">SUMIFS('Source'!$F:$F,'Source'!$A:$A,"155138 לקוח אינטרנט",'Source'!$B:$B,$A155)</f>
        <v>81</v>
      </c>
      <c r="E155" s="8" t="n">
        <f aca="false">D155*$J$5</f>
        <v>102.315789473684</v>
      </c>
      <c r="F155" s="8" t="n">
        <f aca="false">E155-C155</f>
        <v>35.3157894736842</v>
      </c>
      <c r="G155" s="9" t="n">
        <f aca="false">IF(AND(C155=0,E155=0),0,IF(C155=0,"New",(E155-C155)/C155))</f>
        <v>0.527101335428122</v>
      </c>
      <c r="H155" s="8" t="n">
        <f aca="false">SUMIFS('Source'!$E:$E,'Source'!$A:$A,"155138 לקוח אינטרנט",'Source'!$B:$B,$A155)</f>
        <v>4170.49</v>
      </c>
      <c r="I155" s="8" t="n">
        <f aca="false">SUMIFS('Source'!$G:$G,'Source'!$A:$A,"155138 לקוח אינטרנט",'Source'!$B:$B,$A155)</f>
        <v>5475.48</v>
      </c>
      <c r="J155" s="8" t="n">
        <f aca="false">I155*$J$5</f>
        <v>6916.39578947368</v>
      </c>
      <c r="K155" s="8" t="n">
        <f aca="false">J155-H155</f>
        <v>2745.90578947368</v>
      </c>
      <c r="L155" s="9" t="n">
        <f aca="false">IF(AND(H155=0,J155=0),0,IF(H155=0,"New",(J155-H155)/H155))</f>
        <v>0.6584132294943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247</v>
      </c>
      <c r="B156" s="7" t="str">
        <f aca="false">IFERROR(INDEX('Source'!$C:$C,MATCH($A156,'Source'!$B:$B,0)),"")</f>
        <v>ח.בטן 25 ס'מ</v>
      </c>
      <c r="C156" s="8" t="n">
        <f aca="false">SUMIFS('Source'!$D:$D,'Source'!$A:$A,"155138 לקוח אינטרנט",'Source'!$B:$B,$A156)</f>
        <v>11</v>
      </c>
      <c r="D156" s="8" t="n">
        <f aca="false">SUMIFS('Source'!$F:$F,'Source'!$A:$A,"155138 לקוח אינטרנט",'Source'!$B:$B,$A156)</f>
        <v>5</v>
      </c>
      <c r="E156" s="8" t="n">
        <f aca="false">D156*$J$5</f>
        <v>6.31578947368421</v>
      </c>
      <c r="F156" s="8" t="n">
        <f aca="false">E156-C156</f>
        <v>-4.68421052631579</v>
      </c>
      <c r="G156" s="9" t="n">
        <f aca="false">IF(AND(C156=0,E156=0),0,IF(C156=0,"New",(E156-C156)/C156))</f>
        <v>-0.425837320574163</v>
      </c>
      <c r="H156" s="8" t="n">
        <f aca="false">SUMIFS('Source'!$E:$E,'Source'!$A:$A,"155138 לקוח אינטרנט",'Source'!$B:$B,$A156)</f>
        <v>2217.55</v>
      </c>
      <c r="I156" s="8" t="n">
        <f aca="false">SUMIFS('Source'!$G:$G,'Source'!$A:$A,"155138 לקוח אינטרנט",'Source'!$B:$B,$A156)</f>
        <v>915.71</v>
      </c>
      <c r="J156" s="8" t="n">
        <f aca="false">I156*$J$5</f>
        <v>1156.68631578947</v>
      </c>
      <c r="K156" s="8" t="n">
        <f aca="false">J156-H156</f>
        <v>-1060.86368421053</v>
      </c>
      <c r="L156" s="9" t="n">
        <f aca="false">IF(AND(H156=0,J156=0),0,IF(H156=0,"New",(J156-H156)/H156))</f>
        <v>-0.47839448229376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248</v>
      </c>
      <c r="B157" s="7" t="str">
        <f aca="false">IFERROR(INDEX('Source'!$C:$C,MATCH($A157,'Source'!$B:$B,0)),"")</f>
        <v>מגן לכתף ימין/שמאל</v>
      </c>
      <c r="C157" s="8" t="n">
        <f aca="false">SUMIFS('Source'!$D:$D,'Source'!$A:$A,"155138 לקוח אינטרנט",'Source'!$B:$B,$A157)</f>
        <v>13</v>
      </c>
      <c r="D157" s="8" t="n">
        <f aca="false">SUMIFS('Source'!$F:$F,'Source'!$A:$A,"155138 לקוח אינטרנט",'Source'!$B:$B,$A157)</f>
        <v>17</v>
      </c>
      <c r="E157" s="8" t="n">
        <f aca="false">D157*$J$5</f>
        <v>21.4736842105263</v>
      </c>
      <c r="F157" s="8" t="n">
        <f aca="false">E157-C157</f>
        <v>8.47368421052632</v>
      </c>
      <c r="G157" s="9" t="n">
        <f aca="false">IF(AND(C157=0,E157=0),0,IF(C157=0,"New",(E157-C157)/C157))</f>
        <v>0.651821862348178</v>
      </c>
      <c r="H157" s="8" t="n">
        <f aca="false">SUMIFS('Source'!$E:$E,'Source'!$A:$A,"155138 לקוח אינטרנט",'Source'!$B:$B,$A157)</f>
        <v>4112.05</v>
      </c>
      <c r="I157" s="8" t="n">
        <f aca="false">SUMIFS('Source'!$G:$G,'Source'!$A:$A,"155138 לקוח אינטרנט",'Source'!$B:$B,$A157)</f>
        <v>5388.52</v>
      </c>
      <c r="J157" s="8" t="n">
        <f aca="false">I157*$J$5</f>
        <v>6806.55157894737</v>
      </c>
      <c r="K157" s="8" t="n">
        <f aca="false">J157-H157</f>
        <v>2694.50157894737</v>
      </c>
      <c r="L157" s="9" t="n">
        <f aca="false">IF(AND(H157=0,J157=0),0,IF(H157=0,"New",(J157-H157)/H157))</f>
        <v>0.655269653566316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249</v>
      </c>
      <c r="B158" s="7" t="str">
        <f aca="false">IFERROR(INDEX('Source'!$C:$C,MATCH($A158,'Source'!$B:$B,0)),"")</f>
        <v>חגורת שבר לצד שמאל</v>
      </c>
      <c r="C158" s="8" t="n">
        <f aca="false">SUMIFS('Source'!$D:$D,'Source'!$A:$A,"155138 לקוח אינטרנט",'Source'!$B:$B,$A158)</f>
        <v>5</v>
      </c>
      <c r="D158" s="8" t="n">
        <f aca="false">SUMIFS('Source'!$F:$F,'Source'!$A:$A,"155138 לקוח אינטרנט",'Source'!$B:$B,$A158)</f>
        <v>1</v>
      </c>
      <c r="E158" s="8" t="n">
        <f aca="false">D158*$J$5</f>
        <v>1.26315789473684</v>
      </c>
      <c r="F158" s="8" t="n">
        <f aca="false">E158-C158</f>
        <v>-3.73684210526316</v>
      </c>
      <c r="G158" s="9" t="n">
        <f aca="false">IF(AND(C158=0,E158=0),0,IF(C158=0,"New",(E158-C158)/C158))</f>
        <v>-0.747368421052632</v>
      </c>
      <c r="H158" s="8" t="n">
        <f aca="false">SUMIFS('Source'!$E:$E,'Source'!$A:$A,"155138 לקוח אינטרנט",'Source'!$B:$B,$A158)</f>
        <v>1575.88</v>
      </c>
      <c r="I158" s="8" t="n">
        <f aca="false">SUMIFS('Source'!$G:$G,'Source'!$A:$A,"155138 לקוח אינטרנט",'Source'!$B:$B,$A158)</f>
        <v>305.01</v>
      </c>
      <c r="J158" s="8" t="n">
        <f aca="false">I158*$J$5</f>
        <v>385.275789473684</v>
      </c>
      <c r="K158" s="8" t="n">
        <f aca="false">J158-H158</f>
        <v>-1190.60421052632</v>
      </c>
      <c r="L158" s="9" t="n">
        <f aca="false">IF(AND(H158=0,J158=0),0,IF(H158=0,"New",(J158-H158)/H158))</f>
        <v>-0.755517051124652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250</v>
      </c>
      <c r="B159" s="7" t="str">
        <f aca="false">IFERROR(INDEX('Source'!$C:$C,MATCH($A159,'Source'!$B:$B,0)),"")</f>
        <v>מדרסי ג'ל וורק</v>
      </c>
      <c r="C159" s="8" t="n">
        <f aca="false">SUMIFS('Source'!$D:$D,'Source'!$A:$A,"155138 לקוח אינטרנט",'Source'!$B:$B,$A159)</f>
        <v>17</v>
      </c>
      <c r="D159" s="8" t="n">
        <f aca="false">SUMIFS('Source'!$F:$F,'Source'!$A:$A,"155138 לקוח אינטרנט",'Source'!$B:$B,$A159)</f>
        <v>10</v>
      </c>
      <c r="E159" s="8" t="n">
        <f aca="false">D159*$J$5</f>
        <v>12.6315789473684</v>
      </c>
      <c r="F159" s="8" t="n">
        <f aca="false">E159-C159</f>
        <v>-4.36842105263158</v>
      </c>
      <c r="G159" s="9" t="n">
        <f aca="false">IF(AND(C159=0,E159=0),0,IF(C159=0,"New",(E159-C159)/C159))</f>
        <v>-0.256965944272446</v>
      </c>
      <c r="H159" s="8" t="n">
        <f aca="false">SUMIFS('Source'!$E:$E,'Source'!$A:$A,"155138 לקוח אינטרנט",'Source'!$B:$B,$A159)</f>
        <v>3236.36</v>
      </c>
      <c r="I159" s="8" t="n">
        <f aca="false">SUMIFS('Source'!$G:$G,'Source'!$A:$A,"155138 לקוח אינטרנט",'Source'!$B:$B,$A159)</f>
        <v>2003.92</v>
      </c>
      <c r="J159" s="8" t="n">
        <f aca="false">I159*$J$5</f>
        <v>2531.26736842105</v>
      </c>
      <c r="K159" s="8" t="n">
        <f aca="false">J159-H159</f>
        <v>-705.092631578948</v>
      </c>
      <c r="L159" s="9" t="n">
        <f aca="false">IF(AND(H159=0,J159=0),0,IF(H159=0,"New",(J159-H159)/H159))</f>
        <v>-0.217865945561973</v>
      </c>
      <c r="M159" s="7" t="str">
        <f aca="false">IF(AND(OR(C159&lt;&gt;0,H159&lt;&gt;0),D159=0,I159=0),"DROP",IF(AND(OR(D159&lt;&gt;0,I159&lt;&gt;0),C159=0,H159=0),"NEW",""))</f>
        <v/>
      </c>
    </row>
    <row r="160" customFormat="false" ht="15" hidden="false" customHeight="false" outlineLevel="0" collapsed="false">
      <c r="A160" s="7" t="s">
        <v>251</v>
      </c>
      <c r="B160" s="7" t="str">
        <f aca="false">IFERROR(INDEX('Source'!$C:$C,MATCH($A160,'Source'!$B:$B,0)),"")</f>
        <v>גרביים עם עקב ג'ל</v>
      </c>
      <c r="C160" s="8" t="n">
        <f aca="false">SUMIFS('Source'!$D:$D,'Source'!$A:$A,"155138 לקוח אינטרנט",'Source'!$B:$B,$A160)</f>
        <v>17</v>
      </c>
      <c r="D160" s="8" t="n">
        <f aca="false">SUMIFS('Source'!$F:$F,'Source'!$A:$A,"155138 לקוח אינטרנט",'Source'!$B:$B,$A160)</f>
        <v>35</v>
      </c>
      <c r="E160" s="8" t="n">
        <f aca="false">D160*$J$5</f>
        <v>44.2105263157895</v>
      </c>
      <c r="F160" s="8" t="n">
        <f aca="false">E160-C160</f>
        <v>27.2105263157895</v>
      </c>
      <c r="G160" s="9" t="n">
        <f aca="false">IF(AND(C160=0,E160=0),0,IF(C160=0,"New",(E160-C160)/C160))</f>
        <v>1.60061919504644</v>
      </c>
      <c r="H160" s="8" t="n">
        <f aca="false">SUMIFS('Source'!$E:$E,'Source'!$A:$A,"155138 לקוח אינטרנט",'Source'!$B:$B,$A160)</f>
        <v>1083.19</v>
      </c>
      <c r="I160" s="8" t="n">
        <f aca="false">SUMIFS('Source'!$G:$G,'Source'!$A:$A,"155138 לקוח אינטרנט",'Source'!$B:$B,$A160)</f>
        <v>2305.45</v>
      </c>
      <c r="J160" s="8" t="n">
        <f aca="false">I160*$J$5</f>
        <v>2912.14736842105</v>
      </c>
      <c r="K160" s="8" t="n">
        <f aca="false">J160-H160</f>
        <v>1828.95736842105</v>
      </c>
      <c r="L160" s="9" t="n">
        <f aca="false">IF(AND(H160=0,J160=0),0,IF(H160=0,"New",(J160-H160)/H160))</f>
        <v>1.68849174052664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252</v>
      </c>
      <c r="B161" s="7" t="str">
        <f aca="false">IFERROR(INDEX('Source'!$C:$C,MATCH($A161,'Source'!$B:$B,0)),"")</f>
        <v>תומך ברך גנושילד</v>
      </c>
      <c r="C161" s="8" t="n">
        <f aca="false">SUMIFS('Source'!$D:$D,'Source'!$A:$A,"155138 לקוח אינטרנט",'Source'!$B:$B,$A161)</f>
        <v>3</v>
      </c>
      <c r="D161" s="8" t="n">
        <f aca="false">SUMIFS('Source'!$F:$F,'Source'!$A:$A,"155138 לקוח אינטרנט",'Source'!$B:$B,$A161)</f>
        <v>6</v>
      </c>
      <c r="E161" s="8" t="n">
        <f aca="false">D161*$J$5</f>
        <v>7.57894736842105</v>
      </c>
      <c r="F161" s="8" t="n">
        <f aca="false">E161-C161</f>
        <v>4.57894736842105</v>
      </c>
      <c r="G161" s="9" t="n">
        <f aca="false">IF(AND(C161=0,E161=0),0,IF(C161=0,"New",(E161-C161)/C161))</f>
        <v>1.52631578947368</v>
      </c>
      <c r="H161" s="8" t="n">
        <f aca="false">SUMIFS('Source'!$E:$E,'Source'!$A:$A,"155138 לקוח אינטרנט",'Source'!$B:$B,$A161)</f>
        <v>953.18</v>
      </c>
      <c r="I161" s="8" t="n">
        <f aca="false">SUMIFS('Source'!$G:$G,'Source'!$A:$A,"155138 לקוח אינטרנט",'Source'!$B:$B,$A161)</f>
        <v>2173.24</v>
      </c>
      <c r="J161" s="8" t="n">
        <f aca="false">I161*$J$5</f>
        <v>2745.14526315789</v>
      </c>
      <c r="K161" s="8" t="n">
        <f aca="false">J161-H161</f>
        <v>1791.96526315789</v>
      </c>
      <c r="L161" s="9" t="n">
        <f aca="false">IF(AND(H161=0,J161=0),0,IF(H161=0,"New",(J161-H161)/H161))</f>
        <v>1.87998621787899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253</v>
      </c>
      <c r="B162" s="7" t="str">
        <f aca="false">IFERROR(INDEX('Source'!$C:$C,MATCH($A162,'Source'!$B:$B,0)),"")</f>
        <v>סד לאגודל</v>
      </c>
      <c r="C162" s="8" t="n">
        <f aca="false">SUMIFS('Source'!$D:$D,'Source'!$A:$A,"155138 לקוח אינטרנט",'Source'!$B:$B,$A162)</f>
        <v>78</v>
      </c>
      <c r="D162" s="8" t="n">
        <f aca="false">SUMIFS('Source'!$F:$F,'Source'!$A:$A,"155138 לקוח אינטרנט",'Source'!$B:$B,$A162)</f>
        <v>90</v>
      </c>
      <c r="E162" s="8" t="n">
        <f aca="false">D162*$J$5</f>
        <v>113.684210526316</v>
      </c>
      <c r="F162" s="8" t="n">
        <f aca="false">E162-C162</f>
        <v>35.6842105263158</v>
      </c>
      <c r="G162" s="9" t="n">
        <f aca="false">IF(AND(C162=0,E162=0),0,IF(C162=0,"New",(E162-C162)/C162))</f>
        <v>0.45748987854251</v>
      </c>
      <c r="H162" s="8" t="n">
        <f aca="false">SUMIFS('Source'!$E:$E,'Source'!$A:$A,"155138 לקוח אינטרנט",'Source'!$B:$B,$A162)</f>
        <v>5485.72</v>
      </c>
      <c r="I162" s="8" t="n">
        <f aca="false">SUMIFS('Source'!$G:$G,'Source'!$A:$A,"155138 לקוח אינטרנט",'Source'!$B:$B,$A162)</f>
        <v>6704.59</v>
      </c>
      <c r="J162" s="8" t="n">
        <f aca="false">I162*$J$5</f>
        <v>8468.95578947368</v>
      </c>
      <c r="K162" s="8" t="n">
        <f aca="false">J162-H162</f>
        <v>2983.23578947368</v>
      </c>
      <c r="L162" s="9" t="n">
        <f aca="false">IF(AND(H162=0,J162=0),0,IF(H162=0,"New",(J162-H162)/H162))</f>
        <v>0.543818457645247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254</v>
      </c>
      <c r="B163" s="7" t="str">
        <f aca="false">IFERROR(INDEX('Source'!$C:$C,MATCH($A163,'Source'!$B:$B,0)),"")</f>
        <v>גרבי חורף אנטיבקטריאלי לבן</v>
      </c>
      <c r="C163" s="8" t="n">
        <f aca="false">SUMIFS('Source'!$D:$D,'Source'!$A:$A,"155138 לקוח אינטרנט",'Source'!$B:$B,$A163)</f>
        <v>0</v>
      </c>
      <c r="D163" s="8" t="n">
        <f aca="false">SUMIFS('Source'!$F:$F,'Source'!$A:$A,"155138 לקוח אינטרנט",'Source'!$B:$B,$A163)</f>
        <v>23</v>
      </c>
      <c r="E163" s="8" t="n">
        <f aca="false">D163*$J$5</f>
        <v>29.0526315789474</v>
      </c>
      <c r="F163" s="8" t="n">
        <f aca="false">E163-C163</f>
        <v>29.0526315789474</v>
      </c>
      <c r="G163" s="9" t="str">
        <f aca="false">IF(AND(C163=0,E163=0),0,IF(C163=0,"New",(E163-C163)/C163))</f>
        <v>New</v>
      </c>
      <c r="H163" s="8" t="n">
        <f aca="false">SUMIFS('Source'!$E:$E,'Source'!$A:$A,"155138 לקוח אינטרנט",'Source'!$B:$B,$A163)</f>
        <v>0</v>
      </c>
      <c r="I163" s="8" t="n">
        <f aca="false">SUMIFS('Source'!$G:$G,'Source'!$A:$A,"155138 לקוח אינטרנט",'Source'!$B:$B,$A163)</f>
        <v>1215.53</v>
      </c>
      <c r="J163" s="8" t="n">
        <f aca="false">I163*$J$5</f>
        <v>1535.40631578947</v>
      </c>
      <c r="K163" s="8" t="n">
        <f aca="false">J163-H163</f>
        <v>1535.40631578947</v>
      </c>
      <c r="L163" s="9" t="str">
        <f aca="false">IF(AND(H163=0,J163=0),0,IF(H163=0,"New",(J163-H163)/H163))</f>
        <v>New</v>
      </c>
      <c r="M163" s="7" t="str">
        <f aca="false">IF(AND(OR(C163&lt;&gt;0,H163&lt;&gt;0),D163=0,I163=0),"DROP",IF(AND(OR(D163&lt;&gt;0,I163&lt;&gt;0),C163=0,H163=0),"NEW",""))</f>
        <v>NEW</v>
      </c>
    </row>
    <row r="164" customFormat="false" ht="15" hidden="false" customHeight="false" outlineLevel="0" collapsed="false">
      <c r="A164" s="7" t="s">
        <v>255</v>
      </c>
      <c r="B164" s="7" t="str">
        <f aca="false">IFERROR(INDEX('Source'!$C:$C,MATCH($A164,'Source'!$B:$B,0)),"")</f>
        <v>גרבי חורף אנטיבקטריאלי שחור</v>
      </c>
      <c r="C164" s="8" t="n">
        <f aca="false">SUMIFS('Source'!$D:$D,'Source'!$A:$A,"155138 לקוח אינטרנט",'Source'!$B:$B,$A164)</f>
        <v>0</v>
      </c>
      <c r="D164" s="8" t="n">
        <f aca="false">SUMIFS('Source'!$F:$F,'Source'!$A:$A,"155138 לקוח אינטרנט",'Source'!$B:$B,$A164)</f>
        <v>22</v>
      </c>
      <c r="E164" s="8" t="n">
        <f aca="false">D164*$J$5</f>
        <v>27.7894736842105</v>
      </c>
      <c r="F164" s="8" t="n">
        <f aca="false">E164-C164</f>
        <v>27.7894736842105</v>
      </c>
      <c r="G164" s="9" t="str">
        <f aca="false">IF(AND(C164=0,E164=0),0,IF(C164=0,"New",(E164-C164)/C164))</f>
        <v>New</v>
      </c>
      <c r="H164" s="8" t="n">
        <f aca="false">SUMIFS('Source'!$E:$E,'Source'!$A:$A,"155138 לקוח אינטרנט",'Source'!$B:$B,$A164)</f>
        <v>0</v>
      </c>
      <c r="I164" s="8" t="n">
        <f aca="false">SUMIFS('Source'!$G:$G,'Source'!$A:$A,"155138 לקוח אינטרנט",'Source'!$B:$B,$A164)</f>
        <v>1206.01</v>
      </c>
      <c r="J164" s="8" t="n">
        <f aca="false">I164*$J$5</f>
        <v>1523.38105263158</v>
      </c>
      <c r="K164" s="8" t="n">
        <f aca="false">J164-H164</f>
        <v>1523.38105263158</v>
      </c>
      <c r="L164" s="9" t="str">
        <f aca="false">IF(AND(H164=0,J164=0),0,IF(H164=0,"New",(J164-H164)/H164))</f>
        <v>New</v>
      </c>
      <c r="M164" s="7" t="str">
        <f aca="false">IF(AND(OR(C164&lt;&gt;0,H164&lt;&gt;0),D164=0,I164=0),"DROP",IF(AND(OR(D164&lt;&gt;0,I164&lt;&gt;0),C164=0,H164=0),"NEW",""))</f>
        <v>NEW</v>
      </c>
    </row>
    <row r="165" customFormat="false" ht="15" hidden="false" customHeight="false" outlineLevel="0" collapsed="false">
      <c r="A165" s="7" t="s">
        <v>256</v>
      </c>
      <c r="B165" s="7" t="str">
        <f aca="false">IFERROR(INDEX('Source'!$C:$C,MATCH($A165,'Source'!$B:$B,0)),"")</f>
        <v>חגורת אגן  צר מנאופרן</v>
      </c>
      <c r="C165" s="8" t="n">
        <f aca="false">SUMIFS('Source'!$D:$D,'Source'!$A:$A,"155138 לקוח אינטרנט",'Source'!$B:$B,$A165)</f>
        <v>0</v>
      </c>
      <c r="D165" s="8" t="n">
        <f aca="false">SUMIFS('Source'!$F:$F,'Source'!$A:$A,"155138 לקוח אינטרנט",'Source'!$B:$B,$A165)</f>
        <v>6</v>
      </c>
      <c r="E165" s="8" t="n">
        <f aca="false">D165*$J$5</f>
        <v>7.57894736842105</v>
      </c>
      <c r="F165" s="8" t="n">
        <f aca="false">E165-C165</f>
        <v>7.57894736842105</v>
      </c>
      <c r="G165" s="9" t="str">
        <f aca="false">IF(AND(C165=0,E165=0),0,IF(C165=0,"New",(E165-C165)/C165))</f>
        <v>New</v>
      </c>
      <c r="H165" s="8" t="n">
        <f aca="false">SUMIFS('Source'!$E:$E,'Source'!$A:$A,"155138 לקוח אינטרנט",'Source'!$B:$B,$A165)</f>
        <v>0</v>
      </c>
      <c r="I165" s="8" t="n">
        <f aca="false">SUMIFS('Source'!$G:$G,'Source'!$A:$A,"155138 לקוח אינטרנט",'Source'!$B:$B,$A165)</f>
        <v>1204.57</v>
      </c>
      <c r="J165" s="8" t="n">
        <f aca="false">I165*$J$5</f>
        <v>1521.56210526316</v>
      </c>
      <c r="K165" s="8" t="n">
        <f aca="false">J165-H165</f>
        <v>1521.56210526316</v>
      </c>
      <c r="L165" s="9" t="str">
        <f aca="false">IF(AND(H165=0,J165=0),0,IF(H165=0,"New",(J165-H165)/H165))</f>
        <v>New</v>
      </c>
      <c r="M165" s="7" t="str">
        <f aca="false">IF(AND(OR(C165&lt;&gt;0,H165&lt;&gt;0),D165=0,I165=0),"DROP",IF(AND(OR(D165&lt;&gt;0,I165&lt;&gt;0),C165=0,H165=0),"NEW",""))</f>
        <v>NEW</v>
      </c>
    </row>
    <row r="166" customFormat="false" ht="15" hidden="false" customHeight="false" outlineLevel="0" collapsed="false">
      <c r="A166" s="7" t="s">
        <v>257</v>
      </c>
      <c r="B166" s="7" t="str">
        <f aca="false">IFERROR(INDEX('Source'!$C:$C,MATCH($A166,'Source'!$B:$B,0)),"")</f>
        <v>חגורה לשבר טבור</v>
      </c>
      <c r="C166" s="8" t="n">
        <f aca="false">SUMIFS('Source'!$D:$D,'Source'!$A:$A,"155138 לקוח אינטרנט",'Source'!$B:$B,$A166)</f>
        <v>1</v>
      </c>
      <c r="D166" s="8" t="n">
        <f aca="false">SUMIFS('Source'!$F:$F,'Source'!$A:$A,"155138 לקוח אינטרנט",'Source'!$B:$B,$A166)</f>
        <v>5</v>
      </c>
      <c r="E166" s="8" t="n">
        <f aca="false">D166*$J$5</f>
        <v>6.31578947368421</v>
      </c>
      <c r="F166" s="8" t="n">
        <f aca="false">E166-C166</f>
        <v>5.31578947368421</v>
      </c>
      <c r="G166" s="9" t="n">
        <f aca="false">IF(AND(C166=0,E166=0),0,IF(C166=0,"New",(E166-C166)/C166))</f>
        <v>5.31578947368421</v>
      </c>
      <c r="H166" s="8" t="n">
        <f aca="false">SUMIFS('Source'!$E:$E,'Source'!$A:$A,"155138 לקוח אינטרנט",'Source'!$B:$B,$A166)</f>
        <v>227.05</v>
      </c>
      <c r="I166" s="8" t="n">
        <f aca="false">SUMIFS('Source'!$G:$G,'Source'!$A:$A,"155138 לקוח אינטרנט",'Source'!$B:$B,$A166)</f>
        <v>1419.05</v>
      </c>
      <c r="J166" s="8" t="n">
        <f aca="false">I166*$J$5</f>
        <v>1792.48421052632</v>
      </c>
      <c r="K166" s="8" t="n">
        <f aca="false">J166-H166</f>
        <v>1565.43421052632</v>
      </c>
      <c r="L166" s="9" t="n">
        <f aca="false">IF(AND(H166=0,J166=0),0,IF(H166=0,"New",(J166-H166)/H166))</f>
        <v>6.89466730027005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258</v>
      </c>
      <c r="B167" s="7" t="str">
        <f aca="false">IFERROR(INDEX('Source'!$C:$C,MATCH($A167,'Source'!$B:$B,0)),"")</f>
        <v>מגן מרפק SC95 XL</v>
      </c>
      <c r="C167" s="8" t="n">
        <f aca="false">SUMIFS('Source'!$D:$D,'Source'!$A:$A,"155138 לקוח אינטרנט",'Source'!$B:$B,$A167)</f>
        <v>17</v>
      </c>
      <c r="D167" s="8" t="n">
        <f aca="false">SUMIFS('Source'!$F:$F,'Source'!$A:$A,"155138 לקוח אינטרנט",'Source'!$B:$B,$A167)</f>
        <v>22</v>
      </c>
      <c r="E167" s="8" t="n">
        <f aca="false">D167*$J$5</f>
        <v>27.7894736842105</v>
      </c>
      <c r="F167" s="8" t="n">
        <f aca="false">E167-C167</f>
        <v>10.7894736842105</v>
      </c>
      <c r="G167" s="9" t="n">
        <f aca="false">IF(AND(C167=0,E167=0),0,IF(C167=0,"New",(E167-C167)/C167))</f>
        <v>0.634674922600619</v>
      </c>
      <c r="H167" s="8" t="n">
        <f aca="false">SUMIFS('Source'!$E:$E,'Source'!$A:$A,"155138 לקוח אינטרנט",'Source'!$B:$B,$A167)</f>
        <v>2215.35</v>
      </c>
      <c r="I167" s="8" t="n">
        <f aca="false">SUMIFS('Source'!$G:$G,'Source'!$A:$A,"155138 לקוח אינטרנט",'Source'!$B:$B,$A167)</f>
        <v>3405.1</v>
      </c>
      <c r="J167" s="8" t="n">
        <f aca="false">I167*$J$5</f>
        <v>4301.17894736842</v>
      </c>
      <c r="K167" s="8" t="n">
        <f aca="false">J167-H167</f>
        <v>2085.82894736842</v>
      </c>
      <c r="L167" s="9" t="n">
        <f aca="false">IF(AND(H167=0,J167=0),0,IF(H167=0,"New",(J167-H167)/H167))</f>
        <v>0.94153472244495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259</v>
      </c>
      <c r="B168" s="7" t="str">
        <f aca="false">IFERROR(INDEX('Source'!$C:$C,MATCH($A168,'Source'!$B:$B,0)),"")</f>
        <v>מגן מופק SC95</v>
      </c>
      <c r="C168" s="8" t="n">
        <f aca="false">SUMIFS('Source'!$D:$D,'Source'!$A:$A,"155138 לקוח אינטרנט",'Source'!$B:$B,$A168)</f>
        <v>13</v>
      </c>
      <c r="D168" s="8" t="n">
        <f aca="false">SUMIFS('Source'!$F:$F,'Source'!$A:$A,"155138 לקוח אינטרנט",'Source'!$B:$B,$A168)</f>
        <v>19</v>
      </c>
      <c r="E168" s="8" t="n">
        <f aca="false">D168*$J$5</f>
        <v>24</v>
      </c>
      <c r="F168" s="8" t="n">
        <f aca="false">E168-C168</f>
        <v>11</v>
      </c>
      <c r="G168" s="9" t="n">
        <f aca="false">IF(AND(C168=0,E168=0),0,IF(C168=0,"New",(E168-C168)/C168))</f>
        <v>0.846153846153846</v>
      </c>
      <c r="H168" s="8" t="n">
        <f aca="false">SUMIFS('Source'!$E:$E,'Source'!$A:$A,"155138 לקוח אינטרנט",'Source'!$B:$B,$A168)</f>
        <v>1727.35</v>
      </c>
      <c r="I168" s="8" t="n">
        <f aca="false">SUMIFS('Source'!$G:$G,'Source'!$A:$A,"155138 לקוח אינטרנט",'Source'!$B:$B,$A168)</f>
        <v>2879.92</v>
      </c>
      <c r="J168" s="8" t="n">
        <f aca="false">I168*$J$5</f>
        <v>3637.79368421053</v>
      </c>
      <c r="K168" s="8" t="n">
        <f aca="false">J168-H168</f>
        <v>1910.44368421053</v>
      </c>
      <c r="L168" s="9" t="n">
        <f aca="false">IF(AND(H168=0,J168=0),0,IF(H168=0,"New",(J168-H168)/H168))</f>
        <v>1.1059968646832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260</v>
      </c>
      <c r="B169" s="7" t="str">
        <f aca="false">IFERROR(INDEX('Source'!$C:$C,MATCH($A169,'Source'!$B:$B,0)),"")</f>
        <v>מישר כתפיים רחב+תמיכה לבית השח</v>
      </c>
      <c r="C169" s="8" t="n">
        <f aca="false">SUMIFS('Source'!$D:$D,'Source'!$A:$A,"155138 לקוח אינטרנט",'Source'!$B:$B,$A169)</f>
        <v>23</v>
      </c>
      <c r="D169" s="8" t="n">
        <f aca="false">SUMIFS('Source'!$F:$F,'Source'!$A:$A,"155138 לקוח אינטרנט",'Source'!$B:$B,$A169)</f>
        <v>24</v>
      </c>
      <c r="E169" s="8" t="n">
        <f aca="false">D169*$J$5</f>
        <v>30.3157894736842</v>
      </c>
      <c r="F169" s="8" t="n">
        <f aca="false">E169-C169</f>
        <v>7.31578947368421</v>
      </c>
      <c r="G169" s="9" t="n">
        <f aca="false">IF(AND(C169=0,E169=0),0,IF(C169=0,"New",(E169-C169)/C169))</f>
        <v>0.318077803203661</v>
      </c>
      <c r="H169" s="8" t="n">
        <f aca="false">SUMIFS('Source'!$E:$E,'Source'!$A:$A,"155138 לקוח אינטרנט",'Source'!$B:$B,$A169)</f>
        <v>7640.03</v>
      </c>
      <c r="I169" s="8" t="n">
        <f aca="false">SUMIFS('Source'!$G:$G,'Source'!$A:$A,"155138 לקוח אינטרנט",'Source'!$B:$B,$A169)</f>
        <v>8788.27</v>
      </c>
      <c r="J169" s="8" t="n">
        <f aca="false">I169*$J$5</f>
        <v>11100.9726315789</v>
      </c>
      <c r="K169" s="8" t="n">
        <f aca="false">J169-H169</f>
        <v>3460.94263157895</v>
      </c>
      <c r="L169" s="9" t="n">
        <f aca="false">IF(AND(H169=0,J169=0),0,IF(H169=0,"New",(J169-H169)/H169))</f>
        <v>0.453001183448095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261</v>
      </c>
      <c r="B170" s="7" t="str">
        <f aca="false">IFERROR(INDEX('Source'!$C:$C,MATCH($A170,'Source'!$B:$B,0)),"")</f>
        <v>רצועה לפטלה עם כרית סיליקון</v>
      </c>
      <c r="C170" s="8" t="n">
        <f aca="false">SUMIFS('Source'!$D:$D,'Source'!$A:$A,"155138 לקוח אינטרנט",'Source'!$B:$B,$A170)</f>
        <v>15</v>
      </c>
      <c r="D170" s="8" t="n">
        <f aca="false">SUMIFS('Source'!$F:$F,'Source'!$A:$A,"155138 לקוח אינטרנט",'Source'!$B:$B,$A170)</f>
        <v>22</v>
      </c>
      <c r="E170" s="8" t="n">
        <f aca="false">D170*$J$5</f>
        <v>27.7894736842105</v>
      </c>
      <c r="F170" s="8" t="n">
        <f aca="false">E170-C170</f>
        <v>12.7894736842105</v>
      </c>
      <c r="G170" s="9" t="n">
        <f aca="false">IF(AND(C170=0,E170=0),0,IF(C170=0,"New",(E170-C170)/C170))</f>
        <v>0.852631578947368</v>
      </c>
      <c r="H170" s="8" t="n">
        <f aca="false">SUMIFS('Source'!$E:$E,'Source'!$A:$A,"155138 לקוח אינטרנט",'Source'!$B:$B,$A170)</f>
        <v>2057.92</v>
      </c>
      <c r="I170" s="8" t="n">
        <f aca="false">SUMIFS('Source'!$G:$G,'Source'!$A:$A,"155138 לקוח אינטרנט",'Source'!$B:$B,$A170)</f>
        <v>3198.69</v>
      </c>
      <c r="J170" s="8" t="n">
        <f aca="false">I170*$J$5</f>
        <v>4040.45052631579</v>
      </c>
      <c r="K170" s="8" t="n">
        <f aca="false">J170-H170</f>
        <v>1982.53052631579</v>
      </c>
      <c r="L170" s="9" t="n">
        <f aca="false">IF(AND(H170=0,J170=0),0,IF(H170=0,"New",(J170-H170)/H170))</f>
        <v>0.963366178624917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262</v>
      </c>
      <c r="B171" s="7" t="str">
        <f aca="false">IFERROR(INDEX('Source'!$C:$C,MATCH($A171,'Source'!$B:$B,0)),"")</f>
        <v>צוארון ספוגי</v>
      </c>
      <c r="C171" s="8" t="n">
        <f aca="false">SUMIFS('Source'!$D:$D,'Source'!$A:$A,"155138 לקוח אינטרנט",'Source'!$B:$B,$A171)</f>
        <v>7</v>
      </c>
      <c r="D171" s="8" t="n">
        <f aca="false">SUMIFS('Source'!$F:$F,'Source'!$A:$A,"155138 לקוח אינטרנט",'Source'!$B:$B,$A171)</f>
        <v>20</v>
      </c>
      <c r="E171" s="8" t="n">
        <f aca="false">D171*$J$5</f>
        <v>25.2631578947368</v>
      </c>
      <c r="F171" s="8" t="n">
        <f aca="false">E171-C171</f>
        <v>18.2631578947368</v>
      </c>
      <c r="G171" s="9" t="n">
        <f aca="false">IF(AND(C171=0,E171=0),0,IF(C171=0,"New",(E171-C171)/C171))</f>
        <v>2.60902255639098</v>
      </c>
      <c r="H171" s="8" t="n">
        <f aca="false">SUMIFS('Source'!$E:$E,'Source'!$A:$A,"155138 לקוח אינטרנט",'Source'!$B:$B,$A171)</f>
        <v>592.35</v>
      </c>
      <c r="I171" s="8" t="n">
        <f aca="false">SUMIFS('Source'!$G:$G,'Source'!$A:$A,"155138 לקוח אינטרנט",'Source'!$B:$B,$A171)</f>
        <v>1732.1</v>
      </c>
      <c r="J171" s="8" t="n">
        <f aca="false">I171*$J$5</f>
        <v>2187.91578947368</v>
      </c>
      <c r="K171" s="8" t="n">
        <f aca="false">J171-H171</f>
        <v>1595.56578947368</v>
      </c>
      <c r="L171" s="9" t="n">
        <f aca="false">IF(AND(H171=0,J171=0),0,IF(H171=0,"New",(J171-H171)/H171))</f>
        <v>2.69361997041223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263</v>
      </c>
      <c r="B172" s="7" t="str">
        <f aca="false">IFERROR(INDEX('Source'!$C:$C,MATCH($A172,'Source'!$B:$B,0)),"")</f>
        <v>מתלה רשת לזרוע שחור 85B</v>
      </c>
      <c r="C172" s="8" t="n">
        <f aca="false">SUMIFS('Source'!$D:$D,'Source'!$A:$A,"155138 לקוח אינטרנט",'Source'!$B:$B,$A172)</f>
        <v>9</v>
      </c>
      <c r="D172" s="8" t="n">
        <f aca="false">SUMIFS('Source'!$F:$F,'Source'!$A:$A,"155138 לקוח אינטרנט",'Source'!$B:$B,$A172)</f>
        <v>20</v>
      </c>
      <c r="E172" s="8" t="n">
        <f aca="false">D172*$J$5</f>
        <v>25.2631578947368</v>
      </c>
      <c r="F172" s="8" t="n">
        <f aca="false">E172-C172</f>
        <v>16.2631578947368</v>
      </c>
      <c r="G172" s="9" t="n">
        <f aca="false">IF(AND(C172=0,E172=0),0,IF(C172=0,"New",(E172-C172)/C172))</f>
        <v>1.80701754385965</v>
      </c>
      <c r="H172" s="8" t="n">
        <f aca="false">SUMIFS('Source'!$E:$E,'Source'!$A:$A,"155138 לקוח אינטרנט",'Source'!$B:$B,$A172)</f>
        <v>891.4</v>
      </c>
      <c r="I172" s="8" t="n">
        <f aca="false">SUMIFS('Source'!$G:$G,'Source'!$A:$A,"155138 לקוח אינטרנט",'Source'!$B:$B,$A172)</f>
        <v>2028.71</v>
      </c>
      <c r="J172" s="8" t="n">
        <f aca="false">I172*$J$5</f>
        <v>2562.58105263158</v>
      </c>
      <c r="K172" s="8" t="n">
        <f aca="false">J172-H172</f>
        <v>1671.18105263158</v>
      </c>
      <c r="L172" s="9" t="n">
        <f aca="false">IF(AND(H172=0,J172=0),0,IF(H172=0,"New",(J172-H172)/H172))</f>
        <v>1.87478242386311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264</v>
      </c>
      <c r="B173" s="7" t="str">
        <f aca="false">IFERROR(INDEX('Source'!$C:$C,MATCH($A173,'Source'!$B:$B,0)),"")</f>
        <v>מגן שוק רגיל</v>
      </c>
      <c r="C173" s="8" t="n">
        <f aca="false">SUMIFS('Source'!$D:$D,'Source'!$A:$A,"155138 לקוח אינטרנט",'Source'!$B:$B,$A173)</f>
        <v>2</v>
      </c>
      <c r="D173" s="8" t="n">
        <f aca="false">SUMIFS('Source'!$F:$F,'Source'!$A:$A,"155138 לקוח אינטרנט",'Source'!$B:$B,$A173)</f>
        <v>8</v>
      </c>
      <c r="E173" s="8" t="n">
        <f aca="false">D173*$J$5</f>
        <v>10.1052631578947</v>
      </c>
      <c r="F173" s="8" t="n">
        <f aca="false">E173-C173</f>
        <v>8.10526315789474</v>
      </c>
      <c r="G173" s="9" t="n">
        <f aca="false">IF(AND(C173=0,E173=0),0,IF(C173=0,"New",(E173-C173)/C173))</f>
        <v>4.05263157894737</v>
      </c>
      <c r="H173" s="8" t="n">
        <f aca="false">SUMIFS('Source'!$E:$E,'Source'!$A:$A,"155138 לקוח אינטרנט",'Source'!$B:$B,$A173)</f>
        <v>331.21</v>
      </c>
      <c r="I173" s="8" t="n">
        <f aca="false">SUMIFS('Source'!$G:$G,'Source'!$A:$A,"155138 לקוח אינטרנט",'Source'!$B:$B,$A173)</f>
        <v>1461.23</v>
      </c>
      <c r="J173" s="8" t="n">
        <f aca="false">I173*$J$5</f>
        <v>1845.76421052632</v>
      </c>
      <c r="K173" s="8" t="n">
        <f aca="false">J173-H173</f>
        <v>1514.55421052632</v>
      </c>
      <c r="L173" s="9" t="n">
        <f aca="false">IF(AND(H173=0,J173=0),0,IF(H173=0,"New",(J173-H173)/H173))</f>
        <v>4.5727913122379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265</v>
      </c>
      <c r="B174" s="7" t="str">
        <f aca="false">IFERROR(INDEX('Source'!$C:$C,MATCH($A174,'Source'!$B:$B,0)),"")</f>
        <v>חגורה מותנית צרה</v>
      </c>
      <c r="C174" s="8" t="n">
        <f aca="false">SUMIFS('Source'!$D:$D,'Source'!$A:$A,"155138 לקוח אינטרנט",'Source'!$B:$B,$A174)</f>
        <v>8</v>
      </c>
      <c r="D174" s="8" t="n">
        <f aca="false">SUMIFS('Source'!$F:$F,'Source'!$A:$A,"155138 לקוח אינטרנט",'Source'!$B:$B,$A174)</f>
        <v>3</v>
      </c>
      <c r="E174" s="8" t="n">
        <f aca="false">D174*$J$5</f>
        <v>3.78947368421053</v>
      </c>
      <c r="F174" s="8" t="n">
        <f aca="false">E174-C174</f>
        <v>-4.21052631578947</v>
      </c>
      <c r="G174" s="9" t="n">
        <f aca="false">IF(AND(C174=0,E174=0),0,IF(C174=0,"New",(E174-C174)/C174))</f>
        <v>-0.526315789473684</v>
      </c>
      <c r="H174" s="8" t="n">
        <f aca="false">SUMIFS('Source'!$E:$E,'Source'!$A:$A,"155138 לקוח אינטרנט",'Source'!$B:$B,$A174)</f>
        <v>1890.04</v>
      </c>
      <c r="I174" s="8" t="n">
        <f aca="false">SUMIFS('Source'!$G:$G,'Source'!$A:$A,"155138 לקוח אינטרנט",'Source'!$B:$B,$A174)</f>
        <v>762.45</v>
      </c>
      <c r="J174" s="8" t="n">
        <f aca="false">I174*$J$5</f>
        <v>963.094736842105</v>
      </c>
      <c r="K174" s="8" t="n">
        <f aca="false">J174-H174</f>
        <v>-926.945263157895</v>
      </c>
      <c r="L174" s="9" t="n">
        <f aca="false">IF(AND(H174=0,J174=0),0,IF(H174=0,"New",(J174-H174)/H174))</f>
        <v>-0.490436849568207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266</v>
      </c>
      <c r="B175" s="7" t="str">
        <f aca="false">IFERROR(INDEX('Source'!$C:$C,MATCH($A175,'Source'!$B:$B,0)),"")</f>
        <v>חגורה למנותחי בית החזה</v>
      </c>
      <c r="C175" s="8" t="n">
        <f aca="false">SUMIFS('Source'!$D:$D,'Source'!$A:$A,"155138 לקוח אינטרנט",'Source'!$B:$B,$A175)</f>
        <v>5</v>
      </c>
      <c r="D175" s="8" t="n">
        <f aca="false">SUMIFS('Source'!$F:$F,'Source'!$A:$A,"155138 לקוח אינטרנט",'Source'!$B:$B,$A175)</f>
        <v>8</v>
      </c>
      <c r="E175" s="8" t="n">
        <f aca="false">D175*$J$5</f>
        <v>10.1052631578947</v>
      </c>
      <c r="F175" s="8" t="n">
        <f aca="false">E175-C175</f>
        <v>5.10526315789474</v>
      </c>
      <c r="G175" s="9" t="n">
        <f aca="false">IF(AND(C175=0,E175=0),0,IF(C175=0,"New",(E175-C175)/C175))</f>
        <v>1.02105263157895</v>
      </c>
      <c r="H175" s="8" t="n">
        <f aca="false">SUMIFS('Source'!$E:$E,'Source'!$A:$A,"155138 לקוח אינטרנט",'Source'!$B:$B,$A175)</f>
        <v>1092.68</v>
      </c>
      <c r="I175" s="8" t="n">
        <f aca="false">SUMIFS('Source'!$G:$G,'Source'!$A:$A,"155138 לקוח אינטרנט",'Source'!$B:$B,$A175)</f>
        <v>2199.53</v>
      </c>
      <c r="J175" s="8" t="n">
        <f aca="false">I175*$J$5</f>
        <v>2778.35368421053</v>
      </c>
      <c r="K175" s="8" t="n">
        <f aca="false">J175-H175</f>
        <v>1685.67368421053</v>
      </c>
      <c r="L175" s="9" t="n">
        <f aca="false">IF(AND(H175=0,J175=0),0,IF(H175=0,"New",(J175-H175)/H175))</f>
        <v>1.54269656643347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267</v>
      </c>
      <c r="B176" s="7" t="str">
        <f aca="false">IFERROR(INDEX('Source'!$C:$C,MATCH($A176,'Source'!$B:$B,0)),"")</f>
        <v>מתלה רשת לזרוע שחור 85B</v>
      </c>
      <c r="C176" s="8" t="n">
        <f aca="false">SUMIFS('Source'!$D:$D,'Source'!$A:$A,"155138 לקוח אינטרנט",'Source'!$B:$B,$A176)</f>
        <v>5</v>
      </c>
      <c r="D176" s="8" t="n">
        <f aca="false">SUMIFS('Source'!$F:$F,'Source'!$A:$A,"155138 לקוח אינטרנט",'Source'!$B:$B,$A176)</f>
        <v>16</v>
      </c>
      <c r="E176" s="8" t="n">
        <f aca="false">D176*$J$5</f>
        <v>20.2105263157895</v>
      </c>
      <c r="F176" s="8" t="n">
        <f aca="false">E176-C176</f>
        <v>15.2105263157895</v>
      </c>
      <c r="G176" s="9" t="n">
        <f aca="false">IF(AND(C176=0,E176=0),0,IF(C176=0,"New",(E176-C176)/C176))</f>
        <v>3.04210526315789</v>
      </c>
      <c r="H176" s="8" t="n">
        <f aca="false">SUMIFS('Source'!$E:$E,'Source'!$A:$A,"155138 לקוח אינטרנט",'Source'!$B:$B,$A176)</f>
        <v>512.3</v>
      </c>
      <c r="I176" s="8" t="n">
        <f aca="false">SUMIFS('Source'!$G:$G,'Source'!$A:$A,"155138 לקוח אינטרנט",'Source'!$B:$B,$A176)</f>
        <v>1618.86</v>
      </c>
      <c r="J176" s="8" t="n">
        <f aca="false">I176*$J$5</f>
        <v>2044.87578947368</v>
      </c>
      <c r="K176" s="8" t="n">
        <f aca="false">J176-H176</f>
        <v>1532.57578947368</v>
      </c>
      <c r="L176" s="9" t="n">
        <f aca="false">IF(AND(H176=0,J176=0),0,IF(H176=0,"New",(J176-H176)/H176))</f>
        <v>2.9915592220841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268</v>
      </c>
      <c r="B177" s="7" t="str">
        <f aca="false">IFERROR(INDEX('Source'!$C:$C,MATCH($A177,'Source'!$B:$B,0)),"")</f>
        <v>חגורה אחרי ניתוח שחור</v>
      </c>
      <c r="C177" s="8" t="n">
        <f aca="false">SUMIFS('Source'!$D:$D,'Source'!$A:$A,"155138 לקוח אינטרנט",'Source'!$B:$B,$A177)</f>
        <v>0</v>
      </c>
      <c r="D177" s="8" t="n">
        <f aca="false">SUMIFS('Source'!$F:$F,'Source'!$A:$A,"155138 לקוח אינטרנט",'Source'!$B:$B,$A177)</f>
        <v>4</v>
      </c>
      <c r="E177" s="8" t="n">
        <f aca="false">D177*$J$5</f>
        <v>5.05263157894737</v>
      </c>
      <c r="F177" s="8" t="n">
        <f aca="false">E177-C177</f>
        <v>5.05263157894737</v>
      </c>
      <c r="G177" s="9" t="str">
        <f aca="false">IF(AND(C177=0,E177=0),0,IF(C177=0,"New",(E177-C177)/C177))</f>
        <v>New</v>
      </c>
      <c r="H177" s="8" t="n">
        <f aca="false">SUMIFS('Source'!$E:$E,'Source'!$A:$A,"155138 לקוח אינטרנט",'Source'!$B:$B,$A177)</f>
        <v>0</v>
      </c>
      <c r="I177" s="8" t="n">
        <f aca="false">SUMIFS('Source'!$G:$G,'Source'!$A:$A,"155138 לקוח אינטרנט",'Source'!$B:$B,$A177)</f>
        <v>1097.77</v>
      </c>
      <c r="J177" s="8" t="n">
        <f aca="false">I177*$J$5</f>
        <v>1386.65684210526</v>
      </c>
      <c r="K177" s="8" t="n">
        <f aca="false">J177-H177</f>
        <v>1386.65684210526</v>
      </c>
      <c r="L177" s="9" t="str">
        <f aca="false">IF(AND(H177=0,J177=0),0,IF(H177=0,"New",(J177-H177)/H177))</f>
        <v>New</v>
      </c>
      <c r="M177" s="7" t="str">
        <f aca="false">IF(AND(OR(C177&lt;&gt;0,H177&lt;&gt;0),D177=0,I177=0),"DROP",IF(AND(OR(D177&lt;&gt;0,I177&lt;&gt;0),C177=0,H177=0),"NEW",""))</f>
        <v>NEW</v>
      </c>
    </row>
    <row r="178" customFormat="false" ht="15" hidden="false" customHeight="false" outlineLevel="0" collapsed="false">
      <c r="A178" s="7" t="s">
        <v>269</v>
      </c>
      <c r="B178" s="7" t="str">
        <f aca="false">IFERROR(INDEX('Source'!$C:$C,MATCH($A178,'Source'!$B:$B,0)),"")</f>
        <v>מ.ברך מנאופרן+ציר D +כ.סיליקון</v>
      </c>
      <c r="C178" s="8" t="n">
        <f aca="false">SUMIFS('Source'!$D:$D,'Source'!$A:$A,"155138 לקוח אינטרנט",'Source'!$B:$B,$A178)</f>
        <v>6</v>
      </c>
      <c r="D178" s="8" t="n">
        <f aca="false">SUMIFS('Source'!$F:$F,'Source'!$A:$A,"155138 לקוח אינטרנט",'Source'!$B:$B,$A178)</f>
        <v>4</v>
      </c>
      <c r="E178" s="8" t="n">
        <f aca="false">D178*$J$5</f>
        <v>5.05263157894737</v>
      </c>
      <c r="F178" s="8" t="n">
        <f aca="false">E178-C178</f>
        <v>-0.947368421052632</v>
      </c>
      <c r="G178" s="9" t="n">
        <f aca="false">IF(AND(C178=0,E178=0),0,IF(C178=0,"New",(E178-C178)/C178))</f>
        <v>-0.157894736842105</v>
      </c>
      <c r="H178" s="8" t="n">
        <f aca="false">SUMIFS('Source'!$E:$E,'Source'!$A:$A,"155138 לקוח אינטרנט",'Source'!$B:$B,$A178)</f>
        <v>3347.07</v>
      </c>
      <c r="I178" s="8" t="n">
        <f aca="false">SUMIFS('Source'!$G:$G,'Source'!$A:$A,"155138 לקוח אינטרנט",'Source'!$B:$B,$A178)</f>
        <v>2253.92</v>
      </c>
      <c r="J178" s="8" t="n">
        <f aca="false">I178*$J$5</f>
        <v>2847.05684210526</v>
      </c>
      <c r="K178" s="8" t="n">
        <f aca="false">J178-H178</f>
        <v>-500.013157894737</v>
      </c>
      <c r="L178" s="9" t="n">
        <f aca="false">IF(AND(H178=0,J178=0),0,IF(H178=0,"New",(J178-H178)/H178))</f>
        <v>-0.149388318109492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270</v>
      </c>
      <c r="B179" s="7" t="str">
        <f aca="false">IFERROR(INDEX('Source'!$C:$C,MATCH($A179,'Source'!$B:$B,0)),"")</f>
        <v>נוזל לריכוך ציפורן חודרנית</v>
      </c>
      <c r="C179" s="8" t="n">
        <f aca="false">SUMIFS('Source'!$D:$D,'Source'!$A:$A,"155138 לקוח אינטרנט",'Source'!$B:$B,$A179)</f>
        <v>41</v>
      </c>
      <c r="D179" s="8" t="n">
        <f aca="false">SUMIFS('Source'!$F:$F,'Source'!$A:$A,"155138 לקוח אינטרנט",'Source'!$B:$B,$A179)</f>
        <v>57</v>
      </c>
      <c r="E179" s="8" t="n">
        <f aca="false">D179*$J$5</f>
        <v>72</v>
      </c>
      <c r="F179" s="8" t="n">
        <f aca="false">E179-C179</f>
        <v>31</v>
      </c>
      <c r="G179" s="9" t="n">
        <f aca="false">IF(AND(C179=0,E179=0),0,IF(C179=0,"New",(E179-C179)/C179))</f>
        <v>0.75609756097561</v>
      </c>
      <c r="H179" s="8" t="n">
        <f aca="false">SUMIFS('Source'!$E:$E,'Source'!$A:$A,"155138 לקוח אינטרנט",'Source'!$B:$B,$A179)</f>
        <v>2518.71</v>
      </c>
      <c r="I179" s="8" t="n">
        <f aca="false">SUMIFS('Source'!$G:$G,'Source'!$A:$A,"155138 לקוח אינטרנט",'Source'!$B:$B,$A179)</f>
        <v>3604.73</v>
      </c>
      <c r="J179" s="8" t="n">
        <f aca="false">I179*$J$5</f>
        <v>4553.34315789474</v>
      </c>
      <c r="K179" s="8" t="n">
        <f aca="false">J179-H179</f>
        <v>2034.63315789474</v>
      </c>
      <c r="L179" s="9" t="n">
        <f aca="false">IF(AND(H179=0,J179=0),0,IF(H179=0,"New",(J179-H179)/H179))</f>
        <v>0.807807630848624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271</v>
      </c>
      <c r="B180" s="7" t="str">
        <f aca="false">IFERROR(INDEX('Source'!$C:$C,MATCH($A180,'Source'!$B:$B,0)),"")</f>
        <v>חגורת שבר שחור</v>
      </c>
      <c r="C180" s="8" t="n">
        <f aca="false">SUMIFS('Source'!$D:$D,'Source'!$A:$A,"155138 לקוח אינטרנט",'Source'!$B:$B,$A180)</f>
        <v>0</v>
      </c>
      <c r="D180" s="8" t="n">
        <f aca="false">SUMIFS('Source'!$F:$F,'Source'!$A:$A,"155138 לקוח אינטרנט",'Source'!$B:$B,$A180)</f>
        <v>2</v>
      </c>
      <c r="E180" s="8" t="n">
        <f aca="false">D180*$J$5</f>
        <v>2.52631578947368</v>
      </c>
      <c r="F180" s="8" t="n">
        <f aca="false">E180-C180</f>
        <v>2.52631578947368</v>
      </c>
      <c r="G180" s="9" t="str">
        <f aca="false">IF(AND(C180=0,E180=0),0,IF(C180=0,"New",(E180-C180)/C180))</f>
        <v>New</v>
      </c>
      <c r="H180" s="8" t="n">
        <f aca="false">SUMIFS('Source'!$E:$E,'Source'!$A:$A,"155138 לקוח אינטרנט",'Source'!$B:$B,$A180)</f>
        <v>0</v>
      </c>
      <c r="I180" s="8" t="n">
        <f aca="false">SUMIFS('Source'!$G:$G,'Source'!$A:$A,"155138 לקוח אינטרנט",'Source'!$B:$B,$A180)</f>
        <v>1078.65</v>
      </c>
      <c r="J180" s="8" t="n">
        <f aca="false">I180*$J$5</f>
        <v>1362.5052631579</v>
      </c>
      <c r="K180" s="8" t="n">
        <f aca="false">J180-H180</f>
        <v>1362.5052631579</v>
      </c>
      <c r="L180" s="9" t="str">
        <f aca="false">IF(AND(H180=0,J180=0),0,IF(H180=0,"New",(J180-H180)/H180))</f>
        <v>New</v>
      </c>
      <c r="M180" s="7" t="str">
        <f aca="false">IF(AND(OR(C180&lt;&gt;0,H180&lt;&gt;0),D180=0,I180=0),"DROP",IF(AND(OR(D180&lt;&gt;0,I180&lt;&gt;0),C180=0,H180=0),"NEW",""))</f>
        <v>NEW</v>
      </c>
    </row>
    <row r="181" customFormat="false" ht="15" hidden="false" customHeight="false" outlineLevel="0" collapsed="false">
      <c r="A181" s="7" t="s">
        <v>272</v>
      </c>
      <c r="B181" s="7" t="str">
        <f aca="false">IFERROR(INDEX('Source'!$C:$C,MATCH($A181,'Source'!$B:$B,0)),"")</f>
        <v>חגורת גב-לומבו</v>
      </c>
      <c r="C181" s="8" t="n">
        <f aca="false">SUMIFS('Source'!$D:$D,'Source'!$A:$A,"155138 לקוח אינטרנט",'Source'!$B:$B,$A181)</f>
        <v>4</v>
      </c>
      <c r="D181" s="8" t="n">
        <f aca="false">SUMIFS('Source'!$F:$F,'Source'!$A:$A,"155138 לקוח אינטרנט",'Source'!$B:$B,$A181)</f>
        <v>0</v>
      </c>
      <c r="E181" s="8" t="n">
        <f aca="false">D181*$J$5</f>
        <v>0</v>
      </c>
      <c r="F181" s="8" t="n">
        <f aca="false">E181-C181</f>
        <v>-4</v>
      </c>
      <c r="G181" s="9" t="n">
        <f aca="false">IF(AND(C181=0,E181=0),0,IF(C181=0,"New",(E181-C181)/C181))</f>
        <v>-1</v>
      </c>
      <c r="H181" s="8" t="n">
        <f aca="false">SUMIFS('Source'!$E:$E,'Source'!$A:$A,"155138 לקוח אינטרנט",'Source'!$B:$B,$A181)</f>
        <v>1071.33</v>
      </c>
      <c r="I181" s="8" t="n">
        <f aca="false">SUMIFS('Source'!$G:$G,'Source'!$A:$A,"155138 לקוח אינטרנט",'Source'!$B:$B,$A181)</f>
        <v>0</v>
      </c>
      <c r="J181" s="8" t="n">
        <f aca="false">I181*$J$5</f>
        <v>0</v>
      </c>
      <c r="K181" s="8" t="n">
        <f aca="false">J181-H181</f>
        <v>-1071.33</v>
      </c>
      <c r="L181" s="9" t="n">
        <f aca="false">IF(AND(H181=0,J181=0),0,IF(H181=0,"New",(J181-H181)/H181))</f>
        <v>-1</v>
      </c>
      <c r="M181" s="7" t="str">
        <f aca="false">IF(AND(OR(C181&lt;&gt;0,H181&lt;&gt;0),D181=0,I181=0),"DROP",IF(AND(OR(D181&lt;&gt;0,I181&lt;&gt;0),C181=0,H181=0),"NEW",""))</f>
        <v>DROP</v>
      </c>
    </row>
    <row r="182" customFormat="false" ht="15" hidden="false" customHeight="false" outlineLevel="0" collapsed="false">
      <c r="A182" s="7" t="s">
        <v>273</v>
      </c>
      <c r="B182" s="7" t="str">
        <f aca="false">IFERROR(INDEX('Source'!$C:$C,MATCH($A182,'Source'!$B:$B,0)),"")</f>
        <v>מגן כתף להמיפלגיה</v>
      </c>
      <c r="C182" s="8" t="n">
        <f aca="false">SUMIFS('Source'!$D:$D,'Source'!$A:$A,"155138 לקוח אינטרנט",'Source'!$B:$B,$A182)</f>
        <v>5</v>
      </c>
      <c r="D182" s="8" t="n">
        <f aca="false">SUMIFS('Source'!$F:$F,'Source'!$A:$A,"155138 לקוח אינטרנט",'Source'!$B:$B,$A182)</f>
        <v>3</v>
      </c>
      <c r="E182" s="8" t="n">
        <f aca="false">D182*$J$5</f>
        <v>3.78947368421053</v>
      </c>
      <c r="F182" s="8" t="n">
        <f aca="false">E182-C182</f>
        <v>-1.21052631578947</v>
      </c>
      <c r="G182" s="9" t="n">
        <f aca="false">IF(AND(C182=0,E182=0),0,IF(C182=0,"New",(E182-C182)/C182))</f>
        <v>-0.242105263157895</v>
      </c>
      <c r="H182" s="8" t="n">
        <f aca="false">SUMIFS('Source'!$E:$E,'Source'!$A:$A,"155138 לקוח אינטרנט",'Source'!$B:$B,$A182)</f>
        <v>2557.65</v>
      </c>
      <c r="I182" s="8" t="n">
        <f aca="false">SUMIFS('Source'!$G:$G,'Source'!$A:$A,"155138 לקוח אינטרנט",'Source'!$B:$B,$A182)</f>
        <v>1487.05</v>
      </c>
      <c r="J182" s="8" t="n">
        <f aca="false">I182*$J$5</f>
        <v>1878.37894736842</v>
      </c>
      <c r="K182" s="8" t="n">
        <f aca="false">J182-H182</f>
        <v>-679.271052631579</v>
      </c>
      <c r="L182" s="9" t="n">
        <f aca="false">IF(AND(H182=0,J182=0),0,IF(H182=0,"New",(J182-H182)/H182))</f>
        <v>-0.265584052795175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274</v>
      </c>
      <c r="B183" s="7" t="str">
        <f aca="false">IFERROR(INDEX('Source'!$C:$C,MATCH($A183,'Source'!$B:$B,0)),"")</f>
        <v>חגורה אחרי ניתוח</v>
      </c>
      <c r="C183" s="8" t="n">
        <f aca="false">SUMIFS('Source'!$D:$D,'Source'!$A:$A,"155138 לקוח אינטרנט",'Source'!$B:$B,$A183)</f>
        <v>1</v>
      </c>
      <c r="D183" s="8" t="n">
        <f aca="false">SUMIFS('Source'!$F:$F,'Source'!$A:$A,"155138 לקוח אינטרנט",'Source'!$B:$B,$A183)</f>
        <v>4</v>
      </c>
      <c r="E183" s="8" t="n">
        <f aca="false">D183*$J$5</f>
        <v>5.05263157894737</v>
      </c>
      <c r="F183" s="8" t="n">
        <f aca="false">E183-C183</f>
        <v>4.05263157894737</v>
      </c>
      <c r="G183" s="9" t="n">
        <f aca="false">IF(AND(C183=0,E183=0),0,IF(C183=0,"New",(E183-C183)/C183))</f>
        <v>4.05263157894737</v>
      </c>
      <c r="H183" s="8" t="n">
        <f aca="false">SUMIFS('Source'!$E:$E,'Source'!$A:$A,"155138 לקוח אינטרנט",'Source'!$B:$B,$A183)</f>
        <v>240.61</v>
      </c>
      <c r="I183" s="8" t="n">
        <f aca="false">SUMIFS('Source'!$G:$G,'Source'!$A:$A,"155138 לקוח אינטרנט",'Source'!$B:$B,$A183)</f>
        <v>1306.88</v>
      </c>
      <c r="J183" s="8" t="n">
        <f aca="false">I183*$J$5</f>
        <v>1650.79578947368</v>
      </c>
      <c r="K183" s="8" t="n">
        <f aca="false">J183-H183</f>
        <v>1410.18578947368</v>
      </c>
      <c r="L183" s="9" t="n">
        <f aca="false">IF(AND(H183=0,J183=0),0,IF(H183=0,"New",(J183-H183)/H183))</f>
        <v>5.86087772525533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275</v>
      </c>
      <c r="B184" s="7" t="str">
        <f aca="false">IFERROR(INDEX('Source'!$C:$C,MATCH($A184,'Source'!$B:$B,0)),"")</f>
        <v>טייפ חבישה לספורט לבן</v>
      </c>
      <c r="C184" s="8" t="n">
        <f aca="false">SUMIFS('Source'!$D:$D,'Source'!$A:$A,"155138 לקוח אינטרנט",'Source'!$B:$B,$A184)</f>
        <v>21</v>
      </c>
      <c r="D184" s="8" t="n">
        <f aca="false">SUMIFS('Source'!$F:$F,'Source'!$A:$A,"155138 לקוח אינטרנט",'Source'!$B:$B,$A184)</f>
        <v>61</v>
      </c>
      <c r="E184" s="8" t="n">
        <f aca="false">D184*$J$5</f>
        <v>77.0526315789474</v>
      </c>
      <c r="F184" s="8" t="n">
        <f aca="false">E184-C184</f>
        <v>56.0526315789474</v>
      </c>
      <c r="G184" s="9" t="n">
        <f aca="false">IF(AND(C184=0,E184=0),0,IF(C184=0,"New",(E184-C184)/C184))</f>
        <v>2.66917293233083</v>
      </c>
      <c r="H184" s="8" t="n">
        <f aca="false">SUMIFS('Source'!$E:$E,'Source'!$A:$A,"155138 לקוח אינטרנט",'Source'!$B:$B,$A184)</f>
        <v>559.46</v>
      </c>
      <c r="I184" s="8" t="n">
        <f aca="false">SUMIFS('Source'!$G:$G,'Source'!$A:$A,"155138 לקוח אינטרנט",'Source'!$B:$B,$A184)</f>
        <v>1618.4</v>
      </c>
      <c r="J184" s="8" t="n">
        <f aca="false">I184*$J$5</f>
        <v>2044.29473684211</v>
      </c>
      <c r="K184" s="8" t="n">
        <f aca="false">J184-H184</f>
        <v>1484.83473684211</v>
      </c>
      <c r="L184" s="9" t="n">
        <f aca="false">IF(AND(H184=0,J184=0),0,IF(H184=0,"New",(J184-H184)/H184))</f>
        <v>2.65404986387249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276</v>
      </c>
      <c r="B185" s="7" t="str">
        <f aca="false">IFERROR(INDEX('Source'!$C:$C,MATCH($A185,'Source'!$B:$B,0)),"")</f>
        <v>מגן ברך מוצלב+מוטות</v>
      </c>
      <c r="C185" s="8" t="n">
        <f aca="false">SUMIFS('Source'!$D:$D,'Source'!$A:$A,"155138 לקוח אינטרנט",'Source'!$B:$B,$A185)</f>
        <v>5</v>
      </c>
      <c r="D185" s="8" t="n">
        <f aca="false">SUMIFS('Source'!$F:$F,'Source'!$A:$A,"155138 לקוח אינטרנט",'Source'!$B:$B,$A185)</f>
        <v>0</v>
      </c>
      <c r="E185" s="8" t="n">
        <f aca="false">D185*$J$5</f>
        <v>0</v>
      </c>
      <c r="F185" s="8" t="n">
        <f aca="false">E185-C185</f>
        <v>-5</v>
      </c>
      <c r="G185" s="9" t="n">
        <f aca="false">IF(AND(C185=0,E185=0),0,IF(C185=0,"New",(E185-C185)/C185))</f>
        <v>-1</v>
      </c>
      <c r="H185" s="8" t="n">
        <f aca="false">SUMIFS('Source'!$E:$E,'Source'!$A:$A,"155138 לקוח אינטרנט",'Source'!$B:$B,$A185)</f>
        <v>1052.16</v>
      </c>
      <c r="I185" s="8" t="n">
        <f aca="false">SUMIFS('Source'!$G:$G,'Source'!$A:$A,"155138 לקוח אינטרנט",'Source'!$B:$B,$A185)</f>
        <v>0</v>
      </c>
      <c r="J185" s="8" t="n">
        <f aca="false">I185*$J$5</f>
        <v>0</v>
      </c>
      <c r="K185" s="8" t="n">
        <f aca="false">J185-H185</f>
        <v>-1052.16</v>
      </c>
      <c r="L185" s="9" t="n">
        <f aca="false">IF(AND(H185=0,J185=0),0,IF(H185=0,"New",(J185-H185)/H185))</f>
        <v>-1</v>
      </c>
      <c r="M185" s="7" t="str">
        <f aca="false">IF(AND(OR(C185&lt;&gt;0,H185&lt;&gt;0),D185=0,I185=0),"DROP",IF(AND(OR(D185&lt;&gt;0,I185&lt;&gt;0),C185=0,H185=0),"NEW",""))</f>
        <v>DROP</v>
      </c>
    </row>
    <row r="186" customFormat="false" ht="15" hidden="false" customHeight="false" outlineLevel="0" collapsed="false">
      <c r="A186" s="7" t="s">
        <v>277</v>
      </c>
      <c r="B186" s="7" t="str">
        <f aca="false">IFERROR(INDEX('Source'!$C:$C,MATCH($A186,'Source'!$B:$B,0)),"")</f>
        <v>מיצב כתפיים</v>
      </c>
      <c r="C186" s="8" t="n">
        <f aca="false">SUMIFS('Source'!$D:$D,'Source'!$A:$A,"155138 לקוח אינטרנט",'Source'!$B:$B,$A186)</f>
        <v>3</v>
      </c>
      <c r="D186" s="8" t="n">
        <f aca="false">SUMIFS('Source'!$F:$F,'Source'!$A:$A,"155138 לקוח אינטרנט",'Source'!$B:$B,$A186)</f>
        <v>0</v>
      </c>
      <c r="E186" s="8" t="n">
        <f aca="false">D186*$J$5</f>
        <v>0</v>
      </c>
      <c r="F186" s="8" t="n">
        <f aca="false">E186-C186</f>
        <v>-3</v>
      </c>
      <c r="G186" s="9" t="n">
        <f aca="false">IF(AND(C186=0,E186=0),0,IF(C186=0,"New",(E186-C186)/C186))</f>
        <v>-1</v>
      </c>
      <c r="H186" s="8" t="n">
        <f aca="false">SUMIFS('Source'!$E:$E,'Source'!$A:$A,"155138 לקוח אינטרנט",'Source'!$B:$B,$A186)</f>
        <v>1045.51</v>
      </c>
      <c r="I186" s="8" t="n">
        <f aca="false">SUMIFS('Source'!$G:$G,'Source'!$A:$A,"155138 לקוח אינטרנט",'Source'!$B:$B,$A186)</f>
        <v>0</v>
      </c>
      <c r="J186" s="8" t="n">
        <f aca="false">I186*$J$5</f>
        <v>0</v>
      </c>
      <c r="K186" s="8" t="n">
        <f aca="false">J186-H186</f>
        <v>-1045.51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278</v>
      </c>
      <c r="B187" s="7" t="str">
        <f aca="false">IFERROR(INDEX('Source'!$C:$C,MATCH($A187,'Source'!$B:$B,0)),"")</f>
        <v>חגורת קיבוע לכתף</v>
      </c>
      <c r="C187" s="8" t="n">
        <f aca="false">SUMIFS('Source'!$D:$D,'Source'!$A:$A,"155138 לקוח אינטרנט",'Source'!$B:$B,$A187)</f>
        <v>4</v>
      </c>
      <c r="D187" s="8" t="n">
        <f aca="false">SUMIFS('Source'!$F:$F,'Source'!$A:$A,"155138 לקוח אינטרנט",'Source'!$B:$B,$A187)</f>
        <v>1</v>
      </c>
      <c r="E187" s="8" t="n">
        <f aca="false">D187*$J$5</f>
        <v>1.26315789473684</v>
      </c>
      <c r="F187" s="8" t="n">
        <f aca="false">E187-C187</f>
        <v>-2.73684210526316</v>
      </c>
      <c r="G187" s="9" t="n">
        <f aca="false">IF(AND(C187=0,E187=0),0,IF(C187=0,"New",(E187-C187)/C187))</f>
        <v>-0.68421052631579</v>
      </c>
      <c r="H187" s="8" t="n">
        <f aca="false">SUMIFS('Source'!$E:$E,'Source'!$A:$A,"155138 לקוח אינטרנט",'Source'!$B:$B,$A187)</f>
        <v>1347.98</v>
      </c>
      <c r="I187" s="8" t="n">
        <f aca="false">SUMIFS('Source'!$G:$G,'Source'!$A:$A,"155138 לקוח אינטרנט",'Source'!$B:$B,$A187)</f>
        <v>309.68</v>
      </c>
      <c r="J187" s="8" t="n">
        <f aca="false">I187*$J$5</f>
        <v>391.174736842105</v>
      </c>
      <c r="K187" s="8" t="n">
        <f aca="false">J187-H187</f>
        <v>-956.805263157895</v>
      </c>
      <c r="L187" s="9" t="n">
        <f aca="false">IF(AND(H187=0,J187=0),0,IF(H187=0,"New",(J187-H187)/H187))</f>
        <v>-0.709806720543253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279</v>
      </c>
      <c r="B188" s="7" t="str">
        <f aca="false">IFERROR(INDEX('Source'!$C:$C,MATCH($A188,'Source'!$B:$B,0)),"")</f>
        <v>חגורה אחרי ניתוח</v>
      </c>
      <c r="C188" s="8" t="n">
        <f aca="false">SUMIFS('Source'!$D:$D,'Source'!$A:$A,"155138 לקוח אינטרנט",'Source'!$B:$B,$A188)</f>
        <v>8</v>
      </c>
      <c r="D188" s="8" t="n">
        <f aca="false">SUMIFS('Source'!$F:$F,'Source'!$A:$A,"155138 לקוח אינטרנט",'Source'!$B:$B,$A188)</f>
        <v>4</v>
      </c>
      <c r="E188" s="8" t="n">
        <f aca="false">D188*$J$5</f>
        <v>5.05263157894737</v>
      </c>
      <c r="F188" s="8" t="n">
        <f aca="false">E188-C188</f>
        <v>-2.94736842105263</v>
      </c>
      <c r="G188" s="9" t="n">
        <f aca="false">IF(AND(C188=0,E188=0),0,IF(C188=0,"New",(E188-C188)/C188))</f>
        <v>-0.368421052631579</v>
      </c>
      <c r="H188" s="8" t="n">
        <f aca="false">SUMIFS('Source'!$E:$E,'Source'!$A:$A,"155138 לקוח אינטרנט",'Source'!$B:$B,$A188)</f>
        <v>2193.23</v>
      </c>
      <c r="I188" s="8" t="n">
        <f aca="false">SUMIFS('Source'!$G:$G,'Source'!$A:$A,"155138 לקוח אינטרנט",'Source'!$B:$B,$A188)</f>
        <v>1172.97</v>
      </c>
      <c r="J188" s="8" t="n">
        <f aca="false">I188*$J$5</f>
        <v>1481.64631578947</v>
      </c>
      <c r="K188" s="8" t="n">
        <f aca="false">J188-H188</f>
        <v>-711.583684210526</v>
      </c>
      <c r="L188" s="9" t="n">
        <f aca="false">IF(AND(H188=0,J188=0),0,IF(H188=0,"New",(J188-H188)/H188))</f>
        <v>-0.32444553658783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280</v>
      </c>
      <c r="B189" s="7" t="str">
        <f aca="false">IFERROR(INDEX('Source'!$C:$C,MATCH($A189,'Source'!$B:$B,0)),"")</f>
        <v>מ.ברך</v>
      </c>
      <c r="C189" s="8" t="n">
        <f aca="false">SUMIFS('Source'!$D:$D,'Source'!$A:$A,"155138 לקוח אינטרנט",'Source'!$B:$B,$A189)</f>
        <v>41</v>
      </c>
      <c r="D189" s="8" t="n">
        <f aca="false">SUMIFS('Source'!$F:$F,'Source'!$A:$A,"155138 לקוח אינטרנט",'Source'!$B:$B,$A189)</f>
        <v>27</v>
      </c>
      <c r="E189" s="8" t="n">
        <f aca="false">D189*$J$5</f>
        <v>34.1052631578947</v>
      </c>
      <c r="F189" s="8" t="n">
        <f aca="false">E189-C189</f>
        <v>-6.89473684210527</v>
      </c>
      <c r="G189" s="9" t="n">
        <f aca="false">IF(AND(C189=0,E189=0),0,IF(C189=0,"New",(E189-C189)/C189))</f>
        <v>-0.16816431322208</v>
      </c>
      <c r="H189" s="8" t="n">
        <f aca="false">SUMIFS('Source'!$E:$E,'Source'!$A:$A,"155138 לקוח אינטרנט",'Source'!$B:$B,$A189)</f>
        <v>3157.24</v>
      </c>
      <c r="I189" s="8" t="n">
        <f aca="false">SUMIFS('Source'!$G:$G,'Source'!$A:$A,"155138 לקוח אינטרנט",'Source'!$B:$B,$A189)</f>
        <v>2144.41</v>
      </c>
      <c r="J189" s="8" t="n">
        <f aca="false">I189*$J$5</f>
        <v>2708.72842105263</v>
      </c>
      <c r="K189" s="8" t="n">
        <f aca="false">J189-H189</f>
        <v>-448.511578947369</v>
      </c>
      <c r="L189" s="9" t="n">
        <f aca="false">IF(AND(H189=0,J189=0),0,IF(H189=0,"New",(J189-H189)/H189))</f>
        <v>-0.142058120050224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281</v>
      </c>
      <c r="B190" s="7" t="str">
        <f aca="false">IFERROR(INDEX('Source'!$C:$C,MATCH($A190,'Source'!$B:$B,0)),"")</f>
        <v>חגורת שבר שחור</v>
      </c>
      <c r="C190" s="8" t="n">
        <f aca="false">SUMIFS('Source'!$D:$D,'Source'!$A:$A,"155138 לקוח אינטרנט",'Source'!$B:$B,$A190)</f>
        <v>0</v>
      </c>
      <c r="D190" s="8" t="n">
        <f aca="false">SUMIFS('Source'!$F:$F,'Source'!$A:$A,"155138 לקוח אינטרנט",'Source'!$B:$B,$A190)</f>
        <v>2</v>
      </c>
      <c r="E190" s="8" t="n">
        <f aca="false">D190*$J$5</f>
        <v>2.52631578947368</v>
      </c>
      <c r="F190" s="8" t="n">
        <f aca="false">E190-C190</f>
        <v>2.52631578947368</v>
      </c>
      <c r="G190" s="9" t="str">
        <f aca="false">IF(AND(C190=0,E190=0),0,IF(C190=0,"New",(E190-C190)/C190))</f>
        <v>New</v>
      </c>
      <c r="H190" s="8" t="n">
        <f aca="false">SUMIFS('Source'!$E:$E,'Source'!$A:$A,"155138 לקוח אינטרנט",'Source'!$B:$B,$A190)</f>
        <v>0</v>
      </c>
      <c r="I190" s="8" t="n">
        <f aca="false">SUMIFS('Source'!$G:$G,'Source'!$A:$A,"155138 לקוח אינטרנט",'Source'!$B:$B,$A190)</f>
        <v>993.5</v>
      </c>
      <c r="J190" s="8" t="n">
        <f aca="false">I190*$J$5</f>
        <v>1254.94736842105</v>
      </c>
      <c r="K190" s="8" t="n">
        <f aca="false">J190-H190</f>
        <v>1254.94736842105</v>
      </c>
      <c r="L190" s="9" t="str">
        <f aca="false">IF(AND(H190=0,J190=0),0,IF(H190=0,"New",(J190-H190)/H190))</f>
        <v>New</v>
      </c>
      <c r="M190" s="7" t="str">
        <f aca="false">IF(AND(OR(C190&lt;&gt;0,H190&lt;&gt;0),D190=0,I190=0),"DROP",IF(AND(OR(D190&lt;&gt;0,I190&lt;&gt;0),C190=0,H190=0),"NEW",""))</f>
        <v>NEW</v>
      </c>
    </row>
    <row r="191" customFormat="false" ht="15" hidden="false" customHeight="false" outlineLevel="0" collapsed="false">
      <c r="A191" s="7" t="s">
        <v>282</v>
      </c>
      <c r="B191" s="7" t="str">
        <f aca="false">IFERROR(INDEX('Source'!$C:$C,MATCH($A191,'Source'!$B:$B,0)),"")</f>
        <v>טבעת אלסטית מסי</v>
      </c>
      <c r="C191" s="8" t="n">
        <f aca="false">SUMIFS('Source'!$D:$D,'Source'!$A:$A,"155138 לקוח אינטרנט",'Source'!$B:$B,$A191)</f>
        <v>0</v>
      </c>
      <c r="D191" s="8" t="n">
        <f aca="false">SUMIFS('Source'!$F:$F,'Source'!$A:$A,"155138 לקוח אינטרנט",'Source'!$B:$B,$A191)</f>
        <v>40</v>
      </c>
      <c r="E191" s="8" t="n">
        <f aca="false">D191*$J$5</f>
        <v>50.5263157894737</v>
      </c>
      <c r="F191" s="8" t="n">
        <f aca="false">E191-C191</f>
        <v>50.5263157894737</v>
      </c>
      <c r="G191" s="9" t="str">
        <f aca="false">IF(AND(C191=0,E191=0),0,IF(C191=0,"New",(E191-C191)/C191))</f>
        <v>New</v>
      </c>
      <c r="H191" s="8" t="n">
        <f aca="false">SUMIFS('Source'!$E:$E,'Source'!$A:$A,"155138 לקוח אינטרנט",'Source'!$B:$B,$A191)</f>
        <v>0</v>
      </c>
      <c r="I191" s="8" t="n">
        <f aca="false">SUMIFS('Source'!$G:$G,'Source'!$A:$A,"155138 לקוח אינטרנט",'Source'!$B:$B,$A191)</f>
        <v>992.54</v>
      </c>
      <c r="J191" s="8" t="n">
        <f aca="false">I191*$J$5</f>
        <v>1253.73473684211</v>
      </c>
      <c r="K191" s="8" t="n">
        <f aca="false">J191-H191</f>
        <v>1253.73473684211</v>
      </c>
      <c r="L191" s="9" t="str">
        <f aca="false">IF(AND(H191=0,J191=0),0,IF(H191=0,"New",(J191-H191)/H191))</f>
        <v>New</v>
      </c>
      <c r="M191" s="7" t="str">
        <f aca="false">IF(AND(OR(C191&lt;&gt;0,H191&lt;&gt;0),D191=0,I191=0),"DROP",IF(AND(OR(D191&lt;&gt;0,I191&lt;&gt;0),C191=0,H191=0),"NEW",""))</f>
        <v>NEW</v>
      </c>
    </row>
    <row r="192" customFormat="false" ht="15" hidden="false" customHeight="false" outlineLevel="0" collapsed="false">
      <c r="A192" s="7" t="s">
        <v>283</v>
      </c>
      <c r="B192" s="7" t="str">
        <f aca="false">IFERROR(INDEX('Source'!$C:$C,MATCH($A192,'Source'!$B:$B,0)),"")</f>
        <v>חבק יד SC25</v>
      </c>
      <c r="C192" s="8" t="n">
        <f aca="false">SUMIFS('Source'!$D:$D,'Source'!$A:$A,"155138 לקוח אינטרנט",'Source'!$B:$B,$A192)</f>
        <v>78</v>
      </c>
      <c r="D192" s="8" t="n">
        <f aca="false">SUMIFS('Source'!$F:$F,'Source'!$A:$A,"155138 לקוח אינטרנט",'Source'!$B:$B,$A192)</f>
        <v>63</v>
      </c>
      <c r="E192" s="8" t="n">
        <f aca="false">D192*$J$5</f>
        <v>79.5789473684211</v>
      </c>
      <c r="F192" s="8" t="n">
        <f aca="false">E192-C192</f>
        <v>1.57894736842105</v>
      </c>
      <c r="G192" s="9" t="n">
        <f aca="false">IF(AND(C192=0,E192=0),0,IF(C192=0,"New",(E192-C192)/C192))</f>
        <v>0.0202429149797571</v>
      </c>
      <c r="H192" s="8" t="n">
        <f aca="false">SUMIFS('Source'!$E:$E,'Source'!$A:$A,"155138 לקוח אינטרנט",'Source'!$B:$B,$A192)</f>
        <v>10651.73</v>
      </c>
      <c r="I192" s="8" t="n">
        <f aca="false">SUMIFS('Source'!$G:$G,'Source'!$A:$A,"155138 לקוח אינטרנט",'Source'!$B:$B,$A192)</f>
        <v>9662.92</v>
      </c>
      <c r="J192" s="8" t="n">
        <f aca="false">I192*$J$5</f>
        <v>12205.7936842105</v>
      </c>
      <c r="K192" s="8" t="n">
        <f aca="false">J192-H192</f>
        <v>1554.06368421053</v>
      </c>
      <c r="L192" s="9" t="n">
        <f aca="false">IF(AND(H192=0,J192=0),0,IF(H192=0,"New",(J192-H192)/H192))</f>
        <v>0.145897772869809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284</v>
      </c>
      <c r="B193" s="7" t="str">
        <f aca="false">IFERROR(INDEX('Source'!$C:$C,MATCH($A193,'Source'!$B:$B,0)),"")</f>
        <v>מתלה רשת לזרוע שחור 85B</v>
      </c>
      <c r="C193" s="8" t="n">
        <f aca="false">SUMIFS('Source'!$D:$D,'Source'!$A:$A,"155138 לקוח אינטרנט",'Source'!$B:$B,$A193)</f>
        <v>19</v>
      </c>
      <c r="D193" s="8" t="n">
        <f aca="false">SUMIFS('Source'!$F:$F,'Source'!$A:$A,"155138 לקוח אינטרנט",'Source'!$B:$B,$A193)</f>
        <v>29</v>
      </c>
      <c r="E193" s="8" t="n">
        <f aca="false">D193*$J$5</f>
        <v>36.6315789473684</v>
      </c>
      <c r="F193" s="8" t="n">
        <f aca="false">E193-C193</f>
        <v>17.6315789473684</v>
      </c>
      <c r="G193" s="9" t="n">
        <f aca="false">IF(AND(C193=0,E193=0),0,IF(C193=0,"New",(E193-C193)/C193))</f>
        <v>0.92797783933518</v>
      </c>
      <c r="H193" s="8" t="n">
        <f aca="false">SUMIFS('Source'!$E:$E,'Source'!$A:$A,"155138 לקוח אינטרנט",'Source'!$B:$B,$A193)</f>
        <v>1900.63</v>
      </c>
      <c r="I193" s="8" t="n">
        <f aca="false">SUMIFS('Source'!$G:$G,'Source'!$A:$A,"155138 לקוח אינטרנט",'Source'!$B:$B,$A193)</f>
        <v>2889.34</v>
      </c>
      <c r="J193" s="8" t="n">
        <f aca="false">I193*$J$5</f>
        <v>3649.69263157895</v>
      </c>
      <c r="K193" s="8" t="n">
        <f aca="false">J193-H193</f>
        <v>1749.06263157895</v>
      </c>
      <c r="L193" s="9" t="n">
        <f aca="false">IF(AND(H193=0,J193=0),0,IF(H193=0,"New",(J193-H193)/H193))</f>
        <v>0.920254142878386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285</v>
      </c>
      <c r="B194" s="7" t="str">
        <f aca="false">IFERROR(INDEX('Source'!$C:$C,MATCH($A194,'Source'!$B:$B,0)),"")</f>
        <v>מגן שוק SC39</v>
      </c>
      <c r="C194" s="8" t="n">
        <f aca="false">SUMIFS('Source'!$D:$D,'Source'!$A:$A,"155138 לקוח אינטרנט",'Source'!$B:$B,$A194)</f>
        <v>5</v>
      </c>
      <c r="D194" s="8" t="n">
        <f aca="false">SUMIFS('Source'!$F:$F,'Source'!$A:$A,"155138 לקוח אינטרנט",'Source'!$B:$B,$A194)</f>
        <v>8</v>
      </c>
      <c r="E194" s="8" t="n">
        <f aca="false">D194*$J$5</f>
        <v>10.1052631578947</v>
      </c>
      <c r="F194" s="8" t="n">
        <f aca="false">E194-C194</f>
        <v>5.10526315789474</v>
      </c>
      <c r="G194" s="9" t="n">
        <f aca="false">IF(AND(C194=0,E194=0),0,IF(C194=0,"New",(E194-C194)/C194))</f>
        <v>1.02105263157895</v>
      </c>
      <c r="H194" s="8" t="n">
        <f aca="false">SUMIFS('Source'!$E:$E,'Source'!$A:$A,"155138 לקוח אינטרנט",'Source'!$B:$B,$A194)</f>
        <v>1239.44</v>
      </c>
      <c r="I194" s="8" t="n">
        <f aca="false">SUMIFS('Source'!$G:$G,'Source'!$A:$A,"155138 לקוח אינטרנט",'Source'!$B:$B,$A194)</f>
        <v>2223.84</v>
      </c>
      <c r="J194" s="8" t="n">
        <f aca="false">I194*$J$5</f>
        <v>2809.06105263158</v>
      </c>
      <c r="K194" s="8" t="n">
        <f aca="false">J194-H194</f>
        <v>1569.62105263158</v>
      </c>
      <c r="L194" s="9" t="n">
        <f aca="false">IF(AND(H194=0,J194=0),0,IF(H194=0,"New",(J194-H194)/H194))</f>
        <v>1.26639535002225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286</v>
      </c>
      <c r="B195" s="7" t="str">
        <f aca="false">IFERROR(INDEX('Source'!$C:$C,MATCH($A195,'Source'!$B:$B,0)),"")</f>
        <v>שרוול לבוניון מסיליקון</v>
      </c>
      <c r="C195" s="8" t="n">
        <f aca="false">SUMIFS('Source'!$D:$D,'Source'!$A:$A,"155138 לקוח אינטרנט",'Source'!$B:$B,$A195)</f>
        <v>29</v>
      </c>
      <c r="D195" s="8" t="n">
        <f aca="false">SUMIFS('Source'!$F:$F,'Source'!$A:$A,"155138 לקוח אינטרנט",'Source'!$B:$B,$A195)</f>
        <v>41</v>
      </c>
      <c r="E195" s="8" t="n">
        <f aca="false">D195*$J$5</f>
        <v>51.7894736842105</v>
      </c>
      <c r="F195" s="8" t="n">
        <f aca="false">E195-C195</f>
        <v>22.7894736842105</v>
      </c>
      <c r="G195" s="9" t="n">
        <f aca="false">IF(AND(C195=0,E195=0),0,IF(C195=0,"New",(E195-C195)/C195))</f>
        <v>0.78584392014519</v>
      </c>
      <c r="H195" s="8" t="n">
        <f aca="false">SUMIFS('Source'!$E:$E,'Source'!$A:$A,"155138 לקוח אינטרנט",'Source'!$B:$B,$A195)</f>
        <v>1777.68</v>
      </c>
      <c r="I195" s="8" t="n">
        <f aca="false">SUMIFS('Source'!$G:$G,'Source'!$A:$A,"155138 לקוח אינטרנט",'Source'!$B:$B,$A195)</f>
        <v>2749.04</v>
      </c>
      <c r="J195" s="8" t="n">
        <f aca="false">I195*$J$5</f>
        <v>3472.47157894737</v>
      </c>
      <c r="K195" s="8" t="n">
        <f aca="false">J195-H195</f>
        <v>1694.79157894737</v>
      </c>
      <c r="L195" s="9" t="n">
        <f aca="false">IF(AND(H195=0,J195=0),0,IF(H195=0,"New",(J195-H195)/H195))</f>
        <v>0.953372698656321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287</v>
      </c>
      <c r="B196" s="7" t="str">
        <f aca="false">IFERROR(INDEX('Source'!$C:$C,MATCH($A196,'Source'!$B:$B,0)),"")</f>
        <v>חגורת שבר לצד ימין</v>
      </c>
      <c r="C196" s="8" t="n">
        <f aca="false">SUMIFS('Source'!$D:$D,'Source'!$A:$A,"155138 לקוח אינטרנט",'Source'!$B:$B,$A196)</f>
        <v>5</v>
      </c>
      <c r="D196" s="8" t="n">
        <f aca="false">SUMIFS('Source'!$F:$F,'Source'!$A:$A,"155138 לקוח אינטרנט",'Source'!$B:$B,$A196)</f>
        <v>2</v>
      </c>
      <c r="E196" s="8" t="n">
        <f aca="false">D196*$J$5</f>
        <v>2.52631578947368</v>
      </c>
      <c r="F196" s="8" t="n">
        <f aca="false">E196-C196</f>
        <v>-2.47368421052632</v>
      </c>
      <c r="G196" s="9" t="n">
        <f aca="false">IF(AND(C196=0,E196=0),0,IF(C196=0,"New",(E196-C196)/C196))</f>
        <v>-0.494736842105263</v>
      </c>
      <c r="H196" s="8" t="n">
        <f aca="false">SUMIFS('Source'!$E:$E,'Source'!$A:$A,"155138 לקוח אינטרנט",'Source'!$B:$B,$A196)</f>
        <v>1643.66</v>
      </c>
      <c r="I196" s="8" t="n">
        <f aca="false">SUMIFS('Source'!$G:$G,'Source'!$A:$A,"155138 לקוח אינטרנט",'Source'!$B:$B,$A196)</f>
        <v>677.8</v>
      </c>
      <c r="J196" s="8" t="n">
        <f aca="false">I196*$J$5</f>
        <v>856.168421052632</v>
      </c>
      <c r="K196" s="8" t="n">
        <f aca="false">J196-H196</f>
        <v>-787.491578947369</v>
      </c>
      <c r="L196" s="9" t="n">
        <f aca="false">IF(AND(H196=0,J196=0),0,IF(H196=0,"New",(J196-H196)/H196))</f>
        <v>-0.479108561957685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288</v>
      </c>
      <c r="B197" s="7" t="str">
        <f aca="false">IFERROR(INDEX('Source'!$C:$C,MATCH($A197,'Source'!$B:$B,0)),"")</f>
        <v>מגן ברך מוצלב+מוטות</v>
      </c>
      <c r="C197" s="8" t="n">
        <f aca="false">SUMIFS('Source'!$D:$D,'Source'!$A:$A,"155138 לקוח אינטרנט",'Source'!$B:$B,$A197)</f>
        <v>5</v>
      </c>
      <c r="D197" s="8" t="n">
        <f aca="false">SUMIFS('Source'!$F:$F,'Source'!$A:$A,"155138 לקוח אינטרנט",'Source'!$B:$B,$A197)</f>
        <v>0</v>
      </c>
      <c r="E197" s="8" t="n">
        <f aca="false">D197*$J$5</f>
        <v>0</v>
      </c>
      <c r="F197" s="8" t="n">
        <f aca="false">E197-C197</f>
        <v>-5</v>
      </c>
      <c r="G197" s="9" t="n">
        <f aca="false">IF(AND(C197=0,E197=0),0,IF(C197=0,"New",(E197-C197)/C197))</f>
        <v>-1</v>
      </c>
      <c r="H197" s="8" t="n">
        <f aca="false">SUMIFS('Source'!$E:$E,'Source'!$A:$A,"155138 לקוח אינטרנט",'Source'!$B:$B,$A197)</f>
        <v>961.9</v>
      </c>
      <c r="I197" s="8" t="n">
        <f aca="false">SUMIFS('Source'!$G:$G,'Source'!$A:$A,"155138 לקוח אינטרנט",'Source'!$B:$B,$A197)</f>
        <v>0</v>
      </c>
      <c r="J197" s="8" t="n">
        <f aca="false">I197*$J$5</f>
        <v>0</v>
      </c>
      <c r="K197" s="8" t="n">
        <f aca="false">J197-H197</f>
        <v>-961.9</v>
      </c>
      <c r="L197" s="9" t="n">
        <f aca="false">IF(AND(H197=0,J197=0),0,IF(H197=0,"New",(J197-H197)/H197))</f>
        <v>-1</v>
      </c>
      <c r="M197" s="7" t="str">
        <f aca="false">IF(AND(OR(C197&lt;&gt;0,H197&lt;&gt;0),D197=0,I197=0),"DROP",IF(AND(OR(D197&lt;&gt;0,I197&lt;&gt;0),C197=0,H197=0),"NEW",""))</f>
        <v>DROP</v>
      </c>
    </row>
    <row r="198" customFormat="false" ht="15" hidden="false" customHeight="false" outlineLevel="0" collapsed="false">
      <c r="A198" s="7" t="s">
        <v>289</v>
      </c>
      <c r="B198" s="7" t="str">
        <f aca="false">IFERROR(INDEX('Source'!$C:$C,MATCH($A198,'Source'!$B:$B,0)),"")</f>
        <v>ח.בטן 25 ס'מ</v>
      </c>
      <c r="C198" s="8" t="n">
        <f aca="false">SUMIFS('Source'!$D:$D,'Source'!$A:$A,"155138 לקוח אינטרנט",'Source'!$B:$B,$A198)</f>
        <v>5</v>
      </c>
      <c r="D198" s="8" t="n">
        <f aca="false">SUMIFS('Source'!$F:$F,'Source'!$A:$A,"155138 לקוח אינטרנט",'Source'!$B:$B,$A198)</f>
        <v>10</v>
      </c>
      <c r="E198" s="8" t="n">
        <f aca="false">D198*$J$5</f>
        <v>12.6315789473684</v>
      </c>
      <c r="F198" s="8" t="n">
        <f aca="false">E198-C198</f>
        <v>7.63157894736842</v>
      </c>
      <c r="G198" s="9" t="n">
        <f aca="false">IF(AND(C198=0,E198=0),0,IF(C198=0,"New",(E198-C198)/C198))</f>
        <v>1.52631578947368</v>
      </c>
      <c r="H198" s="8" t="n">
        <f aca="false">SUMIFS('Source'!$E:$E,'Source'!$A:$A,"155138 לקוח אינטרנט",'Source'!$B:$B,$A198)</f>
        <v>973.31</v>
      </c>
      <c r="I198" s="8" t="n">
        <f aca="false">SUMIFS('Source'!$G:$G,'Source'!$A:$A,"155138 לקוח אינטרנט",'Source'!$B:$B,$A198)</f>
        <v>1930.97</v>
      </c>
      <c r="J198" s="8" t="n">
        <f aca="false">I198*$J$5</f>
        <v>2439.12</v>
      </c>
      <c r="K198" s="8" t="n">
        <f aca="false">J198-H198</f>
        <v>1465.81</v>
      </c>
      <c r="L198" s="9" t="n">
        <f aca="false">IF(AND(H198=0,J198=0),0,IF(H198=0,"New",(J198-H198)/H198))</f>
        <v>1.50600528094852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290</v>
      </c>
      <c r="B199" s="7" t="str">
        <f aca="false">IFERROR(INDEX('Source'!$C:$C,MATCH($A199,'Source'!$B:$B,0)),"")</f>
        <v>צוארון פלסטי מתכוונן</v>
      </c>
      <c r="C199" s="8" t="n">
        <f aca="false">SUMIFS('Source'!$D:$D,'Source'!$A:$A,"155138 לקוח אינטרנט",'Source'!$B:$B,$A199)</f>
        <v>13</v>
      </c>
      <c r="D199" s="8" t="n">
        <f aca="false">SUMIFS('Source'!$F:$F,'Source'!$A:$A,"155138 לקוח אינטרנט",'Source'!$B:$B,$A199)</f>
        <v>5</v>
      </c>
      <c r="E199" s="8" t="n">
        <f aca="false">D199*$J$5</f>
        <v>6.31578947368421</v>
      </c>
      <c r="F199" s="8" t="n">
        <f aca="false">E199-C199</f>
        <v>-6.68421052631579</v>
      </c>
      <c r="G199" s="9" t="n">
        <f aca="false">IF(AND(C199=0,E199=0),0,IF(C199=0,"New",(E199-C199)/C199))</f>
        <v>-0.51417004048583</v>
      </c>
      <c r="H199" s="8" t="n">
        <f aca="false">SUMIFS('Source'!$E:$E,'Source'!$A:$A,"155138 לקוח אינטרנט",'Source'!$B:$B,$A199)</f>
        <v>1521.16</v>
      </c>
      <c r="I199" s="8" t="n">
        <f aca="false">SUMIFS('Source'!$G:$G,'Source'!$A:$A,"155138 לקוח אינטרנט",'Source'!$B:$B,$A199)</f>
        <v>565.17</v>
      </c>
      <c r="J199" s="8" t="n">
        <f aca="false">I199*$J$5</f>
        <v>713.898947368421</v>
      </c>
      <c r="K199" s="8" t="n">
        <f aca="false">J199-H199</f>
        <v>-807.261052631579</v>
      </c>
      <c r="L199" s="9" t="n">
        <f aca="false">IF(AND(H199=0,J199=0),0,IF(H199=0,"New",(J199-H199)/H199))</f>
        <v>-0.530687799200333</v>
      </c>
      <c r="M199" s="7" t="str">
        <f aca="false">IF(AND(OR(C199&lt;&gt;0,H199&lt;&gt;0),D199=0,I199=0),"DROP",IF(AND(OR(D199&lt;&gt;0,I199&lt;&gt;0),C199=0,H199=0),"NEW",""))</f>
        <v/>
      </c>
    </row>
    <row r="200" customFormat="false" ht="15" hidden="false" customHeight="false" outlineLevel="0" collapsed="false">
      <c r="A200" s="7" t="s">
        <v>291</v>
      </c>
      <c r="B200" s="7" t="str">
        <f aca="false">IFERROR(INDEX('Source'!$C:$C,MATCH($A200,'Source'!$B:$B,0)),"")</f>
        <v>מישר כתפיים רחב+תמיכה לבית השח</v>
      </c>
      <c r="C200" s="8" t="n">
        <f aca="false">SUMIFS('Source'!$D:$D,'Source'!$A:$A,"155138 לקוח אינטרנט",'Source'!$B:$B,$A200)</f>
        <v>9</v>
      </c>
      <c r="D200" s="8" t="n">
        <f aca="false">SUMIFS('Source'!$F:$F,'Source'!$A:$A,"155138 לקוח אינטרנט",'Source'!$B:$B,$A200)</f>
        <v>11</v>
      </c>
      <c r="E200" s="8" t="n">
        <f aca="false">D200*$J$5</f>
        <v>13.8947368421053</v>
      </c>
      <c r="F200" s="8" t="n">
        <f aca="false">E200-C200</f>
        <v>4.89473684210526</v>
      </c>
      <c r="G200" s="9" t="n">
        <f aca="false">IF(AND(C200=0,E200=0),0,IF(C200=0,"New",(E200-C200)/C200))</f>
        <v>0.543859649122807</v>
      </c>
      <c r="H200" s="8" t="n">
        <f aca="false">SUMIFS('Source'!$E:$E,'Source'!$A:$A,"155138 לקוח אינטרנט",'Source'!$B:$B,$A200)</f>
        <v>3108.02</v>
      </c>
      <c r="I200" s="8" t="n">
        <f aca="false">SUMIFS('Source'!$G:$G,'Source'!$A:$A,"155138 לקוח אינטרנט",'Source'!$B:$B,$A200)</f>
        <v>4060.52</v>
      </c>
      <c r="J200" s="8" t="n">
        <f aca="false">I200*$J$5</f>
        <v>5129.07789473684</v>
      </c>
      <c r="K200" s="8" t="n">
        <f aca="false">J200-H200</f>
        <v>2021.05789473684</v>
      </c>
      <c r="L200" s="9" t="n">
        <f aca="false">IF(AND(H200=0,J200=0),0,IF(H200=0,"New",(J200-H200)/H200))</f>
        <v>0.65027184340411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292</v>
      </c>
      <c r="B201" s="7" t="str">
        <f aca="false">IFERROR(INDEX('Source'!$C:$C,MATCH($A201,'Source'!$B:$B,0)),"")</f>
        <v>חגורת גב אפורה</v>
      </c>
      <c r="C201" s="8" t="n">
        <f aca="false">SUMIFS('Source'!$D:$D,'Source'!$A:$A,"155138 לקוח אינטרנט",'Source'!$B:$B,$A201)</f>
        <v>7</v>
      </c>
      <c r="D201" s="8" t="n">
        <f aca="false">SUMIFS('Source'!$F:$F,'Source'!$A:$A,"155138 לקוח אינטרנט",'Source'!$B:$B,$A201)</f>
        <v>2</v>
      </c>
      <c r="E201" s="8" t="n">
        <f aca="false">D201*$J$5</f>
        <v>2.52631578947368</v>
      </c>
      <c r="F201" s="8" t="n">
        <f aca="false">E201-C201</f>
        <v>-4.47368421052632</v>
      </c>
      <c r="G201" s="9" t="n">
        <f aca="false">IF(AND(C201=0,E201=0),0,IF(C201=0,"New",(E201-C201)/C201))</f>
        <v>-0.639097744360902</v>
      </c>
      <c r="H201" s="8" t="n">
        <f aca="false">SUMIFS('Source'!$E:$E,'Source'!$A:$A,"155138 לקוח אינטרנט",'Source'!$B:$B,$A201)</f>
        <v>1354.28</v>
      </c>
      <c r="I201" s="8" t="n">
        <f aca="false">SUMIFS('Source'!$G:$G,'Source'!$A:$A,"155138 לקוח אינטרנט",'Source'!$B:$B,$A201)</f>
        <v>402.38</v>
      </c>
      <c r="J201" s="8" t="n">
        <f aca="false">I201*$J$5</f>
        <v>508.269473684211</v>
      </c>
      <c r="K201" s="8" t="n">
        <f aca="false">J201-H201</f>
        <v>-846.01052631579</v>
      </c>
      <c r="L201" s="9" t="n">
        <f aca="false">IF(AND(H201=0,J201=0),0,IF(H201=0,"New",(J201-H201)/H201))</f>
        <v>-0.624693952739308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293</v>
      </c>
      <c r="B202" s="7" t="str">
        <f aca="false">IFERROR(INDEX('Source'!$C:$C,MATCH($A202,'Source'!$B:$B,0)),"")</f>
        <v>גרבי נוחות קיץ אפור</v>
      </c>
      <c r="C202" s="8" t="n">
        <f aca="false">SUMIFS('Source'!$D:$D,'Source'!$A:$A,"155138 לקוח אינטרנט",'Source'!$B:$B,$A202)</f>
        <v>25</v>
      </c>
      <c r="D202" s="8" t="n">
        <f aca="false">SUMIFS('Source'!$F:$F,'Source'!$A:$A,"155138 לקוח אינטרנט",'Source'!$B:$B,$A202)</f>
        <v>2</v>
      </c>
      <c r="E202" s="8" t="n">
        <f aca="false">D202*$J$5</f>
        <v>2.52631578947368</v>
      </c>
      <c r="F202" s="8" t="n">
        <f aca="false">E202-C202</f>
        <v>-22.4736842105263</v>
      </c>
      <c r="G202" s="9" t="n">
        <f aca="false">IF(AND(C202=0,E202=0),0,IF(C202=0,"New",(E202-C202)/C202))</f>
        <v>-0.898947368421053</v>
      </c>
      <c r="H202" s="8" t="n">
        <f aca="false">SUMIFS('Source'!$E:$E,'Source'!$A:$A,"155138 לקוח אינטרנט",'Source'!$B:$B,$A202)</f>
        <v>1017.05</v>
      </c>
      <c r="I202" s="8" t="n">
        <f aca="false">SUMIFS('Source'!$G:$G,'Source'!$A:$A,"155138 לקוח אינטרנט",'Source'!$B:$B,$A202)</f>
        <v>76.14</v>
      </c>
      <c r="J202" s="8" t="n">
        <f aca="false">I202*$J$5</f>
        <v>96.1768421052632</v>
      </c>
      <c r="K202" s="8" t="n">
        <f aca="false">J202-H202</f>
        <v>-920.873157894737</v>
      </c>
      <c r="L202" s="9" t="n">
        <f aca="false">IF(AND(H202=0,J202=0),0,IF(H202=0,"New",(J202-H202)/H202))</f>
        <v>-0.905435482911103</v>
      </c>
      <c r="M202" s="7" t="str">
        <f aca="false">IF(AND(OR(C202&lt;&gt;0,H202&lt;&gt;0),D202=0,I202=0),"DROP",IF(AND(OR(D202&lt;&gt;0,I202&lt;&gt;0),C202=0,H202=0),"NEW",""))</f>
        <v/>
      </c>
    </row>
    <row r="203" customFormat="false" ht="15" hidden="false" customHeight="false" outlineLevel="0" collapsed="false">
      <c r="A203" s="7" t="s">
        <v>294</v>
      </c>
      <c r="B203" s="7" t="str">
        <f aca="false">IFERROR(INDEX('Source'!$C:$C,MATCH($A203,'Source'!$B:$B,0)),"")</f>
        <v>מגן קרסול עם תמיכה</v>
      </c>
      <c r="C203" s="8" t="n">
        <f aca="false">SUMIFS('Source'!$D:$D,'Source'!$A:$A,"155138 לקוח אינטרנט",'Source'!$B:$B,$A203)</f>
        <v>4</v>
      </c>
      <c r="D203" s="8" t="n">
        <f aca="false">SUMIFS('Source'!$F:$F,'Source'!$A:$A,"155138 לקוח אינטרנט",'Source'!$B:$B,$A203)</f>
        <v>0</v>
      </c>
      <c r="E203" s="8" t="n">
        <f aca="false">D203*$J$5</f>
        <v>0</v>
      </c>
      <c r="F203" s="8" t="n">
        <f aca="false">E203-C203</f>
        <v>-4</v>
      </c>
      <c r="G203" s="9" t="n">
        <f aca="false">IF(AND(C203=0,E203=0),0,IF(C203=0,"New",(E203-C203)/C203))</f>
        <v>-1</v>
      </c>
      <c r="H203" s="8" t="n">
        <f aca="false">SUMIFS('Source'!$E:$E,'Source'!$A:$A,"155138 לקוח אינטרנט",'Source'!$B:$B,$A203)</f>
        <v>936.92</v>
      </c>
      <c r="I203" s="8" t="n">
        <f aca="false">SUMIFS('Source'!$G:$G,'Source'!$A:$A,"155138 לקוח אינטרנט",'Source'!$B:$B,$A203)</f>
        <v>0</v>
      </c>
      <c r="J203" s="8" t="n">
        <f aca="false">I203*$J$5</f>
        <v>0</v>
      </c>
      <c r="K203" s="8" t="n">
        <f aca="false">J203-H203</f>
        <v>-936.92</v>
      </c>
      <c r="L203" s="9" t="n">
        <f aca="false">IF(AND(H203=0,J203=0),0,IF(H203=0,"New",(J203-H203)/H203))</f>
        <v>-1</v>
      </c>
      <c r="M203" s="7" t="str">
        <f aca="false">IF(AND(OR(C203&lt;&gt;0,H203&lt;&gt;0),D203=0,I203=0),"DROP",IF(AND(OR(D203&lt;&gt;0,I203&lt;&gt;0),C203=0,H203=0),"NEW",""))</f>
        <v>DROP</v>
      </c>
    </row>
    <row r="204" customFormat="false" ht="15" hidden="false" customHeight="false" outlineLevel="0" collapsed="false">
      <c r="A204" s="7" t="s">
        <v>295</v>
      </c>
      <c r="B204" s="7" t="str">
        <f aca="false">IFERROR(INDEX('Source'!$C:$C,MATCH($A204,'Source'!$B:$B,0)),"")</f>
        <v>מגן קרסול שמאל SC35</v>
      </c>
      <c r="C204" s="8" t="n">
        <f aca="false">SUMIFS('Source'!$D:$D,'Source'!$A:$A,"155138 לקוח אינטרנט",'Source'!$B:$B,$A204)</f>
        <v>29</v>
      </c>
      <c r="D204" s="8" t="n">
        <f aca="false">SUMIFS('Source'!$F:$F,'Source'!$A:$A,"155138 לקוח אינטרנט",'Source'!$B:$B,$A204)</f>
        <v>31</v>
      </c>
      <c r="E204" s="8" t="n">
        <f aca="false">D204*$J$5</f>
        <v>39.1578947368421</v>
      </c>
      <c r="F204" s="8" t="n">
        <f aca="false">E204-C204</f>
        <v>10.1578947368421</v>
      </c>
      <c r="G204" s="9" t="n">
        <f aca="false">IF(AND(C204=0,E204=0),0,IF(C204=0,"New",(E204-C204)/C204))</f>
        <v>0.3502722323049</v>
      </c>
      <c r="H204" s="8" t="n">
        <f aca="false">SUMIFS('Source'!$E:$E,'Source'!$A:$A,"155138 לקוח אינטרנט",'Source'!$B:$B,$A204)</f>
        <v>3713.45</v>
      </c>
      <c r="I204" s="8" t="n">
        <f aca="false">SUMIFS('Source'!$G:$G,'Source'!$A:$A,"155138 לקוח אינטרנט",'Source'!$B:$B,$A204)</f>
        <v>4649.76</v>
      </c>
      <c r="J204" s="8" t="n">
        <f aca="false">I204*$J$5</f>
        <v>5873.38105263158</v>
      </c>
      <c r="K204" s="8" t="n">
        <f aca="false">J204-H204</f>
        <v>2159.93105263158</v>
      </c>
      <c r="L204" s="9" t="n">
        <f aca="false">IF(AND(H204=0,J204=0),0,IF(H204=0,"New",(J204-H204)/H204))</f>
        <v>0.581650770208722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296</v>
      </c>
      <c r="B205" s="7" t="str">
        <f aca="false">IFERROR(INDEX('Source'!$C:$C,MATCH($A205,'Source'!$B:$B,0)),"")</f>
        <v>קינזיולוגי טייפ</v>
      </c>
      <c r="C205" s="8" t="n">
        <f aca="false">SUMIFS('Source'!$D:$D,'Source'!$A:$A,"155138 לקוח אינטרנט",'Source'!$B:$B,$A205)</f>
        <v>39</v>
      </c>
      <c r="D205" s="8" t="n">
        <f aca="false">SUMIFS('Source'!$F:$F,'Source'!$A:$A,"155138 לקוח אינטרנט",'Source'!$B:$B,$A205)</f>
        <v>26</v>
      </c>
      <c r="E205" s="8" t="n">
        <f aca="false">D205*$J$5</f>
        <v>32.8421052631579</v>
      </c>
      <c r="F205" s="8" t="n">
        <f aca="false">E205-C205</f>
        <v>-6.15789473684211</v>
      </c>
      <c r="G205" s="9" t="n">
        <f aca="false">IF(AND(C205=0,E205=0),0,IF(C205=0,"New",(E205-C205)/C205))</f>
        <v>-0.157894736842105</v>
      </c>
      <c r="H205" s="8" t="n">
        <f aca="false">SUMIFS('Source'!$E:$E,'Source'!$A:$A,"155138 לקוח אינטרנט",'Source'!$B:$B,$A205)</f>
        <v>2903.04</v>
      </c>
      <c r="I205" s="8" t="n">
        <f aca="false">SUMIFS('Source'!$G:$G,'Source'!$A:$A,"155138 לקוח אינטרנט",'Source'!$B:$B,$A205)</f>
        <v>1967.09</v>
      </c>
      <c r="J205" s="8" t="n">
        <f aca="false">I205*$J$5</f>
        <v>2484.7452631579</v>
      </c>
      <c r="K205" s="8" t="n">
        <f aca="false">J205-H205</f>
        <v>-418.294736842105</v>
      </c>
      <c r="L205" s="9" t="n">
        <f aca="false">IF(AND(H205=0,J205=0),0,IF(H205=0,"New",(J205-H205)/H205))</f>
        <v>-0.144088519910888</v>
      </c>
      <c r="M205" s="7" t="str">
        <f aca="false">IF(AND(OR(C205&lt;&gt;0,H205&lt;&gt;0),D205=0,I205=0),"DROP",IF(AND(OR(D205&lt;&gt;0,I205&lt;&gt;0),C205=0,H205=0),"NEW",""))</f>
        <v/>
      </c>
    </row>
    <row r="206" customFormat="false" ht="15" hidden="false" customHeight="false" outlineLevel="0" collapsed="false">
      <c r="A206" s="7" t="s">
        <v>297</v>
      </c>
      <c r="B206" s="7" t="str">
        <f aca="false">IFERROR(INDEX('Source'!$C:$C,MATCH($A206,'Source'!$B:$B,0)),"")</f>
        <v>חגורת גב+סגירה כפולה</v>
      </c>
      <c r="C206" s="8" t="n">
        <f aca="false">SUMIFS('Source'!$D:$D,'Source'!$A:$A,"155138 לקוח אינטרנט",'Source'!$B:$B,$A206)</f>
        <v>47</v>
      </c>
      <c r="D206" s="8" t="n">
        <f aca="false">SUMIFS('Source'!$F:$F,'Source'!$A:$A,"155138 לקוח אינטרנט",'Source'!$B:$B,$A206)</f>
        <v>39</v>
      </c>
      <c r="E206" s="8" t="n">
        <f aca="false">D206*$J$5</f>
        <v>49.2631578947368</v>
      </c>
      <c r="F206" s="8" t="n">
        <f aca="false">E206-C206</f>
        <v>2.26315789473684</v>
      </c>
      <c r="G206" s="9" t="n">
        <f aca="false">IF(AND(C206=0,E206=0),0,IF(C206=0,"New",(E206-C206)/C206))</f>
        <v>0.0481522956326988</v>
      </c>
      <c r="H206" s="8" t="n">
        <f aca="false">SUMIFS('Source'!$E:$E,'Source'!$A:$A,"155138 לקוח אינטרנט",'Source'!$B:$B,$A206)</f>
        <v>8888.35</v>
      </c>
      <c r="I206" s="8" t="n">
        <f aca="false">SUMIFS('Source'!$G:$G,'Source'!$A:$A,"155138 לקוח אינטרנט",'Source'!$B:$B,$A206)</f>
        <v>7973.5</v>
      </c>
      <c r="J206" s="8" t="n">
        <f aca="false">I206*$J$5</f>
        <v>10071.7894736842</v>
      </c>
      <c r="K206" s="8" t="n">
        <f aca="false">J206-H206</f>
        <v>1183.43947368421</v>
      </c>
      <c r="L206" s="9" t="n">
        <f aca="false">IF(AND(H206=0,J206=0),0,IF(H206=0,"New",(J206-H206)/H206))</f>
        <v>0.133145012705869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298</v>
      </c>
      <c r="B207" s="7" t="str">
        <f aca="false">IFERROR(INDEX('Source'!$C:$C,MATCH($A207,'Source'!$B:$B,0)),"")</f>
        <v>מדרס מתכוונן לגיל</v>
      </c>
      <c r="C207" s="8" t="n">
        <f aca="false">SUMIFS('Source'!$D:$D,'Source'!$A:$A,"155138 לקוח אינטרנט",'Source'!$B:$B,$A207)</f>
        <v>24</v>
      </c>
      <c r="D207" s="8" t="n">
        <f aca="false">SUMIFS('Source'!$F:$F,'Source'!$A:$A,"155138 לקוח אינטרנט",'Source'!$B:$B,$A207)</f>
        <v>18</v>
      </c>
      <c r="E207" s="8" t="n">
        <f aca="false">D207*$J$5</f>
        <v>22.7368421052632</v>
      </c>
      <c r="F207" s="8" t="n">
        <f aca="false">E207-C207</f>
        <v>-1.26315789473684</v>
      </c>
      <c r="G207" s="9" t="n">
        <f aca="false">IF(AND(C207=0,E207=0),0,IF(C207=0,"New",(E207-C207)/C207))</f>
        <v>-0.0526315789473684</v>
      </c>
      <c r="H207" s="8" t="n">
        <f aca="false">SUMIFS('Source'!$E:$E,'Source'!$A:$A,"155138 לקוח אינטרנט",'Source'!$B:$B,$A207)</f>
        <v>3765.85</v>
      </c>
      <c r="I207" s="8" t="n">
        <f aca="false">SUMIFS('Source'!$G:$G,'Source'!$A:$A,"155138 לקוח אינטרנט",'Source'!$B:$B,$A207)</f>
        <v>2854.56</v>
      </c>
      <c r="J207" s="8" t="n">
        <f aca="false">I207*$J$5</f>
        <v>3605.76</v>
      </c>
      <c r="K207" s="8" t="n">
        <f aca="false">J207-H207</f>
        <v>-160.090000000001</v>
      </c>
      <c r="L207" s="9" t="n">
        <f aca="false">IF(AND(H207=0,J207=0),0,IF(H207=0,"New",(J207-H207)/H207))</f>
        <v>-0.042510986895389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299</v>
      </c>
      <c r="B208" s="7" t="str">
        <f aca="false">IFERROR(INDEX('Source'!$C:$C,MATCH($A208,'Source'!$B:$B,0)),"")</f>
        <v>גרבי קיץ אנטיבקטריאלי שחור</v>
      </c>
      <c r="C208" s="8" t="n">
        <f aca="false">SUMIFS('Source'!$D:$D,'Source'!$A:$A,"155138 לקוח אינטרנט",'Source'!$B:$B,$A208)</f>
        <v>0</v>
      </c>
      <c r="D208" s="8" t="n">
        <f aca="false">SUMIFS('Source'!$F:$F,'Source'!$A:$A,"155138 לקוח אינטרנט",'Source'!$B:$B,$A208)</f>
        <v>19</v>
      </c>
      <c r="E208" s="8" t="n">
        <f aca="false">D208*$J$5</f>
        <v>24</v>
      </c>
      <c r="F208" s="8" t="n">
        <f aca="false">E208-C208</f>
        <v>24</v>
      </c>
      <c r="G208" s="9" t="str">
        <f aca="false">IF(AND(C208=0,E208=0),0,IF(C208=0,"New",(E208-C208)/C208))</f>
        <v>New</v>
      </c>
      <c r="H208" s="8" t="n">
        <f aca="false">SUMIFS('Source'!$E:$E,'Source'!$A:$A,"155138 לקוח אינטרנט",'Source'!$B:$B,$A208)</f>
        <v>0</v>
      </c>
      <c r="I208" s="8" t="n">
        <f aca="false">SUMIFS('Source'!$G:$G,'Source'!$A:$A,"155138 לקוח אינטרנט",'Source'!$B:$B,$A208)</f>
        <v>910.28</v>
      </c>
      <c r="J208" s="8" t="n">
        <f aca="false">I208*$J$5</f>
        <v>1149.82736842105</v>
      </c>
      <c r="K208" s="8" t="n">
        <f aca="false">J208-H208</f>
        <v>1149.82736842105</v>
      </c>
      <c r="L208" s="9" t="str">
        <f aca="false">IF(AND(H208=0,J208=0),0,IF(H208=0,"New",(J208-H208)/H208))</f>
        <v>New</v>
      </c>
      <c r="M208" s="7" t="str">
        <f aca="false">IF(AND(OR(C208&lt;&gt;0,H208&lt;&gt;0),D208=0,I208=0),"DROP",IF(AND(OR(D208&lt;&gt;0,I208&lt;&gt;0),C208=0,H208=0),"NEW",""))</f>
        <v>NEW</v>
      </c>
    </row>
    <row r="209" customFormat="false" ht="15" hidden="false" customHeight="false" outlineLevel="0" collapsed="false">
      <c r="A209" s="7" t="s">
        <v>300</v>
      </c>
      <c r="B209" s="7" t="str">
        <f aca="false">IFERROR(INDEX('Source'!$C:$C,MATCH($A209,'Source'!$B:$B,0)),"")</f>
        <v>חגורת בטן קלה</v>
      </c>
      <c r="C209" s="8" t="n">
        <f aca="false">SUMIFS('Source'!$D:$D,'Source'!$A:$A,"155138 לקוח אינטרנט",'Source'!$B:$B,$A209)</f>
        <v>1</v>
      </c>
      <c r="D209" s="8" t="n">
        <f aca="false">SUMIFS('Source'!$F:$F,'Source'!$A:$A,"155138 לקוח אינטרנט",'Source'!$B:$B,$A209)</f>
        <v>8</v>
      </c>
      <c r="E209" s="8" t="n">
        <f aca="false">D209*$J$5</f>
        <v>10.1052631578947</v>
      </c>
      <c r="F209" s="8" t="n">
        <f aca="false">E209-C209</f>
        <v>9.10526315789474</v>
      </c>
      <c r="G209" s="9" t="n">
        <f aca="false">IF(AND(C209=0,E209=0),0,IF(C209=0,"New",(E209-C209)/C209))</f>
        <v>9.10526315789474</v>
      </c>
      <c r="H209" s="8" t="n">
        <f aca="false">SUMIFS('Source'!$E:$E,'Source'!$A:$A,"155138 לקוח אינטרנט",'Source'!$B:$B,$A209)</f>
        <v>132.97</v>
      </c>
      <c r="I209" s="8" t="n">
        <f aca="false">SUMIFS('Source'!$G:$G,'Source'!$A:$A,"155138 לקוח אינטרנט",'Source'!$B:$B,$A209)</f>
        <v>1037.14</v>
      </c>
      <c r="J209" s="8" t="n">
        <f aca="false">I209*$J$5</f>
        <v>1310.07157894737</v>
      </c>
      <c r="K209" s="8" t="n">
        <f aca="false">J209-H209</f>
        <v>1177.10157894737</v>
      </c>
      <c r="L209" s="9" t="n">
        <f aca="false">IF(AND(H209=0,J209=0),0,IF(H209=0,"New",(J209-H209)/H209))</f>
        <v>8.85238459011332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301</v>
      </c>
      <c r="B210" s="7" t="str">
        <f aca="false">IFERROR(INDEX('Source'!$C:$C,MATCH($A210,'Source'!$B:$B,0)),"")</f>
        <v>חגורה אחרי ניתוח שחור</v>
      </c>
      <c r="C210" s="8" t="n">
        <f aca="false">SUMIFS('Source'!$D:$D,'Source'!$A:$A,"155138 לקוח אינטרנט",'Source'!$B:$B,$A210)</f>
        <v>3</v>
      </c>
      <c r="D210" s="8" t="n">
        <f aca="false">SUMIFS('Source'!$F:$F,'Source'!$A:$A,"155138 לקוח אינטרנט",'Source'!$B:$B,$A210)</f>
        <v>0</v>
      </c>
      <c r="E210" s="8" t="n">
        <f aca="false">D210*$J$5</f>
        <v>0</v>
      </c>
      <c r="F210" s="8" t="n">
        <f aca="false">E210-C210</f>
        <v>-3</v>
      </c>
      <c r="G210" s="9" t="n">
        <f aca="false">IF(AND(C210=0,E210=0),0,IF(C210=0,"New",(E210-C210)/C210))</f>
        <v>-1</v>
      </c>
      <c r="H210" s="8" t="n">
        <f aca="false">SUMIFS('Source'!$E:$E,'Source'!$A:$A,"155138 לקוח אינטרנט",'Source'!$B:$B,$A210)</f>
        <v>902.28</v>
      </c>
      <c r="I210" s="8" t="n">
        <f aca="false">SUMIFS('Source'!$G:$G,'Source'!$A:$A,"155138 לקוח אינטרנט",'Source'!$B:$B,$A210)</f>
        <v>0</v>
      </c>
      <c r="J210" s="8" t="n">
        <f aca="false">I210*$J$5</f>
        <v>0</v>
      </c>
      <c r="K210" s="8" t="n">
        <f aca="false">J210-H210</f>
        <v>-902.28</v>
      </c>
      <c r="L210" s="9" t="n">
        <f aca="false">IF(AND(H210=0,J210=0),0,IF(H210=0,"New",(J210-H210)/H210))</f>
        <v>-1</v>
      </c>
      <c r="M210" s="7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false" outlineLevel="0" collapsed="false">
      <c r="A211" s="7" t="s">
        <v>302</v>
      </c>
      <c r="B211" s="7" t="str">
        <f aca="false">IFERROR(INDEX('Source'!$C:$C,MATCH($A211,'Source'!$B:$B,0)),"")</f>
        <v>מדרס מתכוונן לגיל</v>
      </c>
      <c r="C211" s="8" t="n">
        <f aca="false">SUMIFS('Source'!$D:$D,'Source'!$A:$A,"155138 לקוח אינטרנט",'Source'!$B:$B,$A211)</f>
        <v>10</v>
      </c>
      <c r="D211" s="8" t="n">
        <f aca="false">SUMIFS('Source'!$F:$F,'Source'!$A:$A,"155138 לקוח אינטרנט",'Source'!$B:$B,$A211)</f>
        <v>4</v>
      </c>
      <c r="E211" s="8" t="n">
        <f aca="false">D211*$J$5</f>
        <v>5.05263157894737</v>
      </c>
      <c r="F211" s="8" t="n">
        <f aca="false">E211-C211</f>
        <v>-4.94736842105263</v>
      </c>
      <c r="G211" s="9" t="n">
        <f aca="false">IF(AND(C211=0,E211=0),0,IF(C211=0,"New",(E211-C211)/C211))</f>
        <v>-0.494736842105263</v>
      </c>
      <c r="H211" s="8" t="n">
        <f aca="false">SUMIFS('Source'!$E:$E,'Source'!$A:$A,"155138 לקוח אינטרנט",'Source'!$B:$B,$A211)</f>
        <v>1558.57</v>
      </c>
      <c r="I211" s="8" t="n">
        <f aca="false">SUMIFS('Source'!$G:$G,'Source'!$A:$A,"155138 לקוח אינטרנט",'Source'!$B:$B,$A211)</f>
        <v>660.7</v>
      </c>
      <c r="J211" s="8" t="n">
        <f aca="false">I211*$J$5</f>
        <v>834.568421052632</v>
      </c>
      <c r="K211" s="8" t="n">
        <f aca="false">J211-H211</f>
        <v>-724.001578947368</v>
      </c>
      <c r="L211" s="9" t="n">
        <f aca="false">IF(AND(H211=0,J211=0),0,IF(H211=0,"New",(J211-H211)/H211))</f>
        <v>-0.464529394860268</v>
      </c>
      <c r="M211" s="7" t="str">
        <f aca="false">IF(AND(OR(C211&lt;&gt;0,H211&lt;&gt;0),D211=0,I211=0),"DROP",IF(AND(OR(D211&lt;&gt;0,I211&lt;&gt;0),C211=0,H211=0),"NEW",""))</f>
        <v/>
      </c>
    </row>
    <row r="212" customFormat="false" ht="15" hidden="false" customHeight="false" outlineLevel="0" collapsed="false">
      <c r="A212" s="7" t="s">
        <v>303</v>
      </c>
      <c r="B212" s="7" t="str">
        <f aca="false">IFERROR(INDEX('Source'!$C:$C,MATCH($A212,'Source'!$B:$B,0)),"")</f>
        <v>מגן קרסול שמאל SC35</v>
      </c>
      <c r="C212" s="8" t="n">
        <f aca="false">SUMIFS('Source'!$D:$D,'Source'!$A:$A,"155138 לקוח אינטרנט",'Source'!$B:$B,$A212)</f>
        <v>21</v>
      </c>
      <c r="D212" s="8" t="n">
        <f aca="false">SUMIFS('Source'!$F:$F,'Source'!$A:$A,"155138 לקוח אינטרנט",'Source'!$B:$B,$A212)</f>
        <v>13</v>
      </c>
      <c r="E212" s="8" t="n">
        <f aca="false">D212*$J$5</f>
        <v>16.4210526315789</v>
      </c>
      <c r="F212" s="8" t="n">
        <f aca="false">E212-C212</f>
        <v>-4.57894736842106</v>
      </c>
      <c r="G212" s="9" t="n">
        <f aca="false">IF(AND(C212=0,E212=0),0,IF(C212=0,"New",(E212-C212)/C212))</f>
        <v>-0.218045112781955</v>
      </c>
      <c r="H212" s="8" t="n">
        <f aca="false">SUMIFS('Source'!$E:$E,'Source'!$A:$A,"155138 לקוח אינטרנט",'Source'!$B:$B,$A212)</f>
        <v>2759.77</v>
      </c>
      <c r="I212" s="8" t="n">
        <f aca="false">SUMIFS('Source'!$G:$G,'Source'!$A:$A,"155138 לקוח אינטרנט",'Source'!$B:$B,$A212)</f>
        <v>1871.97</v>
      </c>
      <c r="J212" s="8" t="n">
        <f aca="false">I212*$J$5</f>
        <v>2364.59368421053</v>
      </c>
      <c r="K212" s="8" t="n">
        <f aca="false">J212-H212</f>
        <v>-395.176315789474</v>
      </c>
      <c r="L212" s="9" t="n">
        <f aca="false">IF(AND(H212=0,J212=0),0,IF(H212=0,"New",(J212-H212)/H212))</f>
        <v>-0.143191757207838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304</v>
      </c>
      <c r="B213" s="7" t="str">
        <f aca="false">IFERROR(INDEX('Source'!$C:$C,MATCH($A213,'Source'!$B:$B,0)),"")</f>
        <v>חגורת גב עם חיזוק</v>
      </c>
      <c r="C213" s="8" t="n">
        <f aca="false">SUMIFS('Source'!$D:$D,'Source'!$A:$A,"155138 לקוח אינטרנט",'Source'!$B:$B,$A213)</f>
        <v>0</v>
      </c>
      <c r="D213" s="8" t="n">
        <f aca="false">SUMIFS('Source'!$F:$F,'Source'!$A:$A,"155138 לקוח אינטרנט",'Source'!$B:$B,$A213)</f>
        <v>4</v>
      </c>
      <c r="E213" s="8" t="n">
        <f aca="false">D213*$J$5</f>
        <v>5.05263157894737</v>
      </c>
      <c r="F213" s="8" t="n">
        <f aca="false">E213-C213</f>
        <v>5.05263157894737</v>
      </c>
      <c r="G213" s="9" t="str">
        <f aca="false">IF(AND(C213=0,E213=0),0,IF(C213=0,"New",(E213-C213)/C213))</f>
        <v>New</v>
      </c>
      <c r="H213" s="8" t="n">
        <f aca="false">SUMIFS('Source'!$E:$E,'Source'!$A:$A,"155138 לקוח אינטרנט",'Source'!$B:$B,$A213)</f>
        <v>0</v>
      </c>
      <c r="I213" s="8" t="n">
        <f aca="false">SUMIFS('Source'!$G:$G,'Source'!$A:$A,"155138 לקוח אינטרנט",'Source'!$B:$B,$A213)</f>
        <v>886.1</v>
      </c>
      <c r="J213" s="8" t="n">
        <f aca="false">I213*$J$5</f>
        <v>1119.28421052632</v>
      </c>
      <c r="K213" s="8" t="n">
        <f aca="false">J213-H213</f>
        <v>1119.28421052632</v>
      </c>
      <c r="L213" s="9" t="str">
        <f aca="false">IF(AND(H213=0,J213=0),0,IF(H213=0,"New",(J213-H213)/H213))</f>
        <v>New</v>
      </c>
      <c r="M213" s="7" t="str">
        <f aca="false">IF(AND(OR(C213&lt;&gt;0,H213&lt;&gt;0),D213=0,I213=0),"DROP",IF(AND(OR(D213&lt;&gt;0,I213&lt;&gt;0),C213=0,H213=0),"NEW",""))</f>
        <v>NEW</v>
      </c>
    </row>
    <row r="214" customFormat="false" ht="15" hidden="false" customHeight="false" outlineLevel="0" collapsed="false">
      <c r="A214" s="7" t="s">
        <v>305</v>
      </c>
      <c r="B214" s="7" t="str">
        <f aca="false">IFERROR(INDEX('Source'!$C:$C,MATCH($A214,'Source'!$B:$B,0)),"")</f>
        <v>חגורת בטן קלה</v>
      </c>
      <c r="C214" s="8" t="n">
        <f aca="false">SUMIFS('Source'!$D:$D,'Source'!$A:$A,"155138 לקוח אינטרנט",'Source'!$B:$B,$A214)</f>
        <v>17</v>
      </c>
      <c r="D214" s="8" t="n">
        <f aca="false">SUMIFS('Source'!$F:$F,'Source'!$A:$A,"155138 לקוח אינטרנט",'Source'!$B:$B,$A214)</f>
        <v>25</v>
      </c>
      <c r="E214" s="8" t="n">
        <f aca="false">D214*$J$5</f>
        <v>31.5789473684211</v>
      </c>
      <c r="F214" s="8" t="n">
        <f aca="false">E214-C214</f>
        <v>14.5789473684211</v>
      </c>
      <c r="G214" s="9" t="n">
        <f aca="false">IF(AND(C214=0,E214=0),0,IF(C214=0,"New",(E214-C214)/C214))</f>
        <v>0.857585139318885</v>
      </c>
      <c r="H214" s="8" t="n">
        <f aca="false">SUMIFS('Source'!$E:$E,'Source'!$A:$A,"155138 לקוח אינטרנט",'Source'!$B:$B,$A214)</f>
        <v>1808.7</v>
      </c>
      <c r="I214" s="8" t="n">
        <f aca="false">SUMIFS('Source'!$G:$G,'Source'!$A:$A,"155138 לקוח אינטרנט",'Source'!$B:$B,$A214)</f>
        <v>2680.53</v>
      </c>
      <c r="J214" s="8" t="n">
        <f aca="false">I214*$J$5</f>
        <v>3385.93263157895</v>
      </c>
      <c r="K214" s="8" t="n">
        <f aca="false">J214-H214</f>
        <v>1577.23263157895</v>
      </c>
      <c r="L214" s="9" t="n">
        <f aca="false">IF(AND(H214=0,J214=0),0,IF(H214=0,"New",(J214-H214)/H214))</f>
        <v>0.872025560667301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306</v>
      </c>
      <c r="B215" s="7" t="str">
        <f aca="false">IFERROR(INDEX('Source'!$C:$C,MATCH($A215,'Source'!$B:$B,0)),"")</f>
        <v>מדרסי ג'ל קומפורט</v>
      </c>
      <c r="C215" s="8" t="n">
        <f aca="false">SUMIFS('Source'!$D:$D,'Source'!$A:$A,"155138 לקוח אינטרנט",'Source'!$B:$B,$A215)</f>
        <v>15</v>
      </c>
      <c r="D215" s="8" t="n">
        <f aca="false">SUMIFS('Source'!$F:$F,'Source'!$A:$A,"155138 לקוח אינטרנט",'Source'!$B:$B,$A215)</f>
        <v>19</v>
      </c>
      <c r="E215" s="8" t="n">
        <f aca="false">D215*$J$5</f>
        <v>24</v>
      </c>
      <c r="F215" s="8" t="n">
        <f aca="false">E215-C215</f>
        <v>9</v>
      </c>
      <c r="G215" s="9" t="n">
        <f aca="false">IF(AND(C215=0,E215=0),0,IF(C215=0,"New",(E215-C215)/C215))</f>
        <v>0.6</v>
      </c>
      <c r="H215" s="8" t="n">
        <f aca="false">SUMIFS('Source'!$E:$E,'Source'!$A:$A,"155138 לקוח אינטרנט",'Source'!$B:$B,$A215)</f>
        <v>2957.61</v>
      </c>
      <c r="I215" s="8" t="n">
        <f aca="false">SUMIFS('Source'!$G:$G,'Source'!$A:$A,"155138 לקוח אינטרנט",'Source'!$B:$B,$A215)</f>
        <v>3825.63</v>
      </c>
      <c r="J215" s="8" t="n">
        <f aca="false">I215*$J$5</f>
        <v>4832.37473684211</v>
      </c>
      <c r="K215" s="8" t="n">
        <f aca="false">J215-H215</f>
        <v>1874.76473684211</v>
      </c>
      <c r="L215" s="9" t="n">
        <f aca="false">IF(AND(H215=0,J215=0),0,IF(H215=0,"New",(J215-H215)/H215))</f>
        <v>0.633878279030063</v>
      </c>
      <c r="M215" s="7" t="str">
        <f aca="false">IF(AND(OR(C215&lt;&gt;0,H215&lt;&gt;0),D215=0,I215=0),"DROP",IF(AND(OR(D215&lt;&gt;0,I215&lt;&gt;0),C215=0,H215=0),"NEW",""))</f>
        <v/>
      </c>
    </row>
    <row r="216" customFormat="false" ht="15" hidden="false" customHeight="false" outlineLevel="0" collapsed="false">
      <c r="A216" s="7" t="s">
        <v>307</v>
      </c>
      <c r="B216" s="7" t="str">
        <f aca="false">IFERROR(INDEX('Source'!$C:$C,MATCH($A216,'Source'!$B:$B,0)),"")</f>
        <v>סד מאורך לאגודל</v>
      </c>
      <c r="C216" s="8" t="n">
        <f aca="false">SUMIFS('Source'!$D:$D,'Source'!$A:$A,"155138 לקוח אינטרנט",'Source'!$B:$B,$A216)</f>
        <v>7</v>
      </c>
      <c r="D216" s="8" t="n">
        <f aca="false">SUMIFS('Source'!$F:$F,'Source'!$A:$A,"155138 לקוח אינטרנט",'Source'!$B:$B,$A216)</f>
        <v>14</v>
      </c>
      <c r="E216" s="8" t="n">
        <f aca="false">D216*$J$5</f>
        <v>17.6842105263158</v>
      </c>
      <c r="F216" s="8" t="n">
        <f aca="false">E216-C216</f>
        <v>10.6842105263158</v>
      </c>
      <c r="G216" s="9" t="n">
        <f aca="false">IF(AND(C216=0,E216=0),0,IF(C216=0,"New",(E216-C216)/C216))</f>
        <v>1.52631578947368</v>
      </c>
      <c r="H216" s="8" t="n">
        <f aca="false">SUMIFS('Source'!$E:$E,'Source'!$A:$A,"155138 לקוח אינטרנט",'Source'!$B:$B,$A216)</f>
        <v>836.92</v>
      </c>
      <c r="I216" s="8" t="n">
        <f aca="false">SUMIFS('Source'!$G:$G,'Source'!$A:$A,"155138 לקוח אינטרנט",'Source'!$B:$B,$A216)</f>
        <v>1702.26</v>
      </c>
      <c r="J216" s="8" t="n">
        <f aca="false">I216*$J$5</f>
        <v>2150.22315789474</v>
      </c>
      <c r="K216" s="8" t="n">
        <f aca="false">J216-H216</f>
        <v>1313.30315789474</v>
      </c>
      <c r="L216" s="9" t="n">
        <f aca="false">IF(AND(H216=0,J216=0),0,IF(H216=0,"New",(J216-H216)/H216))</f>
        <v>1.56920991002095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308</v>
      </c>
      <c r="B217" s="7" t="str">
        <f aca="false">IFERROR(INDEX('Source'!$C:$C,MATCH($A217,'Source'!$B:$B,0)),"")</f>
        <v>חבק יד אגודלי שחור</v>
      </c>
      <c r="C217" s="8" t="n">
        <f aca="false">SUMIFS('Source'!$D:$D,'Source'!$A:$A,"155138 לקוח אינטרנט",'Source'!$B:$B,$A217)</f>
        <v>29</v>
      </c>
      <c r="D217" s="8" t="n">
        <f aca="false">SUMIFS('Source'!$F:$F,'Source'!$A:$A,"155138 לקוח אינטרנט",'Source'!$B:$B,$A217)</f>
        <v>17</v>
      </c>
      <c r="E217" s="8" t="n">
        <f aca="false">D217*$J$5</f>
        <v>21.4736842105263</v>
      </c>
      <c r="F217" s="8" t="n">
        <f aca="false">E217-C217</f>
        <v>-7.52631578947369</v>
      </c>
      <c r="G217" s="9" t="n">
        <f aca="false">IF(AND(C217=0,E217=0),0,IF(C217=0,"New",(E217-C217)/C217))</f>
        <v>-0.259528130671506</v>
      </c>
      <c r="H217" s="8" t="n">
        <f aca="false">SUMIFS('Source'!$E:$E,'Source'!$A:$A,"155138 לקוח אינטרנט",'Source'!$B:$B,$A217)</f>
        <v>2256.45</v>
      </c>
      <c r="I217" s="8" t="n">
        <f aca="false">SUMIFS('Source'!$G:$G,'Source'!$A:$A,"155138 לקוח אינטרנט",'Source'!$B:$B,$A217)</f>
        <v>1392.68</v>
      </c>
      <c r="J217" s="8" t="n">
        <f aca="false">I217*$J$5</f>
        <v>1759.17473684211</v>
      </c>
      <c r="K217" s="8" t="n">
        <f aca="false">J217-H217</f>
        <v>-497.275263157895</v>
      </c>
      <c r="L217" s="9" t="n">
        <f aca="false">IF(AND(H217=0,J217=0),0,IF(H217=0,"New",(J217-H217)/H217))</f>
        <v>-0.220379473579248</v>
      </c>
      <c r="M217" s="7" t="str">
        <f aca="false">IF(AND(OR(C217&lt;&gt;0,H217&lt;&gt;0),D217=0,I217=0),"DROP",IF(AND(OR(D217&lt;&gt;0,I217&lt;&gt;0),C217=0,H217=0),"NEW",""))</f>
        <v/>
      </c>
    </row>
    <row r="218" customFormat="false" ht="15" hidden="false" customHeight="false" outlineLevel="0" collapsed="false">
      <c r="A218" s="7" t="s">
        <v>309</v>
      </c>
      <c r="B218" s="7" t="str">
        <f aca="false">IFERROR(INDEX('Source'!$C:$C,MATCH($A218,'Source'!$B:$B,0)),"")</f>
        <v>חגורה לשבר טבור</v>
      </c>
      <c r="C218" s="8" t="n">
        <f aca="false">SUMIFS('Source'!$D:$D,'Source'!$A:$A,"155138 לקוח אינטרנט",'Source'!$B:$B,$A218)</f>
        <v>8</v>
      </c>
      <c r="D218" s="8" t="n">
        <f aca="false">SUMIFS('Source'!$F:$F,'Source'!$A:$A,"155138 לקוח אינטרנט",'Source'!$B:$B,$A218)</f>
        <v>5</v>
      </c>
      <c r="E218" s="8" t="n">
        <f aca="false">D218*$J$5</f>
        <v>6.31578947368421</v>
      </c>
      <c r="F218" s="8" t="n">
        <f aca="false">E218-C218</f>
        <v>-1.68421052631579</v>
      </c>
      <c r="G218" s="9" t="n">
        <f aca="false">IF(AND(C218=0,E218=0),0,IF(C218=0,"New",(E218-C218)/C218))</f>
        <v>-0.210526315789474</v>
      </c>
      <c r="H218" s="8" t="n">
        <f aca="false">SUMIFS('Source'!$E:$E,'Source'!$A:$A,"155138 לקוח אינטרנט",'Source'!$B:$B,$A218)</f>
        <v>2185.34</v>
      </c>
      <c r="I218" s="8" t="n">
        <f aca="false">SUMIFS('Source'!$G:$G,'Source'!$A:$A,"155138 לקוח אינטרנט",'Source'!$B:$B,$A218)</f>
        <v>1333.91</v>
      </c>
      <c r="J218" s="8" t="n">
        <f aca="false">I218*$J$5</f>
        <v>1684.93894736842</v>
      </c>
      <c r="K218" s="8" t="n">
        <f aca="false">J218-H218</f>
        <v>-500.401052631579</v>
      </c>
      <c r="L218" s="9" t="n">
        <f aca="false">IF(AND(H218=0,J218=0),0,IF(H218=0,"New",(J218-H218)/H218))</f>
        <v>-0.228980869169822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310</v>
      </c>
      <c r="B219" s="7" t="str">
        <f aca="false">IFERROR(INDEX('Source'!$C:$C,MATCH($A219,'Source'!$B:$B,0)),"")</f>
        <v>מגן ברך מוצלב+מוט</v>
      </c>
      <c r="C219" s="8" t="n">
        <f aca="false">SUMIFS('Source'!$D:$D,'Source'!$A:$A,"155138 לקוח אינטרנט",'Source'!$B:$B,$A219)</f>
        <v>1</v>
      </c>
      <c r="D219" s="8" t="n">
        <f aca="false">SUMIFS('Source'!$F:$F,'Source'!$A:$A,"155138 לקוח אינטרנט",'Source'!$B:$B,$A219)</f>
        <v>5</v>
      </c>
      <c r="E219" s="8" t="n">
        <f aca="false">D219*$J$5</f>
        <v>6.31578947368421</v>
      </c>
      <c r="F219" s="8" t="n">
        <f aca="false">E219-C219</f>
        <v>5.31578947368421</v>
      </c>
      <c r="G219" s="9" t="n">
        <f aca="false">IF(AND(C219=0,E219=0),0,IF(C219=0,"New",(E219-C219)/C219))</f>
        <v>5.31578947368421</v>
      </c>
      <c r="H219" s="8" t="n">
        <f aca="false">SUMIFS('Source'!$E:$E,'Source'!$A:$A,"155138 לקוח אינטרנט",'Source'!$B:$B,$A219)</f>
        <v>245.68</v>
      </c>
      <c r="I219" s="8" t="n">
        <f aca="false">SUMIFS('Source'!$G:$G,'Source'!$A:$A,"155138 לקוח אינטרנט",'Source'!$B:$B,$A219)</f>
        <v>1093.28</v>
      </c>
      <c r="J219" s="8" t="n">
        <f aca="false">I219*$J$5</f>
        <v>1380.98526315789</v>
      </c>
      <c r="K219" s="8" t="n">
        <f aca="false">J219-H219</f>
        <v>1135.30526315789</v>
      </c>
      <c r="L219" s="9" t="n">
        <f aca="false">IF(AND(H219=0,J219=0),0,IF(H219=0,"New",(J219-H219)/H219))</f>
        <v>4.6210731974841</v>
      </c>
      <c r="M219" s="7" t="str">
        <f aca="false">IF(AND(OR(C219&lt;&gt;0,H219&lt;&gt;0),D219=0,I219=0),"DROP",IF(AND(OR(D219&lt;&gt;0,I219&lt;&gt;0),C219=0,H219=0),"NEW",""))</f>
        <v/>
      </c>
    </row>
    <row r="220" customFormat="false" ht="15" hidden="false" customHeight="false" outlineLevel="0" collapsed="false">
      <c r="A220" s="7" t="s">
        <v>311</v>
      </c>
      <c r="B220" s="7" t="str">
        <f aca="false">IFERROR(INDEX('Source'!$C:$C,MATCH($A220,'Source'!$B:$B,0)),"")</f>
        <v>מגן ברך + צירים</v>
      </c>
      <c r="C220" s="8" t="n">
        <f aca="false">SUMIFS('Source'!$D:$D,'Source'!$A:$A,"155138 לקוח אינטרנט",'Source'!$B:$B,$A220)</f>
        <v>75</v>
      </c>
      <c r="D220" s="8" t="n">
        <f aca="false">SUMIFS('Source'!$F:$F,'Source'!$A:$A,"155138 לקוח אינטרנט",'Source'!$B:$B,$A220)</f>
        <v>75</v>
      </c>
      <c r="E220" s="8" t="n">
        <f aca="false">D220*$J$5</f>
        <v>94.7368421052632</v>
      </c>
      <c r="F220" s="8" t="n">
        <f aca="false">E220-C220</f>
        <v>19.7368421052632</v>
      </c>
      <c r="G220" s="9" t="n">
        <f aca="false">IF(AND(C220=0,E220=0),0,IF(C220=0,"New",(E220-C220)/C220))</f>
        <v>0.263157894736842</v>
      </c>
      <c r="H220" s="8" t="n">
        <f aca="false">SUMIFS('Source'!$E:$E,'Source'!$A:$A,"155138 לקוח אינטרנט",'Source'!$B:$B,$A220)</f>
        <v>12803.3</v>
      </c>
      <c r="I220" s="8" t="n">
        <f aca="false">SUMIFS('Source'!$G:$G,'Source'!$A:$A,"155138 לקוח אינטרנט",'Source'!$B:$B,$A220)</f>
        <v>13650.72</v>
      </c>
      <c r="J220" s="8" t="n">
        <f aca="false">I220*$J$5</f>
        <v>17243.0147368421</v>
      </c>
      <c r="K220" s="8" t="n">
        <f aca="false">J220-H220</f>
        <v>4439.7147368421</v>
      </c>
      <c r="L220" s="9" t="n">
        <f aca="false">IF(AND(H220=0,J220=0),0,IF(H220=0,"New",(J220-H220)/H220))</f>
        <v>0.346763313898925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312</v>
      </c>
      <c r="B221" s="7" t="str">
        <f aca="false">IFERROR(INDEX('Source'!$C:$C,MATCH($A221,'Source'!$B:$B,0)),"")</f>
        <v>SpinaShield | חגורת תיקון יציבה לעמוד שדרה וכתפיים</v>
      </c>
      <c r="C221" s="8" t="n">
        <f aca="false">SUMIFS('Source'!$D:$D,'Source'!$A:$A,"155138 לקוח אינטרנט",'Source'!$B:$B,$A221)</f>
        <v>0</v>
      </c>
      <c r="D221" s="8" t="n">
        <f aca="false">SUMIFS('Source'!$F:$F,'Source'!$A:$A,"155138 לקוח אינטרנט",'Source'!$B:$B,$A221)</f>
        <v>1</v>
      </c>
      <c r="E221" s="8" t="n">
        <f aca="false">D221*$J$5</f>
        <v>1.26315789473684</v>
      </c>
      <c r="F221" s="8" t="n">
        <f aca="false">E221-C221</f>
        <v>1.26315789473684</v>
      </c>
      <c r="G221" s="9" t="str">
        <f aca="false">IF(AND(C221=0,E221=0),0,IF(C221=0,"New",(E221-C221)/C221))</f>
        <v>New</v>
      </c>
      <c r="H221" s="8" t="n">
        <f aca="false">SUMIFS('Source'!$E:$E,'Source'!$A:$A,"155138 לקוח אינטרנט",'Source'!$B:$B,$A221)</f>
        <v>0</v>
      </c>
      <c r="I221" s="8" t="n">
        <f aca="false">SUMIFS('Source'!$G:$G,'Source'!$A:$A,"155138 לקוח אינטרנט",'Source'!$B:$B,$A221)</f>
        <v>847.37</v>
      </c>
      <c r="J221" s="8" t="n">
        <f aca="false">I221*$J$5</f>
        <v>1070.36210526316</v>
      </c>
      <c r="K221" s="8" t="n">
        <f aca="false">J221-H221</f>
        <v>1070.36210526316</v>
      </c>
      <c r="L221" s="9" t="str">
        <f aca="false">IF(AND(H221=0,J221=0),0,IF(H221=0,"New",(J221-H221)/H221))</f>
        <v>New</v>
      </c>
      <c r="M221" s="7" t="str">
        <f aca="false">IF(AND(OR(C221&lt;&gt;0,H221&lt;&gt;0),D221=0,I221=0),"DROP",IF(AND(OR(D221&lt;&gt;0,I221&lt;&gt;0),C221=0,H221=0),"NEW",""))</f>
        <v>NEW</v>
      </c>
    </row>
    <row r="222" customFormat="false" ht="15" hidden="false" customHeight="false" outlineLevel="0" collapsed="false">
      <c r="A222" s="7" t="s">
        <v>313</v>
      </c>
      <c r="B222" s="7" t="str">
        <f aca="false">IFERROR(INDEX('Source'!$C:$C,MATCH($A222,'Source'!$B:$B,0)),"")</f>
        <v>צווארון ספוג</v>
      </c>
      <c r="C222" s="8" t="n">
        <f aca="false">SUMIFS('Source'!$D:$D,'Source'!$A:$A,"155138 לקוח אינטרנט",'Source'!$B:$B,$A222)</f>
        <v>7</v>
      </c>
      <c r="D222" s="8" t="n">
        <f aca="false">SUMIFS('Source'!$F:$F,'Source'!$A:$A,"155138 לקוח אינטרנט",'Source'!$B:$B,$A222)</f>
        <v>16</v>
      </c>
      <c r="E222" s="8" t="n">
        <f aca="false">D222*$J$5</f>
        <v>20.2105263157895</v>
      </c>
      <c r="F222" s="8" t="n">
        <f aca="false">E222-C222</f>
        <v>13.2105263157895</v>
      </c>
      <c r="G222" s="9" t="n">
        <f aca="false">IF(AND(C222=0,E222=0),0,IF(C222=0,"New",(E222-C222)/C222))</f>
        <v>1.88721804511278</v>
      </c>
      <c r="H222" s="8" t="n">
        <f aca="false">SUMIFS('Source'!$E:$E,'Source'!$A:$A,"155138 לקוח אינטרנט",'Source'!$B:$B,$A222)</f>
        <v>569.92</v>
      </c>
      <c r="I222" s="8" t="n">
        <f aca="false">SUMIFS('Source'!$G:$G,'Source'!$A:$A,"155138 לקוח אינטרנט",'Source'!$B:$B,$A222)</f>
        <v>1409</v>
      </c>
      <c r="J222" s="8" t="n">
        <f aca="false">I222*$J$5</f>
        <v>1779.78947368421</v>
      </c>
      <c r="K222" s="8" t="n">
        <f aca="false">J222-H222</f>
        <v>1209.86947368421</v>
      </c>
      <c r="L222" s="9" t="n">
        <f aca="false">IF(AND(H222=0,J222=0),0,IF(H222=0,"New",(J222-H222)/H222))</f>
        <v>2.12287597151216</v>
      </c>
      <c r="M222" s="7" t="str">
        <f aca="false">IF(AND(OR(C222&lt;&gt;0,H222&lt;&gt;0),D222=0,I222=0),"DROP",IF(AND(OR(D222&lt;&gt;0,I222&lt;&gt;0),C222=0,H222=0),"NEW",""))</f>
        <v/>
      </c>
    </row>
    <row r="223" customFormat="false" ht="15" hidden="false" customHeight="false" outlineLevel="0" collapsed="false">
      <c r="A223" s="7" t="s">
        <v>314</v>
      </c>
      <c r="B223" s="7" t="str">
        <f aca="false">IFERROR(INDEX('Source'!$C:$C,MATCH($A223,'Source'!$B:$B,0)),"")</f>
        <v>חגורת שבר לצד שמאל</v>
      </c>
      <c r="C223" s="8" t="n">
        <f aca="false">SUMIFS('Source'!$D:$D,'Source'!$A:$A,"155138 לקוח אינטרנט",'Source'!$B:$B,$A223)</f>
        <v>7</v>
      </c>
      <c r="D223" s="8" t="n">
        <f aca="false">SUMIFS('Source'!$F:$F,'Source'!$A:$A,"155138 לקוח אינטרנט",'Source'!$B:$B,$A223)</f>
        <v>4</v>
      </c>
      <c r="E223" s="8" t="n">
        <f aca="false">D223*$J$5</f>
        <v>5.05263157894737</v>
      </c>
      <c r="F223" s="8" t="n">
        <f aca="false">E223-C223</f>
        <v>-1.94736842105263</v>
      </c>
      <c r="G223" s="9" t="n">
        <f aca="false">IF(AND(C223=0,E223=0),0,IF(C223=0,"New",(E223-C223)/C223))</f>
        <v>-0.278195488721805</v>
      </c>
      <c r="H223" s="8" t="n">
        <f aca="false">SUMIFS('Source'!$E:$E,'Source'!$A:$A,"155138 לקוח אינטרנט",'Source'!$B:$B,$A223)</f>
        <v>2193.44</v>
      </c>
      <c r="I223" s="8" t="n">
        <f aca="false">SUMIFS('Source'!$G:$G,'Source'!$A:$A,"155138 לקוח אינטרנט",'Source'!$B:$B,$A223)</f>
        <v>1355.6</v>
      </c>
      <c r="J223" s="8" t="n">
        <f aca="false">I223*$J$5</f>
        <v>1712.33684210526</v>
      </c>
      <c r="K223" s="8" t="n">
        <f aca="false">J223-H223</f>
        <v>-481.103157894737</v>
      </c>
      <c r="L223" s="9" t="n">
        <f aca="false">IF(AND(H223=0,J223=0),0,IF(H223=0,"New",(J223-H223)/H223))</f>
        <v>-0.219337277470429</v>
      </c>
      <c r="M223" s="7" t="str">
        <f aca="false">IF(AND(OR(C223&lt;&gt;0,H223&lt;&gt;0),D223=0,I223=0),"DROP",IF(AND(OR(D223&lt;&gt;0,I223&lt;&gt;0),C223=0,H223=0),"NEW",""))</f>
        <v/>
      </c>
    </row>
    <row r="224" customFormat="false" ht="15" hidden="false" customHeight="false" outlineLevel="0" collapsed="false">
      <c r="A224" s="7" t="s">
        <v>315</v>
      </c>
      <c r="B224" s="7" t="str">
        <f aca="false">IFERROR(INDEX('Source'!$C:$C,MATCH($A224,'Source'!$B:$B,0)),"")</f>
        <v>גרבי נוחות קיץ אפור</v>
      </c>
      <c r="C224" s="8" t="n">
        <f aca="false">SUMIFS('Source'!$D:$D,'Source'!$A:$A,"155138 לקוח אינטרנט",'Source'!$B:$B,$A224)</f>
        <v>37</v>
      </c>
      <c r="D224" s="8" t="n">
        <f aca="false">SUMIFS('Source'!$F:$F,'Source'!$A:$A,"155138 לקוח אינטרנט",'Source'!$B:$B,$A224)</f>
        <v>17</v>
      </c>
      <c r="E224" s="8" t="n">
        <f aca="false">D224*$J$5</f>
        <v>21.4736842105263</v>
      </c>
      <c r="F224" s="8" t="n">
        <f aca="false">E224-C224</f>
        <v>-15.5263157894737</v>
      </c>
      <c r="G224" s="9" t="n">
        <f aca="false">IF(AND(C224=0,E224=0),0,IF(C224=0,"New",(E224-C224)/C224))</f>
        <v>-0.419630156472262</v>
      </c>
      <c r="H224" s="8" t="n">
        <f aca="false">SUMIFS('Source'!$E:$E,'Source'!$A:$A,"155138 לקוח אינטרנט",'Source'!$B:$B,$A224)</f>
        <v>1542.56</v>
      </c>
      <c r="I224" s="8" t="n">
        <f aca="false">SUMIFS('Source'!$G:$G,'Source'!$A:$A,"155138 לקוח אינטרנט",'Source'!$B:$B,$A224)</f>
        <v>713.2</v>
      </c>
      <c r="J224" s="8" t="n">
        <f aca="false">I224*$J$5</f>
        <v>900.884210526316</v>
      </c>
      <c r="K224" s="8" t="n">
        <f aca="false">J224-H224</f>
        <v>-641.675789473684</v>
      </c>
      <c r="L224" s="9" t="n">
        <f aca="false">IF(AND(H224=0,J224=0),0,IF(H224=0,"New",(J224-H224)/H224))</f>
        <v>-0.415981089535373</v>
      </c>
      <c r="M224" s="7" t="str">
        <f aca="false">IF(AND(OR(C224&lt;&gt;0,H224&lt;&gt;0),D224=0,I224=0),"DROP",IF(AND(OR(D224&lt;&gt;0,I224&lt;&gt;0),C224=0,H224=0),"NEW",""))</f>
        <v/>
      </c>
    </row>
    <row r="225" customFormat="false" ht="15" hidden="false" customHeight="false" outlineLevel="0" collapsed="false">
      <c r="A225" s="7" t="s">
        <v>316</v>
      </c>
      <c r="B225" s="7" t="str">
        <f aca="false">IFERROR(INDEX('Source'!$C:$C,MATCH($A225,'Source'!$B:$B,0)),"")</f>
        <v>סד יד דו צדדי</v>
      </c>
      <c r="C225" s="8" t="n">
        <f aca="false">SUMIFS('Source'!$D:$D,'Source'!$A:$A,"155138 לקוח אינטרנט",'Source'!$B:$B,$A225)</f>
        <v>8</v>
      </c>
      <c r="D225" s="8" t="n">
        <f aca="false">SUMIFS('Source'!$F:$F,'Source'!$A:$A,"155138 לקוח אינטרנט",'Source'!$B:$B,$A225)</f>
        <v>3</v>
      </c>
      <c r="E225" s="8" t="n">
        <f aca="false">D225*$J$5</f>
        <v>3.78947368421053</v>
      </c>
      <c r="F225" s="8" t="n">
        <f aca="false">E225-C225</f>
        <v>-4.21052631578947</v>
      </c>
      <c r="G225" s="9" t="n">
        <f aca="false">IF(AND(C225=0,E225=0),0,IF(C225=0,"New",(E225-C225)/C225))</f>
        <v>-0.526315789473684</v>
      </c>
      <c r="H225" s="8" t="n">
        <f aca="false">SUMIFS('Source'!$E:$E,'Source'!$A:$A,"155138 לקוח אינטרנט",'Source'!$B:$B,$A225)</f>
        <v>1373.13</v>
      </c>
      <c r="I225" s="8" t="n">
        <f aca="false">SUMIFS('Source'!$G:$G,'Source'!$A:$A,"155138 לקוח אינטרנט",'Source'!$B:$B,$A225)</f>
        <v>559.07</v>
      </c>
      <c r="J225" s="8" t="n">
        <f aca="false">I225*$J$5</f>
        <v>706.193684210526</v>
      </c>
      <c r="K225" s="8" t="n">
        <f aca="false">J225-H225</f>
        <v>-666.936315789474</v>
      </c>
      <c r="L225" s="9" t="n">
        <f aca="false">IF(AND(H225=0,J225=0),0,IF(H225=0,"New",(J225-H225)/H225))</f>
        <v>-0.485705152308575</v>
      </c>
      <c r="M225" s="7" t="str">
        <f aca="false">IF(AND(OR(C225&lt;&gt;0,H225&lt;&gt;0),D225=0,I225=0),"DROP",IF(AND(OR(D225&lt;&gt;0,I225&lt;&gt;0),C225=0,H225=0),"NEW",""))</f>
        <v/>
      </c>
    </row>
    <row r="226" customFormat="false" ht="15" hidden="false" customHeight="false" outlineLevel="0" collapsed="false">
      <c r="A226" s="7" t="s">
        <v>317</v>
      </c>
      <c r="B226" s="7" t="str">
        <f aca="false">IFERROR(INDEX('Source'!$C:$C,MATCH($A226,'Source'!$B:$B,0)),"")</f>
        <v>רפידת זיכרון 376</v>
      </c>
      <c r="C226" s="8" t="n">
        <f aca="false">SUMIFS('Source'!$D:$D,'Source'!$A:$A,"155138 לקוח אינטרנט",'Source'!$B:$B,$A226)</f>
        <v>12</v>
      </c>
      <c r="D226" s="8" t="n">
        <f aca="false">SUMIFS('Source'!$F:$F,'Source'!$A:$A,"155138 לקוח אינטרנט",'Source'!$B:$B,$A226)</f>
        <v>25</v>
      </c>
      <c r="E226" s="8" t="n">
        <f aca="false">D226*$J$5</f>
        <v>31.5789473684211</v>
      </c>
      <c r="F226" s="8" t="n">
        <f aca="false">E226-C226</f>
        <v>19.5789473684211</v>
      </c>
      <c r="G226" s="9" t="n">
        <f aca="false">IF(AND(C226=0,E226=0),0,IF(C226=0,"New",(E226-C226)/C226))</f>
        <v>1.63157894736842</v>
      </c>
      <c r="H226" s="8" t="n">
        <f aca="false">SUMIFS('Source'!$E:$E,'Source'!$A:$A,"155138 לקוח אינטרנט",'Source'!$B:$B,$A226)</f>
        <v>717.21</v>
      </c>
      <c r="I226" s="8" t="n">
        <f aca="false">SUMIFS('Source'!$G:$G,'Source'!$A:$A,"155138 לקוח אינטרנט",'Source'!$B:$B,$A226)</f>
        <v>1525.06</v>
      </c>
      <c r="J226" s="8" t="n">
        <f aca="false">I226*$J$5</f>
        <v>1926.39157894737</v>
      </c>
      <c r="K226" s="8" t="n">
        <f aca="false">J226-H226</f>
        <v>1209.18157894737</v>
      </c>
      <c r="L226" s="9" t="n">
        <f aca="false">IF(AND(H226=0,J226=0),0,IF(H226=0,"New",(J226-H226)/H226))</f>
        <v>1.68595192335211</v>
      </c>
      <c r="M226" s="7" t="str">
        <f aca="false">IF(AND(OR(C226&lt;&gt;0,H226&lt;&gt;0),D226=0,I226=0),"DROP",IF(AND(OR(D226&lt;&gt;0,I226&lt;&gt;0),C226=0,H226=0),"NEW",""))</f>
        <v/>
      </c>
    </row>
    <row r="227" customFormat="false" ht="15" hidden="false" customHeight="false" outlineLevel="0" collapsed="false">
      <c r="A227" s="7" t="s">
        <v>318</v>
      </c>
      <c r="B227" s="7" t="str">
        <f aca="false">IFERROR(INDEX('Source'!$C:$C,MATCH($A227,'Source'!$B:$B,0)),"")</f>
        <v>מיצב פיקה</v>
      </c>
      <c r="C227" s="8" t="n">
        <f aca="false">SUMIFS('Source'!$D:$D,'Source'!$A:$A,"155138 לקוח אינטרנט",'Source'!$B:$B,$A227)</f>
        <v>6</v>
      </c>
      <c r="D227" s="8" t="n">
        <f aca="false">SUMIFS('Source'!$F:$F,'Source'!$A:$A,"155138 לקוח אינטרנט",'Source'!$B:$B,$A227)</f>
        <v>1</v>
      </c>
      <c r="E227" s="8" t="n">
        <f aca="false">D227*$J$5</f>
        <v>1.26315789473684</v>
      </c>
      <c r="F227" s="8" t="n">
        <f aca="false">E227-C227</f>
        <v>-4.73684210526316</v>
      </c>
      <c r="G227" s="9" t="n">
        <f aca="false">IF(AND(C227=0,E227=0),0,IF(C227=0,"New",(E227-C227)/C227))</f>
        <v>-0.789473684210526</v>
      </c>
      <c r="H227" s="8" t="n">
        <f aca="false">SUMIFS('Source'!$E:$E,'Source'!$A:$A,"155138 לקוח אינטרנט",'Source'!$B:$B,$A227)</f>
        <v>958.15</v>
      </c>
      <c r="I227" s="8" t="n">
        <f aca="false">SUMIFS('Source'!$G:$G,'Source'!$A:$A,"155138 לקוח אינטרנט",'Source'!$B:$B,$A227)</f>
        <v>153.99</v>
      </c>
      <c r="J227" s="8" t="n">
        <f aca="false">I227*$J$5</f>
        <v>194.513684210526</v>
      </c>
      <c r="K227" s="8" t="n">
        <f aca="false">J227-H227</f>
        <v>-763.636315789474</v>
      </c>
      <c r="L227" s="9" t="n">
        <f aca="false">IF(AND(H227=0,J227=0),0,IF(H227=0,"New",(J227-H227)/H227))</f>
        <v>-0.796990362458356</v>
      </c>
      <c r="M227" s="7" t="str">
        <f aca="false">IF(AND(OR(C227&lt;&gt;0,H227&lt;&gt;0),D227=0,I227=0),"DROP",IF(AND(OR(D227&lt;&gt;0,I227&lt;&gt;0),C227=0,H227=0),"NEW",""))</f>
        <v/>
      </c>
    </row>
    <row r="228" customFormat="false" ht="15" hidden="false" customHeight="false" outlineLevel="0" collapsed="false">
      <c r="A228" s="7" t="s">
        <v>319</v>
      </c>
      <c r="B228" s="7" t="str">
        <f aca="false">IFERROR(INDEX('Source'!$C:$C,MATCH($A228,'Source'!$B:$B,0)),"")</f>
        <v>מדרס מתכוונן</v>
      </c>
      <c r="C228" s="8" t="n">
        <f aca="false">SUMIFS('Source'!$D:$D,'Source'!$A:$A,"155138 לקוח אינטרנט",'Source'!$B:$B,$A228)</f>
        <v>0</v>
      </c>
      <c r="D228" s="8" t="n">
        <f aca="false">SUMIFS('Source'!$F:$F,'Source'!$A:$A,"155138 לקוח אינטרנט",'Source'!$B:$B,$A228)</f>
        <v>5</v>
      </c>
      <c r="E228" s="8" t="n">
        <f aca="false">D228*$J$5</f>
        <v>6.31578947368421</v>
      </c>
      <c r="F228" s="8" t="n">
        <f aca="false">E228-C228</f>
        <v>6.31578947368421</v>
      </c>
      <c r="G228" s="9" t="str">
        <f aca="false">IF(AND(C228=0,E228=0),0,IF(C228=0,"New",(E228-C228)/C228))</f>
        <v>New</v>
      </c>
      <c r="H228" s="8" t="n">
        <f aca="false">SUMIFS('Source'!$E:$E,'Source'!$A:$A,"155138 לקוח אינטרנט",'Source'!$B:$B,$A228)</f>
        <v>0</v>
      </c>
      <c r="I228" s="8" t="n">
        <f aca="false">SUMIFS('Source'!$G:$G,'Source'!$A:$A,"155138 לקוח אינטרנט",'Source'!$B:$B,$A228)</f>
        <v>796.21</v>
      </c>
      <c r="J228" s="8" t="n">
        <f aca="false">I228*$J$5</f>
        <v>1005.73894736842</v>
      </c>
      <c r="K228" s="8" t="n">
        <f aca="false">J228-H228</f>
        <v>1005.73894736842</v>
      </c>
      <c r="L228" s="9" t="str">
        <f aca="false">IF(AND(H228=0,J228=0),0,IF(H228=0,"New",(J228-H228)/H228))</f>
        <v>New</v>
      </c>
      <c r="M228" s="7" t="str">
        <f aca="false">IF(AND(OR(C228&lt;&gt;0,H228&lt;&gt;0),D228=0,I228=0),"DROP",IF(AND(OR(D228&lt;&gt;0,I228&lt;&gt;0),C228=0,H228=0),"NEW",""))</f>
        <v>NEW</v>
      </c>
    </row>
    <row r="229" customFormat="false" ht="15" hidden="false" customHeight="false" outlineLevel="0" collapsed="false">
      <c r="A229" s="7" t="s">
        <v>320</v>
      </c>
      <c r="B229" s="7" t="str">
        <f aca="false">IFERROR(INDEX('Source'!$C:$C,MATCH($A229,'Source'!$B:$B,0)),"")</f>
        <v>דאודורנט ספרי לנעל 100 מל</v>
      </c>
      <c r="C229" s="8" t="n">
        <f aca="false">SUMIFS('Source'!$D:$D,'Source'!$A:$A,"155138 לקוח אינטרנט",'Source'!$B:$B,$A229)</f>
        <v>95</v>
      </c>
      <c r="D229" s="8" t="n">
        <f aca="false">SUMIFS('Source'!$F:$F,'Source'!$A:$A,"155138 לקוח אינטרנט",'Source'!$B:$B,$A229)</f>
        <v>115</v>
      </c>
      <c r="E229" s="8" t="n">
        <f aca="false">D229*$J$5</f>
        <v>145.263157894737</v>
      </c>
      <c r="F229" s="8" t="n">
        <f aca="false">E229-C229</f>
        <v>50.2631578947368</v>
      </c>
      <c r="G229" s="9" t="n">
        <f aca="false">IF(AND(C229=0,E229=0),0,IF(C229=0,"New",(E229-C229)/C229))</f>
        <v>0.529085872576177</v>
      </c>
      <c r="H229" s="8" t="n">
        <f aca="false">SUMIFS('Source'!$E:$E,'Source'!$A:$A,"155138 לקוח אינטרנט",'Source'!$B:$B,$A229)</f>
        <v>3318.11</v>
      </c>
      <c r="I229" s="8" t="n">
        <f aca="false">SUMIFS('Source'!$G:$G,'Source'!$A:$A,"155138 לקוח אינטרנט",'Source'!$B:$B,$A229)</f>
        <v>4112.59</v>
      </c>
      <c r="J229" s="8" t="n">
        <f aca="false">I229*$J$5</f>
        <v>5194.85052631579</v>
      </c>
      <c r="K229" s="8" t="n">
        <f aca="false">J229-H229</f>
        <v>1876.74052631579</v>
      </c>
      <c r="L229" s="9" t="n">
        <f aca="false">IF(AND(H229=0,J229=0),0,IF(H229=0,"New",(J229-H229)/H229))</f>
        <v>0.56560527719569</v>
      </c>
      <c r="M229" s="7" t="str">
        <f aca="false">IF(AND(OR(C229&lt;&gt;0,H229&lt;&gt;0),D229=0,I229=0),"DROP",IF(AND(OR(D229&lt;&gt;0,I229&lt;&gt;0),C229=0,H229=0),"NEW",""))</f>
        <v/>
      </c>
    </row>
    <row r="230" customFormat="false" ht="15" hidden="false" customHeight="false" outlineLevel="0" collapsed="false">
      <c r="A230" s="7" t="s">
        <v>321</v>
      </c>
      <c r="B230" s="7" t="str">
        <f aca="false">IFERROR(INDEX('Source'!$C:$C,MATCH($A230,'Source'!$B:$B,0)),"")</f>
        <v>חגורת קיבוע לכתף</v>
      </c>
      <c r="C230" s="8" t="n">
        <f aca="false">SUMIFS('Source'!$D:$D,'Source'!$A:$A,"155138 לקוח אינטרנט",'Source'!$B:$B,$A230)</f>
        <v>37</v>
      </c>
      <c r="D230" s="8" t="n">
        <f aca="false">SUMIFS('Source'!$F:$F,'Source'!$A:$A,"155138 לקוח אינטרנט",'Source'!$B:$B,$A230)</f>
        <v>39</v>
      </c>
      <c r="E230" s="8" t="n">
        <f aca="false">D230*$J$5</f>
        <v>49.2631578947368</v>
      </c>
      <c r="F230" s="8" t="n">
        <f aca="false">E230-C230</f>
        <v>12.2631578947368</v>
      </c>
      <c r="G230" s="9" t="n">
        <f aca="false">IF(AND(C230=0,E230=0),0,IF(C230=0,"New",(E230-C230)/C230))</f>
        <v>0.331436699857753</v>
      </c>
      <c r="H230" s="8" t="n">
        <f aca="false">SUMIFS('Source'!$E:$E,'Source'!$A:$A,"155138 לקוח אינטרנט",'Source'!$B:$B,$A230)</f>
        <v>8672.74</v>
      </c>
      <c r="I230" s="8" t="n">
        <f aca="false">SUMIFS('Source'!$G:$G,'Source'!$A:$A,"155138 לקוח אינטרנט",'Source'!$B:$B,$A230)</f>
        <v>9467.11</v>
      </c>
      <c r="J230" s="8" t="n">
        <f aca="false">I230*$J$5</f>
        <v>11958.4547368421</v>
      </c>
      <c r="K230" s="8" t="n">
        <f aca="false">J230-H230</f>
        <v>3285.7147368421</v>
      </c>
      <c r="L230" s="9" t="n">
        <f aca="false">IF(AND(H230=0,J230=0),0,IF(H230=0,"New",(J230-H230)/H230))</f>
        <v>0.37885544093817</v>
      </c>
      <c r="M230" s="7" t="str">
        <f aca="false">IF(AND(OR(C230&lt;&gt;0,H230&lt;&gt;0),D230=0,I230=0),"DROP",IF(AND(OR(D230&lt;&gt;0,I230&lt;&gt;0),C230=0,H230=0),"NEW",""))</f>
        <v/>
      </c>
    </row>
    <row r="231" customFormat="false" ht="15" hidden="false" customHeight="false" outlineLevel="0" collapsed="false">
      <c r="A231" s="7" t="s">
        <v>322</v>
      </c>
      <c r="B231" s="7" t="str">
        <f aca="false">IFERROR(INDEX('Source'!$C:$C,MATCH($A231,'Source'!$B:$B,0)),"")</f>
        <v>מגן ברך SC422</v>
      </c>
      <c r="C231" s="8" t="n">
        <f aca="false">SUMIFS('Source'!$D:$D,'Source'!$A:$A,"155138 לקוח אינטרנט",'Source'!$B:$B,$A231)</f>
        <v>104</v>
      </c>
      <c r="D231" s="8" t="n">
        <f aca="false">SUMIFS('Source'!$F:$F,'Source'!$A:$A,"155138 לקוח אינטרנט",'Source'!$B:$B,$A231)</f>
        <v>98</v>
      </c>
      <c r="E231" s="8" t="n">
        <f aca="false">D231*$J$5</f>
        <v>123.789473684211</v>
      </c>
      <c r="F231" s="8" t="n">
        <f aca="false">E231-C231</f>
        <v>19.7894736842105</v>
      </c>
      <c r="G231" s="9" t="n">
        <f aca="false">IF(AND(C231=0,E231=0),0,IF(C231=0,"New",(E231-C231)/C231))</f>
        <v>0.190283400809717</v>
      </c>
      <c r="H231" s="8" t="n">
        <f aca="false">SUMIFS('Source'!$E:$E,'Source'!$A:$A,"155138 לקוח אינטרנט",'Source'!$B:$B,$A231)</f>
        <v>22533.16</v>
      </c>
      <c r="I231" s="8" t="n">
        <f aca="false">SUMIFS('Source'!$G:$G,'Source'!$A:$A,"155138 לקוח אינטרנט",'Source'!$B:$B,$A231)</f>
        <v>21742.65</v>
      </c>
      <c r="J231" s="8" t="n">
        <f aca="false">I231*$J$5</f>
        <v>27464.4</v>
      </c>
      <c r="K231" s="8" t="n">
        <f aca="false">J231-H231</f>
        <v>4931.23999999999</v>
      </c>
      <c r="L231" s="9" t="n">
        <f aca="false">IF(AND(H231=0,J231=0),0,IF(H231=0,"New",(J231-H231)/H231))</f>
        <v>0.218843695247359</v>
      </c>
      <c r="M231" s="7" t="str">
        <f aca="false">IF(AND(OR(C231&lt;&gt;0,H231&lt;&gt;0),D231=0,I231=0),"DROP",IF(AND(OR(D231&lt;&gt;0,I231&lt;&gt;0),C231=0,H231=0),"NEW",""))</f>
        <v/>
      </c>
    </row>
    <row r="232" customFormat="false" ht="15" hidden="false" customHeight="false" outlineLevel="0" collapsed="false">
      <c r="A232" s="7" t="s">
        <v>323</v>
      </c>
      <c r="B232" s="7" t="str">
        <f aca="false">IFERROR(INDEX('Source'!$C:$C,MATCH($A232,'Source'!$B:$B,0)),"")</f>
        <v>חגורת היריון</v>
      </c>
      <c r="C232" s="8" t="n">
        <f aca="false">SUMIFS('Source'!$D:$D,'Source'!$A:$A,"155138 לקוח אינטרנט",'Source'!$B:$B,$A232)</f>
        <v>12</v>
      </c>
      <c r="D232" s="8" t="n">
        <f aca="false">SUMIFS('Source'!$F:$F,'Source'!$A:$A,"155138 לקוח אינטרנט",'Source'!$B:$B,$A232)</f>
        <v>15</v>
      </c>
      <c r="E232" s="8" t="n">
        <f aca="false">D232*$J$5</f>
        <v>18.9473684210526</v>
      </c>
      <c r="F232" s="8" t="n">
        <f aca="false">E232-C232</f>
        <v>6.94736842105263</v>
      </c>
      <c r="G232" s="9" t="n">
        <f aca="false">IF(AND(C232=0,E232=0),0,IF(C232=0,"New",(E232-C232)/C232))</f>
        <v>0.578947368421053</v>
      </c>
      <c r="H232" s="8" t="n">
        <f aca="false">SUMIFS('Source'!$E:$E,'Source'!$A:$A,"155138 לקוח אינטרנט",'Source'!$B:$B,$A232)</f>
        <v>2550.34</v>
      </c>
      <c r="I232" s="8" t="n">
        <f aca="false">SUMIFS('Source'!$G:$G,'Source'!$A:$A,"155138 לקוח אינטרנט",'Source'!$B:$B,$A232)</f>
        <v>3339.46</v>
      </c>
      <c r="J232" s="8" t="n">
        <f aca="false">I232*$J$5</f>
        <v>4218.2652631579</v>
      </c>
      <c r="K232" s="8" t="n">
        <f aca="false">J232-H232</f>
        <v>1667.92526315789</v>
      </c>
      <c r="L232" s="9" t="n">
        <f aca="false">IF(AND(H232=0,J232=0),0,IF(H232=0,"New",(J232-H232)/H232))</f>
        <v>0.654001138341513</v>
      </c>
      <c r="M232" s="7" t="str">
        <f aca="false">IF(AND(OR(C232&lt;&gt;0,H232&lt;&gt;0),D232=0,I232=0),"DROP",IF(AND(OR(D232&lt;&gt;0,I232&lt;&gt;0),C232=0,H232=0),"NEW",""))</f>
        <v/>
      </c>
    </row>
    <row r="233" customFormat="false" ht="15" hidden="false" customHeight="false" outlineLevel="0" collapsed="false">
      <c r="A233" s="7" t="s">
        <v>324</v>
      </c>
      <c r="B233" s="7" t="str">
        <f aca="false">IFERROR(INDEX('Source'!$C:$C,MATCH($A233,'Source'!$B:$B,0)),"")</f>
        <v>סד מאורך לאגודל</v>
      </c>
      <c r="C233" s="8" t="n">
        <f aca="false">SUMIFS('Source'!$D:$D,'Source'!$A:$A,"155138 לקוח אינטרנט",'Source'!$B:$B,$A233)</f>
        <v>5</v>
      </c>
      <c r="D233" s="8" t="n">
        <f aca="false">SUMIFS('Source'!$F:$F,'Source'!$A:$A,"155138 לקוח אינטרנט",'Source'!$B:$B,$A233)</f>
        <v>11</v>
      </c>
      <c r="E233" s="8" t="n">
        <f aca="false">D233*$J$5</f>
        <v>13.8947368421053</v>
      </c>
      <c r="F233" s="8" t="n">
        <f aca="false">E233-C233</f>
        <v>8.89473684210526</v>
      </c>
      <c r="G233" s="9" t="n">
        <f aca="false">IF(AND(C233=0,E233=0),0,IF(C233=0,"New",(E233-C233)/C233))</f>
        <v>1.77894736842105</v>
      </c>
      <c r="H233" s="8" t="n">
        <f aca="false">SUMIFS('Source'!$E:$E,'Source'!$A:$A,"155138 לקוח אינטרנט",'Source'!$B:$B,$A233)</f>
        <v>571.64</v>
      </c>
      <c r="I233" s="8" t="n">
        <f aca="false">SUMIFS('Source'!$G:$G,'Source'!$A:$A,"155138 לקוח אינטרנט",'Source'!$B:$B,$A233)</f>
        <v>1352.91</v>
      </c>
      <c r="J233" s="8" t="n">
        <f aca="false">I233*$J$5</f>
        <v>1708.93894736842</v>
      </c>
      <c r="K233" s="8" t="n">
        <f aca="false">J233-H233</f>
        <v>1137.29894736842</v>
      </c>
      <c r="L233" s="9" t="n">
        <f aca="false">IF(AND(H233=0,J233=0),0,IF(H233=0,"New",(J233-H233)/H233))</f>
        <v>1.98953702919394</v>
      </c>
      <c r="M233" s="7" t="str">
        <f aca="false">IF(AND(OR(C233&lt;&gt;0,H233&lt;&gt;0),D233=0,I233=0),"DROP",IF(AND(OR(D233&lt;&gt;0,I233&lt;&gt;0),C233=0,H233=0),"NEW",""))</f>
        <v/>
      </c>
    </row>
    <row r="234" customFormat="false" ht="15" hidden="false" customHeight="false" outlineLevel="0" collapsed="false">
      <c r="A234" s="7" t="s">
        <v>325</v>
      </c>
      <c r="B234" s="7" t="str">
        <f aca="false">IFERROR(INDEX('Source'!$C:$C,MATCH($A234,'Source'!$B:$B,0)),"")</f>
        <v>חגורת בטן</v>
      </c>
      <c r="C234" s="8" t="n">
        <f aca="false">SUMIFS('Source'!$D:$D,'Source'!$A:$A,"155138 לקוח אינטרנט",'Source'!$B:$B,$A234)</f>
        <v>7</v>
      </c>
      <c r="D234" s="8" t="n">
        <f aca="false">SUMIFS('Source'!$F:$F,'Source'!$A:$A,"155138 לקוח אינטרנט",'Source'!$B:$B,$A234)</f>
        <v>11</v>
      </c>
      <c r="E234" s="8" t="n">
        <f aca="false">D234*$J$5</f>
        <v>13.8947368421053</v>
      </c>
      <c r="F234" s="8" t="n">
        <f aca="false">E234-C234</f>
        <v>6.89473684210526</v>
      </c>
      <c r="G234" s="9" t="n">
        <f aca="false">IF(AND(C234=0,E234=0),0,IF(C234=0,"New",(E234-C234)/C234))</f>
        <v>0.984962406015037</v>
      </c>
      <c r="H234" s="8" t="n">
        <f aca="false">SUMIFS('Source'!$E:$E,'Source'!$A:$A,"155138 לקוח אינטרנט",'Source'!$B:$B,$A234)</f>
        <v>1285.88</v>
      </c>
      <c r="I234" s="8" t="n">
        <f aca="false">SUMIFS('Source'!$G:$G,'Source'!$A:$A,"155138 לקוח אינטרנט",'Source'!$B:$B,$A234)</f>
        <v>2065.21</v>
      </c>
      <c r="J234" s="8" t="n">
        <f aca="false">I234*$J$5</f>
        <v>2608.68631578947</v>
      </c>
      <c r="K234" s="8" t="n">
        <f aca="false">J234-H234</f>
        <v>1322.80631578947</v>
      </c>
      <c r="L234" s="9" t="n">
        <f aca="false">IF(AND(H234=0,J234=0),0,IF(H234=0,"New",(J234-H234)/H234))</f>
        <v>1.02871676656412</v>
      </c>
      <c r="M234" s="7" t="str">
        <f aca="false">IF(AND(OR(C234&lt;&gt;0,H234&lt;&gt;0),D234=0,I234=0),"DROP",IF(AND(OR(D234&lt;&gt;0,I234&lt;&gt;0),C234=0,H234=0),"NEW",""))</f>
        <v/>
      </c>
    </row>
    <row r="235" customFormat="false" ht="15" hidden="false" customHeight="false" outlineLevel="0" collapsed="false">
      <c r="A235" s="7" t="s">
        <v>326</v>
      </c>
      <c r="B235" s="7" t="str">
        <f aca="false">IFERROR(INDEX('Source'!$C:$C,MATCH($A235,'Source'!$B:$B,0)),"")</f>
        <v>מגן שוק SC39</v>
      </c>
      <c r="C235" s="8" t="n">
        <f aca="false">SUMIFS('Source'!$D:$D,'Source'!$A:$A,"155138 לקוח אינטרנט",'Source'!$B:$B,$A235)</f>
        <v>32</v>
      </c>
      <c r="D235" s="8" t="n">
        <f aca="false">SUMIFS('Source'!$F:$F,'Source'!$A:$A,"155138 לקוח אינטרנט",'Source'!$B:$B,$A235)</f>
        <v>30</v>
      </c>
      <c r="E235" s="8" t="n">
        <f aca="false">D235*$J$5</f>
        <v>37.8947368421053</v>
      </c>
      <c r="F235" s="8" t="n">
        <f aca="false">E235-C235</f>
        <v>5.89473684210526</v>
      </c>
      <c r="G235" s="9" t="n">
        <f aca="false">IF(AND(C235=0,E235=0),0,IF(C235=0,"New",(E235-C235)/C235))</f>
        <v>0.184210526315789</v>
      </c>
      <c r="H235" s="8" t="n">
        <f aca="false">SUMIFS('Source'!$E:$E,'Source'!$A:$A,"155138 לקוח אינטרנט",'Source'!$B:$B,$A235)</f>
        <v>7712.87</v>
      </c>
      <c r="I235" s="8" t="n">
        <f aca="false">SUMIFS('Source'!$G:$G,'Source'!$A:$A,"155138 לקוח אינטרנט",'Source'!$B:$B,$A235)</f>
        <v>8480.59</v>
      </c>
      <c r="J235" s="8" t="n">
        <f aca="false">I235*$J$5</f>
        <v>10712.3242105263</v>
      </c>
      <c r="K235" s="8" t="n">
        <f aca="false">J235-H235</f>
        <v>2999.45421052632</v>
      </c>
      <c r="L235" s="9" t="n">
        <f aca="false">IF(AND(H235=0,J235=0),0,IF(H235=0,"New",(J235-H235)/H235))</f>
        <v>0.38888950682772</v>
      </c>
      <c r="M235" s="7" t="str">
        <f aca="false">IF(AND(OR(C235&lt;&gt;0,H235&lt;&gt;0),D235=0,I235=0),"DROP",IF(AND(OR(D235&lt;&gt;0,I235&lt;&gt;0),C235=0,H235=0),"NEW",""))</f>
        <v/>
      </c>
    </row>
    <row r="236" customFormat="false" ht="15" hidden="false" customHeight="false" outlineLevel="0" collapsed="false">
      <c r="A236" s="7" t="s">
        <v>327</v>
      </c>
      <c r="B236" s="7" t="str">
        <f aca="false">IFERROR(INDEX('Source'!$C:$C,MATCH($A236,'Source'!$B:$B,0)),"")</f>
        <v>חגורת גב+סגירה כפולה</v>
      </c>
      <c r="C236" s="8" t="n">
        <f aca="false">SUMIFS('Source'!$D:$D,'Source'!$A:$A,"155138 לקוח אינטרנט",'Source'!$B:$B,$A236)</f>
        <v>34</v>
      </c>
      <c r="D236" s="8" t="n">
        <f aca="false">SUMIFS('Source'!$F:$F,'Source'!$A:$A,"155138 לקוח אינטרנט",'Source'!$B:$B,$A236)</f>
        <v>37</v>
      </c>
      <c r="E236" s="8" t="n">
        <f aca="false">D236*$J$5</f>
        <v>46.7368421052632</v>
      </c>
      <c r="F236" s="8" t="n">
        <f aca="false">E236-C236</f>
        <v>12.7368421052632</v>
      </c>
      <c r="G236" s="9" t="n">
        <f aca="false">IF(AND(C236=0,E236=0),0,IF(C236=0,"New",(E236-C236)/C236))</f>
        <v>0.374613003095975</v>
      </c>
      <c r="H236" s="8" t="n">
        <f aca="false">SUMIFS('Source'!$E:$E,'Source'!$A:$A,"155138 לקוח אינטרנט",'Source'!$B:$B,$A236)</f>
        <v>6847.67</v>
      </c>
      <c r="I236" s="8" t="n">
        <f aca="false">SUMIFS('Source'!$G:$G,'Source'!$A:$A,"155138 לקוח אינטרנט",'Source'!$B:$B,$A236)</f>
        <v>7613.52</v>
      </c>
      <c r="J236" s="8" t="n">
        <f aca="false">I236*$J$5</f>
        <v>9617.07789473684</v>
      </c>
      <c r="K236" s="8" t="n">
        <f aca="false">J236-H236</f>
        <v>2769.40789473684</v>
      </c>
      <c r="L236" s="9" t="n">
        <f aca="false">IF(AND(H236=0,J236=0),0,IF(H236=0,"New",(J236-H236)/H236))</f>
        <v>0.404430688794414</v>
      </c>
      <c r="M236" s="7" t="str">
        <f aca="false">IF(AND(OR(C236&lt;&gt;0,H236&lt;&gt;0),D236=0,I236=0),"DROP",IF(AND(OR(D236&lt;&gt;0,I236&lt;&gt;0),C236=0,H236=0),"NEW",""))</f>
        <v/>
      </c>
    </row>
    <row r="237" customFormat="false" ht="15" hidden="false" customHeight="false" outlineLevel="0" collapsed="false">
      <c r="A237" s="7" t="s">
        <v>328</v>
      </c>
      <c r="B237" s="7" t="str">
        <f aca="false">IFERROR(INDEX('Source'!$C:$C,MATCH($A237,'Source'!$B:$B,0)),"")</f>
        <v>מדרסי ג'ל מולטי ספורט</v>
      </c>
      <c r="C237" s="8" t="n">
        <f aca="false">SUMIFS('Source'!$D:$D,'Source'!$A:$A,"155138 לקוח אינטרנט",'Source'!$B:$B,$A237)</f>
        <v>19</v>
      </c>
      <c r="D237" s="8" t="n">
        <f aca="false">SUMIFS('Source'!$F:$F,'Source'!$A:$A,"155138 לקוח אינטרנט",'Source'!$B:$B,$A237)</f>
        <v>15</v>
      </c>
      <c r="E237" s="8" t="n">
        <f aca="false">D237*$J$5</f>
        <v>18.9473684210526</v>
      </c>
      <c r="F237" s="8" t="n">
        <f aca="false">E237-C237</f>
        <v>-0.0526315789473699</v>
      </c>
      <c r="G237" s="9" t="n">
        <f aca="false">IF(AND(C237=0,E237=0),0,IF(C237=0,"New",(E237-C237)/C237))</f>
        <v>-0.00277008310249315</v>
      </c>
      <c r="H237" s="8" t="n">
        <f aca="false">SUMIFS('Source'!$E:$E,'Source'!$A:$A,"155138 לקוח אינטרנט",'Source'!$B:$B,$A237)</f>
        <v>3707.74</v>
      </c>
      <c r="I237" s="8" t="n">
        <f aca="false">SUMIFS('Source'!$G:$G,'Source'!$A:$A,"155138 לקוח אינטרנט",'Source'!$B:$B,$A237)</f>
        <v>2955.59</v>
      </c>
      <c r="J237" s="8" t="n">
        <f aca="false">I237*$J$5</f>
        <v>3733.37684210526</v>
      </c>
      <c r="K237" s="8" t="n">
        <f aca="false">J237-H237</f>
        <v>25.6368421052634</v>
      </c>
      <c r="L237" s="9" t="n">
        <f aca="false">IF(AND(H237=0,J237=0),0,IF(H237=0,"New",(J237-H237)/H237))</f>
        <v>0.00691441204217756</v>
      </c>
      <c r="M237" s="7" t="str">
        <f aca="false">IF(AND(OR(C237&lt;&gt;0,H237&lt;&gt;0),D237=0,I237=0),"DROP",IF(AND(OR(D237&lt;&gt;0,I237&lt;&gt;0),C237=0,H237=0),"NEW",""))</f>
        <v/>
      </c>
    </row>
    <row r="238" customFormat="false" ht="15" hidden="false" customHeight="false" outlineLevel="0" collapsed="false">
      <c r="A238" s="7" t="s">
        <v>329</v>
      </c>
      <c r="B238" s="7" t="str">
        <f aca="false">IFERROR(INDEX('Source'!$C:$C,MATCH($A238,'Source'!$B:$B,0)),"")</f>
        <v>מדרס מתכוונן</v>
      </c>
      <c r="C238" s="8" t="n">
        <f aca="false">SUMIFS('Source'!$D:$D,'Source'!$A:$A,"155138 לקוח אינטרנט",'Source'!$B:$B,$A238)</f>
        <v>0</v>
      </c>
      <c r="D238" s="8" t="n">
        <f aca="false">SUMIFS('Source'!$F:$F,'Source'!$A:$A,"155138 לקוח אינטרנט",'Source'!$B:$B,$A238)</f>
        <v>5</v>
      </c>
      <c r="E238" s="8" t="n">
        <f aca="false">D238*$J$5</f>
        <v>6.31578947368421</v>
      </c>
      <c r="F238" s="8" t="n">
        <f aca="false">E238-C238</f>
        <v>6.31578947368421</v>
      </c>
      <c r="G238" s="9" t="str">
        <f aca="false">IF(AND(C238=0,E238=0),0,IF(C238=0,"New",(E238-C238)/C238))</f>
        <v>New</v>
      </c>
      <c r="H238" s="8" t="n">
        <f aca="false">SUMIFS('Source'!$E:$E,'Source'!$A:$A,"155138 לקוח אינטרנט",'Source'!$B:$B,$A238)</f>
        <v>0</v>
      </c>
      <c r="I238" s="8" t="n">
        <f aca="false">SUMIFS('Source'!$G:$G,'Source'!$A:$A,"155138 לקוח אינטרנט",'Source'!$B:$B,$A238)</f>
        <v>746.67</v>
      </c>
      <c r="J238" s="8" t="n">
        <f aca="false">I238*$J$5</f>
        <v>943.162105263158</v>
      </c>
      <c r="K238" s="8" t="n">
        <f aca="false">J238-H238</f>
        <v>943.162105263158</v>
      </c>
      <c r="L238" s="9" t="str">
        <f aca="false">IF(AND(H238=0,J238=0),0,IF(H238=0,"New",(J238-H238)/H238))</f>
        <v>New</v>
      </c>
      <c r="M238" s="7" t="str">
        <f aca="false">IF(AND(OR(C238&lt;&gt;0,H238&lt;&gt;0),D238=0,I238=0),"DROP",IF(AND(OR(D238&lt;&gt;0,I238&lt;&gt;0),C238=0,H238=0),"NEW",""))</f>
        <v>NEW</v>
      </c>
    </row>
    <row r="239" customFormat="false" ht="15" hidden="false" customHeight="false" outlineLevel="0" collapsed="false">
      <c r="A239" s="7" t="s">
        <v>330</v>
      </c>
      <c r="B239" s="7" t="str">
        <f aca="false">IFERROR(INDEX('Source'!$C:$C,MATCH($A239,'Source'!$B:$B,0)),"")</f>
        <v>מגן מרפק + סיליקון</v>
      </c>
      <c r="C239" s="8" t="n">
        <f aca="false">SUMIFS('Source'!$D:$D,'Source'!$A:$A,"155138 לקוח אינטרנט",'Source'!$B:$B,$A239)</f>
        <v>1</v>
      </c>
      <c r="D239" s="8" t="n">
        <f aca="false">SUMIFS('Source'!$F:$F,'Source'!$A:$A,"155138 לקוח אינטרנט",'Source'!$B:$B,$A239)</f>
        <v>4</v>
      </c>
      <c r="E239" s="8" t="n">
        <f aca="false">D239*$J$5</f>
        <v>5.05263157894737</v>
      </c>
      <c r="F239" s="8" t="n">
        <f aca="false">E239-C239</f>
        <v>4.05263157894737</v>
      </c>
      <c r="G239" s="9" t="n">
        <f aca="false">IF(AND(C239=0,E239=0),0,IF(C239=0,"New",(E239-C239)/C239))</f>
        <v>4.05263157894737</v>
      </c>
      <c r="H239" s="8" t="n">
        <f aca="false">SUMIFS('Source'!$E:$E,'Source'!$A:$A,"155138 לקוח אינטרנט",'Source'!$B:$B,$A239)</f>
        <v>256.69</v>
      </c>
      <c r="I239" s="8" t="n">
        <f aca="false">SUMIFS('Source'!$G:$G,'Source'!$A:$A,"155138 לקוח אינטרנט",'Source'!$B:$B,$A239)</f>
        <v>1001.94</v>
      </c>
      <c r="J239" s="8" t="n">
        <f aca="false">I239*$J$5</f>
        <v>1265.60842105263</v>
      </c>
      <c r="K239" s="8" t="n">
        <f aca="false">J239-H239</f>
        <v>1008.91842105263</v>
      </c>
      <c r="L239" s="9" t="n">
        <f aca="false">IF(AND(H239=0,J239=0),0,IF(H239=0,"New",(J239-H239)/H239))</f>
        <v>3.93049367350747</v>
      </c>
      <c r="M239" s="7" t="str">
        <f aca="false">IF(AND(OR(C239&lt;&gt;0,H239&lt;&gt;0),D239=0,I239=0),"DROP",IF(AND(OR(D239&lt;&gt;0,I239&lt;&gt;0),C239=0,H239=0),"NEW",""))</f>
        <v/>
      </c>
    </row>
    <row r="240" customFormat="false" ht="15" hidden="false" customHeight="false" outlineLevel="0" collapsed="false">
      <c r="A240" s="7" t="s">
        <v>331</v>
      </c>
      <c r="B240" s="7" t="str">
        <f aca="false">IFERROR(INDEX('Source'!$C:$C,MATCH($A240,'Source'!$B:$B,0)),"")</f>
        <v>חגורת גב-לומבו</v>
      </c>
      <c r="C240" s="8" t="n">
        <f aca="false">SUMIFS('Source'!$D:$D,'Source'!$A:$A,"155138 לקוח אינטרנט",'Source'!$B:$B,$A240)</f>
        <v>3</v>
      </c>
      <c r="D240" s="8" t="n">
        <f aca="false">SUMIFS('Source'!$F:$F,'Source'!$A:$A,"155138 לקוח אינטרנט",'Source'!$B:$B,$A240)</f>
        <v>0</v>
      </c>
      <c r="E240" s="8" t="n">
        <f aca="false">D240*$J$5</f>
        <v>0</v>
      </c>
      <c r="F240" s="8" t="n">
        <f aca="false">E240-C240</f>
        <v>-3</v>
      </c>
      <c r="G240" s="9" t="n">
        <f aca="false">IF(AND(C240=0,E240=0),0,IF(C240=0,"New",(E240-C240)/C240))</f>
        <v>-1</v>
      </c>
      <c r="H240" s="8" t="n">
        <f aca="false">SUMIFS('Source'!$E:$E,'Source'!$A:$A,"155138 לקוח אינטרנט",'Source'!$B:$B,$A240)</f>
        <v>742.02</v>
      </c>
      <c r="I240" s="8" t="n">
        <f aca="false">SUMIFS('Source'!$G:$G,'Source'!$A:$A,"155138 לקוח אינטרנט",'Source'!$B:$B,$A240)</f>
        <v>0</v>
      </c>
      <c r="J240" s="8" t="n">
        <f aca="false">I240*$J$5</f>
        <v>0</v>
      </c>
      <c r="K240" s="8" t="n">
        <f aca="false">J240-H240</f>
        <v>-742.02</v>
      </c>
      <c r="L240" s="9" t="n">
        <f aca="false">IF(AND(H240=0,J240=0),0,IF(H240=0,"New",(J240-H240)/H240))</f>
        <v>-1</v>
      </c>
      <c r="M240" s="7" t="str">
        <f aca="false">IF(AND(OR(C240&lt;&gt;0,H240&lt;&gt;0),D240=0,I240=0),"DROP",IF(AND(OR(D240&lt;&gt;0,I240&lt;&gt;0),C240=0,H240=0),"NEW",""))</f>
        <v>DROP</v>
      </c>
    </row>
    <row r="241" customFormat="false" ht="15" hidden="false" customHeight="false" outlineLevel="0" collapsed="false">
      <c r="A241" s="7" t="s">
        <v>332</v>
      </c>
      <c r="B241" s="7" t="str">
        <f aca="false">IFERROR(INDEX('Source'!$C:$C,MATCH($A241,'Source'!$B:$B,0)),"")</f>
        <v>חגורת בטן עממית אפור</v>
      </c>
      <c r="C241" s="8" t="n">
        <f aca="false">SUMIFS('Source'!$D:$D,'Source'!$A:$A,"155138 לקוח אינטרנט",'Source'!$B:$B,$A241)</f>
        <v>11</v>
      </c>
      <c r="D241" s="8" t="n">
        <f aca="false">SUMIFS('Source'!$F:$F,'Source'!$A:$A,"155138 לקוח אינטרנט",'Source'!$B:$B,$A241)</f>
        <v>8</v>
      </c>
      <c r="E241" s="8" t="n">
        <f aca="false">D241*$J$5</f>
        <v>10.1052631578947</v>
      </c>
      <c r="F241" s="8" t="n">
        <f aca="false">E241-C241</f>
        <v>-0.894736842105264</v>
      </c>
      <c r="G241" s="9" t="n">
        <f aca="false">IF(AND(C241=0,E241=0),0,IF(C241=0,"New",(E241-C241)/C241))</f>
        <v>-0.0813397129186603</v>
      </c>
      <c r="H241" s="8" t="n">
        <f aca="false">SUMIFS('Source'!$E:$E,'Source'!$A:$A,"155138 לקוח אינטרנט",'Source'!$B:$B,$A241)</f>
        <v>2325.29</v>
      </c>
      <c r="I241" s="8" t="n">
        <f aca="false">SUMIFS('Source'!$G:$G,'Source'!$A:$A,"155138 לקוח אינטרנט",'Source'!$B:$B,$A241)</f>
        <v>1586.54</v>
      </c>
      <c r="J241" s="8" t="n">
        <f aca="false">I241*$J$5</f>
        <v>2004.05052631579</v>
      </c>
      <c r="K241" s="8" t="n">
        <f aca="false">J241-H241</f>
        <v>-321.239473684211</v>
      </c>
      <c r="L241" s="9" t="n">
        <f aca="false">IF(AND(H241=0,J241=0),0,IF(H241=0,"New",(J241-H241)/H241))</f>
        <v>-0.138150283914785</v>
      </c>
      <c r="M241" s="7" t="str">
        <f aca="false">IF(AND(OR(C241&lt;&gt;0,H241&lt;&gt;0),D241=0,I241=0),"DROP",IF(AND(OR(D241&lt;&gt;0,I241&lt;&gt;0),C241=0,H241=0),"NEW",""))</f>
        <v/>
      </c>
    </row>
    <row r="242" customFormat="false" ht="15" hidden="false" customHeight="false" outlineLevel="0" collapsed="false">
      <c r="A242" s="7" t="s">
        <v>333</v>
      </c>
      <c r="B242" s="7" t="str">
        <f aca="false">IFERROR(INDEX('Source'!$C:$C,MATCH($A242,'Source'!$B:$B,0)),"")</f>
        <v>סד לקרסול</v>
      </c>
      <c r="C242" s="8" t="n">
        <f aca="false">SUMIFS('Source'!$D:$D,'Source'!$A:$A,"155138 לקוח אינטרנט",'Source'!$B:$B,$A242)</f>
        <v>2</v>
      </c>
      <c r="D242" s="8" t="n">
        <f aca="false">SUMIFS('Source'!$F:$F,'Source'!$A:$A,"155138 לקוח אינטרנט",'Source'!$B:$B,$A242)</f>
        <v>5</v>
      </c>
      <c r="E242" s="8" t="n">
        <f aca="false">D242*$J$5</f>
        <v>6.31578947368421</v>
      </c>
      <c r="F242" s="8" t="n">
        <f aca="false">E242-C242</f>
        <v>4.31578947368421</v>
      </c>
      <c r="G242" s="9" t="n">
        <f aca="false">IF(AND(C242=0,E242=0),0,IF(C242=0,"New",(E242-C242)/C242))</f>
        <v>2.15789473684211</v>
      </c>
      <c r="H242" s="8" t="n">
        <f aca="false">SUMIFS('Source'!$E:$E,'Source'!$A:$A,"155138 לקוח אינטרנט",'Source'!$B:$B,$A242)</f>
        <v>508.3</v>
      </c>
      <c r="I242" s="8" t="n">
        <f aca="false">SUMIFS('Source'!$G:$G,'Source'!$A:$A,"155138 לקוח אינטרנט",'Source'!$B:$B,$A242)</f>
        <v>1245.34</v>
      </c>
      <c r="J242" s="8" t="n">
        <f aca="false">I242*$J$5</f>
        <v>1573.06105263158</v>
      </c>
      <c r="K242" s="8" t="n">
        <f aca="false">J242-H242</f>
        <v>1064.76105263158</v>
      </c>
      <c r="L242" s="9" t="n">
        <f aca="false">IF(AND(H242=0,J242=0),0,IF(H242=0,"New",(J242-H242)/H242))</f>
        <v>2.09474926742392</v>
      </c>
      <c r="M242" s="7" t="str">
        <f aca="false">IF(AND(OR(C242&lt;&gt;0,H242&lt;&gt;0),D242=0,I242=0),"DROP",IF(AND(OR(D242&lt;&gt;0,I242&lt;&gt;0),C242=0,H242=0),"NEW",""))</f>
        <v/>
      </c>
    </row>
    <row r="243" customFormat="false" ht="15" hidden="false" customHeight="false" outlineLevel="0" collapsed="false">
      <c r="A243" s="7" t="s">
        <v>334</v>
      </c>
      <c r="B243" s="7" t="str">
        <f aca="false">IFERROR(INDEX('Source'!$C:$C,MATCH($A243,'Source'!$B:$B,0)),"")</f>
        <v>סד לילה לבוהן</v>
      </c>
      <c r="C243" s="8" t="n">
        <f aca="false">SUMIFS('Source'!$D:$D,'Source'!$A:$A,"155138 לקוח אינטרנט",'Source'!$B:$B,$A243)</f>
        <v>32</v>
      </c>
      <c r="D243" s="8" t="n">
        <f aca="false">SUMIFS('Source'!$F:$F,'Source'!$A:$A,"155138 לקוח אינטרנט",'Source'!$B:$B,$A243)</f>
        <v>25</v>
      </c>
      <c r="E243" s="8" t="n">
        <f aca="false">D243*$J$5</f>
        <v>31.5789473684211</v>
      </c>
      <c r="F243" s="8" t="n">
        <f aca="false">E243-C243</f>
        <v>-0.421052631578949</v>
      </c>
      <c r="G243" s="9" t="n">
        <f aca="false">IF(AND(C243=0,E243=0),0,IF(C243=0,"New",(E243-C243)/C243))</f>
        <v>-0.0131578947368421</v>
      </c>
      <c r="H243" s="8" t="n">
        <f aca="false">SUMIFS('Source'!$E:$E,'Source'!$A:$A,"155138 לקוח אינטרנט",'Source'!$B:$B,$A243)</f>
        <v>3896.02</v>
      </c>
      <c r="I243" s="8" t="n">
        <f aca="false">SUMIFS('Source'!$G:$G,'Source'!$A:$A,"155138 לקוח אינטרנט",'Source'!$B:$B,$A243)</f>
        <v>3164.64</v>
      </c>
      <c r="J243" s="8" t="n">
        <f aca="false">I243*$J$5</f>
        <v>3997.44</v>
      </c>
      <c r="K243" s="8" t="n">
        <f aca="false">J243-H243</f>
        <v>101.42</v>
      </c>
      <c r="L243" s="9" t="n">
        <f aca="false">IF(AND(H243=0,J243=0),0,IF(H243=0,"New",(J243-H243)/H243))</f>
        <v>0.0260316938824748</v>
      </c>
      <c r="M243" s="7" t="str">
        <f aca="false">IF(AND(OR(C243&lt;&gt;0,H243&lt;&gt;0),D243=0,I243=0),"DROP",IF(AND(OR(D243&lt;&gt;0,I243&lt;&gt;0),C243=0,H243=0),"NEW",""))</f>
        <v/>
      </c>
    </row>
    <row r="244" customFormat="false" ht="15" hidden="false" customHeight="false" outlineLevel="0" collapsed="false">
      <c r="A244" s="7" t="s">
        <v>335</v>
      </c>
      <c r="B244" s="7" t="str">
        <f aca="false">IFERROR(INDEX('Source'!$C:$C,MATCH($A244,'Source'!$B:$B,0)),"")</f>
        <v>מגן ברך משופר עם צ</v>
      </c>
      <c r="C244" s="8" t="n">
        <f aca="false">SUMIFS('Source'!$D:$D,'Source'!$A:$A,"155138 לקוח אינטרנט",'Source'!$B:$B,$A244)</f>
        <v>0</v>
      </c>
      <c r="D244" s="8" t="n">
        <f aca="false">SUMIFS('Source'!$F:$F,'Source'!$A:$A,"155138 לקוח אינטרנט",'Source'!$B:$B,$A244)</f>
        <v>1</v>
      </c>
      <c r="E244" s="8" t="n">
        <f aca="false">D244*$J$5</f>
        <v>1.26315789473684</v>
      </c>
      <c r="F244" s="8" t="n">
        <f aca="false">E244-C244</f>
        <v>1.26315789473684</v>
      </c>
      <c r="G244" s="9" t="str">
        <f aca="false">IF(AND(C244=0,E244=0),0,IF(C244=0,"New",(E244-C244)/C244))</f>
        <v>New</v>
      </c>
      <c r="H244" s="8" t="n">
        <f aca="false">SUMIFS('Source'!$E:$E,'Source'!$A:$A,"155138 לקוח אינטרנט",'Source'!$B:$B,$A244)</f>
        <v>0</v>
      </c>
      <c r="I244" s="8" t="n">
        <f aca="false">SUMIFS('Source'!$G:$G,'Source'!$A:$A,"155138 לקוח אינטרנט",'Source'!$B:$B,$A244)</f>
        <v>728.73</v>
      </c>
      <c r="J244" s="8" t="n">
        <f aca="false">I244*$J$5</f>
        <v>920.501052631579</v>
      </c>
      <c r="K244" s="8" t="n">
        <f aca="false">J244-H244</f>
        <v>920.501052631579</v>
      </c>
      <c r="L244" s="9" t="str">
        <f aca="false">IF(AND(H244=0,J244=0),0,IF(H244=0,"New",(J244-H244)/H244))</f>
        <v>New</v>
      </c>
      <c r="M244" s="7" t="str">
        <f aca="false">IF(AND(OR(C244&lt;&gt;0,H244&lt;&gt;0),D244=0,I244=0),"DROP",IF(AND(OR(D244&lt;&gt;0,I244&lt;&gt;0),C244=0,H244=0),"NEW",""))</f>
        <v>NEW</v>
      </c>
    </row>
    <row r="245" customFormat="false" ht="15" hidden="false" customHeight="false" outlineLevel="0" collapsed="false">
      <c r="A245" s="7" t="s">
        <v>336</v>
      </c>
      <c r="B245" s="7" t="str">
        <f aca="false">IFERROR(INDEX('Source'!$C:$C,MATCH($A245,'Source'!$B:$B,0)),"")</f>
        <v>חגורת שבר שחור</v>
      </c>
      <c r="C245" s="8" t="n">
        <f aca="false">SUMIFS('Source'!$D:$D,'Source'!$A:$A,"155138 לקוח אינטרנט",'Source'!$B:$B,$A245)</f>
        <v>3</v>
      </c>
      <c r="D245" s="8" t="n">
        <f aca="false">SUMIFS('Source'!$F:$F,'Source'!$A:$A,"155138 לקוח אינטרנט",'Source'!$B:$B,$A245)</f>
        <v>5</v>
      </c>
      <c r="E245" s="8" t="n">
        <f aca="false">D245*$J$5</f>
        <v>6.31578947368421</v>
      </c>
      <c r="F245" s="8" t="n">
        <f aca="false">E245-C245</f>
        <v>3.31578947368421</v>
      </c>
      <c r="G245" s="9" t="n">
        <f aca="false">IF(AND(C245=0,E245=0),0,IF(C245=0,"New",(E245-C245)/C245))</f>
        <v>1.10526315789474</v>
      </c>
      <c r="H245" s="8" t="n">
        <f aca="false">SUMIFS('Source'!$E:$E,'Source'!$A:$A,"155138 לקוח אינטרנט",'Source'!$B:$B,$A245)</f>
        <v>915.03</v>
      </c>
      <c r="I245" s="8" t="n">
        <f aca="false">SUMIFS('Source'!$G:$G,'Source'!$A:$A,"155138 לקוח אינטרנט",'Source'!$B:$B,$A245)</f>
        <v>1626.72</v>
      </c>
      <c r="J245" s="8" t="n">
        <f aca="false">I245*$J$5</f>
        <v>2054.80421052632</v>
      </c>
      <c r="K245" s="8" t="n">
        <f aca="false">J245-H245</f>
        <v>1139.77421052632</v>
      </c>
      <c r="L245" s="9" t="n">
        <f aca="false">IF(AND(H245=0,J245=0),0,IF(H245=0,"New",(J245-H245)/H245))</f>
        <v>1.24561403508772</v>
      </c>
      <c r="M245" s="7" t="str">
        <f aca="false">IF(AND(OR(C245&lt;&gt;0,H245&lt;&gt;0),D245=0,I245=0),"DROP",IF(AND(OR(D245&lt;&gt;0,I245&lt;&gt;0),C245=0,H245=0),"NEW",""))</f>
        <v/>
      </c>
    </row>
    <row r="246" customFormat="false" ht="15" hidden="false" customHeight="false" outlineLevel="0" collapsed="false">
      <c r="A246" s="7" t="s">
        <v>337</v>
      </c>
      <c r="B246" s="7" t="str">
        <f aca="false">IFERROR(INDEX('Source'!$C:$C,MATCH($A246,'Source'!$B:$B,0)),"")</f>
        <v>מפריד הלוקס עם כרית</v>
      </c>
      <c r="C246" s="8" t="n">
        <f aca="false">SUMIFS('Source'!$D:$D,'Source'!$A:$A,"155138 לקוח אינטרנט",'Source'!$B:$B,$A246)</f>
        <v>5</v>
      </c>
      <c r="D246" s="8" t="n">
        <f aca="false">SUMIFS('Source'!$F:$F,'Source'!$A:$A,"155138 לקוח אינטרנט",'Source'!$B:$B,$A246)</f>
        <v>11</v>
      </c>
      <c r="E246" s="8" t="n">
        <f aca="false">D246*$J$5</f>
        <v>13.8947368421053</v>
      </c>
      <c r="F246" s="8" t="n">
        <f aca="false">E246-C246</f>
        <v>8.89473684210526</v>
      </c>
      <c r="G246" s="9" t="n">
        <f aca="false">IF(AND(C246=0,E246=0),0,IF(C246=0,"New",(E246-C246)/C246))</f>
        <v>1.77894736842105</v>
      </c>
      <c r="H246" s="8" t="n">
        <f aca="false">SUMIFS('Source'!$E:$E,'Source'!$A:$A,"155138 לקוח אינטרנט",'Source'!$B:$B,$A246)</f>
        <v>577.2</v>
      </c>
      <c r="I246" s="8" t="n">
        <f aca="false">SUMIFS('Source'!$G:$G,'Source'!$A:$A,"155138 לקוח אינטרנט",'Source'!$B:$B,$A246)</f>
        <v>1280.67</v>
      </c>
      <c r="J246" s="8" t="n">
        <f aca="false">I246*$J$5</f>
        <v>1617.68842105263</v>
      </c>
      <c r="K246" s="8" t="n">
        <f aca="false">J246-H246</f>
        <v>1040.48842105263</v>
      </c>
      <c r="L246" s="9" t="n">
        <f aca="false">IF(AND(H246=0,J246=0),0,IF(H246=0,"New",(J246-H246)/H246))</f>
        <v>1.80264799212168</v>
      </c>
      <c r="M246" s="7" t="str">
        <f aca="false">IF(AND(OR(C246&lt;&gt;0,H246&lt;&gt;0),D246=0,I246=0),"DROP",IF(AND(OR(D246&lt;&gt;0,I246&lt;&gt;0),C246=0,H246=0),"NEW",""))</f>
        <v/>
      </c>
    </row>
    <row r="247" customFormat="false" ht="15" hidden="false" customHeight="false" outlineLevel="0" collapsed="false">
      <c r="A247" s="7" t="s">
        <v>338</v>
      </c>
      <c r="B247" s="7" t="str">
        <f aca="false">IFERROR(INDEX('Source'!$C:$C,MATCH($A247,'Source'!$B:$B,0)),"")</f>
        <v>מגן ירך לאחר ניתוח</v>
      </c>
      <c r="C247" s="8" t="n">
        <f aca="false">SUMIFS('Source'!$D:$D,'Source'!$A:$A,"155138 לקוח אינטרנט",'Source'!$B:$B,$A247)</f>
        <v>1</v>
      </c>
      <c r="D247" s="8" t="n">
        <f aca="false">SUMIFS('Source'!$F:$F,'Source'!$A:$A,"155138 לקוח אינטרנט",'Source'!$B:$B,$A247)</f>
        <v>4</v>
      </c>
      <c r="E247" s="8" t="n">
        <f aca="false">D247*$J$5</f>
        <v>5.05263157894737</v>
      </c>
      <c r="F247" s="8" t="n">
        <f aca="false">E247-C247</f>
        <v>4.05263157894737</v>
      </c>
      <c r="G247" s="9" t="n">
        <f aca="false">IF(AND(C247=0,E247=0),0,IF(C247=0,"New",(E247-C247)/C247))</f>
        <v>4.05263157894737</v>
      </c>
      <c r="H247" s="8" t="n">
        <f aca="false">SUMIFS('Source'!$E:$E,'Source'!$A:$A,"155138 לקוח אינטרנט",'Source'!$B:$B,$A247)</f>
        <v>240</v>
      </c>
      <c r="I247" s="8" t="n">
        <f aca="false">SUMIFS('Source'!$G:$G,'Source'!$A:$A,"155138 לקוח אינטרנט",'Source'!$B:$B,$A247)</f>
        <v>941.62</v>
      </c>
      <c r="J247" s="8" t="n">
        <f aca="false">I247*$J$5</f>
        <v>1189.41473684211</v>
      </c>
      <c r="K247" s="8" t="n">
        <f aca="false">J247-H247</f>
        <v>949.414736842105</v>
      </c>
      <c r="L247" s="9" t="n">
        <f aca="false">IF(AND(H247=0,J247=0),0,IF(H247=0,"New",(J247-H247)/H247))</f>
        <v>3.95589473684211</v>
      </c>
      <c r="M247" s="7" t="str">
        <f aca="false">IF(AND(OR(C247&lt;&gt;0,H247&lt;&gt;0),D247=0,I247=0),"DROP",IF(AND(OR(D247&lt;&gt;0,I247&lt;&gt;0),C247=0,H247=0),"NEW",""))</f>
        <v/>
      </c>
    </row>
    <row r="248" customFormat="false" ht="15" hidden="false" customHeight="false" outlineLevel="0" collapsed="false">
      <c r="A248" s="7" t="s">
        <v>339</v>
      </c>
      <c r="B248" s="7" t="str">
        <f aca="false">IFERROR(INDEX('Source'!$C:$C,MATCH($A248,'Source'!$B:$B,0)),"")</f>
        <v>מגן ברך מוצלב+מוטות</v>
      </c>
      <c r="C248" s="8" t="n">
        <f aca="false">SUMIFS('Source'!$D:$D,'Source'!$A:$A,"155138 לקוח אינטרנט",'Source'!$B:$B,$A248)</f>
        <v>5</v>
      </c>
      <c r="D248" s="8" t="n">
        <f aca="false">SUMIFS('Source'!$F:$F,'Source'!$A:$A,"155138 לקוח אינטרנט",'Source'!$B:$B,$A248)</f>
        <v>2</v>
      </c>
      <c r="E248" s="8" t="n">
        <f aca="false">D248*$J$5</f>
        <v>2.52631578947368</v>
      </c>
      <c r="F248" s="8" t="n">
        <f aca="false">E248-C248</f>
        <v>-2.47368421052632</v>
      </c>
      <c r="G248" s="9" t="n">
        <f aca="false">IF(AND(C248=0,E248=0),0,IF(C248=0,"New",(E248-C248)/C248))</f>
        <v>-0.494736842105263</v>
      </c>
      <c r="H248" s="8" t="n">
        <f aca="false">SUMIFS('Source'!$E:$E,'Source'!$A:$A,"155138 לקוח אינטרנט",'Source'!$B:$B,$A248)</f>
        <v>1109.34</v>
      </c>
      <c r="I248" s="8" t="n">
        <f aca="false">SUMIFS('Source'!$G:$G,'Source'!$A:$A,"155138 לקוח אינטרנט",'Source'!$B:$B,$A248)</f>
        <v>411.71</v>
      </c>
      <c r="J248" s="8" t="n">
        <f aca="false">I248*$J$5</f>
        <v>520.054736842105</v>
      </c>
      <c r="K248" s="8" t="n">
        <f aca="false">J248-H248</f>
        <v>-589.285263157895</v>
      </c>
      <c r="L248" s="9" t="n">
        <f aca="false">IF(AND(H248=0,J248=0),0,IF(H248=0,"New",(J248-H248)/H248))</f>
        <v>-0.531203475181545</v>
      </c>
      <c r="M248" s="7" t="str">
        <f aca="false">IF(AND(OR(C248&lt;&gt;0,H248&lt;&gt;0),D248=0,I248=0),"DROP",IF(AND(OR(D248&lt;&gt;0,I248&lt;&gt;0),C248=0,H248=0),"NEW",""))</f>
        <v/>
      </c>
    </row>
    <row r="249" customFormat="false" ht="15" hidden="false" customHeight="false" outlineLevel="0" collapsed="false">
      <c r="A249" s="7" t="s">
        <v>340</v>
      </c>
      <c r="B249" s="7" t="str">
        <f aca="false">IFERROR(INDEX('Source'!$C:$C,MATCH($A249,'Source'!$B:$B,0)),"")</f>
        <v>מגן קרסול+צמדן-לכו</v>
      </c>
      <c r="C249" s="8" t="n">
        <f aca="false">SUMIFS('Source'!$D:$D,'Source'!$A:$A,"155138 לקוח אינטרנט",'Source'!$B:$B,$A249)</f>
        <v>6</v>
      </c>
      <c r="D249" s="8" t="n">
        <f aca="false">SUMIFS('Source'!$F:$F,'Source'!$A:$A,"155138 לקוח אינטרנט",'Source'!$B:$B,$A249)</f>
        <v>1</v>
      </c>
      <c r="E249" s="8" t="n">
        <f aca="false">D249*$J$5</f>
        <v>1.26315789473684</v>
      </c>
      <c r="F249" s="8" t="n">
        <f aca="false">E249-C249</f>
        <v>-4.73684210526316</v>
      </c>
      <c r="G249" s="9" t="n">
        <f aca="false">IF(AND(C249=0,E249=0),0,IF(C249=0,"New",(E249-C249)/C249))</f>
        <v>-0.789473684210526</v>
      </c>
      <c r="H249" s="8" t="n">
        <f aca="false">SUMIFS('Source'!$E:$E,'Source'!$A:$A,"155138 לקוח אינטרנט",'Source'!$B:$B,$A249)</f>
        <v>817.69</v>
      </c>
      <c r="I249" s="8" t="n">
        <f aca="false">SUMIFS('Source'!$G:$G,'Source'!$A:$A,"155138 לקוח אינטרנט",'Source'!$B:$B,$A249)</f>
        <v>120.26</v>
      </c>
      <c r="J249" s="8" t="n">
        <f aca="false">I249*$J$5</f>
        <v>151.907368421053</v>
      </c>
      <c r="K249" s="8" t="n">
        <f aca="false">J249-H249</f>
        <v>-665.782631578947</v>
      </c>
      <c r="L249" s="9" t="n">
        <f aca="false">IF(AND(H249=0,J249=0),0,IF(H249=0,"New",(J249-H249)/H249))</f>
        <v>-0.814223766438317</v>
      </c>
      <c r="M249" s="7" t="str">
        <f aca="false">IF(AND(OR(C249&lt;&gt;0,H249&lt;&gt;0),D249=0,I249=0),"DROP",IF(AND(OR(D249&lt;&gt;0,I249&lt;&gt;0),C249=0,H249=0),"NEW",""))</f>
        <v/>
      </c>
    </row>
    <row r="250" customFormat="false" ht="15" hidden="false" customHeight="false" outlineLevel="0" collapsed="false">
      <c r="A250" s="7" t="s">
        <v>341</v>
      </c>
      <c r="B250" s="7" t="str">
        <f aca="false">IFERROR(INDEX('Source'!$C:$C,MATCH($A250,'Source'!$B:$B,0)),"")</f>
        <v>מגן קרסול סגור</v>
      </c>
      <c r="C250" s="8" t="n">
        <f aca="false">SUMIFS('Source'!$D:$D,'Source'!$A:$A,"155138 לקוח אינטרנט",'Source'!$B:$B,$A250)</f>
        <v>11</v>
      </c>
      <c r="D250" s="8" t="n">
        <f aca="false">SUMIFS('Source'!$F:$F,'Source'!$A:$A,"155138 לקוח אינטרנט",'Source'!$B:$B,$A250)</f>
        <v>19</v>
      </c>
      <c r="E250" s="8" t="n">
        <f aca="false">D250*$J$5</f>
        <v>24</v>
      </c>
      <c r="F250" s="8" t="n">
        <f aca="false">E250-C250</f>
        <v>13</v>
      </c>
      <c r="G250" s="9" t="n">
        <f aca="false">IF(AND(C250=0,E250=0),0,IF(C250=0,"New",(E250-C250)/C250))</f>
        <v>1.18181818181818</v>
      </c>
      <c r="H250" s="8" t="n">
        <f aca="false">SUMIFS('Source'!$E:$E,'Source'!$A:$A,"155138 לקוח אינטרנט",'Source'!$B:$B,$A250)</f>
        <v>863.53</v>
      </c>
      <c r="I250" s="8" t="n">
        <f aca="false">SUMIFS('Source'!$G:$G,'Source'!$A:$A,"155138 לקוח אינטרנט",'Source'!$B:$B,$A250)</f>
        <v>1557.75</v>
      </c>
      <c r="J250" s="8" t="n">
        <f aca="false">I250*$J$5</f>
        <v>1967.68421052632</v>
      </c>
      <c r="K250" s="8" t="n">
        <f aca="false">J250-H250</f>
        <v>1104.15421052632</v>
      </c>
      <c r="L250" s="9" t="n">
        <f aca="false">IF(AND(H250=0,J250=0),0,IF(H250=0,"New",(J250-H250)/H250))</f>
        <v>1.27865182509735</v>
      </c>
      <c r="M250" s="7" t="str">
        <f aca="false">IF(AND(OR(C250&lt;&gt;0,H250&lt;&gt;0),D250=0,I250=0),"DROP",IF(AND(OR(D250&lt;&gt;0,I250&lt;&gt;0),C250=0,H250=0),"NEW",""))</f>
        <v/>
      </c>
    </row>
    <row r="251" customFormat="false" ht="15" hidden="false" customHeight="false" outlineLevel="0" collapsed="false">
      <c r="A251" s="7" t="s">
        <v>342</v>
      </c>
      <c r="B251" s="7" t="str">
        <f aca="false">IFERROR(INDEX('Source'!$C:$C,MATCH($A251,'Source'!$B:$B,0)),"")</f>
        <v>מדרס מג'ל</v>
      </c>
      <c r="C251" s="8" t="n">
        <f aca="false">SUMIFS('Source'!$D:$D,'Source'!$A:$A,"155138 לקוח אינטרנט",'Source'!$B:$B,$A251)</f>
        <v>3</v>
      </c>
      <c r="D251" s="8" t="n">
        <f aca="false">SUMIFS('Source'!$F:$F,'Source'!$A:$A,"155138 לקוח אינטרנט",'Source'!$B:$B,$A251)</f>
        <v>9</v>
      </c>
      <c r="E251" s="8" t="n">
        <f aca="false">D251*$J$5</f>
        <v>11.3684210526316</v>
      </c>
      <c r="F251" s="8" t="n">
        <f aca="false">E251-C251</f>
        <v>8.36842105263158</v>
      </c>
      <c r="G251" s="9" t="n">
        <f aca="false">IF(AND(C251=0,E251=0),0,IF(C251=0,"New",(E251-C251)/C251))</f>
        <v>2.78947368421053</v>
      </c>
      <c r="H251" s="8" t="n">
        <f aca="false">SUMIFS('Source'!$E:$E,'Source'!$A:$A,"155138 לקוח אינטרנט",'Source'!$B:$B,$A251)</f>
        <v>367.11</v>
      </c>
      <c r="I251" s="8" t="n">
        <f aca="false">SUMIFS('Source'!$G:$G,'Source'!$A:$A,"155138 לקוח אינטרנט",'Source'!$B:$B,$A251)</f>
        <v>1055.59</v>
      </c>
      <c r="J251" s="8" t="n">
        <f aca="false">I251*$J$5</f>
        <v>1333.37684210526</v>
      </c>
      <c r="K251" s="8" t="n">
        <f aca="false">J251-H251</f>
        <v>966.266842105263</v>
      </c>
      <c r="L251" s="9" t="n">
        <f aca="false">IF(AND(H251=0,J251=0),0,IF(H251=0,"New",(J251-H251)/H251))</f>
        <v>2.63209076872126</v>
      </c>
      <c r="M251" s="7" t="str">
        <f aca="false">IF(AND(OR(C251&lt;&gt;0,H251&lt;&gt;0),D251=0,I251=0),"DROP",IF(AND(OR(D251&lt;&gt;0,I251&lt;&gt;0),C251=0,H251=0),"NEW",""))</f>
        <v/>
      </c>
    </row>
    <row r="252" customFormat="false" ht="15" hidden="false" customHeight="false" outlineLevel="0" collapsed="false">
      <c r="A252" s="7" t="s">
        <v>343</v>
      </c>
      <c r="B252" s="7" t="str">
        <f aca="false">IFERROR(INDEX('Source'!$C:$C,MATCH($A252,'Source'!$B:$B,0)),"")</f>
        <v>מגן קרסול שחור</v>
      </c>
      <c r="C252" s="8" t="n">
        <f aca="false">SUMIFS('Source'!$D:$D,'Source'!$A:$A,"155138 לקוח אינטרנט",'Source'!$B:$B,$A252)</f>
        <v>5</v>
      </c>
      <c r="D252" s="8" t="n">
        <f aca="false">SUMIFS('Source'!$F:$F,'Source'!$A:$A,"155138 לקוח אינטרנט",'Source'!$B:$B,$A252)</f>
        <v>17</v>
      </c>
      <c r="E252" s="8" t="n">
        <f aca="false">D252*$J$5</f>
        <v>21.4736842105263</v>
      </c>
      <c r="F252" s="8" t="n">
        <f aca="false">E252-C252</f>
        <v>16.4736842105263</v>
      </c>
      <c r="G252" s="9" t="n">
        <f aca="false">IF(AND(C252=0,E252=0),0,IF(C252=0,"New",(E252-C252)/C252))</f>
        <v>3.29473684210526</v>
      </c>
      <c r="H252" s="8" t="n">
        <f aca="false">SUMIFS('Source'!$E:$E,'Source'!$A:$A,"155138 לקוח אינטרנט",'Source'!$B:$B,$A252)</f>
        <v>240.15</v>
      </c>
      <c r="I252" s="8" t="n">
        <f aca="false">SUMIFS('Source'!$G:$G,'Source'!$A:$A,"155138 לקוח אינטרנט",'Source'!$B:$B,$A252)</f>
        <v>924.29</v>
      </c>
      <c r="J252" s="8" t="n">
        <f aca="false">I252*$J$5</f>
        <v>1167.52421052632</v>
      </c>
      <c r="K252" s="8" t="n">
        <f aca="false">J252-H252</f>
        <v>927.374210526316</v>
      </c>
      <c r="L252" s="9" t="n">
        <f aca="false">IF(AND(H252=0,J252=0),0,IF(H252=0,"New",(J252-H252)/H252))</f>
        <v>3.86164568197508</v>
      </c>
      <c r="M252" s="7" t="str">
        <f aca="false">IF(AND(OR(C252&lt;&gt;0,H252&lt;&gt;0),D252=0,I252=0),"DROP",IF(AND(OR(D252&lt;&gt;0,I252&lt;&gt;0),C252=0,H252=0),"NEW",""))</f>
        <v/>
      </c>
    </row>
    <row r="253" customFormat="false" ht="15" hidden="false" customHeight="false" outlineLevel="0" collapsed="false">
      <c r="A253" s="7" t="s">
        <v>344</v>
      </c>
      <c r="B253" s="7" t="str">
        <f aca="false">IFERROR(INDEX('Source'!$C:$C,MATCH($A253,'Source'!$B:$B,0)),"")</f>
        <v>חגורת לומבו-סקרל-צבע</v>
      </c>
      <c r="C253" s="8" t="n">
        <f aca="false">SUMIFS('Source'!$D:$D,'Source'!$A:$A,"155138 לקוח אינטרנט",'Source'!$B:$B,$A253)</f>
        <v>0</v>
      </c>
      <c r="D253" s="8" t="n">
        <f aca="false">SUMIFS('Source'!$F:$F,'Source'!$A:$A,"155138 לקוח אינטרנט",'Source'!$B:$B,$A253)</f>
        <v>1</v>
      </c>
      <c r="E253" s="8" t="n">
        <f aca="false">D253*$J$5</f>
        <v>1.26315789473684</v>
      </c>
      <c r="F253" s="8" t="n">
        <f aca="false">E253-C253</f>
        <v>1.26315789473684</v>
      </c>
      <c r="G253" s="9" t="str">
        <f aca="false">IF(AND(C253=0,E253=0),0,IF(C253=0,"New",(E253-C253)/C253))</f>
        <v>New</v>
      </c>
      <c r="H253" s="8" t="n">
        <f aca="false">SUMIFS('Source'!$E:$E,'Source'!$A:$A,"155138 לקוח אינטרנט",'Source'!$B:$B,$A253)</f>
        <v>0</v>
      </c>
      <c r="I253" s="8" t="n">
        <f aca="false">SUMIFS('Source'!$G:$G,'Source'!$A:$A,"155138 לקוח אינטרנט",'Source'!$B:$B,$A253)</f>
        <v>677.88</v>
      </c>
      <c r="J253" s="8" t="n">
        <f aca="false">I253*$J$5</f>
        <v>856.26947368421</v>
      </c>
      <c r="K253" s="8" t="n">
        <f aca="false">J253-H253</f>
        <v>856.26947368421</v>
      </c>
      <c r="L253" s="9" t="str">
        <f aca="false">IF(AND(H253=0,J253=0),0,IF(H253=0,"New",(J253-H253)/H253))</f>
        <v>New</v>
      </c>
      <c r="M253" s="7" t="str">
        <f aca="false">IF(AND(OR(C253&lt;&gt;0,H253&lt;&gt;0),D253=0,I253=0),"DROP",IF(AND(OR(D253&lt;&gt;0,I253&lt;&gt;0),C253=0,H253=0),"NEW",""))</f>
        <v>NEW</v>
      </c>
    </row>
    <row r="254" customFormat="false" ht="15" hidden="false" customHeight="false" outlineLevel="0" collapsed="false">
      <c r="A254" s="7" t="s">
        <v>345</v>
      </c>
      <c r="B254" s="7" t="str">
        <f aca="false">IFERROR(INDEX('Source'!$C:$C,MATCH($A254,'Source'!$B:$B,0)),"")</f>
        <v>מיצב פיקה</v>
      </c>
      <c r="C254" s="8" t="n">
        <f aca="false">SUMIFS('Source'!$D:$D,'Source'!$A:$A,"155138 לקוח אינטרנט",'Source'!$B:$B,$A254)</f>
        <v>6</v>
      </c>
      <c r="D254" s="8" t="n">
        <f aca="false">SUMIFS('Source'!$F:$F,'Source'!$A:$A,"155138 לקוח אינטרנט",'Source'!$B:$B,$A254)</f>
        <v>2</v>
      </c>
      <c r="E254" s="8" t="n">
        <f aca="false">D254*$J$5</f>
        <v>2.52631578947368</v>
      </c>
      <c r="F254" s="8" t="n">
        <f aca="false">E254-C254</f>
        <v>-3.47368421052632</v>
      </c>
      <c r="G254" s="9" t="n">
        <f aca="false">IF(AND(C254=0,E254=0),0,IF(C254=0,"New",(E254-C254)/C254))</f>
        <v>-0.578947368421053</v>
      </c>
      <c r="H254" s="8" t="n">
        <f aca="false">SUMIFS('Source'!$E:$E,'Source'!$A:$A,"155138 לקוח אינטרנט",'Source'!$B:$B,$A254)</f>
        <v>1000.93</v>
      </c>
      <c r="I254" s="8" t="n">
        <f aca="false">SUMIFS('Source'!$G:$G,'Source'!$A:$A,"155138 לקוח אינטרנט",'Source'!$B:$B,$A254)</f>
        <v>325.09</v>
      </c>
      <c r="J254" s="8" t="n">
        <f aca="false">I254*$J$5</f>
        <v>410.64</v>
      </c>
      <c r="K254" s="8" t="n">
        <f aca="false">J254-H254</f>
        <v>-590.29</v>
      </c>
      <c r="L254" s="9" t="n">
        <f aca="false">IF(AND(H254=0,J254=0),0,IF(H254=0,"New",(J254-H254)/H254))</f>
        <v>-0.589741540367458</v>
      </c>
      <c r="M254" s="7" t="str">
        <f aca="false">IF(AND(OR(C254&lt;&gt;0,H254&lt;&gt;0),D254=0,I254=0),"DROP",IF(AND(OR(D254&lt;&gt;0,I254&lt;&gt;0),C254=0,H254=0),"NEW",""))</f>
        <v/>
      </c>
    </row>
    <row r="255" customFormat="false" ht="15" hidden="false" customHeight="false" outlineLevel="0" collapsed="false">
      <c r="A255" s="7" t="s">
        <v>346</v>
      </c>
      <c r="B255" s="7" t="str">
        <f aca="false">IFERROR(INDEX('Source'!$C:$C,MATCH($A255,'Source'!$B:$B,0)),"")</f>
        <v>חגורה למנותחי בטן</v>
      </c>
      <c r="C255" s="8" t="n">
        <f aca="false">SUMIFS('Source'!$D:$D,'Source'!$A:$A,"155138 לקוח אינטרנט",'Source'!$B:$B,$A255)</f>
        <v>7</v>
      </c>
      <c r="D255" s="8" t="n">
        <f aca="false">SUMIFS('Source'!$F:$F,'Source'!$A:$A,"155138 לקוח אינטרנט",'Source'!$B:$B,$A255)</f>
        <v>4</v>
      </c>
      <c r="E255" s="8" t="n">
        <f aca="false">D255*$J$5</f>
        <v>5.05263157894737</v>
      </c>
      <c r="F255" s="8" t="n">
        <f aca="false">E255-C255</f>
        <v>-1.94736842105263</v>
      </c>
      <c r="G255" s="9" t="n">
        <f aca="false">IF(AND(C255=0,E255=0),0,IF(C255=0,"New",(E255-C255)/C255))</f>
        <v>-0.278195488721805</v>
      </c>
      <c r="H255" s="8" t="n">
        <f aca="false">SUMIFS('Source'!$E:$E,'Source'!$A:$A,"155138 לקוח אינטרנט",'Source'!$B:$B,$A255)</f>
        <v>1584.68</v>
      </c>
      <c r="I255" s="8" t="n">
        <f aca="false">SUMIFS('Source'!$G:$G,'Source'!$A:$A,"155138 לקוח אינטרנט",'Source'!$B:$B,$A255)</f>
        <v>909.01</v>
      </c>
      <c r="J255" s="8" t="n">
        <f aca="false">I255*$J$5</f>
        <v>1148.22315789474</v>
      </c>
      <c r="K255" s="8" t="n">
        <f aca="false">J255-H255</f>
        <v>-436.456842105263</v>
      </c>
      <c r="L255" s="9" t="n">
        <f aca="false">IF(AND(H255=0,J255=0),0,IF(H255=0,"New",(J255-H255)/H255))</f>
        <v>-0.275422698655415</v>
      </c>
      <c r="M255" s="7" t="str">
        <f aca="false">IF(AND(OR(C255&lt;&gt;0,H255&lt;&gt;0),D255=0,I255=0),"DROP",IF(AND(OR(D255&lt;&gt;0,I255&lt;&gt;0),C255=0,H255=0),"NEW",""))</f>
        <v/>
      </c>
    </row>
    <row r="256" customFormat="false" ht="15" hidden="false" customHeight="false" outlineLevel="0" collapsed="false">
      <c r="A256" s="7" t="s">
        <v>347</v>
      </c>
      <c r="B256" s="7" t="str">
        <f aca="false">IFERROR(INDEX('Source'!$C:$C,MATCH($A256,'Source'!$B:$B,0)),"")</f>
        <v>מישר כתפיים רחב+תמיכה לבית השח</v>
      </c>
      <c r="C256" s="8" t="n">
        <f aca="false">SUMIFS('Source'!$D:$D,'Source'!$A:$A,"155138 לקוח אינטרנט",'Source'!$B:$B,$A256)</f>
        <v>16</v>
      </c>
      <c r="D256" s="8" t="n">
        <f aca="false">SUMIFS('Source'!$F:$F,'Source'!$A:$A,"155138 לקוח אינטרנט",'Source'!$B:$B,$A256)</f>
        <v>18</v>
      </c>
      <c r="E256" s="8" t="n">
        <f aca="false">D256*$J$5</f>
        <v>22.7368421052632</v>
      </c>
      <c r="F256" s="8" t="n">
        <f aca="false">E256-C256</f>
        <v>6.73684210526316</v>
      </c>
      <c r="G256" s="9" t="n">
        <f aca="false">IF(AND(C256=0,E256=0),0,IF(C256=0,"New",(E256-C256)/C256))</f>
        <v>0.421052631578947</v>
      </c>
      <c r="H256" s="8" t="n">
        <f aca="false">SUMIFS('Source'!$E:$E,'Source'!$A:$A,"155138 לקוח אינטרנט",'Source'!$B:$B,$A256)</f>
        <v>5754.54</v>
      </c>
      <c r="I256" s="8" t="n">
        <f aca="false">SUMIFS('Source'!$G:$G,'Source'!$A:$A,"155138 לקוח אינטרנט",'Source'!$B:$B,$A256)</f>
        <v>6424.39</v>
      </c>
      <c r="J256" s="8" t="n">
        <f aca="false">I256*$J$5</f>
        <v>8115.01894736842</v>
      </c>
      <c r="K256" s="8" t="n">
        <f aca="false">J256-H256</f>
        <v>2360.47894736842</v>
      </c>
      <c r="L256" s="9" t="n">
        <f aca="false">IF(AND(H256=0,J256=0),0,IF(H256=0,"New",(J256-H256)/H256))</f>
        <v>0.410194202728354</v>
      </c>
      <c r="M256" s="7" t="str">
        <f aca="false">IF(AND(OR(C256&lt;&gt;0,H256&lt;&gt;0),D256=0,I256=0),"DROP",IF(AND(OR(D256&lt;&gt;0,I256&lt;&gt;0),C256=0,H256=0),"NEW",""))</f>
        <v/>
      </c>
    </row>
    <row r="257" customFormat="false" ht="15" hidden="false" customHeight="false" outlineLevel="0" collapsed="false">
      <c r="A257" s="7" t="s">
        <v>348</v>
      </c>
      <c r="B257" s="7" t="str">
        <f aca="false">IFERROR(INDEX('Source'!$C:$C,MATCH($A257,'Source'!$B:$B,0)),"")</f>
        <v>אצבעון מסיליקון</v>
      </c>
      <c r="C257" s="8" t="n">
        <f aca="false">SUMIFS('Source'!$D:$D,'Source'!$A:$A,"155138 לקוח אינטרנט",'Source'!$B:$B,$A257)</f>
        <v>0</v>
      </c>
      <c r="D257" s="8" t="n">
        <f aca="false">SUMIFS('Source'!$F:$F,'Source'!$A:$A,"155138 לקוח אינטרנט",'Source'!$B:$B,$A257)</f>
        <v>15</v>
      </c>
      <c r="E257" s="8" t="n">
        <f aca="false">D257*$J$5</f>
        <v>18.9473684210526</v>
      </c>
      <c r="F257" s="8" t="n">
        <f aca="false">E257-C257</f>
        <v>18.9473684210526</v>
      </c>
      <c r="G257" s="9" t="str">
        <f aca="false">IF(AND(C257=0,E257=0),0,IF(C257=0,"New",(E257-C257)/C257))</f>
        <v>New</v>
      </c>
      <c r="H257" s="8" t="n">
        <f aca="false">SUMIFS('Source'!$E:$E,'Source'!$A:$A,"155138 לקוח אינטרנט",'Source'!$B:$B,$A257)</f>
        <v>0</v>
      </c>
      <c r="I257" s="8" t="n">
        <f aca="false">SUMIFS('Source'!$G:$G,'Source'!$A:$A,"155138 לקוח אינטרנט",'Source'!$B:$B,$A257)</f>
        <v>667.98</v>
      </c>
      <c r="J257" s="8" t="n">
        <f aca="false">I257*$J$5</f>
        <v>843.764210526316</v>
      </c>
      <c r="K257" s="8" t="n">
        <f aca="false">J257-H257</f>
        <v>843.764210526316</v>
      </c>
      <c r="L257" s="9" t="str">
        <f aca="false">IF(AND(H257=0,J257=0),0,IF(H257=0,"New",(J257-H257)/H257))</f>
        <v>New</v>
      </c>
      <c r="M257" s="7" t="str">
        <f aca="false">IF(AND(OR(C257&lt;&gt;0,H257&lt;&gt;0),D257=0,I257=0),"DROP",IF(AND(OR(D257&lt;&gt;0,I257&lt;&gt;0),C257=0,H257=0),"NEW",""))</f>
        <v>NEW</v>
      </c>
    </row>
    <row r="258" customFormat="false" ht="15" hidden="false" customHeight="false" outlineLevel="0" collapsed="false">
      <c r="A258" s="7" t="s">
        <v>349</v>
      </c>
      <c r="B258" s="7" t="str">
        <f aca="false">IFERROR(INDEX('Source'!$C:$C,MATCH($A258,'Source'!$B:$B,0)),"")</f>
        <v>חגורת גב+סגירה כפולה</v>
      </c>
      <c r="C258" s="8" t="n">
        <f aca="false">SUMIFS('Source'!$D:$D,'Source'!$A:$A,"155138 לקוח אינטרנט",'Source'!$B:$B,$A258)</f>
        <v>56</v>
      </c>
      <c r="D258" s="8" t="n">
        <f aca="false">SUMIFS('Source'!$F:$F,'Source'!$A:$A,"155138 לקוח אינטרנט",'Source'!$B:$B,$A258)</f>
        <v>49</v>
      </c>
      <c r="E258" s="8" t="n">
        <f aca="false">D258*$J$5</f>
        <v>61.8947368421053</v>
      </c>
      <c r="F258" s="8" t="n">
        <f aca="false">E258-C258</f>
        <v>5.89473684210526</v>
      </c>
      <c r="G258" s="9" t="n">
        <f aca="false">IF(AND(C258=0,E258=0),0,IF(C258=0,"New",(E258-C258)/C258))</f>
        <v>0.105263157894737</v>
      </c>
      <c r="H258" s="8" t="n">
        <f aca="false">SUMIFS('Source'!$E:$E,'Source'!$A:$A,"155138 לקוח אינטרנט",'Source'!$B:$B,$A258)</f>
        <v>10667.91</v>
      </c>
      <c r="I258" s="8" t="n">
        <f aca="false">SUMIFS('Source'!$G:$G,'Source'!$A:$A,"155138 לקוח אינטרנט",'Source'!$B:$B,$A258)</f>
        <v>10009.17</v>
      </c>
      <c r="J258" s="8" t="n">
        <f aca="false">I258*$J$5</f>
        <v>12643.1621052632</v>
      </c>
      <c r="K258" s="8" t="n">
        <f aca="false">J258-H258</f>
        <v>1975.25210526316</v>
      </c>
      <c r="L258" s="9" t="n">
        <f aca="false">IF(AND(H258=0,J258=0),0,IF(H258=0,"New",(J258-H258)/H258))</f>
        <v>0.185158302353803</v>
      </c>
      <c r="M258" s="7" t="str">
        <f aca="false">IF(AND(OR(C258&lt;&gt;0,H258&lt;&gt;0),D258=0,I258=0),"DROP",IF(AND(OR(D258&lt;&gt;0,I258&lt;&gt;0),C258=0,H258=0),"NEW",""))</f>
        <v/>
      </c>
    </row>
    <row r="259" customFormat="false" ht="15" hidden="false" customHeight="false" outlineLevel="0" collapsed="false">
      <c r="A259" s="7" t="s">
        <v>350</v>
      </c>
      <c r="B259" s="7" t="str">
        <f aca="false">IFERROR(INDEX('Source'!$C:$C,MATCH($A259,'Source'!$B:$B,0)),"")</f>
        <v>מגן ברך משופר עם צ</v>
      </c>
      <c r="C259" s="8" t="n">
        <f aca="false">SUMIFS('Source'!$D:$D,'Source'!$A:$A,"155138 לקוח אינטרנט",'Source'!$B:$B,$A259)</f>
        <v>0</v>
      </c>
      <c r="D259" s="8" t="n">
        <f aca="false">SUMIFS('Source'!$F:$F,'Source'!$A:$A,"155138 לקוח אינטרנט",'Source'!$B:$B,$A259)</f>
        <v>1</v>
      </c>
      <c r="E259" s="8" t="n">
        <f aca="false">D259*$J$5</f>
        <v>1.26315789473684</v>
      </c>
      <c r="F259" s="8" t="n">
        <f aca="false">E259-C259</f>
        <v>1.26315789473684</v>
      </c>
      <c r="G259" s="9" t="str">
        <f aca="false">IF(AND(C259=0,E259=0),0,IF(C259=0,"New",(E259-C259)/C259))</f>
        <v>New</v>
      </c>
      <c r="H259" s="8" t="n">
        <f aca="false">SUMIFS('Source'!$E:$E,'Source'!$A:$A,"155138 לקוח אינטרנט",'Source'!$B:$B,$A259)</f>
        <v>0</v>
      </c>
      <c r="I259" s="8" t="n">
        <f aca="false">SUMIFS('Source'!$G:$G,'Source'!$A:$A,"155138 לקוח אינטרנט",'Source'!$B:$B,$A259)</f>
        <v>655.85</v>
      </c>
      <c r="J259" s="8" t="n">
        <f aca="false">I259*$J$5</f>
        <v>828.442105263158</v>
      </c>
      <c r="K259" s="8" t="n">
        <f aca="false">J259-H259</f>
        <v>828.442105263158</v>
      </c>
      <c r="L259" s="9" t="str">
        <f aca="false">IF(AND(H259=0,J259=0),0,IF(H259=0,"New",(J259-H259)/H259))</f>
        <v>New</v>
      </c>
      <c r="M259" s="7" t="str">
        <f aca="false">IF(AND(OR(C259&lt;&gt;0,H259&lt;&gt;0),D259=0,I259=0),"DROP",IF(AND(OR(D259&lt;&gt;0,I259&lt;&gt;0),C259=0,H259=0),"NEW",""))</f>
        <v>NEW</v>
      </c>
    </row>
    <row r="260" customFormat="false" ht="15" hidden="false" customHeight="false" outlineLevel="0" collapsed="false">
      <c r="A260" s="7" t="s">
        <v>351</v>
      </c>
      <c r="B260" s="7" t="str">
        <f aca="false">IFERROR(INDEX('Source'!$C:$C,MATCH($A260,'Source'!$B:$B,0)),"")</f>
        <v>מגן לכתף ימין/שמאל</v>
      </c>
      <c r="C260" s="8" t="n">
        <f aca="false">SUMIFS('Source'!$D:$D,'Source'!$A:$A,"155138 לקוח אינטרנט",'Source'!$B:$B,$A260)</f>
        <v>13</v>
      </c>
      <c r="D260" s="8" t="n">
        <f aca="false">SUMIFS('Source'!$F:$F,'Source'!$A:$A,"155138 לקוח אינטרנט",'Source'!$B:$B,$A260)</f>
        <v>17</v>
      </c>
      <c r="E260" s="8" t="n">
        <f aca="false">D260*$J$5</f>
        <v>21.4736842105263</v>
      </c>
      <c r="F260" s="8" t="n">
        <f aca="false">E260-C260</f>
        <v>8.47368421052632</v>
      </c>
      <c r="G260" s="9" t="n">
        <f aca="false">IF(AND(C260=0,E260=0),0,IF(C260=0,"New",(E260-C260)/C260))</f>
        <v>0.651821862348178</v>
      </c>
      <c r="H260" s="8" t="n">
        <f aca="false">SUMIFS('Source'!$E:$E,'Source'!$A:$A,"155138 לקוח אינטרנט",'Source'!$B:$B,$A260)</f>
        <v>4143.74</v>
      </c>
      <c r="I260" s="8" t="n">
        <f aca="false">SUMIFS('Source'!$G:$G,'Source'!$A:$A,"155138 לקוח אינטרנט",'Source'!$B:$B,$A260)</f>
        <v>4795.46</v>
      </c>
      <c r="J260" s="8" t="n">
        <f aca="false">I260*$J$5</f>
        <v>6057.42315789474</v>
      </c>
      <c r="K260" s="8" t="n">
        <f aca="false">J260-H260</f>
        <v>1913.68315789474</v>
      </c>
      <c r="L260" s="9" t="n">
        <f aca="false">IF(AND(H260=0,J260=0),0,IF(H260=0,"New",(J260-H260)/H260))</f>
        <v>0.461825104348906</v>
      </c>
      <c r="M260" s="7" t="str">
        <f aca="false">IF(AND(OR(C260&lt;&gt;0,H260&lt;&gt;0),D260=0,I260=0),"DROP",IF(AND(OR(D260&lt;&gt;0,I260&lt;&gt;0),C260=0,H260=0),"NEW",""))</f>
        <v/>
      </c>
    </row>
    <row r="261" customFormat="false" ht="15" hidden="false" customHeight="false" outlineLevel="0" collapsed="false">
      <c r="A261" s="7" t="s">
        <v>352</v>
      </c>
      <c r="B261" s="7" t="str">
        <f aca="false">IFERROR(INDEX('Source'!$C:$C,MATCH($A261,'Source'!$B:$B,0)),"")</f>
        <v>חגורה למנותחי בטן</v>
      </c>
      <c r="C261" s="8" t="n">
        <f aca="false">SUMIFS('Source'!$D:$D,'Source'!$A:$A,"155138 לקוח אינטרנט",'Source'!$B:$B,$A261)</f>
        <v>7</v>
      </c>
      <c r="D261" s="8" t="n">
        <f aca="false">SUMIFS('Source'!$F:$F,'Source'!$A:$A,"155138 לקוח אינטרנט",'Source'!$B:$B,$A261)</f>
        <v>4</v>
      </c>
      <c r="E261" s="8" t="n">
        <f aca="false">D261*$J$5</f>
        <v>5.05263157894737</v>
      </c>
      <c r="F261" s="8" t="n">
        <f aca="false">E261-C261</f>
        <v>-1.94736842105263</v>
      </c>
      <c r="G261" s="9" t="n">
        <f aca="false">IF(AND(C261=0,E261=0),0,IF(C261=0,"New",(E261-C261)/C261))</f>
        <v>-0.278195488721805</v>
      </c>
      <c r="H261" s="8" t="n">
        <f aca="false">SUMIFS('Source'!$E:$E,'Source'!$A:$A,"155138 לקוח אינטרנט",'Source'!$B:$B,$A261)</f>
        <v>1560.07</v>
      </c>
      <c r="I261" s="8" t="n">
        <f aca="false">SUMIFS('Source'!$G:$G,'Source'!$A:$A,"155138 לקוח אינטרנט",'Source'!$B:$B,$A261)</f>
        <v>909.01</v>
      </c>
      <c r="J261" s="8" t="n">
        <f aca="false">I261*$J$5</f>
        <v>1148.22315789474</v>
      </c>
      <c r="K261" s="8" t="n">
        <f aca="false">J261-H261</f>
        <v>-411.846842105263</v>
      </c>
      <c r="L261" s="9" t="n">
        <f aca="false">IF(AND(H261=0,J261=0),0,IF(H261=0,"New",(J261-H261)/H261))</f>
        <v>-0.263992540145803</v>
      </c>
      <c r="M261" s="7" t="str">
        <f aca="false">IF(AND(OR(C261&lt;&gt;0,H261&lt;&gt;0),D261=0,I261=0),"DROP",IF(AND(OR(D261&lt;&gt;0,I261&lt;&gt;0),C261=0,H261=0),"NEW",""))</f>
        <v/>
      </c>
    </row>
    <row r="262" customFormat="false" ht="15" hidden="false" customHeight="false" outlineLevel="0" collapsed="false">
      <c r="A262" s="7" t="s">
        <v>353</v>
      </c>
      <c r="B262" s="7" t="str">
        <f aca="false">IFERROR(INDEX('Source'!$C:$C,MATCH($A262,'Source'!$B:$B,0)),"")</f>
        <v>סד יד דו צדדי</v>
      </c>
      <c r="C262" s="8" t="n">
        <f aca="false">SUMIFS('Source'!$D:$D,'Source'!$A:$A,"155138 לקוח אינטרנט",'Source'!$B:$B,$A262)</f>
        <v>7</v>
      </c>
      <c r="D262" s="8" t="n">
        <f aca="false">SUMIFS('Source'!$F:$F,'Source'!$A:$A,"155138 לקוח אינטרנט",'Source'!$B:$B,$A262)</f>
        <v>3</v>
      </c>
      <c r="E262" s="8" t="n">
        <f aca="false">D262*$J$5</f>
        <v>3.78947368421053</v>
      </c>
      <c r="F262" s="8" t="n">
        <f aca="false">E262-C262</f>
        <v>-3.21052631578947</v>
      </c>
      <c r="G262" s="9" t="n">
        <f aca="false">IF(AND(C262=0,E262=0),0,IF(C262=0,"New",(E262-C262)/C262))</f>
        <v>-0.458646616541353</v>
      </c>
      <c r="H262" s="8" t="n">
        <f aca="false">SUMIFS('Source'!$E:$E,'Source'!$A:$A,"155138 לקוח אינטרנט",'Source'!$B:$B,$A262)</f>
        <v>1205.4</v>
      </c>
      <c r="I262" s="8" t="n">
        <f aca="false">SUMIFS('Source'!$G:$G,'Source'!$A:$A,"155138 לקוח אינטרנט",'Source'!$B:$B,$A262)</f>
        <v>559.08</v>
      </c>
      <c r="J262" s="8" t="n">
        <f aca="false">I262*$J$5</f>
        <v>706.206315789474</v>
      </c>
      <c r="K262" s="8" t="n">
        <f aca="false">J262-H262</f>
        <v>-499.193684210526</v>
      </c>
      <c r="L262" s="9" t="n">
        <f aca="false">IF(AND(H262=0,J262=0),0,IF(H262=0,"New",(J262-H262)/H262))</f>
        <v>-0.414131146682036</v>
      </c>
      <c r="M262" s="7" t="str">
        <f aca="false">IF(AND(OR(C262&lt;&gt;0,H262&lt;&gt;0),D262=0,I262=0),"DROP",IF(AND(OR(D262&lt;&gt;0,I262&lt;&gt;0),C262=0,H262=0),"NEW",""))</f>
        <v/>
      </c>
    </row>
    <row r="263" customFormat="false" ht="15" hidden="false" customHeight="false" outlineLevel="0" collapsed="false">
      <c r="A263" s="7" t="s">
        <v>354</v>
      </c>
      <c r="B263" s="7" t="str">
        <f aca="false">IFERROR(INDEX('Source'!$C:$C,MATCH($A263,'Source'!$B:$B,0)),"")</f>
        <v>מגן שוק SC39</v>
      </c>
      <c r="C263" s="8" t="n">
        <f aca="false">SUMIFS('Source'!$D:$D,'Source'!$A:$A,"155138 לקוח אינטרנט",'Source'!$B:$B,$A263)</f>
        <v>8</v>
      </c>
      <c r="D263" s="8" t="n">
        <f aca="false">SUMIFS('Source'!$F:$F,'Source'!$A:$A,"155138 לקוח אינטרנט",'Source'!$B:$B,$A263)</f>
        <v>9</v>
      </c>
      <c r="E263" s="8" t="n">
        <f aca="false">D263*$J$5</f>
        <v>11.3684210526316</v>
      </c>
      <c r="F263" s="8" t="n">
        <f aca="false">E263-C263</f>
        <v>3.36842105263158</v>
      </c>
      <c r="G263" s="9" t="n">
        <f aca="false">IF(AND(C263=0,E263=0),0,IF(C263=0,"New",(E263-C263)/C263))</f>
        <v>0.421052631578947</v>
      </c>
      <c r="H263" s="8" t="n">
        <f aca="false">SUMIFS('Source'!$E:$E,'Source'!$A:$A,"155138 לקוח אינטרנט",'Source'!$B:$B,$A263)</f>
        <v>1905.33</v>
      </c>
      <c r="I263" s="8" t="n">
        <f aca="false">SUMIFS('Source'!$G:$G,'Source'!$A:$A,"155138 לקוח אינטרנט",'Source'!$B:$B,$A263)</f>
        <v>2550.14</v>
      </c>
      <c r="J263" s="8" t="n">
        <f aca="false">I263*$J$5</f>
        <v>3221.22947368421</v>
      </c>
      <c r="K263" s="8" t="n">
        <f aca="false">J263-H263</f>
        <v>1315.89947368421</v>
      </c>
      <c r="L263" s="9" t="n">
        <f aca="false">IF(AND(H263=0,J263=0),0,IF(H263=0,"New",(J263-H263)/H263))</f>
        <v>0.6906412399344</v>
      </c>
      <c r="M263" s="7" t="str">
        <f aca="false">IF(AND(OR(C263&lt;&gt;0,H263&lt;&gt;0),D263=0,I263=0),"DROP",IF(AND(OR(D263&lt;&gt;0,I263&lt;&gt;0),C263=0,H263=0),"NEW",""))</f>
        <v/>
      </c>
    </row>
    <row r="264" customFormat="false" ht="15" hidden="false" customHeight="false" outlineLevel="0" collapsed="false">
      <c r="A264" s="7" t="s">
        <v>355</v>
      </c>
      <c r="B264" s="7" t="str">
        <f aca="false">IFERROR(INDEX('Source'!$C:$C,MATCH($A264,'Source'!$B:$B,0)),"")</f>
        <v>גרבי נוחות קיץ אפור</v>
      </c>
      <c r="C264" s="8" t="n">
        <f aca="false">SUMIFS('Source'!$D:$D,'Source'!$A:$A,"155138 לקוח אינטרנט",'Source'!$B:$B,$A264)</f>
        <v>23</v>
      </c>
      <c r="D264" s="8" t="n">
        <f aca="false">SUMIFS('Source'!$F:$F,'Source'!$A:$A,"155138 לקוח אינטרנט",'Source'!$B:$B,$A264)</f>
        <v>5</v>
      </c>
      <c r="E264" s="8" t="n">
        <f aca="false">D264*$J$5</f>
        <v>6.31578947368421</v>
      </c>
      <c r="F264" s="8" t="n">
        <f aca="false">E264-C264</f>
        <v>-16.6842105263158</v>
      </c>
      <c r="G264" s="9" t="n">
        <f aca="false">IF(AND(C264=0,E264=0),0,IF(C264=0,"New",(E264-C264)/C264))</f>
        <v>-0.725400457665904</v>
      </c>
      <c r="H264" s="8" t="n">
        <f aca="false">SUMIFS('Source'!$E:$E,'Source'!$A:$A,"155138 לקוח אינטרנט",'Source'!$B:$B,$A264)</f>
        <v>893.96</v>
      </c>
      <c r="I264" s="8" t="n">
        <f aca="false">SUMIFS('Source'!$G:$G,'Source'!$A:$A,"155138 לקוח אינטרנט",'Source'!$B:$B,$A264)</f>
        <v>253.8</v>
      </c>
      <c r="J264" s="8" t="n">
        <f aca="false">I264*$J$5</f>
        <v>320.589473684211</v>
      </c>
      <c r="K264" s="8" t="n">
        <f aca="false">J264-H264</f>
        <v>-573.370526315789</v>
      </c>
      <c r="L264" s="9" t="n">
        <f aca="false">IF(AND(H264=0,J264=0),0,IF(H264=0,"New",(J264-H264)/H264))</f>
        <v>-0.641382753496565</v>
      </c>
      <c r="M264" s="7" t="str">
        <f aca="false">IF(AND(OR(C264&lt;&gt;0,H264&lt;&gt;0),D264=0,I264=0),"DROP",IF(AND(OR(D264&lt;&gt;0,I264&lt;&gt;0),C264=0,H264=0),"NEW",""))</f>
        <v/>
      </c>
    </row>
    <row r="265" customFormat="false" ht="15" hidden="false" customHeight="false" outlineLevel="0" collapsed="false">
      <c r="A265" s="7" t="s">
        <v>356</v>
      </c>
      <c r="B265" s="7" t="str">
        <f aca="false">IFERROR(INDEX('Source'!$C:$C,MATCH($A265,'Source'!$B:$B,0)),"")</f>
        <v>שרוול לגבס קצר יד</v>
      </c>
      <c r="C265" s="8" t="n">
        <f aca="false">SUMIFS('Source'!$D:$D,'Source'!$A:$A,"155138 לקוח אינטרנט",'Source'!$B:$B,$A265)</f>
        <v>37</v>
      </c>
      <c r="D265" s="8" t="n">
        <f aca="false">SUMIFS('Source'!$F:$F,'Source'!$A:$A,"155138 לקוח אינטרנט",'Source'!$B:$B,$A265)</f>
        <v>45</v>
      </c>
      <c r="E265" s="8" t="n">
        <f aca="false">D265*$J$5</f>
        <v>56.8421052631579</v>
      </c>
      <c r="F265" s="8" t="n">
        <f aca="false">E265-C265</f>
        <v>19.8421052631579</v>
      </c>
      <c r="G265" s="9" t="n">
        <f aca="false">IF(AND(C265=0,E265=0),0,IF(C265=0,"New",(E265-C265)/C265))</f>
        <v>0.536273115220484</v>
      </c>
      <c r="H265" s="8" t="n">
        <f aca="false">SUMIFS('Source'!$E:$E,'Source'!$A:$A,"155138 לקוח אינטרנט",'Source'!$B:$B,$A265)</f>
        <v>2516.81</v>
      </c>
      <c r="I265" s="8" t="n">
        <f aca="false">SUMIFS('Source'!$G:$G,'Source'!$A:$A,"155138 לקוח אינטרנט",'Source'!$B:$B,$A265)</f>
        <v>3154.96</v>
      </c>
      <c r="J265" s="8" t="n">
        <f aca="false">I265*$J$5</f>
        <v>3985.21263157895</v>
      </c>
      <c r="K265" s="8" t="n">
        <f aca="false">J265-H265</f>
        <v>1468.40263157895</v>
      </c>
      <c r="L265" s="9" t="n">
        <f aca="false">IF(AND(H265=0,J265=0),0,IF(H265=0,"New",(J265-H265)/H265))</f>
        <v>0.583438015415922</v>
      </c>
      <c r="M265" s="7" t="str">
        <f aca="false">IF(AND(OR(C265&lt;&gt;0,H265&lt;&gt;0),D265=0,I265=0),"DROP",IF(AND(OR(D265&lt;&gt;0,I265&lt;&gt;0),C265=0,H265=0),"NEW",""))</f>
        <v/>
      </c>
    </row>
    <row r="266" customFormat="false" ht="15" hidden="false" customHeight="false" outlineLevel="0" collapsed="false">
      <c r="A266" s="7" t="s">
        <v>357</v>
      </c>
      <c r="B266" s="7" t="str">
        <f aca="false">IFERROR(INDEX('Source'!$C:$C,MATCH($A266,'Source'!$B:$B,0)),"")</f>
        <v>חגורת לומבו-סקרל-צבע</v>
      </c>
      <c r="C266" s="8" t="n">
        <f aca="false">SUMIFS('Source'!$D:$D,'Source'!$A:$A,"155138 לקוח אינטרנט",'Source'!$B:$B,$A266)</f>
        <v>6</v>
      </c>
      <c r="D266" s="8" t="n">
        <f aca="false">SUMIFS('Source'!$F:$F,'Source'!$A:$A,"155138 לקוח אינטרנט",'Source'!$B:$B,$A266)</f>
        <v>8</v>
      </c>
      <c r="E266" s="8" t="n">
        <f aca="false">D266*$J$5</f>
        <v>10.1052631578947</v>
      </c>
      <c r="F266" s="8" t="n">
        <f aca="false">E266-C266</f>
        <v>4.10526315789474</v>
      </c>
      <c r="G266" s="9" t="n">
        <f aca="false">IF(AND(C266=0,E266=0),0,IF(C266=0,"New",(E266-C266)/C266))</f>
        <v>0.684210526315789</v>
      </c>
      <c r="H266" s="8" t="n">
        <f aca="false">SUMIFS('Source'!$E:$E,'Source'!$A:$A,"155138 לקוח אינטרנט",'Source'!$B:$B,$A266)</f>
        <v>2541.84</v>
      </c>
      <c r="I266" s="8" t="n">
        <f aca="false">SUMIFS('Source'!$G:$G,'Source'!$A:$A,"155138 לקוח אינטרנט",'Source'!$B:$B,$A266)</f>
        <v>3177.32</v>
      </c>
      <c r="J266" s="8" t="n">
        <f aca="false">I266*$J$5</f>
        <v>4013.45684210526</v>
      </c>
      <c r="K266" s="8" t="n">
        <f aca="false">J266-H266</f>
        <v>1471.61684210526</v>
      </c>
      <c r="L266" s="9" t="n">
        <f aca="false">IF(AND(H266=0,J266=0),0,IF(H266=0,"New",(J266-H266)/H266))</f>
        <v>0.578957307346356</v>
      </c>
      <c r="M266" s="7" t="str">
        <f aca="false">IF(AND(OR(C266&lt;&gt;0,H266&lt;&gt;0),D266=0,I266=0),"DROP",IF(AND(OR(D266&lt;&gt;0,I266&lt;&gt;0),C266=0,H266=0),"NEW",""))</f>
        <v/>
      </c>
    </row>
    <row r="267" customFormat="false" ht="15" hidden="false" customHeight="false" outlineLevel="0" collapsed="false">
      <c r="A267" s="7" t="s">
        <v>358</v>
      </c>
      <c r="B267" s="7" t="str">
        <f aca="false">IFERROR(INDEX('Source'!$C:$C,MATCH($A267,'Source'!$B:$B,0)),"")</f>
        <v>חגורת קיבוע לכתף</v>
      </c>
      <c r="C267" s="8" t="n">
        <f aca="false">SUMIFS('Source'!$D:$D,'Source'!$A:$A,"155138 לקוח אינטרנט",'Source'!$B:$B,$A267)</f>
        <v>6</v>
      </c>
      <c r="D267" s="8" t="n">
        <f aca="false">SUMIFS('Source'!$F:$F,'Source'!$A:$A,"155138 לקוח אינטרנט",'Source'!$B:$B,$A267)</f>
        <v>4</v>
      </c>
      <c r="E267" s="8" t="n">
        <f aca="false">D267*$J$5</f>
        <v>5.05263157894737</v>
      </c>
      <c r="F267" s="8" t="n">
        <f aca="false">E267-C267</f>
        <v>-0.947368421052632</v>
      </c>
      <c r="G267" s="9" t="n">
        <f aca="false">IF(AND(C267=0,E267=0),0,IF(C267=0,"New",(E267-C267)/C267))</f>
        <v>-0.157894736842105</v>
      </c>
      <c r="H267" s="8" t="n">
        <f aca="false">SUMIFS('Source'!$E:$E,'Source'!$A:$A,"155138 לקוח אינטרנט",'Source'!$B:$B,$A267)</f>
        <v>2054.59</v>
      </c>
      <c r="I267" s="8" t="n">
        <f aca="false">SUMIFS('Source'!$G:$G,'Source'!$A:$A,"155138 לקוח אינטרנט",'Source'!$B:$B,$A267)</f>
        <v>1420.85</v>
      </c>
      <c r="J267" s="8" t="n">
        <f aca="false">I267*$J$5</f>
        <v>1794.75789473684</v>
      </c>
      <c r="K267" s="8" t="n">
        <f aca="false">J267-H267</f>
        <v>-259.832105263158</v>
      </c>
      <c r="L267" s="9" t="n">
        <f aca="false">IF(AND(H267=0,J267=0),0,IF(H267=0,"New",(J267-H267)/H267))</f>
        <v>-0.126464211965968</v>
      </c>
      <c r="M267" s="7" t="str">
        <f aca="false">IF(AND(OR(C267&lt;&gt;0,H267&lt;&gt;0),D267=0,I267=0),"DROP",IF(AND(OR(D267&lt;&gt;0,I267&lt;&gt;0),C267=0,H267=0),"NEW",""))</f>
        <v/>
      </c>
    </row>
    <row r="268" customFormat="false" ht="15" hidden="false" customHeight="false" outlineLevel="0" collapsed="false">
      <c r="A268" s="7" t="s">
        <v>359</v>
      </c>
      <c r="B268" s="7" t="str">
        <f aca="false">IFERROR(INDEX('Source'!$C:$C,MATCH($A268,'Source'!$B:$B,0)),"")</f>
        <v>חגורת בטן</v>
      </c>
      <c r="C268" s="8" t="n">
        <f aca="false">SUMIFS('Source'!$D:$D,'Source'!$A:$A,"155138 לקוח אינטרנט",'Source'!$B:$B,$A268)</f>
        <v>4</v>
      </c>
      <c r="D268" s="8" t="n">
        <f aca="false">SUMIFS('Source'!$F:$F,'Source'!$A:$A,"155138 לקוח אינטרנט",'Source'!$B:$B,$A268)</f>
        <v>0</v>
      </c>
      <c r="E268" s="8" t="n">
        <f aca="false">D268*$J$5</f>
        <v>0</v>
      </c>
      <c r="F268" s="8" t="n">
        <f aca="false">E268-C268</f>
        <v>-4</v>
      </c>
      <c r="G268" s="9" t="n">
        <f aca="false">IF(AND(C268=0,E268=0),0,IF(C268=0,"New",(E268-C268)/C268))</f>
        <v>-1</v>
      </c>
      <c r="H268" s="8" t="n">
        <f aca="false">SUMIFS('Source'!$E:$E,'Source'!$A:$A,"155138 לקוח אינטרנט",'Source'!$B:$B,$A268)</f>
        <v>633.06</v>
      </c>
      <c r="I268" s="8" t="n">
        <f aca="false">SUMIFS('Source'!$G:$G,'Source'!$A:$A,"155138 לקוח אינטרנט",'Source'!$B:$B,$A268)</f>
        <v>0</v>
      </c>
      <c r="J268" s="8" t="n">
        <f aca="false">I268*$J$5</f>
        <v>0</v>
      </c>
      <c r="K268" s="8" t="n">
        <f aca="false">J268-H268</f>
        <v>-633.06</v>
      </c>
      <c r="L268" s="9" t="n">
        <f aca="false">IF(AND(H268=0,J268=0),0,IF(H268=0,"New",(J268-H268)/H268))</f>
        <v>-1</v>
      </c>
      <c r="M268" s="7" t="str">
        <f aca="false">IF(AND(OR(C268&lt;&gt;0,H268&lt;&gt;0),D268=0,I268=0),"DROP",IF(AND(OR(D268&lt;&gt;0,I268&lt;&gt;0),C268=0,H268=0),"NEW",""))</f>
        <v>DROP</v>
      </c>
    </row>
    <row r="269" customFormat="false" ht="15" hidden="false" customHeight="false" outlineLevel="0" collapsed="false">
      <c r="A269" s="7" t="s">
        <v>360</v>
      </c>
      <c r="B269" s="7" t="str">
        <f aca="false">IFERROR(INDEX('Source'!$C:$C,MATCH($A269,'Source'!$B:$B,0)),"")</f>
        <v>חגורת שבר לצד שמאל</v>
      </c>
      <c r="C269" s="8" t="n">
        <f aca="false">SUMIFS('Source'!$D:$D,'Source'!$A:$A,"155138 לקוח אינטרנט",'Source'!$B:$B,$A269)</f>
        <v>1</v>
      </c>
      <c r="D269" s="8" t="n">
        <f aca="false">SUMIFS('Source'!$F:$F,'Source'!$A:$A,"155138 לקוח אינטרנט",'Source'!$B:$B,$A269)</f>
        <v>3</v>
      </c>
      <c r="E269" s="8" t="n">
        <f aca="false">D269*$J$5</f>
        <v>3.78947368421053</v>
      </c>
      <c r="F269" s="8" t="n">
        <f aca="false">E269-C269</f>
        <v>2.78947368421053</v>
      </c>
      <c r="G269" s="9" t="n">
        <f aca="false">IF(AND(C269=0,E269=0),0,IF(C269=0,"New",(E269-C269)/C269))</f>
        <v>2.78947368421053</v>
      </c>
      <c r="H269" s="8" t="n">
        <f aca="false">SUMIFS('Source'!$E:$E,'Source'!$A:$A,"155138 לקוח אינטרנט",'Source'!$B:$B,$A269)</f>
        <v>288.06</v>
      </c>
      <c r="I269" s="8" t="n">
        <f aca="false">SUMIFS('Source'!$G:$G,'Source'!$A:$A,"155138 לקוח אינטרנט",'Source'!$B:$B,$A269)</f>
        <v>915.03</v>
      </c>
      <c r="J269" s="8" t="n">
        <f aca="false">I269*$J$5</f>
        <v>1155.82736842105</v>
      </c>
      <c r="K269" s="8" t="n">
        <f aca="false">J269-H269</f>
        <v>867.767368421053</v>
      </c>
      <c r="L269" s="9" t="n">
        <f aca="false">IF(AND(H269=0,J269=0),0,IF(H269=0,"New",(J269-H269)/H269))</f>
        <v>3.01245354586216</v>
      </c>
      <c r="M269" s="7" t="str">
        <f aca="false">IF(AND(OR(C269&lt;&gt;0,H269&lt;&gt;0),D269=0,I269=0),"DROP",IF(AND(OR(D269&lt;&gt;0,I269&lt;&gt;0),C269=0,H269=0),"NEW",""))</f>
        <v/>
      </c>
    </row>
    <row r="270" customFormat="false" ht="15" hidden="false" customHeight="false" outlineLevel="0" collapsed="false">
      <c r="A270" s="7" t="s">
        <v>361</v>
      </c>
      <c r="B270" s="7" t="str">
        <f aca="false">IFERROR(INDEX('Source'!$C:$C,MATCH($A270,'Source'!$B:$B,0)),"")</f>
        <v>מדרס מתכוונן</v>
      </c>
      <c r="C270" s="8" t="n">
        <f aca="false">SUMIFS('Source'!$D:$D,'Source'!$A:$A,"155138 לקוח אינטרנט",'Source'!$B:$B,$A270)</f>
        <v>0</v>
      </c>
      <c r="D270" s="8" t="n">
        <f aca="false">SUMIFS('Source'!$F:$F,'Source'!$A:$A,"155138 לקוח אינטרנט",'Source'!$B:$B,$A270)</f>
        <v>4</v>
      </c>
      <c r="E270" s="8" t="n">
        <f aca="false">D270*$J$5</f>
        <v>5.05263157894737</v>
      </c>
      <c r="F270" s="8" t="n">
        <f aca="false">E270-C270</f>
        <v>5.05263157894737</v>
      </c>
      <c r="G270" s="9" t="str">
        <f aca="false">IF(AND(C270=0,E270=0),0,IF(C270=0,"New",(E270-C270)/C270))</f>
        <v>New</v>
      </c>
      <c r="H270" s="8" t="n">
        <f aca="false">SUMIFS('Source'!$E:$E,'Source'!$A:$A,"155138 לקוח אינטרנט",'Source'!$B:$B,$A270)</f>
        <v>0</v>
      </c>
      <c r="I270" s="8" t="n">
        <f aca="false">SUMIFS('Source'!$G:$G,'Source'!$A:$A,"155138 לקוח אינטרנט",'Source'!$B:$B,$A270)</f>
        <v>618.33</v>
      </c>
      <c r="J270" s="8" t="n">
        <f aca="false">I270*$J$5</f>
        <v>781.048421052632</v>
      </c>
      <c r="K270" s="8" t="n">
        <f aca="false">J270-H270</f>
        <v>781.048421052632</v>
      </c>
      <c r="L270" s="9" t="str">
        <f aca="false">IF(AND(H270=0,J270=0),0,IF(H270=0,"New",(J270-H270)/H270))</f>
        <v>New</v>
      </c>
      <c r="M270" s="7" t="str">
        <f aca="false">IF(AND(OR(C270&lt;&gt;0,H270&lt;&gt;0),D270=0,I270=0),"DROP",IF(AND(OR(D270&lt;&gt;0,I270&lt;&gt;0),C270=0,H270=0),"NEW",""))</f>
        <v>NEW</v>
      </c>
    </row>
    <row r="271" customFormat="false" ht="15" hidden="false" customHeight="false" outlineLevel="0" collapsed="false">
      <c r="A271" s="7" t="s">
        <v>362</v>
      </c>
      <c r="B271" s="7" t="str">
        <f aca="false">IFERROR(INDEX('Source'!$C:$C,MATCH($A271,'Source'!$B:$B,0)),"")</f>
        <v>חגורה אחרי ניתוח שחור</v>
      </c>
      <c r="C271" s="8" t="n">
        <f aca="false">SUMIFS('Source'!$D:$D,'Source'!$A:$A,"155138 לקוח אינטרנט",'Source'!$B:$B,$A271)</f>
        <v>1</v>
      </c>
      <c r="D271" s="8" t="n">
        <f aca="false">SUMIFS('Source'!$F:$F,'Source'!$A:$A,"155138 לקוח אינטרנט",'Source'!$B:$B,$A271)</f>
        <v>3</v>
      </c>
      <c r="E271" s="8" t="n">
        <f aca="false">D271*$J$5</f>
        <v>3.78947368421053</v>
      </c>
      <c r="F271" s="8" t="n">
        <f aca="false">E271-C271</f>
        <v>2.78947368421053</v>
      </c>
      <c r="G271" s="9" t="n">
        <f aca="false">IF(AND(C271=0,E271=0),0,IF(C271=0,"New",(E271-C271)/C271))</f>
        <v>2.78947368421053</v>
      </c>
      <c r="H271" s="8" t="n">
        <f aca="false">SUMIFS('Source'!$E:$E,'Source'!$A:$A,"155138 לקוח אינטרנט",'Source'!$B:$B,$A271)</f>
        <v>255.65</v>
      </c>
      <c r="I271" s="8" t="n">
        <f aca="false">SUMIFS('Source'!$G:$G,'Source'!$A:$A,"155138 לקוח אינטרנט",'Source'!$B:$B,$A271)</f>
        <v>872.2</v>
      </c>
      <c r="J271" s="8" t="n">
        <f aca="false">I271*$J$5</f>
        <v>1101.72631578947</v>
      </c>
      <c r="K271" s="8" t="n">
        <f aca="false">J271-H271</f>
        <v>846.076315789474</v>
      </c>
      <c r="L271" s="9" t="n">
        <f aca="false">IF(AND(H271=0,J271=0),0,IF(H271=0,"New",(J271-H271)/H271))</f>
        <v>3.30951032970653</v>
      </c>
      <c r="M271" s="7" t="str">
        <f aca="false">IF(AND(OR(C271&lt;&gt;0,H271&lt;&gt;0),D271=0,I271=0),"DROP",IF(AND(OR(D271&lt;&gt;0,I271&lt;&gt;0),C271=0,H271=0),"NEW",""))</f>
        <v/>
      </c>
    </row>
    <row r="272" customFormat="false" ht="15" hidden="false" customHeight="false" outlineLevel="0" collapsed="false">
      <c r="A272" s="7" t="s">
        <v>363</v>
      </c>
      <c r="B272" s="7" t="str">
        <f aca="false">IFERROR(INDEX('Source'!$C:$C,MATCH($A272,'Source'!$B:$B,0)),"")</f>
        <v>מגן ברך גנופיקס</v>
      </c>
      <c r="C272" s="8" t="n">
        <f aca="false">SUMIFS('Source'!$D:$D,'Source'!$A:$A,"155138 לקוח אינטרנט",'Source'!$B:$B,$A272)</f>
        <v>3</v>
      </c>
      <c r="D272" s="8" t="n">
        <f aca="false">SUMIFS('Source'!$F:$F,'Source'!$A:$A,"155138 לקוח אינטרנט",'Source'!$B:$B,$A272)</f>
        <v>1</v>
      </c>
      <c r="E272" s="8" t="n">
        <f aca="false">D272*$J$5</f>
        <v>1.26315789473684</v>
      </c>
      <c r="F272" s="8" t="n">
        <f aca="false">E272-C272</f>
        <v>-1.73684210526316</v>
      </c>
      <c r="G272" s="9" t="n">
        <f aca="false">IF(AND(C272=0,E272=0),0,IF(C272=0,"New",(E272-C272)/C272))</f>
        <v>-0.578947368421053</v>
      </c>
      <c r="H272" s="8" t="n">
        <f aca="false">SUMIFS('Source'!$E:$E,'Source'!$A:$A,"155138 לקוח אינטרנט",'Source'!$B:$B,$A272)</f>
        <v>877.71</v>
      </c>
      <c r="I272" s="8" t="n">
        <f aca="false">SUMIFS('Source'!$G:$G,'Source'!$A:$A,"155138 לקוח אינטרנט",'Source'!$B:$B,$A272)</f>
        <v>266.87</v>
      </c>
      <c r="J272" s="8" t="n">
        <f aca="false">I272*$J$5</f>
        <v>337.098947368421</v>
      </c>
      <c r="K272" s="8" t="n">
        <f aca="false">J272-H272</f>
        <v>-540.611052631579</v>
      </c>
      <c r="L272" s="9" t="n">
        <f aca="false">IF(AND(H272=0,J272=0),0,IF(H272=0,"New",(J272-H272)/H272))</f>
        <v>-0.615933568754576</v>
      </c>
      <c r="M272" s="7" t="str">
        <f aca="false">IF(AND(OR(C272&lt;&gt;0,H272&lt;&gt;0),D272=0,I272=0),"DROP",IF(AND(OR(D272&lt;&gt;0,I272&lt;&gt;0),C272=0,H272=0),"NEW",""))</f>
        <v/>
      </c>
    </row>
    <row r="273" customFormat="false" ht="15" hidden="false" customHeight="false" outlineLevel="0" collapsed="false">
      <c r="A273" s="7" t="s">
        <v>364</v>
      </c>
      <c r="B273" s="7" t="str">
        <f aca="false">IFERROR(INDEX('Source'!$C:$C,MATCH($A273,'Source'!$B:$B,0)),"")</f>
        <v>מגן כתף להמיפלגיה</v>
      </c>
      <c r="C273" s="8" t="n">
        <f aca="false">SUMIFS('Source'!$D:$D,'Source'!$A:$A,"155138 לקוח אינטרנט",'Source'!$B:$B,$A273)</f>
        <v>2</v>
      </c>
      <c r="D273" s="8" t="n">
        <f aca="false">SUMIFS('Source'!$F:$F,'Source'!$A:$A,"155138 לקוח אינטרנט",'Source'!$B:$B,$A273)</f>
        <v>1</v>
      </c>
      <c r="E273" s="8" t="n">
        <f aca="false">D273*$J$5</f>
        <v>1.26315789473684</v>
      </c>
      <c r="F273" s="8" t="n">
        <f aca="false">E273-C273</f>
        <v>-0.736842105263158</v>
      </c>
      <c r="G273" s="9" t="n">
        <f aca="false">IF(AND(C273=0,E273=0),0,IF(C273=0,"New",(E273-C273)/C273))</f>
        <v>-0.368421052631579</v>
      </c>
      <c r="H273" s="8" t="n">
        <f aca="false">SUMIFS('Source'!$E:$E,'Source'!$A:$A,"155138 לקוח אינטרנט",'Source'!$B:$B,$A273)</f>
        <v>1101.52</v>
      </c>
      <c r="I273" s="8" t="n">
        <f aca="false">SUMIFS('Source'!$G:$G,'Source'!$A:$A,"155138 לקוח אינטרנט",'Source'!$B:$B,$A273)</f>
        <v>495.69</v>
      </c>
      <c r="J273" s="8" t="n">
        <f aca="false">I273*$J$5</f>
        <v>626.134736842105</v>
      </c>
      <c r="K273" s="8" t="n">
        <f aca="false">J273-H273</f>
        <v>-475.385263157895</v>
      </c>
      <c r="L273" s="9" t="n">
        <f aca="false">IF(AND(H273=0,J273=0),0,IF(H273=0,"New",(J273-H273)/H273))</f>
        <v>-0.431572066923791</v>
      </c>
      <c r="M273" s="7" t="str">
        <f aca="false">IF(AND(OR(C273&lt;&gt;0,H273&lt;&gt;0),D273=0,I273=0),"DROP",IF(AND(OR(D273&lt;&gt;0,I273&lt;&gt;0),C273=0,H273=0),"NEW",""))</f>
        <v/>
      </c>
    </row>
    <row r="274" customFormat="false" ht="15" hidden="false" customHeight="false" outlineLevel="0" collapsed="false">
      <c r="A274" s="7" t="s">
        <v>365</v>
      </c>
      <c r="B274" s="7" t="str">
        <f aca="false">IFERROR(INDEX('Source'!$C:$C,MATCH($A274,'Source'!$B:$B,0)),"")</f>
        <v>חגורת אגן  צר מנאופרן</v>
      </c>
      <c r="C274" s="8" t="n">
        <f aca="false">SUMIFS('Source'!$D:$D,'Source'!$A:$A,"155138 לקוח אינטרנט",'Source'!$B:$B,$A274)</f>
        <v>1</v>
      </c>
      <c r="D274" s="8" t="n">
        <f aca="false">SUMIFS('Source'!$F:$F,'Source'!$A:$A,"155138 לקוח אינטרנט",'Source'!$B:$B,$A274)</f>
        <v>4</v>
      </c>
      <c r="E274" s="8" t="n">
        <f aca="false">D274*$J$5</f>
        <v>5.05263157894737</v>
      </c>
      <c r="F274" s="8" t="n">
        <f aca="false">E274-C274</f>
        <v>4.05263157894737</v>
      </c>
      <c r="G274" s="9" t="n">
        <f aca="false">IF(AND(C274=0,E274=0),0,IF(C274=0,"New",(E274-C274)/C274))</f>
        <v>4.05263157894737</v>
      </c>
      <c r="H274" s="8" t="n">
        <f aca="false">SUMIFS('Source'!$E:$E,'Source'!$A:$A,"155138 לקוח אינטרנט",'Source'!$B:$B,$A274)</f>
        <v>200.76</v>
      </c>
      <c r="I274" s="8" t="n">
        <f aca="false">SUMIFS('Source'!$G:$G,'Source'!$A:$A,"155138 לקוח אינטרנט",'Source'!$B:$B,$A274)</f>
        <v>803.05</v>
      </c>
      <c r="J274" s="8" t="n">
        <f aca="false">I274*$J$5</f>
        <v>1014.37894736842</v>
      </c>
      <c r="K274" s="8" t="n">
        <f aca="false">J274-H274</f>
        <v>813.618947368421</v>
      </c>
      <c r="L274" s="9" t="n">
        <f aca="false">IF(AND(H274=0,J274=0),0,IF(H274=0,"New",(J274-H274)/H274))</f>
        <v>4.05269449775065</v>
      </c>
      <c r="M274" s="7" t="str">
        <f aca="false">IF(AND(OR(C274&lt;&gt;0,H274&lt;&gt;0),D274=0,I274=0),"DROP",IF(AND(OR(D274&lt;&gt;0,I274&lt;&gt;0),C274=0,H274=0),"NEW",""))</f>
        <v/>
      </c>
    </row>
    <row r="275" customFormat="false" ht="15" hidden="false" customHeight="false" outlineLevel="0" collapsed="false">
      <c r="A275" s="7" t="s">
        <v>366</v>
      </c>
      <c r="B275" s="7" t="str">
        <f aca="false">IFERROR(INDEX('Source'!$C:$C,MATCH($A275,'Source'!$B:$B,0)),"")</f>
        <v>מדרס מתכוונן לגיל</v>
      </c>
      <c r="C275" s="8" t="n">
        <f aca="false">SUMIFS('Source'!$D:$D,'Source'!$A:$A,"155138 לקוח אינטרנט",'Source'!$B:$B,$A275)</f>
        <v>1</v>
      </c>
      <c r="D275" s="8" t="n">
        <f aca="false">SUMIFS('Source'!$F:$F,'Source'!$A:$A,"155138 לקוח אינטרנט",'Source'!$B:$B,$A275)</f>
        <v>5</v>
      </c>
      <c r="E275" s="8" t="n">
        <f aca="false">D275*$J$5</f>
        <v>6.31578947368421</v>
      </c>
      <c r="F275" s="8" t="n">
        <f aca="false">E275-C275</f>
        <v>5.31578947368421</v>
      </c>
      <c r="G275" s="9" t="n">
        <f aca="false">IF(AND(C275=0,E275=0),0,IF(C275=0,"New",(E275-C275)/C275))</f>
        <v>5.31578947368421</v>
      </c>
      <c r="H275" s="8" t="n">
        <f aca="false">SUMIFS('Source'!$E:$E,'Source'!$A:$A,"155138 לקוח אינטרנט",'Source'!$B:$B,$A275)</f>
        <v>169.41</v>
      </c>
      <c r="I275" s="8" t="n">
        <f aca="false">SUMIFS('Source'!$G:$G,'Source'!$A:$A,"155138 לקוח אינטרנט",'Source'!$B:$B,$A275)</f>
        <v>770.8</v>
      </c>
      <c r="J275" s="8" t="n">
        <f aca="false">I275*$J$5</f>
        <v>973.642105263158</v>
      </c>
      <c r="K275" s="8" t="n">
        <f aca="false">J275-H275</f>
        <v>804.232105263158</v>
      </c>
      <c r="L275" s="9" t="n">
        <f aca="false">IF(AND(H275=0,J275=0),0,IF(H275=0,"New",(J275-H275)/H275))</f>
        <v>4.74725284967332</v>
      </c>
      <c r="M275" s="7" t="str">
        <f aca="false">IF(AND(OR(C275&lt;&gt;0,H275&lt;&gt;0),D275=0,I275=0),"DROP",IF(AND(OR(D275&lt;&gt;0,I275&lt;&gt;0),C275=0,H275=0),"NEW",""))</f>
        <v/>
      </c>
    </row>
    <row r="276" customFormat="false" ht="15" hidden="false" customHeight="false" outlineLevel="0" collapsed="false">
      <c r="A276" s="7" t="s">
        <v>367</v>
      </c>
      <c r="B276" s="7" t="str">
        <f aca="false">IFERROR(INDEX('Source'!$C:$C,MATCH($A276,'Source'!$B:$B,0)),"")</f>
        <v>אצבעון מסיליקון</v>
      </c>
      <c r="C276" s="8" t="n">
        <f aca="false">SUMIFS('Source'!$D:$D,'Source'!$A:$A,"155138 לקוח אינטרנט",'Source'!$B:$B,$A276)</f>
        <v>21</v>
      </c>
      <c r="D276" s="8" t="n">
        <f aca="false">SUMIFS('Source'!$F:$F,'Source'!$A:$A,"155138 לקוח אינטרנט",'Source'!$B:$B,$A276)</f>
        <v>7</v>
      </c>
      <c r="E276" s="8" t="n">
        <f aca="false">D276*$J$5</f>
        <v>8.84210526315789</v>
      </c>
      <c r="F276" s="8" t="n">
        <f aca="false">E276-C276</f>
        <v>-12.1578947368421</v>
      </c>
      <c r="G276" s="9" t="n">
        <f aca="false">IF(AND(C276=0,E276=0),0,IF(C276=0,"New",(E276-C276)/C276))</f>
        <v>-0.578947368421053</v>
      </c>
      <c r="H276" s="8" t="n">
        <f aca="false">SUMIFS('Source'!$E:$E,'Source'!$A:$A,"155138 לקוח אינטרנט",'Source'!$B:$B,$A276)</f>
        <v>916.59</v>
      </c>
      <c r="I276" s="8" t="n">
        <f aca="false">SUMIFS('Source'!$G:$G,'Source'!$A:$A,"155138 לקוח אינטרנט",'Source'!$B:$B,$A276)</f>
        <v>317.39</v>
      </c>
      <c r="J276" s="8" t="n">
        <f aca="false">I276*$J$5</f>
        <v>400.913684210526</v>
      </c>
      <c r="K276" s="8" t="n">
        <f aca="false">J276-H276</f>
        <v>-515.676315789474</v>
      </c>
      <c r="L276" s="9" t="n">
        <f aca="false">IF(AND(H276=0,J276=0),0,IF(H276=0,"New",(J276-H276)/H276))</f>
        <v>-0.562603034933257</v>
      </c>
      <c r="M276" s="7" t="str">
        <f aca="false">IF(AND(OR(C276&lt;&gt;0,H276&lt;&gt;0),D276=0,I276=0),"DROP",IF(AND(OR(D276&lt;&gt;0,I276&lt;&gt;0),C276=0,H276=0),"NEW",""))</f>
        <v/>
      </c>
    </row>
    <row r="277" customFormat="false" ht="15" hidden="false" customHeight="false" outlineLevel="0" collapsed="false">
      <c r="A277" s="7" t="s">
        <v>368</v>
      </c>
      <c r="B277" s="7" t="str">
        <f aca="false">IFERROR(INDEX('Source'!$C:$C,MATCH($A277,'Source'!$B:$B,0)),"")</f>
        <v>מ. ברך אפור + כרית סיליקון</v>
      </c>
      <c r="C277" s="8" t="n">
        <f aca="false">SUMIFS('Source'!$D:$D,'Source'!$A:$A,"155138 לקוח אינטרנט",'Source'!$B:$B,$A277)</f>
        <v>2</v>
      </c>
      <c r="D277" s="8" t="n">
        <f aca="false">SUMIFS('Source'!$F:$F,'Source'!$A:$A,"155138 לקוח אינטרנט",'Source'!$B:$B,$A277)</f>
        <v>0</v>
      </c>
      <c r="E277" s="8" t="n">
        <f aca="false">D277*$J$5</f>
        <v>0</v>
      </c>
      <c r="F277" s="8" t="n">
        <f aca="false">E277-C277</f>
        <v>-2</v>
      </c>
      <c r="G277" s="9" t="n">
        <f aca="false">IF(AND(C277=0,E277=0),0,IF(C277=0,"New",(E277-C277)/C277))</f>
        <v>-1</v>
      </c>
      <c r="H277" s="8" t="n">
        <f aca="false">SUMIFS('Source'!$E:$E,'Source'!$A:$A,"155138 לקוח אינטרנט",'Source'!$B:$B,$A277)</f>
        <v>596.46</v>
      </c>
      <c r="I277" s="8" t="n">
        <f aca="false">SUMIFS('Source'!$G:$G,'Source'!$A:$A,"155138 לקוח אינטרנט",'Source'!$B:$B,$A277)</f>
        <v>0</v>
      </c>
      <c r="J277" s="8" t="n">
        <f aca="false">I277*$J$5</f>
        <v>0</v>
      </c>
      <c r="K277" s="8" t="n">
        <f aca="false">J277-H277</f>
        <v>-596.46</v>
      </c>
      <c r="L277" s="9" t="n">
        <f aca="false">IF(AND(H277=0,J277=0),0,IF(H277=0,"New",(J277-H277)/H277))</f>
        <v>-1</v>
      </c>
      <c r="M277" s="7" t="str">
        <f aca="false">IF(AND(OR(C277&lt;&gt;0,H277&lt;&gt;0),D277=0,I277=0),"DROP",IF(AND(OR(D277&lt;&gt;0,I277&lt;&gt;0),C277=0,H277=0),"NEW",""))</f>
        <v>DROP</v>
      </c>
    </row>
    <row r="278" customFormat="false" ht="15" hidden="false" customHeight="false" outlineLevel="0" collapsed="false">
      <c r="A278" s="7" t="s">
        <v>369</v>
      </c>
      <c r="B278" s="7" t="str">
        <f aca="false">IFERROR(INDEX('Source'!$C:$C,MATCH($A278,'Source'!$B:$B,0)),"")</f>
        <v>מגן ברך שחור</v>
      </c>
      <c r="C278" s="8" t="n">
        <f aca="false">SUMIFS('Source'!$D:$D,'Source'!$A:$A,"155138 לקוח אינטרנט",'Source'!$B:$B,$A278)</f>
        <v>29</v>
      </c>
      <c r="D278" s="8" t="n">
        <f aca="false">SUMIFS('Source'!$F:$F,'Source'!$A:$A,"155138 לקוח אינטרנט",'Source'!$B:$B,$A278)</f>
        <v>18</v>
      </c>
      <c r="E278" s="8" t="n">
        <f aca="false">D278*$J$5</f>
        <v>22.7368421052632</v>
      </c>
      <c r="F278" s="8" t="n">
        <f aca="false">E278-C278</f>
        <v>-6.26315789473684</v>
      </c>
      <c r="G278" s="9" t="n">
        <f aca="false">IF(AND(C278=0,E278=0),0,IF(C278=0,"New",(E278-C278)/C278))</f>
        <v>-0.215970961887477</v>
      </c>
      <c r="H278" s="8" t="n">
        <f aca="false">SUMIFS('Source'!$E:$E,'Source'!$A:$A,"155138 לקוח אינטרנט",'Source'!$B:$B,$A278)</f>
        <v>1567.57</v>
      </c>
      <c r="I278" s="8" t="n">
        <f aca="false">SUMIFS('Source'!$G:$G,'Source'!$A:$A,"155138 לקוח אינטרנט",'Source'!$B:$B,$A278)</f>
        <v>971.77</v>
      </c>
      <c r="J278" s="8" t="n">
        <f aca="false">I278*$J$5</f>
        <v>1227.49894736842</v>
      </c>
      <c r="K278" s="8" t="n">
        <f aca="false">J278-H278</f>
        <v>-340.071052631579</v>
      </c>
      <c r="L278" s="9" t="n">
        <f aca="false">IF(AND(H278=0,J278=0),0,IF(H278=0,"New",(J278-H278)/H278))</f>
        <v>-0.216941541769477</v>
      </c>
      <c r="M278" s="7" t="str">
        <f aca="false">IF(AND(OR(C278&lt;&gt;0,H278&lt;&gt;0),D278=0,I278=0),"DROP",IF(AND(OR(D278&lt;&gt;0,I278&lt;&gt;0),C278=0,H278=0),"NEW",""))</f>
        <v/>
      </c>
    </row>
    <row r="279" customFormat="false" ht="15" hidden="false" customHeight="false" outlineLevel="0" collapsed="false">
      <c r="A279" s="7" t="s">
        <v>370</v>
      </c>
      <c r="B279" s="7" t="str">
        <f aca="false">IFERROR(INDEX('Source'!$C:$C,MATCH($A279,'Source'!$B:$B,0)),"")</f>
        <v>URIEL STRAP4U BLACK S-M</v>
      </c>
      <c r="C279" s="8" t="n">
        <f aca="false">SUMIFS('Source'!$D:$D,'Source'!$A:$A,"155138 לקוח אינטרנט",'Source'!$B:$B,$A279)</f>
        <v>32</v>
      </c>
      <c r="D279" s="8" t="n">
        <f aca="false">SUMIFS('Source'!$F:$F,'Source'!$A:$A,"155138 לקוח אינטרנט",'Source'!$B:$B,$A279)</f>
        <v>13</v>
      </c>
      <c r="E279" s="8" t="n">
        <f aca="false">D279*$J$5</f>
        <v>16.4210526315789</v>
      </c>
      <c r="F279" s="8" t="n">
        <f aca="false">E279-C279</f>
        <v>-15.5789473684211</v>
      </c>
      <c r="G279" s="9" t="n">
        <f aca="false">IF(AND(C279=0,E279=0),0,IF(C279=0,"New",(E279-C279)/C279))</f>
        <v>-0.486842105263158</v>
      </c>
      <c r="H279" s="8" t="n">
        <f aca="false">SUMIFS('Source'!$E:$E,'Source'!$A:$A,"155138 לקוח אינטרנט",'Source'!$B:$B,$A279)</f>
        <v>1041.52</v>
      </c>
      <c r="I279" s="8" t="n">
        <f aca="false">SUMIFS('Source'!$G:$G,'Source'!$A:$A,"155138 לקוח אינטרנט",'Source'!$B:$B,$A279)</f>
        <v>447.11</v>
      </c>
      <c r="J279" s="8" t="n">
        <f aca="false">I279*$J$5</f>
        <v>564.770526315789</v>
      </c>
      <c r="K279" s="8" t="n">
        <f aca="false">J279-H279</f>
        <v>-476.749473684211</v>
      </c>
      <c r="L279" s="9" t="n">
        <f aca="false">IF(AND(H279=0,J279=0),0,IF(H279=0,"New",(J279-H279)/H279))</f>
        <v>-0.45774394508431</v>
      </c>
      <c r="M279" s="7" t="str">
        <f aca="false">IF(AND(OR(C279&lt;&gt;0,H279&lt;&gt;0),D279=0,I279=0),"DROP",IF(AND(OR(D279&lt;&gt;0,I279&lt;&gt;0),C279=0,H279=0),"NEW",""))</f>
        <v/>
      </c>
    </row>
    <row r="280" customFormat="false" ht="15" hidden="false" customHeight="false" outlineLevel="0" collapsed="false">
      <c r="A280" s="7" t="s">
        <v>371</v>
      </c>
      <c r="B280" s="7" t="str">
        <f aca="false">IFERROR(INDEX('Source'!$C:$C,MATCH($A280,'Source'!$B:$B,0)),"")</f>
        <v>סד יד שמאל  בז'  S-M</v>
      </c>
      <c r="C280" s="8" t="n">
        <f aca="false">SUMIFS('Source'!$D:$D,'Source'!$A:$A,"155138 לקוח אינטרנט",'Source'!$B:$B,$A280)</f>
        <v>0</v>
      </c>
      <c r="D280" s="8" t="n">
        <f aca="false">SUMIFS('Source'!$F:$F,'Source'!$A:$A,"155138 לקוח אינטרנט",'Source'!$B:$B,$A280)</f>
        <v>3</v>
      </c>
      <c r="E280" s="8" t="n">
        <f aca="false">D280*$J$5</f>
        <v>3.78947368421053</v>
      </c>
      <c r="F280" s="8" t="n">
        <f aca="false">E280-C280</f>
        <v>3.78947368421053</v>
      </c>
      <c r="G280" s="9" t="str">
        <f aca="false">IF(AND(C280=0,E280=0),0,IF(C280=0,"New",(E280-C280)/C280))</f>
        <v>New</v>
      </c>
      <c r="H280" s="8" t="n">
        <f aca="false">SUMIFS('Source'!$E:$E,'Source'!$A:$A,"155138 לקוח אינטרנט",'Source'!$B:$B,$A280)</f>
        <v>0</v>
      </c>
      <c r="I280" s="8" t="n">
        <f aca="false">SUMIFS('Source'!$G:$G,'Source'!$A:$A,"155138 לקוח אינטרנט",'Source'!$B:$B,$A280)</f>
        <v>589.58</v>
      </c>
      <c r="J280" s="8" t="n">
        <f aca="false">I280*$J$5</f>
        <v>744.732631578947</v>
      </c>
      <c r="K280" s="8" t="n">
        <f aca="false">J280-H280</f>
        <v>744.732631578947</v>
      </c>
      <c r="L280" s="9" t="str">
        <f aca="false">IF(AND(H280=0,J280=0),0,IF(H280=0,"New",(J280-H280)/H280))</f>
        <v>New</v>
      </c>
      <c r="M280" s="7" t="str">
        <f aca="false">IF(AND(OR(C280&lt;&gt;0,H280&lt;&gt;0),D280=0,I280=0),"DROP",IF(AND(OR(D280&lt;&gt;0,I280&lt;&gt;0),C280=0,H280=0),"NEW",""))</f>
        <v>NEW</v>
      </c>
    </row>
    <row r="281" customFormat="false" ht="15" hidden="false" customHeight="false" outlineLevel="0" collapsed="false">
      <c r="A281" s="7" t="s">
        <v>372</v>
      </c>
      <c r="B281" s="7" t="str">
        <f aca="false">IFERROR(INDEX('Source'!$C:$C,MATCH($A281,'Source'!$B:$B,0)),"")</f>
        <v>חגורת פאבליק (רצועות אבדוקציה)</v>
      </c>
      <c r="C281" s="8" t="n">
        <f aca="false">SUMIFS('Source'!$D:$D,'Source'!$A:$A,"155138 לקוח אינטרנט",'Source'!$B:$B,$A281)</f>
        <v>1</v>
      </c>
      <c r="D281" s="8" t="n">
        <f aca="false">SUMIFS('Source'!$F:$F,'Source'!$A:$A,"155138 לקוח אינטרנט",'Source'!$B:$B,$A281)</f>
        <v>2</v>
      </c>
      <c r="E281" s="8" t="n">
        <f aca="false">D281*$J$5</f>
        <v>2.52631578947368</v>
      </c>
      <c r="F281" s="8" t="n">
        <f aca="false">E281-C281</f>
        <v>1.52631578947368</v>
      </c>
      <c r="G281" s="9" t="n">
        <f aca="false">IF(AND(C281=0,E281=0),0,IF(C281=0,"New",(E281-C281)/C281))</f>
        <v>1.52631578947368</v>
      </c>
      <c r="H281" s="8" t="n">
        <f aca="false">SUMIFS('Source'!$E:$E,'Source'!$A:$A,"155138 לקוח אינטרנט",'Source'!$B:$B,$A281)</f>
        <v>581.27</v>
      </c>
      <c r="I281" s="8" t="n">
        <f aca="false">SUMIFS('Source'!$G:$G,'Source'!$A:$A,"155138 לקוח אינטרנט",'Source'!$B:$B,$A281)</f>
        <v>1169.32</v>
      </c>
      <c r="J281" s="8" t="n">
        <f aca="false">I281*$J$5</f>
        <v>1477.03578947368</v>
      </c>
      <c r="K281" s="8" t="n">
        <f aca="false">J281-H281</f>
        <v>895.765789473684</v>
      </c>
      <c r="L281" s="9" t="n">
        <f aca="false">IF(AND(H281=0,J281=0),0,IF(H281=0,"New",(J281-H281)/H281))</f>
        <v>1.54104940814713</v>
      </c>
      <c r="M281" s="7" t="str">
        <f aca="false">IF(AND(OR(C281&lt;&gt;0,H281&lt;&gt;0),D281=0,I281=0),"DROP",IF(AND(OR(D281&lt;&gt;0,I281&lt;&gt;0),C281=0,H281=0),"NEW",""))</f>
        <v/>
      </c>
    </row>
    <row r="282" customFormat="false" ht="15" hidden="false" customHeight="false" outlineLevel="0" collapsed="false">
      <c r="A282" s="7" t="s">
        <v>373</v>
      </c>
      <c r="B282" s="7" t="str">
        <f aca="false">IFERROR(INDEX('Source'!$C:$C,MATCH($A282,'Source'!$B:$B,0)),"")</f>
        <v>חגורה למנותחי בטן</v>
      </c>
      <c r="C282" s="8" t="n">
        <f aca="false">SUMIFS('Source'!$D:$D,'Source'!$A:$A,"155138 לקוח אינטרנט",'Source'!$B:$B,$A282)</f>
        <v>1</v>
      </c>
      <c r="D282" s="8" t="n">
        <f aca="false">SUMIFS('Source'!$F:$F,'Source'!$A:$A,"155138 לקוח אינטרנט",'Source'!$B:$B,$A282)</f>
        <v>2</v>
      </c>
      <c r="E282" s="8" t="n">
        <f aca="false">D282*$J$5</f>
        <v>2.52631578947368</v>
      </c>
      <c r="F282" s="8" t="n">
        <f aca="false">E282-C282</f>
        <v>1.52631578947368</v>
      </c>
      <c r="G282" s="9" t="n">
        <f aca="false">IF(AND(C282=0,E282=0),0,IF(C282=0,"New",(E282-C282)/C282))</f>
        <v>1.52631578947368</v>
      </c>
      <c r="H282" s="8" t="n">
        <f aca="false">SUMIFS('Source'!$E:$E,'Source'!$A:$A,"155138 לקוח אינטרנט",'Source'!$B:$B,$A282)</f>
        <v>208.83</v>
      </c>
      <c r="I282" s="8" t="n">
        <f aca="false">SUMIFS('Source'!$G:$G,'Source'!$A:$A,"155138 לקוח אינטרנט",'Source'!$B:$B,$A282)</f>
        <v>796.44</v>
      </c>
      <c r="J282" s="8" t="n">
        <f aca="false">I282*$J$5</f>
        <v>1006.02947368421</v>
      </c>
      <c r="K282" s="8" t="n">
        <f aca="false">J282-H282</f>
        <v>797.199473684211</v>
      </c>
      <c r="L282" s="9" t="n">
        <f aca="false">IF(AND(H282=0,J282=0),0,IF(H282=0,"New",(J282-H282)/H282))</f>
        <v>3.81745665701389</v>
      </c>
      <c r="M282" s="7" t="str">
        <f aca="false">IF(AND(OR(C282&lt;&gt;0,H282&lt;&gt;0),D282=0,I282=0),"DROP",IF(AND(OR(D282&lt;&gt;0,I282&lt;&gt;0),C282=0,H282=0),"NEW",""))</f>
        <v/>
      </c>
    </row>
    <row r="283" customFormat="false" ht="15" hidden="false" customHeight="false" outlineLevel="0" collapsed="false">
      <c r="A283" s="7" t="s">
        <v>374</v>
      </c>
      <c r="B283" s="7" t="str">
        <f aca="false">IFERROR(INDEX('Source'!$C:$C,MATCH($A283,'Source'!$B:$B,0)),"")</f>
        <v>אטלטיק טייפ</v>
      </c>
      <c r="C283" s="8" t="n">
        <f aca="false">SUMIFS('Source'!$D:$D,'Source'!$A:$A,"155138 לקוח אינטרנט",'Source'!$B:$B,$A283)</f>
        <v>22</v>
      </c>
      <c r="D283" s="8" t="n">
        <f aca="false">SUMIFS('Source'!$F:$F,'Source'!$A:$A,"155138 לקוח אינטרנט",'Source'!$B:$B,$A283)</f>
        <v>41</v>
      </c>
      <c r="E283" s="8" t="n">
        <f aca="false">D283*$J$5</f>
        <v>51.7894736842105</v>
      </c>
      <c r="F283" s="8" t="n">
        <f aca="false">E283-C283</f>
        <v>29.7894736842105</v>
      </c>
      <c r="G283" s="9" t="n">
        <f aca="false">IF(AND(C283=0,E283=0),0,IF(C283=0,"New",(E283-C283)/C283))</f>
        <v>1.35406698564593</v>
      </c>
      <c r="H283" s="8" t="n">
        <f aca="false">SUMIFS('Source'!$E:$E,'Source'!$A:$A,"155138 לקוח אינטרנט",'Source'!$B:$B,$A283)</f>
        <v>577.89</v>
      </c>
      <c r="I283" s="8" t="n">
        <f aca="false">SUMIFS('Source'!$G:$G,'Source'!$A:$A,"155138 לקוח אינטרנט",'Source'!$B:$B,$A283)</f>
        <v>1164.86</v>
      </c>
      <c r="J283" s="8" t="n">
        <f aca="false">I283*$J$5</f>
        <v>1471.40210526316</v>
      </c>
      <c r="K283" s="8" t="n">
        <f aca="false">J283-H283</f>
        <v>893.512105263158</v>
      </c>
      <c r="L283" s="9" t="n">
        <f aca="false">IF(AND(H283=0,J283=0),0,IF(H283=0,"New",(J283-H283)/H283))</f>
        <v>1.54616294669082</v>
      </c>
      <c r="M283" s="7" t="str">
        <f aca="false">IF(AND(OR(C283&lt;&gt;0,H283&lt;&gt;0),D283=0,I283=0),"DROP",IF(AND(OR(D283&lt;&gt;0,I283&lt;&gt;0),C283=0,H283=0),"NEW",""))</f>
        <v/>
      </c>
    </row>
    <row r="284" customFormat="false" ht="15" hidden="false" customHeight="false" outlineLevel="0" collapsed="false">
      <c r="A284" s="7" t="s">
        <v>375</v>
      </c>
      <c r="B284" s="7" t="str">
        <f aca="false">IFERROR(INDEX('Source'!$C:$C,MATCH($A284,'Source'!$B:$B,0)),"")</f>
        <v>תחבושת נצמדת צבע שחור</v>
      </c>
      <c r="C284" s="8" t="n">
        <f aca="false">SUMIFS('Source'!$D:$D,'Source'!$A:$A,"155138 לקוח אינטרנט",'Source'!$B:$B,$A284)</f>
        <v>7</v>
      </c>
      <c r="D284" s="8" t="n">
        <f aca="false">SUMIFS('Source'!$F:$F,'Source'!$A:$A,"155138 לקוח אינטרנט",'Source'!$B:$B,$A284)</f>
        <v>38</v>
      </c>
      <c r="E284" s="8" t="n">
        <f aca="false">D284*$J$5</f>
        <v>48</v>
      </c>
      <c r="F284" s="8" t="n">
        <f aca="false">E284-C284</f>
        <v>41</v>
      </c>
      <c r="G284" s="9" t="n">
        <f aca="false">IF(AND(C284=0,E284=0),0,IF(C284=0,"New",(E284-C284)/C284))</f>
        <v>5.85714285714286</v>
      </c>
      <c r="H284" s="8" t="n">
        <f aca="false">SUMIFS('Source'!$E:$E,'Source'!$A:$A,"155138 לקוח אינטרנט",'Source'!$B:$B,$A284)</f>
        <v>140.22</v>
      </c>
      <c r="I284" s="8" t="n">
        <f aca="false">SUMIFS('Source'!$G:$G,'Source'!$A:$A,"155138 לקוח אינטרנט",'Source'!$B:$B,$A284)</f>
        <v>726.2</v>
      </c>
      <c r="J284" s="8" t="n">
        <f aca="false">I284*$J$5</f>
        <v>917.305263157895</v>
      </c>
      <c r="K284" s="8" t="n">
        <f aca="false">J284-H284</f>
        <v>777.085263157895</v>
      </c>
      <c r="L284" s="9" t="n">
        <f aca="false">IF(AND(H284=0,J284=0),0,IF(H284=0,"New",(J284-H284)/H284))</f>
        <v>5.54190032205031</v>
      </c>
      <c r="M284" s="7" t="str">
        <f aca="false">IF(AND(OR(C284&lt;&gt;0,H284&lt;&gt;0),D284=0,I284=0),"DROP",IF(AND(OR(D284&lt;&gt;0,I284&lt;&gt;0),C284=0,H284=0),"NEW",""))</f>
        <v/>
      </c>
    </row>
    <row r="285" customFormat="false" ht="15" hidden="false" customHeight="false" outlineLevel="0" collapsed="false">
      <c r="A285" s="7" t="s">
        <v>376</v>
      </c>
      <c r="B285" s="7" t="str">
        <f aca="false">IFERROR(INDEX('Source'!$C:$C,MATCH($A285,'Source'!$B:$B,0)),"")</f>
        <v>כפפת לחץ</v>
      </c>
      <c r="C285" s="8" t="n">
        <f aca="false">SUMIFS('Source'!$D:$D,'Source'!$A:$A,"155138 לקוח אינטרנט",'Source'!$B:$B,$A285)</f>
        <v>10</v>
      </c>
      <c r="D285" s="8" t="n">
        <f aca="false">SUMIFS('Source'!$F:$F,'Source'!$A:$A,"155138 לקוח אינטרנט",'Source'!$B:$B,$A285)</f>
        <v>19</v>
      </c>
      <c r="E285" s="8" t="n">
        <f aca="false">D285*$J$5</f>
        <v>24</v>
      </c>
      <c r="F285" s="8" t="n">
        <f aca="false">E285-C285</f>
        <v>14</v>
      </c>
      <c r="G285" s="9" t="n">
        <f aca="false">IF(AND(C285=0,E285=0),0,IF(C285=0,"New",(E285-C285)/C285))</f>
        <v>1.4</v>
      </c>
      <c r="H285" s="8" t="n">
        <f aca="false">SUMIFS('Source'!$E:$E,'Source'!$A:$A,"155138 לקוח אינטרנט",'Source'!$B:$B,$A285)</f>
        <v>631.37</v>
      </c>
      <c r="I285" s="8" t="n">
        <f aca="false">SUMIFS('Source'!$G:$G,'Source'!$A:$A,"155138 לקוח אינטרנט",'Source'!$B:$B,$A285)</f>
        <v>1212.05</v>
      </c>
      <c r="J285" s="8" t="n">
        <f aca="false">I285*$J$5</f>
        <v>1531.01052631579</v>
      </c>
      <c r="K285" s="8" t="n">
        <f aca="false">J285-H285</f>
        <v>899.640526315789</v>
      </c>
      <c r="L285" s="9" t="n">
        <f aca="false">IF(AND(H285=0,J285=0),0,IF(H285=0,"New",(J285-H285)/H285))</f>
        <v>1.42490223849057</v>
      </c>
      <c r="M285" s="7" t="str">
        <f aca="false">IF(AND(OR(C285&lt;&gt;0,H285&lt;&gt;0),D285=0,I285=0),"DROP",IF(AND(OR(D285&lt;&gt;0,I285&lt;&gt;0),C285=0,H285=0),"NEW",""))</f>
        <v/>
      </c>
    </row>
    <row r="286" customFormat="false" ht="15" hidden="false" customHeight="false" outlineLevel="0" collapsed="false">
      <c r="A286" s="7" t="s">
        <v>377</v>
      </c>
      <c r="B286" s="7" t="str">
        <f aca="false">IFERROR(INDEX('Source'!$C:$C,MATCH($A286,'Source'!$B:$B,0)),"")</f>
        <v>מדבקה מסיליקון ל</v>
      </c>
      <c r="C286" s="8" t="n">
        <f aca="false">SUMIFS('Source'!$D:$D,'Source'!$A:$A,"155138 לקוח אינטרנט",'Source'!$B:$B,$A286)</f>
        <v>21</v>
      </c>
      <c r="D286" s="8" t="n">
        <f aca="false">SUMIFS('Source'!$F:$F,'Source'!$A:$A,"155138 לקוח אינטרנט",'Source'!$B:$B,$A286)</f>
        <v>32</v>
      </c>
      <c r="E286" s="8" t="n">
        <f aca="false">D286*$J$5</f>
        <v>40.4210526315789</v>
      </c>
      <c r="F286" s="8" t="n">
        <f aca="false">E286-C286</f>
        <v>19.4210526315789</v>
      </c>
      <c r="G286" s="9" t="n">
        <f aca="false">IF(AND(C286=0,E286=0),0,IF(C286=0,"New",(E286-C286)/C286))</f>
        <v>0.924812030075188</v>
      </c>
      <c r="H286" s="8" t="n">
        <f aca="false">SUMIFS('Source'!$E:$E,'Source'!$A:$A,"155138 לקוח אינטרנט",'Source'!$B:$B,$A286)</f>
        <v>1221.99</v>
      </c>
      <c r="I286" s="8" t="n">
        <f aca="false">SUMIFS('Source'!$G:$G,'Source'!$A:$A,"155138 לקוח אינטרנט",'Source'!$B:$B,$A286)</f>
        <v>1800.87</v>
      </c>
      <c r="J286" s="8" t="n">
        <f aca="false">I286*$J$5</f>
        <v>2274.78315789474</v>
      </c>
      <c r="K286" s="8" t="n">
        <f aca="false">J286-H286</f>
        <v>1052.79315789474</v>
      </c>
      <c r="L286" s="9" t="n">
        <f aca="false">IF(AND(H286=0,J286=0),0,IF(H286=0,"New",(J286-H286)/H286))</f>
        <v>0.861539912679103</v>
      </c>
      <c r="M286" s="7" t="str">
        <f aca="false">IF(AND(OR(C286&lt;&gt;0,H286&lt;&gt;0),D286=0,I286=0),"DROP",IF(AND(OR(D286&lt;&gt;0,I286&lt;&gt;0),C286=0,H286=0),"NEW",""))</f>
        <v/>
      </c>
    </row>
    <row r="287" customFormat="false" ht="15" hidden="false" customHeight="false" outlineLevel="0" collapsed="false">
      <c r="A287" s="7" t="s">
        <v>378</v>
      </c>
      <c r="B287" s="7" t="str">
        <f aca="false">IFERROR(INDEX('Source'!$C:$C,MATCH($A287,'Source'!$B:$B,0)),"")</f>
        <v>מגן לכתף ימין/שמאל</v>
      </c>
      <c r="C287" s="8" t="n">
        <f aca="false">SUMIFS('Source'!$D:$D,'Source'!$A:$A,"155138 לקוח אינטרנט",'Source'!$B:$B,$A287)</f>
        <v>9</v>
      </c>
      <c r="D287" s="8" t="n">
        <f aca="false">SUMIFS('Source'!$F:$F,'Source'!$A:$A,"155138 לקוח אינטרנט",'Source'!$B:$B,$A287)</f>
        <v>7</v>
      </c>
      <c r="E287" s="8" t="n">
        <f aca="false">D287*$J$5</f>
        <v>8.84210526315789</v>
      </c>
      <c r="F287" s="8" t="n">
        <f aca="false">E287-C287</f>
        <v>-0.157894736842106</v>
      </c>
      <c r="G287" s="9" t="n">
        <f aca="false">IF(AND(C287=0,E287=0),0,IF(C287=0,"New",(E287-C287)/C287))</f>
        <v>-0.0175438596491229</v>
      </c>
      <c r="H287" s="8" t="n">
        <f aca="false">SUMIFS('Source'!$E:$E,'Source'!$A:$A,"155138 לקוח אינטרנט",'Source'!$B:$B,$A287)</f>
        <v>2866.41</v>
      </c>
      <c r="I287" s="8" t="n">
        <f aca="false">SUMIFS('Source'!$G:$G,'Source'!$A:$A,"155138 לקוח אינטרנט",'Source'!$B:$B,$A287)</f>
        <v>2287.57</v>
      </c>
      <c r="J287" s="8" t="n">
        <f aca="false">I287*$J$5</f>
        <v>2889.56210526316</v>
      </c>
      <c r="K287" s="8" t="n">
        <f aca="false">J287-H287</f>
        <v>23.1521052631574</v>
      </c>
      <c r="L287" s="9" t="n">
        <f aca="false">IF(AND(H287=0,J287=0),0,IF(H287=0,"New",(J287-H287)/H287))</f>
        <v>0.00807703896621816</v>
      </c>
      <c r="M287" s="7" t="str">
        <f aca="false">IF(AND(OR(C287&lt;&gt;0,H287&lt;&gt;0),D287=0,I287=0),"DROP",IF(AND(OR(D287&lt;&gt;0,I287&lt;&gt;0),C287=0,H287=0),"NEW",""))</f>
        <v/>
      </c>
    </row>
    <row r="288" customFormat="false" ht="15" hidden="false" customHeight="false" outlineLevel="0" collapsed="false">
      <c r="A288" s="7" t="s">
        <v>379</v>
      </c>
      <c r="B288" s="7" t="str">
        <f aca="false">IFERROR(INDEX('Source'!$C:$C,MATCH($A288,'Source'!$B:$B,0)),"")</f>
        <v>מגן כתף להמיפלגיה</v>
      </c>
      <c r="C288" s="8" t="n">
        <f aca="false">SUMIFS('Source'!$D:$D,'Source'!$A:$A,"155138 לקוח אינטרנט",'Source'!$B:$B,$A288)</f>
        <v>1</v>
      </c>
      <c r="D288" s="8" t="n">
        <f aca="false">SUMIFS('Source'!$F:$F,'Source'!$A:$A,"155138 לקוח אינטרנט",'Source'!$B:$B,$A288)</f>
        <v>2</v>
      </c>
      <c r="E288" s="8" t="n">
        <f aca="false">D288*$J$5</f>
        <v>2.52631578947368</v>
      </c>
      <c r="F288" s="8" t="n">
        <f aca="false">E288-C288</f>
        <v>1.52631578947368</v>
      </c>
      <c r="G288" s="9" t="n">
        <f aca="false">IF(AND(C288=0,E288=0),0,IF(C288=0,"New",(E288-C288)/C288))</f>
        <v>1.52631578947368</v>
      </c>
      <c r="H288" s="8" t="n">
        <f aca="false">SUMIFS('Source'!$E:$E,'Source'!$A:$A,"155138 לקוח אינטרנט",'Source'!$B:$B,$A288)</f>
        <v>468.15</v>
      </c>
      <c r="I288" s="8" t="n">
        <f aca="false">SUMIFS('Source'!$G:$G,'Source'!$A:$A,"155138 לקוח אינטרנט",'Source'!$B:$B,$A288)</f>
        <v>1046.45</v>
      </c>
      <c r="J288" s="8" t="n">
        <f aca="false">I288*$J$5</f>
        <v>1321.83157894737</v>
      </c>
      <c r="K288" s="8" t="n">
        <f aca="false">J288-H288</f>
        <v>853.681578947368</v>
      </c>
      <c r="L288" s="9" t="n">
        <f aca="false">IF(AND(H288=0,J288=0),0,IF(H288=0,"New",(J288-H288)/H288))</f>
        <v>1.82352147591022</v>
      </c>
      <c r="M288" s="7" t="str">
        <f aca="false">IF(AND(OR(C288&lt;&gt;0,H288&lt;&gt;0),D288=0,I288=0),"DROP",IF(AND(OR(D288&lt;&gt;0,I288&lt;&gt;0),C288=0,H288=0),"NEW",""))</f>
        <v/>
      </c>
    </row>
    <row r="289" customFormat="false" ht="15" hidden="false" customHeight="false" outlineLevel="0" collapsed="false">
      <c r="A289" s="7" t="s">
        <v>380</v>
      </c>
      <c r="B289" s="7" t="str">
        <f aca="false">IFERROR(INDEX('Source'!$C:$C,MATCH($A289,'Source'!$B:$B,0)),"")</f>
        <v>מגן קרסול+צמדן-לכו</v>
      </c>
      <c r="C289" s="8" t="n">
        <f aca="false">SUMIFS('Source'!$D:$D,'Source'!$A:$A,"155138 לקוח אינטרנט",'Source'!$B:$B,$A289)</f>
        <v>5</v>
      </c>
      <c r="D289" s="8" t="n">
        <f aca="false">SUMIFS('Source'!$F:$F,'Source'!$A:$A,"155138 לקוח אינטרנט",'Source'!$B:$B,$A289)</f>
        <v>0</v>
      </c>
      <c r="E289" s="8" t="n">
        <f aca="false">D289*$J$5</f>
        <v>0</v>
      </c>
      <c r="F289" s="8" t="n">
        <f aca="false">E289-C289</f>
        <v>-5</v>
      </c>
      <c r="G289" s="9" t="n">
        <f aca="false">IF(AND(C289=0,E289=0),0,IF(C289=0,"New",(E289-C289)/C289))</f>
        <v>-1</v>
      </c>
      <c r="H289" s="8" t="n">
        <f aca="false">SUMIFS('Source'!$E:$E,'Source'!$A:$A,"155138 לקוח אינטרנט",'Source'!$B:$B,$A289)</f>
        <v>577.2</v>
      </c>
      <c r="I289" s="8" t="n">
        <f aca="false">SUMIFS('Source'!$G:$G,'Source'!$A:$A,"155138 לקוח אינטרנט",'Source'!$B:$B,$A289)</f>
        <v>0</v>
      </c>
      <c r="J289" s="8" t="n">
        <f aca="false">I289*$J$5</f>
        <v>0</v>
      </c>
      <c r="K289" s="8" t="n">
        <f aca="false">J289-H289</f>
        <v>-577.2</v>
      </c>
      <c r="L289" s="9" t="n">
        <f aca="false">IF(AND(H289=0,J289=0),0,IF(H289=0,"New",(J289-H289)/H289))</f>
        <v>-1</v>
      </c>
      <c r="M289" s="7" t="str">
        <f aca="false">IF(AND(OR(C289&lt;&gt;0,H289&lt;&gt;0),D289=0,I289=0),"DROP",IF(AND(OR(D289&lt;&gt;0,I289&lt;&gt;0),C289=0,H289=0),"NEW",""))</f>
        <v>DROP</v>
      </c>
    </row>
    <row r="290" customFormat="false" ht="15" hidden="false" customHeight="false" outlineLevel="0" collapsed="false">
      <c r="A290" s="7" t="s">
        <v>381</v>
      </c>
      <c r="B290" s="7" t="str">
        <f aca="false">IFERROR(INDEX('Source'!$C:$C,MATCH($A290,'Source'!$B:$B,0)),"")</f>
        <v>חבק יד מתכוון</v>
      </c>
      <c r="C290" s="8" t="n">
        <f aca="false">SUMIFS('Source'!$D:$D,'Source'!$A:$A,"155138 לקוח אינטרנט",'Source'!$B:$B,$A290)</f>
        <v>10</v>
      </c>
      <c r="D290" s="8" t="n">
        <f aca="false">SUMIFS('Source'!$F:$F,'Source'!$A:$A,"155138 לקוח אינטרנט",'Source'!$B:$B,$A290)</f>
        <v>0</v>
      </c>
      <c r="E290" s="8" t="n">
        <f aca="false">D290*$J$5</f>
        <v>0</v>
      </c>
      <c r="F290" s="8" t="n">
        <f aca="false">E290-C290</f>
        <v>-10</v>
      </c>
      <c r="G290" s="9" t="n">
        <f aca="false">IF(AND(C290=0,E290=0),0,IF(C290=0,"New",(E290-C290)/C290))</f>
        <v>-1</v>
      </c>
      <c r="H290" s="8" t="n">
        <f aca="false">SUMIFS('Source'!$E:$E,'Source'!$A:$A,"155138 לקוח אינטרנט",'Source'!$B:$B,$A290)</f>
        <v>576.77</v>
      </c>
      <c r="I290" s="8" t="n">
        <f aca="false">SUMIFS('Source'!$G:$G,'Source'!$A:$A,"155138 לקוח אינטרנט",'Source'!$B:$B,$A290)</f>
        <v>0</v>
      </c>
      <c r="J290" s="8" t="n">
        <f aca="false">I290*$J$5</f>
        <v>0</v>
      </c>
      <c r="K290" s="8" t="n">
        <f aca="false">J290-H290</f>
        <v>-576.77</v>
      </c>
      <c r="L290" s="9" t="n">
        <f aca="false">IF(AND(H290=0,J290=0),0,IF(H290=0,"New",(J290-H290)/H290))</f>
        <v>-1</v>
      </c>
      <c r="M290" s="7" t="str">
        <f aca="false">IF(AND(OR(C290&lt;&gt;0,H290&lt;&gt;0),D290=0,I290=0),"DROP",IF(AND(OR(D290&lt;&gt;0,I290&lt;&gt;0),C290=0,H290=0),"NEW",""))</f>
        <v>DROP</v>
      </c>
    </row>
    <row r="291" customFormat="false" ht="15" hidden="false" customHeight="false" outlineLevel="0" collapsed="false">
      <c r="A291" s="7" t="s">
        <v>382</v>
      </c>
      <c r="B291" s="7" t="str">
        <f aca="false">IFERROR(INDEX('Source'!$C:$C,MATCH($A291,'Source'!$B:$B,0)),"")</f>
        <v>מגן קרסול+ עקב סגור+רצועות</v>
      </c>
      <c r="C291" s="8" t="n">
        <f aca="false">SUMIFS('Source'!$D:$D,'Source'!$A:$A,"155138 לקוח אינטרנט",'Source'!$B:$B,$A291)</f>
        <v>10</v>
      </c>
      <c r="D291" s="8" t="n">
        <f aca="false">SUMIFS('Source'!$F:$F,'Source'!$A:$A,"155138 לקוח אינטרנט",'Source'!$B:$B,$A291)</f>
        <v>5</v>
      </c>
      <c r="E291" s="8" t="n">
        <f aca="false">D291*$J$5</f>
        <v>6.31578947368421</v>
      </c>
      <c r="F291" s="8" t="n">
        <f aca="false">E291-C291</f>
        <v>-3.68421052631579</v>
      </c>
      <c r="G291" s="9" t="n">
        <f aca="false">IF(AND(C291=0,E291=0),0,IF(C291=0,"New",(E291-C291)/C291))</f>
        <v>-0.368421052631579</v>
      </c>
      <c r="H291" s="8" t="n">
        <f aca="false">SUMIFS('Source'!$E:$E,'Source'!$A:$A,"155138 לקוח אינטרנט",'Source'!$B:$B,$A291)</f>
        <v>1181.38</v>
      </c>
      <c r="I291" s="8" t="n">
        <f aca="false">SUMIFS('Source'!$G:$G,'Source'!$A:$A,"155138 לקוח אינטרנט",'Source'!$B:$B,$A291)</f>
        <v>609.74</v>
      </c>
      <c r="J291" s="8" t="n">
        <f aca="false">I291*$J$5</f>
        <v>770.197894736842</v>
      </c>
      <c r="K291" s="8" t="n">
        <f aca="false">J291-H291</f>
        <v>-411.182105263158</v>
      </c>
      <c r="L291" s="9" t="n">
        <f aca="false">IF(AND(H291=0,J291=0),0,IF(H291=0,"New",(J291-H291)/H291))</f>
        <v>-0.348052366946417</v>
      </c>
      <c r="M291" s="7" t="str">
        <f aca="false">IF(AND(OR(C291&lt;&gt;0,H291&lt;&gt;0),D291=0,I291=0),"DROP",IF(AND(OR(D291&lt;&gt;0,I291&lt;&gt;0),C291=0,H291=0),"NEW",""))</f>
        <v/>
      </c>
    </row>
    <row r="292" customFormat="false" ht="15" hidden="false" customHeight="false" outlineLevel="0" collapsed="false">
      <c r="A292" s="7" t="s">
        <v>383</v>
      </c>
      <c r="B292" s="7" t="str">
        <f aca="false">IFERROR(INDEX('Source'!$C:$C,MATCH($A292,'Source'!$B:$B,0)),"")</f>
        <v>מישר כתפיים רחב+תמיכה לבית השח</v>
      </c>
      <c r="C292" s="8" t="n">
        <f aca="false">SUMIFS('Source'!$D:$D,'Source'!$A:$A,"155138 לקוח אינטרנט",'Source'!$B:$B,$A292)</f>
        <v>12</v>
      </c>
      <c r="D292" s="8" t="n">
        <f aca="false">SUMIFS('Source'!$F:$F,'Source'!$A:$A,"155138 לקוח אינטרנט",'Source'!$B:$B,$A292)</f>
        <v>10</v>
      </c>
      <c r="E292" s="8" t="n">
        <f aca="false">D292*$J$5</f>
        <v>12.6315789473684</v>
      </c>
      <c r="F292" s="8" t="n">
        <f aca="false">E292-C292</f>
        <v>0.631578947368421</v>
      </c>
      <c r="G292" s="9" t="n">
        <f aca="false">IF(AND(C292=0,E292=0),0,IF(C292=0,"New",(E292-C292)/C292))</f>
        <v>0.0526315789473684</v>
      </c>
      <c r="H292" s="8" t="n">
        <f aca="false">SUMIFS('Source'!$E:$E,'Source'!$A:$A,"155138 לקוח אינטרנט",'Source'!$B:$B,$A292)</f>
        <v>4210.4</v>
      </c>
      <c r="I292" s="8" t="n">
        <f aca="false">SUMIFS('Source'!$G:$G,'Source'!$A:$A,"155138 לקוח אינטרנט",'Source'!$B:$B,$A292)</f>
        <v>3641.13</v>
      </c>
      <c r="J292" s="8" t="n">
        <f aca="false">I292*$J$5</f>
        <v>4599.32210526316</v>
      </c>
      <c r="K292" s="8" t="n">
        <f aca="false">J292-H292</f>
        <v>388.922105263157</v>
      </c>
      <c r="L292" s="9" t="n">
        <f aca="false">IF(AND(H292=0,J292=0),0,IF(H292=0,"New",(J292-H292)/H292))</f>
        <v>0.0923717711531345</v>
      </c>
      <c r="M292" s="7" t="str">
        <f aca="false">IF(AND(OR(C292&lt;&gt;0,H292&lt;&gt;0),D292=0,I292=0),"DROP",IF(AND(OR(D292&lt;&gt;0,I292&lt;&gt;0),C292=0,H292=0),"NEW",""))</f>
        <v/>
      </c>
    </row>
    <row r="293" customFormat="false" ht="15" hidden="false" customHeight="false" outlineLevel="0" collapsed="false">
      <c r="A293" s="7" t="s">
        <v>384</v>
      </c>
      <c r="B293" s="7" t="str">
        <f aca="false">IFERROR(INDEX('Source'!$C:$C,MATCH($A293,'Source'!$B:$B,0)),"")</f>
        <v>חגורת שבר שחור</v>
      </c>
      <c r="C293" s="8" t="n">
        <f aca="false">SUMIFS('Source'!$D:$D,'Source'!$A:$A,"155138 לקוח אינטרנט",'Source'!$B:$B,$A293)</f>
        <v>0</v>
      </c>
      <c r="D293" s="8" t="n">
        <f aca="false">SUMIFS('Source'!$F:$F,'Source'!$A:$A,"155138 לקוח אינטרנט",'Source'!$B:$B,$A293)</f>
        <v>1</v>
      </c>
      <c r="E293" s="8" t="n">
        <f aca="false">D293*$J$5</f>
        <v>1.26315789473684</v>
      </c>
      <c r="F293" s="8" t="n">
        <f aca="false">E293-C293</f>
        <v>1.26315789473684</v>
      </c>
      <c r="G293" s="9" t="str">
        <f aca="false">IF(AND(C293=0,E293=0),0,IF(C293=0,"New",(E293-C293)/C293))</f>
        <v>New</v>
      </c>
      <c r="H293" s="8" t="n">
        <f aca="false">SUMIFS('Source'!$E:$E,'Source'!$A:$A,"155138 לקוח אינטרנט",'Source'!$B:$B,$A293)</f>
        <v>0</v>
      </c>
      <c r="I293" s="8" t="n">
        <f aca="false">SUMIFS('Source'!$G:$G,'Source'!$A:$A,"155138 לקוח אינטרנט",'Source'!$B:$B,$A293)</f>
        <v>567.71</v>
      </c>
      <c r="J293" s="8" t="n">
        <f aca="false">I293*$J$5</f>
        <v>717.107368421053</v>
      </c>
      <c r="K293" s="8" t="n">
        <f aca="false">J293-H293</f>
        <v>717.107368421053</v>
      </c>
      <c r="L293" s="9" t="str">
        <f aca="false">IF(AND(H293=0,J293=0),0,IF(H293=0,"New",(J293-H293)/H293))</f>
        <v>New</v>
      </c>
      <c r="M293" s="7" t="str">
        <f aca="false">IF(AND(OR(C293&lt;&gt;0,H293&lt;&gt;0),D293=0,I293=0),"DROP",IF(AND(OR(D293&lt;&gt;0,I293&lt;&gt;0),C293=0,H293=0),"NEW",""))</f>
        <v>NEW</v>
      </c>
    </row>
    <row r="294" customFormat="false" ht="15" hidden="false" customHeight="false" outlineLevel="0" collapsed="false">
      <c r="A294" s="7" t="s">
        <v>385</v>
      </c>
      <c r="B294" s="7" t="str">
        <f aca="false">IFERROR(INDEX('Source'!$C:$C,MATCH($A294,'Source'!$B:$B,0)),"")</f>
        <v>חגורת שבר דו צדדית</v>
      </c>
      <c r="C294" s="8" t="n">
        <f aca="false">SUMIFS('Source'!$D:$D,'Source'!$A:$A,"155138 לקוח אינטרנט",'Source'!$B:$B,$A294)</f>
        <v>1</v>
      </c>
      <c r="D294" s="8" t="n">
        <f aca="false">SUMIFS('Source'!$F:$F,'Source'!$A:$A,"155138 לקוח אינטרנט",'Source'!$B:$B,$A294)</f>
        <v>0</v>
      </c>
      <c r="E294" s="8" t="n">
        <f aca="false">D294*$J$5</f>
        <v>0</v>
      </c>
      <c r="F294" s="8" t="n">
        <f aca="false">E294-C294</f>
        <v>-1</v>
      </c>
      <c r="G294" s="9" t="n">
        <f aca="false">IF(AND(C294=0,E294=0),0,IF(C294=0,"New",(E294-C294)/C294))</f>
        <v>-1</v>
      </c>
      <c r="H294" s="8" t="n">
        <f aca="false">SUMIFS('Source'!$E:$E,'Source'!$A:$A,"155138 לקוח אינטרנט",'Source'!$B:$B,$A294)</f>
        <v>567.71</v>
      </c>
      <c r="I294" s="8" t="n">
        <f aca="false">SUMIFS('Source'!$G:$G,'Source'!$A:$A,"155138 לקוח אינטרנט",'Source'!$B:$B,$A294)</f>
        <v>0</v>
      </c>
      <c r="J294" s="8" t="n">
        <f aca="false">I294*$J$5</f>
        <v>0</v>
      </c>
      <c r="K294" s="8" t="n">
        <f aca="false">J294-H294</f>
        <v>-567.71</v>
      </c>
      <c r="L294" s="9" t="n">
        <f aca="false">IF(AND(H294=0,J294=0),0,IF(H294=0,"New",(J294-H294)/H294))</f>
        <v>-1</v>
      </c>
      <c r="M294" s="7" t="str">
        <f aca="false">IF(AND(OR(C294&lt;&gt;0,H294&lt;&gt;0),D294=0,I294=0),"DROP",IF(AND(OR(D294&lt;&gt;0,I294&lt;&gt;0),C294=0,H294=0),"NEW",""))</f>
        <v>DROP</v>
      </c>
    </row>
    <row r="295" customFormat="false" ht="15" hidden="false" customHeight="false" outlineLevel="0" collapsed="false">
      <c r="A295" s="7" t="s">
        <v>386</v>
      </c>
      <c r="B295" s="7" t="str">
        <f aca="false">IFERROR(INDEX('Source'!$C:$C,MATCH($A295,'Source'!$B:$B,0)),"")</f>
        <v>חגורה למנותחי בית החזה</v>
      </c>
      <c r="C295" s="8" t="n">
        <f aca="false">SUMIFS('Source'!$D:$D,'Source'!$A:$A,"155138 לקוח אינטרנט",'Source'!$B:$B,$A295)</f>
        <v>2</v>
      </c>
      <c r="D295" s="8" t="n">
        <f aca="false">SUMIFS('Source'!$F:$F,'Source'!$A:$A,"155138 לקוח אינטרנט",'Source'!$B:$B,$A295)</f>
        <v>0</v>
      </c>
      <c r="E295" s="8" t="n">
        <f aca="false">D295*$J$5</f>
        <v>0</v>
      </c>
      <c r="F295" s="8" t="n">
        <f aca="false">E295-C295</f>
        <v>-2</v>
      </c>
      <c r="G295" s="9" t="n">
        <f aca="false">IF(AND(C295=0,E295=0),0,IF(C295=0,"New",(E295-C295)/C295))</f>
        <v>-1</v>
      </c>
      <c r="H295" s="8" t="n">
        <f aca="false">SUMIFS('Source'!$E:$E,'Source'!$A:$A,"155138 לקוח אינטרנט",'Source'!$B:$B,$A295)</f>
        <v>567.62</v>
      </c>
      <c r="I295" s="8" t="n">
        <f aca="false">SUMIFS('Source'!$G:$G,'Source'!$A:$A,"155138 לקוח אינטרנט",'Source'!$B:$B,$A295)</f>
        <v>0</v>
      </c>
      <c r="J295" s="8" t="n">
        <f aca="false">I295*$J$5</f>
        <v>0</v>
      </c>
      <c r="K295" s="8" t="n">
        <f aca="false">J295-H295</f>
        <v>-567.62</v>
      </c>
      <c r="L295" s="9" t="n">
        <f aca="false">IF(AND(H295=0,J295=0),0,IF(H295=0,"New",(J295-H295)/H295))</f>
        <v>-1</v>
      </c>
      <c r="M295" s="7" t="str">
        <f aca="false">IF(AND(OR(C295&lt;&gt;0,H295&lt;&gt;0),D295=0,I295=0),"DROP",IF(AND(OR(D295&lt;&gt;0,I295&lt;&gt;0),C295=0,H295=0),"NEW",""))</f>
        <v>DROP</v>
      </c>
    </row>
    <row r="296" customFormat="false" ht="15" hidden="false" customHeight="false" outlineLevel="0" collapsed="false">
      <c r="A296" s="7" t="s">
        <v>387</v>
      </c>
      <c r="B296" s="7" t="str">
        <f aca="false">IFERROR(INDEX('Source'!$C:$C,MATCH($A296,'Source'!$B:$B,0)),"")</f>
        <v>אצבעון מסיליקון</v>
      </c>
      <c r="C296" s="8" t="n">
        <f aca="false">SUMIFS('Source'!$D:$D,'Source'!$A:$A,"155138 לקוח אינטרנט",'Source'!$B:$B,$A296)</f>
        <v>22</v>
      </c>
      <c r="D296" s="8" t="n">
        <f aca="false">SUMIFS('Source'!$F:$F,'Source'!$A:$A,"155138 לקוח אינטרנט",'Source'!$B:$B,$A296)</f>
        <v>8</v>
      </c>
      <c r="E296" s="8" t="n">
        <f aca="false">D296*$J$5</f>
        <v>10.1052631578947</v>
      </c>
      <c r="F296" s="8" t="n">
        <f aca="false">E296-C296</f>
        <v>-11.8947368421053</v>
      </c>
      <c r="G296" s="9" t="n">
        <f aca="false">IF(AND(C296=0,E296=0),0,IF(C296=0,"New",(E296-C296)/C296))</f>
        <v>-0.54066985645933</v>
      </c>
      <c r="H296" s="8" t="n">
        <f aca="false">SUMIFS('Source'!$E:$E,'Source'!$A:$A,"155138 לקוח אינטרנט",'Source'!$B:$B,$A296)</f>
        <v>884.38</v>
      </c>
      <c r="I296" s="8" t="n">
        <f aca="false">SUMIFS('Source'!$G:$G,'Source'!$A:$A,"155138 לקוח אינטרנט",'Source'!$B:$B,$A296)</f>
        <v>319.24</v>
      </c>
      <c r="J296" s="8" t="n">
        <f aca="false">I296*$J$5</f>
        <v>403.250526315789</v>
      </c>
      <c r="K296" s="8" t="n">
        <f aca="false">J296-H296</f>
        <v>-481.129473684211</v>
      </c>
      <c r="L296" s="9" t="n">
        <f aca="false">IF(AND(H296=0,J296=0),0,IF(H296=0,"New",(J296-H296)/H296))</f>
        <v>-0.544030251344683</v>
      </c>
      <c r="M296" s="7" t="str">
        <f aca="false">IF(AND(OR(C296&lt;&gt;0,H296&lt;&gt;0),D296=0,I296=0),"DROP",IF(AND(OR(D296&lt;&gt;0,I296&lt;&gt;0),C296=0,H296=0),"NEW",""))</f>
        <v/>
      </c>
    </row>
    <row r="297" customFormat="false" ht="15" hidden="false" customHeight="false" outlineLevel="0" collapsed="false">
      <c r="A297" s="7" t="s">
        <v>388</v>
      </c>
      <c r="B297" s="7" t="str">
        <f aca="false">IFERROR(INDEX('Source'!$C:$C,MATCH($A297,'Source'!$B:$B,0)),"")</f>
        <v>מגן שוק רגיל</v>
      </c>
      <c r="C297" s="8" t="n">
        <f aca="false">SUMIFS('Source'!$D:$D,'Source'!$A:$A,"155138 לקוח אינטרנט",'Source'!$B:$B,$A297)</f>
        <v>0</v>
      </c>
      <c r="D297" s="8" t="n">
        <f aca="false">SUMIFS('Source'!$F:$F,'Source'!$A:$A,"155138 לקוח אינטרנט",'Source'!$B:$B,$A297)</f>
        <v>3</v>
      </c>
      <c r="E297" s="8" t="n">
        <f aca="false">D297*$J$5</f>
        <v>3.78947368421053</v>
      </c>
      <c r="F297" s="8" t="n">
        <f aca="false">E297-C297</f>
        <v>3.78947368421053</v>
      </c>
      <c r="G297" s="9" t="str">
        <f aca="false">IF(AND(C297=0,E297=0),0,IF(C297=0,"New",(E297-C297)/C297))</f>
        <v>New</v>
      </c>
      <c r="H297" s="8" t="n">
        <f aca="false">SUMIFS('Source'!$E:$E,'Source'!$A:$A,"155138 לקוח אינטרנט",'Source'!$B:$B,$A297)</f>
        <v>0</v>
      </c>
      <c r="I297" s="8" t="n">
        <f aca="false">SUMIFS('Source'!$G:$G,'Source'!$A:$A,"155138 לקוח אינטרנט",'Source'!$B:$B,$A297)</f>
        <v>565.01</v>
      </c>
      <c r="J297" s="8" t="n">
        <f aca="false">I297*$J$5</f>
        <v>713.696842105263</v>
      </c>
      <c r="K297" s="8" t="n">
        <f aca="false">J297-H297</f>
        <v>713.696842105263</v>
      </c>
      <c r="L297" s="9" t="str">
        <f aca="false">IF(AND(H297=0,J297=0),0,IF(H297=0,"New",(J297-H297)/H297))</f>
        <v>New</v>
      </c>
      <c r="M297" s="7" t="str">
        <f aca="false">IF(AND(OR(C297&lt;&gt;0,H297&lt;&gt;0),D297=0,I297=0),"DROP",IF(AND(OR(D297&lt;&gt;0,I297&lt;&gt;0),C297=0,H297=0),"NEW",""))</f>
        <v>NEW</v>
      </c>
    </row>
    <row r="298" customFormat="false" ht="15" hidden="false" customHeight="false" outlineLevel="0" collapsed="false">
      <c r="A298" s="7" t="s">
        <v>389</v>
      </c>
      <c r="B298" s="7" t="str">
        <f aca="false">IFERROR(INDEX('Source'!$C:$C,MATCH($A298,'Source'!$B:$B,0)),"")</f>
        <v>מדרס מתכוונן לגיל</v>
      </c>
      <c r="C298" s="8" t="n">
        <f aca="false">SUMIFS('Source'!$D:$D,'Source'!$A:$A,"155138 לקוח אינטרנט",'Source'!$B:$B,$A298)</f>
        <v>13</v>
      </c>
      <c r="D298" s="8" t="n">
        <f aca="false">SUMIFS('Source'!$F:$F,'Source'!$A:$A,"155138 לקוח אינטרנט",'Source'!$B:$B,$A298)</f>
        <v>9</v>
      </c>
      <c r="E298" s="8" t="n">
        <f aca="false">D298*$J$5</f>
        <v>11.3684210526316</v>
      </c>
      <c r="F298" s="8" t="n">
        <f aca="false">E298-C298</f>
        <v>-1.63157894736842</v>
      </c>
      <c r="G298" s="9" t="n">
        <f aca="false">IF(AND(C298=0,E298=0),0,IF(C298=0,"New",(E298-C298)/C298))</f>
        <v>-0.125506072874494</v>
      </c>
      <c r="H298" s="8" t="n">
        <f aca="false">SUMIFS('Source'!$E:$E,'Source'!$A:$A,"155138 לקוח אינטרנט",'Source'!$B:$B,$A298)</f>
        <v>1939.76</v>
      </c>
      <c r="I298" s="8" t="n">
        <f aca="false">SUMIFS('Source'!$G:$G,'Source'!$A:$A,"155138 לקוח אינטרנט",'Source'!$B:$B,$A298)</f>
        <v>1377.27</v>
      </c>
      <c r="J298" s="8" t="n">
        <f aca="false">I298*$J$5</f>
        <v>1739.70947368421</v>
      </c>
      <c r="K298" s="8" t="n">
        <f aca="false">J298-H298</f>
        <v>-200.05052631579</v>
      </c>
      <c r="L298" s="9" t="n">
        <f aca="false">IF(AND(H298=0,J298=0),0,IF(H298=0,"New",(J298-H298)/H298))</f>
        <v>-0.103131586544619</v>
      </c>
      <c r="M298" s="7" t="str">
        <f aca="false">IF(AND(OR(C298&lt;&gt;0,H298&lt;&gt;0),D298=0,I298=0),"DROP",IF(AND(OR(D298&lt;&gt;0,I298&lt;&gt;0),C298=0,H298=0),"NEW",""))</f>
        <v/>
      </c>
    </row>
    <row r="299" customFormat="false" ht="15" hidden="false" customHeight="false" outlineLevel="0" collapsed="false">
      <c r="A299" s="7" t="s">
        <v>390</v>
      </c>
      <c r="B299" s="7" t="str">
        <f aca="false">IFERROR(INDEX('Source'!$C:$C,MATCH($A299,'Source'!$B:$B,0)),"")</f>
        <v>חגורת גב אפורה</v>
      </c>
      <c r="C299" s="8" t="n">
        <f aca="false">SUMIFS('Source'!$D:$D,'Source'!$A:$A,"155138 לקוח אינטרנט",'Source'!$B:$B,$A299)</f>
        <v>10</v>
      </c>
      <c r="D299" s="8" t="n">
        <f aca="false">SUMIFS('Source'!$F:$F,'Source'!$A:$A,"155138 לקוח אינטרנט",'Source'!$B:$B,$A299)</f>
        <v>7</v>
      </c>
      <c r="E299" s="8" t="n">
        <f aca="false">D299*$J$5</f>
        <v>8.84210526315789</v>
      </c>
      <c r="F299" s="8" t="n">
        <f aca="false">E299-C299</f>
        <v>-1.15789473684211</v>
      </c>
      <c r="G299" s="9" t="n">
        <f aca="false">IF(AND(C299=0,E299=0),0,IF(C299=0,"New",(E299-C299)/C299))</f>
        <v>-0.115789473684211</v>
      </c>
      <c r="H299" s="8" t="n">
        <f aca="false">SUMIFS('Source'!$E:$E,'Source'!$A:$A,"155138 לקוח אינטרנט",'Source'!$B:$B,$A299)</f>
        <v>1958.96</v>
      </c>
      <c r="I299" s="8" t="n">
        <f aca="false">SUMIFS('Source'!$G:$G,'Source'!$A:$A,"155138 לקוח אינטרנט",'Source'!$B:$B,$A299)</f>
        <v>1397.74</v>
      </c>
      <c r="J299" s="8" t="n">
        <f aca="false">I299*$J$5</f>
        <v>1765.56631578947</v>
      </c>
      <c r="K299" s="8" t="n">
        <f aca="false">J299-H299</f>
        <v>-193.393684210527</v>
      </c>
      <c r="L299" s="9" t="n">
        <f aca="false">IF(AND(H299=0,J299=0),0,IF(H299=0,"New",(J299-H299)/H299))</f>
        <v>-0.0987226304827697</v>
      </c>
      <c r="M299" s="7" t="str">
        <f aca="false">IF(AND(OR(C299&lt;&gt;0,H299&lt;&gt;0),D299=0,I299=0),"DROP",IF(AND(OR(D299&lt;&gt;0,I299&lt;&gt;0),C299=0,H299=0),"NEW",""))</f>
        <v/>
      </c>
    </row>
    <row r="300" customFormat="false" ht="15" hidden="false" customHeight="false" outlineLevel="0" collapsed="false">
      <c r="A300" s="7" t="s">
        <v>391</v>
      </c>
      <c r="B300" s="7" t="str">
        <f aca="false">IFERROR(INDEX('Source'!$C:$C,MATCH($A300,'Source'!$B:$B,0)),"")</f>
        <v>חגורה אחרי ניתוח</v>
      </c>
      <c r="C300" s="8" t="n">
        <f aca="false">SUMIFS('Source'!$D:$D,'Source'!$A:$A,"155138 לקוח אינטרנט",'Source'!$B:$B,$A300)</f>
        <v>12</v>
      </c>
      <c r="D300" s="8" t="n">
        <f aca="false">SUMIFS('Source'!$F:$F,'Source'!$A:$A,"155138 לקוח אינטרנט",'Source'!$B:$B,$A300)</f>
        <v>14</v>
      </c>
      <c r="E300" s="8" t="n">
        <f aca="false">D300*$J$5</f>
        <v>17.6842105263158</v>
      </c>
      <c r="F300" s="8" t="n">
        <f aca="false">E300-C300</f>
        <v>5.68421052631579</v>
      </c>
      <c r="G300" s="9" t="n">
        <f aca="false">IF(AND(C300=0,E300=0),0,IF(C300=0,"New",(E300-C300)/C300))</f>
        <v>0.473684210526316</v>
      </c>
      <c r="H300" s="8" t="n">
        <f aca="false">SUMIFS('Source'!$E:$E,'Source'!$A:$A,"155138 לקוח אינטרנט",'Source'!$B:$B,$A300)</f>
        <v>3470.66</v>
      </c>
      <c r="I300" s="8" t="n">
        <f aca="false">SUMIFS('Source'!$G:$G,'Source'!$A:$A,"155138 לקוח אינטרנט",'Source'!$B:$B,$A300)</f>
        <v>4030.19</v>
      </c>
      <c r="J300" s="8" t="n">
        <f aca="false">I300*$J$5</f>
        <v>5090.76631578947</v>
      </c>
      <c r="K300" s="8" t="n">
        <f aca="false">J300-H300</f>
        <v>1620.10631578947</v>
      </c>
      <c r="L300" s="9" t="n">
        <f aca="false">IF(AND(H300=0,J300=0),0,IF(H300=0,"New",(J300-H300)/H300))</f>
        <v>0.466800641892168</v>
      </c>
      <c r="M300" s="7" t="str">
        <f aca="false">IF(AND(OR(C300&lt;&gt;0,H300&lt;&gt;0),D300=0,I300=0),"DROP",IF(AND(OR(D300&lt;&gt;0,I300&lt;&gt;0),C300=0,H300=0),"NEW",""))</f>
        <v/>
      </c>
    </row>
    <row r="301" customFormat="false" ht="15" hidden="false" customHeight="false" outlineLevel="0" collapsed="false">
      <c r="A301" s="7" t="s">
        <v>392</v>
      </c>
      <c r="B301" s="7" t="str">
        <f aca="false">IFERROR(INDEX('Source'!$C:$C,MATCH($A301,'Source'!$B:$B,0)),"")</f>
        <v>מגן ברך +חור לפיקה</v>
      </c>
      <c r="C301" s="8" t="n">
        <f aca="false">SUMIFS('Source'!$D:$D,'Source'!$A:$A,"155138 לקוח אינטרנט",'Source'!$B:$B,$A301)</f>
        <v>5</v>
      </c>
      <c r="D301" s="8" t="n">
        <f aca="false">SUMIFS('Source'!$F:$F,'Source'!$A:$A,"155138 לקוח אינטרנט",'Source'!$B:$B,$A301)</f>
        <v>2</v>
      </c>
      <c r="E301" s="8" t="n">
        <f aca="false">D301*$J$5</f>
        <v>2.52631578947368</v>
      </c>
      <c r="F301" s="8" t="n">
        <f aca="false">E301-C301</f>
        <v>-2.47368421052632</v>
      </c>
      <c r="G301" s="9" t="n">
        <f aca="false">IF(AND(C301=0,E301=0),0,IF(C301=0,"New",(E301-C301)/C301))</f>
        <v>-0.494736842105263</v>
      </c>
      <c r="H301" s="8" t="n">
        <f aca="false">SUMIFS('Source'!$E:$E,'Source'!$A:$A,"155138 לקוח אינטרנט",'Source'!$B:$B,$A301)</f>
        <v>964.44</v>
      </c>
      <c r="I301" s="8" t="n">
        <f aca="false">SUMIFS('Source'!$G:$G,'Source'!$A:$A,"155138 לקוח אינטרנט",'Source'!$B:$B,$A301)</f>
        <v>407.21</v>
      </c>
      <c r="J301" s="8" t="n">
        <f aca="false">I301*$J$5</f>
        <v>514.370526315789</v>
      </c>
      <c r="K301" s="8" t="n">
        <f aca="false">J301-H301</f>
        <v>-450.069473684211</v>
      </c>
      <c r="L301" s="9" t="n">
        <f aca="false">IF(AND(H301=0,J301=0),0,IF(H301=0,"New",(J301-H301)/H301))</f>
        <v>-0.46666404720274</v>
      </c>
      <c r="M301" s="7" t="str">
        <f aca="false">IF(AND(OR(C301&lt;&gt;0,H301&lt;&gt;0),D301=0,I301=0),"DROP",IF(AND(OR(D301&lt;&gt;0,I301&lt;&gt;0),C301=0,H301=0),"NEW",""))</f>
        <v/>
      </c>
    </row>
    <row r="302" customFormat="false" ht="15" hidden="false" customHeight="false" outlineLevel="0" collapsed="false">
      <c r="A302" s="7" t="s">
        <v>393</v>
      </c>
      <c r="B302" s="7" t="str">
        <f aca="false">IFERROR(INDEX('Source'!$C:$C,MATCH($A302,'Source'!$B:$B,0)),"")</f>
        <v>סד יד דו צדדי</v>
      </c>
      <c r="C302" s="8" t="n">
        <f aca="false">SUMIFS('Source'!$D:$D,'Source'!$A:$A,"155138 לקוח אינטרנט",'Source'!$B:$B,$A302)</f>
        <v>1</v>
      </c>
      <c r="D302" s="8" t="n">
        <f aca="false">SUMIFS('Source'!$F:$F,'Source'!$A:$A,"155138 לקוח אינטרנט",'Source'!$B:$B,$A302)</f>
        <v>4</v>
      </c>
      <c r="E302" s="8" t="n">
        <f aca="false">D302*$J$5</f>
        <v>5.05263157894737</v>
      </c>
      <c r="F302" s="8" t="n">
        <f aca="false">E302-C302</f>
        <v>4.05263157894737</v>
      </c>
      <c r="G302" s="9" t="n">
        <f aca="false">IF(AND(C302=0,E302=0),0,IF(C302=0,"New",(E302-C302)/C302))</f>
        <v>4.05263157894737</v>
      </c>
      <c r="H302" s="8" t="n">
        <f aca="false">SUMIFS('Source'!$E:$E,'Source'!$A:$A,"155138 לקוח אינטרנט",'Source'!$B:$B,$A302)</f>
        <v>171.1</v>
      </c>
      <c r="I302" s="8" t="n">
        <f aca="false">SUMIFS('Source'!$G:$G,'Source'!$A:$A,"155138 לקוח אינטרנט",'Source'!$B:$B,$A302)</f>
        <v>726.8</v>
      </c>
      <c r="J302" s="8" t="n">
        <f aca="false">I302*$J$5</f>
        <v>918.063157894737</v>
      </c>
      <c r="K302" s="8" t="n">
        <f aca="false">J302-H302</f>
        <v>746.963157894737</v>
      </c>
      <c r="L302" s="9" t="n">
        <f aca="false">IF(AND(H302=0,J302=0),0,IF(H302=0,"New",(J302-H302)/H302))</f>
        <v>4.36565258851395</v>
      </c>
      <c r="M302" s="7" t="str">
        <f aca="false">IF(AND(OR(C302&lt;&gt;0,H302&lt;&gt;0),D302=0,I302=0),"DROP",IF(AND(OR(D302&lt;&gt;0,I302&lt;&gt;0),C302=0,H302=0),"NEW",""))</f>
        <v/>
      </c>
    </row>
    <row r="303" customFormat="false" ht="15" hidden="false" customHeight="false" outlineLevel="0" collapsed="false">
      <c r="A303" s="7" t="s">
        <v>394</v>
      </c>
      <c r="B303" s="7" t="str">
        <f aca="false">IFERROR(INDEX('Source'!$C:$C,MATCH($A303,'Source'!$B:$B,0)),"")</f>
        <v>מגן קרסול+ עקב סגור+רצועות</v>
      </c>
      <c r="C303" s="8" t="n">
        <f aca="false">SUMIFS('Source'!$D:$D,'Source'!$A:$A,"155138 לקוח אינטרנט",'Source'!$B:$B,$A303)</f>
        <v>18</v>
      </c>
      <c r="D303" s="8" t="n">
        <f aca="false">SUMIFS('Source'!$F:$F,'Source'!$A:$A,"155138 לקוח אינטרנט",'Source'!$B:$B,$A303)</f>
        <v>12</v>
      </c>
      <c r="E303" s="8" t="n">
        <f aca="false">D303*$J$5</f>
        <v>15.1578947368421</v>
      </c>
      <c r="F303" s="8" t="n">
        <f aca="false">E303-C303</f>
        <v>-2.8421052631579</v>
      </c>
      <c r="G303" s="9" t="n">
        <f aca="false">IF(AND(C303=0,E303=0),0,IF(C303=0,"New",(E303-C303)/C303))</f>
        <v>-0.157894736842105</v>
      </c>
      <c r="H303" s="8" t="n">
        <f aca="false">SUMIFS('Source'!$E:$E,'Source'!$A:$A,"155138 לקוח אינטרנט",'Source'!$B:$B,$A303)</f>
        <v>2013.67</v>
      </c>
      <c r="I303" s="8" t="n">
        <f aca="false">SUMIFS('Source'!$G:$G,'Source'!$A:$A,"155138 לקוח אינטרנט",'Source'!$B:$B,$A303)</f>
        <v>1460.86</v>
      </c>
      <c r="J303" s="8" t="n">
        <f aca="false">I303*$J$5</f>
        <v>1845.29684210526</v>
      </c>
      <c r="K303" s="8" t="n">
        <f aca="false">J303-H303</f>
        <v>-168.373157894737</v>
      </c>
      <c r="L303" s="9" t="n">
        <f aca="false">IF(AND(H303=0,J303=0),0,IF(H303=0,"New",(J303-H303)/H303))</f>
        <v>-0.0836150699442993</v>
      </c>
      <c r="M303" s="7" t="str">
        <f aca="false">IF(AND(OR(C303&lt;&gt;0,H303&lt;&gt;0),D303=0,I303=0),"DROP",IF(AND(OR(D303&lt;&gt;0,I303&lt;&gt;0),C303=0,H303=0),"NEW",""))</f>
        <v/>
      </c>
    </row>
    <row r="304" customFormat="false" ht="15" hidden="false" customHeight="false" outlineLevel="0" collapsed="false">
      <c r="A304" s="7" t="s">
        <v>395</v>
      </c>
      <c r="B304" s="7" t="str">
        <f aca="false">IFERROR(INDEX('Source'!$C:$C,MATCH($A304,'Source'!$B:$B,0)),"")</f>
        <v>חגורת שרוכים</v>
      </c>
      <c r="C304" s="8" t="n">
        <f aca="false">SUMIFS('Source'!$D:$D,'Source'!$A:$A,"155138 לקוח אינטרנט",'Source'!$B:$B,$A304)</f>
        <v>6</v>
      </c>
      <c r="D304" s="8" t="n">
        <f aca="false">SUMIFS('Source'!$F:$F,'Source'!$A:$A,"155138 לקוח אינטרנט",'Source'!$B:$B,$A304)</f>
        <v>10</v>
      </c>
      <c r="E304" s="8" t="n">
        <f aca="false">D304*$J$5</f>
        <v>12.6315789473684</v>
      </c>
      <c r="F304" s="8" t="n">
        <f aca="false">E304-C304</f>
        <v>6.63157894736842</v>
      </c>
      <c r="G304" s="9" t="n">
        <f aca="false">IF(AND(C304=0,E304=0),0,IF(C304=0,"New",(E304-C304)/C304))</f>
        <v>1.10526315789474</v>
      </c>
      <c r="H304" s="8" t="n">
        <f aca="false">SUMIFS('Source'!$E:$E,'Source'!$A:$A,"155138 לקוח אינטרנט",'Source'!$B:$B,$A304)</f>
        <v>1412.44</v>
      </c>
      <c r="I304" s="8" t="n">
        <f aca="false">SUMIFS('Source'!$G:$G,'Source'!$A:$A,"155138 לקוח אינטרנט",'Source'!$B:$B,$A304)</f>
        <v>1963.34</v>
      </c>
      <c r="J304" s="8" t="n">
        <f aca="false">I304*$J$5</f>
        <v>2480.00842105263</v>
      </c>
      <c r="K304" s="8" t="n">
        <f aca="false">J304-H304</f>
        <v>1067.56842105263</v>
      </c>
      <c r="L304" s="9" t="n">
        <f aca="false">IF(AND(H304=0,J304=0),0,IF(H304=0,"New",(J304-H304)/H304))</f>
        <v>0.755832758242921</v>
      </c>
      <c r="M304" s="7" t="str">
        <f aca="false">IF(AND(OR(C304&lt;&gt;0,H304&lt;&gt;0),D304=0,I304=0),"DROP",IF(AND(OR(D304&lt;&gt;0,I304&lt;&gt;0),C304=0,H304=0),"NEW",""))</f>
        <v/>
      </c>
    </row>
    <row r="305" customFormat="false" ht="15" hidden="false" customHeight="false" outlineLevel="0" collapsed="false">
      <c r="A305" s="7" t="s">
        <v>396</v>
      </c>
      <c r="B305" s="7" t="str">
        <f aca="false">IFERROR(INDEX('Source'!$C:$C,MATCH($A305,'Source'!$B:$B,0)),"")</f>
        <v>מגן כתף להמיפלגיה</v>
      </c>
      <c r="C305" s="8" t="n">
        <f aca="false">SUMIFS('Source'!$D:$D,'Source'!$A:$A,"155138 לקוח אינטרנט",'Source'!$B:$B,$A305)</f>
        <v>1</v>
      </c>
      <c r="D305" s="8" t="n">
        <f aca="false">SUMIFS('Source'!$F:$F,'Source'!$A:$A,"155138 לקוח אינטרנט",'Source'!$B:$B,$A305)</f>
        <v>0</v>
      </c>
      <c r="E305" s="8" t="n">
        <f aca="false">D305*$J$5</f>
        <v>0</v>
      </c>
      <c r="F305" s="8" t="n">
        <f aca="false">E305-C305</f>
        <v>-1</v>
      </c>
      <c r="G305" s="9" t="n">
        <f aca="false">IF(AND(C305=0,E305=0),0,IF(C305=0,"New",(E305-C305)/C305))</f>
        <v>-1</v>
      </c>
      <c r="H305" s="8" t="n">
        <f aca="false">SUMIFS('Source'!$E:$E,'Source'!$A:$A,"155138 לקוח אינטרנט",'Source'!$B:$B,$A305)</f>
        <v>550.76</v>
      </c>
      <c r="I305" s="8" t="n">
        <f aca="false">SUMIFS('Source'!$G:$G,'Source'!$A:$A,"155138 לקוח אינטרנט",'Source'!$B:$B,$A305)</f>
        <v>0</v>
      </c>
      <c r="J305" s="8" t="n">
        <f aca="false">I305*$J$5</f>
        <v>0</v>
      </c>
      <c r="K305" s="8" t="n">
        <f aca="false">J305-H305</f>
        <v>-550.76</v>
      </c>
      <c r="L305" s="9" t="n">
        <f aca="false">IF(AND(H305=0,J305=0),0,IF(H305=0,"New",(J305-H305)/H305))</f>
        <v>-1</v>
      </c>
      <c r="M305" s="7" t="str">
        <f aca="false">IF(AND(OR(C305&lt;&gt;0,H305&lt;&gt;0),D305=0,I305=0),"DROP",IF(AND(OR(D305&lt;&gt;0,I305&lt;&gt;0),C305=0,H305=0),"NEW",""))</f>
        <v>DROP</v>
      </c>
    </row>
    <row r="306" customFormat="false" ht="15" hidden="false" customHeight="false" outlineLevel="0" collapsed="false">
      <c r="A306" s="7" t="s">
        <v>397</v>
      </c>
      <c r="B306" s="7" t="str">
        <f aca="false">IFERROR(INDEX('Source'!$C:$C,MATCH($A306,'Source'!$B:$B,0)),"")</f>
        <v>מגן כתף להמיפלגיה</v>
      </c>
      <c r="C306" s="8" t="n">
        <f aca="false">SUMIFS('Source'!$D:$D,'Source'!$A:$A,"155138 לקוח אינטרנט",'Source'!$B:$B,$A306)</f>
        <v>1</v>
      </c>
      <c r="D306" s="8" t="n">
        <f aca="false">SUMIFS('Source'!$F:$F,'Source'!$A:$A,"155138 לקוח אינטרנט",'Source'!$B:$B,$A306)</f>
        <v>0</v>
      </c>
      <c r="E306" s="8" t="n">
        <f aca="false">D306*$J$5</f>
        <v>0</v>
      </c>
      <c r="F306" s="8" t="n">
        <f aca="false">E306-C306</f>
        <v>-1</v>
      </c>
      <c r="G306" s="9" t="n">
        <f aca="false">IF(AND(C306=0,E306=0),0,IF(C306=0,"New",(E306-C306)/C306))</f>
        <v>-1</v>
      </c>
      <c r="H306" s="8" t="n">
        <f aca="false">SUMIFS('Source'!$E:$E,'Source'!$A:$A,"155138 לקוח אינטרנט",'Source'!$B:$B,$A306)</f>
        <v>550.76</v>
      </c>
      <c r="I306" s="8" t="n">
        <f aca="false">SUMIFS('Source'!$G:$G,'Source'!$A:$A,"155138 לקוח אינטרנט",'Source'!$B:$B,$A306)</f>
        <v>0</v>
      </c>
      <c r="J306" s="8" t="n">
        <f aca="false">I306*$J$5</f>
        <v>0</v>
      </c>
      <c r="K306" s="8" t="n">
        <f aca="false">J306-H306</f>
        <v>-550.76</v>
      </c>
      <c r="L306" s="9" t="n">
        <f aca="false">IF(AND(H306=0,J306=0),0,IF(H306=0,"New",(J306-H306)/H306))</f>
        <v>-1</v>
      </c>
      <c r="M306" s="7" t="str">
        <f aca="false">IF(AND(OR(C306&lt;&gt;0,H306&lt;&gt;0),D306=0,I306=0),"DROP",IF(AND(OR(D306&lt;&gt;0,I306&lt;&gt;0),C306=0,H306=0),"NEW",""))</f>
        <v>DROP</v>
      </c>
    </row>
    <row r="307" customFormat="false" ht="15" hidden="false" customHeight="false" outlineLevel="0" collapsed="false">
      <c r="A307" s="7" t="s">
        <v>398</v>
      </c>
      <c r="B307" s="7" t="str">
        <f aca="false">IFERROR(INDEX('Source'!$C:$C,MATCH($A307,'Source'!$B:$B,0)),"")</f>
        <v>טייפ חבישה לספורט בז'</v>
      </c>
      <c r="C307" s="8" t="n">
        <f aca="false">SUMIFS('Source'!$D:$D,'Source'!$A:$A,"155138 לקוח אינטרנט",'Source'!$B:$B,$A307)</f>
        <v>29</v>
      </c>
      <c r="D307" s="8" t="n">
        <f aca="false">SUMIFS('Source'!$F:$F,'Source'!$A:$A,"155138 לקוח אינטרנט",'Source'!$B:$B,$A307)</f>
        <v>46</v>
      </c>
      <c r="E307" s="8" t="n">
        <f aca="false">D307*$J$5</f>
        <v>58.1052631578947</v>
      </c>
      <c r="F307" s="8" t="n">
        <f aca="false">E307-C307</f>
        <v>29.1052631578947</v>
      </c>
      <c r="G307" s="9" t="n">
        <f aca="false">IF(AND(C307=0,E307=0),0,IF(C307=0,"New",(E307-C307)/C307))</f>
        <v>1.00362976406534</v>
      </c>
      <c r="H307" s="8" t="n">
        <f aca="false">SUMIFS('Source'!$E:$E,'Source'!$A:$A,"155138 לקוח אינטרנט",'Source'!$B:$B,$A307)</f>
        <v>742.52</v>
      </c>
      <c r="I307" s="8" t="n">
        <f aca="false">SUMIFS('Source'!$G:$G,'Source'!$A:$A,"155138 לקוח אינטרנט",'Source'!$B:$B,$A307)</f>
        <v>1293.06</v>
      </c>
      <c r="J307" s="8" t="n">
        <f aca="false">I307*$J$5</f>
        <v>1633.33894736842</v>
      </c>
      <c r="K307" s="8" t="n">
        <f aca="false">J307-H307</f>
        <v>890.818947368421</v>
      </c>
      <c r="L307" s="9" t="n">
        <f aca="false">IF(AND(H307=0,J307=0),0,IF(H307=0,"New",(J307-H307)/H307))</f>
        <v>1.19972384227822</v>
      </c>
      <c r="M307" s="7" t="str">
        <f aca="false">IF(AND(OR(C307&lt;&gt;0,H307&lt;&gt;0),D307=0,I307=0),"DROP",IF(AND(OR(D307&lt;&gt;0,I307&lt;&gt;0),C307=0,H307=0),"NEW",""))</f>
        <v/>
      </c>
    </row>
    <row r="308" customFormat="false" ht="15" hidden="false" customHeight="false" outlineLevel="0" collapsed="false">
      <c r="A308" s="7" t="s">
        <v>399</v>
      </c>
      <c r="B308" s="7" t="str">
        <f aca="false">IFERROR(INDEX('Source'!$C:$C,MATCH($A308,'Source'!$B:$B,0)),"")</f>
        <v>מישר כתפיים</v>
      </c>
      <c r="C308" s="8" t="n">
        <f aca="false">SUMIFS('Source'!$D:$D,'Source'!$A:$A,"155138 לקוח אינטרנט",'Source'!$B:$B,$A308)</f>
        <v>7</v>
      </c>
      <c r="D308" s="8" t="n">
        <f aca="false">SUMIFS('Source'!$F:$F,'Source'!$A:$A,"155138 לקוח אינטרנט",'Source'!$B:$B,$A308)</f>
        <v>5</v>
      </c>
      <c r="E308" s="8" t="n">
        <f aca="false">D308*$J$5</f>
        <v>6.31578947368421</v>
      </c>
      <c r="F308" s="8" t="n">
        <f aca="false">E308-C308</f>
        <v>-0.684210526315789</v>
      </c>
      <c r="G308" s="9" t="n">
        <f aca="false">IF(AND(C308=0,E308=0),0,IF(C308=0,"New",(E308-C308)/C308))</f>
        <v>-0.0977443609022556</v>
      </c>
      <c r="H308" s="8" t="n">
        <f aca="false">SUMIFS('Source'!$E:$E,'Source'!$A:$A,"155138 לקוח אינטרנט",'Source'!$B:$B,$A308)</f>
        <v>1912.61</v>
      </c>
      <c r="I308" s="8" t="n">
        <f aca="false">SUMIFS('Source'!$G:$G,'Source'!$A:$A,"155138 לקוח אינטרנט",'Source'!$B:$B,$A308)</f>
        <v>1364.02</v>
      </c>
      <c r="J308" s="8" t="n">
        <f aca="false">I308*$J$5</f>
        <v>1722.97263157895</v>
      </c>
      <c r="K308" s="8" t="n">
        <f aca="false">J308-H308</f>
        <v>-189.637368421053</v>
      </c>
      <c r="L308" s="9" t="n">
        <f aca="false">IF(AND(H308=0,J308=0),0,IF(H308=0,"New",(J308-H308)/H308))</f>
        <v>-0.0991510911377921</v>
      </c>
      <c r="M308" s="7" t="str">
        <f aca="false">IF(AND(OR(C308&lt;&gt;0,H308&lt;&gt;0),D308=0,I308=0),"DROP",IF(AND(OR(D308&lt;&gt;0,I308&lt;&gt;0),C308=0,H308=0),"NEW",""))</f>
        <v/>
      </c>
    </row>
    <row r="309" customFormat="false" ht="15" hidden="false" customHeight="false" outlineLevel="0" collapsed="false">
      <c r="A309" s="7" t="s">
        <v>400</v>
      </c>
      <c r="B309" s="7" t="str">
        <f aca="false">IFERROR(INDEX('Source'!$C:$C,MATCH($A309,'Source'!$B:$B,0)),"")</f>
        <v>חגורה אוורירית איטלקית</v>
      </c>
      <c r="C309" s="8" t="n">
        <f aca="false">SUMIFS('Source'!$D:$D,'Source'!$A:$A,"155138 לקוח אינטרנט",'Source'!$B:$B,$A309)</f>
        <v>5</v>
      </c>
      <c r="D309" s="8" t="n">
        <f aca="false">SUMIFS('Source'!$F:$F,'Source'!$A:$A,"155138 לקוח אינטרנט",'Source'!$B:$B,$A309)</f>
        <v>4</v>
      </c>
      <c r="E309" s="8" t="n">
        <f aca="false">D309*$J$5</f>
        <v>5.05263157894737</v>
      </c>
      <c r="F309" s="8" t="n">
        <f aca="false">E309-C309</f>
        <v>0.0526315789473681</v>
      </c>
      <c r="G309" s="9" t="n">
        <f aca="false">IF(AND(C309=0,E309=0),0,IF(C309=0,"New",(E309-C309)/C309))</f>
        <v>0.0105263157894736</v>
      </c>
      <c r="H309" s="8" t="n">
        <f aca="false">SUMIFS('Source'!$E:$E,'Source'!$A:$A,"155138 לקוח אינטרנט",'Source'!$B:$B,$A309)</f>
        <v>2301.28</v>
      </c>
      <c r="I309" s="8" t="n">
        <f aca="false">SUMIFS('Source'!$G:$G,'Source'!$A:$A,"155138 לקוח אינטרנט",'Source'!$B:$B,$A309)</f>
        <v>1755.62</v>
      </c>
      <c r="J309" s="8" t="n">
        <f aca="false">I309*$J$5</f>
        <v>2217.62526315789</v>
      </c>
      <c r="K309" s="8" t="n">
        <f aca="false">J309-H309</f>
        <v>-83.6547368421057</v>
      </c>
      <c r="L309" s="9" t="n">
        <f aca="false">IF(AND(H309=0,J309=0),0,IF(H309=0,"New",(J309-H309)/H309))</f>
        <v>-0.0363513943727428</v>
      </c>
      <c r="M309" s="7" t="str">
        <f aca="false">IF(AND(OR(C309&lt;&gt;0,H309&lt;&gt;0),D309=0,I309=0),"DROP",IF(AND(OR(D309&lt;&gt;0,I309&lt;&gt;0),C309=0,H309=0),"NEW",""))</f>
        <v/>
      </c>
    </row>
    <row r="310" customFormat="false" ht="15" hidden="false" customHeight="false" outlineLevel="0" collapsed="false">
      <c r="A310" s="7" t="s">
        <v>401</v>
      </c>
      <c r="B310" s="7" t="str">
        <f aca="false">IFERROR(INDEX('Source'!$C:$C,MATCH($A310,'Source'!$B:$B,0)),"")</f>
        <v>מגן קרסול פתוח</v>
      </c>
      <c r="C310" s="8" t="n">
        <f aca="false">SUMIFS('Source'!$D:$D,'Source'!$A:$A,"155138 לקוח אינטרנט",'Source'!$B:$B,$A310)</f>
        <v>1</v>
      </c>
      <c r="D310" s="8" t="n">
        <f aca="false">SUMIFS('Source'!$F:$F,'Source'!$A:$A,"155138 לקוח אינטרנט",'Source'!$B:$B,$A310)</f>
        <v>11</v>
      </c>
      <c r="E310" s="8" t="n">
        <f aca="false">D310*$J$5</f>
        <v>13.8947368421053</v>
      </c>
      <c r="F310" s="8" t="n">
        <f aca="false">E310-C310</f>
        <v>12.8947368421053</v>
      </c>
      <c r="G310" s="9" t="n">
        <f aca="false">IF(AND(C310=0,E310=0),0,IF(C310=0,"New",(E310-C310)/C310))</f>
        <v>12.8947368421053</v>
      </c>
      <c r="H310" s="8" t="n">
        <f aca="false">SUMIFS('Source'!$E:$E,'Source'!$A:$A,"155138 לקוח אינטרנט",'Source'!$B:$B,$A310)</f>
        <v>47.47</v>
      </c>
      <c r="I310" s="8" t="n">
        <f aca="false">SUMIFS('Source'!$G:$G,'Source'!$A:$A,"155138 לקוח אינטרנט",'Source'!$B:$B,$A310)</f>
        <v>591.63</v>
      </c>
      <c r="J310" s="8" t="n">
        <f aca="false">I310*$J$5</f>
        <v>747.322105263158</v>
      </c>
      <c r="K310" s="8" t="n">
        <f aca="false">J310-H310</f>
        <v>699.852105263158</v>
      </c>
      <c r="L310" s="9" t="n">
        <f aca="false">IF(AND(H310=0,J310=0),0,IF(H310=0,"New",(J310-H310)/H310))</f>
        <v>14.7430399254931</v>
      </c>
      <c r="M310" s="7" t="str">
        <f aca="false">IF(AND(OR(C310&lt;&gt;0,H310&lt;&gt;0),D310=0,I310=0),"DROP",IF(AND(OR(D310&lt;&gt;0,I310&lt;&gt;0),C310=0,H310=0),"NEW",""))</f>
        <v/>
      </c>
    </row>
    <row r="311" customFormat="false" ht="15" hidden="false" customHeight="false" outlineLevel="0" collapsed="false">
      <c r="A311" s="7" t="s">
        <v>402</v>
      </c>
      <c r="B311" s="7" t="str">
        <f aca="false">IFERROR(INDEX('Source'!$C:$C,MATCH($A311,'Source'!$B:$B,0)),"")</f>
        <v>חגורה לשבר טבור</v>
      </c>
      <c r="C311" s="8" t="n">
        <f aca="false">SUMIFS('Source'!$D:$D,'Source'!$A:$A,"155138 לקוח אינטרנט",'Source'!$B:$B,$A311)</f>
        <v>3</v>
      </c>
      <c r="D311" s="8" t="n">
        <f aca="false">SUMIFS('Source'!$F:$F,'Source'!$A:$A,"155138 לקוח אינטרנט",'Source'!$B:$B,$A311)</f>
        <v>1</v>
      </c>
      <c r="E311" s="8" t="n">
        <f aca="false">D311*$J$5</f>
        <v>1.26315789473684</v>
      </c>
      <c r="F311" s="8" t="n">
        <f aca="false">E311-C311</f>
        <v>-1.73684210526316</v>
      </c>
      <c r="G311" s="9" t="n">
        <f aca="false">IF(AND(C311=0,E311=0),0,IF(C311=0,"New",(E311-C311)/C311))</f>
        <v>-0.578947368421053</v>
      </c>
      <c r="H311" s="8" t="n">
        <f aca="false">SUMIFS('Source'!$E:$E,'Source'!$A:$A,"155138 לקוח אינטרנט",'Source'!$B:$B,$A311)</f>
        <v>823.05</v>
      </c>
      <c r="I311" s="8" t="n">
        <f aca="false">SUMIFS('Source'!$G:$G,'Source'!$A:$A,"155138 לקוח אינטרנט",'Source'!$B:$B,$A311)</f>
        <v>283.81</v>
      </c>
      <c r="J311" s="8" t="n">
        <f aca="false">I311*$J$5</f>
        <v>358.496842105263</v>
      </c>
      <c r="K311" s="8" t="n">
        <f aca="false">J311-H311</f>
        <v>-464.553157894737</v>
      </c>
      <c r="L311" s="9" t="n">
        <f aca="false">IF(AND(H311=0,J311=0),0,IF(H311=0,"New",(J311-H311)/H311))</f>
        <v>-0.564428841376267</v>
      </c>
      <c r="M311" s="7" t="str">
        <f aca="false">IF(AND(OR(C311&lt;&gt;0,H311&lt;&gt;0),D311=0,I311=0),"DROP",IF(AND(OR(D311&lt;&gt;0,I311&lt;&gt;0),C311=0,H311=0),"NEW",""))</f>
        <v/>
      </c>
    </row>
    <row r="312" customFormat="false" ht="15" hidden="false" customHeight="false" outlineLevel="0" collapsed="false">
      <c r="A312" s="7" t="s">
        <v>403</v>
      </c>
      <c r="B312" s="7" t="str">
        <f aca="false">IFERROR(INDEX('Source'!$C:$C,MATCH($A312,'Source'!$B:$B,0)),"")</f>
        <v>חגורת שבר דו צדדית</v>
      </c>
      <c r="C312" s="8" t="n">
        <f aca="false">SUMIFS('Source'!$D:$D,'Source'!$A:$A,"155138 לקוח אינטרנט",'Source'!$B:$B,$A312)</f>
        <v>3</v>
      </c>
      <c r="D312" s="8" t="n">
        <f aca="false">SUMIFS('Source'!$F:$F,'Source'!$A:$A,"155138 לקוח אינטרנט",'Source'!$B:$B,$A312)</f>
        <v>2</v>
      </c>
      <c r="E312" s="8" t="n">
        <f aca="false">D312*$J$5</f>
        <v>2.52631578947368</v>
      </c>
      <c r="F312" s="8" t="n">
        <f aca="false">E312-C312</f>
        <v>-0.473684210526316</v>
      </c>
      <c r="G312" s="9" t="n">
        <f aca="false">IF(AND(C312=0,E312=0),0,IF(C312=0,"New",(E312-C312)/C312))</f>
        <v>-0.157894736842105</v>
      </c>
      <c r="H312" s="8" t="n">
        <f aca="false">SUMIFS('Source'!$E:$E,'Source'!$A:$A,"155138 לקוח אינטרנט",'Source'!$B:$B,$A312)</f>
        <v>1615.09</v>
      </c>
      <c r="I312" s="8" t="n">
        <f aca="false">SUMIFS('Source'!$G:$G,'Source'!$A:$A,"155138 לקוח אינטרנט",'Source'!$B:$B,$A312)</f>
        <v>1078.65</v>
      </c>
      <c r="J312" s="8" t="n">
        <f aca="false">I312*$J$5</f>
        <v>1362.5052631579</v>
      </c>
      <c r="K312" s="8" t="n">
        <f aca="false">J312-H312</f>
        <v>-252.584736842105</v>
      </c>
      <c r="L312" s="9" t="n">
        <f aca="false">IF(AND(H312=0,J312=0),0,IF(H312=0,"New",(J312-H312)/H312))</f>
        <v>-0.156390502598682</v>
      </c>
      <c r="M312" s="7" t="str">
        <f aca="false">IF(AND(OR(C312&lt;&gt;0,H312&lt;&gt;0),D312=0,I312=0),"DROP",IF(AND(OR(D312&lt;&gt;0,I312&lt;&gt;0),C312=0,H312=0),"NEW",""))</f>
        <v/>
      </c>
    </row>
    <row r="313" customFormat="false" ht="15" hidden="false" customHeight="false" outlineLevel="0" collapsed="false">
      <c r="A313" s="7" t="s">
        <v>404</v>
      </c>
      <c r="B313" s="7" t="str">
        <f aca="false">IFERROR(INDEX('Source'!$C:$C,MATCH($A313,'Source'!$B:$B,0)),"")</f>
        <v>מגן ירך</v>
      </c>
      <c r="C313" s="8" t="n">
        <f aca="false">SUMIFS('Source'!$D:$D,'Source'!$A:$A,"155138 לקוח אינטרנט",'Source'!$B:$B,$A313)</f>
        <v>33</v>
      </c>
      <c r="D313" s="8" t="n">
        <f aca="false">SUMIFS('Source'!$F:$F,'Source'!$A:$A,"155138 לקוח אינטרנט",'Source'!$B:$B,$A313)</f>
        <v>37</v>
      </c>
      <c r="E313" s="8" t="n">
        <f aca="false">D313*$J$5</f>
        <v>46.7368421052632</v>
      </c>
      <c r="F313" s="8" t="n">
        <f aca="false">E313-C313</f>
        <v>13.7368421052632</v>
      </c>
      <c r="G313" s="9" t="n">
        <f aca="false">IF(AND(C313=0,E313=0),0,IF(C313=0,"New",(E313-C313)/C313))</f>
        <v>0.416267942583732</v>
      </c>
      <c r="H313" s="8" t="n">
        <f aca="false">SUMIFS('Source'!$E:$E,'Source'!$A:$A,"155138 לקוח אינטרנט",'Source'!$B:$B,$A313)</f>
        <v>3431.61</v>
      </c>
      <c r="I313" s="8" t="n">
        <f aca="false">SUMIFS('Source'!$G:$G,'Source'!$A:$A,"155138 לקוח אינטרנט",'Source'!$B:$B,$A313)</f>
        <v>3962.6</v>
      </c>
      <c r="J313" s="8" t="n">
        <f aca="false">I313*$J$5</f>
        <v>5005.38947368421</v>
      </c>
      <c r="K313" s="8" t="n">
        <f aca="false">J313-H313</f>
        <v>1573.77947368421</v>
      </c>
      <c r="L313" s="9" t="n">
        <f aca="false">IF(AND(H313=0,J313=0),0,IF(H313=0,"New",(J313-H313)/H313))</f>
        <v>0.458612567769709</v>
      </c>
      <c r="M313" s="7" t="str">
        <f aca="false">IF(AND(OR(C313&lt;&gt;0,H313&lt;&gt;0),D313=0,I313=0),"DROP",IF(AND(OR(D313&lt;&gt;0,I313&lt;&gt;0),C313=0,H313=0),"NEW",""))</f>
        <v/>
      </c>
    </row>
    <row r="314" customFormat="false" ht="15" hidden="false" customHeight="false" outlineLevel="0" collapsed="false">
      <c r="A314" s="7" t="s">
        <v>405</v>
      </c>
      <c r="B314" s="7" t="str">
        <f aca="false">IFERROR(INDEX('Source'!$C:$C,MATCH($A314,'Source'!$B:$B,0)),"")</f>
        <v>אצבעון מפלסטיק  ליד</v>
      </c>
      <c r="C314" s="8" t="n">
        <f aca="false">SUMIFS('Source'!$D:$D,'Source'!$A:$A,"155138 לקוח אינטרנט",'Source'!$B:$B,$A314)</f>
        <v>27</v>
      </c>
      <c r="D314" s="8" t="n">
        <f aca="false">SUMIFS('Source'!$F:$F,'Source'!$A:$A,"155138 לקוח אינטרנט",'Source'!$B:$B,$A314)</f>
        <v>11</v>
      </c>
      <c r="E314" s="8" t="n">
        <f aca="false">D314*$J$5</f>
        <v>13.8947368421053</v>
      </c>
      <c r="F314" s="8" t="n">
        <f aca="false">E314-C314</f>
        <v>-13.1052631578947</v>
      </c>
      <c r="G314" s="9" t="n">
        <f aca="false">IF(AND(C314=0,E314=0),0,IF(C314=0,"New",(E314-C314)/C314))</f>
        <v>-0.485380116959064</v>
      </c>
      <c r="H314" s="8" t="n">
        <f aca="false">SUMIFS('Source'!$E:$E,'Source'!$A:$A,"155138 לקוח אינטרנט",'Source'!$B:$B,$A314)</f>
        <v>916.47</v>
      </c>
      <c r="I314" s="8" t="n">
        <f aca="false">SUMIFS('Source'!$G:$G,'Source'!$A:$A,"155138 לקוח אינטרנט",'Source'!$B:$B,$A314)</f>
        <v>389.04</v>
      </c>
      <c r="J314" s="8" t="n">
        <f aca="false">I314*$J$5</f>
        <v>491.418947368421</v>
      </c>
      <c r="K314" s="8" t="n">
        <f aca="false">J314-H314</f>
        <v>-425.051052631579</v>
      </c>
      <c r="L314" s="9" t="n">
        <f aca="false">IF(AND(H314=0,J314=0),0,IF(H314=0,"New",(J314-H314)/H314))</f>
        <v>-0.463791561787706</v>
      </c>
      <c r="M314" s="7" t="str">
        <f aca="false">IF(AND(OR(C314&lt;&gt;0,H314&lt;&gt;0),D314=0,I314=0),"DROP",IF(AND(OR(D314&lt;&gt;0,I314&lt;&gt;0),C314=0,H314=0),"NEW",""))</f>
        <v/>
      </c>
    </row>
    <row r="315" customFormat="false" ht="15" hidden="false" customHeight="false" outlineLevel="0" collapsed="false">
      <c r="A315" s="7" t="s">
        <v>406</v>
      </c>
      <c r="B315" s="7" t="str">
        <f aca="false">IFERROR(INDEX('Source'!$C:$C,MATCH($A315,'Source'!$B:$B,0)),"")</f>
        <v>גרבי נוחות חורף לבן</v>
      </c>
      <c r="C315" s="8" t="n">
        <f aca="false">SUMIFS('Source'!$D:$D,'Source'!$A:$A,"155138 לקוח אינטרנט",'Source'!$B:$B,$A315)</f>
        <v>14</v>
      </c>
      <c r="D315" s="8" t="n">
        <f aca="false">SUMIFS('Source'!$F:$F,'Source'!$A:$A,"155138 לקוח אינטרנט",'Source'!$B:$B,$A315)</f>
        <v>4</v>
      </c>
      <c r="E315" s="8" t="n">
        <f aca="false">D315*$J$5</f>
        <v>5.05263157894737</v>
      </c>
      <c r="F315" s="8" t="n">
        <f aca="false">E315-C315</f>
        <v>-8.94736842105263</v>
      </c>
      <c r="G315" s="9" t="n">
        <f aca="false">IF(AND(C315=0,E315=0),0,IF(C315=0,"New",(E315-C315)/C315))</f>
        <v>-0.639097744360902</v>
      </c>
      <c r="H315" s="8" t="n">
        <f aca="false">SUMIFS('Source'!$E:$E,'Source'!$A:$A,"155138 לקוח אינטרנט",'Source'!$B:$B,$A315)</f>
        <v>725.3</v>
      </c>
      <c r="I315" s="8" t="n">
        <f aca="false">SUMIFS('Source'!$G:$G,'Source'!$A:$A,"155138 לקוח אינטרנט",'Source'!$B:$B,$A315)</f>
        <v>203.12</v>
      </c>
      <c r="J315" s="8" t="n">
        <f aca="false">I315*$J$5</f>
        <v>256.572631578947</v>
      </c>
      <c r="K315" s="8" t="n">
        <f aca="false">J315-H315</f>
        <v>-468.727368421053</v>
      </c>
      <c r="L315" s="9" t="n">
        <f aca="false">IF(AND(H315=0,J315=0),0,IF(H315=0,"New",(J315-H315)/H315))</f>
        <v>-0.646253093093965</v>
      </c>
      <c r="M315" s="7" t="str">
        <f aca="false">IF(AND(OR(C315&lt;&gt;0,H315&lt;&gt;0),D315=0,I315=0),"DROP",IF(AND(OR(D315&lt;&gt;0,I315&lt;&gt;0),C315=0,H315=0),"NEW",""))</f>
        <v/>
      </c>
    </row>
    <row r="316" customFormat="false" ht="15" hidden="false" customHeight="false" outlineLevel="0" collapsed="false">
      <c r="A316" s="7" t="s">
        <v>407</v>
      </c>
      <c r="B316" s="7" t="str">
        <f aca="false">IFERROR(INDEX('Source'!$C:$C,MATCH($A316,'Source'!$B:$B,0)),"")</f>
        <v>חגורת שבר דו צדדית</v>
      </c>
      <c r="C316" s="8" t="n">
        <f aca="false">SUMIFS('Source'!$D:$D,'Source'!$A:$A,"155138 לקוח אינטרנט",'Source'!$B:$B,$A316)</f>
        <v>1</v>
      </c>
      <c r="D316" s="8" t="n">
        <f aca="false">SUMIFS('Source'!$F:$F,'Source'!$A:$A,"155138 לקוח אינטרנט",'Source'!$B:$B,$A316)</f>
        <v>2</v>
      </c>
      <c r="E316" s="8" t="n">
        <f aca="false">D316*$J$5</f>
        <v>2.52631578947368</v>
      </c>
      <c r="F316" s="8" t="n">
        <f aca="false">E316-C316</f>
        <v>1.52631578947368</v>
      </c>
      <c r="G316" s="9" t="n">
        <f aca="false">IF(AND(C316=0,E316=0),0,IF(C316=0,"New",(E316-C316)/C316))</f>
        <v>1.52631578947368</v>
      </c>
      <c r="H316" s="8" t="n">
        <f aca="false">SUMIFS('Source'!$E:$E,'Source'!$A:$A,"155138 לקוח אינטרנט",'Source'!$B:$B,$A316)</f>
        <v>567.71</v>
      </c>
      <c r="I316" s="8" t="n">
        <f aca="false">SUMIFS('Source'!$G:$G,'Source'!$A:$A,"155138 לקוח אינטרנט",'Source'!$B:$B,$A316)</f>
        <v>1078.65</v>
      </c>
      <c r="J316" s="8" t="n">
        <f aca="false">I316*$J$5</f>
        <v>1362.5052631579</v>
      </c>
      <c r="K316" s="8" t="n">
        <f aca="false">J316-H316</f>
        <v>794.795263157895</v>
      </c>
      <c r="L316" s="9" t="n">
        <f aca="false">IF(AND(H316=0,J316=0),0,IF(H316=0,"New",(J316-H316)/H316))</f>
        <v>1.40000222500554</v>
      </c>
      <c r="M316" s="7" t="str">
        <f aca="false">IF(AND(OR(C316&lt;&gt;0,H316&lt;&gt;0),D316=0,I316=0),"DROP",IF(AND(OR(D316&lt;&gt;0,I316&lt;&gt;0),C316=0,H316=0),"NEW",""))</f>
        <v/>
      </c>
    </row>
    <row r="317" customFormat="false" ht="15" hidden="false" customHeight="false" outlineLevel="0" collapsed="false">
      <c r="A317" s="7" t="s">
        <v>408</v>
      </c>
      <c r="B317" s="7" t="str">
        <f aca="false">IFERROR(INDEX('Source'!$C:$C,MATCH($A317,'Source'!$B:$B,0)),"")</f>
        <v>חגורת בטן</v>
      </c>
      <c r="C317" s="8" t="n">
        <f aca="false">SUMIFS('Source'!$D:$D,'Source'!$A:$A,"155138 לקוח אינטרנט",'Source'!$B:$B,$A317)</f>
        <v>0</v>
      </c>
      <c r="D317" s="8" t="n">
        <f aca="false">SUMIFS('Source'!$F:$F,'Source'!$A:$A,"155138 לקוח אינטרנט",'Source'!$B:$B,$A317)</f>
        <v>2</v>
      </c>
      <c r="E317" s="8" t="n">
        <f aca="false">D317*$J$5</f>
        <v>2.52631578947368</v>
      </c>
      <c r="F317" s="8" t="n">
        <f aca="false">E317-C317</f>
        <v>2.52631578947368</v>
      </c>
      <c r="G317" s="9" t="str">
        <f aca="false">IF(AND(C317=0,E317=0),0,IF(C317=0,"New",(E317-C317)/C317))</f>
        <v>New</v>
      </c>
      <c r="H317" s="8" t="n">
        <f aca="false">SUMIFS('Source'!$E:$E,'Source'!$A:$A,"155138 לקוח אינטרנט",'Source'!$B:$B,$A317)</f>
        <v>0</v>
      </c>
      <c r="I317" s="8" t="n">
        <f aca="false">SUMIFS('Source'!$G:$G,'Source'!$A:$A,"155138 לקוח אינטרנט",'Source'!$B:$B,$A317)</f>
        <v>508.3</v>
      </c>
      <c r="J317" s="8" t="n">
        <f aca="false">I317*$J$5</f>
        <v>642.063157894737</v>
      </c>
      <c r="K317" s="8" t="n">
        <f aca="false">J317-H317</f>
        <v>642.063157894737</v>
      </c>
      <c r="L317" s="9" t="str">
        <f aca="false">IF(AND(H317=0,J317=0),0,IF(H317=0,"New",(J317-H317)/H317))</f>
        <v>New</v>
      </c>
      <c r="M317" s="7" t="str">
        <f aca="false">IF(AND(OR(C317&lt;&gt;0,H317&lt;&gt;0),D317=0,I317=0),"DROP",IF(AND(OR(D317&lt;&gt;0,I317&lt;&gt;0),C317=0,H317=0),"NEW",""))</f>
        <v>NEW</v>
      </c>
    </row>
    <row r="318" customFormat="false" ht="15" hidden="false" customHeight="false" outlineLevel="0" collapsed="false">
      <c r="A318" s="7" t="s">
        <v>409</v>
      </c>
      <c r="B318" s="7" t="str">
        <f aca="false">IFERROR(INDEX('Source'!$C:$C,MATCH($A318,'Source'!$B:$B,0)),"")</f>
        <v>רפידת זיכרון 376</v>
      </c>
      <c r="C318" s="8" t="n">
        <f aca="false">SUMIFS('Source'!$D:$D,'Source'!$A:$A,"155138 לקוח אינטרנט",'Source'!$B:$B,$A318)</f>
        <v>14</v>
      </c>
      <c r="D318" s="8" t="n">
        <f aca="false">SUMIFS('Source'!$F:$F,'Source'!$A:$A,"155138 לקוח אינטרנט",'Source'!$B:$B,$A318)</f>
        <v>21</v>
      </c>
      <c r="E318" s="8" t="n">
        <f aca="false">D318*$J$5</f>
        <v>26.5263157894737</v>
      </c>
      <c r="F318" s="8" t="n">
        <f aca="false">E318-C318</f>
        <v>12.5263157894737</v>
      </c>
      <c r="G318" s="9" t="n">
        <f aca="false">IF(AND(C318=0,E318=0),0,IF(C318=0,"New",(E318-C318)/C318))</f>
        <v>0.894736842105263</v>
      </c>
      <c r="H318" s="8" t="n">
        <f aca="false">SUMIFS('Source'!$E:$E,'Source'!$A:$A,"155138 לקוח אינטרנט",'Source'!$B:$B,$A318)</f>
        <v>812.28</v>
      </c>
      <c r="I318" s="8" t="n">
        <f aca="false">SUMIFS('Source'!$G:$G,'Source'!$A:$A,"155138 לקוח אינטרנט",'Source'!$B:$B,$A318)</f>
        <v>1313.88</v>
      </c>
      <c r="J318" s="8" t="n">
        <f aca="false">I318*$J$5</f>
        <v>1659.63789473684</v>
      </c>
      <c r="K318" s="8" t="n">
        <f aca="false">J318-H318</f>
        <v>847.357894736842</v>
      </c>
      <c r="L318" s="9" t="n">
        <f aca="false">IF(AND(H318=0,J318=0),0,IF(H318=0,"New",(J318-H318)/H318))</f>
        <v>1.04318448655247</v>
      </c>
      <c r="M318" s="7" t="str">
        <f aca="false">IF(AND(OR(C318&lt;&gt;0,H318&lt;&gt;0),D318=0,I318=0),"DROP",IF(AND(OR(D318&lt;&gt;0,I318&lt;&gt;0),C318=0,H318=0),"NEW",""))</f>
        <v/>
      </c>
    </row>
    <row r="319" customFormat="false" ht="15" hidden="false" customHeight="false" outlineLevel="0" collapsed="false">
      <c r="A319" s="7" t="s">
        <v>410</v>
      </c>
      <c r="B319" s="7" t="str">
        <f aca="false">IFERROR(INDEX('Source'!$C:$C,MATCH($A319,'Source'!$B:$B,0)),"")</f>
        <v>סד יד שחור</v>
      </c>
      <c r="C319" s="8" t="n">
        <f aca="false">SUMIFS('Source'!$D:$D,'Source'!$A:$A,"155138 לקוח אינטרנט",'Source'!$B:$B,$A319)</f>
        <v>3</v>
      </c>
      <c r="D319" s="8" t="n">
        <f aca="false">SUMIFS('Source'!$F:$F,'Source'!$A:$A,"155138 לקוח אינטרנט",'Source'!$B:$B,$A319)</f>
        <v>0</v>
      </c>
      <c r="E319" s="8" t="n">
        <f aca="false">D319*$J$5</f>
        <v>0</v>
      </c>
      <c r="F319" s="8" t="n">
        <f aca="false">E319-C319</f>
        <v>-3</v>
      </c>
      <c r="G319" s="9" t="n">
        <f aca="false">IF(AND(C319=0,E319=0),0,IF(C319=0,"New",(E319-C319)/C319))</f>
        <v>-1</v>
      </c>
      <c r="H319" s="8" t="n">
        <f aca="false">SUMIFS('Source'!$E:$E,'Source'!$A:$A,"155138 לקוח אינטרנט",'Source'!$B:$B,$A319)</f>
        <v>501.15</v>
      </c>
      <c r="I319" s="8" t="n">
        <f aca="false">SUMIFS('Source'!$G:$G,'Source'!$A:$A,"155138 לקוח אינטרנט",'Source'!$B:$B,$A319)</f>
        <v>0</v>
      </c>
      <c r="J319" s="8" t="n">
        <f aca="false">I319*$J$5</f>
        <v>0</v>
      </c>
      <c r="K319" s="8" t="n">
        <f aca="false">J319-H319</f>
        <v>-501.15</v>
      </c>
      <c r="L319" s="9" t="n">
        <f aca="false">IF(AND(H319=0,J319=0),0,IF(H319=0,"New",(J319-H319)/H319))</f>
        <v>-1</v>
      </c>
      <c r="M319" s="7" t="str">
        <f aca="false">IF(AND(OR(C319&lt;&gt;0,H319&lt;&gt;0),D319=0,I319=0),"DROP",IF(AND(OR(D319&lt;&gt;0,I319&lt;&gt;0),C319=0,H319=0),"NEW",""))</f>
        <v>DROP</v>
      </c>
    </row>
    <row r="320" customFormat="false" ht="15" hidden="false" customHeight="false" outlineLevel="0" collapsed="false">
      <c r="A320" s="7" t="s">
        <v>411</v>
      </c>
      <c r="B320" s="7" t="str">
        <f aca="false">IFERROR(INDEX('Source'!$C:$C,MATCH($A320,'Source'!$B:$B,0)),"")</f>
        <v>סד קרסול</v>
      </c>
      <c r="C320" s="8" t="n">
        <f aca="false">SUMIFS('Source'!$D:$D,'Source'!$A:$A,"155138 לקוח אינטרנט",'Source'!$B:$B,$A320)</f>
        <v>6</v>
      </c>
      <c r="D320" s="8" t="n">
        <f aca="false">SUMIFS('Source'!$F:$F,'Source'!$A:$A,"155138 לקוח אינטרנט",'Source'!$B:$B,$A320)</f>
        <v>4</v>
      </c>
      <c r="E320" s="8" t="n">
        <f aca="false">D320*$J$5</f>
        <v>5.05263157894737</v>
      </c>
      <c r="F320" s="8" t="n">
        <f aca="false">E320-C320</f>
        <v>-0.947368421052632</v>
      </c>
      <c r="G320" s="9" t="n">
        <f aca="false">IF(AND(C320=0,E320=0),0,IF(C320=0,"New",(E320-C320)/C320))</f>
        <v>-0.157894736842105</v>
      </c>
      <c r="H320" s="8" t="n">
        <f aca="false">SUMIFS('Source'!$E:$E,'Source'!$A:$A,"155138 לקוח אינטרנט",'Source'!$B:$B,$A320)</f>
        <v>1884.83</v>
      </c>
      <c r="I320" s="8" t="n">
        <f aca="false">SUMIFS('Source'!$G:$G,'Source'!$A:$A,"155138 לקוח אינטרנט",'Source'!$B:$B,$A320)</f>
        <v>1384.78</v>
      </c>
      <c r="J320" s="8" t="n">
        <f aca="false">I320*$J$5</f>
        <v>1749.19578947368</v>
      </c>
      <c r="K320" s="8" t="n">
        <f aca="false">J320-H320</f>
        <v>-135.634210526316</v>
      </c>
      <c r="L320" s="9" t="n">
        <f aca="false">IF(AND(H320=0,J320=0),0,IF(H320=0,"New",(J320-H320)/H320))</f>
        <v>-0.0719609781923653</v>
      </c>
      <c r="M320" s="7" t="str">
        <f aca="false">IF(AND(OR(C320&lt;&gt;0,H320&lt;&gt;0),D320=0,I320=0),"DROP",IF(AND(OR(D320&lt;&gt;0,I320&lt;&gt;0),C320=0,H320=0),"NEW",""))</f>
        <v/>
      </c>
    </row>
    <row r="321" customFormat="false" ht="15" hidden="false" customHeight="false" outlineLevel="0" collapsed="false">
      <c r="A321" s="7" t="s">
        <v>412</v>
      </c>
      <c r="B321" s="7" t="str">
        <f aca="false">IFERROR(INDEX('Source'!$C:$C,MATCH($A321,'Source'!$B:$B,0)),"")</f>
        <v>תחבושת נצמדת צבע ורוד</v>
      </c>
      <c r="C321" s="8" t="n">
        <f aca="false">SUMIFS('Source'!$D:$D,'Source'!$A:$A,"155138 לקוח אינטרנט",'Source'!$B:$B,$A321)</f>
        <v>8</v>
      </c>
      <c r="D321" s="8" t="n">
        <f aca="false">SUMIFS('Source'!$F:$F,'Source'!$A:$A,"155138 לקוח אינטרנט",'Source'!$B:$B,$A321)</f>
        <v>31</v>
      </c>
      <c r="E321" s="8" t="n">
        <f aca="false">D321*$J$5</f>
        <v>39.1578947368421</v>
      </c>
      <c r="F321" s="8" t="n">
        <f aca="false">E321-C321</f>
        <v>31.1578947368421</v>
      </c>
      <c r="G321" s="9" t="n">
        <f aca="false">IF(AND(C321=0,E321=0),0,IF(C321=0,"New",(E321-C321)/C321))</f>
        <v>3.89473684210526</v>
      </c>
      <c r="H321" s="8" t="n">
        <f aca="false">SUMIFS('Source'!$E:$E,'Source'!$A:$A,"155138 לקוח אינטרנט",'Source'!$B:$B,$A321)</f>
        <v>162.3</v>
      </c>
      <c r="I321" s="8" t="n">
        <f aca="false">SUMIFS('Source'!$G:$G,'Source'!$A:$A,"155138 לקוח אינטרנט",'Source'!$B:$B,$A321)</f>
        <v>660.02</v>
      </c>
      <c r="J321" s="8" t="n">
        <f aca="false">I321*$J$5</f>
        <v>833.709473684211</v>
      </c>
      <c r="K321" s="8" t="n">
        <f aca="false">J321-H321</f>
        <v>671.409473684211</v>
      </c>
      <c r="L321" s="9" t="n">
        <f aca="false">IF(AND(H321=0,J321=0),0,IF(H321=0,"New",(J321-H321)/H321))</f>
        <v>4.13684210526316</v>
      </c>
      <c r="M321" s="7" t="str">
        <f aca="false">IF(AND(OR(C321&lt;&gt;0,H321&lt;&gt;0),D321=0,I321=0),"DROP",IF(AND(OR(D321&lt;&gt;0,I321&lt;&gt;0),C321=0,H321=0),"NEW",""))</f>
        <v/>
      </c>
    </row>
    <row r="322" customFormat="false" ht="15" hidden="false" customHeight="false" outlineLevel="0" collapsed="false">
      <c r="A322" s="7" t="s">
        <v>413</v>
      </c>
      <c r="B322" s="7" t="str">
        <f aca="false">IFERROR(INDEX('Source'!$C:$C,MATCH($A322,'Source'!$B:$B,0)),"")</f>
        <v>מתלה יד + קיבוע מרפק</v>
      </c>
      <c r="C322" s="8" t="n">
        <f aca="false">SUMIFS('Source'!$D:$D,'Source'!$A:$A,"155138 לקוח אינטרנט",'Source'!$B:$B,$A322)</f>
        <v>9</v>
      </c>
      <c r="D322" s="8" t="n">
        <f aca="false">SUMIFS('Source'!$F:$F,'Source'!$A:$A,"155138 לקוח אינטרנט",'Source'!$B:$B,$A322)</f>
        <v>12</v>
      </c>
      <c r="E322" s="8" t="n">
        <f aca="false">D322*$J$5</f>
        <v>15.1578947368421</v>
      </c>
      <c r="F322" s="8" t="n">
        <f aca="false">E322-C322</f>
        <v>6.1578947368421</v>
      </c>
      <c r="G322" s="9" t="n">
        <f aca="false">IF(AND(C322=0,E322=0),0,IF(C322=0,"New",(E322-C322)/C322))</f>
        <v>0.684210526315789</v>
      </c>
      <c r="H322" s="8" t="n">
        <f aca="false">SUMIFS('Source'!$E:$E,'Source'!$A:$A,"155138 לקוח אינטרנט",'Source'!$B:$B,$A322)</f>
        <v>1488.56</v>
      </c>
      <c r="I322" s="8" t="n">
        <f aca="false">SUMIFS('Source'!$G:$G,'Source'!$A:$A,"155138 לקוח אינטרנט",'Source'!$B:$B,$A322)</f>
        <v>1984.78</v>
      </c>
      <c r="J322" s="8" t="n">
        <f aca="false">I322*$J$5</f>
        <v>2507.09052631579</v>
      </c>
      <c r="K322" s="8" t="n">
        <f aca="false">J322-H322</f>
        <v>1018.53052631579</v>
      </c>
      <c r="L322" s="9" t="n">
        <f aca="false">IF(AND(H322=0,J322=0),0,IF(H322=0,"New",(J322-H322)/H322))</f>
        <v>0.684238812218378</v>
      </c>
      <c r="M322" s="7" t="str">
        <f aca="false">IF(AND(OR(C322&lt;&gt;0,H322&lt;&gt;0),D322=0,I322=0),"DROP",IF(AND(OR(D322&lt;&gt;0,I322&lt;&gt;0),C322=0,H322=0),"NEW",""))</f>
        <v/>
      </c>
    </row>
    <row r="323" customFormat="false" ht="15" hidden="false" customHeight="false" outlineLevel="0" collapsed="false">
      <c r="A323" s="7" t="s">
        <v>414</v>
      </c>
      <c r="B323" s="7" t="str">
        <f aca="false">IFERROR(INDEX('Source'!$C:$C,MATCH($A323,'Source'!$B:$B,0)),"")</f>
        <v>חגורת צלעות לגבר</v>
      </c>
      <c r="C323" s="8" t="n">
        <f aca="false">SUMIFS('Source'!$D:$D,'Source'!$A:$A,"155138 לקוח אינטרנט",'Source'!$B:$B,$A323)</f>
        <v>3</v>
      </c>
      <c r="D323" s="8" t="n">
        <f aca="false">SUMIFS('Source'!$F:$F,'Source'!$A:$A,"155138 לקוח אינטרנט",'Source'!$B:$B,$A323)</f>
        <v>1</v>
      </c>
      <c r="E323" s="8" t="n">
        <f aca="false">D323*$J$5</f>
        <v>1.26315789473684</v>
      </c>
      <c r="F323" s="8" t="n">
        <f aca="false">E323-C323</f>
        <v>-1.73684210526316</v>
      </c>
      <c r="G323" s="9" t="n">
        <f aca="false">IF(AND(C323=0,E323=0),0,IF(C323=0,"New",(E323-C323)/C323))</f>
        <v>-0.578947368421053</v>
      </c>
      <c r="H323" s="8" t="n">
        <f aca="false">SUMIFS('Source'!$E:$E,'Source'!$A:$A,"155138 לקוח אינטרנט",'Source'!$B:$B,$A323)</f>
        <v>724.32</v>
      </c>
      <c r="I323" s="8" t="n">
        <f aca="false">SUMIFS('Source'!$G:$G,'Source'!$A:$A,"155138 לקוח אינטרנט",'Source'!$B:$B,$A323)</f>
        <v>228.74</v>
      </c>
      <c r="J323" s="8" t="n">
        <f aca="false">I323*$J$5</f>
        <v>288.934736842105</v>
      </c>
      <c r="K323" s="8" t="n">
        <f aca="false">J323-H323</f>
        <v>-435.385263157895</v>
      </c>
      <c r="L323" s="9" t="n">
        <f aca="false">IF(AND(H323=0,J323=0),0,IF(H323=0,"New",(J323-H323)/H323))</f>
        <v>-0.601095183286247</v>
      </c>
      <c r="M323" s="7" t="str">
        <f aca="false">IF(AND(OR(C323&lt;&gt;0,H323&lt;&gt;0),D323=0,I323=0),"DROP",IF(AND(OR(D323&lt;&gt;0,I323&lt;&gt;0),C323=0,H323=0),"NEW",""))</f>
        <v/>
      </c>
    </row>
    <row r="324" customFormat="false" ht="15" hidden="false" customHeight="false" outlineLevel="0" collapsed="false">
      <c r="A324" s="7" t="s">
        <v>415</v>
      </c>
      <c r="B324" s="7" t="str">
        <f aca="false">IFERROR(INDEX('Source'!$C:$C,MATCH($A324,'Source'!$B:$B,0)),"")</f>
        <v>גרבי נוחות חורף לבן</v>
      </c>
      <c r="C324" s="8" t="n">
        <f aca="false">SUMIFS('Source'!$D:$D,'Source'!$A:$A,"155138 לקוח אינטרנט",'Source'!$B:$B,$A324)</f>
        <v>10</v>
      </c>
      <c r="D324" s="8" t="n">
        <f aca="false">SUMIFS('Source'!$F:$F,'Source'!$A:$A,"155138 לקוח אינטרנט",'Source'!$B:$B,$A324)</f>
        <v>0</v>
      </c>
      <c r="E324" s="8" t="n">
        <f aca="false">D324*$J$5</f>
        <v>0</v>
      </c>
      <c r="F324" s="8" t="n">
        <f aca="false">E324-C324</f>
        <v>-10</v>
      </c>
      <c r="G324" s="9" t="n">
        <f aca="false">IF(AND(C324=0,E324=0),0,IF(C324=0,"New",(E324-C324)/C324))</f>
        <v>-1</v>
      </c>
      <c r="H324" s="8" t="n">
        <f aca="false">SUMIFS('Source'!$E:$E,'Source'!$A:$A,"155138 לקוח אינטרנט",'Source'!$B:$B,$A324)</f>
        <v>495.08</v>
      </c>
      <c r="I324" s="8" t="n">
        <f aca="false">SUMIFS('Source'!$G:$G,'Source'!$A:$A,"155138 לקוח אינטרנט",'Source'!$B:$B,$A324)</f>
        <v>0</v>
      </c>
      <c r="J324" s="8" t="n">
        <f aca="false">I324*$J$5</f>
        <v>0</v>
      </c>
      <c r="K324" s="8" t="n">
        <f aca="false">J324-H324</f>
        <v>-495.08</v>
      </c>
      <c r="L324" s="9" t="n">
        <f aca="false">IF(AND(H324=0,J324=0),0,IF(H324=0,"New",(J324-H324)/H324))</f>
        <v>-1</v>
      </c>
      <c r="M324" s="7" t="str">
        <f aca="false">IF(AND(OR(C324&lt;&gt;0,H324&lt;&gt;0),D324=0,I324=0),"DROP",IF(AND(OR(D324&lt;&gt;0,I324&lt;&gt;0),C324=0,H324=0),"NEW",""))</f>
        <v>DROP</v>
      </c>
    </row>
    <row r="325" customFormat="false" ht="15" hidden="false" customHeight="false" outlineLevel="0" collapsed="false">
      <c r="A325" s="7" t="s">
        <v>96</v>
      </c>
      <c r="B325" s="7" t="str">
        <f aca="false">IFERROR(INDEX('Source'!$C:$C,MATCH($A325,'Source'!$B:$B,0)),"")</f>
        <v>סד יד</v>
      </c>
      <c r="C325" s="8" t="n">
        <f aca="false">SUMIFS('Source'!$D:$D,'Source'!$A:$A,"155138 לקוח אינטרנט",'Source'!$B:$B,$A325)</f>
        <v>27</v>
      </c>
      <c r="D325" s="8" t="n">
        <f aca="false">SUMIFS('Source'!$F:$F,'Source'!$A:$A,"155138 לקוח אינטרנט",'Source'!$B:$B,$A325)</f>
        <v>31</v>
      </c>
      <c r="E325" s="8" t="n">
        <f aca="false">D325*$J$5</f>
        <v>39.1578947368421</v>
      </c>
      <c r="F325" s="8" t="n">
        <f aca="false">E325-C325</f>
        <v>12.1578947368421</v>
      </c>
      <c r="G325" s="9" t="n">
        <f aca="false">IF(AND(C325=0,E325=0),0,IF(C325=0,"New",(E325-C325)/C325))</f>
        <v>0.450292397660819</v>
      </c>
      <c r="H325" s="8" t="n">
        <f aca="false">SUMIFS('Source'!$E:$E,'Source'!$A:$A,"155138 לקוח אינטרנט",'Source'!$B:$B,$A325)</f>
        <v>2071.44</v>
      </c>
      <c r="I325" s="8" t="n">
        <f aca="false">SUMIFS('Source'!$G:$G,'Source'!$A:$A,"155138 לקוח אינטרנט",'Source'!$B:$B,$A325)</f>
        <v>2565.21</v>
      </c>
      <c r="J325" s="8" t="n">
        <f aca="false">I325*$J$5</f>
        <v>3240.26526315789</v>
      </c>
      <c r="K325" s="8" t="n">
        <f aca="false">J325-H325</f>
        <v>1168.82526315789</v>
      </c>
      <c r="L325" s="9" t="n">
        <f aca="false">IF(AND(H325=0,J325=0),0,IF(H325=0,"New",(J325-H325)/H325))</f>
        <v>0.56425735872528</v>
      </c>
      <c r="M325" s="7" t="str">
        <f aca="false">IF(AND(OR(C325&lt;&gt;0,H325&lt;&gt;0),D325=0,I325=0),"DROP",IF(AND(OR(D325&lt;&gt;0,I325&lt;&gt;0),C325=0,H325=0),"NEW",""))</f>
        <v/>
      </c>
    </row>
    <row r="326" customFormat="false" ht="15" hidden="false" customHeight="false" outlineLevel="0" collapsed="false">
      <c r="A326" s="7" t="s">
        <v>416</v>
      </c>
      <c r="B326" s="7" t="str">
        <f aca="false">IFERROR(INDEX('Source'!$C:$C,MATCH($A326,'Source'!$B:$B,0)),"")</f>
        <v>קינזיולוגי טייפ</v>
      </c>
      <c r="C326" s="8" t="n">
        <f aca="false">SUMIFS('Source'!$D:$D,'Source'!$A:$A,"155138 לקוח אינטרנט",'Source'!$B:$B,$A326)</f>
        <v>10</v>
      </c>
      <c r="D326" s="8" t="n">
        <f aca="false">SUMIFS('Source'!$F:$F,'Source'!$A:$A,"155138 לקוח אינטרנט",'Source'!$B:$B,$A326)</f>
        <v>18</v>
      </c>
      <c r="E326" s="8" t="n">
        <f aca="false">D326*$J$5</f>
        <v>22.7368421052632</v>
      </c>
      <c r="F326" s="8" t="n">
        <f aca="false">E326-C326</f>
        <v>12.7368421052632</v>
      </c>
      <c r="G326" s="9" t="n">
        <f aca="false">IF(AND(C326=0,E326=0),0,IF(C326=0,"New",(E326-C326)/C326))</f>
        <v>1.27368421052632</v>
      </c>
      <c r="H326" s="8" t="n">
        <f aca="false">SUMIFS('Source'!$E:$E,'Source'!$A:$A,"155138 לקוח אינטרנט",'Source'!$B:$B,$A326)</f>
        <v>705.46</v>
      </c>
      <c r="I326" s="8" t="n">
        <f aca="false">SUMIFS('Source'!$G:$G,'Source'!$A:$A,"155138 לקוח אינטרנט",'Source'!$B:$B,$A326)</f>
        <v>1197.18</v>
      </c>
      <c r="J326" s="8" t="n">
        <f aca="false">I326*$J$5</f>
        <v>1512.22736842105</v>
      </c>
      <c r="K326" s="8" t="n">
        <f aca="false">J326-H326</f>
        <v>806.767368421053</v>
      </c>
      <c r="L326" s="9" t="n">
        <f aca="false">IF(AND(H326=0,J326=0),0,IF(H326=0,"New",(J326-H326)/H326))</f>
        <v>1.14360469540591</v>
      </c>
      <c r="M326" s="7" t="str">
        <f aca="false">IF(AND(OR(C326&lt;&gt;0,H326&lt;&gt;0),D326=0,I326=0),"DROP",IF(AND(OR(D326&lt;&gt;0,I326&lt;&gt;0),C326=0,H326=0),"NEW",""))</f>
        <v/>
      </c>
    </row>
    <row r="327" customFormat="false" ht="15" hidden="false" customHeight="false" outlineLevel="0" collapsed="false">
      <c r="A327" s="7" t="s">
        <v>417</v>
      </c>
      <c r="B327" s="7" t="str">
        <f aca="false">IFERROR(INDEX('Source'!$C:$C,MATCH($A327,'Source'!$B:$B,0)),"")</f>
        <v>מגן ברך מוצלב+מוט</v>
      </c>
      <c r="C327" s="8" t="n">
        <f aca="false">SUMIFS('Source'!$D:$D,'Source'!$A:$A,"155138 לקוח אינטרנט",'Source'!$B:$B,$A327)</f>
        <v>0</v>
      </c>
      <c r="D327" s="8" t="n">
        <f aca="false">SUMIFS('Source'!$F:$F,'Source'!$A:$A,"155138 לקוח אינטרנט",'Source'!$B:$B,$A327)</f>
        <v>2</v>
      </c>
      <c r="E327" s="8" t="n">
        <f aca="false">D327*$J$5</f>
        <v>2.52631578947368</v>
      </c>
      <c r="F327" s="8" t="n">
        <f aca="false">E327-C327</f>
        <v>2.52631578947368</v>
      </c>
      <c r="G327" s="9" t="str">
        <f aca="false">IF(AND(C327=0,E327=0),0,IF(C327=0,"New",(E327-C327)/C327))</f>
        <v>New</v>
      </c>
      <c r="H327" s="8" t="n">
        <f aca="false">SUMIFS('Source'!$E:$E,'Source'!$A:$A,"155138 לקוח אינטרנט",'Source'!$B:$B,$A327)</f>
        <v>0</v>
      </c>
      <c r="I327" s="8" t="n">
        <f aca="false">SUMIFS('Source'!$G:$G,'Source'!$A:$A,"155138 לקוח אינטרנט",'Source'!$B:$B,$A327)</f>
        <v>491.36</v>
      </c>
      <c r="J327" s="8" t="n">
        <f aca="false">I327*$J$5</f>
        <v>620.665263157895</v>
      </c>
      <c r="K327" s="8" t="n">
        <f aca="false">J327-H327</f>
        <v>620.665263157895</v>
      </c>
      <c r="L327" s="9" t="str">
        <f aca="false">IF(AND(H327=0,J327=0),0,IF(H327=0,"New",(J327-H327)/H327))</f>
        <v>New</v>
      </c>
      <c r="M327" s="7" t="str">
        <f aca="false">IF(AND(OR(C327&lt;&gt;0,H327&lt;&gt;0),D327=0,I327=0),"DROP",IF(AND(OR(D327&lt;&gt;0,I327&lt;&gt;0),C327=0,H327=0),"NEW",""))</f>
        <v>NEW</v>
      </c>
    </row>
    <row r="328" customFormat="false" ht="15" hidden="false" customHeight="false" outlineLevel="0" collapsed="false">
      <c r="A328" s="7" t="s">
        <v>418</v>
      </c>
      <c r="B328" s="7" t="str">
        <f aca="false">IFERROR(INDEX('Source'!$C:$C,MATCH($A328,'Source'!$B:$B,0)),"")</f>
        <v>סט פלסטרים הידרוקולואידים 313</v>
      </c>
      <c r="C328" s="8" t="n">
        <f aca="false">SUMIFS('Source'!$D:$D,'Source'!$A:$A,"155138 לקוח אינטרנט",'Source'!$B:$B,$A328)</f>
        <v>20</v>
      </c>
      <c r="D328" s="8" t="n">
        <f aca="false">SUMIFS('Source'!$F:$F,'Source'!$A:$A,"155138 לקוח אינטרנט",'Source'!$B:$B,$A328)</f>
        <v>31</v>
      </c>
      <c r="E328" s="8" t="n">
        <f aca="false">D328*$J$5</f>
        <v>39.1578947368421</v>
      </c>
      <c r="F328" s="8" t="n">
        <f aca="false">E328-C328</f>
        <v>19.1578947368421</v>
      </c>
      <c r="G328" s="9" t="n">
        <f aca="false">IF(AND(C328=0,E328=0),0,IF(C328=0,"New",(E328-C328)/C328))</f>
        <v>0.957894736842105</v>
      </c>
      <c r="H328" s="8" t="n">
        <f aca="false">SUMIFS('Source'!$E:$E,'Source'!$A:$A,"155138 לקוח אינטרנט",'Source'!$B:$B,$A328)</f>
        <v>791.62</v>
      </c>
      <c r="I328" s="8" t="n">
        <f aca="false">SUMIFS('Source'!$G:$G,'Source'!$A:$A,"155138 לקוח אינטרנט",'Source'!$B:$B,$A328)</f>
        <v>1278.43</v>
      </c>
      <c r="J328" s="8" t="n">
        <f aca="false">I328*$J$5</f>
        <v>1614.85894736842</v>
      </c>
      <c r="K328" s="8" t="n">
        <f aca="false">J328-H328</f>
        <v>823.238947368421</v>
      </c>
      <c r="L328" s="9" t="n">
        <f aca="false">IF(AND(H328=0,J328=0),0,IF(H328=0,"New",(J328-H328)/H328))</f>
        <v>1.03994207747205</v>
      </c>
      <c r="M328" s="7" t="str">
        <f aca="false">IF(AND(OR(C328&lt;&gt;0,H328&lt;&gt;0),D328=0,I328=0),"DROP",IF(AND(OR(D328&lt;&gt;0,I328&lt;&gt;0),C328=0,H328=0),"NEW",""))</f>
        <v/>
      </c>
    </row>
    <row r="329" customFormat="false" ht="15" hidden="false" customHeight="false" outlineLevel="0" collapsed="false">
      <c r="A329" s="7" t="s">
        <v>419</v>
      </c>
      <c r="B329" s="7" t="str">
        <f aca="false">IFERROR(INDEX('Source'!$C:$C,MATCH($A329,'Source'!$B:$B,0)),"")</f>
        <v>מגן בוניון עדין לנעל צרה</v>
      </c>
      <c r="C329" s="8" t="n">
        <f aca="false">SUMIFS('Source'!$D:$D,'Source'!$A:$A,"155138 לקוח אינטרנט",'Source'!$B:$B,$A329)</f>
        <v>21</v>
      </c>
      <c r="D329" s="8" t="n">
        <f aca="false">SUMIFS('Source'!$F:$F,'Source'!$A:$A,"155138 לקוח אינטרנט",'Source'!$B:$B,$A329)</f>
        <v>12</v>
      </c>
      <c r="E329" s="8" t="n">
        <f aca="false">D329*$J$5</f>
        <v>15.1578947368421</v>
      </c>
      <c r="F329" s="8" t="n">
        <f aca="false">E329-C329</f>
        <v>-5.8421052631579</v>
      </c>
      <c r="G329" s="9" t="n">
        <f aca="false">IF(AND(C329=0,E329=0),0,IF(C329=0,"New",(E329-C329)/C329))</f>
        <v>-0.278195488721805</v>
      </c>
      <c r="H329" s="8" t="n">
        <f aca="false">SUMIFS('Source'!$E:$E,'Source'!$A:$A,"155138 לקוח אינטרנט",'Source'!$B:$B,$A329)</f>
        <v>1172.09</v>
      </c>
      <c r="I329" s="8" t="n">
        <f aca="false">SUMIFS('Source'!$G:$G,'Source'!$A:$A,"155138 לקוח אינטרנט",'Source'!$B:$B,$A329)</f>
        <v>687.14</v>
      </c>
      <c r="J329" s="8" t="n">
        <f aca="false">I329*$J$5</f>
        <v>867.966315789474</v>
      </c>
      <c r="K329" s="8" t="n">
        <f aca="false">J329-H329</f>
        <v>-304.123684210527</v>
      </c>
      <c r="L329" s="9" t="n">
        <f aca="false">IF(AND(H329=0,J329=0),0,IF(H329=0,"New",(J329-H329)/H329))</f>
        <v>-0.259471272863455</v>
      </c>
      <c r="M329" s="7" t="str">
        <f aca="false">IF(AND(OR(C329&lt;&gt;0,H329&lt;&gt;0),D329=0,I329=0),"DROP",IF(AND(OR(D329&lt;&gt;0,I329&lt;&gt;0),C329=0,H329=0),"NEW",""))</f>
        <v/>
      </c>
    </row>
    <row r="330" customFormat="false" ht="15" hidden="false" customHeight="false" outlineLevel="0" collapsed="false">
      <c r="A330" s="7" t="s">
        <v>420</v>
      </c>
      <c r="B330" s="7" t="str">
        <f aca="false">IFERROR(INDEX('Source'!$C:$C,MATCH($A330,'Source'!$B:$B,0)),"")</f>
        <v>מגן ירך לאחר ניתוח</v>
      </c>
      <c r="C330" s="8" t="n">
        <f aca="false">SUMIFS('Source'!$D:$D,'Source'!$A:$A,"155138 לקוח אינטרנט",'Source'!$B:$B,$A330)</f>
        <v>1</v>
      </c>
      <c r="D330" s="8" t="n">
        <f aca="false">SUMIFS('Source'!$F:$F,'Source'!$A:$A,"155138 לקוח אינטרנט",'Source'!$B:$B,$A330)</f>
        <v>3</v>
      </c>
      <c r="E330" s="8" t="n">
        <f aca="false">D330*$J$5</f>
        <v>3.78947368421053</v>
      </c>
      <c r="F330" s="8" t="n">
        <f aca="false">E330-C330</f>
        <v>2.78947368421053</v>
      </c>
      <c r="G330" s="9" t="n">
        <f aca="false">IF(AND(C330=0,E330=0),0,IF(C330=0,"New",(E330-C330)/C330))</f>
        <v>2.78947368421053</v>
      </c>
      <c r="H330" s="8" t="n">
        <f aca="false">SUMIFS('Source'!$E:$E,'Source'!$A:$A,"155138 לקוח אינטרנט",'Source'!$B:$B,$A330)</f>
        <v>241.44</v>
      </c>
      <c r="I330" s="8" t="n">
        <f aca="false">SUMIFS('Source'!$G:$G,'Source'!$A:$A,"155138 לקוח אינטרנט",'Source'!$B:$B,$A330)</f>
        <v>724.32</v>
      </c>
      <c r="J330" s="8" t="n">
        <f aca="false">I330*$J$5</f>
        <v>914.930526315789</v>
      </c>
      <c r="K330" s="8" t="n">
        <f aca="false">J330-H330</f>
        <v>673.490526315789</v>
      </c>
      <c r="L330" s="9" t="n">
        <f aca="false">IF(AND(H330=0,J330=0),0,IF(H330=0,"New",(J330-H330)/H330))</f>
        <v>2.78947368421053</v>
      </c>
      <c r="M330" s="7" t="str">
        <f aca="false">IF(AND(OR(C330&lt;&gt;0,H330&lt;&gt;0),D330=0,I330=0),"DROP",IF(AND(OR(D330&lt;&gt;0,I330&lt;&gt;0),C330=0,H330=0),"NEW",""))</f>
        <v/>
      </c>
    </row>
    <row r="331" customFormat="false" ht="15" hidden="false" customHeight="false" outlineLevel="0" collapsed="false">
      <c r="A331" s="7" t="s">
        <v>421</v>
      </c>
      <c r="B331" s="7" t="str">
        <f aca="false">IFERROR(INDEX('Source'!$C:$C,MATCH($A331,'Source'!$B:$B,0)),"")</f>
        <v>חגורת שבר שחור</v>
      </c>
      <c r="C331" s="8" t="n">
        <f aca="false">SUMIFS('Source'!$D:$D,'Source'!$A:$A,"155138 לקוח אינטרנט",'Source'!$B:$B,$A331)</f>
        <v>1</v>
      </c>
      <c r="D331" s="8" t="n">
        <f aca="false">SUMIFS('Source'!$F:$F,'Source'!$A:$A,"155138 לקוח אינטרנט",'Source'!$B:$B,$A331)</f>
        <v>0</v>
      </c>
      <c r="E331" s="8" t="n">
        <f aca="false">D331*$J$5</f>
        <v>0</v>
      </c>
      <c r="F331" s="8" t="n">
        <f aca="false">E331-C331</f>
        <v>-1</v>
      </c>
      <c r="G331" s="9" t="n">
        <f aca="false">IF(AND(C331=0,E331=0),0,IF(C331=0,"New",(E331-C331)/C331))</f>
        <v>-1</v>
      </c>
      <c r="H331" s="8" t="n">
        <f aca="false">SUMIFS('Source'!$E:$E,'Source'!$A:$A,"155138 לקוח אינטרנט",'Source'!$B:$B,$A331)</f>
        <v>482.55</v>
      </c>
      <c r="I331" s="8" t="n">
        <f aca="false">SUMIFS('Source'!$G:$G,'Source'!$A:$A,"155138 לקוח אינטרנט",'Source'!$B:$B,$A331)</f>
        <v>0</v>
      </c>
      <c r="J331" s="8" t="n">
        <f aca="false">I331*$J$5</f>
        <v>0</v>
      </c>
      <c r="K331" s="8" t="n">
        <f aca="false">J331-H331</f>
        <v>-482.55</v>
      </c>
      <c r="L331" s="9" t="n">
        <f aca="false">IF(AND(H331=0,J331=0),0,IF(H331=0,"New",(J331-H331)/H331))</f>
        <v>-1</v>
      </c>
      <c r="M331" s="7" t="str">
        <f aca="false">IF(AND(OR(C331&lt;&gt;0,H331&lt;&gt;0),D331=0,I331=0),"DROP",IF(AND(OR(D331&lt;&gt;0,I331&lt;&gt;0),C331=0,H331=0),"NEW",""))</f>
        <v>DROP</v>
      </c>
    </row>
    <row r="332" customFormat="false" ht="15" hidden="false" customHeight="false" outlineLevel="0" collapsed="false">
      <c r="A332" s="7" t="s">
        <v>422</v>
      </c>
      <c r="B332" s="7" t="str">
        <f aca="false">IFERROR(INDEX('Source'!$C:$C,MATCH($A332,'Source'!$B:$B,0)),"")</f>
        <v>חבק יד מתכוון</v>
      </c>
      <c r="C332" s="8" t="n">
        <f aca="false">SUMIFS('Source'!$D:$D,'Source'!$A:$A,"155138 לקוח אינטרנט",'Source'!$B:$B,$A332)</f>
        <v>8</v>
      </c>
      <c r="D332" s="8" t="n">
        <f aca="false">SUMIFS('Source'!$F:$F,'Source'!$A:$A,"155138 לקוח אינטרנט",'Source'!$B:$B,$A332)</f>
        <v>0</v>
      </c>
      <c r="E332" s="8" t="n">
        <f aca="false">D332*$J$5</f>
        <v>0</v>
      </c>
      <c r="F332" s="8" t="n">
        <f aca="false">E332-C332</f>
        <v>-8</v>
      </c>
      <c r="G332" s="9" t="n">
        <f aca="false">IF(AND(C332=0,E332=0),0,IF(C332=0,"New",(E332-C332)/C332))</f>
        <v>-1</v>
      </c>
      <c r="H332" s="8" t="n">
        <f aca="false">SUMIFS('Source'!$E:$E,'Source'!$A:$A,"155138 לקוח אינטרנט",'Source'!$B:$B,$A332)</f>
        <v>482.4</v>
      </c>
      <c r="I332" s="8" t="n">
        <f aca="false">SUMIFS('Source'!$G:$G,'Source'!$A:$A,"155138 לקוח אינטרנט",'Source'!$B:$B,$A332)</f>
        <v>0</v>
      </c>
      <c r="J332" s="8" t="n">
        <f aca="false">I332*$J$5</f>
        <v>0</v>
      </c>
      <c r="K332" s="8" t="n">
        <f aca="false">J332-H332</f>
        <v>-482.4</v>
      </c>
      <c r="L332" s="9" t="n">
        <f aca="false">IF(AND(H332=0,J332=0),0,IF(H332=0,"New",(J332-H332)/H332))</f>
        <v>-1</v>
      </c>
      <c r="M332" s="7" t="str">
        <f aca="false">IF(AND(OR(C332&lt;&gt;0,H332&lt;&gt;0),D332=0,I332=0),"DROP",IF(AND(OR(D332&lt;&gt;0,I332&lt;&gt;0),C332=0,H332=0),"NEW",""))</f>
        <v>DROP</v>
      </c>
    </row>
    <row r="333" customFormat="false" ht="15" hidden="false" customHeight="false" outlineLevel="0" collapsed="false">
      <c r="A333" s="7" t="s">
        <v>423</v>
      </c>
      <c r="B333" s="7" t="str">
        <f aca="false">IFERROR(INDEX('Source'!$C:$C,MATCH($A333,'Source'!$B:$B,0)),"")</f>
        <v>מגן ירך לאחר ניתוח</v>
      </c>
      <c r="C333" s="8" t="n">
        <f aca="false">SUMIFS('Source'!$D:$D,'Source'!$A:$A,"155138 לקוח אינטרנט",'Source'!$B:$B,$A333)</f>
        <v>3</v>
      </c>
      <c r="D333" s="8" t="n">
        <f aca="false">SUMIFS('Source'!$F:$F,'Source'!$A:$A,"155138 לקוח אינטרנט",'Source'!$B:$B,$A333)</f>
        <v>1</v>
      </c>
      <c r="E333" s="8" t="n">
        <f aca="false">D333*$J$5</f>
        <v>1.26315789473684</v>
      </c>
      <c r="F333" s="8" t="n">
        <f aca="false">E333-C333</f>
        <v>-1.73684210526316</v>
      </c>
      <c r="G333" s="9" t="n">
        <f aca="false">IF(AND(C333=0,E333=0),0,IF(C333=0,"New",(E333-C333)/C333))</f>
        <v>-0.578947368421053</v>
      </c>
      <c r="H333" s="8" t="n">
        <f aca="false">SUMIFS('Source'!$E:$E,'Source'!$A:$A,"155138 לקוח אינטרנט",'Source'!$B:$B,$A333)</f>
        <v>722.63</v>
      </c>
      <c r="I333" s="8" t="n">
        <f aca="false">SUMIFS('Source'!$G:$G,'Source'!$A:$A,"155138 לקוח אינטרנט",'Source'!$B:$B,$A333)</f>
        <v>241.44</v>
      </c>
      <c r="J333" s="8" t="n">
        <f aca="false">I333*$J$5</f>
        <v>304.976842105263</v>
      </c>
      <c r="K333" s="8" t="n">
        <f aca="false">J333-H333</f>
        <v>-417.653157894737</v>
      </c>
      <c r="L333" s="9" t="n">
        <f aca="false">IF(AND(H333=0,J333=0),0,IF(H333=0,"New",(J333-H333)/H333))</f>
        <v>-0.577962661243979</v>
      </c>
      <c r="M333" s="7" t="str">
        <f aca="false">IF(AND(OR(C333&lt;&gt;0,H333&lt;&gt;0),D333=0,I333=0),"DROP",IF(AND(OR(D333&lt;&gt;0,I333&lt;&gt;0),C333=0,H333=0),"NEW",""))</f>
        <v/>
      </c>
    </row>
    <row r="334" customFormat="false" ht="15" hidden="false" customHeight="false" outlineLevel="0" collapsed="false">
      <c r="A334" s="7" t="s">
        <v>424</v>
      </c>
      <c r="B334" s="7" t="str">
        <f aca="false">IFERROR(INDEX('Source'!$C:$C,MATCH($A334,'Source'!$B:$B,0)),"")</f>
        <v>מגן קרסול שמאלSC35</v>
      </c>
      <c r="C334" s="8" t="n">
        <f aca="false">SUMIFS('Source'!$D:$D,'Source'!$A:$A,"155138 לקוח אינטרנט",'Source'!$B:$B,$A334)</f>
        <v>6</v>
      </c>
      <c r="D334" s="8" t="n">
        <f aca="false">SUMIFS('Source'!$F:$F,'Source'!$A:$A,"155138 לקוח אינטרנט",'Source'!$B:$B,$A334)</f>
        <v>2</v>
      </c>
      <c r="E334" s="8" t="n">
        <f aca="false">D334*$J$5</f>
        <v>2.52631578947368</v>
      </c>
      <c r="F334" s="8" t="n">
        <f aca="false">E334-C334</f>
        <v>-3.47368421052632</v>
      </c>
      <c r="G334" s="9" t="n">
        <f aca="false">IF(AND(C334=0,E334=0),0,IF(C334=0,"New",(E334-C334)/C334))</f>
        <v>-0.578947368421053</v>
      </c>
      <c r="H334" s="8" t="n">
        <f aca="false">SUMIFS('Source'!$E:$E,'Source'!$A:$A,"155138 לקוח אינטרנט",'Source'!$B:$B,$A334)</f>
        <v>749.8</v>
      </c>
      <c r="I334" s="8" t="n">
        <f aca="false">SUMIFS('Source'!$G:$G,'Source'!$A:$A,"155138 לקוח אינטרנט",'Source'!$B:$B,$A334)</f>
        <v>271.06</v>
      </c>
      <c r="J334" s="8" t="n">
        <f aca="false">I334*$J$5</f>
        <v>342.391578947368</v>
      </c>
      <c r="K334" s="8" t="n">
        <f aca="false">J334-H334</f>
        <v>-407.408421052632</v>
      </c>
      <c r="L334" s="9" t="n">
        <f aca="false">IF(AND(H334=0,J334=0),0,IF(H334=0,"New",(J334-H334)/H334))</f>
        <v>-0.543356123036318</v>
      </c>
      <c r="M334" s="7" t="str">
        <f aca="false">IF(AND(OR(C334&lt;&gt;0,H334&lt;&gt;0),D334=0,I334=0),"DROP",IF(AND(OR(D334&lt;&gt;0,I334&lt;&gt;0),C334=0,H334=0),"NEW",""))</f>
        <v/>
      </c>
    </row>
    <row r="335" customFormat="false" ht="15" hidden="false" customHeight="false" outlineLevel="0" collapsed="false">
      <c r="A335" s="7" t="s">
        <v>425</v>
      </c>
      <c r="B335" s="7" t="str">
        <f aca="false">IFERROR(INDEX('Source'!$C:$C,MATCH($A335,'Source'!$B:$B,0)),"")</f>
        <v>חגורת גב-לומבו</v>
      </c>
      <c r="C335" s="8" t="n">
        <f aca="false">SUMIFS('Source'!$D:$D,'Source'!$A:$A,"155138 לקוח אינטרנט",'Source'!$B:$B,$A335)</f>
        <v>2</v>
      </c>
      <c r="D335" s="8" t="n">
        <f aca="false">SUMIFS('Source'!$F:$F,'Source'!$A:$A,"155138 לקוח אינטרנט",'Source'!$B:$B,$A335)</f>
        <v>0</v>
      </c>
      <c r="E335" s="8" t="n">
        <f aca="false">D335*$J$5</f>
        <v>0</v>
      </c>
      <c r="F335" s="8" t="n">
        <f aca="false">E335-C335</f>
        <v>-2</v>
      </c>
      <c r="G335" s="9" t="n">
        <f aca="false">IF(AND(C335=0,E335=0),0,IF(C335=0,"New",(E335-C335)/C335))</f>
        <v>-1</v>
      </c>
      <c r="H335" s="8" t="n">
        <f aca="false">SUMIFS('Source'!$E:$E,'Source'!$A:$A,"155138 לקוח אינטרנט",'Source'!$B:$B,$A335)</f>
        <v>475.29</v>
      </c>
      <c r="I335" s="8" t="n">
        <f aca="false">SUMIFS('Source'!$G:$G,'Source'!$A:$A,"155138 לקוח אינטרנט",'Source'!$B:$B,$A335)</f>
        <v>0</v>
      </c>
      <c r="J335" s="8" t="n">
        <f aca="false">I335*$J$5</f>
        <v>0</v>
      </c>
      <c r="K335" s="8" t="n">
        <f aca="false">J335-H335</f>
        <v>-475.29</v>
      </c>
      <c r="L335" s="9" t="n">
        <f aca="false">IF(AND(H335=0,J335=0),0,IF(H335=0,"New",(J335-H335)/H335))</f>
        <v>-1</v>
      </c>
      <c r="M335" s="7" t="str">
        <f aca="false">IF(AND(OR(C335&lt;&gt;0,H335&lt;&gt;0),D335=0,I335=0),"DROP",IF(AND(OR(D335&lt;&gt;0,I335&lt;&gt;0),C335=0,H335=0),"NEW",""))</f>
        <v>DROP</v>
      </c>
    </row>
    <row r="336" customFormat="false" ht="15" hidden="false" customHeight="false" outlineLevel="0" collapsed="false">
      <c r="A336" s="7" t="s">
        <v>426</v>
      </c>
      <c r="B336" s="7" t="str">
        <f aca="false">IFERROR(INDEX('Source'!$C:$C,MATCH($A336,'Source'!$B:$B,0)),"")</f>
        <v>חגורת גב-לומבו</v>
      </c>
      <c r="C336" s="8" t="n">
        <f aca="false">SUMIFS('Source'!$D:$D,'Source'!$A:$A,"155138 לקוח אינטרנט",'Source'!$B:$B,$A336)</f>
        <v>2</v>
      </c>
      <c r="D336" s="8" t="n">
        <f aca="false">SUMIFS('Source'!$F:$F,'Source'!$A:$A,"155138 לקוח אינטרנט",'Source'!$B:$B,$A336)</f>
        <v>0</v>
      </c>
      <c r="E336" s="8" t="n">
        <f aca="false">D336*$J$5</f>
        <v>0</v>
      </c>
      <c r="F336" s="8" t="n">
        <f aca="false">E336-C336</f>
        <v>-2</v>
      </c>
      <c r="G336" s="9" t="n">
        <f aca="false">IF(AND(C336=0,E336=0),0,IF(C336=0,"New",(E336-C336)/C336))</f>
        <v>-1</v>
      </c>
      <c r="H336" s="8" t="n">
        <f aca="false">SUMIFS('Source'!$E:$E,'Source'!$A:$A,"155138 לקוח אינטרנט",'Source'!$B:$B,$A336)</f>
        <v>475.28</v>
      </c>
      <c r="I336" s="8" t="n">
        <f aca="false">SUMIFS('Source'!$G:$G,'Source'!$A:$A,"155138 לקוח אינטרנט",'Source'!$B:$B,$A336)</f>
        <v>0</v>
      </c>
      <c r="J336" s="8" t="n">
        <f aca="false">I336*$J$5</f>
        <v>0</v>
      </c>
      <c r="K336" s="8" t="n">
        <f aca="false">J336-H336</f>
        <v>-475.28</v>
      </c>
      <c r="L336" s="9" t="n">
        <f aca="false">IF(AND(H336=0,J336=0),0,IF(H336=0,"New",(J336-H336)/H336))</f>
        <v>-1</v>
      </c>
      <c r="M336" s="7" t="str">
        <f aca="false">IF(AND(OR(C336&lt;&gt;0,H336&lt;&gt;0),D336=0,I336=0),"DROP",IF(AND(OR(D336&lt;&gt;0,I336&lt;&gt;0),C336=0,H336=0),"NEW",""))</f>
        <v>DROP</v>
      </c>
    </row>
    <row r="337" customFormat="false" ht="15" hidden="false" customHeight="false" outlineLevel="0" collapsed="false">
      <c r="A337" s="7" t="s">
        <v>427</v>
      </c>
      <c r="B337" s="7" t="str">
        <f aca="false">IFERROR(INDEX('Source'!$C:$C,MATCH($A337,'Source'!$B:$B,0)),"")</f>
        <v>חגורת בטן עממית אפור</v>
      </c>
      <c r="C337" s="8" t="n">
        <f aca="false">SUMIFS('Source'!$D:$D,'Source'!$A:$A,"155138 לקוח אינטרנט",'Source'!$B:$B,$A337)</f>
        <v>5</v>
      </c>
      <c r="D337" s="8" t="n">
        <f aca="false">SUMIFS('Source'!$F:$F,'Source'!$A:$A,"155138 לקוח אינטרנט",'Source'!$B:$B,$A337)</f>
        <v>7</v>
      </c>
      <c r="E337" s="8" t="n">
        <f aca="false">D337*$J$5</f>
        <v>8.84210526315789</v>
      </c>
      <c r="F337" s="8" t="n">
        <f aca="false">E337-C337</f>
        <v>3.84210526315789</v>
      </c>
      <c r="G337" s="9" t="n">
        <f aca="false">IF(AND(C337=0,E337=0),0,IF(C337=0,"New",(E337-C337)/C337))</f>
        <v>0.768421052631579</v>
      </c>
      <c r="H337" s="8" t="n">
        <f aca="false">SUMIFS('Source'!$E:$E,'Source'!$A:$A,"155138 לקוח אינטרנט",'Source'!$B:$B,$A337)</f>
        <v>810.68</v>
      </c>
      <c r="I337" s="8" t="n">
        <f aca="false">SUMIFS('Source'!$G:$G,'Source'!$A:$A,"155138 לקוח אינטרנט",'Source'!$B:$B,$A337)</f>
        <v>1285.88</v>
      </c>
      <c r="J337" s="8" t="n">
        <f aca="false">I337*$J$5</f>
        <v>1624.26947368421</v>
      </c>
      <c r="K337" s="8" t="n">
        <f aca="false">J337-H337</f>
        <v>813.589473684211</v>
      </c>
      <c r="L337" s="9" t="n">
        <f aca="false">IF(AND(H337=0,J337=0),0,IF(H337=0,"New",(J337-H337)/H337))</f>
        <v>1.00358892989122</v>
      </c>
      <c r="M337" s="7" t="str">
        <f aca="false">IF(AND(OR(C337&lt;&gt;0,H337&lt;&gt;0),D337=0,I337=0),"DROP",IF(AND(OR(D337&lt;&gt;0,I337&lt;&gt;0),C337=0,H337=0),"NEW",""))</f>
        <v/>
      </c>
    </row>
    <row r="338" customFormat="false" ht="15" hidden="false" customHeight="false" outlineLevel="0" collapsed="false">
      <c r="A338" s="7" t="s">
        <v>428</v>
      </c>
      <c r="B338" s="7" t="str">
        <f aca="false">IFERROR(INDEX('Source'!$C:$C,MATCH($A338,'Source'!$B:$B,0)),"")</f>
        <v>חגורה אוורירית איטלקית</v>
      </c>
      <c r="C338" s="8" t="n">
        <f aca="false">SUMIFS('Source'!$D:$D,'Source'!$A:$A,"155138 לקוח אינטרנט",'Source'!$B:$B,$A338)</f>
        <v>0</v>
      </c>
      <c r="D338" s="8" t="n">
        <f aca="false">SUMIFS('Source'!$F:$F,'Source'!$A:$A,"155138 לקוח אינטרנט",'Source'!$B:$B,$A338)</f>
        <v>1</v>
      </c>
      <c r="E338" s="8" t="n">
        <f aca="false">D338*$J$5</f>
        <v>1.26315789473684</v>
      </c>
      <c r="F338" s="8" t="n">
        <f aca="false">E338-C338</f>
        <v>1.26315789473684</v>
      </c>
      <c r="G338" s="9" t="str">
        <f aca="false">IF(AND(C338=0,E338=0),0,IF(C338=0,"New",(E338-C338)/C338))</f>
        <v>New</v>
      </c>
      <c r="H338" s="8" t="n">
        <f aca="false">SUMIFS('Source'!$E:$E,'Source'!$A:$A,"155138 לקוח אינטרנט",'Source'!$B:$B,$A338)</f>
        <v>0</v>
      </c>
      <c r="I338" s="8" t="n">
        <f aca="false">SUMIFS('Source'!$G:$G,'Source'!$A:$A,"155138 לקוח אינטרנט",'Source'!$B:$B,$A338)</f>
        <v>474.49</v>
      </c>
      <c r="J338" s="8" t="n">
        <f aca="false">I338*$J$5</f>
        <v>599.355789473684</v>
      </c>
      <c r="K338" s="8" t="n">
        <f aca="false">J338-H338</f>
        <v>599.355789473684</v>
      </c>
      <c r="L338" s="9" t="str">
        <f aca="false">IF(AND(H338=0,J338=0),0,IF(H338=0,"New",(J338-H338)/H338))</f>
        <v>New</v>
      </c>
      <c r="M338" s="7" t="str">
        <f aca="false">IF(AND(OR(C338&lt;&gt;0,H338&lt;&gt;0),D338=0,I338=0),"DROP",IF(AND(OR(D338&lt;&gt;0,I338&lt;&gt;0),C338=0,H338=0),"NEW",""))</f>
        <v>NEW</v>
      </c>
    </row>
    <row r="339" customFormat="false" ht="15" hidden="false" customHeight="false" outlineLevel="0" collapsed="false">
      <c r="A339" s="7" t="s">
        <v>429</v>
      </c>
      <c r="B339" s="7" t="str">
        <f aca="false">IFERROR(INDEX('Source'!$C:$C,MATCH($A339,'Source'!$B:$B,0)),"")</f>
        <v>סד לאגודל</v>
      </c>
      <c r="C339" s="8" t="n">
        <f aca="false">SUMIFS('Source'!$D:$D,'Source'!$A:$A,"155138 לקוח אינטרנט",'Source'!$B:$B,$A339)</f>
        <v>8</v>
      </c>
      <c r="D339" s="8" t="n">
        <f aca="false">SUMIFS('Source'!$F:$F,'Source'!$A:$A,"155138 לקוח אינטרנט",'Source'!$B:$B,$A339)</f>
        <v>5</v>
      </c>
      <c r="E339" s="8" t="n">
        <f aca="false">D339*$J$5</f>
        <v>6.31578947368421</v>
      </c>
      <c r="F339" s="8" t="n">
        <f aca="false">E339-C339</f>
        <v>-1.68421052631579</v>
      </c>
      <c r="G339" s="9" t="n">
        <f aca="false">IF(AND(C339=0,E339=0),0,IF(C339=0,"New",(E339-C339)/C339))</f>
        <v>-0.210526315789474</v>
      </c>
      <c r="H339" s="8" t="n">
        <f aca="false">SUMIFS('Source'!$E:$E,'Source'!$A:$A,"155138 לקוח אינטרנט",'Source'!$B:$B,$A339)</f>
        <v>1404.45</v>
      </c>
      <c r="I339" s="8" t="n">
        <f aca="false">SUMIFS('Source'!$G:$G,'Source'!$A:$A,"155138 לקוח אינטרנט",'Source'!$B:$B,$A339)</f>
        <v>931.78</v>
      </c>
      <c r="J339" s="8" t="n">
        <f aca="false">I339*$J$5</f>
        <v>1176.98526315789</v>
      </c>
      <c r="K339" s="8" t="n">
        <f aca="false">J339-H339</f>
        <v>-227.464736842105</v>
      </c>
      <c r="L339" s="9" t="n">
        <f aca="false">IF(AND(H339=0,J339=0),0,IF(H339=0,"New",(J339-H339)/H339))</f>
        <v>-0.161960010567913</v>
      </c>
      <c r="M339" s="7" t="str">
        <f aca="false">IF(AND(OR(C339&lt;&gt;0,H339&lt;&gt;0),D339=0,I339=0),"DROP",IF(AND(OR(D339&lt;&gt;0,I339&lt;&gt;0),C339=0,H339=0),"NEW",""))</f>
        <v/>
      </c>
    </row>
    <row r="340" customFormat="false" ht="15" hidden="false" customHeight="false" outlineLevel="0" collapsed="false">
      <c r="A340" s="7" t="s">
        <v>430</v>
      </c>
      <c r="B340" s="7" t="str">
        <f aca="false">IFERROR(INDEX('Source'!$C:$C,MATCH($A340,'Source'!$B:$B,0)),"")</f>
        <v>חגורת צלעות לאשה</v>
      </c>
      <c r="C340" s="8" t="n">
        <f aca="false">SUMIFS('Source'!$D:$D,'Source'!$A:$A,"155138 לקוח אינטרנט",'Source'!$B:$B,$A340)</f>
        <v>2</v>
      </c>
      <c r="D340" s="8" t="n">
        <f aca="false">SUMIFS('Source'!$F:$F,'Source'!$A:$A,"155138 לקוח אינטרנט",'Source'!$B:$B,$A340)</f>
        <v>0</v>
      </c>
      <c r="E340" s="8" t="n">
        <f aca="false">D340*$J$5</f>
        <v>0</v>
      </c>
      <c r="F340" s="8" t="n">
        <f aca="false">E340-C340</f>
        <v>-2</v>
      </c>
      <c r="G340" s="9" t="n">
        <f aca="false">IF(AND(C340=0,E340=0),0,IF(C340=0,"New",(E340-C340)/C340))</f>
        <v>-1</v>
      </c>
      <c r="H340" s="8" t="n">
        <f aca="false">SUMIFS('Source'!$E:$E,'Source'!$A:$A,"155138 לקוח אינטרנט",'Source'!$B:$B,$A340)</f>
        <v>470.18</v>
      </c>
      <c r="I340" s="8" t="n">
        <f aca="false">SUMIFS('Source'!$G:$G,'Source'!$A:$A,"155138 לקוח אינטרנט",'Source'!$B:$B,$A340)</f>
        <v>0</v>
      </c>
      <c r="J340" s="8" t="n">
        <f aca="false">I340*$J$5</f>
        <v>0</v>
      </c>
      <c r="K340" s="8" t="n">
        <f aca="false">J340-H340</f>
        <v>-470.18</v>
      </c>
      <c r="L340" s="9" t="n">
        <f aca="false">IF(AND(H340=0,J340=0),0,IF(H340=0,"New",(J340-H340)/H340))</f>
        <v>-1</v>
      </c>
      <c r="M340" s="7" t="str">
        <f aca="false">IF(AND(OR(C340&lt;&gt;0,H340&lt;&gt;0),D340=0,I340=0),"DROP",IF(AND(OR(D340&lt;&gt;0,I340&lt;&gt;0),C340=0,H340=0),"NEW",""))</f>
        <v>DROP</v>
      </c>
    </row>
    <row r="341" customFormat="false" ht="15" hidden="false" customHeight="false" outlineLevel="0" collapsed="false">
      <c r="A341" s="7" t="s">
        <v>431</v>
      </c>
      <c r="B341" s="7" t="str">
        <f aca="false">IFERROR(INDEX('Source'!$C:$C,MATCH($A341,'Source'!$B:$B,0)),"")</f>
        <v>מגן ברך סיליקון - אנטומיק</v>
      </c>
      <c r="C341" s="8" t="n">
        <f aca="false">SUMIFS('Source'!$D:$D,'Source'!$A:$A,"155138 לקוח אינטרנט",'Source'!$B:$B,$A341)</f>
        <v>3</v>
      </c>
      <c r="D341" s="8" t="n">
        <f aca="false">SUMIFS('Source'!$F:$F,'Source'!$A:$A,"155138 לקוח אינטרנט",'Source'!$B:$B,$A341)</f>
        <v>7</v>
      </c>
      <c r="E341" s="8" t="n">
        <f aca="false">D341*$J$5</f>
        <v>8.84210526315789</v>
      </c>
      <c r="F341" s="8" t="n">
        <f aca="false">E341-C341</f>
        <v>5.84210526315789</v>
      </c>
      <c r="G341" s="9" t="n">
        <f aca="false">IF(AND(C341=0,E341=0),0,IF(C341=0,"New",(E341-C341)/C341))</f>
        <v>1.94736842105263</v>
      </c>
      <c r="H341" s="8" t="n">
        <f aca="false">SUMIFS('Source'!$E:$E,'Source'!$A:$A,"155138 לקוח אינטרנט",'Source'!$B:$B,$A341)</f>
        <v>992.81</v>
      </c>
      <c r="I341" s="8" t="n">
        <f aca="false">SUMIFS('Source'!$G:$G,'Source'!$A:$A,"155138 לקוח אינטרנט",'Source'!$B:$B,$A341)</f>
        <v>1461.29</v>
      </c>
      <c r="J341" s="8" t="n">
        <f aca="false">I341*$J$5</f>
        <v>1845.84</v>
      </c>
      <c r="K341" s="8" t="n">
        <f aca="false">J341-H341</f>
        <v>853.03</v>
      </c>
      <c r="L341" s="9" t="n">
        <f aca="false">IF(AND(H341=0,J341=0),0,IF(H341=0,"New",(J341-H341)/H341))</f>
        <v>0.859207703387355</v>
      </c>
      <c r="M341" s="7" t="str">
        <f aca="false">IF(AND(OR(C341&lt;&gt;0,H341&lt;&gt;0),D341=0,I341=0),"DROP",IF(AND(OR(D341&lt;&gt;0,I341&lt;&gt;0),C341=0,H341=0),"NEW",""))</f>
        <v/>
      </c>
    </row>
    <row r="342" customFormat="false" ht="15" hidden="false" customHeight="false" outlineLevel="0" collapsed="false">
      <c r="A342" s="7" t="s">
        <v>432</v>
      </c>
      <c r="B342" s="7" t="str">
        <f aca="false">IFERROR(INDEX('Source'!$C:$C,MATCH($A342,'Source'!$B:$B,0)),"")</f>
        <v>מידרסים מסיליקון</v>
      </c>
      <c r="C342" s="8" t="n">
        <f aca="false">SUMIFS('Source'!$D:$D,'Source'!$A:$A,"155138 לקוח אינטרנט",'Source'!$B:$B,$A342)</f>
        <v>4</v>
      </c>
      <c r="D342" s="8" t="n">
        <f aca="false">SUMIFS('Source'!$F:$F,'Source'!$A:$A,"155138 לקוח אינטרנט",'Source'!$B:$B,$A342)</f>
        <v>7</v>
      </c>
      <c r="E342" s="8" t="n">
        <f aca="false">D342*$J$5</f>
        <v>8.84210526315789</v>
      </c>
      <c r="F342" s="8" t="n">
        <f aca="false">E342-C342</f>
        <v>4.84210526315789</v>
      </c>
      <c r="G342" s="9" t="n">
        <f aca="false">IF(AND(C342=0,E342=0),0,IF(C342=0,"New",(E342-C342)/C342))</f>
        <v>1.21052631578947</v>
      </c>
      <c r="H342" s="8" t="n">
        <f aca="false">SUMIFS('Source'!$E:$E,'Source'!$A:$A,"155138 לקוח אינטרנט",'Source'!$B:$B,$A342)</f>
        <v>814.42</v>
      </c>
      <c r="I342" s="8" t="n">
        <f aca="false">SUMIFS('Source'!$G:$G,'Source'!$A:$A,"155138 לקוח אינטרנט",'Source'!$B:$B,$A342)</f>
        <v>1282.81</v>
      </c>
      <c r="J342" s="8" t="n">
        <f aca="false">I342*$J$5</f>
        <v>1620.39157894737</v>
      </c>
      <c r="K342" s="8" t="n">
        <f aca="false">J342-H342</f>
        <v>805.971578947368</v>
      </c>
      <c r="L342" s="9" t="n">
        <f aca="false">IF(AND(H342=0,J342=0),0,IF(H342=0,"New",(J342-H342)/H342))</f>
        <v>0.989626456800384</v>
      </c>
      <c r="M342" s="7" t="str">
        <f aca="false">IF(AND(OR(C342&lt;&gt;0,H342&lt;&gt;0),D342=0,I342=0),"DROP",IF(AND(OR(D342&lt;&gt;0,I342&lt;&gt;0),C342=0,H342=0),"NEW",""))</f>
        <v/>
      </c>
    </row>
    <row r="343" customFormat="false" ht="15" hidden="false" customHeight="false" outlineLevel="0" collapsed="false">
      <c r="A343" s="7" t="s">
        <v>433</v>
      </c>
      <c r="B343" s="7" t="str">
        <f aca="false">IFERROR(INDEX('Source'!$C:$C,MATCH($A343,'Source'!$B:$B,0)),"")</f>
        <v>מגן כתף להמיפלגיה</v>
      </c>
      <c r="C343" s="8" t="n">
        <f aca="false">SUMIFS('Source'!$D:$D,'Source'!$A:$A,"155138 לקוח אינטרנט",'Source'!$B:$B,$A343)</f>
        <v>1</v>
      </c>
      <c r="D343" s="8" t="n">
        <f aca="false">SUMIFS('Source'!$F:$F,'Source'!$A:$A,"155138 לקוח אינטרנט",'Source'!$B:$B,$A343)</f>
        <v>0</v>
      </c>
      <c r="E343" s="8" t="n">
        <f aca="false">D343*$J$5</f>
        <v>0</v>
      </c>
      <c r="F343" s="8" t="n">
        <f aca="false">E343-C343</f>
        <v>-1</v>
      </c>
      <c r="G343" s="9" t="n">
        <f aca="false">IF(AND(C343=0,E343=0),0,IF(C343=0,"New",(E343-C343)/C343))</f>
        <v>-1</v>
      </c>
      <c r="H343" s="8" t="n">
        <f aca="false">SUMIFS('Source'!$E:$E,'Source'!$A:$A,"155138 לקוח אינטרנט",'Source'!$B:$B,$A343)</f>
        <v>468.15</v>
      </c>
      <c r="I343" s="8" t="n">
        <f aca="false">SUMIFS('Source'!$G:$G,'Source'!$A:$A,"155138 לקוח אינטרנט",'Source'!$B:$B,$A343)</f>
        <v>0</v>
      </c>
      <c r="J343" s="8" t="n">
        <f aca="false">I343*$J$5</f>
        <v>0</v>
      </c>
      <c r="K343" s="8" t="n">
        <f aca="false">J343-H343</f>
        <v>-468.15</v>
      </c>
      <c r="L343" s="9" t="n">
        <f aca="false">IF(AND(H343=0,J343=0),0,IF(H343=0,"New",(J343-H343)/H343))</f>
        <v>-1</v>
      </c>
      <c r="M343" s="7" t="str">
        <f aca="false">IF(AND(OR(C343&lt;&gt;0,H343&lt;&gt;0),D343=0,I343=0),"DROP",IF(AND(OR(D343&lt;&gt;0,I343&lt;&gt;0),C343=0,H343=0),"NEW",""))</f>
        <v>DROP</v>
      </c>
    </row>
    <row r="344" customFormat="false" ht="15" hidden="false" customHeight="false" outlineLevel="0" collapsed="false">
      <c r="A344" s="7" t="s">
        <v>434</v>
      </c>
      <c r="B344" s="7" t="str">
        <f aca="false">IFERROR(INDEX('Source'!$C:$C,MATCH($A344,'Source'!$B:$B,0)),"")</f>
        <v>מגן קרסול מתכוון</v>
      </c>
      <c r="C344" s="8" t="n">
        <f aca="false">SUMIFS('Source'!$D:$D,'Source'!$A:$A,"155138 לקוח אינטרנט",'Source'!$B:$B,$A344)</f>
        <v>4</v>
      </c>
      <c r="D344" s="8" t="n">
        <f aca="false">SUMIFS('Source'!$F:$F,'Source'!$A:$A,"155138 לקוח אינטרנט",'Source'!$B:$B,$A344)</f>
        <v>0</v>
      </c>
      <c r="E344" s="8" t="n">
        <f aca="false">D344*$J$5</f>
        <v>0</v>
      </c>
      <c r="F344" s="8" t="n">
        <f aca="false">E344-C344</f>
        <v>-4</v>
      </c>
      <c r="G344" s="9" t="n">
        <f aca="false">IF(AND(C344=0,E344=0),0,IF(C344=0,"New",(E344-C344)/C344))</f>
        <v>-1</v>
      </c>
      <c r="H344" s="8" t="n">
        <f aca="false">SUMIFS('Source'!$E:$E,'Source'!$A:$A,"155138 לקוח אינטרנט",'Source'!$B:$B,$A344)</f>
        <v>462.96</v>
      </c>
      <c r="I344" s="8" t="n">
        <f aca="false">SUMIFS('Source'!$G:$G,'Source'!$A:$A,"155138 לקוח אינטרנט",'Source'!$B:$B,$A344)</f>
        <v>0</v>
      </c>
      <c r="J344" s="8" t="n">
        <f aca="false">I344*$J$5</f>
        <v>0</v>
      </c>
      <c r="K344" s="8" t="n">
        <f aca="false">J344-H344</f>
        <v>-462.96</v>
      </c>
      <c r="L344" s="9" t="n">
        <f aca="false">IF(AND(H344=0,J344=0),0,IF(H344=0,"New",(J344-H344)/H344))</f>
        <v>-1</v>
      </c>
      <c r="M344" s="7" t="str">
        <f aca="false">IF(AND(OR(C344&lt;&gt;0,H344&lt;&gt;0),D344=0,I344=0),"DROP",IF(AND(OR(D344&lt;&gt;0,I344&lt;&gt;0),C344=0,H344=0),"NEW",""))</f>
        <v>DROP</v>
      </c>
    </row>
    <row r="345" customFormat="false" ht="15" hidden="false" customHeight="false" outlineLevel="0" collapsed="false">
      <c r="A345" s="7" t="s">
        <v>435</v>
      </c>
      <c r="B345" s="7" t="str">
        <f aca="false">IFERROR(INDEX('Source'!$C:$C,MATCH($A345,'Source'!$B:$B,0)),"")</f>
        <v>מגן ברך שחור</v>
      </c>
      <c r="C345" s="8" t="n">
        <f aca="false">SUMIFS('Source'!$D:$D,'Source'!$A:$A,"155138 לקוח אינטרנט",'Source'!$B:$B,$A345)</f>
        <v>17</v>
      </c>
      <c r="D345" s="8" t="n">
        <f aca="false">SUMIFS('Source'!$F:$F,'Source'!$A:$A,"155138 לקוח אינטרנט",'Source'!$B:$B,$A345)</f>
        <v>24</v>
      </c>
      <c r="E345" s="8" t="n">
        <f aca="false">D345*$J$5</f>
        <v>30.3157894736842</v>
      </c>
      <c r="F345" s="8" t="n">
        <f aca="false">E345-C345</f>
        <v>13.3157894736842</v>
      </c>
      <c r="G345" s="9" t="n">
        <f aca="false">IF(AND(C345=0,E345=0),0,IF(C345=0,"New",(E345-C345)/C345))</f>
        <v>0.78328173374613</v>
      </c>
      <c r="H345" s="8" t="n">
        <f aca="false">SUMIFS('Source'!$E:$E,'Source'!$A:$A,"155138 לקוח אינטרנט",'Source'!$B:$B,$A345)</f>
        <v>875.61</v>
      </c>
      <c r="I345" s="8" t="n">
        <f aca="false">SUMIFS('Source'!$G:$G,'Source'!$A:$A,"155138 לקוח אינטרנט",'Source'!$B:$B,$A345)</f>
        <v>1334.78</v>
      </c>
      <c r="J345" s="8" t="n">
        <f aca="false">I345*$J$5</f>
        <v>1686.03789473684</v>
      </c>
      <c r="K345" s="8" t="n">
        <f aca="false">J345-H345</f>
        <v>810.427894736842</v>
      </c>
      <c r="L345" s="9" t="n">
        <f aca="false">IF(AND(H345=0,J345=0),0,IF(H345=0,"New",(J345-H345)/H345))</f>
        <v>0.925558062078827</v>
      </c>
      <c r="M345" s="7" t="str">
        <f aca="false">IF(AND(OR(C345&lt;&gt;0,H345&lt;&gt;0),D345=0,I345=0),"DROP",IF(AND(OR(D345&lt;&gt;0,I345&lt;&gt;0),C345=0,H345=0),"NEW",""))</f>
        <v/>
      </c>
    </row>
    <row r="346" customFormat="false" ht="15" hidden="false" customHeight="false" outlineLevel="0" collapsed="false">
      <c r="A346" s="7" t="s">
        <v>436</v>
      </c>
      <c r="B346" s="7" t="str">
        <f aca="false">IFERROR(INDEX('Source'!$C:$C,MATCH($A346,'Source'!$B:$B,0)),"")</f>
        <v>חגורת שבר לצד ימין</v>
      </c>
      <c r="C346" s="8" t="n">
        <f aca="false">SUMIFS('Source'!$D:$D,'Source'!$A:$A,"155138 לקוח אינטרנט",'Source'!$B:$B,$A346)</f>
        <v>7</v>
      </c>
      <c r="D346" s="8" t="n">
        <f aca="false">SUMIFS('Source'!$F:$F,'Source'!$A:$A,"155138 לקוח אינטרנט",'Source'!$B:$B,$A346)</f>
        <v>5</v>
      </c>
      <c r="E346" s="8" t="n">
        <f aca="false">D346*$J$5</f>
        <v>6.31578947368421</v>
      </c>
      <c r="F346" s="8" t="n">
        <f aca="false">E346-C346</f>
        <v>-0.684210526315789</v>
      </c>
      <c r="G346" s="9" t="n">
        <f aca="false">IF(AND(C346=0,E346=0),0,IF(C346=0,"New",(E346-C346)/C346))</f>
        <v>-0.0977443609022556</v>
      </c>
      <c r="H346" s="8" t="n">
        <f aca="false">SUMIFS('Source'!$E:$E,'Source'!$A:$A,"155138 לקוח אינטרנט",'Source'!$B:$B,$A346)</f>
        <v>2118.1</v>
      </c>
      <c r="I346" s="8" t="n">
        <f aca="false">SUMIFS('Source'!$G:$G,'Source'!$A:$A,"155138 לקוח אינטרנט",'Source'!$B:$B,$A346)</f>
        <v>1660.61</v>
      </c>
      <c r="J346" s="8" t="n">
        <f aca="false">I346*$J$5</f>
        <v>2097.61263157895</v>
      </c>
      <c r="K346" s="8" t="n">
        <f aca="false">J346-H346</f>
        <v>-20.4873684210525</v>
      </c>
      <c r="L346" s="9" t="n">
        <f aca="false">IF(AND(H346=0,J346=0),0,IF(H346=0,"New",(J346-H346)/H346))</f>
        <v>-0.00967252179833457</v>
      </c>
      <c r="M346" s="7" t="str">
        <f aca="false">IF(AND(OR(C346&lt;&gt;0,H346&lt;&gt;0),D346=0,I346=0),"DROP",IF(AND(OR(D346&lt;&gt;0,I346&lt;&gt;0),C346=0,H346=0),"NEW",""))</f>
        <v/>
      </c>
    </row>
    <row r="347" customFormat="false" ht="15" hidden="false" customHeight="false" outlineLevel="0" collapsed="false">
      <c r="A347" s="7" t="s">
        <v>437</v>
      </c>
      <c r="B347" s="7" t="str">
        <f aca="false">IFERROR(INDEX('Source'!$C:$C,MATCH($A347,'Source'!$B:$B,0)),"")</f>
        <v>חגורת גב עם תמיכות</v>
      </c>
      <c r="C347" s="8" t="n">
        <f aca="false">SUMIFS('Source'!$D:$D,'Source'!$A:$A,"155138 לקוח אינטרנט",'Source'!$B:$B,$A347)</f>
        <v>18</v>
      </c>
      <c r="D347" s="8" t="n">
        <f aca="false">SUMIFS('Source'!$F:$F,'Source'!$A:$A,"155138 לקוח אינטרנט",'Source'!$B:$B,$A347)</f>
        <v>15</v>
      </c>
      <c r="E347" s="8" t="n">
        <f aca="false">D347*$J$5</f>
        <v>18.9473684210526</v>
      </c>
      <c r="F347" s="8" t="n">
        <f aca="false">E347-C347</f>
        <v>0.94736842105263</v>
      </c>
      <c r="G347" s="9" t="n">
        <f aca="false">IF(AND(C347=0,E347=0),0,IF(C347=0,"New",(E347-C347)/C347))</f>
        <v>0.0526315789473683</v>
      </c>
      <c r="H347" s="8" t="n">
        <f aca="false">SUMIFS('Source'!$E:$E,'Source'!$A:$A,"155138 לקוח אינטרנט",'Source'!$B:$B,$A347)</f>
        <v>2871.51</v>
      </c>
      <c r="I347" s="8" t="n">
        <f aca="false">SUMIFS('Source'!$G:$G,'Source'!$A:$A,"155138 לקוח אינטרנט",'Source'!$B:$B,$A347)</f>
        <v>2414.05</v>
      </c>
      <c r="J347" s="8" t="n">
        <f aca="false">I347*$J$5</f>
        <v>3049.32631578947</v>
      </c>
      <c r="K347" s="8" t="n">
        <f aca="false">J347-H347</f>
        <v>177.816315789474</v>
      </c>
      <c r="L347" s="9" t="n">
        <f aca="false">IF(AND(H347=0,J347=0),0,IF(H347=0,"New",(J347-H347)/H347))</f>
        <v>0.0619243240627662</v>
      </c>
      <c r="M347" s="7" t="str">
        <f aca="false">IF(AND(OR(C347&lt;&gt;0,H347&lt;&gt;0),D347=0,I347=0),"DROP",IF(AND(OR(D347&lt;&gt;0,I347&lt;&gt;0),C347=0,H347=0),"NEW",""))</f>
        <v/>
      </c>
    </row>
    <row r="348" customFormat="false" ht="15" hidden="false" customHeight="false" outlineLevel="0" collapsed="false">
      <c r="A348" s="7" t="s">
        <v>438</v>
      </c>
      <c r="B348" s="7" t="str">
        <f aca="false">IFERROR(INDEX('Source'!$C:$C,MATCH($A348,'Source'!$B:$B,0)),"")</f>
        <v>חגורה למנותחי בטן</v>
      </c>
      <c r="C348" s="8" t="n">
        <f aca="false">SUMIFS('Source'!$D:$D,'Source'!$A:$A,"155138 לקוח אינטרנט",'Source'!$B:$B,$A348)</f>
        <v>3</v>
      </c>
      <c r="D348" s="8" t="n">
        <f aca="false">SUMIFS('Source'!$F:$F,'Source'!$A:$A,"155138 לקוח אינטרנט",'Source'!$B:$B,$A348)</f>
        <v>1</v>
      </c>
      <c r="E348" s="8" t="n">
        <f aca="false">D348*$J$5</f>
        <v>1.26315789473684</v>
      </c>
      <c r="F348" s="8" t="n">
        <f aca="false">E348-C348</f>
        <v>-1.73684210526316</v>
      </c>
      <c r="G348" s="9" t="n">
        <f aca="false">IF(AND(C348=0,E348=0),0,IF(C348=0,"New",(E348-C348)/C348))</f>
        <v>-0.578947368421053</v>
      </c>
      <c r="H348" s="8" t="n">
        <f aca="false">SUMIFS('Source'!$E:$E,'Source'!$A:$A,"155138 לקוח אינטרנט",'Source'!$B:$B,$A348)</f>
        <v>675.62</v>
      </c>
      <c r="I348" s="8" t="n">
        <f aca="false">SUMIFS('Source'!$G:$G,'Source'!$A:$A,"155138 לקוח אינטרנט",'Source'!$B:$B,$A348)</f>
        <v>221.11</v>
      </c>
      <c r="J348" s="8" t="n">
        <f aca="false">I348*$J$5</f>
        <v>279.296842105263</v>
      </c>
      <c r="K348" s="8" t="n">
        <f aca="false">J348-H348</f>
        <v>-396.323157894737</v>
      </c>
      <c r="L348" s="9" t="n">
        <f aca="false">IF(AND(H348=0,J348=0),0,IF(H348=0,"New",(J348-H348)/H348))</f>
        <v>-0.58660661006888</v>
      </c>
      <c r="M348" s="7" t="str">
        <f aca="false">IF(AND(OR(C348&lt;&gt;0,H348&lt;&gt;0),D348=0,I348=0),"DROP",IF(AND(OR(D348&lt;&gt;0,I348&lt;&gt;0),C348=0,H348=0),"NEW",""))</f>
        <v/>
      </c>
    </row>
    <row r="349" customFormat="false" ht="15" hidden="false" customHeight="false" outlineLevel="0" collapsed="false">
      <c r="A349" s="7" t="s">
        <v>439</v>
      </c>
      <c r="B349" s="7" t="str">
        <f aca="false">IFERROR(INDEX('Source'!$C:$C,MATCH($A349,'Source'!$B:$B,0)),"")</f>
        <v>חגורה למנותחי בטן</v>
      </c>
      <c r="C349" s="8" t="n">
        <f aca="false">SUMIFS('Source'!$D:$D,'Source'!$A:$A,"155138 לקוח אינטרנט",'Source'!$B:$B,$A349)</f>
        <v>2</v>
      </c>
      <c r="D349" s="8" t="n">
        <f aca="false">SUMIFS('Source'!$F:$F,'Source'!$A:$A,"155138 לקוח אינטרנט",'Source'!$B:$B,$A349)</f>
        <v>0</v>
      </c>
      <c r="E349" s="8" t="n">
        <f aca="false">D349*$J$5</f>
        <v>0</v>
      </c>
      <c r="F349" s="8" t="n">
        <f aca="false">E349-C349</f>
        <v>-2</v>
      </c>
      <c r="G349" s="9" t="n">
        <f aca="false">IF(AND(C349=0,E349=0),0,IF(C349=0,"New",(E349-C349)/C349))</f>
        <v>-1</v>
      </c>
      <c r="H349" s="8" t="n">
        <f aca="false">SUMIFS('Source'!$E:$E,'Source'!$A:$A,"155138 לקוח אינטרנט",'Source'!$B:$B,$A349)</f>
        <v>454.51</v>
      </c>
      <c r="I349" s="8" t="n">
        <f aca="false">SUMIFS('Source'!$G:$G,'Source'!$A:$A,"155138 לקוח אינטרנט",'Source'!$B:$B,$A349)</f>
        <v>0</v>
      </c>
      <c r="J349" s="8" t="n">
        <f aca="false">I349*$J$5</f>
        <v>0</v>
      </c>
      <c r="K349" s="8" t="n">
        <f aca="false">J349-H349</f>
        <v>-454.51</v>
      </c>
      <c r="L349" s="9" t="n">
        <f aca="false">IF(AND(H349=0,J349=0),0,IF(H349=0,"New",(J349-H349)/H349))</f>
        <v>-1</v>
      </c>
      <c r="M349" s="7" t="str">
        <f aca="false">IF(AND(OR(C349&lt;&gt;0,H349&lt;&gt;0),D349=0,I349=0),"DROP",IF(AND(OR(D349&lt;&gt;0,I349&lt;&gt;0),C349=0,H349=0),"NEW",""))</f>
        <v>DROP</v>
      </c>
    </row>
    <row r="350" customFormat="false" ht="15" hidden="false" customHeight="false" outlineLevel="0" collapsed="false">
      <c r="A350" s="7" t="s">
        <v>440</v>
      </c>
      <c r="B350" s="7" t="str">
        <f aca="false">IFERROR(INDEX('Source'!$C:$C,MATCH($A350,'Source'!$B:$B,0)),"")</f>
        <v>חגורת בטן</v>
      </c>
      <c r="C350" s="8" t="n">
        <f aca="false">SUMIFS('Source'!$D:$D,'Source'!$A:$A,"155138 לקוח אינטרנט",'Source'!$B:$B,$A350)</f>
        <v>4</v>
      </c>
      <c r="D350" s="8" t="n">
        <f aca="false">SUMIFS('Source'!$F:$F,'Source'!$A:$A,"155138 לקוח אינטרנט",'Source'!$B:$B,$A350)</f>
        <v>1</v>
      </c>
      <c r="E350" s="8" t="n">
        <f aca="false">D350*$J$5</f>
        <v>1.26315789473684</v>
      </c>
      <c r="F350" s="8" t="n">
        <f aca="false">E350-C350</f>
        <v>-2.73684210526316</v>
      </c>
      <c r="G350" s="9" t="n">
        <f aca="false">IF(AND(C350=0,E350=0),0,IF(C350=0,"New",(E350-C350)/C350))</f>
        <v>-0.68421052631579</v>
      </c>
      <c r="H350" s="8" t="n">
        <f aca="false">SUMIFS('Source'!$E:$E,'Source'!$A:$A,"155138 לקוח אינטרנט",'Source'!$B:$B,$A350)</f>
        <v>624.51</v>
      </c>
      <c r="I350" s="8" t="n">
        <f aca="false">SUMIFS('Source'!$G:$G,'Source'!$A:$A,"155138 לקוח אינטרנט",'Source'!$B:$B,$A350)</f>
        <v>171.1</v>
      </c>
      <c r="J350" s="8" t="n">
        <f aca="false">I350*$J$5</f>
        <v>216.126315789474</v>
      </c>
      <c r="K350" s="8" t="n">
        <f aca="false">J350-H350</f>
        <v>-408.383684210526</v>
      </c>
      <c r="L350" s="9" t="n">
        <f aca="false">IF(AND(H350=0,J350=0),0,IF(H350=0,"New",(J350-H350)/H350))</f>
        <v>-0.653926573170208</v>
      </c>
      <c r="M350" s="7" t="str">
        <f aca="false">IF(AND(OR(C350&lt;&gt;0,H350&lt;&gt;0),D350=0,I350=0),"DROP",IF(AND(OR(D350&lt;&gt;0,I350&lt;&gt;0),C350=0,H350=0),"NEW",""))</f>
        <v/>
      </c>
    </row>
    <row r="351" customFormat="false" ht="15" hidden="false" customHeight="false" outlineLevel="0" collapsed="false">
      <c r="A351" s="7" t="s">
        <v>441</v>
      </c>
      <c r="B351" s="7" t="str">
        <f aca="false">IFERROR(INDEX('Source'!$C:$C,MATCH($A351,'Source'!$B:$B,0)),"")</f>
        <v>מגן קרסול</v>
      </c>
      <c r="C351" s="8" t="n">
        <f aca="false">SUMIFS('Source'!$D:$D,'Source'!$A:$A,"155138 לקוח אינטרנט",'Source'!$B:$B,$A351)</f>
        <v>17</v>
      </c>
      <c r="D351" s="8" t="n">
        <f aca="false">SUMIFS('Source'!$F:$F,'Source'!$A:$A,"155138 לקוח אינטרנט",'Source'!$B:$B,$A351)</f>
        <v>23</v>
      </c>
      <c r="E351" s="8" t="n">
        <f aca="false">D351*$J$5</f>
        <v>29.0526315789474</v>
      </c>
      <c r="F351" s="8" t="n">
        <f aca="false">E351-C351</f>
        <v>12.0526315789474</v>
      </c>
      <c r="G351" s="9" t="n">
        <f aca="false">IF(AND(C351=0,E351=0),0,IF(C351=0,"New",(E351-C351)/C351))</f>
        <v>0.708978328173375</v>
      </c>
      <c r="H351" s="8" t="n">
        <f aca="false">SUMIFS('Source'!$E:$E,'Source'!$A:$A,"155138 לקוח אינטרנט",'Source'!$B:$B,$A351)</f>
        <v>1019.63</v>
      </c>
      <c r="I351" s="8" t="n">
        <f aca="false">SUMIFS('Source'!$G:$G,'Source'!$A:$A,"155138 לקוח אינטרנט",'Source'!$B:$B,$A351)</f>
        <v>1469.35</v>
      </c>
      <c r="J351" s="8" t="n">
        <f aca="false">I351*$J$5</f>
        <v>1856.02105263158</v>
      </c>
      <c r="K351" s="8" t="n">
        <f aca="false">J351-H351</f>
        <v>836.391052631579</v>
      </c>
      <c r="L351" s="9" t="n">
        <f aca="false">IF(AND(H351=0,J351=0),0,IF(H351=0,"New",(J351-H351)/H351))</f>
        <v>0.820288783805477</v>
      </c>
      <c r="M351" s="7" t="str">
        <f aca="false">IF(AND(OR(C351&lt;&gt;0,H351&lt;&gt;0),D351=0,I351=0),"DROP",IF(AND(OR(D351&lt;&gt;0,I351&lt;&gt;0),C351=0,H351=0),"NEW",""))</f>
        <v/>
      </c>
    </row>
    <row r="352" customFormat="false" ht="15" hidden="false" customHeight="false" outlineLevel="0" collapsed="false">
      <c r="A352" s="7" t="s">
        <v>442</v>
      </c>
      <c r="B352" s="7" t="str">
        <f aca="false">IFERROR(INDEX('Source'!$C:$C,MATCH($A352,'Source'!$B:$B,0)),"")</f>
        <v>חגורת גב</v>
      </c>
      <c r="C352" s="8" t="n">
        <f aca="false">SUMIFS('Source'!$D:$D,'Source'!$A:$A,"155138 לקוח אינטרנט",'Source'!$B:$B,$A352)</f>
        <v>1</v>
      </c>
      <c r="D352" s="8" t="n">
        <f aca="false">SUMIFS('Source'!$F:$F,'Source'!$A:$A,"155138 לקוח אינטרנט",'Source'!$B:$B,$A352)</f>
        <v>0</v>
      </c>
      <c r="E352" s="8" t="n">
        <f aca="false">D352*$J$5</f>
        <v>0</v>
      </c>
      <c r="F352" s="8" t="n">
        <f aca="false">E352-C352</f>
        <v>-1</v>
      </c>
      <c r="G352" s="9" t="n">
        <f aca="false">IF(AND(C352=0,E352=0),0,IF(C352=0,"New",(E352-C352)/C352))</f>
        <v>-1</v>
      </c>
      <c r="H352" s="8" t="n">
        <f aca="false">SUMIFS('Source'!$E:$E,'Source'!$A:$A,"155138 לקוח אינטרנט",'Source'!$B:$B,$A352)</f>
        <v>444.83</v>
      </c>
      <c r="I352" s="8" t="n">
        <f aca="false">SUMIFS('Source'!$G:$G,'Source'!$A:$A,"155138 לקוח אינטרנט",'Source'!$B:$B,$A352)</f>
        <v>0</v>
      </c>
      <c r="J352" s="8" t="n">
        <f aca="false">I352*$J$5</f>
        <v>0</v>
      </c>
      <c r="K352" s="8" t="n">
        <f aca="false">J352-H352</f>
        <v>-444.83</v>
      </c>
      <c r="L352" s="9" t="n">
        <f aca="false">IF(AND(H352=0,J352=0),0,IF(H352=0,"New",(J352-H352)/H352))</f>
        <v>-1</v>
      </c>
      <c r="M352" s="7" t="str">
        <f aca="false">IF(AND(OR(C352&lt;&gt;0,H352&lt;&gt;0),D352=0,I352=0),"DROP",IF(AND(OR(D352&lt;&gt;0,I352&lt;&gt;0),C352=0,H352=0),"NEW",""))</f>
        <v>DROP</v>
      </c>
    </row>
    <row r="353" customFormat="false" ht="15" hidden="false" customHeight="false" outlineLevel="0" collapsed="false">
      <c r="A353" s="7" t="s">
        <v>443</v>
      </c>
      <c r="B353" s="7" t="str">
        <f aca="false">IFERROR(INDEX('Source'!$C:$C,MATCH($A353,'Source'!$B:$B,0)),"")</f>
        <v>חגורת גב</v>
      </c>
      <c r="C353" s="8" t="n">
        <f aca="false">SUMIFS('Source'!$D:$D,'Source'!$A:$A,"155138 לקוח אינטרנט",'Source'!$B:$B,$A353)</f>
        <v>1</v>
      </c>
      <c r="D353" s="8" t="n">
        <f aca="false">SUMIFS('Source'!$F:$F,'Source'!$A:$A,"155138 לקוח אינטרנט",'Source'!$B:$B,$A353)</f>
        <v>0</v>
      </c>
      <c r="E353" s="8" t="n">
        <f aca="false">D353*$J$5</f>
        <v>0</v>
      </c>
      <c r="F353" s="8" t="n">
        <f aca="false">E353-C353</f>
        <v>-1</v>
      </c>
      <c r="G353" s="9" t="n">
        <f aca="false">IF(AND(C353=0,E353=0),0,IF(C353=0,"New",(E353-C353)/C353))</f>
        <v>-1</v>
      </c>
      <c r="H353" s="8" t="n">
        <f aca="false">SUMIFS('Source'!$E:$E,'Source'!$A:$A,"155138 לקוח אינטרנט",'Source'!$B:$B,$A353)</f>
        <v>444.83</v>
      </c>
      <c r="I353" s="8" t="n">
        <f aca="false">SUMIFS('Source'!$G:$G,'Source'!$A:$A,"155138 לקוח אינטרנט",'Source'!$B:$B,$A353)</f>
        <v>0</v>
      </c>
      <c r="J353" s="8" t="n">
        <f aca="false">I353*$J$5</f>
        <v>0</v>
      </c>
      <c r="K353" s="8" t="n">
        <f aca="false">J353-H353</f>
        <v>-444.83</v>
      </c>
      <c r="L353" s="9" t="n">
        <f aca="false">IF(AND(H353=0,J353=0),0,IF(H353=0,"New",(J353-H353)/H353))</f>
        <v>-1</v>
      </c>
      <c r="M353" s="7" t="str">
        <f aca="false">IF(AND(OR(C353&lt;&gt;0,H353&lt;&gt;0),D353=0,I353=0),"DROP",IF(AND(OR(D353&lt;&gt;0,I353&lt;&gt;0),C353=0,H353=0),"NEW",""))</f>
        <v>DROP</v>
      </c>
    </row>
    <row r="354" customFormat="false" ht="15" hidden="false" customHeight="false" outlineLevel="0" collapsed="false">
      <c r="A354" s="7" t="s">
        <v>444</v>
      </c>
      <c r="B354" s="7" t="str">
        <f aca="false">IFERROR(INDEX('Source'!$C:$C,MATCH($A354,'Source'!$B:$B,0)),"")</f>
        <v>חגורת גב</v>
      </c>
      <c r="C354" s="8" t="n">
        <f aca="false">SUMIFS('Source'!$D:$D,'Source'!$A:$A,"155138 לקוח אינטרנט",'Source'!$B:$B,$A354)</f>
        <v>1</v>
      </c>
      <c r="D354" s="8" t="n">
        <f aca="false">SUMIFS('Source'!$F:$F,'Source'!$A:$A,"155138 לקוח אינטרנט",'Source'!$B:$B,$A354)</f>
        <v>0</v>
      </c>
      <c r="E354" s="8" t="n">
        <f aca="false">D354*$J$5</f>
        <v>0</v>
      </c>
      <c r="F354" s="8" t="n">
        <f aca="false">E354-C354</f>
        <v>-1</v>
      </c>
      <c r="G354" s="9" t="n">
        <f aca="false">IF(AND(C354=0,E354=0),0,IF(C354=0,"New",(E354-C354)/C354))</f>
        <v>-1</v>
      </c>
      <c r="H354" s="8" t="n">
        <f aca="false">SUMIFS('Source'!$E:$E,'Source'!$A:$A,"155138 לקוח אינטרנט",'Source'!$B:$B,$A354)</f>
        <v>444.83</v>
      </c>
      <c r="I354" s="8" t="n">
        <f aca="false">SUMIFS('Source'!$G:$G,'Source'!$A:$A,"155138 לקוח אינטרנט",'Source'!$B:$B,$A354)</f>
        <v>0</v>
      </c>
      <c r="J354" s="8" t="n">
        <f aca="false">I354*$J$5</f>
        <v>0</v>
      </c>
      <c r="K354" s="8" t="n">
        <f aca="false">J354-H354</f>
        <v>-444.83</v>
      </c>
      <c r="L354" s="9" t="n">
        <f aca="false">IF(AND(H354=0,J354=0),0,IF(H354=0,"New",(J354-H354)/H354))</f>
        <v>-1</v>
      </c>
      <c r="M354" s="7" t="str">
        <f aca="false">IF(AND(OR(C354&lt;&gt;0,H354&lt;&gt;0),D354=0,I354=0),"DROP",IF(AND(OR(D354&lt;&gt;0,I354&lt;&gt;0),C354=0,H354=0),"NEW",""))</f>
        <v>DROP</v>
      </c>
    </row>
    <row r="355" customFormat="false" ht="15" hidden="false" customHeight="false" outlineLevel="0" collapsed="false">
      <c r="A355" s="7" t="s">
        <v>445</v>
      </c>
      <c r="B355" s="7" t="str">
        <f aca="false">IFERROR(INDEX('Source'!$C:$C,MATCH($A355,'Source'!$B:$B,0)),"")</f>
        <v>חגורת צלעות לגבר</v>
      </c>
      <c r="C355" s="8" t="n">
        <f aca="false">SUMIFS('Source'!$D:$D,'Source'!$A:$A,"155138 לקוח אינטרנט",'Source'!$B:$B,$A355)</f>
        <v>2</v>
      </c>
      <c r="D355" s="8" t="n">
        <f aca="false">SUMIFS('Source'!$F:$F,'Source'!$A:$A,"155138 לקוח אינטרנט",'Source'!$B:$B,$A355)</f>
        <v>0</v>
      </c>
      <c r="E355" s="8" t="n">
        <f aca="false">D355*$J$5</f>
        <v>0</v>
      </c>
      <c r="F355" s="8" t="n">
        <f aca="false">E355-C355</f>
        <v>-2</v>
      </c>
      <c r="G355" s="9" t="n">
        <f aca="false">IF(AND(C355=0,E355=0),0,IF(C355=0,"New",(E355-C355)/C355))</f>
        <v>-1</v>
      </c>
      <c r="H355" s="8" t="n">
        <f aca="false">SUMIFS('Source'!$E:$E,'Source'!$A:$A,"155138 לקוח אינטרנט",'Source'!$B:$B,$A355)</f>
        <v>443.07</v>
      </c>
      <c r="I355" s="8" t="n">
        <f aca="false">SUMIFS('Source'!$G:$G,'Source'!$A:$A,"155138 לקוח אינטרנט",'Source'!$B:$B,$A355)</f>
        <v>0</v>
      </c>
      <c r="J355" s="8" t="n">
        <f aca="false">I355*$J$5</f>
        <v>0</v>
      </c>
      <c r="K355" s="8" t="n">
        <f aca="false">J355-H355</f>
        <v>-443.07</v>
      </c>
      <c r="L355" s="9" t="n">
        <f aca="false">IF(AND(H355=0,J355=0),0,IF(H355=0,"New",(J355-H355)/H355))</f>
        <v>-1</v>
      </c>
      <c r="M355" s="7" t="str">
        <f aca="false">IF(AND(OR(C355&lt;&gt;0,H355&lt;&gt;0),D355=0,I355=0),"DROP",IF(AND(OR(D355&lt;&gt;0,I355&lt;&gt;0),C355=0,H355=0),"NEW",""))</f>
        <v>DROP</v>
      </c>
    </row>
    <row r="356" customFormat="false" ht="15" hidden="false" customHeight="false" outlineLevel="0" collapsed="false">
      <c r="A356" s="7" t="s">
        <v>446</v>
      </c>
      <c r="B356" s="7" t="str">
        <f aca="false">IFERROR(INDEX('Source'!$C:$C,MATCH($A356,'Source'!$B:$B,0)),"")</f>
        <v>סופורטר</v>
      </c>
      <c r="C356" s="8" t="n">
        <f aca="false">SUMIFS('Source'!$D:$D,'Source'!$A:$A,"155138 לקוח אינטרנט",'Source'!$B:$B,$A356)</f>
        <v>0</v>
      </c>
      <c r="D356" s="8" t="n">
        <f aca="false">SUMIFS('Source'!$F:$F,'Source'!$A:$A,"155138 לקוח אינטרנט",'Source'!$B:$B,$A356)</f>
        <v>3</v>
      </c>
      <c r="E356" s="8" t="n">
        <f aca="false">D356*$J$5</f>
        <v>3.78947368421053</v>
      </c>
      <c r="F356" s="8" t="n">
        <f aca="false">E356-C356</f>
        <v>3.78947368421053</v>
      </c>
      <c r="G356" s="9" t="str">
        <f aca="false">IF(AND(C356=0,E356=0),0,IF(C356=0,"New",(E356-C356)/C356))</f>
        <v>New</v>
      </c>
      <c r="H356" s="8" t="n">
        <f aca="false">SUMIFS('Source'!$E:$E,'Source'!$A:$A,"155138 לקוח אינטרנט",'Source'!$B:$B,$A356)</f>
        <v>0</v>
      </c>
      <c r="I356" s="8" t="n">
        <f aca="false">SUMIFS('Source'!$G:$G,'Source'!$A:$A,"155138 לקוח אינטרנט",'Source'!$B:$B,$A356)</f>
        <v>442.13</v>
      </c>
      <c r="J356" s="8" t="n">
        <f aca="false">I356*$J$5</f>
        <v>558.48</v>
      </c>
      <c r="K356" s="8" t="n">
        <f aca="false">J356-H356</f>
        <v>558.48</v>
      </c>
      <c r="L356" s="9" t="str">
        <f aca="false">IF(AND(H356=0,J356=0),0,IF(H356=0,"New",(J356-H356)/H356))</f>
        <v>New</v>
      </c>
      <c r="M356" s="7" t="str">
        <f aca="false">IF(AND(OR(C356&lt;&gt;0,H356&lt;&gt;0),D356=0,I356=0),"DROP",IF(AND(OR(D356&lt;&gt;0,I356&lt;&gt;0),C356=0,H356=0),"NEW",""))</f>
        <v>NEW</v>
      </c>
    </row>
    <row r="357" customFormat="false" ht="15" hidden="false" customHeight="false" outlineLevel="0" collapsed="false">
      <c r="A357" s="7" t="s">
        <v>447</v>
      </c>
      <c r="B357" s="7" t="str">
        <f aca="false">IFERROR(INDEX('Source'!$C:$C,MATCH($A357,'Source'!$B:$B,0)),"")</f>
        <v>חבק יד אגודלי ימ</v>
      </c>
      <c r="C357" s="8" t="n">
        <f aca="false">SUMIFS('Source'!$D:$D,'Source'!$A:$A,"155138 לקוח אינטרנט",'Source'!$B:$B,$A357)</f>
        <v>16</v>
      </c>
      <c r="D357" s="8" t="n">
        <f aca="false">SUMIFS('Source'!$F:$F,'Source'!$A:$A,"155138 לקוח אינטרנט",'Source'!$B:$B,$A357)</f>
        <v>9</v>
      </c>
      <c r="E357" s="8" t="n">
        <f aca="false">D357*$J$5</f>
        <v>11.3684210526316</v>
      </c>
      <c r="F357" s="8" t="n">
        <f aca="false">E357-C357</f>
        <v>-4.63157894736842</v>
      </c>
      <c r="G357" s="9" t="n">
        <f aca="false">IF(AND(C357=0,E357=0),0,IF(C357=0,"New",(E357-C357)/C357))</f>
        <v>-0.289473684210526</v>
      </c>
      <c r="H357" s="8" t="n">
        <f aca="false">SUMIFS('Source'!$E:$E,'Source'!$A:$A,"155138 לקוח אינטרנט",'Source'!$B:$B,$A357)</f>
        <v>1155.27</v>
      </c>
      <c r="I357" s="8" t="n">
        <f aca="false">SUMIFS('Source'!$G:$G,'Source'!$A:$A,"155138 לקוח אינטרנט",'Source'!$B:$B,$A357)</f>
        <v>715.41</v>
      </c>
      <c r="J357" s="8" t="n">
        <f aca="false">I357*$J$5</f>
        <v>903.675789473684</v>
      </c>
      <c r="K357" s="8" t="n">
        <f aca="false">J357-H357</f>
        <v>-251.594210526316</v>
      </c>
      <c r="L357" s="9" t="n">
        <f aca="false">IF(AND(H357=0,J357=0),0,IF(H357=0,"New",(J357-H357)/H357))</f>
        <v>-0.217779575792945</v>
      </c>
      <c r="M357" s="7" t="str">
        <f aca="false">IF(AND(OR(C357&lt;&gt;0,H357&lt;&gt;0),D357=0,I357=0),"DROP",IF(AND(OR(D357&lt;&gt;0,I357&lt;&gt;0),C357=0,H357=0),"NEW",""))</f>
        <v/>
      </c>
    </row>
    <row r="358" customFormat="false" ht="15" hidden="false" customHeight="false" outlineLevel="0" collapsed="false">
      <c r="A358" s="7" t="s">
        <v>448</v>
      </c>
      <c r="B358" s="7" t="str">
        <f aca="false">IFERROR(INDEX('Source'!$C:$C,MATCH($A358,'Source'!$B:$B,0)),"")</f>
        <v>URIEL STRAP4U BLACK L-XL</v>
      </c>
      <c r="C358" s="8" t="n">
        <f aca="false">SUMIFS('Source'!$D:$D,'Source'!$A:$A,"155138 לקוח אינטרנט",'Source'!$B:$B,$A358)</f>
        <v>22</v>
      </c>
      <c r="D358" s="8" t="n">
        <f aca="false">SUMIFS('Source'!$F:$F,'Source'!$A:$A,"155138 לקוח אינטרנט",'Source'!$B:$B,$A358)</f>
        <v>9</v>
      </c>
      <c r="E358" s="8" t="n">
        <f aca="false">D358*$J$5</f>
        <v>11.3684210526316</v>
      </c>
      <c r="F358" s="8" t="n">
        <f aca="false">E358-C358</f>
        <v>-10.6315789473684</v>
      </c>
      <c r="G358" s="9" t="n">
        <f aca="false">IF(AND(C358=0,E358=0),0,IF(C358=0,"New",(E358-C358)/C358))</f>
        <v>-0.483253588516746</v>
      </c>
      <c r="H358" s="8" t="n">
        <f aca="false">SUMIFS('Source'!$E:$E,'Source'!$A:$A,"155138 לקוח אינטרנט",'Source'!$B:$B,$A358)</f>
        <v>750.39</v>
      </c>
      <c r="I358" s="8" t="n">
        <f aca="false">SUMIFS('Source'!$G:$G,'Source'!$A:$A,"155138 לקוח אינטרנט",'Source'!$B:$B,$A358)</f>
        <v>311.94</v>
      </c>
      <c r="J358" s="8" t="n">
        <f aca="false">I358*$J$5</f>
        <v>394.029473684211</v>
      </c>
      <c r="K358" s="8" t="n">
        <f aca="false">J358-H358</f>
        <v>-356.360526315789</v>
      </c>
      <c r="L358" s="9" t="n">
        <f aca="false">IF(AND(H358=0,J358=0),0,IF(H358=0,"New",(J358-H358)/H358))</f>
        <v>-0.474900420202547</v>
      </c>
      <c r="M358" s="7" t="str">
        <f aca="false">IF(AND(OR(C358&lt;&gt;0,H358&lt;&gt;0),D358=0,I358=0),"DROP",IF(AND(OR(D358&lt;&gt;0,I358&lt;&gt;0),C358=0,H358=0),"NEW",""))</f>
        <v/>
      </c>
    </row>
    <row r="359" customFormat="false" ht="15" hidden="false" customHeight="false" outlineLevel="0" collapsed="false">
      <c r="A359" s="7" t="s">
        <v>449</v>
      </c>
      <c r="B359" s="7" t="str">
        <f aca="false">IFERROR(INDEX('Source'!$C:$C,MATCH($A359,'Source'!$B:$B,0)),"")</f>
        <v>מגן ירך</v>
      </c>
      <c r="C359" s="8" t="n">
        <f aca="false">SUMIFS('Source'!$D:$D,'Source'!$A:$A,"155138 לקוח אינטרנט",'Source'!$B:$B,$A359)</f>
        <v>11</v>
      </c>
      <c r="D359" s="8" t="n">
        <f aca="false">SUMIFS('Source'!$F:$F,'Source'!$A:$A,"155138 לקוח אינטרנט",'Source'!$B:$B,$A359)</f>
        <v>4</v>
      </c>
      <c r="E359" s="8" t="n">
        <f aca="false">D359*$J$5</f>
        <v>5.05263157894737</v>
      </c>
      <c r="F359" s="8" t="n">
        <f aca="false">E359-C359</f>
        <v>-5.94736842105263</v>
      </c>
      <c r="G359" s="9" t="n">
        <f aca="false">IF(AND(C359=0,E359=0),0,IF(C359=0,"New",(E359-C359)/C359))</f>
        <v>-0.54066985645933</v>
      </c>
      <c r="H359" s="8" t="n">
        <f aca="false">SUMIFS('Source'!$E:$E,'Source'!$A:$A,"155138 לקוח אינטרנט",'Source'!$B:$B,$A359)</f>
        <v>675.74</v>
      </c>
      <c r="I359" s="8" t="n">
        <f aca="false">SUMIFS('Source'!$G:$G,'Source'!$A:$A,"155138 לקוח אינטרנט",'Source'!$B:$B,$A359)</f>
        <v>238.03</v>
      </c>
      <c r="J359" s="8" t="n">
        <f aca="false">I359*$J$5</f>
        <v>300.669473684211</v>
      </c>
      <c r="K359" s="8" t="n">
        <f aca="false">J359-H359</f>
        <v>-375.07052631579</v>
      </c>
      <c r="L359" s="9" t="n">
        <f aca="false">IF(AND(H359=0,J359=0),0,IF(H359=0,"New",(J359-H359)/H359))</f>
        <v>-0.555051538040947</v>
      </c>
      <c r="M359" s="7" t="str">
        <f aca="false">IF(AND(OR(C359&lt;&gt;0,H359&lt;&gt;0),D359=0,I359=0),"DROP",IF(AND(OR(D359&lt;&gt;0,I359&lt;&gt;0),C359=0,H359=0),"NEW",""))</f>
        <v/>
      </c>
    </row>
    <row r="360" customFormat="false" ht="15" hidden="false" customHeight="false" outlineLevel="0" collapsed="false">
      <c r="A360" s="7" t="s">
        <v>450</v>
      </c>
      <c r="B360" s="7" t="str">
        <f aca="false">IFERROR(INDEX('Source'!$C:$C,MATCH($A360,'Source'!$B:$B,0)),"")</f>
        <v>מגן קרסול מתכוון</v>
      </c>
      <c r="C360" s="8" t="n">
        <f aca="false">SUMIFS('Source'!$D:$D,'Source'!$A:$A,"155138 לקוח אינטרנט",'Source'!$B:$B,$A360)</f>
        <v>1</v>
      </c>
      <c r="D360" s="8" t="n">
        <f aca="false">SUMIFS('Source'!$F:$F,'Source'!$A:$A,"155138 לקוח אינטרנט",'Source'!$B:$B,$A360)</f>
        <v>5</v>
      </c>
      <c r="E360" s="8" t="n">
        <f aca="false">D360*$J$5</f>
        <v>6.31578947368421</v>
      </c>
      <c r="F360" s="8" t="n">
        <f aca="false">E360-C360</f>
        <v>5.31578947368421</v>
      </c>
      <c r="G360" s="9" t="n">
        <f aca="false">IF(AND(C360=0,E360=0),0,IF(C360=0,"New",(E360-C360)/C360))</f>
        <v>5.31578947368421</v>
      </c>
      <c r="H360" s="8" t="n">
        <f aca="false">SUMIFS('Source'!$E:$E,'Source'!$A:$A,"155138 לקוח אינטרנט",'Source'!$B:$B,$A360)</f>
        <v>120.25</v>
      </c>
      <c r="I360" s="8" t="n">
        <f aca="false">SUMIFS('Source'!$G:$G,'Source'!$A:$A,"155138 לקוח אינטרנט",'Source'!$B:$B,$A360)</f>
        <v>553.16</v>
      </c>
      <c r="J360" s="8" t="n">
        <f aca="false">I360*$J$5</f>
        <v>698.728421052632</v>
      </c>
      <c r="K360" s="8" t="n">
        <f aca="false">J360-H360</f>
        <v>578.478421052632</v>
      </c>
      <c r="L360" s="9" t="n">
        <f aca="false">IF(AND(H360=0,J360=0),0,IF(H360=0,"New",(J360-H360)/H360))</f>
        <v>4.81063136010504</v>
      </c>
      <c r="M360" s="7" t="str">
        <f aca="false">IF(AND(OR(C360&lt;&gt;0,H360&lt;&gt;0),D360=0,I360=0),"DROP",IF(AND(OR(D360&lt;&gt;0,I360&lt;&gt;0),C360=0,H360=0),"NEW",""))</f>
        <v/>
      </c>
    </row>
    <row r="361" customFormat="false" ht="15" hidden="false" customHeight="false" outlineLevel="0" collapsed="false">
      <c r="A361" s="7" t="s">
        <v>451</v>
      </c>
      <c r="B361" s="7" t="str">
        <f aca="false">IFERROR(INDEX('Source'!$C:$C,MATCH($A361,'Source'!$B:$B,0)),"")</f>
        <v>חגורת בטן</v>
      </c>
      <c r="C361" s="8" t="n">
        <f aca="false">SUMIFS('Source'!$D:$D,'Source'!$A:$A,"155138 לקוח אינטרנט",'Source'!$B:$B,$A361)</f>
        <v>5</v>
      </c>
      <c r="D361" s="8" t="n">
        <f aca="false">SUMIFS('Source'!$F:$F,'Source'!$A:$A,"155138 לקוח אינטרנט",'Source'!$B:$B,$A361)</f>
        <v>2</v>
      </c>
      <c r="E361" s="8" t="n">
        <f aca="false">D361*$J$5</f>
        <v>2.52631578947368</v>
      </c>
      <c r="F361" s="8" t="n">
        <f aca="false">E361-C361</f>
        <v>-2.47368421052632</v>
      </c>
      <c r="G361" s="9" t="n">
        <f aca="false">IF(AND(C361=0,E361=0),0,IF(C361=0,"New",(E361-C361)/C361))</f>
        <v>-0.494736842105263</v>
      </c>
      <c r="H361" s="8" t="n">
        <f aca="false">SUMIFS('Source'!$E:$E,'Source'!$A:$A,"155138 לקוח אינטרנט",'Source'!$B:$B,$A361)</f>
        <v>855.5</v>
      </c>
      <c r="I361" s="8" t="n">
        <f aca="false">SUMIFS('Source'!$G:$G,'Source'!$A:$A,"155138 לקוח אינטרנט",'Source'!$B:$B,$A361)</f>
        <v>422.65</v>
      </c>
      <c r="J361" s="8" t="n">
        <f aca="false">I361*$J$5</f>
        <v>533.873684210526</v>
      </c>
      <c r="K361" s="8" t="n">
        <f aca="false">J361-H361</f>
        <v>-321.626315789474</v>
      </c>
      <c r="L361" s="9" t="n">
        <f aca="false">IF(AND(H361=0,J361=0),0,IF(H361=0,"New",(J361-H361)/H361))</f>
        <v>-0.37595127503153</v>
      </c>
      <c r="M361" s="7" t="str">
        <f aca="false">IF(AND(OR(C361&lt;&gt;0,H361&lt;&gt;0),D361=0,I361=0),"DROP",IF(AND(OR(D361&lt;&gt;0,I361&lt;&gt;0),C361=0,H361=0),"NEW",""))</f>
        <v/>
      </c>
    </row>
    <row r="362" customFormat="false" ht="15" hidden="false" customHeight="false" outlineLevel="0" collapsed="false">
      <c r="A362" s="7" t="s">
        <v>452</v>
      </c>
      <c r="B362" s="7" t="str">
        <f aca="false">IFERROR(INDEX('Source'!$C:$C,MATCH($A362,'Source'!$B:$B,0)),"")</f>
        <v>מגן מרפק רגיל</v>
      </c>
      <c r="C362" s="8" t="n">
        <f aca="false">SUMIFS('Source'!$D:$D,'Source'!$A:$A,"155138 לקוח אינטרנט",'Source'!$B:$B,$A362)</f>
        <v>3</v>
      </c>
      <c r="D362" s="8" t="n">
        <f aca="false">SUMIFS('Source'!$F:$F,'Source'!$A:$A,"155138 לקוח אינטרנט",'Source'!$B:$B,$A362)</f>
        <v>0</v>
      </c>
      <c r="E362" s="8" t="n">
        <f aca="false">D362*$J$5</f>
        <v>0</v>
      </c>
      <c r="F362" s="8" t="n">
        <f aca="false">E362-C362</f>
        <v>-3</v>
      </c>
      <c r="G362" s="9" t="n">
        <f aca="false">IF(AND(C362=0,E362=0),0,IF(C362=0,"New",(E362-C362)/C362))</f>
        <v>-1</v>
      </c>
      <c r="H362" s="8" t="n">
        <f aca="false">SUMIFS('Source'!$E:$E,'Source'!$A:$A,"155138 לקוח אינטרנט",'Source'!$B:$B,$A362)</f>
        <v>427.74</v>
      </c>
      <c r="I362" s="8" t="n">
        <f aca="false">SUMIFS('Source'!$G:$G,'Source'!$A:$A,"155138 לקוח אינטרנט",'Source'!$B:$B,$A362)</f>
        <v>0</v>
      </c>
      <c r="J362" s="8" t="n">
        <f aca="false">I362*$J$5</f>
        <v>0</v>
      </c>
      <c r="K362" s="8" t="n">
        <f aca="false">J362-H362</f>
        <v>-427.74</v>
      </c>
      <c r="L362" s="9" t="n">
        <f aca="false">IF(AND(H362=0,J362=0),0,IF(H362=0,"New",(J362-H362)/H362))</f>
        <v>-1</v>
      </c>
      <c r="M362" s="7" t="str">
        <f aca="false">IF(AND(OR(C362&lt;&gt;0,H362&lt;&gt;0),D362=0,I362=0),"DROP",IF(AND(OR(D362&lt;&gt;0,I362&lt;&gt;0),C362=0,H362=0),"NEW",""))</f>
        <v>DROP</v>
      </c>
    </row>
    <row r="363" customFormat="false" ht="15" hidden="false" customHeight="false" outlineLevel="0" collapsed="false">
      <c r="A363" s="7" t="s">
        <v>453</v>
      </c>
      <c r="B363" s="7" t="str">
        <f aca="false">IFERROR(INDEX('Source'!$C:$C,MATCH($A363,'Source'!$B:$B,0)),"")</f>
        <v>חגורה למנותחי בטן</v>
      </c>
      <c r="C363" s="8" t="n">
        <f aca="false">SUMIFS('Source'!$D:$D,'Source'!$A:$A,"155138 לקוח אינטרנט",'Source'!$B:$B,$A363)</f>
        <v>9</v>
      </c>
      <c r="D363" s="8" t="n">
        <f aca="false">SUMIFS('Source'!$F:$F,'Source'!$A:$A,"155138 לקוח אינטרנט",'Source'!$B:$B,$A363)</f>
        <v>8</v>
      </c>
      <c r="E363" s="8" t="n">
        <f aca="false">D363*$J$5</f>
        <v>10.1052631578947</v>
      </c>
      <c r="F363" s="8" t="n">
        <f aca="false">E363-C363</f>
        <v>1.10526315789474</v>
      </c>
      <c r="G363" s="9" t="n">
        <f aca="false">IF(AND(C363=0,E363=0),0,IF(C363=0,"New",(E363-C363)/C363))</f>
        <v>0.12280701754386</v>
      </c>
      <c r="H363" s="8" t="n">
        <f aca="false">SUMIFS('Source'!$E:$E,'Source'!$A:$A,"155138 לקוח אינטרנט",'Source'!$B:$B,$A363)</f>
        <v>2803.61</v>
      </c>
      <c r="I363" s="8" t="n">
        <f aca="false">SUMIFS('Source'!$G:$G,'Source'!$A:$A,"155138 לקוח אינטרנט",'Source'!$B:$B,$A363)</f>
        <v>2376.18</v>
      </c>
      <c r="J363" s="8" t="n">
        <f aca="false">I363*$J$5</f>
        <v>3001.49052631579</v>
      </c>
      <c r="K363" s="8" t="n">
        <f aca="false">J363-H363</f>
        <v>197.88052631579</v>
      </c>
      <c r="L363" s="9" t="n">
        <f aca="false">IF(AND(H363=0,J363=0),0,IF(H363=0,"New",(J363-H363)/H363))</f>
        <v>0.0705806179589136</v>
      </c>
      <c r="M363" s="7" t="str">
        <f aca="false">IF(AND(OR(C363&lt;&gt;0,H363&lt;&gt;0),D363=0,I363=0),"DROP",IF(AND(OR(D363&lt;&gt;0,I363&lt;&gt;0),C363=0,H363=0),"NEW",""))</f>
        <v/>
      </c>
    </row>
    <row r="364" customFormat="false" ht="15" hidden="false" customHeight="false" outlineLevel="0" collapsed="false">
      <c r="A364" s="7" t="s">
        <v>454</v>
      </c>
      <c r="B364" s="7" t="str">
        <f aca="false">IFERROR(INDEX('Source'!$C:$C,MATCH($A364,'Source'!$B:$B,0)),"")</f>
        <v>מגן ברך רגיל</v>
      </c>
      <c r="C364" s="8" t="n">
        <f aca="false">SUMIFS('Source'!$D:$D,'Source'!$A:$A,"155138 לקוח אינטרנט",'Source'!$B:$B,$A364)</f>
        <v>2</v>
      </c>
      <c r="D364" s="8" t="n">
        <f aca="false">SUMIFS('Source'!$F:$F,'Source'!$A:$A,"155138 לקוח אינטרנט",'Source'!$B:$B,$A364)</f>
        <v>4</v>
      </c>
      <c r="E364" s="8" t="n">
        <f aca="false">D364*$J$5</f>
        <v>5.05263157894737</v>
      </c>
      <c r="F364" s="8" t="n">
        <f aca="false">E364-C364</f>
        <v>3.05263157894737</v>
      </c>
      <c r="G364" s="9" t="n">
        <f aca="false">IF(AND(C364=0,E364=0),0,IF(C364=0,"New",(E364-C364)/C364))</f>
        <v>1.52631578947368</v>
      </c>
      <c r="H364" s="8" t="n">
        <f aca="false">SUMIFS('Source'!$E:$E,'Source'!$A:$A,"155138 לקוח אינטרנט",'Source'!$B:$B,$A364)</f>
        <v>321.84</v>
      </c>
      <c r="I364" s="8" t="n">
        <f aca="false">SUMIFS('Source'!$G:$G,'Source'!$A:$A,"155138 לקוח אינטרנט",'Source'!$B:$B,$A364)</f>
        <v>743.31</v>
      </c>
      <c r="J364" s="8" t="n">
        <f aca="false">I364*$J$5</f>
        <v>938.917894736842</v>
      </c>
      <c r="K364" s="8" t="n">
        <f aca="false">J364-H364</f>
        <v>617.077894736842</v>
      </c>
      <c r="L364" s="9" t="n">
        <f aca="false">IF(AND(H364=0,J364=0),0,IF(H364=0,"New",(J364-H364)/H364))</f>
        <v>1.91734369480749</v>
      </c>
      <c r="M364" s="7" t="str">
        <f aca="false">IF(AND(OR(C364&lt;&gt;0,H364&lt;&gt;0),D364=0,I364=0),"DROP",IF(AND(OR(D364&lt;&gt;0,I364&lt;&gt;0),C364=0,H364=0),"NEW",""))</f>
        <v/>
      </c>
    </row>
    <row r="365" customFormat="false" ht="15" hidden="false" customHeight="false" outlineLevel="0" collapsed="false">
      <c r="A365" s="7" t="s">
        <v>455</v>
      </c>
      <c r="B365" s="7" t="str">
        <f aca="false">IFERROR(INDEX('Source'!$C:$C,MATCH($A365,'Source'!$B:$B,0)),"")</f>
        <v>מגן ברך ארוך בז'</v>
      </c>
      <c r="C365" s="8" t="n">
        <f aca="false">SUMIFS('Source'!$D:$D,'Source'!$A:$A,"155138 לקוח אינטרנט",'Source'!$B:$B,$A365)</f>
        <v>1</v>
      </c>
      <c r="D365" s="8" t="n">
        <f aca="false">SUMIFS('Source'!$F:$F,'Source'!$A:$A,"155138 לקוח אינטרנט",'Source'!$B:$B,$A365)</f>
        <v>7</v>
      </c>
      <c r="E365" s="8" t="n">
        <f aca="false">D365*$J$5</f>
        <v>8.84210526315789</v>
      </c>
      <c r="F365" s="8" t="n">
        <f aca="false">E365-C365</f>
        <v>7.84210526315789</v>
      </c>
      <c r="G365" s="9" t="n">
        <f aca="false">IF(AND(C365=0,E365=0),0,IF(C365=0,"New",(E365-C365)/C365))</f>
        <v>7.84210526315789</v>
      </c>
      <c r="H365" s="8" t="n">
        <f aca="false">SUMIFS('Source'!$E:$E,'Source'!$A:$A,"155138 לקוח אינטרנט",'Source'!$B:$B,$A365)</f>
        <v>54.17</v>
      </c>
      <c r="I365" s="8" t="n">
        <f aca="false">SUMIFS('Source'!$G:$G,'Source'!$A:$A,"155138 לקוח אינטרנט",'Source'!$B:$B,$A365)</f>
        <v>460.43</v>
      </c>
      <c r="J365" s="8" t="n">
        <f aca="false">I365*$J$5</f>
        <v>581.595789473684</v>
      </c>
      <c r="K365" s="8" t="n">
        <f aca="false">J365-H365</f>
        <v>527.425789473684</v>
      </c>
      <c r="L365" s="9" t="n">
        <f aca="false">IF(AND(H365=0,J365=0),0,IF(H365=0,"New",(J365-H365)/H365))</f>
        <v>9.73649232921699</v>
      </c>
      <c r="M365" s="7" t="str">
        <f aca="false">IF(AND(OR(C365&lt;&gt;0,H365&lt;&gt;0),D365=0,I365=0),"DROP",IF(AND(OR(D365&lt;&gt;0,I365&lt;&gt;0),C365=0,H365=0),"NEW",""))</f>
        <v/>
      </c>
    </row>
    <row r="366" customFormat="false" ht="15" hidden="false" customHeight="false" outlineLevel="0" collapsed="false">
      <c r="A366" s="7" t="s">
        <v>456</v>
      </c>
      <c r="B366" s="7" t="str">
        <f aca="false">IFERROR(INDEX('Source'!$C:$C,MATCH($A366,'Source'!$B:$B,0)),"")</f>
        <v>גרבי חורף אנטיבקטריאלי שחור</v>
      </c>
      <c r="C366" s="8" t="n">
        <f aca="false">SUMIFS('Source'!$D:$D,'Source'!$A:$A,"155138 לקוח אינטרנט",'Source'!$B:$B,$A366)</f>
        <v>0</v>
      </c>
      <c r="D366" s="8" t="n">
        <f aca="false">SUMIFS('Source'!$F:$F,'Source'!$A:$A,"155138 לקוח אינטרנט",'Source'!$B:$B,$A366)</f>
        <v>8</v>
      </c>
      <c r="E366" s="8" t="n">
        <f aca="false">D366*$J$5</f>
        <v>10.1052631578947</v>
      </c>
      <c r="F366" s="8" t="n">
        <f aca="false">E366-C366</f>
        <v>10.1052631578947</v>
      </c>
      <c r="G366" s="9" t="str">
        <f aca="false">IF(AND(C366=0,E366=0),0,IF(C366=0,"New",(E366-C366)/C366))</f>
        <v>New</v>
      </c>
      <c r="H366" s="8" t="n">
        <f aca="false">SUMIFS('Source'!$E:$E,'Source'!$A:$A,"155138 לקוח אינטרנט",'Source'!$B:$B,$A366)</f>
        <v>0</v>
      </c>
      <c r="I366" s="8" t="n">
        <f aca="false">SUMIFS('Source'!$G:$G,'Source'!$A:$A,"155138 לקוח אינטרנט",'Source'!$B:$B,$A366)</f>
        <v>406.25</v>
      </c>
      <c r="J366" s="8" t="n">
        <f aca="false">I366*$J$5</f>
        <v>513.157894736842</v>
      </c>
      <c r="K366" s="8" t="n">
        <f aca="false">J366-H366</f>
        <v>513.157894736842</v>
      </c>
      <c r="L366" s="9" t="str">
        <f aca="false">IF(AND(H366=0,J366=0),0,IF(H366=0,"New",(J366-H366)/H366))</f>
        <v>New</v>
      </c>
      <c r="M366" s="7" t="str">
        <f aca="false">IF(AND(OR(C366&lt;&gt;0,H366&lt;&gt;0),D366=0,I366=0),"DROP",IF(AND(OR(D366&lt;&gt;0,I366&lt;&gt;0),C366=0,H366=0),"NEW",""))</f>
        <v>NEW</v>
      </c>
    </row>
    <row r="367" customFormat="false" ht="15" hidden="false" customHeight="false" outlineLevel="0" collapsed="false">
      <c r="A367" s="7" t="s">
        <v>457</v>
      </c>
      <c r="B367" s="7" t="str">
        <f aca="false">IFERROR(INDEX('Source'!$C:$C,MATCH($A367,'Source'!$B:$B,0)),"")</f>
        <v>מגן קרסול+ עקב סגור+רצועות</v>
      </c>
      <c r="C367" s="8" t="n">
        <f aca="false">SUMIFS('Source'!$D:$D,'Source'!$A:$A,"155138 לקוח אינטרנט",'Source'!$B:$B,$A367)</f>
        <v>2</v>
      </c>
      <c r="D367" s="8" t="n">
        <f aca="false">SUMIFS('Source'!$F:$F,'Source'!$A:$A,"155138 לקוח אינטרנט",'Source'!$B:$B,$A367)</f>
        <v>5</v>
      </c>
      <c r="E367" s="8" t="n">
        <f aca="false">D367*$J$5</f>
        <v>6.31578947368421</v>
      </c>
      <c r="F367" s="8" t="n">
        <f aca="false">E367-C367</f>
        <v>4.31578947368421</v>
      </c>
      <c r="G367" s="9" t="n">
        <f aca="false">IF(AND(C367=0,E367=0),0,IF(C367=0,"New",(E367-C367)/C367))</f>
        <v>2.15789473684211</v>
      </c>
      <c r="H367" s="8" t="n">
        <f aca="false">SUMIFS('Source'!$E:$E,'Source'!$A:$A,"155138 לקוח אינטרנט",'Source'!$B:$B,$A367)</f>
        <v>222.04</v>
      </c>
      <c r="I367" s="8" t="n">
        <f aca="false">SUMIFS('Source'!$G:$G,'Source'!$A:$A,"155138 לקוח אינטרנט",'Source'!$B:$B,$A367)</f>
        <v>622.46</v>
      </c>
      <c r="J367" s="8" t="n">
        <f aca="false">I367*$J$5</f>
        <v>786.265263157895</v>
      </c>
      <c r="K367" s="8" t="n">
        <f aca="false">J367-H367</f>
        <v>564.225263157895</v>
      </c>
      <c r="L367" s="9" t="n">
        <f aca="false">IF(AND(H367=0,J367=0),0,IF(H367=0,"New",(J367-H367)/H367))</f>
        <v>2.54109738406546</v>
      </c>
      <c r="M367" s="7" t="str">
        <f aca="false">IF(AND(OR(C367&lt;&gt;0,H367&lt;&gt;0),D367=0,I367=0),"DROP",IF(AND(OR(D367&lt;&gt;0,I367&lt;&gt;0),C367=0,H367=0),"NEW",""))</f>
        <v/>
      </c>
    </row>
    <row r="368" customFormat="false" ht="15" hidden="false" customHeight="false" outlineLevel="0" collapsed="false">
      <c r="A368" s="7" t="s">
        <v>458</v>
      </c>
      <c r="B368" s="7" t="str">
        <f aca="false">IFERROR(INDEX('Source'!$C:$C,MATCH($A368,'Source'!$B:$B,0)),"")</f>
        <v>מתלה רשת לזרוע שחור 85B</v>
      </c>
      <c r="C368" s="8" t="n">
        <f aca="false">SUMIFS('Source'!$D:$D,'Source'!$A:$A,"155138 לקוח אינטרנט",'Source'!$B:$B,$A368)</f>
        <v>2</v>
      </c>
      <c r="D368" s="8" t="n">
        <f aca="false">SUMIFS('Source'!$F:$F,'Source'!$A:$A,"155138 לקוח אינטרנט",'Source'!$B:$B,$A368)</f>
        <v>6</v>
      </c>
      <c r="E368" s="8" t="n">
        <f aca="false">D368*$J$5</f>
        <v>7.57894736842105</v>
      </c>
      <c r="F368" s="8" t="n">
        <f aca="false">E368-C368</f>
        <v>5.57894736842105</v>
      </c>
      <c r="G368" s="9" t="n">
        <f aca="false">IF(AND(C368=0,E368=0),0,IF(C368=0,"New",(E368-C368)/C368))</f>
        <v>2.78947368421053</v>
      </c>
      <c r="H368" s="8" t="n">
        <f aca="false">SUMIFS('Source'!$E:$E,'Source'!$A:$A,"155138 לקוח אינטרנט",'Source'!$B:$B,$A368)</f>
        <v>204.92</v>
      </c>
      <c r="I368" s="8" t="n">
        <f aca="false">SUMIFS('Source'!$G:$G,'Source'!$A:$A,"155138 לקוח אינטרנט",'Source'!$B:$B,$A368)</f>
        <v>604.51</v>
      </c>
      <c r="J368" s="8" t="n">
        <f aca="false">I368*$J$5</f>
        <v>763.591578947368</v>
      </c>
      <c r="K368" s="8" t="n">
        <f aca="false">J368-H368</f>
        <v>558.671578947368</v>
      </c>
      <c r="L368" s="9" t="n">
        <f aca="false">IF(AND(H368=0,J368=0),0,IF(H368=0,"New",(J368-H368)/H368))</f>
        <v>2.72629113286828</v>
      </c>
      <c r="M368" s="7" t="str">
        <f aca="false">IF(AND(OR(C368&lt;&gt;0,H368&lt;&gt;0),D368=0,I368=0),"DROP",IF(AND(OR(D368&lt;&gt;0,I368&lt;&gt;0),C368=0,H368=0),"NEW",""))</f>
        <v/>
      </c>
    </row>
    <row r="369" customFormat="false" ht="15" hidden="false" customHeight="false" outlineLevel="0" collapsed="false">
      <c r="A369" s="7" t="s">
        <v>459</v>
      </c>
      <c r="B369" s="7" t="str">
        <f aca="false">IFERROR(INDEX('Source'!$C:$C,MATCH($A369,'Source'!$B:$B,0)),"")</f>
        <v>טייפ חבישה לספורט שחור</v>
      </c>
      <c r="C369" s="8" t="n">
        <f aca="false">SUMIFS('Source'!$D:$D,'Source'!$A:$A,"155138 לקוח אינטרנט",'Source'!$B:$B,$A369)</f>
        <v>21</v>
      </c>
      <c r="D369" s="8" t="n">
        <f aca="false">SUMIFS('Source'!$F:$F,'Source'!$A:$A,"155138 לקוח אינטרנט",'Source'!$B:$B,$A369)</f>
        <v>39</v>
      </c>
      <c r="E369" s="8" t="n">
        <f aca="false">D369*$J$5</f>
        <v>49.2631578947368</v>
      </c>
      <c r="F369" s="8" t="n">
        <f aca="false">E369-C369</f>
        <v>28.2631578947368</v>
      </c>
      <c r="G369" s="9" t="n">
        <f aca="false">IF(AND(C369=0,E369=0),0,IF(C369=0,"New",(E369-C369)/C369))</f>
        <v>1.34586466165414</v>
      </c>
      <c r="H369" s="8" t="n">
        <f aca="false">SUMIFS('Source'!$E:$E,'Source'!$A:$A,"155138 לקוח אינטרנט",'Source'!$B:$B,$A369)</f>
        <v>577.66</v>
      </c>
      <c r="I369" s="8" t="n">
        <f aca="false">SUMIFS('Source'!$G:$G,'Source'!$A:$A,"155138 לקוח אינטרנט",'Source'!$B:$B,$A369)</f>
        <v>975.76</v>
      </c>
      <c r="J369" s="8" t="n">
        <f aca="false">I369*$J$5</f>
        <v>1232.53894736842</v>
      </c>
      <c r="K369" s="8" t="n">
        <f aca="false">J369-H369</f>
        <v>654.878947368421</v>
      </c>
      <c r="L369" s="9" t="n">
        <f aca="false">IF(AND(H369=0,J369=0),0,IF(H369=0,"New",(J369-H369)/H369))</f>
        <v>1.13367542735938</v>
      </c>
      <c r="M369" s="7" t="str">
        <f aca="false">IF(AND(OR(C369&lt;&gt;0,H369&lt;&gt;0),D369=0,I369=0),"DROP",IF(AND(OR(D369&lt;&gt;0,I369&lt;&gt;0),C369=0,H369=0),"NEW",""))</f>
        <v/>
      </c>
    </row>
    <row r="370" customFormat="false" ht="15" hidden="false" customHeight="false" outlineLevel="0" collapsed="false">
      <c r="A370" s="7" t="s">
        <v>460</v>
      </c>
      <c r="B370" s="7" t="str">
        <f aca="false">IFERROR(INDEX('Source'!$C:$C,MATCH($A370,'Source'!$B:$B,0)),"")</f>
        <v>צוארון ספוגי</v>
      </c>
      <c r="C370" s="8" t="n">
        <f aca="false">SUMIFS('Source'!$D:$D,'Source'!$A:$A,"155138 לקוח אינטרנט",'Source'!$B:$B,$A370)</f>
        <v>5</v>
      </c>
      <c r="D370" s="8" t="n">
        <f aca="false">SUMIFS('Source'!$F:$F,'Source'!$A:$A,"155138 לקוח אינטרנט",'Source'!$B:$B,$A370)</f>
        <v>0</v>
      </c>
      <c r="E370" s="8" t="n">
        <f aca="false">D370*$J$5</f>
        <v>0</v>
      </c>
      <c r="F370" s="8" t="n">
        <f aca="false">E370-C370</f>
        <v>-5</v>
      </c>
      <c r="G370" s="9" t="n">
        <f aca="false">IF(AND(C370=0,E370=0),0,IF(C370=0,"New",(E370-C370)/C370))</f>
        <v>-1</v>
      </c>
      <c r="H370" s="8" t="n">
        <f aca="false">SUMIFS('Source'!$E:$E,'Source'!$A:$A,"155138 לקוח אינטרנט",'Source'!$B:$B,$A370)</f>
        <v>394.9</v>
      </c>
      <c r="I370" s="8" t="n">
        <f aca="false">SUMIFS('Source'!$G:$G,'Source'!$A:$A,"155138 לקוח אינטרנט",'Source'!$B:$B,$A370)</f>
        <v>0</v>
      </c>
      <c r="J370" s="8" t="n">
        <f aca="false">I370*$J$5</f>
        <v>0</v>
      </c>
      <c r="K370" s="8" t="n">
        <f aca="false">J370-H370</f>
        <v>-394.9</v>
      </c>
      <c r="L370" s="9" t="n">
        <f aca="false">IF(AND(H370=0,J370=0),0,IF(H370=0,"New",(J370-H370)/H370))</f>
        <v>-1</v>
      </c>
      <c r="M370" s="7" t="str">
        <f aca="false">IF(AND(OR(C370&lt;&gt;0,H370&lt;&gt;0),D370=0,I370=0),"DROP",IF(AND(OR(D370&lt;&gt;0,I370&lt;&gt;0),C370=0,H370=0),"NEW",""))</f>
        <v>DROP</v>
      </c>
    </row>
    <row r="371" customFormat="false" ht="15" hidden="false" customHeight="false" outlineLevel="0" collapsed="false">
      <c r="A371" s="7" t="s">
        <v>461</v>
      </c>
      <c r="B371" s="7" t="str">
        <f aca="false">IFERROR(INDEX('Source'!$C:$C,MATCH($A371,'Source'!$B:$B,0)),"")</f>
        <v>מדרסי ג'ל מולטי ספורט</v>
      </c>
      <c r="C371" s="8" t="n">
        <f aca="false">SUMIFS('Source'!$D:$D,'Source'!$A:$A,"155138 לקוח אינטרנט",'Source'!$B:$B,$A371)</f>
        <v>2</v>
      </c>
      <c r="D371" s="8" t="n">
        <f aca="false">SUMIFS('Source'!$F:$F,'Source'!$A:$A,"155138 לקוח אינטרנט",'Source'!$B:$B,$A371)</f>
        <v>0</v>
      </c>
      <c r="E371" s="8" t="n">
        <f aca="false">D371*$J$5</f>
        <v>0</v>
      </c>
      <c r="F371" s="8" t="n">
        <f aca="false">E371-C371</f>
        <v>-2</v>
      </c>
      <c r="G371" s="9" t="n">
        <f aca="false">IF(AND(C371=0,E371=0),0,IF(C371=0,"New",(E371-C371)/C371))</f>
        <v>-1</v>
      </c>
      <c r="H371" s="8" t="n">
        <f aca="false">SUMIFS('Source'!$E:$E,'Source'!$A:$A,"155138 לקוח אינטרנט",'Source'!$B:$B,$A371)</f>
        <v>385.77</v>
      </c>
      <c r="I371" s="8" t="n">
        <f aca="false">SUMIFS('Source'!$G:$G,'Source'!$A:$A,"155138 לקוח אינטרנט",'Source'!$B:$B,$A371)</f>
        <v>0</v>
      </c>
      <c r="J371" s="8" t="n">
        <f aca="false">I371*$J$5</f>
        <v>0</v>
      </c>
      <c r="K371" s="8" t="n">
        <f aca="false">J371-H371</f>
        <v>-385.77</v>
      </c>
      <c r="L371" s="9" t="n">
        <f aca="false">IF(AND(H371=0,J371=0),0,IF(H371=0,"New",(J371-H371)/H371))</f>
        <v>-1</v>
      </c>
      <c r="M371" s="7" t="str">
        <f aca="false">IF(AND(OR(C371&lt;&gt;0,H371&lt;&gt;0),D371=0,I371=0),"DROP",IF(AND(OR(D371&lt;&gt;0,I371&lt;&gt;0),C371=0,H371=0),"NEW",""))</f>
        <v>DROP</v>
      </c>
    </row>
    <row r="372" customFormat="false" ht="15" hidden="false" customHeight="false" outlineLevel="0" collapsed="false">
      <c r="A372" s="7" t="s">
        <v>462</v>
      </c>
      <c r="B372" s="7" t="str">
        <f aca="false">IFERROR(INDEX('Source'!$C:$C,MATCH($A372,'Source'!$B:$B,0)),"")</f>
        <v>מגן לכתף ימין/שמאל</v>
      </c>
      <c r="C372" s="8" t="n">
        <f aca="false">SUMIFS('Source'!$D:$D,'Source'!$A:$A,"155138 לקוח אינטרנט",'Source'!$B:$B,$A372)</f>
        <v>4</v>
      </c>
      <c r="D372" s="8" t="n">
        <f aca="false">SUMIFS('Source'!$F:$F,'Source'!$A:$A,"155138 לקוח אינטרנט",'Source'!$B:$B,$A372)</f>
        <v>3</v>
      </c>
      <c r="E372" s="8" t="n">
        <f aca="false">D372*$J$5</f>
        <v>3.78947368421053</v>
      </c>
      <c r="F372" s="8" t="n">
        <f aca="false">E372-C372</f>
        <v>-0.210526315789474</v>
      </c>
      <c r="G372" s="9" t="n">
        <f aca="false">IF(AND(C372=0,E372=0),0,IF(C372=0,"New",(E372-C372)/C372))</f>
        <v>-0.0526315789473685</v>
      </c>
      <c r="H372" s="8" t="n">
        <f aca="false">SUMIFS('Source'!$E:$E,'Source'!$A:$A,"155138 לקוח אינטרנט",'Source'!$B:$B,$A372)</f>
        <v>1266.48</v>
      </c>
      <c r="I372" s="8" t="n">
        <f aca="false">SUMIFS('Source'!$G:$G,'Source'!$A:$A,"155138 לקוח אינטרנט",'Source'!$B:$B,$A372)</f>
        <v>881.15</v>
      </c>
      <c r="J372" s="8" t="n">
        <f aca="false">I372*$J$5</f>
        <v>1113.03157894737</v>
      </c>
      <c r="K372" s="8" t="n">
        <f aca="false">J372-H372</f>
        <v>-153.448421052632</v>
      </c>
      <c r="L372" s="9" t="n">
        <f aca="false">IF(AND(H372=0,J372=0),0,IF(H372=0,"New",(J372-H372)/H372))</f>
        <v>-0.121161345660912</v>
      </c>
      <c r="M372" s="7" t="str">
        <f aca="false">IF(AND(OR(C372&lt;&gt;0,H372&lt;&gt;0),D372=0,I372=0),"DROP",IF(AND(OR(D372&lt;&gt;0,I372&lt;&gt;0),C372=0,H372=0),"NEW",""))</f>
        <v/>
      </c>
    </row>
    <row r="373" customFormat="false" ht="15" hidden="false" customHeight="false" outlineLevel="0" collapsed="false">
      <c r="A373" s="7" t="s">
        <v>463</v>
      </c>
      <c r="B373" s="7" t="str">
        <f aca="false">IFERROR(INDEX('Source'!$C:$C,MATCH($A373,'Source'!$B:$B,0)),"")</f>
        <v>חגורת בטן לנורבגיה</v>
      </c>
      <c r="C373" s="8" t="n">
        <f aca="false">SUMIFS('Source'!$D:$D,'Source'!$A:$A,"155138 לקוח אינטרנט",'Source'!$B:$B,$A373)</f>
        <v>2</v>
      </c>
      <c r="D373" s="8" t="n">
        <f aca="false">SUMIFS('Source'!$F:$F,'Source'!$A:$A,"155138 לקוח אינטרנט",'Source'!$B:$B,$A373)</f>
        <v>1</v>
      </c>
      <c r="E373" s="8" t="n">
        <f aca="false">D373*$J$5</f>
        <v>1.26315789473684</v>
      </c>
      <c r="F373" s="8" t="n">
        <f aca="false">E373-C373</f>
        <v>-0.736842105263158</v>
      </c>
      <c r="G373" s="9" t="n">
        <f aca="false">IF(AND(C373=0,E373=0),0,IF(C373=0,"New",(E373-C373)/C373))</f>
        <v>-0.368421052631579</v>
      </c>
      <c r="H373" s="8" t="n">
        <f aca="false">SUMIFS('Source'!$E:$E,'Source'!$A:$A,"155138 לקוח אינטרנט",'Source'!$B:$B,$A373)</f>
        <v>769.32</v>
      </c>
      <c r="I373" s="8" t="n">
        <f aca="false">SUMIFS('Source'!$G:$G,'Source'!$A:$A,"155138 לקוח אינטרנט",'Source'!$B:$B,$A373)</f>
        <v>384.66</v>
      </c>
      <c r="J373" s="8" t="n">
        <f aca="false">I373*$J$5</f>
        <v>485.886315789474</v>
      </c>
      <c r="K373" s="8" t="n">
        <f aca="false">J373-H373</f>
        <v>-283.433684210526</v>
      </c>
      <c r="L373" s="9" t="n">
        <f aca="false">IF(AND(H373=0,J373=0),0,IF(H373=0,"New",(J373-H373)/H373))</f>
        <v>-0.368421052631579</v>
      </c>
      <c r="M373" s="7" t="str">
        <f aca="false">IF(AND(OR(C373&lt;&gt;0,H373&lt;&gt;0),D373=0,I373=0),"DROP",IF(AND(OR(D373&lt;&gt;0,I373&lt;&gt;0),C373=0,H373=0),"NEW",""))</f>
        <v/>
      </c>
    </row>
    <row r="374" customFormat="false" ht="15" hidden="false" customHeight="false" outlineLevel="0" collapsed="false">
      <c r="A374" s="7" t="s">
        <v>464</v>
      </c>
      <c r="B374" s="7" t="str">
        <f aca="false">IFERROR(INDEX('Source'!$C:$C,MATCH($A374,'Source'!$B:$B,0)),"")</f>
        <v>מגן קרסול שחור</v>
      </c>
      <c r="C374" s="8" t="n">
        <f aca="false">SUMIFS('Source'!$D:$D,'Source'!$A:$A,"155138 לקוח אינטרנט",'Source'!$B:$B,$A374)</f>
        <v>9</v>
      </c>
      <c r="D374" s="8" t="n">
        <f aca="false">SUMIFS('Source'!$F:$F,'Source'!$A:$A,"155138 לקוח אינטרנט",'Source'!$B:$B,$A374)</f>
        <v>2</v>
      </c>
      <c r="E374" s="8" t="n">
        <f aca="false">D374*$J$5</f>
        <v>2.52631578947368</v>
      </c>
      <c r="F374" s="8" t="n">
        <f aca="false">E374-C374</f>
        <v>-6.47368421052632</v>
      </c>
      <c r="G374" s="9" t="n">
        <f aca="false">IF(AND(C374=0,E374=0),0,IF(C374=0,"New",(E374-C374)/C374))</f>
        <v>-0.719298245614035</v>
      </c>
      <c r="H374" s="8" t="n">
        <f aca="false">SUMIFS('Source'!$E:$E,'Source'!$A:$A,"155138 לקוח אינטרנט",'Source'!$B:$B,$A374)</f>
        <v>485.89</v>
      </c>
      <c r="I374" s="8" t="n">
        <f aca="false">SUMIFS('Source'!$G:$G,'Source'!$A:$A,"155138 לקוח אינטרנט",'Source'!$B:$B,$A374)</f>
        <v>103.33</v>
      </c>
      <c r="J374" s="8" t="n">
        <f aca="false">I374*$J$5</f>
        <v>130.522105263158</v>
      </c>
      <c r="K374" s="8" t="n">
        <f aca="false">J374-H374</f>
        <v>-355.367894736842</v>
      </c>
      <c r="L374" s="9" t="n">
        <f aca="false">IF(AND(H374=0,J374=0),0,IF(H374=0,"New",(J374-H374)/H374))</f>
        <v>-0.731375197548503</v>
      </c>
      <c r="M374" s="7" t="str">
        <f aca="false">IF(AND(OR(C374&lt;&gt;0,H374&lt;&gt;0),D374=0,I374=0),"DROP",IF(AND(OR(D374&lt;&gt;0,I374&lt;&gt;0),C374=0,H374=0),"NEW",""))</f>
        <v/>
      </c>
    </row>
    <row r="375" customFormat="false" ht="15" hidden="false" customHeight="false" outlineLevel="0" collapsed="false">
      <c r="A375" s="7" t="s">
        <v>465</v>
      </c>
      <c r="B375" s="7" t="str">
        <f aca="false">IFERROR(INDEX('Source'!$C:$C,MATCH($A375,'Source'!$B:$B,0)),"")</f>
        <v>צוארון ספוגי</v>
      </c>
      <c r="C375" s="8" t="n">
        <f aca="false">SUMIFS('Source'!$D:$D,'Source'!$A:$A,"155138 לקוח אינטרנט",'Source'!$B:$B,$A375)</f>
        <v>7</v>
      </c>
      <c r="D375" s="8" t="n">
        <f aca="false">SUMIFS('Source'!$F:$F,'Source'!$A:$A,"155138 לקוח אינטרנט",'Source'!$B:$B,$A375)</f>
        <v>11</v>
      </c>
      <c r="E375" s="8" t="n">
        <f aca="false">D375*$J$5</f>
        <v>13.8947368421053</v>
      </c>
      <c r="F375" s="8" t="n">
        <f aca="false">E375-C375</f>
        <v>6.89473684210526</v>
      </c>
      <c r="G375" s="9" t="n">
        <f aca="false">IF(AND(C375=0,E375=0),0,IF(C375=0,"New",(E375-C375)/C375))</f>
        <v>0.984962406015037</v>
      </c>
      <c r="H375" s="8" t="n">
        <f aca="false">SUMIFS('Source'!$E:$E,'Source'!$A:$A,"155138 לקוח אינטרנט",'Source'!$B:$B,$A375)</f>
        <v>592.35</v>
      </c>
      <c r="I375" s="8" t="n">
        <f aca="false">SUMIFS('Source'!$G:$G,'Source'!$A:$A,"155138 לקוח אינטרנט",'Source'!$B:$B,$A375)</f>
        <v>973.9</v>
      </c>
      <c r="J375" s="8" t="n">
        <f aca="false">I375*$J$5</f>
        <v>1230.18947368421</v>
      </c>
      <c r="K375" s="8" t="n">
        <f aca="false">J375-H375</f>
        <v>637.839473684211</v>
      </c>
      <c r="L375" s="9" t="n">
        <f aca="false">IF(AND(H375=0,J375=0),0,IF(H375=0,"New",(J375-H375)/H375))</f>
        <v>1.07679492476443</v>
      </c>
      <c r="M375" s="7" t="str">
        <f aca="false">IF(AND(OR(C375&lt;&gt;0,H375&lt;&gt;0),D375=0,I375=0),"DROP",IF(AND(OR(D375&lt;&gt;0,I375&lt;&gt;0),C375=0,H375=0),"NEW",""))</f>
        <v/>
      </c>
    </row>
    <row r="376" customFormat="false" ht="15" hidden="false" customHeight="false" outlineLevel="0" collapsed="false">
      <c r="A376" s="7" t="s">
        <v>466</v>
      </c>
      <c r="B376" s="7" t="str">
        <f aca="false">IFERROR(INDEX('Source'!$C:$C,MATCH($A376,'Source'!$B:$B,0)),"")</f>
        <v>חגורה אוורירית איטלקית</v>
      </c>
      <c r="C376" s="8" t="n">
        <f aca="false">SUMIFS('Source'!$D:$D,'Source'!$A:$A,"155138 לקוח אינטרנט",'Source'!$B:$B,$A376)</f>
        <v>3</v>
      </c>
      <c r="D376" s="8" t="n">
        <f aca="false">SUMIFS('Source'!$F:$F,'Source'!$A:$A,"155138 לקוח אינטרנט",'Source'!$B:$B,$A376)</f>
        <v>2</v>
      </c>
      <c r="E376" s="8" t="n">
        <f aca="false">D376*$J$5</f>
        <v>2.52631578947368</v>
      </c>
      <c r="F376" s="8" t="n">
        <f aca="false">E376-C376</f>
        <v>-0.473684210526316</v>
      </c>
      <c r="G376" s="9" t="n">
        <f aca="false">IF(AND(C376=0,E376=0),0,IF(C376=0,"New",(E376-C376)/C376))</f>
        <v>-0.157894736842105</v>
      </c>
      <c r="H376" s="8" t="n">
        <f aca="false">SUMIFS('Source'!$E:$E,'Source'!$A:$A,"155138 לקוח אינטרנט",'Source'!$B:$B,$A376)</f>
        <v>1328.57</v>
      </c>
      <c r="I376" s="8" t="n">
        <f aca="false">SUMIFS('Source'!$G:$G,'Source'!$A:$A,"155138 לקוח אינטרנט",'Source'!$B:$B,$A376)</f>
        <v>948.98</v>
      </c>
      <c r="J376" s="8" t="n">
        <f aca="false">I376*$J$5</f>
        <v>1198.71157894737</v>
      </c>
      <c r="K376" s="8" t="n">
        <f aca="false">J376-H376</f>
        <v>-129.858421052631</v>
      </c>
      <c r="L376" s="9" t="n">
        <f aca="false">IF(AND(H376=0,J376=0),0,IF(H376=0,"New",(J376-H376)/H376))</f>
        <v>-0.0977430026664997</v>
      </c>
      <c r="M376" s="7" t="str">
        <f aca="false">IF(AND(OR(C376&lt;&gt;0,H376&lt;&gt;0),D376=0,I376=0),"DROP",IF(AND(OR(D376&lt;&gt;0,I376&lt;&gt;0),C376=0,H376=0),"NEW",""))</f>
        <v/>
      </c>
    </row>
    <row r="377" customFormat="false" ht="15" hidden="false" customHeight="false" outlineLevel="0" collapsed="false">
      <c r="A377" s="7" t="s">
        <v>467</v>
      </c>
      <c r="B377" s="7" t="str">
        <f aca="false">IFERROR(INDEX('Source'!$C:$C,MATCH($A377,'Source'!$B:$B,0)),"")</f>
        <v>סד לקרסול</v>
      </c>
      <c r="C377" s="8" t="n">
        <f aca="false">SUMIFS('Source'!$D:$D,'Source'!$A:$A,"155138 לקוח אינטרנט",'Source'!$B:$B,$A377)</f>
        <v>5</v>
      </c>
      <c r="D377" s="8" t="n">
        <f aca="false">SUMIFS('Source'!$F:$F,'Source'!$A:$A,"155138 לקוח אינטרנט",'Source'!$B:$B,$A377)</f>
        <v>3</v>
      </c>
      <c r="E377" s="8" t="n">
        <f aca="false">D377*$J$5</f>
        <v>3.78947368421053</v>
      </c>
      <c r="F377" s="8" t="n">
        <f aca="false">E377-C377</f>
        <v>-1.21052631578947</v>
      </c>
      <c r="G377" s="9" t="n">
        <f aca="false">IF(AND(C377=0,E377=0),0,IF(C377=0,"New",(E377-C377)/C377))</f>
        <v>-0.242105263157895</v>
      </c>
      <c r="H377" s="8" t="n">
        <f aca="false">SUMIFS('Source'!$E:$E,'Source'!$A:$A,"155138 לקוח אינטרנט",'Source'!$B:$B,$A377)</f>
        <v>1138.64</v>
      </c>
      <c r="I377" s="8" t="n">
        <f aca="false">SUMIFS('Source'!$G:$G,'Source'!$A:$A,"155138 לקוח אינטרנט",'Source'!$B:$B,$A377)</f>
        <v>762.45</v>
      </c>
      <c r="J377" s="8" t="n">
        <f aca="false">I377*$J$5</f>
        <v>963.094736842105</v>
      </c>
      <c r="K377" s="8" t="n">
        <f aca="false">J377-H377</f>
        <v>-175.545263157895</v>
      </c>
      <c r="L377" s="9" t="n">
        <f aca="false">IF(AND(H377=0,J377=0),0,IF(H377=0,"New",(J377-H377)/H377))</f>
        <v>-0.154170996239281</v>
      </c>
      <c r="M377" s="7" t="str">
        <f aca="false">IF(AND(OR(C377&lt;&gt;0,H377&lt;&gt;0),D377=0,I377=0),"DROP",IF(AND(OR(D377&lt;&gt;0,I377&lt;&gt;0),C377=0,H377=0),"NEW",""))</f>
        <v/>
      </c>
    </row>
    <row r="378" customFormat="false" ht="15" hidden="false" customHeight="false" outlineLevel="0" collapsed="false">
      <c r="A378" s="7" t="s">
        <v>468</v>
      </c>
      <c r="B378" s="7" t="str">
        <f aca="false">IFERROR(INDEX('Source'!$C:$C,MATCH($A378,'Source'!$B:$B,0)),"")</f>
        <v>גרבי נוחות חורף אפור</v>
      </c>
      <c r="C378" s="8" t="n">
        <f aca="false">SUMIFS('Source'!$D:$D,'Source'!$A:$A,"155138 לקוח אינטרנט",'Source'!$B:$B,$A378)</f>
        <v>12</v>
      </c>
      <c r="D378" s="8" t="n">
        <f aca="false">SUMIFS('Source'!$F:$F,'Source'!$A:$A,"155138 לקוח אינטרנט",'Source'!$B:$B,$A378)</f>
        <v>4</v>
      </c>
      <c r="E378" s="8" t="n">
        <f aca="false">D378*$J$5</f>
        <v>5.05263157894737</v>
      </c>
      <c r="F378" s="8" t="n">
        <f aca="false">E378-C378</f>
        <v>-6.94736842105263</v>
      </c>
      <c r="G378" s="9" t="n">
        <f aca="false">IF(AND(C378=0,E378=0),0,IF(C378=0,"New",(E378-C378)/C378))</f>
        <v>-0.578947368421053</v>
      </c>
      <c r="H378" s="8" t="n">
        <f aca="false">SUMIFS('Source'!$E:$E,'Source'!$A:$A,"155138 לקוח אינטרנט",'Source'!$B:$B,$A378)</f>
        <v>603.87</v>
      </c>
      <c r="I378" s="8" t="n">
        <f aca="false">SUMIFS('Source'!$G:$G,'Source'!$A:$A,"155138 לקוח אינטרנט",'Source'!$B:$B,$A378)</f>
        <v>228.49</v>
      </c>
      <c r="J378" s="8" t="n">
        <f aca="false">I378*$J$5</f>
        <v>288.618947368421</v>
      </c>
      <c r="K378" s="8" t="n">
        <f aca="false">J378-H378</f>
        <v>-315.251052631579</v>
      </c>
      <c r="L378" s="9" t="n">
        <f aca="false">IF(AND(H378=0,J378=0),0,IF(H378=0,"New",(J378-H378)/H378))</f>
        <v>-0.52205119087151</v>
      </c>
      <c r="M378" s="7" t="str">
        <f aca="false">IF(AND(OR(C378&lt;&gt;0,H378&lt;&gt;0),D378=0,I378=0),"DROP",IF(AND(OR(D378&lt;&gt;0,I378&lt;&gt;0),C378=0,H378=0),"NEW",""))</f>
        <v/>
      </c>
    </row>
    <row r="379" customFormat="false" ht="15" hidden="false" customHeight="false" outlineLevel="0" collapsed="false">
      <c r="A379" s="7" t="s">
        <v>469</v>
      </c>
      <c r="B379" s="7" t="str">
        <f aca="false">IFERROR(INDEX('Source'!$C:$C,MATCH($A379,'Source'!$B:$B,0)),"")</f>
        <v>מדרס מג'ל</v>
      </c>
      <c r="C379" s="8" t="n">
        <f aca="false">SUMIFS('Source'!$D:$D,'Source'!$A:$A,"155138 לקוח אינטרנט",'Source'!$B:$B,$A379)</f>
        <v>13</v>
      </c>
      <c r="D379" s="8" t="n">
        <f aca="false">SUMIFS('Source'!$F:$F,'Source'!$A:$A,"155138 לקוח אינטרנט",'Source'!$B:$B,$A379)</f>
        <v>16</v>
      </c>
      <c r="E379" s="8" t="n">
        <f aca="false">D379*$J$5</f>
        <v>20.2105263157895</v>
      </c>
      <c r="F379" s="8" t="n">
        <f aca="false">E379-C379</f>
        <v>7.21052631578947</v>
      </c>
      <c r="G379" s="9" t="n">
        <f aca="false">IF(AND(C379=0,E379=0),0,IF(C379=0,"New",(E379-C379)/C379))</f>
        <v>0.554655870445344</v>
      </c>
      <c r="H379" s="8" t="n">
        <f aca="false">SUMIFS('Source'!$E:$E,'Source'!$A:$A,"155138 לקוח אינטרנט",'Source'!$B:$B,$A379)</f>
        <v>1570.5</v>
      </c>
      <c r="I379" s="8" t="n">
        <f aca="false">SUMIFS('Source'!$G:$G,'Source'!$A:$A,"155138 לקוח אינטרנט",'Source'!$B:$B,$A379)</f>
        <v>1943.8</v>
      </c>
      <c r="J379" s="8" t="n">
        <f aca="false">I379*$J$5</f>
        <v>2455.32631578947</v>
      </c>
      <c r="K379" s="8" t="n">
        <f aca="false">J379-H379</f>
        <v>884.826315789474</v>
      </c>
      <c r="L379" s="9" t="n">
        <f aca="false">IF(AND(H379=0,J379=0),0,IF(H379=0,"New",(J379-H379)/H379))</f>
        <v>0.563404212537073</v>
      </c>
      <c r="M379" s="7" t="str">
        <f aca="false">IF(AND(OR(C379&lt;&gt;0,H379&lt;&gt;0),D379=0,I379=0),"DROP",IF(AND(OR(D379&lt;&gt;0,I379&lt;&gt;0),C379=0,H379=0),"NEW",""))</f>
        <v/>
      </c>
    </row>
    <row r="380" customFormat="false" ht="15" hidden="false" customHeight="false" outlineLevel="0" collapsed="false">
      <c r="A380" s="7" t="s">
        <v>470</v>
      </c>
      <c r="B380" s="7" t="str">
        <f aca="false">IFERROR(INDEX('Source'!$C:$C,MATCH($A380,'Source'!$B:$B,0)),"")</f>
        <v>גרבי נוחות חורף שחור</v>
      </c>
      <c r="C380" s="8" t="n">
        <f aca="false">SUMIFS('Source'!$D:$D,'Source'!$A:$A,"155138 לקוח אינטרנט",'Source'!$B:$B,$A380)</f>
        <v>11</v>
      </c>
      <c r="D380" s="8" t="n">
        <f aca="false">SUMIFS('Source'!$F:$F,'Source'!$A:$A,"155138 לקוח אינטרנט",'Source'!$B:$B,$A380)</f>
        <v>18</v>
      </c>
      <c r="E380" s="8" t="n">
        <f aca="false">D380*$J$5</f>
        <v>22.7368421052632</v>
      </c>
      <c r="F380" s="8" t="n">
        <f aca="false">E380-C380</f>
        <v>11.7368421052632</v>
      </c>
      <c r="G380" s="9" t="n">
        <f aca="false">IF(AND(C380=0,E380=0),0,IF(C380=0,"New",(E380-C380)/C380))</f>
        <v>1.06698564593301</v>
      </c>
      <c r="H380" s="8" t="n">
        <f aca="false">SUMIFS('Source'!$E:$E,'Source'!$A:$A,"155138 לקוח אינטרנט",'Source'!$B:$B,$A380)</f>
        <v>587.39</v>
      </c>
      <c r="I380" s="8" t="n">
        <f aca="false">SUMIFS('Source'!$G:$G,'Source'!$A:$A,"155138 לקוח אינטרנט",'Source'!$B:$B,$A380)</f>
        <v>958.18</v>
      </c>
      <c r="J380" s="8" t="n">
        <f aca="false">I380*$J$5</f>
        <v>1210.33263157895</v>
      </c>
      <c r="K380" s="8" t="n">
        <f aca="false">J380-H380</f>
        <v>622.942631578947</v>
      </c>
      <c r="L380" s="9" t="n">
        <f aca="false">IF(AND(H380=0,J380=0),0,IF(H380=0,"New",(J380-H380)/H380))</f>
        <v>1.06052645019314</v>
      </c>
      <c r="M380" s="7" t="str">
        <f aca="false">IF(AND(OR(C380&lt;&gt;0,H380&lt;&gt;0),D380=0,I380=0),"DROP",IF(AND(OR(D380&lt;&gt;0,I380&lt;&gt;0),C380=0,H380=0),"NEW",""))</f>
        <v/>
      </c>
    </row>
    <row r="381" customFormat="false" ht="15" hidden="false" customHeight="false" outlineLevel="0" collapsed="false">
      <c r="A381" s="7" t="s">
        <v>471</v>
      </c>
      <c r="B381" s="7" t="str">
        <f aca="false">IFERROR(INDEX('Source'!$C:$C,MATCH($A381,'Source'!$B:$B,0)),"")</f>
        <v>ח.בטן 25 ס'מ</v>
      </c>
      <c r="C381" s="8" t="n">
        <f aca="false">SUMIFS('Source'!$D:$D,'Source'!$A:$A,"155138 לקוח אינטרנט",'Source'!$B:$B,$A381)</f>
        <v>10</v>
      </c>
      <c r="D381" s="8" t="n">
        <f aca="false">SUMIFS('Source'!$F:$F,'Source'!$A:$A,"155138 לקוח אינטרנט",'Source'!$B:$B,$A381)</f>
        <v>8</v>
      </c>
      <c r="E381" s="8" t="n">
        <f aca="false">D381*$J$5</f>
        <v>10.1052631578947</v>
      </c>
      <c r="F381" s="8" t="n">
        <f aca="false">E381-C381</f>
        <v>0.105263157894736</v>
      </c>
      <c r="G381" s="9" t="n">
        <f aca="false">IF(AND(C381=0,E381=0),0,IF(C381=0,"New",(E381-C381)/C381))</f>
        <v>0.0105263157894736</v>
      </c>
      <c r="H381" s="8" t="n">
        <f aca="false">SUMIFS('Source'!$E:$E,'Source'!$A:$A,"155138 לקוח אינטרנט",'Source'!$B:$B,$A381)</f>
        <v>1960.84</v>
      </c>
      <c r="I381" s="8" t="n">
        <f aca="false">SUMIFS('Source'!$G:$G,'Source'!$A:$A,"155138 לקוח אינטרנט",'Source'!$B:$B,$A381)</f>
        <v>1592.55</v>
      </c>
      <c r="J381" s="8" t="n">
        <f aca="false">I381*$J$5</f>
        <v>2011.64210526316</v>
      </c>
      <c r="K381" s="8" t="n">
        <f aca="false">J381-H381</f>
        <v>50.8021052631577</v>
      </c>
      <c r="L381" s="9" t="n">
        <f aca="false">IF(AND(H381=0,J381=0),0,IF(H381=0,"New",(J381-H381)/H381))</f>
        <v>0.0259083378874144</v>
      </c>
      <c r="M381" s="7" t="str">
        <f aca="false">IF(AND(OR(C381&lt;&gt;0,H381&lt;&gt;0),D381=0,I381=0),"DROP",IF(AND(OR(D381&lt;&gt;0,I381&lt;&gt;0),C381=0,H381=0),"NEW",""))</f>
        <v/>
      </c>
    </row>
    <row r="382" customFormat="false" ht="15" hidden="false" customHeight="false" outlineLevel="0" collapsed="false">
      <c r="A382" s="7" t="s">
        <v>472</v>
      </c>
      <c r="B382" s="7" t="str">
        <f aca="false">IFERROR(INDEX('Source'!$C:$C,MATCH($A382,'Source'!$B:$B,0)),"")</f>
        <v>צוארון פלסטי מתכוונן</v>
      </c>
      <c r="C382" s="8" t="n">
        <f aca="false">SUMIFS('Source'!$D:$D,'Source'!$A:$A,"155138 לקוח אינטרנט",'Source'!$B:$B,$A382)</f>
        <v>7</v>
      </c>
      <c r="D382" s="8" t="n">
        <f aca="false">SUMIFS('Source'!$F:$F,'Source'!$A:$A,"155138 לקוח אינטרנט",'Source'!$B:$B,$A382)</f>
        <v>4</v>
      </c>
      <c r="E382" s="8" t="n">
        <f aca="false">D382*$J$5</f>
        <v>5.05263157894737</v>
      </c>
      <c r="F382" s="8" t="n">
        <f aca="false">E382-C382</f>
        <v>-1.94736842105263</v>
      </c>
      <c r="G382" s="9" t="n">
        <f aca="false">IF(AND(C382=0,E382=0),0,IF(C382=0,"New",(E382-C382)/C382))</f>
        <v>-0.278195488721805</v>
      </c>
      <c r="H382" s="8" t="n">
        <f aca="false">SUMIFS('Source'!$E:$E,'Source'!$A:$A,"155138 לקוח אינטרנט",'Source'!$B:$B,$A382)</f>
        <v>805.67</v>
      </c>
      <c r="I382" s="8" t="n">
        <f aca="false">SUMIFS('Source'!$G:$G,'Source'!$A:$A,"155138 לקוח אינטרנט",'Source'!$B:$B,$A382)</f>
        <v>438.93</v>
      </c>
      <c r="J382" s="8" t="n">
        <f aca="false">I382*$J$5</f>
        <v>554.437894736842</v>
      </c>
      <c r="K382" s="8" t="n">
        <f aca="false">J382-H382</f>
        <v>-251.232105263158</v>
      </c>
      <c r="L382" s="9" t="n">
        <f aca="false">IF(AND(H382=0,J382=0),0,IF(H382=0,"New",(J382-H382)/H382))</f>
        <v>-0.311830036197398</v>
      </c>
      <c r="M382" s="7" t="str">
        <f aca="false">IF(AND(OR(C382&lt;&gt;0,H382&lt;&gt;0),D382=0,I382=0),"DROP",IF(AND(OR(D382&lt;&gt;0,I382&lt;&gt;0),C382=0,H382=0),"NEW",""))</f>
        <v/>
      </c>
    </row>
    <row r="383" customFormat="false" ht="15" hidden="false" customHeight="false" outlineLevel="0" collapsed="false">
      <c r="A383" s="7" t="s">
        <v>473</v>
      </c>
      <c r="B383" s="7" t="str">
        <f aca="false">IFERROR(INDEX('Source'!$C:$C,MATCH($A383,'Source'!$B:$B,0)),"")</f>
        <v>מגן מרפק שחור</v>
      </c>
      <c r="C383" s="8" t="n">
        <f aca="false">SUMIFS('Source'!$D:$D,'Source'!$A:$A,"155138 לקוח אינטרנט",'Source'!$B:$B,$A383)</f>
        <v>14</v>
      </c>
      <c r="D383" s="8" t="n">
        <f aca="false">SUMIFS('Source'!$F:$F,'Source'!$A:$A,"155138 לקוח אינטרנט",'Source'!$B:$B,$A383)</f>
        <v>11</v>
      </c>
      <c r="E383" s="8" t="n">
        <f aca="false">D383*$J$5</f>
        <v>13.8947368421053</v>
      </c>
      <c r="F383" s="8" t="n">
        <f aca="false">E383-C383</f>
        <v>-0.105263157894738</v>
      </c>
      <c r="G383" s="9" t="n">
        <f aca="false">IF(AND(C383=0,E383=0),0,IF(C383=0,"New",(E383-C383)/C383))</f>
        <v>-0.00751879699248129</v>
      </c>
      <c r="H383" s="8" t="n">
        <f aca="false">SUMIFS('Source'!$E:$E,'Source'!$A:$A,"155138 לקוח אינטרנט",'Source'!$B:$B,$A383)</f>
        <v>730.67</v>
      </c>
      <c r="I383" s="8" t="n">
        <f aca="false">SUMIFS('Source'!$G:$G,'Source'!$A:$A,"155138 לקוח אינטרנט",'Source'!$B:$B,$A383)</f>
        <v>364.69</v>
      </c>
      <c r="J383" s="8" t="n">
        <f aca="false">I383*$J$5</f>
        <v>460.661052631579</v>
      </c>
      <c r="K383" s="8" t="n">
        <f aca="false">J383-H383</f>
        <v>-270.008947368421</v>
      </c>
      <c r="L383" s="9" t="n">
        <f aca="false">IF(AND(H383=0,J383=0),0,IF(H383=0,"New",(J383-H383)/H383))</f>
        <v>-0.369536107091329</v>
      </c>
      <c r="M383" s="7" t="str">
        <f aca="false">IF(AND(OR(C383&lt;&gt;0,H383&lt;&gt;0),D383=0,I383=0),"DROP",IF(AND(OR(D383&lt;&gt;0,I383&lt;&gt;0),C383=0,H383=0),"NEW",""))</f>
        <v/>
      </c>
    </row>
    <row r="384" customFormat="false" ht="15" hidden="false" customHeight="false" outlineLevel="0" collapsed="false">
      <c r="A384" s="7" t="s">
        <v>474</v>
      </c>
      <c r="B384" s="7" t="str">
        <f aca="false">IFERROR(INDEX('Source'!$C:$C,MATCH($A384,'Source'!$B:$B,0)),"")</f>
        <v>מגן ברך +חור לפיקה</v>
      </c>
      <c r="C384" s="8" t="n">
        <f aca="false">SUMIFS('Source'!$D:$D,'Source'!$A:$A,"155138 לקוח אינטרנט",'Source'!$B:$B,$A384)</f>
        <v>3</v>
      </c>
      <c r="D384" s="8" t="n">
        <f aca="false">SUMIFS('Source'!$F:$F,'Source'!$A:$A,"155138 לקוח אינטרנט",'Source'!$B:$B,$A384)</f>
        <v>1</v>
      </c>
      <c r="E384" s="8" t="n">
        <f aca="false">D384*$J$5</f>
        <v>1.26315789473684</v>
      </c>
      <c r="F384" s="8" t="n">
        <f aca="false">E384-C384</f>
        <v>-1.73684210526316</v>
      </c>
      <c r="G384" s="9" t="n">
        <f aca="false">IF(AND(C384=0,E384=0),0,IF(C384=0,"New",(E384-C384)/C384))</f>
        <v>-0.578947368421053</v>
      </c>
      <c r="H384" s="8" t="n">
        <f aca="false">SUMIFS('Source'!$E:$E,'Source'!$A:$A,"155138 לקוח אינטרנט",'Source'!$B:$B,$A384)</f>
        <v>578.66</v>
      </c>
      <c r="I384" s="8" t="n">
        <f aca="false">SUMIFS('Source'!$G:$G,'Source'!$A:$A,"155138 לקוח אינטרנט",'Source'!$B:$B,$A384)</f>
        <v>214.33</v>
      </c>
      <c r="J384" s="8" t="n">
        <f aca="false">I384*$J$5</f>
        <v>270.732631578947</v>
      </c>
      <c r="K384" s="8" t="n">
        <f aca="false">J384-H384</f>
        <v>-307.927368421053</v>
      </c>
      <c r="L384" s="9" t="n">
        <f aca="false">IF(AND(H384=0,J384=0),0,IF(H384=0,"New",(J384-H384)/H384))</f>
        <v>-0.532138679744673</v>
      </c>
      <c r="M384" s="7" t="str">
        <f aca="false">IF(AND(OR(C384&lt;&gt;0,H384&lt;&gt;0),D384=0,I384=0),"DROP",IF(AND(OR(D384&lt;&gt;0,I384&lt;&gt;0),C384=0,H384=0),"NEW",""))</f>
        <v/>
      </c>
    </row>
    <row r="385" customFormat="false" ht="15" hidden="false" customHeight="false" outlineLevel="0" collapsed="false">
      <c r="A385" s="7" t="s">
        <v>475</v>
      </c>
      <c r="B385" s="7" t="str">
        <f aca="false">IFERROR(INDEX('Source'!$C:$C,MATCH($A385,'Source'!$B:$B,0)),"")</f>
        <v>אצבעון מסיליקון</v>
      </c>
      <c r="C385" s="8" t="n">
        <f aca="false">SUMIFS('Source'!$D:$D,'Source'!$A:$A,"155138 לקוח אינטרנט",'Source'!$B:$B,$A385)</f>
        <v>0</v>
      </c>
      <c r="D385" s="8" t="n">
        <f aca="false">SUMIFS('Source'!$F:$F,'Source'!$A:$A,"155138 לקוח אינטרנט",'Source'!$B:$B,$A385)</f>
        <v>9</v>
      </c>
      <c r="E385" s="8" t="n">
        <f aca="false">D385*$J$5</f>
        <v>11.3684210526316</v>
      </c>
      <c r="F385" s="8" t="n">
        <f aca="false">E385-C385</f>
        <v>11.3684210526316</v>
      </c>
      <c r="G385" s="9" t="str">
        <f aca="false">IF(AND(C385=0,E385=0),0,IF(C385=0,"New",(E385-C385)/C385))</f>
        <v>New</v>
      </c>
      <c r="H385" s="8" t="n">
        <f aca="false">SUMIFS('Source'!$E:$E,'Source'!$A:$A,"155138 לקוח אינטרנט",'Source'!$B:$B,$A385)</f>
        <v>0</v>
      </c>
      <c r="I385" s="8" t="n">
        <f aca="false">SUMIFS('Source'!$G:$G,'Source'!$A:$A,"155138 לקוח אינטרנט",'Source'!$B:$B,$A385)</f>
        <v>358.07</v>
      </c>
      <c r="J385" s="8" t="n">
        <f aca="false">I385*$J$5</f>
        <v>452.298947368421</v>
      </c>
      <c r="K385" s="8" t="n">
        <f aca="false">J385-H385</f>
        <v>452.298947368421</v>
      </c>
      <c r="L385" s="9" t="str">
        <f aca="false">IF(AND(H385=0,J385=0),0,IF(H385=0,"New",(J385-H385)/H385))</f>
        <v>New</v>
      </c>
      <c r="M385" s="7" t="str">
        <f aca="false">IF(AND(OR(C385&lt;&gt;0,H385&lt;&gt;0),D385=0,I385=0),"DROP",IF(AND(OR(D385&lt;&gt;0,I385&lt;&gt;0),C385=0,H385=0),"NEW",""))</f>
        <v>NEW</v>
      </c>
    </row>
    <row r="386" customFormat="false" ht="15" hidden="false" customHeight="false" outlineLevel="0" collapsed="false">
      <c r="A386" s="7" t="s">
        <v>476</v>
      </c>
      <c r="B386" s="7" t="str">
        <f aca="false">IFERROR(INDEX('Source'!$C:$C,MATCH($A386,'Source'!$B:$B,0)),"")</f>
        <v>סד יד דו צדדי</v>
      </c>
      <c r="C386" s="8" t="n">
        <f aca="false">SUMIFS('Source'!$D:$D,'Source'!$A:$A,"155138 לקוח אינטרנט",'Source'!$B:$B,$A386)</f>
        <v>1</v>
      </c>
      <c r="D386" s="8" t="n">
        <f aca="false">SUMIFS('Source'!$F:$F,'Source'!$A:$A,"155138 לקוח אינטרנט",'Source'!$B:$B,$A386)</f>
        <v>3</v>
      </c>
      <c r="E386" s="8" t="n">
        <f aca="false">D386*$J$5</f>
        <v>3.78947368421053</v>
      </c>
      <c r="F386" s="8" t="n">
        <f aca="false">E386-C386</f>
        <v>2.78947368421053</v>
      </c>
      <c r="G386" s="9" t="n">
        <f aca="false">IF(AND(C386=0,E386=0),0,IF(C386=0,"New",(E386-C386)/C386))</f>
        <v>2.78947368421053</v>
      </c>
      <c r="H386" s="8" t="n">
        <f aca="false">SUMIFS('Source'!$E:$E,'Source'!$A:$A,"155138 לקוח אינטרנט",'Source'!$B:$B,$A386)</f>
        <v>158.41</v>
      </c>
      <c r="I386" s="8" t="n">
        <f aca="false">SUMIFS('Source'!$G:$G,'Source'!$A:$A,"155138 לקוח אינטרנט",'Source'!$B:$B,$A386)</f>
        <v>516.08</v>
      </c>
      <c r="J386" s="8" t="n">
        <f aca="false">I386*$J$5</f>
        <v>651.890526315789</v>
      </c>
      <c r="K386" s="8" t="n">
        <f aca="false">J386-H386</f>
        <v>493.480526315789</v>
      </c>
      <c r="L386" s="9" t="n">
        <f aca="false">IF(AND(H386=0,J386=0),0,IF(H386=0,"New",(J386-H386)/H386))</f>
        <v>3.11521069576283</v>
      </c>
      <c r="M386" s="7" t="str">
        <f aca="false">IF(AND(OR(C386&lt;&gt;0,H386&lt;&gt;0),D386=0,I386=0),"DROP",IF(AND(OR(D386&lt;&gt;0,I386&lt;&gt;0),C386=0,H386=0),"NEW",""))</f>
        <v/>
      </c>
    </row>
    <row r="387" customFormat="false" ht="15" hidden="false" customHeight="false" outlineLevel="0" collapsed="false">
      <c r="A387" s="7" t="s">
        <v>477</v>
      </c>
      <c r="B387" s="7" t="str">
        <f aca="false">IFERROR(INDEX('Source'!$C:$C,MATCH($A387,'Source'!$B:$B,0)),"")</f>
        <v>סד לאגודל</v>
      </c>
      <c r="C387" s="8" t="n">
        <f aca="false">SUMIFS('Source'!$D:$D,'Source'!$A:$A,"155138 לקוח אינטרנט",'Source'!$B:$B,$A387)</f>
        <v>3</v>
      </c>
      <c r="D387" s="8" t="n">
        <f aca="false">SUMIFS('Source'!$F:$F,'Source'!$A:$A,"155138 לקוח אינטרנט",'Source'!$B:$B,$A387)</f>
        <v>1</v>
      </c>
      <c r="E387" s="8" t="n">
        <f aca="false">D387*$J$5</f>
        <v>1.26315789473684</v>
      </c>
      <c r="F387" s="8" t="n">
        <f aca="false">E387-C387</f>
        <v>-1.73684210526316</v>
      </c>
      <c r="G387" s="9" t="n">
        <f aca="false">IF(AND(C387=0,E387=0),0,IF(C387=0,"New",(E387-C387)/C387))</f>
        <v>-0.578947368421053</v>
      </c>
      <c r="H387" s="8" t="n">
        <f aca="false">SUMIFS('Source'!$E:$E,'Source'!$A:$A,"155138 לקוח אינטרנט",'Source'!$B:$B,$A387)</f>
        <v>543.82</v>
      </c>
      <c r="I387" s="8" t="n">
        <f aca="false">SUMIFS('Source'!$G:$G,'Source'!$A:$A,"155138 לקוח אינטרנט",'Source'!$B:$B,$A387)</f>
        <v>186.35</v>
      </c>
      <c r="J387" s="8" t="n">
        <f aca="false">I387*$J$5</f>
        <v>235.389473684211</v>
      </c>
      <c r="K387" s="8" t="n">
        <f aca="false">J387-H387</f>
        <v>-308.43052631579</v>
      </c>
      <c r="L387" s="9" t="n">
        <f aca="false">IF(AND(H387=0,J387=0),0,IF(H387=0,"New",(J387-H387)/H387))</f>
        <v>-0.567155541016861</v>
      </c>
      <c r="M387" s="7" t="str">
        <f aca="false">IF(AND(OR(C387&lt;&gt;0,H387&lt;&gt;0),D387=0,I387=0),"DROP",IF(AND(OR(D387&lt;&gt;0,I387&lt;&gt;0),C387=0,H387=0),"NEW",""))</f>
        <v/>
      </c>
    </row>
    <row r="388" customFormat="false" ht="15" hidden="false" customHeight="false" outlineLevel="0" collapsed="false">
      <c r="A388" s="7" t="s">
        <v>478</v>
      </c>
      <c r="B388" s="7" t="str">
        <f aca="false">IFERROR(INDEX('Source'!$C:$C,MATCH($A388,'Source'!$B:$B,0)),"")</f>
        <v>מדבקה גדולה מסיליקון</v>
      </c>
      <c r="C388" s="8" t="n">
        <f aca="false">SUMIFS('Source'!$D:$D,'Source'!$A:$A,"155138 לקוח אינטרנט",'Source'!$B:$B,$A388)</f>
        <v>47</v>
      </c>
      <c r="D388" s="8" t="n">
        <f aca="false">SUMIFS('Source'!$F:$F,'Source'!$A:$A,"155138 לקוח אינטרנט",'Source'!$B:$B,$A388)</f>
        <v>36</v>
      </c>
      <c r="E388" s="8" t="n">
        <f aca="false">D388*$J$5</f>
        <v>45.4736842105263</v>
      </c>
      <c r="F388" s="8" t="n">
        <f aca="false">E388-C388</f>
        <v>-1.52631578947369</v>
      </c>
      <c r="G388" s="9" t="n">
        <f aca="false">IF(AND(C388=0,E388=0),0,IF(C388=0,"New",(E388-C388)/C388))</f>
        <v>-0.032474804031355</v>
      </c>
      <c r="H388" s="8" t="n">
        <f aca="false">SUMIFS('Source'!$E:$E,'Source'!$A:$A,"155138 לקוח אינטרנט",'Source'!$B:$B,$A388)</f>
        <v>1772.16</v>
      </c>
      <c r="I388" s="8" t="n">
        <f aca="false">SUMIFS('Source'!$G:$G,'Source'!$A:$A,"155138 לקוח אינטרנט",'Source'!$B:$B,$A388)</f>
        <v>1415.01</v>
      </c>
      <c r="J388" s="8" t="n">
        <f aca="false">I388*$J$5</f>
        <v>1787.38105263158</v>
      </c>
      <c r="K388" s="8" t="n">
        <f aca="false">J388-H388</f>
        <v>15.2210526315787</v>
      </c>
      <c r="L388" s="9" t="n">
        <f aca="false">IF(AND(H388=0,J388=0),0,IF(H388=0,"New",(J388-H388)/H388))</f>
        <v>0.00858898329246721</v>
      </c>
      <c r="M388" s="7" t="str">
        <f aca="false">IF(AND(OR(C388&lt;&gt;0,H388&lt;&gt;0),D388=0,I388=0),"DROP",IF(AND(OR(D388&lt;&gt;0,I388&lt;&gt;0),C388=0,H388=0),"NEW",""))</f>
        <v/>
      </c>
    </row>
    <row r="389" customFormat="false" ht="15" hidden="false" customHeight="false" outlineLevel="0" collapsed="false">
      <c r="A389" s="7" t="s">
        <v>479</v>
      </c>
      <c r="B389" s="7" t="str">
        <f aca="false">IFERROR(INDEX('Source'!$C:$C,MATCH($A389,'Source'!$B:$B,0)),"")</f>
        <v>מגן ברך SC422</v>
      </c>
      <c r="C389" s="8" t="n">
        <f aca="false">SUMIFS('Source'!$D:$D,'Source'!$A:$A,"155138 לקוח אינטרנט",'Source'!$B:$B,$A389)</f>
        <v>19</v>
      </c>
      <c r="D389" s="8" t="n">
        <f aca="false">SUMIFS('Source'!$F:$F,'Source'!$A:$A,"155138 לקוח אינטרנט",'Source'!$B:$B,$A389)</f>
        <v>18</v>
      </c>
      <c r="E389" s="8" t="n">
        <f aca="false">D389*$J$5</f>
        <v>22.7368421052632</v>
      </c>
      <c r="F389" s="8" t="n">
        <f aca="false">E389-C389</f>
        <v>3.73684210526316</v>
      </c>
      <c r="G389" s="9" t="n">
        <f aca="false">IF(AND(C389=0,E389=0),0,IF(C389=0,"New",(E389-C389)/C389))</f>
        <v>0.196675900277008</v>
      </c>
      <c r="H389" s="8" t="n">
        <f aca="false">SUMIFS('Source'!$E:$E,'Source'!$A:$A,"155138 לקוח אינטרנט",'Source'!$B:$B,$A389)</f>
        <v>4359.52</v>
      </c>
      <c r="I389" s="8" t="n">
        <f aca="false">SUMIFS('Source'!$G:$G,'Source'!$A:$A,"155138 לקוח אינטרנט",'Source'!$B:$B,$A389)</f>
        <v>4002.89</v>
      </c>
      <c r="J389" s="8" t="n">
        <f aca="false">I389*$J$5</f>
        <v>5056.28210526316</v>
      </c>
      <c r="K389" s="8" t="n">
        <f aca="false">J389-H389</f>
        <v>696.762105263158</v>
      </c>
      <c r="L389" s="9" t="n">
        <f aca="false">IF(AND(H389=0,J389=0),0,IF(H389=0,"New",(J389-H389)/H389))</f>
        <v>0.159825417766901</v>
      </c>
      <c r="M389" s="7" t="str">
        <f aca="false">IF(AND(OR(C389&lt;&gt;0,H389&lt;&gt;0),D389=0,I389=0),"DROP",IF(AND(OR(D389&lt;&gt;0,I389&lt;&gt;0),C389=0,H389=0),"NEW",""))</f>
        <v/>
      </c>
    </row>
    <row r="390" customFormat="false" ht="15" hidden="false" customHeight="false" outlineLevel="0" collapsed="false">
      <c r="A390" s="7" t="s">
        <v>480</v>
      </c>
      <c r="B390" s="7" t="str">
        <f aca="false">IFERROR(INDEX('Source'!$C:$C,MATCH($A390,'Source'!$B:$B,0)),"")</f>
        <v>חגורת לומבו-סקרל-צבע</v>
      </c>
      <c r="C390" s="8" t="n">
        <f aca="false">SUMIFS('Source'!$D:$D,'Source'!$A:$A,"155138 לקוח אינטרנט",'Source'!$B:$B,$A390)</f>
        <v>2</v>
      </c>
      <c r="D390" s="8" t="n">
        <f aca="false">SUMIFS('Source'!$F:$F,'Source'!$A:$A,"155138 לקוח אינטרנט",'Source'!$B:$B,$A390)</f>
        <v>1</v>
      </c>
      <c r="E390" s="8" t="n">
        <f aca="false">D390*$J$5</f>
        <v>1.26315789473684</v>
      </c>
      <c r="F390" s="8" t="n">
        <f aca="false">E390-C390</f>
        <v>-0.736842105263158</v>
      </c>
      <c r="G390" s="9" t="n">
        <f aca="false">IF(AND(C390=0,E390=0),0,IF(C390=0,"New",(E390-C390)/C390))</f>
        <v>-0.368421052631579</v>
      </c>
      <c r="H390" s="8" t="n">
        <f aca="false">SUMIFS('Source'!$E:$E,'Source'!$A:$A,"155138 לקוח אינטרנט",'Source'!$B:$B,$A390)</f>
        <v>780.04</v>
      </c>
      <c r="I390" s="8" t="n">
        <f aca="false">SUMIFS('Source'!$G:$G,'Source'!$A:$A,"155138 לקוח אינטרנט",'Source'!$B:$B,$A390)</f>
        <v>423.64</v>
      </c>
      <c r="J390" s="8" t="n">
        <f aca="false">I390*$J$5</f>
        <v>535.124210526316</v>
      </c>
      <c r="K390" s="8" t="n">
        <f aca="false">J390-H390</f>
        <v>-244.915789473684</v>
      </c>
      <c r="L390" s="9" t="n">
        <f aca="false">IF(AND(H390=0,J390=0),0,IF(H390=0,"New",(J390-H390)/H390))</f>
        <v>-0.313978500427778</v>
      </c>
      <c r="M390" s="7" t="str">
        <f aca="false">IF(AND(OR(C390&lt;&gt;0,H390&lt;&gt;0),D390=0,I390=0),"DROP",IF(AND(OR(D390&lt;&gt;0,I390&lt;&gt;0),C390=0,H390=0),"NEW",""))</f>
        <v/>
      </c>
    </row>
    <row r="391" customFormat="false" ht="15" hidden="false" customHeight="false" outlineLevel="0" collapsed="false">
      <c r="A391" s="7" t="s">
        <v>481</v>
      </c>
      <c r="B391" s="7" t="str">
        <f aca="false">IFERROR(INDEX('Source'!$C:$C,MATCH($A391,'Source'!$B:$B,0)),"")</f>
        <v>חגורת בטן עממית אפור</v>
      </c>
      <c r="C391" s="8" t="n">
        <f aca="false">SUMIFS('Source'!$D:$D,'Source'!$A:$A,"155138 לקוח אינטרנט",'Source'!$B:$B,$A391)</f>
        <v>1</v>
      </c>
      <c r="D391" s="8" t="n">
        <f aca="false">SUMIFS('Source'!$F:$F,'Source'!$A:$A,"155138 לקוח אינטרנט",'Source'!$B:$B,$A391)</f>
        <v>3</v>
      </c>
      <c r="E391" s="8" t="n">
        <f aca="false">D391*$J$5</f>
        <v>3.78947368421053</v>
      </c>
      <c r="F391" s="8" t="n">
        <f aca="false">E391-C391</f>
        <v>2.78947368421053</v>
      </c>
      <c r="G391" s="9" t="n">
        <f aca="false">IF(AND(C391=0,E391=0),0,IF(C391=0,"New",(E391-C391)/C391))</f>
        <v>2.78947368421053</v>
      </c>
      <c r="H391" s="8" t="n">
        <f aca="false">SUMIFS('Source'!$E:$E,'Source'!$A:$A,"155138 לקוח אינטרנט",'Source'!$B:$B,$A391)</f>
        <v>186.36</v>
      </c>
      <c r="I391" s="8" t="n">
        <f aca="false">SUMIFS('Source'!$G:$G,'Source'!$A:$A,"155138 לקוח אינטרנט",'Source'!$B:$B,$A391)</f>
        <v>540.42</v>
      </c>
      <c r="J391" s="8" t="n">
        <f aca="false">I391*$J$5</f>
        <v>682.635789473684</v>
      </c>
      <c r="K391" s="8" t="n">
        <f aca="false">J391-H391</f>
        <v>496.275789473684</v>
      </c>
      <c r="L391" s="9" t="n">
        <f aca="false">IF(AND(H391=0,J391=0),0,IF(H391=0,"New",(J391-H391)/H391))</f>
        <v>2.66299522147287</v>
      </c>
      <c r="M391" s="7" t="str">
        <f aca="false">IF(AND(OR(C391&lt;&gt;0,H391&lt;&gt;0),D391=0,I391=0),"DROP",IF(AND(OR(D391&lt;&gt;0,I391&lt;&gt;0),C391=0,H391=0),"NEW",""))</f>
        <v/>
      </c>
    </row>
    <row r="392" customFormat="false" ht="15" hidden="false" customHeight="false" outlineLevel="0" collapsed="false">
      <c r="A392" s="7" t="s">
        <v>482</v>
      </c>
      <c r="B392" s="7" t="str">
        <f aca="false">IFERROR(INDEX('Source'!$C:$C,MATCH($A392,'Source'!$B:$B,0)),"")</f>
        <v>ח.בטן 25 ס'מ</v>
      </c>
      <c r="C392" s="8" t="n">
        <f aca="false">SUMIFS('Source'!$D:$D,'Source'!$A:$A,"155138 לקוח אינטרנט",'Source'!$B:$B,$A392)</f>
        <v>5</v>
      </c>
      <c r="D392" s="8" t="n">
        <f aca="false">SUMIFS('Source'!$F:$F,'Source'!$A:$A,"155138 לקוח אינטרנט",'Source'!$B:$B,$A392)</f>
        <v>7</v>
      </c>
      <c r="E392" s="8" t="n">
        <f aca="false">D392*$J$5</f>
        <v>8.84210526315789</v>
      </c>
      <c r="F392" s="8" t="n">
        <f aca="false">E392-C392</f>
        <v>3.84210526315789</v>
      </c>
      <c r="G392" s="9" t="n">
        <f aca="false">IF(AND(C392=0,E392=0),0,IF(C392=0,"New",(E392-C392)/C392))</f>
        <v>0.768421052631579</v>
      </c>
      <c r="H392" s="8" t="n">
        <f aca="false">SUMIFS('Source'!$E:$E,'Source'!$A:$A,"155138 לקוח אינטרנט",'Source'!$B:$B,$A392)</f>
        <v>973.31</v>
      </c>
      <c r="I392" s="8" t="n">
        <f aca="false">SUMIFS('Source'!$G:$G,'Source'!$A:$A,"155138 לקוח אינטרנט",'Source'!$B:$B,$A392)</f>
        <v>1323.81</v>
      </c>
      <c r="J392" s="8" t="n">
        <f aca="false">I392*$J$5</f>
        <v>1672.18105263158</v>
      </c>
      <c r="K392" s="8" t="n">
        <f aca="false">J392-H392</f>
        <v>698.871052631579</v>
      </c>
      <c r="L392" s="9" t="n">
        <f aca="false">IF(AND(H392=0,J392=0),0,IF(H392=0,"New",(J392-H392)/H392))</f>
        <v>0.718035417936298</v>
      </c>
      <c r="M392" s="7" t="str">
        <f aca="false">IF(AND(OR(C392&lt;&gt;0,H392&lt;&gt;0),D392=0,I392=0),"DROP",IF(AND(OR(D392&lt;&gt;0,I392&lt;&gt;0),C392=0,H392=0),"NEW",""))</f>
        <v/>
      </c>
    </row>
    <row r="393" customFormat="false" ht="15" hidden="false" customHeight="false" outlineLevel="0" collapsed="false">
      <c r="A393" s="7" t="s">
        <v>483</v>
      </c>
      <c r="B393" s="7" t="str">
        <f aca="false">IFERROR(INDEX('Source'!$C:$C,MATCH($A393,'Source'!$B:$B,0)),"")</f>
        <v>כרית סיליקון לעקב</v>
      </c>
      <c r="C393" s="8" t="n">
        <f aca="false">SUMIFS('Source'!$D:$D,'Source'!$A:$A,"155138 לקוח אינטרנט",'Source'!$B:$B,$A393)</f>
        <v>12</v>
      </c>
      <c r="D393" s="8" t="n">
        <f aca="false">SUMIFS('Source'!$F:$F,'Source'!$A:$A,"155138 לקוח אינטרנט",'Source'!$B:$B,$A393)</f>
        <v>14</v>
      </c>
      <c r="E393" s="8" t="n">
        <f aca="false">D393*$J$5</f>
        <v>17.6842105263158</v>
      </c>
      <c r="F393" s="8" t="n">
        <f aca="false">E393-C393</f>
        <v>5.68421052631579</v>
      </c>
      <c r="G393" s="9" t="n">
        <f aca="false">IF(AND(C393=0,E393=0),0,IF(C393=0,"New",(E393-C393)/C393))</f>
        <v>0.473684210526316</v>
      </c>
      <c r="H393" s="8" t="n">
        <f aca="false">SUMIFS('Source'!$E:$E,'Source'!$A:$A,"155138 לקוח אינטרנט",'Source'!$B:$B,$A393)</f>
        <v>1927.23</v>
      </c>
      <c r="I393" s="8" t="n">
        <f aca="false">SUMIFS('Source'!$G:$G,'Source'!$A:$A,"155138 לקוח אינטרנט",'Source'!$B:$B,$A393)</f>
        <v>2277.7</v>
      </c>
      <c r="J393" s="8" t="n">
        <f aca="false">I393*$J$5</f>
        <v>2877.09473684211</v>
      </c>
      <c r="K393" s="8" t="n">
        <f aca="false">J393-H393</f>
        <v>949.864736842105</v>
      </c>
      <c r="L393" s="9" t="n">
        <f aca="false">IF(AND(H393=0,J393=0),0,IF(H393=0,"New",(J393-H393)/H393))</f>
        <v>0.492865271317956</v>
      </c>
      <c r="M393" s="7" t="str">
        <f aca="false">IF(AND(OR(C393&lt;&gt;0,H393&lt;&gt;0),D393=0,I393=0),"DROP",IF(AND(OR(D393&lt;&gt;0,I393&lt;&gt;0),C393=0,H393=0),"NEW",""))</f>
        <v/>
      </c>
    </row>
    <row r="394" customFormat="false" ht="15" hidden="false" customHeight="false" outlineLevel="0" collapsed="false">
      <c r="A394" s="7" t="s">
        <v>484</v>
      </c>
      <c r="B394" s="7" t="str">
        <f aca="false">IFERROR(INDEX('Source'!$C:$C,MATCH($A394,'Source'!$B:$B,0)),"")</f>
        <v>סד קרסול</v>
      </c>
      <c r="C394" s="8" t="n">
        <f aca="false">SUMIFS('Source'!$D:$D,'Source'!$A:$A,"155138 לקוח אינטרנט",'Source'!$B:$B,$A394)</f>
        <v>1</v>
      </c>
      <c r="D394" s="8" t="n">
        <f aca="false">SUMIFS('Source'!$F:$F,'Source'!$A:$A,"155138 לקוח אינטרנט",'Source'!$B:$B,$A394)</f>
        <v>0</v>
      </c>
      <c r="E394" s="8" t="n">
        <f aca="false">D394*$J$5</f>
        <v>0</v>
      </c>
      <c r="F394" s="8" t="n">
        <f aca="false">E394-C394</f>
        <v>-1</v>
      </c>
      <c r="G394" s="9" t="n">
        <f aca="false">IF(AND(C394=0,E394=0),0,IF(C394=0,"New",(E394-C394)/C394))</f>
        <v>-1</v>
      </c>
      <c r="H394" s="8" t="n">
        <f aca="false">SUMIFS('Source'!$E:$E,'Source'!$A:$A,"155138 לקוח אינטרנט",'Source'!$B:$B,$A394)</f>
        <v>346.19</v>
      </c>
      <c r="I394" s="8" t="n">
        <f aca="false">SUMIFS('Source'!$G:$G,'Source'!$A:$A,"155138 לקוח אינטרנט",'Source'!$B:$B,$A394)</f>
        <v>0</v>
      </c>
      <c r="J394" s="8" t="n">
        <f aca="false">I394*$J$5</f>
        <v>0</v>
      </c>
      <c r="K394" s="8" t="n">
        <f aca="false">J394-H394</f>
        <v>-346.19</v>
      </c>
      <c r="L394" s="9" t="n">
        <f aca="false">IF(AND(H394=0,J394=0),0,IF(H394=0,"New",(J394-H394)/H394))</f>
        <v>-1</v>
      </c>
      <c r="M394" s="7" t="str">
        <f aca="false">IF(AND(OR(C394&lt;&gt;0,H394&lt;&gt;0),D394=0,I394=0),"DROP",IF(AND(OR(D394&lt;&gt;0,I394&lt;&gt;0),C394=0,H394=0),"NEW",""))</f>
        <v>DROP</v>
      </c>
    </row>
    <row r="395" customFormat="false" ht="15" hidden="false" customHeight="false" outlineLevel="0" collapsed="false">
      <c r="A395" s="7" t="s">
        <v>485</v>
      </c>
      <c r="B395" s="7" t="str">
        <f aca="false">IFERROR(INDEX('Source'!$C:$C,MATCH($A395,'Source'!$B:$B,0)),"")</f>
        <v>סד יד דו צדדי</v>
      </c>
      <c r="C395" s="8" t="n">
        <f aca="false">SUMIFS('Source'!$D:$D,'Source'!$A:$A,"155138 לקוח אינטרנט",'Source'!$B:$B,$A395)</f>
        <v>2</v>
      </c>
      <c r="D395" s="8" t="n">
        <f aca="false">SUMIFS('Source'!$F:$F,'Source'!$A:$A,"155138 לקוח אינטרנט",'Source'!$B:$B,$A395)</f>
        <v>0</v>
      </c>
      <c r="E395" s="8" t="n">
        <f aca="false">D395*$J$5</f>
        <v>0</v>
      </c>
      <c r="F395" s="8" t="n">
        <f aca="false">E395-C395</f>
        <v>-2</v>
      </c>
      <c r="G395" s="9" t="n">
        <f aca="false">IF(AND(C395=0,E395=0),0,IF(C395=0,"New",(E395-C395)/C395))</f>
        <v>-1</v>
      </c>
      <c r="H395" s="8" t="n">
        <f aca="false">SUMIFS('Source'!$E:$E,'Source'!$A:$A,"155138 לקוח אינטרנט",'Source'!$B:$B,$A395)</f>
        <v>344.77</v>
      </c>
      <c r="I395" s="8" t="n">
        <f aca="false">SUMIFS('Source'!$G:$G,'Source'!$A:$A,"155138 לקוח אינטרנט",'Source'!$B:$B,$A395)</f>
        <v>0</v>
      </c>
      <c r="J395" s="8" t="n">
        <f aca="false">I395*$J$5</f>
        <v>0</v>
      </c>
      <c r="K395" s="8" t="n">
        <f aca="false">J395-H395</f>
        <v>-344.77</v>
      </c>
      <c r="L395" s="9" t="n">
        <f aca="false">IF(AND(H395=0,J395=0),0,IF(H395=0,"New",(J395-H395)/H395))</f>
        <v>-1</v>
      </c>
      <c r="M395" s="7" t="str">
        <f aca="false">IF(AND(OR(C395&lt;&gt;0,H395&lt;&gt;0),D395=0,I395=0),"DROP",IF(AND(OR(D395&lt;&gt;0,I395&lt;&gt;0),C395=0,H395=0),"NEW",""))</f>
        <v>DROP</v>
      </c>
    </row>
    <row r="396" customFormat="false" ht="15" hidden="false" customHeight="false" outlineLevel="0" collapsed="false">
      <c r="A396" s="7" t="s">
        <v>486</v>
      </c>
      <c r="B396" s="7" t="str">
        <f aca="false">IFERROR(INDEX('Source'!$C:$C,MATCH($A396,'Source'!$B:$B,0)),"")</f>
        <v>מגן ברך עם סגר צמד</v>
      </c>
      <c r="C396" s="8" t="n">
        <f aca="false">SUMIFS('Source'!$D:$D,'Source'!$A:$A,"155138 לקוח אינטרנט",'Source'!$B:$B,$A396)</f>
        <v>1</v>
      </c>
      <c r="D396" s="8" t="n">
        <f aca="false">SUMIFS('Source'!$F:$F,'Source'!$A:$A,"155138 לקוח אינטרנט",'Source'!$B:$B,$A396)</f>
        <v>0</v>
      </c>
      <c r="E396" s="8" t="n">
        <f aca="false">D396*$J$5</f>
        <v>0</v>
      </c>
      <c r="F396" s="8" t="n">
        <f aca="false">E396-C396</f>
        <v>-1</v>
      </c>
      <c r="G396" s="9" t="n">
        <f aca="false">IF(AND(C396=0,E396=0),0,IF(C396=0,"New",(E396-C396)/C396))</f>
        <v>-1</v>
      </c>
      <c r="H396" s="8" t="n">
        <f aca="false">SUMIFS('Source'!$E:$E,'Source'!$A:$A,"155138 לקוח אינטרנט",'Source'!$B:$B,$A396)</f>
        <v>342.29</v>
      </c>
      <c r="I396" s="8" t="n">
        <f aca="false">SUMIFS('Source'!$G:$G,'Source'!$A:$A,"155138 לקוח אינטרנט",'Source'!$B:$B,$A396)</f>
        <v>0</v>
      </c>
      <c r="J396" s="8" t="n">
        <f aca="false">I396*$J$5</f>
        <v>0</v>
      </c>
      <c r="K396" s="8" t="n">
        <f aca="false">J396-H396</f>
        <v>-342.29</v>
      </c>
      <c r="L396" s="9" t="n">
        <f aca="false">IF(AND(H396=0,J396=0),0,IF(H396=0,"New",(J396-H396)/H396))</f>
        <v>-1</v>
      </c>
      <c r="M396" s="7" t="str">
        <f aca="false">IF(AND(OR(C396&lt;&gt;0,H396&lt;&gt;0),D396=0,I396=0),"DROP",IF(AND(OR(D396&lt;&gt;0,I396&lt;&gt;0),C396=0,H396=0),"NEW",""))</f>
        <v>DROP</v>
      </c>
    </row>
    <row r="397" customFormat="false" ht="15" hidden="false" customHeight="false" outlineLevel="0" collapsed="false">
      <c r="A397" s="7" t="s">
        <v>487</v>
      </c>
      <c r="B397" s="7" t="str">
        <f aca="false">IFERROR(INDEX('Source'!$C:$C,MATCH($A397,'Source'!$B:$B,0)),"")</f>
        <v>מגן ברך עם סגר צמד</v>
      </c>
      <c r="C397" s="8" t="n">
        <f aca="false">SUMIFS('Source'!$D:$D,'Source'!$A:$A,"155138 לקוח אינטרנט",'Source'!$B:$B,$A397)</f>
        <v>0</v>
      </c>
      <c r="D397" s="8" t="n">
        <f aca="false">SUMIFS('Source'!$F:$F,'Source'!$A:$A,"155138 לקוח אינטרנט",'Source'!$B:$B,$A397)</f>
        <v>1</v>
      </c>
      <c r="E397" s="8" t="n">
        <f aca="false">D397*$J$5</f>
        <v>1.26315789473684</v>
      </c>
      <c r="F397" s="8" t="n">
        <f aca="false">E397-C397</f>
        <v>1.26315789473684</v>
      </c>
      <c r="G397" s="9" t="str">
        <f aca="false">IF(AND(C397=0,E397=0),0,IF(C397=0,"New",(E397-C397)/C397))</f>
        <v>New</v>
      </c>
      <c r="H397" s="8" t="n">
        <f aca="false">SUMIFS('Source'!$E:$E,'Source'!$A:$A,"155138 לקוח אינטרנט",'Source'!$B:$B,$A397)</f>
        <v>0</v>
      </c>
      <c r="I397" s="8" t="n">
        <f aca="false">SUMIFS('Source'!$G:$G,'Source'!$A:$A,"155138 לקוח אינטרנט",'Source'!$B:$B,$A397)</f>
        <v>342.29</v>
      </c>
      <c r="J397" s="8" t="n">
        <f aca="false">I397*$J$5</f>
        <v>432.366315789474</v>
      </c>
      <c r="K397" s="8" t="n">
        <f aca="false">J397-H397</f>
        <v>432.366315789474</v>
      </c>
      <c r="L397" s="9" t="str">
        <f aca="false">IF(AND(H397=0,J397=0),0,IF(H397=0,"New",(J397-H397)/H397))</f>
        <v>New</v>
      </c>
      <c r="M397" s="7" t="str">
        <f aca="false">IF(AND(OR(C397&lt;&gt;0,H397&lt;&gt;0),D397=0,I397=0),"DROP",IF(AND(OR(D397&lt;&gt;0,I397&lt;&gt;0),C397=0,H397=0),"NEW",""))</f>
        <v>NEW</v>
      </c>
    </row>
    <row r="398" customFormat="false" ht="15" hidden="false" customHeight="false" outlineLevel="0" collapsed="false">
      <c r="A398" s="7" t="s">
        <v>488</v>
      </c>
      <c r="B398" s="7" t="str">
        <f aca="false">IFERROR(INDEX('Source'!$C:$C,MATCH($A398,'Source'!$B:$B,0)),"")</f>
        <v>מגן מרפק רגיל</v>
      </c>
      <c r="C398" s="8" t="n">
        <f aca="false">SUMIFS('Source'!$D:$D,'Source'!$A:$A,"155138 לקוח אינטרנט",'Source'!$B:$B,$A398)</f>
        <v>2</v>
      </c>
      <c r="D398" s="8" t="n">
        <f aca="false">SUMIFS('Source'!$F:$F,'Source'!$A:$A,"155138 לקוח אינטרנט",'Source'!$B:$B,$A398)</f>
        <v>0</v>
      </c>
      <c r="E398" s="8" t="n">
        <f aca="false">D398*$J$5</f>
        <v>0</v>
      </c>
      <c r="F398" s="8" t="n">
        <f aca="false">E398-C398</f>
        <v>-2</v>
      </c>
      <c r="G398" s="9" t="n">
        <f aca="false">IF(AND(C398=0,E398=0),0,IF(C398=0,"New",(E398-C398)/C398))</f>
        <v>-1</v>
      </c>
      <c r="H398" s="8" t="n">
        <f aca="false">SUMIFS('Source'!$E:$E,'Source'!$A:$A,"155138 לקוח אינטרנט",'Source'!$B:$B,$A398)</f>
        <v>342.2</v>
      </c>
      <c r="I398" s="8" t="n">
        <f aca="false">SUMIFS('Source'!$G:$G,'Source'!$A:$A,"155138 לקוח אינטרנט",'Source'!$B:$B,$A398)</f>
        <v>0</v>
      </c>
      <c r="J398" s="8" t="n">
        <f aca="false">I398*$J$5</f>
        <v>0</v>
      </c>
      <c r="K398" s="8" t="n">
        <f aca="false">J398-H398</f>
        <v>-342.2</v>
      </c>
      <c r="L398" s="9" t="n">
        <f aca="false">IF(AND(H398=0,J398=0),0,IF(H398=0,"New",(J398-H398)/H398))</f>
        <v>-1</v>
      </c>
      <c r="M398" s="7" t="str">
        <f aca="false">IF(AND(OR(C398&lt;&gt;0,H398&lt;&gt;0),D398=0,I398=0),"DROP",IF(AND(OR(D398&lt;&gt;0,I398&lt;&gt;0),C398=0,H398=0),"NEW",""))</f>
        <v>DROP</v>
      </c>
    </row>
    <row r="399" customFormat="false" ht="15" hidden="false" customHeight="false" outlineLevel="0" collapsed="false">
      <c r="A399" s="7" t="s">
        <v>489</v>
      </c>
      <c r="B399" s="7" t="str">
        <f aca="false">IFERROR(INDEX('Source'!$C:$C,MATCH($A399,'Source'!$B:$B,0)),"")</f>
        <v>חגורת שבר שחור</v>
      </c>
      <c r="C399" s="8" t="n">
        <f aca="false">SUMIFS('Source'!$D:$D,'Source'!$A:$A,"155138 לקוח אינטרנט",'Source'!$B:$B,$A399)</f>
        <v>0</v>
      </c>
      <c r="D399" s="8" t="n">
        <f aca="false">SUMIFS('Source'!$F:$F,'Source'!$A:$A,"155138 לקוח אינטרנט",'Source'!$B:$B,$A399)</f>
        <v>1</v>
      </c>
      <c r="E399" s="8" t="n">
        <f aca="false">D399*$J$5</f>
        <v>1.26315789473684</v>
      </c>
      <c r="F399" s="8" t="n">
        <f aca="false">E399-C399</f>
        <v>1.26315789473684</v>
      </c>
      <c r="G399" s="9" t="str">
        <f aca="false">IF(AND(C399=0,E399=0),0,IF(C399=0,"New",(E399-C399)/C399))</f>
        <v>New</v>
      </c>
      <c r="H399" s="8" t="n">
        <f aca="false">SUMIFS('Source'!$E:$E,'Source'!$A:$A,"155138 לקוח אינטרנט",'Source'!$B:$B,$A399)</f>
        <v>0</v>
      </c>
      <c r="I399" s="8" t="n">
        <f aca="false">SUMIFS('Source'!$G:$G,'Source'!$A:$A,"155138 לקוח אינטרנט",'Source'!$B:$B,$A399)</f>
        <v>338.9</v>
      </c>
      <c r="J399" s="8" t="n">
        <f aca="false">I399*$J$5</f>
        <v>428.084210526316</v>
      </c>
      <c r="K399" s="8" t="n">
        <f aca="false">J399-H399</f>
        <v>428.084210526316</v>
      </c>
      <c r="L399" s="9" t="str">
        <f aca="false">IF(AND(H399=0,J399=0),0,IF(H399=0,"New",(J399-H399)/H399))</f>
        <v>New</v>
      </c>
      <c r="M399" s="7" t="str">
        <f aca="false">IF(AND(OR(C399&lt;&gt;0,H399&lt;&gt;0),D399=0,I399=0),"DROP",IF(AND(OR(D399&lt;&gt;0,I399&lt;&gt;0),C399=0,H399=0),"NEW",""))</f>
        <v>NEW</v>
      </c>
    </row>
    <row r="400" customFormat="false" ht="15" hidden="false" customHeight="false" outlineLevel="0" collapsed="false">
      <c r="A400" s="7" t="s">
        <v>490</v>
      </c>
      <c r="B400" s="7" t="str">
        <f aca="false">IFERROR(INDEX('Source'!$C:$C,MATCH($A400,'Source'!$B:$B,0)),"")</f>
        <v>מגן קרסול מתכוון</v>
      </c>
      <c r="C400" s="8" t="n">
        <f aca="false">SUMIFS('Source'!$D:$D,'Source'!$A:$A,"155138 לקוח אינטרנט",'Source'!$B:$B,$A400)</f>
        <v>0</v>
      </c>
      <c r="D400" s="8" t="n">
        <f aca="false">SUMIFS('Source'!$F:$F,'Source'!$A:$A,"155138 לקוח אינטרנט",'Source'!$B:$B,$A400)</f>
        <v>3</v>
      </c>
      <c r="E400" s="8" t="n">
        <f aca="false">D400*$J$5</f>
        <v>3.78947368421053</v>
      </c>
      <c r="F400" s="8" t="n">
        <f aca="false">E400-C400</f>
        <v>3.78947368421053</v>
      </c>
      <c r="G400" s="9" t="str">
        <f aca="false">IF(AND(C400=0,E400=0),0,IF(C400=0,"New",(E400-C400)/C400))</f>
        <v>New</v>
      </c>
      <c r="H400" s="8" t="n">
        <f aca="false">SUMIFS('Source'!$E:$E,'Source'!$A:$A,"155138 לקוח אינטרנט",'Source'!$B:$B,$A400)</f>
        <v>0</v>
      </c>
      <c r="I400" s="8" t="n">
        <f aca="false">SUMIFS('Source'!$G:$G,'Source'!$A:$A,"155138 לקוח אינטרנט",'Source'!$B:$B,$A400)</f>
        <v>336.7</v>
      </c>
      <c r="J400" s="8" t="n">
        <f aca="false">I400*$J$5</f>
        <v>425.305263157895</v>
      </c>
      <c r="K400" s="8" t="n">
        <f aca="false">J400-H400</f>
        <v>425.305263157895</v>
      </c>
      <c r="L400" s="9" t="str">
        <f aca="false">IF(AND(H400=0,J400=0),0,IF(H400=0,"New",(J400-H400)/H400))</f>
        <v>New</v>
      </c>
      <c r="M400" s="7" t="str">
        <f aca="false">IF(AND(OR(C400&lt;&gt;0,H400&lt;&gt;0),D400=0,I400=0),"DROP",IF(AND(OR(D400&lt;&gt;0,I400&lt;&gt;0),C400=0,H400=0),"NEW",""))</f>
        <v>NEW</v>
      </c>
    </row>
    <row r="401" customFormat="false" ht="15" hidden="false" customHeight="false" outlineLevel="0" collapsed="false">
      <c r="A401" s="7" t="s">
        <v>491</v>
      </c>
      <c r="B401" s="7" t="str">
        <f aca="false">IFERROR(INDEX('Source'!$C:$C,MATCH($A401,'Source'!$B:$B,0)),"")</f>
        <v>סד מאורך לאגודל</v>
      </c>
      <c r="C401" s="8" t="n">
        <f aca="false">SUMIFS('Source'!$D:$D,'Source'!$A:$A,"155138 לקוח אינטרנט",'Source'!$B:$B,$A401)</f>
        <v>3</v>
      </c>
      <c r="D401" s="8" t="n">
        <f aca="false">SUMIFS('Source'!$F:$F,'Source'!$A:$A,"155138 לקוח אינטרנט",'Source'!$B:$B,$A401)</f>
        <v>0</v>
      </c>
      <c r="E401" s="8" t="n">
        <f aca="false">D401*$J$5</f>
        <v>0</v>
      </c>
      <c r="F401" s="8" t="n">
        <f aca="false">E401-C401</f>
        <v>-3</v>
      </c>
      <c r="G401" s="9" t="n">
        <f aca="false">IF(AND(C401=0,E401=0),0,IF(C401=0,"New",(E401-C401)/C401))</f>
        <v>-1</v>
      </c>
      <c r="H401" s="8" t="n">
        <f aca="false">SUMIFS('Source'!$E:$E,'Source'!$A:$A,"155138 לקוח אינטרנט",'Source'!$B:$B,$A401)</f>
        <v>336.63</v>
      </c>
      <c r="I401" s="8" t="n">
        <f aca="false">SUMIFS('Source'!$G:$G,'Source'!$A:$A,"155138 לקוח אינטרנט",'Source'!$B:$B,$A401)</f>
        <v>0</v>
      </c>
      <c r="J401" s="8" t="n">
        <f aca="false">I401*$J$5</f>
        <v>0</v>
      </c>
      <c r="K401" s="8" t="n">
        <f aca="false">J401-H401</f>
        <v>-336.63</v>
      </c>
      <c r="L401" s="9" t="n">
        <f aca="false">IF(AND(H401=0,J401=0),0,IF(H401=0,"New",(J401-H401)/H401))</f>
        <v>-1</v>
      </c>
      <c r="M401" s="7" t="str">
        <f aca="false">IF(AND(OR(C401&lt;&gt;0,H401&lt;&gt;0),D401=0,I401=0),"DROP",IF(AND(OR(D401&lt;&gt;0,I401&lt;&gt;0),C401=0,H401=0),"NEW",""))</f>
        <v>DROP</v>
      </c>
    </row>
    <row r="402" customFormat="false" ht="15" hidden="false" customHeight="false" outlineLevel="0" collapsed="false">
      <c r="A402" s="7" t="s">
        <v>492</v>
      </c>
      <c r="B402" s="7" t="str">
        <f aca="false">IFERROR(INDEX('Source'!$C:$C,MATCH($A402,'Source'!$B:$B,0)),"")</f>
        <v>מידרסים מסיליקון</v>
      </c>
      <c r="C402" s="8" t="n">
        <f aca="false">SUMIFS('Source'!$D:$D,'Source'!$A:$A,"155138 לקוח אינטרנט",'Source'!$B:$B,$A402)</f>
        <v>4</v>
      </c>
      <c r="D402" s="8" t="n">
        <f aca="false">SUMIFS('Source'!$F:$F,'Source'!$A:$A,"155138 לקוח אינטרנט",'Source'!$B:$B,$A402)</f>
        <v>3</v>
      </c>
      <c r="E402" s="8" t="n">
        <f aca="false">D402*$J$5</f>
        <v>3.78947368421053</v>
      </c>
      <c r="F402" s="8" t="n">
        <f aca="false">E402-C402</f>
        <v>-0.210526315789474</v>
      </c>
      <c r="G402" s="9" t="n">
        <f aca="false">IF(AND(C402=0,E402=0),0,IF(C402=0,"New",(E402-C402)/C402))</f>
        <v>-0.0526315789473685</v>
      </c>
      <c r="H402" s="8" t="n">
        <f aca="false">SUMIFS('Source'!$E:$E,'Source'!$A:$A,"155138 לקוח אינטרנט",'Source'!$B:$B,$A402)</f>
        <v>782.27</v>
      </c>
      <c r="I402" s="8" t="n">
        <f aca="false">SUMIFS('Source'!$G:$G,'Source'!$A:$A,"155138 לקוח אינטרנט",'Source'!$B:$B,$A402)</f>
        <v>447.32</v>
      </c>
      <c r="J402" s="8" t="n">
        <f aca="false">I402*$J$5</f>
        <v>565.035789473684</v>
      </c>
      <c r="K402" s="8" t="n">
        <f aca="false">J402-H402</f>
        <v>-217.234210526316</v>
      </c>
      <c r="L402" s="9" t="n">
        <f aca="false">IF(AND(H402=0,J402=0),0,IF(H402=0,"New",(J402-H402)/H402))</f>
        <v>-0.277697227972843</v>
      </c>
      <c r="M402" s="7" t="str">
        <f aca="false">IF(AND(OR(C402&lt;&gt;0,H402&lt;&gt;0),D402=0,I402=0),"DROP",IF(AND(OR(D402&lt;&gt;0,I402&lt;&gt;0),C402=0,H402=0),"NEW",""))</f>
        <v/>
      </c>
    </row>
    <row r="403" customFormat="false" ht="15" hidden="false" customHeight="false" outlineLevel="0" collapsed="false">
      <c r="A403" s="7" t="s">
        <v>493</v>
      </c>
      <c r="B403" s="7" t="str">
        <f aca="false">IFERROR(INDEX('Source'!$C:$C,MATCH($A403,'Source'!$B:$B,0)),"")</f>
        <v>מיתלה שרוול</v>
      </c>
      <c r="C403" s="8" t="n">
        <f aca="false">SUMIFS('Source'!$D:$D,'Source'!$A:$A,"155138 לקוח אינטרנט",'Source'!$B:$B,$A403)</f>
        <v>2</v>
      </c>
      <c r="D403" s="8" t="n">
        <f aca="false">SUMIFS('Source'!$F:$F,'Source'!$A:$A,"155138 לקוח אינטרנט",'Source'!$B:$B,$A403)</f>
        <v>0</v>
      </c>
      <c r="E403" s="8" t="n">
        <f aca="false">D403*$J$5</f>
        <v>0</v>
      </c>
      <c r="F403" s="8" t="n">
        <f aca="false">E403-C403</f>
        <v>-2</v>
      </c>
      <c r="G403" s="9" t="n">
        <f aca="false">IF(AND(C403=0,E403=0),0,IF(C403=0,"New",(E403-C403)/C403))</f>
        <v>-1</v>
      </c>
      <c r="H403" s="8" t="n">
        <f aca="false">SUMIFS('Source'!$E:$E,'Source'!$A:$A,"155138 לקוח אינטרנט",'Source'!$B:$B,$A403)</f>
        <v>334.11</v>
      </c>
      <c r="I403" s="8" t="n">
        <f aca="false">SUMIFS('Source'!$G:$G,'Source'!$A:$A,"155138 לקוח אינטרנט",'Source'!$B:$B,$A403)</f>
        <v>0</v>
      </c>
      <c r="J403" s="8" t="n">
        <f aca="false">I403*$J$5</f>
        <v>0</v>
      </c>
      <c r="K403" s="8" t="n">
        <f aca="false">J403-H403</f>
        <v>-334.11</v>
      </c>
      <c r="L403" s="9" t="n">
        <f aca="false">IF(AND(H403=0,J403=0),0,IF(H403=0,"New",(J403-H403)/H403))</f>
        <v>-1</v>
      </c>
      <c r="M403" s="7" t="str">
        <f aca="false">IF(AND(OR(C403&lt;&gt;0,H403&lt;&gt;0),D403=0,I403=0),"DROP",IF(AND(OR(D403&lt;&gt;0,I403&lt;&gt;0),C403=0,H403=0),"NEW",""))</f>
        <v>DROP</v>
      </c>
    </row>
    <row r="404" customFormat="false" ht="15" hidden="false" customHeight="false" outlineLevel="0" collapsed="false">
      <c r="A404" s="7" t="s">
        <v>494</v>
      </c>
      <c r="B404" s="7" t="str">
        <f aca="false">IFERROR(INDEX('Source'!$C:$C,MATCH($A404,'Source'!$B:$B,0)),"")</f>
        <v>בננה לתמכת אצבעו</v>
      </c>
      <c r="C404" s="8" t="n">
        <f aca="false">SUMIFS('Source'!$D:$D,'Source'!$A:$A,"155138 לקוח אינטרנט",'Source'!$B:$B,$A404)</f>
        <v>27</v>
      </c>
      <c r="D404" s="8" t="n">
        <f aca="false">SUMIFS('Source'!$F:$F,'Source'!$A:$A,"155138 לקוח אינטרנט",'Source'!$B:$B,$A404)</f>
        <v>33</v>
      </c>
      <c r="E404" s="8" t="n">
        <f aca="false">D404*$J$5</f>
        <v>41.6842105263158</v>
      </c>
      <c r="F404" s="8" t="n">
        <f aca="false">E404-C404</f>
        <v>14.6842105263158</v>
      </c>
      <c r="G404" s="9" t="n">
        <f aca="false">IF(AND(C404=0,E404=0),0,IF(C404=0,"New",(E404-C404)/C404))</f>
        <v>0.543859649122807</v>
      </c>
      <c r="H404" s="8" t="n">
        <f aca="false">SUMIFS('Source'!$E:$E,'Source'!$A:$A,"155138 לקוח אינטרנט",'Source'!$B:$B,$A404)</f>
        <v>1298.25</v>
      </c>
      <c r="I404" s="8" t="n">
        <f aca="false">SUMIFS('Source'!$G:$G,'Source'!$A:$A,"155138 לקוח אינטרנט",'Source'!$B:$B,$A404)</f>
        <v>1632.01</v>
      </c>
      <c r="J404" s="8" t="n">
        <f aca="false">I404*$J$5</f>
        <v>2061.48631578947</v>
      </c>
      <c r="K404" s="8" t="n">
        <f aca="false">J404-H404</f>
        <v>763.236315789473</v>
      </c>
      <c r="L404" s="9" t="n">
        <f aca="false">IF(AND(H404=0,J404=0),0,IF(H404=0,"New",(J404-H404)/H404))</f>
        <v>0.587896257107239</v>
      </c>
      <c r="M404" s="7" t="str">
        <f aca="false">IF(AND(OR(C404&lt;&gt;0,H404&lt;&gt;0),D404=0,I404=0),"DROP",IF(AND(OR(D404&lt;&gt;0,I404&lt;&gt;0),C404=0,H404=0),"NEW",""))</f>
        <v/>
      </c>
    </row>
    <row r="405" customFormat="false" ht="15" hidden="false" customHeight="false" outlineLevel="0" collapsed="false">
      <c r="A405" s="7" t="s">
        <v>495</v>
      </c>
      <c r="B405" s="7" t="str">
        <f aca="false">IFERROR(INDEX('Source'!$C:$C,MATCH($A405,'Source'!$B:$B,0)),"")</f>
        <v>מדרסי ג'ל וורק</v>
      </c>
      <c r="C405" s="8" t="n">
        <f aca="false">SUMIFS('Source'!$D:$D,'Source'!$A:$A,"155138 לקוח אינטרנט",'Source'!$B:$B,$A405)</f>
        <v>5</v>
      </c>
      <c r="D405" s="8" t="n">
        <f aca="false">SUMIFS('Source'!$F:$F,'Source'!$A:$A,"155138 לקוח אינטרנט",'Source'!$B:$B,$A405)</f>
        <v>3</v>
      </c>
      <c r="E405" s="8" t="n">
        <f aca="false">D405*$J$5</f>
        <v>3.78947368421053</v>
      </c>
      <c r="F405" s="8" t="n">
        <f aca="false">E405-C405</f>
        <v>-1.21052631578947</v>
      </c>
      <c r="G405" s="9" t="n">
        <f aca="false">IF(AND(C405=0,E405=0),0,IF(C405=0,"New",(E405-C405)/C405))</f>
        <v>-0.242105263157895</v>
      </c>
      <c r="H405" s="8" t="n">
        <f aca="false">SUMIFS('Source'!$E:$E,'Source'!$A:$A,"155138 לקוח אינטרנט",'Source'!$B:$B,$A405)</f>
        <v>953.72</v>
      </c>
      <c r="I405" s="8" t="n">
        <f aca="false">SUMIFS('Source'!$G:$G,'Source'!$A:$A,"155138 לקוח אינטרנט",'Source'!$B:$B,$A405)</f>
        <v>621.54</v>
      </c>
      <c r="J405" s="8" t="n">
        <f aca="false">I405*$J$5</f>
        <v>785.103157894737</v>
      </c>
      <c r="K405" s="8" t="n">
        <f aca="false">J405-H405</f>
        <v>-168.616842105263</v>
      </c>
      <c r="L405" s="9" t="n">
        <f aca="false">IF(AND(H405=0,J405=0),0,IF(H405=0,"New",(J405-H405)/H405))</f>
        <v>-0.176799104669361</v>
      </c>
      <c r="M405" s="7" t="str">
        <f aca="false">IF(AND(OR(C405&lt;&gt;0,H405&lt;&gt;0),D405=0,I405=0),"DROP",IF(AND(OR(D405&lt;&gt;0,I405&lt;&gt;0),C405=0,H405=0),"NEW",""))</f>
        <v/>
      </c>
    </row>
    <row r="406" customFormat="false" ht="15" hidden="false" customHeight="false" outlineLevel="0" collapsed="false">
      <c r="A406" s="7" t="s">
        <v>496</v>
      </c>
      <c r="B406" s="7" t="str">
        <f aca="false">IFERROR(INDEX('Source'!$C:$C,MATCH($A406,'Source'!$B:$B,0)),"")</f>
        <v>מגן ברך ארוך בז'</v>
      </c>
      <c r="C406" s="8" t="n">
        <f aca="false">SUMIFS('Source'!$D:$D,'Source'!$A:$A,"155138 לקוח אינטרנט",'Source'!$B:$B,$A406)</f>
        <v>9</v>
      </c>
      <c r="D406" s="8" t="n">
        <f aca="false">SUMIFS('Source'!$F:$F,'Source'!$A:$A,"155138 לקוח אינטרנט",'Source'!$B:$B,$A406)</f>
        <v>14</v>
      </c>
      <c r="E406" s="8" t="n">
        <f aca="false">D406*$J$5</f>
        <v>17.6842105263158</v>
      </c>
      <c r="F406" s="8" t="n">
        <f aca="false">E406-C406</f>
        <v>8.68421052631579</v>
      </c>
      <c r="G406" s="9" t="n">
        <f aca="false">IF(AND(C406=0,E406=0),0,IF(C406=0,"New",(E406-C406)/C406))</f>
        <v>0.964912280701754</v>
      </c>
      <c r="H406" s="8" t="n">
        <f aca="false">SUMIFS('Source'!$E:$E,'Source'!$A:$A,"155138 לקוח אינטרנט",'Source'!$B:$B,$A406)</f>
        <v>582.31</v>
      </c>
      <c r="I406" s="8" t="n">
        <f aca="false">SUMIFS('Source'!$G:$G,'Source'!$A:$A,"155138 לקוח אינטרנט",'Source'!$B:$B,$A406)</f>
        <v>914.1</v>
      </c>
      <c r="J406" s="8" t="n">
        <f aca="false">I406*$J$5</f>
        <v>1154.65263157895</v>
      </c>
      <c r="K406" s="8" t="n">
        <f aca="false">J406-H406</f>
        <v>572.342631578948</v>
      </c>
      <c r="L406" s="9" t="n">
        <f aca="false">IF(AND(H406=0,J406=0),0,IF(H406=0,"New",(J406-H406)/H406))</f>
        <v>0.982883054694145</v>
      </c>
      <c r="M406" s="7" t="str">
        <f aca="false">IF(AND(OR(C406&lt;&gt;0,H406&lt;&gt;0),D406=0,I406=0),"DROP",IF(AND(OR(D406&lt;&gt;0,I406&lt;&gt;0),C406=0,H406=0),"NEW",""))</f>
        <v/>
      </c>
    </row>
    <row r="407" customFormat="false" ht="15" hidden="false" customHeight="false" outlineLevel="0" collapsed="false">
      <c r="A407" s="7" t="s">
        <v>497</v>
      </c>
      <c r="B407" s="7" t="str">
        <f aca="false">IFERROR(INDEX('Source'!$C:$C,MATCH($A407,'Source'!$B:$B,0)),"")</f>
        <v>מגן קרסול פתוח</v>
      </c>
      <c r="C407" s="8" t="n">
        <f aca="false">SUMIFS('Source'!$D:$D,'Source'!$A:$A,"155138 לקוח אינטרנט",'Source'!$B:$B,$A407)</f>
        <v>16</v>
      </c>
      <c r="D407" s="8" t="n">
        <f aca="false">SUMIFS('Source'!$F:$F,'Source'!$A:$A,"155138 לקוח אינטרנט",'Source'!$B:$B,$A407)</f>
        <v>9</v>
      </c>
      <c r="E407" s="8" t="n">
        <f aca="false">D407*$J$5</f>
        <v>11.3684210526316</v>
      </c>
      <c r="F407" s="8" t="n">
        <f aca="false">E407-C407</f>
        <v>-4.63157894736842</v>
      </c>
      <c r="G407" s="9" t="n">
        <f aca="false">IF(AND(C407=0,E407=0),0,IF(C407=0,"New",(E407-C407)/C407))</f>
        <v>-0.289473684210526</v>
      </c>
      <c r="H407" s="8" t="n">
        <f aca="false">SUMIFS('Source'!$E:$E,'Source'!$A:$A,"155138 לקוח אינטרנט",'Source'!$B:$B,$A407)</f>
        <v>823.18</v>
      </c>
      <c r="I407" s="8" t="n">
        <f aca="false">SUMIFS('Source'!$G:$G,'Source'!$A:$A,"155138 לקוח אינטרנט",'Source'!$B:$B,$A407)</f>
        <v>494.27</v>
      </c>
      <c r="J407" s="8" t="n">
        <f aca="false">I407*$J$5</f>
        <v>624.341052631579</v>
      </c>
      <c r="K407" s="8" t="n">
        <f aca="false">J407-H407</f>
        <v>-198.838947368421</v>
      </c>
      <c r="L407" s="9" t="n">
        <f aca="false">IF(AND(H407=0,J407=0),0,IF(H407=0,"New",(J407-H407)/H407))</f>
        <v>-0.241549779353751</v>
      </c>
      <c r="M407" s="7" t="str">
        <f aca="false">IF(AND(OR(C407&lt;&gt;0,H407&lt;&gt;0),D407=0,I407=0),"DROP",IF(AND(OR(D407&lt;&gt;0,I407&lt;&gt;0),C407=0,H407=0),"NEW",""))</f>
        <v/>
      </c>
    </row>
    <row r="408" customFormat="false" ht="15" hidden="false" customHeight="false" outlineLevel="0" collapsed="false">
      <c r="A408" s="7" t="s">
        <v>498</v>
      </c>
      <c r="B408" s="7" t="str">
        <f aca="false">IFERROR(INDEX('Source'!$C:$C,MATCH($A408,'Source'!$B:$B,0)),"")</f>
        <v>גרבי נוחות חורף אפור</v>
      </c>
      <c r="C408" s="8" t="n">
        <f aca="false">SUMIFS('Source'!$D:$D,'Source'!$A:$A,"155138 לקוח אינטרנט",'Source'!$B:$B,$A408)</f>
        <v>6</v>
      </c>
      <c r="D408" s="8" t="n">
        <f aca="false">SUMIFS('Source'!$F:$F,'Source'!$A:$A,"155138 לקוח אינטרנט",'Source'!$B:$B,$A408)</f>
        <v>0</v>
      </c>
      <c r="E408" s="8" t="n">
        <f aca="false">D408*$J$5</f>
        <v>0</v>
      </c>
      <c r="F408" s="8" t="n">
        <f aca="false">E408-C408</f>
        <v>-6</v>
      </c>
      <c r="G408" s="9" t="n">
        <f aca="false">IF(AND(C408=0,E408=0),0,IF(C408=0,"New",(E408-C408)/C408))</f>
        <v>-1</v>
      </c>
      <c r="H408" s="8" t="n">
        <f aca="false">SUMIFS('Source'!$E:$E,'Source'!$A:$A,"155138 לקוח אינטרנט",'Source'!$B:$B,$A408)</f>
        <v>327.33</v>
      </c>
      <c r="I408" s="8" t="n">
        <f aca="false">SUMIFS('Source'!$G:$G,'Source'!$A:$A,"155138 לקוח אינטרנט",'Source'!$B:$B,$A408)</f>
        <v>0</v>
      </c>
      <c r="J408" s="8" t="n">
        <f aca="false">I408*$J$5</f>
        <v>0</v>
      </c>
      <c r="K408" s="8" t="n">
        <f aca="false">J408-H408</f>
        <v>-327.33</v>
      </c>
      <c r="L408" s="9" t="n">
        <f aca="false">IF(AND(H408=0,J408=0),0,IF(H408=0,"New",(J408-H408)/H408))</f>
        <v>-1</v>
      </c>
      <c r="M408" s="7" t="str">
        <f aca="false">IF(AND(OR(C408&lt;&gt;0,H408&lt;&gt;0),D408=0,I408=0),"DROP",IF(AND(OR(D408&lt;&gt;0,I408&lt;&gt;0),C408=0,H408=0),"NEW",""))</f>
        <v>DROP</v>
      </c>
    </row>
    <row r="409" customFormat="false" ht="15" hidden="false" customHeight="false" outlineLevel="0" collapsed="false">
      <c r="A409" s="7" t="s">
        <v>499</v>
      </c>
      <c r="B409" s="7" t="str">
        <f aca="false">IFERROR(INDEX('Source'!$C:$C,MATCH($A409,'Source'!$B:$B,0)),"")</f>
        <v>מגן ברך + כרית סיליקון+ רצועות</v>
      </c>
      <c r="C409" s="8" t="n">
        <f aca="false">SUMIFS('Source'!$D:$D,'Source'!$A:$A,"155138 לקוח אינטרנט",'Source'!$B:$B,$A409)</f>
        <v>1</v>
      </c>
      <c r="D409" s="8" t="n">
        <f aca="false">SUMIFS('Source'!$F:$F,'Source'!$A:$A,"155138 לקוח אינטרנט",'Source'!$B:$B,$A409)</f>
        <v>0</v>
      </c>
      <c r="E409" s="8" t="n">
        <f aca="false">D409*$J$5</f>
        <v>0</v>
      </c>
      <c r="F409" s="8" t="n">
        <f aca="false">E409-C409</f>
        <v>-1</v>
      </c>
      <c r="G409" s="9" t="n">
        <f aca="false">IF(AND(C409=0,E409=0),0,IF(C409=0,"New",(E409-C409)/C409))</f>
        <v>-1</v>
      </c>
      <c r="H409" s="8" t="n">
        <f aca="false">SUMIFS('Source'!$E:$E,'Source'!$A:$A,"155138 לקוח אינטרנט",'Source'!$B:$B,$A409)</f>
        <v>324.08</v>
      </c>
      <c r="I409" s="8" t="n">
        <f aca="false">SUMIFS('Source'!$G:$G,'Source'!$A:$A,"155138 לקוח אינטרנט",'Source'!$B:$B,$A409)</f>
        <v>0</v>
      </c>
      <c r="J409" s="8" t="n">
        <f aca="false">I409*$J$5</f>
        <v>0</v>
      </c>
      <c r="K409" s="8" t="n">
        <f aca="false">J409-H409</f>
        <v>-324.08</v>
      </c>
      <c r="L409" s="9" t="n">
        <f aca="false">IF(AND(H409=0,J409=0),0,IF(H409=0,"New",(J409-H409)/H409))</f>
        <v>-1</v>
      </c>
      <c r="M409" s="7" t="str">
        <f aca="false">IF(AND(OR(C409&lt;&gt;0,H409&lt;&gt;0),D409=0,I409=0),"DROP",IF(AND(OR(D409&lt;&gt;0,I409&lt;&gt;0),C409=0,H409=0),"NEW",""))</f>
        <v>DROP</v>
      </c>
    </row>
    <row r="410" customFormat="false" ht="15" hidden="false" customHeight="false" outlineLevel="0" collapsed="false">
      <c r="A410" s="7" t="s">
        <v>500</v>
      </c>
      <c r="B410" s="7" t="str">
        <f aca="false">IFERROR(INDEX('Source'!$C:$C,MATCH($A410,'Source'!$B:$B,0)),"")</f>
        <v>מגן ברך + כרית סיליקון+ רצועות</v>
      </c>
      <c r="C410" s="8" t="n">
        <f aca="false">SUMIFS('Source'!$D:$D,'Source'!$A:$A,"155138 לקוח אינטרנט",'Source'!$B:$B,$A410)</f>
        <v>1</v>
      </c>
      <c r="D410" s="8" t="n">
        <f aca="false">SUMIFS('Source'!$F:$F,'Source'!$A:$A,"155138 לקוח אינטרנט",'Source'!$B:$B,$A410)</f>
        <v>0</v>
      </c>
      <c r="E410" s="8" t="n">
        <f aca="false">D410*$J$5</f>
        <v>0</v>
      </c>
      <c r="F410" s="8" t="n">
        <f aca="false">E410-C410</f>
        <v>-1</v>
      </c>
      <c r="G410" s="9" t="n">
        <f aca="false">IF(AND(C410=0,E410=0),0,IF(C410=0,"New",(E410-C410)/C410))</f>
        <v>-1</v>
      </c>
      <c r="H410" s="8" t="n">
        <f aca="false">SUMIFS('Source'!$E:$E,'Source'!$A:$A,"155138 לקוח אינטרנט",'Source'!$B:$B,$A410)</f>
        <v>324.07</v>
      </c>
      <c r="I410" s="8" t="n">
        <f aca="false">SUMIFS('Source'!$G:$G,'Source'!$A:$A,"155138 לקוח אינטרנט",'Source'!$B:$B,$A410)</f>
        <v>0</v>
      </c>
      <c r="J410" s="8" t="n">
        <f aca="false">I410*$J$5</f>
        <v>0</v>
      </c>
      <c r="K410" s="8" t="n">
        <f aca="false">J410-H410</f>
        <v>-324.07</v>
      </c>
      <c r="L410" s="9" t="n">
        <f aca="false">IF(AND(H410=0,J410=0),0,IF(H410=0,"New",(J410-H410)/H410))</f>
        <v>-1</v>
      </c>
      <c r="M410" s="7" t="str">
        <f aca="false">IF(AND(OR(C410&lt;&gt;0,H410&lt;&gt;0),D410=0,I410=0),"DROP",IF(AND(OR(D410&lt;&gt;0,I410&lt;&gt;0),C410=0,H410=0),"NEW",""))</f>
        <v>DROP</v>
      </c>
    </row>
    <row r="411" customFormat="false" ht="15" hidden="false" customHeight="false" outlineLevel="0" collapsed="false">
      <c r="A411" s="7" t="s">
        <v>501</v>
      </c>
      <c r="B411" s="7" t="str">
        <f aca="false">IFERROR(INDEX('Source'!$C:$C,MATCH($A411,'Source'!$B:$B,0)),"")</f>
        <v>חגורת בטן עממית אפור</v>
      </c>
      <c r="C411" s="8" t="n">
        <f aca="false">SUMIFS('Source'!$D:$D,'Source'!$A:$A,"155138 לקוח אינטרנט",'Source'!$B:$B,$A411)</f>
        <v>5</v>
      </c>
      <c r="D411" s="8" t="n">
        <f aca="false">SUMIFS('Source'!$F:$F,'Source'!$A:$A,"155138 לקוח אינטרנט",'Source'!$B:$B,$A411)</f>
        <v>7</v>
      </c>
      <c r="E411" s="8" t="n">
        <f aca="false">D411*$J$5</f>
        <v>8.84210526315789</v>
      </c>
      <c r="F411" s="8" t="n">
        <f aca="false">E411-C411</f>
        <v>3.84210526315789</v>
      </c>
      <c r="G411" s="9" t="n">
        <f aca="false">IF(AND(C411=0,E411=0),0,IF(C411=0,"New",(E411-C411)/C411))</f>
        <v>0.768421052631579</v>
      </c>
      <c r="H411" s="8" t="n">
        <f aca="false">SUMIFS('Source'!$E:$E,'Source'!$A:$A,"155138 לקוח אינטרנט",'Source'!$B:$B,$A411)</f>
        <v>916.54</v>
      </c>
      <c r="I411" s="8" t="n">
        <f aca="false">SUMIFS('Source'!$G:$G,'Source'!$A:$A,"155138 לקוח אינטרנט",'Source'!$B:$B,$A411)</f>
        <v>1239.29</v>
      </c>
      <c r="J411" s="8" t="n">
        <f aca="false">I411*$J$5</f>
        <v>1565.41894736842</v>
      </c>
      <c r="K411" s="8" t="n">
        <f aca="false">J411-H411</f>
        <v>648.878947368421</v>
      </c>
      <c r="L411" s="9" t="n">
        <f aca="false">IF(AND(H411=0,J411=0),0,IF(H411=0,"New",(J411-H411)/H411))</f>
        <v>0.707965770581121</v>
      </c>
      <c r="M411" s="7" t="str">
        <f aca="false">IF(AND(OR(C411&lt;&gt;0,H411&lt;&gt;0),D411=0,I411=0),"DROP",IF(AND(OR(D411&lt;&gt;0,I411&lt;&gt;0),C411=0,H411=0),"NEW",""))</f>
        <v/>
      </c>
    </row>
    <row r="412" customFormat="false" ht="15" hidden="false" customHeight="false" outlineLevel="0" collapsed="false">
      <c r="A412" s="7" t="s">
        <v>502</v>
      </c>
      <c r="B412" s="7" t="str">
        <f aca="false">IFERROR(INDEX('Source'!$C:$C,MATCH($A412,'Source'!$B:$B,0)),"")</f>
        <v>מיישר בוהן</v>
      </c>
      <c r="C412" s="8" t="n">
        <f aca="false">SUMIFS('Source'!$D:$D,'Source'!$A:$A,"155138 לקוח אינטרנט",'Source'!$B:$B,$A412)</f>
        <v>9</v>
      </c>
      <c r="D412" s="8" t="n">
        <f aca="false">SUMIFS('Source'!$F:$F,'Source'!$A:$A,"155138 לקוח אינטרנט",'Source'!$B:$B,$A412)</f>
        <v>0</v>
      </c>
      <c r="E412" s="8" t="n">
        <f aca="false">D412*$J$5</f>
        <v>0</v>
      </c>
      <c r="F412" s="8" t="n">
        <f aca="false">E412-C412</f>
        <v>-9</v>
      </c>
      <c r="G412" s="9" t="n">
        <f aca="false">IF(AND(C412=0,E412=0),0,IF(C412=0,"New",(E412-C412)/C412))</f>
        <v>-1</v>
      </c>
      <c r="H412" s="8" t="n">
        <f aca="false">SUMIFS('Source'!$E:$E,'Source'!$A:$A,"155138 לקוח אינטרנט",'Source'!$B:$B,$A412)</f>
        <v>321.52</v>
      </c>
      <c r="I412" s="8" t="n">
        <f aca="false">SUMIFS('Source'!$G:$G,'Source'!$A:$A,"155138 לקוח אינטרנט",'Source'!$B:$B,$A412)</f>
        <v>0</v>
      </c>
      <c r="J412" s="8" t="n">
        <f aca="false">I412*$J$5</f>
        <v>0</v>
      </c>
      <c r="K412" s="8" t="n">
        <f aca="false">J412-H412</f>
        <v>-321.52</v>
      </c>
      <c r="L412" s="9" t="n">
        <f aca="false">IF(AND(H412=0,J412=0),0,IF(H412=0,"New",(J412-H412)/H412))</f>
        <v>-1</v>
      </c>
      <c r="M412" s="7" t="str">
        <f aca="false">IF(AND(OR(C412&lt;&gt;0,H412&lt;&gt;0),D412=0,I412=0),"DROP",IF(AND(OR(D412&lt;&gt;0,I412&lt;&gt;0),C412=0,H412=0),"NEW",""))</f>
        <v>DROP</v>
      </c>
    </row>
    <row r="413" customFormat="false" ht="15" hidden="false" customHeight="false" outlineLevel="0" collapsed="false">
      <c r="A413" s="7" t="s">
        <v>503</v>
      </c>
      <c r="B413" s="7" t="str">
        <f aca="false">IFERROR(INDEX('Source'!$C:$C,MATCH($A413,'Source'!$B:$B,0)),"")</f>
        <v>מגן קרסול סגור</v>
      </c>
      <c r="C413" s="8" t="n">
        <f aca="false">SUMIFS('Source'!$D:$D,'Source'!$A:$A,"155138 לקוח אינטרנט",'Source'!$B:$B,$A413)</f>
        <v>18</v>
      </c>
      <c r="D413" s="8" t="n">
        <f aca="false">SUMIFS('Source'!$F:$F,'Source'!$A:$A,"155138 לקוח אינטרנט",'Source'!$B:$B,$A413)</f>
        <v>12</v>
      </c>
      <c r="E413" s="8" t="n">
        <f aca="false">D413*$J$5</f>
        <v>15.1578947368421</v>
      </c>
      <c r="F413" s="8" t="n">
        <f aca="false">E413-C413</f>
        <v>-2.8421052631579</v>
      </c>
      <c r="G413" s="9" t="n">
        <f aca="false">IF(AND(C413=0,E413=0),0,IF(C413=0,"New",(E413-C413)/C413))</f>
        <v>-0.157894736842105</v>
      </c>
      <c r="H413" s="8" t="n">
        <f aca="false">SUMIFS('Source'!$E:$E,'Source'!$A:$A,"155138 לקוח אינטרנט",'Source'!$B:$B,$A413)</f>
        <v>1328.31</v>
      </c>
      <c r="I413" s="8" t="n">
        <f aca="false">SUMIFS('Source'!$G:$G,'Source'!$A:$A,"155138 לקוח אינטרנט",'Source'!$B:$B,$A413)</f>
        <v>1007.48</v>
      </c>
      <c r="J413" s="8" t="n">
        <f aca="false">I413*$J$5</f>
        <v>1272.60631578947</v>
      </c>
      <c r="K413" s="8" t="n">
        <f aca="false">J413-H413</f>
        <v>-55.7036842105263</v>
      </c>
      <c r="L413" s="9" t="n">
        <f aca="false">IF(AND(H413=0,J413=0),0,IF(H413=0,"New",(J413-H413)/H413))</f>
        <v>-0.0419357561190733</v>
      </c>
      <c r="M413" s="7" t="str">
        <f aca="false">IF(AND(OR(C413&lt;&gt;0,H413&lt;&gt;0),D413=0,I413=0),"DROP",IF(AND(OR(D413&lt;&gt;0,I413&lt;&gt;0),C413=0,H413=0),"NEW",""))</f>
        <v/>
      </c>
    </row>
    <row r="414" customFormat="false" ht="15" hidden="false" customHeight="false" outlineLevel="0" collapsed="false">
      <c r="A414" s="7" t="s">
        <v>504</v>
      </c>
      <c r="B414" s="7" t="str">
        <f aca="false">IFERROR(INDEX('Source'!$C:$C,MATCH($A414,'Source'!$B:$B,0)),"")</f>
        <v>מדבקה רב פעמית ל</v>
      </c>
      <c r="C414" s="8" t="n">
        <f aca="false">SUMIFS('Source'!$D:$D,'Source'!$A:$A,"155138 לקוח אינטרנט",'Source'!$B:$B,$A414)</f>
        <v>5</v>
      </c>
      <c r="D414" s="8" t="n">
        <f aca="false">SUMIFS('Source'!$F:$F,'Source'!$A:$A,"155138 לקוח אינטרנט",'Source'!$B:$B,$A414)</f>
        <v>16</v>
      </c>
      <c r="E414" s="8" t="n">
        <f aca="false">D414*$J$5</f>
        <v>20.2105263157895</v>
      </c>
      <c r="F414" s="8" t="n">
        <f aca="false">E414-C414</f>
        <v>15.2105263157895</v>
      </c>
      <c r="G414" s="9" t="n">
        <f aca="false">IF(AND(C414=0,E414=0),0,IF(C414=0,"New",(E414-C414)/C414))</f>
        <v>3.04210526315789</v>
      </c>
      <c r="H414" s="8" t="n">
        <f aca="false">SUMIFS('Source'!$E:$E,'Source'!$A:$A,"155138 לקוח אינטרנט",'Source'!$B:$B,$A414)</f>
        <v>152.1</v>
      </c>
      <c r="I414" s="8" t="n">
        <f aca="false">SUMIFS('Source'!$G:$G,'Source'!$A:$A,"155138 לקוח אינטרנט",'Source'!$B:$B,$A414)</f>
        <v>470.02</v>
      </c>
      <c r="J414" s="8" t="n">
        <f aca="false">I414*$J$5</f>
        <v>593.709473684211</v>
      </c>
      <c r="K414" s="8" t="n">
        <f aca="false">J414-H414</f>
        <v>441.60947368421</v>
      </c>
      <c r="L414" s="9" t="n">
        <f aca="false">IF(AND(H414=0,J414=0),0,IF(H414=0,"New",(J414-H414)/H414))</f>
        <v>2.90341534309146</v>
      </c>
      <c r="M414" s="7" t="str">
        <f aca="false">IF(AND(OR(C414&lt;&gt;0,H414&lt;&gt;0),D414=0,I414=0),"DROP",IF(AND(OR(D414&lt;&gt;0,I414&lt;&gt;0),C414=0,H414=0),"NEW",""))</f>
        <v/>
      </c>
    </row>
    <row r="415" customFormat="false" ht="15" hidden="false" customHeight="false" outlineLevel="0" collapsed="false">
      <c r="A415" s="7" t="s">
        <v>505</v>
      </c>
      <c r="B415" s="7" t="str">
        <f aca="false">IFERROR(INDEX('Source'!$C:$C,MATCH($A415,'Source'!$B:$B,0)),"")</f>
        <v>מגן ברך חום</v>
      </c>
      <c r="C415" s="8" t="n">
        <f aca="false">SUMIFS('Source'!$D:$D,'Source'!$A:$A,"155138 לקוח אינטרנט",'Source'!$B:$B,$A415)</f>
        <v>2</v>
      </c>
      <c r="D415" s="8" t="n">
        <f aca="false">SUMIFS('Source'!$F:$F,'Source'!$A:$A,"155138 לקוח אינטרנט",'Source'!$B:$B,$A415)</f>
        <v>8</v>
      </c>
      <c r="E415" s="8" t="n">
        <f aca="false">D415*$J$5</f>
        <v>10.1052631578947</v>
      </c>
      <c r="F415" s="8" t="n">
        <f aca="false">E415-C415</f>
        <v>8.10526315789474</v>
      </c>
      <c r="G415" s="9" t="n">
        <f aca="false">IF(AND(C415=0,E415=0),0,IF(C415=0,"New",(E415-C415)/C415))</f>
        <v>4.05263157894737</v>
      </c>
      <c r="H415" s="8" t="n">
        <f aca="false">SUMIFS('Source'!$E:$E,'Source'!$A:$A,"155138 לקוח אינטרנט",'Source'!$B:$B,$A415)</f>
        <v>101.62</v>
      </c>
      <c r="I415" s="8" t="n">
        <f aca="false">SUMIFS('Source'!$G:$G,'Source'!$A:$A,"155138 לקוח אינטרנט",'Source'!$B:$B,$A415)</f>
        <v>418.87</v>
      </c>
      <c r="J415" s="8" t="n">
        <f aca="false">I415*$J$5</f>
        <v>529.098947368421</v>
      </c>
      <c r="K415" s="8" t="n">
        <f aca="false">J415-H415</f>
        <v>427.478947368421</v>
      </c>
      <c r="L415" s="9" t="n">
        <f aca="false">IF(AND(H415=0,J415=0),0,IF(H415=0,"New",(J415-H415)/H415))</f>
        <v>4.20664187530428</v>
      </c>
      <c r="M415" s="7" t="str">
        <f aca="false">IF(AND(OR(C415&lt;&gt;0,H415&lt;&gt;0),D415=0,I415=0),"DROP",IF(AND(OR(D415&lt;&gt;0,I415&lt;&gt;0),C415=0,H415=0),"NEW",""))</f>
        <v/>
      </c>
    </row>
    <row r="416" customFormat="false" ht="15" hidden="false" customHeight="false" outlineLevel="0" collapsed="false">
      <c r="A416" s="7" t="s">
        <v>506</v>
      </c>
      <c r="B416" s="7" t="str">
        <f aca="false">IFERROR(INDEX('Source'!$C:$C,MATCH($A416,'Source'!$B:$B,0)),"")</f>
        <v>מיצב פיקה</v>
      </c>
      <c r="C416" s="8" t="n">
        <f aca="false">SUMIFS('Source'!$D:$D,'Source'!$A:$A,"155138 לקוח אינטרנט",'Source'!$B:$B,$A416)</f>
        <v>2</v>
      </c>
      <c r="D416" s="8" t="n">
        <f aca="false">SUMIFS('Source'!$F:$F,'Source'!$A:$A,"155138 לקוח אינטרנט",'Source'!$B:$B,$A416)</f>
        <v>4</v>
      </c>
      <c r="E416" s="8" t="n">
        <f aca="false">D416*$J$5</f>
        <v>5.05263157894737</v>
      </c>
      <c r="F416" s="8" t="n">
        <f aca="false">E416-C416</f>
        <v>3.05263157894737</v>
      </c>
      <c r="G416" s="9" t="n">
        <f aca="false">IF(AND(C416=0,E416=0),0,IF(C416=0,"New",(E416-C416)/C416))</f>
        <v>1.52631578947368</v>
      </c>
      <c r="H416" s="8" t="n">
        <f aca="false">SUMIFS('Source'!$E:$E,'Source'!$A:$A,"155138 לקוח אינטרנט",'Source'!$B:$B,$A416)</f>
        <v>316.53</v>
      </c>
      <c r="I416" s="8" t="n">
        <f aca="false">SUMIFS('Source'!$G:$G,'Source'!$A:$A,"155138 לקוח אינטרנט",'Source'!$B:$B,$A416)</f>
        <v>633.07</v>
      </c>
      <c r="J416" s="8" t="n">
        <f aca="false">I416*$J$5</f>
        <v>799.667368421053</v>
      </c>
      <c r="K416" s="8" t="n">
        <f aca="false">J416-H416</f>
        <v>483.137368421053</v>
      </c>
      <c r="L416" s="9" t="n">
        <f aca="false">IF(AND(H416=0,J416=0),0,IF(H416=0,"New",(J416-H416)/H416))</f>
        <v>1.52635569589313</v>
      </c>
      <c r="M416" s="7" t="str">
        <f aca="false">IF(AND(OR(C416&lt;&gt;0,H416&lt;&gt;0),D416=0,I416=0),"DROP",IF(AND(OR(D416&lt;&gt;0,I416&lt;&gt;0),C416=0,H416=0),"NEW",""))</f>
        <v/>
      </c>
    </row>
    <row r="417" customFormat="false" ht="15" hidden="false" customHeight="false" outlineLevel="0" collapsed="false">
      <c r="A417" s="7" t="s">
        <v>507</v>
      </c>
      <c r="B417" s="7" t="str">
        <f aca="false">IFERROR(INDEX('Source'!$C:$C,MATCH($A417,'Source'!$B:$B,0)),"")</f>
        <v>מיצב כתפיים</v>
      </c>
      <c r="C417" s="8" t="n">
        <f aca="false">SUMIFS('Source'!$D:$D,'Source'!$A:$A,"155138 לקוח אינטרנט",'Source'!$B:$B,$A417)</f>
        <v>0</v>
      </c>
      <c r="D417" s="8" t="n">
        <f aca="false">SUMIFS('Source'!$F:$F,'Source'!$A:$A,"155138 לקוח אינטרנט",'Source'!$B:$B,$A417)</f>
        <v>1</v>
      </c>
      <c r="E417" s="8" t="n">
        <f aca="false">D417*$J$5</f>
        <v>1.26315789473684</v>
      </c>
      <c r="F417" s="8" t="n">
        <f aca="false">E417-C417</f>
        <v>1.26315789473684</v>
      </c>
      <c r="G417" s="9" t="str">
        <f aca="false">IF(AND(C417=0,E417=0),0,IF(C417=0,"New",(E417-C417)/C417))</f>
        <v>New</v>
      </c>
      <c r="H417" s="8" t="n">
        <f aca="false">SUMIFS('Source'!$E:$E,'Source'!$A:$A,"155138 לקוח אינטרנט",'Source'!$B:$B,$A417)</f>
        <v>0</v>
      </c>
      <c r="I417" s="8" t="n">
        <f aca="false">SUMIFS('Source'!$G:$G,'Source'!$A:$A,"155138 לקוח אינטרנט",'Source'!$B:$B,$A417)</f>
        <v>316.45</v>
      </c>
      <c r="J417" s="8" t="n">
        <f aca="false">I417*$J$5</f>
        <v>399.726315789474</v>
      </c>
      <c r="K417" s="8" t="n">
        <f aca="false">J417-H417</f>
        <v>399.726315789474</v>
      </c>
      <c r="L417" s="9" t="str">
        <f aca="false">IF(AND(H417=0,J417=0),0,IF(H417=0,"New",(J417-H417)/H417))</f>
        <v>New</v>
      </c>
      <c r="M417" s="7" t="str">
        <f aca="false">IF(AND(OR(C417&lt;&gt;0,H417&lt;&gt;0),D417=0,I417=0),"DROP",IF(AND(OR(D417&lt;&gt;0,I417&lt;&gt;0),C417=0,H417=0),"NEW",""))</f>
        <v>NEW</v>
      </c>
    </row>
    <row r="418" customFormat="false" ht="15" hidden="false" customHeight="false" outlineLevel="0" collapsed="false">
      <c r="A418" s="7" t="s">
        <v>508</v>
      </c>
      <c r="B418" s="7" t="str">
        <f aca="false">IFERROR(INDEX('Source'!$C:$C,MATCH($A418,'Source'!$B:$B,0)),"")</f>
        <v>חגורה מותנית צרה</v>
      </c>
      <c r="C418" s="8" t="n">
        <f aca="false">SUMIFS('Source'!$D:$D,'Source'!$A:$A,"155138 לקוח אינטרנט",'Source'!$B:$B,$A418)</f>
        <v>3</v>
      </c>
      <c r="D418" s="8" t="n">
        <f aca="false">SUMIFS('Source'!$F:$F,'Source'!$A:$A,"155138 לקוח אינטרנט",'Source'!$B:$B,$A418)</f>
        <v>1</v>
      </c>
      <c r="E418" s="8" t="n">
        <f aca="false">D418*$J$5</f>
        <v>1.26315789473684</v>
      </c>
      <c r="F418" s="8" t="n">
        <f aca="false">E418-C418</f>
        <v>-1.73684210526316</v>
      </c>
      <c r="G418" s="9" t="n">
        <f aca="false">IF(AND(C418=0,E418=0),0,IF(C418=0,"New",(E418-C418)/C418))</f>
        <v>-0.578947368421053</v>
      </c>
      <c r="H418" s="8" t="n">
        <f aca="false">SUMIFS('Source'!$E:$E,'Source'!$A:$A,"155138 לקוח אינטרנט",'Source'!$B:$B,$A418)</f>
        <v>722.63</v>
      </c>
      <c r="I418" s="8" t="n">
        <f aca="false">SUMIFS('Source'!$G:$G,'Source'!$A:$A,"155138 לקוח אינטרנט",'Source'!$B:$B,$A418)</f>
        <v>406.69</v>
      </c>
      <c r="J418" s="8" t="n">
        <f aca="false">I418*$J$5</f>
        <v>513.713684210526</v>
      </c>
      <c r="K418" s="8" t="n">
        <f aca="false">J418-H418</f>
        <v>-208.916315789474</v>
      </c>
      <c r="L418" s="9" t="n">
        <f aca="false">IF(AND(H418=0,J418=0),0,IF(H418=0,"New",(J418-H418)/H418))</f>
        <v>-0.28910551151969</v>
      </c>
      <c r="M418" s="7" t="str">
        <f aca="false">IF(AND(OR(C418&lt;&gt;0,H418&lt;&gt;0),D418=0,I418=0),"DROP",IF(AND(OR(D418&lt;&gt;0,I418&lt;&gt;0),C418=0,H418=0),"NEW",""))</f>
        <v/>
      </c>
    </row>
    <row r="419" customFormat="false" ht="15" hidden="false" customHeight="false" outlineLevel="0" collapsed="false">
      <c r="A419" s="7" t="s">
        <v>509</v>
      </c>
      <c r="B419" s="7" t="str">
        <f aca="false">IFERROR(INDEX('Source'!$C:$C,MATCH($A419,'Source'!$B:$B,0)),"")</f>
        <v>גרבי נוחות קיץ שחור</v>
      </c>
      <c r="C419" s="8" t="n">
        <f aca="false">SUMIFS('Source'!$D:$D,'Source'!$A:$A,"155138 לקוח אינטרנט",'Source'!$B:$B,$A419)</f>
        <v>10</v>
      </c>
      <c r="D419" s="8" t="n">
        <f aca="false">SUMIFS('Source'!$F:$F,'Source'!$A:$A,"155138 לקוח אינטרנט",'Source'!$B:$B,$A419)</f>
        <v>4</v>
      </c>
      <c r="E419" s="8" t="n">
        <f aca="false">D419*$J$5</f>
        <v>5.05263157894737</v>
      </c>
      <c r="F419" s="8" t="n">
        <f aca="false">E419-C419</f>
        <v>-4.94736842105263</v>
      </c>
      <c r="G419" s="9" t="n">
        <f aca="false">IF(AND(C419=0,E419=0),0,IF(C419=0,"New",(E419-C419)/C419))</f>
        <v>-0.494736842105263</v>
      </c>
      <c r="H419" s="8" t="n">
        <f aca="false">SUMIFS('Source'!$E:$E,'Source'!$A:$A,"155138 לקוח אינטרנט",'Source'!$B:$B,$A419)</f>
        <v>477.98</v>
      </c>
      <c r="I419" s="8" t="n">
        <f aca="false">SUMIFS('Source'!$G:$G,'Source'!$A:$A,"155138 לקוח אינטרנט",'Source'!$B:$B,$A419)</f>
        <v>164.97</v>
      </c>
      <c r="J419" s="8" t="n">
        <f aca="false">I419*$J$5</f>
        <v>208.383157894737</v>
      </c>
      <c r="K419" s="8" t="n">
        <f aca="false">J419-H419</f>
        <v>-269.596842105263</v>
      </c>
      <c r="L419" s="9" t="n">
        <f aca="false">IF(AND(H419=0,J419=0),0,IF(H419=0,"New",(J419-H419)/H419))</f>
        <v>-0.564033729664972</v>
      </c>
      <c r="M419" s="7" t="str">
        <f aca="false">IF(AND(OR(C419&lt;&gt;0,H419&lt;&gt;0),D419=0,I419=0),"DROP",IF(AND(OR(D419&lt;&gt;0,I419&lt;&gt;0),C419=0,H419=0),"NEW",""))</f>
        <v/>
      </c>
    </row>
    <row r="420" customFormat="false" ht="15" hidden="false" customHeight="false" outlineLevel="0" collapsed="false">
      <c r="A420" s="7" t="s">
        <v>510</v>
      </c>
      <c r="B420" s="7" t="str">
        <f aca="false">IFERROR(INDEX('Source'!$C:$C,MATCH($A420,'Source'!$B:$B,0)),"")</f>
        <v>מגן ברך סיליקון - אנטומיק</v>
      </c>
      <c r="C420" s="8" t="n">
        <f aca="false">SUMIFS('Source'!$D:$D,'Source'!$A:$A,"155138 לקוח אינטרנט",'Source'!$B:$B,$A420)</f>
        <v>1</v>
      </c>
      <c r="D420" s="8" t="n">
        <f aca="false">SUMIFS('Source'!$F:$F,'Source'!$A:$A,"155138 לקוח אינטרנט",'Source'!$B:$B,$A420)</f>
        <v>0</v>
      </c>
      <c r="E420" s="8" t="n">
        <f aca="false">D420*$J$5</f>
        <v>0</v>
      </c>
      <c r="F420" s="8" t="n">
        <f aca="false">E420-C420</f>
        <v>-1</v>
      </c>
      <c r="G420" s="9" t="n">
        <f aca="false">IF(AND(C420=0,E420=0),0,IF(C420=0,"New",(E420-C420)/C420))</f>
        <v>-1</v>
      </c>
      <c r="H420" s="8" t="n">
        <f aca="false">SUMIFS('Source'!$E:$E,'Source'!$A:$A,"155138 לקוח אינטרנט",'Source'!$B:$B,$A420)</f>
        <v>312.55</v>
      </c>
      <c r="I420" s="8" t="n">
        <f aca="false">SUMIFS('Source'!$G:$G,'Source'!$A:$A,"155138 לקוח אינטרנט",'Source'!$B:$B,$A420)</f>
        <v>0</v>
      </c>
      <c r="J420" s="8" t="n">
        <f aca="false">I420*$J$5</f>
        <v>0</v>
      </c>
      <c r="K420" s="8" t="n">
        <f aca="false">J420-H420</f>
        <v>-312.55</v>
      </c>
      <c r="L420" s="9" t="n">
        <f aca="false">IF(AND(H420=0,J420=0),0,IF(H420=0,"New",(J420-H420)/H420))</f>
        <v>-1</v>
      </c>
      <c r="M420" s="7" t="str">
        <f aca="false">IF(AND(OR(C420&lt;&gt;0,H420&lt;&gt;0),D420=0,I420=0),"DROP",IF(AND(OR(D420&lt;&gt;0,I420&lt;&gt;0),C420=0,H420=0),"NEW",""))</f>
        <v>DROP</v>
      </c>
    </row>
    <row r="421" customFormat="false" ht="15" hidden="false" customHeight="false" outlineLevel="0" collapsed="false">
      <c r="A421" s="7" t="s">
        <v>511</v>
      </c>
      <c r="B421" s="7" t="str">
        <f aca="false">IFERROR(INDEX('Source'!$C:$C,MATCH($A421,'Source'!$B:$B,0)),"")</f>
        <v>כפפת אגודל לחץ</v>
      </c>
      <c r="C421" s="8" t="n">
        <f aca="false">SUMIFS('Source'!$D:$D,'Source'!$A:$A,"155138 לקוח אינטרנט",'Source'!$B:$B,$A421)</f>
        <v>17</v>
      </c>
      <c r="D421" s="8" t="n">
        <f aca="false">SUMIFS('Source'!$F:$F,'Source'!$A:$A,"155138 לקוח אינטרנט",'Source'!$B:$B,$A421)</f>
        <v>11</v>
      </c>
      <c r="E421" s="8" t="n">
        <f aca="false">D421*$J$5</f>
        <v>13.8947368421053</v>
      </c>
      <c r="F421" s="8" t="n">
        <f aca="false">E421-C421</f>
        <v>-3.10526315789474</v>
      </c>
      <c r="G421" s="9" t="n">
        <f aca="false">IF(AND(C421=0,E421=0),0,IF(C421=0,"New",(E421-C421)/C421))</f>
        <v>-0.18266253869969</v>
      </c>
      <c r="H421" s="8" t="n">
        <f aca="false">SUMIFS('Source'!$E:$E,'Source'!$A:$A,"155138 לקוח אינטרנט",'Source'!$B:$B,$A421)</f>
        <v>1067.16</v>
      </c>
      <c r="I421" s="8" t="n">
        <f aca="false">SUMIFS('Source'!$G:$G,'Source'!$A:$A,"155138 לקוח אינטרנט",'Source'!$B:$B,$A421)</f>
        <v>755.48</v>
      </c>
      <c r="J421" s="8" t="n">
        <f aca="false">I421*$J$5</f>
        <v>954.290526315789</v>
      </c>
      <c r="K421" s="8" t="n">
        <f aca="false">J421-H421</f>
        <v>-112.869473684211</v>
      </c>
      <c r="L421" s="9" t="n">
        <f aca="false">IF(AND(H421=0,J421=0),0,IF(H421=0,"New",(J421-H421)/H421))</f>
        <v>-0.105766214704647</v>
      </c>
      <c r="M421" s="7" t="str">
        <f aca="false">IF(AND(OR(C421&lt;&gt;0,H421&lt;&gt;0),D421=0,I421=0),"DROP",IF(AND(OR(D421&lt;&gt;0,I421&lt;&gt;0),C421=0,H421=0),"NEW",""))</f>
        <v/>
      </c>
    </row>
    <row r="422" customFormat="false" ht="15" hidden="false" customHeight="false" outlineLevel="0" collapsed="false">
      <c r="A422" s="7" t="s">
        <v>512</v>
      </c>
      <c r="B422" s="7" t="str">
        <f aca="false">IFERROR(INDEX('Source'!$C:$C,MATCH($A422,'Source'!$B:$B,0)),"")</f>
        <v>מגן קרסול פתוח</v>
      </c>
      <c r="C422" s="8" t="n">
        <f aca="false">SUMIFS('Source'!$D:$D,'Source'!$A:$A,"155138 לקוח אינטרנט",'Source'!$B:$B,$A422)</f>
        <v>2</v>
      </c>
      <c r="D422" s="8" t="n">
        <f aca="false">SUMIFS('Source'!$F:$F,'Source'!$A:$A,"155138 לקוח אינטרנט",'Source'!$B:$B,$A422)</f>
        <v>8</v>
      </c>
      <c r="E422" s="8" t="n">
        <f aca="false">D422*$J$5</f>
        <v>10.1052631578947</v>
      </c>
      <c r="F422" s="8" t="n">
        <f aca="false">E422-C422</f>
        <v>8.10526315789474</v>
      </c>
      <c r="G422" s="9" t="n">
        <f aca="false">IF(AND(C422=0,E422=0),0,IF(C422=0,"New",(E422-C422)/C422))</f>
        <v>4.05263157894737</v>
      </c>
      <c r="H422" s="8" t="n">
        <f aca="false">SUMIFS('Source'!$E:$E,'Source'!$A:$A,"155138 לקוח אינטרנט",'Source'!$B:$B,$A422)</f>
        <v>111.7</v>
      </c>
      <c r="I422" s="8" t="n">
        <f aca="false">SUMIFS('Source'!$G:$G,'Source'!$A:$A,"155138 לקוח אינטרנט",'Source'!$B:$B,$A422)</f>
        <v>421.65</v>
      </c>
      <c r="J422" s="8" t="n">
        <f aca="false">I422*$J$5</f>
        <v>532.61052631579</v>
      </c>
      <c r="K422" s="8" t="n">
        <f aca="false">J422-H422</f>
        <v>420.910526315789</v>
      </c>
      <c r="L422" s="9" t="n">
        <f aca="false">IF(AND(H422=0,J422=0),0,IF(H422=0,"New",(J422-H422)/H422))</f>
        <v>3.76822315412524</v>
      </c>
      <c r="M422" s="7" t="str">
        <f aca="false">IF(AND(OR(C422&lt;&gt;0,H422&lt;&gt;0),D422=0,I422=0),"DROP",IF(AND(OR(D422&lt;&gt;0,I422&lt;&gt;0),C422=0,H422=0),"NEW",""))</f>
        <v/>
      </c>
    </row>
    <row r="423" customFormat="false" ht="15" hidden="false" customHeight="false" outlineLevel="0" collapsed="false">
      <c r="A423" s="7" t="s">
        <v>513</v>
      </c>
      <c r="B423" s="7" t="str">
        <f aca="false">IFERROR(INDEX('Source'!$C:$C,MATCH($A423,'Source'!$B:$B,0)),"")</f>
        <v>חגורה אוורירית איטלקית</v>
      </c>
      <c r="C423" s="8" t="n">
        <f aca="false">SUMIFS('Source'!$D:$D,'Source'!$A:$A,"155138 לקוח אינטרנט",'Source'!$B:$B,$A423)</f>
        <v>3</v>
      </c>
      <c r="D423" s="8" t="n">
        <f aca="false">SUMIFS('Source'!$F:$F,'Source'!$A:$A,"155138 לקוח אינטרנט",'Source'!$B:$B,$A423)</f>
        <v>2</v>
      </c>
      <c r="E423" s="8" t="n">
        <f aca="false">D423*$J$5</f>
        <v>2.52631578947368</v>
      </c>
      <c r="F423" s="8" t="n">
        <f aca="false">E423-C423</f>
        <v>-0.473684210526316</v>
      </c>
      <c r="G423" s="9" t="n">
        <f aca="false">IF(AND(C423=0,E423=0),0,IF(C423=0,"New",(E423-C423)/C423))</f>
        <v>-0.157894736842105</v>
      </c>
      <c r="H423" s="8" t="n">
        <f aca="false">SUMIFS('Source'!$E:$E,'Source'!$A:$A,"155138 לקוח אינטרנט",'Source'!$B:$B,$A423)</f>
        <v>1209.96</v>
      </c>
      <c r="I423" s="8" t="n">
        <f aca="false">SUMIFS('Source'!$G:$G,'Source'!$A:$A,"155138 לקוח אינטרנט",'Source'!$B:$B,$A423)</f>
        <v>901.53</v>
      </c>
      <c r="J423" s="8" t="n">
        <f aca="false">I423*$J$5</f>
        <v>1138.77473684211</v>
      </c>
      <c r="K423" s="8" t="n">
        <f aca="false">J423-H423</f>
        <v>-71.185263157895</v>
      </c>
      <c r="L423" s="9" t="n">
        <f aca="false">IF(AND(H423=0,J423=0),0,IF(H423=0,"New",(J423-H423)/H423))</f>
        <v>-0.0588327408822564</v>
      </c>
      <c r="M423" s="7" t="str">
        <f aca="false">IF(AND(OR(C423&lt;&gt;0,H423&lt;&gt;0),D423=0,I423=0),"DROP",IF(AND(OR(D423&lt;&gt;0,I423&lt;&gt;0),C423=0,H423=0),"NEW",""))</f>
        <v/>
      </c>
    </row>
    <row r="424" customFormat="false" ht="15" hidden="false" customHeight="false" outlineLevel="0" collapsed="false">
      <c r="A424" s="7" t="s">
        <v>514</v>
      </c>
      <c r="B424" s="7" t="str">
        <f aca="false">IFERROR(INDEX('Source'!$C:$C,MATCH($A424,'Source'!$B:$B,0)),"")</f>
        <v>מגן ברך גנופיקס +</v>
      </c>
      <c r="C424" s="8" t="n">
        <f aca="false">SUMIFS('Source'!$D:$D,'Source'!$A:$A,"155138 לקוח אינטרנט",'Source'!$B:$B,$A424)</f>
        <v>0</v>
      </c>
      <c r="D424" s="8" t="n">
        <f aca="false">SUMIFS('Source'!$F:$F,'Source'!$A:$A,"155138 לקוח אינטרנט",'Source'!$B:$B,$A424)</f>
        <v>1</v>
      </c>
      <c r="E424" s="8" t="n">
        <f aca="false">D424*$J$5</f>
        <v>1.26315789473684</v>
      </c>
      <c r="F424" s="8" t="n">
        <f aca="false">E424-C424</f>
        <v>1.26315789473684</v>
      </c>
      <c r="G424" s="9" t="str">
        <f aca="false">IF(AND(C424=0,E424=0),0,IF(C424=0,"New",(E424-C424)/C424))</f>
        <v>New</v>
      </c>
      <c r="H424" s="8" t="n">
        <f aca="false">SUMIFS('Source'!$E:$E,'Source'!$A:$A,"155138 לקוח אינטרנט",'Source'!$B:$B,$A424)</f>
        <v>0</v>
      </c>
      <c r="I424" s="8" t="n">
        <f aca="false">SUMIFS('Source'!$G:$G,'Source'!$A:$A,"155138 לקוח אינטרנט",'Source'!$B:$B,$A424)</f>
        <v>308.06</v>
      </c>
      <c r="J424" s="8" t="n">
        <f aca="false">I424*$J$5</f>
        <v>389.128421052632</v>
      </c>
      <c r="K424" s="8" t="n">
        <f aca="false">J424-H424</f>
        <v>389.128421052632</v>
      </c>
      <c r="L424" s="9" t="str">
        <f aca="false">IF(AND(H424=0,J424=0),0,IF(H424=0,"New",(J424-H424)/H424))</f>
        <v>New</v>
      </c>
      <c r="M424" s="7" t="str">
        <f aca="false">IF(AND(OR(C424&lt;&gt;0,H424&lt;&gt;0),D424=0,I424=0),"DROP",IF(AND(OR(D424&lt;&gt;0,I424&lt;&gt;0),C424=0,H424=0),"NEW",""))</f>
        <v>NEW</v>
      </c>
    </row>
    <row r="425" customFormat="false" ht="15" hidden="false" customHeight="false" outlineLevel="0" collapsed="false">
      <c r="A425" s="7" t="s">
        <v>515</v>
      </c>
      <c r="B425" s="7" t="str">
        <f aca="false">IFERROR(INDEX('Source'!$C:$C,MATCH($A425,'Source'!$B:$B,0)),"")</f>
        <v>טבעת אלסטית מסיליקון</v>
      </c>
      <c r="C425" s="8" t="n">
        <f aca="false">SUMIFS('Source'!$D:$D,'Source'!$A:$A,"155138 לקוח אינטרנט",'Source'!$B:$B,$A425)</f>
        <v>19</v>
      </c>
      <c r="D425" s="8" t="n">
        <f aca="false">SUMIFS('Source'!$F:$F,'Source'!$A:$A,"155138 לקוח אינטרנט",'Source'!$B:$B,$A425)</f>
        <v>7</v>
      </c>
      <c r="E425" s="8" t="n">
        <f aca="false">D425*$J$5</f>
        <v>8.84210526315789</v>
      </c>
      <c r="F425" s="8" t="n">
        <f aca="false">E425-C425</f>
        <v>-10.1578947368421</v>
      </c>
      <c r="G425" s="9" t="n">
        <f aca="false">IF(AND(C425=0,E425=0),0,IF(C425=0,"New",(E425-C425)/C425))</f>
        <v>-0.534626038781163</v>
      </c>
      <c r="H425" s="8" t="n">
        <f aca="false">SUMIFS('Source'!$E:$E,'Source'!$A:$A,"155138 לקוח אינטרנט",'Source'!$B:$B,$A425)</f>
        <v>477.66</v>
      </c>
      <c r="I425" s="8" t="n">
        <f aca="false">SUMIFS('Source'!$G:$G,'Source'!$A:$A,"155138 לקוח אינטרנט",'Source'!$B:$B,$A425)</f>
        <v>169.78</v>
      </c>
      <c r="J425" s="8" t="n">
        <f aca="false">I425*$J$5</f>
        <v>214.458947368421</v>
      </c>
      <c r="K425" s="8" t="n">
        <f aca="false">J425-H425</f>
        <v>-263.201052631579</v>
      </c>
      <c r="L425" s="9" t="n">
        <f aca="false">IF(AND(H425=0,J425=0),0,IF(H425=0,"New",(J425-H425)/H425))</f>
        <v>-0.551021757383032</v>
      </c>
      <c r="M425" s="7" t="str">
        <f aca="false">IF(AND(OR(C425&lt;&gt;0,H425&lt;&gt;0),D425=0,I425=0),"DROP",IF(AND(OR(D425&lt;&gt;0,I425&lt;&gt;0),C425=0,H425=0),"NEW",""))</f>
        <v/>
      </c>
    </row>
    <row r="426" customFormat="false" ht="15" hidden="false" customHeight="false" outlineLevel="0" collapsed="false">
      <c r="A426" s="7" t="s">
        <v>516</v>
      </c>
      <c r="B426" s="7" t="str">
        <f aca="false">IFERROR(INDEX('Source'!$C:$C,MATCH($A426,'Source'!$B:$B,0)),"")</f>
        <v>טבעת אלסטית מסי</v>
      </c>
      <c r="C426" s="8" t="n">
        <f aca="false">SUMIFS('Source'!$D:$D,'Source'!$A:$A,"155138 לקוח אינטרנט",'Source'!$B:$B,$A426)</f>
        <v>33</v>
      </c>
      <c r="D426" s="8" t="n">
        <f aca="false">SUMIFS('Source'!$F:$F,'Source'!$A:$A,"155138 לקוח אינטרנט",'Source'!$B:$B,$A426)</f>
        <v>19</v>
      </c>
      <c r="E426" s="8" t="n">
        <f aca="false">D426*$J$5</f>
        <v>24</v>
      </c>
      <c r="F426" s="8" t="n">
        <f aca="false">E426-C426</f>
        <v>-9</v>
      </c>
      <c r="G426" s="9" t="n">
        <f aca="false">IF(AND(C426=0,E426=0),0,IF(C426=0,"New",(E426-C426)/C426))</f>
        <v>-0.272727272727273</v>
      </c>
      <c r="H426" s="8" t="n">
        <f aca="false">SUMIFS('Source'!$E:$E,'Source'!$A:$A,"155138 לקוח אינטרנט",'Source'!$B:$B,$A426)</f>
        <v>791.32</v>
      </c>
      <c r="I426" s="8" t="n">
        <f aca="false">SUMIFS('Source'!$G:$G,'Source'!$A:$A,"155138 לקוח אינטרנט",'Source'!$B:$B,$A426)</f>
        <v>484.5</v>
      </c>
      <c r="J426" s="8" t="n">
        <f aca="false">I426*$J$5</f>
        <v>612</v>
      </c>
      <c r="K426" s="8" t="n">
        <f aca="false">J426-H426</f>
        <v>-179.32</v>
      </c>
      <c r="L426" s="9" t="n">
        <f aca="false">IF(AND(H426=0,J426=0),0,IF(H426=0,"New",(J426-H426)/H426))</f>
        <v>-0.226608704443209</v>
      </c>
      <c r="M426" s="7" t="str">
        <f aca="false">IF(AND(OR(C426&lt;&gt;0,H426&lt;&gt;0),D426=0,I426=0),"DROP",IF(AND(OR(D426&lt;&gt;0,I426&lt;&gt;0),C426=0,H426=0),"NEW",""))</f>
        <v/>
      </c>
    </row>
    <row r="427" customFormat="false" ht="15" hidden="false" customHeight="false" outlineLevel="0" collapsed="false">
      <c r="A427" s="7" t="s">
        <v>517</v>
      </c>
      <c r="B427" s="7" t="str">
        <f aca="false">IFERROR(INDEX('Source'!$C:$C,MATCH($A427,'Source'!$B:$B,0)),"")</f>
        <v>סד לילה לבוהן</v>
      </c>
      <c r="C427" s="8" t="n">
        <f aca="false">SUMIFS('Source'!$D:$D,'Source'!$A:$A,"155138 לקוח אינטרנט",'Source'!$B:$B,$A427)</f>
        <v>29</v>
      </c>
      <c r="D427" s="8" t="n">
        <f aca="false">SUMIFS('Source'!$F:$F,'Source'!$A:$A,"155138 לקוח אינטרנט",'Source'!$B:$B,$A427)</f>
        <v>26</v>
      </c>
      <c r="E427" s="8" t="n">
        <f aca="false">D427*$J$5</f>
        <v>32.8421052631579</v>
      </c>
      <c r="F427" s="8" t="n">
        <f aca="false">E427-C427</f>
        <v>3.84210526315789</v>
      </c>
      <c r="G427" s="9" t="n">
        <f aca="false">IF(AND(C427=0,E427=0),0,IF(C427=0,"New",(E427-C427)/C427))</f>
        <v>0.132486388384755</v>
      </c>
      <c r="H427" s="8" t="n">
        <f aca="false">SUMIFS('Source'!$E:$E,'Source'!$A:$A,"155138 לקוח אינטרנט",'Source'!$B:$B,$A427)</f>
        <v>3537.02</v>
      </c>
      <c r="I427" s="8" t="n">
        <f aca="false">SUMIFS('Source'!$G:$G,'Source'!$A:$A,"155138 לקוח אינטרנט",'Source'!$B:$B,$A427)</f>
        <v>3231.09</v>
      </c>
      <c r="J427" s="8" t="n">
        <f aca="false">I427*$J$5</f>
        <v>4081.37684210526</v>
      </c>
      <c r="K427" s="8" t="n">
        <f aca="false">J427-H427</f>
        <v>544.356842105263</v>
      </c>
      <c r="L427" s="9" t="n">
        <f aca="false">IF(AND(H427=0,J427=0),0,IF(H427=0,"New",(J427-H427)/H427))</f>
        <v>0.153902675728513</v>
      </c>
      <c r="M427" s="7" t="str">
        <f aca="false">IF(AND(OR(C427&lt;&gt;0,H427&lt;&gt;0),D427=0,I427=0),"DROP",IF(AND(OR(D427&lt;&gt;0,I427&lt;&gt;0),C427=0,H427=0),"NEW",""))</f>
        <v/>
      </c>
    </row>
    <row r="428" customFormat="false" ht="15" hidden="false" customHeight="false" outlineLevel="0" collapsed="false">
      <c r="A428" s="7" t="s">
        <v>518</v>
      </c>
      <c r="B428" s="7" t="str">
        <f aca="false">IFERROR(INDEX('Source'!$C:$C,MATCH($A428,'Source'!$B:$B,0)),"")</f>
        <v>מגן ברך + כרית סיליקון+ רצועות</v>
      </c>
      <c r="C428" s="8" t="n">
        <f aca="false">SUMIFS('Source'!$D:$D,'Source'!$A:$A,"155138 לקוח אינטרנט",'Source'!$B:$B,$A428)</f>
        <v>1</v>
      </c>
      <c r="D428" s="8" t="n">
        <f aca="false">SUMIFS('Source'!$F:$F,'Source'!$A:$A,"155138 לקוח אינטרנט",'Source'!$B:$B,$A428)</f>
        <v>0</v>
      </c>
      <c r="E428" s="8" t="n">
        <f aca="false">D428*$J$5</f>
        <v>0</v>
      </c>
      <c r="F428" s="8" t="n">
        <f aca="false">E428-C428</f>
        <v>-1</v>
      </c>
      <c r="G428" s="9" t="n">
        <f aca="false">IF(AND(C428=0,E428=0),0,IF(C428=0,"New",(E428-C428)/C428))</f>
        <v>-1</v>
      </c>
      <c r="H428" s="8" t="n">
        <f aca="false">SUMIFS('Source'!$E:$E,'Source'!$A:$A,"155138 לקוח אינטרנט",'Source'!$B:$B,$A428)</f>
        <v>305.01</v>
      </c>
      <c r="I428" s="8" t="n">
        <f aca="false">SUMIFS('Source'!$G:$G,'Source'!$A:$A,"155138 לקוח אינטרנט",'Source'!$B:$B,$A428)</f>
        <v>0</v>
      </c>
      <c r="J428" s="8" t="n">
        <f aca="false">I428*$J$5</f>
        <v>0</v>
      </c>
      <c r="K428" s="8" t="n">
        <f aca="false">J428-H428</f>
        <v>-305.01</v>
      </c>
      <c r="L428" s="9" t="n">
        <f aca="false">IF(AND(H428=0,J428=0),0,IF(H428=0,"New",(J428-H428)/H428))</f>
        <v>-1</v>
      </c>
      <c r="M428" s="7" t="str">
        <f aca="false">IF(AND(OR(C428&lt;&gt;0,H428&lt;&gt;0),D428=0,I428=0),"DROP",IF(AND(OR(D428&lt;&gt;0,I428&lt;&gt;0),C428=0,H428=0),"NEW",""))</f>
        <v>DROP</v>
      </c>
    </row>
    <row r="429" customFormat="false" ht="15" hidden="false" customHeight="false" outlineLevel="0" collapsed="false">
      <c r="A429" s="7" t="s">
        <v>519</v>
      </c>
      <c r="B429" s="7" t="str">
        <f aca="false">IFERROR(INDEX('Source'!$C:$C,MATCH($A429,'Source'!$B:$B,0)),"")</f>
        <v>חגורת שבר שחור</v>
      </c>
      <c r="C429" s="8" t="n">
        <f aca="false">SUMIFS('Source'!$D:$D,'Source'!$A:$A,"155138 לקוח אינטרנט",'Source'!$B:$B,$A429)</f>
        <v>4</v>
      </c>
      <c r="D429" s="8" t="n">
        <f aca="false">SUMIFS('Source'!$F:$F,'Source'!$A:$A,"155138 לקוח אינטרנט",'Source'!$B:$B,$A429)</f>
        <v>3</v>
      </c>
      <c r="E429" s="8" t="n">
        <f aca="false">D429*$J$5</f>
        <v>3.78947368421053</v>
      </c>
      <c r="F429" s="8" t="n">
        <f aca="false">E429-C429</f>
        <v>-0.210526315789474</v>
      </c>
      <c r="G429" s="9" t="n">
        <f aca="false">IF(AND(C429=0,E429=0),0,IF(C429=0,"New",(E429-C429)/C429))</f>
        <v>-0.0526315789473685</v>
      </c>
      <c r="H429" s="8" t="n">
        <f aca="false">SUMIFS('Source'!$E:$E,'Source'!$A:$A,"155138 לקוח אינטרנט",'Source'!$B:$B,$A429)</f>
        <v>1270.87</v>
      </c>
      <c r="I429" s="8" t="n">
        <f aca="false">SUMIFS('Source'!$G:$G,'Source'!$A:$A,"155138 לקוח אינטרנט",'Source'!$B:$B,$A429)</f>
        <v>965.87</v>
      </c>
      <c r="J429" s="8" t="n">
        <f aca="false">I429*$J$5</f>
        <v>1220.04631578947</v>
      </c>
      <c r="K429" s="8" t="n">
        <f aca="false">J429-H429</f>
        <v>-50.8236842105264</v>
      </c>
      <c r="L429" s="9" t="n">
        <f aca="false">IF(AND(H429=0,J429=0),0,IF(H429=0,"New",(J429-H429)/H429))</f>
        <v>-0.0399912534016275</v>
      </c>
      <c r="M429" s="7" t="str">
        <f aca="false">IF(AND(OR(C429&lt;&gt;0,H429&lt;&gt;0),D429=0,I429=0),"DROP",IF(AND(OR(D429&lt;&gt;0,I429&lt;&gt;0),C429=0,H429=0),"NEW",""))</f>
        <v/>
      </c>
    </row>
    <row r="430" customFormat="false" ht="15" hidden="false" customHeight="false" outlineLevel="0" collapsed="false">
      <c r="A430" s="7" t="s">
        <v>520</v>
      </c>
      <c r="B430" s="7" t="str">
        <f aca="false">IFERROR(INDEX('Source'!$C:$C,MATCH($A430,'Source'!$B:$B,0)),"")</f>
        <v>חגורת בטן עממית אפור</v>
      </c>
      <c r="C430" s="8" t="n">
        <f aca="false">SUMIFS('Source'!$D:$D,'Source'!$A:$A,"155138 לקוח אינטרנט",'Source'!$B:$B,$A430)</f>
        <v>5</v>
      </c>
      <c r="D430" s="8" t="n">
        <f aca="false">SUMIFS('Source'!$F:$F,'Source'!$A:$A,"155138 לקוח אינטרנט",'Source'!$B:$B,$A430)</f>
        <v>3</v>
      </c>
      <c r="E430" s="8" t="n">
        <f aca="false">D430*$J$5</f>
        <v>3.78947368421053</v>
      </c>
      <c r="F430" s="8" t="n">
        <f aca="false">E430-C430</f>
        <v>-1.21052631578947</v>
      </c>
      <c r="G430" s="9" t="n">
        <f aca="false">IF(AND(C430=0,E430=0),0,IF(C430=0,"New",(E430-C430)/C430))</f>
        <v>-0.242105263157895</v>
      </c>
      <c r="H430" s="8" t="n">
        <f aca="false">SUMIFS('Source'!$E:$E,'Source'!$A:$A,"155138 לקוח אינטרנט",'Source'!$B:$B,$A430)</f>
        <v>845.38</v>
      </c>
      <c r="I430" s="8" t="n">
        <f aca="false">SUMIFS('Source'!$G:$G,'Source'!$A:$A,"155138 לקוח אינטרנט",'Source'!$B:$B,$A430)</f>
        <v>540.43</v>
      </c>
      <c r="J430" s="8" t="n">
        <f aca="false">I430*$J$5</f>
        <v>682.648421052632</v>
      </c>
      <c r="K430" s="8" t="n">
        <f aca="false">J430-H430</f>
        <v>-162.731578947368</v>
      </c>
      <c r="L430" s="9" t="n">
        <f aca="false">IF(AND(H430=0,J430=0),0,IF(H430=0,"New",(J430-H430)/H430))</f>
        <v>-0.192495184351852</v>
      </c>
      <c r="M430" s="7" t="str">
        <f aca="false">IF(AND(OR(C430&lt;&gt;0,H430&lt;&gt;0),D430=0,I430=0),"DROP",IF(AND(OR(D430&lt;&gt;0,I430&lt;&gt;0),C430=0,H430=0),"NEW",""))</f>
        <v/>
      </c>
    </row>
    <row r="431" customFormat="false" ht="15" hidden="false" customHeight="false" outlineLevel="0" collapsed="false">
      <c r="A431" s="7" t="s">
        <v>521</v>
      </c>
      <c r="B431" s="7" t="str">
        <f aca="false">IFERROR(INDEX('Source'!$C:$C,MATCH($A431,'Source'!$B:$B,0)),"")</f>
        <v>סופורטר</v>
      </c>
      <c r="C431" s="8" t="n">
        <f aca="false">SUMIFS('Source'!$D:$D,'Source'!$A:$A,"155138 לקוח אינטרנט",'Source'!$B:$B,$A431)</f>
        <v>4</v>
      </c>
      <c r="D431" s="8" t="n">
        <f aca="false">SUMIFS('Source'!$F:$F,'Source'!$A:$A,"155138 לקוח אינטרנט",'Source'!$B:$B,$A431)</f>
        <v>3</v>
      </c>
      <c r="E431" s="8" t="n">
        <f aca="false">D431*$J$5</f>
        <v>3.78947368421053</v>
      </c>
      <c r="F431" s="8" t="n">
        <f aca="false">E431-C431</f>
        <v>-0.210526315789474</v>
      </c>
      <c r="G431" s="9" t="n">
        <f aca="false">IF(AND(C431=0,E431=0),0,IF(C431=0,"New",(E431-C431)/C431))</f>
        <v>-0.0526315789473685</v>
      </c>
      <c r="H431" s="8" t="n">
        <f aca="false">SUMIFS('Source'!$E:$E,'Source'!$A:$A,"155138 לקוח אינטרנט",'Source'!$B:$B,$A431)</f>
        <v>762.31</v>
      </c>
      <c r="I431" s="8" t="n">
        <f aca="false">SUMIFS('Source'!$G:$G,'Source'!$A:$A,"155138 לקוח אינטרנט",'Source'!$B:$B,$A431)</f>
        <v>457.38</v>
      </c>
      <c r="J431" s="8" t="n">
        <f aca="false">I431*$J$5</f>
        <v>577.743157894737</v>
      </c>
      <c r="K431" s="8" t="n">
        <f aca="false">J431-H431</f>
        <v>-184.566842105263</v>
      </c>
      <c r="L431" s="9" t="n">
        <f aca="false">IF(AND(H431=0,J431=0),0,IF(H431=0,"New",(J431-H431)/H431))</f>
        <v>-0.242115205238372</v>
      </c>
      <c r="M431" s="7" t="str">
        <f aca="false">IF(AND(OR(C431&lt;&gt;0,H431&lt;&gt;0),D431=0,I431=0),"DROP",IF(AND(OR(D431&lt;&gt;0,I431&lt;&gt;0),C431=0,H431=0),"NEW",""))</f>
        <v/>
      </c>
    </row>
    <row r="432" customFormat="false" ht="15" hidden="false" customHeight="false" outlineLevel="0" collapsed="false">
      <c r="A432" s="7" t="s">
        <v>522</v>
      </c>
      <c r="B432" s="7" t="str">
        <f aca="false">IFERROR(INDEX('Source'!$C:$C,MATCH($A432,'Source'!$B:$B,0)),"")</f>
        <v>מגן קרסול פתוח</v>
      </c>
      <c r="C432" s="8" t="n">
        <f aca="false">SUMIFS('Source'!$D:$D,'Source'!$A:$A,"155138 לקוח אינטרנט",'Source'!$B:$B,$A432)</f>
        <v>7</v>
      </c>
      <c r="D432" s="8" t="n">
        <f aca="false">SUMIFS('Source'!$F:$F,'Source'!$A:$A,"155138 לקוח אינטרנט",'Source'!$B:$B,$A432)</f>
        <v>12</v>
      </c>
      <c r="E432" s="8" t="n">
        <f aca="false">D432*$J$5</f>
        <v>15.1578947368421</v>
      </c>
      <c r="F432" s="8" t="n">
        <f aca="false">E432-C432</f>
        <v>8.1578947368421</v>
      </c>
      <c r="G432" s="9" t="n">
        <f aca="false">IF(AND(C432=0,E432=0),0,IF(C432=0,"New",(E432-C432)/C432))</f>
        <v>1.16541353383459</v>
      </c>
      <c r="H432" s="8" t="n">
        <f aca="false">SUMIFS('Source'!$E:$E,'Source'!$A:$A,"155138 לקוח אינטרנט",'Source'!$B:$B,$A432)</f>
        <v>349.06</v>
      </c>
      <c r="I432" s="8" t="n">
        <f aca="false">SUMIFS('Source'!$G:$G,'Source'!$A:$A,"155138 לקוח אינטרנט",'Source'!$B:$B,$A432)</f>
        <v>653.42</v>
      </c>
      <c r="J432" s="8" t="n">
        <f aca="false">I432*$J$5</f>
        <v>825.372631578947</v>
      </c>
      <c r="K432" s="8" t="n">
        <f aca="false">J432-H432</f>
        <v>476.312631578947</v>
      </c>
      <c r="L432" s="9" t="n">
        <f aca="false">IF(AND(H432=0,J432=0),0,IF(H432=0,"New",(J432-H432)/H432))</f>
        <v>1.36455804612086</v>
      </c>
      <c r="M432" s="7" t="str">
        <f aca="false">IF(AND(OR(C432&lt;&gt;0,H432&lt;&gt;0),D432=0,I432=0),"DROP",IF(AND(OR(D432&lt;&gt;0,I432&lt;&gt;0),C432=0,H432=0),"NEW",""))</f>
        <v/>
      </c>
    </row>
    <row r="433" customFormat="false" ht="15" hidden="false" customHeight="false" outlineLevel="0" collapsed="false">
      <c r="A433" s="7" t="s">
        <v>523</v>
      </c>
      <c r="B433" s="7" t="str">
        <f aca="false">IFERROR(INDEX('Source'!$C:$C,MATCH($A433,'Source'!$B:$B,0)),"")</f>
        <v>סד יד שמאל  בז'  L-XL</v>
      </c>
      <c r="C433" s="8" t="n">
        <f aca="false">SUMIFS('Source'!$D:$D,'Source'!$A:$A,"155138 לקוח אינטרנט",'Source'!$B:$B,$A433)</f>
        <v>0</v>
      </c>
      <c r="D433" s="8" t="n">
        <f aca="false">SUMIFS('Source'!$F:$F,'Source'!$A:$A,"155138 לקוח אינטרנט",'Source'!$B:$B,$A433)</f>
        <v>2</v>
      </c>
      <c r="E433" s="8" t="n">
        <f aca="false">D433*$J$5</f>
        <v>2.52631578947368</v>
      </c>
      <c r="F433" s="8" t="n">
        <f aca="false">E433-C433</f>
        <v>2.52631578947368</v>
      </c>
      <c r="G433" s="9" t="str">
        <f aca="false">IF(AND(C433=0,E433=0),0,IF(C433=0,"New",(E433-C433)/C433))</f>
        <v>New</v>
      </c>
      <c r="H433" s="8" t="n">
        <f aca="false">SUMIFS('Source'!$E:$E,'Source'!$A:$A,"155138 לקוח אינטרנט",'Source'!$B:$B,$A433)</f>
        <v>0</v>
      </c>
      <c r="I433" s="8" t="n">
        <f aca="false">SUMIFS('Source'!$G:$G,'Source'!$A:$A,"155138 לקוח אינטרנט",'Source'!$B:$B,$A433)</f>
        <v>303.9</v>
      </c>
      <c r="J433" s="8" t="n">
        <f aca="false">I433*$J$5</f>
        <v>383.873684210526</v>
      </c>
      <c r="K433" s="8" t="n">
        <f aca="false">J433-H433</f>
        <v>383.873684210526</v>
      </c>
      <c r="L433" s="9" t="str">
        <f aca="false">IF(AND(H433=0,J433=0),0,IF(H433=0,"New",(J433-H433)/H433))</f>
        <v>New</v>
      </c>
      <c r="M433" s="7" t="str">
        <f aca="false">IF(AND(OR(C433&lt;&gt;0,H433&lt;&gt;0),D433=0,I433=0),"DROP",IF(AND(OR(D433&lt;&gt;0,I433&lt;&gt;0),C433=0,H433=0),"NEW",""))</f>
        <v>NEW</v>
      </c>
    </row>
    <row r="434" customFormat="false" ht="15" hidden="false" customHeight="false" outlineLevel="0" collapsed="false">
      <c r="A434" s="7" t="s">
        <v>524</v>
      </c>
      <c r="B434" s="7" t="str">
        <f aca="false">IFERROR(INDEX('Source'!$C:$C,MATCH($A434,'Source'!$B:$B,0)),"")</f>
        <v>מגן יד</v>
      </c>
      <c r="C434" s="8" t="n">
        <f aca="false">SUMIFS('Source'!$D:$D,'Source'!$A:$A,"155138 לקוח אינטרנט",'Source'!$B:$B,$A434)</f>
        <v>4</v>
      </c>
      <c r="D434" s="8" t="n">
        <f aca="false">SUMIFS('Source'!$F:$F,'Source'!$A:$A,"155138 לקוח אינטרנט",'Source'!$B:$B,$A434)</f>
        <v>8</v>
      </c>
      <c r="E434" s="8" t="n">
        <f aca="false">D434*$J$5</f>
        <v>10.1052631578947</v>
      </c>
      <c r="F434" s="8" t="n">
        <f aca="false">E434-C434</f>
        <v>6.10526315789474</v>
      </c>
      <c r="G434" s="9" t="n">
        <f aca="false">IF(AND(C434=0,E434=0),0,IF(C434=0,"New",(E434-C434)/C434))</f>
        <v>1.52631578947368</v>
      </c>
      <c r="H434" s="8" t="n">
        <f aca="false">SUMIFS('Source'!$E:$E,'Source'!$A:$A,"155138 לקוח אינטרנט",'Source'!$B:$B,$A434)</f>
        <v>266.22</v>
      </c>
      <c r="I434" s="8" t="n">
        <f aca="false">SUMIFS('Source'!$G:$G,'Source'!$A:$A,"155138 לקוח אינטרנט",'Source'!$B:$B,$A434)</f>
        <v>568.4</v>
      </c>
      <c r="J434" s="8" t="n">
        <f aca="false">I434*$J$5</f>
        <v>717.978947368421</v>
      </c>
      <c r="K434" s="8" t="n">
        <f aca="false">J434-H434</f>
        <v>451.758947368421</v>
      </c>
      <c r="L434" s="9" t="n">
        <f aca="false">IF(AND(H434=0,J434=0),0,IF(H434=0,"New",(J434-H434)/H434))</f>
        <v>1.6969384244926</v>
      </c>
      <c r="M434" s="7" t="str">
        <f aca="false">IF(AND(OR(C434&lt;&gt;0,H434&lt;&gt;0),D434=0,I434=0),"DROP",IF(AND(OR(D434&lt;&gt;0,I434&lt;&gt;0),C434=0,H434=0),"NEW",""))</f>
        <v/>
      </c>
    </row>
    <row r="435" customFormat="false" ht="15" hidden="false" customHeight="false" outlineLevel="0" collapsed="false">
      <c r="A435" s="7" t="s">
        <v>525</v>
      </c>
      <c r="B435" s="7" t="str">
        <f aca="false">IFERROR(INDEX('Source'!$C:$C,MATCH($A435,'Source'!$B:$B,0)),"")</f>
        <v>גרבי נוחות קיץ לבן</v>
      </c>
      <c r="C435" s="8" t="n">
        <f aca="false">SUMIFS('Source'!$D:$D,'Source'!$A:$A,"155138 לקוח אינטרנט",'Source'!$B:$B,$A435)</f>
        <v>8</v>
      </c>
      <c r="D435" s="8" t="n">
        <f aca="false">SUMIFS('Source'!$F:$F,'Source'!$A:$A,"155138 לקוח אינטרנט",'Source'!$B:$B,$A435)</f>
        <v>0</v>
      </c>
      <c r="E435" s="8" t="n">
        <f aca="false">D435*$J$5</f>
        <v>0</v>
      </c>
      <c r="F435" s="8" t="n">
        <f aca="false">E435-C435</f>
        <v>-8</v>
      </c>
      <c r="G435" s="9" t="n">
        <f aca="false">IF(AND(C435=0,E435=0),0,IF(C435=0,"New",(E435-C435)/C435))</f>
        <v>-1</v>
      </c>
      <c r="H435" s="8" t="n">
        <f aca="false">SUMIFS('Source'!$E:$E,'Source'!$A:$A,"155138 לקוח אינטרנט",'Source'!$B:$B,$A435)</f>
        <v>301.67</v>
      </c>
      <c r="I435" s="8" t="n">
        <f aca="false">SUMIFS('Source'!$G:$G,'Source'!$A:$A,"155138 לקוח אינטרנט",'Source'!$B:$B,$A435)</f>
        <v>0</v>
      </c>
      <c r="J435" s="8" t="n">
        <f aca="false">I435*$J$5</f>
        <v>0</v>
      </c>
      <c r="K435" s="8" t="n">
        <f aca="false">J435-H435</f>
        <v>-301.67</v>
      </c>
      <c r="L435" s="9" t="n">
        <f aca="false">IF(AND(H435=0,J435=0),0,IF(H435=0,"New",(J435-H435)/H435))</f>
        <v>-1</v>
      </c>
      <c r="M435" s="7" t="str">
        <f aca="false">IF(AND(OR(C435&lt;&gt;0,H435&lt;&gt;0),D435=0,I435=0),"DROP",IF(AND(OR(D435&lt;&gt;0,I435&lt;&gt;0),C435=0,H435=0),"NEW",""))</f>
        <v>DROP</v>
      </c>
    </row>
    <row r="436" customFormat="false" ht="15" hidden="false" customHeight="false" outlineLevel="0" collapsed="false">
      <c r="A436" s="7" t="s">
        <v>526</v>
      </c>
      <c r="B436" s="7" t="str">
        <f aca="false">IFERROR(INDEX('Source'!$C:$C,MATCH($A436,'Source'!$B:$B,0)),"")</f>
        <v>מגן שוק SC39</v>
      </c>
      <c r="C436" s="8" t="n">
        <f aca="false">SUMIFS('Source'!$D:$D,'Source'!$A:$A,"155138 לקוח אינטרנט",'Source'!$B:$B,$A436)</f>
        <v>5</v>
      </c>
      <c r="D436" s="8" t="n">
        <f aca="false">SUMIFS('Source'!$F:$F,'Source'!$A:$A,"155138 לקוח אינטרנט",'Source'!$B:$B,$A436)</f>
        <v>3</v>
      </c>
      <c r="E436" s="8" t="n">
        <f aca="false">D436*$J$5</f>
        <v>3.78947368421053</v>
      </c>
      <c r="F436" s="8" t="n">
        <f aca="false">E436-C436</f>
        <v>-1.21052631578947</v>
      </c>
      <c r="G436" s="9" t="n">
        <f aca="false">IF(AND(C436=0,E436=0),0,IF(C436=0,"New",(E436-C436)/C436))</f>
        <v>-0.242105263157895</v>
      </c>
      <c r="H436" s="8" t="n">
        <f aca="false">SUMIFS('Source'!$E:$E,'Source'!$A:$A,"155138 לקוח אינטרנט",'Source'!$B:$B,$A436)</f>
        <v>1131.82</v>
      </c>
      <c r="I436" s="8" t="n">
        <f aca="false">SUMIFS('Source'!$G:$G,'Source'!$A:$A,"155138 לקוח אינטרנט",'Source'!$B:$B,$A436)</f>
        <v>830.28</v>
      </c>
      <c r="J436" s="8" t="n">
        <f aca="false">I436*$J$5</f>
        <v>1048.77473684211</v>
      </c>
      <c r="K436" s="8" t="n">
        <f aca="false">J436-H436</f>
        <v>-83.0452631578949</v>
      </c>
      <c r="L436" s="9" t="n">
        <f aca="false">IF(AND(H436=0,J436=0),0,IF(H436=0,"New",(J436-H436)/H436))</f>
        <v>-0.0733732070098557</v>
      </c>
      <c r="M436" s="7" t="str">
        <f aca="false">IF(AND(OR(C436&lt;&gt;0,H436&lt;&gt;0),D436=0,I436=0),"DROP",IF(AND(OR(D436&lt;&gt;0,I436&lt;&gt;0),C436=0,H436=0),"NEW",""))</f>
        <v/>
      </c>
    </row>
    <row r="437" customFormat="false" ht="15" hidden="false" customHeight="false" outlineLevel="0" collapsed="false">
      <c r="A437" s="7" t="s">
        <v>527</v>
      </c>
      <c r="B437" s="7" t="str">
        <f aca="false">IFERROR(INDEX('Source'!$C:$C,MATCH($A437,'Source'!$B:$B,0)),"")</f>
        <v>סד מאורך לאגודל</v>
      </c>
      <c r="C437" s="8" t="n">
        <f aca="false">SUMIFS('Source'!$D:$D,'Source'!$A:$A,"155138 לקוח אינטרנט",'Source'!$B:$B,$A437)</f>
        <v>8</v>
      </c>
      <c r="D437" s="8" t="n">
        <f aca="false">SUMIFS('Source'!$F:$F,'Source'!$A:$A,"155138 לקוח אינטרנט",'Source'!$B:$B,$A437)</f>
        <v>10</v>
      </c>
      <c r="E437" s="8" t="n">
        <f aca="false">D437*$J$5</f>
        <v>12.6315789473684</v>
      </c>
      <c r="F437" s="8" t="n">
        <f aca="false">E437-C437</f>
        <v>4.63157894736842</v>
      </c>
      <c r="G437" s="9" t="n">
        <f aca="false">IF(AND(C437=0,E437=0),0,IF(C437=0,"New",(E437-C437)/C437))</f>
        <v>0.578947368421053</v>
      </c>
      <c r="H437" s="8" t="n">
        <f aca="false">SUMIFS('Source'!$E:$E,'Source'!$A:$A,"155138 לקוח אינטרנט",'Source'!$B:$B,$A437)</f>
        <v>943.43</v>
      </c>
      <c r="I437" s="8" t="n">
        <f aca="false">SUMIFS('Source'!$G:$G,'Source'!$A:$A,"155138 לקוח אינטרנט",'Source'!$B:$B,$A437)</f>
        <v>1244.93</v>
      </c>
      <c r="J437" s="8" t="n">
        <f aca="false">I437*$J$5</f>
        <v>1572.54315789474</v>
      </c>
      <c r="K437" s="8" t="n">
        <f aca="false">J437-H437</f>
        <v>629.113157894737</v>
      </c>
      <c r="L437" s="9" t="n">
        <f aca="false">IF(AND(H437=0,J437=0),0,IF(H437=0,"New",(J437-H437)/H437))</f>
        <v>0.666836074636949</v>
      </c>
      <c r="M437" s="7" t="str">
        <f aca="false">IF(AND(OR(C437&lt;&gt;0,H437&lt;&gt;0),D437=0,I437=0),"DROP",IF(AND(OR(D437&lt;&gt;0,I437&lt;&gt;0),C437=0,H437=0),"NEW",""))</f>
        <v/>
      </c>
    </row>
    <row r="438" customFormat="false" ht="15" hidden="false" customHeight="false" outlineLevel="0" collapsed="false">
      <c r="A438" s="7" t="s">
        <v>528</v>
      </c>
      <c r="B438" s="7" t="str">
        <f aca="false">IFERROR(INDEX('Source'!$C:$C,MATCH($A438,'Source'!$B:$B,0)),"")</f>
        <v>גרבי נוחות חורף שחור</v>
      </c>
      <c r="C438" s="8" t="n">
        <f aca="false">SUMIFS('Source'!$D:$D,'Source'!$A:$A,"155138 לקוח אינטרנט",'Source'!$B:$B,$A438)</f>
        <v>6</v>
      </c>
      <c r="D438" s="8" t="n">
        <f aca="false">SUMIFS('Source'!$F:$F,'Source'!$A:$A,"155138 לקוח אינטרנט",'Source'!$B:$B,$A438)</f>
        <v>0</v>
      </c>
      <c r="E438" s="8" t="n">
        <f aca="false">D438*$J$5</f>
        <v>0</v>
      </c>
      <c r="F438" s="8" t="n">
        <f aca="false">E438-C438</f>
        <v>-6</v>
      </c>
      <c r="G438" s="9" t="n">
        <f aca="false">IF(AND(C438=0,E438=0),0,IF(C438=0,"New",(E438-C438)/C438))</f>
        <v>-1</v>
      </c>
      <c r="H438" s="8" t="n">
        <f aca="false">SUMIFS('Source'!$E:$E,'Source'!$A:$A,"155138 לקוח אינטרנט",'Source'!$B:$B,$A438)</f>
        <v>297.69</v>
      </c>
      <c r="I438" s="8" t="n">
        <f aca="false">SUMIFS('Source'!$G:$G,'Source'!$A:$A,"155138 לקוח אינטרנט",'Source'!$B:$B,$A438)</f>
        <v>0</v>
      </c>
      <c r="J438" s="8" t="n">
        <f aca="false">I438*$J$5</f>
        <v>0</v>
      </c>
      <c r="K438" s="8" t="n">
        <f aca="false">J438-H438</f>
        <v>-297.69</v>
      </c>
      <c r="L438" s="9" t="n">
        <f aca="false">IF(AND(H438=0,J438=0),0,IF(H438=0,"New",(J438-H438)/H438))</f>
        <v>-1</v>
      </c>
      <c r="M438" s="7" t="str">
        <f aca="false">IF(AND(OR(C438&lt;&gt;0,H438&lt;&gt;0),D438=0,I438=0),"DROP",IF(AND(OR(D438&lt;&gt;0,I438&lt;&gt;0),C438=0,H438=0),"NEW",""))</f>
        <v>DROP</v>
      </c>
    </row>
    <row r="439" customFormat="false" ht="15" hidden="false" customHeight="false" outlineLevel="0" collapsed="false">
      <c r="A439" s="7" t="s">
        <v>529</v>
      </c>
      <c r="B439" s="7" t="str">
        <f aca="false">IFERROR(INDEX('Source'!$C:$C,MATCH($A439,'Source'!$B:$B,0)),"")</f>
        <v>מגן ברך גנופיקס</v>
      </c>
      <c r="C439" s="8" t="n">
        <f aca="false">SUMIFS('Source'!$D:$D,'Source'!$A:$A,"155138 לקוח אינטרנט",'Source'!$B:$B,$A439)</f>
        <v>1</v>
      </c>
      <c r="D439" s="8" t="n">
        <f aca="false">SUMIFS('Source'!$F:$F,'Source'!$A:$A,"155138 לקוח אינטרנט",'Source'!$B:$B,$A439)</f>
        <v>0</v>
      </c>
      <c r="E439" s="8" t="n">
        <f aca="false">D439*$J$5</f>
        <v>0</v>
      </c>
      <c r="F439" s="8" t="n">
        <f aca="false">E439-C439</f>
        <v>-1</v>
      </c>
      <c r="G439" s="9" t="n">
        <f aca="false">IF(AND(C439=0,E439=0),0,IF(C439=0,"New",(E439-C439)/C439))</f>
        <v>-1</v>
      </c>
      <c r="H439" s="8" t="n">
        <f aca="false">SUMIFS('Source'!$E:$E,'Source'!$A:$A,"155138 לקוח אינטרנט",'Source'!$B:$B,$A439)</f>
        <v>296.53</v>
      </c>
      <c r="I439" s="8" t="n">
        <f aca="false">SUMIFS('Source'!$G:$G,'Source'!$A:$A,"155138 לקוח אינטרנט",'Source'!$B:$B,$A439)</f>
        <v>0</v>
      </c>
      <c r="J439" s="8" t="n">
        <f aca="false">I439*$J$5</f>
        <v>0</v>
      </c>
      <c r="K439" s="8" t="n">
        <f aca="false">J439-H439</f>
        <v>-296.53</v>
      </c>
      <c r="L439" s="9" t="n">
        <f aca="false">IF(AND(H439=0,J439=0),0,IF(H439=0,"New",(J439-H439)/H439))</f>
        <v>-1</v>
      </c>
      <c r="M439" s="7" t="str">
        <f aca="false">IF(AND(OR(C439&lt;&gt;0,H439&lt;&gt;0),D439=0,I439=0),"DROP",IF(AND(OR(D439&lt;&gt;0,I439&lt;&gt;0),C439=0,H439=0),"NEW",""))</f>
        <v>DROP</v>
      </c>
    </row>
    <row r="440" customFormat="false" ht="15" hidden="false" customHeight="false" outlineLevel="0" collapsed="false">
      <c r="A440" s="7" t="s">
        <v>530</v>
      </c>
      <c r="B440" s="7" t="str">
        <f aca="false">IFERROR(INDEX('Source'!$C:$C,MATCH($A440,'Source'!$B:$B,0)),"")</f>
        <v>מגן ברך גנופיקס</v>
      </c>
      <c r="C440" s="8" t="n">
        <f aca="false">SUMIFS('Source'!$D:$D,'Source'!$A:$A,"155138 לקוח אינטרנט",'Source'!$B:$B,$A440)</f>
        <v>0</v>
      </c>
      <c r="D440" s="8" t="n">
        <f aca="false">SUMIFS('Source'!$F:$F,'Source'!$A:$A,"155138 לקוח אינטרנט",'Source'!$B:$B,$A440)</f>
        <v>1</v>
      </c>
      <c r="E440" s="8" t="n">
        <f aca="false">D440*$J$5</f>
        <v>1.26315789473684</v>
      </c>
      <c r="F440" s="8" t="n">
        <f aca="false">E440-C440</f>
        <v>1.26315789473684</v>
      </c>
      <c r="G440" s="9" t="str">
        <f aca="false">IF(AND(C440=0,E440=0),0,IF(C440=0,"New",(E440-C440)/C440))</f>
        <v>New</v>
      </c>
      <c r="H440" s="8" t="n">
        <f aca="false">SUMIFS('Source'!$E:$E,'Source'!$A:$A,"155138 לקוח אינטרנט",'Source'!$B:$B,$A440)</f>
        <v>0</v>
      </c>
      <c r="I440" s="8" t="n">
        <f aca="false">SUMIFS('Source'!$G:$G,'Source'!$A:$A,"155138 לקוח אינטרנט",'Source'!$B:$B,$A440)</f>
        <v>296.53</v>
      </c>
      <c r="J440" s="8" t="n">
        <f aca="false">I440*$J$5</f>
        <v>374.564210526316</v>
      </c>
      <c r="K440" s="8" t="n">
        <f aca="false">J440-H440</f>
        <v>374.564210526316</v>
      </c>
      <c r="L440" s="9" t="str">
        <f aca="false">IF(AND(H440=0,J440=0),0,IF(H440=0,"New",(J440-H440)/H440))</f>
        <v>New</v>
      </c>
      <c r="M440" s="7" t="str">
        <f aca="false">IF(AND(OR(C440&lt;&gt;0,H440&lt;&gt;0),D440=0,I440=0),"DROP",IF(AND(OR(D440&lt;&gt;0,I440&lt;&gt;0),C440=0,H440=0),"NEW",""))</f>
        <v>NEW</v>
      </c>
    </row>
    <row r="441" customFormat="false" ht="15" hidden="false" customHeight="false" outlineLevel="0" collapsed="false">
      <c r="A441" s="7" t="s">
        <v>531</v>
      </c>
      <c r="B441" s="7" t="str">
        <f aca="false">IFERROR(INDEX('Source'!$C:$C,MATCH($A441,'Source'!$B:$B,0)),"")</f>
        <v>חבק יד מתכוון</v>
      </c>
      <c r="C441" s="8" t="n">
        <f aca="false">SUMIFS('Source'!$D:$D,'Source'!$A:$A,"155138 לקוח אינטרנט",'Source'!$B:$B,$A441)</f>
        <v>5</v>
      </c>
      <c r="D441" s="8" t="n">
        <f aca="false">SUMIFS('Source'!$F:$F,'Source'!$A:$A,"155138 לקוח אינטרנט",'Source'!$B:$B,$A441)</f>
        <v>10</v>
      </c>
      <c r="E441" s="8" t="n">
        <f aca="false">D441*$J$5</f>
        <v>12.6315789473684</v>
      </c>
      <c r="F441" s="8" t="n">
        <f aca="false">E441-C441</f>
        <v>7.63157894736842</v>
      </c>
      <c r="G441" s="9" t="n">
        <f aca="false">IF(AND(C441=0,E441=0),0,IF(C441=0,"New",(E441-C441)/C441))</f>
        <v>1.52631578947368</v>
      </c>
      <c r="H441" s="8" t="n">
        <f aca="false">SUMIFS('Source'!$E:$E,'Source'!$A:$A,"155138 לקוח אינטרנט",'Source'!$B:$B,$A441)</f>
        <v>295.88</v>
      </c>
      <c r="I441" s="8" t="n">
        <f aca="false">SUMIFS('Source'!$G:$G,'Source'!$A:$A,"155138 לקוח אינטרנט",'Source'!$B:$B,$A441)</f>
        <v>591.78</v>
      </c>
      <c r="J441" s="8" t="n">
        <f aca="false">I441*$J$5</f>
        <v>747.511578947368</v>
      </c>
      <c r="K441" s="8" t="n">
        <f aca="false">J441-H441</f>
        <v>451.631578947368</v>
      </c>
      <c r="L441" s="9" t="n">
        <f aca="false">IF(AND(H441=0,J441=0),0,IF(H441=0,"New",(J441-H441)/H441))</f>
        <v>1.52640117259486</v>
      </c>
      <c r="M441" s="7" t="str">
        <f aca="false">IF(AND(OR(C441&lt;&gt;0,H441&lt;&gt;0),D441=0,I441=0),"DROP",IF(AND(OR(D441&lt;&gt;0,I441&lt;&gt;0),C441=0,H441=0),"NEW",""))</f>
        <v/>
      </c>
    </row>
    <row r="442" customFormat="false" ht="15" hidden="false" customHeight="false" outlineLevel="0" collapsed="false">
      <c r="A442" s="7" t="s">
        <v>532</v>
      </c>
      <c r="B442" s="7" t="str">
        <f aca="false">IFERROR(INDEX('Source'!$C:$C,MATCH($A442,'Source'!$B:$B,0)),"")</f>
        <v>מגן ברך מחמם</v>
      </c>
      <c r="C442" s="8" t="n">
        <f aca="false">SUMIFS('Source'!$D:$D,'Source'!$A:$A,"155138 לקוח אינטרנט",'Source'!$B:$B,$A442)</f>
        <v>4</v>
      </c>
      <c r="D442" s="8" t="n">
        <f aca="false">SUMIFS('Source'!$F:$F,'Source'!$A:$A,"155138 לקוח אינטרנט",'Source'!$B:$B,$A442)</f>
        <v>1</v>
      </c>
      <c r="E442" s="8" t="n">
        <f aca="false">D442*$J$5</f>
        <v>1.26315789473684</v>
      </c>
      <c r="F442" s="8" t="n">
        <f aca="false">E442-C442</f>
        <v>-2.73684210526316</v>
      </c>
      <c r="G442" s="9" t="n">
        <f aca="false">IF(AND(C442=0,E442=0),0,IF(C442=0,"New",(E442-C442)/C442))</f>
        <v>-0.68421052631579</v>
      </c>
      <c r="H442" s="8" t="n">
        <f aca="false">SUMIFS('Source'!$E:$E,'Source'!$A:$A,"155138 לקוח אינטרנט",'Source'!$B:$B,$A442)</f>
        <v>394.47</v>
      </c>
      <c r="I442" s="8" t="n">
        <f aca="false">SUMIFS('Source'!$G:$G,'Source'!$A:$A,"155138 לקוח אינטרנט",'Source'!$B:$B,$A442)</f>
        <v>102.46</v>
      </c>
      <c r="J442" s="8" t="n">
        <f aca="false">I442*$J$5</f>
        <v>129.423157894737</v>
      </c>
      <c r="K442" s="8" t="n">
        <f aca="false">J442-H442</f>
        <v>-265.046842105263</v>
      </c>
      <c r="L442" s="9" t="n">
        <f aca="false">IF(AND(H442=0,J442=0),0,IF(H442=0,"New",(J442-H442)/H442))</f>
        <v>-0.671906208597012</v>
      </c>
      <c r="M442" s="7" t="str">
        <f aca="false">IF(AND(OR(C442&lt;&gt;0,H442&lt;&gt;0),D442=0,I442=0),"DROP",IF(AND(OR(D442&lt;&gt;0,I442&lt;&gt;0),C442=0,H442=0),"NEW",""))</f>
        <v/>
      </c>
    </row>
    <row r="443" customFormat="false" ht="15" hidden="false" customHeight="false" outlineLevel="0" collapsed="false">
      <c r="A443" s="7" t="s">
        <v>533</v>
      </c>
      <c r="B443" s="7" t="str">
        <f aca="false">IFERROR(INDEX('Source'!$C:$C,MATCH($A443,'Source'!$B:$B,0)),"")</f>
        <v>מתלה יד-כיס</v>
      </c>
      <c r="C443" s="8" t="n">
        <f aca="false">SUMIFS('Source'!$D:$D,'Source'!$A:$A,"155138 לקוח אינטרנט",'Source'!$B:$B,$A443)</f>
        <v>7</v>
      </c>
      <c r="D443" s="8" t="n">
        <f aca="false">SUMIFS('Source'!$F:$F,'Source'!$A:$A,"155138 לקוח אינטרנט",'Source'!$B:$B,$A443)</f>
        <v>4</v>
      </c>
      <c r="E443" s="8" t="n">
        <f aca="false">D443*$J$5</f>
        <v>5.05263157894737</v>
      </c>
      <c r="F443" s="8" t="n">
        <f aca="false">E443-C443</f>
        <v>-1.94736842105263</v>
      </c>
      <c r="G443" s="9" t="n">
        <f aca="false">IF(AND(C443=0,E443=0),0,IF(C443=0,"New",(E443-C443)/C443))</f>
        <v>-0.278195488721805</v>
      </c>
      <c r="H443" s="8" t="n">
        <f aca="false">SUMIFS('Source'!$E:$E,'Source'!$A:$A,"155138 לקוח אינטרנט",'Source'!$B:$B,$A443)</f>
        <v>701.85</v>
      </c>
      <c r="I443" s="8" t="n">
        <f aca="false">SUMIFS('Source'!$G:$G,'Source'!$A:$A,"155138 לקוח אינטרנט",'Source'!$B:$B,$A443)</f>
        <v>409.84</v>
      </c>
      <c r="J443" s="8" t="n">
        <f aca="false">I443*$J$5</f>
        <v>517.692631578947</v>
      </c>
      <c r="K443" s="8" t="n">
        <f aca="false">J443-H443</f>
        <v>-184.157368421053</v>
      </c>
      <c r="L443" s="9" t="n">
        <f aca="false">IF(AND(H443=0,J443=0),0,IF(H443=0,"New",(J443-H443)/H443))</f>
        <v>-0.262388499566934</v>
      </c>
      <c r="M443" s="7" t="str">
        <f aca="false">IF(AND(OR(C443&lt;&gt;0,H443&lt;&gt;0),D443=0,I443=0),"DROP",IF(AND(OR(D443&lt;&gt;0,I443&lt;&gt;0),C443=0,H443=0),"NEW",""))</f>
        <v/>
      </c>
    </row>
    <row r="444" customFormat="false" ht="15" hidden="false" customHeight="false" outlineLevel="0" collapsed="false">
      <c r="A444" s="7" t="s">
        <v>534</v>
      </c>
      <c r="B444" s="7" t="str">
        <f aca="false">IFERROR(INDEX('Source'!$C:$C,MATCH($A444,'Source'!$B:$B,0)),"")</f>
        <v>מלח אמבט לכף הרגל</v>
      </c>
      <c r="C444" s="8" t="n">
        <f aca="false">SUMIFS('Source'!$D:$D,'Source'!$A:$A,"155138 לקוח אינטרנט",'Source'!$B:$B,$A444)</f>
        <v>22</v>
      </c>
      <c r="D444" s="8" t="n">
        <f aca="false">SUMIFS('Source'!$F:$F,'Source'!$A:$A,"155138 לקוח אינטרנט",'Source'!$B:$B,$A444)</f>
        <v>33</v>
      </c>
      <c r="E444" s="8" t="n">
        <f aca="false">D444*$J$5</f>
        <v>41.6842105263158</v>
      </c>
      <c r="F444" s="8" t="n">
        <f aca="false">E444-C444</f>
        <v>19.6842105263158</v>
      </c>
      <c r="G444" s="9" t="n">
        <f aca="false">IF(AND(C444=0,E444=0),0,IF(C444=0,"New",(E444-C444)/C444))</f>
        <v>0.894736842105263</v>
      </c>
      <c r="H444" s="8" t="n">
        <f aca="false">SUMIFS('Source'!$E:$E,'Source'!$A:$A,"155138 לקוח אינטרנט",'Source'!$B:$B,$A444)</f>
        <v>521.57</v>
      </c>
      <c r="I444" s="8" t="n">
        <f aca="false">SUMIFS('Source'!$G:$G,'Source'!$A:$A,"155138 לקוח אינטרנט",'Source'!$B:$B,$A444)</f>
        <v>813.42</v>
      </c>
      <c r="J444" s="8" t="n">
        <f aca="false">I444*$J$5</f>
        <v>1027.47789473684</v>
      </c>
      <c r="K444" s="8" t="n">
        <f aca="false">J444-H444</f>
        <v>505.907894736842</v>
      </c>
      <c r="L444" s="9" t="n">
        <f aca="false">IF(AND(H444=0,J444=0),0,IF(H444=0,"New",(J444-H444)/H444))</f>
        <v>0.969971230586195</v>
      </c>
      <c r="M444" s="7" t="str">
        <f aca="false">IF(AND(OR(C444&lt;&gt;0,H444&lt;&gt;0),D444=0,I444=0),"DROP",IF(AND(OR(D444&lt;&gt;0,I444&lt;&gt;0),C444=0,H444=0),"NEW",""))</f>
        <v/>
      </c>
    </row>
    <row r="445" customFormat="false" ht="15" hidden="false" customHeight="false" outlineLevel="0" collapsed="false">
      <c r="A445" s="7" t="s">
        <v>535</v>
      </c>
      <c r="B445" s="7" t="str">
        <f aca="false">IFERROR(INDEX('Source'!$C:$C,MATCH($A445,'Source'!$B:$B,0)),"")</f>
        <v>מגן קרסול+ עקב סגור+רצועות</v>
      </c>
      <c r="C445" s="8" t="n">
        <f aca="false">SUMIFS('Source'!$D:$D,'Source'!$A:$A,"155138 לקוח אינטרנט",'Source'!$B:$B,$A445)</f>
        <v>7</v>
      </c>
      <c r="D445" s="8" t="n">
        <f aca="false">SUMIFS('Source'!$F:$F,'Source'!$A:$A,"155138 לקוח אינטרנט",'Source'!$B:$B,$A445)</f>
        <v>9</v>
      </c>
      <c r="E445" s="8" t="n">
        <f aca="false">D445*$J$5</f>
        <v>11.3684210526316</v>
      </c>
      <c r="F445" s="8" t="n">
        <f aca="false">E445-C445</f>
        <v>4.36842105263158</v>
      </c>
      <c r="G445" s="9" t="n">
        <f aca="false">IF(AND(C445=0,E445=0),0,IF(C445=0,"New",(E445-C445)/C445))</f>
        <v>0.62406015037594</v>
      </c>
      <c r="H445" s="8" t="n">
        <f aca="false">SUMIFS('Source'!$E:$E,'Source'!$A:$A,"155138 לקוח אינטרנט",'Source'!$B:$B,$A445)</f>
        <v>813.77</v>
      </c>
      <c r="I445" s="8" t="n">
        <f aca="false">SUMIFS('Source'!$G:$G,'Source'!$A:$A,"155138 לקוח אינטרנט",'Source'!$B:$B,$A445)</f>
        <v>1105.2</v>
      </c>
      <c r="J445" s="8" t="n">
        <f aca="false">I445*$J$5</f>
        <v>1396.04210526316</v>
      </c>
      <c r="K445" s="8" t="n">
        <f aca="false">J445-H445</f>
        <v>582.272105263158</v>
      </c>
      <c r="L445" s="9" t="n">
        <f aca="false">IF(AND(H445=0,J445=0),0,IF(H445=0,"New",(J445-H445)/H445))</f>
        <v>0.715524171772317</v>
      </c>
      <c r="M445" s="7" t="str">
        <f aca="false">IF(AND(OR(C445&lt;&gt;0,H445&lt;&gt;0),D445=0,I445=0),"DROP",IF(AND(OR(D445&lt;&gt;0,I445&lt;&gt;0),C445=0,H445=0),"NEW",""))</f>
        <v/>
      </c>
    </row>
    <row r="446" customFormat="false" ht="15" hidden="false" customHeight="false" outlineLevel="0" collapsed="false">
      <c r="A446" s="7" t="s">
        <v>536</v>
      </c>
      <c r="B446" s="7" t="str">
        <f aca="false">IFERROR(INDEX('Source'!$C:$C,MATCH($A446,'Source'!$B:$B,0)),"")</f>
        <v>סופורטר</v>
      </c>
      <c r="C446" s="8" t="n">
        <f aca="false">SUMIFS('Source'!$D:$D,'Source'!$A:$A,"155138 לקוח אינטרנט",'Source'!$B:$B,$A446)</f>
        <v>4</v>
      </c>
      <c r="D446" s="8" t="n">
        <f aca="false">SUMIFS('Source'!$F:$F,'Source'!$A:$A,"155138 לקוח אינטרנט",'Source'!$B:$B,$A446)</f>
        <v>2</v>
      </c>
      <c r="E446" s="8" t="n">
        <f aca="false">D446*$J$5</f>
        <v>2.52631578947368</v>
      </c>
      <c r="F446" s="8" t="n">
        <f aca="false">E446-C446</f>
        <v>-1.47368421052632</v>
      </c>
      <c r="G446" s="9" t="n">
        <f aca="false">IF(AND(C446=0,E446=0),0,IF(C446=0,"New",(E446-C446)/C446))</f>
        <v>-0.368421052631579</v>
      </c>
      <c r="H446" s="8" t="n">
        <f aca="false">SUMIFS('Source'!$E:$E,'Source'!$A:$A,"155138 לקוח אינטרנט",'Source'!$B:$B,$A446)</f>
        <v>594.59</v>
      </c>
      <c r="I446" s="8" t="n">
        <f aca="false">SUMIFS('Source'!$G:$G,'Source'!$A:$A,"155138 לקוח אינטרנט",'Source'!$B:$B,$A446)</f>
        <v>304.92</v>
      </c>
      <c r="J446" s="8" t="n">
        <f aca="false">I446*$J$5</f>
        <v>385.162105263158</v>
      </c>
      <c r="K446" s="8" t="n">
        <f aca="false">J446-H446</f>
        <v>-209.427894736842</v>
      </c>
      <c r="L446" s="9" t="n">
        <f aca="false">IF(AND(H446=0,J446=0),0,IF(H446=0,"New",(J446-H446)/H446))</f>
        <v>-0.352222362866584</v>
      </c>
      <c r="M446" s="7" t="str">
        <f aca="false">IF(AND(OR(C446&lt;&gt;0,H446&lt;&gt;0),D446=0,I446=0),"DROP",IF(AND(OR(D446&lt;&gt;0,I446&lt;&gt;0),C446=0,H446=0),"NEW",""))</f>
        <v/>
      </c>
    </row>
    <row r="447" customFormat="false" ht="15" hidden="false" customHeight="false" outlineLevel="0" collapsed="false">
      <c r="A447" s="7" t="s">
        <v>537</v>
      </c>
      <c r="B447" s="7" t="str">
        <f aca="false">IFERROR(INDEX('Source'!$C:$C,MATCH($A447,'Source'!$B:$B,0)),"")</f>
        <v>תחבושת נצמדת צבע בז'</v>
      </c>
      <c r="C447" s="8" t="n">
        <f aca="false">SUMIFS('Source'!$D:$D,'Source'!$A:$A,"155138 לקוח אינטרנט",'Source'!$B:$B,$A447)</f>
        <v>26</v>
      </c>
      <c r="D447" s="8" t="n">
        <f aca="false">SUMIFS('Source'!$F:$F,'Source'!$A:$A,"155138 לקוח אינטרנט",'Source'!$B:$B,$A447)</f>
        <v>37</v>
      </c>
      <c r="E447" s="8" t="n">
        <f aca="false">D447*$J$5</f>
        <v>46.7368421052632</v>
      </c>
      <c r="F447" s="8" t="n">
        <f aca="false">E447-C447</f>
        <v>20.7368421052632</v>
      </c>
      <c r="G447" s="9" t="n">
        <f aca="false">IF(AND(C447=0,E447=0),0,IF(C447=0,"New",(E447-C447)/C447))</f>
        <v>0.797570850202429</v>
      </c>
      <c r="H447" s="8" t="n">
        <f aca="false">SUMIFS('Source'!$E:$E,'Source'!$A:$A,"155138 לקוח אינטרנט",'Source'!$B:$B,$A447)</f>
        <v>496.32</v>
      </c>
      <c r="I447" s="8" t="n">
        <f aca="false">SUMIFS('Source'!$G:$G,'Source'!$A:$A,"155138 לקוח אינטרנט",'Source'!$B:$B,$A447)</f>
        <v>784.61</v>
      </c>
      <c r="J447" s="8" t="n">
        <f aca="false">I447*$J$5</f>
        <v>991.086315789474</v>
      </c>
      <c r="K447" s="8" t="n">
        <f aca="false">J447-H447</f>
        <v>494.766315789474</v>
      </c>
      <c r="L447" s="9" t="n">
        <f aca="false">IF(AND(H447=0,J447=0),0,IF(H447=0,"New",(J447-H447)/H447))</f>
        <v>0.996869591774407</v>
      </c>
      <c r="M447" s="7" t="str">
        <f aca="false">IF(AND(OR(C447&lt;&gt;0,H447&lt;&gt;0),D447=0,I447=0),"DROP",IF(AND(OR(D447&lt;&gt;0,I447&lt;&gt;0),C447=0,H447=0),"NEW",""))</f>
        <v/>
      </c>
    </row>
    <row r="448" customFormat="false" ht="15" hidden="false" customHeight="false" outlineLevel="0" collapsed="false">
      <c r="A448" s="7" t="s">
        <v>538</v>
      </c>
      <c r="B448" s="7" t="str">
        <f aca="false">IFERROR(INDEX('Source'!$C:$C,MATCH($A448,'Source'!$B:$B,0)),"")</f>
        <v>חגורת שבר שחור</v>
      </c>
      <c r="C448" s="8" t="n">
        <f aca="false">SUMIFS('Source'!$D:$D,'Source'!$A:$A,"155138 לקוח אינטרנט",'Source'!$B:$B,$A448)</f>
        <v>0</v>
      </c>
      <c r="D448" s="8" t="n">
        <f aca="false">SUMIFS('Source'!$F:$F,'Source'!$A:$A,"155138 לקוח אינטרנט",'Source'!$B:$B,$A448)</f>
        <v>1</v>
      </c>
      <c r="E448" s="8" t="n">
        <f aca="false">D448*$J$5</f>
        <v>1.26315789473684</v>
      </c>
      <c r="F448" s="8" t="n">
        <f aca="false">E448-C448</f>
        <v>1.26315789473684</v>
      </c>
      <c r="G448" s="9" t="str">
        <f aca="false">IF(AND(C448=0,E448=0),0,IF(C448=0,"New",(E448-C448)/C448))</f>
        <v>New</v>
      </c>
      <c r="H448" s="8" t="n">
        <f aca="false">SUMIFS('Source'!$E:$E,'Source'!$A:$A,"155138 לקוח אינטרנט",'Source'!$B:$B,$A448)</f>
        <v>0</v>
      </c>
      <c r="I448" s="8" t="n">
        <f aca="false">SUMIFS('Source'!$G:$G,'Source'!$A:$A,"155138 לקוח אינטרנט",'Source'!$B:$B,$A448)</f>
        <v>288.07</v>
      </c>
      <c r="J448" s="8" t="n">
        <f aca="false">I448*$J$5</f>
        <v>363.877894736842</v>
      </c>
      <c r="K448" s="8" t="n">
        <f aca="false">J448-H448</f>
        <v>363.877894736842</v>
      </c>
      <c r="L448" s="9" t="str">
        <f aca="false">IF(AND(H448=0,J448=0),0,IF(H448=0,"New",(J448-H448)/H448))</f>
        <v>New</v>
      </c>
      <c r="M448" s="7" t="str">
        <f aca="false">IF(AND(OR(C448&lt;&gt;0,H448&lt;&gt;0),D448=0,I448=0),"DROP",IF(AND(OR(D448&lt;&gt;0,I448&lt;&gt;0),C448=0,H448=0),"NEW",""))</f>
        <v>NEW</v>
      </c>
    </row>
    <row r="449" customFormat="false" ht="15" hidden="false" customHeight="false" outlineLevel="0" collapsed="false">
      <c r="A449" s="7" t="s">
        <v>539</v>
      </c>
      <c r="B449" s="7" t="str">
        <f aca="false">IFERROR(INDEX('Source'!$C:$C,MATCH($A449,'Source'!$B:$B,0)),"")</f>
        <v>חגורה לשבר טבור</v>
      </c>
      <c r="C449" s="8" t="n">
        <f aca="false">SUMIFS('Source'!$D:$D,'Source'!$A:$A,"155138 לקוח אינטרנט",'Source'!$B:$B,$A449)</f>
        <v>0</v>
      </c>
      <c r="D449" s="8" t="n">
        <f aca="false">SUMIFS('Source'!$F:$F,'Source'!$A:$A,"155138 לקוח אינטרנט",'Source'!$B:$B,$A449)</f>
        <v>1</v>
      </c>
      <c r="E449" s="8" t="n">
        <f aca="false">D449*$J$5</f>
        <v>1.26315789473684</v>
      </c>
      <c r="F449" s="8" t="n">
        <f aca="false">E449-C449</f>
        <v>1.26315789473684</v>
      </c>
      <c r="G449" s="9" t="str">
        <f aca="false">IF(AND(C449=0,E449=0),0,IF(C449=0,"New",(E449-C449)/C449))</f>
        <v>New</v>
      </c>
      <c r="H449" s="8" t="n">
        <f aca="false">SUMIFS('Source'!$E:$E,'Source'!$A:$A,"155138 לקוח אינטרנט",'Source'!$B:$B,$A449)</f>
        <v>0</v>
      </c>
      <c r="I449" s="8" t="n">
        <f aca="false">SUMIFS('Source'!$G:$G,'Source'!$A:$A,"155138 לקוח אינטרנט",'Source'!$B:$B,$A449)</f>
        <v>283.81</v>
      </c>
      <c r="J449" s="8" t="n">
        <f aca="false">I449*$J$5</f>
        <v>358.496842105263</v>
      </c>
      <c r="K449" s="8" t="n">
        <f aca="false">J449-H449</f>
        <v>358.496842105263</v>
      </c>
      <c r="L449" s="9" t="str">
        <f aca="false">IF(AND(H449=0,J449=0),0,IF(H449=0,"New",(J449-H449)/H449))</f>
        <v>New</v>
      </c>
      <c r="M449" s="7" t="str">
        <f aca="false">IF(AND(OR(C449&lt;&gt;0,H449&lt;&gt;0),D449=0,I449=0),"DROP",IF(AND(OR(D449&lt;&gt;0,I449&lt;&gt;0),C449=0,H449=0),"NEW",""))</f>
        <v>NEW</v>
      </c>
    </row>
    <row r="450" customFormat="false" ht="15" hidden="false" customHeight="false" outlineLevel="0" collapsed="false">
      <c r="A450" s="7" t="s">
        <v>540</v>
      </c>
      <c r="B450" s="7" t="str">
        <f aca="false">IFERROR(INDEX('Source'!$C:$C,MATCH($A450,'Source'!$B:$B,0)),"")</f>
        <v>חגורה למנותחי בית החזה</v>
      </c>
      <c r="C450" s="8" t="n">
        <f aca="false">SUMIFS('Source'!$D:$D,'Source'!$A:$A,"155138 לקוח אינטרנט",'Source'!$B:$B,$A450)</f>
        <v>0</v>
      </c>
      <c r="D450" s="8" t="n">
        <f aca="false">SUMIFS('Source'!$F:$F,'Source'!$A:$A,"155138 לקוח אינטרנט",'Source'!$B:$B,$A450)</f>
        <v>1</v>
      </c>
      <c r="E450" s="8" t="n">
        <f aca="false">D450*$J$5</f>
        <v>1.26315789473684</v>
      </c>
      <c r="F450" s="8" t="n">
        <f aca="false">E450-C450</f>
        <v>1.26315789473684</v>
      </c>
      <c r="G450" s="9" t="str">
        <f aca="false">IF(AND(C450=0,E450=0),0,IF(C450=0,"New",(E450-C450)/C450))</f>
        <v>New</v>
      </c>
      <c r="H450" s="8" t="n">
        <f aca="false">SUMIFS('Source'!$E:$E,'Source'!$A:$A,"155138 לקוח אינטרנט",'Source'!$B:$B,$A450)</f>
        <v>0</v>
      </c>
      <c r="I450" s="8" t="n">
        <f aca="false">SUMIFS('Source'!$G:$G,'Source'!$A:$A,"155138 לקוח אינטרנט",'Source'!$B:$B,$A450)</f>
        <v>283.81</v>
      </c>
      <c r="J450" s="8" t="n">
        <f aca="false">I450*$J$5</f>
        <v>358.496842105263</v>
      </c>
      <c r="K450" s="8" t="n">
        <f aca="false">J450-H450</f>
        <v>358.496842105263</v>
      </c>
      <c r="L450" s="9" t="str">
        <f aca="false">IF(AND(H450=0,J450=0),0,IF(H450=0,"New",(J450-H450)/H450))</f>
        <v>New</v>
      </c>
      <c r="M450" s="7" t="str">
        <f aca="false">IF(AND(OR(C450&lt;&gt;0,H450&lt;&gt;0),D450=0,I450=0),"DROP",IF(AND(OR(D450&lt;&gt;0,I450&lt;&gt;0),C450=0,H450=0),"NEW",""))</f>
        <v>NEW</v>
      </c>
    </row>
    <row r="451" customFormat="false" ht="15" hidden="false" customHeight="false" outlineLevel="0" collapsed="false">
      <c r="A451" s="7" t="s">
        <v>541</v>
      </c>
      <c r="B451" s="7" t="str">
        <f aca="false">IFERROR(INDEX('Source'!$C:$C,MATCH($A451,'Source'!$B:$B,0)),"")</f>
        <v>צווארון ספוג</v>
      </c>
      <c r="C451" s="8" t="n">
        <f aca="false">SUMIFS('Source'!$D:$D,'Source'!$A:$A,"155138 לקוח אינטרנט",'Source'!$B:$B,$A451)</f>
        <v>3</v>
      </c>
      <c r="D451" s="8" t="n">
        <f aca="false">SUMIFS('Source'!$F:$F,'Source'!$A:$A,"155138 לקוח אינטרנט",'Source'!$B:$B,$A451)</f>
        <v>6</v>
      </c>
      <c r="E451" s="8" t="n">
        <f aca="false">D451*$J$5</f>
        <v>7.57894736842105</v>
      </c>
      <c r="F451" s="8" t="n">
        <f aca="false">E451-C451</f>
        <v>4.57894736842105</v>
      </c>
      <c r="G451" s="9" t="n">
        <f aca="false">IF(AND(C451=0,E451=0),0,IF(C451=0,"New",(E451-C451)/C451))</f>
        <v>1.52631578947368</v>
      </c>
      <c r="H451" s="8" t="n">
        <f aca="false">SUMIFS('Source'!$E:$E,'Source'!$A:$A,"155138 לקוח אינטרנט",'Source'!$B:$B,$A451)</f>
        <v>255.79</v>
      </c>
      <c r="I451" s="8" t="n">
        <f aca="false">SUMIFS('Source'!$G:$G,'Source'!$A:$A,"155138 לקוח אינטרנט",'Source'!$B:$B,$A451)</f>
        <v>538.49</v>
      </c>
      <c r="J451" s="8" t="n">
        <f aca="false">I451*$J$5</f>
        <v>680.197894736842</v>
      </c>
      <c r="K451" s="8" t="n">
        <f aca="false">J451-H451</f>
        <v>424.407894736842</v>
      </c>
      <c r="L451" s="9" t="n">
        <f aca="false">IF(AND(H451=0,J451=0),0,IF(H451=0,"New",(J451-H451)/H451))</f>
        <v>1.65920440492921</v>
      </c>
      <c r="M451" s="7" t="str">
        <f aca="false">IF(AND(OR(C451&lt;&gt;0,H451&lt;&gt;0),D451=0,I451=0),"DROP",IF(AND(OR(D451&lt;&gt;0,I451&lt;&gt;0),C451=0,H451=0),"NEW",""))</f>
        <v/>
      </c>
    </row>
    <row r="452" customFormat="false" ht="15" hidden="false" customHeight="false" outlineLevel="0" collapsed="false">
      <c r="A452" s="7" t="s">
        <v>542</v>
      </c>
      <c r="B452" s="7" t="str">
        <f aca="false">IFERROR(INDEX('Source'!$C:$C,MATCH($A452,'Source'!$B:$B,0)),"")</f>
        <v>מגן מרפק + סיליקון</v>
      </c>
      <c r="C452" s="8" t="n">
        <f aca="false">SUMIFS('Source'!$D:$D,'Source'!$A:$A,"155138 לקוח אינטרנט",'Source'!$B:$B,$A452)</f>
        <v>3</v>
      </c>
      <c r="D452" s="8" t="n">
        <f aca="false">SUMIFS('Source'!$F:$F,'Source'!$A:$A,"155138 לקוח אינטרנט",'Source'!$B:$B,$A452)</f>
        <v>5</v>
      </c>
      <c r="E452" s="8" t="n">
        <f aca="false">D452*$J$5</f>
        <v>6.31578947368421</v>
      </c>
      <c r="F452" s="8" t="n">
        <f aca="false">E452-C452</f>
        <v>3.31578947368421</v>
      </c>
      <c r="G452" s="9" t="n">
        <f aca="false">IF(AND(C452=0,E452=0),0,IF(C452=0,"New",(E452-C452)/C452))</f>
        <v>1.10526315789474</v>
      </c>
      <c r="H452" s="8" t="n">
        <f aca="false">SUMIFS('Source'!$E:$E,'Source'!$A:$A,"155138 לקוח אינטרנט",'Source'!$B:$B,$A452)</f>
        <v>718.73</v>
      </c>
      <c r="I452" s="8" t="n">
        <f aca="false">SUMIFS('Source'!$G:$G,'Source'!$A:$A,"155138 לקוח אינטרנט",'Source'!$B:$B,$A452)</f>
        <v>1001.11</v>
      </c>
      <c r="J452" s="8" t="n">
        <f aca="false">I452*$J$5</f>
        <v>1264.56</v>
      </c>
      <c r="K452" s="8" t="n">
        <f aca="false">J452-H452</f>
        <v>545.83</v>
      </c>
      <c r="L452" s="9" t="n">
        <f aca="false">IF(AND(H452=0,J452=0),0,IF(H452=0,"New",(J452-H452)/H452))</f>
        <v>0.759436784327912</v>
      </c>
      <c r="M452" s="7" t="str">
        <f aca="false">IF(AND(OR(C452&lt;&gt;0,H452&lt;&gt;0),D452=0,I452=0),"DROP",IF(AND(OR(D452&lt;&gt;0,I452&lt;&gt;0),C452=0,H452=0),"NEW",""))</f>
        <v/>
      </c>
    </row>
    <row r="453" customFormat="false" ht="15" hidden="false" customHeight="false" outlineLevel="0" collapsed="false">
      <c r="A453" s="7" t="s">
        <v>543</v>
      </c>
      <c r="B453" s="7" t="str">
        <f aca="false">IFERROR(INDEX('Source'!$C:$C,MATCH($A453,'Source'!$B:$B,0)),"")</f>
        <v>מישר כתפיים</v>
      </c>
      <c r="C453" s="8" t="n">
        <f aca="false">SUMIFS('Source'!$D:$D,'Source'!$A:$A,"155138 לקוח אינטרנט",'Source'!$B:$B,$A453)</f>
        <v>4</v>
      </c>
      <c r="D453" s="8" t="n">
        <f aca="false">SUMIFS('Source'!$F:$F,'Source'!$A:$A,"155138 לקוח אינטרנט",'Source'!$B:$B,$A453)</f>
        <v>3</v>
      </c>
      <c r="E453" s="8" t="n">
        <f aca="false">D453*$J$5</f>
        <v>3.78947368421053</v>
      </c>
      <c r="F453" s="8" t="n">
        <f aca="false">E453-C453</f>
        <v>-0.210526315789474</v>
      </c>
      <c r="G453" s="9" t="n">
        <f aca="false">IF(AND(C453=0,E453=0),0,IF(C453=0,"New",(E453-C453)/C453))</f>
        <v>-0.0526315789473685</v>
      </c>
      <c r="H453" s="8" t="n">
        <f aca="false">SUMIFS('Source'!$E:$E,'Source'!$A:$A,"155138 לקוח אינטרנט",'Source'!$B:$B,$A453)</f>
        <v>1126.81</v>
      </c>
      <c r="I453" s="8" t="n">
        <f aca="false">SUMIFS('Source'!$G:$G,'Source'!$A:$A,"155138 לקוח אינטרנט",'Source'!$B:$B,$A453)</f>
        <v>845.1</v>
      </c>
      <c r="J453" s="8" t="n">
        <f aca="false">I453*$J$5</f>
        <v>1067.49473684211</v>
      </c>
      <c r="K453" s="8" t="n">
        <f aca="false">J453-H453</f>
        <v>-59.3152631578948</v>
      </c>
      <c r="L453" s="9" t="n">
        <f aca="false">IF(AND(H453=0,J453=0),0,IF(H453=0,"New",(J453-H453)/H453))</f>
        <v>-0.0526399864732252</v>
      </c>
      <c r="M453" s="7" t="str">
        <f aca="false">IF(AND(OR(C453&lt;&gt;0,H453&lt;&gt;0),D453=0,I453=0),"DROP",IF(AND(OR(D453&lt;&gt;0,I453&lt;&gt;0),C453=0,H453=0),"NEW",""))</f>
        <v/>
      </c>
    </row>
    <row r="454" customFormat="false" ht="15" hidden="false" customHeight="false" outlineLevel="0" collapsed="false">
      <c r="A454" s="7" t="s">
        <v>544</v>
      </c>
      <c r="B454" s="7" t="str">
        <f aca="false">IFERROR(INDEX('Source'!$C:$C,MATCH($A454,'Source'!$B:$B,0)),"")</f>
        <v>מגן קרסול סגור</v>
      </c>
      <c r="C454" s="8" t="n">
        <f aca="false">SUMIFS('Source'!$D:$D,'Source'!$A:$A,"155138 לקוח אינטרנט",'Source'!$B:$B,$A454)</f>
        <v>5</v>
      </c>
      <c r="D454" s="8" t="n">
        <f aca="false">SUMIFS('Source'!$F:$F,'Source'!$A:$A,"155138 לקוח אינטרנט",'Source'!$B:$B,$A454)</f>
        <v>1</v>
      </c>
      <c r="E454" s="8" t="n">
        <f aca="false">D454*$J$5</f>
        <v>1.26315789473684</v>
      </c>
      <c r="F454" s="8" t="n">
        <f aca="false">E454-C454</f>
        <v>-3.73684210526316</v>
      </c>
      <c r="G454" s="9" t="n">
        <f aca="false">IF(AND(C454=0,E454=0),0,IF(C454=0,"New",(E454-C454)/C454))</f>
        <v>-0.747368421052632</v>
      </c>
      <c r="H454" s="8" t="n">
        <f aca="false">SUMIFS('Source'!$E:$E,'Source'!$A:$A,"155138 לקוח אינטרנט",'Source'!$B:$B,$A454)</f>
        <v>359.81</v>
      </c>
      <c r="I454" s="8" t="n">
        <f aca="false">SUMIFS('Source'!$G:$G,'Source'!$A:$A,"155138 לקוח אינטרנט",'Source'!$B:$B,$A454)</f>
        <v>84.66</v>
      </c>
      <c r="J454" s="8" t="n">
        <f aca="false">I454*$J$5</f>
        <v>106.938947368421</v>
      </c>
      <c r="K454" s="8" t="n">
        <f aca="false">J454-H454</f>
        <v>-252.871052631579</v>
      </c>
      <c r="L454" s="9" t="n">
        <f aca="false">IF(AND(H454=0,J454=0),0,IF(H454=0,"New",(J454-H454)/H454))</f>
        <v>-0.702790507855754</v>
      </c>
      <c r="M454" s="7" t="str">
        <f aca="false">IF(AND(OR(C454&lt;&gt;0,H454&lt;&gt;0),D454=0,I454=0),"DROP",IF(AND(OR(D454&lt;&gt;0,I454&lt;&gt;0),C454=0,H454=0),"NEW",""))</f>
        <v/>
      </c>
    </row>
    <row r="455" customFormat="false" ht="15" hidden="false" customHeight="false" outlineLevel="0" collapsed="false">
      <c r="A455" s="7" t="s">
        <v>545</v>
      </c>
      <c r="B455" s="7" t="str">
        <f aca="false">IFERROR(INDEX('Source'!$C:$C,MATCH($A455,'Source'!$B:$B,0)),"")</f>
        <v>ח.בטן 25 ס'מ</v>
      </c>
      <c r="C455" s="8" t="n">
        <f aca="false">SUMIFS('Source'!$D:$D,'Source'!$A:$A,"155138 לקוח אינטרנט",'Source'!$B:$B,$A455)</f>
        <v>4</v>
      </c>
      <c r="D455" s="8" t="n">
        <f aca="false">SUMIFS('Source'!$F:$F,'Source'!$A:$A,"155138 לקוח אינטרנט",'Source'!$B:$B,$A455)</f>
        <v>5</v>
      </c>
      <c r="E455" s="8" t="n">
        <f aca="false">D455*$J$5</f>
        <v>6.31578947368421</v>
      </c>
      <c r="F455" s="8" t="n">
        <f aca="false">E455-C455</f>
        <v>2.31578947368421</v>
      </c>
      <c r="G455" s="9" t="n">
        <f aca="false">IF(AND(C455=0,E455=0),0,IF(C455=0,"New",(E455-C455)/C455))</f>
        <v>0.578947368421053</v>
      </c>
      <c r="H455" s="8" t="n">
        <f aca="false">SUMIFS('Source'!$E:$E,'Source'!$A:$A,"155138 לקוח אינטרנט",'Source'!$B:$B,$A455)</f>
        <v>705.15</v>
      </c>
      <c r="I455" s="8" t="n">
        <f aca="false">SUMIFS('Source'!$G:$G,'Source'!$A:$A,"155138 לקוח אינטרנט",'Source'!$B:$B,$A455)</f>
        <v>975.44</v>
      </c>
      <c r="J455" s="8" t="n">
        <f aca="false">I455*$J$5</f>
        <v>1232.13473684211</v>
      </c>
      <c r="K455" s="8" t="n">
        <f aca="false">J455-H455</f>
        <v>526.984736842105</v>
      </c>
      <c r="L455" s="9" t="n">
        <f aca="false">IF(AND(H455=0,J455=0),0,IF(H455=0,"New",(J455-H455)/H455))</f>
        <v>0.747337072739283</v>
      </c>
      <c r="M455" s="7" t="str">
        <f aca="false">IF(AND(OR(C455&lt;&gt;0,H455&lt;&gt;0),D455=0,I455=0),"DROP",IF(AND(OR(D455&lt;&gt;0,I455&lt;&gt;0),C455=0,H455=0),"NEW",""))</f>
        <v/>
      </c>
    </row>
    <row r="456" customFormat="false" ht="15" hidden="false" customHeight="false" outlineLevel="0" collapsed="false">
      <c r="A456" s="7" t="s">
        <v>546</v>
      </c>
      <c r="B456" s="7" t="str">
        <f aca="false">IFERROR(INDEX('Source'!$C:$C,MATCH($A456,'Source'!$B:$B,0)),"")</f>
        <v>מ.ברךגנוסיל+כ .</v>
      </c>
      <c r="C456" s="8" t="n">
        <f aca="false">SUMIFS('Source'!$D:$D,'Source'!$A:$A,"155138 לקוח אינטרנט",'Source'!$B:$B,$A456)</f>
        <v>1</v>
      </c>
      <c r="D456" s="8" t="n">
        <f aca="false">SUMIFS('Source'!$F:$F,'Source'!$A:$A,"155138 לקוח אינטרנט",'Source'!$B:$B,$A456)</f>
        <v>0</v>
      </c>
      <c r="E456" s="8" t="n">
        <f aca="false">D456*$J$5</f>
        <v>0</v>
      </c>
      <c r="F456" s="8" t="n">
        <f aca="false">E456-C456</f>
        <v>-1</v>
      </c>
      <c r="G456" s="9" t="n">
        <f aca="false">IF(AND(C456=0,E456=0),0,IF(C456=0,"New",(E456-C456)/C456))</f>
        <v>-1</v>
      </c>
      <c r="H456" s="8" t="n">
        <f aca="false">SUMIFS('Source'!$E:$E,'Source'!$A:$A,"155138 לקוח אינטרנט",'Source'!$B:$B,$A456)</f>
        <v>269.33</v>
      </c>
      <c r="I456" s="8" t="n">
        <f aca="false">SUMIFS('Source'!$G:$G,'Source'!$A:$A,"155138 לקוח אינטרנט",'Source'!$B:$B,$A456)</f>
        <v>0</v>
      </c>
      <c r="J456" s="8" t="n">
        <f aca="false">I456*$J$5</f>
        <v>0</v>
      </c>
      <c r="K456" s="8" t="n">
        <f aca="false">J456-H456</f>
        <v>-269.33</v>
      </c>
      <c r="L456" s="9" t="n">
        <f aca="false">IF(AND(H456=0,J456=0),0,IF(H456=0,"New",(J456-H456)/H456))</f>
        <v>-1</v>
      </c>
      <c r="M456" s="7" t="str">
        <f aca="false">IF(AND(OR(C456&lt;&gt;0,H456&lt;&gt;0),D456=0,I456=0),"DROP",IF(AND(OR(D456&lt;&gt;0,I456&lt;&gt;0),C456=0,H456=0),"NEW",""))</f>
        <v>DROP</v>
      </c>
    </row>
    <row r="457" customFormat="false" ht="15" hidden="false" customHeight="false" outlineLevel="0" collapsed="false">
      <c r="A457" s="7" t="s">
        <v>547</v>
      </c>
      <c r="B457" s="7" t="str">
        <f aca="false">IFERROR(INDEX('Source'!$C:$C,MATCH($A457,'Source'!$B:$B,0)),"")</f>
        <v>חגורת צלעות לאשה</v>
      </c>
      <c r="C457" s="8" t="n">
        <f aca="false">SUMIFS('Source'!$D:$D,'Source'!$A:$A,"155138 לקוח אינטרנט",'Source'!$B:$B,$A457)</f>
        <v>2</v>
      </c>
      <c r="D457" s="8" t="n">
        <f aca="false">SUMIFS('Source'!$F:$F,'Source'!$A:$A,"155138 לקוח אינטרנט",'Source'!$B:$B,$A457)</f>
        <v>1</v>
      </c>
      <c r="E457" s="8" t="n">
        <f aca="false">D457*$J$5</f>
        <v>1.26315789473684</v>
      </c>
      <c r="F457" s="8" t="n">
        <f aca="false">E457-C457</f>
        <v>-0.736842105263158</v>
      </c>
      <c r="G457" s="9" t="n">
        <f aca="false">IF(AND(C457=0,E457=0),0,IF(C457=0,"New",(E457-C457)/C457))</f>
        <v>-0.368421052631579</v>
      </c>
      <c r="H457" s="8" t="n">
        <f aca="false">SUMIFS('Source'!$E:$E,'Source'!$A:$A,"155138 לקוח אינטרנט",'Source'!$B:$B,$A457)</f>
        <v>493.9</v>
      </c>
      <c r="I457" s="8" t="n">
        <f aca="false">SUMIFS('Source'!$G:$G,'Source'!$A:$A,"155138 לקוח אינטרנט",'Source'!$B:$B,$A457)</f>
        <v>228.74</v>
      </c>
      <c r="J457" s="8" t="n">
        <f aca="false">I457*$J$5</f>
        <v>288.934736842105</v>
      </c>
      <c r="K457" s="8" t="n">
        <f aca="false">J457-H457</f>
        <v>-204.965263157895</v>
      </c>
      <c r="L457" s="9" t="n">
        <f aca="false">IF(AND(H457=0,J457=0),0,IF(H457=0,"New",(J457-H457)/H457))</f>
        <v>-0.414993446361398</v>
      </c>
      <c r="M457" s="7" t="str">
        <f aca="false">IF(AND(OR(C457&lt;&gt;0,H457&lt;&gt;0),D457=0,I457=0),"DROP",IF(AND(OR(D457&lt;&gt;0,I457&lt;&gt;0),C457=0,H457=0),"NEW",""))</f>
        <v/>
      </c>
    </row>
    <row r="458" customFormat="false" ht="15" hidden="false" customHeight="false" outlineLevel="0" collapsed="false">
      <c r="A458" s="7" t="s">
        <v>548</v>
      </c>
      <c r="B458" s="7" t="str">
        <f aca="false">IFERROR(INDEX('Source'!$C:$C,MATCH($A458,'Source'!$B:$B,0)),"")</f>
        <v>חגורת בטן לנורבגיה</v>
      </c>
      <c r="C458" s="8" t="n">
        <f aca="false">SUMIFS('Source'!$D:$D,'Source'!$A:$A,"155138 לקוח אינטרנט",'Source'!$B:$B,$A458)</f>
        <v>3</v>
      </c>
      <c r="D458" s="8" t="n">
        <f aca="false">SUMIFS('Source'!$F:$F,'Source'!$A:$A,"155138 לקוח אינטרנט",'Source'!$B:$B,$A458)</f>
        <v>4</v>
      </c>
      <c r="E458" s="8" t="n">
        <f aca="false">D458*$J$5</f>
        <v>5.05263157894737</v>
      </c>
      <c r="F458" s="8" t="n">
        <f aca="false">E458-C458</f>
        <v>2.05263157894737</v>
      </c>
      <c r="G458" s="9" t="n">
        <f aca="false">IF(AND(C458=0,E458=0),0,IF(C458=0,"New",(E458-C458)/C458))</f>
        <v>0.684210526315789</v>
      </c>
      <c r="H458" s="8" t="n">
        <f aca="false">SUMIFS('Source'!$E:$E,'Source'!$A:$A,"155138 לקוח אינטרנט",'Source'!$B:$B,$A458)</f>
        <v>1387.82</v>
      </c>
      <c r="I458" s="8" t="n">
        <f aca="false">SUMIFS('Source'!$G:$G,'Source'!$A:$A,"155138 לקוח אינטרנט",'Source'!$B:$B,$A458)</f>
        <v>1652.48</v>
      </c>
      <c r="J458" s="8" t="n">
        <f aca="false">I458*$J$5</f>
        <v>2087.34315789474</v>
      </c>
      <c r="K458" s="8" t="n">
        <f aca="false">J458-H458</f>
        <v>699.523157894736</v>
      </c>
      <c r="L458" s="9" t="n">
        <f aca="false">IF(AND(H458=0,J458=0),0,IF(H458=0,"New",(J458-H458)/H458))</f>
        <v>0.504044586397902</v>
      </c>
      <c r="M458" s="7" t="str">
        <f aca="false">IF(AND(OR(C458&lt;&gt;0,H458&lt;&gt;0),D458=0,I458=0),"DROP",IF(AND(OR(D458&lt;&gt;0,I458&lt;&gt;0),C458=0,H458=0),"NEW",""))</f>
        <v/>
      </c>
    </row>
    <row r="459" customFormat="false" ht="15" hidden="false" customHeight="false" outlineLevel="0" collapsed="false">
      <c r="A459" s="7" t="s">
        <v>549</v>
      </c>
      <c r="B459" s="7" t="str">
        <f aca="false">IFERROR(INDEX('Source'!$C:$C,MATCH($A459,'Source'!$B:$B,0)),"")</f>
        <v>מכשיר להסרת עור</v>
      </c>
      <c r="C459" s="8" t="n">
        <f aca="false">SUMIFS('Source'!$D:$D,'Source'!$A:$A,"155138 לקוח אינטרנט",'Source'!$B:$B,$A459)</f>
        <v>3</v>
      </c>
      <c r="D459" s="8" t="n">
        <f aca="false">SUMIFS('Source'!$F:$F,'Source'!$A:$A,"155138 לקוח אינטרנט",'Source'!$B:$B,$A459)</f>
        <v>8</v>
      </c>
      <c r="E459" s="8" t="n">
        <f aca="false">D459*$J$5</f>
        <v>10.1052631578947</v>
      </c>
      <c r="F459" s="8" t="n">
        <f aca="false">E459-C459</f>
        <v>7.10526315789474</v>
      </c>
      <c r="G459" s="9" t="n">
        <f aca="false">IF(AND(C459=0,E459=0),0,IF(C459=0,"New",(E459-C459)/C459))</f>
        <v>2.36842105263158</v>
      </c>
      <c r="H459" s="8" t="n">
        <f aca="false">SUMIFS('Source'!$E:$E,'Source'!$A:$A,"155138 לקוח אינטרנט",'Source'!$B:$B,$A459)</f>
        <v>149.27</v>
      </c>
      <c r="I459" s="8" t="n">
        <f aca="false">SUMIFS('Source'!$G:$G,'Source'!$A:$A,"155138 לקוח אינטרנט",'Source'!$B:$B,$A459)</f>
        <v>410.46</v>
      </c>
      <c r="J459" s="8" t="n">
        <f aca="false">I459*$J$5</f>
        <v>518.475789473684</v>
      </c>
      <c r="K459" s="8" t="n">
        <f aca="false">J459-H459</f>
        <v>369.205789473684</v>
      </c>
      <c r="L459" s="9" t="n">
        <f aca="false">IF(AND(H459=0,J459=0),0,IF(H459=0,"New",(J459-H459)/H459))</f>
        <v>2.47340918787221</v>
      </c>
      <c r="M459" s="7" t="str">
        <f aca="false">IF(AND(OR(C459&lt;&gt;0,H459&lt;&gt;0),D459=0,I459=0),"DROP",IF(AND(OR(D459&lt;&gt;0,I459&lt;&gt;0),C459=0,H459=0),"NEW",""))</f>
        <v/>
      </c>
    </row>
    <row r="460" customFormat="false" ht="15" hidden="false" customHeight="false" outlineLevel="0" collapsed="false">
      <c r="A460" s="7" t="s">
        <v>550</v>
      </c>
      <c r="B460" s="7" t="str">
        <f aca="false">IFERROR(INDEX('Source'!$C:$C,MATCH($A460,'Source'!$B:$B,0)),"")</f>
        <v>צווארון ספוג</v>
      </c>
      <c r="C460" s="8" t="n">
        <f aca="false">SUMIFS('Source'!$D:$D,'Source'!$A:$A,"155138 לקוח אינטרנט",'Source'!$B:$B,$A460)</f>
        <v>0</v>
      </c>
      <c r="D460" s="8" t="n">
        <f aca="false">SUMIFS('Source'!$F:$F,'Source'!$A:$A,"155138 לקוח אינטרנט",'Source'!$B:$B,$A460)</f>
        <v>3</v>
      </c>
      <c r="E460" s="8" t="n">
        <f aca="false">D460*$J$5</f>
        <v>3.78947368421053</v>
      </c>
      <c r="F460" s="8" t="n">
        <f aca="false">E460-C460</f>
        <v>3.78947368421053</v>
      </c>
      <c r="G460" s="9" t="str">
        <f aca="false">IF(AND(C460=0,E460=0),0,IF(C460=0,"New",(E460-C460)/C460))</f>
        <v>New</v>
      </c>
      <c r="H460" s="8" t="n">
        <f aca="false">SUMIFS('Source'!$E:$E,'Source'!$A:$A,"155138 לקוח אינטרנט",'Source'!$B:$B,$A460)</f>
        <v>0</v>
      </c>
      <c r="I460" s="8" t="n">
        <f aca="false">SUMIFS('Source'!$G:$G,'Source'!$A:$A,"155138 לקוח אינטרנט",'Source'!$B:$B,$A460)</f>
        <v>260.27</v>
      </c>
      <c r="J460" s="8" t="n">
        <f aca="false">I460*$J$5</f>
        <v>328.762105263158</v>
      </c>
      <c r="K460" s="8" t="n">
        <f aca="false">J460-H460</f>
        <v>328.762105263158</v>
      </c>
      <c r="L460" s="9" t="str">
        <f aca="false">IF(AND(H460=0,J460=0),0,IF(H460=0,"New",(J460-H460)/H460))</f>
        <v>New</v>
      </c>
      <c r="M460" s="7" t="str">
        <f aca="false">IF(AND(OR(C460&lt;&gt;0,H460&lt;&gt;0),D460=0,I460=0),"DROP",IF(AND(OR(D460&lt;&gt;0,I460&lt;&gt;0),C460=0,H460=0),"NEW",""))</f>
        <v>NEW</v>
      </c>
    </row>
    <row r="461" customFormat="false" ht="15" hidden="false" customHeight="false" outlineLevel="0" collapsed="false">
      <c r="A461" s="7" t="s">
        <v>551</v>
      </c>
      <c r="B461" s="7" t="str">
        <f aca="false">IFERROR(INDEX('Source'!$C:$C,MATCH($A461,'Source'!$B:$B,0)),"")</f>
        <v>צוארון ספוגי</v>
      </c>
      <c r="C461" s="8" t="n">
        <f aca="false">SUMIFS('Source'!$D:$D,'Source'!$A:$A,"155138 לקוח אינטרנט",'Source'!$B:$B,$A461)</f>
        <v>2</v>
      </c>
      <c r="D461" s="8" t="n">
        <f aca="false">SUMIFS('Source'!$F:$F,'Source'!$A:$A,"155138 לקוח אינטרנט",'Source'!$B:$B,$A461)</f>
        <v>5</v>
      </c>
      <c r="E461" s="8" t="n">
        <f aca="false">D461*$J$5</f>
        <v>6.31578947368421</v>
      </c>
      <c r="F461" s="8" t="n">
        <f aca="false">E461-C461</f>
        <v>4.31578947368421</v>
      </c>
      <c r="G461" s="9" t="n">
        <f aca="false">IF(AND(C461=0,E461=0),0,IF(C461=0,"New",(E461-C461)/C461))</f>
        <v>2.15789473684211</v>
      </c>
      <c r="H461" s="8" t="n">
        <f aca="false">SUMIFS('Source'!$E:$E,'Source'!$A:$A,"155138 לקוח אינטרנט",'Source'!$B:$B,$A461)</f>
        <v>166.04</v>
      </c>
      <c r="I461" s="8" t="n">
        <f aca="false">SUMIFS('Source'!$G:$G,'Source'!$A:$A,"155138 לקוח אינטרנט",'Source'!$B:$B,$A461)</f>
        <v>426.3</v>
      </c>
      <c r="J461" s="8" t="n">
        <f aca="false">I461*$J$5</f>
        <v>538.484210526316</v>
      </c>
      <c r="K461" s="8" t="n">
        <f aca="false">J461-H461</f>
        <v>372.444210526316</v>
      </c>
      <c r="L461" s="9" t="n">
        <f aca="false">IF(AND(H461=0,J461=0),0,IF(H461=0,"New",(J461-H461)/H461))</f>
        <v>2.24309931658827</v>
      </c>
      <c r="M461" s="7" t="str">
        <f aca="false">IF(AND(OR(C461&lt;&gt;0,H461&lt;&gt;0),D461=0,I461=0),"DROP",IF(AND(OR(D461&lt;&gt;0,I461&lt;&gt;0),C461=0,H461=0),"NEW",""))</f>
        <v/>
      </c>
    </row>
    <row r="462" customFormat="false" ht="15" hidden="false" customHeight="false" outlineLevel="0" collapsed="false">
      <c r="A462" s="7" t="s">
        <v>552</v>
      </c>
      <c r="B462" s="7" t="str">
        <f aca="false">IFERROR(INDEX('Source'!$C:$C,MATCH($A462,'Source'!$B:$B,0)),"")</f>
        <v>חגורה מותנית צרה</v>
      </c>
      <c r="C462" s="8" t="n">
        <f aca="false">SUMIFS('Source'!$D:$D,'Source'!$A:$A,"155138 לקוח אינטרנט",'Source'!$B:$B,$A462)</f>
        <v>2</v>
      </c>
      <c r="D462" s="8" t="n">
        <f aca="false">SUMIFS('Source'!$F:$F,'Source'!$A:$A,"155138 לקוח אינטרנט",'Source'!$B:$B,$A462)</f>
        <v>1</v>
      </c>
      <c r="E462" s="8" t="n">
        <f aca="false">D462*$J$5</f>
        <v>1.26315789473684</v>
      </c>
      <c r="F462" s="8" t="n">
        <f aca="false">E462-C462</f>
        <v>-0.736842105263158</v>
      </c>
      <c r="G462" s="9" t="n">
        <f aca="false">IF(AND(C462=0,E462=0),0,IF(C462=0,"New",(E462-C462)/C462))</f>
        <v>-0.368421052631579</v>
      </c>
      <c r="H462" s="8" t="n">
        <f aca="false">SUMIFS('Source'!$E:$E,'Source'!$A:$A,"155138 לקוח אינטרנט",'Source'!$B:$B,$A462)</f>
        <v>508.3</v>
      </c>
      <c r="I462" s="8" t="n">
        <f aca="false">SUMIFS('Source'!$G:$G,'Source'!$A:$A,"155138 לקוח אינטרנט",'Source'!$B:$B,$A462)</f>
        <v>254.15</v>
      </c>
      <c r="J462" s="8" t="n">
        <f aca="false">I462*$J$5</f>
        <v>321.031578947368</v>
      </c>
      <c r="K462" s="8" t="n">
        <f aca="false">J462-H462</f>
        <v>-187.268421052632</v>
      </c>
      <c r="L462" s="9" t="n">
        <f aca="false">IF(AND(H462=0,J462=0),0,IF(H462=0,"New",(J462-H462)/H462))</f>
        <v>-0.368421052631579</v>
      </c>
      <c r="M462" s="7" t="str">
        <f aca="false">IF(AND(OR(C462&lt;&gt;0,H462&lt;&gt;0),D462=0,I462=0),"DROP",IF(AND(OR(D462&lt;&gt;0,I462&lt;&gt;0),C462=0,H462=0),"NEW",""))</f>
        <v/>
      </c>
    </row>
    <row r="463" customFormat="false" ht="15" hidden="false" customHeight="false" outlineLevel="0" collapsed="false">
      <c r="A463" s="7" t="s">
        <v>553</v>
      </c>
      <c r="B463" s="7" t="str">
        <f aca="false">IFERROR(INDEX('Source'!$C:$C,MATCH($A463,'Source'!$B:$B,0)),"")</f>
        <v>סד מאורך לאגודל</v>
      </c>
      <c r="C463" s="8" t="n">
        <f aca="false">SUMIFS('Source'!$D:$D,'Source'!$A:$A,"155138 לקוח אינטרנט",'Source'!$B:$B,$A463)</f>
        <v>1</v>
      </c>
      <c r="D463" s="8" t="n">
        <f aca="false">SUMIFS('Source'!$F:$F,'Source'!$A:$A,"155138 לקוח אינטרנט",'Source'!$B:$B,$A463)</f>
        <v>3</v>
      </c>
      <c r="E463" s="8" t="n">
        <f aca="false">D463*$J$5</f>
        <v>3.78947368421053</v>
      </c>
      <c r="F463" s="8" t="n">
        <f aca="false">E463-C463</f>
        <v>2.78947368421053</v>
      </c>
      <c r="G463" s="9" t="n">
        <f aca="false">IF(AND(C463=0,E463=0),0,IF(C463=0,"New",(E463-C463)/C463))</f>
        <v>2.78947368421053</v>
      </c>
      <c r="H463" s="8" t="n">
        <f aca="false">SUMIFS('Source'!$E:$E,'Source'!$A:$A,"155138 לקוח אינטרנט",'Source'!$B:$B,$A463)</f>
        <v>127.03</v>
      </c>
      <c r="I463" s="8" t="n">
        <f aca="false">SUMIFS('Source'!$G:$G,'Source'!$A:$A,"155138 לקוח אינטרנט",'Source'!$B:$B,$A463)</f>
        <v>381.1</v>
      </c>
      <c r="J463" s="8" t="n">
        <f aca="false">I463*$J$5</f>
        <v>481.389473684211</v>
      </c>
      <c r="K463" s="8" t="n">
        <f aca="false">J463-H463</f>
        <v>354.359473684211</v>
      </c>
      <c r="L463" s="9" t="n">
        <f aca="false">IF(AND(H463=0,J463=0),0,IF(H463=0,"New",(J463-H463)/H463))</f>
        <v>2.78957312197285</v>
      </c>
      <c r="M463" s="7" t="str">
        <f aca="false">IF(AND(OR(C463&lt;&gt;0,H463&lt;&gt;0),D463=0,I463=0),"DROP",IF(AND(OR(D463&lt;&gt;0,I463&lt;&gt;0),C463=0,H463=0),"NEW",""))</f>
        <v/>
      </c>
    </row>
    <row r="464" customFormat="false" ht="15" hidden="false" customHeight="false" outlineLevel="0" collapsed="false">
      <c r="A464" s="7" t="s">
        <v>554</v>
      </c>
      <c r="B464" s="7" t="str">
        <f aca="false">IFERROR(INDEX('Source'!$C:$C,MATCH($A464,'Source'!$B:$B,0)),"")</f>
        <v>חבק יד אגודלי ימ</v>
      </c>
      <c r="C464" s="8" t="n">
        <f aca="false">SUMIFS('Source'!$D:$D,'Source'!$A:$A,"155138 לקוח אינטרנט",'Source'!$B:$B,$A464)</f>
        <v>15</v>
      </c>
      <c r="D464" s="8" t="n">
        <f aca="false">SUMIFS('Source'!$F:$F,'Source'!$A:$A,"155138 לקוח אינטרנט",'Source'!$B:$B,$A464)</f>
        <v>11</v>
      </c>
      <c r="E464" s="8" t="n">
        <f aca="false">D464*$J$5</f>
        <v>13.8947368421053</v>
      </c>
      <c r="F464" s="8" t="n">
        <f aca="false">E464-C464</f>
        <v>-1.10526315789474</v>
      </c>
      <c r="G464" s="9" t="n">
        <f aca="false">IF(AND(C464=0,E464=0),0,IF(C464=0,"New",(E464-C464)/C464))</f>
        <v>-0.0736842105263159</v>
      </c>
      <c r="H464" s="8" t="n">
        <f aca="false">SUMIFS('Source'!$E:$E,'Source'!$A:$A,"155138 לקוח אינטרנט",'Source'!$B:$B,$A464)</f>
        <v>1157.32</v>
      </c>
      <c r="I464" s="8" t="n">
        <f aca="false">SUMIFS('Source'!$G:$G,'Source'!$A:$A,"155138 לקוח אינטרנט",'Source'!$B:$B,$A464)</f>
        <v>905.85</v>
      </c>
      <c r="J464" s="8" t="n">
        <f aca="false">I464*$J$5</f>
        <v>1144.23157894737</v>
      </c>
      <c r="K464" s="8" t="n">
        <f aca="false">J464-H464</f>
        <v>-13.0884210526317</v>
      </c>
      <c r="L464" s="9" t="n">
        <f aca="false">IF(AND(H464=0,J464=0),0,IF(H464=0,"New",(J464-H464)/H464))</f>
        <v>-0.0113092498640235</v>
      </c>
      <c r="M464" s="7" t="str">
        <f aca="false">IF(AND(OR(C464&lt;&gt;0,H464&lt;&gt;0),D464=0,I464=0),"DROP",IF(AND(OR(D464&lt;&gt;0,I464&lt;&gt;0),C464=0,H464=0),"NEW",""))</f>
        <v/>
      </c>
    </row>
    <row r="465" customFormat="false" ht="15" hidden="false" customHeight="false" outlineLevel="0" collapsed="false">
      <c r="A465" s="7" t="s">
        <v>555</v>
      </c>
      <c r="B465" s="7" t="str">
        <f aca="false">IFERROR(INDEX('Source'!$C:$C,MATCH($A465,'Source'!$B:$B,0)),"")</f>
        <v>חגורת קיבוע לכתף</v>
      </c>
      <c r="C465" s="8" t="n">
        <f aca="false">SUMIFS('Source'!$D:$D,'Source'!$A:$A,"155138 לקוח אינטרנט",'Source'!$B:$B,$A465)</f>
        <v>13</v>
      </c>
      <c r="D465" s="8" t="n">
        <f aca="false">SUMIFS('Source'!$F:$F,'Source'!$A:$A,"155138 לקוח אינטרנט",'Source'!$B:$B,$A465)</f>
        <v>11</v>
      </c>
      <c r="E465" s="8" t="n">
        <f aca="false">D465*$J$5</f>
        <v>13.8947368421053</v>
      </c>
      <c r="F465" s="8" t="n">
        <f aca="false">E465-C465</f>
        <v>0.894736842105262</v>
      </c>
      <c r="G465" s="9" t="n">
        <f aca="false">IF(AND(C465=0,E465=0),0,IF(C465=0,"New",(E465-C465)/C465))</f>
        <v>0.068825910931174</v>
      </c>
      <c r="H465" s="8" t="n">
        <f aca="false">SUMIFS('Source'!$E:$E,'Source'!$A:$A,"155138 לקוח אינטרנט",'Source'!$B:$B,$A465)</f>
        <v>4294.14</v>
      </c>
      <c r="I465" s="8" t="n">
        <f aca="false">SUMIFS('Source'!$G:$G,'Source'!$A:$A,"155138 לקוח אינטרנט",'Source'!$B:$B,$A465)</f>
        <v>4043.96</v>
      </c>
      <c r="J465" s="8" t="n">
        <f aca="false">I465*$J$5</f>
        <v>5108.16</v>
      </c>
      <c r="K465" s="8" t="n">
        <f aca="false">J465-H465</f>
        <v>814.02</v>
      </c>
      <c r="L465" s="9" t="n">
        <f aca="false">IF(AND(H465=0,J465=0),0,IF(H465=0,"New",(J465-H465)/H465))</f>
        <v>0.189565314591513</v>
      </c>
      <c r="M465" s="7" t="str">
        <f aca="false">IF(AND(OR(C465&lt;&gt;0,H465&lt;&gt;0),D465=0,I465=0),"DROP",IF(AND(OR(D465&lt;&gt;0,I465&lt;&gt;0),C465=0,H465=0),"NEW",""))</f>
        <v/>
      </c>
    </row>
    <row r="466" customFormat="false" ht="15" hidden="false" customHeight="false" outlineLevel="0" collapsed="false">
      <c r="A466" s="7" t="s">
        <v>556</v>
      </c>
      <c r="B466" s="7" t="str">
        <f aca="false">IFERROR(INDEX('Source'!$C:$C,MATCH($A466,'Source'!$B:$B,0)),"")</f>
        <v>מגן ברך רגיל</v>
      </c>
      <c r="C466" s="8" t="n">
        <f aca="false">SUMIFS('Source'!$D:$D,'Source'!$A:$A,"155138 לקוח אינטרנט",'Source'!$B:$B,$A466)</f>
        <v>15</v>
      </c>
      <c r="D466" s="8" t="n">
        <f aca="false">SUMIFS('Source'!$F:$F,'Source'!$A:$A,"155138 לקוח אינטרנט",'Source'!$B:$B,$A466)</f>
        <v>10</v>
      </c>
      <c r="E466" s="8" t="n">
        <f aca="false">D466*$J$5</f>
        <v>12.6315789473684</v>
      </c>
      <c r="F466" s="8" t="n">
        <f aca="false">E466-C466</f>
        <v>-2.36842105263158</v>
      </c>
      <c r="G466" s="9" t="n">
        <f aca="false">IF(AND(C466=0,E466=0),0,IF(C466=0,"New",(E466-C466)/C466))</f>
        <v>-0.157894736842105</v>
      </c>
      <c r="H466" s="8" t="n">
        <f aca="false">SUMIFS('Source'!$E:$E,'Source'!$A:$A,"155138 לקוח אינטרנט",'Source'!$B:$B,$A466)</f>
        <v>801.44</v>
      </c>
      <c r="I466" s="8" t="n">
        <f aca="false">SUMIFS('Source'!$G:$G,'Source'!$A:$A,"155138 לקוח אינטרנט",'Source'!$B:$B,$A466)</f>
        <v>552.91</v>
      </c>
      <c r="J466" s="8" t="n">
        <f aca="false">I466*$J$5</f>
        <v>698.412631578947</v>
      </c>
      <c r="K466" s="8" t="n">
        <f aca="false">J466-H466</f>
        <v>-103.027368421053</v>
      </c>
      <c r="L466" s="9" t="n">
        <f aca="false">IF(AND(H466=0,J466=0),0,IF(H466=0,"New",(J466-H466)/H466))</f>
        <v>-0.128552815458491</v>
      </c>
      <c r="M466" s="7" t="str">
        <f aca="false">IF(AND(OR(C466&lt;&gt;0,H466&lt;&gt;0),D466=0,I466=0),"DROP",IF(AND(OR(D466&lt;&gt;0,I466&lt;&gt;0),C466=0,H466=0),"NEW",""))</f>
        <v/>
      </c>
    </row>
    <row r="467" customFormat="false" ht="15" hidden="false" customHeight="false" outlineLevel="0" collapsed="false">
      <c r="A467" s="7" t="s">
        <v>557</v>
      </c>
      <c r="B467" s="7" t="str">
        <f aca="false">IFERROR(INDEX('Source'!$C:$C,MATCH($A467,'Source'!$B:$B,0)),"")</f>
        <v>כפפת לחץ</v>
      </c>
      <c r="C467" s="8" t="n">
        <f aca="false">SUMIFS('Source'!$D:$D,'Source'!$A:$A,"155138 לקוח אינטרנט",'Source'!$B:$B,$A467)</f>
        <v>31</v>
      </c>
      <c r="D467" s="8" t="n">
        <f aca="false">SUMIFS('Source'!$F:$F,'Source'!$A:$A,"155138 לקוח אינטרנט",'Source'!$B:$B,$A467)</f>
        <v>26</v>
      </c>
      <c r="E467" s="8" t="n">
        <f aca="false">D467*$J$5</f>
        <v>32.8421052631579</v>
      </c>
      <c r="F467" s="8" t="n">
        <f aca="false">E467-C467</f>
        <v>1.84210526315789</v>
      </c>
      <c r="G467" s="9" t="n">
        <f aca="false">IF(AND(C467=0,E467=0),0,IF(C467=0,"New",(E467-C467)/C467))</f>
        <v>0.0594227504244481</v>
      </c>
      <c r="H467" s="8" t="n">
        <f aca="false">SUMIFS('Source'!$E:$E,'Source'!$A:$A,"155138 לקוח אינטרנט",'Source'!$B:$B,$A467)</f>
        <v>1896.96</v>
      </c>
      <c r="I467" s="8" t="n">
        <f aca="false">SUMIFS('Source'!$G:$G,'Source'!$A:$A,"155138 לקוח אינטרנט",'Source'!$B:$B,$A467)</f>
        <v>1648.75</v>
      </c>
      <c r="J467" s="8" t="n">
        <f aca="false">I467*$J$5</f>
        <v>2082.63157894737</v>
      </c>
      <c r="K467" s="8" t="n">
        <f aca="false">J467-H467</f>
        <v>185.671578947368</v>
      </c>
      <c r="L467" s="9" t="n">
        <f aca="false">IF(AND(H467=0,J467=0),0,IF(H467=0,"New",(J467-H467)/H467))</f>
        <v>0.0978784892392923</v>
      </c>
      <c r="M467" s="7" t="str">
        <f aca="false">IF(AND(OR(C467&lt;&gt;0,H467&lt;&gt;0),D467=0,I467=0),"DROP",IF(AND(OR(D467&lt;&gt;0,I467&lt;&gt;0),C467=0,H467=0),"NEW",""))</f>
        <v/>
      </c>
    </row>
    <row r="468" customFormat="false" ht="15" hidden="false" customHeight="false" outlineLevel="0" collapsed="false">
      <c r="A468" s="7" t="s">
        <v>558</v>
      </c>
      <c r="B468" s="7" t="str">
        <f aca="false">IFERROR(INDEX('Source'!$C:$C,MATCH($A468,'Source'!$B:$B,0)),"")</f>
        <v>צווארון ספוג</v>
      </c>
      <c r="C468" s="8" t="n">
        <f aca="false">SUMIFS('Source'!$D:$D,'Source'!$A:$A,"155138 לקוח אינטרנט",'Source'!$B:$B,$A468)</f>
        <v>9</v>
      </c>
      <c r="D468" s="8" t="n">
        <f aca="false">SUMIFS('Source'!$F:$F,'Source'!$A:$A,"155138 לקוח אינטרנט",'Source'!$B:$B,$A468)</f>
        <v>6</v>
      </c>
      <c r="E468" s="8" t="n">
        <f aca="false">D468*$J$5</f>
        <v>7.57894736842105</v>
      </c>
      <c r="F468" s="8" t="n">
        <f aca="false">E468-C468</f>
        <v>-1.42105263157895</v>
      </c>
      <c r="G468" s="9" t="n">
        <f aca="false">IF(AND(C468=0,E468=0),0,IF(C468=0,"New",(E468-C468)/C468))</f>
        <v>-0.157894736842105</v>
      </c>
      <c r="H468" s="8" t="n">
        <f aca="false">SUMIFS('Source'!$E:$E,'Source'!$A:$A,"155138 לקוח אינטרנט",'Source'!$B:$B,$A468)</f>
        <v>776.34</v>
      </c>
      <c r="I468" s="8" t="n">
        <f aca="false">SUMIFS('Source'!$G:$G,'Source'!$A:$A,"155138 לקוח אינטרנט",'Source'!$B:$B,$A468)</f>
        <v>529.51</v>
      </c>
      <c r="J468" s="8" t="n">
        <f aca="false">I468*$J$5</f>
        <v>668.854736842105</v>
      </c>
      <c r="K468" s="8" t="n">
        <f aca="false">J468-H468</f>
        <v>-107.485263157895</v>
      </c>
      <c r="L468" s="9" t="n">
        <f aca="false">IF(AND(H468=0,J468=0),0,IF(H468=0,"New",(J468-H468)/H468))</f>
        <v>-0.138451275417851</v>
      </c>
      <c r="M468" s="7" t="str">
        <f aca="false">IF(AND(OR(C468&lt;&gt;0,H468&lt;&gt;0),D468=0,I468=0),"DROP",IF(AND(OR(D468&lt;&gt;0,I468&lt;&gt;0),C468=0,H468=0),"NEW",""))</f>
        <v/>
      </c>
    </row>
    <row r="469" customFormat="false" ht="15" hidden="false" customHeight="false" outlineLevel="0" collapsed="false">
      <c r="A469" s="7" t="s">
        <v>559</v>
      </c>
      <c r="B469" s="7" t="str">
        <f aca="false">IFERROR(INDEX('Source'!$C:$C,MATCH($A469,'Source'!$B:$B,0)),"")</f>
        <v>מגן ברך +חור לפיקה</v>
      </c>
      <c r="C469" s="8" t="n">
        <f aca="false">SUMIFS('Source'!$D:$D,'Source'!$A:$A,"155138 לקוח אינטרנט",'Source'!$B:$B,$A469)</f>
        <v>3</v>
      </c>
      <c r="D469" s="8" t="n">
        <f aca="false">SUMIFS('Source'!$F:$F,'Source'!$A:$A,"155138 לקוח אינטרנט",'Source'!$B:$B,$A469)</f>
        <v>4</v>
      </c>
      <c r="E469" s="8" t="n">
        <f aca="false">D469*$J$5</f>
        <v>5.05263157894737</v>
      </c>
      <c r="F469" s="8" t="n">
        <f aca="false">E469-C469</f>
        <v>2.05263157894737</v>
      </c>
      <c r="G469" s="9" t="n">
        <f aca="false">IF(AND(C469=0,E469=0),0,IF(C469=0,"New",(E469-C469)/C469))</f>
        <v>0.684210526315789</v>
      </c>
      <c r="H469" s="8" t="n">
        <f aca="false">SUMIFS('Source'!$E:$E,'Source'!$A:$A,"155138 לקוח אינטרנט",'Source'!$B:$B,$A469)</f>
        <v>610.81</v>
      </c>
      <c r="I469" s="8" t="n">
        <f aca="false">SUMIFS('Source'!$G:$G,'Source'!$A:$A,"155138 לקוח אינטרנט",'Source'!$B:$B,$A469)</f>
        <v>857.28</v>
      </c>
      <c r="J469" s="8" t="n">
        <f aca="false">I469*$J$5</f>
        <v>1082.88</v>
      </c>
      <c r="K469" s="8" t="n">
        <f aca="false">J469-H469</f>
        <v>472.07</v>
      </c>
      <c r="L469" s="9" t="n">
        <f aca="false">IF(AND(H469=0,J469=0),0,IF(H469=0,"New",(J469-H469)/H469))</f>
        <v>0.772858990520784</v>
      </c>
      <c r="M469" s="7" t="str">
        <f aca="false">IF(AND(OR(C469&lt;&gt;0,H469&lt;&gt;0),D469=0,I469=0),"DROP",IF(AND(OR(D469&lt;&gt;0,I469&lt;&gt;0),C469=0,H469=0),"NEW",""))</f>
        <v/>
      </c>
    </row>
    <row r="470" customFormat="false" ht="15" hidden="false" customHeight="false" outlineLevel="0" collapsed="false">
      <c r="A470" s="7" t="s">
        <v>560</v>
      </c>
      <c r="B470" s="7" t="str">
        <f aca="false">IFERROR(INDEX('Source'!$C:$C,MATCH($A470,'Source'!$B:$B,0)),"")</f>
        <v>מגן ברך שחור</v>
      </c>
      <c r="C470" s="8" t="n">
        <f aca="false">SUMIFS('Source'!$D:$D,'Source'!$A:$A,"155138 לקוח אינטרנט",'Source'!$B:$B,$A470)</f>
        <v>9</v>
      </c>
      <c r="D470" s="8" t="n">
        <f aca="false">SUMIFS('Source'!$F:$F,'Source'!$A:$A,"155138 לקוח אינטרנט",'Source'!$B:$B,$A470)</f>
        <v>4</v>
      </c>
      <c r="E470" s="8" t="n">
        <f aca="false">D470*$J$5</f>
        <v>5.05263157894737</v>
      </c>
      <c r="F470" s="8" t="n">
        <f aca="false">E470-C470</f>
        <v>-3.94736842105263</v>
      </c>
      <c r="G470" s="9" t="n">
        <f aca="false">IF(AND(C470=0,E470=0),0,IF(C470=0,"New",(E470-C470)/C470))</f>
        <v>-0.43859649122807</v>
      </c>
      <c r="H470" s="8" t="n">
        <f aca="false">SUMIFS('Source'!$E:$E,'Source'!$A:$A,"155138 לקוח אינטרנט",'Source'!$B:$B,$A470)</f>
        <v>457.96</v>
      </c>
      <c r="I470" s="8" t="n">
        <f aca="false">SUMIFS('Source'!$G:$G,'Source'!$A:$A,"155138 לקוח אינטרנט",'Source'!$B:$B,$A470)</f>
        <v>212.23</v>
      </c>
      <c r="J470" s="8" t="n">
        <f aca="false">I470*$J$5</f>
        <v>268.08</v>
      </c>
      <c r="K470" s="8" t="n">
        <f aca="false">J470-H470</f>
        <v>-189.88</v>
      </c>
      <c r="L470" s="9" t="n">
        <f aca="false">IF(AND(H470=0,J470=0),0,IF(H470=0,"New",(J470-H470)/H470))</f>
        <v>-0.414621364311294</v>
      </c>
      <c r="M470" s="7" t="str">
        <f aca="false">IF(AND(OR(C470&lt;&gt;0,H470&lt;&gt;0),D470=0,I470=0),"DROP",IF(AND(OR(D470&lt;&gt;0,I470&lt;&gt;0),C470=0,H470=0),"NEW",""))</f>
        <v/>
      </c>
    </row>
    <row r="471" customFormat="false" ht="15" hidden="false" customHeight="false" outlineLevel="0" collapsed="false">
      <c r="A471" s="7" t="s">
        <v>561</v>
      </c>
      <c r="B471" s="7" t="str">
        <f aca="false">IFERROR(INDEX('Source'!$C:$C,MATCH($A471,'Source'!$B:$B,0)),"")</f>
        <v>מגן ברך מוצלב+מוט</v>
      </c>
      <c r="C471" s="8" t="n">
        <f aca="false">SUMIFS('Source'!$D:$D,'Source'!$A:$A,"155138 לקוח אינטרנט",'Source'!$B:$B,$A471)</f>
        <v>1</v>
      </c>
      <c r="D471" s="8" t="n">
        <f aca="false">SUMIFS('Source'!$F:$F,'Source'!$A:$A,"155138 לקוח אינטרנט",'Source'!$B:$B,$A471)</f>
        <v>2</v>
      </c>
      <c r="E471" s="8" t="n">
        <f aca="false">D471*$J$5</f>
        <v>2.52631578947368</v>
      </c>
      <c r="F471" s="8" t="n">
        <f aca="false">E471-C471</f>
        <v>1.52631578947368</v>
      </c>
      <c r="G471" s="9" t="n">
        <f aca="false">IF(AND(C471=0,E471=0),0,IF(C471=0,"New",(E471-C471)/C471))</f>
        <v>1.52631578947368</v>
      </c>
      <c r="H471" s="8" t="n">
        <f aca="false">SUMIFS('Source'!$E:$E,'Source'!$A:$A,"155138 לקוח אינטרנט",'Source'!$B:$B,$A471)</f>
        <v>245.68</v>
      </c>
      <c r="I471" s="8" t="n">
        <f aca="false">SUMIFS('Source'!$G:$G,'Source'!$A:$A,"155138 לקוח אינטרנט",'Source'!$B:$B,$A471)</f>
        <v>491.36</v>
      </c>
      <c r="J471" s="8" t="n">
        <f aca="false">I471*$J$5</f>
        <v>620.665263157895</v>
      </c>
      <c r="K471" s="8" t="n">
        <f aca="false">J471-H471</f>
        <v>374.985263157895</v>
      </c>
      <c r="L471" s="9" t="n">
        <f aca="false">IF(AND(H471=0,J471=0),0,IF(H471=0,"New",(J471-H471)/H471))</f>
        <v>1.52631578947368</v>
      </c>
      <c r="M471" s="7" t="str">
        <f aca="false">IF(AND(OR(C471&lt;&gt;0,H471&lt;&gt;0),D471=0,I471=0),"DROP",IF(AND(OR(D471&lt;&gt;0,I471&lt;&gt;0),C471=0,H471=0),"NEW",""))</f>
        <v/>
      </c>
    </row>
    <row r="472" customFormat="false" ht="15" hidden="false" customHeight="false" outlineLevel="0" collapsed="false">
      <c r="A472" s="7" t="s">
        <v>562</v>
      </c>
      <c r="B472" s="7" t="str">
        <f aca="false">IFERROR(INDEX('Source'!$C:$C,MATCH($A472,'Source'!$B:$B,0)),"")</f>
        <v>מגן ברך מוצלב+מוט</v>
      </c>
      <c r="C472" s="8" t="n">
        <f aca="false">SUMIFS('Source'!$D:$D,'Source'!$A:$A,"155138 לקוח אינטרנט",'Source'!$B:$B,$A472)</f>
        <v>1</v>
      </c>
      <c r="D472" s="8" t="n">
        <f aca="false">SUMIFS('Source'!$F:$F,'Source'!$A:$A,"155138 לקוח אינטרנט",'Source'!$B:$B,$A472)</f>
        <v>0</v>
      </c>
      <c r="E472" s="8" t="n">
        <f aca="false">D472*$J$5</f>
        <v>0</v>
      </c>
      <c r="F472" s="8" t="n">
        <f aca="false">E472-C472</f>
        <v>-1</v>
      </c>
      <c r="G472" s="9" t="n">
        <f aca="false">IF(AND(C472=0,E472=0),0,IF(C472=0,"New",(E472-C472)/C472))</f>
        <v>-1</v>
      </c>
      <c r="H472" s="8" t="n">
        <f aca="false">SUMIFS('Source'!$E:$E,'Source'!$A:$A,"155138 לקוח אינטרנט",'Source'!$B:$B,$A472)</f>
        <v>245.68</v>
      </c>
      <c r="I472" s="8" t="n">
        <f aca="false">SUMIFS('Source'!$G:$G,'Source'!$A:$A,"155138 לקוח אינטרנט",'Source'!$B:$B,$A472)</f>
        <v>0</v>
      </c>
      <c r="J472" s="8" t="n">
        <f aca="false">I472*$J$5</f>
        <v>0</v>
      </c>
      <c r="K472" s="8" t="n">
        <f aca="false">J472-H472</f>
        <v>-245.68</v>
      </c>
      <c r="L472" s="9" t="n">
        <f aca="false">IF(AND(H472=0,J472=0),0,IF(H472=0,"New",(J472-H472)/H472))</f>
        <v>-1</v>
      </c>
      <c r="M472" s="7" t="str">
        <f aca="false">IF(AND(OR(C472&lt;&gt;0,H472&lt;&gt;0),D472=0,I472=0),"DROP",IF(AND(OR(D472&lt;&gt;0,I472&lt;&gt;0),C472=0,H472=0),"NEW",""))</f>
        <v>DROP</v>
      </c>
    </row>
    <row r="473" customFormat="false" ht="15" hidden="false" customHeight="false" outlineLevel="0" collapsed="false">
      <c r="A473" s="7" t="s">
        <v>563</v>
      </c>
      <c r="B473" s="7" t="str">
        <f aca="false">IFERROR(INDEX('Source'!$C:$C,MATCH($A473,'Source'!$B:$B,0)),"")</f>
        <v>מגן קרסול פתוח</v>
      </c>
      <c r="C473" s="8" t="n">
        <f aca="false">SUMIFS('Source'!$D:$D,'Source'!$A:$A,"155138 לקוח אינטרנט",'Source'!$B:$B,$A473)</f>
        <v>10</v>
      </c>
      <c r="D473" s="8" t="n">
        <f aca="false">SUMIFS('Source'!$F:$F,'Source'!$A:$A,"155138 לקוח אינטרנט",'Source'!$B:$B,$A473)</f>
        <v>14</v>
      </c>
      <c r="E473" s="8" t="n">
        <f aca="false">D473*$J$5</f>
        <v>17.6842105263158</v>
      </c>
      <c r="F473" s="8" t="n">
        <f aca="false">E473-C473</f>
        <v>7.68421052631579</v>
      </c>
      <c r="G473" s="9" t="n">
        <f aca="false">IF(AND(C473=0,E473=0),0,IF(C473=0,"New",(E473-C473)/C473))</f>
        <v>0.768421052631579</v>
      </c>
      <c r="H473" s="8" t="n">
        <f aca="false">SUMIFS('Source'!$E:$E,'Source'!$A:$A,"155138 לקוח אינטרנט",'Source'!$B:$B,$A473)</f>
        <v>503.64</v>
      </c>
      <c r="I473" s="8" t="n">
        <f aca="false">SUMIFS('Source'!$G:$G,'Source'!$A:$A,"155138 לקוח אינטרנט",'Source'!$B:$B,$A473)</f>
        <v>748.39</v>
      </c>
      <c r="J473" s="8" t="n">
        <f aca="false">I473*$J$5</f>
        <v>945.334736842105</v>
      </c>
      <c r="K473" s="8" t="n">
        <f aca="false">J473-H473</f>
        <v>441.694736842105</v>
      </c>
      <c r="L473" s="9" t="n">
        <f aca="false">IF(AND(H473=0,J473=0),0,IF(H473=0,"New",(J473-H473)/H473))</f>
        <v>0.877004878171125</v>
      </c>
      <c r="M473" s="7" t="str">
        <f aca="false">IF(AND(OR(C473&lt;&gt;0,H473&lt;&gt;0),D473=0,I473=0),"DROP",IF(AND(OR(D473&lt;&gt;0,I473&lt;&gt;0),C473=0,H473=0),"NEW",""))</f>
        <v/>
      </c>
    </row>
    <row r="474" customFormat="false" ht="15" hidden="false" customHeight="false" outlineLevel="0" collapsed="false">
      <c r="A474" s="7" t="s">
        <v>564</v>
      </c>
      <c r="B474" s="7" t="str">
        <f aca="false">IFERROR(INDEX('Source'!$C:$C,MATCH($A474,'Source'!$B:$B,0)),"")</f>
        <v>מגן ירך לאחר ניתוח</v>
      </c>
      <c r="C474" s="8" t="n">
        <f aca="false">SUMIFS('Source'!$D:$D,'Source'!$A:$A,"155138 לקוח אינטרנט",'Source'!$B:$B,$A474)</f>
        <v>1</v>
      </c>
      <c r="D474" s="8" t="n">
        <f aca="false">SUMIFS('Source'!$F:$F,'Source'!$A:$A,"155138 לקוח אינטרנט",'Source'!$B:$B,$A474)</f>
        <v>0</v>
      </c>
      <c r="E474" s="8" t="n">
        <f aca="false">D474*$J$5</f>
        <v>0</v>
      </c>
      <c r="F474" s="8" t="n">
        <f aca="false">E474-C474</f>
        <v>-1</v>
      </c>
      <c r="G474" s="9" t="n">
        <f aca="false">IF(AND(C474=0,E474=0),0,IF(C474=0,"New",(E474-C474)/C474))</f>
        <v>-1</v>
      </c>
      <c r="H474" s="8" t="n">
        <f aca="false">SUMIFS('Source'!$E:$E,'Source'!$A:$A,"155138 לקוח אינטרנט",'Source'!$B:$B,$A474)</f>
        <v>241.44</v>
      </c>
      <c r="I474" s="8" t="n">
        <f aca="false">SUMIFS('Source'!$G:$G,'Source'!$A:$A,"155138 לקוח אינטרנט",'Source'!$B:$B,$A474)</f>
        <v>0</v>
      </c>
      <c r="J474" s="8" t="n">
        <f aca="false">I474*$J$5</f>
        <v>0</v>
      </c>
      <c r="K474" s="8" t="n">
        <f aca="false">J474-H474</f>
        <v>-241.44</v>
      </c>
      <c r="L474" s="9" t="n">
        <f aca="false">IF(AND(H474=0,J474=0),0,IF(H474=0,"New",(J474-H474)/H474))</f>
        <v>-1</v>
      </c>
      <c r="M474" s="7" t="str">
        <f aca="false">IF(AND(OR(C474&lt;&gt;0,H474&lt;&gt;0),D474=0,I474=0),"DROP",IF(AND(OR(D474&lt;&gt;0,I474&lt;&gt;0),C474=0,H474=0),"NEW",""))</f>
        <v>DROP</v>
      </c>
    </row>
    <row r="475" customFormat="false" ht="15" hidden="false" customHeight="false" outlineLevel="0" collapsed="false">
      <c r="A475" s="7" t="s">
        <v>565</v>
      </c>
      <c r="B475" s="7" t="str">
        <f aca="false">IFERROR(INDEX('Source'!$C:$C,MATCH($A475,'Source'!$B:$B,0)),"")</f>
        <v>חגורה לשבר טבור</v>
      </c>
      <c r="C475" s="8" t="n">
        <f aca="false">SUMIFS('Source'!$D:$D,'Source'!$A:$A,"155138 לקוח אינטרנט",'Source'!$B:$B,$A475)</f>
        <v>0</v>
      </c>
      <c r="D475" s="8" t="n">
        <f aca="false">SUMIFS('Source'!$F:$F,'Source'!$A:$A,"155138 לקוח אינטרנט",'Source'!$B:$B,$A475)</f>
        <v>1</v>
      </c>
      <c r="E475" s="8" t="n">
        <f aca="false">D475*$J$5</f>
        <v>1.26315789473684</v>
      </c>
      <c r="F475" s="8" t="n">
        <f aca="false">E475-C475</f>
        <v>1.26315789473684</v>
      </c>
      <c r="G475" s="9" t="str">
        <f aca="false">IF(AND(C475=0,E475=0),0,IF(C475=0,"New",(E475-C475)/C475))</f>
        <v>New</v>
      </c>
      <c r="H475" s="8" t="n">
        <f aca="false">SUMIFS('Source'!$E:$E,'Source'!$A:$A,"155138 לקוח אינטרנט",'Source'!$B:$B,$A475)</f>
        <v>0</v>
      </c>
      <c r="I475" s="8" t="n">
        <f aca="false">SUMIFS('Source'!$G:$G,'Source'!$A:$A,"155138 לקוח אינטרנט",'Source'!$B:$B,$A475)</f>
        <v>241.25</v>
      </c>
      <c r="J475" s="8" t="n">
        <f aca="false">I475*$J$5</f>
        <v>304.736842105263</v>
      </c>
      <c r="K475" s="8" t="n">
        <f aca="false">J475-H475</f>
        <v>304.736842105263</v>
      </c>
      <c r="L475" s="9" t="str">
        <f aca="false">IF(AND(H475=0,J475=0),0,IF(H475=0,"New",(J475-H475)/H475))</f>
        <v>New</v>
      </c>
      <c r="M475" s="7" t="str">
        <f aca="false">IF(AND(OR(C475&lt;&gt;0,H475&lt;&gt;0),D475=0,I475=0),"DROP",IF(AND(OR(D475&lt;&gt;0,I475&lt;&gt;0),C475=0,H475=0),"NEW",""))</f>
        <v>NEW</v>
      </c>
    </row>
    <row r="476" customFormat="false" ht="15" hidden="false" customHeight="false" outlineLevel="0" collapsed="false">
      <c r="A476" s="7" t="s">
        <v>566</v>
      </c>
      <c r="B476" s="7" t="str">
        <f aca="false">IFERROR(INDEX('Source'!$C:$C,MATCH($A476,'Source'!$B:$B,0)),"")</f>
        <v>רפידת מגבת כותנה</v>
      </c>
      <c r="C476" s="8" t="n">
        <f aca="false">SUMIFS('Source'!$D:$D,'Source'!$A:$A,"155138 לקוח אינטרנט",'Source'!$B:$B,$A476)</f>
        <v>25</v>
      </c>
      <c r="D476" s="8" t="n">
        <f aca="false">SUMIFS('Source'!$F:$F,'Source'!$A:$A,"155138 לקוח אינטרנט",'Source'!$B:$B,$A476)</f>
        <v>23</v>
      </c>
      <c r="E476" s="8" t="n">
        <f aca="false">D476*$J$5</f>
        <v>29.0526315789474</v>
      </c>
      <c r="F476" s="8" t="n">
        <f aca="false">E476-C476</f>
        <v>4.05263157894737</v>
      </c>
      <c r="G476" s="9" t="n">
        <f aca="false">IF(AND(C476=0,E476=0),0,IF(C476=0,"New",(E476-C476)/C476))</f>
        <v>0.162105263157895</v>
      </c>
      <c r="H476" s="8" t="n">
        <f aca="false">SUMIFS('Source'!$E:$E,'Source'!$A:$A,"155138 לקוח אינטרנט",'Source'!$B:$B,$A476)</f>
        <v>560.29</v>
      </c>
      <c r="I476" s="8" t="n">
        <f aca="false">SUMIFS('Source'!$G:$G,'Source'!$A:$A,"155138 לקוח אינטרנט",'Source'!$B:$B,$A476)</f>
        <v>320.88</v>
      </c>
      <c r="J476" s="8" t="n">
        <f aca="false">I476*$J$5</f>
        <v>405.322105263158</v>
      </c>
      <c r="K476" s="8" t="n">
        <f aca="false">J476-H476</f>
        <v>-154.967894736842</v>
      </c>
      <c r="L476" s="9" t="n">
        <f aca="false">IF(AND(H476=0,J476=0),0,IF(H476=0,"New",(J476-H476)/H476))</f>
        <v>-0.276585151862147</v>
      </c>
      <c r="M476" s="7" t="str">
        <f aca="false">IF(AND(OR(C476&lt;&gt;0,H476&lt;&gt;0),D476=0,I476=0),"DROP",IF(AND(OR(D476&lt;&gt;0,I476&lt;&gt;0),C476=0,H476=0),"NEW",""))</f>
        <v/>
      </c>
    </row>
    <row r="477" customFormat="false" ht="15" hidden="false" customHeight="false" outlineLevel="0" collapsed="false">
      <c r="A477" s="7" t="s">
        <v>567</v>
      </c>
      <c r="B477" s="7" t="str">
        <f aca="false">IFERROR(INDEX('Source'!$C:$C,MATCH($A477,'Source'!$B:$B,0)),"")</f>
        <v>אצבעון מפלסטיק  ליד</v>
      </c>
      <c r="C477" s="8" t="n">
        <f aca="false">SUMIFS('Source'!$D:$D,'Source'!$A:$A,"155138 לקוח אינטרנט",'Source'!$B:$B,$A477)</f>
        <v>10</v>
      </c>
      <c r="D477" s="8" t="n">
        <f aca="false">SUMIFS('Source'!$F:$F,'Source'!$A:$A,"155138 לקוח אינטרנט",'Source'!$B:$B,$A477)</f>
        <v>16</v>
      </c>
      <c r="E477" s="8" t="n">
        <f aca="false">D477*$J$5</f>
        <v>20.2105263157895</v>
      </c>
      <c r="F477" s="8" t="n">
        <f aca="false">E477-C477</f>
        <v>10.2105263157895</v>
      </c>
      <c r="G477" s="9" t="n">
        <f aca="false">IF(AND(C477=0,E477=0),0,IF(C477=0,"New",(E477-C477)/C477))</f>
        <v>1.02105263157895</v>
      </c>
      <c r="H477" s="8" t="n">
        <f aca="false">SUMIFS('Source'!$E:$E,'Source'!$A:$A,"155138 לקוח אינטרנט",'Source'!$B:$B,$A477)</f>
        <v>335.78</v>
      </c>
      <c r="I477" s="8" t="n">
        <f aca="false">SUMIFS('Source'!$G:$G,'Source'!$A:$A,"155138 לקוח אינטרנט",'Source'!$B:$B,$A477)</f>
        <v>574.46</v>
      </c>
      <c r="J477" s="8" t="n">
        <f aca="false">I477*$J$5</f>
        <v>725.633684210526</v>
      </c>
      <c r="K477" s="8" t="n">
        <f aca="false">J477-H477</f>
        <v>389.853684210526</v>
      </c>
      <c r="L477" s="9" t="n">
        <f aca="false">IF(AND(H477=0,J477=0),0,IF(H477=0,"New",(J477-H477)/H477))</f>
        <v>1.16103902617942</v>
      </c>
      <c r="M477" s="7" t="str">
        <f aca="false">IF(AND(OR(C477&lt;&gt;0,H477&lt;&gt;0),D477=0,I477=0),"DROP",IF(AND(OR(D477&lt;&gt;0,I477&lt;&gt;0),C477=0,H477=0),"NEW",""))</f>
        <v/>
      </c>
    </row>
    <row r="478" customFormat="false" ht="15" hidden="false" customHeight="false" outlineLevel="0" collapsed="false">
      <c r="A478" s="7" t="s">
        <v>568</v>
      </c>
      <c r="B478" s="7" t="str">
        <f aca="false">IFERROR(INDEX('Source'!$C:$C,MATCH($A478,'Source'!$B:$B,0)),"")</f>
        <v>WRISTO STRAP חבק יד</v>
      </c>
      <c r="C478" s="8" t="n">
        <f aca="false">SUMIFS('Source'!$D:$D,'Source'!$A:$A,"155138 לקוח אינטרנט",'Source'!$B:$B,$A478)</f>
        <v>0</v>
      </c>
      <c r="D478" s="8" t="n">
        <f aca="false">SUMIFS('Source'!$F:$F,'Source'!$A:$A,"155138 לקוח אינטרנט",'Source'!$B:$B,$A478)</f>
        <v>3</v>
      </c>
      <c r="E478" s="8" t="n">
        <f aca="false">D478*$J$5</f>
        <v>3.78947368421053</v>
      </c>
      <c r="F478" s="8" t="n">
        <f aca="false">E478-C478</f>
        <v>3.78947368421053</v>
      </c>
      <c r="G478" s="9" t="str">
        <f aca="false">IF(AND(C478=0,E478=0),0,IF(C478=0,"New",(E478-C478)/C478))</f>
        <v>New</v>
      </c>
      <c r="H478" s="8" t="n">
        <f aca="false">SUMIFS('Source'!$E:$E,'Source'!$A:$A,"155138 לקוח אינטרנט",'Source'!$B:$B,$A478)</f>
        <v>0</v>
      </c>
      <c r="I478" s="8" t="n">
        <f aca="false">SUMIFS('Source'!$G:$G,'Source'!$A:$A,"155138 לקוח אינטרנט",'Source'!$B:$B,$A478)</f>
        <v>237.04</v>
      </c>
      <c r="J478" s="8" t="n">
        <f aca="false">I478*$J$5</f>
        <v>299.418947368421</v>
      </c>
      <c r="K478" s="8" t="n">
        <f aca="false">J478-H478</f>
        <v>299.418947368421</v>
      </c>
      <c r="L478" s="9" t="str">
        <f aca="false">IF(AND(H478=0,J478=0),0,IF(H478=0,"New",(J478-H478)/H478))</f>
        <v>New</v>
      </c>
      <c r="M478" s="7" t="str">
        <f aca="false">IF(AND(OR(C478&lt;&gt;0,H478&lt;&gt;0),D478=0,I478=0),"DROP",IF(AND(OR(D478&lt;&gt;0,I478&lt;&gt;0),C478=0,H478=0),"NEW",""))</f>
        <v>NEW</v>
      </c>
    </row>
    <row r="479" customFormat="false" ht="15" hidden="false" customHeight="false" outlineLevel="0" collapsed="false">
      <c r="A479" s="7" t="s">
        <v>569</v>
      </c>
      <c r="B479" s="7" t="str">
        <f aca="false">IFERROR(INDEX('Source'!$C:$C,MATCH($A479,'Source'!$B:$B,0)),"")</f>
        <v>מידרסים מסיליקון</v>
      </c>
      <c r="C479" s="8" t="n">
        <f aca="false">SUMIFS('Source'!$D:$D,'Source'!$A:$A,"155138 לקוח אינטרנט",'Source'!$B:$B,$A479)</f>
        <v>2</v>
      </c>
      <c r="D479" s="8" t="n">
        <f aca="false">SUMIFS('Source'!$F:$F,'Source'!$A:$A,"155138 לקוח אינטרנט",'Source'!$B:$B,$A479)</f>
        <v>1</v>
      </c>
      <c r="E479" s="8" t="n">
        <f aca="false">D479*$J$5</f>
        <v>1.26315789473684</v>
      </c>
      <c r="F479" s="8" t="n">
        <f aca="false">E479-C479</f>
        <v>-0.736842105263158</v>
      </c>
      <c r="G479" s="9" t="n">
        <f aca="false">IF(AND(C479=0,E479=0),0,IF(C479=0,"New",(E479-C479)/C479))</f>
        <v>-0.368421052631579</v>
      </c>
      <c r="H479" s="8" t="n">
        <f aca="false">SUMIFS('Source'!$E:$E,'Source'!$A:$A,"155138 לקוח אינטרנט",'Source'!$B:$B,$A479)</f>
        <v>428.64</v>
      </c>
      <c r="I479" s="8" t="n">
        <f aca="false">SUMIFS('Source'!$G:$G,'Source'!$A:$A,"155138 לקוח אינטרנט",'Source'!$B:$B,$A479)</f>
        <v>192.89</v>
      </c>
      <c r="J479" s="8" t="n">
        <f aca="false">I479*$J$5</f>
        <v>243.650526315789</v>
      </c>
      <c r="K479" s="8" t="n">
        <f aca="false">J479-H479</f>
        <v>-184.989473684211</v>
      </c>
      <c r="L479" s="9" t="n">
        <f aca="false">IF(AND(H479=0,J479=0),0,IF(H479=0,"New",(J479-H479)/H479))</f>
        <v>-0.431573053574586</v>
      </c>
      <c r="M479" s="7" t="str">
        <f aca="false">IF(AND(OR(C479&lt;&gt;0,H479&lt;&gt;0),D479=0,I479=0),"DROP",IF(AND(OR(D479&lt;&gt;0,I479&lt;&gt;0),C479=0,H479=0),"NEW",""))</f>
        <v/>
      </c>
    </row>
    <row r="480" customFormat="false" ht="15" hidden="false" customHeight="false" outlineLevel="0" collapsed="false">
      <c r="A480" s="7" t="s">
        <v>570</v>
      </c>
      <c r="B480" s="7" t="str">
        <f aca="false">IFERROR(INDEX('Source'!$C:$C,MATCH($A480,'Source'!$B:$B,0)),"")</f>
        <v>רפידת זיכרון 376</v>
      </c>
      <c r="C480" s="8" t="n">
        <f aca="false">SUMIFS('Source'!$D:$D,'Source'!$A:$A,"155138 לקוח אינטרנט",'Source'!$B:$B,$A480)</f>
        <v>9</v>
      </c>
      <c r="D480" s="8" t="n">
        <f aca="false">SUMIFS('Source'!$F:$F,'Source'!$A:$A,"155138 לקוח אינטרנט",'Source'!$B:$B,$A480)</f>
        <v>12</v>
      </c>
      <c r="E480" s="8" t="n">
        <f aca="false">D480*$J$5</f>
        <v>15.1578947368421</v>
      </c>
      <c r="F480" s="8" t="n">
        <f aca="false">E480-C480</f>
        <v>6.1578947368421</v>
      </c>
      <c r="G480" s="9" t="n">
        <f aca="false">IF(AND(C480=0,E480=0),0,IF(C480=0,"New",(E480-C480)/C480))</f>
        <v>0.684210526315789</v>
      </c>
      <c r="H480" s="8" t="n">
        <f aca="false">SUMIFS('Source'!$E:$E,'Source'!$A:$A,"155138 לקוח אינטרנט",'Source'!$B:$B,$A480)</f>
        <v>495.74</v>
      </c>
      <c r="I480" s="8" t="n">
        <f aca="false">SUMIFS('Source'!$G:$G,'Source'!$A:$A,"155138 לקוח אינטרנט",'Source'!$B:$B,$A480)</f>
        <v>729.94</v>
      </c>
      <c r="J480" s="8" t="n">
        <f aca="false">I480*$J$5</f>
        <v>922.02947368421</v>
      </c>
      <c r="K480" s="8" t="n">
        <f aca="false">J480-H480</f>
        <v>426.28947368421</v>
      </c>
      <c r="L480" s="9" t="n">
        <f aca="false">IF(AND(H480=0,J480=0),0,IF(H480=0,"New",(J480-H480)/H480))</f>
        <v>0.859905340872656</v>
      </c>
      <c r="M480" s="7" t="str">
        <f aca="false">IF(AND(OR(C480&lt;&gt;0,H480&lt;&gt;0),D480=0,I480=0),"DROP",IF(AND(OR(D480&lt;&gt;0,I480&lt;&gt;0),C480=0,H480=0),"NEW",""))</f>
        <v/>
      </c>
    </row>
    <row r="481" customFormat="false" ht="15" hidden="false" customHeight="false" outlineLevel="0" collapsed="false">
      <c r="A481" s="7" t="s">
        <v>571</v>
      </c>
      <c r="B481" s="7" t="str">
        <f aca="false">IFERROR(INDEX('Source'!$C:$C,MATCH($A481,'Source'!$B:$B,0)),"")</f>
        <v>כ.הפרדת אצבעות ס</v>
      </c>
      <c r="C481" s="8" t="n">
        <f aca="false">SUMIFS('Source'!$D:$D,'Source'!$A:$A,"155138 לקוח אינטרנט",'Source'!$B:$B,$A481)</f>
        <v>0</v>
      </c>
      <c r="D481" s="8" t="n">
        <f aca="false">SUMIFS('Source'!$F:$F,'Source'!$A:$A,"155138 לקוח אינטרנט",'Source'!$B:$B,$A481)</f>
        <v>9</v>
      </c>
      <c r="E481" s="8" t="n">
        <f aca="false">D481*$J$5</f>
        <v>11.3684210526316</v>
      </c>
      <c r="F481" s="8" t="n">
        <f aca="false">E481-C481</f>
        <v>11.3684210526316</v>
      </c>
      <c r="G481" s="9" t="str">
        <f aca="false">IF(AND(C481=0,E481=0),0,IF(C481=0,"New",(E481-C481)/C481))</f>
        <v>New</v>
      </c>
      <c r="H481" s="8" t="n">
        <f aca="false">SUMIFS('Source'!$E:$E,'Source'!$A:$A,"155138 לקוח אינטרנט",'Source'!$B:$B,$A481)</f>
        <v>0</v>
      </c>
      <c r="I481" s="8" t="n">
        <f aca="false">SUMIFS('Source'!$G:$G,'Source'!$A:$A,"155138 לקוח אינטרנט",'Source'!$B:$B,$A481)</f>
        <v>230.47</v>
      </c>
      <c r="J481" s="8" t="n">
        <f aca="false">I481*$J$5</f>
        <v>291.12</v>
      </c>
      <c r="K481" s="8" t="n">
        <f aca="false">J481-H481</f>
        <v>291.12</v>
      </c>
      <c r="L481" s="9" t="str">
        <f aca="false">IF(AND(H481=0,J481=0),0,IF(H481=0,"New",(J481-H481)/H481))</f>
        <v>New</v>
      </c>
      <c r="M481" s="7" t="str">
        <f aca="false">IF(AND(OR(C481&lt;&gt;0,H481&lt;&gt;0),D481=0,I481=0),"DROP",IF(AND(OR(D481&lt;&gt;0,I481&lt;&gt;0),C481=0,H481=0),"NEW",""))</f>
        <v>NEW</v>
      </c>
    </row>
    <row r="482" customFormat="false" ht="15" hidden="false" customHeight="false" outlineLevel="0" collapsed="false">
      <c r="A482" s="7" t="s">
        <v>572</v>
      </c>
      <c r="B482" s="7" t="str">
        <f aca="false">IFERROR(INDEX('Source'!$C:$C,MATCH($A482,'Source'!$B:$B,0)),"")</f>
        <v>מגן ברך רגיל</v>
      </c>
      <c r="C482" s="8" t="n">
        <f aca="false">SUMIFS('Source'!$D:$D,'Source'!$A:$A,"155138 לקוח אינטרנט",'Source'!$B:$B,$A482)</f>
        <v>6</v>
      </c>
      <c r="D482" s="8" t="n">
        <f aca="false">SUMIFS('Source'!$F:$F,'Source'!$A:$A,"155138 לקוח אינטרנט",'Source'!$B:$B,$A482)</f>
        <v>1</v>
      </c>
      <c r="E482" s="8" t="n">
        <f aca="false">D482*$J$5</f>
        <v>1.26315789473684</v>
      </c>
      <c r="F482" s="8" t="n">
        <f aca="false">E482-C482</f>
        <v>-4.73684210526316</v>
      </c>
      <c r="G482" s="9" t="n">
        <f aca="false">IF(AND(C482=0,E482=0),0,IF(C482=0,"New",(E482-C482)/C482))</f>
        <v>-0.789473684210526</v>
      </c>
      <c r="H482" s="8" t="n">
        <f aca="false">SUMIFS('Source'!$E:$E,'Source'!$A:$A,"155138 לקוח אינטרנט",'Source'!$B:$B,$A482)</f>
        <v>286.18</v>
      </c>
      <c r="I482" s="8" t="n">
        <f aca="false">SUMIFS('Source'!$G:$G,'Source'!$A:$A,"155138 לקוח אינטרנט",'Source'!$B:$B,$A482)</f>
        <v>55.86</v>
      </c>
      <c r="J482" s="8" t="n">
        <f aca="false">I482*$J$5</f>
        <v>70.56</v>
      </c>
      <c r="K482" s="8" t="n">
        <f aca="false">J482-H482</f>
        <v>-215.62</v>
      </c>
      <c r="L482" s="9" t="n">
        <f aca="false">IF(AND(H482=0,J482=0),0,IF(H482=0,"New",(J482-H482)/H482))</f>
        <v>-0.753441889719757</v>
      </c>
      <c r="M482" s="7" t="str">
        <f aca="false">IF(AND(OR(C482&lt;&gt;0,H482&lt;&gt;0),D482=0,I482=0),"DROP",IF(AND(OR(D482&lt;&gt;0,I482&lt;&gt;0),C482=0,H482=0),"NEW",""))</f>
        <v/>
      </c>
    </row>
    <row r="483" customFormat="false" ht="15" hidden="false" customHeight="false" outlineLevel="0" collapsed="false">
      <c r="A483" s="7" t="s">
        <v>573</v>
      </c>
      <c r="B483" s="7" t="str">
        <f aca="false">IFERROR(INDEX('Source'!$C:$C,MATCH($A483,'Source'!$B:$B,0)),"")</f>
        <v>חגורה מותנית צרה</v>
      </c>
      <c r="C483" s="8" t="n">
        <f aca="false">SUMIFS('Source'!$D:$D,'Source'!$A:$A,"155138 לקוח אינטרנט",'Source'!$B:$B,$A483)</f>
        <v>6</v>
      </c>
      <c r="D483" s="8" t="n">
        <f aca="false">SUMIFS('Source'!$F:$F,'Source'!$A:$A,"155138 לקוח אינטרנט",'Source'!$B:$B,$A483)</f>
        <v>5</v>
      </c>
      <c r="E483" s="8" t="n">
        <f aca="false">D483*$J$5</f>
        <v>6.31578947368421</v>
      </c>
      <c r="F483" s="8" t="n">
        <f aca="false">E483-C483</f>
        <v>0.315789473684211</v>
      </c>
      <c r="G483" s="9" t="n">
        <f aca="false">IF(AND(C483=0,E483=0),0,IF(C483=0,"New",(E483-C483)/C483))</f>
        <v>0.0526315789473684</v>
      </c>
      <c r="H483" s="8" t="n">
        <f aca="false">SUMIFS('Source'!$E:$E,'Source'!$A:$A,"155138 לקוח אינטרנט",'Source'!$B:$B,$A483)</f>
        <v>1436.42</v>
      </c>
      <c r="I483" s="8" t="n">
        <f aca="false">SUMIFS('Source'!$G:$G,'Source'!$A:$A,"155138 לקוח אינטרנט",'Source'!$B:$B,$A483)</f>
        <v>1207.22</v>
      </c>
      <c r="J483" s="8" t="n">
        <f aca="false">I483*$J$5</f>
        <v>1524.90947368421</v>
      </c>
      <c r="K483" s="8" t="n">
        <f aca="false">J483-H483</f>
        <v>88.4894736842105</v>
      </c>
      <c r="L483" s="9" t="n">
        <f aca="false">IF(AND(H483=0,J483=0),0,IF(H483=0,"New",(J483-H483)/H483))</f>
        <v>0.0616041782237858</v>
      </c>
      <c r="M483" s="7" t="str">
        <f aca="false">IF(AND(OR(C483&lt;&gt;0,H483&lt;&gt;0),D483=0,I483=0),"DROP",IF(AND(OR(D483&lt;&gt;0,I483&lt;&gt;0),C483=0,H483=0),"NEW",""))</f>
        <v/>
      </c>
    </row>
    <row r="484" customFormat="false" ht="15" hidden="false" customHeight="false" outlineLevel="0" collapsed="false">
      <c r="A484" s="7" t="s">
        <v>574</v>
      </c>
      <c r="B484" s="7" t="str">
        <f aca="false">IFERROR(INDEX('Source'!$C:$C,MATCH($A484,'Source'!$B:$B,0)),"")</f>
        <v>חגורת צלעות לאשה</v>
      </c>
      <c r="C484" s="8" t="n">
        <f aca="false">SUMIFS('Source'!$D:$D,'Source'!$A:$A,"155138 לקוח אינטרנט",'Source'!$B:$B,$A484)</f>
        <v>0</v>
      </c>
      <c r="D484" s="8" t="n">
        <f aca="false">SUMIFS('Source'!$F:$F,'Source'!$A:$A,"155138 לקוח אינטרנט",'Source'!$B:$B,$A484)</f>
        <v>1</v>
      </c>
      <c r="E484" s="8" t="n">
        <f aca="false">D484*$J$5</f>
        <v>1.26315789473684</v>
      </c>
      <c r="F484" s="8" t="n">
        <f aca="false">E484-C484</f>
        <v>1.26315789473684</v>
      </c>
      <c r="G484" s="9" t="str">
        <f aca="false">IF(AND(C484=0,E484=0),0,IF(C484=0,"New",(E484-C484)/C484))</f>
        <v>New</v>
      </c>
      <c r="H484" s="8" t="n">
        <f aca="false">SUMIFS('Source'!$E:$E,'Source'!$A:$A,"155138 לקוח אינטרנט",'Source'!$B:$B,$A484)</f>
        <v>0</v>
      </c>
      <c r="I484" s="8" t="n">
        <f aca="false">SUMIFS('Source'!$G:$G,'Source'!$A:$A,"155138 לקוח אינטרנט",'Source'!$B:$B,$A484)</f>
        <v>228.73</v>
      </c>
      <c r="J484" s="8" t="n">
        <f aca="false">I484*$J$5</f>
        <v>288.922105263158</v>
      </c>
      <c r="K484" s="8" t="n">
        <f aca="false">J484-H484</f>
        <v>288.922105263158</v>
      </c>
      <c r="L484" s="9" t="str">
        <f aca="false">IF(AND(H484=0,J484=0),0,IF(H484=0,"New",(J484-H484)/H484))</f>
        <v>New</v>
      </c>
      <c r="M484" s="7" t="str">
        <f aca="false">IF(AND(OR(C484&lt;&gt;0,H484&lt;&gt;0),D484=0,I484=0),"DROP",IF(AND(OR(D484&lt;&gt;0,I484&lt;&gt;0),C484=0,H484=0),"NEW",""))</f>
        <v>NEW</v>
      </c>
    </row>
    <row r="485" customFormat="false" ht="15" hidden="false" customHeight="false" outlineLevel="0" collapsed="false">
      <c r="A485" s="7" t="s">
        <v>575</v>
      </c>
      <c r="B485" s="7" t="str">
        <f aca="false">IFERROR(INDEX('Source'!$C:$C,MATCH($A485,'Source'!$B:$B,0)),"")</f>
        <v>מגן קרסול</v>
      </c>
      <c r="C485" s="8" t="n">
        <f aca="false">SUMIFS('Source'!$D:$D,'Source'!$A:$A,"155138 לקוח אינטרנט",'Source'!$B:$B,$A485)</f>
        <v>34</v>
      </c>
      <c r="D485" s="8" t="n">
        <f aca="false">SUMIFS('Source'!$F:$F,'Source'!$A:$A,"155138 לקוח אינטרנט",'Source'!$B:$B,$A485)</f>
        <v>28</v>
      </c>
      <c r="E485" s="8" t="n">
        <f aca="false">D485*$J$5</f>
        <v>35.3684210526316</v>
      </c>
      <c r="F485" s="8" t="n">
        <f aca="false">E485-C485</f>
        <v>1.36842105263158</v>
      </c>
      <c r="G485" s="9" t="n">
        <f aca="false">IF(AND(C485=0,E485=0),0,IF(C485=0,"New",(E485-C485)/C485))</f>
        <v>0.0402476780185757</v>
      </c>
      <c r="H485" s="8" t="n">
        <f aca="false">SUMIFS('Source'!$E:$E,'Source'!$A:$A,"155138 לקוח אינטרנט",'Source'!$B:$B,$A485)</f>
        <v>1954.84</v>
      </c>
      <c r="I485" s="8" t="n">
        <f aca="false">SUMIFS('Source'!$G:$G,'Source'!$A:$A,"155138 לקוח אינטרנט",'Source'!$B:$B,$A485)</f>
        <v>1729.62</v>
      </c>
      <c r="J485" s="8" t="n">
        <f aca="false">I485*$J$5</f>
        <v>2184.78315789474</v>
      </c>
      <c r="K485" s="8" t="n">
        <f aca="false">J485-H485</f>
        <v>229.943157894737</v>
      </c>
      <c r="L485" s="9" t="n">
        <f aca="false">IF(AND(H485=0,J485=0),0,IF(H485=0,"New",(J485-H485)/H485))</f>
        <v>0.117627610389974</v>
      </c>
      <c r="M485" s="7" t="str">
        <f aca="false">IF(AND(OR(C485&lt;&gt;0,H485&lt;&gt;0),D485=0,I485=0),"DROP",IF(AND(OR(D485&lt;&gt;0,I485&lt;&gt;0),C485=0,H485=0),"NEW",""))</f>
        <v/>
      </c>
    </row>
    <row r="486" customFormat="false" ht="15" hidden="false" customHeight="false" outlineLevel="0" collapsed="false">
      <c r="A486" s="7" t="s">
        <v>576</v>
      </c>
      <c r="B486" s="7" t="str">
        <f aca="false">IFERROR(INDEX('Source'!$C:$C,MATCH($A486,'Source'!$B:$B,0)),"")</f>
        <v>חגורת בטן</v>
      </c>
      <c r="C486" s="8" t="n">
        <f aca="false">SUMIFS('Source'!$D:$D,'Source'!$A:$A,"155138 לקוח אינטרנט",'Source'!$B:$B,$A486)</f>
        <v>4</v>
      </c>
      <c r="D486" s="8" t="n">
        <f aca="false">SUMIFS('Source'!$F:$F,'Source'!$A:$A,"155138 לקוח אינטרנט",'Source'!$B:$B,$A486)</f>
        <v>5</v>
      </c>
      <c r="E486" s="8" t="n">
        <f aca="false">D486*$J$5</f>
        <v>6.31578947368421</v>
      </c>
      <c r="F486" s="8" t="n">
        <f aca="false">E486-C486</f>
        <v>2.31578947368421</v>
      </c>
      <c r="G486" s="9" t="n">
        <f aca="false">IF(AND(C486=0,E486=0),0,IF(C486=0,"New",(E486-C486)/C486))</f>
        <v>0.578947368421053</v>
      </c>
      <c r="H486" s="8" t="n">
        <f aca="false">SUMIFS('Source'!$E:$E,'Source'!$A:$A,"155138 לקוח אינטרנט",'Source'!$B:$B,$A486)</f>
        <v>711.13</v>
      </c>
      <c r="I486" s="8" t="n">
        <f aca="false">SUMIFS('Source'!$G:$G,'Source'!$A:$A,"155138 לקוח אינטרנט",'Source'!$B:$B,$A486)</f>
        <v>935.19</v>
      </c>
      <c r="J486" s="8" t="n">
        <f aca="false">I486*$J$5</f>
        <v>1181.29263157895</v>
      </c>
      <c r="K486" s="8" t="n">
        <f aca="false">J486-H486</f>
        <v>470.162631578947</v>
      </c>
      <c r="L486" s="9" t="n">
        <f aca="false">IF(AND(H486=0,J486=0),0,IF(H486=0,"New",(J486-H486)/H486))</f>
        <v>0.661148638897174</v>
      </c>
      <c r="M486" s="7" t="str">
        <f aca="false">IF(AND(OR(C486&lt;&gt;0,H486&lt;&gt;0),D486=0,I486=0),"DROP",IF(AND(OR(D486&lt;&gt;0,I486&lt;&gt;0),C486=0,H486=0),"NEW",""))</f>
        <v/>
      </c>
    </row>
    <row r="487" customFormat="false" ht="15" hidden="false" customHeight="false" outlineLevel="0" collapsed="false">
      <c r="A487" s="7" t="s">
        <v>577</v>
      </c>
      <c r="B487" s="7" t="str">
        <f aca="false">IFERROR(INDEX('Source'!$C:$C,MATCH($A487,'Source'!$B:$B,0)),"")</f>
        <v>חגורת גב-לומבו</v>
      </c>
      <c r="C487" s="8" t="n">
        <f aca="false">SUMIFS('Source'!$D:$D,'Source'!$A:$A,"155138 לקוח אינטרנט",'Source'!$B:$B,$A487)</f>
        <v>1</v>
      </c>
      <c r="D487" s="8" t="n">
        <f aca="false">SUMIFS('Source'!$F:$F,'Source'!$A:$A,"155138 לקוח אינטרנט",'Source'!$B:$B,$A487)</f>
        <v>0</v>
      </c>
      <c r="E487" s="8" t="n">
        <f aca="false">D487*$J$5</f>
        <v>0</v>
      </c>
      <c r="F487" s="8" t="n">
        <f aca="false">E487-C487</f>
        <v>-1</v>
      </c>
      <c r="G487" s="9" t="n">
        <f aca="false">IF(AND(C487=0,E487=0),0,IF(C487=0,"New",(E487-C487)/C487))</f>
        <v>-1</v>
      </c>
      <c r="H487" s="8" t="n">
        <f aca="false">SUMIFS('Source'!$E:$E,'Source'!$A:$A,"155138 לקוח אינטרנט",'Source'!$B:$B,$A487)</f>
        <v>223.66</v>
      </c>
      <c r="I487" s="8" t="n">
        <f aca="false">SUMIFS('Source'!$G:$G,'Source'!$A:$A,"155138 לקוח אינטרנט",'Source'!$B:$B,$A487)</f>
        <v>0</v>
      </c>
      <c r="J487" s="8" t="n">
        <f aca="false">I487*$J$5</f>
        <v>0</v>
      </c>
      <c r="K487" s="8" t="n">
        <f aca="false">J487-H487</f>
        <v>-223.66</v>
      </c>
      <c r="L487" s="9" t="n">
        <f aca="false">IF(AND(H487=0,J487=0),0,IF(H487=0,"New",(J487-H487)/H487))</f>
        <v>-1</v>
      </c>
      <c r="M487" s="7" t="str">
        <f aca="false">IF(AND(OR(C487&lt;&gt;0,H487&lt;&gt;0),D487=0,I487=0),"DROP",IF(AND(OR(D487&lt;&gt;0,I487&lt;&gt;0),C487=0,H487=0),"NEW",""))</f>
        <v>DROP</v>
      </c>
    </row>
    <row r="488" customFormat="false" ht="15" hidden="false" customHeight="false" outlineLevel="0" collapsed="false">
      <c r="A488" s="7" t="s">
        <v>578</v>
      </c>
      <c r="B488" s="7" t="str">
        <f aca="false">IFERROR(INDEX('Source'!$C:$C,MATCH($A488,'Source'!$B:$B,0)),"")</f>
        <v>מגן ברך רגיל</v>
      </c>
      <c r="C488" s="8" t="n">
        <f aca="false">SUMIFS('Source'!$D:$D,'Source'!$A:$A,"155138 לקוח אינטרנט",'Source'!$B:$B,$A488)</f>
        <v>4</v>
      </c>
      <c r="D488" s="8" t="n">
        <f aca="false">SUMIFS('Source'!$F:$F,'Source'!$A:$A,"155138 לקוח אינטרנט",'Source'!$B:$B,$A488)</f>
        <v>0</v>
      </c>
      <c r="E488" s="8" t="n">
        <f aca="false">D488*$J$5</f>
        <v>0</v>
      </c>
      <c r="F488" s="8" t="n">
        <f aca="false">E488-C488</f>
        <v>-4</v>
      </c>
      <c r="G488" s="9" t="n">
        <f aca="false">IF(AND(C488=0,E488=0),0,IF(C488=0,"New",(E488-C488)/C488))</f>
        <v>-1</v>
      </c>
      <c r="H488" s="8" t="n">
        <f aca="false">SUMIFS('Source'!$E:$E,'Source'!$A:$A,"155138 לקוח אינטרנט",'Source'!$B:$B,$A488)</f>
        <v>223.4</v>
      </c>
      <c r="I488" s="8" t="n">
        <f aca="false">SUMIFS('Source'!$G:$G,'Source'!$A:$A,"155138 לקוח אינטרנט",'Source'!$B:$B,$A488)</f>
        <v>0</v>
      </c>
      <c r="J488" s="8" t="n">
        <f aca="false">I488*$J$5</f>
        <v>0</v>
      </c>
      <c r="K488" s="8" t="n">
        <f aca="false">J488-H488</f>
        <v>-223.4</v>
      </c>
      <c r="L488" s="9" t="n">
        <f aca="false">IF(AND(H488=0,J488=0),0,IF(H488=0,"New",(J488-H488)/H488))</f>
        <v>-1</v>
      </c>
      <c r="M488" s="7" t="str">
        <f aca="false">IF(AND(OR(C488&lt;&gt;0,H488&lt;&gt;0),D488=0,I488=0),"DROP",IF(AND(OR(D488&lt;&gt;0,I488&lt;&gt;0),C488=0,H488=0),"NEW",""))</f>
        <v>DROP</v>
      </c>
    </row>
    <row r="489" customFormat="false" ht="15" hidden="false" customHeight="false" outlineLevel="0" collapsed="false">
      <c r="A489" s="7" t="s">
        <v>579</v>
      </c>
      <c r="B489" s="7" t="str">
        <f aca="false">IFERROR(INDEX('Source'!$C:$C,MATCH($A489,'Source'!$B:$B,0)),"")</f>
        <v>סד קרסול קל שחור M</v>
      </c>
      <c r="C489" s="8" t="n">
        <f aca="false">SUMIFS('Source'!$D:$D,'Source'!$A:$A,"155138 לקוח אינטרנט",'Source'!$B:$B,$A489)</f>
        <v>1</v>
      </c>
      <c r="D489" s="8" t="n">
        <f aca="false">SUMIFS('Source'!$F:$F,'Source'!$A:$A,"155138 לקוח אינטרנט",'Source'!$B:$B,$A489)</f>
        <v>0</v>
      </c>
      <c r="E489" s="8" t="n">
        <f aca="false">D489*$J$5</f>
        <v>0</v>
      </c>
      <c r="F489" s="8" t="n">
        <f aca="false">E489-C489</f>
        <v>-1</v>
      </c>
      <c r="G489" s="9" t="n">
        <f aca="false">IF(AND(C489=0,E489=0),0,IF(C489=0,"New",(E489-C489)/C489))</f>
        <v>-1</v>
      </c>
      <c r="H489" s="8" t="n">
        <f aca="false">SUMIFS('Source'!$E:$E,'Source'!$A:$A,"155138 לקוח אינטרנט",'Source'!$B:$B,$A489)</f>
        <v>222.8</v>
      </c>
      <c r="I489" s="8" t="n">
        <f aca="false">SUMIFS('Source'!$G:$G,'Source'!$A:$A,"155138 לקוח אינטרנט",'Source'!$B:$B,$A489)</f>
        <v>0</v>
      </c>
      <c r="J489" s="8" t="n">
        <f aca="false">I489*$J$5</f>
        <v>0</v>
      </c>
      <c r="K489" s="8" t="n">
        <f aca="false">J489-H489</f>
        <v>-222.8</v>
      </c>
      <c r="L489" s="9" t="n">
        <f aca="false">IF(AND(H489=0,J489=0),0,IF(H489=0,"New",(J489-H489)/H489))</f>
        <v>-1</v>
      </c>
      <c r="M489" s="7" t="str">
        <f aca="false">IF(AND(OR(C489&lt;&gt;0,H489&lt;&gt;0),D489=0,I489=0),"DROP",IF(AND(OR(D489&lt;&gt;0,I489&lt;&gt;0),C489=0,H489=0),"NEW",""))</f>
        <v>DROP</v>
      </c>
    </row>
    <row r="490" customFormat="false" ht="15" hidden="false" customHeight="false" outlineLevel="0" collapsed="false">
      <c r="A490" s="7" t="s">
        <v>580</v>
      </c>
      <c r="B490" s="7" t="str">
        <f aca="false">IFERROR(INDEX('Source'!$C:$C,MATCH($A490,'Source'!$B:$B,0)),"")</f>
        <v>מגן ברך רגיל</v>
      </c>
      <c r="C490" s="8" t="n">
        <f aca="false">SUMIFS('Source'!$D:$D,'Source'!$A:$A,"155138 לקוח אינטרנט",'Source'!$B:$B,$A490)</f>
        <v>7</v>
      </c>
      <c r="D490" s="8" t="n">
        <f aca="false">SUMIFS('Source'!$F:$F,'Source'!$A:$A,"155138 לקוח אינטרנט",'Source'!$B:$B,$A490)</f>
        <v>2</v>
      </c>
      <c r="E490" s="8" t="n">
        <f aca="false">D490*$J$5</f>
        <v>2.52631578947368</v>
      </c>
      <c r="F490" s="8" t="n">
        <f aca="false">E490-C490</f>
        <v>-4.47368421052632</v>
      </c>
      <c r="G490" s="9" t="n">
        <f aca="false">IF(AND(C490=0,E490=0),0,IF(C490=0,"New",(E490-C490)/C490))</f>
        <v>-0.639097744360902</v>
      </c>
      <c r="H490" s="8" t="n">
        <f aca="false">SUMIFS('Source'!$E:$E,'Source'!$A:$A,"155138 לקוח אינטרנט",'Source'!$B:$B,$A490)</f>
        <v>333.4</v>
      </c>
      <c r="I490" s="8" t="n">
        <f aca="false">SUMIFS('Source'!$G:$G,'Source'!$A:$A,"155138 לקוח אינטרנט",'Source'!$B:$B,$A490)</f>
        <v>111.7</v>
      </c>
      <c r="J490" s="8" t="n">
        <f aca="false">I490*$J$5</f>
        <v>141.094736842105</v>
      </c>
      <c r="K490" s="8" t="n">
        <f aca="false">J490-H490</f>
        <v>-192.305263157895</v>
      </c>
      <c r="L490" s="9" t="n">
        <f aca="false">IF(AND(H490=0,J490=0),0,IF(H490=0,"New",(J490-H490)/H490))</f>
        <v>-0.576800429387807</v>
      </c>
      <c r="M490" s="7" t="str">
        <f aca="false">IF(AND(OR(C490&lt;&gt;0,H490&lt;&gt;0),D490=0,I490=0),"DROP",IF(AND(OR(D490&lt;&gt;0,I490&lt;&gt;0),C490=0,H490=0),"NEW",""))</f>
        <v/>
      </c>
    </row>
    <row r="491" customFormat="false" ht="15" hidden="false" customHeight="false" outlineLevel="0" collapsed="false">
      <c r="A491" s="7" t="s">
        <v>581</v>
      </c>
      <c r="B491" s="7" t="str">
        <f aca="false">IFERROR(INDEX('Source'!$C:$C,MATCH($A491,'Source'!$B:$B,0)),"")</f>
        <v>מתלה</v>
      </c>
      <c r="C491" s="8" t="n">
        <f aca="false">SUMIFS('Source'!$D:$D,'Source'!$A:$A,"155138 לקוח אינטרנט",'Source'!$B:$B,$A491)</f>
        <v>8</v>
      </c>
      <c r="D491" s="8" t="n">
        <f aca="false">SUMIFS('Source'!$F:$F,'Source'!$A:$A,"155138 לקוח אינטרנט",'Source'!$B:$B,$A491)</f>
        <v>7</v>
      </c>
      <c r="E491" s="8" t="n">
        <f aca="false">D491*$J$5</f>
        <v>8.84210526315789</v>
      </c>
      <c r="F491" s="8" t="n">
        <f aca="false">E491-C491</f>
        <v>0.842105263157894</v>
      </c>
      <c r="G491" s="9" t="n">
        <f aca="false">IF(AND(C491=0,E491=0),0,IF(C491=0,"New",(E491-C491)/C491))</f>
        <v>0.105263157894737</v>
      </c>
      <c r="H491" s="8" t="n">
        <f aca="false">SUMIFS('Source'!$E:$E,'Source'!$A:$A,"155138 לקוח אינטרנט",'Source'!$B:$B,$A491)</f>
        <v>1575.97</v>
      </c>
      <c r="I491" s="8" t="n">
        <f aca="false">SUMIFS('Source'!$G:$G,'Source'!$A:$A,"155138 לקוח אינטרנט",'Source'!$B:$B,$A491)</f>
        <v>1355.15</v>
      </c>
      <c r="J491" s="8" t="n">
        <f aca="false">I491*$J$5</f>
        <v>1711.76842105263</v>
      </c>
      <c r="K491" s="8" t="n">
        <f aca="false">J491-H491</f>
        <v>135.798421052631</v>
      </c>
      <c r="L491" s="9" t="n">
        <f aca="false">IF(AND(H491=0,J491=0),0,IF(H491=0,"New",(J491-H491)/H491))</f>
        <v>0.0861681510768804</v>
      </c>
      <c r="M491" s="7" t="str">
        <f aca="false">IF(AND(OR(C491&lt;&gt;0,H491&lt;&gt;0),D491=0,I491=0),"DROP",IF(AND(OR(D491&lt;&gt;0,I491&lt;&gt;0),C491=0,H491=0),"NEW",""))</f>
        <v/>
      </c>
    </row>
    <row r="492" customFormat="false" ht="15" hidden="false" customHeight="false" outlineLevel="0" collapsed="false">
      <c r="A492" s="7" t="s">
        <v>582</v>
      </c>
      <c r="B492" s="7" t="str">
        <f aca="false">IFERROR(INDEX('Source'!$C:$C,MATCH($A492,'Source'!$B:$B,0)),"")</f>
        <v>חבק לשורש כף היד</v>
      </c>
      <c r="C492" s="8" t="n">
        <f aca="false">SUMIFS('Source'!$D:$D,'Source'!$A:$A,"155138 לקוח אינטרנט",'Source'!$B:$B,$A492)</f>
        <v>25</v>
      </c>
      <c r="D492" s="8" t="n">
        <f aca="false">SUMIFS('Source'!$F:$F,'Source'!$A:$A,"155138 לקוח אינטרנט",'Source'!$B:$B,$A492)</f>
        <v>20</v>
      </c>
      <c r="E492" s="8" t="n">
        <f aca="false">D492*$J$5</f>
        <v>25.2631578947368</v>
      </c>
      <c r="F492" s="8" t="n">
        <f aca="false">E492-C492</f>
        <v>0.263157894736843</v>
      </c>
      <c r="G492" s="9" t="n">
        <f aca="false">IF(AND(C492=0,E492=0),0,IF(C492=0,"New",(E492-C492)/C492))</f>
        <v>0.0105263157894737</v>
      </c>
      <c r="H492" s="8" t="n">
        <f aca="false">SUMIFS('Source'!$E:$E,'Source'!$A:$A,"155138 לקוח אינטרנט",'Source'!$B:$B,$A492)</f>
        <v>1540.71</v>
      </c>
      <c r="I492" s="8" t="n">
        <f aca="false">SUMIFS('Source'!$G:$G,'Source'!$A:$A,"155138 לקוח אינטרנט",'Source'!$B:$B,$A492)</f>
        <v>1320.38</v>
      </c>
      <c r="J492" s="8" t="n">
        <f aca="false">I492*$J$5</f>
        <v>1667.84842105263</v>
      </c>
      <c r="K492" s="8" t="n">
        <f aca="false">J492-H492</f>
        <v>127.138421052632</v>
      </c>
      <c r="L492" s="9" t="n">
        <f aca="false">IF(AND(H492=0,J492=0),0,IF(H492=0,"New",(J492-H492)/H492))</f>
        <v>0.0825193716225842</v>
      </c>
      <c r="M492" s="7" t="str">
        <f aca="false">IF(AND(OR(C492&lt;&gt;0,H492&lt;&gt;0),D492=0,I492=0),"DROP",IF(AND(OR(D492&lt;&gt;0,I492&lt;&gt;0),C492=0,H492=0),"NEW",""))</f>
        <v/>
      </c>
    </row>
    <row r="493" customFormat="false" ht="15" hidden="false" customHeight="false" outlineLevel="0" collapsed="false">
      <c r="A493" s="7" t="s">
        <v>583</v>
      </c>
      <c r="B493" s="7" t="str">
        <f aca="false">IFERROR(INDEX('Source'!$C:$C,MATCH($A493,'Source'!$B:$B,0)),"")</f>
        <v>גרבי חורף אנטיבקטריאלי לבן</v>
      </c>
      <c r="C493" s="8" t="n">
        <f aca="false">SUMIFS('Source'!$D:$D,'Source'!$A:$A,"155138 לקוח אינטרנט",'Source'!$B:$B,$A493)</f>
        <v>0</v>
      </c>
      <c r="D493" s="8" t="n">
        <f aca="false">SUMIFS('Source'!$F:$F,'Source'!$A:$A,"155138 לקוח אינטרנט",'Source'!$B:$B,$A493)</f>
        <v>4</v>
      </c>
      <c r="E493" s="8" t="n">
        <f aca="false">D493*$J$5</f>
        <v>5.05263157894737</v>
      </c>
      <c r="F493" s="8" t="n">
        <f aca="false">E493-C493</f>
        <v>5.05263157894737</v>
      </c>
      <c r="G493" s="9" t="str">
        <f aca="false">IF(AND(C493=0,E493=0),0,IF(C493=0,"New",(E493-C493)/C493))</f>
        <v>New</v>
      </c>
      <c r="H493" s="8" t="n">
        <f aca="false">SUMIFS('Source'!$E:$E,'Source'!$A:$A,"155138 לקוח אינטרנט",'Source'!$B:$B,$A493)</f>
        <v>0</v>
      </c>
      <c r="I493" s="8" t="n">
        <f aca="false">SUMIFS('Source'!$G:$G,'Source'!$A:$A,"155138 לקוח אינטרנט",'Source'!$B:$B,$A493)</f>
        <v>218.97</v>
      </c>
      <c r="J493" s="8" t="n">
        <f aca="false">I493*$J$5</f>
        <v>276.593684210526</v>
      </c>
      <c r="K493" s="8" t="n">
        <f aca="false">J493-H493</f>
        <v>276.593684210526</v>
      </c>
      <c r="L493" s="9" t="str">
        <f aca="false">IF(AND(H493=0,J493=0),0,IF(H493=0,"New",(J493-H493)/H493))</f>
        <v>New</v>
      </c>
      <c r="M493" s="7" t="str">
        <f aca="false">IF(AND(OR(C493&lt;&gt;0,H493&lt;&gt;0),D493=0,I493=0),"DROP",IF(AND(OR(D493&lt;&gt;0,I493&lt;&gt;0),C493=0,H493=0),"NEW",""))</f>
        <v>NEW</v>
      </c>
    </row>
    <row r="494" customFormat="false" ht="15" hidden="false" customHeight="false" outlineLevel="0" collapsed="false">
      <c r="A494" s="7" t="s">
        <v>584</v>
      </c>
      <c r="B494" s="7" t="str">
        <f aca="false">IFERROR(INDEX('Source'!$C:$C,MATCH($A494,'Source'!$B:$B,0)),"")</f>
        <v>חגורה מותנית צרה</v>
      </c>
      <c r="C494" s="8" t="n">
        <f aca="false">SUMIFS('Source'!$D:$D,'Source'!$A:$A,"155138 לקוח אינטרנט",'Source'!$B:$B,$A494)</f>
        <v>5</v>
      </c>
      <c r="D494" s="8" t="n">
        <f aca="false">SUMIFS('Source'!$F:$F,'Source'!$A:$A,"155138 לקוח אינטרנט",'Source'!$B:$B,$A494)</f>
        <v>6</v>
      </c>
      <c r="E494" s="8" t="n">
        <f aca="false">D494*$J$5</f>
        <v>7.57894736842105</v>
      </c>
      <c r="F494" s="8" t="n">
        <f aca="false">E494-C494</f>
        <v>2.57894736842105</v>
      </c>
      <c r="G494" s="9" t="n">
        <f aca="false">IF(AND(C494=0,E494=0),0,IF(C494=0,"New",(E494-C494)/C494))</f>
        <v>0.515789473684211</v>
      </c>
      <c r="H494" s="8" t="n">
        <f aca="false">SUMIFS('Source'!$E:$E,'Source'!$A:$A,"155138 לקוח אינטרנט",'Source'!$B:$B,$A494)</f>
        <v>1256.35</v>
      </c>
      <c r="I494" s="8" t="n">
        <f aca="false">SUMIFS('Source'!$G:$G,'Source'!$A:$A,"155138 לקוח אינטרנט",'Source'!$B:$B,$A494)</f>
        <v>1474.07</v>
      </c>
      <c r="J494" s="8" t="n">
        <f aca="false">I494*$J$5</f>
        <v>1861.98315789474</v>
      </c>
      <c r="K494" s="8" t="n">
        <f aca="false">J494-H494</f>
        <v>605.633157894737</v>
      </c>
      <c r="L494" s="9" t="n">
        <f aca="false">IF(AND(H494=0,J494=0),0,IF(H494=0,"New",(J494-H494)/H494))</f>
        <v>0.482057673335246</v>
      </c>
      <c r="M494" s="7" t="str">
        <f aca="false">IF(AND(OR(C494&lt;&gt;0,H494&lt;&gt;0),D494=0,I494=0),"DROP",IF(AND(OR(D494&lt;&gt;0,I494&lt;&gt;0),C494=0,H494=0),"NEW",""))</f>
        <v/>
      </c>
    </row>
    <row r="495" customFormat="false" ht="15" hidden="false" customHeight="false" outlineLevel="0" collapsed="false">
      <c r="A495" s="7" t="s">
        <v>585</v>
      </c>
      <c r="B495" s="7" t="str">
        <f aca="false">IFERROR(INDEX('Source'!$C:$C,MATCH($A495,'Source'!$B:$B,0)),"")</f>
        <v>מגן מרפק + סיליקון</v>
      </c>
      <c r="C495" s="8" t="n">
        <f aca="false">SUMIFS('Source'!$D:$D,'Source'!$A:$A,"155138 לקוח אינטרנט",'Source'!$B:$B,$A495)</f>
        <v>4</v>
      </c>
      <c r="D495" s="8" t="n">
        <f aca="false">SUMIFS('Source'!$F:$F,'Source'!$A:$A,"155138 לקוח אינטרנט",'Source'!$B:$B,$A495)</f>
        <v>6</v>
      </c>
      <c r="E495" s="8" t="n">
        <f aca="false">D495*$J$5</f>
        <v>7.57894736842105</v>
      </c>
      <c r="F495" s="8" t="n">
        <f aca="false">E495-C495</f>
        <v>3.57894736842105</v>
      </c>
      <c r="G495" s="9" t="n">
        <f aca="false">IF(AND(C495=0,E495=0),0,IF(C495=0,"New",(E495-C495)/C495))</f>
        <v>0.894736842105263</v>
      </c>
      <c r="H495" s="8" t="n">
        <f aca="false">SUMIFS('Source'!$E:$E,'Source'!$A:$A,"155138 לקוח אינטרנט",'Source'!$B:$B,$A495)</f>
        <v>988.26</v>
      </c>
      <c r="I495" s="8" t="n">
        <f aca="false">SUMIFS('Source'!$G:$G,'Source'!$A:$A,"155138 לקוח אינטרנט",'Source'!$B:$B,$A495)</f>
        <v>1203.6</v>
      </c>
      <c r="J495" s="8" t="n">
        <f aca="false">I495*$J$5</f>
        <v>1520.33684210526</v>
      </c>
      <c r="K495" s="8" t="n">
        <f aca="false">J495-H495</f>
        <v>532.076842105263</v>
      </c>
      <c r="L495" s="9" t="n">
        <f aca="false">IF(AND(H495=0,J495=0),0,IF(H495=0,"New",(J495-H495)/H495))</f>
        <v>0.538397630284807</v>
      </c>
      <c r="M495" s="7" t="str">
        <f aca="false">IF(AND(OR(C495&lt;&gt;0,H495&lt;&gt;0),D495=0,I495=0),"DROP",IF(AND(OR(D495&lt;&gt;0,I495&lt;&gt;0),C495=0,H495=0),"NEW",""))</f>
        <v/>
      </c>
    </row>
    <row r="496" customFormat="false" ht="15" hidden="false" customHeight="false" outlineLevel="0" collapsed="false">
      <c r="A496" s="7" t="s">
        <v>586</v>
      </c>
      <c r="B496" s="7" t="str">
        <f aca="false">IFERROR(INDEX('Source'!$C:$C,MATCH($A496,'Source'!$B:$B,0)),"")</f>
        <v>מגן ברך ארוך עם כרית סיליקון</v>
      </c>
      <c r="C496" s="8" t="n">
        <f aca="false">SUMIFS('Source'!$D:$D,'Source'!$A:$A,"155138 לקוח אינטרנט",'Source'!$B:$B,$A496)</f>
        <v>0</v>
      </c>
      <c r="D496" s="8" t="n">
        <f aca="false">SUMIFS('Source'!$F:$F,'Source'!$A:$A,"155138 לקוח אינטרנט",'Source'!$B:$B,$A496)</f>
        <v>1</v>
      </c>
      <c r="E496" s="8" t="n">
        <f aca="false">D496*$J$5</f>
        <v>1.26315789473684</v>
      </c>
      <c r="F496" s="8" t="n">
        <f aca="false">E496-C496</f>
        <v>1.26315789473684</v>
      </c>
      <c r="G496" s="9" t="str">
        <f aca="false">IF(AND(C496=0,E496=0),0,IF(C496=0,"New",(E496-C496)/C496))</f>
        <v>New</v>
      </c>
      <c r="H496" s="8" t="n">
        <f aca="false">SUMIFS('Source'!$E:$E,'Source'!$A:$A,"155138 לקוח אינטרנט",'Source'!$B:$B,$A496)</f>
        <v>0</v>
      </c>
      <c r="I496" s="8" t="n">
        <f aca="false">SUMIFS('Source'!$G:$G,'Source'!$A:$A,"155138 לקוח אינטרנט",'Source'!$B:$B,$A496)</f>
        <v>211.78</v>
      </c>
      <c r="J496" s="8" t="n">
        <f aca="false">I496*$J$5</f>
        <v>267.511578947368</v>
      </c>
      <c r="K496" s="8" t="n">
        <f aca="false">J496-H496</f>
        <v>267.511578947368</v>
      </c>
      <c r="L496" s="9" t="str">
        <f aca="false">IF(AND(H496=0,J496=0),0,IF(H496=0,"New",(J496-H496)/H496))</f>
        <v>New</v>
      </c>
      <c r="M496" s="7" t="str">
        <f aca="false">IF(AND(OR(C496&lt;&gt;0,H496&lt;&gt;0),D496=0,I496=0),"DROP",IF(AND(OR(D496&lt;&gt;0,I496&lt;&gt;0),C496=0,H496=0),"NEW",""))</f>
        <v>NEW</v>
      </c>
    </row>
    <row r="497" customFormat="false" ht="15" hidden="false" customHeight="false" outlineLevel="0" collapsed="false">
      <c r="A497" s="7" t="s">
        <v>587</v>
      </c>
      <c r="B497" s="7" t="str">
        <f aca="false">IFERROR(INDEX('Source'!$C:$C,MATCH($A497,'Source'!$B:$B,0)),"")</f>
        <v>מיתלה שרוול</v>
      </c>
      <c r="C497" s="8" t="n">
        <f aca="false">SUMIFS('Source'!$D:$D,'Source'!$A:$A,"155138 לקוח אינטרנט",'Source'!$B:$B,$A497)</f>
        <v>1</v>
      </c>
      <c r="D497" s="8" t="n">
        <f aca="false">SUMIFS('Source'!$F:$F,'Source'!$A:$A,"155138 לקוח אינטרנט",'Source'!$B:$B,$A497)</f>
        <v>0</v>
      </c>
      <c r="E497" s="8" t="n">
        <f aca="false">D497*$J$5</f>
        <v>0</v>
      </c>
      <c r="F497" s="8" t="n">
        <f aca="false">E497-C497</f>
        <v>-1</v>
      </c>
      <c r="G497" s="9" t="n">
        <f aca="false">IF(AND(C497=0,E497=0),0,IF(C497=0,"New",(E497-C497)/C497))</f>
        <v>-1</v>
      </c>
      <c r="H497" s="8" t="n">
        <f aca="false">SUMIFS('Source'!$E:$E,'Source'!$A:$A,"155138 לקוח אינטרנט",'Source'!$B:$B,$A497)</f>
        <v>211.78</v>
      </c>
      <c r="I497" s="8" t="n">
        <f aca="false">SUMIFS('Source'!$G:$G,'Source'!$A:$A,"155138 לקוח אינטרנט",'Source'!$B:$B,$A497)</f>
        <v>0</v>
      </c>
      <c r="J497" s="8" t="n">
        <f aca="false">I497*$J$5</f>
        <v>0</v>
      </c>
      <c r="K497" s="8" t="n">
        <f aca="false">J497-H497</f>
        <v>-211.78</v>
      </c>
      <c r="L497" s="9" t="n">
        <f aca="false">IF(AND(H497=0,J497=0),0,IF(H497=0,"New",(J497-H497)/H497))</f>
        <v>-1</v>
      </c>
      <c r="M497" s="7" t="str">
        <f aca="false">IF(AND(OR(C497&lt;&gt;0,H497&lt;&gt;0),D497=0,I497=0),"DROP",IF(AND(OR(D497&lt;&gt;0,I497&lt;&gt;0),C497=0,H497=0),"NEW",""))</f>
        <v>DROP</v>
      </c>
    </row>
    <row r="498" customFormat="false" ht="15" hidden="false" customHeight="false" outlineLevel="0" collapsed="false">
      <c r="A498" s="7" t="s">
        <v>588</v>
      </c>
      <c r="B498" s="7" t="str">
        <f aca="false">IFERROR(INDEX('Source'!$C:$C,MATCH($A498,'Source'!$B:$B,0)),"")</f>
        <v>תגורת שבר בטבור לתינוקות</v>
      </c>
      <c r="C498" s="8" t="n">
        <f aca="false">SUMIFS('Source'!$D:$D,'Source'!$A:$A,"155138 לקוח אינטרנט",'Source'!$B:$B,$A498)</f>
        <v>7</v>
      </c>
      <c r="D498" s="8" t="n">
        <f aca="false">SUMIFS('Source'!$F:$F,'Source'!$A:$A,"155138 לקוח אינטרנט",'Source'!$B:$B,$A498)</f>
        <v>5</v>
      </c>
      <c r="E498" s="8" t="n">
        <f aca="false">D498*$J$5</f>
        <v>6.31578947368421</v>
      </c>
      <c r="F498" s="8" t="n">
        <f aca="false">E498-C498</f>
        <v>-0.684210526315789</v>
      </c>
      <c r="G498" s="9" t="n">
        <f aca="false">IF(AND(C498=0,E498=0),0,IF(C498=0,"New",(E498-C498)/C498))</f>
        <v>-0.0977443609022556</v>
      </c>
      <c r="H498" s="8" t="n">
        <f aca="false">SUMIFS('Source'!$E:$E,'Source'!$A:$A,"155138 לקוח אינטרנט",'Source'!$B:$B,$A498)</f>
        <v>769.64</v>
      </c>
      <c r="I498" s="8" t="n">
        <f aca="false">SUMIFS('Source'!$G:$G,'Source'!$A:$A,"155138 לקוח אינטרנט",'Source'!$B:$B,$A498)</f>
        <v>560.17</v>
      </c>
      <c r="J498" s="8" t="n">
        <f aca="false">I498*$J$5</f>
        <v>707.583157894737</v>
      </c>
      <c r="K498" s="8" t="n">
        <f aca="false">J498-H498</f>
        <v>-62.0568421052633</v>
      </c>
      <c r="L498" s="9" t="n">
        <f aca="false">IF(AND(H498=0,J498=0),0,IF(H498=0,"New",(J498-H498)/H498))</f>
        <v>-0.0806309990453502</v>
      </c>
      <c r="M498" s="7" t="str">
        <f aca="false">IF(AND(OR(C498&lt;&gt;0,H498&lt;&gt;0),D498=0,I498=0),"DROP",IF(AND(OR(D498&lt;&gt;0,I498&lt;&gt;0),C498=0,H498=0),"NEW",""))</f>
        <v/>
      </c>
    </row>
    <row r="499" customFormat="false" ht="15" hidden="false" customHeight="false" outlineLevel="0" collapsed="false">
      <c r="A499" s="7" t="s">
        <v>589</v>
      </c>
      <c r="B499" s="7" t="str">
        <f aca="false">IFERROR(INDEX('Source'!$C:$C,MATCH($A499,'Source'!$B:$B,0)),"")</f>
        <v>מישר כתפיים</v>
      </c>
      <c r="C499" s="8" t="n">
        <f aca="false">SUMIFS('Source'!$D:$D,'Source'!$A:$A,"155138 לקוח אינטרנט",'Source'!$B:$B,$A499)</f>
        <v>10</v>
      </c>
      <c r="D499" s="8" t="n">
        <f aca="false">SUMIFS('Source'!$F:$F,'Source'!$A:$A,"155138 לקוח אינטרנט",'Source'!$B:$B,$A499)</f>
        <v>8</v>
      </c>
      <c r="E499" s="8" t="n">
        <f aca="false">D499*$J$5</f>
        <v>10.1052631578947</v>
      </c>
      <c r="F499" s="8" t="n">
        <f aca="false">E499-C499</f>
        <v>0.105263157894736</v>
      </c>
      <c r="G499" s="9" t="n">
        <f aca="false">IF(AND(C499=0,E499=0),0,IF(C499=0,"New",(E499-C499)/C499))</f>
        <v>0.0105263157894736</v>
      </c>
      <c r="H499" s="8" t="n">
        <f aca="false">SUMIFS('Source'!$E:$E,'Source'!$A:$A,"155138 לקוח אינטרנט",'Source'!$B:$B,$A499)</f>
        <v>2446.37</v>
      </c>
      <c r="I499" s="8" t="n">
        <f aca="false">SUMIFS('Source'!$G:$G,'Source'!$A:$A,"155138 לקוח אינטרנט",'Source'!$B:$B,$A499)</f>
        <v>2238.8</v>
      </c>
      <c r="J499" s="8" t="n">
        <f aca="false">I499*$J$5</f>
        <v>2827.95789473684</v>
      </c>
      <c r="K499" s="8" t="n">
        <f aca="false">J499-H499</f>
        <v>381.587894736841</v>
      </c>
      <c r="L499" s="9" t="n">
        <f aca="false">IF(AND(H499=0,J499=0),0,IF(H499=0,"New",(J499-H499)/H499))</f>
        <v>0.155981268057097</v>
      </c>
      <c r="M499" s="7" t="str">
        <f aca="false">IF(AND(OR(C499&lt;&gt;0,H499&lt;&gt;0),D499=0,I499=0),"DROP",IF(AND(OR(D499&lt;&gt;0,I499&lt;&gt;0),C499=0,H499=0),"NEW",""))</f>
        <v/>
      </c>
    </row>
    <row r="500" customFormat="false" ht="15" hidden="false" customHeight="false" outlineLevel="0" collapsed="false">
      <c r="A500" s="7" t="s">
        <v>590</v>
      </c>
      <c r="B500" s="7" t="str">
        <f aca="false">IFERROR(INDEX('Source'!$C:$C,MATCH($A500,'Source'!$B:$B,0)),"")</f>
        <v>רפידת אנטי-ריח</v>
      </c>
      <c r="C500" s="8" t="n">
        <f aca="false">SUMIFS('Source'!$D:$D,'Source'!$A:$A,"155138 לקוח אינטרנט",'Source'!$B:$B,$A500)</f>
        <v>18</v>
      </c>
      <c r="D500" s="8" t="n">
        <f aca="false">SUMIFS('Source'!$F:$F,'Source'!$A:$A,"155138 לקוח אינטרנט",'Source'!$B:$B,$A500)</f>
        <v>25</v>
      </c>
      <c r="E500" s="8" t="n">
        <f aca="false">D500*$J$5</f>
        <v>31.5789473684211</v>
      </c>
      <c r="F500" s="8" t="n">
        <f aca="false">E500-C500</f>
        <v>13.5789473684211</v>
      </c>
      <c r="G500" s="9" t="n">
        <f aca="false">IF(AND(C500=0,E500=0),0,IF(C500=0,"New",(E500-C500)/C500))</f>
        <v>0.754385964912281</v>
      </c>
      <c r="H500" s="8" t="n">
        <f aca="false">SUMIFS('Source'!$E:$E,'Source'!$A:$A,"155138 לקוח אינטרנט",'Source'!$B:$B,$A500)</f>
        <v>468.71</v>
      </c>
      <c r="I500" s="8" t="n">
        <f aca="false">SUMIFS('Source'!$G:$G,'Source'!$A:$A,"155138 לקוח אינטרנט",'Source'!$B:$B,$A500)</f>
        <v>676.12</v>
      </c>
      <c r="J500" s="8" t="n">
        <f aca="false">I500*$J$5</f>
        <v>854.046315789474</v>
      </c>
      <c r="K500" s="8" t="n">
        <f aca="false">J500-H500</f>
        <v>385.336315789474</v>
      </c>
      <c r="L500" s="9" t="n">
        <f aca="false">IF(AND(H500=0,J500=0),0,IF(H500=0,"New",(J500-H500)/H500))</f>
        <v>0.822120961339578</v>
      </c>
      <c r="M500" s="7" t="str">
        <f aca="false">IF(AND(OR(C500&lt;&gt;0,H500&lt;&gt;0),D500=0,I500=0),"DROP",IF(AND(OR(D500&lt;&gt;0,I500&lt;&gt;0),C500=0,H500=0),"NEW",""))</f>
        <v/>
      </c>
    </row>
    <row r="501" customFormat="false" ht="15" hidden="false" customHeight="false" outlineLevel="0" collapsed="false">
      <c r="A501" s="7" t="s">
        <v>591</v>
      </c>
      <c r="B501" s="7" t="str">
        <f aca="false">IFERROR(INDEX('Source'!$C:$C,MATCH($A501,'Source'!$B:$B,0)),"")</f>
        <v>סד יד שמאל  שחור</v>
      </c>
      <c r="C501" s="8" t="n">
        <f aca="false">SUMIFS('Source'!$D:$D,'Source'!$A:$A,"155138 לקוח אינטרנט",'Source'!$B:$B,$A501)</f>
        <v>1</v>
      </c>
      <c r="D501" s="8" t="n">
        <f aca="false">SUMIFS('Source'!$F:$F,'Source'!$A:$A,"155138 לקוח אינטרנט",'Source'!$B:$B,$A501)</f>
        <v>2</v>
      </c>
      <c r="E501" s="8" t="n">
        <f aca="false">D501*$J$5</f>
        <v>2.52631578947368</v>
      </c>
      <c r="F501" s="8" t="n">
        <f aca="false">E501-C501</f>
        <v>1.52631578947368</v>
      </c>
      <c r="G501" s="9" t="n">
        <f aca="false">IF(AND(C501=0,E501=0),0,IF(C501=0,"New",(E501-C501)/C501))</f>
        <v>1.52631578947368</v>
      </c>
      <c r="H501" s="8" t="n">
        <f aca="false">SUMIFS('Source'!$E:$E,'Source'!$A:$A,"155138 לקוח אינטרנט",'Source'!$B:$B,$A501)</f>
        <v>167.05</v>
      </c>
      <c r="I501" s="8" t="n">
        <f aca="false">SUMIFS('Source'!$G:$G,'Source'!$A:$A,"155138 לקוח אינטרנט",'Source'!$B:$B,$A501)</f>
        <v>373.41</v>
      </c>
      <c r="J501" s="8" t="n">
        <f aca="false">I501*$J$5</f>
        <v>471.675789473684</v>
      </c>
      <c r="K501" s="8" t="n">
        <f aca="false">J501-H501</f>
        <v>304.625789473684</v>
      </c>
      <c r="L501" s="9" t="n">
        <f aca="false">IF(AND(H501=0,J501=0),0,IF(H501=0,"New",(J501-H501)/H501))</f>
        <v>1.82356054758266</v>
      </c>
      <c r="M501" s="7" t="str">
        <f aca="false">IF(AND(OR(C501&lt;&gt;0,H501&lt;&gt;0),D501=0,I501=0),"DROP",IF(AND(OR(D501&lt;&gt;0,I501&lt;&gt;0),C501=0,H501=0),"NEW",""))</f>
        <v/>
      </c>
    </row>
    <row r="502" customFormat="false" ht="15" hidden="false" customHeight="false" outlineLevel="0" collapsed="false">
      <c r="A502" s="7" t="s">
        <v>592</v>
      </c>
      <c r="B502" s="7" t="str">
        <f aca="false">IFERROR(INDEX('Source'!$C:$C,MATCH($A502,'Source'!$B:$B,0)),"")</f>
        <v>מגן ברך מוצלב+מוטות</v>
      </c>
      <c r="C502" s="8" t="n">
        <f aca="false">SUMIFS('Source'!$D:$D,'Source'!$A:$A,"155138 לקוח אינטרנט",'Source'!$B:$B,$A502)</f>
        <v>0</v>
      </c>
      <c r="D502" s="8" t="n">
        <f aca="false">SUMIFS('Source'!$F:$F,'Source'!$A:$A,"155138 לקוח אינטרנט",'Source'!$B:$B,$A502)</f>
        <v>1</v>
      </c>
      <c r="E502" s="8" t="n">
        <f aca="false">D502*$J$5</f>
        <v>1.26315789473684</v>
      </c>
      <c r="F502" s="8" t="n">
        <f aca="false">E502-C502</f>
        <v>1.26315789473684</v>
      </c>
      <c r="G502" s="9" t="str">
        <f aca="false">IF(AND(C502=0,E502=0),0,IF(C502=0,"New",(E502-C502)/C502))</f>
        <v>New</v>
      </c>
      <c r="H502" s="8" t="n">
        <f aca="false">SUMIFS('Source'!$E:$E,'Source'!$A:$A,"155138 לקוח אינטרנט",'Source'!$B:$B,$A502)</f>
        <v>0</v>
      </c>
      <c r="I502" s="8" t="n">
        <f aca="false">SUMIFS('Source'!$G:$G,'Source'!$A:$A,"155138 לקוח אינטרנט",'Source'!$B:$B,$A502)</f>
        <v>205.86</v>
      </c>
      <c r="J502" s="8" t="n">
        <f aca="false">I502*$J$5</f>
        <v>260.033684210526</v>
      </c>
      <c r="K502" s="8" t="n">
        <f aca="false">J502-H502</f>
        <v>260.033684210526</v>
      </c>
      <c r="L502" s="9" t="str">
        <f aca="false">IF(AND(H502=0,J502=0),0,IF(H502=0,"New",(J502-H502)/H502))</f>
        <v>New</v>
      </c>
      <c r="M502" s="7" t="str">
        <f aca="false">IF(AND(OR(C502&lt;&gt;0,H502&lt;&gt;0),D502=0,I502=0),"DROP",IF(AND(OR(D502&lt;&gt;0,I502&lt;&gt;0),C502=0,H502=0),"NEW",""))</f>
        <v>NEW</v>
      </c>
    </row>
    <row r="503" customFormat="false" ht="15" hidden="false" customHeight="false" outlineLevel="0" collapsed="false">
      <c r="A503" s="7" t="s">
        <v>593</v>
      </c>
      <c r="B503" s="7" t="str">
        <f aca="false">IFERROR(INDEX('Source'!$C:$C,MATCH($A503,'Source'!$B:$B,0)),"")</f>
        <v>מגן ברך מוצלב+מוטות</v>
      </c>
      <c r="C503" s="8" t="n">
        <f aca="false">SUMIFS('Source'!$D:$D,'Source'!$A:$A,"155138 לקוח אינטרנט",'Source'!$B:$B,$A503)</f>
        <v>0</v>
      </c>
      <c r="D503" s="8" t="n">
        <f aca="false">SUMIFS('Source'!$F:$F,'Source'!$A:$A,"155138 לקוח אינטרנט",'Source'!$B:$B,$A503)</f>
        <v>1</v>
      </c>
      <c r="E503" s="8" t="n">
        <f aca="false">D503*$J$5</f>
        <v>1.26315789473684</v>
      </c>
      <c r="F503" s="8" t="n">
        <f aca="false">E503-C503</f>
        <v>1.26315789473684</v>
      </c>
      <c r="G503" s="9" t="str">
        <f aca="false">IF(AND(C503=0,E503=0),0,IF(C503=0,"New",(E503-C503)/C503))</f>
        <v>New</v>
      </c>
      <c r="H503" s="8" t="n">
        <f aca="false">SUMIFS('Source'!$E:$E,'Source'!$A:$A,"155138 לקוח אינטרנט",'Source'!$B:$B,$A503)</f>
        <v>0</v>
      </c>
      <c r="I503" s="8" t="n">
        <f aca="false">SUMIFS('Source'!$G:$G,'Source'!$A:$A,"155138 לקוח אינטרנט",'Source'!$B:$B,$A503)</f>
        <v>205.86</v>
      </c>
      <c r="J503" s="8" t="n">
        <f aca="false">I503*$J$5</f>
        <v>260.033684210526</v>
      </c>
      <c r="K503" s="8" t="n">
        <f aca="false">J503-H503</f>
        <v>260.033684210526</v>
      </c>
      <c r="L503" s="9" t="str">
        <f aca="false">IF(AND(H503=0,J503=0),0,IF(H503=0,"New",(J503-H503)/H503))</f>
        <v>New</v>
      </c>
      <c r="M503" s="7" t="str">
        <f aca="false">IF(AND(OR(C503&lt;&gt;0,H503&lt;&gt;0),D503=0,I503=0),"DROP",IF(AND(OR(D503&lt;&gt;0,I503&lt;&gt;0),C503=0,H503=0),"NEW",""))</f>
        <v>NEW</v>
      </c>
    </row>
    <row r="504" customFormat="false" ht="15" hidden="false" customHeight="false" outlineLevel="0" collapsed="false">
      <c r="A504" s="7" t="s">
        <v>594</v>
      </c>
      <c r="B504" s="7" t="str">
        <f aca="false">IFERROR(INDEX('Source'!$C:$C,MATCH($A504,'Source'!$B:$B,0)),"")</f>
        <v>מגן ברך מחמם</v>
      </c>
      <c r="C504" s="8" t="n">
        <f aca="false">SUMIFS('Source'!$D:$D,'Source'!$A:$A,"155138 לקוח אינטרנט",'Source'!$B:$B,$A504)</f>
        <v>0</v>
      </c>
      <c r="D504" s="8" t="n">
        <f aca="false">SUMIFS('Source'!$F:$F,'Source'!$A:$A,"155138 לקוח אינטרנט",'Source'!$B:$B,$A504)</f>
        <v>2</v>
      </c>
      <c r="E504" s="8" t="n">
        <f aca="false">D504*$J$5</f>
        <v>2.52631578947368</v>
      </c>
      <c r="F504" s="8" t="n">
        <f aca="false">E504-C504</f>
        <v>2.52631578947368</v>
      </c>
      <c r="G504" s="9" t="str">
        <f aca="false">IF(AND(C504=0,E504=0),0,IF(C504=0,"New",(E504-C504)/C504))</f>
        <v>New</v>
      </c>
      <c r="H504" s="8" t="n">
        <f aca="false">SUMIFS('Source'!$E:$E,'Source'!$A:$A,"155138 לקוח אינטרנט",'Source'!$B:$B,$A504)</f>
        <v>0</v>
      </c>
      <c r="I504" s="8" t="n">
        <f aca="false">SUMIFS('Source'!$G:$G,'Source'!$A:$A,"155138 לקוח אינטרנט",'Source'!$B:$B,$A504)</f>
        <v>204.92</v>
      </c>
      <c r="J504" s="8" t="n">
        <f aca="false">I504*$J$5</f>
        <v>258.846315789474</v>
      </c>
      <c r="K504" s="8" t="n">
        <f aca="false">J504-H504</f>
        <v>258.846315789474</v>
      </c>
      <c r="L504" s="9" t="str">
        <f aca="false">IF(AND(H504=0,J504=0),0,IF(H504=0,"New",(J504-H504)/H504))</f>
        <v>New</v>
      </c>
      <c r="M504" s="7" t="str">
        <f aca="false">IF(AND(OR(C504&lt;&gt;0,H504&lt;&gt;0),D504=0,I504=0),"DROP",IF(AND(OR(D504&lt;&gt;0,I504&lt;&gt;0),C504=0,H504=0),"NEW",""))</f>
        <v>NEW</v>
      </c>
    </row>
    <row r="505" customFormat="false" ht="15" hidden="false" customHeight="false" outlineLevel="0" collapsed="false">
      <c r="A505" s="7" t="s">
        <v>595</v>
      </c>
      <c r="B505" s="7" t="str">
        <f aca="false">IFERROR(INDEX('Source'!$C:$C,MATCH($A505,'Source'!$B:$B,0)),"")</f>
        <v>מתלה יד-כיס</v>
      </c>
      <c r="C505" s="8" t="n">
        <f aca="false">SUMIFS('Source'!$D:$D,'Source'!$A:$A,"155138 לקוח אינטרנט",'Source'!$B:$B,$A505)</f>
        <v>7</v>
      </c>
      <c r="D505" s="8" t="n">
        <f aca="false">SUMIFS('Source'!$F:$F,'Source'!$A:$A,"155138 לקוח אינטרנט",'Source'!$B:$B,$A505)</f>
        <v>9</v>
      </c>
      <c r="E505" s="8" t="n">
        <f aca="false">D505*$J$5</f>
        <v>11.3684210526316</v>
      </c>
      <c r="F505" s="8" t="n">
        <f aca="false">E505-C505</f>
        <v>4.36842105263158</v>
      </c>
      <c r="G505" s="9" t="n">
        <f aca="false">IF(AND(C505=0,E505=0),0,IF(C505=0,"New",(E505-C505)/C505))</f>
        <v>0.62406015037594</v>
      </c>
      <c r="H505" s="8" t="n">
        <f aca="false">SUMIFS('Source'!$E:$E,'Source'!$A:$A,"155138 לקוח אינטרנט",'Source'!$B:$B,$A505)</f>
        <v>701.97</v>
      </c>
      <c r="I505" s="8" t="n">
        <f aca="false">SUMIFS('Source'!$G:$G,'Source'!$A:$A,"155138 לקוח אינטרנט",'Source'!$B:$B,$A505)</f>
        <v>906.76</v>
      </c>
      <c r="J505" s="8" t="n">
        <f aca="false">I505*$J$5</f>
        <v>1145.38105263158</v>
      </c>
      <c r="K505" s="8" t="n">
        <f aca="false">J505-H505</f>
        <v>443.411052631579</v>
      </c>
      <c r="L505" s="9" t="n">
        <f aca="false">IF(AND(H505=0,J505=0),0,IF(H505=0,"New",(J505-H505)/H505))</f>
        <v>0.631666670415515</v>
      </c>
      <c r="M505" s="7" t="str">
        <f aca="false">IF(AND(OR(C505&lt;&gt;0,H505&lt;&gt;0),D505=0,I505=0),"DROP",IF(AND(OR(D505&lt;&gt;0,I505&lt;&gt;0),C505=0,H505=0),"NEW",""))</f>
        <v/>
      </c>
    </row>
    <row r="506" customFormat="false" ht="15" hidden="false" customHeight="false" outlineLevel="0" collapsed="false">
      <c r="A506" s="7" t="s">
        <v>596</v>
      </c>
      <c r="B506" s="7" t="str">
        <f aca="false">IFERROR(INDEX('Source'!$C:$C,MATCH($A506,'Source'!$B:$B,0)),"")</f>
        <v>צוארון ספוגי</v>
      </c>
      <c r="C506" s="8" t="n">
        <f aca="false">SUMIFS('Source'!$D:$D,'Source'!$A:$A,"155138 לקוח אינטרנט",'Source'!$B:$B,$A506)</f>
        <v>8</v>
      </c>
      <c r="D506" s="8" t="n">
        <f aca="false">SUMIFS('Source'!$F:$F,'Source'!$A:$A,"155138 לקוח אינטרנט",'Source'!$B:$B,$A506)</f>
        <v>10</v>
      </c>
      <c r="E506" s="8" t="n">
        <f aca="false">D506*$J$5</f>
        <v>12.6315789473684</v>
      </c>
      <c r="F506" s="8" t="n">
        <f aca="false">E506-C506</f>
        <v>4.63157894736842</v>
      </c>
      <c r="G506" s="9" t="n">
        <f aca="false">IF(AND(C506=0,E506=0),0,IF(C506=0,"New",(E506-C506)/C506))</f>
        <v>0.578947368421053</v>
      </c>
      <c r="H506" s="8" t="n">
        <f aca="false">SUMIFS('Source'!$E:$E,'Source'!$A:$A,"155138 לקוח אינטרנט",'Source'!$B:$B,$A506)</f>
        <v>686.59</v>
      </c>
      <c r="I506" s="8" t="n">
        <f aca="false">SUMIFS('Source'!$G:$G,'Source'!$A:$A,"155138 לקוח אינטרנט",'Source'!$B:$B,$A506)</f>
        <v>888.51</v>
      </c>
      <c r="J506" s="8" t="n">
        <f aca="false">I506*$J$5</f>
        <v>1122.32842105263</v>
      </c>
      <c r="K506" s="8" t="n">
        <f aca="false">J506-H506</f>
        <v>435.738421052631</v>
      </c>
      <c r="L506" s="9" t="n">
        <f aca="false">IF(AND(H506=0,J506=0),0,IF(H506=0,"New",(J506-H506)/H506))</f>
        <v>0.634641374113563</v>
      </c>
      <c r="M506" s="7" t="str">
        <f aca="false">IF(AND(OR(C506&lt;&gt;0,H506&lt;&gt;0),D506=0,I506=0),"DROP",IF(AND(OR(D506&lt;&gt;0,I506&lt;&gt;0),C506=0,H506=0),"NEW",""))</f>
        <v/>
      </c>
    </row>
    <row r="507" customFormat="false" ht="15" hidden="false" customHeight="false" outlineLevel="0" collapsed="false">
      <c r="A507" s="7" t="s">
        <v>597</v>
      </c>
      <c r="B507" s="7" t="str">
        <f aca="false">IFERROR(INDEX('Source'!$C:$C,MATCH($A507,'Source'!$B:$B,0)),"")</f>
        <v>מגן קרסול סגור</v>
      </c>
      <c r="C507" s="8" t="n">
        <f aca="false">SUMIFS('Source'!$D:$D,'Source'!$A:$A,"155138 לקוח אינטרנט",'Source'!$B:$B,$A507)</f>
        <v>7</v>
      </c>
      <c r="D507" s="8" t="n">
        <f aca="false">SUMIFS('Source'!$F:$F,'Source'!$A:$A,"155138 לקוח אינטרנט",'Source'!$B:$B,$A507)</f>
        <v>4</v>
      </c>
      <c r="E507" s="8" t="n">
        <f aca="false">D507*$J$5</f>
        <v>5.05263157894737</v>
      </c>
      <c r="F507" s="8" t="n">
        <f aca="false">E507-C507</f>
        <v>-1.94736842105263</v>
      </c>
      <c r="G507" s="9" t="n">
        <f aca="false">IF(AND(C507=0,E507=0),0,IF(C507=0,"New",(E507-C507)/C507))</f>
        <v>-0.278195488721805</v>
      </c>
      <c r="H507" s="8" t="n">
        <f aca="false">SUMIFS('Source'!$E:$E,'Source'!$A:$A,"155138 לקוח אינטרנט",'Source'!$B:$B,$A507)</f>
        <v>518.41</v>
      </c>
      <c r="I507" s="8" t="n">
        <f aca="false">SUMIFS('Source'!$G:$G,'Source'!$A:$A,"155138 לקוח אינטרנט",'Source'!$B:$B,$A507)</f>
        <v>317.48</v>
      </c>
      <c r="J507" s="8" t="n">
        <f aca="false">I507*$J$5</f>
        <v>401.027368421053</v>
      </c>
      <c r="K507" s="8" t="n">
        <f aca="false">J507-H507</f>
        <v>-117.382631578947</v>
      </c>
      <c r="L507" s="9" t="n">
        <f aca="false">IF(AND(H507=0,J507=0),0,IF(H507=0,"New",(J507-H507)/H507))</f>
        <v>-0.226428177656579</v>
      </c>
      <c r="M507" s="7" t="str">
        <f aca="false">IF(AND(OR(C507&lt;&gt;0,H507&lt;&gt;0),D507=0,I507=0),"DROP",IF(AND(OR(D507&lt;&gt;0,I507&lt;&gt;0),C507=0,H507=0),"NEW",""))</f>
        <v/>
      </c>
    </row>
    <row r="508" customFormat="false" ht="15" hidden="false" customHeight="false" outlineLevel="0" collapsed="false">
      <c r="A508" s="7" t="s">
        <v>598</v>
      </c>
      <c r="B508" s="7" t="str">
        <f aca="false">IFERROR(INDEX('Source'!$C:$C,MATCH($A508,'Source'!$B:$B,0)),"")</f>
        <v>מגן ברך מחמם</v>
      </c>
      <c r="C508" s="8" t="n">
        <f aca="false">SUMIFS('Source'!$D:$D,'Source'!$A:$A,"155138 לקוח אינטרנט",'Source'!$B:$B,$A508)</f>
        <v>2</v>
      </c>
      <c r="D508" s="8" t="n">
        <f aca="false">SUMIFS('Source'!$F:$F,'Source'!$A:$A,"155138 לקוח אינטרנט",'Source'!$B:$B,$A508)</f>
        <v>0</v>
      </c>
      <c r="E508" s="8" t="n">
        <f aca="false">D508*$J$5</f>
        <v>0</v>
      </c>
      <c r="F508" s="8" t="n">
        <f aca="false">E508-C508</f>
        <v>-2</v>
      </c>
      <c r="G508" s="9" t="n">
        <f aca="false">IF(AND(C508=0,E508=0),0,IF(C508=0,"New",(E508-C508)/C508))</f>
        <v>-1</v>
      </c>
      <c r="H508" s="8" t="n">
        <f aca="false">SUMIFS('Source'!$E:$E,'Source'!$A:$A,"155138 לקוח אינטרנט",'Source'!$B:$B,$A508)</f>
        <v>189.55</v>
      </c>
      <c r="I508" s="8" t="n">
        <f aca="false">SUMIFS('Source'!$G:$G,'Source'!$A:$A,"155138 לקוח אינטרנט",'Source'!$B:$B,$A508)</f>
        <v>-10.25</v>
      </c>
      <c r="J508" s="8" t="n">
        <f aca="false">I508*$J$5</f>
        <v>-12.9473684210526</v>
      </c>
      <c r="K508" s="8" t="n">
        <f aca="false">J508-H508</f>
        <v>-202.497368421053</v>
      </c>
      <c r="L508" s="9" t="n">
        <f aca="false">IF(AND(H508=0,J508=0),0,IF(H508=0,"New",(J508-H508)/H508))</f>
        <v>-1.06830582126643</v>
      </c>
      <c r="M508" s="7" t="str">
        <f aca="false">IF(AND(OR(C508&lt;&gt;0,H508&lt;&gt;0),D508=0,I508=0),"DROP",IF(AND(OR(D508&lt;&gt;0,I508&lt;&gt;0),C508=0,H508=0),"NEW",""))</f>
        <v/>
      </c>
    </row>
    <row r="509" customFormat="false" ht="15" hidden="false" customHeight="false" outlineLevel="0" collapsed="false">
      <c r="A509" s="7" t="s">
        <v>599</v>
      </c>
      <c r="B509" s="7" t="str">
        <f aca="false">IFERROR(INDEX('Source'!$C:$C,MATCH($A509,'Source'!$B:$B,0)),"")</f>
        <v>ח.בטן 25 ס'מ</v>
      </c>
      <c r="C509" s="8" t="n">
        <f aca="false">SUMIFS('Source'!$D:$D,'Source'!$A:$A,"155138 לקוח אינטרנט",'Source'!$B:$B,$A509)</f>
        <v>0</v>
      </c>
      <c r="D509" s="8" t="n">
        <f aca="false">SUMIFS('Source'!$F:$F,'Source'!$A:$A,"155138 לקוח אינטרנט",'Source'!$B:$B,$A509)</f>
        <v>1</v>
      </c>
      <c r="E509" s="8" t="n">
        <f aca="false">D509*$J$5</f>
        <v>1.26315789473684</v>
      </c>
      <c r="F509" s="8" t="n">
        <f aca="false">E509-C509</f>
        <v>1.26315789473684</v>
      </c>
      <c r="G509" s="9" t="str">
        <f aca="false">IF(AND(C509=0,E509=0),0,IF(C509=0,"New",(E509-C509)/C509))</f>
        <v>New</v>
      </c>
      <c r="H509" s="8" t="n">
        <f aca="false">SUMIFS('Source'!$E:$E,'Source'!$A:$A,"155138 לקוח אינטרנט",'Source'!$B:$B,$A509)</f>
        <v>0</v>
      </c>
      <c r="I509" s="8" t="n">
        <f aca="false">SUMIFS('Source'!$G:$G,'Source'!$A:$A,"155138 לקוח אינטרנט",'Source'!$B:$B,$A509)</f>
        <v>199.07</v>
      </c>
      <c r="J509" s="8" t="n">
        <f aca="false">I509*$J$5</f>
        <v>251.456842105263</v>
      </c>
      <c r="K509" s="8" t="n">
        <f aca="false">J509-H509</f>
        <v>251.456842105263</v>
      </c>
      <c r="L509" s="9" t="str">
        <f aca="false">IF(AND(H509=0,J509=0),0,IF(H509=0,"New",(J509-H509)/H509))</f>
        <v>New</v>
      </c>
      <c r="M509" s="7" t="str">
        <f aca="false">IF(AND(OR(C509&lt;&gt;0,H509&lt;&gt;0),D509=0,I509=0),"DROP",IF(AND(OR(D509&lt;&gt;0,I509&lt;&gt;0),C509=0,H509=0),"NEW",""))</f>
        <v>NEW</v>
      </c>
    </row>
    <row r="510" customFormat="false" ht="15" hidden="false" customHeight="false" outlineLevel="0" collapsed="false">
      <c r="A510" s="7" t="s">
        <v>600</v>
      </c>
      <c r="B510" s="7" t="str">
        <f aca="false">IFERROR(INDEX('Source'!$C:$C,MATCH($A510,'Source'!$B:$B,0)),"")</f>
        <v>חבק יד מתכוון</v>
      </c>
      <c r="C510" s="8" t="n">
        <f aca="false">SUMIFS('Source'!$D:$D,'Source'!$A:$A,"155138 לקוח אינטרנט",'Source'!$B:$B,$A510)</f>
        <v>4</v>
      </c>
      <c r="D510" s="8" t="n">
        <f aca="false">SUMIFS('Source'!$F:$F,'Source'!$A:$A,"155138 לקוח אינטרנט",'Source'!$B:$B,$A510)</f>
        <v>0</v>
      </c>
      <c r="E510" s="8" t="n">
        <f aca="false">D510*$J$5</f>
        <v>0</v>
      </c>
      <c r="F510" s="8" t="n">
        <f aca="false">E510-C510</f>
        <v>-4</v>
      </c>
      <c r="G510" s="9" t="n">
        <f aca="false">IF(AND(C510=0,E510=0),0,IF(C510=0,"New",(E510-C510)/C510))</f>
        <v>-1</v>
      </c>
      <c r="H510" s="8" t="n">
        <f aca="false">SUMIFS('Source'!$E:$E,'Source'!$A:$A,"155138 לקוח אינטרנט",'Source'!$B:$B,$A510)</f>
        <v>198.27</v>
      </c>
      <c r="I510" s="8" t="n">
        <f aca="false">SUMIFS('Source'!$G:$G,'Source'!$A:$A,"155138 לקוח אינטרנט",'Source'!$B:$B,$A510)</f>
        <v>0</v>
      </c>
      <c r="J510" s="8" t="n">
        <f aca="false">I510*$J$5</f>
        <v>0</v>
      </c>
      <c r="K510" s="8" t="n">
        <f aca="false">J510-H510</f>
        <v>-198.27</v>
      </c>
      <c r="L510" s="9" t="n">
        <f aca="false">IF(AND(H510=0,J510=0),0,IF(H510=0,"New",(J510-H510)/H510))</f>
        <v>-1</v>
      </c>
      <c r="M510" s="7" t="str">
        <f aca="false">IF(AND(OR(C510&lt;&gt;0,H510&lt;&gt;0),D510=0,I510=0),"DROP",IF(AND(OR(D510&lt;&gt;0,I510&lt;&gt;0),C510=0,H510=0),"NEW",""))</f>
        <v>DROP</v>
      </c>
    </row>
    <row r="511" customFormat="false" ht="15" hidden="false" customHeight="false" outlineLevel="0" collapsed="false">
      <c r="A511" s="7" t="s">
        <v>601</v>
      </c>
      <c r="B511" s="7" t="str">
        <f aca="false">IFERROR(INDEX('Source'!$C:$C,MATCH($A511,'Source'!$B:$B,0)),"")</f>
        <v>קינזיולוגי טייפ</v>
      </c>
      <c r="C511" s="8" t="n">
        <f aca="false">SUMIFS('Source'!$D:$D,'Source'!$A:$A,"155138 לקוח אינטרנט",'Source'!$B:$B,$A511)</f>
        <v>5</v>
      </c>
      <c r="D511" s="8" t="n">
        <f aca="false">SUMIFS('Source'!$F:$F,'Source'!$A:$A,"155138 לקוח אינטרנט",'Source'!$B:$B,$A511)</f>
        <v>10</v>
      </c>
      <c r="E511" s="8" t="n">
        <f aca="false">D511*$J$5</f>
        <v>12.6315789473684</v>
      </c>
      <c r="F511" s="8" t="n">
        <f aca="false">E511-C511</f>
        <v>7.63157894736842</v>
      </c>
      <c r="G511" s="9" t="n">
        <f aca="false">IF(AND(C511=0,E511=0),0,IF(C511=0,"New",(E511-C511)/C511))</f>
        <v>1.52631578947368</v>
      </c>
      <c r="H511" s="8" t="n">
        <f aca="false">SUMIFS('Source'!$E:$E,'Source'!$A:$A,"155138 לקוח אינטרנט",'Source'!$B:$B,$A511)</f>
        <v>359.14</v>
      </c>
      <c r="I511" s="8" t="n">
        <f aca="false">SUMIFS('Source'!$G:$G,'Source'!$A:$A,"155138 לקוח אינטרנט",'Source'!$B:$B,$A511)</f>
        <v>556.53</v>
      </c>
      <c r="J511" s="8" t="n">
        <f aca="false">I511*$J$5</f>
        <v>702.985263157895</v>
      </c>
      <c r="K511" s="8" t="n">
        <f aca="false">J511-H511</f>
        <v>343.845263157895</v>
      </c>
      <c r="L511" s="9" t="n">
        <f aca="false">IF(AND(H511=0,J511=0),0,IF(H511=0,"New",(J511-H511)/H511))</f>
        <v>0.957412883994806</v>
      </c>
      <c r="M511" s="7" t="str">
        <f aca="false">IF(AND(OR(C511&lt;&gt;0,H511&lt;&gt;0),D511=0,I511=0),"DROP",IF(AND(OR(D511&lt;&gt;0,I511&lt;&gt;0),C511=0,H511=0),"NEW",""))</f>
        <v/>
      </c>
    </row>
    <row r="512" customFormat="false" ht="15" hidden="false" customHeight="false" outlineLevel="0" collapsed="false">
      <c r="A512" s="7" t="s">
        <v>602</v>
      </c>
      <c r="B512" s="7" t="str">
        <f aca="false">IFERROR(INDEX('Source'!$C:$C,MATCH($A512,'Source'!$B:$B,0)),"")</f>
        <v>מיצב פיקה</v>
      </c>
      <c r="C512" s="8" t="n">
        <f aca="false">SUMIFS('Source'!$D:$D,'Source'!$A:$A,"155138 לקוח אינטרנט",'Source'!$B:$B,$A512)</f>
        <v>5</v>
      </c>
      <c r="D512" s="8" t="n">
        <f aca="false">SUMIFS('Source'!$F:$F,'Source'!$A:$A,"155138 לקוח אינטרנט",'Source'!$B:$B,$A512)</f>
        <v>6</v>
      </c>
      <c r="E512" s="8" t="n">
        <f aca="false">D512*$J$5</f>
        <v>7.57894736842105</v>
      </c>
      <c r="F512" s="8" t="n">
        <f aca="false">E512-C512</f>
        <v>2.57894736842105</v>
      </c>
      <c r="G512" s="9" t="n">
        <f aca="false">IF(AND(C512=0,E512=0),0,IF(C512=0,"New",(E512-C512)/C512))</f>
        <v>0.515789473684211</v>
      </c>
      <c r="H512" s="8" t="n">
        <f aca="false">SUMIFS('Source'!$E:$E,'Source'!$A:$A,"155138 לקוח אינטרנט",'Source'!$B:$B,$A512)</f>
        <v>778.5</v>
      </c>
      <c r="I512" s="8" t="n">
        <f aca="false">SUMIFS('Source'!$G:$G,'Source'!$A:$A,"155138 לקוח אינטרנט",'Source'!$B:$B,$A512)</f>
        <v>975.27</v>
      </c>
      <c r="J512" s="8" t="n">
        <f aca="false">I512*$J$5</f>
        <v>1231.92</v>
      </c>
      <c r="K512" s="8" t="n">
        <f aca="false">J512-H512</f>
        <v>453.42</v>
      </c>
      <c r="L512" s="9" t="n">
        <f aca="false">IF(AND(H512=0,J512=0),0,IF(H512=0,"New",(J512-H512)/H512))</f>
        <v>0.58242774566474</v>
      </c>
      <c r="M512" s="7" t="str">
        <f aca="false">IF(AND(OR(C512&lt;&gt;0,H512&lt;&gt;0),D512=0,I512=0),"DROP",IF(AND(OR(D512&lt;&gt;0,I512&lt;&gt;0),C512=0,H512=0),"NEW",""))</f>
        <v/>
      </c>
    </row>
    <row r="513" customFormat="false" ht="15" hidden="false" customHeight="false" outlineLevel="0" collapsed="false">
      <c r="A513" s="7" t="s">
        <v>603</v>
      </c>
      <c r="B513" s="7" t="str">
        <f aca="false">IFERROR(INDEX('Source'!$C:$C,MATCH($A513,'Source'!$B:$B,0)),"")</f>
        <v>קינזיולוגי טייפ</v>
      </c>
      <c r="C513" s="8" t="n">
        <f aca="false">SUMIFS('Source'!$D:$D,'Source'!$A:$A,"155138 לקוח אינטרנט",'Source'!$B:$B,$A513)</f>
        <v>20</v>
      </c>
      <c r="D513" s="8" t="n">
        <f aca="false">SUMIFS('Source'!$F:$F,'Source'!$A:$A,"155138 לקוח אינטרנט",'Source'!$B:$B,$A513)</f>
        <v>18</v>
      </c>
      <c r="E513" s="8" t="n">
        <f aca="false">D513*$J$5</f>
        <v>22.7368421052632</v>
      </c>
      <c r="F513" s="8" t="n">
        <f aca="false">E513-C513</f>
        <v>2.73684210526316</v>
      </c>
      <c r="G513" s="9" t="n">
        <f aca="false">IF(AND(C513=0,E513=0),0,IF(C513=0,"New",(E513-C513)/C513))</f>
        <v>0.136842105263158</v>
      </c>
      <c r="H513" s="8" t="n">
        <f aca="false">SUMIFS('Source'!$E:$E,'Source'!$A:$A,"155138 לקוח אינטרנט",'Source'!$B:$B,$A513)</f>
        <v>1479.33</v>
      </c>
      <c r="I513" s="8" t="n">
        <f aca="false">SUMIFS('Source'!$G:$G,'Source'!$A:$A,"155138 לקוח אינטרנט",'Source'!$B:$B,$A513)</f>
        <v>1282.67</v>
      </c>
      <c r="J513" s="8" t="n">
        <f aca="false">I513*$J$5</f>
        <v>1620.21473684211</v>
      </c>
      <c r="K513" s="8" t="n">
        <f aca="false">J513-H513</f>
        <v>140.884736842105</v>
      </c>
      <c r="L513" s="9" t="n">
        <f aca="false">IF(AND(H513=0,J513=0),0,IF(H513=0,"New",(J513-H513)/H513))</f>
        <v>0.0952355031278386</v>
      </c>
      <c r="M513" s="7" t="str">
        <f aca="false">IF(AND(OR(C513&lt;&gt;0,H513&lt;&gt;0),D513=0,I513=0),"DROP",IF(AND(OR(D513&lt;&gt;0,I513&lt;&gt;0),C513=0,H513=0),"NEW",""))</f>
        <v/>
      </c>
    </row>
    <row r="514" customFormat="false" ht="15" hidden="false" customHeight="false" outlineLevel="0" collapsed="false">
      <c r="A514" s="7" t="s">
        <v>604</v>
      </c>
      <c r="B514" s="7" t="str">
        <f aca="false">IFERROR(INDEX('Source'!$C:$C,MATCH($A514,'Source'!$B:$B,0)),"")</f>
        <v>סד יד שמאל  בז' XXL</v>
      </c>
      <c r="C514" s="8" t="n">
        <f aca="false">SUMIFS('Source'!$D:$D,'Source'!$A:$A,"155138 לקוח אינטרנט",'Source'!$B:$B,$A514)</f>
        <v>0</v>
      </c>
      <c r="D514" s="8" t="n">
        <f aca="false">SUMIFS('Source'!$F:$F,'Source'!$A:$A,"155138 לקוח אינטרנט",'Source'!$B:$B,$A514)</f>
        <v>1</v>
      </c>
      <c r="E514" s="8" t="n">
        <f aca="false">D514*$J$5</f>
        <v>1.26315789473684</v>
      </c>
      <c r="F514" s="8" t="n">
        <f aca="false">E514-C514</f>
        <v>1.26315789473684</v>
      </c>
      <c r="G514" s="9" t="str">
        <f aca="false">IF(AND(C514=0,E514=0),0,IF(C514=0,"New",(E514-C514)/C514))</f>
        <v>New</v>
      </c>
      <c r="H514" s="8" t="n">
        <f aca="false">SUMIFS('Source'!$E:$E,'Source'!$A:$A,"155138 לקוח אינטרנט",'Source'!$B:$B,$A514)</f>
        <v>0</v>
      </c>
      <c r="I514" s="8" t="n">
        <f aca="false">SUMIFS('Source'!$G:$G,'Source'!$A:$A,"155138 לקוח אינטרנט",'Source'!$B:$B,$A514)</f>
        <v>196.52</v>
      </c>
      <c r="J514" s="8" t="n">
        <f aca="false">I514*$J$5</f>
        <v>248.235789473684</v>
      </c>
      <c r="K514" s="8" t="n">
        <f aca="false">J514-H514</f>
        <v>248.235789473684</v>
      </c>
      <c r="L514" s="9" t="str">
        <f aca="false">IF(AND(H514=0,J514=0),0,IF(H514=0,"New",(J514-H514)/H514))</f>
        <v>New</v>
      </c>
      <c r="M514" s="7" t="str">
        <f aca="false">IF(AND(OR(C514&lt;&gt;0,H514&lt;&gt;0),D514=0,I514=0),"DROP",IF(AND(OR(D514&lt;&gt;0,I514&lt;&gt;0),C514=0,H514=0),"NEW",""))</f>
        <v>NEW</v>
      </c>
    </row>
    <row r="515" customFormat="false" ht="15" hidden="false" customHeight="false" outlineLevel="0" collapsed="false">
      <c r="A515" s="7" t="s">
        <v>605</v>
      </c>
      <c r="B515" s="7" t="str">
        <f aca="false">IFERROR(INDEX('Source'!$C:$C,MATCH($A515,'Source'!$B:$B,0)),"")</f>
        <v>מגן קרסול חום</v>
      </c>
      <c r="C515" s="8" t="n">
        <f aca="false">SUMIFS('Source'!$D:$D,'Source'!$A:$A,"155138 לקוח אינטרנט",'Source'!$B:$B,$A515)</f>
        <v>13</v>
      </c>
      <c r="D515" s="8" t="n">
        <f aca="false">SUMIFS('Source'!$F:$F,'Source'!$A:$A,"155138 לקוח אינטרנט",'Source'!$B:$B,$A515)</f>
        <v>9</v>
      </c>
      <c r="E515" s="8" t="n">
        <f aca="false">D515*$J$5</f>
        <v>11.3684210526316</v>
      </c>
      <c r="F515" s="8" t="n">
        <f aca="false">E515-C515</f>
        <v>-1.63157894736842</v>
      </c>
      <c r="G515" s="9" t="n">
        <f aca="false">IF(AND(C515=0,E515=0),0,IF(C515=0,"New",(E515-C515)/C515))</f>
        <v>-0.125506072874494</v>
      </c>
      <c r="H515" s="8" t="n">
        <f aca="false">SUMIFS('Source'!$E:$E,'Source'!$A:$A,"155138 לקוח אינטרנט",'Source'!$B:$B,$A515)</f>
        <v>636.69</v>
      </c>
      <c r="I515" s="8" t="n">
        <f aca="false">SUMIFS('Source'!$G:$G,'Source'!$A:$A,"155138 לקוח אינטרנט",'Source'!$B:$B,$A515)</f>
        <v>441.22</v>
      </c>
      <c r="J515" s="8" t="n">
        <f aca="false">I515*$J$5</f>
        <v>557.33052631579</v>
      </c>
      <c r="K515" s="8" t="n">
        <f aca="false">J515-H515</f>
        <v>-79.3594736842106</v>
      </c>
      <c r="L515" s="9" t="n">
        <f aca="false">IF(AND(H515=0,J515=0),0,IF(H515=0,"New",(J515-H515)/H515))</f>
        <v>-0.12464381988756</v>
      </c>
      <c r="M515" s="7" t="str">
        <f aca="false">IF(AND(OR(C515&lt;&gt;0,H515&lt;&gt;0),D515=0,I515=0),"DROP",IF(AND(OR(D515&lt;&gt;0,I515&lt;&gt;0),C515=0,H515=0),"NEW",""))</f>
        <v/>
      </c>
    </row>
    <row r="516" customFormat="false" ht="15" hidden="false" customHeight="false" outlineLevel="0" collapsed="false">
      <c r="A516" s="7" t="s">
        <v>606</v>
      </c>
      <c r="B516" s="7" t="str">
        <f aca="false">IFERROR(INDEX('Source'!$C:$C,MATCH($A516,'Source'!$B:$B,0)),"")</f>
        <v>רפידה לילדים אנטי ריח</v>
      </c>
      <c r="C516" s="8" t="n">
        <f aca="false">SUMIFS('Source'!$D:$D,'Source'!$A:$A,"155138 לקוח אינטרנט",'Source'!$B:$B,$A516)</f>
        <v>11</v>
      </c>
      <c r="D516" s="8" t="n">
        <f aca="false">SUMIFS('Source'!$F:$F,'Source'!$A:$A,"155138 לקוח אינטרנט",'Source'!$B:$B,$A516)</f>
        <v>26</v>
      </c>
      <c r="E516" s="8" t="n">
        <f aca="false">D516*$J$5</f>
        <v>32.8421052631579</v>
      </c>
      <c r="F516" s="8" t="n">
        <f aca="false">E516-C516</f>
        <v>21.8421052631579</v>
      </c>
      <c r="G516" s="9" t="n">
        <f aca="false">IF(AND(C516=0,E516=0),0,IF(C516=0,"New",(E516-C516)/C516))</f>
        <v>1.98564593301435</v>
      </c>
      <c r="H516" s="8" t="n">
        <f aca="false">SUMIFS('Source'!$E:$E,'Source'!$A:$A,"155138 לקוח אינטרנט",'Source'!$B:$B,$A516)</f>
        <v>238.76</v>
      </c>
      <c r="I516" s="8" t="n">
        <f aca="false">SUMIFS('Source'!$G:$G,'Source'!$A:$A,"155138 לקוח אינטרנט",'Source'!$B:$B,$A516)</f>
        <v>433.97</v>
      </c>
      <c r="J516" s="8" t="n">
        <f aca="false">I516*$J$5</f>
        <v>548.172631578947</v>
      </c>
      <c r="K516" s="8" t="n">
        <f aca="false">J516-H516</f>
        <v>309.412631578947</v>
      </c>
      <c r="L516" s="9" t="n">
        <f aca="false">IF(AND(H516=0,J516=0),0,IF(H516=0,"New",(J516-H516)/H516))</f>
        <v>1.29591485834707</v>
      </c>
      <c r="M516" s="7" t="str">
        <f aca="false">IF(AND(OR(C516&lt;&gt;0,H516&lt;&gt;0),D516=0,I516=0),"DROP",IF(AND(OR(D516&lt;&gt;0,I516&lt;&gt;0),C516=0,H516=0),"NEW",""))</f>
        <v/>
      </c>
    </row>
    <row r="517" customFormat="false" ht="15" hidden="false" customHeight="false" outlineLevel="0" collapsed="false">
      <c r="A517" s="7" t="s">
        <v>607</v>
      </c>
      <c r="B517" s="7" t="str">
        <f aca="false">IFERROR(INDEX('Source'!$C:$C,MATCH($A517,'Source'!$B:$B,0)),"")</f>
        <v>מגן שוק רגיל</v>
      </c>
      <c r="C517" s="8" t="n">
        <f aca="false">SUMIFS('Source'!$D:$D,'Source'!$A:$A,"155138 לקוח אינטרנט",'Source'!$B:$B,$A517)</f>
        <v>0</v>
      </c>
      <c r="D517" s="8" t="n">
        <f aca="false">SUMIFS('Source'!$F:$F,'Source'!$A:$A,"155138 לקוח אינטרנט",'Source'!$B:$B,$A517)</f>
        <v>1</v>
      </c>
      <c r="E517" s="8" t="n">
        <f aca="false">D517*$J$5</f>
        <v>1.26315789473684</v>
      </c>
      <c r="F517" s="8" t="n">
        <f aca="false">E517-C517</f>
        <v>1.26315789473684</v>
      </c>
      <c r="G517" s="9" t="str">
        <f aca="false">IF(AND(C517=0,E517=0),0,IF(C517=0,"New",(E517-C517)/C517))</f>
        <v>New</v>
      </c>
      <c r="H517" s="8" t="n">
        <f aca="false">SUMIFS('Source'!$E:$E,'Source'!$A:$A,"155138 לקוח אינטרנט",'Source'!$B:$B,$A517)</f>
        <v>0</v>
      </c>
      <c r="I517" s="8" t="n">
        <f aca="false">SUMIFS('Source'!$G:$G,'Source'!$A:$A,"155138 לקוח אינטרנט",'Source'!$B:$B,$A517)</f>
        <v>194.83</v>
      </c>
      <c r="J517" s="8" t="n">
        <f aca="false">I517*$J$5</f>
        <v>246.101052631579</v>
      </c>
      <c r="K517" s="8" t="n">
        <f aca="false">J517-H517</f>
        <v>246.101052631579</v>
      </c>
      <c r="L517" s="9" t="str">
        <f aca="false">IF(AND(H517=0,J517=0),0,IF(H517=0,"New",(J517-H517)/H517))</f>
        <v>New</v>
      </c>
      <c r="M517" s="7" t="str">
        <f aca="false">IF(AND(OR(C517&lt;&gt;0,H517&lt;&gt;0),D517=0,I517=0),"DROP",IF(AND(OR(D517&lt;&gt;0,I517&lt;&gt;0),C517=0,H517=0),"NEW",""))</f>
        <v>NEW</v>
      </c>
    </row>
    <row r="518" customFormat="false" ht="15" hidden="false" customHeight="false" outlineLevel="0" collapsed="false">
      <c r="A518" s="7" t="s">
        <v>608</v>
      </c>
      <c r="B518" s="7" t="str">
        <f aca="false">IFERROR(INDEX('Source'!$C:$C,MATCH($A518,'Source'!$B:$B,0)),"")</f>
        <v>מ.שוק רגיל</v>
      </c>
      <c r="C518" s="8" t="n">
        <f aca="false">SUMIFS('Source'!$D:$D,'Source'!$A:$A,"155138 לקוח אינטרנט",'Source'!$B:$B,$A518)</f>
        <v>0</v>
      </c>
      <c r="D518" s="8" t="n">
        <f aca="false">SUMIFS('Source'!$F:$F,'Source'!$A:$A,"155138 לקוח אינטרנט",'Source'!$B:$B,$A518)</f>
        <v>1</v>
      </c>
      <c r="E518" s="8" t="n">
        <f aca="false">D518*$J$5</f>
        <v>1.26315789473684</v>
      </c>
      <c r="F518" s="8" t="n">
        <f aca="false">E518-C518</f>
        <v>1.26315789473684</v>
      </c>
      <c r="G518" s="9" t="str">
        <f aca="false">IF(AND(C518=0,E518=0),0,IF(C518=0,"New",(E518-C518)/C518))</f>
        <v>New</v>
      </c>
      <c r="H518" s="8" t="n">
        <f aca="false">SUMIFS('Source'!$E:$E,'Source'!$A:$A,"155138 לקוח אינטרנט",'Source'!$B:$B,$A518)</f>
        <v>0</v>
      </c>
      <c r="I518" s="8" t="n">
        <f aca="false">SUMIFS('Source'!$G:$G,'Source'!$A:$A,"155138 לקוח אינטרנט",'Source'!$B:$B,$A518)</f>
        <v>194.83</v>
      </c>
      <c r="J518" s="8" t="n">
        <f aca="false">I518*$J$5</f>
        <v>246.101052631579</v>
      </c>
      <c r="K518" s="8" t="n">
        <f aca="false">J518-H518</f>
        <v>246.101052631579</v>
      </c>
      <c r="L518" s="9" t="str">
        <f aca="false">IF(AND(H518=0,J518=0),0,IF(H518=0,"New",(J518-H518)/H518))</f>
        <v>New</v>
      </c>
      <c r="M518" s="7" t="str">
        <f aca="false">IF(AND(OR(C518&lt;&gt;0,H518&lt;&gt;0),D518=0,I518=0),"DROP",IF(AND(OR(D518&lt;&gt;0,I518&lt;&gt;0),C518=0,H518=0),"NEW",""))</f>
        <v>NEW</v>
      </c>
    </row>
    <row r="519" customFormat="false" ht="15" hidden="false" customHeight="false" outlineLevel="0" collapsed="false">
      <c r="A519" s="7" t="s">
        <v>609</v>
      </c>
      <c r="B519" s="7" t="str">
        <f aca="false">IFERROR(INDEX('Source'!$C:$C,MATCH($A519,'Source'!$B:$B,0)),"")</f>
        <v>כיסוי מכשיר עיסוי ויטלימד פלקסי שחור</v>
      </c>
      <c r="C519" s="8" t="n">
        <f aca="false">SUMIFS('Source'!$D:$D,'Source'!$A:$A,"155138 לקוח אינטרנט",'Source'!$B:$B,$A519)</f>
        <v>0</v>
      </c>
      <c r="D519" s="8" t="n">
        <f aca="false">SUMIFS('Source'!$F:$F,'Source'!$A:$A,"155138 לקוח אינטרנט",'Source'!$B:$B,$A519)</f>
        <v>18</v>
      </c>
      <c r="E519" s="8" t="n">
        <f aca="false">D519*$J$5</f>
        <v>22.7368421052632</v>
      </c>
      <c r="F519" s="8" t="n">
        <f aca="false">E519-C519</f>
        <v>22.7368421052632</v>
      </c>
      <c r="G519" s="9" t="str">
        <f aca="false">IF(AND(C519=0,E519=0),0,IF(C519=0,"New",(E519-C519)/C519))</f>
        <v>New</v>
      </c>
      <c r="H519" s="8" t="n">
        <f aca="false">SUMIFS('Source'!$E:$E,'Source'!$A:$A,"155138 לקוח אינטרנט",'Source'!$B:$B,$A519)</f>
        <v>0</v>
      </c>
      <c r="I519" s="8" t="n">
        <f aca="false">SUMIFS('Source'!$G:$G,'Source'!$A:$A,"155138 לקוח אינטרנט",'Source'!$B:$B,$A519)</f>
        <v>193.02</v>
      </c>
      <c r="J519" s="8" t="n">
        <f aca="false">I519*$J$5</f>
        <v>243.814736842105</v>
      </c>
      <c r="K519" s="8" t="n">
        <f aca="false">J519-H519</f>
        <v>243.814736842105</v>
      </c>
      <c r="L519" s="9" t="str">
        <f aca="false">IF(AND(H519=0,J519=0),0,IF(H519=0,"New",(J519-H519)/H519))</f>
        <v>New</v>
      </c>
      <c r="M519" s="7" t="str">
        <f aca="false">IF(AND(OR(C519&lt;&gt;0,H519&lt;&gt;0),D519=0,I519=0),"DROP",IF(AND(OR(D519&lt;&gt;0,I519&lt;&gt;0),C519=0,H519=0),"NEW",""))</f>
        <v>NEW</v>
      </c>
    </row>
    <row r="520" customFormat="false" ht="15" hidden="false" customHeight="false" outlineLevel="0" collapsed="false">
      <c r="A520" s="7" t="s">
        <v>610</v>
      </c>
      <c r="B520" s="7" t="str">
        <f aca="false">IFERROR(INDEX('Source'!$C:$C,MATCH($A520,'Source'!$B:$B,0)),"")</f>
        <v>מתלה</v>
      </c>
      <c r="C520" s="8" t="n">
        <f aca="false">SUMIFS('Source'!$D:$D,'Source'!$A:$A,"155138 לקוח אינטרנט",'Source'!$B:$B,$A520)</f>
        <v>2</v>
      </c>
      <c r="D520" s="8" t="n">
        <f aca="false">SUMIFS('Source'!$F:$F,'Source'!$A:$A,"155138 לקוח אינטרנט",'Source'!$B:$B,$A520)</f>
        <v>1</v>
      </c>
      <c r="E520" s="8" t="n">
        <f aca="false">D520*$J$5</f>
        <v>1.26315789473684</v>
      </c>
      <c r="F520" s="8" t="n">
        <f aca="false">E520-C520</f>
        <v>-0.736842105263158</v>
      </c>
      <c r="G520" s="9" t="n">
        <f aca="false">IF(AND(C520=0,E520=0),0,IF(C520=0,"New",(E520-C520)/C520))</f>
        <v>-0.368421052631579</v>
      </c>
      <c r="H520" s="8" t="n">
        <f aca="false">SUMIFS('Source'!$E:$E,'Source'!$A:$A,"155138 לקוח אינטרנט",'Source'!$B:$B,$A520)</f>
        <v>371.41</v>
      </c>
      <c r="I520" s="8" t="n">
        <f aca="false">SUMIFS('Source'!$G:$G,'Source'!$A:$A,"155138 לקוח אינטרנט",'Source'!$B:$B,$A520)</f>
        <v>180.68</v>
      </c>
      <c r="J520" s="8" t="n">
        <f aca="false">I520*$J$5</f>
        <v>228.227368421053</v>
      </c>
      <c r="K520" s="8" t="n">
        <f aca="false">J520-H520</f>
        <v>-143.182631578947</v>
      </c>
      <c r="L520" s="9" t="n">
        <f aca="false">IF(AND(H520=0,J520=0),0,IF(H520=0,"New",(J520-H520)/H520))</f>
        <v>-0.385510975953656</v>
      </c>
      <c r="M520" s="7" t="str">
        <f aca="false">IF(AND(OR(C520&lt;&gt;0,H520&lt;&gt;0),D520=0,I520=0),"DROP",IF(AND(OR(D520&lt;&gt;0,I520&lt;&gt;0),C520=0,H520=0),"NEW",""))</f>
        <v/>
      </c>
    </row>
    <row r="521" customFormat="false" ht="15" hidden="false" customHeight="false" outlineLevel="0" collapsed="false">
      <c r="A521" s="7" t="s">
        <v>611</v>
      </c>
      <c r="B521" s="7" t="str">
        <f aca="false">IFERROR(INDEX('Source'!$C:$C,MATCH($A521,'Source'!$B:$B,0)),"")</f>
        <v>חגורת אגן  צר מנאופרן</v>
      </c>
      <c r="C521" s="8" t="n">
        <f aca="false">SUMIFS('Source'!$D:$D,'Source'!$A:$A,"155138 לקוח אינטרנט",'Source'!$B:$B,$A521)</f>
        <v>6</v>
      </c>
      <c r="D521" s="8" t="n">
        <f aca="false">SUMIFS('Source'!$F:$F,'Source'!$A:$A,"155138 לקוח אינטרנט",'Source'!$B:$B,$A521)</f>
        <v>5</v>
      </c>
      <c r="E521" s="8" t="n">
        <f aca="false">D521*$J$5</f>
        <v>6.31578947368421</v>
      </c>
      <c r="F521" s="8" t="n">
        <f aca="false">E521-C521</f>
        <v>0.315789473684211</v>
      </c>
      <c r="G521" s="9" t="n">
        <f aca="false">IF(AND(C521=0,E521=0),0,IF(C521=0,"New",(E521-C521)/C521))</f>
        <v>0.0526315789473684</v>
      </c>
      <c r="H521" s="8" t="n">
        <f aca="false">SUMIFS('Source'!$E:$E,'Source'!$A:$A,"155138 לקוח אינטרנט",'Source'!$B:$B,$A521)</f>
        <v>1114.23</v>
      </c>
      <c r="I521" s="8" t="n">
        <f aca="false">SUMIFS('Source'!$G:$G,'Source'!$A:$A,"155138 לקוח אינטרנט",'Source'!$B:$B,$A521)</f>
        <v>923.51</v>
      </c>
      <c r="J521" s="8" t="n">
        <f aca="false">I521*$J$5</f>
        <v>1166.53894736842</v>
      </c>
      <c r="K521" s="8" t="n">
        <f aca="false">J521-H521</f>
        <v>52.3089473684211</v>
      </c>
      <c r="L521" s="9" t="n">
        <f aca="false">IF(AND(H521=0,J521=0),0,IF(H521=0,"New",(J521-H521)/H521))</f>
        <v>0.046946274439228</v>
      </c>
      <c r="M521" s="7" t="str">
        <f aca="false">IF(AND(OR(C521&lt;&gt;0,H521&lt;&gt;0),D521=0,I521=0),"DROP",IF(AND(OR(D521&lt;&gt;0,I521&lt;&gt;0),C521=0,H521=0),"NEW",""))</f>
        <v/>
      </c>
    </row>
    <row r="522" customFormat="false" ht="15" hidden="false" customHeight="false" outlineLevel="0" collapsed="false">
      <c r="A522" s="7" t="s">
        <v>612</v>
      </c>
      <c r="B522" s="7" t="str">
        <f aca="false">IFERROR(INDEX('Source'!$C:$C,MATCH($A522,'Source'!$B:$B,0)),"")</f>
        <v>מגן ברך ארוך עם כרית סיליקון</v>
      </c>
      <c r="C522" s="8" t="n">
        <f aca="false">SUMIFS('Source'!$D:$D,'Source'!$A:$A,"155138 לקוח אינטרנט",'Source'!$B:$B,$A522)</f>
        <v>0</v>
      </c>
      <c r="D522" s="8" t="n">
        <f aca="false">SUMIFS('Source'!$F:$F,'Source'!$A:$A,"155138 לקוח אינטרנט",'Source'!$B:$B,$A522)</f>
        <v>1</v>
      </c>
      <c r="E522" s="8" t="n">
        <f aca="false">D522*$J$5</f>
        <v>1.26315789473684</v>
      </c>
      <c r="F522" s="8" t="n">
        <f aca="false">E522-C522</f>
        <v>1.26315789473684</v>
      </c>
      <c r="G522" s="9" t="str">
        <f aca="false">IF(AND(C522=0,E522=0),0,IF(C522=0,"New",(E522-C522)/C522))</f>
        <v>New</v>
      </c>
      <c r="H522" s="8" t="n">
        <f aca="false">SUMIFS('Source'!$E:$E,'Source'!$A:$A,"155138 לקוח אינטרנט",'Source'!$B:$B,$A522)</f>
        <v>0</v>
      </c>
      <c r="I522" s="8" t="n">
        <f aca="false">SUMIFS('Source'!$G:$G,'Source'!$A:$A,"155138 לקוח אינטרנט",'Source'!$B:$B,$A522)</f>
        <v>190.6</v>
      </c>
      <c r="J522" s="8" t="n">
        <f aca="false">I522*$J$5</f>
        <v>240.757894736842</v>
      </c>
      <c r="K522" s="8" t="n">
        <f aca="false">J522-H522</f>
        <v>240.757894736842</v>
      </c>
      <c r="L522" s="9" t="str">
        <f aca="false">IF(AND(H522=0,J522=0),0,IF(H522=0,"New",(J522-H522)/H522))</f>
        <v>New</v>
      </c>
      <c r="M522" s="7" t="str">
        <f aca="false">IF(AND(OR(C522&lt;&gt;0,H522&lt;&gt;0),D522=0,I522=0),"DROP",IF(AND(OR(D522&lt;&gt;0,I522&lt;&gt;0),C522=0,H522=0),"NEW",""))</f>
        <v>NEW</v>
      </c>
    </row>
    <row r="523" customFormat="false" ht="15" hidden="false" customHeight="false" outlineLevel="0" collapsed="false">
      <c r="A523" s="7" t="s">
        <v>613</v>
      </c>
      <c r="B523" s="7" t="str">
        <f aca="false">IFERROR(INDEX('Source'!$C:$C,MATCH($A523,'Source'!$B:$B,0)),"")</f>
        <v>מגן קרסול חום</v>
      </c>
      <c r="C523" s="8" t="n">
        <f aca="false">SUMIFS('Source'!$D:$D,'Source'!$A:$A,"155138 לקוח אינטרנט",'Source'!$B:$B,$A523)</f>
        <v>8</v>
      </c>
      <c r="D523" s="8" t="n">
        <f aca="false">SUMIFS('Source'!$F:$F,'Source'!$A:$A,"155138 לקוח אינטרנט",'Source'!$B:$B,$A523)</f>
        <v>4</v>
      </c>
      <c r="E523" s="8" t="n">
        <f aca="false">D523*$J$5</f>
        <v>5.05263157894737</v>
      </c>
      <c r="F523" s="8" t="n">
        <f aca="false">E523-C523</f>
        <v>-2.94736842105263</v>
      </c>
      <c r="G523" s="9" t="n">
        <f aca="false">IF(AND(C523=0,E523=0),0,IF(C523=0,"New",(E523-C523)/C523))</f>
        <v>-0.368421052631579</v>
      </c>
      <c r="H523" s="8" t="n">
        <f aca="false">SUMIFS('Source'!$E:$E,'Source'!$A:$A,"155138 לקוח אינטרנט",'Source'!$B:$B,$A523)</f>
        <v>413.49</v>
      </c>
      <c r="I523" s="8" t="n">
        <f aca="false">SUMIFS('Source'!$G:$G,'Source'!$A:$A,"155138 לקוח אינטרנט",'Source'!$B:$B,$A523)</f>
        <v>223.4</v>
      </c>
      <c r="J523" s="8" t="n">
        <f aca="false">I523*$J$5</f>
        <v>282.189473684211</v>
      </c>
      <c r="K523" s="8" t="n">
        <f aca="false">J523-H523</f>
        <v>-131.30052631579</v>
      </c>
      <c r="L523" s="9" t="n">
        <f aca="false">IF(AND(H523=0,J523=0),0,IF(H523=0,"New",(J523-H523)/H523))</f>
        <v>-0.317542204928268</v>
      </c>
      <c r="M523" s="7" t="str">
        <f aca="false">IF(AND(OR(C523&lt;&gt;0,H523&lt;&gt;0),D523=0,I523=0),"DROP",IF(AND(OR(D523&lt;&gt;0,I523&lt;&gt;0),C523=0,H523=0),"NEW",""))</f>
        <v/>
      </c>
    </row>
    <row r="524" customFormat="false" ht="15" hidden="false" customHeight="false" outlineLevel="0" collapsed="false">
      <c r="A524" s="7" t="s">
        <v>614</v>
      </c>
      <c r="B524" s="7" t="str">
        <f aca="false">IFERROR(INDEX('Source'!$C:$C,MATCH($A524,'Source'!$B:$B,0)),"")</f>
        <v>סד לאגודל</v>
      </c>
      <c r="C524" s="8" t="n">
        <f aca="false">SUMIFS('Source'!$D:$D,'Source'!$A:$A,"155138 לקוח אינטרנט",'Source'!$B:$B,$A524)</f>
        <v>7</v>
      </c>
      <c r="D524" s="8" t="n">
        <f aca="false">SUMIFS('Source'!$F:$F,'Source'!$A:$A,"155138 לקוח אינטרנט",'Source'!$B:$B,$A524)</f>
        <v>6</v>
      </c>
      <c r="E524" s="8" t="n">
        <f aca="false">D524*$J$5</f>
        <v>7.57894736842105</v>
      </c>
      <c r="F524" s="8" t="n">
        <f aca="false">E524-C524</f>
        <v>0.578947368421052</v>
      </c>
      <c r="G524" s="9" t="n">
        <f aca="false">IF(AND(C524=0,E524=0),0,IF(C524=0,"New",(E524-C524)/C524))</f>
        <v>0.0827067669172932</v>
      </c>
      <c r="H524" s="8" t="n">
        <f aca="false">SUMIFS('Source'!$E:$E,'Source'!$A:$A,"155138 לקוח אינטרנט",'Source'!$B:$B,$A524)</f>
        <v>1289.26</v>
      </c>
      <c r="I524" s="8" t="n">
        <f aca="false">SUMIFS('Source'!$G:$G,'Source'!$A:$A,"155138 לקוח אינטרנט",'Source'!$B:$B,$A524)</f>
        <v>1099.51</v>
      </c>
      <c r="J524" s="8" t="n">
        <f aca="false">I524*$J$5</f>
        <v>1388.85473684211</v>
      </c>
      <c r="K524" s="8" t="n">
        <f aca="false">J524-H524</f>
        <v>99.5947368421053</v>
      </c>
      <c r="L524" s="9" t="n">
        <f aca="false">IF(AND(H524=0,J524=0),0,IF(H524=0,"New",(J524-H524)/H524))</f>
        <v>0.0772495360455651</v>
      </c>
      <c r="M524" s="7" t="str">
        <f aca="false">IF(AND(OR(C524&lt;&gt;0,H524&lt;&gt;0),D524=0,I524=0),"DROP",IF(AND(OR(D524&lt;&gt;0,I524&lt;&gt;0),C524=0,H524=0),"NEW",""))</f>
        <v/>
      </c>
    </row>
    <row r="525" customFormat="false" ht="15" hidden="false" customHeight="false" outlineLevel="0" collapsed="false">
      <c r="A525" s="7" t="s">
        <v>615</v>
      </c>
      <c r="B525" s="7" t="str">
        <f aca="false">IFERROR(INDEX('Source'!$C:$C,MATCH($A525,'Source'!$B:$B,0)),"")</f>
        <v>מגן קרסול מתכוון</v>
      </c>
      <c r="C525" s="8" t="n">
        <f aca="false">SUMIFS('Source'!$D:$D,'Source'!$A:$A,"155138 לקוח אינטרנט",'Source'!$B:$B,$A525)</f>
        <v>4</v>
      </c>
      <c r="D525" s="8" t="n">
        <f aca="false">SUMIFS('Source'!$F:$F,'Source'!$A:$A,"155138 לקוח אינטרנט",'Source'!$B:$B,$A525)</f>
        <v>2</v>
      </c>
      <c r="E525" s="8" t="n">
        <f aca="false">D525*$J$5</f>
        <v>2.52631578947368</v>
      </c>
      <c r="F525" s="8" t="n">
        <f aca="false">E525-C525</f>
        <v>-1.47368421052632</v>
      </c>
      <c r="G525" s="9" t="n">
        <f aca="false">IF(AND(C525=0,E525=0),0,IF(C525=0,"New",(E525-C525)/C525))</f>
        <v>-0.368421052631579</v>
      </c>
      <c r="H525" s="8" t="n">
        <f aca="false">SUMIFS('Source'!$E:$E,'Source'!$A:$A,"155138 לקוח אינטרנט",'Source'!$B:$B,$A525)</f>
        <v>426.88</v>
      </c>
      <c r="I525" s="8" t="n">
        <f aca="false">SUMIFS('Source'!$G:$G,'Source'!$A:$A,"155138 לקוח אינטרנט",'Source'!$B:$B,$A525)</f>
        <v>240.52</v>
      </c>
      <c r="J525" s="8" t="n">
        <f aca="false">I525*$J$5</f>
        <v>303.814736842105</v>
      </c>
      <c r="K525" s="8" t="n">
        <f aca="false">J525-H525</f>
        <v>-123.065263157895</v>
      </c>
      <c r="L525" s="9" t="n">
        <f aca="false">IF(AND(H525=0,J525=0),0,IF(H525=0,"New",(J525-H525)/H525))</f>
        <v>-0.288290065493569</v>
      </c>
      <c r="M525" s="7" t="str">
        <f aca="false">IF(AND(OR(C525&lt;&gt;0,H525&lt;&gt;0),D525=0,I525=0),"DROP",IF(AND(OR(D525&lt;&gt;0,I525&lt;&gt;0),C525=0,H525=0),"NEW",""))</f>
        <v/>
      </c>
    </row>
    <row r="526" customFormat="false" ht="15" hidden="false" customHeight="false" outlineLevel="0" collapsed="false">
      <c r="A526" s="7" t="s">
        <v>616</v>
      </c>
      <c r="B526" s="7" t="str">
        <f aca="false">IFERROR(INDEX('Source'!$C:$C,MATCH($A526,'Source'!$B:$B,0)),"")</f>
        <v>מגן קרסול סגור</v>
      </c>
      <c r="C526" s="8" t="n">
        <f aca="false">SUMIFS('Source'!$D:$D,'Source'!$A:$A,"155138 לקוח אינטרנט",'Source'!$B:$B,$A526)</f>
        <v>6</v>
      </c>
      <c r="D526" s="8" t="n">
        <f aca="false">SUMIFS('Source'!$F:$F,'Source'!$A:$A,"155138 לקוח אינטרנט",'Source'!$B:$B,$A526)</f>
        <v>8</v>
      </c>
      <c r="E526" s="8" t="n">
        <f aca="false">D526*$J$5</f>
        <v>10.1052631578947</v>
      </c>
      <c r="F526" s="8" t="n">
        <f aca="false">E526-C526</f>
        <v>4.10526315789474</v>
      </c>
      <c r="G526" s="9" t="n">
        <f aca="false">IF(AND(C526=0,E526=0),0,IF(C526=0,"New",(E526-C526)/C526))</f>
        <v>0.684210526315789</v>
      </c>
      <c r="H526" s="8" t="n">
        <f aca="false">SUMIFS('Source'!$E:$E,'Source'!$A:$A,"155138 לקוח אינטרנט",'Source'!$B:$B,$A526)</f>
        <v>469.86</v>
      </c>
      <c r="I526" s="8" t="n">
        <f aca="false">SUMIFS('Source'!$G:$G,'Source'!$A:$A,"155138 לקוח אינטרנט",'Source'!$B:$B,$A526)</f>
        <v>656.11</v>
      </c>
      <c r="J526" s="8" t="n">
        <f aca="false">I526*$J$5</f>
        <v>828.770526315789</v>
      </c>
      <c r="K526" s="8" t="n">
        <f aca="false">J526-H526</f>
        <v>358.910526315789</v>
      </c>
      <c r="L526" s="9" t="n">
        <f aca="false">IF(AND(H526=0,J526=0),0,IF(H526=0,"New",(J526-H526)/H526))</f>
        <v>0.763866952530093</v>
      </c>
      <c r="M526" s="7" t="str">
        <f aca="false">IF(AND(OR(C526&lt;&gt;0,H526&lt;&gt;0),D526=0,I526=0),"DROP",IF(AND(OR(D526&lt;&gt;0,I526&lt;&gt;0),C526=0,H526=0),"NEW",""))</f>
        <v/>
      </c>
    </row>
    <row r="527" customFormat="false" ht="15" hidden="false" customHeight="false" outlineLevel="0" collapsed="false">
      <c r="A527" s="7" t="s">
        <v>617</v>
      </c>
      <c r="B527" s="7" t="str">
        <f aca="false">IFERROR(INDEX('Source'!$C:$C,MATCH($A527,'Source'!$B:$B,0)),"")</f>
        <v>'תחבושת אלסטית נצמדת צבע בז</v>
      </c>
      <c r="C527" s="8" t="n">
        <f aca="false">SUMIFS('Source'!$D:$D,'Source'!$A:$A,"155138 לקוח אינטרנט",'Source'!$B:$B,$A527)</f>
        <v>59</v>
      </c>
      <c r="D527" s="8" t="n">
        <f aca="false">SUMIFS('Source'!$F:$F,'Source'!$A:$A,"155138 לקוח אינטרנט",'Source'!$B:$B,$A527)</f>
        <v>49</v>
      </c>
      <c r="E527" s="8" t="n">
        <f aca="false">D527*$J$5</f>
        <v>61.8947368421053</v>
      </c>
      <c r="F527" s="8" t="n">
        <f aca="false">E527-C527</f>
        <v>2.89473684210526</v>
      </c>
      <c r="G527" s="9" t="n">
        <f aca="false">IF(AND(C527=0,E527=0),0,IF(C527=0,"New",(E527-C527)/C527))</f>
        <v>0.0490633363068688</v>
      </c>
      <c r="H527" s="8" t="n">
        <f aca="false">SUMIFS('Source'!$E:$E,'Source'!$A:$A,"155138 לקוח אינטרנט",'Source'!$B:$B,$A527)</f>
        <v>1141.76</v>
      </c>
      <c r="I527" s="8" t="n">
        <f aca="false">SUMIFS('Source'!$G:$G,'Source'!$A:$A,"155138 לקוח אינטרנט",'Source'!$B:$B,$A527)</f>
        <v>955.59</v>
      </c>
      <c r="J527" s="8" t="n">
        <f aca="false">I527*$J$5</f>
        <v>1207.06105263158</v>
      </c>
      <c r="K527" s="8" t="n">
        <f aca="false">J527-H527</f>
        <v>65.3010526315788</v>
      </c>
      <c r="L527" s="9" t="n">
        <f aca="false">IF(AND(H527=0,J527=0),0,IF(H527=0,"New",(J527-H527)/H527))</f>
        <v>0.0571933266462119</v>
      </c>
      <c r="M527" s="7" t="str">
        <f aca="false">IF(AND(OR(C527&lt;&gt;0,H527&lt;&gt;0),D527=0,I527=0),"DROP",IF(AND(OR(D527&lt;&gt;0,I527&lt;&gt;0),C527=0,H527=0),"NEW",""))</f>
        <v/>
      </c>
    </row>
    <row r="528" customFormat="false" ht="15" hidden="false" customHeight="false" outlineLevel="0" collapsed="false">
      <c r="A528" s="7" t="s">
        <v>618</v>
      </c>
      <c r="B528" s="7" t="str">
        <f aca="false">IFERROR(INDEX('Source'!$C:$C,MATCH($A528,'Source'!$B:$B,0)),"")</f>
        <v>מגן קרסול חום</v>
      </c>
      <c r="C528" s="8" t="n">
        <f aca="false">SUMIFS('Source'!$D:$D,'Source'!$A:$A,"155138 לקוח אינטרנט",'Source'!$B:$B,$A528)</f>
        <v>5</v>
      </c>
      <c r="D528" s="8" t="n">
        <f aca="false">SUMIFS('Source'!$F:$F,'Source'!$A:$A,"155138 לקוח אינטרנט",'Source'!$B:$B,$A528)</f>
        <v>1</v>
      </c>
      <c r="E528" s="8" t="n">
        <f aca="false">D528*$J$5</f>
        <v>1.26315789473684</v>
      </c>
      <c r="F528" s="8" t="n">
        <f aca="false">E528-C528</f>
        <v>-3.73684210526316</v>
      </c>
      <c r="G528" s="9" t="n">
        <f aca="false">IF(AND(C528=0,E528=0),0,IF(C528=0,"New",(E528-C528)/C528))</f>
        <v>-0.747368421052632</v>
      </c>
      <c r="H528" s="8" t="n">
        <f aca="false">SUMIFS('Source'!$E:$E,'Source'!$A:$A,"155138 לקוח אינטרנט",'Source'!$B:$B,$A528)</f>
        <v>240.15</v>
      </c>
      <c r="I528" s="8" t="n">
        <f aca="false">SUMIFS('Source'!$G:$G,'Source'!$A:$A,"155138 לקוח אינטרנט",'Source'!$B:$B,$A528)</f>
        <v>55.84</v>
      </c>
      <c r="J528" s="8" t="n">
        <f aca="false">I528*$J$5</f>
        <v>70.5347368421053</v>
      </c>
      <c r="K528" s="8" t="n">
        <f aca="false">J528-H528</f>
        <v>-169.615263157895</v>
      </c>
      <c r="L528" s="9" t="n">
        <f aca="false">IF(AND(H528=0,J528=0),0,IF(H528=0,"New",(J528-H528)/H528))</f>
        <v>-0.706288832637496</v>
      </c>
      <c r="M528" s="7" t="str">
        <f aca="false">IF(AND(OR(C528&lt;&gt;0,H528&lt;&gt;0),D528=0,I528=0),"DROP",IF(AND(OR(D528&lt;&gt;0,I528&lt;&gt;0),C528=0,H528=0),"NEW",""))</f>
        <v/>
      </c>
    </row>
    <row r="529" customFormat="false" ht="15" hidden="false" customHeight="false" outlineLevel="0" collapsed="false">
      <c r="A529" s="7" t="s">
        <v>619</v>
      </c>
      <c r="B529" s="7" t="str">
        <f aca="false">IFERROR(INDEX('Source'!$C:$C,MATCH($A529,'Source'!$B:$B,0)),"")</f>
        <v>כיסוי מכשיר עיסוי ויטלימד פלקסי נייבי</v>
      </c>
      <c r="C529" s="8" t="n">
        <f aca="false">SUMIFS('Source'!$D:$D,'Source'!$A:$A,"155138 לקוח אינטרנט",'Source'!$B:$B,$A529)</f>
        <v>0</v>
      </c>
      <c r="D529" s="8" t="n">
        <f aca="false">SUMIFS('Source'!$F:$F,'Source'!$A:$A,"155138 לקוח אינטרנט",'Source'!$B:$B,$A529)</f>
        <v>3</v>
      </c>
      <c r="E529" s="8" t="n">
        <f aca="false">D529*$J$5</f>
        <v>3.78947368421053</v>
      </c>
      <c r="F529" s="8" t="n">
        <f aca="false">E529-C529</f>
        <v>3.78947368421053</v>
      </c>
      <c r="G529" s="9" t="str">
        <f aca="false">IF(AND(C529=0,E529=0),0,IF(C529=0,"New",(E529-C529)/C529))</f>
        <v>New</v>
      </c>
      <c r="H529" s="8" t="n">
        <f aca="false">SUMIFS('Source'!$E:$E,'Source'!$A:$A,"155138 לקוח אינטרנט",'Source'!$B:$B,$A529)</f>
        <v>0</v>
      </c>
      <c r="I529" s="8" t="n">
        <f aca="false">SUMIFS('Source'!$G:$G,'Source'!$A:$A,"155138 לקוח אינטרנט",'Source'!$B:$B,$A529)</f>
        <v>182.84</v>
      </c>
      <c r="J529" s="8" t="n">
        <f aca="false">I529*$J$5</f>
        <v>230.955789473684</v>
      </c>
      <c r="K529" s="8" t="n">
        <f aca="false">J529-H529</f>
        <v>230.955789473684</v>
      </c>
      <c r="L529" s="9" t="str">
        <f aca="false">IF(AND(H529=0,J529=0),0,IF(H529=0,"New",(J529-H529)/H529))</f>
        <v>New</v>
      </c>
      <c r="M529" s="7" t="str">
        <f aca="false">IF(AND(OR(C529&lt;&gt;0,H529&lt;&gt;0),D529=0,I529=0),"DROP",IF(AND(OR(D529&lt;&gt;0,I529&lt;&gt;0),C529=0,H529=0),"NEW",""))</f>
        <v>NEW</v>
      </c>
    </row>
    <row r="530" customFormat="false" ht="15" hidden="false" customHeight="false" outlineLevel="0" collapsed="false">
      <c r="A530" s="7" t="s">
        <v>620</v>
      </c>
      <c r="B530" s="7" t="str">
        <f aca="false">IFERROR(INDEX('Source'!$C:$C,MATCH($A530,'Source'!$B:$B,0)),"")</f>
        <v>מידרסים מסיליקון</v>
      </c>
      <c r="C530" s="8" t="n">
        <f aca="false">SUMIFS('Source'!$D:$D,'Source'!$A:$A,"155138 לקוח אינטרנט",'Source'!$B:$B,$A530)</f>
        <v>1</v>
      </c>
      <c r="D530" s="8" t="n">
        <f aca="false">SUMIFS('Source'!$F:$F,'Source'!$A:$A,"155138 לקוח אינטרנט",'Source'!$B:$B,$A530)</f>
        <v>0</v>
      </c>
      <c r="E530" s="8" t="n">
        <f aca="false">D530*$J$5</f>
        <v>0</v>
      </c>
      <c r="F530" s="8" t="n">
        <f aca="false">E530-C530</f>
        <v>-1</v>
      </c>
      <c r="G530" s="9" t="n">
        <f aca="false">IF(AND(C530=0,E530=0),0,IF(C530=0,"New",(E530-C530)/C530))</f>
        <v>-1</v>
      </c>
      <c r="H530" s="8" t="n">
        <f aca="false">SUMIFS('Source'!$E:$E,'Source'!$A:$A,"155138 לקוח אינטרנט",'Source'!$B:$B,$A530)</f>
        <v>182.17</v>
      </c>
      <c r="I530" s="8" t="n">
        <f aca="false">SUMIFS('Source'!$G:$G,'Source'!$A:$A,"155138 לקוח אינטרנט",'Source'!$B:$B,$A530)</f>
        <v>0</v>
      </c>
      <c r="J530" s="8" t="n">
        <f aca="false">I530*$J$5</f>
        <v>0</v>
      </c>
      <c r="K530" s="8" t="n">
        <f aca="false">J530-H530</f>
        <v>-182.17</v>
      </c>
      <c r="L530" s="9" t="n">
        <f aca="false">IF(AND(H530=0,J530=0),0,IF(H530=0,"New",(J530-H530)/H530))</f>
        <v>-1</v>
      </c>
      <c r="M530" s="7" t="str">
        <f aca="false">IF(AND(OR(C530&lt;&gt;0,H530&lt;&gt;0),D530=0,I530=0),"DROP",IF(AND(OR(D530&lt;&gt;0,I530&lt;&gt;0),C530=0,H530=0),"NEW",""))</f>
        <v>DROP</v>
      </c>
    </row>
    <row r="531" customFormat="false" ht="15" hidden="false" customHeight="false" outlineLevel="0" collapsed="false">
      <c r="A531" s="7" t="s">
        <v>621</v>
      </c>
      <c r="B531" s="7" t="str">
        <f aca="false">IFERROR(INDEX('Source'!$C:$C,MATCH($A531,'Source'!$B:$B,0)),"")</f>
        <v>מגן ברך +חור לפיקה</v>
      </c>
      <c r="C531" s="8" t="n">
        <f aca="false">SUMIFS('Source'!$D:$D,'Source'!$A:$A,"155138 לקוח אינטרנט",'Source'!$B:$B,$A531)</f>
        <v>3</v>
      </c>
      <c r="D531" s="8" t="n">
        <f aca="false">SUMIFS('Source'!$F:$F,'Source'!$A:$A,"155138 לקוח אינטרנט",'Source'!$B:$B,$A531)</f>
        <v>2</v>
      </c>
      <c r="E531" s="8" t="n">
        <f aca="false">D531*$J$5</f>
        <v>2.52631578947368</v>
      </c>
      <c r="F531" s="8" t="n">
        <f aca="false">E531-C531</f>
        <v>-0.473684210526316</v>
      </c>
      <c r="G531" s="9" t="n">
        <f aca="false">IF(AND(C531=0,E531=0),0,IF(C531=0,"New",(E531-C531)/C531))</f>
        <v>-0.157894736842105</v>
      </c>
      <c r="H531" s="8" t="n">
        <f aca="false">SUMIFS('Source'!$E:$E,'Source'!$A:$A,"155138 לקוח אינטרנט",'Source'!$B:$B,$A531)</f>
        <v>610.81</v>
      </c>
      <c r="I531" s="8" t="n">
        <f aca="false">SUMIFS('Source'!$G:$G,'Source'!$A:$A,"155138 לקוח אינטרנט",'Source'!$B:$B,$A531)</f>
        <v>428.64</v>
      </c>
      <c r="J531" s="8" t="n">
        <f aca="false">I531*$J$5</f>
        <v>541.44</v>
      </c>
      <c r="K531" s="8" t="n">
        <f aca="false">J531-H531</f>
        <v>-69.37</v>
      </c>
      <c r="L531" s="9" t="n">
        <f aca="false">IF(AND(H531=0,J531=0),0,IF(H531=0,"New",(J531-H531)/H531))</f>
        <v>-0.113570504739608</v>
      </c>
      <c r="M531" s="7" t="str">
        <f aca="false">IF(AND(OR(C531&lt;&gt;0,H531&lt;&gt;0),D531=0,I531=0),"DROP",IF(AND(OR(D531&lt;&gt;0,I531&lt;&gt;0),C531=0,H531=0),"NEW",""))</f>
        <v/>
      </c>
    </row>
    <row r="532" customFormat="false" ht="15" hidden="false" customHeight="false" outlineLevel="0" collapsed="false">
      <c r="A532" s="7" t="s">
        <v>622</v>
      </c>
      <c r="B532" s="7" t="str">
        <f aca="false">IFERROR(INDEX('Source'!$C:$C,MATCH($A532,'Source'!$B:$B,0)),"")</f>
        <v>הנחות לקוחות</v>
      </c>
      <c r="C532" s="8" t="n">
        <f aca="false">SUMIFS('Source'!$D:$D,'Source'!$A:$A,"155138 לקוח אינטרנט",'Source'!$B:$B,$A532)</f>
        <v>2</v>
      </c>
      <c r="D532" s="8" t="n">
        <f aca="false">SUMIFS('Source'!$F:$F,'Source'!$A:$A,"155138 לקוח אינטרנט",'Source'!$B:$B,$A532)</f>
        <v>0</v>
      </c>
      <c r="E532" s="8" t="n">
        <f aca="false">D532*$J$5</f>
        <v>0</v>
      </c>
      <c r="F532" s="8" t="n">
        <f aca="false">E532-C532</f>
        <v>-2</v>
      </c>
      <c r="G532" s="9" t="n">
        <f aca="false">IF(AND(C532=0,E532=0),0,IF(C532=0,"New",(E532-C532)/C532))</f>
        <v>-1</v>
      </c>
      <c r="H532" s="8" t="n">
        <f aca="false">SUMIFS('Source'!$E:$E,'Source'!$A:$A,"155138 לקוח אינטרנט",'Source'!$B:$B,$A532)</f>
        <v>181.43</v>
      </c>
      <c r="I532" s="8" t="n">
        <f aca="false">SUMIFS('Source'!$G:$G,'Source'!$A:$A,"155138 לקוח אינטרנט",'Source'!$B:$B,$A532)</f>
        <v>0</v>
      </c>
      <c r="J532" s="8" t="n">
        <f aca="false">I532*$J$5</f>
        <v>0</v>
      </c>
      <c r="K532" s="8" t="n">
        <f aca="false">J532-H532</f>
        <v>-181.43</v>
      </c>
      <c r="L532" s="9" t="n">
        <f aca="false">IF(AND(H532=0,J532=0),0,IF(H532=0,"New",(J532-H532)/H532))</f>
        <v>-1</v>
      </c>
      <c r="M532" s="7" t="str">
        <f aca="false">IF(AND(OR(C532&lt;&gt;0,H532&lt;&gt;0),D532=0,I532=0),"DROP",IF(AND(OR(D532&lt;&gt;0,I532&lt;&gt;0),C532=0,H532=0),"NEW",""))</f>
        <v>DROP</v>
      </c>
    </row>
    <row r="533" customFormat="false" ht="15" hidden="false" customHeight="false" outlineLevel="0" collapsed="false">
      <c r="A533" s="7" t="s">
        <v>623</v>
      </c>
      <c r="B533" s="7" t="str">
        <f aca="false">IFERROR(INDEX('Source'!$C:$C,MATCH($A533,'Source'!$B:$B,0)),"")</f>
        <v>צוארון ספוגי</v>
      </c>
      <c r="C533" s="8" t="n">
        <f aca="false">SUMIFS('Source'!$D:$D,'Source'!$A:$A,"155138 לקוח אינטרנט",'Source'!$B:$B,$A533)</f>
        <v>3</v>
      </c>
      <c r="D533" s="8" t="n">
        <f aca="false">SUMIFS('Source'!$F:$F,'Source'!$A:$A,"155138 לקוח אינטרנט",'Source'!$B:$B,$A533)</f>
        <v>1</v>
      </c>
      <c r="E533" s="8" t="n">
        <f aca="false">D533*$J$5</f>
        <v>1.26315789473684</v>
      </c>
      <c r="F533" s="8" t="n">
        <f aca="false">E533-C533</f>
        <v>-1.73684210526316</v>
      </c>
      <c r="G533" s="9" t="n">
        <f aca="false">IF(AND(C533=0,E533=0),0,IF(C533=0,"New",(E533-C533)/C533))</f>
        <v>-0.578947368421053</v>
      </c>
      <c r="H533" s="8" t="n">
        <f aca="false">SUMIFS('Source'!$E:$E,'Source'!$A:$A,"155138 לקוח אינטרנט",'Source'!$B:$B,$A533)</f>
        <v>269.25</v>
      </c>
      <c r="I533" s="8" t="n">
        <f aca="false">SUMIFS('Source'!$G:$G,'Source'!$A:$A,"155138 לקוח אינטרנט",'Source'!$B:$B,$A533)</f>
        <v>89.75</v>
      </c>
      <c r="J533" s="8" t="n">
        <f aca="false">I533*$J$5</f>
        <v>113.368421052632</v>
      </c>
      <c r="K533" s="8" t="n">
        <f aca="false">J533-H533</f>
        <v>-155.881578947368</v>
      </c>
      <c r="L533" s="9" t="n">
        <f aca="false">IF(AND(H533=0,J533=0),0,IF(H533=0,"New",(J533-H533)/H533))</f>
        <v>-0.578947368421053</v>
      </c>
      <c r="M533" s="7" t="str">
        <f aca="false">IF(AND(OR(C533&lt;&gt;0,H533&lt;&gt;0),D533=0,I533=0),"DROP",IF(AND(OR(D533&lt;&gt;0,I533&lt;&gt;0),C533=0,H533=0),"NEW",""))</f>
        <v/>
      </c>
    </row>
    <row r="534" customFormat="false" ht="15" hidden="false" customHeight="false" outlineLevel="0" collapsed="false">
      <c r="A534" s="7" t="s">
        <v>624</v>
      </c>
      <c r="B534" s="7" t="str">
        <f aca="false">IFERROR(INDEX('Source'!$C:$C,MATCH($A534,'Source'!$B:$B,0)),"")</f>
        <v>משלוח בארץ</v>
      </c>
      <c r="C534" s="8" t="n">
        <f aca="false">SUMIFS('Source'!$D:$D,'Source'!$A:$A,"155138 לקוח אינטרנט",'Source'!$B:$B,$A534)</f>
        <v>6</v>
      </c>
      <c r="D534" s="8" t="n">
        <f aca="false">SUMIFS('Source'!$F:$F,'Source'!$A:$A,"155138 לקוח אינטרנט",'Source'!$B:$B,$A534)</f>
        <v>-1</v>
      </c>
      <c r="E534" s="8" t="n">
        <f aca="false">D534*$J$5</f>
        <v>-1.26315789473684</v>
      </c>
      <c r="F534" s="8" t="n">
        <f aca="false">E534-C534</f>
        <v>-7.26315789473684</v>
      </c>
      <c r="G534" s="9" t="n">
        <f aca="false">IF(AND(C534=0,E534=0),0,IF(C534=0,"New",(E534-C534)/C534))</f>
        <v>-1.21052631578947</v>
      </c>
      <c r="H534" s="8" t="n">
        <f aca="false">SUMIFS('Source'!$E:$E,'Source'!$A:$A,"155138 לקוח אינטרנט",'Source'!$B:$B,$A534)</f>
        <v>152.52</v>
      </c>
      <c r="I534" s="8" t="n">
        <f aca="false">SUMIFS('Source'!$G:$G,'Source'!$A:$A,"155138 לקוח אינטרנט",'Source'!$B:$B,$A534)</f>
        <v>-25.42</v>
      </c>
      <c r="J534" s="8" t="n">
        <f aca="false">I534*$J$5</f>
        <v>-32.1094736842105</v>
      </c>
      <c r="K534" s="8" t="n">
        <f aca="false">J534-H534</f>
        <v>-184.629473684211</v>
      </c>
      <c r="L534" s="9" t="n">
        <f aca="false">IF(AND(H534=0,J534=0),0,IF(H534=0,"New",(J534-H534)/H534))</f>
        <v>-1.21052631578947</v>
      </c>
      <c r="M534" s="7" t="str">
        <f aca="false">IF(AND(OR(C534&lt;&gt;0,H534&lt;&gt;0),D534=0,I534=0),"DROP",IF(AND(OR(D534&lt;&gt;0,I534&lt;&gt;0),C534=0,H534=0),"NEW",""))</f>
        <v/>
      </c>
    </row>
    <row r="535" customFormat="false" ht="15" hidden="false" customHeight="false" outlineLevel="0" collapsed="false">
      <c r="A535" s="7" t="s">
        <v>625</v>
      </c>
      <c r="B535" s="7" t="str">
        <f aca="false">IFERROR(INDEX('Source'!$C:$C,MATCH($A535,'Source'!$B:$B,0)),"")</f>
        <v>חגורה מותנית צרה</v>
      </c>
      <c r="C535" s="8" t="n">
        <f aca="false">SUMIFS('Source'!$D:$D,'Source'!$A:$A,"155138 לקוח אינטרנט",'Source'!$B:$B,$A535)</f>
        <v>6</v>
      </c>
      <c r="D535" s="8" t="n">
        <f aca="false">SUMIFS('Source'!$F:$F,'Source'!$A:$A,"155138 לקוח אינטרנט",'Source'!$B:$B,$A535)</f>
        <v>5</v>
      </c>
      <c r="E535" s="8" t="n">
        <f aca="false">D535*$J$5</f>
        <v>6.31578947368421</v>
      </c>
      <c r="F535" s="8" t="n">
        <f aca="false">E535-C535</f>
        <v>0.315789473684211</v>
      </c>
      <c r="G535" s="9" t="n">
        <f aca="false">IF(AND(C535=0,E535=0),0,IF(C535=0,"New",(E535-C535)/C535))</f>
        <v>0.0526315789473684</v>
      </c>
      <c r="H535" s="8" t="n">
        <f aca="false">SUMIFS('Source'!$E:$E,'Source'!$A:$A,"155138 לקוח אינטרנט",'Source'!$B:$B,$A535)</f>
        <v>1410.54</v>
      </c>
      <c r="I535" s="8" t="n">
        <f aca="false">SUMIFS('Source'!$G:$G,'Source'!$A:$A,"155138 לקוח אינטרנט",'Source'!$B:$B,$A535)</f>
        <v>1232.63</v>
      </c>
      <c r="J535" s="8" t="n">
        <f aca="false">I535*$J$5</f>
        <v>1557.00631578947</v>
      </c>
      <c r="K535" s="8" t="n">
        <f aca="false">J535-H535</f>
        <v>146.466315789474</v>
      </c>
      <c r="L535" s="9" t="n">
        <f aca="false">IF(AND(H535=0,J535=0),0,IF(H535=0,"New",(J535-H535)/H535))</f>
        <v>0.103837052327104</v>
      </c>
      <c r="M535" s="7" t="str">
        <f aca="false">IF(AND(OR(C535&lt;&gt;0,H535&lt;&gt;0),D535=0,I535=0),"DROP",IF(AND(OR(D535&lt;&gt;0,I535&lt;&gt;0),C535=0,H535=0),"NEW",""))</f>
        <v/>
      </c>
    </row>
    <row r="536" customFormat="false" ht="15" hidden="false" customHeight="false" outlineLevel="0" collapsed="false">
      <c r="A536" s="7" t="s">
        <v>626</v>
      </c>
      <c r="B536" s="7" t="str">
        <f aca="false">IFERROR(INDEX('Source'!$C:$C,MATCH($A536,'Source'!$B:$B,0)),"")</f>
        <v>חגורת בטן</v>
      </c>
      <c r="C536" s="8" t="n">
        <f aca="false">SUMIFS('Source'!$D:$D,'Source'!$A:$A,"155138 לקוח אינטרנט",'Source'!$B:$B,$A536)</f>
        <v>5</v>
      </c>
      <c r="D536" s="8" t="n">
        <f aca="false">SUMIFS('Source'!$F:$F,'Source'!$A:$A,"155138 לקוח אינטרנט",'Source'!$B:$B,$A536)</f>
        <v>6</v>
      </c>
      <c r="E536" s="8" t="n">
        <f aca="false">D536*$J$5</f>
        <v>7.57894736842105</v>
      </c>
      <c r="F536" s="8" t="n">
        <f aca="false">E536-C536</f>
        <v>2.57894736842105</v>
      </c>
      <c r="G536" s="9" t="n">
        <f aca="false">IF(AND(C536=0,E536=0),0,IF(C536=0,"New",(E536-C536)/C536))</f>
        <v>0.515789473684211</v>
      </c>
      <c r="H536" s="8" t="n">
        <f aca="false">SUMIFS('Source'!$E:$E,'Source'!$A:$A,"155138 לקוח אינטרנט",'Source'!$B:$B,$A536)</f>
        <v>974.15</v>
      </c>
      <c r="I536" s="8" t="n">
        <f aca="false">SUMIFS('Source'!$G:$G,'Source'!$A:$A,"155138 לקוח אינטרנט",'Source'!$B:$B,$A536)</f>
        <v>1149.5</v>
      </c>
      <c r="J536" s="8" t="n">
        <f aca="false">I536*$J$5</f>
        <v>1452</v>
      </c>
      <c r="K536" s="8" t="n">
        <f aca="false">J536-H536</f>
        <v>477.85</v>
      </c>
      <c r="L536" s="9" t="n">
        <f aca="false">IF(AND(H536=0,J536=0),0,IF(H536=0,"New",(J536-H536)/H536))</f>
        <v>0.490530205820459</v>
      </c>
      <c r="M536" s="7" t="str">
        <f aca="false">IF(AND(OR(C536&lt;&gt;0,H536&lt;&gt;0),D536=0,I536=0),"DROP",IF(AND(OR(D536&lt;&gt;0,I536&lt;&gt;0),C536=0,H536=0),"NEW",""))</f>
        <v/>
      </c>
    </row>
    <row r="537" customFormat="false" ht="15" hidden="false" customHeight="false" outlineLevel="0" collapsed="false">
      <c r="A537" s="7" t="s">
        <v>627</v>
      </c>
      <c r="B537" s="7" t="str">
        <f aca="false">IFERROR(INDEX('Source'!$C:$C,MATCH($A537,'Source'!$B:$B,0)),"")</f>
        <v>תחבושת אלסטית נצמדת צבע שחור</v>
      </c>
      <c r="C537" s="8" t="n">
        <f aca="false">SUMIFS('Source'!$D:$D,'Source'!$A:$A,"155138 לקוח אינטרנט",'Source'!$B:$B,$A537)</f>
        <v>56</v>
      </c>
      <c r="D537" s="8" t="n">
        <f aca="false">SUMIFS('Source'!$F:$F,'Source'!$A:$A,"155138 לקוח אינטרנט",'Source'!$B:$B,$A537)</f>
        <v>69</v>
      </c>
      <c r="E537" s="8" t="n">
        <f aca="false">D537*$J$5</f>
        <v>87.1578947368421</v>
      </c>
      <c r="F537" s="8" t="n">
        <f aca="false">E537-C537</f>
        <v>31.1578947368421</v>
      </c>
      <c r="G537" s="9" t="n">
        <f aca="false">IF(AND(C537=0,E537=0),0,IF(C537=0,"New",(E537-C537)/C537))</f>
        <v>0.556390977443609</v>
      </c>
      <c r="H537" s="8" t="n">
        <f aca="false">SUMIFS('Source'!$E:$E,'Source'!$A:$A,"155138 לקוח אינטרנט",'Source'!$B:$B,$A537)</f>
        <v>1127.78</v>
      </c>
      <c r="I537" s="8" t="n">
        <f aca="false">SUMIFS('Source'!$G:$G,'Source'!$A:$A,"155138 לקוח אינטרנט",'Source'!$B:$B,$A537)</f>
        <v>1301.9</v>
      </c>
      <c r="J537" s="8" t="n">
        <f aca="false">I537*$J$5</f>
        <v>1644.50526315789</v>
      </c>
      <c r="K537" s="8" t="n">
        <f aca="false">J537-H537</f>
        <v>516.725263157895</v>
      </c>
      <c r="L537" s="9" t="n">
        <f aca="false">IF(AND(H537=0,J537=0),0,IF(H537=0,"New",(J537-H537)/H537))</f>
        <v>0.458179133481614</v>
      </c>
      <c r="M537" s="7" t="str">
        <f aca="false">IF(AND(OR(C537&lt;&gt;0,H537&lt;&gt;0),D537=0,I537=0),"DROP",IF(AND(OR(D537&lt;&gt;0,I537&lt;&gt;0),C537=0,H537=0),"NEW",""))</f>
        <v/>
      </c>
    </row>
    <row r="538" customFormat="false" ht="15" hidden="false" customHeight="false" outlineLevel="0" collapsed="false">
      <c r="A538" s="7" t="s">
        <v>628</v>
      </c>
      <c r="B538" s="7" t="str">
        <f aca="false">IFERROR(INDEX('Source'!$C:$C,MATCH($A538,'Source'!$B:$B,0)),"")</f>
        <v>מגן ברך ארוך</v>
      </c>
      <c r="C538" s="8" t="n">
        <f aca="false">SUMIFS('Source'!$D:$D,'Source'!$A:$A,"155138 לקוח אינטרנט",'Source'!$B:$B,$A538)</f>
        <v>11</v>
      </c>
      <c r="D538" s="8" t="n">
        <f aca="false">SUMIFS('Source'!$F:$F,'Source'!$A:$A,"155138 לקוח אינטרנט",'Source'!$B:$B,$A538)</f>
        <v>13</v>
      </c>
      <c r="E538" s="8" t="n">
        <f aca="false">D538*$J$5</f>
        <v>16.4210526315789</v>
      </c>
      <c r="F538" s="8" t="n">
        <f aca="false">E538-C538</f>
        <v>5.42105263157895</v>
      </c>
      <c r="G538" s="9" t="n">
        <f aca="false">IF(AND(C538=0,E538=0),0,IF(C538=0,"New",(E538-C538)/C538))</f>
        <v>0.492822966507177</v>
      </c>
      <c r="H538" s="8" t="n">
        <f aca="false">SUMIFS('Source'!$E:$E,'Source'!$A:$A,"155138 לקוח אינטרנט",'Source'!$B:$B,$A538)</f>
        <v>683.03</v>
      </c>
      <c r="I538" s="8" t="n">
        <f aca="false">SUMIFS('Source'!$G:$G,'Source'!$A:$A,"155138 לקוח אינטרנט",'Source'!$B:$B,$A538)</f>
        <v>856.55</v>
      </c>
      <c r="J538" s="8" t="n">
        <f aca="false">I538*$J$5</f>
        <v>1081.95789473684</v>
      </c>
      <c r="K538" s="8" t="n">
        <f aca="false">J538-H538</f>
        <v>398.927894736842</v>
      </c>
      <c r="L538" s="9" t="n">
        <f aca="false">IF(AND(H538=0,J538=0),0,IF(H538=0,"New",(J538-H538)/H538))</f>
        <v>0.584056183091288</v>
      </c>
      <c r="M538" s="7" t="str">
        <f aca="false">IF(AND(OR(C538&lt;&gt;0,H538&lt;&gt;0),D538=0,I538=0),"DROP",IF(AND(OR(D538&lt;&gt;0,I538&lt;&gt;0),C538=0,H538=0),"NEW",""))</f>
        <v/>
      </c>
    </row>
    <row r="539" customFormat="false" ht="15" hidden="false" customHeight="false" outlineLevel="0" collapsed="false">
      <c r="A539" s="7" t="s">
        <v>629</v>
      </c>
      <c r="B539" s="7" t="str">
        <f aca="false">IFERROR(INDEX('Source'!$C:$C,MATCH($A539,'Source'!$B:$B,0)),"")</f>
        <v>מגן ברך רגיל</v>
      </c>
      <c r="C539" s="8" t="n">
        <f aca="false">SUMIFS('Source'!$D:$D,'Source'!$A:$A,"155138 לקוח אינטרנט",'Source'!$B:$B,$A539)</f>
        <v>0</v>
      </c>
      <c r="D539" s="8" t="n">
        <f aca="false">SUMIFS('Source'!$F:$F,'Source'!$A:$A,"155138 לקוח אינטרנט",'Source'!$B:$B,$A539)</f>
        <v>1</v>
      </c>
      <c r="E539" s="8" t="n">
        <f aca="false">D539*$J$5</f>
        <v>1.26315789473684</v>
      </c>
      <c r="F539" s="8" t="n">
        <f aca="false">E539-C539</f>
        <v>1.26315789473684</v>
      </c>
      <c r="G539" s="9" t="str">
        <f aca="false">IF(AND(C539=0,E539=0),0,IF(C539=0,"New",(E539-C539)/C539))</f>
        <v>New</v>
      </c>
      <c r="H539" s="8" t="n">
        <f aca="false">SUMIFS('Source'!$E:$E,'Source'!$A:$A,"155138 לקוח אינטרנט",'Source'!$B:$B,$A539)</f>
        <v>0</v>
      </c>
      <c r="I539" s="8" t="n">
        <f aca="false">SUMIFS('Source'!$G:$G,'Source'!$A:$A,"155138 לקוח אינטרנט",'Source'!$B:$B,$A539)</f>
        <v>171.53</v>
      </c>
      <c r="J539" s="8" t="n">
        <f aca="false">I539*$J$5</f>
        <v>216.669473684211</v>
      </c>
      <c r="K539" s="8" t="n">
        <f aca="false">J539-H539</f>
        <v>216.669473684211</v>
      </c>
      <c r="L539" s="9" t="str">
        <f aca="false">IF(AND(H539=0,J539=0),0,IF(H539=0,"New",(J539-H539)/H539))</f>
        <v>New</v>
      </c>
      <c r="M539" s="7" t="str">
        <f aca="false">IF(AND(OR(C539&lt;&gt;0,H539&lt;&gt;0),D539=0,I539=0),"DROP",IF(AND(OR(D539&lt;&gt;0,I539&lt;&gt;0),C539=0,H539=0),"NEW",""))</f>
        <v>NEW</v>
      </c>
    </row>
    <row r="540" customFormat="false" ht="15" hidden="false" customHeight="false" outlineLevel="0" collapsed="false">
      <c r="A540" s="7" t="s">
        <v>630</v>
      </c>
      <c r="B540" s="7" t="str">
        <f aca="false">IFERROR(INDEX('Source'!$C:$C,MATCH($A540,'Source'!$B:$B,0)),"")</f>
        <v>מידרסים מסיליקון</v>
      </c>
      <c r="C540" s="8" t="n">
        <f aca="false">SUMIFS('Source'!$D:$D,'Source'!$A:$A,"155138 לקוח אינטרנט",'Source'!$B:$B,$A540)</f>
        <v>2</v>
      </c>
      <c r="D540" s="8" t="n">
        <f aca="false">SUMIFS('Source'!$F:$F,'Source'!$A:$A,"155138 לקוח אינטרנט",'Source'!$B:$B,$A540)</f>
        <v>3</v>
      </c>
      <c r="E540" s="8" t="n">
        <f aca="false">D540*$J$5</f>
        <v>3.78947368421053</v>
      </c>
      <c r="F540" s="8" t="n">
        <f aca="false">E540-C540</f>
        <v>1.78947368421053</v>
      </c>
      <c r="G540" s="9" t="n">
        <f aca="false">IF(AND(C540=0,E540=0),0,IF(C540=0,"New",(E540-C540)/C540))</f>
        <v>0.894736842105263</v>
      </c>
      <c r="H540" s="8" t="n">
        <f aca="false">SUMIFS('Source'!$E:$E,'Source'!$A:$A,"155138 לקוח אינטרנט",'Source'!$B:$B,$A540)</f>
        <v>428.64</v>
      </c>
      <c r="I540" s="8" t="n">
        <f aca="false">SUMIFS('Source'!$G:$G,'Source'!$A:$A,"155138 לקוח אינטרנט",'Source'!$B:$B,$A540)</f>
        <v>600.09</v>
      </c>
      <c r="J540" s="8" t="n">
        <f aca="false">I540*$J$5</f>
        <v>758.008421052631</v>
      </c>
      <c r="K540" s="8" t="n">
        <f aca="false">J540-H540</f>
        <v>329.368421052631</v>
      </c>
      <c r="L540" s="9" t="n">
        <f aca="false">IF(AND(H540=0,J540=0),0,IF(H540=0,"New",(J540-H540)/H540))</f>
        <v>0.768403371250073</v>
      </c>
      <c r="M540" s="7" t="str">
        <f aca="false">IF(AND(OR(C540&lt;&gt;0,H540&lt;&gt;0),D540=0,I540=0),"DROP",IF(AND(OR(D540&lt;&gt;0,I540&lt;&gt;0),C540=0,H540=0),"NEW",""))</f>
        <v/>
      </c>
    </row>
    <row r="541" customFormat="false" ht="15" hidden="false" customHeight="false" outlineLevel="0" collapsed="false">
      <c r="A541" s="7" t="s">
        <v>631</v>
      </c>
      <c r="B541" s="7" t="str">
        <f aca="false">IFERROR(INDEX('Source'!$C:$C,MATCH($A541,'Source'!$B:$B,0)),"")</f>
        <v>מתלה יד + קיבוע מרפק</v>
      </c>
      <c r="C541" s="8" t="n">
        <f aca="false">SUMIFS('Source'!$D:$D,'Source'!$A:$A,"155138 לקוח אינטרנט",'Source'!$B:$B,$A541)</f>
        <v>2</v>
      </c>
      <c r="D541" s="8" t="n">
        <f aca="false">SUMIFS('Source'!$F:$F,'Source'!$A:$A,"155138 לקוח אינטרנט",'Source'!$B:$B,$A541)</f>
        <v>1</v>
      </c>
      <c r="E541" s="8" t="n">
        <f aca="false">D541*$J$5</f>
        <v>1.26315789473684</v>
      </c>
      <c r="F541" s="8" t="n">
        <f aca="false">E541-C541</f>
        <v>-0.736842105263158</v>
      </c>
      <c r="G541" s="9" t="n">
        <f aca="false">IF(AND(C541=0,E541=0),0,IF(C541=0,"New",(E541-C541)/C541))</f>
        <v>-0.368421052631579</v>
      </c>
      <c r="H541" s="8" t="n">
        <f aca="false">SUMIFS('Source'!$E:$E,'Source'!$A:$A,"155138 לקוח אינטרנט",'Source'!$B:$B,$A541)</f>
        <v>342.2</v>
      </c>
      <c r="I541" s="8" t="n">
        <f aca="false">SUMIFS('Source'!$G:$G,'Source'!$A:$A,"155138 לקוח אינטרנט",'Source'!$B:$B,$A541)</f>
        <v>171.1</v>
      </c>
      <c r="J541" s="8" t="n">
        <f aca="false">I541*$J$5</f>
        <v>216.126315789474</v>
      </c>
      <c r="K541" s="8" t="n">
        <f aca="false">J541-H541</f>
        <v>-126.073684210526</v>
      </c>
      <c r="L541" s="9" t="n">
        <f aca="false">IF(AND(H541=0,J541=0),0,IF(H541=0,"New",(J541-H541)/H541))</f>
        <v>-0.368421052631579</v>
      </c>
      <c r="M541" s="7" t="str">
        <f aca="false">IF(AND(OR(C541&lt;&gt;0,H541&lt;&gt;0),D541=0,I541=0),"DROP",IF(AND(OR(D541&lt;&gt;0,I541&lt;&gt;0),C541=0,H541=0),"NEW",""))</f>
        <v/>
      </c>
    </row>
    <row r="542" customFormat="false" ht="15" hidden="false" customHeight="false" outlineLevel="0" collapsed="false">
      <c r="A542" s="7" t="s">
        <v>632</v>
      </c>
      <c r="B542" s="7" t="str">
        <f aca="false">IFERROR(INDEX('Source'!$C:$C,MATCH($A542,'Source'!$B:$B,0)),"")</f>
        <v>קינזיולוגי טייפ</v>
      </c>
      <c r="C542" s="8" t="n">
        <f aca="false">SUMIFS('Source'!$D:$D,'Source'!$A:$A,"155138 לקוח אינטרנט",'Source'!$B:$B,$A542)</f>
        <v>3</v>
      </c>
      <c r="D542" s="8" t="n">
        <f aca="false">SUMIFS('Source'!$F:$F,'Source'!$A:$A,"155138 לקוח אינטרנט",'Source'!$B:$B,$A542)</f>
        <v>1</v>
      </c>
      <c r="E542" s="8" t="n">
        <f aca="false">D542*$J$5</f>
        <v>1.26315789473684</v>
      </c>
      <c r="F542" s="8" t="n">
        <f aca="false">E542-C542</f>
        <v>-1.73684210526316</v>
      </c>
      <c r="G542" s="9" t="n">
        <f aca="false">IF(AND(C542=0,E542=0),0,IF(C542=0,"New",(E542-C542)/C542))</f>
        <v>-0.578947368421053</v>
      </c>
      <c r="H542" s="8" t="n">
        <f aca="false">SUMIFS('Source'!$E:$E,'Source'!$A:$A,"155138 לקוח אינטרנט",'Source'!$B:$B,$A542)</f>
        <v>243.7</v>
      </c>
      <c r="I542" s="8" t="n">
        <f aca="false">SUMIFS('Source'!$G:$G,'Source'!$A:$A,"155138 לקוח אינטרנט",'Source'!$B:$B,$A542)</f>
        <v>72.68</v>
      </c>
      <c r="J542" s="8" t="n">
        <f aca="false">I542*$J$5</f>
        <v>91.8063157894737</v>
      </c>
      <c r="K542" s="8" t="n">
        <f aca="false">J542-H542</f>
        <v>-151.893684210526</v>
      </c>
      <c r="L542" s="9" t="n">
        <f aca="false">IF(AND(H542=0,J542=0),0,IF(H542=0,"New",(J542-H542)/H542))</f>
        <v>-0.623281428849103</v>
      </c>
      <c r="M542" s="7" t="str">
        <f aca="false">IF(AND(OR(C542&lt;&gt;0,H542&lt;&gt;0),D542=0,I542=0),"DROP",IF(AND(OR(D542&lt;&gt;0,I542&lt;&gt;0),C542=0,H542=0),"NEW",""))</f>
        <v/>
      </c>
    </row>
    <row r="543" customFormat="false" ht="15" hidden="false" customHeight="false" outlineLevel="0" collapsed="false">
      <c r="A543" s="7" t="s">
        <v>633</v>
      </c>
      <c r="B543" s="7" t="str">
        <f aca="false">IFERROR(INDEX('Source'!$C:$C,MATCH($A543,'Source'!$B:$B,0)),"")</f>
        <v>חגורת גב עם חיזוק</v>
      </c>
      <c r="C543" s="8" t="n">
        <f aca="false">SUMIFS('Source'!$D:$D,'Source'!$A:$A,"155138 לקוח אינטרנט",'Source'!$B:$B,$A543)</f>
        <v>0</v>
      </c>
      <c r="D543" s="8" t="n">
        <f aca="false">SUMIFS('Source'!$F:$F,'Source'!$A:$A,"155138 לקוח אינטרנט",'Source'!$B:$B,$A543)</f>
        <v>1</v>
      </c>
      <c r="E543" s="8" t="n">
        <f aca="false">D543*$J$5</f>
        <v>1.26315789473684</v>
      </c>
      <c r="F543" s="8" t="n">
        <f aca="false">E543-C543</f>
        <v>1.26315789473684</v>
      </c>
      <c r="G543" s="9" t="str">
        <f aca="false">IF(AND(C543=0,E543=0),0,IF(C543=0,"New",(E543-C543)/C543))</f>
        <v>New</v>
      </c>
      <c r="H543" s="8" t="n">
        <f aca="false">SUMIFS('Source'!$E:$E,'Source'!$A:$A,"155138 לקוח אינטרנט",'Source'!$B:$B,$A543)</f>
        <v>0</v>
      </c>
      <c r="I543" s="8" t="n">
        <f aca="false">SUMIFS('Source'!$G:$G,'Source'!$A:$A,"155138 לקוח אינטרנט",'Source'!$B:$B,$A543)</f>
        <v>169.4</v>
      </c>
      <c r="J543" s="8" t="n">
        <f aca="false">I543*$J$5</f>
        <v>213.978947368421</v>
      </c>
      <c r="K543" s="8" t="n">
        <f aca="false">J543-H543</f>
        <v>213.978947368421</v>
      </c>
      <c r="L543" s="9" t="str">
        <f aca="false">IF(AND(H543=0,J543=0),0,IF(H543=0,"New",(J543-H543)/H543))</f>
        <v>New</v>
      </c>
      <c r="M543" s="7" t="str">
        <f aca="false">IF(AND(OR(C543&lt;&gt;0,H543&lt;&gt;0),D543=0,I543=0),"DROP",IF(AND(OR(D543&lt;&gt;0,I543&lt;&gt;0),C543=0,H543=0),"NEW",""))</f>
        <v>NEW</v>
      </c>
    </row>
    <row r="544" customFormat="false" ht="15" hidden="false" customHeight="false" outlineLevel="0" collapsed="false">
      <c r="A544" s="7" t="s">
        <v>634</v>
      </c>
      <c r="B544" s="7" t="n">
        <f aca="false">IFERROR(INDEX('Source'!$C:$C,MATCH($A544,'Source'!$B:$B,0)),"")</f>
        <v>0</v>
      </c>
      <c r="C544" s="8" t="n">
        <f aca="false">SUMIFS('Source'!$D:$D,'Source'!$A:$A,"155138 לקוח אינטרנט",'Source'!$B:$B,$A544)</f>
        <v>0</v>
      </c>
      <c r="D544" s="8" t="n">
        <f aca="false">SUMIFS('Source'!$F:$F,'Source'!$A:$A,"155138 לקוח אינטרנט",'Source'!$B:$B,$A544)</f>
        <v>0</v>
      </c>
      <c r="E544" s="8" t="n">
        <f aca="false">D544*$J$5</f>
        <v>0</v>
      </c>
      <c r="F544" s="8" t="n">
        <f aca="false">E544-C544</f>
        <v>0</v>
      </c>
      <c r="G544" s="9" t="n">
        <f aca="false">IF(AND(C544=0,E544=0),0,IF(C544=0,"New",(E544-C544)/C544))</f>
        <v>0</v>
      </c>
      <c r="H544" s="8" t="n">
        <f aca="false">SUMIFS('Source'!$E:$E,'Source'!$A:$A,"155138 לקוח אינטרנט",'Source'!$B:$B,$A544)</f>
        <v>0</v>
      </c>
      <c r="I544" s="8" t="n">
        <f aca="false">SUMIFS('Source'!$G:$G,'Source'!$A:$A,"155138 לקוח אינטרנט",'Source'!$B:$B,$A544)</f>
        <v>-169.32</v>
      </c>
      <c r="J544" s="8" t="n">
        <f aca="false">I544*$J$5</f>
        <v>-213.877894736842</v>
      </c>
      <c r="K544" s="8" t="n">
        <f aca="false">J544-H544</f>
        <v>-213.877894736842</v>
      </c>
      <c r="L544" s="9" t="str">
        <f aca="false">IF(AND(H544=0,J544=0),0,IF(H544=0,"New",(J544-H544)/H544))</f>
        <v>New</v>
      </c>
      <c r="M544" s="7" t="str">
        <f aca="false">IF(AND(OR(C544&lt;&gt;0,H544&lt;&gt;0),D544=0,I544=0),"DROP",IF(AND(OR(D544&lt;&gt;0,I544&lt;&gt;0),C544=0,H544=0),"NEW",""))</f>
        <v>NEW</v>
      </c>
    </row>
    <row r="545" customFormat="false" ht="15" hidden="false" customHeight="false" outlineLevel="0" collapsed="false">
      <c r="A545" s="7" t="s">
        <v>635</v>
      </c>
      <c r="B545" s="7" t="str">
        <f aca="false">IFERROR(INDEX('Source'!$C:$C,MATCH($A545,'Source'!$B:$B,0)),"")</f>
        <v>מגן קרסול חום</v>
      </c>
      <c r="C545" s="8" t="n">
        <f aca="false">SUMIFS('Source'!$D:$D,'Source'!$A:$A,"155138 לקוח אינטרנט",'Source'!$B:$B,$A545)</f>
        <v>1</v>
      </c>
      <c r="D545" s="8" t="n">
        <f aca="false">SUMIFS('Source'!$F:$F,'Source'!$A:$A,"155138 לקוח אינטרנט",'Source'!$B:$B,$A545)</f>
        <v>4</v>
      </c>
      <c r="E545" s="8" t="n">
        <f aca="false">D545*$J$5</f>
        <v>5.05263157894737</v>
      </c>
      <c r="F545" s="8" t="n">
        <f aca="false">E545-C545</f>
        <v>4.05263157894737</v>
      </c>
      <c r="G545" s="9" t="n">
        <f aca="false">IF(AND(C545=0,E545=0),0,IF(C545=0,"New",(E545-C545)/C545))</f>
        <v>4.05263157894737</v>
      </c>
      <c r="H545" s="8" t="n">
        <f aca="false">SUMIFS('Source'!$E:$E,'Source'!$A:$A,"155138 לקוח אינטרנט",'Source'!$B:$B,$A545)</f>
        <v>55.85</v>
      </c>
      <c r="I545" s="8" t="n">
        <f aca="false">SUMIFS('Source'!$G:$G,'Source'!$A:$A,"155138 לקוח אינטרנט",'Source'!$B:$B,$A545)</f>
        <v>223.4</v>
      </c>
      <c r="J545" s="8" t="n">
        <f aca="false">I545*$J$5</f>
        <v>282.189473684211</v>
      </c>
      <c r="K545" s="8" t="n">
        <f aca="false">J545-H545</f>
        <v>226.339473684211</v>
      </c>
      <c r="L545" s="9" t="n">
        <f aca="false">IF(AND(H545=0,J545=0),0,IF(H545=0,"New",(J545-H545)/H545))</f>
        <v>4.05263157894737</v>
      </c>
      <c r="M545" s="7" t="str">
        <f aca="false">IF(AND(OR(C545&lt;&gt;0,H545&lt;&gt;0),D545=0,I545=0),"DROP",IF(AND(OR(D545&lt;&gt;0,I545&lt;&gt;0),C545=0,H545=0),"NEW",""))</f>
        <v/>
      </c>
    </row>
    <row r="546" customFormat="false" ht="15" hidden="false" customHeight="false" outlineLevel="0" collapsed="false">
      <c r="A546" s="7" t="s">
        <v>636</v>
      </c>
      <c r="B546" s="7" t="str">
        <f aca="false">IFERROR(INDEX('Source'!$C:$C,MATCH($A546,'Source'!$B:$B,0)),"")</f>
        <v>סד יד  בז'</v>
      </c>
      <c r="C546" s="8" t="n">
        <f aca="false">SUMIFS('Source'!$D:$D,'Source'!$A:$A,"155138 לקוח אינטרנט",'Source'!$B:$B,$A546)</f>
        <v>1</v>
      </c>
      <c r="D546" s="8" t="n">
        <f aca="false">SUMIFS('Source'!$F:$F,'Source'!$A:$A,"155138 לקוח אינטרנט",'Source'!$B:$B,$A546)</f>
        <v>0</v>
      </c>
      <c r="E546" s="8" t="n">
        <f aca="false">D546*$J$5</f>
        <v>0</v>
      </c>
      <c r="F546" s="8" t="n">
        <f aca="false">E546-C546</f>
        <v>-1</v>
      </c>
      <c r="G546" s="9" t="n">
        <f aca="false">IF(AND(C546=0,E546=0),0,IF(C546=0,"New",(E546-C546)/C546))</f>
        <v>-1</v>
      </c>
      <c r="H546" s="8" t="n">
        <f aca="false">SUMIFS('Source'!$E:$E,'Source'!$A:$A,"155138 לקוח אינטרנט",'Source'!$B:$B,$A546)</f>
        <v>167.05</v>
      </c>
      <c r="I546" s="8" t="n">
        <f aca="false">SUMIFS('Source'!$G:$G,'Source'!$A:$A,"155138 לקוח אינטרנט",'Source'!$B:$B,$A546)</f>
        <v>0</v>
      </c>
      <c r="J546" s="8" t="n">
        <f aca="false">I546*$J$5</f>
        <v>0</v>
      </c>
      <c r="K546" s="8" t="n">
        <f aca="false">J546-H546</f>
        <v>-167.05</v>
      </c>
      <c r="L546" s="9" t="n">
        <f aca="false">IF(AND(H546=0,J546=0),0,IF(H546=0,"New",(J546-H546)/H546))</f>
        <v>-1</v>
      </c>
      <c r="M546" s="7" t="str">
        <f aca="false">IF(AND(OR(C546&lt;&gt;0,H546&lt;&gt;0),D546=0,I546=0),"DROP",IF(AND(OR(D546&lt;&gt;0,I546&lt;&gt;0),C546=0,H546=0),"NEW",""))</f>
        <v>DROP</v>
      </c>
    </row>
    <row r="547" customFormat="false" ht="15" hidden="false" customHeight="false" outlineLevel="0" collapsed="false">
      <c r="A547" s="7" t="s">
        <v>637</v>
      </c>
      <c r="B547" s="7" t="str">
        <f aca="false">IFERROR(INDEX('Source'!$C:$C,MATCH($A547,'Source'!$B:$B,0)),"")</f>
        <v>חגורת בטן עממית</v>
      </c>
      <c r="C547" s="8" t="n">
        <f aca="false">SUMIFS('Source'!$D:$D,'Source'!$A:$A,"155138 לקוח אינטרנט",'Source'!$B:$B,$A547)</f>
        <v>1</v>
      </c>
      <c r="D547" s="8" t="n">
        <f aca="false">SUMIFS('Source'!$F:$F,'Source'!$A:$A,"155138 לקוח אינטרנט",'Source'!$B:$B,$A547)</f>
        <v>0</v>
      </c>
      <c r="E547" s="8" t="n">
        <f aca="false">D547*$J$5</f>
        <v>0</v>
      </c>
      <c r="F547" s="8" t="n">
        <f aca="false">E547-C547</f>
        <v>-1</v>
      </c>
      <c r="G547" s="9" t="n">
        <f aca="false">IF(AND(C547=0,E547=0),0,IF(C547=0,"New",(E547-C547)/C547))</f>
        <v>-1</v>
      </c>
      <c r="H547" s="8" t="n">
        <f aca="false">SUMIFS('Source'!$E:$E,'Source'!$A:$A,"155138 לקוח אינטרנט",'Source'!$B:$B,$A547)</f>
        <v>165.58</v>
      </c>
      <c r="I547" s="8" t="n">
        <f aca="false">SUMIFS('Source'!$G:$G,'Source'!$A:$A,"155138 לקוח אינטרנט",'Source'!$B:$B,$A547)</f>
        <v>0</v>
      </c>
      <c r="J547" s="8" t="n">
        <f aca="false">I547*$J$5</f>
        <v>0</v>
      </c>
      <c r="K547" s="8" t="n">
        <f aca="false">J547-H547</f>
        <v>-165.58</v>
      </c>
      <c r="L547" s="9" t="n">
        <f aca="false">IF(AND(H547=0,J547=0),0,IF(H547=0,"New",(J547-H547)/H547))</f>
        <v>-1</v>
      </c>
      <c r="M547" s="7" t="str">
        <f aca="false">IF(AND(OR(C547&lt;&gt;0,H547&lt;&gt;0),D547=0,I547=0),"DROP",IF(AND(OR(D547&lt;&gt;0,I547&lt;&gt;0),C547=0,H547=0),"NEW",""))</f>
        <v>DROP</v>
      </c>
    </row>
    <row r="548" customFormat="false" ht="15" hidden="false" customHeight="false" outlineLevel="0" collapsed="false">
      <c r="A548" s="7" t="s">
        <v>638</v>
      </c>
      <c r="B548" s="7" t="str">
        <f aca="false">IFERROR(INDEX('Source'!$C:$C,MATCH($A548,'Source'!$B:$B,0)),"")</f>
        <v>חבק יד מתכוון</v>
      </c>
      <c r="C548" s="8" t="n">
        <f aca="false">SUMIFS('Source'!$D:$D,'Source'!$A:$A,"155138 לקוח אינטרנט",'Source'!$B:$B,$A548)</f>
        <v>3</v>
      </c>
      <c r="D548" s="8" t="n">
        <f aca="false">SUMIFS('Source'!$F:$F,'Source'!$A:$A,"155138 לקוח אינטרנט",'Source'!$B:$B,$A548)</f>
        <v>0</v>
      </c>
      <c r="E548" s="8" t="n">
        <f aca="false">D548*$J$5</f>
        <v>0</v>
      </c>
      <c r="F548" s="8" t="n">
        <f aca="false">E548-C548</f>
        <v>-3</v>
      </c>
      <c r="G548" s="9" t="n">
        <f aca="false">IF(AND(C548=0,E548=0),0,IF(C548=0,"New",(E548-C548)/C548))</f>
        <v>-1</v>
      </c>
      <c r="H548" s="8" t="n">
        <f aca="false">SUMIFS('Source'!$E:$E,'Source'!$A:$A,"155138 לקוח אינטרנט",'Source'!$B:$B,$A548)</f>
        <v>162.22</v>
      </c>
      <c r="I548" s="8" t="n">
        <f aca="false">SUMIFS('Source'!$G:$G,'Source'!$A:$A,"155138 לקוח אינטרנט",'Source'!$B:$B,$A548)</f>
        <v>0</v>
      </c>
      <c r="J548" s="8" t="n">
        <f aca="false">I548*$J$5</f>
        <v>0</v>
      </c>
      <c r="K548" s="8" t="n">
        <f aca="false">J548-H548</f>
        <v>-162.22</v>
      </c>
      <c r="L548" s="9" t="n">
        <f aca="false">IF(AND(H548=0,J548=0),0,IF(H548=0,"New",(J548-H548)/H548))</f>
        <v>-1</v>
      </c>
      <c r="M548" s="7" t="str">
        <f aca="false">IF(AND(OR(C548&lt;&gt;0,H548&lt;&gt;0),D548=0,I548=0),"DROP",IF(AND(OR(D548&lt;&gt;0,I548&lt;&gt;0),C548=0,H548=0),"NEW",""))</f>
        <v>DROP</v>
      </c>
    </row>
    <row r="549" customFormat="false" ht="15" hidden="false" customHeight="false" outlineLevel="0" collapsed="false">
      <c r="A549" s="7" t="s">
        <v>639</v>
      </c>
      <c r="B549" s="7" t="str">
        <f aca="false">IFERROR(INDEX('Source'!$C:$C,MATCH($A549,'Source'!$B:$B,0)),"")</f>
        <v>שרוול מטטרזלי מסיליקון</v>
      </c>
      <c r="C549" s="8" t="n">
        <f aca="false">SUMIFS('Source'!$D:$D,'Source'!$A:$A,"155138 לקוח אינטרנט",'Source'!$B:$B,$A549)</f>
        <v>23</v>
      </c>
      <c r="D549" s="8" t="n">
        <f aca="false">SUMIFS('Source'!$F:$F,'Source'!$A:$A,"155138 לקוח אינטרנט",'Source'!$B:$B,$A549)</f>
        <v>24</v>
      </c>
      <c r="E549" s="8" t="n">
        <f aca="false">D549*$J$5</f>
        <v>30.3157894736842</v>
      </c>
      <c r="F549" s="8" t="n">
        <f aca="false">E549-C549</f>
        <v>7.31578947368421</v>
      </c>
      <c r="G549" s="9" t="n">
        <f aca="false">IF(AND(C549=0,E549=0),0,IF(C549=0,"New",(E549-C549)/C549))</f>
        <v>0.318077803203661</v>
      </c>
      <c r="H549" s="8" t="n">
        <f aca="false">SUMIFS('Source'!$E:$E,'Source'!$A:$A,"155138 לקוח אינטרנט",'Source'!$B:$B,$A549)</f>
        <v>2419.57</v>
      </c>
      <c r="I549" s="8" t="n">
        <f aca="false">SUMIFS('Source'!$G:$G,'Source'!$A:$A,"155138 לקוח אינטרנט",'Source'!$B:$B,$A549)</f>
        <v>2581.44</v>
      </c>
      <c r="J549" s="8" t="n">
        <f aca="false">I549*$J$5</f>
        <v>3260.76631578947</v>
      </c>
      <c r="K549" s="8" t="n">
        <f aca="false">J549-H549</f>
        <v>841.196315789473</v>
      </c>
      <c r="L549" s="9" t="n">
        <f aca="false">IF(AND(H549=0,J549=0),0,IF(H549=0,"New",(J549-H549)/H549))</f>
        <v>0.347663558313863</v>
      </c>
      <c r="M549" s="7" t="str">
        <f aca="false">IF(AND(OR(C549&lt;&gt;0,H549&lt;&gt;0),D549=0,I549=0),"DROP",IF(AND(OR(D549&lt;&gt;0,I549&lt;&gt;0),C549=0,H549=0),"NEW",""))</f>
        <v/>
      </c>
    </row>
    <row r="550" customFormat="false" ht="15" hidden="false" customHeight="false" outlineLevel="0" collapsed="false">
      <c r="A550" s="7" t="s">
        <v>640</v>
      </c>
      <c r="B550" s="7" t="str">
        <f aca="false">IFERROR(INDEX('Source'!$C:$C,MATCH($A550,'Source'!$B:$B,0)),"")</f>
        <v>חבק יד מתכוון</v>
      </c>
      <c r="C550" s="8" t="n">
        <f aca="false">SUMIFS('Source'!$D:$D,'Source'!$A:$A,"155138 לקוח אינטרנט",'Source'!$B:$B,$A550)</f>
        <v>4</v>
      </c>
      <c r="D550" s="8" t="n">
        <f aca="false">SUMIFS('Source'!$F:$F,'Source'!$A:$A,"155138 לקוח אינטרנט",'Source'!$B:$B,$A550)</f>
        <v>1</v>
      </c>
      <c r="E550" s="8" t="n">
        <f aca="false">D550*$J$5</f>
        <v>1.26315789473684</v>
      </c>
      <c r="F550" s="8" t="n">
        <f aca="false">E550-C550</f>
        <v>-2.73684210526316</v>
      </c>
      <c r="G550" s="9" t="n">
        <f aca="false">IF(AND(C550=0,E550=0),0,IF(C550=0,"New",(E550-C550)/C550))</f>
        <v>-0.68421052631579</v>
      </c>
      <c r="H550" s="8" t="n">
        <f aca="false">SUMIFS('Source'!$E:$E,'Source'!$A:$A,"155138 לקוח אינטרנט",'Source'!$B:$B,$A550)</f>
        <v>219.29</v>
      </c>
      <c r="I550" s="8" t="n">
        <f aca="false">SUMIFS('Source'!$G:$G,'Source'!$A:$A,"155138 לקוח אינטרנט",'Source'!$B:$B,$A550)</f>
        <v>60.08</v>
      </c>
      <c r="J550" s="8" t="n">
        <f aca="false">I550*$J$5</f>
        <v>75.8905263157895</v>
      </c>
      <c r="K550" s="8" t="n">
        <f aca="false">J550-H550</f>
        <v>-143.399473684211</v>
      </c>
      <c r="L550" s="9" t="n">
        <f aca="false">IF(AND(H550=0,J550=0),0,IF(H550=0,"New",(J550-H550)/H550))</f>
        <v>-0.653926187624655</v>
      </c>
      <c r="M550" s="7" t="str">
        <f aca="false">IF(AND(OR(C550&lt;&gt;0,H550&lt;&gt;0),D550=0,I550=0),"DROP",IF(AND(OR(D550&lt;&gt;0,I550&lt;&gt;0),C550=0,H550=0),"NEW",""))</f>
        <v/>
      </c>
    </row>
    <row r="551" customFormat="false" ht="15" hidden="false" customHeight="false" outlineLevel="0" collapsed="false">
      <c r="A551" s="7" t="s">
        <v>641</v>
      </c>
      <c r="B551" s="7" t="str">
        <f aca="false">IFERROR(INDEX('Source'!$C:$C,MATCH($A551,'Source'!$B:$B,0)),"")</f>
        <v>מגן ברך רגיל</v>
      </c>
      <c r="C551" s="8" t="n">
        <f aca="false">SUMIFS('Source'!$D:$D,'Source'!$A:$A,"155138 לקוח אינטרנט",'Source'!$B:$B,$A551)</f>
        <v>5</v>
      </c>
      <c r="D551" s="8" t="n">
        <f aca="false">SUMIFS('Source'!$F:$F,'Source'!$A:$A,"155138 לקוח אינטרנט",'Source'!$B:$B,$A551)</f>
        <v>8</v>
      </c>
      <c r="E551" s="8" t="n">
        <f aca="false">D551*$J$5</f>
        <v>10.1052631578947</v>
      </c>
      <c r="F551" s="8" t="n">
        <f aca="false">E551-C551</f>
        <v>5.10526315789474</v>
      </c>
      <c r="G551" s="9" t="n">
        <f aca="false">IF(AND(C551=0,E551=0),0,IF(C551=0,"New",(E551-C551)/C551))</f>
        <v>1.02105263157895</v>
      </c>
      <c r="H551" s="8" t="n">
        <f aca="false">SUMIFS('Source'!$E:$E,'Source'!$A:$A,"155138 לקוח אינטרנט",'Source'!$B:$B,$A551)</f>
        <v>270.87</v>
      </c>
      <c r="I551" s="8" t="n">
        <f aca="false">SUMIFS('Source'!$G:$G,'Source'!$A:$A,"155138 לקוח אינטרנט",'Source'!$B:$B,$A551)</f>
        <v>430.05</v>
      </c>
      <c r="J551" s="8" t="n">
        <f aca="false">I551*$J$5</f>
        <v>543.221052631579</v>
      </c>
      <c r="K551" s="8" t="n">
        <f aca="false">J551-H551</f>
        <v>272.351052631579</v>
      </c>
      <c r="L551" s="9" t="n">
        <f aca="false">IF(AND(H551=0,J551=0),0,IF(H551=0,"New",(J551-H551)/H551))</f>
        <v>1.00546776177347</v>
      </c>
      <c r="M551" s="7" t="str">
        <f aca="false">IF(AND(OR(C551&lt;&gt;0,H551&lt;&gt;0),D551=0,I551=0),"DROP",IF(AND(OR(D551&lt;&gt;0,I551&lt;&gt;0),C551=0,H551=0),"NEW",""))</f>
        <v/>
      </c>
    </row>
    <row r="552" customFormat="false" ht="15" hidden="false" customHeight="false" outlineLevel="0" collapsed="false">
      <c r="A552" s="7" t="s">
        <v>642</v>
      </c>
      <c r="B552" s="7" t="str">
        <f aca="false">IFERROR(INDEX('Source'!$C:$C,MATCH($A552,'Source'!$B:$B,0)),"")</f>
        <v>רפידת זיכרון 376</v>
      </c>
      <c r="C552" s="8" t="n">
        <f aca="false">SUMIFS('Source'!$D:$D,'Source'!$A:$A,"155138 לקוח אינטרנט",'Source'!$B:$B,$A552)</f>
        <v>5</v>
      </c>
      <c r="D552" s="8" t="n">
        <f aca="false">SUMIFS('Source'!$F:$F,'Source'!$A:$A,"155138 לקוח אינטרנט",'Source'!$B:$B,$A552)</f>
        <v>2</v>
      </c>
      <c r="E552" s="8" t="n">
        <f aca="false">D552*$J$5</f>
        <v>2.52631578947368</v>
      </c>
      <c r="F552" s="8" t="n">
        <f aca="false">E552-C552</f>
        <v>-2.47368421052632</v>
      </c>
      <c r="G552" s="9" t="n">
        <f aca="false">IF(AND(C552=0,E552=0),0,IF(C552=0,"New",(E552-C552)/C552))</f>
        <v>-0.494736842105263</v>
      </c>
      <c r="H552" s="8" t="n">
        <f aca="false">SUMIFS('Source'!$E:$E,'Source'!$A:$A,"155138 לקוח אינטרנט",'Source'!$B:$B,$A552)</f>
        <v>279.35</v>
      </c>
      <c r="I552" s="8" t="n">
        <f aca="false">SUMIFS('Source'!$G:$G,'Source'!$A:$A,"155138 לקוח אינטרנט",'Source'!$B:$B,$A552)</f>
        <v>120.6</v>
      </c>
      <c r="J552" s="8" t="n">
        <f aca="false">I552*$J$5</f>
        <v>152.336842105263</v>
      </c>
      <c r="K552" s="8" t="n">
        <f aca="false">J552-H552</f>
        <v>-127.013157894737</v>
      </c>
      <c r="L552" s="9" t="n">
        <f aca="false">IF(AND(H552=0,J552=0),0,IF(H552=0,"New",(J552-H552)/H552))</f>
        <v>-0.454673914067431</v>
      </c>
      <c r="M552" s="7" t="str">
        <f aca="false">IF(AND(OR(C552&lt;&gt;0,H552&lt;&gt;0),D552=0,I552=0),"DROP",IF(AND(OR(D552&lt;&gt;0,I552&lt;&gt;0),C552=0,H552=0),"NEW",""))</f>
        <v/>
      </c>
    </row>
    <row r="553" customFormat="false" ht="15" hidden="false" customHeight="false" outlineLevel="0" collapsed="false">
      <c r="A553" s="7" t="s">
        <v>643</v>
      </c>
      <c r="B553" s="7" t="str">
        <f aca="false">IFERROR(INDEX('Source'!$C:$C,MATCH($A553,'Source'!$B:$B,0)),"")</f>
        <v>כרית סיליקון לעקב</v>
      </c>
      <c r="C553" s="8" t="n">
        <f aca="false">SUMIFS('Source'!$D:$D,'Source'!$A:$A,"155138 לקוח אינטרנט",'Source'!$B:$B,$A553)</f>
        <v>3</v>
      </c>
      <c r="D553" s="8" t="n">
        <f aca="false">SUMIFS('Source'!$F:$F,'Source'!$A:$A,"155138 לקוח אינטרנט",'Source'!$B:$B,$A553)</f>
        <v>2</v>
      </c>
      <c r="E553" s="8" t="n">
        <f aca="false">D553*$J$5</f>
        <v>2.52631578947368</v>
      </c>
      <c r="F553" s="8" t="n">
        <f aca="false">E553-C553</f>
        <v>-0.473684210526316</v>
      </c>
      <c r="G553" s="9" t="n">
        <f aca="false">IF(AND(C553=0,E553=0),0,IF(C553=0,"New",(E553-C553)/C553))</f>
        <v>-0.157894736842105</v>
      </c>
      <c r="H553" s="8" t="n">
        <f aca="false">SUMIFS('Source'!$E:$E,'Source'!$A:$A,"155138 לקוח אינטרנט",'Source'!$B:$B,$A553)</f>
        <v>475.55</v>
      </c>
      <c r="I553" s="8" t="n">
        <f aca="false">SUMIFS('Source'!$G:$G,'Source'!$A:$A,"155138 לקוח אינטרנט",'Source'!$B:$B,$A553)</f>
        <v>317.05</v>
      </c>
      <c r="J553" s="8" t="n">
        <f aca="false">I553*$J$5</f>
        <v>400.484210526316</v>
      </c>
      <c r="K553" s="8" t="n">
        <f aca="false">J553-H553</f>
        <v>-75.0657894736842</v>
      </c>
      <c r="L553" s="9" t="n">
        <f aca="false">IF(AND(H553=0,J553=0),0,IF(H553=0,"New",(J553-H553)/H553))</f>
        <v>-0.157850466772546</v>
      </c>
      <c r="M553" s="7" t="str">
        <f aca="false">IF(AND(OR(C553&lt;&gt;0,H553&lt;&gt;0),D553=0,I553=0),"DROP",IF(AND(OR(D553&lt;&gt;0,I553&lt;&gt;0),C553=0,H553=0),"NEW",""))</f>
        <v/>
      </c>
    </row>
    <row r="554" customFormat="false" ht="15" hidden="false" customHeight="false" outlineLevel="0" collapsed="false">
      <c r="A554" s="7" t="s">
        <v>644</v>
      </c>
      <c r="B554" s="7" t="str">
        <f aca="false">IFERROR(INDEX('Source'!$C:$C,MATCH($A554,'Source'!$B:$B,0)),"")</f>
        <v>סד לאגודל</v>
      </c>
      <c r="C554" s="8" t="n">
        <f aca="false">SUMIFS('Source'!$D:$D,'Source'!$A:$A,"155138 לקוח אינטרנט",'Source'!$B:$B,$A554)</f>
        <v>1</v>
      </c>
      <c r="D554" s="8" t="n">
        <f aca="false">SUMIFS('Source'!$F:$F,'Source'!$A:$A,"155138 לקוח אינטרנט",'Source'!$B:$B,$A554)</f>
        <v>0</v>
      </c>
      <c r="E554" s="8" t="n">
        <f aca="false">D554*$J$5</f>
        <v>0</v>
      </c>
      <c r="F554" s="8" t="n">
        <f aca="false">E554-C554</f>
        <v>-1</v>
      </c>
      <c r="G554" s="9" t="n">
        <f aca="false">IF(AND(C554=0,E554=0),0,IF(C554=0,"New",(E554-C554)/C554))</f>
        <v>-1</v>
      </c>
      <c r="H554" s="8" t="n">
        <f aca="false">SUMIFS('Source'!$E:$E,'Source'!$A:$A,"155138 לקוח אינטרנט",'Source'!$B:$B,$A554)</f>
        <v>158.41</v>
      </c>
      <c r="I554" s="8" t="n">
        <f aca="false">SUMIFS('Source'!$G:$G,'Source'!$A:$A,"155138 לקוח אינטרנט",'Source'!$B:$B,$A554)</f>
        <v>0</v>
      </c>
      <c r="J554" s="8" t="n">
        <f aca="false">I554*$J$5</f>
        <v>0</v>
      </c>
      <c r="K554" s="8" t="n">
        <f aca="false">J554-H554</f>
        <v>-158.41</v>
      </c>
      <c r="L554" s="9" t="n">
        <f aca="false">IF(AND(H554=0,J554=0),0,IF(H554=0,"New",(J554-H554)/H554))</f>
        <v>-1</v>
      </c>
      <c r="M554" s="7" t="str">
        <f aca="false">IF(AND(OR(C554&lt;&gt;0,H554&lt;&gt;0),D554=0,I554=0),"DROP",IF(AND(OR(D554&lt;&gt;0,I554&lt;&gt;0),C554=0,H554=0),"NEW",""))</f>
        <v>DROP</v>
      </c>
    </row>
    <row r="555" customFormat="false" ht="15" hidden="false" customHeight="false" outlineLevel="0" collapsed="false">
      <c r="A555" s="7" t="s">
        <v>645</v>
      </c>
      <c r="B555" s="7" t="str">
        <f aca="false">IFERROR(INDEX('Source'!$C:$C,MATCH($A555,'Source'!$B:$B,0)),"")</f>
        <v>חגורת בטן עממית אפור</v>
      </c>
      <c r="C555" s="8" t="n">
        <f aca="false">SUMIFS('Source'!$D:$D,'Source'!$A:$A,"155138 לקוח אינטרנט",'Source'!$B:$B,$A555)</f>
        <v>5</v>
      </c>
      <c r="D555" s="8" t="n">
        <f aca="false">SUMIFS('Source'!$F:$F,'Source'!$A:$A,"155138 לקוח אינטרנט",'Source'!$B:$B,$A555)</f>
        <v>6</v>
      </c>
      <c r="E555" s="8" t="n">
        <f aca="false">D555*$J$5</f>
        <v>7.57894736842105</v>
      </c>
      <c r="F555" s="8" t="n">
        <f aca="false">E555-C555</f>
        <v>2.57894736842105</v>
      </c>
      <c r="G555" s="9" t="n">
        <f aca="false">IF(AND(C555=0,E555=0),0,IF(C555=0,"New",(E555-C555)/C555))</f>
        <v>0.515789473684211</v>
      </c>
      <c r="H555" s="8" t="n">
        <f aca="false">SUMIFS('Source'!$E:$E,'Source'!$A:$A,"155138 לקוח אינטרנט",'Source'!$B:$B,$A555)</f>
        <v>903.85</v>
      </c>
      <c r="I555" s="8" t="n">
        <f aca="false">SUMIFS('Source'!$G:$G,'Source'!$A:$A,"155138 לקוח אינטרנט",'Source'!$B:$B,$A555)</f>
        <v>1062.23</v>
      </c>
      <c r="J555" s="8" t="n">
        <f aca="false">I555*$J$5</f>
        <v>1341.76421052632</v>
      </c>
      <c r="K555" s="8" t="n">
        <f aca="false">J555-H555</f>
        <v>437.914210526316</v>
      </c>
      <c r="L555" s="9" t="n">
        <f aca="false">IF(AND(H555=0,J555=0),0,IF(H555=0,"New",(J555-H555)/H555))</f>
        <v>0.484498766970532</v>
      </c>
      <c r="M555" s="7" t="str">
        <f aca="false">IF(AND(OR(C555&lt;&gt;0,H555&lt;&gt;0),D555=0,I555=0),"DROP",IF(AND(OR(D555&lt;&gt;0,I555&lt;&gt;0),C555=0,H555=0),"NEW",""))</f>
        <v/>
      </c>
    </row>
    <row r="556" customFormat="false" ht="15" hidden="false" customHeight="false" outlineLevel="0" collapsed="false">
      <c r="A556" s="7" t="s">
        <v>646</v>
      </c>
      <c r="B556" s="7" t="str">
        <f aca="false">IFERROR(INDEX('Source'!$C:$C,MATCH($A556,'Source'!$B:$B,0)),"")</f>
        <v>חבק יד</v>
      </c>
      <c r="C556" s="8" t="n">
        <f aca="false">SUMIFS('Source'!$D:$D,'Source'!$A:$A,"155138 לקוח אינטרנט",'Source'!$B:$B,$A556)</f>
        <v>40</v>
      </c>
      <c r="D556" s="8" t="n">
        <f aca="false">SUMIFS('Source'!$F:$F,'Source'!$A:$A,"155138 לקוח אינטרנט",'Source'!$B:$B,$A556)</f>
        <v>37</v>
      </c>
      <c r="E556" s="8" t="n">
        <f aca="false">D556*$J$5</f>
        <v>46.7368421052632</v>
      </c>
      <c r="F556" s="8" t="n">
        <f aca="false">E556-C556</f>
        <v>6.73684210526316</v>
      </c>
      <c r="G556" s="9" t="n">
        <f aca="false">IF(AND(C556=0,E556=0),0,IF(C556=0,"New",(E556-C556)/C556))</f>
        <v>0.168421052631579</v>
      </c>
      <c r="H556" s="8" t="n">
        <f aca="false">SUMIFS('Source'!$E:$E,'Source'!$A:$A,"155138 לקוח אינטרנט",'Source'!$B:$B,$A556)</f>
        <v>1979.25</v>
      </c>
      <c r="I556" s="8" t="n">
        <f aca="false">SUMIFS('Source'!$G:$G,'Source'!$A:$A,"155138 לקוח אינטרנט",'Source'!$B:$B,$A556)</f>
        <v>1824.45</v>
      </c>
      <c r="J556" s="8" t="n">
        <f aca="false">I556*$J$5</f>
        <v>2304.56842105263</v>
      </c>
      <c r="K556" s="8" t="n">
        <f aca="false">J556-H556</f>
        <v>325.318421052632</v>
      </c>
      <c r="L556" s="9" t="n">
        <f aca="false">IF(AND(H556=0,J556=0),0,IF(H556=0,"New",(J556-H556)/H556))</f>
        <v>0.164364492132187</v>
      </c>
      <c r="M556" s="7" t="str">
        <f aca="false">IF(AND(OR(C556&lt;&gt;0,H556&lt;&gt;0),D556=0,I556=0),"DROP",IF(AND(OR(D556&lt;&gt;0,I556&lt;&gt;0),C556=0,H556=0),"NEW",""))</f>
        <v/>
      </c>
    </row>
    <row r="557" customFormat="false" ht="15" hidden="false" customHeight="false" outlineLevel="0" collapsed="false">
      <c r="A557" s="7" t="s">
        <v>647</v>
      </c>
      <c r="B557" s="7" t="str">
        <f aca="false">IFERROR(INDEX('Source'!$C:$C,MATCH($A557,'Source'!$B:$B,0)),"")</f>
        <v>מיצב פיקה</v>
      </c>
      <c r="C557" s="8" t="n">
        <f aca="false">SUMIFS('Source'!$D:$D,'Source'!$A:$A,"155138 לקוח אינטרנט",'Source'!$B:$B,$A557)</f>
        <v>1</v>
      </c>
      <c r="D557" s="8" t="n">
        <f aca="false">SUMIFS('Source'!$F:$F,'Source'!$A:$A,"155138 לקוח אינטרנט",'Source'!$B:$B,$A557)</f>
        <v>0</v>
      </c>
      <c r="E557" s="8" t="n">
        <f aca="false">D557*$J$5</f>
        <v>0</v>
      </c>
      <c r="F557" s="8" t="n">
        <f aca="false">E557-C557</f>
        <v>-1</v>
      </c>
      <c r="G557" s="9" t="n">
        <f aca="false">IF(AND(C557=0,E557=0),0,IF(C557=0,"New",(E557-C557)/C557))</f>
        <v>-1</v>
      </c>
      <c r="H557" s="8" t="n">
        <f aca="false">SUMIFS('Source'!$E:$E,'Source'!$A:$A,"155138 לקוח אינטרנט",'Source'!$B:$B,$A557)</f>
        <v>153.99</v>
      </c>
      <c r="I557" s="8" t="n">
        <f aca="false">SUMIFS('Source'!$G:$G,'Source'!$A:$A,"155138 לקוח אינטרנט",'Source'!$B:$B,$A557)</f>
        <v>0</v>
      </c>
      <c r="J557" s="8" t="n">
        <f aca="false">I557*$J$5</f>
        <v>0</v>
      </c>
      <c r="K557" s="8" t="n">
        <f aca="false">J557-H557</f>
        <v>-153.99</v>
      </c>
      <c r="L557" s="9" t="n">
        <f aca="false">IF(AND(H557=0,J557=0),0,IF(H557=0,"New",(J557-H557)/H557))</f>
        <v>-1</v>
      </c>
      <c r="M557" s="7" t="str">
        <f aca="false">IF(AND(OR(C557&lt;&gt;0,H557&lt;&gt;0),D557=0,I557=0),"DROP",IF(AND(OR(D557&lt;&gt;0,I557&lt;&gt;0),C557=0,H557=0),"NEW",""))</f>
        <v>DROP</v>
      </c>
    </row>
    <row r="558" customFormat="false" ht="15" hidden="false" customHeight="false" outlineLevel="0" collapsed="false">
      <c r="A558" s="7" t="s">
        <v>648</v>
      </c>
      <c r="B558" s="7" t="str">
        <f aca="false">IFERROR(INDEX('Source'!$C:$C,MATCH($A558,'Source'!$B:$B,0)),"")</f>
        <v>מגן מרפק שחור</v>
      </c>
      <c r="C558" s="8" t="n">
        <f aca="false">SUMIFS('Source'!$D:$D,'Source'!$A:$A,"155138 לקוח אינטרנט",'Source'!$B:$B,$A558)</f>
        <v>6</v>
      </c>
      <c r="D558" s="8" t="n">
        <f aca="false">SUMIFS('Source'!$F:$F,'Source'!$A:$A,"155138 לקוח אינטרנט",'Source'!$B:$B,$A558)</f>
        <v>4</v>
      </c>
      <c r="E558" s="8" t="n">
        <f aca="false">D558*$J$5</f>
        <v>5.05263157894737</v>
      </c>
      <c r="F558" s="8" t="n">
        <f aca="false">E558-C558</f>
        <v>-0.947368421052632</v>
      </c>
      <c r="G558" s="9" t="n">
        <f aca="false">IF(AND(C558=0,E558=0),0,IF(C558=0,"New",(E558-C558)/C558))</f>
        <v>-0.157894736842105</v>
      </c>
      <c r="H558" s="8" t="n">
        <f aca="false">SUMIFS('Source'!$E:$E,'Source'!$A:$A,"155138 לקוח אינטרנט",'Source'!$B:$B,$A558)</f>
        <v>309.97</v>
      </c>
      <c r="I558" s="8" t="n">
        <f aca="false">SUMIFS('Source'!$G:$G,'Source'!$A:$A,"155138 לקוח אינטרנט",'Source'!$B:$B,$A558)</f>
        <v>156.71</v>
      </c>
      <c r="J558" s="8" t="n">
        <f aca="false">I558*$J$5</f>
        <v>197.949473684211</v>
      </c>
      <c r="K558" s="8" t="n">
        <f aca="false">J558-H558</f>
        <v>-112.02052631579</v>
      </c>
      <c r="L558" s="9" t="n">
        <f aca="false">IF(AND(H558=0,J558=0),0,IF(H558=0,"New",(J558-H558)/H558))</f>
        <v>-0.36139150987447</v>
      </c>
      <c r="M558" s="7" t="str">
        <f aca="false">IF(AND(OR(C558&lt;&gt;0,H558&lt;&gt;0),D558=0,I558=0),"DROP",IF(AND(OR(D558&lt;&gt;0,I558&lt;&gt;0),C558=0,H558=0),"NEW",""))</f>
        <v/>
      </c>
    </row>
    <row r="559" customFormat="false" ht="15" hidden="false" customHeight="false" outlineLevel="0" collapsed="false">
      <c r="A559" s="7" t="s">
        <v>70</v>
      </c>
      <c r="B559" s="7" t="str">
        <f aca="false">IFERROR(INDEX('Source'!$C:$C,MATCH($A559,'Source'!$B:$B,0)),"")</f>
        <v>סד יד</v>
      </c>
      <c r="C559" s="8" t="n">
        <f aca="false">SUMIFS('Source'!$D:$D,'Source'!$A:$A,"155138 לקוח אינטרנט",'Source'!$B:$B,$A559)</f>
        <v>2</v>
      </c>
      <c r="D559" s="8" t="n">
        <f aca="false">SUMIFS('Source'!$F:$F,'Source'!$A:$A,"155138 לקוח אינטרנט",'Source'!$B:$B,$A559)</f>
        <v>0</v>
      </c>
      <c r="E559" s="8" t="n">
        <f aca="false">D559*$J$5</f>
        <v>0</v>
      </c>
      <c r="F559" s="8" t="n">
        <f aca="false">E559-C559</f>
        <v>-2</v>
      </c>
      <c r="G559" s="9" t="n">
        <f aca="false">IF(AND(C559=0,E559=0),0,IF(C559=0,"New",(E559-C559)/C559))</f>
        <v>-1</v>
      </c>
      <c r="H559" s="8" t="n">
        <f aca="false">SUMIFS('Source'!$E:$E,'Source'!$A:$A,"155138 לקוח אינטרנט",'Source'!$B:$B,$A559)</f>
        <v>153.02</v>
      </c>
      <c r="I559" s="8" t="n">
        <f aca="false">SUMIFS('Source'!$G:$G,'Source'!$A:$A,"155138 לקוח אינטרנט",'Source'!$B:$B,$A559)</f>
        <v>0</v>
      </c>
      <c r="J559" s="8" t="n">
        <f aca="false">I559*$J$5</f>
        <v>0</v>
      </c>
      <c r="K559" s="8" t="n">
        <f aca="false">J559-H559</f>
        <v>-153.02</v>
      </c>
      <c r="L559" s="9" t="n">
        <f aca="false">IF(AND(H559=0,J559=0),0,IF(H559=0,"New",(J559-H559)/H559))</f>
        <v>-1</v>
      </c>
      <c r="M559" s="7" t="str">
        <f aca="false">IF(AND(OR(C559&lt;&gt;0,H559&lt;&gt;0),D559=0,I559=0),"DROP",IF(AND(OR(D559&lt;&gt;0,I559&lt;&gt;0),C559=0,H559=0),"NEW",""))</f>
        <v>DROP</v>
      </c>
    </row>
    <row r="560" customFormat="false" ht="15" hidden="false" customHeight="false" outlineLevel="0" collapsed="false">
      <c r="A560" s="7" t="s">
        <v>649</v>
      </c>
      <c r="B560" s="7" t="str">
        <f aca="false">IFERROR(INDEX('Source'!$C:$C,MATCH($A560,'Source'!$B:$B,0)),"")</f>
        <v>כרית סיליקון לעקב</v>
      </c>
      <c r="C560" s="8" t="n">
        <f aca="false">SUMIFS('Source'!$D:$D,'Source'!$A:$A,"155138 לקוח אינטרנט",'Source'!$B:$B,$A560)</f>
        <v>17</v>
      </c>
      <c r="D560" s="8" t="n">
        <f aca="false">SUMIFS('Source'!$F:$F,'Source'!$A:$A,"155138 לקוח אינטרנט",'Source'!$B:$B,$A560)</f>
        <v>15</v>
      </c>
      <c r="E560" s="8" t="n">
        <f aca="false">D560*$J$5</f>
        <v>18.9473684210526</v>
      </c>
      <c r="F560" s="8" t="n">
        <f aca="false">E560-C560</f>
        <v>1.94736842105263</v>
      </c>
      <c r="G560" s="9" t="n">
        <f aca="false">IF(AND(C560=0,E560=0),0,IF(C560=0,"New",(E560-C560)/C560))</f>
        <v>0.114551083591331</v>
      </c>
      <c r="H560" s="8" t="n">
        <f aca="false">SUMIFS('Source'!$E:$E,'Source'!$A:$A,"155138 לקוח אינטרנט",'Source'!$B:$B,$A560)</f>
        <v>2561.29</v>
      </c>
      <c r="I560" s="8" t="n">
        <f aca="false">SUMIFS('Source'!$G:$G,'Source'!$A:$A,"155138 לקוח אינטרנט",'Source'!$B:$B,$A560)</f>
        <v>2411.17</v>
      </c>
      <c r="J560" s="8" t="n">
        <f aca="false">I560*$J$5</f>
        <v>3045.68842105263</v>
      </c>
      <c r="K560" s="8" t="n">
        <f aca="false">J560-H560</f>
        <v>484.398421052631</v>
      </c>
      <c r="L560" s="9" t="n">
        <f aca="false">IF(AND(H560=0,J560=0),0,IF(H560=0,"New",(J560-H560)/H560))</f>
        <v>0.189122833046095</v>
      </c>
      <c r="M560" s="7" t="str">
        <f aca="false">IF(AND(OR(C560&lt;&gt;0,H560&lt;&gt;0),D560=0,I560=0),"DROP",IF(AND(OR(D560&lt;&gt;0,I560&lt;&gt;0),C560=0,H560=0),"NEW",""))</f>
        <v/>
      </c>
    </row>
    <row r="561" customFormat="false" ht="15" hidden="false" customHeight="false" outlineLevel="0" collapsed="false">
      <c r="A561" s="7" t="s">
        <v>650</v>
      </c>
      <c r="B561" s="7" t="str">
        <f aca="false">IFERROR(INDEX('Source'!$C:$C,MATCH($A561,'Source'!$B:$B,0)),"")</f>
        <v>כ.הפרדת אצבעות ס</v>
      </c>
      <c r="C561" s="8" t="n">
        <f aca="false">SUMIFS('Source'!$D:$D,'Source'!$A:$A,"155138 לקוח אינטרנט",'Source'!$B:$B,$A561)</f>
        <v>47</v>
      </c>
      <c r="D561" s="8" t="n">
        <f aca="false">SUMIFS('Source'!$F:$F,'Source'!$A:$A,"155138 לקוח אינטרנט",'Source'!$B:$B,$A561)</f>
        <v>38</v>
      </c>
      <c r="E561" s="8" t="n">
        <f aca="false">D561*$J$5</f>
        <v>48</v>
      </c>
      <c r="F561" s="8" t="n">
        <f aca="false">E561-C561</f>
        <v>1</v>
      </c>
      <c r="G561" s="9" t="n">
        <f aca="false">IF(AND(C561=0,E561=0),0,IF(C561=0,"New",(E561-C561)/C561))</f>
        <v>0.0212765957446809</v>
      </c>
      <c r="H561" s="8" t="n">
        <f aca="false">SUMIFS('Source'!$E:$E,'Source'!$A:$A,"155138 לקוח אינטרנט",'Source'!$B:$B,$A561)</f>
        <v>1124.83</v>
      </c>
      <c r="I561" s="8" t="n">
        <f aca="false">SUMIFS('Source'!$G:$G,'Source'!$A:$A,"155138 לקוח אינטרנט",'Source'!$B:$B,$A561)</f>
        <v>976.87</v>
      </c>
      <c r="J561" s="8" t="n">
        <f aca="false">I561*$J$5</f>
        <v>1233.94105263158</v>
      </c>
      <c r="K561" s="8" t="n">
        <f aca="false">J561-H561</f>
        <v>109.111052631579</v>
      </c>
      <c r="L561" s="9" t="n">
        <f aca="false">IF(AND(H561=0,J561=0),0,IF(H561=0,"New",(J561-H561)/H561))</f>
        <v>0.0970022604585395</v>
      </c>
      <c r="M561" s="7" t="str">
        <f aca="false">IF(AND(OR(C561&lt;&gt;0,H561&lt;&gt;0),D561=0,I561=0),"DROP",IF(AND(OR(D561&lt;&gt;0,I561&lt;&gt;0),C561=0,H561=0),"NEW",""))</f>
        <v/>
      </c>
    </row>
    <row r="562" customFormat="false" ht="15" hidden="false" customHeight="false" outlineLevel="0" collapsed="false">
      <c r="A562" s="7" t="s">
        <v>651</v>
      </c>
      <c r="B562" s="7" t="str">
        <f aca="false">IFERROR(INDEX('Source'!$C:$C,MATCH($A562,'Source'!$B:$B,0)),"")</f>
        <v>מגן שוק SC39</v>
      </c>
      <c r="C562" s="8" t="n">
        <f aca="false">SUMIFS('Source'!$D:$D,'Source'!$A:$A,"155138 לקוח אינטרנט",'Source'!$B:$B,$A562)</f>
        <v>48</v>
      </c>
      <c r="D562" s="8" t="n">
        <f aca="false">SUMIFS('Source'!$F:$F,'Source'!$A:$A,"155138 לקוח אינטרנט",'Source'!$B:$B,$A562)</f>
        <v>43</v>
      </c>
      <c r="E562" s="8" t="n">
        <f aca="false">D562*$J$5</f>
        <v>54.3157894736842</v>
      </c>
      <c r="F562" s="8" t="n">
        <f aca="false">E562-C562</f>
        <v>6.31578947368421</v>
      </c>
      <c r="G562" s="9" t="n">
        <f aca="false">IF(AND(C562=0,E562=0),0,IF(C562=0,"New",(E562-C562)/C562))</f>
        <v>0.131578947368421</v>
      </c>
      <c r="H562" s="8" t="n">
        <f aca="false">SUMIFS('Source'!$E:$E,'Source'!$A:$A,"155138 לקוח אינטרנט",'Source'!$B:$B,$A562)</f>
        <v>11668.72</v>
      </c>
      <c r="I562" s="8" t="n">
        <f aca="false">SUMIFS('Source'!$G:$G,'Source'!$A:$A,"155138 לקוח אינטרנט",'Source'!$B:$B,$A562)</f>
        <v>11521.22</v>
      </c>
      <c r="J562" s="8" t="n">
        <f aca="false">I562*$J$5</f>
        <v>14553.12</v>
      </c>
      <c r="K562" s="8" t="n">
        <f aca="false">J562-H562</f>
        <v>2884.4</v>
      </c>
      <c r="L562" s="9" t="n">
        <f aca="false">IF(AND(H562=0,J562=0),0,IF(H562=0,"New",(J562-H562)/H562))</f>
        <v>0.247190780136982</v>
      </c>
      <c r="M562" s="7" t="str">
        <f aca="false">IF(AND(OR(C562&lt;&gt;0,H562&lt;&gt;0),D562=0,I562=0),"DROP",IF(AND(OR(D562&lt;&gt;0,I562&lt;&gt;0),C562=0,H562=0),"NEW",""))</f>
        <v/>
      </c>
    </row>
    <row r="563" customFormat="false" ht="15" hidden="false" customHeight="false" outlineLevel="0" collapsed="false">
      <c r="A563" s="7" t="s">
        <v>652</v>
      </c>
      <c r="B563" s="7" t="str">
        <f aca="false">IFERROR(INDEX('Source'!$C:$C,MATCH($A563,'Source'!$B:$B,0)),"")</f>
        <v>מגן מרפק רגיל</v>
      </c>
      <c r="C563" s="8" t="n">
        <f aca="false">SUMIFS('Source'!$D:$D,'Source'!$A:$A,"155138 לקוח אינטרנט",'Source'!$B:$B,$A563)</f>
        <v>1</v>
      </c>
      <c r="D563" s="8" t="n">
        <f aca="false">SUMIFS('Source'!$F:$F,'Source'!$A:$A,"155138 לקוח אינטרנט",'Source'!$B:$B,$A563)</f>
        <v>0</v>
      </c>
      <c r="E563" s="8" t="n">
        <f aca="false">D563*$J$5</f>
        <v>0</v>
      </c>
      <c r="F563" s="8" t="n">
        <f aca="false">E563-C563</f>
        <v>-1</v>
      </c>
      <c r="G563" s="9" t="n">
        <f aca="false">IF(AND(C563=0,E563=0),0,IF(C563=0,"New",(E563-C563)/C563))</f>
        <v>-1</v>
      </c>
      <c r="H563" s="8" t="n">
        <f aca="false">SUMIFS('Source'!$E:$E,'Source'!$A:$A,"155138 לקוח אינטרנט",'Source'!$B:$B,$A563)</f>
        <v>145.43</v>
      </c>
      <c r="I563" s="8" t="n">
        <f aca="false">SUMIFS('Source'!$G:$G,'Source'!$A:$A,"155138 לקוח אינטרנט",'Source'!$B:$B,$A563)</f>
        <v>0</v>
      </c>
      <c r="J563" s="8" t="n">
        <f aca="false">I563*$J$5</f>
        <v>0</v>
      </c>
      <c r="K563" s="8" t="n">
        <f aca="false">J563-H563</f>
        <v>-145.43</v>
      </c>
      <c r="L563" s="9" t="n">
        <f aca="false">IF(AND(H563=0,J563=0),0,IF(H563=0,"New",(J563-H563)/H563))</f>
        <v>-1</v>
      </c>
      <c r="M563" s="7" t="str">
        <f aca="false">IF(AND(OR(C563&lt;&gt;0,H563&lt;&gt;0),D563=0,I563=0),"DROP",IF(AND(OR(D563&lt;&gt;0,I563&lt;&gt;0),C563=0,H563=0),"NEW",""))</f>
        <v>DROP</v>
      </c>
    </row>
    <row r="564" customFormat="false" ht="15" hidden="false" customHeight="false" outlineLevel="0" collapsed="false">
      <c r="A564" s="7" t="s">
        <v>653</v>
      </c>
      <c r="B564" s="7" t="str">
        <f aca="false">IFERROR(INDEX('Source'!$C:$C,MATCH($A564,'Source'!$B:$B,0)),"")</f>
        <v>קינזיולוגי טייפ</v>
      </c>
      <c r="C564" s="8" t="n">
        <f aca="false">SUMIFS('Source'!$D:$D,'Source'!$A:$A,"155138 לקוח אינטרנט",'Source'!$B:$B,$A564)</f>
        <v>2</v>
      </c>
      <c r="D564" s="8" t="n">
        <f aca="false">SUMIFS('Source'!$F:$F,'Source'!$A:$A,"155138 לקוח אינטרנט",'Source'!$B:$B,$A564)</f>
        <v>0</v>
      </c>
      <c r="E564" s="8" t="n">
        <f aca="false">D564*$J$5</f>
        <v>0</v>
      </c>
      <c r="F564" s="8" t="n">
        <f aca="false">E564-C564</f>
        <v>-2</v>
      </c>
      <c r="G564" s="9" t="n">
        <f aca="false">IF(AND(C564=0,E564=0),0,IF(C564=0,"New",(E564-C564)/C564))</f>
        <v>-1</v>
      </c>
      <c r="H564" s="8" t="n">
        <f aca="false">SUMIFS('Source'!$E:$E,'Source'!$A:$A,"155138 לקוח אינטרנט",'Source'!$B:$B,$A564)</f>
        <v>141.09</v>
      </c>
      <c r="I564" s="8" t="n">
        <f aca="false">SUMIFS('Source'!$G:$G,'Source'!$A:$A,"155138 לקוח אינטרנט",'Source'!$B:$B,$A564)</f>
        <v>0</v>
      </c>
      <c r="J564" s="8" t="n">
        <f aca="false">I564*$J$5</f>
        <v>0</v>
      </c>
      <c r="K564" s="8" t="n">
        <f aca="false">J564-H564</f>
        <v>-141.09</v>
      </c>
      <c r="L564" s="9" t="n">
        <f aca="false">IF(AND(H564=0,J564=0),0,IF(H564=0,"New",(J564-H564)/H564))</f>
        <v>-1</v>
      </c>
      <c r="M564" s="7" t="str">
        <f aca="false">IF(AND(OR(C564&lt;&gt;0,H564&lt;&gt;0),D564=0,I564=0),"DROP",IF(AND(OR(D564&lt;&gt;0,I564&lt;&gt;0),C564=0,H564=0),"NEW",""))</f>
        <v>DROP</v>
      </c>
    </row>
    <row r="565" customFormat="false" ht="15" hidden="false" customHeight="false" outlineLevel="0" collapsed="false">
      <c r="A565" s="7" t="s">
        <v>654</v>
      </c>
      <c r="B565" s="7" t="str">
        <f aca="false">IFERROR(INDEX('Source'!$C:$C,MATCH($A565,'Source'!$B:$B,0)),"")</f>
        <v>מגן יד</v>
      </c>
      <c r="C565" s="8" t="n">
        <f aca="false">SUMIFS('Source'!$D:$D,'Source'!$A:$A,"155138 לקוח אינטרנט",'Source'!$B:$B,$A565)</f>
        <v>3</v>
      </c>
      <c r="D565" s="8" t="n">
        <f aca="false">SUMIFS('Source'!$F:$F,'Source'!$A:$A,"155138 לקוח אינטרנט",'Source'!$B:$B,$A565)</f>
        <v>5</v>
      </c>
      <c r="E565" s="8" t="n">
        <f aca="false">D565*$J$5</f>
        <v>6.31578947368421</v>
      </c>
      <c r="F565" s="8" t="n">
        <f aca="false">E565-C565</f>
        <v>3.31578947368421</v>
      </c>
      <c r="G565" s="9" t="n">
        <f aca="false">IF(AND(C565=0,E565=0),0,IF(C565=0,"New",(E565-C565)/C565))</f>
        <v>1.10526315789474</v>
      </c>
      <c r="H565" s="8" t="n">
        <f aca="false">SUMIFS('Source'!$E:$E,'Source'!$A:$A,"155138 לקוח אינטרנט",'Source'!$B:$B,$A565)</f>
        <v>205.06</v>
      </c>
      <c r="I565" s="8" t="n">
        <f aca="false">SUMIFS('Source'!$G:$G,'Source'!$A:$A,"155138 לקוח אינטרנט",'Source'!$B:$B,$A565)</f>
        <v>345.36</v>
      </c>
      <c r="J565" s="8" t="n">
        <f aca="false">I565*$J$5</f>
        <v>436.244210526316</v>
      </c>
      <c r="K565" s="8" t="n">
        <f aca="false">J565-H565</f>
        <v>231.184210526316</v>
      </c>
      <c r="L565" s="9" t="n">
        <f aca="false">IF(AND(H565=0,J565=0),0,IF(H565=0,"New",(J565-H565)/H565))</f>
        <v>1.12739788611292</v>
      </c>
      <c r="M565" s="7" t="str">
        <f aca="false">IF(AND(OR(C565&lt;&gt;0,H565&lt;&gt;0),D565=0,I565=0),"DROP",IF(AND(OR(D565&lt;&gt;0,I565&lt;&gt;0),C565=0,H565=0),"NEW",""))</f>
        <v/>
      </c>
    </row>
    <row r="566" customFormat="false" ht="15" hidden="false" customHeight="false" outlineLevel="0" collapsed="false">
      <c r="A566" s="7" t="s">
        <v>655</v>
      </c>
      <c r="B566" s="7" t="str">
        <f aca="false">IFERROR(INDEX('Source'!$C:$C,MATCH($A566,'Source'!$B:$B,0)),"")</f>
        <v>חגורה למנותחי בית החזה</v>
      </c>
      <c r="C566" s="8" t="n">
        <f aca="false">SUMIFS('Source'!$D:$D,'Source'!$A:$A,"155138 לקוח אינטרנט",'Source'!$B:$B,$A566)</f>
        <v>13</v>
      </c>
      <c r="D566" s="8" t="n">
        <f aca="false">SUMIFS('Source'!$F:$F,'Source'!$A:$A,"155138 לקוח אינטרנט",'Source'!$B:$B,$A566)</f>
        <v>13</v>
      </c>
      <c r="E566" s="8" t="n">
        <f aca="false">D566*$J$5</f>
        <v>16.4210526315789</v>
      </c>
      <c r="F566" s="8" t="n">
        <f aca="false">E566-C566</f>
        <v>3.42105263157895</v>
      </c>
      <c r="G566" s="9" t="n">
        <f aca="false">IF(AND(C566=0,E566=0),0,IF(C566=0,"New",(E566-C566)/C566))</f>
        <v>0.263157894736842</v>
      </c>
      <c r="H566" s="8" t="n">
        <f aca="false">SUMIFS('Source'!$E:$E,'Source'!$A:$A,"155138 לקוח אינטרנט",'Source'!$B:$B,$A566)</f>
        <v>3788.89</v>
      </c>
      <c r="I566" s="8" t="n">
        <f aca="false">SUMIFS('Source'!$G:$G,'Source'!$A:$A,"155138 לקוח אינטרנט",'Source'!$B:$B,$A566)</f>
        <v>3929.19</v>
      </c>
      <c r="J566" s="8" t="n">
        <f aca="false">I566*$J$5</f>
        <v>4963.18736842105</v>
      </c>
      <c r="K566" s="8" t="n">
        <f aca="false">J566-H566</f>
        <v>1174.29736842105</v>
      </c>
      <c r="L566" s="9" t="n">
        <f aca="false">IF(AND(H566=0,J566=0),0,IF(H566=0,"New",(J566-H566)/H566))</f>
        <v>0.309931765878939</v>
      </c>
      <c r="M566" s="7" t="str">
        <f aca="false">IF(AND(OR(C566&lt;&gt;0,H566&lt;&gt;0),D566=0,I566=0),"DROP",IF(AND(OR(D566&lt;&gt;0,I566&lt;&gt;0),C566=0,H566=0),"NEW",""))</f>
        <v/>
      </c>
    </row>
    <row r="567" customFormat="false" ht="15" hidden="false" customHeight="false" outlineLevel="0" collapsed="false">
      <c r="A567" s="7" t="s">
        <v>656</v>
      </c>
      <c r="B567" s="7" t="str">
        <f aca="false">IFERROR(INDEX('Source'!$C:$C,MATCH($A567,'Source'!$B:$B,0)),"")</f>
        <v>סד מאורך לאגודל</v>
      </c>
      <c r="C567" s="8" t="n">
        <f aca="false">SUMIFS('Source'!$D:$D,'Source'!$A:$A,"155138 לקוח אינטרנט",'Source'!$B:$B,$A567)</f>
        <v>3</v>
      </c>
      <c r="D567" s="8" t="n">
        <f aca="false">SUMIFS('Source'!$F:$F,'Source'!$A:$A,"155138 לקוח אינטרנט",'Source'!$B:$B,$A567)</f>
        <v>2</v>
      </c>
      <c r="E567" s="8" t="n">
        <f aca="false">D567*$J$5</f>
        <v>2.52631578947368</v>
      </c>
      <c r="F567" s="8" t="n">
        <f aca="false">E567-C567</f>
        <v>-0.473684210526316</v>
      </c>
      <c r="G567" s="9" t="n">
        <f aca="false">IF(AND(C567=0,E567=0),0,IF(C567=0,"New",(E567-C567)/C567))</f>
        <v>-0.157894736842105</v>
      </c>
      <c r="H567" s="8" t="n">
        <f aca="false">SUMIFS('Source'!$E:$E,'Source'!$A:$A,"155138 לקוח אינטרנט",'Source'!$B:$B,$A567)</f>
        <v>381.09</v>
      </c>
      <c r="I567" s="8" t="n">
        <f aca="false">SUMIFS('Source'!$G:$G,'Source'!$A:$A,"155138 לקוח אינטרנט",'Source'!$B:$B,$A567)</f>
        <v>241.37</v>
      </c>
      <c r="J567" s="8" t="n">
        <f aca="false">I567*$J$5</f>
        <v>304.888421052632</v>
      </c>
      <c r="K567" s="8" t="n">
        <f aca="false">J567-H567</f>
        <v>-76.2015789473684</v>
      </c>
      <c r="L567" s="9" t="n">
        <f aca="false">IF(AND(H567=0,J567=0),0,IF(H567=0,"New",(J567-H567)/H567))</f>
        <v>-0.199956910302995</v>
      </c>
      <c r="M567" s="7" t="str">
        <f aca="false">IF(AND(OR(C567&lt;&gt;0,H567&lt;&gt;0),D567=0,I567=0),"DROP",IF(AND(OR(D567&lt;&gt;0,I567&lt;&gt;0),C567=0,H567=0),"NEW",""))</f>
        <v/>
      </c>
    </row>
    <row r="568" customFormat="false" ht="15" hidden="false" customHeight="false" outlineLevel="0" collapsed="false">
      <c r="A568" s="7" t="s">
        <v>657</v>
      </c>
      <c r="B568" s="7" t="str">
        <f aca="false">IFERROR(INDEX('Source'!$C:$C,MATCH($A568,'Source'!$B:$B,0)),"")</f>
        <v>מגן ברך חום</v>
      </c>
      <c r="C568" s="8" t="n">
        <f aca="false">SUMIFS('Source'!$D:$D,'Source'!$A:$A,"155138 לקוח אינטרנט",'Source'!$B:$B,$A568)</f>
        <v>14</v>
      </c>
      <c r="D568" s="8" t="n">
        <f aca="false">SUMIFS('Source'!$F:$F,'Source'!$A:$A,"155138 לקוח אינטרנט",'Source'!$B:$B,$A568)</f>
        <v>15</v>
      </c>
      <c r="E568" s="8" t="n">
        <f aca="false">D568*$J$5</f>
        <v>18.9473684210526</v>
      </c>
      <c r="F568" s="8" t="n">
        <f aca="false">E568-C568</f>
        <v>4.94736842105263</v>
      </c>
      <c r="G568" s="9" t="n">
        <f aca="false">IF(AND(C568=0,E568=0),0,IF(C568=0,"New",(E568-C568)/C568))</f>
        <v>0.353383458646616</v>
      </c>
      <c r="H568" s="8" t="n">
        <f aca="false">SUMIFS('Source'!$E:$E,'Source'!$A:$A,"155138 לקוח אינטרנט",'Source'!$B:$B,$A568)</f>
        <v>693.62</v>
      </c>
      <c r="I568" s="8" t="n">
        <f aca="false">SUMIFS('Source'!$G:$G,'Source'!$A:$A,"155138 לקוח אינטרנט",'Source'!$B:$B,$A568)</f>
        <v>832.15</v>
      </c>
      <c r="J568" s="8" t="n">
        <f aca="false">I568*$J$5</f>
        <v>1051.13684210526</v>
      </c>
      <c r="K568" s="8" t="n">
        <f aca="false">J568-H568</f>
        <v>357.516842105263</v>
      </c>
      <c r="L568" s="9" t="n">
        <f aca="false">IF(AND(H568=0,J568=0),0,IF(H568=0,"New",(J568-H568)/H568))</f>
        <v>0.51543617846265</v>
      </c>
      <c r="M568" s="7" t="str">
        <f aca="false">IF(AND(OR(C568&lt;&gt;0,H568&lt;&gt;0),D568=0,I568=0),"DROP",IF(AND(OR(D568&lt;&gt;0,I568&lt;&gt;0),C568=0,H568=0),"NEW",""))</f>
        <v/>
      </c>
    </row>
    <row r="569" customFormat="false" ht="15" hidden="false" customHeight="false" outlineLevel="0" collapsed="false">
      <c r="A569" s="7" t="s">
        <v>658</v>
      </c>
      <c r="B569" s="7" t="str">
        <f aca="false">IFERROR(INDEX('Source'!$C:$C,MATCH($A569,'Source'!$B:$B,0)),"")</f>
        <v>מגן מרפק בז'</v>
      </c>
      <c r="C569" s="8" t="n">
        <f aca="false">SUMIFS('Source'!$D:$D,'Source'!$A:$A,"155138 לקוח אינטרנט",'Source'!$B:$B,$A569)</f>
        <v>0</v>
      </c>
      <c r="D569" s="8" t="n">
        <f aca="false">SUMIFS('Source'!$F:$F,'Source'!$A:$A,"155138 לקוח אינטרנט",'Source'!$B:$B,$A569)</f>
        <v>3</v>
      </c>
      <c r="E569" s="8" t="n">
        <f aca="false">D569*$J$5</f>
        <v>3.78947368421053</v>
      </c>
      <c r="F569" s="8" t="n">
        <f aca="false">E569-C569</f>
        <v>3.78947368421053</v>
      </c>
      <c r="G569" s="9" t="str">
        <f aca="false">IF(AND(C569=0,E569=0),0,IF(C569=0,"New",(E569-C569)/C569))</f>
        <v>New</v>
      </c>
      <c r="H569" s="8" t="n">
        <f aca="false">SUMIFS('Source'!$E:$E,'Source'!$A:$A,"155138 לקוח אינטרנט",'Source'!$B:$B,$A569)</f>
        <v>0</v>
      </c>
      <c r="I569" s="8" t="n">
        <f aca="false">SUMIFS('Source'!$G:$G,'Source'!$A:$A,"155138 לקוח אינטרנט",'Source'!$B:$B,$A569)</f>
        <v>137.04</v>
      </c>
      <c r="J569" s="8" t="n">
        <f aca="false">I569*$J$5</f>
        <v>173.103157894737</v>
      </c>
      <c r="K569" s="8" t="n">
        <f aca="false">J569-H569</f>
        <v>173.103157894737</v>
      </c>
      <c r="L569" s="9" t="str">
        <f aca="false">IF(AND(H569=0,J569=0),0,IF(H569=0,"New",(J569-H569)/H569))</f>
        <v>New</v>
      </c>
      <c r="M569" s="7" t="str">
        <f aca="false">IF(AND(OR(C569&lt;&gt;0,H569&lt;&gt;0),D569=0,I569=0),"DROP",IF(AND(OR(D569&lt;&gt;0,I569&lt;&gt;0),C569=0,H569=0),"NEW",""))</f>
        <v>NEW</v>
      </c>
    </row>
    <row r="570" customFormat="false" ht="15" hidden="false" customHeight="false" outlineLevel="0" collapsed="false">
      <c r="A570" s="7" t="s">
        <v>659</v>
      </c>
      <c r="B570" s="7" t="str">
        <f aca="false">IFERROR(INDEX('Source'!$C:$C,MATCH($A570,'Source'!$B:$B,0)),"")</f>
        <v>סד יד  בז'</v>
      </c>
      <c r="C570" s="8" t="n">
        <f aca="false">SUMIFS('Source'!$D:$D,'Source'!$A:$A,"155138 לקוח אינטרנט",'Source'!$B:$B,$A570)</f>
        <v>1</v>
      </c>
      <c r="D570" s="8" t="n">
        <f aca="false">SUMIFS('Source'!$F:$F,'Source'!$A:$A,"155138 לקוח אינטרנט",'Source'!$B:$B,$A570)</f>
        <v>2</v>
      </c>
      <c r="E570" s="8" t="n">
        <f aca="false">D570*$J$5</f>
        <v>2.52631578947368</v>
      </c>
      <c r="F570" s="8" t="n">
        <f aca="false">E570-C570</f>
        <v>1.52631578947368</v>
      </c>
      <c r="G570" s="9" t="n">
        <f aca="false">IF(AND(C570=0,E570=0),0,IF(C570=0,"New",(E570-C570)/C570))</f>
        <v>1.52631578947368</v>
      </c>
      <c r="H570" s="8" t="n">
        <f aca="false">SUMIFS('Source'!$E:$E,'Source'!$A:$A,"155138 לקוח אינטרנט",'Source'!$B:$B,$A570)</f>
        <v>167.05</v>
      </c>
      <c r="I570" s="8" t="n">
        <f aca="false">SUMIFS('Source'!$G:$G,'Source'!$A:$A,"155138 לקוח אינטרנט",'Source'!$B:$B,$A570)</f>
        <v>303.91</v>
      </c>
      <c r="J570" s="8" t="n">
        <f aca="false">I570*$J$5</f>
        <v>383.886315789474</v>
      </c>
      <c r="K570" s="8" t="n">
        <f aca="false">J570-H570</f>
        <v>216.836315789474</v>
      </c>
      <c r="L570" s="9" t="n">
        <f aca="false">IF(AND(H570=0,J570=0),0,IF(H570=0,"New",(J570-H570)/H570))</f>
        <v>1.29803242017045</v>
      </c>
      <c r="M570" s="7" t="str">
        <f aca="false">IF(AND(OR(C570&lt;&gt;0,H570&lt;&gt;0),D570=0,I570=0),"DROP",IF(AND(OR(D570&lt;&gt;0,I570&lt;&gt;0),C570=0,H570=0),"NEW",""))</f>
        <v/>
      </c>
    </row>
    <row r="571" customFormat="false" ht="15" hidden="false" customHeight="false" outlineLevel="0" collapsed="false">
      <c r="A571" s="7" t="s">
        <v>660</v>
      </c>
      <c r="B571" s="7" t="str">
        <f aca="false">IFERROR(INDEX('Source'!$C:$C,MATCH($A571,'Source'!$B:$B,0)),"")</f>
        <v>רפידת זיכרון 376</v>
      </c>
      <c r="C571" s="8" t="n">
        <f aca="false">SUMIFS('Source'!$D:$D,'Source'!$A:$A,"155138 לקוח אינטרנט",'Source'!$B:$B,$A571)</f>
        <v>5</v>
      </c>
      <c r="D571" s="8" t="n">
        <f aca="false">SUMIFS('Source'!$F:$F,'Source'!$A:$A,"155138 לקוח אינטרנט",'Source'!$B:$B,$A571)</f>
        <v>7</v>
      </c>
      <c r="E571" s="8" t="n">
        <f aca="false">D571*$J$5</f>
        <v>8.84210526315789</v>
      </c>
      <c r="F571" s="8" t="n">
        <f aca="false">E571-C571</f>
        <v>3.84210526315789</v>
      </c>
      <c r="G571" s="9" t="n">
        <f aca="false">IF(AND(C571=0,E571=0),0,IF(C571=0,"New",(E571-C571)/C571))</f>
        <v>0.768421052631579</v>
      </c>
      <c r="H571" s="8" t="n">
        <f aca="false">SUMIFS('Source'!$E:$E,'Source'!$A:$A,"155138 לקוח אינטרנט",'Source'!$B:$B,$A571)</f>
        <v>298.31</v>
      </c>
      <c r="I571" s="8" t="n">
        <f aca="false">SUMIFS('Source'!$G:$G,'Source'!$A:$A,"155138 לקוח אינטרנט",'Source'!$B:$B,$A571)</f>
        <v>434.79</v>
      </c>
      <c r="J571" s="8" t="n">
        <f aca="false">I571*$J$5</f>
        <v>549.208421052632</v>
      </c>
      <c r="K571" s="8" t="n">
        <f aca="false">J571-H571</f>
        <v>250.898421052632</v>
      </c>
      <c r="L571" s="9" t="n">
        <f aca="false">IF(AND(H571=0,J571=0),0,IF(H571=0,"New",(J571-H571)/H571))</f>
        <v>0.841066075735415</v>
      </c>
      <c r="M571" s="7" t="str">
        <f aca="false">IF(AND(OR(C571&lt;&gt;0,H571&lt;&gt;0),D571=0,I571=0),"DROP",IF(AND(OR(D571&lt;&gt;0,I571&lt;&gt;0),C571=0,H571=0),"NEW",""))</f>
        <v/>
      </c>
    </row>
    <row r="572" customFormat="false" ht="15" hidden="false" customHeight="false" outlineLevel="0" collapsed="false">
      <c r="A572" s="7" t="s">
        <v>661</v>
      </c>
      <c r="B572" s="7" t="str">
        <f aca="false">IFERROR(INDEX('Source'!$C:$C,MATCH($A572,'Source'!$B:$B,0)),"")</f>
        <v>רפידת נוחות</v>
      </c>
      <c r="C572" s="8" t="n">
        <f aca="false">SUMIFS('Source'!$D:$D,'Source'!$A:$A,"155138 לקוח אינטרנט",'Source'!$B:$B,$A572)</f>
        <v>21</v>
      </c>
      <c r="D572" s="8" t="n">
        <f aca="false">SUMIFS('Source'!$F:$F,'Source'!$A:$A,"155138 לקוח אינטרנט",'Source'!$B:$B,$A572)</f>
        <v>15</v>
      </c>
      <c r="E572" s="8" t="n">
        <f aca="false">D572*$J$5</f>
        <v>18.9473684210526</v>
      </c>
      <c r="F572" s="8" t="n">
        <f aca="false">E572-C572</f>
        <v>-2.05263157894737</v>
      </c>
      <c r="G572" s="9" t="n">
        <f aca="false">IF(AND(C572=0,E572=0),0,IF(C572=0,"New",(E572-C572)/C572))</f>
        <v>-0.0977443609022557</v>
      </c>
      <c r="H572" s="8" t="n">
        <f aca="false">SUMIFS('Source'!$E:$E,'Source'!$A:$A,"155138 לקוח אינטרנט",'Source'!$B:$B,$A572)</f>
        <v>486.98</v>
      </c>
      <c r="I572" s="8" t="n">
        <f aca="false">SUMIFS('Source'!$G:$G,'Source'!$A:$A,"155138 לקוח אינטרנט",'Source'!$B:$B,$A572)</f>
        <v>351.12</v>
      </c>
      <c r="J572" s="8" t="n">
        <f aca="false">I572*$J$5</f>
        <v>443.52</v>
      </c>
      <c r="K572" s="8" t="n">
        <f aca="false">J572-H572</f>
        <v>-43.46</v>
      </c>
      <c r="L572" s="9" t="n">
        <f aca="false">IF(AND(H572=0,J572=0),0,IF(H572=0,"New",(J572-H572)/H572))</f>
        <v>-0.0892439114542692</v>
      </c>
      <c r="M572" s="7" t="str">
        <f aca="false">IF(AND(OR(C572&lt;&gt;0,H572&lt;&gt;0),D572=0,I572=0),"DROP",IF(AND(OR(D572&lt;&gt;0,I572&lt;&gt;0),C572=0,H572=0),"NEW",""))</f>
        <v/>
      </c>
    </row>
    <row r="573" customFormat="false" ht="15" hidden="false" customHeight="false" outlineLevel="0" collapsed="false">
      <c r="A573" s="7" t="s">
        <v>662</v>
      </c>
      <c r="B573" s="7" t="str">
        <f aca="false">IFERROR(INDEX('Source'!$C:$C,MATCH($A573,'Source'!$B:$B,0)),"")</f>
        <v>סד קרסול</v>
      </c>
      <c r="C573" s="8" t="n">
        <f aca="false">SUMIFS('Source'!$D:$D,'Source'!$A:$A,"155138 לקוח אינטרנט",'Source'!$B:$B,$A573)</f>
        <v>2</v>
      </c>
      <c r="D573" s="8" t="n">
        <f aca="false">SUMIFS('Source'!$F:$F,'Source'!$A:$A,"155138 לקוח אינטרנט",'Source'!$B:$B,$A573)</f>
        <v>2</v>
      </c>
      <c r="E573" s="8" t="n">
        <f aca="false">D573*$J$5</f>
        <v>2.52631578947368</v>
      </c>
      <c r="F573" s="8" t="n">
        <f aca="false">E573-C573</f>
        <v>0.526315789473684</v>
      </c>
      <c r="G573" s="9" t="n">
        <f aca="false">IF(AND(C573=0,E573=0),0,IF(C573=0,"New",(E573-C573)/C573))</f>
        <v>0.263157894736842</v>
      </c>
      <c r="H573" s="8" t="n">
        <f aca="false">SUMIFS('Source'!$E:$E,'Source'!$A:$A,"155138 לקוח אינטרנט",'Source'!$B:$B,$A573)</f>
        <v>634.68</v>
      </c>
      <c r="I573" s="8" t="n">
        <f aca="false">SUMIFS('Source'!$G:$G,'Source'!$A:$A,"155138 לקוח אינטרנט",'Source'!$B:$B,$A573)</f>
        <v>769.32</v>
      </c>
      <c r="J573" s="8" t="n">
        <f aca="false">I573*$J$5</f>
        <v>971.772631578947</v>
      </c>
      <c r="K573" s="8" t="n">
        <f aca="false">J573-H573</f>
        <v>337.092631578948</v>
      </c>
      <c r="L573" s="9" t="n">
        <f aca="false">IF(AND(H573=0,J573=0),0,IF(H573=0,"New",(J573-H573)/H573))</f>
        <v>0.53112219004687</v>
      </c>
      <c r="M573" s="7" t="str">
        <f aca="false">IF(AND(OR(C573&lt;&gt;0,H573&lt;&gt;0),D573=0,I573=0),"DROP",IF(AND(OR(D573&lt;&gt;0,I573&lt;&gt;0),C573=0,H573=0),"NEW",""))</f>
        <v/>
      </c>
    </row>
    <row r="574" customFormat="false" ht="15" hidden="false" customHeight="false" outlineLevel="0" collapsed="false">
      <c r="A574" s="7" t="s">
        <v>663</v>
      </c>
      <c r="B574" s="7" t="str">
        <f aca="false">IFERROR(INDEX('Source'!$C:$C,MATCH($A574,'Source'!$B:$B,0)),"")</f>
        <v>תחבושת נצמדת צבע כחול</v>
      </c>
      <c r="C574" s="8" t="n">
        <f aca="false">SUMIFS('Source'!$D:$D,'Source'!$A:$A,"155138 לקוח אינטרנט",'Source'!$B:$B,$A574)</f>
        <v>6</v>
      </c>
      <c r="D574" s="8" t="n">
        <f aca="false">SUMIFS('Source'!$F:$F,'Source'!$A:$A,"155138 לקוח אינטרנט",'Source'!$B:$B,$A574)</f>
        <v>12</v>
      </c>
      <c r="E574" s="8" t="n">
        <f aca="false">D574*$J$5</f>
        <v>15.1578947368421</v>
      </c>
      <c r="F574" s="8" t="n">
        <f aca="false">E574-C574</f>
        <v>9.1578947368421</v>
      </c>
      <c r="G574" s="9" t="n">
        <f aca="false">IF(AND(C574=0,E574=0),0,IF(C574=0,"New",(E574-C574)/C574))</f>
        <v>1.52631578947368</v>
      </c>
      <c r="H574" s="8" t="n">
        <f aca="false">SUMIFS('Source'!$E:$E,'Source'!$A:$A,"155138 לקוח אינטרנט",'Source'!$B:$B,$A574)</f>
        <v>117.41</v>
      </c>
      <c r="I574" s="8" t="n">
        <f aca="false">SUMIFS('Source'!$G:$G,'Source'!$A:$A,"155138 לקוח אינטרנט",'Source'!$B:$B,$A574)</f>
        <v>251.91</v>
      </c>
      <c r="J574" s="8" t="n">
        <f aca="false">I574*$J$5</f>
        <v>318.202105263158</v>
      </c>
      <c r="K574" s="8" t="n">
        <f aca="false">J574-H574</f>
        <v>200.792105263158</v>
      </c>
      <c r="L574" s="9" t="n">
        <f aca="false">IF(AND(H574=0,J574=0),0,IF(H574=0,"New",(J574-H574)/H574))</f>
        <v>1.71017890523088</v>
      </c>
      <c r="M574" s="7" t="str">
        <f aca="false">IF(AND(OR(C574&lt;&gt;0,H574&lt;&gt;0),D574=0,I574=0),"DROP",IF(AND(OR(D574&lt;&gt;0,I574&lt;&gt;0),C574=0,H574=0),"NEW",""))</f>
        <v/>
      </c>
    </row>
    <row r="575" customFormat="false" ht="15" hidden="false" customHeight="false" outlineLevel="0" collapsed="false">
      <c r="A575" s="7" t="s">
        <v>664</v>
      </c>
      <c r="B575" s="7" t="str">
        <f aca="false">IFERROR(INDEX('Source'!$C:$C,MATCH($A575,'Source'!$B:$B,0)),"")</f>
        <v>אבן שיוף להסירת</v>
      </c>
      <c r="C575" s="8" t="n">
        <f aca="false">SUMIFS('Source'!$D:$D,'Source'!$A:$A,"155138 לקוח אינטרנט",'Source'!$B:$B,$A575)</f>
        <v>8</v>
      </c>
      <c r="D575" s="8" t="n">
        <f aca="false">SUMIFS('Source'!$F:$F,'Source'!$A:$A,"155138 לקוח אינטרנט",'Source'!$B:$B,$A575)</f>
        <v>16</v>
      </c>
      <c r="E575" s="8" t="n">
        <f aca="false">D575*$J$5</f>
        <v>20.2105263157895</v>
      </c>
      <c r="F575" s="8" t="n">
        <f aca="false">E575-C575</f>
        <v>12.2105263157895</v>
      </c>
      <c r="G575" s="9" t="n">
        <f aca="false">IF(AND(C575=0,E575=0),0,IF(C575=0,"New",(E575-C575)/C575))</f>
        <v>1.52631578947368</v>
      </c>
      <c r="H575" s="8" t="n">
        <f aca="false">SUMIFS('Source'!$E:$E,'Source'!$A:$A,"155138 לקוח אינטרנט",'Source'!$B:$B,$A575)</f>
        <v>110.56</v>
      </c>
      <c r="I575" s="8" t="n">
        <f aca="false">SUMIFS('Source'!$G:$G,'Source'!$A:$A,"155138 לקוח אינטרנט",'Source'!$B:$B,$A575)</f>
        <v>243.52</v>
      </c>
      <c r="J575" s="8" t="n">
        <f aca="false">I575*$J$5</f>
        <v>307.604210526316</v>
      </c>
      <c r="K575" s="8" t="n">
        <f aca="false">J575-H575</f>
        <v>197.044210526316</v>
      </c>
      <c r="L575" s="9" t="n">
        <f aca="false">IF(AND(H575=0,J575=0),0,IF(H575=0,"New",(J575-H575)/H575))</f>
        <v>1.78223779419605</v>
      </c>
      <c r="M575" s="7" t="str">
        <f aca="false">IF(AND(OR(C575&lt;&gt;0,H575&lt;&gt;0),D575=0,I575=0),"DROP",IF(AND(OR(D575&lt;&gt;0,I575&lt;&gt;0),C575=0,H575=0),"NEW",""))</f>
        <v/>
      </c>
    </row>
    <row r="576" customFormat="false" ht="15" hidden="false" customHeight="false" outlineLevel="0" collapsed="false">
      <c r="A576" s="7" t="s">
        <v>665</v>
      </c>
      <c r="B576" s="7" t="str">
        <f aca="false">IFERROR(INDEX('Source'!$C:$C,MATCH($A576,'Source'!$B:$B,0)),"")</f>
        <v>ICE &amp; GO</v>
      </c>
      <c r="C576" s="8" t="n">
        <f aca="false">SUMIFS('Source'!$D:$D,'Source'!$A:$A,"155138 לקוח אינטרנט",'Source'!$B:$B,$A576)</f>
        <v>28</v>
      </c>
      <c r="D576" s="8" t="n">
        <f aca="false">SUMIFS('Source'!$F:$F,'Source'!$A:$A,"155138 לקוח אינטרנט",'Source'!$B:$B,$A576)</f>
        <v>24</v>
      </c>
      <c r="E576" s="8" t="n">
        <f aca="false">D576*$J$5</f>
        <v>30.3157894736842</v>
      </c>
      <c r="F576" s="8" t="n">
        <f aca="false">E576-C576</f>
        <v>2.31578947368421</v>
      </c>
      <c r="G576" s="9" t="n">
        <f aca="false">IF(AND(C576=0,E576=0),0,IF(C576=0,"New",(E576-C576)/C576))</f>
        <v>0.0827067669172932</v>
      </c>
      <c r="H576" s="8" t="n">
        <f aca="false">SUMIFS('Source'!$E:$E,'Source'!$A:$A,"155138 לקוח אינטרנט",'Source'!$B:$B,$A576)</f>
        <v>1021.98</v>
      </c>
      <c r="I576" s="8" t="n">
        <f aca="false">SUMIFS('Source'!$G:$G,'Source'!$A:$A,"155138 לקוח אינטרנט",'Source'!$B:$B,$A576)</f>
        <v>891.43</v>
      </c>
      <c r="J576" s="8" t="n">
        <f aca="false">I576*$J$5</f>
        <v>1126.01684210526</v>
      </c>
      <c r="K576" s="8" t="n">
        <f aca="false">J576-H576</f>
        <v>104.036842105263</v>
      </c>
      <c r="L576" s="9" t="n">
        <f aca="false">IF(AND(H576=0,J576=0),0,IF(H576=0,"New",(J576-H576)/H576))</f>
        <v>0.101799293631248</v>
      </c>
      <c r="M576" s="7" t="str">
        <f aca="false">IF(AND(OR(C576&lt;&gt;0,H576&lt;&gt;0),D576=0,I576=0),"DROP",IF(AND(OR(D576&lt;&gt;0,I576&lt;&gt;0),C576=0,H576=0),"NEW",""))</f>
        <v/>
      </c>
    </row>
    <row r="577" customFormat="false" ht="15" hidden="false" customHeight="false" outlineLevel="0" collapsed="false">
      <c r="A577" s="7" t="s">
        <v>666</v>
      </c>
      <c r="B577" s="7" t="str">
        <f aca="false">IFERROR(INDEX('Source'!$C:$C,MATCH($A577,'Source'!$B:$B,0)),"")</f>
        <v>מגן ברך ארוך בז'</v>
      </c>
      <c r="C577" s="8" t="n">
        <f aca="false">SUMIFS('Source'!$D:$D,'Source'!$A:$A,"155138 לקוח אינטרנט",'Source'!$B:$B,$A577)</f>
        <v>10</v>
      </c>
      <c r="D577" s="8" t="n">
        <f aca="false">SUMIFS('Source'!$F:$F,'Source'!$A:$A,"155138 לקוח אינטרנט",'Source'!$B:$B,$A577)</f>
        <v>11</v>
      </c>
      <c r="E577" s="8" t="n">
        <f aca="false">D577*$J$5</f>
        <v>13.8947368421053</v>
      </c>
      <c r="F577" s="8" t="n">
        <f aca="false">E577-C577</f>
        <v>3.89473684210526</v>
      </c>
      <c r="G577" s="9" t="n">
        <f aca="false">IF(AND(C577=0,E577=0),0,IF(C577=0,"New",(E577-C577)/C577))</f>
        <v>0.389473684210526</v>
      </c>
      <c r="H577" s="8" t="n">
        <f aca="false">SUMIFS('Source'!$E:$E,'Source'!$A:$A,"155138 לקוח אינטרנט",'Source'!$B:$B,$A577)</f>
        <v>594.16</v>
      </c>
      <c r="I577" s="8" t="n">
        <f aca="false">SUMIFS('Source'!$G:$G,'Source'!$A:$A,"155138 לקוח אינטרנט",'Source'!$B:$B,$A577)</f>
        <v>724.52</v>
      </c>
      <c r="J577" s="8" t="n">
        <f aca="false">I577*$J$5</f>
        <v>915.183157894737</v>
      </c>
      <c r="K577" s="8" t="n">
        <f aca="false">J577-H577</f>
        <v>321.023157894737</v>
      </c>
      <c r="L577" s="9" t="n">
        <f aca="false">IF(AND(H577=0,J577=0),0,IF(H577=0,"New",(J577-H577)/H577))</f>
        <v>0.540297492080815</v>
      </c>
      <c r="M577" s="7" t="str">
        <f aca="false">IF(AND(OR(C577&lt;&gt;0,H577&lt;&gt;0),D577=0,I577=0),"DROP",IF(AND(OR(D577&lt;&gt;0,I577&lt;&gt;0),C577=0,H577=0),"NEW",""))</f>
        <v/>
      </c>
    </row>
    <row r="578" customFormat="false" ht="15" hidden="false" customHeight="false" outlineLevel="0" collapsed="false">
      <c r="A578" s="7" t="s">
        <v>667</v>
      </c>
      <c r="B578" s="7" t="str">
        <f aca="false">IFERROR(INDEX('Source'!$C:$C,MATCH($A578,'Source'!$B:$B,0)),"")</f>
        <v>מגן אתלטי לגבר-תומך ספורטיבי לאשכים</v>
      </c>
      <c r="C578" s="8" t="n">
        <f aca="false">SUMIFS('Source'!$D:$D,'Source'!$A:$A,"155138 לקוח אינטרנט",'Source'!$B:$B,$A578)</f>
        <v>0</v>
      </c>
      <c r="D578" s="8" t="n">
        <f aca="false">SUMIFS('Source'!$F:$F,'Source'!$A:$A,"155138 לקוח אינטרנט",'Source'!$B:$B,$A578)</f>
        <v>1</v>
      </c>
      <c r="E578" s="8" t="n">
        <f aca="false">D578*$J$5</f>
        <v>1.26315789473684</v>
      </c>
      <c r="F578" s="8" t="n">
        <f aca="false">E578-C578</f>
        <v>1.26315789473684</v>
      </c>
      <c r="G578" s="9" t="str">
        <f aca="false">IF(AND(C578=0,E578=0),0,IF(C578=0,"New",(E578-C578)/C578))</f>
        <v>New</v>
      </c>
      <c r="H578" s="8" t="n">
        <f aca="false">SUMIFS('Source'!$E:$E,'Source'!$A:$A,"155138 לקוח אינטרנט",'Source'!$B:$B,$A578)</f>
        <v>0</v>
      </c>
      <c r="I578" s="8" t="n">
        <f aca="false">SUMIFS('Source'!$G:$G,'Source'!$A:$A,"155138 לקוח אינטרנט",'Source'!$B:$B,$A578)</f>
        <v>129.59</v>
      </c>
      <c r="J578" s="8" t="n">
        <f aca="false">I578*$J$5</f>
        <v>163.692631578947</v>
      </c>
      <c r="K578" s="8" t="n">
        <f aca="false">J578-H578</f>
        <v>163.692631578947</v>
      </c>
      <c r="L578" s="9" t="str">
        <f aca="false">IF(AND(H578=0,J578=0),0,IF(H578=0,"New",(J578-H578)/H578))</f>
        <v>New</v>
      </c>
      <c r="M578" s="7" t="str">
        <f aca="false">IF(AND(OR(C578&lt;&gt;0,H578&lt;&gt;0),D578=0,I578=0),"DROP",IF(AND(OR(D578&lt;&gt;0,I578&lt;&gt;0),C578=0,H578=0),"NEW",""))</f>
        <v>NEW</v>
      </c>
    </row>
    <row r="579" customFormat="false" ht="15" hidden="false" customHeight="false" outlineLevel="0" collapsed="false">
      <c r="A579" s="7" t="s">
        <v>668</v>
      </c>
      <c r="B579" s="7" t="str">
        <f aca="false">IFERROR(INDEX('Source'!$C:$C,MATCH($A579,'Source'!$B:$B,0)),"")</f>
        <v>רפידת ג'ל זיכרון W כחול</v>
      </c>
      <c r="C579" s="8" t="n">
        <f aca="false">SUMIFS('Source'!$D:$D,'Source'!$A:$A,"155138 לקוח אינטרנט",'Source'!$B:$B,$A579)</f>
        <v>1</v>
      </c>
      <c r="D579" s="8" t="n">
        <f aca="false">SUMIFS('Source'!$F:$F,'Source'!$A:$A,"155138 לקוח אינטרנט",'Source'!$B:$B,$A579)</f>
        <v>4</v>
      </c>
      <c r="E579" s="8" t="n">
        <f aca="false">D579*$J$5</f>
        <v>5.05263157894737</v>
      </c>
      <c r="F579" s="8" t="n">
        <f aca="false">E579-C579</f>
        <v>4.05263157894737</v>
      </c>
      <c r="G579" s="9" t="n">
        <f aca="false">IF(AND(C579=0,E579=0),0,IF(C579=0,"New",(E579-C579)/C579))</f>
        <v>4.05263157894737</v>
      </c>
      <c r="H579" s="8" t="n">
        <f aca="false">SUMIFS('Source'!$E:$E,'Source'!$A:$A,"155138 לקוח אינטרנט",'Source'!$B:$B,$A579)</f>
        <v>128.73</v>
      </c>
      <c r="I579" s="8" t="n">
        <f aca="false">SUMIFS('Source'!$G:$G,'Source'!$A:$A,"155138 לקוח אינטרנט",'Source'!$B:$B,$A579)</f>
        <v>257.47</v>
      </c>
      <c r="J579" s="8" t="n">
        <f aca="false">I579*$J$5</f>
        <v>325.225263157895</v>
      </c>
      <c r="K579" s="8" t="n">
        <f aca="false">J579-H579</f>
        <v>196.495263157895</v>
      </c>
      <c r="L579" s="9" t="n">
        <f aca="false">IF(AND(H579=0,J579=0),0,IF(H579=0,"New",(J579-H579)/H579))</f>
        <v>1.52641391406739</v>
      </c>
      <c r="M579" s="7" t="str">
        <f aca="false">IF(AND(OR(C579&lt;&gt;0,H579&lt;&gt;0),D579=0,I579=0),"DROP",IF(AND(OR(D579&lt;&gt;0,I579&lt;&gt;0),C579=0,H579=0),"NEW",""))</f>
        <v/>
      </c>
    </row>
    <row r="580" customFormat="false" ht="15" hidden="false" customHeight="false" outlineLevel="0" collapsed="false">
      <c r="A580" s="7" t="s">
        <v>669</v>
      </c>
      <c r="B580" s="7" t="str">
        <f aca="false">IFERROR(INDEX('Source'!$C:$C,MATCH($A580,'Source'!$B:$B,0)),"")</f>
        <v>מגן ברך ארוך בז'</v>
      </c>
      <c r="C580" s="8" t="n">
        <f aca="false">SUMIFS('Source'!$D:$D,'Source'!$A:$A,"155138 לקוח אינטרנט",'Source'!$B:$B,$A580)</f>
        <v>0</v>
      </c>
      <c r="D580" s="8" t="n">
        <f aca="false">SUMIFS('Source'!$F:$F,'Source'!$A:$A,"155138 לקוח אינטרנט",'Source'!$B:$B,$A580)</f>
        <v>2</v>
      </c>
      <c r="E580" s="8" t="n">
        <f aca="false">D580*$J$5</f>
        <v>2.52631578947368</v>
      </c>
      <c r="F580" s="8" t="n">
        <f aca="false">E580-C580</f>
        <v>2.52631578947368</v>
      </c>
      <c r="G580" s="9" t="str">
        <f aca="false">IF(AND(C580=0,E580=0),0,IF(C580=0,"New",(E580-C580)/C580))</f>
        <v>New</v>
      </c>
      <c r="H580" s="8" t="n">
        <f aca="false">SUMIFS('Source'!$E:$E,'Source'!$A:$A,"155138 לקוח אינטרנט",'Source'!$B:$B,$A580)</f>
        <v>0</v>
      </c>
      <c r="I580" s="8" t="n">
        <f aca="false">SUMIFS('Source'!$G:$G,'Source'!$A:$A,"155138 לקוח אינטרנט",'Source'!$B:$B,$A580)</f>
        <v>128.65</v>
      </c>
      <c r="J580" s="8" t="n">
        <f aca="false">I580*$J$5</f>
        <v>162.505263157895</v>
      </c>
      <c r="K580" s="8" t="n">
        <f aca="false">J580-H580</f>
        <v>162.505263157895</v>
      </c>
      <c r="L580" s="9" t="str">
        <f aca="false">IF(AND(H580=0,J580=0),0,IF(H580=0,"New",(J580-H580)/H580))</f>
        <v>New</v>
      </c>
      <c r="M580" s="7" t="str">
        <f aca="false">IF(AND(OR(C580&lt;&gt;0,H580&lt;&gt;0),D580=0,I580=0),"DROP",IF(AND(OR(D580&lt;&gt;0,I580&lt;&gt;0),C580=0,H580=0),"NEW",""))</f>
        <v>NEW</v>
      </c>
    </row>
    <row r="581" customFormat="false" ht="15" hidden="false" customHeight="false" outlineLevel="0" collapsed="false">
      <c r="A581" s="7" t="s">
        <v>670</v>
      </c>
      <c r="B581" s="7" t="str">
        <f aca="false">IFERROR(INDEX('Source'!$C:$C,MATCH($A581,'Source'!$B:$B,0)),"")</f>
        <v>מגן מרפק + סיליקון</v>
      </c>
      <c r="C581" s="8" t="n">
        <f aca="false">SUMIFS('Source'!$D:$D,'Source'!$A:$A,"155138 לקוח אינטרנט",'Source'!$B:$B,$A581)</f>
        <v>1</v>
      </c>
      <c r="D581" s="8" t="n">
        <f aca="false">SUMIFS('Source'!$F:$F,'Source'!$A:$A,"155138 לקוח אינטרנט",'Source'!$B:$B,$A581)</f>
        <v>2</v>
      </c>
      <c r="E581" s="8" t="n">
        <f aca="false">D581*$J$5</f>
        <v>2.52631578947368</v>
      </c>
      <c r="F581" s="8" t="n">
        <f aca="false">E581-C581</f>
        <v>1.52631578947368</v>
      </c>
      <c r="G581" s="9" t="n">
        <f aca="false">IF(AND(C581=0,E581=0),0,IF(C581=0,"New",(E581-C581)/C581))</f>
        <v>1.52631578947368</v>
      </c>
      <c r="H581" s="8" t="n">
        <f aca="false">SUMIFS('Source'!$E:$E,'Source'!$A:$A,"155138 לקוח אינטרנט",'Source'!$B:$B,$A581)</f>
        <v>256.69</v>
      </c>
      <c r="I581" s="8" t="n">
        <f aca="false">SUMIFS('Source'!$G:$G,'Source'!$A:$A,"155138 לקוח אינטרנט",'Source'!$B:$B,$A581)</f>
        <v>383.73</v>
      </c>
      <c r="J581" s="8" t="n">
        <f aca="false">I581*$J$5</f>
        <v>484.711578947368</v>
      </c>
      <c r="K581" s="8" t="n">
        <f aca="false">J581-H581</f>
        <v>228.021578947368</v>
      </c>
      <c r="L581" s="9" t="n">
        <f aca="false">IF(AND(H581=0,J581=0),0,IF(H581=0,"New",(J581-H581)/H581))</f>
        <v>0.888315006222948</v>
      </c>
      <c r="M581" s="7" t="str">
        <f aca="false">IF(AND(OR(C581&lt;&gt;0,H581&lt;&gt;0),D581=0,I581=0),"DROP",IF(AND(OR(D581&lt;&gt;0,I581&lt;&gt;0),C581=0,H581=0),"NEW",""))</f>
        <v/>
      </c>
    </row>
    <row r="582" customFormat="false" ht="15" hidden="false" customHeight="false" outlineLevel="0" collapsed="false">
      <c r="A582" s="7" t="s">
        <v>671</v>
      </c>
      <c r="B582" s="7" t="str">
        <f aca="false">IFERROR(INDEX('Source'!$C:$C,MATCH($A582,'Source'!$B:$B,0)),"")</f>
        <v>סד מאורך לאגודל</v>
      </c>
      <c r="C582" s="8" t="n">
        <f aca="false">SUMIFS('Source'!$D:$D,'Source'!$A:$A,"155138 לקוח אינטרנט",'Source'!$B:$B,$A582)</f>
        <v>1</v>
      </c>
      <c r="D582" s="8" t="n">
        <f aca="false">SUMIFS('Source'!$F:$F,'Source'!$A:$A,"155138 לקוח אינטרנט",'Source'!$B:$B,$A582)</f>
        <v>0</v>
      </c>
      <c r="E582" s="8" t="n">
        <f aca="false">D582*$J$5</f>
        <v>0</v>
      </c>
      <c r="F582" s="8" t="n">
        <f aca="false">E582-C582</f>
        <v>-1</v>
      </c>
      <c r="G582" s="9" t="n">
        <f aca="false">IF(AND(C582=0,E582=0),0,IF(C582=0,"New",(E582-C582)/C582))</f>
        <v>-1</v>
      </c>
      <c r="H582" s="8" t="n">
        <f aca="false">SUMIFS('Source'!$E:$E,'Source'!$A:$A,"155138 לקוח אינטרנט",'Source'!$B:$B,$A582)</f>
        <v>127.03</v>
      </c>
      <c r="I582" s="8" t="n">
        <f aca="false">SUMIFS('Source'!$G:$G,'Source'!$A:$A,"155138 לקוח אינטרנט",'Source'!$B:$B,$A582)</f>
        <v>0</v>
      </c>
      <c r="J582" s="8" t="n">
        <f aca="false">I582*$J$5</f>
        <v>0</v>
      </c>
      <c r="K582" s="8" t="n">
        <f aca="false">J582-H582</f>
        <v>-127.03</v>
      </c>
      <c r="L582" s="9" t="n">
        <f aca="false">IF(AND(H582=0,J582=0),0,IF(H582=0,"New",(J582-H582)/H582))</f>
        <v>-1</v>
      </c>
      <c r="M582" s="7" t="str">
        <f aca="false">IF(AND(OR(C582&lt;&gt;0,H582&lt;&gt;0),D582=0,I582=0),"DROP",IF(AND(OR(D582&lt;&gt;0,I582&lt;&gt;0),C582=0,H582=0),"NEW",""))</f>
        <v>DROP</v>
      </c>
    </row>
    <row r="583" customFormat="false" ht="15" hidden="false" customHeight="false" outlineLevel="0" collapsed="false">
      <c r="A583" s="7" t="s">
        <v>672</v>
      </c>
      <c r="B583" s="7" t="str">
        <f aca="false">IFERROR(INDEX('Source'!$C:$C,MATCH($A583,'Source'!$B:$B,0)),"")</f>
        <v>סד יד שחור</v>
      </c>
      <c r="C583" s="8" t="n">
        <f aca="false">SUMIFS('Source'!$D:$D,'Source'!$A:$A,"155138 לקוח אינטרנט",'Source'!$B:$B,$A583)</f>
        <v>0</v>
      </c>
      <c r="D583" s="8" t="n">
        <f aca="false">SUMIFS('Source'!$F:$F,'Source'!$A:$A,"155138 לקוח אינטרנט",'Source'!$B:$B,$A583)</f>
        <v>1</v>
      </c>
      <c r="E583" s="8" t="n">
        <f aca="false">D583*$J$5</f>
        <v>1.26315789473684</v>
      </c>
      <c r="F583" s="8" t="n">
        <f aca="false">E583-C583</f>
        <v>1.26315789473684</v>
      </c>
      <c r="G583" s="9" t="str">
        <f aca="false">IF(AND(C583=0,E583=0),0,IF(C583=0,"New",(E583-C583)/C583))</f>
        <v>New</v>
      </c>
      <c r="H583" s="8" t="n">
        <f aca="false">SUMIFS('Source'!$E:$E,'Source'!$A:$A,"155138 לקוח אינטרנט",'Source'!$B:$B,$A583)</f>
        <v>0</v>
      </c>
      <c r="I583" s="8" t="n">
        <f aca="false">SUMIFS('Source'!$G:$G,'Source'!$A:$A,"155138 לקוח אינטרנט",'Source'!$B:$B,$A583)</f>
        <v>127.03</v>
      </c>
      <c r="J583" s="8" t="n">
        <f aca="false">I583*$J$5</f>
        <v>160.458947368421</v>
      </c>
      <c r="K583" s="8" t="n">
        <f aca="false">J583-H583</f>
        <v>160.458947368421</v>
      </c>
      <c r="L583" s="9" t="str">
        <f aca="false">IF(AND(H583=0,J583=0),0,IF(H583=0,"New",(J583-H583)/H583))</f>
        <v>New</v>
      </c>
      <c r="M583" s="7" t="str">
        <f aca="false">IF(AND(OR(C583&lt;&gt;0,H583&lt;&gt;0),D583=0,I583=0),"DROP",IF(AND(OR(D583&lt;&gt;0,I583&lt;&gt;0),C583=0,H583=0),"NEW",""))</f>
        <v>NEW</v>
      </c>
    </row>
    <row r="584" customFormat="false" ht="15" hidden="false" customHeight="false" outlineLevel="0" collapsed="false">
      <c r="A584" s="7" t="s">
        <v>673</v>
      </c>
      <c r="B584" s="7" t="str">
        <f aca="false">IFERROR(INDEX('Source'!$C:$C,MATCH($A584,'Source'!$B:$B,0)),"")</f>
        <v>סד יד שמאל  שחור</v>
      </c>
      <c r="C584" s="8" t="n">
        <f aca="false">SUMIFS('Source'!$D:$D,'Source'!$A:$A,"155138 לקוח אינטרנט",'Source'!$B:$B,$A584)</f>
        <v>1</v>
      </c>
      <c r="D584" s="8" t="n">
        <f aca="false">SUMIFS('Source'!$F:$F,'Source'!$A:$A,"155138 לקוח אינטרנט",'Source'!$B:$B,$A584)</f>
        <v>2</v>
      </c>
      <c r="E584" s="8" t="n">
        <f aca="false">D584*$J$5</f>
        <v>2.52631578947368</v>
      </c>
      <c r="F584" s="8" t="n">
        <f aca="false">E584-C584</f>
        <v>1.52631578947368</v>
      </c>
      <c r="G584" s="9" t="n">
        <f aca="false">IF(AND(C584=0,E584=0),0,IF(C584=0,"New",(E584-C584)/C584))</f>
        <v>1.52631578947368</v>
      </c>
      <c r="H584" s="8" t="n">
        <f aca="false">SUMIFS('Source'!$E:$E,'Source'!$A:$A,"155138 לקוח אינטרנט",'Source'!$B:$B,$A584)</f>
        <v>196.53</v>
      </c>
      <c r="I584" s="8" t="n">
        <f aca="false">SUMIFS('Source'!$G:$G,'Source'!$A:$A,"155138 לקוח אינטרנט",'Source'!$B:$B,$A584)</f>
        <v>323.56</v>
      </c>
      <c r="J584" s="8" t="n">
        <f aca="false">I584*$J$5</f>
        <v>408.707368421053</v>
      </c>
      <c r="K584" s="8" t="n">
        <f aca="false">J584-H584</f>
        <v>212.177368421053</v>
      </c>
      <c r="L584" s="9" t="n">
        <f aca="false">IF(AND(H584=0,J584=0),0,IF(H584=0,"New",(J584-H584)/H584))</f>
        <v>1.07961821819087</v>
      </c>
      <c r="M584" s="7" t="str">
        <f aca="false">IF(AND(OR(C584&lt;&gt;0,H584&lt;&gt;0),D584=0,I584=0),"DROP",IF(AND(OR(D584&lt;&gt;0,I584&lt;&gt;0),C584=0,H584=0),"NEW",""))</f>
        <v/>
      </c>
    </row>
    <row r="585" customFormat="false" ht="15" hidden="false" customHeight="false" outlineLevel="0" collapsed="false">
      <c r="A585" s="7" t="s">
        <v>674</v>
      </c>
      <c r="B585" s="7" t="str">
        <f aca="false">IFERROR(INDEX('Source'!$C:$C,MATCH($A585,'Source'!$B:$B,0)),"")</f>
        <v>טלק לכף הרגל מועשר באלוורה</v>
      </c>
      <c r="C585" s="8" t="n">
        <f aca="false">SUMIFS('Source'!$D:$D,'Source'!$A:$A,"155138 לקוח אינטרנט",'Source'!$B:$B,$A585)</f>
        <v>9</v>
      </c>
      <c r="D585" s="8" t="n">
        <f aca="false">SUMIFS('Source'!$F:$F,'Source'!$A:$A,"155138 לקוח אינטרנט",'Source'!$B:$B,$A585)</f>
        <v>11</v>
      </c>
      <c r="E585" s="8" t="n">
        <f aca="false">D585*$J$5</f>
        <v>13.8947368421053</v>
      </c>
      <c r="F585" s="8" t="n">
        <f aca="false">E585-C585</f>
        <v>4.89473684210526</v>
      </c>
      <c r="G585" s="9" t="n">
        <f aca="false">IF(AND(C585=0,E585=0),0,IF(C585=0,"New",(E585-C585)/C585))</f>
        <v>0.543859649122807</v>
      </c>
      <c r="H585" s="8" t="n">
        <f aca="false">SUMIFS('Source'!$E:$E,'Source'!$A:$A,"155138 לקוח אינטרנט",'Source'!$B:$B,$A585)</f>
        <v>330.54</v>
      </c>
      <c r="I585" s="8" t="n">
        <f aca="false">SUMIFS('Source'!$G:$G,'Source'!$A:$A,"155138 לקוח אינטרנט",'Source'!$B:$B,$A585)</f>
        <v>456.73</v>
      </c>
      <c r="J585" s="8" t="n">
        <f aca="false">I585*$J$5</f>
        <v>576.922105263158</v>
      </c>
      <c r="K585" s="8" t="n">
        <f aca="false">J585-H585</f>
        <v>246.382105263158</v>
      </c>
      <c r="L585" s="9" t="n">
        <f aca="false">IF(AND(H585=0,J585=0),0,IF(H585=0,"New",(J585-H585)/H585))</f>
        <v>0.74539270667138</v>
      </c>
      <c r="M585" s="7" t="str">
        <f aca="false">IF(AND(OR(C585&lt;&gt;0,H585&lt;&gt;0),D585=0,I585=0),"DROP",IF(AND(OR(D585&lt;&gt;0,I585&lt;&gt;0),C585=0,H585=0),"NEW",""))</f>
        <v/>
      </c>
    </row>
    <row r="586" customFormat="false" ht="15" hidden="false" customHeight="false" outlineLevel="0" collapsed="false">
      <c r="A586" s="7" t="s">
        <v>675</v>
      </c>
      <c r="B586" s="7" t="str">
        <f aca="false">IFERROR(INDEX('Source'!$C:$C,MATCH($A586,'Source'!$B:$B,0)),"")</f>
        <v>מגן יד</v>
      </c>
      <c r="C586" s="8" t="n">
        <f aca="false">SUMIFS('Source'!$D:$D,'Source'!$A:$A,"155138 לקוח אינטרנט",'Source'!$B:$B,$A586)</f>
        <v>4</v>
      </c>
      <c r="D586" s="8" t="n">
        <f aca="false">SUMIFS('Source'!$F:$F,'Source'!$A:$A,"155138 לקוח אינטרנט",'Source'!$B:$B,$A586)</f>
        <v>2</v>
      </c>
      <c r="E586" s="8" t="n">
        <f aca="false">D586*$J$5</f>
        <v>2.52631578947368</v>
      </c>
      <c r="F586" s="8" t="n">
        <f aca="false">E586-C586</f>
        <v>-1.47368421052632</v>
      </c>
      <c r="G586" s="9" t="n">
        <f aca="false">IF(AND(C586=0,E586=0),0,IF(C586=0,"New",(E586-C586)/C586))</f>
        <v>-0.368421052631579</v>
      </c>
      <c r="H586" s="8" t="n">
        <f aca="false">SUMIFS('Source'!$E:$E,'Source'!$A:$A,"155138 לקוח אינטרנט",'Source'!$B:$B,$A586)</f>
        <v>262.82</v>
      </c>
      <c r="I586" s="8" t="n">
        <f aca="false">SUMIFS('Source'!$G:$G,'Source'!$A:$A,"155138 לקוח אינטרנט",'Source'!$B:$B,$A586)</f>
        <v>136.71</v>
      </c>
      <c r="J586" s="8" t="n">
        <f aca="false">I586*$J$5</f>
        <v>172.686315789474</v>
      </c>
      <c r="K586" s="8" t="n">
        <f aca="false">J586-H586</f>
        <v>-90.1336842105263</v>
      </c>
      <c r="L586" s="9" t="n">
        <f aca="false">IF(AND(H586=0,J586=0),0,IF(H586=0,"New",(J586-H586)/H586))</f>
        <v>-0.342948345675848</v>
      </c>
      <c r="M586" s="7" t="str">
        <f aca="false">IF(AND(OR(C586&lt;&gt;0,H586&lt;&gt;0),D586=0,I586=0),"DROP",IF(AND(OR(D586&lt;&gt;0,I586&lt;&gt;0),C586=0,H586=0),"NEW",""))</f>
        <v/>
      </c>
    </row>
    <row r="587" customFormat="false" ht="15" hidden="false" customHeight="false" outlineLevel="0" collapsed="false">
      <c r="A587" s="7" t="s">
        <v>676</v>
      </c>
      <c r="B587" s="7" t="str">
        <f aca="false">IFERROR(INDEX('Source'!$C:$C,MATCH($A587,'Source'!$B:$B,0)),"")</f>
        <v>מגן ברך שחור</v>
      </c>
      <c r="C587" s="8" t="n">
        <f aca="false">SUMIFS('Source'!$D:$D,'Source'!$A:$A,"155138 לקוח אינטרנט",'Source'!$B:$B,$A587)</f>
        <v>10</v>
      </c>
      <c r="D587" s="8" t="n">
        <f aca="false">SUMIFS('Source'!$F:$F,'Source'!$A:$A,"155138 לקוח אינטרנט",'Source'!$B:$B,$A587)</f>
        <v>7</v>
      </c>
      <c r="E587" s="8" t="n">
        <f aca="false">D587*$J$5</f>
        <v>8.84210526315789</v>
      </c>
      <c r="F587" s="8" t="n">
        <f aca="false">E587-C587</f>
        <v>-1.15789473684211</v>
      </c>
      <c r="G587" s="9" t="n">
        <f aca="false">IF(AND(C587=0,E587=0),0,IF(C587=0,"New",(E587-C587)/C587))</f>
        <v>-0.115789473684211</v>
      </c>
      <c r="H587" s="8" t="n">
        <f aca="false">SUMIFS('Source'!$E:$E,'Source'!$A:$A,"155138 לקוח אינטרנט",'Source'!$B:$B,$A587)</f>
        <v>505.43</v>
      </c>
      <c r="I587" s="8" t="n">
        <f aca="false">SUMIFS('Source'!$G:$G,'Source'!$A:$A,"155138 לקוח אינטרנט",'Source'!$B:$B,$A587)</f>
        <v>379.77</v>
      </c>
      <c r="J587" s="8" t="n">
        <f aca="false">I587*$J$5</f>
        <v>479.709473684211</v>
      </c>
      <c r="K587" s="8" t="n">
        <f aca="false">J587-H587</f>
        <v>-25.7205263157895</v>
      </c>
      <c r="L587" s="9" t="n">
        <f aca="false">IF(AND(H587=0,J587=0),0,IF(H587=0,"New",(J587-H587)/H587))</f>
        <v>-0.0508884045580783</v>
      </c>
      <c r="M587" s="7" t="str">
        <f aca="false">IF(AND(OR(C587&lt;&gt;0,H587&lt;&gt;0),D587=0,I587=0),"DROP",IF(AND(OR(D587&lt;&gt;0,I587&lt;&gt;0),C587=0,H587=0),"NEW",""))</f>
        <v/>
      </c>
    </row>
    <row r="588" customFormat="false" ht="15" hidden="false" customHeight="false" outlineLevel="0" collapsed="false">
      <c r="A588" s="7" t="s">
        <v>677</v>
      </c>
      <c r="B588" s="7" t="str">
        <f aca="false">IFERROR(INDEX('Source'!$C:$C,MATCH($A588,'Source'!$B:$B,0)),"")</f>
        <v>מגן ברך ארוך</v>
      </c>
      <c r="C588" s="8" t="n">
        <f aca="false">SUMIFS('Source'!$D:$D,'Source'!$A:$A,"155138 לקוח אינטרנט",'Source'!$B:$B,$A588)</f>
        <v>8</v>
      </c>
      <c r="D588" s="8" t="n">
        <f aca="false">SUMIFS('Source'!$F:$F,'Source'!$A:$A,"155138 לקוח אינטרנט",'Source'!$B:$B,$A588)</f>
        <v>6</v>
      </c>
      <c r="E588" s="8" t="n">
        <f aca="false">D588*$J$5</f>
        <v>7.57894736842105</v>
      </c>
      <c r="F588" s="8" t="n">
        <f aca="false">E588-C588</f>
        <v>-0.421052631578948</v>
      </c>
      <c r="G588" s="9" t="n">
        <f aca="false">IF(AND(C588=0,E588=0),0,IF(C588=0,"New",(E588-C588)/C588))</f>
        <v>-0.0526315789473685</v>
      </c>
      <c r="H588" s="8" t="n">
        <f aca="false">SUMIFS('Source'!$E:$E,'Source'!$A:$A,"155138 לקוח אינטרנט",'Source'!$B:$B,$A588)</f>
        <v>521.37</v>
      </c>
      <c r="I588" s="8" t="n">
        <f aca="false">SUMIFS('Source'!$G:$G,'Source'!$A:$A,"155138 לקוח אינטרנט",'Source'!$B:$B,$A588)</f>
        <v>396.12</v>
      </c>
      <c r="J588" s="8" t="n">
        <f aca="false">I588*$J$5</f>
        <v>500.362105263158</v>
      </c>
      <c r="K588" s="8" t="n">
        <f aca="false">J588-H588</f>
        <v>-21.0078947368421</v>
      </c>
      <c r="L588" s="9" t="n">
        <f aca="false">IF(AND(H588=0,J588=0),0,IF(H588=0,"New",(J588-H588)/H588))</f>
        <v>-0.0402936393287725</v>
      </c>
      <c r="M588" s="7" t="str">
        <f aca="false">IF(AND(OR(C588&lt;&gt;0,H588&lt;&gt;0),D588=0,I588=0),"DROP",IF(AND(OR(D588&lt;&gt;0,I588&lt;&gt;0),C588=0,H588=0),"NEW",""))</f>
        <v/>
      </c>
    </row>
    <row r="589" customFormat="false" ht="15" hidden="false" customHeight="false" outlineLevel="0" collapsed="false">
      <c r="A589" s="7" t="s">
        <v>678</v>
      </c>
      <c r="B589" s="7" t="str">
        <f aca="false">IFERROR(INDEX('Source'!$C:$C,MATCH($A589,'Source'!$B:$B,0)),"")</f>
        <v>כיסוי כרית עיסוי ויטלימד סופט - פלוס קרם</v>
      </c>
      <c r="C589" s="8" t="n">
        <f aca="false">SUMIFS('Source'!$D:$D,'Source'!$A:$A,"155138 לקוח אינטרנט",'Source'!$B:$B,$A589)</f>
        <v>0</v>
      </c>
      <c r="D589" s="8" t="n">
        <f aca="false">SUMIFS('Source'!$F:$F,'Source'!$A:$A,"155138 לקוח אינטרנט",'Source'!$B:$B,$A589)</f>
        <v>6</v>
      </c>
      <c r="E589" s="8" t="n">
        <f aca="false">D589*$J$5</f>
        <v>7.57894736842105</v>
      </c>
      <c r="F589" s="8" t="n">
        <f aca="false">E589-C589</f>
        <v>7.57894736842105</v>
      </c>
      <c r="G589" s="9" t="str">
        <f aca="false">IF(AND(C589=0,E589=0),0,IF(C589=0,"New",(E589-C589)/C589))</f>
        <v>New</v>
      </c>
      <c r="H589" s="8" t="n">
        <f aca="false">SUMIFS('Source'!$E:$E,'Source'!$A:$A,"155138 לקוח אינטרנט",'Source'!$B:$B,$A589)</f>
        <v>0</v>
      </c>
      <c r="I589" s="8" t="n">
        <f aca="false">SUMIFS('Source'!$G:$G,'Source'!$A:$A,"155138 לקוח אינטרנט",'Source'!$B:$B,$A589)</f>
        <v>121.91</v>
      </c>
      <c r="J589" s="8" t="n">
        <f aca="false">I589*$J$5</f>
        <v>153.991578947368</v>
      </c>
      <c r="K589" s="8" t="n">
        <f aca="false">J589-H589</f>
        <v>153.991578947368</v>
      </c>
      <c r="L589" s="9" t="str">
        <f aca="false">IF(AND(H589=0,J589=0),0,IF(H589=0,"New",(J589-H589)/H589))</f>
        <v>New</v>
      </c>
      <c r="M589" s="7" t="str">
        <f aca="false">IF(AND(OR(C589&lt;&gt;0,H589&lt;&gt;0),D589=0,I589=0),"DROP",IF(AND(OR(D589&lt;&gt;0,I589&lt;&gt;0),C589=0,H589=0),"NEW",""))</f>
        <v>NEW</v>
      </c>
    </row>
    <row r="590" customFormat="false" ht="15" hidden="false" customHeight="false" outlineLevel="0" collapsed="false">
      <c r="A590" s="7" t="s">
        <v>679</v>
      </c>
      <c r="B590" s="7" t="str">
        <f aca="false">IFERROR(INDEX('Source'!$C:$C,MATCH($A590,'Source'!$B:$B,0)),"")</f>
        <v>מגן קרסול+צמדן-לכו</v>
      </c>
      <c r="C590" s="8" t="n">
        <f aca="false">SUMIFS('Source'!$D:$D,'Source'!$A:$A,"155138 לקוח אינטרנט",'Source'!$B:$B,$A590)</f>
        <v>2</v>
      </c>
      <c r="D590" s="8" t="n">
        <f aca="false">SUMIFS('Source'!$F:$F,'Source'!$A:$A,"155138 לקוח אינטרנט",'Source'!$B:$B,$A590)</f>
        <v>1</v>
      </c>
      <c r="E590" s="8" t="n">
        <f aca="false">D590*$J$5</f>
        <v>1.26315789473684</v>
      </c>
      <c r="F590" s="8" t="n">
        <f aca="false">E590-C590</f>
        <v>-0.736842105263158</v>
      </c>
      <c r="G590" s="9" t="n">
        <f aca="false">IF(AND(C590=0,E590=0),0,IF(C590=0,"New",(E590-C590)/C590))</f>
        <v>-0.368421052631579</v>
      </c>
      <c r="H590" s="8" t="n">
        <f aca="false">SUMIFS('Source'!$E:$E,'Source'!$A:$A,"155138 לקוח אינטרנט",'Source'!$B:$B,$A590)</f>
        <v>240.5</v>
      </c>
      <c r="I590" s="8" t="n">
        <f aca="false">SUMIFS('Source'!$G:$G,'Source'!$A:$A,"155138 לקוח אינטרנט",'Source'!$B:$B,$A590)</f>
        <v>120.25</v>
      </c>
      <c r="J590" s="8" t="n">
        <f aca="false">I590*$J$5</f>
        <v>151.894736842105</v>
      </c>
      <c r="K590" s="8" t="n">
        <f aca="false">J590-H590</f>
        <v>-88.6052631578947</v>
      </c>
      <c r="L590" s="9" t="n">
        <f aca="false">IF(AND(H590=0,J590=0),0,IF(H590=0,"New",(J590-H590)/H590))</f>
        <v>-0.368421052631579</v>
      </c>
      <c r="M590" s="7" t="str">
        <f aca="false">IF(AND(OR(C590&lt;&gt;0,H590&lt;&gt;0),D590=0,I590=0),"DROP",IF(AND(OR(D590&lt;&gt;0,I590&lt;&gt;0),C590=0,H590=0),"NEW",""))</f>
        <v/>
      </c>
    </row>
    <row r="591" customFormat="false" ht="15" hidden="false" customHeight="false" outlineLevel="0" collapsed="false">
      <c r="A591" s="7" t="s">
        <v>680</v>
      </c>
      <c r="B591" s="7" t="str">
        <f aca="false">IFERROR(INDEX('Source'!$C:$C,MATCH($A591,'Source'!$B:$B,0)),"")</f>
        <v>חבק יד מתכוון</v>
      </c>
      <c r="C591" s="8" t="n">
        <f aca="false">SUMIFS('Source'!$D:$D,'Source'!$A:$A,"155138 לקוח אינטרנט",'Source'!$B:$B,$A591)</f>
        <v>2</v>
      </c>
      <c r="D591" s="8" t="n">
        <f aca="false">SUMIFS('Source'!$F:$F,'Source'!$A:$A,"155138 לקוח אינטרנט",'Source'!$B:$B,$A591)</f>
        <v>0</v>
      </c>
      <c r="E591" s="8" t="n">
        <f aca="false">D591*$J$5</f>
        <v>0</v>
      </c>
      <c r="F591" s="8" t="n">
        <f aca="false">E591-C591</f>
        <v>-2</v>
      </c>
      <c r="G591" s="9" t="n">
        <f aca="false">IF(AND(C591=0,E591=0),0,IF(C591=0,"New",(E591-C591)/C591))</f>
        <v>-1</v>
      </c>
      <c r="H591" s="8" t="n">
        <f aca="false">SUMIFS('Source'!$E:$E,'Source'!$A:$A,"155138 לקוח אינטרנט",'Source'!$B:$B,$A591)</f>
        <v>120.16</v>
      </c>
      <c r="I591" s="8" t="n">
        <f aca="false">SUMIFS('Source'!$G:$G,'Source'!$A:$A,"155138 לקוח אינטרנט",'Source'!$B:$B,$A591)</f>
        <v>0</v>
      </c>
      <c r="J591" s="8" t="n">
        <f aca="false">I591*$J$5</f>
        <v>0</v>
      </c>
      <c r="K591" s="8" t="n">
        <f aca="false">J591-H591</f>
        <v>-120.16</v>
      </c>
      <c r="L591" s="9" t="n">
        <f aca="false">IF(AND(H591=0,J591=0),0,IF(H591=0,"New",(J591-H591)/H591))</f>
        <v>-1</v>
      </c>
      <c r="M591" s="7" t="str">
        <f aca="false">IF(AND(OR(C591&lt;&gt;0,H591&lt;&gt;0),D591=0,I591=0),"DROP",IF(AND(OR(D591&lt;&gt;0,I591&lt;&gt;0),C591=0,H591=0),"NEW",""))</f>
        <v>DROP</v>
      </c>
    </row>
    <row r="592" customFormat="false" ht="15" hidden="false" customHeight="false" outlineLevel="0" collapsed="false">
      <c r="A592" s="7" t="s">
        <v>681</v>
      </c>
      <c r="B592" s="7" t="str">
        <f aca="false">IFERROR(INDEX('Source'!$C:$C,MATCH($A592,'Source'!$B:$B,0)),"")</f>
        <v>מגן מרפק שחור</v>
      </c>
      <c r="C592" s="8" t="n">
        <f aca="false">SUMIFS('Source'!$D:$D,'Source'!$A:$A,"155138 לקוח אינטרנט",'Source'!$B:$B,$A592)</f>
        <v>3</v>
      </c>
      <c r="D592" s="8" t="n">
        <f aca="false">SUMIFS('Source'!$F:$F,'Source'!$A:$A,"155138 לקוח אינטרנט",'Source'!$B:$B,$A592)</f>
        <v>1</v>
      </c>
      <c r="E592" s="8" t="n">
        <f aca="false">D592*$J$5</f>
        <v>1.26315789473684</v>
      </c>
      <c r="F592" s="8" t="n">
        <f aca="false">E592-C592</f>
        <v>-1.73684210526316</v>
      </c>
      <c r="G592" s="9" t="n">
        <f aca="false">IF(AND(C592=0,E592=0),0,IF(C592=0,"New",(E592-C592)/C592))</f>
        <v>-0.578947368421053</v>
      </c>
      <c r="H592" s="8" t="n">
        <f aca="false">SUMIFS('Source'!$E:$E,'Source'!$A:$A,"155138 לקוח אינטרנט",'Source'!$B:$B,$A592)</f>
        <v>167.55</v>
      </c>
      <c r="I592" s="8" t="n">
        <f aca="false">SUMIFS('Source'!$G:$G,'Source'!$A:$A,"155138 לקוח אינטרנט",'Source'!$B:$B,$A592)</f>
        <v>50.26</v>
      </c>
      <c r="J592" s="8" t="n">
        <f aca="false">I592*$J$5</f>
        <v>63.4863157894737</v>
      </c>
      <c r="K592" s="8" t="n">
        <f aca="false">J592-H592</f>
        <v>-104.063684210526</v>
      </c>
      <c r="L592" s="9" t="n">
        <f aca="false">IF(AND(H592=0,J592=0),0,IF(H592=0,"New",(J592-H592)/H592))</f>
        <v>-0.621090326532536</v>
      </c>
      <c r="M592" s="7" t="str">
        <f aca="false">IF(AND(OR(C592&lt;&gt;0,H592&lt;&gt;0),D592=0,I592=0),"DROP",IF(AND(OR(D592&lt;&gt;0,I592&lt;&gt;0),C592=0,H592=0),"NEW",""))</f>
        <v/>
      </c>
    </row>
    <row r="593" customFormat="false" ht="15" hidden="false" customHeight="false" outlineLevel="0" collapsed="false">
      <c r="A593" s="7" t="s">
        <v>682</v>
      </c>
      <c r="B593" s="7" t="str">
        <f aca="false">IFERROR(INDEX('Source'!$C:$C,MATCH($A593,'Source'!$B:$B,0)),"")</f>
        <v>מגן ירך</v>
      </c>
      <c r="C593" s="8" t="n">
        <f aca="false">SUMIFS('Source'!$D:$D,'Source'!$A:$A,"155138 לקוח אינטרנט",'Source'!$B:$B,$A593)</f>
        <v>6</v>
      </c>
      <c r="D593" s="8" t="n">
        <f aca="false">SUMIFS('Source'!$F:$F,'Source'!$A:$A,"155138 לקוח אינטרנט",'Source'!$B:$B,$A593)</f>
        <v>4</v>
      </c>
      <c r="E593" s="8" t="n">
        <f aca="false">D593*$J$5</f>
        <v>5.05263157894737</v>
      </c>
      <c r="F593" s="8" t="n">
        <f aca="false">E593-C593</f>
        <v>-0.947368421052632</v>
      </c>
      <c r="G593" s="9" t="n">
        <f aca="false">IF(AND(C593=0,E593=0),0,IF(C593=0,"New",(E593-C593)/C593))</f>
        <v>-0.157894736842105</v>
      </c>
      <c r="H593" s="8" t="n">
        <f aca="false">SUMIFS('Source'!$E:$E,'Source'!$A:$A,"155138 לקוח אינטרנט",'Source'!$B:$B,$A593)</f>
        <v>367.91</v>
      </c>
      <c r="I593" s="8" t="n">
        <f aca="false">SUMIFS('Source'!$G:$G,'Source'!$A:$A,"155138 לקוח אינטרנט",'Source'!$B:$B,$A593)</f>
        <v>253.88</v>
      </c>
      <c r="J593" s="8" t="n">
        <f aca="false">I593*$J$5</f>
        <v>320.690526315789</v>
      </c>
      <c r="K593" s="8" t="n">
        <f aca="false">J593-H593</f>
        <v>-47.2194736842105</v>
      </c>
      <c r="L593" s="9" t="n">
        <f aca="false">IF(AND(H593=0,J593=0),0,IF(H593=0,"New",(J593-H593)/H593))</f>
        <v>-0.128345175951212</v>
      </c>
      <c r="M593" s="7" t="str">
        <f aca="false">IF(AND(OR(C593&lt;&gt;0,H593&lt;&gt;0),D593=0,I593=0),"DROP",IF(AND(OR(D593&lt;&gt;0,I593&lt;&gt;0),C593=0,H593=0),"NEW",""))</f>
        <v/>
      </c>
    </row>
    <row r="594" customFormat="false" ht="15" hidden="false" customHeight="false" outlineLevel="0" collapsed="false">
      <c r="A594" s="7" t="s">
        <v>683</v>
      </c>
      <c r="B594" s="7" t="str">
        <f aca="false">IFERROR(INDEX('Source'!$C:$C,MATCH($A594,'Source'!$B:$B,0)),"")</f>
        <v>סד לאצבע הדק</v>
      </c>
      <c r="C594" s="8" t="n">
        <f aca="false">SUMIFS('Source'!$D:$D,'Source'!$A:$A,"155138 לקוח אינטרנט",'Source'!$B:$B,$A594)</f>
        <v>40</v>
      </c>
      <c r="D594" s="8" t="n">
        <f aca="false">SUMIFS('Source'!$F:$F,'Source'!$A:$A,"155138 לקוח אינטרנט",'Source'!$B:$B,$A594)</f>
        <v>41</v>
      </c>
      <c r="E594" s="8" t="n">
        <f aca="false">D594*$J$5</f>
        <v>51.7894736842105</v>
      </c>
      <c r="F594" s="8" t="n">
        <f aca="false">E594-C594</f>
        <v>11.7894736842105</v>
      </c>
      <c r="G594" s="9" t="n">
        <f aca="false">IF(AND(C594=0,E594=0),0,IF(C594=0,"New",(E594-C594)/C594))</f>
        <v>0.294736842105263</v>
      </c>
      <c r="H594" s="8" t="n">
        <f aca="false">SUMIFS('Source'!$E:$E,'Source'!$A:$A,"155138 לקוח אינטרנט",'Source'!$B:$B,$A594)</f>
        <v>2072.6</v>
      </c>
      <c r="I594" s="8" t="n">
        <f aca="false">SUMIFS('Source'!$G:$G,'Source'!$A:$A,"155138 לקוח אינטרנט",'Source'!$B:$B,$A594)</f>
        <v>2186.28</v>
      </c>
      <c r="J594" s="8" t="n">
        <f aca="false">I594*$J$5</f>
        <v>2761.61684210526</v>
      </c>
      <c r="K594" s="8" t="n">
        <f aca="false">J594-H594</f>
        <v>689.016842105264</v>
      </c>
      <c r="L594" s="9" t="n">
        <f aca="false">IF(AND(H594=0,J594=0),0,IF(H594=0,"New",(J594-H594)/H594))</f>
        <v>0.33244081931162</v>
      </c>
      <c r="M594" s="7" t="str">
        <f aca="false">IF(AND(OR(C594&lt;&gt;0,H594&lt;&gt;0),D594=0,I594=0),"DROP",IF(AND(OR(D594&lt;&gt;0,I594&lt;&gt;0),C594=0,H594=0),"NEW",""))</f>
        <v/>
      </c>
    </row>
    <row r="595" customFormat="false" ht="15" hidden="false" customHeight="false" outlineLevel="0" collapsed="false">
      <c r="A595" s="7" t="s">
        <v>684</v>
      </c>
      <c r="B595" s="7" t="str">
        <f aca="false">IFERROR(INDEX('Source'!$C:$C,MATCH($A595,'Source'!$B:$B,0)),"")</f>
        <v>מגן מרפק שחור</v>
      </c>
      <c r="C595" s="8" t="n">
        <f aca="false">SUMIFS('Source'!$D:$D,'Source'!$A:$A,"155138 לקוח אינטרנט",'Source'!$B:$B,$A595)</f>
        <v>5</v>
      </c>
      <c r="D595" s="8" t="n">
        <f aca="false">SUMIFS('Source'!$F:$F,'Source'!$A:$A,"155138 לקוח אינטרנט",'Source'!$B:$B,$A595)</f>
        <v>11</v>
      </c>
      <c r="E595" s="8" t="n">
        <f aca="false">D595*$J$5</f>
        <v>13.8947368421053</v>
      </c>
      <c r="F595" s="8" t="n">
        <f aca="false">E595-C595</f>
        <v>8.89473684210526</v>
      </c>
      <c r="G595" s="9" t="n">
        <f aca="false">IF(AND(C595=0,E595=0),0,IF(C595=0,"New",(E595-C595)/C595))</f>
        <v>1.77894736842105</v>
      </c>
      <c r="H595" s="8" t="n">
        <f aca="false">SUMIFS('Source'!$E:$E,'Source'!$A:$A,"155138 לקוח אינטרנט",'Source'!$B:$B,$A595)</f>
        <v>249.88</v>
      </c>
      <c r="I595" s="8" t="n">
        <f aca="false">SUMIFS('Source'!$G:$G,'Source'!$A:$A,"155138 לקוח אינטרנט",'Source'!$B:$B,$A595)</f>
        <v>361.89</v>
      </c>
      <c r="J595" s="8" t="n">
        <f aca="false">I595*$J$5</f>
        <v>457.124210526316</v>
      </c>
      <c r="K595" s="8" t="n">
        <f aca="false">J595-H595</f>
        <v>207.244210526316</v>
      </c>
      <c r="L595" s="9" t="n">
        <f aca="false">IF(AND(H595=0,J595=0),0,IF(H595=0,"New",(J595-H595)/H595))</f>
        <v>0.82937494207746</v>
      </c>
      <c r="M595" s="7" t="str">
        <f aca="false">IF(AND(OR(C595&lt;&gt;0,H595&lt;&gt;0),D595=0,I595=0),"DROP",IF(AND(OR(D595&lt;&gt;0,I595&lt;&gt;0),C595=0,H595=0),"NEW",""))</f>
        <v/>
      </c>
    </row>
    <row r="596" customFormat="false" ht="15" hidden="false" customHeight="false" outlineLevel="0" collapsed="false">
      <c r="A596" s="7" t="s">
        <v>685</v>
      </c>
      <c r="B596" s="7" t="str">
        <f aca="false">IFERROR(INDEX('Source'!$C:$C,MATCH($A596,'Source'!$B:$B,0)),"")</f>
        <v>מגן מרפק בז'</v>
      </c>
      <c r="C596" s="8" t="n">
        <f aca="false">SUMIFS('Source'!$D:$D,'Source'!$A:$A,"155138 לקוח אינטרנט",'Source'!$B:$B,$A596)</f>
        <v>0</v>
      </c>
      <c r="D596" s="8" t="n">
        <f aca="false">SUMIFS('Source'!$F:$F,'Source'!$A:$A,"155138 לקוח אינטרנט",'Source'!$B:$B,$A596)</f>
        <v>2</v>
      </c>
      <c r="E596" s="8" t="n">
        <f aca="false">D596*$J$5</f>
        <v>2.52631578947368</v>
      </c>
      <c r="F596" s="8" t="n">
        <f aca="false">E596-C596</f>
        <v>2.52631578947368</v>
      </c>
      <c r="G596" s="9" t="str">
        <f aca="false">IF(AND(C596=0,E596=0),0,IF(C596=0,"New",(E596-C596)/C596))</f>
        <v>New</v>
      </c>
      <c r="H596" s="8" t="n">
        <f aca="false">SUMIFS('Source'!$E:$E,'Source'!$A:$A,"155138 לקוח אינטרנט",'Source'!$B:$B,$A596)</f>
        <v>0</v>
      </c>
      <c r="I596" s="8" t="n">
        <f aca="false">SUMIFS('Source'!$G:$G,'Source'!$A:$A,"155138 לקוח אינטרנט",'Source'!$B:$B,$A596)</f>
        <v>111.69</v>
      </c>
      <c r="J596" s="8" t="n">
        <f aca="false">I596*$J$5</f>
        <v>141.082105263158</v>
      </c>
      <c r="K596" s="8" t="n">
        <f aca="false">J596-H596</f>
        <v>141.082105263158</v>
      </c>
      <c r="L596" s="9" t="str">
        <f aca="false">IF(AND(H596=0,J596=0),0,IF(H596=0,"New",(J596-H596)/H596))</f>
        <v>New</v>
      </c>
      <c r="M596" s="7" t="str">
        <f aca="false">IF(AND(OR(C596&lt;&gt;0,H596&lt;&gt;0),D596=0,I596=0),"DROP",IF(AND(OR(D596&lt;&gt;0,I596&lt;&gt;0),C596=0,H596=0),"NEW",""))</f>
        <v>NEW</v>
      </c>
    </row>
    <row r="597" customFormat="false" ht="15" hidden="false" customHeight="false" outlineLevel="0" collapsed="false">
      <c r="A597" s="7" t="s">
        <v>686</v>
      </c>
      <c r="B597" s="7" t="str">
        <f aca="false">IFERROR(INDEX('Source'!$C:$C,MATCH($A597,'Source'!$B:$B,0)),"")</f>
        <v>מגן מרפק שחור</v>
      </c>
      <c r="C597" s="8" t="n">
        <f aca="false">SUMIFS('Source'!$D:$D,'Source'!$A:$A,"155138 לקוח אינטרנט",'Source'!$B:$B,$A597)</f>
        <v>1</v>
      </c>
      <c r="D597" s="8" t="n">
        <f aca="false">SUMIFS('Source'!$F:$F,'Source'!$A:$A,"155138 לקוח אינטרנט",'Source'!$B:$B,$A597)</f>
        <v>3</v>
      </c>
      <c r="E597" s="8" t="n">
        <f aca="false">D597*$J$5</f>
        <v>3.78947368421053</v>
      </c>
      <c r="F597" s="8" t="n">
        <f aca="false">E597-C597</f>
        <v>2.78947368421053</v>
      </c>
      <c r="G597" s="9" t="n">
        <f aca="false">IF(AND(C597=0,E597=0),0,IF(C597=0,"New",(E597-C597)/C597))</f>
        <v>2.78947368421053</v>
      </c>
      <c r="H597" s="8" t="n">
        <f aca="false">SUMIFS('Source'!$E:$E,'Source'!$A:$A,"155138 לקוח אינטרנט",'Source'!$B:$B,$A597)</f>
        <v>55.85</v>
      </c>
      <c r="I597" s="8" t="n">
        <f aca="false">SUMIFS('Source'!$G:$G,'Source'!$A:$A,"155138 לקוח אינטרנט",'Source'!$B:$B,$A597)</f>
        <v>167.54</v>
      </c>
      <c r="J597" s="8" t="n">
        <f aca="false">I597*$J$5</f>
        <v>211.629473684211</v>
      </c>
      <c r="K597" s="8" t="n">
        <f aca="false">J597-H597</f>
        <v>155.779473684211</v>
      </c>
      <c r="L597" s="9" t="n">
        <f aca="false">IF(AND(H597=0,J597=0),0,IF(H597=0,"New",(J597-H597)/H597))</f>
        <v>2.789247514489</v>
      </c>
      <c r="M597" s="7" t="str">
        <f aca="false">IF(AND(OR(C597&lt;&gt;0,H597&lt;&gt;0),D597=0,I597=0),"DROP",IF(AND(OR(D597&lt;&gt;0,I597&lt;&gt;0),C597=0,H597=0),"NEW",""))</f>
        <v/>
      </c>
    </row>
    <row r="598" customFormat="false" ht="15" hidden="false" customHeight="false" outlineLevel="0" collapsed="false">
      <c r="A598" s="7" t="s">
        <v>687</v>
      </c>
      <c r="B598" s="7" t="str">
        <f aca="false">IFERROR(INDEX('Source'!$C:$C,MATCH($A598,'Source'!$B:$B,0)),"")</f>
        <v>תגורת שבר בטבור לתינוקות</v>
      </c>
      <c r="C598" s="8" t="n">
        <f aca="false">SUMIFS('Source'!$D:$D,'Source'!$A:$A,"155138 לקוח אינטרנט",'Source'!$B:$B,$A598)</f>
        <v>1</v>
      </c>
      <c r="D598" s="8" t="n">
        <f aca="false">SUMIFS('Source'!$F:$F,'Source'!$A:$A,"155138 לקוח אינטרנט",'Source'!$B:$B,$A598)</f>
        <v>0</v>
      </c>
      <c r="E598" s="8" t="n">
        <f aca="false">D598*$J$5</f>
        <v>0</v>
      </c>
      <c r="F598" s="8" t="n">
        <f aca="false">E598-C598</f>
        <v>-1</v>
      </c>
      <c r="G598" s="9" t="n">
        <f aca="false">IF(AND(C598=0,E598=0),0,IF(C598=0,"New",(E598-C598)/C598))</f>
        <v>-1</v>
      </c>
      <c r="H598" s="8" t="n">
        <f aca="false">SUMIFS('Source'!$E:$E,'Source'!$A:$A,"155138 לקוח אינטרנט",'Source'!$B:$B,$A598)</f>
        <v>106.69</v>
      </c>
      <c r="I598" s="8" t="n">
        <f aca="false">SUMIFS('Source'!$G:$G,'Source'!$A:$A,"155138 לקוח אינטרנט",'Source'!$B:$B,$A598)</f>
        <v>0</v>
      </c>
      <c r="J598" s="8" t="n">
        <f aca="false">I598*$J$5</f>
        <v>0</v>
      </c>
      <c r="K598" s="8" t="n">
        <f aca="false">J598-H598</f>
        <v>-106.69</v>
      </c>
      <c r="L598" s="9" t="n">
        <f aca="false">IF(AND(H598=0,J598=0),0,IF(H598=0,"New",(J598-H598)/H598))</f>
        <v>-1</v>
      </c>
      <c r="M598" s="7" t="str">
        <f aca="false">IF(AND(OR(C598&lt;&gt;0,H598&lt;&gt;0),D598=0,I598=0),"DROP",IF(AND(OR(D598&lt;&gt;0,I598&lt;&gt;0),C598=0,H598=0),"NEW",""))</f>
        <v>DROP</v>
      </c>
    </row>
    <row r="599" customFormat="false" ht="15" hidden="false" customHeight="false" outlineLevel="0" collapsed="false">
      <c r="A599" s="7" t="s">
        <v>688</v>
      </c>
      <c r="B599" s="7" t="str">
        <f aca="false">IFERROR(INDEX('Source'!$C:$C,MATCH($A599,'Source'!$B:$B,0)),"")</f>
        <v>מגן ברך ארוך</v>
      </c>
      <c r="C599" s="8" t="n">
        <f aca="false">SUMIFS('Source'!$D:$D,'Source'!$A:$A,"155138 לקוח אינטרנט",'Source'!$B:$B,$A599)</f>
        <v>3</v>
      </c>
      <c r="D599" s="8" t="n">
        <f aca="false">SUMIFS('Source'!$F:$F,'Source'!$A:$A,"155138 לקוח אינטרנט",'Source'!$B:$B,$A599)</f>
        <v>1</v>
      </c>
      <c r="E599" s="8" t="n">
        <f aca="false">D599*$J$5</f>
        <v>1.26315789473684</v>
      </c>
      <c r="F599" s="8" t="n">
        <f aca="false">E599-C599</f>
        <v>-1.73684210526316</v>
      </c>
      <c r="G599" s="9" t="n">
        <f aca="false">IF(AND(C599=0,E599=0),0,IF(C599=0,"New",(E599-C599)/C599))</f>
        <v>-0.578947368421053</v>
      </c>
      <c r="H599" s="8" t="n">
        <f aca="false">SUMIFS('Source'!$E:$E,'Source'!$A:$A,"155138 לקוח אינטרנט",'Source'!$B:$B,$A599)</f>
        <v>166.69</v>
      </c>
      <c r="I599" s="8" t="n">
        <f aca="false">SUMIFS('Source'!$G:$G,'Source'!$A:$A,"155138 לקוח אינטרנט",'Source'!$B:$B,$A599)</f>
        <v>60.95</v>
      </c>
      <c r="J599" s="8" t="n">
        <f aca="false">I599*$J$5</f>
        <v>76.9894736842105</v>
      </c>
      <c r="K599" s="8" t="n">
        <f aca="false">J599-H599</f>
        <v>-89.7005263157895</v>
      </c>
      <c r="L599" s="9" t="n">
        <f aca="false">IF(AND(H599=0,J599=0),0,IF(H599=0,"New",(J599-H599)/H599))</f>
        <v>-0.538127819999937</v>
      </c>
      <c r="M599" s="7" t="str">
        <f aca="false">IF(AND(OR(C599&lt;&gt;0,H599&lt;&gt;0),D599=0,I599=0),"DROP",IF(AND(OR(D599&lt;&gt;0,I599&lt;&gt;0),C599=0,H599=0),"NEW",""))</f>
        <v/>
      </c>
    </row>
    <row r="600" customFormat="false" ht="15" hidden="false" customHeight="false" outlineLevel="0" collapsed="false">
      <c r="A600" s="7" t="s">
        <v>689</v>
      </c>
      <c r="B600" s="7" t="str">
        <f aca="false">IFERROR(INDEX('Source'!$C:$C,MATCH($A600,'Source'!$B:$B,0)),"")</f>
        <v>עקב סיליקון שטוח</v>
      </c>
      <c r="C600" s="8" t="n">
        <f aca="false">SUMIFS('Source'!$D:$D,'Source'!$A:$A,"155138 לקוח אינטרנט",'Source'!$B:$B,$A600)</f>
        <v>11</v>
      </c>
      <c r="D600" s="8" t="n">
        <f aca="false">SUMIFS('Source'!$F:$F,'Source'!$A:$A,"155138 לקוח אינטרנט",'Source'!$B:$B,$A600)</f>
        <v>11</v>
      </c>
      <c r="E600" s="8" t="n">
        <f aca="false">D600*$J$5</f>
        <v>13.8947368421053</v>
      </c>
      <c r="F600" s="8" t="n">
        <f aca="false">E600-C600</f>
        <v>2.89473684210526</v>
      </c>
      <c r="G600" s="9" t="n">
        <f aca="false">IF(AND(C600=0,E600=0),0,IF(C600=0,"New",(E600-C600)/C600))</f>
        <v>0.263157894736842</v>
      </c>
      <c r="H600" s="8" t="n">
        <f aca="false">SUMIFS('Source'!$E:$E,'Source'!$A:$A,"155138 לקוח אינטרנט",'Source'!$B:$B,$A600)</f>
        <v>1072.24</v>
      </c>
      <c r="I600" s="8" t="n">
        <f aca="false">SUMIFS('Source'!$G:$G,'Source'!$A:$A,"155138 לקוח אינטרנט",'Source'!$B:$B,$A600)</f>
        <v>1177.89</v>
      </c>
      <c r="J600" s="8" t="n">
        <f aca="false">I600*$J$5</f>
        <v>1487.86105263158</v>
      </c>
      <c r="K600" s="8" t="n">
        <f aca="false">J600-H600</f>
        <v>415.621052631579</v>
      </c>
      <c r="L600" s="9" t="n">
        <f aca="false">IF(AND(H600=0,J600=0),0,IF(H600=0,"New",(J600-H600)/H600))</f>
        <v>0.387619425344679</v>
      </c>
      <c r="M600" s="7" t="str">
        <f aca="false">IF(AND(OR(C600&lt;&gt;0,H600&lt;&gt;0),D600=0,I600=0),"DROP",IF(AND(OR(D600&lt;&gt;0,I600&lt;&gt;0),C600=0,H600=0),"NEW",""))</f>
        <v/>
      </c>
    </row>
    <row r="601" customFormat="false" ht="15" hidden="false" customHeight="false" outlineLevel="0" collapsed="false">
      <c r="A601" s="7" t="s">
        <v>690</v>
      </c>
      <c r="B601" s="7" t="str">
        <f aca="false">IFERROR(INDEX('Source'!$C:$C,MATCH($A601,'Source'!$B:$B,0)),"")</f>
        <v>מגן ירך</v>
      </c>
      <c r="C601" s="8" t="n">
        <f aca="false">SUMIFS('Source'!$D:$D,'Source'!$A:$A,"155138 לקוח אינטרנט",'Source'!$B:$B,$A601)</f>
        <v>6</v>
      </c>
      <c r="D601" s="8" t="n">
        <f aca="false">SUMIFS('Source'!$F:$F,'Source'!$A:$A,"155138 לקוח אינטרנט",'Source'!$B:$B,$A601)</f>
        <v>4</v>
      </c>
      <c r="E601" s="8" t="n">
        <f aca="false">D601*$J$5</f>
        <v>5.05263157894737</v>
      </c>
      <c r="F601" s="8" t="n">
        <f aca="false">E601-C601</f>
        <v>-0.947368421052632</v>
      </c>
      <c r="G601" s="9" t="n">
        <f aca="false">IF(AND(C601=0,E601=0),0,IF(C601=0,"New",(E601-C601)/C601))</f>
        <v>-0.157894736842105</v>
      </c>
      <c r="H601" s="8" t="n">
        <f aca="false">SUMIFS('Source'!$E:$E,'Source'!$A:$A,"155138 לקוח אינטרנט",'Source'!$B:$B,$A601)</f>
        <v>358.61</v>
      </c>
      <c r="I601" s="8" t="n">
        <f aca="false">SUMIFS('Source'!$G:$G,'Source'!$A:$A,"155138 לקוח אינטרנט",'Source'!$B:$B,$A601)</f>
        <v>253.89</v>
      </c>
      <c r="J601" s="8" t="n">
        <f aca="false">I601*$J$5</f>
        <v>320.703157894737</v>
      </c>
      <c r="K601" s="8" t="n">
        <f aca="false">J601-H601</f>
        <v>-37.9068421052632</v>
      </c>
      <c r="L601" s="9" t="n">
        <f aca="false">IF(AND(H601=0,J601=0),0,IF(H601=0,"New",(J601-H601)/H601))</f>
        <v>-0.105704922074853</v>
      </c>
      <c r="M601" s="7" t="str">
        <f aca="false">IF(AND(OR(C601&lt;&gt;0,H601&lt;&gt;0),D601=0,I601=0),"DROP",IF(AND(OR(D601&lt;&gt;0,I601&lt;&gt;0),C601=0,H601=0),"NEW",""))</f>
        <v/>
      </c>
    </row>
    <row r="602" customFormat="false" ht="15" hidden="false" customHeight="false" outlineLevel="0" collapsed="false">
      <c r="A602" s="7" t="s">
        <v>691</v>
      </c>
      <c r="B602" s="7" t="str">
        <f aca="false">IFERROR(INDEX('Source'!$C:$C,MATCH($A602,'Source'!$B:$B,0)),"")</f>
        <v>רפידת ג'ל זיכרון M כחול</v>
      </c>
      <c r="C602" s="8" t="n">
        <f aca="false">SUMIFS('Source'!$D:$D,'Source'!$A:$A,"155138 לקוח אינטרנט",'Source'!$B:$B,$A602)</f>
        <v>1</v>
      </c>
      <c r="D602" s="8" t="n">
        <f aca="false">SUMIFS('Source'!$F:$F,'Source'!$A:$A,"155138 לקוח אינטרנט",'Source'!$B:$B,$A602)</f>
        <v>0</v>
      </c>
      <c r="E602" s="8" t="n">
        <f aca="false">D602*$J$5</f>
        <v>0</v>
      </c>
      <c r="F602" s="8" t="n">
        <f aca="false">E602-C602</f>
        <v>-1</v>
      </c>
      <c r="G602" s="9" t="n">
        <f aca="false">IF(AND(C602=0,E602=0),0,IF(C602=0,"New",(E602-C602)/C602))</f>
        <v>-1</v>
      </c>
      <c r="H602" s="8" t="n">
        <f aca="false">SUMIFS('Source'!$E:$E,'Source'!$A:$A,"155138 לקוח אינטרנט",'Source'!$B:$B,$A602)</f>
        <v>102.98</v>
      </c>
      <c r="I602" s="8" t="n">
        <f aca="false">SUMIFS('Source'!$G:$G,'Source'!$A:$A,"155138 לקוח אינטרנט",'Source'!$B:$B,$A602)</f>
        <v>0</v>
      </c>
      <c r="J602" s="8" t="n">
        <f aca="false">I602*$J$5</f>
        <v>0</v>
      </c>
      <c r="K602" s="8" t="n">
        <f aca="false">J602-H602</f>
        <v>-102.98</v>
      </c>
      <c r="L602" s="9" t="n">
        <f aca="false">IF(AND(H602=0,J602=0),0,IF(H602=0,"New",(J602-H602)/H602))</f>
        <v>-1</v>
      </c>
      <c r="M602" s="7" t="str">
        <f aca="false">IF(AND(OR(C602&lt;&gt;0,H602&lt;&gt;0),D602=0,I602=0),"DROP",IF(AND(OR(D602&lt;&gt;0,I602&lt;&gt;0),C602=0,H602=0),"NEW",""))</f>
        <v>DROP</v>
      </c>
    </row>
    <row r="603" customFormat="false" ht="15" hidden="false" customHeight="false" outlineLevel="0" collapsed="false">
      <c r="A603" s="7" t="s">
        <v>692</v>
      </c>
      <c r="B603" s="7" t="str">
        <f aca="false">IFERROR(INDEX('Source'!$C:$C,MATCH($A603,'Source'!$B:$B,0)),"")</f>
        <v>מתלה יד-כיס</v>
      </c>
      <c r="C603" s="8" t="n">
        <f aca="false">SUMIFS('Source'!$D:$D,'Source'!$A:$A,"155138 לקוח אינטרנט",'Source'!$B:$B,$A603)</f>
        <v>1</v>
      </c>
      <c r="D603" s="8" t="n">
        <f aca="false">SUMIFS('Source'!$F:$F,'Source'!$A:$A,"155138 לקוח אינטרנט",'Source'!$B:$B,$A603)</f>
        <v>2</v>
      </c>
      <c r="E603" s="8" t="n">
        <f aca="false">D603*$J$5</f>
        <v>2.52631578947368</v>
      </c>
      <c r="F603" s="8" t="n">
        <f aca="false">E603-C603</f>
        <v>1.52631578947368</v>
      </c>
      <c r="G603" s="9" t="n">
        <f aca="false">IF(AND(C603=0,E603=0),0,IF(C603=0,"New",(E603-C603)/C603))</f>
        <v>1.52631578947368</v>
      </c>
      <c r="H603" s="8" t="n">
        <f aca="false">SUMIFS('Source'!$E:$E,'Source'!$A:$A,"155138 לקוח אינטרנט",'Source'!$B:$B,$A603)</f>
        <v>102.46</v>
      </c>
      <c r="I603" s="8" t="n">
        <f aca="false">SUMIFS('Source'!$G:$G,'Source'!$A:$A,"155138 לקוח אינטרנט",'Source'!$B:$B,$A603)</f>
        <v>204.92</v>
      </c>
      <c r="J603" s="8" t="n">
        <f aca="false">I603*$J$5</f>
        <v>258.846315789474</v>
      </c>
      <c r="K603" s="8" t="n">
        <f aca="false">J603-H603</f>
        <v>156.386315789474</v>
      </c>
      <c r="L603" s="9" t="n">
        <f aca="false">IF(AND(H603=0,J603=0),0,IF(H603=0,"New",(J603-H603)/H603))</f>
        <v>1.52631578947368</v>
      </c>
      <c r="M603" s="7" t="str">
        <f aca="false">IF(AND(OR(C603&lt;&gt;0,H603&lt;&gt;0),D603=0,I603=0),"DROP",IF(AND(OR(D603&lt;&gt;0,I603&lt;&gt;0),C603=0,H603=0),"NEW",""))</f>
        <v/>
      </c>
    </row>
    <row r="604" customFormat="false" ht="15" hidden="false" customHeight="false" outlineLevel="0" collapsed="false">
      <c r="A604" s="7" t="s">
        <v>693</v>
      </c>
      <c r="B604" s="7" t="str">
        <f aca="false">IFERROR(INDEX('Source'!$C:$C,MATCH($A604,'Source'!$B:$B,0)),"")</f>
        <v>מתלה יד-כיס</v>
      </c>
      <c r="C604" s="8" t="n">
        <f aca="false">SUMIFS('Source'!$D:$D,'Source'!$A:$A,"155138 לקוח אינטרנט",'Source'!$B:$B,$A604)</f>
        <v>5</v>
      </c>
      <c r="D604" s="8" t="n">
        <f aca="false">SUMIFS('Source'!$F:$F,'Source'!$A:$A,"155138 לקוח אינטרנט",'Source'!$B:$B,$A604)</f>
        <v>6</v>
      </c>
      <c r="E604" s="8" t="n">
        <f aca="false">D604*$J$5</f>
        <v>7.57894736842105</v>
      </c>
      <c r="F604" s="8" t="n">
        <f aca="false">E604-C604</f>
        <v>2.57894736842105</v>
      </c>
      <c r="G604" s="9" t="n">
        <f aca="false">IF(AND(C604=0,E604=0),0,IF(C604=0,"New",(E604-C604)/C604))</f>
        <v>0.515789473684211</v>
      </c>
      <c r="H604" s="8" t="n">
        <f aca="false">SUMIFS('Source'!$E:$E,'Source'!$A:$A,"155138 לקוח אינטרנט",'Source'!$B:$B,$A604)</f>
        <v>512.3</v>
      </c>
      <c r="I604" s="8" t="n">
        <f aca="false">SUMIFS('Source'!$G:$G,'Source'!$A:$A,"155138 לקוח אינטרנט",'Source'!$B:$B,$A604)</f>
        <v>614.75</v>
      </c>
      <c r="J604" s="8" t="n">
        <f aca="false">I604*$J$5</f>
        <v>776.526315789474</v>
      </c>
      <c r="K604" s="8" t="n">
        <f aca="false">J604-H604</f>
        <v>264.226315789474</v>
      </c>
      <c r="L604" s="9" t="n">
        <f aca="false">IF(AND(H604=0,J604=0),0,IF(H604=0,"New",(J604-H604)/H604))</f>
        <v>0.515764817078809</v>
      </c>
      <c r="M604" s="7" t="str">
        <f aca="false">IF(AND(OR(C604&lt;&gt;0,H604&lt;&gt;0),D604=0,I604=0),"DROP",IF(AND(OR(D604&lt;&gt;0,I604&lt;&gt;0),C604=0,H604=0),"NEW",""))</f>
        <v/>
      </c>
    </row>
    <row r="605" customFormat="false" ht="15" hidden="false" customHeight="false" outlineLevel="0" collapsed="false">
      <c r="A605" s="7" t="s">
        <v>694</v>
      </c>
      <c r="B605" s="7" t="str">
        <f aca="false">IFERROR(INDEX('Source'!$C:$C,MATCH($A605,'Source'!$B:$B,0)),"")</f>
        <v>מגן קרסול פתוח</v>
      </c>
      <c r="C605" s="8" t="n">
        <f aca="false">SUMIFS('Source'!$D:$D,'Source'!$A:$A,"155138 לקוח אינטרנט",'Source'!$B:$B,$A605)</f>
        <v>2</v>
      </c>
      <c r="D605" s="8" t="n">
        <f aca="false">SUMIFS('Source'!$F:$F,'Source'!$A:$A,"155138 לקוח אינטרנט",'Source'!$B:$B,$A605)</f>
        <v>4</v>
      </c>
      <c r="E605" s="8" t="n">
        <f aca="false">D605*$J$5</f>
        <v>5.05263157894737</v>
      </c>
      <c r="F605" s="8" t="n">
        <f aca="false">E605-C605</f>
        <v>3.05263157894737</v>
      </c>
      <c r="G605" s="9" t="n">
        <f aca="false">IF(AND(C605=0,E605=0),0,IF(C605=0,"New",(E605-C605)/C605))</f>
        <v>1.52631578947368</v>
      </c>
      <c r="H605" s="8" t="n">
        <f aca="false">SUMIFS('Source'!$E:$E,'Source'!$A:$A,"155138 לקוח אינטרנט",'Source'!$B:$B,$A605)</f>
        <v>110</v>
      </c>
      <c r="I605" s="8" t="n">
        <f aca="false">SUMIFS('Source'!$G:$G,'Source'!$A:$A,"155138 לקוח אינטרנט",'Source'!$B:$B,$A605)</f>
        <v>212.23</v>
      </c>
      <c r="J605" s="8" t="n">
        <f aca="false">I605*$J$5</f>
        <v>268.08</v>
      </c>
      <c r="K605" s="8" t="n">
        <f aca="false">J605-H605</f>
        <v>158.08</v>
      </c>
      <c r="L605" s="9" t="n">
        <f aca="false">IF(AND(H605=0,J605=0),0,IF(H605=0,"New",(J605-H605)/H605))</f>
        <v>1.43709090909091</v>
      </c>
      <c r="M605" s="7" t="str">
        <f aca="false">IF(AND(OR(C605&lt;&gt;0,H605&lt;&gt;0),D605=0,I605=0),"DROP",IF(AND(OR(D605&lt;&gt;0,I605&lt;&gt;0),C605=0,H605=0),"NEW",""))</f>
        <v/>
      </c>
    </row>
    <row r="606" customFormat="false" ht="15" hidden="false" customHeight="false" outlineLevel="0" collapsed="false">
      <c r="A606" s="7" t="s">
        <v>695</v>
      </c>
      <c r="B606" s="7" t="str">
        <f aca="false">IFERROR(INDEX('Source'!$C:$C,MATCH($A606,'Source'!$B:$B,0)),"")</f>
        <v>צוארון פלסטי מתכוונן</v>
      </c>
      <c r="C606" s="8" t="n">
        <f aca="false">SUMIFS('Source'!$D:$D,'Source'!$A:$A,"155138 לקוח אינטרנט",'Source'!$B:$B,$A606)</f>
        <v>5</v>
      </c>
      <c r="D606" s="8" t="n">
        <f aca="false">SUMIFS('Source'!$F:$F,'Source'!$A:$A,"155138 לקוח אינטרנט",'Source'!$B:$B,$A606)</f>
        <v>4</v>
      </c>
      <c r="E606" s="8" t="n">
        <f aca="false">D606*$J$5</f>
        <v>5.05263157894737</v>
      </c>
      <c r="F606" s="8" t="n">
        <f aca="false">E606-C606</f>
        <v>0.0526315789473681</v>
      </c>
      <c r="G606" s="9" t="n">
        <f aca="false">IF(AND(C606=0,E606=0),0,IF(C606=0,"New",(E606-C606)/C606))</f>
        <v>0.0105263157894736</v>
      </c>
      <c r="H606" s="8" t="n">
        <f aca="false">SUMIFS('Source'!$E:$E,'Source'!$A:$A,"155138 לקוח אינטרנט",'Source'!$B:$B,$A606)</f>
        <v>559.16</v>
      </c>
      <c r="I606" s="8" t="n">
        <f aca="false">SUMIFS('Source'!$G:$G,'Source'!$A:$A,"155138 לקוח אינטרנט",'Source'!$B:$B,$A606)</f>
        <v>456.96</v>
      </c>
      <c r="J606" s="8" t="n">
        <f aca="false">I606*$J$5</f>
        <v>577.212631578947</v>
      </c>
      <c r="K606" s="8" t="n">
        <f aca="false">J606-H606</f>
        <v>18.0526315789474</v>
      </c>
      <c r="L606" s="9" t="n">
        <f aca="false">IF(AND(H606=0,J606=0),0,IF(H606=0,"New",(J606-H606)/H606))</f>
        <v>0.0322852700102786</v>
      </c>
      <c r="M606" s="7" t="str">
        <f aca="false">IF(AND(OR(C606&lt;&gt;0,H606&lt;&gt;0),D606=0,I606=0),"DROP",IF(AND(OR(D606&lt;&gt;0,I606&lt;&gt;0),C606=0,H606=0),"NEW",""))</f>
        <v/>
      </c>
    </row>
    <row r="607" customFormat="false" ht="15" hidden="false" customHeight="false" outlineLevel="0" collapsed="false">
      <c r="A607" s="7" t="s">
        <v>696</v>
      </c>
      <c r="B607" s="7" t="str">
        <f aca="false">IFERROR(INDEX('Source'!$C:$C,MATCH($A607,'Source'!$B:$B,0)),"")</f>
        <v>אצבעון מפלסטיק  ליד</v>
      </c>
      <c r="C607" s="8" t="n">
        <f aca="false">SUMIFS('Source'!$D:$D,'Source'!$A:$A,"155138 לקוח אינטרנט",'Source'!$B:$B,$A607)</f>
        <v>27</v>
      </c>
      <c r="D607" s="8" t="n">
        <f aca="false">SUMIFS('Source'!$F:$F,'Source'!$A:$A,"155138 לקוח אינטרנט",'Source'!$B:$B,$A607)</f>
        <v>29</v>
      </c>
      <c r="E607" s="8" t="n">
        <f aca="false">D607*$J$5</f>
        <v>36.6315789473684</v>
      </c>
      <c r="F607" s="8" t="n">
        <f aca="false">E607-C607</f>
        <v>9.63157894736842</v>
      </c>
      <c r="G607" s="9" t="n">
        <f aca="false">IF(AND(C607=0,E607=0),0,IF(C607=0,"New",(E607-C607)/C607))</f>
        <v>0.35672514619883</v>
      </c>
      <c r="H607" s="8" t="n">
        <f aca="false">SUMIFS('Source'!$E:$E,'Source'!$A:$A,"155138 לקוח אינטרנט",'Source'!$B:$B,$A607)</f>
        <v>928.1</v>
      </c>
      <c r="I607" s="8" t="n">
        <f aca="false">SUMIFS('Source'!$G:$G,'Source'!$A:$A,"155138 לקוח אינטרנט",'Source'!$B:$B,$A607)</f>
        <v>1029.29</v>
      </c>
      <c r="J607" s="8" t="n">
        <f aca="false">I607*$J$5</f>
        <v>1300.15578947368</v>
      </c>
      <c r="K607" s="8" t="n">
        <f aca="false">J607-H607</f>
        <v>372.055789473684</v>
      </c>
      <c r="L607" s="9" t="n">
        <f aca="false">IF(AND(H607=0,J607=0),0,IF(H607=0,"New",(J607-H607)/H607))</f>
        <v>0.400878988765956</v>
      </c>
      <c r="M607" s="7" t="str">
        <f aca="false">IF(AND(OR(C607&lt;&gt;0,H607&lt;&gt;0),D607=0,I607=0),"DROP",IF(AND(OR(D607&lt;&gt;0,I607&lt;&gt;0),C607=0,H607=0),"NEW",""))</f>
        <v/>
      </c>
    </row>
    <row r="608" customFormat="false" ht="15" hidden="false" customHeight="false" outlineLevel="0" collapsed="false">
      <c r="A608" s="7" t="s">
        <v>697</v>
      </c>
      <c r="B608" s="7" t="str">
        <f aca="false">IFERROR(INDEX('Source'!$C:$C,MATCH($A608,'Source'!$B:$B,0)),"")</f>
        <v>תגורת שבר בטבור לתינוקות</v>
      </c>
      <c r="C608" s="8" t="n">
        <f aca="false">SUMIFS('Source'!$D:$D,'Source'!$A:$A,"155138 לקוח אינטרנט",'Source'!$B:$B,$A608)</f>
        <v>1</v>
      </c>
      <c r="D608" s="8" t="n">
        <f aca="false">SUMIFS('Source'!$F:$F,'Source'!$A:$A,"155138 לקוח אינטרנט",'Source'!$B:$B,$A608)</f>
        <v>0</v>
      </c>
      <c r="E608" s="8" t="n">
        <f aca="false">D608*$J$5</f>
        <v>0</v>
      </c>
      <c r="F608" s="8" t="n">
        <f aca="false">E608-C608</f>
        <v>-1</v>
      </c>
      <c r="G608" s="9" t="n">
        <f aca="false">IF(AND(C608=0,E608=0),0,IF(C608=0,"New",(E608-C608)/C608))</f>
        <v>-1</v>
      </c>
      <c r="H608" s="8" t="n">
        <f aca="false">SUMIFS('Source'!$E:$E,'Source'!$A:$A,"155138 לקוח אינטרנט",'Source'!$B:$B,$A608)</f>
        <v>97.17</v>
      </c>
      <c r="I608" s="8" t="n">
        <f aca="false">SUMIFS('Source'!$G:$G,'Source'!$A:$A,"155138 לקוח אינטרנט",'Source'!$B:$B,$A608)</f>
        <v>0</v>
      </c>
      <c r="J608" s="8" t="n">
        <f aca="false">I608*$J$5</f>
        <v>0</v>
      </c>
      <c r="K608" s="8" t="n">
        <f aca="false">J608-H608</f>
        <v>-97.17</v>
      </c>
      <c r="L608" s="9" t="n">
        <f aca="false">IF(AND(H608=0,J608=0),0,IF(H608=0,"New",(J608-H608)/H608))</f>
        <v>-1</v>
      </c>
      <c r="M608" s="7" t="str">
        <f aca="false">IF(AND(OR(C608&lt;&gt;0,H608&lt;&gt;0),D608=0,I608=0),"DROP",IF(AND(OR(D608&lt;&gt;0,I608&lt;&gt;0),C608=0,H608=0),"NEW",""))</f>
        <v>DROP</v>
      </c>
    </row>
    <row r="609" customFormat="false" ht="15" hidden="false" customHeight="false" outlineLevel="0" collapsed="false">
      <c r="A609" s="7" t="s">
        <v>698</v>
      </c>
      <c r="B609" s="7" t="str">
        <f aca="false">IFERROR(INDEX('Source'!$C:$C,MATCH($A609,'Source'!$B:$B,0)),"")</f>
        <v>מגן ברך חום</v>
      </c>
      <c r="C609" s="8" t="n">
        <f aca="false">SUMIFS('Source'!$D:$D,'Source'!$A:$A,"155138 לקוח אינטרנט",'Source'!$B:$B,$A609)</f>
        <v>10</v>
      </c>
      <c r="D609" s="8" t="n">
        <f aca="false">SUMIFS('Source'!$F:$F,'Source'!$A:$A,"155138 לקוח אינטרנט",'Source'!$B:$B,$A609)</f>
        <v>8</v>
      </c>
      <c r="E609" s="8" t="n">
        <f aca="false">D609*$J$5</f>
        <v>10.1052631578947</v>
      </c>
      <c r="F609" s="8" t="n">
        <f aca="false">E609-C609</f>
        <v>0.105263157894736</v>
      </c>
      <c r="G609" s="9" t="n">
        <f aca="false">IF(AND(C609=0,E609=0),0,IF(C609=0,"New",(E609-C609)/C609))</f>
        <v>0.0105263157894736</v>
      </c>
      <c r="H609" s="8" t="n">
        <f aca="false">SUMIFS('Source'!$E:$E,'Source'!$A:$A,"155138 לקוח אינטרנט",'Source'!$B:$B,$A609)</f>
        <v>531.92</v>
      </c>
      <c r="I609" s="8" t="n">
        <f aca="false">SUMIFS('Source'!$G:$G,'Source'!$A:$A,"155138 לקוח אינטרנט",'Source'!$B:$B,$A609)</f>
        <v>435.62</v>
      </c>
      <c r="J609" s="8" t="n">
        <f aca="false">I609*$J$5</f>
        <v>550.256842105263</v>
      </c>
      <c r="K609" s="8" t="n">
        <f aca="false">J609-H609</f>
        <v>18.3368421052631</v>
      </c>
      <c r="L609" s="9" t="n">
        <f aca="false">IF(AND(H609=0,J609=0),0,IF(H609=0,"New",(J609-H609)/H609))</f>
        <v>0.0344729322177454</v>
      </c>
      <c r="M609" s="7" t="str">
        <f aca="false">IF(AND(OR(C609&lt;&gt;0,H609&lt;&gt;0),D609=0,I609=0),"DROP",IF(AND(OR(D609&lt;&gt;0,I609&lt;&gt;0),C609=0,H609=0),"NEW",""))</f>
        <v/>
      </c>
    </row>
    <row r="610" customFormat="false" ht="15" hidden="false" customHeight="false" outlineLevel="0" collapsed="false">
      <c r="A610" s="7" t="s">
        <v>699</v>
      </c>
      <c r="B610" s="7" t="n">
        <f aca="false">IFERROR(INDEX('Source'!$C:$C,MATCH($A610,'Source'!$B:$B,0)),"")</f>
        <v>0</v>
      </c>
      <c r="C610" s="8" t="n">
        <f aca="false">SUMIFS('Source'!$D:$D,'Source'!$A:$A,"155138 לקוח אינטרנט",'Source'!$B:$B,$A610)</f>
        <v>0</v>
      </c>
      <c r="D610" s="8" t="n">
        <f aca="false">SUMIFS('Source'!$F:$F,'Source'!$A:$A,"155138 לקוח אינטרנט",'Source'!$B:$B,$A610)</f>
        <v>4</v>
      </c>
      <c r="E610" s="8" t="n">
        <f aca="false">D610*$J$5</f>
        <v>5.05263157894737</v>
      </c>
      <c r="F610" s="8" t="n">
        <f aca="false">E610-C610</f>
        <v>5.05263157894737</v>
      </c>
      <c r="G610" s="9" t="str">
        <f aca="false">IF(AND(C610=0,E610=0),0,IF(C610=0,"New",(E610-C610)/C610))</f>
        <v>New</v>
      </c>
      <c r="H610" s="8" t="n">
        <f aca="false">SUMIFS('Source'!$E:$E,'Source'!$A:$A,"155138 לקוח אינטרנט",'Source'!$B:$B,$A610)</f>
        <v>0</v>
      </c>
      <c r="I610" s="8" t="n">
        <f aca="false">SUMIFS('Source'!$G:$G,'Source'!$A:$A,"155138 לקוח אינטרנט",'Source'!$B:$B,$A610)</f>
        <v>96.28</v>
      </c>
      <c r="J610" s="8" t="n">
        <f aca="false">I610*$J$5</f>
        <v>121.616842105263</v>
      </c>
      <c r="K610" s="8" t="n">
        <f aca="false">J610-H610</f>
        <v>121.616842105263</v>
      </c>
      <c r="L610" s="9" t="str">
        <f aca="false">IF(AND(H610=0,J610=0),0,IF(H610=0,"New",(J610-H610)/H610))</f>
        <v>New</v>
      </c>
      <c r="M610" s="7" t="str">
        <f aca="false">IF(AND(OR(C610&lt;&gt;0,H610&lt;&gt;0),D610=0,I610=0),"DROP",IF(AND(OR(D610&lt;&gt;0,I610&lt;&gt;0),C610=0,H610=0),"NEW",""))</f>
        <v>NEW</v>
      </c>
    </row>
    <row r="611" customFormat="false" ht="15" hidden="false" customHeight="false" outlineLevel="0" collapsed="false">
      <c r="A611" s="7" t="s">
        <v>700</v>
      </c>
      <c r="B611" s="7" t="str">
        <f aca="false">IFERROR(INDEX('Source'!$C:$C,MATCH($A611,'Source'!$B:$B,0)),"")</f>
        <v>אצבעון מפלסטיק  ליד</v>
      </c>
      <c r="C611" s="8" t="n">
        <f aca="false">SUMIFS('Source'!$D:$D,'Source'!$A:$A,"155138 לקוח אינטרנט",'Source'!$B:$B,$A611)</f>
        <v>16</v>
      </c>
      <c r="D611" s="8" t="n">
        <f aca="false">SUMIFS('Source'!$F:$F,'Source'!$A:$A,"155138 לקוח אינטרנט",'Source'!$B:$B,$A611)</f>
        <v>18</v>
      </c>
      <c r="E611" s="8" t="n">
        <f aca="false">D611*$J$5</f>
        <v>22.7368421052632</v>
      </c>
      <c r="F611" s="8" t="n">
        <f aca="false">E611-C611</f>
        <v>6.73684210526316</v>
      </c>
      <c r="G611" s="9" t="n">
        <f aca="false">IF(AND(C611=0,E611=0),0,IF(C611=0,"New",(E611-C611)/C611))</f>
        <v>0.421052631578947</v>
      </c>
      <c r="H611" s="8" t="n">
        <f aca="false">SUMIFS('Source'!$E:$E,'Source'!$A:$A,"155138 לקוח אינטרנט",'Source'!$B:$B,$A611)</f>
        <v>527.65</v>
      </c>
      <c r="I611" s="8" t="n">
        <f aca="false">SUMIFS('Source'!$G:$G,'Source'!$A:$A,"155138 לקוח אינטרנט",'Source'!$B:$B,$A611)</f>
        <v>623.56</v>
      </c>
      <c r="J611" s="8" t="n">
        <f aca="false">I611*$J$5</f>
        <v>787.654736842105</v>
      </c>
      <c r="K611" s="8" t="n">
        <f aca="false">J611-H611</f>
        <v>260.004736842105</v>
      </c>
      <c r="L611" s="9" t="n">
        <f aca="false">IF(AND(H611=0,J611=0),0,IF(H611=0,"New",(J611-H611)/H611))</f>
        <v>0.492759853770691</v>
      </c>
      <c r="M611" s="7" t="str">
        <f aca="false">IF(AND(OR(C611&lt;&gt;0,H611&lt;&gt;0),D611=0,I611=0),"DROP",IF(AND(OR(D611&lt;&gt;0,I611&lt;&gt;0),C611=0,H611=0),"NEW",""))</f>
        <v/>
      </c>
    </row>
    <row r="612" customFormat="false" ht="15" hidden="false" customHeight="false" outlineLevel="0" collapsed="false">
      <c r="A612" s="7" t="s">
        <v>701</v>
      </c>
      <c r="B612" s="7" t="str">
        <f aca="false">IFERROR(INDEX('Source'!$C:$C,MATCH($A612,'Source'!$B:$B,0)),"")</f>
        <v>תחבושת אלסטית נצמדת צבע ירוק</v>
      </c>
      <c r="C612" s="8" t="n">
        <f aca="false">SUMIFS('Source'!$D:$D,'Source'!$A:$A,"155138 לקוח אינטרנט",'Source'!$B:$B,$A612)</f>
        <v>13</v>
      </c>
      <c r="D612" s="8" t="n">
        <f aca="false">SUMIFS('Source'!$F:$F,'Source'!$A:$A,"155138 לקוח אינטרנט",'Source'!$B:$B,$A612)</f>
        <v>7</v>
      </c>
      <c r="E612" s="8" t="n">
        <f aca="false">D612*$J$5</f>
        <v>8.84210526315789</v>
      </c>
      <c r="F612" s="8" t="n">
        <f aca="false">E612-C612</f>
        <v>-4.15789473684211</v>
      </c>
      <c r="G612" s="9" t="n">
        <f aca="false">IF(AND(C612=0,E612=0),0,IF(C612=0,"New",(E612-C612)/C612))</f>
        <v>-0.319838056680162</v>
      </c>
      <c r="H612" s="8" t="n">
        <f aca="false">SUMIFS('Source'!$E:$E,'Source'!$A:$A,"155138 לקוח אינטרנט",'Source'!$B:$B,$A612)</f>
        <v>240.54</v>
      </c>
      <c r="I612" s="8" t="n">
        <f aca="false">SUMIFS('Source'!$G:$G,'Source'!$A:$A,"155138 לקוח אינטרנט",'Source'!$B:$B,$A612)</f>
        <v>148.19</v>
      </c>
      <c r="J612" s="8" t="n">
        <f aca="false">I612*$J$5</f>
        <v>187.187368421053</v>
      </c>
      <c r="K612" s="8" t="n">
        <f aca="false">J612-H612</f>
        <v>-53.3526315789474</v>
      </c>
      <c r="L612" s="9" t="n">
        <f aca="false">IF(AND(H612=0,J612=0),0,IF(H612=0,"New",(J612-H612)/H612))</f>
        <v>-0.221803573538486</v>
      </c>
      <c r="M612" s="7" t="str">
        <f aca="false">IF(AND(OR(C612&lt;&gt;0,H612&lt;&gt;0),D612=0,I612=0),"DROP",IF(AND(OR(D612&lt;&gt;0,I612&lt;&gt;0),C612=0,H612=0),"NEW",""))</f>
        <v/>
      </c>
    </row>
    <row r="613" customFormat="false" ht="15" hidden="false" customHeight="false" outlineLevel="0" collapsed="false">
      <c r="A613" s="7" t="s">
        <v>702</v>
      </c>
      <c r="B613" s="7" t="str">
        <f aca="false">IFERROR(INDEX('Source'!$C:$C,MATCH($A613,'Source'!$B:$B,0)),"")</f>
        <v>מגן קרסול חום</v>
      </c>
      <c r="C613" s="8" t="n">
        <f aca="false">SUMIFS('Source'!$D:$D,'Source'!$A:$A,"155138 לקוח אינטרנט",'Source'!$B:$B,$A613)</f>
        <v>11</v>
      </c>
      <c r="D613" s="8" t="n">
        <f aca="false">SUMIFS('Source'!$F:$F,'Source'!$A:$A,"155138 לקוח אינטרנט",'Source'!$B:$B,$A613)</f>
        <v>9</v>
      </c>
      <c r="E613" s="8" t="n">
        <f aca="false">D613*$J$5</f>
        <v>11.3684210526316</v>
      </c>
      <c r="F613" s="8" t="n">
        <f aca="false">E613-C613</f>
        <v>0.368421052631579</v>
      </c>
      <c r="G613" s="9" t="n">
        <f aca="false">IF(AND(C613=0,E613=0),0,IF(C613=0,"New",(E613-C613)/C613))</f>
        <v>0.0334928229665072</v>
      </c>
      <c r="H613" s="8" t="n">
        <f aca="false">SUMIFS('Source'!$E:$E,'Source'!$A:$A,"155138 לקוח אינטרנט",'Source'!$B:$B,$A613)</f>
        <v>565.17</v>
      </c>
      <c r="I613" s="8" t="n">
        <f aca="false">SUMIFS('Source'!$G:$G,'Source'!$A:$A,"155138 לקוח אינטרנט",'Source'!$B:$B,$A613)</f>
        <v>474.71</v>
      </c>
      <c r="J613" s="8" t="n">
        <f aca="false">I613*$J$5</f>
        <v>599.633684210526</v>
      </c>
      <c r="K613" s="8" t="n">
        <f aca="false">J613-H613</f>
        <v>34.4636842105264</v>
      </c>
      <c r="L613" s="9" t="n">
        <f aca="false">IF(AND(H613=0,J613=0),0,IF(H613=0,"New",(J613-H613)/H613))</f>
        <v>0.0609793234080478</v>
      </c>
      <c r="M613" s="7" t="str">
        <f aca="false">IF(AND(OR(C613&lt;&gt;0,H613&lt;&gt;0),D613=0,I613=0),"DROP",IF(AND(OR(D613&lt;&gt;0,I613&lt;&gt;0),C613=0,H613=0),"NEW",""))</f>
        <v/>
      </c>
    </row>
    <row r="614" customFormat="false" ht="15" hidden="false" customHeight="false" outlineLevel="0" collapsed="false">
      <c r="A614" s="7" t="s">
        <v>703</v>
      </c>
      <c r="B614" s="7" t="str">
        <f aca="false">IFERROR(INDEX('Source'!$C:$C,MATCH($A614,'Source'!$B:$B,0)),"")</f>
        <v>אטלטיק טייפ</v>
      </c>
      <c r="C614" s="8" t="n">
        <f aca="false">SUMIFS('Source'!$D:$D,'Source'!$A:$A,"155138 לקוח אינטרנט",'Source'!$B:$B,$A614)</f>
        <v>14</v>
      </c>
      <c r="D614" s="8" t="n">
        <f aca="false">SUMIFS('Source'!$F:$F,'Source'!$A:$A,"155138 לקוח אינטרנט",'Source'!$B:$B,$A614)</f>
        <v>10</v>
      </c>
      <c r="E614" s="8" t="n">
        <f aca="false">D614*$J$5</f>
        <v>12.6315789473684</v>
      </c>
      <c r="F614" s="8" t="n">
        <f aca="false">E614-C614</f>
        <v>-1.36842105263158</v>
      </c>
      <c r="G614" s="9" t="n">
        <f aca="false">IF(AND(C614=0,E614=0),0,IF(C614=0,"New",(E614-C614)/C614))</f>
        <v>-0.0977443609022556</v>
      </c>
      <c r="H614" s="8" t="n">
        <f aca="false">SUMIFS('Source'!$E:$E,'Source'!$A:$A,"155138 לקוח אינטרנט",'Source'!$B:$B,$A614)</f>
        <v>378.95</v>
      </c>
      <c r="I614" s="8" t="n">
        <f aca="false">SUMIFS('Source'!$G:$G,'Source'!$A:$A,"155138 לקוח אינטרנט",'Source'!$B:$B,$A614)</f>
        <v>289.25</v>
      </c>
      <c r="J614" s="8" t="n">
        <f aca="false">I614*$J$5</f>
        <v>365.368421052632</v>
      </c>
      <c r="K614" s="8" t="n">
        <f aca="false">J614-H614</f>
        <v>-13.5815789473685</v>
      </c>
      <c r="L614" s="9" t="n">
        <f aca="false">IF(AND(H614=0,J614=0),0,IF(H614=0,"New",(J614-H614)/H614))</f>
        <v>-0.0358400288886884</v>
      </c>
      <c r="M614" s="7" t="str">
        <f aca="false">IF(AND(OR(C614&lt;&gt;0,H614&lt;&gt;0),D614=0,I614=0),"DROP",IF(AND(OR(D614&lt;&gt;0,I614&lt;&gt;0),C614=0,H614=0),"NEW",""))</f>
        <v/>
      </c>
    </row>
    <row r="615" customFormat="false" ht="15" hidden="false" customHeight="false" outlineLevel="0" collapsed="false">
      <c r="A615" s="7" t="s">
        <v>704</v>
      </c>
      <c r="B615" s="7" t="str">
        <f aca="false">IFERROR(INDEX('Source'!$C:$C,MATCH($A615,'Source'!$B:$B,0)),"")</f>
        <v>מגן קרסול שחור</v>
      </c>
      <c r="C615" s="8" t="n">
        <f aca="false">SUMIFS('Source'!$D:$D,'Source'!$A:$A,"155138 לקוח אינטרנט",'Source'!$B:$B,$A615)</f>
        <v>6</v>
      </c>
      <c r="D615" s="8" t="n">
        <f aca="false">SUMIFS('Source'!$F:$F,'Source'!$A:$A,"155138 לקוח אינטרנט",'Source'!$B:$B,$A615)</f>
        <v>4</v>
      </c>
      <c r="E615" s="8" t="n">
        <f aca="false">D615*$J$5</f>
        <v>5.05263157894737</v>
      </c>
      <c r="F615" s="8" t="n">
        <f aca="false">E615-C615</f>
        <v>-0.947368421052632</v>
      </c>
      <c r="G615" s="9" t="n">
        <f aca="false">IF(AND(C615=0,E615=0),0,IF(C615=0,"New",(E615-C615)/C615))</f>
        <v>-0.157894736842105</v>
      </c>
      <c r="H615" s="8" t="n">
        <f aca="false">SUMIFS('Source'!$E:$E,'Source'!$A:$A,"155138 לקוח אינטרנט",'Source'!$B:$B,$A615)</f>
        <v>312.76</v>
      </c>
      <c r="I615" s="8" t="n">
        <f aca="false">SUMIFS('Source'!$G:$G,'Source'!$A:$A,"155138 לקוח אינטרנט",'Source'!$B:$B,$A615)</f>
        <v>223.4</v>
      </c>
      <c r="J615" s="8" t="n">
        <f aca="false">I615*$J$5</f>
        <v>282.189473684211</v>
      </c>
      <c r="K615" s="8" t="n">
        <f aca="false">J615-H615</f>
        <v>-30.5705263157895</v>
      </c>
      <c r="L615" s="9" t="n">
        <f aca="false">IF(AND(H615=0,J615=0),0,IF(H615=0,"New",(J615-H615)/H615))</f>
        <v>-0.0977443609022557</v>
      </c>
      <c r="M615" s="7" t="str">
        <f aca="false">IF(AND(OR(C615&lt;&gt;0,H615&lt;&gt;0),D615=0,I615=0),"DROP",IF(AND(OR(D615&lt;&gt;0,I615&lt;&gt;0),C615=0,H615=0),"NEW",""))</f>
        <v/>
      </c>
    </row>
    <row r="616" customFormat="false" ht="15" hidden="false" customHeight="false" outlineLevel="0" collapsed="false">
      <c r="A616" s="7" t="s">
        <v>705</v>
      </c>
      <c r="B616" s="7" t="str">
        <f aca="false">IFERROR(INDEX('Source'!$C:$C,MATCH($A616,'Source'!$B:$B,0)),"")</f>
        <v>סד לקרסול</v>
      </c>
      <c r="C616" s="8" t="n">
        <f aca="false">SUMIFS('Source'!$D:$D,'Source'!$A:$A,"155138 לקוח אינטרנט",'Source'!$B:$B,$A616)</f>
        <v>4</v>
      </c>
      <c r="D616" s="8" t="n">
        <f aca="false">SUMIFS('Source'!$F:$F,'Source'!$A:$A,"155138 לקוח אינטרנט",'Source'!$B:$B,$A616)</f>
        <v>4</v>
      </c>
      <c r="E616" s="8" t="n">
        <f aca="false">D616*$J$5</f>
        <v>5.05263157894737</v>
      </c>
      <c r="F616" s="8" t="n">
        <f aca="false">E616-C616</f>
        <v>1.05263157894737</v>
      </c>
      <c r="G616" s="9" t="n">
        <f aca="false">IF(AND(C616=0,E616=0),0,IF(C616=0,"New",(E616-C616)/C616))</f>
        <v>0.263157894736842</v>
      </c>
      <c r="H616" s="8" t="n">
        <f aca="false">SUMIFS('Source'!$E:$E,'Source'!$A:$A,"155138 לקוח אינטרנט",'Source'!$B:$B,$A616)</f>
        <v>927.65</v>
      </c>
      <c r="I616" s="8" t="n">
        <f aca="false">SUMIFS('Source'!$G:$G,'Source'!$A:$A,"155138 לקוח אינטרנט",'Source'!$B:$B,$A616)</f>
        <v>1016.61</v>
      </c>
      <c r="J616" s="8" t="n">
        <f aca="false">I616*$J$5</f>
        <v>1284.13894736842</v>
      </c>
      <c r="K616" s="8" t="n">
        <f aca="false">J616-H616</f>
        <v>356.488947368421</v>
      </c>
      <c r="L616" s="9" t="n">
        <f aca="false">IF(AND(H616=0,J616=0),0,IF(H616=0,"New",(J616-H616)/H616))</f>
        <v>0.384292510503337</v>
      </c>
      <c r="M616" s="7" t="str">
        <f aca="false">IF(AND(OR(C616&lt;&gt;0,H616&lt;&gt;0),D616=0,I616=0),"DROP",IF(AND(OR(D616&lt;&gt;0,I616&lt;&gt;0),C616=0,H616=0),"NEW",""))</f>
        <v/>
      </c>
    </row>
    <row r="617" customFormat="false" ht="15" hidden="false" customHeight="false" outlineLevel="0" collapsed="false">
      <c r="A617" s="7" t="s">
        <v>706</v>
      </c>
      <c r="B617" s="7" t="str">
        <f aca="false">IFERROR(INDEX('Source'!$C:$C,MATCH($A617,'Source'!$B:$B,0)),"")</f>
        <v>חגורת צלעות לגבר</v>
      </c>
      <c r="C617" s="8" t="n">
        <f aca="false">SUMIFS('Source'!$D:$D,'Source'!$A:$A,"155138 לקוח אינטרנט",'Source'!$B:$B,$A617)</f>
        <v>2</v>
      </c>
      <c r="D617" s="8" t="n">
        <f aca="false">SUMIFS('Source'!$F:$F,'Source'!$A:$A,"155138 לקוח אינטרנט",'Source'!$B:$B,$A617)</f>
        <v>2</v>
      </c>
      <c r="E617" s="8" t="n">
        <f aca="false">D617*$J$5</f>
        <v>2.52631578947368</v>
      </c>
      <c r="F617" s="8" t="n">
        <f aca="false">E617-C617</f>
        <v>0.526315789473684</v>
      </c>
      <c r="G617" s="9" t="n">
        <f aca="false">IF(AND(C617=0,E617=0),0,IF(C617=0,"New",(E617-C617)/C617))</f>
        <v>0.263157894736842</v>
      </c>
      <c r="H617" s="8" t="n">
        <f aca="false">SUMIFS('Source'!$E:$E,'Source'!$A:$A,"155138 לקוח אינטרנט",'Source'!$B:$B,$A617)</f>
        <v>393.94</v>
      </c>
      <c r="I617" s="8" t="n">
        <f aca="false">SUMIFS('Source'!$G:$G,'Source'!$A:$A,"155138 לקוח אינטרנט",'Source'!$B:$B,$A617)</f>
        <v>482.89</v>
      </c>
      <c r="J617" s="8" t="n">
        <f aca="false">I617*$J$5</f>
        <v>609.966315789474</v>
      </c>
      <c r="K617" s="8" t="n">
        <f aca="false">J617-H617</f>
        <v>216.026315789474</v>
      </c>
      <c r="L617" s="9" t="n">
        <f aca="false">IF(AND(H617=0,J617=0),0,IF(H617=0,"New",(J617-H617)/H617))</f>
        <v>0.548373650275356</v>
      </c>
      <c r="M617" s="7" t="str">
        <f aca="false">IF(AND(OR(C617&lt;&gt;0,H617&lt;&gt;0),D617=0,I617=0),"DROP",IF(AND(OR(D617&lt;&gt;0,I617&lt;&gt;0),C617=0,H617=0),"NEW",""))</f>
        <v/>
      </c>
    </row>
    <row r="618" customFormat="false" ht="15" hidden="false" customHeight="false" outlineLevel="0" collapsed="false">
      <c r="A618" s="7" t="s">
        <v>707</v>
      </c>
      <c r="B618" s="7" t="str">
        <f aca="false">IFERROR(INDEX('Source'!$C:$C,MATCH($A618,'Source'!$B:$B,0)),"")</f>
        <v>מגן ברך ארוך</v>
      </c>
      <c r="C618" s="8" t="n">
        <f aca="false">SUMIFS('Source'!$D:$D,'Source'!$A:$A,"155138 לקוח אינטרנט",'Source'!$B:$B,$A618)</f>
        <v>2</v>
      </c>
      <c r="D618" s="8" t="n">
        <f aca="false">SUMIFS('Source'!$F:$F,'Source'!$A:$A,"155138 לקוח אינטרנט",'Source'!$B:$B,$A618)</f>
        <v>3</v>
      </c>
      <c r="E618" s="8" t="n">
        <f aca="false">D618*$J$5</f>
        <v>3.78947368421053</v>
      </c>
      <c r="F618" s="8" t="n">
        <f aca="false">E618-C618</f>
        <v>1.78947368421053</v>
      </c>
      <c r="G618" s="9" t="n">
        <f aca="false">IF(AND(C618=0,E618=0),0,IF(C618=0,"New",(E618-C618)/C618))</f>
        <v>0.894736842105263</v>
      </c>
      <c r="H618" s="8" t="n">
        <f aca="false">SUMIFS('Source'!$E:$E,'Source'!$A:$A,"155138 לקוח אינטרנט",'Source'!$B:$B,$A618)</f>
        <v>108.34</v>
      </c>
      <c r="I618" s="8" t="n">
        <f aca="false">SUMIFS('Source'!$G:$G,'Source'!$A:$A,"155138 לקוח אינטרנט",'Source'!$B:$B,$A618)</f>
        <v>196.36</v>
      </c>
      <c r="J618" s="8" t="n">
        <f aca="false">I618*$J$5</f>
        <v>248.033684210526</v>
      </c>
      <c r="K618" s="8" t="n">
        <f aca="false">J618-H618</f>
        <v>139.693684210526</v>
      </c>
      <c r="L618" s="9" t="n">
        <f aca="false">IF(AND(H618=0,J618=0),0,IF(H618=0,"New",(J618-H618)/H618))</f>
        <v>1.28940081420091</v>
      </c>
      <c r="M618" s="7" t="str">
        <f aca="false">IF(AND(OR(C618&lt;&gt;0,H618&lt;&gt;0),D618=0,I618=0),"DROP",IF(AND(OR(D618&lt;&gt;0,I618&lt;&gt;0),C618=0,H618=0),"NEW",""))</f>
        <v/>
      </c>
    </row>
    <row r="619" customFormat="false" ht="15" hidden="false" customHeight="false" outlineLevel="0" collapsed="false">
      <c r="A619" s="7" t="s">
        <v>708</v>
      </c>
      <c r="B619" s="7" t="str">
        <f aca="false">IFERROR(INDEX('Source'!$C:$C,MATCH($A619,'Source'!$B:$B,0)),"")</f>
        <v>מיצב כתפיים</v>
      </c>
      <c r="C619" s="8" t="n">
        <f aca="false">SUMIFS('Source'!$D:$D,'Source'!$A:$A,"155138 לקוח אינטרנט",'Source'!$B:$B,$A619)</f>
        <v>3</v>
      </c>
      <c r="D619" s="8" t="n">
        <f aca="false">SUMIFS('Source'!$F:$F,'Source'!$A:$A,"155138 לקוח אינטרנט",'Source'!$B:$B,$A619)</f>
        <v>3</v>
      </c>
      <c r="E619" s="8" t="n">
        <f aca="false">D619*$J$5</f>
        <v>3.78947368421053</v>
      </c>
      <c r="F619" s="8" t="n">
        <f aca="false">E619-C619</f>
        <v>0.789473684210526</v>
      </c>
      <c r="G619" s="9" t="n">
        <f aca="false">IF(AND(C619=0,E619=0),0,IF(C619=0,"New",(E619-C619)/C619))</f>
        <v>0.263157894736842</v>
      </c>
      <c r="H619" s="8" t="n">
        <f aca="false">SUMIFS('Source'!$E:$E,'Source'!$A:$A,"155138 לקוח אינטרנט",'Source'!$B:$B,$A619)</f>
        <v>931.76</v>
      </c>
      <c r="I619" s="8" t="n">
        <f aca="false">SUMIFS('Source'!$G:$G,'Source'!$A:$A,"155138 לקוח אינטרנט",'Source'!$B:$B,$A619)</f>
        <v>1019.67</v>
      </c>
      <c r="J619" s="8" t="n">
        <f aca="false">I619*$J$5</f>
        <v>1288.00421052632</v>
      </c>
      <c r="K619" s="8" t="n">
        <f aca="false">J619-H619</f>
        <v>356.244210526316</v>
      </c>
      <c r="L619" s="9" t="n">
        <f aca="false">IF(AND(H619=0,J619=0),0,IF(H619=0,"New",(J619-H619)/H619))</f>
        <v>0.382334732684721</v>
      </c>
      <c r="M619" s="7" t="str">
        <f aca="false">IF(AND(OR(C619&lt;&gt;0,H619&lt;&gt;0),D619=0,I619=0),"DROP",IF(AND(OR(D619&lt;&gt;0,I619&lt;&gt;0),C619=0,H619=0),"NEW",""))</f>
        <v/>
      </c>
    </row>
    <row r="620" customFormat="false" ht="15" hidden="false" customHeight="false" outlineLevel="0" collapsed="false">
      <c r="A620" s="7" t="s">
        <v>709</v>
      </c>
      <c r="B620" s="7" t="str">
        <f aca="false">IFERROR(INDEX('Source'!$C:$C,MATCH($A620,'Source'!$B:$B,0)),"")</f>
        <v>מגן ברך מחמם</v>
      </c>
      <c r="C620" s="8" t="n">
        <f aca="false">SUMIFS('Source'!$D:$D,'Source'!$A:$A,"155138 לקוח אינטרנט",'Source'!$B:$B,$A620)</f>
        <v>1</v>
      </c>
      <c r="D620" s="8" t="n">
        <f aca="false">SUMIFS('Source'!$F:$F,'Source'!$A:$A,"155138 לקוח אינטרנט",'Source'!$B:$B,$A620)</f>
        <v>0</v>
      </c>
      <c r="E620" s="8" t="n">
        <f aca="false">D620*$J$5</f>
        <v>0</v>
      </c>
      <c r="F620" s="8" t="n">
        <f aca="false">E620-C620</f>
        <v>-1</v>
      </c>
      <c r="G620" s="9" t="n">
        <f aca="false">IF(AND(C620=0,E620=0),0,IF(C620=0,"New",(E620-C620)/C620))</f>
        <v>-1</v>
      </c>
      <c r="H620" s="8" t="n">
        <f aca="false">SUMIFS('Source'!$E:$E,'Source'!$A:$A,"155138 לקוח אינטרנט",'Source'!$B:$B,$A620)</f>
        <v>87.09</v>
      </c>
      <c r="I620" s="8" t="n">
        <f aca="false">SUMIFS('Source'!$G:$G,'Source'!$A:$A,"155138 לקוח אינטרנט",'Source'!$B:$B,$A620)</f>
        <v>0</v>
      </c>
      <c r="J620" s="8" t="n">
        <f aca="false">I620*$J$5</f>
        <v>0</v>
      </c>
      <c r="K620" s="8" t="n">
        <f aca="false">J620-H620</f>
        <v>-87.09</v>
      </c>
      <c r="L620" s="9" t="n">
        <f aca="false">IF(AND(H620=0,J620=0),0,IF(H620=0,"New",(J620-H620)/H620))</f>
        <v>-1</v>
      </c>
      <c r="M620" s="7" t="str">
        <f aca="false">IF(AND(OR(C620&lt;&gt;0,H620&lt;&gt;0),D620=0,I620=0),"DROP",IF(AND(OR(D620&lt;&gt;0,I620&lt;&gt;0),C620=0,H620=0),"NEW",""))</f>
        <v>DROP</v>
      </c>
    </row>
    <row r="621" customFormat="false" ht="15" hidden="false" customHeight="false" outlineLevel="0" collapsed="false">
      <c r="A621" s="7" t="s">
        <v>710</v>
      </c>
      <c r="B621" s="7" t="str">
        <f aca="false">IFERROR(INDEX('Source'!$C:$C,MATCH($A621,'Source'!$B:$B,0)),"")</f>
        <v>מגן קרסול שחור</v>
      </c>
      <c r="C621" s="8" t="n">
        <f aca="false">SUMIFS('Source'!$D:$D,'Source'!$A:$A,"155138 לקוח אינטרנט",'Source'!$B:$B,$A621)</f>
        <v>6</v>
      </c>
      <c r="D621" s="8" t="n">
        <f aca="false">SUMIFS('Source'!$F:$F,'Source'!$A:$A,"155138 לקוח אינטרנט",'Source'!$B:$B,$A621)</f>
        <v>7</v>
      </c>
      <c r="E621" s="8" t="n">
        <f aca="false">D621*$J$5</f>
        <v>8.84210526315789</v>
      </c>
      <c r="F621" s="8" t="n">
        <f aca="false">E621-C621</f>
        <v>2.84210526315789</v>
      </c>
      <c r="G621" s="9" t="n">
        <f aca="false">IF(AND(C621=0,E621=0),0,IF(C621=0,"New",(E621-C621)/C621))</f>
        <v>0.473684210526316</v>
      </c>
      <c r="H621" s="8" t="n">
        <f aca="false">SUMIFS('Source'!$E:$E,'Source'!$A:$A,"155138 לקוח אינטרנט",'Source'!$B:$B,$A621)</f>
        <v>304.38</v>
      </c>
      <c r="I621" s="8" t="n">
        <f aca="false">SUMIFS('Source'!$G:$G,'Source'!$A:$A,"155138 לקוח אינטרנט",'Source'!$B:$B,$A621)</f>
        <v>390.95</v>
      </c>
      <c r="J621" s="8" t="n">
        <f aca="false">I621*$J$5</f>
        <v>493.831578947368</v>
      </c>
      <c r="K621" s="8" t="n">
        <f aca="false">J621-H621</f>
        <v>189.451578947368</v>
      </c>
      <c r="L621" s="9" t="n">
        <f aca="false">IF(AND(H621=0,J621=0),0,IF(H621=0,"New",(J621-H621)/H621))</f>
        <v>0.622417960928341</v>
      </c>
      <c r="M621" s="7" t="str">
        <f aca="false">IF(AND(OR(C621&lt;&gt;0,H621&lt;&gt;0),D621=0,I621=0),"DROP",IF(AND(OR(D621&lt;&gt;0,I621&lt;&gt;0),C621=0,H621=0),"NEW",""))</f>
        <v/>
      </c>
    </row>
    <row r="622" customFormat="false" ht="15" hidden="false" customHeight="false" outlineLevel="0" collapsed="false">
      <c r="A622" s="7" t="s">
        <v>711</v>
      </c>
      <c r="B622" s="7" t="str">
        <f aca="false">IFERROR(INDEX('Source'!$C:$C,MATCH($A622,'Source'!$B:$B,0)),"")</f>
        <v>מגן ירך</v>
      </c>
      <c r="C622" s="8" t="n">
        <f aca="false">SUMIFS('Source'!$D:$D,'Source'!$A:$A,"155138 לקוח אינטרנט",'Source'!$B:$B,$A622)</f>
        <v>7</v>
      </c>
      <c r="D622" s="8" t="n">
        <f aca="false">SUMIFS('Source'!$F:$F,'Source'!$A:$A,"155138 לקוח אינטרנט",'Source'!$B:$B,$A622)</f>
        <v>5</v>
      </c>
      <c r="E622" s="8" t="n">
        <f aca="false">D622*$J$5</f>
        <v>6.31578947368421</v>
      </c>
      <c r="F622" s="8" t="n">
        <f aca="false">E622-C622</f>
        <v>-0.684210526315789</v>
      </c>
      <c r="G622" s="9" t="n">
        <f aca="false">IF(AND(C622=0,E622=0),0,IF(C622=0,"New",(E622-C622)/C622))</f>
        <v>-0.0977443609022556</v>
      </c>
      <c r="H622" s="8" t="n">
        <f aca="false">SUMIFS('Source'!$E:$E,'Source'!$A:$A,"155138 לקוח אינטרנט",'Source'!$B:$B,$A622)</f>
        <v>396.99</v>
      </c>
      <c r="I622" s="8" t="n">
        <f aca="false">SUMIFS('Source'!$G:$G,'Source'!$A:$A,"155138 לקוח אינטרנט",'Source'!$B:$B,$A622)</f>
        <v>311.01</v>
      </c>
      <c r="J622" s="8" t="n">
        <f aca="false">I622*$J$5</f>
        <v>392.854736842105</v>
      </c>
      <c r="K622" s="8" t="n">
        <f aca="false">J622-H622</f>
        <v>-4.13526315789477</v>
      </c>
      <c r="L622" s="9" t="n">
        <f aca="false">IF(AND(H622=0,J622=0),0,IF(H622=0,"New",(J622-H622)/H622))</f>
        <v>-0.0104165423761172</v>
      </c>
      <c r="M622" s="7" t="str">
        <f aca="false">IF(AND(OR(C622&lt;&gt;0,H622&lt;&gt;0),D622=0,I622=0),"DROP",IF(AND(OR(D622&lt;&gt;0,I622&lt;&gt;0),C622=0,H622=0),"NEW",""))</f>
        <v/>
      </c>
    </row>
    <row r="623" customFormat="false" ht="15" hidden="false" customHeight="false" outlineLevel="0" collapsed="false">
      <c r="A623" s="7" t="s">
        <v>712</v>
      </c>
      <c r="B623" s="7" t="str">
        <f aca="false">IFERROR(INDEX('Source'!$C:$C,MATCH($A623,'Source'!$B:$B,0)),"")</f>
        <v>מגן מרפק רגיל</v>
      </c>
      <c r="C623" s="8" t="n">
        <f aca="false">SUMIFS('Source'!$D:$D,'Source'!$A:$A,"155138 לקוח אינטרנט",'Source'!$B:$B,$A623)</f>
        <v>1</v>
      </c>
      <c r="D623" s="8" t="n">
        <f aca="false">SUMIFS('Source'!$F:$F,'Source'!$A:$A,"155138 לקוח אינטרנט",'Source'!$B:$B,$A623)</f>
        <v>0</v>
      </c>
      <c r="E623" s="8" t="n">
        <f aca="false">D623*$J$5</f>
        <v>0</v>
      </c>
      <c r="F623" s="8" t="n">
        <f aca="false">E623-C623</f>
        <v>-1</v>
      </c>
      <c r="G623" s="9" t="n">
        <f aca="false">IF(AND(C623=0,E623=0),0,IF(C623=0,"New",(E623-C623)/C623))</f>
        <v>-1</v>
      </c>
      <c r="H623" s="8" t="n">
        <f aca="false">SUMIFS('Source'!$E:$E,'Source'!$A:$A,"155138 לקוח אינטרנט",'Source'!$B:$B,$A623)</f>
        <v>85.54</v>
      </c>
      <c r="I623" s="8" t="n">
        <f aca="false">SUMIFS('Source'!$G:$G,'Source'!$A:$A,"155138 לקוח אינטרנט",'Source'!$B:$B,$A623)</f>
        <v>0</v>
      </c>
      <c r="J623" s="8" t="n">
        <f aca="false">I623*$J$5</f>
        <v>0</v>
      </c>
      <c r="K623" s="8" t="n">
        <f aca="false">J623-H623</f>
        <v>-85.54</v>
      </c>
      <c r="L623" s="9" t="n">
        <f aca="false">IF(AND(H623=0,J623=0),0,IF(H623=0,"New",(J623-H623)/H623))</f>
        <v>-1</v>
      </c>
      <c r="M623" s="7" t="str">
        <f aca="false">IF(AND(OR(C623&lt;&gt;0,H623&lt;&gt;0),D623=0,I623=0),"DROP",IF(AND(OR(D623&lt;&gt;0,I623&lt;&gt;0),C623=0,H623=0),"NEW",""))</f>
        <v>DROP</v>
      </c>
    </row>
    <row r="624" customFormat="false" ht="15" hidden="false" customHeight="false" outlineLevel="0" collapsed="false">
      <c r="A624" s="7" t="s">
        <v>713</v>
      </c>
      <c r="B624" s="7" t="str">
        <f aca="false">IFERROR(INDEX('Source'!$C:$C,MATCH($A624,'Source'!$B:$B,0)),"")</f>
        <v>קינזיולוגי טייפ</v>
      </c>
      <c r="C624" s="8" t="n">
        <f aca="false">SUMIFS('Source'!$D:$D,'Source'!$A:$A,"155138 לקוח אינטרנט",'Source'!$B:$B,$A624)</f>
        <v>1</v>
      </c>
      <c r="D624" s="8" t="n">
        <f aca="false">SUMIFS('Source'!$F:$F,'Source'!$A:$A,"155138 לקוח אינטרנט",'Source'!$B:$B,$A624)</f>
        <v>0</v>
      </c>
      <c r="E624" s="8" t="n">
        <f aca="false">D624*$J$5</f>
        <v>0</v>
      </c>
      <c r="F624" s="8" t="n">
        <f aca="false">E624-C624</f>
        <v>-1</v>
      </c>
      <c r="G624" s="9" t="n">
        <f aca="false">IF(AND(C624=0,E624=0),0,IF(C624=0,"New",(E624-C624)/C624))</f>
        <v>-1</v>
      </c>
      <c r="H624" s="8" t="n">
        <f aca="false">SUMIFS('Source'!$E:$E,'Source'!$A:$A,"155138 לקוח אינטרנט",'Source'!$B:$B,$A624)</f>
        <v>85.51</v>
      </c>
      <c r="I624" s="8" t="n">
        <f aca="false">SUMIFS('Source'!$G:$G,'Source'!$A:$A,"155138 לקוח אינטרנט",'Source'!$B:$B,$A624)</f>
        <v>0</v>
      </c>
      <c r="J624" s="8" t="n">
        <f aca="false">I624*$J$5</f>
        <v>0</v>
      </c>
      <c r="K624" s="8" t="n">
        <f aca="false">J624-H624</f>
        <v>-85.51</v>
      </c>
      <c r="L624" s="9" t="n">
        <f aca="false">IF(AND(H624=0,J624=0),0,IF(H624=0,"New",(J624-H624)/H624))</f>
        <v>-1</v>
      </c>
      <c r="M624" s="7" t="str">
        <f aca="false">IF(AND(OR(C624&lt;&gt;0,H624&lt;&gt;0),D624=0,I624=0),"DROP",IF(AND(OR(D624&lt;&gt;0,I624&lt;&gt;0),C624=0,H624=0),"NEW",""))</f>
        <v>DROP</v>
      </c>
    </row>
    <row r="625" customFormat="false" ht="15" hidden="false" customHeight="false" outlineLevel="0" collapsed="false">
      <c r="A625" s="7" t="s">
        <v>714</v>
      </c>
      <c r="B625" s="7" t="str">
        <f aca="false">IFERROR(INDEX('Source'!$C:$C,MATCH($A625,'Source'!$B:$B,0)),"")</f>
        <v>מגן מרפק</v>
      </c>
      <c r="C625" s="8" t="n">
        <f aca="false">SUMIFS('Source'!$D:$D,'Source'!$A:$A,"155138 לקוח אינטרנט",'Source'!$B:$B,$A625)</f>
        <v>3</v>
      </c>
      <c r="D625" s="8" t="n">
        <f aca="false">SUMIFS('Source'!$F:$F,'Source'!$A:$A,"155138 לקוח אינטרנט",'Source'!$B:$B,$A625)</f>
        <v>2</v>
      </c>
      <c r="E625" s="8" t="n">
        <f aca="false">D625*$J$5</f>
        <v>2.52631578947368</v>
      </c>
      <c r="F625" s="8" t="n">
        <f aca="false">E625-C625</f>
        <v>-0.473684210526316</v>
      </c>
      <c r="G625" s="9" t="n">
        <f aca="false">IF(AND(C625=0,E625=0),0,IF(C625=0,"New",(E625-C625)/C625))</f>
        <v>-0.157894736842105</v>
      </c>
      <c r="H625" s="8" t="n">
        <f aca="false">SUMIFS('Source'!$E:$E,'Source'!$A:$A,"155138 לקוח אינטרנט",'Source'!$B:$B,$A625)</f>
        <v>165.85</v>
      </c>
      <c r="I625" s="8" t="n">
        <f aca="false">SUMIFS('Source'!$G:$G,'Source'!$A:$A,"155138 לקוח אינטרנט",'Source'!$B:$B,$A625)</f>
        <v>81.19</v>
      </c>
      <c r="J625" s="8" t="n">
        <f aca="false">I625*$J$5</f>
        <v>102.555789473684</v>
      </c>
      <c r="K625" s="8" t="n">
        <f aca="false">J625-H625</f>
        <v>-63.2942105263158</v>
      </c>
      <c r="L625" s="9" t="n">
        <f aca="false">IF(AND(H625=0,J625=0),0,IF(H625=0,"New",(J625-H625)/H625))</f>
        <v>-0.381635276010345</v>
      </c>
      <c r="M625" s="7" t="str">
        <f aca="false">IF(AND(OR(C625&lt;&gt;0,H625&lt;&gt;0),D625=0,I625=0),"DROP",IF(AND(OR(D625&lt;&gt;0,I625&lt;&gt;0),C625=0,H625=0),"NEW",""))</f>
        <v/>
      </c>
    </row>
    <row r="626" customFormat="false" ht="15" hidden="false" customHeight="false" outlineLevel="0" collapsed="false">
      <c r="A626" s="7" t="s">
        <v>715</v>
      </c>
      <c r="B626" s="7" t="str">
        <f aca="false">IFERROR(INDEX('Source'!$C:$C,MATCH($A626,'Source'!$B:$B,0)),"")</f>
        <v>מגן קרסול+צמדן-לכו</v>
      </c>
      <c r="C626" s="8" t="n">
        <f aca="false">SUMIFS('Source'!$D:$D,'Source'!$A:$A,"155138 לקוח אינטרנט",'Source'!$B:$B,$A626)</f>
        <v>2</v>
      </c>
      <c r="D626" s="8" t="n">
        <f aca="false">SUMIFS('Source'!$F:$F,'Source'!$A:$A,"155138 לקוח אינטרנט",'Source'!$B:$B,$A626)</f>
        <v>1</v>
      </c>
      <c r="E626" s="8" t="n">
        <f aca="false">D626*$J$5</f>
        <v>1.26315789473684</v>
      </c>
      <c r="F626" s="8" t="n">
        <f aca="false">E626-C626</f>
        <v>-0.736842105263158</v>
      </c>
      <c r="G626" s="9" t="n">
        <f aca="false">IF(AND(C626=0,E626=0),0,IF(C626=0,"New",(E626-C626)/C626))</f>
        <v>-0.368421052631579</v>
      </c>
      <c r="H626" s="8" t="n">
        <f aca="false">SUMIFS('Source'!$E:$E,'Source'!$A:$A,"155138 לקוח אינטרנט",'Source'!$B:$B,$A626)</f>
        <v>204.42</v>
      </c>
      <c r="I626" s="8" t="n">
        <f aca="false">SUMIFS('Source'!$G:$G,'Source'!$A:$A,"155138 לקוח אינטרנט",'Source'!$B:$B,$A626)</f>
        <v>120.25</v>
      </c>
      <c r="J626" s="8" t="n">
        <f aca="false">I626*$J$5</f>
        <v>151.894736842105</v>
      </c>
      <c r="K626" s="8" t="n">
        <f aca="false">J626-H626</f>
        <v>-52.5252631578947</v>
      </c>
      <c r="L626" s="9" t="n">
        <f aca="false">IF(AND(H626=0,J626=0),0,IF(H626=0,"New",(J626-H626)/H626))</f>
        <v>-0.256947770070907</v>
      </c>
      <c r="M626" s="7" t="str">
        <f aca="false">IF(AND(OR(C626&lt;&gt;0,H626&lt;&gt;0),D626=0,I626=0),"DROP",IF(AND(OR(D626&lt;&gt;0,I626&lt;&gt;0),C626=0,H626=0),"NEW",""))</f>
        <v/>
      </c>
    </row>
    <row r="627" customFormat="false" ht="15" hidden="false" customHeight="false" outlineLevel="0" collapsed="false">
      <c r="A627" s="7" t="s">
        <v>716</v>
      </c>
      <c r="B627" s="7" t="str">
        <f aca="false">IFERROR(INDEX('Source'!$C:$C,MATCH($A627,'Source'!$B:$B,0)),"")</f>
        <v>חגורת גב עם חיזוק</v>
      </c>
      <c r="C627" s="8" t="n">
        <f aca="false">SUMIFS('Source'!$D:$D,'Source'!$A:$A,"155138 לקוח אינטרנט",'Source'!$B:$B,$A627)</f>
        <v>5</v>
      </c>
      <c r="D627" s="8" t="n">
        <f aca="false">SUMIFS('Source'!$F:$F,'Source'!$A:$A,"155138 לקוח אינטרנט",'Source'!$B:$B,$A627)</f>
        <v>8</v>
      </c>
      <c r="E627" s="8" t="n">
        <f aca="false">D627*$J$5</f>
        <v>10.1052631578947</v>
      </c>
      <c r="F627" s="8" t="n">
        <f aca="false">E627-C627</f>
        <v>5.10526315789474</v>
      </c>
      <c r="G627" s="9" t="n">
        <f aca="false">IF(AND(C627=0,E627=0),0,IF(C627=0,"New",(E627-C627)/C627))</f>
        <v>1.02105263157895</v>
      </c>
      <c r="H627" s="8" t="n">
        <f aca="false">SUMIFS('Source'!$E:$E,'Source'!$A:$A,"155138 לקוח אינטרנט",'Source'!$B:$B,$A627)</f>
        <v>1368.28</v>
      </c>
      <c r="I627" s="8" t="n">
        <f aca="false">SUMIFS('Source'!$G:$G,'Source'!$A:$A,"155138 לקוח אינטרנט",'Source'!$B:$B,$A627)</f>
        <v>1451</v>
      </c>
      <c r="J627" s="8" t="n">
        <f aca="false">I627*$J$5</f>
        <v>1832.84210526316</v>
      </c>
      <c r="K627" s="8" t="n">
        <f aca="false">J627-H627</f>
        <v>464.562105263158</v>
      </c>
      <c r="L627" s="9" t="n">
        <f aca="false">IF(AND(H627=0,J627=0),0,IF(H627=0,"New",(J627-H627)/H627))</f>
        <v>0.339522689261816</v>
      </c>
      <c r="M627" s="7" t="str">
        <f aca="false">IF(AND(OR(C627&lt;&gt;0,H627&lt;&gt;0),D627=0,I627=0),"DROP",IF(AND(OR(D627&lt;&gt;0,I627&lt;&gt;0),C627=0,H627=0),"NEW",""))</f>
        <v/>
      </c>
    </row>
    <row r="628" customFormat="false" ht="15" hidden="false" customHeight="false" outlineLevel="0" collapsed="false">
      <c r="A628" s="7" t="s">
        <v>717</v>
      </c>
      <c r="B628" s="7" t="str">
        <f aca="false">IFERROR(INDEX('Source'!$C:$C,MATCH($A628,'Source'!$B:$B,0)),"")</f>
        <v>מגן ברך רגיל</v>
      </c>
      <c r="C628" s="8" t="n">
        <f aca="false">SUMIFS('Source'!$D:$D,'Source'!$A:$A,"155138 לקוח אינטרנט",'Source'!$B:$B,$A628)</f>
        <v>3</v>
      </c>
      <c r="D628" s="8" t="n">
        <f aca="false">SUMIFS('Source'!$F:$F,'Source'!$A:$A,"155138 לקוח אינטרנט",'Source'!$B:$B,$A628)</f>
        <v>4</v>
      </c>
      <c r="E628" s="8" t="n">
        <f aca="false">D628*$J$5</f>
        <v>5.05263157894737</v>
      </c>
      <c r="F628" s="8" t="n">
        <f aca="false">E628-C628</f>
        <v>2.05263157894737</v>
      </c>
      <c r="G628" s="9" t="n">
        <f aca="false">IF(AND(C628=0,E628=0),0,IF(C628=0,"New",(E628-C628)/C628))</f>
        <v>0.684210526315789</v>
      </c>
      <c r="H628" s="8" t="n">
        <f aca="false">SUMIFS('Source'!$E:$E,'Source'!$A:$A,"155138 לקוח אינטרנט",'Source'!$B:$B,$A628)</f>
        <v>140.97</v>
      </c>
      <c r="I628" s="8" t="n">
        <f aca="false">SUMIFS('Source'!$G:$G,'Source'!$A:$A,"155138 לקוח אינטרנט",'Source'!$B:$B,$A628)</f>
        <v>223.4</v>
      </c>
      <c r="J628" s="8" t="n">
        <f aca="false">I628*$J$5</f>
        <v>282.189473684211</v>
      </c>
      <c r="K628" s="8" t="n">
        <f aca="false">J628-H628</f>
        <v>141.219473684211</v>
      </c>
      <c r="L628" s="9" t="n">
        <f aca="false">IF(AND(H628=0,J628=0),0,IF(H628=0,"New",(J628-H628)/H628))</f>
        <v>1.00176969343981</v>
      </c>
      <c r="M628" s="7" t="str">
        <f aca="false">IF(AND(OR(C628&lt;&gt;0,H628&lt;&gt;0),D628=0,I628=0),"DROP",IF(AND(OR(D628&lt;&gt;0,I628&lt;&gt;0),C628=0,H628=0),"NEW",""))</f>
        <v/>
      </c>
    </row>
    <row r="629" customFormat="false" ht="15" hidden="false" customHeight="false" outlineLevel="0" collapsed="false">
      <c r="A629" s="7" t="s">
        <v>718</v>
      </c>
      <c r="B629" s="7" t="str">
        <f aca="false">IFERROR(INDEX('Source'!$C:$C,MATCH($A629,'Source'!$B:$B,0)),"")</f>
        <v>מגן מרפק אפור</v>
      </c>
      <c r="C629" s="8" t="n">
        <f aca="false">SUMIFS('Source'!$D:$D,'Source'!$A:$A,"155138 לקוח אינטרנט",'Source'!$B:$B,$A629)</f>
        <v>3</v>
      </c>
      <c r="D629" s="8" t="n">
        <f aca="false">SUMIFS('Source'!$F:$F,'Source'!$A:$A,"155138 לקוח אינטרנט",'Source'!$B:$B,$A629)</f>
        <v>6</v>
      </c>
      <c r="E629" s="8" t="n">
        <f aca="false">D629*$J$5</f>
        <v>7.57894736842105</v>
      </c>
      <c r="F629" s="8" t="n">
        <f aca="false">E629-C629</f>
        <v>4.57894736842105</v>
      </c>
      <c r="G629" s="9" t="n">
        <f aca="false">IF(AND(C629=0,E629=0),0,IF(C629=0,"New",(E629-C629)/C629))</f>
        <v>1.52631578947368</v>
      </c>
      <c r="H629" s="8" t="n">
        <f aca="false">SUMIFS('Source'!$E:$E,'Source'!$A:$A,"155138 לקוח אינטרנט",'Source'!$B:$B,$A629)</f>
        <v>159.17</v>
      </c>
      <c r="I629" s="8" t="n">
        <f aca="false">SUMIFS('Source'!$G:$G,'Source'!$A:$A,"155138 לקוח אינטרנט",'Source'!$B:$B,$A629)</f>
        <v>241.36</v>
      </c>
      <c r="J629" s="8" t="n">
        <f aca="false">I629*$J$5</f>
        <v>304.875789473684</v>
      </c>
      <c r="K629" s="8" t="n">
        <f aca="false">J629-H629</f>
        <v>145.705789473684</v>
      </c>
      <c r="L629" s="9" t="n">
        <f aca="false">IF(AND(H629=0,J629=0),0,IF(H629=0,"New",(J629-H629)/H629))</f>
        <v>0.915409872926332</v>
      </c>
      <c r="M629" s="7" t="str">
        <f aca="false">IF(AND(OR(C629&lt;&gt;0,H629&lt;&gt;0),D629=0,I629=0),"DROP",IF(AND(OR(D629&lt;&gt;0,I629&lt;&gt;0),C629=0,H629=0),"NEW",""))</f>
        <v/>
      </c>
    </row>
    <row r="630" customFormat="false" ht="15" hidden="false" customHeight="false" outlineLevel="0" collapsed="false">
      <c r="A630" s="7" t="s">
        <v>719</v>
      </c>
      <c r="B630" s="7" t="str">
        <f aca="false">IFERROR(INDEX('Source'!$C:$C,MATCH($A630,'Source'!$B:$B,0)),"")</f>
        <v>צווארון ספוג</v>
      </c>
      <c r="C630" s="8" t="n">
        <f aca="false">SUMIFS('Source'!$D:$D,'Source'!$A:$A,"155138 לקוח אינטרנט",'Source'!$B:$B,$A630)</f>
        <v>0</v>
      </c>
      <c r="D630" s="8" t="n">
        <f aca="false">SUMIFS('Source'!$F:$F,'Source'!$A:$A,"155138 לקוח אינטרנט",'Source'!$B:$B,$A630)</f>
        <v>1</v>
      </c>
      <c r="E630" s="8" t="n">
        <f aca="false">D630*$J$5</f>
        <v>1.26315789473684</v>
      </c>
      <c r="F630" s="8" t="n">
        <f aca="false">E630-C630</f>
        <v>1.26315789473684</v>
      </c>
      <c r="G630" s="9" t="str">
        <f aca="false">IF(AND(C630=0,E630=0),0,IF(C630=0,"New",(E630-C630)/C630))</f>
        <v>New</v>
      </c>
      <c r="H630" s="8" t="n">
        <f aca="false">SUMIFS('Source'!$E:$E,'Source'!$A:$A,"155138 לקוח אינטרנט",'Source'!$B:$B,$A630)</f>
        <v>0</v>
      </c>
      <c r="I630" s="8" t="n">
        <f aca="false">SUMIFS('Source'!$G:$G,'Source'!$A:$A,"155138 לקוח אינטרנט",'Source'!$B:$B,$A630)</f>
        <v>80.77</v>
      </c>
      <c r="J630" s="8" t="n">
        <f aca="false">I630*$J$5</f>
        <v>102.025263157895</v>
      </c>
      <c r="K630" s="8" t="n">
        <f aca="false">J630-H630</f>
        <v>102.025263157895</v>
      </c>
      <c r="L630" s="9" t="str">
        <f aca="false">IF(AND(H630=0,J630=0),0,IF(H630=0,"New",(J630-H630)/H630))</f>
        <v>New</v>
      </c>
      <c r="M630" s="7" t="str">
        <f aca="false">IF(AND(OR(C630&lt;&gt;0,H630&lt;&gt;0),D630=0,I630=0),"DROP",IF(AND(OR(D630&lt;&gt;0,I630&lt;&gt;0),C630=0,H630=0),"NEW",""))</f>
        <v>NEW</v>
      </c>
    </row>
    <row r="631" customFormat="false" ht="15" hidden="false" customHeight="false" outlineLevel="0" collapsed="false">
      <c r="A631" s="7" t="s">
        <v>720</v>
      </c>
      <c r="B631" s="7" t="str">
        <f aca="false">IFERROR(INDEX('Source'!$C:$C,MATCH($A631,'Source'!$B:$B,0)),"")</f>
        <v>צוארון ספוגי</v>
      </c>
      <c r="C631" s="8" t="n">
        <f aca="false">SUMIFS('Source'!$D:$D,'Source'!$A:$A,"155138 לקוח אינטרנט",'Source'!$B:$B,$A631)</f>
        <v>1</v>
      </c>
      <c r="D631" s="8" t="n">
        <f aca="false">SUMIFS('Source'!$F:$F,'Source'!$A:$A,"155138 לקוח אינטרנט",'Source'!$B:$B,$A631)</f>
        <v>2</v>
      </c>
      <c r="E631" s="8" t="n">
        <f aca="false">D631*$J$5</f>
        <v>2.52631578947368</v>
      </c>
      <c r="F631" s="8" t="n">
        <f aca="false">E631-C631</f>
        <v>1.52631578947368</v>
      </c>
      <c r="G631" s="9" t="n">
        <f aca="false">IF(AND(C631=0,E631=0),0,IF(C631=0,"New",(E631-C631)/C631))</f>
        <v>1.52631578947368</v>
      </c>
      <c r="H631" s="8" t="n">
        <f aca="false">SUMIFS('Source'!$E:$E,'Source'!$A:$A,"155138 לקוח אינטרנט",'Source'!$B:$B,$A631)</f>
        <v>89.75</v>
      </c>
      <c r="I631" s="8" t="n">
        <f aca="false">SUMIFS('Source'!$G:$G,'Source'!$A:$A,"155138 לקוח אינטרנט",'Source'!$B:$B,$A631)</f>
        <v>170.52</v>
      </c>
      <c r="J631" s="8" t="n">
        <f aca="false">I631*$J$5</f>
        <v>215.393684210526</v>
      </c>
      <c r="K631" s="8" t="n">
        <f aca="false">J631-H631</f>
        <v>125.643684210526</v>
      </c>
      <c r="L631" s="9" t="n">
        <f aca="false">IF(AND(H631=0,J631=0),0,IF(H631=0,"New",(J631-H631)/H631))</f>
        <v>1.39992962908664</v>
      </c>
      <c r="M631" s="7" t="str">
        <f aca="false">IF(AND(OR(C631&lt;&gt;0,H631&lt;&gt;0),D631=0,I631=0),"DROP",IF(AND(OR(D631&lt;&gt;0,I631&lt;&gt;0),C631=0,H631=0),"NEW",""))</f>
        <v/>
      </c>
    </row>
    <row r="632" customFormat="false" ht="15" hidden="false" customHeight="false" outlineLevel="0" collapsed="false">
      <c r="A632" s="7" t="s">
        <v>721</v>
      </c>
      <c r="B632" s="7" t="str">
        <f aca="false">IFERROR(INDEX('Source'!$C:$C,MATCH($A632,'Source'!$B:$B,0)),"")</f>
        <v>חבק יד מתכוון</v>
      </c>
      <c r="C632" s="8" t="n">
        <f aca="false">SUMIFS('Source'!$D:$D,'Source'!$A:$A,"155138 לקוח אינטרנט",'Source'!$B:$B,$A632)</f>
        <v>2</v>
      </c>
      <c r="D632" s="8" t="n">
        <f aca="false">SUMIFS('Source'!$F:$F,'Source'!$A:$A,"155138 לקוח אינטרנט",'Source'!$B:$B,$A632)</f>
        <v>1</v>
      </c>
      <c r="E632" s="8" t="n">
        <f aca="false">D632*$J$5</f>
        <v>1.26315789473684</v>
      </c>
      <c r="F632" s="8" t="n">
        <f aca="false">E632-C632</f>
        <v>-0.736842105263158</v>
      </c>
      <c r="G632" s="9" t="n">
        <f aca="false">IF(AND(C632=0,E632=0),0,IF(C632=0,"New",(E632-C632)/C632))</f>
        <v>-0.368421052631579</v>
      </c>
      <c r="H632" s="8" t="n">
        <f aca="false">SUMIFS('Source'!$E:$E,'Source'!$A:$A,"155138 לקוח אינטרנט",'Source'!$B:$B,$A632)</f>
        <v>138.54</v>
      </c>
      <c r="I632" s="8" t="n">
        <f aca="false">SUMIFS('Source'!$G:$G,'Source'!$A:$A,"155138 לקוח אינטרנט",'Source'!$B:$B,$A632)</f>
        <v>57.9</v>
      </c>
      <c r="J632" s="8" t="n">
        <f aca="false">I632*$J$5</f>
        <v>73.1368421052632</v>
      </c>
      <c r="K632" s="8" t="n">
        <f aca="false">J632-H632</f>
        <v>-65.4031578947369</v>
      </c>
      <c r="L632" s="9" t="n">
        <f aca="false">IF(AND(H632=0,J632=0),0,IF(H632=0,"New",(J632-H632)/H632))</f>
        <v>-0.472088623464248</v>
      </c>
      <c r="M632" s="7" t="str">
        <f aca="false">IF(AND(OR(C632&lt;&gt;0,H632&lt;&gt;0),D632=0,I632=0),"DROP",IF(AND(OR(D632&lt;&gt;0,I632&lt;&gt;0),C632=0,H632=0),"NEW",""))</f>
        <v/>
      </c>
    </row>
    <row r="633" customFormat="false" ht="15" hidden="false" customHeight="false" outlineLevel="0" collapsed="false">
      <c r="A633" s="7" t="s">
        <v>722</v>
      </c>
      <c r="B633" s="7" t="str">
        <f aca="false">IFERROR(INDEX('Source'!$C:$C,MATCH($A633,'Source'!$B:$B,0)),"")</f>
        <v>מגן מרפק אפור</v>
      </c>
      <c r="C633" s="8" t="n">
        <f aca="false">SUMIFS('Source'!$D:$D,'Source'!$A:$A,"155138 לקוח אינטרנט",'Source'!$B:$B,$A633)</f>
        <v>1</v>
      </c>
      <c r="D633" s="8" t="n">
        <f aca="false">SUMIFS('Source'!$F:$F,'Source'!$A:$A,"155138 לקוח אינטרנט",'Source'!$B:$B,$A633)</f>
        <v>4</v>
      </c>
      <c r="E633" s="8" t="n">
        <f aca="false">D633*$J$5</f>
        <v>5.05263157894737</v>
      </c>
      <c r="F633" s="8" t="n">
        <f aca="false">E633-C633</f>
        <v>4.05263157894737</v>
      </c>
      <c r="G633" s="9" t="n">
        <f aca="false">IF(AND(C633=0,E633=0),0,IF(C633=0,"New",(E633-C633)/C633))</f>
        <v>4.05263157894737</v>
      </c>
      <c r="H633" s="8" t="n">
        <f aca="false">SUMIFS('Source'!$E:$E,'Source'!$A:$A,"155138 לקוח אינטרנט",'Source'!$B:$B,$A633)</f>
        <v>47.47</v>
      </c>
      <c r="I633" s="8" t="n">
        <f aca="false">SUMIFS('Source'!$G:$G,'Source'!$A:$A,"155138 לקוח אינטרנט",'Source'!$B:$B,$A633)</f>
        <v>126.27</v>
      </c>
      <c r="J633" s="8" t="n">
        <f aca="false">I633*$J$5</f>
        <v>159.498947368421</v>
      </c>
      <c r="K633" s="8" t="n">
        <f aca="false">J633-H633</f>
        <v>112.028947368421</v>
      </c>
      <c r="L633" s="9" t="n">
        <f aca="false">IF(AND(H633=0,J633=0),0,IF(H633=0,"New",(J633-H633)/H633))</f>
        <v>2.35999467807923</v>
      </c>
      <c r="M633" s="7" t="str">
        <f aca="false">IF(AND(OR(C633&lt;&gt;0,H633&lt;&gt;0),D633=0,I633=0),"DROP",IF(AND(OR(D633&lt;&gt;0,I633&lt;&gt;0),C633=0,H633=0),"NEW",""))</f>
        <v/>
      </c>
    </row>
    <row r="634" customFormat="false" ht="15" hidden="false" customHeight="false" outlineLevel="0" collapsed="false">
      <c r="A634" s="7" t="s">
        <v>723</v>
      </c>
      <c r="B634" s="7" t="str">
        <f aca="false">IFERROR(INDEX('Source'!$C:$C,MATCH($A634,'Source'!$B:$B,0)),"")</f>
        <v>מגן ברך רגיל</v>
      </c>
      <c r="C634" s="8" t="n">
        <f aca="false">SUMIFS('Source'!$D:$D,'Source'!$A:$A,"155138 לקוח אינטרנט",'Source'!$B:$B,$A634)</f>
        <v>8</v>
      </c>
      <c r="D634" s="8" t="n">
        <f aca="false">SUMIFS('Source'!$F:$F,'Source'!$A:$A,"155138 לקוח אינטרנט",'Source'!$B:$B,$A634)</f>
        <v>8</v>
      </c>
      <c r="E634" s="8" t="n">
        <f aca="false">D634*$J$5</f>
        <v>10.1052631578947</v>
      </c>
      <c r="F634" s="8" t="n">
        <f aca="false">E634-C634</f>
        <v>2.10526315789474</v>
      </c>
      <c r="G634" s="9" t="n">
        <f aca="false">IF(AND(C634=0,E634=0),0,IF(C634=0,"New",(E634-C634)/C634))</f>
        <v>0.263157894736842</v>
      </c>
      <c r="H634" s="8" t="n">
        <f aca="false">SUMIFS('Source'!$E:$E,'Source'!$A:$A,"155138 לקוח אינטרנט",'Source'!$B:$B,$A634)</f>
        <v>1446.32</v>
      </c>
      <c r="I634" s="8" t="n">
        <f aca="false">SUMIFS('Source'!$G:$G,'Source'!$A:$A,"155138 לקוח אינטרנט",'Source'!$B:$B,$A634)</f>
        <v>1524.73</v>
      </c>
      <c r="J634" s="8" t="n">
        <f aca="false">I634*$J$5</f>
        <v>1925.97473684211</v>
      </c>
      <c r="K634" s="8" t="n">
        <f aca="false">J634-H634</f>
        <v>479.654736842105</v>
      </c>
      <c r="L634" s="9" t="n">
        <f aca="false">IF(AND(H634=0,J634=0),0,IF(H634=0,"New",(J634-H634)/H634))</f>
        <v>0.331638044721849</v>
      </c>
      <c r="M634" s="7" t="str">
        <f aca="false">IF(AND(OR(C634&lt;&gt;0,H634&lt;&gt;0),D634=0,I634=0),"DROP",IF(AND(OR(D634&lt;&gt;0,I634&lt;&gt;0),C634=0,H634=0),"NEW",""))</f>
        <v/>
      </c>
    </row>
    <row r="635" customFormat="false" ht="15" hidden="false" customHeight="false" outlineLevel="0" collapsed="false">
      <c r="A635" s="7" t="s">
        <v>724</v>
      </c>
      <c r="B635" s="7" t="str">
        <f aca="false">IFERROR(INDEX('Source'!$C:$C,MATCH($A635,'Source'!$B:$B,0)),"")</f>
        <v>חגורת בטן</v>
      </c>
      <c r="C635" s="8" t="n">
        <f aca="false">SUMIFS('Source'!$D:$D,'Source'!$A:$A,"155138 לקוח אינטרנט",'Source'!$B:$B,$A635)</f>
        <v>9</v>
      </c>
      <c r="D635" s="8" t="n">
        <f aca="false">SUMIFS('Source'!$F:$F,'Source'!$A:$A,"155138 לקוח אינטרנט",'Source'!$B:$B,$A635)</f>
        <v>10</v>
      </c>
      <c r="E635" s="8" t="n">
        <f aca="false">D635*$J$5</f>
        <v>12.6315789473684</v>
      </c>
      <c r="F635" s="8" t="n">
        <f aca="false">E635-C635</f>
        <v>3.63157894736842</v>
      </c>
      <c r="G635" s="9" t="n">
        <f aca="false">IF(AND(C635=0,E635=0),0,IF(C635=0,"New",(E635-C635)/C635))</f>
        <v>0.403508771929825</v>
      </c>
      <c r="H635" s="8" t="n">
        <f aca="false">SUMIFS('Source'!$E:$E,'Source'!$A:$A,"155138 לקוח אינטרנט",'Source'!$B:$B,$A635)</f>
        <v>1832.38</v>
      </c>
      <c r="I635" s="8" t="n">
        <f aca="false">SUMIFS('Source'!$G:$G,'Source'!$A:$A,"155138 לקוח אינטרנט",'Source'!$B:$B,$A635)</f>
        <v>1909.33</v>
      </c>
      <c r="J635" s="8" t="n">
        <f aca="false">I635*$J$5</f>
        <v>2411.7852631579</v>
      </c>
      <c r="K635" s="8" t="n">
        <f aca="false">J635-H635</f>
        <v>579.405263157895</v>
      </c>
      <c r="L635" s="9" t="n">
        <f aca="false">IF(AND(H635=0,J635=0),0,IF(H635=0,"New",(J635-H635)/H635))</f>
        <v>0.316203660353145</v>
      </c>
      <c r="M635" s="7" t="str">
        <f aca="false">IF(AND(OR(C635&lt;&gt;0,H635&lt;&gt;0),D635=0,I635=0),"DROP",IF(AND(OR(D635&lt;&gt;0,I635&lt;&gt;0),C635=0,H635=0),"NEW",""))</f>
        <v/>
      </c>
    </row>
    <row r="636" customFormat="false" ht="15" hidden="false" customHeight="false" outlineLevel="0" collapsed="false">
      <c r="A636" s="7" t="s">
        <v>725</v>
      </c>
      <c r="B636" s="7" t="str">
        <f aca="false">IFERROR(INDEX('Source'!$C:$C,MATCH($A636,'Source'!$B:$B,0)),"")</f>
        <v>בליסטר פלסטר</v>
      </c>
      <c r="C636" s="8" t="n">
        <f aca="false">SUMIFS('Source'!$D:$D,'Source'!$A:$A,"155138 לקוח אינטרנט",'Source'!$B:$B,$A636)</f>
        <v>28</v>
      </c>
      <c r="D636" s="8" t="n">
        <f aca="false">SUMIFS('Source'!$F:$F,'Source'!$A:$A,"155138 לקוח אינטרנט",'Source'!$B:$B,$A636)</f>
        <v>28</v>
      </c>
      <c r="E636" s="8" t="n">
        <f aca="false">D636*$J$5</f>
        <v>35.3684210526316</v>
      </c>
      <c r="F636" s="8" t="n">
        <f aca="false">E636-C636</f>
        <v>7.36842105263158</v>
      </c>
      <c r="G636" s="9" t="n">
        <f aca="false">IF(AND(C636=0,E636=0),0,IF(C636=0,"New",(E636-C636)/C636))</f>
        <v>0.263157894736842</v>
      </c>
      <c r="H636" s="8" t="n">
        <f aca="false">SUMIFS('Source'!$E:$E,'Source'!$A:$A,"155138 לקוח אינטרנט",'Source'!$B:$B,$A636)</f>
        <v>898.41</v>
      </c>
      <c r="I636" s="8" t="n">
        <f aca="false">SUMIFS('Source'!$G:$G,'Source'!$A:$A,"155138 לקוח אינטרנט",'Source'!$B:$B,$A636)</f>
        <v>974.74</v>
      </c>
      <c r="J636" s="8" t="n">
        <f aca="false">I636*$J$5</f>
        <v>1231.25052631579</v>
      </c>
      <c r="K636" s="8" t="n">
        <f aca="false">J636-H636</f>
        <v>332.840526315789</v>
      </c>
      <c r="L636" s="9" t="n">
        <f aca="false">IF(AND(H636=0,J636=0),0,IF(H636=0,"New",(J636-H636)/H636))</f>
        <v>0.370477316944145</v>
      </c>
      <c r="M636" s="7" t="str">
        <f aca="false">IF(AND(OR(C636&lt;&gt;0,H636&lt;&gt;0),D636=0,I636=0),"DROP",IF(AND(OR(D636&lt;&gt;0,I636&lt;&gt;0),C636=0,H636=0),"NEW",""))</f>
        <v/>
      </c>
    </row>
    <row r="637" customFormat="false" ht="15" hidden="false" customHeight="false" outlineLevel="0" collapsed="false">
      <c r="A637" s="7" t="s">
        <v>726</v>
      </c>
      <c r="B637" s="7" t="str">
        <f aca="false">IFERROR(INDEX('Source'!$C:$C,MATCH($A637,'Source'!$B:$B,0)),"")</f>
        <v>מגן קרסול סגור</v>
      </c>
      <c r="C637" s="8" t="n">
        <f aca="false">SUMIFS('Source'!$D:$D,'Source'!$A:$A,"155138 לקוח אינטרנט",'Source'!$B:$B,$A637)</f>
        <v>0</v>
      </c>
      <c r="D637" s="8" t="n">
        <f aca="false">SUMIFS('Source'!$F:$F,'Source'!$A:$A,"155138 לקוח אינטרנט",'Source'!$B:$B,$A637)</f>
        <v>1</v>
      </c>
      <c r="E637" s="8" t="n">
        <f aca="false">D637*$J$5</f>
        <v>1.26315789473684</v>
      </c>
      <c r="F637" s="8" t="n">
        <f aca="false">E637-C637</f>
        <v>1.26315789473684</v>
      </c>
      <c r="G637" s="9" t="str">
        <f aca="false">IF(AND(C637=0,E637=0),0,IF(C637=0,"New",(E637-C637)/C637))</f>
        <v>New</v>
      </c>
      <c r="H637" s="8" t="n">
        <f aca="false">SUMIFS('Source'!$E:$E,'Source'!$A:$A,"155138 לקוח אינטרנט",'Source'!$B:$B,$A637)</f>
        <v>0</v>
      </c>
      <c r="I637" s="8" t="n">
        <f aca="false">SUMIFS('Source'!$G:$G,'Source'!$A:$A,"155138 לקוח אינטרנט",'Source'!$B:$B,$A637)</f>
        <v>76.2</v>
      </c>
      <c r="J637" s="8" t="n">
        <f aca="false">I637*$J$5</f>
        <v>96.2526315789474</v>
      </c>
      <c r="K637" s="8" t="n">
        <f aca="false">J637-H637</f>
        <v>96.2526315789474</v>
      </c>
      <c r="L637" s="9" t="str">
        <f aca="false">IF(AND(H637=0,J637=0),0,IF(H637=0,"New",(J637-H637)/H637))</f>
        <v>New</v>
      </c>
      <c r="M637" s="7" t="str">
        <f aca="false">IF(AND(OR(C637&lt;&gt;0,H637&lt;&gt;0),D637=0,I637=0),"DROP",IF(AND(OR(D637&lt;&gt;0,I637&lt;&gt;0),C637=0,H637=0),"NEW",""))</f>
        <v>NEW</v>
      </c>
    </row>
    <row r="638" customFormat="false" ht="15" hidden="false" customHeight="false" outlineLevel="0" collapsed="false">
      <c r="A638" s="7" t="s">
        <v>727</v>
      </c>
      <c r="B638" s="7" t="str">
        <f aca="false">IFERROR(INDEX('Source'!$C:$C,MATCH($A638,'Source'!$B:$B,0)),"")</f>
        <v>מגן מרפק</v>
      </c>
      <c r="C638" s="8" t="n">
        <f aca="false">SUMIFS('Source'!$D:$D,'Source'!$A:$A,"155138 לקוח אינטרנט",'Source'!$B:$B,$A638)</f>
        <v>0</v>
      </c>
      <c r="D638" s="8" t="n">
        <f aca="false">SUMIFS('Source'!$F:$F,'Source'!$A:$A,"155138 לקוח אינטרנט",'Source'!$B:$B,$A638)</f>
        <v>3</v>
      </c>
      <c r="E638" s="8" t="n">
        <f aca="false">D638*$J$5</f>
        <v>3.78947368421053</v>
      </c>
      <c r="F638" s="8" t="n">
        <f aca="false">E638-C638</f>
        <v>3.78947368421053</v>
      </c>
      <c r="G638" s="9" t="str">
        <f aca="false">IF(AND(C638=0,E638=0),0,IF(C638=0,"New",(E638-C638)/C638))</f>
        <v>New</v>
      </c>
      <c r="H638" s="8" t="n">
        <f aca="false">SUMIFS('Source'!$E:$E,'Source'!$A:$A,"155138 לקוח אינטרנט",'Source'!$B:$B,$A638)</f>
        <v>0</v>
      </c>
      <c r="I638" s="8" t="n">
        <f aca="false">SUMIFS('Source'!$G:$G,'Source'!$A:$A,"155138 לקוח אינטרנט",'Source'!$B:$B,$A638)</f>
        <v>76.14</v>
      </c>
      <c r="J638" s="8" t="n">
        <f aca="false">I638*$J$5</f>
        <v>96.1768421052632</v>
      </c>
      <c r="K638" s="8" t="n">
        <f aca="false">J638-H638</f>
        <v>96.1768421052632</v>
      </c>
      <c r="L638" s="9" t="str">
        <f aca="false">IF(AND(H638=0,J638=0),0,IF(H638=0,"New",(J638-H638)/H638))</f>
        <v>New</v>
      </c>
      <c r="M638" s="7" t="str">
        <f aca="false">IF(AND(OR(C638&lt;&gt;0,H638&lt;&gt;0),D638=0,I638=0),"DROP",IF(AND(OR(D638&lt;&gt;0,I638&lt;&gt;0),C638=0,H638=0),"NEW",""))</f>
        <v>NEW</v>
      </c>
    </row>
    <row r="639" customFormat="false" ht="15" hidden="false" customHeight="false" outlineLevel="0" collapsed="false">
      <c r="A639" s="7" t="s">
        <v>728</v>
      </c>
      <c r="B639" s="7" t="str">
        <f aca="false">IFERROR(INDEX('Source'!$C:$C,MATCH($A639,'Source'!$B:$B,0)),"")</f>
        <v>URIEL STRAP4U PINK S-M</v>
      </c>
      <c r="C639" s="8" t="n">
        <f aca="false">SUMIFS('Source'!$D:$D,'Source'!$A:$A,"155138 לקוח אינטרנט",'Source'!$B:$B,$A639)</f>
        <v>4</v>
      </c>
      <c r="D639" s="8" t="n">
        <f aca="false">SUMIFS('Source'!$F:$F,'Source'!$A:$A,"155138 לקוח אינטרנט",'Source'!$B:$B,$A639)</f>
        <v>6</v>
      </c>
      <c r="E639" s="8" t="n">
        <f aca="false">D639*$J$5</f>
        <v>7.57894736842105</v>
      </c>
      <c r="F639" s="8" t="n">
        <f aca="false">E639-C639</f>
        <v>3.57894736842105</v>
      </c>
      <c r="G639" s="9" t="n">
        <f aca="false">IF(AND(C639=0,E639=0),0,IF(C639=0,"New",(E639-C639)/C639))</f>
        <v>0.894736842105263</v>
      </c>
      <c r="H639" s="8" t="n">
        <f aca="false">SUMIFS('Source'!$E:$E,'Source'!$A:$A,"155138 לקוח אינטרנט",'Source'!$B:$B,$A639)</f>
        <v>133.44</v>
      </c>
      <c r="I639" s="8" t="n">
        <f aca="false">SUMIFS('Source'!$G:$G,'Source'!$A:$A,"155138 לקוח אינטרנט",'Source'!$B:$B,$A639)</f>
        <v>207.96</v>
      </c>
      <c r="J639" s="8" t="n">
        <f aca="false">I639*$J$5</f>
        <v>262.686315789474</v>
      </c>
      <c r="K639" s="8" t="n">
        <f aca="false">J639-H639</f>
        <v>129.246315789474</v>
      </c>
      <c r="L639" s="9" t="n">
        <f aca="false">IF(AND(H639=0,J639=0),0,IF(H639=0,"New",(J639-H639)/H639))</f>
        <v>0.968572510412722</v>
      </c>
      <c r="M639" s="7" t="str">
        <f aca="false">IF(AND(OR(C639&lt;&gt;0,H639&lt;&gt;0),D639=0,I639=0),"DROP",IF(AND(OR(D639&lt;&gt;0,I639&lt;&gt;0),C639=0,H639=0),"NEW",""))</f>
        <v/>
      </c>
    </row>
    <row r="640" customFormat="false" ht="15" hidden="false" customHeight="false" outlineLevel="0" collapsed="false">
      <c r="A640" s="7" t="s">
        <v>729</v>
      </c>
      <c r="B640" s="7" t="str">
        <f aca="false">IFERROR(INDEX('Source'!$C:$C,MATCH($A640,'Source'!$B:$B,0)),"")</f>
        <v>מגן ברך ארוך בז'</v>
      </c>
      <c r="C640" s="8" t="n">
        <f aca="false">SUMIFS('Source'!$D:$D,'Source'!$A:$A,"155138 לקוח אינטרנט",'Source'!$B:$B,$A640)</f>
        <v>2</v>
      </c>
      <c r="D640" s="8" t="n">
        <f aca="false">SUMIFS('Source'!$F:$F,'Source'!$A:$A,"155138 לקוח אינטרנט",'Source'!$B:$B,$A640)</f>
        <v>1</v>
      </c>
      <c r="E640" s="8" t="n">
        <f aca="false">D640*$J$5</f>
        <v>1.26315789473684</v>
      </c>
      <c r="F640" s="8" t="n">
        <f aca="false">E640-C640</f>
        <v>-0.736842105263158</v>
      </c>
      <c r="G640" s="9" t="n">
        <f aca="false">IF(AND(C640=0,E640=0),0,IF(C640=0,"New",(E640-C640)/C640))</f>
        <v>-0.368421052631579</v>
      </c>
      <c r="H640" s="8" t="n">
        <f aca="false">SUMIFS('Source'!$E:$E,'Source'!$A:$A,"155138 לקוח אינטרנט",'Source'!$B:$B,$A640)</f>
        <v>135.42</v>
      </c>
      <c r="I640" s="8" t="n">
        <f aca="false">SUMIFS('Source'!$G:$G,'Source'!$A:$A,"155138 לקוח אינטרנט",'Source'!$B:$B,$A640)</f>
        <v>60.94</v>
      </c>
      <c r="J640" s="8" t="n">
        <f aca="false">I640*$J$5</f>
        <v>76.9768421052632</v>
      </c>
      <c r="K640" s="8" t="n">
        <f aca="false">J640-H640</f>
        <v>-58.4431578947368</v>
      </c>
      <c r="L640" s="9" t="n">
        <f aca="false">IF(AND(H640=0,J640=0),0,IF(H640=0,"New",(J640-H640)/H640))</f>
        <v>-0.431569619662804</v>
      </c>
      <c r="M640" s="7" t="str">
        <f aca="false">IF(AND(OR(C640&lt;&gt;0,H640&lt;&gt;0),D640=0,I640=0),"DROP",IF(AND(OR(D640&lt;&gt;0,I640&lt;&gt;0),C640=0,H640=0),"NEW",""))</f>
        <v/>
      </c>
    </row>
    <row r="641" customFormat="false" ht="15" hidden="false" customHeight="false" outlineLevel="0" collapsed="false">
      <c r="A641" s="7" t="s">
        <v>730</v>
      </c>
      <c r="B641" s="7" t="str">
        <f aca="false">IFERROR(INDEX('Source'!$C:$C,MATCH($A641,'Source'!$B:$B,0)),"")</f>
        <v>כפפת לחץ</v>
      </c>
      <c r="C641" s="8" t="n">
        <f aca="false">SUMIFS('Source'!$D:$D,'Source'!$A:$A,"155138 לקוח אינטרנט",'Source'!$B:$B,$A641)</f>
        <v>8</v>
      </c>
      <c r="D641" s="8" t="n">
        <f aca="false">SUMIFS('Source'!$F:$F,'Source'!$A:$A,"155138 לקוח אינטרנט",'Source'!$B:$B,$A641)</f>
        <v>9</v>
      </c>
      <c r="E641" s="8" t="n">
        <f aca="false">D641*$J$5</f>
        <v>11.3684210526316</v>
      </c>
      <c r="F641" s="8" t="n">
        <f aca="false">E641-C641</f>
        <v>3.36842105263158</v>
      </c>
      <c r="G641" s="9" t="n">
        <f aca="false">IF(AND(C641=0,E641=0),0,IF(C641=0,"New",(E641-C641)/C641))</f>
        <v>0.421052631578947</v>
      </c>
      <c r="H641" s="8" t="n">
        <f aca="false">SUMIFS('Source'!$E:$E,'Source'!$A:$A,"155138 לקוח אינטרנט",'Source'!$B:$B,$A641)</f>
        <v>507.82</v>
      </c>
      <c r="I641" s="8" t="n">
        <f aca="false">SUMIFS('Source'!$G:$G,'Source'!$A:$A,"155138 לקוח אינטרנט",'Source'!$B:$B,$A641)</f>
        <v>580.62</v>
      </c>
      <c r="J641" s="8" t="n">
        <f aca="false">I641*$J$5</f>
        <v>733.414736842105</v>
      </c>
      <c r="K641" s="8" t="n">
        <f aca="false">J641-H641</f>
        <v>225.594736842105</v>
      </c>
      <c r="L641" s="9" t="n">
        <f aca="false">IF(AND(H641=0,J641=0),0,IF(H641=0,"New",(J641-H641)/H641))</f>
        <v>0.444241536060228</v>
      </c>
      <c r="M641" s="7" t="str">
        <f aca="false">IF(AND(OR(C641&lt;&gt;0,H641&lt;&gt;0),D641=0,I641=0),"DROP",IF(AND(OR(D641&lt;&gt;0,I641&lt;&gt;0),C641=0,H641=0),"NEW",""))</f>
        <v/>
      </c>
    </row>
    <row r="642" customFormat="false" ht="15" hidden="false" customHeight="false" outlineLevel="0" collapsed="false">
      <c r="A642" s="7" t="s">
        <v>731</v>
      </c>
      <c r="B642" s="7" t="str">
        <f aca="false">IFERROR(INDEX('Source'!$C:$C,MATCH($A642,'Source'!$B:$B,0)),"")</f>
        <v>קינזיולוגי טייפ</v>
      </c>
      <c r="C642" s="8" t="n">
        <f aca="false">SUMIFS('Source'!$D:$D,'Source'!$A:$A,"155138 לקוח אינטרנט",'Source'!$B:$B,$A642)</f>
        <v>0</v>
      </c>
      <c r="D642" s="8" t="n">
        <f aca="false">SUMIFS('Source'!$F:$F,'Source'!$A:$A,"155138 לקוח אינטרנט",'Source'!$B:$B,$A642)</f>
        <v>1</v>
      </c>
      <c r="E642" s="8" t="n">
        <f aca="false">D642*$J$5</f>
        <v>1.26315789473684</v>
      </c>
      <c r="F642" s="8" t="n">
        <f aca="false">E642-C642</f>
        <v>1.26315789473684</v>
      </c>
      <c r="G642" s="9" t="str">
        <f aca="false">IF(AND(C642=0,E642=0),0,IF(C642=0,"New",(E642-C642)/C642))</f>
        <v>New</v>
      </c>
      <c r="H642" s="8" t="n">
        <f aca="false">SUMIFS('Source'!$E:$E,'Source'!$A:$A,"155138 לקוח אינטרנט",'Source'!$B:$B,$A642)</f>
        <v>0</v>
      </c>
      <c r="I642" s="8" t="n">
        <f aca="false">SUMIFS('Source'!$G:$G,'Source'!$A:$A,"155138 לקוח אינטרנט",'Source'!$B:$B,$A642)</f>
        <v>72.68</v>
      </c>
      <c r="J642" s="8" t="n">
        <f aca="false">I642*$J$5</f>
        <v>91.8063157894737</v>
      </c>
      <c r="K642" s="8" t="n">
        <f aca="false">J642-H642</f>
        <v>91.8063157894737</v>
      </c>
      <c r="L642" s="9" t="str">
        <f aca="false">IF(AND(H642=0,J642=0),0,IF(H642=0,"New",(J642-H642)/H642))</f>
        <v>New</v>
      </c>
      <c r="M642" s="7" t="str">
        <f aca="false">IF(AND(OR(C642&lt;&gt;0,H642&lt;&gt;0),D642=0,I642=0),"DROP",IF(AND(OR(D642&lt;&gt;0,I642&lt;&gt;0),C642=0,H642=0),"NEW",""))</f>
        <v>NEW</v>
      </c>
    </row>
    <row r="643" customFormat="false" ht="15" hidden="false" customHeight="false" outlineLevel="0" collapsed="false">
      <c r="A643" s="7" t="s">
        <v>732</v>
      </c>
      <c r="B643" s="7" t="str">
        <f aca="false">IFERROR(INDEX('Source'!$C:$C,MATCH($A643,'Source'!$B:$B,0)),"")</f>
        <v>מגן ירך</v>
      </c>
      <c r="C643" s="8" t="n">
        <f aca="false">SUMIFS('Source'!$D:$D,'Source'!$A:$A,"155138 לקוח אינטרנט",'Source'!$B:$B,$A643)</f>
        <v>1</v>
      </c>
      <c r="D643" s="8" t="n">
        <f aca="false">SUMIFS('Source'!$F:$F,'Source'!$A:$A,"155138 לקוח אינטרנט",'Source'!$B:$B,$A643)</f>
        <v>0</v>
      </c>
      <c r="E643" s="8" t="n">
        <f aca="false">D643*$J$5</f>
        <v>0</v>
      </c>
      <c r="F643" s="8" t="n">
        <f aca="false">E643-C643</f>
        <v>-1</v>
      </c>
      <c r="G643" s="9" t="n">
        <f aca="false">IF(AND(C643=0,E643=0),0,IF(C643=0,"New",(E643-C643)/C643))</f>
        <v>-1</v>
      </c>
      <c r="H643" s="8" t="n">
        <f aca="false">SUMIFS('Source'!$E:$E,'Source'!$A:$A,"155138 לקוח אינטרנט",'Source'!$B:$B,$A643)</f>
        <v>68.56</v>
      </c>
      <c r="I643" s="8" t="n">
        <f aca="false">SUMIFS('Source'!$G:$G,'Source'!$A:$A,"155138 לקוח אינטרנט",'Source'!$B:$B,$A643)</f>
        <v>0</v>
      </c>
      <c r="J643" s="8" t="n">
        <f aca="false">I643*$J$5</f>
        <v>0</v>
      </c>
      <c r="K643" s="8" t="n">
        <f aca="false">J643-H643</f>
        <v>-68.56</v>
      </c>
      <c r="L643" s="9" t="n">
        <f aca="false">IF(AND(H643=0,J643=0),0,IF(H643=0,"New",(J643-H643)/H643))</f>
        <v>-1</v>
      </c>
      <c r="M643" s="7" t="str">
        <f aca="false">IF(AND(OR(C643&lt;&gt;0,H643&lt;&gt;0),D643=0,I643=0),"DROP",IF(AND(OR(D643&lt;&gt;0,I643&lt;&gt;0),C643=0,H643=0),"NEW",""))</f>
        <v>DROP</v>
      </c>
    </row>
    <row r="644" customFormat="false" ht="15" hidden="false" customHeight="false" outlineLevel="0" collapsed="false">
      <c r="A644" s="7" t="s">
        <v>733</v>
      </c>
      <c r="B644" s="7" t="str">
        <f aca="false">IFERROR(INDEX('Source'!$C:$C,MATCH($A644,'Source'!$B:$B,0)),"")</f>
        <v>כיסוי מכשיר עיסוי ויטלימד פלקסי לבן</v>
      </c>
      <c r="C644" s="8" t="n">
        <f aca="false">SUMIFS('Source'!$D:$D,'Source'!$A:$A,"155138 לקוח אינטרנט",'Source'!$B:$B,$A644)</f>
        <v>0</v>
      </c>
      <c r="D644" s="8" t="n">
        <f aca="false">SUMIFS('Source'!$F:$F,'Source'!$A:$A,"155138 לקוח אינטרנט",'Source'!$B:$B,$A644)</f>
        <v>1</v>
      </c>
      <c r="E644" s="8" t="n">
        <f aca="false">D644*$J$5</f>
        <v>1.26315789473684</v>
      </c>
      <c r="F644" s="8" t="n">
        <f aca="false">E644-C644</f>
        <v>1.26315789473684</v>
      </c>
      <c r="G644" s="9" t="str">
        <f aca="false">IF(AND(C644=0,E644=0),0,IF(C644=0,"New",(E644-C644)/C644))</f>
        <v>New</v>
      </c>
      <c r="H644" s="8" t="n">
        <f aca="false">SUMIFS('Source'!$E:$E,'Source'!$A:$A,"155138 לקוח אינטרנט",'Source'!$B:$B,$A644)</f>
        <v>0</v>
      </c>
      <c r="I644" s="8" t="n">
        <f aca="false">SUMIFS('Source'!$G:$G,'Source'!$A:$A,"155138 לקוח אינטרנט",'Source'!$B:$B,$A644)</f>
        <v>67.72</v>
      </c>
      <c r="J644" s="8" t="n">
        <f aca="false">I644*$J$5</f>
        <v>85.5410526315789</v>
      </c>
      <c r="K644" s="8" t="n">
        <f aca="false">J644-H644</f>
        <v>85.5410526315789</v>
      </c>
      <c r="L644" s="9" t="str">
        <f aca="false">IF(AND(H644=0,J644=0),0,IF(H644=0,"New",(J644-H644)/H644))</f>
        <v>New</v>
      </c>
      <c r="M644" s="7" t="str">
        <f aca="false">IF(AND(OR(C644&lt;&gt;0,H644&lt;&gt;0),D644=0,I644=0),"DROP",IF(AND(OR(D644&lt;&gt;0,I644&lt;&gt;0),C644=0,H644=0),"NEW",""))</f>
        <v>NEW</v>
      </c>
    </row>
    <row r="645" customFormat="false" ht="15" hidden="false" customHeight="false" outlineLevel="0" collapsed="false">
      <c r="A645" s="7" t="s">
        <v>734</v>
      </c>
      <c r="B645" s="7" t="str">
        <f aca="false">IFERROR(INDEX('Source'!$C:$C,MATCH($A645,'Source'!$B:$B,0)),"")</f>
        <v>סכין להחלפה</v>
      </c>
      <c r="C645" s="8" t="n">
        <f aca="false">SUMIFS('Source'!$D:$D,'Source'!$A:$A,"155138 לקוח אינטרנט",'Source'!$B:$B,$A645)</f>
        <v>7</v>
      </c>
      <c r="D645" s="8" t="n">
        <f aca="false">SUMIFS('Source'!$F:$F,'Source'!$A:$A,"155138 לקוח אינטרנט",'Source'!$B:$B,$A645)</f>
        <v>11</v>
      </c>
      <c r="E645" s="8" t="n">
        <f aca="false">D645*$J$5</f>
        <v>13.8947368421053</v>
      </c>
      <c r="F645" s="8" t="n">
        <f aca="false">E645-C645</f>
        <v>6.89473684210526</v>
      </c>
      <c r="G645" s="9" t="n">
        <f aca="false">IF(AND(C645=0,E645=0),0,IF(C645=0,"New",(E645-C645)/C645))</f>
        <v>0.984962406015037</v>
      </c>
      <c r="H645" s="8" t="n">
        <f aca="false">SUMIFS('Source'!$E:$E,'Source'!$A:$A,"155138 לקוח אינטרנט",'Source'!$B:$B,$A645)</f>
        <v>120.43</v>
      </c>
      <c r="I645" s="8" t="n">
        <f aca="false">SUMIFS('Source'!$G:$G,'Source'!$A:$A,"155138 לקוח אינטרנט",'Source'!$B:$B,$A645)</f>
        <v>187.77</v>
      </c>
      <c r="J645" s="8" t="n">
        <f aca="false">I645*$J$5</f>
        <v>237.183157894737</v>
      </c>
      <c r="K645" s="8" t="n">
        <f aca="false">J645-H645</f>
        <v>116.753157894737</v>
      </c>
      <c r="L645" s="9" t="n">
        <f aca="false">IF(AND(H645=0,J645=0),0,IF(H645=0,"New",(J645-H645)/H645))</f>
        <v>0.969469051687593</v>
      </c>
      <c r="M645" s="7" t="str">
        <f aca="false">IF(AND(OR(C645&lt;&gt;0,H645&lt;&gt;0),D645=0,I645=0),"DROP",IF(AND(OR(D645&lt;&gt;0,I645&lt;&gt;0),C645=0,H645=0),"NEW",""))</f>
        <v/>
      </c>
    </row>
    <row r="646" customFormat="false" ht="15" hidden="false" customHeight="false" outlineLevel="0" collapsed="false">
      <c r="A646" s="7" t="s">
        <v>735</v>
      </c>
      <c r="B646" s="7" t="str">
        <f aca="false">IFERROR(INDEX('Source'!$C:$C,MATCH($A646,'Source'!$B:$B,0)),"")</f>
        <v>רפידה בולמת זעזועים</v>
      </c>
      <c r="C646" s="8" t="n">
        <f aca="false">SUMIFS('Source'!$D:$D,'Source'!$A:$A,"155138 לקוח אינטרנט",'Source'!$B:$B,$A646)</f>
        <v>18</v>
      </c>
      <c r="D646" s="8" t="n">
        <f aca="false">SUMIFS('Source'!$F:$F,'Source'!$A:$A,"155138 לקוח אינטרנט",'Source'!$B:$B,$A646)</f>
        <v>19</v>
      </c>
      <c r="E646" s="8" t="n">
        <f aca="false">D646*$J$5</f>
        <v>24</v>
      </c>
      <c r="F646" s="8" t="n">
        <f aca="false">E646-C646</f>
        <v>6</v>
      </c>
      <c r="G646" s="9" t="n">
        <f aca="false">IF(AND(C646=0,E646=0),0,IF(C646=0,"New",(E646-C646)/C646))</f>
        <v>0.333333333333333</v>
      </c>
      <c r="H646" s="8" t="n">
        <f aca="false">SUMIFS('Source'!$E:$E,'Source'!$A:$A,"155138 לקוח אינטרנט",'Source'!$B:$B,$A646)</f>
        <v>443.78</v>
      </c>
      <c r="I646" s="8" t="n">
        <f aca="false">SUMIFS('Source'!$G:$G,'Source'!$A:$A,"155138 לקוח אינטרנט",'Source'!$B:$B,$A646)</f>
        <v>510.22</v>
      </c>
      <c r="J646" s="8" t="n">
        <f aca="false">I646*$J$5</f>
        <v>644.488421052632</v>
      </c>
      <c r="K646" s="8" t="n">
        <f aca="false">J646-H646</f>
        <v>200.708421052632</v>
      </c>
      <c r="L646" s="9" t="n">
        <f aca="false">IF(AND(H646=0,J646=0),0,IF(H646=0,"New",(J646-H646)/H646))</f>
        <v>0.452270091154697</v>
      </c>
      <c r="M646" s="7" t="str">
        <f aca="false">IF(AND(OR(C646&lt;&gt;0,H646&lt;&gt;0),D646=0,I646=0),"DROP",IF(AND(OR(D646&lt;&gt;0,I646&lt;&gt;0),C646=0,H646=0),"NEW",""))</f>
        <v/>
      </c>
    </row>
    <row r="647" customFormat="false" ht="15" hidden="false" customHeight="false" outlineLevel="0" collapsed="false">
      <c r="A647" s="7" t="s">
        <v>736</v>
      </c>
      <c r="B647" s="7" t="str">
        <f aca="false">IFERROR(INDEX('Source'!$C:$C,MATCH($A647,'Source'!$B:$B,0)),"")</f>
        <v>קוצץ ציפורניים</v>
      </c>
      <c r="C647" s="8" t="n">
        <f aca="false">SUMIFS('Source'!$D:$D,'Source'!$A:$A,"155138 לקוח אינטרנט",'Source'!$B:$B,$A647)</f>
        <v>12</v>
      </c>
      <c r="D647" s="8" t="n">
        <f aca="false">SUMIFS('Source'!$F:$F,'Source'!$A:$A,"155138 לקוח אינטרנט",'Source'!$B:$B,$A647)</f>
        <v>9</v>
      </c>
      <c r="E647" s="8" t="n">
        <f aca="false">D647*$J$5</f>
        <v>11.3684210526316</v>
      </c>
      <c r="F647" s="8" t="n">
        <f aca="false">E647-C647</f>
        <v>-0.631578947368421</v>
      </c>
      <c r="G647" s="9" t="n">
        <f aca="false">IF(AND(C647=0,E647=0),0,IF(C647=0,"New",(E647-C647)/C647))</f>
        <v>-0.0526315789473684</v>
      </c>
      <c r="H647" s="8" t="n">
        <f aca="false">SUMIFS('Source'!$E:$E,'Source'!$A:$A,"155138 לקוח אינטרנט",'Source'!$B:$B,$A647)</f>
        <v>288.08</v>
      </c>
      <c r="I647" s="8" t="n">
        <f aca="false">SUMIFS('Source'!$G:$G,'Source'!$A:$A,"155138 לקוח אינטרנט",'Source'!$B:$B,$A647)</f>
        <v>223.91</v>
      </c>
      <c r="J647" s="8" t="n">
        <f aca="false">I647*$J$5</f>
        <v>282.833684210526</v>
      </c>
      <c r="K647" s="8" t="n">
        <f aca="false">J647-H647</f>
        <v>-5.24631578947367</v>
      </c>
      <c r="L647" s="9" t="n">
        <f aca="false">IF(AND(H647=0,J647=0),0,IF(H647=0,"New",(J647-H647)/H647))</f>
        <v>-0.0182113155702363</v>
      </c>
      <c r="M647" s="7" t="str">
        <f aca="false">IF(AND(OR(C647&lt;&gt;0,H647&lt;&gt;0),D647=0,I647=0),"DROP",IF(AND(OR(D647&lt;&gt;0,I647&lt;&gt;0),C647=0,H647=0),"NEW",""))</f>
        <v/>
      </c>
    </row>
    <row r="648" customFormat="false" ht="15" hidden="false" customHeight="false" outlineLevel="0" collapsed="false">
      <c r="A648" s="7" t="s">
        <v>737</v>
      </c>
      <c r="B648" s="7" t="str">
        <f aca="false">IFERROR(INDEX('Source'!$C:$C,MATCH($A648,'Source'!$B:$B,0)),"")</f>
        <v>חגורת לומבו-סקרל-צבע</v>
      </c>
      <c r="C648" s="8" t="n">
        <f aca="false">SUMIFS('Source'!$D:$D,'Source'!$A:$A,"155138 לקוח אינטרנט",'Source'!$B:$B,$A648)</f>
        <v>2</v>
      </c>
      <c r="D648" s="8" t="n">
        <f aca="false">SUMIFS('Source'!$F:$F,'Source'!$A:$A,"155138 לקוח אינטרנט",'Source'!$B:$B,$A648)</f>
        <v>2</v>
      </c>
      <c r="E648" s="8" t="n">
        <f aca="false">D648*$J$5</f>
        <v>2.52631578947368</v>
      </c>
      <c r="F648" s="8" t="n">
        <f aca="false">E648-C648</f>
        <v>0.526315789473684</v>
      </c>
      <c r="G648" s="9" t="n">
        <f aca="false">IF(AND(C648=0,E648=0),0,IF(C648=0,"New",(E648-C648)/C648))</f>
        <v>0.263157894736842</v>
      </c>
      <c r="H648" s="8" t="n">
        <f aca="false">SUMIFS('Source'!$E:$E,'Source'!$A:$A,"155138 לקוח אינטרנט",'Source'!$B:$B,$A648)</f>
        <v>847.28</v>
      </c>
      <c r="I648" s="8" t="n">
        <f aca="false">SUMIFS('Source'!$G:$G,'Source'!$A:$A,"155138 לקוח אינטרנט",'Source'!$B:$B,$A648)</f>
        <v>783.73</v>
      </c>
      <c r="J648" s="8" t="n">
        <f aca="false">I648*$J$5</f>
        <v>989.974736842105</v>
      </c>
      <c r="K648" s="8" t="n">
        <f aca="false">J648-H648</f>
        <v>142.694736842105</v>
      </c>
      <c r="L648" s="9" t="n">
        <f aca="false">IF(AND(H648=0,J648=0),0,IF(H648=0,"New",(J648-H648)/H648))</f>
        <v>0.168415089276397</v>
      </c>
      <c r="M648" s="7" t="str">
        <f aca="false">IF(AND(OR(C648&lt;&gt;0,H648&lt;&gt;0),D648=0,I648=0),"DROP",IF(AND(OR(D648&lt;&gt;0,I648&lt;&gt;0),C648=0,H648=0),"NEW",""))</f>
        <v/>
      </c>
    </row>
    <row r="649" customFormat="false" ht="15" hidden="false" customHeight="false" outlineLevel="0" collapsed="false">
      <c r="A649" s="7" t="s">
        <v>738</v>
      </c>
      <c r="B649" s="7" t="str">
        <f aca="false">IFERROR(INDEX('Source'!$C:$C,MATCH($A649,'Source'!$B:$B,0)),"")</f>
        <v>גרבי חורף אנטיבקטריאלי לבן</v>
      </c>
      <c r="C649" s="8" t="n">
        <f aca="false">SUMIFS('Source'!$D:$D,'Source'!$A:$A,"155138 לקוח אינטרנט",'Source'!$B:$B,$A649)</f>
        <v>0</v>
      </c>
      <c r="D649" s="8" t="n">
        <f aca="false">SUMIFS('Source'!$F:$F,'Source'!$A:$A,"155138 לקוח אינטרנט",'Source'!$B:$B,$A649)</f>
        <v>1</v>
      </c>
      <c r="E649" s="8" t="n">
        <f aca="false">D649*$J$5</f>
        <v>1.26315789473684</v>
      </c>
      <c r="F649" s="8" t="n">
        <f aca="false">E649-C649</f>
        <v>1.26315789473684</v>
      </c>
      <c r="G649" s="9" t="str">
        <f aca="false">IF(AND(C649=0,E649=0),0,IF(C649=0,"New",(E649-C649)/C649))</f>
        <v>New</v>
      </c>
      <c r="H649" s="8" t="n">
        <f aca="false">SUMIFS('Source'!$E:$E,'Source'!$A:$A,"155138 לקוח אינטרנט",'Source'!$B:$B,$A649)</f>
        <v>0</v>
      </c>
      <c r="I649" s="8" t="n">
        <f aca="false">SUMIFS('Source'!$G:$G,'Source'!$A:$A,"155138 לקוח אינטרנט",'Source'!$B:$B,$A649)</f>
        <v>63.47</v>
      </c>
      <c r="J649" s="8" t="n">
        <f aca="false">I649*$J$5</f>
        <v>80.1726315789474</v>
      </c>
      <c r="K649" s="8" t="n">
        <f aca="false">J649-H649</f>
        <v>80.1726315789474</v>
      </c>
      <c r="L649" s="9" t="str">
        <f aca="false">IF(AND(H649=0,J649=0),0,IF(H649=0,"New",(J649-H649)/H649))</f>
        <v>New</v>
      </c>
      <c r="M649" s="7" t="str">
        <f aca="false">IF(AND(OR(C649&lt;&gt;0,H649&lt;&gt;0),D649=0,I649=0),"DROP",IF(AND(OR(D649&lt;&gt;0,I649&lt;&gt;0),C649=0,H649=0),"NEW",""))</f>
        <v>NEW</v>
      </c>
    </row>
    <row r="650" customFormat="false" ht="15" hidden="false" customHeight="false" outlineLevel="0" collapsed="false">
      <c r="A650" s="7" t="s">
        <v>739</v>
      </c>
      <c r="B650" s="7" t="str">
        <f aca="false">IFERROR(INDEX('Source'!$C:$C,MATCH($A650,'Source'!$B:$B,0)),"")</f>
        <v>מגן קרסול שמאל SC35</v>
      </c>
      <c r="C650" s="8" t="n">
        <f aca="false">SUMIFS('Source'!$D:$D,'Source'!$A:$A,"155138 לקוח אינטרנט",'Source'!$B:$B,$A650)</f>
        <v>2</v>
      </c>
      <c r="D650" s="8" t="n">
        <f aca="false">SUMIFS('Source'!$F:$F,'Source'!$A:$A,"155138 לקוח אינטרנט",'Source'!$B:$B,$A650)</f>
        <v>1</v>
      </c>
      <c r="E650" s="8" t="n">
        <f aca="false">D650*$J$5</f>
        <v>1.26315789473684</v>
      </c>
      <c r="F650" s="8" t="n">
        <f aca="false">E650-C650</f>
        <v>-0.736842105263158</v>
      </c>
      <c r="G650" s="9" t="n">
        <f aca="false">IF(AND(C650=0,E650=0),0,IF(C650=0,"New",(E650-C650)/C650))</f>
        <v>-0.368421052631579</v>
      </c>
      <c r="H650" s="8" t="n">
        <f aca="false">SUMIFS('Source'!$E:$E,'Source'!$A:$A,"155138 לקוח אינטרנט",'Source'!$B:$B,$A650)</f>
        <v>198.94</v>
      </c>
      <c r="I650" s="8" t="n">
        <f aca="false">SUMIFS('Source'!$G:$G,'Source'!$A:$A,"155138 לקוח אינטרנט",'Source'!$B:$B,$A650)</f>
        <v>135.53</v>
      </c>
      <c r="J650" s="8" t="n">
        <f aca="false">I650*$J$5</f>
        <v>171.195789473684</v>
      </c>
      <c r="K650" s="8" t="n">
        <f aca="false">J650-H650</f>
        <v>-27.7442105263158</v>
      </c>
      <c r="L650" s="9" t="n">
        <f aca="false">IF(AND(H650=0,J650=0),0,IF(H650=0,"New",(J650-H650)/H650))</f>
        <v>-0.13946019164731</v>
      </c>
      <c r="M650" s="7" t="str">
        <f aca="false">IF(AND(OR(C650&lt;&gt;0,H650&lt;&gt;0),D650=0,I650=0),"DROP",IF(AND(OR(D650&lt;&gt;0,I650&lt;&gt;0),C650=0,H650=0),"NEW",""))</f>
        <v/>
      </c>
    </row>
    <row r="651" customFormat="false" ht="15" hidden="false" customHeight="false" outlineLevel="0" collapsed="false">
      <c r="A651" s="7" t="s">
        <v>740</v>
      </c>
      <c r="B651" s="7" t="str">
        <f aca="false">IFERROR(INDEX('Source'!$C:$C,MATCH($A651,'Source'!$B:$B,0)),"")</f>
        <v>מדבקה לשחרור לחץ</v>
      </c>
      <c r="C651" s="8" t="n">
        <f aca="false">SUMIFS('Source'!$D:$D,'Source'!$A:$A,"155138 לקוח אינטרנט",'Source'!$B:$B,$A651)</f>
        <v>17</v>
      </c>
      <c r="D651" s="8" t="n">
        <f aca="false">SUMIFS('Source'!$F:$F,'Source'!$A:$A,"155138 לקוח אינטרנט",'Source'!$B:$B,$A651)</f>
        <v>13</v>
      </c>
      <c r="E651" s="8" t="n">
        <f aca="false">D651*$J$5</f>
        <v>16.4210526315789</v>
      </c>
      <c r="F651" s="8" t="n">
        <f aca="false">E651-C651</f>
        <v>-0.578947368421055</v>
      </c>
      <c r="G651" s="9" t="n">
        <f aca="false">IF(AND(C651=0,E651=0),0,IF(C651=0,"New",(E651-C651)/C651))</f>
        <v>-0.0340557275541797</v>
      </c>
      <c r="H651" s="8" t="n">
        <f aca="false">SUMIFS('Source'!$E:$E,'Source'!$A:$A,"155138 לקוח אינטרנט",'Source'!$B:$B,$A651)</f>
        <v>546.84</v>
      </c>
      <c r="I651" s="8" t="n">
        <f aca="false">SUMIFS('Source'!$G:$G,'Source'!$A:$A,"155138 לקוח אינטרנט",'Source'!$B:$B,$A651)</f>
        <v>483.62</v>
      </c>
      <c r="J651" s="8" t="n">
        <f aca="false">I651*$J$5</f>
        <v>610.888421052632</v>
      </c>
      <c r="K651" s="8" t="n">
        <f aca="false">J651-H651</f>
        <v>64.0484210526315</v>
      </c>
      <c r="L651" s="9" t="n">
        <f aca="false">IF(AND(H651=0,J651=0),0,IF(H651=0,"New",(J651-H651)/H651))</f>
        <v>0.117124608756915</v>
      </c>
      <c r="M651" s="7" t="str">
        <f aca="false">IF(AND(OR(C651&lt;&gt;0,H651&lt;&gt;0),D651=0,I651=0),"DROP",IF(AND(OR(D651&lt;&gt;0,I651&lt;&gt;0),C651=0,H651=0),"NEW",""))</f>
        <v/>
      </c>
    </row>
    <row r="652" customFormat="false" ht="15" hidden="false" customHeight="false" outlineLevel="0" collapsed="false">
      <c r="A652" s="7" t="s">
        <v>741</v>
      </c>
      <c r="B652" s="7" t="str">
        <f aca="false">IFERROR(INDEX('Source'!$C:$C,MATCH($A652,'Source'!$B:$B,0)),"")</f>
        <v>עקב סיליקון שטוח</v>
      </c>
      <c r="C652" s="8" t="n">
        <f aca="false">SUMIFS('Source'!$D:$D,'Source'!$A:$A,"155138 לקוח אינטרנט",'Source'!$B:$B,$A652)</f>
        <v>7</v>
      </c>
      <c r="D652" s="8" t="n">
        <f aca="false">SUMIFS('Source'!$F:$F,'Source'!$A:$A,"155138 לקוח אינטרנט",'Source'!$B:$B,$A652)</f>
        <v>7</v>
      </c>
      <c r="E652" s="8" t="n">
        <f aca="false">D652*$J$5</f>
        <v>8.84210526315789</v>
      </c>
      <c r="F652" s="8" t="n">
        <f aca="false">E652-C652</f>
        <v>1.84210526315789</v>
      </c>
      <c r="G652" s="9" t="n">
        <f aca="false">IF(AND(C652=0,E652=0),0,IF(C652=0,"New",(E652-C652)/C652))</f>
        <v>0.263157894736842</v>
      </c>
      <c r="H652" s="8" t="n">
        <f aca="false">SUMIFS('Source'!$E:$E,'Source'!$A:$A,"155138 לקוח אינטרנט",'Source'!$B:$B,$A652)</f>
        <v>696.69</v>
      </c>
      <c r="I652" s="8" t="n">
        <f aca="false">SUMIFS('Source'!$G:$G,'Source'!$A:$A,"155138 לקוח אינטרנט",'Source'!$B:$B,$A652)</f>
        <v>759.58</v>
      </c>
      <c r="J652" s="8" t="n">
        <f aca="false">I652*$J$5</f>
        <v>959.469473684211</v>
      </c>
      <c r="K652" s="8" t="n">
        <f aca="false">J652-H652</f>
        <v>262.77947368421</v>
      </c>
      <c r="L652" s="9" t="n">
        <f aca="false">IF(AND(H652=0,J652=0),0,IF(H652=0,"New",(J652-H652)/H652))</f>
        <v>0.377182783855388</v>
      </c>
      <c r="M652" s="7" t="str">
        <f aca="false">IF(AND(OR(C652&lt;&gt;0,H652&lt;&gt;0),D652=0,I652=0),"DROP",IF(AND(OR(D652&lt;&gt;0,I652&lt;&gt;0),C652=0,H652=0),"NEW",""))</f>
        <v/>
      </c>
    </row>
    <row r="653" customFormat="false" ht="15" hidden="false" customHeight="false" outlineLevel="0" collapsed="false">
      <c r="A653" s="7" t="s">
        <v>742</v>
      </c>
      <c r="B653" s="7" t="str">
        <f aca="false">IFERROR(INDEX('Source'!$C:$C,MATCH($A653,'Source'!$B:$B,0)),"")</f>
        <v>כיסוי כרית עיסוי ויטלימד סופט - פלוס אפור בהיר</v>
      </c>
      <c r="C653" s="8" t="n">
        <f aca="false">SUMIFS('Source'!$D:$D,'Source'!$A:$A,"155138 לקוח אינטרנט",'Source'!$B:$B,$A653)</f>
        <v>0</v>
      </c>
      <c r="D653" s="8" t="n">
        <f aca="false">SUMIFS('Source'!$F:$F,'Source'!$A:$A,"155138 לקוח אינטרנט",'Source'!$B:$B,$A653)</f>
        <v>2</v>
      </c>
      <c r="E653" s="8" t="n">
        <f aca="false">D653*$J$5</f>
        <v>2.52631578947368</v>
      </c>
      <c r="F653" s="8" t="n">
        <f aca="false">E653-C653</f>
        <v>2.52631578947368</v>
      </c>
      <c r="G653" s="9" t="str">
        <f aca="false">IF(AND(C653=0,E653=0),0,IF(C653=0,"New",(E653-C653)/C653))</f>
        <v>New</v>
      </c>
      <c r="H653" s="8" t="n">
        <f aca="false">SUMIFS('Source'!$E:$E,'Source'!$A:$A,"155138 לקוח אינטרנט",'Source'!$B:$B,$A653)</f>
        <v>0</v>
      </c>
      <c r="I653" s="8" t="n">
        <f aca="false">SUMIFS('Source'!$G:$G,'Source'!$A:$A,"155138 לקוח אינטרנט",'Source'!$B:$B,$A653)</f>
        <v>60.96</v>
      </c>
      <c r="J653" s="8" t="n">
        <f aca="false">I653*$J$5</f>
        <v>77.0021052631579</v>
      </c>
      <c r="K653" s="8" t="n">
        <f aca="false">J653-H653</f>
        <v>77.0021052631579</v>
      </c>
      <c r="L653" s="9" t="str">
        <f aca="false">IF(AND(H653=0,J653=0),0,IF(H653=0,"New",(J653-H653)/H653))</f>
        <v>New</v>
      </c>
      <c r="M653" s="7" t="str">
        <f aca="false">IF(AND(OR(C653&lt;&gt;0,H653&lt;&gt;0),D653=0,I653=0),"DROP",IF(AND(OR(D653&lt;&gt;0,I653&lt;&gt;0),C653=0,H653=0),"NEW",""))</f>
        <v>NEW</v>
      </c>
    </row>
    <row r="654" customFormat="false" ht="15" hidden="false" customHeight="false" outlineLevel="0" collapsed="false">
      <c r="A654" s="7" t="s">
        <v>743</v>
      </c>
      <c r="B654" s="7" t="str">
        <f aca="false">IFERROR(INDEX('Source'!$C:$C,MATCH($A654,'Source'!$B:$B,0)),"")</f>
        <v>כיסוי מכשיר עיסוי ויטלימד פלקסי חום</v>
      </c>
      <c r="C654" s="8" t="n">
        <f aca="false">SUMIFS('Source'!$D:$D,'Source'!$A:$A,"155138 לקוח אינטרנט",'Source'!$B:$B,$A654)</f>
        <v>0</v>
      </c>
      <c r="D654" s="8" t="n">
        <f aca="false">SUMIFS('Source'!$F:$F,'Source'!$A:$A,"155138 לקוח אינטרנט",'Source'!$B:$B,$A654)</f>
        <v>2</v>
      </c>
      <c r="E654" s="8" t="n">
        <f aca="false">D654*$J$5</f>
        <v>2.52631578947368</v>
      </c>
      <c r="F654" s="8" t="n">
        <f aca="false">E654-C654</f>
        <v>2.52631578947368</v>
      </c>
      <c r="G654" s="9" t="str">
        <f aca="false">IF(AND(C654=0,E654=0),0,IF(C654=0,"New",(E654-C654)/C654))</f>
        <v>New</v>
      </c>
      <c r="H654" s="8" t="n">
        <f aca="false">SUMIFS('Source'!$E:$E,'Source'!$A:$A,"155138 לקוח אינטרנט",'Source'!$B:$B,$A654)</f>
        <v>0</v>
      </c>
      <c r="I654" s="8" t="n">
        <f aca="false">SUMIFS('Source'!$G:$G,'Source'!$A:$A,"155138 לקוח אינטרנט",'Source'!$B:$B,$A654)</f>
        <v>60.94</v>
      </c>
      <c r="J654" s="8" t="n">
        <f aca="false">I654*$J$5</f>
        <v>76.9768421052632</v>
      </c>
      <c r="K654" s="8" t="n">
        <f aca="false">J654-H654</f>
        <v>76.9768421052632</v>
      </c>
      <c r="L654" s="9" t="str">
        <f aca="false">IF(AND(H654=0,J654=0),0,IF(H654=0,"New",(J654-H654)/H654))</f>
        <v>New</v>
      </c>
      <c r="M654" s="7" t="str">
        <f aca="false">IF(AND(OR(C654&lt;&gt;0,H654&lt;&gt;0),D654=0,I654=0),"DROP",IF(AND(OR(D654&lt;&gt;0,I654&lt;&gt;0),C654=0,H654=0),"NEW",""))</f>
        <v>NEW</v>
      </c>
    </row>
    <row r="655" customFormat="false" ht="15" hidden="false" customHeight="false" outlineLevel="0" collapsed="false">
      <c r="A655" s="7" t="s">
        <v>744</v>
      </c>
      <c r="B655" s="7" t="str">
        <f aca="false">IFERROR(INDEX('Source'!$C:$C,MATCH($A655,'Source'!$B:$B,0)),"")</f>
        <v>חגורת אגן  צר מנאופרן</v>
      </c>
      <c r="C655" s="8" t="n">
        <f aca="false">SUMIFS('Source'!$D:$D,'Source'!$A:$A,"155138 לקוח אינטרנט",'Source'!$B:$B,$A655)</f>
        <v>7</v>
      </c>
      <c r="D655" s="8" t="n">
        <f aca="false">SUMIFS('Source'!$F:$F,'Source'!$A:$A,"155138 לקוח אינטרנט",'Source'!$B:$B,$A655)</f>
        <v>7</v>
      </c>
      <c r="E655" s="8" t="n">
        <f aca="false">D655*$J$5</f>
        <v>8.84210526315789</v>
      </c>
      <c r="F655" s="8" t="n">
        <f aca="false">E655-C655</f>
        <v>1.84210526315789</v>
      </c>
      <c r="G655" s="9" t="n">
        <f aca="false">IF(AND(C655=0,E655=0),0,IF(C655=0,"New",(E655-C655)/C655))</f>
        <v>0.263157894736842</v>
      </c>
      <c r="H655" s="8" t="n">
        <f aca="false">SUMIFS('Source'!$E:$E,'Source'!$A:$A,"155138 לקוח אינטרנט",'Source'!$B:$B,$A655)</f>
        <v>1304.95</v>
      </c>
      <c r="I655" s="8" t="n">
        <f aca="false">SUMIFS('Source'!$G:$G,'Source'!$A:$A,"155138 לקוח אינטרנט",'Source'!$B:$B,$A655)</f>
        <v>1365.18</v>
      </c>
      <c r="J655" s="8" t="n">
        <f aca="false">I655*$J$5</f>
        <v>1724.43789473684</v>
      </c>
      <c r="K655" s="8" t="n">
        <f aca="false">J655-H655</f>
        <v>419.487894736842</v>
      </c>
      <c r="L655" s="9" t="n">
        <f aca="false">IF(AND(H655=0,J655=0),0,IF(H655=0,"New",(J655-H655)/H655))</f>
        <v>0.321458979069575</v>
      </c>
      <c r="M655" s="7" t="str">
        <f aca="false">IF(AND(OR(C655&lt;&gt;0,H655&lt;&gt;0),D655=0,I655=0),"DROP",IF(AND(OR(D655&lt;&gt;0,I655&lt;&gt;0),C655=0,H655=0),"NEW",""))</f>
        <v/>
      </c>
    </row>
    <row r="656" customFormat="false" ht="15" hidden="false" customHeight="false" outlineLevel="0" collapsed="false">
      <c r="A656" s="7" t="s">
        <v>745</v>
      </c>
      <c r="B656" s="7" t="str">
        <f aca="false">IFERROR(INDEX('Source'!$C:$C,MATCH($A656,'Source'!$B:$B,0)),"")</f>
        <v>חגורה אחרי ניתוח שחור</v>
      </c>
      <c r="C656" s="8" t="n">
        <f aca="false">SUMIFS('Source'!$D:$D,'Source'!$A:$A,"155138 לקוח אינטרנט",'Source'!$B:$B,$A656)</f>
        <v>2</v>
      </c>
      <c r="D656" s="8" t="n">
        <f aca="false">SUMIFS('Source'!$F:$F,'Source'!$A:$A,"155138 לקוח אינטרנט",'Source'!$B:$B,$A656)</f>
        <v>2</v>
      </c>
      <c r="E656" s="8" t="n">
        <f aca="false">D656*$J$5</f>
        <v>2.52631578947368</v>
      </c>
      <c r="F656" s="8" t="n">
        <f aca="false">E656-C656</f>
        <v>0.526315789473684</v>
      </c>
      <c r="G656" s="9" t="n">
        <f aca="false">IF(AND(C656=0,E656=0),0,IF(C656=0,"New",(E656-C656)/C656))</f>
        <v>0.263157894736842</v>
      </c>
      <c r="H656" s="8" t="n">
        <f aca="false">SUMIFS('Source'!$E:$E,'Source'!$A:$A,"155138 לקוח אינטרנט",'Source'!$B:$B,$A656)</f>
        <v>541.37</v>
      </c>
      <c r="I656" s="8" t="n">
        <f aca="false">SUMIFS('Source'!$G:$G,'Source'!$A:$A,"155138 לקוח אינטרנט",'Source'!$B:$B,$A656)</f>
        <v>601.52</v>
      </c>
      <c r="J656" s="8" t="n">
        <f aca="false">I656*$J$5</f>
        <v>759.814736842105</v>
      </c>
      <c r="K656" s="8" t="n">
        <f aca="false">J656-H656</f>
        <v>218.444736842105</v>
      </c>
      <c r="L656" s="9" t="n">
        <f aca="false">IF(AND(H656=0,J656=0),0,IF(H656=0,"New",(J656-H656)/H656))</f>
        <v>0.403503586903791</v>
      </c>
      <c r="M656" s="7" t="str">
        <f aca="false">IF(AND(OR(C656&lt;&gt;0,H656&lt;&gt;0),D656=0,I656=0),"DROP",IF(AND(OR(D656&lt;&gt;0,I656&lt;&gt;0),C656=0,H656=0),"NEW",""))</f>
        <v/>
      </c>
    </row>
    <row r="657" customFormat="false" ht="15" hidden="false" customHeight="false" outlineLevel="0" collapsed="false">
      <c r="A657" s="7" t="s">
        <v>746</v>
      </c>
      <c r="B657" s="7" t="str">
        <f aca="false">IFERROR(INDEX('Source'!$C:$C,MATCH($A657,'Source'!$B:$B,0)),"")</f>
        <v>מגן ברך עם כרית ג'ל</v>
      </c>
      <c r="C657" s="8" t="n">
        <f aca="false">SUMIFS('Source'!$D:$D,'Source'!$A:$A,"155138 לקוח אינטרנט",'Source'!$B:$B,$A657)</f>
        <v>24</v>
      </c>
      <c r="D657" s="8" t="n">
        <f aca="false">SUMIFS('Source'!$F:$F,'Source'!$A:$A,"155138 לקוח אינטרנט",'Source'!$B:$B,$A657)</f>
        <v>23</v>
      </c>
      <c r="E657" s="8" t="n">
        <f aca="false">D657*$J$5</f>
        <v>29.0526315789474</v>
      </c>
      <c r="F657" s="8" t="n">
        <f aca="false">E657-C657</f>
        <v>5.05263157894737</v>
      </c>
      <c r="G657" s="9" t="n">
        <f aca="false">IF(AND(C657=0,E657=0),0,IF(C657=0,"New",(E657-C657)/C657))</f>
        <v>0.210526315789474</v>
      </c>
      <c r="H657" s="8" t="n">
        <f aca="false">SUMIFS('Source'!$E:$E,'Source'!$A:$A,"155138 לקוח אינטרנט",'Source'!$B:$B,$A657)</f>
        <v>3685.84</v>
      </c>
      <c r="I657" s="8" t="n">
        <f aca="false">SUMIFS('Source'!$G:$G,'Source'!$A:$A,"155138 לקוח אינטרנט",'Source'!$B:$B,$A657)</f>
        <v>3743.91</v>
      </c>
      <c r="J657" s="8" t="n">
        <f aca="false">I657*$J$5</f>
        <v>4729.14947368421</v>
      </c>
      <c r="K657" s="8" t="n">
        <f aca="false">J657-H657</f>
        <v>1043.30947368421</v>
      </c>
      <c r="L657" s="9" t="n">
        <f aca="false">IF(AND(H657=0,J657=0),0,IF(H657=0,"New",(J657-H657)/H657))</f>
        <v>0.283058807133302</v>
      </c>
      <c r="M657" s="7" t="str">
        <f aca="false">IF(AND(OR(C657&lt;&gt;0,H657&lt;&gt;0),D657=0,I657=0),"DROP",IF(AND(OR(D657&lt;&gt;0,I657&lt;&gt;0),C657=0,H657=0),"NEW",""))</f>
        <v/>
      </c>
    </row>
    <row r="658" customFormat="false" ht="15" hidden="false" customHeight="false" outlineLevel="0" collapsed="false">
      <c r="A658" s="7" t="s">
        <v>747</v>
      </c>
      <c r="B658" s="7" t="str">
        <f aca="false">IFERROR(INDEX('Source'!$C:$C,MATCH($A658,'Source'!$B:$B,0)),"")</f>
        <v>כיסוי מכשיר עיסוי ויטלימד פלקסי אפור</v>
      </c>
      <c r="C658" s="8" t="n">
        <f aca="false">SUMIFS('Source'!$D:$D,'Source'!$A:$A,"155138 לקוח אינטרנט",'Source'!$B:$B,$A658)</f>
        <v>0</v>
      </c>
      <c r="D658" s="8" t="n">
        <f aca="false">SUMIFS('Source'!$F:$F,'Source'!$A:$A,"155138 לקוח אינטרנט",'Source'!$B:$B,$A658)</f>
        <v>2</v>
      </c>
      <c r="E658" s="8" t="n">
        <f aca="false">D658*$J$5</f>
        <v>2.52631578947368</v>
      </c>
      <c r="F658" s="8" t="n">
        <f aca="false">E658-C658</f>
        <v>2.52631578947368</v>
      </c>
      <c r="G658" s="9" t="str">
        <f aca="false">IF(AND(C658=0,E658=0),0,IF(C658=0,"New",(E658-C658)/C658))</f>
        <v>New</v>
      </c>
      <c r="H658" s="8" t="n">
        <f aca="false">SUMIFS('Source'!$E:$E,'Source'!$A:$A,"155138 לקוח אינטרנט",'Source'!$B:$B,$A658)</f>
        <v>0</v>
      </c>
      <c r="I658" s="8" t="n">
        <f aca="false">SUMIFS('Source'!$G:$G,'Source'!$A:$A,"155138 לקוח אינטרנט",'Source'!$B:$B,$A658)</f>
        <v>57.56</v>
      </c>
      <c r="J658" s="8" t="n">
        <f aca="false">I658*$J$5</f>
        <v>72.7073684210526</v>
      </c>
      <c r="K658" s="8" t="n">
        <f aca="false">J658-H658</f>
        <v>72.7073684210526</v>
      </c>
      <c r="L658" s="9" t="str">
        <f aca="false">IF(AND(H658=0,J658=0),0,IF(H658=0,"New",(J658-H658)/H658))</f>
        <v>New</v>
      </c>
      <c r="M658" s="7" t="str">
        <f aca="false">IF(AND(OR(C658&lt;&gt;0,H658&lt;&gt;0),D658=0,I658=0),"DROP",IF(AND(OR(D658&lt;&gt;0,I658&lt;&gt;0),C658=0,H658=0),"NEW",""))</f>
        <v>NEW</v>
      </c>
    </row>
    <row r="659" customFormat="false" ht="15" hidden="false" customHeight="false" outlineLevel="0" collapsed="false">
      <c r="A659" s="7" t="s">
        <v>748</v>
      </c>
      <c r="B659" s="7" t="str">
        <f aca="false">IFERROR(INDEX('Source'!$C:$C,MATCH($A659,'Source'!$B:$B,0)),"")</f>
        <v>מגן ירך</v>
      </c>
      <c r="C659" s="8" t="n">
        <f aca="false">SUMIFS('Source'!$D:$D,'Source'!$A:$A,"155138 לקוח אינטרנט",'Source'!$B:$B,$A659)</f>
        <v>3</v>
      </c>
      <c r="D659" s="8" t="n">
        <f aca="false">SUMIFS('Source'!$F:$F,'Source'!$A:$A,"155138 לקוח אינטרנט",'Source'!$B:$B,$A659)</f>
        <v>2</v>
      </c>
      <c r="E659" s="8" t="n">
        <f aca="false">D659*$J$5</f>
        <v>2.52631578947368</v>
      </c>
      <c r="F659" s="8" t="n">
        <f aca="false">E659-C659</f>
        <v>-0.473684210526316</v>
      </c>
      <c r="G659" s="9" t="n">
        <f aca="false">IF(AND(C659=0,E659=0),0,IF(C659=0,"New",(E659-C659)/C659))</f>
        <v>-0.157894736842105</v>
      </c>
      <c r="H659" s="8" t="n">
        <f aca="false">SUMIFS('Source'!$E:$E,'Source'!$A:$A,"155138 לקוח אינטרנט",'Source'!$B:$B,$A659)</f>
        <v>183.63</v>
      </c>
      <c r="I659" s="8" t="n">
        <f aca="false">SUMIFS('Source'!$G:$G,'Source'!$A:$A,"155138 לקוח אינטרנט",'Source'!$B:$B,$A659)</f>
        <v>126.95</v>
      </c>
      <c r="J659" s="8" t="n">
        <f aca="false">I659*$J$5</f>
        <v>160.357894736842</v>
      </c>
      <c r="K659" s="8" t="n">
        <f aca="false">J659-H659</f>
        <v>-23.2721052631579</v>
      </c>
      <c r="L659" s="9" t="n">
        <f aca="false">IF(AND(H659=0,J659=0),0,IF(H659=0,"New",(J659-H659)/H659))</f>
        <v>-0.126733677847617</v>
      </c>
      <c r="M659" s="7" t="str">
        <f aca="false">IF(AND(OR(C659&lt;&gt;0,H659&lt;&gt;0),D659=0,I659=0),"DROP",IF(AND(OR(D659&lt;&gt;0,I659&lt;&gt;0),C659=0,H659=0),"NEW",""))</f>
        <v/>
      </c>
    </row>
    <row r="660" customFormat="false" ht="15" hidden="false" customHeight="false" outlineLevel="0" collapsed="false">
      <c r="A660" s="7" t="s">
        <v>749</v>
      </c>
      <c r="B660" s="7" t="str">
        <f aca="false">IFERROR(INDEX('Source'!$C:$C,MATCH($A660,'Source'!$B:$B,0)),"")</f>
        <v>מגן מרפק</v>
      </c>
      <c r="C660" s="8" t="n">
        <f aca="false">SUMIFS('Source'!$D:$D,'Source'!$A:$A,"155138 לקוח אינטרנט",'Source'!$B:$B,$A660)</f>
        <v>1</v>
      </c>
      <c r="D660" s="8" t="n">
        <f aca="false">SUMIFS('Source'!$F:$F,'Source'!$A:$A,"155138 לקוח אינטרנט",'Source'!$B:$B,$A660)</f>
        <v>0</v>
      </c>
      <c r="E660" s="8" t="n">
        <f aca="false">D660*$J$5</f>
        <v>0</v>
      </c>
      <c r="F660" s="8" t="n">
        <f aca="false">E660-C660</f>
        <v>-1</v>
      </c>
      <c r="G660" s="9" t="n">
        <f aca="false">IF(AND(C660=0,E660=0),0,IF(C660=0,"New",(E660-C660)/C660))</f>
        <v>-1</v>
      </c>
      <c r="H660" s="8" t="n">
        <f aca="false">SUMIFS('Source'!$E:$E,'Source'!$A:$A,"155138 לקוח אינטרנט",'Source'!$B:$B,$A660)</f>
        <v>55.85</v>
      </c>
      <c r="I660" s="8" t="n">
        <f aca="false">SUMIFS('Source'!$G:$G,'Source'!$A:$A,"155138 לקוח אינטרנט",'Source'!$B:$B,$A660)</f>
        <v>0</v>
      </c>
      <c r="J660" s="8" t="n">
        <f aca="false">I660*$J$5</f>
        <v>0</v>
      </c>
      <c r="K660" s="8" t="n">
        <f aca="false">J660-H660</f>
        <v>-55.85</v>
      </c>
      <c r="L660" s="9" t="n">
        <f aca="false">IF(AND(H660=0,J660=0),0,IF(H660=0,"New",(J660-H660)/H660))</f>
        <v>-1</v>
      </c>
      <c r="M660" s="7" t="str">
        <f aca="false">IF(AND(OR(C660&lt;&gt;0,H660&lt;&gt;0),D660=0,I660=0),"DROP",IF(AND(OR(D660&lt;&gt;0,I660&lt;&gt;0),C660=0,H660=0),"NEW",""))</f>
        <v>DROP</v>
      </c>
    </row>
    <row r="661" customFormat="false" ht="15" hidden="false" customHeight="false" outlineLevel="0" collapsed="false">
      <c r="A661" s="7" t="s">
        <v>750</v>
      </c>
      <c r="B661" s="7" t="str">
        <f aca="false">IFERROR(INDEX('Source'!$C:$C,MATCH($A661,'Source'!$B:$B,0)),"")</f>
        <v>חגורת צלעות לאשה</v>
      </c>
      <c r="C661" s="8" t="n">
        <f aca="false">SUMIFS('Source'!$D:$D,'Source'!$A:$A,"155138 לקוח אינטרנט",'Source'!$B:$B,$A661)</f>
        <v>3</v>
      </c>
      <c r="D661" s="8" t="n">
        <f aca="false">SUMIFS('Source'!$F:$F,'Source'!$A:$A,"155138 לקוח אינטרנט",'Source'!$B:$B,$A661)</f>
        <v>3</v>
      </c>
      <c r="E661" s="8" t="n">
        <f aca="false">D661*$J$5</f>
        <v>3.78947368421053</v>
      </c>
      <c r="F661" s="8" t="n">
        <f aca="false">E661-C661</f>
        <v>0.789473684210526</v>
      </c>
      <c r="G661" s="9" t="n">
        <f aca="false">IF(AND(C661=0,E661=0),0,IF(C661=0,"New",(E661-C661)/C661))</f>
        <v>0.263157894736842</v>
      </c>
      <c r="H661" s="8" t="n">
        <f aca="false">SUMIFS('Source'!$E:$E,'Source'!$A:$A,"155138 לקוח אינטרנט",'Source'!$B:$B,$A661)</f>
        <v>709.93</v>
      </c>
      <c r="I661" s="8" t="n">
        <f aca="false">SUMIFS('Source'!$G:$G,'Source'!$A:$A,"155138 לקוח אינטרנט",'Source'!$B:$B,$A661)</f>
        <v>762.46</v>
      </c>
      <c r="J661" s="8" t="n">
        <f aca="false">I661*$J$5</f>
        <v>963.107368421053</v>
      </c>
      <c r="K661" s="8" t="n">
        <f aca="false">J661-H661</f>
        <v>253.177368421053</v>
      </c>
      <c r="L661" s="9" t="n">
        <f aca="false">IF(AND(H661=0,J661=0),0,IF(H661=0,"New",(J661-H661)/H661))</f>
        <v>0.356623002860919</v>
      </c>
      <c r="M661" s="7" t="str">
        <f aca="false">IF(AND(OR(C661&lt;&gt;0,H661&lt;&gt;0),D661=0,I661=0),"DROP",IF(AND(OR(D661&lt;&gt;0,I661&lt;&gt;0),C661=0,H661=0),"NEW",""))</f>
        <v/>
      </c>
    </row>
    <row r="662" customFormat="false" ht="15" hidden="false" customHeight="false" outlineLevel="0" collapsed="false">
      <c r="A662" s="7" t="s">
        <v>751</v>
      </c>
      <c r="B662" s="7" t="str">
        <f aca="false">IFERROR(INDEX('Source'!$C:$C,MATCH($A662,'Source'!$B:$B,0)),"")</f>
        <v>מגן מרפק בז'</v>
      </c>
      <c r="C662" s="8" t="n">
        <f aca="false">SUMIFS('Source'!$D:$D,'Source'!$A:$A,"155138 לקוח אינטרנט",'Source'!$B:$B,$A662)</f>
        <v>2</v>
      </c>
      <c r="D662" s="8" t="n">
        <f aca="false">SUMIFS('Source'!$F:$F,'Source'!$A:$A,"155138 לקוח אינטרנט",'Source'!$B:$B,$A662)</f>
        <v>3</v>
      </c>
      <c r="E662" s="8" t="n">
        <f aca="false">D662*$J$5</f>
        <v>3.78947368421053</v>
      </c>
      <c r="F662" s="8" t="n">
        <f aca="false">E662-C662</f>
        <v>1.78947368421053</v>
      </c>
      <c r="G662" s="9" t="n">
        <f aca="false">IF(AND(C662=0,E662=0),0,IF(C662=0,"New",(E662-C662)/C662))</f>
        <v>0.894736842105263</v>
      </c>
      <c r="H662" s="8" t="n">
        <f aca="false">SUMIFS('Source'!$E:$E,'Source'!$A:$A,"155138 לקוח אינטרנט",'Source'!$B:$B,$A662)</f>
        <v>110</v>
      </c>
      <c r="I662" s="8" t="n">
        <f aca="false">SUMIFS('Source'!$G:$G,'Source'!$A:$A,"155138 לקוח אינטרנט",'Source'!$B:$B,$A662)</f>
        <v>161.96</v>
      </c>
      <c r="J662" s="8" t="n">
        <f aca="false">I662*$J$5</f>
        <v>204.581052631579</v>
      </c>
      <c r="K662" s="8" t="n">
        <f aca="false">J662-H662</f>
        <v>94.581052631579</v>
      </c>
      <c r="L662" s="9" t="n">
        <f aca="false">IF(AND(H662=0,J662=0),0,IF(H662=0,"New",(J662-H662)/H662))</f>
        <v>0.859827751196172</v>
      </c>
      <c r="M662" s="7" t="str">
        <f aca="false">IF(AND(OR(C662&lt;&gt;0,H662&lt;&gt;0),D662=0,I662=0),"DROP",IF(AND(OR(D662&lt;&gt;0,I662&lt;&gt;0),C662=0,H662=0),"NEW",""))</f>
        <v/>
      </c>
    </row>
    <row r="663" customFormat="false" ht="15" hidden="false" customHeight="false" outlineLevel="0" collapsed="false">
      <c r="A663" s="7" t="s">
        <v>752</v>
      </c>
      <c r="B663" s="7" t="str">
        <f aca="false">IFERROR(INDEX('Source'!$C:$C,MATCH($A663,'Source'!$B:$B,0)),"")</f>
        <v>חבק יד מתכוון</v>
      </c>
      <c r="C663" s="8" t="n">
        <f aca="false">SUMIFS('Source'!$D:$D,'Source'!$A:$A,"155138 לקוח אינטרנט",'Source'!$B:$B,$A663)</f>
        <v>3</v>
      </c>
      <c r="D663" s="8" t="n">
        <f aca="false">SUMIFS('Source'!$F:$F,'Source'!$A:$A,"155138 לקוח אינטרנט",'Source'!$B:$B,$A663)</f>
        <v>2</v>
      </c>
      <c r="E663" s="8" t="n">
        <f aca="false">D663*$J$5</f>
        <v>2.52631578947368</v>
      </c>
      <c r="F663" s="8" t="n">
        <f aca="false">E663-C663</f>
        <v>-0.473684210526316</v>
      </c>
      <c r="G663" s="9" t="n">
        <f aca="false">IF(AND(C663=0,E663=0),0,IF(C663=0,"New",(E663-C663)/C663))</f>
        <v>-0.157894736842105</v>
      </c>
      <c r="H663" s="8" t="n">
        <f aca="false">SUMIFS('Source'!$E:$E,'Source'!$A:$A,"155138 לקוח אינטרנט",'Source'!$B:$B,$A663)</f>
        <v>180.1</v>
      </c>
      <c r="I663" s="8" t="n">
        <f aca="false">SUMIFS('Source'!$G:$G,'Source'!$A:$A,"155138 לקוח אינטרנט",'Source'!$B:$B,$A663)</f>
        <v>128.64</v>
      </c>
      <c r="J663" s="8" t="n">
        <f aca="false">I663*$J$5</f>
        <v>162.492631578947</v>
      </c>
      <c r="K663" s="8" t="n">
        <f aca="false">J663-H663</f>
        <v>-17.6073684210527</v>
      </c>
      <c r="L663" s="9" t="n">
        <f aca="false">IF(AND(H663=0,J663=0),0,IF(H663=0,"New",(J663-H663)/H663))</f>
        <v>-0.0977643998947954</v>
      </c>
      <c r="M663" s="7" t="str">
        <f aca="false">IF(AND(OR(C663&lt;&gt;0,H663&lt;&gt;0),D663=0,I663=0),"DROP",IF(AND(OR(D663&lt;&gt;0,I663&lt;&gt;0),C663=0,H663=0),"NEW",""))</f>
        <v/>
      </c>
    </row>
    <row r="664" customFormat="false" ht="15" hidden="false" customHeight="false" outlineLevel="0" collapsed="false">
      <c r="A664" s="7" t="s">
        <v>753</v>
      </c>
      <c r="B664" s="7" t="n">
        <f aca="false">IFERROR(INDEX('Source'!$C:$C,MATCH($A664,'Source'!$B:$B,0)),"")</f>
        <v>0</v>
      </c>
      <c r="C664" s="8" t="n">
        <f aca="false">SUMIFS('Source'!$D:$D,'Source'!$A:$A,"155138 לקוח אינטרנט",'Source'!$B:$B,$A664)</f>
        <v>1</v>
      </c>
      <c r="D664" s="8" t="n">
        <f aca="false">SUMIFS('Source'!$F:$F,'Source'!$A:$A,"155138 לקוח אינטרנט",'Source'!$B:$B,$A664)</f>
        <v>0</v>
      </c>
      <c r="E664" s="8" t="n">
        <f aca="false">D664*$J$5</f>
        <v>0</v>
      </c>
      <c r="F664" s="8" t="n">
        <f aca="false">E664-C664</f>
        <v>-1</v>
      </c>
      <c r="G664" s="9" t="n">
        <f aca="false">IF(AND(C664=0,E664=0),0,IF(C664=0,"New",(E664-C664)/C664))</f>
        <v>-1</v>
      </c>
      <c r="H664" s="8" t="n">
        <f aca="false">SUMIFS('Source'!$E:$E,'Source'!$A:$A,"155138 לקוח אינטרנט",'Source'!$B:$B,$A664)</f>
        <v>51.46</v>
      </c>
      <c r="I664" s="8" t="n">
        <f aca="false">SUMIFS('Source'!$G:$G,'Source'!$A:$A,"155138 לקוח אינטרנט",'Source'!$B:$B,$A664)</f>
        <v>0</v>
      </c>
      <c r="J664" s="8" t="n">
        <f aca="false">I664*$J$5</f>
        <v>0</v>
      </c>
      <c r="K664" s="8" t="n">
        <f aca="false">J664-H664</f>
        <v>-51.46</v>
      </c>
      <c r="L664" s="9" t="n">
        <f aca="false">IF(AND(H664=0,J664=0),0,IF(H664=0,"New",(J664-H664)/H664))</f>
        <v>-1</v>
      </c>
      <c r="M664" s="7" t="str">
        <f aca="false">IF(AND(OR(C664&lt;&gt;0,H664&lt;&gt;0),D664=0,I664=0),"DROP",IF(AND(OR(D664&lt;&gt;0,I664&lt;&gt;0),C664=0,H664=0),"NEW",""))</f>
        <v>DROP</v>
      </c>
    </row>
    <row r="665" customFormat="false" ht="15" hidden="false" customHeight="false" outlineLevel="0" collapsed="false">
      <c r="A665" s="7" t="s">
        <v>754</v>
      </c>
      <c r="B665" s="7" t="str">
        <f aca="false">IFERROR(INDEX('Source'!$C:$C,MATCH($A665,'Source'!$B:$B,0)),"")</f>
        <v>אטלטיק טייפ</v>
      </c>
      <c r="C665" s="8" t="n">
        <f aca="false">SUMIFS('Source'!$D:$D,'Source'!$A:$A,"155138 לקוח אינטרנט",'Source'!$B:$B,$A665)</f>
        <v>6</v>
      </c>
      <c r="D665" s="8" t="n">
        <f aca="false">SUMIFS('Source'!$F:$F,'Source'!$A:$A,"155138 לקוח אינטרנט",'Source'!$B:$B,$A665)</f>
        <v>4</v>
      </c>
      <c r="E665" s="8" t="n">
        <f aca="false">D665*$J$5</f>
        <v>5.05263157894737</v>
      </c>
      <c r="F665" s="8" t="n">
        <f aca="false">E665-C665</f>
        <v>-0.947368421052632</v>
      </c>
      <c r="G665" s="9" t="n">
        <f aca="false">IF(AND(C665=0,E665=0),0,IF(C665=0,"New",(E665-C665)/C665))</f>
        <v>-0.157894736842105</v>
      </c>
      <c r="H665" s="8" t="n">
        <f aca="false">SUMIFS('Source'!$E:$E,'Source'!$A:$A,"155138 לקוח אינטרנט",'Source'!$B:$B,$A665)</f>
        <v>158.5</v>
      </c>
      <c r="I665" s="8" t="n">
        <f aca="false">SUMIFS('Source'!$G:$G,'Source'!$A:$A,"155138 לקוח אינטרנט",'Source'!$B:$B,$A665)</f>
        <v>107.9</v>
      </c>
      <c r="J665" s="8" t="n">
        <f aca="false">I665*$J$5</f>
        <v>136.294736842105</v>
      </c>
      <c r="K665" s="8" t="n">
        <f aca="false">J665-H665</f>
        <v>-22.2052631578947</v>
      </c>
      <c r="L665" s="9" t="n">
        <f aca="false">IF(AND(H665=0,J665=0),0,IF(H665=0,"New",(J665-H665)/H665))</f>
        <v>-0.14009629752615</v>
      </c>
      <c r="M665" s="7" t="str">
        <f aca="false">IF(AND(OR(C665&lt;&gt;0,H665&lt;&gt;0),D665=0,I665=0),"DROP",IF(AND(OR(D665&lt;&gt;0,I665&lt;&gt;0),C665=0,H665=0),"NEW",""))</f>
        <v/>
      </c>
    </row>
    <row r="666" customFormat="false" ht="15" hidden="false" customHeight="false" outlineLevel="0" collapsed="false">
      <c r="A666" s="7" t="s">
        <v>755</v>
      </c>
      <c r="B666" s="7" t="str">
        <f aca="false">IFERROR(INDEX('Source'!$C:$C,MATCH($A666,'Source'!$B:$B,0)),"")</f>
        <v>מגן מרפק SC95</v>
      </c>
      <c r="C666" s="8" t="n">
        <f aca="false">SUMIFS('Source'!$D:$D,'Source'!$A:$A,"155138 לקוח אינטרנט",'Source'!$B:$B,$A666)</f>
        <v>57</v>
      </c>
      <c r="D666" s="8" t="n">
        <f aca="false">SUMIFS('Source'!$F:$F,'Source'!$A:$A,"155138 לקוח אינטרנט",'Source'!$B:$B,$A666)</f>
        <v>49</v>
      </c>
      <c r="E666" s="8" t="n">
        <f aca="false">D666*$J$5</f>
        <v>61.8947368421053</v>
      </c>
      <c r="F666" s="8" t="n">
        <f aca="false">E666-C666</f>
        <v>4.89473684210526</v>
      </c>
      <c r="G666" s="9" t="n">
        <f aca="false">IF(AND(C666=0,E666=0),0,IF(C666=0,"New",(E666-C666)/C666))</f>
        <v>0.0858725761772853</v>
      </c>
      <c r="H666" s="8" t="n">
        <f aca="false">SUMIFS('Source'!$E:$E,'Source'!$A:$A,"155138 לקוח אינטרנט",'Source'!$B:$B,$A666)</f>
        <v>7428.9</v>
      </c>
      <c r="I666" s="8" t="n">
        <f aca="false">SUMIFS('Source'!$G:$G,'Source'!$A:$A,"155138 לקוח אינטרנט",'Source'!$B:$B,$A666)</f>
        <v>7479.33</v>
      </c>
      <c r="J666" s="8" t="n">
        <f aca="false">I666*$J$5</f>
        <v>9447.57473684211</v>
      </c>
      <c r="K666" s="8" t="n">
        <f aca="false">J666-H666</f>
        <v>2018.67473684211</v>
      </c>
      <c r="L666" s="9" t="n">
        <f aca="false">IF(AND(H666=0,J666=0),0,IF(H666=0,"New",(J666-H666)/H666))</f>
        <v>0.271732657168909</v>
      </c>
      <c r="M666" s="7" t="str">
        <f aca="false">IF(AND(OR(C666&lt;&gt;0,H666&lt;&gt;0),D666=0,I666=0),"DROP",IF(AND(OR(D666&lt;&gt;0,I666&lt;&gt;0),C666=0,H666=0),"NEW",""))</f>
        <v/>
      </c>
    </row>
    <row r="667" customFormat="false" ht="15" hidden="false" customHeight="false" outlineLevel="0" collapsed="false">
      <c r="A667" s="7" t="s">
        <v>756</v>
      </c>
      <c r="B667" s="7" t="str">
        <f aca="false">IFERROR(INDEX('Source'!$C:$C,MATCH($A667,'Source'!$B:$B,0)),"")</f>
        <v>מגן מרפק אפור</v>
      </c>
      <c r="C667" s="8" t="n">
        <f aca="false">SUMIFS('Source'!$D:$D,'Source'!$A:$A,"155138 לקוח אינטרנט",'Source'!$B:$B,$A667)</f>
        <v>4</v>
      </c>
      <c r="D667" s="8" t="n">
        <f aca="false">SUMIFS('Source'!$F:$F,'Source'!$A:$A,"155138 לקוח אינטרנט",'Source'!$B:$B,$A667)</f>
        <v>5</v>
      </c>
      <c r="E667" s="8" t="n">
        <f aca="false">D667*$J$5</f>
        <v>6.31578947368421</v>
      </c>
      <c r="F667" s="8" t="n">
        <f aca="false">E667-C667</f>
        <v>2.31578947368421</v>
      </c>
      <c r="G667" s="9" t="n">
        <f aca="false">IF(AND(C667=0,E667=0),0,IF(C667=0,"New",(E667-C667)/C667))</f>
        <v>0.578947368421053</v>
      </c>
      <c r="H667" s="8" t="n">
        <f aca="false">SUMIFS('Source'!$E:$E,'Source'!$A:$A,"155138 לקוח אינטרנט",'Source'!$B:$B,$A667)</f>
        <v>223</v>
      </c>
      <c r="I667" s="8" t="n">
        <f aca="false">SUMIFS('Source'!$G:$G,'Source'!$A:$A,"155138 לקוח אינטרנט",'Source'!$B:$B,$A667)</f>
        <v>177.06</v>
      </c>
      <c r="J667" s="8" t="n">
        <f aca="false">I667*$J$5</f>
        <v>223.654736842105</v>
      </c>
      <c r="K667" s="8" t="n">
        <f aca="false">J667-H667</f>
        <v>0.654736842105251</v>
      </c>
      <c r="L667" s="9" t="n">
        <f aca="false">IF(AND(H667=0,J667=0),0,IF(H667=0,"New",(J667-H667)/H667))</f>
        <v>0.00293603965069619</v>
      </c>
      <c r="M667" s="7" t="str">
        <f aca="false">IF(AND(OR(C667&lt;&gt;0,H667&lt;&gt;0),D667=0,I667=0),"DROP",IF(AND(OR(D667&lt;&gt;0,I667&lt;&gt;0),C667=0,H667=0),"NEW",""))</f>
        <v/>
      </c>
    </row>
    <row r="668" customFormat="false" ht="15" hidden="false" customHeight="false" outlineLevel="0" collapsed="false">
      <c r="A668" s="7" t="s">
        <v>757</v>
      </c>
      <c r="B668" s="7" t="str">
        <f aca="false">IFERROR(INDEX('Source'!$C:$C,MATCH($A668,'Source'!$B:$B,0)),"")</f>
        <v>מגן לכתף ימין/שמאל</v>
      </c>
      <c r="C668" s="8" t="n">
        <f aca="false">SUMIFS('Source'!$D:$D,'Source'!$A:$A,"155138 לקוח אינטרנט",'Source'!$B:$B,$A668)</f>
        <v>5</v>
      </c>
      <c r="D668" s="8" t="n">
        <f aca="false">SUMIFS('Source'!$F:$F,'Source'!$A:$A,"155138 לקוח אינטרנט",'Source'!$B:$B,$A668)</f>
        <v>5</v>
      </c>
      <c r="E668" s="8" t="n">
        <f aca="false">D668*$J$5</f>
        <v>6.31578947368421</v>
      </c>
      <c r="F668" s="8" t="n">
        <f aca="false">E668-C668</f>
        <v>1.31578947368421</v>
      </c>
      <c r="G668" s="9" t="n">
        <f aca="false">IF(AND(C668=0,E668=0),0,IF(C668=0,"New",(E668-C668)/C668))</f>
        <v>0.263157894736842</v>
      </c>
      <c r="H668" s="8" t="n">
        <f aca="false">SUMIFS('Source'!$E:$E,'Source'!$A:$A,"155138 לקוח אינטרנט",'Source'!$B:$B,$A668)</f>
        <v>1653.83</v>
      </c>
      <c r="I668" s="8" t="n">
        <f aca="false">SUMIFS('Source'!$G:$G,'Source'!$A:$A,"155138 לקוח אינטרנט",'Source'!$B:$B,$A668)</f>
        <v>1609.78</v>
      </c>
      <c r="J668" s="8" t="n">
        <f aca="false">I668*$J$5</f>
        <v>2033.40631578947</v>
      </c>
      <c r="K668" s="8" t="n">
        <f aca="false">J668-H668</f>
        <v>379.576315789474</v>
      </c>
      <c r="L668" s="9" t="n">
        <f aca="false">IF(AND(H668=0,J668=0),0,IF(H668=0,"New",(J668-H668)/H668))</f>
        <v>0.229513502469706</v>
      </c>
      <c r="M668" s="7" t="str">
        <f aca="false">IF(AND(OR(C668&lt;&gt;0,H668&lt;&gt;0),D668=0,I668=0),"DROP",IF(AND(OR(D668&lt;&gt;0,I668&lt;&gt;0),C668=0,H668=0),"NEW",""))</f>
        <v/>
      </c>
    </row>
    <row r="669" customFormat="false" ht="15" hidden="false" customHeight="false" outlineLevel="0" collapsed="false">
      <c r="A669" s="7" t="s">
        <v>758</v>
      </c>
      <c r="B669" s="7" t="str">
        <f aca="false">IFERROR(INDEX('Source'!$C:$C,MATCH($A669,'Source'!$B:$B,0)),"")</f>
        <v>מגן קרסול+ עקב סגור+רצועות</v>
      </c>
      <c r="C669" s="8" t="n">
        <f aca="false">SUMIFS('Source'!$D:$D,'Source'!$A:$A,"155138 לקוח אינטרנט",'Source'!$B:$B,$A669)</f>
        <v>6</v>
      </c>
      <c r="D669" s="8" t="n">
        <f aca="false">SUMIFS('Source'!$F:$F,'Source'!$A:$A,"155138 לקוח אינטרנט",'Source'!$B:$B,$A669)</f>
        <v>6</v>
      </c>
      <c r="E669" s="8" t="n">
        <f aca="false">D669*$J$5</f>
        <v>7.57894736842105</v>
      </c>
      <c r="F669" s="8" t="n">
        <f aca="false">E669-C669</f>
        <v>1.57894736842105</v>
      </c>
      <c r="G669" s="9" t="n">
        <f aca="false">IF(AND(C669=0,E669=0),0,IF(C669=0,"New",(E669-C669)/C669))</f>
        <v>0.263157894736842</v>
      </c>
      <c r="H669" s="8" t="n">
        <f aca="false">SUMIFS('Source'!$E:$E,'Source'!$A:$A,"155138 לקוח אינטרנט",'Source'!$B:$B,$A669)</f>
        <v>693.58</v>
      </c>
      <c r="I669" s="8" t="n">
        <f aca="false">SUMIFS('Source'!$G:$G,'Source'!$A:$A,"155138 לקוח אינטרנט",'Source'!$B:$B,$A669)</f>
        <v>736.81</v>
      </c>
      <c r="J669" s="8" t="n">
        <f aca="false">I669*$J$5</f>
        <v>930.707368421053</v>
      </c>
      <c r="K669" s="8" t="n">
        <f aca="false">J669-H669</f>
        <v>237.127368421053</v>
      </c>
      <c r="L669" s="9" t="n">
        <f aca="false">IF(AND(H669=0,J669=0),0,IF(H669=0,"New",(J669-H669)/H669))</f>
        <v>0.34188899394598</v>
      </c>
      <c r="M669" s="7" t="str">
        <f aca="false">IF(AND(OR(C669&lt;&gt;0,H669&lt;&gt;0),D669=0,I669=0),"DROP",IF(AND(OR(D669&lt;&gt;0,I669&lt;&gt;0),C669=0,H669=0),"NEW",""))</f>
        <v/>
      </c>
    </row>
    <row r="670" customFormat="false" ht="15" hidden="false" customHeight="false" outlineLevel="0" collapsed="false">
      <c r="A670" s="7" t="s">
        <v>759</v>
      </c>
      <c r="B670" s="7" t="str">
        <f aca="false">IFERROR(INDEX('Source'!$C:$C,MATCH($A670,'Source'!$B:$B,0)),"")</f>
        <v>מגן קרסול ימין SC35</v>
      </c>
      <c r="C670" s="8" t="n">
        <f aca="false">SUMIFS('Source'!$D:$D,'Source'!$A:$A,"155138 לקוח אינטרנט",'Source'!$B:$B,$A670)</f>
        <v>2</v>
      </c>
      <c r="D670" s="8" t="n">
        <f aca="false">SUMIFS('Source'!$F:$F,'Source'!$A:$A,"155138 לקוח אינטרנט",'Source'!$B:$B,$A670)</f>
        <v>2</v>
      </c>
      <c r="E670" s="8" t="n">
        <f aca="false">D670*$J$5</f>
        <v>2.52631578947368</v>
      </c>
      <c r="F670" s="8" t="n">
        <f aca="false">E670-C670</f>
        <v>0.526315789473684</v>
      </c>
      <c r="G670" s="9" t="n">
        <f aca="false">IF(AND(C670=0,E670=0),0,IF(C670=0,"New",(E670-C670)/C670))</f>
        <v>0.263157894736842</v>
      </c>
      <c r="H670" s="8" t="n">
        <f aca="false">SUMIFS('Source'!$E:$E,'Source'!$A:$A,"155138 לקוח אינטרנט",'Source'!$B:$B,$A670)</f>
        <v>279.5</v>
      </c>
      <c r="I670" s="8" t="n">
        <f aca="false">SUMIFS('Source'!$G:$G,'Source'!$A:$A,"155138 לקוח אינטרנט",'Source'!$B:$B,$A670)</f>
        <v>321.87</v>
      </c>
      <c r="J670" s="8" t="n">
        <f aca="false">I670*$J$5</f>
        <v>406.572631578947</v>
      </c>
      <c r="K670" s="8" t="n">
        <f aca="false">J670-H670</f>
        <v>127.072631578947</v>
      </c>
      <c r="L670" s="9" t="n">
        <f aca="false">IF(AND(H670=0,J670=0),0,IF(H670=0,"New",(J670-H670)/H670))</f>
        <v>0.454642689012334</v>
      </c>
      <c r="M670" s="7" t="str">
        <f aca="false">IF(AND(OR(C670&lt;&gt;0,H670&lt;&gt;0),D670=0,I670=0),"DROP",IF(AND(OR(D670&lt;&gt;0,I670&lt;&gt;0),C670=0,H670=0),"NEW",""))</f>
        <v/>
      </c>
    </row>
    <row r="671" customFormat="false" ht="15" hidden="false" customHeight="false" outlineLevel="0" collapsed="false">
      <c r="A671" s="7" t="s">
        <v>760</v>
      </c>
      <c r="B671" s="7" t="str">
        <f aca="false">IFERROR(INDEX('Source'!$C:$C,MATCH($A671,'Source'!$B:$B,0)),"")</f>
        <v>חגורת שרוכים</v>
      </c>
      <c r="C671" s="8" t="n">
        <f aca="false">SUMIFS('Source'!$D:$D,'Source'!$A:$A,"155138 לקוח אינטרנט",'Source'!$B:$B,$A671)</f>
        <v>2</v>
      </c>
      <c r="D671" s="8" t="n">
        <f aca="false">SUMIFS('Source'!$F:$F,'Source'!$A:$A,"155138 לקוח אינטרנט",'Source'!$B:$B,$A671)</f>
        <v>2</v>
      </c>
      <c r="E671" s="8" t="n">
        <f aca="false">D671*$J$5</f>
        <v>2.52631578947368</v>
      </c>
      <c r="F671" s="8" t="n">
        <f aca="false">E671-C671</f>
        <v>0.526315789473684</v>
      </c>
      <c r="G671" s="9" t="n">
        <f aca="false">IF(AND(C671=0,E671=0),0,IF(C671=0,"New",(E671-C671)/C671))</f>
        <v>0.263157894736842</v>
      </c>
      <c r="H671" s="8" t="n">
        <f aca="false">SUMIFS('Source'!$E:$E,'Source'!$A:$A,"155138 לקוח אינטרנט",'Source'!$B:$B,$A671)</f>
        <v>346.49</v>
      </c>
      <c r="I671" s="8" t="n">
        <f aca="false">SUMIFS('Source'!$G:$G,'Source'!$A:$A,"155138 לקוח אינטרנט",'Source'!$B:$B,$A671)</f>
        <v>304.92</v>
      </c>
      <c r="J671" s="8" t="n">
        <f aca="false">I671*$J$5</f>
        <v>385.162105263158</v>
      </c>
      <c r="K671" s="8" t="n">
        <f aca="false">J671-H671</f>
        <v>38.6721052631579</v>
      </c>
      <c r="L671" s="9" t="n">
        <f aca="false">IF(AND(H671=0,J671=0),0,IF(H671=0,"New",(J671-H671)/H671))</f>
        <v>0.111611028494785</v>
      </c>
      <c r="M671" s="7" t="str">
        <f aca="false">IF(AND(OR(C671&lt;&gt;0,H671&lt;&gt;0),D671=0,I671=0),"DROP",IF(AND(OR(D671&lt;&gt;0,I671&lt;&gt;0),C671=0,H671=0),"NEW",""))</f>
        <v/>
      </c>
    </row>
    <row r="672" customFormat="false" ht="15" hidden="false" customHeight="false" outlineLevel="0" collapsed="false">
      <c r="A672" s="7" t="s">
        <v>761</v>
      </c>
      <c r="B672" s="7" t="str">
        <f aca="false">IFERROR(INDEX('Source'!$C:$C,MATCH($A672,'Source'!$B:$B,0)),"")</f>
        <v>תחבושת אלסטית נצמדת צבע וורוד</v>
      </c>
      <c r="C672" s="8" t="n">
        <f aca="false">SUMIFS('Source'!$D:$D,'Source'!$A:$A,"155138 לקוח אינטרנט",'Source'!$B:$B,$A672)</f>
        <v>3</v>
      </c>
      <c r="D672" s="8" t="n">
        <f aca="false">SUMIFS('Source'!$F:$F,'Source'!$A:$A,"155138 לקוח אינטרנט",'Source'!$B:$B,$A672)</f>
        <v>5</v>
      </c>
      <c r="E672" s="8" t="n">
        <f aca="false">D672*$J$5</f>
        <v>6.31578947368421</v>
      </c>
      <c r="F672" s="8" t="n">
        <f aca="false">E672-C672</f>
        <v>3.31578947368421</v>
      </c>
      <c r="G672" s="9" t="n">
        <f aca="false">IF(AND(C672=0,E672=0),0,IF(C672=0,"New",(E672-C672)/C672))</f>
        <v>1.10526315789474</v>
      </c>
      <c r="H672" s="8" t="n">
        <f aca="false">SUMIFS('Source'!$E:$E,'Source'!$A:$A,"155138 לקוח אינטרנט",'Source'!$B:$B,$A672)</f>
        <v>59.28</v>
      </c>
      <c r="I672" s="8" t="n">
        <f aca="false">SUMIFS('Source'!$G:$G,'Source'!$A:$A,"155138 לקוח אינטרנט",'Source'!$B:$B,$A672)</f>
        <v>100.32</v>
      </c>
      <c r="J672" s="8" t="n">
        <f aca="false">I672*$J$5</f>
        <v>126.72</v>
      </c>
      <c r="K672" s="8" t="n">
        <f aca="false">J672-H672</f>
        <v>67.44</v>
      </c>
      <c r="L672" s="9" t="n">
        <f aca="false">IF(AND(H672=0,J672=0),0,IF(H672=0,"New",(J672-H672)/H672))</f>
        <v>1.13765182186235</v>
      </c>
      <c r="M672" s="7" t="str">
        <f aca="false">IF(AND(OR(C672&lt;&gt;0,H672&lt;&gt;0),D672=0,I672=0),"DROP",IF(AND(OR(D672&lt;&gt;0,I672&lt;&gt;0),C672=0,H672=0),"NEW",""))</f>
        <v/>
      </c>
    </row>
    <row r="673" customFormat="false" ht="15" hidden="false" customHeight="false" outlineLevel="0" collapsed="false">
      <c r="A673" s="7" t="s">
        <v>762</v>
      </c>
      <c r="B673" s="7" t="str">
        <f aca="false">IFERROR(INDEX('Source'!$C:$C,MATCH($A673,'Source'!$B:$B,0)),"")</f>
        <v>מדרס ג'ל ספורט לאשה</v>
      </c>
      <c r="C673" s="8" t="n">
        <f aca="false">SUMIFS('Source'!$D:$D,'Source'!$A:$A,"155138 לקוח אינטרנט",'Source'!$B:$B,$A673)</f>
        <v>3</v>
      </c>
      <c r="D673" s="8" t="n">
        <f aca="false">SUMIFS('Source'!$F:$F,'Source'!$A:$A,"155138 לקוח אינטרנט",'Source'!$B:$B,$A673)</f>
        <v>4</v>
      </c>
      <c r="E673" s="8" t="n">
        <f aca="false">D673*$J$5</f>
        <v>5.05263157894737</v>
      </c>
      <c r="F673" s="8" t="n">
        <f aca="false">E673-C673</f>
        <v>2.05263157894737</v>
      </c>
      <c r="G673" s="9" t="n">
        <f aca="false">IF(AND(C673=0,E673=0),0,IF(C673=0,"New",(E673-C673)/C673))</f>
        <v>0.684210526315789</v>
      </c>
      <c r="H673" s="8" t="n">
        <f aca="false">SUMIFS('Source'!$E:$E,'Source'!$A:$A,"155138 לקוח אינטרנט",'Source'!$B:$B,$A673)</f>
        <v>347.57</v>
      </c>
      <c r="I673" s="8" t="n">
        <f aca="false">SUMIFS('Source'!$G:$G,'Source'!$A:$A,"155138 לקוח אינטרנט",'Source'!$B:$B,$A673)</f>
        <v>386.2</v>
      </c>
      <c r="J673" s="8" t="n">
        <f aca="false">I673*$J$5</f>
        <v>487.831578947368</v>
      </c>
      <c r="K673" s="8" t="n">
        <f aca="false">J673-H673</f>
        <v>140.261578947368</v>
      </c>
      <c r="L673" s="9" t="n">
        <f aca="false">IF(AND(H673=0,J673=0),0,IF(H673=0,"New",(J673-H673)/H673))</f>
        <v>0.40354915253724</v>
      </c>
      <c r="M673" s="7" t="str">
        <f aca="false">IF(AND(OR(C673&lt;&gt;0,H673&lt;&gt;0),D673=0,I673=0),"DROP",IF(AND(OR(D673&lt;&gt;0,I673&lt;&gt;0),C673=0,H673=0),"NEW",""))</f>
        <v/>
      </c>
    </row>
    <row r="674" customFormat="false" ht="15" hidden="false" customHeight="false" outlineLevel="0" collapsed="false">
      <c r="A674" s="7" t="s">
        <v>763</v>
      </c>
      <c r="B674" s="7" t="str">
        <f aca="false">IFERROR(INDEX('Source'!$C:$C,MATCH($A674,'Source'!$B:$B,0)),"")</f>
        <v>חגורת גב+סגירה כפולה</v>
      </c>
      <c r="C674" s="8" t="n">
        <f aca="false">SUMIFS('Source'!$D:$D,'Source'!$A:$A,"155138 לקוח אינטרנט",'Source'!$B:$B,$A674)</f>
        <v>11</v>
      </c>
      <c r="D674" s="8" t="n">
        <f aca="false">SUMIFS('Source'!$F:$F,'Source'!$A:$A,"155138 לקוח אינטרנט",'Source'!$B:$B,$A674)</f>
        <v>12</v>
      </c>
      <c r="E674" s="8" t="n">
        <f aca="false">D674*$J$5</f>
        <v>15.1578947368421</v>
      </c>
      <c r="F674" s="8" t="n">
        <f aca="false">E674-C674</f>
        <v>4.1578947368421</v>
      </c>
      <c r="G674" s="9" t="n">
        <f aca="false">IF(AND(C674=0,E674=0),0,IF(C674=0,"New",(E674-C674)/C674))</f>
        <v>0.37799043062201</v>
      </c>
      <c r="H674" s="8" t="n">
        <f aca="false">SUMIFS('Source'!$E:$E,'Source'!$A:$A,"155138 לקוח אינטרנט",'Source'!$B:$B,$A674)</f>
        <v>2420.12</v>
      </c>
      <c r="I674" s="8" t="n">
        <f aca="false">SUMIFS('Source'!$G:$G,'Source'!$A:$A,"155138 לקוח אינטרנט",'Source'!$B:$B,$A674)</f>
        <v>2456.65</v>
      </c>
      <c r="J674" s="8" t="n">
        <f aca="false">I674*$J$5</f>
        <v>3103.13684210526</v>
      </c>
      <c r="K674" s="8" t="n">
        <f aca="false">J674-H674</f>
        <v>683.016842105263</v>
      </c>
      <c r="L674" s="9" t="n">
        <f aca="false">IF(AND(H674=0,J674=0),0,IF(H674=0,"New",(J674-H674)/H674))</f>
        <v>0.282224369909452</v>
      </c>
      <c r="M674" s="7" t="str">
        <f aca="false">IF(AND(OR(C674&lt;&gt;0,H674&lt;&gt;0),D674=0,I674=0),"DROP",IF(AND(OR(D674&lt;&gt;0,I674&lt;&gt;0),C674=0,H674=0),"NEW",""))</f>
        <v/>
      </c>
    </row>
    <row r="675" customFormat="false" ht="15" hidden="false" customHeight="false" outlineLevel="0" collapsed="false">
      <c r="A675" s="7" t="s">
        <v>764</v>
      </c>
      <c r="B675" s="7" t="str">
        <f aca="false">IFERROR(INDEX('Source'!$C:$C,MATCH($A675,'Source'!$B:$B,0)),"")</f>
        <v>מגן ברך חום</v>
      </c>
      <c r="C675" s="8" t="n">
        <f aca="false">SUMIFS('Source'!$D:$D,'Source'!$A:$A,"155138 לקוח אינטרנט",'Source'!$B:$B,$A675)</f>
        <v>3</v>
      </c>
      <c r="D675" s="8" t="n">
        <f aca="false">SUMIFS('Source'!$F:$F,'Source'!$A:$A,"155138 לקוח אינטרנט",'Source'!$B:$B,$A675)</f>
        <v>2</v>
      </c>
      <c r="E675" s="8" t="n">
        <f aca="false">D675*$J$5</f>
        <v>2.52631578947368</v>
      </c>
      <c r="F675" s="8" t="n">
        <f aca="false">E675-C675</f>
        <v>-0.473684210526316</v>
      </c>
      <c r="G675" s="9" t="n">
        <f aca="false">IF(AND(C675=0,E675=0),0,IF(C675=0,"New",(E675-C675)/C675))</f>
        <v>-0.157894736842105</v>
      </c>
      <c r="H675" s="8" t="n">
        <f aca="false">SUMIFS('Source'!$E:$E,'Source'!$A:$A,"155138 לקוח אינטרנט",'Source'!$B:$B,$A675)</f>
        <v>139.63</v>
      </c>
      <c r="I675" s="8" t="n">
        <f aca="false">SUMIFS('Source'!$G:$G,'Source'!$A:$A,"155138 לקוח אינטרנט",'Source'!$B:$B,$A675)</f>
        <v>106.11</v>
      </c>
      <c r="J675" s="8" t="n">
        <f aca="false">I675*$J$5</f>
        <v>134.033684210526</v>
      </c>
      <c r="K675" s="8" t="n">
        <f aca="false">J675-H675</f>
        <v>-5.59631578947369</v>
      </c>
      <c r="L675" s="9" t="n">
        <f aca="false">IF(AND(H675=0,J675=0),0,IF(H675=0,"New",(J675-H675)/H675))</f>
        <v>-0.0400796088911673</v>
      </c>
      <c r="M675" s="7" t="str">
        <f aca="false">IF(AND(OR(C675&lt;&gt;0,H675&lt;&gt;0),D675=0,I675=0),"DROP",IF(AND(OR(D675&lt;&gt;0,I675&lt;&gt;0),C675=0,H675=0),"NEW",""))</f>
        <v/>
      </c>
    </row>
    <row r="676" customFormat="false" ht="15" hidden="false" customHeight="false" outlineLevel="0" collapsed="false">
      <c r="A676" s="7" t="s">
        <v>765</v>
      </c>
      <c r="B676" s="7" t="str">
        <f aca="false">IFERROR(INDEX('Source'!$C:$C,MATCH($A676,'Source'!$B:$B,0)),"")</f>
        <v>URIEL STRAP4U TR L-XL</v>
      </c>
      <c r="C676" s="8" t="n">
        <f aca="false">SUMIFS('Source'!$D:$D,'Source'!$A:$A,"155138 לקוח אינטרנט",'Source'!$B:$B,$A676)</f>
        <v>3</v>
      </c>
      <c r="D676" s="8" t="n">
        <f aca="false">SUMIFS('Source'!$F:$F,'Source'!$A:$A,"155138 לקוח אינטרנט",'Source'!$B:$B,$A676)</f>
        <v>2</v>
      </c>
      <c r="E676" s="8" t="n">
        <f aca="false">D676*$J$5</f>
        <v>2.52631578947368</v>
      </c>
      <c r="F676" s="8" t="n">
        <f aca="false">E676-C676</f>
        <v>-0.473684210526316</v>
      </c>
      <c r="G676" s="9" t="n">
        <f aca="false">IF(AND(C676=0,E676=0),0,IF(C676=0,"New",(E676-C676)/C676))</f>
        <v>-0.157894736842105</v>
      </c>
      <c r="H676" s="8" t="n">
        <f aca="false">SUMIFS('Source'!$E:$E,'Source'!$A:$A,"155138 לקוח אינטרנט",'Source'!$B:$B,$A676)</f>
        <v>98.78</v>
      </c>
      <c r="I676" s="8" t="n">
        <f aca="false">SUMIFS('Source'!$G:$G,'Source'!$A:$A,"155138 לקוח אינטרנט",'Source'!$B:$B,$A676)</f>
        <v>65.85</v>
      </c>
      <c r="J676" s="8" t="n">
        <f aca="false">I676*$J$5</f>
        <v>83.178947368421</v>
      </c>
      <c r="K676" s="8" t="n">
        <f aca="false">J676-H676</f>
        <v>-15.601052631579</v>
      </c>
      <c r="L676" s="9" t="n">
        <f aca="false">IF(AND(H676=0,J676=0),0,IF(H676=0,"New",(J676-H676)/H676))</f>
        <v>-0.157937362133822</v>
      </c>
      <c r="M676" s="7" t="str">
        <f aca="false">IF(AND(OR(C676&lt;&gt;0,H676&lt;&gt;0),D676=0,I676=0),"DROP",IF(AND(OR(D676&lt;&gt;0,I676&lt;&gt;0),C676=0,H676=0),"NEW",""))</f>
        <v/>
      </c>
    </row>
    <row r="677" customFormat="false" ht="15" hidden="false" customHeight="false" outlineLevel="0" collapsed="false">
      <c r="A677" s="7" t="s">
        <v>766</v>
      </c>
      <c r="B677" s="7" t="str">
        <f aca="false">IFERROR(INDEX('Source'!$C:$C,MATCH($A677,'Source'!$B:$B,0)),"")</f>
        <v>מגן ברך ארוך</v>
      </c>
      <c r="C677" s="8" t="n">
        <f aca="false">SUMIFS('Source'!$D:$D,'Source'!$A:$A,"155138 לקוח אינטרנט",'Source'!$B:$B,$A677)</f>
        <v>6</v>
      </c>
      <c r="D677" s="8" t="n">
        <f aca="false">SUMIFS('Source'!$F:$F,'Source'!$A:$A,"155138 לקוח אינטרנט",'Source'!$B:$B,$A677)</f>
        <v>5</v>
      </c>
      <c r="E677" s="8" t="n">
        <f aca="false">D677*$J$5</f>
        <v>6.31578947368421</v>
      </c>
      <c r="F677" s="8" t="n">
        <f aca="false">E677-C677</f>
        <v>0.315789473684211</v>
      </c>
      <c r="G677" s="9" t="n">
        <f aca="false">IF(AND(C677=0,E677=0),0,IF(C677=0,"New",(E677-C677)/C677))</f>
        <v>0.0526315789473684</v>
      </c>
      <c r="H677" s="8" t="n">
        <f aca="false">SUMIFS('Source'!$E:$E,'Source'!$A:$A,"155138 לקוח אינטרנט",'Source'!$B:$B,$A677)</f>
        <v>363.1</v>
      </c>
      <c r="I677" s="8" t="n">
        <f aca="false">SUMIFS('Source'!$G:$G,'Source'!$A:$A,"155138 לקוח אינטרנט",'Source'!$B:$B,$A677)</f>
        <v>331.78</v>
      </c>
      <c r="J677" s="8" t="n">
        <f aca="false">I677*$J$5</f>
        <v>419.090526315789</v>
      </c>
      <c r="K677" s="8" t="n">
        <f aca="false">J677-H677</f>
        <v>55.9905263157894</v>
      </c>
      <c r="L677" s="9" t="n">
        <f aca="false">IF(AND(H677=0,J677=0),0,IF(H677=0,"New",(J677-H677)/H677))</f>
        <v>0.154201394425198</v>
      </c>
      <c r="M677" s="7" t="str">
        <f aca="false">IF(AND(OR(C677&lt;&gt;0,H677&lt;&gt;0),D677=0,I677=0),"DROP",IF(AND(OR(D677&lt;&gt;0,I677&lt;&gt;0),C677=0,H677=0),"NEW",""))</f>
        <v/>
      </c>
    </row>
    <row r="678" customFormat="false" ht="15" hidden="false" customHeight="false" outlineLevel="0" collapsed="false">
      <c r="A678" s="7" t="s">
        <v>767</v>
      </c>
      <c r="B678" s="7" t="str">
        <f aca="false">IFERROR(INDEX('Source'!$C:$C,MATCH($A678,'Source'!$B:$B,0)),"")</f>
        <v>מגן מרפק בז'</v>
      </c>
      <c r="C678" s="8" t="n">
        <f aca="false">SUMIFS('Source'!$D:$D,'Source'!$A:$A,"155138 לקוח אינטרנט",'Source'!$B:$B,$A678)</f>
        <v>1</v>
      </c>
      <c r="D678" s="8" t="n">
        <f aca="false">SUMIFS('Source'!$F:$F,'Source'!$A:$A,"155138 לקוח אינטרנט",'Source'!$B:$B,$A678)</f>
        <v>1</v>
      </c>
      <c r="E678" s="8" t="n">
        <f aca="false">D678*$J$5</f>
        <v>1.26315789473684</v>
      </c>
      <c r="F678" s="8" t="n">
        <f aca="false">E678-C678</f>
        <v>0.263157894736842</v>
      </c>
      <c r="G678" s="9" t="n">
        <f aca="false">IF(AND(C678=0,E678=0),0,IF(C678=0,"New",(E678-C678)/C678))</f>
        <v>0.263157894736842</v>
      </c>
      <c r="H678" s="8" t="n">
        <f aca="false">SUMIFS('Source'!$E:$E,'Source'!$A:$A,"155138 לקוח אינטרנט",'Source'!$B:$B,$A678)</f>
        <v>55.85</v>
      </c>
      <c r="I678" s="8" t="n">
        <f aca="false">SUMIFS('Source'!$G:$G,'Source'!$A:$A,"155138 לקוח אינטרנט",'Source'!$B:$B,$A678)</f>
        <v>25.34</v>
      </c>
      <c r="J678" s="8" t="n">
        <f aca="false">I678*$J$5</f>
        <v>32.0084210526316</v>
      </c>
      <c r="K678" s="8" t="n">
        <f aca="false">J678-H678</f>
        <v>-23.8415789473684</v>
      </c>
      <c r="L678" s="9" t="n">
        <f aca="false">IF(AND(H678=0,J678=0),0,IF(H678=0,"New",(J678-H678)/H678))</f>
        <v>-0.426885925646704</v>
      </c>
      <c r="M678" s="7" t="str">
        <f aca="false">IF(AND(OR(C678&lt;&gt;0,H678&lt;&gt;0),D678=0,I678=0),"DROP",IF(AND(OR(D678&lt;&gt;0,I678&lt;&gt;0),C678=0,H678=0),"NEW",""))</f>
        <v/>
      </c>
    </row>
    <row r="679" customFormat="false" ht="15" hidden="false" customHeight="false" outlineLevel="0" collapsed="false">
      <c r="A679" s="7" t="s">
        <v>768</v>
      </c>
      <c r="B679" s="7" t="str">
        <f aca="false">IFERROR(INDEX('Source'!$C:$C,MATCH($A679,'Source'!$B:$B,0)),"")</f>
        <v>מישר כתפיים</v>
      </c>
      <c r="C679" s="8" t="n">
        <f aca="false">SUMIFS('Source'!$D:$D,'Source'!$A:$A,"155138 לקוח אינטרנט",'Source'!$B:$B,$A679)</f>
        <v>2</v>
      </c>
      <c r="D679" s="8" t="n">
        <f aca="false">SUMIFS('Source'!$F:$F,'Source'!$A:$A,"155138 לקוח אינטרנט",'Source'!$B:$B,$A679)</f>
        <v>3</v>
      </c>
      <c r="E679" s="8" t="n">
        <f aca="false">D679*$J$5</f>
        <v>3.78947368421053</v>
      </c>
      <c r="F679" s="8" t="n">
        <f aca="false">E679-C679</f>
        <v>1.78947368421053</v>
      </c>
      <c r="G679" s="9" t="n">
        <f aca="false">IF(AND(C679=0,E679=0),0,IF(C679=0,"New",(E679-C679)/C679))</f>
        <v>0.894736842105263</v>
      </c>
      <c r="H679" s="8" t="n">
        <f aca="false">SUMIFS('Source'!$E:$E,'Source'!$A:$A,"155138 לקוח אינטרנט",'Source'!$B:$B,$A679)</f>
        <v>800.62</v>
      </c>
      <c r="I679" s="8" t="n">
        <f aca="false">SUMIFS('Source'!$G:$G,'Source'!$A:$A,"155138 לקוח אינטרנט",'Source'!$B:$B,$A679)</f>
        <v>830.28</v>
      </c>
      <c r="J679" s="8" t="n">
        <f aca="false">I679*$J$5</f>
        <v>1048.77473684211</v>
      </c>
      <c r="K679" s="8" t="n">
        <f aca="false">J679-H679</f>
        <v>248.154736842105</v>
      </c>
      <c r="L679" s="9" t="n">
        <f aca="false">IF(AND(H679=0,J679=0),0,IF(H679=0,"New",(J679-H679)/H679))</f>
        <v>0.309953207316961</v>
      </c>
      <c r="M679" s="7" t="str">
        <f aca="false">IF(AND(OR(C679&lt;&gt;0,H679&lt;&gt;0),D679=0,I679=0),"DROP",IF(AND(OR(D679&lt;&gt;0,I679&lt;&gt;0),C679=0,H679=0),"NEW",""))</f>
        <v/>
      </c>
    </row>
    <row r="680" customFormat="false" ht="15" hidden="false" customHeight="false" outlineLevel="0" collapsed="false">
      <c r="A680" s="7" t="s">
        <v>769</v>
      </c>
      <c r="B680" s="7" t="str">
        <f aca="false">IFERROR(INDEX('Source'!$C:$C,MATCH($A680,'Source'!$B:$B,0)),"")</f>
        <v>סד יד שחור</v>
      </c>
      <c r="C680" s="8" t="n">
        <f aca="false">SUMIFS('Source'!$D:$D,'Source'!$A:$A,"155138 לקוח אינטרנט",'Source'!$B:$B,$A680)</f>
        <v>1</v>
      </c>
      <c r="D680" s="8" t="n">
        <f aca="false">SUMIFS('Source'!$F:$F,'Source'!$A:$A,"155138 לקוח אינטרנט",'Source'!$B:$B,$A680)</f>
        <v>1</v>
      </c>
      <c r="E680" s="8" t="n">
        <f aca="false">D680*$J$5</f>
        <v>1.26315789473684</v>
      </c>
      <c r="F680" s="8" t="n">
        <f aca="false">E680-C680</f>
        <v>0.263157894736842</v>
      </c>
      <c r="G680" s="9" t="n">
        <f aca="false">IF(AND(C680=0,E680=0),0,IF(C680=0,"New",(E680-C680)/C680))</f>
        <v>0.263157894736842</v>
      </c>
      <c r="H680" s="8" t="n">
        <f aca="false">SUMIFS('Source'!$E:$E,'Source'!$A:$A,"155138 לקוח אינטרנט",'Source'!$B:$B,$A680)</f>
        <v>167.05</v>
      </c>
      <c r="I680" s="8" t="n">
        <f aca="false">SUMIFS('Source'!$G:$G,'Source'!$A:$A,"155138 לקוח אינטרנט",'Source'!$B:$B,$A680)</f>
        <v>196.53</v>
      </c>
      <c r="J680" s="8" t="n">
        <f aca="false">I680*$J$5</f>
        <v>248.248421052632</v>
      </c>
      <c r="K680" s="8" t="n">
        <f aca="false">J680-H680</f>
        <v>81.1984210526316</v>
      </c>
      <c r="L680" s="9" t="n">
        <f aca="false">IF(AND(H680=0,J680=0),0,IF(H680=0,"New",(J680-H680)/H680))</f>
        <v>0.486072559429102</v>
      </c>
      <c r="M680" s="7" t="str">
        <f aca="false">IF(AND(OR(C680&lt;&gt;0,H680&lt;&gt;0),D680=0,I680=0),"DROP",IF(AND(OR(D680&lt;&gt;0,I680&lt;&gt;0),C680=0,H680=0),"NEW",""))</f>
        <v/>
      </c>
    </row>
    <row r="681" customFormat="false" ht="15" hidden="false" customHeight="false" outlineLevel="0" collapsed="false">
      <c r="A681" s="7" t="s">
        <v>770</v>
      </c>
      <c r="B681" s="7" t="str">
        <f aca="false">IFERROR(INDEX('Source'!$C:$C,MATCH($A681,'Source'!$B:$B,0)),"")</f>
        <v>מגן שוק רגיל</v>
      </c>
      <c r="C681" s="8" t="n">
        <f aca="false">SUMIFS('Source'!$D:$D,'Source'!$A:$A,"155138 לקוח אינטרנט",'Source'!$B:$B,$A681)</f>
        <v>1</v>
      </c>
      <c r="D681" s="8" t="n">
        <f aca="false">SUMIFS('Source'!$F:$F,'Source'!$A:$A,"155138 לקוח אינטרנט",'Source'!$B:$B,$A681)</f>
        <v>1</v>
      </c>
      <c r="E681" s="8" t="n">
        <f aca="false">D681*$J$5</f>
        <v>1.26315789473684</v>
      </c>
      <c r="F681" s="8" t="n">
        <f aca="false">E681-C681</f>
        <v>0.263157894736842</v>
      </c>
      <c r="G681" s="9" t="n">
        <f aca="false">IF(AND(C681=0,E681=0),0,IF(C681=0,"New",(E681-C681)/C681))</f>
        <v>0.263157894736842</v>
      </c>
      <c r="H681" s="8" t="n">
        <f aca="false">SUMIFS('Source'!$E:$E,'Source'!$A:$A,"155138 לקוח אינטרנט",'Source'!$B:$B,$A681)</f>
        <v>194.83</v>
      </c>
      <c r="I681" s="8" t="n">
        <f aca="false">SUMIFS('Source'!$G:$G,'Source'!$A:$A,"155138 לקוח אינטרנט",'Source'!$B:$B,$A681)</f>
        <v>165.61</v>
      </c>
      <c r="J681" s="8" t="n">
        <f aca="false">I681*$J$5</f>
        <v>209.191578947368</v>
      </c>
      <c r="K681" s="8" t="n">
        <f aca="false">J681-H681</f>
        <v>14.3615789473684</v>
      </c>
      <c r="L681" s="9" t="n">
        <f aca="false">IF(AND(H681=0,J681=0),0,IF(H681=0,"New",(J681-H681)/H681))</f>
        <v>0.0737133857587045</v>
      </c>
      <c r="M681" s="7" t="str">
        <f aca="false">IF(AND(OR(C681&lt;&gt;0,H681&lt;&gt;0),D681=0,I681=0),"DROP",IF(AND(OR(D681&lt;&gt;0,I681&lt;&gt;0),C681=0,H681=0),"NEW",""))</f>
        <v/>
      </c>
    </row>
    <row r="682" customFormat="false" ht="15" hidden="false" customHeight="false" outlineLevel="0" collapsed="false">
      <c r="A682" s="7" t="s">
        <v>771</v>
      </c>
      <c r="B682" s="7" t="str">
        <f aca="false">IFERROR(INDEX('Source'!$C:$C,MATCH($A682,'Source'!$B:$B,0)),"")</f>
        <v>חגורת הריון מכנס</v>
      </c>
      <c r="C682" s="8" t="n">
        <f aca="false">SUMIFS('Source'!$D:$D,'Source'!$A:$A,"155138 לקוח אינטרנט",'Source'!$B:$B,$A682)</f>
        <v>1</v>
      </c>
      <c r="D682" s="8" t="n">
        <f aca="false">SUMIFS('Source'!$F:$F,'Source'!$A:$A,"155138 לקוח אינטרנט",'Source'!$B:$B,$A682)</f>
        <v>1</v>
      </c>
      <c r="E682" s="8" t="n">
        <f aca="false">D682*$J$5</f>
        <v>1.26315789473684</v>
      </c>
      <c r="F682" s="8" t="n">
        <f aca="false">E682-C682</f>
        <v>0.263157894736842</v>
      </c>
      <c r="G682" s="9" t="n">
        <f aca="false">IF(AND(C682=0,E682=0),0,IF(C682=0,"New",(E682-C682)/C682))</f>
        <v>0.263157894736842</v>
      </c>
      <c r="H682" s="8" t="n">
        <f aca="false">SUMIFS('Source'!$E:$E,'Source'!$A:$A,"155138 לקוח אינטרנט",'Source'!$B:$B,$A682)</f>
        <v>475.35</v>
      </c>
      <c r="I682" s="8" t="n">
        <f aca="false">SUMIFS('Source'!$G:$G,'Source'!$A:$A,"155138 לקוח אינטרנט",'Source'!$B:$B,$A682)</f>
        <v>503.31</v>
      </c>
      <c r="J682" s="8" t="n">
        <f aca="false">I682*$J$5</f>
        <v>635.76</v>
      </c>
      <c r="K682" s="8" t="n">
        <f aca="false">J682-H682</f>
        <v>160.41</v>
      </c>
      <c r="L682" s="9" t="n">
        <f aca="false">IF(AND(H682=0,J682=0),0,IF(H682=0,"New",(J682-H682)/H682))</f>
        <v>0.337456610918271</v>
      </c>
      <c r="M682" s="7" t="str">
        <f aca="false">IF(AND(OR(C682&lt;&gt;0,H682&lt;&gt;0),D682=0,I682=0),"DROP",IF(AND(OR(D682&lt;&gt;0,I682&lt;&gt;0),C682=0,H682=0),"NEW",""))</f>
        <v/>
      </c>
    </row>
    <row r="683" customFormat="false" ht="15" hidden="false" customHeight="false" outlineLevel="0" collapsed="false">
      <c r="A683" s="7" t="s">
        <v>772</v>
      </c>
      <c r="B683" s="7" t="str">
        <f aca="false">IFERROR(INDEX('Source'!$C:$C,MATCH($A683,'Source'!$B:$B,0)),"")</f>
        <v>אטלטיק טייפ</v>
      </c>
      <c r="C683" s="8" t="n">
        <f aca="false">SUMIFS('Source'!$D:$D,'Source'!$A:$A,"155138 לקוח אינטרנט",'Source'!$B:$B,$A683)</f>
        <v>12</v>
      </c>
      <c r="D683" s="8" t="n">
        <f aca="false">SUMIFS('Source'!$F:$F,'Source'!$A:$A,"155138 לקוח אינטרנט",'Source'!$B:$B,$A683)</f>
        <v>13</v>
      </c>
      <c r="E683" s="8" t="n">
        <f aca="false">D683*$J$5</f>
        <v>16.4210526315789</v>
      </c>
      <c r="F683" s="8" t="n">
        <f aca="false">E683-C683</f>
        <v>4.42105263157895</v>
      </c>
      <c r="G683" s="9" t="n">
        <f aca="false">IF(AND(C683=0,E683=0),0,IF(C683=0,"New",(E683-C683)/C683))</f>
        <v>0.368421052631579</v>
      </c>
      <c r="H683" s="8" t="n">
        <f aca="false">SUMIFS('Source'!$E:$E,'Source'!$A:$A,"155138 לקוח אינטרנט",'Source'!$B:$B,$A683)</f>
        <v>318.56</v>
      </c>
      <c r="I683" s="8" t="n">
        <f aca="false">SUMIFS('Source'!$G:$G,'Source'!$A:$A,"155138 לקוח אינטרנט",'Source'!$B:$B,$A683)</f>
        <v>345.56</v>
      </c>
      <c r="J683" s="8" t="n">
        <f aca="false">I683*$J$5</f>
        <v>436.496842105263</v>
      </c>
      <c r="K683" s="8" t="n">
        <f aca="false">J683-H683</f>
        <v>117.936842105263</v>
      </c>
      <c r="L683" s="9" t="n">
        <f aca="false">IF(AND(H683=0,J683=0),0,IF(H683=0,"New",(J683-H683)/H683))</f>
        <v>0.370218615348013</v>
      </c>
      <c r="M683" s="7" t="str">
        <f aca="false">IF(AND(OR(C683&lt;&gt;0,H683&lt;&gt;0),D683=0,I683=0),"DROP",IF(AND(OR(D683&lt;&gt;0,I683&lt;&gt;0),C683=0,H683=0),"NEW",""))</f>
        <v/>
      </c>
    </row>
    <row r="684" customFormat="false" ht="15" hidden="false" customHeight="false" outlineLevel="0" collapsed="false">
      <c r="A684" s="7" t="s">
        <v>773</v>
      </c>
      <c r="B684" s="7" t="str">
        <f aca="false">IFERROR(INDEX('Source'!$C:$C,MATCH($A684,'Source'!$B:$B,0)),"")</f>
        <v>רפידת ג'ל זיכרון M בז'</v>
      </c>
      <c r="C684" s="8" t="n">
        <f aca="false">SUMIFS('Source'!$D:$D,'Source'!$A:$A,"155138 לקוח אינטרנט",'Source'!$B:$B,$A684)</f>
        <v>4</v>
      </c>
      <c r="D684" s="8" t="n">
        <f aca="false">SUMIFS('Source'!$F:$F,'Source'!$A:$A,"155138 לקוח אינטרנט",'Source'!$B:$B,$A684)</f>
        <v>6</v>
      </c>
      <c r="E684" s="8" t="n">
        <f aca="false">D684*$J$5</f>
        <v>7.57894736842105</v>
      </c>
      <c r="F684" s="8" t="n">
        <f aca="false">E684-C684</f>
        <v>3.57894736842105</v>
      </c>
      <c r="G684" s="9" t="n">
        <f aca="false">IF(AND(C684=0,E684=0),0,IF(C684=0,"New",(E684-C684)/C684))</f>
        <v>0.894736842105263</v>
      </c>
      <c r="H684" s="8" t="n">
        <f aca="false">SUMIFS('Source'!$E:$E,'Source'!$A:$A,"155138 לקוח אינטרנט",'Source'!$B:$B,$A684)</f>
        <v>476.3</v>
      </c>
      <c r="I684" s="8" t="n">
        <f aca="false">SUMIFS('Source'!$G:$G,'Source'!$A:$A,"155138 לקוח אינטרנט",'Source'!$B:$B,$A684)</f>
        <v>502.05</v>
      </c>
      <c r="J684" s="8" t="n">
        <f aca="false">I684*$J$5</f>
        <v>634.168421052632</v>
      </c>
      <c r="K684" s="8" t="n">
        <f aca="false">J684-H684</f>
        <v>157.868421052632</v>
      </c>
      <c r="L684" s="9" t="n">
        <f aca="false">IF(AND(H684=0,J684=0),0,IF(H684=0,"New",(J684-H684)/H684))</f>
        <v>0.331447451296728</v>
      </c>
      <c r="M684" s="7" t="str">
        <f aca="false">IF(AND(OR(C684&lt;&gt;0,H684&lt;&gt;0),D684=0,I684=0),"DROP",IF(AND(OR(D684&lt;&gt;0,I684&lt;&gt;0),C684=0,H684=0),"NEW",""))</f>
        <v/>
      </c>
    </row>
    <row r="685" customFormat="false" ht="15" hidden="false" customHeight="false" outlineLevel="0" collapsed="false">
      <c r="A685" s="7" t="s">
        <v>774</v>
      </c>
      <c r="B685" s="7" t="str">
        <f aca="false">IFERROR(INDEX('Source'!$C:$C,MATCH($A685,'Source'!$B:$B,0)),"")</f>
        <v>טיפ תחבושת לספורט כחול</v>
      </c>
      <c r="C685" s="8" t="n">
        <f aca="false">SUMIFS('Source'!$D:$D,'Source'!$A:$A,"155138 לקוח אינטרנט",'Source'!$B:$B,$A685)</f>
        <v>31</v>
      </c>
      <c r="D685" s="8" t="n">
        <f aca="false">SUMIFS('Source'!$F:$F,'Source'!$A:$A,"155138 לקוח אינטרנט",'Source'!$B:$B,$A685)</f>
        <v>30</v>
      </c>
      <c r="E685" s="8" t="n">
        <f aca="false">D685*$J$5</f>
        <v>37.8947368421053</v>
      </c>
      <c r="F685" s="8" t="n">
        <f aca="false">E685-C685</f>
        <v>6.89473684210526</v>
      </c>
      <c r="G685" s="9" t="n">
        <f aca="false">IF(AND(C685=0,E685=0),0,IF(C685=0,"New",(E685-C685)/C685))</f>
        <v>0.222410865874363</v>
      </c>
      <c r="H685" s="8" t="n">
        <f aca="false">SUMIFS('Source'!$E:$E,'Source'!$A:$A,"155138 לקוח אינטרנט",'Source'!$B:$B,$A685)</f>
        <v>851.24</v>
      </c>
      <c r="I685" s="8" t="n">
        <f aca="false">SUMIFS('Source'!$G:$G,'Source'!$A:$A,"155138 לקוח אינטרנט",'Source'!$B:$B,$A685)</f>
        <v>825.57</v>
      </c>
      <c r="J685" s="8" t="n">
        <f aca="false">I685*$J$5</f>
        <v>1042.82526315789</v>
      </c>
      <c r="K685" s="8" t="n">
        <f aca="false">J685-H685</f>
        <v>191.585263157895</v>
      </c>
      <c r="L685" s="9" t="n">
        <f aca="false">IF(AND(H685=0,J685=0),0,IF(H685=0,"New",(J685-H685)/H685))</f>
        <v>0.225066095528752</v>
      </c>
      <c r="M685" s="7" t="str">
        <f aca="false">IF(AND(OR(C685&lt;&gt;0,H685&lt;&gt;0),D685=0,I685=0),"DROP",IF(AND(OR(D685&lt;&gt;0,I685&lt;&gt;0),C685=0,H685=0),"NEW",""))</f>
        <v/>
      </c>
    </row>
    <row r="686" customFormat="false" ht="15" hidden="false" customHeight="false" outlineLevel="0" collapsed="false">
      <c r="A686" s="7" t="s">
        <v>775</v>
      </c>
      <c r="B686" s="7" t="str">
        <f aca="false">IFERROR(INDEX('Source'!$C:$C,MATCH($A686,'Source'!$B:$B,0)),"")</f>
        <v>מגן מרפק</v>
      </c>
      <c r="C686" s="8" t="n">
        <f aca="false">SUMIFS('Source'!$D:$D,'Source'!$A:$A,"155138 לקוח אינטרנט",'Source'!$B:$B,$A686)</f>
        <v>0</v>
      </c>
      <c r="D686" s="8" t="n">
        <f aca="false">SUMIFS('Source'!$F:$F,'Source'!$A:$A,"155138 לקוח אינטרנט",'Source'!$B:$B,$A686)</f>
        <v>1</v>
      </c>
      <c r="E686" s="8" t="n">
        <f aca="false">D686*$J$5</f>
        <v>1.26315789473684</v>
      </c>
      <c r="F686" s="8" t="n">
        <f aca="false">E686-C686</f>
        <v>1.26315789473684</v>
      </c>
      <c r="G686" s="9" t="str">
        <f aca="false">IF(AND(C686=0,E686=0),0,IF(C686=0,"New",(E686-C686)/C686))</f>
        <v>New</v>
      </c>
      <c r="H686" s="8" t="n">
        <f aca="false">SUMIFS('Source'!$E:$E,'Source'!$A:$A,"155138 לקוח אינטרנט",'Source'!$B:$B,$A686)</f>
        <v>0</v>
      </c>
      <c r="I686" s="8" t="n">
        <f aca="false">SUMIFS('Source'!$G:$G,'Source'!$A:$A,"155138 לקוח אינטרנט",'Source'!$B:$B,$A686)</f>
        <v>25.34</v>
      </c>
      <c r="J686" s="8" t="n">
        <f aca="false">I686*$J$5</f>
        <v>32.0084210526316</v>
      </c>
      <c r="K686" s="8" t="n">
        <f aca="false">J686-H686</f>
        <v>32.0084210526316</v>
      </c>
      <c r="L686" s="9" t="str">
        <f aca="false">IF(AND(H686=0,J686=0),0,IF(H686=0,"New",(J686-H686)/H686))</f>
        <v>New</v>
      </c>
      <c r="M686" s="7" t="str">
        <f aca="false">IF(AND(OR(C686&lt;&gt;0,H686&lt;&gt;0),D686=0,I686=0),"DROP",IF(AND(OR(D686&lt;&gt;0,I686&lt;&gt;0),C686=0,H686=0),"NEW",""))</f>
        <v>NEW</v>
      </c>
    </row>
    <row r="687" customFormat="false" ht="15" hidden="false" customHeight="false" outlineLevel="0" collapsed="false">
      <c r="A687" s="7" t="s">
        <v>776</v>
      </c>
      <c r="B687" s="7" t="str">
        <f aca="false">IFERROR(INDEX('Source'!$C:$C,MATCH($A687,'Source'!$B:$B,0)),"")</f>
        <v>מגן מרפק בז'</v>
      </c>
      <c r="C687" s="8" t="n">
        <f aca="false">SUMIFS('Source'!$D:$D,'Source'!$A:$A,"155138 לקוח אינטרנט",'Source'!$B:$B,$A687)</f>
        <v>1</v>
      </c>
      <c r="D687" s="8" t="n">
        <f aca="false">SUMIFS('Source'!$F:$F,'Source'!$A:$A,"155138 לקוח אינטרנט",'Source'!$B:$B,$A687)</f>
        <v>2</v>
      </c>
      <c r="E687" s="8" t="n">
        <f aca="false">D687*$J$5</f>
        <v>2.52631578947368</v>
      </c>
      <c r="F687" s="8" t="n">
        <f aca="false">E687-C687</f>
        <v>1.52631578947368</v>
      </c>
      <c r="G687" s="9" t="n">
        <f aca="false">IF(AND(C687=0,E687=0),0,IF(C687=0,"New",(E687-C687)/C687))</f>
        <v>1.52631578947368</v>
      </c>
      <c r="H687" s="8" t="n">
        <f aca="false">SUMIFS('Source'!$E:$E,'Source'!$A:$A,"155138 לקוח אינטרנט",'Source'!$B:$B,$A687)</f>
        <v>55.85</v>
      </c>
      <c r="I687" s="8" t="n">
        <f aca="false">SUMIFS('Source'!$G:$G,'Source'!$A:$A,"155138 לקוח אינטרנט",'Source'!$B:$B,$A687)</f>
        <v>81.18</v>
      </c>
      <c r="J687" s="8" t="n">
        <f aca="false">I687*$J$5</f>
        <v>102.543157894737</v>
      </c>
      <c r="K687" s="8" t="n">
        <f aca="false">J687-H687</f>
        <v>46.6931578947369</v>
      </c>
      <c r="L687" s="9" t="n">
        <f aca="false">IF(AND(H687=0,J687=0),0,IF(H687=0,"New",(J687-H687)/H687))</f>
        <v>0.83604579936861</v>
      </c>
      <c r="M687" s="7" t="str">
        <f aca="false">IF(AND(OR(C687&lt;&gt;0,H687&lt;&gt;0),D687=0,I687=0),"DROP",IF(AND(OR(D687&lt;&gt;0,I687&lt;&gt;0),C687=0,H687=0),"NEW",""))</f>
        <v/>
      </c>
    </row>
    <row r="688" customFormat="false" ht="15" hidden="false" customHeight="false" outlineLevel="0" collapsed="false">
      <c r="A688" s="7" t="s">
        <v>777</v>
      </c>
      <c r="B688" s="7" t="str">
        <f aca="false">IFERROR(INDEX('Source'!$C:$C,MATCH($A688,'Source'!$B:$B,0)),"")</f>
        <v>מגן ברך חום</v>
      </c>
      <c r="C688" s="8" t="n">
        <f aca="false">SUMIFS('Source'!$D:$D,'Source'!$A:$A,"155138 לקוח אינטרנט",'Source'!$B:$B,$A688)</f>
        <v>4</v>
      </c>
      <c r="D688" s="8" t="n">
        <f aca="false">SUMIFS('Source'!$F:$F,'Source'!$A:$A,"155138 לקוח אינטרנט",'Source'!$B:$B,$A688)</f>
        <v>4</v>
      </c>
      <c r="E688" s="8" t="n">
        <f aca="false">D688*$J$5</f>
        <v>5.05263157894737</v>
      </c>
      <c r="F688" s="8" t="n">
        <f aca="false">E688-C688</f>
        <v>1.05263157894737</v>
      </c>
      <c r="G688" s="9" t="n">
        <f aca="false">IF(AND(C688=0,E688=0),0,IF(C688=0,"New",(E688-C688)/C688))</f>
        <v>0.263157894736842</v>
      </c>
      <c r="H688" s="8" t="n">
        <f aca="false">SUMIFS('Source'!$E:$E,'Source'!$A:$A,"155138 לקוח אינטרנט",'Source'!$B:$B,$A688)</f>
        <v>192.68</v>
      </c>
      <c r="I688" s="8" t="n">
        <f aca="false">SUMIFS('Source'!$G:$G,'Source'!$A:$A,"155138 לקוח אינטרנט",'Source'!$B:$B,$A688)</f>
        <v>217.81</v>
      </c>
      <c r="J688" s="8" t="n">
        <f aca="false">I688*$J$5</f>
        <v>275.128421052632</v>
      </c>
      <c r="K688" s="8" t="n">
        <f aca="false">J688-H688</f>
        <v>82.4484210526316</v>
      </c>
      <c r="L688" s="9" t="n">
        <f aca="false">IF(AND(H688=0,J688=0),0,IF(H688=0,"New",(J688-H688)/H688))</f>
        <v>0.427903368552167</v>
      </c>
      <c r="M688" s="7" t="str">
        <f aca="false">IF(AND(OR(C688&lt;&gt;0,H688&lt;&gt;0),D688=0,I688=0),"DROP",IF(AND(OR(D688&lt;&gt;0,I688&lt;&gt;0),C688=0,H688=0),"NEW",""))</f>
        <v/>
      </c>
    </row>
    <row r="689" customFormat="false" ht="15" hidden="false" customHeight="false" outlineLevel="0" collapsed="false">
      <c r="A689" s="7" t="s">
        <v>778</v>
      </c>
      <c r="B689" s="7" t="str">
        <f aca="false">IFERROR(INDEX('Source'!$C:$C,MATCH($A689,'Source'!$B:$B,0)),"")</f>
        <v>חגורת צלעות לגבר</v>
      </c>
      <c r="C689" s="8" t="n">
        <f aca="false">SUMIFS('Source'!$D:$D,'Source'!$A:$A,"155138 לקוח אינטרנט",'Source'!$B:$B,$A689)</f>
        <v>3</v>
      </c>
      <c r="D689" s="8" t="n">
        <f aca="false">SUMIFS('Source'!$F:$F,'Source'!$A:$A,"155138 לקוח אינטרנט",'Source'!$B:$B,$A689)</f>
        <v>2</v>
      </c>
      <c r="E689" s="8" t="n">
        <f aca="false">D689*$J$5</f>
        <v>2.52631578947368</v>
      </c>
      <c r="F689" s="8" t="n">
        <f aca="false">E689-C689</f>
        <v>-0.473684210526316</v>
      </c>
      <c r="G689" s="9" t="n">
        <f aca="false">IF(AND(C689=0,E689=0),0,IF(C689=0,"New",(E689-C689)/C689))</f>
        <v>-0.157894736842105</v>
      </c>
      <c r="H689" s="8" t="n">
        <f aca="false">SUMIFS('Source'!$E:$E,'Source'!$A:$A,"155138 לקוח אינטרנט",'Source'!$B:$B,$A689)</f>
        <v>457.95</v>
      </c>
      <c r="I689" s="8" t="n">
        <f aca="false">SUMIFS('Source'!$G:$G,'Source'!$A:$A,"155138 לקוח אינטרנט",'Source'!$B:$B,$A689)</f>
        <v>482.89</v>
      </c>
      <c r="J689" s="8" t="n">
        <f aca="false">I689*$J$5</f>
        <v>609.966315789474</v>
      </c>
      <c r="K689" s="8" t="n">
        <f aca="false">J689-H689</f>
        <v>152.016315789474</v>
      </c>
      <c r="L689" s="9" t="n">
        <f aca="false">IF(AND(H689=0,J689=0),0,IF(H689=0,"New",(J689-H689)/H689))</f>
        <v>0.331949592290585</v>
      </c>
      <c r="M689" s="7" t="str">
        <f aca="false">IF(AND(OR(C689&lt;&gt;0,H689&lt;&gt;0),D689=0,I689=0),"DROP",IF(AND(OR(D689&lt;&gt;0,I689&lt;&gt;0),C689=0,H689=0),"NEW",""))</f>
        <v/>
      </c>
    </row>
    <row r="690" customFormat="false" ht="15" hidden="false" customHeight="false" outlineLevel="0" collapsed="false">
      <c r="A690" s="7" t="s">
        <v>779</v>
      </c>
      <c r="B690" s="7" t="str">
        <f aca="false">IFERROR(INDEX('Source'!$C:$C,MATCH($A690,'Source'!$B:$B,0)),"")</f>
        <v>מפריד אצבע</v>
      </c>
      <c r="C690" s="8" t="n">
        <f aca="false">SUMIFS('Source'!$D:$D,'Source'!$A:$A,"155138 לקוח אינטרנט",'Source'!$B:$B,$A690)</f>
        <v>20</v>
      </c>
      <c r="D690" s="8" t="n">
        <f aca="false">SUMIFS('Source'!$F:$F,'Source'!$A:$A,"155138 לקוח אינטרנט",'Source'!$B:$B,$A690)</f>
        <v>21</v>
      </c>
      <c r="E690" s="8" t="n">
        <f aca="false">D690*$J$5</f>
        <v>26.5263157894737</v>
      </c>
      <c r="F690" s="8" t="n">
        <f aca="false">E690-C690</f>
        <v>6.52631578947368</v>
      </c>
      <c r="G690" s="9" t="n">
        <f aca="false">IF(AND(C690=0,E690=0),0,IF(C690=0,"New",(E690-C690)/C690))</f>
        <v>0.326315789473684</v>
      </c>
      <c r="H690" s="8" t="n">
        <f aca="false">SUMIFS('Source'!$E:$E,'Source'!$A:$A,"155138 לקוח אינטרנט",'Source'!$B:$B,$A690)</f>
        <v>501.53</v>
      </c>
      <c r="I690" s="8" t="n">
        <f aca="false">SUMIFS('Source'!$G:$G,'Source'!$A:$A,"155138 לקוח אינטרנט",'Source'!$B:$B,$A690)</f>
        <v>525.08</v>
      </c>
      <c r="J690" s="8" t="n">
        <f aca="false">I690*$J$5</f>
        <v>663.258947368421</v>
      </c>
      <c r="K690" s="8" t="n">
        <f aca="false">J690-H690</f>
        <v>161.728947368421</v>
      </c>
      <c r="L690" s="9" t="n">
        <f aca="false">IF(AND(H690=0,J690=0),0,IF(H690=0,"New",(J690-H690)/H690))</f>
        <v>0.322471133069649</v>
      </c>
      <c r="M690" s="7" t="str">
        <f aca="false">IF(AND(OR(C690&lt;&gt;0,H690&lt;&gt;0),D690=0,I690=0),"DROP",IF(AND(OR(D690&lt;&gt;0,I690&lt;&gt;0),C690=0,H690=0),"NEW",""))</f>
        <v/>
      </c>
    </row>
    <row r="691" customFormat="false" ht="15" hidden="false" customHeight="false" outlineLevel="0" collapsed="false">
      <c r="A691" s="7" t="s">
        <v>780</v>
      </c>
      <c r="B691" s="7" t="str">
        <f aca="false">IFERROR(INDEX('Source'!$C:$C,MATCH($A691,'Source'!$B:$B,0)),"")</f>
        <v>מגן ברך מוצלב+מוטות</v>
      </c>
      <c r="C691" s="8" t="n">
        <f aca="false">SUMIFS('Source'!$D:$D,'Source'!$A:$A,"155138 לקוח אינטרנט",'Source'!$B:$B,$A691)</f>
        <v>4</v>
      </c>
      <c r="D691" s="8" t="n">
        <f aca="false">SUMIFS('Source'!$F:$F,'Source'!$A:$A,"155138 לקוח אינטרנט",'Source'!$B:$B,$A691)</f>
        <v>4</v>
      </c>
      <c r="E691" s="8" t="n">
        <f aca="false">D691*$J$5</f>
        <v>5.05263157894737</v>
      </c>
      <c r="F691" s="8" t="n">
        <f aca="false">E691-C691</f>
        <v>1.05263157894737</v>
      </c>
      <c r="G691" s="9" t="n">
        <f aca="false">IF(AND(C691=0,E691=0),0,IF(C691=0,"New",(E691-C691)/C691))</f>
        <v>0.263157894736842</v>
      </c>
      <c r="H691" s="8" t="n">
        <f aca="false">SUMIFS('Source'!$E:$E,'Source'!$A:$A,"155138 לקוח אינטרנט",'Source'!$B:$B,$A691)</f>
        <v>846.3</v>
      </c>
      <c r="I691" s="8" t="n">
        <f aca="false">SUMIFS('Source'!$G:$G,'Source'!$A:$A,"155138 לקוח אינטרנט",'Source'!$B:$B,$A691)</f>
        <v>869.17</v>
      </c>
      <c r="J691" s="8" t="n">
        <f aca="false">I691*$J$5</f>
        <v>1097.89894736842</v>
      </c>
      <c r="K691" s="8" t="n">
        <f aca="false">J691-H691</f>
        <v>251.598947368421</v>
      </c>
      <c r="L691" s="9" t="n">
        <f aca="false">IF(AND(H691=0,J691=0),0,IF(H691=0,"New",(J691-H691)/H691))</f>
        <v>0.297292859941417</v>
      </c>
      <c r="M691" s="7" t="str">
        <f aca="false">IF(AND(OR(C691&lt;&gt;0,H691&lt;&gt;0),D691=0,I691=0),"DROP",IF(AND(OR(D691&lt;&gt;0,I691&lt;&gt;0),C691=0,H691=0),"NEW",""))</f>
        <v/>
      </c>
    </row>
    <row r="692" customFormat="false" ht="15" hidden="false" customHeight="false" outlineLevel="0" collapsed="false">
      <c r="A692" s="7" t="s">
        <v>781</v>
      </c>
      <c r="B692" s="7" t="str">
        <f aca="false">IFERROR(INDEX('Source'!$C:$C,MATCH($A692,'Source'!$B:$B,0)),"")</f>
        <v>פומפיה להסרת עור</v>
      </c>
      <c r="C692" s="8" t="n">
        <f aca="false">SUMIFS('Source'!$D:$D,'Source'!$A:$A,"155138 לקוח אינטרנט",'Source'!$B:$B,$A692)</f>
        <v>3</v>
      </c>
      <c r="D692" s="8" t="n">
        <f aca="false">SUMIFS('Source'!$F:$F,'Source'!$A:$A,"155138 לקוח אינטרנט",'Source'!$B:$B,$A692)</f>
        <v>2</v>
      </c>
      <c r="E692" s="8" t="n">
        <f aca="false">D692*$J$5</f>
        <v>2.52631578947368</v>
      </c>
      <c r="F692" s="8" t="n">
        <f aca="false">E692-C692</f>
        <v>-0.473684210526316</v>
      </c>
      <c r="G692" s="9" t="n">
        <f aca="false">IF(AND(C692=0,E692=0),0,IF(C692=0,"New",(E692-C692)/C692))</f>
        <v>-0.157894736842105</v>
      </c>
      <c r="H692" s="8" t="n">
        <f aca="false">SUMIFS('Source'!$E:$E,'Source'!$A:$A,"155138 לקוח אינטרנט",'Source'!$B:$B,$A692)</f>
        <v>109.62</v>
      </c>
      <c r="I692" s="8" t="n">
        <f aca="false">SUMIFS('Source'!$G:$G,'Source'!$A:$A,"155138 לקוח אינטרנט",'Source'!$B:$B,$A692)</f>
        <v>86.79</v>
      </c>
      <c r="J692" s="8" t="n">
        <f aca="false">I692*$J$5</f>
        <v>109.629473684211</v>
      </c>
      <c r="K692" s="8" t="n">
        <f aca="false">J692-H692</f>
        <v>0.00947368421050499</v>
      </c>
      <c r="L692" s="9" t="n">
        <f aca="false">IF(AND(H692=0,J692=0),0,IF(H692=0,"New",(J692-H692)/H692))</f>
        <v>8.6422953936371E-005</v>
      </c>
      <c r="M692" s="7" t="str">
        <f aca="false">IF(AND(OR(C692&lt;&gt;0,H692&lt;&gt;0),D692=0,I692=0),"DROP",IF(AND(OR(D692&lt;&gt;0,I692&lt;&gt;0),C692=0,H692=0),"NEW",""))</f>
        <v/>
      </c>
    </row>
    <row r="693" customFormat="false" ht="15" hidden="false" customHeight="false" outlineLevel="0" collapsed="false">
      <c r="A693" s="7" t="s">
        <v>782</v>
      </c>
      <c r="B693" s="7" t="str">
        <f aca="false">IFERROR(INDEX('Source'!$C:$C,MATCH($A693,'Source'!$B:$B,0)),"")</f>
        <v>מגן ברך שחור</v>
      </c>
      <c r="C693" s="8" t="n">
        <f aca="false">SUMIFS('Source'!$D:$D,'Source'!$A:$A,"155138 לקוח אינטרנט",'Source'!$B:$B,$A693)</f>
        <v>12</v>
      </c>
      <c r="D693" s="8" t="n">
        <f aca="false">SUMIFS('Source'!$F:$F,'Source'!$A:$A,"155138 לקוח אינטרנט",'Source'!$B:$B,$A693)</f>
        <v>11</v>
      </c>
      <c r="E693" s="8" t="n">
        <f aca="false">D693*$J$5</f>
        <v>13.8947368421053</v>
      </c>
      <c r="F693" s="8" t="n">
        <f aca="false">E693-C693</f>
        <v>1.89473684210526</v>
      </c>
      <c r="G693" s="9" t="n">
        <f aca="false">IF(AND(C693=0,E693=0),0,IF(C693=0,"New",(E693-C693)/C693))</f>
        <v>0.157894736842105</v>
      </c>
      <c r="H693" s="8" t="n">
        <f aca="false">SUMIFS('Source'!$E:$E,'Source'!$A:$A,"155138 לקוח אינטרנט",'Source'!$B:$B,$A693)</f>
        <v>608.76</v>
      </c>
      <c r="I693" s="8" t="n">
        <f aca="false">SUMIFS('Source'!$G:$G,'Source'!$A:$A,"155138 לקוח אינטרנט",'Source'!$B:$B,$A693)</f>
        <v>586.42</v>
      </c>
      <c r="J693" s="8" t="n">
        <f aca="false">I693*$J$5</f>
        <v>740.741052631579</v>
      </c>
      <c r="K693" s="8" t="n">
        <f aca="false">J693-H693</f>
        <v>131.981052631579</v>
      </c>
      <c r="L693" s="9" t="n">
        <f aca="false">IF(AND(H693=0,J693=0),0,IF(H693=0,"New",(J693-H693)/H693))</f>
        <v>0.216803095853175</v>
      </c>
      <c r="M693" s="7" t="str">
        <f aca="false">IF(AND(OR(C693&lt;&gt;0,H693&lt;&gt;0),D693=0,I693=0),"DROP",IF(AND(OR(D693&lt;&gt;0,I693&lt;&gt;0),C693=0,H693=0),"NEW",""))</f>
        <v/>
      </c>
    </row>
    <row r="694" customFormat="false" ht="15" hidden="false" customHeight="false" outlineLevel="0" collapsed="false">
      <c r="A694" s="7" t="s">
        <v>783</v>
      </c>
      <c r="B694" s="7" t="str">
        <f aca="false">IFERROR(INDEX('Source'!$C:$C,MATCH($A694,'Source'!$B:$B,0)),"")</f>
        <v>מגן מרפק אפור</v>
      </c>
      <c r="C694" s="8" t="n">
        <f aca="false">SUMIFS('Source'!$D:$D,'Source'!$A:$A,"155138 לקוח אינטרנט",'Source'!$B:$B,$A694)</f>
        <v>5</v>
      </c>
      <c r="D694" s="8" t="n">
        <f aca="false">SUMIFS('Source'!$F:$F,'Source'!$A:$A,"155138 לקוח אינטרנט",'Source'!$B:$B,$A694)</f>
        <v>6</v>
      </c>
      <c r="E694" s="8" t="n">
        <f aca="false">D694*$J$5</f>
        <v>7.57894736842105</v>
      </c>
      <c r="F694" s="8" t="n">
        <f aca="false">E694-C694</f>
        <v>2.57894736842105</v>
      </c>
      <c r="G694" s="9" t="n">
        <f aca="false">IF(AND(C694=0,E694=0),0,IF(C694=0,"New",(E694-C694)/C694))</f>
        <v>0.515789473684211</v>
      </c>
      <c r="H694" s="8" t="n">
        <f aca="false">SUMIFS('Source'!$E:$E,'Source'!$A:$A,"155138 לקוח אינטרנט",'Source'!$B:$B,$A694)</f>
        <v>251.32</v>
      </c>
      <c r="I694" s="8" t="n">
        <f aca="false">SUMIFS('Source'!$G:$G,'Source'!$A:$A,"155138 לקוח אינטרנט",'Source'!$B:$B,$A694)</f>
        <v>271.53</v>
      </c>
      <c r="J694" s="8" t="n">
        <f aca="false">I694*$J$5</f>
        <v>342.985263157895</v>
      </c>
      <c r="K694" s="8" t="n">
        <f aca="false">J694-H694</f>
        <v>91.6652631578947</v>
      </c>
      <c r="L694" s="9" t="n">
        <f aca="false">IF(AND(H694=0,J694=0),0,IF(H694=0,"New",(J694-H694)/H694))</f>
        <v>0.364735250508892</v>
      </c>
      <c r="M694" s="7" t="str">
        <f aca="false">IF(AND(OR(C694&lt;&gt;0,H694&lt;&gt;0),D694=0,I694=0),"DROP",IF(AND(OR(D694&lt;&gt;0,I694&lt;&gt;0),C694=0,H694=0),"NEW",""))</f>
        <v/>
      </c>
    </row>
    <row r="695" customFormat="false" ht="15" hidden="false" customHeight="false" outlineLevel="0" collapsed="false">
      <c r="A695" s="7" t="s">
        <v>784</v>
      </c>
      <c r="B695" s="7" t="str">
        <f aca="false">IFERROR(INDEX('Source'!$C:$C,MATCH($A695,'Source'!$B:$B,0)),"")</f>
        <v>מתלה</v>
      </c>
      <c r="C695" s="8" t="n">
        <f aca="false">SUMIFS('Source'!$D:$D,'Source'!$A:$A,"155138 לקוח אינטרנט",'Source'!$B:$B,$A695)</f>
        <v>7</v>
      </c>
      <c r="D695" s="8" t="n">
        <f aca="false">SUMIFS('Source'!$F:$F,'Source'!$A:$A,"155138 לקוח אינטרנט",'Source'!$B:$B,$A695)</f>
        <v>7</v>
      </c>
      <c r="E695" s="8" t="n">
        <f aca="false">D695*$J$5</f>
        <v>8.84210526315789</v>
      </c>
      <c r="F695" s="8" t="n">
        <f aca="false">E695-C695</f>
        <v>1.84210526315789</v>
      </c>
      <c r="G695" s="9" t="n">
        <f aca="false">IF(AND(C695=0,E695=0),0,IF(C695=0,"New",(E695-C695)/C695))</f>
        <v>0.263157894736842</v>
      </c>
      <c r="H695" s="8" t="n">
        <f aca="false">SUMIFS('Source'!$E:$E,'Source'!$A:$A,"155138 לקוח אינטרנט",'Source'!$B:$B,$A695)</f>
        <v>1355.13</v>
      </c>
      <c r="I695" s="8" t="n">
        <f aca="false">SUMIFS('Source'!$G:$G,'Source'!$A:$A,"155138 לקוח אינטרנט",'Source'!$B:$B,$A695)</f>
        <v>1375.24</v>
      </c>
      <c r="J695" s="8" t="n">
        <f aca="false">I695*$J$5</f>
        <v>1737.14526315789</v>
      </c>
      <c r="K695" s="8" t="n">
        <f aca="false">J695-H695</f>
        <v>382.015263157895</v>
      </c>
      <c r="L695" s="9" t="n">
        <f aca="false">IF(AND(H695=0,J695=0),0,IF(H695=0,"New",(J695-H695)/H695))</f>
        <v>0.281903037463487</v>
      </c>
      <c r="M695" s="7" t="str">
        <f aca="false">IF(AND(OR(C695&lt;&gt;0,H695&lt;&gt;0),D695=0,I695=0),"DROP",IF(AND(OR(D695&lt;&gt;0,I695&lt;&gt;0),C695=0,H695=0),"NEW",""))</f>
        <v/>
      </c>
    </row>
    <row r="696" customFormat="false" ht="15" hidden="false" customHeight="false" outlineLevel="0" collapsed="false">
      <c r="A696" s="7" t="s">
        <v>785</v>
      </c>
      <c r="B696" s="7" t="str">
        <f aca="false">IFERROR(INDEX('Source'!$C:$C,MATCH($A696,'Source'!$B:$B,0)),"")</f>
        <v>מתלה</v>
      </c>
      <c r="C696" s="8" t="n">
        <f aca="false">SUMIFS('Source'!$D:$D,'Source'!$A:$A,"155138 לקוח אינטרנט",'Source'!$B:$B,$A696)</f>
        <v>6</v>
      </c>
      <c r="D696" s="8" t="n">
        <f aca="false">SUMIFS('Source'!$F:$F,'Source'!$A:$A,"155138 לקוח אינטרנט",'Source'!$B:$B,$A696)</f>
        <v>6</v>
      </c>
      <c r="E696" s="8" t="n">
        <f aca="false">D696*$J$5</f>
        <v>7.57894736842105</v>
      </c>
      <c r="F696" s="8" t="n">
        <f aca="false">E696-C696</f>
        <v>1.57894736842105</v>
      </c>
      <c r="G696" s="9" t="n">
        <f aca="false">IF(AND(C696=0,E696=0),0,IF(C696=0,"New",(E696-C696)/C696))</f>
        <v>0.263157894736842</v>
      </c>
      <c r="H696" s="8" t="n">
        <f aca="false">SUMIFS('Source'!$E:$E,'Source'!$A:$A,"155138 לקוח אינטרנט",'Source'!$B:$B,$A696)</f>
        <v>1114.22</v>
      </c>
      <c r="I696" s="8" t="n">
        <f aca="false">SUMIFS('Source'!$G:$G,'Source'!$A:$A,"155138 לקוח אינטרנט",'Source'!$B:$B,$A696)</f>
        <v>1134.31</v>
      </c>
      <c r="J696" s="8" t="n">
        <f aca="false">I696*$J$5</f>
        <v>1432.81263157895</v>
      </c>
      <c r="K696" s="8" t="n">
        <f aca="false">J696-H696</f>
        <v>318.592631578947</v>
      </c>
      <c r="L696" s="9" t="n">
        <f aca="false">IF(AND(H696=0,J696=0),0,IF(H696=0,"New",(J696-H696)/H696))</f>
        <v>0.285933326972184</v>
      </c>
      <c r="M696" s="7" t="str">
        <f aca="false">IF(AND(OR(C696&lt;&gt;0,H696&lt;&gt;0),D696=0,I696=0),"DROP",IF(AND(OR(D696&lt;&gt;0,I696&lt;&gt;0),C696=0,H696=0),"NEW",""))</f>
        <v/>
      </c>
    </row>
    <row r="697" customFormat="false" ht="15" hidden="false" customHeight="false" outlineLevel="0" collapsed="false">
      <c r="A697" s="7" t="s">
        <v>786</v>
      </c>
      <c r="B697" s="7" t="str">
        <f aca="false">IFERROR(INDEX('Source'!$C:$C,MATCH($A697,'Source'!$B:$B,0)),"")</f>
        <v>מתלה</v>
      </c>
      <c r="C697" s="8" t="n">
        <f aca="false">SUMIFS('Source'!$D:$D,'Source'!$A:$A,"155138 לקוח אינטרנט",'Source'!$B:$B,$A697)</f>
        <v>2</v>
      </c>
      <c r="D697" s="8" t="n">
        <f aca="false">SUMIFS('Source'!$F:$F,'Source'!$A:$A,"155138 לקוח אינטרנט",'Source'!$B:$B,$A697)</f>
        <v>2</v>
      </c>
      <c r="E697" s="8" t="n">
        <f aca="false">D697*$J$5</f>
        <v>2.52631578947368</v>
      </c>
      <c r="F697" s="8" t="n">
        <f aca="false">E697-C697</f>
        <v>0.526315789473684</v>
      </c>
      <c r="G697" s="9" t="n">
        <f aca="false">IF(AND(C697=0,E697=0),0,IF(C697=0,"New",(E697-C697)/C697))</f>
        <v>0.263157894736842</v>
      </c>
      <c r="H697" s="8" t="n">
        <f aca="false">SUMIFS('Source'!$E:$E,'Source'!$A:$A,"155138 לקוח אינטרנט",'Source'!$B:$B,$A697)</f>
        <v>401.52</v>
      </c>
      <c r="I697" s="8" t="n">
        <f aca="false">SUMIFS('Source'!$G:$G,'Source'!$A:$A,"155138 לקוח אינטרנט",'Source'!$B:$B,$A697)</f>
        <v>381.44</v>
      </c>
      <c r="J697" s="8" t="n">
        <f aca="false">I697*$J$5</f>
        <v>481.818947368421</v>
      </c>
      <c r="K697" s="8" t="n">
        <f aca="false">J697-H697</f>
        <v>80.2989473684211</v>
      </c>
      <c r="L697" s="9" t="n">
        <f aca="false">IF(AND(H697=0,J697=0),0,IF(H697=0,"New",(J697-H697)/H697))</f>
        <v>0.199987416239343</v>
      </c>
      <c r="M697" s="7" t="str">
        <f aca="false">IF(AND(OR(C697&lt;&gt;0,H697&lt;&gt;0),D697=0,I697=0),"DROP",IF(AND(OR(D697&lt;&gt;0,I697&lt;&gt;0),C697=0,H697=0),"NEW",""))</f>
        <v/>
      </c>
    </row>
    <row r="698" customFormat="false" ht="15" hidden="false" customHeight="false" outlineLevel="0" collapsed="false">
      <c r="A698" s="7" t="s">
        <v>787</v>
      </c>
      <c r="B698" s="7" t="str">
        <f aca="false">IFERROR(INDEX('Source'!$C:$C,MATCH($A698,'Source'!$B:$B,0)),"")</f>
        <v>מתלה</v>
      </c>
      <c r="C698" s="8" t="n">
        <f aca="false">SUMIFS('Source'!$D:$D,'Source'!$A:$A,"155138 לקוח אינטרנט",'Source'!$B:$B,$A698)</f>
        <v>1</v>
      </c>
      <c r="D698" s="8" t="n">
        <f aca="false">SUMIFS('Source'!$F:$F,'Source'!$A:$A,"155138 לקוח אינטרנט",'Source'!$B:$B,$A698)</f>
        <v>1</v>
      </c>
      <c r="E698" s="8" t="n">
        <f aca="false">D698*$J$5</f>
        <v>1.26315789473684</v>
      </c>
      <c r="F698" s="8" t="n">
        <f aca="false">E698-C698</f>
        <v>0.263157894736842</v>
      </c>
      <c r="G698" s="9" t="n">
        <f aca="false">IF(AND(C698=0,E698=0),0,IF(C698=0,"New",(E698-C698)/C698))</f>
        <v>0.263157894736842</v>
      </c>
      <c r="H698" s="8" t="n">
        <f aca="false">SUMIFS('Source'!$E:$E,'Source'!$A:$A,"155138 לקוח אינטרנט",'Source'!$B:$B,$A698)</f>
        <v>200.76</v>
      </c>
      <c r="I698" s="8" t="n">
        <f aca="false">SUMIFS('Source'!$G:$G,'Source'!$A:$A,"155138 לקוח אינטרנט",'Source'!$B:$B,$A698)</f>
        <v>180.69</v>
      </c>
      <c r="J698" s="8" t="n">
        <f aca="false">I698*$J$5</f>
        <v>228.24</v>
      </c>
      <c r="K698" s="8" t="n">
        <f aca="false">J698-H698</f>
        <v>27.48</v>
      </c>
      <c r="L698" s="9" t="n">
        <f aca="false">IF(AND(H698=0,J698=0),0,IF(H698=0,"New",(J698-H698)/H698))</f>
        <v>0.136879856545128</v>
      </c>
      <c r="M698" s="7" t="str">
        <f aca="false">IF(AND(OR(C698&lt;&gt;0,H698&lt;&gt;0),D698=0,I698=0),"DROP",IF(AND(OR(D698&lt;&gt;0,I698&lt;&gt;0),C698=0,H698=0),"NEW",""))</f>
        <v/>
      </c>
    </row>
    <row r="699" customFormat="false" ht="15" hidden="false" customHeight="false" outlineLevel="0" collapsed="false">
      <c r="A699" s="7" t="s">
        <v>788</v>
      </c>
      <c r="B699" s="7" t="str">
        <f aca="false">IFERROR(INDEX('Source'!$C:$C,MATCH($A699,'Source'!$B:$B,0)),"")</f>
        <v>מגן ברך רגיל</v>
      </c>
      <c r="C699" s="8" t="n">
        <f aca="false">SUMIFS('Source'!$D:$D,'Source'!$A:$A,"155138 לקוח אינטרנט",'Source'!$B:$B,$A699)</f>
        <v>2</v>
      </c>
      <c r="D699" s="8" t="n">
        <f aca="false">SUMIFS('Source'!$F:$F,'Source'!$A:$A,"155138 לקוח אינטרנט",'Source'!$B:$B,$A699)</f>
        <v>2</v>
      </c>
      <c r="E699" s="8" t="n">
        <f aca="false">D699*$J$5</f>
        <v>2.52631578947368</v>
      </c>
      <c r="F699" s="8" t="n">
        <f aca="false">E699-C699</f>
        <v>0.526315789473684</v>
      </c>
      <c r="G699" s="9" t="n">
        <f aca="false">IF(AND(C699=0,E699=0),0,IF(C699=0,"New",(E699-C699)/C699))</f>
        <v>0.263157894736842</v>
      </c>
      <c r="H699" s="8" t="n">
        <f aca="false">SUMIFS('Source'!$E:$E,'Source'!$A:$A,"155138 לקוח אינטרנט",'Source'!$B:$B,$A699)</f>
        <v>381.18</v>
      </c>
      <c r="I699" s="8" t="n">
        <f aca="false">SUMIFS('Source'!$G:$G,'Source'!$A:$A,"155138 לקוח אינטרנט",'Source'!$B:$B,$A699)</f>
        <v>362.13</v>
      </c>
      <c r="J699" s="8" t="n">
        <f aca="false">I699*$J$5</f>
        <v>457.427368421053</v>
      </c>
      <c r="K699" s="8" t="n">
        <f aca="false">J699-H699</f>
        <v>76.2473684210526</v>
      </c>
      <c r="L699" s="9" t="n">
        <f aca="false">IF(AND(H699=0,J699=0),0,IF(H699=0,"New",(J699-H699)/H699))</f>
        <v>0.200029824285253</v>
      </c>
      <c r="M699" s="7" t="str">
        <f aca="false">IF(AND(OR(C699&lt;&gt;0,H699&lt;&gt;0),D699=0,I699=0),"DROP",IF(AND(OR(D699&lt;&gt;0,I699&lt;&gt;0),C699=0,H699=0),"NEW",""))</f>
        <v/>
      </c>
    </row>
    <row r="700" customFormat="false" ht="15" hidden="false" customHeight="false" outlineLevel="0" collapsed="false">
      <c r="A700" s="7" t="s">
        <v>789</v>
      </c>
      <c r="B700" s="7" t="str">
        <f aca="false">IFERROR(INDEX('Source'!$C:$C,MATCH($A700,'Source'!$B:$B,0)),"")</f>
        <v>חגורה למנותחי בית החזה</v>
      </c>
      <c r="C700" s="8" t="n">
        <f aca="false">SUMIFS('Source'!$D:$D,'Source'!$A:$A,"155138 לקוח אינטרנט",'Source'!$B:$B,$A700)</f>
        <v>4</v>
      </c>
      <c r="D700" s="8" t="n">
        <f aca="false">SUMIFS('Source'!$F:$F,'Source'!$A:$A,"155138 לקוח אינטרנט",'Source'!$B:$B,$A700)</f>
        <v>4</v>
      </c>
      <c r="E700" s="8" t="n">
        <f aca="false">D700*$J$5</f>
        <v>5.05263157894737</v>
      </c>
      <c r="F700" s="8" t="n">
        <f aca="false">E700-C700</f>
        <v>1.05263157894737</v>
      </c>
      <c r="G700" s="9" t="n">
        <f aca="false">IF(AND(C700=0,E700=0),0,IF(C700=0,"New",(E700-C700)/C700))</f>
        <v>0.263157894736842</v>
      </c>
      <c r="H700" s="8" t="n">
        <f aca="false">SUMIFS('Source'!$E:$E,'Source'!$A:$A,"155138 לקוח אינטרנט",'Source'!$B:$B,$A700)</f>
        <v>1087.85</v>
      </c>
      <c r="I700" s="8" t="n">
        <f aca="false">SUMIFS('Source'!$G:$G,'Source'!$A:$A,"155138 לקוח אינטרנט",'Source'!$B:$B,$A700)</f>
        <v>1106.86</v>
      </c>
      <c r="J700" s="8" t="n">
        <f aca="false">I700*$J$5</f>
        <v>1398.13894736842</v>
      </c>
      <c r="K700" s="8" t="n">
        <f aca="false">J700-H700</f>
        <v>310.288947368421</v>
      </c>
      <c r="L700" s="9" t="n">
        <f aca="false">IF(AND(H700=0,J700=0),0,IF(H700=0,"New",(J700-H700)/H700))</f>
        <v>0.285231371391664</v>
      </c>
      <c r="M700" s="7" t="str">
        <f aca="false">IF(AND(OR(C700&lt;&gt;0,H700&lt;&gt;0),D700=0,I700=0),"DROP",IF(AND(OR(D700&lt;&gt;0,I700&lt;&gt;0),C700=0,H700=0),"NEW",""))</f>
        <v/>
      </c>
    </row>
    <row r="701" customFormat="false" ht="15" hidden="false" customHeight="false" outlineLevel="0" collapsed="false">
      <c r="A701" s="7" t="s">
        <v>790</v>
      </c>
      <c r="B701" s="7" t="str">
        <f aca="false">IFERROR(INDEX('Source'!$C:$C,MATCH($A701,'Source'!$B:$B,0)),"")</f>
        <v>מגן מרפק + סיליקון</v>
      </c>
      <c r="C701" s="8" t="n">
        <f aca="false">SUMIFS('Source'!$D:$D,'Source'!$A:$A,"155138 לקוח אינטרנט",'Source'!$B:$B,$A701)</f>
        <v>7</v>
      </c>
      <c r="D701" s="8" t="n">
        <f aca="false">SUMIFS('Source'!$F:$F,'Source'!$A:$A,"155138 לקוח אינטרנט",'Source'!$B:$B,$A701)</f>
        <v>10</v>
      </c>
      <c r="E701" s="8" t="n">
        <f aca="false">D701*$J$5</f>
        <v>12.6315789473684</v>
      </c>
      <c r="F701" s="8" t="n">
        <f aca="false">E701-C701</f>
        <v>5.63157894736842</v>
      </c>
      <c r="G701" s="9" t="n">
        <f aca="false">IF(AND(C701=0,E701=0),0,IF(C701=0,"New",(E701-C701)/C701))</f>
        <v>0.804511278195489</v>
      </c>
      <c r="H701" s="8" t="n">
        <f aca="false">SUMIFS('Source'!$E:$E,'Source'!$A:$A,"155138 לקוח אינטרנט",'Source'!$B:$B,$A701)</f>
        <v>1719.83</v>
      </c>
      <c r="I701" s="8" t="n">
        <f aca="false">SUMIFS('Source'!$G:$G,'Source'!$A:$A,"155138 לקוח אינטרנט",'Source'!$B:$B,$A701)</f>
        <v>1737.83</v>
      </c>
      <c r="J701" s="8" t="n">
        <f aca="false">I701*$J$5</f>
        <v>2195.15368421053</v>
      </c>
      <c r="K701" s="8" t="n">
        <f aca="false">J701-H701</f>
        <v>475.323684210526</v>
      </c>
      <c r="L701" s="9" t="n">
        <f aca="false">IF(AND(H701=0,J701=0),0,IF(H701=0,"New",(J701-H701)/H701))</f>
        <v>0.27637829565162</v>
      </c>
      <c r="M701" s="7" t="str">
        <f aca="false">IF(AND(OR(C701&lt;&gt;0,H701&lt;&gt;0),D701=0,I701=0),"DROP",IF(AND(OR(D701&lt;&gt;0,I701&lt;&gt;0),C701=0,H701=0),"NEW",""))</f>
        <v/>
      </c>
    </row>
    <row r="702" customFormat="false" ht="15" hidden="false" customHeight="false" outlineLevel="0" collapsed="false">
      <c r="A702" s="7" t="s">
        <v>791</v>
      </c>
      <c r="B702" s="7" t="str">
        <f aca="false">IFERROR(INDEX('Source'!$C:$C,MATCH($A702,'Source'!$B:$B,0)),"")</f>
        <v>מגן קרסול ימין SC35</v>
      </c>
      <c r="C702" s="8" t="n">
        <f aca="false">SUMIFS('Source'!$D:$D,'Source'!$A:$A,"155138 לקוח אינטרנט",'Source'!$B:$B,$A702)</f>
        <v>10</v>
      </c>
      <c r="D702" s="8" t="n">
        <f aca="false">SUMIFS('Source'!$F:$F,'Source'!$A:$A,"155138 לקוח אינטרנט",'Source'!$B:$B,$A702)</f>
        <v>8</v>
      </c>
      <c r="E702" s="8" t="n">
        <f aca="false">D702*$J$5</f>
        <v>10.1052631578947</v>
      </c>
      <c r="F702" s="8" t="n">
        <f aca="false">E702-C702</f>
        <v>0.105263157894736</v>
      </c>
      <c r="G702" s="9" t="n">
        <f aca="false">IF(AND(C702=0,E702=0),0,IF(C702=0,"New",(E702-C702)/C702))</f>
        <v>0.0105263157894736</v>
      </c>
      <c r="H702" s="8" t="n">
        <f aca="false">SUMIFS('Source'!$E:$E,'Source'!$A:$A,"155138 לקוח אינטרנט",'Source'!$B:$B,$A702)</f>
        <v>1235.1</v>
      </c>
      <c r="I702" s="8" t="n">
        <f aca="false">SUMIFS('Source'!$G:$G,'Source'!$A:$A,"155138 לקוח אינטרנט",'Source'!$B:$B,$A702)</f>
        <v>1219.75</v>
      </c>
      <c r="J702" s="8" t="n">
        <f aca="false">I702*$J$5</f>
        <v>1540.73684210526</v>
      </c>
      <c r="K702" s="8" t="n">
        <f aca="false">J702-H702</f>
        <v>305.636842105263</v>
      </c>
      <c r="L702" s="9" t="n">
        <f aca="false">IF(AND(H702=0,J702=0),0,IF(H702=0,"New",(J702-H702)/H702))</f>
        <v>0.247459187195582</v>
      </c>
      <c r="M702" s="7" t="str">
        <f aca="false">IF(AND(OR(C702&lt;&gt;0,H702&lt;&gt;0),D702=0,I702=0),"DROP",IF(AND(OR(D702&lt;&gt;0,I702&lt;&gt;0),C702=0,H702=0),"NEW",""))</f>
        <v/>
      </c>
    </row>
    <row r="703" customFormat="false" ht="15" hidden="false" customHeight="false" outlineLevel="0" collapsed="false">
      <c r="A703" s="7" t="s">
        <v>792</v>
      </c>
      <c r="B703" s="7" t="str">
        <f aca="false">IFERROR(INDEX('Source'!$C:$C,MATCH($A703,'Source'!$B:$B,0)),"")</f>
        <v>סד לאגודל</v>
      </c>
      <c r="C703" s="8" t="n">
        <f aca="false">SUMIFS('Source'!$D:$D,'Source'!$A:$A,"155138 לקוח אינטרנט",'Source'!$B:$B,$A703)</f>
        <v>1</v>
      </c>
      <c r="D703" s="8" t="n">
        <f aca="false">SUMIFS('Source'!$F:$F,'Source'!$A:$A,"155138 לקוח אינטרנט",'Source'!$B:$B,$A703)</f>
        <v>1</v>
      </c>
      <c r="E703" s="8" t="n">
        <f aca="false">D703*$J$5</f>
        <v>1.26315789473684</v>
      </c>
      <c r="F703" s="8" t="n">
        <f aca="false">E703-C703</f>
        <v>0.263157894736842</v>
      </c>
      <c r="G703" s="9" t="n">
        <f aca="false">IF(AND(C703=0,E703=0),0,IF(C703=0,"New",(E703-C703)/C703))</f>
        <v>0.263157894736842</v>
      </c>
      <c r="H703" s="8" t="n">
        <f aca="false">SUMIFS('Source'!$E:$E,'Source'!$A:$A,"155138 לקוח אינטרנט",'Source'!$B:$B,$A703)</f>
        <v>171.1</v>
      </c>
      <c r="I703" s="8" t="n">
        <f aca="false">SUMIFS('Source'!$G:$G,'Source'!$A:$A,"155138 לקוח אינטרנט",'Source'!$B:$B,$A703)</f>
        <v>186.36</v>
      </c>
      <c r="J703" s="8" t="n">
        <f aca="false">I703*$J$5</f>
        <v>235.402105263158</v>
      </c>
      <c r="K703" s="8" t="n">
        <f aca="false">J703-H703</f>
        <v>64.3021052631579</v>
      </c>
      <c r="L703" s="9" t="n">
        <f aca="false">IF(AND(H703=0,J703=0),0,IF(H703=0,"New",(J703-H703)/H703))</f>
        <v>0.37581592789689</v>
      </c>
      <c r="M703" s="7" t="str">
        <f aca="false">IF(AND(OR(C703&lt;&gt;0,H703&lt;&gt;0),D703=0,I703=0),"DROP",IF(AND(OR(D703&lt;&gt;0,I703&lt;&gt;0),C703=0,H703=0),"NEW",""))</f>
        <v/>
      </c>
    </row>
    <row r="704" customFormat="false" ht="15" hidden="false" customHeight="false" outlineLevel="0" collapsed="false">
      <c r="A704" s="7" t="s">
        <v>793</v>
      </c>
      <c r="B704" s="7" t="str">
        <f aca="false">IFERROR(INDEX('Source'!$C:$C,MATCH($A704,'Source'!$B:$B,0)),"")</f>
        <v>מגן קרסול חום</v>
      </c>
      <c r="C704" s="8" t="n">
        <f aca="false">SUMIFS('Source'!$D:$D,'Source'!$A:$A,"155138 לקוח אינטרנט",'Source'!$B:$B,$A704)</f>
        <v>6</v>
      </c>
      <c r="D704" s="8" t="n">
        <f aca="false">SUMIFS('Source'!$F:$F,'Source'!$A:$A,"155138 לקוח אינטרנט",'Source'!$B:$B,$A704)</f>
        <v>6</v>
      </c>
      <c r="E704" s="8" t="n">
        <f aca="false">D704*$J$5</f>
        <v>7.57894736842105</v>
      </c>
      <c r="F704" s="8" t="n">
        <f aca="false">E704-C704</f>
        <v>1.57894736842105</v>
      </c>
      <c r="G704" s="9" t="n">
        <f aca="false">IF(AND(C704=0,E704=0),0,IF(C704=0,"New",(E704-C704)/C704))</f>
        <v>0.263157894736842</v>
      </c>
      <c r="H704" s="8" t="n">
        <f aca="false">SUMIFS('Source'!$E:$E,'Source'!$A:$A,"155138 לקוח אינטרנט",'Source'!$B:$B,$A704)</f>
        <v>314.94</v>
      </c>
      <c r="I704" s="8" t="n">
        <f aca="false">SUMIFS('Source'!$G:$G,'Source'!$A:$A,"155138 לקוח אינטרנט",'Source'!$B:$B,$A704)</f>
        <v>329.5</v>
      </c>
      <c r="J704" s="8" t="n">
        <f aca="false">I704*$J$5</f>
        <v>416.210526315789</v>
      </c>
      <c r="K704" s="8" t="n">
        <f aca="false">J704-H704</f>
        <v>101.270526315789</v>
      </c>
      <c r="L704" s="9" t="n">
        <f aca="false">IF(AND(H704=0,J704=0),0,IF(H704=0,"New",(J704-H704)/H704))</f>
        <v>0.321554982904012</v>
      </c>
      <c r="M704" s="7" t="str">
        <f aca="false">IF(AND(OR(C704&lt;&gt;0,H704&lt;&gt;0),D704=0,I704=0),"DROP",IF(AND(OR(D704&lt;&gt;0,I704&lt;&gt;0),C704=0,H704=0),"NEW",""))</f>
        <v/>
      </c>
    </row>
    <row r="705" customFormat="false" ht="15" hidden="false" customHeight="false" outlineLevel="0" collapsed="false">
      <c r="A705" s="7" t="s">
        <v>794</v>
      </c>
      <c r="B705" s="7" t="str">
        <f aca="false">IFERROR(INDEX('Source'!$C:$C,MATCH($A705,'Source'!$B:$B,0)),"")</f>
        <v>חגורת היריון</v>
      </c>
      <c r="C705" s="8" t="n">
        <f aca="false">SUMIFS('Source'!$D:$D,'Source'!$A:$A,"155138 לקוח אינטרנט",'Source'!$B:$B,$A705)</f>
        <v>3</v>
      </c>
      <c r="D705" s="8" t="n">
        <f aca="false">SUMIFS('Source'!$F:$F,'Source'!$A:$A,"155138 לקוח אינטרנט",'Source'!$B:$B,$A705)</f>
        <v>3</v>
      </c>
      <c r="E705" s="8" t="n">
        <f aca="false">D705*$J$5</f>
        <v>3.78947368421053</v>
      </c>
      <c r="F705" s="8" t="n">
        <f aca="false">E705-C705</f>
        <v>0.789473684210526</v>
      </c>
      <c r="G705" s="9" t="n">
        <f aca="false">IF(AND(C705=0,E705=0),0,IF(C705=0,"New",(E705-C705)/C705))</f>
        <v>0.263157894736842</v>
      </c>
      <c r="H705" s="8" t="n">
        <f aca="false">SUMIFS('Source'!$E:$E,'Source'!$A:$A,"155138 לקוח אינטרנט",'Source'!$B:$B,$A705)</f>
        <v>651.88</v>
      </c>
      <c r="I705" s="8" t="n">
        <f aca="false">SUMIFS('Source'!$G:$G,'Source'!$A:$A,"155138 לקוח אינטרנט",'Source'!$B:$B,$A705)</f>
        <v>663.32</v>
      </c>
      <c r="J705" s="8" t="n">
        <f aca="false">I705*$J$5</f>
        <v>837.877894736842</v>
      </c>
      <c r="K705" s="8" t="n">
        <f aca="false">J705-H705</f>
        <v>185.997894736842</v>
      </c>
      <c r="L705" s="9" t="n">
        <f aca="false">IF(AND(H705=0,J705=0),0,IF(H705=0,"New",(J705-H705)/H705))</f>
        <v>0.285325358558081</v>
      </c>
      <c r="M705" s="7" t="str">
        <f aca="false">IF(AND(OR(C705&lt;&gt;0,H705&lt;&gt;0),D705=0,I705=0),"DROP",IF(AND(OR(D705&lt;&gt;0,I705&lt;&gt;0),C705=0,H705=0),"NEW",""))</f>
        <v/>
      </c>
    </row>
    <row r="706" customFormat="false" ht="15" hidden="false" customHeight="false" outlineLevel="0" collapsed="false">
      <c r="A706" s="7" t="s">
        <v>795</v>
      </c>
      <c r="B706" s="7" t="str">
        <f aca="false">IFERROR(INDEX('Source'!$C:$C,MATCH($A706,'Source'!$B:$B,0)),"")</f>
        <v>מגן יד</v>
      </c>
      <c r="C706" s="8" t="n">
        <f aca="false">SUMIFS('Source'!$D:$D,'Source'!$A:$A,"155138 לקוח אינטרנט",'Source'!$B:$B,$A706)</f>
        <v>8</v>
      </c>
      <c r="D706" s="8" t="n">
        <f aca="false">SUMIFS('Source'!$F:$F,'Source'!$A:$A,"155138 לקוח אינטרנט",'Source'!$B:$B,$A706)</f>
        <v>8</v>
      </c>
      <c r="E706" s="8" t="n">
        <f aca="false">D706*$J$5</f>
        <v>10.1052631578947</v>
      </c>
      <c r="F706" s="8" t="n">
        <f aca="false">E706-C706</f>
        <v>2.10526315789474</v>
      </c>
      <c r="G706" s="9" t="n">
        <f aca="false">IF(AND(C706=0,E706=0),0,IF(C706=0,"New",(E706-C706)/C706))</f>
        <v>0.263157894736842</v>
      </c>
      <c r="H706" s="8" t="n">
        <f aca="false">SUMIFS('Source'!$E:$E,'Source'!$A:$A,"155138 לקוח אינטרנט",'Source'!$B:$B,$A706)</f>
        <v>557.82</v>
      </c>
      <c r="I706" s="8" t="n">
        <f aca="false">SUMIFS('Source'!$G:$G,'Source'!$A:$A,"155138 לקוח אינטרנט",'Source'!$B:$B,$A706)</f>
        <v>568.4</v>
      </c>
      <c r="J706" s="8" t="n">
        <f aca="false">I706*$J$5</f>
        <v>717.978947368421</v>
      </c>
      <c r="K706" s="8" t="n">
        <f aca="false">J706-H706</f>
        <v>160.158947368421</v>
      </c>
      <c r="L706" s="9" t="n">
        <f aca="false">IF(AND(H706=0,J706=0),0,IF(H706=0,"New",(J706-H706)/H706))</f>
        <v>0.287115821176044</v>
      </c>
      <c r="M706" s="7" t="str">
        <f aca="false">IF(AND(OR(C706&lt;&gt;0,H706&lt;&gt;0),D706=0,I706=0),"DROP",IF(AND(OR(D706&lt;&gt;0,I706&lt;&gt;0),C706=0,H706=0),"NEW",""))</f>
        <v/>
      </c>
    </row>
    <row r="707" customFormat="false" ht="15" hidden="false" customHeight="false" outlineLevel="0" collapsed="false">
      <c r="A707" s="7" t="s">
        <v>796</v>
      </c>
      <c r="B707" s="7" t="str">
        <f aca="false">IFERROR(INDEX('Source'!$C:$C,MATCH($A707,'Source'!$B:$B,0)),"")</f>
        <v>מגן ברך מחמם</v>
      </c>
      <c r="C707" s="8" t="n">
        <f aca="false">SUMIFS('Source'!$D:$D,'Source'!$A:$A,"155138 לקוח אינטרנט",'Source'!$B:$B,$A707)</f>
        <v>4</v>
      </c>
      <c r="D707" s="8" t="n">
        <f aca="false">SUMIFS('Source'!$F:$F,'Source'!$A:$A,"155138 לקוח אינטרנט",'Source'!$B:$B,$A707)</f>
        <v>4</v>
      </c>
      <c r="E707" s="8" t="n">
        <f aca="false">D707*$J$5</f>
        <v>5.05263157894737</v>
      </c>
      <c r="F707" s="8" t="n">
        <f aca="false">E707-C707</f>
        <v>1.05263157894737</v>
      </c>
      <c r="G707" s="9" t="n">
        <f aca="false">IF(AND(C707=0,E707=0),0,IF(C707=0,"New",(E707-C707)/C707))</f>
        <v>0.263157894736842</v>
      </c>
      <c r="H707" s="8" t="n">
        <f aca="false">SUMIFS('Source'!$E:$E,'Source'!$A:$A,"155138 לקוח אינטרנט",'Source'!$B:$B,$A707)</f>
        <v>409.84</v>
      </c>
      <c r="I707" s="8" t="n">
        <f aca="false">SUMIFS('Source'!$G:$G,'Source'!$A:$A,"155138 לקוח אינטרנט",'Source'!$B:$B,$A707)</f>
        <v>399.58</v>
      </c>
      <c r="J707" s="8" t="n">
        <f aca="false">I707*$J$5</f>
        <v>504.732631578947</v>
      </c>
      <c r="K707" s="8" t="n">
        <f aca="false">J707-H707</f>
        <v>94.8926315789474</v>
      </c>
      <c r="L707" s="9" t="n">
        <f aca="false">IF(AND(H707=0,J707=0),0,IF(H707=0,"New",(J707-H707)/H707))</f>
        <v>0.231535798308968</v>
      </c>
      <c r="M707" s="7" t="str">
        <f aca="false">IF(AND(OR(C707&lt;&gt;0,H707&lt;&gt;0),D707=0,I707=0),"DROP",IF(AND(OR(D707&lt;&gt;0,I707&lt;&gt;0),C707=0,H707=0),"NEW",""))</f>
        <v/>
      </c>
    </row>
    <row r="708" customFormat="false" ht="15" hidden="false" customHeight="false" outlineLevel="0" collapsed="false">
      <c r="A708" s="7" t="s">
        <v>797</v>
      </c>
      <c r="B708" s="7" t="str">
        <f aca="false">IFERROR(INDEX('Source'!$C:$C,MATCH($A708,'Source'!$B:$B,0)),"")</f>
        <v>חגורת בטן</v>
      </c>
      <c r="C708" s="8" t="n">
        <f aca="false">SUMIFS('Source'!$D:$D,'Source'!$A:$A,"155138 לקוח אינטרנט",'Source'!$B:$B,$A708)</f>
        <v>5</v>
      </c>
      <c r="D708" s="8" t="n">
        <f aca="false">SUMIFS('Source'!$F:$F,'Source'!$A:$A,"155138 לקוח אינטרנט",'Source'!$B:$B,$A708)</f>
        <v>5</v>
      </c>
      <c r="E708" s="8" t="n">
        <f aca="false">D708*$J$5</f>
        <v>6.31578947368421</v>
      </c>
      <c r="F708" s="8" t="n">
        <f aca="false">E708-C708</f>
        <v>1.31578947368421</v>
      </c>
      <c r="G708" s="9" t="n">
        <f aca="false">IF(AND(C708=0,E708=0),0,IF(C708=0,"New",(E708-C708)/C708))</f>
        <v>0.263157894736842</v>
      </c>
      <c r="H708" s="8" t="n">
        <f aca="false">SUMIFS('Source'!$E:$E,'Source'!$A:$A,"155138 לקוח אינטרנט",'Source'!$B:$B,$A708)</f>
        <v>944.93</v>
      </c>
      <c r="I708" s="8" t="n">
        <f aca="false">SUMIFS('Source'!$G:$G,'Source'!$A:$A,"155138 לקוח אינטרנט",'Source'!$B:$B,$A708)</f>
        <v>935.19</v>
      </c>
      <c r="J708" s="8" t="n">
        <f aca="false">I708*$J$5</f>
        <v>1181.29263157895</v>
      </c>
      <c r="K708" s="8" t="n">
        <f aca="false">J708-H708</f>
        <v>236.362631578947</v>
      </c>
      <c r="L708" s="9" t="n">
        <f aca="false">IF(AND(H708=0,J708=0),0,IF(H708=0,"New",(J708-H708)/H708))</f>
        <v>0.250137715575701</v>
      </c>
      <c r="M708" s="7" t="str">
        <f aca="false">IF(AND(OR(C708&lt;&gt;0,H708&lt;&gt;0),D708=0,I708=0),"DROP",IF(AND(OR(D708&lt;&gt;0,I708&lt;&gt;0),C708=0,H708=0),"NEW",""))</f>
        <v/>
      </c>
    </row>
    <row r="709" customFormat="false" ht="15" hidden="false" customHeight="false" outlineLevel="0" collapsed="false">
      <c r="A709" s="7" t="s">
        <v>798</v>
      </c>
      <c r="B709" s="7" t="str">
        <f aca="false">IFERROR(INDEX('Source'!$C:$C,MATCH($A709,'Source'!$B:$B,0)),"")</f>
        <v>מדבקה ג'ל למניעת יבלות</v>
      </c>
      <c r="C709" s="8" t="n">
        <f aca="false">SUMIFS('Source'!$D:$D,'Source'!$A:$A,"155138 לקוח אינטרנט",'Source'!$B:$B,$A709)</f>
        <v>16</v>
      </c>
      <c r="D709" s="8" t="n">
        <f aca="false">SUMIFS('Source'!$F:$F,'Source'!$A:$A,"155138 לקוח אינטרנט",'Source'!$B:$B,$A709)</f>
        <v>14</v>
      </c>
      <c r="E709" s="8" t="n">
        <f aca="false">D709*$J$5</f>
        <v>17.6842105263158</v>
      </c>
      <c r="F709" s="8" t="n">
        <f aca="false">E709-C709</f>
        <v>1.68421052631579</v>
      </c>
      <c r="G709" s="9" t="n">
        <f aca="false">IF(AND(C709=0,E709=0),0,IF(C709=0,"New",(E709-C709)/C709))</f>
        <v>0.105263157894737</v>
      </c>
      <c r="H709" s="8" t="n">
        <f aca="false">SUMIFS('Source'!$E:$E,'Source'!$A:$A,"155138 לקוח אינטרנט",'Source'!$B:$B,$A709)</f>
        <v>464.23</v>
      </c>
      <c r="I709" s="8" t="n">
        <f aca="false">SUMIFS('Source'!$G:$G,'Source'!$A:$A,"155138 לקוח אינטרנט",'Source'!$B:$B,$A709)</f>
        <v>473.39</v>
      </c>
      <c r="J709" s="8" t="n">
        <f aca="false">I709*$J$5</f>
        <v>597.966315789474</v>
      </c>
      <c r="K709" s="8" t="n">
        <f aca="false">J709-H709</f>
        <v>133.736315789474</v>
      </c>
      <c r="L709" s="9" t="n">
        <f aca="false">IF(AND(H709=0,J709=0),0,IF(H709=0,"New",(J709-H709)/H709))</f>
        <v>0.28808201923502</v>
      </c>
      <c r="M709" s="7" t="str">
        <f aca="false">IF(AND(OR(C709&lt;&gt;0,H709&lt;&gt;0),D709=0,I709=0),"DROP",IF(AND(OR(D709&lt;&gt;0,I709&lt;&gt;0),C709=0,H709=0),"NEW",""))</f>
        <v/>
      </c>
    </row>
    <row r="710" customFormat="false" ht="15" hidden="false" customHeight="false" outlineLevel="0" collapsed="false">
      <c r="A710" s="7" t="s">
        <v>799</v>
      </c>
      <c r="B710" s="7" t="str">
        <f aca="false">IFERROR(INDEX('Source'!$C:$C,MATCH($A710,'Source'!$B:$B,0)),"")</f>
        <v>מגן מרפק</v>
      </c>
      <c r="C710" s="8" t="n">
        <f aca="false">SUMIFS('Source'!$D:$D,'Source'!$A:$A,"155138 לקוח אינטרנט",'Source'!$B:$B,$A710)</f>
        <v>1</v>
      </c>
      <c r="D710" s="8" t="n">
        <f aca="false">SUMIFS('Source'!$F:$F,'Source'!$A:$A,"155138 לקוח אינטרנט",'Source'!$B:$B,$A710)</f>
        <v>1</v>
      </c>
      <c r="E710" s="8" t="n">
        <f aca="false">D710*$J$5</f>
        <v>1.26315789473684</v>
      </c>
      <c r="F710" s="8" t="n">
        <f aca="false">E710-C710</f>
        <v>0.263157894736842</v>
      </c>
      <c r="G710" s="9" t="n">
        <f aca="false">IF(AND(C710=0,E710=0),0,IF(C710=0,"New",(E710-C710)/C710))</f>
        <v>0.263157894736842</v>
      </c>
      <c r="H710" s="8" t="n">
        <f aca="false">SUMIFS('Source'!$E:$E,'Source'!$A:$A,"155138 לקוח אינטרנט",'Source'!$B:$B,$A710)</f>
        <v>55.85</v>
      </c>
      <c r="I710" s="8" t="n">
        <f aca="false">SUMIFS('Source'!$G:$G,'Source'!$A:$A,"155138 לקוח אינטרנט",'Source'!$B:$B,$A710)</f>
        <v>47.47</v>
      </c>
      <c r="J710" s="8" t="n">
        <f aca="false">I710*$J$5</f>
        <v>59.9621052631579</v>
      </c>
      <c r="K710" s="8" t="n">
        <f aca="false">J710-H710</f>
        <v>4.11210526315789</v>
      </c>
      <c r="L710" s="9" t="n">
        <f aca="false">IF(AND(H710=0,J710=0),0,IF(H710=0,"New",(J710-H710)/H710))</f>
        <v>0.0736276680959335</v>
      </c>
      <c r="M710" s="7" t="str">
        <f aca="false">IF(AND(OR(C710&lt;&gt;0,H710&lt;&gt;0),D710=0,I710=0),"DROP",IF(AND(OR(D710&lt;&gt;0,I710&lt;&gt;0),C710=0,H710=0),"NEW",""))</f>
        <v/>
      </c>
    </row>
    <row r="711" customFormat="false" ht="15" hidden="false" customHeight="false" outlineLevel="0" collapsed="false">
      <c r="A711" s="7" t="s">
        <v>800</v>
      </c>
      <c r="B711" s="7" t="str">
        <f aca="false">IFERROR(INDEX('Source'!$C:$C,MATCH($A711,'Source'!$B:$B,0)),"")</f>
        <v>כפפת לחץ</v>
      </c>
      <c r="C711" s="8" t="n">
        <f aca="false">SUMIFS('Source'!$D:$D,'Source'!$A:$A,"155138 לקוח אינטרנט",'Source'!$B:$B,$A711)</f>
        <v>43</v>
      </c>
      <c r="D711" s="8" t="n">
        <f aca="false">SUMIFS('Source'!$F:$F,'Source'!$A:$A,"155138 לקוח אינטרנט",'Source'!$B:$B,$A711)</f>
        <v>40</v>
      </c>
      <c r="E711" s="8" t="n">
        <f aca="false">D711*$J$5</f>
        <v>50.5263157894737</v>
      </c>
      <c r="F711" s="8" t="n">
        <f aca="false">E711-C711</f>
        <v>7.52631578947369</v>
      </c>
      <c r="G711" s="9" t="n">
        <f aca="false">IF(AND(C711=0,E711=0),0,IF(C711=0,"New",(E711-C711)/C711))</f>
        <v>0.175030599755202</v>
      </c>
      <c r="H711" s="8" t="n">
        <f aca="false">SUMIFS('Source'!$E:$E,'Source'!$A:$A,"155138 לקוח אינטרנט",'Source'!$B:$B,$A711)</f>
        <v>2531.63</v>
      </c>
      <c r="I711" s="8" t="n">
        <f aca="false">SUMIFS('Source'!$G:$G,'Source'!$A:$A,"155138 לקוח אינטרנט",'Source'!$B:$B,$A711)</f>
        <v>2537.48</v>
      </c>
      <c r="J711" s="8" t="n">
        <f aca="false">I711*$J$5</f>
        <v>3205.23789473684</v>
      </c>
      <c r="K711" s="8" t="n">
        <f aca="false">J711-H711</f>
        <v>673.607894736842</v>
      </c>
      <c r="L711" s="9" t="n">
        <f aca="false">IF(AND(H711=0,J711=0),0,IF(H711=0,"New",(J711-H711)/H711))</f>
        <v>0.266076754793095</v>
      </c>
      <c r="M711" s="7" t="str">
        <f aca="false">IF(AND(OR(C711&lt;&gt;0,H711&lt;&gt;0),D711=0,I711=0),"DROP",IF(AND(OR(D711&lt;&gt;0,I711&lt;&gt;0),C711=0,H711=0),"NEW",""))</f>
        <v/>
      </c>
    </row>
    <row r="712" customFormat="false" ht="15" hidden="false" customHeight="false" outlineLevel="0" collapsed="false">
      <c r="A712" s="7" t="s">
        <v>801</v>
      </c>
      <c r="B712" s="7" t="str">
        <f aca="false">IFERROR(INDEX('Source'!$C:$C,MATCH($A712,'Source'!$B:$B,0)),"")</f>
        <v>מגן מרפק</v>
      </c>
      <c r="C712" s="8" t="n">
        <f aca="false">SUMIFS('Source'!$D:$D,'Source'!$A:$A,"155138 לקוח אינטרנט",'Source'!$B:$B,$A712)</f>
        <v>4</v>
      </c>
      <c r="D712" s="8" t="n">
        <f aca="false">SUMIFS('Source'!$F:$F,'Source'!$A:$A,"155138 לקוח אינטרנט",'Source'!$B:$B,$A712)</f>
        <v>6</v>
      </c>
      <c r="E712" s="8" t="n">
        <f aca="false">D712*$J$5</f>
        <v>7.57894736842105</v>
      </c>
      <c r="F712" s="8" t="n">
        <f aca="false">E712-C712</f>
        <v>3.57894736842105</v>
      </c>
      <c r="G712" s="9" t="n">
        <f aca="false">IF(AND(C712=0,E712=0),0,IF(C712=0,"New",(E712-C712)/C712))</f>
        <v>0.894736842105263</v>
      </c>
      <c r="H712" s="8" t="n">
        <f aca="false">SUMIFS('Source'!$E:$E,'Source'!$A:$A,"155138 לקוח אינטרנט",'Source'!$B:$B,$A712)</f>
        <v>201.05</v>
      </c>
      <c r="I712" s="8" t="n">
        <f aca="false">SUMIFS('Source'!$G:$G,'Source'!$A:$A,"155138 לקוח אינטרנט",'Source'!$B:$B,$A712)</f>
        <v>204.8</v>
      </c>
      <c r="J712" s="8" t="n">
        <f aca="false">I712*$J$5</f>
        <v>258.694736842105</v>
      </c>
      <c r="K712" s="8" t="n">
        <f aca="false">J712-H712</f>
        <v>57.6447368421053</v>
      </c>
      <c r="L712" s="9" t="n">
        <f aca="false">IF(AND(H712=0,J712=0),0,IF(H712=0,"New",(J712-H712)/H712))</f>
        <v>0.286718412544667</v>
      </c>
      <c r="M712" s="7" t="str">
        <f aca="false">IF(AND(OR(C712&lt;&gt;0,H712&lt;&gt;0),D712=0,I712=0),"DROP",IF(AND(OR(D712&lt;&gt;0,I712&lt;&gt;0),C712=0,H712=0),"NEW",""))</f>
        <v/>
      </c>
    </row>
    <row r="713" customFormat="false" ht="15" hidden="false" customHeight="false" outlineLevel="0" collapsed="false">
      <c r="A713" s="7" t="s">
        <v>802</v>
      </c>
      <c r="B713" s="7" t="str">
        <f aca="false">IFERROR(INDEX('Source'!$C:$C,MATCH($A713,'Source'!$B:$B,0)),"")</f>
        <v>מגן קרסול שחור</v>
      </c>
      <c r="C713" s="8" t="n">
        <f aca="false">SUMIFS('Source'!$D:$D,'Source'!$A:$A,"155138 לקוח אינטרנט",'Source'!$B:$B,$A713)</f>
        <v>10</v>
      </c>
      <c r="D713" s="8" t="n">
        <f aca="false">SUMIFS('Source'!$F:$F,'Source'!$A:$A,"155138 לקוח אינטרנט",'Source'!$B:$B,$A713)</f>
        <v>9</v>
      </c>
      <c r="E713" s="8" t="n">
        <f aca="false">D713*$J$5</f>
        <v>11.3684210526316</v>
      </c>
      <c r="F713" s="8" t="n">
        <f aca="false">E713-C713</f>
        <v>1.36842105263158</v>
      </c>
      <c r="G713" s="9" t="n">
        <f aca="false">IF(AND(C713=0,E713=0),0,IF(C713=0,"New",(E713-C713)/C713))</f>
        <v>0.136842105263158</v>
      </c>
      <c r="H713" s="8" t="n">
        <f aca="false">SUMIFS('Source'!$E:$E,'Source'!$A:$A,"155138 לקוח אינטרנט",'Source'!$B:$B,$A713)</f>
        <v>505.44</v>
      </c>
      <c r="I713" s="8" t="n">
        <f aca="false">SUMIFS('Source'!$G:$G,'Source'!$A:$A,"155138 לקוח אינטרנט",'Source'!$B:$B,$A713)</f>
        <v>502.65</v>
      </c>
      <c r="J713" s="8" t="n">
        <f aca="false">I713*$J$5</f>
        <v>634.926315789474</v>
      </c>
      <c r="K713" s="8" t="n">
        <f aca="false">J713-H713</f>
        <v>129.486315789474</v>
      </c>
      <c r="L713" s="9" t="n">
        <f aca="false">IF(AND(H713=0,J713=0),0,IF(H713=0,"New",(J713-H713)/H713))</f>
        <v>0.256185335132703</v>
      </c>
      <c r="M713" s="7" t="str">
        <f aca="false">IF(AND(OR(C713&lt;&gt;0,H713&lt;&gt;0),D713=0,I713=0),"DROP",IF(AND(OR(D713&lt;&gt;0,I713&lt;&gt;0),C713=0,H713=0),"NEW",""))</f>
        <v/>
      </c>
    </row>
    <row r="714" customFormat="false" ht="15" hidden="false" customHeight="false" outlineLevel="0" collapsed="false">
      <c r="A714" s="7" t="s">
        <v>803</v>
      </c>
      <c r="B714" s="7" t="str">
        <f aca="false">IFERROR(INDEX('Source'!$C:$C,MATCH($A714,'Source'!$B:$B,0)),"")</f>
        <v>מגן ברך משופר עם צ</v>
      </c>
      <c r="C714" s="8" t="n">
        <f aca="false">SUMIFS('Source'!$D:$D,'Source'!$A:$A,"155138 לקוח אינטרנט",'Source'!$B:$B,$A714)</f>
        <v>1</v>
      </c>
      <c r="D714" s="8" t="n">
        <f aca="false">SUMIFS('Source'!$F:$F,'Source'!$A:$A,"155138 לקוח אינטרנט",'Source'!$B:$B,$A714)</f>
        <v>1</v>
      </c>
      <c r="E714" s="8" t="n">
        <f aca="false">D714*$J$5</f>
        <v>1.26315789473684</v>
      </c>
      <c r="F714" s="8" t="n">
        <f aca="false">E714-C714</f>
        <v>0.263157894736842</v>
      </c>
      <c r="G714" s="9" t="n">
        <f aca="false">IF(AND(C714=0,E714=0),0,IF(C714=0,"New",(E714-C714)/C714))</f>
        <v>0.263157894736842</v>
      </c>
      <c r="H714" s="8" t="n">
        <f aca="false">SUMIFS('Source'!$E:$E,'Source'!$A:$A,"155138 לקוח אינטרנט",'Source'!$B:$B,$A714)</f>
        <v>727.03</v>
      </c>
      <c r="I714" s="8" t="n">
        <f aca="false">SUMIFS('Source'!$G:$G,'Source'!$A:$A,"155138 לקוח אינטרנט",'Source'!$B:$B,$A714)</f>
        <v>728.72</v>
      </c>
      <c r="J714" s="8" t="n">
        <f aca="false">I714*$J$5</f>
        <v>920.488421052632</v>
      </c>
      <c r="K714" s="8" t="n">
        <f aca="false">J714-H714</f>
        <v>193.458421052632</v>
      </c>
      <c r="L714" s="9" t="n">
        <f aca="false">IF(AND(H714=0,J714=0),0,IF(H714=0,"New",(J714-H714)/H714))</f>
        <v>0.266094137865881</v>
      </c>
      <c r="M714" s="7" t="str">
        <f aca="false">IF(AND(OR(C714&lt;&gt;0,H714&lt;&gt;0),D714=0,I714=0),"DROP",IF(AND(OR(D714&lt;&gt;0,I714&lt;&gt;0),C714=0,H714=0),"NEW",""))</f>
        <v/>
      </c>
    </row>
    <row r="715" customFormat="false" ht="15" hidden="false" customHeight="false" outlineLevel="0" collapsed="false">
      <c r="A715" s="7" t="s">
        <v>804</v>
      </c>
      <c r="B715" s="7" t="str">
        <f aca="false">IFERROR(INDEX('Source'!$C:$C,MATCH($A715,'Source'!$B:$B,0)),"")</f>
        <v>כיסוי כרית עיסוי ויטלימד סופט - פלוס סהרה</v>
      </c>
      <c r="C715" s="8" t="n">
        <f aca="false">SUMIFS('Source'!$D:$D,'Source'!$A:$A,"155138 לקוח אינטרנט",'Source'!$B:$B,$A715)</f>
        <v>0</v>
      </c>
      <c r="D715" s="8" t="n">
        <f aca="false">SUMIFS('Source'!$F:$F,'Source'!$A:$A,"155138 לקוח אינטרנט",'Source'!$B:$B,$A715)</f>
        <v>2</v>
      </c>
      <c r="E715" s="8" t="n">
        <f aca="false">D715*$J$5</f>
        <v>2.52631578947368</v>
      </c>
      <c r="F715" s="8" t="n">
        <f aca="false">E715-C715</f>
        <v>2.52631578947368</v>
      </c>
      <c r="G715" s="9" t="str">
        <f aca="false">IF(AND(C715=0,E715=0),0,IF(C715=0,"New",(E715-C715)/C715))</f>
        <v>New</v>
      </c>
      <c r="H715" s="8" t="n">
        <f aca="false">SUMIFS('Source'!$E:$E,'Source'!$A:$A,"155138 לקוח אינטרנט",'Source'!$B:$B,$A715)</f>
        <v>0</v>
      </c>
      <c r="I715" s="8" t="n">
        <f aca="false">SUMIFS('Source'!$G:$G,'Source'!$A:$A,"155138 לקוח אינטרנט",'Source'!$B:$B,$A715)</f>
        <v>0.02</v>
      </c>
      <c r="J715" s="8" t="n">
        <f aca="false">I715*$J$5</f>
        <v>0.0252631578947368</v>
      </c>
      <c r="K715" s="8" t="n">
        <f aca="false">J715-H715</f>
        <v>0.0252631578947368</v>
      </c>
      <c r="L715" s="9" t="str">
        <f aca="false">IF(AND(H715=0,J715=0),0,IF(H715=0,"New",(J715-H715)/H715))</f>
        <v>New</v>
      </c>
      <c r="M715" s="7" t="str">
        <f aca="false">IF(AND(OR(C715&lt;&gt;0,H715&lt;&gt;0),D715=0,I715=0),"DROP",IF(AND(OR(D715&lt;&gt;0,I715&lt;&gt;0),C715=0,H715=0),"NEW",""))</f>
        <v>NEW</v>
      </c>
    </row>
    <row r="716" customFormat="false" ht="15" hidden="false" customHeight="false" outlineLevel="0" collapsed="false">
      <c r="A716" s="7" t="s">
        <v>805</v>
      </c>
      <c r="B716" s="7" t="str">
        <f aca="false">IFERROR(INDEX('Source'!$C:$C,MATCH($A716,'Source'!$B:$B,0)),"")</f>
        <v>מגן ברך חום</v>
      </c>
      <c r="C716" s="8" t="n">
        <f aca="false">SUMIFS('Source'!$D:$D,'Source'!$A:$A,"155138 לקוח אינטרנט",'Source'!$B:$B,$A716)</f>
        <v>2</v>
      </c>
      <c r="D716" s="8" t="n">
        <f aca="false">SUMIFS('Source'!$F:$F,'Source'!$A:$A,"155138 לקוח אינטרנט",'Source'!$B:$B,$A716)</f>
        <v>2</v>
      </c>
      <c r="E716" s="8" t="n">
        <f aca="false">D716*$J$5</f>
        <v>2.52631578947368</v>
      </c>
      <c r="F716" s="8" t="n">
        <f aca="false">E716-C716</f>
        <v>0.526315789473684</v>
      </c>
      <c r="G716" s="9" t="n">
        <f aca="false">IF(AND(C716=0,E716=0),0,IF(C716=0,"New",(E716-C716)/C716))</f>
        <v>0.263157894736842</v>
      </c>
      <c r="H716" s="8" t="n">
        <f aca="false">SUMIFS('Source'!$E:$E,'Source'!$A:$A,"155138 לקוח אינטרנט",'Source'!$B:$B,$A716)</f>
        <v>111.7</v>
      </c>
      <c r="I716" s="8" t="n">
        <f aca="false">SUMIFS('Source'!$G:$G,'Source'!$A:$A,"155138 לקוח אינטרנט",'Source'!$B:$B,$A716)</f>
        <v>111.69</v>
      </c>
      <c r="J716" s="8" t="n">
        <f aca="false">I716*$J$5</f>
        <v>141.082105263158</v>
      </c>
      <c r="K716" s="8" t="n">
        <f aca="false">J716-H716</f>
        <v>29.3821052631579</v>
      </c>
      <c r="L716" s="9" t="n">
        <f aca="false">IF(AND(H716=0,J716=0),0,IF(H716=0,"New",(J716-H716)/H716))</f>
        <v>0.263044809876078</v>
      </c>
      <c r="M716" s="7" t="str">
        <f aca="false">IF(AND(OR(C716&lt;&gt;0,H716&lt;&gt;0),D716=0,I716=0),"DROP",IF(AND(OR(D716&lt;&gt;0,I716&lt;&gt;0),C716=0,H716=0),"NEW",""))</f>
        <v/>
      </c>
    </row>
    <row r="717" customFormat="false" ht="15" hidden="false" customHeight="false" outlineLevel="0" collapsed="false">
      <c r="A717" s="7" t="s">
        <v>806</v>
      </c>
      <c r="B717" s="7" t="str">
        <f aca="false">IFERROR(INDEX('Source'!$C:$C,MATCH($A717,'Source'!$B:$B,0)),"")</f>
        <v>כיסוי כרית עיסוי ויטלימד סופט - פלוס טורקיז</v>
      </c>
      <c r="C717" s="8" t="n">
        <f aca="false">SUMIFS('Source'!$D:$D,'Source'!$A:$A,"155138 לקוח אינטרנט",'Source'!$B:$B,$A717)</f>
        <v>0</v>
      </c>
      <c r="D717" s="8" t="n">
        <f aca="false">SUMIFS('Source'!$F:$F,'Source'!$A:$A,"155138 לקוח אינטרנט",'Source'!$B:$B,$A717)</f>
        <v>1</v>
      </c>
      <c r="E717" s="8" t="n">
        <f aca="false">D717*$J$5</f>
        <v>1.26315789473684</v>
      </c>
      <c r="F717" s="8" t="n">
        <f aca="false">E717-C717</f>
        <v>1.26315789473684</v>
      </c>
      <c r="G717" s="9" t="str">
        <f aca="false">IF(AND(C717=0,E717=0),0,IF(C717=0,"New",(E717-C717)/C717))</f>
        <v>New</v>
      </c>
      <c r="H717" s="8" t="n">
        <f aca="false">SUMIFS('Source'!$E:$E,'Source'!$A:$A,"155138 לקוח אינטרנט",'Source'!$B:$B,$A717)</f>
        <v>0</v>
      </c>
      <c r="I717" s="8" t="n">
        <f aca="false">SUMIFS('Source'!$G:$G,'Source'!$A:$A,"155138 לקוח אינטרנט",'Source'!$B:$B,$A717)</f>
        <v>0.01</v>
      </c>
      <c r="J717" s="8" t="n">
        <f aca="false">I717*$J$5</f>
        <v>0.0126315789473684</v>
      </c>
      <c r="K717" s="8" t="n">
        <f aca="false">J717-H717</f>
        <v>0.0126315789473684</v>
      </c>
      <c r="L717" s="9" t="str">
        <f aca="false">IF(AND(H717=0,J717=0),0,IF(H717=0,"New",(J717-H717)/H717))</f>
        <v>New</v>
      </c>
      <c r="M717" s="7" t="str">
        <f aca="false">IF(AND(OR(C717&lt;&gt;0,H717&lt;&gt;0),D717=0,I717=0),"DROP",IF(AND(OR(D717&lt;&gt;0,I717&lt;&gt;0),C717=0,H717=0),"NEW",""))</f>
        <v>NEW</v>
      </c>
    </row>
    <row r="718" customFormat="false" ht="15" hidden="false" customHeight="false" outlineLevel="0" collapsed="false">
      <c r="A718" s="7" t="s">
        <v>807</v>
      </c>
      <c r="B718" s="7" t="str">
        <f aca="false">IFERROR(INDEX('Source'!$C:$C,MATCH($A718,'Source'!$B:$B,0)),"")</f>
        <v>כיסוי כרית עיסוי ויטלימד סופט - פלוס ירוק ליים</v>
      </c>
      <c r="C718" s="8" t="n">
        <f aca="false">SUMIFS('Source'!$D:$D,'Source'!$A:$A,"155138 לקוח אינטרנט",'Source'!$B:$B,$A718)</f>
        <v>0</v>
      </c>
      <c r="D718" s="8" t="n">
        <f aca="false">SUMIFS('Source'!$F:$F,'Source'!$A:$A,"155138 לקוח אינטרנט",'Source'!$B:$B,$A718)</f>
        <v>1</v>
      </c>
      <c r="E718" s="8" t="n">
        <f aca="false">D718*$J$5</f>
        <v>1.26315789473684</v>
      </c>
      <c r="F718" s="8" t="n">
        <f aca="false">E718-C718</f>
        <v>1.26315789473684</v>
      </c>
      <c r="G718" s="9" t="str">
        <f aca="false">IF(AND(C718=0,E718=0),0,IF(C718=0,"New",(E718-C718)/C718))</f>
        <v>New</v>
      </c>
      <c r="H718" s="8" t="n">
        <f aca="false">SUMIFS('Source'!$E:$E,'Source'!$A:$A,"155138 לקוח אינטרנט",'Source'!$B:$B,$A718)</f>
        <v>0</v>
      </c>
      <c r="I718" s="8" t="n">
        <f aca="false">SUMIFS('Source'!$G:$G,'Source'!$A:$A,"155138 לקוח אינטרנט",'Source'!$B:$B,$A718)</f>
        <v>0.01</v>
      </c>
      <c r="J718" s="8" t="n">
        <f aca="false">I718*$J$5</f>
        <v>0.0126315789473684</v>
      </c>
      <c r="K718" s="8" t="n">
        <f aca="false">J718-H718</f>
        <v>0.0126315789473684</v>
      </c>
      <c r="L718" s="9" t="str">
        <f aca="false">IF(AND(H718=0,J718=0),0,IF(H718=0,"New",(J718-H718)/H718))</f>
        <v>New</v>
      </c>
      <c r="M718" s="7" t="str">
        <f aca="false">IF(AND(OR(C718&lt;&gt;0,H718&lt;&gt;0),D718=0,I718=0),"DROP",IF(AND(OR(D718&lt;&gt;0,I718&lt;&gt;0),C718=0,H718=0),"NEW",""))</f>
        <v>NEW</v>
      </c>
    </row>
    <row r="719" customFormat="false" ht="15" hidden="false" customHeight="false" outlineLevel="0" collapsed="false">
      <c r="A719" s="7" t="s">
        <v>808</v>
      </c>
      <c r="B719" s="7" t="str">
        <f aca="false">IFERROR(INDEX('Source'!$C:$C,MATCH($A719,'Source'!$B:$B,0)),"")</f>
        <v>סד מאורך לאגודל</v>
      </c>
      <c r="C719" s="8" t="n">
        <f aca="false">SUMIFS('Source'!$D:$D,'Source'!$A:$A,"155138 לקוח אינטרנט",'Source'!$B:$B,$A719)</f>
        <v>2</v>
      </c>
      <c r="D719" s="8" t="n">
        <f aca="false">SUMIFS('Source'!$F:$F,'Source'!$A:$A,"155138 לקוח אינטרנט",'Source'!$B:$B,$A719)</f>
        <v>2</v>
      </c>
      <c r="E719" s="8" t="n">
        <f aca="false">D719*$J$5</f>
        <v>2.52631578947368</v>
      </c>
      <c r="F719" s="8" t="n">
        <f aca="false">E719-C719</f>
        <v>0.526315789473684</v>
      </c>
      <c r="G719" s="9" t="n">
        <f aca="false">IF(AND(C719=0,E719=0),0,IF(C719=0,"New",(E719-C719)/C719))</f>
        <v>0.263157894736842</v>
      </c>
      <c r="H719" s="8" t="n">
        <f aca="false">SUMIFS('Source'!$E:$E,'Source'!$A:$A,"155138 לקוח אינטרנט",'Source'!$B:$B,$A719)</f>
        <v>228.65</v>
      </c>
      <c r="I719" s="8" t="n">
        <f aca="false">SUMIFS('Source'!$G:$G,'Source'!$A:$A,"155138 לקוח אינטרנט",'Source'!$B:$B,$A719)</f>
        <v>228.66</v>
      </c>
      <c r="J719" s="8" t="n">
        <f aca="false">I719*$J$5</f>
        <v>288.833684210526</v>
      </c>
      <c r="K719" s="8" t="n">
        <f aca="false">J719-H719</f>
        <v>60.1836842105263</v>
      </c>
      <c r="L719" s="9" t="n">
        <f aca="false">IF(AND(H719=0,J719=0),0,IF(H719=0,"New",(J719-H719)/H719))</f>
        <v>0.263213138904554</v>
      </c>
      <c r="M719" s="7" t="str">
        <f aca="false">IF(AND(OR(C719&lt;&gt;0,H719&lt;&gt;0),D719=0,I719=0),"DROP",IF(AND(OR(D719&lt;&gt;0,I719&lt;&gt;0),C719=0,H719=0),"NEW",""))</f>
        <v/>
      </c>
    </row>
    <row r="720" customFormat="false" ht="15" hidden="false" customHeight="false" outlineLevel="0" collapsed="false">
      <c r="A720" s="7" t="s">
        <v>809</v>
      </c>
      <c r="B720" s="7" t="str">
        <f aca="false">IFERROR(INDEX('Source'!$C:$C,MATCH($A720,'Source'!$B:$B,0)),"")</f>
        <v>כיסוי כרית עיסוי ויטלימד סופט - פלוס נייבי</v>
      </c>
      <c r="C720" s="8" t="n">
        <f aca="false">SUMIFS('Source'!$D:$D,'Source'!$A:$A,"155138 לקוח אינטרנט",'Source'!$B:$B,$A720)</f>
        <v>0</v>
      </c>
      <c r="D720" s="8" t="n">
        <f aca="false">SUMIFS('Source'!$F:$F,'Source'!$A:$A,"155138 לקוח אינטרנט",'Source'!$B:$B,$A720)</f>
        <v>1</v>
      </c>
      <c r="E720" s="8" t="n">
        <f aca="false">D720*$J$5</f>
        <v>1.26315789473684</v>
      </c>
      <c r="F720" s="8" t="n">
        <f aca="false">E720-C720</f>
        <v>1.26315789473684</v>
      </c>
      <c r="G720" s="9" t="str">
        <f aca="false">IF(AND(C720=0,E720=0),0,IF(C720=0,"New",(E720-C720)/C720))</f>
        <v>New</v>
      </c>
      <c r="H720" s="8" t="n">
        <f aca="false">SUMIFS('Source'!$E:$E,'Source'!$A:$A,"155138 לקוח אינטרנט",'Source'!$B:$B,$A720)</f>
        <v>0</v>
      </c>
      <c r="I720" s="8" t="n">
        <f aca="false">SUMIFS('Source'!$G:$G,'Source'!$A:$A,"155138 לקוח אינטרנט",'Source'!$B:$B,$A720)</f>
        <v>0</v>
      </c>
      <c r="J720" s="8" t="n">
        <f aca="false">I720*$J$5</f>
        <v>0</v>
      </c>
      <c r="K720" s="8" t="n">
        <f aca="false">J720-H720</f>
        <v>0</v>
      </c>
      <c r="L720" s="9" t="n">
        <f aca="false">IF(AND(H720=0,J720=0),0,IF(H720=0,"New",(J720-H720)/H720))</f>
        <v>0</v>
      </c>
      <c r="M720" s="7" t="str">
        <f aca="false">IF(AND(OR(C720&lt;&gt;0,H720&lt;&gt;0),D720=0,I720=0),"DROP",IF(AND(OR(D720&lt;&gt;0,I720&lt;&gt;0),C720=0,H720=0),"NEW",""))</f>
        <v>NEW</v>
      </c>
    </row>
    <row r="721" customFormat="false" ht="15" hidden="false" customHeight="false" outlineLevel="0" collapsed="false">
      <c r="A721" s="7" t="s">
        <v>810</v>
      </c>
      <c r="B721" s="7" t="str">
        <f aca="false">IFERROR(INDEX('Source'!$C:$C,MATCH($A721,'Source'!$B:$B,0)),"")</f>
        <v>שלושים ימי ניסיון</v>
      </c>
      <c r="C721" s="8" t="n">
        <f aca="false">SUMIFS('Source'!$D:$D,'Source'!$A:$A,"155138 לקוח אינטרנט",'Source'!$B:$B,$A721)</f>
        <v>0</v>
      </c>
      <c r="D721" s="8" t="n">
        <f aca="false">SUMIFS('Source'!$F:$F,'Source'!$A:$A,"155138 לקוח אינטרנט",'Source'!$B:$B,$A721)</f>
        <v>20</v>
      </c>
      <c r="E721" s="8" t="n">
        <f aca="false">D721*$J$5</f>
        <v>25.2631578947368</v>
      </c>
      <c r="F721" s="8" t="n">
        <f aca="false">E721-C721</f>
        <v>25.2631578947368</v>
      </c>
      <c r="G721" s="9" t="str">
        <f aca="false">IF(AND(C721=0,E721=0),0,IF(C721=0,"New",(E721-C721)/C721))</f>
        <v>New</v>
      </c>
      <c r="H721" s="8" t="n">
        <f aca="false">SUMIFS('Source'!$E:$E,'Source'!$A:$A,"155138 לקוח אינטרנט",'Source'!$B:$B,$A721)</f>
        <v>0</v>
      </c>
      <c r="I721" s="8" t="n">
        <f aca="false">SUMIFS('Source'!$G:$G,'Source'!$A:$A,"155138 לקוח אינטרנט",'Source'!$B:$B,$A721)</f>
        <v>0</v>
      </c>
      <c r="J721" s="8" t="n">
        <f aca="false">I721*$J$5</f>
        <v>0</v>
      </c>
      <c r="K721" s="8" t="n">
        <f aca="false">J721-H721</f>
        <v>0</v>
      </c>
      <c r="L721" s="9" t="n">
        <f aca="false">IF(AND(H721=0,J721=0),0,IF(H721=0,"New",(J721-H721)/H721))</f>
        <v>0</v>
      </c>
      <c r="M721" s="7" t="str">
        <f aca="false">IF(AND(OR(C721&lt;&gt;0,H721&lt;&gt;0),D721=0,I721=0),"DROP",IF(AND(OR(D721&lt;&gt;0,I721&lt;&gt;0),C721=0,H721=0),"NEW",""))</f>
        <v>NEW</v>
      </c>
    </row>
    <row r="722" customFormat="false" ht="15" hidden="false" customHeight="false" outlineLevel="0" collapsed="false">
      <c r="A722" s="7" t="s">
        <v>811</v>
      </c>
      <c r="B722" s="7" t="str">
        <f aca="false">IFERROR(INDEX('Source'!$C:$C,MATCH($A722,'Source'!$B:$B,0)),"")</f>
        <v>מגן מרפק שחור</v>
      </c>
      <c r="C722" s="8" t="n">
        <f aca="false">SUMIFS('Source'!$D:$D,'Source'!$A:$A,"155138 לקוח אינטרנט",'Source'!$B:$B,$A722)</f>
        <v>1</v>
      </c>
      <c r="D722" s="8" t="n">
        <f aca="false">SUMIFS('Source'!$F:$F,'Source'!$A:$A,"155138 לקוח אינטרנט",'Source'!$B:$B,$A722)</f>
        <v>1</v>
      </c>
      <c r="E722" s="8" t="n">
        <f aca="false">D722*$J$5</f>
        <v>1.26315789473684</v>
      </c>
      <c r="F722" s="8" t="n">
        <f aca="false">E722-C722</f>
        <v>0.263157894736842</v>
      </c>
      <c r="G722" s="9" t="n">
        <f aca="false">IF(AND(C722=0,E722=0),0,IF(C722=0,"New",(E722-C722)/C722))</f>
        <v>0.263157894736842</v>
      </c>
      <c r="H722" s="8" t="n">
        <f aca="false">SUMIFS('Source'!$E:$E,'Source'!$A:$A,"155138 לקוח אינטרנט",'Source'!$B:$B,$A722)</f>
        <v>55.85</v>
      </c>
      <c r="I722" s="8" t="n">
        <f aca="false">SUMIFS('Source'!$G:$G,'Source'!$A:$A,"155138 לקוח אינטרנט",'Source'!$B:$B,$A722)</f>
        <v>55.85</v>
      </c>
      <c r="J722" s="8" t="n">
        <f aca="false">I722*$J$5</f>
        <v>70.5473684210526</v>
      </c>
      <c r="K722" s="8" t="n">
        <f aca="false">J722-H722</f>
        <v>14.6973684210526</v>
      </c>
      <c r="L722" s="9" t="n">
        <f aca="false">IF(AND(H722=0,J722=0),0,IF(H722=0,"New",(J722-H722)/H722))</f>
        <v>0.263157894736842</v>
      </c>
      <c r="M722" s="7" t="str">
        <f aca="false">IF(AND(OR(C722&lt;&gt;0,H722&lt;&gt;0),D722=0,I722=0),"DROP",IF(AND(OR(D722&lt;&gt;0,I722&lt;&gt;0),C722=0,H722=0),"NEW",""))</f>
        <v/>
      </c>
    </row>
    <row r="723" customFormat="false" ht="15" hidden="false" customHeight="false" outlineLevel="0" collapsed="false">
      <c r="A723" s="7" t="s">
        <v>812</v>
      </c>
      <c r="B723" s="7" t="str">
        <f aca="false">IFERROR(INDEX('Source'!$C:$C,MATCH($A723,'Source'!$B:$B,0)),"")</f>
        <v>מגן שוק רגיל</v>
      </c>
      <c r="C723" s="8" t="n">
        <f aca="false">SUMIFS('Source'!$D:$D,'Source'!$A:$A,"155138 לקוח אינטרנט",'Source'!$B:$B,$A723)</f>
        <v>1</v>
      </c>
      <c r="D723" s="8" t="n">
        <f aca="false">SUMIFS('Source'!$F:$F,'Source'!$A:$A,"155138 לקוח אינטרנט",'Source'!$B:$B,$A723)</f>
        <v>1</v>
      </c>
      <c r="E723" s="8" t="n">
        <f aca="false">D723*$J$5</f>
        <v>1.26315789473684</v>
      </c>
      <c r="F723" s="8" t="n">
        <f aca="false">E723-C723</f>
        <v>0.263157894736842</v>
      </c>
      <c r="G723" s="9" t="n">
        <f aca="false">IF(AND(C723=0,E723=0),0,IF(C723=0,"New",(E723-C723)/C723))</f>
        <v>0.263157894736842</v>
      </c>
      <c r="H723" s="8" t="n">
        <f aca="false">SUMIFS('Source'!$E:$E,'Source'!$A:$A,"155138 לקוח אינטרנט",'Source'!$B:$B,$A723)</f>
        <v>194.83</v>
      </c>
      <c r="I723" s="8" t="n">
        <f aca="false">SUMIFS('Source'!$G:$G,'Source'!$A:$A,"155138 לקוח אינטרנט",'Source'!$B:$B,$A723)</f>
        <v>194.83</v>
      </c>
      <c r="J723" s="8" t="n">
        <f aca="false">I723*$J$5</f>
        <v>246.101052631579</v>
      </c>
      <c r="K723" s="8" t="n">
        <f aca="false">J723-H723</f>
        <v>51.2710526315789</v>
      </c>
      <c r="L723" s="9" t="n">
        <f aca="false">IF(AND(H723=0,J723=0),0,IF(H723=0,"New",(J723-H723)/H723))</f>
        <v>0.263157894736842</v>
      </c>
      <c r="M723" s="7" t="str">
        <f aca="false">IF(AND(OR(C723&lt;&gt;0,H723&lt;&gt;0),D723=0,I723=0),"DROP",IF(AND(OR(D723&lt;&gt;0,I723&lt;&gt;0),C723=0,H723=0),"NEW",""))</f>
        <v/>
      </c>
    </row>
    <row r="724" customFormat="false" ht="15" hidden="false" customHeight="false" outlineLevel="0" collapsed="false">
      <c r="A724" s="7" t="s">
        <v>813</v>
      </c>
      <c r="B724" s="7" t="str">
        <f aca="false">IFERROR(INDEX('Source'!$C:$C,MATCH($A724,'Source'!$B:$B,0)),"")</f>
        <v>מגן ברך רגיל</v>
      </c>
      <c r="C724" s="8" t="n">
        <f aca="false">SUMIFS('Source'!$D:$D,'Source'!$A:$A,"155138 לקוח אינטרנט",'Source'!$B:$B,$A724)</f>
        <v>2</v>
      </c>
      <c r="D724" s="8" t="n">
        <f aca="false">SUMIFS('Source'!$F:$F,'Source'!$A:$A,"155138 לקוח אינטרנט",'Source'!$B:$B,$A724)</f>
        <v>2</v>
      </c>
      <c r="E724" s="8" t="n">
        <f aca="false">D724*$J$5</f>
        <v>2.52631578947368</v>
      </c>
      <c r="F724" s="8" t="n">
        <f aca="false">E724-C724</f>
        <v>0.526315789473684</v>
      </c>
      <c r="G724" s="9" t="n">
        <f aca="false">IF(AND(C724=0,E724=0),0,IF(C724=0,"New",(E724-C724)/C724))</f>
        <v>0.263157894736842</v>
      </c>
      <c r="H724" s="8" t="n">
        <f aca="false">SUMIFS('Source'!$E:$E,'Source'!$A:$A,"155138 לקוח אינטרנט",'Source'!$B:$B,$A724)</f>
        <v>381.18</v>
      </c>
      <c r="I724" s="8" t="n">
        <f aca="false">SUMIFS('Source'!$G:$G,'Source'!$A:$A,"155138 לקוח אינטרנט",'Source'!$B:$B,$A724)</f>
        <v>381.18</v>
      </c>
      <c r="J724" s="8" t="n">
        <f aca="false">I724*$J$5</f>
        <v>481.490526315789</v>
      </c>
      <c r="K724" s="8" t="n">
        <f aca="false">J724-H724</f>
        <v>100.310526315789</v>
      </c>
      <c r="L724" s="9" t="n">
        <f aca="false">IF(AND(H724=0,J724=0),0,IF(H724=0,"New",(J724-H724)/H724))</f>
        <v>0.263157894736842</v>
      </c>
      <c r="M724" s="7" t="str">
        <f aca="false">IF(AND(OR(C724&lt;&gt;0,H724&lt;&gt;0),D724=0,I724=0),"DROP",IF(AND(OR(D724&lt;&gt;0,I724&lt;&gt;0),C724=0,H724=0),"NEW",""))</f>
        <v/>
      </c>
    </row>
    <row r="725" customFormat="false" ht="15" hidden="false" customHeight="false" outlineLevel="0" collapsed="false">
      <c r="A725" s="7" t="s">
        <v>814</v>
      </c>
      <c r="B725" s="7" t="str">
        <f aca="false">IFERROR(INDEX('Source'!$C:$C,MATCH($A725,'Source'!$B:$B,0)),"")</f>
        <v>חגורת הריון מכנס</v>
      </c>
      <c r="C725" s="8" t="n">
        <f aca="false">SUMIFS('Source'!$D:$D,'Source'!$A:$A,"155138 לקוח אינטרנט",'Source'!$B:$B,$A725)</f>
        <v>1</v>
      </c>
      <c r="D725" s="8" t="n">
        <f aca="false">SUMIFS('Source'!$F:$F,'Source'!$A:$A,"155138 לקוח אינטרנט",'Source'!$B:$B,$A725)</f>
        <v>1</v>
      </c>
      <c r="E725" s="8" t="n">
        <f aca="false">D725*$J$5</f>
        <v>1.26315789473684</v>
      </c>
      <c r="F725" s="8" t="n">
        <f aca="false">E725-C725</f>
        <v>0.263157894736842</v>
      </c>
      <c r="G725" s="9" t="n">
        <f aca="false">IF(AND(C725=0,E725=0),0,IF(C725=0,"New",(E725-C725)/C725))</f>
        <v>0.263157894736842</v>
      </c>
      <c r="H725" s="8" t="n">
        <f aca="false">SUMIFS('Source'!$E:$E,'Source'!$A:$A,"155138 לקוח אינטרנט",'Source'!$B:$B,$A725)</f>
        <v>559.24</v>
      </c>
      <c r="I725" s="8" t="n">
        <f aca="false">SUMIFS('Source'!$G:$G,'Source'!$A:$A,"155138 לקוח אינטרנט",'Source'!$B:$B,$A725)</f>
        <v>559.24</v>
      </c>
      <c r="J725" s="8" t="n">
        <f aca="false">I725*$J$5</f>
        <v>706.408421052632</v>
      </c>
      <c r="K725" s="8" t="n">
        <f aca="false">J725-H725</f>
        <v>147.168421052632</v>
      </c>
      <c r="L725" s="9" t="n">
        <f aca="false">IF(AND(H725=0,J725=0),0,IF(H725=0,"New",(J725-H725)/H725))</f>
        <v>0.263157894736842</v>
      </c>
      <c r="M725" s="7" t="str">
        <f aca="false">IF(AND(OR(C725&lt;&gt;0,H725&lt;&gt;0),D725=0,I725=0),"DROP",IF(AND(OR(D725&lt;&gt;0,I725&lt;&gt;0),C725=0,H725=0),"NEW",""))</f>
        <v/>
      </c>
    </row>
    <row r="726" customFormat="false" ht="15" hidden="false" customHeight="false" outlineLevel="0" collapsed="false">
      <c r="A726" s="7" t="s">
        <v>815</v>
      </c>
      <c r="B726" s="7" t="str">
        <f aca="false">IFERROR(INDEX('Source'!$C:$C,MATCH($A726,'Source'!$B:$B,0)),"")</f>
        <v>מ.ברך מנאופרן+ציר D +כ.סיליקון</v>
      </c>
      <c r="C726" s="8" t="n">
        <f aca="false">SUMIFS('Source'!$D:$D,'Source'!$A:$A,"155138 לקוח אינטרנט",'Source'!$B:$B,$A726)</f>
        <v>1</v>
      </c>
      <c r="D726" s="8" t="n">
        <f aca="false">SUMIFS('Source'!$F:$F,'Source'!$A:$A,"155138 לקוח אינטרנט",'Source'!$B:$B,$A726)</f>
        <v>1</v>
      </c>
      <c r="E726" s="8" t="n">
        <f aca="false">D726*$J$5</f>
        <v>1.26315789473684</v>
      </c>
      <c r="F726" s="8" t="n">
        <f aca="false">E726-C726</f>
        <v>0.263157894736842</v>
      </c>
      <c r="G726" s="9" t="n">
        <f aca="false">IF(AND(C726=0,E726=0),0,IF(C726=0,"New",(E726-C726)/C726))</f>
        <v>0.263157894736842</v>
      </c>
      <c r="H726" s="8" t="n">
        <f aca="false">SUMIFS('Source'!$E:$E,'Source'!$A:$A,"155138 לקוח אינטרנט",'Source'!$B:$B,$A726)</f>
        <v>593.14</v>
      </c>
      <c r="I726" s="8" t="n">
        <f aca="false">SUMIFS('Source'!$G:$G,'Source'!$A:$A,"155138 לקוח אינטרנט",'Source'!$B:$B,$A726)</f>
        <v>593.14</v>
      </c>
      <c r="J726" s="8" t="n">
        <f aca="false">I726*$J$5</f>
        <v>749.229473684211</v>
      </c>
      <c r="K726" s="8" t="n">
        <f aca="false">J726-H726</f>
        <v>156.08947368421</v>
      </c>
      <c r="L726" s="9" t="n">
        <f aca="false">IF(AND(H726=0,J726=0),0,IF(H726=0,"New",(J726-H726)/H726))</f>
        <v>0.263157894736842</v>
      </c>
      <c r="M726" s="7" t="str">
        <f aca="false">IF(AND(OR(C726&lt;&gt;0,H726&lt;&gt;0),D726=0,I726=0),"DROP",IF(AND(OR(D726&lt;&gt;0,I726&lt;&gt;0),C726=0,H726=0),"NEW",""))</f>
        <v/>
      </c>
    </row>
    <row r="727" customFormat="false" ht="15" hidden="false" customHeight="false" outlineLevel="0" collapsed="false">
      <c r="A727" s="7" t="s">
        <v>816</v>
      </c>
      <c r="B727" s="7" t="str">
        <f aca="false">IFERROR(INDEX('Source'!$C:$C,MATCH($A727,'Source'!$B:$B,0)),"")</f>
        <v>שלושים לילות ניסיון</v>
      </c>
      <c r="C727" s="8" t="n">
        <f aca="false">SUMIFS('Source'!$D:$D,'Source'!$A:$A,"155138 לקוח אינטרנט",'Source'!$B:$B,$A727)</f>
        <v>0</v>
      </c>
      <c r="D727" s="8" t="n">
        <f aca="false">SUMIFS('Source'!$F:$F,'Source'!$A:$A,"155138 לקוח אינטרנט",'Source'!$B:$B,$A727)</f>
        <v>1288</v>
      </c>
      <c r="E727" s="8" t="n">
        <f aca="false">D727*$J$5</f>
        <v>1626.94736842105</v>
      </c>
      <c r="F727" s="8" t="n">
        <f aca="false">E727-C727</f>
        <v>1626.94736842105</v>
      </c>
      <c r="G727" s="9" t="str">
        <f aca="false">IF(AND(C727=0,E727=0),0,IF(C727=0,"New",(E727-C727)/C727))</f>
        <v>New</v>
      </c>
      <c r="H727" s="8" t="n">
        <f aca="false">SUMIFS('Source'!$E:$E,'Source'!$A:$A,"155138 לקוח אינטרנט",'Source'!$B:$B,$A727)</f>
        <v>0</v>
      </c>
      <c r="I727" s="8" t="n">
        <f aca="false">SUMIFS('Source'!$G:$G,'Source'!$A:$A,"155138 לקוח אינטרנט",'Source'!$B:$B,$A727)</f>
        <v>0</v>
      </c>
      <c r="J727" s="8" t="n">
        <f aca="false">I727*$J$5</f>
        <v>0</v>
      </c>
      <c r="K727" s="8" t="n">
        <f aca="false">J727-H727</f>
        <v>0</v>
      </c>
      <c r="L727" s="9" t="n">
        <f aca="false">IF(AND(H727=0,J727=0),0,IF(H727=0,"New",(J727-H727)/H727))</f>
        <v>0</v>
      </c>
      <c r="M727" s="7" t="str">
        <f aca="false">IF(AND(OR(C727&lt;&gt;0,H727&lt;&gt;0),D727=0,I727=0),"DROP",IF(AND(OR(D727&lt;&gt;0,I727&lt;&gt;0),C727=0,H727=0),"NEW",""))</f>
        <v>NEW</v>
      </c>
    </row>
    <row r="728" customFormat="false" ht="15" hidden="false" customHeight="false" outlineLevel="0" collapsed="false">
      <c r="A728" s="7" t="s">
        <v>817</v>
      </c>
      <c r="B728" s="7" t="str">
        <f aca="false">IFERROR(INDEX('Source'!$C:$C,MATCH($A728,'Source'!$B:$B,0)),"")</f>
        <v>מגן ברך סיליקון - אנטומיק</v>
      </c>
      <c r="C728" s="8" t="n">
        <f aca="false">SUMIFS('Source'!$D:$D,'Source'!$A:$A,"155138 לקוח אינטרנט",'Source'!$B:$B,$A728)</f>
        <v>1</v>
      </c>
      <c r="D728" s="8" t="n">
        <f aca="false">SUMIFS('Source'!$F:$F,'Source'!$A:$A,"155138 לקוח אינטרנט",'Source'!$B:$B,$A728)</f>
        <v>1</v>
      </c>
      <c r="E728" s="8" t="n">
        <f aca="false">D728*$J$5</f>
        <v>1.26315789473684</v>
      </c>
      <c r="F728" s="8" t="n">
        <f aca="false">E728-C728</f>
        <v>0.263157894736842</v>
      </c>
      <c r="G728" s="9" t="n">
        <f aca="false">IF(AND(C728=0,E728=0),0,IF(C728=0,"New",(E728-C728)/C728))</f>
        <v>0.263157894736842</v>
      </c>
      <c r="H728" s="8" t="n">
        <f aca="false">SUMIFS('Source'!$E:$E,'Source'!$A:$A,"155138 לקוח אינטרנט",'Source'!$B:$B,$A728)</f>
        <v>367.71</v>
      </c>
      <c r="I728" s="8" t="n">
        <f aca="false">SUMIFS('Source'!$G:$G,'Source'!$A:$A,"155138 לקוח אינטרנט",'Source'!$B:$B,$A728)</f>
        <v>367.71</v>
      </c>
      <c r="J728" s="8" t="n">
        <f aca="false">I728*$J$5</f>
        <v>464.475789473684</v>
      </c>
      <c r="K728" s="8" t="n">
        <f aca="false">J728-H728</f>
        <v>96.7657894736842</v>
      </c>
      <c r="L728" s="9" t="n">
        <f aca="false">IF(AND(H728=0,J728=0),0,IF(H728=0,"New",(J728-H728)/H728))</f>
        <v>0.263157894736842</v>
      </c>
      <c r="M728" s="7" t="str">
        <f aca="false">IF(AND(OR(C728&lt;&gt;0,H728&lt;&gt;0),D728=0,I728=0),"DROP",IF(AND(OR(D728&lt;&gt;0,I728&lt;&gt;0),C728=0,H728=0),"NEW",""))</f>
        <v/>
      </c>
    </row>
    <row r="730" customFormat="false" ht="15" hidden="false" customHeight="false" outlineLevel="0" collapsed="false">
      <c r="A730" s="17"/>
      <c r="B730" s="18" t="s">
        <v>97</v>
      </c>
      <c r="C730" s="19" t="n">
        <f aca="false">SUM(C9:C728)</f>
        <v>20444</v>
      </c>
      <c r="D730" s="19" t="n">
        <f aca="false">SUM(D9:D728)</f>
        <v>28580</v>
      </c>
      <c r="E730" s="19" t="n">
        <f aca="false">SUM(E9:E728)</f>
        <v>36101.052631579</v>
      </c>
      <c r="F730" s="19" t="n">
        <f aca="false">SUM(F9:F728)</f>
        <v>15657.0526315789</v>
      </c>
      <c r="G730" s="20" t="n">
        <f aca="false">IF(C730=0,"N/A",F730/C730)</f>
        <v>0.76585074503908</v>
      </c>
      <c r="H730" s="19" t="n">
        <f aca="false">SUM(H9:H728)</f>
        <v>1655344.28</v>
      </c>
      <c r="I730" s="19" t="n">
        <f aca="false">SUM(I9:I728)</f>
        <v>3196334.61</v>
      </c>
      <c r="J730" s="19" t="n">
        <f aca="false">SUM(J9:J728)</f>
        <v>4037475.29684211</v>
      </c>
      <c r="K730" s="19" t="n">
        <f aca="false">SUM(K9:K728)</f>
        <v>2382131.01684211</v>
      </c>
      <c r="L730" s="20" t="n">
        <f aca="false">IF(H730=0,"N/A",K730/H730)</f>
        <v>1.43905473056161</v>
      </c>
      <c r="M730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818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819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SUMPRODUCT(--(((C9:C87&lt;&gt;0)+(H9:H87&lt;&gt;0)&gt;0)*((D9:D87=0)*(I9:I87=0))))</f>
        <v>17</v>
      </c>
      <c r="C5" s="13" t="s">
        <v>47</v>
      </c>
      <c r="D5" s="14" t="n">
        <f aca="false">SUMPRODUCT(--(((D9:D87&lt;&gt;0)+(I9:I87&lt;&gt;0)&gt;0)*((C9:C87=0)*(H9:H87=0))))</f>
        <v>6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SUMPRODUCT(--(((C9:C87&lt;&gt;0)+(H9:H87&lt;&gt;0)&gt;0)*((D9:D87=0)*(I9:I87=0)))*C9:C87)</f>
        <v>448</v>
      </c>
      <c r="C6" s="13" t="s">
        <v>50</v>
      </c>
      <c r="D6" s="14" t="n">
        <f aca="false">SUMPRODUCT(--(((C9:C87&lt;&gt;0)+(H9:H87&lt;&gt;0)&gt;0)*((D9:D87=0)*(I9:I87=0)))*H9:H87)</f>
        <v>94856.4</v>
      </c>
      <c r="E6" s="13" t="s">
        <v>51</v>
      </c>
      <c r="F6" s="14" t="n">
        <f aca="false">SUMPRODUCT(--(((D9:D87&lt;&gt;0)+(I9:I87&lt;&gt;0)&gt;0)*((C9:C87=0)*(H9:H87=0)))*D9:D87)</f>
        <v>47</v>
      </c>
      <c r="G6" s="13" t="s">
        <v>52</v>
      </c>
      <c r="H6" s="14" t="n">
        <f aca="false">SUMPRODUCT(--(((D9:D87&lt;&gt;0)+(I9:I87&lt;&gt;0)&gt;0)*((C9:C87=0)*(H9:H87=0)))*I9:I87)</f>
        <v>3274.06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270</v>
      </c>
      <c r="B9" s="7" t="str">
        <f aca="false">IFERROR(INDEX('Source'!$C:$C,MATCH($A9,'Source'!$B:$B,0)),"")</f>
        <v>נוזל לריכוך ציפורן חודרנית</v>
      </c>
      <c r="C9" s="8" t="n">
        <f aca="false">SUMIFS('Source'!$D:$D,'Source'!$A:$A,"160251 AMAZON",'Source'!$B:$B,$A9)</f>
        <v>16341</v>
      </c>
      <c r="D9" s="8" t="n">
        <f aca="false">SUMIFS('Source'!$F:$F,'Source'!$A:$A,"160251 AMAZON",'Source'!$B:$B,$A9)</f>
        <v>11785</v>
      </c>
      <c r="E9" s="8" t="n">
        <f aca="false">D9*$J$5</f>
        <v>14886.3157894737</v>
      </c>
      <c r="F9" s="8" t="n">
        <f aca="false">E9-C9</f>
        <v>-1454.68421052632</v>
      </c>
      <c r="G9" s="9" t="n">
        <f aca="false">IF(AND(C9=0,E9=0),0,IF(C9=0,"New",(E9-C9)/C9))</f>
        <v>-0.0890205134646788</v>
      </c>
      <c r="H9" s="8" t="n">
        <f aca="false">SUMIFS('Source'!$E:$E,'Source'!$A:$A,"160251 AMAZON",'Source'!$B:$B,$A9)</f>
        <v>1097384.48</v>
      </c>
      <c r="I9" s="8" t="n">
        <f aca="false">SUMIFS('Source'!$G:$G,'Source'!$A:$A,"160251 AMAZON",'Source'!$B:$B,$A9)</f>
        <v>705962.26</v>
      </c>
      <c r="J9" s="8" t="n">
        <f aca="false">I9*$J$5</f>
        <v>891741.802105263</v>
      </c>
      <c r="K9" s="8" t="n">
        <f aca="false">J9-H9</f>
        <v>-205642.677894737</v>
      </c>
      <c r="L9" s="9" t="n">
        <f aca="false">IF(AND(H9=0,J9=0),0,IF(H9=0,"New",(J9-H9)/H9))</f>
        <v>-0.187393462949956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820</v>
      </c>
      <c r="B10" s="7" t="str">
        <f aca="false">IFERROR(INDEX('Source'!$C:$C,MATCH($A10,'Source'!$B:$B,0)),"")</f>
        <v>חגורת שבר</v>
      </c>
      <c r="C10" s="8" t="n">
        <f aca="false">SUMIFS('Source'!$D:$D,'Source'!$A:$A,"160251 AMAZON",'Source'!$B:$B,$A10)</f>
        <v>1141</v>
      </c>
      <c r="D10" s="8" t="n">
        <f aca="false">SUMIFS('Source'!$F:$F,'Source'!$A:$A,"160251 AMAZON",'Source'!$B:$B,$A10)</f>
        <v>343</v>
      </c>
      <c r="E10" s="8" t="n">
        <f aca="false">D10*$J$5</f>
        <v>433.263157894737</v>
      </c>
      <c r="F10" s="8" t="n">
        <f aca="false">E10-C10</f>
        <v>-707.736842105263</v>
      </c>
      <c r="G10" s="9" t="n">
        <f aca="false">IF(AND(C10=0,E10=0),0,IF(C10=0,"New",(E10-C10)/C10))</f>
        <v>-0.620277688085244</v>
      </c>
      <c r="H10" s="8" t="n">
        <f aca="false">SUMIFS('Source'!$E:$E,'Source'!$A:$A,"160251 AMAZON",'Source'!$B:$B,$A10)</f>
        <v>191075.16</v>
      </c>
      <c r="I10" s="8" t="n">
        <f aca="false">SUMIFS('Source'!$G:$G,'Source'!$A:$A,"160251 AMAZON",'Source'!$B:$B,$A10)</f>
        <v>55207.3</v>
      </c>
      <c r="J10" s="8" t="n">
        <f aca="false">I10*$J$5</f>
        <v>69735.5368421053</v>
      </c>
      <c r="K10" s="8" t="n">
        <f aca="false">J10-H10</f>
        <v>-121339.623157895</v>
      </c>
      <c r="L10" s="9" t="n">
        <f aca="false">IF(AND(H10=0,J10=0),0,IF(H10=0,"New",(J10-H10)/H10))</f>
        <v>-0.635036093429909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821</v>
      </c>
      <c r="B11" s="7" t="str">
        <f aca="false">IFERROR(INDEX('Source'!$C:$C,MATCH($A11,'Source'!$B:$B,0)),"")</f>
        <v>חגורת שבר</v>
      </c>
      <c r="C11" s="8" t="n">
        <f aca="false">SUMIFS('Source'!$D:$D,'Source'!$A:$A,"160251 AMAZON",'Source'!$B:$B,$A11)</f>
        <v>670</v>
      </c>
      <c r="D11" s="8" t="n">
        <f aca="false">SUMIFS('Source'!$F:$F,'Source'!$A:$A,"160251 AMAZON",'Source'!$B:$B,$A11)</f>
        <v>313</v>
      </c>
      <c r="E11" s="8" t="n">
        <f aca="false">D11*$J$5</f>
        <v>395.368421052632</v>
      </c>
      <c r="F11" s="8" t="n">
        <f aca="false">E11-C11</f>
        <v>-274.631578947368</v>
      </c>
      <c r="G11" s="9" t="n">
        <f aca="false">IF(AND(C11=0,E11=0),0,IF(C11=0,"New",(E11-C11)/C11))</f>
        <v>-0.409897879025923</v>
      </c>
      <c r="H11" s="8" t="n">
        <f aca="false">SUMIFS('Source'!$E:$E,'Source'!$A:$A,"160251 AMAZON",'Source'!$B:$B,$A11)</f>
        <v>119782.01</v>
      </c>
      <c r="I11" s="8" t="n">
        <f aca="false">SUMIFS('Source'!$G:$G,'Source'!$A:$A,"160251 AMAZON",'Source'!$B:$B,$A11)</f>
        <v>49927.51</v>
      </c>
      <c r="J11" s="8" t="n">
        <f aca="false">I11*$J$5</f>
        <v>63066.3284210526</v>
      </c>
      <c r="K11" s="8" t="n">
        <f aca="false">J11-H11</f>
        <v>-56715.6815789474</v>
      </c>
      <c r="L11" s="9" t="n">
        <f aca="false">IF(AND(H11=0,J11=0),0,IF(H11=0,"New",(J11-H11)/H11))</f>
        <v>-0.473490815348209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822</v>
      </c>
      <c r="B12" s="7" t="str">
        <f aca="false">IFERROR(INDEX('Source'!$C:$C,MATCH($A12,'Source'!$B:$B,0)),"")</f>
        <v>חגורת שבר</v>
      </c>
      <c r="C12" s="8" t="n">
        <f aca="false">SUMIFS('Source'!$D:$D,'Source'!$A:$A,"160251 AMAZON",'Source'!$B:$B,$A12)</f>
        <v>502</v>
      </c>
      <c r="D12" s="8" t="n">
        <f aca="false">SUMIFS('Source'!$F:$F,'Source'!$A:$A,"160251 AMAZON",'Source'!$B:$B,$A12)</f>
        <v>189</v>
      </c>
      <c r="E12" s="8" t="n">
        <f aca="false">D12*$J$5</f>
        <v>238.736842105263</v>
      </c>
      <c r="F12" s="8" t="n">
        <f aca="false">E12-C12</f>
        <v>-263.263157894737</v>
      </c>
      <c r="G12" s="9" t="n">
        <f aca="false">IF(AND(C12=0,E12=0),0,IF(C12=0,"New",(E12-C12)/C12))</f>
        <v>-0.524428601383938</v>
      </c>
      <c r="H12" s="8" t="n">
        <f aca="false">SUMIFS('Source'!$E:$E,'Source'!$A:$A,"160251 AMAZON",'Source'!$B:$B,$A12)</f>
        <v>92438.48</v>
      </c>
      <c r="I12" s="8" t="n">
        <f aca="false">SUMIFS('Source'!$G:$G,'Source'!$A:$A,"160251 AMAZON",'Source'!$B:$B,$A12)</f>
        <v>30425.69</v>
      </c>
      <c r="J12" s="8" t="n">
        <f aca="false">I12*$J$5</f>
        <v>38432.4505263158</v>
      </c>
      <c r="K12" s="8" t="n">
        <f aca="false">J12-H12</f>
        <v>-54006.0294736842</v>
      </c>
      <c r="L12" s="9" t="n">
        <f aca="false">IF(AND(H12=0,J12=0),0,IF(H12=0,"New",(J12-H12)/H12))</f>
        <v>-0.584237532612871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177</v>
      </c>
      <c r="B13" s="7" t="str">
        <f aca="false">IFERROR(INDEX('Source'!$C:$C,MATCH($A13,'Source'!$B:$B,0)),"")</f>
        <v>נוזל לריכוך ציפורן חודרנית</v>
      </c>
      <c r="C13" s="8" t="n">
        <f aca="false">SUMIFS('Source'!$D:$D,'Source'!$A:$A,"160251 AMAZON",'Source'!$B:$B,$A13)</f>
        <v>1355</v>
      </c>
      <c r="D13" s="8" t="n">
        <f aca="false">SUMIFS('Source'!$F:$F,'Source'!$A:$A,"160251 AMAZON",'Source'!$B:$B,$A13)</f>
        <v>750</v>
      </c>
      <c r="E13" s="8" t="n">
        <f aca="false">D13*$J$5</f>
        <v>947.368421052632</v>
      </c>
      <c r="F13" s="8" t="n">
        <f aca="false">E13-C13</f>
        <v>-407.631578947368</v>
      </c>
      <c r="G13" s="9" t="n">
        <f aca="false">IF(AND(C13=0,E13=0),0,IF(C13=0,"New",(E13-C13)/C13))</f>
        <v>-0.300835113614294</v>
      </c>
      <c r="H13" s="8" t="n">
        <f aca="false">SUMIFS('Source'!$E:$E,'Source'!$A:$A,"160251 AMAZON",'Source'!$B:$B,$A13)</f>
        <v>109768.29</v>
      </c>
      <c r="I13" s="8" t="n">
        <f aca="false">SUMIFS('Source'!$G:$G,'Source'!$A:$A,"160251 AMAZON",'Source'!$B:$B,$A13)</f>
        <v>56592.53</v>
      </c>
      <c r="J13" s="8" t="n">
        <f aca="false">I13*$J$5</f>
        <v>71485.3010526316</v>
      </c>
      <c r="K13" s="8" t="n">
        <f aca="false">J13-H13</f>
        <v>-38282.9889473684</v>
      </c>
      <c r="L13" s="9" t="n">
        <f aca="false">IF(AND(H13=0,J13=0),0,IF(H13=0,"New",(J13-H13)/H13))</f>
        <v>-0.348761823176515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823</v>
      </c>
      <c r="B14" s="7" t="str">
        <f aca="false">IFERROR(INDEX('Source'!$C:$C,MATCH($A14,'Source'!$B:$B,0)),"")</f>
        <v>קיט טיפות + 365 XL</v>
      </c>
      <c r="C14" s="8" t="n">
        <f aca="false">SUMIFS('Source'!$D:$D,'Source'!$A:$A,"160251 AMAZON",'Source'!$B:$B,$A14)</f>
        <v>1189</v>
      </c>
      <c r="D14" s="8" t="n">
        <f aca="false">SUMIFS('Source'!$F:$F,'Source'!$A:$A,"160251 AMAZON",'Source'!$B:$B,$A14)</f>
        <v>475</v>
      </c>
      <c r="E14" s="8" t="n">
        <f aca="false">D14*$J$5</f>
        <v>600</v>
      </c>
      <c r="F14" s="8" t="n">
        <f aca="false">E14-C14</f>
        <v>-589</v>
      </c>
      <c r="G14" s="9" t="n">
        <f aca="false">IF(AND(C14=0,E14=0),0,IF(C14=0,"New",(E14-C14)/C14))</f>
        <v>-0.495374264087469</v>
      </c>
      <c r="H14" s="8" t="n">
        <f aca="false">SUMIFS('Source'!$E:$E,'Source'!$A:$A,"160251 AMAZON",'Source'!$B:$B,$A14)</f>
        <v>85731.85</v>
      </c>
      <c r="I14" s="8" t="n">
        <f aca="false">SUMIFS('Source'!$G:$G,'Source'!$A:$A,"160251 AMAZON",'Source'!$B:$B,$A14)</f>
        <v>32628.14</v>
      </c>
      <c r="J14" s="8" t="n">
        <f aca="false">I14*$J$5</f>
        <v>41214.4926315789</v>
      </c>
      <c r="K14" s="8" t="n">
        <f aca="false">J14-H14</f>
        <v>-44517.3573684211</v>
      </c>
      <c r="L14" s="9" t="n">
        <f aca="false">IF(AND(H14=0,J14=0),0,IF(H14=0,"New",(J14-H14)/H14))</f>
        <v>-0.519262763703584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824</v>
      </c>
      <c r="B15" s="7" t="str">
        <f aca="false">IFERROR(INDEX('Source'!$C:$C,MATCH($A15,'Source'!$B:$B,0)),"")</f>
        <v>חגורת שבר</v>
      </c>
      <c r="C15" s="8" t="n">
        <f aca="false">SUMIFS('Source'!$D:$D,'Source'!$A:$A,"160251 AMAZON",'Source'!$B:$B,$A15)</f>
        <v>403</v>
      </c>
      <c r="D15" s="8" t="n">
        <f aca="false">SUMIFS('Source'!$F:$F,'Source'!$A:$A,"160251 AMAZON",'Source'!$B:$B,$A15)</f>
        <v>141</v>
      </c>
      <c r="E15" s="8" t="n">
        <f aca="false">D15*$J$5</f>
        <v>178.105263157895</v>
      </c>
      <c r="F15" s="8" t="n">
        <f aca="false">E15-C15</f>
        <v>-224.894736842105</v>
      </c>
      <c r="G15" s="9" t="n">
        <f aca="false">IF(AND(C15=0,E15=0),0,IF(C15=0,"New",(E15-C15)/C15))</f>
        <v>-0.558051456183884</v>
      </c>
      <c r="H15" s="8" t="n">
        <f aca="false">SUMIFS('Source'!$E:$E,'Source'!$A:$A,"160251 AMAZON",'Source'!$B:$B,$A15)</f>
        <v>73333.84</v>
      </c>
      <c r="I15" s="8" t="n">
        <f aca="false">SUMIFS('Source'!$G:$G,'Source'!$A:$A,"160251 AMAZON",'Source'!$B:$B,$A15)</f>
        <v>22516.1</v>
      </c>
      <c r="J15" s="8" t="n">
        <f aca="false">I15*$J$5</f>
        <v>28441.3894736842</v>
      </c>
      <c r="K15" s="8" t="n">
        <f aca="false">J15-H15</f>
        <v>-44892.4505263158</v>
      </c>
      <c r="L15" s="9" t="n">
        <f aca="false">IF(AND(H15=0,J15=0),0,IF(H15=0,"New",(J15-H15)/H15))</f>
        <v>-0.612165550396867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825</v>
      </c>
      <c r="B16" s="7" t="str">
        <f aca="false">IFERROR(INDEX('Source'!$C:$C,MATCH($A16,'Source'!$B:$B,0)),"")</f>
        <v>חגורת שבר שחור</v>
      </c>
      <c r="C16" s="8" t="n">
        <f aca="false">SUMIFS('Source'!$D:$D,'Source'!$A:$A,"160251 AMAZON",'Source'!$B:$B,$A16)</f>
        <v>769</v>
      </c>
      <c r="D16" s="8" t="n">
        <f aca="false">SUMIFS('Source'!$F:$F,'Source'!$A:$A,"160251 AMAZON",'Source'!$B:$B,$A16)</f>
        <v>1146</v>
      </c>
      <c r="E16" s="8" t="n">
        <f aca="false">D16*$J$5</f>
        <v>1447.57894736842</v>
      </c>
      <c r="F16" s="8" t="n">
        <f aca="false">E16-C16</f>
        <v>678.578947368421</v>
      </c>
      <c r="G16" s="9" t="n">
        <f aca="false">IF(AND(C16=0,E16=0),0,IF(C16=0,"New",(E16-C16)/C16))</f>
        <v>0.882417356785983</v>
      </c>
      <c r="H16" s="8" t="n">
        <f aca="false">SUMIFS('Source'!$E:$E,'Source'!$A:$A,"160251 AMAZON",'Source'!$B:$B,$A16)</f>
        <v>135894.77</v>
      </c>
      <c r="I16" s="8" t="n">
        <f aca="false">SUMIFS('Source'!$G:$G,'Source'!$A:$A,"160251 AMAZON",'Source'!$B:$B,$A16)</f>
        <v>183863.79</v>
      </c>
      <c r="J16" s="8" t="n">
        <f aca="false">I16*$J$5</f>
        <v>232248.997894737</v>
      </c>
      <c r="K16" s="8" t="n">
        <f aca="false">J16-H16</f>
        <v>96354.2278947369</v>
      </c>
      <c r="L16" s="9" t="n">
        <f aca="false">IF(AND(H16=0,J16=0),0,IF(H16=0,"New",(J16-H16)/H16))</f>
        <v>0.709035586098986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826</v>
      </c>
      <c r="B17" s="7" t="str">
        <f aca="false">IFERROR(INDEX('Source'!$C:$C,MATCH($A17,'Source'!$B:$B,0)),"")</f>
        <v>הפרשים אמזון</v>
      </c>
      <c r="C17" s="8" t="n">
        <f aca="false">SUMIFS('Source'!$D:$D,'Source'!$A:$A,"160251 AMAZON",'Source'!$B:$B,$A17)</f>
        <v>0</v>
      </c>
      <c r="D17" s="8" t="n">
        <f aca="false">SUMIFS('Source'!$F:$F,'Source'!$A:$A,"160251 AMAZON",'Source'!$B:$B,$A17)</f>
        <v>0</v>
      </c>
      <c r="E17" s="8" t="n">
        <f aca="false">D17*$J$5</f>
        <v>0</v>
      </c>
      <c r="F17" s="8" t="n">
        <f aca="false">E17-C17</f>
        <v>0</v>
      </c>
      <c r="G17" s="9" t="n">
        <f aca="false">IF(AND(C17=0,E17=0),0,IF(C17=0,"New",(E17-C17)/C17))</f>
        <v>0</v>
      </c>
      <c r="H17" s="8" t="n">
        <f aca="false">SUMIFS('Source'!$E:$E,'Source'!$A:$A,"160251 AMAZON",'Source'!$B:$B,$A17)</f>
        <v>42266.02</v>
      </c>
      <c r="I17" s="8" t="n">
        <f aca="false">SUMIFS('Source'!$G:$G,'Source'!$A:$A,"160251 AMAZON",'Source'!$B:$B,$A17)</f>
        <v>0</v>
      </c>
      <c r="J17" s="8" t="n">
        <f aca="false">I17*$J$5</f>
        <v>0</v>
      </c>
      <c r="K17" s="8" t="n">
        <f aca="false">J17-H17</f>
        <v>-42266.02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827</v>
      </c>
      <c r="B18" s="7" t="str">
        <f aca="false">IFERROR(INDEX('Source'!$C:$C,MATCH($A18,'Source'!$B:$B,0)),"")</f>
        <v>חגורת שבר</v>
      </c>
      <c r="C18" s="8" t="n">
        <f aca="false">SUMIFS('Source'!$D:$D,'Source'!$A:$A,"160251 AMAZON",'Source'!$B:$B,$A18)</f>
        <v>346</v>
      </c>
      <c r="D18" s="8" t="n">
        <f aca="false">SUMIFS('Source'!$F:$F,'Source'!$A:$A,"160251 AMAZON",'Source'!$B:$B,$A18)</f>
        <v>147</v>
      </c>
      <c r="E18" s="8" t="n">
        <f aca="false">D18*$J$5</f>
        <v>185.684210526316</v>
      </c>
      <c r="F18" s="8" t="n">
        <f aca="false">E18-C18</f>
        <v>-160.315789473684</v>
      </c>
      <c r="G18" s="9" t="n">
        <f aca="false">IF(AND(C18=0,E18=0),0,IF(C18=0,"New",(E18-C18)/C18))</f>
        <v>-0.463340432004868</v>
      </c>
      <c r="H18" s="8" t="n">
        <f aca="false">SUMIFS('Source'!$E:$E,'Source'!$A:$A,"160251 AMAZON",'Source'!$B:$B,$A18)</f>
        <v>66008.37</v>
      </c>
      <c r="I18" s="8" t="n">
        <f aca="false">SUMIFS('Source'!$G:$G,'Source'!$A:$A,"160251 AMAZON",'Source'!$B:$B,$A18)</f>
        <v>24805.76</v>
      </c>
      <c r="J18" s="8" t="n">
        <f aca="false">I18*$J$5</f>
        <v>31333.5915789474</v>
      </c>
      <c r="K18" s="8" t="n">
        <f aca="false">J18-H18</f>
        <v>-34674.7784210526</v>
      </c>
      <c r="L18" s="9" t="n">
        <f aca="false">IF(AND(H18=0,J18=0),0,IF(H18=0,"New",(J18-H18)/H18))</f>
        <v>-0.52530881191359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828</v>
      </c>
      <c r="B19" s="7" t="str">
        <f aca="false">IFERROR(INDEX('Source'!$C:$C,MATCH($A19,'Source'!$B:$B,0)),"")</f>
        <v>חגורה אחרי ניתוח</v>
      </c>
      <c r="C19" s="8" t="n">
        <f aca="false">SUMIFS('Source'!$D:$D,'Source'!$A:$A,"160251 AMAZON",'Source'!$B:$B,$A19)</f>
        <v>224</v>
      </c>
      <c r="D19" s="8" t="n">
        <f aca="false">SUMIFS('Source'!$F:$F,'Source'!$A:$A,"160251 AMAZON",'Source'!$B:$B,$A19)</f>
        <v>61</v>
      </c>
      <c r="E19" s="8" t="n">
        <f aca="false">D19*$J$5</f>
        <v>77.0526315789474</v>
      </c>
      <c r="F19" s="8" t="n">
        <f aca="false">E19-C19</f>
        <v>-146.947368421053</v>
      </c>
      <c r="G19" s="9" t="n">
        <f aca="false">IF(AND(C19=0,E19=0),0,IF(C19=0,"New",(E19-C19)/C19))</f>
        <v>-0.656015037593985</v>
      </c>
      <c r="H19" s="8" t="n">
        <f aca="false">SUMIFS('Source'!$E:$E,'Source'!$A:$A,"160251 AMAZON",'Source'!$B:$B,$A19)</f>
        <v>30949.19</v>
      </c>
      <c r="I19" s="8" t="n">
        <f aca="false">SUMIFS('Source'!$G:$G,'Source'!$A:$A,"160251 AMAZON",'Source'!$B:$B,$A19)</f>
        <v>8220.14</v>
      </c>
      <c r="J19" s="8" t="n">
        <f aca="false">I19*$J$5</f>
        <v>10383.3347368421</v>
      </c>
      <c r="K19" s="8" t="n">
        <f aca="false">J19-H19</f>
        <v>-20565.8552631579</v>
      </c>
      <c r="L19" s="9" t="n">
        <f aca="false">IF(AND(H19=0,J19=0),0,IF(H19=0,"New",(J19-H19)/H19))</f>
        <v>-0.664503829119854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829</v>
      </c>
      <c r="B20" s="7" t="str">
        <f aca="false">IFERROR(INDEX('Source'!$C:$C,MATCH($A20,'Source'!$B:$B,0)),"")</f>
        <v>חגורת שבר</v>
      </c>
      <c r="C20" s="8" t="n">
        <f aca="false">SUMIFS('Source'!$D:$D,'Source'!$A:$A,"160251 AMAZON",'Source'!$B:$B,$A20)</f>
        <v>225</v>
      </c>
      <c r="D20" s="8" t="n">
        <f aca="false">SUMIFS('Source'!$F:$F,'Source'!$A:$A,"160251 AMAZON",'Source'!$B:$B,$A20)</f>
        <v>114</v>
      </c>
      <c r="E20" s="8" t="n">
        <f aca="false">D20*$J$5</f>
        <v>144</v>
      </c>
      <c r="F20" s="8" t="n">
        <f aca="false">E20-C20</f>
        <v>-81</v>
      </c>
      <c r="G20" s="9" t="n">
        <f aca="false">IF(AND(C20=0,E20=0),0,IF(C20=0,"New",(E20-C20)/C20))</f>
        <v>-0.36</v>
      </c>
      <c r="H20" s="8" t="n">
        <f aca="false">SUMIFS('Source'!$E:$E,'Source'!$A:$A,"160251 AMAZON",'Source'!$B:$B,$A20)</f>
        <v>41045.21</v>
      </c>
      <c r="I20" s="8" t="n">
        <f aca="false">SUMIFS('Source'!$G:$G,'Source'!$A:$A,"160251 AMAZON",'Source'!$B:$B,$A20)</f>
        <v>18620.98</v>
      </c>
      <c r="J20" s="8" t="n">
        <f aca="false">I20*$J$5</f>
        <v>23521.2378947368</v>
      </c>
      <c r="K20" s="8" t="n">
        <f aca="false">J20-H20</f>
        <v>-17523.9721052632</v>
      </c>
      <c r="L20" s="9" t="n">
        <f aca="false">IF(AND(H20=0,J20=0),0,IF(H20=0,"New",(J20-H20)/H20))</f>
        <v>-0.426943170841693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830</v>
      </c>
      <c r="B21" s="7" t="str">
        <f aca="false">IFERROR(INDEX('Source'!$C:$C,MATCH($A21,'Source'!$B:$B,0)),"")</f>
        <v>חגורת שבר</v>
      </c>
      <c r="C21" s="8" t="n">
        <f aca="false">SUMIFS('Source'!$D:$D,'Source'!$A:$A,"160251 AMAZON",'Source'!$B:$B,$A21)</f>
        <v>222</v>
      </c>
      <c r="D21" s="8" t="n">
        <f aca="false">SUMIFS('Source'!$F:$F,'Source'!$A:$A,"160251 AMAZON",'Source'!$B:$B,$A21)</f>
        <v>120</v>
      </c>
      <c r="E21" s="8" t="n">
        <f aca="false">D21*$J$5</f>
        <v>151.578947368421</v>
      </c>
      <c r="F21" s="8" t="n">
        <f aca="false">E21-C21</f>
        <v>-70.421052631579</v>
      </c>
      <c r="G21" s="9" t="n">
        <f aca="false">IF(AND(C21=0,E21=0),0,IF(C21=0,"New",(E21-C21)/C21))</f>
        <v>-0.317211948790896</v>
      </c>
      <c r="H21" s="8" t="n">
        <f aca="false">SUMIFS('Source'!$E:$E,'Source'!$A:$A,"160251 AMAZON",'Source'!$B:$B,$A21)</f>
        <v>40212.55</v>
      </c>
      <c r="I21" s="8" t="n">
        <f aca="false">SUMIFS('Source'!$G:$G,'Source'!$A:$A,"160251 AMAZON",'Source'!$B:$B,$A21)</f>
        <v>19417.04</v>
      </c>
      <c r="J21" s="8" t="n">
        <f aca="false">I21*$J$5</f>
        <v>24526.7873684211</v>
      </c>
      <c r="K21" s="8" t="n">
        <f aca="false">J21-H21</f>
        <v>-15685.762631579</v>
      </c>
      <c r="L21" s="9" t="n">
        <f aca="false">IF(AND(H21=0,J21=0),0,IF(H21=0,"New",(J21-H21)/H21))</f>
        <v>-0.390071324290028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831</v>
      </c>
      <c r="B22" s="7" t="str">
        <f aca="false">IFERROR(INDEX('Source'!$C:$C,MATCH($A22,'Source'!$B:$B,0)),"")</f>
        <v>חגורה אחרי ניתוח</v>
      </c>
      <c r="C22" s="8" t="n">
        <f aca="false">SUMIFS('Source'!$D:$D,'Source'!$A:$A,"160251 AMAZON",'Source'!$B:$B,$A22)</f>
        <v>195</v>
      </c>
      <c r="D22" s="8" t="n">
        <f aca="false">SUMIFS('Source'!$F:$F,'Source'!$A:$A,"160251 AMAZON",'Source'!$B:$B,$A22)</f>
        <v>53</v>
      </c>
      <c r="E22" s="8" t="n">
        <f aca="false">D22*$J$5</f>
        <v>66.9473684210526</v>
      </c>
      <c r="F22" s="8" t="n">
        <f aca="false">E22-C22</f>
        <v>-128.052631578947</v>
      </c>
      <c r="G22" s="9" t="n">
        <f aca="false">IF(AND(C22=0,E22=0),0,IF(C22=0,"New",(E22-C22)/C22))</f>
        <v>-0.65668016194332</v>
      </c>
      <c r="H22" s="8" t="n">
        <f aca="false">SUMIFS('Source'!$E:$E,'Source'!$A:$A,"160251 AMAZON",'Source'!$B:$B,$A22)</f>
        <v>27208.51</v>
      </c>
      <c r="I22" s="8" t="n">
        <f aca="false">SUMIFS('Source'!$G:$G,'Source'!$A:$A,"160251 AMAZON",'Source'!$B:$B,$A22)</f>
        <v>7224.56</v>
      </c>
      <c r="J22" s="8" t="n">
        <f aca="false">I22*$J$5</f>
        <v>9125.76</v>
      </c>
      <c r="K22" s="8" t="n">
        <f aca="false">J22-H22</f>
        <v>-18082.75</v>
      </c>
      <c r="L22" s="9" t="n">
        <f aca="false">IF(AND(H22=0,J22=0),0,IF(H22=0,"New",(J22-H22)/H22))</f>
        <v>-0.664599053751933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832</v>
      </c>
      <c r="B23" s="7" t="str">
        <f aca="false">IFERROR(INDEX('Source'!$C:$C,MATCH($A23,'Source'!$B:$B,0)),"")</f>
        <v>חגורת בטן לנורבגיה</v>
      </c>
      <c r="C23" s="8" t="n">
        <f aca="false">SUMIFS('Source'!$D:$D,'Source'!$A:$A,"160251 AMAZON",'Source'!$B:$B,$A23)</f>
        <v>133</v>
      </c>
      <c r="D23" s="8" t="n">
        <f aca="false">SUMIFS('Source'!$F:$F,'Source'!$A:$A,"160251 AMAZON",'Source'!$B:$B,$A23)</f>
        <v>0</v>
      </c>
      <c r="E23" s="8" t="n">
        <f aca="false">D23*$J$5</f>
        <v>0</v>
      </c>
      <c r="F23" s="8" t="n">
        <f aca="false">E23-C23</f>
        <v>-133</v>
      </c>
      <c r="G23" s="9" t="n">
        <f aca="false">IF(AND(C23=0,E23=0),0,IF(C23=0,"New",(E23-C23)/C23))</f>
        <v>-1</v>
      </c>
      <c r="H23" s="8" t="n">
        <f aca="false">SUMIFS('Source'!$E:$E,'Source'!$A:$A,"160251 AMAZON",'Source'!$B:$B,$A23)</f>
        <v>19212.52</v>
      </c>
      <c r="I23" s="8" t="n">
        <f aca="false">SUMIFS('Source'!$G:$G,'Source'!$A:$A,"160251 AMAZON",'Source'!$B:$B,$A23)</f>
        <v>0</v>
      </c>
      <c r="J23" s="8" t="n">
        <f aca="false">I23*$J$5</f>
        <v>0</v>
      </c>
      <c r="K23" s="8" t="n">
        <f aca="false">J23-H23</f>
        <v>-19212.52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833</v>
      </c>
      <c r="B24" s="7" t="str">
        <f aca="false">IFERROR(INDEX('Source'!$C:$C,MATCH($A24,'Source'!$B:$B,0)),"")</f>
        <v>חגורת בטן לנורבגיה</v>
      </c>
      <c r="C24" s="8" t="n">
        <f aca="false">SUMIFS('Source'!$D:$D,'Source'!$A:$A,"160251 AMAZON",'Source'!$B:$B,$A24)</f>
        <v>191</v>
      </c>
      <c r="D24" s="8" t="n">
        <f aca="false">SUMIFS('Source'!$F:$F,'Source'!$A:$A,"160251 AMAZON",'Source'!$B:$B,$A24)</f>
        <v>65</v>
      </c>
      <c r="E24" s="8" t="n">
        <f aca="false">D24*$J$5</f>
        <v>82.1052631578947</v>
      </c>
      <c r="F24" s="8" t="n">
        <f aca="false">E24-C24</f>
        <v>-108.894736842105</v>
      </c>
      <c r="G24" s="9" t="n">
        <f aca="false">IF(AND(C24=0,E24=0),0,IF(C24=0,"New",(E24-C24)/C24))</f>
        <v>-0.570129512262331</v>
      </c>
      <c r="H24" s="8" t="n">
        <f aca="false">SUMIFS('Source'!$E:$E,'Source'!$A:$A,"160251 AMAZON",'Source'!$B:$B,$A24)</f>
        <v>26070.58</v>
      </c>
      <c r="I24" s="8" t="n">
        <f aca="false">SUMIFS('Source'!$G:$G,'Source'!$A:$A,"160251 AMAZON",'Source'!$B:$B,$A24)</f>
        <v>8137.95</v>
      </c>
      <c r="J24" s="8" t="n">
        <f aca="false">I24*$J$5</f>
        <v>10279.5157894737</v>
      </c>
      <c r="K24" s="8" t="n">
        <f aca="false">J24-H24</f>
        <v>-15791.0642105263</v>
      </c>
      <c r="L24" s="9" t="n">
        <f aca="false">IF(AND(H24=0,J24=0),0,IF(H24=0,"New",(J24-H24)/H24))</f>
        <v>-0.60570436908294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834</v>
      </c>
      <c r="B25" s="7" t="str">
        <f aca="false">IFERROR(INDEX('Source'!$C:$C,MATCH($A25,'Source'!$B:$B,0)),"")</f>
        <v>חגורת שבר</v>
      </c>
      <c r="C25" s="8" t="n">
        <f aca="false">SUMIFS('Source'!$D:$D,'Source'!$A:$A,"160251 AMAZON",'Source'!$B:$B,$A25)</f>
        <v>175</v>
      </c>
      <c r="D25" s="8" t="n">
        <f aca="false">SUMIFS('Source'!$F:$F,'Source'!$A:$A,"160251 AMAZON",'Source'!$B:$B,$A25)</f>
        <v>90</v>
      </c>
      <c r="E25" s="8" t="n">
        <f aca="false">D25*$J$5</f>
        <v>113.684210526316</v>
      </c>
      <c r="F25" s="8" t="n">
        <f aca="false">E25-C25</f>
        <v>-61.3157894736842</v>
      </c>
      <c r="G25" s="9" t="n">
        <f aca="false">IF(AND(C25=0,E25=0),0,IF(C25=0,"New",(E25-C25)/C25))</f>
        <v>-0.350375939849624</v>
      </c>
      <c r="H25" s="8" t="n">
        <f aca="false">SUMIFS('Source'!$E:$E,'Source'!$A:$A,"160251 AMAZON",'Source'!$B:$B,$A25)</f>
        <v>33651.11</v>
      </c>
      <c r="I25" s="8" t="n">
        <f aca="false">SUMIFS('Source'!$G:$G,'Source'!$A:$A,"160251 AMAZON",'Source'!$B:$B,$A25)</f>
        <v>15976.99</v>
      </c>
      <c r="J25" s="8" t="n">
        <f aca="false">I25*$J$5</f>
        <v>20181.4610526316</v>
      </c>
      <c r="K25" s="8" t="n">
        <f aca="false">J25-H25</f>
        <v>-13469.6489473684</v>
      </c>
      <c r="L25" s="9" t="n">
        <f aca="false">IF(AND(H25=0,J25=0),0,IF(H25=0,"New",(J25-H25)/H25))</f>
        <v>-0.400273540675729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835</v>
      </c>
      <c r="B26" s="7" t="str">
        <f aca="false">IFERROR(INDEX('Source'!$C:$C,MATCH($A26,'Source'!$B:$B,0)),"")</f>
        <v>חגורת שבר שחור</v>
      </c>
      <c r="C26" s="8" t="n">
        <f aca="false">SUMIFS('Source'!$D:$D,'Source'!$A:$A,"160251 AMAZON",'Source'!$B:$B,$A26)</f>
        <v>384</v>
      </c>
      <c r="D26" s="8" t="n">
        <f aca="false">SUMIFS('Source'!$F:$F,'Source'!$A:$A,"160251 AMAZON",'Source'!$B:$B,$A26)</f>
        <v>326</v>
      </c>
      <c r="E26" s="8" t="n">
        <f aca="false">D26*$J$5</f>
        <v>411.789473684211</v>
      </c>
      <c r="F26" s="8" t="n">
        <f aca="false">E26-C26</f>
        <v>27.7894736842105</v>
      </c>
      <c r="G26" s="9" t="n">
        <f aca="false">IF(AND(C26=0,E26=0),0,IF(C26=0,"New",(E26-C26)/C26))</f>
        <v>0.0723684210526316</v>
      </c>
      <c r="H26" s="8" t="n">
        <f aca="false">SUMIFS('Source'!$E:$E,'Source'!$A:$A,"160251 AMAZON",'Source'!$B:$B,$A26)</f>
        <v>68602.16</v>
      </c>
      <c r="I26" s="8" t="n">
        <f aca="false">SUMIFS('Source'!$G:$G,'Source'!$A:$A,"160251 AMAZON",'Source'!$B:$B,$A26)</f>
        <v>51617.83</v>
      </c>
      <c r="J26" s="8" t="n">
        <f aca="false">I26*$J$5</f>
        <v>65201.4694736842</v>
      </c>
      <c r="K26" s="8" t="n">
        <f aca="false">J26-H26</f>
        <v>-3400.6905263158</v>
      </c>
      <c r="L26" s="9" t="n">
        <f aca="false">IF(AND(H26=0,J26=0),0,IF(H26=0,"New",(J26-H26)/H26))</f>
        <v>-0.0495711873549725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836</v>
      </c>
      <c r="B27" s="7" t="str">
        <f aca="false">IFERROR(INDEX('Source'!$C:$C,MATCH($A27,'Source'!$B:$B,0)),"")</f>
        <v>חגורת שבר שחור</v>
      </c>
      <c r="C27" s="8" t="n">
        <f aca="false">SUMIFS('Source'!$D:$D,'Source'!$A:$A,"160251 AMAZON",'Source'!$B:$B,$A27)</f>
        <v>268</v>
      </c>
      <c r="D27" s="8" t="n">
        <f aca="false">SUMIFS('Source'!$F:$F,'Source'!$A:$A,"160251 AMAZON",'Source'!$B:$B,$A27)</f>
        <v>203</v>
      </c>
      <c r="E27" s="8" t="n">
        <f aca="false">D27*$J$5</f>
        <v>256.421052631579</v>
      </c>
      <c r="F27" s="8" t="n">
        <f aca="false">E27-C27</f>
        <v>-11.578947368421</v>
      </c>
      <c r="G27" s="9" t="n">
        <f aca="false">IF(AND(C27=0,E27=0),0,IF(C27=0,"New",(E27-C27)/C27))</f>
        <v>-0.0432050274941084</v>
      </c>
      <c r="H27" s="8" t="n">
        <f aca="false">SUMIFS('Source'!$E:$E,'Source'!$A:$A,"160251 AMAZON",'Source'!$B:$B,$A27)</f>
        <v>47354.81</v>
      </c>
      <c r="I27" s="8" t="n">
        <f aca="false">SUMIFS('Source'!$G:$G,'Source'!$A:$A,"160251 AMAZON",'Source'!$B:$B,$A27)</f>
        <v>32989.62</v>
      </c>
      <c r="J27" s="8" t="n">
        <f aca="false">I27*$J$5</f>
        <v>41671.0989473684</v>
      </c>
      <c r="K27" s="8" t="n">
        <f aca="false">J27-H27</f>
        <v>-5683.71105263157</v>
      </c>
      <c r="L27" s="9" t="n">
        <f aca="false">IF(AND(H27=0,J27=0),0,IF(H27=0,"New",(J27-H27)/H27))</f>
        <v>-0.120023943768998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837</v>
      </c>
      <c r="B28" s="7" t="str">
        <f aca="false">IFERROR(INDEX('Source'!$C:$C,MATCH($A28,'Source'!$B:$B,0)),"")</f>
        <v>חגורת שבר שחור</v>
      </c>
      <c r="C28" s="8" t="n">
        <f aca="false">SUMIFS('Source'!$D:$D,'Source'!$A:$A,"160251 AMAZON",'Source'!$B:$B,$A28)</f>
        <v>243</v>
      </c>
      <c r="D28" s="8" t="n">
        <f aca="false">SUMIFS('Source'!$F:$F,'Source'!$A:$A,"160251 AMAZON",'Source'!$B:$B,$A28)</f>
        <v>185</v>
      </c>
      <c r="E28" s="8" t="n">
        <f aca="false">D28*$J$5</f>
        <v>233.684210526316</v>
      </c>
      <c r="F28" s="8" t="n">
        <f aca="false">E28-C28</f>
        <v>-9.31578947368422</v>
      </c>
      <c r="G28" s="9" t="n">
        <f aca="false">IF(AND(C28=0,E28=0),0,IF(C28=0,"New",(E28-C28)/C28))</f>
        <v>-0.0383365821962314</v>
      </c>
      <c r="H28" s="8" t="n">
        <f aca="false">SUMIFS('Source'!$E:$E,'Source'!$A:$A,"160251 AMAZON",'Source'!$B:$B,$A28)</f>
        <v>43557.14</v>
      </c>
      <c r="I28" s="8" t="n">
        <f aca="false">SUMIFS('Source'!$G:$G,'Source'!$A:$A,"160251 AMAZON",'Source'!$B:$B,$A28)</f>
        <v>29658.02</v>
      </c>
      <c r="J28" s="8" t="n">
        <f aca="false">I28*$J$5</f>
        <v>37462.7621052632</v>
      </c>
      <c r="K28" s="8" t="n">
        <f aca="false">J28-H28</f>
        <v>-6094.37789473684</v>
      </c>
      <c r="L28" s="9" t="n">
        <f aca="false">IF(AND(H28=0,J28=0),0,IF(H28=0,"New",(J28-H28)/H28))</f>
        <v>-0.139916851628386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838</v>
      </c>
      <c r="B29" s="7" t="str">
        <f aca="false">IFERROR(INDEX('Source'!$C:$C,MATCH($A29,'Source'!$B:$B,0)),"")</f>
        <v>חגורת שבר</v>
      </c>
      <c r="C29" s="8" t="n">
        <f aca="false">SUMIFS('Source'!$D:$D,'Source'!$A:$A,"160251 AMAZON",'Source'!$B:$B,$A29)</f>
        <v>125</v>
      </c>
      <c r="D29" s="8" t="n">
        <f aca="false">SUMIFS('Source'!$F:$F,'Source'!$A:$A,"160251 AMAZON",'Source'!$B:$B,$A29)</f>
        <v>76</v>
      </c>
      <c r="E29" s="8" t="n">
        <f aca="false">D29*$J$5</f>
        <v>96</v>
      </c>
      <c r="F29" s="8" t="n">
        <f aca="false">E29-C29</f>
        <v>-29</v>
      </c>
      <c r="G29" s="9" t="n">
        <f aca="false">IF(AND(C29=0,E29=0),0,IF(C29=0,"New",(E29-C29)/C29))</f>
        <v>-0.232</v>
      </c>
      <c r="H29" s="8" t="n">
        <f aca="false">SUMIFS('Source'!$E:$E,'Source'!$A:$A,"160251 AMAZON",'Source'!$B:$B,$A29)</f>
        <v>23867.72</v>
      </c>
      <c r="I29" s="8" t="n">
        <f aca="false">SUMIFS('Source'!$G:$G,'Source'!$A:$A,"160251 AMAZON",'Source'!$B:$B,$A29)</f>
        <v>12774.44</v>
      </c>
      <c r="J29" s="8" t="n">
        <f aca="false">I29*$J$5</f>
        <v>16136.1347368421</v>
      </c>
      <c r="K29" s="8" t="n">
        <f aca="false">J29-H29</f>
        <v>-7731.5852631579</v>
      </c>
      <c r="L29" s="9" t="n">
        <f aca="false">IF(AND(H29=0,J29=0),0,IF(H29=0,"New",(J29-H29)/H29))</f>
        <v>-0.323934806640848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839</v>
      </c>
      <c r="B30" s="7" t="str">
        <f aca="false">IFERROR(INDEX('Source'!$C:$C,MATCH($A30,'Source'!$B:$B,0)),"")</f>
        <v>חגורה אחרי ניתוח</v>
      </c>
      <c r="C30" s="8" t="n">
        <f aca="false">SUMIFS('Source'!$D:$D,'Source'!$A:$A,"160251 AMAZON",'Source'!$B:$B,$A30)</f>
        <v>177</v>
      </c>
      <c r="D30" s="8" t="n">
        <f aca="false">SUMIFS('Source'!$F:$F,'Source'!$A:$A,"160251 AMAZON",'Source'!$B:$B,$A30)</f>
        <v>109</v>
      </c>
      <c r="E30" s="8" t="n">
        <f aca="false">D30*$J$5</f>
        <v>137.684210526316</v>
      </c>
      <c r="F30" s="8" t="n">
        <f aca="false">E30-C30</f>
        <v>-39.3157894736842</v>
      </c>
      <c r="G30" s="9" t="n">
        <f aca="false">IF(AND(C30=0,E30=0),0,IF(C30=0,"New",(E30-C30)/C30))</f>
        <v>-0.222123104371097</v>
      </c>
      <c r="H30" s="8" t="n">
        <f aca="false">SUMIFS('Source'!$E:$E,'Source'!$A:$A,"160251 AMAZON",'Source'!$B:$B,$A30)</f>
        <v>24684.59</v>
      </c>
      <c r="I30" s="8" t="n">
        <f aca="false">SUMIFS('Source'!$G:$G,'Source'!$A:$A,"160251 AMAZON",'Source'!$B:$B,$A30)</f>
        <v>14505.57</v>
      </c>
      <c r="J30" s="8" t="n">
        <f aca="false">I30*$J$5</f>
        <v>18322.8252631579</v>
      </c>
      <c r="K30" s="8" t="n">
        <f aca="false">J30-H30</f>
        <v>-6361.76473684211</v>
      </c>
      <c r="L30" s="9" t="n">
        <f aca="false">IF(AND(H30=0,J30=0),0,IF(H30=0,"New",(J30-H30)/H30))</f>
        <v>-0.257722114762372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840</v>
      </c>
      <c r="B31" s="7" t="str">
        <f aca="false">IFERROR(INDEX('Source'!$C:$C,MATCH($A31,'Source'!$B:$B,0)),"")</f>
        <v>חגורת בטן לנורבגיה</v>
      </c>
      <c r="C31" s="8" t="n">
        <f aca="false">SUMIFS('Source'!$D:$D,'Source'!$A:$A,"160251 AMAZON",'Source'!$B:$B,$A31)</f>
        <v>71</v>
      </c>
      <c r="D31" s="8" t="n">
        <f aca="false">SUMIFS('Source'!$F:$F,'Source'!$A:$A,"160251 AMAZON",'Source'!$B:$B,$A31)</f>
        <v>0</v>
      </c>
      <c r="E31" s="8" t="n">
        <f aca="false">D31*$J$5</f>
        <v>0</v>
      </c>
      <c r="F31" s="8" t="n">
        <f aca="false">E31-C31</f>
        <v>-71</v>
      </c>
      <c r="G31" s="9" t="n">
        <f aca="false">IF(AND(C31=0,E31=0),0,IF(C31=0,"New",(E31-C31)/C31))</f>
        <v>-1</v>
      </c>
      <c r="H31" s="8" t="n">
        <f aca="false">SUMIFS('Source'!$E:$E,'Source'!$A:$A,"160251 AMAZON",'Source'!$B:$B,$A31)</f>
        <v>9834.5</v>
      </c>
      <c r="I31" s="8" t="n">
        <f aca="false">SUMIFS('Source'!$G:$G,'Source'!$A:$A,"160251 AMAZON",'Source'!$B:$B,$A31)</f>
        <v>0</v>
      </c>
      <c r="J31" s="8" t="n">
        <f aca="false">I31*$J$5</f>
        <v>0</v>
      </c>
      <c r="K31" s="8" t="n">
        <f aca="false">J31-H31</f>
        <v>-9834.5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841</v>
      </c>
      <c r="B32" s="7" t="str">
        <f aca="false">IFERROR(INDEX('Source'!$C:$C,MATCH($A32,'Source'!$B:$B,0)),"")</f>
        <v>חגורה אחרי ניתוח שחור</v>
      </c>
      <c r="C32" s="8" t="n">
        <f aca="false">SUMIFS('Source'!$D:$D,'Source'!$A:$A,"160251 AMAZON",'Source'!$B:$B,$A32)</f>
        <v>86</v>
      </c>
      <c r="D32" s="8" t="n">
        <f aca="false">SUMIFS('Source'!$F:$F,'Source'!$A:$A,"160251 AMAZON",'Source'!$B:$B,$A32)</f>
        <v>151</v>
      </c>
      <c r="E32" s="8" t="n">
        <f aca="false">D32*$J$5</f>
        <v>190.736842105263</v>
      </c>
      <c r="F32" s="8" t="n">
        <f aca="false">E32-C32</f>
        <v>104.736842105263</v>
      </c>
      <c r="G32" s="9" t="n">
        <f aca="false">IF(AND(C32=0,E32=0),0,IF(C32=0,"New",(E32-C32)/C32))</f>
        <v>1.21787025703794</v>
      </c>
      <c r="H32" s="8" t="n">
        <f aca="false">SUMIFS('Source'!$E:$E,'Source'!$A:$A,"160251 AMAZON",'Source'!$B:$B,$A32)</f>
        <v>10105.03</v>
      </c>
      <c r="I32" s="8" t="n">
        <f aca="false">SUMIFS('Source'!$G:$G,'Source'!$A:$A,"160251 AMAZON",'Source'!$B:$B,$A32)</f>
        <v>18900.44</v>
      </c>
      <c r="J32" s="8" t="n">
        <f aca="false">I32*$J$5</f>
        <v>23874.24</v>
      </c>
      <c r="K32" s="8" t="n">
        <f aca="false">J32-H32</f>
        <v>13769.21</v>
      </c>
      <c r="L32" s="9" t="n">
        <f aca="false">IF(AND(H32=0,J32=0),0,IF(H32=0,"New",(J32-H32)/H32))</f>
        <v>1.36260951229239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683</v>
      </c>
      <c r="B33" s="7" t="str">
        <f aca="false">IFERROR(INDEX('Source'!$C:$C,MATCH($A33,'Source'!$B:$B,0)),"")</f>
        <v>סד לאצבע הדק</v>
      </c>
      <c r="C33" s="8" t="n">
        <f aca="false">SUMIFS('Source'!$D:$D,'Source'!$A:$A,"160251 AMAZON",'Source'!$B:$B,$A33)</f>
        <v>12</v>
      </c>
      <c r="D33" s="8" t="n">
        <f aca="false">SUMIFS('Source'!$F:$F,'Source'!$A:$A,"160251 AMAZON",'Source'!$B:$B,$A33)</f>
        <v>195</v>
      </c>
      <c r="E33" s="8" t="n">
        <f aca="false">D33*$J$5</f>
        <v>246.315789473684</v>
      </c>
      <c r="F33" s="8" t="n">
        <f aca="false">E33-C33</f>
        <v>234.315789473684</v>
      </c>
      <c r="G33" s="9" t="n">
        <f aca="false">IF(AND(C33=0,E33=0),0,IF(C33=0,"New",(E33-C33)/C33))</f>
        <v>19.5263157894737</v>
      </c>
      <c r="H33" s="8" t="n">
        <f aca="false">SUMIFS('Source'!$E:$E,'Source'!$A:$A,"160251 AMAZON",'Source'!$B:$B,$A33)</f>
        <v>705.87</v>
      </c>
      <c r="I33" s="8" t="n">
        <f aca="false">SUMIFS('Source'!$G:$G,'Source'!$A:$A,"160251 AMAZON",'Source'!$B:$B,$A33)</f>
        <v>9344.25</v>
      </c>
      <c r="J33" s="8" t="n">
        <f aca="false">I33*$J$5</f>
        <v>11803.2631578947</v>
      </c>
      <c r="K33" s="8" t="n">
        <f aca="false">J33-H33</f>
        <v>11097.3931578947</v>
      </c>
      <c r="L33" s="9" t="n">
        <f aca="false">IF(AND(H33=0,J33=0),0,IF(H33=0,"New",(J33-H33)/H33))</f>
        <v>15.721582101371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842</v>
      </c>
      <c r="B34" s="7" t="str">
        <f aca="false">IFERROR(INDEX('Source'!$C:$C,MATCH($A34,'Source'!$B:$B,0)),"")</f>
        <v>חגורת שבר</v>
      </c>
      <c r="C34" s="8" t="n">
        <f aca="false">SUMIFS('Source'!$D:$D,'Source'!$A:$A,"160251 AMAZON",'Source'!$B:$B,$A34)</f>
        <v>54</v>
      </c>
      <c r="D34" s="8" t="n">
        <f aca="false">SUMIFS('Source'!$F:$F,'Source'!$A:$A,"160251 AMAZON",'Source'!$B:$B,$A34)</f>
        <v>7</v>
      </c>
      <c r="E34" s="8" t="n">
        <f aca="false">D34*$J$5</f>
        <v>8.84210526315789</v>
      </c>
      <c r="F34" s="8" t="n">
        <f aca="false">E34-C34</f>
        <v>-45.1578947368421</v>
      </c>
      <c r="G34" s="9" t="n">
        <f aca="false">IF(AND(C34=0,E34=0),0,IF(C34=0,"New",(E34-C34)/C34))</f>
        <v>-0.836257309941521</v>
      </c>
      <c r="H34" s="8" t="n">
        <f aca="false">SUMIFS('Source'!$E:$E,'Source'!$A:$A,"160251 AMAZON",'Source'!$B:$B,$A34)</f>
        <v>8550.82</v>
      </c>
      <c r="I34" s="8" t="n">
        <f aca="false">SUMIFS('Source'!$G:$G,'Source'!$A:$A,"160251 AMAZON",'Source'!$B:$B,$A34)</f>
        <v>1105.14</v>
      </c>
      <c r="J34" s="8" t="n">
        <f aca="false">I34*$J$5</f>
        <v>1395.96631578947</v>
      </c>
      <c r="K34" s="8" t="n">
        <f aca="false">J34-H34</f>
        <v>-7154.85368421053</v>
      </c>
      <c r="L34" s="9" t="n">
        <f aca="false">IF(AND(H34=0,J34=0),0,IF(H34=0,"New",(J34-H34)/H34))</f>
        <v>-0.836744743101893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843</v>
      </c>
      <c r="B35" s="7" t="str">
        <f aca="false">IFERROR(INDEX('Source'!$C:$C,MATCH($A35,'Source'!$B:$B,0)),"")</f>
        <v>חגורה אחרי ניתוח שחור</v>
      </c>
      <c r="C35" s="8" t="n">
        <f aca="false">SUMIFS('Source'!$D:$D,'Source'!$A:$A,"160251 AMAZON",'Source'!$B:$B,$A35)</f>
        <v>86</v>
      </c>
      <c r="D35" s="8" t="n">
        <f aca="false">SUMIFS('Source'!$F:$F,'Source'!$A:$A,"160251 AMAZON",'Source'!$B:$B,$A35)</f>
        <v>141</v>
      </c>
      <c r="E35" s="8" t="n">
        <f aca="false">D35*$J$5</f>
        <v>178.105263157895</v>
      </c>
      <c r="F35" s="8" t="n">
        <f aca="false">E35-C35</f>
        <v>92.1052631578947</v>
      </c>
      <c r="G35" s="9" t="n">
        <f aca="false">IF(AND(C35=0,E35=0),0,IF(C35=0,"New",(E35-C35)/C35))</f>
        <v>1.07099143206854</v>
      </c>
      <c r="H35" s="8" t="n">
        <f aca="false">SUMIFS('Source'!$E:$E,'Source'!$A:$A,"160251 AMAZON",'Source'!$B:$B,$A35)</f>
        <v>11577.1</v>
      </c>
      <c r="I35" s="8" t="n">
        <f aca="false">SUMIFS('Source'!$G:$G,'Source'!$A:$A,"160251 AMAZON",'Source'!$B:$B,$A35)</f>
        <v>18557.76</v>
      </c>
      <c r="J35" s="8" t="n">
        <f aca="false">I35*$J$5</f>
        <v>23441.3810526316</v>
      </c>
      <c r="K35" s="8" t="n">
        <f aca="false">J35-H35</f>
        <v>11864.2810526316</v>
      </c>
      <c r="L35" s="9" t="n">
        <f aca="false">IF(AND(H35=0,J35=0),0,IF(H35=0,"New",(J35-H35)/H35))</f>
        <v>1.02480595767779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844</v>
      </c>
      <c r="B36" s="7" t="str">
        <f aca="false">IFERROR(INDEX('Source'!$C:$C,MATCH($A36,'Source'!$B:$B,0)),"")</f>
        <v>חגורה אחרי ניתוח שחור</v>
      </c>
      <c r="C36" s="8" t="n">
        <f aca="false">SUMIFS('Source'!$D:$D,'Source'!$A:$A,"160251 AMAZON",'Source'!$B:$B,$A36)</f>
        <v>16</v>
      </c>
      <c r="D36" s="8" t="n">
        <f aca="false">SUMIFS('Source'!$F:$F,'Source'!$A:$A,"160251 AMAZON",'Source'!$B:$B,$A36)</f>
        <v>77</v>
      </c>
      <c r="E36" s="8" t="n">
        <f aca="false">D36*$J$5</f>
        <v>97.2631578947368</v>
      </c>
      <c r="F36" s="8" t="n">
        <f aca="false">E36-C36</f>
        <v>81.2631578947368</v>
      </c>
      <c r="G36" s="9" t="n">
        <f aca="false">IF(AND(C36=0,E36=0),0,IF(C36=0,"New",(E36-C36)/C36))</f>
        <v>5.07894736842105</v>
      </c>
      <c r="H36" s="8" t="n">
        <f aca="false">SUMIFS('Source'!$E:$E,'Source'!$A:$A,"160251 AMAZON",'Source'!$B:$B,$A36)</f>
        <v>2183.52</v>
      </c>
      <c r="I36" s="8" t="n">
        <f aca="false">SUMIFS('Source'!$G:$G,'Source'!$A:$A,"160251 AMAZON",'Source'!$B:$B,$A36)</f>
        <v>9148.8</v>
      </c>
      <c r="J36" s="8" t="n">
        <f aca="false">I36*$J$5</f>
        <v>11556.3789473684</v>
      </c>
      <c r="K36" s="8" t="n">
        <f aca="false">J36-H36</f>
        <v>9372.85894736842</v>
      </c>
      <c r="L36" s="9" t="n">
        <f aca="false">IF(AND(H36=0,J36=0),0,IF(H36=0,"New",(J36-H36)/H36))</f>
        <v>4.29254549872152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845</v>
      </c>
      <c r="B37" s="7" t="str">
        <f aca="false">IFERROR(INDEX('Source'!$C:$C,MATCH($A37,'Source'!$B:$B,0)),"")</f>
        <v>חגורה אחרי ניתוח</v>
      </c>
      <c r="C37" s="8" t="n">
        <f aca="false">SUMIFS('Source'!$D:$D,'Source'!$A:$A,"160251 AMAZON",'Source'!$B:$B,$A37)</f>
        <v>125</v>
      </c>
      <c r="D37" s="8" t="n">
        <f aca="false">SUMIFS('Source'!$F:$F,'Source'!$A:$A,"160251 AMAZON",'Source'!$B:$B,$A37)</f>
        <v>77</v>
      </c>
      <c r="E37" s="8" t="n">
        <f aca="false">D37*$J$5</f>
        <v>97.2631578947368</v>
      </c>
      <c r="F37" s="8" t="n">
        <f aca="false">E37-C37</f>
        <v>-27.7368421052632</v>
      </c>
      <c r="G37" s="9" t="n">
        <f aca="false">IF(AND(C37=0,E37=0),0,IF(C37=0,"New",(E37-C37)/C37))</f>
        <v>-0.221894736842105</v>
      </c>
      <c r="H37" s="8" t="n">
        <f aca="false">SUMIFS('Source'!$E:$E,'Source'!$A:$A,"160251 AMAZON",'Source'!$B:$B,$A37)</f>
        <v>16991.76</v>
      </c>
      <c r="I37" s="8" t="n">
        <f aca="false">SUMIFS('Source'!$G:$G,'Source'!$A:$A,"160251 AMAZON",'Source'!$B:$B,$A37)</f>
        <v>10282.34</v>
      </c>
      <c r="J37" s="8" t="n">
        <f aca="false">I37*$J$5</f>
        <v>12988.2189473684</v>
      </c>
      <c r="K37" s="8" t="n">
        <f aca="false">J37-H37</f>
        <v>-4003.54105263158</v>
      </c>
      <c r="L37" s="9" t="n">
        <f aca="false">IF(AND(H37=0,J37=0),0,IF(H37=0,"New",(J37-H37)/H37))</f>
        <v>-0.235616619622192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846</v>
      </c>
      <c r="B38" s="7" t="str">
        <f aca="false">IFERROR(INDEX('Source'!$C:$C,MATCH($A38,'Source'!$B:$B,0)),"")</f>
        <v>חגורת שבר שחור</v>
      </c>
      <c r="C38" s="8" t="n">
        <f aca="false">SUMIFS('Source'!$D:$D,'Source'!$A:$A,"160251 AMAZON",'Source'!$B:$B,$A38)</f>
        <v>37</v>
      </c>
      <c r="D38" s="8" t="n">
        <f aca="false">SUMIFS('Source'!$F:$F,'Source'!$A:$A,"160251 AMAZON",'Source'!$B:$B,$A38)</f>
        <v>0</v>
      </c>
      <c r="E38" s="8" t="n">
        <f aca="false">D38*$J$5</f>
        <v>0</v>
      </c>
      <c r="F38" s="8" t="n">
        <f aca="false">E38-C38</f>
        <v>-37</v>
      </c>
      <c r="G38" s="9" t="n">
        <f aca="false">IF(AND(C38=0,E38=0),0,IF(C38=0,"New",(E38-C38)/C38))</f>
        <v>-1</v>
      </c>
      <c r="H38" s="8" t="n">
        <f aca="false">SUMIFS('Source'!$E:$E,'Source'!$A:$A,"160251 AMAZON",'Source'!$B:$B,$A38)</f>
        <v>6510.26</v>
      </c>
      <c r="I38" s="8" t="n">
        <f aca="false">SUMIFS('Source'!$G:$G,'Source'!$A:$A,"160251 AMAZON",'Source'!$B:$B,$A38)</f>
        <v>0</v>
      </c>
      <c r="J38" s="8" t="n">
        <f aca="false">I38*$J$5</f>
        <v>0</v>
      </c>
      <c r="K38" s="8" t="n">
        <f aca="false">J38-H38</f>
        <v>-6510.26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847</v>
      </c>
      <c r="B39" s="7" t="str">
        <f aca="false">IFERROR(INDEX('Source'!$C:$C,MATCH($A39,'Source'!$B:$B,0)),"")</f>
        <v>חגורת שבר</v>
      </c>
      <c r="C39" s="8" t="n">
        <f aca="false">SUMIFS('Source'!$D:$D,'Source'!$A:$A,"160251 AMAZON",'Source'!$B:$B,$A39)</f>
        <v>34</v>
      </c>
      <c r="D39" s="8" t="n">
        <f aca="false">SUMIFS('Source'!$F:$F,'Source'!$A:$A,"160251 AMAZON",'Source'!$B:$B,$A39)</f>
        <v>2</v>
      </c>
      <c r="E39" s="8" t="n">
        <f aca="false">D39*$J$5</f>
        <v>2.52631578947368</v>
      </c>
      <c r="F39" s="8" t="n">
        <f aca="false">E39-C39</f>
        <v>-31.4736842105263</v>
      </c>
      <c r="G39" s="9" t="n">
        <f aca="false">IF(AND(C39=0,E39=0),0,IF(C39=0,"New",(E39-C39)/C39))</f>
        <v>-0.925696594427245</v>
      </c>
      <c r="H39" s="8" t="n">
        <f aca="false">SUMIFS('Source'!$E:$E,'Source'!$A:$A,"160251 AMAZON",'Source'!$B:$B,$A39)</f>
        <v>6355.2</v>
      </c>
      <c r="I39" s="8" t="n">
        <f aca="false">SUMIFS('Source'!$G:$G,'Source'!$A:$A,"160251 AMAZON",'Source'!$B:$B,$A39)</f>
        <v>357.48</v>
      </c>
      <c r="J39" s="8" t="n">
        <f aca="false">I39*$J$5</f>
        <v>451.553684210526</v>
      </c>
      <c r="K39" s="8" t="n">
        <f aca="false">J39-H39</f>
        <v>-5903.64631578947</v>
      </c>
      <c r="L39" s="9" t="n">
        <f aca="false">IF(AND(H39=0,J39=0),0,IF(H39=0,"New",(J39-H39)/H39))</f>
        <v>-0.928947368421053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848</v>
      </c>
      <c r="B40" s="7" t="str">
        <f aca="false">IFERROR(INDEX('Source'!$C:$C,MATCH($A40,'Source'!$B:$B,0)),"")</f>
        <v>חגורת שבר שחור</v>
      </c>
      <c r="C40" s="8" t="n">
        <f aca="false">SUMIFS('Source'!$D:$D,'Source'!$A:$A,"160251 AMAZON",'Source'!$B:$B,$A40)</f>
        <v>49</v>
      </c>
      <c r="D40" s="8" t="n">
        <f aca="false">SUMIFS('Source'!$F:$F,'Source'!$A:$A,"160251 AMAZON",'Source'!$B:$B,$A40)</f>
        <v>84</v>
      </c>
      <c r="E40" s="8" t="n">
        <f aca="false">D40*$J$5</f>
        <v>106.105263157895</v>
      </c>
      <c r="F40" s="8" t="n">
        <f aca="false">E40-C40</f>
        <v>57.1052631578947</v>
      </c>
      <c r="G40" s="9" t="n">
        <f aca="false">IF(AND(C40=0,E40=0),0,IF(C40=0,"New",(E40-C40)/C40))</f>
        <v>1.16541353383459</v>
      </c>
      <c r="H40" s="8" t="n">
        <f aca="false">SUMIFS('Source'!$E:$E,'Source'!$A:$A,"160251 AMAZON",'Source'!$B:$B,$A40)</f>
        <v>9171.45</v>
      </c>
      <c r="I40" s="8" t="n">
        <f aca="false">SUMIFS('Source'!$G:$G,'Source'!$A:$A,"160251 AMAZON",'Source'!$B:$B,$A40)</f>
        <v>14233.5</v>
      </c>
      <c r="J40" s="8" t="n">
        <f aca="false">I40*$J$5</f>
        <v>17979.1578947368</v>
      </c>
      <c r="K40" s="8" t="n">
        <f aca="false">J40-H40</f>
        <v>8807.70789473684</v>
      </c>
      <c r="L40" s="9" t="n">
        <f aca="false">IF(AND(H40=0,J40=0),0,IF(H40=0,"New",(J40-H40)/H40))</f>
        <v>0.960339738507743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849</v>
      </c>
      <c r="B41" s="7" t="str">
        <f aca="false">IFERROR(INDEX('Source'!$C:$C,MATCH($A41,'Source'!$B:$B,0)),"")</f>
        <v>חגורת שבר</v>
      </c>
      <c r="C41" s="8" t="n">
        <f aca="false">SUMIFS('Source'!$D:$D,'Source'!$A:$A,"160251 AMAZON",'Source'!$B:$B,$A41)</f>
        <v>37</v>
      </c>
      <c r="D41" s="8" t="n">
        <f aca="false">SUMIFS('Source'!$F:$F,'Source'!$A:$A,"160251 AMAZON",'Source'!$B:$B,$A41)</f>
        <v>11</v>
      </c>
      <c r="E41" s="8" t="n">
        <f aca="false">D41*$J$5</f>
        <v>13.8947368421053</v>
      </c>
      <c r="F41" s="8" t="n">
        <f aca="false">E41-C41</f>
        <v>-23.1052631578947</v>
      </c>
      <c r="G41" s="9" t="n">
        <f aca="false">IF(AND(C41=0,E41=0),0,IF(C41=0,"New",(E41-C41)/C41))</f>
        <v>-0.624466571834993</v>
      </c>
      <c r="H41" s="8" t="n">
        <f aca="false">SUMIFS('Source'!$E:$E,'Source'!$A:$A,"160251 AMAZON",'Source'!$B:$B,$A41)</f>
        <v>6684.46</v>
      </c>
      <c r="I41" s="8" t="n">
        <f aca="false">SUMIFS('Source'!$G:$G,'Source'!$A:$A,"160251 AMAZON",'Source'!$B:$B,$A41)</f>
        <v>1733.93</v>
      </c>
      <c r="J41" s="8" t="n">
        <f aca="false">I41*$J$5</f>
        <v>2190.22736842105</v>
      </c>
      <c r="K41" s="8" t="n">
        <f aca="false">J41-H41</f>
        <v>-4494.23263157895</v>
      </c>
      <c r="L41" s="9" t="n">
        <f aca="false">IF(AND(H41=0,J41=0),0,IF(H41=0,"New",(J41-H41)/H41))</f>
        <v>-0.672340418160771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850</v>
      </c>
      <c r="B42" s="7" t="str">
        <f aca="false">IFERROR(INDEX('Source'!$C:$C,MATCH($A42,'Source'!$B:$B,0)),"")</f>
        <v>חגורת שבר שחור</v>
      </c>
      <c r="C42" s="8" t="n">
        <f aca="false">SUMIFS('Source'!$D:$D,'Source'!$A:$A,"160251 AMAZON",'Source'!$B:$B,$A42)</f>
        <v>128</v>
      </c>
      <c r="D42" s="8" t="n">
        <f aca="false">SUMIFS('Source'!$F:$F,'Source'!$A:$A,"160251 AMAZON",'Source'!$B:$B,$A42)</f>
        <v>115</v>
      </c>
      <c r="E42" s="8" t="n">
        <f aca="false">D42*$J$5</f>
        <v>145.263157894737</v>
      </c>
      <c r="F42" s="8" t="n">
        <f aca="false">E42-C42</f>
        <v>17.2631578947368</v>
      </c>
      <c r="G42" s="9" t="n">
        <f aca="false">IF(AND(C42=0,E42=0),0,IF(C42=0,"New",(E42-C42)/C42))</f>
        <v>0.134868421052631</v>
      </c>
      <c r="H42" s="8" t="n">
        <f aca="false">SUMIFS('Source'!$E:$E,'Source'!$A:$A,"160251 AMAZON",'Source'!$B:$B,$A42)</f>
        <v>22838.32</v>
      </c>
      <c r="I42" s="8" t="n">
        <f aca="false">SUMIFS('Source'!$G:$G,'Source'!$A:$A,"160251 AMAZON",'Source'!$B:$B,$A42)</f>
        <v>18446.61</v>
      </c>
      <c r="J42" s="8" t="n">
        <f aca="false">I42*$J$5</f>
        <v>23300.9810526316</v>
      </c>
      <c r="K42" s="8" t="n">
        <f aca="false">J42-H42</f>
        <v>462.661052631578</v>
      </c>
      <c r="L42" s="9" t="n">
        <f aca="false">IF(AND(H42=0,J42=0),0,IF(H42=0,"New",(J42-H42)/H42))</f>
        <v>0.0202581036009469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851</v>
      </c>
      <c r="B43" s="7" t="str">
        <f aca="false">IFERROR(INDEX('Source'!$C:$C,MATCH($A43,'Source'!$B:$B,0)),"")</f>
        <v>חגורת שבר</v>
      </c>
      <c r="C43" s="8" t="n">
        <f aca="false">SUMIFS('Source'!$D:$D,'Source'!$A:$A,"160251 AMAZON",'Source'!$B:$B,$A43)</f>
        <v>23</v>
      </c>
      <c r="D43" s="8" t="n">
        <f aca="false">SUMIFS('Source'!$F:$F,'Source'!$A:$A,"160251 AMAZON",'Source'!$B:$B,$A43)</f>
        <v>0</v>
      </c>
      <c r="E43" s="8" t="n">
        <f aca="false">D43*$J$5</f>
        <v>0</v>
      </c>
      <c r="F43" s="8" t="n">
        <f aca="false">E43-C43</f>
        <v>-23</v>
      </c>
      <c r="G43" s="9" t="n">
        <f aca="false">IF(AND(C43=0,E43=0),0,IF(C43=0,"New",(E43-C43)/C43))</f>
        <v>-1</v>
      </c>
      <c r="H43" s="8" t="n">
        <f aca="false">SUMIFS('Source'!$E:$E,'Source'!$A:$A,"160251 AMAZON",'Source'!$B:$B,$A43)</f>
        <v>4233.37</v>
      </c>
      <c r="I43" s="8" t="n">
        <f aca="false">SUMIFS('Source'!$G:$G,'Source'!$A:$A,"160251 AMAZON",'Source'!$B:$B,$A43)</f>
        <v>0</v>
      </c>
      <c r="J43" s="8" t="n">
        <f aca="false">I43*$J$5</f>
        <v>0</v>
      </c>
      <c r="K43" s="8" t="n">
        <f aca="false">J43-H43</f>
        <v>-4233.37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225</v>
      </c>
      <c r="B44" s="7" t="str">
        <f aca="false">IFERROR(INDEX('Source'!$C:$C,MATCH($A44,'Source'!$B:$B,0)),"")</f>
        <v>שרוול מסיליקון ל</v>
      </c>
      <c r="C44" s="8" t="n">
        <f aca="false">SUMIFS('Source'!$D:$D,'Source'!$A:$A,"160251 AMAZON",'Source'!$B:$B,$A44)</f>
        <v>28</v>
      </c>
      <c r="D44" s="8" t="n">
        <f aca="false">SUMIFS('Source'!$F:$F,'Source'!$A:$A,"160251 AMAZON",'Source'!$B:$B,$A44)</f>
        <v>135</v>
      </c>
      <c r="E44" s="8" t="n">
        <f aca="false">D44*$J$5</f>
        <v>170.526315789474</v>
      </c>
      <c r="F44" s="8" t="n">
        <f aca="false">E44-C44</f>
        <v>142.526315789474</v>
      </c>
      <c r="G44" s="9" t="n">
        <f aca="false">IF(AND(C44=0,E44=0),0,IF(C44=0,"New",(E44-C44)/C44))</f>
        <v>5.09022556390977</v>
      </c>
      <c r="H44" s="8" t="n">
        <f aca="false">SUMIFS('Source'!$E:$E,'Source'!$A:$A,"160251 AMAZON",'Source'!$B:$B,$A44)</f>
        <v>1182.08</v>
      </c>
      <c r="I44" s="8" t="n">
        <f aca="false">SUMIFS('Source'!$G:$G,'Source'!$A:$A,"160251 AMAZON",'Source'!$B:$B,$A44)</f>
        <v>5390.19</v>
      </c>
      <c r="J44" s="8" t="n">
        <f aca="false">I44*$J$5</f>
        <v>6808.66105263158</v>
      </c>
      <c r="K44" s="8" t="n">
        <f aca="false">J44-H44</f>
        <v>5626.58105263158</v>
      </c>
      <c r="L44" s="9" t="n">
        <f aca="false">IF(AND(H44=0,J44=0),0,IF(H44=0,"New",(J44-H44)/H44))</f>
        <v>4.75989869774599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852</v>
      </c>
      <c r="B45" s="7" t="str">
        <f aca="false">IFERROR(INDEX('Source'!$C:$C,MATCH($A45,'Source'!$B:$B,0)),"")</f>
        <v>חגורה אחרי ניתוח שחור</v>
      </c>
      <c r="C45" s="8" t="n">
        <f aca="false">SUMIFS('Source'!$D:$D,'Source'!$A:$A,"160251 AMAZON",'Source'!$B:$B,$A45)</f>
        <v>91</v>
      </c>
      <c r="D45" s="8" t="n">
        <f aca="false">SUMIFS('Source'!$F:$F,'Source'!$A:$A,"160251 AMAZON",'Source'!$B:$B,$A45)</f>
        <v>126</v>
      </c>
      <c r="E45" s="8" t="n">
        <f aca="false">D45*$J$5</f>
        <v>159.157894736842</v>
      </c>
      <c r="F45" s="8" t="n">
        <f aca="false">E45-C45</f>
        <v>68.1578947368421</v>
      </c>
      <c r="G45" s="9" t="n">
        <f aca="false">IF(AND(C45=0,E45=0),0,IF(C45=0,"New",(E45-C45)/C45))</f>
        <v>0.748987854251012</v>
      </c>
      <c r="H45" s="8" t="n">
        <f aca="false">SUMIFS('Source'!$E:$E,'Source'!$A:$A,"160251 AMAZON",'Source'!$B:$B,$A45)</f>
        <v>12484.46</v>
      </c>
      <c r="I45" s="8" t="n">
        <f aca="false">SUMIFS('Source'!$G:$G,'Source'!$A:$A,"160251 AMAZON",'Source'!$B:$B,$A45)</f>
        <v>16430.98</v>
      </c>
      <c r="J45" s="8" t="n">
        <f aca="false">I45*$J$5</f>
        <v>20754.9221052632</v>
      </c>
      <c r="K45" s="8" t="n">
        <f aca="false">J45-H45</f>
        <v>8270.46210526315</v>
      </c>
      <c r="L45" s="9" t="n">
        <f aca="false">IF(AND(H45=0,J45=0),0,IF(H45=0,"New",(J45-H45)/H45))</f>
        <v>0.662460539363589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853</v>
      </c>
      <c r="B46" s="7" t="str">
        <f aca="false">IFERROR(INDEX('Source'!$C:$C,MATCH($A46,'Source'!$B:$B,0)),"")</f>
        <v>חגורת בטן לנורבגיה</v>
      </c>
      <c r="C46" s="8" t="n">
        <f aca="false">SUMIFS('Source'!$D:$D,'Source'!$A:$A,"160251 AMAZON",'Source'!$B:$B,$A46)</f>
        <v>21</v>
      </c>
      <c r="D46" s="8" t="n">
        <f aca="false">SUMIFS('Source'!$F:$F,'Source'!$A:$A,"160251 AMAZON",'Source'!$B:$B,$A46)</f>
        <v>0</v>
      </c>
      <c r="E46" s="8" t="n">
        <f aca="false">D46*$J$5</f>
        <v>0</v>
      </c>
      <c r="F46" s="8" t="n">
        <f aca="false">E46-C46</f>
        <v>-21</v>
      </c>
      <c r="G46" s="9" t="n">
        <f aca="false">IF(AND(C46=0,E46=0),0,IF(C46=0,"New",(E46-C46)/C46))</f>
        <v>-1</v>
      </c>
      <c r="H46" s="8" t="n">
        <f aca="false">SUMIFS('Source'!$E:$E,'Source'!$A:$A,"160251 AMAZON",'Source'!$B:$B,$A46)</f>
        <v>2976.17</v>
      </c>
      <c r="I46" s="8" t="n">
        <f aca="false">SUMIFS('Source'!$G:$G,'Source'!$A:$A,"160251 AMAZON",'Source'!$B:$B,$A46)</f>
        <v>0</v>
      </c>
      <c r="J46" s="8" t="n">
        <f aca="false">I46*$J$5</f>
        <v>0</v>
      </c>
      <c r="K46" s="8" t="n">
        <f aca="false">J46-H46</f>
        <v>-2976.17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854</v>
      </c>
      <c r="B47" s="7" t="str">
        <f aca="false">IFERROR(INDEX('Source'!$C:$C,MATCH($A47,'Source'!$B:$B,0)),"")</f>
        <v>חגורת שבר שחור</v>
      </c>
      <c r="C47" s="8" t="n">
        <f aca="false">SUMIFS('Source'!$D:$D,'Source'!$A:$A,"160251 AMAZON",'Source'!$B:$B,$A47)</f>
        <v>7</v>
      </c>
      <c r="D47" s="8" t="n">
        <f aca="false">SUMIFS('Source'!$F:$F,'Source'!$A:$A,"160251 AMAZON",'Source'!$B:$B,$A47)</f>
        <v>22</v>
      </c>
      <c r="E47" s="8" t="n">
        <f aca="false">D47*$J$5</f>
        <v>27.7894736842105</v>
      </c>
      <c r="F47" s="8" t="n">
        <f aca="false">E47-C47</f>
        <v>20.7894736842105</v>
      </c>
      <c r="G47" s="9" t="n">
        <f aca="false">IF(AND(C47=0,E47=0),0,IF(C47=0,"New",(E47-C47)/C47))</f>
        <v>2.96992481203008</v>
      </c>
      <c r="H47" s="8" t="n">
        <f aca="false">SUMIFS('Source'!$E:$E,'Source'!$A:$A,"160251 AMAZON",'Source'!$B:$B,$A47)</f>
        <v>1289.35</v>
      </c>
      <c r="I47" s="8" t="n">
        <f aca="false">SUMIFS('Source'!$G:$G,'Source'!$A:$A,"160251 AMAZON",'Source'!$B:$B,$A47)</f>
        <v>3724.24</v>
      </c>
      <c r="J47" s="8" t="n">
        <f aca="false">I47*$J$5</f>
        <v>4704.30315789474</v>
      </c>
      <c r="K47" s="8" t="n">
        <f aca="false">J47-H47</f>
        <v>3414.95315789474</v>
      </c>
      <c r="L47" s="9" t="n">
        <f aca="false">IF(AND(H47=0,J47=0),0,IF(H47=0,"New",(J47-H47)/H47))</f>
        <v>2.6485850683637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855</v>
      </c>
      <c r="B48" s="7" t="str">
        <f aca="false">IFERROR(INDEX('Source'!$C:$C,MATCH($A48,'Source'!$B:$B,0)),"")</f>
        <v>חגורה אחרי ניתוח שחור</v>
      </c>
      <c r="C48" s="8" t="n">
        <f aca="false">SUMIFS('Source'!$D:$D,'Source'!$A:$A,"160251 AMAZON",'Source'!$B:$B,$A48)</f>
        <v>1</v>
      </c>
      <c r="D48" s="8" t="n">
        <f aca="false">SUMIFS('Source'!$F:$F,'Source'!$A:$A,"160251 AMAZON",'Source'!$B:$B,$A48)</f>
        <v>20</v>
      </c>
      <c r="E48" s="8" t="n">
        <f aca="false">D48*$J$5</f>
        <v>25.2631578947368</v>
      </c>
      <c r="F48" s="8" t="n">
        <f aca="false">E48-C48</f>
        <v>24.2631578947368</v>
      </c>
      <c r="G48" s="9" t="n">
        <f aca="false">IF(AND(C48=0,E48=0),0,IF(C48=0,"New",(E48-C48)/C48))</f>
        <v>24.2631578947368</v>
      </c>
      <c r="H48" s="8" t="n">
        <f aca="false">SUMIFS('Source'!$E:$E,'Source'!$A:$A,"160251 AMAZON",'Source'!$B:$B,$A48)</f>
        <v>137.01</v>
      </c>
      <c r="I48" s="8" t="n">
        <f aca="false">SUMIFS('Source'!$G:$G,'Source'!$A:$A,"160251 AMAZON",'Source'!$B:$B,$A48)</f>
        <v>2555.12</v>
      </c>
      <c r="J48" s="8" t="n">
        <f aca="false">I48*$J$5</f>
        <v>3227.52</v>
      </c>
      <c r="K48" s="8" t="n">
        <f aca="false">J48-H48</f>
        <v>3090.51</v>
      </c>
      <c r="L48" s="9" t="n">
        <f aca="false">IF(AND(H48=0,J48=0),0,IF(H48=0,"New",(J48-H48)/H48))</f>
        <v>22.5568206700241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856</v>
      </c>
      <c r="B49" s="7" t="str">
        <f aca="false">IFERROR(INDEX('Source'!$C:$C,MATCH($A49,'Source'!$B:$B,0)),"")</f>
        <v>חגורת שבר שחור</v>
      </c>
      <c r="C49" s="8" t="n">
        <f aca="false">SUMIFS('Source'!$D:$D,'Source'!$A:$A,"160251 AMAZON",'Source'!$B:$B,$A49)</f>
        <v>324</v>
      </c>
      <c r="D49" s="8" t="n">
        <f aca="false">SUMIFS('Source'!$F:$F,'Source'!$A:$A,"160251 AMAZON",'Source'!$B:$B,$A49)</f>
        <v>350</v>
      </c>
      <c r="E49" s="8" t="n">
        <f aca="false">D49*$J$5</f>
        <v>442.105263157895</v>
      </c>
      <c r="F49" s="8" t="n">
        <f aca="false">E49-C49</f>
        <v>118.105263157895</v>
      </c>
      <c r="G49" s="9" t="n">
        <f aca="false">IF(AND(C49=0,E49=0),0,IF(C49=0,"New",(E49-C49)/C49))</f>
        <v>0.364522417153996</v>
      </c>
      <c r="H49" s="8" t="n">
        <f aca="false">SUMIFS('Source'!$E:$E,'Source'!$A:$A,"160251 AMAZON",'Source'!$B:$B,$A49)</f>
        <v>58442.65</v>
      </c>
      <c r="I49" s="8" t="n">
        <f aca="false">SUMIFS('Source'!$G:$G,'Source'!$A:$A,"160251 AMAZON",'Source'!$B:$B,$A49)</f>
        <v>56190.69</v>
      </c>
      <c r="J49" s="8" t="n">
        <f aca="false">I49*$J$5</f>
        <v>70977.7136842105</v>
      </c>
      <c r="K49" s="8" t="n">
        <f aca="false">J49-H49</f>
        <v>12535.0636842105</v>
      </c>
      <c r="L49" s="9" t="n">
        <f aca="false">IF(AND(H49=0,J49=0),0,IF(H49=0,"New",(J49-H49)/H49))</f>
        <v>0.214484861384802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857</v>
      </c>
      <c r="B50" s="7" t="str">
        <f aca="false">IFERROR(INDEX('Source'!$C:$C,MATCH($A50,'Source'!$B:$B,0)),"")</f>
        <v>טיטניום קורקטור – ערכה לציפורן חודרנית</v>
      </c>
      <c r="C50" s="8" t="n">
        <f aca="false">SUMIFS('Source'!$D:$D,'Source'!$A:$A,"160251 AMAZON",'Source'!$B:$B,$A50)</f>
        <v>0</v>
      </c>
      <c r="D50" s="8" t="n">
        <f aca="false">SUMIFS('Source'!$F:$F,'Source'!$A:$A,"160251 AMAZON",'Source'!$B:$B,$A50)</f>
        <v>26</v>
      </c>
      <c r="E50" s="8" t="n">
        <f aca="false">D50*$J$5</f>
        <v>32.8421052631579</v>
      </c>
      <c r="F50" s="8" t="n">
        <f aca="false">E50-C50</f>
        <v>32.8421052631579</v>
      </c>
      <c r="G50" s="9" t="str">
        <f aca="false">IF(AND(C50=0,E50=0),0,IF(C50=0,"New",(E50-C50)/C50))</f>
        <v>New</v>
      </c>
      <c r="H50" s="8" t="n">
        <f aca="false">SUMIFS('Source'!$E:$E,'Source'!$A:$A,"160251 AMAZON",'Source'!$B:$B,$A50)</f>
        <v>0</v>
      </c>
      <c r="I50" s="8" t="n">
        <f aca="false">SUMIFS('Source'!$G:$G,'Source'!$A:$A,"160251 AMAZON",'Source'!$B:$B,$A50)</f>
        <v>2172.93</v>
      </c>
      <c r="J50" s="8" t="n">
        <f aca="false">I50*$J$5</f>
        <v>2744.75368421053</v>
      </c>
      <c r="K50" s="8" t="n">
        <f aca="false">J50-H50</f>
        <v>2744.75368421053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858</v>
      </c>
      <c r="B51" s="7" t="str">
        <f aca="false">IFERROR(INDEX('Source'!$C:$C,MATCH($A51,'Source'!$B:$B,0)),"")</f>
        <v>חגורת שבר שחור</v>
      </c>
      <c r="C51" s="8" t="n">
        <f aca="false">SUMIFS('Source'!$D:$D,'Source'!$A:$A,"160251 AMAZON",'Source'!$B:$B,$A51)</f>
        <v>125</v>
      </c>
      <c r="D51" s="8" t="n">
        <f aca="false">SUMIFS('Source'!$F:$F,'Source'!$A:$A,"160251 AMAZON",'Source'!$B:$B,$A51)</f>
        <v>151</v>
      </c>
      <c r="E51" s="8" t="n">
        <f aca="false">D51*$J$5</f>
        <v>190.736842105263</v>
      </c>
      <c r="F51" s="8" t="n">
        <f aca="false">E51-C51</f>
        <v>65.7368421052632</v>
      </c>
      <c r="G51" s="9" t="n">
        <f aca="false">IF(AND(C51=0,E51=0),0,IF(C51=0,"New",(E51-C51)/C51))</f>
        <v>0.525894736842105</v>
      </c>
      <c r="H51" s="8" t="n">
        <f aca="false">SUMIFS('Source'!$E:$E,'Source'!$A:$A,"160251 AMAZON",'Source'!$B:$B,$A51)</f>
        <v>23137.22</v>
      </c>
      <c r="I51" s="8" t="n">
        <f aca="false">SUMIFS('Source'!$G:$G,'Source'!$A:$A,"160251 AMAZON",'Source'!$B:$B,$A51)</f>
        <v>25254.52</v>
      </c>
      <c r="J51" s="8" t="n">
        <f aca="false">I51*$J$5</f>
        <v>31900.4463157895</v>
      </c>
      <c r="K51" s="8" t="n">
        <f aca="false">J51-H51</f>
        <v>8763.22631578947</v>
      </c>
      <c r="L51" s="9" t="n">
        <f aca="false">IF(AND(H51=0,J51=0),0,IF(H51=0,"New",(J51-H51)/H51))</f>
        <v>0.378750183288635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220</v>
      </c>
      <c r="B52" s="7" t="str">
        <f aca="false">IFERROR(INDEX('Source'!$C:$C,MATCH($A52,'Source'!$B:$B,0)),"")</f>
        <v>חגורת היריון</v>
      </c>
      <c r="C52" s="8" t="n">
        <f aca="false">SUMIFS('Source'!$D:$D,'Source'!$A:$A,"160251 AMAZON",'Source'!$B:$B,$A52)</f>
        <v>45</v>
      </c>
      <c r="D52" s="8" t="n">
        <f aca="false">SUMIFS('Source'!$F:$F,'Source'!$A:$A,"160251 AMAZON",'Source'!$B:$B,$A52)</f>
        <v>0</v>
      </c>
      <c r="E52" s="8" t="n">
        <f aca="false">D52*$J$5</f>
        <v>0</v>
      </c>
      <c r="F52" s="8" t="n">
        <f aca="false">E52-C52</f>
        <v>-45</v>
      </c>
      <c r="G52" s="9" t="n">
        <f aca="false">IF(AND(C52=0,E52=0),0,IF(C52=0,"New",(E52-C52)/C52))</f>
        <v>-1</v>
      </c>
      <c r="H52" s="8" t="n">
        <f aca="false">SUMIFS('Source'!$E:$E,'Source'!$A:$A,"160251 AMAZON",'Source'!$B:$B,$A52)</f>
        <v>2109.16</v>
      </c>
      <c r="I52" s="8" t="n">
        <f aca="false">SUMIFS('Source'!$G:$G,'Source'!$A:$A,"160251 AMAZON",'Source'!$B:$B,$A52)</f>
        <v>0</v>
      </c>
      <c r="J52" s="8" t="n">
        <f aca="false">I52*$J$5</f>
        <v>0</v>
      </c>
      <c r="K52" s="8" t="n">
        <f aca="false">J52-H52</f>
        <v>-2109.16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217</v>
      </c>
      <c r="B53" s="7" t="str">
        <f aca="false">IFERROR(INDEX('Source'!$C:$C,MATCH($A53,'Source'!$B:$B,0)),"")</f>
        <v>מגן זרת מסיליקון</v>
      </c>
      <c r="C53" s="8" t="n">
        <f aca="false">SUMIFS('Source'!$D:$D,'Source'!$A:$A,"160251 AMAZON",'Source'!$B:$B,$A53)</f>
        <v>46</v>
      </c>
      <c r="D53" s="8" t="n">
        <f aca="false">SUMIFS('Source'!$F:$F,'Source'!$A:$A,"160251 AMAZON",'Source'!$B:$B,$A53)</f>
        <v>8</v>
      </c>
      <c r="E53" s="8" t="n">
        <f aca="false">D53*$J$5</f>
        <v>10.1052631578947</v>
      </c>
      <c r="F53" s="8" t="n">
        <f aca="false">E53-C53</f>
        <v>-35.8947368421053</v>
      </c>
      <c r="G53" s="9" t="n">
        <f aca="false">IF(AND(C53=0,E53=0),0,IF(C53=0,"New",(E53-C53)/C53))</f>
        <v>-0.780320366132723</v>
      </c>
      <c r="H53" s="8" t="n">
        <f aca="false">SUMIFS('Source'!$E:$E,'Source'!$A:$A,"160251 AMAZON",'Source'!$B:$B,$A53)</f>
        <v>2442.27</v>
      </c>
      <c r="I53" s="8" t="n">
        <f aca="false">SUMIFS('Source'!$G:$G,'Source'!$A:$A,"160251 AMAZON",'Source'!$B:$B,$A53)</f>
        <v>361.54</v>
      </c>
      <c r="J53" s="8" t="n">
        <f aca="false">I53*$J$5</f>
        <v>456.682105263158</v>
      </c>
      <c r="K53" s="8" t="n">
        <f aca="false">J53-H53</f>
        <v>-1985.58789473684</v>
      </c>
      <c r="L53" s="9" t="n">
        <f aca="false">IF(AND(H53=0,J53=0),0,IF(H53=0,"New",(J53-H53)/H53))</f>
        <v>-0.813009165545514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859</v>
      </c>
      <c r="B54" s="7" t="str">
        <f aca="false">IFERROR(INDEX('Source'!$C:$C,MATCH($A54,'Source'!$B:$B,0)),"")</f>
        <v>חגורת שבר שחור</v>
      </c>
      <c r="C54" s="8" t="n">
        <f aca="false">SUMIFS('Source'!$D:$D,'Source'!$A:$A,"160251 AMAZON",'Source'!$B:$B,$A54)</f>
        <v>60</v>
      </c>
      <c r="D54" s="8" t="n">
        <f aca="false">SUMIFS('Source'!$F:$F,'Source'!$A:$A,"160251 AMAZON",'Source'!$B:$B,$A54)</f>
        <v>58</v>
      </c>
      <c r="E54" s="8" t="n">
        <f aca="false">D54*$J$5</f>
        <v>73.2631578947368</v>
      </c>
      <c r="F54" s="8" t="n">
        <f aca="false">E54-C54</f>
        <v>13.2631578947368</v>
      </c>
      <c r="G54" s="9" t="n">
        <f aca="false">IF(AND(C54=0,E54=0),0,IF(C54=0,"New",(E54-C54)/C54))</f>
        <v>0.221052631578947</v>
      </c>
      <c r="H54" s="8" t="n">
        <f aca="false">SUMIFS('Source'!$E:$E,'Source'!$A:$A,"160251 AMAZON",'Source'!$B:$B,$A54)</f>
        <v>11413.11</v>
      </c>
      <c r="I54" s="8" t="n">
        <f aca="false">SUMIFS('Source'!$G:$G,'Source'!$A:$A,"160251 AMAZON",'Source'!$B:$B,$A54)</f>
        <v>9662.31</v>
      </c>
      <c r="J54" s="8" t="n">
        <f aca="false">I54*$J$5</f>
        <v>12205.0231578947</v>
      </c>
      <c r="K54" s="8" t="n">
        <f aca="false">J54-H54</f>
        <v>791.913157894735</v>
      </c>
      <c r="L54" s="9" t="n">
        <f aca="false">IF(AND(H54=0,J54=0),0,IF(H54=0,"New",(J54-H54)/H54))</f>
        <v>0.069386272268885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860</v>
      </c>
      <c r="B55" s="7" t="str">
        <f aca="false">IFERROR(INDEX('Source'!$C:$C,MATCH($A55,'Source'!$B:$B,0)),"")</f>
        <v>חגורת שבר</v>
      </c>
      <c r="C55" s="8" t="n">
        <f aca="false">SUMIFS('Source'!$D:$D,'Source'!$A:$A,"160251 AMAZON",'Source'!$B:$B,$A55)</f>
        <v>12</v>
      </c>
      <c r="D55" s="8" t="n">
        <f aca="false">SUMIFS('Source'!$F:$F,'Source'!$A:$A,"160251 AMAZON",'Source'!$B:$B,$A55)</f>
        <v>5</v>
      </c>
      <c r="E55" s="8" t="n">
        <f aca="false">D55*$J$5</f>
        <v>6.31578947368421</v>
      </c>
      <c r="F55" s="8" t="n">
        <f aca="false">E55-C55</f>
        <v>-5.68421052631579</v>
      </c>
      <c r="G55" s="9" t="n">
        <f aca="false">IF(AND(C55=0,E55=0),0,IF(C55=0,"New",(E55-C55)/C55))</f>
        <v>-0.473684210526316</v>
      </c>
      <c r="H55" s="8" t="n">
        <f aca="false">SUMIFS('Source'!$E:$E,'Source'!$A:$A,"160251 AMAZON",'Source'!$B:$B,$A55)</f>
        <v>2334.78</v>
      </c>
      <c r="I55" s="8" t="n">
        <f aca="false">SUMIFS('Source'!$G:$G,'Source'!$A:$A,"160251 AMAZON",'Source'!$B:$B,$A55)</f>
        <v>816.68</v>
      </c>
      <c r="J55" s="8" t="n">
        <f aca="false">I55*$J$5</f>
        <v>1031.59578947368</v>
      </c>
      <c r="K55" s="8" t="n">
        <f aca="false">J55-H55</f>
        <v>-1303.18421052632</v>
      </c>
      <c r="L55" s="9" t="n">
        <f aca="false">IF(AND(H55=0,J55=0),0,IF(H55=0,"New",(J55-H55)/H55))</f>
        <v>-0.558161458692603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216</v>
      </c>
      <c r="B56" s="7" t="str">
        <f aca="false">IFERROR(INDEX('Source'!$C:$C,MATCH($A56,'Source'!$B:$B,0)),"")</f>
        <v>שרוול לגבס קצר רגל</v>
      </c>
      <c r="C56" s="8" t="n">
        <f aca="false">SUMIFS('Source'!$D:$D,'Source'!$A:$A,"160251 AMAZON",'Source'!$B:$B,$A56)</f>
        <v>12</v>
      </c>
      <c r="D56" s="8" t="n">
        <f aca="false">SUMIFS('Source'!$F:$F,'Source'!$A:$A,"160251 AMAZON",'Source'!$B:$B,$A56)</f>
        <v>29</v>
      </c>
      <c r="E56" s="8" t="n">
        <f aca="false">D56*$J$5</f>
        <v>36.6315789473684</v>
      </c>
      <c r="F56" s="8" t="n">
        <f aca="false">E56-C56</f>
        <v>24.6315789473684</v>
      </c>
      <c r="G56" s="9" t="n">
        <f aca="false">IF(AND(C56=0,E56=0),0,IF(C56=0,"New",(E56-C56)/C56))</f>
        <v>2.05263157894737</v>
      </c>
      <c r="H56" s="8" t="n">
        <f aca="false">SUMIFS('Source'!$E:$E,'Source'!$A:$A,"160251 AMAZON",'Source'!$B:$B,$A56)</f>
        <v>859.76</v>
      </c>
      <c r="I56" s="8" t="n">
        <f aca="false">SUMIFS('Source'!$G:$G,'Source'!$A:$A,"160251 AMAZON",'Source'!$B:$B,$A56)</f>
        <v>2238.96</v>
      </c>
      <c r="J56" s="8" t="n">
        <f aca="false">I56*$J$5</f>
        <v>2828.16</v>
      </c>
      <c r="K56" s="8" t="n">
        <f aca="false">J56-H56</f>
        <v>1968.4</v>
      </c>
      <c r="L56" s="9" t="n">
        <f aca="false">IF(AND(H56=0,J56=0),0,IF(H56=0,"New",(J56-H56)/H56))</f>
        <v>2.28947613287429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119</v>
      </c>
      <c r="B57" s="7" t="str">
        <f aca="false">IFERROR(INDEX('Source'!$C:$C,MATCH($A57,'Source'!$B:$B,0)),"")</f>
        <v>מיישר בוניון-HALUX VALGUS</v>
      </c>
      <c r="C57" s="8" t="n">
        <f aca="false">SUMIFS('Source'!$D:$D,'Source'!$A:$A,"160251 AMAZON",'Source'!$B:$B,$A57)</f>
        <v>51</v>
      </c>
      <c r="D57" s="8" t="n">
        <f aca="false">SUMIFS('Source'!$F:$F,'Source'!$A:$A,"160251 AMAZON",'Source'!$B:$B,$A57)</f>
        <v>49</v>
      </c>
      <c r="E57" s="8" t="n">
        <f aca="false">D57*$J$5</f>
        <v>61.8947368421053</v>
      </c>
      <c r="F57" s="8" t="n">
        <f aca="false">E57-C57</f>
        <v>10.8947368421053</v>
      </c>
      <c r="G57" s="9" t="n">
        <f aca="false">IF(AND(C57=0,E57=0),0,IF(C57=0,"New",(E57-C57)/C57))</f>
        <v>0.213622291021672</v>
      </c>
      <c r="H57" s="8" t="n">
        <f aca="false">SUMIFS('Source'!$E:$E,'Source'!$A:$A,"160251 AMAZON",'Source'!$B:$B,$A57)</f>
        <v>4500.68</v>
      </c>
      <c r="I57" s="8" t="n">
        <f aca="false">SUMIFS('Source'!$G:$G,'Source'!$A:$A,"160251 AMAZON",'Source'!$B:$B,$A57)</f>
        <v>3191.21</v>
      </c>
      <c r="J57" s="8" t="n">
        <f aca="false">I57*$J$5</f>
        <v>4031.00210526316</v>
      </c>
      <c r="K57" s="8" t="n">
        <f aca="false">J57-H57</f>
        <v>-469.677894736842</v>
      </c>
      <c r="L57" s="9" t="n">
        <f aca="false">IF(AND(H57=0,J57=0),0,IF(H57=0,"New",(J57-H57)/H57))</f>
        <v>-0.10435709598035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861</v>
      </c>
      <c r="B58" s="7" t="str">
        <f aca="false">IFERROR(INDEX('Source'!$C:$C,MATCH($A58,'Source'!$B:$B,0)),"")</f>
        <v>חגורת בטן לנורבגיה</v>
      </c>
      <c r="C58" s="8" t="n">
        <f aca="false">SUMIFS('Source'!$D:$D,'Source'!$A:$A,"160251 AMAZON",'Source'!$B:$B,$A58)</f>
        <v>11</v>
      </c>
      <c r="D58" s="8" t="n">
        <f aca="false">SUMIFS('Source'!$F:$F,'Source'!$A:$A,"160251 AMAZON",'Source'!$B:$B,$A58)</f>
        <v>0</v>
      </c>
      <c r="E58" s="8" t="n">
        <f aca="false">D58*$J$5</f>
        <v>0</v>
      </c>
      <c r="F58" s="8" t="n">
        <f aca="false">E58-C58</f>
        <v>-11</v>
      </c>
      <c r="G58" s="9" t="n">
        <f aca="false">IF(AND(C58=0,E58=0),0,IF(C58=0,"New",(E58-C58)/C58))</f>
        <v>-1</v>
      </c>
      <c r="H58" s="8" t="n">
        <f aca="false">SUMIFS('Source'!$E:$E,'Source'!$A:$A,"160251 AMAZON",'Source'!$B:$B,$A58)</f>
        <v>1276.45</v>
      </c>
      <c r="I58" s="8" t="n">
        <f aca="false">SUMIFS('Source'!$G:$G,'Source'!$A:$A,"160251 AMAZON",'Source'!$B:$B,$A58)</f>
        <v>0</v>
      </c>
      <c r="J58" s="8" t="n">
        <f aca="false">I58*$J$5</f>
        <v>0</v>
      </c>
      <c r="K58" s="8" t="n">
        <f aca="false">J58-H58</f>
        <v>-1276.45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862</v>
      </c>
      <c r="B59" s="7" t="str">
        <f aca="false">IFERROR(INDEX('Source'!$C:$C,MATCH($A59,'Source'!$B:$B,0)),"")</f>
        <v>חגורת גב+סגירה כפולה</v>
      </c>
      <c r="C59" s="8" t="n">
        <f aca="false">SUMIFS('Source'!$D:$D,'Source'!$A:$A,"160251 AMAZON",'Source'!$B:$B,$A59)</f>
        <v>15</v>
      </c>
      <c r="D59" s="8" t="n">
        <f aca="false">SUMIFS('Source'!$F:$F,'Source'!$A:$A,"160251 AMAZON",'Source'!$B:$B,$A59)</f>
        <v>0</v>
      </c>
      <c r="E59" s="8" t="n">
        <f aca="false">D59*$J$5</f>
        <v>0</v>
      </c>
      <c r="F59" s="8" t="n">
        <f aca="false">E59-C59</f>
        <v>-15</v>
      </c>
      <c r="G59" s="9" t="n">
        <f aca="false">IF(AND(C59=0,E59=0),0,IF(C59=0,"New",(E59-C59)/C59))</f>
        <v>-1</v>
      </c>
      <c r="H59" s="8" t="n">
        <f aca="false">SUMIFS('Source'!$E:$E,'Source'!$A:$A,"160251 AMAZON",'Source'!$B:$B,$A59)</f>
        <v>1249.35</v>
      </c>
      <c r="I59" s="8" t="n">
        <f aca="false">SUMIFS('Source'!$G:$G,'Source'!$A:$A,"160251 AMAZON",'Source'!$B:$B,$A59)</f>
        <v>0</v>
      </c>
      <c r="J59" s="8" t="n">
        <f aca="false">I59*$J$5</f>
        <v>0</v>
      </c>
      <c r="K59" s="8" t="n">
        <f aca="false">J59-H59</f>
        <v>-1249.35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863</v>
      </c>
      <c r="B60" s="7" t="str">
        <f aca="false">IFERROR(INDEX('Source'!$C:$C,MATCH($A60,'Source'!$B:$B,0)),"")</f>
        <v>חגורת שבר שחור</v>
      </c>
      <c r="C60" s="8" t="n">
        <f aca="false">SUMIFS('Source'!$D:$D,'Source'!$A:$A,"160251 AMAZON",'Source'!$B:$B,$A60)</f>
        <v>21</v>
      </c>
      <c r="D60" s="8" t="n">
        <f aca="false">SUMIFS('Source'!$F:$F,'Source'!$A:$A,"160251 AMAZON",'Source'!$B:$B,$A60)</f>
        <v>14</v>
      </c>
      <c r="E60" s="8" t="n">
        <f aca="false">D60*$J$5</f>
        <v>17.6842105263158</v>
      </c>
      <c r="F60" s="8" t="n">
        <f aca="false">E60-C60</f>
        <v>-3.31578947368421</v>
      </c>
      <c r="G60" s="9" t="n">
        <f aca="false">IF(AND(C60=0,E60=0),0,IF(C60=0,"New",(E60-C60)/C60))</f>
        <v>-0.157894736842105</v>
      </c>
      <c r="H60" s="8" t="n">
        <f aca="false">SUMIFS('Source'!$E:$E,'Source'!$A:$A,"160251 AMAZON",'Source'!$B:$B,$A60)</f>
        <v>3503.89</v>
      </c>
      <c r="I60" s="8" t="n">
        <f aca="false">SUMIFS('Source'!$G:$G,'Source'!$A:$A,"160251 AMAZON",'Source'!$B:$B,$A60)</f>
        <v>2355.71</v>
      </c>
      <c r="J60" s="8" t="n">
        <f aca="false">I60*$J$5</f>
        <v>2975.63368421053</v>
      </c>
      <c r="K60" s="8" t="n">
        <f aca="false">J60-H60</f>
        <v>-528.256315789474</v>
      </c>
      <c r="L60" s="9" t="n">
        <f aca="false">IF(AND(H60=0,J60=0),0,IF(H60=0,"New",(J60-H60)/H60))</f>
        <v>-0.150762813841038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588</v>
      </c>
      <c r="B61" s="7" t="str">
        <f aca="false">IFERROR(INDEX('Source'!$C:$C,MATCH($A61,'Source'!$B:$B,0)),"")</f>
        <v>תגורת שבר בטבור לתינוקות</v>
      </c>
      <c r="C61" s="8" t="n">
        <f aca="false">SUMIFS('Source'!$D:$D,'Source'!$A:$A,"160251 AMAZON",'Source'!$B:$B,$A61)</f>
        <v>28</v>
      </c>
      <c r="D61" s="8" t="n">
        <f aca="false">SUMIFS('Source'!$F:$F,'Source'!$A:$A,"160251 AMAZON",'Source'!$B:$B,$A61)</f>
        <v>0</v>
      </c>
      <c r="E61" s="8" t="n">
        <f aca="false">D61*$J$5</f>
        <v>0</v>
      </c>
      <c r="F61" s="8" t="n">
        <f aca="false">E61-C61</f>
        <v>-28</v>
      </c>
      <c r="G61" s="9" t="n">
        <f aca="false">IF(AND(C61=0,E61=0),0,IF(C61=0,"New",(E61-C61)/C61))</f>
        <v>-1</v>
      </c>
      <c r="H61" s="8" t="n">
        <f aca="false">SUMIFS('Source'!$E:$E,'Source'!$A:$A,"160251 AMAZON",'Source'!$B:$B,$A61)</f>
        <v>1139.9</v>
      </c>
      <c r="I61" s="8" t="n">
        <f aca="false">SUMIFS('Source'!$G:$G,'Source'!$A:$A,"160251 AMAZON",'Source'!$B:$B,$A61)</f>
        <v>0</v>
      </c>
      <c r="J61" s="8" t="n">
        <f aca="false">I61*$J$5</f>
        <v>0</v>
      </c>
      <c r="K61" s="8" t="n">
        <f aca="false">J61-H61</f>
        <v>-1139.9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245</v>
      </c>
      <c r="B62" s="7" t="str">
        <f aca="false">IFERROR(INDEX('Source'!$C:$C,MATCH($A62,'Source'!$B:$B,0)),"")</f>
        <v>חבק טניס</v>
      </c>
      <c r="C62" s="8" t="n">
        <f aca="false">SUMIFS('Source'!$D:$D,'Source'!$A:$A,"160251 AMAZON",'Source'!$B:$B,$A62)</f>
        <v>3</v>
      </c>
      <c r="D62" s="8" t="n">
        <f aca="false">SUMIFS('Source'!$F:$F,'Source'!$A:$A,"160251 AMAZON",'Source'!$B:$B,$A62)</f>
        <v>22</v>
      </c>
      <c r="E62" s="8" t="n">
        <f aca="false">D62*$J$5</f>
        <v>27.7894736842105</v>
      </c>
      <c r="F62" s="8" t="n">
        <f aca="false">E62-C62</f>
        <v>24.7894736842105</v>
      </c>
      <c r="G62" s="9" t="n">
        <f aca="false">IF(AND(C62=0,E62=0),0,IF(C62=0,"New",(E62-C62)/C62))</f>
        <v>8.26315789473684</v>
      </c>
      <c r="H62" s="8" t="n">
        <f aca="false">SUMIFS('Source'!$E:$E,'Source'!$A:$A,"160251 AMAZON",'Source'!$B:$B,$A62)</f>
        <v>219.63</v>
      </c>
      <c r="I62" s="8" t="n">
        <f aca="false">SUMIFS('Source'!$G:$G,'Source'!$A:$A,"160251 AMAZON",'Source'!$B:$B,$A62)</f>
        <v>1355.94</v>
      </c>
      <c r="J62" s="8" t="n">
        <f aca="false">I62*$J$5</f>
        <v>1712.76631578947</v>
      </c>
      <c r="K62" s="8" t="n">
        <f aca="false">J62-H62</f>
        <v>1493.13631578947</v>
      </c>
      <c r="L62" s="9" t="n">
        <f aca="false">IF(AND(H62=0,J62=0),0,IF(H62=0,"New",(J62-H62)/H62))</f>
        <v>6.79841695483073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650</v>
      </c>
      <c r="B63" s="7" t="str">
        <f aca="false">IFERROR(INDEX('Source'!$C:$C,MATCH($A63,'Source'!$B:$B,0)),"")</f>
        <v>כ.הפרדת אצבעות ס</v>
      </c>
      <c r="C63" s="8" t="n">
        <f aca="false">SUMIFS('Source'!$D:$D,'Source'!$A:$A,"160251 AMAZON",'Source'!$B:$B,$A63)</f>
        <v>33</v>
      </c>
      <c r="D63" s="8" t="n">
        <f aca="false">SUMIFS('Source'!$F:$F,'Source'!$A:$A,"160251 AMAZON",'Source'!$B:$B,$A63)</f>
        <v>73</v>
      </c>
      <c r="E63" s="8" t="n">
        <f aca="false">D63*$J$5</f>
        <v>92.2105263157895</v>
      </c>
      <c r="F63" s="8" t="n">
        <f aca="false">E63-C63</f>
        <v>59.2105263157895</v>
      </c>
      <c r="G63" s="9" t="n">
        <f aca="false">IF(AND(C63=0,E63=0),0,IF(C63=0,"New",(E63-C63)/C63))</f>
        <v>1.79425837320574</v>
      </c>
      <c r="H63" s="8" t="n">
        <f aca="false">SUMIFS('Source'!$E:$E,'Source'!$A:$A,"160251 AMAZON",'Source'!$B:$B,$A63)</f>
        <v>1082.62</v>
      </c>
      <c r="I63" s="8" t="n">
        <f aca="false">SUMIFS('Source'!$G:$G,'Source'!$A:$A,"160251 AMAZON",'Source'!$B:$B,$A63)</f>
        <v>2208.01</v>
      </c>
      <c r="J63" s="8" t="n">
        <f aca="false">I63*$J$5</f>
        <v>2789.0652631579</v>
      </c>
      <c r="K63" s="8" t="n">
        <f aca="false">J63-H63</f>
        <v>1706.4452631579</v>
      </c>
      <c r="L63" s="9" t="n">
        <f aca="false">IF(AND(H63=0,J63=0),0,IF(H63=0,"New",(J63-H63)/H63))</f>
        <v>1.57621812192449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864</v>
      </c>
      <c r="B64" s="7" t="str">
        <f aca="false">IFERROR(INDEX('Source'!$C:$C,MATCH($A64,'Source'!$B:$B,0)),"")</f>
        <v>חגורת גב+סגירה כפולה</v>
      </c>
      <c r="C64" s="8" t="n">
        <f aca="false">SUMIFS('Source'!$D:$D,'Source'!$A:$A,"160251 AMAZON",'Source'!$B:$B,$A64)</f>
        <v>12</v>
      </c>
      <c r="D64" s="8" t="n">
        <f aca="false">SUMIFS('Source'!$F:$F,'Source'!$A:$A,"160251 AMAZON",'Source'!$B:$B,$A64)</f>
        <v>0</v>
      </c>
      <c r="E64" s="8" t="n">
        <f aca="false">D64*$J$5</f>
        <v>0</v>
      </c>
      <c r="F64" s="8" t="n">
        <f aca="false">E64-C64</f>
        <v>-12</v>
      </c>
      <c r="G64" s="9" t="n">
        <f aca="false">IF(AND(C64=0,E64=0),0,IF(C64=0,"New",(E64-C64)/C64))</f>
        <v>-1</v>
      </c>
      <c r="H64" s="8" t="n">
        <f aca="false">SUMIFS('Source'!$E:$E,'Source'!$A:$A,"160251 AMAZON",'Source'!$B:$B,$A64)</f>
        <v>1081.78</v>
      </c>
      <c r="I64" s="8" t="n">
        <f aca="false">SUMIFS('Source'!$G:$G,'Source'!$A:$A,"160251 AMAZON",'Source'!$B:$B,$A64)</f>
        <v>0</v>
      </c>
      <c r="J64" s="8" t="n">
        <f aca="false">I64*$J$5</f>
        <v>0</v>
      </c>
      <c r="K64" s="8" t="n">
        <f aca="false">J64-H64</f>
        <v>-1081.78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323</v>
      </c>
      <c r="B65" s="7" t="str">
        <f aca="false">IFERROR(INDEX('Source'!$C:$C,MATCH($A65,'Source'!$B:$B,0)),"")</f>
        <v>חגורת היריון</v>
      </c>
      <c r="C65" s="8" t="n">
        <f aca="false">SUMIFS('Source'!$D:$D,'Source'!$A:$A,"160251 AMAZON",'Source'!$B:$B,$A65)</f>
        <v>31</v>
      </c>
      <c r="D65" s="8" t="n">
        <f aca="false">SUMIFS('Source'!$F:$F,'Source'!$A:$A,"160251 AMAZON",'Source'!$B:$B,$A65)</f>
        <v>0</v>
      </c>
      <c r="E65" s="8" t="n">
        <f aca="false">D65*$J$5</f>
        <v>0</v>
      </c>
      <c r="F65" s="8" t="n">
        <f aca="false">E65-C65</f>
        <v>-31</v>
      </c>
      <c r="G65" s="9" t="n">
        <f aca="false">IF(AND(C65=0,E65=0),0,IF(C65=0,"New",(E65-C65)/C65))</f>
        <v>-1</v>
      </c>
      <c r="H65" s="8" t="n">
        <f aca="false">SUMIFS('Source'!$E:$E,'Source'!$A:$A,"160251 AMAZON",'Source'!$B:$B,$A65)</f>
        <v>1060.47</v>
      </c>
      <c r="I65" s="8" t="n">
        <f aca="false">SUMIFS('Source'!$G:$G,'Source'!$A:$A,"160251 AMAZON",'Source'!$B:$B,$A65)</f>
        <v>0</v>
      </c>
      <c r="J65" s="8" t="n">
        <f aca="false">I65*$J$5</f>
        <v>0</v>
      </c>
      <c r="K65" s="8" t="n">
        <f aca="false">J65-H65</f>
        <v>-1060.47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469</v>
      </c>
      <c r="B66" s="7" t="str">
        <f aca="false">IFERROR(INDEX('Source'!$C:$C,MATCH($A66,'Source'!$B:$B,0)),"")</f>
        <v>מדרס מג'ל</v>
      </c>
      <c r="C66" s="8" t="n">
        <f aca="false">SUMIFS('Source'!$D:$D,'Source'!$A:$A,"160251 AMAZON",'Source'!$B:$B,$A66)</f>
        <v>10</v>
      </c>
      <c r="D66" s="8" t="n">
        <f aca="false">SUMIFS('Source'!$F:$F,'Source'!$A:$A,"160251 AMAZON",'Source'!$B:$B,$A66)</f>
        <v>0</v>
      </c>
      <c r="E66" s="8" t="n">
        <f aca="false">D66*$J$5</f>
        <v>0</v>
      </c>
      <c r="F66" s="8" t="n">
        <f aca="false">E66-C66</f>
        <v>-10</v>
      </c>
      <c r="G66" s="9" t="n">
        <f aca="false">IF(AND(C66=0,E66=0),0,IF(C66=0,"New",(E66-C66)/C66))</f>
        <v>-1</v>
      </c>
      <c r="H66" s="8" t="n">
        <f aca="false">SUMIFS('Source'!$E:$E,'Source'!$A:$A,"160251 AMAZON",'Source'!$B:$B,$A66)</f>
        <v>969.81</v>
      </c>
      <c r="I66" s="8" t="n">
        <f aca="false">SUMIFS('Source'!$G:$G,'Source'!$A:$A,"160251 AMAZON",'Source'!$B:$B,$A66)</f>
        <v>0</v>
      </c>
      <c r="J66" s="8" t="n">
        <f aca="false">I66*$J$5</f>
        <v>0</v>
      </c>
      <c r="K66" s="8" t="n">
        <f aca="false">J66-H66</f>
        <v>-969.81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865</v>
      </c>
      <c r="B67" s="7" t="str">
        <f aca="false">IFERROR(INDEX('Source'!$C:$C,MATCH($A67,'Source'!$B:$B,0)),"")</f>
        <v>חגורת שבר שחור</v>
      </c>
      <c r="C67" s="8" t="n">
        <f aca="false">SUMIFS('Source'!$D:$D,'Source'!$A:$A,"160251 AMAZON",'Source'!$B:$B,$A67)</f>
        <v>7</v>
      </c>
      <c r="D67" s="8" t="n">
        <f aca="false">SUMIFS('Source'!$F:$F,'Source'!$A:$A,"160251 AMAZON",'Source'!$B:$B,$A67)</f>
        <v>13</v>
      </c>
      <c r="E67" s="8" t="n">
        <f aca="false">D67*$J$5</f>
        <v>16.4210526315789</v>
      </c>
      <c r="F67" s="8" t="n">
        <f aca="false">E67-C67</f>
        <v>9.42105263157895</v>
      </c>
      <c r="G67" s="9" t="n">
        <f aca="false">IF(AND(C67=0,E67=0),0,IF(C67=0,"New",(E67-C67)/C67))</f>
        <v>1.34586466165414</v>
      </c>
      <c r="H67" s="8" t="n">
        <f aca="false">SUMIFS('Source'!$E:$E,'Source'!$A:$A,"160251 AMAZON",'Source'!$B:$B,$A67)</f>
        <v>1230.79</v>
      </c>
      <c r="I67" s="8" t="n">
        <f aca="false">SUMIFS('Source'!$G:$G,'Source'!$A:$A,"160251 AMAZON",'Source'!$B:$B,$A67)</f>
        <v>2132.76</v>
      </c>
      <c r="J67" s="8" t="n">
        <f aca="false">I67*$J$5</f>
        <v>2694.01263157895</v>
      </c>
      <c r="K67" s="8" t="n">
        <f aca="false">J67-H67</f>
        <v>1463.22263157895</v>
      </c>
      <c r="L67" s="9" t="n">
        <f aca="false">IF(AND(H67=0,J67=0),0,IF(H67=0,"New",(J67-H67)/H67))</f>
        <v>1.18884832634239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866</v>
      </c>
      <c r="B68" s="7" t="str">
        <f aca="false">IFERROR(INDEX('Source'!$C:$C,MATCH($A68,'Source'!$B:$B,0)),"")</f>
        <v>חגורת שבר שחור</v>
      </c>
      <c r="C68" s="8" t="n">
        <f aca="false">SUMIFS('Source'!$D:$D,'Source'!$A:$A,"160251 AMAZON",'Source'!$B:$B,$A68)</f>
        <v>11</v>
      </c>
      <c r="D68" s="8" t="n">
        <f aca="false">SUMIFS('Source'!$F:$F,'Source'!$A:$A,"160251 AMAZON",'Source'!$B:$B,$A68)</f>
        <v>17</v>
      </c>
      <c r="E68" s="8" t="n">
        <f aca="false">D68*$J$5</f>
        <v>21.4736842105263</v>
      </c>
      <c r="F68" s="8" t="n">
        <f aca="false">E68-C68</f>
        <v>10.4736842105263</v>
      </c>
      <c r="G68" s="9" t="n">
        <f aca="false">IF(AND(C68=0,E68=0),0,IF(C68=0,"New",(E68-C68)/C68))</f>
        <v>0.952153110047847</v>
      </c>
      <c r="H68" s="8" t="n">
        <f aca="false">SUMIFS('Source'!$E:$E,'Source'!$A:$A,"160251 AMAZON",'Source'!$B:$B,$A68)</f>
        <v>1984.08</v>
      </c>
      <c r="I68" s="8" t="n">
        <f aca="false">SUMIFS('Source'!$G:$G,'Source'!$A:$A,"160251 AMAZON",'Source'!$B:$B,$A68)</f>
        <v>2850.77</v>
      </c>
      <c r="J68" s="8" t="n">
        <f aca="false">I68*$J$5</f>
        <v>3600.97263157895</v>
      </c>
      <c r="K68" s="8" t="n">
        <f aca="false">J68-H68</f>
        <v>1616.89263157895</v>
      </c>
      <c r="L68" s="9" t="n">
        <f aca="false">IF(AND(H68=0,J68=0),0,IF(H68=0,"New",(J68-H68)/H68))</f>
        <v>0.814933183933585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741</v>
      </c>
      <c r="B69" s="7" t="str">
        <f aca="false">IFERROR(INDEX('Source'!$C:$C,MATCH($A69,'Source'!$B:$B,0)),"")</f>
        <v>עקב סיליקון שטוח</v>
      </c>
      <c r="C69" s="8" t="n">
        <f aca="false">SUMIFS('Source'!$D:$D,'Source'!$A:$A,"160251 AMAZON",'Source'!$B:$B,$A69)</f>
        <v>7</v>
      </c>
      <c r="D69" s="8" t="n">
        <f aca="false">SUMIFS('Source'!$F:$F,'Source'!$A:$A,"160251 AMAZON",'Source'!$B:$B,$A69)</f>
        <v>2</v>
      </c>
      <c r="E69" s="8" t="n">
        <f aca="false">D69*$J$5</f>
        <v>2.52631578947368</v>
      </c>
      <c r="F69" s="8" t="n">
        <f aca="false">E69-C69</f>
        <v>-4.47368421052632</v>
      </c>
      <c r="G69" s="9" t="n">
        <f aca="false">IF(AND(C69=0,E69=0),0,IF(C69=0,"New",(E69-C69)/C69))</f>
        <v>-0.639097744360902</v>
      </c>
      <c r="H69" s="8" t="n">
        <f aca="false">SUMIFS('Source'!$E:$E,'Source'!$A:$A,"160251 AMAZON",'Source'!$B:$B,$A69)</f>
        <v>786.43</v>
      </c>
      <c r="I69" s="8" t="n">
        <f aca="false">SUMIFS('Source'!$G:$G,'Source'!$A:$A,"160251 AMAZON",'Source'!$B:$B,$A69)</f>
        <v>207.81</v>
      </c>
      <c r="J69" s="8" t="n">
        <f aca="false">I69*$J$5</f>
        <v>262.496842105263</v>
      </c>
      <c r="K69" s="8" t="n">
        <f aca="false">J69-H69</f>
        <v>-523.933157894737</v>
      </c>
      <c r="L69" s="9" t="n">
        <f aca="false">IF(AND(H69=0,J69=0),0,IF(H69=0,"New",(J69-H69)/H69))</f>
        <v>-0.66621715587495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697</v>
      </c>
      <c r="B70" s="7" t="str">
        <f aca="false">IFERROR(INDEX('Source'!$C:$C,MATCH($A70,'Source'!$B:$B,0)),"")</f>
        <v>תגורת שבר בטבור לתינוקות</v>
      </c>
      <c r="C70" s="8" t="n">
        <f aca="false">SUMIFS('Source'!$D:$D,'Source'!$A:$A,"160251 AMAZON",'Source'!$B:$B,$A70)</f>
        <v>15</v>
      </c>
      <c r="D70" s="8" t="n">
        <f aca="false">SUMIFS('Source'!$F:$F,'Source'!$A:$A,"160251 AMAZON",'Source'!$B:$B,$A70)</f>
        <v>2</v>
      </c>
      <c r="E70" s="8" t="n">
        <f aca="false">D70*$J$5</f>
        <v>2.52631578947368</v>
      </c>
      <c r="F70" s="8" t="n">
        <f aca="false">E70-C70</f>
        <v>-12.4736842105263</v>
      </c>
      <c r="G70" s="9" t="n">
        <f aca="false">IF(AND(C70=0,E70=0),0,IF(C70=0,"New",(E70-C70)/C70))</f>
        <v>-0.831578947368421</v>
      </c>
      <c r="H70" s="8" t="n">
        <f aca="false">SUMIFS('Source'!$E:$E,'Source'!$A:$A,"160251 AMAZON",'Source'!$B:$B,$A70)</f>
        <v>636.25</v>
      </c>
      <c r="I70" s="8" t="n">
        <f aca="false">SUMIFS('Source'!$G:$G,'Source'!$A:$A,"160251 AMAZON",'Source'!$B:$B,$A70)</f>
        <v>81.66</v>
      </c>
      <c r="J70" s="8" t="n">
        <f aca="false">I70*$J$5</f>
        <v>103.149473684211</v>
      </c>
      <c r="K70" s="8" t="n">
        <f aca="false">J70-H70</f>
        <v>-533.10052631579</v>
      </c>
      <c r="L70" s="9" t="n">
        <f aca="false">IF(AND(H70=0,J70=0),0,IF(H70=0,"New",(J70-H70)/H70))</f>
        <v>-0.837879019749767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134</v>
      </c>
      <c r="B71" s="7" t="str">
        <f aca="false">IFERROR(INDEX('Source'!$C:$C,MATCH($A71,'Source'!$B:$B,0)),"")</f>
        <v>מ. בוניון + מפריד אצבע</v>
      </c>
      <c r="C71" s="8" t="n">
        <f aca="false">SUMIFS('Source'!$D:$D,'Source'!$A:$A,"160251 AMAZON",'Source'!$B:$B,$A71)</f>
        <v>16</v>
      </c>
      <c r="D71" s="8" t="n">
        <f aca="false">SUMIFS('Source'!$F:$F,'Source'!$A:$A,"160251 AMAZON",'Source'!$B:$B,$A71)</f>
        <v>10</v>
      </c>
      <c r="E71" s="8" t="n">
        <f aca="false">D71*$J$5</f>
        <v>12.6315789473684</v>
      </c>
      <c r="F71" s="8" t="n">
        <f aca="false">E71-C71</f>
        <v>-3.36842105263158</v>
      </c>
      <c r="G71" s="9" t="n">
        <f aca="false">IF(AND(C71=0,E71=0),0,IF(C71=0,"New",(E71-C71)/C71))</f>
        <v>-0.210526315789474</v>
      </c>
      <c r="H71" s="8" t="n">
        <f aca="false">SUMIFS('Source'!$E:$E,'Source'!$A:$A,"160251 AMAZON",'Source'!$B:$B,$A71)</f>
        <v>1067.96</v>
      </c>
      <c r="I71" s="8" t="n">
        <f aca="false">SUMIFS('Source'!$G:$G,'Source'!$A:$A,"160251 AMAZON",'Source'!$B:$B,$A71)</f>
        <v>517.89</v>
      </c>
      <c r="J71" s="8" t="n">
        <f aca="false">I71*$J$5</f>
        <v>654.176842105263</v>
      </c>
      <c r="K71" s="8" t="n">
        <f aca="false">J71-H71</f>
        <v>-413.783157894737</v>
      </c>
      <c r="L71" s="9" t="n">
        <f aca="false">IF(AND(H71=0,J71=0),0,IF(H71=0,"New",(J71-H71)/H71))</f>
        <v>-0.387451925067172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867</v>
      </c>
      <c r="B72" s="7" t="str">
        <f aca="false">IFERROR(INDEX('Source'!$C:$C,MATCH($A72,'Source'!$B:$B,0)),"")</f>
        <v>חגורת גב+סגירה כפולה</v>
      </c>
      <c r="C72" s="8" t="n">
        <f aca="false">SUMIFS('Source'!$D:$D,'Source'!$A:$A,"160251 AMAZON",'Source'!$B:$B,$A72)</f>
        <v>6</v>
      </c>
      <c r="D72" s="8" t="n">
        <f aca="false">SUMIFS('Source'!$F:$F,'Source'!$A:$A,"160251 AMAZON",'Source'!$B:$B,$A72)</f>
        <v>0</v>
      </c>
      <c r="E72" s="8" t="n">
        <f aca="false">D72*$J$5</f>
        <v>0</v>
      </c>
      <c r="F72" s="8" t="n">
        <f aca="false">E72-C72</f>
        <v>-6</v>
      </c>
      <c r="G72" s="9" t="n">
        <f aca="false">IF(AND(C72=0,E72=0),0,IF(C72=0,"New",(E72-C72)/C72))</f>
        <v>-1</v>
      </c>
      <c r="H72" s="8" t="n">
        <f aca="false">SUMIFS('Source'!$E:$E,'Source'!$A:$A,"160251 AMAZON",'Source'!$B:$B,$A72)</f>
        <v>496.79</v>
      </c>
      <c r="I72" s="8" t="n">
        <f aca="false">SUMIFS('Source'!$G:$G,'Source'!$A:$A,"160251 AMAZON",'Source'!$B:$B,$A72)</f>
        <v>0</v>
      </c>
      <c r="J72" s="8" t="n">
        <f aca="false">I72*$J$5</f>
        <v>0</v>
      </c>
      <c r="K72" s="8" t="n">
        <f aca="false">J72-H72</f>
        <v>-496.79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689</v>
      </c>
      <c r="B73" s="7" t="str">
        <f aca="false">IFERROR(INDEX('Source'!$C:$C,MATCH($A73,'Source'!$B:$B,0)),"")</f>
        <v>עקב סיליקון שטוח</v>
      </c>
      <c r="C73" s="8" t="n">
        <f aca="false">SUMIFS('Source'!$D:$D,'Source'!$A:$A,"160251 AMAZON",'Source'!$B:$B,$A73)</f>
        <v>7</v>
      </c>
      <c r="D73" s="8" t="n">
        <f aca="false">SUMIFS('Source'!$F:$F,'Source'!$A:$A,"160251 AMAZON",'Source'!$B:$B,$A73)</f>
        <v>12</v>
      </c>
      <c r="E73" s="8" t="n">
        <f aca="false">D73*$J$5</f>
        <v>15.1578947368421</v>
      </c>
      <c r="F73" s="8" t="n">
        <f aca="false">E73-C73</f>
        <v>8.1578947368421</v>
      </c>
      <c r="G73" s="9" t="n">
        <f aca="false">IF(AND(C73=0,E73=0),0,IF(C73=0,"New",(E73-C73)/C73))</f>
        <v>1.16541353383459</v>
      </c>
      <c r="H73" s="8" t="n">
        <f aca="false">SUMIFS('Source'!$E:$E,'Source'!$A:$A,"160251 AMAZON",'Source'!$B:$B,$A73)</f>
        <v>783.88</v>
      </c>
      <c r="I73" s="8" t="n">
        <f aca="false">SUMIFS('Source'!$G:$G,'Source'!$A:$A,"160251 AMAZON",'Source'!$B:$B,$A73)</f>
        <v>1267.59</v>
      </c>
      <c r="J73" s="8" t="n">
        <f aca="false">I73*$J$5</f>
        <v>1601.16631578947</v>
      </c>
      <c r="K73" s="8" t="n">
        <f aca="false">J73-H73</f>
        <v>817.286315789474</v>
      </c>
      <c r="L73" s="9" t="n">
        <f aca="false">IF(AND(H73=0,J73=0),0,IF(H73=0,"New",(J73-H73)/H73))</f>
        <v>1.04261661962223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342</v>
      </c>
      <c r="B74" s="7" t="str">
        <f aca="false">IFERROR(INDEX('Source'!$C:$C,MATCH($A74,'Source'!$B:$B,0)),"")</f>
        <v>מדרס מג'ל</v>
      </c>
      <c r="C74" s="8" t="n">
        <f aca="false">SUMIFS('Source'!$D:$D,'Source'!$A:$A,"160251 AMAZON",'Source'!$B:$B,$A74)</f>
        <v>2</v>
      </c>
      <c r="D74" s="8" t="n">
        <f aca="false">SUMIFS('Source'!$F:$F,'Source'!$A:$A,"160251 AMAZON",'Source'!$B:$B,$A74)</f>
        <v>7</v>
      </c>
      <c r="E74" s="8" t="n">
        <f aca="false">D74*$J$5</f>
        <v>8.84210526315789</v>
      </c>
      <c r="F74" s="8" t="n">
        <f aca="false">E74-C74</f>
        <v>6.84210526315789</v>
      </c>
      <c r="G74" s="9" t="n">
        <f aca="false">IF(AND(C74=0,E74=0),0,IF(C74=0,"New",(E74-C74)/C74))</f>
        <v>3.42105263157895</v>
      </c>
      <c r="H74" s="8" t="n">
        <f aca="false">SUMIFS('Source'!$E:$E,'Source'!$A:$A,"160251 AMAZON",'Source'!$B:$B,$A74)</f>
        <v>191.34</v>
      </c>
      <c r="I74" s="8" t="n">
        <f aca="false">SUMIFS('Source'!$G:$G,'Source'!$A:$A,"160251 AMAZON",'Source'!$B:$B,$A74)</f>
        <v>646.11</v>
      </c>
      <c r="J74" s="8" t="n">
        <f aca="false">I74*$J$5</f>
        <v>816.138947368421</v>
      </c>
      <c r="K74" s="8" t="n">
        <f aca="false">J74-H74</f>
        <v>624.798947368421</v>
      </c>
      <c r="L74" s="9" t="n">
        <f aca="false">IF(AND(H74=0,J74=0),0,IF(H74=0,"New",(J74-H74)/H74))</f>
        <v>3.26538594840818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868</v>
      </c>
      <c r="B75" s="7" t="str">
        <f aca="false">IFERROR(INDEX('Source'!$C:$C,MATCH($A75,'Source'!$B:$B,0)),"")</f>
        <v>חגורה אחרי ניתוח</v>
      </c>
      <c r="C75" s="8" t="n">
        <f aca="false">SUMIFS('Source'!$D:$D,'Source'!$A:$A,"160251 AMAZON",'Source'!$B:$B,$A75)</f>
        <v>27</v>
      </c>
      <c r="D75" s="8" t="n">
        <f aca="false">SUMIFS('Source'!$F:$F,'Source'!$A:$A,"160251 AMAZON",'Source'!$B:$B,$A75)</f>
        <v>24</v>
      </c>
      <c r="E75" s="8" t="n">
        <f aca="false">D75*$J$5</f>
        <v>30.3157894736842</v>
      </c>
      <c r="F75" s="8" t="n">
        <f aca="false">E75-C75</f>
        <v>3.31578947368421</v>
      </c>
      <c r="G75" s="9" t="n">
        <f aca="false">IF(AND(C75=0,E75=0),0,IF(C75=0,"New",(E75-C75)/C75))</f>
        <v>0.12280701754386</v>
      </c>
      <c r="H75" s="8" t="n">
        <f aca="false">SUMIFS('Source'!$E:$E,'Source'!$A:$A,"160251 AMAZON",'Source'!$B:$B,$A75)</f>
        <v>3576.51</v>
      </c>
      <c r="I75" s="8" t="n">
        <f aca="false">SUMIFS('Source'!$G:$G,'Source'!$A:$A,"160251 AMAZON",'Source'!$B:$B,$A75)</f>
        <v>3125.27</v>
      </c>
      <c r="J75" s="8" t="n">
        <f aca="false">I75*$J$5</f>
        <v>3947.70947368421</v>
      </c>
      <c r="K75" s="8" t="n">
        <f aca="false">J75-H75</f>
        <v>371.19947368421</v>
      </c>
      <c r="L75" s="9" t="n">
        <f aca="false">IF(AND(H75=0,J75=0),0,IF(H75=0,"New",(J75-H75)/H75))</f>
        <v>0.103788182805084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779</v>
      </c>
      <c r="B76" s="7" t="str">
        <f aca="false">IFERROR(INDEX('Source'!$C:$C,MATCH($A76,'Source'!$B:$B,0)),"")</f>
        <v>מפריד אצבע</v>
      </c>
      <c r="C76" s="8" t="n">
        <f aca="false">SUMIFS('Source'!$D:$D,'Source'!$A:$A,"160251 AMAZON",'Source'!$B:$B,$A76)</f>
        <v>10</v>
      </c>
      <c r="D76" s="8" t="n">
        <f aca="false">SUMIFS('Source'!$F:$F,'Source'!$A:$A,"160251 AMAZON",'Source'!$B:$B,$A76)</f>
        <v>19</v>
      </c>
      <c r="E76" s="8" t="n">
        <f aca="false">D76*$J$5</f>
        <v>24</v>
      </c>
      <c r="F76" s="8" t="n">
        <f aca="false">E76-C76</f>
        <v>14</v>
      </c>
      <c r="G76" s="9" t="n">
        <f aca="false">IF(AND(C76=0,E76=0),0,IF(C76=0,"New",(E76-C76)/C76))</f>
        <v>1.4</v>
      </c>
      <c r="H76" s="8" t="n">
        <f aca="false">SUMIFS('Source'!$E:$E,'Source'!$A:$A,"160251 AMAZON",'Source'!$B:$B,$A76)</f>
        <v>447.58</v>
      </c>
      <c r="I76" s="8" t="n">
        <f aca="false">SUMIFS('Source'!$G:$G,'Source'!$A:$A,"160251 AMAZON",'Source'!$B:$B,$A76)</f>
        <v>838.26</v>
      </c>
      <c r="J76" s="8" t="n">
        <f aca="false">I76*$J$5</f>
        <v>1058.85473684211</v>
      </c>
      <c r="K76" s="8" t="n">
        <f aca="false">J76-H76</f>
        <v>611.274736842105</v>
      </c>
      <c r="L76" s="9" t="n">
        <f aca="false">IF(AND(H76=0,J76=0),0,IF(H76=0,"New",(J76-H76)/H76))</f>
        <v>1.36573291219917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869</v>
      </c>
      <c r="B77" s="7" t="str">
        <f aca="false">IFERROR(INDEX('Source'!$C:$C,MATCH($A77,'Source'!$B:$B,0)),"")</f>
        <v>חגורת שבר שחור</v>
      </c>
      <c r="C77" s="8" t="n">
        <f aca="false">SUMIFS('Source'!$D:$D,'Source'!$A:$A,"160251 AMAZON",'Source'!$B:$B,$A77)</f>
        <v>15</v>
      </c>
      <c r="D77" s="8" t="n">
        <f aca="false">SUMIFS('Source'!$F:$F,'Source'!$A:$A,"160251 AMAZON",'Source'!$B:$B,$A77)</f>
        <v>15</v>
      </c>
      <c r="E77" s="8" t="n">
        <f aca="false">D77*$J$5</f>
        <v>18.9473684210526</v>
      </c>
      <c r="F77" s="8" t="n">
        <f aca="false">E77-C77</f>
        <v>3.94736842105263</v>
      </c>
      <c r="G77" s="9" t="n">
        <f aca="false">IF(AND(C77=0,E77=0),0,IF(C77=0,"New",(E77-C77)/C77))</f>
        <v>0.263157894736842</v>
      </c>
      <c r="H77" s="8" t="n">
        <f aca="false">SUMIFS('Source'!$E:$E,'Source'!$A:$A,"160251 AMAZON",'Source'!$B:$B,$A77)</f>
        <v>2644.47</v>
      </c>
      <c r="I77" s="8" t="n">
        <f aca="false">SUMIFS('Source'!$G:$G,'Source'!$A:$A,"160251 AMAZON",'Source'!$B:$B,$A77)</f>
        <v>2265.72</v>
      </c>
      <c r="J77" s="8" t="n">
        <f aca="false">I77*$J$5</f>
        <v>2861.96210526316</v>
      </c>
      <c r="K77" s="8" t="n">
        <f aca="false">J77-H77</f>
        <v>217.492105263157</v>
      </c>
      <c r="L77" s="9" t="n">
        <f aca="false">IF(AND(H77=0,J77=0),0,IF(H77=0,"New",(J77-H77)/H77))</f>
        <v>0.0822441189588678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870</v>
      </c>
      <c r="B78" s="7" t="str">
        <f aca="false">IFERROR(INDEX('Source'!$C:$C,MATCH($A78,'Source'!$B:$B,0)),"")</f>
        <v>מגן מרפק</v>
      </c>
      <c r="C78" s="8" t="n">
        <f aca="false">SUMIFS('Source'!$D:$D,'Source'!$A:$A,"160251 AMAZON",'Source'!$B:$B,$A78)</f>
        <v>0</v>
      </c>
      <c r="D78" s="8" t="n">
        <f aca="false">SUMIFS('Source'!$F:$F,'Source'!$A:$A,"160251 AMAZON",'Source'!$B:$B,$A78)</f>
        <v>7</v>
      </c>
      <c r="E78" s="8" t="n">
        <f aca="false">D78*$J$5</f>
        <v>8.84210526315789</v>
      </c>
      <c r="F78" s="8" t="n">
        <f aca="false">E78-C78</f>
        <v>8.84210526315789</v>
      </c>
      <c r="G78" s="9" t="str">
        <f aca="false">IF(AND(C78=0,E78=0),0,IF(C78=0,"New",(E78-C78)/C78))</f>
        <v>New</v>
      </c>
      <c r="H78" s="8" t="n">
        <f aca="false">SUMIFS('Source'!$E:$E,'Source'!$A:$A,"160251 AMAZON",'Source'!$B:$B,$A78)</f>
        <v>0</v>
      </c>
      <c r="I78" s="8" t="n">
        <f aca="false">SUMIFS('Source'!$G:$G,'Source'!$A:$A,"160251 AMAZON",'Source'!$B:$B,$A78)</f>
        <v>314.59</v>
      </c>
      <c r="J78" s="8" t="n">
        <f aca="false">I78*$J$5</f>
        <v>397.376842105263</v>
      </c>
      <c r="K78" s="8" t="n">
        <f aca="false">J78-H78</f>
        <v>397.376842105263</v>
      </c>
      <c r="L78" s="9" t="str">
        <f aca="false">IF(AND(H78=0,J78=0),0,IF(H78=0,"New",(J78-H78)/H78))</f>
        <v>New</v>
      </c>
      <c r="M78" s="7" t="str">
        <f aca="false">IF(AND(OR(C78&lt;&gt;0,H78&lt;&gt;0),D78=0,I78=0),"DROP",IF(AND(OR(D78&lt;&gt;0,I78&lt;&gt;0),C78=0,H78=0),"NEW",""))</f>
        <v>NEW</v>
      </c>
    </row>
    <row r="79" customFormat="false" ht="15" hidden="false" customHeight="false" outlineLevel="0" collapsed="false">
      <c r="A79" s="7" t="s">
        <v>106</v>
      </c>
      <c r="B79" s="7" t="str">
        <f aca="false">IFERROR(INDEX('Source'!$C:$C,MATCH($A79,'Source'!$B:$B,0)),"")</f>
        <v>גרבי נסיעות אנטיבקטריאלי</v>
      </c>
      <c r="C79" s="8" t="n">
        <f aca="false">SUMIFS('Source'!$D:$D,'Source'!$A:$A,"160251 AMAZON",'Source'!$B:$B,$A79)</f>
        <v>0</v>
      </c>
      <c r="D79" s="8" t="n">
        <f aca="false">SUMIFS('Source'!$F:$F,'Source'!$A:$A,"160251 AMAZON",'Source'!$B:$B,$A79)</f>
        <v>5</v>
      </c>
      <c r="E79" s="8" t="n">
        <f aca="false">D79*$J$5</f>
        <v>6.31578947368421</v>
      </c>
      <c r="F79" s="8" t="n">
        <f aca="false">E79-C79</f>
        <v>6.31578947368421</v>
      </c>
      <c r="G79" s="9" t="str">
        <f aca="false">IF(AND(C79=0,E79=0),0,IF(C79=0,"New",(E79-C79)/C79))</f>
        <v>New</v>
      </c>
      <c r="H79" s="8" t="n">
        <f aca="false">SUMIFS('Source'!$E:$E,'Source'!$A:$A,"160251 AMAZON",'Source'!$B:$B,$A79)</f>
        <v>0</v>
      </c>
      <c r="I79" s="8" t="n">
        <f aca="false">SUMIFS('Source'!$G:$G,'Source'!$A:$A,"160251 AMAZON",'Source'!$B:$B,$A79)</f>
        <v>285.67</v>
      </c>
      <c r="J79" s="8" t="n">
        <f aca="false">I79*$J$5</f>
        <v>360.846315789474</v>
      </c>
      <c r="K79" s="8" t="n">
        <f aca="false">J79-H79</f>
        <v>360.846315789474</v>
      </c>
      <c r="L79" s="9" t="str">
        <f aca="false">IF(AND(H79=0,J79=0),0,IF(H79=0,"New",(J79-H79)/H79))</f>
        <v>New</v>
      </c>
      <c r="M79" s="7" t="str">
        <f aca="false">IF(AND(OR(C79&lt;&gt;0,H79&lt;&gt;0),D79=0,I79=0),"DROP",IF(AND(OR(D79&lt;&gt;0,I79&lt;&gt;0),C79=0,H79=0),"NEW",""))</f>
        <v>NEW</v>
      </c>
    </row>
    <row r="80" customFormat="false" ht="15" hidden="false" customHeight="false" outlineLevel="0" collapsed="false">
      <c r="A80" s="7" t="s">
        <v>110</v>
      </c>
      <c r="B80" s="7" t="str">
        <f aca="false">IFERROR(INDEX('Source'!$C:$C,MATCH($A80,'Source'!$B:$B,0)),"")</f>
        <v>גרבי נסיעות אנטיבקטריאלי</v>
      </c>
      <c r="C80" s="8" t="n">
        <f aca="false">SUMIFS('Source'!$D:$D,'Source'!$A:$A,"160251 AMAZON",'Source'!$B:$B,$A80)</f>
        <v>0</v>
      </c>
      <c r="D80" s="8" t="n">
        <f aca="false">SUMIFS('Source'!$F:$F,'Source'!$A:$A,"160251 AMAZON",'Source'!$B:$B,$A80)</f>
        <v>4</v>
      </c>
      <c r="E80" s="8" t="n">
        <f aca="false">D80*$J$5</f>
        <v>5.05263157894737</v>
      </c>
      <c r="F80" s="8" t="n">
        <f aca="false">E80-C80</f>
        <v>5.05263157894737</v>
      </c>
      <c r="G80" s="9" t="str">
        <f aca="false">IF(AND(C80=0,E80=0),0,IF(C80=0,"New",(E80-C80)/C80))</f>
        <v>New</v>
      </c>
      <c r="H80" s="8" t="n">
        <f aca="false">SUMIFS('Source'!$E:$E,'Source'!$A:$A,"160251 AMAZON",'Source'!$B:$B,$A80)</f>
        <v>0</v>
      </c>
      <c r="I80" s="8" t="n">
        <f aca="false">SUMIFS('Source'!$G:$G,'Source'!$A:$A,"160251 AMAZON",'Source'!$B:$B,$A80)</f>
        <v>235.53</v>
      </c>
      <c r="J80" s="8" t="n">
        <f aca="false">I80*$J$5</f>
        <v>297.511578947368</v>
      </c>
      <c r="K80" s="8" t="n">
        <f aca="false">J80-H80</f>
        <v>297.511578947368</v>
      </c>
      <c r="L80" s="9" t="str">
        <f aca="false">IF(AND(H80=0,J80=0),0,IF(H80=0,"New",(J80-H80)/H80))</f>
        <v>New</v>
      </c>
      <c r="M80" s="7" t="str">
        <f aca="false">IF(AND(OR(C80&lt;&gt;0,H80&lt;&gt;0),D80=0,I80=0),"DROP",IF(AND(OR(D80&lt;&gt;0,I80&lt;&gt;0),C80=0,H80=0),"NEW",""))</f>
        <v>NEW</v>
      </c>
    </row>
    <row r="81" customFormat="false" ht="15" hidden="false" customHeight="false" outlineLevel="0" collapsed="false">
      <c r="A81" s="7" t="s">
        <v>418</v>
      </c>
      <c r="B81" s="7" t="str">
        <f aca="false">IFERROR(INDEX('Source'!$C:$C,MATCH($A81,'Source'!$B:$B,0)),"")</f>
        <v>סט פלסטרים הידרוקולואידים 313</v>
      </c>
      <c r="C81" s="8" t="n">
        <f aca="false">SUMIFS('Source'!$D:$D,'Source'!$A:$A,"160251 AMAZON",'Source'!$B:$B,$A81)</f>
        <v>6</v>
      </c>
      <c r="D81" s="8" t="n">
        <f aca="false">SUMIFS('Source'!$F:$F,'Source'!$A:$A,"160251 AMAZON",'Source'!$B:$B,$A81)</f>
        <v>19</v>
      </c>
      <c r="E81" s="8" t="n">
        <f aca="false">D81*$J$5</f>
        <v>24</v>
      </c>
      <c r="F81" s="8" t="n">
        <f aca="false">E81-C81</f>
        <v>18</v>
      </c>
      <c r="G81" s="9" t="n">
        <f aca="false">IF(AND(C81=0,E81=0),0,IF(C81=0,"New",(E81-C81)/C81))</f>
        <v>3</v>
      </c>
      <c r="H81" s="8" t="n">
        <f aca="false">SUMIFS('Source'!$E:$E,'Source'!$A:$A,"160251 AMAZON",'Source'!$B:$B,$A81)</f>
        <v>339.07</v>
      </c>
      <c r="I81" s="8" t="n">
        <f aca="false">SUMIFS('Source'!$G:$G,'Source'!$A:$A,"160251 AMAZON",'Source'!$B:$B,$A81)</f>
        <v>573.82</v>
      </c>
      <c r="J81" s="8" t="n">
        <f aca="false">I81*$J$5</f>
        <v>724.825263157895</v>
      </c>
      <c r="K81" s="8" t="n">
        <f aca="false">J81-H81</f>
        <v>385.755263157895</v>
      </c>
      <c r="L81" s="9" t="n">
        <f aca="false">IF(AND(H81=0,J81=0),0,IF(H81=0,"New",(J81-H81)/H81))</f>
        <v>1.13768620980298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161</v>
      </c>
      <c r="B82" s="7" t="str">
        <f aca="false">IFERROR(INDEX('Source'!$C:$C,MATCH($A82,'Source'!$B:$B,0)),"")</f>
        <v>סד לתמיכה פרק כף יד ואגודל</v>
      </c>
      <c r="C82" s="8" t="n">
        <f aca="false">SUMIFS('Source'!$D:$D,'Source'!$A:$A,"160251 AMAZON",'Source'!$B:$B,$A82)</f>
        <v>2</v>
      </c>
      <c r="D82" s="8" t="n">
        <f aca="false">SUMIFS('Source'!$F:$F,'Source'!$A:$A,"160251 AMAZON",'Source'!$B:$B,$A82)</f>
        <v>0</v>
      </c>
      <c r="E82" s="8" t="n">
        <f aca="false">D82*$J$5</f>
        <v>0</v>
      </c>
      <c r="F82" s="8" t="n">
        <f aca="false">E82-C82</f>
        <v>-2</v>
      </c>
      <c r="G82" s="9" t="n">
        <f aca="false">IF(AND(C82=0,E82=0),0,IF(C82=0,"New",(E82-C82)/C82))</f>
        <v>-1</v>
      </c>
      <c r="H82" s="8" t="n">
        <f aca="false">SUMIFS('Source'!$E:$E,'Source'!$A:$A,"160251 AMAZON",'Source'!$B:$B,$A82)</f>
        <v>218.71</v>
      </c>
      <c r="I82" s="8" t="n">
        <f aca="false">SUMIFS('Source'!$G:$G,'Source'!$A:$A,"160251 AMAZON",'Source'!$B:$B,$A82)</f>
        <v>0</v>
      </c>
      <c r="J82" s="8" t="n">
        <f aca="false">I82*$J$5</f>
        <v>0</v>
      </c>
      <c r="K82" s="8" t="n">
        <f aca="false">J82-H82</f>
        <v>-218.71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104</v>
      </c>
      <c r="B83" s="7" t="str">
        <f aca="false">IFERROR(INDEX('Source'!$C:$C,MATCH($A83,'Source'!$B:$B,0)),"")</f>
        <v>גרבי נסיעות אנטיבקטריאלי</v>
      </c>
      <c r="C83" s="8" t="n">
        <f aca="false">SUMIFS('Source'!$D:$D,'Source'!$A:$A,"160251 AMAZON",'Source'!$B:$B,$A83)</f>
        <v>0</v>
      </c>
      <c r="D83" s="8" t="n">
        <f aca="false">SUMIFS('Source'!$F:$F,'Source'!$A:$A,"160251 AMAZON",'Source'!$B:$B,$A83)</f>
        <v>4</v>
      </c>
      <c r="E83" s="8" t="n">
        <f aca="false">D83*$J$5</f>
        <v>5.05263157894737</v>
      </c>
      <c r="F83" s="8" t="n">
        <f aca="false">E83-C83</f>
        <v>5.05263157894737</v>
      </c>
      <c r="G83" s="9" t="str">
        <f aca="false">IF(AND(C83=0,E83=0),0,IF(C83=0,"New",(E83-C83)/C83))</f>
        <v>New</v>
      </c>
      <c r="H83" s="8" t="n">
        <f aca="false">SUMIFS('Source'!$E:$E,'Source'!$A:$A,"160251 AMAZON",'Source'!$B:$B,$A83)</f>
        <v>0</v>
      </c>
      <c r="I83" s="8" t="n">
        <f aca="false">SUMIFS('Source'!$G:$G,'Source'!$A:$A,"160251 AMAZON",'Source'!$B:$B,$A83)</f>
        <v>205.87</v>
      </c>
      <c r="J83" s="8" t="n">
        <f aca="false">I83*$J$5</f>
        <v>260.046315789474</v>
      </c>
      <c r="K83" s="8" t="n">
        <f aca="false">J83-H83</f>
        <v>260.046315789474</v>
      </c>
      <c r="L83" s="9" t="str">
        <f aca="false">IF(AND(H83=0,J83=0),0,IF(H83=0,"New",(J83-H83)/H83))</f>
        <v>New</v>
      </c>
      <c r="M83" s="7" t="str">
        <f aca="false">IF(AND(OR(C83&lt;&gt;0,H83&lt;&gt;0),D83=0,I83=0),"DROP",IF(AND(OR(D83&lt;&gt;0,I83&lt;&gt;0),C83=0,H83=0),"NEW",""))</f>
        <v>NEW</v>
      </c>
    </row>
    <row r="84" customFormat="false" ht="15" hidden="false" customHeight="false" outlineLevel="0" collapsed="false">
      <c r="A84" s="7" t="s">
        <v>871</v>
      </c>
      <c r="B84" s="7" t="str">
        <f aca="false">IFERROR(INDEX('Source'!$C:$C,MATCH($A84,'Source'!$B:$B,0)),"")</f>
        <v>חגורת גב+סגירה כפולה</v>
      </c>
      <c r="C84" s="8" t="n">
        <f aca="false">SUMIFS('Source'!$D:$D,'Source'!$A:$A,"160251 AMAZON",'Source'!$B:$B,$A84)</f>
        <v>2</v>
      </c>
      <c r="D84" s="8" t="n">
        <f aca="false">SUMIFS('Source'!$F:$F,'Source'!$A:$A,"160251 AMAZON",'Source'!$B:$B,$A84)</f>
        <v>0</v>
      </c>
      <c r="E84" s="8" t="n">
        <f aca="false">D84*$J$5</f>
        <v>0</v>
      </c>
      <c r="F84" s="8" t="n">
        <f aca="false">E84-C84</f>
        <v>-2</v>
      </c>
      <c r="G84" s="9" t="n">
        <f aca="false">IF(AND(C84=0,E84=0),0,IF(C84=0,"New",(E84-C84)/C84))</f>
        <v>-1</v>
      </c>
      <c r="H84" s="8" t="n">
        <f aca="false">SUMIFS('Source'!$E:$E,'Source'!$A:$A,"160251 AMAZON",'Source'!$B:$B,$A84)</f>
        <v>174.75</v>
      </c>
      <c r="I84" s="8" t="n">
        <f aca="false">SUMIFS('Source'!$G:$G,'Source'!$A:$A,"160251 AMAZON",'Source'!$B:$B,$A84)</f>
        <v>0</v>
      </c>
      <c r="J84" s="8" t="n">
        <f aca="false">I84*$J$5</f>
        <v>0</v>
      </c>
      <c r="K84" s="8" t="n">
        <f aca="false">J84-H84</f>
        <v>-174.75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798</v>
      </c>
      <c r="B85" s="7" t="str">
        <f aca="false">IFERROR(INDEX('Source'!$C:$C,MATCH($A85,'Source'!$B:$B,0)),"")</f>
        <v>מדבקה ג'ל למניעת יבלות</v>
      </c>
      <c r="C85" s="8" t="n">
        <f aca="false">SUMIFS('Source'!$D:$D,'Source'!$A:$A,"160251 AMAZON",'Source'!$B:$B,$A85)</f>
        <v>1</v>
      </c>
      <c r="D85" s="8" t="n">
        <f aca="false">SUMIFS('Source'!$F:$F,'Source'!$A:$A,"160251 AMAZON",'Source'!$B:$B,$A85)</f>
        <v>8</v>
      </c>
      <c r="E85" s="8" t="n">
        <f aca="false">D85*$J$5</f>
        <v>10.1052631578947</v>
      </c>
      <c r="F85" s="8" t="n">
        <f aca="false">E85-C85</f>
        <v>9.10526315789474</v>
      </c>
      <c r="G85" s="9" t="n">
        <f aca="false">IF(AND(C85=0,E85=0),0,IF(C85=0,"New",(E85-C85)/C85))</f>
        <v>9.10526315789474</v>
      </c>
      <c r="H85" s="8" t="n">
        <f aca="false">SUMIFS('Source'!$E:$E,'Source'!$A:$A,"160251 AMAZON",'Source'!$B:$B,$A85)</f>
        <v>32.6</v>
      </c>
      <c r="I85" s="8" t="n">
        <f aca="false">SUMIFS('Source'!$G:$G,'Source'!$A:$A,"160251 AMAZON",'Source'!$B:$B,$A85)</f>
        <v>190.53</v>
      </c>
      <c r="J85" s="8" t="n">
        <f aca="false">I85*$J$5</f>
        <v>240.669473684211</v>
      </c>
      <c r="K85" s="8" t="n">
        <f aca="false">J85-H85</f>
        <v>208.069473684211</v>
      </c>
      <c r="L85" s="9" t="n">
        <f aca="false">IF(AND(H85=0,J85=0),0,IF(H85=0,"New",(J85-H85)/H85))</f>
        <v>6.38249919276719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872</v>
      </c>
      <c r="B86" s="7" t="str">
        <f aca="false">IFERROR(INDEX('Source'!$C:$C,MATCH($A86,'Source'!$B:$B,0)),"")</f>
        <v>מיישר בוניון-HALUX VALGUS</v>
      </c>
      <c r="C86" s="8" t="n">
        <f aca="false">SUMIFS('Source'!$D:$D,'Source'!$A:$A,"160251 AMAZON",'Source'!$B:$B,$A86)</f>
        <v>0</v>
      </c>
      <c r="D86" s="8" t="n">
        <f aca="false">SUMIFS('Source'!$F:$F,'Source'!$A:$A,"160251 AMAZON",'Source'!$B:$B,$A86)</f>
        <v>1</v>
      </c>
      <c r="E86" s="8" t="n">
        <f aca="false">D86*$J$5</f>
        <v>1.26315789473684</v>
      </c>
      <c r="F86" s="8" t="n">
        <f aca="false">E86-C86</f>
        <v>1.26315789473684</v>
      </c>
      <c r="G86" s="9" t="str">
        <f aca="false">IF(AND(C86=0,E86=0),0,IF(C86=0,"New",(E86-C86)/C86))</f>
        <v>New</v>
      </c>
      <c r="H86" s="8" t="n">
        <f aca="false">SUMIFS('Source'!$E:$E,'Source'!$A:$A,"160251 AMAZON",'Source'!$B:$B,$A86)</f>
        <v>0</v>
      </c>
      <c r="I86" s="8" t="n">
        <f aca="false">SUMIFS('Source'!$G:$G,'Source'!$A:$A,"160251 AMAZON",'Source'!$B:$B,$A86)</f>
        <v>59.47</v>
      </c>
      <c r="J86" s="8" t="n">
        <f aca="false">I86*$J$5</f>
        <v>75.12</v>
      </c>
      <c r="K86" s="8" t="n">
        <f aca="false">J86-H86</f>
        <v>75.12</v>
      </c>
      <c r="L86" s="9" t="str">
        <f aca="false">IF(AND(H86=0,J86=0),0,IF(H86=0,"New",(J86-H86)/H86))</f>
        <v>New</v>
      </c>
      <c r="M86" s="7" t="str">
        <f aca="false">IF(AND(OR(C86&lt;&gt;0,H86&lt;&gt;0),D86=0,I86=0),"DROP",IF(AND(OR(D86&lt;&gt;0,I86&lt;&gt;0),C86=0,H86=0),"NEW",""))</f>
        <v>NEW</v>
      </c>
    </row>
    <row r="87" customFormat="false" ht="15" hidden="false" customHeight="false" outlineLevel="0" collapsed="false">
      <c r="A87" s="7" t="s">
        <v>873</v>
      </c>
      <c r="B87" s="7" t="str">
        <f aca="false">IFERROR(INDEX('Source'!$C:$C,MATCH($A87,'Source'!$B:$B,0)),"")</f>
        <v>קרם לרגלים X 3</v>
      </c>
      <c r="C87" s="8" t="n">
        <f aca="false">SUMIFS('Source'!$D:$D,'Source'!$A:$A,"160251 AMAZON",'Source'!$B:$B,$A87)</f>
        <v>1</v>
      </c>
      <c r="D87" s="8" t="n">
        <f aca="false">SUMIFS('Source'!$F:$F,'Source'!$A:$A,"160251 AMAZON",'Source'!$B:$B,$A87)</f>
        <v>0</v>
      </c>
      <c r="E87" s="8" t="n">
        <f aca="false">D87*$J$5</f>
        <v>0</v>
      </c>
      <c r="F87" s="8" t="n">
        <f aca="false">E87-C87</f>
        <v>-1</v>
      </c>
      <c r="G87" s="9" t="n">
        <f aca="false">IF(AND(C87=0,E87=0),0,IF(C87=0,"New",(E87-C87)/C87))</f>
        <v>-1</v>
      </c>
      <c r="H87" s="8" t="n">
        <f aca="false">SUMIFS('Source'!$E:$E,'Source'!$A:$A,"160251 AMAZON",'Source'!$B:$B,$A87)</f>
        <v>46.39</v>
      </c>
      <c r="I87" s="8" t="n">
        <f aca="false">SUMIFS('Source'!$G:$G,'Source'!$A:$A,"160251 AMAZON",'Source'!$B:$B,$A87)</f>
        <v>0</v>
      </c>
      <c r="J87" s="8" t="n">
        <f aca="false">I87*$J$5</f>
        <v>0</v>
      </c>
      <c r="K87" s="8" t="n">
        <f aca="false">J87-H87</f>
        <v>-46.39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9" customFormat="false" ht="15" hidden="false" customHeight="false" outlineLevel="0" collapsed="false">
      <c r="A89" s="17"/>
      <c r="B89" s="18" t="s">
        <v>97</v>
      </c>
      <c r="C89" s="19" t="n">
        <f aca="false">SUM(C9:C87)</f>
        <v>27158</v>
      </c>
      <c r="D89" s="19" t="n">
        <f aca="false">SUM(D9:D87)</f>
        <v>18808</v>
      </c>
      <c r="E89" s="19" t="n">
        <f aca="false">SUM(E9:E87)</f>
        <v>23757.4736842105</v>
      </c>
      <c r="F89" s="19" t="n">
        <f aca="false">SUM(F9:F87)</f>
        <v>-3400.52631578947</v>
      </c>
      <c r="G89" s="20" t="n">
        <f aca="false">IF(C89=0,"N/A",F89/C89)</f>
        <v>-0.125212692974058</v>
      </c>
      <c r="H89" s="19" t="n">
        <f aca="false">SUM(H9:H87)</f>
        <v>2705391.22</v>
      </c>
      <c r="I89" s="19" t="n">
        <f aca="false">SUM(I9:I87)</f>
        <v>1632890.82</v>
      </c>
      <c r="J89" s="19" t="n">
        <f aca="false">SUM(J9:J87)</f>
        <v>2062598.93052632</v>
      </c>
      <c r="K89" s="19" t="n">
        <f aca="false">SUM(K9:K87)</f>
        <v>-642792.289473684</v>
      </c>
      <c r="L89" s="20" t="n">
        <f aca="false">IF(H89=0,"N/A",K89/H89)</f>
        <v>-0.237596797358455</v>
      </c>
      <c r="M89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874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875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SUMPRODUCT(--(((C9:C29&lt;&gt;0)+(H9:H29&lt;&gt;0)&gt;0)*((D9:D29=0)*(I9:I29=0))))</f>
        <v>1</v>
      </c>
      <c r="C5" s="13" t="s">
        <v>47</v>
      </c>
      <c r="D5" s="14" t="n">
        <f aca="false">SUMPRODUCT(--(((D9:D29&lt;&gt;0)+(I9:I29&lt;&gt;0)&gt;0)*((C9:C29=0)*(H9:H29=0))))</f>
        <v>0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SUMPRODUCT(--(((C9:C29&lt;&gt;0)+(H9:H29&lt;&gt;0)&gt;0)*((D9:D29=0)*(I9:I29=0)))*C9:C29)</f>
        <v>0</v>
      </c>
      <c r="C6" s="13" t="s">
        <v>50</v>
      </c>
      <c r="D6" s="14" t="n">
        <f aca="false">SUMPRODUCT(--(((C9:C29&lt;&gt;0)+(H9:H29&lt;&gt;0)&gt;0)*((D9:D29=0)*(I9:I29=0)))*H9:H29)</f>
        <v>7427.59</v>
      </c>
      <c r="E6" s="13" t="s">
        <v>51</v>
      </c>
      <c r="F6" s="14" t="n">
        <f aca="false">SUMPRODUCT(--(((D9:D29&lt;&gt;0)+(I9:I29&lt;&gt;0)&gt;0)*((C9:C29=0)*(H9:H29=0)))*D9:D29)</f>
        <v>0</v>
      </c>
      <c r="G6" s="13" t="s">
        <v>52</v>
      </c>
      <c r="H6" s="14" t="n">
        <f aca="false">SUMPRODUCT(--(((D9:D29&lt;&gt;0)+(I9:I29&lt;&gt;0)&gt;0)*((C9:C29=0)*(H9:H29=0)))*I9:I29)</f>
        <v>0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876</v>
      </c>
      <c r="B9" s="7" t="str">
        <f aca="false">IFERROR(INDEX('Source'!$C:$C,MATCH($A9,'Source'!$B:$B,0)),"")</f>
        <v>שרוול מסיליקון ל</v>
      </c>
      <c r="C9" s="8" t="n">
        <f aca="false">SUMIFS('Source'!$D:$D,'Source'!$A:$A,"150390 סופר פארם ישראל",'Source'!$B:$B,$A9)</f>
        <v>17820</v>
      </c>
      <c r="D9" s="8" t="n">
        <f aca="false">SUMIFS('Source'!$F:$F,'Source'!$A:$A,"150390 סופר פארם ישראל",'Source'!$B:$B,$A9)</f>
        <v>3000</v>
      </c>
      <c r="E9" s="8" t="n">
        <f aca="false">D9*$J$5</f>
        <v>3789.47368421053</v>
      </c>
      <c r="F9" s="8" t="n">
        <f aca="false">E9-C9</f>
        <v>-14030.5263157895</v>
      </c>
      <c r="G9" s="9" t="n">
        <f aca="false">IF(AND(C9=0,E9=0),0,IF(C9=0,"New",(E9-C9)/C9))</f>
        <v>-0.787347155768208</v>
      </c>
      <c r="H9" s="8" t="n">
        <f aca="false">SUMIFS('Source'!$E:$E,'Source'!$A:$A,"150390 סופר פארם ישראל",'Source'!$B:$B,$A9)</f>
        <v>219007.8</v>
      </c>
      <c r="I9" s="8" t="n">
        <f aca="false">SUMIFS('Source'!$G:$G,'Source'!$A:$A,"150390 סופר פארם ישראל",'Source'!$B:$B,$A9)</f>
        <v>36870</v>
      </c>
      <c r="J9" s="8" t="n">
        <f aca="false">I9*$J$5</f>
        <v>46572.6315789474</v>
      </c>
      <c r="K9" s="8" t="n">
        <f aca="false">J9-H9</f>
        <v>-172435.168421053</v>
      </c>
      <c r="L9" s="9" t="n">
        <f aca="false">IF(AND(H9=0,J9=0),0,IF(H9=0,"New",(J9-H9)/H9))</f>
        <v>-0.787347155768209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877</v>
      </c>
      <c r="B10" s="7" t="str">
        <f aca="false">IFERROR(INDEX('Source'!$C:$C,MATCH($A10,'Source'!$B:$B,0)),"")</f>
        <v>רפידת נוחות</v>
      </c>
      <c r="C10" s="8" t="n">
        <f aca="false">SUMIFS('Source'!$D:$D,'Source'!$A:$A,"150390 סופר פארם ישראל",'Source'!$B:$B,$A10)</f>
        <v>14000</v>
      </c>
      <c r="D10" s="8" t="n">
        <f aca="false">SUMIFS('Source'!$F:$F,'Source'!$A:$A,"150390 סופר פארם ישראל",'Source'!$B:$B,$A10)</f>
        <v>6000</v>
      </c>
      <c r="E10" s="8" t="n">
        <f aca="false">D10*$J$5</f>
        <v>7578.94736842105</v>
      </c>
      <c r="F10" s="8" t="n">
        <f aca="false">E10-C10</f>
        <v>-6421.05263157895</v>
      </c>
      <c r="G10" s="9" t="n">
        <f aca="false">IF(AND(C10=0,E10=0),0,IF(C10=0,"New",(E10-C10)/C10))</f>
        <v>-0.458646616541353</v>
      </c>
      <c r="H10" s="8" t="n">
        <f aca="false">SUMIFS('Source'!$E:$E,'Source'!$A:$A,"150390 סופר פארם ישראל",'Source'!$B:$B,$A10)</f>
        <v>105840</v>
      </c>
      <c r="I10" s="8" t="n">
        <f aca="false">SUMIFS('Source'!$G:$G,'Source'!$A:$A,"150390 סופר פארם ישראל",'Source'!$B:$B,$A10)</f>
        <v>45360</v>
      </c>
      <c r="J10" s="8" t="n">
        <f aca="false">I10*$J$5</f>
        <v>57296.8421052632</v>
      </c>
      <c r="K10" s="8" t="n">
        <f aca="false">J10-H10</f>
        <v>-48543.1578947369</v>
      </c>
      <c r="L10" s="9" t="n">
        <f aca="false">IF(AND(H10=0,J10=0),0,IF(H10=0,"New",(J10-H10)/H10))</f>
        <v>-0.458646616541353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878</v>
      </c>
      <c r="B11" s="7" t="str">
        <f aca="false">IFERROR(INDEX('Source'!$C:$C,MATCH($A11,'Source'!$B:$B,0)),"")</f>
        <v>רפידת אנטי-ריח</v>
      </c>
      <c r="C11" s="8" t="n">
        <f aca="false">SUMIFS('Source'!$D:$D,'Source'!$A:$A,"150390 סופר פארם ישראל",'Source'!$B:$B,$A11)</f>
        <v>9600</v>
      </c>
      <c r="D11" s="8" t="n">
        <f aca="false">SUMIFS('Source'!$F:$F,'Source'!$A:$A,"150390 סופר פארם ישראל",'Source'!$B:$B,$A11)</f>
        <v>4800</v>
      </c>
      <c r="E11" s="8" t="n">
        <f aca="false">D11*$J$5</f>
        <v>6063.15789473684</v>
      </c>
      <c r="F11" s="8" t="n">
        <f aca="false">E11-C11</f>
        <v>-3536.84210526316</v>
      </c>
      <c r="G11" s="9" t="n">
        <f aca="false">IF(AND(C11=0,E11=0),0,IF(C11=0,"New",(E11-C11)/C11))</f>
        <v>-0.368421052631579</v>
      </c>
      <c r="H11" s="8" t="n">
        <f aca="false">SUMIFS('Source'!$E:$E,'Source'!$A:$A,"150390 סופר פארם ישראל",'Source'!$B:$B,$A11)</f>
        <v>93888</v>
      </c>
      <c r="I11" s="8" t="n">
        <f aca="false">SUMIFS('Source'!$G:$G,'Source'!$A:$A,"150390 סופר פארם ישראל",'Source'!$B:$B,$A11)</f>
        <v>46944</v>
      </c>
      <c r="J11" s="8" t="n">
        <f aca="false">I11*$J$5</f>
        <v>59297.6842105263</v>
      </c>
      <c r="K11" s="8" t="n">
        <f aca="false">J11-H11</f>
        <v>-34590.3157894737</v>
      </c>
      <c r="L11" s="9" t="n">
        <f aca="false">IF(AND(H11=0,J11=0),0,IF(H11=0,"New",(J11-H11)/H11))</f>
        <v>-0.368421052631579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879</v>
      </c>
      <c r="B12" s="7" t="str">
        <f aca="false">IFERROR(INDEX('Source'!$C:$C,MATCH($A12,'Source'!$B:$B,0)),"")</f>
        <v>מיישר בוהן</v>
      </c>
      <c r="C12" s="8" t="n">
        <f aca="false">SUMIFS('Source'!$D:$D,'Source'!$A:$A,"150390 סופר פארם ישראל",'Source'!$B:$B,$A12)</f>
        <v>3780</v>
      </c>
      <c r="D12" s="8" t="n">
        <f aca="false">SUMIFS('Source'!$F:$F,'Source'!$A:$A,"150390 סופר פארם ישראל",'Source'!$B:$B,$A12)</f>
        <v>1010</v>
      </c>
      <c r="E12" s="8" t="n">
        <f aca="false">D12*$J$5</f>
        <v>1275.78947368421</v>
      </c>
      <c r="F12" s="8" t="n">
        <f aca="false">E12-C12</f>
        <v>-2504.21052631579</v>
      </c>
      <c r="G12" s="9" t="n">
        <f aca="false">IF(AND(C12=0,E12=0),0,IF(C12=0,"New",(E12-C12)/C12))</f>
        <v>-0.662489557226399</v>
      </c>
      <c r="H12" s="8" t="n">
        <f aca="false">SUMIFS('Source'!$E:$E,'Source'!$A:$A,"150390 סופר פארם ישראל",'Source'!$B:$B,$A12)</f>
        <v>53751.6</v>
      </c>
      <c r="I12" s="8" t="n">
        <f aca="false">SUMIFS('Source'!$G:$G,'Source'!$A:$A,"150390 סופר פארם ישראל",'Source'!$B:$B,$A12)</f>
        <v>14362.2</v>
      </c>
      <c r="J12" s="8" t="n">
        <f aca="false">I12*$J$5</f>
        <v>18141.7263157895</v>
      </c>
      <c r="K12" s="8" t="n">
        <f aca="false">J12-H12</f>
        <v>-35609.8736842105</v>
      </c>
      <c r="L12" s="9" t="n">
        <f aca="false">IF(AND(H12=0,J12=0),0,IF(H12=0,"New",(J12-H12)/H12))</f>
        <v>-0.662489557226399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880</v>
      </c>
      <c r="B13" s="7" t="str">
        <f aca="false">IFERROR(INDEX('Source'!$C:$C,MATCH($A13,'Source'!$B:$B,0)),"")</f>
        <v>קוצץ ציפורניים</v>
      </c>
      <c r="C13" s="8" t="n">
        <f aca="false">SUMIFS('Source'!$D:$D,'Source'!$A:$A,"150390 סופר פארם ישראל",'Source'!$B:$B,$A13)</f>
        <v>5400</v>
      </c>
      <c r="D13" s="8" t="n">
        <f aca="false">SUMIFS('Source'!$F:$F,'Source'!$A:$A,"150390 סופר פארם ישראל",'Source'!$B:$B,$A13)</f>
        <v>1800</v>
      </c>
      <c r="E13" s="8" t="n">
        <f aca="false">D13*$J$5</f>
        <v>2273.68421052632</v>
      </c>
      <c r="F13" s="8" t="n">
        <f aca="false">E13-C13</f>
        <v>-3126.31578947368</v>
      </c>
      <c r="G13" s="9" t="n">
        <f aca="false">IF(AND(C13=0,E13=0),0,IF(C13=0,"New",(E13-C13)/C13))</f>
        <v>-0.578947368421053</v>
      </c>
      <c r="H13" s="8" t="n">
        <f aca="false">SUMIFS('Source'!$E:$E,'Source'!$A:$A,"150390 סופר פארם ישראל",'Source'!$B:$B,$A13)</f>
        <v>47844</v>
      </c>
      <c r="I13" s="8" t="n">
        <f aca="false">SUMIFS('Source'!$G:$G,'Source'!$A:$A,"150390 סופר פארם ישראל",'Source'!$B:$B,$A13)</f>
        <v>15948</v>
      </c>
      <c r="J13" s="8" t="n">
        <f aca="false">I13*$J$5</f>
        <v>20144.8421052632</v>
      </c>
      <c r="K13" s="8" t="n">
        <f aca="false">J13-H13</f>
        <v>-27699.1578947368</v>
      </c>
      <c r="L13" s="9" t="n">
        <f aca="false">IF(AND(H13=0,J13=0),0,IF(H13=0,"New",(J13-H13)/H13))</f>
        <v>-0.578947368421053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881</v>
      </c>
      <c r="B14" s="7" t="str">
        <f aca="false">IFERROR(INDEX('Source'!$C:$C,MATCH($A14,'Source'!$B:$B,0)),"")</f>
        <v>פומפיה להסרת עור</v>
      </c>
      <c r="C14" s="8" t="n">
        <f aca="false">SUMIFS('Source'!$D:$D,'Source'!$A:$A,"150390 סופר פארם ישראל",'Source'!$B:$B,$A14)</f>
        <v>4152</v>
      </c>
      <c r="D14" s="8" t="n">
        <f aca="false">SUMIFS('Source'!$F:$F,'Source'!$A:$A,"150390 סופר פארם ישראל",'Source'!$B:$B,$A14)</f>
        <v>2400</v>
      </c>
      <c r="E14" s="8" t="n">
        <f aca="false">D14*$J$5</f>
        <v>3031.57894736842</v>
      </c>
      <c r="F14" s="8" t="n">
        <f aca="false">E14-C14</f>
        <v>-1120.42105263158</v>
      </c>
      <c r="G14" s="9" t="n">
        <f aca="false">IF(AND(C14=0,E14=0),0,IF(C14=0,"New",(E14-C14)/C14))</f>
        <v>-0.269850927897779</v>
      </c>
      <c r="H14" s="8" t="n">
        <f aca="false">SUMIFS('Source'!$E:$E,'Source'!$A:$A,"150390 סופר פארם ישראל",'Source'!$B:$B,$A14)</f>
        <v>73822.56</v>
      </c>
      <c r="I14" s="8" t="n">
        <f aca="false">SUMIFS('Source'!$G:$G,'Source'!$A:$A,"150390 סופר פארם ישראל",'Source'!$B:$B,$A14)</f>
        <v>42672</v>
      </c>
      <c r="J14" s="8" t="n">
        <f aca="false">I14*$J$5</f>
        <v>53901.4736842105</v>
      </c>
      <c r="K14" s="8" t="n">
        <f aca="false">J14-H14</f>
        <v>-19921.0863157895</v>
      </c>
      <c r="L14" s="9" t="n">
        <f aca="false">IF(AND(H14=0,J14=0),0,IF(H14=0,"New",(J14-H14)/H14))</f>
        <v>-0.269850927897779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882</v>
      </c>
      <c r="B15" s="7" t="str">
        <f aca="false">IFERROR(INDEX('Source'!$C:$C,MATCH($A15,'Source'!$B:$B,0)),"")</f>
        <v>רפידה בולמת זעזועים</v>
      </c>
      <c r="C15" s="8" t="n">
        <f aca="false">SUMIFS('Source'!$D:$D,'Source'!$A:$A,"150390 סופר פארם ישראל",'Source'!$B:$B,$A15)</f>
        <v>9000</v>
      </c>
      <c r="D15" s="8" t="n">
        <f aca="false">SUMIFS('Source'!$F:$F,'Source'!$A:$A,"150390 סופר פארם ישראל",'Source'!$B:$B,$A15)</f>
        <v>6000</v>
      </c>
      <c r="E15" s="8" t="n">
        <f aca="false">D15*$J$5</f>
        <v>7578.94736842105</v>
      </c>
      <c r="F15" s="8" t="n">
        <f aca="false">E15-C15</f>
        <v>-1421.05263157895</v>
      </c>
      <c r="G15" s="9" t="n">
        <f aca="false">IF(AND(C15=0,E15=0),0,IF(C15=0,"New",(E15-C15)/C15))</f>
        <v>-0.157894736842105</v>
      </c>
      <c r="H15" s="8" t="n">
        <f aca="false">SUMIFS('Source'!$E:$E,'Source'!$A:$A,"150390 סופר פארם ישראל",'Source'!$B:$B,$A15)</f>
        <v>88020</v>
      </c>
      <c r="I15" s="8" t="n">
        <f aca="false">SUMIFS('Source'!$G:$G,'Source'!$A:$A,"150390 סופר פארם ישראל",'Source'!$B:$B,$A15)</f>
        <v>58680</v>
      </c>
      <c r="J15" s="8" t="n">
        <f aca="false">I15*$J$5</f>
        <v>74122.1052631579</v>
      </c>
      <c r="K15" s="8" t="n">
        <f aca="false">J15-H15</f>
        <v>-13897.8947368421</v>
      </c>
      <c r="L15" s="9" t="n">
        <f aca="false">IF(AND(H15=0,J15=0),0,IF(H15=0,"New",(J15-H15)/H15))</f>
        <v>-0.157894736842105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883</v>
      </c>
      <c r="B16" s="7" t="str">
        <f aca="false">IFERROR(INDEX('Source'!$C:$C,MATCH($A16,'Source'!$B:$B,0)),"")</f>
        <v>כ.הפרדת אצבעות ס</v>
      </c>
      <c r="C16" s="8" t="n">
        <f aca="false">SUMIFS('Source'!$D:$D,'Source'!$A:$A,"150390 סופר פארם ישראל",'Source'!$B:$B,$A16)</f>
        <v>8100</v>
      </c>
      <c r="D16" s="8" t="n">
        <f aca="false">SUMIFS('Source'!$F:$F,'Source'!$A:$A,"150390 סופר פארם ישראל",'Source'!$B:$B,$A16)</f>
        <v>5400</v>
      </c>
      <c r="E16" s="8" t="n">
        <f aca="false">D16*$J$5</f>
        <v>6821.05263157895</v>
      </c>
      <c r="F16" s="8" t="n">
        <f aca="false">E16-C16</f>
        <v>-1278.94736842105</v>
      </c>
      <c r="G16" s="9" t="n">
        <f aca="false">IF(AND(C16=0,E16=0),0,IF(C16=0,"New",(E16-C16)/C16))</f>
        <v>-0.157894736842105</v>
      </c>
      <c r="H16" s="8" t="n">
        <f aca="false">SUMIFS('Source'!$E:$E,'Source'!$A:$A,"150390 סופר פארם ישראל",'Source'!$B:$B,$A16)</f>
        <v>81891</v>
      </c>
      <c r="I16" s="8" t="n">
        <f aca="false">SUMIFS('Source'!$G:$G,'Source'!$A:$A,"150390 סופר פארם ישראל",'Source'!$B:$B,$A16)</f>
        <v>54594</v>
      </c>
      <c r="J16" s="8" t="n">
        <f aca="false">I16*$J$5</f>
        <v>68960.8421052632</v>
      </c>
      <c r="K16" s="8" t="n">
        <f aca="false">J16-H16</f>
        <v>-12930.1578947368</v>
      </c>
      <c r="L16" s="9" t="n">
        <f aca="false">IF(AND(H16=0,J16=0),0,IF(H16=0,"New",(J16-H16)/H16))</f>
        <v>-0.157894736842105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884</v>
      </c>
      <c r="B17" s="7" t="str">
        <f aca="false">IFERROR(INDEX('Source'!$C:$C,MATCH($A17,'Source'!$B:$B,0)),"")</f>
        <v>כרית להפרדת אצבע</v>
      </c>
      <c r="C17" s="8" t="n">
        <f aca="false">SUMIFS('Source'!$D:$D,'Source'!$A:$A,"150390 סופר פארם ישראל",'Source'!$B:$B,$A17)</f>
        <v>4050</v>
      </c>
      <c r="D17" s="8" t="n">
        <f aca="false">SUMIFS('Source'!$F:$F,'Source'!$A:$A,"150390 סופר פארם ישראל",'Source'!$B:$B,$A17)</f>
        <v>1350</v>
      </c>
      <c r="E17" s="8" t="n">
        <f aca="false">D17*$J$5</f>
        <v>1705.26315789474</v>
      </c>
      <c r="F17" s="8" t="n">
        <f aca="false">E17-C17</f>
        <v>-2344.73684210526</v>
      </c>
      <c r="G17" s="9" t="n">
        <f aca="false">IF(AND(C17=0,E17=0),0,IF(C17=0,"New",(E17-C17)/C17))</f>
        <v>-0.578947368421053</v>
      </c>
      <c r="H17" s="8" t="n">
        <f aca="false">SUMIFS('Source'!$E:$E,'Source'!$A:$A,"150390 סופר פארם ישראל",'Source'!$B:$B,$A17)</f>
        <v>40945.5</v>
      </c>
      <c r="I17" s="8" t="n">
        <f aca="false">SUMIFS('Source'!$G:$G,'Source'!$A:$A,"150390 סופר פארם ישראל",'Source'!$B:$B,$A17)</f>
        <v>13648.5</v>
      </c>
      <c r="J17" s="8" t="n">
        <f aca="false">I17*$J$5</f>
        <v>17240.2105263158</v>
      </c>
      <c r="K17" s="8" t="n">
        <f aca="false">J17-H17</f>
        <v>-23705.2894736842</v>
      </c>
      <c r="L17" s="9" t="n">
        <f aca="false">IF(AND(H17=0,J17=0),0,IF(H17=0,"New",(J17-H17)/H17))</f>
        <v>-0.578947368421053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885</v>
      </c>
      <c r="B18" s="7" t="str">
        <f aca="false">IFERROR(INDEX('Source'!$C:$C,MATCH($A18,'Source'!$B:$B,0)),"")</f>
        <v>טבעת אלסטית מסי</v>
      </c>
      <c r="C18" s="8" t="n">
        <f aca="false">SUMIFS('Source'!$D:$D,'Source'!$A:$A,"150390 סופר פארם ישראל",'Source'!$B:$B,$A18)</f>
        <v>4860</v>
      </c>
      <c r="D18" s="8" t="n">
        <f aca="false">SUMIFS('Source'!$F:$F,'Source'!$A:$A,"150390 סופר פארם ישראל",'Source'!$B:$B,$A18)</f>
        <v>2160</v>
      </c>
      <c r="E18" s="8" t="n">
        <f aca="false">D18*$J$5</f>
        <v>2728.42105263158</v>
      </c>
      <c r="F18" s="8" t="n">
        <f aca="false">E18-C18</f>
        <v>-2131.57894736842</v>
      </c>
      <c r="G18" s="9" t="n">
        <f aca="false">IF(AND(C18=0,E18=0),0,IF(C18=0,"New",(E18-C18)/C18))</f>
        <v>-0.43859649122807</v>
      </c>
      <c r="H18" s="8" t="n">
        <f aca="false">SUMIFS('Source'!$E:$E,'Source'!$A:$A,"150390 סופר פארם ישראל",'Source'!$B:$B,$A18)</f>
        <v>47239.2</v>
      </c>
      <c r="I18" s="8" t="n">
        <f aca="false">SUMIFS('Source'!$G:$G,'Source'!$A:$A,"150390 סופר פארם ישראל",'Source'!$B:$B,$A18)</f>
        <v>20995.2</v>
      </c>
      <c r="J18" s="8" t="n">
        <f aca="false">I18*$J$5</f>
        <v>26520.2526315789</v>
      </c>
      <c r="K18" s="8" t="n">
        <f aca="false">J18-H18</f>
        <v>-20718.9473684211</v>
      </c>
      <c r="L18" s="9" t="n">
        <f aca="false">IF(AND(H18=0,J18=0),0,IF(H18=0,"New",(J18-H18)/H18))</f>
        <v>-0.43859649122807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886</v>
      </c>
      <c r="B19" s="7" t="str">
        <f aca="false">IFERROR(INDEX('Source'!$C:$C,MATCH($A19,'Source'!$B:$B,0)),"")</f>
        <v>מדבקה רב פעמית ל</v>
      </c>
      <c r="C19" s="8" t="n">
        <f aca="false">SUMIFS('Source'!$D:$D,'Source'!$A:$A,"150390 סופר פארם ישראל",'Source'!$B:$B,$A19)</f>
        <v>4860</v>
      </c>
      <c r="D19" s="8" t="n">
        <f aca="false">SUMIFS('Source'!$F:$F,'Source'!$A:$A,"150390 סופר פארם ישראל",'Source'!$B:$B,$A19)</f>
        <v>2430</v>
      </c>
      <c r="E19" s="8" t="n">
        <f aca="false">D19*$J$5</f>
        <v>3069.47368421053</v>
      </c>
      <c r="F19" s="8" t="n">
        <f aca="false">E19-C19</f>
        <v>-1790.52631578947</v>
      </c>
      <c r="G19" s="9" t="n">
        <f aca="false">IF(AND(C19=0,E19=0),0,IF(C19=0,"New",(E19-C19)/C19))</f>
        <v>-0.368421052631579</v>
      </c>
      <c r="H19" s="8" t="n">
        <f aca="false">SUMIFS('Source'!$E:$E,'Source'!$A:$A,"150390 סופר פארם ישראל",'Source'!$B:$B,$A19)</f>
        <v>47239.2</v>
      </c>
      <c r="I19" s="8" t="n">
        <f aca="false">SUMIFS('Source'!$G:$G,'Source'!$A:$A,"150390 סופר פארם ישראל",'Source'!$B:$B,$A19)</f>
        <v>23619.6</v>
      </c>
      <c r="J19" s="8" t="n">
        <f aca="false">I19*$J$5</f>
        <v>29835.2842105263</v>
      </c>
      <c r="K19" s="8" t="n">
        <f aca="false">J19-H19</f>
        <v>-17403.9157894737</v>
      </c>
      <c r="L19" s="9" t="n">
        <f aca="false">IF(AND(H19=0,J19=0),0,IF(H19=0,"New",(J19-H19)/H19))</f>
        <v>-0.368421052631579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887</v>
      </c>
      <c r="B20" s="7" t="str">
        <f aca="false">IFERROR(INDEX('Source'!$C:$C,MATCH($A20,'Source'!$B:$B,0)),"")</f>
        <v>ריפוד סיליקון לעקב אחורי</v>
      </c>
      <c r="C20" s="8" t="n">
        <f aca="false">SUMIFS('Source'!$D:$D,'Source'!$A:$A,"150390 סופר פארם ישראל",'Source'!$B:$B,$A20)</f>
        <v>3200</v>
      </c>
      <c r="D20" s="8" t="n">
        <f aca="false">SUMIFS('Source'!$F:$F,'Source'!$A:$A,"150390 סופר פארם ישראל",'Source'!$B:$B,$A20)</f>
        <v>1600</v>
      </c>
      <c r="E20" s="8" t="n">
        <f aca="false">D20*$J$5</f>
        <v>2021.05263157895</v>
      </c>
      <c r="F20" s="8" t="n">
        <f aca="false">E20-C20</f>
        <v>-1178.94736842105</v>
      </c>
      <c r="G20" s="9" t="n">
        <f aca="false">IF(AND(C20=0,E20=0),0,IF(C20=0,"New",(E20-C20)/C20))</f>
        <v>-0.368421052631579</v>
      </c>
      <c r="H20" s="8" t="n">
        <f aca="false">SUMIFS('Source'!$E:$E,'Source'!$A:$A,"150390 סופר פארם ישראל",'Source'!$B:$B,$A20)</f>
        <v>45856</v>
      </c>
      <c r="I20" s="8" t="n">
        <f aca="false">SUMIFS('Source'!$G:$G,'Source'!$A:$A,"150390 סופר פארם ישראל",'Source'!$B:$B,$A20)</f>
        <v>22928</v>
      </c>
      <c r="J20" s="8" t="n">
        <f aca="false">I20*$J$5</f>
        <v>28961.6842105263</v>
      </c>
      <c r="K20" s="8" t="n">
        <f aca="false">J20-H20</f>
        <v>-16894.3157894737</v>
      </c>
      <c r="L20" s="9" t="n">
        <f aca="false">IF(AND(H20=0,J20=0),0,IF(H20=0,"New",(J20-H20)/H20))</f>
        <v>-0.368421052631579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888</v>
      </c>
      <c r="B21" s="7" t="str">
        <f aca="false">IFERROR(INDEX('Source'!$C:$C,MATCH($A21,'Source'!$B:$B,0)),"")</f>
        <v>אבן שיוף להסירת</v>
      </c>
      <c r="C21" s="8" t="n">
        <f aca="false">SUMIFS('Source'!$D:$D,'Source'!$A:$A,"150390 סופר פארם ישראל",'Source'!$B:$B,$A21)</f>
        <v>7000</v>
      </c>
      <c r="D21" s="8" t="n">
        <f aca="false">SUMIFS('Source'!$F:$F,'Source'!$A:$A,"150390 סופר פארם ישראל",'Source'!$B:$B,$A21)</f>
        <v>3275</v>
      </c>
      <c r="E21" s="8" t="n">
        <f aca="false">D21*$J$5</f>
        <v>4136.84210526316</v>
      </c>
      <c r="F21" s="8" t="n">
        <f aca="false">E21-C21</f>
        <v>-2863.15789473684</v>
      </c>
      <c r="G21" s="9" t="n">
        <f aca="false">IF(AND(C21=0,E21=0),0,IF(C21=0,"New",(E21-C21)/C21))</f>
        <v>-0.409022556390978</v>
      </c>
      <c r="H21" s="8" t="n">
        <f aca="false">SUMIFS('Source'!$E:$E,'Source'!$A:$A,"150390 סופר פארם ישראל",'Source'!$B:$B,$A21)</f>
        <v>39270</v>
      </c>
      <c r="I21" s="8" t="n">
        <f aca="false">SUMIFS('Source'!$G:$G,'Source'!$A:$A,"150390 סופר פארם ישראל",'Source'!$B:$B,$A21)</f>
        <v>18372.75</v>
      </c>
      <c r="J21" s="8" t="n">
        <f aca="false">I21*$J$5</f>
        <v>23207.6842105263</v>
      </c>
      <c r="K21" s="8" t="n">
        <f aca="false">J21-H21</f>
        <v>-16062.3157894737</v>
      </c>
      <c r="L21" s="9" t="n">
        <f aca="false">IF(AND(H21=0,J21=0),0,IF(H21=0,"New",(J21-H21)/H21))</f>
        <v>-0.409022556390978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889</v>
      </c>
      <c r="B22" s="7" t="str">
        <f aca="false">IFERROR(INDEX('Source'!$C:$C,MATCH($A22,'Source'!$B:$B,0)),"")</f>
        <v>ריפוד סיליקון לכרית כף הרגל</v>
      </c>
      <c r="C22" s="8" t="n">
        <f aca="false">SUMIFS('Source'!$D:$D,'Source'!$A:$A,"150390 סופר פארם ישראל",'Source'!$B:$B,$A22)</f>
        <v>4200</v>
      </c>
      <c r="D22" s="8" t="n">
        <f aca="false">SUMIFS('Source'!$F:$F,'Source'!$A:$A,"150390 סופר פארם ישראל",'Source'!$B:$B,$A22)</f>
        <v>2800</v>
      </c>
      <c r="E22" s="8" t="n">
        <f aca="false">D22*$J$5</f>
        <v>3536.84210526316</v>
      </c>
      <c r="F22" s="8" t="n">
        <f aca="false">E22-C22</f>
        <v>-663.157894736842</v>
      </c>
      <c r="G22" s="9" t="n">
        <f aca="false">IF(AND(C22=0,E22=0),0,IF(C22=0,"New",(E22-C22)/C22))</f>
        <v>-0.157894736842105</v>
      </c>
      <c r="H22" s="8" t="n">
        <f aca="false">SUMIFS('Source'!$E:$E,'Source'!$A:$A,"150390 סופר פארם ישראל",'Source'!$B:$B,$A22)</f>
        <v>61824</v>
      </c>
      <c r="I22" s="8" t="n">
        <f aca="false">SUMIFS('Source'!$G:$G,'Source'!$A:$A,"150390 סופר פארם ישראל",'Source'!$B:$B,$A22)</f>
        <v>41216</v>
      </c>
      <c r="J22" s="8" t="n">
        <f aca="false">I22*$J$5</f>
        <v>52062.3157894737</v>
      </c>
      <c r="K22" s="8" t="n">
        <f aca="false">J22-H22</f>
        <v>-9761.68421052632</v>
      </c>
      <c r="L22" s="9" t="n">
        <f aca="false">IF(AND(H22=0,J22=0),0,IF(H22=0,"New",(J22-H22)/H22))</f>
        <v>-0.157894736842105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170</v>
      </c>
      <c r="B23" s="7" t="str">
        <f aca="false">IFERROR(INDEX('Source'!$C:$C,MATCH($A23,'Source'!$B:$B,0)),"")</f>
        <v>(Unassigned / adjustment row - no item code in source)</v>
      </c>
      <c r="C23" s="8" t="n">
        <f aca="false">SUMIFS('Source'!$D:$D,'Source'!$A:$A,"150390 סופר פארם ישראל",'Source'!$B:$B,$A23)</f>
        <v>0</v>
      </c>
      <c r="D23" s="8" t="n">
        <f aca="false">SUMIFS('Source'!$F:$F,'Source'!$A:$A,"150390 סופר פארם ישראל",'Source'!$B:$B,$A23)</f>
        <v>0</v>
      </c>
      <c r="E23" s="8" t="n">
        <f aca="false">D23*$J$5</f>
        <v>0</v>
      </c>
      <c r="F23" s="8" t="n">
        <f aca="false">E23-C23</f>
        <v>0</v>
      </c>
      <c r="G23" s="9" t="n">
        <f aca="false">IF(AND(C23=0,E23=0),0,IF(C23=0,"New",(E23-C23)/C23))</f>
        <v>0</v>
      </c>
      <c r="H23" s="8" t="n">
        <f aca="false">SUMIFS('Source'!$E:$E,'Source'!$A:$A,"150390 סופר פארם ישראל",'Source'!$B:$B,$A23)</f>
        <v>7427.59</v>
      </c>
      <c r="I23" s="8" t="n">
        <f aca="false">SUMIFS('Source'!$G:$G,'Source'!$A:$A,"150390 סופר פארם ישראל",'Source'!$B:$B,$A23)</f>
        <v>0</v>
      </c>
      <c r="J23" s="8" t="n">
        <f aca="false">I23*$J$5</f>
        <v>0</v>
      </c>
      <c r="K23" s="8" t="n">
        <f aca="false">J23-H23</f>
        <v>-7427.59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890</v>
      </c>
      <c r="B24" s="7" t="str">
        <f aca="false">IFERROR(INDEX('Source'!$C:$C,MATCH($A24,'Source'!$B:$B,0)),"")</f>
        <v>מדרס מג'ל לגבר</v>
      </c>
      <c r="C24" s="8" t="n">
        <f aca="false">SUMIFS('Source'!$D:$D,'Source'!$A:$A,"150390 סופר פארם ישראל",'Source'!$B:$B,$A24)</f>
        <v>6300</v>
      </c>
      <c r="D24" s="8" t="n">
        <f aca="false">SUMIFS('Source'!$F:$F,'Source'!$A:$A,"150390 סופר פארם ישראל",'Source'!$B:$B,$A24)</f>
        <v>6360</v>
      </c>
      <c r="E24" s="8" t="n">
        <f aca="false">D24*$J$5</f>
        <v>8033.68421052632</v>
      </c>
      <c r="F24" s="8" t="n">
        <f aca="false">E24-C24</f>
        <v>1733.68421052632</v>
      </c>
      <c r="G24" s="9" t="n">
        <f aca="false">IF(AND(C24=0,E24=0),0,IF(C24=0,"New",(E24-C24)/C24))</f>
        <v>0.275187969924812</v>
      </c>
      <c r="H24" s="8" t="n">
        <f aca="false">SUMIFS('Source'!$E:$E,'Source'!$A:$A,"150390 סופר פארם ישראל",'Source'!$B:$B,$A24)</f>
        <v>297486</v>
      </c>
      <c r="I24" s="8" t="n">
        <f aca="false">SUMIFS('Source'!$G:$G,'Source'!$A:$A,"150390 סופר פארם ישראל",'Source'!$B:$B,$A24)</f>
        <v>300319.2</v>
      </c>
      <c r="J24" s="8" t="n">
        <f aca="false">I24*$J$5</f>
        <v>379350.568421053</v>
      </c>
      <c r="K24" s="8" t="n">
        <f aca="false">J24-H24</f>
        <v>81864.5684210527</v>
      </c>
      <c r="L24" s="9" t="n">
        <f aca="false">IF(AND(H24=0,J24=0),0,IF(H24=0,"New",(J24-H24)/H24))</f>
        <v>0.275187969924812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891</v>
      </c>
      <c r="B25" s="7" t="str">
        <f aca="false">IFERROR(INDEX('Source'!$C:$C,MATCH($A25,'Source'!$B:$B,0)),"")</f>
        <v>מדרס מג'ל לאשה</v>
      </c>
      <c r="C25" s="8" t="n">
        <f aca="false">SUMIFS('Source'!$D:$D,'Source'!$A:$A,"150390 סופר פארם ישראל",'Source'!$B:$B,$A25)</f>
        <v>2400</v>
      </c>
      <c r="D25" s="8" t="n">
        <f aca="false">SUMIFS('Source'!$F:$F,'Source'!$A:$A,"150390 סופר פארם ישראל",'Source'!$B:$B,$A25)</f>
        <v>2400</v>
      </c>
      <c r="E25" s="8" t="n">
        <f aca="false">D25*$J$5</f>
        <v>3031.57894736842</v>
      </c>
      <c r="F25" s="8" t="n">
        <f aca="false">E25-C25</f>
        <v>631.578947368421</v>
      </c>
      <c r="G25" s="9" t="n">
        <f aca="false">IF(AND(C25=0,E25=0),0,IF(C25=0,"New",(E25-C25)/C25))</f>
        <v>0.263157894736842</v>
      </c>
      <c r="H25" s="8" t="n">
        <f aca="false">SUMIFS('Source'!$E:$E,'Source'!$A:$A,"150390 סופר פארם ישראל",'Source'!$B:$B,$A25)</f>
        <v>113328</v>
      </c>
      <c r="I25" s="8" t="n">
        <f aca="false">SUMIFS('Source'!$G:$G,'Source'!$A:$A,"150390 סופר פארם ישראל",'Source'!$B:$B,$A25)</f>
        <v>113328</v>
      </c>
      <c r="J25" s="8" t="n">
        <f aca="false">I25*$J$5</f>
        <v>143151.157894737</v>
      </c>
      <c r="K25" s="8" t="n">
        <f aca="false">J25-H25</f>
        <v>29823.1578947368</v>
      </c>
      <c r="L25" s="9" t="n">
        <f aca="false">IF(AND(H25=0,J25=0),0,IF(H25=0,"New",(J25-H25)/H25))</f>
        <v>0.263157894736842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892</v>
      </c>
      <c r="B26" s="7" t="str">
        <f aca="false">IFERROR(INDEX('Source'!$C:$C,MATCH($A26,'Source'!$B:$B,0)),"")</f>
        <v>סט פלסטרים הידרוקולואידים 313</v>
      </c>
      <c r="C26" s="8" t="n">
        <f aca="false">SUMIFS('Source'!$D:$D,'Source'!$A:$A,"150390 סופר פארם ישראל",'Source'!$B:$B,$A26)</f>
        <v>4320</v>
      </c>
      <c r="D26" s="8" t="n">
        <f aca="false">SUMIFS('Source'!$F:$F,'Source'!$A:$A,"150390 סופר פארם ישראל",'Source'!$B:$B,$A26)</f>
        <v>4320</v>
      </c>
      <c r="E26" s="8" t="n">
        <f aca="false">D26*$J$5</f>
        <v>5456.84210526316</v>
      </c>
      <c r="F26" s="8" t="n">
        <f aca="false">E26-C26</f>
        <v>1136.84210526316</v>
      </c>
      <c r="G26" s="9" t="n">
        <f aca="false">IF(AND(C26=0,E26=0),0,IF(C26=0,"New",(E26-C26)/C26))</f>
        <v>0.263157894736842</v>
      </c>
      <c r="H26" s="8" t="n">
        <f aca="false">SUMIFS('Source'!$E:$E,'Source'!$A:$A,"150390 סופר פארם ישראל",'Source'!$B:$B,$A26)</f>
        <v>67910.4</v>
      </c>
      <c r="I26" s="8" t="n">
        <f aca="false">SUMIFS('Source'!$G:$G,'Source'!$A:$A,"150390 סופר פארם ישראל",'Source'!$B:$B,$A26)</f>
        <v>67910.4</v>
      </c>
      <c r="J26" s="8" t="n">
        <f aca="false">I26*$J$5</f>
        <v>85781.5578947368</v>
      </c>
      <c r="K26" s="8" t="n">
        <f aca="false">J26-H26</f>
        <v>17871.1578947368</v>
      </c>
      <c r="L26" s="9" t="n">
        <f aca="false">IF(AND(H26=0,J26=0),0,IF(H26=0,"New",(J26-H26)/H26))</f>
        <v>0.263157894736842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893</v>
      </c>
      <c r="B27" s="7" t="str">
        <f aca="false">IFERROR(INDEX('Source'!$C:$C,MATCH($A27,'Source'!$B:$B,0)),"")</f>
        <v>מדבקה לשחרור לחץ</v>
      </c>
      <c r="C27" s="8" t="n">
        <f aca="false">SUMIFS('Source'!$D:$D,'Source'!$A:$A,"150390 סופר פארם ישראל",'Source'!$B:$B,$A27)</f>
        <v>1350</v>
      </c>
      <c r="D27" s="8" t="n">
        <f aca="false">SUMIFS('Source'!$F:$F,'Source'!$A:$A,"150390 סופר פארם ישראל",'Source'!$B:$B,$A27)</f>
        <v>1350</v>
      </c>
      <c r="E27" s="8" t="n">
        <f aca="false">D27*$J$5</f>
        <v>1705.26315789474</v>
      </c>
      <c r="F27" s="8" t="n">
        <f aca="false">E27-C27</f>
        <v>355.263157894737</v>
      </c>
      <c r="G27" s="9" t="n">
        <f aca="false">IF(AND(C27=0,E27=0),0,IF(C27=0,"New",(E27-C27)/C27))</f>
        <v>0.263157894736842</v>
      </c>
      <c r="H27" s="8" t="n">
        <f aca="false">SUMIFS('Source'!$E:$E,'Source'!$A:$A,"150390 סופר פארם ישראל",'Source'!$B:$B,$A27)</f>
        <v>18306</v>
      </c>
      <c r="I27" s="8" t="n">
        <f aca="false">SUMIFS('Source'!$G:$G,'Source'!$A:$A,"150390 סופר פארם ישראל",'Source'!$B:$B,$A27)</f>
        <v>18306</v>
      </c>
      <c r="J27" s="8" t="n">
        <f aca="false">I27*$J$5</f>
        <v>23123.3684210526</v>
      </c>
      <c r="K27" s="8" t="n">
        <f aca="false">J27-H27</f>
        <v>4817.36842105263</v>
      </c>
      <c r="L27" s="9" t="n">
        <f aca="false">IF(AND(H27=0,J27=0),0,IF(H27=0,"New",(J27-H27)/H27))</f>
        <v>0.263157894736842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894</v>
      </c>
      <c r="B28" s="7" t="str">
        <f aca="false">IFERROR(INDEX('Source'!$C:$C,MATCH($A28,'Source'!$B:$B,0)),"")</f>
        <v>עקב סיליקון שטוח</v>
      </c>
      <c r="C28" s="8" t="n">
        <f aca="false">SUMIFS('Source'!$D:$D,'Source'!$A:$A,"150390 סופר פארם ישראל",'Source'!$B:$B,$A28)</f>
        <v>1600</v>
      </c>
      <c r="D28" s="8" t="n">
        <f aca="false">SUMIFS('Source'!$F:$F,'Source'!$A:$A,"150390 סופר פארם ישראל",'Source'!$B:$B,$A28)</f>
        <v>1600</v>
      </c>
      <c r="E28" s="8" t="n">
        <f aca="false">D28*$J$5</f>
        <v>2021.05263157895</v>
      </c>
      <c r="F28" s="8" t="n">
        <f aca="false">E28-C28</f>
        <v>421.052631578947</v>
      </c>
      <c r="G28" s="9" t="n">
        <f aca="false">IF(AND(C28=0,E28=0),0,IF(C28=0,"New",(E28-C28)/C28))</f>
        <v>0.263157894736842</v>
      </c>
      <c r="H28" s="8" t="n">
        <f aca="false">SUMIFS('Source'!$E:$E,'Source'!$A:$A,"150390 סופר פארם ישראל",'Source'!$B:$B,$A28)</f>
        <v>63104</v>
      </c>
      <c r="I28" s="8" t="n">
        <f aca="false">SUMIFS('Source'!$G:$G,'Source'!$A:$A,"150390 סופר פארם ישראל",'Source'!$B:$B,$A28)</f>
        <v>63104</v>
      </c>
      <c r="J28" s="8" t="n">
        <f aca="false">I28*$J$5</f>
        <v>79710.3157894737</v>
      </c>
      <c r="K28" s="8" t="n">
        <f aca="false">J28-H28</f>
        <v>16606.3157894737</v>
      </c>
      <c r="L28" s="9" t="n">
        <f aca="false">IF(AND(H28=0,J28=0),0,IF(H28=0,"New",(J28-H28)/H28))</f>
        <v>0.263157894736842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895</v>
      </c>
      <c r="B29" s="7" t="str">
        <f aca="false">IFERROR(INDEX('Source'!$C:$C,MATCH($A29,'Source'!$B:$B,0)),"")</f>
        <v>עקב סיליקון שטוח</v>
      </c>
      <c r="C29" s="8" t="n">
        <f aca="false">SUMIFS('Source'!$D:$D,'Source'!$A:$A,"150390 סופר פארם ישראל",'Source'!$B:$B,$A29)</f>
        <v>2400</v>
      </c>
      <c r="D29" s="8" t="n">
        <f aca="false">SUMIFS('Source'!$F:$F,'Source'!$A:$A,"150390 סופר פארם ישראל",'Source'!$B:$B,$A29)</f>
        <v>2400</v>
      </c>
      <c r="E29" s="8" t="n">
        <f aca="false">D29*$J$5</f>
        <v>3031.57894736842</v>
      </c>
      <c r="F29" s="8" t="n">
        <f aca="false">E29-C29</f>
        <v>631.578947368421</v>
      </c>
      <c r="G29" s="9" t="n">
        <f aca="false">IF(AND(C29=0,E29=0),0,IF(C29=0,"New",(E29-C29)/C29))</f>
        <v>0.263157894736842</v>
      </c>
      <c r="H29" s="8" t="n">
        <f aca="false">SUMIFS('Source'!$E:$E,'Source'!$A:$A,"150390 סופר פארם ישראל",'Source'!$B:$B,$A29)</f>
        <v>94656</v>
      </c>
      <c r="I29" s="8" t="n">
        <f aca="false">SUMIFS('Source'!$G:$G,'Source'!$A:$A,"150390 סופר פארם ישראל",'Source'!$B:$B,$A29)</f>
        <v>94656</v>
      </c>
      <c r="J29" s="8" t="n">
        <f aca="false">I29*$J$5</f>
        <v>119565.473684211</v>
      </c>
      <c r="K29" s="8" t="n">
        <f aca="false">J29-H29</f>
        <v>24909.4736842105</v>
      </c>
      <c r="L29" s="9" t="n">
        <f aca="false">IF(AND(H29=0,J29=0),0,IF(H29=0,"New",(J29-H29)/H29))</f>
        <v>0.263157894736842</v>
      </c>
      <c r="M29" s="7" t="str">
        <f aca="false">IF(AND(OR(C29&lt;&gt;0,H29&lt;&gt;0),D29=0,I29=0),"DROP",IF(AND(OR(D29&lt;&gt;0,I29&lt;&gt;0),C29=0,H29=0),"NEW",""))</f>
        <v/>
      </c>
    </row>
    <row r="31" customFormat="false" ht="15" hidden="false" customHeight="false" outlineLevel="0" collapsed="false">
      <c r="A31" s="17"/>
      <c r="B31" s="18" t="s">
        <v>97</v>
      </c>
      <c r="C31" s="19" t="n">
        <f aca="false">SUM(C9:C29)</f>
        <v>118392</v>
      </c>
      <c r="D31" s="19" t="n">
        <f aca="false">SUM(D9:D29)</f>
        <v>62455</v>
      </c>
      <c r="E31" s="19" t="n">
        <f aca="false">SUM(E9:E29)</f>
        <v>78890.5263157895</v>
      </c>
      <c r="F31" s="19" t="n">
        <f aca="false">SUM(F9:F29)</f>
        <v>-39501.4736842105</v>
      </c>
      <c r="G31" s="20" t="n">
        <f aca="false">IF(C31=0,"N/A",F31/C31)</f>
        <v>-0.333649855431199</v>
      </c>
      <c r="H31" s="19" t="n">
        <f aca="false">SUM(H9:H29)</f>
        <v>1708656.85</v>
      </c>
      <c r="I31" s="19" t="n">
        <f aca="false">SUM(I9:I29)</f>
        <v>1113833.85</v>
      </c>
      <c r="J31" s="19" t="n">
        <f aca="false">SUM(J9:J29)</f>
        <v>1406948.02105263</v>
      </c>
      <c r="K31" s="19" t="n">
        <f aca="false">SUM(K9:K29)</f>
        <v>-301708.828947369</v>
      </c>
      <c r="L31" s="20" t="n">
        <f aca="false">IF(H31=0,"N/A",K31/H31)</f>
        <v>-0.176576606910491</v>
      </c>
      <c r="M3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896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897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SUMPRODUCT(--(((C9:C143&lt;&gt;0)+(H9:H143&lt;&gt;0)&gt;0)*((D9:D143=0)*(I9:I143=0))))</f>
        <v>12</v>
      </c>
      <c r="C5" s="13" t="s">
        <v>47</v>
      </c>
      <c r="D5" s="14" t="n">
        <f aca="false">SUMPRODUCT(--(((D9:D143&lt;&gt;0)+(I9:I143&lt;&gt;0)&gt;0)*((C9:C143=0)*(H9:H143=0))))</f>
        <v>5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SUMPRODUCT(--(((C9:C143&lt;&gt;0)+(H9:H143&lt;&gt;0)&gt;0)*((D9:D143=0)*(I9:I143=0)))*C9:C143)</f>
        <v>3550</v>
      </c>
      <c r="C6" s="13" t="s">
        <v>50</v>
      </c>
      <c r="D6" s="14" t="n">
        <f aca="false">SUMPRODUCT(--(((C9:C143&lt;&gt;0)+(H9:H143&lt;&gt;0)&gt;0)*((D9:D143=0)*(I9:I143=0)))*H9:H143)</f>
        <v>92320.46</v>
      </c>
      <c r="E6" s="13" t="s">
        <v>51</v>
      </c>
      <c r="F6" s="14" t="n">
        <f aca="false">SUMPRODUCT(--(((D9:D143&lt;&gt;0)+(I9:I143&lt;&gt;0)&gt;0)*((C9:C143=0)*(H9:H143=0)))*D9:D143)</f>
        <v>250</v>
      </c>
      <c r="G6" s="13" t="s">
        <v>52</v>
      </c>
      <c r="H6" s="14" t="n">
        <f aca="false">SUMPRODUCT(--(((D9:D143&lt;&gt;0)+(I9:I143&lt;&gt;0)&gt;0)*((C9:C143=0)*(H9:H143=0)))*I9:I143)</f>
        <v>11540.57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111</v>
      </c>
      <c r="B9" s="7" t="str">
        <f aca="false">IFERROR(INDEX('Source'!$C:$C,MATCH($A9,'Source'!$B:$B,0)),"")</f>
        <v>גרבי טיסה</v>
      </c>
      <c r="C9" s="8" t="n">
        <f aca="false">SUMIFS('Source'!$D:$D,'Source'!$A:$A,"160134 SUPER-PHARM HOLDING. SP.ZO.O",'Source'!$B:$B,$A9)</f>
        <v>510</v>
      </c>
      <c r="D9" s="8" t="n">
        <f aca="false">SUMIFS('Source'!$F:$F,'Source'!$A:$A,"160134 SUPER-PHARM HOLDING. SP.ZO.O",'Source'!$B:$B,$A9)</f>
        <v>0</v>
      </c>
      <c r="E9" s="8" t="n">
        <f aca="false">D9*$J$5</f>
        <v>0</v>
      </c>
      <c r="F9" s="8" t="n">
        <f aca="false">E9-C9</f>
        <v>-510</v>
      </c>
      <c r="G9" s="9" t="n">
        <f aca="false">IF(AND(C9=0,E9=0),0,IF(C9=0,"New",(E9-C9)/C9))</f>
        <v>-1</v>
      </c>
      <c r="H9" s="8" t="n">
        <f aca="false">SUMIFS('Source'!$E:$E,'Source'!$A:$A,"160134 SUPER-PHARM HOLDING. SP.ZO.O",'Source'!$B:$B,$A9)</f>
        <v>17600.36</v>
      </c>
      <c r="I9" s="8" t="n">
        <f aca="false">SUMIFS('Source'!$G:$G,'Source'!$A:$A,"160134 SUPER-PHARM HOLDING. SP.ZO.O",'Source'!$B:$B,$A9)</f>
        <v>0</v>
      </c>
      <c r="J9" s="8" t="n">
        <f aca="false">I9*$J$5</f>
        <v>0</v>
      </c>
      <c r="K9" s="8" t="n">
        <f aca="false">J9-H9</f>
        <v>-17600.36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117</v>
      </c>
      <c r="B10" s="7" t="str">
        <f aca="false">IFERROR(INDEX('Source'!$C:$C,MATCH($A10,'Source'!$B:$B,0)),"")</f>
        <v>גרבי טיסה</v>
      </c>
      <c r="C10" s="8" t="n">
        <f aca="false">SUMIFS('Source'!$D:$D,'Source'!$A:$A,"160134 SUPER-PHARM HOLDING. SP.ZO.O",'Source'!$B:$B,$A10)</f>
        <v>440</v>
      </c>
      <c r="D10" s="8" t="n">
        <f aca="false">SUMIFS('Source'!$F:$F,'Source'!$A:$A,"160134 SUPER-PHARM HOLDING. SP.ZO.O",'Source'!$B:$B,$A10)</f>
        <v>0</v>
      </c>
      <c r="E10" s="8" t="n">
        <f aca="false">D10*$J$5</f>
        <v>0</v>
      </c>
      <c r="F10" s="8" t="n">
        <f aca="false">E10-C10</f>
        <v>-440</v>
      </c>
      <c r="G10" s="9" t="n">
        <f aca="false">IF(AND(C10=0,E10=0),0,IF(C10=0,"New",(E10-C10)/C10))</f>
        <v>-1</v>
      </c>
      <c r="H10" s="8" t="n">
        <f aca="false">SUMIFS('Source'!$E:$E,'Source'!$A:$A,"160134 SUPER-PHARM HOLDING. SP.ZO.O",'Source'!$B:$B,$A10)</f>
        <v>15215.67</v>
      </c>
      <c r="I10" s="8" t="n">
        <f aca="false">SUMIFS('Source'!$G:$G,'Source'!$A:$A,"160134 SUPER-PHARM HOLDING. SP.ZO.O",'Source'!$B:$B,$A10)</f>
        <v>0</v>
      </c>
      <c r="J10" s="8" t="n">
        <f aca="false">I10*$J$5</f>
        <v>0</v>
      </c>
      <c r="K10" s="8" t="n">
        <f aca="false">J10-H10</f>
        <v>-15215.67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113</v>
      </c>
      <c r="B11" s="7" t="str">
        <f aca="false">IFERROR(INDEX('Source'!$C:$C,MATCH($A11,'Source'!$B:$B,0)),"")</f>
        <v>גרבי טיסה</v>
      </c>
      <c r="C11" s="8" t="n">
        <f aca="false">SUMIFS('Source'!$D:$D,'Source'!$A:$A,"160134 SUPER-PHARM HOLDING. SP.ZO.O",'Source'!$B:$B,$A11)</f>
        <v>430</v>
      </c>
      <c r="D11" s="8" t="n">
        <f aca="false">SUMIFS('Source'!$F:$F,'Source'!$A:$A,"160134 SUPER-PHARM HOLDING. SP.ZO.O",'Source'!$B:$B,$A11)</f>
        <v>0</v>
      </c>
      <c r="E11" s="8" t="n">
        <f aca="false">D11*$J$5</f>
        <v>0</v>
      </c>
      <c r="F11" s="8" t="n">
        <f aca="false">E11-C11</f>
        <v>-430</v>
      </c>
      <c r="G11" s="9" t="n">
        <f aca="false">IF(AND(C11=0,E11=0),0,IF(C11=0,"New",(E11-C11)/C11))</f>
        <v>-1</v>
      </c>
      <c r="H11" s="8" t="n">
        <f aca="false">SUMIFS('Source'!$E:$E,'Source'!$A:$A,"160134 SUPER-PHARM HOLDING. SP.ZO.O",'Source'!$B:$B,$A11)</f>
        <v>14809.75</v>
      </c>
      <c r="I11" s="8" t="n">
        <f aca="false">SUMIFS('Source'!$G:$G,'Source'!$A:$A,"160134 SUPER-PHARM HOLDING. SP.ZO.O",'Source'!$B:$B,$A11)</f>
        <v>0</v>
      </c>
      <c r="J11" s="8" t="n">
        <f aca="false">I11*$J$5</f>
        <v>0</v>
      </c>
      <c r="K11" s="8" t="n">
        <f aca="false">J11-H11</f>
        <v>-14809.75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106</v>
      </c>
      <c r="B12" s="7" t="str">
        <f aca="false">IFERROR(INDEX('Source'!$C:$C,MATCH($A12,'Source'!$B:$B,0)),"")</f>
        <v>גרבי נסיעות אנטיבקטריאלי</v>
      </c>
      <c r="C12" s="8" t="n">
        <f aca="false">SUMIFS('Source'!$D:$D,'Source'!$A:$A,"160134 SUPER-PHARM HOLDING. SP.ZO.O",'Source'!$B:$B,$A12)</f>
        <v>100</v>
      </c>
      <c r="D12" s="8" t="n">
        <f aca="false">SUMIFS('Source'!$F:$F,'Source'!$A:$A,"160134 SUPER-PHARM HOLDING. SP.ZO.O",'Source'!$B:$B,$A12)</f>
        <v>600</v>
      </c>
      <c r="E12" s="8" t="n">
        <f aca="false">D12*$J$5</f>
        <v>757.894736842105</v>
      </c>
      <c r="F12" s="8" t="n">
        <f aca="false">E12-C12</f>
        <v>657.894736842105</v>
      </c>
      <c r="G12" s="9" t="n">
        <f aca="false">IF(AND(C12=0,E12=0),0,IF(C12=0,"New",(E12-C12)/C12))</f>
        <v>6.57894736842105</v>
      </c>
      <c r="H12" s="8" t="n">
        <f aca="false">SUMIFS('Source'!$E:$E,'Source'!$A:$A,"160134 SUPER-PHARM HOLDING. SP.ZO.O",'Source'!$B:$B,$A12)</f>
        <v>3325.21</v>
      </c>
      <c r="I12" s="8" t="n">
        <f aca="false">SUMIFS('Source'!$G:$G,'Source'!$A:$A,"160134 SUPER-PHARM HOLDING. SP.ZO.O",'Source'!$B:$B,$A12)</f>
        <v>17534.24</v>
      </c>
      <c r="J12" s="8" t="n">
        <f aca="false">I12*$J$5</f>
        <v>22148.5136842105</v>
      </c>
      <c r="K12" s="8" t="n">
        <f aca="false">J12-H12</f>
        <v>18823.3036842105</v>
      </c>
      <c r="L12" s="9" t="n">
        <f aca="false">IF(AND(H12=0,J12=0),0,IF(H12=0,"New",(J12-H12)/H12))</f>
        <v>5.66078644182188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713</v>
      </c>
      <c r="B13" s="7" t="str">
        <f aca="false">IFERROR(INDEX('Source'!$C:$C,MATCH($A13,'Source'!$B:$B,0)),"")</f>
        <v>קינזיולוגי טייפ</v>
      </c>
      <c r="C13" s="8" t="n">
        <f aca="false">SUMIFS('Source'!$D:$D,'Source'!$A:$A,"160134 SUPER-PHARM HOLDING. SP.ZO.O",'Source'!$B:$B,$A13)</f>
        <v>1800</v>
      </c>
      <c r="D13" s="8" t="n">
        <f aca="false">SUMIFS('Source'!$F:$F,'Source'!$A:$A,"160134 SUPER-PHARM HOLDING. SP.ZO.O",'Source'!$B:$B,$A13)</f>
        <v>1300</v>
      </c>
      <c r="E13" s="8" t="n">
        <f aca="false">D13*$J$5</f>
        <v>1642.10526315789</v>
      </c>
      <c r="F13" s="8" t="n">
        <f aca="false">E13-C13</f>
        <v>-157.894736842105</v>
      </c>
      <c r="G13" s="9" t="n">
        <f aca="false">IF(AND(C13=0,E13=0),0,IF(C13=0,"New",(E13-C13)/C13))</f>
        <v>-0.0877192982456141</v>
      </c>
      <c r="H13" s="8" t="n">
        <f aca="false">SUMIFS('Source'!$E:$E,'Source'!$A:$A,"160134 SUPER-PHARM HOLDING. SP.ZO.O",'Source'!$B:$B,$A13)</f>
        <v>33646.56</v>
      </c>
      <c r="I13" s="8" t="n">
        <f aca="false">SUMIFS('Source'!$G:$G,'Source'!$A:$A,"160134 SUPER-PHARM HOLDING. SP.ZO.O",'Source'!$B:$B,$A13)</f>
        <v>21555.45</v>
      </c>
      <c r="J13" s="8" t="n">
        <f aca="false">I13*$J$5</f>
        <v>27227.9368421053</v>
      </c>
      <c r="K13" s="8" t="n">
        <f aca="false">J13-H13</f>
        <v>-6418.62315789473</v>
      </c>
      <c r="L13" s="9" t="n">
        <f aca="false">IF(AND(H13=0,J13=0),0,IF(H13=0,"New",(J13-H13)/H13))</f>
        <v>-0.190766103812536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110</v>
      </c>
      <c r="B14" s="7" t="str">
        <f aca="false">IFERROR(INDEX('Source'!$C:$C,MATCH($A14,'Source'!$B:$B,0)),"")</f>
        <v>גרבי נסיעות אנטיבקטריאלי</v>
      </c>
      <c r="C14" s="8" t="n">
        <f aca="false">SUMIFS('Source'!$D:$D,'Source'!$A:$A,"160134 SUPER-PHARM HOLDING. SP.ZO.O",'Source'!$B:$B,$A14)</f>
        <v>100</v>
      </c>
      <c r="D14" s="8" t="n">
        <f aca="false">SUMIFS('Source'!$F:$F,'Source'!$A:$A,"160134 SUPER-PHARM HOLDING. SP.ZO.O",'Source'!$B:$B,$A14)</f>
        <v>450</v>
      </c>
      <c r="E14" s="8" t="n">
        <f aca="false">D14*$J$5</f>
        <v>568.421052631579</v>
      </c>
      <c r="F14" s="8" t="n">
        <f aca="false">E14-C14</f>
        <v>468.421052631579</v>
      </c>
      <c r="G14" s="9" t="n">
        <f aca="false">IF(AND(C14=0,E14=0),0,IF(C14=0,"New",(E14-C14)/C14))</f>
        <v>4.68421052631579</v>
      </c>
      <c r="H14" s="8" t="n">
        <f aca="false">SUMIFS('Source'!$E:$E,'Source'!$A:$A,"160134 SUPER-PHARM HOLDING. SP.ZO.O",'Source'!$B:$B,$A14)</f>
        <v>3325.21</v>
      </c>
      <c r="I14" s="8" t="n">
        <f aca="false">SUMIFS('Source'!$G:$G,'Source'!$A:$A,"160134 SUPER-PHARM HOLDING. SP.ZO.O",'Source'!$B:$B,$A14)</f>
        <v>14361.95</v>
      </c>
      <c r="J14" s="8" t="n">
        <f aca="false">I14*$J$5</f>
        <v>18141.4105263158</v>
      </c>
      <c r="K14" s="8" t="n">
        <f aca="false">J14-H14</f>
        <v>14816.2005263158</v>
      </c>
      <c r="L14" s="9" t="n">
        <f aca="false">IF(AND(H14=0,J14=0),0,IF(H14=0,"New",(J14-H14)/H14))</f>
        <v>4.45571874447502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296</v>
      </c>
      <c r="B15" s="7" t="str">
        <f aca="false">IFERROR(INDEX('Source'!$C:$C,MATCH($A15,'Source'!$B:$B,0)),"")</f>
        <v>קינזיולוגי טייפ</v>
      </c>
      <c r="C15" s="8" t="n">
        <f aca="false">SUMIFS('Source'!$D:$D,'Source'!$A:$A,"160134 SUPER-PHARM HOLDING. SP.ZO.O",'Source'!$B:$B,$A15)</f>
        <v>600</v>
      </c>
      <c r="D15" s="8" t="n">
        <f aca="false">SUMIFS('Source'!$F:$F,'Source'!$A:$A,"160134 SUPER-PHARM HOLDING. SP.ZO.O",'Source'!$B:$B,$A15)</f>
        <v>0</v>
      </c>
      <c r="E15" s="8" t="n">
        <f aca="false">D15*$J$5</f>
        <v>0</v>
      </c>
      <c r="F15" s="8" t="n">
        <f aca="false">E15-C15</f>
        <v>-600</v>
      </c>
      <c r="G15" s="9" t="n">
        <f aca="false">IF(AND(C15=0,E15=0),0,IF(C15=0,"New",(E15-C15)/C15))</f>
        <v>-1</v>
      </c>
      <c r="H15" s="8" t="n">
        <f aca="false">SUMIFS('Source'!$E:$E,'Source'!$A:$A,"160134 SUPER-PHARM HOLDING. SP.ZO.O",'Source'!$B:$B,$A15)</f>
        <v>10800.29</v>
      </c>
      <c r="I15" s="8" t="n">
        <f aca="false">SUMIFS('Source'!$G:$G,'Source'!$A:$A,"160134 SUPER-PHARM HOLDING. SP.ZO.O",'Source'!$B:$B,$A15)</f>
        <v>0</v>
      </c>
      <c r="J15" s="8" t="n">
        <f aca="false">I15*$J$5</f>
        <v>0</v>
      </c>
      <c r="K15" s="8" t="n">
        <f aca="false">J15-H15</f>
        <v>-10800.29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627</v>
      </c>
      <c r="B16" s="7" t="str">
        <f aca="false">IFERROR(INDEX('Source'!$C:$C,MATCH($A16,'Source'!$B:$B,0)),"")</f>
        <v>תחבושת אלסטית נצמדת צבע שחור</v>
      </c>
      <c r="C16" s="8" t="n">
        <f aca="false">SUMIFS('Source'!$D:$D,'Source'!$A:$A,"160134 SUPER-PHARM HOLDING. SP.ZO.O",'Source'!$B:$B,$A16)</f>
        <v>2700</v>
      </c>
      <c r="D16" s="8" t="n">
        <f aca="false">SUMIFS('Source'!$F:$F,'Source'!$A:$A,"160134 SUPER-PHARM HOLDING. SP.ZO.O",'Source'!$B:$B,$A16)</f>
        <v>1500</v>
      </c>
      <c r="E16" s="8" t="n">
        <f aca="false">D16*$J$5</f>
        <v>1894.73684210526</v>
      </c>
      <c r="F16" s="8" t="n">
        <f aca="false">E16-C16</f>
        <v>-805.263157894737</v>
      </c>
      <c r="G16" s="9" t="n">
        <f aca="false">IF(AND(C16=0,E16=0),0,IF(C16=0,"New",(E16-C16)/C16))</f>
        <v>-0.298245614035088</v>
      </c>
      <c r="H16" s="8" t="n">
        <f aca="false">SUMIFS('Source'!$E:$E,'Source'!$A:$A,"160134 SUPER-PHARM HOLDING. SP.ZO.O",'Source'!$B:$B,$A16)</f>
        <v>20880.68</v>
      </c>
      <c r="I16" s="8" t="n">
        <f aca="false">SUMIFS('Source'!$G:$G,'Source'!$A:$A,"160134 SUPER-PHARM HOLDING. SP.ZO.O",'Source'!$B:$B,$A16)</f>
        <v>10415.22</v>
      </c>
      <c r="J16" s="8" t="n">
        <f aca="false">I16*$J$5</f>
        <v>13156.0673684211</v>
      </c>
      <c r="K16" s="8" t="n">
        <f aca="false">J16-H16</f>
        <v>-7724.61263157895</v>
      </c>
      <c r="L16" s="9" t="n">
        <f aca="false">IF(AND(H16=0,J16=0),0,IF(H16=0,"New",(J16-H16)/H16))</f>
        <v>-0.369940664364329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104</v>
      </c>
      <c r="B17" s="7" t="str">
        <f aca="false">IFERROR(INDEX('Source'!$C:$C,MATCH($A17,'Source'!$B:$B,0)),"")</f>
        <v>גרבי נסיעות אנטיבקטריאלי</v>
      </c>
      <c r="C17" s="8" t="n">
        <f aca="false">SUMIFS('Source'!$D:$D,'Source'!$A:$A,"160134 SUPER-PHARM HOLDING. SP.ZO.O",'Source'!$B:$B,$A17)</f>
        <v>151</v>
      </c>
      <c r="D17" s="8" t="n">
        <f aca="false">SUMIFS('Source'!$F:$F,'Source'!$A:$A,"160134 SUPER-PHARM HOLDING. SP.ZO.O",'Source'!$B:$B,$A17)</f>
        <v>520</v>
      </c>
      <c r="E17" s="8" t="n">
        <f aca="false">D17*$J$5</f>
        <v>656.842105263158</v>
      </c>
      <c r="F17" s="8" t="n">
        <f aca="false">E17-C17</f>
        <v>505.842105263158</v>
      </c>
      <c r="G17" s="9" t="n">
        <f aca="false">IF(AND(C17=0,E17=0),0,IF(C17=0,"New",(E17-C17)/C17))</f>
        <v>3.34994771697456</v>
      </c>
      <c r="H17" s="8" t="n">
        <f aca="false">SUMIFS('Source'!$E:$E,'Source'!$A:$A,"160134 SUPER-PHARM HOLDING. SP.ZO.O",'Source'!$B:$B,$A17)</f>
        <v>4987.86</v>
      </c>
      <c r="I17" s="8" t="n">
        <f aca="false">SUMIFS('Source'!$G:$G,'Source'!$A:$A,"160134 SUPER-PHARM HOLDING. SP.ZO.O",'Source'!$B:$B,$A17)</f>
        <v>15042.79</v>
      </c>
      <c r="J17" s="8" t="n">
        <f aca="false">I17*$J$5</f>
        <v>19001.4189473684</v>
      </c>
      <c r="K17" s="8" t="n">
        <f aca="false">J17-H17</f>
        <v>14013.5589473684</v>
      </c>
      <c r="L17" s="9" t="n">
        <f aca="false">IF(AND(H17=0,J17=0),0,IF(H17=0,"New",(J17-H17)/H17))</f>
        <v>2.8095333364145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311</v>
      </c>
      <c r="B18" s="7" t="str">
        <f aca="false">IFERROR(INDEX('Source'!$C:$C,MATCH($A18,'Source'!$B:$B,0)),"")</f>
        <v>מגן ברך + צירים</v>
      </c>
      <c r="C18" s="8" t="n">
        <f aca="false">SUMIFS('Source'!$D:$D,'Source'!$A:$A,"160134 SUPER-PHARM HOLDING. SP.ZO.O",'Source'!$B:$B,$A18)</f>
        <v>360</v>
      </c>
      <c r="D18" s="8" t="n">
        <f aca="false">SUMIFS('Source'!$F:$F,'Source'!$A:$A,"160134 SUPER-PHARM HOLDING. SP.ZO.O",'Source'!$B:$B,$A18)</f>
        <v>220</v>
      </c>
      <c r="E18" s="8" t="n">
        <f aca="false">D18*$J$5</f>
        <v>277.894736842105</v>
      </c>
      <c r="F18" s="8" t="n">
        <f aca="false">E18-C18</f>
        <v>-82.1052631578947</v>
      </c>
      <c r="G18" s="9" t="n">
        <f aca="false">IF(AND(C18=0,E18=0),0,IF(C18=0,"New",(E18-C18)/C18))</f>
        <v>-0.228070175438597</v>
      </c>
      <c r="H18" s="8" t="n">
        <f aca="false">SUMIFS('Source'!$E:$E,'Source'!$A:$A,"160134 SUPER-PHARM HOLDING. SP.ZO.O",'Source'!$B:$B,$A18)</f>
        <v>20957.82</v>
      </c>
      <c r="I18" s="8" t="n">
        <f aca="false">SUMIFS('Source'!$G:$G,'Source'!$A:$A,"160134 SUPER-PHARM HOLDING. SP.ZO.O",'Source'!$B:$B,$A18)</f>
        <v>11484.69</v>
      </c>
      <c r="J18" s="8" t="n">
        <f aca="false">I18*$J$5</f>
        <v>14506.9768421053</v>
      </c>
      <c r="K18" s="8" t="n">
        <f aca="false">J18-H18</f>
        <v>-6450.84315789474</v>
      </c>
      <c r="L18" s="9" t="n">
        <f aca="false">IF(AND(H18=0,J18=0),0,IF(H18=0,"New",(J18-H18)/H18))</f>
        <v>-0.307801248311835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649</v>
      </c>
      <c r="B19" s="7" t="str">
        <f aca="false">IFERROR(INDEX('Source'!$C:$C,MATCH($A19,'Source'!$B:$B,0)),"")</f>
        <v>כרית סיליקון לעקב</v>
      </c>
      <c r="C19" s="8" t="n">
        <f aca="false">SUMIFS('Source'!$D:$D,'Source'!$A:$A,"160134 SUPER-PHARM HOLDING. SP.ZO.O",'Source'!$B:$B,$A19)</f>
        <v>360</v>
      </c>
      <c r="D19" s="8" t="n">
        <f aca="false">SUMIFS('Source'!$F:$F,'Source'!$A:$A,"160134 SUPER-PHARM HOLDING. SP.ZO.O",'Source'!$B:$B,$A19)</f>
        <v>140</v>
      </c>
      <c r="E19" s="8" t="n">
        <f aca="false">D19*$J$5</f>
        <v>176.842105263158</v>
      </c>
      <c r="F19" s="8" t="n">
        <f aca="false">E19-C19</f>
        <v>-183.157894736842</v>
      </c>
      <c r="G19" s="9" t="n">
        <f aca="false">IF(AND(C19=0,E19=0),0,IF(C19=0,"New",(E19-C19)/C19))</f>
        <v>-0.508771929824561</v>
      </c>
      <c r="H19" s="8" t="n">
        <f aca="false">SUMIFS('Source'!$E:$E,'Source'!$A:$A,"160134 SUPER-PHARM HOLDING. SP.ZO.O",'Source'!$B:$B,$A19)</f>
        <v>14231.89</v>
      </c>
      <c r="I19" s="8" t="n">
        <f aca="false">SUMIFS('Source'!$G:$G,'Source'!$A:$A,"160134 SUPER-PHARM HOLDING. SP.ZO.O",'Source'!$B:$B,$A19)</f>
        <v>4902.66</v>
      </c>
      <c r="J19" s="8" t="n">
        <f aca="false">I19*$J$5</f>
        <v>6192.83368421053</v>
      </c>
      <c r="K19" s="8" t="n">
        <f aca="false">J19-H19</f>
        <v>-8039.05631578947</v>
      </c>
      <c r="L19" s="9" t="n">
        <f aca="false">IF(AND(H19=0,J19=0),0,IF(H19=0,"New",(J19-H19)/H19))</f>
        <v>-0.564862173315665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653</v>
      </c>
      <c r="B20" s="7" t="str">
        <f aca="false">IFERROR(INDEX('Source'!$C:$C,MATCH($A20,'Source'!$B:$B,0)),"")</f>
        <v>קינזיולוגי טייפ</v>
      </c>
      <c r="C20" s="8" t="n">
        <f aca="false">SUMIFS('Source'!$D:$D,'Source'!$A:$A,"160134 SUPER-PHARM HOLDING. SP.ZO.O",'Source'!$B:$B,$A20)</f>
        <v>1700</v>
      </c>
      <c r="D20" s="8" t="n">
        <f aca="false">SUMIFS('Source'!$F:$F,'Source'!$A:$A,"160134 SUPER-PHARM HOLDING. SP.ZO.O",'Source'!$B:$B,$A20)</f>
        <v>1400</v>
      </c>
      <c r="E20" s="8" t="n">
        <f aca="false">D20*$J$5</f>
        <v>1768.42105263158</v>
      </c>
      <c r="F20" s="8" t="n">
        <f aca="false">E20-C20</f>
        <v>68.421052631579</v>
      </c>
      <c r="G20" s="9" t="n">
        <f aca="false">IF(AND(C20=0,E20=0),0,IF(C20=0,"New",(E20-C20)/C20))</f>
        <v>0.0402476780185759</v>
      </c>
      <c r="H20" s="8" t="n">
        <f aca="false">SUMIFS('Source'!$E:$E,'Source'!$A:$A,"160134 SUPER-PHARM HOLDING. SP.ZO.O",'Source'!$B:$B,$A20)</f>
        <v>32023.54</v>
      </c>
      <c r="I20" s="8" t="n">
        <f aca="false">SUMIFS('Source'!$G:$G,'Source'!$A:$A,"160134 SUPER-PHARM HOLDING. SP.ZO.O",'Source'!$B:$B,$A20)</f>
        <v>22980.19</v>
      </c>
      <c r="J20" s="8" t="n">
        <f aca="false">I20*$J$5</f>
        <v>29027.6084210526</v>
      </c>
      <c r="K20" s="8" t="n">
        <f aca="false">J20-H20</f>
        <v>-2995.93157894737</v>
      </c>
      <c r="L20" s="9" t="n">
        <f aca="false">IF(AND(H20=0,J20=0),0,IF(H20=0,"New",(J20-H20)/H20))</f>
        <v>-0.0935540411505839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603</v>
      </c>
      <c r="B21" s="7" t="str">
        <f aca="false">IFERROR(INDEX('Source'!$C:$C,MATCH($A21,'Source'!$B:$B,0)),"")</f>
        <v>קינזיולוגי טייפ</v>
      </c>
      <c r="C21" s="8" t="n">
        <f aca="false">SUMIFS('Source'!$D:$D,'Source'!$A:$A,"160134 SUPER-PHARM HOLDING. SP.ZO.O",'Source'!$B:$B,$A21)</f>
        <v>500</v>
      </c>
      <c r="D21" s="8" t="n">
        <f aca="false">SUMIFS('Source'!$F:$F,'Source'!$A:$A,"160134 SUPER-PHARM HOLDING. SP.ZO.O",'Source'!$B:$B,$A21)</f>
        <v>0</v>
      </c>
      <c r="E21" s="8" t="n">
        <f aca="false">D21*$J$5</f>
        <v>0</v>
      </c>
      <c r="F21" s="8" t="n">
        <f aca="false">E21-C21</f>
        <v>-500</v>
      </c>
      <c r="G21" s="9" t="n">
        <f aca="false">IF(AND(C21=0,E21=0),0,IF(C21=0,"New",(E21-C21)/C21))</f>
        <v>-1</v>
      </c>
      <c r="H21" s="8" t="n">
        <f aca="false">SUMIFS('Source'!$E:$E,'Source'!$A:$A,"160134 SUPER-PHARM HOLDING. SP.ZO.O",'Source'!$B:$B,$A21)</f>
        <v>9000.24</v>
      </c>
      <c r="I21" s="8" t="n">
        <f aca="false">SUMIFS('Source'!$G:$G,'Source'!$A:$A,"160134 SUPER-PHARM HOLDING. SP.ZO.O",'Source'!$B:$B,$A21)</f>
        <v>0</v>
      </c>
      <c r="J21" s="8" t="n">
        <f aca="false">I21*$J$5</f>
        <v>0</v>
      </c>
      <c r="K21" s="8" t="n">
        <f aca="false">J21-H21</f>
        <v>-9000.24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731</v>
      </c>
      <c r="B22" s="7" t="str">
        <f aca="false">IFERROR(INDEX('Source'!$C:$C,MATCH($A22,'Source'!$B:$B,0)),"")</f>
        <v>קינזיולוגי טייפ</v>
      </c>
      <c r="C22" s="8" t="n">
        <f aca="false">SUMIFS('Source'!$D:$D,'Source'!$A:$A,"160134 SUPER-PHARM HOLDING. SP.ZO.O",'Source'!$B:$B,$A22)</f>
        <v>1600</v>
      </c>
      <c r="D22" s="8" t="n">
        <f aca="false">SUMIFS('Source'!$F:$F,'Source'!$A:$A,"160134 SUPER-PHARM HOLDING. SP.ZO.O",'Source'!$B:$B,$A22)</f>
        <v>1300</v>
      </c>
      <c r="E22" s="8" t="n">
        <f aca="false">D22*$J$5</f>
        <v>1642.10526315789</v>
      </c>
      <c r="F22" s="8" t="n">
        <f aca="false">E22-C22</f>
        <v>42.1052631578946</v>
      </c>
      <c r="G22" s="9" t="n">
        <f aca="false">IF(AND(C22=0,E22=0),0,IF(C22=0,"New",(E22-C22)/C22))</f>
        <v>0.0263157894736841</v>
      </c>
      <c r="H22" s="8" t="n">
        <f aca="false">SUMIFS('Source'!$E:$E,'Source'!$A:$A,"160134 SUPER-PHARM HOLDING. SP.ZO.O",'Source'!$B:$B,$A22)</f>
        <v>30065.76</v>
      </c>
      <c r="I22" s="8" t="n">
        <f aca="false">SUMIFS('Source'!$G:$G,'Source'!$A:$A,"160134 SUPER-PHARM HOLDING. SP.ZO.O",'Source'!$B:$B,$A22)</f>
        <v>21555.45</v>
      </c>
      <c r="J22" s="8" t="n">
        <f aca="false">I22*$J$5</f>
        <v>27227.9368421053</v>
      </c>
      <c r="K22" s="8" t="n">
        <f aca="false">J22-H22</f>
        <v>-2837.82315789474</v>
      </c>
      <c r="L22" s="9" t="n">
        <f aca="false">IF(AND(H22=0,J22=0),0,IF(H22=0,"New",(J22-H22)/H22))</f>
        <v>-0.0943872085021213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212</v>
      </c>
      <c r="B23" s="7" t="str">
        <f aca="false">IFERROR(INDEX('Source'!$C:$C,MATCH($A23,'Source'!$B:$B,0)),"")</f>
        <v>חגורת גב אפורה</v>
      </c>
      <c r="C23" s="8" t="n">
        <f aca="false">SUMIFS('Source'!$D:$D,'Source'!$A:$A,"160134 SUPER-PHARM HOLDING. SP.ZO.O",'Source'!$B:$B,$A23)</f>
        <v>190</v>
      </c>
      <c r="D23" s="8" t="n">
        <f aca="false">SUMIFS('Source'!$F:$F,'Source'!$A:$A,"160134 SUPER-PHARM HOLDING. SP.ZO.O",'Source'!$B:$B,$A23)</f>
        <v>80</v>
      </c>
      <c r="E23" s="8" t="n">
        <f aca="false">D23*$J$5</f>
        <v>101.052631578947</v>
      </c>
      <c r="F23" s="8" t="n">
        <f aca="false">E23-C23</f>
        <v>-88.9473684210526</v>
      </c>
      <c r="G23" s="9" t="n">
        <f aca="false">IF(AND(C23=0,E23=0),0,IF(C23=0,"New",(E23-C23)/C23))</f>
        <v>-0.46814404432133</v>
      </c>
      <c r="H23" s="8" t="n">
        <f aca="false">SUMIFS('Source'!$E:$E,'Source'!$A:$A,"160134 SUPER-PHARM HOLDING. SP.ZO.O",'Source'!$B:$B,$A23)</f>
        <v>13475.39</v>
      </c>
      <c r="I23" s="8" t="n">
        <f aca="false">SUMIFS('Source'!$G:$G,'Source'!$A:$A,"160134 SUPER-PHARM HOLDING. SP.ZO.O",'Source'!$B:$B,$A23)</f>
        <v>4998.35</v>
      </c>
      <c r="J23" s="8" t="n">
        <f aca="false">I23*$J$5</f>
        <v>6313.70526315789</v>
      </c>
      <c r="K23" s="8" t="n">
        <f aca="false">J23-H23</f>
        <v>-7161.68473684211</v>
      </c>
      <c r="L23" s="9" t="n">
        <f aca="false">IF(AND(H23=0,J23=0),0,IF(H23=0,"New",(J23-H23)/H23))</f>
        <v>-0.531464004889069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617</v>
      </c>
      <c r="B24" s="7" t="str">
        <f aca="false">IFERROR(INDEX('Source'!$C:$C,MATCH($A24,'Source'!$B:$B,0)),"")</f>
        <v>'תחבושת אלסטית נצמדת צבע בז</v>
      </c>
      <c r="C24" s="8" t="n">
        <f aca="false">SUMIFS('Source'!$D:$D,'Source'!$A:$A,"160134 SUPER-PHARM HOLDING. SP.ZO.O",'Source'!$B:$B,$A24)</f>
        <v>2200</v>
      </c>
      <c r="D24" s="8" t="n">
        <f aca="false">SUMIFS('Source'!$F:$F,'Source'!$A:$A,"160134 SUPER-PHARM HOLDING. SP.ZO.O",'Source'!$B:$B,$A24)</f>
        <v>1300</v>
      </c>
      <c r="E24" s="8" t="n">
        <f aca="false">D24*$J$5</f>
        <v>1642.10526315789</v>
      </c>
      <c r="F24" s="8" t="n">
        <f aca="false">E24-C24</f>
        <v>-557.894736842105</v>
      </c>
      <c r="G24" s="9" t="n">
        <f aca="false">IF(AND(C24=0,E24=0),0,IF(C24=0,"New",(E24-C24)/C24))</f>
        <v>-0.253588516746412</v>
      </c>
      <c r="H24" s="8" t="n">
        <f aca="false">SUMIFS('Source'!$E:$E,'Source'!$A:$A,"160134 SUPER-PHARM HOLDING. SP.ZO.O",'Source'!$B:$B,$A24)</f>
        <v>17111.62</v>
      </c>
      <c r="I24" s="8" t="n">
        <f aca="false">SUMIFS('Source'!$G:$G,'Source'!$A:$A,"160134 SUPER-PHARM HOLDING. SP.ZO.O",'Source'!$B:$B,$A24)</f>
        <v>9059.98</v>
      </c>
      <c r="J24" s="8" t="n">
        <f aca="false">I24*$J$5</f>
        <v>11444.1852631579</v>
      </c>
      <c r="K24" s="8" t="n">
        <f aca="false">J24-H24</f>
        <v>-5667.43473684211</v>
      </c>
      <c r="L24" s="9" t="n">
        <f aca="false">IF(AND(H24=0,J24=0),0,IF(H24=0,"New",(J24-H24)/H24))</f>
        <v>-0.331203868297806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632</v>
      </c>
      <c r="B25" s="7" t="str">
        <f aca="false">IFERROR(INDEX('Source'!$C:$C,MATCH($A25,'Source'!$B:$B,0)),"")</f>
        <v>קינזיולוגי טייפ</v>
      </c>
      <c r="C25" s="8" t="n">
        <f aca="false">SUMIFS('Source'!$D:$D,'Source'!$A:$A,"160134 SUPER-PHARM HOLDING. SP.ZO.O",'Source'!$B:$B,$A25)</f>
        <v>1450</v>
      </c>
      <c r="D25" s="8" t="n">
        <f aca="false">SUMIFS('Source'!$F:$F,'Source'!$A:$A,"160134 SUPER-PHARM HOLDING. SP.ZO.O",'Source'!$B:$B,$A25)</f>
        <v>1200</v>
      </c>
      <c r="E25" s="8" t="n">
        <f aca="false">D25*$J$5</f>
        <v>1515.78947368421</v>
      </c>
      <c r="F25" s="8" t="n">
        <f aca="false">E25-C25</f>
        <v>65.7894736842104</v>
      </c>
      <c r="G25" s="9" t="n">
        <f aca="false">IF(AND(C25=0,E25=0),0,IF(C25=0,"New",(E25-C25)/C25))</f>
        <v>0.0453720508166968</v>
      </c>
      <c r="H25" s="8" t="n">
        <f aca="false">SUMIFS('Source'!$E:$E,'Source'!$A:$A,"160134 SUPER-PHARM HOLDING. SP.ZO.O",'Source'!$B:$B,$A25)</f>
        <v>27344.66</v>
      </c>
      <c r="I25" s="8" t="n">
        <f aca="false">SUMIFS('Source'!$G:$G,'Source'!$A:$A,"160134 SUPER-PHARM HOLDING. SP.ZO.O",'Source'!$B:$B,$A25)</f>
        <v>20061.36</v>
      </c>
      <c r="J25" s="8" t="n">
        <f aca="false">I25*$J$5</f>
        <v>25340.6652631579</v>
      </c>
      <c r="K25" s="8" t="n">
        <f aca="false">J25-H25</f>
        <v>-2003.99473684211</v>
      </c>
      <c r="L25" s="9" t="n">
        <f aca="false">IF(AND(H25=0,J25=0),0,IF(H25=0,"New",(J25-H25)/H25))</f>
        <v>-0.0732865114008404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416</v>
      </c>
      <c r="B26" s="7" t="str">
        <f aca="false">IFERROR(INDEX('Source'!$C:$C,MATCH($A26,'Source'!$B:$B,0)),"")</f>
        <v>קינזיולוגי טייפ</v>
      </c>
      <c r="C26" s="8" t="n">
        <f aca="false">SUMIFS('Source'!$D:$D,'Source'!$A:$A,"160134 SUPER-PHARM HOLDING. SP.ZO.O",'Source'!$B:$B,$A26)</f>
        <v>400</v>
      </c>
      <c r="D26" s="8" t="n">
        <f aca="false">SUMIFS('Source'!$F:$F,'Source'!$A:$A,"160134 SUPER-PHARM HOLDING. SP.ZO.O",'Source'!$B:$B,$A26)</f>
        <v>0</v>
      </c>
      <c r="E26" s="8" t="n">
        <f aca="false">D26*$J$5</f>
        <v>0</v>
      </c>
      <c r="F26" s="8" t="n">
        <f aca="false">E26-C26</f>
        <v>-400</v>
      </c>
      <c r="G26" s="9" t="n">
        <f aca="false">IF(AND(C26=0,E26=0),0,IF(C26=0,"New",(E26-C26)/C26))</f>
        <v>-1</v>
      </c>
      <c r="H26" s="8" t="n">
        <f aca="false">SUMIFS('Source'!$E:$E,'Source'!$A:$A,"160134 SUPER-PHARM HOLDING. SP.ZO.O",'Source'!$B:$B,$A26)</f>
        <v>7200.19</v>
      </c>
      <c r="I26" s="8" t="n">
        <f aca="false">SUMIFS('Source'!$G:$G,'Source'!$A:$A,"160134 SUPER-PHARM HOLDING. SP.ZO.O",'Source'!$B:$B,$A26)</f>
        <v>0</v>
      </c>
      <c r="J26" s="8" t="n">
        <f aca="false">I26*$J$5</f>
        <v>0</v>
      </c>
      <c r="K26" s="8" t="n">
        <f aca="false">J26-H26</f>
        <v>-7200.19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601</v>
      </c>
      <c r="B27" s="7" t="str">
        <f aca="false">IFERROR(INDEX('Source'!$C:$C,MATCH($A27,'Source'!$B:$B,0)),"")</f>
        <v>קינזיולוגי טייפ</v>
      </c>
      <c r="C27" s="8" t="n">
        <f aca="false">SUMIFS('Source'!$D:$D,'Source'!$A:$A,"160134 SUPER-PHARM HOLDING. SP.ZO.O",'Source'!$B:$B,$A27)</f>
        <v>400</v>
      </c>
      <c r="D27" s="8" t="n">
        <f aca="false">SUMIFS('Source'!$F:$F,'Source'!$A:$A,"160134 SUPER-PHARM HOLDING. SP.ZO.O",'Source'!$B:$B,$A27)</f>
        <v>0</v>
      </c>
      <c r="E27" s="8" t="n">
        <f aca="false">D27*$J$5</f>
        <v>0</v>
      </c>
      <c r="F27" s="8" t="n">
        <f aca="false">E27-C27</f>
        <v>-400</v>
      </c>
      <c r="G27" s="9" t="n">
        <f aca="false">IF(AND(C27=0,E27=0),0,IF(C27=0,"New",(E27-C27)/C27))</f>
        <v>-1</v>
      </c>
      <c r="H27" s="8" t="n">
        <f aca="false">SUMIFS('Source'!$E:$E,'Source'!$A:$A,"160134 SUPER-PHARM HOLDING. SP.ZO.O",'Source'!$B:$B,$A27)</f>
        <v>7200.19</v>
      </c>
      <c r="I27" s="8" t="n">
        <f aca="false">SUMIFS('Source'!$G:$G,'Source'!$A:$A,"160134 SUPER-PHARM HOLDING. SP.ZO.O",'Source'!$B:$B,$A27)</f>
        <v>0</v>
      </c>
      <c r="J27" s="8" t="n">
        <f aca="false">I27*$J$5</f>
        <v>0</v>
      </c>
      <c r="K27" s="8" t="n">
        <f aca="false">J27-H27</f>
        <v>-7200.19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441</v>
      </c>
      <c r="B28" s="7" t="str">
        <f aca="false">IFERROR(INDEX('Source'!$C:$C,MATCH($A28,'Source'!$B:$B,0)),"")</f>
        <v>מגן קרסול</v>
      </c>
      <c r="C28" s="8" t="n">
        <f aca="false">SUMIFS('Source'!$D:$D,'Source'!$A:$A,"160134 SUPER-PHARM HOLDING. SP.ZO.O",'Source'!$B:$B,$A28)</f>
        <v>570</v>
      </c>
      <c r="D28" s="8" t="n">
        <f aca="false">SUMIFS('Source'!$F:$F,'Source'!$A:$A,"160134 SUPER-PHARM HOLDING. SP.ZO.O",'Source'!$B:$B,$A28)</f>
        <v>310</v>
      </c>
      <c r="E28" s="8" t="n">
        <f aca="false">D28*$J$5</f>
        <v>391.578947368421</v>
      </c>
      <c r="F28" s="8" t="n">
        <f aca="false">E28-C28</f>
        <v>-178.421052631579</v>
      </c>
      <c r="G28" s="9" t="n">
        <f aca="false">IF(AND(C28=0,E28=0),0,IF(C28=0,"New",(E28-C28)/C28))</f>
        <v>-0.313019390581717</v>
      </c>
      <c r="H28" s="8" t="n">
        <f aca="false">SUMIFS('Source'!$E:$E,'Source'!$A:$A,"160134 SUPER-PHARM HOLDING. SP.ZO.O",'Source'!$B:$B,$A28)</f>
        <v>13974.56</v>
      </c>
      <c r="I28" s="8" t="n">
        <f aca="false">SUMIFS('Source'!$G:$G,'Source'!$A:$A,"160134 SUPER-PHARM HOLDING. SP.ZO.O",'Source'!$B:$B,$A28)</f>
        <v>6836.26</v>
      </c>
      <c r="J28" s="8" t="n">
        <f aca="false">I28*$J$5</f>
        <v>8635.27578947368</v>
      </c>
      <c r="K28" s="8" t="n">
        <f aca="false">J28-H28</f>
        <v>-5339.28421052632</v>
      </c>
      <c r="L28" s="9" t="n">
        <f aca="false">IF(AND(H28=0,J28=0),0,IF(H28=0,"New",(J28-H28)/H28))</f>
        <v>-0.382071722510499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232</v>
      </c>
      <c r="B29" s="7" t="str">
        <f aca="false">IFERROR(INDEX('Source'!$C:$C,MATCH($A29,'Source'!$B:$B,0)),"")</f>
        <v>חגורת גב אפורה</v>
      </c>
      <c r="C29" s="8" t="n">
        <f aca="false">SUMIFS('Source'!$D:$D,'Source'!$A:$A,"160134 SUPER-PHARM HOLDING. SP.ZO.O",'Source'!$B:$B,$A29)</f>
        <v>160</v>
      </c>
      <c r="D29" s="8" t="n">
        <f aca="false">SUMIFS('Source'!$F:$F,'Source'!$A:$A,"160134 SUPER-PHARM HOLDING. SP.ZO.O",'Source'!$B:$B,$A29)</f>
        <v>70</v>
      </c>
      <c r="E29" s="8" t="n">
        <f aca="false">D29*$J$5</f>
        <v>88.421052631579</v>
      </c>
      <c r="F29" s="8" t="n">
        <f aca="false">E29-C29</f>
        <v>-71.5789473684211</v>
      </c>
      <c r="G29" s="9" t="n">
        <f aca="false">IF(AND(C29=0,E29=0),0,IF(C29=0,"New",(E29-C29)/C29))</f>
        <v>-0.447368421052632</v>
      </c>
      <c r="H29" s="8" t="n">
        <f aca="false">SUMIFS('Source'!$E:$E,'Source'!$A:$A,"160134 SUPER-PHARM HOLDING. SP.ZO.O",'Source'!$B:$B,$A29)</f>
        <v>11350</v>
      </c>
      <c r="I29" s="8" t="n">
        <f aca="false">SUMIFS('Source'!$G:$G,'Source'!$A:$A,"160134 SUPER-PHARM HOLDING. SP.ZO.O",'Source'!$B:$B,$A29)</f>
        <v>4455.67</v>
      </c>
      <c r="J29" s="8" t="n">
        <f aca="false">I29*$J$5</f>
        <v>5628.21473684211</v>
      </c>
      <c r="K29" s="8" t="n">
        <f aca="false">J29-H29</f>
        <v>-5721.7852631579</v>
      </c>
      <c r="L29" s="9" t="n">
        <f aca="false">IF(AND(H29=0,J29=0),0,IF(H29=0,"New",(J29-H29)/H29))</f>
        <v>-0.504122049617436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390</v>
      </c>
      <c r="B30" s="7" t="str">
        <f aca="false">IFERROR(INDEX('Source'!$C:$C,MATCH($A30,'Source'!$B:$B,0)),"")</f>
        <v>חגורת גב אפורה</v>
      </c>
      <c r="C30" s="8" t="n">
        <f aca="false">SUMIFS('Source'!$D:$D,'Source'!$A:$A,"160134 SUPER-PHARM HOLDING. SP.ZO.O",'Source'!$B:$B,$A30)</f>
        <v>140</v>
      </c>
      <c r="D30" s="8" t="n">
        <f aca="false">SUMIFS('Source'!$F:$F,'Source'!$A:$A,"160134 SUPER-PHARM HOLDING. SP.ZO.O",'Source'!$B:$B,$A30)</f>
        <v>50</v>
      </c>
      <c r="E30" s="8" t="n">
        <f aca="false">D30*$J$5</f>
        <v>63.1578947368421</v>
      </c>
      <c r="F30" s="8" t="n">
        <f aca="false">E30-C30</f>
        <v>-76.8421052631579</v>
      </c>
      <c r="G30" s="9" t="n">
        <f aca="false">IF(AND(C30=0,E30=0),0,IF(C30=0,"New",(E30-C30)/C30))</f>
        <v>-0.548872180451128</v>
      </c>
      <c r="H30" s="8" t="n">
        <f aca="false">SUMIFS('Source'!$E:$E,'Source'!$A:$A,"160134 SUPER-PHARM HOLDING. SP.ZO.O",'Source'!$B:$B,$A30)</f>
        <v>9909.22</v>
      </c>
      <c r="I30" s="8" t="n">
        <f aca="false">SUMIFS('Source'!$G:$G,'Source'!$A:$A,"160134 SUPER-PHARM HOLDING. SP.ZO.O",'Source'!$B:$B,$A30)</f>
        <v>3127.11</v>
      </c>
      <c r="J30" s="8" t="n">
        <f aca="false">I30*$J$5</f>
        <v>3950.03368421053</v>
      </c>
      <c r="K30" s="8" t="n">
        <f aca="false">J30-H30</f>
        <v>-5959.18631578947</v>
      </c>
      <c r="L30" s="9" t="n">
        <f aca="false">IF(AND(H30=0,J30=0),0,IF(H30=0,"New",(J30-H30)/H30))</f>
        <v>-0.601377940523015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746</v>
      </c>
      <c r="B31" s="7" t="str">
        <f aca="false">IFERROR(INDEX('Source'!$C:$C,MATCH($A31,'Source'!$B:$B,0)),"")</f>
        <v>מגן ברך עם כרית ג'ל</v>
      </c>
      <c r="C31" s="8" t="n">
        <f aca="false">SUMIFS('Source'!$D:$D,'Source'!$A:$A,"160134 SUPER-PHARM HOLDING. SP.ZO.O",'Source'!$B:$B,$A31)</f>
        <v>240</v>
      </c>
      <c r="D31" s="8" t="n">
        <f aca="false">SUMIFS('Source'!$F:$F,'Source'!$A:$A,"160134 SUPER-PHARM HOLDING. SP.ZO.O",'Source'!$B:$B,$A31)</f>
        <v>140</v>
      </c>
      <c r="E31" s="8" t="n">
        <f aca="false">D31*$J$5</f>
        <v>176.842105263158</v>
      </c>
      <c r="F31" s="8" t="n">
        <f aca="false">E31-C31</f>
        <v>-63.1578947368421</v>
      </c>
      <c r="G31" s="9" t="n">
        <f aca="false">IF(AND(C31=0,E31=0),0,IF(C31=0,"New",(E31-C31)/C31))</f>
        <v>-0.263157894736842</v>
      </c>
      <c r="H31" s="8" t="n">
        <f aca="false">SUMIFS('Source'!$E:$E,'Source'!$A:$A,"160134 SUPER-PHARM HOLDING. SP.ZO.O",'Source'!$B:$B,$A31)</f>
        <v>14000.19</v>
      </c>
      <c r="I31" s="8" t="n">
        <f aca="false">SUMIFS('Source'!$G:$G,'Source'!$A:$A,"160134 SUPER-PHARM HOLDING. SP.ZO.O",'Source'!$B:$B,$A31)</f>
        <v>7279.87</v>
      </c>
      <c r="J31" s="8" t="n">
        <f aca="false">I31*$J$5</f>
        <v>9195.6252631579</v>
      </c>
      <c r="K31" s="8" t="n">
        <f aca="false">J31-H31</f>
        <v>-4804.56473684211</v>
      </c>
      <c r="L31" s="9" t="n">
        <f aca="false">IF(AND(H31=0,J31=0),0,IF(H31=0,"New",(J31-H31)/H31))</f>
        <v>-0.343178538065705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582</v>
      </c>
      <c r="B32" s="7" t="str">
        <f aca="false">IFERROR(INDEX('Source'!$C:$C,MATCH($A32,'Source'!$B:$B,0)),"")</f>
        <v>חבק לשורש כף היד</v>
      </c>
      <c r="C32" s="8" t="n">
        <f aca="false">SUMIFS('Source'!$D:$D,'Source'!$A:$A,"160134 SUPER-PHARM HOLDING. SP.ZO.O",'Source'!$B:$B,$A32)</f>
        <v>690</v>
      </c>
      <c r="D32" s="8" t="n">
        <f aca="false">SUMIFS('Source'!$F:$F,'Source'!$A:$A,"160134 SUPER-PHARM HOLDING. SP.ZO.O",'Source'!$B:$B,$A32)</f>
        <v>400</v>
      </c>
      <c r="E32" s="8" t="n">
        <f aca="false">D32*$J$5</f>
        <v>505.263157894737</v>
      </c>
      <c r="F32" s="8" t="n">
        <f aca="false">E32-C32</f>
        <v>-184.736842105263</v>
      </c>
      <c r="G32" s="9" t="n">
        <f aca="false">IF(AND(C32=0,E32=0),0,IF(C32=0,"New",(E32-C32)/C32))</f>
        <v>-0.267734553775744</v>
      </c>
      <c r="H32" s="8" t="n">
        <f aca="false">SUMIFS('Source'!$E:$E,'Source'!$A:$A,"160134 SUPER-PHARM HOLDING. SP.ZO.O",'Source'!$B:$B,$A32)</f>
        <v>13751.05</v>
      </c>
      <c r="I32" s="8" t="n">
        <f aca="false">SUMIFS('Source'!$G:$G,'Source'!$A:$A,"160134 SUPER-PHARM HOLDING. SP.ZO.O",'Source'!$B:$B,$A32)</f>
        <v>7161.24</v>
      </c>
      <c r="J32" s="8" t="n">
        <f aca="false">I32*$J$5</f>
        <v>9045.77684210526</v>
      </c>
      <c r="K32" s="8" t="n">
        <f aca="false">J32-H32</f>
        <v>-4705.27315789474</v>
      </c>
      <c r="L32" s="9" t="n">
        <f aca="false">IF(AND(H32=0,J32=0),0,IF(H32=0,"New",(J32-H32)/H32))</f>
        <v>-0.342175554440914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483</v>
      </c>
      <c r="B33" s="7" t="str">
        <f aca="false">IFERROR(INDEX('Source'!$C:$C,MATCH($A33,'Source'!$B:$B,0)),"")</f>
        <v>כרית סיליקון לעקב</v>
      </c>
      <c r="C33" s="8" t="n">
        <f aca="false">SUMIFS('Source'!$D:$D,'Source'!$A:$A,"160134 SUPER-PHARM HOLDING. SP.ZO.O",'Source'!$B:$B,$A33)</f>
        <v>300</v>
      </c>
      <c r="D33" s="8" t="n">
        <f aca="false">SUMIFS('Source'!$F:$F,'Source'!$A:$A,"160134 SUPER-PHARM HOLDING. SP.ZO.O",'Source'!$B:$B,$A33)</f>
        <v>160</v>
      </c>
      <c r="E33" s="8" t="n">
        <f aca="false">D33*$J$5</f>
        <v>202.105263157895</v>
      </c>
      <c r="F33" s="8" t="n">
        <f aca="false">E33-C33</f>
        <v>-97.8947368421053</v>
      </c>
      <c r="G33" s="9" t="n">
        <f aca="false">IF(AND(C33=0,E33=0),0,IF(C33=0,"New",(E33-C33)/C33))</f>
        <v>-0.326315789473684</v>
      </c>
      <c r="H33" s="8" t="n">
        <f aca="false">SUMIFS('Source'!$E:$E,'Source'!$A:$A,"160134 SUPER-PHARM HOLDING. SP.ZO.O",'Source'!$B:$B,$A33)</f>
        <v>11829.76</v>
      </c>
      <c r="I33" s="8" t="n">
        <f aca="false">SUMIFS('Source'!$G:$G,'Source'!$A:$A,"160134 SUPER-PHARM HOLDING. SP.ZO.O",'Source'!$B:$B,$A33)</f>
        <v>5602.35</v>
      </c>
      <c r="J33" s="8" t="n">
        <f aca="false">I33*$J$5</f>
        <v>7076.65263157895</v>
      </c>
      <c r="K33" s="8" t="n">
        <f aca="false">J33-H33</f>
        <v>-4753.10736842105</v>
      </c>
      <c r="L33" s="9" t="n">
        <f aca="false">IF(AND(H33=0,J33=0),0,IF(H33=0,"New",(J33-H33)/H33))</f>
        <v>-0.401792375197895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135</v>
      </c>
      <c r="B34" s="7" t="str">
        <f aca="false">IFERROR(INDEX('Source'!$C:$C,MATCH($A34,'Source'!$B:$B,0)),"")</f>
        <v>מגן ברך עם תמיכות</v>
      </c>
      <c r="C34" s="8" t="n">
        <f aca="false">SUMIFS('Source'!$D:$D,'Source'!$A:$A,"160134 SUPER-PHARM HOLDING. SP.ZO.O",'Source'!$B:$B,$A34)</f>
        <v>320</v>
      </c>
      <c r="D34" s="8" t="n">
        <f aca="false">SUMIFS('Source'!$F:$F,'Source'!$A:$A,"160134 SUPER-PHARM HOLDING. SP.ZO.O",'Source'!$B:$B,$A34)</f>
        <v>210</v>
      </c>
      <c r="E34" s="8" t="n">
        <f aca="false">D34*$J$5</f>
        <v>265.263157894737</v>
      </c>
      <c r="F34" s="8" t="n">
        <f aca="false">E34-C34</f>
        <v>-54.7368421052632</v>
      </c>
      <c r="G34" s="9" t="n">
        <f aca="false">IF(AND(C34=0,E34=0),0,IF(C34=0,"New",(E34-C34)/C34))</f>
        <v>-0.171052631578947</v>
      </c>
      <c r="H34" s="8" t="n">
        <f aca="false">SUMIFS('Source'!$E:$E,'Source'!$A:$A,"160134 SUPER-PHARM HOLDING. SP.ZO.O",'Source'!$B:$B,$A34)</f>
        <v>14546.37</v>
      </c>
      <c r="I34" s="8" t="n">
        <f aca="false">SUMIFS('Source'!$G:$G,'Source'!$A:$A,"160134 SUPER-PHARM HOLDING. SP.ZO.O",'Source'!$B:$B,$A34)</f>
        <v>8492.98</v>
      </c>
      <c r="J34" s="8" t="n">
        <f aca="false">I34*$J$5</f>
        <v>10727.9747368421</v>
      </c>
      <c r="K34" s="8" t="n">
        <f aca="false">J34-H34</f>
        <v>-3818.3952631579</v>
      </c>
      <c r="L34" s="9" t="n">
        <f aca="false">IF(AND(H34=0,J34=0),0,IF(H34=0,"New",(J34-H34)/H34))</f>
        <v>-0.262498153364578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101</v>
      </c>
      <c r="B35" s="7" t="str">
        <f aca="false">IFERROR(INDEX('Source'!$C:$C,MATCH($A35,'Source'!$B:$B,0)),"")</f>
        <v>מיישר כתפיים</v>
      </c>
      <c r="C35" s="8" t="n">
        <f aca="false">SUMIFS('Source'!$D:$D,'Source'!$A:$A,"160134 SUPER-PHARM HOLDING. SP.ZO.O",'Source'!$B:$B,$A35)</f>
        <v>280</v>
      </c>
      <c r="D35" s="8" t="n">
        <f aca="false">SUMIFS('Source'!$F:$F,'Source'!$A:$A,"160134 SUPER-PHARM HOLDING. SP.ZO.O",'Source'!$B:$B,$A35)</f>
        <v>180</v>
      </c>
      <c r="E35" s="8" t="n">
        <f aca="false">D35*$J$5</f>
        <v>227.368421052632</v>
      </c>
      <c r="F35" s="8" t="n">
        <f aca="false">E35-C35</f>
        <v>-52.6315789473684</v>
      </c>
      <c r="G35" s="9" t="n">
        <f aca="false">IF(AND(C35=0,E35=0),0,IF(C35=0,"New",(E35-C35)/C35))</f>
        <v>-0.18796992481203</v>
      </c>
      <c r="H35" s="8" t="n">
        <f aca="false">SUMIFS('Source'!$E:$E,'Source'!$A:$A,"160134 SUPER-PHARM HOLDING. SP.ZO.O",'Source'!$B:$B,$A35)</f>
        <v>14059.75</v>
      </c>
      <c r="I35" s="8" t="n">
        <f aca="false">SUMIFS('Source'!$G:$G,'Source'!$A:$A,"160134 SUPER-PHARM HOLDING. SP.ZO.O",'Source'!$B:$B,$A35)</f>
        <v>8098.31</v>
      </c>
      <c r="J35" s="8" t="n">
        <f aca="false">I35*$J$5</f>
        <v>10229.4442105263</v>
      </c>
      <c r="K35" s="8" t="n">
        <f aca="false">J35-H35</f>
        <v>-3830.30578947369</v>
      </c>
      <c r="L35" s="9" t="n">
        <f aca="false">IF(AND(H35=0,J35=0),0,IF(H35=0,"New",(J35-H35)/H35))</f>
        <v>-0.272430575897415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342</v>
      </c>
      <c r="B36" s="7" t="str">
        <f aca="false">IFERROR(INDEX('Source'!$C:$C,MATCH($A36,'Source'!$B:$B,0)),"")</f>
        <v>מדרס מג'ל</v>
      </c>
      <c r="C36" s="8" t="n">
        <f aca="false">SUMIFS('Source'!$D:$D,'Source'!$A:$A,"160134 SUPER-PHARM HOLDING. SP.ZO.O",'Source'!$B:$B,$A36)</f>
        <v>330</v>
      </c>
      <c r="D36" s="8" t="n">
        <f aca="false">SUMIFS('Source'!$F:$F,'Source'!$A:$A,"160134 SUPER-PHARM HOLDING. SP.ZO.O",'Source'!$B:$B,$A36)</f>
        <v>180</v>
      </c>
      <c r="E36" s="8" t="n">
        <f aca="false">D36*$J$5</f>
        <v>227.368421052632</v>
      </c>
      <c r="F36" s="8" t="n">
        <f aca="false">E36-C36</f>
        <v>-102.631578947368</v>
      </c>
      <c r="G36" s="9" t="n">
        <f aca="false">IF(AND(C36=0,E36=0),0,IF(C36=0,"New",(E36-C36)/C36))</f>
        <v>-0.311004784688995</v>
      </c>
      <c r="H36" s="8" t="n">
        <f aca="false">SUMIFS('Source'!$E:$E,'Source'!$A:$A,"160134 SUPER-PHARM HOLDING. SP.ZO.O",'Source'!$B:$B,$A36)</f>
        <v>11377.74</v>
      </c>
      <c r="I36" s="8" t="n">
        <f aca="false">SUMIFS('Source'!$G:$G,'Source'!$A:$A,"160134 SUPER-PHARM HOLDING. SP.ZO.O",'Source'!$B:$B,$A36)</f>
        <v>5597.66</v>
      </c>
      <c r="J36" s="8" t="n">
        <f aca="false">I36*$J$5</f>
        <v>7070.72842105263</v>
      </c>
      <c r="K36" s="8" t="n">
        <f aca="false">J36-H36</f>
        <v>-4307.01157894737</v>
      </c>
      <c r="L36" s="9" t="n">
        <f aca="false">IF(AND(H36=0,J36=0),0,IF(H36=0,"New",(J36-H36)/H36))</f>
        <v>-0.378547196450909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214</v>
      </c>
      <c r="B37" s="7" t="str">
        <f aca="false">IFERROR(INDEX('Source'!$C:$C,MATCH($A37,'Source'!$B:$B,0)),"")</f>
        <v>חגורת גב אפורה</v>
      </c>
      <c r="C37" s="8" t="n">
        <f aca="false">SUMIFS('Source'!$D:$D,'Source'!$A:$A,"160134 SUPER-PHARM HOLDING. SP.ZO.O",'Source'!$B:$B,$A37)</f>
        <v>106</v>
      </c>
      <c r="D37" s="8" t="n">
        <f aca="false">SUMIFS('Source'!$F:$F,'Source'!$A:$A,"160134 SUPER-PHARM HOLDING. SP.ZO.O",'Source'!$B:$B,$A37)</f>
        <v>30</v>
      </c>
      <c r="E37" s="8" t="n">
        <f aca="false">D37*$J$5</f>
        <v>37.8947368421053</v>
      </c>
      <c r="F37" s="8" t="n">
        <f aca="false">E37-C37</f>
        <v>-68.1052631578947</v>
      </c>
      <c r="G37" s="9" t="n">
        <f aca="false">IF(AND(C37=0,E37=0),0,IF(C37=0,"New",(E37-C37)/C37))</f>
        <v>-0.642502482621648</v>
      </c>
      <c r="H37" s="8" t="n">
        <f aca="false">SUMIFS('Source'!$E:$E,'Source'!$A:$A,"160134 SUPER-PHARM HOLDING. SP.ZO.O",'Source'!$B:$B,$A37)</f>
        <v>7580.06</v>
      </c>
      <c r="I37" s="8" t="n">
        <f aca="false">SUMIFS('Source'!$G:$G,'Source'!$A:$A,"160134 SUPER-PHARM HOLDING. SP.ZO.O",'Source'!$B:$B,$A37)</f>
        <v>1920.14</v>
      </c>
      <c r="J37" s="8" t="n">
        <f aca="false">I37*$J$5</f>
        <v>2425.44</v>
      </c>
      <c r="K37" s="8" t="n">
        <f aca="false">J37-H37</f>
        <v>-5154.62</v>
      </c>
      <c r="L37" s="9" t="n">
        <f aca="false">IF(AND(H37=0,J37=0),0,IF(H37=0,"New",(J37-H37)/H37))</f>
        <v>-0.680023640973818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626</v>
      </c>
      <c r="B38" s="7" t="str">
        <f aca="false">IFERROR(INDEX('Source'!$C:$C,MATCH($A38,'Source'!$B:$B,0)),"")</f>
        <v>חגורת בטן</v>
      </c>
      <c r="C38" s="8" t="n">
        <f aca="false">SUMIFS('Source'!$D:$D,'Source'!$A:$A,"160134 SUPER-PHARM HOLDING. SP.ZO.O",'Source'!$B:$B,$A38)</f>
        <v>86</v>
      </c>
      <c r="D38" s="8" t="n">
        <f aca="false">SUMIFS('Source'!$F:$F,'Source'!$A:$A,"160134 SUPER-PHARM HOLDING. SP.ZO.O",'Source'!$B:$B,$A38)</f>
        <v>20</v>
      </c>
      <c r="E38" s="8" t="n">
        <f aca="false">D38*$J$5</f>
        <v>25.2631578947368</v>
      </c>
      <c r="F38" s="8" t="n">
        <f aca="false">E38-C38</f>
        <v>-60.7368421052632</v>
      </c>
      <c r="G38" s="9" t="n">
        <f aca="false">IF(AND(C38=0,E38=0),0,IF(C38=0,"New",(E38-C38)/C38))</f>
        <v>-0.7062423500612</v>
      </c>
      <c r="H38" s="8" t="n">
        <f aca="false">SUMIFS('Source'!$E:$E,'Source'!$A:$A,"160134 SUPER-PHARM HOLDING. SP.ZO.O",'Source'!$B:$B,$A38)</f>
        <v>6914.07</v>
      </c>
      <c r="I38" s="8" t="n">
        <f aca="false">SUMIFS('Source'!$G:$G,'Source'!$A:$A,"160134 SUPER-PHARM HOLDING. SP.ZO.O",'Source'!$B:$B,$A38)</f>
        <v>1489.16</v>
      </c>
      <c r="J38" s="8" t="n">
        <f aca="false">I38*$J$5</f>
        <v>1881.04421052632</v>
      </c>
      <c r="K38" s="8" t="n">
        <f aca="false">J38-H38</f>
        <v>-5033.02578947368</v>
      </c>
      <c r="L38" s="9" t="n">
        <f aca="false">IF(AND(H38=0,J38=0),0,IF(H38=0,"New",(J38-H38)/H38))</f>
        <v>-0.72793966353735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325</v>
      </c>
      <c r="B39" s="7" t="str">
        <f aca="false">IFERROR(INDEX('Source'!$C:$C,MATCH($A39,'Source'!$B:$B,0)),"")</f>
        <v>חגורת בטן</v>
      </c>
      <c r="C39" s="8" t="n">
        <f aca="false">SUMIFS('Source'!$D:$D,'Source'!$A:$A,"160134 SUPER-PHARM HOLDING. SP.ZO.O",'Source'!$B:$B,$A39)</f>
        <v>92</v>
      </c>
      <c r="D39" s="8" t="n">
        <f aca="false">SUMIFS('Source'!$F:$F,'Source'!$A:$A,"160134 SUPER-PHARM HOLDING. SP.ZO.O",'Source'!$B:$B,$A39)</f>
        <v>30</v>
      </c>
      <c r="E39" s="8" t="n">
        <f aca="false">D39*$J$5</f>
        <v>37.8947368421053</v>
      </c>
      <c r="F39" s="8" t="n">
        <f aca="false">E39-C39</f>
        <v>-54.1052631578947</v>
      </c>
      <c r="G39" s="9" t="n">
        <f aca="false">IF(AND(C39=0,E39=0),0,IF(C39=0,"New",(E39-C39)/C39))</f>
        <v>-0.588100686498856</v>
      </c>
      <c r="H39" s="8" t="n">
        <f aca="false">SUMIFS('Source'!$E:$E,'Source'!$A:$A,"160134 SUPER-PHARM HOLDING. SP.ZO.O",'Source'!$B:$B,$A39)</f>
        <v>7427.56</v>
      </c>
      <c r="I39" s="8" t="n">
        <f aca="false">SUMIFS('Source'!$G:$G,'Source'!$A:$A,"160134 SUPER-PHARM HOLDING. SP.ZO.O",'Source'!$B:$B,$A39)</f>
        <v>2069.36</v>
      </c>
      <c r="J39" s="8" t="n">
        <f aca="false">I39*$J$5</f>
        <v>2613.92842105263</v>
      </c>
      <c r="K39" s="8" t="n">
        <f aca="false">J39-H39</f>
        <v>-4813.63157894737</v>
      </c>
      <c r="L39" s="9" t="n">
        <f aca="false">IF(AND(H39=0,J39=0),0,IF(H39=0,"New",(J39-H39)/H39))</f>
        <v>-0.648077104587155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590</v>
      </c>
      <c r="B40" s="7" t="str">
        <f aca="false">IFERROR(INDEX('Source'!$C:$C,MATCH($A40,'Source'!$B:$B,0)),"")</f>
        <v>רפידת אנטי-ריח</v>
      </c>
      <c r="C40" s="8" t="n">
        <f aca="false">SUMIFS('Source'!$D:$D,'Source'!$A:$A,"160134 SUPER-PHARM HOLDING. SP.ZO.O",'Source'!$B:$B,$A40)</f>
        <v>1100</v>
      </c>
      <c r="D40" s="8" t="n">
        <f aca="false">SUMIFS('Source'!$F:$F,'Source'!$A:$A,"160134 SUPER-PHARM HOLDING. SP.ZO.O",'Source'!$B:$B,$A40)</f>
        <v>500</v>
      </c>
      <c r="E40" s="8" t="n">
        <f aca="false">D40*$J$5</f>
        <v>631.578947368421</v>
      </c>
      <c r="F40" s="8" t="n">
        <f aca="false">E40-C40</f>
        <v>-468.421052631579</v>
      </c>
      <c r="G40" s="9" t="n">
        <f aca="false">IF(AND(C40=0,E40=0),0,IF(C40=0,"New",(E40-C40)/C40))</f>
        <v>-0.425837320574163</v>
      </c>
      <c r="H40" s="8" t="n">
        <f aca="false">SUMIFS('Source'!$E:$E,'Source'!$A:$A,"160134 SUPER-PHARM HOLDING. SP.ZO.O",'Source'!$B:$B,$A40)</f>
        <v>9165.26</v>
      </c>
      <c r="I40" s="8" t="n">
        <f aca="false">SUMIFS('Source'!$G:$G,'Source'!$A:$A,"160134 SUPER-PHARM HOLDING. SP.ZO.O",'Source'!$B:$B,$A40)</f>
        <v>3809.61</v>
      </c>
      <c r="J40" s="8" t="n">
        <f aca="false">I40*$J$5</f>
        <v>4812.13894736842</v>
      </c>
      <c r="K40" s="8" t="n">
        <f aca="false">J40-H40</f>
        <v>-4353.12105263158</v>
      </c>
      <c r="L40" s="9" t="n">
        <f aca="false">IF(AND(H40=0,J40=0),0,IF(H40=0,"New",(J40-H40)/H40))</f>
        <v>-0.474958817603819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554</v>
      </c>
      <c r="B41" s="7" t="str">
        <f aca="false">IFERROR(INDEX('Source'!$C:$C,MATCH($A41,'Source'!$B:$B,0)),"")</f>
        <v>חבק יד אגודלי ימ</v>
      </c>
      <c r="C41" s="8" t="n">
        <f aca="false">SUMIFS('Source'!$D:$D,'Source'!$A:$A,"160134 SUPER-PHARM HOLDING. SP.ZO.O",'Source'!$B:$B,$A41)</f>
        <v>420</v>
      </c>
      <c r="D41" s="8" t="n">
        <f aca="false">SUMIFS('Source'!$F:$F,'Source'!$A:$A,"160134 SUPER-PHARM HOLDING. SP.ZO.O",'Source'!$B:$B,$A41)</f>
        <v>260</v>
      </c>
      <c r="E41" s="8" t="n">
        <f aca="false">D41*$J$5</f>
        <v>328.421052631579</v>
      </c>
      <c r="F41" s="8" t="n">
        <f aca="false">E41-C41</f>
        <v>-91.5789473684211</v>
      </c>
      <c r="G41" s="9" t="n">
        <f aca="false">IF(AND(C41=0,E41=0),0,IF(C41=0,"New",(E41-C41)/C41))</f>
        <v>-0.218045112781955</v>
      </c>
      <c r="H41" s="8" t="n">
        <f aca="false">SUMIFS('Source'!$E:$E,'Source'!$A:$A,"160134 SUPER-PHARM HOLDING. SP.ZO.O",'Source'!$B:$B,$A41)</f>
        <v>11942.24</v>
      </c>
      <c r="I41" s="8" t="n">
        <f aca="false">SUMIFS('Source'!$G:$G,'Source'!$A:$A,"160134 SUPER-PHARM HOLDING. SP.ZO.O",'Source'!$B:$B,$A41)</f>
        <v>6661.09</v>
      </c>
      <c r="J41" s="8" t="n">
        <f aca="false">I41*$J$5</f>
        <v>8414.00842105263</v>
      </c>
      <c r="K41" s="8" t="n">
        <f aca="false">J41-H41</f>
        <v>-3528.23157894737</v>
      </c>
      <c r="L41" s="9" t="n">
        <f aca="false">IF(AND(H41=0,J41=0),0,IF(H41=0,"New",(J41-H41)/H41))</f>
        <v>-0.295441355972361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324</v>
      </c>
      <c r="B42" s="7" t="str">
        <f aca="false">IFERROR(INDEX('Source'!$C:$C,MATCH($A42,'Source'!$B:$B,0)),"")</f>
        <v>סד מאורך לאגודל</v>
      </c>
      <c r="C42" s="8" t="n">
        <f aca="false">SUMIFS('Source'!$D:$D,'Source'!$A:$A,"160134 SUPER-PHARM HOLDING. SP.ZO.O",'Source'!$B:$B,$A42)</f>
        <v>130</v>
      </c>
      <c r="D42" s="8" t="n">
        <f aca="false">SUMIFS('Source'!$F:$F,'Source'!$A:$A,"160134 SUPER-PHARM HOLDING. SP.ZO.O",'Source'!$B:$B,$A42)</f>
        <v>0</v>
      </c>
      <c r="E42" s="8" t="n">
        <f aca="false">D42*$J$5</f>
        <v>0</v>
      </c>
      <c r="F42" s="8" t="n">
        <f aca="false">E42-C42</f>
        <v>-130</v>
      </c>
      <c r="G42" s="9" t="n">
        <f aca="false">IF(AND(C42=0,E42=0),0,IF(C42=0,"New",(E42-C42)/C42))</f>
        <v>-1</v>
      </c>
      <c r="H42" s="8" t="n">
        <f aca="false">SUMIFS('Source'!$E:$E,'Source'!$A:$A,"160134 SUPER-PHARM HOLDING. SP.ZO.O",'Source'!$B:$B,$A42)</f>
        <v>4871.88</v>
      </c>
      <c r="I42" s="8" t="n">
        <f aca="false">SUMIFS('Source'!$G:$G,'Source'!$A:$A,"160134 SUPER-PHARM HOLDING. SP.ZO.O",'Source'!$B:$B,$A42)</f>
        <v>0</v>
      </c>
      <c r="J42" s="8" t="n">
        <f aca="false">I42*$J$5</f>
        <v>0</v>
      </c>
      <c r="K42" s="8" t="n">
        <f aca="false">J42-H42</f>
        <v>-4871.88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761</v>
      </c>
      <c r="B43" s="7" t="str">
        <f aca="false">IFERROR(INDEX('Source'!$C:$C,MATCH($A43,'Source'!$B:$B,0)),"")</f>
        <v>תחבושת אלסטית נצמדת צבע וורוד</v>
      </c>
      <c r="C43" s="8" t="n">
        <f aca="false">SUMIFS('Source'!$D:$D,'Source'!$A:$A,"160134 SUPER-PHARM HOLDING. SP.ZO.O",'Source'!$B:$B,$A43)</f>
        <v>1700</v>
      </c>
      <c r="D43" s="8" t="n">
        <f aca="false">SUMIFS('Source'!$F:$F,'Source'!$A:$A,"160134 SUPER-PHARM HOLDING. SP.ZO.O",'Source'!$B:$B,$A43)</f>
        <v>1200</v>
      </c>
      <c r="E43" s="8" t="n">
        <f aca="false">D43*$J$5</f>
        <v>1515.78947368421</v>
      </c>
      <c r="F43" s="8" t="n">
        <f aca="false">E43-C43</f>
        <v>-184.21052631579</v>
      </c>
      <c r="G43" s="9" t="n">
        <f aca="false">IF(AND(C43=0,E43=0),0,IF(C43=0,"New",(E43-C43)/C43))</f>
        <v>-0.108359133126935</v>
      </c>
      <c r="H43" s="8" t="n">
        <f aca="false">SUMIFS('Source'!$E:$E,'Source'!$A:$A,"160134 SUPER-PHARM HOLDING. SP.ZO.O",'Source'!$B:$B,$A43)</f>
        <v>13176.93</v>
      </c>
      <c r="I43" s="8" t="n">
        <f aca="false">SUMIFS('Source'!$G:$G,'Source'!$A:$A,"160134 SUPER-PHARM HOLDING. SP.ZO.O",'Source'!$B:$B,$A43)</f>
        <v>8358.9</v>
      </c>
      <c r="J43" s="8" t="n">
        <f aca="false">I43*$J$5</f>
        <v>10558.6105263158</v>
      </c>
      <c r="K43" s="8" t="n">
        <f aca="false">J43-H43</f>
        <v>-2618.31947368421</v>
      </c>
      <c r="L43" s="9" t="n">
        <f aca="false">IF(AND(H43=0,J43=0),0,IF(H43=0,"New",(J43-H43)/H43))</f>
        <v>-0.198704817714309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595</v>
      </c>
      <c r="B44" s="7" t="str">
        <f aca="false">IFERROR(INDEX('Source'!$C:$C,MATCH($A44,'Source'!$B:$B,0)),"")</f>
        <v>מתלה יד-כיס</v>
      </c>
      <c r="C44" s="8" t="n">
        <f aca="false">SUMIFS('Source'!$D:$D,'Source'!$A:$A,"160134 SUPER-PHARM HOLDING. SP.ZO.O",'Source'!$B:$B,$A44)</f>
        <v>360</v>
      </c>
      <c r="D44" s="8" t="n">
        <f aca="false">SUMIFS('Source'!$F:$F,'Source'!$A:$A,"160134 SUPER-PHARM HOLDING. SP.ZO.O",'Source'!$B:$B,$A44)</f>
        <v>230</v>
      </c>
      <c r="E44" s="8" t="n">
        <f aca="false">D44*$J$5</f>
        <v>290.526315789474</v>
      </c>
      <c r="F44" s="8" t="n">
        <f aca="false">E44-C44</f>
        <v>-69.4736842105264</v>
      </c>
      <c r="G44" s="9" t="n">
        <f aca="false">IF(AND(C44=0,E44=0),0,IF(C44=0,"New",(E44-C44)/C44))</f>
        <v>-0.192982456140351</v>
      </c>
      <c r="H44" s="8" t="n">
        <f aca="false">SUMIFS('Source'!$E:$E,'Source'!$A:$A,"160134 SUPER-PHARM HOLDING. SP.ZO.O",'Source'!$B:$B,$A44)</f>
        <v>11222.39</v>
      </c>
      <c r="I44" s="8" t="n">
        <f aca="false">SUMIFS('Source'!$G:$G,'Source'!$A:$A,"160134 SUPER-PHARM HOLDING. SP.ZO.O",'Source'!$B:$B,$A44)</f>
        <v>6417.16</v>
      </c>
      <c r="J44" s="8" t="n">
        <f aca="false">I44*$J$5</f>
        <v>8105.88631578947</v>
      </c>
      <c r="K44" s="8" t="n">
        <f aca="false">J44-H44</f>
        <v>-3116.50368421053</v>
      </c>
      <c r="L44" s="9" t="n">
        <f aca="false">IF(AND(H44=0,J44=0),0,IF(H44=0,"New",(J44-H44)/H44))</f>
        <v>-0.277704097274335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179</v>
      </c>
      <c r="B45" s="7" t="str">
        <f aca="false">IFERROR(INDEX('Source'!$C:$C,MATCH($A45,'Source'!$B:$B,0)),"")</f>
        <v>מתלה ליד לילדים</v>
      </c>
      <c r="C45" s="8" t="n">
        <f aca="false">SUMIFS('Source'!$D:$D,'Source'!$A:$A,"160134 SUPER-PHARM HOLDING. SP.ZO.O",'Source'!$B:$B,$A45)</f>
        <v>230</v>
      </c>
      <c r="D45" s="8" t="n">
        <f aca="false">SUMIFS('Source'!$F:$F,'Source'!$A:$A,"160134 SUPER-PHARM HOLDING. SP.ZO.O",'Source'!$B:$B,$A45)</f>
        <v>120</v>
      </c>
      <c r="E45" s="8" t="n">
        <f aca="false">D45*$J$5</f>
        <v>151.578947368421</v>
      </c>
      <c r="F45" s="8" t="n">
        <f aca="false">E45-C45</f>
        <v>-78.421052631579</v>
      </c>
      <c r="G45" s="9" t="n">
        <f aca="false">IF(AND(C45=0,E45=0),0,IF(C45=0,"New",(E45-C45)/C45))</f>
        <v>-0.340961098398169</v>
      </c>
      <c r="H45" s="8" t="n">
        <f aca="false">SUMIFS('Source'!$E:$E,'Source'!$A:$A,"160134 SUPER-PHARM HOLDING. SP.ZO.O",'Source'!$B:$B,$A45)</f>
        <v>8815.84</v>
      </c>
      <c r="I45" s="8" t="n">
        <f aca="false">SUMIFS('Source'!$G:$G,'Source'!$A:$A,"160134 SUPER-PHARM HOLDING. SP.ZO.O",'Source'!$B:$B,$A45)</f>
        <v>4074.97</v>
      </c>
      <c r="J45" s="8" t="n">
        <f aca="false">I45*$J$5</f>
        <v>5147.33052631579</v>
      </c>
      <c r="K45" s="8" t="n">
        <f aca="false">J45-H45</f>
        <v>-3668.50947368421</v>
      </c>
      <c r="L45" s="9" t="n">
        <f aca="false">IF(AND(H45=0,J45=0),0,IF(H45=0,"New",(J45-H45)/H45))</f>
        <v>-0.41612704786886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693</v>
      </c>
      <c r="B46" s="7" t="str">
        <f aca="false">IFERROR(INDEX('Source'!$C:$C,MATCH($A46,'Source'!$B:$B,0)),"")</f>
        <v>מתלה יד-כיס</v>
      </c>
      <c r="C46" s="8" t="n">
        <f aca="false">SUMIFS('Source'!$D:$D,'Source'!$A:$A,"160134 SUPER-PHARM HOLDING. SP.ZO.O",'Source'!$B:$B,$A46)</f>
        <v>320</v>
      </c>
      <c r="D46" s="8" t="n">
        <f aca="false">SUMIFS('Source'!$F:$F,'Source'!$A:$A,"160134 SUPER-PHARM HOLDING. SP.ZO.O",'Source'!$B:$B,$A46)</f>
        <v>190</v>
      </c>
      <c r="E46" s="8" t="n">
        <f aca="false">D46*$J$5</f>
        <v>240</v>
      </c>
      <c r="F46" s="8" t="n">
        <f aca="false">E46-C46</f>
        <v>-80</v>
      </c>
      <c r="G46" s="9" t="n">
        <f aca="false">IF(AND(C46=0,E46=0),0,IF(C46=0,"New",(E46-C46)/C46))</f>
        <v>-0.25</v>
      </c>
      <c r="H46" s="8" t="n">
        <f aca="false">SUMIFS('Source'!$E:$E,'Source'!$A:$A,"160134 SUPER-PHARM HOLDING. SP.ZO.O",'Source'!$B:$B,$A46)</f>
        <v>9921.33</v>
      </c>
      <c r="I46" s="8" t="n">
        <f aca="false">SUMIFS('Source'!$G:$G,'Source'!$A:$A,"160134 SUPER-PHARM HOLDING. SP.ZO.O",'Source'!$B:$B,$A46)</f>
        <v>5248.11</v>
      </c>
      <c r="J46" s="8" t="n">
        <f aca="false">I46*$J$5</f>
        <v>6629.19157894737</v>
      </c>
      <c r="K46" s="8" t="n">
        <f aca="false">J46-H46</f>
        <v>-3292.13842105263</v>
      </c>
      <c r="L46" s="9" t="n">
        <f aca="false">IF(AND(H46=0,J46=0),0,IF(H46=0,"New",(J46-H46)/H46))</f>
        <v>-0.331824303904076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409</v>
      </c>
      <c r="B47" s="7" t="str">
        <f aca="false">IFERROR(INDEX('Source'!$C:$C,MATCH($A47,'Source'!$B:$B,0)),"")</f>
        <v>רפידת זיכרון 376</v>
      </c>
      <c r="C47" s="8" t="n">
        <f aca="false">SUMIFS('Source'!$D:$D,'Source'!$A:$A,"160134 SUPER-PHARM HOLDING. SP.ZO.O",'Source'!$B:$B,$A47)</f>
        <v>400</v>
      </c>
      <c r="D47" s="8" t="n">
        <f aca="false">SUMIFS('Source'!$F:$F,'Source'!$A:$A,"160134 SUPER-PHARM HOLDING. SP.ZO.O",'Source'!$B:$B,$A47)</f>
        <v>180</v>
      </c>
      <c r="E47" s="8" t="n">
        <f aca="false">D47*$J$5</f>
        <v>227.368421052632</v>
      </c>
      <c r="F47" s="8" t="n">
        <f aca="false">E47-C47</f>
        <v>-172.631578947368</v>
      </c>
      <c r="G47" s="9" t="n">
        <f aca="false">IF(AND(C47=0,E47=0),0,IF(C47=0,"New",(E47-C47)/C47))</f>
        <v>-0.431578947368421</v>
      </c>
      <c r="H47" s="8" t="n">
        <f aca="false">SUMIFS('Source'!$E:$E,'Source'!$A:$A,"160134 SUPER-PHARM HOLDING. SP.ZO.O",'Source'!$B:$B,$A47)</f>
        <v>7739.06</v>
      </c>
      <c r="I47" s="8" t="n">
        <f aca="false">SUMIFS('Source'!$G:$G,'Source'!$A:$A,"160134 SUPER-PHARM HOLDING. SP.ZO.O",'Source'!$B:$B,$A47)</f>
        <v>3083.47</v>
      </c>
      <c r="J47" s="8" t="n">
        <f aca="false">I47*$J$5</f>
        <v>3894.90947368421</v>
      </c>
      <c r="K47" s="8" t="n">
        <f aca="false">J47-H47</f>
        <v>-3844.15052631579</v>
      </c>
      <c r="L47" s="9" t="n">
        <f aca="false">IF(AND(H47=0,J47=0),0,IF(H47=0,"New",(J47-H47)/H47))</f>
        <v>-0.496720599958624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119</v>
      </c>
      <c r="B48" s="7" t="str">
        <f aca="false">IFERROR(INDEX('Source'!$C:$C,MATCH($A48,'Source'!$B:$B,0)),"")</f>
        <v>מיישר בוניון-HALUX VALGUS</v>
      </c>
      <c r="C48" s="8" t="n">
        <f aca="false">SUMIFS('Source'!$D:$D,'Source'!$A:$A,"160134 SUPER-PHARM HOLDING. SP.ZO.O",'Source'!$B:$B,$A48)</f>
        <v>470</v>
      </c>
      <c r="D48" s="8" t="n">
        <f aca="false">SUMIFS('Source'!$F:$F,'Source'!$A:$A,"160134 SUPER-PHARM HOLDING. SP.ZO.O",'Source'!$B:$B,$A48)</f>
        <v>300</v>
      </c>
      <c r="E48" s="8" t="n">
        <f aca="false">D48*$J$5</f>
        <v>378.947368421053</v>
      </c>
      <c r="F48" s="8" t="n">
        <f aca="false">E48-C48</f>
        <v>-91.0526315789474</v>
      </c>
      <c r="G48" s="9" t="n">
        <f aca="false">IF(AND(C48=0,E48=0),0,IF(C48=0,"New",(E48-C48)/C48))</f>
        <v>-0.193729003359463</v>
      </c>
      <c r="H48" s="8" t="n">
        <f aca="false">SUMIFS('Source'!$E:$E,'Source'!$A:$A,"160134 SUPER-PHARM HOLDING. SP.ZO.O",'Source'!$B:$B,$A48)</f>
        <v>10616.87</v>
      </c>
      <c r="I48" s="8" t="n">
        <f aca="false">SUMIFS('Source'!$G:$G,'Source'!$A:$A,"160134 SUPER-PHARM HOLDING. SP.ZO.O",'Source'!$B:$B,$A48)</f>
        <v>6040.43</v>
      </c>
      <c r="J48" s="8" t="n">
        <f aca="false">I48*$J$5</f>
        <v>7630.01684210526</v>
      </c>
      <c r="K48" s="8" t="n">
        <f aca="false">J48-H48</f>
        <v>-2986.85315789474</v>
      </c>
      <c r="L48" s="9" t="n">
        <f aca="false">IF(AND(H48=0,J48=0),0,IF(H48=0,"New",(J48-H48)/H48))</f>
        <v>-0.281330859085092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96</v>
      </c>
      <c r="B49" s="7" t="str">
        <f aca="false">IFERROR(INDEX('Source'!$C:$C,MATCH($A49,'Source'!$B:$B,0)),"")</f>
        <v>סד יד</v>
      </c>
      <c r="C49" s="8" t="n">
        <f aca="false">SUMIFS('Source'!$D:$D,'Source'!$A:$A,"160134 SUPER-PHARM HOLDING. SP.ZO.O",'Source'!$B:$B,$A49)</f>
        <v>210</v>
      </c>
      <c r="D49" s="8" t="n">
        <f aca="false">SUMIFS('Source'!$F:$F,'Source'!$A:$A,"160134 SUPER-PHARM HOLDING. SP.ZO.O",'Source'!$B:$B,$A49)</f>
        <v>80</v>
      </c>
      <c r="E49" s="8" t="n">
        <f aca="false">D49*$J$5</f>
        <v>101.052631578947</v>
      </c>
      <c r="F49" s="8" t="n">
        <f aca="false">E49-C49</f>
        <v>-108.947368421053</v>
      </c>
      <c r="G49" s="9" t="n">
        <f aca="false">IF(AND(C49=0,E49=0),0,IF(C49=0,"New",(E49-C49)/C49))</f>
        <v>-0.518796992481203</v>
      </c>
      <c r="H49" s="8" t="n">
        <f aca="false">SUMIFS('Source'!$E:$E,'Source'!$A:$A,"160134 SUPER-PHARM HOLDING. SP.ZO.O",'Source'!$B:$B,$A49)</f>
        <v>6824.86</v>
      </c>
      <c r="I49" s="8" t="n">
        <f aca="false">SUMIFS('Source'!$G:$G,'Source'!$A:$A,"160134 SUPER-PHARM HOLDING. SP.ZO.O",'Source'!$B:$B,$A49)</f>
        <v>2337.49</v>
      </c>
      <c r="J49" s="8" t="n">
        <f aca="false">I49*$J$5</f>
        <v>2952.61894736842</v>
      </c>
      <c r="K49" s="8" t="n">
        <f aca="false">J49-H49</f>
        <v>-3872.24105263158</v>
      </c>
      <c r="L49" s="9" t="n">
        <f aca="false">IF(AND(H49=0,J49=0),0,IF(H49=0,"New",(J49-H49)/H49))</f>
        <v>-0.567372964812697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292</v>
      </c>
      <c r="B50" s="7" t="str">
        <f aca="false">IFERROR(INDEX('Source'!$C:$C,MATCH($A50,'Source'!$B:$B,0)),"")</f>
        <v>חגורת גב אפורה</v>
      </c>
      <c r="C50" s="8" t="n">
        <f aca="false">SUMIFS('Source'!$D:$D,'Source'!$A:$A,"160134 SUPER-PHARM HOLDING. SP.ZO.O",'Source'!$B:$B,$A50)</f>
        <v>70</v>
      </c>
      <c r="D50" s="8" t="n">
        <f aca="false">SUMIFS('Source'!$F:$F,'Source'!$A:$A,"160134 SUPER-PHARM HOLDING. SP.ZO.O",'Source'!$B:$B,$A50)</f>
        <v>12</v>
      </c>
      <c r="E50" s="8" t="n">
        <f aca="false">D50*$J$5</f>
        <v>15.1578947368421</v>
      </c>
      <c r="F50" s="8" t="n">
        <f aca="false">E50-C50</f>
        <v>-54.8421052631579</v>
      </c>
      <c r="G50" s="9" t="n">
        <f aca="false">IF(AND(C50=0,E50=0),0,IF(C50=0,"New",(E50-C50)/C50))</f>
        <v>-0.783458646616541</v>
      </c>
      <c r="H50" s="8" t="n">
        <f aca="false">SUMIFS('Source'!$E:$E,'Source'!$A:$A,"160134 SUPER-PHARM HOLDING. SP.ZO.O",'Source'!$B:$B,$A50)</f>
        <v>5033.1</v>
      </c>
      <c r="I50" s="8" t="n">
        <f aca="false">SUMIFS('Source'!$G:$G,'Source'!$A:$A,"160134 SUPER-PHARM HOLDING. SP.ZO.O",'Source'!$B:$B,$A50)</f>
        <v>738.48</v>
      </c>
      <c r="J50" s="8" t="n">
        <f aca="false">I50*$J$5</f>
        <v>932.816842105263</v>
      </c>
      <c r="K50" s="8" t="n">
        <f aca="false">J50-H50</f>
        <v>-4100.28315789474</v>
      </c>
      <c r="L50" s="9" t="n">
        <f aca="false">IF(AND(H50=0,J50=0),0,IF(H50=0,"New",(J50-H50)/H50))</f>
        <v>-0.814663558819562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661</v>
      </c>
      <c r="B51" s="7" t="str">
        <f aca="false">IFERROR(INDEX('Source'!$C:$C,MATCH($A51,'Source'!$B:$B,0)),"")</f>
        <v>רפידת נוחות</v>
      </c>
      <c r="C51" s="8" t="n">
        <f aca="false">SUMIFS('Source'!$D:$D,'Source'!$A:$A,"160134 SUPER-PHARM HOLDING. SP.ZO.O",'Source'!$B:$B,$A51)</f>
        <v>1400</v>
      </c>
      <c r="D51" s="8" t="n">
        <f aca="false">SUMIFS('Source'!$F:$F,'Source'!$A:$A,"160134 SUPER-PHARM HOLDING. SP.ZO.O",'Source'!$B:$B,$A51)</f>
        <v>900</v>
      </c>
      <c r="E51" s="8" t="n">
        <f aca="false">D51*$J$5</f>
        <v>1136.84210526316</v>
      </c>
      <c r="F51" s="8" t="n">
        <f aca="false">E51-C51</f>
        <v>-263.157894736842</v>
      </c>
      <c r="G51" s="9" t="n">
        <f aca="false">IF(AND(C51=0,E51=0),0,IF(C51=0,"New",(E51-C51)/C51))</f>
        <v>-0.18796992481203</v>
      </c>
      <c r="H51" s="8" t="n">
        <f aca="false">SUMIFS('Source'!$E:$E,'Source'!$A:$A,"160134 SUPER-PHARM HOLDING. SP.ZO.O",'Source'!$B:$B,$A51)</f>
        <v>9220.98</v>
      </c>
      <c r="I51" s="8" t="n">
        <f aca="false">SUMIFS('Source'!$G:$G,'Source'!$A:$A,"160134 SUPER-PHARM HOLDING. SP.ZO.O",'Source'!$B:$B,$A51)</f>
        <v>5311.54</v>
      </c>
      <c r="J51" s="8" t="n">
        <f aca="false">I51*$J$5</f>
        <v>6709.31368421053</v>
      </c>
      <c r="K51" s="8" t="n">
        <f aca="false">J51-H51</f>
        <v>-2511.66631578947</v>
      </c>
      <c r="L51" s="9" t="n">
        <f aca="false">IF(AND(H51=0,J51=0),0,IF(H51=0,"New",(J51-H51)/H51))</f>
        <v>-0.272386049616144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369</v>
      </c>
      <c r="B52" s="7" t="str">
        <f aca="false">IFERROR(INDEX('Source'!$C:$C,MATCH($A52,'Source'!$B:$B,0)),"")</f>
        <v>מגן ברך שחור</v>
      </c>
      <c r="C52" s="8" t="n">
        <f aca="false">SUMIFS('Source'!$D:$D,'Source'!$A:$A,"160134 SUPER-PHARM HOLDING. SP.ZO.O",'Source'!$B:$B,$A52)</f>
        <v>530</v>
      </c>
      <c r="D52" s="8" t="n">
        <f aca="false">SUMIFS('Source'!$F:$F,'Source'!$A:$A,"160134 SUPER-PHARM HOLDING. SP.ZO.O",'Source'!$B:$B,$A52)</f>
        <v>280</v>
      </c>
      <c r="E52" s="8" t="n">
        <f aca="false">D52*$J$5</f>
        <v>353.684210526316</v>
      </c>
      <c r="F52" s="8" t="n">
        <f aca="false">E52-C52</f>
        <v>-176.315789473684</v>
      </c>
      <c r="G52" s="9" t="n">
        <f aca="false">IF(AND(C52=0,E52=0),0,IF(C52=0,"New",(E52-C52)/C52))</f>
        <v>-0.332671300893744</v>
      </c>
      <c r="H52" s="8" t="n">
        <f aca="false">SUMIFS('Source'!$E:$E,'Source'!$A:$A,"160134 SUPER-PHARM HOLDING. SP.ZO.O",'Source'!$B:$B,$A52)</f>
        <v>7591.95</v>
      </c>
      <c r="I52" s="8" t="n">
        <f aca="false">SUMIFS('Source'!$G:$G,'Source'!$A:$A,"160134 SUPER-PHARM HOLDING. SP.ZO.O",'Source'!$B:$B,$A52)</f>
        <v>3734.22</v>
      </c>
      <c r="J52" s="8" t="n">
        <f aca="false">I52*$J$5</f>
        <v>4716.90947368421</v>
      </c>
      <c r="K52" s="8" t="n">
        <f aca="false">J52-H52</f>
        <v>-2875.04052631579</v>
      </c>
      <c r="L52" s="9" t="n">
        <f aca="false">IF(AND(H52=0,J52=0),0,IF(H52=0,"New",(J52-H52)/H52))</f>
        <v>-0.378695924804008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323</v>
      </c>
      <c r="B53" s="7" t="str">
        <f aca="false">IFERROR(INDEX('Source'!$C:$C,MATCH($A53,'Source'!$B:$B,0)),"")</f>
        <v>חגורת היריון</v>
      </c>
      <c r="C53" s="8" t="n">
        <f aca="false">SUMIFS('Source'!$D:$D,'Source'!$A:$A,"160134 SUPER-PHARM HOLDING. SP.ZO.O",'Source'!$B:$B,$A53)</f>
        <v>48</v>
      </c>
      <c r="D53" s="8" t="n">
        <f aca="false">SUMIFS('Source'!$F:$F,'Source'!$A:$A,"160134 SUPER-PHARM HOLDING. SP.ZO.O",'Source'!$B:$B,$A53)</f>
        <v>0</v>
      </c>
      <c r="E53" s="8" t="n">
        <f aca="false">D53*$J$5</f>
        <v>0</v>
      </c>
      <c r="F53" s="8" t="n">
        <f aca="false">E53-C53</f>
        <v>-48</v>
      </c>
      <c r="G53" s="9" t="n">
        <f aca="false">IF(AND(C53=0,E53=0),0,IF(C53=0,"New",(E53-C53)/C53))</f>
        <v>-1</v>
      </c>
      <c r="H53" s="8" t="n">
        <f aca="false">SUMIFS('Source'!$E:$E,'Source'!$A:$A,"160134 SUPER-PHARM HOLDING. SP.ZO.O",'Source'!$B:$B,$A53)</f>
        <v>3774.69</v>
      </c>
      <c r="I53" s="8" t="n">
        <f aca="false">SUMIFS('Source'!$G:$G,'Source'!$A:$A,"160134 SUPER-PHARM HOLDING. SP.ZO.O",'Source'!$B:$B,$A53)</f>
        <v>0</v>
      </c>
      <c r="J53" s="8" t="n">
        <f aca="false">I53*$J$5</f>
        <v>0</v>
      </c>
      <c r="K53" s="8" t="n">
        <f aca="false">J53-H53</f>
        <v>-3774.69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698</v>
      </c>
      <c r="B54" s="7" t="str">
        <f aca="false">IFERROR(INDEX('Source'!$C:$C,MATCH($A54,'Source'!$B:$B,0)),"")</f>
        <v>מגן ברך חום</v>
      </c>
      <c r="C54" s="8" t="n">
        <f aca="false">SUMIFS('Source'!$D:$D,'Source'!$A:$A,"160134 SUPER-PHARM HOLDING. SP.ZO.O",'Source'!$B:$B,$A54)</f>
        <v>480</v>
      </c>
      <c r="D54" s="8" t="n">
        <f aca="false">SUMIFS('Source'!$F:$F,'Source'!$A:$A,"160134 SUPER-PHARM HOLDING. SP.ZO.O",'Source'!$B:$B,$A54)</f>
        <v>230</v>
      </c>
      <c r="E54" s="8" t="n">
        <f aca="false">D54*$J$5</f>
        <v>290.526315789474</v>
      </c>
      <c r="F54" s="8" t="n">
        <f aca="false">E54-C54</f>
        <v>-189.473684210526</v>
      </c>
      <c r="G54" s="9" t="n">
        <f aca="false">IF(AND(C54=0,E54=0),0,IF(C54=0,"New",(E54-C54)/C54))</f>
        <v>-0.394736842105263</v>
      </c>
      <c r="H54" s="8" t="n">
        <f aca="false">SUMIFS('Source'!$E:$E,'Source'!$A:$A,"160134 SUPER-PHARM HOLDING. SP.ZO.O",'Source'!$B:$B,$A54)</f>
        <v>6509.97</v>
      </c>
      <c r="I54" s="8" t="n">
        <f aca="false">SUMIFS('Source'!$G:$G,'Source'!$A:$A,"160134 SUPER-PHARM HOLDING. SP.ZO.O",'Source'!$B:$B,$A54)</f>
        <v>2768.95</v>
      </c>
      <c r="J54" s="8" t="n">
        <f aca="false">I54*$J$5</f>
        <v>3497.62105263158</v>
      </c>
      <c r="K54" s="8" t="n">
        <f aca="false">J54-H54</f>
        <v>-3012.34894736842</v>
      </c>
      <c r="L54" s="9" t="n">
        <f aca="false">IF(AND(H54=0,J54=0),0,IF(H54=0,"New",(J54-H54)/H54))</f>
        <v>-0.462728545195818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795</v>
      </c>
      <c r="B55" s="7" t="str">
        <f aca="false">IFERROR(INDEX('Source'!$C:$C,MATCH($A55,'Source'!$B:$B,0)),"")</f>
        <v>מגן יד</v>
      </c>
      <c r="C55" s="8" t="n">
        <f aca="false">SUMIFS('Source'!$D:$D,'Source'!$A:$A,"160134 SUPER-PHARM HOLDING. SP.ZO.O",'Source'!$B:$B,$A55)</f>
        <v>370</v>
      </c>
      <c r="D55" s="8" t="n">
        <f aca="false">SUMIFS('Source'!$F:$F,'Source'!$A:$A,"160134 SUPER-PHARM HOLDING. SP.ZO.O",'Source'!$B:$B,$A55)</f>
        <v>220</v>
      </c>
      <c r="E55" s="8" t="n">
        <f aca="false">D55*$J$5</f>
        <v>277.894736842105</v>
      </c>
      <c r="F55" s="8" t="n">
        <f aca="false">E55-C55</f>
        <v>-92.1052631578947</v>
      </c>
      <c r="G55" s="9" t="n">
        <f aca="false">IF(AND(C55=0,E55=0),0,IF(C55=0,"New",(E55-C55)/C55))</f>
        <v>-0.248933143669986</v>
      </c>
      <c r="H55" s="8" t="n">
        <f aca="false">SUMIFS('Source'!$E:$E,'Source'!$A:$A,"160134 SUPER-PHARM HOLDING. SP.ZO.O",'Source'!$B:$B,$A55)</f>
        <v>7952.17</v>
      </c>
      <c r="I55" s="8" t="n">
        <f aca="false">SUMIFS('Source'!$G:$G,'Source'!$A:$A,"160134 SUPER-PHARM HOLDING. SP.ZO.O",'Source'!$B:$B,$A55)</f>
        <v>4219.15</v>
      </c>
      <c r="J55" s="8" t="n">
        <f aca="false">I55*$J$5</f>
        <v>5329.45263157895</v>
      </c>
      <c r="K55" s="8" t="n">
        <f aca="false">J55-H55</f>
        <v>-2622.71736842105</v>
      </c>
      <c r="L55" s="9" t="n">
        <f aca="false">IF(AND(H55=0,J55=0),0,IF(H55=0,"New",(J55-H55)/H55))</f>
        <v>-0.329811531748071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676</v>
      </c>
      <c r="B56" s="7" t="str">
        <f aca="false">IFERROR(INDEX('Source'!$C:$C,MATCH($A56,'Source'!$B:$B,0)),"")</f>
        <v>מגן ברך שחור</v>
      </c>
      <c r="C56" s="8" t="n">
        <f aca="false">SUMIFS('Source'!$D:$D,'Source'!$A:$A,"160134 SUPER-PHARM HOLDING. SP.ZO.O",'Source'!$B:$B,$A56)</f>
        <v>460</v>
      </c>
      <c r="D56" s="8" t="n">
        <f aca="false">SUMIFS('Source'!$F:$F,'Source'!$A:$A,"160134 SUPER-PHARM HOLDING. SP.ZO.O",'Source'!$B:$B,$A56)</f>
        <v>230</v>
      </c>
      <c r="E56" s="8" t="n">
        <f aca="false">D56*$J$5</f>
        <v>290.526315789474</v>
      </c>
      <c r="F56" s="8" t="n">
        <f aca="false">E56-C56</f>
        <v>-169.473684210526</v>
      </c>
      <c r="G56" s="9" t="n">
        <f aca="false">IF(AND(C56=0,E56=0),0,IF(C56=0,"New",(E56-C56)/C56))</f>
        <v>-0.368421052631579</v>
      </c>
      <c r="H56" s="8" t="n">
        <f aca="false">SUMIFS('Source'!$E:$E,'Source'!$A:$A,"160134 SUPER-PHARM HOLDING. SP.ZO.O",'Source'!$B:$B,$A56)</f>
        <v>6699.09</v>
      </c>
      <c r="I56" s="8" t="n">
        <f aca="false">SUMIFS('Source'!$G:$G,'Source'!$A:$A,"160134 SUPER-PHARM HOLDING. SP.ZO.O",'Source'!$B:$B,$A56)</f>
        <v>2987.39</v>
      </c>
      <c r="J56" s="8" t="n">
        <f aca="false">I56*$J$5</f>
        <v>3773.5452631579</v>
      </c>
      <c r="K56" s="8" t="n">
        <f aca="false">J56-H56</f>
        <v>-2925.54473684211</v>
      </c>
      <c r="L56" s="9" t="n">
        <f aca="false">IF(AND(H56=0,J56=0),0,IF(H56=0,"New",(J56-H56)/H56))</f>
        <v>-0.436707782227453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435</v>
      </c>
      <c r="B57" s="7" t="str">
        <f aca="false">IFERROR(INDEX('Source'!$C:$C,MATCH($A57,'Source'!$B:$B,0)),"")</f>
        <v>מגן ברך שחור</v>
      </c>
      <c r="C57" s="8" t="n">
        <f aca="false">SUMIFS('Source'!$D:$D,'Source'!$A:$A,"160134 SUPER-PHARM HOLDING. SP.ZO.O",'Source'!$B:$B,$A57)</f>
        <v>450</v>
      </c>
      <c r="D57" s="8" t="n">
        <f aca="false">SUMIFS('Source'!$F:$F,'Source'!$A:$A,"160134 SUPER-PHARM HOLDING. SP.ZO.O",'Source'!$B:$B,$A57)</f>
        <v>220</v>
      </c>
      <c r="E57" s="8" t="n">
        <f aca="false">D57*$J$5</f>
        <v>277.894736842105</v>
      </c>
      <c r="F57" s="8" t="n">
        <f aca="false">E57-C57</f>
        <v>-172.105263157895</v>
      </c>
      <c r="G57" s="9" t="n">
        <f aca="false">IF(AND(C57=0,E57=0),0,IF(C57=0,"New",(E57-C57)/C57))</f>
        <v>-0.382456140350877</v>
      </c>
      <c r="H57" s="8" t="n">
        <f aca="false">SUMIFS('Source'!$E:$E,'Source'!$A:$A,"160134 SUPER-PHARM HOLDING. SP.ZO.O",'Source'!$B:$B,$A57)</f>
        <v>6527.88</v>
      </c>
      <c r="I57" s="8" t="n">
        <f aca="false">SUMIFS('Source'!$G:$G,'Source'!$A:$A,"160134 SUPER-PHARM HOLDING. SP.ZO.O",'Source'!$B:$B,$A57)</f>
        <v>2865.76</v>
      </c>
      <c r="J57" s="8" t="n">
        <f aca="false">I57*$J$5</f>
        <v>3619.90736842105</v>
      </c>
      <c r="K57" s="8" t="n">
        <f aca="false">J57-H57</f>
        <v>-2907.97263157895</v>
      </c>
      <c r="L57" s="9" t="n">
        <f aca="false">IF(AND(H57=0,J57=0),0,IF(H57=0,"New",(J57-H57)/H57))</f>
        <v>-0.44546968258898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642</v>
      </c>
      <c r="B58" s="7" t="str">
        <f aca="false">IFERROR(INDEX('Source'!$C:$C,MATCH($A58,'Source'!$B:$B,0)),"")</f>
        <v>רפידת זיכרון 376</v>
      </c>
      <c r="C58" s="8" t="n">
        <f aca="false">SUMIFS('Source'!$D:$D,'Source'!$A:$A,"160134 SUPER-PHARM HOLDING. SP.ZO.O",'Source'!$B:$B,$A58)</f>
        <v>310</v>
      </c>
      <c r="D58" s="8" t="n">
        <f aca="false">SUMIFS('Source'!$F:$F,'Source'!$A:$A,"160134 SUPER-PHARM HOLDING. SP.ZO.O",'Source'!$B:$B,$A58)</f>
        <v>140</v>
      </c>
      <c r="E58" s="8" t="n">
        <f aca="false">D58*$J$5</f>
        <v>176.842105263158</v>
      </c>
      <c r="F58" s="8" t="n">
        <f aca="false">E58-C58</f>
        <v>-133.157894736842</v>
      </c>
      <c r="G58" s="9" t="n">
        <f aca="false">IF(AND(C58=0,E58=0),0,IF(C58=0,"New",(E58-C58)/C58))</f>
        <v>-0.429541595925297</v>
      </c>
      <c r="H58" s="8" t="n">
        <f aca="false">SUMIFS('Source'!$E:$E,'Source'!$A:$A,"160134 SUPER-PHARM HOLDING. SP.ZO.O",'Source'!$B:$B,$A58)</f>
        <v>5975.18</v>
      </c>
      <c r="I58" s="8" t="n">
        <f aca="false">SUMIFS('Source'!$G:$G,'Source'!$A:$A,"160134 SUPER-PHARM HOLDING. SP.ZO.O",'Source'!$B:$B,$A58)</f>
        <v>2441.63</v>
      </c>
      <c r="J58" s="8" t="n">
        <f aca="false">I58*$J$5</f>
        <v>3084.16421052632</v>
      </c>
      <c r="K58" s="8" t="n">
        <f aca="false">J58-H58</f>
        <v>-2891.01578947368</v>
      </c>
      <c r="L58" s="9" t="n">
        <f aca="false">IF(AND(H58=0,J58=0),0,IF(H58=0,"New",(J58-H58)/H58))</f>
        <v>-0.483837439118769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570</v>
      </c>
      <c r="B59" s="7" t="str">
        <f aca="false">IFERROR(INDEX('Source'!$C:$C,MATCH($A59,'Source'!$B:$B,0)),"")</f>
        <v>רפידת זיכרון 376</v>
      </c>
      <c r="C59" s="8" t="n">
        <f aca="false">SUMIFS('Source'!$D:$D,'Source'!$A:$A,"160134 SUPER-PHARM HOLDING. SP.ZO.O",'Source'!$B:$B,$A59)</f>
        <v>470</v>
      </c>
      <c r="D59" s="8" t="n">
        <f aca="false">SUMIFS('Source'!$F:$F,'Source'!$A:$A,"160134 SUPER-PHARM HOLDING. SP.ZO.O",'Source'!$B:$B,$A59)</f>
        <v>320</v>
      </c>
      <c r="E59" s="8" t="n">
        <f aca="false">D59*$J$5</f>
        <v>404.21052631579</v>
      </c>
      <c r="F59" s="8" t="n">
        <f aca="false">E59-C59</f>
        <v>-65.7894736842105</v>
      </c>
      <c r="G59" s="9" t="n">
        <f aca="false">IF(AND(C59=0,E59=0),0,IF(C59=0,"New",(E59-C59)/C59))</f>
        <v>-0.139977603583427</v>
      </c>
      <c r="H59" s="8" t="n">
        <f aca="false">SUMIFS('Source'!$E:$E,'Source'!$A:$A,"160134 SUPER-PHARM HOLDING. SP.ZO.O",'Source'!$B:$B,$A59)</f>
        <v>9031.95</v>
      </c>
      <c r="I59" s="8" t="n">
        <f aca="false">SUMIFS('Source'!$G:$G,'Source'!$A:$A,"160134 SUPER-PHARM HOLDING. SP.ZO.O",'Source'!$B:$B,$A59)</f>
        <v>5572.95</v>
      </c>
      <c r="J59" s="8" t="n">
        <f aca="false">I59*$J$5</f>
        <v>7039.51578947368</v>
      </c>
      <c r="K59" s="8" t="n">
        <f aca="false">J59-H59</f>
        <v>-1992.43421052632</v>
      </c>
      <c r="L59" s="9" t="n">
        <f aca="false">IF(AND(H59=0,J59=0),0,IF(H59=0,"New",(J59-H59)/H59))</f>
        <v>-0.220598454434127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129</v>
      </c>
      <c r="B60" s="7" t="str">
        <f aca="false">IFERROR(INDEX('Source'!$C:$C,MATCH($A60,'Source'!$B:$B,0)),"")</f>
        <v>רצועה לפיקה+כרית</v>
      </c>
      <c r="C60" s="8" t="n">
        <f aca="false">SUMIFS('Source'!$D:$D,'Source'!$A:$A,"160134 SUPER-PHARM HOLDING. SP.ZO.O",'Source'!$B:$B,$A60)</f>
        <v>92</v>
      </c>
      <c r="D60" s="8" t="n">
        <f aca="false">SUMIFS('Source'!$F:$F,'Source'!$A:$A,"160134 SUPER-PHARM HOLDING. SP.ZO.O",'Source'!$B:$B,$A60)</f>
        <v>50</v>
      </c>
      <c r="E60" s="8" t="n">
        <f aca="false">D60*$J$5</f>
        <v>63.1578947368421</v>
      </c>
      <c r="F60" s="8" t="n">
        <f aca="false">E60-C60</f>
        <v>-28.8421052631579</v>
      </c>
      <c r="G60" s="9" t="n">
        <f aca="false">IF(AND(C60=0,E60=0),0,IF(C60=0,"New",(E60-C60)/C60))</f>
        <v>-0.31350114416476</v>
      </c>
      <c r="H60" s="8" t="n">
        <f aca="false">SUMIFS('Source'!$E:$E,'Source'!$A:$A,"160134 SUPER-PHARM HOLDING. SP.ZO.O",'Source'!$B:$B,$A60)</f>
        <v>6336.99</v>
      </c>
      <c r="I60" s="8" t="n">
        <f aca="false">SUMIFS('Source'!$G:$G,'Source'!$A:$A,"160134 SUPER-PHARM HOLDING. SP.ZO.O",'Source'!$B:$B,$A60)</f>
        <v>3045.11</v>
      </c>
      <c r="J60" s="8" t="n">
        <f aca="false">I60*$J$5</f>
        <v>3846.45473684211</v>
      </c>
      <c r="K60" s="8" t="n">
        <f aca="false">J60-H60</f>
        <v>-2490.53526315789</v>
      </c>
      <c r="L60" s="9" t="n">
        <f aca="false">IF(AND(H60=0,J60=0),0,IF(H60=0,"New",(J60-H60)/H60))</f>
        <v>-0.393015495236365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802</v>
      </c>
      <c r="B61" s="7" t="str">
        <f aca="false">IFERROR(INDEX('Source'!$C:$C,MATCH($A61,'Source'!$B:$B,0)),"")</f>
        <v>מגן קרסול שחור</v>
      </c>
      <c r="C61" s="8" t="n">
        <f aca="false">SUMIFS('Source'!$D:$D,'Source'!$A:$A,"160134 SUPER-PHARM HOLDING. SP.ZO.O",'Source'!$B:$B,$A61)</f>
        <v>410</v>
      </c>
      <c r="D61" s="8" t="n">
        <f aca="false">SUMIFS('Source'!$F:$F,'Source'!$A:$A,"160134 SUPER-PHARM HOLDING. SP.ZO.O",'Source'!$B:$B,$A61)</f>
        <v>200</v>
      </c>
      <c r="E61" s="8" t="n">
        <f aca="false">D61*$J$5</f>
        <v>252.631578947368</v>
      </c>
      <c r="F61" s="8" t="n">
        <f aca="false">E61-C61</f>
        <v>-157.368421052632</v>
      </c>
      <c r="G61" s="9" t="n">
        <f aca="false">IF(AND(C61=0,E61=0),0,IF(C61=0,"New",(E61-C61)/C61))</f>
        <v>-0.38382541720154</v>
      </c>
      <c r="H61" s="8" t="n">
        <f aca="false">SUMIFS('Source'!$E:$E,'Source'!$A:$A,"160134 SUPER-PHARM HOLDING. SP.ZO.O",'Source'!$B:$B,$A61)</f>
        <v>5869.73</v>
      </c>
      <c r="I61" s="8" t="n">
        <f aca="false">SUMIFS('Source'!$G:$G,'Source'!$A:$A,"160134 SUPER-PHARM HOLDING. SP.ZO.O",'Source'!$B:$B,$A61)</f>
        <v>2581.67</v>
      </c>
      <c r="J61" s="8" t="n">
        <f aca="false">I61*$J$5</f>
        <v>3261.05684210526</v>
      </c>
      <c r="K61" s="8" t="n">
        <f aca="false">J61-H61</f>
        <v>-2608.67315789474</v>
      </c>
      <c r="L61" s="9" t="n">
        <f aca="false">IF(AND(H61=0,J61=0),0,IF(H61=0,"New",(J61-H61)/H61))</f>
        <v>-0.444428135177382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516</v>
      </c>
      <c r="B62" s="7" t="str">
        <f aca="false">IFERROR(INDEX('Source'!$C:$C,MATCH($A62,'Source'!$B:$B,0)),"")</f>
        <v>טבעת אלסטית מסי</v>
      </c>
      <c r="C62" s="8" t="n">
        <f aca="false">SUMIFS('Source'!$D:$D,'Source'!$A:$A,"160134 SUPER-PHARM HOLDING. SP.ZO.O",'Source'!$B:$B,$A62)</f>
        <v>620</v>
      </c>
      <c r="D62" s="8" t="n">
        <f aca="false">SUMIFS('Source'!$F:$F,'Source'!$A:$A,"160134 SUPER-PHARM HOLDING. SP.ZO.O",'Source'!$B:$B,$A62)</f>
        <v>270</v>
      </c>
      <c r="E62" s="8" t="n">
        <f aca="false">D62*$J$5</f>
        <v>341.052631578947</v>
      </c>
      <c r="F62" s="8" t="n">
        <f aca="false">E62-C62</f>
        <v>-278.947368421053</v>
      </c>
      <c r="G62" s="9" t="n">
        <f aca="false">IF(AND(C62=0,E62=0),0,IF(C62=0,"New",(E62-C62)/C62))</f>
        <v>-0.449915110356537</v>
      </c>
      <c r="H62" s="8" t="n">
        <f aca="false">SUMIFS('Source'!$E:$E,'Source'!$A:$A,"160134 SUPER-PHARM HOLDING. SP.ZO.O",'Source'!$B:$B,$A62)</f>
        <v>5381.25</v>
      </c>
      <c r="I62" s="8" t="n">
        <f aca="false">SUMIFS('Source'!$G:$G,'Source'!$A:$A,"160134 SUPER-PHARM HOLDING. SP.ZO.O",'Source'!$B:$B,$A62)</f>
        <v>2115.34</v>
      </c>
      <c r="J62" s="8" t="n">
        <f aca="false">I62*$J$5</f>
        <v>2672.00842105263</v>
      </c>
      <c r="K62" s="8" t="n">
        <f aca="false">J62-H62</f>
        <v>-2709.24157894737</v>
      </c>
      <c r="L62" s="9" t="n">
        <f aca="false">IF(AND(H62=0,J62=0),0,IF(H62=0,"New",(J62-H62)/H62))</f>
        <v>-0.503459526865945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798</v>
      </c>
      <c r="B63" s="7" t="str">
        <f aca="false">IFERROR(INDEX('Source'!$C:$C,MATCH($A63,'Source'!$B:$B,0)),"")</f>
        <v>מדבקה ג'ל למניעת יבלות</v>
      </c>
      <c r="C63" s="8" t="n">
        <f aca="false">SUMIFS('Source'!$D:$D,'Source'!$A:$A,"160134 SUPER-PHARM HOLDING. SP.ZO.O",'Source'!$B:$B,$A63)</f>
        <v>320</v>
      </c>
      <c r="D63" s="8" t="n">
        <f aca="false">SUMIFS('Source'!$F:$F,'Source'!$A:$A,"160134 SUPER-PHARM HOLDING. SP.ZO.O",'Source'!$B:$B,$A63)</f>
        <v>150</v>
      </c>
      <c r="E63" s="8" t="n">
        <f aca="false">D63*$J$5</f>
        <v>189.473684210526</v>
      </c>
      <c r="F63" s="8" t="n">
        <f aca="false">E63-C63</f>
        <v>-130.526315789474</v>
      </c>
      <c r="G63" s="9" t="n">
        <f aca="false">IF(AND(C63=0,E63=0),0,IF(C63=0,"New",(E63-C63)/C63))</f>
        <v>-0.407894736842105</v>
      </c>
      <c r="H63" s="8" t="n">
        <f aca="false">SUMIFS('Source'!$E:$E,'Source'!$A:$A,"160134 SUPER-PHARM HOLDING. SP.ZO.O",'Source'!$B:$B,$A63)</f>
        <v>5566.27</v>
      </c>
      <c r="I63" s="8" t="n">
        <f aca="false">SUMIFS('Source'!$G:$G,'Source'!$A:$A,"160134 SUPER-PHARM HOLDING. SP.ZO.O",'Source'!$B:$B,$A63)</f>
        <v>2313.37</v>
      </c>
      <c r="J63" s="8" t="n">
        <f aca="false">I63*$J$5</f>
        <v>2922.15157894737</v>
      </c>
      <c r="K63" s="8" t="n">
        <f aca="false">J63-H63</f>
        <v>-2644.11842105263</v>
      </c>
      <c r="L63" s="9" t="n">
        <f aca="false">IF(AND(H63=0,J63=0),0,IF(H63=0,"New",(J63-H63)/H63))</f>
        <v>-0.475025182223038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797</v>
      </c>
      <c r="B64" s="7" t="str">
        <f aca="false">IFERROR(INDEX('Source'!$C:$C,MATCH($A64,'Source'!$B:$B,0)),"")</f>
        <v>חגורת בטן</v>
      </c>
      <c r="C64" s="8" t="n">
        <f aca="false">SUMIFS('Source'!$D:$D,'Source'!$A:$A,"160134 SUPER-PHARM HOLDING. SP.ZO.O",'Source'!$B:$B,$A64)</f>
        <v>74</v>
      </c>
      <c r="D64" s="8" t="n">
        <f aca="false">SUMIFS('Source'!$F:$F,'Source'!$A:$A,"160134 SUPER-PHARM HOLDING. SP.ZO.O",'Source'!$B:$B,$A64)</f>
        <v>40</v>
      </c>
      <c r="E64" s="8" t="n">
        <f aca="false">D64*$J$5</f>
        <v>50.5263157894737</v>
      </c>
      <c r="F64" s="8" t="n">
        <f aca="false">E64-C64</f>
        <v>-23.4736842105263</v>
      </c>
      <c r="G64" s="9" t="n">
        <f aca="false">IF(AND(C64=0,E64=0),0,IF(C64=0,"New",(E64-C64)/C64))</f>
        <v>-0.317211948790896</v>
      </c>
      <c r="H64" s="8" t="n">
        <f aca="false">SUMIFS('Source'!$E:$E,'Source'!$A:$A,"160134 SUPER-PHARM HOLDING. SP.ZO.O",'Source'!$B:$B,$A64)</f>
        <v>5973.41</v>
      </c>
      <c r="I64" s="8" t="n">
        <f aca="false">SUMIFS('Source'!$G:$G,'Source'!$A:$A,"160134 SUPER-PHARM HOLDING. SP.ZO.O",'Source'!$B:$B,$A64)</f>
        <v>2815.32</v>
      </c>
      <c r="J64" s="8" t="n">
        <f aca="false">I64*$J$5</f>
        <v>3556.19368421053</v>
      </c>
      <c r="K64" s="8" t="n">
        <f aca="false">J64-H64</f>
        <v>-2417.21631578947</v>
      </c>
      <c r="L64" s="9" t="n">
        <f aca="false">IF(AND(H64=0,J64=0),0,IF(H64=0,"New",(J64-H64)/H64))</f>
        <v>-0.404662716235697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533</v>
      </c>
      <c r="B65" s="7" t="str">
        <f aca="false">IFERROR(INDEX('Source'!$C:$C,MATCH($A65,'Source'!$B:$B,0)),"")</f>
        <v>מתלה יד-כיס</v>
      </c>
      <c r="C65" s="8" t="n">
        <f aca="false">SUMIFS('Source'!$D:$D,'Source'!$A:$A,"160134 SUPER-PHARM HOLDING. SP.ZO.O",'Source'!$B:$B,$A65)</f>
        <v>170</v>
      </c>
      <c r="D65" s="8" t="n">
        <f aca="false">SUMIFS('Source'!$F:$F,'Source'!$A:$A,"160134 SUPER-PHARM HOLDING. SP.ZO.O",'Source'!$B:$B,$A65)</f>
        <v>80</v>
      </c>
      <c r="E65" s="8" t="n">
        <f aca="false">D65*$J$5</f>
        <v>101.052631578947</v>
      </c>
      <c r="F65" s="8" t="n">
        <f aca="false">E65-C65</f>
        <v>-68.9473684210526</v>
      </c>
      <c r="G65" s="9" t="n">
        <f aca="false">IF(AND(C65=0,E65=0),0,IF(C65=0,"New",(E65-C65)/C65))</f>
        <v>-0.405572755417957</v>
      </c>
      <c r="H65" s="8" t="n">
        <f aca="false">SUMIFS('Source'!$E:$E,'Source'!$A:$A,"160134 SUPER-PHARM HOLDING. SP.ZO.O",'Source'!$B:$B,$A65)</f>
        <v>5328.74</v>
      </c>
      <c r="I65" s="8" t="n">
        <f aca="false">SUMIFS('Source'!$G:$G,'Source'!$A:$A,"160134 SUPER-PHARM HOLDING. SP.ZO.O",'Source'!$B:$B,$A65)</f>
        <v>2208.1</v>
      </c>
      <c r="J65" s="8" t="n">
        <f aca="false">I65*$J$5</f>
        <v>2789.17894736842</v>
      </c>
      <c r="K65" s="8" t="n">
        <f aca="false">J65-H65</f>
        <v>-2539.56105263158</v>
      </c>
      <c r="L65" s="9" t="n">
        <f aca="false">IF(AND(H65=0,J65=0),0,IF(H65=0,"New",(J65-H65)/H65))</f>
        <v>-0.476578150300367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160</v>
      </c>
      <c r="B66" s="7" t="str">
        <f aca="false">IFERROR(INDEX('Source'!$C:$C,MATCH($A66,'Source'!$B:$B,0)),"")</f>
        <v>חגורת גב+סגירה כפולה</v>
      </c>
      <c r="C66" s="8" t="n">
        <f aca="false">SUMIFS('Source'!$D:$D,'Source'!$A:$A,"160134 SUPER-PHARM HOLDING. SP.ZO.O",'Source'!$B:$B,$A66)</f>
        <v>0</v>
      </c>
      <c r="D66" s="8" t="n">
        <f aca="false">SUMIFS('Source'!$F:$F,'Source'!$A:$A,"160134 SUPER-PHARM HOLDING. SP.ZO.O",'Source'!$B:$B,$A66)</f>
        <v>50</v>
      </c>
      <c r="E66" s="8" t="n">
        <f aca="false">D66*$J$5</f>
        <v>63.1578947368421</v>
      </c>
      <c r="F66" s="8" t="n">
        <f aca="false">E66-C66</f>
        <v>63.1578947368421</v>
      </c>
      <c r="G66" s="9" t="str">
        <f aca="false">IF(AND(C66=0,E66=0),0,IF(C66=0,"New",(E66-C66)/C66))</f>
        <v>New</v>
      </c>
      <c r="H66" s="8" t="n">
        <f aca="false">SUMIFS('Source'!$E:$E,'Source'!$A:$A,"160134 SUPER-PHARM HOLDING. SP.ZO.O",'Source'!$B:$B,$A66)</f>
        <v>0</v>
      </c>
      <c r="I66" s="8" t="n">
        <f aca="false">SUMIFS('Source'!$G:$G,'Source'!$A:$A,"160134 SUPER-PHARM HOLDING. SP.ZO.O",'Source'!$B:$B,$A66)</f>
        <v>3105.52</v>
      </c>
      <c r="J66" s="8" t="n">
        <f aca="false">I66*$J$5</f>
        <v>3922.76210526316</v>
      </c>
      <c r="K66" s="8" t="n">
        <f aca="false">J66-H66</f>
        <v>3922.76210526316</v>
      </c>
      <c r="L66" s="9" t="str">
        <f aca="false">IF(AND(H66=0,J66=0),0,IF(H66=0,"New",(J66-H66)/H66))</f>
        <v>New</v>
      </c>
      <c r="M66" s="7" t="str">
        <f aca="false">IF(AND(OR(C66&lt;&gt;0,H66&lt;&gt;0),D66=0,I66=0),"DROP",IF(AND(OR(D66&lt;&gt;0,I66&lt;&gt;0),C66=0,H66=0),"NEW",""))</f>
        <v>NEW</v>
      </c>
    </row>
    <row r="67" customFormat="false" ht="15" hidden="false" customHeight="false" outlineLevel="0" collapsed="false">
      <c r="A67" s="7" t="s">
        <v>740</v>
      </c>
      <c r="B67" s="7" t="str">
        <f aca="false">IFERROR(INDEX('Source'!$C:$C,MATCH($A67,'Source'!$B:$B,0)),"")</f>
        <v>מדבקה לשחרור לחץ</v>
      </c>
      <c r="C67" s="8" t="n">
        <f aca="false">SUMIFS('Source'!$D:$D,'Source'!$A:$A,"160134 SUPER-PHARM HOLDING. SP.ZO.O",'Source'!$B:$B,$A67)</f>
        <v>280</v>
      </c>
      <c r="D67" s="8" t="n">
        <f aca="false">SUMIFS('Source'!$F:$F,'Source'!$A:$A,"160134 SUPER-PHARM HOLDING. SP.ZO.O",'Source'!$B:$B,$A67)</f>
        <v>100</v>
      </c>
      <c r="E67" s="8" t="n">
        <f aca="false">D67*$J$5</f>
        <v>126.315789473684</v>
      </c>
      <c r="F67" s="8" t="n">
        <f aca="false">E67-C67</f>
        <v>-153.684210526316</v>
      </c>
      <c r="G67" s="9" t="n">
        <f aca="false">IF(AND(C67=0,E67=0),0,IF(C67=0,"New",(E67-C67)/C67))</f>
        <v>-0.548872180451128</v>
      </c>
      <c r="H67" s="8" t="n">
        <f aca="false">SUMIFS('Source'!$E:$E,'Source'!$A:$A,"160134 SUPER-PHARM HOLDING. SP.ZO.O",'Source'!$B:$B,$A67)</f>
        <v>4506.2</v>
      </c>
      <c r="I67" s="8" t="n">
        <f aca="false">SUMIFS('Source'!$G:$G,'Source'!$A:$A,"160134 SUPER-PHARM HOLDING. SP.ZO.O",'Source'!$B:$B,$A67)</f>
        <v>1403.27</v>
      </c>
      <c r="J67" s="8" t="n">
        <f aca="false">I67*$J$5</f>
        <v>1772.55157894737</v>
      </c>
      <c r="K67" s="8" t="n">
        <f aca="false">J67-H67</f>
        <v>-2733.64842105263</v>
      </c>
      <c r="L67" s="9" t="n">
        <f aca="false">IF(AND(H67=0,J67=0),0,IF(H67=0,"New",(J67-H67)/H67))</f>
        <v>-0.606641609571841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660</v>
      </c>
      <c r="B68" s="7" t="str">
        <f aca="false">IFERROR(INDEX('Source'!$C:$C,MATCH($A68,'Source'!$B:$B,0)),"")</f>
        <v>רפידת זיכרון 376</v>
      </c>
      <c r="C68" s="8" t="n">
        <f aca="false">SUMIFS('Source'!$D:$D,'Source'!$A:$A,"160134 SUPER-PHARM HOLDING. SP.ZO.O",'Source'!$B:$B,$A68)</f>
        <v>210</v>
      </c>
      <c r="D68" s="8" t="n">
        <f aca="false">SUMIFS('Source'!$F:$F,'Source'!$A:$A,"160134 SUPER-PHARM HOLDING. SP.ZO.O",'Source'!$B:$B,$A68)</f>
        <v>60</v>
      </c>
      <c r="E68" s="8" t="n">
        <f aca="false">D68*$J$5</f>
        <v>75.7894736842105</v>
      </c>
      <c r="F68" s="8" t="n">
        <f aca="false">E68-C68</f>
        <v>-134.210526315789</v>
      </c>
      <c r="G68" s="9" t="n">
        <f aca="false">IF(AND(C68=0,E68=0),0,IF(C68=0,"New",(E68-C68)/C68))</f>
        <v>-0.639097744360902</v>
      </c>
      <c r="H68" s="8" t="n">
        <f aca="false">SUMIFS('Source'!$E:$E,'Source'!$A:$A,"160134 SUPER-PHARM HOLDING. SP.ZO.O",'Source'!$B:$B,$A68)</f>
        <v>4085.1</v>
      </c>
      <c r="I68" s="8" t="n">
        <f aca="false">SUMIFS('Source'!$G:$G,'Source'!$A:$A,"160134 SUPER-PHARM HOLDING. SP.ZO.O",'Source'!$B:$B,$A68)</f>
        <v>1054.69</v>
      </c>
      <c r="J68" s="8" t="n">
        <f aca="false">I68*$J$5</f>
        <v>1332.24</v>
      </c>
      <c r="K68" s="8" t="n">
        <f aca="false">J68-H68</f>
        <v>-2752.86</v>
      </c>
      <c r="L68" s="9" t="n">
        <f aca="false">IF(AND(H68=0,J68=0),0,IF(H68=0,"New",(J68-H68)/H68))</f>
        <v>-0.673878240434751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225</v>
      </c>
      <c r="B69" s="7" t="str">
        <f aca="false">IFERROR(INDEX('Source'!$C:$C,MATCH($A69,'Source'!$B:$B,0)),"")</f>
        <v>שרוול מסיליקון ל</v>
      </c>
      <c r="C69" s="8" t="n">
        <f aca="false">SUMIFS('Source'!$D:$D,'Source'!$A:$A,"160134 SUPER-PHARM HOLDING. SP.ZO.O",'Source'!$B:$B,$A69)</f>
        <v>460</v>
      </c>
      <c r="D69" s="8" t="n">
        <f aca="false">SUMIFS('Source'!$F:$F,'Source'!$A:$A,"160134 SUPER-PHARM HOLDING. SP.ZO.O",'Source'!$B:$B,$A69)</f>
        <v>280</v>
      </c>
      <c r="E69" s="8" t="n">
        <f aca="false">D69*$J$5</f>
        <v>353.684210526316</v>
      </c>
      <c r="F69" s="8" t="n">
        <f aca="false">E69-C69</f>
        <v>-106.315789473684</v>
      </c>
      <c r="G69" s="9" t="n">
        <f aca="false">IF(AND(C69=0,E69=0),0,IF(C69=0,"New",(E69-C69)/C69))</f>
        <v>-0.231121281464531</v>
      </c>
      <c r="H69" s="8" t="n">
        <f aca="false">SUMIFS('Source'!$E:$E,'Source'!$A:$A,"160134 SUPER-PHARM HOLDING. SP.ZO.O",'Source'!$B:$B,$A69)</f>
        <v>6713.26</v>
      </c>
      <c r="I69" s="8" t="n">
        <f aca="false">SUMIFS('Source'!$G:$G,'Source'!$A:$A,"160134 SUPER-PHARM HOLDING. SP.ZO.O",'Source'!$B:$B,$A69)</f>
        <v>3690.6</v>
      </c>
      <c r="J69" s="8" t="n">
        <f aca="false">I69*$J$5</f>
        <v>4661.81052631579</v>
      </c>
      <c r="K69" s="8" t="n">
        <f aca="false">J69-H69</f>
        <v>-2051.44947368421</v>
      </c>
      <c r="L69" s="9" t="n">
        <f aca="false">IF(AND(H69=0,J69=0),0,IF(H69=0,"New",(J69-H69)/H69))</f>
        <v>-0.3055817104781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684</v>
      </c>
      <c r="B70" s="7" t="str">
        <f aca="false">IFERROR(INDEX('Source'!$C:$C,MATCH($A70,'Source'!$B:$B,0)),"")</f>
        <v>מגן מרפק שחור</v>
      </c>
      <c r="C70" s="8" t="n">
        <f aca="false">SUMIFS('Source'!$D:$D,'Source'!$A:$A,"160134 SUPER-PHARM HOLDING. SP.ZO.O",'Source'!$B:$B,$A70)</f>
        <v>300</v>
      </c>
      <c r="D70" s="8" t="n">
        <f aca="false">SUMIFS('Source'!$F:$F,'Source'!$A:$A,"160134 SUPER-PHARM HOLDING. SP.ZO.O",'Source'!$B:$B,$A70)</f>
        <v>100</v>
      </c>
      <c r="E70" s="8" t="n">
        <f aca="false">D70*$J$5</f>
        <v>126.315789473684</v>
      </c>
      <c r="F70" s="8" t="n">
        <f aca="false">E70-C70</f>
        <v>-173.684210526316</v>
      </c>
      <c r="G70" s="9" t="n">
        <f aca="false">IF(AND(C70=0,E70=0),0,IF(C70=0,"New",(E70-C70)/C70))</f>
        <v>-0.578947368421053</v>
      </c>
      <c r="H70" s="8" t="n">
        <f aca="false">SUMIFS('Source'!$E:$E,'Source'!$A:$A,"160134 SUPER-PHARM HOLDING. SP.ZO.O",'Source'!$B:$B,$A70)</f>
        <v>4263.53</v>
      </c>
      <c r="I70" s="8" t="n">
        <f aca="false">SUMIFS('Source'!$G:$G,'Source'!$A:$A,"160134 SUPER-PHARM HOLDING. SP.ZO.O",'Source'!$B:$B,$A70)</f>
        <v>1280.9</v>
      </c>
      <c r="J70" s="8" t="n">
        <f aca="false">I70*$J$5</f>
        <v>1617.97894736842</v>
      </c>
      <c r="K70" s="8" t="n">
        <f aca="false">J70-H70</f>
        <v>-2645.55105263158</v>
      </c>
      <c r="L70" s="9" t="n">
        <f aca="false">IF(AND(H70=0,J70=0),0,IF(H70=0,"New",(J70-H70)/H70))</f>
        <v>-0.620507197705089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185</v>
      </c>
      <c r="B71" s="7" t="str">
        <f aca="false">IFERROR(INDEX('Source'!$C:$C,MATCH($A71,'Source'!$B:$B,0)),"")</f>
        <v>כרית עם סרט אלסט</v>
      </c>
      <c r="C71" s="8" t="n">
        <f aca="false">SUMIFS('Source'!$D:$D,'Source'!$A:$A,"160134 SUPER-PHARM HOLDING. SP.ZO.O",'Source'!$B:$B,$A71)</f>
        <v>160</v>
      </c>
      <c r="D71" s="8" t="n">
        <f aca="false">SUMIFS('Source'!$F:$F,'Source'!$A:$A,"160134 SUPER-PHARM HOLDING. SP.ZO.O",'Source'!$B:$B,$A71)</f>
        <v>30</v>
      </c>
      <c r="E71" s="8" t="n">
        <f aca="false">D71*$J$5</f>
        <v>37.8947368421053</v>
      </c>
      <c r="F71" s="8" t="n">
        <f aca="false">E71-C71</f>
        <v>-122.105263157895</v>
      </c>
      <c r="G71" s="9" t="n">
        <f aca="false">IF(AND(C71=0,E71=0),0,IF(C71=0,"New",(E71-C71)/C71))</f>
        <v>-0.763157894736842</v>
      </c>
      <c r="H71" s="8" t="n">
        <f aca="false">SUMIFS('Source'!$E:$E,'Source'!$A:$A,"160134 SUPER-PHARM HOLDING. SP.ZO.O",'Source'!$B:$B,$A71)</f>
        <v>3432.56</v>
      </c>
      <c r="I71" s="8" t="n">
        <f aca="false">SUMIFS('Source'!$G:$G,'Source'!$A:$A,"160134 SUPER-PHARM HOLDING. SP.ZO.O",'Source'!$B:$B,$A71)</f>
        <v>580.64</v>
      </c>
      <c r="J71" s="8" t="n">
        <f aca="false">I71*$J$5</f>
        <v>733.44</v>
      </c>
      <c r="K71" s="8" t="n">
        <f aca="false">J71-H71</f>
        <v>-2699.12</v>
      </c>
      <c r="L71" s="9" t="n">
        <f aca="false">IF(AND(H71=0,J71=0),0,IF(H71=0,"New",(J71-H71)/H71))</f>
        <v>-0.786328571095625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692</v>
      </c>
      <c r="B72" s="7" t="str">
        <f aca="false">IFERROR(INDEX('Source'!$C:$C,MATCH($A72,'Source'!$B:$B,0)),"")</f>
        <v>מתלה יד-כיס</v>
      </c>
      <c r="C72" s="8" t="n">
        <f aca="false">SUMIFS('Source'!$D:$D,'Source'!$A:$A,"160134 SUPER-PHARM HOLDING. SP.ZO.O",'Source'!$B:$B,$A72)</f>
        <v>110</v>
      </c>
      <c r="D72" s="8" t="n">
        <f aca="false">SUMIFS('Source'!$F:$F,'Source'!$A:$A,"160134 SUPER-PHARM HOLDING. SP.ZO.O",'Source'!$B:$B,$A72)</f>
        <v>20</v>
      </c>
      <c r="E72" s="8" t="n">
        <f aca="false">D72*$J$5</f>
        <v>25.2631578947368</v>
      </c>
      <c r="F72" s="8" t="n">
        <f aca="false">E72-C72</f>
        <v>-84.7368421052632</v>
      </c>
      <c r="G72" s="9" t="n">
        <f aca="false">IF(AND(C72=0,E72=0),0,IF(C72=0,"New",(E72-C72)/C72))</f>
        <v>-0.770334928229665</v>
      </c>
      <c r="H72" s="8" t="n">
        <f aca="false">SUMIFS('Source'!$E:$E,'Source'!$A:$A,"160134 SUPER-PHARM HOLDING. SP.ZO.O",'Source'!$B:$B,$A72)</f>
        <v>3432.26</v>
      </c>
      <c r="I72" s="8" t="n">
        <f aca="false">SUMIFS('Source'!$G:$G,'Source'!$A:$A,"160134 SUPER-PHARM HOLDING. SP.ZO.O",'Source'!$B:$B,$A72)</f>
        <v>583.98</v>
      </c>
      <c r="J72" s="8" t="n">
        <f aca="false">I72*$J$5</f>
        <v>737.658947368421</v>
      </c>
      <c r="K72" s="8" t="n">
        <f aca="false">J72-H72</f>
        <v>-2694.60105263158</v>
      </c>
      <c r="L72" s="9" t="n">
        <f aca="false">IF(AND(H72=0,J72=0),0,IF(H72=0,"New",(J72-H72)/H72))</f>
        <v>-0.785080691040766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343</v>
      </c>
      <c r="B73" s="7" t="str">
        <f aca="false">IFERROR(INDEX('Source'!$C:$C,MATCH($A73,'Source'!$B:$B,0)),"")</f>
        <v>מגן קרסול שחור</v>
      </c>
      <c r="C73" s="8" t="n">
        <f aca="false">SUMIFS('Source'!$D:$D,'Source'!$A:$A,"160134 SUPER-PHARM HOLDING. SP.ZO.O",'Source'!$B:$B,$A73)</f>
        <v>330</v>
      </c>
      <c r="D73" s="8" t="n">
        <f aca="false">SUMIFS('Source'!$F:$F,'Source'!$A:$A,"160134 SUPER-PHARM HOLDING. SP.ZO.O",'Source'!$B:$B,$A73)</f>
        <v>150</v>
      </c>
      <c r="E73" s="8" t="n">
        <f aca="false">D73*$J$5</f>
        <v>189.473684210526</v>
      </c>
      <c r="F73" s="8" t="n">
        <f aca="false">E73-C73</f>
        <v>-140.526315789474</v>
      </c>
      <c r="G73" s="9" t="n">
        <f aca="false">IF(AND(C73=0,E73=0),0,IF(C73=0,"New",(E73-C73)/C73))</f>
        <v>-0.425837320574163</v>
      </c>
      <c r="H73" s="8" t="n">
        <f aca="false">SUMIFS('Source'!$E:$E,'Source'!$A:$A,"160134 SUPER-PHARM HOLDING. SP.ZO.O",'Source'!$B:$B,$A73)</f>
        <v>4752.9</v>
      </c>
      <c r="I73" s="8" t="n">
        <f aca="false">SUMIFS('Source'!$G:$G,'Source'!$A:$A,"160134 SUPER-PHARM HOLDING. SP.ZO.O",'Source'!$B:$B,$A73)</f>
        <v>1926.31</v>
      </c>
      <c r="J73" s="8" t="n">
        <f aca="false">I73*$J$5</f>
        <v>2433.23368421053</v>
      </c>
      <c r="K73" s="8" t="n">
        <f aca="false">J73-H73</f>
        <v>-2319.66631578947</v>
      </c>
      <c r="L73" s="9" t="n">
        <f aca="false">IF(AND(H73=0,J73=0),0,IF(H73=0,"New",(J73-H73)/H73))</f>
        <v>-0.48805283422531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367</v>
      </c>
      <c r="B74" s="7" t="str">
        <f aca="false">IFERROR(INDEX('Source'!$C:$C,MATCH($A74,'Source'!$B:$B,0)),"")</f>
        <v>אצבעון מסיליקון</v>
      </c>
      <c r="C74" s="8" t="n">
        <f aca="false">SUMIFS('Source'!$D:$D,'Source'!$A:$A,"160134 SUPER-PHARM HOLDING. SP.ZO.O",'Source'!$B:$B,$A74)</f>
        <v>410</v>
      </c>
      <c r="D74" s="8" t="n">
        <f aca="false">SUMIFS('Source'!$F:$F,'Source'!$A:$A,"160134 SUPER-PHARM HOLDING. SP.ZO.O",'Source'!$B:$B,$A74)</f>
        <v>240</v>
      </c>
      <c r="E74" s="8" t="n">
        <f aca="false">D74*$J$5</f>
        <v>303.157894736842</v>
      </c>
      <c r="F74" s="8" t="n">
        <f aca="false">E74-C74</f>
        <v>-106.842105263158</v>
      </c>
      <c r="G74" s="9" t="n">
        <f aca="false">IF(AND(C74=0,E74=0),0,IF(C74=0,"New",(E74-C74)/C74))</f>
        <v>-0.260590500641849</v>
      </c>
      <c r="H74" s="8" t="n">
        <f aca="false">SUMIFS('Source'!$E:$E,'Source'!$A:$A,"160134 SUPER-PHARM HOLDING. SP.ZO.O",'Source'!$B:$B,$A74)</f>
        <v>5839.77</v>
      </c>
      <c r="I74" s="8" t="n">
        <f aca="false">SUMIFS('Source'!$G:$G,'Source'!$A:$A,"160134 SUPER-PHARM HOLDING. SP.ZO.O",'Source'!$B:$B,$A74)</f>
        <v>3061.05</v>
      </c>
      <c r="J74" s="8" t="n">
        <f aca="false">I74*$J$5</f>
        <v>3866.58947368421</v>
      </c>
      <c r="K74" s="8" t="n">
        <f aca="false">J74-H74</f>
        <v>-1973.18052631579</v>
      </c>
      <c r="L74" s="9" t="n">
        <f aca="false">IF(AND(H74=0,J74=0),0,IF(H74=0,"New",(J74-H74)/H74))</f>
        <v>-0.337886684974886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654</v>
      </c>
      <c r="B75" s="7" t="str">
        <f aca="false">IFERROR(INDEX('Source'!$C:$C,MATCH($A75,'Source'!$B:$B,0)),"")</f>
        <v>מגן יד</v>
      </c>
      <c r="C75" s="8" t="n">
        <f aca="false">SUMIFS('Source'!$D:$D,'Source'!$A:$A,"160134 SUPER-PHARM HOLDING. SP.ZO.O",'Source'!$B:$B,$A75)</f>
        <v>280</v>
      </c>
      <c r="D75" s="8" t="n">
        <f aca="false">SUMIFS('Source'!$F:$F,'Source'!$A:$A,"160134 SUPER-PHARM HOLDING. SP.ZO.O",'Source'!$B:$B,$A75)</f>
        <v>170</v>
      </c>
      <c r="E75" s="8" t="n">
        <f aca="false">D75*$J$5</f>
        <v>214.736842105263</v>
      </c>
      <c r="F75" s="8" t="n">
        <f aca="false">E75-C75</f>
        <v>-65.2631578947369</v>
      </c>
      <c r="G75" s="9" t="n">
        <f aca="false">IF(AND(C75=0,E75=0),0,IF(C75=0,"New",(E75-C75)/C75))</f>
        <v>-0.233082706766917</v>
      </c>
      <c r="H75" s="8" t="n">
        <f aca="false">SUMIFS('Source'!$E:$E,'Source'!$A:$A,"160134 SUPER-PHARM HOLDING. SP.ZO.O",'Source'!$B:$B,$A75)</f>
        <v>6063.38</v>
      </c>
      <c r="I75" s="8" t="n">
        <f aca="false">SUMIFS('Source'!$G:$G,'Source'!$A:$A,"160134 SUPER-PHARM HOLDING. SP.ZO.O",'Source'!$B:$B,$A75)</f>
        <v>3296.5</v>
      </c>
      <c r="J75" s="8" t="n">
        <f aca="false">I75*$J$5</f>
        <v>4164</v>
      </c>
      <c r="K75" s="8" t="n">
        <f aca="false">J75-H75</f>
        <v>-1899.38</v>
      </c>
      <c r="L75" s="9" t="n">
        <f aca="false">IF(AND(H75=0,J75=0),0,IF(H75=0,"New",(J75-H75)/H75))</f>
        <v>-0.313254323496136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779</v>
      </c>
      <c r="B76" s="7" t="str">
        <f aca="false">IFERROR(INDEX('Source'!$C:$C,MATCH($A76,'Source'!$B:$B,0)),"")</f>
        <v>מפריד אצבע</v>
      </c>
      <c r="C76" s="8" t="n">
        <f aca="false">SUMIFS('Source'!$D:$D,'Source'!$A:$A,"160134 SUPER-PHARM HOLDING. SP.ZO.O",'Source'!$B:$B,$A76)</f>
        <v>610</v>
      </c>
      <c r="D76" s="8" t="n">
        <f aca="false">SUMIFS('Source'!$F:$F,'Source'!$A:$A,"160134 SUPER-PHARM HOLDING. SP.ZO.O",'Source'!$B:$B,$A76)</f>
        <v>260</v>
      </c>
      <c r="E76" s="8" t="n">
        <f aca="false">D76*$J$5</f>
        <v>328.421052631579</v>
      </c>
      <c r="F76" s="8" t="n">
        <f aca="false">E76-C76</f>
        <v>-281.578947368421</v>
      </c>
      <c r="G76" s="9" t="n">
        <f aca="false">IF(AND(C76=0,E76=0),0,IF(C76=0,"New",(E76-C76)/C76))</f>
        <v>-0.46160483175151</v>
      </c>
      <c r="H76" s="8" t="n">
        <f aca="false">SUMIFS('Source'!$E:$E,'Source'!$A:$A,"160134 SUPER-PHARM HOLDING. SP.ZO.O",'Source'!$B:$B,$A76)</f>
        <v>4367.02</v>
      </c>
      <c r="I76" s="8" t="n">
        <f aca="false">SUMIFS('Source'!$G:$G,'Source'!$A:$A,"160134 SUPER-PHARM HOLDING. SP.ZO.O",'Source'!$B:$B,$A76)</f>
        <v>1663.86</v>
      </c>
      <c r="J76" s="8" t="n">
        <f aca="false">I76*$J$5</f>
        <v>2101.71789473684</v>
      </c>
      <c r="K76" s="8" t="n">
        <f aca="false">J76-H76</f>
        <v>-2265.30210526316</v>
      </c>
      <c r="L76" s="9" t="n">
        <f aca="false">IF(AND(H76=0,J76=0),0,IF(H76=0,"New",(J76-H76)/H76))</f>
        <v>-0.518729500955608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505</v>
      </c>
      <c r="B77" s="7" t="str">
        <f aca="false">IFERROR(INDEX('Source'!$C:$C,MATCH($A77,'Source'!$B:$B,0)),"")</f>
        <v>מגן ברך חום</v>
      </c>
      <c r="C77" s="8" t="n">
        <f aca="false">SUMIFS('Source'!$D:$D,'Source'!$A:$A,"160134 SUPER-PHARM HOLDING. SP.ZO.O",'Source'!$B:$B,$A77)</f>
        <v>460</v>
      </c>
      <c r="D77" s="8" t="n">
        <f aca="false">SUMIFS('Source'!$F:$F,'Source'!$A:$A,"160134 SUPER-PHARM HOLDING. SP.ZO.O",'Source'!$B:$B,$A77)</f>
        <v>290</v>
      </c>
      <c r="E77" s="8" t="n">
        <f aca="false">D77*$J$5</f>
        <v>366.315789473684</v>
      </c>
      <c r="F77" s="8" t="n">
        <f aca="false">E77-C77</f>
        <v>-93.6842105263158</v>
      </c>
      <c r="G77" s="9" t="n">
        <f aca="false">IF(AND(C77=0,E77=0),0,IF(C77=0,"New",(E77-C77)/C77))</f>
        <v>-0.203661327231121</v>
      </c>
      <c r="H77" s="8" t="n">
        <f aca="false">SUMIFS('Source'!$E:$E,'Source'!$A:$A,"160134 SUPER-PHARM HOLDING. SP.ZO.O",'Source'!$B:$B,$A77)</f>
        <v>6185.43</v>
      </c>
      <c r="I77" s="8" t="n">
        <f aca="false">SUMIFS('Source'!$G:$G,'Source'!$A:$A,"160134 SUPER-PHARM HOLDING. SP.ZO.O",'Source'!$B:$B,$A77)</f>
        <v>3507.94</v>
      </c>
      <c r="J77" s="8" t="n">
        <f aca="false">I77*$J$5</f>
        <v>4431.08210526316</v>
      </c>
      <c r="K77" s="8" t="n">
        <f aca="false">J77-H77</f>
        <v>-1754.34789473684</v>
      </c>
      <c r="L77" s="9" t="n">
        <f aca="false">IF(AND(H77=0,J77=0),0,IF(H77=0,"New",(J77-H77)/H77))</f>
        <v>-0.283625858628558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560</v>
      </c>
      <c r="B78" s="7" t="str">
        <f aca="false">IFERROR(INDEX('Source'!$C:$C,MATCH($A78,'Source'!$B:$B,0)),"")</f>
        <v>מגן ברך שחור</v>
      </c>
      <c r="C78" s="8" t="n">
        <f aca="false">SUMIFS('Source'!$D:$D,'Source'!$A:$A,"160134 SUPER-PHARM HOLDING. SP.ZO.O",'Source'!$B:$B,$A78)</f>
        <v>280</v>
      </c>
      <c r="D78" s="8" t="n">
        <f aca="false">SUMIFS('Source'!$F:$F,'Source'!$A:$A,"160134 SUPER-PHARM HOLDING. SP.ZO.O",'Source'!$B:$B,$A78)</f>
        <v>110</v>
      </c>
      <c r="E78" s="8" t="n">
        <f aca="false">D78*$J$5</f>
        <v>138.947368421053</v>
      </c>
      <c r="F78" s="8" t="n">
        <f aca="false">E78-C78</f>
        <v>-141.052631578947</v>
      </c>
      <c r="G78" s="9" t="n">
        <f aca="false">IF(AND(C78=0,E78=0),0,IF(C78=0,"New",(E78-C78)/C78))</f>
        <v>-0.503759398496241</v>
      </c>
      <c r="H78" s="8" t="n">
        <f aca="false">SUMIFS('Source'!$E:$E,'Source'!$A:$A,"160134 SUPER-PHARM HOLDING. SP.ZO.O",'Source'!$B:$B,$A78)</f>
        <v>4075.52</v>
      </c>
      <c r="I78" s="8" t="n">
        <f aca="false">SUMIFS('Source'!$G:$G,'Source'!$A:$A,"160134 SUPER-PHARM HOLDING. SP.ZO.O",'Source'!$B:$B,$A78)</f>
        <v>1440.49</v>
      </c>
      <c r="J78" s="8" t="n">
        <f aca="false">I78*$J$5</f>
        <v>1819.56631578947</v>
      </c>
      <c r="K78" s="8" t="n">
        <f aca="false">J78-H78</f>
        <v>-2255.95368421053</v>
      </c>
      <c r="L78" s="9" t="n">
        <f aca="false">IF(AND(H78=0,J78=0),0,IF(H78=0,"New",(J78-H78)/H78))</f>
        <v>-0.553537630587146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566</v>
      </c>
      <c r="B79" s="7" t="str">
        <f aca="false">IFERROR(INDEX('Source'!$C:$C,MATCH($A79,'Source'!$B:$B,0)),"")</f>
        <v>רפידת מגבת כותנה</v>
      </c>
      <c r="C79" s="8" t="n">
        <f aca="false">SUMIFS('Source'!$D:$D,'Source'!$A:$A,"160134 SUPER-PHARM HOLDING. SP.ZO.O",'Source'!$B:$B,$A79)</f>
        <v>700</v>
      </c>
      <c r="D79" s="8" t="n">
        <f aca="false">SUMIFS('Source'!$F:$F,'Source'!$A:$A,"160134 SUPER-PHARM HOLDING. SP.ZO.O",'Source'!$B:$B,$A79)</f>
        <v>300</v>
      </c>
      <c r="E79" s="8" t="n">
        <f aca="false">D79*$J$5</f>
        <v>378.947368421053</v>
      </c>
      <c r="F79" s="8" t="n">
        <f aca="false">E79-C79</f>
        <v>-321.052631578947</v>
      </c>
      <c r="G79" s="9" t="n">
        <f aca="false">IF(AND(C79=0,E79=0),0,IF(C79=0,"New",(E79-C79)/C79))</f>
        <v>-0.458646616541353</v>
      </c>
      <c r="H79" s="8" t="n">
        <f aca="false">SUMIFS('Source'!$E:$E,'Source'!$A:$A,"160134 SUPER-PHARM HOLDING. SP.ZO.O",'Source'!$B:$B,$A79)</f>
        <v>4321.16</v>
      </c>
      <c r="I79" s="8" t="n">
        <f aca="false">SUMIFS('Source'!$G:$G,'Source'!$A:$A,"160134 SUPER-PHARM HOLDING. SP.ZO.O",'Source'!$B:$B,$A79)</f>
        <v>1708.98</v>
      </c>
      <c r="J79" s="8" t="n">
        <f aca="false">I79*$J$5</f>
        <v>2158.71157894737</v>
      </c>
      <c r="K79" s="8" t="n">
        <f aca="false">J79-H79</f>
        <v>-2162.44842105263</v>
      </c>
      <c r="L79" s="9" t="n">
        <f aca="false">IF(AND(H79=0,J79=0),0,IF(H79=0,"New",(J79-H79)/H79))</f>
        <v>-0.500432388768903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640</v>
      </c>
      <c r="B80" s="7" t="str">
        <f aca="false">IFERROR(INDEX('Source'!$C:$C,MATCH($A80,'Source'!$B:$B,0)),"")</f>
        <v>חבק יד מתכוון</v>
      </c>
      <c r="C80" s="8" t="n">
        <f aca="false">SUMIFS('Source'!$D:$D,'Source'!$A:$A,"160134 SUPER-PHARM HOLDING. SP.ZO.O",'Source'!$B:$B,$A80)</f>
        <v>270</v>
      </c>
      <c r="D80" s="8" t="n">
        <f aca="false">SUMIFS('Source'!$F:$F,'Source'!$A:$A,"160134 SUPER-PHARM HOLDING. SP.ZO.O",'Source'!$B:$B,$A80)</f>
        <v>160</v>
      </c>
      <c r="E80" s="8" t="n">
        <f aca="false">D80*$J$5</f>
        <v>202.105263157895</v>
      </c>
      <c r="F80" s="8" t="n">
        <f aca="false">E80-C80</f>
        <v>-67.8947368421053</v>
      </c>
      <c r="G80" s="9" t="n">
        <f aca="false">IF(AND(C80=0,E80=0),0,IF(C80=0,"New",(E80-C80)/C80))</f>
        <v>-0.251461988304094</v>
      </c>
      <c r="H80" s="8" t="n">
        <f aca="false">SUMIFS('Source'!$E:$E,'Source'!$A:$A,"160134 SUPER-PHARM HOLDING. SP.ZO.O",'Source'!$B:$B,$A80)</f>
        <v>5482.9</v>
      </c>
      <c r="I80" s="8" t="n">
        <f aca="false">SUMIFS('Source'!$G:$G,'Source'!$A:$A,"160134 SUPER-PHARM HOLDING. SP.ZO.O",'Source'!$B:$B,$A80)</f>
        <v>2883.67</v>
      </c>
      <c r="J80" s="8" t="n">
        <f aca="false">I80*$J$5</f>
        <v>3642.53052631579</v>
      </c>
      <c r="K80" s="8" t="n">
        <f aca="false">J80-H80</f>
        <v>-1840.36947368421</v>
      </c>
      <c r="L80" s="9" t="n">
        <f aca="false">IF(AND(H80=0,J80=0),0,IF(H80=0,"New",(J80-H80)/H80))</f>
        <v>-0.33565621727265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253</v>
      </c>
      <c r="B81" s="7" t="str">
        <f aca="false">IFERROR(INDEX('Source'!$C:$C,MATCH($A81,'Source'!$B:$B,0)),"")</f>
        <v>סד לאגודל</v>
      </c>
      <c r="C81" s="8" t="n">
        <f aca="false">SUMIFS('Source'!$D:$D,'Source'!$A:$A,"160134 SUPER-PHARM HOLDING. SP.ZO.O",'Source'!$B:$B,$A81)</f>
        <v>410</v>
      </c>
      <c r="D81" s="8" t="n">
        <f aca="false">SUMIFS('Source'!$F:$F,'Source'!$A:$A,"160134 SUPER-PHARM HOLDING. SP.ZO.O",'Source'!$B:$B,$A81)</f>
        <v>310</v>
      </c>
      <c r="E81" s="8" t="n">
        <f aca="false">D81*$J$5</f>
        <v>391.578947368421</v>
      </c>
      <c r="F81" s="8" t="n">
        <f aca="false">E81-C81</f>
        <v>-18.421052631579</v>
      </c>
      <c r="G81" s="9" t="n">
        <f aca="false">IF(AND(C81=0,E81=0),0,IF(C81=0,"New",(E81-C81)/C81))</f>
        <v>-0.0449293966623877</v>
      </c>
      <c r="H81" s="8" t="n">
        <f aca="false">SUMIFS('Source'!$E:$E,'Source'!$A:$A,"160134 SUPER-PHARM HOLDING. SP.ZO.O",'Source'!$B:$B,$A81)</f>
        <v>8186.61</v>
      </c>
      <c r="I81" s="8" t="n">
        <f aca="false">SUMIFS('Source'!$G:$G,'Source'!$A:$A,"160134 SUPER-PHARM HOLDING. SP.ZO.O",'Source'!$B:$B,$A81)</f>
        <v>5600.4</v>
      </c>
      <c r="J81" s="8" t="n">
        <f aca="false">I81*$J$5</f>
        <v>7074.18947368421</v>
      </c>
      <c r="K81" s="8" t="n">
        <f aca="false">J81-H81</f>
        <v>-1112.42052631579</v>
      </c>
      <c r="L81" s="9" t="n">
        <f aca="false">IF(AND(H81=0,J81=0),0,IF(H81=0,"New",(J81-H81)/H81))</f>
        <v>-0.135882926671209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701</v>
      </c>
      <c r="B82" s="7" t="str">
        <f aca="false">IFERROR(INDEX('Source'!$C:$C,MATCH($A82,'Source'!$B:$B,0)),"")</f>
        <v>תחבושת אלסטית נצמדת צבע ירוק</v>
      </c>
      <c r="C82" s="8" t="n">
        <f aca="false">SUMIFS('Source'!$D:$D,'Source'!$A:$A,"160134 SUPER-PHARM HOLDING. SP.ZO.O",'Source'!$B:$B,$A82)</f>
        <v>1050</v>
      </c>
      <c r="D82" s="8" t="n">
        <f aca="false">SUMIFS('Source'!$F:$F,'Source'!$A:$A,"160134 SUPER-PHARM HOLDING. SP.ZO.O",'Source'!$B:$B,$A82)</f>
        <v>800</v>
      </c>
      <c r="E82" s="8" t="n">
        <f aca="false">D82*$J$5</f>
        <v>1010.52631578947</v>
      </c>
      <c r="F82" s="8" t="n">
        <f aca="false">E82-C82</f>
        <v>-39.4736842105264</v>
      </c>
      <c r="G82" s="9" t="n">
        <f aca="false">IF(AND(C82=0,E82=0),0,IF(C82=0,"New",(E82-C82)/C82))</f>
        <v>-0.0375939849624061</v>
      </c>
      <c r="H82" s="8" t="n">
        <f aca="false">SUMIFS('Source'!$E:$E,'Source'!$A:$A,"160134 SUPER-PHARM HOLDING. SP.ZO.O",'Source'!$B:$B,$A82)</f>
        <v>8166.17</v>
      </c>
      <c r="I82" s="8" t="n">
        <f aca="false">SUMIFS('Source'!$G:$G,'Source'!$A:$A,"160134 SUPER-PHARM HOLDING. SP.ZO.O",'Source'!$B:$B,$A82)</f>
        <v>5600.14</v>
      </c>
      <c r="J82" s="8" t="n">
        <f aca="false">I82*$J$5</f>
        <v>7073.86105263158</v>
      </c>
      <c r="K82" s="8" t="n">
        <f aca="false">J82-H82</f>
        <v>-1092.30894736842</v>
      </c>
      <c r="L82" s="9" t="n">
        <f aca="false">IF(AND(H82=0,J82=0),0,IF(H82=0,"New",(J82-H82)/H82))</f>
        <v>-0.133760250811387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213</v>
      </c>
      <c r="B83" s="7" t="str">
        <f aca="false">IFERROR(INDEX('Source'!$C:$C,MATCH($A83,'Source'!$B:$B,0)),"")</f>
        <v>סד יד</v>
      </c>
      <c r="C83" s="8" t="n">
        <f aca="false">SUMIFS('Source'!$D:$D,'Source'!$A:$A,"160134 SUPER-PHARM HOLDING. SP.ZO.O",'Source'!$B:$B,$A83)</f>
        <v>160</v>
      </c>
      <c r="D83" s="8" t="n">
        <f aca="false">SUMIFS('Source'!$F:$F,'Source'!$A:$A,"160134 SUPER-PHARM HOLDING. SP.ZO.O",'Source'!$B:$B,$A83)</f>
        <v>90</v>
      </c>
      <c r="E83" s="8" t="n">
        <f aca="false">D83*$J$5</f>
        <v>113.684210526316</v>
      </c>
      <c r="F83" s="8" t="n">
        <f aca="false">E83-C83</f>
        <v>-46.3157894736842</v>
      </c>
      <c r="G83" s="9" t="n">
        <f aca="false">IF(AND(C83=0,E83=0),0,IF(C83=0,"New",(E83-C83)/C83))</f>
        <v>-0.289473684210526</v>
      </c>
      <c r="H83" s="8" t="n">
        <f aca="false">SUMIFS('Source'!$E:$E,'Source'!$A:$A,"160134 SUPER-PHARM HOLDING. SP.ZO.O",'Source'!$B:$B,$A83)</f>
        <v>5147.48</v>
      </c>
      <c r="I83" s="8" t="n">
        <f aca="false">SUMIFS('Source'!$G:$G,'Source'!$A:$A,"160134 SUPER-PHARM HOLDING. SP.ZO.O",'Source'!$B:$B,$A83)</f>
        <v>2619.83</v>
      </c>
      <c r="J83" s="8" t="n">
        <f aca="false">I83*$J$5</f>
        <v>3309.25894736842</v>
      </c>
      <c r="K83" s="8" t="n">
        <f aca="false">J83-H83</f>
        <v>-1838.22105263158</v>
      </c>
      <c r="L83" s="9" t="n">
        <f aca="false">IF(AND(H83=0,J83=0),0,IF(H83=0,"New",(J83-H83)/H83))</f>
        <v>-0.357110868353365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527</v>
      </c>
      <c r="B84" s="7" t="str">
        <f aca="false">IFERROR(INDEX('Source'!$C:$C,MATCH($A84,'Source'!$B:$B,0)),"")</f>
        <v>סד מאורך לאגודל</v>
      </c>
      <c r="C84" s="8" t="n">
        <f aca="false">SUMIFS('Source'!$D:$D,'Source'!$A:$A,"160134 SUPER-PHARM HOLDING. SP.ZO.O",'Source'!$B:$B,$A84)</f>
        <v>100</v>
      </c>
      <c r="D84" s="8" t="n">
        <f aca="false">SUMIFS('Source'!$F:$F,'Source'!$A:$A,"160134 SUPER-PHARM HOLDING. SP.ZO.O",'Source'!$B:$B,$A84)</f>
        <v>40</v>
      </c>
      <c r="E84" s="8" t="n">
        <f aca="false">D84*$J$5</f>
        <v>50.5263157894737</v>
      </c>
      <c r="F84" s="8" t="n">
        <f aca="false">E84-C84</f>
        <v>-49.4736842105263</v>
      </c>
      <c r="G84" s="9" t="n">
        <f aca="false">IF(AND(C84=0,E84=0),0,IF(C84=0,"New",(E84-C84)/C84))</f>
        <v>-0.494736842105263</v>
      </c>
      <c r="H84" s="8" t="n">
        <f aca="false">SUMIFS('Source'!$E:$E,'Source'!$A:$A,"160134 SUPER-PHARM HOLDING. SP.ZO.O",'Source'!$B:$B,$A84)</f>
        <v>3878.72</v>
      </c>
      <c r="I84" s="8" t="n">
        <f aca="false">SUMIFS('Source'!$G:$G,'Source'!$A:$A,"160134 SUPER-PHARM HOLDING. SP.ZO.O",'Source'!$B:$B,$A84)</f>
        <v>1379.89</v>
      </c>
      <c r="J84" s="8" t="n">
        <f aca="false">I84*$J$5</f>
        <v>1743.01894736842</v>
      </c>
      <c r="K84" s="8" t="n">
        <f aca="false">J84-H84</f>
        <v>-2135.70105263158</v>
      </c>
      <c r="L84" s="9" t="n">
        <f aca="false">IF(AND(H84=0,J84=0),0,IF(H84=0,"New",(J84-H84)/H84))</f>
        <v>-0.55062006348269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297</v>
      </c>
      <c r="B85" s="7" t="str">
        <f aca="false">IFERROR(INDEX('Source'!$C:$C,MATCH($A85,'Source'!$B:$B,0)),"")</f>
        <v>חגורת גב+סגירה כפולה</v>
      </c>
      <c r="C85" s="8" t="n">
        <f aca="false">SUMIFS('Source'!$D:$D,'Source'!$A:$A,"160134 SUPER-PHARM HOLDING. SP.ZO.O",'Source'!$B:$B,$A85)</f>
        <v>0</v>
      </c>
      <c r="D85" s="8" t="n">
        <f aca="false">SUMIFS('Source'!$F:$F,'Source'!$A:$A,"160134 SUPER-PHARM HOLDING. SP.ZO.O",'Source'!$B:$B,$A85)</f>
        <v>40</v>
      </c>
      <c r="E85" s="8" t="n">
        <f aca="false">D85*$J$5</f>
        <v>50.5263157894737</v>
      </c>
      <c r="F85" s="8" t="n">
        <f aca="false">E85-C85</f>
        <v>50.5263157894737</v>
      </c>
      <c r="G85" s="9" t="str">
        <f aca="false">IF(AND(C85=0,E85=0),0,IF(C85=0,"New",(E85-C85)/C85))</f>
        <v>New</v>
      </c>
      <c r="H85" s="8" t="n">
        <f aca="false">SUMIFS('Source'!$E:$E,'Source'!$A:$A,"160134 SUPER-PHARM HOLDING. SP.ZO.O",'Source'!$B:$B,$A85)</f>
        <v>0</v>
      </c>
      <c r="I85" s="8" t="n">
        <f aca="false">SUMIFS('Source'!$G:$G,'Source'!$A:$A,"160134 SUPER-PHARM HOLDING. SP.ZO.O",'Source'!$B:$B,$A85)</f>
        <v>2484.42</v>
      </c>
      <c r="J85" s="8" t="n">
        <f aca="false">I85*$J$5</f>
        <v>3138.21473684211</v>
      </c>
      <c r="K85" s="8" t="n">
        <f aca="false">J85-H85</f>
        <v>3138.21473684211</v>
      </c>
      <c r="L85" s="9" t="str">
        <f aca="false">IF(AND(H85=0,J85=0),0,IF(H85=0,"New",(J85-H85)/H85))</f>
        <v>New</v>
      </c>
      <c r="M85" s="7" t="str">
        <f aca="false">IF(AND(OR(C85&lt;&gt;0,H85&lt;&gt;0),D85=0,I85=0),"DROP",IF(AND(OR(D85&lt;&gt;0,I85&lt;&gt;0),C85=0,H85=0),"NEW",""))</f>
        <v>NEW</v>
      </c>
    </row>
    <row r="86" customFormat="false" ht="15" hidden="false" customHeight="false" outlineLevel="0" collapsed="false">
      <c r="A86" s="7" t="s">
        <v>349</v>
      </c>
      <c r="B86" s="7" t="str">
        <f aca="false">IFERROR(INDEX('Source'!$C:$C,MATCH($A86,'Source'!$B:$B,0)),"")</f>
        <v>חגורת גב+סגירה כפולה</v>
      </c>
      <c r="C86" s="8" t="n">
        <f aca="false">SUMIFS('Source'!$D:$D,'Source'!$A:$A,"160134 SUPER-PHARM HOLDING. SP.ZO.O",'Source'!$B:$B,$A86)</f>
        <v>0</v>
      </c>
      <c r="D86" s="8" t="n">
        <f aca="false">SUMIFS('Source'!$F:$F,'Source'!$A:$A,"160134 SUPER-PHARM HOLDING. SP.ZO.O",'Source'!$B:$B,$A86)</f>
        <v>40</v>
      </c>
      <c r="E86" s="8" t="n">
        <f aca="false">D86*$J$5</f>
        <v>50.5263157894737</v>
      </c>
      <c r="F86" s="8" t="n">
        <f aca="false">E86-C86</f>
        <v>50.5263157894737</v>
      </c>
      <c r="G86" s="9" t="str">
        <f aca="false">IF(AND(C86=0,E86=0),0,IF(C86=0,"New",(E86-C86)/C86))</f>
        <v>New</v>
      </c>
      <c r="H86" s="8" t="n">
        <f aca="false">SUMIFS('Source'!$E:$E,'Source'!$A:$A,"160134 SUPER-PHARM HOLDING. SP.ZO.O",'Source'!$B:$B,$A86)</f>
        <v>0</v>
      </c>
      <c r="I86" s="8" t="n">
        <f aca="false">SUMIFS('Source'!$G:$G,'Source'!$A:$A,"160134 SUPER-PHARM HOLDING. SP.ZO.O",'Source'!$B:$B,$A86)</f>
        <v>2484.42</v>
      </c>
      <c r="J86" s="8" t="n">
        <f aca="false">I86*$J$5</f>
        <v>3138.21473684211</v>
      </c>
      <c r="K86" s="8" t="n">
        <f aca="false">J86-H86</f>
        <v>3138.21473684211</v>
      </c>
      <c r="L86" s="9" t="str">
        <f aca="false">IF(AND(H86=0,J86=0),0,IF(H86=0,"New",(J86-H86)/H86))</f>
        <v>New</v>
      </c>
      <c r="M86" s="7" t="str">
        <f aca="false">IF(AND(OR(C86&lt;&gt;0,H86&lt;&gt;0),D86=0,I86=0),"DROP",IF(AND(OR(D86&lt;&gt;0,I86&lt;&gt;0),C86=0,H86=0),"NEW",""))</f>
        <v>NEW</v>
      </c>
    </row>
    <row r="87" customFormat="false" ht="15" hidden="false" customHeight="false" outlineLevel="0" collapsed="false">
      <c r="A87" s="7" t="s">
        <v>317</v>
      </c>
      <c r="B87" s="7" t="str">
        <f aca="false">IFERROR(INDEX('Source'!$C:$C,MATCH($A87,'Source'!$B:$B,0)),"")</f>
        <v>רפידת זיכרון 376</v>
      </c>
      <c r="C87" s="8" t="n">
        <f aca="false">SUMIFS('Source'!$D:$D,'Source'!$A:$A,"160134 SUPER-PHARM HOLDING. SP.ZO.O",'Source'!$B:$B,$A87)</f>
        <v>410</v>
      </c>
      <c r="D87" s="8" t="n">
        <f aca="false">SUMIFS('Source'!$F:$F,'Source'!$A:$A,"160134 SUPER-PHARM HOLDING. SP.ZO.O",'Source'!$B:$B,$A87)</f>
        <v>310</v>
      </c>
      <c r="E87" s="8" t="n">
        <f aca="false">D87*$J$5</f>
        <v>391.578947368421</v>
      </c>
      <c r="F87" s="8" t="n">
        <f aca="false">E87-C87</f>
        <v>-18.421052631579</v>
      </c>
      <c r="G87" s="9" t="n">
        <f aca="false">IF(AND(C87=0,E87=0),0,IF(C87=0,"New",(E87-C87)/C87))</f>
        <v>-0.0449293966623877</v>
      </c>
      <c r="H87" s="8" t="n">
        <f aca="false">SUMIFS('Source'!$E:$E,'Source'!$A:$A,"160134 SUPER-PHARM HOLDING. SP.ZO.O",'Source'!$B:$B,$A87)</f>
        <v>7871.82</v>
      </c>
      <c r="I87" s="8" t="n">
        <f aca="false">SUMIFS('Source'!$G:$G,'Source'!$A:$A,"160134 SUPER-PHARM HOLDING. SP.ZO.O",'Source'!$B:$B,$A87)</f>
        <v>5390.45</v>
      </c>
      <c r="J87" s="8" t="n">
        <f aca="false">I87*$J$5</f>
        <v>6808.98947368421</v>
      </c>
      <c r="K87" s="8" t="n">
        <f aca="false">J87-H87</f>
        <v>-1062.83052631579</v>
      </c>
      <c r="L87" s="9" t="n">
        <f aca="false">IF(AND(H87=0,J87=0),0,IF(H87=0,"New",(J87-H87)/H87))</f>
        <v>-0.135017127718341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220</v>
      </c>
      <c r="B88" s="7" t="str">
        <f aca="false">IFERROR(INDEX('Source'!$C:$C,MATCH($A88,'Source'!$B:$B,0)),"")</f>
        <v>חגורת היריון</v>
      </c>
      <c r="C88" s="8" t="n">
        <f aca="false">SUMIFS('Source'!$D:$D,'Source'!$A:$A,"160134 SUPER-PHARM HOLDING. SP.ZO.O",'Source'!$B:$B,$A88)</f>
        <v>36</v>
      </c>
      <c r="D88" s="8" t="n">
        <f aca="false">SUMIFS('Source'!$F:$F,'Source'!$A:$A,"160134 SUPER-PHARM HOLDING. SP.ZO.O",'Source'!$B:$B,$A88)</f>
        <v>6</v>
      </c>
      <c r="E88" s="8" t="n">
        <f aca="false">D88*$J$5</f>
        <v>7.57894736842105</v>
      </c>
      <c r="F88" s="8" t="n">
        <f aca="false">E88-C88</f>
        <v>-28.421052631579</v>
      </c>
      <c r="G88" s="9" t="n">
        <f aca="false">IF(AND(C88=0,E88=0),0,IF(C88=0,"New",(E88-C88)/C88))</f>
        <v>-0.789473684210526</v>
      </c>
      <c r="H88" s="8" t="n">
        <f aca="false">SUMIFS('Source'!$E:$E,'Source'!$A:$A,"160134 SUPER-PHARM HOLDING. SP.ZO.O",'Source'!$B:$B,$A88)</f>
        <v>2831.44</v>
      </c>
      <c r="I88" s="8" t="n">
        <f aca="false">SUMIFS('Source'!$G:$G,'Source'!$A:$A,"160134 SUPER-PHARM HOLDING. SP.ZO.O",'Source'!$B:$B,$A88)</f>
        <v>405.76</v>
      </c>
      <c r="J88" s="8" t="n">
        <f aca="false">I88*$J$5</f>
        <v>512.538947368421</v>
      </c>
      <c r="K88" s="8" t="n">
        <f aca="false">J88-H88</f>
        <v>-2318.90105263158</v>
      </c>
      <c r="L88" s="9" t="n">
        <f aca="false">IF(AND(H88=0,J88=0),0,IF(H88=0,"New",(J88-H88)/H88))</f>
        <v>-0.818982938939755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618</v>
      </c>
      <c r="B89" s="7" t="str">
        <f aca="false">IFERROR(INDEX('Source'!$C:$C,MATCH($A89,'Source'!$B:$B,0)),"")</f>
        <v>מגן קרסול חום</v>
      </c>
      <c r="C89" s="8" t="n">
        <f aca="false">SUMIFS('Source'!$D:$D,'Source'!$A:$A,"160134 SUPER-PHARM HOLDING. SP.ZO.O",'Source'!$B:$B,$A89)</f>
        <v>300</v>
      </c>
      <c r="D89" s="8" t="n">
        <f aca="false">SUMIFS('Source'!$F:$F,'Source'!$A:$A,"160134 SUPER-PHARM HOLDING. SP.ZO.O",'Source'!$B:$B,$A89)</f>
        <v>140</v>
      </c>
      <c r="E89" s="8" t="n">
        <f aca="false">D89*$J$5</f>
        <v>176.842105263158</v>
      </c>
      <c r="F89" s="8" t="n">
        <f aca="false">E89-C89</f>
        <v>-123.157894736842</v>
      </c>
      <c r="G89" s="9" t="n">
        <f aca="false">IF(AND(C89=0,E89=0),0,IF(C89=0,"New",(E89-C89)/C89))</f>
        <v>-0.410526315789474</v>
      </c>
      <c r="H89" s="8" t="n">
        <f aca="false">SUMIFS('Source'!$E:$E,'Source'!$A:$A,"160134 SUPER-PHARM HOLDING. SP.ZO.O",'Source'!$B:$B,$A89)</f>
        <v>4166.18</v>
      </c>
      <c r="I89" s="8" t="n">
        <f aca="false">SUMIFS('Source'!$G:$G,'Source'!$A:$A,"160134 SUPER-PHARM HOLDING. SP.ZO.O",'Source'!$B:$B,$A89)</f>
        <v>1758.23</v>
      </c>
      <c r="J89" s="8" t="n">
        <f aca="false">I89*$J$5</f>
        <v>2220.92210526316</v>
      </c>
      <c r="K89" s="8" t="n">
        <f aca="false">J89-H89</f>
        <v>-1945.25789473684</v>
      </c>
      <c r="L89" s="9" t="n">
        <f aca="false">IF(AND(H89=0,J89=0),0,IF(H89=0,"New",(J89-H89)/H89))</f>
        <v>-0.466916430575933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686</v>
      </c>
      <c r="B90" s="7" t="str">
        <f aca="false">IFERROR(INDEX('Source'!$C:$C,MATCH($A90,'Source'!$B:$B,0)),"")</f>
        <v>מגן מרפק שחור</v>
      </c>
      <c r="C90" s="8" t="n">
        <f aca="false">SUMIFS('Source'!$D:$D,'Source'!$A:$A,"160134 SUPER-PHARM HOLDING. SP.ZO.O",'Source'!$B:$B,$A90)</f>
        <v>220</v>
      </c>
      <c r="D90" s="8" t="n">
        <f aca="false">SUMIFS('Source'!$F:$F,'Source'!$A:$A,"160134 SUPER-PHARM HOLDING. SP.ZO.O",'Source'!$B:$B,$A90)</f>
        <v>60</v>
      </c>
      <c r="E90" s="8" t="n">
        <f aca="false">D90*$J$5</f>
        <v>75.7894736842105</v>
      </c>
      <c r="F90" s="8" t="n">
        <f aca="false">E90-C90</f>
        <v>-144.210526315789</v>
      </c>
      <c r="G90" s="9" t="n">
        <f aca="false">IF(AND(C90=0,E90=0),0,IF(C90=0,"New",(E90-C90)/C90))</f>
        <v>-0.655502392344498</v>
      </c>
      <c r="H90" s="8" t="n">
        <f aca="false">SUMIFS('Source'!$E:$E,'Source'!$A:$A,"160134 SUPER-PHARM HOLDING. SP.ZO.O",'Source'!$B:$B,$A90)</f>
        <v>3151.31</v>
      </c>
      <c r="I90" s="8" t="n">
        <f aca="false">SUMIFS('Source'!$G:$G,'Source'!$A:$A,"160134 SUPER-PHARM HOLDING. SP.ZO.O",'Source'!$B:$B,$A90)</f>
        <v>765.93</v>
      </c>
      <c r="J90" s="8" t="n">
        <f aca="false">I90*$J$5</f>
        <v>967.49052631579</v>
      </c>
      <c r="K90" s="8" t="n">
        <f aca="false">J90-H90</f>
        <v>-2183.81947368421</v>
      </c>
      <c r="L90" s="9" t="n">
        <f aca="false">IF(AND(H90=0,J90=0),0,IF(H90=0,"New",(J90-H90)/H90))</f>
        <v>-0.692987828453631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504</v>
      </c>
      <c r="B91" s="7" t="str">
        <f aca="false">IFERROR(INDEX('Source'!$C:$C,MATCH($A91,'Source'!$B:$B,0)),"")</f>
        <v>מדבקה רב פעמית ל</v>
      </c>
      <c r="C91" s="8" t="n">
        <f aca="false">SUMIFS('Source'!$D:$D,'Source'!$A:$A,"160134 SUPER-PHARM HOLDING. SP.ZO.O",'Source'!$B:$B,$A91)</f>
        <v>300</v>
      </c>
      <c r="D91" s="8" t="n">
        <f aca="false">SUMIFS('Source'!$F:$F,'Source'!$A:$A,"160134 SUPER-PHARM HOLDING. SP.ZO.O",'Source'!$B:$B,$A91)</f>
        <v>100</v>
      </c>
      <c r="E91" s="8" t="n">
        <f aca="false">D91*$J$5</f>
        <v>126.315789473684</v>
      </c>
      <c r="F91" s="8" t="n">
        <f aca="false">E91-C91</f>
        <v>-173.684210526316</v>
      </c>
      <c r="G91" s="9" t="n">
        <f aca="false">IF(AND(C91=0,E91=0),0,IF(C91=0,"New",(E91-C91)/C91))</f>
        <v>-0.578947368421053</v>
      </c>
      <c r="H91" s="8" t="n">
        <f aca="false">SUMIFS('Source'!$E:$E,'Source'!$A:$A,"160134 SUPER-PHARM HOLDING. SP.ZO.O",'Source'!$B:$B,$A91)</f>
        <v>3400.92</v>
      </c>
      <c r="I91" s="8" t="n">
        <f aca="false">SUMIFS('Source'!$G:$G,'Source'!$A:$A,"160134 SUPER-PHARM HOLDING. SP.ZO.O",'Source'!$B:$B,$A91)</f>
        <v>1023.71</v>
      </c>
      <c r="J91" s="8" t="n">
        <f aca="false">I91*$J$5</f>
        <v>1293.10736842105</v>
      </c>
      <c r="K91" s="8" t="n">
        <f aca="false">J91-H91</f>
        <v>-2107.81263157895</v>
      </c>
      <c r="L91" s="9" t="n">
        <f aca="false">IF(AND(H91=0,J91=0),0,IF(H91=0,"New",(J91-H91)/H91))</f>
        <v>-0.6197771872255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665</v>
      </c>
      <c r="B92" s="7" t="str">
        <f aca="false">IFERROR(INDEX('Source'!$C:$C,MATCH($A92,'Source'!$B:$B,0)),"")</f>
        <v>ICE &amp; GO</v>
      </c>
      <c r="C92" s="8" t="n">
        <f aca="false">SUMIFS('Source'!$D:$D,'Source'!$A:$A,"160134 SUPER-PHARM HOLDING. SP.ZO.O",'Source'!$B:$B,$A92)</f>
        <v>430</v>
      </c>
      <c r="D92" s="8" t="n">
        <f aca="false">SUMIFS('Source'!$F:$F,'Source'!$A:$A,"160134 SUPER-PHARM HOLDING. SP.ZO.O",'Source'!$B:$B,$A92)</f>
        <v>270</v>
      </c>
      <c r="E92" s="8" t="n">
        <f aca="false">D92*$J$5</f>
        <v>341.052631578947</v>
      </c>
      <c r="F92" s="8" t="n">
        <f aca="false">E92-C92</f>
        <v>-88.9473684210527</v>
      </c>
      <c r="G92" s="9" t="n">
        <f aca="false">IF(AND(C92=0,E92=0),0,IF(C92=0,"New",(E92-C92)/C92))</f>
        <v>-0.206854345165239</v>
      </c>
      <c r="H92" s="8" t="n">
        <f aca="false">SUMIFS('Source'!$E:$E,'Source'!$A:$A,"160134 SUPER-PHARM HOLDING. SP.ZO.O",'Source'!$B:$B,$A92)</f>
        <v>5449.62</v>
      </c>
      <c r="I92" s="8" t="n">
        <f aca="false">SUMIFS('Source'!$G:$G,'Source'!$A:$A,"160134 SUPER-PHARM HOLDING. SP.ZO.O",'Source'!$B:$B,$A92)</f>
        <v>3124.1</v>
      </c>
      <c r="J92" s="8" t="n">
        <f aca="false">I92*$J$5</f>
        <v>3946.23157894737</v>
      </c>
      <c r="K92" s="8" t="n">
        <f aca="false">J92-H92</f>
        <v>-1503.38842105263</v>
      </c>
      <c r="L92" s="9" t="n">
        <f aca="false">IF(AND(H92=0,J92=0),0,IF(H92=0,"New",(J92-H92)/H92))</f>
        <v>-0.275870321426564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650</v>
      </c>
      <c r="B93" s="7" t="str">
        <f aca="false">IFERROR(INDEX('Source'!$C:$C,MATCH($A93,'Source'!$B:$B,0)),"")</f>
        <v>כ.הפרדת אצבעות ס</v>
      </c>
      <c r="C93" s="8" t="n">
        <f aca="false">SUMIFS('Source'!$D:$D,'Source'!$A:$A,"160134 SUPER-PHARM HOLDING. SP.ZO.O",'Source'!$B:$B,$A93)</f>
        <v>500</v>
      </c>
      <c r="D93" s="8" t="n">
        <f aca="false">SUMIFS('Source'!$F:$F,'Source'!$A:$A,"160134 SUPER-PHARM HOLDING. SP.ZO.O",'Source'!$B:$B,$A93)</f>
        <v>240</v>
      </c>
      <c r="E93" s="8" t="n">
        <f aca="false">D93*$J$5</f>
        <v>303.157894736842</v>
      </c>
      <c r="F93" s="8" t="n">
        <f aca="false">E93-C93</f>
        <v>-196.842105263158</v>
      </c>
      <c r="G93" s="9" t="n">
        <f aca="false">IF(AND(C93=0,E93=0),0,IF(C93=0,"New",(E93-C93)/C93))</f>
        <v>-0.393684210526316</v>
      </c>
      <c r="H93" s="8" t="n">
        <f aca="false">SUMIFS('Source'!$E:$E,'Source'!$A:$A,"160134 SUPER-PHARM HOLDING. SP.ZO.O",'Source'!$B:$B,$A93)</f>
        <v>4125.12</v>
      </c>
      <c r="I93" s="8" t="n">
        <f aca="false">SUMIFS('Source'!$G:$G,'Source'!$A:$A,"160134 SUPER-PHARM HOLDING. SP.ZO.O",'Source'!$B:$B,$A93)</f>
        <v>1803.09</v>
      </c>
      <c r="J93" s="8" t="n">
        <f aca="false">I93*$J$5</f>
        <v>2277.58736842105</v>
      </c>
      <c r="K93" s="8" t="n">
        <f aca="false">J93-H93</f>
        <v>-1847.53263157895</v>
      </c>
      <c r="L93" s="9" t="n">
        <f aca="false">IF(AND(H93=0,J93=0),0,IF(H93=0,"New",(J93-H93)/H93))</f>
        <v>-0.447873669512389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643</v>
      </c>
      <c r="B94" s="7" t="str">
        <f aca="false">IFERROR(INDEX('Source'!$C:$C,MATCH($A94,'Source'!$B:$B,0)),"")</f>
        <v>כרית סיליקון לעקב</v>
      </c>
      <c r="C94" s="8" t="n">
        <f aca="false">SUMIFS('Source'!$D:$D,'Source'!$A:$A,"160134 SUPER-PHARM HOLDING. SP.ZO.O",'Source'!$B:$B,$A94)</f>
        <v>110</v>
      </c>
      <c r="D94" s="8" t="n">
        <f aca="false">SUMIFS('Source'!$F:$F,'Source'!$A:$A,"160134 SUPER-PHARM HOLDING. SP.ZO.O",'Source'!$B:$B,$A94)</f>
        <v>60</v>
      </c>
      <c r="E94" s="8" t="n">
        <f aca="false">D94*$J$5</f>
        <v>75.7894736842105</v>
      </c>
      <c r="F94" s="8" t="n">
        <f aca="false">E94-C94</f>
        <v>-34.2105263157895</v>
      </c>
      <c r="G94" s="9" t="n">
        <f aca="false">IF(AND(C94=0,E94=0),0,IF(C94=0,"New",(E94-C94)/C94))</f>
        <v>-0.311004784688995</v>
      </c>
      <c r="H94" s="8" t="n">
        <f aca="false">SUMIFS('Source'!$E:$E,'Source'!$A:$A,"160134 SUPER-PHARM HOLDING. SP.ZO.O",'Source'!$B:$B,$A94)</f>
        <v>4372.45</v>
      </c>
      <c r="I94" s="8" t="n">
        <f aca="false">SUMIFS('Source'!$G:$G,'Source'!$A:$A,"160134 SUPER-PHARM HOLDING. SP.ZO.O",'Source'!$B:$B,$A94)</f>
        <v>2128.4</v>
      </c>
      <c r="J94" s="8" t="n">
        <f aca="false">I94*$J$5</f>
        <v>2688.50526315789</v>
      </c>
      <c r="K94" s="8" t="n">
        <f aca="false">J94-H94</f>
        <v>-1683.94473684211</v>
      </c>
      <c r="L94" s="9" t="n">
        <f aca="false">IF(AND(H94=0,J94=0),0,IF(H94=0,"New",(J94-H94)/H94))</f>
        <v>-0.38512612764974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710</v>
      </c>
      <c r="B95" s="7" t="str">
        <f aca="false">IFERROR(INDEX('Source'!$C:$C,MATCH($A95,'Source'!$B:$B,0)),"")</f>
        <v>מגן קרסול שחור</v>
      </c>
      <c r="C95" s="8" t="n">
        <f aca="false">SUMIFS('Source'!$D:$D,'Source'!$A:$A,"160134 SUPER-PHARM HOLDING. SP.ZO.O",'Source'!$B:$B,$A95)</f>
        <v>260</v>
      </c>
      <c r="D95" s="8" t="n">
        <f aca="false">SUMIFS('Source'!$F:$F,'Source'!$A:$A,"160134 SUPER-PHARM HOLDING. SP.ZO.O",'Source'!$B:$B,$A95)</f>
        <v>120</v>
      </c>
      <c r="E95" s="8" t="n">
        <f aca="false">D95*$J$5</f>
        <v>151.578947368421</v>
      </c>
      <c r="F95" s="8" t="n">
        <f aca="false">E95-C95</f>
        <v>-108.421052631579</v>
      </c>
      <c r="G95" s="9" t="n">
        <f aca="false">IF(AND(C95=0,E95=0),0,IF(C95=0,"New",(E95-C95)/C95))</f>
        <v>-0.417004048582996</v>
      </c>
      <c r="H95" s="8" t="n">
        <f aca="false">SUMIFS('Source'!$E:$E,'Source'!$A:$A,"160134 SUPER-PHARM HOLDING. SP.ZO.O",'Source'!$B:$B,$A95)</f>
        <v>3761.23</v>
      </c>
      <c r="I95" s="8" t="n">
        <f aca="false">SUMIFS('Source'!$G:$G,'Source'!$A:$A,"160134 SUPER-PHARM HOLDING. SP.ZO.O",'Source'!$B:$B,$A95)</f>
        <v>1531.11</v>
      </c>
      <c r="J95" s="8" t="n">
        <f aca="false">I95*$J$5</f>
        <v>1934.03368421053</v>
      </c>
      <c r="K95" s="8" t="n">
        <f aca="false">J95-H95</f>
        <v>-1827.19631578947</v>
      </c>
      <c r="L95" s="9" t="n">
        <f aca="false">IF(AND(H95=0,J95=0),0,IF(H95=0,"New",(J95-H95)/H95))</f>
        <v>-0.485797549150005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103</v>
      </c>
      <c r="B96" s="7" t="str">
        <f aca="false">IFERROR(INDEX('Source'!$C:$C,MATCH($A96,'Source'!$B:$B,0)),"")</f>
        <v>מיישר כתפיים</v>
      </c>
      <c r="C96" s="8" t="n">
        <f aca="false">SUMIFS('Source'!$D:$D,'Source'!$A:$A,"160134 SUPER-PHARM HOLDING. SP.ZO.O",'Source'!$B:$B,$A96)</f>
        <v>70</v>
      </c>
      <c r="D96" s="8" t="n">
        <f aca="false">SUMIFS('Source'!$F:$F,'Source'!$A:$A,"160134 SUPER-PHARM HOLDING. SP.ZO.O",'Source'!$B:$B,$A96)</f>
        <v>30</v>
      </c>
      <c r="E96" s="8" t="n">
        <f aca="false">D96*$J$5</f>
        <v>37.8947368421053</v>
      </c>
      <c r="F96" s="8" t="n">
        <f aca="false">E96-C96</f>
        <v>-32.1052631578947</v>
      </c>
      <c r="G96" s="9" t="n">
        <f aca="false">IF(AND(C96=0,E96=0),0,IF(C96=0,"New",(E96-C96)/C96))</f>
        <v>-0.458646616541353</v>
      </c>
      <c r="H96" s="8" t="n">
        <f aca="false">SUMIFS('Source'!$E:$E,'Source'!$A:$A,"160134 SUPER-PHARM HOLDING. SP.ZO.O",'Source'!$B:$B,$A96)</f>
        <v>3583.91</v>
      </c>
      <c r="I96" s="8" t="n">
        <f aca="false">SUMIFS('Source'!$G:$G,'Source'!$A:$A,"160134 SUPER-PHARM HOLDING. SP.ZO.O",'Source'!$B:$B,$A96)</f>
        <v>1395.62</v>
      </c>
      <c r="J96" s="8" t="n">
        <f aca="false">I96*$J$5</f>
        <v>1762.88842105263</v>
      </c>
      <c r="K96" s="8" t="n">
        <f aca="false">J96-H96</f>
        <v>-1821.02157894737</v>
      </c>
      <c r="L96" s="9" t="n">
        <f aca="false">IF(AND(H96=0,J96=0),0,IF(H96=0,"New",(J96-H96)/H96))</f>
        <v>-0.508110298234992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174</v>
      </c>
      <c r="B97" s="7" t="str">
        <f aca="false">IFERROR(INDEX('Source'!$C:$C,MATCH($A97,'Source'!$B:$B,0)),"")</f>
        <v>AC27</v>
      </c>
      <c r="C97" s="8" t="n">
        <f aca="false">SUMIFS('Source'!$D:$D,'Source'!$A:$A,"160134 SUPER-PHARM HOLDING. SP.ZO.O",'Source'!$B:$B,$A97)</f>
        <v>130</v>
      </c>
      <c r="D97" s="8" t="n">
        <f aca="false">SUMIFS('Source'!$F:$F,'Source'!$A:$A,"160134 SUPER-PHARM HOLDING. SP.ZO.O",'Source'!$B:$B,$A97)</f>
        <v>50</v>
      </c>
      <c r="E97" s="8" t="n">
        <f aca="false">D97*$J$5</f>
        <v>63.1578947368421</v>
      </c>
      <c r="F97" s="8" t="n">
        <f aca="false">E97-C97</f>
        <v>-66.8421052631579</v>
      </c>
      <c r="G97" s="9" t="n">
        <f aca="false">IF(AND(C97=0,E97=0),0,IF(C97=0,"New",(E97-C97)/C97))</f>
        <v>-0.51417004048583</v>
      </c>
      <c r="H97" s="8" t="n">
        <f aca="false">SUMIFS('Source'!$E:$E,'Source'!$A:$A,"160134 SUPER-PHARM HOLDING. SP.ZO.O",'Source'!$B:$B,$A97)</f>
        <v>3257.15</v>
      </c>
      <c r="I97" s="8" t="n">
        <f aca="false">SUMIFS('Source'!$G:$G,'Source'!$A:$A,"160134 SUPER-PHARM HOLDING. SP.ZO.O",'Source'!$B:$B,$A97)</f>
        <v>1125.42</v>
      </c>
      <c r="J97" s="8" t="n">
        <f aca="false">I97*$J$5</f>
        <v>1421.58315789474</v>
      </c>
      <c r="K97" s="8" t="n">
        <f aca="false">J97-H97</f>
        <v>-1835.56684210526</v>
      </c>
      <c r="L97" s="9" t="n">
        <f aca="false">IF(AND(H97=0,J97=0),0,IF(H97=0,"New",(J97-H97)/H97))</f>
        <v>-0.563549987598134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704</v>
      </c>
      <c r="B98" s="7" t="str">
        <f aca="false">IFERROR(INDEX('Source'!$C:$C,MATCH($A98,'Source'!$B:$B,0)),"")</f>
        <v>מגן קרסול שחור</v>
      </c>
      <c r="C98" s="8" t="n">
        <f aca="false">SUMIFS('Source'!$D:$D,'Source'!$A:$A,"160134 SUPER-PHARM HOLDING. SP.ZO.O",'Source'!$B:$B,$A98)</f>
        <v>290</v>
      </c>
      <c r="D98" s="8" t="n">
        <f aca="false">SUMIFS('Source'!$F:$F,'Source'!$A:$A,"160134 SUPER-PHARM HOLDING. SP.ZO.O",'Source'!$B:$B,$A98)</f>
        <v>160</v>
      </c>
      <c r="E98" s="8" t="n">
        <f aca="false">D98*$J$5</f>
        <v>202.105263157895</v>
      </c>
      <c r="F98" s="8" t="n">
        <f aca="false">E98-C98</f>
        <v>-87.8947368421053</v>
      </c>
      <c r="G98" s="9" t="n">
        <f aca="false">IF(AND(C98=0,E98=0),0,IF(C98=0,"New",(E98-C98)/C98))</f>
        <v>-0.303085299455535</v>
      </c>
      <c r="H98" s="8" t="n">
        <f aca="false">SUMIFS('Source'!$E:$E,'Source'!$A:$A,"160134 SUPER-PHARM HOLDING. SP.ZO.O",'Source'!$B:$B,$A98)</f>
        <v>4175.47</v>
      </c>
      <c r="I98" s="8" t="n">
        <f aca="false">SUMIFS('Source'!$G:$G,'Source'!$A:$A,"160134 SUPER-PHARM HOLDING. SP.ZO.O",'Source'!$B:$B,$A98)</f>
        <v>2051.92</v>
      </c>
      <c r="J98" s="8" t="n">
        <f aca="false">I98*$J$5</f>
        <v>2591.89894736842</v>
      </c>
      <c r="K98" s="8" t="n">
        <f aca="false">J98-H98</f>
        <v>-1583.57105263158</v>
      </c>
      <c r="L98" s="9" t="n">
        <f aca="false">IF(AND(H98=0,J98=0),0,IF(H98=0,"New",(J98-H98)/H98))</f>
        <v>-0.379255761059612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473</v>
      </c>
      <c r="B99" s="7" t="str">
        <f aca="false">IFERROR(INDEX('Source'!$C:$C,MATCH($A99,'Source'!$B:$B,0)),"")</f>
        <v>מגן מרפק שחור</v>
      </c>
      <c r="C99" s="8" t="n">
        <f aca="false">SUMIFS('Source'!$D:$D,'Source'!$A:$A,"160134 SUPER-PHARM HOLDING. SP.ZO.O",'Source'!$B:$B,$A99)</f>
        <v>320</v>
      </c>
      <c r="D99" s="8" t="n">
        <f aca="false">SUMIFS('Source'!$F:$F,'Source'!$A:$A,"160134 SUPER-PHARM HOLDING. SP.ZO.O",'Source'!$B:$B,$A99)</f>
        <v>190</v>
      </c>
      <c r="E99" s="8" t="n">
        <f aca="false">D99*$J$5</f>
        <v>240</v>
      </c>
      <c r="F99" s="8" t="n">
        <f aca="false">E99-C99</f>
        <v>-80</v>
      </c>
      <c r="G99" s="9" t="n">
        <f aca="false">IF(AND(C99=0,E99=0),0,IF(C99=0,"New",(E99-C99)/C99))</f>
        <v>-0.25</v>
      </c>
      <c r="H99" s="8" t="n">
        <f aca="false">SUMIFS('Source'!$E:$E,'Source'!$A:$A,"160134 SUPER-PHARM HOLDING. SP.ZO.O",'Source'!$B:$B,$A99)</f>
        <v>4543.74</v>
      </c>
      <c r="I99" s="8" t="n">
        <f aca="false">SUMIFS('Source'!$G:$G,'Source'!$A:$A,"160134 SUPER-PHARM HOLDING. SP.ZO.O",'Source'!$B:$B,$A99)</f>
        <v>2462.67</v>
      </c>
      <c r="J99" s="8" t="n">
        <f aca="false">I99*$J$5</f>
        <v>3110.74105263158</v>
      </c>
      <c r="K99" s="8" t="n">
        <f aca="false">J99-H99</f>
        <v>-1432.99894736842</v>
      </c>
      <c r="L99" s="9" t="n">
        <f aca="false">IF(AND(H99=0,J99=0),0,IF(H99=0,"New",(J99-H99)/H99))</f>
        <v>-0.315378729277736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381</v>
      </c>
      <c r="B100" s="7" t="str">
        <f aca="false">IFERROR(INDEX('Source'!$C:$C,MATCH($A100,'Source'!$B:$B,0)),"")</f>
        <v>חבק יד מתכוון</v>
      </c>
      <c r="C100" s="8" t="n">
        <f aca="false">SUMIFS('Source'!$D:$D,'Source'!$A:$A,"160134 SUPER-PHARM HOLDING. SP.ZO.O",'Source'!$B:$B,$A100)</f>
        <v>150</v>
      </c>
      <c r="D100" s="8" t="n">
        <f aca="false">SUMIFS('Source'!$F:$F,'Source'!$A:$A,"160134 SUPER-PHARM HOLDING. SP.ZO.O",'Source'!$B:$B,$A100)</f>
        <v>60</v>
      </c>
      <c r="E100" s="8" t="n">
        <f aca="false">D100*$J$5</f>
        <v>75.7894736842105</v>
      </c>
      <c r="F100" s="8" t="n">
        <f aca="false">E100-C100</f>
        <v>-74.2105263157895</v>
      </c>
      <c r="G100" s="9" t="n">
        <f aca="false">IF(AND(C100=0,E100=0),0,IF(C100=0,"New",(E100-C100)/C100))</f>
        <v>-0.494736842105263</v>
      </c>
      <c r="H100" s="8" t="n">
        <f aca="false">SUMIFS('Source'!$E:$E,'Source'!$A:$A,"160134 SUPER-PHARM HOLDING. SP.ZO.O",'Source'!$B:$B,$A100)</f>
        <v>3032.25</v>
      </c>
      <c r="I100" s="8" t="n">
        <f aca="false">SUMIFS('Source'!$G:$G,'Source'!$A:$A,"160134 SUPER-PHARM HOLDING. SP.ZO.O",'Source'!$B:$B,$A100)</f>
        <v>1086.79</v>
      </c>
      <c r="J100" s="8" t="n">
        <f aca="false">I100*$J$5</f>
        <v>1372.78736842105</v>
      </c>
      <c r="K100" s="8" t="n">
        <f aca="false">J100-H100</f>
        <v>-1659.46263157895</v>
      </c>
      <c r="L100" s="9" t="n">
        <f aca="false">IF(AND(H100=0,J100=0),0,IF(H100=0,"New",(J100-H100)/H100))</f>
        <v>-0.547271046773501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638</v>
      </c>
      <c r="B101" s="7" t="str">
        <f aca="false">IFERROR(INDEX('Source'!$C:$C,MATCH($A101,'Source'!$B:$B,0)),"")</f>
        <v>חבק יד מתכוון</v>
      </c>
      <c r="C101" s="8" t="n">
        <f aca="false">SUMIFS('Source'!$D:$D,'Source'!$A:$A,"160134 SUPER-PHARM HOLDING. SP.ZO.O",'Source'!$B:$B,$A101)</f>
        <v>130</v>
      </c>
      <c r="D101" s="8" t="n">
        <f aca="false">SUMIFS('Source'!$F:$F,'Source'!$A:$A,"160134 SUPER-PHARM HOLDING. SP.ZO.O",'Source'!$B:$B,$A101)</f>
        <v>40</v>
      </c>
      <c r="E101" s="8" t="n">
        <f aca="false">D101*$J$5</f>
        <v>50.5263157894737</v>
      </c>
      <c r="F101" s="8" t="n">
        <f aca="false">E101-C101</f>
        <v>-79.4736842105263</v>
      </c>
      <c r="G101" s="9" t="n">
        <f aca="false">IF(AND(C101=0,E101=0),0,IF(C101=0,"New",(E101-C101)/C101))</f>
        <v>-0.611336032388664</v>
      </c>
      <c r="H101" s="8" t="n">
        <f aca="false">SUMIFS('Source'!$E:$E,'Source'!$A:$A,"160134 SUPER-PHARM HOLDING. SP.ZO.O",'Source'!$B:$B,$A101)</f>
        <v>2673.97</v>
      </c>
      <c r="I101" s="8" t="n">
        <f aca="false">SUMIFS('Source'!$G:$G,'Source'!$A:$A,"160134 SUPER-PHARM HOLDING. SP.ZO.O",'Source'!$B:$B,$A101)</f>
        <v>731.76</v>
      </c>
      <c r="J101" s="8" t="n">
        <f aca="false">I101*$J$5</f>
        <v>924.328421052632</v>
      </c>
      <c r="K101" s="8" t="n">
        <f aca="false">J101-H101</f>
        <v>-1749.64157894737</v>
      </c>
      <c r="L101" s="9" t="n">
        <f aca="false">IF(AND(H101=0,J101=0),0,IF(H101=0,"New",(J101-H101)/H101))</f>
        <v>-0.654323563445876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763</v>
      </c>
      <c r="B102" s="7" t="str">
        <f aca="false">IFERROR(INDEX('Source'!$C:$C,MATCH($A102,'Source'!$B:$B,0)),"")</f>
        <v>חגורת גב+סגירה כפולה</v>
      </c>
      <c r="C102" s="8" t="n">
        <f aca="false">SUMIFS('Source'!$D:$D,'Source'!$A:$A,"160134 SUPER-PHARM HOLDING. SP.ZO.O",'Source'!$B:$B,$A102)</f>
        <v>0</v>
      </c>
      <c r="D102" s="8" t="n">
        <f aca="false">SUMIFS('Source'!$F:$F,'Source'!$A:$A,"160134 SUPER-PHARM HOLDING. SP.ZO.O",'Source'!$B:$B,$A102)</f>
        <v>30</v>
      </c>
      <c r="E102" s="8" t="n">
        <f aca="false">D102*$J$5</f>
        <v>37.8947368421053</v>
      </c>
      <c r="F102" s="8" t="n">
        <f aca="false">E102-C102</f>
        <v>37.8947368421053</v>
      </c>
      <c r="G102" s="9" t="str">
        <f aca="false">IF(AND(C102=0,E102=0),0,IF(C102=0,"New",(E102-C102)/C102))</f>
        <v>New</v>
      </c>
      <c r="H102" s="8" t="n">
        <f aca="false">SUMIFS('Source'!$E:$E,'Source'!$A:$A,"160134 SUPER-PHARM HOLDING. SP.ZO.O",'Source'!$B:$B,$A102)</f>
        <v>0</v>
      </c>
      <c r="I102" s="8" t="n">
        <f aca="false">SUMIFS('Source'!$G:$G,'Source'!$A:$A,"160134 SUPER-PHARM HOLDING. SP.ZO.O",'Source'!$B:$B,$A102)</f>
        <v>1882.66</v>
      </c>
      <c r="J102" s="8" t="n">
        <f aca="false">I102*$J$5</f>
        <v>2378.09684210526</v>
      </c>
      <c r="K102" s="8" t="n">
        <f aca="false">J102-H102</f>
        <v>2378.09684210526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898</v>
      </c>
      <c r="B103" s="7" t="str">
        <f aca="false">IFERROR(INDEX('Source'!$C:$C,MATCH($A103,'Source'!$B:$B,0)),"")</f>
        <v>ריפוד סיליקון לכרית כף הרגל</v>
      </c>
      <c r="C103" s="8" t="n">
        <f aca="false">SUMIFS('Source'!$D:$D,'Source'!$A:$A,"160134 SUPER-PHARM HOLDING. SP.ZO.O",'Source'!$B:$B,$A103)</f>
        <v>380</v>
      </c>
      <c r="D103" s="8" t="n">
        <f aca="false">SUMIFS('Source'!$F:$F,'Source'!$A:$A,"160134 SUPER-PHARM HOLDING. SP.ZO.O",'Source'!$B:$B,$A103)</f>
        <v>260</v>
      </c>
      <c r="E103" s="8" t="n">
        <f aca="false">D103*$J$5</f>
        <v>328.421052631579</v>
      </c>
      <c r="F103" s="8" t="n">
        <f aca="false">E103-C103</f>
        <v>-51.5789473684211</v>
      </c>
      <c r="G103" s="9" t="n">
        <f aca="false">IF(AND(C103=0,E103=0),0,IF(C103=0,"New",(E103-C103)/C103))</f>
        <v>-0.135734072022161</v>
      </c>
      <c r="H103" s="8" t="n">
        <f aca="false">SUMIFS('Source'!$E:$E,'Source'!$A:$A,"160134 SUPER-PHARM HOLDING. SP.ZO.O",'Source'!$B:$B,$A103)</f>
        <v>4708.46</v>
      </c>
      <c r="I103" s="8" t="n">
        <f aca="false">SUMIFS('Source'!$G:$G,'Source'!$A:$A,"160134 SUPER-PHARM HOLDING. SP.ZO.O",'Source'!$B:$B,$A103)</f>
        <v>2828.73</v>
      </c>
      <c r="J103" s="8" t="n">
        <f aca="false">I103*$J$5</f>
        <v>3573.13263157895</v>
      </c>
      <c r="K103" s="8" t="n">
        <f aca="false">J103-H103</f>
        <v>-1135.32736842105</v>
      </c>
      <c r="L103" s="9" t="n">
        <f aca="false">IF(AND(H103=0,J103=0),0,IF(H103=0,"New",(J103-H103)/H103))</f>
        <v>-0.241124989576433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680</v>
      </c>
      <c r="B104" s="7" t="str">
        <f aca="false">IFERROR(INDEX('Source'!$C:$C,MATCH($A104,'Source'!$B:$B,0)),"")</f>
        <v>חבק יד מתכוון</v>
      </c>
      <c r="C104" s="8" t="n">
        <f aca="false">SUMIFS('Source'!$D:$D,'Source'!$A:$A,"160134 SUPER-PHARM HOLDING. SP.ZO.O",'Source'!$B:$B,$A104)</f>
        <v>90</v>
      </c>
      <c r="D104" s="8" t="n">
        <f aca="false">SUMIFS('Source'!$F:$F,'Source'!$A:$A,"160134 SUPER-PHARM HOLDING. SP.ZO.O",'Source'!$B:$B,$A104)</f>
        <v>0</v>
      </c>
      <c r="E104" s="8" t="n">
        <f aca="false">D104*$J$5</f>
        <v>0</v>
      </c>
      <c r="F104" s="8" t="n">
        <f aca="false">E104-C104</f>
        <v>-90</v>
      </c>
      <c r="G104" s="9" t="n">
        <f aca="false">IF(AND(C104=0,E104=0),0,IF(C104=0,"New",(E104-C104)/C104))</f>
        <v>-1</v>
      </c>
      <c r="H104" s="8" t="n">
        <f aca="false">SUMIFS('Source'!$E:$E,'Source'!$A:$A,"160134 SUPER-PHARM HOLDING. SP.ZO.O",'Source'!$B:$B,$A104)</f>
        <v>1847.12</v>
      </c>
      <c r="I104" s="8" t="n">
        <f aca="false">SUMIFS('Source'!$G:$G,'Source'!$A:$A,"160134 SUPER-PHARM HOLDING. SP.ZO.O",'Source'!$B:$B,$A104)</f>
        <v>0</v>
      </c>
      <c r="J104" s="8" t="n">
        <f aca="false">I104*$J$5</f>
        <v>0</v>
      </c>
      <c r="K104" s="8" t="n">
        <f aca="false">J104-H104</f>
        <v>-1847.12</v>
      </c>
      <c r="L104" s="9" t="n">
        <f aca="false">IF(AND(H104=0,J104=0),0,IF(H104=0,"New",(J104-H104)/H104))</f>
        <v>-1</v>
      </c>
      <c r="M104" s="7" t="str">
        <f aca="false">IF(AND(OR(C104&lt;&gt;0,H104&lt;&gt;0),D104=0,I104=0),"DROP",IF(AND(OR(D104&lt;&gt;0,I104&lt;&gt;0),C104=0,H104=0),"NEW",""))</f>
        <v>DROP</v>
      </c>
    </row>
    <row r="105" customFormat="false" ht="15" hidden="false" customHeight="false" outlineLevel="0" collapsed="false">
      <c r="A105" s="7" t="s">
        <v>681</v>
      </c>
      <c r="B105" s="7" t="str">
        <f aca="false">IFERROR(INDEX('Source'!$C:$C,MATCH($A105,'Source'!$B:$B,0)),"")</f>
        <v>מגן מרפק שחור</v>
      </c>
      <c r="C105" s="8" t="n">
        <f aca="false">SUMIFS('Source'!$D:$D,'Source'!$A:$A,"160134 SUPER-PHARM HOLDING. SP.ZO.O",'Source'!$B:$B,$A105)</f>
        <v>170</v>
      </c>
      <c r="D105" s="8" t="n">
        <f aca="false">SUMIFS('Source'!$F:$F,'Source'!$A:$A,"160134 SUPER-PHARM HOLDING. SP.ZO.O",'Source'!$B:$B,$A105)</f>
        <v>50</v>
      </c>
      <c r="E105" s="8" t="n">
        <f aca="false">D105*$J$5</f>
        <v>63.1578947368421</v>
      </c>
      <c r="F105" s="8" t="n">
        <f aca="false">E105-C105</f>
        <v>-106.842105263158</v>
      </c>
      <c r="G105" s="9" t="n">
        <f aca="false">IF(AND(C105=0,E105=0),0,IF(C105=0,"New",(E105-C105)/C105))</f>
        <v>-0.628482972136223</v>
      </c>
      <c r="H105" s="8" t="n">
        <f aca="false">SUMIFS('Source'!$E:$E,'Source'!$A:$A,"160134 SUPER-PHARM HOLDING. SP.ZO.O",'Source'!$B:$B,$A105)</f>
        <v>2444.95</v>
      </c>
      <c r="I105" s="8" t="n">
        <f aca="false">SUMIFS('Source'!$G:$G,'Source'!$A:$A,"160134 SUPER-PHARM HOLDING. SP.ZO.O",'Source'!$B:$B,$A105)</f>
        <v>635.73</v>
      </c>
      <c r="J105" s="8" t="n">
        <f aca="false">I105*$J$5</f>
        <v>803.027368421053</v>
      </c>
      <c r="K105" s="8" t="n">
        <f aca="false">J105-H105</f>
        <v>-1641.92263157895</v>
      </c>
      <c r="L105" s="9" t="n">
        <f aca="false">IF(AND(H105=0,J105=0),0,IF(H105=0,"New",(J105-H105)/H105))</f>
        <v>-0.671556731867297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767</v>
      </c>
      <c r="B106" s="7" t="str">
        <f aca="false">IFERROR(INDEX('Source'!$C:$C,MATCH($A106,'Source'!$B:$B,0)),"")</f>
        <v>מגן מרפק בז'</v>
      </c>
      <c r="C106" s="8" t="n">
        <f aca="false">SUMIFS('Source'!$D:$D,'Source'!$A:$A,"160134 SUPER-PHARM HOLDING. SP.ZO.O",'Source'!$B:$B,$A106)</f>
        <v>140</v>
      </c>
      <c r="D106" s="8" t="n">
        <f aca="false">SUMIFS('Source'!$F:$F,'Source'!$A:$A,"160134 SUPER-PHARM HOLDING. SP.ZO.O",'Source'!$B:$B,$A106)</f>
        <v>20</v>
      </c>
      <c r="E106" s="8" t="n">
        <f aca="false">D106*$J$5</f>
        <v>25.2631578947368</v>
      </c>
      <c r="F106" s="8" t="n">
        <f aca="false">E106-C106</f>
        <v>-114.736842105263</v>
      </c>
      <c r="G106" s="9" t="n">
        <f aca="false">IF(AND(C106=0,E106=0),0,IF(C106=0,"New",(E106-C106)/C106))</f>
        <v>-0.819548872180451</v>
      </c>
      <c r="H106" s="8" t="n">
        <f aca="false">SUMIFS('Source'!$E:$E,'Source'!$A:$A,"160134 SUPER-PHARM HOLDING. SP.ZO.O",'Source'!$B:$B,$A106)</f>
        <v>2022.47</v>
      </c>
      <c r="I106" s="8" t="n">
        <f aca="false">SUMIFS('Source'!$G:$G,'Source'!$A:$A,"160134 SUPER-PHARM HOLDING. SP.ZO.O",'Source'!$B:$B,$A106)</f>
        <v>250.22</v>
      </c>
      <c r="J106" s="8" t="n">
        <f aca="false">I106*$J$5</f>
        <v>316.067368421053</v>
      </c>
      <c r="K106" s="8" t="n">
        <f aca="false">J106-H106</f>
        <v>-1706.40263157895</v>
      </c>
      <c r="L106" s="9" t="n">
        <f aca="false">IF(AND(H106=0,J106=0),0,IF(H106=0,"New",(J106-H106)/H106))</f>
        <v>-0.843722098018239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735</v>
      </c>
      <c r="B107" s="7" t="str">
        <f aca="false">IFERROR(INDEX('Source'!$C:$C,MATCH($A107,'Source'!$B:$B,0)),"")</f>
        <v>רפידה בולמת זעזועים</v>
      </c>
      <c r="C107" s="8" t="n">
        <f aca="false">SUMIFS('Source'!$D:$D,'Source'!$A:$A,"160134 SUPER-PHARM HOLDING. SP.ZO.O",'Source'!$B:$B,$A107)</f>
        <v>650</v>
      </c>
      <c r="D107" s="8" t="n">
        <f aca="false">SUMIFS('Source'!$F:$F,'Source'!$A:$A,"160134 SUPER-PHARM HOLDING. SP.ZO.O",'Source'!$B:$B,$A107)</f>
        <v>500</v>
      </c>
      <c r="E107" s="8" t="n">
        <f aca="false">D107*$J$5</f>
        <v>631.578947368421</v>
      </c>
      <c r="F107" s="8" t="n">
        <f aca="false">E107-C107</f>
        <v>-18.421052631579</v>
      </c>
      <c r="G107" s="9" t="n">
        <f aca="false">IF(AND(C107=0,E107=0),0,IF(C107=0,"New",(E107-C107)/C107))</f>
        <v>-0.0283400809716599</v>
      </c>
      <c r="H107" s="8" t="n">
        <f aca="false">SUMIFS('Source'!$E:$E,'Source'!$A:$A,"160134 SUPER-PHARM HOLDING. SP.ZO.O",'Source'!$B:$B,$A107)</f>
        <v>5869.12</v>
      </c>
      <c r="I107" s="8" t="n">
        <f aca="false">SUMIFS('Source'!$G:$G,'Source'!$A:$A,"160134 SUPER-PHARM HOLDING. SP.ZO.O",'Source'!$B:$B,$A107)</f>
        <v>4163.99</v>
      </c>
      <c r="J107" s="8" t="n">
        <f aca="false">I107*$J$5</f>
        <v>5259.77684210526</v>
      </c>
      <c r="K107" s="8" t="n">
        <f aca="false">J107-H107</f>
        <v>-609.343157894738</v>
      </c>
      <c r="L107" s="9" t="n">
        <f aca="false">IF(AND(H107=0,J107=0),0,IF(H107=0,"New",(J107-H107)/H107))</f>
        <v>-0.103821894576144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524</v>
      </c>
      <c r="B108" s="7" t="str">
        <f aca="false">IFERROR(INDEX('Source'!$C:$C,MATCH($A108,'Source'!$B:$B,0)),"")</f>
        <v>מגן יד</v>
      </c>
      <c r="C108" s="8" t="n">
        <f aca="false">SUMIFS('Source'!$D:$D,'Source'!$A:$A,"160134 SUPER-PHARM HOLDING. SP.ZO.O",'Source'!$B:$B,$A108)</f>
        <v>160</v>
      </c>
      <c r="D108" s="8" t="n">
        <f aca="false">SUMIFS('Source'!$F:$F,'Source'!$A:$A,"160134 SUPER-PHARM HOLDING. SP.ZO.O",'Source'!$B:$B,$A108)</f>
        <v>90</v>
      </c>
      <c r="E108" s="8" t="n">
        <f aca="false">D108*$J$5</f>
        <v>113.684210526316</v>
      </c>
      <c r="F108" s="8" t="n">
        <f aca="false">E108-C108</f>
        <v>-46.3157894736842</v>
      </c>
      <c r="G108" s="9" t="n">
        <f aca="false">IF(AND(C108=0,E108=0),0,IF(C108=0,"New",(E108-C108)/C108))</f>
        <v>-0.289473684210526</v>
      </c>
      <c r="H108" s="8" t="n">
        <f aca="false">SUMIFS('Source'!$E:$E,'Source'!$A:$A,"160134 SUPER-PHARM HOLDING. SP.ZO.O",'Source'!$B:$B,$A108)</f>
        <v>3452.22</v>
      </c>
      <c r="I108" s="8" t="n">
        <f aca="false">SUMIFS('Source'!$G:$G,'Source'!$A:$A,"160134 SUPER-PHARM HOLDING. SP.ZO.O",'Source'!$B:$B,$A108)</f>
        <v>1749.35</v>
      </c>
      <c r="J108" s="8" t="n">
        <f aca="false">I108*$J$5</f>
        <v>2209.70526315789</v>
      </c>
      <c r="K108" s="8" t="n">
        <f aca="false">J108-H108</f>
        <v>-1242.51473684211</v>
      </c>
      <c r="L108" s="9" t="n">
        <f aca="false">IF(AND(H108=0,J108=0),0,IF(H108=0,"New",(J108-H108)/H108))</f>
        <v>-0.359917599933407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899</v>
      </c>
      <c r="B109" s="7" t="str">
        <f aca="false">IFERROR(INDEX('Source'!$C:$C,MATCH($A109,'Source'!$B:$B,0)),"")</f>
        <v>מדרס מטטרזלי</v>
      </c>
      <c r="C109" s="8" t="n">
        <f aca="false">SUMIFS('Source'!$D:$D,'Source'!$A:$A,"160134 SUPER-PHARM HOLDING. SP.ZO.O",'Source'!$B:$B,$A109)</f>
        <v>390</v>
      </c>
      <c r="D109" s="8" t="n">
        <f aca="false">SUMIFS('Source'!$F:$F,'Source'!$A:$A,"160134 SUPER-PHARM HOLDING. SP.ZO.O",'Source'!$B:$B,$A109)</f>
        <v>290</v>
      </c>
      <c r="E109" s="8" t="n">
        <f aca="false">D109*$J$5</f>
        <v>366.315789473684</v>
      </c>
      <c r="F109" s="8" t="n">
        <f aca="false">E109-C109</f>
        <v>-23.6842105263158</v>
      </c>
      <c r="G109" s="9" t="n">
        <f aca="false">IF(AND(C109=0,E109=0),0,IF(C109=0,"New",(E109-C109)/C109))</f>
        <v>-0.0607287449392714</v>
      </c>
      <c r="H109" s="8" t="n">
        <f aca="false">SUMIFS('Source'!$E:$E,'Source'!$A:$A,"160134 SUPER-PHARM HOLDING. SP.ZO.O",'Source'!$B:$B,$A109)</f>
        <v>5070.67</v>
      </c>
      <c r="I109" s="8" t="n">
        <f aca="false">SUMIFS('Source'!$G:$G,'Source'!$A:$A,"160134 SUPER-PHARM HOLDING. SP.ZO.O",'Source'!$B:$B,$A109)</f>
        <v>3375.82</v>
      </c>
      <c r="J109" s="8" t="n">
        <f aca="false">I109*$J$5</f>
        <v>4264.19368421053</v>
      </c>
      <c r="K109" s="8" t="n">
        <f aca="false">J109-H109</f>
        <v>-806.476315789474</v>
      </c>
      <c r="L109" s="9" t="n">
        <f aca="false">IF(AND(H109=0,J109=0),0,IF(H109=0,"New",(J109-H109)/H109))</f>
        <v>-0.159047288778302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156</v>
      </c>
      <c r="B110" s="7" t="str">
        <f aca="false">IFERROR(INDEX('Source'!$C:$C,MATCH($A110,'Source'!$B:$B,0)),"")</f>
        <v>AC27</v>
      </c>
      <c r="C110" s="8" t="n">
        <f aca="false">SUMIFS('Source'!$D:$D,'Source'!$A:$A,"160134 SUPER-PHARM HOLDING. SP.ZO.O",'Source'!$B:$B,$A110)</f>
        <v>280</v>
      </c>
      <c r="D110" s="8" t="n">
        <f aca="false">SUMIFS('Source'!$F:$F,'Source'!$A:$A,"160134 SUPER-PHARM HOLDING. SP.ZO.O",'Source'!$B:$B,$A110)</f>
        <v>240</v>
      </c>
      <c r="E110" s="8" t="n">
        <f aca="false">D110*$J$5</f>
        <v>303.157894736842</v>
      </c>
      <c r="F110" s="8" t="n">
        <f aca="false">E110-C110</f>
        <v>23.1578947368421</v>
      </c>
      <c r="G110" s="9" t="n">
        <f aca="false">IF(AND(C110=0,E110=0),0,IF(C110=0,"New",(E110-C110)/C110))</f>
        <v>0.0827067669172932</v>
      </c>
      <c r="H110" s="8" t="n">
        <f aca="false">SUMIFS('Source'!$E:$E,'Source'!$A:$A,"160134 SUPER-PHARM HOLDING. SP.ZO.O",'Source'!$B:$B,$A110)</f>
        <v>7157.1</v>
      </c>
      <c r="I110" s="8" t="n">
        <f aca="false">SUMIFS('Source'!$G:$G,'Source'!$A:$A,"160134 SUPER-PHARM HOLDING. SP.ZO.O",'Source'!$B:$B,$A110)</f>
        <v>5493.57</v>
      </c>
      <c r="J110" s="8" t="n">
        <f aca="false">I110*$J$5</f>
        <v>6939.24631578947</v>
      </c>
      <c r="K110" s="8" t="n">
        <f aca="false">J110-H110</f>
        <v>-217.853684210528</v>
      </c>
      <c r="L110" s="9" t="n">
        <f aca="false">IF(AND(H110=0,J110=0),0,IF(H110=0,"New",(J110-H110)/H110))</f>
        <v>-0.0304388207808369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900</v>
      </c>
      <c r="B111" s="7" t="str">
        <f aca="false">IFERROR(INDEX('Source'!$C:$C,MATCH($A111,'Source'!$B:$B,0)),"")</f>
        <v>רפידת זיכרון 376</v>
      </c>
      <c r="C111" s="8" t="n">
        <f aca="false">SUMIFS('Source'!$D:$D,'Source'!$A:$A,"160134 SUPER-PHARM HOLDING. SP.ZO.O",'Source'!$B:$B,$A111)</f>
        <v>0</v>
      </c>
      <c r="D111" s="8" t="n">
        <f aca="false">SUMIFS('Source'!$F:$F,'Source'!$A:$A,"160134 SUPER-PHARM HOLDING. SP.ZO.O",'Source'!$B:$B,$A111)</f>
        <v>90</v>
      </c>
      <c r="E111" s="8" t="n">
        <f aca="false">D111*$J$5</f>
        <v>113.684210526316</v>
      </c>
      <c r="F111" s="8" t="n">
        <f aca="false">E111-C111</f>
        <v>113.684210526316</v>
      </c>
      <c r="G111" s="9" t="str">
        <f aca="false">IF(AND(C111=0,E111=0),0,IF(C111=0,"New",(E111-C111)/C111))</f>
        <v>New</v>
      </c>
      <c r="H111" s="8" t="n">
        <f aca="false">SUMIFS('Source'!$E:$E,'Source'!$A:$A,"160134 SUPER-PHARM HOLDING. SP.ZO.O",'Source'!$B:$B,$A111)</f>
        <v>0</v>
      </c>
      <c r="I111" s="8" t="n">
        <f aca="false">SUMIFS('Source'!$G:$G,'Source'!$A:$A,"160134 SUPER-PHARM HOLDING. SP.ZO.O",'Source'!$B:$B,$A111)</f>
        <v>1583.55</v>
      </c>
      <c r="J111" s="8" t="n">
        <f aca="false">I111*$J$5</f>
        <v>2000.27368421053</v>
      </c>
      <c r="K111" s="8" t="n">
        <f aca="false">J111-H111</f>
        <v>2000.27368421053</v>
      </c>
      <c r="L111" s="9" t="str">
        <f aca="false">IF(AND(H111=0,J111=0),0,IF(H111=0,"New",(J111-H111)/H111))</f>
        <v>New</v>
      </c>
      <c r="M111" s="7" t="str">
        <f aca="false">IF(AND(OR(C111&lt;&gt;0,H111&lt;&gt;0),D111=0,I111=0),"DROP",IF(AND(OR(D111&lt;&gt;0,I111&lt;&gt;0),C111=0,H111=0),"NEW",""))</f>
        <v>NEW</v>
      </c>
    </row>
    <row r="112" customFormat="false" ht="15" hidden="false" customHeight="false" outlineLevel="0" collapsed="false">
      <c r="A112" s="7" t="s">
        <v>702</v>
      </c>
      <c r="B112" s="7" t="str">
        <f aca="false">IFERROR(INDEX('Source'!$C:$C,MATCH($A112,'Source'!$B:$B,0)),"")</f>
        <v>מגן קרסול חום</v>
      </c>
      <c r="C112" s="8" t="n">
        <f aca="false">SUMIFS('Source'!$D:$D,'Source'!$A:$A,"160134 SUPER-PHARM HOLDING. SP.ZO.O",'Source'!$B:$B,$A112)</f>
        <v>240</v>
      </c>
      <c r="D112" s="8" t="n">
        <f aca="false">SUMIFS('Source'!$F:$F,'Source'!$A:$A,"160134 SUPER-PHARM HOLDING. SP.ZO.O",'Source'!$B:$B,$A112)</f>
        <v>140</v>
      </c>
      <c r="E112" s="8" t="n">
        <f aca="false">D112*$J$5</f>
        <v>176.842105263158</v>
      </c>
      <c r="F112" s="8" t="n">
        <f aca="false">E112-C112</f>
        <v>-63.1578947368421</v>
      </c>
      <c r="G112" s="9" t="n">
        <f aca="false">IF(AND(C112=0,E112=0),0,IF(C112=0,"New",(E112-C112)/C112))</f>
        <v>-0.263157894736842</v>
      </c>
      <c r="H112" s="8" t="n">
        <f aca="false">SUMIFS('Source'!$E:$E,'Source'!$A:$A,"160134 SUPER-PHARM HOLDING. SP.ZO.O",'Source'!$B:$B,$A112)</f>
        <v>3314.99</v>
      </c>
      <c r="I112" s="8" t="n">
        <f aca="false">SUMIFS('Source'!$G:$G,'Source'!$A:$A,"160134 SUPER-PHARM HOLDING. SP.ZO.O",'Source'!$B:$B,$A112)</f>
        <v>1733.31</v>
      </c>
      <c r="J112" s="8" t="n">
        <f aca="false">I112*$J$5</f>
        <v>2189.44421052632</v>
      </c>
      <c r="K112" s="8" t="n">
        <f aca="false">J112-H112</f>
        <v>-1125.54578947368</v>
      </c>
      <c r="L112" s="9" t="n">
        <f aca="false">IF(AND(H112=0,J112=0),0,IF(H112=0,"New",(J112-H112)/H112))</f>
        <v>-0.339532182442084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245</v>
      </c>
      <c r="B113" s="7" t="str">
        <f aca="false">IFERROR(INDEX('Source'!$C:$C,MATCH($A113,'Source'!$B:$B,0)),"")</f>
        <v>חבק טניס</v>
      </c>
      <c r="C113" s="8" t="n">
        <f aca="false">SUMIFS('Source'!$D:$D,'Source'!$A:$A,"160134 SUPER-PHARM HOLDING. SP.ZO.O",'Source'!$B:$B,$A113)</f>
        <v>150</v>
      </c>
      <c r="D113" s="8" t="n">
        <f aca="false">SUMIFS('Source'!$F:$F,'Source'!$A:$A,"160134 SUPER-PHARM HOLDING. SP.ZO.O",'Source'!$B:$B,$A113)</f>
        <v>90</v>
      </c>
      <c r="E113" s="8" t="n">
        <f aca="false">D113*$J$5</f>
        <v>113.684210526316</v>
      </c>
      <c r="F113" s="8" t="n">
        <f aca="false">E113-C113</f>
        <v>-36.3157894736842</v>
      </c>
      <c r="G113" s="9" t="n">
        <f aca="false">IF(AND(C113=0,E113=0),0,IF(C113=0,"New",(E113-C113)/C113))</f>
        <v>-0.242105263157895</v>
      </c>
      <c r="H113" s="8" t="n">
        <f aca="false">SUMIFS('Source'!$E:$E,'Source'!$A:$A,"160134 SUPER-PHARM HOLDING. SP.ZO.O",'Source'!$B:$B,$A113)</f>
        <v>3190.01</v>
      </c>
      <c r="I113" s="8" t="n">
        <f aca="false">SUMIFS('Source'!$G:$G,'Source'!$A:$A,"160134 SUPER-PHARM HOLDING. SP.ZO.O",'Source'!$B:$B,$A113)</f>
        <v>1724.96</v>
      </c>
      <c r="J113" s="8" t="n">
        <f aca="false">I113*$J$5</f>
        <v>2178.89684210526</v>
      </c>
      <c r="K113" s="8" t="n">
        <f aca="false">J113-H113</f>
        <v>-1011.11315789474</v>
      </c>
      <c r="L113" s="9" t="n">
        <f aca="false">IF(AND(H113=0,J113=0),0,IF(H113=0,"New",(J113-H113)/H113))</f>
        <v>-0.316962378768323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776</v>
      </c>
      <c r="B114" s="7" t="str">
        <f aca="false">IFERROR(INDEX('Source'!$C:$C,MATCH($A114,'Source'!$B:$B,0)),"")</f>
        <v>מגן מרפק בז'</v>
      </c>
      <c r="C114" s="8" t="n">
        <f aca="false">SUMIFS('Source'!$D:$D,'Source'!$A:$A,"160134 SUPER-PHARM HOLDING. SP.ZO.O",'Source'!$B:$B,$A114)</f>
        <v>170</v>
      </c>
      <c r="D114" s="8" t="n">
        <f aca="false">SUMIFS('Source'!$F:$F,'Source'!$A:$A,"160134 SUPER-PHARM HOLDING. SP.ZO.O",'Source'!$B:$B,$A114)</f>
        <v>80</v>
      </c>
      <c r="E114" s="8" t="n">
        <f aca="false">D114*$J$5</f>
        <v>101.052631578947</v>
      </c>
      <c r="F114" s="8" t="n">
        <f aca="false">E114-C114</f>
        <v>-68.9473684210526</v>
      </c>
      <c r="G114" s="9" t="n">
        <f aca="false">IF(AND(C114=0,E114=0),0,IF(C114=0,"New",(E114-C114)/C114))</f>
        <v>-0.405572755417957</v>
      </c>
      <c r="H114" s="8" t="n">
        <f aca="false">SUMIFS('Source'!$E:$E,'Source'!$A:$A,"160134 SUPER-PHARM HOLDING. SP.ZO.O",'Source'!$B:$B,$A114)</f>
        <v>2469.69</v>
      </c>
      <c r="I114" s="8" t="n">
        <f aca="false">SUMIFS('Source'!$G:$G,'Source'!$A:$A,"160134 SUPER-PHARM HOLDING. SP.ZO.O",'Source'!$B:$B,$A114)</f>
        <v>1045.97</v>
      </c>
      <c r="J114" s="8" t="n">
        <f aca="false">I114*$J$5</f>
        <v>1321.22526315789</v>
      </c>
      <c r="K114" s="8" t="n">
        <f aca="false">J114-H114</f>
        <v>-1148.46473684211</v>
      </c>
      <c r="L114" s="9" t="n">
        <f aca="false">IF(AND(H114=0,J114=0),0,IF(H114=0,"New",(J114-H114)/H114))</f>
        <v>-0.465023843819307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576</v>
      </c>
      <c r="B115" s="7" t="str">
        <f aca="false">IFERROR(INDEX('Source'!$C:$C,MATCH($A115,'Source'!$B:$B,0)),"")</f>
        <v>חגורת בטן</v>
      </c>
      <c r="C115" s="8" t="n">
        <f aca="false">SUMIFS('Source'!$D:$D,'Source'!$A:$A,"160134 SUPER-PHARM HOLDING. SP.ZO.O",'Source'!$B:$B,$A115)</f>
        <v>44</v>
      </c>
      <c r="D115" s="8" t="n">
        <f aca="false">SUMIFS('Source'!$F:$F,'Source'!$A:$A,"160134 SUPER-PHARM HOLDING. SP.ZO.O",'Source'!$B:$B,$A115)</f>
        <v>30</v>
      </c>
      <c r="E115" s="8" t="n">
        <f aca="false">D115*$J$5</f>
        <v>37.8947368421053</v>
      </c>
      <c r="F115" s="8" t="n">
        <f aca="false">E115-C115</f>
        <v>-6.10526315789474</v>
      </c>
      <c r="G115" s="9" t="n">
        <f aca="false">IF(AND(C115=0,E115=0),0,IF(C115=0,"New",(E115-C115)/C115))</f>
        <v>-0.138755980861244</v>
      </c>
      <c r="H115" s="8" t="n">
        <f aca="false">SUMIFS('Source'!$E:$E,'Source'!$A:$A,"160134 SUPER-PHARM HOLDING. SP.ZO.O",'Source'!$B:$B,$A115)</f>
        <v>3544.17</v>
      </c>
      <c r="I115" s="8" t="n">
        <f aca="false">SUMIFS('Source'!$G:$G,'Source'!$A:$A,"160134 SUPER-PHARM HOLDING. SP.ZO.O",'Source'!$B:$B,$A115)</f>
        <v>2125.54</v>
      </c>
      <c r="J115" s="8" t="n">
        <f aca="false">I115*$J$5</f>
        <v>2684.89263157895</v>
      </c>
      <c r="K115" s="8" t="n">
        <f aca="false">J115-H115</f>
        <v>-859.277368421053</v>
      </c>
      <c r="L115" s="9" t="n">
        <f aca="false">IF(AND(H115=0,J115=0),0,IF(H115=0,"New",(J115-H115)/H115))</f>
        <v>-0.242448124221201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556</v>
      </c>
      <c r="B116" s="7" t="str">
        <f aca="false">IFERROR(INDEX('Source'!$C:$C,MATCH($A116,'Source'!$B:$B,0)),"")</f>
        <v>מגן ברך רגיל</v>
      </c>
      <c r="C116" s="8" t="n">
        <f aca="false">SUMIFS('Source'!$D:$D,'Source'!$A:$A,"160134 SUPER-PHARM HOLDING. SP.ZO.O",'Source'!$B:$B,$A116)</f>
        <v>210</v>
      </c>
      <c r="D116" s="8" t="n">
        <f aca="false">SUMIFS('Source'!$F:$F,'Source'!$A:$A,"160134 SUPER-PHARM HOLDING. SP.ZO.O",'Source'!$B:$B,$A116)</f>
        <v>120</v>
      </c>
      <c r="E116" s="8" t="n">
        <f aca="false">D116*$J$5</f>
        <v>151.578947368421</v>
      </c>
      <c r="F116" s="8" t="n">
        <f aca="false">E116-C116</f>
        <v>-58.421052631579</v>
      </c>
      <c r="G116" s="9" t="n">
        <f aca="false">IF(AND(C116=0,E116=0),0,IF(C116=0,"New",(E116-C116)/C116))</f>
        <v>-0.278195488721805</v>
      </c>
      <c r="H116" s="8" t="n">
        <f aca="false">SUMIFS('Source'!$E:$E,'Source'!$A:$A,"160134 SUPER-PHARM HOLDING. SP.ZO.O",'Source'!$B:$B,$A116)</f>
        <v>2891.34</v>
      </c>
      <c r="I116" s="8" t="n">
        <f aca="false">SUMIFS('Source'!$G:$G,'Source'!$A:$A,"160134 SUPER-PHARM HOLDING. SP.ZO.O",'Source'!$B:$B,$A116)</f>
        <v>1479.06</v>
      </c>
      <c r="J116" s="8" t="n">
        <f aca="false">I116*$J$5</f>
        <v>1868.28631578947</v>
      </c>
      <c r="K116" s="8" t="n">
        <f aca="false">J116-H116</f>
        <v>-1023.05368421053</v>
      </c>
      <c r="L116" s="9" t="n">
        <f aca="false">IF(AND(H116=0,J116=0),0,IF(H116=0,"New",(J116-H116)/H116))</f>
        <v>-0.353833753280668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901</v>
      </c>
      <c r="B117" s="7" t="str">
        <f aca="false">IFERROR(INDEX('Source'!$C:$C,MATCH($A117,'Source'!$B:$B,0)),"")</f>
        <v>ריפוד סיליקון לעקב תחתון</v>
      </c>
      <c r="C117" s="8" t="n">
        <f aca="false">SUMIFS('Source'!$D:$D,'Source'!$A:$A,"160134 SUPER-PHARM HOLDING. SP.ZO.O",'Source'!$B:$B,$A117)</f>
        <v>280</v>
      </c>
      <c r="D117" s="8" t="n">
        <f aca="false">SUMIFS('Source'!$F:$F,'Source'!$A:$A,"160134 SUPER-PHARM HOLDING. SP.ZO.O",'Source'!$B:$B,$A117)</f>
        <v>190</v>
      </c>
      <c r="E117" s="8" t="n">
        <f aca="false">D117*$J$5</f>
        <v>240</v>
      </c>
      <c r="F117" s="8" t="n">
        <f aca="false">E117-C117</f>
        <v>-40</v>
      </c>
      <c r="G117" s="9" t="n">
        <f aca="false">IF(AND(C117=0,E117=0),0,IF(C117=0,"New",(E117-C117)/C117))</f>
        <v>-0.142857142857143</v>
      </c>
      <c r="H117" s="8" t="n">
        <f aca="false">SUMIFS('Source'!$E:$E,'Source'!$A:$A,"160134 SUPER-PHARM HOLDING. SP.ZO.O",'Source'!$B:$B,$A117)</f>
        <v>3514.51</v>
      </c>
      <c r="I117" s="8" t="n">
        <f aca="false">SUMIFS('Source'!$G:$G,'Source'!$A:$A,"160134 SUPER-PHARM HOLDING. SP.ZO.O",'Source'!$B:$B,$A117)</f>
        <v>2146.62</v>
      </c>
      <c r="J117" s="8" t="n">
        <f aca="false">I117*$J$5</f>
        <v>2711.52</v>
      </c>
      <c r="K117" s="8" t="n">
        <f aca="false">J117-H117</f>
        <v>-802.990000000001</v>
      </c>
      <c r="L117" s="9" t="n">
        <f aca="false">IF(AND(H117=0,J117=0),0,IF(H117=0,"New",(J117-H117)/H117))</f>
        <v>-0.228478507672478</v>
      </c>
      <c r="M117" s="7" t="str">
        <f aca="false">IF(AND(OR(C117&lt;&gt;0,H117&lt;&gt;0),D117=0,I117=0),"DROP",IF(AND(OR(D117&lt;&gt;0,I117&lt;&gt;0),C117=0,H117=0),"NEW",""))</f>
        <v/>
      </c>
    </row>
    <row r="118" customFormat="false" ht="15" hidden="false" customHeight="false" outlineLevel="0" collapsed="false">
      <c r="A118" s="7" t="s">
        <v>902</v>
      </c>
      <c r="B118" s="7" t="str">
        <f aca="false">IFERROR(INDEX('Source'!$C:$C,MATCH($A118,'Source'!$B:$B,0)),"")</f>
        <v>מגן מרפק בז'</v>
      </c>
      <c r="C118" s="8" t="n">
        <f aca="false">SUMIFS('Source'!$D:$D,'Source'!$A:$A,"160134 SUPER-PHARM HOLDING. SP.ZO.O",'Source'!$B:$B,$A118)</f>
        <v>132</v>
      </c>
      <c r="D118" s="8" t="n">
        <f aca="false">SUMIFS('Source'!$F:$F,'Source'!$A:$A,"160134 SUPER-PHARM HOLDING. SP.ZO.O",'Source'!$B:$B,$A118)</f>
        <v>40</v>
      </c>
      <c r="E118" s="8" t="n">
        <f aca="false">D118*$J$5</f>
        <v>50.5263157894737</v>
      </c>
      <c r="F118" s="8" t="n">
        <f aca="false">E118-C118</f>
        <v>-81.4736842105263</v>
      </c>
      <c r="G118" s="9" t="n">
        <f aca="false">IF(AND(C118=0,E118=0),0,IF(C118=0,"New",(E118-C118)/C118))</f>
        <v>-0.617224880382775</v>
      </c>
      <c r="H118" s="8" t="n">
        <f aca="false">SUMIFS('Source'!$E:$E,'Source'!$A:$A,"160134 SUPER-PHARM HOLDING. SP.ZO.O",'Source'!$B:$B,$A118)</f>
        <v>1887.79</v>
      </c>
      <c r="I118" s="8" t="n">
        <f aca="false">SUMIFS('Source'!$G:$G,'Source'!$A:$A,"160134 SUPER-PHARM HOLDING. SP.ZO.O",'Source'!$B:$B,$A118)</f>
        <v>520.31</v>
      </c>
      <c r="J118" s="8" t="n">
        <f aca="false">I118*$J$5</f>
        <v>657.233684210526</v>
      </c>
      <c r="K118" s="8" t="n">
        <f aca="false">J118-H118</f>
        <v>-1230.55631578947</v>
      </c>
      <c r="L118" s="9" t="n">
        <f aca="false">IF(AND(H118=0,J118=0),0,IF(H118=0,"New",(J118-H118)/H118))</f>
        <v>-0.651850214160195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903</v>
      </c>
      <c r="B119" s="7" t="str">
        <f aca="false">IFERROR(INDEX('Source'!$C:$C,MATCH($A119,'Source'!$B:$B,0)),"")</f>
        <v>ריפוד סיליקון לעקב אחורי</v>
      </c>
      <c r="C119" s="8" t="n">
        <f aca="false">SUMIFS('Source'!$D:$D,'Source'!$A:$A,"160134 SUPER-PHARM HOLDING. SP.ZO.O",'Source'!$B:$B,$A119)</f>
        <v>350</v>
      </c>
      <c r="D119" s="8" t="n">
        <f aca="false">SUMIFS('Source'!$F:$F,'Source'!$A:$A,"160134 SUPER-PHARM HOLDING. SP.ZO.O",'Source'!$B:$B,$A119)</f>
        <v>220</v>
      </c>
      <c r="E119" s="8" t="n">
        <f aca="false">D119*$J$5</f>
        <v>277.894736842105</v>
      </c>
      <c r="F119" s="8" t="n">
        <f aca="false">E119-C119</f>
        <v>-72.1052631578947</v>
      </c>
      <c r="G119" s="9" t="n">
        <f aca="false">IF(AND(C119=0,E119=0),0,IF(C119=0,"New",(E119-C119)/C119))</f>
        <v>-0.206015037593985</v>
      </c>
      <c r="H119" s="8" t="n">
        <f aca="false">SUMIFS('Source'!$E:$E,'Source'!$A:$A,"160134 SUPER-PHARM HOLDING. SP.ZO.O",'Source'!$B:$B,$A119)</f>
        <v>2971.65</v>
      </c>
      <c r="I119" s="8" t="n">
        <f aca="false">SUMIFS('Source'!$G:$G,'Source'!$A:$A,"160134 SUPER-PHARM HOLDING. SP.ZO.O",'Source'!$B:$B,$A119)</f>
        <v>1698.97</v>
      </c>
      <c r="J119" s="8" t="n">
        <f aca="false">I119*$J$5</f>
        <v>2146.06736842105</v>
      </c>
      <c r="K119" s="8" t="n">
        <f aca="false">J119-H119</f>
        <v>-825.582631578948</v>
      </c>
      <c r="L119" s="9" t="n">
        <f aca="false">IF(AND(H119=0,J119=0),0,IF(H119=0,"New",(J119-H119)/H119))</f>
        <v>-0.277819605801137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515</v>
      </c>
      <c r="B120" s="7" t="str">
        <f aca="false">IFERROR(INDEX('Source'!$C:$C,MATCH($A120,'Source'!$B:$B,0)),"")</f>
        <v>טבעת אלסטית מסיליקון</v>
      </c>
      <c r="C120" s="8" t="n">
        <f aca="false">SUMIFS('Source'!$D:$D,'Source'!$A:$A,"160134 SUPER-PHARM HOLDING. SP.ZO.O",'Source'!$B:$B,$A120)</f>
        <v>240</v>
      </c>
      <c r="D120" s="8" t="n">
        <f aca="false">SUMIFS('Source'!$F:$F,'Source'!$A:$A,"160134 SUPER-PHARM HOLDING. SP.ZO.O",'Source'!$B:$B,$A120)</f>
        <v>90</v>
      </c>
      <c r="E120" s="8" t="n">
        <f aca="false">D120*$J$5</f>
        <v>113.684210526316</v>
      </c>
      <c r="F120" s="8" t="n">
        <f aca="false">E120-C120</f>
        <v>-126.315789473684</v>
      </c>
      <c r="G120" s="9" t="n">
        <f aca="false">IF(AND(C120=0,E120=0),0,IF(C120=0,"New",(E120-C120)/C120))</f>
        <v>-0.526315789473684</v>
      </c>
      <c r="H120" s="8" t="n">
        <f aca="false">SUMIFS('Source'!$E:$E,'Source'!$A:$A,"160134 SUPER-PHARM HOLDING. SP.ZO.O",'Source'!$B:$B,$A120)</f>
        <v>1921.02</v>
      </c>
      <c r="I120" s="8" t="n">
        <f aca="false">SUMIFS('Source'!$G:$G,'Source'!$A:$A,"160134 SUPER-PHARM HOLDING. SP.ZO.O",'Source'!$B:$B,$A120)</f>
        <v>648.84</v>
      </c>
      <c r="J120" s="8" t="n">
        <f aca="false">I120*$J$5</f>
        <v>819.587368421053</v>
      </c>
      <c r="K120" s="8" t="n">
        <f aca="false">J120-H120</f>
        <v>-1101.43263157895</v>
      </c>
      <c r="L120" s="9" t="n">
        <f aca="false">IF(AND(H120=0,J120=0),0,IF(H120=0,"New",(J120-H120)/H120))</f>
        <v>-0.573358232386413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387</v>
      </c>
      <c r="B121" s="7" t="str">
        <f aca="false">IFERROR(INDEX('Source'!$C:$C,MATCH($A121,'Source'!$B:$B,0)),"")</f>
        <v>אצבעון מסיליקון</v>
      </c>
      <c r="C121" s="8" t="n">
        <f aca="false">SUMIFS('Source'!$D:$D,'Source'!$A:$A,"160134 SUPER-PHARM HOLDING. SP.ZO.O",'Source'!$B:$B,$A121)</f>
        <v>220</v>
      </c>
      <c r="D121" s="8" t="n">
        <f aca="false">SUMIFS('Source'!$F:$F,'Source'!$A:$A,"160134 SUPER-PHARM HOLDING. SP.ZO.O",'Source'!$B:$B,$A121)</f>
        <v>130</v>
      </c>
      <c r="E121" s="8" t="n">
        <f aca="false">D121*$J$5</f>
        <v>164.210526315789</v>
      </c>
      <c r="F121" s="8" t="n">
        <f aca="false">E121-C121</f>
        <v>-55.7894736842106</v>
      </c>
      <c r="G121" s="9" t="n">
        <f aca="false">IF(AND(C121=0,E121=0),0,IF(C121=0,"New",(E121-C121)/C121))</f>
        <v>-0.253588516746412</v>
      </c>
      <c r="H121" s="8" t="n">
        <f aca="false">SUMIFS('Source'!$E:$E,'Source'!$A:$A,"160134 SUPER-PHARM HOLDING. SP.ZO.O",'Source'!$B:$B,$A121)</f>
        <v>2677.59</v>
      </c>
      <c r="I121" s="8" t="n">
        <f aca="false">SUMIFS('Source'!$G:$G,'Source'!$A:$A,"160134 SUPER-PHARM HOLDING. SP.ZO.O",'Source'!$B:$B,$A121)</f>
        <v>1408.78</v>
      </c>
      <c r="J121" s="8" t="n">
        <f aca="false">I121*$J$5</f>
        <v>1779.51157894737</v>
      </c>
      <c r="K121" s="8" t="n">
        <f aca="false">J121-H121</f>
        <v>-898.078421052632</v>
      </c>
      <c r="L121" s="9" t="n">
        <f aca="false">IF(AND(H121=0,J121=0),0,IF(H121=0,"New",(J121-H121)/H121))</f>
        <v>-0.335405503102653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904</v>
      </c>
      <c r="B122" s="7" t="str">
        <f aca="false">IFERROR(INDEX('Source'!$C:$C,MATCH($A122,'Source'!$B:$B,0)),"")</f>
        <v>מדרס סיליקון לנעלי עקב</v>
      </c>
      <c r="C122" s="8" t="n">
        <f aca="false">SUMIFS('Source'!$D:$D,'Source'!$A:$A,"160134 SUPER-PHARM HOLDING. SP.ZO.O",'Source'!$B:$B,$A122)</f>
        <v>150</v>
      </c>
      <c r="D122" s="8" t="n">
        <f aca="false">SUMIFS('Source'!$F:$F,'Source'!$A:$A,"160134 SUPER-PHARM HOLDING. SP.ZO.O",'Source'!$B:$B,$A122)</f>
        <v>110</v>
      </c>
      <c r="E122" s="8" t="n">
        <f aca="false">D122*$J$5</f>
        <v>138.947368421053</v>
      </c>
      <c r="F122" s="8" t="n">
        <f aca="false">E122-C122</f>
        <v>-11.0526315789474</v>
      </c>
      <c r="G122" s="9" t="n">
        <f aca="false">IF(AND(C122=0,E122=0),0,IF(C122=0,"New",(E122-C122)/C122))</f>
        <v>-0.0736842105263158</v>
      </c>
      <c r="H122" s="8" t="n">
        <f aca="false">SUMIFS('Source'!$E:$E,'Source'!$A:$A,"160134 SUPER-PHARM HOLDING. SP.ZO.O",'Source'!$B:$B,$A122)</f>
        <v>3742.11</v>
      </c>
      <c r="I122" s="8" t="n">
        <f aca="false">SUMIFS('Source'!$G:$G,'Source'!$A:$A,"160134 SUPER-PHARM HOLDING. SP.ZO.O",'Source'!$B:$B,$A122)</f>
        <v>2476.07</v>
      </c>
      <c r="J122" s="8" t="n">
        <f aca="false">I122*$J$5</f>
        <v>3127.66736842105</v>
      </c>
      <c r="K122" s="8" t="n">
        <f aca="false">J122-H122</f>
        <v>-614.442631578948</v>
      </c>
      <c r="L122" s="9" t="n">
        <f aca="false">IF(AND(H122=0,J122=0),0,IF(H122=0,"New",(J122-H122)/H122))</f>
        <v>-0.164196838569403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563</v>
      </c>
      <c r="B123" s="7" t="str">
        <f aca="false">IFERROR(INDEX('Source'!$C:$C,MATCH($A123,'Source'!$B:$B,0)),"")</f>
        <v>מגן קרסול פתוח</v>
      </c>
      <c r="C123" s="8" t="n">
        <f aca="false">SUMIFS('Source'!$D:$D,'Source'!$A:$A,"160134 SUPER-PHARM HOLDING. SP.ZO.O",'Source'!$B:$B,$A123)</f>
        <v>130</v>
      </c>
      <c r="D123" s="8" t="n">
        <f aca="false">SUMIFS('Source'!$F:$F,'Source'!$A:$A,"160134 SUPER-PHARM HOLDING. SP.ZO.O",'Source'!$B:$B,$A123)</f>
        <v>40</v>
      </c>
      <c r="E123" s="8" t="n">
        <f aca="false">D123*$J$5</f>
        <v>50.5263157894737</v>
      </c>
      <c r="F123" s="8" t="n">
        <f aca="false">E123-C123</f>
        <v>-79.4736842105263</v>
      </c>
      <c r="G123" s="9" t="n">
        <f aca="false">IF(AND(C123=0,E123=0),0,IF(C123=0,"New",(E123-C123)/C123))</f>
        <v>-0.611336032388664</v>
      </c>
      <c r="H123" s="8" t="n">
        <f aca="false">SUMIFS('Source'!$E:$E,'Source'!$A:$A,"160134 SUPER-PHARM HOLDING. SP.ZO.O",'Source'!$B:$B,$A123)</f>
        <v>1732.73</v>
      </c>
      <c r="I123" s="8" t="n">
        <f aca="false">SUMIFS('Source'!$G:$G,'Source'!$A:$A,"160134 SUPER-PHARM HOLDING. SP.ZO.O",'Source'!$B:$B,$A123)</f>
        <v>475.88</v>
      </c>
      <c r="J123" s="8" t="n">
        <f aca="false">I123*$J$5</f>
        <v>601.111578947368</v>
      </c>
      <c r="K123" s="8" t="n">
        <f aca="false">J123-H123</f>
        <v>-1131.61842105263</v>
      </c>
      <c r="L123" s="9" t="n">
        <f aca="false">IF(AND(H123=0,J123=0),0,IF(H123=0,"New",(J123-H123)/H123))</f>
        <v>-0.653084104882256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805</v>
      </c>
      <c r="B124" s="7" t="str">
        <f aca="false">IFERROR(INDEX('Source'!$C:$C,MATCH($A124,'Source'!$B:$B,0)),"")</f>
        <v>מגן ברך חום</v>
      </c>
      <c r="C124" s="8" t="n">
        <f aca="false">SUMIFS('Source'!$D:$D,'Source'!$A:$A,"160134 SUPER-PHARM HOLDING. SP.ZO.O",'Source'!$B:$B,$A124)</f>
        <v>300</v>
      </c>
      <c r="D124" s="8" t="n">
        <f aca="false">SUMIFS('Source'!$F:$F,'Source'!$A:$A,"160134 SUPER-PHARM HOLDING. SP.ZO.O",'Source'!$B:$B,$A124)</f>
        <v>230</v>
      </c>
      <c r="E124" s="8" t="n">
        <f aca="false">D124*$J$5</f>
        <v>290.526315789474</v>
      </c>
      <c r="F124" s="8" t="n">
        <f aca="false">E124-C124</f>
        <v>-9.47368421052636</v>
      </c>
      <c r="G124" s="9" t="n">
        <f aca="false">IF(AND(C124=0,E124=0),0,IF(C124=0,"New",(E124-C124)/C124))</f>
        <v>-0.0315789473684212</v>
      </c>
      <c r="H124" s="8" t="n">
        <f aca="false">SUMIFS('Source'!$E:$E,'Source'!$A:$A,"160134 SUPER-PHARM HOLDING. SP.ZO.O",'Source'!$B:$B,$A124)</f>
        <v>4073.24</v>
      </c>
      <c r="I124" s="8" t="n">
        <f aca="false">SUMIFS('Source'!$G:$G,'Source'!$A:$A,"160134 SUPER-PHARM HOLDING. SP.ZO.O",'Source'!$B:$B,$A124)</f>
        <v>2821.26</v>
      </c>
      <c r="J124" s="8" t="n">
        <f aca="false">I124*$J$5</f>
        <v>3563.69684210526</v>
      </c>
      <c r="K124" s="8" t="n">
        <f aca="false">J124-H124</f>
        <v>-509.543157894736</v>
      </c>
      <c r="L124" s="9" t="n">
        <f aca="false">IF(AND(H124=0,J124=0),0,IF(H124=0,"New",(J124-H124)/H124))</f>
        <v>-0.125095294629027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714</v>
      </c>
      <c r="B125" s="7" t="str">
        <f aca="false">IFERROR(INDEX('Source'!$C:$C,MATCH($A125,'Source'!$B:$B,0)),"")</f>
        <v>מגן מרפק</v>
      </c>
      <c r="C125" s="8" t="n">
        <f aca="false">SUMIFS('Source'!$D:$D,'Source'!$A:$A,"160134 SUPER-PHARM HOLDING. SP.ZO.O",'Source'!$B:$B,$A125)</f>
        <v>120</v>
      </c>
      <c r="D125" s="8" t="n">
        <f aca="false">SUMIFS('Source'!$F:$F,'Source'!$A:$A,"160134 SUPER-PHARM HOLDING. SP.ZO.O",'Source'!$B:$B,$A125)</f>
        <v>40</v>
      </c>
      <c r="E125" s="8" t="n">
        <f aca="false">D125*$J$5</f>
        <v>50.5263157894737</v>
      </c>
      <c r="F125" s="8" t="n">
        <f aca="false">E125-C125</f>
        <v>-69.4736842105263</v>
      </c>
      <c r="G125" s="9" t="n">
        <f aca="false">IF(AND(C125=0,E125=0),0,IF(C125=0,"New",(E125-C125)/C125))</f>
        <v>-0.578947368421053</v>
      </c>
      <c r="H125" s="8" t="n">
        <f aca="false">SUMIFS('Source'!$E:$E,'Source'!$A:$A,"160134 SUPER-PHARM HOLDING. SP.ZO.O",'Source'!$B:$B,$A125)</f>
        <v>1725.64</v>
      </c>
      <c r="I125" s="8" t="n">
        <f aca="false">SUMIFS('Source'!$G:$G,'Source'!$A:$A,"160134 SUPER-PHARM HOLDING. SP.ZO.O",'Source'!$B:$B,$A125)</f>
        <v>525.4</v>
      </c>
      <c r="J125" s="8" t="n">
        <f aca="false">I125*$J$5</f>
        <v>663.663157894737</v>
      </c>
      <c r="K125" s="8" t="n">
        <f aca="false">J125-H125</f>
        <v>-1061.97684210526</v>
      </c>
      <c r="L125" s="9" t="n">
        <f aca="false">IF(AND(H125=0,J125=0),0,IF(H125=0,"New",(J125-H125)/H125))</f>
        <v>-0.615410422860657</v>
      </c>
      <c r="M125" s="7" t="str">
        <f aca="false">IF(AND(OR(C125&lt;&gt;0,H125&lt;&gt;0),D125=0,I125=0),"DROP",IF(AND(OR(D125&lt;&gt;0,I125&lt;&gt;0),C125=0,H125=0),"NEW",""))</f>
        <v/>
      </c>
    </row>
    <row r="126" customFormat="false" ht="15" hidden="false" customHeight="false" outlineLevel="0" collapsed="false">
      <c r="A126" s="7" t="s">
        <v>578</v>
      </c>
      <c r="B126" s="7" t="str">
        <f aca="false">IFERROR(INDEX('Source'!$C:$C,MATCH($A126,'Source'!$B:$B,0)),"")</f>
        <v>מגן ברך רגיל</v>
      </c>
      <c r="C126" s="8" t="n">
        <f aca="false">SUMIFS('Source'!$D:$D,'Source'!$A:$A,"160134 SUPER-PHARM HOLDING. SP.ZO.O",'Source'!$B:$B,$A126)</f>
        <v>120</v>
      </c>
      <c r="D126" s="8" t="n">
        <f aca="false">SUMIFS('Source'!$F:$F,'Source'!$A:$A,"160134 SUPER-PHARM HOLDING. SP.ZO.O",'Source'!$B:$B,$A126)</f>
        <v>40</v>
      </c>
      <c r="E126" s="8" t="n">
        <f aca="false">D126*$J$5</f>
        <v>50.5263157894737</v>
      </c>
      <c r="F126" s="8" t="n">
        <f aca="false">E126-C126</f>
        <v>-69.4736842105263</v>
      </c>
      <c r="G126" s="9" t="n">
        <f aca="false">IF(AND(C126=0,E126=0),0,IF(C126=0,"New",(E126-C126)/C126))</f>
        <v>-0.578947368421053</v>
      </c>
      <c r="H126" s="8" t="n">
        <f aca="false">SUMIFS('Source'!$E:$E,'Source'!$A:$A,"160134 SUPER-PHARM HOLDING. SP.ZO.O",'Source'!$B:$B,$A126)</f>
        <v>1685.88</v>
      </c>
      <c r="I126" s="8" t="n">
        <f aca="false">SUMIFS('Source'!$G:$G,'Source'!$A:$A,"160134 SUPER-PHARM HOLDING. SP.ZO.O",'Source'!$B:$B,$A126)</f>
        <v>508.99</v>
      </c>
      <c r="J126" s="8" t="n">
        <f aca="false">I126*$J$5</f>
        <v>642.934736842105</v>
      </c>
      <c r="K126" s="8" t="n">
        <f aca="false">J126-H126</f>
        <v>-1042.94526315789</v>
      </c>
      <c r="L126" s="9" t="n">
        <f aca="false">IF(AND(H126=0,J126=0),0,IF(H126=0,"New",(J126-H126)/H126))</f>
        <v>-0.618635527533333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512</v>
      </c>
      <c r="B127" s="7" t="str">
        <f aca="false">IFERROR(INDEX('Source'!$C:$C,MATCH($A127,'Source'!$B:$B,0)),"")</f>
        <v>מגן קרסול פתוח</v>
      </c>
      <c r="C127" s="8" t="n">
        <f aca="false">SUMIFS('Source'!$D:$D,'Source'!$A:$A,"160134 SUPER-PHARM HOLDING. SP.ZO.O",'Source'!$B:$B,$A127)</f>
        <v>120</v>
      </c>
      <c r="D127" s="8" t="n">
        <f aca="false">SUMIFS('Source'!$F:$F,'Source'!$A:$A,"160134 SUPER-PHARM HOLDING. SP.ZO.O",'Source'!$B:$B,$A127)</f>
        <v>40</v>
      </c>
      <c r="E127" s="8" t="n">
        <f aca="false">D127*$J$5</f>
        <v>50.5263157894737</v>
      </c>
      <c r="F127" s="8" t="n">
        <f aca="false">E127-C127</f>
        <v>-69.4736842105263</v>
      </c>
      <c r="G127" s="9" t="n">
        <f aca="false">IF(AND(C127=0,E127=0),0,IF(C127=0,"New",(E127-C127)/C127))</f>
        <v>-0.578947368421053</v>
      </c>
      <c r="H127" s="8" t="n">
        <f aca="false">SUMIFS('Source'!$E:$E,'Source'!$A:$A,"160134 SUPER-PHARM HOLDING. SP.ZO.O",'Source'!$B:$B,$A127)</f>
        <v>1625.19</v>
      </c>
      <c r="I127" s="8" t="n">
        <f aca="false">SUMIFS('Source'!$G:$G,'Source'!$A:$A,"160134 SUPER-PHARM HOLDING. SP.ZO.O",'Source'!$B:$B,$A127)</f>
        <v>475.88</v>
      </c>
      <c r="J127" s="8" t="n">
        <f aca="false">I127*$J$5</f>
        <v>601.111578947368</v>
      </c>
      <c r="K127" s="8" t="n">
        <f aca="false">J127-H127</f>
        <v>-1024.07842105263</v>
      </c>
      <c r="L127" s="9" t="n">
        <f aca="false">IF(AND(H127=0,J127=0),0,IF(H127=0,"New",(J127-H127)/H127))</f>
        <v>-0.630128428708417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905</v>
      </c>
      <c r="B128" s="7" t="str">
        <f aca="false">IFERROR(INDEX('Source'!$C:$C,MATCH($A128,'Source'!$B:$B,0)),"")</f>
        <v>מדרס סיליקון לנעלי עקב</v>
      </c>
      <c r="C128" s="8" t="n">
        <f aca="false">SUMIFS('Source'!$D:$D,'Source'!$A:$A,"160134 SUPER-PHARM HOLDING. SP.ZO.O",'Source'!$B:$B,$A128)</f>
        <v>120</v>
      </c>
      <c r="D128" s="8" t="n">
        <f aca="false">SUMIFS('Source'!$F:$F,'Source'!$A:$A,"160134 SUPER-PHARM HOLDING. SP.ZO.O",'Source'!$B:$B,$A128)</f>
        <v>80</v>
      </c>
      <c r="E128" s="8" t="n">
        <f aca="false">D128*$J$5</f>
        <v>101.052631578947</v>
      </c>
      <c r="F128" s="8" t="n">
        <f aca="false">E128-C128</f>
        <v>-18.9473684210526</v>
      </c>
      <c r="G128" s="9" t="n">
        <f aca="false">IF(AND(C128=0,E128=0),0,IF(C128=0,"New",(E128-C128)/C128))</f>
        <v>-0.157894736842105</v>
      </c>
      <c r="H128" s="8" t="n">
        <f aca="false">SUMIFS('Source'!$E:$E,'Source'!$A:$A,"160134 SUPER-PHARM HOLDING. SP.ZO.O",'Source'!$B:$B,$A128)</f>
        <v>2954.02</v>
      </c>
      <c r="I128" s="8" t="n">
        <f aca="false">SUMIFS('Source'!$G:$G,'Source'!$A:$A,"160134 SUPER-PHARM HOLDING. SP.ZO.O",'Source'!$B:$B,$A128)</f>
        <v>1809.24</v>
      </c>
      <c r="J128" s="8" t="n">
        <f aca="false">I128*$J$5</f>
        <v>2285.35578947368</v>
      </c>
      <c r="K128" s="8" t="n">
        <f aca="false">J128-H128</f>
        <v>-668.664210526316</v>
      </c>
      <c r="L128" s="9" t="n">
        <f aca="false">IF(AND(H128=0,J128=0),0,IF(H128=0,"New",(J128-H128)/H128))</f>
        <v>-0.226357374197303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580</v>
      </c>
      <c r="B129" s="7" t="str">
        <f aca="false">IFERROR(INDEX('Source'!$C:$C,MATCH($A129,'Source'!$B:$B,0)),"")</f>
        <v>מגן ברך רגיל</v>
      </c>
      <c r="C129" s="8" t="n">
        <f aca="false">SUMIFS('Source'!$D:$D,'Source'!$A:$A,"160134 SUPER-PHARM HOLDING. SP.ZO.O",'Source'!$B:$B,$A129)</f>
        <v>230</v>
      </c>
      <c r="D129" s="8" t="n">
        <f aca="false">SUMIFS('Source'!$F:$F,'Source'!$A:$A,"160134 SUPER-PHARM HOLDING. SP.ZO.O",'Source'!$B:$B,$A129)</f>
        <v>170</v>
      </c>
      <c r="E129" s="8" t="n">
        <f aca="false">D129*$J$5</f>
        <v>214.736842105263</v>
      </c>
      <c r="F129" s="8" t="n">
        <f aca="false">E129-C129</f>
        <v>-15.2631578947369</v>
      </c>
      <c r="G129" s="9" t="n">
        <f aca="false">IF(AND(C129=0,E129=0),0,IF(C129=0,"New",(E129-C129)/C129))</f>
        <v>-0.0663615560640733</v>
      </c>
      <c r="H129" s="8" t="n">
        <f aca="false">SUMIFS('Source'!$E:$E,'Source'!$A:$A,"160134 SUPER-PHARM HOLDING. SP.ZO.O",'Source'!$B:$B,$A129)</f>
        <v>3190.16</v>
      </c>
      <c r="I129" s="8" t="n">
        <f aca="false">SUMIFS('Source'!$G:$G,'Source'!$A:$A,"160134 SUPER-PHARM HOLDING. SP.ZO.O",'Source'!$B:$B,$A129)</f>
        <v>2112.98</v>
      </c>
      <c r="J129" s="8" t="n">
        <f aca="false">I129*$J$5</f>
        <v>2669.02736842105</v>
      </c>
      <c r="K129" s="8" t="n">
        <f aca="false">J129-H129</f>
        <v>-521.132631578947</v>
      </c>
      <c r="L129" s="9" t="n">
        <f aca="false">IF(AND(H129=0,J129=0),0,IF(H129=0,"New",(J129-H129)/H129))</f>
        <v>-0.16335626789219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572</v>
      </c>
      <c r="B130" s="7" t="str">
        <f aca="false">IFERROR(INDEX('Source'!$C:$C,MATCH($A130,'Source'!$B:$B,0)),"")</f>
        <v>מגן ברך רגיל</v>
      </c>
      <c r="C130" s="8" t="n">
        <f aca="false">SUMIFS('Source'!$D:$D,'Source'!$A:$A,"160134 SUPER-PHARM HOLDING. SP.ZO.O",'Source'!$B:$B,$A130)</f>
        <v>120</v>
      </c>
      <c r="D130" s="8" t="n">
        <f aca="false">SUMIFS('Source'!$F:$F,'Source'!$A:$A,"160134 SUPER-PHARM HOLDING. SP.ZO.O",'Source'!$B:$B,$A130)</f>
        <v>50</v>
      </c>
      <c r="E130" s="8" t="n">
        <f aca="false">D130*$J$5</f>
        <v>63.1578947368421</v>
      </c>
      <c r="F130" s="8" t="n">
        <f aca="false">E130-C130</f>
        <v>-56.8421052631579</v>
      </c>
      <c r="G130" s="9" t="n">
        <f aca="false">IF(AND(C130=0,E130=0),0,IF(C130=0,"New",(E130-C130)/C130))</f>
        <v>-0.473684210526316</v>
      </c>
      <c r="H130" s="8" t="n">
        <f aca="false">SUMIFS('Source'!$E:$E,'Source'!$A:$A,"160134 SUPER-PHARM HOLDING. SP.ZO.O",'Source'!$B:$B,$A130)</f>
        <v>1690.84</v>
      </c>
      <c r="I130" s="8" t="n">
        <f aca="false">SUMIFS('Source'!$G:$G,'Source'!$A:$A,"160134 SUPER-PHARM HOLDING. SP.ZO.O",'Source'!$B:$B,$A130)</f>
        <v>619.49</v>
      </c>
      <c r="J130" s="8" t="n">
        <f aca="false">I130*$J$5</f>
        <v>782.513684210526</v>
      </c>
      <c r="K130" s="8" t="n">
        <f aca="false">J130-H130</f>
        <v>-908.326315789474</v>
      </c>
      <c r="L130" s="9" t="n">
        <f aca="false">IF(AND(H130=0,J130=0),0,IF(H130=0,"New",(J130-H130)/H130))</f>
        <v>-0.537204180046293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522</v>
      </c>
      <c r="B131" s="7" t="str">
        <f aca="false">IFERROR(INDEX('Source'!$C:$C,MATCH($A131,'Source'!$B:$B,0)),"")</f>
        <v>מגן קרסול פתוח</v>
      </c>
      <c r="C131" s="8" t="n">
        <f aca="false">SUMIFS('Source'!$D:$D,'Source'!$A:$A,"160134 SUPER-PHARM HOLDING. SP.ZO.O",'Source'!$B:$B,$A131)</f>
        <v>130</v>
      </c>
      <c r="D131" s="8" t="n">
        <f aca="false">SUMIFS('Source'!$F:$F,'Source'!$A:$A,"160134 SUPER-PHARM HOLDING. SP.ZO.O",'Source'!$B:$B,$A131)</f>
        <v>60</v>
      </c>
      <c r="E131" s="8" t="n">
        <f aca="false">D131*$J$5</f>
        <v>75.7894736842105</v>
      </c>
      <c r="F131" s="8" t="n">
        <f aca="false">E131-C131</f>
        <v>-54.2105263157895</v>
      </c>
      <c r="G131" s="9" t="n">
        <f aca="false">IF(AND(C131=0,E131=0),0,IF(C131=0,"New",(E131-C131)/C131))</f>
        <v>-0.417004048582996</v>
      </c>
      <c r="H131" s="8" t="n">
        <f aca="false">SUMIFS('Source'!$E:$E,'Source'!$A:$A,"160134 SUPER-PHARM HOLDING. SP.ZO.O",'Source'!$B:$B,$A131)</f>
        <v>1745.61</v>
      </c>
      <c r="I131" s="8" t="n">
        <f aca="false">SUMIFS('Source'!$G:$G,'Source'!$A:$A,"160134 SUPER-PHARM HOLDING. SP.ZO.O",'Source'!$B:$B,$A131)</f>
        <v>709.19</v>
      </c>
      <c r="J131" s="8" t="n">
        <f aca="false">I131*$J$5</f>
        <v>895.818947368421</v>
      </c>
      <c r="K131" s="8" t="n">
        <f aca="false">J131-H131</f>
        <v>-849.791052631579</v>
      </c>
      <c r="L131" s="9" t="n">
        <f aca="false">IF(AND(H131=0,J131=0),0,IF(H131=0,"New",(J131-H131)/H131))</f>
        <v>-0.48681610017792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799</v>
      </c>
      <c r="B132" s="7" t="str">
        <f aca="false">IFERROR(INDEX('Source'!$C:$C,MATCH($A132,'Source'!$B:$B,0)),"")</f>
        <v>מגן מרפק</v>
      </c>
      <c r="C132" s="8" t="n">
        <f aca="false">SUMIFS('Source'!$D:$D,'Source'!$A:$A,"160134 SUPER-PHARM HOLDING. SP.ZO.O",'Source'!$B:$B,$A132)</f>
        <v>90</v>
      </c>
      <c r="D132" s="8" t="n">
        <f aca="false">SUMIFS('Source'!$F:$F,'Source'!$A:$A,"160134 SUPER-PHARM HOLDING. SP.ZO.O",'Source'!$B:$B,$A132)</f>
        <v>20</v>
      </c>
      <c r="E132" s="8" t="n">
        <f aca="false">D132*$J$5</f>
        <v>25.2631578947368</v>
      </c>
      <c r="F132" s="8" t="n">
        <f aca="false">E132-C132</f>
        <v>-64.7368421052632</v>
      </c>
      <c r="G132" s="9" t="n">
        <f aca="false">IF(AND(C132=0,E132=0),0,IF(C132=0,"New",(E132-C132)/C132))</f>
        <v>-0.719298245614035</v>
      </c>
      <c r="H132" s="8" t="n">
        <f aca="false">SUMIFS('Source'!$E:$E,'Source'!$A:$A,"160134 SUPER-PHARM HOLDING. SP.ZO.O",'Source'!$B:$B,$A132)</f>
        <v>1304.22</v>
      </c>
      <c r="I132" s="8" t="n">
        <f aca="false">SUMIFS('Source'!$G:$G,'Source'!$A:$A,"160134 SUPER-PHARM HOLDING. SP.ZO.O",'Source'!$B:$B,$A132)</f>
        <v>270.09</v>
      </c>
      <c r="J132" s="8" t="n">
        <f aca="false">I132*$J$5</f>
        <v>341.166315789474</v>
      </c>
      <c r="K132" s="8" t="n">
        <f aca="false">J132-H132</f>
        <v>-963.053684210526</v>
      </c>
      <c r="L132" s="9" t="n">
        <f aca="false">IF(AND(H132=0,J132=0),0,IF(H132=0,"New",(J132-H132)/H132))</f>
        <v>-0.738413522419934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605</v>
      </c>
      <c r="B133" s="7" t="str">
        <f aca="false">IFERROR(INDEX('Source'!$C:$C,MATCH($A133,'Source'!$B:$B,0)),"")</f>
        <v>מגן קרסול חום</v>
      </c>
      <c r="C133" s="8" t="n">
        <f aca="false">SUMIFS('Source'!$D:$D,'Source'!$A:$A,"160134 SUPER-PHARM HOLDING. SP.ZO.O",'Source'!$B:$B,$A133)</f>
        <v>180</v>
      </c>
      <c r="D133" s="8" t="n">
        <f aca="false">SUMIFS('Source'!$F:$F,'Source'!$A:$A,"160134 SUPER-PHARM HOLDING. SP.ZO.O",'Source'!$B:$B,$A133)</f>
        <v>120</v>
      </c>
      <c r="E133" s="8" t="n">
        <f aca="false">D133*$J$5</f>
        <v>151.578947368421</v>
      </c>
      <c r="F133" s="8" t="n">
        <f aca="false">E133-C133</f>
        <v>-28.421052631579</v>
      </c>
      <c r="G133" s="9" t="n">
        <f aca="false">IF(AND(C133=0,E133=0),0,IF(C133=0,"New",(E133-C133)/C133))</f>
        <v>-0.157894736842105</v>
      </c>
      <c r="H133" s="8" t="n">
        <f aca="false">SUMIFS('Source'!$E:$E,'Source'!$A:$A,"160134 SUPER-PHARM HOLDING. SP.ZO.O",'Source'!$B:$B,$A133)</f>
        <v>2442.63</v>
      </c>
      <c r="I133" s="8" t="n">
        <f aca="false">SUMIFS('Source'!$G:$G,'Source'!$A:$A,"160134 SUPER-PHARM HOLDING. SP.ZO.O",'Source'!$B:$B,$A133)</f>
        <v>1478.58</v>
      </c>
      <c r="J133" s="8" t="n">
        <f aca="false">I133*$J$5</f>
        <v>1867.68</v>
      </c>
      <c r="K133" s="8" t="n">
        <f aca="false">J133-H133</f>
        <v>-574.95</v>
      </c>
      <c r="L133" s="9" t="n">
        <f aca="false">IF(AND(H133=0,J133=0),0,IF(H133=0,"New",(J133-H133)/H133))</f>
        <v>-0.235381535476106</v>
      </c>
      <c r="M133" s="7" t="str">
        <f aca="false">IF(AND(OR(C133&lt;&gt;0,H133&lt;&gt;0),D133=0,I133=0),"DROP",IF(AND(OR(D133&lt;&gt;0,I133&lt;&gt;0),C133=0,H133=0),"NEW",""))</f>
        <v/>
      </c>
    </row>
    <row r="134" customFormat="false" ht="15" hidden="false" customHeight="false" outlineLevel="0" collapsed="false">
      <c r="A134" s="7" t="s">
        <v>777</v>
      </c>
      <c r="B134" s="7" t="str">
        <f aca="false">IFERROR(INDEX('Source'!$C:$C,MATCH($A134,'Source'!$B:$B,0)),"")</f>
        <v>מגן ברך חום</v>
      </c>
      <c r="C134" s="8" t="n">
        <f aca="false">SUMIFS('Source'!$D:$D,'Source'!$A:$A,"160134 SUPER-PHARM HOLDING. SP.ZO.O",'Source'!$B:$B,$A134)</f>
        <v>220</v>
      </c>
      <c r="D134" s="8" t="n">
        <f aca="false">SUMIFS('Source'!$F:$F,'Source'!$A:$A,"160134 SUPER-PHARM HOLDING. SP.ZO.O",'Source'!$B:$B,$A134)</f>
        <v>170</v>
      </c>
      <c r="E134" s="8" t="n">
        <f aca="false">D134*$J$5</f>
        <v>214.736842105263</v>
      </c>
      <c r="F134" s="8" t="n">
        <f aca="false">E134-C134</f>
        <v>-5.26315789473685</v>
      </c>
      <c r="G134" s="9" t="n">
        <f aca="false">IF(AND(C134=0,E134=0),0,IF(C134=0,"New",(E134-C134)/C134))</f>
        <v>-0.0239234449760766</v>
      </c>
      <c r="H134" s="8" t="n">
        <f aca="false">SUMIFS('Source'!$E:$E,'Source'!$A:$A,"160134 SUPER-PHARM HOLDING. SP.ZO.O",'Source'!$B:$B,$A134)</f>
        <v>3020</v>
      </c>
      <c r="I134" s="8" t="n">
        <f aca="false">SUMIFS('Source'!$G:$G,'Source'!$A:$A,"160134 SUPER-PHARM HOLDING. SP.ZO.O",'Source'!$B:$B,$A134)</f>
        <v>2078.4</v>
      </c>
      <c r="J134" s="8" t="n">
        <f aca="false">I134*$J$5</f>
        <v>2625.34736842105</v>
      </c>
      <c r="K134" s="8" t="n">
        <f aca="false">J134-H134</f>
        <v>-394.652631578947</v>
      </c>
      <c r="L134" s="9" t="n">
        <f aca="false">IF(AND(H134=0,J134=0),0,IF(H134=0,"New",(J134-H134)/H134))</f>
        <v>-0.130679679330777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658</v>
      </c>
      <c r="B135" s="7" t="str">
        <f aca="false">IFERROR(INDEX('Source'!$C:$C,MATCH($A135,'Source'!$B:$B,0)),"")</f>
        <v>מגן מרפק בז'</v>
      </c>
      <c r="C135" s="8" t="n">
        <f aca="false">SUMIFS('Source'!$D:$D,'Source'!$A:$A,"160134 SUPER-PHARM HOLDING. SP.ZO.O",'Source'!$B:$B,$A135)</f>
        <v>90</v>
      </c>
      <c r="D135" s="8" t="n">
        <f aca="false">SUMIFS('Source'!$F:$F,'Source'!$A:$A,"160134 SUPER-PHARM HOLDING. SP.ZO.O",'Source'!$B:$B,$A135)</f>
        <v>30</v>
      </c>
      <c r="E135" s="8" t="n">
        <f aca="false">D135*$J$5</f>
        <v>37.8947368421053</v>
      </c>
      <c r="F135" s="8" t="n">
        <f aca="false">E135-C135</f>
        <v>-52.1052631578947</v>
      </c>
      <c r="G135" s="9" t="n">
        <f aca="false">IF(AND(C135=0,E135=0),0,IF(C135=0,"New",(E135-C135)/C135))</f>
        <v>-0.578947368421053</v>
      </c>
      <c r="H135" s="8" t="n">
        <f aca="false">SUMIFS('Source'!$E:$E,'Source'!$A:$A,"160134 SUPER-PHARM HOLDING. SP.ZO.O",'Source'!$B:$B,$A135)</f>
        <v>1302.74</v>
      </c>
      <c r="I135" s="8" t="n">
        <f aca="false">SUMIFS('Source'!$G:$G,'Source'!$A:$A,"160134 SUPER-PHARM HOLDING. SP.ZO.O",'Source'!$B:$B,$A135)</f>
        <v>385.52</v>
      </c>
      <c r="J135" s="8" t="n">
        <f aca="false">I135*$J$5</f>
        <v>486.972631578947</v>
      </c>
      <c r="K135" s="8" t="n">
        <f aca="false">J135-H135</f>
        <v>-815.767368421053</v>
      </c>
      <c r="L135" s="9" t="n">
        <f aca="false">IF(AND(H135=0,J135=0),0,IF(H135=0,"New",(J135-H135)/H135))</f>
        <v>-0.626193537022777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469</v>
      </c>
      <c r="B136" s="7" t="str">
        <f aca="false">IFERROR(INDEX('Source'!$C:$C,MATCH($A136,'Source'!$B:$B,0)),"")</f>
        <v>מדרס מג'ל</v>
      </c>
      <c r="C136" s="8" t="n">
        <f aca="false">SUMIFS('Source'!$D:$D,'Source'!$A:$A,"160134 SUPER-PHARM HOLDING. SP.ZO.O",'Source'!$B:$B,$A136)</f>
        <v>320</v>
      </c>
      <c r="D136" s="8" t="n">
        <f aca="false">SUMIFS('Source'!$F:$F,'Source'!$A:$A,"160134 SUPER-PHARM HOLDING. SP.ZO.O",'Source'!$B:$B,$A136)</f>
        <v>320</v>
      </c>
      <c r="E136" s="8" t="n">
        <f aca="false">D136*$J$5</f>
        <v>404.21052631579</v>
      </c>
      <c r="F136" s="8" t="n">
        <f aca="false">E136-C136</f>
        <v>84.2105263157895</v>
      </c>
      <c r="G136" s="9" t="n">
        <f aca="false">IF(AND(C136=0,E136=0),0,IF(C136=0,"New",(E136-C136)/C136))</f>
        <v>0.263157894736842</v>
      </c>
      <c r="H136" s="8" t="n">
        <f aca="false">SUMIFS('Source'!$E:$E,'Source'!$A:$A,"160134 SUPER-PHARM HOLDING. SP.ZO.O",'Source'!$B:$B,$A136)</f>
        <v>11612.6</v>
      </c>
      <c r="I136" s="8" t="n">
        <f aca="false">SUMIFS('Source'!$G:$G,'Source'!$A:$A,"160134 SUPER-PHARM HOLDING. SP.ZO.O",'Source'!$B:$B,$A136)</f>
        <v>10705</v>
      </c>
      <c r="J136" s="8" t="n">
        <f aca="false">I136*$J$5</f>
        <v>13522.1052631579</v>
      </c>
      <c r="K136" s="8" t="n">
        <f aca="false">J136-H136</f>
        <v>1909.50526315789</v>
      </c>
      <c r="L136" s="9" t="n">
        <f aca="false">IF(AND(H136=0,J136=0),0,IF(H136=0,"New",(J136-H136)/H136))</f>
        <v>0.164433913435225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906</v>
      </c>
      <c r="B137" s="7" t="str">
        <f aca="false">IFERROR(INDEX('Source'!$C:$C,MATCH($A137,'Source'!$B:$B,0)),"")</f>
        <v>מדרס סיליקון לנעלי עקב</v>
      </c>
      <c r="C137" s="8" t="n">
        <f aca="false">SUMIFS('Source'!$D:$D,'Source'!$A:$A,"160134 SUPER-PHARM HOLDING. SP.ZO.O",'Source'!$B:$B,$A137)</f>
        <v>80</v>
      </c>
      <c r="D137" s="8" t="n">
        <f aca="false">SUMIFS('Source'!$F:$F,'Source'!$A:$A,"160134 SUPER-PHARM HOLDING. SP.ZO.O",'Source'!$B:$B,$A137)</f>
        <v>50</v>
      </c>
      <c r="E137" s="8" t="n">
        <f aca="false">D137*$J$5</f>
        <v>63.1578947368421</v>
      </c>
      <c r="F137" s="8" t="n">
        <f aca="false">E137-C137</f>
        <v>-16.8421052631579</v>
      </c>
      <c r="G137" s="9" t="n">
        <f aca="false">IF(AND(C137=0,E137=0),0,IF(C137=0,"New",(E137-C137)/C137))</f>
        <v>-0.210526315789474</v>
      </c>
      <c r="H137" s="8" t="n">
        <f aca="false">SUMIFS('Source'!$E:$E,'Source'!$A:$A,"160134 SUPER-PHARM HOLDING. SP.ZO.O",'Source'!$B:$B,$A137)</f>
        <v>2003.56</v>
      </c>
      <c r="I137" s="8" t="n">
        <f aca="false">SUMIFS('Source'!$G:$G,'Source'!$A:$A,"160134 SUPER-PHARM HOLDING. SP.ZO.O",'Source'!$B:$B,$A137)</f>
        <v>1108.46</v>
      </c>
      <c r="J137" s="8" t="n">
        <f aca="false">I137*$J$5</f>
        <v>1400.16</v>
      </c>
      <c r="K137" s="8" t="n">
        <f aca="false">J137-H137</f>
        <v>-603.4</v>
      </c>
      <c r="L137" s="9" t="n">
        <f aca="false">IF(AND(H137=0,J137=0),0,IF(H137=0,"New",(J137-H137)/H137))</f>
        <v>-0.30116392820779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801</v>
      </c>
      <c r="B138" s="7" t="str">
        <f aca="false">IFERROR(INDEX('Source'!$C:$C,MATCH($A138,'Source'!$B:$B,0)),"")</f>
        <v>מגן מרפק</v>
      </c>
      <c r="C138" s="8" t="n">
        <f aca="false">SUMIFS('Source'!$D:$D,'Source'!$A:$A,"160134 SUPER-PHARM HOLDING. SP.ZO.O",'Source'!$B:$B,$A138)</f>
        <v>90</v>
      </c>
      <c r="D138" s="8" t="n">
        <f aca="false">SUMIFS('Source'!$F:$F,'Source'!$A:$A,"160134 SUPER-PHARM HOLDING. SP.ZO.O",'Source'!$B:$B,$A138)</f>
        <v>40</v>
      </c>
      <c r="E138" s="8" t="n">
        <f aca="false">D138*$J$5</f>
        <v>50.5263157894737</v>
      </c>
      <c r="F138" s="8" t="n">
        <f aca="false">E138-C138</f>
        <v>-39.4736842105263</v>
      </c>
      <c r="G138" s="9" t="n">
        <f aca="false">IF(AND(C138=0,E138=0),0,IF(C138=0,"New",(E138-C138)/C138))</f>
        <v>-0.43859649122807</v>
      </c>
      <c r="H138" s="8" t="n">
        <f aca="false">SUMIFS('Source'!$E:$E,'Source'!$A:$A,"160134 SUPER-PHARM HOLDING. SP.ZO.O",'Source'!$B:$B,$A138)</f>
        <v>1296.79</v>
      </c>
      <c r="I138" s="8" t="n">
        <f aca="false">SUMIFS('Source'!$G:$G,'Source'!$A:$A,"160134 SUPER-PHARM HOLDING. SP.ZO.O",'Source'!$B:$B,$A138)</f>
        <v>520.31</v>
      </c>
      <c r="J138" s="8" t="n">
        <f aca="false">I138*$J$5</f>
        <v>657.233684210526</v>
      </c>
      <c r="K138" s="8" t="n">
        <f aca="false">J138-H138</f>
        <v>-639.556315789474</v>
      </c>
      <c r="L138" s="9" t="n">
        <f aca="false">IF(AND(H138=0,J138=0),0,IF(H138=0,"New",(J138-H138)/H138))</f>
        <v>-0.493184182319014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635</v>
      </c>
      <c r="B139" s="7" t="str">
        <f aca="false">IFERROR(INDEX('Source'!$C:$C,MATCH($A139,'Source'!$B:$B,0)),"")</f>
        <v>מגן קרסול חום</v>
      </c>
      <c r="C139" s="8" t="n">
        <f aca="false">SUMIFS('Source'!$D:$D,'Source'!$A:$A,"160134 SUPER-PHARM HOLDING. SP.ZO.O",'Source'!$B:$B,$A139)</f>
        <v>110</v>
      </c>
      <c r="D139" s="8" t="n">
        <f aca="false">SUMIFS('Source'!$F:$F,'Source'!$A:$A,"160134 SUPER-PHARM HOLDING. SP.ZO.O",'Source'!$B:$B,$A139)</f>
        <v>60</v>
      </c>
      <c r="E139" s="8" t="n">
        <f aca="false">D139*$J$5</f>
        <v>75.7894736842105</v>
      </c>
      <c r="F139" s="8" t="n">
        <f aca="false">E139-C139</f>
        <v>-34.2105263157895</v>
      </c>
      <c r="G139" s="9" t="n">
        <f aca="false">IF(AND(C139=0,E139=0),0,IF(C139=0,"New",(E139-C139)/C139))</f>
        <v>-0.311004784688995</v>
      </c>
      <c r="H139" s="8" t="n">
        <f aca="false">SUMIFS('Source'!$E:$E,'Source'!$A:$A,"160134 SUPER-PHARM HOLDING. SP.ZO.O",'Source'!$B:$B,$A139)</f>
        <v>1506.19</v>
      </c>
      <c r="I139" s="8" t="n">
        <f aca="false">SUMIFS('Source'!$G:$G,'Source'!$A:$A,"160134 SUPER-PHARM HOLDING. SP.ZO.O",'Source'!$B:$B,$A139)</f>
        <v>758.84</v>
      </c>
      <c r="J139" s="8" t="n">
        <f aca="false">I139*$J$5</f>
        <v>958.534736842105</v>
      </c>
      <c r="K139" s="8" t="n">
        <f aca="false">J139-H139</f>
        <v>-547.655263157895</v>
      </c>
      <c r="L139" s="9" t="n">
        <f aca="false">IF(AND(H139=0,J139=0),0,IF(H139=0,"New",(J139-H139)/H139))</f>
        <v>-0.363603040225931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907</v>
      </c>
      <c r="B140" s="7" t="str">
        <f aca="false">IFERROR(INDEX('Source'!$C:$C,MATCH($A140,'Source'!$B:$B,0)),"")</f>
        <v>ריפוד סיליקון לנעלי אצבע</v>
      </c>
      <c r="C140" s="8" t="n">
        <f aca="false">SUMIFS('Source'!$D:$D,'Source'!$A:$A,"160134 SUPER-PHARM HOLDING. SP.ZO.O",'Source'!$B:$B,$A140)</f>
        <v>100</v>
      </c>
      <c r="D140" s="8" t="n">
        <f aca="false">SUMIFS('Source'!$F:$F,'Source'!$A:$A,"160134 SUPER-PHARM HOLDING. SP.ZO.O",'Source'!$B:$B,$A140)</f>
        <v>80</v>
      </c>
      <c r="E140" s="8" t="n">
        <f aca="false">D140*$J$5</f>
        <v>101.052631578947</v>
      </c>
      <c r="F140" s="8" t="n">
        <f aca="false">E140-C140</f>
        <v>1.05263157894737</v>
      </c>
      <c r="G140" s="9" t="n">
        <f aca="false">IF(AND(C140=0,E140=0),0,IF(C140=0,"New",(E140-C140)/C140))</f>
        <v>0.0105263157894737</v>
      </c>
      <c r="H140" s="8" t="n">
        <f aca="false">SUMIFS('Source'!$E:$E,'Source'!$A:$A,"160134 SUPER-PHARM HOLDING. SP.ZO.O",'Source'!$B:$B,$A140)</f>
        <v>1421.76</v>
      </c>
      <c r="I140" s="8" t="n">
        <f aca="false">SUMIFS('Source'!$G:$G,'Source'!$A:$A,"160134 SUPER-PHARM HOLDING. SP.ZO.O",'Source'!$B:$B,$A140)</f>
        <v>1031.82</v>
      </c>
      <c r="J140" s="8" t="n">
        <f aca="false">I140*$J$5</f>
        <v>1303.35157894737</v>
      </c>
      <c r="K140" s="8" t="n">
        <f aca="false">J140-H140</f>
        <v>-118.408421052632</v>
      </c>
      <c r="L140" s="9" t="n">
        <f aca="false">IF(AND(H140=0,J140=0),0,IF(H140=0,"New",(J140-H140)/H140))</f>
        <v>-0.0832829880237393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401</v>
      </c>
      <c r="B141" s="7" t="str">
        <f aca="false">IFERROR(INDEX('Source'!$C:$C,MATCH($A141,'Source'!$B:$B,0)),"")</f>
        <v>מגן קרסול פתוח</v>
      </c>
      <c r="C141" s="8" t="n">
        <f aca="false">SUMIFS('Source'!$D:$D,'Source'!$A:$A,"160134 SUPER-PHARM HOLDING. SP.ZO.O",'Source'!$B:$B,$A141)</f>
        <v>90</v>
      </c>
      <c r="D141" s="8" t="n">
        <f aca="false">SUMIFS('Source'!$F:$F,'Source'!$A:$A,"160134 SUPER-PHARM HOLDING. SP.ZO.O",'Source'!$B:$B,$A141)</f>
        <v>70</v>
      </c>
      <c r="E141" s="8" t="n">
        <f aca="false">D141*$J$5</f>
        <v>88.421052631579</v>
      </c>
      <c r="F141" s="8" t="n">
        <f aca="false">E141-C141</f>
        <v>-1.57894736842105</v>
      </c>
      <c r="G141" s="9" t="n">
        <f aca="false">IF(AND(C141=0,E141=0),0,IF(C141=0,"New",(E141-C141)/C141))</f>
        <v>-0.0175438596491228</v>
      </c>
      <c r="H141" s="8" t="n">
        <f aca="false">SUMIFS('Source'!$E:$E,'Source'!$A:$A,"160134 SUPER-PHARM HOLDING. SP.ZO.O",'Source'!$B:$B,$A141)</f>
        <v>1217</v>
      </c>
      <c r="I141" s="8" t="n">
        <f aca="false">SUMIFS('Source'!$G:$G,'Source'!$A:$A,"160134 SUPER-PHARM HOLDING. SP.ZO.O",'Source'!$B:$B,$A141)</f>
        <v>840.1</v>
      </c>
      <c r="J141" s="8" t="n">
        <f aca="false">I141*$J$5</f>
        <v>1061.17894736842</v>
      </c>
      <c r="K141" s="8" t="n">
        <f aca="false">J141-H141</f>
        <v>-155.821052631579</v>
      </c>
      <c r="L141" s="9" t="n">
        <f aca="false">IF(AND(H141=0,J141=0),0,IF(H141=0,"New",(J141-H141)/H141))</f>
        <v>-0.128037019417896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738</v>
      </c>
      <c r="B142" s="7" t="str">
        <f aca="false">IFERROR(INDEX('Source'!$C:$C,MATCH($A142,'Source'!$B:$B,0)),"")</f>
        <v>גרבי חורף אנטיבקטריאלי לבן</v>
      </c>
      <c r="C142" s="8" t="n">
        <f aca="false">SUMIFS('Source'!$D:$D,'Source'!$A:$A,"160134 SUPER-PHARM HOLDING. SP.ZO.O",'Source'!$B:$B,$A142)</f>
        <v>1</v>
      </c>
      <c r="D142" s="8" t="n">
        <f aca="false">SUMIFS('Source'!$F:$F,'Source'!$A:$A,"160134 SUPER-PHARM HOLDING. SP.ZO.O",'Source'!$B:$B,$A142)</f>
        <v>0</v>
      </c>
      <c r="E142" s="8" t="n">
        <f aca="false">D142*$J$5</f>
        <v>0</v>
      </c>
      <c r="F142" s="8" t="n">
        <f aca="false">E142-C142</f>
        <v>-1</v>
      </c>
      <c r="G142" s="9" t="n">
        <f aca="false">IF(AND(C142=0,E142=0),0,IF(C142=0,"New",(E142-C142)/C142))</f>
        <v>-1</v>
      </c>
      <c r="H142" s="8" t="n">
        <f aca="false">SUMIFS('Source'!$E:$E,'Source'!$A:$A,"160134 SUPER-PHARM HOLDING. SP.ZO.O",'Source'!$B:$B,$A142)</f>
        <v>0.04</v>
      </c>
      <c r="I142" s="8" t="n">
        <f aca="false">SUMIFS('Source'!$G:$G,'Source'!$A:$A,"160134 SUPER-PHARM HOLDING. SP.ZO.O",'Source'!$B:$B,$A142)</f>
        <v>0</v>
      </c>
      <c r="J142" s="8" t="n">
        <f aca="false">I142*$J$5</f>
        <v>0</v>
      </c>
      <c r="K142" s="8" t="n">
        <f aca="false">J142-H142</f>
        <v>-0.04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153</v>
      </c>
      <c r="B143" s="7" t="str">
        <f aca="false">IFERROR(INDEX('Source'!$C:$C,MATCH($A143,'Source'!$B:$B,0)),"")</f>
        <v>גרבי קיץ אנטיבקטריאלי שחור</v>
      </c>
      <c r="C143" s="8" t="n">
        <f aca="false">SUMIFS('Source'!$D:$D,'Source'!$A:$A,"160134 SUPER-PHARM HOLDING. SP.ZO.O",'Source'!$B:$B,$A143)</f>
        <v>1</v>
      </c>
      <c r="D143" s="8" t="n">
        <f aca="false">SUMIFS('Source'!$F:$F,'Source'!$A:$A,"160134 SUPER-PHARM HOLDING. SP.ZO.O",'Source'!$B:$B,$A143)</f>
        <v>0</v>
      </c>
      <c r="E143" s="8" t="n">
        <f aca="false">D143*$J$5</f>
        <v>0</v>
      </c>
      <c r="F143" s="8" t="n">
        <f aca="false">E143-C143</f>
        <v>-1</v>
      </c>
      <c r="G143" s="9" t="n">
        <f aca="false">IF(AND(C143=0,E143=0),0,IF(C143=0,"New",(E143-C143)/C143))</f>
        <v>-1</v>
      </c>
      <c r="H143" s="8" t="n">
        <f aca="false">SUMIFS('Source'!$E:$E,'Source'!$A:$A,"160134 SUPER-PHARM HOLDING. SP.ZO.O",'Source'!$B:$B,$A143)</f>
        <v>0.04</v>
      </c>
      <c r="I143" s="8" t="n">
        <f aca="false">SUMIFS('Source'!$G:$G,'Source'!$A:$A,"160134 SUPER-PHARM HOLDING. SP.ZO.O",'Source'!$B:$B,$A143)</f>
        <v>0</v>
      </c>
      <c r="J143" s="8" t="n">
        <f aca="false">I143*$J$5</f>
        <v>0</v>
      </c>
      <c r="K143" s="8" t="n">
        <f aca="false">J143-H143</f>
        <v>-0.04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5" customFormat="false" ht="15" hidden="false" customHeight="false" outlineLevel="0" collapsed="false">
      <c r="A145" s="17"/>
      <c r="B145" s="18" t="s">
        <v>97</v>
      </c>
      <c r="C145" s="19" t="n">
        <f aca="false">SUM(C9:C143)</f>
        <v>48363</v>
      </c>
      <c r="D145" s="19" t="n">
        <f aca="false">SUM(D9:D143)</f>
        <v>28188</v>
      </c>
      <c r="E145" s="19" t="n">
        <f aca="false">SUM(E9:E143)</f>
        <v>35605.8947368421</v>
      </c>
      <c r="F145" s="19" t="n">
        <f aca="false">SUM(F9:F143)</f>
        <v>-12757.1052631579</v>
      </c>
      <c r="G145" s="20" t="n">
        <f aca="false">IF(C145=0,"N/A",F145/C145)</f>
        <v>-0.263778203650681</v>
      </c>
      <c r="H145" s="19" t="n">
        <f aca="false">SUM(H9:H143)</f>
        <v>902537.64</v>
      </c>
      <c r="I145" s="19" t="n">
        <f aca="false">SUM(I9:I143)</f>
        <v>474182.59</v>
      </c>
      <c r="J145" s="19" t="n">
        <f aca="false">SUM(J9:J143)</f>
        <v>598967.482105263</v>
      </c>
      <c r="K145" s="19" t="n">
        <f aca="false">SUM(K9:K143)</f>
        <v>-303570.157894737</v>
      </c>
      <c r="L145" s="20" t="n">
        <f aca="false">IF(H145=0,"N/A",K145/H145)</f>
        <v>-0.336351797909212</v>
      </c>
      <c r="M14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908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909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SUMPRODUCT(--(((C9:C119&lt;&gt;0)+(H9:H119&lt;&gt;0)&gt;0)*((D9:D119=0)*(I9:I119=0))))</f>
        <v>33</v>
      </c>
      <c r="C5" s="13" t="s">
        <v>47</v>
      </c>
      <c r="D5" s="14" t="n">
        <f aca="false">SUMPRODUCT(--(((D9:D119&lt;&gt;0)+(I9:I119&lt;&gt;0)&gt;0)*((C9:C119=0)*(H9:H119=0))))</f>
        <v>12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SUMPRODUCT(--(((C9:C119&lt;&gt;0)+(H9:H119&lt;&gt;0)&gt;0)*((D9:D119=0)*(I9:I119=0)))*C9:C119)</f>
        <v>563</v>
      </c>
      <c r="C6" s="13" t="s">
        <v>50</v>
      </c>
      <c r="D6" s="14" t="n">
        <f aca="false">SUMPRODUCT(--(((C9:C119&lt;&gt;0)+(H9:H119&lt;&gt;0)&gt;0)*((D9:D119=0)*(I9:I119=0)))*H9:H119)</f>
        <v>21452.36</v>
      </c>
      <c r="E6" s="13" t="s">
        <v>51</v>
      </c>
      <c r="F6" s="14" t="n">
        <f aca="false">SUMPRODUCT(--(((D9:D119&lt;&gt;0)+(I9:I119&lt;&gt;0)&gt;0)*((C9:C119=0)*(H9:H119=0)))*D9:D119)</f>
        <v>131</v>
      </c>
      <c r="G6" s="13" t="s">
        <v>52</v>
      </c>
      <c r="H6" s="14" t="n">
        <f aca="false">SUMPRODUCT(--(((D9:D119&lt;&gt;0)+(I9:I119&lt;&gt;0)&gt;0)*((C9:C119=0)*(H9:H119=0)))*I9:I119)</f>
        <v>4054.38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338</v>
      </c>
      <c r="B9" s="7" t="str">
        <f aca="false">IFERROR(INDEX('Source'!$C:$C,MATCH($A9,'Source'!$B:$B,0)),"")</f>
        <v>מגן ירך לאחר ניתוח</v>
      </c>
      <c r="C9" s="8" t="n">
        <f aca="false">SUMIFS('Source'!$D:$D,'Source'!$A:$A,"160351 ORTHO- PARTNER AG.",'Source'!$B:$B,$A9)</f>
        <v>961</v>
      </c>
      <c r="D9" s="8" t="n">
        <f aca="false">SUMIFS('Source'!$F:$F,'Source'!$A:$A,"160351 ORTHO- PARTNER AG.",'Source'!$B:$B,$A9)</f>
        <v>1595</v>
      </c>
      <c r="E9" s="8" t="n">
        <f aca="false">D9*$J$5</f>
        <v>2014.73684210526</v>
      </c>
      <c r="F9" s="8" t="n">
        <f aca="false">E9-C9</f>
        <v>1053.73684210526</v>
      </c>
      <c r="G9" s="9" t="n">
        <f aca="false">IF(AND(C9=0,E9=0),0,IF(C9=0,"New",(E9-C9)/C9))</f>
        <v>1.09650035598883</v>
      </c>
      <c r="H9" s="8" t="n">
        <f aca="false">SUMIFS('Source'!$E:$E,'Source'!$A:$A,"160351 ORTHO- PARTNER AG.",'Source'!$B:$B,$A9)</f>
        <v>56565.47</v>
      </c>
      <c r="I9" s="8" t="n">
        <f aca="false">SUMIFS('Source'!$G:$G,'Source'!$A:$A,"160351 ORTHO- PARTNER AG.",'Source'!$B:$B,$A9)</f>
        <v>88667.91</v>
      </c>
      <c r="J9" s="8" t="n">
        <f aca="false">I9*$J$5</f>
        <v>112001.570526316</v>
      </c>
      <c r="K9" s="8" t="n">
        <f aca="false">J9-H9</f>
        <v>55436.1005263158</v>
      </c>
      <c r="L9" s="9" t="n">
        <f aca="false">IF(AND(H9=0,J9=0),0,IF(H9=0,"New",(J9-H9)/H9))</f>
        <v>0.980034295239053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350</v>
      </c>
      <c r="B10" s="7" t="str">
        <f aca="false">IFERROR(INDEX('Source'!$C:$C,MATCH($A10,'Source'!$B:$B,0)),"")</f>
        <v>מגן ברך משופר עם צ</v>
      </c>
      <c r="C10" s="8" t="n">
        <f aca="false">SUMIFS('Source'!$D:$D,'Source'!$A:$A,"160351 ORTHO- PARTNER AG.",'Source'!$B:$B,$A10)</f>
        <v>252</v>
      </c>
      <c r="D10" s="8" t="n">
        <f aca="false">SUMIFS('Source'!$F:$F,'Source'!$A:$A,"160351 ORTHO- PARTNER AG.",'Source'!$B:$B,$A10)</f>
        <v>55</v>
      </c>
      <c r="E10" s="8" t="n">
        <f aca="false">D10*$J$5</f>
        <v>69.4736842105263</v>
      </c>
      <c r="F10" s="8" t="n">
        <f aca="false">E10-C10</f>
        <v>-182.526315789474</v>
      </c>
      <c r="G10" s="9" t="n">
        <f aca="false">IF(AND(C10=0,E10=0),0,IF(C10=0,"New",(E10-C10)/C10))</f>
        <v>-0.724310776942356</v>
      </c>
      <c r="H10" s="8" t="n">
        <f aca="false">SUMIFS('Source'!$E:$E,'Source'!$A:$A,"160351 ORTHO- PARTNER AG.",'Source'!$B:$B,$A10)</f>
        <v>29952.79</v>
      </c>
      <c r="I10" s="8" t="n">
        <f aca="false">SUMIFS('Source'!$G:$G,'Source'!$A:$A,"160351 ORTHO- PARTNER AG.",'Source'!$B:$B,$A10)</f>
        <v>6419.73</v>
      </c>
      <c r="J10" s="8" t="n">
        <f aca="false">I10*$J$5</f>
        <v>8109.13263157895</v>
      </c>
      <c r="K10" s="8" t="n">
        <f aca="false">J10-H10</f>
        <v>-21843.6573684211</v>
      </c>
      <c r="L10" s="9" t="n">
        <f aca="false">IF(AND(H10=0,J10=0),0,IF(H10=0,"New",(J10-H10)/H10))</f>
        <v>-0.729269539445943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420</v>
      </c>
      <c r="B11" s="7" t="str">
        <f aca="false">IFERROR(INDEX('Source'!$C:$C,MATCH($A11,'Source'!$B:$B,0)),"")</f>
        <v>מגן ירך לאחר ניתוח</v>
      </c>
      <c r="C11" s="8" t="n">
        <f aca="false">SUMIFS('Source'!$D:$D,'Source'!$A:$A,"160351 ORTHO- PARTNER AG.",'Source'!$B:$B,$A11)</f>
        <v>1201</v>
      </c>
      <c r="D11" s="8" t="n">
        <f aca="false">SUMIFS('Source'!$F:$F,'Source'!$A:$A,"160351 ORTHO- PARTNER AG.",'Source'!$B:$B,$A11)</f>
        <v>936</v>
      </c>
      <c r="E11" s="8" t="n">
        <f aca="false">D11*$J$5</f>
        <v>1182.31578947368</v>
      </c>
      <c r="F11" s="8" t="n">
        <f aca="false">E11-C11</f>
        <v>-18.6842105263158</v>
      </c>
      <c r="G11" s="9" t="n">
        <f aca="false">IF(AND(C11=0,E11=0),0,IF(C11=0,"New",(E11-C11)/C11))</f>
        <v>-0.0155572110960165</v>
      </c>
      <c r="H11" s="8" t="n">
        <f aca="false">SUMIFS('Source'!$E:$E,'Source'!$A:$A,"160351 ORTHO- PARTNER AG.",'Source'!$B:$B,$A11)</f>
        <v>71527.56</v>
      </c>
      <c r="I11" s="8" t="n">
        <f aca="false">SUMIFS('Source'!$G:$G,'Source'!$A:$A,"160351 ORTHO- PARTNER AG.",'Source'!$B:$B,$A11)</f>
        <v>51233.33</v>
      </c>
      <c r="J11" s="8" t="n">
        <f aca="false">I11*$J$5</f>
        <v>64715.7852631579</v>
      </c>
      <c r="K11" s="8" t="n">
        <f aca="false">J11-H11</f>
        <v>-6811.7747368421</v>
      </c>
      <c r="L11" s="9" t="n">
        <f aca="false">IF(AND(H11=0,J11=0),0,IF(H11=0,"New",(J11-H11)/H11))</f>
        <v>-0.095232868796896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335</v>
      </c>
      <c r="B12" s="7" t="str">
        <f aca="false">IFERROR(INDEX('Source'!$C:$C,MATCH($A12,'Source'!$B:$B,0)),"")</f>
        <v>מגן ברך משופר עם צ</v>
      </c>
      <c r="C12" s="8" t="n">
        <f aca="false">SUMIFS('Source'!$D:$D,'Source'!$A:$A,"160351 ORTHO- PARTNER AG.",'Source'!$B:$B,$A12)</f>
        <v>264</v>
      </c>
      <c r="D12" s="8" t="n">
        <f aca="false">SUMIFS('Source'!$F:$F,'Source'!$A:$A,"160351 ORTHO- PARTNER AG.",'Source'!$B:$B,$A12)</f>
        <v>115</v>
      </c>
      <c r="E12" s="8" t="n">
        <f aca="false">D12*$J$5</f>
        <v>145.263157894737</v>
      </c>
      <c r="F12" s="8" t="n">
        <f aca="false">E12-C12</f>
        <v>-118.736842105263</v>
      </c>
      <c r="G12" s="9" t="n">
        <f aca="false">IF(AND(C12=0,E12=0),0,IF(C12=0,"New",(E12-C12)/C12))</f>
        <v>-0.449760765550239</v>
      </c>
      <c r="H12" s="8" t="n">
        <f aca="false">SUMIFS('Source'!$E:$E,'Source'!$A:$A,"160351 ORTHO- PARTNER AG.",'Source'!$B:$B,$A12)</f>
        <v>31736.14</v>
      </c>
      <c r="I12" s="8" t="n">
        <f aca="false">SUMIFS('Source'!$G:$G,'Source'!$A:$A,"160351 ORTHO- PARTNER AG.",'Source'!$B:$B,$A12)</f>
        <v>12910.86</v>
      </c>
      <c r="J12" s="8" t="n">
        <f aca="false">I12*$J$5</f>
        <v>16308.4547368421</v>
      </c>
      <c r="K12" s="8" t="n">
        <f aca="false">J12-H12</f>
        <v>-15427.6852631579</v>
      </c>
      <c r="L12" s="9" t="n">
        <f aca="false">IF(AND(H12=0,J12=0),0,IF(H12=0,"New",(J12-H12)/H12))</f>
        <v>-0.486123557028608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241</v>
      </c>
      <c r="B13" s="7" t="str">
        <f aca="false">IFERROR(INDEX('Source'!$C:$C,MATCH($A13,'Source'!$B:$B,0)),"")</f>
        <v>מגן ברך משופר עם צ</v>
      </c>
      <c r="C13" s="8" t="n">
        <f aca="false">SUMIFS('Source'!$D:$D,'Source'!$A:$A,"160351 ORTHO- PARTNER AG.",'Source'!$B:$B,$A13)</f>
        <v>156</v>
      </c>
      <c r="D13" s="8" t="n">
        <f aca="false">SUMIFS('Source'!$F:$F,'Source'!$A:$A,"160351 ORTHO- PARTNER AG.",'Source'!$B:$B,$A13)</f>
        <v>66</v>
      </c>
      <c r="E13" s="8" t="n">
        <f aca="false">D13*$J$5</f>
        <v>83.3684210526316</v>
      </c>
      <c r="F13" s="8" t="n">
        <f aca="false">E13-C13</f>
        <v>-72.6315789473684</v>
      </c>
      <c r="G13" s="9" t="n">
        <f aca="false">IF(AND(C13=0,E13=0),0,IF(C13=0,"New",(E13-C13)/C13))</f>
        <v>-0.465587044534413</v>
      </c>
      <c r="H13" s="8" t="n">
        <f aca="false">SUMIFS('Source'!$E:$E,'Source'!$A:$A,"160351 ORTHO- PARTNER AG.",'Source'!$B:$B,$A13)</f>
        <v>19580.51</v>
      </c>
      <c r="I13" s="8" t="n">
        <f aca="false">SUMIFS('Source'!$G:$G,'Source'!$A:$A,"160351 ORTHO- PARTNER AG.",'Source'!$B:$B,$A13)</f>
        <v>7703.67</v>
      </c>
      <c r="J13" s="8" t="n">
        <f aca="false">I13*$J$5</f>
        <v>9730.95157894737</v>
      </c>
      <c r="K13" s="8" t="n">
        <f aca="false">J13-H13</f>
        <v>-9849.55842105263</v>
      </c>
      <c r="L13" s="9" t="n">
        <f aca="false">IF(AND(H13=0,J13=0),0,IF(H13=0,"New",(J13-H13)/H13))</f>
        <v>-0.503028696446243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910</v>
      </c>
      <c r="B14" s="7" t="str">
        <f aca="false">IFERROR(INDEX('Source'!$C:$C,MATCH($A14,'Source'!$B:$B,0)),"")</f>
        <v>מגן ברך משופר עם צ</v>
      </c>
      <c r="C14" s="8" t="n">
        <f aca="false">SUMIFS('Source'!$D:$D,'Source'!$A:$A,"160351 ORTHO- PARTNER AG.",'Source'!$B:$B,$A14)</f>
        <v>96</v>
      </c>
      <c r="D14" s="8" t="n">
        <f aca="false">SUMIFS('Source'!$F:$F,'Source'!$A:$A,"160351 ORTHO- PARTNER AG.",'Source'!$B:$B,$A14)</f>
        <v>22</v>
      </c>
      <c r="E14" s="8" t="n">
        <f aca="false">D14*$J$5</f>
        <v>27.7894736842105</v>
      </c>
      <c r="F14" s="8" t="n">
        <f aca="false">E14-C14</f>
        <v>-68.2105263157895</v>
      </c>
      <c r="G14" s="9" t="n">
        <f aca="false">IF(AND(C14=0,E14=0),0,IF(C14=0,"New",(E14-C14)/C14))</f>
        <v>-0.710526315789474</v>
      </c>
      <c r="H14" s="8" t="n">
        <f aca="false">SUMIFS('Source'!$E:$E,'Source'!$A:$A,"160351 ORTHO- PARTNER AG.",'Source'!$B:$B,$A14)</f>
        <v>11266.98</v>
      </c>
      <c r="I14" s="8" t="n">
        <f aca="false">SUMIFS('Source'!$G:$G,'Source'!$A:$A,"160351 ORTHO- PARTNER AG.",'Source'!$B:$B,$A14)</f>
        <v>2508.3</v>
      </c>
      <c r="J14" s="8" t="n">
        <f aca="false">I14*$J$5</f>
        <v>3168.37894736842</v>
      </c>
      <c r="K14" s="8" t="n">
        <f aca="false">J14-H14</f>
        <v>-8098.60105263158</v>
      </c>
      <c r="L14" s="9" t="n">
        <f aca="false">IF(AND(H14=0,J14=0),0,IF(H14=0,"New",(J14-H14)/H14))</f>
        <v>-0.718790754277684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803</v>
      </c>
      <c r="B15" s="7" t="str">
        <f aca="false">IFERROR(INDEX('Source'!$C:$C,MATCH($A15,'Source'!$B:$B,0)),"")</f>
        <v>מגן ברך משופר עם צ</v>
      </c>
      <c r="C15" s="8" t="n">
        <f aca="false">SUMIFS('Source'!$D:$D,'Source'!$A:$A,"160351 ORTHO- PARTNER AG.",'Source'!$B:$B,$A15)</f>
        <v>132</v>
      </c>
      <c r="D15" s="8" t="n">
        <f aca="false">SUMIFS('Source'!$F:$F,'Source'!$A:$A,"160351 ORTHO- PARTNER AG.",'Source'!$B:$B,$A15)</f>
        <v>66</v>
      </c>
      <c r="E15" s="8" t="n">
        <f aca="false">D15*$J$5</f>
        <v>83.3684210526316</v>
      </c>
      <c r="F15" s="8" t="n">
        <f aca="false">E15-C15</f>
        <v>-48.6315789473684</v>
      </c>
      <c r="G15" s="9" t="n">
        <f aca="false">IF(AND(C15=0,E15=0),0,IF(C15=0,"New",(E15-C15)/C15))</f>
        <v>-0.368421052631579</v>
      </c>
      <c r="H15" s="8" t="n">
        <f aca="false">SUMIFS('Source'!$E:$E,'Source'!$A:$A,"160351 ORTHO- PARTNER AG.",'Source'!$B:$B,$A15)</f>
        <v>16148.34</v>
      </c>
      <c r="I15" s="8" t="n">
        <f aca="false">SUMIFS('Source'!$G:$G,'Source'!$A:$A,"160351 ORTHO- PARTNER AG.",'Source'!$B:$B,$A15)</f>
        <v>7673.88</v>
      </c>
      <c r="J15" s="8" t="n">
        <f aca="false">I15*$J$5</f>
        <v>9693.32210526316</v>
      </c>
      <c r="K15" s="8" t="n">
        <f aca="false">J15-H15</f>
        <v>-6455.01789473684</v>
      </c>
      <c r="L15" s="9" t="n">
        <f aca="false">IF(AND(H15=0,J15=0),0,IF(H15=0,"New",(J15-H15)/H15))</f>
        <v>-0.399732597575778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626</v>
      </c>
      <c r="B16" s="7" t="str">
        <f aca="false">IFERROR(INDEX('Source'!$C:$C,MATCH($A16,'Source'!$B:$B,0)),"")</f>
        <v>חגורת בטן</v>
      </c>
      <c r="C16" s="8" t="n">
        <f aca="false">SUMIFS('Source'!$D:$D,'Source'!$A:$A,"160351 ORTHO- PARTNER AG.",'Source'!$B:$B,$A16)</f>
        <v>48</v>
      </c>
      <c r="D16" s="8" t="n">
        <f aca="false">SUMIFS('Source'!$F:$F,'Source'!$A:$A,"160351 ORTHO- PARTNER AG.",'Source'!$B:$B,$A16)</f>
        <v>190</v>
      </c>
      <c r="E16" s="8" t="n">
        <f aca="false">D16*$J$5</f>
        <v>240</v>
      </c>
      <c r="F16" s="8" t="n">
        <f aca="false">E16-C16</f>
        <v>192</v>
      </c>
      <c r="G16" s="9" t="n">
        <f aca="false">IF(AND(C16=0,E16=0),0,IF(C16=0,"New",(E16-C16)/C16))</f>
        <v>4</v>
      </c>
      <c r="H16" s="8" t="n">
        <f aca="false">SUMIFS('Source'!$E:$E,'Source'!$A:$A,"160351 ORTHO- PARTNER AG.",'Source'!$B:$B,$A16)</f>
        <v>2083.24</v>
      </c>
      <c r="I16" s="8" t="n">
        <f aca="false">SUMIFS('Source'!$G:$G,'Source'!$A:$A,"160351 ORTHO- PARTNER AG.",'Source'!$B:$B,$A16)</f>
        <v>8127.63</v>
      </c>
      <c r="J16" s="8" t="n">
        <f aca="false">I16*$J$5</f>
        <v>10266.48</v>
      </c>
      <c r="K16" s="8" t="n">
        <f aca="false">J16-H16</f>
        <v>8183.24</v>
      </c>
      <c r="L16" s="9" t="n">
        <f aca="false">IF(AND(H16=0,J16=0),0,IF(H16=0,"New",(J16-H16)/H16))</f>
        <v>3.92813118027688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911</v>
      </c>
      <c r="B17" s="7" t="str">
        <f aca="false">IFERROR(INDEX('Source'!$C:$C,MATCH($A17,'Source'!$B:$B,0)),"")</f>
        <v>מיתלה שרוול</v>
      </c>
      <c r="C17" s="8" t="n">
        <f aca="false">SUMIFS('Source'!$D:$D,'Source'!$A:$A,"160351 ORTHO- PARTNER AG.",'Source'!$B:$B,$A17)</f>
        <v>192</v>
      </c>
      <c r="D17" s="8" t="n">
        <f aca="false">SUMIFS('Source'!$F:$F,'Source'!$A:$A,"160351 ORTHO- PARTNER AG.",'Source'!$B:$B,$A17)</f>
        <v>140</v>
      </c>
      <c r="E17" s="8" t="n">
        <f aca="false">D17*$J$5</f>
        <v>176.842105263158</v>
      </c>
      <c r="F17" s="8" t="n">
        <f aca="false">E17-C17</f>
        <v>-15.1578947368421</v>
      </c>
      <c r="G17" s="9" t="n">
        <f aca="false">IF(AND(C17=0,E17=0),0,IF(C17=0,"New",(E17-C17)/C17))</f>
        <v>-0.0789473684210527</v>
      </c>
      <c r="H17" s="8" t="n">
        <f aca="false">SUMIFS('Source'!$E:$E,'Source'!$A:$A,"160351 ORTHO- PARTNER AG.",'Source'!$B:$B,$A17)</f>
        <v>17774.47</v>
      </c>
      <c r="I17" s="8" t="n">
        <f aca="false">SUMIFS('Source'!$G:$G,'Source'!$A:$A,"160351 ORTHO- PARTNER AG.",'Source'!$B:$B,$A17)</f>
        <v>12019.86</v>
      </c>
      <c r="J17" s="8" t="n">
        <f aca="false">I17*$J$5</f>
        <v>15182.9810526316</v>
      </c>
      <c r="K17" s="8" t="n">
        <f aca="false">J17-H17</f>
        <v>-2591.48894736843</v>
      </c>
      <c r="L17" s="9" t="n">
        <f aca="false">IF(AND(H17=0,J17=0),0,IF(H17=0,"New",(J17-H17)/H17))</f>
        <v>-0.14579838090072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564</v>
      </c>
      <c r="B18" s="7" t="str">
        <f aca="false">IFERROR(INDEX('Source'!$C:$C,MATCH($A18,'Source'!$B:$B,0)),"")</f>
        <v>מגן ירך לאחר ניתוח</v>
      </c>
      <c r="C18" s="8" t="n">
        <f aca="false">SUMIFS('Source'!$D:$D,'Source'!$A:$A,"160351 ORTHO- PARTNER AG.",'Source'!$B:$B,$A18)</f>
        <v>457</v>
      </c>
      <c r="D18" s="8" t="n">
        <f aca="false">SUMIFS('Source'!$F:$F,'Source'!$A:$A,"160351 ORTHO- PARTNER AG.",'Source'!$B:$B,$A18)</f>
        <v>550</v>
      </c>
      <c r="E18" s="8" t="n">
        <f aca="false">D18*$J$5</f>
        <v>694.736842105263</v>
      </c>
      <c r="F18" s="8" t="n">
        <f aca="false">E18-C18</f>
        <v>237.736842105263</v>
      </c>
      <c r="G18" s="9" t="n">
        <f aca="false">IF(AND(C18=0,E18=0),0,IF(C18=0,"New",(E18-C18)/C18))</f>
        <v>0.520211908326615</v>
      </c>
      <c r="H18" s="8" t="n">
        <f aca="false">SUMIFS('Source'!$E:$E,'Source'!$A:$A,"160351 ORTHO- PARTNER AG.",'Source'!$B:$B,$A18)</f>
        <v>26963.79</v>
      </c>
      <c r="I18" s="8" t="n">
        <f aca="false">SUMIFS('Source'!$G:$G,'Source'!$A:$A,"160351 ORTHO- PARTNER AG.",'Source'!$B:$B,$A18)</f>
        <v>31868.69</v>
      </c>
      <c r="J18" s="8" t="n">
        <f aca="false">I18*$J$5</f>
        <v>40255.1873684211</v>
      </c>
      <c r="K18" s="8" t="n">
        <f aca="false">J18-H18</f>
        <v>13291.3973684211</v>
      </c>
      <c r="L18" s="9" t="n">
        <f aca="false">IF(AND(H18=0,J18=0),0,IF(H18=0,"New",(J18-H18)/H18))</f>
        <v>0.492935057290576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311</v>
      </c>
      <c r="B19" s="7" t="str">
        <f aca="false">IFERROR(INDEX('Source'!$C:$C,MATCH($A19,'Source'!$B:$B,0)),"")</f>
        <v>מגן ברך + צירים</v>
      </c>
      <c r="C19" s="8" t="n">
        <f aca="false">SUMIFS('Source'!$D:$D,'Source'!$A:$A,"160351 ORTHO- PARTNER AG.",'Source'!$B:$B,$A19)</f>
        <v>24</v>
      </c>
      <c r="D19" s="8" t="n">
        <f aca="false">SUMIFS('Source'!$F:$F,'Source'!$A:$A,"160351 ORTHO- PARTNER AG.",'Source'!$B:$B,$A19)</f>
        <v>117</v>
      </c>
      <c r="E19" s="8" t="n">
        <f aca="false">D19*$J$5</f>
        <v>147.789473684211</v>
      </c>
      <c r="F19" s="8" t="n">
        <f aca="false">E19-C19</f>
        <v>123.789473684211</v>
      </c>
      <c r="G19" s="9" t="n">
        <f aca="false">IF(AND(C19=0,E19=0),0,IF(C19=0,"New",(E19-C19)/C19))</f>
        <v>5.15789473684211</v>
      </c>
      <c r="H19" s="8" t="n">
        <f aca="false">SUMIFS('Source'!$E:$E,'Source'!$A:$A,"160351 ORTHO- PARTNER AG.",'Source'!$B:$B,$A19)</f>
        <v>1177.97</v>
      </c>
      <c r="I19" s="8" t="n">
        <f aca="false">SUMIFS('Source'!$G:$G,'Source'!$A:$A,"160351 ORTHO- PARTNER AG.",'Source'!$B:$B,$A19)</f>
        <v>5965.53</v>
      </c>
      <c r="J19" s="8" t="n">
        <f aca="false">I19*$J$5</f>
        <v>7535.40631578947</v>
      </c>
      <c r="K19" s="8" t="n">
        <f aca="false">J19-H19</f>
        <v>6357.43631578947</v>
      </c>
      <c r="L19" s="9" t="n">
        <f aca="false">IF(AND(H19=0,J19=0),0,IF(H19=0,"New",(J19-H19)/H19))</f>
        <v>5.39694246524909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325</v>
      </c>
      <c r="B20" s="7" t="str">
        <f aca="false">IFERROR(INDEX('Source'!$C:$C,MATCH($A20,'Source'!$B:$B,0)),"")</f>
        <v>חגורת בטן</v>
      </c>
      <c r="C20" s="8" t="n">
        <f aca="false">SUMIFS('Source'!$D:$D,'Source'!$A:$A,"160351 ORTHO- PARTNER AG.",'Source'!$B:$B,$A20)</f>
        <v>24</v>
      </c>
      <c r="D20" s="8" t="n">
        <f aca="false">SUMIFS('Source'!$F:$F,'Source'!$A:$A,"160351 ORTHO- PARTNER AG.",'Source'!$B:$B,$A20)</f>
        <v>134</v>
      </c>
      <c r="E20" s="8" t="n">
        <f aca="false">D20*$J$5</f>
        <v>169.263157894737</v>
      </c>
      <c r="F20" s="8" t="n">
        <f aca="false">E20-C20</f>
        <v>145.263157894737</v>
      </c>
      <c r="G20" s="9" t="n">
        <f aca="false">IF(AND(C20=0,E20=0),0,IF(C20=0,"New",(E20-C20)/C20))</f>
        <v>6.05263157894737</v>
      </c>
      <c r="H20" s="8" t="n">
        <f aca="false">SUMIFS('Source'!$E:$E,'Source'!$A:$A,"160351 ORTHO- PARTNER AG.",'Source'!$B:$B,$A20)</f>
        <v>1046.86</v>
      </c>
      <c r="I20" s="8" t="n">
        <f aca="false">SUMIFS('Source'!$G:$G,'Source'!$A:$A,"160351 ORTHO- PARTNER AG.",'Source'!$B:$B,$A20)</f>
        <v>5745.53</v>
      </c>
      <c r="J20" s="8" t="n">
        <f aca="false">I20*$J$5</f>
        <v>7257.51157894737</v>
      </c>
      <c r="K20" s="8" t="n">
        <f aca="false">J20-H20</f>
        <v>6210.65157894737</v>
      </c>
      <c r="L20" s="9" t="n">
        <f aca="false">IF(AND(H20=0,J20=0),0,IF(H20=0,"New",(J20-H20)/H20))</f>
        <v>5.93264770737956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912</v>
      </c>
      <c r="B21" s="7" t="str">
        <f aca="false">IFERROR(INDEX('Source'!$C:$C,MATCH($A21,'Source'!$B:$B,0)),"")</f>
        <v>מגן ירך לאחר ניתוח</v>
      </c>
      <c r="C21" s="8" t="n">
        <f aca="false">SUMIFS('Source'!$D:$D,'Source'!$A:$A,"160351 ORTHO- PARTNER AG.",'Source'!$B:$B,$A21)</f>
        <v>97</v>
      </c>
      <c r="D21" s="8" t="n">
        <f aca="false">SUMIFS('Source'!$F:$F,'Source'!$A:$A,"160351 ORTHO- PARTNER AG.",'Source'!$B:$B,$A21)</f>
        <v>22</v>
      </c>
      <c r="E21" s="8" t="n">
        <f aca="false">D21*$J$5</f>
        <v>27.7894736842105</v>
      </c>
      <c r="F21" s="8" t="n">
        <f aca="false">E21-C21</f>
        <v>-69.2105263157895</v>
      </c>
      <c r="G21" s="9" t="n">
        <f aca="false">IF(AND(C21=0,E21=0),0,IF(C21=0,"New",(E21-C21)/C21))</f>
        <v>-0.713510580575149</v>
      </c>
      <c r="H21" s="8" t="n">
        <f aca="false">SUMIFS('Source'!$E:$E,'Source'!$A:$A,"160351 ORTHO- PARTNER AG.",'Source'!$B:$B,$A21)</f>
        <v>5547.16</v>
      </c>
      <c r="I21" s="8" t="n">
        <f aca="false">SUMIFS('Source'!$G:$G,'Source'!$A:$A,"160351 ORTHO- PARTNER AG.",'Source'!$B:$B,$A21)</f>
        <v>1299.26</v>
      </c>
      <c r="J21" s="8" t="n">
        <f aca="false">I21*$J$5</f>
        <v>1641.17052631579</v>
      </c>
      <c r="K21" s="8" t="n">
        <f aca="false">J21-H21</f>
        <v>-3905.98947368421</v>
      </c>
      <c r="L21" s="9" t="n">
        <f aca="false">IF(AND(H21=0,J21=0),0,IF(H21=0,"New",(J21-H21)/H21))</f>
        <v>-0.704142204963299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913</v>
      </c>
      <c r="B22" s="7" t="str">
        <f aca="false">IFERROR(INDEX('Source'!$C:$C,MATCH($A22,'Source'!$B:$B,0)),"")</f>
        <v>מיתלה שרוול</v>
      </c>
      <c r="C22" s="8" t="n">
        <f aca="false">SUMIFS('Source'!$D:$D,'Source'!$A:$A,"160351 ORTHO- PARTNER AG.",'Source'!$B:$B,$A22)</f>
        <v>144</v>
      </c>
      <c r="D22" s="8" t="n">
        <f aca="false">SUMIFS('Source'!$F:$F,'Source'!$A:$A,"160351 ORTHO- PARTNER AG.",'Source'!$B:$B,$A22)</f>
        <v>115</v>
      </c>
      <c r="E22" s="8" t="n">
        <f aca="false">D22*$J$5</f>
        <v>145.263157894737</v>
      </c>
      <c r="F22" s="8" t="n">
        <f aca="false">E22-C22</f>
        <v>1.26315789473682</v>
      </c>
      <c r="G22" s="9" t="n">
        <f aca="false">IF(AND(C22=0,E22=0),0,IF(C22=0,"New",(E22-C22)/C22))</f>
        <v>0.00877192982456126</v>
      </c>
      <c r="H22" s="8" t="n">
        <f aca="false">SUMIFS('Source'!$E:$E,'Source'!$A:$A,"160351 ORTHO- PARTNER AG.",'Source'!$B:$B,$A22)</f>
        <v>13547.77</v>
      </c>
      <c r="I22" s="8" t="n">
        <f aca="false">SUMIFS('Source'!$G:$G,'Source'!$A:$A,"160351 ORTHO- PARTNER AG.",'Source'!$B:$B,$A22)</f>
        <v>10036.64</v>
      </c>
      <c r="J22" s="8" t="n">
        <f aca="false">I22*$J$5</f>
        <v>12677.8610526316</v>
      </c>
      <c r="K22" s="8" t="n">
        <f aca="false">J22-H22</f>
        <v>-869.90894736842</v>
      </c>
      <c r="L22" s="9" t="n">
        <f aca="false">IF(AND(H22=0,J22=0),0,IF(H22=0,"New",(J22-H22)/H22))</f>
        <v>-0.0642104897978354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797</v>
      </c>
      <c r="B23" s="7" t="str">
        <f aca="false">IFERROR(INDEX('Source'!$C:$C,MATCH($A23,'Source'!$B:$B,0)),"")</f>
        <v>חגורת בטן</v>
      </c>
      <c r="C23" s="8" t="n">
        <f aca="false">SUMIFS('Source'!$D:$D,'Source'!$A:$A,"160351 ORTHO- PARTNER AG.",'Source'!$B:$B,$A23)</f>
        <v>96</v>
      </c>
      <c r="D23" s="8" t="n">
        <f aca="false">SUMIFS('Source'!$F:$F,'Source'!$A:$A,"160351 ORTHO- PARTNER AG.",'Source'!$B:$B,$A23)</f>
        <v>165</v>
      </c>
      <c r="E23" s="8" t="n">
        <f aca="false">D23*$J$5</f>
        <v>208.421052631579</v>
      </c>
      <c r="F23" s="8" t="n">
        <f aca="false">E23-C23</f>
        <v>112.421052631579</v>
      </c>
      <c r="G23" s="9" t="n">
        <f aca="false">IF(AND(C23=0,E23=0),0,IF(C23=0,"New",(E23-C23)/C23))</f>
        <v>1.17105263157895</v>
      </c>
      <c r="H23" s="8" t="n">
        <f aca="false">SUMIFS('Source'!$E:$E,'Source'!$A:$A,"160351 ORTHO- PARTNER AG.",'Source'!$B:$B,$A23)</f>
        <v>4293.24</v>
      </c>
      <c r="I23" s="8" t="n">
        <f aca="false">SUMIFS('Source'!$G:$G,'Source'!$A:$A,"160351 ORTHO- PARTNER AG.",'Source'!$B:$B,$A23)</f>
        <v>7168.64</v>
      </c>
      <c r="J23" s="8" t="n">
        <f aca="false">I23*$J$5</f>
        <v>9055.12421052632</v>
      </c>
      <c r="K23" s="8" t="n">
        <f aca="false">J23-H23</f>
        <v>4761.88421052632</v>
      </c>
      <c r="L23" s="9" t="n">
        <f aca="false">IF(AND(H23=0,J23=0),0,IF(H23=0,"New",(J23-H23)/H23))</f>
        <v>1.10915863322952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914</v>
      </c>
      <c r="B24" s="7" t="str">
        <f aca="false">IFERROR(INDEX('Source'!$C:$C,MATCH($A24,'Source'!$B:$B,0)),"")</f>
        <v>צוארון ספוגי צבע</v>
      </c>
      <c r="C24" s="8" t="n">
        <f aca="false">SUMIFS('Source'!$D:$D,'Source'!$A:$A,"160351 ORTHO- PARTNER AG.",'Source'!$B:$B,$A24)</f>
        <v>96</v>
      </c>
      <c r="D24" s="8" t="n">
        <f aca="false">SUMIFS('Source'!$F:$F,'Source'!$A:$A,"160351 ORTHO- PARTNER AG.",'Source'!$B:$B,$A24)</f>
        <v>0</v>
      </c>
      <c r="E24" s="8" t="n">
        <f aca="false">D24*$J$5</f>
        <v>0</v>
      </c>
      <c r="F24" s="8" t="n">
        <f aca="false">E24-C24</f>
        <v>-96</v>
      </c>
      <c r="G24" s="9" t="n">
        <f aca="false">IF(AND(C24=0,E24=0),0,IF(C24=0,"New",(E24-C24)/C24))</f>
        <v>-1</v>
      </c>
      <c r="H24" s="8" t="n">
        <f aca="false">SUMIFS('Source'!$E:$E,'Source'!$A:$A,"160351 ORTHO- PARTNER AG.",'Source'!$B:$B,$A24)</f>
        <v>2423.08</v>
      </c>
      <c r="I24" s="8" t="n">
        <f aca="false">SUMIFS('Source'!$G:$G,'Source'!$A:$A,"160351 ORTHO- PARTNER AG.",'Source'!$B:$B,$A24)</f>
        <v>0</v>
      </c>
      <c r="J24" s="8" t="n">
        <f aca="false">I24*$J$5</f>
        <v>0</v>
      </c>
      <c r="K24" s="8" t="n">
        <f aca="false">J24-H24</f>
        <v>-2423.08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346</v>
      </c>
      <c r="B25" s="7" t="str">
        <f aca="false">IFERROR(INDEX('Source'!$C:$C,MATCH($A25,'Source'!$B:$B,0)),"")</f>
        <v>חגורה למנותחי בטן</v>
      </c>
      <c r="C25" s="8" t="n">
        <f aca="false">SUMIFS('Source'!$D:$D,'Source'!$A:$A,"160351 ORTHO- PARTNER AG.",'Source'!$B:$B,$A25)</f>
        <v>84</v>
      </c>
      <c r="D25" s="8" t="n">
        <f aca="false">SUMIFS('Source'!$F:$F,'Source'!$A:$A,"160351 ORTHO- PARTNER AG.",'Source'!$B:$B,$A25)</f>
        <v>44</v>
      </c>
      <c r="E25" s="8" t="n">
        <f aca="false">D25*$J$5</f>
        <v>55.5789473684211</v>
      </c>
      <c r="F25" s="8" t="n">
        <f aca="false">E25-C25</f>
        <v>-28.421052631579</v>
      </c>
      <c r="G25" s="9" t="n">
        <f aca="false">IF(AND(C25=0,E25=0),0,IF(C25=0,"New",(E25-C25)/C25))</f>
        <v>-0.338345864661654</v>
      </c>
      <c r="H25" s="8" t="n">
        <f aca="false">SUMIFS('Source'!$E:$E,'Source'!$A:$A,"160351 ORTHO- PARTNER AG.",'Source'!$B:$B,$A25)</f>
        <v>4705.74</v>
      </c>
      <c r="I25" s="8" t="n">
        <f aca="false">SUMIFS('Source'!$G:$G,'Source'!$A:$A,"160351 ORTHO- PARTNER AG.",'Source'!$B:$B,$A25)</f>
        <v>2323.35</v>
      </c>
      <c r="J25" s="8" t="n">
        <f aca="false">I25*$J$5</f>
        <v>2934.75789473684</v>
      </c>
      <c r="K25" s="8" t="n">
        <f aca="false">J25-H25</f>
        <v>-1770.98210526316</v>
      </c>
      <c r="L25" s="9" t="n">
        <f aca="false">IF(AND(H25=0,J25=0),0,IF(H25=0,"New",(J25-H25)/H25))</f>
        <v>-0.376345081807146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576</v>
      </c>
      <c r="B26" s="7" t="str">
        <f aca="false">IFERROR(INDEX('Source'!$C:$C,MATCH($A26,'Source'!$B:$B,0)),"")</f>
        <v>חגורת בטן</v>
      </c>
      <c r="C26" s="8" t="n">
        <f aca="false">SUMIFS('Source'!$D:$D,'Source'!$A:$A,"160351 ORTHO- PARTNER AG.",'Source'!$B:$B,$A26)</f>
        <v>0</v>
      </c>
      <c r="D26" s="8" t="n">
        <f aca="false">SUMIFS('Source'!$F:$F,'Source'!$A:$A,"160351 ORTHO- PARTNER AG.",'Source'!$B:$B,$A26)</f>
        <v>55</v>
      </c>
      <c r="E26" s="8" t="n">
        <f aca="false">D26*$J$5</f>
        <v>69.4736842105263</v>
      </c>
      <c r="F26" s="8" t="n">
        <f aca="false">E26-C26</f>
        <v>69.4736842105263</v>
      </c>
      <c r="G26" s="9" t="str">
        <f aca="false">IF(AND(C26=0,E26=0),0,IF(C26=0,"New",(E26-C26)/C26))</f>
        <v>New</v>
      </c>
      <c r="H26" s="8" t="n">
        <f aca="false">SUMIFS('Source'!$E:$E,'Source'!$A:$A,"160351 ORTHO- PARTNER AG.",'Source'!$B:$B,$A26)</f>
        <v>0</v>
      </c>
      <c r="I26" s="8" t="n">
        <f aca="false">SUMIFS('Source'!$G:$G,'Source'!$A:$A,"160351 ORTHO- PARTNER AG.",'Source'!$B:$B,$A26)</f>
        <v>2376.88</v>
      </c>
      <c r="J26" s="8" t="n">
        <f aca="false">I26*$J$5</f>
        <v>3002.37473684211</v>
      </c>
      <c r="K26" s="8" t="n">
        <f aca="false">J26-H26</f>
        <v>3002.37473684211</v>
      </c>
      <c r="L26" s="9" t="str">
        <f aca="false">IF(AND(H26=0,J26=0),0,IF(H26=0,"New",(J26-H26)/H26))</f>
        <v>New</v>
      </c>
      <c r="M26" s="7" t="str">
        <f aca="false">IF(AND(OR(C26&lt;&gt;0,H26&lt;&gt;0),D26=0,I26=0),"DROP",IF(AND(OR(D26&lt;&gt;0,I26&lt;&gt;0),C26=0,H26=0),"NEW",""))</f>
        <v>NEW</v>
      </c>
    </row>
    <row r="27" customFormat="false" ht="15" hidden="false" customHeight="false" outlineLevel="0" collapsed="false">
      <c r="A27" s="7" t="s">
        <v>915</v>
      </c>
      <c r="B27" s="7" t="str">
        <f aca="false">IFERROR(INDEX('Source'!$C:$C,MATCH($A27,'Source'!$B:$B,0)),"")</f>
        <v>מגן ברך + כרית סיליקון+ רצועות</v>
      </c>
      <c r="C27" s="8" t="n">
        <f aca="false">SUMIFS('Source'!$D:$D,'Source'!$A:$A,"160351 ORTHO- PARTNER AG.",'Source'!$B:$B,$A27)</f>
        <v>24</v>
      </c>
      <c r="D27" s="8" t="n">
        <f aca="false">SUMIFS('Source'!$F:$F,'Source'!$A:$A,"160351 ORTHO- PARTNER AG.",'Source'!$B:$B,$A27)</f>
        <v>0</v>
      </c>
      <c r="E27" s="8" t="n">
        <f aca="false">D27*$J$5</f>
        <v>0</v>
      </c>
      <c r="F27" s="8" t="n">
        <f aca="false">E27-C27</f>
        <v>-24</v>
      </c>
      <c r="G27" s="9" t="n">
        <f aca="false">IF(AND(C27=0,E27=0),0,IF(C27=0,"New",(E27-C27)/C27))</f>
        <v>-1</v>
      </c>
      <c r="H27" s="8" t="n">
        <f aca="false">SUMIFS('Source'!$E:$E,'Source'!$A:$A,"160351 ORTHO- PARTNER AG.",'Source'!$B:$B,$A27)</f>
        <v>2317.29</v>
      </c>
      <c r="I27" s="8" t="n">
        <f aca="false">SUMIFS('Source'!$G:$G,'Source'!$A:$A,"160351 ORTHO- PARTNER AG.",'Source'!$B:$B,$A27)</f>
        <v>0</v>
      </c>
      <c r="J27" s="8" t="n">
        <f aca="false">I27*$J$5</f>
        <v>0</v>
      </c>
      <c r="K27" s="8" t="n">
        <f aca="false">J27-H27</f>
        <v>-2317.29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916</v>
      </c>
      <c r="B28" s="7" t="str">
        <f aca="false">IFERROR(INDEX('Source'!$C:$C,MATCH($A28,'Source'!$B:$B,0)),"")</f>
        <v>מכשיר ליצוב הבוהן</v>
      </c>
      <c r="C28" s="8" t="n">
        <f aca="false">SUMIFS('Source'!$D:$D,'Source'!$A:$A,"160351 ORTHO- PARTNER AG.",'Source'!$B:$B,$A28)</f>
        <v>48</v>
      </c>
      <c r="D28" s="8" t="n">
        <f aca="false">SUMIFS('Source'!$F:$F,'Source'!$A:$A,"160351 ORTHO- PARTNER AG.",'Source'!$B:$B,$A28)</f>
        <v>123</v>
      </c>
      <c r="E28" s="8" t="n">
        <f aca="false">D28*$J$5</f>
        <v>155.368421052632</v>
      </c>
      <c r="F28" s="8" t="n">
        <f aca="false">E28-C28</f>
        <v>107.368421052632</v>
      </c>
      <c r="G28" s="9" t="n">
        <f aca="false">IF(AND(C28=0,E28=0),0,IF(C28=0,"New",(E28-C28)/C28))</f>
        <v>2.23684210526316</v>
      </c>
      <c r="H28" s="8" t="n">
        <f aca="false">SUMIFS('Source'!$E:$E,'Source'!$A:$A,"160351 ORTHO- PARTNER AG.",'Source'!$B:$B,$A28)</f>
        <v>1587.63</v>
      </c>
      <c r="I28" s="8" t="n">
        <f aca="false">SUMIFS('Source'!$G:$G,'Source'!$A:$A,"160351 ORTHO- PARTNER AG.",'Source'!$B:$B,$A28)</f>
        <v>3755.85</v>
      </c>
      <c r="J28" s="8" t="n">
        <f aca="false">I28*$J$5</f>
        <v>4744.23157894737</v>
      </c>
      <c r="K28" s="8" t="n">
        <f aca="false">J28-H28</f>
        <v>3156.60157894737</v>
      </c>
      <c r="L28" s="9" t="n">
        <f aca="false">IF(AND(H28=0,J28=0),0,IF(H28=0,"New",(J28-H28)/H28))</f>
        <v>1.98824762630296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128</v>
      </c>
      <c r="B29" s="7" t="str">
        <f aca="false">IFERROR(INDEX('Source'!$C:$C,MATCH($A29,'Source'!$B:$B,0)),"")</f>
        <v>תומך ברך גנושילד</v>
      </c>
      <c r="C29" s="8" t="n">
        <f aca="false">SUMIFS('Source'!$D:$D,'Source'!$A:$A,"160351 ORTHO- PARTNER AG.",'Source'!$B:$B,$A29)</f>
        <v>6</v>
      </c>
      <c r="D29" s="8" t="n">
        <f aca="false">SUMIFS('Source'!$F:$F,'Source'!$A:$A,"160351 ORTHO- PARTNER AG.",'Source'!$B:$B,$A29)</f>
        <v>30</v>
      </c>
      <c r="E29" s="8" t="n">
        <f aca="false">D29*$J$5</f>
        <v>37.8947368421053</v>
      </c>
      <c r="F29" s="8" t="n">
        <f aca="false">E29-C29</f>
        <v>31.8947368421053</v>
      </c>
      <c r="G29" s="9" t="n">
        <f aca="false">IF(AND(C29=0,E29=0),0,IF(C29=0,"New",(E29-C29)/C29))</f>
        <v>5.31578947368421</v>
      </c>
      <c r="H29" s="8" t="n">
        <f aca="false">SUMIFS('Source'!$E:$E,'Source'!$A:$A,"160351 ORTHO- PARTNER AG.",'Source'!$B:$B,$A29)</f>
        <v>524.69</v>
      </c>
      <c r="I29" s="8" t="n">
        <f aca="false">SUMIFS('Source'!$G:$G,'Source'!$A:$A,"160351 ORTHO- PARTNER AG.",'Source'!$B:$B,$A29)</f>
        <v>2429.16</v>
      </c>
      <c r="J29" s="8" t="n">
        <f aca="false">I29*$J$5</f>
        <v>3068.41263157895</v>
      </c>
      <c r="K29" s="8" t="n">
        <f aca="false">J29-H29</f>
        <v>2543.72263157895</v>
      </c>
      <c r="L29" s="9" t="n">
        <f aca="false">IF(AND(H29=0,J29=0),0,IF(H29=0,"New",(J29-H29)/H29))</f>
        <v>4.84804862219396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252</v>
      </c>
      <c r="B30" s="7" t="str">
        <f aca="false">IFERROR(INDEX('Source'!$C:$C,MATCH($A30,'Source'!$B:$B,0)),"")</f>
        <v>תומך ברך גנושילד</v>
      </c>
      <c r="C30" s="8" t="n">
        <f aca="false">SUMIFS('Source'!$D:$D,'Source'!$A:$A,"160351 ORTHO- PARTNER AG.",'Source'!$B:$B,$A30)</f>
        <v>5</v>
      </c>
      <c r="D30" s="8" t="n">
        <f aca="false">SUMIFS('Source'!$F:$F,'Source'!$A:$A,"160351 ORTHO- PARTNER AG.",'Source'!$B:$B,$A30)</f>
        <v>30</v>
      </c>
      <c r="E30" s="8" t="n">
        <f aca="false">D30*$J$5</f>
        <v>37.8947368421053</v>
      </c>
      <c r="F30" s="8" t="n">
        <f aca="false">E30-C30</f>
        <v>32.8947368421053</v>
      </c>
      <c r="G30" s="9" t="n">
        <f aca="false">IF(AND(C30=0,E30=0),0,IF(C30=0,"New",(E30-C30)/C30))</f>
        <v>6.57894736842105</v>
      </c>
      <c r="H30" s="8" t="n">
        <f aca="false">SUMIFS('Source'!$E:$E,'Source'!$A:$A,"160351 ORTHO- PARTNER AG.",'Source'!$B:$B,$A30)</f>
        <v>437.24</v>
      </c>
      <c r="I30" s="8" t="n">
        <f aca="false">SUMIFS('Source'!$G:$G,'Source'!$A:$A,"160351 ORTHO- PARTNER AG.",'Source'!$B:$B,$A30)</f>
        <v>2335.09</v>
      </c>
      <c r="J30" s="8" t="n">
        <f aca="false">I30*$J$5</f>
        <v>2949.58736842105</v>
      </c>
      <c r="K30" s="8" t="n">
        <f aca="false">J30-H30</f>
        <v>2512.34736842105</v>
      </c>
      <c r="L30" s="9" t="n">
        <f aca="false">IF(AND(H30=0,J30=0),0,IF(H30=0,"New",(J30-H30)/H30))</f>
        <v>5.74592299062541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917</v>
      </c>
      <c r="B31" s="7" t="str">
        <f aca="false">IFERROR(INDEX('Source'!$C:$C,MATCH($A31,'Source'!$B:$B,0)),"")</f>
        <v>מ. ברך אפור + כרית סיליקון</v>
      </c>
      <c r="C31" s="8" t="n">
        <f aca="false">SUMIFS('Source'!$D:$D,'Source'!$A:$A,"160351 ORTHO- PARTNER AG.",'Source'!$B:$B,$A31)</f>
        <v>24</v>
      </c>
      <c r="D31" s="8" t="n">
        <f aca="false">SUMIFS('Source'!$F:$F,'Source'!$A:$A,"160351 ORTHO- PARTNER AG.",'Source'!$B:$B,$A31)</f>
        <v>0</v>
      </c>
      <c r="E31" s="8" t="n">
        <f aca="false">D31*$J$5</f>
        <v>0</v>
      </c>
      <c r="F31" s="8" t="n">
        <f aca="false">E31-C31</f>
        <v>-24</v>
      </c>
      <c r="G31" s="9" t="n">
        <f aca="false">IF(AND(C31=0,E31=0),0,IF(C31=0,"New",(E31-C31)/C31))</f>
        <v>-1</v>
      </c>
      <c r="H31" s="8" t="n">
        <f aca="false">SUMIFS('Source'!$E:$E,'Source'!$A:$A,"160351 ORTHO- PARTNER AG.",'Source'!$B:$B,$A31)</f>
        <v>1840.52</v>
      </c>
      <c r="I31" s="8" t="n">
        <f aca="false">SUMIFS('Source'!$G:$G,'Source'!$A:$A,"160351 ORTHO- PARTNER AG.",'Source'!$B:$B,$A31)</f>
        <v>0</v>
      </c>
      <c r="J31" s="8" t="n">
        <f aca="false">I31*$J$5</f>
        <v>0</v>
      </c>
      <c r="K31" s="8" t="n">
        <f aca="false">J31-H31</f>
        <v>-1840.52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918</v>
      </c>
      <c r="B32" s="7" t="str">
        <f aca="false">IFERROR(INDEX('Source'!$C:$C,MATCH($A32,'Source'!$B:$B,0)),"")</f>
        <v>מ. ברך אפור + כרית סיליקון</v>
      </c>
      <c r="C32" s="8" t="n">
        <f aca="false">SUMIFS('Source'!$D:$D,'Source'!$A:$A,"160351 ORTHO- PARTNER AG.",'Source'!$B:$B,$A32)</f>
        <v>24</v>
      </c>
      <c r="D32" s="8" t="n">
        <f aca="false">SUMIFS('Source'!$F:$F,'Source'!$A:$A,"160351 ORTHO- PARTNER AG.",'Source'!$B:$B,$A32)</f>
        <v>0</v>
      </c>
      <c r="E32" s="8" t="n">
        <f aca="false">D32*$J$5</f>
        <v>0</v>
      </c>
      <c r="F32" s="8" t="n">
        <f aca="false">E32-C32</f>
        <v>-24</v>
      </c>
      <c r="G32" s="9" t="n">
        <f aca="false">IF(AND(C32=0,E32=0),0,IF(C32=0,"New",(E32-C32)/C32))</f>
        <v>-1</v>
      </c>
      <c r="H32" s="8" t="n">
        <f aca="false">SUMIFS('Source'!$E:$E,'Source'!$A:$A,"160351 ORTHO- PARTNER AG.",'Source'!$B:$B,$A32)</f>
        <v>1767.01</v>
      </c>
      <c r="I32" s="8" t="n">
        <f aca="false">SUMIFS('Source'!$G:$G,'Source'!$A:$A,"160351 ORTHO- PARTNER AG.",'Source'!$B:$B,$A32)</f>
        <v>0</v>
      </c>
      <c r="J32" s="8" t="n">
        <f aca="false">I32*$J$5</f>
        <v>0</v>
      </c>
      <c r="K32" s="8" t="n">
        <f aca="false">J32-H32</f>
        <v>-1767.01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919</v>
      </c>
      <c r="B33" s="7" t="str">
        <f aca="false">IFERROR(INDEX('Source'!$C:$C,MATCH($A33,'Source'!$B:$B,0)),"")</f>
        <v>מ. ברך אפור + כרית סיליקון</v>
      </c>
      <c r="C33" s="8" t="n">
        <f aca="false">SUMIFS('Source'!$D:$D,'Source'!$A:$A,"160351 ORTHO- PARTNER AG.",'Source'!$B:$B,$A33)</f>
        <v>24</v>
      </c>
      <c r="D33" s="8" t="n">
        <f aca="false">SUMIFS('Source'!$F:$F,'Source'!$A:$A,"160351 ORTHO- PARTNER AG.",'Source'!$B:$B,$A33)</f>
        <v>0</v>
      </c>
      <c r="E33" s="8" t="n">
        <f aca="false">D33*$J$5</f>
        <v>0</v>
      </c>
      <c r="F33" s="8" t="n">
        <f aca="false">E33-C33</f>
        <v>-24</v>
      </c>
      <c r="G33" s="9" t="n">
        <f aca="false">IF(AND(C33=0,E33=0),0,IF(C33=0,"New",(E33-C33)/C33))</f>
        <v>-1</v>
      </c>
      <c r="H33" s="8" t="n">
        <f aca="false">SUMIFS('Source'!$E:$E,'Source'!$A:$A,"160351 ORTHO- PARTNER AG.",'Source'!$B:$B,$A33)</f>
        <v>1767.01</v>
      </c>
      <c r="I33" s="8" t="n">
        <f aca="false">SUMIFS('Source'!$G:$G,'Source'!$A:$A,"160351 ORTHO- PARTNER AG.",'Source'!$B:$B,$A33)</f>
        <v>0</v>
      </c>
      <c r="J33" s="8" t="n">
        <f aca="false">I33*$J$5</f>
        <v>0</v>
      </c>
      <c r="K33" s="8" t="n">
        <f aca="false">J33-H33</f>
        <v>-1767.01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152</v>
      </c>
      <c r="B34" s="7" t="str">
        <f aca="false">IFERROR(INDEX('Source'!$C:$C,MATCH($A34,'Source'!$B:$B,0)),"")</f>
        <v>תומך ברך גנושילד</v>
      </c>
      <c r="C34" s="8" t="n">
        <f aca="false">SUMIFS('Source'!$D:$D,'Source'!$A:$A,"160351 ORTHO- PARTNER AG.",'Source'!$B:$B,$A34)</f>
        <v>5</v>
      </c>
      <c r="D34" s="8" t="n">
        <f aca="false">SUMIFS('Source'!$F:$F,'Source'!$A:$A,"160351 ORTHO- PARTNER AG.",'Source'!$B:$B,$A34)</f>
        <v>25</v>
      </c>
      <c r="E34" s="8" t="n">
        <f aca="false">D34*$J$5</f>
        <v>31.5789473684211</v>
      </c>
      <c r="F34" s="8" t="n">
        <f aca="false">E34-C34</f>
        <v>26.5789473684211</v>
      </c>
      <c r="G34" s="9" t="n">
        <f aca="false">IF(AND(C34=0,E34=0),0,IF(C34=0,"New",(E34-C34)/C34))</f>
        <v>5.31578947368421</v>
      </c>
      <c r="H34" s="8" t="n">
        <f aca="false">SUMIFS('Source'!$E:$E,'Source'!$A:$A,"160351 ORTHO- PARTNER AG.",'Source'!$B:$B,$A34)</f>
        <v>437.24</v>
      </c>
      <c r="I34" s="8" t="n">
        <f aca="false">SUMIFS('Source'!$G:$G,'Source'!$A:$A,"160351 ORTHO- PARTNER AG.",'Source'!$B:$B,$A34)</f>
        <v>2059.71</v>
      </c>
      <c r="J34" s="8" t="n">
        <f aca="false">I34*$J$5</f>
        <v>2601.73894736842</v>
      </c>
      <c r="K34" s="8" t="n">
        <f aca="false">J34-H34</f>
        <v>2164.49894736842</v>
      </c>
      <c r="L34" s="9" t="n">
        <f aca="false">IF(AND(H34=0,J34=0),0,IF(H34=0,"New",(J34-H34)/H34))</f>
        <v>4.9503680984549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920</v>
      </c>
      <c r="B35" s="7" t="str">
        <f aca="false">IFERROR(INDEX('Source'!$C:$C,MATCH($A35,'Source'!$B:$B,0)),"")</f>
        <v>מגן ברך משופר עם צ</v>
      </c>
      <c r="C35" s="8" t="n">
        <f aca="false">SUMIFS('Source'!$D:$D,'Source'!$A:$A,"160351 ORTHO- PARTNER AG.",'Source'!$B:$B,$A35)</f>
        <v>12</v>
      </c>
      <c r="D35" s="8" t="n">
        <f aca="false">SUMIFS('Source'!$F:$F,'Source'!$A:$A,"160351 ORTHO- PARTNER AG.",'Source'!$B:$B,$A35)</f>
        <v>0</v>
      </c>
      <c r="E35" s="8" t="n">
        <f aca="false">D35*$J$5</f>
        <v>0</v>
      </c>
      <c r="F35" s="8" t="n">
        <f aca="false">E35-C35</f>
        <v>-12</v>
      </c>
      <c r="G35" s="9" t="n">
        <f aca="false">IF(AND(C35=0,E35=0),0,IF(C35=0,"New",(E35-C35)/C35))</f>
        <v>-1</v>
      </c>
      <c r="H35" s="8" t="n">
        <f aca="false">SUMIFS('Source'!$E:$E,'Source'!$A:$A,"160351 ORTHO- PARTNER AG.",'Source'!$B:$B,$A35)</f>
        <v>1547.32</v>
      </c>
      <c r="I35" s="8" t="n">
        <f aca="false">SUMIFS('Source'!$G:$G,'Source'!$A:$A,"160351 ORTHO- PARTNER AG.",'Source'!$B:$B,$A35)</f>
        <v>0</v>
      </c>
      <c r="J35" s="8" t="n">
        <f aca="false">I35*$J$5</f>
        <v>0</v>
      </c>
      <c r="K35" s="8" t="n">
        <f aca="false">J35-H35</f>
        <v>-1547.32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921</v>
      </c>
      <c r="B36" s="7" t="str">
        <f aca="false">IFERROR(INDEX('Source'!$C:$C,MATCH($A36,'Source'!$B:$B,0)),"")</f>
        <v>צוארון ספוגי צבע</v>
      </c>
      <c r="C36" s="8" t="n">
        <f aca="false">SUMIFS('Source'!$D:$D,'Source'!$A:$A,"160351 ORTHO- PARTNER AG.",'Source'!$B:$B,$A36)</f>
        <v>60</v>
      </c>
      <c r="D36" s="8" t="n">
        <f aca="false">SUMIFS('Source'!$F:$F,'Source'!$A:$A,"160351 ORTHO- PARTNER AG.",'Source'!$B:$B,$A36)</f>
        <v>0</v>
      </c>
      <c r="E36" s="8" t="n">
        <f aca="false">D36*$J$5</f>
        <v>0</v>
      </c>
      <c r="F36" s="8" t="n">
        <f aca="false">E36-C36</f>
        <v>-60</v>
      </c>
      <c r="G36" s="9" t="n">
        <f aca="false">IF(AND(C36=0,E36=0),0,IF(C36=0,"New",(E36-C36)/C36))</f>
        <v>-1</v>
      </c>
      <c r="H36" s="8" t="n">
        <f aca="false">SUMIFS('Source'!$E:$E,'Source'!$A:$A,"160351 ORTHO- PARTNER AG.",'Source'!$B:$B,$A36)</f>
        <v>1477.77</v>
      </c>
      <c r="I36" s="8" t="n">
        <f aca="false">SUMIFS('Source'!$G:$G,'Source'!$A:$A,"160351 ORTHO- PARTNER AG.",'Source'!$B:$B,$A36)</f>
        <v>0</v>
      </c>
      <c r="J36" s="8" t="n">
        <f aca="false">I36*$J$5</f>
        <v>0</v>
      </c>
      <c r="K36" s="8" t="n">
        <f aca="false">J36-H36</f>
        <v>-1477.77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778</v>
      </c>
      <c r="B37" s="7" t="str">
        <f aca="false">IFERROR(INDEX('Source'!$C:$C,MATCH($A37,'Source'!$B:$B,0)),"")</f>
        <v>חגורת צלעות לגבר</v>
      </c>
      <c r="C37" s="8" t="n">
        <f aca="false">SUMIFS('Source'!$D:$D,'Source'!$A:$A,"160351 ORTHO- PARTNER AG.",'Source'!$B:$B,$A37)</f>
        <v>36</v>
      </c>
      <c r="D37" s="8" t="n">
        <f aca="false">SUMIFS('Source'!$F:$F,'Source'!$A:$A,"160351 ORTHO- PARTNER AG.",'Source'!$B:$B,$A37)</f>
        <v>12</v>
      </c>
      <c r="E37" s="8" t="n">
        <f aca="false">D37*$J$5</f>
        <v>15.1578947368421</v>
      </c>
      <c r="F37" s="8" t="n">
        <f aca="false">E37-C37</f>
        <v>-20.8421052631579</v>
      </c>
      <c r="G37" s="9" t="n">
        <f aca="false">IF(AND(C37=0,E37=0),0,IF(C37=0,"New",(E37-C37)/C37))</f>
        <v>-0.578947368421053</v>
      </c>
      <c r="H37" s="8" t="n">
        <f aca="false">SUMIFS('Source'!$E:$E,'Source'!$A:$A,"160351 ORTHO- PARTNER AG.",'Source'!$B:$B,$A37)</f>
        <v>1954.64</v>
      </c>
      <c r="I37" s="8" t="n">
        <f aca="false">SUMIFS('Source'!$G:$G,'Source'!$A:$A,"160351 ORTHO- PARTNER AG.",'Source'!$B:$B,$A37)</f>
        <v>574.96</v>
      </c>
      <c r="J37" s="8" t="n">
        <f aca="false">I37*$J$5</f>
        <v>726.265263157895</v>
      </c>
      <c r="K37" s="8" t="n">
        <f aca="false">J37-H37</f>
        <v>-1228.37473684211</v>
      </c>
      <c r="L37" s="9" t="n">
        <f aca="false">IF(AND(H37=0,J37=0),0,IF(H37=0,"New",(J37-H37)/H37))</f>
        <v>-0.628440396616311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146</v>
      </c>
      <c r="B38" s="7" t="str">
        <f aca="false">IFERROR(INDEX('Source'!$C:$C,MATCH($A38,'Source'!$B:$B,0)),"")</f>
        <v>כפפת CTS שמאל</v>
      </c>
      <c r="C38" s="8" t="n">
        <f aca="false">SUMIFS('Source'!$D:$D,'Source'!$A:$A,"160351 ORTHO- PARTNER AG.",'Source'!$B:$B,$A38)</f>
        <v>15</v>
      </c>
      <c r="D38" s="8" t="n">
        <f aca="false">SUMIFS('Source'!$F:$F,'Source'!$A:$A,"160351 ORTHO- PARTNER AG.",'Source'!$B:$B,$A38)</f>
        <v>50</v>
      </c>
      <c r="E38" s="8" t="n">
        <f aca="false">D38*$J$5</f>
        <v>63.1578947368421</v>
      </c>
      <c r="F38" s="8" t="n">
        <f aca="false">E38-C38</f>
        <v>48.1578947368421</v>
      </c>
      <c r="G38" s="9" t="n">
        <f aca="false">IF(AND(C38=0,E38=0),0,IF(C38=0,"New",(E38-C38)/C38))</f>
        <v>3.21052631578947</v>
      </c>
      <c r="H38" s="8" t="n">
        <f aca="false">SUMIFS('Source'!$E:$E,'Source'!$A:$A,"160351 ORTHO- PARTNER AG.",'Source'!$B:$B,$A38)</f>
        <v>575.1</v>
      </c>
      <c r="I38" s="8" t="n">
        <f aca="false">SUMIFS('Source'!$G:$G,'Source'!$A:$A,"160351 ORTHO- PARTNER AG.",'Source'!$B:$B,$A38)</f>
        <v>1811.15</v>
      </c>
      <c r="J38" s="8" t="n">
        <f aca="false">I38*$J$5</f>
        <v>2287.76842105263</v>
      </c>
      <c r="K38" s="8" t="n">
        <f aca="false">J38-H38</f>
        <v>1712.66842105263</v>
      </c>
      <c r="L38" s="9" t="n">
        <f aca="false">IF(AND(H38=0,J38=0),0,IF(H38=0,"New",(J38-H38)/H38))</f>
        <v>2.97803585646432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116</v>
      </c>
      <c r="B39" s="7" t="str">
        <f aca="false">IFERROR(INDEX('Source'!$C:$C,MATCH($A39,'Source'!$B:$B,0)),"")</f>
        <v>כפפת CTS ימין</v>
      </c>
      <c r="C39" s="8" t="n">
        <f aca="false">SUMIFS('Source'!$D:$D,'Source'!$A:$A,"160351 ORTHO- PARTNER AG.",'Source'!$B:$B,$A39)</f>
        <v>15</v>
      </c>
      <c r="D39" s="8" t="n">
        <f aca="false">SUMIFS('Source'!$F:$F,'Source'!$A:$A,"160351 ORTHO- PARTNER AG.",'Source'!$B:$B,$A39)</f>
        <v>50</v>
      </c>
      <c r="E39" s="8" t="n">
        <f aca="false">D39*$J$5</f>
        <v>63.1578947368421</v>
      </c>
      <c r="F39" s="8" t="n">
        <f aca="false">E39-C39</f>
        <v>48.1578947368421</v>
      </c>
      <c r="G39" s="9" t="n">
        <f aca="false">IF(AND(C39=0,E39=0),0,IF(C39=0,"New",(E39-C39)/C39))</f>
        <v>3.21052631578947</v>
      </c>
      <c r="H39" s="8" t="n">
        <f aca="false">SUMIFS('Source'!$E:$E,'Source'!$A:$A,"160351 ORTHO- PARTNER AG.",'Source'!$B:$B,$A39)</f>
        <v>575.1</v>
      </c>
      <c r="I39" s="8" t="n">
        <f aca="false">SUMIFS('Source'!$G:$G,'Source'!$A:$A,"160351 ORTHO- PARTNER AG.",'Source'!$B:$B,$A39)</f>
        <v>1788.47</v>
      </c>
      <c r="J39" s="8" t="n">
        <f aca="false">I39*$J$5</f>
        <v>2259.12</v>
      </c>
      <c r="K39" s="8" t="n">
        <f aca="false">J39-H39</f>
        <v>1684.02</v>
      </c>
      <c r="L39" s="9" t="n">
        <f aca="false">IF(AND(H39=0,J39=0),0,IF(H39=0,"New",(J39-H39)/H39))</f>
        <v>2.9282211789254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465</v>
      </c>
      <c r="B40" s="7" t="str">
        <f aca="false">IFERROR(INDEX('Source'!$C:$C,MATCH($A40,'Source'!$B:$B,0)),"")</f>
        <v>צוארון ספוגי</v>
      </c>
      <c r="C40" s="8" t="n">
        <f aca="false">SUMIFS('Source'!$D:$D,'Source'!$A:$A,"160351 ORTHO- PARTNER AG.",'Source'!$B:$B,$A40)</f>
        <v>60</v>
      </c>
      <c r="D40" s="8" t="n">
        <f aca="false">SUMIFS('Source'!$F:$F,'Source'!$A:$A,"160351 ORTHO- PARTNER AG.",'Source'!$B:$B,$A40)</f>
        <v>11</v>
      </c>
      <c r="E40" s="8" t="n">
        <f aca="false">D40*$J$5</f>
        <v>13.8947368421053</v>
      </c>
      <c r="F40" s="8" t="n">
        <f aca="false">E40-C40</f>
        <v>-46.1052631578947</v>
      </c>
      <c r="G40" s="9" t="n">
        <f aca="false">IF(AND(C40=0,E40=0),0,IF(C40=0,"New",(E40-C40)/C40))</f>
        <v>-0.768421052631579</v>
      </c>
      <c r="H40" s="8" t="n">
        <f aca="false">SUMIFS('Source'!$E:$E,'Source'!$A:$A,"160351 ORTHO- PARTNER AG.",'Source'!$B:$B,$A40)</f>
        <v>1353.58</v>
      </c>
      <c r="I40" s="8" t="n">
        <f aca="false">SUMIFS('Source'!$G:$G,'Source'!$A:$A,"160351 ORTHO- PARTNER AG.",'Source'!$B:$B,$A40)</f>
        <v>232.59</v>
      </c>
      <c r="J40" s="8" t="n">
        <f aca="false">I40*$J$5</f>
        <v>293.797894736842</v>
      </c>
      <c r="K40" s="8" t="n">
        <f aca="false">J40-H40</f>
        <v>-1059.78210526316</v>
      </c>
      <c r="L40" s="9" t="n">
        <f aca="false">IF(AND(H40=0,J40=0),0,IF(H40=0,"New",(J40-H40)/H40))</f>
        <v>-0.782947520843362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554</v>
      </c>
      <c r="B41" s="7" t="str">
        <f aca="false">IFERROR(INDEX('Source'!$C:$C,MATCH($A41,'Source'!$B:$B,0)),"")</f>
        <v>חבק יד אגודלי ימ</v>
      </c>
      <c r="C41" s="8" t="n">
        <f aca="false">SUMIFS('Source'!$D:$D,'Source'!$A:$A,"160351 ORTHO- PARTNER AG.",'Source'!$B:$B,$A41)</f>
        <v>72</v>
      </c>
      <c r="D41" s="8" t="n">
        <f aca="false">SUMIFS('Source'!$F:$F,'Source'!$A:$A,"160351 ORTHO- PARTNER AG.",'Source'!$B:$B,$A41)</f>
        <v>139</v>
      </c>
      <c r="E41" s="8" t="n">
        <f aca="false">D41*$J$5</f>
        <v>175.578947368421</v>
      </c>
      <c r="F41" s="8" t="n">
        <f aca="false">E41-C41</f>
        <v>103.578947368421</v>
      </c>
      <c r="G41" s="9" t="n">
        <f aca="false">IF(AND(C41=0,E41=0),0,IF(C41=0,"New",(E41-C41)/C41))</f>
        <v>1.43859649122807</v>
      </c>
      <c r="H41" s="8" t="n">
        <f aca="false">SUMIFS('Source'!$E:$E,'Source'!$A:$A,"160351 ORTHO- PARTNER AG.",'Source'!$B:$B,$A41)</f>
        <v>1312.77</v>
      </c>
      <c r="I41" s="8" t="n">
        <f aca="false">SUMIFS('Source'!$G:$G,'Source'!$A:$A,"160351 ORTHO- PARTNER AG.",'Source'!$B:$B,$A41)</f>
        <v>2400</v>
      </c>
      <c r="J41" s="8" t="n">
        <f aca="false">I41*$J$5</f>
        <v>3031.57894736842</v>
      </c>
      <c r="K41" s="8" t="n">
        <f aca="false">J41-H41</f>
        <v>1718.80894736842</v>
      </c>
      <c r="L41" s="9" t="n">
        <f aca="false">IF(AND(H41=0,J41=0),0,IF(H41=0,"New",(J41-H41)/H41))</f>
        <v>1.30929938021772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122</v>
      </c>
      <c r="B42" s="7" t="str">
        <f aca="false">IFERROR(INDEX('Source'!$C:$C,MATCH($A42,'Source'!$B:$B,0)),"")</f>
        <v>תומך ברך גנושילד</v>
      </c>
      <c r="C42" s="8" t="n">
        <f aca="false">SUMIFS('Source'!$D:$D,'Source'!$A:$A,"160351 ORTHO- PARTNER AG.",'Source'!$B:$B,$A42)</f>
        <v>7</v>
      </c>
      <c r="D42" s="8" t="n">
        <f aca="false">SUMIFS('Source'!$F:$F,'Source'!$A:$A,"160351 ORTHO- PARTNER AG.",'Source'!$B:$B,$A42)</f>
        <v>20</v>
      </c>
      <c r="E42" s="8" t="n">
        <f aca="false">D42*$J$5</f>
        <v>25.2631578947368</v>
      </c>
      <c r="F42" s="8" t="n">
        <f aca="false">E42-C42</f>
        <v>18.2631578947368</v>
      </c>
      <c r="G42" s="9" t="n">
        <f aca="false">IF(AND(C42=0,E42=0),0,IF(C42=0,"New",(E42-C42)/C42))</f>
        <v>2.60902255639098</v>
      </c>
      <c r="H42" s="8" t="n">
        <f aca="false">SUMIFS('Source'!$E:$E,'Source'!$A:$A,"160351 ORTHO- PARTNER AG.",'Source'!$B:$B,$A42)</f>
        <v>524.72</v>
      </c>
      <c r="I42" s="8" t="n">
        <f aca="false">SUMIFS('Source'!$G:$G,'Source'!$A:$A,"160351 ORTHO- PARTNER AG.",'Source'!$B:$B,$A42)</f>
        <v>1609.88</v>
      </c>
      <c r="J42" s="8" t="n">
        <f aca="false">I42*$J$5</f>
        <v>2033.53263157895</v>
      </c>
      <c r="K42" s="8" t="n">
        <f aca="false">J42-H42</f>
        <v>1508.81263157895</v>
      </c>
      <c r="L42" s="9" t="n">
        <f aca="false">IF(AND(H42=0,J42=0),0,IF(H42=0,"New",(J42-H42)/H42))</f>
        <v>2.87546240200287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176</v>
      </c>
      <c r="B43" s="7" t="str">
        <f aca="false">IFERROR(INDEX('Source'!$C:$C,MATCH($A43,'Source'!$B:$B,0)),"")</f>
        <v>חבק יד</v>
      </c>
      <c r="C43" s="8" t="n">
        <f aca="false">SUMIFS('Source'!$D:$D,'Source'!$A:$A,"160351 ORTHO- PARTNER AG.",'Source'!$B:$B,$A43)</f>
        <v>216</v>
      </c>
      <c r="D43" s="8" t="n">
        <f aca="false">SUMIFS('Source'!$F:$F,'Source'!$A:$A,"160351 ORTHO- PARTNER AG.",'Source'!$B:$B,$A43)</f>
        <v>143</v>
      </c>
      <c r="E43" s="8" t="n">
        <f aca="false">D43*$J$5</f>
        <v>180.631578947368</v>
      </c>
      <c r="F43" s="8" t="n">
        <f aca="false">E43-C43</f>
        <v>-35.3684210526316</v>
      </c>
      <c r="G43" s="9" t="n">
        <f aca="false">IF(AND(C43=0,E43=0),0,IF(C43=0,"New",(E43-C43)/C43))</f>
        <v>-0.16374269005848</v>
      </c>
      <c r="H43" s="8" t="n">
        <f aca="false">SUMIFS('Source'!$E:$E,'Source'!$A:$A,"160351 ORTHO- PARTNER AG.",'Source'!$B:$B,$A43)</f>
        <v>2892</v>
      </c>
      <c r="I43" s="8" t="n">
        <f aca="false">SUMIFS('Source'!$G:$G,'Source'!$A:$A,"160351 ORTHO- PARTNER AG.",'Source'!$B:$B,$A43)</f>
        <v>1850.23</v>
      </c>
      <c r="J43" s="8" t="n">
        <f aca="false">I43*$J$5</f>
        <v>2337.13263157895</v>
      </c>
      <c r="K43" s="8" t="n">
        <f aca="false">J43-H43</f>
        <v>-554.867368421053</v>
      </c>
      <c r="L43" s="9" t="n">
        <f aca="false">IF(AND(H43=0,J43=0),0,IF(H43=0,"New",(J43-H43)/H43))</f>
        <v>-0.191862852151125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262</v>
      </c>
      <c r="B44" s="7" t="str">
        <f aca="false">IFERROR(INDEX('Source'!$C:$C,MATCH($A44,'Source'!$B:$B,0)),"")</f>
        <v>צוארון ספוגי</v>
      </c>
      <c r="C44" s="8" t="n">
        <f aca="false">SUMIFS('Source'!$D:$D,'Source'!$A:$A,"160351 ORTHO- PARTNER AG.",'Source'!$B:$B,$A44)</f>
        <v>108</v>
      </c>
      <c r="D44" s="8" t="n">
        <f aca="false">SUMIFS('Source'!$F:$F,'Source'!$A:$A,"160351 ORTHO- PARTNER AG.",'Source'!$B:$B,$A44)</f>
        <v>69</v>
      </c>
      <c r="E44" s="8" t="n">
        <f aca="false">D44*$J$5</f>
        <v>87.1578947368421</v>
      </c>
      <c r="F44" s="8" t="n">
        <f aca="false">E44-C44</f>
        <v>-20.8421052631579</v>
      </c>
      <c r="G44" s="9" t="n">
        <f aca="false">IF(AND(C44=0,E44=0),0,IF(C44=0,"New",(E44-C44)/C44))</f>
        <v>-0.192982456140351</v>
      </c>
      <c r="H44" s="8" t="n">
        <f aca="false">SUMIFS('Source'!$E:$E,'Source'!$A:$A,"160351 ORTHO- PARTNER AG.",'Source'!$B:$B,$A44)</f>
        <v>2454.28</v>
      </c>
      <c r="I44" s="8" t="n">
        <f aca="false">SUMIFS('Source'!$G:$G,'Source'!$A:$A,"160351 ORTHO- PARTNER AG.",'Source'!$B:$B,$A44)</f>
        <v>1439.64</v>
      </c>
      <c r="J44" s="8" t="n">
        <f aca="false">I44*$J$5</f>
        <v>1818.49263157895</v>
      </c>
      <c r="K44" s="8" t="n">
        <f aca="false">J44-H44</f>
        <v>-635.787368421053</v>
      </c>
      <c r="L44" s="9" t="n">
        <f aca="false">IF(AND(H44=0,J44=0),0,IF(H44=0,"New",(J44-H44)/H44))</f>
        <v>-0.259052499478891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922</v>
      </c>
      <c r="B45" s="7" t="str">
        <f aca="false">IFERROR(INDEX('Source'!$C:$C,MATCH($A45,'Source'!$B:$B,0)),"")</f>
        <v>מגן ברך משופר עם צ</v>
      </c>
      <c r="C45" s="8" t="n">
        <f aca="false">SUMIFS('Source'!$D:$D,'Source'!$A:$A,"160351 ORTHO- PARTNER AG.",'Source'!$B:$B,$A45)</f>
        <v>36</v>
      </c>
      <c r="D45" s="8" t="n">
        <f aca="false">SUMIFS('Source'!$F:$F,'Source'!$A:$A,"160351 ORTHO- PARTNER AG.",'Source'!$B:$B,$A45)</f>
        <v>46</v>
      </c>
      <c r="E45" s="8" t="n">
        <f aca="false">D45*$J$5</f>
        <v>58.1052631578947</v>
      </c>
      <c r="F45" s="8" t="n">
        <f aca="false">E45-C45</f>
        <v>22.1052631578947</v>
      </c>
      <c r="G45" s="9" t="n">
        <f aca="false">IF(AND(C45=0,E45=0),0,IF(C45=0,"New",(E45-C45)/C45))</f>
        <v>0.614035087719298</v>
      </c>
      <c r="H45" s="8" t="n">
        <f aca="false">SUMIFS('Source'!$E:$E,'Source'!$A:$A,"160351 ORTHO- PARTNER AG.",'Source'!$B:$B,$A45)</f>
        <v>4111.41</v>
      </c>
      <c r="I45" s="8" t="n">
        <f aca="false">SUMIFS('Source'!$G:$G,'Source'!$A:$A,"160351 ORTHO- PARTNER AG.",'Source'!$B:$B,$A45)</f>
        <v>5104.74</v>
      </c>
      <c r="J45" s="8" t="n">
        <f aca="false">I45*$J$5</f>
        <v>6448.09263157895</v>
      </c>
      <c r="K45" s="8" t="n">
        <f aca="false">J45-H45</f>
        <v>2336.68263157895</v>
      </c>
      <c r="L45" s="9" t="n">
        <f aca="false">IF(AND(H45=0,J45=0),0,IF(H45=0,"New",(J45-H45)/H45))</f>
        <v>0.568340941812893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587</v>
      </c>
      <c r="B46" s="7" t="str">
        <f aca="false">IFERROR(INDEX('Source'!$C:$C,MATCH($A46,'Source'!$B:$B,0)),"")</f>
        <v>מיתלה שרוול</v>
      </c>
      <c r="C46" s="8" t="n">
        <f aca="false">SUMIFS('Source'!$D:$D,'Source'!$A:$A,"160351 ORTHO- PARTNER AG.",'Source'!$B:$B,$A46)</f>
        <v>120</v>
      </c>
      <c r="D46" s="8" t="n">
        <f aca="false">SUMIFS('Source'!$F:$F,'Source'!$A:$A,"160351 ORTHO- PARTNER AG.",'Source'!$B:$B,$A46)</f>
        <v>115</v>
      </c>
      <c r="E46" s="8" t="n">
        <f aca="false">D46*$J$5</f>
        <v>145.263157894737</v>
      </c>
      <c r="F46" s="8" t="n">
        <f aca="false">E46-C46</f>
        <v>25.2631578947368</v>
      </c>
      <c r="G46" s="9" t="n">
        <f aca="false">IF(AND(C46=0,E46=0),0,IF(C46=0,"New",(E46-C46)/C46))</f>
        <v>0.210526315789474</v>
      </c>
      <c r="H46" s="8" t="n">
        <f aca="false">SUMIFS('Source'!$E:$E,'Source'!$A:$A,"160351 ORTHO- PARTNER AG.",'Source'!$B:$B,$A46)</f>
        <v>10937.03</v>
      </c>
      <c r="I46" s="8" t="n">
        <f aca="false">SUMIFS('Source'!$G:$G,'Source'!$A:$A,"160351 ORTHO- PARTNER AG.",'Source'!$B:$B,$A46)</f>
        <v>9990.34</v>
      </c>
      <c r="J46" s="8" t="n">
        <f aca="false">I46*$J$5</f>
        <v>12619.3768421053</v>
      </c>
      <c r="K46" s="8" t="n">
        <f aca="false">J46-H46</f>
        <v>1682.34684210526</v>
      </c>
      <c r="L46" s="9" t="n">
        <f aca="false">IF(AND(H46=0,J46=0),0,IF(H46=0,"New",(J46-H46)/H46))</f>
        <v>0.15382117833683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438</v>
      </c>
      <c r="B47" s="7" t="str">
        <f aca="false">IFERROR(INDEX('Source'!$C:$C,MATCH($A47,'Source'!$B:$B,0)),"")</f>
        <v>חגורה למנותחי בטן</v>
      </c>
      <c r="C47" s="8" t="n">
        <f aca="false">SUMIFS('Source'!$D:$D,'Source'!$A:$A,"160351 ORTHO- PARTNER AG.",'Source'!$B:$B,$A47)</f>
        <v>60</v>
      </c>
      <c r="D47" s="8" t="n">
        <f aca="false">SUMIFS('Source'!$F:$F,'Source'!$A:$A,"160351 ORTHO- PARTNER AG.",'Source'!$B:$B,$A47)</f>
        <v>46</v>
      </c>
      <c r="E47" s="8" t="n">
        <f aca="false">D47*$J$5</f>
        <v>58.1052631578947</v>
      </c>
      <c r="F47" s="8" t="n">
        <f aca="false">E47-C47</f>
        <v>-1.89473684210527</v>
      </c>
      <c r="G47" s="9" t="n">
        <f aca="false">IF(AND(C47=0,E47=0),0,IF(C47=0,"New",(E47-C47)/C47))</f>
        <v>-0.0315789473684211</v>
      </c>
      <c r="H47" s="8" t="n">
        <f aca="false">SUMIFS('Source'!$E:$E,'Source'!$A:$A,"160351 ORTHO- PARTNER AG.",'Source'!$B:$B,$A47)</f>
        <v>3197.73</v>
      </c>
      <c r="I47" s="8" t="n">
        <f aca="false">SUMIFS('Source'!$G:$G,'Source'!$A:$A,"160351 ORTHO- PARTNER AG.",'Source'!$B:$B,$A47)</f>
        <v>2277.78</v>
      </c>
      <c r="J47" s="8" t="n">
        <f aca="false">I47*$J$5</f>
        <v>2877.19578947368</v>
      </c>
      <c r="K47" s="8" t="n">
        <f aca="false">J47-H47</f>
        <v>-320.534210526316</v>
      </c>
      <c r="L47" s="9" t="n">
        <f aca="false">IF(AND(H47=0,J47=0),0,IF(H47=0,"New",(J47-H47)/H47))</f>
        <v>-0.100238047154174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121</v>
      </c>
      <c r="B48" s="7" t="str">
        <f aca="false">IFERROR(INDEX('Source'!$C:$C,MATCH($A48,'Source'!$B:$B,0)),"")</f>
        <v>כפפת CTS שמאל</v>
      </c>
      <c r="C48" s="8" t="n">
        <f aca="false">SUMIFS('Source'!$D:$D,'Source'!$A:$A,"160351 ORTHO- PARTNER AG.",'Source'!$B:$B,$A48)</f>
        <v>15</v>
      </c>
      <c r="D48" s="8" t="n">
        <f aca="false">SUMIFS('Source'!$F:$F,'Source'!$A:$A,"160351 ORTHO- PARTNER AG.",'Source'!$B:$B,$A48)</f>
        <v>40</v>
      </c>
      <c r="E48" s="8" t="n">
        <f aca="false">D48*$J$5</f>
        <v>50.5263157894737</v>
      </c>
      <c r="F48" s="8" t="n">
        <f aca="false">E48-C48</f>
        <v>35.5263157894737</v>
      </c>
      <c r="G48" s="9" t="n">
        <f aca="false">IF(AND(C48=0,E48=0),0,IF(C48=0,"New",(E48-C48)/C48))</f>
        <v>2.36842105263158</v>
      </c>
      <c r="H48" s="8" t="n">
        <f aca="false">SUMIFS('Source'!$E:$E,'Source'!$A:$A,"160351 ORTHO- PARTNER AG.",'Source'!$B:$B,$A48)</f>
        <v>575.1</v>
      </c>
      <c r="I48" s="8" t="n">
        <f aca="false">SUMIFS('Source'!$G:$G,'Source'!$A:$A,"160351 ORTHO- PARTNER AG.",'Source'!$B:$B,$A48)</f>
        <v>1446.9</v>
      </c>
      <c r="J48" s="8" t="n">
        <f aca="false">I48*$J$5</f>
        <v>1827.66315789474</v>
      </c>
      <c r="K48" s="8" t="n">
        <f aca="false">J48-H48</f>
        <v>1252.56315789474</v>
      </c>
      <c r="L48" s="9" t="n">
        <f aca="false">IF(AND(H48=0,J48=0),0,IF(H48=0,"New",(J48-H48)/H48))</f>
        <v>2.17799192817725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423</v>
      </c>
      <c r="B49" s="7" t="str">
        <f aca="false">IFERROR(INDEX('Source'!$C:$C,MATCH($A49,'Source'!$B:$B,0)),"")</f>
        <v>מגן ירך לאחר ניתוח</v>
      </c>
      <c r="C49" s="8" t="n">
        <f aca="false">SUMIFS('Source'!$D:$D,'Source'!$A:$A,"160351 ORTHO- PARTNER AG.",'Source'!$B:$B,$A49)</f>
        <v>61</v>
      </c>
      <c r="D49" s="8" t="n">
        <f aca="false">SUMIFS('Source'!$F:$F,'Source'!$A:$A,"160351 ORTHO- PARTNER AG.",'Source'!$B:$B,$A49)</f>
        <v>44</v>
      </c>
      <c r="E49" s="8" t="n">
        <f aca="false">D49*$J$5</f>
        <v>55.5789473684211</v>
      </c>
      <c r="F49" s="8" t="n">
        <f aca="false">E49-C49</f>
        <v>-5.42105263157895</v>
      </c>
      <c r="G49" s="9" t="n">
        <f aca="false">IF(AND(C49=0,E49=0),0,IF(C49=0,"New",(E49-C49)/C49))</f>
        <v>-0.0888697152717861</v>
      </c>
      <c r="H49" s="8" t="n">
        <f aca="false">SUMIFS('Source'!$E:$E,'Source'!$A:$A,"160351 ORTHO- PARTNER AG.",'Source'!$B:$B,$A49)</f>
        <v>3467</v>
      </c>
      <c r="I49" s="8" t="n">
        <f aca="false">SUMIFS('Source'!$G:$G,'Source'!$A:$A,"160351 ORTHO- PARTNER AG.",'Source'!$B:$B,$A49)</f>
        <v>2598.48</v>
      </c>
      <c r="J49" s="8" t="n">
        <f aca="false">I49*$J$5</f>
        <v>3282.29052631579</v>
      </c>
      <c r="K49" s="8" t="n">
        <f aca="false">J49-H49</f>
        <v>-184.70947368421</v>
      </c>
      <c r="L49" s="9" t="n">
        <f aca="false">IF(AND(H49=0,J49=0),0,IF(H49=0,"New",(J49-H49)/H49))</f>
        <v>-0.0532764562111943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132</v>
      </c>
      <c r="B50" s="7" t="str">
        <f aca="false">IFERROR(INDEX('Source'!$C:$C,MATCH($A50,'Source'!$B:$B,0)),"")</f>
        <v>תומך ברך גנושילד</v>
      </c>
      <c r="C50" s="8" t="n">
        <f aca="false">SUMIFS('Source'!$D:$D,'Source'!$A:$A,"160351 ORTHO- PARTNER AG.",'Source'!$B:$B,$A50)</f>
        <v>5</v>
      </c>
      <c r="D50" s="8" t="n">
        <f aca="false">SUMIFS('Source'!$F:$F,'Source'!$A:$A,"160351 ORTHO- PARTNER AG.",'Source'!$B:$B,$A50)</f>
        <v>15</v>
      </c>
      <c r="E50" s="8" t="n">
        <f aca="false">D50*$J$5</f>
        <v>18.9473684210526</v>
      </c>
      <c r="F50" s="8" t="n">
        <f aca="false">E50-C50</f>
        <v>13.9473684210526</v>
      </c>
      <c r="G50" s="9" t="n">
        <f aca="false">IF(AND(C50=0,E50=0),0,IF(C50=0,"New",(E50-C50)/C50))</f>
        <v>2.78947368421053</v>
      </c>
      <c r="H50" s="8" t="n">
        <f aca="false">SUMIFS('Source'!$E:$E,'Source'!$A:$A,"160351 ORTHO- PARTNER AG.",'Source'!$B:$B,$A50)</f>
        <v>437.24</v>
      </c>
      <c r="I50" s="8" t="n">
        <f aca="false">SUMIFS('Source'!$G:$G,'Source'!$A:$A,"160351 ORTHO- PARTNER AG.",'Source'!$B:$B,$A50)</f>
        <v>1234.68</v>
      </c>
      <c r="J50" s="8" t="n">
        <f aca="false">I50*$J$5</f>
        <v>1559.59578947368</v>
      </c>
      <c r="K50" s="8" t="n">
        <f aca="false">J50-H50</f>
        <v>1122.35578947368</v>
      </c>
      <c r="L50" s="9" t="n">
        <f aca="false">IF(AND(H50=0,J50=0),0,IF(H50=0,"New",(J50-H50)/H50))</f>
        <v>2.56691013968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405</v>
      </c>
      <c r="B51" s="7" t="str">
        <f aca="false">IFERROR(INDEX('Source'!$C:$C,MATCH($A51,'Source'!$B:$B,0)),"")</f>
        <v>אצבעון מפלסטיק  ליד</v>
      </c>
      <c r="C51" s="8" t="n">
        <f aca="false">SUMIFS('Source'!$D:$D,'Source'!$A:$A,"160351 ORTHO- PARTNER AG.",'Source'!$B:$B,$A51)</f>
        <v>180</v>
      </c>
      <c r="D51" s="8" t="n">
        <f aca="false">SUMIFS('Source'!$F:$F,'Source'!$A:$A,"160351 ORTHO- PARTNER AG.",'Source'!$B:$B,$A51)</f>
        <v>93</v>
      </c>
      <c r="E51" s="8" t="n">
        <f aca="false">D51*$J$5</f>
        <v>117.473684210526</v>
      </c>
      <c r="F51" s="8" t="n">
        <f aca="false">E51-C51</f>
        <v>-62.5263157894737</v>
      </c>
      <c r="G51" s="9" t="n">
        <f aca="false">IF(AND(C51=0,E51=0),0,IF(C51=0,"New",(E51-C51)/C51))</f>
        <v>-0.347368421052632</v>
      </c>
      <c r="H51" s="8" t="n">
        <f aca="false">SUMIFS('Source'!$E:$E,'Source'!$A:$A,"160351 ORTHO- PARTNER AG.",'Source'!$B:$B,$A51)</f>
        <v>1479.51</v>
      </c>
      <c r="I51" s="8" t="n">
        <f aca="false">SUMIFS('Source'!$G:$G,'Source'!$A:$A,"160351 ORTHO- PARTNER AG.",'Source'!$B:$B,$A51)</f>
        <v>713.31</v>
      </c>
      <c r="J51" s="8" t="n">
        <f aca="false">I51*$J$5</f>
        <v>901.023157894737</v>
      </c>
      <c r="K51" s="8" t="n">
        <f aca="false">J51-H51</f>
        <v>-578.486842105263</v>
      </c>
      <c r="L51" s="9" t="n">
        <f aca="false">IF(AND(H51=0,J51=0),0,IF(H51=0,"New",(J51-H51)/H51))</f>
        <v>-0.390998940260805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353</v>
      </c>
      <c r="B52" s="7" t="str">
        <f aca="false">IFERROR(INDEX('Source'!$C:$C,MATCH($A52,'Source'!$B:$B,0)),"")</f>
        <v>סד יד דו צדדי</v>
      </c>
      <c r="C52" s="8" t="n">
        <f aca="false">SUMIFS('Source'!$D:$D,'Source'!$A:$A,"160351 ORTHO- PARTNER AG.",'Source'!$B:$B,$A52)</f>
        <v>17</v>
      </c>
      <c r="D52" s="8" t="n">
        <f aca="false">SUMIFS('Source'!$F:$F,'Source'!$A:$A,"160351 ORTHO- PARTNER AG.",'Source'!$B:$B,$A52)</f>
        <v>0</v>
      </c>
      <c r="E52" s="8" t="n">
        <f aca="false">D52*$J$5</f>
        <v>0</v>
      </c>
      <c r="F52" s="8" t="n">
        <f aca="false">E52-C52</f>
        <v>-17</v>
      </c>
      <c r="G52" s="9" t="n">
        <f aca="false">IF(AND(C52=0,E52=0),0,IF(C52=0,"New",(E52-C52)/C52))</f>
        <v>-1</v>
      </c>
      <c r="H52" s="8" t="n">
        <f aca="false">SUMIFS('Source'!$E:$E,'Source'!$A:$A,"160351 ORTHO- PARTNER AG.",'Source'!$B:$B,$A52)</f>
        <v>765.75</v>
      </c>
      <c r="I52" s="8" t="n">
        <f aca="false">SUMIFS('Source'!$G:$G,'Source'!$A:$A,"160351 ORTHO- PARTNER AG.",'Source'!$B:$B,$A52)</f>
        <v>0</v>
      </c>
      <c r="J52" s="8" t="n">
        <f aca="false">I52*$J$5</f>
        <v>0</v>
      </c>
      <c r="K52" s="8" t="n">
        <f aca="false">J52-H52</f>
        <v>-765.75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923</v>
      </c>
      <c r="B53" s="7" t="str">
        <f aca="false">IFERROR(INDEX('Source'!$C:$C,MATCH($A53,'Source'!$B:$B,0)),"")</f>
        <v>צוארון ספוגי צבע</v>
      </c>
      <c r="C53" s="8" t="n">
        <f aca="false">SUMIFS('Source'!$D:$D,'Source'!$A:$A,"160351 ORTHO- PARTNER AG.",'Source'!$B:$B,$A53)</f>
        <v>36</v>
      </c>
      <c r="D53" s="8" t="n">
        <f aca="false">SUMIFS('Source'!$F:$F,'Source'!$A:$A,"160351 ORTHO- PARTNER AG.",'Source'!$B:$B,$A53)</f>
        <v>5</v>
      </c>
      <c r="E53" s="8" t="n">
        <f aca="false">D53*$J$5</f>
        <v>6.31578947368421</v>
      </c>
      <c r="F53" s="8" t="n">
        <f aca="false">E53-C53</f>
        <v>-29.6842105263158</v>
      </c>
      <c r="G53" s="9" t="n">
        <f aca="false">IF(AND(C53=0,E53=0),0,IF(C53=0,"New",(E53-C53)/C53))</f>
        <v>-0.824561403508772</v>
      </c>
      <c r="H53" s="8" t="n">
        <f aca="false">SUMIFS('Source'!$E:$E,'Source'!$A:$A,"160351 ORTHO- PARTNER AG.",'Source'!$B:$B,$A53)</f>
        <v>887.28</v>
      </c>
      <c r="I53" s="8" t="n">
        <f aca="false">SUMIFS('Source'!$G:$G,'Source'!$A:$A,"160351 ORTHO- PARTNER AG.",'Source'!$B:$B,$A53)</f>
        <v>130.82</v>
      </c>
      <c r="J53" s="8" t="n">
        <f aca="false">I53*$J$5</f>
        <v>165.246315789474</v>
      </c>
      <c r="K53" s="8" t="n">
        <f aca="false">J53-H53</f>
        <v>-722.033684210526</v>
      </c>
      <c r="L53" s="9" t="n">
        <f aca="false">IF(AND(H53=0,J53=0),0,IF(H53=0,"New",(J53-H53)/H53))</f>
        <v>-0.813760801788079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349</v>
      </c>
      <c r="B54" s="7" t="str">
        <f aca="false">IFERROR(INDEX('Source'!$C:$C,MATCH($A54,'Source'!$B:$B,0)),"")</f>
        <v>חגורת גב+סגירה כפולה</v>
      </c>
      <c r="C54" s="8" t="n">
        <f aca="false">SUMIFS('Source'!$D:$D,'Source'!$A:$A,"160351 ORTHO- PARTNER AG.",'Source'!$B:$B,$A54)</f>
        <v>21</v>
      </c>
      <c r="D54" s="8" t="n">
        <f aca="false">SUMIFS('Source'!$F:$F,'Source'!$A:$A,"160351 ORTHO- PARTNER AG.",'Source'!$B:$B,$A54)</f>
        <v>41</v>
      </c>
      <c r="E54" s="8" t="n">
        <f aca="false">D54*$J$5</f>
        <v>51.7894736842105</v>
      </c>
      <c r="F54" s="8" t="n">
        <f aca="false">E54-C54</f>
        <v>30.7894736842105</v>
      </c>
      <c r="G54" s="9" t="n">
        <f aca="false">IF(AND(C54=0,E54=0),0,IF(C54=0,"New",(E54-C54)/C54))</f>
        <v>1.46616541353383</v>
      </c>
      <c r="H54" s="8" t="n">
        <f aca="false">SUMIFS('Source'!$E:$E,'Source'!$A:$A,"160351 ORTHO- PARTNER AG.",'Source'!$B:$B,$A54)</f>
        <v>1149.45</v>
      </c>
      <c r="I54" s="8" t="n">
        <f aca="false">SUMIFS('Source'!$G:$G,'Source'!$A:$A,"160351 ORTHO- PARTNER AG.",'Source'!$B:$B,$A54)</f>
        <v>1904.32</v>
      </c>
      <c r="J54" s="8" t="n">
        <f aca="false">I54*$J$5</f>
        <v>2405.45684210526</v>
      </c>
      <c r="K54" s="8" t="n">
        <f aca="false">J54-H54</f>
        <v>1256.00684210526</v>
      </c>
      <c r="L54" s="9" t="n">
        <f aca="false">IF(AND(H54=0,J54=0),0,IF(H54=0,"New",(J54-H54)/H54))</f>
        <v>1.0927024595287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646</v>
      </c>
      <c r="B55" s="7" t="str">
        <f aca="false">IFERROR(INDEX('Source'!$C:$C,MATCH($A55,'Source'!$B:$B,0)),"")</f>
        <v>חבק יד</v>
      </c>
      <c r="C55" s="8" t="n">
        <f aca="false">SUMIFS('Source'!$D:$D,'Source'!$A:$A,"160351 ORTHO- PARTNER AG.",'Source'!$B:$B,$A55)</f>
        <v>96</v>
      </c>
      <c r="D55" s="8" t="n">
        <f aca="false">SUMIFS('Source'!$F:$F,'Source'!$A:$A,"160351 ORTHO- PARTNER AG.",'Source'!$B:$B,$A55)</f>
        <v>171</v>
      </c>
      <c r="E55" s="8" t="n">
        <f aca="false">D55*$J$5</f>
        <v>216</v>
      </c>
      <c r="F55" s="8" t="n">
        <f aca="false">E55-C55</f>
        <v>120</v>
      </c>
      <c r="G55" s="9" t="n">
        <f aca="false">IF(AND(C55=0,E55=0),0,IF(C55=0,"New",(E55-C55)/C55))</f>
        <v>1.25</v>
      </c>
      <c r="H55" s="8" t="n">
        <f aca="false">SUMIFS('Source'!$E:$E,'Source'!$A:$A,"160351 ORTHO- PARTNER AG.",'Source'!$B:$B,$A55)</f>
        <v>1016.86</v>
      </c>
      <c r="I55" s="8" t="n">
        <f aca="false">SUMIFS('Source'!$G:$G,'Source'!$A:$A,"160351 ORTHO- PARTNER AG.",'Source'!$B:$B,$A55)</f>
        <v>1727.62</v>
      </c>
      <c r="J55" s="8" t="n">
        <f aca="false">I55*$J$5</f>
        <v>2182.25684210526</v>
      </c>
      <c r="K55" s="8" t="n">
        <f aca="false">J55-H55</f>
        <v>1165.39684210526</v>
      </c>
      <c r="L55" s="9" t="n">
        <f aca="false">IF(AND(H55=0,J55=0),0,IF(H55=0,"New",(J55-H55)/H55))</f>
        <v>1.14607403389381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445</v>
      </c>
      <c r="B56" s="7" t="str">
        <f aca="false">IFERROR(INDEX('Source'!$C:$C,MATCH($A56,'Source'!$B:$B,0)),"")</f>
        <v>חגורת צלעות לגבר</v>
      </c>
      <c r="C56" s="8" t="n">
        <f aca="false">SUMIFS('Source'!$D:$D,'Source'!$A:$A,"160351 ORTHO- PARTNER AG.",'Source'!$B:$B,$A56)</f>
        <v>12</v>
      </c>
      <c r="D56" s="8" t="n">
        <f aca="false">SUMIFS('Source'!$F:$F,'Source'!$A:$A,"160351 ORTHO- PARTNER AG.",'Source'!$B:$B,$A56)</f>
        <v>0</v>
      </c>
      <c r="E56" s="8" t="n">
        <f aca="false">D56*$J$5</f>
        <v>0</v>
      </c>
      <c r="F56" s="8" t="n">
        <f aca="false">E56-C56</f>
        <v>-12</v>
      </c>
      <c r="G56" s="9" t="n">
        <f aca="false">IF(AND(C56=0,E56=0),0,IF(C56=0,"New",(E56-C56)/C56))</f>
        <v>-1</v>
      </c>
      <c r="H56" s="8" t="n">
        <f aca="false">SUMIFS('Source'!$E:$E,'Source'!$A:$A,"160351 ORTHO- PARTNER AG.",'Source'!$B:$B,$A56)</f>
        <v>669.64</v>
      </c>
      <c r="I56" s="8" t="n">
        <f aca="false">SUMIFS('Source'!$G:$G,'Source'!$A:$A,"160351 ORTHO- PARTNER AG.",'Source'!$B:$B,$A56)</f>
        <v>0</v>
      </c>
      <c r="J56" s="8" t="n">
        <f aca="false">I56*$J$5</f>
        <v>0</v>
      </c>
      <c r="K56" s="8" t="n">
        <f aca="false">J56-H56</f>
        <v>-669.64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724</v>
      </c>
      <c r="B57" s="7" t="str">
        <f aca="false">IFERROR(INDEX('Source'!$C:$C,MATCH($A57,'Source'!$B:$B,0)),"")</f>
        <v>חגורת בטן</v>
      </c>
      <c r="C57" s="8" t="n">
        <f aca="false">SUMIFS('Source'!$D:$D,'Source'!$A:$A,"160351 ORTHO- PARTNER AG.",'Source'!$B:$B,$A57)</f>
        <v>60</v>
      </c>
      <c r="D57" s="8" t="n">
        <f aca="false">SUMIFS('Source'!$F:$F,'Source'!$A:$A,"160351 ORTHO- PARTNER AG.",'Source'!$B:$B,$A57)</f>
        <v>77</v>
      </c>
      <c r="E57" s="8" t="n">
        <f aca="false">D57*$J$5</f>
        <v>97.2631578947368</v>
      </c>
      <c r="F57" s="8" t="n">
        <f aca="false">E57-C57</f>
        <v>37.2631578947368</v>
      </c>
      <c r="G57" s="9" t="n">
        <f aca="false">IF(AND(C57=0,E57=0),0,IF(C57=0,"New",(E57-C57)/C57))</f>
        <v>0.621052631578947</v>
      </c>
      <c r="H57" s="8" t="n">
        <f aca="false">SUMIFS('Source'!$E:$E,'Source'!$A:$A,"160351 ORTHO- PARTNER AG.",'Source'!$B:$B,$A57)</f>
        <v>2679.46</v>
      </c>
      <c r="I57" s="8" t="n">
        <f aca="false">SUMIFS('Source'!$G:$G,'Source'!$A:$A,"160351 ORTHO- PARTNER AG.",'Source'!$B:$B,$A57)</f>
        <v>3327.6</v>
      </c>
      <c r="J57" s="8" t="n">
        <f aca="false">I57*$J$5</f>
        <v>4203.28421052632</v>
      </c>
      <c r="K57" s="8" t="n">
        <f aca="false">J57-H57</f>
        <v>1523.82421052632</v>
      </c>
      <c r="L57" s="9" t="n">
        <f aca="false">IF(AND(H57=0,J57=0),0,IF(H57=0,"New",(J57-H57)/H57))</f>
        <v>0.56870571328787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154</v>
      </c>
      <c r="B58" s="7" t="str">
        <f aca="false">IFERROR(INDEX('Source'!$C:$C,MATCH($A58,'Source'!$B:$B,0)),"")</f>
        <v>חבק טניס שחור</v>
      </c>
      <c r="C58" s="8" t="n">
        <f aca="false">SUMIFS('Source'!$D:$D,'Source'!$A:$A,"160351 ORTHO- PARTNER AG.",'Source'!$B:$B,$A58)</f>
        <v>100</v>
      </c>
      <c r="D58" s="8" t="n">
        <f aca="false">SUMIFS('Source'!$F:$F,'Source'!$A:$A,"160351 ORTHO- PARTNER AG.",'Source'!$B:$B,$A58)</f>
        <v>130</v>
      </c>
      <c r="E58" s="8" t="n">
        <f aca="false">D58*$J$5</f>
        <v>164.210526315789</v>
      </c>
      <c r="F58" s="8" t="n">
        <f aca="false">E58-C58</f>
        <v>64.2105263157895</v>
      </c>
      <c r="G58" s="9" t="n">
        <f aca="false">IF(AND(C58=0,E58=0),0,IF(C58=0,"New",(E58-C58)/C58))</f>
        <v>0.642105263157895</v>
      </c>
      <c r="H58" s="8" t="n">
        <f aca="false">SUMIFS('Source'!$E:$E,'Source'!$A:$A,"160351 ORTHO- PARTNER AG.",'Source'!$B:$B,$A58)</f>
        <v>4071.36</v>
      </c>
      <c r="I58" s="8" t="n">
        <f aca="false">SUMIFS('Source'!$G:$G,'Source'!$A:$A,"160351 ORTHO- PARTNER AG.",'Source'!$B:$B,$A58)</f>
        <v>4715.64</v>
      </c>
      <c r="J58" s="8" t="n">
        <f aca="false">I58*$J$5</f>
        <v>5956.59789473684</v>
      </c>
      <c r="K58" s="8" t="n">
        <f aca="false">J58-H58</f>
        <v>1885.23789473684</v>
      </c>
      <c r="L58" s="9" t="n">
        <f aca="false">IF(AND(H58=0,J58=0),0,IF(H58=0,"New",(J58-H58)/H58))</f>
        <v>0.46304868514129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453</v>
      </c>
      <c r="B59" s="7" t="str">
        <f aca="false">IFERROR(INDEX('Source'!$C:$C,MATCH($A59,'Source'!$B:$B,0)),"")</f>
        <v>חגורה למנותחי בטן</v>
      </c>
      <c r="C59" s="8" t="n">
        <f aca="false">SUMIFS('Source'!$D:$D,'Source'!$A:$A,"160351 ORTHO- PARTNER AG.",'Source'!$B:$B,$A59)</f>
        <v>12</v>
      </c>
      <c r="D59" s="8" t="n">
        <f aca="false">SUMIFS('Source'!$F:$F,'Source'!$A:$A,"160351 ORTHO- PARTNER AG.",'Source'!$B:$B,$A59)</f>
        <v>0</v>
      </c>
      <c r="E59" s="8" t="n">
        <f aca="false">D59*$J$5</f>
        <v>0</v>
      </c>
      <c r="F59" s="8" t="n">
        <f aca="false">E59-C59</f>
        <v>-12</v>
      </c>
      <c r="G59" s="9" t="n">
        <f aca="false">IF(AND(C59=0,E59=0),0,IF(C59=0,"New",(E59-C59)/C59))</f>
        <v>-1</v>
      </c>
      <c r="H59" s="8" t="n">
        <f aca="false">SUMIFS('Source'!$E:$E,'Source'!$A:$A,"160351 ORTHO- PARTNER AG.",'Source'!$B:$B,$A59)</f>
        <v>633.15</v>
      </c>
      <c r="I59" s="8" t="n">
        <f aca="false">SUMIFS('Source'!$G:$G,'Source'!$A:$A,"160351 ORTHO- PARTNER AG.",'Source'!$B:$B,$A59)</f>
        <v>0</v>
      </c>
      <c r="J59" s="8" t="n">
        <f aca="false">I59*$J$5</f>
        <v>0</v>
      </c>
      <c r="K59" s="8" t="n">
        <f aca="false">J59-H59</f>
        <v>-633.15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574</v>
      </c>
      <c r="B60" s="7" t="str">
        <f aca="false">IFERROR(INDEX('Source'!$C:$C,MATCH($A60,'Source'!$B:$B,0)),"")</f>
        <v>חגורת צלעות לאשה</v>
      </c>
      <c r="C60" s="8" t="n">
        <f aca="false">SUMIFS('Source'!$D:$D,'Source'!$A:$A,"160351 ORTHO- PARTNER AG.",'Source'!$B:$B,$A60)</f>
        <v>12</v>
      </c>
      <c r="D60" s="8" t="n">
        <f aca="false">SUMIFS('Source'!$F:$F,'Source'!$A:$A,"160351 ORTHO- PARTNER AG.",'Source'!$B:$B,$A60)</f>
        <v>0</v>
      </c>
      <c r="E60" s="8" t="n">
        <f aca="false">D60*$J$5</f>
        <v>0</v>
      </c>
      <c r="F60" s="8" t="n">
        <f aca="false">E60-C60</f>
        <v>-12</v>
      </c>
      <c r="G60" s="9" t="n">
        <f aca="false">IF(AND(C60=0,E60=0),0,IF(C60=0,"New",(E60-C60)/C60))</f>
        <v>-1</v>
      </c>
      <c r="H60" s="8" t="n">
        <f aca="false">SUMIFS('Source'!$E:$E,'Source'!$A:$A,"160351 ORTHO- PARTNER AG.",'Source'!$B:$B,$A60)</f>
        <v>611.58</v>
      </c>
      <c r="I60" s="8" t="n">
        <f aca="false">SUMIFS('Source'!$G:$G,'Source'!$A:$A,"160351 ORTHO- PARTNER AG.",'Source'!$B:$B,$A60)</f>
        <v>0</v>
      </c>
      <c r="J60" s="8" t="n">
        <f aca="false">I60*$J$5</f>
        <v>0</v>
      </c>
      <c r="K60" s="8" t="n">
        <f aca="false">J60-H60</f>
        <v>-611.58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547</v>
      </c>
      <c r="B61" s="7" t="str">
        <f aca="false">IFERROR(INDEX('Source'!$C:$C,MATCH($A61,'Source'!$B:$B,0)),"")</f>
        <v>חגורת צלעות לאשה</v>
      </c>
      <c r="C61" s="8" t="n">
        <f aca="false">SUMIFS('Source'!$D:$D,'Source'!$A:$A,"160351 ORTHO- PARTNER AG.",'Source'!$B:$B,$A61)</f>
        <v>12</v>
      </c>
      <c r="D61" s="8" t="n">
        <f aca="false">SUMIFS('Source'!$F:$F,'Source'!$A:$A,"160351 ORTHO- PARTNER AG.",'Source'!$B:$B,$A61)</f>
        <v>0</v>
      </c>
      <c r="E61" s="8" t="n">
        <f aca="false">D61*$J$5</f>
        <v>0</v>
      </c>
      <c r="F61" s="8" t="n">
        <f aca="false">E61-C61</f>
        <v>-12</v>
      </c>
      <c r="G61" s="9" t="n">
        <f aca="false">IF(AND(C61=0,E61=0),0,IF(C61=0,"New",(E61-C61)/C61))</f>
        <v>-1</v>
      </c>
      <c r="H61" s="8" t="n">
        <f aca="false">SUMIFS('Source'!$E:$E,'Source'!$A:$A,"160351 ORTHO- PARTNER AG.",'Source'!$B:$B,$A61)</f>
        <v>593.66</v>
      </c>
      <c r="I61" s="8" t="n">
        <f aca="false">SUMIFS('Source'!$G:$G,'Source'!$A:$A,"160351 ORTHO- PARTNER AG.",'Source'!$B:$B,$A61)</f>
        <v>0</v>
      </c>
      <c r="J61" s="8" t="n">
        <f aca="false">I61*$J$5</f>
        <v>0</v>
      </c>
      <c r="K61" s="8" t="n">
        <f aca="false">J61-H61</f>
        <v>-593.66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763</v>
      </c>
      <c r="B62" s="7" t="str">
        <f aca="false">IFERROR(INDEX('Source'!$C:$C,MATCH($A62,'Source'!$B:$B,0)),"")</f>
        <v>חגורת גב+סגירה כפולה</v>
      </c>
      <c r="C62" s="8" t="n">
        <f aca="false">SUMIFS('Source'!$D:$D,'Source'!$A:$A,"160351 ORTHO- PARTNER AG.",'Source'!$B:$B,$A62)</f>
        <v>10</v>
      </c>
      <c r="D62" s="8" t="n">
        <f aca="false">SUMIFS('Source'!$F:$F,'Source'!$A:$A,"160351 ORTHO- PARTNER AG.",'Source'!$B:$B,$A62)</f>
        <v>0</v>
      </c>
      <c r="E62" s="8" t="n">
        <f aca="false">D62*$J$5</f>
        <v>0</v>
      </c>
      <c r="F62" s="8" t="n">
        <f aca="false">E62-C62</f>
        <v>-10</v>
      </c>
      <c r="G62" s="9" t="n">
        <f aca="false">IF(AND(C62=0,E62=0),0,IF(C62=0,"New",(E62-C62)/C62))</f>
        <v>-1</v>
      </c>
      <c r="H62" s="8" t="n">
        <f aca="false">SUMIFS('Source'!$E:$E,'Source'!$A:$A,"160351 ORTHO- PARTNER AG.",'Source'!$B:$B,$A62)</f>
        <v>574.7</v>
      </c>
      <c r="I62" s="8" t="n">
        <f aca="false">SUMIFS('Source'!$G:$G,'Source'!$A:$A,"160351 ORTHO- PARTNER AG.",'Source'!$B:$B,$A62)</f>
        <v>0</v>
      </c>
      <c r="J62" s="8" t="n">
        <f aca="false">I62*$J$5</f>
        <v>0</v>
      </c>
      <c r="K62" s="8" t="n">
        <f aca="false">J62-H62</f>
        <v>-574.7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327</v>
      </c>
      <c r="B63" s="7" t="str">
        <f aca="false">IFERROR(INDEX('Source'!$C:$C,MATCH($A63,'Source'!$B:$B,0)),"")</f>
        <v>חגורת גב+סגירה כפולה</v>
      </c>
      <c r="C63" s="8" t="n">
        <f aca="false">SUMIFS('Source'!$D:$D,'Source'!$A:$A,"160351 ORTHO- PARTNER AG.",'Source'!$B:$B,$A63)</f>
        <v>10</v>
      </c>
      <c r="D63" s="8" t="n">
        <f aca="false">SUMIFS('Source'!$F:$F,'Source'!$A:$A,"160351 ORTHO- PARTNER AG.",'Source'!$B:$B,$A63)</f>
        <v>0</v>
      </c>
      <c r="E63" s="8" t="n">
        <f aca="false">D63*$J$5</f>
        <v>0</v>
      </c>
      <c r="F63" s="8" t="n">
        <f aca="false">E63-C63</f>
        <v>-10</v>
      </c>
      <c r="G63" s="9" t="n">
        <f aca="false">IF(AND(C63=0,E63=0),0,IF(C63=0,"New",(E63-C63)/C63))</f>
        <v>-1</v>
      </c>
      <c r="H63" s="8" t="n">
        <f aca="false">SUMIFS('Source'!$E:$E,'Source'!$A:$A,"160351 ORTHO- PARTNER AG.",'Source'!$B:$B,$A63)</f>
        <v>574.7</v>
      </c>
      <c r="I63" s="8" t="n">
        <f aca="false">SUMIFS('Source'!$G:$G,'Source'!$A:$A,"160351 ORTHO- PARTNER AG.",'Source'!$B:$B,$A63)</f>
        <v>0</v>
      </c>
      <c r="J63" s="8" t="n">
        <f aca="false">I63*$J$5</f>
        <v>0</v>
      </c>
      <c r="K63" s="8" t="n">
        <f aca="false">J63-H63</f>
        <v>-574.7</v>
      </c>
      <c r="L63" s="9" t="n">
        <f aca="false">IF(AND(H63=0,J63=0),0,IF(H63=0,"New",(J63-H63)/H63))</f>
        <v>-1</v>
      </c>
      <c r="M63" s="7" t="str">
        <f aca="false">IF(AND(OR(C63&lt;&gt;0,H63&lt;&gt;0),D63=0,I63=0),"DROP",IF(AND(OR(D63&lt;&gt;0,I63&lt;&gt;0),C63=0,H63=0),"NEW",""))</f>
        <v>DROP</v>
      </c>
    </row>
    <row r="64" customFormat="false" ht="15" hidden="false" customHeight="false" outlineLevel="0" collapsed="false">
      <c r="A64" s="7" t="s">
        <v>750</v>
      </c>
      <c r="B64" s="7" t="str">
        <f aca="false">IFERROR(INDEX('Source'!$C:$C,MATCH($A64,'Source'!$B:$B,0)),"")</f>
        <v>חגורת צלעות לאשה</v>
      </c>
      <c r="C64" s="8" t="n">
        <f aca="false">SUMIFS('Source'!$D:$D,'Source'!$A:$A,"160351 ORTHO- PARTNER AG.",'Source'!$B:$B,$A64)</f>
        <v>12</v>
      </c>
      <c r="D64" s="8" t="n">
        <f aca="false">SUMIFS('Source'!$F:$F,'Source'!$A:$A,"160351 ORTHO- PARTNER AG.",'Source'!$B:$B,$A64)</f>
        <v>0</v>
      </c>
      <c r="E64" s="8" t="n">
        <f aca="false">D64*$J$5</f>
        <v>0</v>
      </c>
      <c r="F64" s="8" t="n">
        <f aca="false">E64-C64</f>
        <v>-12</v>
      </c>
      <c r="G64" s="9" t="n">
        <f aca="false">IF(AND(C64=0,E64=0),0,IF(C64=0,"New",(E64-C64)/C64))</f>
        <v>-1</v>
      </c>
      <c r="H64" s="8" t="n">
        <f aca="false">SUMIFS('Source'!$E:$E,'Source'!$A:$A,"160351 ORTHO- PARTNER AG.",'Source'!$B:$B,$A64)</f>
        <v>551.69</v>
      </c>
      <c r="I64" s="8" t="n">
        <f aca="false">SUMIFS('Source'!$G:$G,'Source'!$A:$A,"160351 ORTHO- PARTNER AG.",'Source'!$B:$B,$A64)</f>
        <v>0</v>
      </c>
      <c r="J64" s="8" t="n">
        <f aca="false">I64*$J$5</f>
        <v>0</v>
      </c>
      <c r="K64" s="8" t="n">
        <f aca="false">J64-H64</f>
        <v>-551.69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708</v>
      </c>
      <c r="B65" s="7" t="str">
        <f aca="false">IFERROR(INDEX('Source'!$C:$C,MATCH($A65,'Source'!$B:$B,0)),"")</f>
        <v>מיצב כתפיים</v>
      </c>
      <c r="C65" s="8" t="n">
        <f aca="false">SUMIFS('Source'!$D:$D,'Source'!$A:$A,"160351 ORTHO- PARTNER AG.",'Source'!$B:$B,$A65)</f>
        <v>12</v>
      </c>
      <c r="D65" s="8" t="n">
        <f aca="false">SUMIFS('Source'!$F:$F,'Source'!$A:$A,"160351 ORTHO- PARTNER AG.",'Source'!$B:$B,$A65)</f>
        <v>5</v>
      </c>
      <c r="E65" s="8" t="n">
        <f aca="false">D65*$J$5</f>
        <v>6.31578947368421</v>
      </c>
      <c r="F65" s="8" t="n">
        <f aca="false">E65-C65</f>
        <v>-5.68421052631579</v>
      </c>
      <c r="G65" s="9" t="n">
        <f aca="false">IF(AND(C65=0,E65=0),0,IF(C65=0,"New",(E65-C65)/C65))</f>
        <v>-0.473684210526316</v>
      </c>
      <c r="H65" s="8" t="n">
        <f aca="false">SUMIFS('Source'!$E:$E,'Source'!$A:$A,"160351 ORTHO- PARTNER AG.",'Source'!$B:$B,$A65)</f>
        <v>934.66</v>
      </c>
      <c r="I65" s="8" t="n">
        <f aca="false">SUMIFS('Source'!$G:$G,'Source'!$A:$A,"160351 ORTHO- PARTNER AG.",'Source'!$B:$B,$A65)</f>
        <v>407.71</v>
      </c>
      <c r="J65" s="8" t="n">
        <f aca="false">I65*$J$5</f>
        <v>515.002105263158</v>
      </c>
      <c r="K65" s="8" t="n">
        <f aca="false">J65-H65</f>
        <v>-419.657894736842</v>
      </c>
      <c r="L65" s="9" t="n">
        <f aca="false">IF(AND(H65=0,J65=0),0,IF(H65=0,"New",(J65-H65)/H65))</f>
        <v>-0.44899524397839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114</v>
      </c>
      <c r="B66" s="7" t="str">
        <f aca="false">IFERROR(INDEX('Source'!$C:$C,MATCH($A66,'Source'!$B:$B,0)),"")</f>
        <v>כפפת CTS ימין</v>
      </c>
      <c r="C66" s="8" t="n">
        <f aca="false">SUMIFS('Source'!$D:$D,'Source'!$A:$A,"160351 ORTHO- PARTNER AG.",'Source'!$B:$B,$A66)</f>
        <v>15</v>
      </c>
      <c r="D66" s="8" t="n">
        <f aca="false">SUMIFS('Source'!$F:$F,'Source'!$A:$A,"160351 ORTHO- PARTNER AG.",'Source'!$B:$B,$A66)</f>
        <v>30</v>
      </c>
      <c r="E66" s="8" t="n">
        <f aca="false">D66*$J$5</f>
        <v>37.8947368421053</v>
      </c>
      <c r="F66" s="8" t="n">
        <f aca="false">E66-C66</f>
        <v>22.8947368421053</v>
      </c>
      <c r="G66" s="9" t="n">
        <f aca="false">IF(AND(C66=0,E66=0),0,IF(C66=0,"New",(E66-C66)/C66))</f>
        <v>1.52631578947368</v>
      </c>
      <c r="H66" s="8" t="n">
        <f aca="false">SUMIFS('Source'!$E:$E,'Source'!$A:$A,"160351 ORTHO- PARTNER AG.",'Source'!$B:$B,$A66)</f>
        <v>575.1</v>
      </c>
      <c r="I66" s="8" t="n">
        <f aca="false">SUMIFS('Source'!$G:$G,'Source'!$A:$A,"160351 ORTHO- PARTNER AG.",'Source'!$B:$B,$A66)</f>
        <v>1082.65</v>
      </c>
      <c r="J66" s="8" t="n">
        <f aca="false">I66*$J$5</f>
        <v>1367.55789473684</v>
      </c>
      <c r="K66" s="8" t="n">
        <f aca="false">J66-H66</f>
        <v>792.457894736842</v>
      </c>
      <c r="L66" s="9" t="n">
        <f aca="false">IF(AND(H66=0,J66=0),0,IF(H66=0,"New",(J66-H66)/H66))</f>
        <v>1.37794799989018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493</v>
      </c>
      <c r="B67" s="7" t="str">
        <f aca="false">IFERROR(INDEX('Source'!$C:$C,MATCH($A67,'Source'!$B:$B,0)),"")</f>
        <v>מיתלה שרוול</v>
      </c>
      <c r="C67" s="8" t="n">
        <f aca="false">SUMIFS('Source'!$D:$D,'Source'!$A:$A,"160351 ORTHO- PARTNER AG.",'Source'!$B:$B,$A67)</f>
        <v>0</v>
      </c>
      <c r="D67" s="8" t="n">
        <f aca="false">SUMIFS('Source'!$F:$F,'Source'!$A:$A,"160351 ORTHO- PARTNER AG.",'Source'!$B:$B,$A67)</f>
        <v>5</v>
      </c>
      <c r="E67" s="8" t="n">
        <f aca="false">D67*$J$5</f>
        <v>6.31578947368421</v>
      </c>
      <c r="F67" s="8" t="n">
        <f aca="false">E67-C67</f>
        <v>6.31578947368421</v>
      </c>
      <c r="G67" s="9" t="str">
        <f aca="false">IF(AND(C67=0,E67=0),0,IF(C67=0,"New",(E67-C67)/C67))</f>
        <v>New</v>
      </c>
      <c r="H67" s="8" t="n">
        <f aca="false">SUMIFS('Source'!$E:$E,'Source'!$A:$A,"160351 ORTHO- PARTNER AG.",'Source'!$B:$B,$A67)</f>
        <v>0</v>
      </c>
      <c r="I67" s="8" t="n">
        <f aca="false">SUMIFS('Source'!$G:$G,'Source'!$A:$A,"160351 ORTHO- PARTNER AG.",'Source'!$B:$B,$A67)</f>
        <v>487.46</v>
      </c>
      <c r="J67" s="8" t="n">
        <f aca="false">I67*$J$5</f>
        <v>615.738947368421</v>
      </c>
      <c r="K67" s="8" t="n">
        <f aca="false">J67-H67</f>
        <v>615.738947368421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580</v>
      </c>
      <c r="B68" s="7" t="str">
        <f aca="false">IFERROR(INDEX('Source'!$C:$C,MATCH($A68,'Source'!$B:$B,0)),"")</f>
        <v>מגן ברך רגיל</v>
      </c>
      <c r="C68" s="8" t="n">
        <f aca="false">SUMIFS('Source'!$D:$D,'Source'!$A:$A,"160351 ORTHO- PARTNER AG.",'Source'!$B:$B,$A68)</f>
        <v>42</v>
      </c>
      <c r="D68" s="8" t="n">
        <f aca="false">SUMIFS('Source'!$F:$F,'Source'!$A:$A,"160351 ORTHO- PARTNER AG.",'Source'!$B:$B,$A68)</f>
        <v>0</v>
      </c>
      <c r="E68" s="8" t="n">
        <f aca="false">D68*$J$5</f>
        <v>0</v>
      </c>
      <c r="F68" s="8" t="n">
        <f aca="false">E68-C68</f>
        <v>-42</v>
      </c>
      <c r="G68" s="9" t="n">
        <f aca="false">IF(AND(C68=0,E68=0),0,IF(C68=0,"New",(E68-C68)/C68))</f>
        <v>-1</v>
      </c>
      <c r="H68" s="8" t="n">
        <f aca="false">SUMIFS('Source'!$E:$E,'Source'!$A:$A,"160351 ORTHO- PARTNER AG.",'Source'!$B:$B,$A68)</f>
        <v>467.55</v>
      </c>
      <c r="I68" s="8" t="n">
        <f aca="false">SUMIFS('Source'!$G:$G,'Source'!$A:$A,"160351 ORTHO- PARTNER AG.",'Source'!$B:$B,$A68)</f>
        <v>0</v>
      </c>
      <c r="J68" s="8" t="n">
        <f aca="false">I68*$J$5</f>
        <v>0</v>
      </c>
      <c r="K68" s="8" t="n">
        <f aca="false">J68-H68</f>
        <v>-467.55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924</v>
      </c>
      <c r="B69" s="7" t="str">
        <f aca="false">IFERROR(INDEX('Source'!$C:$C,MATCH($A69,'Source'!$B:$B,0)),"")</f>
        <v>מכשיר ליצוב הבוהן שמעל</v>
      </c>
      <c r="C69" s="8" t="n">
        <f aca="false">SUMIFS('Source'!$D:$D,'Source'!$A:$A,"160351 ORTHO- PARTNER AG.",'Source'!$B:$B,$A69)</f>
        <v>60</v>
      </c>
      <c r="D69" s="8" t="n">
        <f aca="false">SUMIFS('Source'!$F:$F,'Source'!$A:$A,"160351 ORTHO- PARTNER AG.",'Source'!$B:$B,$A69)</f>
        <v>79</v>
      </c>
      <c r="E69" s="8" t="n">
        <f aca="false">D69*$J$5</f>
        <v>99.7894736842105</v>
      </c>
      <c r="F69" s="8" t="n">
        <f aca="false">E69-C69</f>
        <v>39.7894736842105</v>
      </c>
      <c r="G69" s="9" t="n">
        <f aca="false">IF(AND(C69=0,E69=0),0,IF(C69=0,"New",(E69-C69)/C69))</f>
        <v>0.663157894736842</v>
      </c>
      <c r="H69" s="8" t="n">
        <f aca="false">SUMIFS('Source'!$E:$E,'Source'!$A:$A,"160351 ORTHO- PARTNER AG.",'Source'!$B:$B,$A69)</f>
        <v>1931.87</v>
      </c>
      <c r="I69" s="8" t="n">
        <f aca="false">SUMIFS('Source'!$G:$G,'Source'!$A:$A,"160351 ORTHO- PARTNER AG.",'Source'!$B:$B,$A69)</f>
        <v>2388.95</v>
      </c>
      <c r="J69" s="8" t="n">
        <f aca="false">I69*$J$5</f>
        <v>3017.62105263158</v>
      </c>
      <c r="K69" s="8" t="n">
        <f aca="false">J69-H69</f>
        <v>1085.75105263158</v>
      </c>
      <c r="L69" s="9" t="n">
        <f aca="false">IF(AND(H69=0,J69=0),0,IF(H69=0,"New",(J69-H69)/H69))</f>
        <v>0.562020763628804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596</v>
      </c>
      <c r="B70" s="7" t="str">
        <f aca="false">IFERROR(INDEX('Source'!$C:$C,MATCH($A70,'Source'!$B:$B,0)),"")</f>
        <v>צוארון ספוגי</v>
      </c>
      <c r="C70" s="8" t="n">
        <f aca="false">SUMIFS('Source'!$D:$D,'Source'!$A:$A,"160351 ORTHO- PARTNER AG.",'Source'!$B:$B,$A70)</f>
        <v>60</v>
      </c>
      <c r="D70" s="8" t="n">
        <f aca="false">SUMIFS('Source'!$F:$F,'Source'!$A:$A,"160351 ORTHO- PARTNER AG.",'Source'!$B:$B,$A70)</f>
        <v>44</v>
      </c>
      <c r="E70" s="8" t="n">
        <f aca="false">D70*$J$5</f>
        <v>55.5789473684211</v>
      </c>
      <c r="F70" s="8" t="n">
        <f aca="false">E70-C70</f>
        <v>-4.42105263157895</v>
      </c>
      <c r="G70" s="9" t="n">
        <f aca="false">IF(AND(C70=0,E70=0),0,IF(C70=0,"New",(E70-C70)/C70))</f>
        <v>-0.0736842105263159</v>
      </c>
      <c r="H70" s="8" t="n">
        <f aca="false">SUMIFS('Source'!$E:$E,'Source'!$A:$A,"160351 ORTHO- PARTNER AG.",'Source'!$B:$B,$A70)</f>
        <v>1374.44</v>
      </c>
      <c r="I70" s="8" t="n">
        <f aca="false">SUMIFS('Source'!$G:$G,'Source'!$A:$A,"160351 ORTHO- PARTNER AG.",'Source'!$B:$B,$A70)</f>
        <v>961.21</v>
      </c>
      <c r="J70" s="8" t="n">
        <f aca="false">I70*$J$5</f>
        <v>1214.16</v>
      </c>
      <c r="K70" s="8" t="n">
        <f aca="false">J70-H70</f>
        <v>-160.28</v>
      </c>
      <c r="L70" s="9" t="n">
        <f aca="false">IF(AND(H70=0,J70=0),0,IF(H70=0,"New",(J70-H70)/H70))</f>
        <v>-0.116614766741364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925</v>
      </c>
      <c r="B71" s="7" t="str">
        <f aca="false">IFERROR(INDEX('Source'!$C:$C,MATCH($A71,'Source'!$B:$B,0)),"")</f>
        <v>צוארון ספוגי צבע</v>
      </c>
      <c r="C71" s="8" t="n">
        <f aca="false">SUMIFS('Source'!$D:$D,'Source'!$A:$A,"160351 ORTHO- PARTNER AG.",'Source'!$B:$B,$A71)</f>
        <v>0</v>
      </c>
      <c r="D71" s="8" t="n">
        <f aca="false">SUMIFS('Source'!$F:$F,'Source'!$A:$A,"160351 ORTHO- PARTNER AG.",'Source'!$B:$B,$A71)</f>
        <v>16</v>
      </c>
      <c r="E71" s="8" t="n">
        <f aca="false">D71*$J$5</f>
        <v>20.2105263157895</v>
      </c>
      <c r="F71" s="8" t="n">
        <f aca="false">E71-C71</f>
        <v>20.2105263157895</v>
      </c>
      <c r="G71" s="9" t="str">
        <f aca="false">IF(AND(C71=0,E71=0),0,IF(C71=0,"New",(E71-C71)/C71))</f>
        <v>New</v>
      </c>
      <c r="H71" s="8" t="n">
        <f aca="false">SUMIFS('Source'!$E:$E,'Source'!$A:$A,"160351 ORTHO- PARTNER AG.",'Source'!$B:$B,$A71)</f>
        <v>0</v>
      </c>
      <c r="I71" s="8" t="n">
        <f aca="false">SUMIFS('Source'!$G:$G,'Source'!$A:$A,"160351 ORTHO- PARTNER AG.",'Source'!$B:$B,$A71)</f>
        <v>401.07</v>
      </c>
      <c r="J71" s="8" t="n">
        <f aca="false">I71*$J$5</f>
        <v>506.614736842105</v>
      </c>
      <c r="K71" s="8" t="n">
        <f aca="false">J71-H71</f>
        <v>506.614736842105</v>
      </c>
      <c r="L71" s="9" t="str">
        <f aca="false">IF(AND(H71=0,J71=0),0,IF(H71=0,"New",(J71-H71)/H71))</f>
        <v>New</v>
      </c>
      <c r="M71" s="7" t="str">
        <f aca="false">IF(AND(OR(C71&lt;&gt;0,H71&lt;&gt;0),D71=0,I71=0),"DROP",IF(AND(OR(D71&lt;&gt;0,I71&lt;&gt;0),C71=0,H71=0),"NEW",""))</f>
        <v>NEW</v>
      </c>
    </row>
    <row r="72" customFormat="false" ht="15" hidden="false" customHeight="false" outlineLevel="0" collapsed="false">
      <c r="A72" s="7" t="s">
        <v>160</v>
      </c>
      <c r="B72" s="7" t="str">
        <f aca="false">IFERROR(INDEX('Source'!$C:$C,MATCH($A72,'Source'!$B:$B,0)),"")</f>
        <v>חגורת גב+סגירה כפולה</v>
      </c>
      <c r="C72" s="8" t="n">
        <f aca="false">SUMIFS('Source'!$D:$D,'Source'!$A:$A,"160351 ORTHO- PARTNER AG.",'Source'!$B:$B,$A72)</f>
        <v>10</v>
      </c>
      <c r="D72" s="8" t="n">
        <f aca="false">SUMIFS('Source'!$F:$F,'Source'!$A:$A,"160351 ORTHO- PARTNER AG.",'Source'!$B:$B,$A72)</f>
        <v>20</v>
      </c>
      <c r="E72" s="8" t="n">
        <f aca="false">D72*$J$5</f>
        <v>25.2631578947368</v>
      </c>
      <c r="F72" s="8" t="n">
        <f aca="false">E72-C72</f>
        <v>15.2631578947368</v>
      </c>
      <c r="G72" s="9" t="n">
        <f aca="false">IF(AND(C72=0,E72=0),0,IF(C72=0,"New",(E72-C72)/C72))</f>
        <v>1.52631578947368</v>
      </c>
      <c r="H72" s="8" t="n">
        <f aca="false">SUMIFS('Source'!$E:$E,'Source'!$A:$A,"160351 ORTHO- PARTNER AG.",'Source'!$B:$B,$A72)</f>
        <v>574.7</v>
      </c>
      <c r="I72" s="8" t="n">
        <f aca="false">SUMIFS('Source'!$G:$G,'Source'!$A:$A,"160351 ORTHO- PARTNER AG.",'Source'!$B:$B,$A72)</f>
        <v>960.49</v>
      </c>
      <c r="J72" s="8" t="n">
        <f aca="false">I72*$J$5</f>
        <v>1213.25052631579</v>
      </c>
      <c r="K72" s="8" t="n">
        <f aca="false">J72-H72</f>
        <v>638.550526315789</v>
      </c>
      <c r="L72" s="9" t="n">
        <f aca="false">IF(AND(H72=0,J72=0),0,IF(H72=0,"New",(J72-H72)/H72))</f>
        <v>1.11110236004139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213</v>
      </c>
      <c r="B73" s="7" t="str">
        <f aca="false">IFERROR(INDEX('Source'!$C:$C,MATCH($A73,'Source'!$B:$B,0)),"")</f>
        <v>סד יד</v>
      </c>
      <c r="C73" s="8" t="n">
        <f aca="false">SUMIFS('Source'!$D:$D,'Source'!$A:$A,"160351 ORTHO- PARTNER AG.",'Source'!$B:$B,$A73)</f>
        <v>24</v>
      </c>
      <c r="D73" s="8" t="n">
        <f aca="false">SUMIFS('Source'!$F:$F,'Source'!$A:$A,"160351 ORTHO- PARTNER AG.",'Source'!$B:$B,$A73)</f>
        <v>0</v>
      </c>
      <c r="E73" s="8" t="n">
        <f aca="false">D73*$J$5</f>
        <v>0</v>
      </c>
      <c r="F73" s="8" t="n">
        <f aca="false">E73-C73</f>
        <v>-24</v>
      </c>
      <c r="G73" s="9" t="n">
        <f aca="false">IF(AND(C73=0,E73=0),0,IF(C73=0,"New",(E73-C73)/C73))</f>
        <v>-1</v>
      </c>
      <c r="H73" s="8" t="n">
        <f aca="false">SUMIFS('Source'!$E:$E,'Source'!$A:$A,"160351 ORTHO- PARTNER AG.",'Source'!$B:$B,$A73)</f>
        <v>383.88</v>
      </c>
      <c r="I73" s="8" t="n">
        <f aca="false">SUMIFS('Source'!$G:$G,'Source'!$A:$A,"160351 ORTHO- PARTNER AG.",'Source'!$B:$B,$A73)</f>
        <v>0</v>
      </c>
      <c r="J73" s="8" t="n">
        <f aca="false">I73*$J$5</f>
        <v>0</v>
      </c>
      <c r="K73" s="8" t="n">
        <f aca="false">J73-H73</f>
        <v>-383.88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96</v>
      </c>
      <c r="B74" s="7" t="str">
        <f aca="false">IFERROR(INDEX('Source'!$C:$C,MATCH($A74,'Source'!$B:$B,0)),"")</f>
        <v>סד יד</v>
      </c>
      <c r="C74" s="8" t="n">
        <f aca="false">SUMIFS('Source'!$D:$D,'Source'!$A:$A,"160351 ORTHO- PARTNER AG.",'Source'!$B:$B,$A74)</f>
        <v>24</v>
      </c>
      <c r="D74" s="8" t="n">
        <f aca="false">SUMIFS('Source'!$F:$F,'Source'!$A:$A,"160351 ORTHO- PARTNER AG.",'Source'!$B:$B,$A74)</f>
        <v>0</v>
      </c>
      <c r="E74" s="8" t="n">
        <f aca="false">D74*$J$5</f>
        <v>0</v>
      </c>
      <c r="F74" s="8" t="n">
        <f aca="false">E74-C74</f>
        <v>-24</v>
      </c>
      <c r="G74" s="9" t="n">
        <f aca="false">IF(AND(C74=0,E74=0),0,IF(C74=0,"New",(E74-C74)/C74))</f>
        <v>-1</v>
      </c>
      <c r="H74" s="8" t="n">
        <f aca="false">SUMIFS('Source'!$E:$E,'Source'!$A:$A,"160351 ORTHO- PARTNER AG.",'Source'!$B:$B,$A74)</f>
        <v>383.88</v>
      </c>
      <c r="I74" s="8" t="n">
        <f aca="false">SUMIFS('Source'!$G:$G,'Source'!$A:$A,"160351 ORTHO- PARTNER AG.",'Source'!$B:$B,$A74)</f>
        <v>0</v>
      </c>
      <c r="J74" s="8" t="n">
        <f aca="false">I74*$J$5</f>
        <v>0</v>
      </c>
      <c r="K74" s="8" t="n">
        <f aca="false">J74-H74</f>
        <v>-383.88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700</v>
      </c>
      <c r="B75" s="7" t="str">
        <f aca="false">IFERROR(INDEX('Source'!$C:$C,MATCH($A75,'Source'!$B:$B,0)),"")</f>
        <v>אצבעון מפלסטיק  ליד</v>
      </c>
      <c r="C75" s="8" t="n">
        <f aca="false">SUMIFS('Source'!$D:$D,'Source'!$A:$A,"160351 ORTHO- PARTNER AG.",'Source'!$B:$B,$A75)</f>
        <v>120</v>
      </c>
      <c r="D75" s="8" t="n">
        <f aca="false">SUMIFS('Source'!$F:$F,'Source'!$A:$A,"160351 ORTHO- PARTNER AG.",'Source'!$B:$B,$A75)</f>
        <v>82</v>
      </c>
      <c r="E75" s="8" t="n">
        <f aca="false">D75*$J$5</f>
        <v>103.578947368421</v>
      </c>
      <c r="F75" s="8" t="n">
        <f aca="false">E75-C75</f>
        <v>-16.421052631579</v>
      </c>
      <c r="G75" s="9" t="n">
        <f aca="false">IF(AND(C75=0,E75=0),0,IF(C75=0,"New",(E75-C75)/C75))</f>
        <v>-0.136842105263158</v>
      </c>
      <c r="H75" s="8" t="n">
        <f aca="false">SUMIFS('Source'!$E:$E,'Source'!$A:$A,"160351 ORTHO- PARTNER AG.",'Source'!$B:$B,$A75)</f>
        <v>998.44</v>
      </c>
      <c r="I75" s="8" t="n">
        <f aca="false">SUMIFS('Source'!$G:$G,'Source'!$A:$A,"160351 ORTHO- PARTNER AG.",'Source'!$B:$B,$A75)</f>
        <v>627.49</v>
      </c>
      <c r="J75" s="8" t="n">
        <f aca="false">I75*$J$5</f>
        <v>792.618947368421</v>
      </c>
      <c r="K75" s="8" t="n">
        <f aca="false">J75-H75</f>
        <v>-205.821052631579</v>
      </c>
      <c r="L75" s="9" t="n">
        <f aca="false">IF(AND(H75=0,J75=0),0,IF(H75=0,"New",(J75-H75)/H75))</f>
        <v>-0.206142635142401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926</v>
      </c>
      <c r="B76" s="7" t="str">
        <f aca="false">IFERROR(INDEX('Source'!$C:$C,MATCH($A76,'Source'!$B:$B,0)),"")</f>
        <v>צוארון ספוגי צבע</v>
      </c>
      <c r="C76" s="8" t="n">
        <f aca="false">SUMIFS('Source'!$D:$D,'Source'!$A:$A,"160351 ORTHO- PARTNER AG.",'Source'!$B:$B,$A76)</f>
        <v>12</v>
      </c>
      <c r="D76" s="8" t="n">
        <f aca="false">SUMIFS('Source'!$F:$F,'Source'!$A:$A,"160351 ORTHO- PARTNER AG.",'Source'!$B:$B,$A76)</f>
        <v>0</v>
      </c>
      <c r="E76" s="8" t="n">
        <f aca="false">D76*$J$5</f>
        <v>0</v>
      </c>
      <c r="F76" s="8" t="n">
        <f aca="false">E76-C76</f>
        <v>-12</v>
      </c>
      <c r="G76" s="9" t="n">
        <f aca="false">IF(AND(C76=0,E76=0),0,IF(C76=0,"New",(E76-C76)/C76))</f>
        <v>-1</v>
      </c>
      <c r="H76" s="8" t="n">
        <f aca="false">SUMIFS('Source'!$E:$E,'Source'!$A:$A,"160351 ORTHO- PARTNER AG.",'Source'!$B:$B,$A76)</f>
        <v>293.7</v>
      </c>
      <c r="I76" s="8" t="n">
        <f aca="false">SUMIFS('Source'!$G:$G,'Source'!$A:$A,"160351 ORTHO- PARTNER AG.",'Source'!$B:$B,$A76)</f>
        <v>0</v>
      </c>
      <c r="J76" s="8" t="n">
        <f aca="false">I76*$J$5</f>
        <v>0</v>
      </c>
      <c r="K76" s="8" t="n">
        <f aca="false">J76-H76</f>
        <v>-293.7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460</v>
      </c>
      <c r="B77" s="7" t="str">
        <f aca="false">IFERROR(INDEX('Source'!$C:$C,MATCH($A77,'Source'!$B:$B,0)),"")</f>
        <v>צוארון ספוגי</v>
      </c>
      <c r="C77" s="8" t="n">
        <f aca="false">SUMIFS('Source'!$D:$D,'Source'!$A:$A,"160351 ORTHO- PARTNER AG.",'Source'!$B:$B,$A77)</f>
        <v>12</v>
      </c>
      <c r="D77" s="8" t="n">
        <f aca="false">SUMIFS('Source'!$F:$F,'Source'!$A:$A,"160351 ORTHO- PARTNER AG.",'Source'!$B:$B,$A77)</f>
        <v>0</v>
      </c>
      <c r="E77" s="8" t="n">
        <f aca="false">D77*$J$5</f>
        <v>0</v>
      </c>
      <c r="F77" s="8" t="n">
        <f aca="false">E77-C77</f>
        <v>-12</v>
      </c>
      <c r="G77" s="9" t="n">
        <f aca="false">IF(AND(C77=0,E77=0),0,IF(C77=0,"New",(E77-C77)/C77))</f>
        <v>-1</v>
      </c>
      <c r="H77" s="8" t="n">
        <f aca="false">SUMIFS('Source'!$E:$E,'Source'!$A:$A,"160351 ORTHO- PARTNER AG.",'Source'!$B:$B,$A77)</f>
        <v>286.12</v>
      </c>
      <c r="I77" s="8" t="n">
        <f aca="false">SUMIFS('Source'!$G:$G,'Source'!$A:$A,"160351 ORTHO- PARTNER AG.",'Source'!$B:$B,$A77)</f>
        <v>0</v>
      </c>
      <c r="J77" s="8" t="n">
        <f aca="false">I77*$J$5</f>
        <v>0</v>
      </c>
      <c r="K77" s="8" t="n">
        <f aca="false">J77-H77</f>
        <v>-286.12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696</v>
      </c>
      <c r="B78" s="7" t="str">
        <f aca="false">IFERROR(INDEX('Source'!$C:$C,MATCH($A78,'Source'!$B:$B,0)),"")</f>
        <v>אצבעון מפלסטיק  ליד</v>
      </c>
      <c r="C78" s="8" t="n">
        <f aca="false">SUMIFS('Source'!$D:$D,'Source'!$A:$A,"160351 ORTHO- PARTNER AG.",'Source'!$B:$B,$A78)</f>
        <v>132</v>
      </c>
      <c r="D78" s="8" t="n">
        <f aca="false">SUMIFS('Source'!$F:$F,'Source'!$A:$A,"160351 ORTHO- PARTNER AG.",'Source'!$B:$B,$A78)</f>
        <v>104</v>
      </c>
      <c r="E78" s="8" t="n">
        <f aca="false">D78*$J$5</f>
        <v>131.368421052632</v>
      </c>
      <c r="F78" s="8" t="n">
        <f aca="false">E78-C78</f>
        <v>-0.631578947368439</v>
      </c>
      <c r="G78" s="9" t="n">
        <f aca="false">IF(AND(C78=0,E78=0),0,IF(C78=0,"New",(E78-C78)/C78))</f>
        <v>-0.00478468899521545</v>
      </c>
      <c r="H78" s="8" t="n">
        <f aca="false">SUMIFS('Source'!$E:$E,'Source'!$A:$A,"160351 ORTHO- PARTNER AG.",'Source'!$B:$B,$A78)</f>
        <v>1082.3</v>
      </c>
      <c r="I78" s="8" t="n">
        <f aca="false">SUMIFS('Source'!$G:$G,'Source'!$A:$A,"160351 ORTHO- PARTNER AG.",'Source'!$B:$B,$A78)</f>
        <v>799.1</v>
      </c>
      <c r="J78" s="8" t="n">
        <f aca="false">I78*$J$5</f>
        <v>1009.38947368421</v>
      </c>
      <c r="K78" s="8" t="n">
        <f aca="false">J78-H78</f>
        <v>-72.9105263157894</v>
      </c>
      <c r="L78" s="9" t="n">
        <f aca="false">IF(AND(H78=0,J78=0),0,IF(H78=0,"New",(J78-H78)/H78))</f>
        <v>-0.067366281359872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485</v>
      </c>
      <c r="B79" s="7" t="str">
        <f aca="false">IFERROR(INDEX('Source'!$C:$C,MATCH($A79,'Source'!$B:$B,0)),"")</f>
        <v>סד יד דו צדדי</v>
      </c>
      <c r="C79" s="8" t="n">
        <f aca="false">SUMIFS('Source'!$D:$D,'Source'!$A:$A,"160351 ORTHO- PARTNER AG.",'Source'!$B:$B,$A79)</f>
        <v>12</v>
      </c>
      <c r="D79" s="8" t="n">
        <f aca="false">SUMIFS('Source'!$F:$F,'Source'!$A:$A,"160351 ORTHO- PARTNER AG.",'Source'!$B:$B,$A79)</f>
        <v>6</v>
      </c>
      <c r="E79" s="8" t="n">
        <f aca="false">D79*$J$5</f>
        <v>7.57894736842105</v>
      </c>
      <c r="F79" s="8" t="n">
        <f aca="false">E79-C79</f>
        <v>-4.42105263157895</v>
      </c>
      <c r="G79" s="9" t="n">
        <f aca="false">IF(AND(C79=0,E79=0),0,IF(C79=0,"New",(E79-C79)/C79))</f>
        <v>-0.368421052631579</v>
      </c>
      <c r="H79" s="8" t="n">
        <f aca="false">SUMIFS('Source'!$E:$E,'Source'!$A:$A,"160351 ORTHO- PARTNER AG.",'Source'!$B:$B,$A79)</f>
        <v>499.83</v>
      </c>
      <c r="I79" s="8" t="n">
        <f aca="false">SUMIFS('Source'!$G:$G,'Source'!$A:$A,"160351 ORTHO- PARTNER AG.",'Source'!$B:$B,$A79)</f>
        <v>218.06</v>
      </c>
      <c r="J79" s="8" t="n">
        <f aca="false">I79*$J$5</f>
        <v>275.444210526316</v>
      </c>
      <c r="K79" s="8" t="n">
        <f aca="false">J79-H79</f>
        <v>-224.385789473684</v>
      </c>
      <c r="L79" s="9" t="n">
        <f aca="false">IF(AND(H79=0,J79=0),0,IF(H79=0,"New",(J79-H79)/H79))</f>
        <v>-0.44892421317985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927</v>
      </c>
      <c r="B80" s="7" t="str">
        <f aca="false">IFERROR(INDEX('Source'!$C:$C,MATCH($A80,'Source'!$B:$B,0)),"")</f>
        <v>חגורת צלעות לאשה</v>
      </c>
      <c r="C80" s="8" t="n">
        <f aca="false">SUMIFS('Source'!$D:$D,'Source'!$A:$A,"160351 ORTHO- PARTNER AG.",'Source'!$B:$B,$A80)</f>
        <v>6</v>
      </c>
      <c r="D80" s="8" t="n">
        <f aca="false">SUMIFS('Source'!$F:$F,'Source'!$A:$A,"160351 ORTHO- PARTNER AG.",'Source'!$B:$B,$A80)</f>
        <v>0</v>
      </c>
      <c r="E80" s="8" t="n">
        <f aca="false">D80*$J$5</f>
        <v>0</v>
      </c>
      <c r="F80" s="8" t="n">
        <f aca="false">E80-C80</f>
        <v>-6</v>
      </c>
      <c r="G80" s="9" t="n">
        <f aca="false">IF(AND(C80=0,E80=0),0,IF(C80=0,"New",(E80-C80)/C80))</f>
        <v>-1</v>
      </c>
      <c r="H80" s="8" t="n">
        <f aca="false">SUMIFS('Source'!$E:$E,'Source'!$A:$A,"160351 ORTHO- PARTNER AG.",'Source'!$B:$B,$A80)</f>
        <v>276.59</v>
      </c>
      <c r="I80" s="8" t="n">
        <f aca="false">SUMIFS('Source'!$G:$G,'Source'!$A:$A,"160351 ORTHO- PARTNER AG.",'Source'!$B:$B,$A80)</f>
        <v>0</v>
      </c>
      <c r="J80" s="8" t="n">
        <f aca="false">I80*$J$5</f>
        <v>0</v>
      </c>
      <c r="K80" s="8" t="n">
        <f aca="false">J80-H80</f>
        <v>-276.59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578</v>
      </c>
      <c r="B81" s="7" t="str">
        <f aca="false">IFERROR(INDEX('Source'!$C:$C,MATCH($A81,'Source'!$B:$B,0)),"")</f>
        <v>מגן ברך רגיל</v>
      </c>
      <c r="C81" s="8" t="n">
        <f aca="false">SUMIFS('Source'!$D:$D,'Source'!$A:$A,"160351 ORTHO- PARTNER AG.",'Source'!$B:$B,$A81)</f>
        <v>24</v>
      </c>
      <c r="D81" s="8" t="n">
        <f aca="false">SUMIFS('Source'!$F:$F,'Source'!$A:$A,"160351 ORTHO- PARTNER AG.",'Source'!$B:$B,$A81)</f>
        <v>0</v>
      </c>
      <c r="E81" s="8" t="n">
        <f aca="false">D81*$J$5</f>
        <v>0</v>
      </c>
      <c r="F81" s="8" t="n">
        <f aca="false">E81-C81</f>
        <v>-24</v>
      </c>
      <c r="G81" s="9" t="n">
        <f aca="false">IF(AND(C81=0,E81=0),0,IF(C81=0,"New",(E81-C81)/C81))</f>
        <v>-1</v>
      </c>
      <c r="H81" s="8" t="n">
        <f aca="false">SUMIFS('Source'!$E:$E,'Source'!$A:$A,"160351 ORTHO- PARTNER AG.",'Source'!$B:$B,$A81)</f>
        <v>256.16</v>
      </c>
      <c r="I81" s="8" t="n">
        <f aca="false">SUMIFS('Source'!$G:$G,'Source'!$A:$A,"160351 ORTHO- PARTNER AG.",'Source'!$B:$B,$A81)</f>
        <v>0</v>
      </c>
      <c r="J81" s="8" t="n">
        <f aca="false">I81*$J$5</f>
        <v>0</v>
      </c>
      <c r="K81" s="8" t="n">
        <f aca="false">J81-H81</f>
        <v>-256.16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452</v>
      </c>
      <c r="B82" s="7" t="str">
        <f aca="false">IFERROR(INDEX('Source'!$C:$C,MATCH($A82,'Source'!$B:$B,0)),"")</f>
        <v>מגן מרפק רגיל</v>
      </c>
      <c r="C82" s="8" t="n">
        <f aca="false">SUMIFS('Source'!$D:$D,'Source'!$A:$A,"160351 ORTHO- PARTNER AG.",'Source'!$B:$B,$A82)</f>
        <v>6</v>
      </c>
      <c r="D82" s="8" t="n">
        <f aca="false">SUMIFS('Source'!$F:$F,'Source'!$A:$A,"160351 ORTHO- PARTNER AG.",'Source'!$B:$B,$A82)</f>
        <v>0</v>
      </c>
      <c r="E82" s="8" t="n">
        <f aca="false">D82*$J$5</f>
        <v>0</v>
      </c>
      <c r="F82" s="8" t="n">
        <f aca="false">E82-C82</f>
        <v>-6</v>
      </c>
      <c r="G82" s="9" t="n">
        <f aca="false">IF(AND(C82=0,E82=0),0,IF(C82=0,"New",(E82-C82)/C82))</f>
        <v>-1</v>
      </c>
      <c r="H82" s="8" t="n">
        <f aca="false">SUMIFS('Source'!$E:$E,'Source'!$A:$A,"160351 ORTHO- PARTNER AG.",'Source'!$B:$B,$A82)</f>
        <v>239.63</v>
      </c>
      <c r="I82" s="8" t="n">
        <f aca="false">SUMIFS('Source'!$G:$G,'Source'!$A:$A,"160351 ORTHO- PARTNER AG.",'Source'!$B:$B,$A82)</f>
        <v>0</v>
      </c>
      <c r="J82" s="8" t="n">
        <f aca="false">I82*$J$5</f>
        <v>0</v>
      </c>
      <c r="K82" s="8" t="n">
        <f aca="false">J82-H82</f>
        <v>-239.63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652</v>
      </c>
      <c r="B83" s="7" t="str">
        <f aca="false">IFERROR(INDEX('Source'!$C:$C,MATCH($A83,'Source'!$B:$B,0)),"")</f>
        <v>מגן מרפק רגיל</v>
      </c>
      <c r="C83" s="8" t="n">
        <f aca="false">SUMIFS('Source'!$D:$D,'Source'!$A:$A,"160351 ORTHO- PARTNER AG.",'Source'!$B:$B,$A83)</f>
        <v>5</v>
      </c>
      <c r="D83" s="8" t="n">
        <f aca="false">SUMIFS('Source'!$F:$F,'Source'!$A:$A,"160351 ORTHO- PARTNER AG.",'Source'!$B:$B,$A83)</f>
        <v>0</v>
      </c>
      <c r="E83" s="8" t="n">
        <f aca="false">D83*$J$5</f>
        <v>0</v>
      </c>
      <c r="F83" s="8" t="n">
        <f aca="false">E83-C83</f>
        <v>-5</v>
      </c>
      <c r="G83" s="9" t="n">
        <f aca="false">IF(AND(C83=0,E83=0),0,IF(C83=0,"New",(E83-C83)/C83))</f>
        <v>-1</v>
      </c>
      <c r="H83" s="8" t="n">
        <f aca="false">SUMIFS('Source'!$E:$E,'Source'!$A:$A,"160351 ORTHO- PARTNER AG.",'Source'!$B:$B,$A83)</f>
        <v>239.59</v>
      </c>
      <c r="I83" s="8" t="n">
        <f aca="false">SUMIFS('Source'!$G:$G,'Source'!$A:$A,"160351 ORTHO- PARTNER AG.",'Source'!$B:$B,$A83)</f>
        <v>0</v>
      </c>
      <c r="J83" s="8" t="n">
        <f aca="false">I83*$J$5</f>
        <v>0</v>
      </c>
      <c r="K83" s="8" t="n">
        <f aca="false">J83-H83</f>
        <v>-239.59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430</v>
      </c>
      <c r="B84" s="7" t="str">
        <f aca="false">IFERROR(INDEX('Source'!$C:$C,MATCH($A84,'Source'!$B:$B,0)),"")</f>
        <v>חגורת צלעות לאשה</v>
      </c>
      <c r="C84" s="8" t="n">
        <f aca="false">SUMIFS('Source'!$D:$D,'Source'!$A:$A,"160351 ORTHO- PARTNER AG.",'Source'!$B:$B,$A84)</f>
        <v>6</v>
      </c>
      <c r="D84" s="8" t="n">
        <f aca="false">SUMIFS('Source'!$F:$F,'Source'!$A:$A,"160351 ORTHO- PARTNER AG.",'Source'!$B:$B,$A84)</f>
        <v>11</v>
      </c>
      <c r="E84" s="8" t="n">
        <f aca="false">D84*$J$5</f>
        <v>13.8947368421053</v>
      </c>
      <c r="F84" s="8" t="n">
        <f aca="false">E84-C84</f>
        <v>7.89473684210526</v>
      </c>
      <c r="G84" s="9" t="n">
        <f aca="false">IF(AND(C84=0,E84=0),0,IF(C84=0,"New",(E84-C84)/C84))</f>
        <v>1.31578947368421</v>
      </c>
      <c r="H84" s="8" t="n">
        <f aca="false">SUMIFS('Source'!$E:$E,'Source'!$A:$A,"160351 ORTHO- PARTNER AG.",'Source'!$B:$B,$A84)</f>
        <v>276.59</v>
      </c>
      <c r="I84" s="8" t="n">
        <f aca="false">SUMIFS('Source'!$G:$G,'Source'!$A:$A,"160351 ORTHO- PARTNER AG.",'Source'!$B:$B,$A84)</f>
        <v>514.63</v>
      </c>
      <c r="J84" s="8" t="n">
        <f aca="false">I84*$J$5</f>
        <v>650.058947368421</v>
      </c>
      <c r="K84" s="8" t="n">
        <f aca="false">J84-H84</f>
        <v>373.468947368421</v>
      </c>
      <c r="L84" s="9" t="n">
        <f aca="false">IF(AND(H84=0,J84=0),0,IF(H84=0,"New",(J84-H84)/H84))</f>
        <v>1.35026193054131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352</v>
      </c>
      <c r="B85" s="7" t="str">
        <f aca="false">IFERROR(INDEX('Source'!$C:$C,MATCH($A85,'Source'!$B:$B,0)),"")</f>
        <v>חגורה למנותחי בטן</v>
      </c>
      <c r="C85" s="8" t="n">
        <f aca="false">SUMIFS('Source'!$D:$D,'Source'!$A:$A,"160351 ORTHO- PARTNER AG.",'Source'!$B:$B,$A85)</f>
        <v>60</v>
      </c>
      <c r="D85" s="8" t="n">
        <f aca="false">SUMIFS('Source'!$F:$F,'Source'!$A:$A,"160351 ORTHO- PARTNER AG.",'Source'!$B:$B,$A85)</f>
        <v>58</v>
      </c>
      <c r="E85" s="8" t="n">
        <f aca="false">D85*$J$5</f>
        <v>73.2631578947368</v>
      </c>
      <c r="F85" s="8" t="n">
        <f aca="false">E85-C85</f>
        <v>13.2631578947368</v>
      </c>
      <c r="G85" s="9" t="n">
        <f aca="false">IF(AND(C85=0,E85=0),0,IF(C85=0,"New",(E85-C85)/C85))</f>
        <v>0.221052631578947</v>
      </c>
      <c r="H85" s="8" t="n">
        <f aca="false">SUMIFS('Source'!$E:$E,'Source'!$A:$A,"160351 ORTHO- PARTNER AG.",'Source'!$B:$B,$A85)</f>
        <v>3158.62</v>
      </c>
      <c r="I85" s="8" t="n">
        <f aca="false">SUMIFS('Source'!$G:$G,'Source'!$A:$A,"160351 ORTHO- PARTNER AG.",'Source'!$B:$B,$A85)</f>
        <v>2923.56</v>
      </c>
      <c r="J85" s="8" t="n">
        <f aca="false">I85*$J$5</f>
        <v>3692.91789473684</v>
      </c>
      <c r="K85" s="8" t="n">
        <f aca="false">J85-H85</f>
        <v>534.297894736842</v>
      </c>
      <c r="L85" s="9" t="n">
        <f aca="false">IF(AND(H85=0,J85=0),0,IF(H85=0,"New",(J85-H85)/H85))</f>
        <v>0.169155483957184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139</v>
      </c>
      <c r="B86" s="7" t="str">
        <f aca="false">IFERROR(INDEX('Source'!$C:$C,MATCH($A86,'Source'!$B:$B,0)),"")</f>
        <v>כפפת CTS שמאל</v>
      </c>
      <c r="C86" s="8" t="n">
        <f aca="false">SUMIFS('Source'!$D:$D,'Source'!$A:$A,"160351 ORTHO- PARTNER AG.",'Source'!$B:$B,$A86)</f>
        <v>15</v>
      </c>
      <c r="D86" s="8" t="n">
        <f aca="false">SUMIFS('Source'!$F:$F,'Source'!$A:$A,"160351 ORTHO- PARTNER AG.",'Source'!$B:$B,$A86)</f>
        <v>10</v>
      </c>
      <c r="E86" s="8" t="n">
        <f aca="false">D86*$J$5</f>
        <v>12.6315789473684</v>
      </c>
      <c r="F86" s="8" t="n">
        <f aca="false">E86-C86</f>
        <v>-2.36842105263158</v>
      </c>
      <c r="G86" s="9" t="n">
        <f aca="false">IF(AND(C86=0,E86=0),0,IF(C86=0,"New",(E86-C86)/C86))</f>
        <v>-0.157894736842105</v>
      </c>
      <c r="H86" s="8" t="n">
        <f aca="false">SUMIFS('Source'!$E:$E,'Source'!$A:$A,"160351 ORTHO- PARTNER AG.",'Source'!$B:$B,$A86)</f>
        <v>575.1</v>
      </c>
      <c r="I86" s="8" t="n">
        <f aca="false">SUMIFS('Source'!$G:$G,'Source'!$A:$A,"160351 ORTHO- PARTNER AG.",'Source'!$B:$B,$A86)</f>
        <v>364.25</v>
      </c>
      <c r="J86" s="8" t="n">
        <f aca="false">I86*$J$5</f>
        <v>460.105263157895</v>
      </c>
      <c r="K86" s="8" t="n">
        <f aca="false">J86-H86</f>
        <v>-114.994736842105</v>
      </c>
      <c r="L86" s="9" t="n">
        <f aca="false">IF(AND(H86=0,J86=0),0,IF(H86=0,"New",(J86-H86)/H86))</f>
        <v>-0.199956071712929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277</v>
      </c>
      <c r="B87" s="7" t="str">
        <f aca="false">IFERROR(INDEX('Source'!$C:$C,MATCH($A87,'Source'!$B:$B,0)),"")</f>
        <v>מיצב כתפיים</v>
      </c>
      <c r="C87" s="8" t="n">
        <f aca="false">SUMIFS('Source'!$D:$D,'Source'!$A:$A,"160351 ORTHO- PARTNER AG.",'Source'!$B:$B,$A87)</f>
        <v>24</v>
      </c>
      <c r="D87" s="8" t="n">
        <f aca="false">SUMIFS('Source'!$F:$F,'Source'!$A:$A,"160351 ORTHO- PARTNER AG.",'Source'!$B:$B,$A87)</f>
        <v>27</v>
      </c>
      <c r="E87" s="8" t="n">
        <f aca="false">D87*$J$5</f>
        <v>34.1052631578947</v>
      </c>
      <c r="F87" s="8" t="n">
        <f aca="false">E87-C87</f>
        <v>10.1052631578947</v>
      </c>
      <c r="G87" s="9" t="n">
        <f aca="false">IF(AND(C87=0,E87=0),0,IF(C87=0,"New",(E87-C87)/C87))</f>
        <v>0.421052631578947</v>
      </c>
      <c r="H87" s="8" t="n">
        <f aca="false">SUMIFS('Source'!$E:$E,'Source'!$A:$A,"160351 ORTHO- PARTNER AG.",'Source'!$B:$B,$A87)</f>
        <v>1954.03</v>
      </c>
      <c r="I87" s="8" t="n">
        <f aca="false">SUMIFS('Source'!$G:$G,'Source'!$A:$A,"160351 ORTHO- PARTNER AG.",'Source'!$B:$B,$A87)</f>
        <v>2155.84</v>
      </c>
      <c r="J87" s="8" t="n">
        <f aca="false">I87*$J$5</f>
        <v>2723.16631578947</v>
      </c>
      <c r="K87" s="8" t="n">
        <f aca="false">J87-H87</f>
        <v>769.136315789474</v>
      </c>
      <c r="L87" s="9" t="n">
        <f aca="false">IF(AND(H87=0,J87=0),0,IF(H87=0,"New",(J87-H87)/H87))</f>
        <v>0.393615408048737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143</v>
      </c>
      <c r="B88" s="7" t="str">
        <f aca="false">IFERROR(INDEX('Source'!$C:$C,MATCH($A88,'Source'!$B:$B,0)),"")</f>
        <v>סד יד דו צדדי</v>
      </c>
      <c r="C88" s="8" t="n">
        <f aca="false">SUMIFS('Source'!$D:$D,'Source'!$A:$A,"160351 ORTHO- PARTNER AG.",'Source'!$B:$B,$A88)</f>
        <v>24</v>
      </c>
      <c r="D88" s="8" t="n">
        <f aca="false">SUMIFS('Source'!$F:$F,'Source'!$A:$A,"160351 ORTHO- PARTNER AG.",'Source'!$B:$B,$A88)</f>
        <v>33</v>
      </c>
      <c r="E88" s="8" t="n">
        <f aca="false">D88*$J$5</f>
        <v>41.6842105263158</v>
      </c>
      <c r="F88" s="8" t="n">
        <f aca="false">E88-C88</f>
        <v>17.6842105263158</v>
      </c>
      <c r="G88" s="9" t="n">
        <f aca="false">IF(AND(C88=0,E88=0),0,IF(C88=0,"New",(E88-C88)/C88))</f>
        <v>0.736842105263158</v>
      </c>
      <c r="H88" s="8" t="n">
        <f aca="false">SUMIFS('Source'!$E:$E,'Source'!$A:$A,"160351 ORTHO- PARTNER AG.",'Source'!$B:$B,$A88)</f>
        <v>691.24</v>
      </c>
      <c r="I88" s="8" t="n">
        <f aca="false">SUMIFS('Source'!$G:$G,'Source'!$A:$A,"160351 ORTHO- PARTNER AG.",'Source'!$B:$B,$A88)</f>
        <v>880.45</v>
      </c>
      <c r="J88" s="8" t="n">
        <f aca="false">I88*$J$5</f>
        <v>1112.14736842105</v>
      </c>
      <c r="K88" s="8" t="n">
        <f aca="false">J88-H88</f>
        <v>420.907368421053</v>
      </c>
      <c r="L88" s="9" t="n">
        <f aca="false">IF(AND(H88=0,J88=0),0,IF(H88=0,"New",(J88-H88)/H88))</f>
        <v>0.608916394336341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297</v>
      </c>
      <c r="B89" s="7" t="str">
        <f aca="false">IFERROR(INDEX('Source'!$C:$C,MATCH($A89,'Source'!$B:$B,0)),"")</f>
        <v>חגורת גב+סגירה כפולה</v>
      </c>
      <c r="C89" s="8" t="n">
        <f aca="false">SUMIFS('Source'!$D:$D,'Source'!$A:$A,"160351 ORTHO- PARTNER AG.",'Source'!$B:$B,$A89)</f>
        <v>20</v>
      </c>
      <c r="D89" s="8" t="n">
        <f aca="false">SUMIFS('Source'!$F:$F,'Source'!$A:$A,"160351 ORTHO- PARTNER AG.",'Source'!$B:$B,$A89)</f>
        <v>20</v>
      </c>
      <c r="E89" s="8" t="n">
        <f aca="false">D89*$J$5</f>
        <v>25.2631578947368</v>
      </c>
      <c r="F89" s="8" t="n">
        <f aca="false">E89-C89</f>
        <v>5.26315789473684</v>
      </c>
      <c r="G89" s="9" t="n">
        <f aca="false">IF(AND(C89=0,E89=0),0,IF(C89=0,"New",(E89-C89)/C89))</f>
        <v>0.263157894736842</v>
      </c>
      <c r="H89" s="8" t="n">
        <f aca="false">SUMIFS('Source'!$E:$E,'Source'!$A:$A,"160351 ORTHO- PARTNER AG.",'Source'!$B:$B,$A89)</f>
        <v>1149.41</v>
      </c>
      <c r="I89" s="8" t="n">
        <f aca="false">SUMIFS('Source'!$G:$G,'Source'!$A:$A,"160351 ORTHO- PARTNER AG.",'Source'!$B:$B,$A89)</f>
        <v>960.49</v>
      </c>
      <c r="J89" s="8" t="n">
        <f aca="false">I89*$J$5</f>
        <v>1213.25052631579</v>
      </c>
      <c r="K89" s="8" t="n">
        <f aca="false">J89-H89</f>
        <v>63.8405263157893</v>
      </c>
      <c r="L89" s="9" t="n">
        <f aca="false">IF(AND(H89=0,J89=0),0,IF(H89=0,"New",(J89-H89)/H89))</f>
        <v>0.0555419966032915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133</v>
      </c>
      <c r="B90" s="7" t="str">
        <f aca="false">IFERROR(INDEX('Source'!$C:$C,MATCH($A90,'Source'!$B:$B,0)),"")</f>
        <v>סד יד</v>
      </c>
      <c r="C90" s="8" t="n">
        <f aca="false">SUMIFS('Source'!$D:$D,'Source'!$A:$A,"160351 ORTHO- PARTNER AG.",'Source'!$B:$B,$A90)</f>
        <v>0</v>
      </c>
      <c r="D90" s="8" t="n">
        <f aca="false">SUMIFS('Source'!$F:$F,'Source'!$A:$A,"160351 ORTHO- PARTNER AG.",'Source'!$B:$B,$A90)</f>
        <v>11</v>
      </c>
      <c r="E90" s="8" t="n">
        <f aca="false">D90*$J$5</f>
        <v>13.8947368421053</v>
      </c>
      <c r="F90" s="8" t="n">
        <f aca="false">E90-C90</f>
        <v>13.8947368421053</v>
      </c>
      <c r="G90" s="9" t="str">
        <f aca="false">IF(AND(C90=0,E90=0),0,IF(C90=0,"New",(E90-C90)/C90))</f>
        <v>New</v>
      </c>
      <c r="H90" s="8" t="n">
        <f aca="false">SUMIFS('Source'!$E:$E,'Source'!$A:$A,"160351 ORTHO- PARTNER AG.",'Source'!$B:$B,$A90)</f>
        <v>0</v>
      </c>
      <c r="I90" s="8" t="n">
        <f aca="false">SUMIFS('Source'!$G:$G,'Source'!$A:$A,"160351 ORTHO- PARTNER AG.",'Source'!$B:$B,$A90)</f>
        <v>167.25</v>
      </c>
      <c r="J90" s="8" t="n">
        <f aca="false">I90*$J$5</f>
        <v>211.263157894737</v>
      </c>
      <c r="K90" s="8" t="n">
        <f aca="false">J90-H90</f>
        <v>211.263157894737</v>
      </c>
      <c r="L90" s="9" t="str">
        <f aca="false">IF(AND(H90=0,J90=0),0,IF(H90=0,"New",(J90-H90)/H90))</f>
        <v>New</v>
      </c>
      <c r="M90" s="7" t="str">
        <f aca="false">IF(AND(OR(C90&lt;&gt;0,H90&lt;&gt;0),D90=0,I90=0),"DROP",IF(AND(OR(D90&lt;&gt;0,I90&lt;&gt;0),C90=0,H90=0),"NEW",""))</f>
        <v>NEW</v>
      </c>
    </row>
    <row r="91" customFormat="false" ht="15" hidden="false" customHeight="false" outlineLevel="0" collapsed="false">
      <c r="A91" s="7" t="s">
        <v>638</v>
      </c>
      <c r="B91" s="7" t="str">
        <f aca="false">IFERROR(INDEX('Source'!$C:$C,MATCH($A91,'Source'!$B:$B,0)),"")</f>
        <v>חבק יד מתכוון</v>
      </c>
      <c r="C91" s="8" t="n">
        <f aca="false">SUMIFS('Source'!$D:$D,'Source'!$A:$A,"160351 ORTHO- PARTNER AG.",'Source'!$B:$B,$A91)</f>
        <v>12</v>
      </c>
      <c r="D91" s="8" t="n">
        <f aca="false">SUMIFS('Source'!$F:$F,'Source'!$A:$A,"160351 ORTHO- PARTNER AG.",'Source'!$B:$B,$A91)</f>
        <v>0</v>
      </c>
      <c r="E91" s="8" t="n">
        <f aca="false">D91*$J$5</f>
        <v>0</v>
      </c>
      <c r="F91" s="8" t="n">
        <f aca="false">E91-C91</f>
        <v>-12</v>
      </c>
      <c r="G91" s="9" t="n">
        <f aca="false">IF(AND(C91=0,E91=0),0,IF(C91=0,"New",(E91-C91)/C91))</f>
        <v>-1</v>
      </c>
      <c r="H91" s="8" t="n">
        <f aca="false">SUMIFS('Source'!$E:$E,'Source'!$A:$A,"160351 ORTHO- PARTNER AG.",'Source'!$B:$B,$A91)</f>
        <v>161.52</v>
      </c>
      <c r="I91" s="8" t="n">
        <f aca="false">SUMIFS('Source'!$G:$G,'Source'!$A:$A,"160351 ORTHO- PARTNER AG.",'Source'!$B:$B,$A91)</f>
        <v>0</v>
      </c>
      <c r="J91" s="8" t="n">
        <f aca="false">I91*$J$5</f>
        <v>0</v>
      </c>
      <c r="K91" s="8" t="n">
        <f aca="false">J91-H91</f>
        <v>-161.52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381</v>
      </c>
      <c r="B92" s="7" t="str">
        <f aca="false">IFERROR(INDEX('Source'!$C:$C,MATCH($A92,'Source'!$B:$B,0)),"")</f>
        <v>חבק יד מתכוון</v>
      </c>
      <c r="C92" s="8" t="n">
        <f aca="false">SUMIFS('Source'!$D:$D,'Source'!$A:$A,"160351 ORTHO- PARTNER AG.",'Source'!$B:$B,$A92)</f>
        <v>12</v>
      </c>
      <c r="D92" s="8" t="n">
        <f aca="false">SUMIFS('Source'!$F:$F,'Source'!$A:$A,"160351 ORTHO- PARTNER AG.",'Source'!$B:$B,$A92)</f>
        <v>0</v>
      </c>
      <c r="E92" s="8" t="n">
        <f aca="false">D92*$J$5</f>
        <v>0</v>
      </c>
      <c r="F92" s="8" t="n">
        <f aca="false">E92-C92</f>
        <v>-12</v>
      </c>
      <c r="G92" s="9" t="n">
        <f aca="false">IF(AND(C92=0,E92=0),0,IF(C92=0,"New",(E92-C92)/C92))</f>
        <v>-1</v>
      </c>
      <c r="H92" s="8" t="n">
        <f aca="false">SUMIFS('Source'!$E:$E,'Source'!$A:$A,"160351 ORTHO- PARTNER AG.",'Source'!$B:$B,$A92)</f>
        <v>161.52</v>
      </c>
      <c r="I92" s="8" t="n">
        <f aca="false">SUMIFS('Source'!$G:$G,'Source'!$A:$A,"160351 ORTHO- PARTNER AG.",'Source'!$B:$B,$A92)</f>
        <v>0</v>
      </c>
      <c r="J92" s="8" t="n">
        <f aca="false">I92*$J$5</f>
        <v>0</v>
      </c>
      <c r="K92" s="8" t="n">
        <f aca="false">J92-H92</f>
        <v>-161.52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582</v>
      </c>
      <c r="B93" s="7" t="str">
        <f aca="false">IFERROR(INDEX('Source'!$C:$C,MATCH($A93,'Source'!$B:$B,0)),"")</f>
        <v>חבק לשורש כף היד</v>
      </c>
      <c r="C93" s="8" t="n">
        <f aca="false">SUMIFS('Source'!$D:$D,'Source'!$A:$A,"160351 ORTHO- PARTNER AG.",'Source'!$B:$B,$A93)</f>
        <v>0</v>
      </c>
      <c r="D93" s="8" t="n">
        <f aca="false">SUMIFS('Source'!$F:$F,'Source'!$A:$A,"160351 ORTHO- PARTNER AG.",'Source'!$B:$B,$A93)</f>
        <v>11</v>
      </c>
      <c r="E93" s="8" t="n">
        <f aca="false">D93*$J$5</f>
        <v>13.8947368421053</v>
      </c>
      <c r="F93" s="8" t="n">
        <f aca="false">E93-C93</f>
        <v>13.8947368421053</v>
      </c>
      <c r="G93" s="9" t="str">
        <f aca="false">IF(AND(C93=0,E93=0),0,IF(C93=0,"New",(E93-C93)/C93))</f>
        <v>New</v>
      </c>
      <c r="H93" s="8" t="n">
        <f aca="false">SUMIFS('Source'!$E:$E,'Source'!$A:$A,"160351 ORTHO- PARTNER AG.",'Source'!$B:$B,$A93)</f>
        <v>0</v>
      </c>
      <c r="I93" s="8" t="n">
        <f aca="false">SUMIFS('Source'!$G:$G,'Source'!$A:$A,"160351 ORTHO- PARTNER AG.",'Source'!$B:$B,$A93)</f>
        <v>161.27</v>
      </c>
      <c r="J93" s="8" t="n">
        <f aca="false">I93*$J$5</f>
        <v>203.709473684211</v>
      </c>
      <c r="K93" s="8" t="n">
        <f aca="false">J93-H93</f>
        <v>203.709473684211</v>
      </c>
      <c r="L93" s="9" t="str">
        <f aca="false">IF(AND(H93=0,J93=0),0,IF(H93=0,"New",(J93-H93)/H93))</f>
        <v>New</v>
      </c>
      <c r="M93" s="7" t="str">
        <f aca="false">IF(AND(OR(C93&lt;&gt;0,H93&lt;&gt;0),D93=0,I93=0),"DROP",IF(AND(OR(D93&lt;&gt;0,I93&lt;&gt;0),C93=0,H93=0),"NEW",""))</f>
        <v>NEW</v>
      </c>
    </row>
    <row r="94" customFormat="false" ht="15" hidden="false" customHeight="false" outlineLevel="0" collapsed="false">
      <c r="A94" s="7" t="s">
        <v>120</v>
      </c>
      <c r="B94" s="7" t="str">
        <f aca="false">IFERROR(INDEX('Source'!$C:$C,MATCH($A94,'Source'!$B:$B,0)),"")</f>
        <v>כפפת CTS ימין</v>
      </c>
      <c r="C94" s="8" t="n">
        <f aca="false">SUMIFS('Source'!$D:$D,'Source'!$A:$A,"160351 ORTHO- PARTNER AG.",'Source'!$B:$B,$A94)</f>
        <v>15</v>
      </c>
      <c r="D94" s="8" t="n">
        <f aca="false">SUMIFS('Source'!$F:$F,'Source'!$A:$A,"160351 ORTHO- PARTNER AG.",'Source'!$B:$B,$A94)</f>
        <v>20</v>
      </c>
      <c r="E94" s="8" t="n">
        <f aca="false">D94*$J$5</f>
        <v>25.2631578947368</v>
      </c>
      <c r="F94" s="8" t="n">
        <f aca="false">E94-C94</f>
        <v>10.2631578947368</v>
      </c>
      <c r="G94" s="9" t="n">
        <f aca="false">IF(AND(C94=0,E94=0),0,IF(C94=0,"New",(E94-C94)/C94))</f>
        <v>0.68421052631579</v>
      </c>
      <c r="H94" s="8" t="n">
        <f aca="false">SUMIFS('Source'!$E:$E,'Source'!$A:$A,"160351 ORTHO- PARTNER AG.",'Source'!$B:$B,$A94)</f>
        <v>575.1</v>
      </c>
      <c r="I94" s="8" t="n">
        <f aca="false">SUMIFS('Source'!$G:$G,'Source'!$A:$A,"160351 ORTHO- PARTNER AG.",'Source'!$B:$B,$A94)</f>
        <v>723.45</v>
      </c>
      <c r="J94" s="8" t="n">
        <f aca="false">I94*$J$5</f>
        <v>913.831578947369</v>
      </c>
      <c r="K94" s="8" t="n">
        <f aca="false">J94-H94</f>
        <v>338.731578947368</v>
      </c>
      <c r="L94" s="9" t="n">
        <f aca="false">IF(AND(H94=0,J94=0),0,IF(H94=0,"New",(J94-H94)/H94))</f>
        <v>0.588995964088625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441</v>
      </c>
      <c r="B95" s="7" t="str">
        <f aca="false">IFERROR(INDEX('Source'!$C:$C,MATCH($A95,'Source'!$B:$B,0)),"")</f>
        <v>מגן קרסול</v>
      </c>
      <c r="C95" s="8" t="n">
        <f aca="false">SUMIFS('Source'!$D:$D,'Source'!$A:$A,"160351 ORTHO- PARTNER AG.",'Source'!$B:$B,$A95)</f>
        <v>36</v>
      </c>
      <c r="D95" s="8" t="n">
        <f aca="false">SUMIFS('Source'!$F:$F,'Source'!$A:$A,"160351 ORTHO- PARTNER AG.",'Source'!$B:$B,$A95)</f>
        <v>46</v>
      </c>
      <c r="E95" s="8" t="n">
        <f aca="false">D95*$J$5</f>
        <v>58.1052631578947</v>
      </c>
      <c r="F95" s="8" t="n">
        <f aca="false">E95-C95</f>
        <v>22.1052631578947</v>
      </c>
      <c r="G95" s="9" t="n">
        <f aca="false">IF(AND(C95=0,E95=0),0,IF(C95=0,"New",(E95-C95)/C95))</f>
        <v>0.614035087719298</v>
      </c>
      <c r="H95" s="8" t="n">
        <f aca="false">SUMIFS('Source'!$E:$E,'Source'!$A:$A,"160351 ORTHO- PARTNER AG.",'Source'!$B:$B,$A95)</f>
        <v>739.08</v>
      </c>
      <c r="I95" s="8" t="n">
        <f aca="false">SUMIFS('Source'!$G:$G,'Source'!$A:$A,"160351 ORTHO- PARTNER AG.",'Source'!$B:$B,$A95)</f>
        <v>885.37</v>
      </c>
      <c r="J95" s="8" t="n">
        <f aca="false">I95*$J$5</f>
        <v>1118.36210526316</v>
      </c>
      <c r="K95" s="8" t="n">
        <f aca="false">J95-H95</f>
        <v>379.282105263158</v>
      </c>
      <c r="L95" s="9" t="n">
        <f aca="false">IF(AND(H95=0,J95=0),0,IF(H95=0,"New",(J95-H95)/H95))</f>
        <v>0.513181394792388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439</v>
      </c>
      <c r="B96" s="7" t="str">
        <f aca="false">IFERROR(INDEX('Source'!$C:$C,MATCH($A96,'Source'!$B:$B,0)),"")</f>
        <v>חגורה למנותחי בטן</v>
      </c>
      <c r="C96" s="8" t="n">
        <f aca="false">SUMIFS('Source'!$D:$D,'Source'!$A:$A,"160351 ORTHO- PARTNER AG.",'Source'!$B:$B,$A96)</f>
        <v>24</v>
      </c>
      <c r="D96" s="8" t="n">
        <f aca="false">SUMIFS('Source'!$F:$F,'Source'!$A:$A,"160351 ORTHO- PARTNER AG.",'Source'!$B:$B,$A96)</f>
        <v>23</v>
      </c>
      <c r="E96" s="8" t="n">
        <f aca="false">D96*$J$5</f>
        <v>29.0526315789474</v>
      </c>
      <c r="F96" s="8" t="n">
        <f aca="false">E96-C96</f>
        <v>5.05263157894737</v>
      </c>
      <c r="G96" s="9" t="n">
        <f aca="false">IF(AND(C96=0,E96=0),0,IF(C96=0,"New",(E96-C96)/C96))</f>
        <v>0.210526315789474</v>
      </c>
      <c r="H96" s="8" t="n">
        <f aca="false">SUMIFS('Source'!$E:$E,'Source'!$A:$A,"160351 ORTHO- PARTNER AG.",'Source'!$B:$B,$A96)</f>
        <v>1279.11</v>
      </c>
      <c r="I96" s="8" t="n">
        <f aca="false">SUMIFS('Source'!$G:$G,'Source'!$A:$A,"160351 ORTHO- PARTNER AG.",'Source'!$B:$B,$A96)</f>
        <v>1138.92</v>
      </c>
      <c r="J96" s="8" t="n">
        <f aca="false">I96*$J$5</f>
        <v>1438.63578947368</v>
      </c>
      <c r="K96" s="8" t="n">
        <f aca="false">J96-H96</f>
        <v>159.525789473684</v>
      </c>
      <c r="L96" s="9" t="n">
        <f aca="false">IF(AND(H96=0,J96=0),0,IF(H96=0,"New",(J96-H96)/H96))</f>
        <v>0.124716239786793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208</v>
      </c>
      <c r="B97" s="7" t="str">
        <f aca="false">IFERROR(INDEX('Source'!$C:$C,MATCH($A97,'Source'!$B:$B,0)),"")</f>
        <v>מדרס מתכוונן</v>
      </c>
      <c r="C97" s="8" t="n">
        <f aca="false">SUMIFS('Source'!$D:$D,'Source'!$A:$A,"160351 ORTHO- PARTNER AG.",'Source'!$B:$B,$A97)</f>
        <v>0</v>
      </c>
      <c r="D97" s="8" t="n">
        <f aca="false">SUMIFS('Source'!$F:$F,'Source'!$A:$A,"160351 ORTHO- PARTNER AG.",'Source'!$B:$B,$A97)</f>
        <v>4</v>
      </c>
      <c r="E97" s="8" t="n">
        <f aca="false">D97*$J$5</f>
        <v>5.05263157894737</v>
      </c>
      <c r="F97" s="8" t="n">
        <f aca="false">E97-C97</f>
        <v>5.05263157894737</v>
      </c>
      <c r="G97" s="9" t="str">
        <f aca="false">IF(AND(C97=0,E97=0),0,IF(C97=0,"New",(E97-C97)/C97))</f>
        <v>New</v>
      </c>
      <c r="H97" s="8" t="n">
        <f aca="false">SUMIFS('Source'!$E:$E,'Source'!$A:$A,"160351 ORTHO- PARTNER AG.",'Source'!$B:$B,$A97)</f>
        <v>0</v>
      </c>
      <c r="I97" s="8" t="n">
        <f aca="false">SUMIFS('Source'!$G:$G,'Source'!$A:$A,"160351 ORTHO- PARTNER AG.",'Source'!$B:$B,$A97)</f>
        <v>137.05</v>
      </c>
      <c r="J97" s="8" t="n">
        <f aca="false">I97*$J$5</f>
        <v>173.115789473684</v>
      </c>
      <c r="K97" s="8" t="n">
        <f aca="false">J97-H97</f>
        <v>173.115789473684</v>
      </c>
      <c r="L97" s="9" t="str">
        <f aca="false">IF(AND(H97=0,J97=0),0,IF(H97=0,"New",(J97-H97)/H97))</f>
        <v>New</v>
      </c>
      <c r="M97" s="7" t="str">
        <f aca="false">IF(AND(OR(C97&lt;&gt;0,H97&lt;&gt;0),D97=0,I97=0),"DROP",IF(AND(OR(D97&lt;&gt;0,I97&lt;&gt;0),C97=0,H97=0),"NEW",""))</f>
        <v>NEW</v>
      </c>
    </row>
    <row r="98" customFormat="false" ht="15" hidden="false" customHeight="false" outlineLevel="0" collapsed="false">
      <c r="A98" s="7" t="s">
        <v>640</v>
      </c>
      <c r="B98" s="7" t="str">
        <f aca="false">IFERROR(INDEX('Source'!$C:$C,MATCH($A98,'Source'!$B:$B,0)),"")</f>
        <v>חבק יד מתכוון</v>
      </c>
      <c r="C98" s="8" t="n">
        <f aca="false">SUMIFS('Source'!$D:$D,'Source'!$A:$A,"160351 ORTHO- PARTNER AG.",'Source'!$B:$B,$A98)</f>
        <v>12</v>
      </c>
      <c r="D98" s="8" t="n">
        <f aca="false">SUMIFS('Source'!$F:$F,'Source'!$A:$A,"160351 ORTHO- PARTNER AG.",'Source'!$B:$B,$A98)</f>
        <v>23</v>
      </c>
      <c r="E98" s="8" t="n">
        <f aca="false">D98*$J$5</f>
        <v>29.0526315789474</v>
      </c>
      <c r="F98" s="8" t="n">
        <f aca="false">E98-C98</f>
        <v>17.0526315789474</v>
      </c>
      <c r="G98" s="9" t="n">
        <f aca="false">IF(AND(C98=0,E98=0),0,IF(C98=0,"New",(E98-C98)/C98))</f>
        <v>1.42105263157895</v>
      </c>
      <c r="H98" s="8" t="n">
        <f aca="false">SUMIFS('Source'!$E:$E,'Source'!$A:$A,"160351 ORTHO- PARTNER AG.",'Source'!$B:$B,$A98)</f>
        <v>165</v>
      </c>
      <c r="I98" s="8" t="n">
        <f aca="false">SUMIFS('Source'!$G:$G,'Source'!$A:$A,"160351 ORTHO- PARTNER AG.",'Source'!$B:$B,$A98)</f>
        <v>296.96</v>
      </c>
      <c r="J98" s="8" t="n">
        <f aca="false">I98*$J$5</f>
        <v>375.107368421053</v>
      </c>
      <c r="K98" s="8" t="n">
        <f aca="false">J98-H98</f>
        <v>210.107368421053</v>
      </c>
      <c r="L98" s="9" t="n">
        <f aca="false">IF(AND(H98=0,J98=0),0,IF(H98=0,"New",(J98-H98)/H98))</f>
        <v>1.27337799043062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567</v>
      </c>
      <c r="B99" s="7" t="str">
        <f aca="false">IFERROR(INDEX('Source'!$C:$C,MATCH($A99,'Source'!$B:$B,0)),"")</f>
        <v>אצבעון מפלסטיק  ליד</v>
      </c>
      <c r="C99" s="8" t="n">
        <f aca="false">SUMIFS('Source'!$D:$D,'Source'!$A:$A,"160351 ORTHO- PARTNER AG.",'Source'!$B:$B,$A99)</f>
        <v>60</v>
      </c>
      <c r="D99" s="8" t="n">
        <f aca="false">SUMIFS('Source'!$F:$F,'Source'!$A:$A,"160351 ORTHO- PARTNER AG.",'Source'!$B:$B,$A99)</f>
        <v>48</v>
      </c>
      <c r="E99" s="8" t="n">
        <f aca="false">D99*$J$5</f>
        <v>60.6315789473684</v>
      </c>
      <c r="F99" s="8" t="n">
        <f aca="false">E99-C99</f>
        <v>0.631578947368418</v>
      </c>
      <c r="G99" s="9" t="n">
        <f aca="false">IF(AND(C99=0,E99=0),0,IF(C99=0,"New",(E99-C99)/C99))</f>
        <v>0.0105263157894736</v>
      </c>
      <c r="H99" s="8" t="n">
        <f aca="false">SUMIFS('Source'!$E:$E,'Source'!$A:$A,"160351 ORTHO- PARTNER AG.",'Source'!$B:$B,$A99)</f>
        <v>491.5</v>
      </c>
      <c r="I99" s="8" t="n">
        <f aca="false">SUMIFS('Source'!$G:$G,'Source'!$A:$A,"160351 ORTHO- PARTNER AG.",'Source'!$B:$B,$A99)</f>
        <v>364.77</v>
      </c>
      <c r="J99" s="8" t="n">
        <f aca="false">I99*$J$5</f>
        <v>460.762105263158</v>
      </c>
      <c r="K99" s="8" t="n">
        <f aca="false">J99-H99</f>
        <v>-30.7378947368422</v>
      </c>
      <c r="L99" s="9" t="n">
        <f aca="false">IF(AND(H99=0,J99=0),0,IF(H99=0,"New",(J99-H99)/H99))</f>
        <v>-0.0625389516517644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641</v>
      </c>
      <c r="B100" s="7" t="str">
        <f aca="false">IFERROR(INDEX('Source'!$C:$C,MATCH($A100,'Source'!$B:$B,0)),"")</f>
        <v>מגן ברך רגיל</v>
      </c>
      <c r="C100" s="8" t="n">
        <f aca="false">SUMIFS('Source'!$D:$D,'Source'!$A:$A,"160351 ORTHO- PARTNER AG.",'Source'!$B:$B,$A100)</f>
        <v>12</v>
      </c>
      <c r="D100" s="8" t="n">
        <f aca="false">SUMIFS('Source'!$F:$F,'Source'!$A:$A,"160351 ORTHO- PARTNER AG.",'Source'!$B:$B,$A100)</f>
        <v>0</v>
      </c>
      <c r="E100" s="8" t="n">
        <f aca="false">D100*$J$5</f>
        <v>0</v>
      </c>
      <c r="F100" s="8" t="n">
        <f aca="false">E100-C100</f>
        <v>-12</v>
      </c>
      <c r="G100" s="9" t="n">
        <f aca="false">IF(AND(C100=0,E100=0),0,IF(C100=0,"New",(E100-C100)/C100))</f>
        <v>-1</v>
      </c>
      <c r="H100" s="8" t="n">
        <f aca="false">SUMIFS('Source'!$E:$E,'Source'!$A:$A,"160351 ORTHO- PARTNER AG.",'Source'!$B:$B,$A100)</f>
        <v>124.68</v>
      </c>
      <c r="I100" s="8" t="n">
        <f aca="false">SUMIFS('Source'!$G:$G,'Source'!$A:$A,"160351 ORTHO- PARTNER AG.",'Source'!$B:$B,$A100)</f>
        <v>0</v>
      </c>
      <c r="J100" s="8" t="n">
        <f aca="false">I100*$J$5</f>
        <v>0</v>
      </c>
      <c r="K100" s="8" t="n">
        <f aca="false">J100-H100</f>
        <v>-124.68</v>
      </c>
      <c r="L100" s="9" t="n">
        <f aca="false">IF(AND(H100=0,J100=0),0,IF(H100=0,"New",(J100-H100)/H100))</f>
        <v>-1</v>
      </c>
      <c r="M100" s="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false" outlineLevel="0" collapsed="false">
      <c r="A101" s="7" t="s">
        <v>522</v>
      </c>
      <c r="B101" s="7" t="str">
        <f aca="false">IFERROR(INDEX('Source'!$C:$C,MATCH($A101,'Source'!$B:$B,0)),"")</f>
        <v>מגן קרסול פתוח</v>
      </c>
      <c r="C101" s="8" t="n">
        <f aca="false">SUMIFS('Source'!$D:$D,'Source'!$A:$A,"160351 ORTHO- PARTNER AG.",'Source'!$B:$B,$A101)</f>
        <v>0</v>
      </c>
      <c r="D101" s="8" t="n">
        <f aca="false">SUMIFS('Source'!$F:$F,'Source'!$A:$A,"160351 ORTHO- PARTNER AG.",'Source'!$B:$B,$A101)</f>
        <v>11</v>
      </c>
      <c r="E101" s="8" t="n">
        <f aca="false">D101*$J$5</f>
        <v>13.8947368421053</v>
      </c>
      <c r="F101" s="8" t="n">
        <f aca="false">E101-C101</f>
        <v>13.8947368421053</v>
      </c>
      <c r="G101" s="9" t="str">
        <f aca="false">IF(AND(C101=0,E101=0),0,IF(C101=0,"New",(E101-C101)/C101))</f>
        <v>New</v>
      </c>
      <c r="H101" s="8" t="n">
        <f aca="false">SUMIFS('Source'!$E:$E,'Source'!$A:$A,"160351 ORTHO- PARTNER AG.",'Source'!$B:$B,$A101)</f>
        <v>0</v>
      </c>
      <c r="I101" s="8" t="n">
        <f aca="false">SUMIFS('Source'!$G:$G,'Source'!$A:$A,"160351 ORTHO- PARTNER AG.",'Source'!$B:$B,$A101)</f>
        <v>116.28</v>
      </c>
      <c r="J101" s="8" t="n">
        <f aca="false">I101*$J$5</f>
        <v>146.88</v>
      </c>
      <c r="K101" s="8" t="n">
        <f aca="false">J101-H101</f>
        <v>146.88</v>
      </c>
      <c r="L101" s="9" t="str">
        <f aca="false">IF(AND(H101=0,J101=0),0,IF(H101=0,"New",(J101-H101)/H101))</f>
        <v>New</v>
      </c>
      <c r="M101" s="7" t="str">
        <f aca="false">IF(AND(OR(C101&lt;&gt;0,H101&lt;&gt;0),D101=0,I101=0),"DROP",IF(AND(OR(D101&lt;&gt;0,I101&lt;&gt;0),C101=0,H101=0),"NEW",""))</f>
        <v>NEW</v>
      </c>
    </row>
    <row r="102" customFormat="false" ht="15" hidden="false" customHeight="false" outlineLevel="0" collapsed="false">
      <c r="A102" s="7" t="s">
        <v>563</v>
      </c>
      <c r="B102" s="7" t="str">
        <f aca="false">IFERROR(INDEX('Source'!$C:$C,MATCH($A102,'Source'!$B:$B,0)),"")</f>
        <v>מגן קרסול פתוח</v>
      </c>
      <c r="C102" s="8" t="n">
        <f aca="false">SUMIFS('Source'!$D:$D,'Source'!$A:$A,"160351 ORTHO- PARTNER AG.",'Source'!$B:$B,$A102)</f>
        <v>0</v>
      </c>
      <c r="D102" s="8" t="n">
        <f aca="false">SUMIFS('Source'!$F:$F,'Source'!$A:$A,"160351 ORTHO- PARTNER AG.",'Source'!$B:$B,$A102)</f>
        <v>11</v>
      </c>
      <c r="E102" s="8" t="n">
        <f aca="false">D102*$J$5</f>
        <v>13.8947368421053</v>
      </c>
      <c r="F102" s="8" t="n">
        <f aca="false">E102-C102</f>
        <v>13.8947368421053</v>
      </c>
      <c r="G102" s="9" t="str">
        <f aca="false">IF(AND(C102=0,E102=0),0,IF(C102=0,"New",(E102-C102)/C102))</f>
        <v>New</v>
      </c>
      <c r="H102" s="8" t="n">
        <f aca="false">SUMIFS('Source'!$E:$E,'Source'!$A:$A,"160351 ORTHO- PARTNER AG.",'Source'!$B:$B,$A102)</f>
        <v>0</v>
      </c>
      <c r="I102" s="8" t="n">
        <f aca="false">SUMIFS('Source'!$G:$G,'Source'!$A:$A,"160351 ORTHO- PARTNER AG.",'Source'!$B:$B,$A102)</f>
        <v>114.67</v>
      </c>
      <c r="J102" s="8" t="n">
        <f aca="false">I102*$J$5</f>
        <v>144.846315789474</v>
      </c>
      <c r="K102" s="8" t="n">
        <f aca="false">J102-H102</f>
        <v>144.846315789474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201</v>
      </c>
      <c r="B103" s="7" t="str">
        <f aca="false">IFERROR(INDEX('Source'!$C:$C,MATCH($A103,'Source'!$B:$B,0)),"")</f>
        <v>תומך ברך גנושילד</v>
      </c>
      <c r="C103" s="8" t="n">
        <f aca="false">SUMIFS('Source'!$D:$D,'Source'!$A:$A,"160351 ORTHO- PARTNER AG.",'Source'!$B:$B,$A103)</f>
        <v>3</v>
      </c>
      <c r="D103" s="8" t="n">
        <f aca="false">SUMIFS('Source'!$F:$F,'Source'!$A:$A,"160351 ORTHO- PARTNER AG.",'Source'!$B:$B,$A103)</f>
        <v>2</v>
      </c>
      <c r="E103" s="8" t="n">
        <f aca="false">D103*$J$5</f>
        <v>2.52631578947368</v>
      </c>
      <c r="F103" s="8" t="n">
        <f aca="false">E103-C103</f>
        <v>-0.473684210526316</v>
      </c>
      <c r="G103" s="9" t="n">
        <f aca="false">IF(AND(C103=0,E103=0),0,IF(C103=0,"New",(E103-C103)/C103))</f>
        <v>-0.157894736842105</v>
      </c>
      <c r="H103" s="8" t="n">
        <f aca="false">SUMIFS('Source'!$E:$E,'Source'!$A:$A,"160351 ORTHO- PARTNER AG.",'Source'!$B:$B,$A103)</f>
        <v>262.35</v>
      </c>
      <c r="I103" s="8" t="n">
        <f aca="false">SUMIFS('Source'!$G:$G,'Source'!$A:$A,"160351 ORTHO- PARTNER AG.",'Source'!$B:$B,$A103)</f>
        <v>163.86</v>
      </c>
      <c r="J103" s="8" t="n">
        <f aca="false">I103*$J$5</f>
        <v>206.981052631579</v>
      </c>
      <c r="K103" s="8" t="n">
        <f aca="false">J103-H103</f>
        <v>-55.3689473684211</v>
      </c>
      <c r="L103" s="9" t="n">
        <f aca="false">IF(AND(H103=0,J103=0),0,IF(H103=0,"New",(J103-H103)/H103))</f>
        <v>-0.211049923264422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414</v>
      </c>
      <c r="B104" s="7" t="str">
        <f aca="false">IFERROR(INDEX('Source'!$C:$C,MATCH($A104,'Source'!$B:$B,0)),"")</f>
        <v>חגורת צלעות לגבר</v>
      </c>
      <c r="C104" s="8" t="n">
        <f aca="false">SUMIFS('Source'!$D:$D,'Source'!$A:$A,"160351 ORTHO- PARTNER AG.",'Source'!$B:$B,$A104)</f>
        <v>12</v>
      </c>
      <c r="D104" s="8" t="n">
        <f aca="false">SUMIFS('Source'!$F:$F,'Source'!$A:$A,"160351 ORTHO- PARTNER AG.",'Source'!$B:$B,$A104)</f>
        <v>11</v>
      </c>
      <c r="E104" s="8" t="n">
        <f aca="false">D104*$J$5</f>
        <v>13.8947368421053</v>
      </c>
      <c r="F104" s="8" t="n">
        <f aca="false">E104-C104</f>
        <v>1.89473684210526</v>
      </c>
      <c r="G104" s="9" t="n">
        <f aca="false">IF(AND(C104=0,E104=0),0,IF(C104=0,"New",(E104-C104)/C104))</f>
        <v>0.157894736842105</v>
      </c>
      <c r="H104" s="8" t="n">
        <f aca="false">SUMIFS('Source'!$E:$E,'Source'!$A:$A,"160351 ORTHO- PARTNER AG.",'Source'!$B:$B,$A104)</f>
        <v>626.11</v>
      </c>
      <c r="I104" s="8" t="n">
        <f aca="false">SUMIFS('Source'!$G:$G,'Source'!$A:$A,"160351 ORTHO- PARTNER AG.",'Source'!$B:$B,$A104)</f>
        <v>540.73</v>
      </c>
      <c r="J104" s="8" t="n">
        <f aca="false">I104*$J$5</f>
        <v>683.027368421053</v>
      </c>
      <c r="K104" s="8" t="n">
        <f aca="false">J104-H104</f>
        <v>56.9173684210526</v>
      </c>
      <c r="L104" s="9" t="n">
        <f aca="false">IF(AND(H104=0,J104=0),0,IF(H104=0,"New",(J104-H104)/H104))</f>
        <v>0.0909063398141742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228</v>
      </c>
      <c r="B105" s="7" t="str">
        <f aca="false">IFERROR(INDEX('Source'!$C:$C,MATCH($A105,'Source'!$B:$B,0)),"")</f>
        <v>חגורת צלעות לאשה</v>
      </c>
      <c r="C105" s="8" t="n">
        <f aca="false">SUMIFS('Source'!$D:$D,'Source'!$A:$A,"160351 ORTHO- PARTNER AG.",'Source'!$B:$B,$A105)</f>
        <v>12</v>
      </c>
      <c r="D105" s="8" t="n">
        <f aca="false">SUMIFS('Source'!$F:$F,'Source'!$A:$A,"160351 ORTHO- PARTNER AG.",'Source'!$B:$B,$A105)</f>
        <v>12</v>
      </c>
      <c r="E105" s="8" t="n">
        <f aca="false">D105*$J$5</f>
        <v>15.1578947368421</v>
      </c>
      <c r="F105" s="8" t="n">
        <f aca="false">E105-C105</f>
        <v>3.1578947368421</v>
      </c>
      <c r="G105" s="9" t="n">
        <f aca="false">IF(AND(C105=0,E105=0),0,IF(C105=0,"New",(E105-C105)/C105))</f>
        <v>0.263157894736842</v>
      </c>
      <c r="H105" s="8" t="n">
        <f aca="false">SUMIFS('Source'!$E:$E,'Source'!$A:$A,"160351 ORTHO- PARTNER AG.",'Source'!$B:$B,$A105)</f>
        <v>593.66</v>
      </c>
      <c r="I105" s="8" t="n">
        <f aca="false">SUMIFS('Source'!$G:$G,'Source'!$A:$A,"160351 ORTHO- PARTNER AG.",'Source'!$B:$B,$A105)</f>
        <v>513.14</v>
      </c>
      <c r="J105" s="8" t="n">
        <f aca="false">I105*$J$5</f>
        <v>648.176842105263</v>
      </c>
      <c r="K105" s="8" t="n">
        <f aca="false">J105-H105</f>
        <v>54.5168421052631</v>
      </c>
      <c r="L105" s="9" t="n">
        <f aca="false">IF(AND(H105=0,J105=0),0,IF(H105=0,"New",(J105-H105)/H105))</f>
        <v>0.0918317590965588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202</v>
      </c>
      <c r="B106" s="7" t="str">
        <f aca="false">IFERROR(INDEX('Source'!$C:$C,MATCH($A106,'Source'!$B:$B,0)),"")</f>
        <v>סד יד דו צדדי</v>
      </c>
      <c r="C106" s="8" t="n">
        <f aca="false">SUMIFS('Source'!$D:$D,'Source'!$A:$A,"160351 ORTHO- PARTNER AG.",'Source'!$B:$B,$A106)</f>
        <v>12</v>
      </c>
      <c r="D106" s="8" t="n">
        <f aca="false">SUMIFS('Source'!$F:$F,'Source'!$A:$A,"160351 ORTHO- PARTNER AG.",'Source'!$B:$B,$A106)</f>
        <v>11</v>
      </c>
      <c r="E106" s="8" t="n">
        <f aca="false">D106*$J$5</f>
        <v>13.8947368421053</v>
      </c>
      <c r="F106" s="8" t="n">
        <f aca="false">E106-C106</f>
        <v>1.89473684210526</v>
      </c>
      <c r="G106" s="9" t="n">
        <f aca="false">IF(AND(C106=0,E106=0),0,IF(C106=0,"New",(E106-C106)/C106))</f>
        <v>0.157894736842105</v>
      </c>
      <c r="H106" s="8" t="n">
        <f aca="false">SUMIFS('Source'!$E:$E,'Source'!$A:$A,"160351 ORTHO- PARTNER AG.",'Source'!$B:$B,$A106)</f>
        <v>499.83</v>
      </c>
      <c r="I106" s="8" t="n">
        <f aca="false">SUMIFS('Source'!$G:$G,'Source'!$A:$A,"160351 ORTHO- PARTNER AG.",'Source'!$B:$B,$A106)</f>
        <v>436.08</v>
      </c>
      <c r="J106" s="8" t="n">
        <f aca="false">I106*$J$5</f>
        <v>550.837894736842</v>
      </c>
      <c r="K106" s="8" t="n">
        <f aca="false">J106-H106</f>
        <v>51.0078947368421</v>
      </c>
      <c r="L106" s="9" t="n">
        <f aca="false">IF(AND(H106=0,J106=0),0,IF(H106=0,"New",(J106-H106)/H106))</f>
        <v>0.102050486639141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316</v>
      </c>
      <c r="B107" s="7" t="str">
        <f aca="false">IFERROR(INDEX('Source'!$C:$C,MATCH($A107,'Source'!$B:$B,0)),"")</f>
        <v>סד יד דו צדדי</v>
      </c>
      <c r="C107" s="8" t="n">
        <f aca="false">SUMIFS('Source'!$D:$D,'Source'!$A:$A,"160351 ORTHO- PARTNER AG.",'Source'!$B:$B,$A107)</f>
        <v>12</v>
      </c>
      <c r="D107" s="8" t="n">
        <f aca="false">SUMIFS('Source'!$F:$F,'Source'!$A:$A,"160351 ORTHO- PARTNER AG.",'Source'!$B:$B,$A107)</f>
        <v>11</v>
      </c>
      <c r="E107" s="8" t="n">
        <f aca="false">D107*$J$5</f>
        <v>13.8947368421053</v>
      </c>
      <c r="F107" s="8" t="n">
        <f aca="false">E107-C107</f>
        <v>1.89473684210526</v>
      </c>
      <c r="G107" s="9" t="n">
        <f aca="false">IF(AND(C107=0,E107=0),0,IF(C107=0,"New",(E107-C107)/C107))</f>
        <v>0.157894736842105</v>
      </c>
      <c r="H107" s="8" t="n">
        <f aca="false">SUMIFS('Source'!$E:$E,'Source'!$A:$A,"160351 ORTHO- PARTNER AG.",'Source'!$B:$B,$A107)</f>
        <v>499.83</v>
      </c>
      <c r="I107" s="8" t="n">
        <f aca="false">SUMIFS('Source'!$G:$G,'Source'!$A:$A,"160351 ORTHO- PARTNER AG.",'Source'!$B:$B,$A107)</f>
        <v>436.08</v>
      </c>
      <c r="J107" s="8" t="n">
        <f aca="false">I107*$J$5</f>
        <v>550.837894736842</v>
      </c>
      <c r="K107" s="8" t="n">
        <f aca="false">J107-H107</f>
        <v>51.0078947368421</v>
      </c>
      <c r="L107" s="9" t="n">
        <f aca="false">IF(AND(H107=0,J107=0),0,IF(H107=0,"New",(J107-H107)/H107))</f>
        <v>0.102050486639141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572</v>
      </c>
      <c r="B108" s="7" t="str">
        <f aca="false">IFERROR(INDEX('Source'!$C:$C,MATCH($A108,'Source'!$B:$B,0)),"")</f>
        <v>מגן ברך רגיל</v>
      </c>
      <c r="C108" s="8" t="n">
        <f aca="false">SUMIFS('Source'!$D:$D,'Source'!$A:$A,"160351 ORTHO- PARTNER AG.",'Source'!$B:$B,$A108)</f>
        <v>6</v>
      </c>
      <c r="D108" s="8" t="n">
        <f aca="false">SUMIFS('Source'!$F:$F,'Source'!$A:$A,"160351 ORTHO- PARTNER AG.",'Source'!$B:$B,$A108)</f>
        <v>0</v>
      </c>
      <c r="E108" s="8" t="n">
        <f aca="false">D108*$J$5</f>
        <v>0</v>
      </c>
      <c r="F108" s="8" t="n">
        <f aca="false">E108-C108</f>
        <v>-6</v>
      </c>
      <c r="G108" s="9" t="n">
        <f aca="false">IF(AND(C108=0,E108=0),0,IF(C108=0,"New",(E108-C108)/C108))</f>
        <v>-1</v>
      </c>
      <c r="H108" s="8" t="n">
        <f aca="false">SUMIFS('Source'!$E:$E,'Source'!$A:$A,"160351 ORTHO- PARTNER AG.",'Source'!$B:$B,$A108)</f>
        <v>62.51</v>
      </c>
      <c r="I108" s="8" t="n">
        <f aca="false">SUMIFS('Source'!$G:$G,'Source'!$A:$A,"160351 ORTHO- PARTNER AG.",'Source'!$B:$B,$A108)</f>
        <v>0</v>
      </c>
      <c r="J108" s="8" t="n">
        <f aca="false">I108*$J$5</f>
        <v>0</v>
      </c>
      <c r="K108" s="8" t="n">
        <f aca="false">J108-H108</f>
        <v>-62.51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401</v>
      </c>
      <c r="B109" s="7" t="str">
        <f aca="false">IFERROR(INDEX('Source'!$C:$C,MATCH($A109,'Source'!$B:$B,0)),"")</f>
        <v>מגן קרסול פתוח</v>
      </c>
      <c r="C109" s="8" t="n">
        <f aca="false">SUMIFS('Source'!$D:$D,'Source'!$A:$A,"160351 ORTHO- PARTNER AG.",'Source'!$B:$B,$A109)</f>
        <v>0</v>
      </c>
      <c r="D109" s="8" t="n">
        <f aca="false">SUMIFS('Source'!$F:$F,'Source'!$A:$A,"160351 ORTHO- PARTNER AG.",'Source'!$B:$B,$A109)</f>
        <v>5</v>
      </c>
      <c r="E109" s="8" t="n">
        <f aca="false">D109*$J$5</f>
        <v>6.31578947368421</v>
      </c>
      <c r="F109" s="8" t="n">
        <f aca="false">E109-C109</f>
        <v>6.31578947368421</v>
      </c>
      <c r="G109" s="9" t="str">
        <f aca="false">IF(AND(C109=0,E109=0),0,IF(C109=0,"New",(E109-C109)/C109))</f>
        <v>New</v>
      </c>
      <c r="H109" s="8" t="n">
        <f aca="false">SUMIFS('Source'!$E:$E,'Source'!$A:$A,"160351 ORTHO- PARTNER AG.",'Source'!$B:$B,$A109)</f>
        <v>0</v>
      </c>
      <c r="I109" s="8" t="n">
        <f aca="false">SUMIFS('Source'!$G:$G,'Source'!$A:$A,"160351 ORTHO- PARTNER AG.",'Source'!$B:$B,$A109)</f>
        <v>58.13</v>
      </c>
      <c r="J109" s="8" t="n">
        <f aca="false">I109*$J$5</f>
        <v>73.4273684210526</v>
      </c>
      <c r="K109" s="8" t="n">
        <f aca="false">J109-H109</f>
        <v>73.4273684210526</v>
      </c>
      <c r="L109" s="9" t="str">
        <f aca="false">IF(AND(H109=0,J109=0),0,IF(H109=0,"New",(J109-H109)/H109))</f>
        <v>New</v>
      </c>
      <c r="M109" s="7" t="str">
        <f aca="false">IF(AND(OR(C109&lt;&gt;0,H109&lt;&gt;0),D109=0,I109=0),"DROP",IF(AND(OR(D109&lt;&gt;0,I109&lt;&gt;0),C109=0,H109=0),"NEW",""))</f>
        <v>NEW</v>
      </c>
    </row>
    <row r="110" customFormat="false" ht="15" hidden="false" customHeight="false" outlineLevel="0" collapsed="false">
      <c r="A110" s="7" t="s">
        <v>476</v>
      </c>
      <c r="B110" s="7" t="str">
        <f aca="false">IFERROR(INDEX('Source'!$C:$C,MATCH($A110,'Source'!$B:$B,0)),"")</f>
        <v>סד יד דו צדדי</v>
      </c>
      <c r="C110" s="8" t="n">
        <f aca="false">SUMIFS('Source'!$D:$D,'Source'!$A:$A,"160351 ORTHO- PARTNER AG.",'Source'!$B:$B,$A110)</f>
        <v>5</v>
      </c>
      <c r="D110" s="8" t="n">
        <f aca="false">SUMIFS('Source'!$F:$F,'Source'!$A:$A,"160351 ORTHO- PARTNER AG.",'Source'!$B:$B,$A110)</f>
        <v>5</v>
      </c>
      <c r="E110" s="8" t="n">
        <f aca="false">D110*$J$5</f>
        <v>6.31578947368421</v>
      </c>
      <c r="F110" s="8" t="n">
        <f aca="false">E110-C110</f>
        <v>1.31578947368421</v>
      </c>
      <c r="G110" s="9" t="n">
        <f aca="false">IF(AND(C110=0,E110=0),0,IF(C110=0,"New",(E110-C110)/C110))</f>
        <v>0.263157894736842</v>
      </c>
      <c r="H110" s="8" t="n">
        <f aca="false">SUMIFS('Source'!$E:$E,'Source'!$A:$A,"160351 ORTHO- PARTNER AG.",'Source'!$B:$B,$A110)</f>
        <v>270</v>
      </c>
      <c r="I110" s="8" t="n">
        <f aca="false">SUMIFS('Source'!$G:$G,'Source'!$A:$A,"160351 ORTHO- PARTNER AG.",'Source'!$B:$B,$A110)</f>
        <v>218.03</v>
      </c>
      <c r="J110" s="8" t="n">
        <f aca="false">I110*$J$5</f>
        <v>275.406315789474</v>
      </c>
      <c r="K110" s="8" t="n">
        <f aca="false">J110-H110</f>
        <v>5.4063157894737</v>
      </c>
      <c r="L110" s="9" t="n">
        <f aca="false">IF(AND(H110=0,J110=0),0,IF(H110=0,"New",(J110-H110)/H110))</f>
        <v>0.0200233918128655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319</v>
      </c>
      <c r="B111" s="7" t="str">
        <f aca="false">IFERROR(INDEX('Source'!$C:$C,MATCH($A111,'Source'!$B:$B,0)),"")</f>
        <v>מדרס מתכוונן</v>
      </c>
      <c r="C111" s="8" t="n">
        <f aca="false">SUMIFS('Source'!$D:$D,'Source'!$A:$A,"160351 ORTHO- PARTNER AG.",'Source'!$B:$B,$A111)</f>
        <v>0</v>
      </c>
      <c r="D111" s="8" t="n">
        <f aca="false">SUMIFS('Source'!$F:$F,'Source'!$A:$A,"160351 ORTHO- PARTNER AG.",'Source'!$B:$B,$A111)</f>
        <v>1</v>
      </c>
      <c r="E111" s="8" t="n">
        <f aca="false">D111*$J$5</f>
        <v>1.26315789473684</v>
      </c>
      <c r="F111" s="8" t="n">
        <f aca="false">E111-C111</f>
        <v>1.26315789473684</v>
      </c>
      <c r="G111" s="9" t="str">
        <f aca="false">IF(AND(C111=0,E111=0),0,IF(C111=0,"New",(E111-C111)/C111))</f>
        <v>New</v>
      </c>
      <c r="H111" s="8" t="n">
        <f aca="false">SUMIFS('Source'!$E:$E,'Source'!$A:$A,"160351 ORTHO- PARTNER AG.",'Source'!$B:$B,$A111)</f>
        <v>0</v>
      </c>
      <c r="I111" s="8" t="n">
        <f aca="false">SUMIFS('Source'!$G:$G,'Source'!$A:$A,"160351 ORTHO- PARTNER AG.",'Source'!$B:$B,$A111)</f>
        <v>34.26</v>
      </c>
      <c r="J111" s="8" t="n">
        <f aca="false">I111*$J$5</f>
        <v>43.2757894736842</v>
      </c>
      <c r="K111" s="8" t="n">
        <f aca="false">J111-H111</f>
        <v>43.2757894736842</v>
      </c>
      <c r="L111" s="9" t="str">
        <f aca="false">IF(AND(H111=0,J111=0),0,IF(H111=0,"New",(J111-H111)/H111))</f>
        <v>New</v>
      </c>
      <c r="M111" s="7" t="str">
        <f aca="false">IF(AND(OR(C111&lt;&gt;0,H111&lt;&gt;0),D111=0,I111=0),"DROP",IF(AND(OR(D111&lt;&gt;0,I111&lt;&gt;0),C111=0,H111=0),"NEW",""))</f>
        <v>NEW</v>
      </c>
    </row>
    <row r="112" customFormat="false" ht="15" hidden="false" customHeight="false" outlineLevel="0" collapsed="false">
      <c r="A112" s="7" t="s">
        <v>556</v>
      </c>
      <c r="B112" s="7" t="str">
        <f aca="false">IFERROR(INDEX('Source'!$C:$C,MATCH($A112,'Source'!$B:$B,0)),"")</f>
        <v>מגן ברך רגיל</v>
      </c>
      <c r="C112" s="8" t="n">
        <f aca="false">SUMIFS('Source'!$D:$D,'Source'!$A:$A,"160351 ORTHO- PARTNER AG.",'Source'!$B:$B,$A112)</f>
        <v>12</v>
      </c>
      <c r="D112" s="8" t="n">
        <f aca="false">SUMIFS('Source'!$F:$F,'Source'!$A:$A,"160351 ORTHO- PARTNER AG.",'Source'!$B:$B,$A112)</f>
        <v>11</v>
      </c>
      <c r="E112" s="8" t="n">
        <f aca="false">D112*$J$5</f>
        <v>13.8947368421053</v>
      </c>
      <c r="F112" s="8" t="n">
        <f aca="false">E112-C112</f>
        <v>1.89473684210526</v>
      </c>
      <c r="G112" s="9" t="n">
        <f aca="false">IF(AND(C112=0,E112=0),0,IF(C112=0,"New",(E112-C112)/C112))</f>
        <v>0.157894736842105</v>
      </c>
      <c r="H112" s="8" t="n">
        <f aca="false">SUMIFS('Source'!$E:$E,'Source'!$A:$A,"160351 ORTHO- PARTNER AG.",'Source'!$B:$B,$A112)</f>
        <v>134.14</v>
      </c>
      <c r="I112" s="8" t="n">
        <f aca="false">SUMIFS('Source'!$G:$G,'Source'!$A:$A,"160351 ORTHO- PARTNER AG.",'Source'!$B:$B,$A112)</f>
        <v>114.67</v>
      </c>
      <c r="J112" s="8" t="n">
        <f aca="false">I112*$J$5</f>
        <v>144.846315789474</v>
      </c>
      <c r="K112" s="8" t="n">
        <f aca="false">J112-H112</f>
        <v>10.7063157894737</v>
      </c>
      <c r="L112" s="9" t="n">
        <f aca="false">IF(AND(H112=0,J112=0),0,IF(H112=0,"New",(J112-H112)/H112))</f>
        <v>0.0798144907520032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712</v>
      </c>
      <c r="B113" s="7" t="str">
        <f aca="false">IFERROR(INDEX('Source'!$C:$C,MATCH($A113,'Source'!$B:$B,0)),"")</f>
        <v>מגן מרפק רגיל</v>
      </c>
      <c r="C113" s="8" t="n">
        <f aca="false">SUMIFS('Source'!$D:$D,'Source'!$A:$A,"160351 ORTHO- PARTNER AG.",'Source'!$B:$B,$A113)</f>
        <v>1</v>
      </c>
      <c r="D113" s="8" t="n">
        <f aca="false">SUMIFS('Source'!$F:$F,'Source'!$A:$A,"160351 ORTHO- PARTNER AG.",'Source'!$B:$B,$A113)</f>
        <v>0</v>
      </c>
      <c r="E113" s="8" t="n">
        <f aca="false">D113*$J$5</f>
        <v>0</v>
      </c>
      <c r="F113" s="8" t="n">
        <f aca="false">E113-C113</f>
        <v>-1</v>
      </c>
      <c r="G113" s="9" t="n">
        <f aca="false">IF(AND(C113=0,E113=0),0,IF(C113=0,"New",(E113-C113)/C113))</f>
        <v>-1</v>
      </c>
      <c r="H113" s="8" t="n">
        <f aca="false">SUMIFS('Source'!$E:$E,'Source'!$A:$A,"160351 ORTHO- PARTNER AG.",'Source'!$B:$B,$A113)</f>
        <v>0.04</v>
      </c>
      <c r="I113" s="8" t="n">
        <f aca="false">SUMIFS('Source'!$G:$G,'Source'!$A:$A,"160351 ORTHO- PARTNER AG.",'Source'!$B:$B,$A113)</f>
        <v>0</v>
      </c>
      <c r="J113" s="8" t="n">
        <f aca="false">I113*$J$5</f>
        <v>0</v>
      </c>
      <c r="K113" s="8" t="n">
        <f aca="false">J113-H113</f>
        <v>-0.04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473</v>
      </c>
      <c r="B114" s="7" t="str">
        <f aca="false">IFERROR(INDEX('Source'!$C:$C,MATCH($A114,'Source'!$B:$B,0)),"")</f>
        <v>מגן מרפק שחור</v>
      </c>
      <c r="C114" s="8" t="n">
        <f aca="false">SUMIFS('Source'!$D:$D,'Source'!$A:$A,"160351 ORTHO- PARTNER AG.",'Source'!$B:$B,$A114)</f>
        <v>0</v>
      </c>
      <c r="D114" s="8" t="n">
        <f aca="false">SUMIFS('Source'!$F:$F,'Source'!$A:$A,"160351 ORTHO- PARTNER AG.",'Source'!$B:$B,$A114)</f>
        <v>0</v>
      </c>
      <c r="E114" s="8" t="n">
        <f aca="false">D114*$J$5</f>
        <v>0</v>
      </c>
      <c r="F114" s="8" t="n">
        <f aca="false">E114-C114</f>
        <v>0</v>
      </c>
      <c r="G114" s="9" t="n">
        <f aca="false">IF(AND(C114=0,E114=0),0,IF(C114=0,"New",(E114-C114)/C114))</f>
        <v>0</v>
      </c>
      <c r="H114" s="8" t="n">
        <f aca="false">SUMIFS('Source'!$E:$E,'Source'!$A:$A,"160351 ORTHO- PARTNER AG.",'Source'!$B:$B,$A114)</f>
        <v>0</v>
      </c>
      <c r="I114" s="8" t="n">
        <f aca="false">SUMIFS('Source'!$G:$G,'Source'!$A:$A,"160351 ORTHO- PARTNER AG.",'Source'!$B:$B,$A114)</f>
        <v>0.03</v>
      </c>
      <c r="J114" s="8" t="n">
        <f aca="false">I114*$J$5</f>
        <v>0.0378947368421053</v>
      </c>
      <c r="K114" s="8" t="n">
        <f aca="false">J114-H114</f>
        <v>0.0378947368421053</v>
      </c>
      <c r="L114" s="9" t="str">
        <f aca="false">IF(AND(H114=0,J114=0),0,IF(H114=0,"New",(J114-H114)/H114))</f>
        <v>New</v>
      </c>
      <c r="M114" s="7" t="str">
        <f aca="false">IF(AND(OR(C114&lt;&gt;0,H114&lt;&gt;0),D114=0,I114=0),"DROP",IF(AND(OR(D114&lt;&gt;0,I114&lt;&gt;0),C114=0,H114=0),"NEW",""))</f>
        <v>NEW</v>
      </c>
    </row>
    <row r="115" customFormat="false" ht="15" hidden="false" customHeight="false" outlineLevel="0" collapsed="false">
      <c r="A115" s="7" t="s">
        <v>187</v>
      </c>
      <c r="B115" s="7" t="str">
        <f aca="false">IFERROR(INDEX('Source'!$C:$C,MATCH($A115,'Source'!$B:$B,0)),"")</f>
        <v>TaluAirShield | מקבע קרסול</v>
      </c>
      <c r="C115" s="8" t="n">
        <f aca="false">SUMIFS('Source'!$D:$D,'Source'!$A:$A,"160351 ORTHO- PARTNER AG.",'Source'!$B:$B,$A115)</f>
        <v>1</v>
      </c>
      <c r="D115" s="8" t="n">
        <f aca="false">SUMIFS('Source'!$F:$F,'Source'!$A:$A,"160351 ORTHO- PARTNER AG.",'Source'!$B:$B,$A115)</f>
        <v>0</v>
      </c>
      <c r="E115" s="8" t="n">
        <f aca="false">D115*$J$5</f>
        <v>0</v>
      </c>
      <c r="F115" s="8" t="n">
        <f aca="false">E115-C115</f>
        <v>-1</v>
      </c>
      <c r="G115" s="9" t="n">
        <f aca="false">IF(AND(C115=0,E115=0),0,IF(C115=0,"New",(E115-C115)/C115))</f>
        <v>-1</v>
      </c>
      <c r="H115" s="8" t="n">
        <f aca="false">SUMIFS('Source'!$E:$E,'Source'!$A:$A,"160351 ORTHO- PARTNER AG.",'Source'!$B:$B,$A115)</f>
        <v>0.03</v>
      </c>
      <c r="I115" s="8" t="n">
        <f aca="false">SUMIFS('Source'!$G:$G,'Source'!$A:$A,"160351 ORTHO- PARTNER AG.",'Source'!$B:$B,$A115)</f>
        <v>0</v>
      </c>
      <c r="J115" s="8" t="n">
        <f aca="false">I115*$J$5</f>
        <v>0</v>
      </c>
      <c r="K115" s="8" t="n">
        <f aca="false">J115-H115</f>
        <v>-0.03</v>
      </c>
      <c r="L115" s="9" t="n">
        <f aca="false">IF(AND(H115=0,J115=0),0,IF(H115=0,"New",(J115-H115)/H115))</f>
        <v>-1</v>
      </c>
      <c r="M115" s="7" t="str">
        <f aca="false">IF(AND(OR(C115&lt;&gt;0,H115&lt;&gt;0),D115=0,I115=0),"DROP",IF(AND(OR(D115&lt;&gt;0,I115&lt;&gt;0),C115=0,H115=0),"NEW",""))</f>
        <v>DROP</v>
      </c>
    </row>
    <row r="116" customFormat="false" ht="15" hidden="false" customHeight="false" outlineLevel="0" collapsed="false">
      <c r="A116" s="7" t="s">
        <v>119</v>
      </c>
      <c r="B116" s="7" t="str">
        <f aca="false">IFERROR(INDEX('Source'!$C:$C,MATCH($A116,'Source'!$B:$B,0)),"")</f>
        <v>מיישר בוניון-HALUX VALGUS</v>
      </c>
      <c r="C116" s="8" t="n">
        <f aca="false">SUMIFS('Source'!$D:$D,'Source'!$A:$A,"160351 ORTHO- PARTNER AG.",'Source'!$B:$B,$A116)</f>
        <v>1</v>
      </c>
      <c r="D116" s="8" t="n">
        <f aca="false">SUMIFS('Source'!$F:$F,'Source'!$A:$A,"160351 ORTHO- PARTNER AG.",'Source'!$B:$B,$A116)</f>
        <v>0</v>
      </c>
      <c r="E116" s="8" t="n">
        <f aca="false">D116*$J$5</f>
        <v>0</v>
      </c>
      <c r="F116" s="8" t="n">
        <f aca="false">E116-C116</f>
        <v>-1</v>
      </c>
      <c r="G116" s="9" t="n">
        <f aca="false">IF(AND(C116=0,E116=0),0,IF(C116=0,"New",(E116-C116)/C116))</f>
        <v>-1</v>
      </c>
      <c r="H116" s="8" t="n">
        <f aca="false">SUMIFS('Source'!$E:$E,'Source'!$A:$A,"160351 ORTHO- PARTNER AG.",'Source'!$B:$B,$A116)</f>
        <v>0.03</v>
      </c>
      <c r="I116" s="8" t="n">
        <f aca="false">SUMIFS('Source'!$G:$G,'Source'!$A:$A,"160351 ORTHO- PARTNER AG.",'Source'!$B:$B,$A116)</f>
        <v>0</v>
      </c>
      <c r="J116" s="8" t="n">
        <f aca="false">I116*$J$5</f>
        <v>0</v>
      </c>
      <c r="K116" s="8" t="n">
        <f aca="false">J116-H116</f>
        <v>-0.03</v>
      </c>
      <c r="L116" s="9" t="n">
        <f aca="false">IF(AND(H116=0,J116=0),0,IF(H116=0,"New",(J116-H116)/H116))</f>
        <v>-1</v>
      </c>
      <c r="M116" s="7" t="str">
        <f aca="false">IF(AND(OR(C116&lt;&gt;0,H116&lt;&gt;0),D116=0,I116=0),"DROP",IF(AND(OR(D116&lt;&gt;0,I116&lt;&gt;0),C116=0,H116=0),"NEW",""))</f>
        <v>DROP</v>
      </c>
    </row>
    <row r="117" customFormat="false" ht="15" hidden="false" customHeight="false" outlineLevel="0" collapsed="false">
      <c r="A117" s="7" t="s">
        <v>517</v>
      </c>
      <c r="B117" s="7" t="str">
        <f aca="false">IFERROR(INDEX('Source'!$C:$C,MATCH($A117,'Source'!$B:$B,0)),"")</f>
        <v>סד לילה לבוהן</v>
      </c>
      <c r="C117" s="8" t="n">
        <f aca="false">SUMIFS('Source'!$D:$D,'Source'!$A:$A,"160351 ORTHO- PARTNER AG.",'Source'!$B:$B,$A117)</f>
        <v>1</v>
      </c>
      <c r="D117" s="8" t="n">
        <f aca="false">SUMIFS('Source'!$F:$F,'Source'!$A:$A,"160351 ORTHO- PARTNER AG.",'Source'!$B:$B,$A117)</f>
        <v>0</v>
      </c>
      <c r="E117" s="8" t="n">
        <f aca="false">D117*$J$5</f>
        <v>0</v>
      </c>
      <c r="F117" s="8" t="n">
        <f aca="false">E117-C117</f>
        <v>-1</v>
      </c>
      <c r="G117" s="9" t="n">
        <f aca="false">IF(AND(C117=0,E117=0),0,IF(C117=0,"New",(E117-C117)/C117))</f>
        <v>-1</v>
      </c>
      <c r="H117" s="8" t="n">
        <f aca="false">SUMIFS('Source'!$E:$E,'Source'!$A:$A,"160351 ORTHO- PARTNER AG.",'Source'!$B:$B,$A117)</f>
        <v>0.03</v>
      </c>
      <c r="I117" s="8" t="n">
        <f aca="false">SUMIFS('Source'!$G:$G,'Source'!$A:$A,"160351 ORTHO- PARTNER AG.",'Source'!$B:$B,$A117)</f>
        <v>0</v>
      </c>
      <c r="J117" s="8" t="n">
        <f aca="false">I117*$J$5</f>
        <v>0</v>
      </c>
      <c r="K117" s="8" t="n">
        <f aca="false">J117-H117</f>
        <v>-0.03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334</v>
      </c>
      <c r="B118" s="7" t="str">
        <f aca="false">IFERROR(INDEX('Source'!$C:$C,MATCH($A118,'Source'!$B:$B,0)),"")</f>
        <v>סד לילה לבוהן</v>
      </c>
      <c r="C118" s="8" t="n">
        <f aca="false">SUMIFS('Source'!$D:$D,'Source'!$A:$A,"160351 ORTHO- PARTNER AG.",'Source'!$B:$B,$A118)</f>
        <v>1</v>
      </c>
      <c r="D118" s="8" t="n">
        <f aca="false">SUMIFS('Source'!$F:$F,'Source'!$A:$A,"160351 ORTHO- PARTNER AG.",'Source'!$B:$B,$A118)</f>
        <v>0</v>
      </c>
      <c r="E118" s="8" t="n">
        <f aca="false">D118*$J$5</f>
        <v>0</v>
      </c>
      <c r="F118" s="8" t="n">
        <f aca="false">E118-C118</f>
        <v>-1</v>
      </c>
      <c r="G118" s="9" t="n">
        <f aca="false">IF(AND(C118=0,E118=0),0,IF(C118=0,"New",(E118-C118)/C118))</f>
        <v>-1</v>
      </c>
      <c r="H118" s="8" t="n">
        <f aca="false">SUMIFS('Source'!$E:$E,'Source'!$A:$A,"160351 ORTHO- PARTNER AG.",'Source'!$B:$B,$A118)</f>
        <v>0.03</v>
      </c>
      <c r="I118" s="8" t="n">
        <f aca="false">SUMIFS('Source'!$G:$G,'Source'!$A:$A,"160351 ORTHO- PARTNER AG.",'Source'!$B:$B,$A118)</f>
        <v>0</v>
      </c>
      <c r="J118" s="8" t="n">
        <f aca="false">I118*$J$5</f>
        <v>0</v>
      </c>
      <c r="K118" s="8" t="n">
        <f aca="false">J118-H118</f>
        <v>-0.03</v>
      </c>
      <c r="L118" s="9" t="n">
        <f aca="false">IF(AND(H118=0,J118=0),0,IF(H118=0,"New",(J118-H118)/H118))</f>
        <v>-1</v>
      </c>
      <c r="M118" s="7" t="str">
        <f aca="false">IF(AND(OR(C118&lt;&gt;0,H118&lt;&gt;0),D118=0,I118=0),"DROP",IF(AND(OR(D118&lt;&gt;0,I118&lt;&gt;0),C118=0,H118=0),"NEW",""))</f>
        <v>DROP</v>
      </c>
    </row>
    <row r="119" customFormat="false" ht="15" hidden="false" customHeight="false" outlineLevel="0" collapsed="false">
      <c r="A119" s="7" t="s">
        <v>755</v>
      </c>
      <c r="B119" s="7" t="str">
        <f aca="false">IFERROR(INDEX('Source'!$C:$C,MATCH($A119,'Source'!$B:$B,0)),"")</f>
        <v>מגן מרפק SC95</v>
      </c>
      <c r="C119" s="8" t="n">
        <f aca="false">SUMIFS('Source'!$D:$D,'Source'!$A:$A,"160351 ORTHO- PARTNER AG.",'Source'!$B:$B,$A119)</f>
        <v>0</v>
      </c>
      <c r="D119" s="8" t="n">
        <f aca="false">SUMIFS('Source'!$F:$F,'Source'!$A:$A,"160351 ORTHO- PARTNER AG.",'Source'!$B:$B,$A119)</f>
        <v>1</v>
      </c>
      <c r="E119" s="8" t="n">
        <f aca="false">D119*$J$5</f>
        <v>1.26315789473684</v>
      </c>
      <c r="F119" s="8" t="n">
        <f aca="false">E119-C119</f>
        <v>1.26315789473684</v>
      </c>
      <c r="G119" s="9" t="str">
        <f aca="false">IF(AND(C119=0,E119=0),0,IF(C119=0,"New",(E119-C119)/C119))</f>
        <v>New</v>
      </c>
      <c r="H119" s="8" t="n">
        <f aca="false">SUMIFS('Source'!$E:$E,'Source'!$A:$A,"160351 ORTHO- PARTNER AG.",'Source'!$B:$B,$A119)</f>
        <v>0</v>
      </c>
      <c r="I119" s="8" t="n">
        <f aca="false">SUMIFS('Source'!$G:$G,'Source'!$A:$A,"160351 ORTHO- PARTNER AG.",'Source'!$B:$B,$A119)</f>
        <v>0.03</v>
      </c>
      <c r="J119" s="8" t="n">
        <f aca="false">I119*$J$5</f>
        <v>0.0378947368421053</v>
      </c>
      <c r="K119" s="8" t="n">
        <f aca="false">J119-H119</f>
        <v>0.0378947368421053</v>
      </c>
      <c r="L119" s="9" t="str">
        <f aca="false">IF(AND(H119=0,J119=0),0,IF(H119=0,"New",(J119-H119)/H119))</f>
        <v>New</v>
      </c>
      <c r="M119" s="7" t="str">
        <f aca="false">IF(AND(OR(C119&lt;&gt;0,H119&lt;&gt;0),D119=0,I119=0),"DROP",IF(AND(OR(D119&lt;&gt;0,I119&lt;&gt;0),C119=0,H119=0),"NEW",""))</f>
        <v>NEW</v>
      </c>
    </row>
    <row r="121" customFormat="false" ht="15" hidden="false" customHeight="false" outlineLevel="0" collapsed="false">
      <c r="A121" s="17"/>
      <c r="B121" s="18" t="s">
        <v>97</v>
      </c>
      <c r="C121" s="19" t="n">
        <f aca="false">SUM(C9:C119)</f>
        <v>6959</v>
      </c>
      <c r="D121" s="19" t="n">
        <f aca="false">SUM(D9:D119)</f>
        <v>6740</v>
      </c>
      <c r="E121" s="19" t="n">
        <f aca="false">SUM(E9:E119)</f>
        <v>8513.68421052632</v>
      </c>
      <c r="F121" s="19" t="n">
        <f aca="false">SUM(F9:F119)</f>
        <v>1554.68421052632</v>
      </c>
      <c r="G121" s="20" t="n">
        <f aca="false">IF(C121=0,"N/A",F121/C121)</f>
        <v>0.223406266780617</v>
      </c>
      <c r="H121" s="19" t="n">
        <f aca="false">SUM(H9:H119)</f>
        <v>405920.85</v>
      </c>
      <c r="I121" s="19" t="n">
        <f aca="false">SUM(I9:I119)</f>
        <v>344263.09</v>
      </c>
      <c r="J121" s="19" t="n">
        <f aca="false">SUM(J9:J119)</f>
        <v>434858.64</v>
      </c>
      <c r="K121" s="19" t="n">
        <f aca="false">SUM(K9:K119)</f>
        <v>28937.79</v>
      </c>
      <c r="L121" s="20" t="n">
        <f aca="false">IF(H121=0,"N/A",K121/H121)</f>
        <v>0.0712892427181308</v>
      </c>
      <c r="M12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928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929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SUMPRODUCT(--(((C9:C99&lt;&gt;0)+(H9:H99&lt;&gt;0)&gt;0)*((D9:D99=0)*(I9:I99=0))))</f>
        <v>17</v>
      </c>
      <c r="C5" s="13" t="s">
        <v>47</v>
      </c>
      <c r="D5" s="14" t="n">
        <f aca="false">SUMPRODUCT(--(((D9:D99&lt;&gt;0)+(I9:I99&lt;&gt;0)&gt;0)*((C9:C99=0)*(H9:H99=0))))</f>
        <v>8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SUMPRODUCT(--(((C9:C99&lt;&gt;0)+(H9:H99&lt;&gt;0)&gt;0)*((D9:D99=0)*(I9:I99=0)))*C9:C99)</f>
        <v>184</v>
      </c>
      <c r="C6" s="13" t="s">
        <v>50</v>
      </c>
      <c r="D6" s="14" t="n">
        <f aca="false">SUMPRODUCT(--(((C9:C99&lt;&gt;0)+(H9:H99&lt;&gt;0)&gt;0)*((D9:D99=0)*(I9:I99=0)))*H9:H99)</f>
        <v>2098.73</v>
      </c>
      <c r="E6" s="13" t="s">
        <v>51</v>
      </c>
      <c r="F6" s="14" t="n">
        <f aca="false">SUMPRODUCT(--(((D9:D99&lt;&gt;0)+(I9:I99&lt;&gt;0)&gt;0)*((C9:C99=0)*(H9:H99=0)))*D9:D99)</f>
        <v>147</v>
      </c>
      <c r="G6" s="13" t="s">
        <v>52</v>
      </c>
      <c r="H6" s="14" t="n">
        <f aca="false">SUMPRODUCT(--(((D9:D99&lt;&gt;0)+(I9:I99&lt;&gt;0)&gt;0)*((C9:C99=0)*(H9:H99=0)))*I9:I99)</f>
        <v>6167.14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147</v>
      </c>
      <c r="B9" s="7" t="str">
        <f aca="false">IFERROR(INDEX('Source'!$C:$C,MATCH($A9,'Source'!$B:$B,0)),"")</f>
        <v>חגורה למנותחי בית חזה</v>
      </c>
      <c r="C9" s="8" t="n">
        <f aca="false">SUMIFS('Source'!$D:$D,'Source'!$A:$A,"160955 ORTOPROFIL PROD. ROMANIA",'Source'!$B:$B,$A9)</f>
        <v>1215</v>
      </c>
      <c r="D9" s="8" t="n">
        <f aca="false">SUMIFS('Source'!$F:$F,'Source'!$A:$A,"160955 ORTOPROFIL PROD. ROMANIA",'Source'!$B:$B,$A9)</f>
        <v>915</v>
      </c>
      <c r="E9" s="8" t="n">
        <f aca="false">D9*$J$5</f>
        <v>1155.78947368421</v>
      </c>
      <c r="F9" s="8" t="n">
        <f aca="false">E9-C9</f>
        <v>-59.2105263157896</v>
      </c>
      <c r="G9" s="9" t="n">
        <f aca="false">IF(AND(C9=0,E9=0),0,IF(C9=0,"New",(E9-C9)/C9))</f>
        <v>-0.0487329434697857</v>
      </c>
      <c r="H9" s="8" t="n">
        <f aca="false">SUMIFS('Source'!$E:$E,'Source'!$A:$A,"160955 ORTOPROFIL PROD. ROMANIA",'Source'!$B:$B,$A9)</f>
        <v>97417.62</v>
      </c>
      <c r="I9" s="8" t="n">
        <f aca="false">SUMIFS('Source'!$G:$G,'Source'!$A:$A,"160955 ORTOPROFIL PROD. ROMANIA",'Source'!$B:$B,$A9)</f>
        <v>73196.96</v>
      </c>
      <c r="J9" s="8" t="n">
        <f aca="false">I9*$J$5</f>
        <v>92459.3178947368</v>
      </c>
      <c r="K9" s="8" t="n">
        <f aca="false">J9-H9</f>
        <v>-4958.30210526317</v>
      </c>
      <c r="L9" s="9" t="n">
        <f aca="false">IF(AND(H9=0,J9=0),0,IF(H9=0,"New",(J9-H9)/H9))</f>
        <v>-0.0508973849418942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279</v>
      </c>
      <c r="B10" s="7" t="str">
        <f aca="false">IFERROR(INDEX('Source'!$C:$C,MATCH($A10,'Source'!$B:$B,0)),"")</f>
        <v>חגורה אחרי ניתוח</v>
      </c>
      <c r="C10" s="8" t="n">
        <f aca="false">SUMIFS('Source'!$D:$D,'Source'!$A:$A,"160955 ORTOPROFIL PROD. ROMANIA",'Source'!$B:$B,$A10)</f>
        <v>373</v>
      </c>
      <c r="D10" s="8" t="n">
        <f aca="false">SUMIFS('Source'!$F:$F,'Source'!$A:$A,"160955 ORTOPROFIL PROD. ROMANIA",'Source'!$B:$B,$A10)</f>
        <v>250</v>
      </c>
      <c r="E10" s="8" t="n">
        <f aca="false">D10*$J$5</f>
        <v>315.789473684211</v>
      </c>
      <c r="F10" s="8" t="n">
        <f aca="false">E10-C10</f>
        <v>-57.2105263157895</v>
      </c>
      <c r="G10" s="9" t="n">
        <f aca="false">IF(AND(C10=0,E10=0),0,IF(C10=0,"New",(E10-C10)/C10))</f>
        <v>-0.153379427120079</v>
      </c>
      <c r="H10" s="8" t="n">
        <f aca="false">SUMIFS('Source'!$E:$E,'Source'!$A:$A,"160955 ORTOPROFIL PROD. ROMANIA",'Source'!$B:$B,$A10)</f>
        <v>22938.97</v>
      </c>
      <c r="I10" s="8" t="n">
        <f aca="false">SUMIFS('Source'!$G:$G,'Source'!$A:$A,"160955 ORTOPROFIL PROD. ROMANIA",'Source'!$B:$B,$A10)</f>
        <v>15564.33</v>
      </c>
      <c r="J10" s="8" t="n">
        <f aca="false">I10*$J$5</f>
        <v>19660.2063157895</v>
      </c>
      <c r="K10" s="8" t="n">
        <f aca="false">J10-H10</f>
        <v>-3278.76368421053</v>
      </c>
      <c r="L10" s="9" t="n">
        <f aca="false">IF(AND(H10=0,J10=0),0,IF(H10=0,"New",(J10-H10)/H10))</f>
        <v>-0.142934215625659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197</v>
      </c>
      <c r="B11" s="7" t="str">
        <f aca="false">IFERROR(INDEX('Source'!$C:$C,MATCH($A11,'Source'!$B:$B,0)),"")</f>
        <v>חגורה אחרי ניתוח</v>
      </c>
      <c r="C11" s="8" t="n">
        <f aca="false">SUMIFS('Source'!$D:$D,'Source'!$A:$A,"160955 ORTOPROFIL PROD. ROMANIA",'Source'!$B:$B,$A11)</f>
        <v>227</v>
      </c>
      <c r="D11" s="8" t="n">
        <f aca="false">SUMIFS('Source'!$F:$F,'Source'!$A:$A,"160955 ORTOPROFIL PROD. ROMANIA",'Source'!$B:$B,$A11)</f>
        <v>107</v>
      </c>
      <c r="E11" s="8" t="n">
        <f aca="false">D11*$J$5</f>
        <v>135.157894736842</v>
      </c>
      <c r="F11" s="8" t="n">
        <f aca="false">E11-C11</f>
        <v>-91.8421052631579</v>
      </c>
      <c r="G11" s="9" t="n">
        <f aca="false">IF(AND(C11=0,E11=0),0,IF(C11=0,"New",(E11-C11)/C11))</f>
        <v>-0.404590772084396</v>
      </c>
      <c r="H11" s="8" t="n">
        <f aca="false">SUMIFS('Source'!$E:$E,'Source'!$A:$A,"160955 ORTOPROFIL PROD. ROMANIA",'Source'!$B:$B,$A11)</f>
        <v>13992.86</v>
      </c>
      <c r="I11" s="8" t="n">
        <f aca="false">SUMIFS('Source'!$G:$G,'Source'!$A:$A,"160955 ORTOPROFIL PROD. ROMANIA",'Source'!$B:$B,$A11)</f>
        <v>6670.85</v>
      </c>
      <c r="J11" s="8" t="n">
        <f aca="false">I11*$J$5</f>
        <v>8426.33684210526</v>
      </c>
      <c r="K11" s="8" t="n">
        <f aca="false">J11-H11</f>
        <v>-5566.52315789474</v>
      </c>
      <c r="L11" s="9" t="n">
        <f aca="false">IF(AND(H11=0,J11=0),0,IF(H11=0,"New",(J11-H11)/H11))</f>
        <v>-0.397811680949766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391</v>
      </c>
      <c r="B12" s="7" t="str">
        <f aca="false">IFERROR(INDEX('Source'!$C:$C,MATCH($A12,'Source'!$B:$B,0)),"")</f>
        <v>חגורה אחרי ניתוח</v>
      </c>
      <c r="C12" s="8" t="n">
        <f aca="false">SUMIFS('Source'!$D:$D,'Source'!$A:$A,"160955 ORTOPROFIL PROD. ROMANIA",'Source'!$B:$B,$A12)</f>
        <v>495</v>
      </c>
      <c r="D12" s="8" t="n">
        <f aca="false">SUMIFS('Source'!$F:$F,'Source'!$A:$A,"160955 ORTOPROFIL PROD. ROMANIA",'Source'!$B:$B,$A12)</f>
        <v>397</v>
      </c>
      <c r="E12" s="8" t="n">
        <f aca="false">D12*$J$5</f>
        <v>501.473684210526</v>
      </c>
      <c r="F12" s="8" t="n">
        <f aca="false">E12-C12</f>
        <v>6.4736842105263</v>
      </c>
      <c r="G12" s="9" t="n">
        <f aca="false">IF(AND(C12=0,E12=0),0,IF(C12=0,"New",(E12-C12)/C12))</f>
        <v>0.0130781499202552</v>
      </c>
      <c r="H12" s="8" t="n">
        <f aca="false">SUMIFS('Source'!$E:$E,'Source'!$A:$A,"160955 ORTOPROFIL PROD. ROMANIA",'Source'!$B:$B,$A12)</f>
        <v>30513.16</v>
      </c>
      <c r="I12" s="8" t="n">
        <f aca="false">SUMIFS('Source'!$G:$G,'Source'!$A:$A,"160955 ORTOPROFIL PROD. ROMANIA",'Source'!$B:$B,$A12)</f>
        <v>24523.1</v>
      </c>
      <c r="J12" s="8" t="n">
        <f aca="false">I12*$J$5</f>
        <v>30976.5473684211</v>
      </c>
      <c r="K12" s="8" t="n">
        <f aca="false">J12-H12</f>
        <v>463.387368421048</v>
      </c>
      <c r="L12" s="9" t="n">
        <f aca="false">IF(AND(H12=0,J12=0),0,IF(H12=0,"New",(J12-H12)/H12))</f>
        <v>0.0151864758819161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196</v>
      </c>
      <c r="B13" s="7" t="str">
        <f aca="false">IFERROR(INDEX('Source'!$C:$C,MATCH($A13,'Source'!$B:$B,0)),"")</f>
        <v>חגורה אחרי ניתוח</v>
      </c>
      <c r="C13" s="8" t="n">
        <f aca="false">SUMIFS('Source'!$D:$D,'Source'!$A:$A,"160955 ORTOPROFIL PROD. ROMANIA",'Source'!$B:$B,$A13)</f>
        <v>350</v>
      </c>
      <c r="D13" s="8" t="n">
        <f aca="false">SUMIFS('Source'!$F:$F,'Source'!$A:$A,"160955 ORTOPROFIL PROD. ROMANIA",'Source'!$B:$B,$A13)</f>
        <v>255</v>
      </c>
      <c r="E13" s="8" t="n">
        <f aca="false">D13*$J$5</f>
        <v>322.105263157895</v>
      </c>
      <c r="F13" s="8" t="n">
        <f aca="false">E13-C13</f>
        <v>-27.8947368421053</v>
      </c>
      <c r="G13" s="9" t="n">
        <f aca="false">IF(AND(C13=0,E13=0),0,IF(C13=0,"New",(E13-C13)/C13))</f>
        <v>-0.0796992481203007</v>
      </c>
      <c r="H13" s="8" t="n">
        <f aca="false">SUMIFS('Source'!$E:$E,'Source'!$A:$A,"160955 ORTOPROFIL PROD. ROMANIA",'Source'!$B:$B,$A13)</f>
        <v>21625.17</v>
      </c>
      <c r="I13" s="8" t="n">
        <f aca="false">SUMIFS('Source'!$G:$G,'Source'!$A:$A,"160955 ORTOPROFIL PROD. ROMANIA",'Source'!$B:$B,$A13)</f>
        <v>15856.84</v>
      </c>
      <c r="J13" s="8" t="n">
        <f aca="false">I13*$J$5</f>
        <v>20029.6926315789</v>
      </c>
      <c r="K13" s="8" t="n">
        <f aca="false">J13-H13</f>
        <v>-1595.47736842106</v>
      </c>
      <c r="L13" s="9" t="n">
        <f aca="false">IF(AND(H13=0,J13=0),0,IF(H13=0,"New",(J13-H13)/H13))</f>
        <v>-0.073778720279242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319</v>
      </c>
      <c r="B14" s="7" t="str">
        <f aca="false">IFERROR(INDEX('Source'!$C:$C,MATCH($A14,'Source'!$B:$B,0)),"")</f>
        <v>מדרס מתכוונן</v>
      </c>
      <c r="C14" s="8" t="n">
        <f aca="false">SUMIFS('Source'!$D:$D,'Source'!$A:$A,"160955 ORTOPROFIL PROD. ROMANIA",'Source'!$B:$B,$A14)</f>
        <v>382</v>
      </c>
      <c r="D14" s="8" t="n">
        <f aca="false">SUMIFS('Source'!$F:$F,'Source'!$A:$A,"160955 ORTOPROFIL PROD. ROMANIA",'Source'!$B:$B,$A14)</f>
        <v>238</v>
      </c>
      <c r="E14" s="8" t="n">
        <f aca="false">D14*$J$5</f>
        <v>300.631578947368</v>
      </c>
      <c r="F14" s="8" t="n">
        <f aca="false">E14-C14</f>
        <v>-81.3684210526316</v>
      </c>
      <c r="G14" s="9" t="n">
        <f aca="false">IF(AND(C14=0,E14=0),0,IF(C14=0,"New",(E14-C14)/C14))</f>
        <v>-0.213006337834114</v>
      </c>
      <c r="H14" s="8" t="n">
        <f aca="false">SUMIFS('Source'!$E:$E,'Source'!$A:$A,"160955 ORTOPROFIL PROD. ROMANIA",'Source'!$B:$B,$A14)</f>
        <v>13310.26</v>
      </c>
      <c r="I14" s="8" t="n">
        <f aca="false">SUMIFS('Source'!$G:$G,'Source'!$A:$A,"160955 ORTOPROFIL PROD. ROMANIA",'Source'!$B:$B,$A14)</f>
        <v>8295.91</v>
      </c>
      <c r="J14" s="8" t="n">
        <f aca="false">I14*$J$5</f>
        <v>10479.0442105263</v>
      </c>
      <c r="K14" s="8" t="n">
        <f aca="false">J14-H14</f>
        <v>-2831.21578947368</v>
      </c>
      <c r="L14" s="9" t="n">
        <f aca="false">IF(AND(H14=0,J14=0),0,IF(H14=0,"New",(J14-H14)/H14))</f>
        <v>-0.21270927761544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517</v>
      </c>
      <c r="B15" s="7" t="str">
        <f aca="false">IFERROR(INDEX('Source'!$C:$C,MATCH($A15,'Source'!$B:$B,0)),"")</f>
        <v>סד לילה לבוהן</v>
      </c>
      <c r="C15" s="8" t="n">
        <f aca="false">SUMIFS('Source'!$D:$D,'Source'!$A:$A,"160955 ORTOPROFIL PROD. ROMANIA",'Source'!$B:$B,$A15)</f>
        <v>337</v>
      </c>
      <c r="D15" s="8" t="n">
        <f aca="false">SUMIFS('Source'!$F:$F,'Source'!$A:$A,"160955 ORTOPROFIL PROD. ROMANIA",'Source'!$B:$B,$A15)</f>
        <v>239</v>
      </c>
      <c r="E15" s="8" t="n">
        <f aca="false">D15*$J$5</f>
        <v>301.894736842105</v>
      </c>
      <c r="F15" s="8" t="n">
        <f aca="false">E15-C15</f>
        <v>-35.1052631578947</v>
      </c>
      <c r="G15" s="9" t="n">
        <f aca="false">IF(AND(C15=0,E15=0),0,IF(C15=0,"New",(E15-C15)/C15))</f>
        <v>-0.104169920349836</v>
      </c>
      <c r="H15" s="8" t="n">
        <f aca="false">SUMIFS('Source'!$E:$E,'Source'!$A:$A,"160955 ORTOPROFIL PROD. ROMANIA",'Source'!$B:$B,$A15)</f>
        <v>11873.87</v>
      </c>
      <c r="I15" s="8" t="n">
        <f aca="false">SUMIFS('Source'!$G:$G,'Source'!$A:$A,"160955 ORTOPROFIL PROD. ROMANIA",'Source'!$B:$B,$A15)</f>
        <v>7470.49</v>
      </c>
      <c r="J15" s="8" t="n">
        <f aca="false">I15*$J$5</f>
        <v>9436.40842105263</v>
      </c>
      <c r="K15" s="8" t="n">
        <f aca="false">J15-H15</f>
        <v>-2437.46157894737</v>
      </c>
      <c r="L15" s="9" t="n">
        <f aca="false">IF(AND(H15=0,J15=0),0,IF(H15=0,"New",(J15-H15)/H15))</f>
        <v>-0.205279456398577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306</v>
      </c>
      <c r="B16" s="7" t="str">
        <f aca="false">IFERROR(INDEX('Source'!$C:$C,MATCH($A16,'Source'!$B:$B,0)),"")</f>
        <v>מדרסי ג'ל קומפורט</v>
      </c>
      <c r="C16" s="8" t="n">
        <f aca="false">SUMIFS('Source'!$D:$D,'Source'!$A:$A,"160955 ORTOPROFIL PROD. ROMANIA",'Source'!$B:$B,$A16)</f>
        <v>125</v>
      </c>
      <c r="D16" s="8" t="n">
        <f aca="false">SUMIFS('Source'!$F:$F,'Source'!$A:$A,"160955 ORTOPROFIL PROD. ROMANIA",'Source'!$B:$B,$A16)</f>
        <v>37</v>
      </c>
      <c r="E16" s="8" t="n">
        <f aca="false">D16*$J$5</f>
        <v>46.7368421052632</v>
      </c>
      <c r="F16" s="8" t="n">
        <f aca="false">E16-C16</f>
        <v>-78.2631578947369</v>
      </c>
      <c r="G16" s="9" t="n">
        <f aca="false">IF(AND(C16=0,E16=0),0,IF(C16=0,"New",(E16-C16)/C16))</f>
        <v>-0.626105263157895</v>
      </c>
      <c r="H16" s="8" t="n">
        <f aca="false">SUMIFS('Source'!$E:$E,'Source'!$A:$A,"160955 ORTOPROFIL PROD. ROMANIA",'Source'!$B:$B,$A16)</f>
        <v>5731.88</v>
      </c>
      <c r="I16" s="8" t="n">
        <f aca="false">SUMIFS('Source'!$G:$G,'Source'!$A:$A,"160955 ORTOPROFIL PROD. ROMANIA",'Source'!$B:$B,$A16)</f>
        <v>1497.79</v>
      </c>
      <c r="J16" s="8" t="n">
        <f aca="false">I16*$J$5</f>
        <v>1891.94526315789</v>
      </c>
      <c r="K16" s="8" t="n">
        <f aca="false">J16-H16</f>
        <v>-3839.93473684211</v>
      </c>
      <c r="L16" s="9" t="n">
        <f aca="false">IF(AND(H16=0,J16=0),0,IF(H16=0,"New",(J16-H16)/H16))</f>
        <v>-0.669925877171557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191</v>
      </c>
      <c r="B17" s="7" t="str">
        <f aca="false">IFERROR(INDEX('Source'!$C:$C,MATCH($A17,'Source'!$B:$B,0)),"")</f>
        <v>מדרסי ג'ל קומפורט</v>
      </c>
      <c r="C17" s="8" t="n">
        <f aca="false">SUMIFS('Source'!$D:$D,'Source'!$A:$A,"160955 ORTOPROFIL PROD. ROMANIA",'Source'!$B:$B,$A17)</f>
        <v>101</v>
      </c>
      <c r="D17" s="8" t="n">
        <f aca="false">SUMIFS('Source'!$F:$F,'Source'!$A:$A,"160955 ORTOPROFIL PROD. ROMANIA",'Source'!$B:$B,$A17)</f>
        <v>11</v>
      </c>
      <c r="E17" s="8" t="n">
        <f aca="false">D17*$J$5</f>
        <v>13.8947368421053</v>
      </c>
      <c r="F17" s="8" t="n">
        <f aca="false">E17-C17</f>
        <v>-87.1052631578947</v>
      </c>
      <c r="G17" s="9" t="n">
        <f aca="false">IF(AND(C17=0,E17=0),0,IF(C17=0,"New",(E17-C17)/C17))</f>
        <v>-0.862428348097968</v>
      </c>
      <c r="H17" s="8" t="n">
        <f aca="false">SUMIFS('Source'!$E:$E,'Source'!$A:$A,"160955 ORTOPROFIL PROD. ROMANIA",'Source'!$B:$B,$A17)</f>
        <v>4660.82</v>
      </c>
      <c r="I17" s="8" t="n">
        <f aca="false">SUMIFS('Source'!$G:$G,'Source'!$A:$A,"160955 ORTOPROFIL PROD. ROMANIA",'Source'!$B:$B,$A17)</f>
        <v>445.19</v>
      </c>
      <c r="J17" s="8" t="n">
        <f aca="false">I17*$J$5</f>
        <v>562.345263157895</v>
      </c>
      <c r="K17" s="8" t="n">
        <f aca="false">J17-H17</f>
        <v>-4098.47473684211</v>
      </c>
      <c r="L17" s="9" t="n">
        <f aca="false">IF(AND(H17=0,J17=0),0,IF(H17=0,"New",(J17-H17)/H17))</f>
        <v>-0.879346281736284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334</v>
      </c>
      <c r="B18" s="7" t="str">
        <f aca="false">IFERROR(INDEX('Source'!$C:$C,MATCH($A18,'Source'!$B:$B,0)),"")</f>
        <v>סד לילה לבוהן</v>
      </c>
      <c r="C18" s="8" t="n">
        <f aca="false">SUMIFS('Source'!$D:$D,'Source'!$A:$A,"160955 ORTOPROFIL PROD. ROMANIA",'Source'!$B:$B,$A18)</f>
        <v>336</v>
      </c>
      <c r="D18" s="8" t="n">
        <f aca="false">SUMIFS('Source'!$F:$F,'Source'!$A:$A,"160955 ORTOPROFIL PROD. ROMANIA",'Source'!$B:$B,$A18)</f>
        <v>259</v>
      </c>
      <c r="E18" s="8" t="n">
        <f aca="false">D18*$J$5</f>
        <v>327.157894736842</v>
      </c>
      <c r="F18" s="8" t="n">
        <f aca="false">E18-C18</f>
        <v>-8.84210526315792</v>
      </c>
      <c r="G18" s="9" t="n">
        <f aca="false">IF(AND(C18=0,E18=0),0,IF(C18=0,"New",(E18-C18)/C18))</f>
        <v>-0.0263157894736843</v>
      </c>
      <c r="H18" s="8" t="n">
        <f aca="false">SUMIFS('Source'!$E:$E,'Source'!$A:$A,"160955 ORTOPROFIL PROD. ROMANIA",'Source'!$B:$B,$A18)</f>
        <v>11888.73</v>
      </c>
      <c r="I18" s="8" t="n">
        <f aca="false">SUMIFS('Source'!$G:$G,'Source'!$A:$A,"160955 ORTOPROFIL PROD. ROMANIA",'Source'!$B:$B,$A18)</f>
        <v>8116.07</v>
      </c>
      <c r="J18" s="8" t="n">
        <f aca="false">I18*$J$5</f>
        <v>10251.8778947368</v>
      </c>
      <c r="K18" s="8" t="n">
        <f aca="false">J18-H18</f>
        <v>-1636.85210526316</v>
      </c>
      <c r="L18" s="9" t="n">
        <f aca="false">IF(AND(H18=0,J18=0),0,IF(H18=0,"New",(J18-H18)/H18))</f>
        <v>-0.137680989076475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182</v>
      </c>
      <c r="B19" s="7" t="str">
        <f aca="false">IFERROR(INDEX('Source'!$C:$C,MATCH($A19,'Source'!$B:$B,0)),"")</f>
        <v>מדרסי ג'ל קומפורט</v>
      </c>
      <c r="C19" s="8" t="n">
        <f aca="false">SUMIFS('Source'!$D:$D,'Source'!$A:$A,"160955 ORTOPROFIL PROD. ROMANIA",'Source'!$B:$B,$A19)</f>
        <v>105</v>
      </c>
      <c r="D19" s="8" t="n">
        <f aca="false">SUMIFS('Source'!$F:$F,'Source'!$A:$A,"160955 ORTOPROFIL PROD. ROMANIA",'Source'!$B:$B,$A19)</f>
        <v>46</v>
      </c>
      <c r="E19" s="8" t="n">
        <f aca="false">D19*$J$5</f>
        <v>58.1052631578947</v>
      </c>
      <c r="F19" s="8" t="n">
        <f aca="false">E19-C19</f>
        <v>-46.8947368421053</v>
      </c>
      <c r="G19" s="9" t="n">
        <f aca="false">IF(AND(C19=0,E19=0),0,IF(C19=0,"New",(E19-C19)/C19))</f>
        <v>-0.446616541353384</v>
      </c>
      <c r="H19" s="8" t="n">
        <f aca="false">SUMIFS('Source'!$E:$E,'Source'!$A:$A,"160955 ORTOPROFIL PROD. ROMANIA",'Source'!$B:$B,$A19)</f>
        <v>4839.78</v>
      </c>
      <c r="I19" s="8" t="n">
        <f aca="false">SUMIFS('Source'!$G:$G,'Source'!$A:$A,"160955 ORTOPROFIL PROD. ROMANIA",'Source'!$B:$B,$A19)</f>
        <v>1854.41</v>
      </c>
      <c r="J19" s="8" t="n">
        <f aca="false">I19*$J$5</f>
        <v>2342.41263157895</v>
      </c>
      <c r="K19" s="8" t="n">
        <f aca="false">J19-H19</f>
        <v>-2497.36736842105</v>
      </c>
      <c r="L19" s="9" t="n">
        <f aca="false">IF(AND(H19=0,J19=0),0,IF(H19=0,"New",(J19-H19)/H19))</f>
        <v>-0.516008448404897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274</v>
      </c>
      <c r="B20" s="7" t="str">
        <f aca="false">IFERROR(INDEX('Source'!$C:$C,MATCH($A20,'Source'!$B:$B,0)),"")</f>
        <v>חגורה אחרי ניתוח</v>
      </c>
      <c r="C20" s="8" t="n">
        <f aca="false">SUMIFS('Source'!$D:$D,'Source'!$A:$A,"160955 ORTOPROFIL PROD. ROMANIA",'Source'!$B:$B,$A20)</f>
        <v>82</v>
      </c>
      <c r="D20" s="8" t="n">
        <f aca="false">SUMIFS('Source'!$F:$F,'Source'!$A:$A,"160955 ORTOPROFIL PROD. ROMANIA",'Source'!$B:$B,$A20)</f>
        <v>37</v>
      </c>
      <c r="E20" s="8" t="n">
        <f aca="false">D20*$J$5</f>
        <v>46.7368421052632</v>
      </c>
      <c r="F20" s="8" t="n">
        <f aca="false">E20-C20</f>
        <v>-35.2631578947368</v>
      </c>
      <c r="G20" s="9" t="n">
        <f aca="false">IF(AND(C20=0,E20=0),0,IF(C20=0,"New",(E20-C20)/C20))</f>
        <v>-0.430038510911425</v>
      </c>
      <c r="H20" s="8" t="n">
        <f aca="false">SUMIFS('Source'!$E:$E,'Source'!$A:$A,"160955 ORTOPROFIL PROD. ROMANIA",'Source'!$B:$B,$A20)</f>
        <v>5125.13</v>
      </c>
      <c r="I20" s="8" t="n">
        <f aca="false">SUMIFS('Source'!$G:$G,'Source'!$A:$A,"160955 ORTOPROFIL PROD. ROMANIA",'Source'!$B:$B,$A20)</f>
        <v>2282.87</v>
      </c>
      <c r="J20" s="8" t="n">
        <f aca="false">I20*$J$5</f>
        <v>2883.62526315789</v>
      </c>
      <c r="K20" s="8" t="n">
        <f aca="false">J20-H20</f>
        <v>-2241.50473684211</v>
      </c>
      <c r="L20" s="9" t="n">
        <f aca="false">IF(AND(H20=0,J20=0),0,IF(H20=0,"New",(J20-H20)/H20))</f>
        <v>-0.437355684020133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329</v>
      </c>
      <c r="B21" s="7" t="str">
        <f aca="false">IFERROR(INDEX('Source'!$C:$C,MATCH($A21,'Source'!$B:$B,0)),"")</f>
        <v>מדרס מתכוונן</v>
      </c>
      <c r="C21" s="8" t="n">
        <f aca="false">SUMIFS('Source'!$D:$D,'Source'!$A:$A,"160955 ORTOPROFIL PROD. ROMANIA",'Source'!$B:$B,$A21)</f>
        <v>259</v>
      </c>
      <c r="D21" s="8" t="n">
        <f aca="false">SUMIFS('Source'!$F:$F,'Source'!$A:$A,"160955 ORTOPROFIL PROD. ROMANIA",'Source'!$B:$B,$A21)</f>
        <v>178</v>
      </c>
      <c r="E21" s="8" t="n">
        <f aca="false">D21*$J$5</f>
        <v>224.842105263158</v>
      </c>
      <c r="F21" s="8" t="n">
        <f aca="false">E21-C21</f>
        <v>-34.1578947368421</v>
      </c>
      <c r="G21" s="9" t="n">
        <f aca="false">IF(AND(C21=0,E21=0),0,IF(C21=0,"New",(E21-C21)/C21))</f>
        <v>-0.131883763462711</v>
      </c>
      <c r="H21" s="8" t="n">
        <f aca="false">SUMIFS('Source'!$E:$E,'Source'!$A:$A,"160955 ORTOPROFIL PROD. ROMANIA",'Source'!$B:$B,$A21)</f>
        <v>9007.37</v>
      </c>
      <c r="I21" s="8" t="n">
        <f aca="false">SUMIFS('Source'!$G:$G,'Source'!$A:$A,"160955 ORTOPROFIL PROD. ROMANIA",'Source'!$B:$B,$A21)</f>
        <v>6187.91</v>
      </c>
      <c r="J21" s="8" t="n">
        <f aca="false">I21*$J$5</f>
        <v>7816.30736842105</v>
      </c>
      <c r="K21" s="8" t="n">
        <f aca="false">J21-H21</f>
        <v>-1191.06263157895</v>
      </c>
      <c r="L21" s="9" t="n">
        <f aca="false">IF(AND(H21=0,J21=0),0,IF(H21=0,"New",(J21-H21)/H21))</f>
        <v>-0.132232009074674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649</v>
      </c>
      <c r="B22" s="7" t="str">
        <f aca="false">IFERROR(INDEX('Source'!$C:$C,MATCH($A22,'Source'!$B:$B,0)),"")</f>
        <v>כרית סיליקון לעקב</v>
      </c>
      <c r="C22" s="8" t="n">
        <f aca="false">SUMIFS('Source'!$D:$D,'Source'!$A:$A,"160955 ORTOPROFIL PROD. ROMANIA",'Source'!$B:$B,$A22)</f>
        <v>530</v>
      </c>
      <c r="D22" s="8" t="n">
        <f aca="false">SUMIFS('Source'!$F:$F,'Source'!$A:$A,"160955 ORTOPROFIL PROD. ROMANIA",'Source'!$B:$B,$A22)</f>
        <v>440</v>
      </c>
      <c r="E22" s="8" t="n">
        <f aca="false">D22*$J$5</f>
        <v>555.789473684211</v>
      </c>
      <c r="F22" s="8" t="n">
        <f aca="false">E22-C22</f>
        <v>25.7894736842105</v>
      </c>
      <c r="G22" s="9" t="n">
        <f aca="false">IF(AND(C22=0,E22=0),0,IF(C22=0,"New",(E22-C22)/C22))</f>
        <v>0.0486593843098312</v>
      </c>
      <c r="H22" s="8" t="n">
        <f aca="false">SUMIFS('Source'!$E:$E,'Source'!$A:$A,"160955 ORTOPROFIL PROD. ROMANIA",'Source'!$B:$B,$A22)</f>
        <v>14586.27</v>
      </c>
      <c r="I22" s="8" t="n">
        <f aca="false">SUMIFS('Source'!$G:$G,'Source'!$A:$A,"160955 ORTOPROFIL PROD. ROMANIA",'Source'!$B:$B,$A22)</f>
        <v>12128.46</v>
      </c>
      <c r="J22" s="8" t="n">
        <f aca="false">I22*$J$5</f>
        <v>15320.16</v>
      </c>
      <c r="K22" s="8" t="n">
        <f aca="false">J22-H22</f>
        <v>733.889999999998</v>
      </c>
      <c r="L22" s="9" t="n">
        <f aca="false">IF(AND(H22=0,J22=0),0,IF(H22=0,"New",(J22-H22)/H22))</f>
        <v>0.0503137539617735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146</v>
      </c>
      <c r="B23" s="7" t="str">
        <f aca="false">IFERROR(INDEX('Source'!$C:$C,MATCH($A23,'Source'!$B:$B,0)),"")</f>
        <v>כפפת CTS שמאל</v>
      </c>
      <c r="C23" s="8" t="n">
        <f aca="false">SUMIFS('Source'!$D:$D,'Source'!$A:$A,"160955 ORTOPROFIL PROD. ROMANIA",'Source'!$B:$B,$A23)</f>
        <v>0</v>
      </c>
      <c r="D23" s="8" t="n">
        <f aca="false">SUMIFS('Source'!$F:$F,'Source'!$A:$A,"160955 ORTOPROFIL PROD. ROMANIA",'Source'!$B:$B,$A23)</f>
        <v>44</v>
      </c>
      <c r="E23" s="8" t="n">
        <f aca="false">D23*$J$5</f>
        <v>55.5789473684211</v>
      </c>
      <c r="F23" s="8" t="n">
        <f aca="false">E23-C23</f>
        <v>55.5789473684211</v>
      </c>
      <c r="G23" s="9" t="str">
        <f aca="false">IF(AND(C23=0,E23=0),0,IF(C23=0,"New",(E23-C23)/C23))</f>
        <v>New</v>
      </c>
      <c r="H23" s="8" t="n">
        <f aca="false">SUMIFS('Source'!$E:$E,'Source'!$A:$A,"160955 ORTOPROFIL PROD. ROMANIA",'Source'!$B:$B,$A23)</f>
        <v>0</v>
      </c>
      <c r="I23" s="8" t="n">
        <f aca="false">SUMIFS('Source'!$G:$G,'Source'!$A:$A,"160955 ORTOPROFIL PROD. ROMANIA",'Source'!$B:$B,$A23)</f>
        <v>1909.32</v>
      </c>
      <c r="J23" s="8" t="n">
        <f aca="false">I23*$J$5</f>
        <v>2411.77263157895</v>
      </c>
      <c r="K23" s="8" t="n">
        <f aca="false">J23-H23</f>
        <v>2411.77263157895</v>
      </c>
      <c r="L23" s="9" t="str">
        <f aca="false">IF(AND(H23=0,J23=0),0,IF(H23=0,"New",(J23-H23)/H23))</f>
        <v>New</v>
      </c>
      <c r="M23" s="7" t="str">
        <f aca="false">IF(AND(OR(C23&lt;&gt;0,H23&lt;&gt;0),D23=0,I23=0),"DROP",IF(AND(OR(D23&lt;&gt;0,I23&lt;&gt;0),C23=0,H23=0),"NEW",""))</f>
        <v>NEW</v>
      </c>
    </row>
    <row r="24" customFormat="false" ht="15" hidden="false" customHeight="false" outlineLevel="0" collapsed="false">
      <c r="A24" s="7" t="s">
        <v>101</v>
      </c>
      <c r="B24" s="7" t="str">
        <f aca="false">IFERROR(INDEX('Source'!$C:$C,MATCH($A24,'Source'!$B:$B,0)),"")</f>
        <v>מיישר כתפיים</v>
      </c>
      <c r="C24" s="8" t="n">
        <f aca="false">SUMIFS('Source'!$D:$D,'Source'!$A:$A,"160955 ORTOPROFIL PROD. ROMANIA",'Source'!$B:$B,$A24)</f>
        <v>148</v>
      </c>
      <c r="D24" s="8" t="n">
        <f aca="false">SUMIFS('Source'!$F:$F,'Source'!$A:$A,"160955 ORTOPROFIL PROD. ROMANIA",'Source'!$B:$B,$A24)</f>
        <v>89</v>
      </c>
      <c r="E24" s="8" t="n">
        <f aca="false">D24*$J$5</f>
        <v>112.421052631579</v>
      </c>
      <c r="F24" s="8" t="n">
        <f aca="false">E24-C24</f>
        <v>-35.5789473684211</v>
      </c>
      <c r="G24" s="9" t="n">
        <f aca="false">IF(AND(C24=0,E24=0),0,IF(C24=0,"New",(E24-C24)/C24))</f>
        <v>-0.240398293029872</v>
      </c>
      <c r="H24" s="8" t="n">
        <f aca="false">SUMIFS('Source'!$E:$E,'Source'!$A:$A,"160955 ORTOPROFIL PROD. ROMANIA",'Source'!$B:$B,$A24)</f>
        <v>4740.72</v>
      </c>
      <c r="I24" s="8" t="n">
        <f aca="false">SUMIFS('Source'!$G:$G,'Source'!$A:$A,"160955 ORTOPROFIL PROD. ROMANIA",'Source'!$B:$B,$A24)</f>
        <v>2850.39</v>
      </c>
      <c r="J24" s="8" t="n">
        <f aca="false">I24*$J$5</f>
        <v>3600.49263157895</v>
      </c>
      <c r="K24" s="8" t="n">
        <f aca="false">J24-H24</f>
        <v>-1140.22736842105</v>
      </c>
      <c r="L24" s="9" t="n">
        <f aca="false">IF(AND(H24=0,J24=0),0,IF(H24=0,"New",(J24-H24)/H24))</f>
        <v>-0.240517762791528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116</v>
      </c>
      <c r="B25" s="7" t="str">
        <f aca="false">IFERROR(INDEX('Source'!$C:$C,MATCH($A25,'Source'!$B:$B,0)),"")</f>
        <v>כפפת CTS ימין</v>
      </c>
      <c r="C25" s="8" t="n">
        <f aca="false">SUMIFS('Source'!$D:$D,'Source'!$A:$A,"160955 ORTOPROFIL PROD. ROMANIA",'Source'!$B:$B,$A25)</f>
        <v>1</v>
      </c>
      <c r="D25" s="8" t="n">
        <f aca="false">SUMIFS('Source'!$F:$F,'Source'!$A:$A,"160955 ORTOPROFIL PROD. ROMANIA",'Source'!$B:$B,$A25)</f>
        <v>40</v>
      </c>
      <c r="E25" s="8" t="n">
        <f aca="false">D25*$J$5</f>
        <v>50.5263157894737</v>
      </c>
      <c r="F25" s="8" t="n">
        <f aca="false">E25-C25</f>
        <v>49.5263157894737</v>
      </c>
      <c r="G25" s="9" t="n">
        <f aca="false">IF(AND(C25=0,E25=0),0,IF(C25=0,"New",(E25-C25)/C25))</f>
        <v>49.5263157894737</v>
      </c>
      <c r="H25" s="8" t="n">
        <f aca="false">SUMIFS('Source'!$E:$E,'Source'!$A:$A,"160955 ORTOPROFIL PROD. ROMANIA",'Source'!$B:$B,$A25)</f>
        <v>0.04</v>
      </c>
      <c r="I25" s="8" t="n">
        <f aca="false">SUMIFS('Source'!$G:$G,'Source'!$A:$A,"160955 ORTOPROFIL PROD. ROMANIA",'Source'!$B:$B,$A25)</f>
        <v>1746.05</v>
      </c>
      <c r="J25" s="8" t="n">
        <f aca="false">I25*$J$5</f>
        <v>2205.53684210526</v>
      </c>
      <c r="K25" s="8" t="n">
        <f aca="false">J25-H25</f>
        <v>2205.49684210526</v>
      </c>
      <c r="L25" s="9" t="n">
        <f aca="false">IF(AND(H25=0,J25=0),0,IF(H25=0,"New",(J25-H25)/H25))</f>
        <v>55137.4210526316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134</v>
      </c>
      <c r="B26" s="7" t="str">
        <f aca="false">IFERROR(INDEX('Source'!$C:$C,MATCH($A26,'Source'!$B:$B,0)),"")</f>
        <v>מ. בוניון + מפריד אצבע</v>
      </c>
      <c r="C26" s="8" t="n">
        <f aca="false">SUMIFS('Source'!$D:$D,'Source'!$A:$A,"160955 ORTOPROFIL PROD. ROMANIA",'Source'!$B:$B,$A26)</f>
        <v>490</v>
      </c>
      <c r="D26" s="8" t="n">
        <f aca="false">SUMIFS('Source'!$F:$F,'Source'!$A:$A,"160955 ORTOPROFIL PROD. ROMANIA",'Source'!$B:$B,$A26)</f>
        <v>397</v>
      </c>
      <c r="E26" s="8" t="n">
        <f aca="false">D26*$J$5</f>
        <v>501.473684210526</v>
      </c>
      <c r="F26" s="8" t="n">
        <f aca="false">E26-C26</f>
        <v>11.4736842105263</v>
      </c>
      <c r="G26" s="9" t="n">
        <f aca="false">IF(AND(C26=0,E26=0),0,IF(C26=0,"New",(E26-C26)/C26))</f>
        <v>0.0234156820622986</v>
      </c>
      <c r="H26" s="8" t="n">
        <f aca="false">SUMIFS('Source'!$E:$E,'Source'!$A:$A,"160955 ORTOPROFIL PROD. ROMANIA",'Source'!$B:$B,$A26)</f>
        <v>8035.34</v>
      </c>
      <c r="I26" s="8" t="n">
        <f aca="false">SUMIFS('Source'!$G:$G,'Source'!$A:$A,"160955 ORTOPROFIL PROD. ROMANIA",'Source'!$B:$B,$A26)</f>
        <v>6398.51</v>
      </c>
      <c r="J26" s="8" t="n">
        <f aca="false">I26*$J$5</f>
        <v>8082.32842105263</v>
      </c>
      <c r="K26" s="8" t="n">
        <f aca="false">J26-H26</f>
        <v>46.9884210526316</v>
      </c>
      <c r="L26" s="9" t="n">
        <f aca="false">IF(AND(H26=0,J26=0),0,IF(H26=0,"New",(J26-H26)/H26))</f>
        <v>0.00584772032703427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779</v>
      </c>
      <c r="B27" s="7" t="str">
        <f aca="false">IFERROR(INDEX('Source'!$C:$C,MATCH($A27,'Source'!$B:$B,0)),"")</f>
        <v>מפריד אצבע</v>
      </c>
      <c r="C27" s="8" t="n">
        <f aca="false">SUMIFS('Source'!$D:$D,'Source'!$A:$A,"160955 ORTOPROFIL PROD. ROMANIA",'Source'!$B:$B,$A27)</f>
        <v>970</v>
      </c>
      <c r="D27" s="8" t="n">
        <f aca="false">SUMIFS('Source'!$F:$F,'Source'!$A:$A,"160955 ORTOPROFIL PROD. ROMANIA",'Source'!$B:$B,$A27)</f>
        <v>620</v>
      </c>
      <c r="E27" s="8" t="n">
        <f aca="false">D27*$J$5</f>
        <v>783.157894736842</v>
      </c>
      <c r="F27" s="8" t="n">
        <f aca="false">E27-C27</f>
        <v>-186.842105263158</v>
      </c>
      <c r="G27" s="9" t="n">
        <f aca="false">IF(AND(C27=0,E27=0),0,IF(C27=0,"New",(E27-C27)/C27))</f>
        <v>-0.192620727075421</v>
      </c>
      <c r="H27" s="8" t="n">
        <f aca="false">SUMIFS('Source'!$E:$E,'Source'!$A:$A,"160955 ORTOPROFIL PROD. ROMANIA",'Source'!$B:$B,$A27)</f>
        <v>4429.69</v>
      </c>
      <c r="I27" s="8" t="n">
        <f aca="false">SUMIFS('Source'!$G:$G,'Source'!$A:$A,"160955 ORTOPROFIL PROD. ROMANIA",'Source'!$B:$B,$A27)</f>
        <v>2815.93</v>
      </c>
      <c r="J27" s="8" t="n">
        <f aca="false">I27*$J$5</f>
        <v>3556.96421052632</v>
      </c>
      <c r="K27" s="8" t="n">
        <f aca="false">J27-H27</f>
        <v>-872.725789473685</v>
      </c>
      <c r="L27" s="9" t="n">
        <f aca="false">IF(AND(H27=0,J27=0),0,IF(H27=0,"New",(J27-H27)/H27))</f>
        <v>-0.197017350982503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650</v>
      </c>
      <c r="B28" s="7" t="str">
        <f aca="false">IFERROR(INDEX('Source'!$C:$C,MATCH($A28,'Source'!$B:$B,0)),"")</f>
        <v>כ.הפרדת אצבעות ס</v>
      </c>
      <c r="C28" s="8" t="n">
        <f aca="false">SUMIFS('Source'!$D:$D,'Source'!$A:$A,"160955 ORTOPROFIL PROD. ROMANIA",'Source'!$B:$B,$A28)</f>
        <v>335</v>
      </c>
      <c r="D28" s="8" t="n">
        <f aca="false">SUMIFS('Source'!$F:$F,'Source'!$A:$A,"160955 ORTOPROFIL PROD. ROMANIA",'Source'!$B:$B,$A28)</f>
        <v>95</v>
      </c>
      <c r="E28" s="8" t="n">
        <f aca="false">D28*$J$5</f>
        <v>120</v>
      </c>
      <c r="F28" s="8" t="n">
        <f aca="false">E28-C28</f>
        <v>-215</v>
      </c>
      <c r="G28" s="9" t="n">
        <f aca="false">IF(AND(C28=0,E28=0),0,IF(C28=0,"New",(E28-C28)/C28))</f>
        <v>-0.641791044776119</v>
      </c>
      <c r="H28" s="8" t="n">
        <f aca="false">SUMIFS('Source'!$E:$E,'Source'!$A:$A,"160955 ORTOPROFIL PROD. ROMANIA",'Source'!$B:$B,$A28)</f>
        <v>2009.52</v>
      </c>
      <c r="I28" s="8" t="n">
        <f aca="false">SUMIFS('Source'!$G:$G,'Source'!$A:$A,"160955 ORTOPROFIL PROD. ROMANIA",'Source'!$B:$B,$A28)</f>
        <v>577.79</v>
      </c>
      <c r="J28" s="8" t="n">
        <f aca="false">I28*$J$5</f>
        <v>729.84</v>
      </c>
      <c r="K28" s="8" t="n">
        <f aca="false">J28-H28</f>
        <v>-1279.68</v>
      </c>
      <c r="L28" s="9" t="n">
        <f aca="false">IF(AND(H28=0,J28=0),0,IF(H28=0,"New",(J28-H28)/H28))</f>
        <v>-0.636808790158844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227</v>
      </c>
      <c r="B29" s="7" t="str">
        <f aca="false">IFERROR(INDEX('Source'!$C:$C,MATCH($A29,'Source'!$B:$B,0)),"")</f>
        <v>כרית סיליקון לעקב</v>
      </c>
      <c r="C29" s="8" t="n">
        <f aca="false">SUMIFS('Source'!$D:$D,'Source'!$A:$A,"160955 ORTOPROFIL PROD. ROMANIA",'Source'!$B:$B,$A29)</f>
        <v>187</v>
      </c>
      <c r="D29" s="8" t="n">
        <f aca="false">SUMIFS('Source'!$F:$F,'Source'!$A:$A,"160955 ORTOPROFIL PROD. ROMANIA",'Source'!$B:$B,$A29)</f>
        <v>136</v>
      </c>
      <c r="E29" s="8" t="n">
        <f aca="false">D29*$J$5</f>
        <v>171.789473684211</v>
      </c>
      <c r="F29" s="8" t="n">
        <f aca="false">E29-C29</f>
        <v>-15.2105263157895</v>
      </c>
      <c r="G29" s="9" t="n">
        <f aca="false">IF(AND(C29=0,E29=0),0,IF(C29=0,"New",(E29-C29)/C29))</f>
        <v>-0.0813397129186603</v>
      </c>
      <c r="H29" s="8" t="n">
        <f aca="false">SUMIFS('Source'!$E:$E,'Source'!$A:$A,"160955 ORTOPROFIL PROD. ROMANIA",'Source'!$B:$B,$A29)</f>
        <v>5139.16</v>
      </c>
      <c r="I29" s="8" t="n">
        <f aca="false">SUMIFS('Source'!$G:$G,'Source'!$A:$A,"160955 ORTOPROFIL PROD. ROMANIA",'Source'!$B:$B,$A29)</f>
        <v>3715.9</v>
      </c>
      <c r="J29" s="8" t="n">
        <f aca="false">I29*$J$5</f>
        <v>4693.76842105263</v>
      </c>
      <c r="K29" s="8" t="n">
        <f aca="false">J29-H29</f>
        <v>-445.391578947369</v>
      </c>
      <c r="L29" s="9" t="n">
        <f aca="false">IF(AND(H29=0,J29=0),0,IF(H29=0,"New",(J29-H29)/H29))</f>
        <v>-0.0866662215123422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121</v>
      </c>
      <c r="B30" s="7" t="str">
        <f aca="false">IFERROR(INDEX('Source'!$C:$C,MATCH($A30,'Source'!$B:$B,0)),"")</f>
        <v>כפפת CTS שמאל</v>
      </c>
      <c r="C30" s="8" t="n">
        <f aca="false">SUMIFS('Source'!$D:$D,'Source'!$A:$A,"160955 ORTOPROFIL PROD. ROMANIA",'Source'!$B:$B,$A30)</f>
        <v>0</v>
      </c>
      <c r="D30" s="8" t="n">
        <f aca="false">SUMIFS('Source'!$F:$F,'Source'!$A:$A,"160955 ORTOPROFIL PROD. ROMANIA",'Source'!$B:$B,$A30)</f>
        <v>27</v>
      </c>
      <c r="E30" s="8" t="n">
        <f aca="false">D30*$J$5</f>
        <v>34.1052631578947</v>
      </c>
      <c r="F30" s="8" t="n">
        <f aca="false">E30-C30</f>
        <v>34.1052631578947</v>
      </c>
      <c r="G30" s="9" t="str">
        <f aca="false">IF(AND(C30=0,E30=0),0,IF(C30=0,"New",(E30-C30)/C30))</f>
        <v>New</v>
      </c>
      <c r="H30" s="8" t="n">
        <f aca="false">SUMIFS('Source'!$E:$E,'Source'!$A:$A,"160955 ORTOPROFIL PROD. ROMANIA",'Source'!$B:$B,$A30)</f>
        <v>0</v>
      </c>
      <c r="I30" s="8" t="n">
        <f aca="false">SUMIFS('Source'!$G:$G,'Source'!$A:$A,"160955 ORTOPROFIL PROD. ROMANIA",'Source'!$B:$B,$A30)</f>
        <v>1171.62</v>
      </c>
      <c r="J30" s="8" t="n">
        <f aca="false">I30*$J$5</f>
        <v>1479.94105263158</v>
      </c>
      <c r="K30" s="8" t="n">
        <f aca="false">J30-H30</f>
        <v>1479.94105263158</v>
      </c>
      <c r="L30" s="9" t="str">
        <f aca="false">IF(AND(H30=0,J30=0),0,IF(H30=0,"New",(J30-H30)/H30))</f>
        <v>New</v>
      </c>
      <c r="M30" s="7" t="str">
        <f aca="false">IF(AND(OR(C30&lt;&gt;0,H30&lt;&gt;0),D30=0,I30=0),"DROP",IF(AND(OR(D30&lt;&gt;0,I30&lt;&gt;0),C30=0,H30=0),"NEW",""))</f>
        <v>NEW</v>
      </c>
    </row>
    <row r="31" customFormat="false" ht="15" hidden="false" customHeight="false" outlineLevel="0" collapsed="false">
      <c r="A31" s="7" t="s">
        <v>641</v>
      </c>
      <c r="B31" s="7" t="str">
        <f aca="false">IFERROR(INDEX('Source'!$C:$C,MATCH($A31,'Source'!$B:$B,0)),"")</f>
        <v>מגן ברך רגיל</v>
      </c>
      <c r="C31" s="8" t="n">
        <f aca="false">SUMIFS('Source'!$D:$D,'Source'!$A:$A,"160955 ORTOPROFIL PROD. ROMANIA",'Source'!$B:$B,$A31)</f>
        <v>145</v>
      </c>
      <c r="D31" s="8" t="n">
        <f aca="false">SUMIFS('Source'!$F:$F,'Source'!$A:$A,"160955 ORTOPROFIL PROD. ROMANIA",'Source'!$B:$B,$A31)</f>
        <v>36</v>
      </c>
      <c r="E31" s="8" t="n">
        <f aca="false">D31*$J$5</f>
        <v>45.4736842105263</v>
      </c>
      <c r="F31" s="8" t="n">
        <f aca="false">E31-C31</f>
        <v>-99.5263157894737</v>
      </c>
      <c r="G31" s="9" t="n">
        <f aca="false">IF(AND(C31=0,E31=0),0,IF(C31=0,"New",(E31-C31)/C31))</f>
        <v>-0.686388384754991</v>
      </c>
      <c r="H31" s="8" t="n">
        <f aca="false">SUMIFS('Source'!$E:$E,'Source'!$A:$A,"160955 ORTOPROFIL PROD. ROMANIA",'Source'!$B:$B,$A31)</f>
        <v>1506.46</v>
      </c>
      <c r="I31" s="8" t="n">
        <f aca="false">SUMIFS('Source'!$G:$G,'Source'!$A:$A,"160955 ORTOPROFIL PROD. ROMANIA",'Source'!$B:$B,$A31)</f>
        <v>369.87</v>
      </c>
      <c r="J31" s="8" t="n">
        <f aca="false">I31*$J$5</f>
        <v>467.204210526316</v>
      </c>
      <c r="K31" s="8" t="n">
        <f aca="false">J31-H31</f>
        <v>-1039.25578947368</v>
      </c>
      <c r="L31" s="9" t="n">
        <f aca="false">IF(AND(H31=0,J31=0),0,IF(H31=0,"New",(J31-H31)/H31))</f>
        <v>-0.689866169346471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361</v>
      </c>
      <c r="B32" s="7" t="str">
        <f aca="false">IFERROR(INDEX('Source'!$C:$C,MATCH($A32,'Source'!$B:$B,0)),"")</f>
        <v>מדרס מתכוונן</v>
      </c>
      <c r="C32" s="8" t="n">
        <f aca="false">SUMIFS('Source'!$D:$D,'Source'!$A:$A,"160955 ORTOPROFIL PROD. ROMANIA",'Source'!$B:$B,$A32)</f>
        <v>86</v>
      </c>
      <c r="D32" s="8" t="n">
        <f aca="false">SUMIFS('Source'!$F:$F,'Source'!$A:$A,"160955 ORTOPROFIL PROD. ROMANIA",'Source'!$B:$B,$A32)</f>
        <v>54</v>
      </c>
      <c r="E32" s="8" t="n">
        <f aca="false">D32*$J$5</f>
        <v>68.2105263157895</v>
      </c>
      <c r="F32" s="8" t="n">
        <f aca="false">E32-C32</f>
        <v>-17.7894736842105</v>
      </c>
      <c r="G32" s="9" t="n">
        <f aca="false">IF(AND(C32=0,E32=0),0,IF(C32=0,"New",(E32-C32)/C32))</f>
        <v>-0.206854345165239</v>
      </c>
      <c r="H32" s="8" t="n">
        <f aca="false">SUMIFS('Source'!$E:$E,'Source'!$A:$A,"160955 ORTOPROFIL PROD. ROMANIA",'Source'!$B:$B,$A32)</f>
        <v>3010.82</v>
      </c>
      <c r="I32" s="8" t="n">
        <f aca="false">SUMIFS('Source'!$G:$G,'Source'!$A:$A,"160955 ORTOPROFIL PROD. ROMANIA",'Source'!$B:$B,$A32)</f>
        <v>1881.45</v>
      </c>
      <c r="J32" s="8" t="n">
        <f aca="false">I32*$J$5</f>
        <v>2376.56842105263</v>
      </c>
      <c r="K32" s="8" t="n">
        <f aca="false">J32-H32</f>
        <v>-634.251578947369</v>
      </c>
      <c r="L32" s="9" t="n">
        <f aca="false">IF(AND(H32=0,J32=0),0,IF(H32=0,"New",(J32-H32)/H32))</f>
        <v>-0.210657421880873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114</v>
      </c>
      <c r="B33" s="7" t="str">
        <f aca="false">IFERROR(INDEX('Source'!$C:$C,MATCH($A33,'Source'!$B:$B,0)),"")</f>
        <v>כפפת CTS ימין</v>
      </c>
      <c r="C33" s="8" t="n">
        <f aca="false">SUMIFS('Source'!$D:$D,'Source'!$A:$A,"160955 ORTOPROFIL PROD. ROMANIA",'Source'!$B:$B,$A33)</f>
        <v>0</v>
      </c>
      <c r="D33" s="8" t="n">
        <f aca="false">SUMIFS('Source'!$F:$F,'Source'!$A:$A,"160955 ORTOPROFIL PROD. ROMANIA",'Source'!$B:$B,$A33)</f>
        <v>25</v>
      </c>
      <c r="E33" s="8" t="n">
        <f aca="false">D33*$J$5</f>
        <v>31.5789473684211</v>
      </c>
      <c r="F33" s="8" t="n">
        <f aca="false">E33-C33</f>
        <v>31.5789473684211</v>
      </c>
      <c r="G33" s="9" t="str">
        <f aca="false">IF(AND(C33=0,E33=0),0,IF(C33=0,"New",(E33-C33)/C33))</f>
        <v>New</v>
      </c>
      <c r="H33" s="8" t="n">
        <f aca="false">SUMIFS('Source'!$E:$E,'Source'!$A:$A,"160955 ORTOPROFIL PROD. ROMANIA",'Source'!$B:$B,$A33)</f>
        <v>0</v>
      </c>
      <c r="I33" s="8" t="n">
        <f aca="false">SUMIFS('Source'!$G:$G,'Source'!$A:$A,"160955 ORTOPROFIL PROD. ROMANIA",'Source'!$B:$B,$A33)</f>
        <v>1091.28</v>
      </c>
      <c r="J33" s="8" t="n">
        <f aca="false">I33*$J$5</f>
        <v>1378.45894736842</v>
      </c>
      <c r="K33" s="8" t="n">
        <f aca="false">J33-H33</f>
        <v>1378.45894736842</v>
      </c>
      <c r="L33" s="9" t="str">
        <f aca="false">IF(AND(H33=0,J33=0),0,IF(H33=0,"New",(J33-H33)/H33))</f>
        <v>New</v>
      </c>
      <c r="M33" s="7" t="str">
        <f aca="false">IF(AND(OR(C33&lt;&gt;0,H33&lt;&gt;0),D33=0,I33=0),"DROP",IF(AND(OR(D33&lt;&gt;0,I33&lt;&gt;0),C33=0,H33=0),"NEW",""))</f>
        <v>NEW</v>
      </c>
    </row>
    <row r="34" customFormat="false" ht="15" hidden="false" customHeight="false" outlineLevel="0" collapsed="false">
      <c r="A34" s="7" t="s">
        <v>367</v>
      </c>
      <c r="B34" s="7" t="str">
        <f aca="false">IFERROR(INDEX('Source'!$C:$C,MATCH($A34,'Source'!$B:$B,0)),"")</f>
        <v>אצבעון מסיליקון</v>
      </c>
      <c r="C34" s="8" t="n">
        <f aca="false">SUMIFS('Source'!$D:$D,'Source'!$A:$A,"160955 ORTOPROFIL PROD. ROMANIA",'Source'!$B:$B,$A34)</f>
        <v>225</v>
      </c>
      <c r="D34" s="8" t="n">
        <f aca="false">SUMIFS('Source'!$F:$F,'Source'!$A:$A,"160955 ORTOPROFIL PROD. ROMANIA",'Source'!$B:$B,$A34)</f>
        <v>121</v>
      </c>
      <c r="E34" s="8" t="n">
        <f aca="false">D34*$J$5</f>
        <v>152.842105263158</v>
      </c>
      <c r="F34" s="8" t="n">
        <f aca="false">E34-C34</f>
        <v>-72.1578947368421</v>
      </c>
      <c r="G34" s="9" t="n">
        <f aca="false">IF(AND(C34=0,E34=0),0,IF(C34=0,"New",(E34-C34)/C34))</f>
        <v>-0.320701754385965</v>
      </c>
      <c r="H34" s="8" t="n">
        <f aca="false">SUMIFS('Source'!$E:$E,'Source'!$A:$A,"160955 ORTOPROFIL PROD. ROMANIA",'Source'!$B:$B,$A34)</f>
        <v>2338.67</v>
      </c>
      <c r="I34" s="8" t="n">
        <f aca="false">SUMIFS('Source'!$G:$G,'Source'!$A:$A,"160955 ORTOPROFIL PROD. ROMANIA",'Source'!$B:$B,$A34)</f>
        <v>1257.76</v>
      </c>
      <c r="J34" s="8" t="n">
        <f aca="false">I34*$J$5</f>
        <v>1588.74947368421</v>
      </c>
      <c r="K34" s="8" t="n">
        <f aca="false">J34-H34</f>
        <v>-749.92052631579</v>
      </c>
      <c r="L34" s="9" t="n">
        <f aca="false">IF(AND(H34=0,J34=0),0,IF(H34=0,"New",(J34-H34)/H34))</f>
        <v>-0.320661113502884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208</v>
      </c>
      <c r="B35" s="7" t="str">
        <f aca="false">IFERROR(INDEX('Source'!$C:$C,MATCH($A35,'Source'!$B:$B,0)),"")</f>
        <v>מדרס מתכוונן</v>
      </c>
      <c r="C35" s="8" t="n">
        <f aca="false">SUMIFS('Source'!$D:$D,'Source'!$A:$A,"160955 ORTOPROFIL PROD. ROMANIA",'Source'!$B:$B,$A35)</f>
        <v>455</v>
      </c>
      <c r="D35" s="8" t="n">
        <f aca="false">SUMIFS('Source'!$F:$F,'Source'!$A:$A,"160955 ORTOPROFIL PROD. ROMANIA",'Source'!$B:$B,$A35)</f>
        <v>422</v>
      </c>
      <c r="E35" s="8" t="n">
        <f aca="false">D35*$J$5</f>
        <v>533.052631578947</v>
      </c>
      <c r="F35" s="8" t="n">
        <f aca="false">E35-C35</f>
        <v>78.0526315789473</v>
      </c>
      <c r="G35" s="9" t="n">
        <f aca="false">IF(AND(C35=0,E35=0),0,IF(C35=0,"New",(E35-C35)/C35))</f>
        <v>0.171544245228456</v>
      </c>
      <c r="H35" s="8" t="n">
        <f aca="false">SUMIFS('Source'!$E:$E,'Source'!$A:$A,"160955 ORTOPROFIL PROD. ROMANIA",'Source'!$B:$B,$A35)</f>
        <v>15741.91</v>
      </c>
      <c r="I35" s="8" t="n">
        <f aca="false">SUMIFS('Source'!$G:$G,'Source'!$A:$A,"160955 ORTOPROFIL PROD. ROMANIA",'Source'!$B:$B,$A35)</f>
        <v>14665.96</v>
      </c>
      <c r="J35" s="8" t="n">
        <f aca="false">I35*$J$5</f>
        <v>18525.4231578947</v>
      </c>
      <c r="K35" s="8" t="n">
        <f aca="false">J35-H35</f>
        <v>2783.51315789474</v>
      </c>
      <c r="L35" s="9" t="n">
        <f aca="false">IF(AND(H35=0,J35=0),0,IF(H35=0,"New",(J35-H35)/H35))</f>
        <v>0.176821818819618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556</v>
      </c>
      <c r="B36" s="7" t="str">
        <f aca="false">IFERROR(INDEX('Source'!$C:$C,MATCH($A36,'Source'!$B:$B,0)),"")</f>
        <v>מגן ברך רגיל</v>
      </c>
      <c r="C36" s="8" t="n">
        <f aca="false">SUMIFS('Source'!$D:$D,'Source'!$A:$A,"160955 ORTOPROFIL PROD. ROMANIA",'Source'!$B:$B,$A36)</f>
        <v>130</v>
      </c>
      <c r="D36" s="8" t="n">
        <f aca="false">SUMIFS('Source'!$F:$F,'Source'!$A:$A,"160955 ORTOPROFIL PROD. ROMANIA",'Source'!$B:$B,$A36)</f>
        <v>29</v>
      </c>
      <c r="E36" s="8" t="n">
        <f aca="false">D36*$J$5</f>
        <v>36.6315789473684</v>
      </c>
      <c r="F36" s="8" t="n">
        <f aca="false">E36-C36</f>
        <v>-93.3684210526316</v>
      </c>
      <c r="G36" s="9" t="n">
        <f aca="false">IF(AND(C36=0,E36=0),0,IF(C36=0,"New",(E36-C36)/C36))</f>
        <v>-0.718218623481781</v>
      </c>
      <c r="H36" s="8" t="n">
        <f aca="false">SUMIFS('Source'!$E:$E,'Source'!$A:$A,"160955 ORTOPROFIL PROD. ROMANIA",'Source'!$B:$B,$A36)</f>
        <v>1341.97</v>
      </c>
      <c r="I36" s="8" t="n">
        <f aca="false">SUMIFS('Source'!$G:$G,'Source'!$A:$A,"160955 ORTOPROFIL PROD. ROMANIA",'Source'!$B:$B,$A36)</f>
        <v>294.18</v>
      </c>
      <c r="J36" s="8" t="n">
        <f aca="false">I36*$J$5</f>
        <v>371.595789473684</v>
      </c>
      <c r="K36" s="8" t="n">
        <f aca="false">J36-H36</f>
        <v>-970.374210526316</v>
      </c>
      <c r="L36" s="9" t="n">
        <f aca="false">IF(AND(H36=0,J36=0),0,IF(H36=0,"New",(J36-H36)/H36))</f>
        <v>-0.72309679838321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387</v>
      </c>
      <c r="B37" s="7" t="str">
        <f aca="false">IFERROR(INDEX('Source'!$C:$C,MATCH($A37,'Source'!$B:$B,0)),"")</f>
        <v>אצבעון מסיליקון</v>
      </c>
      <c r="C37" s="8" t="n">
        <f aca="false">SUMIFS('Source'!$D:$D,'Source'!$A:$A,"160955 ORTOPROFIL PROD. ROMANIA",'Source'!$B:$B,$A37)</f>
        <v>255</v>
      </c>
      <c r="D37" s="8" t="n">
        <f aca="false">SUMIFS('Source'!$F:$F,'Source'!$A:$A,"160955 ORTOPROFIL PROD. ROMANIA",'Source'!$B:$B,$A37)</f>
        <v>147</v>
      </c>
      <c r="E37" s="8" t="n">
        <f aca="false">D37*$J$5</f>
        <v>185.684210526316</v>
      </c>
      <c r="F37" s="8" t="n">
        <f aca="false">E37-C37</f>
        <v>-69.3157894736842</v>
      </c>
      <c r="G37" s="9" t="n">
        <f aca="false">IF(AND(C37=0,E37=0),0,IF(C37=0,"New",(E37-C37)/C37))</f>
        <v>-0.271826625386997</v>
      </c>
      <c r="H37" s="8" t="n">
        <f aca="false">SUMIFS('Source'!$E:$E,'Source'!$A:$A,"160955 ORTOPROFIL PROD. ROMANIA",'Source'!$B:$B,$A37)</f>
        <v>2425.57</v>
      </c>
      <c r="I37" s="8" t="n">
        <f aca="false">SUMIFS('Source'!$G:$G,'Source'!$A:$A,"160955 ORTOPROFIL PROD. ROMANIA",'Source'!$B:$B,$A37)</f>
        <v>1384.07</v>
      </c>
      <c r="J37" s="8" t="n">
        <f aca="false">I37*$J$5</f>
        <v>1748.29894736842</v>
      </c>
      <c r="K37" s="8" t="n">
        <f aca="false">J37-H37</f>
        <v>-677.271052631579</v>
      </c>
      <c r="L37" s="9" t="n">
        <f aca="false">IF(AND(H37=0,J37=0),0,IF(H37=0,"New",(J37-H37)/H37))</f>
        <v>-0.279221400591028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171</v>
      </c>
      <c r="B38" s="7" t="str">
        <f aca="false">IFERROR(INDEX('Source'!$C:$C,MATCH($A38,'Source'!$B:$B,0)),"")</f>
        <v>מדרס מתכוונן</v>
      </c>
      <c r="C38" s="8" t="n">
        <f aca="false">SUMIFS('Source'!$D:$D,'Source'!$A:$A,"160955 ORTOPROFIL PROD. ROMANIA",'Source'!$B:$B,$A38)</f>
        <v>429</v>
      </c>
      <c r="D38" s="8" t="n">
        <f aca="false">SUMIFS('Source'!$F:$F,'Source'!$A:$A,"160955 ORTOPROFIL PROD. ROMANIA",'Source'!$B:$B,$A38)</f>
        <v>400</v>
      </c>
      <c r="E38" s="8" t="n">
        <f aca="false">D38*$J$5</f>
        <v>505.263157894737</v>
      </c>
      <c r="F38" s="8" t="n">
        <f aca="false">E38-C38</f>
        <v>76.2631578947368</v>
      </c>
      <c r="G38" s="9" t="n">
        <f aca="false">IF(AND(C38=0,E38=0),0,IF(C38=0,"New",(E38-C38)/C38))</f>
        <v>0.17776959882223</v>
      </c>
      <c r="H38" s="8" t="n">
        <f aca="false">SUMIFS('Source'!$E:$E,'Source'!$A:$A,"160955 ORTOPROFIL PROD. ROMANIA",'Source'!$B:$B,$A38)</f>
        <v>14899.33</v>
      </c>
      <c r="I38" s="8" t="n">
        <f aca="false">SUMIFS('Source'!$G:$G,'Source'!$A:$A,"160955 ORTOPROFIL PROD. ROMANIA",'Source'!$B:$B,$A38)</f>
        <v>13866.48</v>
      </c>
      <c r="J38" s="8" t="n">
        <f aca="false">I38*$J$5</f>
        <v>17515.5536842105</v>
      </c>
      <c r="K38" s="8" t="n">
        <f aca="false">J38-H38</f>
        <v>2616.22368421053</v>
      </c>
      <c r="L38" s="9" t="n">
        <f aca="false">IF(AND(H38=0,J38=0),0,IF(H38=0,"New",(J38-H38)/H38))</f>
        <v>0.175593377971394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337</v>
      </c>
      <c r="B39" s="7" t="str">
        <f aca="false">IFERROR(INDEX('Source'!$C:$C,MATCH($A39,'Source'!$B:$B,0)),"")</f>
        <v>מפריד הלוקס עם כרית</v>
      </c>
      <c r="C39" s="8" t="n">
        <f aca="false">SUMIFS('Source'!$D:$D,'Source'!$A:$A,"160955 ORTOPROFIL PROD. ROMANIA",'Source'!$B:$B,$A39)</f>
        <v>111</v>
      </c>
      <c r="D39" s="8" t="n">
        <f aca="false">SUMIFS('Source'!$F:$F,'Source'!$A:$A,"160955 ORTOPROFIL PROD. ROMANIA",'Source'!$B:$B,$A39)</f>
        <v>58</v>
      </c>
      <c r="E39" s="8" t="n">
        <f aca="false">D39*$J$5</f>
        <v>73.2631578947368</v>
      </c>
      <c r="F39" s="8" t="n">
        <f aca="false">E39-C39</f>
        <v>-37.7368421052632</v>
      </c>
      <c r="G39" s="9" t="n">
        <f aca="false">IF(AND(C39=0,E39=0),0,IF(C39=0,"New",(E39-C39)/C39))</f>
        <v>-0.339971550497866</v>
      </c>
      <c r="H39" s="8" t="n">
        <f aca="false">SUMIFS('Source'!$E:$E,'Source'!$A:$A,"160955 ORTOPROFIL PROD. ROMANIA",'Source'!$B:$B,$A39)</f>
        <v>2082.05</v>
      </c>
      <c r="I39" s="8" t="n">
        <f aca="false">SUMIFS('Source'!$G:$G,'Source'!$A:$A,"160955 ORTOPROFIL PROD. ROMANIA",'Source'!$B:$B,$A39)</f>
        <v>1083.2</v>
      </c>
      <c r="J39" s="8" t="n">
        <f aca="false">I39*$J$5</f>
        <v>1368.25263157895</v>
      </c>
      <c r="K39" s="8" t="n">
        <f aca="false">J39-H39</f>
        <v>-713.797368421053</v>
      </c>
      <c r="L39" s="9" t="n">
        <f aca="false">IF(AND(H39=0,J39=0),0,IF(H39=0,"New",(J39-H39)/H39))</f>
        <v>-0.342833922538389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522</v>
      </c>
      <c r="B40" s="7" t="str">
        <f aca="false">IFERROR(INDEX('Source'!$C:$C,MATCH($A40,'Source'!$B:$B,0)),"")</f>
        <v>מגן קרסול פתוח</v>
      </c>
      <c r="C40" s="8" t="n">
        <f aca="false">SUMIFS('Source'!$D:$D,'Source'!$A:$A,"160955 ORTOPROFIL PROD. ROMANIA",'Source'!$B:$B,$A40)</f>
        <v>96</v>
      </c>
      <c r="D40" s="8" t="n">
        <f aca="false">SUMIFS('Source'!$F:$F,'Source'!$A:$A,"160955 ORTOPROFIL PROD. ROMANIA",'Source'!$B:$B,$A40)</f>
        <v>0</v>
      </c>
      <c r="E40" s="8" t="n">
        <f aca="false">D40*$J$5</f>
        <v>0</v>
      </c>
      <c r="F40" s="8" t="n">
        <f aca="false">E40-C40</f>
        <v>-96</v>
      </c>
      <c r="G40" s="9" t="n">
        <f aca="false">IF(AND(C40=0,E40=0),0,IF(C40=0,"New",(E40-C40)/C40))</f>
        <v>-1</v>
      </c>
      <c r="H40" s="8" t="n">
        <f aca="false">SUMIFS('Source'!$E:$E,'Source'!$A:$A,"160955 ORTOPROFIL PROD. ROMANIA",'Source'!$B:$B,$A40)</f>
        <v>960.18</v>
      </c>
      <c r="I40" s="8" t="n">
        <f aca="false">SUMIFS('Source'!$G:$G,'Source'!$A:$A,"160955 ORTOPROFIL PROD. ROMANIA",'Source'!$B:$B,$A40)</f>
        <v>0</v>
      </c>
      <c r="J40" s="8" t="n">
        <f aca="false">I40*$J$5</f>
        <v>0</v>
      </c>
      <c r="K40" s="8" t="n">
        <f aca="false">J40-H40</f>
        <v>-960.18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120</v>
      </c>
      <c r="B41" s="7" t="str">
        <f aca="false">IFERROR(INDEX('Source'!$C:$C,MATCH($A41,'Source'!$B:$B,0)),"")</f>
        <v>כפפת CTS ימין</v>
      </c>
      <c r="C41" s="8" t="n">
        <f aca="false">SUMIFS('Source'!$D:$D,'Source'!$A:$A,"160955 ORTOPROFIL PROD. ROMANIA",'Source'!$B:$B,$A41)</f>
        <v>0</v>
      </c>
      <c r="D41" s="8" t="n">
        <f aca="false">SUMIFS('Source'!$F:$F,'Source'!$A:$A,"160955 ORTOPROFIL PROD. ROMANIA",'Source'!$B:$B,$A41)</f>
        <v>22</v>
      </c>
      <c r="E41" s="8" t="n">
        <f aca="false">D41*$J$5</f>
        <v>27.7894736842105</v>
      </c>
      <c r="F41" s="8" t="n">
        <f aca="false">E41-C41</f>
        <v>27.7894736842105</v>
      </c>
      <c r="G41" s="9" t="str">
        <f aca="false">IF(AND(C41=0,E41=0),0,IF(C41=0,"New",(E41-C41)/C41))</f>
        <v>New</v>
      </c>
      <c r="H41" s="8" t="n">
        <f aca="false">SUMIFS('Source'!$E:$E,'Source'!$A:$A,"160955 ORTOPROFIL PROD. ROMANIA",'Source'!$B:$B,$A41)</f>
        <v>0</v>
      </c>
      <c r="I41" s="8" t="n">
        <f aca="false">SUMIFS('Source'!$G:$G,'Source'!$A:$A,"160955 ORTOPROFIL PROD. ROMANIA",'Source'!$B:$B,$A41)</f>
        <v>954.85</v>
      </c>
      <c r="J41" s="8" t="n">
        <f aca="false">I41*$J$5</f>
        <v>1206.12631578947</v>
      </c>
      <c r="K41" s="8" t="n">
        <f aca="false">J41-H41</f>
        <v>1206.12631578947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578</v>
      </c>
      <c r="B42" s="7" t="str">
        <f aca="false">IFERROR(INDEX('Source'!$C:$C,MATCH($A42,'Source'!$B:$B,0)),"")</f>
        <v>מגן ברך רגיל</v>
      </c>
      <c r="C42" s="8" t="n">
        <f aca="false">SUMIFS('Source'!$D:$D,'Source'!$A:$A,"160955 ORTOPROFIL PROD. ROMANIA",'Source'!$B:$B,$A42)</f>
        <v>148</v>
      </c>
      <c r="D42" s="8" t="n">
        <f aca="false">SUMIFS('Source'!$F:$F,'Source'!$A:$A,"160955 ORTOPROFIL PROD. ROMANIA",'Source'!$B:$B,$A42)</f>
        <v>59</v>
      </c>
      <c r="E42" s="8" t="n">
        <f aca="false">D42*$J$5</f>
        <v>74.5263157894737</v>
      </c>
      <c r="F42" s="8" t="n">
        <f aca="false">E42-C42</f>
        <v>-73.4736842105263</v>
      </c>
      <c r="G42" s="9" t="n">
        <f aca="false">IF(AND(C42=0,E42=0),0,IF(C42=0,"New",(E42-C42)/C42))</f>
        <v>-0.496443812233286</v>
      </c>
      <c r="H42" s="8" t="n">
        <f aca="false">SUMIFS('Source'!$E:$E,'Source'!$A:$A,"160955 ORTOPROFIL PROD. ROMANIA",'Source'!$B:$B,$A42)</f>
        <v>1528.86</v>
      </c>
      <c r="I42" s="8" t="n">
        <f aca="false">SUMIFS('Source'!$G:$G,'Source'!$A:$A,"160955 ORTOPROFIL PROD. ROMANIA",'Source'!$B:$B,$A42)</f>
        <v>610.1</v>
      </c>
      <c r="J42" s="8" t="n">
        <f aca="false">I42*$J$5</f>
        <v>770.652631578947</v>
      </c>
      <c r="K42" s="8" t="n">
        <f aca="false">J42-H42</f>
        <v>-758.207368421053</v>
      </c>
      <c r="L42" s="9" t="n">
        <f aca="false">IF(AND(H42=0,J42=0),0,IF(H42=0,"New",(J42-H42)/H42))</f>
        <v>-0.495929887904094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483</v>
      </c>
      <c r="B43" s="7" t="str">
        <f aca="false">IFERROR(INDEX('Source'!$C:$C,MATCH($A43,'Source'!$B:$B,0)),"")</f>
        <v>כרית סיליקון לעקב</v>
      </c>
      <c r="C43" s="8" t="n">
        <f aca="false">SUMIFS('Source'!$D:$D,'Source'!$A:$A,"160955 ORTOPROFIL PROD. ROMANIA",'Source'!$B:$B,$A43)</f>
        <v>496</v>
      </c>
      <c r="D43" s="8" t="n">
        <f aca="false">SUMIFS('Source'!$F:$F,'Source'!$A:$A,"160955 ORTOPROFIL PROD. ROMANIA",'Source'!$B:$B,$A43)</f>
        <v>465</v>
      </c>
      <c r="E43" s="8" t="n">
        <f aca="false">D43*$J$5</f>
        <v>587.368421052632</v>
      </c>
      <c r="F43" s="8" t="n">
        <f aca="false">E43-C43</f>
        <v>91.3684210526316</v>
      </c>
      <c r="G43" s="9" t="n">
        <f aca="false">IF(AND(C43=0,E43=0),0,IF(C43=0,"New",(E43-C43)/C43))</f>
        <v>0.184210526315789</v>
      </c>
      <c r="H43" s="8" t="n">
        <f aca="false">SUMIFS('Source'!$E:$E,'Source'!$A:$A,"160955 ORTOPROFIL PROD. ROMANIA",'Source'!$B:$B,$A43)</f>
        <v>13689.07</v>
      </c>
      <c r="I43" s="8" t="n">
        <f aca="false">SUMIFS('Source'!$G:$G,'Source'!$A:$A,"160955 ORTOPROFIL PROD. ROMANIA",'Source'!$B:$B,$A43)</f>
        <v>12809.29</v>
      </c>
      <c r="J43" s="8" t="n">
        <f aca="false">I43*$J$5</f>
        <v>16180.1557894737</v>
      </c>
      <c r="K43" s="8" t="n">
        <f aca="false">J43-H43</f>
        <v>2491.08578947368</v>
      </c>
      <c r="L43" s="9" t="n">
        <f aca="false">IF(AND(H43=0,J43=0),0,IF(H43=0,"New",(J43-H43)/H43))</f>
        <v>0.181976262045097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139</v>
      </c>
      <c r="B44" s="7" t="str">
        <f aca="false">IFERROR(INDEX('Source'!$C:$C,MATCH($A44,'Source'!$B:$B,0)),"")</f>
        <v>כפפת CTS שמאל</v>
      </c>
      <c r="C44" s="8" t="n">
        <f aca="false">SUMIFS('Source'!$D:$D,'Source'!$A:$A,"160955 ORTOPROFIL PROD. ROMANIA",'Source'!$B:$B,$A44)</f>
        <v>0</v>
      </c>
      <c r="D44" s="8" t="n">
        <f aca="false">SUMIFS('Source'!$F:$F,'Source'!$A:$A,"160955 ORTOPROFIL PROD. ROMANIA",'Source'!$B:$B,$A44)</f>
        <v>20</v>
      </c>
      <c r="E44" s="8" t="n">
        <f aca="false">D44*$J$5</f>
        <v>25.2631578947368</v>
      </c>
      <c r="F44" s="8" t="n">
        <f aca="false">E44-C44</f>
        <v>25.2631578947368</v>
      </c>
      <c r="G44" s="9" t="str">
        <f aca="false">IF(AND(C44=0,E44=0),0,IF(C44=0,"New",(E44-C44)/C44))</f>
        <v>New</v>
      </c>
      <c r="H44" s="8" t="n">
        <f aca="false">SUMIFS('Source'!$E:$E,'Source'!$A:$A,"160955 ORTOPROFIL PROD. ROMANIA",'Source'!$B:$B,$A44)</f>
        <v>0</v>
      </c>
      <c r="I44" s="8" t="n">
        <f aca="false">SUMIFS('Source'!$G:$G,'Source'!$A:$A,"160955 ORTOPROFIL PROD. ROMANIA",'Source'!$B:$B,$A44)</f>
        <v>873.03</v>
      </c>
      <c r="J44" s="8" t="n">
        <f aca="false">I44*$J$5</f>
        <v>1102.77473684211</v>
      </c>
      <c r="K44" s="8" t="n">
        <f aca="false">J44-H44</f>
        <v>1102.77473684211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643</v>
      </c>
      <c r="B45" s="7" t="str">
        <f aca="false">IFERROR(INDEX('Source'!$C:$C,MATCH($A45,'Source'!$B:$B,0)),"")</f>
        <v>כרית סיליקון לעקב</v>
      </c>
      <c r="C45" s="8" t="n">
        <f aca="false">SUMIFS('Source'!$D:$D,'Source'!$A:$A,"160955 ORTOPROFIL PROD. ROMANIA",'Source'!$B:$B,$A45)</f>
        <v>146</v>
      </c>
      <c r="D45" s="8" t="n">
        <f aca="false">SUMIFS('Source'!$F:$F,'Source'!$A:$A,"160955 ORTOPROFIL PROD. ROMANIA",'Source'!$B:$B,$A45)</f>
        <v>116</v>
      </c>
      <c r="E45" s="8" t="n">
        <f aca="false">D45*$J$5</f>
        <v>146.526315789474</v>
      </c>
      <c r="F45" s="8" t="n">
        <f aca="false">E45-C45</f>
        <v>0.526315789473671</v>
      </c>
      <c r="G45" s="9" t="n">
        <f aca="false">IF(AND(C45=0,E45=0),0,IF(C45=0,"New",(E45-C45)/C45))</f>
        <v>0.00360490266762788</v>
      </c>
      <c r="H45" s="8" t="n">
        <f aca="false">SUMIFS('Source'!$E:$E,'Source'!$A:$A,"160955 ORTOPROFIL PROD. ROMANIA",'Source'!$B:$B,$A45)</f>
        <v>4033.74</v>
      </c>
      <c r="I45" s="8" t="n">
        <f aca="false">SUMIFS('Source'!$G:$G,'Source'!$A:$A,"160955 ORTOPROFIL PROD. ROMANIA",'Source'!$B:$B,$A45)</f>
        <v>3193.09</v>
      </c>
      <c r="J45" s="8" t="n">
        <f aca="false">I45*$J$5</f>
        <v>4033.37684210526</v>
      </c>
      <c r="K45" s="8" t="n">
        <f aca="false">J45-H45</f>
        <v>-0.36315789473656</v>
      </c>
      <c r="L45" s="9" t="n">
        <f aca="false">IF(AND(H45=0,J45=0),0,IF(H45=0,"New",(J45-H45)/H45))</f>
        <v>-9.00300700433245E-005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675</v>
      </c>
      <c r="B46" s="7" t="str">
        <f aca="false">IFERROR(INDEX('Source'!$C:$C,MATCH($A46,'Source'!$B:$B,0)),"")</f>
        <v>מגן יד</v>
      </c>
      <c r="C46" s="8" t="n">
        <f aca="false">SUMIFS('Source'!$D:$D,'Source'!$A:$A,"160955 ORTOPROFIL PROD. ROMANIA",'Source'!$B:$B,$A46)</f>
        <v>95</v>
      </c>
      <c r="D46" s="8" t="n">
        <f aca="false">SUMIFS('Source'!$F:$F,'Source'!$A:$A,"160955 ORTOPROFIL PROD. ROMANIA",'Source'!$B:$B,$A46)</f>
        <v>45</v>
      </c>
      <c r="E46" s="8" t="n">
        <f aca="false">D46*$J$5</f>
        <v>56.8421052631579</v>
      </c>
      <c r="F46" s="8" t="n">
        <f aca="false">E46-C46</f>
        <v>-38.1578947368421</v>
      </c>
      <c r="G46" s="9" t="n">
        <f aca="false">IF(AND(C46=0,E46=0),0,IF(C46=0,"New",(E46-C46)/C46))</f>
        <v>-0.401662049861496</v>
      </c>
      <c r="H46" s="8" t="n">
        <f aca="false">SUMIFS('Source'!$E:$E,'Source'!$A:$A,"160955 ORTOPROFIL PROD. ROMANIA",'Source'!$B:$B,$A46)</f>
        <v>1530.29</v>
      </c>
      <c r="I46" s="8" t="n">
        <f aca="false">SUMIFS('Source'!$G:$G,'Source'!$A:$A,"160955 ORTOPROFIL PROD. ROMANIA",'Source'!$B:$B,$A46)</f>
        <v>730.21</v>
      </c>
      <c r="J46" s="8" t="n">
        <f aca="false">I46*$J$5</f>
        <v>922.370526315789</v>
      </c>
      <c r="K46" s="8" t="n">
        <f aca="false">J46-H46</f>
        <v>-607.919473684211</v>
      </c>
      <c r="L46" s="9" t="n">
        <f aca="false">IF(AND(H46=0,J46=0),0,IF(H46=0,"New",(J46-H46)/H46))</f>
        <v>-0.397257692126467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654</v>
      </c>
      <c r="B47" s="7" t="str">
        <f aca="false">IFERROR(INDEX('Source'!$C:$C,MATCH($A47,'Source'!$B:$B,0)),"")</f>
        <v>מגן יד</v>
      </c>
      <c r="C47" s="8" t="n">
        <f aca="false">SUMIFS('Source'!$D:$D,'Source'!$A:$A,"160955 ORTOPROFIL PROD. ROMANIA",'Source'!$B:$B,$A47)</f>
        <v>83</v>
      </c>
      <c r="D47" s="8" t="n">
        <f aca="false">SUMIFS('Source'!$F:$F,'Source'!$A:$A,"160955 ORTOPROFIL PROD. ROMANIA",'Source'!$B:$B,$A47)</f>
        <v>34</v>
      </c>
      <c r="E47" s="8" t="n">
        <f aca="false">D47*$J$5</f>
        <v>42.9473684210526</v>
      </c>
      <c r="F47" s="8" t="n">
        <f aca="false">E47-C47</f>
        <v>-40.0526315789474</v>
      </c>
      <c r="G47" s="9" t="n">
        <f aca="false">IF(AND(C47=0,E47=0),0,IF(C47=0,"New",(E47-C47)/C47))</f>
        <v>-0.482561826252378</v>
      </c>
      <c r="H47" s="8" t="n">
        <f aca="false">SUMIFS('Source'!$E:$E,'Source'!$A:$A,"160955 ORTOPROFIL PROD. ROMANIA",'Source'!$B:$B,$A47)</f>
        <v>1334.38</v>
      </c>
      <c r="I47" s="8" t="n">
        <f aca="false">SUMIFS('Source'!$G:$G,'Source'!$A:$A,"160955 ORTOPROFIL PROD. ROMANIA",'Source'!$B:$B,$A47)</f>
        <v>555.62</v>
      </c>
      <c r="J47" s="8" t="n">
        <f aca="false">I47*$J$5</f>
        <v>701.835789473684</v>
      </c>
      <c r="K47" s="8" t="n">
        <f aca="false">J47-H47</f>
        <v>-632.544210526316</v>
      </c>
      <c r="L47" s="9" t="n">
        <f aca="false">IF(AND(H47=0,J47=0),0,IF(H47=0,"New",(J47-H47)/H47))</f>
        <v>-0.474036039603648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159</v>
      </c>
      <c r="B48" s="7" t="str">
        <f aca="false">IFERROR(INDEX('Source'!$C:$C,MATCH($A48,'Source'!$B:$B,0)),"")</f>
        <v>כרית מטטרזלי מס</v>
      </c>
      <c r="C48" s="8" t="n">
        <f aca="false">SUMIFS('Source'!$D:$D,'Source'!$A:$A,"160955 ORTOPROFIL PROD. ROMANIA",'Source'!$B:$B,$A48)</f>
        <v>137</v>
      </c>
      <c r="D48" s="8" t="n">
        <f aca="false">SUMIFS('Source'!$F:$F,'Source'!$A:$A,"160955 ORTOPROFIL PROD. ROMANIA",'Source'!$B:$B,$A48)</f>
        <v>85</v>
      </c>
      <c r="E48" s="8" t="n">
        <f aca="false">D48*$J$5</f>
        <v>107.368421052632</v>
      </c>
      <c r="F48" s="8" t="n">
        <f aca="false">E48-C48</f>
        <v>-29.6315789473684</v>
      </c>
      <c r="G48" s="9" t="n">
        <f aca="false">IF(AND(C48=0,E48=0),0,IF(C48=0,"New",(E48-C48)/C48))</f>
        <v>-0.216288897426047</v>
      </c>
      <c r="H48" s="8" t="n">
        <f aca="false">SUMIFS('Source'!$E:$E,'Source'!$A:$A,"160955 ORTOPROFIL PROD. ROMANIA",'Source'!$B:$B,$A48)</f>
        <v>1950.54</v>
      </c>
      <c r="I48" s="8" t="n">
        <f aca="false">SUMIFS('Source'!$G:$G,'Source'!$A:$A,"160955 ORTOPROFIL PROD. ROMANIA",'Source'!$B:$B,$A48)</f>
        <v>1188.7</v>
      </c>
      <c r="J48" s="8" t="n">
        <f aca="false">I48*$J$5</f>
        <v>1501.51578947368</v>
      </c>
      <c r="K48" s="8" t="n">
        <f aca="false">J48-H48</f>
        <v>-449.024210526316</v>
      </c>
      <c r="L48" s="9" t="n">
        <f aca="false">IF(AND(H48=0,J48=0),0,IF(H48=0,"New",(J48-H48)/H48))</f>
        <v>-0.230205076812737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401</v>
      </c>
      <c r="B49" s="7" t="str">
        <f aca="false">IFERROR(INDEX('Source'!$C:$C,MATCH($A49,'Source'!$B:$B,0)),"")</f>
        <v>מגן קרסול פתוח</v>
      </c>
      <c r="C49" s="8" t="n">
        <f aca="false">SUMIFS('Source'!$D:$D,'Source'!$A:$A,"160955 ORTOPROFIL PROD. ROMANIA",'Source'!$B:$B,$A49)</f>
        <v>91</v>
      </c>
      <c r="D49" s="8" t="n">
        <f aca="false">SUMIFS('Source'!$F:$F,'Source'!$A:$A,"160955 ORTOPROFIL PROD. ROMANIA",'Source'!$B:$B,$A49)</f>
        <v>20</v>
      </c>
      <c r="E49" s="8" t="n">
        <f aca="false">D49*$J$5</f>
        <v>25.2631578947368</v>
      </c>
      <c r="F49" s="8" t="n">
        <f aca="false">E49-C49</f>
        <v>-65.7368421052632</v>
      </c>
      <c r="G49" s="9" t="n">
        <f aca="false">IF(AND(C49=0,E49=0),0,IF(C49=0,"New",(E49-C49)/C49))</f>
        <v>-0.722382880277617</v>
      </c>
      <c r="H49" s="8" t="n">
        <f aca="false">SUMIFS('Source'!$E:$E,'Source'!$A:$A,"160955 ORTOPROFIL PROD. ROMANIA",'Source'!$B:$B,$A49)</f>
        <v>929.22</v>
      </c>
      <c r="I49" s="8" t="n">
        <f aca="false">SUMIFS('Source'!$G:$G,'Source'!$A:$A,"160955 ORTOPROFIL PROD. ROMANIA",'Source'!$B:$B,$A49)</f>
        <v>200.33</v>
      </c>
      <c r="J49" s="8" t="n">
        <f aca="false">I49*$J$5</f>
        <v>253.048421052632</v>
      </c>
      <c r="K49" s="8" t="n">
        <f aca="false">J49-H49</f>
        <v>-676.171578947369</v>
      </c>
      <c r="L49" s="9" t="n">
        <f aca="false">IF(AND(H49=0,J49=0),0,IF(H49=0,"New",(J49-H49)/H49))</f>
        <v>-0.727676523263994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563</v>
      </c>
      <c r="B50" s="7" t="str">
        <f aca="false">IFERROR(INDEX('Source'!$C:$C,MATCH($A50,'Source'!$B:$B,0)),"")</f>
        <v>מגן קרסול פתוח</v>
      </c>
      <c r="C50" s="8" t="n">
        <f aca="false">SUMIFS('Source'!$D:$D,'Source'!$A:$A,"160955 ORTOPROFIL PROD. ROMANIA",'Source'!$B:$B,$A50)</f>
        <v>93</v>
      </c>
      <c r="D50" s="8" t="n">
        <f aca="false">SUMIFS('Source'!$F:$F,'Source'!$A:$A,"160955 ORTOPROFIL PROD. ROMANIA",'Source'!$B:$B,$A50)</f>
        <v>34</v>
      </c>
      <c r="E50" s="8" t="n">
        <f aca="false">D50*$J$5</f>
        <v>42.9473684210526</v>
      </c>
      <c r="F50" s="8" t="n">
        <f aca="false">E50-C50</f>
        <v>-50.0526315789474</v>
      </c>
      <c r="G50" s="9" t="n">
        <f aca="false">IF(AND(C50=0,E50=0),0,IF(C50=0,"New",(E50-C50)/C50))</f>
        <v>-0.538200339558574</v>
      </c>
      <c r="H50" s="8" t="n">
        <f aca="false">SUMIFS('Source'!$E:$E,'Source'!$A:$A,"160955 ORTOPROFIL PROD. ROMANIA",'Source'!$B:$B,$A50)</f>
        <v>948.26</v>
      </c>
      <c r="I50" s="8" t="n">
        <f aca="false">SUMIFS('Source'!$G:$G,'Source'!$A:$A,"160955 ORTOPROFIL PROD. ROMANIA",'Source'!$B:$B,$A50)</f>
        <v>337.87</v>
      </c>
      <c r="J50" s="8" t="n">
        <f aca="false">I50*$J$5</f>
        <v>426.783157894737</v>
      </c>
      <c r="K50" s="8" t="n">
        <f aca="false">J50-H50</f>
        <v>-521.476842105263</v>
      </c>
      <c r="L50" s="9" t="n">
        <f aca="false">IF(AND(H50=0,J50=0),0,IF(H50=0,"New",(J50-H50)/H50))</f>
        <v>-0.5499302323258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416</v>
      </c>
      <c r="B51" s="7" t="str">
        <f aca="false">IFERROR(INDEX('Source'!$C:$C,MATCH($A51,'Source'!$B:$B,0)),"")</f>
        <v>קינזיולוגי טייפ</v>
      </c>
      <c r="C51" s="8" t="n">
        <f aca="false">SUMIFS('Source'!$D:$D,'Source'!$A:$A,"160955 ORTOPROFIL PROD. ROMANIA",'Source'!$B:$B,$A51)</f>
        <v>96</v>
      </c>
      <c r="D51" s="8" t="n">
        <f aca="false">SUMIFS('Source'!$F:$F,'Source'!$A:$A,"160955 ORTOPROFIL PROD. ROMANIA",'Source'!$B:$B,$A51)</f>
        <v>48</v>
      </c>
      <c r="E51" s="8" t="n">
        <f aca="false">D51*$J$5</f>
        <v>60.6315789473684</v>
      </c>
      <c r="F51" s="8" t="n">
        <f aca="false">E51-C51</f>
        <v>-35.3684210526316</v>
      </c>
      <c r="G51" s="9" t="n">
        <f aca="false">IF(AND(C51=0,E51=0),0,IF(C51=0,"New",(E51-C51)/C51))</f>
        <v>-0.368421052631579</v>
      </c>
      <c r="H51" s="8" t="n">
        <f aca="false">SUMIFS('Source'!$E:$E,'Source'!$A:$A,"160955 ORTOPROFIL PROD. ROMANIA",'Source'!$B:$B,$A51)</f>
        <v>1190.84</v>
      </c>
      <c r="I51" s="8" t="n">
        <f aca="false">SUMIFS('Source'!$G:$G,'Source'!$A:$A,"160955 ORTOPROFIL PROD. ROMANIA",'Source'!$B:$B,$A51)</f>
        <v>588.26</v>
      </c>
      <c r="J51" s="8" t="n">
        <f aca="false">I51*$J$5</f>
        <v>743.065263157895</v>
      </c>
      <c r="K51" s="8" t="n">
        <f aca="false">J51-H51</f>
        <v>-447.774736842105</v>
      </c>
      <c r="L51" s="9" t="n">
        <f aca="false">IF(AND(H51=0,J51=0),0,IF(H51=0,"New",(J51-H51)/H51))</f>
        <v>-0.376015868497956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603</v>
      </c>
      <c r="B52" s="7" t="str">
        <f aca="false">IFERROR(INDEX('Source'!$C:$C,MATCH($A52,'Source'!$B:$B,0)),"")</f>
        <v>קינזיולוגי טייפ</v>
      </c>
      <c r="C52" s="8" t="n">
        <f aca="false">SUMIFS('Source'!$D:$D,'Source'!$A:$A,"160955 ORTOPROFIL PROD. ROMANIA",'Source'!$B:$B,$A52)</f>
        <v>120</v>
      </c>
      <c r="D52" s="8" t="n">
        <f aca="false">SUMIFS('Source'!$F:$F,'Source'!$A:$A,"160955 ORTOPROFIL PROD. ROMANIA",'Source'!$B:$B,$A52)</f>
        <v>72</v>
      </c>
      <c r="E52" s="8" t="n">
        <f aca="false">D52*$J$5</f>
        <v>90.9473684210526</v>
      </c>
      <c r="F52" s="8" t="n">
        <f aca="false">E52-C52</f>
        <v>-29.0526315789474</v>
      </c>
      <c r="G52" s="9" t="n">
        <f aca="false">IF(AND(C52=0,E52=0),0,IF(C52=0,"New",(E52-C52)/C52))</f>
        <v>-0.242105263157895</v>
      </c>
      <c r="H52" s="8" t="n">
        <f aca="false">SUMIFS('Source'!$E:$E,'Source'!$A:$A,"160955 ORTOPROFIL PROD. ROMANIA",'Source'!$B:$B,$A52)</f>
        <v>1473.88</v>
      </c>
      <c r="I52" s="8" t="n">
        <f aca="false">SUMIFS('Source'!$G:$G,'Source'!$A:$A,"160955 ORTOPROFIL PROD. ROMANIA",'Source'!$B:$B,$A52)</f>
        <v>886.11</v>
      </c>
      <c r="J52" s="8" t="n">
        <f aca="false">I52*$J$5</f>
        <v>1119.29684210526</v>
      </c>
      <c r="K52" s="8" t="n">
        <f aca="false">J52-H52</f>
        <v>-354.583157894737</v>
      </c>
      <c r="L52" s="9" t="n">
        <f aca="false">IF(AND(H52=0,J52=0),0,IF(H52=0,"New",(J52-H52)/H52))</f>
        <v>-0.240578037489305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899</v>
      </c>
      <c r="B53" s="7" t="str">
        <f aca="false">IFERROR(INDEX('Source'!$C:$C,MATCH($A53,'Source'!$B:$B,0)),"")</f>
        <v>מדרס מטטרזלי</v>
      </c>
      <c r="C53" s="8" t="n">
        <f aca="false">SUMIFS('Source'!$D:$D,'Source'!$A:$A,"160955 ORTOPROFIL PROD. ROMANIA",'Source'!$B:$B,$A53)</f>
        <v>98</v>
      </c>
      <c r="D53" s="8" t="n">
        <f aca="false">SUMIFS('Source'!$F:$F,'Source'!$A:$A,"160955 ORTOPROFIL PROD. ROMANIA",'Source'!$B:$B,$A53)</f>
        <v>48</v>
      </c>
      <c r="E53" s="8" t="n">
        <f aca="false">D53*$J$5</f>
        <v>60.6315789473684</v>
      </c>
      <c r="F53" s="8" t="n">
        <f aca="false">E53-C53</f>
        <v>-37.3684210526316</v>
      </c>
      <c r="G53" s="9" t="n">
        <f aca="false">IF(AND(C53=0,E53=0),0,IF(C53=0,"New",(E53-C53)/C53))</f>
        <v>-0.381310418904404</v>
      </c>
      <c r="H53" s="8" t="n">
        <f aca="false">SUMIFS('Source'!$E:$E,'Source'!$A:$A,"160955 ORTOPROFIL PROD. ROMANIA",'Source'!$B:$B,$A53)</f>
        <v>1072.66</v>
      </c>
      <c r="I53" s="8" t="n">
        <f aca="false">SUMIFS('Source'!$G:$G,'Source'!$A:$A,"160955 ORTOPROFIL PROD. ROMANIA",'Source'!$B:$B,$A53)</f>
        <v>513.87</v>
      </c>
      <c r="J53" s="8" t="n">
        <f aca="false">I53*$J$5</f>
        <v>649.098947368421</v>
      </c>
      <c r="K53" s="8" t="n">
        <f aca="false">J53-H53</f>
        <v>-423.561052631579</v>
      </c>
      <c r="L53" s="9" t="n">
        <f aca="false">IF(AND(H53=0,J53=0),0,IF(H53=0,"New",(J53-H53)/H53))</f>
        <v>-0.39486981208545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524</v>
      </c>
      <c r="B54" s="7" t="str">
        <f aca="false">IFERROR(INDEX('Source'!$C:$C,MATCH($A54,'Source'!$B:$B,0)),"")</f>
        <v>מגן יד</v>
      </c>
      <c r="C54" s="8" t="n">
        <f aca="false">SUMIFS('Source'!$D:$D,'Source'!$A:$A,"160955 ORTOPROFIL PROD. ROMANIA",'Source'!$B:$B,$A54)</f>
        <v>150</v>
      </c>
      <c r="D54" s="8" t="n">
        <f aca="false">SUMIFS('Source'!$F:$F,'Source'!$A:$A,"160955 ORTOPROFIL PROD. ROMANIA",'Source'!$B:$B,$A54)</f>
        <v>115</v>
      </c>
      <c r="E54" s="8" t="n">
        <f aca="false">D54*$J$5</f>
        <v>145.263157894737</v>
      </c>
      <c r="F54" s="8" t="n">
        <f aca="false">E54-C54</f>
        <v>-4.73684210526318</v>
      </c>
      <c r="G54" s="9" t="n">
        <f aca="false">IF(AND(C54=0,E54=0),0,IF(C54=0,"New",(E54-C54)/C54))</f>
        <v>-0.0315789473684212</v>
      </c>
      <c r="H54" s="8" t="n">
        <f aca="false">SUMIFS('Source'!$E:$E,'Source'!$A:$A,"160955 ORTOPROFIL PROD. ROMANIA",'Source'!$B:$B,$A54)</f>
        <v>2408.67</v>
      </c>
      <c r="I54" s="8" t="n">
        <f aca="false">SUMIFS('Source'!$G:$G,'Source'!$A:$A,"160955 ORTOPROFIL PROD. ROMANIA",'Source'!$B:$B,$A54)</f>
        <v>1865.16</v>
      </c>
      <c r="J54" s="8" t="n">
        <f aca="false">I54*$J$5</f>
        <v>2355.99157894737</v>
      </c>
      <c r="K54" s="8" t="n">
        <f aca="false">J54-H54</f>
        <v>-52.6784210526321</v>
      </c>
      <c r="L54" s="9" t="n">
        <f aca="false">IF(AND(H54=0,J54=0),0,IF(H54=0,"New",(J54-H54)/H54))</f>
        <v>-0.0218703355182039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580</v>
      </c>
      <c r="B55" s="7" t="str">
        <f aca="false">IFERROR(INDEX('Source'!$C:$C,MATCH($A55,'Source'!$B:$B,0)),"")</f>
        <v>מגן ברך רגיל</v>
      </c>
      <c r="C55" s="8" t="n">
        <f aca="false">SUMIFS('Source'!$D:$D,'Source'!$A:$A,"160955 ORTOPROFIL PROD. ROMANIA",'Source'!$B:$B,$A55)</f>
        <v>82</v>
      </c>
      <c r="D55" s="8" t="n">
        <f aca="false">SUMIFS('Source'!$F:$F,'Source'!$A:$A,"160955 ORTOPROFIL PROD. ROMANIA",'Source'!$B:$B,$A55)</f>
        <v>33</v>
      </c>
      <c r="E55" s="8" t="n">
        <f aca="false">D55*$J$5</f>
        <v>41.6842105263158</v>
      </c>
      <c r="F55" s="8" t="n">
        <f aca="false">E55-C55</f>
        <v>-40.3157894736842</v>
      </c>
      <c r="G55" s="9" t="n">
        <f aca="false">IF(AND(C55=0,E55=0),0,IF(C55=0,"New",(E55-C55)/C55))</f>
        <v>-0.491655969191271</v>
      </c>
      <c r="H55" s="8" t="n">
        <f aca="false">SUMIFS('Source'!$E:$E,'Source'!$A:$A,"160955 ORTOPROFIL PROD. ROMANIA",'Source'!$B:$B,$A55)</f>
        <v>856.66</v>
      </c>
      <c r="I55" s="8" t="n">
        <f aca="false">SUMIFS('Source'!$G:$G,'Source'!$A:$A,"160955 ORTOPROFIL PROD. ROMANIA",'Source'!$B:$B,$A55)</f>
        <v>338.39</v>
      </c>
      <c r="J55" s="8" t="n">
        <f aca="false">I55*$J$5</f>
        <v>427.44</v>
      </c>
      <c r="K55" s="8" t="n">
        <f aca="false">J55-H55</f>
        <v>-429.22</v>
      </c>
      <c r="L55" s="9" t="n">
        <f aca="false">IF(AND(H55=0,J55=0),0,IF(H55=0,"New",(J55-H55)/H55))</f>
        <v>-0.501038918590806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795</v>
      </c>
      <c r="B56" s="7" t="str">
        <f aca="false">IFERROR(INDEX('Source'!$C:$C,MATCH($A56,'Source'!$B:$B,0)),"")</f>
        <v>מגן יד</v>
      </c>
      <c r="C56" s="8" t="n">
        <f aca="false">SUMIFS('Source'!$D:$D,'Source'!$A:$A,"160955 ORTOPROFIL PROD. ROMANIA",'Source'!$B:$B,$A56)</f>
        <v>150</v>
      </c>
      <c r="D56" s="8" t="n">
        <f aca="false">SUMIFS('Source'!$F:$F,'Source'!$A:$A,"160955 ORTOPROFIL PROD. ROMANIA",'Source'!$B:$B,$A56)</f>
        <v>124</v>
      </c>
      <c r="E56" s="8" t="n">
        <f aca="false">D56*$J$5</f>
        <v>156.631578947368</v>
      </c>
      <c r="F56" s="8" t="n">
        <f aca="false">E56-C56</f>
        <v>6.63157894736841</v>
      </c>
      <c r="G56" s="9" t="n">
        <f aca="false">IF(AND(C56=0,E56=0),0,IF(C56=0,"New",(E56-C56)/C56))</f>
        <v>0.0442105263157894</v>
      </c>
      <c r="H56" s="8" t="n">
        <f aca="false">SUMIFS('Source'!$E:$E,'Source'!$A:$A,"160955 ORTOPROFIL PROD. ROMANIA",'Source'!$B:$B,$A56)</f>
        <v>2420.36</v>
      </c>
      <c r="I56" s="8" t="n">
        <f aca="false">SUMIFS('Source'!$G:$G,'Source'!$A:$A,"160955 ORTOPROFIL PROD. ROMANIA",'Source'!$B:$B,$A56)</f>
        <v>2023.08</v>
      </c>
      <c r="J56" s="8" t="n">
        <f aca="false">I56*$J$5</f>
        <v>2555.46947368421</v>
      </c>
      <c r="K56" s="8" t="n">
        <f aca="false">J56-H56</f>
        <v>135.10947368421</v>
      </c>
      <c r="L56" s="9" t="n">
        <f aca="false">IF(AND(H56=0,J56=0),0,IF(H56=0,"New",(J56-H56)/H56))</f>
        <v>0.0558220569188923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639</v>
      </c>
      <c r="B57" s="7" t="str">
        <f aca="false">IFERROR(INDEX('Source'!$C:$C,MATCH($A57,'Source'!$B:$B,0)),"")</f>
        <v>שרוול מטטרזלי מסיליקון</v>
      </c>
      <c r="C57" s="8" t="n">
        <f aca="false">SUMIFS('Source'!$D:$D,'Source'!$A:$A,"160955 ORTOPROFIL PROD. ROMANIA",'Source'!$B:$B,$A57)</f>
        <v>11</v>
      </c>
      <c r="D57" s="8" t="n">
        <f aca="false">SUMIFS('Source'!$F:$F,'Source'!$A:$A,"160955 ORTOPROFIL PROD. ROMANIA",'Source'!$B:$B,$A57)</f>
        <v>0</v>
      </c>
      <c r="E57" s="8" t="n">
        <f aca="false">D57*$J$5</f>
        <v>0</v>
      </c>
      <c r="F57" s="8" t="n">
        <f aca="false">E57-C57</f>
        <v>-11</v>
      </c>
      <c r="G57" s="9" t="n">
        <f aca="false">IF(AND(C57=0,E57=0),0,IF(C57=0,"New",(E57-C57)/C57))</f>
        <v>-1</v>
      </c>
      <c r="H57" s="8" t="n">
        <f aca="false">SUMIFS('Source'!$E:$E,'Source'!$A:$A,"160955 ORTOPROFIL PROD. ROMANIA",'Source'!$B:$B,$A57)</f>
        <v>357.72</v>
      </c>
      <c r="I57" s="8" t="n">
        <f aca="false">SUMIFS('Source'!$G:$G,'Source'!$A:$A,"160955 ORTOPROFIL PROD. ROMANIA",'Source'!$B:$B,$A57)</f>
        <v>0</v>
      </c>
      <c r="J57" s="8" t="n">
        <f aca="false">I57*$J$5</f>
        <v>0</v>
      </c>
      <c r="K57" s="8" t="n">
        <f aca="false">J57-H57</f>
        <v>-357.72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162</v>
      </c>
      <c r="B58" s="7" t="str">
        <f aca="false">IFERROR(INDEX('Source'!$C:$C,MATCH($A58,'Source'!$B:$B,0)),"")</f>
        <v>מדרס מתכוונן</v>
      </c>
      <c r="C58" s="8" t="n">
        <f aca="false">SUMIFS('Source'!$D:$D,'Source'!$A:$A,"160955 ORTOPROFIL PROD. ROMANIA",'Source'!$B:$B,$A58)</f>
        <v>415</v>
      </c>
      <c r="D58" s="8" t="n">
        <f aca="false">SUMIFS('Source'!$F:$F,'Source'!$A:$A,"160955 ORTOPROFIL PROD. ROMANIA",'Source'!$B:$B,$A58)</f>
        <v>403</v>
      </c>
      <c r="E58" s="8" t="n">
        <f aca="false">D58*$J$5</f>
        <v>509.052631578947</v>
      </c>
      <c r="F58" s="8" t="n">
        <f aca="false">E58-C58</f>
        <v>94.0526315789473</v>
      </c>
      <c r="G58" s="9" t="n">
        <f aca="false">IF(AND(C58=0,E58=0),0,IF(C58=0,"New",(E58-C58)/C58))</f>
        <v>0.226632847178186</v>
      </c>
      <c r="H58" s="8" t="n">
        <f aca="false">SUMIFS('Source'!$E:$E,'Source'!$A:$A,"160955 ORTOPROFIL PROD. ROMANIA",'Source'!$B:$B,$A58)</f>
        <v>14378.42</v>
      </c>
      <c r="I58" s="8" t="n">
        <f aca="false">SUMIFS('Source'!$G:$G,'Source'!$A:$A,"160955 ORTOPROFIL PROD. ROMANIA",'Source'!$B:$B,$A58)</f>
        <v>14031.05</v>
      </c>
      <c r="J58" s="8" t="n">
        <f aca="false">I58*$J$5</f>
        <v>17723.4315789474</v>
      </c>
      <c r="K58" s="8" t="n">
        <f aca="false">J58-H58</f>
        <v>3345.01157894737</v>
      </c>
      <c r="L58" s="9" t="n">
        <f aca="false">IF(AND(H58=0,J58=0),0,IF(H58=0,"New",(J58-H58)/H58))</f>
        <v>0.232641109311549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370</v>
      </c>
      <c r="B59" s="7" t="str">
        <f aca="false">IFERROR(INDEX('Source'!$C:$C,MATCH($A59,'Source'!$B:$B,0)),"")</f>
        <v>URIEL STRAP4U BLACK S-M</v>
      </c>
      <c r="C59" s="8" t="n">
        <f aca="false">SUMIFS('Source'!$D:$D,'Source'!$A:$A,"160955 ORTOPROFIL PROD. ROMANIA",'Source'!$B:$B,$A59)</f>
        <v>27</v>
      </c>
      <c r="D59" s="8" t="n">
        <f aca="false">SUMIFS('Source'!$F:$F,'Source'!$A:$A,"160955 ORTOPROFIL PROD. ROMANIA",'Source'!$B:$B,$A59)</f>
        <v>5</v>
      </c>
      <c r="E59" s="8" t="n">
        <f aca="false">D59*$J$5</f>
        <v>6.31578947368421</v>
      </c>
      <c r="F59" s="8" t="n">
        <f aca="false">E59-C59</f>
        <v>-20.6842105263158</v>
      </c>
      <c r="G59" s="9" t="n">
        <f aca="false">IF(AND(C59=0,E59=0),0,IF(C59=0,"New",(E59-C59)/C59))</f>
        <v>-0.766081871345029</v>
      </c>
      <c r="H59" s="8" t="n">
        <f aca="false">SUMIFS('Source'!$E:$E,'Source'!$A:$A,"160955 ORTOPROFIL PROD. ROMANIA",'Source'!$B:$B,$A59)</f>
        <v>413.35</v>
      </c>
      <c r="I59" s="8" t="n">
        <f aca="false">SUMIFS('Source'!$G:$G,'Source'!$A:$A,"160955 ORTOPROFIL PROD. ROMANIA",'Source'!$B:$B,$A59)</f>
        <v>70.5</v>
      </c>
      <c r="J59" s="8" t="n">
        <f aca="false">I59*$J$5</f>
        <v>89.0526315789474</v>
      </c>
      <c r="K59" s="8" t="n">
        <f aca="false">J59-H59</f>
        <v>-324.297368421053</v>
      </c>
      <c r="L59" s="9" t="n">
        <f aca="false">IF(AND(H59=0,J59=0),0,IF(H59=0,"New",(J59-H59)/H59))</f>
        <v>-0.784558772035932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714</v>
      </c>
      <c r="B60" s="7" t="str">
        <f aca="false">IFERROR(INDEX('Source'!$C:$C,MATCH($A60,'Source'!$B:$B,0)),"")</f>
        <v>מגן מרפק</v>
      </c>
      <c r="C60" s="8" t="n">
        <f aca="false">SUMIFS('Source'!$D:$D,'Source'!$A:$A,"160955 ORTOPROFIL PROD. ROMANIA",'Source'!$B:$B,$A60)</f>
        <v>65</v>
      </c>
      <c r="D60" s="8" t="n">
        <f aca="false">SUMIFS('Source'!$F:$F,'Source'!$A:$A,"160955 ORTOPROFIL PROD. ROMANIA",'Source'!$B:$B,$A60)</f>
        <v>35</v>
      </c>
      <c r="E60" s="8" t="n">
        <f aca="false">D60*$J$5</f>
        <v>44.2105263157895</v>
      </c>
      <c r="F60" s="8" t="n">
        <f aca="false">E60-C60</f>
        <v>-20.7894736842105</v>
      </c>
      <c r="G60" s="9" t="n">
        <f aca="false">IF(AND(C60=0,E60=0),0,IF(C60=0,"New",(E60-C60)/C60))</f>
        <v>-0.319838056680162</v>
      </c>
      <c r="H60" s="8" t="n">
        <f aca="false">SUMIFS('Source'!$E:$E,'Source'!$A:$A,"160955 ORTOPROFIL PROD. ROMANIA",'Source'!$B:$B,$A60)</f>
        <v>667.38</v>
      </c>
      <c r="I60" s="8" t="n">
        <f aca="false">SUMIFS('Source'!$G:$G,'Source'!$A:$A,"160955 ORTOPROFIL PROD. ROMANIA",'Source'!$B:$B,$A60)</f>
        <v>354.62</v>
      </c>
      <c r="J60" s="8" t="n">
        <f aca="false">I60*$J$5</f>
        <v>447.941052631579</v>
      </c>
      <c r="K60" s="8" t="n">
        <f aca="false">J60-H60</f>
        <v>-219.438947368421</v>
      </c>
      <c r="L60" s="9" t="n">
        <f aca="false">IF(AND(H60=0,J60=0),0,IF(H60=0,"New",(J60-H60)/H60))</f>
        <v>-0.328806597992779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405</v>
      </c>
      <c r="B61" s="7" t="str">
        <f aca="false">IFERROR(INDEX('Source'!$C:$C,MATCH($A61,'Source'!$B:$B,0)),"")</f>
        <v>אצבעון מפלסטיק  ליד</v>
      </c>
      <c r="C61" s="8" t="n">
        <f aca="false">SUMIFS('Source'!$D:$D,'Source'!$A:$A,"160955 ORTOPROFIL PROD. ROMANIA",'Source'!$B:$B,$A61)</f>
        <v>320</v>
      </c>
      <c r="D61" s="8" t="n">
        <f aca="false">SUMIFS('Source'!$F:$F,'Source'!$A:$A,"160955 ORTOPROFIL PROD. ROMANIA",'Source'!$B:$B,$A61)</f>
        <v>285</v>
      </c>
      <c r="E61" s="8" t="n">
        <f aca="false">D61*$J$5</f>
        <v>360</v>
      </c>
      <c r="F61" s="8" t="n">
        <f aca="false">E61-C61</f>
        <v>40</v>
      </c>
      <c r="G61" s="9" t="n">
        <f aca="false">IF(AND(C61=0,E61=0),0,IF(C61=0,"New",(E61-C61)/C61))</f>
        <v>0.125</v>
      </c>
      <c r="H61" s="8" t="n">
        <f aca="false">SUMIFS('Source'!$E:$E,'Source'!$A:$A,"160955 ORTOPROFIL PROD. ROMANIA",'Source'!$B:$B,$A61)</f>
        <v>2685.05</v>
      </c>
      <c r="I61" s="8" t="n">
        <f aca="false">SUMIFS('Source'!$G:$G,'Source'!$A:$A,"160955 ORTOPROFIL PROD. ROMANIA",'Source'!$B:$B,$A61)</f>
        <v>2402.49</v>
      </c>
      <c r="J61" s="8" t="n">
        <f aca="false">I61*$J$5</f>
        <v>3034.72421052632</v>
      </c>
      <c r="K61" s="8" t="n">
        <f aca="false">J61-H61</f>
        <v>349.674210526315</v>
      </c>
      <c r="L61" s="9" t="n">
        <f aca="false">IF(AND(H61=0,J61=0),0,IF(H61=0,"New",(J61-H61)/H61))</f>
        <v>0.13023005550225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296</v>
      </c>
      <c r="B62" s="7" t="str">
        <f aca="false">IFERROR(INDEX('Source'!$C:$C,MATCH($A62,'Source'!$B:$B,0)),"")</f>
        <v>קינזיולוגי טייפ</v>
      </c>
      <c r="C62" s="8" t="n">
        <f aca="false">SUMIFS('Source'!$D:$D,'Source'!$A:$A,"160955 ORTOPROFIL PROD. ROMANIA",'Source'!$B:$B,$A62)</f>
        <v>132</v>
      </c>
      <c r="D62" s="8" t="n">
        <f aca="false">SUMIFS('Source'!$F:$F,'Source'!$A:$A,"160955 ORTOPROFIL PROD. ROMANIA",'Source'!$B:$B,$A62)</f>
        <v>111</v>
      </c>
      <c r="E62" s="8" t="n">
        <f aca="false">D62*$J$5</f>
        <v>140.210526315789</v>
      </c>
      <c r="F62" s="8" t="n">
        <f aca="false">E62-C62</f>
        <v>8.21052631578948</v>
      </c>
      <c r="G62" s="9" t="n">
        <f aca="false">IF(AND(C62=0,E62=0),0,IF(C62=0,"New",(E62-C62)/C62))</f>
        <v>0.0622009569377991</v>
      </c>
      <c r="H62" s="8" t="n">
        <f aca="false">SUMIFS('Source'!$E:$E,'Source'!$A:$A,"160955 ORTOPROFIL PROD. ROMANIA",'Source'!$B:$B,$A62)</f>
        <v>1652.51</v>
      </c>
      <c r="I62" s="8" t="n">
        <f aca="false">SUMIFS('Source'!$G:$G,'Source'!$A:$A,"160955 ORTOPROFIL PROD. ROMANIA",'Source'!$B:$B,$A62)</f>
        <v>1379.88</v>
      </c>
      <c r="J62" s="8" t="n">
        <f aca="false">I62*$J$5</f>
        <v>1743.00631578947</v>
      </c>
      <c r="K62" s="8" t="n">
        <f aca="false">J62-H62</f>
        <v>90.4963157894736</v>
      </c>
      <c r="L62" s="9" t="n">
        <f aca="false">IF(AND(H62=0,J62=0),0,IF(H62=0,"New",(J62-H62)/H62))</f>
        <v>0.0547629459364685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494</v>
      </c>
      <c r="B63" s="7" t="str">
        <f aca="false">IFERROR(INDEX('Source'!$C:$C,MATCH($A63,'Source'!$B:$B,0)),"")</f>
        <v>בננה לתמכת אצבעו</v>
      </c>
      <c r="C63" s="8" t="n">
        <f aca="false">SUMIFS('Source'!$D:$D,'Source'!$A:$A,"160955 ORTOPROFIL PROD. ROMANIA",'Source'!$B:$B,$A63)</f>
        <v>73</v>
      </c>
      <c r="D63" s="8" t="n">
        <f aca="false">SUMIFS('Source'!$F:$F,'Source'!$A:$A,"160955 ORTOPROFIL PROD. ROMANIA",'Source'!$B:$B,$A63)</f>
        <v>50</v>
      </c>
      <c r="E63" s="8" t="n">
        <f aca="false">D63*$J$5</f>
        <v>63.1578947368421</v>
      </c>
      <c r="F63" s="8" t="n">
        <f aca="false">E63-C63</f>
        <v>-9.8421052631579</v>
      </c>
      <c r="G63" s="9" t="n">
        <f aca="false">IF(AND(C63=0,E63=0),0,IF(C63=0,"New",(E63-C63)/C63))</f>
        <v>-0.134823359769286</v>
      </c>
      <c r="H63" s="8" t="n">
        <f aca="false">SUMIFS('Source'!$E:$E,'Source'!$A:$A,"160955 ORTOPROFIL PROD. ROMANIA",'Source'!$B:$B,$A63)</f>
        <v>851.85</v>
      </c>
      <c r="I63" s="8" t="n">
        <f aca="false">SUMIFS('Source'!$G:$G,'Source'!$A:$A,"160955 ORTOPROFIL PROD. ROMANIA",'Source'!$B:$B,$A63)</f>
        <v>584.03</v>
      </c>
      <c r="J63" s="8" t="n">
        <f aca="false">I63*$J$5</f>
        <v>737.722105263158</v>
      </c>
      <c r="K63" s="8" t="n">
        <f aca="false">J63-H63</f>
        <v>-114.127894736842</v>
      </c>
      <c r="L63" s="9" t="n">
        <f aca="false">IF(AND(H63=0,J63=0),0,IF(H63=0,"New",(J63-H63)/H63))</f>
        <v>-0.133976515509588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512</v>
      </c>
      <c r="B64" s="7" t="str">
        <f aca="false">IFERROR(INDEX('Source'!$C:$C,MATCH($A64,'Source'!$B:$B,0)),"")</f>
        <v>מגן קרסול פתוח</v>
      </c>
      <c r="C64" s="8" t="n">
        <f aca="false">SUMIFS('Source'!$D:$D,'Source'!$A:$A,"160955 ORTOPROFIL PROD. ROMANIA",'Source'!$B:$B,$A64)</f>
        <v>31</v>
      </c>
      <c r="D64" s="8" t="n">
        <f aca="false">SUMIFS('Source'!$F:$F,'Source'!$A:$A,"160955 ORTOPROFIL PROD. ROMANIA",'Source'!$B:$B,$A64)</f>
        <v>6</v>
      </c>
      <c r="E64" s="8" t="n">
        <f aca="false">D64*$J$5</f>
        <v>7.57894736842105</v>
      </c>
      <c r="F64" s="8" t="n">
        <f aca="false">E64-C64</f>
        <v>-23.421052631579</v>
      </c>
      <c r="G64" s="9" t="n">
        <f aca="false">IF(AND(C64=0,E64=0),0,IF(C64=0,"New",(E64-C64)/C64))</f>
        <v>-0.755517826825127</v>
      </c>
      <c r="H64" s="8" t="n">
        <f aca="false">SUMIFS('Source'!$E:$E,'Source'!$A:$A,"160955 ORTOPROFIL PROD. ROMANIA",'Source'!$B:$B,$A64)</f>
        <v>318.6</v>
      </c>
      <c r="I64" s="8" t="n">
        <f aca="false">SUMIFS('Source'!$G:$G,'Source'!$A:$A,"160955 ORTOPROFIL PROD. ROMANIA",'Source'!$B:$B,$A64)</f>
        <v>59.09</v>
      </c>
      <c r="J64" s="8" t="n">
        <f aca="false">I64*$J$5</f>
        <v>74.64</v>
      </c>
      <c r="K64" s="8" t="n">
        <f aca="false">J64-H64</f>
        <v>-243.96</v>
      </c>
      <c r="L64" s="9" t="n">
        <f aca="false">IF(AND(H64=0,J64=0),0,IF(H64=0,"New",(J64-H64)/H64))</f>
        <v>-0.765725047080979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419</v>
      </c>
      <c r="B65" s="7" t="str">
        <f aca="false">IFERROR(INDEX('Source'!$C:$C,MATCH($A65,'Source'!$B:$B,0)),"")</f>
        <v>מגן בוניון עדין לנעל צרה</v>
      </c>
      <c r="C65" s="8" t="n">
        <f aca="false">SUMIFS('Source'!$D:$D,'Source'!$A:$A,"160955 ORTOPROFIL PROD. ROMANIA",'Source'!$B:$B,$A65)</f>
        <v>64</v>
      </c>
      <c r="D65" s="8" t="n">
        <f aca="false">SUMIFS('Source'!$F:$F,'Source'!$A:$A,"160955 ORTOPROFIL PROD. ROMANIA",'Source'!$B:$B,$A65)</f>
        <v>47</v>
      </c>
      <c r="E65" s="8" t="n">
        <f aca="false">D65*$J$5</f>
        <v>59.3684210526316</v>
      </c>
      <c r="F65" s="8" t="n">
        <f aca="false">E65-C65</f>
        <v>-4.63157894736843</v>
      </c>
      <c r="G65" s="9" t="n">
        <f aca="false">IF(AND(C65=0,E65=0),0,IF(C65=0,"New",(E65-C65)/C65))</f>
        <v>-0.0723684210526316</v>
      </c>
      <c r="H65" s="8" t="n">
        <f aca="false">SUMIFS('Source'!$E:$E,'Source'!$A:$A,"160955 ORTOPROFIL PROD. ROMANIA",'Source'!$B:$B,$A65)</f>
        <v>991.77</v>
      </c>
      <c r="I65" s="8" t="n">
        <f aca="false">SUMIFS('Source'!$G:$G,'Source'!$A:$A,"160955 ORTOPROFIL PROD. ROMANIA",'Source'!$B:$B,$A65)</f>
        <v>736.27</v>
      </c>
      <c r="J65" s="8" t="n">
        <f aca="false">I65*$J$5</f>
        <v>930.025263157895</v>
      </c>
      <c r="K65" s="8" t="n">
        <f aca="false">J65-H65</f>
        <v>-61.7447368421053</v>
      </c>
      <c r="L65" s="9" t="n">
        <f aca="false">IF(AND(H65=0,J65=0),0,IF(H65=0,"New",(J65-H65)/H65))</f>
        <v>-0.0622571128811169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799</v>
      </c>
      <c r="B66" s="7" t="str">
        <f aca="false">IFERROR(INDEX('Source'!$C:$C,MATCH($A66,'Source'!$B:$B,0)),"")</f>
        <v>מגן מרפק</v>
      </c>
      <c r="C66" s="8" t="n">
        <f aca="false">SUMIFS('Source'!$D:$D,'Source'!$A:$A,"160955 ORTOPROFIL PROD. ROMANIA",'Source'!$B:$B,$A66)</f>
        <v>59</v>
      </c>
      <c r="D66" s="8" t="n">
        <f aca="false">SUMIFS('Source'!$F:$F,'Source'!$A:$A,"160955 ORTOPROFIL PROD. ROMANIA",'Source'!$B:$B,$A66)</f>
        <v>37</v>
      </c>
      <c r="E66" s="8" t="n">
        <f aca="false">D66*$J$5</f>
        <v>46.7368421052632</v>
      </c>
      <c r="F66" s="8" t="n">
        <f aca="false">E66-C66</f>
        <v>-12.2631578947368</v>
      </c>
      <c r="G66" s="9" t="n">
        <f aca="false">IF(AND(C66=0,E66=0),0,IF(C66=0,"New",(E66-C66)/C66))</f>
        <v>-0.207850133809099</v>
      </c>
      <c r="H66" s="8" t="n">
        <f aca="false">SUMIFS('Source'!$E:$E,'Source'!$A:$A,"160955 ORTOPROFIL PROD. ROMANIA",'Source'!$B:$B,$A66)</f>
        <v>613.19</v>
      </c>
      <c r="I66" s="8" t="n">
        <f aca="false">SUMIFS('Source'!$G:$G,'Source'!$A:$A,"160955 ORTOPROFIL PROD. ROMANIA",'Source'!$B:$B,$A66)</f>
        <v>378.12</v>
      </c>
      <c r="J66" s="8" t="n">
        <f aca="false">I66*$J$5</f>
        <v>477.625263157895</v>
      </c>
      <c r="K66" s="8" t="n">
        <f aca="false">J66-H66</f>
        <v>-135.564736842105</v>
      </c>
      <c r="L66" s="9" t="n">
        <f aca="false">IF(AND(H66=0,J66=0),0,IF(H66=0,"New",(J66-H66)/H66))</f>
        <v>-0.221081127940941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749</v>
      </c>
      <c r="B67" s="7" t="str">
        <f aca="false">IFERROR(INDEX('Source'!$C:$C,MATCH($A67,'Source'!$B:$B,0)),"")</f>
        <v>מגן מרפק</v>
      </c>
      <c r="C67" s="8" t="n">
        <f aca="false">SUMIFS('Source'!$D:$D,'Source'!$A:$A,"160955 ORTOPROFIL PROD. ROMANIA",'Source'!$B:$B,$A67)</f>
        <v>20</v>
      </c>
      <c r="D67" s="8" t="n">
        <f aca="false">SUMIFS('Source'!$F:$F,'Source'!$A:$A,"160955 ORTOPROFIL PROD. ROMANIA",'Source'!$B:$B,$A67)</f>
        <v>0</v>
      </c>
      <c r="E67" s="8" t="n">
        <f aca="false">D67*$J$5</f>
        <v>0</v>
      </c>
      <c r="F67" s="8" t="n">
        <f aca="false">E67-C67</f>
        <v>-20</v>
      </c>
      <c r="G67" s="9" t="n">
        <f aca="false">IF(AND(C67=0,E67=0),0,IF(C67=0,"New",(E67-C67)/C67))</f>
        <v>-1</v>
      </c>
      <c r="H67" s="8" t="n">
        <f aca="false">SUMIFS('Source'!$E:$E,'Source'!$A:$A,"160955 ORTOPROFIL PROD. ROMANIA",'Source'!$B:$B,$A67)</f>
        <v>205.48</v>
      </c>
      <c r="I67" s="8" t="n">
        <f aca="false">SUMIFS('Source'!$G:$G,'Source'!$A:$A,"160955 ORTOPROFIL PROD. ROMANIA",'Source'!$B:$B,$A67)</f>
        <v>0</v>
      </c>
      <c r="J67" s="8" t="n">
        <f aca="false">I67*$J$5</f>
        <v>0</v>
      </c>
      <c r="K67" s="8" t="n">
        <f aca="false">J67-H67</f>
        <v>-205.48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575</v>
      </c>
      <c r="B68" s="7" t="str">
        <f aca="false">IFERROR(INDEX('Source'!$C:$C,MATCH($A68,'Source'!$B:$B,0)),"")</f>
        <v>מגן קרסול</v>
      </c>
      <c r="C68" s="8" t="n">
        <f aca="false">SUMIFS('Source'!$D:$D,'Source'!$A:$A,"160955 ORTOPROFIL PROD. ROMANIA",'Source'!$B:$B,$A68)</f>
        <v>10</v>
      </c>
      <c r="D68" s="8" t="n">
        <f aca="false">SUMIFS('Source'!$F:$F,'Source'!$A:$A,"160955 ORTOPROFIL PROD. ROMANIA",'Source'!$B:$B,$A68)</f>
        <v>0</v>
      </c>
      <c r="E68" s="8" t="n">
        <f aca="false">D68*$J$5</f>
        <v>0</v>
      </c>
      <c r="F68" s="8" t="n">
        <f aca="false">E68-C68</f>
        <v>-10</v>
      </c>
      <c r="G68" s="9" t="n">
        <f aca="false">IF(AND(C68=0,E68=0),0,IF(C68=0,"New",(E68-C68)/C68))</f>
        <v>-1</v>
      </c>
      <c r="H68" s="8" t="n">
        <f aca="false">SUMIFS('Source'!$E:$E,'Source'!$A:$A,"160955 ORTOPROFIL PROD. ROMANIA",'Source'!$B:$B,$A68)</f>
        <v>162.83</v>
      </c>
      <c r="I68" s="8" t="n">
        <f aca="false">SUMIFS('Source'!$G:$G,'Source'!$A:$A,"160955 ORTOPROFIL PROD. ROMANIA",'Source'!$B:$B,$A68)</f>
        <v>0</v>
      </c>
      <c r="J68" s="8" t="n">
        <f aca="false">I68*$J$5</f>
        <v>0</v>
      </c>
      <c r="K68" s="8" t="n">
        <f aca="false">J68-H68</f>
        <v>-162.83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601</v>
      </c>
      <c r="B69" s="7" t="str">
        <f aca="false">IFERROR(INDEX('Source'!$C:$C,MATCH($A69,'Source'!$B:$B,0)),"")</f>
        <v>קינזיולוגי טייפ</v>
      </c>
      <c r="C69" s="8" t="n">
        <f aca="false">SUMIFS('Source'!$D:$D,'Source'!$A:$A,"160955 ORTOPROFIL PROD. ROMANIA",'Source'!$B:$B,$A69)</f>
        <v>84</v>
      </c>
      <c r="D69" s="8" t="n">
        <f aca="false">SUMIFS('Source'!$F:$F,'Source'!$A:$A,"160955 ORTOPROFIL PROD. ROMANIA",'Source'!$B:$B,$A69)</f>
        <v>72</v>
      </c>
      <c r="E69" s="8" t="n">
        <f aca="false">D69*$J$5</f>
        <v>90.9473684210526</v>
      </c>
      <c r="F69" s="8" t="n">
        <f aca="false">E69-C69</f>
        <v>6.94736842105263</v>
      </c>
      <c r="G69" s="9" t="n">
        <f aca="false">IF(AND(C69=0,E69=0),0,IF(C69=0,"New",(E69-C69)/C69))</f>
        <v>0.0827067669172932</v>
      </c>
      <c r="H69" s="8" t="n">
        <f aca="false">SUMIFS('Source'!$E:$E,'Source'!$A:$A,"160955 ORTOPROFIL PROD. ROMANIA",'Source'!$B:$B,$A69)</f>
        <v>1050.43</v>
      </c>
      <c r="I69" s="8" t="n">
        <f aca="false">SUMIFS('Source'!$G:$G,'Source'!$A:$A,"160955 ORTOPROFIL PROD. ROMANIA",'Source'!$B:$B,$A69)</f>
        <v>896.35</v>
      </c>
      <c r="J69" s="8" t="n">
        <f aca="false">I69*$J$5</f>
        <v>1132.23157894737</v>
      </c>
      <c r="K69" s="8" t="n">
        <f aca="false">J69-H69</f>
        <v>81.8015789473684</v>
      </c>
      <c r="L69" s="9" t="n">
        <f aca="false">IF(AND(H69=0,J69=0),0,IF(H69=0,"New",(J69-H69)/H69))</f>
        <v>0.0778743742537517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286</v>
      </c>
      <c r="B70" s="7" t="str">
        <f aca="false">IFERROR(INDEX('Source'!$C:$C,MATCH($A70,'Source'!$B:$B,0)),"")</f>
        <v>שרוול לבוניון מסיליקון</v>
      </c>
      <c r="C70" s="8" t="n">
        <f aca="false">SUMIFS('Source'!$D:$D,'Source'!$A:$A,"160955 ORTOPROFIL PROD. ROMANIA",'Source'!$B:$B,$A70)</f>
        <v>8</v>
      </c>
      <c r="D70" s="8" t="n">
        <f aca="false">SUMIFS('Source'!$F:$F,'Source'!$A:$A,"160955 ORTOPROFIL PROD. ROMANIA",'Source'!$B:$B,$A70)</f>
        <v>0</v>
      </c>
      <c r="E70" s="8" t="n">
        <f aca="false">D70*$J$5</f>
        <v>0</v>
      </c>
      <c r="F70" s="8" t="n">
        <f aca="false">E70-C70</f>
        <v>-8</v>
      </c>
      <c r="G70" s="9" t="n">
        <f aca="false">IF(AND(C70=0,E70=0),0,IF(C70=0,"New",(E70-C70)/C70))</f>
        <v>-1</v>
      </c>
      <c r="H70" s="8" t="n">
        <f aca="false">SUMIFS('Source'!$E:$E,'Source'!$A:$A,"160955 ORTOPROFIL PROD. ROMANIA",'Source'!$B:$B,$A70)</f>
        <v>149.96</v>
      </c>
      <c r="I70" s="8" t="n">
        <f aca="false">SUMIFS('Source'!$G:$G,'Source'!$A:$A,"160955 ORTOPROFIL PROD. ROMANIA",'Source'!$B:$B,$A70)</f>
        <v>0</v>
      </c>
      <c r="J70" s="8" t="n">
        <f aca="false">I70*$J$5</f>
        <v>0</v>
      </c>
      <c r="K70" s="8" t="n">
        <f aca="false">J70-H70</f>
        <v>-149.96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665</v>
      </c>
      <c r="B71" s="7" t="str">
        <f aca="false">IFERROR(INDEX('Source'!$C:$C,MATCH($A71,'Source'!$B:$B,0)),"")</f>
        <v>ICE &amp; GO</v>
      </c>
      <c r="C71" s="8" t="n">
        <f aca="false">SUMIFS('Source'!$D:$D,'Source'!$A:$A,"160955 ORTOPROFIL PROD. ROMANIA",'Source'!$B:$B,$A71)</f>
        <v>40</v>
      </c>
      <c r="D71" s="8" t="n">
        <f aca="false">SUMIFS('Source'!$F:$F,'Source'!$A:$A,"160955 ORTOPROFIL PROD. ROMANIA",'Source'!$B:$B,$A71)</f>
        <v>55</v>
      </c>
      <c r="E71" s="8" t="n">
        <f aca="false">D71*$J$5</f>
        <v>69.4736842105263</v>
      </c>
      <c r="F71" s="8" t="n">
        <f aca="false">E71-C71</f>
        <v>29.4736842105263</v>
      </c>
      <c r="G71" s="9" t="n">
        <f aca="false">IF(AND(C71=0,E71=0),0,IF(C71=0,"New",(E71-C71)/C71))</f>
        <v>0.736842105263158</v>
      </c>
      <c r="H71" s="8" t="n">
        <f aca="false">SUMIFS('Source'!$E:$E,'Source'!$A:$A,"160955 ORTOPROFIL PROD. ROMANIA",'Source'!$B:$B,$A71)</f>
        <v>389.19</v>
      </c>
      <c r="I71" s="8" t="n">
        <f aca="false">SUMIFS('Source'!$G:$G,'Source'!$A:$A,"160955 ORTOPROFIL PROD. ROMANIA",'Source'!$B:$B,$A71)</f>
        <v>532.29</v>
      </c>
      <c r="J71" s="8" t="n">
        <f aca="false">I71*$J$5</f>
        <v>672.366315789474</v>
      </c>
      <c r="K71" s="8" t="n">
        <f aca="false">J71-H71</f>
        <v>283.176315789474</v>
      </c>
      <c r="L71" s="9" t="n">
        <f aca="false">IF(AND(H71=0,J71=0),0,IF(H71=0,"New",(J71-H71)/H71))</f>
        <v>0.727604295561226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801</v>
      </c>
      <c r="B72" s="7" t="str">
        <f aca="false">IFERROR(INDEX('Source'!$C:$C,MATCH($A72,'Source'!$B:$B,0)),"")</f>
        <v>מגן מרפק</v>
      </c>
      <c r="C72" s="8" t="n">
        <f aca="false">SUMIFS('Source'!$D:$D,'Source'!$A:$A,"160955 ORTOPROFIL PROD. ROMANIA",'Source'!$B:$B,$A72)</f>
        <v>40</v>
      </c>
      <c r="D72" s="8" t="n">
        <f aca="false">SUMIFS('Source'!$F:$F,'Source'!$A:$A,"160955 ORTOPROFIL PROD. ROMANIA",'Source'!$B:$B,$A72)</f>
        <v>27</v>
      </c>
      <c r="E72" s="8" t="n">
        <f aca="false">D72*$J$5</f>
        <v>34.1052631578947</v>
      </c>
      <c r="F72" s="8" t="n">
        <f aca="false">E72-C72</f>
        <v>-5.89473684210527</v>
      </c>
      <c r="G72" s="9" t="n">
        <f aca="false">IF(AND(C72=0,E72=0),0,IF(C72=0,"New",(E72-C72)/C72))</f>
        <v>-0.147368421052632</v>
      </c>
      <c r="H72" s="8" t="n">
        <f aca="false">SUMIFS('Source'!$E:$E,'Source'!$A:$A,"160955 ORTOPROFIL PROD. ROMANIA",'Source'!$B:$B,$A72)</f>
        <v>417.89</v>
      </c>
      <c r="I72" s="8" t="n">
        <f aca="false">SUMIFS('Source'!$G:$G,'Source'!$A:$A,"160955 ORTOPROFIL PROD. ROMANIA",'Source'!$B:$B,$A72)</f>
        <v>279.78</v>
      </c>
      <c r="J72" s="8" t="n">
        <f aca="false">I72*$J$5</f>
        <v>353.406315789474</v>
      </c>
      <c r="K72" s="8" t="n">
        <f aca="false">J72-H72</f>
        <v>-64.4836842105263</v>
      </c>
      <c r="L72" s="9" t="n">
        <f aca="false">IF(AND(H72=0,J72=0),0,IF(H72=0,"New",(J72-H72)/H72))</f>
        <v>-0.154307794420844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696</v>
      </c>
      <c r="B73" s="7" t="str">
        <f aca="false">IFERROR(INDEX('Source'!$C:$C,MATCH($A73,'Source'!$B:$B,0)),"")</f>
        <v>אצבעון מפלסטיק  ליד</v>
      </c>
      <c r="C73" s="8" t="n">
        <f aca="false">SUMIFS('Source'!$D:$D,'Source'!$A:$A,"160955 ORTOPROFIL PROD. ROMANIA",'Source'!$B:$B,$A73)</f>
        <v>277</v>
      </c>
      <c r="D73" s="8" t="n">
        <f aca="false">SUMIFS('Source'!$F:$F,'Source'!$A:$A,"160955 ORTOPROFIL PROD. ROMANIA",'Source'!$B:$B,$A73)</f>
        <v>260</v>
      </c>
      <c r="E73" s="8" t="n">
        <f aca="false">D73*$J$5</f>
        <v>328.421052631579</v>
      </c>
      <c r="F73" s="8" t="n">
        <f aca="false">E73-C73</f>
        <v>51.4210526315789</v>
      </c>
      <c r="G73" s="9" t="n">
        <f aca="false">IF(AND(C73=0,E73=0),0,IF(C73=0,"New",(E73-C73)/C73))</f>
        <v>0.185635569067072</v>
      </c>
      <c r="H73" s="8" t="n">
        <f aca="false">SUMIFS('Source'!$E:$E,'Source'!$A:$A,"160955 ORTOPROFIL PROD. ROMANIA",'Source'!$B:$B,$A73)</f>
        <v>2322.18</v>
      </c>
      <c r="I73" s="8" t="n">
        <f aca="false">SUMIFS('Source'!$G:$G,'Source'!$A:$A,"160955 ORTOPROFIL PROD. ROMANIA",'Source'!$B:$B,$A73)</f>
        <v>2193.63</v>
      </c>
      <c r="J73" s="8" t="n">
        <f aca="false">I73*$J$5</f>
        <v>2770.90105263158</v>
      </c>
      <c r="K73" s="8" t="n">
        <f aca="false">J73-H73</f>
        <v>448.721052631579</v>
      </c>
      <c r="L73" s="9" t="n">
        <f aca="false">IF(AND(H73=0,J73=0),0,IF(H73=0,"New",(J73-H73)/H73))</f>
        <v>0.193232674741656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683</v>
      </c>
      <c r="B74" s="7" t="str">
        <f aca="false">IFERROR(INDEX('Source'!$C:$C,MATCH($A74,'Source'!$B:$B,0)),"")</f>
        <v>סד לאצבע הדק</v>
      </c>
      <c r="C74" s="8" t="n">
        <f aca="false">SUMIFS('Source'!$D:$D,'Source'!$A:$A,"160955 ORTOPROFIL PROD. ROMANIA",'Source'!$B:$B,$A74)</f>
        <v>111</v>
      </c>
      <c r="D74" s="8" t="n">
        <f aca="false">SUMIFS('Source'!$F:$F,'Source'!$A:$A,"160955 ORTOPROFIL PROD. ROMANIA",'Source'!$B:$B,$A74)</f>
        <v>120</v>
      </c>
      <c r="E74" s="8" t="n">
        <f aca="false">D74*$J$5</f>
        <v>151.578947368421</v>
      </c>
      <c r="F74" s="8" t="n">
        <f aca="false">E74-C74</f>
        <v>40.578947368421</v>
      </c>
      <c r="G74" s="9" t="n">
        <f aca="false">IF(AND(C74=0,E74=0),0,IF(C74=0,"New",(E74-C74)/C74))</f>
        <v>0.365576102418208</v>
      </c>
      <c r="H74" s="8" t="n">
        <f aca="false">SUMIFS('Source'!$E:$E,'Source'!$A:$A,"160955 ORTOPROFIL PROD. ROMANIA",'Source'!$B:$B,$A74)</f>
        <v>1511.29</v>
      </c>
      <c r="I74" s="8" t="n">
        <f aca="false">SUMIFS('Source'!$G:$G,'Source'!$A:$A,"160955 ORTOPROFIL PROD. ROMANIA",'Source'!$B:$B,$A74)</f>
        <v>1638.91</v>
      </c>
      <c r="J74" s="8" t="n">
        <f aca="false">I74*$J$5</f>
        <v>2070.20210526316</v>
      </c>
      <c r="K74" s="8" t="n">
        <f aca="false">J74-H74</f>
        <v>558.912105263158</v>
      </c>
      <c r="L74" s="9" t="n">
        <f aca="false">IF(AND(H74=0,J74=0),0,IF(H74=0,"New",(J74-H74)/H74))</f>
        <v>0.369824524256203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225</v>
      </c>
      <c r="B75" s="7" t="str">
        <f aca="false">IFERROR(INDEX('Source'!$C:$C,MATCH($A75,'Source'!$B:$B,0)),"")</f>
        <v>שרוול מסיליקון ל</v>
      </c>
      <c r="C75" s="8" t="n">
        <f aca="false">SUMIFS('Source'!$D:$D,'Source'!$A:$A,"160955 ORTOPROFIL PROD. ROMANIA",'Source'!$B:$B,$A75)</f>
        <v>180</v>
      </c>
      <c r="D75" s="8" t="n">
        <f aca="false">SUMIFS('Source'!$F:$F,'Source'!$A:$A,"160955 ORTOPROFIL PROD. ROMANIA",'Source'!$B:$B,$A75)</f>
        <v>168</v>
      </c>
      <c r="E75" s="8" t="n">
        <f aca="false">D75*$J$5</f>
        <v>212.210526315789</v>
      </c>
      <c r="F75" s="8" t="n">
        <f aca="false">E75-C75</f>
        <v>32.2105263157895</v>
      </c>
      <c r="G75" s="9" t="n">
        <f aca="false">IF(AND(C75=0,E75=0),0,IF(C75=0,"New",(E75-C75)/C75))</f>
        <v>0.178947368421053</v>
      </c>
      <c r="H75" s="8" t="n">
        <f aca="false">SUMIFS('Source'!$E:$E,'Source'!$A:$A,"160955 ORTOPROFIL PROD. ROMANIA",'Source'!$B:$B,$A75)</f>
        <v>1530.52</v>
      </c>
      <c r="I75" s="8" t="n">
        <f aca="false">SUMIFS('Source'!$G:$G,'Source'!$A:$A,"160955 ORTOPROFIL PROD. ROMANIA",'Source'!$B:$B,$A75)</f>
        <v>1416.58</v>
      </c>
      <c r="J75" s="8" t="n">
        <f aca="false">I75*$J$5</f>
        <v>1789.36421052632</v>
      </c>
      <c r="K75" s="8" t="n">
        <f aca="false">J75-H75</f>
        <v>258.844210526316</v>
      </c>
      <c r="L75" s="9" t="n">
        <f aca="false">IF(AND(H75=0,J75=0),0,IF(H75=0,"New",(J75-H75)/H75))</f>
        <v>0.169121743280921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448</v>
      </c>
      <c r="B76" s="7" t="str">
        <f aca="false">IFERROR(INDEX('Source'!$C:$C,MATCH($A76,'Source'!$B:$B,0)),"")</f>
        <v>URIEL STRAP4U BLACK L-XL</v>
      </c>
      <c r="C76" s="8" t="n">
        <f aca="false">SUMIFS('Source'!$D:$D,'Source'!$A:$A,"160955 ORTOPROFIL PROD. ROMANIA",'Source'!$B:$B,$A76)</f>
        <v>0</v>
      </c>
      <c r="D76" s="8" t="n">
        <f aca="false">SUMIFS('Source'!$F:$F,'Source'!$A:$A,"160955 ORTOPROFIL PROD. ROMANIA",'Source'!$B:$B,$A76)</f>
        <v>2</v>
      </c>
      <c r="E76" s="8" t="n">
        <f aca="false">D76*$J$5</f>
        <v>2.52631578947368</v>
      </c>
      <c r="F76" s="8" t="n">
        <f aca="false">E76-C76</f>
        <v>2.52631578947368</v>
      </c>
      <c r="G76" s="9" t="str">
        <f aca="false">IF(AND(C76=0,E76=0),0,IF(C76=0,"New",(E76-C76)/C76))</f>
        <v>New</v>
      </c>
      <c r="H76" s="8" t="n">
        <f aca="false">SUMIFS('Source'!$E:$E,'Source'!$A:$A,"160955 ORTOPROFIL PROD. ROMANIA",'Source'!$B:$B,$A76)</f>
        <v>0</v>
      </c>
      <c r="I76" s="8" t="n">
        <f aca="false">SUMIFS('Source'!$G:$G,'Source'!$A:$A,"160955 ORTOPROFIL PROD. ROMANIA",'Source'!$B:$B,$A76)</f>
        <v>104.57</v>
      </c>
      <c r="J76" s="8" t="n">
        <f aca="false">I76*$J$5</f>
        <v>132.088421052632</v>
      </c>
      <c r="K76" s="8" t="n">
        <f aca="false">J76-H76</f>
        <v>132.088421052632</v>
      </c>
      <c r="L76" s="9" t="str">
        <f aca="false">IF(AND(H76=0,J76=0),0,IF(H76=0,"New",(J76-H76)/H76))</f>
        <v>New</v>
      </c>
      <c r="M76" s="7" t="str">
        <f aca="false">IF(AND(OR(C76&lt;&gt;0,H76&lt;&gt;0),D76=0,I76=0),"DROP",IF(AND(OR(D76&lt;&gt;0,I76&lt;&gt;0),C76=0,H76=0),"NEW",""))</f>
        <v>NEW</v>
      </c>
    </row>
    <row r="77" customFormat="false" ht="15" hidden="false" customHeight="false" outlineLevel="0" collapsed="false">
      <c r="A77" s="7" t="s">
        <v>572</v>
      </c>
      <c r="B77" s="7" t="str">
        <f aca="false">IFERROR(INDEX('Source'!$C:$C,MATCH($A77,'Source'!$B:$B,0)),"")</f>
        <v>מגן ברך רגיל</v>
      </c>
      <c r="C77" s="8" t="n">
        <f aca="false">SUMIFS('Source'!$D:$D,'Source'!$A:$A,"160955 ORTOPROFIL PROD. ROMANIA",'Source'!$B:$B,$A77)</f>
        <v>26</v>
      </c>
      <c r="D77" s="8" t="n">
        <f aca="false">SUMIFS('Source'!$F:$F,'Source'!$A:$A,"160955 ORTOPROFIL PROD. ROMANIA",'Source'!$B:$B,$A77)</f>
        <v>36</v>
      </c>
      <c r="E77" s="8" t="n">
        <f aca="false">D77*$J$5</f>
        <v>45.4736842105263</v>
      </c>
      <c r="F77" s="8" t="n">
        <f aca="false">E77-C77</f>
        <v>19.4736842105263</v>
      </c>
      <c r="G77" s="9" t="n">
        <f aca="false">IF(AND(C77=0,E77=0),0,IF(C77=0,"New",(E77-C77)/C77))</f>
        <v>0.748987854251012</v>
      </c>
      <c r="H77" s="8" t="n">
        <f aca="false">SUMIFS('Source'!$E:$E,'Source'!$A:$A,"160955 ORTOPROFIL PROD. ROMANIA",'Source'!$B:$B,$A77)</f>
        <v>269.78</v>
      </c>
      <c r="I77" s="8" t="n">
        <f aca="false">SUMIFS('Source'!$G:$G,'Source'!$A:$A,"160955 ORTOPROFIL PROD. ROMANIA",'Source'!$B:$B,$A77)</f>
        <v>370.51</v>
      </c>
      <c r="J77" s="8" t="n">
        <f aca="false">I77*$J$5</f>
        <v>468.012631578947</v>
      </c>
      <c r="K77" s="8" t="n">
        <f aca="false">J77-H77</f>
        <v>198.232631578947</v>
      </c>
      <c r="L77" s="9" t="n">
        <f aca="false">IF(AND(H77=0,J77=0),0,IF(H77=0,"New",(J77-H77)/H77))</f>
        <v>0.734793652527791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515</v>
      </c>
      <c r="B78" s="7" t="str">
        <f aca="false">IFERROR(INDEX('Source'!$C:$C,MATCH($A78,'Source'!$B:$B,0)),"")</f>
        <v>טבעת אלסטית מסיליקון</v>
      </c>
      <c r="C78" s="8" t="n">
        <f aca="false">SUMIFS('Source'!$D:$D,'Source'!$A:$A,"160955 ORTOPROFIL PROD. ROMANIA",'Source'!$B:$B,$A78)</f>
        <v>19</v>
      </c>
      <c r="D78" s="8" t="n">
        <f aca="false">SUMIFS('Source'!$F:$F,'Source'!$A:$A,"160955 ORTOPROFIL PROD. ROMANIA",'Source'!$B:$B,$A78)</f>
        <v>0</v>
      </c>
      <c r="E78" s="8" t="n">
        <f aca="false">D78*$J$5</f>
        <v>0</v>
      </c>
      <c r="F78" s="8" t="n">
        <f aca="false">E78-C78</f>
        <v>-19</v>
      </c>
      <c r="G78" s="9" t="n">
        <f aca="false">IF(AND(C78=0,E78=0),0,IF(C78=0,"New",(E78-C78)/C78))</f>
        <v>-1</v>
      </c>
      <c r="H78" s="8" t="n">
        <f aca="false">SUMIFS('Source'!$E:$E,'Source'!$A:$A,"160955 ORTOPROFIL PROD. ROMANIA",'Source'!$B:$B,$A78)</f>
        <v>99.8</v>
      </c>
      <c r="I78" s="8" t="n">
        <f aca="false">SUMIFS('Source'!$G:$G,'Source'!$A:$A,"160955 ORTOPROFIL PROD. ROMANIA",'Source'!$B:$B,$A78)</f>
        <v>0</v>
      </c>
      <c r="J78" s="8" t="n">
        <f aca="false">I78*$J$5</f>
        <v>0</v>
      </c>
      <c r="K78" s="8" t="n">
        <f aca="false">J78-H78</f>
        <v>-99.8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727</v>
      </c>
      <c r="B79" s="7" t="str">
        <f aca="false">IFERROR(INDEX('Source'!$C:$C,MATCH($A79,'Source'!$B:$B,0)),"")</f>
        <v>מגן מרפק</v>
      </c>
      <c r="C79" s="8" t="n">
        <f aca="false">SUMIFS('Source'!$D:$D,'Source'!$A:$A,"160955 ORTOPROFIL PROD. ROMANIA",'Source'!$B:$B,$A79)</f>
        <v>12</v>
      </c>
      <c r="D79" s="8" t="n">
        <f aca="false">SUMIFS('Source'!$F:$F,'Source'!$A:$A,"160955 ORTOPROFIL PROD. ROMANIA",'Source'!$B:$B,$A79)</f>
        <v>4</v>
      </c>
      <c r="E79" s="8" t="n">
        <f aca="false">D79*$J$5</f>
        <v>5.05263157894737</v>
      </c>
      <c r="F79" s="8" t="n">
        <f aca="false">E79-C79</f>
        <v>-6.94736842105263</v>
      </c>
      <c r="G79" s="9" t="n">
        <f aca="false">IF(AND(C79=0,E79=0),0,IF(C79=0,"New",(E79-C79)/C79))</f>
        <v>-0.578947368421053</v>
      </c>
      <c r="H79" s="8" t="n">
        <f aca="false">SUMIFS('Source'!$E:$E,'Source'!$A:$A,"160955 ORTOPROFIL PROD. ROMANIA",'Source'!$B:$B,$A79)</f>
        <v>123.47</v>
      </c>
      <c r="I79" s="8" t="n">
        <f aca="false">SUMIFS('Source'!$G:$G,'Source'!$A:$A,"160955 ORTOPROFIL PROD. ROMANIA",'Source'!$B:$B,$A79)</f>
        <v>41.9</v>
      </c>
      <c r="J79" s="8" t="n">
        <f aca="false">I79*$J$5</f>
        <v>52.9263157894737</v>
      </c>
      <c r="K79" s="8" t="n">
        <f aca="false">J79-H79</f>
        <v>-70.5436842105263</v>
      </c>
      <c r="L79" s="9" t="n">
        <f aca="false">IF(AND(H79=0,J79=0),0,IF(H79=0,"New",(J79-H79)/H79))</f>
        <v>-0.571342708435461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717</v>
      </c>
      <c r="B80" s="7" t="str">
        <f aca="false">IFERROR(INDEX('Source'!$C:$C,MATCH($A80,'Source'!$B:$B,0)),"")</f>
        <v>מגן ברך רגיל</v>
      </c>
      <c r="C80" s="8" t="n">
        <f aca="false">SUMIFS('Source'!$D:$D,'Source'!$A:$A,"160955 ORTOPROFIL PROD. ROMANIA",'Source'!$B:$B,$A80)</f>
        <v>0</v>
      </c>
      <c r="D80" s="8" t="n">
        <f aca="false">SUMIFS('Source'!$F:$F,'Source'!$A:$A,"160955 ORTOPROFIL PROD. ROMANIA",'Source'!$B:$B,$A80)</f>
        <v>6</v>
      </c>
      <c r="E80" s="8" t="n">
        <f aca="false">D80*$J$5</f>
        <v>7.57894736842105</v>
      </c>
      <c r="F80" s="8" t="n">
        <f aca="false">E80-C80</f>
        <v>7.57894736842105</v>
      </c>
      <c r="G80" s="9" t="str">
        <f aca="false">IF(AND(C80=0,E80=0),0,IF(C80=0,"New",(E80-C80)/C80))</f>
        <v>New</v>
      </c>
      <c r="H80" s="8" t="n">
        <f aca="false">SUMIFS('Source'!$E:$E,'Source'!$A:$A,"160955 ORTOPROFIL PROD. ROMANIA",'Source'!$B:$B,$A80)</f>
        <v>0</v>
      </c>
      <c r="I80" s="8" t="n">
        <f aca="false">SUMIFS('Source'!$G:$G,'Source'!$A:$A,"160955 ORTOPROFIL PROD. ROMANIA",'Source'!$B:$B,$A80)</f>
        <v>62.44</v>
      </c>
      <c r="J80" s="8" t="n">
        <f aca="false">I80*$J$5</f>
        <v>78.8715789473684</v>
      </c>
      <c r="K80" s="8" t="n">
        <f aca="false">J80-H80</f>
        <v>78.8715789473684</v>
      </c>
      <c r="L80" s="9" t="str">
        <f aca="false">IF(AND(H80=0,J80=0),0,IF(H80=0,"New",(J80-H80)/H80))</f>
        <v>New</v>
      </c>
      <c r="M80" s="7" t="str">
        <f aca="false">IF(AND(OR(C80&lt;&gt;0,H80&lt;&gt;0),D80=0,I80=0),"DROP",IF(AND(OR(D80&lt;&gt;0,I80&lt;&gt;0),C80=0,H80=0),"NEW",""))</f>
        <v>NEW</v>
      </c>
    </row>
    <row r="81" customFormat="false" ht="15" hidden="false" customHeight="false" outlineLevel="0" collapsed="false">
      <c r="A81" s="7" t="s">
        <v>217</v>
      </c>
      <c r="B81" s="7" t="str">
        <f aca="false">IFERROR(INDEX('Source'!$C:$C,MATCH($A81,'Source'!$B:$B,0)),"")</f>
        <v>מגן זרת מסיליקון</v>
      </c>
      <c r="C81" s="8" t="n">
        <f aca="false">SUMIFS('Source'!$D:$D,'Source'!$A:$A,"160955 ORTOPROFIL PROD. ROMANIA",'Source'!$B:$B,$A81)</f>
        <v>4</v>
      </c>
      <c r="D81" s="8" t="n">
        <f aca="false">SUMIFS('Source'!$F:$F,'Source'!$A:$A,"160955 ORTOPROFIL PROD. ROMANIA",'Source'!$B:$B,$A81)</f>
        <v>0</v>
      </c>
      <c r="E81" s="8" t="n">
        <f aca="false">D81*$J$5</f>
        <v>0</v>
      </c>
      <c r="F81" s="8" t="n">
        <f aca="false">E81-C81</f>
        <v>-4</v>
      </c>
      <c r="G81" s="9" t="n">
        <f aca="false">IF(AND(C81=0,E81=0),0,IF(C81=0,"New",(E81-C81)/C81))</f>
        <v>-1</v>
      </c>
      <c r="H81" s="8" t="n">
        <f aca="false">SUMIFS('Source'!$E:$E,'Source'!$A:$A,"160955 ORTOPROFIL PROD. ROMANIA",'Source'!$B:$B,$A81)</f>
        <v>55.9</v>
      </c>
      <c r="I81" s="8" t="n">
        <f aca="false">SUMIFS('Source'!$G:$G,'Source'!$A:$A,"160955 ORTOPROFIL PROD. ROMANIA",'Source'!$B:$B,$A81)</f>
        <v>0</v>
      </c>
      <c r="J81" s="8" t="n">
        <f aca="false">I81*$J$5</f>
        <v>0</v>
      </c>
      <c r="K81" s="8" t="n">
        <f aca="false">J81-H81</f>
        <v>-55.9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327</v>
      </c>
      <c r="B82" s="7" t="str">
        <f aca="false">IFERROR(INDEX('Source'!$C:$C,MATCH($A82,'Source'!$B:$B,0)),"")</f>
        <v>חגורת גב+סגירה כפולה</v>
      </c>
      <c r="C82" s="8" t="n">
        <f aca="false">SUMIFS('Source'!$D:$D,'Source'!$A:$A,"160955 ORTOPROFIL PROD. ROMANIA",'Source'!$B:$B,$A82)</f>
        <v>1</v>
      </c>
      <c r="D82" s="8" t="n">
        <f aca="false">SUMIFS('Source'!$F:$F,'Source'!$A:$A,"160955 ORTOPROFIL PROD. ROMANIA",'Source'!$B:$B,$A82)</f>
        <v>0</v>
      </c>
      <c r="E82" s="8" t="n">
        <f aca="false">D82*$J$5</f>
        <v>0</v>
      </c>
      <c r="F82" s="8" t="n">
        <f aca="false">E82-C82</f>
        <v>-1</v>
      </c>
      <c r="G82" s="9" t="n">
        <f aca="false">IF(AND(C82=0,E82=0),0,IF(C82=0,"New",(E82-C82)/C82))</f>
        <v>-1</v>
      </c>
      <c r="H82" s="8" t="n">
        <f aca="false">SUMIFS('Source'!$E:$E,'Source'!$A:$A,"160955 ORTOPROFIL PROD. ROMANIA",'Source'!$B:$B,$A82)</f>
        <v>53.62</v>
      </c>
      <c r="I82" s="8" t="n">
        <f aca="false">SUMIFS('Source'!$G:$G,'Source'!$A:$A,"160955 ORTOPROFIL PROD. ROMANIA",'Source'!$B:$B,$A82)</f>
        <v>0</v>
      </c>
      <c r="J82" s="8" t="n">
        <f aca="false">I82*$J$5</f>
        <v>0</v>
      </c>
      <c r="K82" s="8" t="n">
        <f aca="false">J82-H82</f>
        <v>-53.62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775</v>
      </c>
      <c r="B83" s="7" t="str">
        <f aca="false">IFERROR(INDEX('Source'!$C:$C,MATCH($A83,'Source'!$B:$B,0)),"")</f>
        <v>מגן מרפק</v>
      </c>
      <c r="C83" s="8" t="n">
        <f aca="false">SUMIFS('Source'!$D:$D,'Source'!$A:$A,"160955 ORTOPROFIL PROD. ROMANIA",'Source'!$B:$B,$A83)</f>
        <v>22</v>
      </c>
      <c r="D83" s="8" t="n">
        <f aca="false">SUMIFS('Source'!$F:$F,'Source'!$A:$A,"160955 ORTOPROFIL PROD. ROMANIA",'Source'!$B:$B,$A83)</f>
        <v>17</v>
      </c>
      <c r="E83" s="8" t="n">
        <f aca="false">D83*$J$5</f>
        <v>21.4736842105263</v>
      </c>
      <c r="F83" s="8" t="n">
        <f aca="false">E83-C83</f>
        <v>-0.526315789473685</v>
      </c>
      <c r="G83" s="9" t="n">
        <f aca="false">IF(AND(C83=0,E83=0),0,IF(C83=0,"New",(E83-C83)/C83))</f>
        <v>-0.0239234449760766</v>
      </c>
      <c r="H83" s="8" t="n">
        <f aca="false">SUMIFS('Source'!$E:$E,'Source'!$A:$A,"160955 ORTOPROFIL PROD. ROMANIA",'Source'!$B:$B,$A83)</f>
        <v>226.6</v>
      </c>
      <c r="I83" s="8" t="n">
        <f aca="false">SUMIFS('Source'!$G:$G,'Source'!$A:$A,"160955 ORTOPROFIL PROD. ROMANIA",'Source'!$B:$B,$A83)</f>
        <v>173.34</v>
      </c>
      <c r="J83" s="8" t="n">
        <f aca="false">I83*$J$5</f>
        <v>218.955789473684</v>
      </c>
      <c r="K83" s="8" t="n">
        <f aca="false">J83-H83</f>
        <v>-7.64421052631579</v>
      </c>
      <c r="L83" s="9" t="n">
        <f aca="false">IF(AND(H83=0,J83=0),0,IF(H83=0,"New",(J83-H83)/H83))</f>
        <v>-0.0337343800808287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740</v>
      </c>
      <c r="B84" s="7" t="str">
        <f aca="false">IFERROR(INDEX('Source'!$C:$C,MATCH($A84,'Source'!$B:$B,0)),"")</f>
        <v>מדבקה לשחרור לחץ</v>
      </c>
      <c r="C84" s="8" t="n">
        <f aca="false">SUMIFS('Source'!$D:$D,'Source'!$A:$A,"160955 ORTOPROFIL PROD. ROMANIA",'Source'!$B:$B,$A84)</f>
        <v>11</v>
      </c>
      <c r="D84" s="8" t="n">
        <f aca="false">SUMIFS('Source'!$F:$F,'Source'!$A:$A,"160955 ORTOPROFIL PROD. ROMANIA",'Source'!$B:$B,$A84)</f>
        <v>17</v>
      </c>
      <c r="E84" s="8" t="n">
        <f aca="false">D84*$J$5</f>
        <v>21.4736842105263</v>
      </c>
      <c r="F84" s="8" t="n">
        <f aca="false">E84-C84</f>
        <v>10.4736842105263</v>
      </c>
      <c r="G84" s="9" t="n">
        <f aca="false">IF(AND(C84=0,E84=0),0,IF(C84=0,"New",(E84-C84)/C84))</f>
        <v>0.952153110047847</v>
      </c>
      <c r="H84" s="8" t="n">
        <f aca="false">SUMIFS('Source'!$E:$E,'Source'!$A:$A,"160955 ORTOPROFIL PROD. ROMANIA",'Source'!$B:$B,$A84)</f>
        <v>107.18</v>
      </c>
      <c r="I84" s="8" t="n">
        <f aca="false">SUMIFS('Source'!$G:$G,'Source'!$A:$A,"160955 ORTOPROFIL PROD. ROMANIA",'Source'!$B:$B,$A84)</f>
        <v>160.42</v>
      </c>
      <c r="J84" s="8" t="n">
        <f aca="false">I84*$J$5</f>
        <v>202.635789473684</v>
      </c>
      <c r="K84" s="8" t="n">
        <f aca="false">J84-H84</f>
        <v>95.4557894736842</v>
      </c>
      <c r="L84" s="9" t="n">
        <f aca="false">IF(AND(H84=0,J84=0),0,IF(H84=0,"New",(J84-H84)/H84))</f>
        <v>0.89061195627621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700</v>
      </c>
      <c r="B85" s="7" t="str">
        <f aca="false">IFERROR(INDEX('Source'!$C:$C,MATCH($A85,'Source'!$B:$B,0)),"")</f>
        <v>אצבעון מפלסטיק  ליד</v>
      </c>
      <c r="C85" s="8" t="n">
        <f aca="false">SUMIFS('Source'!$D:$D,'Source'!$A:$A,"160955 ORTOPROFIL PROD. ROMANIA",'Source'!$B:$B,$A85)</f>
        <v>200</v>
      </c>
      <c r="D85" s="8" t="n">
        <f aca="false">SUMIFS('Source'!$F:$F,'Source'!$A:$A,"160955 ORTOPROFIL PROD. ROMANIA",'Source'!$B:$B,$A85)</f>
        <v>205</v>
      </c>
      <c r="E85" s="8" t="n">
        <f aca="false">D85*$J$5</f>
        <v>258.947368421053</v>
      </c>
      <c r="F85" s="8" t="n">
        <f aca="false">E85-C85</f>
        <v>58.9473684210526</v>
      </c>
      <c r="G85" s="9" t="n">
        <f aca="false">IF(AND(C85=0,E85=0),0,IF(C85=0,"New",(E85-C85)/C85))</f>
        <v>0.294736842105263</v>
      </c>
      <c r="H85" s="8" t="n">
        <f aca="false">SUMIFS('Source'!$E:$E,'Source'!$A:$A,"160955 ORTOPROFIL PROD. ROMANIA",'Source'!$B:$B,$A85)</f>
        <v>1676.51</v>
      </c>
      <c r="I85" s="8" t="n">
        <f aca="false">SUMIFS('Source'!$G:$G,'Source'!$A:$A,"160955 ORTOPROFIL PROD. ROMANIA",'Source'!$B:$B,$A85)</f>
        <v>1720.27</v>
      </c>
      <c r="J85" s="8" t="n">
        <f aca="false">I85*$J$5</f>
        <v>2172.97263157895</v>
      </c>
      <c r="K85" s="8" t="n">
        <f aca="false">J85-H85</f>
        <v>496.462631578947</v>
      </c>
      <c r="L85" s="9" t="n">
        <f aca="false">IF(AND(H85=0,J85=0),0,IF(H85=0,"New",(J85-H85)/H85))</f>
        <v>0.296128643180743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516</v>
      </c>
      <c r="B86" s="7" t="str">
        <f aca="false">IFERROR(INDEX('Source'!$C:$C,MATCH($A86,'Source'!$B:$B,0)),"")</f>
        <v>טבעת אלסטית מסי</v>
      </c>
      <c r="C86" s="8" t="n">
        <f aca="false">SUMIFS('Source'!$D:$D,'Source'!$A:$A,"160955 ORTOPROFIL PROD. ROMANIA",'Source'!$B:$B,$A86)</f>
        <v>4</v>
      </c>
      <c r="D86" s="8" t="n">
        <f aca="false">SUMIFS('Source'!$F:$F,'Source'!$A:$A,"160955 ORTOPROFIL PROD. ROMANIA",'Source'!$B:$B,$A86)</f>
        <v>0</v>
      </c>
      <c r="E86" s="8" t="n">
        <f aca="false">D86*$J$5</f>
        <v>0</v>
      </c>
      <c r="F86" s="8" t="n">
        <f aca="false">E86-C86</f>
        <v>-4</v>
      </c>
      <c r="G86" s="9" t="n">
        <f aca="false">IF(AND(C86=0,E86=0),0,IF(C86=0,"New",(E86-C86)/C86))</f>
        <v>-1</v>
      </c>
      <c r="H86" s="8" t="n">
        <f aca="false">SUMIFS('Source'!$E:$E,'Source'!$A:$A,"160955 ORTOPROFIL PROD. ROMANIA",'Source'!$B:$B,$A86)</f>
        <v>26.48</v>
      </c>
      <c r="I86" s="8" t="n">
        <f aca="false">SUMIFS('Source'!$G:$G,'Source'!$A:$A,"160955 ORTOPROFIL PROD. ROMANIA",'Source'!$B:$B,$A86)</f>
        <v>0</v>
      </c>
      <c r="J86" s="8" t="n">
        <f aca="false">I86*$J$5</f>
        <v>0</v>
      </c>
      <c r="K86" s="8" t="n">
        <f aca="false">J86-H86</f>
        <v>-26.48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502</v>
      </c>
      <c r="B87" s="7" t="str">
        <f aca="false">IFERROR(INDEX('Source'!$C:$C,MATCH($A87,'Source'!$B:$B,0)),"")</f>
        <v>מיישר בוהן</v>
      </c>
      <c r="C87" s="8" t="n">
        <f aca="false">SUMIFS('Source'!$D:$D,'Source'!$A:$A,"160955 ORTOPROFIL PROD. ROMANIA",'Source'!$B:$B,$A87)</f>
        <v>4</v>
      </c>
      <c r="D87" s="8" t="n">
        <f aca="false">SUMIFS('Source'!$F:$F,'Source'!$A:$A,"160955 ORTOPROFIL PROD. ROMANIA",'Source'!$B:$B,$A87)</f>
        <v>0</v>
      </c>
      <c r="E87" s="8" t="n">
        <f aca="false">D87*$J$5</f>
        <v>0</v>
      </c>
      <c r="F87" s="8" t="n">
        <f aca="false">E87-C87</f>
        <v>-4</v>
      </c>
      <c r="G87" s="9" t="n">
        <f aca="false">IF(AND(C87=0,E87=0),0,IF(C87=0,"New",(E87-C87)/C87))</f>
        <v>-1</v>
      </c>
      <c r="H87" s="8" t="n">
        <f aca="false">SUMIFS('Source'!$E:$E,'Source'!$A:$A,"160955 ORTOPROFIL PROD. ROMANIA",'Source'!$B:$B,$A87)</f>
        <v>26.48</v>
      </c>
      <c r="I87" s="8" t="n">
        <f aca="false">SUMIFS('Source'!$G:$G,'Source'!$A:$A,"160955 ORTOPROFIL PROD. ROMANIA",'Source'!$B:$B,$A87)</f>
        <v>0</v>
      </c>
      <c r="J87" s="8" t="n">
        <f aca="false">I87*$J$5</f>
        <v>0</v>
      </c>
      <c r="K87" s="8" t="n">
        <f aca="false">J87-H87</f>
        <v>-26.48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504</v>
      </c>
      <c r="B88" s="7" t="str">
        <f aca="false">IFERROR(INDEX('Source'!$C:$C,MATCH($A88,'Source'!$B:$B,0)),"")</f>
        <v>מדבקה רב פעמית ל</v>
      </c>
      <c r="C88" s="8" t="n">
        <f aca="false">SUMIFS('Source'!$D:$D,'Source'!$A:$A,"160955 ORTOPROFIL PROD. ROMANIA",'Source'!$B:$B,$A88)</f>
        <v>9</v>
      </c>
      <c r="D88" s="8" t="n">
        <f aca="false">SUMIFS('Source'!$F:$F,'Source'!$A:$A,"160955 ORTOPROFIL PROD. ROMANIA",'Source'!$B:$B,$A88)</f>
        <v>12</v>
      </c>
      <c r="E88" s="8" t="n">
        <f aca="false">D88*$J$5</f>
        <v>15.1578947368421</v>
      </c>
      <c r="F88" s="8" t="n">
        <f aca="false">E88-C88</f>
        <v>6.1578947368421</v>
      </c>
      <c r="G88" s="9" t="n">
        <f aca="false">IF(AND(C88=0,E88=0),0,IF(C88=0,"New",(E88-C88)/C88))</f>
        <v>0.684210526315789</v>
      </c>
      <c r="H88" s="8" t="n">
        <f aca="false">SUMIFS('Source'!$E:$E,'Source'!$A:$A,"160955 ORTOPROFIL PROD. ROMANIA",'Source'!$B:$B,$A88)</f>
        <v>65.79</v>
      </c>
      <c r="I88" s="8" t="n">
        <f aca="false">SUMIFS('Source'!$G:$G,'Source'!$A:$A,"160955 ORTOPROFIL PROD. ROMANIA",'Source'!$B:$B,$A88)</f>
        <v>90.98</v>
      </c>
      <c r="J88" s="8" t="n">
        <f aca="false">I88*$J$5</f>
        <v>114.922105263158</v>
      </c>
      <c r="K88" s="8" t="n">
        <f aca="false">J88-H88</f>
        <v>49.1321052631579</v>
      </c>
      <c r="L88" s="9" t="n">
        <f aca="false">IF(AND(H88=0,J88=0),0,IF(H88=0,"New",(J88-H88)/H88))</f>
        <v>0.746802025583796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567</v>
      </c>
      <c r="B89" s="7" t="str">
        <f aca="false">IFERROR(INDEX('Source'!$C:$C,MATCH($A89,'Source'!$B:$B,0)),"")</f>
        <v>אצבעון מפלסטיק  ליד</v>
      </c>
      <c r="C89" s="8" t="n">
        <f aca="false">SUMIFS('Source'!$D:$D,'Source'!$A:$A,"160955 ORTOPROFIL PROD. ROMANIA",'Source'!$B:$B,$A89)</f>
        <v>177</v>
      </c>
      <c r="D89" s="8" t="n">
        <f aca="false">SUMIFS('Source'!$F:$F,'Source'!$A:$A,"160955 ORTOPROFIL PROD. ROMANIA",'Source'!$B:$B,$A89)</f>
        <v>180</v>
      </c>
      <c r="E89" s="8" t="n">
        <f aca="false">D89*$J$5</f>
        <v>227.368421052632</v>
      </c>
      <c r="F89" s="8" t="n">
        <f aca="false">E89-C89</f>
        <v>50.3684210526316</v>
      </c>
      <c r="G89" s="9" t="n">
        <f aca="false">IF(AND(C89=0,E89=0),0,IF(C89=0,"New",(E89-C89)/C89))</f>
        <v>0.284567350579839</v>
      </c>
      <c r="H89" s="8" t="n">
        <f aca="false">SUMIFS('Source'!$E:$E,'Source'!$A:$A,"160955 ORTOPROFIL PROD. ROMANIA",'Source'!$B:$B,$A89)</f>
        <v>1496.47</v>
      </c>
      <c r="I89" s="8" t="n">
        <f aca="false">SUMIFS('Source'!$G:$G,'Source'!$A:$A,"160955 ORTOPROFIL PROD. ROMANIA",'Source'!$B:$B,$A89)</f>
        <v>1520.43</v>
      </c>
      <c r="J89" s="8" t="n">
        <f aca="false">I89*$J$5</f>
        <v>1920.54315789474</v>
      </c>
      <c r="K89" s="8" t="n">
        <f aca="false">J89-H89</f>
        <v>424.073157894737</v>
      </c>
      <c r="L89" s="9" t="n">
        <f aca="false">IF(AND(H89=0,J89=0),0,IF(H89=0,"New",(J89-H89)/H89))</f>
        <v>0.28338233168372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798</v>
      </c>
      <c r="B90" s="7" t="str">
        <f aca="false">IFERROR(INDEX('Source'!$C:$C,MATCH($A90,'Source'!$B:$B,0)),"")</f>
        <v>מדבקה ג'ל למניעת יבלות</v>
      </c>
      <c r="C90" s="8" t="n">
        <f aca="false">SUMIFS('Source'!$D:$D,'Source'!$A:$A,"160955 ORTOPROFIL PROD. ROMANIA",'Source'!$B:$B,$A90)</f>
        <v>2</v>
      </c>
      <c r="D90" s="8" t="n">
        <f aca="false">SUMIFS('Source'!$F:$F,'Source'!$A:$A,"160955 ORTOPROFIL PROD. ROMANIA",'Source'!$B:$B,$A90)</f>
        <v>3</v>
      </c>
      <c r="E90" s="8" t="n">
        <f aca="false">D90*$J$5</f>
        <v>3.78947368421053</v>
      </c>
      <c r="F90" s="8" t="n">
        <f aca="false">E90-C90</f>
        <v>1.78947368421053</v>
      </c>
      <c r="G90" s="9" t="n">
        <f aca="false">IF(AND(C90=0,E90=0),0,IF(C90=0,"New",(E90-C90)/C90))</f>
        <v>0.894736842105263</v>
      </c>
      <c r="H90" s="8" t="n">
        <f aca="false">SUMIFS('Source'!$E:$E,'Source'!$A:$A,"160955 ORTOPROFIL PROD. ROMANIA",'Source'!$B:$B,$A90)</f>
        <v>20.05</v>
      </c>
      <c r="I90" s="8" t="n">
        <f aca="false">SUMIFS('Source'!$G:$G,'Source'!$A:$A,"160955 ORTOPROFIL PROD. ROMANIA",'Source'!$B:$B,$A90)</f>
        <v>29.23</v>
      </c>
      <c r="J90" s="8" t="n">
        <f aca="false">I90*$J$5</f>
        <v>36.9221052631579</v>
      </c>
      <c r="K90" s="8" t="n">
        <f aca="false">J90-H90</f>
        <v>16.8721052631579</v>
      </c>
      <c r="L90" s="9" t="n">
        <f aca="false">IF(AND(H90=0,J90=0),0,IF(H90=0,"New",(J90-H90)/H90))</f>
        <v>0.841501509384434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185</v>
      </c>
      <c r="B91" s="7" t="str">
        <f aca="false">IFERROR(INDEX('Source'!$C:$C,MATCH($A91,'Source'!$B:$B,0)),"")</f>
        <v>כרית עם סרט אלסט</v>
      </c>
      <c r="C91" s="8" t="n">
        <f aca="false">SUMIFS('Source'!$D:$D,'Source'!$A:$A,"160955 ORTOPROFIL PROD. ROMANIA",'Source'!$B:$B,$A91)</f>
        <v>49</v>
      </c>
      <c r="D91" s="8" t="n">
        <f aca="false">SUMIFS('Source'!$F:$F,'Source'!$A:$A,"160955 ORTOPROFIL PROD. ROMANIA",'Source'!$B:$B,$A91)</f>
        <v>50</v>
      </c>
      <c r="E91" s="8" t="n">
        <f aca="false">D91*$J$5</f>
        <v>63.1578947368421</v>
      </c>
      <c r="F91" s="8" t="n">
        <f aca="false">E91-C91</f>
        <v>14.1578947368421</v>
      </c>
      <c r="G91" s="9" t="n">
        <f aca="false">IF(AND(C91=0,E91=0),0,IF(C91=0,"New",(E91-C91)/C91))</f>
        <v>0.288936627282492</v>
      </c>
      <c r="H91" s="8" t="n">
        <f aca="false">SUMIFS('Source'!$E:$E,'Source'!$A:$A,"160955 ORTOPROFIL PROD. ROMANIA",'Source'!$B:$B,$A91)</f>
        <v>775.84</v>
      </c>
      <c r="I91" s="8" t="n">
        <f aca="false">SUMIFS('Source'!$G:$G,'Source'!$A:$A,"160955 ORTOPROFIL PROD. ROMANIA",'Source'!$B:$B,$A91)</f>
        <v>768.58</v>
      </c>
      <c r="J91" s="8" t="n">
        <f aca="false">I91*$J$5</f>
        <v>970.837894736842</v>
      </c>
      <c r="K91" s="8" t="n">
        <f aca="false">J91-H91</f>
        <v>194.997894736842</v>
      </c>
      <c r="L91" s="9" t="n">
        <f aca="false">IF(AND(H91=0,J91=0),0,IF(H91=0,"New",(J91-H91)/H91))</f>
        <v>0.251337769046249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200</v>
      </c>
      <c r="B92" s="7" t="str">
        <f aca="false">IFERROR(INDEX('Source'!$C:$C,MATCH($A92,'Source'!$B:$B,0)),"")</f>
        <v>חגורת פאבליק (רצועות אבדוקציה)</v>
      </c>
      <c r="C92" s="8" t="n">
        <f aca="false">SUMIFS('Source'!$D:$D,'Source'!$A:$A,"160955 ORTOPROFIL PROD. ROMANIA",'Source'!$B:$B,$A92)</f>
        <v>1</v>
      </c>
      <c r="D92" s="8" t="n">
        <f aca="false">SUMIFS('Source'!$F:$F,'Source'!$A:$A,"160955 ORTOPROFIL PROD. ROMANIA",'Source'!$B:$B,$A92)</f>
        <v>0</v>
      </c>
      <c r="E92" s="8" t="n">
        <f aca="false">D92*$J$5</f>
        <v>0</v>
      </c>
      <c r="F92" s="8" t="n">
        <f aca="false">E92-C92</f>
        <v>-1</v>
      </c>
      <c r="G92" s="9" t="n">
        <f aca="false">IF(AND(C92=0,E92=0),0,IF(C92=0,"New",(E92-C92)/C92))</f>
        <v>-1</v>
      </c>
      <c r="H92" s="8" t="n">
        <f aca="false">SUMIFS('Source'!$E:$E,'Source'!$A:$A,"160955 ORTOPROFIL PROD. ROMANIA",'Source'!$B:$B,$A92)</f>
        <v>0.04</v>
      </c>
      <c r="I92" s="8" t="n">
        <f aca="false">SUMIFS('Source'!$G:$G,'Source'!$A:$A,"160955 ORTOPROFIL PROD. ROMANIA",'Source'!$B:$B,$A92)</f>
        <v>0</v>
      </c>
      <c r="J92" s="8" t="n">
        <f aca="false">I92*$J$5</f>
        <v>0</v>
      </c>
      <c r="K92" s="8" t="n">
        <f aca="false">J92-H92</f>
        <v>-0.04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118</v>
      </c>
      <c r="B93" s="7" t="str">
        <f aca="false">IFERROR(INDEX('Source'!$C:$C,MATCH($A93,'Source'!$B:$B,0)),"")</f>
        <v>גרבי קיץ אנטיבקטריאלי שחור</v>
      </c>
      <c r="C93" s="8" t="n">
        <f aca="false">SUMIFS('Source'!$D:$D,'Source'!$A:$A,"160955 ORTOPROFIL PROD. ROMANIA",'Source'!$B:$B,$A93)</f>
        <v>1</v>
      </c>
      <c r="D93" s="8" t="n">
        <f aca="false">SUMIFS('Source'!$F:$F,'Source'!$A:$A,"160955 ORTOPROFIL PROD. ROMANIA",'Source'!$B:$B,$A93)</f>
        <v>0</v>
      </c>
      <c r="E93" s="8" t="n">
        <f aca="false">D93*$J$5</f>
        <v>0</v>
      </c>
      <c r="F93" s="8" t="n">
        <f aca="false">E93-C93</f>
        <v>-1</v>
      </c>
      <c r="G93" s="9" t="n">
        <f aca="false">IF(AND(C93=0,E93=0),0,IF(C93=0,"New",(E93-C93)/C93))</f>
        <v>-1</v>
      </c>
      <c r="H93" s="8" t="n">
        <f aca="false">SUMIFS('Source'!$E:$E,'Source'!$A:$A,"160955 ORTOPROFIL PROD. ROMANIA",'Source'!$B:$B,$A93)</f>
        <v>0.04</v>
      </c>
      <c r="I93" s="8" t="n">
        <f aca="false">SUMIFS('Source'!$G:$G,'Source'!$A:$A,"160955 ORTOPROFIL PROD. ROMANIA",'Source'!$B:$B,$A93)</f>
        <v>0</v>
      </c>
      <c r="J93" s="8" t="n">
        <f aca="false">I93*$J$5</f>
        <v>0</v>
      </c>
      <c r="K93" s="8" t="n">
        <f aca="false">J93-H93</f>
        <v>-0.04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230</v>
      </c>
      <c r="B94" s="7" t="str">
        <f aca="false">IFERROR(INDEX('Source'!$C:$C,MATCH($A94,'Source'!$B:$B,0)),"")</f>
        <v>מדרסי ג'ל מולטי ספורט</v>
      </c>
      <c r="C94" s="8" t="n">
        <f aca="false">SUMIFS('Source'!$D:$D,'Source'!$A:$A,"160955 ORTOPROFIL PROD. ROMANIA",'Source'!$B:$B,$A94)</f>
        <v>1</v>
      </c>
      <c r="D94" s="8" t="n">
        <f aca="false">SUMIFS('Source'!$F:$F,'Source'!$A:$A,"160955 ORTOPROFIL PROD. ROMANIA",'Source'!$B:$B,$A94)</f>
        <v>0</v>
      </c>
      <c r="E94" s="8" t="n">
        <f aca="false">D94*$J$5</f>
        <v>0</v>
      </c>
      <c r="F94" s="8" t="n">
        <f aca="false">E94-C94</f>
        <v>-1</v>
      </c>
      <c r="G94" s="9" t="n">
        <f aca="false">IF(AND(C94=0,E94=0),0,IF(C94=0,"New",(E94-C94)/C94))</f>
        <v>-1</v>
      </c>
      <c r="H94" s="8" t="n">
        <f aca="false">SUMIFS('Source'!$E:$E,'Source'!$A:$A,"160955 ORTOPROFIL PROD. ROMANIA",'Source'!$B:$B,$A94)</f>
        <v>0.04</v>
      </c>
      <c r="I94" s="8" t="n">
        <f aca="false">SUMIFS('Source'!$G:$G,'Source'!$A:$A,"160955 ORTOPROFIL PROD. ROMANIA",'Source'!$B:$B,$A94)</f>
        <v>0</v>
      </c>
      <c r="J94" s="8" t="n">
        <f aca="false">I94*$J$5</f>
        <v>0</v>
      </c>
      <c r="K94" s="8" t="n">
        <f aca="false">J94-H94</f>
        <v>-0.04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583</v>
      </c>
      <c r="B95" s="7" t="str">
        <f aca="false">IFERROR(INDEX('Source'!$C:$C,MATCH($A95,'Source'!$B:$B,0)),"")</f>
        <v>גרבי חורף אנטיבקטריאלי לבן</v>
      </c>
      <c r="C95" s="8" t="n">
        <f aca="false">SUMIFS('Source'!$D:$D,'Source'!$A:$A,"160955 ORTOPROFIL PROD. ROMANIA",'Source'!$B:$B,$A95)</f>
        <v>1</v>
      </c>
      <c r="D95" s="8" t="n">
        <f aca="false">SUMIFS('Source'!$F:$F,'Source'!$A:$A,"160955 ORTOPROFIL PROD. ROMANIA",'Source'!$B:$B,$A95)</f>
        <v>0</v>
      </c>
      <c r="E95" s="8" t="n">
        <f aca="false">D95*$J$5</f>
        <v>0</v>
      </c>
      <c r="F95" s="8" t="n">
        <f aca="false">E95-C95</f>
        <v>-1</v>
      </c>
      <c r="G95" s="9" t="n">
        <f aca="false">IF(AND(C95=0,E95=0),0,IF(C95=0,"New",(E95-C95)/C95))</f>
        <v>-1</v>
      </c>
      <c r="H95" s="8" t="n">
        <f aca="false">SUMIFS('Source'!$E:$E,'Source'!$A:$A,"160955 ORTOPROFIL PROD. ROMANIA",'Source'!$B:$B,$A95)</f>
        <v>0.04</v>
      </c>
      <c r="I95" s="8" t="n">
        <f aca="false">SUMIFS('Source'!$G:$G,'Source'!$A:$A,"160955 ORTOPROFIL PROD. ROMANIA",'Source'!$B:$B,$A95)</f>
        <v>0</v>
      </c>
      <c r="J95" s="8" t="n">
        <f aca="false">I95*$J$5</f>
        <v>0</v>
      </c>
      <c r="K95" s="8" t="n">
        <f aca="false">J95-H95</f>
        <v>-0.04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160</v>
      </c>
      <c r="B96" s="7" t="str">
        <f aca="false">IFERROR(INDEX('Source'!$C:$C,MATCH($A96,'Source'!$B:$B,0)),"")</f>
        <v>חגורת גב+סגירה כפולה</v>
      </c>
      <c r="C96" s="8" t="n">
        <f aca="false">SUMIFS('Source'!$D:$D,'Source'!$A:$A,"160955 ORTOPROFIL PROD. ROMANIA",'Source'!$B:$B,$A96)</f>
        <v>1</v>
      </c>
      <c r="D96" s="8" t="n">
        <f aca="false">SUMIFS('Source'!$F:$F,'Source'!$A:$A,"160955 ORTOPROFIL PROD. ROMANIA",'Source'!$B:$B,$A96)</f>
        <v>0</v>
      </c>
      <c r="E96" s="8" t="n">
        <f aca="false">D96*$J$5</f>
        <v>0</v>
      </c>
      <c r="F96" s="8" t="n">
        <f aca="false">E96-C96</f>
        <v>-1</v>
      </c>
      <c r="G96" s="9" t="n">
        <f aca="false">IF(AND(C96=0,E96=0),0,IF(C96=0,"New",(E96-C96)/C96))</f>
        <v>-1</v>
      </c>
      <c r="H96" s="8" t="n">
        <f aca="false">SUMIFS('Source'!$E:$E,'Source'!$A:$A,"160955 ORTOPROFIL PROD. ROMANIA",'Source'!$B:$B,$A96)</f>
        <v>0.04</v>
      </c>
      <c r="I96" s="8" t="n">
        <f aca="false">SUMIFS('Source'!$G:$G,'Source'!$A:$A,"160955 ORTOPROFIL PROD. ROMANIA",'Source'!$B:$B,$A96)</f>
        <v>0</v>
      </c>
      <c r="J96" s="8" t="n">
        <f aca="false">I96*$J$5</f>
        <v>0</v>
      </c>
      <c r="K96" s="8" t="n">
        <f aca="false">J96-H96</f>
        <v>-0.04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106</v>
      </c>
      <c r="B97" s="7" t="str">
        <f aca="false">IFERROR(INDEX('Source'!$C:$C,MATCH($A97,'Source'!$B:$B,0)),"")</f>
        <v>גרבי נסיעות אנטיבקטריאלי</v>
      </c>
      <c r="C97" s="8" t="n">
        <f aca="false">SUMIFS('Source'!$D:$D,'Source'!$A:$A,"160955 ORTOPROFIL PROD. ROMANIA",'Source'!$B:$B,$A97)</f>
        <v>1</v>
      </c>
      <c r="D97" s="8" t="n">
        <f aca="false">SUMIFS('Source'!$F:$F,'Source'!$A:$A,"160955 ORTOPROFIL PROD. ROMANIA",'Source'!$B:$B,$A97)</f>
        <v>0</v>
      </c>
      <c r="E97" s="8" t="n">
        <f aca="false">D97*$J$5</f>
        <v>0</v>
      </c>
      <c r="F97" s="8" t="n">
        <f aca="false">E97-C97</f>
        <v>-1</v>
      </c>
      <c r="G97" s="9" t="n">
        <f aca="false">IF(AND(C97=0,E97=0),0,IF(C97=0,"New",(E97-C97)/C97))</f>
        <v>-1</v>
      </c>
      <c r="H97" s="8" t="n">
        <f aca="false">SUMIFS('Source'!$E:$E,'Source'!$A:$A,"160955 ORTOPROFIL PROD. ROMANIA",'Source'!$B:$B,$A97)</f>
        <v>0.04</v>
      </c>
      <c r="I97" s="8" t="n">
        <f aca="false">SUMIFS('Source'!$G:$G,'Source'!$A:$A,"160955 ORTOPROFIL PROD. ROMANIA",'Source'!$B:$B,$A97)</f>
        <v>0</v>
      </c>
      <c r="J97" s="8" t="n">
        <f aca="false">I97*$J$5</f>
        <v>0</v>
      </c>
      <c r="K97" s="8" t="n">
        <f aca="false">J97-H97</f>
        <v>-0.04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128</v>
      </c>
      <c r="B98" s="7" t="str">
        <f aca="false">IFERROR(INDEX('Source'!$C:$C,MATCH($A98,'Source'!$B:$B,0)),"")</f>
        <v>תומך ברך גנושילד</v>
      </c>
      <c r="C98" s="8" t="n">
        <f aca="false">SUMIFS('Source'!$D:$D,'Source'!$A:$A,"160955 ORTOPROFIL PROD. ROMANIA",'Source'!$B:$B,$A98)</f>
        <v>1</v>
      </c>
      <c r="D98" s="8" t="n">
        <f aca="false">SUMIFS('Source'!$F:$F,'Source'!$A:$A,"160955 ORTOPROFIL PROD. ROMANIA",'Source'!$B:$B,$A98)</f>
        <v>0</v>
      </c>
      <c r="E98" s="8" t="n">
        <f aca="false">D98*$J$5</f>
        <v>0</v>
      </c>
      <c r="F98" s="8" t="n">
        <f aca="false">E98-C98</f>
        <v>-1</v>
      </c>
      <c r="G98" s="9" t="n">
        <f aca="false">IF(AND(C98=0,E98=0),0,IF(C98=0,"New",(E98-C98)/C98))</f>
        <v>-1</v>
      </c>
      <c r="H98" s="8" t="n">
        <f aca="false">SUMIFS('Source'!$E:$E,'Source'!$A:$A,"160955 ORTOPROFIL PROD. ROMANIA",'Source'!$B:$B,$A98)</f>
        <v>0.04</v>
      </c>
      <c r="I98" s="8" t="n">
        <f aca="false">SUMIFS('Source'!$G:$G,'Source'!$A:$A,"160955 ORTOPROFIL PROD. ROMANIA",'Source'!$B:$B,$A98)</f>
        <v>0</v>
      </c>
      <c r="J98" s="8" t="n">
        <f aca="false">I98*$J$5</f>
        <v>0</v>
      </c>
      <c r="K98" s="8" t="n">
        <f aca="false">J98-H98</f>
        <v>-0.04</v>
      </c>
      <c r="L98" s="9" t="n">
        <f aca="false">IF(AND(H98=0,J98=0),0,IF(H98=0,"New",(J98-H98)/H98))</f>
        <v>-1</v>
      </c>
      <c r="M98" s="7" t="str">
        <f aca="false">IF(AND(OR(C98&lt;&gt;0,H98&lt;&gt;0),D98=0,I98=0),"DROP",IF(AND(OR(D98&lt;&gt;0,I98&lt;&gt;0),C98=0,H98=0),"NEW",""))</f>
        <v>DROP</v>
      </c>
    </row>
    <row r="99" customFormat="false" ht="15" hidden="false" customHeight="false" outlineLevel="0" collapsed="false">
      <c r="A99" s="7" t="s">
        <v>728</v>
      </c>
      <c r="B99" s="7" t="str">
        <f aca="false">IFERROR(INDEX('Source'!$C:$C,MATCH($A99,'Source'!$B:$B,0)),"")</f>
        <v>URIEL STRAP4U PINK S-M</v>
      </c>
      <c r="C99" s="8" t="n">
        <f aca="false">SUMIFS('Source'!$D:$D,'Source'!$A:$A,"160955 ORTOPROFIL PROD. ROMANIA",'Source'!$B:$B,$A99)</f>
        <v>0</v>
      </c>
      <c r="D99" s="8" t="n">
        <f aca="false">SUMIFS('Source'!$F:$F,'Source'!$A:$A,"160955 ORTOPROFIL PROD. ROMANIA",'Source'!$B:$B,$A99)</f>
        <v>1</v>
      </c>
      <c r="E99" s="8" t="n">
        <f aca="false">D99*$J$5</f>
        <v>1.26315789473684</v>
      </c>
      <c r="F99" s="8" t="n">
        <f aca="false">E99-C99</f>
        <v>1.26315789473684</v>
      </c>
      <c r="G99" s="9" t="str">
        <f aca="false">IF(AND(C99=0,E99=0),0,IF(C99=0,"New",(E99-C99)/C99))</f>
        <v>New</v>
      </c>
      <c r="H99" s="8" t="n">
        <f aca="false">SUMIFS('Source'!$E:$E,'Source'!$A:$A,"160955 ORTOPROFIL PROD. ROMANIA",'Source'!$B:$B,$A99)</f>
        <v>0</v>
      </c>
      <c r="I99" s="8" t="n">
        <f aca="false">SUMIFS('Source'!$G:$G,'Source'!$A:$A,"160955 ORTOPROFIL PROD. ROMANIA",'Source'!$B:$B,$A99)</f>
        <v>0.03</v>
      </c>
      <c r="J99" s="8" t="n">
        <f aca="false">I99*$J$5</f>
        <v>0.0378947368421053</v>
      </c>
      <c r="K99" s="8" t="n">
        <f aca="false">J99-H99</f>
        <v>0.0378947368421053</v>
      </c>
      <c r="L99" s="9" t="str">
        <f aca="false">IF(AND(H99=0,J99=0),0,IF(H99=0,"New",(J99-H99)/H99))</f>
        <v>New</v>
      </c>
      <c r="M99" s="7" t="str">
        <f aca="false">IF(AND(OR(C99&lt;&gt;0,H99&lt;&gt;0),D99=0,I99=0),"DROP",IF(AND(OR(D99&lt;&gt;0,I99&lt;&gt;0),C99=0,H99=0),"NEW",""))</f>
        <v>NEW</v>
      </c>
    </row>
    <row r="101" customFormat="false" ht="15" hidden="false" customHeight="false" outlineLevel="0" collapsed="false">
      <c r="A101" s="17"/>
      <c r="B101" s="18" t="s">
        <v>97</v>
      </c>
      <c r="C101" s="19" t="n">
        <f aca="false">SUM(C9:C99)</f>
        <v>13479</v>
      </c>
      <c r="D101" s="19" t="n">
        <f aca="false">SUM(D9:D99)</f>
        <v>9703</v>
      </c>
      <c r="E101" s="19" t="n">
        <f aca="false">SUM(E9:E99)</f>
        <v>12256.4210526316</v>
      </c>
      <c r="F101" s="19" t="n">
        <f aca="false">SUM(F9:F99)</f>
        <v>-1222.57894736842</v>
      </c>
      <c r="G101" s="20" t="n">
        <f aca="false">IF(C101=0,"N/A",F101/C101)</f>
        <v>-0.0907024962807643</v>
      </c>
      <c r="H101" s="19" t="n">
        <f aca="false">SUM(H9:H99)</f>
        <v>407234.61</v>
      </c>
      <c r="I101" s="19" t="n">
        <f aca="false">SUM(I9:I99)</f>
        <v>300835.19</v>
      </c>
      <c r="J101" s="19" t="n">
        <f aca="false">SUM(J9:J99)</f>
        <v>380002.345263158</v>
      </c>
      <c r="K101" s="19" t="n">
        <f aca="false">SUM(K9:K99)</f>
        <v>-27232.2647368421</v>
      </c>
      <c r="L101" s="20" t="n">
        <f aca="false">IF(H101=0,"N/A",K101/H101)</f>
        <v>-0.0668711943143589</v>
      </c>
      <c r="M10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930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SUMPRODUCT(--(((C9:C212&lt;&gt;0)+(H9:H212&lt;&gt;0)&gt;0)*((D9:D212=0)*(I9:I212=0))))</f>
        <v>31</v>
      </c>
      <c r="C5" s="13" t="s">
        <v>47</v>
      </c>
      <c r="D5" s="14" t="n">
        <f aca="false">SUMPRODUCT(--(((D9:D212&lt;&gt;0)+(I9:I212&lt;&gt;0)&gt;0)*((C9:C212=0)*(H9:H212=0))))</f>
        <v>19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SUMPRODUCT(--(((C9:C212&lt;&gt;0)+(H9:H212&lt;&gt;0)&gt;0)*((D9:D212=0)*(I9:I212=0)))*C9:C212)</f>
        <v>347</v>
      </c>
      <c r="C6" s="13" t="s">
        <v>50</v>
      </c>
      <c r="D6" s="14" t="n">
        <f aca="false">SUMPRODUCT(--(((C9:C212&lt;&gt;0)+(H9:H212&lt;&gt;0)&gt;0)*((D9:D212=0)*(I9:I212=0)))*H9:H212)</f>
        <v>10736.31</v>
      </c>
      <c r="E6" s="13" t="s">
        <v>51</v>
      </c>
      <c r="F6" s="14" t="n">
        <f aca="false">SUMPRODUCT(--(((D9:D212&lt;&gt;0)+(I9:I212&lt;&gt;0)&gt;0)*((C9:C212=0)*(H9:H212=0)))*D9:D212)</f>
        <v>154</v>
      </c>
      <c r="G6" s="13" t="s">
        <v>52</v>
      </c>
      <c r="H6" s="14" t="n">
        <f aca="false">SUMPRODUCT(--(((D9:D212&lt;&gt;0)+(I9:I212&lt;&gt;0)&gt;0)*((C9:C212=0)*(H9:H212=0)))*I9:I212)</f>
        <v>3246.9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300</v>
      </c>
      <c r="B9" s="7" t="str">
        <f aca="false">IFERROR(INDEX('Source'!$C:$C,MATCH($A9,'Source'!$B:$B,0)),"")</f>
        <v>חגורת בטן קלה</v>
      </c>
      <c r="C9" s="8" t="n">
        <f aca="false">SUMIFS('Source'!$D:$D,'Source'!$A:$A,"C02266 SANAFLEX L.P",'Source'!$B:$B,$A9)</f>
        <v>390</v>
      </c>
      <c r="D9" s="8" t="n">
        <f aca="false">SUMIFS('Source'!$F:$F,'Source'!$A:$A,"C02266 SANAFLEX L.P",'Source'!$B:$B,$A9)</f>
        <v>210</v>
      </c>
      <c r="E9" s="8" t="n">
        <f aca="false">D9*$J$5</f>
        <v>265.263157894737</v>
      </c>
      <c r="F9" s="8" t="n">
        <f aca="false">E9-C9</f>
        <v>-124.736842105263</v>
      </c>
      <c r="G9" s="9" t="n">
        <f aca="false">IF(AND(C9=0,E9=0),0,IF(C9=0,"New",(E9-C9)/C9))</f>
        <v>-0.319838056680162</v>
      </c>
      <c r="H9" s="8" t="n">
        <f aca="false">SUMIFS('Source'!$E:$E,'Source'!$A:$A,"C02266 SANAFLEX L.P",'Source'!$B:$B,$A9)</f>
        <v>13356.8</v>
      </c>
      <c r="I9" s="8" t="n">
        <f aca="false">SUMIFS('Source'!$G:$G,'Source'!$A:$A,"C02266 SANAFLEX L.P",'Source'!$B:$B,$A9)</f>
        <v>6522.55</v>
      </c>
      <c r="J9" s="8" t="n">
        <f aca="false">I9*$J$5</f>
        <v>8239.01052631579</v>
      </c>
      <c r="K9" s="8" t="n">
        <f aca="false">J9-H9</f>
        <v>-5117.78947368421</v>
      </c>
      <c r="L9" s="9" t="n">
        <f aca="false">IF(AND(H9=0,J9=0),0,IF(H9=0,"New",(J9-H9)/H9))</f>
        <v>-0.383159849191738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161</v>
      </c>
      <c r="B10" s="7" t="str">
        <f aca="false">IFERROR(INDEX('Source'!$C:$C,MATCH($A10,'Source'!$B:$B,0)),"")</f>
        <v>סד לתמיכה פרק כף יד ואגודל</v>
      </c>
      <c r="C10" s="8" t="n">
        <f aca="false">SUMIFS('Source'!$D:$D,'Source'!$A:$A,"C02266 SANAFLEX L.P",'Source'!$B:$B,$A10)</f>
        <v>400</v>
      </c>
      <c r="D10" s="8" t="n">
        <f aca="false">SUMIFS('Source'!$F:$F,'Source'!$A:$A,"C02266 SANAFLEX L.P",'Source'!$B:$B,$A10)</f>
        <v>280</v>
      </c>
      <c r="E10" s="8" t="n">
        <f aca="false">D10*$J$5</f>
        <v>353.684210526316</v>
      </c>
      <c r="F10" s="8" t="n">
        <f aca="false">E10-C10</f>
        <v>-46.3157894736842</v>
      </c>
      <c r="G10" s="9" t="n">
        <f aca="false">IF(AND(C10=0,E10=0),0,IF(C10=0,"New",(E10-C10)/C10))</f>
        <v>-0.115789473684211</v>
      </c>
      <c r="H10" s="8" t="n">
        <f aca="false">SUMIFS('Source'!$E:$E,'Source'!$A:$A,"C02266 SANAFLEX L.P",'Source'!$B:$B,$A10)</f>
        <v>13613.37</v>
      </c>
      <c r="I10" s="8" t="n">
        <f aca="false">SUMIFS('Source'!$G:$G,'Source'!$A:$A,"C02266 SANAFLEX L.P",'Source'!$B:$B,$A10)</f>
        <v>8584.17</v>
      </c>
      <c r="J10" s="8" t="n">
        <f aca="false">I10*$J$5</f>
        <v>10843.1621052632</v>
      </c>
      <c r="K10" s="8" t="n">
        <f aca="false">J10-H10</f>
        <v>-2770.20789473684</v>
      </c>
      <c r="L10" s="9" t="n">
        <f aca="false">IF(AND(H10=0,J10=0),0,IF(H10=0,"New",(J10-H10)/H10))</f>
        <v>-0.203491706663144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311</v>
      </c>
      <c r="B11" s="7" t="str">
        <f aca="false">IFERROR(INDEX('Source'!$C:$C,MATCH($A11,'Source'!$B:$B,0)),"")</f>
        <v>מגן ברך + צירים</v>
      </c>
      <c r="C11" s="8" t="n">
        <f aca="false">SUMIFS('Source'!$D:$D,'Source'!$A:$A,"C02266 SANAFLEX L.P",'Source'!$B:$B,$A11)</f>
        <v>310</v>
      </c>
      <c r="D11" s="8" t="n">
        <f aca="false">SUMIFS('Source'!$F:$F,'Source'!$A:$A,"C02266 SANAFLEX L.P",'Source'!$B:$B,$A11)</f>
        <v>250</v>
      </c>
      <c r="E11" s="8" t="n">
        <f aca="false">D11*$J$5</f>
        <v>315.789473684211</v>
      </c>
      <c r="F11" s="8" t="n">
        <f aca="false">E11-C11</f>
        <v>5.78947368421052</v>
      </c>
      <c r="G11" s="9" t="n">
        <f aca="false">IF(AND(C11=0,E11=0),0,IF(C11=0,"New",(E11-C11)/C11))</f>
        <v>0.0186757215619694</v>
      </c>
      <c r="H11" s="8" t="n">
        <f aca="false">SUMIFS('Source'!$E:$E,'Source'!$A:$A,"C02266 SANAFLEX L.P",'Source'!$B:$B,$A11)</f>
        <v>13299.71</v>
      </c>
      <c r="I11" s="8" t="n">
        <f aca="false">SUMIFS('Source'!$G:$G,'Source'!$A:$A,"C02266 SANAFLEX L.P",'Source'!$B:$B,$A11)</f>
        <v>9809.78</v>
      </c>
      <c r="J11" s="8" t="n">
        <f aca="false">I11*$J$5</f>
        <v>12391.3010526316</v>
      </c>
      <c r="K11" s="8" t="n">
        <f aca="false">J11-H11</f>
        <v>-908.40894736842</v>
      </c>
      <c r="L11" s="9" t="n">
        <f aca="false">IF(AND(H11=0,J11=0),0,IF(H11=0,"New",(J11-H11)/H11))</f>
        <v>-0.0683029139258239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317</v>
      </c>
      <c r="B12" s="7" t="str">
        <f aca="false">IFERROR(INDEX('Source'!$C:$C,MATCH($A12,'Source'!$B:$B,0)),"")</f>
        <v>רפידת זיכרון 376</v>
      </c>
      <c r="C12" s="8" t="n">
        <f aca="false">SUMIFS('Source'!$D:$D,'Source'!$A:$A,"C02266 SANAFLEX L.P",'Source'!$B:$B,$A12)</f>
        <v>410</v>
      </c>
      <c r="D12" s="8" t="n">
        <f aca="false">SUMIFS('Source'!$F:$F,'Source'!$A:$A,"C02266 SANAFLEX L.P",'Source'!$B:$B,$A12)</f>
        <v>190</v>
      </c>
      <c r="E12" s="8" t="n">
        <f aca="false">D12*$J$5</f>
        <v>240</v>
      </c>
      <c r="F12" s="8" t="n">
        <f aca="false">E12-C12</f>
        <v>-170</v>
      </c>
      <c r="G12" s="9" t="n">
        <f aca="false">IF(AND(C12=0,E12=0),0,IF(C12=0,"New",(E12-C12)/C12))</f>
        <v>-0.414634146341463</v>
      </c>
      <c r="H12" s="8" t="n">
        <f aca="false">SUMIFS('Source'!$E:$E,'Source'!$A:$A,"C02266 SANAFLEX L.P",'Source'!$B:$B,$A12)</f>
        <v>5992.02</v>
      </c>
      <c r="I12" s="8" t="n">
        <f aca="false">SUMIFS('Source'!$G:$G,'Source'!$A:$A,"C02266 SANAFLEX L.P",'Source'!$B:$B,$A12)</f>
        <v>2504.54</v>
      </c>
      <c r="J12" s="8" t="n">
        <f aca="false">I12*$J$5</f>
        <v>3163.62947368421</v>
      </c>
      <c r="K12" s="8" t="n">
        <f aca="false">J12-H12</f>
        <v>-2828.39052631579</v>
      </c>
      <c r="L12" s="9" t="n">
        <f aca="false">IF(AND(H12=0,J12=0),0,IF(H12=0,"New",(J12-H12)/H12))</f>
        <v>-0.472026215919805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143</v>
      </c>
      <c r="B13" s="7" t="str">
        <f aca="false">IFERROR(INDEX('Source'!$C:$C,MATCH($A13,'Source'!$B:$B,0)),"")</f>
        <v>סד יד דו צדדי</v>
      </c>
      <c r="C13" s="8" t="n">
        <f aca="false">SUMIFS('Source'!$D:$D,'Source'!$A:$A,"C02266 SANAFLEX L.P",'Source'!$B:$B,$A13)</f>
        <v>630</v>
      </c>
      <c r="D13" s="8" t="n">
        <f aca="false">SUMIFS('Source'!$F:$F,'Source'!$A:$A,"C02266 SANAFLEX L.P",'Source'!$B:$B,$A13)</f>
        <v>540</v>
      </c>
      <c r="E13" s="8" t="n">
        <f aca="false">D13*$J$5</f>
        <v>682.105263157895</v>
      </c>
      <c r="F13" s="8" t="n">
        <f aca="false">E13-C13</f>
        <v>52.1052631578947</v>
      </c>
      <c r="G13" s="9" t="n">
        <f aca="false">IF(AND(C13=0,E13=0),0,IF(C13=0,"New",(E13-C13)/C13))</f>
        <v>0.0827067669172932</v>
      </c>
      <c r="H13" s="8" t="n">
        <f aca="false">SUMIFS('Source'!$E:$E,'Source'!$A:$A,"C02266 SANAFLEX L.P",'Source'!$B:$B,$A13)</f>
        <v>13891.34</v>
      </c>
      <c r="I13" s="8" t="n">
        <f aca="false">SUMIFS('Source'!$G:$G,'Source'!$A:$A,"C02266 SANAFLEX L.P",'Source'!$B:$B,$A13)</f>
        <v>10651.8</v>
      </c>
      <c r="J13" s="8" t="n">
        <f aca="false">I13*$J$5</f>
        <v>13454.9052631579</v>
      </c>
      <c r="K13" s="8" t="n">
        <f aca="false">J13-H13</f>
        <v>-436.434736842108</v>
      </c>
      <c r="L13" s="9" t="n">
        <f aca="false">IF(AND(H13=0,J13=0),0,IF(H13=0,"New",(J13-H13)/H13))</f>
        <v>-0.031417756446974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100</v>
      </c>
      <c r="B14" s="7" t="str">
        <f aca="false">IFERROR(INDEX('Source'!$C:$C,MATCH($A14,'Source'!$B:$B,0)),"")</f>
        <v>כרית שינה חלומית</v>
      </c>
      <c r="C14" s="8" t="n">
        <f aca="false">SUMIFS('Source'!$D:$D,'Source'!$A:$A,"C02266 SANAFLEX L.P",'Source'!$B:$B,$A14)</f>
        <v>31</v>
      </c>
      <c r="D14" s="8" t="n">
        <f aca="false">SUMIFS('Source'!$F:$F,'Source'!$A:$A,"C02266 SANAFLEX L.P",'Source'!$B:$B,$A14)</f>
        <v>0</v>
      </c>
      <c r="E14" s="8" t="n">
        <f aca="false">D14*$J$5</f>
        <v>0</v>
      </c>
      <c r="F14" s="8" t="n">
        <f aca="false">E14-C14</f>
        <v>-31</v>
      </c>
      <c r="G14" s="9" t="n">
        <f aca="false">IF(AND(C14=0,E14=0),0,IF(C14=0,"New",(E14-C14)/C14))</f>
        <v>-1</v>
      </c>
      <c r="H14" s="8" t="n">
        <f aca="false">SUMIFS('Source'!$E:$E,'Source'!$A:$A,"C02266 SANAFLEX L.P",'Source'!$B:$B,$A14)</f>
        <v>3006.36</v>
      </c>
      <c r="I14" s="8" t="n">
        <f aca="false">SUMIFS('Source'!$G:$G,'Source'!$A:$A,"C02266 SANAFLEX L.P",'Source'!$B:$B,$A14)</f>
        <v>0</v>
      </c>
      <c r="J14" s="8" t="n">
        <f aca="false">I14*$J$5</f>
        <v>0</v>
      </c>
      <c r="K14" s="8" t="n">
        <f aca="false">J14-H14</f>
        <v>-3006.36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582</v>
      </c>
      <c r="B15" s="7" t="str">
        <f aca="false">IFERROR(INDEX('Source'!$C:$C,MATCH($A15,'Source'!$B:$B,0)),"")</f>
        <v>חבק לשורש כף היד</v>
      </c>
      <c r="C15" s="8" t="n">
        <f aca="false">SUMIFS('Source'!$D:$D,'Source'!$A:$A,"C02266 SANAFLEX L.P",'Source'!$B:$B,$A15)</f>
        <v>1080</v>
      </c>
      <c r="D15" s="8" t="n">
        <f aca="false">SUMIFS('Source'!$F:$F,'Source'!$A:$A,"C02266 SANAFLEX L.P",'Source'!$B:$B,$A15)</f>
        <v>990</v>
      </c>
      <c r="E15" s="8" t="n">
        <f aca="false">D15*$J$5</f>
        <v>1250.52631578947</v>
      </c>
      <c r="F15" s="8" t="n">
        <f aca="false">E15-C15</f>
        <v>170.526315789474</v>
      </c>
      <c r="G15" s="9" t="n">
        <f aca="false">IF(AND(C15=0,E15=0),0,IF(C15=0,"New",(E15-C15)/C15))</f>
        <v>0.157894736842105</v>
      </c>
      <c r="H15" s="8" t="n">
        <f aca="false">SUMIFS('Source'!$E:$E,'Source'!$A:$A,"C02266 SANAFLEX L.P",'Source'!$B:$B,$A15)</f>
        <v>16006.91</v>
      </c>
      <c r="I15" s="8" t="n">
        <f aca="false">SUMIFS('Source'!$G:$G,'Source'!$A:$A,"C02266 SANAFLEX L.P",'Source'!$B:$B,$A15)</f>
        <v>13225.04</v>
      </c>
      <c r="J15" s="8" t="n">
        <f aca="false">I15*$J$5</f>
        <v>16705.3136842105</v>
      </c>
      <c r="K15" s="8" t="n">
        <f aca="false">J15-H15</f>
        <v>698.403684210527</v>
      </c>
      <c r="L15" s="9" t="n">
        <f aca="false">IF(AND(H15=0,J15=0),0,IF(H15=0,"New",(J15-H15)/H15))</f>
        <v>0.0436313869579155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316</v>
      </c>
      <c r="B16" s="7" t="str">
        <f aca="false">IFERROR(INDEX('Source'!$C:$C,MATCH($A16,'Source'!$B:$B,0)),"")</f>
        <v>סד יד דו צדדי</v>
      </c>
      <c r="C16" s="8" t="n">
        <f aca="false">SUMIFS('Source'!$D:$D,'Source'!$A:$A,"C02266 SANAFLEX L.P",'Source'!$B:$B,$A16)</f>
        <v>78</v>
      </c>
      <c r="D16" s="8" t="n">
        <f aca="false">SUMIFS('Source'!$F:$F,'Source'!$A:$A,"C02266 SANAFLEX L.P",'Source'!$B:$B,$A16)</f>
        <v>20</v>
      </c>
      <c r="E16" s="8" t="n">
        <f aca="false">D16*$J$5</f>
        <v>25.2631578947368</v>
      </c>
      <c r="F16" s="8" t="n">
        <f aca="false">E16-C16</f>
        <v>-52.7368421052632</v>
      </c>
      <c r="G16" s="9" t="n">
        <f aca="false">IF(AND(C16=0,E16=0),0,IF(C16=0,"New",(E16-C16)/C16))</f>
        <v>-0.676113360323887</v>
      </c>
      <c r="H16" s="8" t="n">
        <f aca="false">SUMIFS('Source'!$E:$E,'Source'!$A:$A,"C02266 SANAFLEX L.P",'Source'!$B:$B,$A16)</f>
        <v>3401.19</v>
      </c>
      <c r="I16" s="8" t="n">
        <f aca="false">SUMIFS('Source'!$G:$G,'Source'!$A:$A,"C02266 SANAFLEX L.P",'Source'!$B:$B,$A16)</f>
        <v>780.96</v>
      </c>
      <c r="J16" s="8" t="n">
        <f aca="false">I16*$J$5</f>
        <v>986.475789473684</v>
      </c>
      <c r="K16" s="8" t="n">
        <f aca="false">J16-H16</f>
        <v>-2414.71421052632</v>
      </c>
      <c r="L16" s="9" t="n">
        <f aca="false">IF(AND(H16=0,J16=0),0,IF(H16=0,"New",(J16-H16)/H16))</f>
        <v>-0.709961575368126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932</v>
      </c>
      <c r="B17" s="7" t="str">
        <f aca="false">IFERROR(INDEX('Source'!$C:$C,MATCH($A17,'Source'!$B:$B,0)),"")</f>
        <v>סופורטר</v>
      </c>
      <c r="C17" s="8" t="n">
        <f aca="false">SUMIFS('Source'!$D:$D,'Source'!$A:$A,"C02266 SANAFLEX L.P",'Source'!$B:$B,$A17)</f>
        <v>100</v>
      </c>
      <c r="D17" s="8" t="n">
        <f aca="false">SUMIFS('Source'!$F:$F,'Source'!$A:$A,"C02266 SANAFLEX L.P",'Source'!$B:$B,$A17)</f>
        <v>18</v>
      </c>
      <c r="E17" s="8" t="n">
        <f aca="false">D17*$J$5</f>
        <v>22.7368421052632</v>
      </c>
      <c r="F17" s="8" t="n">
        <f aca="false">E17-C17</f>
        <v>-77.2631578947369</v>
      </c>
      <c r="G17" s="9" t="n">
        <f aca="false">IF(AND(C17=0,E17=0),0,IF(C17=0,"New",(E17-C17)/C17))</f>
        <v>-0.772631578947368</v>
      </c>
      <c r="H17" s="8" t="n">
        <f aca="false">SUMIFS('Source'!$E:$E,'Source'!$A:$A,"C02266 SANAFLEX L.P",'Source'!$B:$B,$A17)</f>
        <v>3135.24</v>
      </c>
      <c r="I17" s="8" t="n">
        <f aca="false">SUMIFS('Source'!$G:$G,'Source'!$A:$A,"C02266 SANAFLEX L.P",'Source'!$B:$B,$A17)</f>
        <v>522.81</v>
      </c>
      <c r="J17" s="8" t="n">
        <f aca="false">I17*$J$5</f>
        <v>660.391578947368</v>
      </c>
      <c r="K17" s="8" t="n">
        <f aca="false">J17-H17</f>
        <v>-2474.84842105263</v>
      </c>
      <c r="L17" s="9" t="n">
        <f aca="false">IF(AND(H17=0,J17=0),0,IF(H17=0,"New",(J17-H17)/H17))</f>
        <v>-0.789364903820005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163</v>
      </c>
      <c r="B18" s="7" t="str">
        <f aca="false">IFERROR(INDEX('Source'!$C:$C,MATCH($A18,'Source'!$B:$B,0)),"")</f>
        <v>שרוול לגבס ארוך יד</v>
      </c>
      <c r="C18" s="8" t="n">
        <f aca="false">SUMIFS('Source'!$D:$D,'Source'!$A:$A,"C02266 SANAFLEX L.P",'Source'!$B:$B,$A18)</f>
        <v>325</v>
      </c>
      <c r="D18" s="8" t="n">
        <f aca="false">SUMIFS('Source'!$F:$F,'Source'!$A:$A,"C02266 SANAFLEX L.P",'Source'!$B:$B,$A18)</f>
        <v>220</v>
      </c>
      <c r="E18" s="8" t="n">
        <f aca="false">D18*$J$5</f>
        <v>277.894736842105</v>
      </c>
      <c r="F18" s="8" t="n">
        <f aca="false">E18-C18</f>
        <v>-47.1052631578947</v>
      </c>
      <c r="G18" s="9" t="n">
        <f aca="false">IF(AND(C18=0,E18=0),0,IF(C18=0,"New",(E18-C18)/C18))</f>
        <v>-0.144939271255061</v>
      </c>
      <c r="H18" s="8" t="n">
        <f aca="false">SUMIFS('Source'!$E:$E,'Source'!$A:$A,"C02266 SANAFLEX L.P",'Source'!$B:$B,$A18)</f>
        <v>6622.52</v>
      </c>
      <c r="I18" s="8" t="n">
        <f aca="false">SUMIFS('Source'!$G:$G,'Source'!$A:$A,"C02266 SANAFLEX L.P",'Source'!$B:$B,$A18)</f>
        <v>4021.87</v>
      </c>
      <c r="J18" s="8" t="n">
        <f aca="false">I18*$J$5</f>
        <v>5080.25684210526</v>
      </c>
      <c r="K18" s="8" t="n">
        <f aca="false">J18-H18</f>
        <v>-1542.26315789474</v>
      </c>
      <c r="L18" s="9" t="n">
        <f aca="false">IF(AND(H18=0,J18=0),0,IF(H18=0,"New",(J18-H18)/H18))</f>
        <v>-0.232881615743665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933</v>
      </c>
      <c r="B19" s="7" t="str">
        <f aca="false">IFERROR(INDEX('Source'!$C:$C,MATCH($A19,'Source'!$B:$B,0)),"")</f>
        <v>צוארון עממי</v>
      </c>
      <c r="C19" s="8" t="n">
        <f aca="false">SUMIFS('Source'!$D:$D,'Source'!$A:$A,"C02266 SANAFLEX L.P",'Source'!$B:$B,$A19)</f>
        <v>160</v>
      </c>
      <c r="D19" s="8" t="n">
        <f aca="false">SUMIFS('Source'!$F:$F,'Source'!$A:$A,"C02266 SANAFLEX L.P",'Source'!$B:$B,$A19)</f>
        <v>20</v>
      </c>
      <c r="E19" s="8" t="n">
        <f aca="false">D19*$J$5</f>
        <v>25.2631578947368</v>
      </c>
      <c r="F19" s="8" t="n">
        <f aca="false">E19-C19</f>
        <v>-134.736842105263</v>
      </c>
      <c r="G19" s="9" t="n">
        <f aca="false">IF(AND(C19=0,E19=0),0,IF(C19=0,"New",(E19-C19)/C19))</f>
        <v>-0.842105263157895</v>
      </c>
      <c r="H19" s="8" t="n">
        <f aca="false">SUMIFS('Source'!$E:$E,'Source'!$A:$A,"C02266 SANAFLEX L.P",'Source'!$B:$B,$A19)</f>
        <v>2814.71</v>
      </c>
      <c r="I19" s="8" t="n">
        <f aca="false">SUMIFS('Source'!$G:$G,'Source'!$A:$A,"C02266 SANAFLEX L.P",'Source'!$B:$B,$A19)</f>
        <v>316.93</v>
      </c>
      <c r="J19" s="8" t="n">
        <f aca="false">I19*$J$5</f>
        <v>400.332631578947</v>
      </c>
      <c r="K19" s="8" t="n">
        <f aca="false">J19-H19</f>
        <v>-2414.37736842105</v>
      </c>
      <c r="L19" s="9" t="n">
        <f aca="false">IF(AND(H19=0,J19=0),0,IF(H19=0,"New",(J19-H19)/H19))</f>
        <v>-0.857771268948152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125</v>
      </c>
      <c r="B20" s="7" t="str">
        <f aca="false">IFERROR(INDEX('Source'!$C:$C,MATCH($A20,'Source'!$B:$B,0)),"")</f>
        <v>שרוול לגבס ארוך רגל</v>
      </c>
      <c r="C20" s="8" t="n">
        <f aca="false">SUMIFS('Source'!$D:$D,'Source'!$A:$A,"C02266 SANAFLEX L.P",'Source'!$B:$B,$A20)</f>
        <v>240</v>
      </c>
      <c r="D20" s="8" t="n">
        <f aca="false">SUMIFS('Source'!$F:$F,'Source'!$A:$A,"C02266 SANAFLEX L.P",'Source'!$B:$B,$A20)</f>
        <v>170</v>
      </c>
      <c r="E20" s="8" t="n">
        <f aca="false">D20*$J$5</f>
        <v>214.736842105263</v>
      </c>
      <c r="F20" s="8" t="n">
        <f aca="false">E20-C20</f>
        <v>-25.2631578947369</v>
      </c>
      <c r="G20" s="9" t="n">
        <f aca="false">IF(AND(C20=0,E20=0),0,IF(C20=0,"New",(E20-C20)/C20))</f>
        <v>-0.105263157894737</v>
      </c>
      <c r="H20" s="8" t="n">
        <f aca="false">SUMIFS('Source'!$E:$E,'Source'!$A:$A,"C02266 SANAFLEX L.P",'Source'!$B:$B,$A20)</f>
        <v>6330.7</v>
      </c>
      <c r="I20" s="8" t="n">
        <f aca="false">SUMIFS('Source'!$G:$G,'Source'!$A:$A,"C02266 SANAFLEX L.P",'Source'!$B:$B,$A20)</f>
        <v>4025.84</v>
      </c>
      <c r="J20" s="8" t="n">
        <f aca="false">I20*$J$5</f>
        <v>5085.27157894737</v>
      </c>
      <c r="K20" s="8" t="n">
        <f aca="false">J20-H20</f>
        <v>-1245.42842105263</v>
      </c>
      <c r="L20" s="9" t="n">
        <f aca="false">IF(AND(H20=0,J20=0),0,IF(H20=0,"New",(J20-H20)/H20))</f>
        <v>-0.196728390391684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174</v>
      </c>
      <c r="B21" s="7" t="str">
        <f aca="false">IFERROR(INDEX('Source'!$C:$C,MATCH($A21,'Source'!$B:$B,0)),"")</f>
        <v>AC27</v>
      </c>
      <c r="C21" s="8" t="n">
        <f aca="false">SUMIFS('Source'!$D:$D,'Source'!$A:$A,"C02266 SANAFLEX L.P",'Source'!$B:$B,$A21)</f>
        <v>370</v>
      </c>
      <c r="D21" s="8" t="n">
        <f aca="false">SUMIFS('Source'!$F:$F,'Source'!$A:$A,"C02266 SANAFLEX L.P",'Source'!$B:$B,$A21)</f>
        <v>270</v>
      </c>
      <c r="E21" s="8" t="n">
        <f aca="false">D21*$J$5</f>
        <v>341.052631578947</v>
      </c>
      <c r="F21" s="8" t="n">
        <f aca="false">E21-C21</f>
        <v>-28.9473684210527</v>
      </c>
      <c r="G21" s="9" t="n">
        <f aca="false">IF(AND(C21=0,E21=0),0,IF(C21=0,"New",(E21-C21)/C21))</f>
        <v>-0.0782361308677099</v>
      </c>
      <c r="H21" s="8" t="n">
        <f aca="false">SUMIFS('Source'!$E:$E,'Source'!$A:$A,"C02266 SANAFLEX L.P",'Source'!$B:$B,$A21)</f>
        <v>6604.34</v>
      </c>
      <c r="I21" s="8" t="n">
        <f aca="false">SUMIFS('Source'!$G:$G,'Source'!$A:$A,"C02266 SANAFLEX L.P",'Source'!$B:$B,$A21)</f>
        <v>4382.22</v>
      </c>
      <c r="J21" s="8" t="n">
        <f aca="false">I21*$J$5</f>
        <v>5535.43578947368</v>
      </c>
      <c r="K21" s="8" t="n">
        <f aca="false">J21-H21</f>
        <v>-1068.90421052632</v>
      </c>
      <c r="L21" s="9" t="n">
        <f aca="false">IF(AND(H21=0,J21=0),0,IF(H21=0,"New",(J21-H21)/H21))</f>
        <v>-0.161848755595005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327</v>
      </c>
      <c r="B22" s="7" t="str">
        <f aca="false">IFERROR(INDEX('Source'!$C:$C,MATCH($A22,'Source'!$B:$B,0)),"")</f>
        <v>חגורת גב+סגירה כפולה</v>
      </c>
      <c r="C22" s="8" t="n">
        <f aca="false">SUMIFS('Source'!$D:$D,'Source'!$A:$A,"C02266 SANAFLEX L.P",'Source'!$B:$B,$A22)</f>
        <v>85</v>
      </c>
      <c r="D22" s="8" t="n">
        <f aca="false">SUMIFS('Source'!$F:$F,'Source'!$A:$A,"C02266 SANAFLEX L.P",'Source'!$B:$B,$A22)</f>
        <v>50</v>
      </c>
      <c r="E22" s="8" t="n">
        <f aca="false">D22*$J$5</f>
        <v>63.1578947368421</v>
      </c>
      <c r="F22" s="8" t="n">
        <f aca="false">E22-C22</f>
        <v>-21.8421052631579</v>
      </c>
      <c r="G22" s="9" t="n">
        <f aca="false">IF(AND(C22=0,E22=0),0,IF(C22=0,"New",(E22-C22)/C22))</f>
        <v>-0.256965944272446</v>
      </c>
      <c r="H22" s="8" t="n">
        <f aca="false">SUMIFS('Source'!$E:$E,'Source'!$A:$A,"C02266 SANAFLEX L.P",'Source'!$B:$B,$A22)</f>
        <v>4522.46</v>
      </c>
      <c r="I22" s="8" t="n">
        <f aca="false">SUMIFS('Source'!$G:$G,'Source'!$A:$A,"C02266 SANAFLEX L.P",'Source'!$B:$B,$A22)</f>
        <v>2377.24</v>
      </c>
      <c r="J22" s="8" t="n">
        <f aca="false">I22*$J$5</f>
        <v>3002.82947368421</v>
      </c>
      <c r="K22" s="8" t="n">
        <f aca="false">J22-H22</f>
        <v>-1519.63052631579</v>
      </c>
      <c r="L22" s="9" t="n">
        <f aca="false">IF(AND(H22=0,J22=0),0,IF(H22=0,"New",(J22-H22)/H22))</f>
        <v>-0.336018566513753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595</v>
      </c>
      <c r="B23" s="7" t="str">
        <f aca="false">IFERROR(INDEX('Source'!$C:$C,MATCH($A23,'Source'!$B:$B,0)),"")</f>
        <v>מתלה יד-כיס</v>
      </c>
      <c r="C23" s="8" t="n">
        <f aca="false">SUMIFS('Source'!$D:$D,'Source'!$A:$A,"C02266 SANAFLEX L.P",'Source'!$B:$B,$A23)</f>
        <v>280</v>
      </c>
      <c r="D23" s="8" t="n">
        <f aca="false">SUMIFS('Source'!$F:$F,'Source'!$A:$A,"C02266 SANAFLEX L.P",'Source'!$B:$B,$A23)</f>
        <v>190</v>
      </c>
      <c r="E23" s="8" t="n">
        <f aca="false">D23*$J$5</f>
        <v>240</v>
      </c>
      <c r="F23" s="8" t="n">
        <f aca="false">E23-C23</f>
        <v>-40</v>
      </c>
      <c r="G23" s="9" t="n">
        <f aca="false">IF(AND(C23=0,E23=0),0,IF(C23=0,"New",(E23-C23)/C23))</f>
        <v>-0.142857142857143</v>
      </c>
      <c r="H23" s="8" t="n">
        <f aca="false">SUMIFS('Source'!$E:$E,'Source'!$A:$A,"C02266 SANAFLEX L.P",'Source'!$B:$B,$A23)</f>
        <v>5355.16</v>
      </c>
      <c r="I23" s="8" t="n">
        <f aca="false">SUMIFS('Source'!$G:$G,'Source'!$A:$A,"C02266 SANAFLEX L.P",'Source'!$B:$B,$A23)</f>
        <v>3223.61</v>
      </c>
      <c r="J23" s="8" t="n">
        <f aca="false">I23*$J$5</f>
        <v>4071.92842105263</v>
      </c>
      <c r="K23" s="8" t="n">
        <f aca="false">J23-H23</f>
        <v>-1283.23157894737</v>
      </c>
      <c r="L23" s="9" t="n">
        <f aca="false">IF(AND(H23=0,J23=0),0,IF(H23=0,"New",(J23-H23)/H23))</f>
        <v>-0.239625254697781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934</v>
      </c>
      <c r="B24" s="7" t="str">
        <f aca="false">IFERROR(INDEX('Source'!$C:$C,MATCH($A24,'Source'!$B:$B,0)),"")</f>
        <v>מתלה יד-ספוגי</v>
      </c>
      <c r="C24" s="8" t="n">
        <f aca="false">SUMIFS('Source'!$D:$D,'Source'!$A:$A,"C02266 SANAFLEX L.P",'Source'!$B:$B,$A24)</f>
        <v>170</v>
      </c>
      <c r="D24" s="8" t="n">
        <f aca="false">SUMIFS('Source'!$F:$F,'Source'!$A:$A,"C02266 SANAFLEX L.P",'Source'!$B:$B,$A24)</f>
        <v>110</v>
      </c>
      <c r="E24" s="8" t="n">
        <f aca="false">D24*$J$5</f>
        <v>138.947368421053</v>
      </c>
      <c r="F24" s="8" t="n">
        <f aca="false">E24-C24</f>
        <v>-31.0526315789474</v>
      </c>
      <c r="G24" s="9" t="n">
        <f aca="false">IF(AND(C24=0,E24=0),0,IF(C24=0,"New",(E24-C24)/C24))</f>
        <v>-0.18266253869969</v>
      </c>
      <c r="H24" s="8" t="n">
        <f aca="false">SUMIFS('Source'!$E:$E,'Source'!$A:$A,"C02266 SANAFLEX L.P",'Source'!$B:$B,$A24)</f>
        <v>4725.51</v>
      </c>
      <c r="I24" s="8" t="n">
        <f aca="false">SUMIFS('Source'!$G:$G,'Source'!$A:$A,"C02266 SANAFLEX L.P",'Source'!$B:$B,$A24)</f>
        <v>2678.71</v>
      </c>
      <c r="J24" s="8" t="n">
        <f aca="false">I24*$J$5</f>
        <v>3383.63368421053</v>
      </c>
      <c r="K24" s="8" t="n">
        <f aca="false">J24-H24</f>
        <v>-1341.87631578947</v>
      </c>
      <c r="L24" s="9" t="n">
        <f aca="false">IF(AND(H24=0,J24=0),0,IF(H24=0,"New",(J24-H24)/H24))</f>
        <v>-0.28396433734972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216</v>
      </c>
      <c r="B25" s="7" t="str">
        <f aca="false">IFERROR(INDEX('Source'!$C:$C,MATCH($A25,'Source'!$B:$B,0)),"")</f>
        <v>שרוול לגבס קצר רגל</v>
      </c>
      <c r="C25" s="8" t="n">
        <f aca="false">SUMIFS('Source'!$D:$D,'Source'!$A:$A,"C02266 SANAFLEX L.P",'Source'!$B:$B,$A25)</f>
        <v>220</v>
      </c>
      <c r="D25" s="8" t="n">
        <f aca="false">SUMIFS('Source'!$F:$F,'Source'!$A:$A,"C02266 SANAFLEX L.P",'Source'!$B:$B,$A25)</f>
        <v>160</v>
      </c>
      <c r="E25" s="8" t="n">
        <f aca="false">D25*$J$5</f>
        <v>202.105263157895</v>
      </c>
      <c r="F25" s="8" t="n">
        <f aca="false">E25-C25</f>
        <v>-17.8947368421053</v>
      </c>
      <c r="G25" s="9" t="n">
        <f aca="false">IF(AND(C25=0,E25=0),0,IF(C25=0,"New",(E25-C25)/C25))</f>
        <v>-0.0813397129186603</v>
      </c>
      <c r="H25" s="8" t="n">
        <f aca="false">SUMIFS('Source'!$E:$E,'Source'!$A:$A,"C02266 SANAFLEX L.P",'Source'!$B:$B,$A25)</f>
        <v>5456.05</v>
      </c>
      <c r="I25" s="8" t="n">
        <f aca="false">SUMIFS('Source'!$G:$G,'Source'!$A:$A,"C02266 SANAFLEX L.P",'Source'!$B:$B,$A25)</f>
        <v>3525.24</v>
      </c>
      <c r="J25" s="8" t="n">
        <f aca="false">I25*$J$5</f>
        <v>4452.93473684211</v>
      </c>
      <c r="K25" s="8" t="n">
        <f aca="false">J25-H25</f>
        <v>-1003.1152631579</v>
      </c>
      <c r="L25" s="9" t="n">
        <f aca="false">IF(AND(H25=0,J25=0),0,IF(H25=0,"New",(J25-H25)/H25))</f>
        <v>-0.183853751919043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202</v>
      </c>
      <c r="B26" s="7" t="str">
        <f aca="false">IFERROR(INDEX('Source'!$C:$C,MATCH($A26,'Source'!$B:$B,0)),"")</f>
        <v>סד יד דו צדדי</v>
      </c>
      <c r="C26" s="8" t="n">
        <f aca="false">SUMIFS('Source'!$D:$D,'Source'!$A:$A,"C02266 SANAFLEX L.P",'Source'!$B:$B,$A26)</f>
        <v>73</v>
      </c>
      <c r="D26" s="8" t="n">
        <f aca="false">SUMIFS('Source'!$F:$F,'Source'!$A:$A,"C02266 SANAFLEX L.P",'Source'!$B:$B,$A26)</f>
        <v>35</v>
      </c>
      <c r="E26" s="8" t="n">
        <f aca="false">D26*$J$5</f>
        <v>44.2105263157895</v>
      </c>
      <c r="F26" s="8" t="n">
        <f aca="false">E26-C26</f>
        <v>-28.7894736842105</v>
      </c>
      <c r="G26" s="9" t="n">
        <f aca="false">IF(AND(C26=0,E26=0),0,IF(C26=0,"New",(E26-C26)/C26))</f>
        <v>-0.3943763518385</v>
      </c>
      <c r="H26" s="8" t="n">
        <f aca="false">SUMIFS('Source'!$E:$E,'Source'!$A:$A,"C02266 SANAFLEX L.P",'Source'!$B:$B,$A26)</f>
        <v>3190.5</v>
      </c>
      <c r="I26" s="8" t="n">
        <f aca="false">SUMIFS('Source'!$G:$G,'Source'!$A:$A,"C02266 SANAFLEX L.P",'Source'!$B:$B,$A26)</f>
        <v>1372.39</v>
      </c>
      <c r="J26" s="8" t="n">
        <f aca="false">I26*$J$5</f>
        <v>1733.54526315789</v>
      </c>
      <c r="K26" s="8" t="n">
        <f aca="false">J26-H26</f>
        <v>-1456.95473684211</v>
      </c>
      <c r="L26" s="9" t="n">
        <f aca="false">IF(AND(H26=0,J26=0),0,IF(H26=0,"New",(J26-H26)/H26))</f>
        <v>-0.456654046965086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471</v>
      </c>
      <c r="B27" s="7" t="str">
        <f aca="false">IFERROR(INDEX('Source'!$C:$C,MATCH($A27,'Source'!$B:$B,0)),"")</f>
        <v>ח.בטן 25 ס'מ</v>
      </c>
      <c r="C27" s="8" t="n">
        <f aca="false">SUMIFS('Source'!$D:$D,'Source'!$A:$A,"C02266 SANAFLEX L.P",'Source'!$B:$B,$A27)</f>
        <v>40</v>
      </c>
      <c r="D27" s="8" t="n">
        <f aca="false">SUMIFS('Source'!$F:$F,'Source'!$A:$A,"C02266 SANAFLEX L.P",'Source'!$B:$B,$A27)</f>
        <v>0</v>
      </c>
      <c r="E27" s="8" t="n">
        <f aca="false">D27*$J$5</f>
        <v>0</v>
      </c>
      <c r="F27" s="8" t="n">
        <f aca="false">E27-C27</f>
        <v>-40</v>
      </c>
      <c r="G27" s="9" t="n">
        <f aca="false">IF(AND(C27=0,E27=0),0,IF(C27=0,"New",(E27-C27)/C27))</f>
        <v>-1</v>
      </c>
      <c r="H27" s="8" t="n">
        <f aca="false">SUMIFS('Source'!$E:$E,'Source'!$A:$A,"C02266 SANAFLEX L.P",'Source'!$B:$B,$A27)</f>
        <v>1764.75</v>
      </c>
      <c r="I27" s="8" t="n">
        <f aca="false">SUMIFS('Source'!$G:$G,'Source'!$A:$A,"C02266 SANAFLEX L.P",'Source'!$B:$B,$A27)</f>
        <v>0</v>
      </c>
      <c r="J27" s="8" t="n">
        <f aca="false">I27*$J$5</f>
        <v>0</v>
      </c>
      <c r="K27" s="8" t="n">
        <f aca="false">J27-H27</f>
        <v>-1764.75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119</v>
      </c>
      <c r="B28" s="7" t="str">
        <f aca="false">IFERROR(INDEX('Source'!$C:$C,MATCH($A28,'Source'!$B:$B,0)),"")</f>
        <v>מיישר בוניון-HALUX VALGUS</v>
      </c>
      <c r="C28" s="8" t="n">
        <f aca="false">SUMIFS('Source'!$D:$D,'Source'!$A:$A,"C02266 SANAFLEX L.P",'Source'!$B:$B,$A28)</f>
        <v>230</v>
      </c>
      <c r="D28" s="8" t="n">
        <f aca="false">SUMIFS('Source'!$F:$F,'Source'!$A:$A,"C02266 SANAFLEX L.P",'Source'!$B:$B,$A28)</f>
        <v>140</v>
      </c>
      <c r="E28" s="8" t="n">
        <f aca="false">D28*$J$5</f>
        <v>176.842105263158</v>
      </c>
      <c r="F28" s="8" t="n">
        <f aca="false">E28-C28</f>
        <v>-53.1578947368421</v>
      </c>
      <c r="G28" s="9" t="n">
        <f aca="false">IF(AND(C28=0,E28=0),0,IF(C28=0,"New",(E28-C28)/C28))</f>
        <v>-0.231121281464531</v>
      </c>
      <c r="H28" s="8" t="n">
        <f aca="false">SUMIFS('Source'!$E:$E,'Source'!$A:$A,"C02266 SANAFLEX L.P",'Source'!$B:$B,$A28)</f>
        <v>3782.49</v>
      </c>
      <c r="I28" s="8" t="n">
        <f aca="false">SUMIFS('Source'!$G:$G,'Source'!$A:$A,"C02266 SANAFLEX L.P",'Source'!$B:$B,$A28)</f>
        <v>2106.92</v>
      </c>
      <c r="J28" s="8" t="n">
        <f aca="false">I28*$J$5</f>
        <v>2661.37263157895</v>
      </c>
      <c r="K28" s="8" t="n">
        <f aca="false">J28-H28</f>
        <v>-1121.11736842105</v>
      </c>
      <c r="L28" s="9" t="n">
        <f aca="false">IF(AND(H28=0,J28=0),0,IF(H28=0,"New",(J28-H28)/H28))</f>
        <v>-0.296396650994729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441</v>
      </c>
      <c r="B29" s="7" t="str">
        <f aca="false">IFERROR(INDEX('Source'!$C:$C,MATCH($A29,'Source'!$B:$B,0)),"")</f>
        <v>מגן קרסול</v>
      </c>
      <c r="C29" s="8" t="n">
        <f aca="false">SUMIFS('Source'!$D:$D,'Source'!$A:$A,"C02266 SANAFLEX L.P",'Source'!$B:$B,$A29)</f>
        <v>380</v>
      </c>
      <c r="D29" s="8" t="n">
        <f aca="false">SUMIFS('Source'!$F:$F,'Source'!$A:$A,"C02266 SANAFLEX L.P",'Source'!$B:$B,$A29)</f>
        <v>530</v>
      </c>
      <c r="E29" s="8" t="n">
        <f aca="false">D29*$J$5</f>
        <v>669.473684210526</v>
      </c>
      <c r="F29" s="8" t="n">
        <f aca="false">E29-C29</f>
        <v>289.473684210526</v>
      </c>
      <c r="G29" s="9" t="n">
        <f aca="false">IF(AND(C29=0,E29=0),0,IF(C29=0,"New",(E29-C29)/C29))</f>
        <v>0.761772853185595</v>
      </c>
      <c r="H29" s="8" t="n">
        <f aca="false">SUMIFS('Source'!$E:$E,'Source'!$A:$A,"C02266 SANAFLEX L.P",'Source'!$B:$B,$A29)</f>
        <v>7011.67</v>
      </c>
      <c r="I29" s="8" t="n">
        <f aca="false">SUMIFS('Source'!$G:$G,'Source'!$A:$A,"C02266 SANAFLEX L.P",'Source'!$B:$B,$A29)</f>
        <v>8633.34</v>
      </c>
      <c r="J29" s="8" t="n">
        <f aca="false">I29*$J$5</f>
        <v>10905.2715789474</v>
      </c>
      <c r="K29" s="8" t="n">
        <f aca="false">J29-H29</f>
        <v>3893.60157894737</v>
      </c>
      <c r="L29" s="9" t="n">
        <f aca="false">IF(AND(H29=0,J29=0),0,IF(H29=0,"New",(J29-H29)/H29))</f>
        <v>0.555303027516607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482</v>
      </c>
      <c r="B30" s="7" t="str">
        <f aca="false">IFERROR(INDEX('Source'!$C:$C,MATCH($A30,'Source'!$B:$B,0)),"")</f>
        <v>ח.בטן 25 ס'מ</v>
      </c>
      <c r="C30" s="8" t="n">
        <f aca="false">SUMIFS('Source'!$D:$D,'Source'!$A:$A,"C02266 SANAFLEX L.P",'Source'!$B:$B,$A30)</f>
        <v>40</v>
      </c>
      <c r="D30" s="8" t="n">
        <f aca="false">SUMIFS('Source'!$F:$F,'Source'!$A:$A,"C02266 SANAFLEX L.P",'Source'!$B:$B,$A30)</f>
        <v>5</v>
      </c>
      <c r="E30" s="8" t="n">
        <f aca="false">D30*$J$5</f>
        <v>6.31578947368421</v>
      </c>
      <c r="F30" s="8" t="n">
        <f aca="false">E30-C30</f>
        <v>-33.6842105263158</v>
      </c>
      <c r="G30" s="9" t="n">
        <f aca="false">IF(AND(C30=0,E30=0),0,IF(C30=0,"New",(E30-C30)/C30))</f>
        <v>-0.842105263157895</v>
      </c>
      <c r="H30" s="8" t="n">
        <f aca="false">SUMIFS('Source'!$E:$E,'Source'!$A:$A,"C02266 SANAFLEX L.P",'Source'!$B:$B,$A30)</f>
        <v>1764.75</v>
      </c>
      <c r="I30" s="8" t="n">
        <f aca="false">SUMIFS('Source'!$G:$G,'Source'!$A:$A,"C02266 SANAFLEX L.P",'Source'!$B:$B,$A30)</f>
        <v>198.75</v>
      </c>
      <c r="J30" s="8" t="n">
        <f aca="false">I30*$J$5</f>
        <v>251.052631578947</v>
      </c>
      <c r="K30" s="8" t="n">
        <f aca="false">J30-H30</f>
        <v>-1513.69736842105</v>
      </c>
      <c r="L30" s="9" t="n">
        <f aca="false">IF(AND(H30=0,J30=0),0,IF(H30=0,"New",(J30-H30)/H30))</f>
        <v>-0.857740398595298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135</v>
      </c>
      <c r="B31" s="7" t="str">
        <f aca="false">IFERROR(INDEX('Source'!$C:$C,MATCH($A31,'Source'!$B:$B,0)),"")</f>
        <v>מגן ברך עם תמיכות</v>
      </c>
      <c r="C31" s="8" t="n">
        <f aca="false">SUMIFS('Source'!$D:$D,'Source'!$A:$A,"C02266 SANAFLEX L.P",'Source'!$B:$B,$A31)</f>
        <v>480</v>
      </c>
      <c r="D31" s="8" t="n">
        <f aca="false">SUMIFS('Source'!$F:$F,'Source'!$A:$A,"C02266 SANAFLEX L.P",'Source'!$B:$B,$A31)</f>
        <v>480</v>
      </c>
      <c r="E31" s="8" t="n">
        <f aca="false">D31*$J$5</f>
        <v>606.315789473684</v>
      </c>
      <c r="F31" s="8" t="n">
        <f aca="false">E31-C31</f>
        <v>126.315789473684</v>
      </c>
      <c r="G31" s="9" t="n">
        <f aca="false">IF(AND(C31=0,E31=0),0,IF(C31=0,"New",(E31-C31)/C31))</f>
        <v>0.263157894736842</v>
      </c>
      <c r="H31" s="8" t="n">
        <f aca="false">SUMIFS('Source'!$E:$E,'Source'!$A:$A,"C02266 SANAFLEX L.P",'Source'!$B:$B,$A31)</f>
        <v>16012.02</v>
      </c>
      <c r="I31" s="8" t="n">
        <f aca="false">SUMIFS('Source'!$G:$G,'Source'!$A:$A,"C02266 SANAFLEX L.P",'Source'!$B:$B,$A31)</f>
        <v>14459.98</v>
      </c>
      <c r="J31" s="8" t="n">
        <f aca="false">I31*$J$5</f>
        <v>18265.2378947368</v>
      </c>
      <c r="K31" s="8" t="n">
        <f aca="false">J31-H31</f>
        <v>2253.21789473684</v>
      </c>
      <c r="L31" s="9" t="n">
        <f aca="false">IF(AND(H31=0,J31=0),0,IF(H31=0,"New",(J31-H31)/H31))</f>
        <v>0.140720402218886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101</v>
      </c>
      <c r="B32" s="7" t="str">
        <f aca="false">IFERROR(INDEX('Source'!$C:$C,MATCH($A32,'Source'!$B:$B,0)),"")</f>
        <v>מיישר כתפיים</v>
      </c>
      <c r="C32" s="8" t="n">
        <f aca="false">SUMIFS('Source'!$D:$D,'Source'!$A:$A,"C02266 SANAFLEX L.P",'Source'!$B:$B,$A32)</f>
        <v>115</v>
      </c>
      <c r="D32" s="8" t="n">
        <f aca="false">SUMIFS('Source'!$F:$F,'Source'!$A:$A,"C02266 SANAFLEX L.P",'Source'!$B:$B,$A32)</f>
        <v>75</v>
      </c>
      <c r="E32" s="8" t="n">
        <f aca="false">D32*$J$5</f>
        <v>94.7368421052632</v>
      </c>
      <c r="F32" s="8" t="n">
        <f aca="false">E32-C32</f>
        <v>-20.2631578947369</v>
      </c>
      <c r="G32" s="9" t="n">
        <f aca="false">IF(AND(C32=0,E32=0),0,IF(C32=0,"New",(E32-C32)/C32))</f>
        <v>-0.176201372997712</v>
      </c>
      <c r="H32" s="8" t="n">
        <f aca="false">SUMIFS('Source'!$E:$E,'Source'!$A:$A,"C02266 SANAFLEX L.P",'Source'!$B:$B,$A32)</f>
        <v>3675.09</v>
      </c>
      <c r="I32" s="8" t="n">
        <f aca="false">SUMIFS('Source'!$G:$G,'Source'!$A:$A,"C02266 SANAFLEX L.P",'Source'!$B:$B,$A32)</f>
        <v>2150.11</v>
      </c>
      <c r="J32" s="8" t="n">
        <f aca="false">I32*$J$5</f>
        <v>2715.92842105263</v>
      </c>
      <c r="K32" s="8" t="n">
        <f aca="false">J32-H32</f>
        <v>-959.161578947369</v>
      </c>
      <c r="L32" s="9" t="n">
        <f aca="false">IF(AND(H32=0,J32=0),0,IF(H32=0,"New",(J32-H32)/H32))</f>
        <v>-0.26098995642212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369</v>
      </c>
      <c r="B33" s="7" t="str">
        <f aca="false">IFERROR(INDEX('Source'!$C:$C,MATCH($A33,'Source'!$B:$B,0)),"")</f>
        <v>מגן ברך שחור</v>
      </c>
      <c r="C33" s="8" t="n">
        <f aca="false">SUMIFS('Source'!$D:$D,'Source'!$A:$A,"C02266 SANAFLEX L.P",'Source'!$B:$B,$A33)</f>
        <v>270</v>
      </c>
      <c r="D33" s="8" t="n">
        <f aca="false">SUMIFS('Source'!$F:$F,'Source'!$A:$A,"C02266 SANAFLEX L.P",'Source'!$B:$B,$A33)</f>
        <v>140</v>
      </c>
      <c r="E33" s="8" t="n">
        <f aca="false">D33*$J$5</f>
        <v>176.842105263158</v>
      </c>
      <c r="F33" s="8" t="n">
        <f aca="false">E33-C33</f>
        <v>-93.1578947368421</v>
      </c>
      <c r="G33" s="9" t="n">
        <f aca="false">IF(AND(C33=0,E33=0),0,IF(C33=0,"New",(E33-C33)/C33))</f>
        <v>-0.345029239766082</v>
      </c>
      <c r="H33" s="8" t="n">
        <f aca="false">SUMIFS('Source'!$E:$E,'Source'!$A:$A,"C02266 SANAFLEX L.P",'Source'!$B:$B,$A33)</f>
        <v>2944.57</v>
      </c>
      <c r="I33" s="8" t="n">
        <f aca="false">SUMIFS('Source'!$G:$G,'Source'!$A:$A,"C02266 SANAFLEX L.P",'Source'!$B:$B,$A33)</f>
        <v>1425.23</v>
      </c>
      <c r="J33" s="8" t="n">
        <f aca="false">I33*$J$5</f>
        <v>1800.29052631579</v>
      </c>
      <c r="K33" s="8" t="n">
        <f aca="false">J33-H33</f>
        <v>-1144.27947368421</v>
      </c>
      <c r="L33" s="9" t="n">
        <f aca="false">IF(AND(H33=0,J33=0),0,IF(H33=0,"New",(J33-H33)/H33))</f>
        <v>-0.388606646703665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156</v>
      </c>
      <c r="B34" s="7" t="str">
        <f aca="false">IFERROR(INDEX('Source'!$C:$C,MATCH($A34,'Source'!$B:$B,0)),"")</f>
        <v>AC27</v>
      </c>
      <c r="C34" s="8" t="n">
        <f aca="false">SUMIFS('Source'!$D:$D,'Source'!$A:$A,"C02266 SANAFLEX L.P",'Source'!$B:$B,$A34)</f>
        <v>400</v>
      </c>
      <c r="D34" s="8" t="n">
        <f aca="false">SUMIFS('Source'!$F:$F,'Source'!$A:$A,"C02266 SANAFLEX L.P",'Source'!$B:$B,$A34)</f>
        <v>350</v>
      </c>
      <c r="E34" s="8" t="n">
        <f aca="false">D34*$J$5</f>
        <v>442.105263157895</v>
      </c>
      <c r="F34" s="8" t="n">
        <f aca="false">E34-C34</f>
        <v>42.1052631578947</v>
      </c>
      <c r="G34" s="9" t="n">
        <f aca="false">IF(AND(C34=0,E34=0),0,IF(C34=0,"New",(E34-C34)/C34))</f>
        <v>0.105263157894737</v>
      </c>
      <c r="H34" s="8" t="n">
        <f aca="false">SUMIFS('Source'!$E:$E,'Source'!$A:$A,"C02266 SANAFLEX L.P",'Source'!$B:$B,$A34)</f>
        <v>7141.27</v>
      </c>
      <c r="I34" s="8" t="n">
        <f aca="false">SUMIFS('Source'!$G:$G,'Source'!$A:$A,"C02266 SANAFLEX L.P",'Source'!$B:$B,$A34)</f>
        <v>5680.04</v>
      </c>
      <c r="J34" s="8" t="n">
        <f aca="false">I34*$J$5</f>
        <v>7174.78736842105</v>
      </c>
      <c r="K34" s="8" t="n">
        <f aca="false">J34-H34</f>
        <v>33.5173684210522</v>
      </c>
      <c r="L34" s="9" t="n">
        <f aca="false">IF(AND(H34=0,J34=0),0,IF(H34=0,"New",(J34-H34)/H34))</f>
        <v>0.00469347446897431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935</v>
      </c>
      <c r="B35" s="7" t="str">
        <f aca="false">IFERROR(INDEX('Source'!$C:$C,MATCH($A35,'Source'!$B:$B,0)),"")</f>
        <v>צוארון עממי</v>
      </c>
      <c r="C35" s="8" t="n">
        <f aca="false">SUMIFS('Source'!$D:$D,'Source'!$A:$A,"C02266 SANAFLEX L.P",'Source'!$B:$B,$A35)</f>
        <v>216</v>
      </c>
      <c r="D35" s="8" t="n">
        <f aca="false">SUMIFS('Source'!$F:$F,'Source'!$A:$A,"C02266 SANAFLEX L.P",'Source'!$B:$B,$A35)</f>
        <v>150</v>
      </c>
      <c r="E35" s="8" t="n">
        <f aca="false">D35*$J$5</f>
        <v>189.473684210526</v>
      </c>
      <c r="F35" s="8" t="n">
        <f aca="false">E35-C35</f>
        <v>-26.5263157894737</v>
      </c>
      <c r="G35" s="9" t="n">
        <f aca="false">IF(AND(C35=0,E35=0),0,IF(C35=0,"New",(E35-C35)/C35))</f>
        <v>-0.12280701754386</v>
      </c>
      <c r="H35" s="8" t="n">
        <f aca="false">SUMIFS('Source'!$E:$E,'Source'!$A:$A,"C02266 SANAFLEX L.P",'Source'!$B:$B,$A35)</f>
        <v>3814.23</v>
      </c>
      <c r="I35" s="8" t="n">
        <f aca="false">SUMIFS('Source'!$G:$G,'Source'!$A:$A,"C02266 SANAFLEX L.P",'Source'!$B:$B,$A35)</f>
        <v>2377.4</v>
      </c>
      <c r="J35" s="8" t="n">
        <f aca="false">I35*$J$5</f>
        <v>3003.03157894737</v>
      </c>
      <c r="K35" s="8" t="n">
        <f aca="false">J35-H35</f>
        <v>-811.198421052632</v>
      </c>
      <c r="L35" s="9" t="n">
        <f aca="false">IF(AND(H35=0,J35=0),0,IF(H35=0,"New",(J35-H35)/H35))</f>
        <v>-0.212676849862916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570</v>
      </c>
      <c r="B36" s="7" t="str">
        <f aca="false">IFERROR(INDEX('Source'!$C:$C,MATCH($A36,'Source'!$B:$B,0)),"")</f>
        <v>רפידת זיכרון 376</v>
      </c>
      <c r="C36" s="8" t="n">
        <f aca="false">SUMIFS('Source'!$D:$D,'Source'!$A:$A,"C02266 SANAFLEX L.P",'Source'!$B:$B,$A36)</f>
        <v>170</v>
      </c>
      <c r="D36" s="8" t="n">
        <f aca="false">SUMIFS('Source'!$F:$F,'Source'!$A:$A,"C02266 SANAFLEX L.P",'Source'!$B:$B,$A36)</f>
        <v>80</v>
      </c>
      <c r="E36" s="8" t="n">
        <f aca="false">D36*$J$5</f>
        <v>101.052631578947</v>
      </c>
      <c r="F36" s="8" t="n">
        <f aca="false">E36-C36</f>
        <v>-68.9473684210526</v>
      </c>
      <c r="G36" s="9" t="n">
        <f aca="false">IF(AND(C36=0,E36=0),0,IF(C36=0,"New",(E36-C36)/C36))</f>
        <v>-0.405572755417957</v>
      </c>
      <c r="H36" s="8" t="n">
        <f aca="false">SUMIFS('Source'!$E:$E,'Source'!$A:$A,"C02266 SANAFLEX L.P",'Source'!$B:$B,$A36)</f>
        <v>2479.51</v>
      </c>
      <c r="I36" s="8" t="n">
        <f aca="false">SUMIFS('Source'!$G:$G,'Source'!$A:$A,"C02266 SANAFLEX L.P",'Source'!$B:$B,$A36)</f>
        <v>1092.49</v>
      </c>
      <c r="J36" s="8" t="n">
        <f aca="false">I36*$J$5</f>
        <v>1379.98736842105</v>
      </c>
      <c r="K36" s="8" t="n">
        <f aca="false">J36-H36</f>
        <v>-1099.52263157895</v>
      </c>
      <c r="L36" s="9" t="n">
        <f aca="false">IF(AND(H36=0,J36=0),0,IF(H36=0,"New",(J36-H36)/H36))</f>
        <v>-0.443443515686143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696</v>
      </c>
      <c r="B37" s="7" t="str">
        <f aca="false">IFERROR(INDEX('Source'!$C:$C,MATCH($A37,'Source'!$B:$B,0)),"")</f>
        <v>אצבעון מפלסטיק  ליד</v>
      </c>
      <c r="C37" s="8" t="n">
        <f aca="false">SUMIFS('Source'!$D:$D,'Source'!$A:$A,"C02266 SANAFLEX L.P",'Source'!$B:$B,$A37)</f>
        <v>550</v>
      </c>
      <c r="D37" s="8" t="n">
        <f aca="false">SUMIFS('Source'!$F:$F,'Source'!$A:$A,"C02266 SANAFLEX L.P",'Source'!$B:$B,$A37)</f>
        <v>430</v>
      </c>
      <c r="E37" s="8" t="n">
        <f aca="false">D37*$J$5</f>
        <v>543.157894736842</v>
      </c>
      <c r="F37" s="8" t="n">
        <f aca="false">E37-C37</f>
        <v>-6.84210526315792</v>
      </c>
      <c r="G37" s="9" t="n">
        <f aca="false">IF(AND(C37=0,E37=0),0,IF(C37=0,"New",(E37-C37)/C37))</f>
        <v>-0.0124401913875599</v>
      </c>
      <c r="H37" s="8" t="n">
        <f aca="false">SUMIFS('Source'!$E:$E,'Source'!$A:$A,"C02266 SANAFLEX L.P",'Source'!$B:$B,$A37)</f>
        <v>4642.59</v>
      </c>
      <c r="I37" s="8" t="n">
        <f aca="false">SUMIFS('Source'!$G:$G,'Source'!$A:$A,"C02266 SANAFLEX L.P",'Source'!$B:$B,$A37)</f>
        <v>3256.42</v>
      </c>
      <c r="J37" s="8" t="n">
        <f aca="false">I37*$J$5</f>
        <v>4113.37263157895</v>
      </c>
      <c r="K37" s="8" t="n">
        <f aca="false">J37-H37</f>
        <v>-529.217368421053</v>
      </c>
      <c r="L37" s="9" t="n">
        <f aca="false">IF(AND(H37=0,J37=0),0,IF(H37=0,"New",(J37-H37)/H37))</f>
        <v>-0.113991838267229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502</v>
      </c>
      <c r="B38" s="7" t="str">
        <f aca="false">IFERROR(INDEX('Source'!$C:$C,MATCH($A38,'Source'!$B:$B,0)),"")</f>
        <v>מיישר בוהן</v>
      </c>
      <c r="C38" s="8" t="n">
        <f aca="false">SUMIFS('Source'!$D:$D,'Source'!$A:$A,"C02266 SANAFLEX L.P",'Source'!$B:$B,$A38)</f>
        <v>300</v>
      </c>
      <c r="D38" s="8" t="n">
        <f aca="false">SUMIFS('Source'!$F:$F,'Source'!$A:$A,"C02266 SANAFLEX L.P",'Source'!$B:$B,$A38)</f>
        <v>40</v>
      </c>
      <c r="E38" s="8" t="n">
        <f aca="false">D38*$J$5</f>
        <v>50.5263157894737</v>
      </c>
      <c r="F38" s="8" t="n">
        <f aca="false">E38-C38</f>
        <v>-249.473684210526</v>
      </c>
      <c r="G38" s="9" t="n">
        <f aca="false">IF(AND(C38=0,E38=0),0,IF(C38=0,"New",(E38-C38)/C38))</f>
        <v>-0.831578947368421</v>
      </c>
      <c r="H38" s="8" t="n">
        <f aca="false">SUMIFS('Source'!$E:$E,'Source'!$A:$A,"C02266 SANAFLEX L.P",'Source'!$B:$B,$A38)</f>
        <v>1576.45</v>
      </c>
      <c r="I38" s="8" t="n">
        <f aca="false">SUMIFS('Source'!$G:$G,'Source'!$A:$A,"C02266 SANAFLEX L.P",'Source'!$B:$B,$A38)</f>
        <v>196.74</v>
      </c>
      <c r="J38" s="8" t="n">
        <f aca="false">I38*$J$5</f>
        <v>248.513684210526</v>
      </c>
      <c r="K38" s="8" t="n">
        <f aca="false">J38-H38</f>
        <v>-1327.93631578947</v>
      </c>
      <c r="L38" s="9" t="n">
        <f aca="false">IF(AND(H38=0,J38=0),0,IF(H38=0,"New",(J38-H38)/H38))</f>
        <v>-0.842358663953486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245</v>
      </c>
      <c r="B39" s="7" t="str">
        <f aca="false">IFERROR(INDEX('Source'!$C:$C,MATCH($A39,'Source'!$B:$B,0)),"")</f>
        <v>חבק טניס</v>
      </c>
      <c r="C39" s="8" t="n">
        <f aca="false">SUMIFS('Source'!$D:$D,'Source'!$A:$A,"C02266 SANAFLEX L.P",'Source'!$B:$B,$A39)</f>
        <v>430</v>
      </c>
      <c r="D39" s="8" t="n">
        <f aca="false">SUMIFS('Source'!$F:$F,'Source'!$A:$A,"C02266 SANAFLEX L.P",'Source'!$B:$B,$A39)</f>
        <v>380</v>
      </c>
      <c r="E39" s="8" t="n">
        <f aca="false">D39*$J$5</f>
        <v>480</v>
      </c>
      <c r="F39" s="8" t="n">
        <f aca="false">E39-C39</f>
        <v>50</v>
      </c>
      <c r="G39" s="9" t="n">
        <f aca="false">IF(AND(C39=0,E39=0),0,IF(C39=0,"New",(E39-C39)/C39))</f>
        <v>0.116279069767442</v>
      </c>
      <c r="H39" s="8" t="n">
        <f aca="false">SUMIFS('Source'!$E:$E,'Source'!$A:$A,"C02266 SANAFLEX L.P",'Source'!$B:$B,$A39)</f>
        <v>6711.58</v>
      </c>
      <c r="I39" s="8" t="n">
        <f aca="false">SUMIFS('Source'!$G:$G,'Source'!$A:$A,"C02266 SANAFLEX L.P",'Source'!$B:$B,$A39)</f>
        <v>5341.4</v>
      </c>
      <c r="J39" s="8" t="n">
        <f aca="false">I39*$J$5</f>
        <v>6747.03157894737</v>
      </c>
      <c r="K39" s="8" t="n">
        <f aca="false">J39-H39</f>
        <v>35.451578947368</v>
      </c>
      <c r="L39" s="9" t="n">
        <f aca="false">IF(AND(H39=0,J39=0),0,IF(H39=0,"New",(J39-H39)/H39))</f>
        <v>0.00528215099087965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297</v>
      </c>
      <c r="B40" s="7" t="str">
        <f aca="false">IFERROR(INDEX('Source'!$C:$C,MATCH($A40,'Source'!$B:$B,0)),"")</f>
        <v>חגורת גב+סגירה כפולה</v>
      </c>
      <c r="C40" s="8" t="n">
        <f aca="false">SUMIFS('Source'!$D:$D,'Source'!$A:$A,"C02266 SANAFLEX L.P",'Source'!$B:$B,$A40)</f>
        <v>110</v>
      </c>
      <c r="D40" s="8" t="n">
        <f aca="false">SUMIFS('Source'!$F:$F,'Source'!$A:$A,"C02266 SANAFLEX L.P",'Source'!$B:$B,$A40)</f>
        <v>95</v>
      </c>
      <c r="E40" s="8" t="n">
        <f aca="false">D40*$J$5</f>
        <v>120</v>
      </c>
      <c r="F40" s="8" t="n">
        <f aca="false">E40-C40</f>
        <v>10</v>
      </c>
      <c r="G40" s="9" t="n">
        <f aca="false">IF(AND(C40=0,E40=0),0,IF(C40=0,"New",(E40-C40)/C40))</f>
        <v>0.0909090909090909</v>
      </c>
      <c r="H40" s="8" t="n">
        <f aca="false">SUMIFS('Source'!$E:$E,'Source'!$A:$A,"C02266 SANAFLEX L.P",'Source'!$B:$B,$A40)</f>
        <v>5833.07</v>
      </c>
      <c r="I40" s="8" t="n">
        <f aca="false">SUMIFS('Source'!$G:$G,'Source'!$A:$A,"C02266 SANAFLEX L.P",'Source'!$B:$B,$A40)</f>
        <v>4491.57</v>
      </c>
      <c r="J40" s="8" t="n">
        <f aca="false">I40*$J$5</f>
        <v>5673.56210526316</v>
      </c>
      <c r="K40" s="8" t="n">
        <f aca="false">J40-H40</f>
        <v>-159.507894736843</v>
      </c>
      <c r="L40" s="9" t="n">
        <f aca="false">IF(AND(H40=0,J40=0),0,IF(H40=0,"New",(J40-H40)/H40))</f>
        <v>-0.0273454449778321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253</v>
      </c>
      <c r="B41" s="7" t="str">
        <f aca="false">IFERROR(INDEX('Source'!$C:$C,MATCH($A41,'Source'!$B:$B,0)),"")</f>
        <v>סד לאגודל</v>
      </c>
      <c r="C41" s="8" t="n">
        <f aca="false">SUMIFS('Source'!$D:$D,'Source'!$A:$A,"C02266 SANAFLEX L.P",'Source'!$B:$B,$A41)</f>
        <v>700</v>
      </c>
      <c r="D41" s="8" t="n">
        <f aca="false">SUMIFS('Source'!$F:$F,'Source'!$A:$A,"C02266 SANAFLEX L.P",'Source'!$B:$B,$A41)</f>
        <v>870</v>
      </c>
      <c r="E41" s="8" t="n">
        <f aca="false">D41*$J$5</f>
        <v>1098.94736842105</v>
      </c>
      <c r="F41" s="8" t="n">
        <f aca="false">E41-C41</f>
        <v>398.947368421053</v>
      </c>
      <c r="G41" s="9" t="n">
        <f aca="false">IF(AND(C41=0,E41=0),0,IF(C41=0,"New",(E41-C41)/C41))</f>
        <v>0.569924812030075</v>
      </c>
      <c r="H41" s="8" t="n">
        <f aca="false">SUMIFS('Source'!$E:$E,'Source'!$A:$A,"C02266 SANAFLEX L.P",'Source'!$B:$B,$A41)</f>
        <v>10389.8</v>
      </c>
      <c r="I41" s="8" t="n">
        <f aca="false">SUMIFS('Source'!$G:$G,'Source'!$A:$A,"C02266 SANAFLEX L.P",'Source'!$B:$B,$A41)</f>
        <v>11685.59</v>
      </c>
      <c r="J41" s="8" t="n">
        <f aca="false">I41*$J$5</f>
        <v>14760.7452631579</v>
      </c>
      <c r="K41" s="8" t="n">
        <f aca="false">J41-H41</f>
        <v>4370.9452631579</v>
      </c>
      <c r="L41" s="9" t="n">
        <f aca="false">IF(AND(H41=0,J41=0),0,IF(H41=0,"New",(J41-H41)/H41))</f>
        <v>0.420695803880527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435</v>
      </c>
      <c r="B42" s="7" t="str">
        <f aca="false">IFERROR(INDEX('Source'!$C:$C,MATCH($A42,'Source'!$B:$B,0)),"")</f>
        <v>מגן ברך שחור</v>
      </c>
      <c r="C42" s="8" t="n">
        <f aca="false">SUMIFS('Source'!$D:$D,'Source'!$A:$A,"C02266 SANAFLEX L.P",'Source'!$B:$B,$A42)</f>
        <v>290</v>
      </c>
      <c r="D42" s="8" t="n">
        <f aca="false">SUMIFS('Source'!$F:$F,'Source'!$A:$A,"C02266 SANAFLEX L.P",'Source'!$B:$B,$A42)</f>
        <v>200</v>
      </c>
      <c r="E42" s="8" t="n">
        <f aca="false">D42*$J$5</f>
        <v>252.631578947368</v>
      </c>
      <c r="F42" s="8" t="n">
        <f aca="false">E42-C42</f>
        <v>-37.3684210526316</v>
      </c>
      <c r="G42" s="9" t="n">
        <f aca="false">IF(AND(C42=0,E42=0),0,IF(C42=0,"New",(E42-C42)/C42))</f>
        <v>-0.128856624319419</v>
      </c>
      <c r="H42" s="8" t="n">
        <f aca="false">SUMIFS('Source'!$E:$E,'Source'!$A:$A,"C02266 SANAFLEX L.P",'Source'!$B:$B,$A42)</f>
        <v>3236.39</v>
      </c>
      <c r="I42" s="8" t="n">
        <f aca="false">SUMIFS('Source'!$G:$G,'Source'!$A:$A,"C02266 SANAFLEX L.P",'Source'!$B:$B,$A42)</f>
        <v>1988.63</v>
      </c>
      <c r="J42" s="8" t="n">
        <f aca="false">I42*$J$5</f>
        <v>2511.95368421053</v>
      </c>
      <c r="K42" s="8" t="n">
        <f aca="false">J42-H42</f>
        <v>-724.436315789474</v>
      </c>
      <c r="L42" s="9" t="n">
        <f aca="false">IF(AND(H42=0,J42=0),0,IF(H42=0,"New",(J42-H42)/H42))</f>
        <v>-0.223840858422339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700</v>
      </c>
      <c r="B43" s="7" t="str">
        <f aca="false">IFERROR(INDEX('Source'!$C:$C,MATCH($A43,'Source'!$B:$B,0)),"")</f>
        <v>אצבעון מפלסטיק  ליד</v>
      </c>
      <c r="C43" s="8" t="n">
        <f aca="false">SUMIFS('Source'!$D:$D,'Source'!$A:$A,"C02266 SANAFLEX L.P",'Source'!$B:$B,$A43)</f>
        <v>380</v>
      </c>
      <c r="D43" s="8" t="n">
        <f aca="false">SUMIFS('Source'!$F:$F,'Source'!$A:$A,"C02266 SANAFLEX L.P",'Source'!$B:$B,$A43)</f>
        <v>260</v>
      </c>
      <c r="E43" s="8" t="n">
        <f aca="false">D43*$J$5</f>
        <v>328.421052631579</v>
      </c>
      <c r="F43" s="8" t="n">
        <f aca="false">E43-C43</f>
        <v>-51.5789473684211</v>
      </c>
      <c r="G43" s="9" t="n">
        <f aca="false">IF(AND(C43=0,E43=0),0,IF(C43=0,"New",(E43-C43)/C43))</f>
        <v>-0.135734072022161</v>
      </c>
      <c r="H43" s="8" t="n">
        <f aca="false">SUMIFS('Source'!$E:$E,'Source'!$A:$A,"C02266 SANAFLEX L.P",'Source'!$B:$B,$A43)</f>
        <v>3214.37</v>
      </c>
      <c r="I43" s="8" t="n">
        <f aca="false">SUMIFS('Source'!$G:$G,'Source'!$A:$A,"C02266 SANAFLEX L.P",'Source'!$B:$B,$A43)</f>
        <v>1967.67</v>
      </c>
      <c r="J43" s="8" t="n">
        <f aca="false">I43*$J$5</f>
        <v>2485.47789473684</v>
      </c>
      <c r="K43" s="8" t="n">
        <f aca="false">J43-H43</f>
        <v>-728.892105263158</v>
      </c>
      <c r="L43" s="9" t="n">
        <f aca="false">IF(AND(H43=0,J43=0),0,IF(H43=0,"New",(J43-H43)/H43))</f>
        <v>-0.226760486584668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698</v>
      </c>
      <c r="B44" s="7" t="str">
        <f aca="false">IFERROR(INDEX('Source'!$C:$C,MATCH($A44,'Source'!$B:$B,0)),"")</f>
        <v>מגן ברך חום</v>
      </c>
      <c r="C44" s="8" t="n">
        <f aca="false">SUMIFS('Source'!$D:$D,'Source'!$A:$A,"C02266 SANAFLEX L.P",'Source'!$B:$B,$A44)</f>
        <v>220</v>
      </c>
      <c r="D44" s="8" t="n">
        <f aca="false">SUMIFS('Source'!$F:$F,'Source'!$A:$A,"C02266 SANAFLEX L.P",'Source'!$B:$B,$A44)</f>
        <v>116</v>
      </c>
      <c r="E44" s="8" t="n">
        <f aca="false">D44*$J$5</f>
        <v>146.526315789474</v>
      </c>
      <c r="F44" s="8" t="n">
        <f aca="false">E44-C44</f>
        <v>-73.4736842105263</v>
      </c>
      <c r="G44" s="9" t="n">
        <f aca="false">IF(AND(C44=0,E44=0),0,IF(C44=0,"New",(E44-C44)/C44))</f>
        <v>-0.333971291866029</v>
      </c>
      <c r="H44" s="8" t="n">
        <f aca="false">SUMIFS('Source'!$E:$E,'Source'!$A:$A,"C02266 SANAFLEX L.P",'Source'!$B:$B,$A44)</f>
        <v>2259.62</v>
      </c>
      <c r="I44" s="8" t="n">
        <f aca="false">SUMIFS('Source'!$G:$G,'Source'!$A:$A,"C02266 SANAFLEX L.P",'Source'!$B:$B,$A44)</f>
        <v>1063.27</v>
      </c>
      <c r="J44" s="8" t="n">
        <f aca="false">I44*$J$5</f>
        <v>1343.07789473684</v>
      </c>
      <c r="K44" s="8" t="n">
        <f aca="false">J44-H44</f>
        <v>-916.542105263158</v>
      </c>
      <c r="L44" s="9" t="n">
        <f aca="false">IF(AND(H44=0,J44=0),0,IF(H44=0,"New",(J44-H44)/H44))</f>
        <v>-0.405617805322646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118</v>
      </c>
      <c r="B45" s="7" t="str">
        <f aca="false">IFERROR(INDEX('Source'!$C:$C,MATCH($A45,'Source'!$B:$B,0)),"")</f>
        <v>גרבי קיץ אנטיבקטריאלי שחור</v>
      </c>
      <c r="C45" s="8" t="n">
        <f aca="false">SUMIFS('Source'!$D:$D,'Source'!$A:$A,"C02266 SANAFLEX L.P",'Source'!$B:$B,$A45)</f>
        <v>1</v>
      </c>
      <c r="D45" s="8" t="n">
        <f aca="false">SUMIFS('Source'!$F:$F,'Source'!$A:$A,"C02266 SANAFLEX L.P",'Source'!$B:$B,$A45)</f>
        <v>60</v>
      </c>
      <c r="E45" s="8" t="n">
        <f aca="false">D45*$J$5</f>
        <v>75.7894736842105</v>
      </c>
      <c r="F45" s="8" t="n">
        <f aca="false">E45-C45</f>
        <v>74.7894736842105</v>
      </c>
      <c r="G45" s="9" t="n">
        <f aca="false">IF(AND(C45=0,E45=0),0,IF(C45=0,"New",(E45-C45)/C45))</f>
        <v>74.7894736842105</v>
      </c>
      <c r="H45" s="8" t="n">
        <f aca="false">SUMIFS('Source'!$E:$E,'Source'!$A:$A,"C02266 SANAFLEX L.P",'Source'!$B:$B,$A45)</f>
        <v>0.04</v>
      </c>
      <c r="I45" s="8" t="n">
        <f aca="false">SUMIFS('Source'!$G:$G,'Source'!$A:$A,"C02266 SANAFLEX L.P",'Source'!$B:$B,$A45)</f>
        <v>1191.33</v>
      </c>
      <c r="J45" s="8" t="n">
        <f aca="false">I45*$J$5</f>
        <v>1504.83789473684</v>
      </c>
      <c r="K45" s="8" t="n">
        <f aca="false">J45-H45</f>
        <v>1504.79789473684</v>
      </c>
      <c r="L45" s="9" t="n">
        <f aca="false">IF(AND(H45=0,J45=0),0,IF(H45=0,"New",(J45-H45)/H45))</f>
        <v>37619.947368421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676</v>
      </c>
      <c r="B46" s="7" t="str">
        <f aca="false">IFERROR(INDEX('Source'!$C:$C,MATCH($A46,'Source'!$B:$B,0)),"")</f>
        <v>מגן ברך שחור</v>
      </c>
      <c r="C46" s="8" t="n">
        <f aca="false">SUMIFS('Source'!$D:$D,'Source'!$A:$A,"C02266 SANAFLEX L.P",'Source'!$B:$B,$A46)</f>
        <v>200</v>
      </c>
      <c r="D46" s="8" t="n">
        <f aca="false">SUMIFS('Source'!$F:$F,'Source'!$A:$A,"C02266 SANAFLEX L.P",'Source'!$B:$B,$A46)</f>
        <v>105</v>
      </c>
      <c r="E46" s="8" t="n">
        <f aca="false">D46*$J$5</f>
        <v>132.631578947368</v>
      </c>
      <c r="F46" s="8" t="n">
        <f aca="false">E46-C46</f>
        <v>-67.3684210526316</v>
      </c>
      <c r="G46" s="9" t="n">
        <f aca="false">IF(AND(C46=0,E46=0),0,IF(C46=0,"New",(E46-C46)/C46))</f>
        <v>-0.336842105263158</v>
      </c>
      <c r="H46" s="8" t="n">
        <f aca="false">SUMIFS('Source'!$E:$E,'Source'!$A:$A,"C02266 SANAFLEX L.P",'Source'!$B:$B,$A46)</f>
        <v>2210.76</v>
      </c>
      <c r="I46" s="8" t="n">
        <f aca="false">SUMIFS('Source'!$G:$G,'Source'!$A:$A,"C02266 SANAFLEX L.P",'Source'!$B:$B,$A46)</f>
        <v>1041.07</v>
      </c>
      <c r="J46" s="8" t="n">
        <f aca="false">I46*$J$5</f>
        <v>1315.03578947368</v>
      </c>
      <c r="K46" s="8" t="n">
        <f aca="false">J46-H46</f>
        <v>-895.724210526316</v>
      </c>
      <c r="L46" s="9" t="n">
        <f aca="false">IF(AND(H46=0,J46=0),0,IF(H46=0,"New",(J46-H46)/H46))</f>
        <v>-0.405165739621811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683</v>
      </c>
      <c r="B47" s="7" t="str">
        <f aca="false">IFERROR(INDEX('Source'!$C:$C,MATCH($A47,'Source'!$B:$B,0)),"")</f>
        <v>סד לאצבע הדק</v>
      </c>
      <c r="C47" s="8" t="n">
        <f aca="false">SUMIFS('Source'!$D:$D,'Source'!$A:$A,"C02266 SANAFLEX L.P",'Source'!$B:$B,$A47)</f>
        <v>150</v>
      </c>
      <c r="D47" s="8" t="n">
        <f aca="false">SUMIFS('Source'!$F:$F,'Source'!$A:$A,"C02266 SANAFLEX L.P",'Source'!$B:$B,$A47)</f>
        <v>75</v>
      </c>
      <c r="E47" s="8" t="n">
        <f aca="false">D47*$J$5</f>
        <v>94.7368421052632</v>
      </c>
      <c r="F47" s="8" t="n">
        <f aca="false">E47-C47</f>
        <v>-55.2631578947369</v>
      </c>
      <c r="G47" s="9" t="n">
        <f aca="false">IF(AND(C47=0,E47=0),0,IF(C47=0,"New",(E47-C47)/C47))</f>
        <v>-0.368421052631579</v>
      </c>
      <c r="H47" s="8" t="n">
        <f aca="false">SUMIFS('Source'!$E:$E,'Source'!$A:$A,"C02266 SANAFLEX L.P",'Source'!$B:$B,$A47)</f>
        <v>2045.29</v>
      </c>
      <c r="I47" s="8" t="n">
        <f aca="false">SUMIFS('Source'!$G:$G,'Source'!$A:$A,"C02266 SANAFLEX L.P",'Source'!$B:$B,$A47)</f>
        <v>923.02</v>
      </c>
      <c r="J47" s="8" t="n">
        <f aca="false">I47*$J$5</f>
        <v>1165.92</v>
      </c>
      <c r="K47" s="8" t="n">
        <f aca="false">J47-H47</f>
        <v>-879.37</v>
      </c>
      <c r="L47" s="9" t="n">
        <f aca="false">IF(AND(H47=0,J47=0),0,IF(H47=0,"New",(J47-H47)/H47))</f>
        <v>-0.429948809215319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437</v>
      </c>
      <c r="B48" s="7" t="str">
        <f aca="false">IFERROR(INDEX('Source'!$C:$C,MATCH($A48,'Source'!$B:$B,0)),"")</f>
        <v>חגורת גב עם תמיכות</v>
      </c>
      <c r="C48" s="8" t="n">
        <f aca="false">SUMIFS('Source'!$D:$D,'Source'!$A:$A,"C02266 SANAFLEX L.P",'Source'!$B:$B,$A48)</f>
        <v>550</v>
      </c>
      <c r="D48" s="8" t="n">
        <f aca="false">SUMIFS('Source'!$F:$F,'Source'!$A:$A,"C02266 SANAFLEX L.P",'Source'!$B:$B,$A48)</f>
        <v>640</v>
      </c>
      <c r="E48" s="8" t="n">
        <f aca="false">D48*$J$5</f>
        <v>808.421052631579</v>
      </c>
      <c r="F48" s="8" t="n">
        <f aca="false">E48-C48</f>
        <v>258.421052631579</v>
      </c>
      <c r="G48" s="9" t="n">
        <f aca="false">IF(AND(C48=0,E48=0),0,IF(C48=0,"New",(E48-C48)/C48))</f>
        <v>0.469856459330144</v>
      </c>
      <c r="H48" s="8" t="n">
        <f aca="false">SUMIFS('Source'!$E:$E,'Source'!$A:$A,"C02266 SANAFLEX L.P",'Source'!$B:$B,$A48)</f>
        <v>21693.01</v>
      </c>
      <c r="I48" s="8" t="n">
        <f aca="false">SUMIFS('Source'!$G:$G,'Source'!$A:$A,"C02266 SANAFLEX L.P",'Source'!$B:$B,$A48)</f>
        <v>22807.96</v>
      </c>
      <c r="J48" s="8" t="n">
        <f aca="false">I48*$J$5</f>
        <v>28810.0547368421</v>
      </c>
      <c r="K48" s="8" t="n">
        <f aca="false">J48-H48</f>
        <v>7117.04473684211</v>
      </c>
      <c r="L48" s="9" t="n">
        <f aca="false">IF(AND(H48=0,J48=0),0,IF(H48=0,"New",(J48-H48)/H48))</f>
        <v>0.328080092935102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237</v>
      </c>
      <c r="B49" s="7" t="str">
        <f aca="false">IFERROR(INDEX('Source'!$C:$C,MATCH($A49,'Source'!$B:$B,0)),"")</f>
        <v>מגן מרפק</v>
      </c>
      <c r="C49" s="8" t="n">
        <f aca="false">SUMIFS('Source'!$D:$D,'Source'!$A:$A,"C02266 SANAFLEX L.P",'Source'!$B:$B,$A49)</f>
        <v>185</v>
      </c>
      <c r="D49" s="8" t="n">
        <f aca="false">SUMIFS('Source'!$F:$F,'Source'!$A:$A,"C02266 SANAFLEX L.P",'Source'!$B:$B,$A49)</f>
        <v>130</v>
      </c>
      <c r="E49" s="8" t="n">
        <f aca="false">D49*$J$5</f>
        <v>164.210526315789</v>
      </c>
      <c r="F49" s="8" t="n">
        <f aca="false">E49-C49</f>
        <v>-20.7894736842106</v>
      </c>
      <c r="G49" s="9" t="n">
        <f aca="false">IF(AND(C49=0,E49=0),0,IF(C49=0,"New",(E49-C49)/C49))</f>
        <v>-0.112375533428165</v>
      </c>
      <c r="H49" s="8" t="n">
        <f aca="false">SUMIFS('Source'!$E:$E,'Source'!$A:$A,"C02266 SANAFLEX L.P",'Source'!$B:$B,$A49)</f>
        <v>2958.23</v>
      </c>
      <c r="I49" s="8" t="n">
        <f aca="false">SUMIFS('Source'!$G:$G,'Source'!$A:$A,"C02266 SANAFLEX L.P",'Source'!$B:$B,$A49)</f>
        <v>1884.69</v>
      </c>
      <c r="J49" s="8" t="n">
        <f aca="false">I49*$J$5</f>
        <v>2380.66105263158</v>
      </c>
      <c r="K49" s="8" t="n">
        <f aca="false">J49-H49</f>
        <v>-577.568947368421</v>
      </c>
      <c r="L49" s="9" t="n">
        <f aca="false">IF(AND(H49=0,J49=0),0,IF(H49=0,"New",(J49-H49)/H49))</f>
        <v>-0.195241393457717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429</v>
      </c>
      <c r="B50" s="7" t="str">
        <f aca="false">IFERROR(INDEX('Source'!$C:$C,MATCH($A50,'Source'!$B:$B,0)),"")</f>
        <v>סד לאגודל</v>
      </c>
      <c r="C50" s="8" t="n">
        <f aca="false">SUMIFS('Source'!$D:$D,'Source'!$A:$A,"C02266 SANAFLEX L.P",'Source'!$B:$B,$A50)</f>
        <v>27</v>
      </c>
      <c r="D50" s="8" t="n">
        <f aca="false">SUMIFS('Source'!$F:$F,'Source'!$A:$A,"C02266 SANAFLEX L.P",'Source'!$B:$B,$A50)</f>
        <v>60</v>
      </c>
      <c r="E50" s="8" t="n">
        <f aca="false">D50*$J$5</f>
        <v>75.7894736842105</v>
      </c>
      <c r="F50" s="8" t="n">
        <f aca="false">E50-C50</f>
        <v>48.7894736842105</v>
      </c>
      <c r="G50" s="9" t="n">
        <f aca="false">IF(AND(C50=0,E50=0),0,IF(C50=0,"New",(E50-C50)/C50))</f>
        <v>1.80701754385965</v>
      </c>
      <c r="H50" s="8" t="n">
        <f aca="false">SUMIFS('Source'!$E:$E,'Source'!$A:$A,"C02266 SANAFLEX L.P",'Source'!$B:$B,$A50)</f>
        <v>967.81</v>
      </c>
      <c r="I50" s="8" t="n">
        <f aca="false">SUMIFS('Source'!$G:$G,'Source'!$A:$A,"C02266 SANAFLEX L.P",'Source'!$B:$B,$A50)</f>
        <v>1951.58</v>
      </c>
      <c r="J50" s="8" t="n">
        <f aca="false">I50*$J$5</f>
        <v>2465.15368421053</v>
      </c>
      <c r="K50" s="8" t="n">
        <f aca="false">J50-H50</f>
        <v>1497.34368421053</v>
      </c>
      <c r="L50" s="9" t="n">
        <f aca="false">IF(AND(H50=0,J50=0),0,IF(H50=0,"New",(J50-H50)/H50))</f>
        <v>1.54714632439273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247</v>
      </c>
      <c r="B51" s="7" t="str">
        <f aca="false">IFERROR(INDEX('Source'!$C:$C,MATCH($A51,'Source'!$B:$B,0)),"")</f>
        <v>ח.בטן 25 ס'מ</v>
      </c>
      <c r="C51" s="8" t="n">
        <f aca="false">SUMIFS('Source'!$D:$D,'Source'!$A:$A,"C02266 SANAFLEX L.P",'Source'!$B:$B,$A51)</f>
        <v>26</v>
      </c>
      <c r="D51" s="8" t="n">
        <f aca="false">SUMIFS('Source'!$F:$F,'Source'!$A:$A,"C02266 SANAFLEX L.P",'Source'!$B:$B,$A51)</f>
        <v>5</v>
      </c>
      <c r="E51" s="8" t="n">
        <f aca="false">D51*$J$5</f>
        <v>6.31578947368421</v>
      </c>
      <c r="F51" s="8" t="n">
        <f aca="false">E51-C51</f>
        <v>-19.6842105263158</v>
      </c>
      <c r="G51" s="9" t="n">
        <f aca="false">IF(AND(C51=0,E51=0),0,IF(C51=0,"New",(E51-C51)/C51))</f>
        <v>-0.757085020242915</v>
      </c>
      <c r="H51" s="8" t="n">
        <f aca="false">SUMIFS('Source'!$E:$E,'Source'!$A:$A,"C02266 SANAFLEX L.P",'Source'!$B:$B,$A51)</f>
        <v>1145.86</v>
      </c>
      <c r="I51" s="8" t="n">
        <f aca="false">SUMIFS('Source'!$G:$G,'Source'!$A:$A,"C02266 SANAFLEX L.P",'Source'!$B:$B,$A51)</f>
        <v>198.75</v>
      </c>
      <c r="J51" s="8" t="n">
        <f aca="false">I51*$J$5</f>
        <v>251.052631578947</v>
      </c>
      <c r="K51" s="8" t="n">
        <f aca="false">J51-H51</f>
        <v>-894.807368421053</v>
      </c>
      <c r="L51" s="9" t="n">
        <f aca="false">IF(AND(H51=0,J51=0),0,IF(H51=0,"New",(J51-H51)/H51))</f>
        <v>-0.780904620478115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162</v>
      </c>
      <c r="B52" s="7" t="str">
        <f aca="false">IFERROR(INDEX('Source'!$C:$C,MATCH($A52,'Source'!$B:$B,0)),"")</f>
        <v>מדרס מתכוונן</v>
      </c>
      <c r="C52" s="8" t="n">
        <f aca="false">SUMIFS('Source'!$D:$D,'Source'!$A:$A,"C02266 SANAFLEX L.P",'Source'!$B:$B,$A52)</f>
        <v>145</v>
      </c>
      <c r="D52" s="8" t="n">
        <f aca="false">SUMIFS('Source'!$F:$F,'Source'!$A:$A,"C02266 SANAFLEX L.P",'Source'!$B:$B,$A52)</f>
        <v>135</v>
      </c>
      <c r="E52" s="8" t="n">
        <f aca="false">D52*$J$5</f>
        <v>170.526315789474</v>
      </c>
      <c r="F52" s="8" t="n">
        <f aca="false">E52-C52</f>
        <v>25.5263157894737</v>
      </c>
      <c r="G52" s="9" t="n">
        <f aca="false">IF(AND(C52=0,E52=0),0,IF(C52=0,"New",(E52-C52)/C52))</f>
        <v>0.176043557168784</v>
      </c>
      <c r="H52" s="8" t="n">
        <f aca="false">SUMIFS('Source'!$E:$E,'Source'!$A:$A,"C02266 SANAFLEX L.P",'Source'!$B:$B,$A52)</f>
        <v>5142.41</v>
      </c>
      <c r="I52" s="8" t="n">
        <f aca="false">SUMIFS('Source'!$G:$G,'Source'!$A:$A,"C02266 SANAFLEX L.P",'Source'!$B:$B,$A52)</f>
        <v>4215.49</v>
      </c>
      <c r="J52" s="8" t="n">
        <f aca="false">I52*$J$5</f>
        <v>5324.82947368421</v>
      </c>
      <c r="K52" s="8" t="n">
        <f aca="false">J52-H52</f>
        <v>182.41947368421</v>
      </c>
      <c r="L52" s="9" t="n">
        <f aca="false">IF(AND(H52=0,J52=0),0,IF(H52=0,"New",(J52-H52)/H52))</f>
        <v>0.0354735374433797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469</v>
      </c>
      <c r="B53" s="7" t="str">
        <f aca="false">IFERROR(INDEX('Source'!$C:$C,MATCH($A53,'Source'!$B:$B,0)),"")</f>
        <v>מדרס מג'ל</v>
      </c>
      <c r="C53" s="8" t="n">
        <f aca="false">SUMIFS('Source'!$D:$D,'Source'!$A:$A,"C02266 SANAFLEX L.P",'Source'!$B:$B,$A53)</f>
        <v>120</v>
      </c>
      <c r="D53" s="8" t="n">
        <f aca="false">SUMIFS('Source'!$F:$F,'Source'!$A:$A,"C02266 SANAFLEX L.P",'Source'!$B:$B,$A53)</f>
        <v>170</v>
      </c>
      <c r="E53" s="8" t="n">
        <f aca="false">D53*$J$5</f>
        <v>214.736842105263</v>
      </c>
      <c r="F53" s="8" t="n">
        <f aca="false">E53-C53</f>
        <v>94.7368421052632</v>
      </c>
      <c r="G53" s="9" t="n">
        <f aca="false">IF(AND(C53=0,E53=0),0,IF(C53=0,"New",(E53-C53)/C53))</f>
        <v>0.789473684210526</v>
      </c>
      <c r="H53" s="8" t="n">
        <f aca="false">SUMIFS('Source'!$E:$E,'Source'!$A:$A,"C02266 SANAFLEX L.P",'Source'!$B:$B,$A53)</f>
        <v>3276.11</v>
      </c>
      <c r="I53" s="8" t="n">
        <f aca="false">SUMIFS('Source'!$G:$G,'Source'!$A:$A,"C02266 SANAFLEX L.P",'Source'!$B:$B,$A53)</f>
        <v>4142.63</v>
      </c>
      <c r="J53" s="8" t="n">
        <f aca="false">I53*$J$5</f>
        <v>5232.79578947368</v>
      </c>
      <c r="K53" s="8" t="n">
        <f aca="false">J53-H53</f>
        <v>1956.68578947368</v>
      </c>
      <c r="L53" s="9" t="n">
        <f aca="false">IF(AND(H53=0,J53=0),0,IF(H53=0,"New",(J53-H53)/H53))</f>
        <v>0.597258880035678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536</v>
      </c>
      <c r="B54" s="7" t="str">
        <f aca="false">IFERROR(INDEX('Source'!$C:$C,MATCH($A54,'Source'!$B:$B,0)),"")</f>
        <v>סופורטר</v>
      </c>
      <c r="C54" s="8" t="n">
        <f aca="false">SUMIFS('Source'!$D:$D,'Source'!$A:$A,"C02266 SANAFLEX L.P",'Source'!$B:$B,$A54)</f>
        <v>50</v>
      </c>
      <c r="D54" s="8" t="n">
        <f aca="false">SUMIFS('Source'!$F:$F,'Source'!$A:$A,"C02266 SANAFLEX L.P",'Source'!$B:$B,$A54)</f>
        <v>26</v>
      </c>
      <c r="E54" s="8" t="n">
        <f aca="false">D54*$J$5</f>
        <v>32.8421052631579</v>
      </c>
      <c r="F54" s="8" t="n">
        <f aca="false">E54-C54</f>
        <v>-17.1578947368421</v>
      </c>
      <c r="G54" s="9" t="n">
        <f aca="false">IF(AND(C54=0,E54=0),0,IF(C54=0,"New",(E54-C54)/C54))</f>
        <v>-0.343157894736842</v>
      </c>
      <c r="H54" s="8" t="n">
        <f aca="false">SUMIFS('Source'!$E:$E,'Source'!$A:$A,"C02266 SANAFLEX L.P",'Source'!$B:$B,$A54)</f>
        <v>1584.91</v>
      </c>
      <c r="I54" s="8" t="n">
        <f aca="false">SUMIFS('Source'!$G:$G,'Source'!$A:$A,"C02266 SANAFLEX L.P",'Source'!$B:$B,$A54)</f>
        <v>738.56</v>
      </c>
      <c r="J54" s="8" t="n">
        <f aca="false">I54*$J$5</f>
        <v>932.917894736842</v>
      </c>
      <c r="K54" s="8" t="n">
        <f aca="false">J54-H54</f>
        <v>-651.992105263158</v>
      </c>
      <c r="L54" s="9" t="n">
        <f aca="false">IF(AND(H54=0,J54=0),0,IF(H54=0,"New",(J54-H54)/H54))</f>
        <v>-0.411374844794441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356</v>
      </c>
      <c r="B55" s="7" t="str">
        <f aca="false">IFERROR(INDEX('Source'!$C:$C,MATCH($A55,'Source'!$B:$B,0)),"")</f>
        <v>שרוול לגבס קצר יד</v>
      </c>
      <c r="C55" s="8" t="n">
        <f aca="false">SUMIFS('Source'!$D:$D,'Source'!$A:$A,"C02266 SANAFLEX L.P",'Source'!$B:$B,$A55)</f>
        <v>176</v>
      </c>
      <c r="D55" s="8" t="n">
        <f aca="false">SUMIFS('Source'!$F:$F,'Source'!$A:$A,"C02266 SANAFLEX L.P",'Source'!$B:$B,$A55)</f>
        <v>145</v>
      </c>
      <c r="E55" s="8" t="n">
        <f aca="false">D55*$J$5</f>
        <v>183.157894736842</v>
      </c>
      <c r="F55" s="8" t="n">
        <f aca="false">E55-C55</f>
        <v>7.15789473684208</v>
      </c>
      <c r="G55" s="9" t="n">
        <f aca="false">IF(AND(C55=0,E55=0),0,IF(C55=0,"New",(E55-C55)/C55))</f>
        <v>0.04066985645933</v>
      </c>
      <c r="H55" s="8" t="n">
        <f aca="false">SUMIFS('Source'!$E:$E,'Source'!$A:$A,"C02266 SANAFLEX L.P",'Source'!$B:$B,$A55)</f>
        <v>3255.37</v>
      </c>
      <c r="I55" s="8" t="n">
        <f aca="false">SUMIFS('Source'!$G:$G,'Source'!$A:$A,"C02266 SANAFLEX L.P",'Source'!$B:$B,$A55)</f>
        <v>2420.38</v>
      </c>
      <c r="J55" s="8" t="n">
        <f aca="false">I55*$J$5</f>
        <v>3057.32210526316</v>
      </c>
      <c r="K55" s="8" t="n">
        <f aca="false">J55-H55</f>
        <v>-198.047894736842</v>
      </c>
      <c r="L55" s="9" t="n">
        <f aca="false">IF(AND(H55=0,J55=0),0,IF(H55=0,"New",(J55-H55)/H55))</f>
        <v>-0.0608372918398959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353</v>
      </c>
      <c r="B56" s="7" t="str">
        <f aca="false">IFERROR(INDEX('Source'!$C:$C,MATCH($A56,'Source'!$B:$B,0)),"")</f>
        <v>סד יד דו צדדי</v>
      </c>
      <c r="C56" s="8" t="n">
        <f aca="false">SUMIFS('Source'!$D:$D,'Source'!$A:$A,"C02266 SANAFLEX L.P",'Source'!$B:$B,$A56)</f>
        <v>34</v>
      </c>
      <c r="D56" s="8" t="n">
        <f aca="false">SUMIFS('Source'!$F:$F,'Source'!$A:$A,"C02266 SANAFLEX L.P",'Source'!$B:$B,$A56)</f>
        <v>16</v>
      </c>
      <c r="E56" s="8" t="n">
        <f aca="false">D56*$J$5</f>
        <v>20.2105263157895</v>
      </c>
      <c r="F56" s="8" t="n">
        <f aca="false">E56-C56</f>
        <v>-13.7894736842105</v>
      </c>
      <c r="G56" s="9" t="n">
        <f aca="false">IF(AND(C56=0,E56=0),0,IF(C56=0,"New",(E56-C56)/C56))</f>
        <v>-0.405572755417957</v>
      </c>
      <c r="H56" s="8" t="n">
        <f aca="false">SUMIFS('Source'!$E:$E,'Source'!$A:$A,"C02266 SANAFLEX L.P",'Source'!$B:$B,$A56)</f>
        <v>1463.36</v>
      </c>
      <c r="I56" s="8" t="n">
        <f aca="false">SUMIFS('Source'!$G:$G,'Source'!$A:$A,"C02266 SANAFLEX L.P",'Source'!$B:$B,$A56)</f>
        <v>636.28</v>
      </c>
      <c r="J56" s="8" t="n">
        <f aca="false">I56*$J$5</f>
        <v>803.722105263158</v>
      </c>
      <c r="K56" s="8" t="n">
        <f aca="false">J56-H56</f>
        <v>-659.637894736842</v>
      </c>
      <c r="L56" s="9" t="n">
        <f aca="false">IF(AND(H56=0,J56=0),0,IF(H56=0,"New",(J56-H56)/H56))</f>
        <v>-0.450769390127407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805</v>
      </c>
      <c r="B57" s="7" t="str">
        <f aca="false">IFERROR(INDEX('Source'!$C:$C,MATCH($A57,'Source'!$B:$B,0)),"")</f>
        <v>מגן ברך חום</v>
      </c>
      <c r="C57" s="8" t="n">
        <f aca="false">SUMIFS('Source'!$D:$D,'Source'!$A:$A,"C02266 SANAFLEX L.P",'Source'!$B:$B,$A57)</f>
        <v>150</v>
      </c>
      <c r="D57" s="8" t="n">
        <f aca="false">SUMIFS('Source'!$F:$F,'Source'!$A:$A,"C02266 SANAFLEX L.P",'Source'!$B:$B,$A57)</f>
        <v>81</v>
      </c>
      <c r="E57" s="8" t="n">
        <f aca="false">D57*$J$5</f>
        <v>102.315789473684</v>
      </c>
      <c r="F57" s="8" t="n">
        <f aca="false">E57-C57</f>
        <v>-47.6842105263158</v>
      </c>
      <c r="G57" s="9" t="n">
        <f aca="false">IF(AND(C57=0,E57=0),0,IF(C57=0,"New",(E57-C57)/C57))</f>
        <v>-0.317894736842105</v>
      </c>
      <c r="H57" s="8" t="n">
        <f aca="false">SUMIFS('Source'!$E:$E,'Source'!$A:$A,"C02266 SANAFLEX L.P",'Source'!$B:$B,$A57)</f>
        <v>1559.48</v>
      </c>
      <c r="I57" s="8" t="n">
        <f aca="false">SUMIFS('Source'!$G:$G,'Source'!$A:$A,"C02266 SANAFLEX L.P",'Source'!$B:$B,$A57)</f>
        <v>744.03</v>
      </c>
      <c r="J57" s="8" t="n">
        <f aca="false">I57*$J$5</f>
        <v>939.827368421053</v>
      </c>
      <c r="K57" s="8" t="n">
        <f aca="false">J57-H57</f>
        <v>-619.652631578947</v>
      </c>
      <c r="L57" s="9" t="n">
        <f aca="false">IF(AND(H57=0,J57=0),0,IF(H57=0,"New",(J57-H57)/H57))</f>
        <v>-0.397345673929096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936</v>
      </c>
      <c r="B58" s="7" t="str">
        <f aca="false">IFERROR(INDEX('Source'!$C:$C,MATCH($A58,'Source'!$B:$B,0)),"")</f>
        <v>סד קרסול קל שחורL</v>
      </c>
      <c r="C58" s="8" t="n">
        <f aca="false">SUMIFS('Source'!$D:$D,'Source'!$A:$A,"C02266 SANAFLEX L.P",'Source'!$B:$B,$A58)</f>
        <v>13</v>
      </c>
      <c r="D58" s="8" t="n">
        <f aca="false">SUMIFS('Source'!$F:$F,'Source'!$A:$A,"C02266 SANAFLEX L.P",'Source'!$B:$B,$A58)</f>
        <v>0</v>
      </c>
      <c r="E58" s="8" t="n">
        <f aca="false">D58*$J$5</f>
        <v>0</v>
      </c>
      <c r="F58" s="8" t="n">
        <f aca="false">E58-C58</f>
        <v>-13</v>
      </c>
      <c r="G58" s="9" t="n">
        <f aca="false">IF(AND(C58=0,E58=0),0,IF(C58=0,"New",(E58-C58)/C58))</f>
        <v>-1</v>
      </c>
      <c r="H58" s="8" t="n">
        <f aca="false">SUMIFS('Source'!$E:$E,'Source'!$A:$A,"C02266 SANAFLEX L.P",'Source'!$B:$B,$A58)</f>
        <v>811.55</v>
      </c>
      <c r="I58" s="8" t="n">
        <f aca="false">SUMIFS('Source'!$G:$G,'Source'!$A:$A,"C02266 SANAFLEX L.P",'Source'!$B:$B,$A58)</f>
        <v>0</v>
      </c>
      <c r="J58" s="8" t="n">
        <f aca="false">I58*$J$5</f>
        <v>0</v>
      </c>
      <c r="K58" s="8" t="n">
        <f aca="false">J58-H58</f>
        <v>-811.55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660</v>
      </c>
      <c r="B59" s="7" t="str">
        <f aca="false">IFERROR(INDEX('Source'!$C:$C,MATCH($A59,'Source'!$B:$B,0)),"")</f>
        <v>רפידת זיכרון 376</v>
      </c>
      <c r="C59" s="8" t="n">
        <f aca="false">SUMIFS('Source'!$D:$D,'Source'!$A:$A,"C02266 SANAFLEX L.P",'Source'!$B:$B,$A59)</f>
        <v>80</v>
      </c>
      <c r="D59" s="8" t="n">
        <f aca="false">SUMIFS('Source'!$F:$F,'Source'!$A:$A,"C02266 SANAFLEX L.P",'Source'!$B:$B,$A59)</f>
        <v>30</v>
      </c>
      <c r="E59" s="8" t="n">
        <f aca="false">D59*$J$5</f>
        <v>37.8947368421053</v>
      </c>
      <c r="F59" s="8" t="n">
        <f aca="false">E59-C59</f>
        <v>-42.1052631578947</v>
      </c>
      <c r="G59" s="9" t="n">
        <f aca="false">IF(AND(C59=0,E59=0),0,IF(C59=0,"New",(E59-C59)/C59))</f>
        <v>-0.526315789473684</v>
      </c>
      <c r="H59" s="8" t="n">
        <f aca="false">SUMIFS('Source'!$E:$E,'Source'!$A:$A,"C02266 SANAFLEX L.P",'Source'!$B:$B,$A59)</f>
        <v>1160.89</v>
      </c>
      <c r="I59" s="8" t="n">
        <f aca="false">SUMIFS('Source'!$G:$G,'Source'!$A:$A,"C02266 SANAFLEX L.P",'Source'!$B:$B,$A59)</f>
        <v>385.97</v>
      </c>
      <c r="J59" s="8" t="n">
        <f aca="false">I59*$J$5</f>
        <v>487.541052631579</v>
      </c>
      <c r="K59" s="8" t="n">
        <f aca="false">J59-H59</f>
        <v>-673.348947368421</v>
      </c>
      <c r="L59" s="9" t="n">
        <f aca="false">IF(AND(H59=0,J59=0),0,IF(H59=0,"New",(J59-H59)/H59))</f>
        <v>-0.580028208847023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710</v>
      </c>
      <c r="B60" s="7" t="str">
        <f aca="false">IFERROR(INDEX('Source'!$C:$C,MATCH($A60,'Source'!$B:$B,0)),"")</f>
        <v>מגן קרסול שחור</v>
      </c>
      <c r="C60" s="8" t="n">
        <f aca="false">SUMIFS('Source'!$D:$D,'Source'!$A:$A,"C02266 SANAFLEX L.P",'Source'!$B:$B,$A60)</f>
        <v>155</v>
      </c>
      <c r="D60" s="8" t="n">
        <f aca="false">SUMIFS('Source'!$F:$F,'Source'!$A:$A,"C02266 SANAFLEX L.P",'Source'!$B:$B,$A60)</f>
        <v>95</v>
      </c>
      <c r="E60" s="8" t="n">
        <f aca="false">D60*$J$5</f>
        <v>120</v>
      </c>
      <c r="F60" s="8" t="n">
        <f aca="false">E60-C60</f>
        <v>-35</v>
      </c>
      <c r="G60" s="9" t="n">
        <f aca="false">IF(AND(C60=0,E60=0),0,IF(C60=0,"New",(E60-C60)/C60))</f>
        <v>-0.225806451612903</v>
      </c>
      <c r="H60" s="8" t="n">
        <f aca="false">SUMIFS('Source'!$E:$E,'Source'!$A:$A,"C02266 SANAFLEX L.P",'Source'!$B:$B,$A60)</f>
        <v>1691.59</v>
      </c>
      <c r="I60" s="8" t="n">
        <f aca="false">SUMIFS('Source'!$G:$G,'Source'!$A:$A,"C02266 SANAFLEX L.P",'Source'!$B:$B,$A60)</f>
        <v>922.1</v>
      </c>
      <c r="J60" s="8" t="n">
        <f aca="false">I60*$J$5</f>
        <v>1164.75789473684</v>
      </c>
      <c r="K60" s="8" t="n">
        <f aca="false">J60-H60</f>
        <v>-526.832105263158</v>
      </c>
      <c r="L60" s="9" t="n">
        <f aca="false">IF(AND(H60=0,J60=0),0,IF(H60=0,"New",(J60-H60)/H60))</f>
        <v>-0.311441960086757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614</v>
      </c>
      <c r="B61" s="7" t="str">
        <f aca="false">IFERROR(INDEX('Source'!$C:$C,MATCH($A61,'Source'!$B:$B,0)),"")</f>
        <v>סד לאגודל</v>
      </c>
      <c r="C61" s="8" t="n">
        <f aca="false">SUMIFS('Source'!$D:$D,'Source'!$A:$A,"C02266 SANAFLEX L.P",'Source'!$B:$B,$A61)</f>
        <v>61</v>
      </c>
      <c r="D61" s="8" t="n">
        <f aca="false">SUMIFS('Source'!$F:$F,'Source'!$A:$A,"C02266 SANAFLEX L.P",'Source'!$B:$B,$A61)</f>
        <v>45</v>
      </c>
      <c r="E61" s="8" t="n">
        <f aca="false">D61*$J$5</f>
        <v>56.8421052631579</v>
      </c>
      <c r="F61" s="8" t="n">
        <f aca="false">E61-C61</f>
        <v>-4.15789473684211</v>
      </c>
      <c r="G61" s="9" t="n">
        <f aca="false">IF(AND(C61=0,E61=0),0,IF(C61=0,"New",(E61-C61)/C61))</f>
        <v>-0.0681622088006903</v>
      </c>
      <c r="H61" s="8" t="n">
        <f aca="false">SUMIFS('Source'!$E:$E,'Source'!$A:$A,"C02266 SANAFLEX L.P",'Source'!$B:$B,$A61)</f>
        <v>2217.04</v>
      </c>
      <c r="I61" s="8" t="n">
        <f aca="false">SUMIFS('Source'!$G:$G,'Source'!$A:$A,"C02266 SANAFLEX L.P",'Source'!$B:$B,$A61)</f>
        <v>1453.13</v>
      </c>
      <c r="J61" s="8" t="n">
        <f aca="false">I61*$J$5</f>
        <v>1835.53263157895</v>
      </c>
      <c r="K61" s="8" t="n">
        <f aca="false">J61-H61</f>
        <v>-381.507368421053</v>
      </c>
      <c r="L61" s="9" t="n">
        <f aca="false">IF(AND(H61=0,J61=0),0,IF(H61=0,"New",(J61-H61)/H61))</f>
        <v>-0.172079605429335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503</v>
      </c>
      <c r="B62" s="7" t="str">
        <f aca="false">IFERROR(INDEX('Source'!$C:$C,MATCH($A62,'Source'!$B:$B,0)),"")</f>
        <v>מגן קרסול סגור</v>
      </c>
      <c r="C62" s="8" t="n">
        <f aca="false">SUMIFS('Source'!$D:$D,'Source'!$A:$A,"C02266 SANAFLEX L.P",'Source'!$B:$B,$A62)</f>
        <v>45</v>
      </c>
      <c r="D62" s="8" t="n">
        <f aca="false">SUMIFS('Source'!$F:$F,'Source'!$A:$A,"C02266 SANAFLEX L.P",'Source'!$B:$B,$A62)</f>
        <v>90</v>
      </c>
      <c r="E62" s="8" t="n">
        <f aca="false">D62*$J$5</f>
        <v>113.684210526316</v>
      </c>
      <c r="F62" s="8" t="n">
        <f aca="false">E62-C62</f>
        <v>68.6842105263158</v>
      </c>
      <c r="G62" s="9" t="n">
        <f aca="false">IF(AND(C62=0,E62=0),0,IF(C62=0,"New",(E62-C62)/C62))</f>
        <v>1.52631578947368</v>
      </c>
      <c r="H62" s="8" t="n">
        <f aca="false">SUMIFS('Source'!$E:$E,'Source'!$A:$A,"C02266 SANAFLEX L.P",'Source'!$B:$B,$A62)</f>
        <v>928.42</v>
      </c>
      <c r="I62" s="8" t="n">
        <f aca="false">SUMIFS('Source'!$G:$G,'Source'!$A:$A,"C02266 SANAFLEX L.P",'Source'!$B:$B,$A62)</f>
        <v>1692.29</v>
      </c>
      <c r="J62" s="8" t="n">
        <f aca="false">I62*$J$5</f>
        <v>2137.62947368421</v>
      </c>
      <c r="K62" s="8" t="n">
        <f aca="false">J62-H62</f>
        <v>1209.20947368421</v>
      </c>
      <c r="L62" s="9" t="n">
        <f aca="false">IF(AND(H62=0,J62=0),0,IF(H62=0,"New",(J62-H62)/H62))</f>
        <v>1.30243798462357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684</v>
      </c>
      <c r="B63" s="7" t="str">
        <f aca="false">IFERROR(INDEX('Source'!$C:$C,MATCH($A63,'Source'!$B:$B,0)),"")</f>
        <v>מגן מרפק שחור</v>
      </c>
      <c r="C63" s="8" t="n">
        <f aca="false">SUMIFS('Source'!$D:$D,'Source'!$A:$A,"C02266 SANAFLEX L.P",'Source'!$B:$B,$A63)</f>
        <v>145</v>
      </c>
      <c r="D63" s="8" t="n">
        <f aca="false">SUMIFS('Source'!$F:$F,'Source'!$A:$A,"C02266 SANAFLEX L.P",'Source'!$B:$B,$A63)</f>
        <v>85</v>
      </c>
      <c r="E63" s="8" t="n">
        <f aca="false">D63*$J$5</f>
        <v>107.368421052632</v>
      </c>
      <c r="F63" s="8" t="n">
        <f aca="false">E63-C63</f>
        <v>-37.6315789473684</v>
      </c>
      <c r="G63" s="9" t="n">
        <f aca="false">IF(AND(C63=0,E63=0),0,IF(C63=0,"New",(E63-C63)/C63))</f>
        <v>-0.259528130671506</v>
      </c>
      <c r="H63" s="8" t="n">
        <f aca="false">SUMIFS('Source'!$E:$E,'Source'!$A:$A,"C02266 SANAFLEX L.P",'Source'!$B:$B,$A63)</f>
        <v>1571.6</v>
      </c>
      <c r="I63" s="8" t="n">
        <f aca="false">SUMIFS('Source'!$G:$G,'Source'!$A:$A,"C02266 SANAFLEX L.P",'Source'!$B:$B,$A63)</f>
        <v>816.96</v>
      </c>
      <c r="J63" s="8" t="n">
        <f aca="false">I63*$J$5</f>
        <v>1031.94947368421</v>
      </c>
      <c r="K63" s="8" t="n">
        <f aca="false">J63-H63</f>
        <v>-539.65052631579</v>
      </c>
      <c r="L63" s="9" t="n">
        <f aca="false">IF(AND(H63=0,J63=0),0,IF(H63=0,"New",(J63-H63)/H63))</f>
        <v>-0.343376512036008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343</v>
      </c>
      <c r="B64" s="7" t="str">
        <f aca="false">IFERROR(INDEX('Source'!$C:$C,MATCH($A64,'Source'!$B:$B,0)),"")</f>
        <v>מגן קרסול שחור</v>
      </c>
      <c r="C64" s="8" t="n">
        <f aca="false">SUMIFS('Source'!$D:$D,'Source'!$A:$A,"C02266 SANAFLEX L.P",'Source'!$B:$B,$A64)</f>
        <v>230</v>
      </c>
      <c r="D64" s="8" t="n">
        <f aca="false">SUMIFS('Source'!$F:$F,'Source'!$A:$A,"C02266 SANAFLEX L.P",'Source'!$B:$B,$A64)</f>
        <v>180</v>
      </c>
      <c r="E64" s="8" t="n">
        <f aca="false">D64*$J$5</f>
        <v>227.368421052632</v>
      </c>
      <c r="F64" s="8" t="n">
        <f aca="false">E64-C64</f>
        <v>-2.63157894736844</v>
      </c>
      <c r="G64" s="9" t="n">
        <f aca="false">IF(AND(C64=0,E64=0),0,IF(C64=0,"New",(E64-C64)/C64))</f>
        <v>-0.0114416475972541</v>
      </c>
      <c r="H64" s="8" t="n">
        <f aca="false">SUMIFS('Source'!$E:$E,'Source'!$A:$A,"C02266 SANAFLEX L.P",'Source'!$B:$B,$A64)</f>
        <v>2506.49</v>
      </c>
      <c r="I64" s="8" t="n">
        <f aca="false">SUMIFS('Source'!$G:$G,'Source'!$A:$A,"C02266 SANAFLEX L.P",'Source'!$B:$B,$A64)</f>
        <v>1755.51</v>
      </c>
      <c r="J64" s="8" t="n">
        <f aca="false">I64*$J$5</f>
        <v>2217.48631578947</v>
      </c>
      <c r="K64" s="8" t="n">
        <f aca="false">J64-H64</f>
        <v>-289.003684210527</v>
      </c>
      <c r="L64" s="9" t="n">
        <f aca="false">IF(AND(H64=0,J64=0),0,IF(H64=0,"New",(J64-H64)/H64))</f>
        <v>-0.115302149304616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485</v>
      </c>
      <c r="B65" s="7" t="str">
        <f aca="false">IFERROR(INDEX('Source'!$C:$C,MATCH($A65,'Source'!$B:$B,0)),"")</f>
        <v>סד יד דו צדדי</v>
      </c>
      <c r="C65" s="8" t="n">
        <f aca="false">SUMIFS('Source'!$D:$D,'Source'!$A:$A,"C02266 SANAFLEX L.P",'Source'!$B:$B,$A65)</f>
        <v>21</v>
      </c>
      <c r="D65" s="8" t="n">
        <f aca="false">SUMIFS('Source'!$F:$F,'Source'!$A:$A,"C02266 SANAFLEX L.P",'Source'!$B:$B,$A65)</f>
        <v>6</v>
      </c>
      <c r="E65" s="8" t="n">
        <f aca="false">D65*$J$5</f>
        <v>7.57894736842105</v>
      </c>
      <c r="F65" s="8" t="n">
        <f aca="false">E65-C65</f>
        <v>-13.4210526315789</v>
      </c>
      <c r="G65" s="9" t="n">
        <f aca="false">IF(AND(C65=0,E65=0),0,IF(C65=0,"New",(E65-C65)/C65))</f>
        <v>-0.639097744360902</v>
      </c>
      <c r="H65" s="8" t="n">
        <f aca="false">SUMIFS('Source'!$E:$E,'Source'!$A:$A,"C02266 SANAFLEX L.P",'Source'!$B:$B,$A65)</f>
        <v>932.1</v>
      </c>
      <c r="I65" s="8" t="n">
        <f aca="false">SUMIFS('Source'!$G:$G,'Source'!$A:$A,"C02266 SANAFLEX L.P",'Source'!$B:$B,$A65)</f>
        <v>236.57</v>
      </c>
      <c r="J65" s="8" t="n">
        <f aca="false">I65*$J$5</f>
        <v>298.825263157895</v>
      </c>
      <c r="K65" s="8" t="n">
        <f aca="false">J65-H65</f>
        <v>-633.274736842105</v>
      </c>
      <c r="L65" s="9" t="n">
        <f aca="false">IF(AND(H65=0,J65=0),0,IF(H65=0,"New",(J65-H65)/H65))</f>
        <v>-0.679406433689631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160</v>
      </c>
      <c r="B66" s="7" t="str">
        <f aca="false">IFERROR(INDEX('Source'!$C:$C,MATCH($A66,'Source'!$B:$B,0)),"")</f>
        <v>חגורת גב+סגירה כפולה</v>
      </c>
      <c r="C66" s="8" t="n">
        <f aca="false">SUMIFS('Source'!$D:$D,'Source'!$A:$A,"C02266 SANAFLEX L.P",'Source'!$B:$B,$A66)</f>
        <v>56</v>
      </c>
      <c r="D66" s="8" t="n">
        <f aca="false">SUMIFS('Source'!$F:$F,'Source'!$A:$A,"C02266 SANAFLEX L.P",'Source'!$B:$B,$A66)</f>
        <v>46</v>
      </c>
      <c r="E66" s="8" t="n">
        <f aca="false">D66*$J$5</f>
        <v>58.1052631578947</v>
      </c>
      <c r="F66" s="8" t="n">
        <f aca="false">E66-C66</f>
        <v>2.10526315789473</v>
      </c>
      <c r="G66" s="9" t="n">
        <f aca="false">IF(AND(C66=0,E66=0),0,IF(C66=0,"New",(E66-C66)/C66))</f>
        <v>0.0375939849624059</v>
      </c>
      <c r="H66" s="8" t="n">
        <f aca="false">SUMIFS('Source'!$E:$E,'Source'!$A:$A,"C02266 SANAFLEX L.P",'Source'!$B:$B,$A66)</f>
        <v>2916.8</v>
      </c>
      <c r="I66" s="8" t="n">
        <f aca="false">SUMIFS('Source'!$G:$G,'Source'!$A:$A,"C02266 SANAFLEX L.P",'Source'!$B:$B,$A66)</f>
        <v>2225.87</v>
      </c>
      <c r="J66" s="8" t="n">
        <f aca="false">I66*$J$5</f>
        <v>2811.62526315789</v>
      </c>
      <c r="K66" s="8" t="n">
        <f aca="false">J66-H66</f>
        <v>-105.174736842106</v>
      </c>
      <c r="L66" s="9" t="n">
        <f aca="false">IF(AND(H66=0,J66=0),0,IF(H66=0,"New",(J66-H66)/H66))</f>
        <v>-0.0360582613967724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405</v>
      </c>
      <c r="B67" s="7" t="str">
        <f aca="false">IFERROR(INDEX('Source'!$C:$C,MATCH($A67,'Source'!$B:$B,0)),"")</f>
        <v>אצבעון מפלסטיק  ליד</v>
      </c>
      <c r="C67" s="8" t="n">
        <f aca="false">SUMIFS('Source'!$D:$D,'Source'!$A:$A,"C02266 SANAFLEX L.P",'Source'!$B:$B,$A67)</f>
        <v>440</v>
      </c>
      <c r="D67" s="8" t="n">
        <f aca="false">SUMIFS('Source'!$F:$F,'Source'!$A:$A,"C02266 SANAFLEX L.P",'Source'!$B:$B,$A67)</f>
        <v>400</v>
      </c>
      <c r="E67" s="8" t="n">
        <f aca="false">D67*$J$5</f>
        <v>505.263157894737</v>
      </c>
      <c r="F67" s="8" t="n">
        <f aca="false">E67-C67</f>
        <v>65.2631578947368</v>
      </c>
      <c r="G67" s="9" t="n">
        <f aca="false">IF(AND(C67=0,E67=0),0,IF(C67=0,"New",(E67-C67)/C67))</f>
        <v>0.148325358851675</v>
      </c>
      <c r="H67" s="8" t="n">
        <f aca="false">SUMIFS('Source'!$E:$E,'Source'!$A:$A,"C02266 SANAFLEX L.P",'Source'!$B:$B,$A67)</f>
        <v>3720.57</v>
      </c>
      <c r="I67" s="8" t="n">
        <f aca="false">SUMIFS('Source'!$G:$G,'Source'!$A:$A,"C02266 SANAFLEX L.P",'Source'!$B:$B,$A67)</f>
        <v>3036.38</v>
      </c>
      <c r="J67" s="8" t="n">
        <f aca="false">I67*$J$5</f>
        <v>3835.42736842105</v>
      </c>
      <c r="K67" s="8" t="n">
        <f aca="false">J67-H67</f>
        <v>114.857368421052</v>
      </c>
      <c r="L67" s="9" t="n">
        <f aca="false">IF(AND(H67=0,J67=0),0,IF(H67=0,"New",(J67-H67)/H67))</f>
        <v>0.0308709064527888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544</v>
      </c>
      <c r="B68" s="7" t="str">
        <f aca="false">IFERROR(INDEX('Source'!$C:$C,MATCH($A68,'Source'!$B:$B,0)),"")</f>
        <v>מגן קרסול סגור</v>
      </c>
      <c r="C68" s="8" t="n">
        <f aca="false">SUMIFS('Source'!$D:$D,'Source'!$A:$A,"C02266 SANAFLEX L.P",'Source'!$B:$B,$A68)</f>
        <v>16</v>
      </c>
      <c r="D68" s="8" t="n">
        <f aca="false">SUMIFS('Source'!$F:$F,'Source'!$A:$A,"C02266 SANAFLEX L.P",'Source'!$B:$B,$A68)</f>
        <v>53</v>
      </c>
      <c r="E68" s="8" t="n">
        <f aca="false">D68*$J$5</f>
        <v>66.9473684210526</v>
      </c>
      <c r="F68" s="8" t="n">
        <f aca="false">E68-C68</f>
        <v>50.9473684210526</v>
      </c>
      <c r="G68" s="9" t="n">
        <f aca="false">IF(AND(C68=0,E68=0),0,IF(C68=0,"New",(E68-C68)/C68))</f>
        <v>3.18421052631579</v>
      </c>
      <c r="H68" s="8" t="n">
        <f aca="false">SUMIFS('Source'!$E:$E,'Source'!$A:$A,"C02266 SANAFLEX L.P",'Source'!$B:$B,$A68)</f>
        <v>323.96</v>
      </c>
      <c r="I68" s="8" t="n">
        <f aca="false">SUMIFS('Source'!$G:$G,'Source'!$A:$A,"C02266 SANAFLEX L.P",'Source'!$B:$B,$A68)</f>
        <v>992.32</v>
      </c>
      <c r="J68" s="8" t="n">
        <f aca="false">I68*$J$5</f>
        <v>1253.45684210526</v>
      </c>
      <c r="K68" s="8" t="n">
        <f aca="false">J68-H68</f>
        <v>929.496842105263</v>
      </c>
      <c r="L68" s="9" t="n">
        <f aca="false">IF(AND(H68=0,J68=0),0,IF(H68=0,"New",(J68-H68)/H68))</f>
        <v>2.86917163262521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208</v>
      </c>
      <c r="B69" s="7" t="str">
        <f aca="false">IFERROR(INDEX('Source'!$C:$C,MATCH($A69,'Source'!$B:$B,0)),"")</f>
        <v>מדרס מתכוונן</v>
      </c>
      <c r="C69" s="8" t="n">
        <f aca="false">SUMIFS('Source'!$D:$D,'Source'!$A:$A,"C02266 SANAFLEX L.P",'Source'!$B:$B,$A69)</f>
        <v>140</v>
      </c>
      <c r="D69" s="8" t="n">
        <f aca="false">SUMIFS('Source'!$F:$F,'Source'!$A:$A,"C02266 SANAFLEX L.P",'Source'!$B:$B,$A69)</f>
        <v>180</v>
      </c>
      <c r="E69" s="8" t="n">
        <f aca="false">D69*$J$5</f>
        <v>227.368421052632</v>
      </c>
      <c r="F69" s="8" t="n">
        <f aca="false">E69-C69</f>
        <v>87.3684210526316</v>
      </c>
      <c r="G69" s="9" t="n">
        <f aca="false">IF(AND(C69=0,E69=0),0,IF(C69=0,"New",(E69-C69)/C69))</f>
        <v>0.62406015037594</v>
      </c>
      <c r="H69" s="8" t="n">
        <f aca="false">SUMIFS('Source'!$E:$E,'Source'!$A:$A,"C02266 SANAFLEX L.P",'Source'!$B:$B,$A69)</f>
        <v>4983.37</v>
      </c>
      <c r="I69" s="8" t="n">
        <f aca="false">SUMIFS('Source'!$G:$G,'Source'!$A:$A,"C02266 SANAFLEX L.P",'Source'!$B:$B,$A69)</f>
        <v>5639.97</v>
      </c>
      <c r="J69" s="8" t="n">
        <f aca="false">I69*$J$5</f>
        <v>7124.17263157895</v>
      </c>
      <c r="K69" s="8" t="n">
        <f aca="false">J69-H69</f>
        <v>2140.80263157895</v>
      </c>
      <c r="L69" s="9" t="n">
        <f aca="false">IF(AND(H69=0,J69=0),0,IF(H69=0,"New",(J69-H69)/H69))</f>
        <v>0.429589340462167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173</v>
      </c>
      <c r="B70" s="7" t="str">
        <f aca="false">IFERROR(INDEX('Source'!$C:$C,MATCH($A70,'Source'!$B:$B,0)),"")</f>
        <v>גרבי נוחות חורף שחור</v>
      </c>
      <c r="C70" s="8" t="n">
        <f aca="false">SUMIFS('Source'!$D:$D,'Source'!$A:$A,"C02266 SANAFLEX L.P",'Source'!$B:$B,$A70)</f>
        <v>45</v>
      </c>
      <c r="D70" s="8" t="n">
        <f aca="false">SUMIFS('Source'!$F:$F,'Source'!$A:$A,"C02266 SANAFLEX L.P",'Source'!$B:$B,$A70)</f>
        <v>16</v>
      </c>
      <c r="E70" s="8" t="n">
        <f aca="false">D70*$J$5</f>
        <v>20.2105263157895</v>
      </c>
      <c r="F70" s="8" t="n">
        <f aca="false">E70-C70</f>
        <v>-24.7894736842105</v>
      </c>
      <c r="G70" s="9" t="n">
        <f aca="false">IF(AND(C70=0,E70=0),0,IF(C70=0,"New",(E70-C70)/C70))</f>
        <v>-0.550877192982456</v>
      </c>
      <c r="H70" s="8" t="n">
        <f aca="false">SUMIFS('Source'!$E:$E,'Source'!$A:$A,"C02266 SANAFLEX L.P",'Source'!$B:$B,$A70)</f>
        <v>982.73</v>
      </c>
      <c r="I70" s="8" t="n">
        <f aca="false">SUMIFS('Source'!$G:$G,'Source'!$A:$A,"C02266 SANAFLEX L.P",'Source'!$B:$B,$A70)</f>
        <v>327.76</v>
      </c>
      <c r="J70" s="8" t="n">
        <f aca="false">I70*$J$5</f>
        <v>414.012631578947</v>
      </c>
      <c r="K70" s="8" t="n">
        <f aca="false">J70-H70</f>
        <v>-568.717368421053</v>
      </c>
      <c r="L70" s="9" t="n">
        <f aca="false">IF(AND(H70=0,J70=0),0,IF(H70=0,"New",(J70-H70)/H70))</f>
        <v>-0.578711719822385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521</v>
      </c>
      <c r="B71" s="7" t="str">
        <f aca="false">IFERROR(INDEX('Source'!$C:$C,MATCH($A71,'Source'!$B:$B,0)),"")</f>
        <v>סופורטר</v>
      </c>
      <c r="C71" s="8" t="n">
        <f aca="false">SUMIFS('Source'!$D:$D,'Source'!$A:$A,"C02266 SANAFLEX L.P",'Source'!$B:$B,$A71)</f>
        <v>26</v>
      </c>
      <c r="D71" s="8" t="n">
        <f aca="false">SUMIFS('Source'!$F:$F,'Source'!$A:$A,"C02266 SANAFLEX L.P",'Source'!$B:$B,$A71)</f>
        <v>6</v>
      </c>
      <c r="E71" s="8" t="n">
        <f aca="false">D71*$J$5</f>
        <v>7.57894736842105</v>
      </c>
      <c r="F71" s="8" t="n">
        <f aca="false">E71-C71</f>
        <v>-18.421052631579</v>
      </c>
      <c r="G71" s="9" t="n">
        <f aca="false">IF(AND(C71=0,E71=0),0,IF(C71=0,"New",(E71-C71)/C71))</f>
        <v>-0.708502024291498</v>
      </c>
      <c r="H71" s="8" t="n">
        <f aca="false">SUMIFS('Source'!$E:$E,'Source'!$A:$A,"C02266 SANAFLEX L.P",'Source'!$B:$B,$A71)</f>
        <v>823.38</v>
      </c>
      <c r="I71" s="8" t="n">
        <f aca="false">SUMIFS('Source'!$G:$G,'Source'!$A:$A,"C02266 SANAFLEX L.P",'Source'!$B:$B,$A71)</f>
        <v>178.05</v>
      </c>
      <c r="J71" s="8" t="n">
        <f aca="false">I71*$J$5</f>
        <v>224.905263157895</v>
      </c>
      <c r="K71" s="8" t="n">
        <f aca="false">J71-H71</f>
        <v>-598.474736842105</v>
      </c>
      <c r="L71" s="9" t="n">
        <f aca="false">IF(AND(H71=0,J71=0),0,IF(H71=0,"New",(J71-H71)/H71))</f>
        <v>-0.726851194882199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361</v>
      </c>
      <c r="B72" s="7" t="str">
        <f aca="false">IFERROR(INDEX('Source'!$C:$C,MATCH($A72,'Source'!$B:$B,0)),"")</f>
        <v>מדרס מתכוונן</v>
      </c>
      <c r="C72" s="8" t="n">
        <f aca="false">SUMIFS('Source'!$D:$D,'Source'!$A:$A,"C02266 SANAFLEX L.P",'Source'!$B:$B,$A72)</f>
        <v>6</v>
      </c>
      <c r="D72" s="8" t="n">
        <f aca="false">SUMIFS('Source'!$F:$F,'Source'!$A:$A,"C02266 SANAFLEX L.P",'Source'!$B:$B,$A72)</f>
        <v>27</v>
      </c>
      <c r="E72" s="8" t="n">
        <f aca="false">D72*$J$5</f>
        <v>34.1052631578947</v>
      </c>
      <c r="F72" s="8" t="n">
        <f aca="false">E72-C72</f>
        <v>28.1052631578947</v>
      </c>
      <c r="G72" s="9" t="n">
        <f aca="false">IF(AND(C72=0,E72=0),0,IF(C72=0,"New",(E72-C72)/C72))</f>
        <v>4.68421052631579</v>
      </c>
      <c r="H72" s="8" t="n">
        <f aca="false">SUMIFS('Source'!$E:$E,'Source'!$A:$A,"C02266 SANAFLEX L.P",'Source'!$B:$B,$A72)</f>
        <v>200.98</v>
      </c>
      <c r="I72" s="8" t="n">
        <f aca="false">SUMIFS('Source'!$G:$G,'Source'!$A:$A,"C02266 SANAFLEX L.P",'Source'!$B:$B,$A72)</f>
        <v>841.11</v>
      </c>
      <c r="J72" s="8" t="n">
        <f aca="false">I72*$J$5</f>
        <v>1062.45473684211</v>
      </c>
      <c r="K72" s="8" t="n">
        <f aca="false">J72-H72</f>
        <v>861.474736842105</v>
      </c>
      <c r="L72" s="9" t="n">
        <f aca="false">IF(AND(H72=0,J72=0),0,IF(H72=0,"New",(J72-H72)/H72))</f>
        <v>4.28637046891285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693</v>
      </c>
      <c r="B73" s="7" t="str">
        <f aca="false">IFERROR(INDEX('Source'!$C:$C,MATCH($A73,'Source'!$B:$B,0)),"")</f>
        <v>מתלה יד-כיס</v>
      </c>
      <c r="C73" s="8" t="n">
        <f aca="false">SUMIFS('Source'!$D:$D,'Source'!$A:$A,"C02266 SANAFLEX L.P",'Source'!$B:$B,$A73)</f>
        <v>220</v>
      </c>
      <c r="D73" s="8" t="n">
        <f aca="false">SUMIFS('Source'!$F:$F,'Source'!$A:$A,"C02266 SANAFLEX L.P",'Source'!$B:$B,$A73)</f>
        <v>210</v>
      </c>
      <c r="E73" s="8" t="n">
        <f aca="false">D73*$J$5</f>
        <v>265.263157894737</v>
      </c>
      <c r="F73" s="8" t="n">
        <f aca="false">E73-C73</f>
        <v>45.2631578947368</v>
      </c>
      <c r="G73" s="9" t="n">
        <f aca="false">IF(AND(C73=0,E73=0),0,IF(C73=0,"New",(E73-C73)/C73))</f>
        <v>0.205741626794258</v>
      </c>
      <c r="H73" s="8" t="n">
        <f aca="false">SUMIFS('Source'!$E:$E,'Source'!$A:$A,"C02266 SANAFLEX L.P",'Source'!$B:$B,$A73)</f>
        <v>4207.96</v>
      </c>
      <c r="I73" s="8" t="n">
        <f aca="false">SUMIFS('Source'!$G:$G,'Source'!$A:$A,"C02266 SANAFLEX L.P",'Source'!$B:$B,$A73)</f>
        <v>3580.27</v>
      </c>
      <c r="J73" s="8" t="n">
        <f aca="false">I73*$J$5</f>
        <v>4522.44631578947</v>
      </c>
      <c r="K73" s="8" t="n">
        <f aca="false">J73-H73</f>
        <v>314.486315789473</v>
      </c>
      <c r="L73" s="9" t="n">
        <f aca="false">IF(AND(H73=0,J73=0),0,IF(H73=0,"New",(J73-H73)/H73))</f>
        <v>0.0747360516234644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579</v>
      </c>
      <c r="B74" s="7" t="str">
        <f aca="false">IFERROR(INDEX('Source'!$C:$C,MATCH($A74,'Source'!$B:$B,0)),"")</f>
        <v>סד קרסול קל שחור M</v>
      </c>
      <c r="C74" s="8" t="n">
        <f aca="false">SUMIFS('Source'!$D:$D,'Source'!$A:$A,"C02266 SANAFLEX L.P",'Source'!$B:$B,$A74)</f>
        <v>10</v>
      </c>
      <c r="D74" s="8" t="n">
        <f aca="false">SUMIFS('Source'!$F:$F,'Source'!$A:$A,"C02266 SANAFLEX L.P",'Source'!$B:$B,$A74)</f>
        <v>0</v>
      </c>
      <c r="E74" s="8" t="n">
        <f aca="false">D74*$J$5</f>
        <v>0</v>
      </c>
      <c r="F74" s="8" t="n">
        <f aca="false">E74-C74</f>
        <v>-10</v>
      </c>
      <c r="G74" s="9" t="n">
        <f aca="false">IF(AND(C74=0,E74=0),0,IF(C74=0,"New",(E74-C74)/C74))</f>
        <v>-1</v>
      </c>
      <c r="H74" s="8" t="n">
        <f aca="false">SUMIFS('Source'!$E:$E,'Source'!$A:$A,"C02266 SANAFLEX L.P",'Source'!$B:$B,$A74)</f>
        <v>623.26</v>
      </c>
      <c r="I74" s="8" t="n">
        <f aca="false">SUMIFS('Source'!$G:$G,'Source'!$A:$A,"C02266 SANAFLEX L.P",'Source'!$B:$B,$A74)</f>
        <v>0</v>
      </c>
      <c r="J74" s="8" t="n">
        <f aca="false">I74*$J$5</f>
        <v>0</v>
      </c>
      <c r="K74" s="8" t="n">
        <f aca="false">J74-H74</f>
        <v>-623.26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153</v>
      </c>
      <c r="B75" s="7" t="str">
        <f aca="false">IFERROR(INDEX('Source'!$C:$C,MATCH($A75,'Source'!$B:$B,0)),"")</f>
        <v>גרבי קיץ אנטיבקטריאלי שחור</v>
      </c>
      <c r="C75" s="8" t="n">
        <f aca="false">SUMIFS('Source'!$D:$D,'Source'!$A:$A,"C02266 SANAFLEX L.P",'Source'!$B:$B,$A75)</f>
        <v>0</v>
      </c>
      <c r="D75" s="8" t="n">
        <f aca="false">SUMIFS('Source'!$F:$F,'Source'!$A:$A,"C02266 SANAFLEX L.P",'Source'!$B:$B,$A75)</f>
        <v>30</v>
      </c>
      <c r="E75" s="8" t="n">
        <f aca="false">D75*$J$5</f>
        <v>37.8947368421053</v>
      </c>
      <c r="F75" s="8" t="n">
        <f aca="false">E75-C75</f>
        <v>37.8947368421053</v>
      </c>
      <c r="G75" s="9" t="str">
        <f aca="false">IF(AND(C75=0,E75=0),0,IF(C75=0,"New",(E75-C75)/C75))</f>
        <v>New</v>
      </c>
      <c r="H75" s="8" t="n">
        <f aca="false">SUMIFS('Source'!$E:$E,'Source'!$A:$A,"C02266 SANAFLEX L.P",'Source'!$B:$B,$A75)</f>
        <v>0</v>
      </c>
      <c r="I75" s="8" t="n">
        <f aca="false">SUMIFS('Source'!$G:$G,'Source'!$A:$A,"C02266 SANAFLEX L.P",'Source'!$B:$B,$A75)</f>
        <v>600.48</v>
      </c>
      <c r="J75" s="8" t="n">
        <f aca="false">I75*$J$5</f>
        <v>758.501052631579</v>
      </c>
      <c r="K75" s="8" t="n">
        <f aca="false">J75-H75</f>
        <v>758.501052631579</v>
      </c>
      <c r="L75" s="9" t="str">
        <f aca="false">IF(AND(H75=0,J75=0),0,IF(H75=0,"New",(J75-H75)/H75))</f>
        <v>New</v>
      </c>
      <c r="M75" s="7" t="str">
        <f aca="false">IF(AND(OR(C75&lt;&gt;0,H75&lt;&gt;0),D75=0,I75=0),"DROP",IF(AND(OR(D75&lt;&gt;0,I75&lt;&gt;0),C75=0,H75=0),"NEW",""))</f>
        <v>NEW</v>
      </c>
    </row>
    <row r="76" customFormat="false" ht="15" hidden="false" customHeight="false" outlineLevel="0" collapsed="false">
      <c r="A76" s="7" t="s">
        <v>639</v>
      </c>
      <c r="B76" s="7" t="str">
        <f aca="false">IFERROR(INDEX('Source'!$C:$C,MATCH($A76,'Source'!$B:$B,0)),"")</f>
        <v>שרוול מטטרזלי מסיליקון</v>
      </c>
      <c r="C76" s="8" t="n">
        <f aca="false">SUMIFS('Source'!$D:$D,'Source'!$A:$A,"C02266 SANAFLEX L.P",'Source'!$B:$B,$A76)</f>
        <v>0</v>
      </c>
      <c r="D76" s="8" t="n">
        <f aca="false">SUMIFS('Source'!$F:$F,'Source'!$A:$A,"C02266 SANAFLEX L.P",'Source'!$B:$B,$A76)</f>
        <v>21</v>
      </c>
      <c r="E76" s="8" t="n">
        <f aca="false">D76*$J$5</f>
        <v>26.5263157894737</v>
      </c>
      <c r="F76" s="8" t="n">
        <f aca="false">E76-C76</f>
        <v>26.5263157894737</v>
      </c>
      <c r="G76" s="9" t="str">
        <f aca="false">IF(AND(C76=0,E76=0),0,IF(C76=0,"New",(E76-C76)/C76))</f>
        <v>New</v>
      </c>
      <c r="H76" s="8" t="n">
        <f aca="false">SUMIFS('Source'!$E:$E,'Source'!$A:$A,"C02266 SANAFLEX L.P",'Source'!$B:$B,$A76)</f>
        <v>0</v>
      </c>
      <c r="I76" s="8" t="n">
        <f aca="false">SUMIFS('Source'!$G:$G,'Source'!$A:$A,"C02266 SANAFLEX L.P",'Source'!$B:$B,$A76)</f>
        <v>587.6</v>
      </c>
      <c r="J76" s="8" t="n">
        <f aca="false">I76*$J$5</f>
        <v>742.231578947369</v>
      </c>
      <c r="K76" s="8" t="n">
        <f aca="false">J76-H76</f>
        <v>742.231578947369</v>
      </c>
      <c r="L76" s="9" t="str">
        <f aca="false">IF(AND(H76=0,J76=0),0,IF(H76=0,"New",(J76-H76)/H76))</f>
        <v>New</v>
      </c>
      <c r="M76" s="7" t="str">
        <f aca="false">IF(AND(OR(C76&lt;&gt;0,H76&lt;&gt;0),D76=0,I76=0),"DROP",IF(AND(OR(D76&lt;&gt;0,I76&lt;&gt;0),C76=0,H76=0),"NEW",""))</f>
        <v>NEW</v>
      </c>
    </row>
    <row r="77" customFormat="false" ht="15" hidden="false" customHeight="false" outlineLevel="0" collapsed="false">
      <c r="A77" s="7" t="s">
        <v>219</v>
      </c>
      <c r="B77" s="7" t="str">
        <f aca="false">IFERROR(INDEX('Source'!$C:$C,MATCH($A77,'Source'!$B:$B,0)),"")</f>
        <v>כרית חום וקור</v>
      </c>
      <c r="C77" s="8" t="n">
        <f aca="false">SUMIFS('Source'!$D:$D,'Source'!$A:$A,"C02266 SANAFLEX L.P",'Source'!$B:$B,$A77)</f>
        <v>51</v>
      </c>
      <c r="D77" s="8" t="n">
        <f aca="false">SUMIFS('Source'!$F:$F,'Source'!$A:$A,"C02266 SANAFLEX L.P",'Source'!$B:$B,$A77)</f>
        <v>31</v>
      </c>
      <c r="E77" s="8" t="n">
        <f aca="false">D77*$J$5</f>
        <v>39.1578947368421</v>
      </c>
      <c r="F77" s="8" t="n">
        <f aca="false">E77-C77</f>
        <v>-11.8421052631579</v>
      </c>
      <c r="G77" s="9" t="n">
        <f aca="false">IF(AND(C77=0,E77=0),0,IF(C77=0,"New",(E77-C77)/C77))</f>
        <v>-0.232198142414861</v>
      </c>
      <c r="H77" s="8" t="n">
        <f aca="false">SUMIFS('Source'!$E:$E,'Source'!$A:$A,"C02266 SANAFLEX L.P",'Source'!$B:$B,$A77)</f>
        <v>1198.79</v>
      </c>
      <c r="I77" s="8" t="n">
        <f aca="false">SUMIFS('Source'!$G:$G,'Source'!$A:$A,"C02266 SANAFLEX L.P",'Source'!$B:$B,$A77)</f>
        <v>645</v>
      </c>
      <c r="J77" s="8" t="n">
        <f aca="false">I77*$J$5</f>
        <v>814.736842105263</v>
      </c>
      <c r="K77" s="8" t="n">
        <f aca="false">J77-H77</f>
        <v>-384.053157894737</v>
      </c>
      <c r="L77" s="9" t="n">
        <f aca="false">IF(AND(H77=0,J77=0),0,IF(H77=0,"New",(J77-H77)/H77))</f>
        <v>-0.320367335308717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262</v>
      </c>
      <c r="B78" s="7" t="str">
        <f aca="false">IFERROR(INDEX('Source'!$C:$C,MATCH($A78,'Source'!$B:$B,0)),"")</f>
        <v>צוארון ספוגי</v>
      </c>
      <c r="C78" s="8" t="n">
        <f aca="false">SUMIFS('Source'!$D:$D,'Source'!$A:$A,"C02266 SANAFLEX L.P",'Source'!$B:$B,$A78)</f>
        <v>50</v>
      </c>
      <c r="D78" s="8" t="n">
        <f aca="false">SUMIFS('Source'!$F:$F,'Source'!$A:$A,"C02266 SANAFLEX L.P",'Source'!$B:$B,$A78)</f>
        <v>28</v>
      </c>
      <c r="E78" s="8" t="n">
        <f aca="false">D78*$J$5</f>
        <v>35.3684210526316</v>
      </c>
      <c r="F78" s="8" t="n">
        <f aca="false">E78-C78</f>
        <v>-14.6315789473684</v>
      </c>
      <c r="G78" s="9" t="n">
        <f aca="false">IF(AND(C78=0,E78=0),0,IF(C78=0,"New",(E78-C78)/C78))</f>
        <v>-0.292631578947369</v>
      </c>
      <c r="H78" s="8" t="n">
        <f aca="false">SUMIFS('Source'!$E:$E,'Source'!$A:$A,"C02266 SANAFLEX L.P",'Source'!$B:$B,$A78)</f>
        <v>1127.64</v>
      </c>
      <c r="I78" s="8" t="n">
        <f aca="false">SUMIFS('Source'!$G:$G,'Source'!$A:$A,"C02266 SANAFLEX L.P",'Source'!$B:$B,$A78)</f>
        <v>576.06</v>
      </c>
      <c r="J78" s="8" t="n">
        <f aca="false">I78*$J$5</f>
        <v>727.654736842105</v>
      </c>
      <c r="K78" s="8" t="n">
        <f aca="false">J78-H78</f>
        <v>-399.985263157895</v>
      </c>
      <c r="L78" s="9" t="n">
        <f aca="false">IF(AND(H78=0,J78=0),0,IF(H78=0,"New",(J78-H78)/H78))</f>
        <v>-0.354710069843119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554</v>
      </c>
      <c r="B79" s="7" t="str">
        <f aca="false">IFERROR(INDEX('Source'!$C:$C,MATCH($A79,'Source'!$B:$B,0)),"")</f>
        <v>חבק יד אגודלי ימ</v>
      </c>
      <c r="C79" s="8" t="n">
        <f aca="false">SUMIFS('Source'!$D:$D,'Source'!$A:$A,"C02266 SANAFLEX L.P",'Source'!$B:$B,$A79)</f>
        <v>40</v>
      </c>
      <c r="D79" s="8" t="n">
        <f aca="false">SUMIFS('Source'!$F:$F,'Source'!$A:$A,"C02266 SANAFLEX L.P",'Source'!$B:$B,$A79)</f>
        <v>80</v>
      </c>
      <c r="E79" s="8" t="n">
        <f aca="false">D79*$J$5</f>
        <v>101.052631578947</v>
      </c>
      <c r="F79" s="8" t="n">
        <f aca="false">E79-C79</f>
        <v>61.0526315789474</v>
      </c>
      <c r="G79" s="9" t="n">
        <f aca="false">IF(AND(C79=0,E79=0),0,IF(C79=0,"New",(E79-C79)/C79))</f>
        <v>1.52631578947368</v>
      </c>
      <c r="H79" s="8" t="n">
        <f aca="false">SUMIFS('Source'!$E:$E,'Source'!$A:$A,"C02266 SANAFLEX L.P",'Source'!$B:$B,$A79)</f>
        <v>676.67</v>
      </c>
      <c r="I79" s="8" t="n">
        <f aca="false">SUMIFS('Source'!$G:$G,'Source'!$A:$A,"C02266 SANAFLEX L.P",'Source'!$B:$B,$A79)</f>
        <v>1214.63</v>
      </c>
      <c r="J79" s="8" t="n">
        <f aca="false">I79*$J$5</f>
        <v>1534.26947368421</v>
      </c>
      <c r="K79" s="8" t="n">
        <f aca="false">J79-H79</f>
        <v>857.59947368421</v>
      </c>
      <c r="L79" s="9" t="n">
        <f aca="false">IF(AND(H79=0,J79=0),0,IF(H79=0,"New",(J79-H79)/H79))</f>
        <v>1.26738214149321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465</v>
      </c>
      <c r="B80" s="7" t="str">
        <f aca="false">IFERROR(INDEX('Source'!$C:$C,MATCH($A80,'Source'!$B:$B,0)),"")</f>
        <v>צוארון ספוגי</v>
      </c>
      <c r="C80" s="8" t="n">
        <f aca="false">SUMIFS('Source'!$D:$D,'Source'!$A:$A,"C02266 SANAFLEX L.P",'Source'!$B:$B,$A80)</f>
        <v>37</v>
      </c>
      <c r="D80" s="8" t="n">
        <f aca="false">SUMIFS('Source'!$F:$F,'Source'!$A:$A,"C02266 SANAFLEX L.P",'Source'!$B:$B,$A80)</f>
        <v>16</v>
      </c>
      <c r="E80" s="8" t="n">
        <f aca="false">D80*$J$5</f>
        <v>20.2105263157895</v>
      </c>
      <c r="F80" s="8" t="n">
        <f aca="false">E80-C80</f>
        <v>-16.7894736842105</v>
      </c>
      <c r="G80" s="9" t="n">
        <f aca="false">IF(AND(C80=0,E80=0),0,IF(C80=0,"New",(E80-C80)/C80))</f>
        <v>-0.453769559032717</v>
      </c>
      <c r="H80" s="8" t="n">
        <f aca="false">SUMIFS('Source'!$E:$E,'Source'!$A:$A,"C02266 SANAFLEX L.P",'Source'!$B:$B,$A80)</f>
        <v>844.36</v>
      </c>
      <c r="I80" s="8" t="n">
        <f aca="false">SUMIFS('Source'!$G:$G,'Source'!$A:$A,"C02266 SANAFLEX L.P",'Source'!$B:$B,$A80)</f>
        <v>321.22</v>
      </c>
      <c r="J80" s="8" t="n">
        <f aca="false">I80*$J$5</f>
        <v>405.751578947368</v>
      </c>
      <c r="K80" s="8" t="n">
        <f aca="false">J80-H80</f>
        <v>-438.608421052632</v>
      </c>
      <c r="L80" s="9" t="n">
        <f aca="false">IF(AND(H80=0,J80=0),0,IF(H80=0,"New",(J80-H80)/H80))</f>
        <v>-0.519456654806755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286</v>
      </c>
      <c r="B81" s="7" t="str">
        <f aca="false">IFERROR(INDEX('Source'!$C:$C,MATCH($A81,'Source'!$B:$B,0)),"")</f>
        <v>שרוול לבוניון מסיליקון</v>
      </c>
      <c r="C81" s="8" t="n">
        <f aca="false">SUMIFS('Source'!$D:$D,'Source'!$A:$A,"C02266 SANAFLEX L.P",'Source'!$B:$B,$A81)</f>
        <v>16</v>
      </c>
      <c r="D81" s="8" t="n">
        <f aca="false">SUMIFS('Source'!$F:$F,'Source'!$A:$A,"C02266 SANAFLEX L.P",'Source'!$B:$B,$A81)</f>
        <v>46</v>
      </c>
      <c r="E81" s="8" t="n">
        <f aca="false">D81*$J$5</f>
        <v>58.1052631578947</v>
      </c>
      <c r="F81" s="8" t="n">
        <f aca="false">E81-C81</f>
        <v>42.1052631578947</v>
      </c>
      <c r="G81" s="9" t="n">
        <f aca="false">IF(AND(C81=0,E81=0),0,IF(C81=0,"New",(E81-C81)/C81))</f>
        <v>2.63157894736842</v>
      </c>
      <c r="H81" s="8" t="n">
        <f aca="false">SUMIFS('Source'!$E:$E,'Source'!$A:$A,"C02266 SANAFLEX L.P",'Source'!$B:$B,$A81)</f>
        <v>277.58</v>
      </c>
      <c r="I81" s="8" t="n">
        <f aca="false">SUMIFS('Source'!$G:$G,'Source'!$A:$A,"C02266 SANAFLEX L.P",'Source'!$B:$B,$A81)</f>
        <v>762.78</v>
      </c>
      <c r="J81" s="8" t="n">
        <f aca="false">I81*$J$5</f>
        <v>963.511578947368</v>
      </c>
      <c r="K81" s="8" t="n">
        <f aca="false">J81-H81</f>
        <v>685.931578947368</v>
      </c>
      <c r="L81" s="9" t="n">
        <f aca="false">IF(AND(H81=0,J81=0),0,IF(H81=0,"New",(J81-H81)/H81))</f>
        <v>2.47111311674965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657</v>
      </c>
      <c r="B82" s="7" t="str">
        <f aca="false">IFERROR(INDEX('Source'!$C:$C,MATCH($A82,'Source'!$B:$B,0)),"")</f>
        <v>מגן ברך חום</v>
      </c>
      <c r="C82" s="8" t="n">
        <f aca="false">SUMIFS('Source'!$D:$D,'Source'!$A:$A,"C02266 SANAFLEX L.P",'Source'!$B:$B,$A82)</f>
        <v>65</v>
      </c>
      <c r="D82" s="8" t="n">
        <f aca="false">SUMIFS('Source'!$F:$F,'Source'!$A:$A,"C02266 SANAFLEX L.P",'Source'!$B:$B,$A82)</f>
        <v>21</v>
      </c>
      <c r="E82" s="8" t="n">
        <f aca="false">D82*$J$5</f>
        <v>26.5263157894737</v>
      </c>
      <c r="F82" s="8" t="n">
        <f aca="false">E82-C82</f>
        <v>-38.4736842105263</v>
      </c>
      <c r="G82" s="9" t="n">
        <f aca="false">IF(AND(C82=0,E82=0),0,IF(C82=0,"New",(E82-C82)/C82))</f>
        <v>-0.591902834008097</v>
      </c>
      <c r="H82" s="8" t="n">
        <f aca="false">SUMIFS('Source'!$E:$E,'Source'!$A:$A,"C02266 SANAFLEX L.P",'Source'!$B:$B,$A82)</f>
        <v>681.17</v>
      </c>
      <c r="I82" s="8" t="n">
        <f aca="false">SUMIFS('Source'!$G:$G,'Source'!$A:$A,"C02266 SANAFLEX L.P",'Source'!$B:$B,$A82)</f>
        <v>199.44</v>
      </c>
      <c r="J82" s="8" t="n">
        <f aca="false">I82*$J$5</f>
        <v>251.924210526316</v>
      </c>
      <c r="K82" s="8" t="n">
        <f aca="false">J82-H82</f>
        <v>-429.245789473684</v>
      </c>
      <c r="L82" s="9" t="n">
        <f aca="false">IF(AND(H82=0,J82=0),0,IF(H82=0,"New",(J82-H82)/H82))</f>
        <v>-0.630159562919219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217</v>
      </c>
      <c r="B83" s="7" t="str">
        <f aca="false">IFERROR(INDEX('Source'!$C:$C,MATCH($A83,'Source'!$B:$B,0)),"")</f>
        <v>מגן זרת מסיליקון</v>
      </c>
      <c r="C83" s="8" t="n">
        <f aca="false">SUMIFS('Source'!$D:$D,'Source'!$A:$A,"C02266 SANAFLEX L.P",'Source'!$B:$B,$A83)</f>
        <v>0</v>
      </c>
      <c r="D83" s="8" t="n">
        <f aca="false">SUMIFS('Source'!$F:$F,'Source'!$A:$A,"C02266 SANAFLEX L.P",'Source'!$B:$B,$A83)</f>
        <v>38</v>
      </c>
      <c r="E83" s="8" t="n">
        <f aca="false">D83*$J$5</f>
        <v>48</v>
      </c>
      <c r="F83" s="8" t="n">
        <f aca="false">E83-C83</f>
        <v>48</v>
      </c>
      <c r="G83" s="9" t="str">
        <f aca="false">IF(AND(C83=0,E83=0),0,IF(C83=0,"New",(E83-C83)/C83))</f>
        <v>New</v>
      </c>
      <c r="H83" s="8" t="n">
        <f aca="false">SUMIFS('Source'!$E:$E,'Source'!$A:$A,"C02266 SANAFLEX L.P",'Source'!$B:$B,$A83)</f>
        <v>0</v>
      </c>
      <c r="I83" s="8" t="n">
        <f aca="false">SUMIFS('Source'!$G:$G,'Source'!$A:$A,"C02266 SANAFLEX L.P",'Source'!$B:$B,$A83)</f>
        <v>462.83</v>
      </c>
      <c r="J83" s="8" t="n">
        <f aca="false">I83*$J$5</f>
        <v>584.627368421053</v>
      </c>
      <c r="K83" s="8" t="n">
        <f aca="false">J83-H83</f>
        <v>584.627368421053</v>
      </c>
      <c r="L83" s="9" t="str">
        <f aca="false">IF(AND(H83=0,J83=0),0,IF(H83=0,"New",(J83-H83)/H83))</f>
        <v>New</v>
      </c>
      <c r="M83" s="7" t="str">
        <f aca="false">IF(AND(OR(C83&lt;&gt;0,H83&lt;&gt;0),D83=0,I83=0),"DROP",IF(AND(OR(D83&lt;&gt;0,I83&lt;&gt;0),C83=0,H83=0),"NEW",""))</f>
        <v>NEW</v>
      </c>
    </row>
    <row r="84" customFormat="false" ht="15" hidden="false" customHeight="false" outlineLevel="0" collapsed="false">
      <c r="A84" s="7" t="s">
        <v>681</v>
      </c>
      <c r="B84" s="7" t="str">
        <f aca="false">IFERROR(INDEX('Source'!$C:$C,MATCH($A84,'Source'!$B:$B,0)),"")</f>
        <v>מגן מרפק שחור</v>
      </c>
      <c r="C84" s="8" t="n">
        <f aca="false">SUMIFS('Source'!$D:$D,'Source'!$A:$A,"C02266 SANAFLEX L.P",'Source'!$B:$B,$A84)</f>
        <v>56</v>
      </c>
      <c r="D84" s="8" t="n">
        <f aca="false">SUMIFS('Source'!$F:$F,'Source'!$A:$A,"C02266 SANAFLEX L.P",'Source'!$B:$B,$A84)</f>
        <v>16</v>
      </c>
      <c r="E84" s="8" t="n">
        <f aca="false">D84*$J$5</f>
        <v>20.2105263157895</v>
      </c>
      <c r="F84" s="8" t="n">
        <f aca="false">E84-C84</f>
        <v>-35.7894736842105</v>
      </c>
      <c r="G84" s="9" t="n">
        <f aca="false">IF(AND(C84=0,E84=0),0,IF(C84=0,"New",(E84-C84)/C84))</f>
        <v>-0.639097744360902</v>
      </c>
      <c r="H84" s="8" t="n">
        <f aca="false">SUMIFS('Source'!$E:$E,'Source'!$A:$A,"C02266 SANAFLEX L.P",'Source'!$B:$B,$A84)</f>
        <v>616.21</v>
      </c>
      <c r="I84" s="8" t="n">
        <f aca="false">SUMIFS('Source'!$G:$G,'Source'!$A:$A,"C02266 SANAFLEX L.P",'Source'!$B:$B,$A84)</f>
        <v>158.76</v>
      </c>
      <c r="J84" s="8" t="n">
        <f aca="false">I84*$J$5</f>
        <v>200.538947368421</v>
      </c>
      <c r="K84" s="8" t="n">
        <f aca="false">J84-H84</f>
        <v>-415.671052631579</v>
      </c>
      <c r="L84" s="9" t="n">
        <f aca="false">IF(AND(H84=0,J84=0),0,IF(H84=0,"New",(J84-H84)/H84))</f>
        <v>-0.674560705979421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792</v>
      </c>
      <c r="B85" s="7" t="str">
        <f aca="false">IFERROR(INDEX('Source'!$C:$C,MATCH($A85,'Source'!$B:$B,0)),"")</f>
        <v>סד לאגודל</v>
      </c>
      <c r="C85" s="8" t="n">
        <f aca="false">SUMIFS('Source'!$D:$D,'Source'!$A:$A,"C02266 SANAFLEX L.P",'Source'!$B:$B,$A85)</f>
        <v>16</v>
      </c>
      <c r="D85" s="8" t="n">
        <f aca="false">SUMIFS('Source'!$F:$F,'Source'!$A:$A,"C02266 SANAFLEX L.P",'Source'!$B:$B,$A85)</f>
        <v>31</v>
      </c>
      <c r="E85" s="8" t="n">
        <f aca="false">D85*$J$5</f>
        <v>39.1578947368421</v>
      </c>
      <c r="F85" s="8" t="n">
        <f aca="false">E85-C85</f>
        <v>23.1578947368421</v>
      </c>
      <c r="G85" s="9" t="n">
        <f aca="false">IF(AND(C85=0,E85=0),0,IF(C85=0,"New",(E85-C85)/C85))</f>
        <v>1.44736842105263</v>
      </c>
      <c r="H85" s="8" t="n">
        <f aca="false">SUMIFS('Source'!$E:$E,'Source'!$A:$A,"C02266 SANAFLEX L.P",'Source'!$B:$B,$A85)</f>
        <v>555.17</v>
      </c>
      <c r="I85" s="8" t="n">
        <f aca="false">SUMIFS('Source'!$G:$G,'Source'!$A:$A,"C02266 SANAFLEX L.P",'Source'!$B:$B,$A85)</f>
        <v>1011.7</v>
      </c>
      <c r="J85" s="8" t="n">
        <f aca="false">I85*$J$5</f>
        <v>1277.93684210526</v>
      </c>
      <c r="K85" s="8" t="n">
        <f aca="false">J85-H85</f>
        <v>722.766842105263</v>
      </c>
      <c r="L85" s="9" t="n">
        <f aca="false">IF(AND(H85=0,J85=0),0,IF(H85=0,"New",(J85-H85)/H85))</f>
        <v>1.30188382316275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251</v>
      </c>
      <c r="B86" s="7" t="str">
        <f aca="false">IFERROR(INDEX('Source'!$C:$C,MATCH($A86,'Source'!$B:$B,0)),"")</f>
        <v>גרביים עם עקב ג'ל</v>
      </c>
      <c r="C86" s="8" t="n">
        <f aca="false">SUMIFS('Source'!$D:$D,'Source'!$A:$A,"C02266 SANAFLEX L.P",'Source'!$B:$B,$A86)</f>
        <v>1</v>
      </c>
      <c r="D86" s="8" t="n">
        <f aca="false">SUMIFS('Source'!$F:$F,'Source'!$A:$A,"C02266 SANAFLEX L.P",'Source'!$B:$B,$A86)</f>
        <v>26</v>
      </c>
      <c r="E86" s="8" t="n">
        <f aca="false">D86*$J$5</f>
        <v>32.8421052631579</v>
      </c>
      <c r="F86" s="8" t="n">
        <f aca="false">E86-C86</f>
        <v>31.8421052631579</v>
      </c>
      <c r="G86" s="9" t="n">
        <f aca="false">IF(AND(C86=0,E86=0),0,IF(C86=0,"New",(E86-C86)/C86))</f>
        <v>31.8421052631579</v>
      </c>
      <c r="H86" s="8" t="n">
        <f aca="false">SUMIFS('Source'!$E:$E,'Source'!$A:$A,"C02266 SANAFLEX L.P",'Source'!$B:$B,$A86)</f>
        <v>0.04</v>
      </c>
      <c r="I86" s="8" t="n">
        <f aca="false">SUMIFS('Source'!$G:$G,'Source'!$A:$A,"C02266 SANAFLEX L.P",'Source'!$B:$B,$A86)</f>
        <v>448.72</v>
      </c>
      <c r="J86" s="8" t="n">
        <f aca="false">I86*$J$5</f>
        <v>566.804210526316</v>
      </c>
      <c r="K86" s="8" t="n">
        <f aca="false">J86-H86</f>
        <v>566.764210526316</v>
      </c>
      <c r="L86" s="9" t="n">
        <f aca="false">IF(AND(H86=0,J86=0),0,IF(H86=0,"New",(J86-H86)/H86))</f>
        <v>14169.1052631579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229</v>
      </c>
      <c r="B87" s="7" t="str">
        <f aca="false">IFERROR(INDEX('Source'!$C:$C,MATCH($A87,'Source'!$B:$B,0)),"")</f>
        <v>מכשיר ליצוב הבוהן</v>
      </c>
      <c r="C87" s="8" t="n">
        <f aca="false">SUMIFS('Source'!$D:$D,'Source'!$A:$A,"C02266 SANAFLEX L.P",'Source'!$B:$B,$A87)</f>
        <v>0</v>
      </c>
      <c r="D87" s="8" t="n">
        <f aca="false">SUMIFS('Source'!$F:$F,'Source'!$A:$A,"C02266 SANAFLEX L.P",'Source'!$B:$B,$A87)</f>
        <v>15</v>
      </c>
      <c r="E87" s="8" t="n">
        <f aca="false">D87*$J$5</f>
        <v>18.9473684210526</v>
      </c>
      <c r="F87" s="8" t="n">
        <f aca="false">E87-C87</f>
        <v>18.9473684210526</v>
      </c>
      <c r="G87" s="9" t="str">
        <f aca="false">IF(AND(C87=0,E87=0),0,IF(C87=0,"New",(E87-C87)/C87))</f>
        <v>New</v>
      </c>
      <c r="H87" s="8" t="n">
        <f aca="false">SUMIFS('Source'!$E:$E,'Source'!$A:$A,"C02266 SANAFLEX L.P",'Source'!$B:$B,$A87)</f>
        <v>0</v>
      </c>
      <c r="I87" s="8" t="n">
        <f aca="false">SUMIFS('Source'!$G:$G,'Source'!$A:$A,"C02266 SANAFLEX L.P",'Source'!$B:$B,$A87)</f>
        <v>442.38</v>
      </c>
      <c r="J87" s="8" t="n">
        <f aca="false">I87*$J$5</f>
        <v>558.795789473684</v>
      </c>
      <c r="K87" s="8" t="n">
        <f aca="false">J87-H87</f>
        <v>558.795789473684</v>
      </c>
      <c r="L87" s="9" t="str">
        <f aca="false">IF(AND(H87=0,J87=0),0,IF(H87=0,"New",(J87-H87)/H87))</f>
        <v>New</v>
      </c>
      <c r="M87" s="7" t="str">
        <f aca="false">IF(AND(OR(C87&lt;&gt;0,H87&lt;&gt;0),D87=0,I87=0),"DROP",IF(AND(OR(D87&lt;&gt;0,I87&lt;&gt;0),C87=0,H87=0),"NEW",""))</f>
        <v>NEW</v>
      </c>
    </row>
    <row r="88" customFormat="false" ht="15" hidden="false" customHeight="false" outlineLevel="0" collapsed="false">
      <c r="A88" s="7" t="s">
        <v>289</v>
      </c>
      <c r="B88" s="7" t="str">
        <f aca="false">IFERROR(INDEX('Source'!$C:$C,MATCH($A88,'Source'!$B:$B,0)),"")</f>
        <v>ח.בטן 25 ס'מ</v>
      </c>
      <c r="C88" s="8" t="n">
        <f aca="false">SUMIFS('Source'!$D:$D,'Source'!$A:$A,"C02266 SANAFLEX L.P",'Source'!$B:$B,$A88)</f>
        <v>26</v>
      </c>
      <c r="D88" s="8" t="n">
        <f aca="false">SUMIFS('Source'!$F:$F,'Source'!$A:$A,"C02266 SANAFLEX L.P",'Source'!$B:$B,$A88)</f>
        <v>18</v>
      </c>
      <c r="E88" s="8" t="n">
        <f aca="false">D88*$J$5</f>
        <v>22.7368421052632</v>
      </c>
      <c r="F88" s="8" t="n">
        <f aca="false">E88-C88</f>
        <v>-3.26315789473684</v>
      </c>
      <c r="G88" s="9" t="n">
        <f aca="false">IF(AND(C88=0,E88=0),0,IF(C88=0,"New",(E88-C88)/C88))</f>
        <v>-0.125506072874494</v>
      </c>
      <c r="H88" s="8" t="n">
        <f aca="false">SUMIFS('Source'!$E:$E,'Source'!$A:$A,"C02266 SANAFLEX L.P",'Source'!$B:$B,$A88)</f>
        <v>1145.86</v>
      </c>
      <c r="I88" s="8" t="n">
        <f aca="false">SUMIFS('Source'!$G:$G,'Source'!$A:$A,"C02266 SANAFLEX L.P",'Source'!$B:$B,$A88)</f>
        <v>705.43</v>
      </c>
      <c r="J88" s="8" t="n">
        <f aca="false">I88*$J$5</f>
        <v>891.069473684211</v>
      </c>
      <c r="K88" s="8" t="n">
        <f aca="false">J88-H88</f>
        <v>-254.79052631579</v>
      </c>
      <c r="L88" s="9" t="n">
        <f aca="false">IF(AND(H88=0,J88=0),0,IF(H88=0,"New",(J88-H88)/H88))</f>
        <v>-0.222357466283656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763</v>
      </c>
      <c r="B89" s="7" t="str">
        <f aca="false">IFERROR(INDEX('Source'!$C:$C,MATCH($A89,'Source'!$B:$B,0)),"")</f>
        <v>חגורת גב+סגירה כפולה</v>
      </c>
      <c r="C89" s="8" t="n">
        <f aca="false">SUMIFS('Source'!$D:$D,'Source'!$A:$A,"C02266 SANAFLEX L.P",'Source'!$B:$B,$A89)</f>
        <v>11</v>
      </c>
      <c r="D89" s="8" t="n">
        <f aca="false">SUMIFS('Source'!$F:$F,'Source'!$A:$A,"C02266 SANAFLEX L.P",'Source'!$B:$B,$A89)</f>
        <v>21</v>
      </c>
      <c r="E89" s="8" t="n">
        <f aca="false">D89*$J$5</f>
        <v>26.5263157894737</v>
      </c>
      <c r="F89" s="8" t="n">
        <f aca="false">E89-C89</f>
        <v>15.5263157894737</v>
      </c>
      <c r="G89" s="9" t="n">
        <f aca="false">IF(AND(C89=0,E89=0),0,IF(C89=0,"New",(E89-C89)/C89))</f>
        <v>1.41148325358852</v>
      </c>
      <c r="H89" s="8" t="n">
        <f aca="false">SUMIFS('Source'!$E:$E,'Source'!$A:$A,"C02266 SANAFLEX L.P",'Source'!$B:$B,$A89)</f>
        <v>584.39</v>
      </c>
      <c r="I89" s="8" t="n">
        <f aca="false">SUMIFS('Source'!$G:$G,'Source'!$A:$A,"C02266 SANAFLEX L.P",'Source'!$B:$B,$A89)</f>
        <v>1020.85</v>
      </c>
      <c r="J89" s="8" t="n">
        <f aca="false">I89*$J$5</f>
        <v>1289.49473684211</v>
      </c>
      <c r="K89" s="8" t="n">
        <f aca="false">J89-H89</f>
        <v>705.104736842105</v>
      </c>
      <c r="L89" s="9" t="n">
        <f aca="false">IF(AND(H89=0,J89=0),0,IF(H89=0,"New",(J89-H89)/H89))</f>
        <v>1.20656537045826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524</v>
      </c>
      <c r="B90" s="7" t="str">
        <f aca="false">IFERROR(INDEX('Source'!$C:$C,MATCH($A90,'Source'!$B:$B,0)),"")</f>
        <v>מגן יד</v>
      </c>
      <c r="C90" s="8" t="n">
        <f aca="false">SUMIFS('Source'!$D:$D,'Source'!$A:$A,"C02266 SANAFLEX L.P",'Source'!$B:$B,$A90)</f>
        <v>160</v>
      </c>
      <c r="D90" s="8" t="n">
        <f aca="false">SUMIFS('Source'!$F:$F,'Source'!$A:$A,"C02266 SANAFLEX L.P",'Source'!$B:$B,$A90)</f>
        <v>150</v>
      </c>
      <c r="E90" s="8" t="n">
        <f aca="false">D90*$J$5</f>
        <v>189.473684210526</v>
      </c>
      <c r="F90" s="8" t="n">
        <f aca="false">E90-C90</f>
        <v>29.4736842105263</v>
      </c>
      <c r="G90" s="9" t="n">
        <f aca="false">IF(AND(C90=0,E90=0),0,IF(C90=0,"New",(E90-C90)/C90))</f>
        <v>0.184210526315789</v>
      </c>
      <c r="H90" s="8" t="n">
        <f aca="false">SUMIFS('Source'!$E:$E,'Source'!$A:$A,"C02266 SANAFLEX L.P",'Source'!$B:$B,$A90)</f>
        <v>2583.89</v>
      </c>
      <c r="I90" s="8" t="n">
        <f aca="false">SUMIFS('Source'!$G:$G,'Source'!$A:$A,"C02266 SANAFLEX L.P",'Source'!$B:$B,$A90)</f>
        <v>2150.27</v>
      </c>
      <c r="J90" s="8" t="n">
        <f aca="false">I90*$J$5</f>
        <v>2716.13052631579</v>
      </c>
      <c r="K90" s="8" t="n">
        <f aca="false">J90-H90</f>
        <v>132.240526315789</v>
      </c>
      <c r="L90" s="9" t="n">
        <f aca="false">IF(AND(H90=0,J90=0),0,IF(H90=0,"New",(J90-H90)/H90))</f>
        <v>0.0511788529371565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898</v>
      </c>
      <c r="B91" s="7" t="str">
        <f aca="false">IFERROR(INDEX('Source'!$C:$C,MATCH($A91,'Source'!$B:$B,0)),"")</f>
        <v>ריפוד סיליקון לכרית כף הרגל</v>
      </c>
      <c r="C91" s="8" t="n">
        <f aca="false">SUMIFS('Source'!$D:$D,'Source'!$A:$A,"C02266 SANAFLEX L.P",'Source'!$B:$B,$A91)</f>
        <v>180</v>
      </c>
      <c r="D91" s="8" t="n">
        <f aca="false">SUMIFS('Source'!$F:$F,'Source'!$A:$A,"C02266 SANAFLEX L.P",'Source'!$B:$B,$A91)</f>
        <v>145</v>
      </c>
      <c r="E91" s="8" t="n">
        <f aca="false">D91*$J$5</f>
        <v>183.157894736842</v>
      </c>
      <c r="F91" s="8" t="n">
        <f aca="false">E91-C91</f>
        <v>3.15789473684208</v>
      </c>
      <c r="G91" s="9" t="n">
        <f aca="false">IF(AND(C91=0,E91=0),0,IF(C91=0,"New",(E91-C91)/C91))</f>
        <v>0.0175438596491227</v>
      </c>
      <c r="H91" s="8" t="n">
        <f aca="false">SUMIFS('Source'!$E:$E,'Source'!$A:$A,"C02266 SANAFLEX L.P",'Source'!$B:$B,$A91)</f>
        <v>1646.79</v>
      </c>
      <c r="I91" s="8" t="n">
        <f aca="false">SUMIFS('Source'!$G:$G,'Source'!$A:$A,"C02266 SANAFLEX L.P",'Source'!$B:$B,$A91)</f>
        <v>1213.98</v>
      </c>
      <c r="J91" s="8" t="n">
        <f aca="false">I91*$J$5</f>
        <v>1533.44842105263</v>
      </c>
      <c r="K91" s="8" t="n">
        <f aca="false">J91-H91</f>
        <v>-113.341578947368</v>
      </c>
      <c r="L91" s="9" t="n">
        <f aca="false">IF(AND(H91=0,J91=0),0,IF(H91=0,"New",(J91-H91)/H91))</f>
        <v>-0.0688257634230038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640</v>
      </c>
      <c r="B92" s="7" t="str">
        <f aca="false">IFERROR(INDEX('Source'!$C:$C,MATCH($A92,'Source'!$B:$B,0)),"")</f>
        <v>חבק יד מתכוון</v>
      </c>
      <c r="C92" s="8" t="n">
        <f aca="false">SUMIFS('Source'!$D:$D,'Source'!$A:$A,"C02266 SANAFLEX L.P",'Source'!$B:$B,$A92)</f>
        <v>70</v>
      </c>
      <c r="D92" s="8" t="n">
        <f aca="false">SUMIFS('Source'!$F:$F,'Source'!$A:$A,"C02266 SANAFLEX L.P",'Source'!$B:$B,$A92)</f>
        <v>110</v>
      </c>
      <c r="E92" s="8" t="n">
        <f aca="false">D92*$J$5</f>
        <v>138.947368421053</v>
      </c>
      <c r="F92" s="8" t="n">
        <f aca="false">E92-C92</f>
        <v>68.9473684210526</v>
      </c>
      <c r="G92" s="9" t="n">
        <f aca="false">IF(AND(C92=0,E92=0),0,IF(C92=0,"New",(E92-C92)/C92))</f>
        <v>0.984962406015038</v>
      </c>
      <c r="H92" s="8" t="n">
        <f aca="false">SUMIFS('Source'!$E:$E,'Source'!$A:$A,"C02266 SANAFLEX L.P",'Source'!$B:$B,$A92)</f>
        <v>1087.06</v>
      </c>
      <c r="I92" s="8" t="n">
        <f aca="false">SUMIFS('Source'!$G:$G,'Source'!$A:$A,"C02266 SANAFLEX L.P",'Source'!$B:$B,$A92)</f>
        <v>1512.81</v>
      </c>
      <c r="J92" s="8" t="n">
        <f aca="false">I92*$J$5</f>
        <v>1910.91789473684</v>
      </c>
      <c r="K92" s="8" t="n">
        <f aca="false">J92-H92</f>
        <v>823.857894736842</v>
      </c>
      <c r="L92" s="9" t="n">
        <f aca="false">IF(AND(H92=0,J92=0),0,IF(H92=0,"New",(J92-H92)/H92))</f>
        <v>0.757877113256713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418</v>
      </c>
      <c r="B93" s="7" t="str">
        <f aca="false">IFERROR(INDEX('Source'!$C:$C,MATCH($A93,'Source'!$B:$B,0)),"")</f>
        <v>סט פלסטרים הידרוקולואידים 313</v>
      </c>
      <c r="C93" s="8" t="n">
        <f aca="false">SUMIFS('Source'!$D:$D,'Source'!$A:$A,"C02266 SANAFLEX L.P",'Source'!$B:$B,$A93)</f>
        <v>35</v>
      </c>
      <c r="D93" s="8" t="n">
        <f aca="false">SUMIFS('Source'!$F:$F,'Source'!$A:$A,"C02266 SANAFLEX L.P",'Source'!$B:$B,$A93)</f>
        <v>0</v>
      </c>
      <c r="E93" s="8" t="n">
        <f aca="false">D93*$J$5</f>
        <v>0</v>
      </c>
      <c r="F93" s="8" t="n">
        <f aca="false">E93-C93</f>
        <v>-35</v>
      </c>
      <c r="G93" s="9" t="n">
        <f aca="false">IF(AND(C93=0,E93=0),0,IF(C93=0,"New",(E93-C93)/C93))</f>
        <v>-1</v>
      </c>
      <c r="H93" s="8" t="n">
        <f aca="false">SUMIFS('Source'!$E:$E,'Source'!$A:$A,"C02266 SANAFLEX L.P",'Source'!$B:$B,$A93)</f>
        <v>424.79</v>
      </c>
      <c r="I93" s="8" t="n">
        <f aca="false">SUMIFS('Source'!$G:$G,'Source'!$A:$A,"C02266 SANAFLEX L.P",'Source'!$B:$B,$A93)</f>
        <v>0</v>
      </c>
      <c r="J93" s="8" t="n">
        <f aca="false">I93*$J$5</f>
        <v>0</v>
      </c>
      <c r="K93" s="8" t="n">
        <f aca="false">J93-H93</f>
        <v>-424.79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381</v>
      </c>
      <c r="B94" s="7" t="str">
        <f aca="false">IFERROR(INDEX('Source'!$C:$C,MATCH($A94,'Source'!$B:$B,0)),"")</f>
        <v>חבק יד מתכוון</v>
      </c>
      <c r="C94" s="8" t="n">
        <f aca="false">SUMIFS('Source'!$D:$D,'Source'!$A:$A,"C02266 SANAFLEX L.P",'Source'!$B:$B,$A94)</f>
        <v>36</v>
      </c>
      <c r="D94" s="8" t="n">
        <f aca="false">SUMIFS('Source'!$F:$F,'Source'!$A:$A,"C02266 SANAFLEX L.P",'Source'!$B:$B,$A94)</f>
        <v>72</v>
      </c>
      <c r="E94" s="8" t="n">
        <f aca="false">D94*$J$5</f>
        <v>90.9473684210526</v>
      </c>
      <c r="F94" s="8" t="n">
        <f aca="false">E94-C94</f>
        <v>54.9473684210526</v>
      </c>
      <c r="G94" s="9" t="n">
        <f aca="false">IF(AND(C94=0,E94=0),0,IF(C94=0,"New",(E94-C94)/C94))</f>
        <v>1.52631578947368</v>
      </c>
      <c r="H94" s="8" t="n">
        <f aca="false">SUMIFS('Source'!$E:$E,'Source'!$A:$A,"C02266 SANAFLEX L.P",'Source'!$B:$B,$A94)</f>
        <v>569.47</v>
      </c>
      <c r="I94" s="8" t="n">
        <f aca="false">SUMIFS('Source'!$G:$G,'Source'!$A:$A,"C02266 SANAFLEX L.P",'Source'!$B:$B,$A94)</f>
        <v>987.74</v>
      </c>
      <c r="J94" s="8" t="n">
        <f aca="false">I94*$J$5</f>
        <v>1247.67157894737</v>
      </c>
      <c r="K94" s="8" t="n">
        <f aca="false">J94-H94</f>
        <v>678.201578947368</v>
      </c>
      <c r="L94" s="9" t="n">
        <f aca="false">IF(AND(H94=0,J94=0),0,IF(H94=0,"New",(J94-H94)/H94))</f>
        <v>1.19093469181409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517</v>
      </c>
      <c r="B95" s="7" t="str">
        <f aca="false">IFERROR(INDEX('Source'!$C:$C,MATCH($A95,'Source'!$B:$B,0)),"")</f>
        <v>סד לילה לבוהן</v>
      </c>
      <c r="C95" s="8" t="n">
        <f aca="false">SUMIFS('Source'!$D:$D,'Source'!$A:$A,"C02266 SANAFLEX L.P",'Source'!$B:$B,$A95)</f>
        <v>50</v>
      </c>
      <c r="D95" s="8" t="n">
        <f aca="false">SUMIFS('Source'!$F:$F,'Source'!$A:$A,"C02266 SANAFLEX L.P",'Source'!$B:$B,$A95)</f>
        <v>42</v>
      </c>
      <c r="E95" s="8" t="n">
        <f aca="false">D95*$J$5</f>
        <v>53.0526315789474</v>
      </c>
      <c r="F95" s="8" t="n">
        <f aca="false">E95-C95</f>
        <v>3.05263157894736</v>
      </c>
      <c r="G95" s="9" t="n">
        <f aca="false">IF(AND(C95=0,E95=0),0,IF(C95=0,"New",(E95-C95)/C95))</f>
        <v>0.0610526315789473</v>
      </c>
      <c r="H95" s="8" t="n">
        <f aca="false">SUMIFS('Source'!$E:$E,'Source'!$A:$A,"C02266 SANAFLEX L.P",'Source'!$B:$B,$A95)</f>
        <v>1735.54</v>
      </c>
      <c r="I95" s="8" t="n">
        <f aca="false">SUMIFS('Source'!$G:$G,'Source'!$A:$A,"C02266 SANAFLEX L.P",'Source'!$B:$B,$A95)</f>
        <v>1329.32</v>
      </c>
      <c r="J95" s="8" t="n">
        <f aca="false">I95*$J$5</f>
        <v>1679.14105263158</v>
      </c>
      <c r="K95" s="8" t="n">
        <f aca="false">J95-H95</f>
        <v>-56.3989473684212</v>
      </c>
      <c r="L95" s="9" t="n">
        <f aca="false">IF(AND(H95=0,J95=0),0,IF(H95=0,"New",(J95-H95)/H95))</f>
        <v>-0.0324964837274976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802</v>
      </c>
      <c r="B96" s="7" t="str">
        <f aca="false">IFERROR(INDEX('Source'!$C:$C,MATCH($A96,'Source'!$B:$B,0)),"")</f>
        <v>מגן קרסול שחור</v>
      </c>
      <c r="C96" s="8" t="n">
        <f aca="false">SUMIFS('Source'!$D:$D,'Source'!$A:$A,"C02266 SANAFLEX L.P",'Source'!$B:$B,$A96)</f>
        <v>200</v>
      </c>
      <c r="D96" s="8" t="n">
        <f aca="false">SUMIFS('Source'!$F:$F,'Source'!$A:$A,"C02266 SANAFLEX L.P",'Source'!$B:$B,$A96)</f>
        <v>180</v>
      </c>
      <c r="E96" s="8" t="n">
        <f aca="false">D96*$J$5</f>
        <v>227.368421052632</v>
      </c>
      <c r="F96" s="8" t="n">
        <f aca="false">E96-C96</f>
        <v>27.3684210526316</v>
      </c>
      <c r="G96" s="9" t="n">
        <f aca="false">IF(AND(C96=0,E96=0),0,IF(C96=0,"New",(E96-C96)/C96))</f>
        <v>0.136842105263158</v>
      </c>
      <c r="H96" s="8" t="n">
        <f aca="false">SUMIFS('Source'!$E:$E,'Source'!$A:$A,"C02266 SANAFLEX L.P",'Source'!$B:$B,$A96)</f>
        <v>2169.33</v>
      </c>
      <c r="I96" s="8" t="n">
        <f aca="false">SUMIFS('Source'!$G:$G,'Source'!$A:$A,"C02266 SANAFLEX L.P",'Source'!$B:$B,$A96)</f>
        <v>1767.66</v>
      </c>
      <c r="J96" s="8" t="n">
        <f aca="false">I96*$J$5</f>
        <v>2232.83368421053</v>
      </c>
      <c r="K96" s="8" t="n">
        <f aca="false">J96-H96</f>
        <v>63.503684210526</v>
      </c>
      <c r="L96" s="9" t="n">
        <f aca="false">IF(AND(H96=0,J96=0),0,IF(H96=0,"New",(J96-H96)/H96))</f>
        <v>0.0292734089375641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704</v>
      </c>
      <c r="B97" s="7" t="str">
        <f aca="false">IFERROR(INDEX('Source'!$C:$C,MATCH($A97,'Source'!$B:$B,0)),"")</f>
        <v>מגן קרסול שחור</v>
      </c>
      <c r="C97" s="8" t="n">
        <f aca="false">SUMIFS('Source'!$D:$D,'Source'!$A:$A,"C02266 SANAFLEX L.P",'Source'!$B:$B,$A97)</f>
        <v>70</v>
      </c>
      <c r="D97" s="8" t="n">
        <f aca="false">SUMIFS('Source'!$F:$F,'Source'!$A:$A,"C02266 SANAFLEX L.P",'Source'!$B:$B,$A97)</f>
        <v>120</v>
      </c>
      <c r="E97" s="8" t="n">
        <f aca="false">D97*$J$5</f>
        <v>151.578947368421</v>
      </c>
      <c r="F97" s="8" t="n">
        <f aca="false">E97-C97</f>
        <v>81.578947368421</v>
      </c>
      <c r="G97" s="9" t="n">
        <f aca="false">IF(AND(C97=0,E97=0),0,IF(C97=0,"New",(E97-C97)/C97))</f>
        <v>1.16541353383459</v>
      </c>
      <c r="H97" s="8" t="n">
        <f aca="false">SUMIFS('Source'!$E:$E,'Source'!$A:$A,"C02266 SANAFLEX L.P",'Source'!$B:$B,$A97)</f>
        <v>760.4</v>
      </c>
      <c r="I97" s="8" t="n">
        <f aca="false">SUMIFS('Source'!$G:$G,'Source'!$A:$A,"C02266 SANAFLEX L.P",'Source'!$B:$B,$A97)</f>
        <v>1161.27</v>
      </c>
      <c r="J97" s="8" t="n">
        <f aca="false">I97*$J$5</f>
        <v>1466.86736842105</v>
      </c>
      <c r="K97" s="8" t="n">
        <f aca="false">J97-H97</f>
        <v>706.467368421053</v>
      </c>
      <c r="L97" s="9" t="n">
        <f aca="false">IF(AND(H97=0,J97=0),0,IF(H97=0,"New",(J97-H97)/H97))</f>
        <v>0.929073340900911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533</v>
      </c>
      <c r="B98" s="7" t="str">
        <f aca="false">IFERROR(INDEX('Source'!$C:$C,MATCH($A98,'Source'!$B:$B,0)),"")</f>
        <v>מתלה יד-כיס</v>
      </c>
      <c r="C98" s="8" t="n">
        <f aca="false">SUMIFS('Source'!$D:$D,'Source'!$A:$A,"C02266 SANAFLEX L.P",'Source'!$B:$B,$A98)</f>
        <v>50</v>
      </c>
      <c r="D98" s="8" t="n">
        <f aca="false">SUMIFS('Source'!$F:$F,'Source'!$A:$A,"C02266 SANAFLEX L.P",'Source'!$B:$B,$A98)</f>
        <v>32</v>
      </c>
      <c r="E98" s="8" t="n">
        <f aca="false">D98*$J$5</f>
        <v>40.4210526315789</v>
      </c>
      <c r="F98" s="8" t="n">
        <f aca="false">E98-C98</f>
        <v>-9.57894736842106</v>
      </c>
      <c r="G98" s="9" t="n">
        <f aca="false">IF(AND(C98=0,E98=0),0,IF(C98=0,"New",(E98-C98)/C98))</f>
        <v>-0.191578947368421</v>
      </c>
      <c r="H98" s="8" t="n">
        <f aca="false">SUMIFS('Source'!$E:$E,'Source'!$A:$A,"C02266 SANAFLEX L.P",'Source'!$B:$B,$A98)</f>
        <v>949.7</v>
      </c>
      <c r="I98" s="8" t="n">
        <f aca="false">SUMIFS('Source'!$G:$G,'Source'!$A:$A,"C02266 SANAFLEX L.P",'Source'!$B:$B,$A98)</f>
        <v>554.24</v>
      </c>
      <c r="J98" s="8" t="n">
        <f aca="false">I98*$J$5</f>
        <v>700.092631578947</v>
      </c>
      <c r="K98" s="8" t="n">
        <f aca="false">J98-H98</f>
        <v>-249.607368421053</v>
      </c>
      <c r="L98" s="9" t="n">
        <f aca="false">IF(AND(H98=0,J98=0),0,IF(H98=0,"New",(J98-H98)/H98))</f>
        <v>-0.262827596526327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477</v>
      </c>
      <c r="B99" s="7" t="str">
        <f aca="false">IFERROR(INDEX('Source'!$C:$C,MATCH($A99,'Source'!$B:$B,0)),"")</f>
        <v>סד לאגודל</v>
      </c>
      <c r="C99" s="8" t="n">
        <f aca="false">SUMIFS('Source'!$D:$D,'Source'!$A:$A,"C02266 SANAFLEX L.P",'Source'!$B:$B,$A99)</f>
        <v>0</v>
      </c>
      <c r="D99" s="8" t="n">
        <f aca="false">SUMIFS('Source'!$F:$F,'Source'!$A:$A,"C02266 SANAFLEX L.P",'Source'!$B:$B,$A99)</f>
        <v>12</v>
      </c>
      <c r="E99" s="8" t="n">
        <f aca="false">D99*$J$5</f>
        <v>15.1578947368421</v>
      </c>
      <c r="F99" s="8" t="n">
        <f aca="false">E99-C99</f>
        <v>15.1578947368421</v>
      </c>
      <c r="G99" s="9" t="str">
        <f aca="false">IF(AND(C99=0,E99=0),0,IF(C99=0,"New",(E99-C99)/C99))</f>
        <v>New</v>
      </c>
      <c r="H99" s="8" t="n">
        <f aca="false">SUMIFS('Source'!$E:$E,'Source'!$A:$A,"C02266 SANAFLEX L.P",'Source'!$B:$B,$A99)</f>
        <v>0</v>
      </c>
      <c r="I99" s="8" t="n">
        <f aca="false">SUMIFS('Source'!$G:$G,'Source'!$A:$A,"C02266 SANAFLEX L.P",'Source'!$B:$B,$A99)</f>
        <v>392.38</v>
      </c>
      <c r="J99" s="8" t="n">
        <f aca="false">I99*$J$5</f>
        <v>495.637894736842</v>
      </c>
      <c r="K99" s="8" t="n">
        <f aca="false">J99-H99</f>
        <v>495.637894736842</v>
      </c>
      <c r="L99" s="9" t="str">
        <f aca="false">IF(AND(H99=0,J99=0),0,IF(H99=0,"New",(J99-H99)/H99))</f>
        <v>New</v>
      </c>
      <c r="M99" s="7" t="str">
        <f aca="false">IF(AND(OR(C99&lt;&gt;0,H99&lt;&gt;0),D99=0,I99=0),"DROP",IF(AND(OR(D99&lt;&gt;0,I99&lt;&gt;0),C99=0,H99=0),"NEW",""))</f>
        <v>NEW</v>
      </c>
    </row>
    <row r="100" customFormat="false" ht="15" hidden="false" customHeight="false" outlineLevel="0" collapsed="false">
      <c r="A100" s="7" t="s">
        <v>409</v>
      </c>
      <c r="B100" s="7" t="str">
        <f aca="false">IFERROR(INDEX('Source'!$C:$C,MATCH($A100,'Source'!$B:$B,0)),"")</f>
        <v>רפידת זיכרון 376</v>
      </c>
      <c r="C100" s="8" t="n">
        <f aca="false">SUMIFS('Source'!$D:$D,'Source'!$A:$A,"C02266 SANAFLEX L.P",'Source'!$B:$B,$A100)</f>
        <v>180</v>
      </c>
      <c r="D100" s="8" t="n">
        <f aca="false">SUMIFS('Source'!$F:$F,'Source'!$A:$A,"C02266 SANAFLEX L.P",'Source'!$B:$B,$A100)</f>
        <v>170</v>
      </c>
      <c r="E100" s="8" t="n">
        <f aca="false">D100*$J$5</f>
        <v>214.736842105263</v>
      </c>
      <c r="F100" s="8" t="n">
        <f aca="false">E100-C100</f>
        <v>34.7368421052632</v>
      </c>
      <c r="G100" s="9" t="n">
        <f aca="false">IF(AND(C100=0,E100=0),0,IF(C100=0,"New",(E100-C100)/C100))</f>
        <v>0.192982456140351</v>
      </c>
      <c r="H100" s="8" t="n">
        <f aca="false">SUMIFS('Source'!$E:$E,'Source'!$A:$A,"C02266 SANAFLEX L.P",'Source'!$B:$B,$A100)</f>
        <v>2649.87</v>
      </c>
      <c r="I100" s="8" t="n">
        <f aca="false">SUMIFS('Source'!$G:$G,'Source'!$A:$A,"C02266 SANAFLEX L.P",'Source'!$B:$B,$A100)</f>
        <v>2259.45</v>
      </c>
      <c r="J100" s="8" t="n">
        <f aca="false">I100*$J$5</f>
        <v>2854.04210526316</v>
      </c>
      <c r="K100" s="8" t="n">
        <f aca="false">J100-H100</f>
        <v>204.172105263157</v>
      </c>
      <c r="L100" s="9" t="n">
        <f aca="false">IF(AND(H100=0,J100=0),0,IF(H100=0,"New",(J100-H100)/H100))</f>
        <v>0.0770498572621138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937</v>
      </c>
      <c r="B101" s="7" t="str">
        <f aca="false">IFERROR(INDEX('Source'!$C:$C,MATCH($A101,'Source'!$B:$B,0)),"")</f>
        <v>גרבי במבוק</v>
      </c>
      <c r="C101" s="8" t="n">
        <f aca="false">SUMIFS('Source'!$D:$D,'Source'!$A:$A,"C02266 SANAFLEX L.P",'Source'!$B:$B,$A101)</f>
        <v>20</v>
      </c>
      <c r="D101" s="8" t="n">
        <f aca="false">SUMIFS('Source'!$F:$F,'Source'!$A:$A,"C02266 SANAFLEX L.P",'Source'!$B:$B,$A101)</f>
        <v>0</v>
      </c>
      <c r="E101" s="8" t="n">
        <f aca="false">D101*$J$5</f>
        <v>0</v>
      </c>
      <c r="F101" s="8" t="n">
        <f aca="false">E101-C101</f>
        <v>-20</v>
      </c>
      <c r="G101" s="9" t="n">
        <f aca="false">IF(AND(C101=0,E101=0),0,IF(C101=0,"New",(E101-C101)/C101))</f>
        <v>-1</v>
      </c>
      <c r="H101" s="8" t="n">
        <f aca="false">SUMIFS('Source'!$E:$E,'Source'!$A:$A,"C02266 SANAFLEX L.P",'Source'!$B:$B,$A101)</f>
        <v>389.75</v>
      </c>
      <c r="I101" s="8" t="n">
        <f aca="false">SUMIFS('Source'!$G:$G,'Source'!$A:$A,"C02266 SANAFLEX L.P",'Source'!$B:$B,$A101)</f>
        <v>0</v>
      </c>
      <c r="J101" s="8" t="n">
        <f aca="false">I101*$J$5</f>
        <v>0</v>
      </c>
      <c r="K101" s="8" t="n">
        <f aca="false">J101-H101</f>
        <v>-389.75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329</v>
      </c>
      <c r="B102" s="7" t="str">
        <f aca="false">IFERROR(INDEX('Source'!$C:$C,MATCH($A102,'Source'!$B:$B,0)),"")</f>
        <v>מדרס מתכוונן</v>
      </c>
      <c r="C102" s="8" t="n">
        <f aca="false">SUMIFS('Source'!$D:$D,'Source'!$A:$A,"C02266 SANAFLEX L.P",'Source'!$B:$B,$A102)</f>
        <v>140</v>
      </c>
      <c r="D102" s="8" t="n">
        <f aca="false">SUMIFS('Source'!$F:$F,'Source'!$A:$A,"C02266 SANAFLEX L.P",'Source'!$B:$B,$A102)</f>
        <v>145</v>
      </c>
      <c r="E102" s="8" t="n">
        <f aca="false">D102*$J$5</f>
        <v>183.157894736842</v>
      </c>
      <c r="F102" s="8" t="n">
        <f aca="false">E102-C102</f>
        <v>43.1578947368421</v>
      </c>
      <c r="G102" s="9" t="n">
        <f aca="false">IF(AND(C102=0,E102=0),0,IF(C102=0,"New",(E102-C102)/C102))</f>
        <v>0.308270676691729</v>
      </c>
      <c r="H102" s="8" t="n">
        <f aca="false">SUMIFS('Source'!$E:$E,'Source'!$A:$A,"C02266 SANAFLEX L.P",'Source'!$B:$B,$A102)</f>
        <v>4903.29</v>
      </c>
      <c r="I102" s="8" t="n">
        <f aca="false">SUMIFS('Source'!$G:$G,'Source'!$A:$A,"C02266 SANAFLEX L.P",'Source'!$B:$B,$A102)</f>
        <v>4520.43</v>
      </c>
      <c r="J102" s="8" t="n">
        <f aca="false">I102*$J$5</f>
        <v>5710.01684210526</v>
      </c>
      <c r="K102" s="8" t="n">
        <f aca="false">J102-H102</f>
        <v>806.726842105263</v>
      </c>
      <c r="L102" s="9" t="n">
        <f aca="false">IF(AND(H102=0,J102=0),0,IF(H102=0,"New",(J102-H102)/H102))</f>
        <v>0.164527662468519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567</v>
      </c>
      <c r="B103" s="7" t="str">
        <f aca="false">IFERROR(INDEX('Source'!$C:$C,MATCH($A103,'Source'!$B:$B,0)),"")</f>
        <v>אצבעון מפלסטיק  ליד</v>
      </c>
      <c r="C103" s="8" t="n">
        <f aca="false">SUMIFS('Source'!$D:$D,'Source'!$A:$A,"C02266 SANAFLEX L.P",'Source'!$B:$B,$A103)</f>
        <v>135</v>
      </c>
      <c r="D103" s="8" t="n">
        <f aca="false">SUMIFS('Source'!$F:$F,'Source'!$A:$A,"C02266 SANAFLEX L.P",'Source'!$B:$B,$A103)</f>
        <v>100</v>
      </c>
      <c r="E103" s="8" t="n">
        <f aca="false">D103*$J$5</f>
        <v>126.315789473684</v>
      </c>
      <c r="F103" s="8" t="n">
        <f aca="false">E103-C103</f>
        <v>-8.6842105263158</v>
      </c>
      <c r="G103" s="9" t="n">
        <f aca="false">IF(AND(C103=0,E103=0),0,IF(C103=0,"New",(E103-C103)/C103))</f>
        <v>-0.064327485380117</v>
      </c>
      <c r="H103" s="8" t="n">
        <f aca="false">SUMIFS('Source'!$E:$E,'Source'!$A:$A,"C02266 SANAFLEX L.P",'Source'!$B:$B,$A103)</f>
        <v>1140.49</v>
      </c>
      <c r="I103" s="8" t="n">
        <f aca="false">SUMIFS('Source'!$G:$G,'Source'!$A:$A,"C02266 SANAFLEX L.P",'Source'!$B:$B,$A103)</f>
        <v>757.71</v>
      </c>
      <c r="J103" s="8" t="n">
        <f aca="false">I103*$J$5</f>
        <v>957.107368421053</v>
      </c>
      <c r="K103" s="8" t="n">
        <f aca="false">J103-H103</f>
        <v>-183.382631578947</v>
      </c>
      <c r="L103" s="9" t="n">
        <f aca="false">IF(AND(H103=0,J103=0),0,IF(H103=0,"New",(J103-H103)/H103))</f>
        <v>-0.160792844811395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692</v>
      </c>
      <c r="B104" s="7" t="str">
        <f aca="false">IFERROR(INDEX('Source'!$C:$C,MATCH($A104,'Source'!$B:$B,0)),"")</f>
        <v>מתלה יד-כיס</v>
      </c>
      <c r="C104" s="8" t="n">
        <f aca="false">SUMIFS('Source'!$D:$D,'Source'!$A:$A,"C02266 SANAFLEX L.P",'Source'!$B:$B,$A104)</f>
        <v>56</v>
      </c>
      <c r="D104" s="8" t="n">
        <f aca="false">SUMIFS('Source'!$F:$F,'Source'!$A:$A,"C02266 SANAFLEX L.P",'Source'!$B:$B,$A104)</f>
        <v>40</v>
      </c>
      <c r="E104" s="8" t="n">
        <f aca="false">D104*$J$5</f>
        <v>50.5263157894737</v>
      </c>
      <c r="F104" s="8" t="n">
        <f aca="false">E104-C104</f>
        <v>-5.47368421052632</v>
      </c>
      <c r="G104" s="9" t="n">
        <f aca="false">IF(AND(C104=0,E104=0),0,IF(C104=0,"New",(E104-C104)/C104))</f>
        <v>-0.0977443609022556</v>
      </c>
      <c r="H104" s="8" t="n">
        <f aca="false">SUMIFS('Source'!$E:$E,'Source'!$A:$A,"C02266 SANAFLEX L.P",'Source'!$B:$B,$A104)</f>
        <v>1065.21</v>
      </c>
      <c r="I104" s="8" t="n">
        <f aca="false">SUMIFS('Source'!$G:$G,'Source'!$A:$A,"C02266 SANAFLEX L.P",'Source'!$B:$B,$A104)</f>
        <v>686.15</v>
      </c>
      <c r="J104" s="8" t="n">
        <f aca="false">I104*$J$5</f>
        <v>866.715789473684</v>
      </c>
      <c r="K104" s="8" t="n">
        <f aca="false">J104-H104</f>
        <v>-198.494210526316</v>
      </c>
      <c r="L104" s="9" t="n">
        <f aca="false">IF(AND(H104=0,J104=0),0,IF(H104=0,"New",(J104-H104)/H104))</f>
        <v>-0.186342796750233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319</v>
      </c>
      <c r="B105" s="7" t="str">
        <f aca="false">IFERROR(INDEX('Source'!$C:$C,MATCH($A105,'Source'!$B:$B,0)),"")</f>
        <v>מדרס מתכוונן</v>
      </c>
      <c r="C105" s="8" t="n">
        <f aca="false">SUMIFS('Source'!$D:$D,'Source'!$A:$A,"C02266 SANAFLEX L.P",'Source'!$B:$B,$A105)</f>
        <v>75</v>
      </c>
      <c r="D105" s="8" t="n">
        <f aca="false">SUMIFS('Source'!$F:$F,'Source'!$A:$A,"C02266 SANAFLEX L.P",'Source'!$B:$B,$A105)</f>
        <v>95</v>
      </c>
      <c r="E105" s="8" t="n">
        <f aca="false">D105*$J$5</f>
        <v>120</v>
      </c>
      <c r="F105" s="8" t="n">
        <f aca="false">E105-C105</f>
        <v>45</v>
      </c>
      <c r="G105" s="9" t="n">
        <f aca="false">IF(AND(C105=0,E105=0),0,IF(C105=0,"New",(E105-C105)/C105))</f>
        <v>0.6</v>
      </c>
      <c r="H105" s="8" t="n">
        <f aca="false">SUMIFS('Source'!$E:$E,'Source'!$A:$A,"C02266 SANAFLEX L.P",'Source'!$B:$B,$A105)</f>
        <v>2630.01</v>
      </c>
      <c r="I105" s="8" t="n">
        <f aca="false">SUMIFS('Source'!$G:$G,'Source'!$A:$A,"C02266 SANAFLEX L.P",'Source'!$B:$B,$A105)</f>
        <v>2994.23</v>
      </c>
      <c r="J105" s="8" t="n">
        <f aca="false">I105*$J$5</f>
        <v>3782.18526315789</v>
      </c>
      <c r="K105" s="8" t="n">
        <f aca="false">J105-H105</f>
        <v>1152.17526315789</v>
      </c>
      <c r="L105" s="9" t="n">
        <f aca="false">IF(AND(H105=0,J105=0),0,IF(H105=0,"New",(J105-H105)/H105))</f>
        <v>0.438087787939169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446</v>
      </c>
      <c r="B106" s="7" t="str">
        <f aca="false">IFERROR(INDEX('Source'!$C:$C,MATCH($A106,'Source'!$B:$B,0)),"")</f>
        <v>סופורטר</v>
      </c>
      <c r="C106" s="8" t="n">
        <f aca="false">SUMIFS('Source'!$D:$D,'Source'!$A:$A,"C02266 SANAFLEX L.P",'Source'!$B:$B,$A106)</f>
        <v>31</v>
      </c>
      <c r="D106" s="8" t="n">
        <f aca="false">SUMIFS('Source'!$F:$F,'Source'!$A:$A,"C02266 SANAFLEX L.P",'Source'!$B:$B,$A106)</f>
        <v>22</v>
      </c>
      <c r="E106" s="8" t="n">
        <f aca="false">D106*$J$5</f>
        <v>27.7894736842105</v>
      </c>
      <c r="F106" s="8" t="n">
        <f aca="false">E106-C106</f>
        <v>-3.21052631578948</v>
      </c>
      <c r="G106" s="9" t="n">
        <f aca="false">IF(AND(C106=0,E106=0),0,IF(C106=0,"New",(E106-C106)/C106))</f>
        <v>-0.103565365025467</v>
      </c>
      <c r="H106" s="8" t="n">
        <f aca="false">SUMIFS('Source'!$E:$E,'Source'!$A:$A,"C02266 SANAFLEX L.P",'Source'!$B:$B,$A106)</f>
        <v>991.17</v>
      </c>
      <c r="I106" s="8" t="n">
        <f aca="false">SUMIFS('Source'!$G:$G,'Source'!$A:$A,"C02266 SANAFLEX L.P",'Source'!$B:$B,$A106)</f>
        <v>637.54</v>
      </c>
      <c r="J106" s="8" t="n">
        <f aca="false">I106*$J$5</f>
        <v>805.313684210526</v>
      </c>
      <c r="K106" s="8" t="n">
        <f aca="false">J106-H106</f>
        <v>-185.856315789474</v>
      </c>
      <c r="L106" s="9" t="n">
        <f aca="false">IF(AND(H106=0,J106=0),0,IF(H106=0,"New",(J106-H106)/H106))</f>
        <v>-0.187512047165949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596</v>
      </c>
      <c r="B107" s="7" t="str">
        <f aca="false">IFERROR(INDEX('Source'!$C:$C,MATCH($A107,'Source'!$B:$B,0)),"")</f>
        <v>צוארון ספוגי</v>
      </c>
      <c r="C107" s="8" t="n">
        <f aca="false">SUMIFS('Source'!$D:$D,'Source'!$A:$A,"C02266 SANAFLEX L.P",'Source'!$B:$B,$A107)</f>
        <v>26</v>
      </c>
      <c r="D107" s="8" t="n">
        <f aca="false">SUMIFS('Source'!$F:$F,'Source'!$A:$A,"C02266 SANAFLEX L.P",'Source'!$B:$B,$A107)</f>
        <v>12</v>
      </c>
      <c r="E107" s="8" t="n">
        <f aca="false">D107*$J$5</f>
        <v>15.1578947368421</v>
      </c>
      <c r="F107" s="8" t="n">
        <f aca="false">E107-C107</f>
        <v>-10.8421052631579</v>
      </c>
      <c r="G107" s="9" t="n">
        <f aca="false">IF(AND(C107=0,E107=0),0,IF(C107=0,"New",(E107-C107)/C107))</f>
        <v>-0.417004048582996</v>
      </c>
      <c r="H107" s="8" t="n">
        <f aca="false">SUMIFS('Source'!$E:$E,'Source'!$A:$A,"C02266 SANAFLEX L.P",'Source'!$B:$B,$A107)</f>
        <v>595.57</v>
      </c>
      <c r="I107" s="8" t="n">
        <f aca="false">SUMIFS('Source'!$G:$G,'Source'!$A:$A,"C02266 SANAFLEX L.P",'Source'!$B:$B,$A107)</f>
        <v>246.64</v>
      </c>
      <c r="J107" s="8" t="n">
        <f aca="false">I107*$J$5</f>
        <v>311.545263157895</v>
      </c>
      <c r="K107" s="8" t="n">
        <f aca="false">J107-H107</f>
        <v>-284.024736842105</v>
      </c>
      <c r="L107" s="9" t="n">
        <f aca="false">IF(AND(H107=0,J107=0),0,IF(H107=0,"New",(J107-H107)/H107))</f>
        <v>-0.476895640885379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938</v>
      </c>
      <c r="B108" s="7" t="str">
        <f aca="false">IFERROR(INDEX('Source'!$C:$C,MATCH($A108,'Source'!$B:$B,0)),"")</f>
        <v>צוארון עממי</v>
      </c>
      <c r="C108" s="8" t="n">
        <f aca="false">SUMIFS('Source'!$D:$D,'Source'!$A:$A,"C02266 SANAFLEX L.P",'Source'!$B:$B,$A108)</f>
        <v>20</v>
      </c>
      <c r="D108" s="8" t="n">
        <f aca="false">SUMIFS('Source'!$F:$F,'Source'!$A:$A,"C02266 SANAFLEX L.P",'Source'!$B:$B,$A108)</f>
        <v>0</v>
      </c>
      <c r="E108" s="8" t="n">
        <f aca="false">D108*$J$5</f>
        <v>0</v>
      </c>
      <c r="F108" s="8" t="n">
        <f aca="false">E108-C108</f>
        <v>-20</v>
      </c>
      <c r="G108" s="9" t="n">
        <f aca="false">IF(AND(C108=0,E108=0),0,IF(C108=0,"New",(E108-C108)/C108))</f>
        <v>-1</v>
      </c>
      <c r="H108" s="8" t="n">
        <f aca="false">SUMIFS('Source'!$E:$E,'Source'!$A:$A,"C02266 SANAFLEX L.P",'Source'!$B:$B,$A108)</f>
        <v>346.83</v>
      </c>
      <c r="I108" s="8" t="n">
        <f aca="false">SUMIFS('Source'!$G:$G,'Source'!$A:$A,"C02266 SANAFLEX L.P",'Source'!$B:$B,$A108)</f>
        <v>0</v>
      </c>
      <c r="J108" s="8" t="n">
        <f aca="false">I108*$J$5</f>
        <v>0</v>
      </c>
      <c r="K108" s="8" t="n">
        <f aca="false">J108-H108</f>
        <v>-346.83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225</v>
      </c>
      <c r="B109" s="7" t="str">
        <f aca="false">IFERROR(INDEX('Source'!$C:$C,MATCH($A109,'Source'!$B:$B,0)),"")</f>
        <v>שרוול מסיליקון ל</v>
      </c>
      <c r="C109" s="8" t="n">
        <f aca="false">SUMIFS('Source'!$D:$D,'Source'!$A:$A,"C02266 SANAFLEX L.P",'Source'!$B:$B,$A109)</f>
        <v>290</v>
      </c>
      <c r="D109" s="8" t="n">
        <f aca="false">SUMIFS('Source'!$F:$F,'Source'!$A:$A,"C02266 SANAFLEX L.P",'Source'!$B:$B,$A109)</f>
        <v>370</v>
      </c>
      <c r="E109" s="8" t="n">
        <f aca="false">D109*$J$5</f>
        <v>467.368421052632</v>
      </c>
      <c r="F109" s="8" t="n">
        <f aca="false">E109-C109</f>
        <v>177.368421052632</v>
      </c>
      <c r="G109" s="9" t="n">
        <f aca="false">IF(AND(C109=0,E109=0),0,IF(C109=0,"New",(E109-C109)/C109))</f>
        <v>0.611615245009074</v>
      </c>
      <c r="H109" s="8" t="n">
        <f aca="false">SUMIFS('Source'!$E:$E,'Source'!$A:$A,"C02266 SANAFLEX L.P",'Source'!$B:$B,$A109)</f>
        <v>2483.87</v>
      </c>
      <c r="I109" s="8" t="n">
        <f aca="false">SUMIFS('Source'!$G:$G,'Source'!$A:$A,"C02266 SANAFLEX L.P",'Source'!$B:$B,$A109)</f>
        <v>2824.71</v>
      </c>
      <c r="J109" s="8" t="n">
        <f aca="false">I109*$J$5</f>
        <v>3568.05473684211</v>
      </c>
      <c r="K109" s="8" t="n">
        <f aca="false">J109-H109</f>
        <v>1084.18473684211</v>
      </c>
      <c r="L109" s="9" t="n">
        <f aca="false">IF(AND(H109=0,J109=0),0,IF(H109=0,"New",(J109-H109)/H109))</f>
        <v>0.436490129049469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305</v>
      </c>
      <c r="B110" s="7" t="str">
        <f aca="false">IFERROR(INDEX('Source'!$C:$C,MATCH($A110,'Source'!$B:$B,0)),"")</f>
        <v>חגורת בטן קלה</v>
      </c>
      <c r="C110" s="8" t="n">
        <f aca="false">SUMIFS('Source'!$D:$D,'Source'!$A:$A,"C02266 SANAFLEX L.P",'Source'!$B:$B,$A110)</f>
        <v>13</v>
      </c>
      <c r="D110" s="8" t="n">
        <f aca="false">SUMIFS('Source'!$F:$F,'Source'!$A:$A,"C02266 SANAFLEX L.P",'Source'!$B:$B,$A110)</f>
        <v>0</v>
      </c>
      <c r="E110" s="8" t="n">
        <f aca="false">D110*$J$5</f>
        <v>0</v>
      </c>
      <c r="F110" s="8" t="n">
        <f aca="false">E110-C110</f>
        <v>-13</v>
      </c>
      <c r="G110" s="9" t="n">
        <f aca="false">IF(AND(C110=0,E110=0),0,IF(C110=0,"New",(E110-C110)/C110))</f>
        <v>-1</v>
      </c>
      <c r="H110" s="8" t="n">
        <f aca="false">SUMIFS('Source'!$E:$E,'Source'!$A:$A,"C02266 SANAFLEX L.P",'Source'!$B:$B,$A110)</f>
        <v>335.39</v>
      </c>
      <c r="I110" s="8" t="n">
        <f aca="false">SUMIFS('Source'!$G:$G,'Source'!$A:$A,"C02266 SANAFLEX L.P",'Source'!$B:$B,$A110)</f>
        <v>0</v>
      </c>
      <c r="J110" s="8" t="n">
        <f aca="false">I110*$J$5</f>
        <v>0</v>
      </c>
      <c r="K110" s="8" t="n">
        <f aca="false">J110-H110</f>
        <v>-335.39</v>
      </c>
      <c r="L110" s="9" t="n">
        <f aca="false">IF(AND(H110=0,J110=0),0,IF(H110=0,"New",(J110-H110)/H110))</f>
        <v>-1</v>
      </c>
      <c r="M110" s="7" t="str">
        <f aca="false">IF(AND(OR(C110&lt;&gt;0,H110&lt;&gt;0),D110=0,I110=0),"DROP",IF(AND(OR(D110&lt;&gt;0,I110&lt;&gt;0),C110=0,H110=0),"NEW",""))</f>
        <v>DROP</v>
      </c>
    </row>
    <row r="111" customFormat="false" ht="15" hidden="false" customHeight="false" outlineLevel="0" collapsed="false">
      <c r="A111" s="7" t="s">
        <v>939</v>
      </c>
      <c r="B111" s="7" t="str">
        <f aca="false">IFERROR(INDEX('Source'!$C:$C,MATCH($A111,'Source'!$B:$B,0)),"")</f>
        <v>צוארון עממי</v>
      </c>
      <c r="C111" s="8" t="n">
        <f aca="false">SUMIFS('Source'!$D:$D,'Source'!$A:$A,"C02266 SANAFLEX L.P",'Source'!$B:$B,$A111)</f>
        <v>95</v>
      </c>
      <c r="D111" s="8" t="n">
        <f aca="false">SUMIFS('Source'!$F:$F,'Source'!$A:$A,"C02266 SANAFLEX L.P",'Source'!$B:$B,$A111)</f>
        <v>85</v>
      </c>
      <c r="E111" s="8" t="n">
        <f aca="false">D111*$J$5</f>
        <v>107.368421052632</v>
      </c>
      <c r="F111" s="8" t="n">
        <f aca="false">E111-C111</f>
        <v>12.3684210526316</v>
      </c>
      <c r="G111" s="9" t="n">
        <f aca="false">IF(AND(C111=0,E111=0),0,IF(C111=0,"New",(E111-C111)/C111))</f>
        <v>0.130193905817174</v>
      </c>
      <c r="H111" s="8" t="n">
        <f aca="false">SUMIFS('Source'!$E:$E,'Source'!$A:$A,"C02266 SANAFLEX L.P",'Source'!$B:$B,$A111)</f>
        <v>1682.44</v>
      </c>
      <c r="I111" s="8" t="n">
        <f aca="false">SUMIFS('Source'!$G:$G,'Source'!$A:$A,"C02266 SANAFLEX L.P",'Source'!$B:$B,$A111)</f>
        <v>1348.67</v>
      </c>
      <c r="J111" s="8" t="n">
        <f aca="false">I111*$J$5</f>
        <v>1703.58315789474</v>
      </c>
      <c r="K111" s="8" t="n">
        <f aca="false">J111-H111</f>
        <v>21.1431578947368</v>
      </c>
      <c r="L111" s="9" t="n">
        <f aca="false">IF(AND(H111=0,J111=0),0,IF(H111=0,"New",(J111-H111)/H111))</f>
        <v>0.0125669610177699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272</v>
      </c>
      <c r="B112" s="7" t="str">
        <f aca="false">IFERROR(INDEX('Source'!$C:$C,MATCH($A112,'Source'!$B:$B,0)),"")</f>
        <v>חגורת גב-לומבו</v>
      </c>
      <c r="C112" s="8" t="n">
        <f aca="false">SUMIFS('Source'!$D:$D,'Source'!$A:$A,"C02266 SANAFLEX L.P",'Source'!$B:$B,$A112)</f>
        <v>5</v>
      </c>
      <c r="D112" s="8" t="n">
        <f aca="false">SUMIFS('Source'!$F:$F,'Source'!$A:$A,"C02266 SANAFLEX L.P",'Source'!$B:$B,$A112)</f>
        <v>0</v>
      </c>
      <c r="E112" s="8" t="n">
        <f aca="false">D112*$J$5</f>
        <v>0</v>
      </c>
      <c r="F112" s="8" t="n">
        <f aca="false">E112-C112</f>
        <v>-5</v>
      </c>
      <c r="G112" s="9" t="n">
        <f aca="false">IF(AND(C112=0,E112=0),0,IF(C112=0,"New",(E112-C112)/C112))</f>
        <v>-1</v>
      </c>
      <c r="H112" s="8" t="n">
        <f aca="false">SUMIFS('Source'!$E:$E,'Source'!$A:$A,"C02266 SANAFLEX L.P",'Source'!$B:$B,$A112)</f>
        <v>329.27</v>
      </c>
      <c r="I112" s="8" t="n">
        <f aca="false">SUMIFS('Source'!$G:$G,'Source'!$A:$A,"C02266 SANAFLEX L.P",'Source'!$B:$B,$A112)</f>
        <v>0</v>
      </c>
      <c r="J112" s="8" t="n">
        <f aca="false">I112*$J$5</f>
        <v>0</v>
      </c>
      <c r="K112" s="8" t="n">
        <f aca="false">J112-H112</f>
        <v>-329.27</v>
      </c>
      <c r="L112" s="9" t="n">
        <f aca="false">IF(AND(H112=0,J112=0),0,IF(H112=0,"New",(J112-H112)/H112))</f>
        <v>-1</v>
      </c>
      <c r="M112" s="7" t="str">
        <f aca="false">IF(AND(OR(C112&lt;&gt;0,H112&lt;&gt;0),D112=0,I112=0),"DROP",IF(AND(OR(D112&lt;&gt;0,I112&lt;&gt;0),C112=0,H112=0),"NEW",""))</f>
        <v>DROP</v>
      </c>
    </row>
    <row r="113" customFormat="false" ht="15" hidden="false" customHeight="false" outlineLevel="0" collapsed="false">
      <c r="A113" s="7" t="s">
        <v>904</v>
      </c>
      <c r="B113" s="7" t="str">
        <f aca="false">IFERROR(INDEX('Source'!$C:$C,MATCH($A113,'Source'!$B:$B,0)),"")</f>
        <v>מדרס סיליקון לנעלי עקב</v>
      </c>
      <c r="C113" s="8" t="n">
        <f aca="false">SUMIFS('Source'!$D:$D,'Source'!$A:$A,"C02266 SANAFLEX L.P",'Source'!$B:$B,$A113)</f>
        <v>6</v>
      </c>
      <c r="D113" s="8" t="n">
        <f aca="false">SUMIFS('Source'!$F:$F,'Source'!$A:$A,"C02266 SANAFLEX L.P",'Source'!$B:$B,$A113)</f>
        <v>26</v>
      </c>
      <c r="E113" s="8" t="n">
        <f aca="false">D113*$J$5</f>
        <v>32.8421052631579</v>
      </c>
      <c r="F113" s="8" t="n">
        <f aca="false">E113-C113</f>
        <v>26.8421052631579</v>
      </c>
      <c r="G113" s="9" t="n">
        <f aca="false">IF(AND(C113=0,E113=0),0,IF(C113=0,"New",(E113-C113)/C113))</f>
        <v>4.47368421052632</v>
      </c>
      <c r="H113" s="8" t="n">
        <f aca="false">SUMIFS('Source'!$E:$E,'Source'!$A:$A,"C02266 SANAFLEX L.P",'Source'!$B:$B,$A113)</f>
        <v>108.86</v>
      </c>
      <c r="I113" s="8" t="n">
        <f aca="false">SUMIFS('Source'!$G:$G,'Source'!$A:$A,"C02266 SANAFLEX L.P",'Source'!$B:$B,$A113)</f>
        <v>437.93</v>
      </c>
      <c r="J113" s="8" t="n">
        <f aca="false">I113*$J$5</f>
        <v>553.174736842105</v>
      </c>
      <c r="K113" s="8" t="n">
        <f aca="false">J113-H113</f>
        <v>444.314736842105</v>
      </c>
      <c r="L113" s="9" t="n">
        <f aca="false">IF(AND(H113=0,J113=0),0,IF(H113=0,"New",(J113-H113)/H113))</f>
        <v>4.08152431418432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603</v>
      </c>
      <c r="B114" s="7" t="str">
        <f aca="false">IFERROR(INDEX('Source'!$C:$C,MATCH($A114,'Source'!$B:$B,0)),"")</f>
        <v>קינזיולוגי טייפ</v>
      </c>
      <c r="C114" s="8" t="n">
        <f aca="false">SUMIFS('Source'!$D:$D,'Source'!$A:$A,"C02266 SANAFLEX L.P",'Source'!$B:$B,$A114)</f>
        <v>20</v>
      </c>
      <c r="D114" s="8" t="n">
        <f aca="false">SUMIFS('Source'!$F:$F,'Source'!$A:$A,"C02266 SANAFLEX L.P",'Source'!$B:$B,$A114)</f>
        <v>50</v>
      </c>
      <c r="E114" s="8" t="n">
        <f aca="false">D114*$J$5</f>
        <v>63.1578947368421</v>
      </c>
      <c r="F114" s="8" t="n">
        <f aca="false">E114-C114</f>
        <v>43.1578947368421</v>
      </c>
      <c r="G114" s="9" t="n">
        <f aca="false">IF(AND(C114=0,E114=0),0,IF(C114=0,"New",(E114-C114)/C114))</f>
        <v>2.15789473684211</v>
      </c>
      <c r="H114" s="8" t="n">
        <f aca="false">SUMIFS('Source'!$E:$E,'Source'!$A:$A,"C02266 SANAFLEX L.P",'Source'!$B:$B,$A114)</f>
        <v>239.39</v>
      </c>
      <c r="I114" s="8" t="n">
        <f aca="false">SUMIFS('Source'!$G:$G,'Source'!$A:$A,"C02266 SANAFLEX L.P",'Source'!$B:$B,$A114)</f>
        <v>561.5</v>
      </c>
      <c r="J114" s="8" t="n">
        <f aca="false">I114*$J$5</f>
        <v>709.263157894737</v>
      </c>
      <c r="K114" s="8" t="n">
        <f aca="false">J114-H114</f>
        <v>469.873157894737</v>
      </c>
      <c r="L114" s="9" t="n">
        <f aca="false">IF(AND(H114=0,J114=0),0,IF(H114=0,"New",(J114-H114)/H114))</f>
        <v>1.96279359160674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505</v>
      </c>
      <c r="B115" s="7" t="str">
        <f aca="false">IFERROR(INDEX('Source'!$C:$C,MATCH($A115,'Source'!$B:$B,0)),"")</f>
        <v>מגן ברך חום</v>
      </c>
      <c r="C115" s="8" t="n">
        <f aca="false">SUMIFS('Source'!$D:$D,'Source'!$A:$A,"C02266 SANAFLEX L.P",'Source'!$B:$B,$A115)</f>
        <v>150</v>
      </c>
      <c r="D115" s="8" t="n">
        <f aca="false">SUMIFS('Source'!$F:$F,'Source'!$A:$A,"C02266 SANAFLEX L.P",'Source'!$B:$B,$A115)</f>
        <v>136</v>
      </c>
      <c r="E115" s="8" t="n">
        <f aca="false">D115*$J$5</f>
        <v>171.789473684211</v>
      </c>
      <c r="F115" s="8" t="n">
        <f aca="false">E115-C115</f>
        <v>21.7894736842105</v>
      </c>
      <c r="G115" s="9" t="n">
        <f aca="false">IF(AND(C115=0,E115=0),0,IF(C115=0,"New",(E115-C115)/C115))</f>
        <v>0.145263157894737</v>
      </c>
      <c r="H115" s="8" t="n">
        <f aca="false">SUMIFS('Source'!$E:$E,'Source'!$A:$A,"C02266 SANAFLEX L.P",'Source'!$B:$B,$A115)</f>
        <v>1555.13</v>
      </c>
      <c r="I115" s="8" t="n">
        <f aca="false">SUMIFS('Source'!$G:$G,'Source'!$A:$A,"C02266 SANAFLEX L.P",'Source'!$B:$B,$A115)</f>
        <v>1237.42</v>
      </c>
      <c r="J115" s="8" t="n">
        <f aca="false">I115*$J$5</f>
        <v>1563.05684210526</v>
      </c>
      <c r="K115" s="8" t="n">
        <f aca="false">J115-H115</f>
        <v>7.92684210526295</v>
      </c>
      <c r="L115" s="9" t="n">
        <f aca="false">IF(AND(H115=0,J115=0),0,IF(H115=0,"New",(J115-H115)/H115))</f>
        <v>0.00509722152184251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419</v>
      </c>
      <c r="B116" s="7" t="str">
        <f aca="false">IFERROR(INDEX('Source'!$C:$C,MATCH($A116,'Source'!$B:$B,0)),"")</f>
        <v>מגן בוניון עדין לנעל צרה</v>
      </c>
      <c r="C116" s="8" t="n">
        <f aca="false">SUMIFS('Source'!$D:$D,'Source'!$A:$A,"C02266 SANAFLEX L.P",'Source'!$B:$B,$A116)</f>
        <v>16</v>
      </c>
      <c r="D116" s="8" t="n">
        <f aca="false">SUMIFS('Source'!$F:$F,'Source'!$A:$A,"C02266 SANAFLEX L.P",'Source'!$B:$B,$A116)</f>
        <v>38</v>
      </c>
      <c r="E116" s="8" t="n">
        <f aca="false">D116*$J$5</f>
        <v>48</v>
      </c>
      <c r="F116" s="8" t="n">
        <f aca="false">E116-C116</f>
        <v>32</v>
      </c>
      <c r="G116" s="9" t="n">
        <f aca="false">IF(AND(C116=0,E116=0),0,IF(C116=0,"New",(E116-C116)/C116))</f>
        <v>2</v>
      </c>
      <c r="H116" s="8" t="n">
        <f aca="false">SUMIFS('Source'!$E:$E,'Source'!$A:$A,"C02266 SANAFLEX L.P",'Source'!$B:$B,$A116)</f>
        <v>245.68</v>
      </c>
      <c r="I116" s="8" t="n">
        <f aca="false">SUMIFS('Source'!$G:$G,'Source'!$A:$A,"C02266 SANAFLEX L.P",'Source'!$B:$B,$A116)</f>
        <v>547.34</v>
      </c>
      <c r="J116" s="8" t="n">
        <f aca="false">I116*$J$5</f>
        <v>691.376842105263</v>
      </c>
      <c r="K116" s="8" t="n">
        <f aca="false">J116-H116</f>
        <v>445.696842105263</v>
      </c>
      <c r="L116" s="9" t="n">
        <f aca="false">IF(AND(H116=0,J116=0),0,IF(H116=0,"New",(J116-H116)/H116))</f>
        <v>1.81413563214451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615</v>
      </c>
      <c r="B117" s="7" t="str">
        <f aca="false">IFERROR(INDEX('Source'!$C:$C,MATCH($A117,'Source'!$B:$B,0)),"")</f>
        <v>מגן קרסול מתכוון</v>
      </c>
      <c r="C117" s="8" t="n">
        <f aca="false">SUMIFS('Source'!$D:$D,'Source'!$A:$A,"C02266 SANAFLEX L.P",'Source'!$B:$B,$A117)</f>
        <v>10</v>
      </c>
      <c r="D117" s="8" t="n">
        <f aca="false">SUMIFS('Source'!$F:$F,'Source'!$A:$A,"C02266 SANAFLEX L.P",'Source'!$B:$B,$A117)</f>
        <v>0</v>
      </c>
      <c r="E117" s="8" t="n">
        <f aca="false">D117*$J$5</f>
        <v>0</v>
      </c>
      <c r="F117" s="8" t="n">
        <f aca="false">E117-C117</f>
        <v>-10</v>
      </c>
      <c r="G117" s="9" t="n">
        <f aca="false">IF(AND(C117=0,E117=0),0,IF(C117=0,"New",(E117-C117)/C117))</f>
        <v>-1</v>
      </c>
      <c r="H117" s="8" t="n">
        <f aca="false">SUMIFS('Source'!$E:$E,'Source'!$A:$A,"C02266 SANAFLEX L.P",'Source'!$B:$B,$A117)</f>
        <v>296.42</v>
      </c>
      <c r="I117" s="8" t="n">
        <f aca="false">SUMIFS('Source'!$G:$G,'Source'!$A:$A,"C02266 SANAFLEX L.P",'Source'!$B:$B,$A117)</f>
        <v>0</v>
      </c>
      <c r="J117" s="8" t="n">
        <f aca="false">I117*$J$5</f>
        <v>0</v>
      </c>
      <c r="K117" s="8" t="n">
        <f aca="false">J117-H117</f>
        <v>-296.42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450</v>
      </c>
      <c r="B118" s="7" t="str">
        <f aca="false">IFERROR(INDEX('Source'!$C:$C,MATCH($A118,'Source'!$B:$B,0)),"")</f>
        <v>מגן קרסול מתכוון</v>
      </c>
      <c r="C118" s="8" t="n">
        <f aca="false">SUMIFS('Source'!$D:$D,'Source'!$A:$A,"C02266 SANAFLEX L.P",'Source'!$B:$B,$A118)</f>
        <v>10</v>
      </c>
      <c r="D118" s="8" t="n">
        <f aca="false">SUMIFS('Source'!$F:$F,'Source'!$A:$A,"C02266 SANAFLEX L.P",'Source'!$B:$B,$A118)</f>
        <v>0</v>
      </c>
      <c r="E118" s="8" t="n">
        <f aca="false">D118*$J$5</f>
        <v>0</v>
      </c>
      <c r="F118" s="8" t="n">
        <f aca="false">E118-C118</f>
        <v>-10</v>
      </c>
      <c r="G118" s="9" t="n">
        <f aca="false">IF(AND(C118=0,E118=0),0,IF(C118=0,"New",(E118-C118)/C118))</f>
        <v>-1</v>
      </c>
      <c r="H118" s="8" t="n">
        <f aca="false">SUMIFS('Source'!$E:$E,'Source'!$A:$A,"C02266 SANAFLEX L.P",'Source'!$B:$B,$A118)</f>
        <v>296.42</v>
      </c>
      <c r="I118" s="8" t="n">
        <f aca="false">SUMIFS('Source'!$G:$G,'Source'!$A:$A,"C02266 SANAFLEX L.P",'Source'!$B:$B,$A118)</f>
        <v>0</v>
      </c>
      <c r="J118" s="8" t="n">
        <f aca="false">I118*$J$5</f>
        <v>0</v>
      </c>
      <c r="K118" s="8" t="n">
        <f aca="false">J118-H118</f>
        <v>-296.42</v>
      </c>
      <c r="L118" s="9" t="n">
        <f aca="false">IF(AND(H118=0,J118=0),0,IF(H118=0,"New",(J118-H118)/H118))</f>
        <v>-1</v>
      </c>
      <c r="M118" s="7" t="str">
        <f aca="false">IF(AND(OR(C118&lt;&gt;0,H118&lt;&gt;0),D118=0,I118=0),"DROP",IF(AND(OR(D118&lt;&gt;0,I118&lt;&gt;0),C118=0,H118=0),"NEW",""))</f>
        <v>DROP</v>
      </c>
    </row>
    <row r="119" customFormat="false" ht="15" hidden="false" customHeight="false" outlineLevel="0" collapsed="false">
      <c r="A119" s="7" t="s">
        <v>772</v>
      </c>
      <c r="B119" s="7" t="str">
        <f aca="false">IFERROR(INDEX('Source'!$C:$C,MATCH($A119,'Source'!$B:$B,0)),"")</f>
        <v>אטלטיק טייפ</v>
      </c>
      <c r="C119" s="8" t="n">
        <f aca="false">SUMIFS('Source'!$D:$D,'Source'!$A:$A,"C02266 SANAFLEX L.P",'Source'!$B:$B,$A119)</f>
        <v>55</v>
      </c>
      <c r="D119" s="8" t="n">
        <f aca="false">SUMIFS('Source'!$F:$F,'Source'!$A:$A,"C02266 SANAFLEX L.P",'Source'!$B:$B,$A119)</f>
        <v>97</v>
      </c>
      <c r="E119" s="8" t="n">
        <f aca="false">D119*$J$5</f>
        <v>122.526315789474</v>
      </c>
      <c r="F119" s="8" t="n">
        <f aca="false">E119-C119</f>
        <v>67.5263157894737</v>
      </c>
      <c r="G119" s="9" t="n">
        <f aca="false">IF(AND(C119=0,E119=0),0,IF(C119=0,"New",(E119-C119)/C119))</f>
        <v>1.22775119617225</v>
      </c>
      <c r="H119" s="8" t="n">
        <f aca="false">SUMIFS('Source'!$E:$E,'Source'!$A:$A,"C02266 SANAFLEX L.P",'Source'!$B:$B,$A119)</f>
        <v>490.11</v>
      </c>
      <c r="I119" s="8" t="n">
        <f aca="false">SUMIFS('Source'!$G:$G,'Source'!$A:$A,"C02266 SANAFLEX L.P",'Source'!$B:$B,$A119)</f>
        <v>778.63</v>
      </c>
      <c r="J119" s="8" t="n">
        <f aca="false">I119*$J$5</f>
        <v>983.532631578947</v>
      </c>
      <c r="K119" s="8" t="n">
        <f aca="false">J119-H119</f>
        <v>493.422631578947</v>
      </c>
      <c r="L119" s="9" t="n">
        <f aca="false">IF(AND(H119=0,J119=0),0,IF(H119=0,"New",(J119-H119)/H119))</f>
        <v>1.0067589552936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545</v>
      </c>
      <c r="B120" s="7" t="str">
        <f aca="false">IFERROR(INDEX('Source'!$C:$C,MATCH($A120,'Source'!$B:$B,0)),"")</f>
        <v>ח.בטן 25 ס'מ</v>
      </c>
      <c r="C120" s="8" t="n">
        <f aca="false">SUMIFS('Source'!$D:$D,'Source'!$A:$A,"C02266 SANAFLEX L.P",'Source'!$B:$B,$A120)</f>
        <v>12</v>
      </c>
      <c r="D120" s="8" t="n">
        <f aca="false">SUMIFS('Source'!$F:$F,'Source'!$A:$A,"C02266 SANAFLEX L.P",'Source'!$B:$B,$A120)</f>
        <v>6</v>
      </c>
      <c r="E120" s="8" t="n">
        <f aca="false">D120*$J$5</f>
        <v>7.57894736842105</v>
      </c>
      <c r="F120" s="8" t="n">
        <f aca="false">E120-C120</f>
        <v>-4.42105263157895</v>
      </c>
      <c r="G120" s="9" t="n">
        <f aca="false">IF(AND(C120=0,E120=0),0,IF(C120=0,"New",(E120-C120)/C120))</f>
        <v>-0.368421052631579</v>
      </c>
      <c r="H120" s="8" t="n">
        <f aca="false">SUMIFS('Source'!$E:$E,'Source'!$A:$A,"C02266 SANAFLEX L.P",'Source'!$B:$B,$A120)</f>
        <v>524.8</v>
      </c>
      <c r="I120" s="8" t="n">
        <f aca="false">SUMIFS('Source'!$G:$G,'Source'!$A:$A,"C02266 SANAFLEX L.P",'Source'!$B:$B,$A120)</f>
        <v>238.5</v>
      </c>
      <c r="J120" s="8" t="n">
        <f aca="false">I120*$J$5</f>
        <v>301.263157894737</v>
      </c>
      <c r="K120" s="8" t="n">
        <f aca="false">J120-H120</f>
        <v>-223.536842105263</v>
      </c>
      <c r="L120" s="9" t="n">
        <f aca="false">IF(AND(H120=0,J120=0),0,IF(H120=0,"New",(J120-H120)/H120))</f>
        <v>-0.425946726572529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899</v>
      </c>
      <c r="B121" s="7" t="str">
        <f aca="false">IFERROR(INDEX('Source'!$C:$C,MATCH($A121,'Source'!$B:$B,0)),"")</f>
        <v>מדרס מטטרזלי</v>
      </c>
      <c r="C121" s="8" t="n">
        <f aca="false">SUMIFS('Source'!$D:$D,'Source'!$A:$A,"C02266 SANAFLEX L.P",'Source'!$B:$B,$A121)</f>
        <v>190</v>
      </c>
      <c r="D121" s="8" t="n">
        <f aca="false">SUMIFS('Source'!$F:$F,'Source'!$A:$A,"C02266 SANAFLEX L.P",'Source'!$B:$B,$A121)</f>
        <v>180</v>
      </c>
      <c r="E121" s="8" t="n">
        <f aca="false">D121*$J$5</f>
        <v>227.368421052632</v>
      </c>
      <c r="F121" s="8" t="n">
        <f aca="false">E121-C121</f>
        <v>37.3684210526316</v>
      </c>
      <c r="G121" s="9" t="n">
        <f aca="false">IF(AND(C121=0,E121=0),0,IF(C121=0,"New",(E121-C121)/C121))</f>
        <v>0.196675900277008</v>
      </c>
      <c r="H121" s="8" t="n">
        <f aca="false">SUMIFS('Source'!$E:$E,'Source'!$A:$A,"C02266 SANAFLEX L.P",'Source'!$B:$B,$A121)</f>
        <v>2052.19</v>
      </c>
      <c r="I121" s="8" t="n">
        <f aca="false">SUMIFS('Source'!$G:$G,'Source'!$A:$A,"C02266 SANAFLEX L.P",'Source'!$B:$B,$A121)</f>
        <v>1767.58</v>
      </c>
      <c r="J121" s="8" t="n">
        <f aca="false">I121*$J$5</f>
        <v>2232.73263157895</v>
      </c>
      <c r="K121" s="8" t="n">
        <f aca="false">J121-H121</f>
        <v>180.542631578947</v>
      </c>
      <c r="L121" s="9" t="n">
        <f aca="false">IF(AND(H121=0,J121=0),0,IF(H121=0,"New",(J121-H121)/H121))</f>
        <v>0.0879755926980188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334</v>
      </c>
      <c r="B122" s="7" t="str">
        <f aca="false">IFERROR(INDEX('Source'!$C:$C,MATCH($A122,'Source'!$B:$B,0)),"")</f>
        <v>סד לילה לבוהן</v>
      </c>
      <c r="C122" s="8" t="n">
        <f aca="false">SUMIFS('Source'!$D:$D,'Source'!$A:$A,"C02266 SANAFLEX L.P",'Source'!$B:$B,$A122)</f>
        <v>60</v>
      </c>
      <c r="D122" s="8" t="n">
        <f aca="false">SUMIFS('Source'!$F:$F,'Source'!$A:$A,"C02266 SANAFLEX L.P",'Source'!$B:$B,$A122)</f>
        <v>56</v>
      </c>
      <c r="E122" s="8" t="n">
        <f aca="false">D122*$J$5</f>
        <v>70.7368421052632</v>
      </c>
      <c r="F122" s="8" t="n">
        <f aca="false">E122-C122</f>
        <v>10.7368421052632</v>
      </c>
      <c r="G122" s="9" t="n">
        <f aca="false">IF(AND(C122=0,E122=0),0,IF(C122=0,"New",(E122-C122)/C122))</f>
        <v>0.178947368421053</v>
      </c>
      <c r="H122" s="8" t="n">
        <f aca="false">SUMIFS('Source'!$E:$E,'Source'!$A:$A,"C02266 SANAFLEX L.P",'Source'!$B:$B,$A122)</f>
        <v>2060.36</v>
      </c>
      <c r="I122" s="8" t="n">
        <f aca="false">SUMIFS('Source'!$G:$G,'Source'!$A:$A,"C02266 SANAFLEX L.P",'Source'!$B:$B,$A122)</f>
        <v>1777.05</v>
      </c>
      <c r="J122" s="8" t="n">
        <f aca="false">I122*$J$5</f>
        <v>2244.69473684211</v>
      </c>
      <c r="K122" s="8" t="n">
        <f aca="false">J122-H122</f>
        <v>184.334736842105</v>
      </c>
      <c r="L122" s="9" t="n">
        <f aca="false">IF(AND(H122=0,J122=0),0,IF(H122=0,"New",(J122-H122)/H122))</f>
        <v>0.089467246909329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665</v>
      </c>
      <c r="B123" s="7" t="str">
        <f aca="false">IFERROR(INDEX('Source'!$C:$C,MATCH($A123,'Source'!$B:$B,0)),"")</f>
        <v>ICE &amp; GO</v>
      </c>
      <c r="C123" s="8" t="n">
        <f aca="false">SUMIFS('Source'!$D:$D,'Source'!$A:$A,"C02266 SANAFLEX L.P",'Source'!$B:$B,$A123)</f>
        <v>50</v>
      </c>
      <c r="D123" s="8" t="n">
        <f aca="false">SUMIFS('Source'!$F:$F,'Source'!$A:$A,"C02266 SANAFLEX L.P",'Source'!$B:$B,$A123)</f>
        <v>25</v>
      </c>
      <c r="E123" s="8" t="n">
        <f aca="false">D123*$J$5</f>
        <v>31.5789473684211</v>
      </c>
      <c r="F123" s="8" t="n">
        <f aca="false">E123-C123</f>
        <v>-18.421052631579</v>
      </c>
      <c r="G123" s="9" t="n">
        <f aca="false">IF(AND(C123=0,E123=0),0,IF(C123=0,"New",(E123-C123)/C123))</f>
        <v>-0.368421052631579</v>
      </c>
      <c r="H123" s="8" t="n">
        <f aca="false">SUMIFS('Source'!$E:$E,'Source'!$A:$A,"C02266 SANAFLEX L.P",'Source'!$B:$B,$A123)</f>
        <v>498.16</v>
      </c>
      <c r="I123" s="8" t="n">
        <f aca="false">SUMIFS('Source'!$G:$G,'Source'!$A:$A,"C02266 SANAFLEX L.P",'Source'!$B:$B,$A123)</f>
        <v>220.61</v>
      </c>
      <c r="J123" s="8" t="n">
        <f aca="false">I123*$J$5</f>
        <v>278.665263157895</v>
      </c>
      <c r="K123" s="8" t="n">
        <f aca="false">J123-H123</f>
        <v>-219.494736842105</v>
      </c>
      <c r="L123" s="9" t="n">
        <f aca="false">IF(AND(H123=0,J123=0),0,IF(H123=0,"New",(J123-H123)/H123))</f>
        <v>-0.440610921876717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903</v>
      </c>
      <c r="B124" s="7" t="str">
        <f aca="false">IFERROR(INDEX('Source'!$C:$C,MATCH($A124,'Source'!$B:$B,0)),"")</f>
        <v>ריפוד סיליקון לעקב אחורי</v>
      </c>
      <c r="C124" s="8" t="n">
        <f aca="false">SUMIFS('Source'!$D:$D,'Source'!$A:$A,"C02266 SANAFLEX L.P",'Source'!$B:$B,$A124)</f>
        <v>40</v>
      </c>
      <c r="D124" s="8" t="n">
        <f aca="false">SUMIFS('Source'!$F:$F,'Source'!$A:$A,"C02266 SANAFLEX L.P",'Source'!$B:$B,$A124)</f>
        <v>90</v>
      </c>
      <c r="E124" s="8" t="n">
        <f aca="false">D124*$J$5</f>
        <v>113.684210526316</v>
      </c>
      <c r="F124" s="8" t="n">
        <f aca="false">E124-C124</f>
        <v>73.6842105263158</v>
      </c>
      <c r="G124" s="9" t="n">
        <f aca="false">IF(AND(C124=0,E124=0),0,IF(C124=0,"New",(E124-C124)/C124))</f>
        <v>1.84210526315789</v>
      </c>
      <c r="H124" s="8" t="n">
        <f aca="false">SUMIFS('Source'!$E:$E,'Source'!$A:$A,"C02266 SANAFLEX L.P",'Source'!$B:$B,$A124)</f>
        <v>245.41</v>
      </c>
      <c r="I124" s="8" t="n">
        <f aca="false">SUMIFS('Source'!$G:$G,'Source'!$A:$A,"C02266 SANAFLEX L.P",'Source'!$B:$B,$A124)</f>
        <v>519.51</v>
      </c>
      <c r="J124" s="8" t="n">
        <f aca="false">I124*$J$5</f>
        <v>656.223157894737</v>
      </c>
      <c r="K124" s="8" t="n">
        <f aca="false">J124-H124</f>
        <v>410.813157894737</v>
      </c>
      <c r="L124" s="9" t="n">
        <f aca="false">IF(AND(H124=0,J124=0),0,IF(H124=0,"New",(J124-H124)/H124))</f>
        <v>1.67398703351427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646</v>
      </c>
      <c r="B125" s="7" t="str">
        <f aca="false">IFERROR(INDEX('Source'!$C:$C,MATCH($A125,'Source'!$B:$B,0)),"")</f>
        <v>חבק יד</v>
      </c>
      <c r="C125" s="8" t="n">
        <f aca="false">SUMIFS('Source'!$D:$D,'Source'!$A:$A,"C02266 SANAFLEX L.P",'Source'!$B:$B,$A125)</f>
        <v>390</v>
      </c>
      <c r="D125" s="8" t="n">
        <f aca="false">SUMIFS('Source'!$F:$F,'Source'!$A:$A,"C02266 SANAFLEX L.P",'Source'!$B:$B,$A125)</f>
        <v>410</v>
      </c>
      <c r="E125" s="8" t="n">
        <f aca="false">D125*$J$5</f>
        <v>517.894736842105</v>
      </c>
      <c r="F125" s="8" t="n">
        <f aca="false">E125-C125</f>
        <v>127.894736842105</v>
      </c>
      <c r="G125" s="9" t="n">
        <f aca="false">IF(AND(C125=0,E125=0),0,IF(C125=0,"New",(E125-C125)/C125))</f>
        <v>0.327935222672065</v>
      </c>
      <c r="H125" s="8" t="n">
        <f aca="false">SUMIFS('Source'!$E:$E,'Source'!$A:$A,"C02266 SANAFLEX L.P",'Source'!$B:$B,$A125)</f>
        <v>4106.96</v>
      </c>
      <c r="I125" s="8" t="n">
        <f aca="false">SUMIFS('Source'!$G:$G,'Source'!$A:$A,"C02266 SANAFLEX L.P",'Source'!$B:$B,$A125)</f>
        <v>3846.71</v>
      </c>
      <c r="J125" s="8" t="n">
        <f aca="false">I125*$J$5</f>
        <v>4859.00210526316</v>
      </c>
      <c r="K125" s="8" t="n">
        <f aca="false">J125-H125</f>
        <v>752.042105263157</v>
      </c>
      <c r="L125" s="9" t="n">
        <f aca="false">IF(AND(H125=0,J125=0),0,IF(H125=0,"New",(J125-H125)/H125))</f>
        <v>0.183114056446412</v>
      </c>
      <c r="M125" s="7" t="str">
        <f aca="false">IF(AND(OR(C125&lt;&gt;0,H125&lt;&gt;0),D125=0,I125=0),"DROP",IF(AND(OR(D125&lt;&gt;0,I125&lt;&gt;0),C125=0,H125=0),"NEW",""))</f>
        <v/>
      </c>
    </row>
    <row r="126" customFormat="false" ht="15" hidden="false" customHeight="false" outlineLevel="0" collapsed="false">
      <c r="A126" s="7" t="s">
        <v>642</v>
      </c>
      <c r="B126" s="7" t="str">
        <f aca="false">IFERROR(INDEX('Source'!$C:$C,MATCH($A126,'Source'!$B:$B,0)),"")</f>
        <v>רפידת זיכרון 376</v>
      </c>
      <c r="C126" s="8" t="n">
        <f aca="false">SUMIFS('Source'!$D:$D,'Source'!$A:$A,"C02266 SANAFLEX L.P",'Source'!$B:$B,$A126)</f>
        <v>72</v>
      </c>
      <c r="D126" s="8" t="n">
        <f aca="false">SUMIFS('Source'!$F:$F,'Source'!$A:$A,"C02266 SANAFLEX L.P",'Source'!$B:$B,$A126)</f>
        <v>60</v>
      </c>
      <c r="E126" s="8" t="n">
        <f aca="false">D126*$J$5</f>
        <v>75.7894736842105</v>
      </c>
      <c r="F126" s="8" t="n">
        <f aca="false">E126-C126</f>
        <v>3.78947368421052</v>
      </c>
      <c r="G126" s="9" t="n">
        <f aca="false">IF(AND(C126=0,E126=0),0,IF(C126=0,"New",(E126-C126)/C126))</f>
        <v>0.0526315789473683</v>
      </c>
      <c r="H126" s="8" t="n">
        <f aca="false">SUMIFS('Source'!$E:$E,'Source'!$A:$A,"C02266 SANAFLEX L.P",'Source'!$B:$B,$A126)</f>
        <v>1049.25</v>
      </c>
      <c r="I126" s="8" t="n">
        <f aca="false">SUMIFS('Source'!$G:$G,'Source'!$A:$A,"C02266 SANAFLEX L.P",'Source'!$B:$B,$A126)</f>
        <v>795.85</v>
      </c>
      <c r="J126" s="8" t="n">
        <f aca="false">I126*$J$5</f>
        <v>1005.28421052632</v>
      </c>
      <c r="K126" s="8" t="n">
        <f aca="false">J126-H126</f>
        <v>-43.9657894736844</v>
      </c>
      <c r="L126" s="9" t="n">
        <f aca="false">IF(AND(H126=0,J126=0),0,IF(H126=0,"New",(J126-H126)/H126))</f>
        <v>-0.041902110530078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580</v>
      </c>
      <c r="B127" s="7" t="str">
        <f aca="false">IFERROR(INDEX('Source'!$C:$C,MATCH($A127,'Source'!$B:$B,0)),"")</f>
        <v>מגן ברך רגיל</v>
      </c>
      <c r="C127" s="8" t="n">
        <f aca="false">SUMIFS('Source'!$D:$D,'Source'!$A:$A,"C02266 SANAFLEX L.P",'Source'!$B:$B,$A127)</f>
        <v>22</v>
      </c>
      <c r="D127" s="8" t="n">
        <f aca="false">SUMIFS('Source'!$F:$F,'Source'!$A:$A,"C02266 SANAFLEX L.P",'Source'!$B:$B,$A127)</f>
        <v>50</v>
      </c>
      <c r="E127" s="8" t="n">
        <f aca="false">D127*$J$5</f>
        <v>63.1578947368421</v>
      </c>
      <c r="F127" s="8" t="n">
        <f aca="false">E127-C127</f>
        <v>41.1578947368421</v>
      </c>
      <c r="G127" s="9" t="n">
        <f aca="false">IF(AND(C127=0,E127=0),0,IF(C127=0,"New",(E127-C127)/C127))</f>
        <v>1.87081339712919</v>
      </c>
      <c r="H127" s="8" t="n">
        <f aca="false">SUMIFS('Source'!$E:$E,'Source'!$A:$A,"C02266 SANAFLEX L.P",'Source'!$B:$B,$A127)</f>
        <v>221.1</v>
      </c>
      <c r="I127" s="8" t="n">
        <f aca="false">SUMIFS('Source'!$G:$G,'Source'!$A:$A,"C02266 SANAFLEX L.P",'Source'!$B:$B,$A127)</f>
        <v>472.83</v>
      </c>
      <c r="J127" s="8" t="n">
        <f aca="false">I127*$J$5</f>
        <v>597.258947368421</v>
      </c>
      <c r="K127" s="8" t="n">
        <f aca="false">J127-H127</f>
        <v>376.158947368421</v>
      </c>
      <c r="L127" s="9" t="n">
        <f aca="false">IF(AND(H127=0,J127=0),0,IF(H127=0,"New",(J127-H127)/H127))</f>
        <v>1.70130686281511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940</v>
      </c>
      <c r="B128" s="7" t="str">
        <f aca="false">IFERROR(INDEX('Source'!$C:$C,MATCH($A128,'Source'!$B:$B,0)),"")</f>
        <v>חבק טניס</v>
      </c>
      <c r="C128" s="8" t="n">
        <f aca="false">SUMIFS('Source'!$D:$D,'Source'!$A:$A,"C02266 SANAFLEX L.P",'Source'!$B:$B,$A128)</f>
        <v>0</v>
      </c>
      <c r="D128" s="8" t="n">
        <f aca="false">SUMIFS('Source'!$F:$F,'Source'!$A:$A,"C02266 SANAFLEX L.P",'Source'!$B:$B,$A128)</f>
        <v>8</v>
      </c>
      <c r="E128" s="8" t="n">
        <f aca="false">D128*$J$5</f>
        <v>10.1052631578947</v>
      </c>
      <c r="F128" s="8" t="n">
        <f aca="false">E128-C128</f>
        <v>10.1052631578947</v>
      </c>
      <c r="G128" s="9" t="str">
        <f aca="false">IF(AND(C128=0,E128=0),0,IF(C128=0,"New",(E128-C128)/C128))</f>
        <v>New</v>
      </c>
      <c r="H128" s="8" t="n">
        <f aca="false">SUMIFS('Source'!$E:$E,'Source'!$A:$A,"C02266 SANAFLEX L.P",'Source'!$B:$B,$A128)</f>
        <v>0</v>
      </c>
      <c r="I128" s="8" t="n">
        <f aca="false">SUMIFS('Source'!$G:$G,'Source'!$A:$A,"C02266 SANAFLEX L.P",'Source'!$B:$B,$A128)</f>
        <v>247.59</v>
      </c>
      <c r="J128" s="8" t="n">
        <f aca="false">I128*$J$5</f>
        <v>312.745263157895</v>
      </c>
      <c r="K128" s="8" t="n">
        <f aca="false">J128-H128</f>
        <v>312.745263157895</v>
      </c>
      <c r="L128" s="9" t="str">
        <f aca="false">IF(AND(H128=0,J128=0),0,IF(H128=0,"New",(J128-H128)/H128))</f>
        <v>New</v>
      </c>
      <c r="M128" s="7" t="str">
        <f aca="false">IF(AND(OR(C128&lt;&gt;0,H128&lt;&gt;0),D128=0,I128=0),"DROP",IF(AND(OR(D128&lt;&gt;0,I128&lt;&gt;0),C128=0,H128=0),"NEW",""))</f>
        <v>NEW</v>
      </c>
    </row>
    <row r="129" customFormat="false" ht="15" hidden="false" customHeight="false" outlineLevel="0" collapsed="false">
      <c r="A129" s="7" t="s">
        <v>601</v>
      </c>
      <c r="B129" s="7" t="str">
        <f aca="false">IFERROR(INDEX('Source'!$C:$C,MATCH($A129,'Source'!$B:$B,0)),"")</f>
        <v>קינזיולוגי טייפ</v>
      </c>
      <c r="C129" s="8" t="n">
        <f aca="false">SUMIFS('Source'!$D:$D,'Source'!$A:$A,"C02266 SANAFLEX L.P",'Source'!$B:$B,$A129)</f>
        <v>26</v>
      </c>
      <c r="D129" s="8" t="n">
        <f aca="false">SUMIFS('Source'!$F:$F,'Source'!$A:$A,"C02266 SANAFLEX L.P",'Source'!$B:$B,$A129)</f>
        <v>50</v>
      </c>
      <c r="E129" s="8" t="n">
        <f aca="false">D129*$J$5</f>
        <v>63.1578947368421</v>
      </c>
      <c r="F129" s="8" t="n">
        <f aca="false">E129-C129</f>
        <v>37.1578947368421</v>
      </c>
      <c r="G129" s="9" t="n">
        <f aca="false">IF(AND(C129=0,E129=0),0,IF(C129=0,"New",(E129-C129)/C129))</f>
        <v>1.42914979757085</v>
      </c>
      <c r="H129" s="8" t="n">
        <f aca="false">SUMIFS('Source'!$E:$E,'Source'!$A:$A,"C02266 SANAFLEX L.P",'Source'!$B:$B,$A129)</f>
        <v>322.75</v>
      </c>
      <c r="I129" s="8" t="n">
        <f aca="false">SUMIFS('Source'!$G:$G,'Source'!$A:$A,"C02266 SANAFLEX L.P",'Source'!$B:$B,$A129)</f>
        <v>564.09</v>
      </c>
      <c r="J129" s="8" t="n">
        <f aca="false">I129*$J$5</f>
        <v>712.534736842105</v>
      </c>
      <c r="K129" s="8" t="n">
        <f aca="false">J129-H129</f>
        <v>389.784736842105</v>
      </c>
      <c r="L129" s="9" t="n">
        <f aca="false">IF(AND(H129=0,J129=0),0,IF(H129=0,"New",(J129-H129)/H129))</f>
        <v>1.20769864242325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473</v>
      </c>
      <c r="B130" s="7" t="str">
        <f aca="false">IFERROR(INDEX('Source'!$C:$C,MATCH($A130,'Source'!$B:$B,0)),"")</f>
        <v>מגן מרפק שחור</v>
      </c>
      <c r="C130" s="8" t="n">
        <f aca="false">SUMIFS('Source'!$D:$D,'Source'!$A:$A,"C02266 SANAFLEX L.P",'Source'!$B:$B,$A130)</f>
        <v>90</v>
      </c>
      <c r="D130" s="8" t="n">
        <f aca="false">SUMIFS('Source'!$F:$F,'Source'!$A:$A,"C02266 SANAFLEX L.P",'Source'!$B:$B,$A130)</f>
        <v>75</v>
      </c>
      <c r="E130" s="8" t="n">
        <f aca="false">D130*$J$5</f>
        <v>94.7368421052632</v>
      </c>
      <c r="F130" s="8" t="n">
        <f aca="false">E130-C130</f>
        <v>4.73684210526315</v>
      </c>
      <c r="G130" s="9" t="n">
        <f aca="false">IF(AND(C130=0,E130=0),0,IF(C130=0,"New",(E130-C130)/C130))</f>
        <v>0.0526315789473683</v>
      </c>
      <c r="H130" s="8" t="n">
        <f aca="false">SUMIFS('Source'!$E:$E,'Source'!$A:$A,"C02266 SANAFLEX L.P",'Source'!$B:$B,$A130)</f>
        <v>967.11</v>
      </c>
      <c r="I130" s="8" t="n">
        <f aca="false">SUMIFS('Source'!$G:$G,'Source'!$A:$A,"C02266 SANAFLEX L.P",'Source'!$B:$B,$A130)</f>
        <v>726.86</v>
      </c>
      <c r="J130" s="8" t="n">
        <f aca="false">I130*$J$5</f>
        <v>918.138947368421</v>
      </c>
      <c r="K130" s="8" t="n">
        <f aca="false">J130-H130</f>
        <v>-48.9710526315791</v>
      </c>
      <c r="L130" s="9" t="n">
        <f aca="false">IF(AND(H130=0,J130=0),0,IF(H130=0,"New",(J130-H130)/H130))</f>
        <v>-0.0506364866784328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675</v>
      </c>
      <c r="B131" s="7" t="str">
        <f aca="false">IFERROR(INDEX('Source'!$C:$C,MATCH($A131,'Source'!$B:$B,0)),"")</f>
        <v>מגן יד</v>
      </c>
      <c r="C131" s="8" t="n">
        <f aca="false">SUMIFS('Source'!$D:$D,'Source'!$A:$A,"C02266 SANAFLEX L.P",'Source'!$B:$B,$A131)</f>
        <v>30</v>
      </c>
      <c r="D131" s="8" t="n">
        <f aca="false">SUMIFS('Source'!$F:$F,'Source'!$A:$A,"C02266 SANAFLEX L.P",'Source'!$B:$B,$A131)</f>
        <v>16</v>
      </c>
      <c r="E131" s="8" t="n">
        <f aca="false">D131*$J$5</f>
        <v>20.2105263157895</v>
      </c>
      <c r="F131" s="8" t="n">
        <f aca="false">E131-C131</f>
        <v>-9.78947368421053</v>
      </c>
      <c r="G131" s="9" t="n">
        <f aca="false">IF(AND(C131=0,E131=0),0,IF(C131=0,"New",(E131-C131)/C131))</f>
        <v>-0.326315789473684</v>
      </c>
      <c r="H131" s="8" t="n">
        <f aca="false">SUMIFS('Source'!$E:$E,'Source'!$A:$A,"C02266 SANAFLEX L.P",'Source'!$B:$B,$A131)</f>
        <v>478.33</v>
      </c>
      <c r="I131" s="8" t="n">
        <f aca="false">SUMIFS('Source'!$G:$G,'Source'!$A:$A,"C02266 SANAFLEX L.P",'Source'!$B:$B,$A131)</f>
        <v>239.31</v>
      </c>
      <c r="J131" s="8" t="n">
        <f aca="false">I131*$J$5</f>
        <v>302.286315789474</v>
      </c>
      <c r="K131" s="8" t="n">
        <f aca="false">J131-H131</f>
        <v>-176.043684210526</v>
      </c>
      <c r="L131" s="9" t="n">
        <f aca="false">IF(AND(H131=0,J131=0),0,IF(H131=0,"New",(J131-H131)/H131))</f>
        <v>-0.36803814147247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906</v>
      </c>
      <c r="B132" s="7" t="str">
        <f aca="false">IFERROR(INDEX('Source'!$C:$C,MATCH($A132,'Source'!$B:$B,0)),"")</f>
        <v>מדרס סיליקון לנעלי עקב</v>
      </c>
      <c r="C132" s="8" t="n">
        <f aca="false">SUMIFS('Source'!$D:$D,'Source'!$A:$A,"C02266 SANAFLEX L.P",'Source'!$B:$B,$A132)</f>
        <v>12</v>
      </c>
      <c r="D132" s="8" t="n">
        <f aca="false">SUMIFS('Source'!$F:$F,'Source'!$A:$A,"C02266 SANAFLEX L.P",'Source'!$B:$B,$A132)</f>
        <v>0</v>
      </c>
      <c r="E132" s="8" t="n">
        <f aca="false">D132*$J$5</f>
        <v>0</v>
      </c>
      <c r="F132" s="8" t="n">
        <f aca="false">E132-C132</f>
        <v>-12</v>
      </c>
      <c r="G132" s="9" t="n">
        <f aca="false">IF(AND(C132=0,E132=0),0,IF(C132=0,"New",(E132-C132)/C132))</f>
        <v>-1</v>
      </c>
      <c r="H132" s="8" t="n">
        <f aca="false">SUMIFS('Source'!$E:$E,'Source'!$A:$A,"C02266 SANAFLEX L.P",'Source'!$B:$B,$A132)</f>
        <v>233.8</v>
      </c>
      <c r="I132" s="8" t="n">
        <f aca="false">SUMIFS('Source'!$G:$G,'Source'!$A:$A,"C02266 SANAFLEX L.P",'Source'!$B:$B,$A132)</f>
        <v>0</v>
      </c>
      <c r="J132" s="8" t="n">
        <f aca="false">I132*$J$5</f>
        <v>0</v>
      </c>
      <c r="K132" s="8" t="n">
        <f aca="false">J132-H132</f>
        <v>-233.8</v>
      </c>
      <c r="L132" s="9" t="n">
        <f aca="false">IF(AND(H132=0,J132=0),0,IF(H132=0,"New",(J132-H132)/H132))</f>
        <v>-1</v>
      </c>
      <c r="M132" s="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false" outlineLevel="0" collapsed="false">
      <c r="A133" s="7" t="s">
        <v>578</v>
      </c>
      <c r="B133" s="7" t="str">
        <f aca="false">IFERROR(INDEX('Source'!$C:$C,MATCH($A133,'Source'!$B:$B,0)),"")</f>
        <v>מגן ברך רגיל</v>
      </c>
      <c r="C133" s="8" t="n">
        <f aca="false">SUMIFS('Source'!$D:$D,'Source'!$A:$A,"C02266 SANAFLEX L.P",'Source'!$B:$B,$A133)</f>
        <v>22</v>
      </c>
      <c r="D133" s="8" t="n">
        <f aca="false">SUMIFS('Source'!$F:$F,'Source'!$A:$A,"C02266 SANAFLEX L.P",'Source'!$B:$B,$A133)</f>
        <v>0</v>
      </c>
      <c r="E133" s="8" t="n">
        <f aca="false">D133*$J$5</f>
        <v>0</v>
      </c>
      <c r="F133" s="8" t="n">
        <f aca="false">E133-C133</f>
        <v>-22</v>
      </c>
      <c r="G133" s="9" t="n">
        <f aca="false">IF(AND(C133=0,E133=0),0,IF(C133=0,"New",(E133-C133)/C133))</f>
        <v>-1</v>
      </c>
      <c r="H133" s="8" t="n">
        <f aca="false">SUMIFS('Source'!$E:$E,'Source'!$A:$A,"C02266 SANAFLEX L.P",'Source'!$B:$B,$A133)</f>
        <v>226.85</v>
      </c>
      <c r="I133" s="8" t="n">
        <f aca="false">SUMIFS('Source'!$G:$G,'Source'!$A:$A,"C02266 SANAFLEX L.P",'Source'!$B:$B,$A133)</f>
        <v>0</v>
      </c>
      <c r="J133" s="8" t="n">
        <f aca="false">I133*$J$5</f>
        <v>0</v>
      </c>
      <c r="K133" s="8" t="n">
        <f aca="false">J133-H133</f>
        <v>-226.85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185</v>
      </c>
      <c r="B134" s="7" t="str">
        <f aca="false">IFERROR(INDEX('Source'!$C:$C,MATCH($A134,'Source'!$B:$B,0)),"")</f>
        <v>כרית עם סרט אלסט</v>
      </c>
      <c r="C134" s="8" t="n">
        <f aca="false">SUMIFS('Source'!$D:$D,'Source'!$A:$A,"C02266 SANAFLEX L.P",'Source'!$B:$B,$A134)</f>
        <v>136</v>
      </c>
      <c r="D134" s="8" t="n">
        <f aca="false">SUMIFS('Source'!$F:$F,'Source'!$A:$A,"C02266 SANAFLEX L.P",'Source'!$B:$B,$A134)</f>
        <v>170</v>
      </c>
      <c r="E134" s="8" t="n">
        <f aca="false">D134*$J$5</f>
        <v>214.736842105263</v>
      </c>
      <c r="F134" s="8" t="n">
        <f aca="false">E134-C134</f>
        <v>78.7368421052632</v>
      </c>
      <c r="G134" s="9" t="n">
        <f aca="false">IF(AND(C134=0,E134=0),0,IF(C134=0,"New",(E134-C134)/C134))</f>
        <v>0.578947368421053</v>
      </c>
      <c r="H134" s="8" t="n">
        <f aca="false">SUMIFS('Source'!$E:$E,'Source'!$A:$A,"C02266 SANAFLEX L.P",'Source'!$B:$B,$A134)</f>
        <v>2135.79</v>
      </c>
      <c r="I134" s="8" t="n">
        <f aca="false">SUMIFS('Source'!$G:$G,'Source'!$A:$A,"C02266 SANAFLEX L.P",'Source'!$B:$B,$A134)</f>
        <v>2362.38</v>
      </c>
      <c r="J134" s="8" t="n">
        <f aca="false">I134*$J$5</f>
        <v>2984.05894736842</v>
      </c>
      <c r="K134" s="8" t="n">
        <f aca="false">J134-H134</f>
        <v>848.268947368421</v>
      </c>
      <c r="L134" s="9" t="n">
        <f aca="false">IF(AND(H134=0,J134=0),0,IF(H134=0,"New",(J134-H134)/H134))</f>
        <v>0.39716870449268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680</v>
      </c>
      <c r="B135" s="7" t="str">
        <f aca="false">IFERROR(INDEX('Source'!$C:$C,MATCH($A135,'Source'!$B:$B,0)),"")</f>
        <v>חבק יד מתכוון</v>
      </c>
      <c r="C135" s="8" t="n">
        <f aca="false">SUMIFS('Source'!$D:$D,'Source'!$A:$A,"C02266 SANAFLEX L.P",'Source'!$B:$B,$A135)</f>
        <v>20</v>
      </c>
      <c r="D135" s="8" t="n">
        <f aca="false">SUMIFS('Source'!$F:$F,'Source'!$A:$A,"C02266 SANAFLEX L.P",'Source'!$B:$B,$A135)</f>
        <v>6</v>
      </c>
      <c r="E135" s="8" t="n">
        <f aca="false">D135*$J$5</f>
        <v>7.57894736842105</v>
      </c>
      <c r="F135" s="8" t="n">
        <f aca="false">E135-C135</f>
        <v>-12.4210526315789</v>
      </c>
      <c r="G135" s="9" t="n">
        <f aca="false">IF(AND(C135=0,E135=0),0,IF(C135=0,"New",(E135-C135)/C135))</f>
        <v>-0.621052631578947</v>
      </c>
      <c r="H135" s="8" t="n">
        <f aca="false">SUMIFS('Source'!$E:$E,'Source'!$A:$A,"C02266 SANAFLEX L.P",'Source'!$B:$B,$A135)</f>
        <v>302.18</v>
      </c>
      <c r="I135" s="8" t="n">
        <f aca="false">SUMIFS('Source'!$G:$G,'Source'!$A:$A,"C02266 SANAFLEX L.P",'Source'!$B:$B,$A135)</f>
        <v>86.56</v>
      </c>
      <c r="J135" s="8" t="n">
        <f aca="false">I135*$J$5</f>
        <v>109.338947368421</v>
      </c>
      <c r="K135" s="8" t="n">
        <f aca="false">J135-H135</f>
        <v>-192.841052631579</v>
      </c>
      <c r="L135" s="9" t="n">
        <f aca="false">IF(AND(H135=0,J135=0),0,IF(H135=0,"New",(J135-H135)/H135))</f>
        <v>-0.638166167951483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134</v>
      </c>
      <c r="B136" s="7" t="str">
        <f aca="false">IFERROR(INDEX('Source'!$C:$C,MATCH($A136,'Source'!$B:$B,0)),"")</f>
        <v>מ. בוניון + מפריד אצבע</v>
      </c>
      <c r="C136" s="8" t="n">
        <f aca="false">SUMIFS('Source'!$D:$D,'Source'!$A:$A,"C02266 SANAFLEX L.P",'Source'!$B:$B,$A136)</f>
        <v>38</v>
      </c>
      <c r="D136" s="8" t="n">
        <f aca="false">SUMIFS('Source'!$F:$F,'Source'!$A:$A,"C02266 SANAFLEX L.P",'Source'!$B:$B,$A136)</f>
        <v>56</v>
      </c>
      <c r="E136" s="8" t="n">
        <f aca="false">D136*$J$5</f>
        <v>70.7368421052632</v>
      </c>
      <c r="F136" s="8" t="n">
        <f aca="false">E136-C136</f>
        <v>32.7368421052632</v>
      </c>
      <c r="G136" s="9" t="n">
        <f aca="false">IF(AND(C136=0,E136=0),0,IF(C136=0,"New",(E136-C136)/C136))</f>
        <v>0.861495844875346</v>
      </c>
      <c r="H136" s="8" t="n">
        <f aca="false">SUMIFS('Source'!$E:$E,'Source'!$A:$A,"C02266 SANAFLEX L.P",'Source'!$B:$B,$A136)</f>
        <v>608.77</v>
      </c>
      <c r="I136" s="8" t="n">
        <f aca="false">SUMIFS('Source'!$G:$G,'Source'!$A:$A,"C02266 SANAFLEX L.P",'Source'!$B:$B,$A136)</f>
        <v>820.4</v>
      </c>
      <c r="J136" s="8" t="n">
        <f aca="false">I136*$J$5</f>
        <v>1036.29473684211</v>
      </c>
      <c r="K136" s="8" t="n">
        <f aca="false">J136-H136</f>
        <v>427.524736842105</v>
      </c>
      <c r="L136" s="9" t="n">
        <f aca="false">IF(AND(H136=0,J136=0),0,IF(H136=0,"New",(J136-H136)/H136))</f>
        <v>0.702276289636653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686</v>
      </c>
      <c r="B137" s="7" t="str">
        <f aca="false">IFERROR(INDEX('Source'!$C:$C,MATCH($A137,'Source'!$B:$B,0)),"")</f>
        <v>מגן מרפק שחור</v>
      </c>
      <c r="C137" s="8" t="n">
        <f aca="false">SUMIFS('Source'!$D:$D,'Source'!$A:$A,"C02266 SANAFLEX L.P",'Source'!$B:$B,$A137)</f>
        <v>35</v>
      </c>
      <c r="D137" s="8" t="n">
        <f aca="false">SUMIFS('Source'!$F:$F,'Source'!$A:$A,"C02266 SANAFLEX L.P",'Source'!$B:$B,$A137)</f>
        <v>60</v>
      </c>
      <c r="E137" s="8" t="n">
        <f aca="false">D137*$J$5</f>
        <v>75.7894736842105</v>
      </c>
      <c r="F137" s="8" t="n">
        <f aca="false">E137-C137</f>
        <v>40.7894736842105</v>
      </c>
      <c r="G137" s="9" t="n">
        <f aca="false">IF(AND(C137=0,E137=0),0,IF(C137=0,"New",(E137-C137)/C137))</f>
        <v>1.16541353383459</v>
      </c>
      <c r="H137" s="8" t="n">
        <f aca="false">SUMIFS('Source'!$E:$E,'Source'!$A:$A,"C02266 SANAFLEX L.P",'Source'!$B:$B,$A137)</f>
        <v>372.89</v>
      </c>
      <c r="I137" s="8" t="n">
        <f aca="false">SUMIFS('Source'!$G:$G,'Source'!$A:$A,"C02266 SANAFLEX L.P",'Source'!$B:$B,$A137)</f>
        <v>580.87</v>
      </c>
      <c r="J137" s="8" t="n">
        <f aca="false">I137*$J$5</f>
        <v>733.73052631579</v>
      </c>
      <c r="K137" s="8" t="n">
        <f aca="false">J137-H137</f>
        <v>360.84052631579</v>
      </c>
      <c r="L137" s="9" t="n">
        <f aca="false">IF(AND(H137=0,J137=0),0,IF(H137=0,"New",(J137-H137)/H137))</f>
        <v>0.967686251483787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702</v>
      </c>
      <c r="B138" s="7" t="str">
        <f aca="false">IFERROR(INDEX('Source'!$C:$C,MATCH($A138,'Source'!$B:$B,0)),"")</f>
        <v>מגן קרסול חום</v>
      </c>
      <c r="C138" s="8" t="n">
        <f aca="false">SUMIFS('Source'!$D:$D,'Source'!$A:$A,"C02266 SANAFLEX L.P",'Source'!$B:$B,$A138)</f>
        <v>35</v>
      </c>
      <c r="D138" s="8" t="n">
        <f aca="false">SUMIFS('Source'!$F:$F,'Source'!$A:$A,"C02266 SANAFLEX L.P",'Source'!$B:$B,$A138)</f>
        <v>60</v>
      </c>
      <c r="E138" s="8" t="n">
        <f aca="false">D138*$J$5</f>
        <v>75.7894736842105</v>
      </c>
      <c r="F138" s="8" t="n">
        <f aca="false">E138-C138</f>
        <v>40.7894736842105</v>
      </c>
      <c r="G138" s="9" t="n">
        <f aca="false">IF(AND(C138=0,E138=0),0,IF(C138=0,"New",(E138-C138)/C138))</f>
        <v>1.16541353383459</v>
      </c>
      <c r="H138" s="8" t="n">
        <f aca="false">SUMIFS('Source'!$E:$E,'Source'!$A:$A,"C02266 SANAFLEX L.P",'Source'!$B:$B,$A138)</f>
        <v>352.64</v>
      </c>
      <c r="I138" s="8" t="n">
        <f aca="false">SUMIFS('Source'!$G:$G,'Source'!$A:$A,"C02266 SANAFLEX L.P",'Source'!$B:$B,$A138)</f>
        <v>557.42</v>
      </c>
      <c r="J138" s="8" t="n">
        <f aca="false">I138*$J$5</f>
        <v>704.109473684211</v>
      </c>
      <c r="K138" s="8" t="n">
        <f aca="false">J138-H138</f>
        <v>351.469473684211</v>
      </c>
      <c r="L138" s="9" t="n">
        <f aca="false">IF(AND(H138=0,J138=0),0,IF(H138=0,"New",(J138-H138)/H138))</f>
        <v>0.996680676282358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563</v>
      </c>
      <c r="B139" s="7" t="str">
        <f aca="false">IFERROR(INDEX('Source'!$C:$C,MATCH($A139,'Source'!$B:$B,0)),"")</f>
        <v>מגן קרסול פתוח</v>
      </c>
      <c r="C139" s="8" t="n">
        <f aca="false">SUMIFS('Source'!$D:$D,'Source'!$A:$A,"C02266 SANAFLEX L.P",'Source'!$B:$B,$A139)</f>
        <v>20</v>
      </c>
      <c r="D139" s="8" t="n">
        <f aca="false">SUMIFS('Source'!$F:$F,'Source'!$A:$A,"C02266 SANAFLEX L.P",'Source'!$B:$B,$A139)</f>
        <v>0</v>
      </c>
      <c r="E139" s="8" t="n">
        <f aca="false">D139*$J$5</f>
        <v>0</v>
      </c>
      <c r="F139" s="8" t="n">
        <f aca="false">E139-C139</f>
        <v>-20</v>
      </c>
      <c r="G139" s="9" t="n">
        <f aca="false">IF(AND(C139=0,E139=0),0,IF(C139=0,"New",(E139-C139)/C139))</f>
        <v>-1</v>
      </c>
      <c r="H139" s="8" t="n">
        <f aca="false">SUMIFS('Source'!$E:$E,'Source'!$A:$A,"C02266 SANAFLEX L.P",'Source'!$B:$B,$A139)</f>
        <v>199.82</v>
      </c>
      <c r="I139" s="8" t="n">
        <f aca="false">SUMIFS('Source'!$G:$G,'Source'!$A:$A,"C02266 SANAFLEX L.P",'Source'!$B:$B,$A139)</f>
        <v>0</v>
      </c>
      <c r="J139" s="8" t="n">
        <f aca="false">I139*$J$5</f>
        <v>0</v>
      </c>
      <c r="K139" s="8" t="n">
        <f aca="false">J139-H139</f>
        <v>-199.82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703</v>
      </c>
      <c r="B140" s="7" t="str">
        <f aca="false">IFERROR(INDEX('Source'!$C:$C,MATCH($A140,'Source'!$B:$B,0)),"")</f>
        <v>אטלטיק טייפ</v>
      </c>
      <c r="C140" s="8" t="n">
        <f aca="false">SUMIFS('Source'!$D:$D,'Source'!$A:$A,"C02266 SANAFLEX L.P",'Source'!$B:$B,$A140)</f>
        <v>95</v>
      </c>
      <c r="D140" s="8" t="n">
        <f aca="false">SUMIFS('Source'!$F:$F,'Source'!$A:$A,"C02266 SANAFLEX L.P",'Source'!$B:$B,$A140)</f>
        <v>130</v>
      </c>
      <c r="E140" s="8" t="n">
        <f aca="false">D140*$J$5</f>
        <v>164.210526315789</v>
      </c>
      <c r="F140" s="8" t="n">
        <f aca="false">E140-C140</f>
        <v>69.2105263157895</v>
      </c>
      <c r="G140" s="9" t="n">
        <f aca="false">IF(AND(C140=0,E140=0),0,IF(C140=0,"New",(E140-C140)/C140))</f>
        <v>0.728531855955679</v>
      </c>
      <c r="H140" s="8" t="n">
        <f aca="false">SUMIFS('Source'!$E:$E,'Source'!$A:$A,"C02266 SANAFLEX L.P",'Source'!$B:$B,$A140)</f>
        <v>840.36</v>
      </c>
      <c r="I140" s="8" t="n">
        <f aca="false">SUMIFS('Source'!$G:$G,'Source'!$A:$A,"C02266 SANAFLEX L.P",'Source'!$B:$B,$A140)</f>
        <v>1036.92</v>
      </c>
      <c r="J140" s="8" t="n">
        <f aca="false">I140*$J$5</f>
        <v>1309.79368421053</v>
      </c>
      <c r="K140" s="8" t="n">
        <f aca="false">J140-H140</f>
        <v>469.433684210526</v>
      </c>
      <c r="L140" s="9" t="n">
        <f aca="false">IF(AND(H140=0,J140=0),0,IF(H140=0,"New",(J140-H140)/H140))</f>
        <v>0.558610219680288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941</v>
      </c>
      <c r="B141" s="7" t="str">
        <f aca="false">IFERROR(INDEX('Source'!$C:$C,MATCH($A141,'Source'!$B:$B,0)),"")</f>
        <v>גרבי במבוק</v>
      </c>
      <c r="C141" s="8" t="n">
        <f aca="false">SUMIFS('Source'!$D:$D,'Source'!$A:$A,"C02266 SANAFLEX L.P",'Source'!$B:$B,$A141)</f>
        <v>10</v>
      </c>
      <c r="D141" s="8" t="n">
        <f aca="false">SUMIFS('Source'!$F:$F,'Source'!$A:$A,"C02266 SANAFLEX L.P",'Source'!$B:$B,$A141)</f>
        <v>0</v>
      </c>
      <c r="E141" s="8" t="n">
        <f aca="false">D141*$J$5</f>
        <v>0</v>
      </c>
      <c r="F141" s="8" t="n">
        <f aca="false">E141-C141</f>
        <v>-10</v>
      </c>
      <c r="G141" s="9" t="n">
        <f aca="false">IF(AND(C141=0,E141=0),0,IF(C141=0,"New",(E141-C141)/C141))</f>
        <v>-1</v>
      </c>
      <c r="H141" s="8" t="n">
        <f aca="false">SUMIFS('Source'!$E:$E,'Source'!$A:$A,"C02266 SANAFLEX L.P",'Source'!$B:$B,$A141)</f>
        <v>194.88</v>
      </c>
      <c r="I141" s="8" t="n">
        <f aca="false">SUMIFS('Source'!$G:$G,'Source'!$A:$A,"C02266 SANAFLEX L.P",'Source'!$B:$B,$A141)</f>
        <v>0</v>
      </c>
      <c r="J141" s="8" t="n">
        <f aca="false">I141*$J$5</f>
        <v>0</v>
      </c>
      <c r="K141" s="8" t="n">
        <f aca="false">J141-H141</f>
        <v>-194.88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349</v>
      </c>
      <c r="B142" s="7" t="str">
        <f aca="false">IFERROR(INDEX('Source'!$C:$C,MATCH($A142,'Source'!$B:$B,0)),"")</f>
        <v>חגורת גב+סגירה כפולה</v>
      </c>
      <c r="C142" s="8" t="n">
        <f aca="false">SUMIFS('Source'!$D:$D,'Source'!$A:$A,"C02266 SANAFLEX L.P",'Source'!$B:$B,$A142)</f>
        <v>100</v>
      </c>
      <c r="D142" s="8" t="n">
        <f aca="false">SUMIFS('Source'!$F:$F,'Source'!$A:$A,"C02266 SANAFLEX L.P",'Source'!$B:$B,$A142)</f>
        <v>116</v>
      </c>
      <c r="E142" s="8" t="n">
        <f aca="false">D142*$J$5</f>
        <v>146.526315789474</v>
      </c>
      <c r="F142" s="8" t="n">
        <f aca="false">E142-C142</f>
        <v>46.5263157894737</v>
      </c>
      <c r="G142" s="9" t="n">
        <f aca="false">IF(AND(C142=0,E142=0),0,IF(C142=0,"New",(E142-C142)/C142))</f>
        <v>0.465263157894737</v>
      </c>
      <c r="H142" s="8" t="n">
        <f aca="false">SUMIFS('Source'!$E:$E,'Source'!$A:$A,"C02266 SANAFLEX L.P",'Source'!$B:$B,$A142)</f>
        <v>5281.14</v>
      </c>
      <c r="I142" s="8" t="n">
        <f aca="false">SUMIFS('Source'!$G:$G,'Source'!$A:$A,"C02266 SANAFLEX L.P",'Source'!$B:$B,$A142)</f>
        <v>5474</v>
      </c>
      <c r="J142" s="8" t="n">
        <f aca="false">I142*$J$5</f>
        <v>6914.52631578947</v>
      </c>
      <c r="K142" s="8" t="n">
        <f aca="false">J142-H142</f>
        <v>1633.38631578947</v>
      </c>
      <c r="L142" s="9" t="n">
        <f aca="false">IF(AND(H142=0,J142=0),0,IF(H142=0,"New",(J142-H142)/H142))</f>
        <v>0.309286691091218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589</v>
      </c>
      <c r="B143" s="7" t="str">
        <f aca="false">IFERROR(INDEX('Source'!$C:$C,MATCH($A143,'Source'!$B:$B,0)),"")</f>
        <v>מישר כתפיים</v>
      </c>
      <c r="C143" s="8" t="n">
        <f aca="false">SUMIFS('Source'!$D:$D,'Source'!$A:$A,"C02266 SANAFLEX L.P",'Source'!$B:$B,$A143)</f>
        <v>3</v>
      </c>
      <c r="D143" s="8" t="n">
        <f aca="false">SUMIFS('Source'!$F:$F,'Source'!$A:$A,"C02266 SANAFLEX L.P",'Source'!$B:$B,$A143)</f>
        <v>0</v>
      </c>
      <c r="E143" s="8" t="n">
        <f aca="false">D143*$J$5</f>
        <v>0</v>
      </c>
      <c r="F143" s="8" t="n">
        <f aca="false">E143-C143</f>
        <v>-3</v>
      </c>
      <c r="G143" s="9" t="n">
        <f aca="false">IF(AND(C143=0,E143=0),0,IF(C143=0,"New",(E143-C143)/C143))</f>
        <v>-1</v>
      </c>
      <c r="H143" s="8" t="n">
        <f aca="false">SUMIFS('Source'!$E:$E,'Source'!$A:$A,"C02266 SANAFLEX L.P",'Source'!$B:$B,$A143)</f>
        <v>189.5</v>
      </c>
      <c r="I143" s="8" t="n">
        <f aca="false">SUMIFS('Source'!$G:$G,'Source'!$A:$A,"C02266 SANAFLEX L.P",'Source'!$B:$B,$A143)</f>
        <v>0</v>
      </c>
      <c r="J143" s="8" t="n">
        <f aca="false">I143*$J$5</f>
        <v>0</v>
      </c>
      <c r="K143" s="8" t="n">
        <f aca="false">J143-H143</f>
        <v>-189.5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4" customFormat="false" ht="15" hidden="false" customHeight="false" outlineLevel="0" collapsed="false">
      <c r="A144" s="7" t="s">
        <v>782</v>
      </c>
      <c r="B144" s="7" t="str">
        <f aca="false">IFERROR(INDEX('Source'!$C:$C,MATCH($A144,'Source'!$B:$B,0)),"")</f>
        <v>מגן ברך שחור</v>
      </c>
      <c r="C144" s="8" t="n">
        <f aca="false">SUMIFS('Source'!$D:$D,'Source'!$A:$A,"C02266 SANAFLEX L.P",'Source'!$B:$B,$A144)</f>
        <v>80</v>
      </c>
      <c r="D144" s="8" t="n">
        <f aca="false">SUMIFS('Source'!$F:$F,'Source'!$A:$A,"C02266 SANAFLEX L.P",'Source'!$B:$B,$A144)</f>
        <v>73</v>
      </c>
      <c r="E144" s="8" t="n">
        <f aca="false">D144*$J$5</f>
        <v>92.2105263157895</v>
      </c>
      <c r="F144" s="8" t="n">
        <f aca="false">E144-C144</f>
        <v>12.2105263157895</v>
      </c>
      <c r="G144" s="9" t="n">
        <f aca="false">IF(AND(C144=0,E144=0),0,IF(C144=0,"New",(E144-C144)/C144))</f>
        <v>0.152631578947368</v>
      </c>
      <c r="H144" s="8" t="n">
        <f aca="false">SUMIFS('Source'!$E:$E,'Source'!$A:$A,"C02266 SANAFLEX L.P",'Source'!$B:$B,$A144)</f>
        <v>907.45</v>
      </c>
      <c r="I144" s="8" t="n">
        <f aca="false">SUMIFS('Source'!$G:$G,'Source'!$A:$A,"C02266 SANAFLEX L.P",'Source'!$B:$B,$A144)</f>
        <v>722.65</v>
      </c>
      <c r="J144" s="8" t="n">
        <f aca="false">I144*$J$5</f>
        <v>912.821052631579</v>
      </c>
      <c r="K144" s="8" t="n">
        <f aca="false">J144-H144</f>
        <v>5.37105263157878</v>
      </c>
      <c r="L144" s="9" t="n">
        <f aca="false">IF(AND(H144=0,J144=0),0,IF(H144=0,"New",(J144-H144)/H144))</f>
        <v>0.00591884140346992</v>
      </c>
      <c r="M144" s="7" t="str">
        <f aca="false">IF(AND(OR(C144&lt;&gt;0,H144&lt;&gt;0),D144=0,I144=0),"DROP",IF(AND(OR(D144&lt;&gt;0,I144&lt;&gt;0),C144=0,H144=0),"NEW",""))</f>
        <v/>
      </c>
    </row>
    <row r="145" customFormat="false" ht="15" hidden="false" customHeight="false" outlineLevel="0" collapsed="false">
      <c r="A145" s="7" t="s">
        <v>606</v>
      </c>
      <c r="B145" s="7" t="str">
        <f aca="false">IFERROR(INDEX('Source'!$C:$C,MATCH($A145,'Source'!$B:$B,0)),"")</f>
        <v>רפידה לילדים אנטי ריח</v>
      </c>
      <c r="C145" s="8" t="n">
        <f aca="false">SUMIFS('Source'!$D:$D,'Source'!$A:$A,"C02266 SANAFLEX L.P",'Source'!$B:$B,$A145)</f>
        <v>45</v>
      </c>
      <c r="D145" s="8" t="n">
        <f aca="false">SUMIFS('Source'!$F:$F,'Source'!$A:$A,"C02266 SANAFLEX L.P",'Source'!$B:$B,$A145)</f>
        <v>80</v>
      </c>
      <c r="E145" s="8" t="n">
        <f aca="false">D145*$J$5</f>
        <v>101.052631578947</v>
      </c>
      <c r="F145" s="8" t="n">
        <f aca="false">E145-C145</f>
        <v>56.0526315789474</v>
      </c>
      <c r="G145" s="9" t="n">
        <f aca="false">IF(AND(C145=0,E145=0),0,IF(C145=0,"New",(E145-C145)/C145))</f>
        <v>1.24561403508772</v>
      </c>
      <c r="H145" s="8" t="n">
        <f aca="false">SUMIFS('Source'!$E:$E,'Source'!$A:$A,"C02266 SANAFLEX L.P",'Source'!$B:$B,$A145)</f>
        <v>291.19</v>
      </c>
      <c r="I145" s="8" t="n">
        <f aca="false">SUMIFS('Source'!$G:$G,'Source'!$A:$A,"C02266 SANAFLEX L.P",'Source'!$B:$B,$A145)</f>
        <v>475.96</v>
      </c>
      <c r="J145" s="8" t="n">
        <f aca="false">I145*$J$5</f>
        <v>601.212631578947</v>
      </c>
      <c r="K145" s="8" t="n">
        <f aca="false">J145-H145</f>
        <v>310.022631578947</v>
      </c>
      <c r="L145" s="9" t="n">
        <f aca="false">IF(AND(H145=0,J145=0),0,IF(H145=0,"New",(J145-H145)/H145))</f>
        <v>1.06467471952659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942</v>
      </c>
      <c r="B146" s="7" t="str">
        <f aca="false">IFERROR(INDEX('Source'!$C:$C,MATCH($A146,'Source'!$B:$B,0)),"")</f>
        <v>סופורטר</v>
      </c>
      <c r="C146" s="8" t="n">
        <f aca="false">SUMIFS('Source'!$D:$D,'Source'!$A:$A,"C02266 SANAFLEX L.P",'Source'!$B:$B,$A146)</f>
        <v>6</v>
      </c>
      <c r="D146" s="8" t="n">
        <f aca="false">SUMIFS('Source'!$F:$F,'Source'!$A:$A,"C02266 SANAFLEX L.P",'Source'!$B:$B,$A146)</f>
        <v>0</v>
      </c>
      <c r="E146" s="8" t="n">
        <f aca="false">D146*$J$5</f>
        <v>0</v>
      </c>
      <c r="F146" s="8" t="n">
        <f aca="false">E146-C146</f>
        <v>-6</v>
      </c>
      <c r="G146" s="9" t="n">
        <f aca="false">IF(AND(C146=0,E146=0),0,IF(C146=0,"New",(E146-C146)/C146))</f>
        <v>-1</v>
      </c>
      <c r="H146" s="8" t="n">
        <f aca="false">SUMIFS('Source'!$E:$E,'Source'!$A:$A,"C02266 SANAFLEX L.P",'Source'!$B:$B,$A146)</f>
        <v>183.73</v>
      </c>
      <c r="I146" s="8" t="n">
        <f aca="false">SUMIFS('Source'!$G:$G,'Source'!$A:$A,"C02266 SANAFLEX L.P",'Source'!$B:$B,$A146)</f>
        <v>0</v>
      </c>
      <c r="J146" s="8" t="n">
        <f aca="false">I146*$J$5</f>
        <v>0</v>
      </c>
      <c r="K146" s="8" t="n">
        <f aca="false">J146-H146</f>
        <v>-183.73</v>
      </c>
      <c r="L146" s="9" t="n">
        <f aca="false">IF(AND(H146=0,J146=0),0,IF(H146=0,"New",(J146-H146)/H146))</f>
        <v>-1</v>
      </c>
      <c r="M146" s="7" t="str">
        <f aca="false">IF(AND(OR(C146&lt;&gt;0,H146&lt;&gt;0),D146=0,I146=0),"DROP",IF(AND(OR(D146&lt;&gt;0,I146&lt;&gt;0),C146=0,H146=0),"NEW",""))</f>
        <v>DROP</v>
      </c>
    </row>
    <row r="147" customFormat="false" ht="15" hidden="false" customHeight="false" outlineLevel="0" collapsed="false">
      <c r="A147" s="7" t="s">
        <v>754</v>
      </c>
      <c r="B147" s="7" t="str">
        <f aca="false">IFERROR(INDEX('Source'!$C:$C,MATCH($A147,'Source'!$B:$B,0)),"")</f>
        <v>אטלטיק טייפ</v>
      </c>
      <c r="C147" s="8" t="n">
        <f aca="false">SUMIFS('Source'!$D:$D,'Source'!$A:$A,"C02266 SANAFLEX L.P",'Source'!$B:$B,$A147)</f>
        <v>62</v>
      </c>
      <c r="D147" s="8" t="n">
        <f aca="false">SUMIFS('Source'!$F:$F,'Source'!$A:$A,"C02266 SANAFLEX L.P",'Source'!$B:$B,$A147)</f>
        <v>90</v>
      </c>
      <c r="E147" s="8" t="n">
        <f aca="false">D147*$J$5</f>
        <v>113.684210526316</v>
      </c>
      <c r="F147" s="8" t="n">
        <f aca="false">E147-C147</f>
        <v>51.6842105263158</v>
      </c>
      <c r="G147" s="9" t="n">
        <f aca="false">IF(AND(C147=0,E147=0),0,IF(C147=0,"New",(E147-C147)/C147))</f>
        <v>0.833616298811545</v>
      </c>
      <c r="H147" s="8" t="n">
        <f aca="false">SUMIFS('Source'!$E:$E,'Source'!$A:$A,"C02266 SANAFLEX L.P",'Source'!$B:$B,$A147)</f>
        <v>537.87</v>
      </c>
      <c r="I147" s="8" t="n">
        <f aca="false">SUMIFS('Source'!$G:$G,'Source'!$A:$A,"C02266 SANAFLEX L.P",'Source'!$B:$B,$A147)</f>
        <v>717.64</v>
      </c>
      <c r="J147" s="8" t="n">
        <f aca="false">I147*$J$5</f>
        <v>906.492631578947</v>
      </c>
      <c r="K147" s="8" t="n">
        <f aca="false">J147-H147</f>
        <v>368.622631578947</v>
      </c>
      <c r="L147" s="9" t="n">
        <f aca="false">IF(AND(H147=0,J147=0),0,IF(H147=0,"New",(J147-H147)/H147))</f>
        <v>0.685337779721768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176</v>
      </c>
      <c r="B148" s="7" t="str">
        <f aca="false">IFERROR(INDEX('Source'!$C:$C,MATCH($A148,'Source'!$B:$B,0)),"")</f>
        <v>חבק יד</v>
      </c>
      <c r="C148" s="8" t="n">
        <f aca="false">SUMIFS('Source'!$D:$D,'Source'!$A:$A,"C02266 SANAFLEX L.P",'Source'!$B:$B,$A148)</f>
        <v>27</v>
      </c>
      <c r="D148" s="8" t="n">
        <f aca="false">SUMIFS('Source'!$F:$F,'Source'!$A:$A,"C02266 SANAFLEX L.P",'Source'!$B:$B,$A148)</f>
        <v>15</v>
      </c>
      <c r="E148" s="8" t="n">
        <f aca="false">D148*$J$5</f>
        <v>18.9473684210526</v>
      </c>
      <c r="F148" s="8" t="n">
        <f aca="false">E148-C148</f>
        <v>-8.05263157894737</v>
      </c>
      <c r="G148" s="9" t="n">
        <f aca="false">IF(AND(C148=0,E148=0),0,IF(C148=0,"New",(E148-C148)/C148))</f>
        <v>-0.298245614035088</v>
      </c>
      <c r="H148" s="8" t="n">
        <f aca="false">SUMIFS('Source'!$E:$E,'Source'!$A:$A,"C02266 SANAFLEX L.P",'Source'!$B:$B,$A148)</f>
        <v>359.77</v>
      </c>
      <c r="I148" s="8" t="n">
        <f aca="false">SUMIFS('Source'!$G:$G,'Source'!$A:$A,"C02266 SANAFLEX L.P",'Source'!$B:$B,$A148)</f>
        <v>180.31</v>
      </c>
      <c r="J148" s="8" t="n">
        <f aca="false">I148*$J$5</f>
        <v>227.76</v>
      </c>
      <c r="K148" s="8" t="n">
        <f aca="false">J148-H148</f>
        <v>-132.01</v>
      </c>
      <c r="L148" s="9" t="n">
        <f aca="false">IF(AND(H148=0,J148=0),0,IF(H148=0,"New",(J148-H148)/H148))</f>
        <v>-0.366928871223282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943</v>
      </c>
      <c r="B149" s="7" t="str">
        <f aca="false">IFERROR(INDEX('Source'!$C:$C,MATCH($A149,'Source'!$B:$B,0)),"")</f>
        <v>סד קרסול קל שחור XL</v>
      </c>
      <c r="C149" s="8" t="n">
        <f aca="false">SUMIFS('Source'!$D:$D,'Source'!$A:$A,"C02266 SANAFLEX L.P",'Source'!$B:$B,$A149)</f>
        <v>0</v>
      </c>
      <c r="D149" s="8" t="n">
        <f aca="false">SUMIFS('Source'!$F:$F,'Source'!$A:$A,"C02266 SANAFLEX L.P",'Source'!$B:$B,$A149)</f>
        <v>3</v>
      </c>
      <c r="E149" s="8" t="n">
        <f aca="false">D149*$J$5</f>
        <v>3.78947368421053</v>
      </c>
      <c r="F149" s="8" t="n">
        <f aca="false">E149-C149</f>
        <v>3.78947368421053</v>
      </c>
      <c r="G149" s="9" t="str">
        <f aca="false">IF(AND(C149=0,E149=0),0,IF(C149=0,"New",(E149-C149)/C149))</f>
        <v>New</v>
      </c>
      <c r="H149" s="8" t="n">
        <f aca="false">SUMIFS('Source'!$E:$E,'Source'!$A:$A,"C02266 SANAFLEX L.P",'Source'!$B:$B,$A149)</f>
        <v>0</v>
      </c>
      <c r="I149" s="8" t="n">
        <f aca="false">SUMIFS('Source'!$G:$G,'Source'!$A:$A,"C02266 SANAFLEX L.P",'Source'!$B:$B,$A149)</f>
        <v>178.39</v>
      </c>
      <c r="J149" s="8" t="n">
        <f aca="false">I149*$J$5</f>
        <v>225.334736842105</v>
      </c>
      <c r="K149" s="8" t="n">
        <f aca="false">J149-H149</f>
        <v>225.334736842105</v>
      </c>
      <c r="L149" s="9" t="str">
        <f aca="false">IF(AND(H149=0,J149=0),0,IF(H149=0,"New",(J149-H149)/H149))</f>
        <v>New</v>
      </c>
      <c r="M149" s="7" t="str">
        <f aca="false">IF(AND(OR(C149&lt;&gt;0,H149&lt;&gt;0),D149=0,I149=0),"DROP",IF(AND(OR(D149&lt;&gt;0,I149&lt;&gt;0),C149=0,H149=0),"NEW",""))</f>
        <v>NEW</v>
      </c>
    </row>
    <row r="150" customFormat="false" ht="15" hidden="false" customHeight="false" outlineLevel="0" collapsed="false">
      <c r="A150" s="7" t="s">
        <v>944</v>
      </c>
      <c r="B150" s="7" t="str">
        <f aca="false">IFERROR(INDEX('Source'!$C:$C,MATCH($A150,'Source'!$B:$B,0)),"")</f>
        <v>מגן קרסול מתכוון</v>
      </c>
      <c r="C150" s="8" t="n">
        <f aca="false">SUMIFS('Source'!$D:$D,'Source'!$A:$A,"C02266 SANAFLEX L.P",'Source'!$B:$B,$A150)</f>
        <v>6</v>
      </c>
      <c r="D150" s="8" t="n">
        <f aca="false">SUMIFS('Source'!$F:$F,'Source'!$A:$A,"C02266 SANAFLEX L.P",'Source'!$B:$B,$A150)</f>
        <v>0</v>
      </c>
      <c r="E150" s="8" t="n">
        <f aca="false">D150*$J$5</f>
        <v>0</v>
      </c>
      <c r="F150" s="8" t="n">
        <f aca="false">E150-C150</f>
        <v>-6</v>
      </c>
      <c r="G150" s="9" t="n">
        <f aca="false">IF(AND(C150=0,E150=0),0,IF(C150=0,"New",(E150-C150)/C150))</f>
        <v>-1</v>
      </c>
      <c r="H150" s="8" t="n">
        <f aca="false">SUMIFS('Source'!$E:$E,'Source'!$A:$A,"C02266 SANAFLEX L.P",'Source'!$B:$B,$A150)</f>
        <v>177.85</v>
      </c>
      <c r="I150" s="8" t="n">
        <f aca="false">SUMIFS('Source'!$G:$G,'Source'!$A:$A,"C02266 SANAFLEX L.P",'Source'!$B:$B,$A150)</f>
        <v>0</v>
      </c>
      <c r="J150" s="8" t="n">
        <f aca="false">I150*$J$5</f>
        <v>0</v>
      </c>
      <c r="K150" s="8" t="n">
        <f aca="false">J150-H150</f>
        <v>-177.85</v>
      </c>
      <c r="L150" s="9" t="n">
        <f aca="false">IF(AND(H150=0,J150=0),0,IF(H150=0,"New",(J150-H150)/H150))</f>
        <v>-1</v>
      </c>
      <c r="M150" s="7" t="str">
        <f aca="false">IF(AND(OR(C150&lt;&gt;0,H150&lt;&gt;0),D150=0,I150=0),"DROP",IF(AND(OR(D150&lt;&gt;0,I150&lt;&gt;0),C150=0,H150=0),"NEW",""))</f>
        <v>DROP</v>
      </c>
    </row>
    <row r="151" customFormat="false" ht="15" hidden="false" customHeight="false" outlineLevel="0" collapsed="false">
      <c r="A151" s="7" t="s">
        <v>613</v>
      </c>
      <c r="B151" s="7" t="str">
        <f aca="false">IFERROR(INDEX('Source'!$C:$C,MATCH($A151,'Source'!$B:$B,0)),"")</f>
        <v>מגן קרסול חום</v>
      </c>
      <c r="C151" s="8" t="n">
        <f aca="false">SUMIFS('Source'!$D:$D,'Source'!$A:$A,"C02266 SANAFLEX L.P",'Source'!$B:$B,$A151)</f>
        <v>6</v>
      </c>
      <c r="D151" s="8" t="n">
        <f aca="false">SUMIFS('Source'!$F:$F,'Source'!$A:$A,"C02266 SANAFLEX L.P",'Source'!$B:$B,$A151)</f>
        <v>24</v>
      </c>
      <c r="E151" s="8" t="n">
        <f aca="false">D151*$J$5</f>
        <v>30.3157894736842</v>
      </c>
      <c r="F151" s="8" t="n">
        <f aca="false">E151-C151</f>
        <v>24.3157894736842</v>
      </c>
      <c r="G151" s="9" t="n">
        <f aca="false">IF(AND(C151=0,E151=0),0,IF(C151=0,"New",(E151-C151)/C151))</f>
        <v>4.05263157894737</v>
      </c>
      <c r="H151" s="8" t="n">
        <f aca="false">SUMIFS('Source'!$E:$E,'Source'!$A:$A,"C02266 SANAFLEX L.P",'Source'!$B:$B,$A151)</f>
        <v>59.89</v>
      </c>
      <c r="I151" s="8" t="n">
        <f aca="false">SUMIFS('Source'!$G:$G,'Source'!$A:$A,"C02266 SANAFLEX L.P",'Source'!$B:$B,$A151)</f>
        <v>223.21</v>
      </c>
      <c r="J151" s="8" t="n">
        <f aca="false">I151*$J$5</f>
        <v>281.949473684211</v>
      </c>
      <c r="K151" s="8" t="n">
        <f aca="false">J151-H151</f>
        <v>222.059473684211</v>
      </c>
      <c r="L151" s="9" t="n">
        <f aca="false">IF(AND(H151=0,J151=0),0,IF(H151=0,"New",(J151-H151)/H151))</f>
        <v>3.70778884094524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638</v>
      </c>
      <c r="B152" s="7" t="str">
        <f aca="false">IFERROR(INDEX('Source'!$C:$C,MATCH($A152,'Source'!$B:$B,0)),"")</f>
        <v>חבק יד מתכוון</v>
      </c>
      <c r="C152" s="8" t="n">
        <f aca="false">SUMIFS('Source'!$D:$D,'Source'!$A:$A,"C02266 SANAFLEX L.P",'Source'!$B:$B,$A152)</f>
        <v>60</v>
      </c>
      <c r="D152" s="8" t="n">
        <f aca="false">SUMIFS('Source'!$F:$F,'Source'!$A:$A,"C02266 SANAFLEX L.P",'Source'!$B:$B,$A152)</f>
        <v>80</v>
      </c>
      <c r="E152" s="8" t="n">
        <f aca="false">D152*$J$5</f>
        <v>101.052631578947</v>
      </c>
      <c r="F152" s="8" t="n">
        <f aca="false">E152-C152</f>
        <v>41.0526315789474</v>
      </c>
      <c r="G152" s="9" t="n">
        <f aca="false">IF(AND(C152=0,E152=0),0,IF(C152=0,"New",(E152-C152)/C152))</f>
        <v>0.68421052631579</v>
      </c>
      <c r="H152" s="8" t="n">
        <f aca="false">SUMIFS('Source'!$E:$E,'Source'!$A:$A,"C02266 SANAFLEX L.P",'Source'!$B:$B,$A152)</f>
        <v>925.58</v>
      </c>
      <c r="I152" s="8" t="n">
        <f aca="false">SUMIFS('Source'!$G:$G,'Source'!$A:$A,"C02266 SANAFLEX L.P",'Source'!$B:$B,$A152)</f>
        <v>1088.06</v>
      </c>
      <c r="J152" s="8" t="n">
        <f aca="false">I152*$J$5</f>
        <v>1374.39157894737</v>
      </c>
      <c r="K152" s="8" t="n">
        <f aca="false">J152-H152</f>
        <v>448.811578947368</v>
      </c>
      <c r="L152" s="9" t="n">
        <f aca="false">IF(AND(H152=0,J152=0),0,IF(H152=0,"New",(J152-H152)/H152))</f>
        <v>0.484897663030066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701</v>
      </c>
      <c r="B153" s="7" t="str">
        <f aca="false">IFERROR(INDEX('Source'!$C:$C,MATCH($A153,'Source'!$B:$B,0)),"")</f>
        <v>תחבושת אלסטית נצמדת צבע ירוק</v>
      </c>
      <c r="C153" s="8" t="n">
        <f aca="false">SUMIFS('Source'!$D:$D,'Source'!$A:$A,"C02266 SANAFLEX L.P",'Source'!$B:$B,$A153)</f>
        <v>50</v>
      </c>
      <c r="D153" s="8" t="n">
        <f aca="false">SUMIFS('Source'!$F:$F,'Source'!$A:$A,"C02266 SANAFLEX L.P",'Source'!$B:$B,$A153)</f>
        <v>30</v>
      </c>
      <c r="E153" s="8" t="n">
        <f aca="false">D153*$J$5</f>
        <v>37.8947368421053</v>
      </c>
      <c r="F153" s="8" t="n">
        <f aca="false">E153-C153</f>
        <v>-12.1052631578947</v>
      </c>
      <c r="G153" s="9" t="n">
        <f aca="false">IF(AND(C153=0,E153=0),0,IF(C153=0,"New",(E153-C153)/C153))</f>
        <v>-0.242105263157895</v>
      </c>
      <c r="H153" s="8" t="n">
        <f aca="false">SUMIFS('Source'!$E:$E,'Source'!$A:$A,"C02266 SANAFLEX L.P",'Source'!$B:$B,$A153)</f>
        <v>318.44</v>
      </c>
      <c r="I153" s="8" t="n">
        <f aca="false">SUMIFS('Source'!$G:$G,'Source'!$A:$A,"C02266 SANAFLEX L.P",'Source'!$B:$B,$A153)</f>
        <v>169.3</v>
      </c>
      <c r="J153" s="8" t="n">
        <f aca="false">I153*$J$5</f>
        <v>213.852631578947</v>
      </c>
      <c r="K153" s="8" t="n">
        <f aca="false">J153-H153</f>
        <v>-104.587368421053</v>
      </c>
      <c r="L153" s="9" t="n">
        <f aca="false">IF(AND(H153=0,J153=0),0,IF(H153=0,"New",(J153-H153)/H153))</f>
        <v>-0.328436655008958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522</v>
      </c>
      <c r="B154" s="7" t="str">
        <f aca="false">IFERROR(INDEX('Source'!$C:$C,MATCH($A154,'Source'!$B:$B,0)),"")</f>
        <v>מגן קרסול פתוח</v>
      </c>
      <c r="C154" s="8" t="n">
        <f aca="false">SUMIFS('Source'!$D:$D,'Source'!$A:$A,"C02266 SANAFLEX L.P",'Source'!$B:$B,$A154)</f>
        <v>20</v>
      </c>
      <c r="D154" s="8" t="n">
        <f aca="false">SUMIFS('Source'!$F:$F,'Source'!$A:$A,"C02266 SANAFLEX L.P",'Source'!$B:$B,$A154)</f>
        <v>6</v>
      </c>
      <c r="E154" s="8" t="n">
        <f aca="false">D154*$J$5</f>
        <v>7.57894736842105</v>
      </c>
      <c r="F154" s="8" t="n">
        <f aca="false">E154-C154</f>
        <v>-12.4210526315789</v>
      </c>
      <c r="G154" s="9" t="n">
        <f aca="false">IF(AND(C154=0,E154=0),0,IF(C154=0,"New",(E154-C154)/C154))</f>
        <v>-0.621052631578947</v>
      </c>
      <c r="H154" s="8" t="n">
        <f aca="false">SUMIFS('Source'!$E:$E,'Source'!$A:$A,"C02266 SANAFLEX L.P",'Source'!$B:$B,$A154)</f>
        <v>199.82</v>
      </c>
      <c r="I154" s="8" t="n">
        <f aca="false">SUMIFS('Source'!$G:$G,'Source'!$A:$A,"C02266 SANAFLEX L.P",'Source'!$B:$B,$A154)</f>
        <v>53.18</v>
      </c>
      <c r="J154" s="8" t="n">
        <f aca="false">I154*$J$5</f>
        <v>67.1747368421053</v>
      </c>
      <c r="K154" s="8" t="n">
        <f aca="false">J154-H154</f>
        <v>-132.645263157895</v>
      </c>
      <c r="L154" s="9" t="n">
        <f aca="false">IF(AND(H154=0,J154=0),0,IF(H154=0,"New",(J154-H154)/H154))</f>
        <v>-0.663823757170928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635</v>
      </c>
      <c r="B155" s="7" t="str">
        <f aca="false">IFERROR(INDEX('Source'!$C:$C,MATCH($A155,'Source'!$B:$B,0)),"")</f>
        <v>מגן קרסול חום</v>
      </c>
      <c r="C155" s="8" t="n">
        <f aca="false">SUMIFS('Source'!$D:$D,'Source'!$A:$A,"C02266 SANAFLEX L.P",'Source'!$B:$B,$A155)</f>
        <v>60</v>
      </c>
      <c r="D155" s="8" t="n">
        <f aca="false">SUMIFS('Source'!$F:$F,'Source'!$A:$A,"C02266 SANAFLEX L.P",'Source'!$B:$B,$A155)</f>
        <v>51</v>
      </c>
      <c r="E155" s="8" t="n">
        <f aca="false">D155*$J$5</f>
        <v>64.421052631579</v>
      </c>
      <c r="F155" s="8" t="n">
        <f aca="false">E155-C155</f>
        <v>4.42105263157895</v>
      </c>
      <c r="G155" s="9" t="n">
        <f aca="false">IF(AND(C155=0,E155=0),0,IF(C155=0,"New",(E155-C155)/C155))</f>
        <v>0.0736842105263158</v>
      </c>
      <c r="H155" s="8" t="n">
        <f aca="false">SUMIFS('Source'!$E:$E,'Source'!$A:$A,"C02266 SANAFLEX L.P",'Source'!$B:$B,$A155)</f>
        <v>616.44</v>
      </c>
      <c r="I155" s="8" t="n">
        <f aca="false">SUMIFS('Source'!$G:$G,'Source'!$A:$A,"C02266 SANAFLEX L.P",'Source'!$B:$B,$A155)</f>
        <v>469.84</v>
      </c>
      <c r="J155" s="8" t="n">
        <f aca="false">I155*$J$5</f>
        <v>593.482105263158</v>
      </c>
      <c r="K155" s="8" t="n">
        <f aca="false">J155-H155</f>
        <v>-22.9578947368423</v>
      </c>
      <c r="L155" s="9" t="n">
        <f aca="false">IF(AND(H155=0,J155=0),0,IF(H155=0,"New",(J155-H155)/H155))</f>
        <v>-0.0372427077036569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159</v>
      </c>
      <c r="B156" s="7" t="str">
        <f aca="false">IFERROR(INDEX('Source'!$C:$C,MATCH($A156,'Source'!$B:$B,0)),"")</f>
        <v>כרית מטטרזלי מס</v>
      </c>
      <c r="C156" s="8" t="n">
        <f aca="false">SUMIFS('Source'!$D:$D,'Source'!$A:$A,"C02266 SANAFLEX L.P",'Source'!$B:$B,$A156)</f>
        <v>6</v>
      </c>
      <c r="D156" s="8" t="n">
        <f aca="false">SUMIFS('Source'!$F:$F,'Source'!$A:$A,"C02266 SANAFLEX L.P",'Source'!$B:$B,$A156)</f>
        <v>18</v>
      </c>
      <c r="E156" s="8" t="n">
        <f aca="false">D156*$J$5</f>
        <v>22.7368421052632</v>
      </c>
      <c r="F156" s="8" t="n">
        <f aca="false">E156-C156</f>
        <v>16.7368421052632</v>
      </c>
      <c r="G156" s="9" t="n">
        <f aca="false">IF(AND(C156=0,E156=0),0,IF(C156=0,"New",(E156-C156)/C156))</f>
        <v>2.78947368421053</v>
      </c>
      <c r="H156" s="8" t="n">
        <f aca="false">SUMIFS('Source'!$E:$E,'Source'!$A:$A,"C02266 SANAFLEX L.P",'Source'!$B:$B,$A156)</f>
        <v>84.19</v>
      </c>
      <c r="I156" s="8" t="n">
        <f aca="false">SUMIFS('Source'!$G:$G,'Source'!$A:$A,"C02266 SANAFLEX L.P",'Source'!$B:$B,$A156)</f>
        <v>225.73</v>
      </c>
      <c r="J156" s="8" t="n">
        <f aca="false">I156*$J$5</f>
        <v>285.132631578947</v>
      </c>
      <c r="K156" s="8" t="n">
        <f aca="false">J156-H156</f>
        <v>200.942631578947</v>
      </c>
      <c r="L156" s="9" t="n">
        <f aca="false">IF(AND(H156=0,J156=0),0,IF(H156=0,"New",(J156-H156)/H156))</f>
        <v>2.38677552653459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901</v>
      </c>
      <c r="B157" s="7" t="str">
        <f aca="false">IFERROR(INDEX('Source'!$C:$C,MATCH($A157,'Source'!$B:$B,0)),"")</f>
        <v>ריפוד סיליקון לעקב תחתון</v>
      </c>
      <c r="C157" s="8" t="n">
        <f aca="false">SUMIFS('Source'!$D:$D,'Source'!$A:$A,"C02266 SANAFLEX L.P",'Source'!$B:$B,$A157)</f>
        <v>41</v>
      </c>
      <c r="D157" s="8" t="n">
        <f aca="false">SUMIFS('Source'!$F:$F,'Source'!$A:$A,"C02266 SANAFLEX L.P",'Source'!$B:$B,$A157)</f>
        <v>30</v>
      </c>
      <c r="E157" s="8" t="n">
        <f aca="false">D157*$J$5</f>
        <v>37.8947368421053</v>
      </c>
      <c r="F157" s="8" t="n">
        <f aca="false">E157-C157</f>
        <v>-3.10526315789474</v>
      </c>
      <c r="G157" s="9" t="n">
        <f aca="false">IF(AND(C157=0,E157=0),0,IF(C157=0,"New",(E157-C157)/C157))</f>
        <v>-0.0757381258023107</v>
      </c>
      <c r="H157" s="8" t="n">
        <f aca="false">SUMIFS('Source'!$E:$E,'Source'!$A:$A,"C02266 SANAFLEX L.P",'Source'!$B:$B,$A157)</f>
        <v>430.3</v>
      </c>
      <c r="I157" s="8" t="n">
        <f aca="false">SUMIFS('Source'!$G:$G,'Source'!$A:$A,"C02266 SANAFLEX L.P",'Source'!$B:$B,$A157)</f>
        <v>289.19</v>
      </c>
      <c r="J157" s="8" t="n">
        <f aca="false">I157*$J$5</f>
        <v>365.292631578947</v>
      </c>
      <c r="K157" s="8" t="n">
        <f aca="false">J157-H157</f>
        <v>-65.0073684210527</v>
      </c>
      <c r="L157" s="9" t="n">
        <f aca="false">IF(AND(H157=0,J157=0),0,IF(H157=0,"New",(J157-H157)/H157))</f>
        <v>-0.151074525728684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171</v>
      </c>
      <c r="B158" s="7" t="str">
        <f aca="false">IFERROR(INDEX('Source'!$C:$C,MATCH($A158,'Source'!$B:$B,0)),"")</f>
        <v>מדרס מתכוונן</v>
      </c>
      <c r="C158" s="8" t="n">
        <f aca="false">SUMIFS('Source'!$D:$D,'Source'!$A:$A,"C02266 SANAFLEX L.P",'Source'!$B:$B,$A158)</f>
        <v>165</v>
      </c>
      <c r="D158" s="8" t="n">
        <f aca="false">SUMIFS('Source'!$F:$F,'Source'!$A:$A,"C02266 SANAFLEX L.P",'Source'!$B:$B,$A158)</f>
        <v>180</v>
      </c>
      <c r="E158" s="8" t="n">
        <f aca="false">D158*$J$5</f>
        <v>227.368421052632</v>
      </c>
      <c r="F158" s="8" t="n">
        <f aca="false">E158-C158</f>
        <v>62.3684210526316</v>
      </c>
      <c r="G158" s="9" t="n">
        <f aca="false">IF(AND(C158=0,E158=0),0,IF(C158=0,"New",(E158-C158)/C158))</f>
        <v>0.37799043062201</v>
      </c>
      <c r="H158" s="8" t="n">
        <f aca="false">SUMIFS('Source'!$E:$E,'Source'!$A:$A,"C02266 SANAFLEX L.P",'Source'!$B:$B,$A158)</f>
        <v>5798.64</v>
      </c>
      <c r="I158" s="8" t="n">
        <f aca="false">SUMIFS('Source'!$G:$G,'Source'!$A:$A,"C02266 SANAFLEX L.P",'Source'!$B:$B,$A158)</f>
        <v>5658.26</v>
      </c>
      <c r="J158" s="8" t="n">
        <f aca="false">I158*$J$5</f>
        <v>7147.27578947368</v>
      </c>
      <c r="K158" s="8" t="n">
        <f aca="false">J158-H158</f>
        <v>1348.63578947368</v>
      </c>
      <c r="L158" s="9" t="n">
        <f aca="false">IF(AND(H158=0,J158=0),0,IF(H158=0,"New",(J158-H158)/H158))</f>
        <v>0.232577947496945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577</v>
      </c>
      <c r="B159" s="7" t="str">
        <f aca="false">IFERROR(INDEX('Source'!$C:$C,MATCH($A159,'Source'!$B:$B,0)),"")</f>
        <v>חגורת גב-לומבו</v>
      </c>
      <c r="C159" s="8" t="n">
        <f aca="false">SUMIFS('Source'!$D:$D,'Source'!$A:$A,"C02266 SANAFLEX L.P",'Source'!$B:$B,$A159)</f>
        <v>2</v>
      </c>
      <c r="D159" s="8" t="n">
        <f aca="false">SUMIFS('Source'!$F:$F,'Source'!$A:$A,"C02266 SANAFLEX L.P",'Source'!$B:$B,$A159)</f>
        <v>0</v>
      </c>
      <c r="E159" s="8" t="n">
        <f aca="false">D159*$J$5</f>
        <v>0</v>
      </c>
      <c r="F159" s="8" t="n">
        <f aca="false">E159-C159</f>
        <v>-2</v>
      </c>
      <c r="G159" s="9" t="n">
        <f aca="false">IF(AND(C159=0,E159=0),0,IF(C159=0,"New",(E159-C159)/C159))</f>
        <v>-1</v>
      </c>
      <c r="H159" s="8" t="n">
        <f aca="false">SUMIFS('Source'!$E:$E,'Source'!$A:$A,"C02266 SANAFLEX L.P",'Source'!$B:$B,$A159)</f>
        <v>131.71</v>
      </c>
      <c r="I159" s="8" t="n">
        <f aca="false">SUMIFS('Source'!$G:$G,'Source'!$A:$A,"C02266 SANAFLEX L.P",'Source'!$B:$B,$A159)</f>
        <v>0</v>
      </c>
      <c r="J159" s="8" t="n">
        <f aca="false">I159*$J$5</f>
        <v>0</v>
      </c>
      <c r="K159" s="8" t="n">
        <f aca="false">J159-H159</f>
        <v>-131.71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331</v>
      </c>
      <c r="B160" s="7" t="str">
        <f aca="false">IFERROR(INDEX('Source'!$C:$C,MATCH($A160,'Source'!$B:$B,0)),"")</f>
        <v>חגורת גב-לומבו</v>
      </c>
      <c r="C160" s="8" t="n">
        <f aca="false">SUMIFS('Source'!$D:$D,'Source'!$A:$A,"C02266 SANAFLEX L.P",'Source'!$B:$B,$A160)</f>
        <v>2</v>
      </c>
      <c r="D160" s="8" t="n">
        <f aca="false">SUMIFS('Source'!$F:$F,'Source'!$A:$A,"C02266 SANAFLEX L.P",'Source'!$B:$B,$A160)</f>
        <v>0</v>
      </c>
      <c r="E160" s="8" t="n">
        <f aca="false">D160*$J$5</f>
        <v>0</v>
      </c>
      <c r="F160" s="8" t="n">
        <f aca="false">E160-C160</f>
        <v>-2</v>
      </c>
      <c r="G160" s="9" t="n">
        <f aca="false">IF(AND(C160=0,E160=0),0,IF(C160=0,"New",(E160-C160)/C160))</f>
        <v>-1</v>
      </c>
      <c r="H160" s="8" t="n">
        <f aca="false">SUMIFS('Source'!$E:$E,'Source'!$A:$A,"C02266 SANAFLEX L.P",'Source'!$B:$B,$A160)</f>
        <v>131.71</v>
      </c>
      <c r="I160" s="8" t="n">
        <f aca="false">SUMIFS('Source'!$G:$G,'Source'!$A:$A,"C02266 SANAFLEX L.P",'Source'!$B:$B,$A160)</f>
        <v>0</v>
      </c>
      <c r="J160" s="8" t="n">
        <f aca="false">I160*$J$5</f>
        <v>0</v>
      </c>
      <c r="K160" s="8" t="n">
        <f aca="false">J160-H160</f>
        <v>-131.71</v>
      </c>
      <c r="L160" s="9" t="n">
        <f aca="false">IF(AND(H160=0,J160=0),0,IF(H160=0,"New",(J160-H160)/H160))</f>
        <v>-1</v>
      </c>
      <c r="M160" s="7" t="str">
        <f aca="false">IF(AND(OR(C160&lt;&gt;0,H160&lt;&gt;0),D160=0,I160=0),"DROP",IF(AND(OR(D160&lt;&gt;0,I160&lt;&gt;0),C160=0,H160=0),"NEW",""))</f>
        <v>DROP</v>
      </c>
    </row>
    <row r="161" customFormat="false" ht="15" hidden="false" customHeight="false" outlineLevel="0" collapsed="false">
      <c r="A161" s="7" t="s">
        <v>732</v>
      </c>
      <c r="B161" s="7" t="str">
        <f aca="false">IFERROR(INDEX('Source'!$C:$C,MATCH($A161,'Source'!$B:$B,0)),"")</f>
        <v>מגן ירך</v>
      </c>
      <c r="C161" s="8" t="n">
        <f aca="false">SUMIFS('Source'!$D:$D,'Source'!$A:$A,"C02266 SANAFLEX L.P",'Source'!$B:$B,$A161)</f>
        <v>28</v>
      </c>
      <c r="D161" s="8" t="n">
        <f aca="false">SUMIFS('Source'!$F:$F,'Source'!$A:$A,"C02266 SANAFLEX L.P",'Source'!$B:$B,$A161)</f>
        <v>22</v>
      </c>
      <c r="E161" s="8" t="n">
        <f aca="false">D161*$J$5</f>
        <v>27.7894736842105</v>
      </c>
      <c r="F161" s="8" t="n">
        <f aca="false">E161-C161</f>
        <v>-0.210526315789476</v>
      </c>
      <c r="G161" s="9" t="n">
        <f aca="false">IF(AND(C161=0,E161=0),0,IF(C161=0,"New",(E161-C161)/C161))</f>
        <v>-0.00751879699248129</v>
      </c>
      <c r="H161" s="8" t="n">
        <f aca="false">SUMIFS('Source'!$E:$E,'Source'!$A:$A,"C02266 SANAFLEX L.P",'Source'!$B:$B,$A161)</f>
        <v>454.61</v>
      </c>
      <c r="I161" s="8" t="n">
        <f aca="false">SUMIFS('Source'!$G:$G,'Source'!$A:$A,"C02266 SANAFLEX L.P",'Source'!$B:$B,$A161)</f>
        <v>322.96</v>
      </c>
      <c r="J161" s="8" t="n">
        <f aca="false">I161*$J$5</f>
        <v>407.949473684211</v>
      </c>
      <c r="K161" s="8" t="n">
        <f aca="false">J161-H161</f>
        <v>-46.6605263157895</v>
      </c>
      <c r="L161" s="9" t="n">
        <f aca="false">IF(AND(H161=0,J161=0),0,IF(H161=0,"New",(J161-H161)/H161))</f>
        <v>-0.10263858321592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572</v>
      </c>
      <c r="B162" s="7" t="str">
        <f aca="false">IFERROR(INDEX('Source'!$C:$C,MATCH($A162,'Source'!$B:$B,0)),"")</f>
        <v>מגן ברך רגיל</v>
      </c>
      <c r="C162" s="8" t="n">
        <f aca="false">SUMIFS('Source'!$D:$D,'Source'!$A:$A,"C02266 SANAFLEX L.P",'Source'!$B:$B,$A162)</f>
        <v>6</v>
      </c>
      <c r="D162" s="8" t="n">
        <f aca="false">SUMIFS('Source'!$F:$F,'Source'!$A:$A,"C02266 SANAFLEX L.P",'Source'!$B:$B,$A162)</f>
        <v>20</v>
      </c>
      <c r="E162" s="8" t="n">
        <f aca="false">D162*$J$5</f>
        <v>25.2631578947368</v>
      </c>
      <c r="F162" s="8" t="n">
        <f aca="false">E162-C162</f>
        <v>19.2631578947368</v>
      </c>
      <c r="G162" s="9" t="n">
        <f aca="false">IF(AND(C162=0,E162=0),0,IF(C162=0,"New",(E162-C162)/C162))</f>
        <v>3.21052631578947</v>
      </c>
      <c r="H162" s="8" t="n">
        <f aca="false">SUMIFS('Source'!$E:$E,'Source'!$A:$A,"C02266 SANAFLEX L.P",'Source'!$B:$B,$A162)</f>
        <v>59.89</v>
      </c>
      <c r="I162" s="8" t="n">
        <f aca="false">SUMIFS('Source'!$G:$G,'Source'!$A:$A,"C02266 SANAFLEX L.P",'Source'!$B:$B,$A162)</f>
        <v>189.13</v>
      </c>
      <c r="J162" s="8" t="n">
        <f aca="false">I162*$J$5</f>
        <v>238.901052631579</v>
      </c>
      <c r="K162" s="8" t="n">
        <f aca="false">J162-H162</f>
        <v>179.011052631579</v>
      </c>
      <c r="L162" s="9" t="n">
        <f aca="false">IF(AND(H162=0,J162=0),0,IF(H162=0,"New",(J162-H162)/H162))</f>
        <v>2.98899737237567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777</v>
      </c>
      <c r="B163" s="7" t="str">
        <f aca="false">IFERROR(INDEX('Source'!$C:$C,MATCH($A163,'Source'!$B:$B,0)),"")</f>
        <v>מגן ברך חום</v>
      </c>
      <c r="C163" s="8" t="n">
        <f aca="false">SUMIFS('Source'!$D:$D,'Source'!$A:$A,"C02266 SANAFLEX L.P",'Source'!$B:$B,$A163)</f>
        <v>42</v>
      </c>
      <c r="D163" s="8" t="n">
        <f aca="false">SUMIFS('Source'!$F:$F,'Source'!$A:$A,"C02266 SANAFLEX L.P",'Source'!$B:$B,$A163)</f>
        <v>33</v>
      </c>
      <c r="E163" s="8" t="n">
        <f aca="false">D163*$J$5</f>
        <v>41.6842105263158</v>
      </c>
      <c r="F163" s="8" t="n">
        <f aca="false">E163-C163</f>
        <v>-0.315789473684212</v>
      </c>
      <c r="G163" s="9" t="n">
        <f aca="false">IF(AND(C163=0,E163=0),0,IF(C163=0,"New",(E163-C163)/C163))</f>
        <v>-0.00751879699248125</v>
      </c>
      <c r="H163" s="8" t="n">
        <f aca="false">SUMIFS('Source'!$E:$E,'Source'!$A:$A,"C02266 SANAFLEX L.P",'Source'!$B:$B,$A163)</f>
        <v>431.24</v>
      </c>
      <c r="I163" s="8" t="n">
        <f aca="false">SUMIFS('Source'!$G:$G,'Source'!$A:$A,"C02266 SANAFLEX L.P",'Source'!$B:$B,$A163)</f>
        <v>305.83</v>
      </c>
      <c r="J163" s="8" t="n">
        <f aca="false">I163*$J$5</f>
        <v>386.311578947368</v>
      </c>
      <c r="K163" s="8" t="n">
        <f aca="false">J163-H163</f>
        <v>-44.9284210526316</v>
      </c>
      <c r="L163" s="9" t="n">
        <f aca="false">IF(AND(H163=0,J163=0),0,IF(H163=0,"New",(J163-H163)/H163))</f>
        <v>-0.104184261786086</v>
      </c>
      <c r="M163" s="7" t="str">
        <f aca="false">IF(AND(OR(C163&lt;&gt;0,H163&lt;&gt;0),D163=0,I163=0),"DROP",IF(AND(OR(D163&lt;&gt;0,I163&lt;&gt;0),C163=0,H163=0),"NEW",""))</f>
        <v/>
      </c>
    </row>
    <row r="164" customFormat="false" ht="15" hidden="false" customHeight="false" outlineLevel="0" collapsed="false">
      <c r="A164" s="7" t="s">
        <v>617</v>
      </c>
      <c r="B164" s="7" t="str">
        <f aca="false">IFERROR(INDEX('Source'!$C:$C,MATCH($A164,'Source'!$B:$B,0)),"")</f>
        <v>'תחבושת אלסטית נצמדת צבע בז</v>
      </c>
      <c r="C164" s="8" t="n">
        <f aca="false">SUMIFS('Source'!$D:$D,'Source'!$A:$A,"C02266 SANAFLEX L.P",'Source'!$B:$B,$A164)</f>
        <v>110</v>
      </c>
      <c r="D164" s="8" t="n">
        <f aca="false">SUMIFS('Source'!$F:$F,'Source'!$A:$A,"C02266 SANAFLEX L.P",'Source'!$B:$B,$A164)</f>
        <v>100</v>
      </c>
      <c r="E164" s="8" t="n">
        <f aca="false">D164*$J$5</f>
        <v>126.315789473684</v>
      </c>
      <c r="F164" s="8" t="n">
        <f aca="false">E164-C164</f>
        <v>16.3157894736842</v>
      </c>
      <c r="G164" s="9" t="n">
        <f aca="false">IF(AND(C164=0,E164=0),0,IF(C164=0,"New",(E164-C164)/C164))</f>
        <v>0.148325358851675</v>
      </c>
      <c r="H164" s="8" t="n">
        <f aca="false">SUMIFS('Source'!$E:$E,'Source'!$A:$A,"C02266 SANAFLEX L.P",'Source'!$B:$B,$A164)</f>
        <v>688.33</v>
      </c>
      <c r="I164" s="8" t="n">
        <f aca="false">SUMIFS('Source'!$G:$G,'Source'!$A:$A,"C02266 SANAFLEX L.P",'Source'!$B:$B,$A164)</f>
        <v>564.01</v>
      </c>
      <c r="J164" s="8" t="n">
        <f aca="false">I164*$J$5</f>
        <v>712.433684210526</v>
      </c>
      <c r="K164" s="8" t="n">
        <f aca="false">J164-H164</f>
        <v>24.1036842105262</v>
      </c>
      <c r="L164" s="9" t="n">
        <f aca="false">IF(AND(H164=0,J164=0),0,IF(H164=0,"New",(J164-H164)/H164))</f>
        <v>0.0350176284783843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725</v>
      </c>
      <c r="B165" s="7" t="str">
        <f aca="false">IFERROR(INDEX('Source'!$C:$C,MATCH($A165,'Source'!$B:$B,0)),"")</f>
        <v>בליסטר פלסטר</v>
      </c>
      <c r="C165" s="8" t="n">
        <f aca="false">SUMIFS('Source'!$D:$D,'Source'!$A:$A,"C02266 SANAFLEX L.P",'Source'!$B:$B,$A165)</f>
        <v>30</v>
      </c>
      <c r="D165" s="8" t="n">
        <f aca="false">SUMIFS('Source'!$F:$F,'Source'!$A:$A,"C02266 SANAFLEX L.P",'Source'!$B:$B,$A165)</f>
        <v>10</v>
      </c>
      <c r="E165" s="8" t="n">
        <f aca="false">D165*$J$5</f>
        <v>12.6315789473684</v>
      </c>
      <c r="F165" s="8" t="n">
        <f aca="false">E165-C165</f>
        <v>-17.3684210526316</v>
      </c>
      <c r="G165" s="9" t="n">
        <f aca="false">IF(AND(C165=0,E165=0),0,IF(C165=0,"New",(E165-C165)/C165))</f>
        <v>-0.578947368421053</v>
      </c>
      <c r="H165" s="8" t="n">
        <f aca="false">SUMIFS('Source'!$E:$E,'Source'!$A:$A,"C02266 SANAFLEX L.P",'Source'!$B:$B,$A165)</f>
        <v>181.54</v>
      </c>
      <c r="I165" s="8" t="n">
        <f aca="false">SUMIFS('Source'!$G:$G,'Source'!$A:$A,"C02266 SANAFLEX L.P",'Source'!$B:$B,$A165)</f>
        <v>57.38</v>
      </c>
      <c r="J165" s="8" t="n">
        <f aca="false">I165*$J$5</f>
        <v>72.48</v>
      </c>
      <c r="K165" s="8" t="n">
        <f aca="false">J165-H165</f>
        <v>-109.06</v>
      </c>
      <c r="L165" s="9" t="n">
        <f aca="false">IF(AND(H165=0,J165=0),0,IF(H165=0,"New",(J165-H165)/H165))</f>
        <v>-0.600749146193676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299</v>
      </c>
      <c r="B166" s="7" t="str">
        <f aca="false">IFERROR(INDEX('Source'!$C:$C,MATCH($A166,'Source'!$B:$B,0)),"")</f>
        <v>גרבי קיץ אנטיבקטריאלי שחור</v>
      </c>
      <c r="C166" s="8" t="n">
        <f aca="false">SUMIFS('Source'!$D:$D,'Source'!$A:$A,"C02266 SANAFLEX L.P",'Source'!$B:$B,$A166)</f>
        <v>0</v>
      </c>
      <c r="D166" s="8" t="n">
        <f aca="false">SUMIFS('Source'!$F:$F,'Source'!$A:$A,"C02266 SANAFLEX L.P",'Source'!$B:$B,$A166)</f>
        <v>6</v>
      </c>
      <c r="E166" s="8" t="n">
        <f aca="false">D166*$J$5</f>
        <v>7.57894736842105</v>
      </c>
      <c r="F166" s="8" t="n">
        <f aca="false">E166-C166</f>
        <v>7.57894736842105</v>
      </c>
      <c r="G166" s="9" t="str">
        <f aca="false">IF(AND(C166=0,E166=0),0,IF(C166=0,"New",(E166-C166)/C166))</f>
        <v>New</v>
      </c>
      <c r="H166" s="8" t="n">
        <f aca="false">SUMIFS('Source'!$E:$E,'Source'!$A:$A,"C02266 SANAFLEX L.P",'Source'!$B:$B,$A166)</f>
        <v>0</v>
      </c>
      <c r="I166" s="8" t="n">
        <f aca="false">SUMIFS('Source'!$G:$G,'Source'!$A:$A,"C02266 SANAFLEX L.P",'Source'!$B:$B,$A166)</f>
        <v>123.95</v>
      </c>
      <c r="J166" s="8" t="n">
        <f aca="false">I166*$J$5</f>
        <v>156.568421052632</v>
      </c>
      <c r="K166" s="8" t="n">
        <f aca="false">J166-H166</f>
        <v>156.568421052632</v>
      </c>
      <c r="L166" s="9" t="str">
        <f aca="false">IF(AND(H166=0,J166=0),0,IF(H166=0,"New",(J166-H166)/H166))</f>
        <v>New</v>
      </c>
      <c r="M166" s="7" t="str">
        <f aca="false">IF(AND(OR(C166&lt;&gt;0,H166&lt;&gt;0),D166=0,I166=0),"DROP",IF(AND(OR(D166&lt;&gt;0,I166&lt;&gt;0),C166=0,H166=0),"NEW",""))</f>
        <v>NEW</v>
      </c>
    </row>
    <row r="167" customFormat="false" ht="15" hidden="false" customHeight="false" outlineLevel="0" collapsed="false">
      <c r="A167" s="7" t="s">
        <v>556</v>
      </c>
      <c r="B167" s="7" t="str">
        <f aca="false">IFERROR(INDEX('Source'!$C:$C,MATCH($A167,'Source'!$B:$B,0)),"")</f>
        <v>מגן ברך רגיל</v>
      </c>
      <c r="C167" s="8" t="n">
        <f aca="false">SUMIFS('Source'!$D:$D,'Source'!$A:$A,"C02266 SANAFLEX L.P",'Source'!$B:$B,$A167)</f>
        <v>26</v>
      </c>
      <c r="D167" s="8" t="n">
        <f aca="false">SUMIFS('Source'!$F:$F,'Source'!$A:$A,"C02266 SANAFLEX L.P",'Source'!$B:$B,$A167)</f>
        <v>16</v>
      </c>
      <c r="E167" s="8" t="n">
        <f aca="false">D167*$J$5</f>
        <v>20.2105263157895</v>
      </c>
      <c r="F167" s="8" t="n">
        <f aca="false">E167-C167</f>
        <v>-5.78947368421053</v>
      </c>
      <c r="G167" s="9" t="n">
        <f aca="false">IF(AND(C167=0,E167=0),0,IF(C167=0,"New",(E167-C167)/C167))</f>
        <v>-0.222672064777328</v>
      </c>
      <c r="H167" s="8" t="n">
        <f aca="false">SUMIFS('Source'!$E:$E,'Source'!$A:$A,"C02266 SANAFLEX L.P",'Source'!$B:$B,$A167)</f>
        <v>268.92</v>
      </c>
      <c r="I167" s="8" t="n">
        <f aca="false">SUMIFS('Source'!$G:$G,'Source'!$A:$A,"C02266 SANAFLEX L.P",'Source'!$B:$B,$A167)</f>
        <v>151.3</v>
      </c>
      <c r="J167" s="8" t="n">
        <f aca="false">I167*$J$5</f>
        <v>191.115789473684</v>
      </c>
      <c r="K167" s="8" t="n">
        <f aca="false">J167-H167</f>
        <v>-77.8042105263158</v>
      </c>
      <c r="L167" s="9" t="n">
        <f aca="false">IF(AND(H167=0,J167=0),0,IF(H167=0,"New",(J167-H167)/H167))</f>
        <v>-0.289321026797248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766</v>
      </c>
      <c r="B168" s="7" t="str">
        <f aca="false">IFERROR(INDEX('Source'!$C:$C,MATCH($A168,'Source'!$B:$B,0)),"")</f>
        <v>מגן ברך ארוך</v>
      </c>
      <c r="C168" s="8" t="n">
        <f aca="false">SUMIFS('Source'!$D:$D,'Source'!$A:$A,"C02266 SANAFLEX L.P",'Source'!$B:$B,$A168)</f>
        <v>10</v>
      </c>
      <c r="D168" s="8" t="n">
        <f aca="false">SUMIFS('Source'!$F:$F,'Source'!$A:$A,"C02266 SANAFLEX L.P",'Source'!$B:$B,$A168)</f>
        <v>0</v>
      </c>
      <c r="E168" s="8" t="n">
        <f aca="false">D168*$J$5</f>
        <v>0</v>
      </c>
      <c r="F168" s="8" t="n">
        <f aca="false">E168-C168</f>
        <v>-10</v>
      </c>
      <c r="G168" s="9" t="n">
        <f aca="false">IF(AND(C168=0,E168=0),0,IF(C168=0,"New",(E168-C168)/C168))</f>
        <v>-1</v>
      </c>
      <c r="H168" s="8" t="n">
        <f aca="false">SUMIFS('Source'!$E:$E,'Source'!$A:$A,"C02266 SANAFLEX L.P",'Source'!$B:$B,$A168)</f>
        <v>116.51</v>
      </c>
      <c r="I168" s="8" t="n">
        <f aca="false">SUMIFS('Source'!$G:$G,'Source'!$A:$A,"C02266 SANAFLEX L.P",'Source'!$B:$B,$A168)</f>
        <v>0</v>
      </c>
      <c r="J168" s="8" t="n">
        <f aca="false">I168*$J$5</f>
        <v>0</v>
      </c>
      <c r="K168" s="8" t="n">
        <f aca="false">J168-H168</f>
        <v>-116.51</v>
      </c>
      <c r="L168" s="9" t="n">
        <f aca="false">IF(AND(H168=0,J168=0),0,IF(H168=0,"New",(J168-H168)/H168))</f>
        <v>-1</v>
      </c>
      <c r="M168" s="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false" outlineLevel="0" collapsed="false">
      <c r="A169" s="7" t="s">
        <v>560</v>
      </c>
      <c r="B169" s="7" t="str">
        <f aca="false">IFERROR(INDEX('Source'!$C:$C,MATCH($A169,'Source'!$B:$B,0)),"")</f>
        <v>מגן ברך שחור</v>
      </c>
      <c r="C169" s="8" t="n">
        <f aca="false">SUMIFS('Source'!$D:$D,'Source'!$A:$A,"C02266 SANAFLEX L.P",'Source'!$B:$B,$A169)</f>
        <v>90</v>
      </c>
      <c r="D169" s="8" t="n">
        <f aca="false">SUMIFS('Source'!$F:$F,'Source'!$A:$A,"C02266 SANAFLEX L.P",'Source'!$B:$B,$A169)</f>
        <v>90</v>
      </c>
      <c r="E169" s="8" t="n">
        <f aca="false">D169*$J$5</f>
        <v>113.684210526316</v>
      </c>
      <c r="F169" s="8" t="n">
        <f aca="false">E169-C169</f>
        <v>23.6842105263158</v>
      </c>
      <c r="G169" s="9" t="n">
        <f aca="false">IF(AND(C169=0,E169=0),0,IF(C169=0,"New",(E169-C169)/C169))</f>
        <v>0.263157894736842</v>
      </c>
      <c r="H169" s="8" t="n">
        <f aca="false">SUMIFS('Source'!$E:$E,'Source'!$A:$A,"C02266 SANAFLEX L.P",'Source'!$B:$B,$A169)</f>
        <v>992.83</v>
      </c>
      <c r="I169" s="8" t="n">
        <f aca="false">SUMIFS('Source'!$G:$G,'Source'!$A:$A,"C02266 SANAFLEX L.P",'Source'!$B:$B,$A169)</f>
        <v>879.47</v>
      </c>
      <c r="J169" s="8" t="n">
        <f aca="false">I169*$J$5</f>
        <v>1110.90947368421</v>
      </c>
      <c r="K169" s="8" t="n">
        <f aca="false">J169-H169</f>
        <v>118.07947368421</v>
      </c>
      <c r="L169" s="9" t="n">
        <f aca="false">IF(AND(H169=0,J169=0),0,IF(H169=0,"New",(J169-H169)/H169))</f>
        <v>0.118932217685012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226</v>
      </c>
      <c r="B170" s="7" t="str">
        <f aca="false">IFERROR(INDEX('Source'!$C:$C,MATCH($A170,'Source'!$B:$B,0)),"")</f>
        <v>גרבי נוחות חורף אפור</v>
      </c>
      <c r="C170" s="8" t="n">
        <f aca="false">SUMIFS('Source'!$D:$D,'Source'!$A:$A,"C02266 SANAFLEX L.P",'Source'!$B:$B,$A170)</f>
        <v>0</v>
      </c>
      <c r="D170" s="8" t="n">
        <f aca="false">SUMIFS('Source'!$F:$F,'Source'!$A:$A,"C02266 SANAFLEX L.P",'Source'!$B:$B,$A170)</f>
        <v>6</v>
      </c>
      <c r="E170" s="8" t="n">
        <f aca="false">D170*$J$5</f>
        <v>7.57894736842105</v>
      </c>
      <c r="F170" s="8" t="n">
        <f aca="false">E170-C170</f>
        <v>7.57894736842105</v>
      </c>
      <c r="G170" s="9" t="str">
        <f aca="false">IF(AND(C170=0,E170=0),0,IF(C170=0,"New",(E170-C170)/C170))</f>
        <v>New</v>
      </c>
      <c r="H170" s="8" t="n">
        <f aca="false">SUMIFS('Source'!$E:$E,'Source'!$A:$A,"C02266 SANAFLEX L.P",'Source'!$B:$B,$A170)</f>
        <v>0</v>
      </c>
      <c r="I170" s="8" t="n">
        <f aca="false">SUMIFS('Source'!$G:$G,'Source'!$A:$A,"C02266 SANAFLEX L.P",'Source'!$B:$B,$A170)</f>
        <v>111.55</v>
      </c>
      <c r="J170" s="8" t="n">
        <f aca="false">I170*$J$5</f>
        <v>140.905263157895</v>
      </c>
      <c r="K170" s="8" t="n">
        <f aca="false">J170-H170</f>
        <v>140.905263157895</v>
      </c>
      <c r="L170" s="9" t="str">
        <f aca="false">IF(AND(H170=0,J170=0),0,IF(H170=0,"New",(J170-H170)/H170))</f>
        <v>New</v>
      </c>
      <c r="M170" s="7" t="str">
        <f aca="false">IF(AND(OR(C170&lt;&gt;0,H170&lt;&gt;0),D170=0,I170=0),"DROP",IF(AND(OR(D170&lt;&gt;0,I170&lt;&gt;0),C170=0,H170=0),"NEW",""))</f>
        <v>NEW</v>
      </c>
    </row>
    <row r="171" customFormat="false" ht="15" hidden="false" customHeight="false" outlineLevel="0" collapsed="false">
      <c r="A171" s="7" t="s">
        <v>654</v>
      </c>
      <c r="B171" s="7" t="str">
        <f aca="false">IFERROR(INDEX('Source'!$C:$C,MATCH($A171,'Source'!$B:$B,0)),"")</f>
        <v>מגן יד</v>
      </c>
      <c r="C171" s="8" t="n">
        <f aca="false">SUMIFS('Source'!$D:$D,'Source'!$A:$A,"C02266 SANAFLEX L.P",'Source'!$B:$B,$A171)</f>
        <v>95</v>
      </c>
      <c r="D171" s="8" t="n">
        <f aca="false">SUMIFS('Source'!$F:$F,'Source'!$A:$A,"C02266 SANAFLEX L.P",'Source'!$B:$B,$A171)</f>
        <v>100</v>
      </c>
      <c r="E171" s="8" t="n">
        <f aca="false">D171*$J$5</f>
        <v>126.315789473684</v>
      </c>
      <c r="F171" s="8" t="n">
        <f aca="false">E171-C171</f>
        <v>31.3157894736842</v>
      </c>
      <c r="G171" s="9" t="n">
        <f aca="false">IF(AND(C171=0,E171=0),0,IF(C171=0,"New",(E171-C171)/C171))</f>
        <v>0.329639889196676</v>
      </c>
      <c r="H171" s="8" t="n">
        <f aca="false">SUMIFS('Source'!$E:$E,'Source'!$A:$A,"C02266 SANAFLEX L.P",'Source'!$B:$B,$A171)</f>
        <v>1530.75</v>
      </c>
      <c r="I171" s="8" t="n">
        <f aca="false">SUMIFS('Source'!$G:$G,'Source'!$A:$A,"C02266 SANAFLEX L.P",'Source'!$B:$B,$A171)</f>
        <v>1428.92</v>
      </c>
      <c r="J171" s="8" t="n">
        <f aca="false">I171*$J$5</f>
        <v>1804.95157894737</v>
      </c>
      <c r="K171" s="8" t="n">
        <f aca="false">J171-H171</f>
        <v>274.201578947369</v>
      </c>
      <c r="L171" s="9" t="n">
        <f aca="false">IF(AND(H171=0,J171=0),0,IF(H171=0,"New",(J171-H171)/H171))</f>
        <v>0.179128909977049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470</v>
      </c>
      <c r="B172" s="7" t="str">
        <f aca="false">IFERROR(INDEX('Source'!$C:$C,MATCH($A172,'Source'!$B:$B,0)),"")</f>
        <v>גרבי נוחות חורף שחור</v>
      </c>
      <c r="C172" s="8" t="n">
        <f aca="false">SUMIFS('Source'!$D:$D,'Source'!$A:$A,"C02266 SANAFLEX L.P",'Source'!$B:$B,$A172)</f>
        <v>10</v>
      </c>
      <c r="D172" s="8" t="n">
        <f aca="false">SUMIFS('Source'!$F:$F,'Source'!$A:$A,"C02266 SANAFLEX L.P",'Source'!$B:$B,$A172)</f>
        <v>16</v>
      </c>
      <c r="E172" s="8" t="n">
        <f aca="false">D172*$J$5</f>
        <v>20.2105263157895</v>
      </c>
      <c r="F172" s="8" t="n">
        <f aca="false">E172-C172</f>
        <v>10.2105263157895</v>
      </c>
      <c r="G172" s="9" t="n">
        <f aca="false">IF(AND(C172=0,E172=0),0,IF(C172=0,"New",(E172-C172)/C172))</f>
        <v>1.02105263157895</v>
      </c>
      <c r="H172" s="8" t="n">
        <f aca="false">SUMIFS('Source'!$E:$E,'Source'!$A:$A,"C02266 SANAFLEX L.P",'Source'!$B:$B,$A172)</f>
        <v>213.16</v>
      </c>
      <c r="I172" s="8" t="n">
        <f aca="false">SUMIFS('Source'!$G:$G,'Source'!$A:$A,"C02266 SANAFLEX L.P",'Source'!$B:$B,$A172)</f>
        <v>314.61</v>
      </c>
      <c r="J172" s="8" t="n">
        <f aca="false">I172*$J$5</f>
        <v>397.402105263158</v>
      </c>
      <c r="K172" s="8" t="n">
        <f aca="false">J172-H172</f>
        <v>184.242105263158</v>
      </c>
      <c r="L172" s="9" t="n">
        <f aca="false">IF(AND(H172=0,J172=0),0,IF(H172=0,"New",(J172-H172)/H172))</f>
        <v>0.864337142349211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905</v>
      </c>
      <c r="B173" s="7" t="str">
        <f aca="false">IFERROR(INDEX('Source'!$C:$C,MATCH($A173,'Source'!$B:$B,0)),"")</f>
        <v>מדרס סיליקון לנעלי עקב</v>
      </c>
      <c r="C173" s="8" t="n">
        <f aca="false">SUMIFS('Source'!$D:$D,'Source'!$A:$A,"C02266 SANAFLEX L.P",'Source'!$B:$B,$A173)</f>
        <v>0</v>
      </c>
      <c r="D173" s="8" t="n">
        <f aca="false">SUMIFS('Source'!$F:$F,'Source'!$A:$A,"C02266 SANAFLEX L.P",'Source'!$B:$B,$A173)</f>
        <v>6</v>
      </c>
      <c r="E173" s="8" t="n">
        <f aca="false">D173*$J$5</f>
        <v>7.57894736842105</v>
      </c>
      <c r="F173" s="8" t="n">
        <f aca="false">E173-C173</f>
        <v>7.57894736842105</v>
      </c>
      <c r="G173" s="9" t="str">
        <f aca="false">IF(AND(C173=0,E173=0),0,IF(C173=0,"New",(E173-C173)/C173))</f>
        <v>New</v>
      </c>
      <c r="H173" s="8" t="n">
        <f aca="false">SUMIFS('Source'!$E:$E,'Source'!$A:$A,"C02266 SANAFLEX L.P",'Source'!$B:$B,$A173)</f>
        <v>0</v>
      </c>
      <c r="I173" s="8" t="n">
        <f aca="false">SUMIFS('Source'!$G:$G,'Source'!$A:$A,"C02266 SANAFLEX L.P",'Source'!$B:$B,$A173)</f>
        <v>99.48</v>
      </c>
      <c r="J173" s="8" t="n">
        <f aca="false">I173*$J$5</f>
        <v>125.658947368421</v>
      </c>
      <c r="K173" s="8" t="n">
        <f aca="false">J173-H173</f>
        <v>125.658947368421</v>
      </c>
      <c r="L173" s="9" t="str">
        <f aca="false">IF(AND(H173=0,J173=0),0,IF(H173=0,"New",(J173-H173)/H173))</f>
        <v>New</v>
      </c>
      <c r="M173" s="7" t="str">
        <f aca="false">IF(AND(OR(C173&lt;&gt;0,H173&lt;&gt;0),D173=0,I173=0),"DROP",IF(AND(OR(D173&lt;&gt;0,I173&lt;&gt;0),C173=0,H173=0),"NEW",""))</f>
        <v>NEW</v>
      </c>
    </row>
    <row r="174" customFormat="false" ht="15" hidden="false" customHeight="false" outlineLevel="0" collapsed="false">
      <c r="A174" s="7" t="s">
        <v>401</v>
      </c>
      <c r="B174" s="7" t="str">
        <f aca="false">IFERROR(INDEX('Source'!$C:$C,MATCH($A174,'Source'!$B:$B,0)),"")</f>
        <v>מגן קרסול פתוח</v>
      </c>
      <c r="C174" s="8" t="n">
        <f aca="false">SUMIFS('Source'!$D:$D,'Source'!$A:$A,"C02266 SANAFLEX L.P",'Source'!$B:$B,$A174)</f>
        <v>10</v>
      </c>
      <c r="D174" s="8" t="n">
        <f aca="false">SUMIFS('Source'!$F:$F,'Source'!$A:$A,"C02266 SANAFLEX L.P",'Source'!$B:$B,$A174)</f>
        <v>0</v>
      </c>
      <c r="E174" s="8" t="n">
        <f aca="false">D174*$J$5</f>
        <v>0</v>
      </c>
      <c r="F174" s="8" t="n">
        <f aca="false">E174-C174</f>
        <v>-10</v>
      </c>
      <c r="G174" s="9" t="n">
        <f aca="false">IF(AND(C174=0,E174=0),0,IF(C174=0,"New",(E174-C174)/C174))</f>
        <v>-1</v>
      </c>
      <c r="H174" s="8" t="n">
        <f aca="false">SUMIFS('Source'!$E:$E,'Source'!$A:$A,"C02266 SANAFLEX L.P",'Source'!$B:$B,$A174)</f>
        <v>97.43</v>
      </c>
      <c r="I174" s="8" t="n">
        <f aca="false">SUMIFS('Source'!$G:$G,'Source'!$A:$A,"C02266 SANAFLEX L.P",'Source'!$B:$B,$A174)</f>
        <v>0</v>
      </c>
      <c r="J174" s="8" t="n">
        <f aca="false">I174*$J$5</f>
        <v>0</v>
      </c>
      <c r="K174" s="8" t="n">
        <f aca="false">J174-H174</f>
        <v>-97.43</v>
      </c>
      <c r="L174" s="9" t="n">
        <f aca="false">IF(AND(H174=0,J174=0),0,IF(H174=0,"New",(J174-H174)/H174))</f>
        <v>-1</v>
      </c>
      <c r="M174" s="7" t="str">
        <f aca="false">IF(AND(OR(C174&lt;&gt;0,H174&lt;&gt;0),D174=0,I174=0),"DROP",IF(AND(OR(D174&lt;&gt;0,I174&lt;&gt;0),C174=0,H174=0),"NEW",""))</f>
        <v>DROP</v>
      </c>
    </row>
    <row r="175" customFormat="false" ht="15" hidden="false" customHeight="false" outlineLevel="0" collapsed="false">
      <c r="A175" s="7" t="s">
        <v>605</v>
      </c>
      <c r="B175" s="7" t="str">
        <f aca="false">IFERROR(INDEX('Source'!$C:$C,MATCH($A175,'Source'!$B:$B,0)),"")</f>
        <v>מגן קרסול חום</v>
      </c>
      <c r="C175" s="8" t="n">
        <f aca="false">SUMIFS('Source'!$D:$D,'Source'!$A:$A,"C02266 SANAFLEX L.P",'Source'!$B:$B,$A175)</f>
        <v>100</v>
      </c>
      <c r="D175" s="8" t="n">
        <f aca="false">SUMIFS('Source'!$F:$F,'Source'!$A:$A,"C02266 SANAFLEX L.P",'Source'!$B:$B,$A175)</f>
        <v>120</v>
      </c>
      <c r="E175" s="8" t="n">
        <f aca="false">D175*$J$5</f>
        <v>151.578947368421</v>
      </c>
      <c r="F175" s="8" t="n">
        <f aca="false">E175-C175</f>
        <v>51.578947368421</v>
      </c>
      <c r="G175" s="9" t="n">
        <f aca="false">IF(AND(C175=0,E175=0),0,IF(C175=0,"New",(E175-C175)/C175))</f>
        <v>0.51578947368421</v>
      </c>
      <c r="H175" s="8" t="n">
        <f aca="false">SUMIFS('Source'!$E:$E,'Source'!$A:$A,"C02266 SANAFLEX L.P",'Source'!$B:$B,$A175)</f>
        <v>1024.84</v>
      </c>
      <c r="I175" s="8" t="n">
        <f aca="false">SUMIFS('Source'!$G:$G,'Source'!$A:$A,"C02266 SANAFLEX L.P",'Source'!$B:$B,$A175)</f>
        <v>1120.49</v>
      </c>
      <c r="J175" s="8" t="n">
        <f aca="false">I175*$J$5</f>
        <v>1415.35578947368</v>
      </c>
      <c r="K175" s="8" t="n">
        <f aca="false">J175-H175</f>
        <v>390.515789473684</v>
      </c>
      <c r="L175" s="9" t="n">
        <f aca="false">IF(AND(H175=0,J175=0),0,IF(H175=0,"New",(J175-H175)/H175))</f>
        <v>0.381050495173573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590</v>
      </c>
      <c r="B176" s="7" t="str">
        <f aca="false">IFERROR(INDEX('Source'!$C:$C,MATCH($A176,'Source'!$B:$B,0)),"")</f>
        <v>רפידת אנטי-ריח</v>
      </c>
      <c r="C176" s="8" t="n">
        <f aca="false">SUMIFS('Source'!$D:$D,'Source'!$A:$A,"C02266 SANAFLEX L.P",'Source'!$B:$B,$A176)</f>
        <v>155</v>
      </c>
      <c r="D176" s="8" t="n">
        <f aca="false">SUMIFS('Source'!$F:$F,'Source'!$A:$A,"C02266 SANAFLEX L.P",'Source'!$B:$B,$A176)</f>
        <v>185</v>
      </c>
      <c r="E176" s="8" t="n">
        <f aca="false">D176*$J$5</f>
        <v>233.684210526316</v>
      </c>
      <c r="F176" s="8" t="n">
        <f aca="false">E176-C176</f>
        <v>78.6842105263158</v>
      </c>
      <c r="G176" s="9" t="n">
        <f aca="false">IF(AND(C176=0,E176=0),0,IF(C176=0,"New",(E176-C176)/C176))</f>
        <v>0.507640067911715</v>
      </c>
      <c r="H176" s="8" t="n">
        <f aca="false">SUMIFS('Source'!$E:$E,'Source'!$A:$A,"C02266 SANAFLEX L.P",'Source'!$B:$B,$A176)</f>
        <v>1090.36</v>
      </c>
      <c r="I176" s="8" t="n">
        <f aca="false">SUMIFS('Source'!$G:$G,'Source'!$A:$A,"C02266 SANAFLEX L.P",'Source'!$B:$B,$A176)</f>
        <v>1182.72</v>
      </c>
      <c r="J176" s="8" t="n">
        <f aca="false">I176*$J$5</f>
        <v>1493.96210526316</v>
      </c>
      <c r="K176" s="8" t="n">
        <f aca="false">J176-H176</f>
        <v>403.602105263158</v>
      </c>
      <c r="L176" s="9" t="n">
        <f aca="false">IF(AND(H176=0,J176=0),0,IF(H176=0,"New",(J176-H176)/H176))</f>
        <v>0.370154907794818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795</v>
      </c>
      <c r="B177" s="7" t="str">
        <f aca="false">IFERROR(INDEX('Source'!$C:$C,MATCH($A177,'Source'!$B:$B,0)),"")</f>
        <v>מגן יד</v>
      </c>
      <c r="C177" s="8" t="n">
        <f aca="false">SUMIFS('Source'!$D:$D,'Source'!$A:$A,"C02266 SANAFLEX L.P",'Source'!$B:$B,$A177)</f>
        <v>210</v>
      </c>
      <c r="D177" s="8" t="n">
        <f aca="false">SUMIFS('Source'!$F:$F,'Source'!$A:$A,"C02266 SANAFLEX L.P",'Source'!$B:$B,$A177)</f>
        <v>240</v>
      </c>
      <c r="E177" s="8" t="n">
        <f aca="false">D177*$J$5</f>
        <v>303.157894736842</v>
      </c>
      <c r="F177" s="8" t="n">
        <f aca="false">E177-C177</f>
        <v>93.1578947368421</v>
      </c>
      <c r="G177" s="9" t="n">
        <f aca="false">IF(AND(C177=0,E177=0),0,IF(C177=0,"New",(E177-C177)/C177))</f>
        <v>0.443609022556391</v>
      </c>
      <c r="H177" s="8" t="n">
        <f aca="false">SUMIFS('Source'!$E:$E,'Source'!$A:$A,"C02266 SANAFLEX L.P",'Source'!$B:$B,$A177)</f>
        <v>3379.54</v>
      </c>
      <c r="I177" s="8" t="n">
        <f aca="false">SUMIFS('Source'!$G:$G,'Source'!$A:$A,"C02266 SANAFLEX L.P",'Source'!$B:$B,$A177)</f>
        <v>3470.39</v>
      </c>
      <c r="J177" s="8" t="n">
        <f aca="false">I177*$J$5</f>
        <v>4383.65052631579</v>
      </c>
      <c r="K177" s="8" t="n">
        <f aca="false">J177-H177</f>
        <v>1004.11052631579</v>
      </c>
      <c r="L177" s="9" t="n">
        <f aca="false">IF(AND(H177=0,J177=0),0,IF(H177=0,"New",(J177-H177)/H177))</f>
        <v>0.297114555920566</v>
      </c>
      <c r="M177" s="7" t="str">
        <f aca="false">IF(AND(OR(C177&lt;&gt;0,H177&lt;&gt;0),D177=0,I177=0),"DROP",IF(AND(OR(D177&lt;&gt;0,I177&lt;&gt;0),C177=0,H177=0),"NEW",""))</f>
        <v/>
      </c>
    </row>
    <row r="178" customFormat="false" ht="15" hidden="false" customHeight="false" outlineLevel="0" collapsed="false">
      <c r="A178" s="7" t="s">
        <v>416</v>
      </c>
      <c r="B178" s="7" t="str">
        <f aca="false">IFERROR(INDEX('Source'!$C:$C,MATCH($A178,'Source'!$B:$B,0)),"")</f>
        <v>קינזיולוגי טייפ</v>
      </c>
      <c r="C178" s="8" t="n">
        <f aca="false">SUMIFS('Source'!$D:$D,'Source'!$A:$A,"C02266 SANAFLEX L.P",'Source'!$B:$B,$A178)</f>
        <v>20</v>
      </c>
      <c r="D178" s="8" t="n">
        <f aca="false">SUMIFS('Source'!$F:$F,'Source'!$A:$A,"C02266 SANAFLEX L.P",'Source'!$B:$B,$A178)</f>
        <v>30</v>
      </c>
      <c r="E178" s="8" t="n">
        <f aca="false">D178*$J$5</f>
        <v>37.8947368421053</v>
      </c>
      <c r="F178" s="8" t="n">
        <f aca="false">E178-C178</f>
        <v>17.8947368421053</v>
      </c>
      <c r="G178" s="9" t="n">
        <f aca="false">IF(AND(C178=0,E178=0),0,IF(C178=0,"New",(E178-C178)/C178))</f>
        <v>0.894736842105263</v>
      </c>
      <c r="H178" s="8" t="n">
        <f aca="false">SUMIFS('Source'!$E:$E,'Source'!$A:$A,"C02266 SANAFLEX L.P",'Source'!$B:$B,$A178)</f>
        <v>250.68</v>
      </c>
      <c r="I178" s="8" t="n">
        <f aca="false">SUMIFS('Source'!$G:$G,'Source'!$A:$A,"C02266 SANAFLEX L.P",'Source'!$B:$B,$A178)</f>
        <v>339.2</v>
      </c>
      <c r="J178" s="8" t="n">
        <f aca="false">I178*$J$5</f>
        <v>428.463157894737</v>
      </c>
      <c r="K178" s="8" t="n">
        <f aca="false">J178-H178</f>
        <v>177.783157894737</v>
      </c>
      <c r="L178" s="9" t="n">
        <f aca="false">IF(AND(H178=0,J178=0),0,IF(H178=0,"New",(J178-H178)/H178))</f>
        <v>0.70920359779295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761</v>
      </c>
      <c r="B179" s="7" t="str">
        <f aca="false">IFERROR(INDEX('Source'!$C:$C,MATCH($A179,'Source'!$B:$B,0)),"")</f>
        <v>תחבושת אלסטית נצמדת צבע וורוד</v>
      </c>
      <c r="C179" s="8" t="n">
        <f aca="false">SUMIFS('Source'!$D:$D,'Source'!$A:$A,"C02266 SANAFLEX L.P",'Source'!$B:$B,$A179)</f>
        <v>41</v>
      </c>
      <c r="D179" s="8" t="n">
        <f aca="false">SUMIFS('Source'!$F:$F,'Source'!$A:$A,"C02266 SANAFLEX L.P",'Source'!$B:$B,$A179)</f>
        <v>30</v>
      </c>
      <c r="E179" s="8" t="n">
        <f aca="false">D179*$J$5</f>
        <v>37.8947368421053</v>
      </c>
      <c r="F179" s="8" t="n">
        <f aca="false">E179-C179</f>
        <v>-3.10526315789474</v>
      </c>
      <c r="G179" s="9" t="n">
        <f aca="false">IF(AND(C179=0,E179=0),0,IF(C179=0,"New",(E179-C179)/C179))</f>
        <v>-0.0757381258023107</v>
      </c>
      <c r="H179" s="8" t="n">
        <f aca="false">SUMIFS('Source'!$E:$E,'Source'!$A:$A,"C02266 SANAFLEX L.P",'Source'!$B:$B,$A179)</f>
        <v>255.66</v>
      </c>
      <c r="I179" s="8" t="n">
        <f aca="false">SUMIFS('Source'!$G:$G,'Source'!$A:$A,"C02266 SANAFLEX L.P",'Source'!$B:$B,$A179)</f>
        <v>169.3</v>
      </c>
      <c r="J179" s="8" t="n">
        <f aca="false">I179*$J$5</f>
        <v>213.852631578947</v>
      </c>
      <c r="K179" s="8" t="n">
        <f aca="false">J179-H179</f>
        <v>-41.8073684210526</v>
      </c>
      <c r="L179" s="9" t="n">
        <f aca="false">IF(AND(H179=0,J179=0),0,IF(H179=0,"New",(J179-H179)/H179))</f>
        <v>-0.163527217480453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296</v>
      </c>
      <c r="B180" s="7" t="str">
        <f aca="false">IFERROR(INDEX('Source'!$C:$C,MATCH($A180,'Source'!$B:$B,0)),"")</f>
        <v>קינזיולוגי טייפ</v>
      </c>
      <c r="C180" s="8" t="n">
        <f aca="false">SUMIFS('Source'!$D:$D,'Source'!$A:$A,"C02266 SANAFLEX L.P",'Source'!$B:$B,$A180)</f>
        <v>30</v>
      </c>
      <c r="D180" s="8" t="n">
        <f aca="false">SUMIFS('Source'!$F:$F,'Source'!$A:$A,"C02266 SANAFLEX L.P",'Source'!$B:$B,$A180)</f>
        <v>40</v>
      </c>
      <c r="E180" s="8" t="n">
        <f aca="false">D180*$J$5</f>
        <v>50.5263157894737</v>
      </c>
      <c r="F180" s="8" t="n">
        <f aca="false">E180-C180</f>
        <v>20.5263157894737</v>
      </c>
      <c r="G180" s="9" t="n">
        <f aca="false">IF(AND(C180=0,E180=0),0,IF(C180=0,"New",(E180-C180)/C180))</f>
        <v>0.68421052631579</v>
      </c>
      <c r="H180" s="8" t="n">
        <f aca="false">SUMIFS('Source'!$E:$E,'Source'!$A:$A,"C02266 SANAFLEX L.P",'Source'!$B:$B,$A180)</f>
        <v>359.51</v>
      </c>
      <c r="I180" s="8" t="n">
        <f aca="false">SUMIFS('Source'!$G:$G,'Source'!$A:$A,"C02266 SANAFLEX L.P",'Source'!$B:$B,$A180)</f>
        <v>445.09</v>
      </c>
      <c r="J180" s="8" t="n">
        <f aca="false">I180*$J$5</f>
        <v>562.218947368421</v>
      </c>
      <c r="K180" s="8" t="n">
        <f aca="false">J180-H180</f>
        <v>202.708947368421</v>
      </c>
      <c r="L180" s="9" t="n">
        <f aca="false">IF(AND(H180=0,J180=0),0,IF(H180=0,"New",(J180-H180)/H180))</f>
        <v>0.563847868956138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616</v>
      </c>
      <c r="B181" s="7" t="str">
        <f aca="false">IFERROR(INDEX('Source'!$C:$C,MATCH($A181,'Source'!$B:$B,0)),"")</f>
        <v>מגן קרסול סגור</v>
      </c>
      <c r="C181" s="8" t="n">
        <f aca="false">SUMIFS('Source'!$D:$D,'Source'!$A:$A,"C02266 SANAFLEX L.P",'Source'!$B:$B,$A181)</f>
        <v>16</v>
      </c>
      <c r="D181" s="8" t="n">
        <f aca="false">SUMIFS('Source'!$F:$F,'Source'!$A:$A,"C02266 SANAFLEX L.P",'Source'!$B:$B,$A181)</f>
        <v>22</v>
      </c>
      <c r="E181" s="8" t="n">
        <f aca="false">D181*$J$5</f>
        <v>27.7894736842105</v>
      </c>
      <c r="F181" s="8" t="n">
        <f aca="false">E181-C181</f>
        <v>11.7894736842105</v>
      </c>
      <c r="G181" s="9" t="n">
        <f aca="false">IF(AND(C181=0,E181=0),0,IF(C181=0,"New",(E181-C181)/C181))</f>
        <v>0.736842105263158</v>
      </c>
      <c r="H181" s="8" t="n">
        <f aca="false">SUMIFS('Source'!$E:$E,'Source'!$A:$A,"C02266 SANAFLEX L.P",'Source'!$B:$B,$A181)</f>
        <v>330.11</v>
      </c>
      <c r="I181" s="8" t="n">
        <f aca="false">SUMIFS('Source'!$G:$G,'Source'!$A:$A,"C02266 SANAFLEX L.P",'Source'!$B:$B,$A181)</f>
        <v>412.9</v>
      </c>
      <c r="J181" s="8" t="n">
        <f aca="false">I181*$J$5</f>
        <v>521.557894736842</v>
      </c>
      <c r="K181" s="8" t="n">
        <f aca="false">J181-H181</f>
        <v>191.447894736842</v>
      </c>
      <c r="L181" s="9" t="n">
        <f aca="false">IF(AND(H181=0,J181=0),0,IF(H181=0,"New",(J181-H181)/H181))</f>
        <v>0.579951818293424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597</v>
      </c>
      <c r="B182" s="7" t="str">
        <f aca="false">IFERROR(INDEX('Source'!$C:$C,MATCH($A182,'Source'!$B:$B,0)),"")</f>
        <v>מגן קרסול סגור</v>
      </c>
      <c r="C182" s="8" t="n">
        <f aca="false">SUMIFS('Source'!$D:$D,'Source'!$A:$A,"C02266 SANAFLEX L.P",'Source'!$B:$B,$A182)</f>
        <v>65</v>
      </c>
      <c r="D182" s="8" t="n">
        <f aca="false">SUMIFS('Source'!$F:$F,'Source'!$A:$A,"C02266 SANAFLEX L.P",'Source'!$B:$B,$A182)</f>
        <v>76</v>
      </c>
      <c r="E182" s="8" t="n">
        <f aca="false">D182*$J$5</f>
        <v>96</v>
      </c>
      <c r="F182" s="8" t="n">
        <f aca="false">E182-C182</f>
        <v>31</v>
      </c>
      <c r="G182" s="9" t="n">
        <f aca="false">IF(AND(C182=0,E182=0),0,IF(C182=0,"New",(E182-C182)/C182))</f>
        <v>0.476923076923077</v>
      </c>
      <c r="H182" s="8" t="n">
        <f aca="false">SUMIFS('Source'!$E:$E,'Source'!$A:$A,"C02266 SANAFLEX L.P",'Source'!$B:$B,$A182)</f>
        <v>1357.65</v>
      </c>
      <c r="I182" s="8" t="n">
        <f aca="false">SUMIFS('Source'!$G:$G,'Source'!$A:$A,"C02266 SANAFLEX L.P",'Source'!$B:$B,$A182)</f>
        <v>1434.7</v>
      </c>
      <c r="J182" s="8" t="n">
        <f aca="false">I182*$J$5</f>
        <v>1812.25263157895</v>
      </c>
      <c r="K182" s="8" t="n">
        <f aca="false">J182-H182</f>
        <v>454.602631578947</v>
      </c>
      <c r="L182" s="9" t="n">
        <f aca="false">IF(AND(H182=0,J182=0),0,IF(H182=0,"New",(J182-H182)/H182))</f>
        <v>0.334845233733987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464</v>
      </c>
      <c r="B183" s="7" t="str">
        <f aca="false">IFERROR(INDEX('Source'!$C:$C,MATCH($A183,'Source'!$B:$B,0)),"")</f>
        <v>מגן קרסול שחור</v>
      </c>
      <c r="C183" s="8" t="n">
        <f aca="false">SUMIFS('Source'!$D:$D,'Source'!$A:$A,"C02266 SANAFLEX L.P",'Source'!$B:$B,$A183)</f>
        <v>35</v>
      </c>
      <c r="D183" s="8" t="n">
        <f aca="false">SUMIFS('Source'!$F:$F,'Source'!$A:$A,"C02266 SANAFLEX L.P",'Source'!$B:$B,$A183)</f>
        <v>31</v>
      </c>
      <c r="E183" s="8" t="n">
        <f aca="false">D183*$J$5</f>
        <v>39.1578947368421</v>
      </c>
      <c r="F183" s="8" t="n">
        <f aca="false">E183-C183</f>
        <v>4.1578947368421</v>
      </c>
      <c r="G183" s="9" t="n">
        <f aca="false">IF(AND(C183=0,E183=0),0,IF(C183=0,"New",(E183-C183)/C183))</f>
        <v>0.118796992481203</v>
      </c>
      <c r="H183" s="8" t="n">
        <f aca="false">SUMIFS('Source'!$E:$E,'Source'!$A:$A,"C02266 SANAFLEX L.P",'Source'!$B:$B,$A183)</f>
        <v>385.93</v>
      </c>
      <c r="I183" s="8" t="n">
        <f aca="false">SUMIFS('Source'!$G:$G,'Source'!$A:$A,"C02266 SANAFLEX L.P",'Source'!$B:$B,$A183)</f>
        <v>308.96</v>
      </c>
      <c r="J183" s="8" t="n">
        <f aca="false">I183*$J$5</f>
        <v>390.265263157895</v>
      </c>
      <c r="K183" s="8" t="n">
        <f aca="false">J183-H183</f>
        <v>4.3352631578947</v>
      </c>
      <c r="L183" s="9" t="n">
        <f aca="false">IF(AND(H183=0,J183=0),0,IF(H183=0,"New",(J183-H183)/H183))</f>
        <v>0.0112332888293077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468</v>
      </c>
      <c r="B184" s="7" t="str">
        <f aca="false">IFERROR(INDEX('Source'!$C:$C,MATCH($A184,'Source'!$B:$B,0)),"")</f>
        <v>גרבי נוחות חורף אפור</v>
      </c>
      <c r="C184" s="8" t="n">
        <f aca="false">SUMIFS('Source'!$D:$D,'Source'!$A:$A,"C02266 SANAFLEX L.P",'Source'!$B:$B,$A184)</f>
        <v>12</v>
      </c>
      <c r="D184" s="8" t="n">
        <f aca="false">SUMIFS('Source'!$F:$F,'Source'!$A:$A,"C02266 SANAFLEX L.P",'Source'!$B:$B,$A184)</f>
        <v>10</v>
      </c>
      <c r="E184" s="8" t="n">
        <f aca="false">D184*$J$5</f>
        <v>12.6315789473684</v>
      </c>
      <c r="F184" s="8" t="n">
        <f aca="false">E184-C184</f>
        <v>0.631578947368421</v>
      </c>
      <c r="G184" s="9" t="n">
        <f aca="false">IF(AND(C184=0,E184=0),0,IF(C184=0,"New",(E184-C184)/C184))</f>
        <v>0.0526315789473684</v>
      </c>
      <c r="H184" s="8" t="n">
        <f aca="false">SUMIFS('Source'!$E:$E,'Source'!$A:$A,"C02266 SANAFLEX L.P",'Source'!$B:$B,$A184)</f>
        <v>251.12</v>
      </c>
      <c r="I184" s="8" t="n">
        <f aca="false">SUMIFS('Source'!$G:$G,'Source'!$A:$A,"C02266 SANAFLEX L.P",'Source'!$B:$B,$A184)</f>
        <v>178.07</v>
      </c>
      <c r="J184" s="8" t="n">
        <f aca="false">I184*$J$5</f>
        <v>224.930526315789</v>
      </c>
      <c r="K184" s="8" t="n">
        <f aca="false">J184-H184</f>
        <v>-26.1894736842106</v>
      </c>
      <c r="L184" s="9" t="n">
        <f aca="false">IF(AND(H184=0,J184=0),0,IF(H184=0,"New",(J184-H184)/H184))</f>
        <v>-0.104290672523935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688</v>
      </c>
      <c r="B185" s="7" t="str">
        <f aca="false">IFERROR(INDEX('Source'!$C:$C,MATCH($A185,'Source'!$B:$B,0)),"")</f>
        <v>מגן ברך ארוך</v>
      </c>
      <c r="C185" s="8" t="n">
        <f aca="false">SUMIFS('Source'!$D:$D,'Source'!$A:$A,"C02266 SANAFLEX L.P",'Source'!$B:$B,$A185)</f>
        <v>6</v>
      </c>
      <c r="D185" s="8" t="n">
        <f aca="false">SUMIFS('Source'!$F:$F,'Source'!$A:$A,"C02266 SANAFLEX L.P",'Source'!$B:$B,$A185)</f>
        <v>0</v>
      </c>
      <c r="E185" s="8" t="n">
        <f aca="false">D185*$J$5</f>
        <v>0</v>
      </c>
      <c r="F185" s="8" t="n">
        <f aca="false">E185-C185</f>
        <v>-6</v>
      </c>
      <c r="G185" s="9" t="n">
        <f aca="false">IF(AND(C185=0,E185=0),0,IF(C185=0,"New",(E185-C185)/C185))</f>
        <v>-1</v>
      </c>
      <c r="H185" s="8" t="n">
        <f aca="false">SUMIFS('Source'!$E:$E,'Source'!$A:$A,"C02266 SANAFLEX L.P",'Source'!$B:$B,$A185)</f>
        <v>69.91</v>
      </c>
      <c r="I185" s="8" t="n">
        <f aca="false">SUMIFS('Source'!$G:$G,'Source'!$A:$A,"C02266 SANAFLEX L.P",'Source'!$B:$B,$A185)</f>
        <v>0</v>
      </c>
      <c r="J185" s="8" t="n">
        <f aca="false">I185*$J$5</f>
        <v>0</v>
      </c>
      <c r="K185" s="8" t="n">
        <f aca="false">J185-H185</f>
        <v>-69.91</v>
      </c>
      <c r="L185" s="9" t="n">
        <f aca="false">IF(AND(H185=0,J185=0),0,IF(H185=0,"New",(J185-H185)/H185))</f>
        <v>-1</v>
      </c>
      <c r="M185" s="7" t="str">
        <f aca="false">IF(AND(OR(C185&lt;&gt;0,H185&lt;&gt;0),D185=0,I185=0),"DROP",IF(AND(OR(D185&lt;&gt;0,I185&lt;&gt;0),C185=0,H185=0),"NEW",""))</f>
        <v>DROP</v>
      </c>
    </row>
    <row r="186" customFormat="false" ht="15" hidden="false" customHeight="false" outlineLevel="0" collapsed="false">
      <c r="A186" s="7" t="s">
        <v>677</v>
      </c>
      <c r="B186" s="7" t="str">
        <f aca="false">IFERROR(INDEX('Source'!$C:$C,MATCH($A186,'Source'!$B:$B,0)),"")</f>
        <v>מגן ברך ארוך</v>
      </c>
      <c r="C186" s="8" t="n">
        <f aca="false">SUMIFS('Source'!$D:$D,'Source'!$A:$A,"C02266 SANAFLEX L.P",'Source'!$B:$B,$A186)</f>
        <v>6</v>
      </c>
      <c r="D186" s="8" t="n">
        <f aca="false">SUMIFS('Source'!$F:$F,'Source'!$A:$A,"C02266 SANAFLEX L.P",'Source'!$B:$B,$A186)</f>
        <v>0</v>
      </c>
      <c r="E186" s="8" t="n">
        <f aca="false">D186*$J$5</f>
        <v>0</v>
      </c>
      <c r="F186" s="8" t="n">
        <f aca="false">E186-C186</f>
        <v>-6</v>
      </c>
      <c r="G186" s="9" t="n">
        <f aca="false">IF(AND(C186=0,E186=0),0,IF(C186=0,"New",(E186-C186)/C186))</f>
        <v>-1</v>
      </c>
      <c r="H186" s="8" t="n">
        <f aca="false">SUMIFS('Source'!$E:$E,'Source'!$A:$A,"C02266 SANAFLEX L.P",'Source'!$B:$B,$A186)</f>
        <v>69.91</v>
      </c>
      <c r="I186" s="8" t="n">
        <f aca="false">SUMIFS('Source'!$G:$G,'Source'!$A:$A,"C02266 SANAFLEX L.P",'Source'!$B:$B,$A186)</f>
        <v>0</v>
      </c>
      <c r="J186" s="8" t="n">
        <f aca="false">I186*$J$5</f>
        <v>0</v>
      </c>
      <c r="K186" s="8" t="n">
        <f aca="false">J186-H186</f>
        <v>-69.91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374</v>
      </c>
      <c r="B187" s="7" t="str">
        <f aca="false">IFERROR(INDEX('Source'!$C:$C,MATCH($A187,'Source'!$B:$B,0)),"")</f>
        <v>אטלטיק טייפ</v>
      </c>
      <c r="C187" s="8" t="n">
        <f aca="false">SUMIFS('Source'!$D:$D,'Source'!$A:$A,"C02266 SANAFLEX L.P",'Source'!$B:$B,$A187)</f>
        <v>56</v>
      </c>
      <c r="D187" s="8" t="n">
        <f aca="false">SUMIFS('Source'!$F:$F,'Source'!$A:$A,"C02266 SANAFLEX L.P",'Source'!$B:$B,$A187)</f>
        <v>70</v>
      </c>
      <c r="E187" s="8" t="n">
        <f aca="false">D187*$J$5</f>
        <v>88.421052631579</v>
      </c>
      <c r="F187" s="8" t="n">
        <f aca="false">E187-C187</f>
        <v>32.4210526315789</v>
      </c>
      <c r="G187" s="9" t="n">
        <f aca="false">IF(AND(C187=0,E187=0),0,IF(C187=0,"New",(E187-C187)/C187))</f>
        <v>0.578947368421053</v>
      </c>
      <c r="H187" s="8" t="n">
        <f aca="false">SUMIFS('Source'!$E:$E,'Source'!$A:$A,"C02266 SANAFLEX L.P",'Source'!$B:$B,$A187)</f>
        <v>501.97</v>
      </c>
      <c r="I187" s="8" t="n">
        <f aca="false">SUMIFS('Source'!$G:$G,'Source'!$A:$A,"C02266 SANAFLEX L.P",'Source'!$B:$B,$A187)</f>
        <v>557.96</v>
      </c>
      <c r="J187" s="8" t="n">
        <f aca="false">I187*$J$5</f>
        <v>704.791578947368</v>
      </c>
      <c r="K187" s="8" t="n">
        <f aca="false">J187-H187</f>
        <v>202.821578947368</v>
      </c>
      <c r="L187" s="9" t="n">
        <f aca="false">IF(AND(H187=0,J187=0),0,IF(H187=0,"New",(J187-H187)/H187))</f>
        <v>0.404051196181781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627</v>
      </c>
      <c r="B188" s="7" t="str">
        <f aca="false">IFERROR(INDEX('Source'!$C:$C,MATCH($A188,'Source'!$B:$B,0)),"")</f>
        <v>תחבושת אלסטית נצמדת צבע שחור</v>
      </c>
      <c r="C188" s="8" t="n">
        <f aca="false">SUMIFS('Source'!$D:$D,'Source'!$A:$A,"C02266 SANAFLEX L.P",'Source'!$B:$B,$A188)</f>
        <v>90</v>
      </c>
      <c r="D188" s="8" t="n">
        <f aca="false">SUMIFS('Source'!$F:$F,'Source'!$A:$A,"C02266 SANAFLEX L.P",'Source'!$B:$B,$A188)</f>
        <v>90</v>
      </c>
      <c r="E188" s="8" t="n">
        <f aca="false">D188*$J$5</f>
        <v>113.684210526316</v>
      </c>
      <c r="F188" s="8" t="n">
        <f aca="false">E188-C188</f>
        <v>23.6842105263158</v>
      </c>
      <c r="G188" s="9" t="n">
        <f aca="false">IF(AND(C188=0,E188=0),0,IF(C188=0,"New",(E188-C188)/C188))</f>
        <v>0.263157894736842</v>
      </c>
      <c r="H188" s="8" t="n">
        <f aca="false">SUMIFS('Source'!$E:$E,'Source'!$A:$A,"C02266 SANAFLEX L.P",'Source'!$B:$B,$A188)</f>
        <v>561.79</v>
      </c>
      <c r="I188" s="8" t="n">
        <f aca="false">SUMIFS('Source'!$G:$G,'Source'!$A:$A,"C02266 SANAFLEX L.P",'Source'!$B:$B,$A188)</f>
        <v>506.31</v>
      </c>
      <c r="J188" s="8" t="n">
        <f aca="false">I188*$J$5</f>
        <v>639.549473684211</v>
      </c>
      <c r="K188" s="8" t="n">
        <f aca="false">J188-H188</f>
        <v>77.7594736842106</v>
      </c>
      <c r="L188" s="9" t="n">
        <f aca="false">IF(AND(H188=0,J188=0),0,IF(H188=0,"New",(J188-H188)/H188))</f>
        <v>0.138413773267966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280</v>
      </c>
      <c r="B189" s="7" t="str">
        <f aca="false">IFERROR(INDEX('Source'!$C:$C,MATCH($A189,'Source'!$B:$B,0)),"")</f>
        <v>מ.ברך</v>
      </c>
      <c r="C189" s="8" t="n">
        <f aca="false">SUMIFS('Source'!$D:$D,'Source'!$A:$A,"C02266 SANAFLEX L.P",'Source'!$B:$B,$A189)</f>
        <v>3</v>
      </c>
      <c r="D189" s="8" t="n">
        <f aca="false">SUMIFS('Source'!$F:$F,'Source'!$A:$A,"C02266 SANAFLEX L.P",'Source'!$B:$B,$A189)</f>
        <v>0</v>
      </c>
      <c r="E189" s="8" t="n">
        <f aca="false">D189*$J$5</f>
        <v>0</v>
      </c>
      <c r="F189" s="8" t="n">
        <f aca="false">E189-C189</f>
        <v>-3</v>
      </c>
      <c r="G189" s="9" t="n">
        <f aca="false">IF(AND(C189=0,E189=0),0,IF(C189=0,"New",(E189-C189)/C189))</f>
        <v>-1</v>
      </c>
      <c r="H189" s="8" t="n">
        <f aca="false">SUMIFS('Source'!$E:$E,'Source'!$A:$A,"C02266 SANAFLEX L.P",'Source'!$B:$B,$A189)</f>
        <v>51.57</v>
      </c>
      <c r="I189" s="8" t="n">
        <f aca="false">SUMIFS('Source'!$G:$G,'Source'!$A:$A,"C02266 SANAFLEX L.P",'Source'!$B:$B,$A189)</f>
        <v>0</v>
      </c>
      <c r="J189" s="8" t="n">
        <f aca="false">I189*$J$5</f>
        <v>0</v>
      </c>
      <c r="K189" s="8" t="n">
        <f aca="false">J189-H189</f>
        <v>-51.57</v>
      </c>
      <c r="L189" s="9" t="n">
        <f aca="false">IF(AND(H189=0,J189=0),0,IF(H189=0,"New",(J189-H189)/H189))</f>
        <v>-1</v>
      </c>
      <c r="M189" s="7" t="str">
        <f aca="false">IF(AND(OR(C189&lt;&gt;0,H189&lt;&gt;0),D189=0,I189=0),"DROP",IF(AND(OR(D189&lt;&gt;0,I189&lt;&gt;0),C189=0,H189=0),"NEW",""))</f>
        <v>DROP</v>
      </c>
    </row>
    <row r="190" customFormat="false" ht="15" hidden="false" customHeight="false" outlineLevel="0" collapsed="false">
      <c r="A190" s="7" t="s">
        <v>811</v>
      </c>
      <c r="B190" s="7" t="str">
        <f aca="false">IFERROR(INDEX('Source'!$C:$C,MATCH($A190,'Source'!$B:$B,0)),"")</f>
        <v>מגן מרפק שחור</v>
      </c>
      <c r="C190" s="8" t="n">
        <f aca="false">SUMIFS('Source'!$D:$D,'Source'!$A:$A,"C02266 SANAFLEX L.P",'Source'!$B:$B,$A190)</f>
        <v>6</v>
      </c>
      <c r="D190" s="8" t="n">
        <f aca="false">SUMIFS('Source'!$F:$F,'Source'!$A:$A,"C02266 SANAFLEX L.P",'Source'!$B:$B,$A190)</f>
        <v>12</v>
      </c>
      <c r="E190" s="8" t="n">
        <f aca="false">D190*$J$5</f>
        <v>15.1578947368421</v>
      </c>
      <c r="F190" s="8" t="n">
        <f aca="false">E190-C190</f>
        <v>9.1578947368421</v>
      </c>
      <c r="G190" s="9" t="n">
        <f aca="false">IF(AND(C190=0,E190=0),0,IF(C190=0,"New",(E190-C190)/C190))</f>
        <v>1.52631578947368</v>
      </c>
      <c r="H190" s="8" t="n">
        <f aca="false">SUMIFS('Source'!$E:$E,'Source'!$A:$A,"C02266 SANAFLEX L.P",'Source'!$B:$B,$A190)</f>
        <v>68.97</v>
      </c>
      <c r="I190" s="8" t="n">
        <f aca="false">SUMIFS('Source'!$G:$G,'Source'!$A:$A,"C02266 SANAFLEX L.P",'Source'!$B:$B,$A190)</f>
        <v>113.95</v>
      </c>
      <c r="J190" s="8" t="n">
        <f aca="false">I190*$J$5</f>
        <v>143.936842105263</v>
      </c>
      <c r="K190" s="8" t="n">
        <f aca="false">J190-H190</f>
        <v>74.9668421052632</v>
      </c>
      <c r="L190" s="9" t="n">
        <f aca="false">IF(AND(H190=0,J190=0),0,IF(H190=0,"New",(J190-H190)/H190))</f>
        <v>1.08694855886999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342</v>
      </c>
      <c r="B191" s="7" t="str">
        <f aca="false">IFERROR(INDEX('Source'!$C:$C,MATCH($A191,'Source'!$B:$B,0)),"")</f>
        <v>מדרס מג'ל</v>
      </c>
      <c r="C191" s="8" t="n">
        <f aca="false">SUMIFS('Source'!$D:$D,'Source'!$A:$A,"C02266 SANAFLEX L.P",'Source'!$B:$B,$A191)</f>
        <v>90</v>
      </c>
      <c r="D191" s="8" t="n">
        <f aca="false">SUMIFS('Source'!$F:$F,'Source'!$A:$A,"C02266 SANAFLEX L.P",'Source'!$B:$B,$A191)</f>
        <v>100</v>
      </c>
      <c r="E191" s="8" t="n">
        <f aca="false">D191*$J$5</f>
        <v>126.315789473684</v>
      </c>
      <c r="F191" s="8" t="n">
        <f aca="false">E191-C191</f>
        <v>36.3157894736842</v>
      </c>
      <c r="G191" s="9" t="n">
        <f aca="false">IF(AND(C191=0,E191=0),0,IF(C191=0,"New",(E191-C191)/C191))</f>
        <v>0.403508771929825</v>
      </c>
      <c r="H191" s="8" t="n">
        <f aca="false">SUMIFS('Source'!$E:$E,'Source'!$A:$A,"C02266 SANAFLEX L.P",'Source'!$B:$B,$A191)</f>
        <v>2320.98</v>
      </c>
      <c r="I191" s="8" t="n">
        <f aca="false">SUMIFS('Source'!$G:$G,'Source'!$A:$A,"C02266 SANAFLEX L.P",'Source'!$B:$B,$A191)</f>
        <v>2361.52</v>
      </c>
      <c r="J191" s="8" t="n">
        <f aca="false">I191*$J$5</f>
        <v>2982.97263157895</v>
      </c>
      <c r="K191" s="8" t="n">
        <f aca="false">J191-H191</f>
        <v>661.992631578947</v>
      </c>
      <c r="L191" s="9" t="n">
        <f aca="false">IF(AND(H191=0,J191=0),0,IF(H191=0,"New",(J191-H191)/H191))</f>
        <v>0.285221170186278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945</v>
      </c>
      <c r="B192" s="7" t="str">
        <f aca="false">IFERROR(INDEX('Source'!$C:$C,MATCH($A192,'Source'!$B:$B,0)),"")</f>
        <v>מגן מרפק</v>
      </c>
      <c r="C192" s="8" t="n">
        <f aca="false">SUMIFS('Source'!$D:$D,'Source'!$A:$A,"C02266 SANAFLEX L.P",'Source'!$B:$B,$A192)</f>
        <v>2</v>
      </c>
      <c r="D192" s="8" t="n">
        <f aca="false">SUMIFS('Source'!$F:$F,'Source'!$A:$A,"C02266 SANAFLEX L.P",'Source'!$B:$B,$A192)</f>
        <v>0</v>
      </c>
      <c r="E192" s="8" t="n">
        <f aca="false">D192*$J$5</f>
        <v>0</v>
      </c>
      <c r="F192" s="8" t="n">
        <f aca="false">E192-C192</f>
        <v>-2</v>
      </c>
      <c r="G192" s="9" t="n">
        <f aca="false">IF(AND(C192=0,E192=0),0,IF(C192=0,"New",(E192-C192)/C192))</f>
        <v>-1</v>
      </c>
      <c r="H192" s="8" t="n">
        <f aca="false">SUMIFS('Source'!$E:$E,'Source'!$A:$A,"C02266 SANAFLEX L.P",'Source'!$B:$B,$A192)</f>
        <v>35.61</v>
      </c>
      <c r="I192" s="8" t="n">
        <f aca="false">SUMIFS('Source'!$G:$G,'Source'!$A:$A,"C02266 SANAFLEX L.P",'Source'!$B:$B,$A192)</f>
        <v>0</v>
      </c>
      <c r="J192" s="8" t="n">
        <f aca="false">I192*$J$5</f>
        <v>0</v>
      </c>
      <c r="K192" s="8" t="n">
        <f aca="false">J192-H192</f>
        <v>-35.61</v>
      </c>
      <c r="L192" s="9" t="n">
        <f aca="false">IF(AND(H192=0,J192=0),0,IF(H192=0,"New",(J192-H192)/H192))</f>
        <v>-1</v>
      </c>
      <c r="M192" s="7" t="str">
        <f aca="false">IF(AND(OR(C192&lt;&gt;0,H192&lt;&gt;0),D192=0,I192=0),"DROP",IF(AND(OR(D192&lt;&gt;0,I192&lt;&gt;0),C192=0,H192=0),"NEW",""))</f>
        <v>DROP</v>
      </c>
    </row>
    <row r="193" customFormat="false" ht="15" hidden="false" customHeight="false" outlineLevel="0" collapsed="false">
      <c r="A193" s="7" t="s">
        <v>907</v>
      </c>
      <c r="B193" s="7" t="str">
        <f aca="false">IFERROR(INDEX('Source'!$C:$C,MATCH($A193,'Source'!$B:$B,0)),"")</f>
        <v>ריפוד סיליקון לנעלי אצבע</v>
      </c>
      <c r="C193" s="8" t="n">
        <f aca="false">SUMIFS('Source'!$D:$D,'Source'!$A:$A,"C02266 SANAFLEX L.P",'Source'!$B:$B,$A193)</f>
        <v>6</v>
      </c>
      <c r="D193" s="8" t="n">
        <f aca="false">SUMIFS('Source'!$F:$F,'Source'!$A:$A,"C02266 SANAFLEX L.P",'Source'!$B:$B,$A193)</f>
        <v>10</v>
      </c>
      <c r="E193" s="8" t="n">
        <f aca="false">D193*$J$5</f>
        <v>12.6315789473684</v>
      </c>
      <c r="F193" s="8" t="n">
        <f aca="false">E193-C193</f>
        <v>6.63157894736842</v>
      </c>
      <c r="G193" s="9" t="n">
        <f aca="false">IF(AND(C193=0,E193=0),0,IF(C193=0,"New",(E193-C193)/C193))</f>
        <v>1.10526315789474</v>
      </c>
      <c r="H193" s="8" t="n">
        <f aca="false">SUMIFS('Source'!$E:$E,'Source'!$A:$A,"C02266 SANAFLEX L.P",'Source'!$B:$B,$A193)</f>
        <v>74.14</v>
      </c>
      <c r="I193" s="8" t="n">
        <f aca="false">SUMIFS('Source'!$G:$G,'Source'!$A:$A,"C02266 SANAFLEX L.P",'Source'!$B:$B,$A193)</f>
        <v>107.46</v>
      </c>
      <c r="J193" s="8" t="n">
        <f aca="false">I193*$J$5</f>
        <v>135.738947368421</v>
      </c>
      <c r="K193" s="8" t="n">
        <f aca="false">J193-H193</f>
        <v>61.598947368421</v>
      </c>
      <c r="L193" s="9" t="n">
        <f aca="false">IF(AND(H193=0,J193=0),0,IF(H193=0,"New",(J193-H193)/H193))</f>
        <v>0.830846336234435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618</v>
      </c>
      <c r="B194" s="7" t="str">
        <f aca="false">IFERROR(INDEX('Source'!$C:$C,MATCH($A194,'Source'!$B:$B,0)),"")</f>
        <v>מגן קרסול חום</v>
      </c>
      <c r="C194" s="8" t="n">
        <f aca="false">SUMIFS('Source'!$D:$D,'Source'!$A:$A,"C02266 SANAFLEX L.P",'Source'!$B:$B,$A194)</f>
        <v>135</v>
      </c>
      <c r="D194" s="8" t="n">
        <f aca="false">SUMIFS('Source'!$F:$F,'Source'!$A:$A,"C02266 SANAFLEX L.P",'Source'!$B:$B,$A194)</f>
        <v>150</v>
      </c>
      <c r="E194" s="8" t="n">
        <f aca="false">D194*$J$5</f>
        <v>189.473684210526</v>
      </c>
      <c r="F194" s="8" t="n">
        <f aca="false">E194-C194</f>
        <v>54.4736842105263</v>
      </c>
      <c r="G194" s="9" t="n">
        <f aca="false">IF(AND(C194=0,E194=0),0,IF(C194=0,"New",(E194-C194)/C194))</f>
        <v>0.403508771929824</v>
      </c>
      <c r="H194" s="8" t="n">
        <f aca="false">SUMIFS('Source'!$E:$E,'Source'!$A:$A,"C02266 SANAFLEX L.P",'Source'!$B:$B,$A194)</f>
        <v>1378.31</v>
      </c>
      <c r="I194" s="8" t="n">
        <f aca="false">SUMIFS('Source'!$G:$G,'Source'!$A:$A,"C02266 SANAFLEX L.P",'Source'!$B:$B,$A194)</f>
        <v>1404.19</v>
      </c>
      <c r="J194" s="8" t="n">
        <f aca="false">I194*$J$5</f>
        <v>1773.71368421053</v>
      </c>
      <c r="K194" s="8" t="n">
        <f aca="false">J194-H194</f>
        <v>395.403684210526</v>
      </c>
      <c r="L194" s="9" t="n">
        <f aca="false">IF(AND(H194=0,J194=0),0,IF(H194=0,"New",(J194-H194)/H194))</f>
        <v>0.286875727674127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566</v>
      </c>
      <c r="B195" s="7" t="str">
        <f aca="false">IFERROR(INDEX('Source'!$C:$C,MATCH($A195,'Source'!$B:$B,0)),"")</f>
        <v>רפידת מגבת כותנה</v>
      </c>
      <c r="C195" s="8" t="n">
        <f aca="false">SUMIFS('Source'!$D:$D,'Source'!$A:$A,"C02266 SANAFLEX L.P",'Source'!$B:$B,$A195)</f>
        <v>100</v>
      </c>
      <c r="D195" s="8" t="n">
        <f aca="false">SUMIFS('Source'!$F:$F,'Source'!$A:$A,"C02266 SANAFLEX L.P",'Source'!$B:$B,$A195)</f>
        <v>110</v>
      </c>
      <c r="E195" s="8" t="n">
        <f aca="false">D195*$J$5</f>
        <v>138.947368421053</v>
      </c>
      <c r="F195" s="8" t="n">
        <f aca="false">E195-C195</f>
        <v>38.9473684210526</v>
      </c>
      <c r="G195" s="9" t="n">
        <f aca="false">IF(AND(C195=0,E195=0),0,IF(C195=0,"New",(E195-C195)/C195))</f>
        <v>0.389473684210526</v>
      </c>
      <c r="H195" s="8" t="n">
        <f aca="false">SUMIFS('Source'!$E:$E,'Source'!$A:$A,"C02266 SANAFLEX L.P",'Source'!$B:$B,$A195)</f>
        <v>613.89</v>
      </c>
      <c r="I195" s="8" t="n">
        <f aca="false">SUMIFS('Source'!$G:$G,'Source'!$A:$A,"C02266 SANAFLEX L.P",'Source'!$B:$B,$A195)</f>
        <v>588.8</v>
      </c>
      <c r="J195" s="8" t="n">
        <f aca="false">I195*$J$5</f>
        <v>743.747368421053</v>
      </c>
      <c r="K195" s="8" t="n">
        <f aca="false">J195-H195</f>
        <v>129.857368421053</v>
      </c>
      <c r="L195" s="9" t="n">
        <f aca="false">IF(AND(H195=0,J195=0),0,IF(H195=0,"New",(J195-H195)/H195))</f>
        <v>0.211531981985458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341</v>
      </c>
      <c r="B196" s="7" t="str">
        <f aca="false">IFERROR(INDEX('Source'!$C:$C,MATCH($A196,'Source'!$B:$B,0)),"")</f>
        <v>מגן קרסול סגור</v>
      </c>
      <c r="C196" s="8" t="n">
        <f aca="false">SUMIFS('Source'!$D:$D,'Source'!$A:$A,"C02266 SANAFLEX L.P",'Source'!$B:$B,$A196)</f>
        <v>6</v>
      </c>
      <c r="D196" s="8" t="n">
        <f aca="false">SUMIFS('Source'!$F:$F,'Source'!$A:$A,"C02266 SANAFLEX L.P",'Source'!$B:$B,$A196)</f>
        <v>6</v>
      </c>
      <c r="E196" s="8" t="n">
        <f aca="false">D196*$J$5</f>
        <v>7.57894736842105</v>
      </c>
      <c r="F196" s="8" t="n">
        <f aca="false">E196-C196</f>
        <v>1.57894736842105</v>
      </c>
      <c r="G196" s="9" t="n">
        <f aca="false">IF(AND(C196=0,E196=0),0,IF(C196=0,"New",(E196-C196)/C196))</f>
        <v>0.263157894736842</v>
      </c>
      <c r="H196" s="8" t="n">
        <f aca="false">SUMIFS('Source'!$E:$E,'Source'!$A:$A,"C02266 SANAFLEX L.P",'Source'!$B:$B,$A196)</f>
        <v>133.49</v>
      </c>
      <c r="I196" s="8" t="n">
        <f aca="false">SUMIFS('Source'!$G:$G,'Source'!$A:$A,"C02266 SANAFLEX L.P",'Source'!$B:$B,$A196)</f>
        <v>115.4</v>
      </c>
      <c r="J196" s="8" t="n">
        <f aca="false">I196*$J$5</f>
        <v>145.768421052632</v>
      </c>
      <c r="K196" s="8" t="n">
        <f aca="false">J196-H196</f>
        <v>12.2784210526316</v>
      </c>
      <c r="L196" s="9" t="n">
        <f aca="false">IF(AND(H196=0,J196=0),0,IF(H196=0,"New",(J196-H196)/H196))</f>
        <v>0.0919800812992101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735</v>
      </c>
      <c r="B197" s="7" t="str">
        <f aca="false">IFERROR(INDEX('Source'!$C:$C,MATCH($A197,'Source'!$B:$B,0)),"")</f>
        <v>רפידה בולמת זעזועים</v>
      </c>
      <c r="C197" s="8" t="n">
        <f aca="false">SUMIFS('Source'!$D:$D,'Source'!$A:$A,"C02266 SANAFLEX L.P",'Source'!$B:$B,$A197)</f>
        <v>65</v>
      </c>
      <c r="D197" s="8" t="n">
        <f aca="false">SUMIFS('Source'!$F:$F,'Source'!$A:$A,"C02266 SANAFLEX L.P",'Source'!$B:$B,$A197)</f>
        <v>70</v>
      </c>
      <c r="E197" s="8" t="n">
        <f aca="false">D197*$J$5</f>
        <v>88.421052631579</v>
      </c>
      <c r="F197" s="8" t="n">
        <f aca="false">E197-C197</f>
        <v>23.4210526315789</v>
      </c>
      <c r="G197" s="9" t="n">
        <f aca="false">IF(AND(C197=0,E197=0),0,IF(C197=0,"New",(E197-C197)/C197))</f>
        <v>0.360323886639676</v>
      </c>
      <c r="H197" s="8" t="n">
        <f aca="false">SUMIFS('Source'!$E:$E,'Source'!$A:$A,"C02266 SANAFLEX L.P",'Source'!$B:$B,$A197)</f>
        <v>552.9</v>
      </c>
      <c r="I197" s="8" t="n">
        <f aca="false">SUMIFS('Source'!$G:$G,'Source'!$A:$A,"C02266 SANAFLEX L.P",'Source'!$B:$B,$A197)</f>
        <v>539.09</v>
      </c>
      <c r="J197" s="8" t="n">
        <f aca="false">I197*$J$5</f>
        <v>680.955789473684</v>
      </c>
      <c r="K197" s="8" t="n">
        <f aca="false">J197-H197</f>
        <v>128.055789473684</v>
      </c>
      <c r="L197" s="9" t="n">
        <f aca="false">IF(AND(H197=0,J197=0),0,IF(H197=0,"New",(J197-H197)/H197))</f>
        <v>0.231607504926178</v>
      </c>
      <c r="M197" s="7" t="str">
        <f aca="false">IF(AND(OR(C197&lt;&gt;0,H197&lt;&gt;0),D197=0,I197=0),"DROP",IF(AND(OR(D197&lt;&gt;0,I197&lt;&gt;0),C197=0,H197=0),"NEW",""))</f>
        <v/>
      </c>
    </row>
    <row r="198" customFormat="false" ht="15" hidden="false" customHeight="false" outlineLevel="0" collapsed="false">
      <c r="A198" s="7" t="s">
        <v>661</v>
      </c>
      <c r="B198" s="7" t="str">
        <f aca="false">IFERROR(INDEX('Source'!$C:$C,MATCH($A198,'Source'!$B:$B,0)),"")</f>
        <v>רפידת נוחות</v>
      </c>
      <c r="C198" s="8" t="n">
        <f aca="false">SUMIFS('Source'!$D:$D,'Source'!$A:$A,"C02266 SANAFLEX L.P",'Source'!$B:$B,$A198)</f>
        <v>110</v>
      </c>
      <c r="D198" s="8" t="n">
        <f aca="false">SUMIFS('Source'!$F:$F,'Source'!$A:$A,"C02266 SANAFLEX L.P",'Source'!$B:$B,$A198)</f>
        <v>120</v>
      </c>
      <c r="E198" s="8" t="n">
        <f aca="false">D198*$J$5</f>
        <v>151.578947368421</v>
      </c>
      <c r="F198" s="8" t="n">
        <f aca="false">E198-C198</f>
        <v>41.578947368421</v>
      </c>
      <c r="G198" s="9" t="n">
        <f aca="false">IF(AND(C198=0,E198=0),0,IF(C198=0,"New",(E198-C198)/C198))</f>
        <v>0.37799043062201</v>
      </c>
      <c r="H198" s="8" t="n">
        <f aca="false">SUMIFS('Source'!$E:$E,'Source'!$A:$A,"C02266 SANAFLEX L.P",'Source'!$B:$B,$A198)</f>
        <v>682.52</v>
      </c>
      <c r="I198" s="8" t="n">
        <f aca="false">SUMIFS('Source'!$G:$G,'Source'!$A:$A,"C02266 SANAFLEX L.P",'Source'!$B:$B,$A198)</f>
        <v>675.87</v>
      </c>
      <c r="J198" s="8" t="n">
        <f aca="false">I198*$J$5</f>
        <v>853.73052631579</v>
      </c>
      <c r="K198" s="8" t="n">
        <f aca="false">J198-H198</f>
        <v>171.210526315789</v>
      </c>
      <c r="L198" s="9" t="n">
        <f aca="false">IF(AND(H198=0,J198=0),0,IF(H198=0,"New",(J198-H198)/H198))</f>
        <v>0.250850563083557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946</v>
      </c>
      <c r="B199" s="7" t="str">
        <f aca="false">IFERROR(INDEX('Source'!$C:$C,MATCH($A199,'Source'!$B:$B,0)),"")</f>
        <v>סטנד שחור URIEL  מתפרק גב</v>
      </c>
      <c r="C199" s="8" t="n">
        <f aca="false">SUMIFS('Source'!$D:$D,'Source'!$A:$A,"C02266 SANAFLEX L.P",'Source'!$B:$B,$A199)</f>
        <v>16</v>
      </c>
      <c r="D199" s="8" t="n">
        <f aca="false">SUMIFS('Source'!$F:$F,'Source'!$A:$A,"C02266 SANAFLEX L.P",'Source'!$B:$B,$A199)</f>
        <v>0</v>
      </c>
      <c r="E199" s="8" t="n">
        <f aca="false">D199*$J$5</f>
        <v>0</v>
      </c>
      <c r="F199" s="8" t="n">
        <f aca="false">E199-C199</f>
        <v>-16</v>
      </c>
      <c r="G199" s="9" t="n">
        <f aca="false">IF(AND(C199=0,E199=0),0,IF(C199=0,"New",(E199-C199)/C199))</f>
        <v>-1</v>
      </c>
      <c r="H199" s="8" t="n">
        <f aca="false">SUMIFS('Source'!$E:$E,'Source'!$A:$A,"C02266 SANAFLEX L.P",'Source'!$B:$B,$A199)</f>
        <v>0.57</v>
      </c>
      <c r="I199" s="8" t="n">
        <f aca="false">SUMIFS('Source'!$G:$G,'Source'!$A:$A,"C02266 SANAFLEX L.P",'Source'!$B:$B,$A199)</f>
        <v>0</v>
      </c>
      <c r="J199" s="8" t="n">
        <f aca="false">I199*$J$5</f>
        <v>0</v>
      </c>
      <c r="K199" s="8" t="n">
        <f aca="false">J199-H199</f>
        <v>-0.57</v>
      </c>
      <c r="L199" s="9" t="n">
        <f aca="false">IF(AND(H199=0,J199=0),0,IF(H199=0,"New",(J199-H199)/H199))</f>
        <v>-1</v>
      </c>
      <c r="M199" s="7" t="str">
        <f aca="false">IF(AND(OR(C199&lt;&gt;0,H199&lt;&gt;0),D199=0,I199=0),"DROP",IF(AND(OR(D199&lt;&gt;0,I199&lt;&gt;0),C199=0,H199=0),"NEW",""))</f>
        <v>DROP</v>
      </c>
    </row>
    <row r="200" customFormat="false" ht="15" hidden="false" customHeight="false" outlineLevel="0" collapsed="false">
      <c r="A200" s="7" t="s">
        <v>583</v>
      </c>
      <c r="B200" s="7" t="str">
        <f aca="false">IFERROR(INDEX('Source'!$C:$C,MATCH($A200,'Source'!$B:$B,0)),"")</f>
        <v>גרבי חורף אנטיבקטריאלי לבן</v>
      </c>
      <c r="C200" s="8" t="n">
        <f aca="false">SUMIFS('Source'!$D:$D,'Source'!$A:$A,"C02266 SANAFLEX L.P",'Source'!$B:$B,$A200)</f>
        <v>1</v>
      </c>
      <c r="D200" s="8" t="n">
        <f aca="false">SUMIFS('Source'!$F:$F,'Source'!$A:$A,"C02266 SANAFLEX L.P",'Source'!$B:$B,$A200)</f>
        <v>0</v>
      </c>
      <c r="E200" s="8" t="n">
        <f aca="false">D200*$J$5</f>
        <v>0</v>
      </c>
      <c r="F200" s="8" t="n">
        <f aca="false">E200-C200</f>
        <v>-1</v>
      </c>
      <c r="G200" s="9" t="n">
        <f aca="false">IF(AND(C200=0,E200=0),0,IF(C200=0,"New",(E200-C200)/C200))</f>
        <v>-1</v>
      </c>
      <c r="H200" s="8" t="n">
        <f aca="false">SUMIFS('Source'!$E:$E,'Source'!$A:$A,"C02266 SANAFLEX L.P",'Source'!$B:$B,$A200)</f>
        <v>0.04</v>
      </c>
      <c r="I200" s="8" t="n">
        <f aca="false">SUMIFS('Source'!$G:$G,'Source'!$A:$A,"C02266 SANAFLEX L.P",'Source'!$B:$B,$A200)</f>
        <v>0</v>
      </c>
      <c r="J200" s="8" t="n">
        <f aca="false">I200*$J$5</f>
        <v>0</v>
      </c>
      <c r="K200" s="8" t="n">
        <f aca="false">J200-H200</f>
        <v>-0.04</v>
      </c>
      <c r="L200" s="9" t="n">
        <f aca="false">IF(AND(H200=0,J200=0),0,IF(H200=0,"New",(J200-H200)/H200))</f>
        <v>-1</v>
      </c>
      <c r="M200" s="7" t="str">
        <f aca="false">IF(AND(OR(C200&lt;&gt;0,H200&lt;&gt;0),D200=0,I200=0),"DROP",IF(AND(OR(D200&lt;&gt;0,I200&lt;&gt;0),C200=0,H200=0),"NEW",""))</f>
        <v>DROP</v>
      </c>
    </row>
    <row r="201" customFormat="false" ht="15" hidden="false" customHeight="false" outlineLevel="0" collapsed="false">
      <c r="A201" s="7" t="s">
        <v>106</v>
      </c>
      <c r="B201" s="7" t="str">
        <f aca="false">IFERROR(INDEX('Source'!$C:$C,MATCH($A201,'Source'!$B:$B,0)),"")</f>
        <v>גרבי נסיעות אנטיבקטריאלי</v>
      </c>
      <c r="C201" s="8" t="n">
        <f aca="false">SUMIFS('Source'!$D:$D,'Source'!$A:$A,"C02266 SANAFLEX L.P",'Source'!$B:$B,$A201)</f>
        <v>1</v>
      </c>
      <c r="D201" s="8" t="n">
        <f aca="false">SUMIFS('Source'!$F:$F,'Source'!$A:$A,"C02266 SANAFLEX L.P",'Source'!$B:$B,$A201)</f>
        <v>0</v>
      </c>
      <c r="E201" s="8" t="n">
        <f aca="false">D201*$J$5</f>
        <v>0</v>
      </c>
      <c r="F201" s="8" t="n">
        <f aca="false">E201-C201</f>
        <v>-1</v>
      </c>
      <c r="G201" s="9" t="n">
        <f aca="false">IF(AND(C201=0,E201=0),0,IF(C201=0,"New",(E201-C201)/C201))</f>
        <v>-1</v>
      </c>
      <c r="H201" s="8" t="n">
        <f aca="false">SUMIFS('Source'!$E:$E,'Source'!$A:$A,"C02266 SANAFLEX L.P",'Source'!$B:$B,$A201)</f>
        <v>0.04</v>
      </c>
      <c r="I201" s="8" t="n">
        <f aca="false">SUMIFS('Source'!$G:$G,'Source'!$A:$A,"C02266 SANAFLEX L.P",'Source'!$B:$B,$A201)</f>
        <v>0</v>
      </c>
      <c r="J201" s="8" t="n">
        <f aca="false">I201*$J$5</f>
        <v>0</v>
      </c>
      <c r="K201" s="8" t="n">
        <f aca="false">J201-H201</f>
        <v>-0.04</v>
      </c>
      <c r="L201" s="9" t="n">
        <f aca="false">IF(AND(H201=0,J201=0),0,IF(H201=0,"New",(J201-H201)/H201))</f>
        <v>-1</v>
      </c>
      <c r="M201" s="7" t="str">
        <f aca="false">IF(AND(OR(C201&lt;&gt;0,H201&lt;&gt;0),D201=0,I201=0),"DROP",IF(AND(OR(D201&lt;&gt;0,I201&lt;&gt;0),C201=0,H201=0),"NEW",""))</f>
        <v>DROP</v>
      </c>
    </row>
    <row r="202" customFormat="false" ht="15" hidden="false" customHeight="false" outlineLevel="0" collapsed="false">
      <c r="A202" s="7" t="s">
        <v>765</v>
      </c>
      <c r="B202" s="7" t="str">
        <f aca="false">IFERROR(INDEX('Source'!$C:$C,MATCH($A202,'Source'!$B:$B,0)),"")</f>
        <v>URIEL STRAP4U TR L-XL</v>
      </c>
      <c r="C202" s="8" t="n">
        <f aca="false">SUMIFS('Source'!$D:$D,'Source'!$A:$A,"C02266 SANAFLEX L.P",'Source'!$B:$B,$A202)</f>
        <v>1</v>
      </c>
      <c r="D202" s="8" t="n">
        <f aca="false">SUMIFS('Source'!$F:$F,'Source'!$A:$A,"C02266 SANAFLEX L.P",'Source'!$B:$B,$A202)</f>
        <v>0</v>
      </c>
      <c r="E202" s="8" t="n">
        <f aca="false">D202*$J$5</f>
        <v>0</v>
      </c>
      <c r="F202" s="8" t="n">
        <f aca="false">E202-C202</f>
        <v>-1</v>
      </c>
      <c r="G202" s="9" t="n">
        <f aca="false">IF(AND(C202=0,E202=0),0,IF(C202=0,"New",(E202-C202)/C202))</f>
        <v>-1</v>
      </c>
      <c r="H202" s="8" t="n">
        <f aca="false">SUMIFS('Source'!$E:$E,'Source'!$A:$A,"C02266 SANAFLEX L.P",'Source'!$B:$B,$A202)</f>
        <v>0.04</v>
      </c>
      <c r="I202" s="8" t="n">
        <f aca="false">SUMIFS('Source'!$G:$G,'Source'!$A:$A,"C02266 SANAFLEX L.P",'Source'!$B:$B,$A202)</f>
        <v>0</v>
      </c>
      <c r="J202" s="8" t="n">
        <f aca="false">I202*$J$5</f>
        <v>0</v>
      </c>
      <c r="K202" s="8" t="n">
        <f aca="false">J202-H202</f>
        <v>-0.04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728</v>
      </c>
      <c r="B203" s="7" t="str">
        <f aca="false">IFERROR(INDEX('Source'!$C:$C,MATCH($A203,'Source'!$B:$B,0)),"")</f>
        <v>URIEL STRAP4U PINK S-M</v>
      </c>
      <c r="C203" s="8" t="n">
        <f aca="false">SUMIFS('Source'!$D:$D,'Source'!$A:$A,"C02266 SANAFLEX L.P",'Source'!$B:$B,$A203)</f>
        <v>1</v>
      </c>
      <c r="D203" s="8" t="n">
        <f aca="false">SUMIFS('Source'!$F:$F,'Source'!$A:$A,"C02266 SANAFLEX L.P",'Source'!$B:$B,$A203)</f>
        <v>0</v>
      </c>
      <c r="E203" s="8" t="n">
        <f aca="false">D203*$J$5</f>
        <v>0</v>
      </c>
      <c r="F203" s="8" t="n">
        <f aca="false">E203-C203</f>
        <v>-1</v>
      </c>
      <c r="G203" s="9" t="n">
        <f aca="false">IF(AND(C203=0,E203=0),0,IF(C203=0,"New",(E203-C203)/C203))</f>
        <v>-1</v>
      </c>
      <c r="H203" s="8" t="n">
        <f aca="false">SUMIFS('Source'!$E:$E,'Source'!$A:$A,"C02266 SANAFLEX L.P",'Source'!$B:$B,$A203)</f>
        <v>0.04</v>
      </c>
      <c r="I203" s="8" t="n">
        <f aca="false">SUMIFS('Source'!$G:$G,'Source'!$A:$A,"C02266 SANAFLEX L.P",'Source'!$B:$B,$A203)</f>
        <v>0</v>
      </c>
      <c r="J203" s="8" t="n">
        <f aca="false">I203*$J$5</f>
        <v>0</v>
      </c>
      <c r="K203" s="8" t="n">
        <f aca="false">J203-H203</f>
        <v>-0.04</v>
      </c>
      <c r="L203" s="9" t="n">
        <f aca="false">IF(AND(H203=0,J203=0),0,IF(H203=0,"New",(J203-H203)/H203))</f>
        <v>-1</v>
      </c>
      <c r="M203" s="7" t="str">
        <f aca="false">IF(AND(OR(C203&lt;&gt;0,H203&lt;&gt;0),D203=0,I203=0),"DROP",IF(AND(OR(D203&lt;&gt;0,I203&lt;&gt;0),C203=0,H203=0),"NEW",""))</f>
        <v>DROP</v>
      </c>
    </row>
    <row r="204" customFormat="false" ht="15" hidden="false" customHeight="false" outlineLevel="0" collapsed="false">
      <c r="A204" s="7" t="s">
        <v>947</v>
      </c>
      <c r="B204" s="7" t="str">
        <f aca="false">IFERROR(INDEX('Source'!$C:$C,MATCH($A204,'Source'!$B:$B,0)),"")</f>
        <v>טייפ בסיס מקדים</v>
      </c>
      <c r="C204" s="8" t="n">
        <f aca="false">SUMIFS('Source'!$D:$D,'Source'!$A:$A,"C02266 SANAFLEX L.P",'Source'!$B:$B,$A204)</f>
        <v>0</v>
      </c>
      <c r="D204" s="8" t="n">
        <f aca="false">SUMIFS('Source'!$F:$F,'Source'!$A:$A,"C02266 SANAFLEX L.P",'Source'!$B:$B,$A204)</f>
        <v>1</v>
      </c>
      <c r="E204" s="8" t="n">
        <f aca="false">D204*$J$5</f>
        <v>1.26315789473684</v>
      </c>
      <c r="F204" s="8" t="n">
        <f aca="false">E204-C204</f>
        <v>1.26315789473684</v>
      </c>
      <c r="G204" s="9" t="str">
        <f aca="false">IF(AND(C204=0,E204=0),0,IF(C204=0,"New",(E204-C204)/C204))</f>
        <v>New</v>
      </c>
      <c r="H204" s="8" t="n">
        <f aca="false">SUMIFS('Source'!$E:$E,'Source'!$A:$A,"C02266 SANAFLEX L.P",'Source'!$B:$B,$A204)</f>
        <v>0</v>
      </c>
      <c r="I204" s="8" t="n">
        <f aca="false">SUMIFS('Source'!$G:$G,'Source'!$A:$A,"C02266 SANAFLEX L.P",'Source'!$B:$B,$A204)</f>
        <v>0.03</v>
      </c>
      <c r="J204" s="8" t="n">
        <f aca="false">I204*$J$5</f>
        <v>0.0378947368421053</v>
      </c>
      <c r="K204" s="8" t="n">
        <f aca="false">J204-H204</f>
        <v>0.0378947368421053</v>
      </c>
      <c r="L204" s="9" t="str">
        <f aca="false">IF(AND(H204=0,J204=0),0,IF(H204=0,"New",(J204-H204)/H204))</f>
        <v>New</v>
      </c>
      <c r="M204" s="7" t="str">
        <f aca="false">IF(AND(OR(C204&lt;&gt;0,H204&lt;&gt;0),D204=0,I204=0),"DROP",IF(AND(OR(D204&lt;&gt;0,I204&lt;&gt;0),C204=0,H204=0),"NEW",""))</f>
        <v>NEW</v>
      </c>
    </row>
    <row r="205" customFormat="false" ht="15" hidden="false" customHeight="false" outlineLevel="0" collapsed="false">
      <c r="A205" s="7" t="s">
        <v>948</v>
      </c>
      <c r="B205" s="7" t="str">
        <f aca="false">IFERROR(INDEX('Source'!$C:$C,MATCH($A205,'Source'!$B:$B,0)),"")</f>
        <v>מפריד בוהן עם רצועה</v>
      </c>
      <c r="C205" s="8" t="n">
        <f aca="false">SUMIFS('Source'!$D:$D,'Source'!$A:$A,"C02266 SANAFLEX L.P",'Source'!$B:$B,$A205)</f>
        <v>0</v>
      </c>
      <c r="D205" s="8" t="n">
        <f aca="false">SUMIFS('Source'!$F:$F,'Source'!$A:$A,"C02266 SANAFLEX L.P",'Source'!$B:$B,$A205)</f>
        <v>1</v>
      </c>
      <c r="E205" s="8" t="n">
        <f aca="false">D205*$J$5</f>
        <v>1.26315789473684</v>
      </c>
      <c r="F205" s="8" t="n">
        <f aca="false">E205-C205</f>
        <v>1.26315789473684</v>
      </c>
      <c r="G205" s="9" t="str">
        <f aca="false">IF(AND(C205=0,E205=0),0,IF(C205=0,"New",(E205-C205)/C205))</f>
        <v>New</v>
      </c>
      <c r="H205" s="8" t="n">
        <f aca="false">SUMIFS('Source'!$E:$E,'Source'!$A:$A,"C02266 SANAFLEX L.P",'Source'!$B:$B,$A205)</f>
        <v>0</v>
      </c>
      <c r="I205" s="8" t="n">
        <f aca="false">SUMIFS('Source'!$G:$G,'Source'!$A:$A,"C02266 SANAFLEX L.P",'Source'!$B:$B,$A205)</f>
        <v>0.03</v>
      </c>
      <c r="J205" s="8" t="n">
        <f aca="false">I205*$J$5</f>
        <v>0.0378947368421053</v>
      </c>
      <c r="K205" s="8" t="n">
        <f aca="false">J205-H205</f>
        <v>0.0378947368421053</v>
      </c>
      <c r="L205" s="9" t="str">
        <f aca="false">IF(AND(H205=0,J205=0),0,IF(H205=0,"New",(J205-H205)/H205))</f>
        <v>New</v>
      </c>
      <c r="M205" s="7" t="str">
        <f aca="false">IF(AND(OR(C205&lt;&gt;0,H205&lt;&gt;0),D205=0,I205=0),"DROP",IF(AND(OR(D205&lt;&gt;0,I205&lt;&gt;0),C205=0,H205=0),"NEW",""))</f>
        <v>NEW</v>
      </c>
    </row>
    <row r="206" customFormat="false" ht="15" hidden="false" customHeight="false" outlineLevel="0" collapsed="false">
      <c r="A206" s="7" t="s">
        <v>261</v>
      </c>
      <c r="B206" s="7" t="str">
        <f aca="false">IFERROR(INDEX('Source'!$C:$C,MATCH($A206,'Source'!$B:$B,0)),"")</f>
        <v>רצועה לפטלה עם כרית סיליקון</v>
      </c>
      <c r="C206" s="8" t="n">
        <f aca="false">SUMIFS('Source'!$D:$D,'Source'!$A:$A,"C02266 SANAFLEX L.P",'Source'!$B:$B,$A206)</f>
        <v>0</v>
      </c>
      <c r="D206" s="8" t="n">
        <f aca="false">SUMIFS('Source'!$F:$F,'Source'!$A:$A,"C02266 SANAFLEX L.P",'Source'!$B:$B,$A206)</f>
        <v>1</v>
      </c>
      <c r="E206" s="8" t="n">
        <f aca="false">D206*$J$5</f>
        <v>1.26315789473684</v>
      </c>
      <c r="F206" s="8" t="n">
        <f aca="false">E206-C206</f>
        <v>1.26315789473684</v>
      </c>
      <c r="G206" s="9" t="str">
        <f aca="false">IF(AND(C206=0,E206=0),0,IF(C206=0,"New",(E206-C206)/C206))</f>
        <v>New</v>
      </c>
      <c r="H206" s="8" t="n">
        <f aca="false">SUMIFS('Source'!$E:$E,'Source'!$A:$A,"C02266 SANAFLEX L.P",'Source'!$B:$B,$A206)</f>
        <v>0</v>
      </c>
      <c r="I206" s="8" t="n">
        <f aca="false">SUMIFS('Source'!$G:$G,'Source'!$A:$A,"C02266 SANAFLEX L.P",'Source'!$B:$B,$A206)</f>
        <v>0.03</v>
      </c>
      <c r="J206" s="8" t="n">
        <f aca="false">I206*$J$5</f>
        <v>0.0378947368421053</v>
      </c>
      <c r="K206" s="8" t="n">
        <f aca="false">J206-H206</f>
        <v>0.0378947368421053</v>
      </c>
      <c r="L206" s="9" t="str">
        <f aca="false">IF(AND(H206=0,J206=0),0,IF(H206=0,"New",(J206-H206)/H206))</f>
        <v>New</v>
      </c>
      <c r="M206" s="7" t="str">
        <f aca="false">IF(AND(OR(C206&lt;&gt;0,H206&lt;&gt;0),D206=0,I206=0),"DROP",IF(AND(OR(D206&lt;&gt;0,I206&lt;&gt;0),C206=0,H206=0),"NEW",""))</f>
        <v>NEW</v>
      </c>
    </row>
    <row r="207" customFormat="false" ht="15" hidden="false" customHeight="false" outlineLevel="0" collapsed="false">
      <c r="A207" s="7" t="s">
        <v>122</v>
      </c>
      <c r="B207" s="7" t="str">
        <f aca="false">IFERROR(INDEX('Source'!$C:$C,MATCH($A207,'Source'!$B:$B,0)),"")</f>
        <v>תומך ברך גנושילד</v>
      </c>
      <c r="C207" s="8" t="n">
        <f aca="false">SUMIFS('Source'!$D:$D,'Source'!$A:$A,"C02266 SANAFLEX L.P",'Source'!$B:$B,$A207)</f>
        <v>0</v>
      </c>
      <c r="D207" s="8" t="n">
        <f aca="false">SUMIFS('Source'!$F:$F,'Source'!$A:$A,"C02266 SANAFLEX L.P",'Source'!$B:$B,$A207)</f>
        <v>1</v>
      </c>
      <c r="E207" s="8" t="n">
        <f aca="false">D207*$J$5</f>
        <v>1.26315789473684</v>
      </c>
      <c r="F207" s="8" t="n">
        <f aca="false">E207-C207</f>
        <v>1.26315789473684</v>
      </c>
      <c r="G207" s="9" t="str">
        <f aca="false">IF(AND(C207=0,E207=0),0,IF(C207=0,"New",(E207-C207)/C207))</f>
        <v>New</v>
      </c>
      <c r="H207" s="8" t="n">
        <f aca="false">SUMIFS('Source'!$E:$E,'Source'!$A:$A,"C02266 SANAFLEX L.P",'Source'!$B:$B,$A207)</f>
        <v>0</v>
      </c>
      <c r="I207" s="8" t="n">
        <f aca="false">SUMIFS('Source'!$G:$G,'Source'!$A:$A,"C02266 SANAFLEX L.P",'Source'!$B:$B,$A207)</f>
        <v>0.03</v>
      </c>
      <c r="J207" s="8" t="n">
        <f aca="false">I207*$J$5</f>
        <v>0.0378947368421053</v>
      </c>
      <c r="K207" s="8" t="n">
        <f aca="false">J207-H207</f>
        <v>0.0378947368421053</v>
      </c>
      <c r="L207" s="9" t="str">
        <f aca="false">IF(AND(H207=0,J207=0),0,IF(H207=0,"New",(J207-H207)/H207))</f>
        <v>New</v>
      </c>
      <c r="M207" s="7" t="str">
        <f aca="false">IF(AND(OR(C207&lt;&gt;0,H207&lt;&gt;0),D207=0,I207=0),"DROP",IF(AND(OR(D207&lt;&gt;0,I207&lt;&gt;0),C207=0,H207=0),"NEW",""))</f>
        <v>NEW</v>
      </c>
    </row>
    <row r="208" customFormat="false" ht="15" hidden="false" customHeight="false" outlineLevel="0" collapsed="false">
      <c r="A208" s="7" t="s">
        <v>154</v>
      </c>
      <c r="B208" s="7" t="str">
        <f aca="false">IFERROR(INDEX('Source'!$C:$C,MATCH($A208,'Source'!$B:$B,0)),"")</f>
        <v>חבק טניס שחור</v>
      </c>
      <c r="C208" s="8" t="n">
        <f aca="false">SUMIFS('Source'!$D:$D,'Source'!$A:$A,"C02266 SANAFLEX L.P",'Source'!$B:$B,$A208)</f>
        <v>0</v>
      </c>
      <c r="D208" s="8" t="n">
        <f aca="false">SUMIFS('Source'!$F:$F,'Source'!$A:$A,"C02266 SANAFLEX L.P",'Source'!$B:$B,$A208)</f>
        <v>1</v>
      </c>
      <c r="E208" s="8" t="n">
        <f aca="false">D208*$J$5</f>
        <v>1.26315789473684</v>
      </c>
      <c r="F208" s="8" t="n">
        <f aca="false">E208-C208</f>
        <v>1.26315789473684</v>
      </c>
      <c r="G208" s="9" t="str">
        <f aca="false">IF(AND(C208=0,E208=0),0,IF(C208=0,"New",(E208-C208)/C208))</f>
        <v>New</v>
      </c>
      <c r="H208" s="8" t="n">
        <f aca="false">SUMIFS('Source'!$E:$E,'Source'!$A:$A,"C02266 SANAFLEX L.P",'Source'!$B:$B,$A208)</f>
        <v>0</v>
      </c>
      <c r="I208" s="8" t="n">
        <f aca="false">SUMIFS('Source'!$G:$G,'Source'!$A:$A,"C02266 SANAFLEX L.P",'Source'!$B:$B,$A208)</f>
        <v>0.03</v>
      </c>
      <c r="J208" s="8" t="n">
        <f aca="false">I208*$J$5</f>
        <v>0.0378947368421053</v>
      </c>
      <c r="K208" s="8" t="n">
        <f aca="false">J208-H208</f>
        <v>0.0378947368421053</v>
      </c>
      <c r="L208" s="9" t="str">
        <f aca="false">IF(AND(H208=0,J208=0),0,IF(H208=0,"New",(J208-H208)/H208))</f>
        <v>New</v>
      </c>
      <c r="M208" s="7" t="str">
        <f aca="false">IF(AND(OR(C208&lt;&gt;0,H208&lt;&gt;0),D208=0,I208=0),"DROP",IF(AND(OR(D208&lt;&gt;0,I208&lt;&gt;0),C208=0,H208=0),"NEW",""))</f>
        <v>NEW</v>
      </c>
    </row>
    <row r="209" customFormat="false" ht="15" hidden="false" customHeight="false" outlineLevel="0" collapsed="false">
      <c r="A209" s="7" t="s">
        <v>116</v>
      </c>
      <c r="B209" s="7" t="str">
        <f aca="false">IFERROR(INDEX('Source'!$C:$C,MATCH($A209,'Source'!$B:$B,0)),"")</f>
        <v>כפפת CTS ימין</v>
      </c>
      <c r="C209" s="8" t="n">
        <f aca="false">SUMIFS('Source'!$D:$D,'Source'!$A:$A,"C02266 SANAFLEX L.P",'Source'!$B:$B,$A209)</f>
        <v>0</v>
      </c>
      <c r="D209" s="8" t="n">
        <f aca="false">SUMIFS('Source'!$F:$F,'Source'!$A:$A,"C02266 SANAFLEX L.P",'Source'!$B:$B,$A209)</f>
        <v>1</v>
      </c>
      <c r="E209" s="8" t="n">
        <f aca="false">D209*$J$5</f>
        <v>1.26315789473684</v>
      </c>
      <c r="F209" s="8" t="n">
        <f aca="false">E209-C209</f>
        <v>1.26315789473684</v>
      </c>
      <c r="G209" s="9" t="str">
        <f aca="false">IF(AND(C209=0,E209=0),0,IF(C209=0,"New",(E209-C209)/C209))</f>
        <v>New</v>
      </c>
      <c r="H209" s="8" t="n">
        <f aca="false">SUMIFS('Source'!$E:$E,'Source'!$A:$A,"C02266 SANAFLEX L.P",'Source'!$B:$B,$A209)</f>
        <v>0</v>
      </c>
      <c r="I209" s="8" t="n">
        <f aca="false">SUMIFS('Source'!$G:$G,'Source'!$A:$A,"C02266 SANAFLEX L.P",'Source'!$B:$B,$A209)</f>
        <v>0.03</v>
      </c>
      <c r="J209" s="8" t="n">
        <f aca="false">I209*$J$5</f>
        <v>0.0378947368421053</v>
      </c>
      <c r="K209" s="8" t="n">
        <f aca="false">J209-H209</f>
        <v>0.0378947368421053</v>
      </c>
      <c r="L209" s="9" t="str">
        <f aca="false">IF(AND(H209=0,J209=0),0,IF(H209=0,"New",(J209-H209)/H209))</f>
        <v>New</v>
      </c>
      <c r="M209" s="7" t="str">
        <f aca="false">IF(AND(OR(C209&lt;&gt;0,H209&lt;&gt;0),D209=0,I209=0),"DROP",IF(AND(OR(D209&lt;&gt;0,I209&lt;&gt;0),C209=0,H209=0),"NEW",""))</f>
        <v>NEW</v>
      </c>
    </row>
    <row r="210" customFormat="false" ht="15" hidden="false" customHeight="false" outlineLevel="0" collapsed="false">
      <c r="A210" s="7" t="s">
        <v>187</v>
      </c>
      <c r="B210" s="7" t="str">
        <f aca="false">IFERROR(INDEX('Source'!$C:$C,MATCH($A210,'Source'!$B:$B,0)),"")</f>
        <v>TaluAirShield | מקבע קרסול</v>
      </c>
      <c r="C210" s="8" t="n">
        <f aca="false">SUMIFS('Source'!$D:$D,'Source'!$A:$A,"C02266 SANAFLEX L.P",'Source'!$B:$B,$A210)</f>
        <v>0</v>
      </c>
      <c r="D210" s="8" t="n">
        <f aca="false">SUMIFS('Source'!$F:$F,'Source'!$A:$A,"C02266 SANAFLEX L.P",'Source'!$B:$B,$A210)</f>
        <v>1</v>
      </c>
      <c r="E210" s="8" t="n">
        <f aca="false">D210*$J$5</f>
        <v>1.26315789473684</v>
      </c>
      <c r="F210" s="8" t="n">
        <f aca="false">E210-C210</f>
        <v>1.26315789473684</v>
      </c>
      <c r="G210" s="9" t="str">
        <f aca="false">IF(AND(C210=0,E210=0),0,IF(C210=0,"New",(E210-C210)/C210))</f>
        <v>New</v>
      </c>
      <c r="H210" s="8" t="n">
        <f aca="false">SUMIFS('Source'!$E:$E,'Source'!$A:$A,"C02266 SANAFLEX L.P",'Source'!$B:$B,$A210)</f>
        <v>0</v>
      </c>
      <c r="I210" s="8" t="n">
        <f aca="false">SUMIFS('Source'!$G:$G,'Source'!$A:$A,"C02266 SANAFLEX L.P",'Source'!$B:$B,$A210)</f>
        <v>0.03</v>
      </c>
      <c r="J210" s="8" t="n">
        <f aca="false">I210*$J$5</f>
        <v>0.0378947368421053</v>
      </c>
      <c r="K210" s="8" t="n">
        <f aca="false">J210-H210</f>
        <v>0.0378947368421053</v>
      </c>
      <c r="L210" s="9" t="str">
        <f aca="false">IF(AND(H210=0,J210=0),0,IF(H210=0,"New",(J210-H210)/H210))</f>
        <v>New</v>
      </c>
      <c r="M210" s="7" t="str">
        <f aca="false">IF(AND(OR(C210&lt;&gt;0,H210&lt;&gt;0),D210=0,I210=0),"DROP",IF(AND(OR(D210&lt;&gt;0,I210&lt;&gt;0),C210=0,H210=0),"NEW",""))</f>
        <v>NEW</v>
      </c>
    </row>
    <row r="211" customFormat="false" ht="15" hidden="false" customHeight="false" outlineLevel="0" collapsed="false">
      <c r="A211" s="7" t="s">
        <v>146</v>
      </c>
      <c r="B211" s="7" t="str">
        <f aca="false">IFERROR(INDEX('Source'!$C:$C,MATCH($A211,'Source'!$B:$B,0)),"")</f>
        <v>כפפת CTS שמאל</v>
      </c>
      <c r="C211" s="8" t="n">
        <f aca="false">SUMIFS('Source'!$D:$D,'Source'!$A:$A,"C02266 SANAFLEX L.P",'Source'!$B:$B,$A211)</f>
        <v>0</v>
      </c>
      <c r="D211" s="8" t="n">
        <f aca="false">SUMIFS('Source'!$F:$F,'Source'!$A:$A,"C02266 SANAFLEX L.P",'Source'!$B:$B,$A211)</f>
        <v>1</v>
      </c>
      <c r="E211" s="8" t="n">
        <f aca="false">D211*$J$5</f>
        <v>1.26315789473684</v>
      </c>
      <c r="F211" s="8" t="n">
        <f aca="false">E211-C211</f>
        <v>1.26315789473684</v>
      </c>
      <c r="G211" s="9" t="str">
        <f aca="false">IF(AND(C211=0,E211=0),0,IF(C211=0,"New",(E211-C211)/C211))</f>
        <v>New</v>
      </c>
      <c r="H211" s="8" t="n">
        <f aca="false">SUMIFS('Source'!$E:$E,'Source'!$A:$A,"C02266 SANAFLEX L.P",'Source'!$B:$B,$A211)</f>
        <v>0</v>
      </c>
      <c r="I211" s="8" t="n">
        <f aca="false">SUMIFS('Source'!$G:$G,'Source'!$A:$A,"C02266 SANAFLEX L.P",'Source'!$B:$B,$A211)</f>
        <v>0.03</v>
      </c>
      <c r="J211" s="8" t="n">
        <f aca="false">I211*$J$5</f>
        <v>0.0378947368421053</v>
      </c>
      <c r="K211" s="8" t="n">
        <f aca="false">J211-H211</f>
        <v>0.0378947368421053</v>
      </c>
      <c r="L211" s="9" t="str">
        <f aca="false">IF(AND(H211=0,J211=0),0,IF(H211=0,"New",(J211-H211)/H211))</f>
        <v>New</v>
      </c>
      <c r="M211" s="7" t="str">
        <f aca="false">IF(AND(OR(C211&lt;&gt;0,H211&lt;&gt;0),D211=0,I211=0),"DROP",IF(AND(OR(D211&lt;&gt;0,I211&lt;&gt;0),C211=0,H211=0),"NEW",""))</f>
        <v>NEW</v>
      </c>
    </row>
    <row r="212" customFormat="false" ht="15" hidden="false" customHeight="false" outlineLevel="0" collapsed="false">
      <c r="A212" s="7" t="s">
        <v>568</v>
      </c>
      <c r="B212" s="7" t="str">
        <f aca="false">IFERROR(INDEX('Source'!$C:$C,MATCH($A212,'Source'!$B:$B,0)),"")</f>
        <v>WRISTO STRAP חבק יד</v>
      </c>
      <c r="C212" s="8" t="n">
        <f aca="false">SUMIFS('Source'!$D:$D,'Source'!$A:$A,"C02266 SANAFLEX L.P",'Source'!$B:$B,$A212)</f>
        <v>0</v>
      </c>
      <c r="D212" s="8" t="n">
        <f aca="false">SUMIFS('Source'!$F:$F,'Source'!$A:$A,"C02266 SANAFLEX L.P",'Source'!$B:$B,$A212)</f>
        <v>1</v>
      </c>
      <c r="E212" s="8" t="n">
        <f aca="false">D212*$J$5</f>
        <v>1.26315789473684</v>
      </c>
      <c r="F212" s="8" t="n">
        <f aca="false">E212-C212</f>
        <v>1.26315789473684</v>
      </c>
      <c r="G212" s="9" t="str">
        <f aca="false">IF(AND(C212=0,E212=0),0,IF(C212=0,"New",(E212-C212)/C212))</f>
        <v>New</v>
      </c>
      <c r="H212" s="8" t="n">
        <f aca="false">SUMIFS('Source'!$E:$E,'Source'!$A:$A,"C02266 SANAFLEX L.P",'Source'!$B:$B,$A212)</f>
        <v>0</v>
      </c>
      <c r="I212" s="8" t="n">
        <f aca="false">SUMIFS('Source'!$G:$G,'Source'!$A:$A,"C02266 SANAFLEX L.P",'Source'!$B:$B,$A212)</f>
        <v>0.03</v>
      </c>
      <c r="J212" s="8" t="n">
        <f aca="false">I212*$J$5</f>
        <v>0.0378947368421053</v>
      </c>
      <c r="K212" s="8" t="n">
        <f aca="false">J212-H212</f>
        <v>0.0378947368421053</v>
      </c>
      <c r="L212" s="9" t="str">
        <f aca="false">IF(AND(H212=0,J212=0),0,IF(H212=0,"New",(J212-H212)/H212))</f>
        <v>New</v>
      </c>
      <c r="M212" s="7" t="str">
        <f aca="false">IF(AND(OR(C212&lt;&gt;0,H212&lt;&gt;0),D212=0,I212=0),"DROP",IF(AND(OR(D212&lt;&gt;0,I212&lt;&gt;0),C212=0,H212=0),"NEW",""))</f>
        <v>NEW</v>
      </c>
    </row>
    <row r="214" customFormat="false" ht="15" hidden="false" customHeight="false" outlineLevel="0" collapsed="false">
      <c r="A214" s="17"/>
      <c r="B214" s="18" t="s">
        <v>97</v>
      </c>
      <c r="C214" s="19" t="n">
        <f aca="false">SUM(C9:C212)</f>
        <v>20757</v>
      </c>
      <c r="D214" s="19" t="n">
        <f aca="false">SUM(D9:D212)</f>
        <v>18128</v>
      </c>
      <c r="E214" s="19" t="n">
        <f aca="false">SUM(E9:E212)</f>
        <v>22898.5263157895</v>
      </c>
      <c r="F214" s="19" t="n">
        <f aca="false">SUM(F9:F212)</f>
        <v>2141.52631578947</v>
      </c>
      <c r="G214" s="20" t="n">
        <f aca="false">IF(C214=0,"N/A",F214/C214)</f>
        <v>0.103171282737846</v>
      </c>
      <c r="H214" s="19" t="n">
        <f aca="false">SUM(H9:H212)</f>
        <v>395351.38</v>
      </c>
      <c r="I214" s="19" t="n">
        <f aca="false">SUM(I9:I212)</f>
        <v>307055.17</v>
      </c>
      <c r="J214" s="19" t="n">
        <f aca="false">SUM(J9:J212)</f>
        <v>387859.162105263</v>
      </c>
      <c r="K214" s="19" t="n">
        <f aca="false">SUM(K9:K212)</f>
        <v>-7492.21789473686</v>
      </c>
      <c r="L214" s="20" t="n">
        <f aca="false">IF(H214=0,"N/A",K214/H214)</f>
        <v>-0.0189507821997152</v>
      </c>
      <c r="M214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949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950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SUMPRODUCT(--(((C9:C225&lt;&gt;0)+(H9:H225&lt;&gt;0)&gt;0)*((D9:D225=0)*(I9:I225=0))))</f>
        <v>66</v>
      </c>
      <c r="C5" s="13" t="s">
        <v>47</v>
      </c>
      <c r="D5" s="14" t="n">
        <f aca="false">SUMPRODUCT(--(((D9:D225&lt;&gt;0)+(I9:I225&lt;&gt;0)&gt;0)*((C9:C225=0)*(H9:H225=0))))</f>
        <v>22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SUMPRODUCT(--(((C9:C225&lt;&gt;0)+(H9:H225&lt;&gt;0)&gt;0)*((D9:D225=0)*(I9:I225=0)))*C9:C225)</f>
        <v>797</v>
      </c>
      <c r="C6" s="13" t="s">
        <v>50</v>
      </c>
      <c r="D6" s="14" t="n">
        <f aca="false">SUMPRODUCT(--(((C9:C225&lt;&gt;0)+(H9:H225&lt;&gt;0)&gt;0)*((D9:D225=0)*(I9:I225=0)))*H9:H225)</f>
        <v>28651.54</v>
      </c>
      <c r="E6" s="13" t="s">
        <v>51</v>
      </c>
      <c r="F6" s="14" t="n">
        <f aca="false">SUMPRODUCT(--(((D9:D225&lt;&gt;0)+(I9:I225&lt;&gt;0)&gt;0)*((C9:C225=0)*(H9:H225=0)))*D9:D225)</f>
        <v>991</v>
      </c>
      <c r="G6" s="13" t="s">
        <v>52</v>
      </c>
      <c r="H6" s="14" t="n">
        <f aca="false">SUMPRODUCT(--(((D9:D225&lt;&gt;0)+(I9:I225&lt;&gt;0)&gt;0)*((C9:C225=0)*(H9:H225=0)))*I9:I225)</f>
        <v>14625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305</v>
      </c>
      <c r="B9" s="7" t="str">
        <f aca="false">IFERROR(INDEX('Source'!$C:$C,MATCH($A9,'Source'!$B:$B,0)),"")</f>
        <v>חגורת בטן קלה</v>
      </c>
      <c r="C9" s="8" t="n">
        <f aca="false">SUMIFS('Source'!$D:$D,'Source'!$A:$A,"160920 SALUS",'Source'!$B:$B,$A9)</f>
        <v>0</v>
      </c>
      <c r="D9" s="8" t="n">
        <f aca="false">SUMIFS('Source'!$F:$F,'Source'!$A:$A,"160920 SALUS",'Source'!$B:$B,$A9)</f>
        <v>630</v>
      </c>
      <c r="E9" s="8" t="n">
        <f aca="false">D9*$J$5</f>
        <v>795.789473684211</v>
      </c>
      <c r="F9" s="8" t="n">
        <f aca="false">E9-C9</f>
        <v>795.789473684211</v>
      </c>
      <c r="G9" s="9" t="str">
        <f aca="false">IF(AND(C9=0,E9=0),0,IF(C9=0,"New",(E9-C9)/C9))</f>
        <v>New</v>
      </c>
      <c r="H9" s="8" t="n">
        <f aca="false">SUMIFS('Source'!$E:$E,'Source'!$A:$A,"160920 SALUS",'Source'!$B:$B,$A9)</f>
        <v>0</v>
      </c>
      <c r="I9" s="8" t="n">
        <f aca="false">SUMIFS('Source'!$G:$G,'Source'!$A:$A,"160920 SALUS",'Source'!$B:$B,$A9)</f>
        <v>28285.4</v>
      </c>
      <c r="J9" s="8" t="n">
        <f aca="false">I9*$J$5</f>
        <v>35728.9263157895</v>
      </c>
      <c r="K9" s="8" t="n">
        <f aca="false">J9-H9</f>
        <v>35728.9263157895</v>
      </c>
      <c r="L9" s="9" t="str">
        <f aca="false">IF(AND(H9=0,J9=0),0,IF(H9=0,"New",(J9-H9)/H9))</f>
        <v>New</v>
      </c>
      <c r="M9" s="7" t="str">
        <f aca="false">IF(AND(OR(C9&lt;&gt;0,H9&lt;&gt;0),D9=0,I9=0),"DROP",IF(AND(OR(D9&lt;&gt;0,I9&lt;&gt;0),C9=0,H9=0),"NEW",""))</f>
        <v>NEW</v>
      </c>
    </row>
    <row r="10" customFormat="false" ht="15" hidden="false" customHeight="false" outlineLevel="0" collapsed="false">
      <c r="A10" s="7" t="s">
        <v>622</v>
      </c>
      <c r="B10" s="7" t="str">
        <f aca="false">IFERROR(INDEX('Source'!$C:$C,MATCH($A10,'Source'!$B:$B,0)),"")</f>
        <v>הנחות לקוחות</v>
      </c>
      <c r="C10" s="8" t="n">
        <f aca="false">SUMIFS('Source'!$D:$D,'Source'!$A:$A,"160920 SALUS",'Source'!$B:$B,$A10)</f>
        <v>0</v>
      </c>
      <c r="D10" s="8" t="n">
        <f aca="false">SUMIFS('Source'!$F:$F,'Source'!$A:$A,"160920 SALUS",'Source'!$B:$B,$A10)</f>
        <v>-1</v>
      </c>
      <c r="E10" s="8" t="n">
        <f aca="false">D10*$J$5</f>
        <v>-1.26315789473684</v>
      </c>
      <c r="F10" s="8" t="n">
        <f aca="false">E10-C10</f>
        <v>-1.26315789473684</v>
      </c>
      <c r="G10" s="9" t="str">
        <f aca="false">IF(AND(C10=0,E10=0),0,IF(C10=0,"New",(E10-C10)/C10))</f>
        <v>New</v>
      </c>
      <c r="H10" s="8" t="n">
        <f aca="false">SUMIFS('Source'!$E:$E,'Source'!$A:$A,"160920 SALUS",'Source'!$B:$B,$A10)</f>
        <v>0</v>
      </c>
      <c r="I10" s="8" t="n">
        <f aca="false">SUMIFS('Source'!$G:$G,'Source'!$A:$A,"160920 SALUS",'Source'!$B:$B,$A10)</f>
        <v>-22807.55</v>
      </c>
      <c r="J10" s="8" t="n">
        <f aca="false">I10*$J$5</f>
        <v>-28809.5368421053</v>
      </c>
      <c r="K10" s="8" t="n">
        <f aca="false">J10-H10</f>
        <v>-28809.5368421053</v>
      </c>
      <c r="L10" s="9" t="str">
        <f aca="false">IF(AND(H10=0,J10=0),0,IF(H10=0,"New",(J10-H10)/H10))</f>
        <v>New</v>
      </c>
      <c r="M10" s="7" t="str">
        <f aca="false">IF(AND(OR(C10&lt;&gt;0,H10&lt;&gt;0),D10=0,I10=0),"DROP",IF(AND(OR(D10&lt;&gt;0,I10&lt;&gt;0),C10=0,H10=0),"NEW",""))</f>
        <v>NEW</v>
      </c>
    </row>
    <row r="11" customFormat="false" ht="15" hidden="false" customHeight="false" outlineLevel="0" collapsed="false">
      <c r="A11" s="7" t="s">
        <v>280</v>
      </c>
      <c r="B11" s="7" t="str">
        <f aca="false">IFERROR(INDEX('Source'!$C:$C,MATCH($A11,'Source'!$B:$B,0)),"")</f>
        <v>מ.ברך</v>
      </c>
      <c r="C11" s="8" t="n">
        <f aca="false">SUMIFS('Source'!$D:$D,'Source'!$A:$A,"160920 SALUS",'Source'!$B:$B,$A11)</f>
        <v>1550</v>
      </c>
      <c r="D11" s="8" t="n">
        <f aca="false">SUMIFS('Source'!$F:$F,'Source'!$A:$A,"160920 SALUS",'Source'!$B:$B,$A11)</f>
        <v>2928</v>
      </c>
      <c r="E11" s="8" t="n">
        <f aca="false">D11*$J$5</f>
        <v>3698.52631578947</v>
      </c>
      <c r="F11" s="8" t="n">
        <f aca="false">E11-C11</f>
        <v>2148.52631578947</v>
      </c>
      <c r="G11" s="9" t="n">
        <f aca="false">IF(AND(C11=0,E11=0),0,IF(C11=0,"New",(E11-C11)/C11))</f>
        <v>1.38614601018676</v>
      </c>
      <c r="H11" s="8" t="n">
        <f aca="false">SUMIFS('Source'!$E:$E,'Source'!$A:$A,"160920 SALUS",'Source'!$B:$B,$A11)</f>
        <v>27116.8</v>
      </c>
      <c r="I11" s="8" t="n">
        <f aca="false">SUMIFS('Source'!$G:$G,'Source'!$A:$A,"160920 SALUS",'Source'!$B:$B,$A11)</f>
        <v>48283.04</v>
      </c>
      <c r="J11" s="8" t="n">
        <f aca="false">I11*$J$5</f>
        <v>60989.1031578947</v>
      </c>
      <c r="K11" s="8" t="n">
        <f aca="false">J11-H11</f>
        <v>33872.3031578947</v>
      </c>
      <c r="L11" s="9" t="n">
        <f aca="false">IF(AND(H11=0,J11=0),0,IF(H11=0,"New",(J11-H11)/H11))</f>
        <v>1.2491261195235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176</v>
      </c>
      <c r="B12" s="7" t="str">
        <f aca="false">IFERROR(INDEX('Source'!$C:$C,MATCH($A12,'Source'!$B:$B,0)),"")</f>
        <v>חבק יד</v>
      </c>
      <c r="C12" s="8" t="n">
        <f aca="false">SUMIFS('Source'!$D:$D,'Source'!$A:$A,"160920 SALUS",'Source'!$B:$B,$A12)</f>
        <v>4800</v>
      </c>
      <c r="D12" s="8" t="n">
        <f aca="false">SUMIFS('Source'!$F:$F,'Source'!$A:$A,"160920 SALUS",'Source'!$B:$B,$A12)</f>
        <v>5500</v>
      </c>
      <c r="E12" s="8" t="n">
        <f aca="false">D12*$J$5</f>
        <v>6947.36842105263</v>
      </c>
      <c r="F12" s="8" t="n">
        <f aca="false">E12-C12</f>
        <v>2147.36842105263</v>
      </c>
      <c r="G12" s="9" t="n">
        <f aca="false">IF(AND(C12=0,E12=0),0,IF(C12=0,"New",(E12-C12)/C12))</f>
        <v>0.447368421052631</v>
      </c>
      <c r="H12" s="8" t="n">
        <f aca="false">SUMIFS('Source'!$E:$E,'Source'!$A:$A,"160920 SALUS",'Source'!$B:$B,$A12)</f>
        <v>66726.56</v>
      </c>
      <c r="I12" s="8" t="n">
        <f aca="false">SUMIFS('Source'!$G:$G,'Source'!$A:$A,"160920 SALUS",'Source'!$B:$B,$A12)</f>
        <v>77415.73</v>
      </c>
      <c r="J12" s="8" t="n">
        <f aca="false">I12*$J$5</f>
        <v>97788.2905263158</v>
      </c>
      <c r="K12" s="8" t="n">
        <f aca="false">J12-H12</f>
        <v>31061.7305263158</v>
      </c>
      <c r="L12" s="9" t="n">
        <f aca="false">IF(AND(H12=0,J12=0),0,IF(H12=0,"New",(J12-H12)/H12))</f>
        <v>0.465507745735968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951</v>
      </c>
      <c r="B13" s="7" t="str">
        <f aca="false">IFERROR(INDEX('Source'!$C:$C,MATCH($A13,'Source'!$B:$B,0)),"")</f>
        <v>מגן ברך מנאופרן 2 ממ שחור</v>
      </c>
      <c r="C13" s="8" t="n">
        <f aca="false">SUMIFS('Source'!$D:$D,'Source'!$A:$A,"160920 SALUS",'Source'!$B:$B,$A13)</f>
        <v>15</v>
      </c>
      <c r="D13" s="8" t="n">
        <f aca="false">SUMIFS('Source'!$F:$F,'Source'!$A:$A,"160920 SALUS",'Source'!$B:$B,$A13)</f>
        <v>90</v>
      </c>
      <c r="E13" s="8" t="n">
        <f aca="false">D13*$J$5</f>
        <v>113.684210526316</v>
      </c>
      <c r="F13" s="8" t="n">
        <f aca="false">E13-C13</f>
        <v>98.6842105263158</v>
      </c>
      <c r="G13" s="9" t="n">
        <f aca="false">IF(AND(C13=0,E13=0),0,IF(C13=0,"New",(E13-C13)/C13))</f>
        <v>6.57894736842105</v>
      </c>
      <c r="H13" s="8" t="n">
        <f aca="false">SUMIFS('Source'!$E:$E,'Source'!$A:$A,"160920 SALUS",'Source'!$B:$B,$A13)</f>
        <v>1269.86</v>
      </c>
      <c r="I13" s="8" t="n">
        <f aca="false">SUMIFS('Source'!$G:$G,'Source'!$A:$A,"160920 SALUS",'Source'!$B:$B,$A13)</f>
        <v>8030.02</v>
      </c>
      <c r="J13" s="8" t="n">
        <f aca="false">I13*$J$5</f>
        <v>10143.1831578947</v>
      </c>
      <c r="K13" s="8" t="n">
        <f aca="false">J13-H13</f>
        <v>8873.32315789474</v>
      </c>
      <c r="L13" s="9" t="n">
        <f aca="false">IF(AND(H13=0,J13=0),0,IF(H13=0,"New",(J13-H13)/H13))</f>
        <v>6.98763891916805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147</v>
      </c>
      <c r="B14" s="7" t="str">
        <f aca="false">IFERROR(INDEX('Source'!$C:$C,MATCH($A14,'Source'!$B:$B,0)),"")</f>
        <v>חגורה למנותחי בית חזה</v>
      </c>
      <c r="C14" s="8" t="n">
        <f aca="false">SUMIFS('Source'!$D:$D,'Source'!$A:$A,"160920 SALUS",'Source'!$B:$B,$A14)</f>
        <v>185</v>
      </c>
      <c r="D14" s="8" t="n">
        <f aca="false">SUMIFS('Source'!$F:$F,'Source'!$A:$A,"160920 SALUS",'Source'!$B:$B,$A14)</f>
        <v>280</v>
      </c>
      <c r="E14" s="8" t="n">
        <f aca="false">D14*$J$5</f>
        <v>353.684210526316</v>
      </c>
      <c r="F14" s="8" t="n">
        <f aca="false">E14-C14</f>
        <v>168.684210526316</v>
      </c>
      <c r="G14" s="9" t="n">
        <f aca="false">IF(AND(C14=0,E14=0),0,IF(C14=0,"New",(E14-C14)/C14))</f>
        <v>0.911806543385491</v>
      </c>
      <c r="H14" s="8" t="n">
        <f aca="false">SUMIFS('Source'!$E:$E,'Source'!$A:$A,"160920 SALUS",'Source'!$B:$B,$A14)</f>
        <v>14791.19</v>
      </c>
      <c r="I14" s="8" t="n">
        <f aca="false">SUMIFS('Source'!$G:$G,'Source'!$A:$A,"160920 SALUS",'Source'!$B:$B,$A14)</f>
        <v>21022.31</v>
      </c>
      <c r="J14" s="8" t="n">
        <f aca="false">I14*$J$5</f>
        <v>26554.4968421053</v>
      </c>
      <c r="K14" s="8" t="n">
        <f aca="false">J14-H14</f>
        <v>11763.3068421053</v>
      </c>
      <c r="L14" s="9" t="n">
        <f aca="false">IF(AND(H14=0,J14=0),0,IF(H14=0,"New",(J14-H14)/H14))</f>
        <v>0.795291443224329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311</v>
      </c>
      <c r="B15" s="7" t="str">
        <f aca="false">IFERROR(INDEX('Source'!$C:$C,MATCH($A15,'Source'!$B:$B,0)),"")</f>
        <v>מגן ברך + צירים</v>
      </c>
      <c r="C15" s="8" t="n">
        <f aca="false">SUMIFS('Source'!$D:$D,'Source'!$A:$A,"160920 SALUS",'Source'!$B:$B,$A15)</f>
        <v>480</v>
      </c>
      <c r="D15" s="8" t="n">
        <f aca="false">SUMIFS('Source'!$F:$F,'Source'!$A:$A,"160920 SALUS",'Source'!$B:$B,$A15)</f>
        <v>650</v>
      </c>
      <c r="E15" s="8" t="n">
        <f aca="false">D15*$J$5</f>
        <v>821.052631578947</v>
      </c>
      <c r="F15" s="8" t="n">
        <f aca="false">E15-C15</f>
        <v>341.052631578947</v>
      </c>
      <c r="G15" s="9" t="n">
        <f aca="false">IF(AND(C15=0,E15=0),0,IF(C15=0,"New",(E15-C15)/C15))</f>
        <v>0.710526315789474</v>
      </c>
      <c r="H15" s="8" t="n">
        <f aca="false">SUMIFS('Source'!$E:$E,'Source'!$A:$A,"160920 SALUS",'Source'!$B:$B,$A15)</f>
        <v>20704.23</v>
      </c>
      <c r="I15" s="8" t="n">
        <f aca="false">SUMIFS('Source'!$G:$G,'Source'!$A:$A,"160920 SALUS",'Source'!$B:$B,$A15)</f>
        <v>26769.41</v>
      </c>
      <c r="J15" s="8" t="n">
        <f aca="false">I15*$J$5</f>
        <v>33813.9915789474</v>
      </c>
      <c r="K15" s="8" t="n">
        <f aca="false">J15-H15</f>
        <v>13109.7615789474</v>
      </c>
      <c r="L15" s="9" t="n">
        <f aca="false">IF(AND(H15=0,J15=0),0,IF(H15=0,"New",(J15-H15)/H15))</f>
        <v>0.633192423912764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952</v>
      </c>
      <c r="B16" s="7" t="str">
        <f aca="false">IFERROR(INDEX('Source'!$C:$C,MATCH($A16,'Source'!$B:$B,0)),"")</f>
        <v>מגן ברך מנאופרן 2 ממ שחור</v>
      </c>
      <c r="C16" s="8" t="n">
        <f aca="false">SUMIFS('Source'!$D:$D,'Source'!$A:$A,"160920 SALUS",'Source'!$B:$B,$A16)</f>
        <v>35</v>
      </c>
      <c r="D16" s="8" t="n">
        <f aca="false">SUMIFS('Source'!$F:$F,'Source'!$A:$A,"160920 SALUS",'Source'!$B:$B,$A16)</f>
        <v>100</v>
      </c>
      <c r="E16" s="8" t="n">
        <f aca="false">D16*$J$5</f>
        <v>126.315789473684</v>
      </c>
      <c r="F16" s="8" t="n">
        <f aca="false">E16-C16</f>
        <v>91.3157894736842</v>
      </c>
      <c r="G16" s="9" t="n">
        <f aca="false">IF(AND(C16=0,E16=0),0,IF(C16=0,"New",(E16-C16)/C16))</f>
        <v>2.60902255639098</v>
      </c>
      <c r="H16" s="8" t="n">
        <f aca="false">SUMIFS('Source'!$E:$E,'Source'!$A:$A,"160920 SALUS",'Source'!$B:$B,$A16)</f>
        <v>2963</v>
      </c>
      <c r="I16" s="8" t="n">
        <f aca="false">SUMIFS('Source'!$G:$G,'Source'!$A:$A,"160920 SALUS",'Source'!$B:$B,$A16)</f>
        <v>8841.47</v>
      </c>
      <c r="J16" s="8" t="n">
        <f aca="false">I16*$J$5</f>
        <v>11168.1726315789</v>
      </c>
      <c r="K16" s="8" t="n">
        <f aca="false">J16-H16</f>
        <v>8205.17263157895</v>
      </c>
      <c r="L16" s="9" t="n">
        <f aca="false">IF(AND(H16=0,J16=0),0,IF(H16=0,"New",(J16-H16)/H16))</f>
        <v>2.76921114801854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953</v>
      </c>
      <c r="B17" s="7" t="str">
        <f aca="false">IFERROR(INDEX('Source'!$C:$C,MATCH($A17,'Source'!$B:$B,0)),"")</f>
        <v>מגן ברך מנאופרן 2 ממ שחור</v>
      </c>
      <c r="C17" s="8" t="n">
        <f aca="false">SUMIFS('Source'!$D:$D,'Source'!$A:$A,"160920 SALUS",'Source'!$B:$B,$A17)</f>
        <v>20</v>
      </c>
      <c r="D17" s="8" t="n">
        <f aca="false">SUMIFS('Source'!$F:$F,'Source'!$A:$A,"160920 SALUS",'Source'!$B:$B,$A17)</f>
        <v>75</v>
      </c>
      <c r="E17" s="8" t="n">
        <f aca="false">D17*$J$5</f>
        <v>94.7368421052632</v>
      </c>
      <c r="F17" s="8" t="n">
        <f aca="false">E17-C17</f>
        <v>74.7368421052632</v>
      </c>
      <c r="G17" s="9" t="n">
        <f aca="false">IF(AND(C17=0,E17=0),0,IF(C17=0,"New",(E17-C17)/C17))</f>
        <v>3.73684210526316</v>
      </c>
      <c r="H17" s="8" t="n">
        <f aca="false">SUMIFS('Source'!$E:$E,'Source'!$A:$A,"160920 SALUS",'Source'!$B:$B,$A17)</f>
        <v>1693.14</v>
      </c>
      <c r="I17" s="8" t="n">
        <f aca="false">SUMIFS('Source'!$G:$G,'Source'!$A:$A,"160920 SALUS",'Source'!$B:$B,$A17)</f>
        <v>6740.14</v>
      </c>
      <c r="J17" s="8" t="n">
        <f aca="false">I17*$J$5</f>
        <v>8513.86105263158</v>
      </c>
      <c r="K17" s="8" t="n">
        <f aca="false">J17-H17</f>
        <v>6820.72105263158</v>
      </c>
      <c r="L17" s="9" t="n">
        <f aca="false">IF(AND(H17=0,J17=0),0,IF(H17=0,"New",(J17-H17)/H17))</f>
        <v>4.02844481415097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179</v>
      </c>
      <c r="B18" s="7" t="str">
        <f aca="false">IFERROR(INDEX('Source'!$C:$C,MATCH($A18,'Source'!$B:$B,0)),"")</f>
        <v>מתלה ליד לילדים</v>
      </c>
      <c r="C18" s="8" t="n">
        <f aca="false">SUMIFS('Source'!$D:$D,'Source'!$A:$A,"160920 SALUS",'Source'!$B:$B,$A18)</f>
        <v>150</v>
      </c>
      <c r="D18" s="8" t="n">
        <f aca="false">SUMIFS('Source'!$F:$F,'Source'!$A:$A,"160920 SALUS",'Source'!$B:$B,$A18)</f>
        <v>0</v>
      </c>
      <c r="E18" s="8" t="n">
        <f aca="false">D18*$J$5</f>
        <v>0</v>
      </c>
      <c r="F18" s="8" t="n">
        <f aca="false">E18-C18</f>
        <v>-150</v>
      </c>
      <c r="G18" s="9" t="n">
        <f aca="false">IF(AND(C18=0,E18=0),0,IF(C18=0,"New",(E18-C18)/C18))</f>
        <v>-1</v>
      </c>
      <c r="H18" s="8" t="n">
        <f aca="false">SUMIFS('Source'!$E:$E,'Source'!$A:$A,"160920 SALUS",'Source'!$B:$B,$A18)</f>
        <v>3994.45</v>
      </c>
      <c r="I18" s="8" t="n">
        <f aca="false">SUMIFS('Source'!$G:$G,'Source'!$A:$A,"160920 SALUS",'Source'!$B:$B,$A18)</f>
        <v>0</v>
      </c>
      <c r="J18" s="8" t="n">
        <f aca="false">I18*$J$5</f>
        <v>0</v>
      </c>
      <c r="K18" s="8" t="n">
        <f aca="false">J18-H18</f>
        <v>-3994.45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945</v>
      </c>
      <c r="B19" s="7" t="str">
        <f aca="false">IFERROR(INDEX('Source'!$C:$C,MATCH($A19,'Source'!$B:$B,0)),"")</f>
        <v>מגן מרפק</v>
      </c>
      <c r="C19" s="8" t="n">
        <f aca="false">SUMIFS('Source'!$D:$D,'Source'!$A:$A,"160920 SALUS",'Source'!$B:$B,$A19)</f>
        <v>160</v>
      </c>
      <c r="D19" s="8" t="n">
        <f aca="false">SUMIFS('Source'!$F:$F,'Source'!$A:$A,"160920 SALUS",'Source'!$B:$B,$A19)</f>
        <v>370</v>
      </c>
      <c r="E19" s="8" t="n">
        <f aca="false">D19*$J$5</f>
        <v>467.368421052632</v>
      </c>
      <c r="F19" s="8" t="n">
        <f aca="false">E19-C19</f>
        <v>307.368421052632</v>
      </c>
      <c r="G19" s="9" t="n">
        <f aca="false">IF(AND(C19=0,E19=0),0,IF(C19=0,"New",(E19-C19)/C19))</f>
        <v>1.92105263157895</v>
      </c>
      <c r="H19" s="8" t="n">
        <f aca="false">SUMIFS('Source'!$E:$E,'Source'!$A:$A,"160920 SALUS",'Source'!$B:$B,$A19)</f>
        <v>2769.61</v>
      </c>
      <c r="I19" s="8" t="n">
        <f aca="false">SUMIFS('Source'!$G:$G,'Source'!$A:$A,"160920 SALUS",'Source'!$B:$B,$A19)</f>
        <v>6466.05</v>
      </c>
      <c r="J19" s="8" t="n">
        <f aca="false">I19*$J$5</f>
        <v>8167.64210526316</v>
      </c>
      <c r="K19" s="8" t="n">
        <f aca="false">J19-H19</f>
        <v>5398.03210526316</v>
      </c>
      <c r="L19" s="9" t="n">
        <f aca="false">IF(AND(H19=0,J19=0),0,IF(H19=0,"New",(J19-H19)/H19))</f>
        <v>1.94902246354655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483</v>
      </c>
      <c r="B20" s="7" t="str">
        <f aca="false">IFERROR(INDEX('Source'!$C:$C,MATCH($A20,'Source'!$B:$B,0)),"")</f>
        <v>כרית סיליקון לעקב</v>
      </c>
      <c r="C20" s="8" t="n">
        <f aca="false">SUMIFS('Source'!$D:$D,'Source'!$A:$A,"160920 SALUS",'Source'!$B:$B,$A20)</f>
        <v>55</v>
      </c>
      <c r="D20" s="8" t="n">
        <f aca="false">SUMIFS('Source'!$F:$F,'Source'!$A:$A,"160920 SALUS",'Source'!$B:$B,$A20)</f>
        <v>138</v>
      </c>
      <c r="E20" s="8" t="n">
        <f aca="false">D20*$J$5</f>
        <v>174.315789473684</v>
      </c>
      <c r="F20" s="8" t="n">
        <f aca="false">E20-C20</f>
        <v>119.315789473684</v>
      </c>
      <c r="G20" s="9" t="n">
        <f aca="false">IF(AND(C20=0,E20=0),0,IF(C20=0,"New",(E20-C20)/C20))</f>
        <v>2.16937799043062</v>
      </c>
      <c r="H20" s="8" t="n">
        <f aca="false">SUMIFS('Source'!$E:$E,'Source'!$A:$A,"160920 SALUS",'Source'!$B:$B,$A20)</f>
        <v>1420.65</v>
      </c>
      <c r="I20" s="8" t="n">
        <f aca="false">SUMIFS('Source'!$G:$G,'Source'!$A:$A,"160920 SALUS",'Source'!$B:$B,$A20)</f>
        <v>3807.02</v>
      </c>
      <c r="J20" s="8" t="n">
        <f aca="false">I20*$J$5</f>
        <v>4808.86736842105</v>
      </c>
      <c r="K20" s="8" t="n">
        <f aca="false">J20-H20</f>
        <v>3388.21736842105</v>
      </c>
      <c r="L20" s="9" t="n">
        <f aca="false">IF(AND(H20=0,J20=0),0,IF(H20=0,"New",(J20-H20)/H20))</f>
        <v>2.38497685455323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437</v>
      </c>
      <c r="B21" s="7" t="str">
        <f aca="false">IFERROR(INDEX('Source'!$C:$C,MATCH($A21,'Source'!$B:$B,0)),"")</f>
        <v>חגורת גב עם תמיכות</v>
      </c>
      <c r="C21" s="8" t="n">
        <f aca="false">SUMIFS('Source'!$D:$D,'Source'!$A:$A,"160920 SALUS",'Source'!$B:$B,$A21)</f>
        <v>63</v>
      </c>
      <c r="D21" s="8" t="n">
        <f aca="false">SUMIFS('Source'!$F:$F,'Source'!$A:$A,"160920 SALUS",'Source'!$B:$B,$A21)</f>
        <v>130</v>
      </c>
      <c r="E21" s="8" t="n">
        <f aca="false">D21*$J$5</f>
        <v>164.210526315789</v>
      </c>
      <c r="F21" s="8" t="n">
        <f aca="false">E21-C21</f>
        <v>101.210526315789</v>
      </c>
      <c r="G21" s="9" t="n">
        <f aca="false">IF(AND(C21=0,E21=0),0,IF(C21=0,"New",(E21-C21)/C21))</f>
        <v>1.60651629072682</v>
      </c>
      <c r="H21" s="8" t="n">
        <f aca="false">SUMIFS('Source'!$E:$E,'Source'!$A:$A,"160920 SALUS",'Source'!$B:$B,$A21)</f>
        <v>2525.28</v>
      </c>
      <c r="I21" s="8" t="n">
        <f aca="false">SUMIFS('Source'!$G:$G,'Source'!$A:$A,"160920 SALUS",'Source'!$B:$B,$A21)</f>
        <v>4854.01</v>
      </c>
      <c r="J21" s="8" t="n">
        <f aca="false">I21*$J$5</f>
        <v>6131.38105263158</v>
      </c>
      <c r="K21" s="8" t="n">
        <f aca="false">J21-H21</f>
        <v>3606.10105263158</v>
      </c>
      <c r="L21" s="9" t="n">
        <f aca="false">IF(AND(H21=0,J21=0),0,IF(H21=0,"New",(J21-H21)/H21))</f>
        <v>1.42800048019688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96</v>
      </c>
      <c r="B22" s="7" t="str">
        <f aca="false">IFERROR(INDEX('Source'!$C:$C,MATCH($A22,'Source'!$B:$B,0)),"")</f>
        <v>סד יד</v>
      </c>
      <c r="C22" s="8" t="n">
        <f aca="false">SUMIFS('Source'!$D:$D,'Source'!$A:$A,"160920 SALUS",'Source'!$B:$B,$A22)</f>
        <v>5</v>
      </c>
      <c r="D22" s="8" t="n">
        <f aca="false">SUMIFS('Source'!$F:$F,'Source'!$A:$A,"160920 SALUS",'Source'!$B:$B,$A22)</f>
        <v>135</v>
      </c>
      <c r="E22" s="8" t="n">
        <f aca="false">D22*$J$5</f>
        <v>170.526315789474</v>
      </c>
      <c r="F22" s="8" t="n">
        <f aca="false">E22-C22</f>
        <v>165.526315789474</v>
      </c>
      <c r="G22" s="9" t="n">
        <f aca="false">IF(AND(C22=0,E22=0),0,IF(C22=0,"New",(E22-C22)/C22))</f>
        <v>33.1052631578947</v>
      </c>
      <c r="H22" s="8" t="n">
        <f aca="false">SUMIFS('Source'!$E:$E,'Source'!$A:$A,"160920 SALUS",'Source'!$B:$B,$A22)</f>
        <v>78.44</v>
      </c>
      <c r="I22" s="8" t="n">
        <f aca="false">SUMIFS('Source'!$G:$G,'Source'!$A:$A,"160920 SALUS",'Source'!$B:$B,$A22)</f>
        <v>2205.05</v>
      </c>
      <c r="J22" s="8" t="n">
        <f aca="false">I22*$J$5</f>
        <v>2785.32631578947</v>
      </c>
      <c r="K22" s="8" t="n">
        <f aca="false">J22-H22</f>
        <v>2706.88631578947</v>
      </c>
      <c r="L22" s="9" t="n">
        <f aca="false">IF(AND(H22=0,J22=0),0,IF(H22=0,"New",(J22-H22)/H22))</f>
        <v>34.5090045358169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185</v>
      </c>
      <c r="B23" s="7" t="str">
        <f aca="false">IFERROR(INDEX('Source'!$C:$C,MATCH($A23,'Source'!$B:$B,0)),"")</f>
        <v>כרית עם סרט אלסט</v>
      </c>
      <c r="C23" s="8" t="n">
        <f aca="false">SUMIFS('Source'!$D:$D,'Source'!$A:$A,"160920 SALUS",'Source'!$B:$B,$A23)</f>
        <v>245</v>
      </c>
      <c r="D23" s="8" t="n">
        <f aca="false">SUMIFS('Source'!$F:$F,'Source'!$A:$A,"160920 SALUS",'Source'!$B:$B,$A23)</f>
        <v>120</v>
      </c>
      <c r="E23" s="8" t="n">
        <f aca="false">D23*$J$5</f>
        <v>151.578947368421</v>
      </c>
      <c r="F23" s="8" t="n">
        <f aca="false">E23-C23</f>
        <v>-93.421052631579</v>
      </c>
      <c r="G23" s="9" t="n">
        <f aca="false">IF(AND(C23=0,E23=0),0,IF(C23=0,"New",(E23-C23)/C23))</f>
        <v>-0.381310418904404</v>
      </c>
      <c r="H23" s="8" t="n">
        <f aca="false">SUMIFS('Source'!$E:$E,'Source'!$A:$A,"160920 SALUS",'Source'!$B:$B,$A23)</f>
        <v>3935.91</v>
      </c>
      <c r="I23" s="8" t="n">
        <f aca="false">SUMIFS('Source'!$G:$G,'Source'!$A:$A,"160920 SALUS",'Source'!$B:$B,$A23)</f>
        <v>1863.2</v>
      </c>
      <c r="J23" s="8" t="n">
        <f aca="false">I23*$J$5</f>
        <v>2353.51578947368</v>
      </c>
      <c r="K23" s="8" t="n">
        <f aca="false">J23-H23</f>
        <v>-1582.39421052632</v>
      </c>
      <c r="L23" s="9" t="n">
        <f aca="false">IF(AND(H23=0,J23=0),0,IF(H23=0,"New",(J23-H23)/H23))</f>
        <v>-0.402040242415684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582</v>
      </c>
      <c r="B24" s="7" t="str">
        <f aca="false">IFERROR(INDEX('Source'!$C:$C,MATCH($A24,'Source'!$B:$B,0)),"")</f>
        <v>חבק לשורש כף היד</v>
      </c>
      <c r="C24" s="8" t="n">
        <f aca="false">SUMIFS('Source'!$D:$D,'Source'!$A:$A,"160920 SALUS",'Source'!$B:$B,$A24)</f>
        <v>1090</v>
      </c>
      <c r="D24" s="8" t="n">
        <f aca="false">SUMIFS('Source'!$F:$F,'Source'!$A:$A,"160920 SALUS",'Source'!$B:$B,$A24)</f>
        <v>1000</v>
      </c>
      <c r="E24" s="8" t="n">
        <f aca="false">D24*$J$5</f>
        <v>1263.15789473684</v>
      </c>
      <c r="F24" s="8" t="n">
        <f aca="false">E24-C24</f>
        <v>173.157894736842</v>
      </c>
      <c r="G24" s="9" t="n">
        <f aca="false">IF(AND(C24=0,E24=0),0,IF(C24=0,"New",(E24-C24)/C24))</f>
        <v>0.158860453887011</v>
      </c>
      <c r="H24" s="8" t="n">
        <f aca="false">SUMIFS('Source'!$E:$E,'Source'!$A:$A,"160920 SALUS",'Source'!$B:$B,$A24)</f>
        <v>16499.24</v>
      </c>
      <c r="I24" s="8" t="n">
        <f aca="false">SUMIFS('Source'!$G:$G,'Source'!$A:$A,"160920 SALUS",'Source'!$B:$B,$A24)</f>
        <v>14547.47</v>
      </c>
      <c r="J24" s="8" t="n">
        <f aca="false">I24*$J$5</f>
        <v>18375.7515789474</v>
      </c>
      <c r="K24" s="8" t="n">
        <f aca="false">J24-H24</f>
        <v>1876.51157894736</v>
      </c>
      <c r="L24" s="9" t="n">
        <f aca="false">IF(AND(H24=0,J24=0),0,IF(H24=0,"New",(J24-H24)/H24))</f>
        <v>0.113733213102383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441</v>
      </c>
      <c r="B25" s="7" t="str">
        <f aca="false">IFERROR(INDEX('Source'!$C:$C,MATCH($A25,'Source'!$B:$B,0)),"")</f>
        <v>מגן קרסול</v>
      </c>
      <c r="C25" s="8" t="n">
        <f aca="false">SUMIFS('Source'!$D:$D,'Source'!$A:$A,"160920 SALUS",'Source'!$B:$B,$A25)</f>
        <v>144</v>
      </c>
      <c r="D25" s="8" t="n">
        <f aca="false">SUMIFS('Source'!$F:$F,'Source'!$A:$A,"160920 SALUS",'Source'!$B:$B,$A25)</f>
        <v>50</v>
      </c>
      <c r="E25" s="8" t="n">
        <f aca="false">D25*$J$5</f>
        <v>63.1578947368421</v>
      </c>
      <c r="F25" s="8" t="n">
        <f aca="false">E25-C25</f>
        <v>-80.8421052631579</v>
      </c>
      <c r="G25" s="9" t="n">
        <f aca="false">IF(AND(C25=0,E25=0),0,IF(C25=0,"New",(E25-C25)/C25))</f>
        <v>-0.56140350877193</v>
      </c>
      <c r="H25" s="8" t="n">
        <f aca="false">SUMIFS('Source'!$E:$E,'Source'!$A:$A,"160920 SALUS",'Source'!$B:$B,$A25)</f>
        <v>2751.43</v>
      </c>
      <c r="I25" s="8" t="n">
        <f aca="false">SUMIFS('Source'!$G:$G,'Source'!$A:$A,"160920 SALUS",'Source'!$B:$B,$A25)</f>
        <v>823.12</v>
      </c>
      <c r="J25" s="8" t="n">
        <f aca="false">I25*$J$5</f>
        <v>1039.73052631579</v>
      </c>
      <c r="K25" s="8" t="n">
        <f aca="false">J25-H25</f>
        <v>-1711.69947368421</v>
      </c>
      <c r="L25" s="9" t="n">
        <f aca="false">IF(AND(H25=0,J25=0),0,IF(H25=0,"New",(J25-H25)/H25))</f>
        <v>-0.622112673658501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575</v>
      </c>
      <c r="B26" s="7" t="str">
        <f aca="false">IFERROR(INDEX('Source'!$C:$C,MATCH($A26,'Source'!$B:$B,0)),"")</f>
        <v>מגן קרסול</v>
      </c>
      <c r="C26" s="8" t="n">
        <f aca="false">SUMIFS('Source'!$D:$D,'Source'!$A:$A,"160920 SALUS",'Source'!$B:$B,$A26)</f>
        <v>550</v>
      </c>
      <c r="D26" s="8" t="n">
        <f aca="false">SUMIFS('Source'!$F:$F,'Source'!$A:$A,"160920 SALUS",'Source'!$B:$B,$A26)</f>
        <v>490</v>
      </c>
      <c r="E26" s="8" t="n">
        <f aca="false">D26*$J$5</f>
        <v>618.947368421053</v>
      </c>
      <c r="F26" s="8" t="n">
        <f aca="false">E26-C26</f>
        <v>68.9473684210526</v>
      </c>
      <c r="G26" s="9" t="n">
        <f aca="false">IF(AND(C26=0,E26=0),0,IF(C26=0,"New",(E26-C26)/C26))</f>
        <v>0.125358851674641</v>
      </c>
      <c r="H26" s="8" t="n">
        <f aca="false">SUMIFS('Source'!$E:$E,'Source'!$A:$A,"160920 SALUS",'Source'!$B:$B,$A26)</f>
        <v>8740.02</v>
      </c>
      <c r="I26" s="8" t="n">
        <f aca="false">SUMIFS('Source'!$G:$G,'Source'!$A:$A,"160920 SALUS",'Source'!$B:$B,$A26)</f>
        <v>6920.5</v>
      </c>
      <c r="J26" s="8" t="n">
        <f aca="false">I26*$J$5</f>
        <v>8741.68421052632</v>
      </c>
      <c r="K26" s="8" t="n">
        <f aca="false">J26-H26</f>
        <v>1.66421052631449</v>
      </c>
      <c r="L26" s="9" t="n">
        <f aca="false">IF(AND(H26=0,J26=0),0,IF(H26=0,"New",(J26-H26)/H26))</f>
        <v>0.000190412667970381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224</v>
      </c>
      <c r="B27" s="7" t="str">
        <f aca="false">IFERROR(INDEX('Source'!$C:$C,MATCH($A27,'Source'!$B:$B,0)),"")</f>
        <v>סד קרסול</v>
      </c>
      <c r="C27" s="8" t="n">
        <f aca="false">SUMIFS('Source'!$D:$D,'Source'!$A:$A,"160920 SALUS",'Source'!$B:$B,$A27)</f>
        <v>25</v>
      </c>
      <c r="D27" s="8" t="n">
        <f aca="false">SUMIFS('Source'!$F:$F,'Source'!$A:$A,"160920 SALUS",'Source'!$B:$B,$A27)</f>
        <v>0</v>
      </c>
      <c r="E27" s="8" t="n">
        <f aca="false">D27*$J$5</f>
        <v>0</v>
      </c>
      <c r="F27" s="8" t="n">
        <f aca="false">E27-C27</f>
        <v>-25</v>
      </c>
      <c r="G27" s="9" t="n">
        <f aca="false">IF(AND(C27=0,E27=0),0,IF(C27=0,"New",(E27-C27)/C27))</f>
        <v>-1</v>
      </c>
      <c r="H27" s="8" t="n">
        <f aca="false">SUMIFS('Source'!$E:$E,'Source'!$A:$A,"160920 SALUS",'Source'!$B:$B,$A27)</f>
        <v>1802.01</v>
      </c>
      <c r="I27" s="8" t="n">
        <f aca="false">SUMIFS('Source'!$G:$G,'Source'!$A:$A,"160920 SALUS",'Source'!$B:$B,$A27)</f>
        <v>0</v>
      </c>
      <c r="J27" s="8" t="n">
        <f aca="false">I27*$J$5</f>
        <v>0</v>
      </c>
      <c r="K27" s="8" t="n">
        <f aca="false">J27-H27</f>
        <v>-1802.01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484</v>
      </c>
      <c r="B28" s="7" t="str">
        <f aca="false">IFERROR(INDEX('Source'!$C:$C,MATCH($A28,'Source'!$B:$B,0)),"")</f>
        <v>סד קרסול</v>
      </c>
      <c r="C28" s="8" t="n">
        <f aca="false">SUMIFS('Source'!$D:$D,'Source'!$A:$A,"160920 SALUS",'Source'!$B:$B,$A28)</f>
        <v>22</v>
      </c>
      <c r="D28" s="8" t="n">
        <f aca="false">SUMIFS('Source'!$F:$F,'Source'!$A:$A,"160920 SALUS",'Source'!$B:$B,$A28)</f>
        <v>0</v>
      </c>
      <c r="E28" s="8" t="n">
        <f aca="false">D28*$J$5</f>
        <v>0</v>
      </c>
      <c r="F28" s="8" t="n">
        <f aca="false">E28-C28</f>
        <v>-22</v>
      </c>
      <c r="G28" s="9" t="n">
        <f aca="false">IF(AND(C28=0,E28=0),0,IF(C28=0,"New",(E28-C28)/C28))</f>
        <v>-1</v>
      </c>
      <c r="H28" s="8" t="n">
        <f aca="false">SUMIFS('Source'!$E:$E,'Source'!$A:$A,"160920 SALUS",'Source'!$B:$B,$A28)</f>
        <v>1683.08</v>
      </c>
      <c r="I28" s="8" t="n">
        <f aca="false">SUMIFS('Source'!$G:$G,'Source'!$A:$A,"160920 SALUS",'Source'!$B:$B,$A28)</f>
        <v>0</v>
      </c>
      <c r="J28" s="8" t="n">
        <f aca="false">I28*$J$5</f>
        <v>0</v>
      </c>
      <c r="K28" s="8" t="n">
        <f aca="false">J28-H28</f>
        <v>-1683.08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229</v>
      </c>
      <c r="B29" s="7" t="str">
        <f aca="false">IFERROR(INDEX('Source'!$C:$C,MATCH($A29,'Source'!$B:$B,0)),"")</f>
        <v>מכשיר ליצוב הבוהן</v>
      </c>
      <c r="C29" s="8" t="n">
        <f aca="false">SUMIFS('Source'!$D:$D,'Source'!$A:$A,"160920 SALUS",'Source'!$B:$B,$A29)</f>
        <v>20</v>
      </c>
      <c r="D29" s="8" t="n">
        <f aca="false">SUMIFS('Source'!$F:$F,'Source'!$A:$A,"160920 SALUS",'Source'!$B:$B,$A29)</f>
        <v>75</v>
      </c>
      <c r="E29" s="8" t="n">
        <f aca="false">D29*$J$5</f>
        <v>94.7368421052632</v>
      </c>
      <c r="F29" s="8" t="n">
        <f aca="false">E29-C29</f>
        <v>74.7368421052632</v>
      </c>
      <c r="G29" s="9" t="n">
        <f aca="false">IF(AND(C29=0,E29=0),0,IF(C29=0,"New",(E29-C29)/C29))</f>
        <v>3.73684210526316</v>
      </c>
      <c r="H29" s="8" t="n">
        <f aca="false">SUMIFS('Source'!$E:$E,'Source'!$A:$A,"160920 SALUS",'Source'!$B:$B,$A29)</f>
        <v>605.85</v>
      </c>
      <c r="I29" s="8" t="n">
        <f aca="false">SUMIFS('Source'!$G:$G,'Source'!$A:$A,"160920 SALUS",'Source'!$B:$B,$A29)</f>
        <v>2281.75</v>
      </c>
      <c r="J29" s="8" t="n">
        <f aca="false">I29*$J$5</f>
        <v>2882.21052631579</v>
      </c>
      <c r="K29" s="8" t="n">
        <f aca="false">J29-H29</f>
        <v>2276.36052631579</v>
      </c>
      <c r="L29" s="9" t="n">
        <f aca="false">IF(AND(H29=0,J29=0),0,IF(H29=0,"New",(J29-H29)/H29))</f>
        <v>3.75730053035535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954</v>
      </c>
      <c r="B30" s="7" t="str">
        <f aca="false">IFERROR(INDEX('Source'!$C:$C,MATCH($A30,'Source'!$B:$B,0)),"")</f>
        <v>חגורת גב + מוטות</v>
      </c>
      <c r="C30" s="8" t="n">
        <f aca="false">SUMIFS('Source'!$D:$D,'Source'!$A:$A,"160920 SALUS",'Source'!$B:$B,$A30)</f>
        <v>30</v>
      </c>
      <c r="D30" s="8" t="n">
        <f aca="false">SUMIFS('Source'!$F:$F,'Source'!$A:$A,"160920 SALUS",'Source'!$B:$B,$A30)</f>
        <v>0</v>
      </c>
      <c r="E30" s="8" t="n">
        <f aca="false">D30*$J$5</f>
        <v>0</v>
      </c>
      <c r="F30" s="8" t="n">
        <f aca="false">E30-C30</f>
        <v>-30</v>
      </c>
      <c r="G30" s="9" t="n">
        <f aca="false">IF(AND(C30=0,E30=0),0,IF(C30=0,"New",(E30-C30)/C30))</f>
        <v>-1</v>
      </c>
      <c r="H30" s="8" t="n">
        <f aca="false">SUMIFS('Source'!$E:$E,'Source'!$A:$A,"160920 SALUS",'Source'!$B:$B,$A30)</f>
        <v>1557.91</v>
      </c>
      <c r="I30" s="8" t="n">
        <f aca="false">SUMIFS('Source'!$G:$G,'Source'!$A:$A,"160920 SALUS",'Source'!$B:$B,$A30)</f>
        <v>0</v>
      </c>
      <c r="J30" s="8" t="n">
        <f aca="false">I30*$J$5</f>
        <v>0</v>
      </c>
      <c r="K30" s="8" t="n">
        <f aca="false">J30-H30</f>
        <v>-1557.91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351</v>
      </c>
      <c r="B31" s="7" t="str">
        <f aca="false">IFERROR(INDEX('Source'!$C:$C,MATCH($A31,'Source'!$B:$B,0)),"")</f>
        <v>מגן לכתף ימין/שמאל</v>
      </c>
      <c r="C31" s="8" t="n">
        <f aca="false">SUMIFS('Source'!$D:$D,'Source'!$A:$A,"160920 SALUS",'Source'!$B:$B,$A31)</f>
        <v>0</v>
      </c>
      <c r="D31" s="8" t="n">
        <f aca="false">SUMIFS('Source'!$F:$F,'Source'!$A:$A,"160920 SALUS",'Source'!$B:$B,$A31)</f>
        <v>20</v>
      </c>
      <c r="E31" s="8" t="n">
        <f aca="false">D31*$J$5</f>
        <v>25.2631578947368</v>
      </c>
      <c r="F31" s="8" t="n">
        <f aca="false">E31-C31</f>
        <v>25.2631578947368</v>
      </c>
      <c r="G31" s="9" t="str">
        <f aca="false">IF(AND(C31=0,E31=0),0,IF(C31=0,"New",(E31-C31)/C31))</f>
        <v>New</v>
      </c>
      <c r="H31" s="8" t="n">
        <f aca="false">SUMIFS('Source'!$E:$E,'Source'!$A:$A,"160920 SALUS",'Source'!$B:$B,$A31)</f>
        <v>0</v>
      </c>
      <c r="I31" s="8" t="n">
        <f aca="false">SUMIFS('Source'!$G:$G,'Source'!$A:$A,"160920 SALUS",'Source'!$B:$B,$A31)</f>
        <v>1491.45</v>
      </c>
      <c r="J31" s="8" t="n">
        <f aca="false">I31*$J$5</f>
        <v>1883.93684210526</v>
      </c>
      <c r="K31" s="8" t="n">
        <f aca="false">J31-H31</f>
        <v>1883.93684210526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766</v>
      </c>
      <c r="B32" s="7" t="str">
        <f aca="false">IFERROR(INDEX('Source'!$C:$C,MATCH($A32,'Source'!$B:$B,0)),"")</f>
        <v>מגן ברך ארוך</v>
      </c>
      <c r="C32" s="8" t="n">
        <f aca="false">SUMIFS('Source'!$D:$D,'Source'!$A:$A,"160920 SALUS",'Source'!$B:$B,$A32)</f>
        <v>0</v>
      </c>
      <c r="D32" s="8" t="n">
        <f aca="false">SUMIFS('Source'!$F:$F,'Source'!$A:$A,"160920 SALUS",'Source'!$B:$B,$A32)</f>
        <v>130</v>
      </c>
      <c r="E32" s="8" t="n">
        <f aca="false">D32*$J$5</f>
        <v>164.210526315789</v>
      </c>
      <c r="F32" s="8" t="n">
        <f aca="false">E32-C32</f>
        <v>164.210526315789</v>
      </c>
      <c r="G32" s="9" t="str">
        <f aca="false">IF(AND(C32=0,E32=0),0,IF(C32=0,"New",(E32-C32)/C32))</f>
        <v>New</v>
      </c>
      <c r="H32" s="8" t="n">
        <f aca="false">SUMIFS('Source'!$E:$E,'Source'!$A:$A,"160920 SALUS",'Source'!$B:$B,$A32)</f>
        <v>0</v>
      </c>
      <c r="I32" s="8" t="n">
        <f aca="false">SUMIFS('Source'!$G:$G,'Source'!$A:$A,"160920 SALUS",'Source'!$B:$B,$A32)</f>
        <v>1364.96</v>
      </c>
      <c r="J32" s="8" t="n">
        <f aca="false">I32*$J$5</f>
        <v>1724.16</v>
      </c>
      <c r="K32" s="8" t="n">
        <f aca="false">J32-H32</f>
        <v>1724.16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143</v>
      </c>
      <c r="B33" s="7" t="str">
        <f aca="false">IFERROR(INDEX('Source'!$C:$C,MATCH($A33,'Source'!$B:$B,0)),"")</f>
        <v>סד יד דו צדדי</v>
      </c>
      <c r="C33" s="8" t="n">
        <f aca="false">SUMIFS('Source'!$D:$D,'Source'!$A:$A,"160920 SALUS",'Source'!$B:$B,$A33)</f>
        <v>310</v>
      </c>
      <c r="D33" s="8" t="n">
        <f aca="false">SUMIFS('Source'!$F:$F,'Source'!$A:$A,"160920 SALUS",'Source'!$B:$B,$A33)</f>
        <v>250</v>
      </c>
      <c r="E33" s="8" t="n">
        <f aca="false">D33*$J$5</f>
        <v>315.789473684211</v>
      </c>
      <c r="F33" s="8" t="n">
        <f aca="false">E33-C33</f>
        <v>5.78947368421052</v>
      </c>
      <c r="G33" s="9" t="n">
        <f aca="false">IF(AND(C33=0,E33=0),0,IF(C33=0,"New",(E33-C33)/C33))</f>
        <v>0.0186757215619694</v>
      </c>
      <c r="H33" s="8" t="n">
        <f aca="false">SUMIFS('Source'!$E:$E,'Source'!$A:$A,"160920 SALUS",'Source'!$B:$B,$A33)</f>
        <v>6833.21</v>
      </c>
      <c r="I33" s="8" t="n">
        <f aca="false">SUMIFS('Source'!$G:$G,'Source'!$A:$A,"160920 SALUS",'Source'!$B:$B,$A33)</f>
        <v>5491.17</v>
      </c>
      <c r="J33" s="8" t="n">
        <f aca="false">I33*$J$5</f>
        <v>6936.21473684211</v>
      </c>
      <c r="K33" s="8" t="n">
        <f aca="false">J33-H33</f>
        <v>103.004736842104</v>
      </c>
      <c r="L33" s="9" t="n">
        <f aca="false">IF(AND(H33=0,J33=0),0,IF(H33=0,"New",(J33-H33)/H33))</f>
        <v>0.0150741359978844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616</v>
      </c>
      <c r="B34" s="7" t="str">
        <f aca="false">IFERROR(INDEX('Source'!$C:$C,MATCH($A34,'Source'!$B:$B,0)),"")</f>
        <v>מגן קרסול סגור</v>
      </c>
      <c r="C34" s="8" t="n">
        <f aca="false">SUMIFS('Source'!$D:$D,'Source'!$A:$A,"160920 SALUS",'Source'!$B:$B,$A34)</f>
        <v>60</v>
      </c>
      <c r="D34" s="8" t="n">
        <f aca="false">SUMIFS('Source'!$F:$F,'Source'!$A:$A,"160920 SALUS",'Source'!$B:$B,$A34)</f>
        <v>0</v>
      </c>
      <c r="E34" s="8" t="n">
        <f aca="false">D34*$J$5</f>
        <v>0</v>
      </c>
      <c r="F34" s="8" t="n">
        <f aca="false">E34-C34</f>
        <v>-60</v>
      </c>
      <c r="G34" s="9" t="n">
        <f aca="false">IF(AND(C34=0,E34=0),0,IF(C34=0,"New",(E34-C34)/C34))</f>
        <v>-1</v>
      </c>
      <c r="H34" s="8" t="n">
        <f aca="false">SUMIFS('Source'!$E:$E,'Source'!$A:$A,"160920 SALUS",'Source'!$B:$B,$A34)</f>
        <v>1308.91</v>
      </c>
      <c r="I34" s="8" t="n">
        <f aca="false">SUMIFS('Source'!$G:$G,'Source'!$A:$A,"160920 SALUS",'Source'!$B:$B,$A34)</f>
        <v>0</v>
      </c>
      <c r="J34" s="8" t="n">
        <f aca="false">I34*$J$5</f>
        <v>0</v>
      </c>
      <c r="K34" s="8" t="n">
        <f aca="false">J34-H34</f>
        <v>-1308.91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955</v>
      </c>
      <c r="B35" s="7" t="str">
        <f aca="false">IFERROR(INDEX('Source'!$C:$C,MATCH($A35,'Source'!$B:$B,0)),"")</f>
        <v>מגן ברך מנאופרן 2 ממ שחור</v>
      </c>
      <c r="C35" s="8" t="n">
        <f aca="false">SUMIFS('Source'!$D:$D,'Source'!$A:$A,"160920 SALUS",'Source'!$B:$B,$A35)</f>
        <v>0</v>
      </c>
      <c r="D35" s="8" t="n">
        <f aca="false">SUMIFS('Source'!$F:$F,'Source'!$A:$A,"160920 SALUS",'Source'!$B:$B,$A35)</f>
        <v>15</v>
      </c>
      <c r="E35" s="8" t="n">
        <f aca="false">D35*$J$5</f>
        <v>18.9473684210526</v>
      </c>
      <c r="F35" s="8" t="n">
        <f aca="false">E35-C35</f>
        <v>18.9473684210526</v>
      </c>
      <c r="G35" s="9" t="str">
        <f aca="false">IF(AND(C35=0,E35=0),0,IF(C35=0,"New",(E35-C35)/C35))</f>
        <v>New</v>
      </c>
      <c r="H35" s="8" t="n">
        <f aca="false">SUMIFS('Source'!$E:$E,'Source'!$A:$A,"160920 SALUS",'Source'!$B:$B,$A35)</f>
        <v>0</v>
      </c>
      <c r="I35" s="8" t="n">
        <f aca="false">SUMIFS('Source'!$G:$G,'Source'!$A:$A,"160920 SALUS",'Source'!$B:$B,$A35)</f>
        <v>1289.87</v>
      </c>
      <c r="J35" s="8" t="n">
        <f aca="false">I35*$J$5</f>
        <v>1629.30947368421</v>
      </c>
      <c r="K35" s="8" t="n">
        <f aca="false">J35-H35</f>
        <v>1629.30947368421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469</v>
      </c>
      <c r="B36" s="7" t="str">
        <f aca="false">IFERROR(INDEX('Source'!$C:$C,MATCH($A36,'Source'!$B:$B,0)),"")</f>
        <v>מדרס מג'ל</v>
      </c>
      <c r="C36" s="8" t="n">
        <f aca="false">SUMIFS('Source'!$D:$D,'Source'!$A:$A,"160920 SALUS",'Source'!$B:$B,$A36)</f>
        <v>24</v>
      </c>
      <c r="D36" s="8" t="n">
        <f aca="false">SUMIFS('Source'!$F:$F,'Source'!$A:$A,"160920 SALUS",'Source'!$B:$B,$A36)</f>
        <v>73</v>
      </c>
      <c r="E36" s="8" t="n">
        <f aca="false">D36*$J$5</f>
        <v>92.2105263157895</v>
      </c>
      <c r="F36" s="8" t="n">
        <f aca="false">E36-C36</f>
        <v>68.2105263157895</v>
      </c>
      <c r="G36" s="9" t="n">
        <f aca="false">IF(AND(C36=0,E36=0),0,IF(C36=0,"New",(E36-C36)/C36))</f>
        <v>2.84210526315789</v>
      </c>
      <c r="H36" s="8" t="n">
        <f aca="false">SUMIFS('Source'!$E:$E,'Source'!$A:$A,"160920 SALUS",'Source'!$B:$B,$A36)</f>
        <v>689.66</v>
      </c>
      <c r="I36" s="8" t="n">
        <f aca="false">SUMIFS('Source'!$G:$G,'Source'!$A:$A,"160920 SALUS",'Source'!$B:$B,$A36)</f>
        <v>1953.75</v>
      </c>
      <c r="J36" s="8" t="n">
        <f aca="false">I36*$J$5</f>
        <v>2467.89473684211</v>
      </c>
      <c r="K36" s="8" t="n">
        <f aca="false">J36-H36</f>
        <v>1778.23473684211</v>
      </c>
      <c r="L36" s="9" t="n">
        <f aca="false">IF(AND(H36=0,J36=0),0,IF(H36=0,"New",(J36-H36)/H36))</f>
        <v>2.57842231946482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248</v>
      </c>
      <c r="B37" s="7" t="str">
        <f aca="false">IFERROR(INDEX('Source'!$C:$C,MATCH($A37,'Source'!$B:$B,0)),"")</f>
        <v>מגן לכתף ימין/שמאל</v>
      </c>
      <c r="C37" s="8" t="n">
        <f aca="false">SUMIFS('Source'!$D:$D,'Source'!$A:$A,"160920 SALUS",'Source'!$B:$B,$A37)</f>
        <v>0</v>
      </c>
      <c r="D37" s="8" t="n">
        <f aca="false">SUMIFS('Source'!$F:$F,'Source'!$A:$A,"160920 SALUS",'Source'!$B:$B,$A37)</f>
        <v>15</v>
      </c>
      <c r="E37" s="8" t="n">
        <f aca="false">D37*$J$5</f>
        <v>18.9473684210526</v>
      </c>
      <c r="F37" s="8" t="n">
        <f aca="false">E37-C37</f>
        <v>18.9473684210526</v>
      </c>
      <c r="G37" s="9" t="str">
        <f aca="false">IF(AND(C37=0,E37=0),0,IF(C37=0,"New",(E37-C37)/C37))</f>
        <v>New</v>
      </c>
      <c r="H37" s="8" t="n">
        <f aca="false">SUMIFS('Source'!$E:$E,'Source'!$A:$A,"160920 SALUS",'Source'!$B:$B,$A37)</f>
        <v>0</v>
      </c>
      <c r="I37" s="8" t="n">
        <f aca="false">SUMIFS('Source'!$G:$G,'Source'!$A:$A,"160920 SALUS",'Source'!$B:$B,$A37)</f>
        <v>1118.59</v>
      </c>
      <c r="J37" s="8" t="n">
        <f aca="false">I37*$J$5</f>
        <v>1412.95578947368</v>
      </c>
      <c r="K37" s="8" t="n">
        <f aca="false">J37-H37</f>
        <v>1412.95578947368</v>
      </c>
      <c r="L37" s="9" t="str">
        <f aca="false">IF(AND(H37=0,J37=0),0,IF(H37=0,"New",(J37-H37)/H37))</f>
        <v>New</v>
      </c>
      <c r="M37" s="7" t="str">
        <f aca="false">IF(AND(OR(C37&lt;&gt;0,H37&lt;&gt;0),D37=0,I37=0),"DROP",IF(AND(OR(D37&lt;&gt;0,I37&lt;&gt;0),C37=0,H37=0),"NEW",""))</f>
        <v>NEW</v>
      </c>
    </row>
    <row r="38" customFormat="false" ht="15" hidden="false" customHeight="false" outlineLevel="0" collapsed="false">
      <c r="A38" s="7" t="s">
        <v>253</v>
      </c>
      <c r="B38" s="7" t="str">
        <f aca="false">IFERROR(INDEX('Source'!$C:$C,MATCH($A38,'Source'!$B:$B,0)),"")</f>
        <v>סד לאגודל</v>
      </c>
      <c r="C38" s="8" t="n">
        <f aca="false">SUMIFS('Source'!$D:$D,'Source'!$A:$A,"160920 SALUS",'Source'!$B:$B,$A38)</f>
        <v>180</v>
      </c>
      <c r="D38" s="8" t="n">
        <f aca="false">SUMIFS('Source'!$F:$F,'Source'!$A:$A,"160920 SALUS",'Source'!$B:$B,$A38)</f>
        <v>250</v>
      </c>
      <c r="E38" s="8" t="n">
        <f aca="false">D38*$J$5</f>
        <v>315.789473684211</v>
      </c>
      <c r="F38" s="8" t="n">
        <f aca="false">E38-C38</f>
        <v>135.789473684211</v>
      </c>
      <c r="G38" s="9" t="n">
        <f aca="false">IF(AND(C38=0,E38=0),0,IF(C38=0,"New",(E38-C38)/C38))</f>
        <v>0.754385964912281</v>
      </c>
      <c r="H38" s="8" t="n">
        <f aca="false">SUMIFS('Source'!$E:$E,'Source'!$A:$A,"160920 SALUS",'Source'!$B:$B,$A38)</f>
        <v>2502.39</v>
      </c>
      <c r="I38" s="8" t="n">
        <f aca="false">SUMIFS('Source'!$G:$G,'Source'!$A:$A,"160920 SALUS",'Source'!$B:$B,$A38)</f>
        <v>3617.87</v>
      </c>
      <c r="J38" s="8" t="n">
        <f aca="false">I38*$J$5</f>
        <v>4569.94105263158</v>
      </c>
      <c r="K38" s="8" t="n">
        <f aca="false">J38-H38</f>
        <v>2067.55105263158</v>
      </c>
      <c r="L38" s="9" t="n">
        <f aca="false">IF(AND(H38=0,J38=0),0,IF(H38=0,"New",(J38-H38)/H38))</f>
        <v>0.826230544651944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563</v>
      </c>
      <c r="B39" s="7" t="str">
        <f aca="false">IFERROR(INDEX('Source'!$C:$C,MATCH($A39,'Source'!$B:$B,0)),"")</f>
        <v>מגן קרסול פתוח</v>
      </c>
      <c r="C39" s="8" t="n">
        <f aca="false">SUMIFS('Source'!$D:$D,'Source'!$A:$A,"160920 SALUS",'Source'!$B:$B,$A39)</f>
        <v>180</v>
      </c>
      <c r="D39" s="8" t="n">
        <f aca="false">SUMIFS('Source'!$F:$F,'Source'!$A:$A,"160920 SALUS",'Source'!$B:$B,$A39)</f>
        <v>79</v>
      </c>
      <c r="E39" s="8" t="n">
        <f aca="false">D39*$J$5</f>
        <v>99.7894736842105</v>
      </c>
      <c r="F39" s="8" t="n">
        <f aca="false">E39-C39</f>
        <v>-80.2105263157895</v>
      </c>
      <c r="G39" s="9" t="n">
        <f aca="false">IF(AND(C39=0,E39=0),0,IF(C39=0,"New",(E39-C39)/C39))</f>
        <v>-0.445614035087719</v>
      </c>
      <c r="H39" s="8" t="n">
        <f aca="false">SUMIFS('Source'!$E:$E,'Source'!$A:$A,"160920 SALUS",'Source'!$B:$B,$A39)</f>
        <v>1962.61</v>
      </c>
      <c r="I39" s="8" t="n">
        <f aca="false">SUMIFS('Source'!$G:$G,'Source'!$A:$A,"160920 SALUS",'Source'!$B:$B,$A39)</f>
        <v>870.8</v>
      </c>
      <c r="J39" s="8" t="n">
        <f aca="false">I39*$J$5</f>
        <v>1099.95789473684</v>
      </c>
      <c r="K39" s="8" t="n">
        <f aca="false">J39-H39</f>
        <v>-862.652105263158</v>
      </c>
      <c r="L39" s="9" t="n">
        <f aca="false">IF(AND(H39=0,J39=0),0,IF(H39=0,"New",(J39-H39)/H39))</f>
        <v>-0.439543314903704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222</v>
      </c>
      <c r="B40" s="7" t="str">
        <f aca="false">IFERROR(INDEX('Source'!$C:$C,MATCH($A40,'Source'!$B:$B,0)),"")</f>
        <v>רפידת ג'ל זיכרון M בז'</v>
      </c>
      <c r="C40" s="8" t="n">
        <f aca="false">SUMIFS('Source'!$D:$D,'Source'!$A:$A,"160920 SALUS",'Source'!$B:$B,$A40)</f>
        <v>36</v>
      </c>
      <c r="D40" s="8" t="n">
        <f aca="false">SUMIFS('Source'!$F:$F,'Source'!$A:$A,"160920 SALUS",'Source'!$B:$B,$A40)</f>
        <v>0</v>
      </c>
      <c r="E40" s="8" t="n">
        <f aca="false">D40*$J$5</f>
        <v>0</v>
      </c>
      <c r="F40" s="8" t="n">
        <f aca="false">E40-C40</f>
        <v>-36</v>
      </c>
      <c r="G40" s="9" t="n">
        <f aca="false">IF(AND(C40=0,E40=0),0,IF(C40=0,"New",(E40-C40)/C40))</f>
        <v>-1</v>
      </c>
      <c r="H40" s="8" t="n">
        <f aca="false">SUMIFS('Source'!$E:$E,'Source'!$A:$A,"160920 SALUS",'Source'!$B:$B,$A40)</f>
        <v>1061.57</v>
      </c>
      <c r="I40" s="8" t="n">
        <f aca="false">SUMIFS('Source'!$G:$G,'Source'!$A:$A,"160920 SALUS",'Source'!$B:$B,$A40)</f>
        <v>0</v>
      </c>
      <c r="J40" s="8" t="n">
        <f aca="false">I40*$J$5</f>
        <v>0</v>
      </c>
      <c r="K40" s="8" t="n">
        <f aca="false">J40-H40</f>
        <v>-1061.57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227</v>
      </c>
      <c r="B41" s="7" t="str">
        <f aca="false">IFERROR(INDEX('Source'!$C:$C,MATCH($A41,'Source'!$B:$B,0)),"")</f>
        <v>כרית סיליקון לעקב</v>
      </c>
      <c r="C41" s="8" t="n">
        <f aca="false">SUMIFS('Source'!$D:$D,'Source'!$A:$A,"160920 SALUS",'Source'!$B:$B,$A41)</f>
        <v>25</v>
      </c>
      <c r="D41" s="8" t="n">
        <f aca="false">SUMIFS('Source'!$F:$F,'Source'!$A:$A,"160920 SALUS",'Source'!$B:$B,$A41)</f>
        <v>59</v>
      </c>
      <c r="E41" s="8" t="n">
        <f aca="false">D41*$J$5</f>
        <v>74.5263157894737</v>
      </c>
      <c r="F41" s="8" t="n">
        <f aca="false">E41-C41</f>
        <v>49.5263157894737</v>
      </c>
      <c r="G41" s="9" t="n">
        <f aca="false">IF(AND(C41=0,E41=0),0,IF(C41=0,"New",(E41-C41)/C41))</f>
        <v>1.98105263157895</v>
      </c>
      <c r="H41" s="8" t="n">
        <f aca="false">SUMIFS('Source'!$E:$E,'Source'!$A:$A,"160920 SALUS",'Source'!$B:$B,$A41)</f>
        <v>645.74</v>
      </c>
      <c r="I41" s="8" t="n">
        <f aca="false">SUMIFS('Source'!$G:$G,'Source'!$A:$A,"160920 SALUS",'Source'!$B:$B,$A41)</f>
        <v>1611.57</v>
      </c>
      <c r="J41" s="8" t="n">
        <f aca="false">I41*$J$5</f>
        <v>2035.66736842105</v>
      </c>
      <c r="K41" s="8" t="n">
        <f aca="false">J41-H41</f>
        <v>1389.92736842105</v>
      </c>
      <c r="L41" s="9" t="n">
        <f aca="false">IF(AND(H41=0,J41=0),0,IF(H41=0,"New",(J41-H41)/H41))</f>
        <v>2.15245666742195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595</v>
      </c>
      <c r="B42" s="7" t="str">
        <f aca="false">IFERROR(INDEX('Source'!$C:$C,MATCH($A42,'Source'!$B:$B,0)),"")</f>
        <v>מתלה יד-כיס</v>
      </c>
      <c r="C42" s="8" t="n">
        <f aca="false">SUMIFS('Source'!$D:$D,'Source'!$A:$A,"160920 SALUS",'Source'!$B:$B,$A42)</f>
        <v>240</v>
      </c>
      <c r="D42" s="8" t="n">
        <f aca="false">SUMIFS('Source'!$F:$F,'Source'!$A:$A,"160920 SALUS",'Source'!$B:$B,$A42)</f>
        <v>300</v>
      </c>
      <c r="E42" s="8" t="n">
        <f aca="false">D42*$J$5</f>
        <v>378.947368421053</v>
      </c>
      <c r="F42" s="8" t="n">
        <f aca="false">E42-C42</f>
        <v>138.947368421053</v>
      </c>
      <c r="G42" s="9" t="n">
        <f aca="false">IF(AND(C42=0,E42=0),0,IF(C42=0,"New",(E42-C42)/C42))</f>
        <v>0.578947368421053</v>
      </c>
      <c r="H42" s="8" t="n">
        <f aca="false">SUMIFS('Source'!$E:$E,'Source'!$A:$A,"160920 SALUS",'Source'!$B:$B,$A42)</f>
        <v>4471.49</v>
      </c>
      <c r="I42" s="8" t="n">
        <f aca="false">SUMIFS('Source'!$G:$G,'Source'!$A:$A,"160920 SALUS",'Source'!$B:$B,$A42)</f>
        <v>5428.77</v>
      </c>
      <c r="J42" s="8" t="n">
        <f aca="false">I42*$J$5</f>
        <v>6857.39368421053</v>
      </c>
      <c r="K42" s="8" t="n">
        <f aca="false">J42-H42</f>
        <v>2385.90368421053</v>
      </c>
      <c r="L42" s="9" t="n">
        <f aca="false">IF(AND(H42=0,J42=0),0,IF(H42=0,"New",(J42-H42)/H42))</f>
        <v>0.53358135301891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627</v>
      </c>
      <c r="B43" s="7" t="str">
        <f aca="false">IFERROR(INDEX('Source'!$C:$C,MATCH($A43,'Source'!$B:$B,0)),"")</f>
        <v>תחבושת אלסטית נצמדת צבע שחור</v>
      </c>
      <c r="C43" s="8" t="n">
        <f aca="false">SUMIFS('Source'!$D:$D,'Source'!$A:$A,"160920 SALUS",'Source'!$B:$B,$A43)</f>
        <v>250</v>
      </c>
      <c r="D43" s="8" t="n">
        <f aca="false">SUMIFS('Source'!$F:$F,'Source'!$A:$A,"160920 SALUS",'Source'!$B:$B,$A43)</f>
        <v>100</v>
      </c>
      <c r="E43" s="8" t="n">
        <f aca="false">D43*$J$5</f>
        <v>126.315789473684</v>
      </c>
      <c r="F43" s="8" t="n">
        <f aca="false">E43-C43</f>
        <v>-123.684210526316</v>
      </c>
      <c r="G43" s="9" t="n">
        <f aca="false">IF(AND(C43=0,E43=0),0,IF(C43=0,"New",(E43-C43)/C43))</f>
        <v>-0.494736842105263</v>
      </c>
      <c r="H43" s="8" t="n">
        <f aca="false">SUMIFS('Source'!$E:$E,'Source'!$A:$A,"160920 SALUS",'Source'!$B:$B,$A43)</f>
        <v>1487.58</v>
      </c>
      <c r="I43" s="8" t="n">
        <f aca="false">SUMIFS('Source'!$G:$G,'Source'!$A:$A,"160920 SALUS",'Source'!$B:$B,$A43)</f>
        <v>570.35</v>
      </c>
      <c r="J43" s="8" t="n">
        <f aca="false">I43*$J$5</f>
        <v>720.442105263158</v>
      </c>
      <c r="K43" s="8" t="n">
        <f aca="false">J43-H43</f>
        <v>-767.137894736842</v>
      </c>
      <c r="L43" s="9" t="n">
        <f aca="false">IF(AND(H43=0,J43=0),0,IF(H43=0,"New",(J43-H43)/H43))</f>
        <v>-0.515695219575984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665</v>
      </c>
      <c r="B44" s="7" t="str">
        <f aca="false">IFERROR(INDEX('Source'!$C:$C,MATCH($A44,'Source'!$B:$B,0)),"")</f>
        <v>ICE &amp; GO</v>
      </c>
      <c r="C44" s="8" t="n">
        <f aca="false">SUMIFS('Source'!$D:$D,'Source'!$A:$A,"160920 SALUS",'Source'!$B:$B,$A44)</f>
        <v>230</v>
      </c>
      <c r="D44" s="8" t="n">
        <f aca="false">SUMIFS('Source'!$F:$F,'Source'!$A:$A,"160920 SALUS",'Source'!$B:$B,$A44)</f>
        <v>130</v>
      </c>
      <c r="E44" s="8" t="n">
        <f aca="false">D44*$J$5</f>
        <v>164.210526315789</v>
      </c>
      <c r="F44" s="8" t="n">
        <f aca="false">E44-C44</f>
        <v>-65.7894736842106</v>
      </c>
      <c r="G44" s="9" t="n">
        <f aca="false">IF(AND(C44=0,E44=0),0,IF(C44=0,"New",(E44-C44)/C44))</f>
        <v>-0.28604118993135</v>
      </c>
      <c r="H44" s="8" t="n">
        <f aca="false">SUMIFS('Source'!$E:$E,'Source'!$A:$A,"160920 SALUS",'Source'!$B:$B,$A44)</f>
        <v>2114.55</v>
      </c>
      <c r="I44" s="8" t="n">
        <f aca="false">SUMIFS('Source'!$G:$G,'Source'!$A:$A,"160920 SALUS",'Source'!$B:$B,$A44)</f>
        <v>1206.84</v>
      </c>
      <c r="J44" s="8" t="n">
        <f aca="false">I44*$J$5</f>
        <v>1524.42947368421</v>
      </c>
      <c r="K44" s="8" t="n">
        <f aca="false">J44-H44</f>
        <v>-590.12052631579</v>
      </c>
      <c r="L44" s="9" t="n">
        <f aca="false">IF(AND(H44=0,J44=0),0,IF(H44=0,"New",(J44-H44)/H44))</f>
        <v>-0.279076175222052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956</v>
      </c>
      <c r="B45" s="7" t="str">
        <f aca="false">IFERROR(INDEX('Source'!$C:$C,MATCH($A45,'Source'!$B:$B,0)),"")</f>
        <v>מגן ברך+ציר H</v>
      </c>
      <c r="C45" s="8" t="n">
        <f aca="false">SUMIFS('Source'!$D:$D,'Source'!$A:$A,"160920 SALUS",'Source'!$B:$B,$A45)</f>
        <v>60</v>
      </c>
      <c r="D45" s="8" t="n">
        <f aca="false">SUMIFS('Source'!$F:$F,'Source'!$A:$A,"160920 SALUS",'Source'!$B:$B,$A45)</f>
        <v>50</v>
      </c>
      <c r="E45" s="8" t="n">
        <f aca="false">D45*$J$5</f>
        <v>63.1578947368421</v>
      </c>
      <c r="F45" s="8" t="n">
        <f aca="false">E45-C45</f>
        <v>3.1578947368421</v>
      </c>
      <c r="G45" s="9" t="n">
        <f aca="false">IF(AND(C45=0,E45=0),0,IF(C45=0,"New",(E45-C45)/C45))</f>
        <v>0.0526315789473684</v>
      </c>
      <c r="H45" s="8" t="n">
        <f aca="false">SUMIFS('Source'!$E:$E,'Source'!$A:$A,"160920 SALUS",'Source'!$B:$B,$A45)</f>
        <v>4107.28</v>
      </c>
      <c r="I45" s="8" t="n">
        <f aca="false">SUMIFS('Source'!$G:$G,'Source'!$A:$A,"160920 SALUS",'Source'!$B:$B,$A45)</f>
        <v>3265.99</v>
      </c>
      <c r="J45" s="8" t="n">
        <f aca="false">I45*$J$5</f>
        <v>4125.46105263158</v>
      </c>
      <c r="K45" s="8" t="n">
        <f aca="false">J45-H45</f>
        <v>18.1810526315785</v>
      </c>
      <c r="L45" s="9" t="n">
        <f aca="false">IF(AND(H45=0,J45=0),0,IF(H45=0,"New",(J45-H45)/H45))</f>
        <v>0.00442654326746131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171</v>
      </c>
      <c r="B46" s="7" t="str">
        <f aca="false">IFERROR(INDEX('Source'!$C:$C,MATCH($A46,'Source'!$B:$B,0)),"")</f>
        <v>מדרס מתכוונן</v>
      </c>
      <c r="C46" s="8" t="n">
        <f aca="false">SUMIFS('Source'!$D:$D,'Source'!$A:$A,"160920 SALUS",'Source'!$B:$B,$A46)</f>
        <v>0</v>
      </c>
      <c r="D46" s="8" t="n">
        <f aca="false">SUMIFS('Source'!$F:$F,'Source'!$A:$A,"160920 SALUS",'Source'!$B:$B,$A46)</f>
        <v>24</v>
      </c>
      <c r="E46" s="8" t="n">
        <f aca="false">D46*$J$5</f>
        <v>30.3157894736842</v>
      </c>
      <c r="F46" s="8" t="n">
        <f aca="false">E46-C46</f>
        <v>30.3157894736842</v>
      </c>
      <c r="G46" s="9" t="str">
        <f aca="false">IF(AND(C46=0,E46=0),0,IF(C46=0,"New",(E46-C46)/C46))</f>
        <v>New</v>
      </c>
      <c r="H46" s="8" t="n">
        <f aca="false">SUMIFS('Source'!$E:$E,'Source'!$A:$A,"160920 SALUS",'Source'!$B:$B,$A46)</f>
        <v>0</v>
      </c>
      <c r="I46" s="8" t="n">
        <f aca="false">SUMIFS('Source'!$G:$G,'Source'!$A:$A,"160920 SALUS",'Source'!$B:$B,$A46)</f>
        <v>828.12</v>
      </c>
      <c r="J46" s="8" t="n">
        <f aca="false">I46*$J$5</f>
        <v>1046.04631578947</v>
      </c>
      <c r="K46" s="8" t="n">
        <f aca="false">J46-H46</f>
        <v>1046.04631578947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462</v>
      </c>
      <c r="B47" s="7" t="str">
        <f aca="false">IFERROR(INDEX('Source'!$C:$C,MATCH($A47,'Source'!$B:$B,0)),"")</f>
        <v>מגן לכתף ימין/שמאל</v>
      </c>
      <c r="C47" s="8" t="n">
        <f aca="false">SUMIFS('Source'!$D:$D,'Source'!$A:$A,"160920 SALUS",'Source'!$B:$B,$A47)</f>
        <v>0</v>
      </c>
      <c r="D47" s="8" t="n">
        <f aca="false">SUMIFS('Source'!$F:$F,'Source'!$A:$A,"160920 SALUS",'Source'!$B:$B,$A47)</f>
        <v>10</v>
      </c>
      <c r="E47" s="8" t="n">
        <f aca="false">D47*$J$5</f>
        <v>12.6315789473684</v>
      </c>
      <c r="F47" s="8" t="n">
        <f aca="false">E47-C47</f>
        <v>12.6315789473684</v>
      </c>
      <c r="G47" s="9" t="str">
        <f aca="false">IF(AND(C47=0,E47=0),0,IF(C47=0,"New",(E47-C47)/C47))</f>
        <v>New</v>
      </c>
      <c r="H47" s="8" t="n">
        <f aca="false">SUMIFS('Source'!$E:$E,'Source'!$A:$A,"160920 SALUS",'Source'!$B:$B,$A47)</f>
        <v>0</v>
      </c>
      <c r="I47" s="8" t="n">
        <f aca="false">SUMIFS('Source'!$G:$G,'Source'!$A:$A,"160920 SALUS",'Source'!$B:$B,$A47)</f>
        <v>745.73</v>
      </c>
      <c r="J47" s="8" t="n">
        <f aca="false">I47*$J$5</f>
        <v>941.974736842105</v>
      </c>
      <c r="K47" s="8" t="n">
        <f aca="false">J47-H47</f>
        <v>941.974736842105</v>
      </c>
      <c r="L47" s="9" t="str">
        <f aca="false">IF(AND(H47=0,J47=0),0,IF(H47=0,"New",(J47-H47)/H47))</f>
        <v>New</v>
      </c>
      <c r="M47" s="7" t="str">
        <f aca="false">IF(AND(OR(C47&lt;&gt;0,H47&lt;&gt;0),D47=0,I47=0),"DROP",IF(AND(OR(D47&lt;&gt;0,I47&lt;&gt;0),C47=0,H47=0),"NEW",""))</f>
        <v>NEW</v>
      </c>
    </row>
    <row r="48" customFormat="false" ht="15" hidden="false" customHeight="false" outlineLevel="0" collapsed="false">
      <c r="A48" s="7" t="s">
        <v>728</v>
      </c>
      <c r="B48" s="7" t="str">
        <f aca="false">IFERROR(INDEX('Source'!$C:$C,MATCH($A48,'Source'!$B:$B,0)),"")</f>
        <v>URIEL STRAP4U PINK S-M</v>
      </c>
      <c r="C48" s="8" t="n">
        <f aca="false">SUMIFS('Source'!$D:$D,'Source'!$A:$A,"160920 SALUS",'Source'!$B:$B,$A48)</f>
        <v>0</v>
      </c>
      <c r="D48" s="8" t="n">
        <f aca="false">SUMIFS('Source'!$F:$F,'Source'!$A:$A,"160920 SALUS",'Source'!$B:$B,$A48)</f>
        <v>70</v>
      </c>
      <c r="E48" s="8" t="n">
        <f aca="false">D48*$J$5</f>
        <v>88.421052631579</v>
      </c>
      <c r="F48" s="8" t="n">
        <f aca="false">E48-C48</f>
        <v>88.421052631579</v>
      </c>
      <c r="G48" s="9" t="str">
        <f aca="false">IF(AND(C48=0,E48=0),0,IF(C48=0,"New",(E48-C48)/C48))</f>
        <v>New</v>
      </c>
      <c r="H48" s="8" t="n">
        <f aca="false">SUMIFS('Source'!$E:$E,'Source'!$A:$A,"160920 SALUS",'Source'!$B:$B,$A48)</f>
        <v>0</v>
      </c>
      <c r="I48" s="8" t="n">
        <f aca="false">SUMIFS('Source'!$G:$G,'Source'!$A:$A,"160920 SALUS",'Source'!$B:$B,$A48)</f>
        <v>734.98</v>
      </c>
      <c r="J48" s="8" t="n">
        <f aca="false">I48*$J$5</f>
        <v>928.395789473684</v>
      </c>
      <c r="K48" s="8" t="n">
        <f aca="false">J48-H48</f>
        <v>928.395789473684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154</v>
      </c>
      <c r="B49" s="7" t="str">
        <f aca="false">IFERROR(INDEX('Source'!$C:$C,MATCH($A49,'Source'!$B:$B,0)),"")</f>
        <v>חבק טניס שחור</v>
      </c>
      <c r="C49" s="8" t="n">
        <f aca="false">SUMIFS('Source'!$D:$D,'Source'!$A:$A,"160920 SALUS",'Source'!$B:$B,$A49)</f>
        <v>1</v>
      </c>
      <c r="D49" s="8" t="n">
        <f aca="false">SUMIFS('Source'!$F:$F,'Source'!$A:$A,"160920 SALUS",'Source'!$B:$B,$A49)</f>
        <v>20</v>
      </c>
      <c r="E49" s="8" t="n">
        <f aca="false">D49*$J$5</f>
        <v>25.2631578947368</v>
      </c>
      <c r="F49" s="8" t="n">
        <f aca="false">E49-C49</f>
        <v>24.2631578947368</v>
      </c>
      <c r="G49" s="9" t="n">
        <f aca="false">IF(AND(C49=0,E49=0),0,IF(C49=0,"New",(E49-C49)/C49))</f>
        <v>24.2631578947368</v>
      </c>
      <c r="H49" s="8" t="n">
        <f aca="false">SUMIFS('Source'!$E:$E,'Source'!$A:$A,"160920 SALUS",'Source'!$B:$B,$A49)</f>
        <v>0.03</v>
      </c>
      <c r="I49" s="8" t="n">
        <f aca="false">SUMIFS('Source'!$G:$G,'Source'!$A:$A,"160920 SALUS",'Source'!$B:$B,$A49)</f>
        <v>732</v>
      </c>
      <c r="J49" s="8" t="n">
        <f aca="false">I49*$J$5</f>
        <v>924.631578947368</v>
      </c>
      <c r="K49" s="8" t="n">
        <f aca="false">J49-H49</f>
        <v>924.601578947368</v>
      </c>
      <c r="L49" s="9" t="n">
        <f aca="false">IF(AND(H49=0,J49=0),0,IF(H49=0,"New",(J49-H49)/H49))</f>
        <v>30820.0526315789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693</v>
      </c>
      <c r="B50" s="7" t="str">
        <f aca="false">IFERROR(INDEX('Source'!$C:$C,MATCH($A50,'Source'!$B:$B,0)),"")</f>
        <v>מתלה יד-כיס</v>
      </c>
      <c r="C50" s="8" t="n">
        <f aca="false">SUMIFS('Source'!$D:$D,'Source'!$A:$A,"160920 SALUS",'Source'!$B:$B,$A50)</f>
        <v>240</v>
      </c>
      <c r="D50" s="8" t="n">
        <f aca="false">SUMIFS('Source'!$F:$F,'Source'!$A:$A,"160920 SALUS",'Source'!$B:$B,$A50)</f>
        <v>210</v>
      </c>
      <c r="E50" s="8" t="n">
        <f aca="false">D50*$J$5</f>
        <v>265.263157894737</v>
      </c>
      <c r="F50" s="8" t="n">
        <f aca="false">E50-C50</f>
        <v>25.2631578947368</v>
      </c>
      <c r="G50" s="9" t="n">
        <f aca="false">IF(AND(C50=0,E50=0),0,IF(C50=0,"New",(E50-C50)/C50))</f>
        <v>0.105263157894737</v>
      </c>
      <c r="H50" s="8" t="n">
        <f aca="false">SUMIFS('Source'!$E:$E,'Source'!$A:$A,"160920 SALUS",'Source'!$B:$B,$A50)</f>
        <v>4471.49</v>
      </c>
      <c r="I50" s="8" t="n">
        <f aca="false">SUMIFS('Source'!$G:$G,'Source'!$A:$A,"160920 SALUS",'Source'!$B:$B,$A50)</f>
        <v>3741.02</v>
      </c>
      <c r="J50" s="8" t="n">
        <f aca="false">I50*$J$5</f>
        <v>4725.49894736842</v>
      </c>
      <c r="K50" s="8" t="n">
        <f aca="false">J50-H50</f>
        <v>254.008947368421</v>
      </c>
      <c r="L50" s="9" t="n">
        <f aca="false">IF(AND(H50=0,J50=0),0,IF(H50=0,"New",(J50-H50)/H50))</f>
        <v>0.0568063324235146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133</v>
      </c>
      <c r="B51" s="7" t="str">
        <f aca="false">IFERROR(INDEX('Source'!$C:$C,MATCH($A51,'Source'!$B:$B,0)),"")</f>
        <v>סד יד</v>
      </c>
      <c r="C51" s="8" t="n">
        <f aca="false">SUMIFS('Source'!$D:$D,'Source'!$A:$A,"160920 SALUS",'Source'!$B:$B,$A51)</f>
        <v>250</v>
      </c>
      <c r="D51" s="8" t="n">
        <f aca="false">SUMIFS('Source'!$F:$F,'Source'!$A:$A,"160920 SALUS",'Source'!$B:$B,$A51)</f>
        <v>300</v>
      </c>
      <c r="E51" s="8" t="n">
        <f aca="false">D51*$J$5</f>
        <v>378.947368421053</v>
      </c>
      <c r="F51" s="8" t="n">
        <f aca="false">E51-C51</f>
        <v>128.947368421053</v>
      </c>
      <c r="G51" s="9" t="n">
        <f aca="false">IF(AND(C51=0,E51=0),0,IF(C51=0,"New",(E51-C51)/C51))</f>
        <v>0.51578947368421</v>
      </c>
      <c r="H51" s="8" t="n">
        <f aca="false">SUMIFS('Source'!$E:$E,'Source'!$A:$A,"160920 SALUS",'Source'!$B:$B,$A51)</f>
        <v>3848.53</v>
      </c>
      <c r="I51" s="8" t="n">
        <f aca="false">SUMIFS('Source'!$G:$G,'Source'!$A:$A,"160920 SALUS",'Source'!$B:$B,$A51)</f>
        <v>4576.1</v>
      </c>
      <c r="J51" s="8" t="n">
        <f aca="false">I51*$J$5</f>
        <v>5780.33684210526</v>
      </c>
      <c r="K51" s="8" t="n">
        <f aca="false">J51-H51</f>
        <v>1931.80684210526</v>
      </c>
      <c r="L51" s="9" t="n">
        <f aca="false">IF(AND(H51=0,J51=0),0,IF(H51=0,"New",(J51-H51)/H51))</f>
        <v>0.501959668264315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190</v>
      </c>
      <c r="B52" s="7" t="str">
        <f aca="false">IFERROR(INDEX('Source'!$C:$C,MATCH($A52,'Source'!$B:$B,0)),"")</f>
        <v>תרסיס דיאודורנט לכף הרגל</v>
      </c>
      <c r="C52" s="8" t="n">
        <f aca="false">SUMIFS('Source'!$D:$D,'Source'!$A:$A,"160920 SALUS",'Source'!$B:$B,$A52)</f>
        <v>30</v>
      </c>
      <c r="D52" s="8" t="n">
        <f aca="false">SUMIFS('Source'!$F:$F,'Source'!$A:$A,"160920 SALUS",'Source'!$B:$B,$A52)</f>
        <v>-30</v>
      </c>
      <c r="E52" s="8" t="n">
        <f aca="false">D52*$J$5</f>
        <v>-37.8947368421053</v>
      </c>
      <c r="F52" s="8" t="n">
        <f aca="false">E52-C52</f>
        <v>-67.8947368421053</v>
      </c>
      <c r="G52" s="9" t="n">
        <f aca="false">IF(AND(C52=0,E52=0),0,IF(C52=0,"New",(E52-C52)/C52))</f>
        <v>-2.26315789473684</v>
      </c>
      <c r="H52" s="8" t="n">
        <f aca="false">SUMIFS('Source'!$E:$E,'Source'!$A:$A,"160920 SALUS",'Source'!$B:$B,$A52)</f>
        <v>310.25</v>
      </c>
      <c r="I52" s="8" t="n">
        <f aca="false">SUMIFS('Source'!$G:$G,'Source'!$A:$A,"160920 SALUS",'Source'!$B:$B,$A52)</f>
        <v>-307.22</v>
      </c>
      <c r="J52" s="8" t="n">
        <f aca="false">I52*$J$5</f>
        <v>-388.067368421053</v>
      </c>
      <c r="K52" s="8" t="n">
        <f aca="false">J52-H52</f>
        <v>-698.317368421053</v>
      </c>
      <c r="L52" s="9" t="n">
        <f aca="false">IF(AND(H52=0,J52=0),0,IF(H52=0,"New",(J52-H52)/H52))</f>
        <v>-2.25082149370202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957</v>
      </c>
      <c r="B53" s="7" t="str">
        <f aca="false">IFERROR(INDEX('Source'!$C:$C,MATCH($A53,'Source'!$B:$B,0)),"")</f>
        <v>מגן ברך מנאופרן 2 ממ שחור</v>
      </c>
      <c r="C53" s="8" t="n">
        <f aca="false">SUMIFS('Source'!$D:$D,'Source'!$A:$A,"160920 SALUS",'Source'!$B:$B,$A53)</f>
        <v>25</v>
      </c>
      <c r="D53" s="8" t="n">
        <f aca="false">SUMIFS('Source'!$F:$F,'Source'!$A:$A,"160920 SALUS",'Source'!$B:$B,$A53)</f>
        <v>30</v>
      </c>
      <c r="E53" s="8" t="n">
        <f aca="false">D53*$J$5</f>
        <v>37.8947368421053</v>
      </c>
      <c r="F53" s="8" t="n">
        <f aca="false">E53-C53</f>
        <v>12.8947368421053</v>
      </c>
      <c r="G53" s="9" t="n">
        <f aca="false">IF(AND(C53=0,E53=0),0,IF(C53=0,"New",(E53-C53)/C53))</f>
        <v>0.51578947368421</v>
      </c>
      <c r="H53" s="8" t="n">
        <f aca="false">SUMIFS('Source'!$E:$E,'Source'!$A:$A,"160920 SALUS",'Source'!$B:$B,$A53)</f>
        <v>2116.43</v>
      </c>
      <c r="I53" s="8" t="n">
        <f aca="false">SUMIFS('Source'!$G:$G,'Source'!$A:$A,"160920 SALUS",'Source'!$B:$B,$A53)</f>
        <v>2725.13</v>
      </c>
      <c r="J53" s="8" t="n">
        <f aca="false">I53*$J$5</f>
        <v>3442.26947368421</v>
      </c>
      <c r="K53" s="8" t="n">
        <f aca="false">J53-H53</f>
        <v>1325.83947368421</v>
      </c>
      <c r="L53" s="9" t="n">
        <f aca="false">IF(AND(H53=0,J53=0),0,IF(H53=0,"New",(J53-H53)/H53))</f>
        <v>0.626450897825211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628</v>
      </c>
      <c r="B54" s="7" t="str">
        <f aca="false">IFERROR(INDEX('Source'!$C:$C,MATCH($A54,'Source'!$B:$B,0)),"")</f>
        <v>מגן ברך ארוך</v>
      </c>
      <c r="C54" s="8" t="n">
        <f aca="false">SUMIFS('Source'!$D:$D,'Source'!$A:$A,"160920 SALUS",'Source'!$B:$B,$A54)</f>
        <v>140</v>
      </c>
      <c r="D54" s="8" t="n">
        <f aca="false">SUMIFS('Source'!$F:$F,'Source'!$A:$A,"160920 SALUS",'Source'!$B:$B,$A54)</f>
        <v>100</v>
      </c>
      <c r="E54" s="8" t="n">
        <f aca="false">D54*$J$5</f>
        <v>126.315789473684</v>
      </c>
      <c r="F54" s="8" t="n">
        <f aca="false">E54-C54</f>
        <v>-13.6842105263158</v>
      </c>
      <c r="G54" s="9" t="n">
        <f aca="false">IF(AND(C54=0,E54=0),0,IF(C54=0,"New",(E54-C54)/C54))</f>
        <v>-0.0977443609022557</v>
      </c>
      <c r="H54" s="8" t="n">
        <f aca="false">SUMIFS('Source'!$E:$E,'Source'!$A:$A,"160920 SALUS",'Source'!$B:$B,$A54)</f>
        <v>1681.45</v>
      </c>
      <c r="I54" s="8" t="n">
        <f aca="false">SUMIFS('Source'!$G:$G,'Source'!$A:$A,"160920 SALUS",'Source'!$B:$B,$A54)</f>
        <v>1106.41</v>
      </c>
      <c r="J54" s="8" t="n">
        <f aca="false">I54*$J$5</f>
        <v>1397.57052631579</v>
      </c>
      <c r="K54" s="8" t="n">
        <f aca="false">J54-H54</f>
        <v>-283.87947368421</v>
      </c>
      <c r="L54" s="9" t="n">
        <f aca="false">IF(AND(H54=0,J54=0),0,IF(H54=0,"New",(J54-H54)/H54))</f>
        <v>-0.168830160685248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683</v>
      </c>
      <c r="B55" s="7" t="str">
        <f aca="false">IFERROR(INDEX('Source'!$C:$C,MATCH($A55,'Source'!$B:$B,0)),"")</f>
        <v>סד לאצבע הדק</v>
      </c>
      <c r="C55" s="8" t="n">
        <f aca="false">SUMIFS('Source'!$D:$D,'Source'!$A:$A,"160920 SALUS",'Source'!$B:$B,$A55)</f>
        <v>10</v>
      </c>
      <c r="D55" s="8" t="n">
        <f aca="false">SUMIFS('Source'!$F:$F,'Source'!$A:$A,"160920 SALUS",'Source'!$B:$B,$A55)</f>
        <v>50</v>
      </c>
      <c r="E55" s="8" t="n">
        <f aca="false">D55*$J$5</f>
        <v>63.1578947368421</v>
      </c>
      <c r="F55" s="8" t="n">
        <f aca="false">E55-C55</f>
        <v>53.1578947368421</v>
      </c>
      <c r="G55" s="9" t="n">
        <f aca="false">IF(AND(C55=0,E55=0),0,IF(C55=0,"New",(E55-C55)/C55))</f>
        <v>5.31578947368421</v>
      </c>
      <c r="H55" s="8" t="n">
        <f aca="false">SUMIFS('Source'!$E:$E,'Source'!$A:$A,"160920 SALUS",'Source'!$B:$B,$A55)</f>
        <v>147.96</v>
      </c>
      <c r="I55" s="8" t="n">
        <f aca="false">SUMIFS('Source'!$G:$G,'Source'!$A:$A,"160920 SALUS",'Source'!$B:$B,$A55)</f>
        <v>709.13</v>
      </c>
      <c r="J55" s="8" t="n">
        <f aca="false">I55*$J$5</f>
        <v>895.743157894737</v>
      </c>
      <c r="K55" s="8" t="n">
        <f aca="false">J55-H55</f>
        <v>747.783157894737</v>
      </c>
      <c r="L55" s="9" t="n">
        <f aca="false">IF(AND(H55=0,J55=0),0,IF(H55=0,"New",(J55-H55)/H55))</f>
        <v>5.05395483843429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320</v>
      </c>
      <c r="B56" s="7" t="str">
        <f aca="false">IFERROR(INDEX('Source'!$C:$C,MATCH($A56,'Source'!$B:$B,0)),"")</f>
        <v>דאודורנט ספרי לנעל 100 מל</v>
      </c>
      <c r="C56" s="8" t="n">
        <f aca="false">SUMIFS('Source'!$D:$D,'Source'!$A:$A,"160920 SALUS",'Source'!$B:$B,$A56)</f>
        <v>31</v>
      </c>
      <c r="D56" s="8" t="n">
        <f aca="false">SUMIFS('Source'!$F:$F,'Source'!$A:$A,"160920 SALUS",'Source'!$B:$B,$A56)</f>
        <v>-30</v>
      </c>
      <c r="E56" s="8" t="n">
        <f aca="false">D56*$J$5</f>
        <v>-37.8947368421053</v>
      </c>
      <c r="F56" s="8" t="n">
        <f aca="false">E56-C56</f>
        <v>-68.8947368421053</v>
      </c>
      <c r="G56" s="9" t="n">
        <f aca="false">IF(AND(C56=0,E56=0),0,IF(C56=0,"New",(E56-C56)/C56))</f>
        <v>-2.22241086587436</v>
      </c>
      <c r="H56" s="8" t="n">
        <f aca="false">SUMIFS('Source'!$E:$E,'Source'!$A:$A,"160920 SALUS",'Source'!$B:$B,$A56)</f>
        <v>281.64</v>
      </c>
      <c r="I56" s="8" t="n">
        <f aca="false">SUMIFS('Source'!$G:$G,'Source'!$A:$A,"160920 SALUS",'Source'!$B:$B,$A56)</f>
        <v>-278.86</v>
      </c>
      <c r="J56" s="8" t="n">
        <f aca="false">I56*$J$5</f>
        <v>-352.244210526316</v>
      </c>
      <c r="K56" s="8" t="n">
        <f aca="false">J56-H56</f>
        <v>-633.884210526316</v>
      </c>
      <c r="L56" s="9" t="n">
        <f aca="false">IF(AND(H56=0,J56=0),0,IF(H56=0,"New",(J56-H56)/H56))</f>
        <v>-2.2506895701119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570</v>
      </c>
      <c r="B57" s="7" t="str">
        <f aca="false">IFERROR(INDEX('Source'!$C:$C,MATCH($A57,'Source'!$B:$B,0)),"")</f>
        <v>רפידת זיכרון 376</v>
      </c>
      <c r="C57" s="8" t="n">
        <f aca="false">SUMIFS('Source'!$D:$D,'Source'!$A:$A,"160920 SALUS",'Source'!$B:$B,$A57)</f>
        <v>40</v>
      </c>
      <c r="D57" s="8" t="n">
        <f aca="false">SUMIFS('Source'!$F:$F,'Source'!$A:$A,"160920 SALUS",'Source'!$B:$B,$A57)</f>
        <v>0</v>
      </c>
      <c r="E57" s="8" t="n">
        <f aca="false">D57*$J$5</f>
        <v>0</v>
      </c>
      <c r="F57" s="8" t="n">
        <f aca="false">E57-C57</f>
        <v>-40</v>
      </c>
      <c r="G57" s="9" t="n">
        <f aca="false">IF(AND(C57=0,E57=0),0,IF(C57=0,"New",(E57-C57)/C57))</f>
        <v>-1</v>
      </c>
      <c r="H57" s="8" t="n">
        <f aca="false">SUMIFS('Source'!$E:$E,'Source'!$A:$A,"160920 SALUS",'Source'!$B:$B,$A57)</f>
        <v>551.76</v>
      </c>
      <c r="I57" s="8" t="n">
        <f aca="false">SUMIFS('Source'!$G:$G,'Source'!$A:$A,"160920 SALUS",'Source'!$B:$B,$A57)</f>
        <v>0</v>
      </c>
      <c r="J57" s="8" t="n">
        <f aca="false">I57*$J$5</f>
        <v>0</v>
      </c>
      <c r="K57" s="8" t="n">
        <f aca="false">J57-H57</f>
        <v>-551.76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732</v>
      </c>
      <c r="B58" s="7" t="str">
        <f aca="false">IFERROR(INDEX('Source'!$C:$C,MATCH($A58,'Source'!$B:$B,0)),"")</f>
        <v>מגן ירך</v>
      </c>
      <c r="C58" s="8" t="n">
        <f aca="false">SUMIFS('Source'!$D:$D,'Source'!$A:$A,"160920 SALUS",'Source'!$B:$B,$A58)</f>
        <v>75</v>
      </c>
      <c r="D58" s="8" t="n">
        <f aca="false">SUMIFS('Source'!$F:$F,'Source'!$A:$A,"160920 SALUS",'Source'!$B:$B,$A58)</f>
        <v>115</v>
      </c>
      <c r="E58" s="8" t="n">
        <f aca="false">D58*$J$5</f>
        <v>145.263157894737</v>
      </c>
      <c r="F58" s="8" t="n">
        <f aca="false">E58-C58</f>
        <v>70.2631578947368</v>
      </c>
      <c r="G58" s="9" t="n">
        <f aca="false">IF(AND(C58=0,E58=0),0,IF(C58=0,"New",(E58-C58)/C58))</f>
        <v>0.936842105263158</v>
      </c>
      <c r="H58" s="8" t="n">
        <f aca="false">SUMIFS('Source'!$E:$E,'Source'!$A:$A,"160920 SALUS",'Source'!$B:$B,$A58)</f>
        <v>1271.38</v>
      </c>
      <c r="I58" s="8" t="n">
        <f aca="false">SUMIFS('Source'!$G:$G,'Source'!$A:$A,"160920 SALUS",'Source'!$B:$B,$A58)</f>
        <v>1821.12</v>
      </c>
      <c r="J58" s="8" t="n">
        <f aca="false">I58*$J$5</f>
        <v>2300.36210526316</v>
      </c>
      <c r="K58" s="8" t="n">
        <f aca="false">J58-H58</f>
        <v>1028.98210526316</v>
      </c>
      <c r="L58" s="9" t="n">
        <f aca="false">IF(AND(H58=0,J58=0),0,IF(H58=0,"New",(J58-H58)/H58))</f>
        <v>0.809342686893893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242</v>
      </c>
      <c r="B59" s="7" t="str">
        <f aca="false">IFERROR(INDEX('Source'!$C:$C,MATCH($A59,'Source'!$B:$B,0)),"")</f>
        <v>רצועות פיקה לברך</v>
      </c>
      <c r="C59" s="8" t="n">
        <f aca="false">SUMIFS('Source'!$D:$D,'Source'!$A:$A,"160920 SALUS",'Source'!$B:$B,$A59)</f>
        <v>60</v>
      </c>
      <c r="D59" s="8" t="n">
        <f aca="false">SUMIFS('Source'!$F:$F,'Source'!$A:$A,"160920 SALUS",'Source'!$B:$B,$A59)</f>
        <v>40</v>
      </c>
      <c r="E59" s="8" t="n">
        <f aca="false">D59*$J$5</f>
        <v>50.5263157894737</v>
      </c>
      <c r="F59" s="8" t="n">
        <f aca="false">E59-C59</f>
        <v>-9.47368421052632</v>
      </c>
      <c r="G59" s="9" t="n">
        <f aca="false">IF(AND(C59=0,E59=0),0,IF(C59=0,"New",(E59-C59)/C59))</f>
        <v>-0.157894736842105</v>
      </c>
      <c r="H59" s="8" t="n">
        <f aca="false">SUMIFS('Source'!$E:$E,'Source'!$A:$A,"160920 SALUS",'Source'!$B:$B,$A59)</f>
        <v>1363.08</v>
      </c>
      <c r="I59" s="8" t="n">
        <f aca="false">SUMIFS('Source'!$G:$G,'Source'!$A:$A,"160920 SALUS",'Source'!$B:$B,$A59)</f>
        <v>818.01</v>
      </c>
      <c r="J59" s="8" t="n">
        <f aca="false">I59*$J$5</f>
        <v>1033.27578947368</v>
      </c>
      <c r="K59" s="8" t="n">
        <f aca="false">J59-H59</f>
        <v>-329.804210526316</v>
      </c>
      <c r="L59" s="9" t="n">
        <f aca="false">IF(AND(H59=0,J59=0),0,IF(H59=0,"New",(J59-H59)/H59))</f>
        <v>-0.241955138749241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692</v>
      </c>
      <c r="B60" s="7" t="str">
        <f aca="false">IFERROR(INDEX('Source'!$C:$C,MATCH($A60,'Source'!$B:$B,0)),"")</f>
        <v>מתלה יד-כיס</v>
      </c>
      <c r="C60" s="8" t="n">
        <f aca="false">SUMIFS('Source'!$D:$D,'Source'!$A:$A,"160920 SALUS",'Source'!$B:$B,$A60)</f>
        <v>116</v>
      </c>
      <c r="D60" s="8" t="n">
        <f aca="false">SUMIFS('Source'!$F:$F,'Source'!$A:$A,"160920 SALUS",'Source'!$B:$B,$A60)</f>
        <v>90</v>
      </c>
      <c r="E60" s="8" t="n">
        <f aca="false">D60*$J$5</f>
        <v>113.684210526316</v>
      </c>
      <c r="F60" s="8" t="n">
        <f aca="false">E60-C60</f>
        <v>-2.31578947368422</v>
      </c>
      <c r="G60" s="9" t="n">
        <f aca="false">IF(AND(C60=0,E60=0),0,IF(C60=0,"New",(E60-C60)/C60))</f>
        <v>-0.0199637023593467</v>
      </c>
      <c r="H60" s="8" t="n">
        <f aca="false">SUMIFS('Source'!$E:$E,'Source'!$A:$A,"160920 SALUS",'Source'!$B:$B,$A60)</f>
        <v>2175.49</v>
      </c>
      <c r="I60" s="8" t="n">
        <f aca="false">SUMIFS('Source'!$G:$G,'Source'!$A:$A,"160920 SALUS",'Source'!$B:$B,$A60)</f>
        <v>1656.65</v>
      </c>
      <c r="J60" s="8" t="n">
        <f aca="false">I60*$J$5</f>
        <v>2092.61052631579</v>
      </c>
      <c r="K60" s="8" t="n">
        <f aca="false">J60-H60</f>
        <v>-82.8794736842101</v>
      </c>
      <c r="L60" s="9" t="n">
        <f aca="false">IF(AND(H60=0,J60=0),0,IF(H60=0,"New",(J60-H60)/H60))</f>
        <v>-0.038096922387237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324</v>
      </c>
      <c r="B61" s="7" t="str">
        <f aca="false">IFERROR(INDEX('Source'!$C:$C,MATCH($A61,'Source'!$B:$B,0)),"")</f>
        <v>סד מאורך לאגודל</v>
      </c>
      <c r="C61" s="8" t="n">
        <f aca="false">SUMIFS('Source'!$D:$D,'Source'!$A:$A,"160920 SALUS",'Source'!$B:$B,$A61)</f>
        <v>0</v>
      </c>
      <c r="D61" s="8" t="n">
        <f aca="false">SUMIFS('Source'!$F:$F,'Source'!$A:$A,"160920 SALUS",'Source'!$B:$B,$A61)</f>
        <v>20</v>
      </c>
      <c r="E61" s="8" t="n">
        <f aca="false">D61*$J$5</f>
        <v>25.2631578947368</v>
      </c>
      <c r="F61" s="8" t="n">
        <f aca="false">E61-C61</f>
        <v>25.2631578947368</v>
      </c>
      <c r="G61" s="9" t="str">
        <f aca="false">IF(AND(C61=0,E61=0),0,IF(C61=0,"New",(E61-C61)/C61))</f>
        <v>New</v>
      </c>
      <c r="H61" s="8" t="n">
        <f aca="false">SUMIFS('Source'!$E:$E,'Source'!$A:$A,"160920 SALUS",'Source'!$B:$B,$A61)</f>
        <v>0</v>
      </c>
      <c r="I61" s="8" t="n">
        <f aca="false">SUMIFS('Source'!$G:$G,'Source'!$A:$A,"160920 SALUS",'Source'!$B:$B,$A61)</f>
        <v>505.63</v>
      </c>
      <c r="J61" s="8" t="n">
        <f aca="false">I61*$J$5</f>
        <v>638.690526315789</v>
      </c>
      <c r="K61" s="8" t="n">
        <f aca="false">J61-H61</f>
        <v>638.690526315789</v>
      </c>
      <c r="L61" s="9" t="str">
        <f aca="false">IF(AND(H61=0,J61=0),0,IF(H61=0,"New",(J61-H61)/H61))</f>
        <v>New</v>
      </c>
      <c r="M61" s="7" t="str">
        <f aca="false">IF(AND(OR(C61&lt;&gt;0,H61&lt;&gt;0),D61=0,I61=0),"DROP",IF(AND(OR(D61&lt;&gt;0,I61&lt;&gt;0),C61=0,H61=0),"NEW",""))</f>
        <v>NEW</v>
      </c>
    </row>
    <row r="62" customFormat="false" ht="15" hidden="false" customHeight="false" outlineLevel="0" collapsed="false">
      <c r="A62" s="7" t="s">
        <v>522</v>
      </c>
      <c r="B62" s="7" t="str">
        <f aca="false">IFERROR(INDEX('Source'!$C:$C,MATCH($A62,'Source'!$B:$B,0)),"")</f>
        <v>מגן קרסול פתוח</v>
      </c>
      <c r="C62" s="8" t="n">
        <f aca="false">SUMIFS('Source'!$D:$D,'Source'!$A:$A,"160920 SALUS",'Source'!$B:$B,$A62)</f>
        <v>150</v>
      </c>
      <c r="D62" s="8" t="n">
        <f aca="false">SUMIFS('Source'!$F:$F,'Source'!$A:$A,"160920 SALUS",'Source'!$B:$B,$A62)</f>
        <v>107</v>
      </c>
      <c r="E62" s="8" t="n">
        <f aca="false">D62*$J$5</f>
        <v>135.157894736842</v>
      </c>
      <c r="F62" s="8" t="n">
        <f aca="false">E62-C62</f>
        <v>-14.8421052631579</v>
      </c>
      <c r="G62" s="9" t="n">
        <f aca="false">IF(AND(C62=0,E62=0),0,IF(C62=0,"New",(E62-C62)/C62))</f>
        <v>-0.0989473684210526</v>
      </c>
      <c r="H62" s="8" t="n">
        <f aca="false">SUMIFS('Source'!$E:$E,'Source'!$A:$A,"160920 SALUS",'Source'!$B:$B,$A62)</f>
        <v>1589.86</v>
      </c>
      <c r="I62" s="8" t="n">
        <f aca="false">SUMIFS('Source'!$G:$G,'Source'!$A:$A,"160920 SALUS",'Source'!$B:$B,$A62)</f>
        <v>1087.27</v>
      </c>
      <c r="J62" s="8" t="n">
        <f aca="false">I62*$J$5</f>
        <v>1373.39368421053</v>
      </c>
      <c r="K62" s="8" t="n">
        <f aca="false">J62-H62</f>
        <v>-216.466315789474</v>
      </c>
      <c r="L62" s="9" t="n">
        <f aca="false">IF(AND(H62=0,J62=0),0,IF(H62=0,"New",(J62-H62)/H62))</f>
        <v>-0.13615432540568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300</v>
      </c>
      <c r="B63" s="7" t="str">
        <f aca="false">IFERROR(INDEX('Source'!$C:$C,MATCH($A63,'Source'!$B:$B,0)),"")</f>
        <v>חגורת בטן קלה</v>
      </c>
      <c r="C63" s="8" t="n">
        <f aca="false">SUMIFS('Source'!$D:$D,'Source'!$A:$A,"160920 SALUS",'Source'!$B:$B,$A63)</f>
        <v>50</v>
      </c>
      <c r="D63" s="8" t="n">
        <f aca="false">SUMIFS('Source'!$F:$F,'Source'!$A:$A,"160920 SALUS",'Source'!$B:$B,$A63)</f>
        <v>35</v>
      </c>
      <c r="E63" s="8" t="n">
        <f aca="false">D63*$J$5</f>
        <v>44.2105263157895</v>
      </c>
      <c r="F63" s="8" t="n">
        <f aca="false">E63-C63</f>
        <v>-5.78947368421053</v>
      </c>
      <c r="G63" s="9" t="n">
        <f aca="false">IF(AND(C63=0,E63=0),0,IF(C63=0,"New",(E63-C63)/C63))</f>
        <v>-0.115789473684211</v>
      </c>
      <c r="H63" s="8" t="n">
        <f aca="false">SUMIFS('Source'!$E:$E,'Source'!$A:$A,"160920 SALUS",'Source'!$B:$B,$A63)</f>
        <v>1609.3</v>
      </c>
      <c r="I63" s="8" t="n">
        <f aca="false">SUMIFS('Source'!$G:$G,'Source'!$A:$A,"160920 SALUS",'Source'!$B:$B,$A63)</f>
        <v>1107.41</v>
      </c>
      <c r="J63" s="8" t="n">
        <f aca="false">I63*$J$5</f>
        <v>1398.83368421053</v>
      </c>
      <c r="K63" s="8" t="n">
        <f aca="false">J63-H63</f>
        <v>-210.466315789474</v>
      </c>
      <c r="L63" s="9" t="n">
        <f aca="false">IF(AND(H63=0,J63=0),0,IF(H63=0,"New",(J63-H63)/H63))</f>
        <v>-0.130781281171611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482</v>
      </c>
      <c r="B64" s="7" t="str">
        <f aca="false">IFERROR(INDEX('Source'!$C:$C,MATCH($A64,'Source'!$B:$B,0)),"")</f>
        <v>ח.בטן 25 ס'מ</v>
      </c>
      <c r="C64" s="8" t="n">
        <f aca="false">SUMIFS('Source'!$D:$D,'Source'!$A:$A,"160920 SALUS",'Source'!$B:$B,$A64)</f>
        <v>10</v>
      </c>
      <c r="D64" s="8" t="n">
        <f aca="false">SUMIFS('Source'!$F:$F,'Source'!$A:$A,"160920 SALUS",'Source'!$B:$B,$A64)</f>
        <v>0</v>
      </c>
      <c r="E64" s="8" t="n">
        <f aca="false">D64*$J$5</f>
        <v>0</v>
      </c>
      <c r="F64" s="8" t="n">
        <f aca="false">E64-C64</f>
        <v>-10</v>
      </c>
      <c r="G64" s="9" t="n">
        <f aca="false">IF(AND(C64=0,E64=0),0,IF(C64=0,"New",(E64-C64)/C64))</f>
        <v>-1</v>
      </c>
      <c r="H64" s="8" t="n">
        <f aca="false">SUMIFS('Source'!$E:$E,'Source'!$A:$A,"160920 SALUS",'Source'!$B:$B,$A64)</f>
        <v>494.8</v>
      </c>
      <c r="I64" s="8" t="n">
        <f aca="false">SUMIFS('Source'!$G:$G,'Source'!$A:$A,"160920 SALUS",'Source'!$B:$B,$A64)</f>
        <v>0</v>
      </c>
      <c r="J64" s="8" t="n">
        <f aca="false">I64*$J$5</f>
        <v>0</v>
      </c>
      <c r="K64" s="8" t="n">
        <f aca="false">J64-H64</f>
        <v>-494.8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289</v>
      </c>
      <c r="B65" s="7" t="str">
        <f aca="false">IFERROR(INDEX('Source'!$C:$C,MATCH($A65,'Source'!$B:$B,0)),"")</f>
        <v>ח.בטן 25 ס'מ</v>
      </c>
      <c r="C65" s="8" t="n">
        <f aca="false">SUMIFS('Source'!$D:$D,'Source'!$A:$A,"160920 SALUS",'Source'!$B:$B,$A65)</f>
        <v>10</v>
      </c>
      <c r="D65" s="8" t="n">
        <f aca="false">SUMIFS('Source'!$F:$F,'Source'!$A:$A,"160920 SALUS",'Source'!$B:$B,$A65)</f>
        <v>0</v>
      </c>
      <c r="E65" s="8" t="n">
        <f aca="false">D65*$J$5</f>
        <v>0</v>
      </c>
      <c r="F65" s="8" t="n">
        <f aca="false">E65-C65</f>
        <v>-10</v>
      </c>
      <c r="G65" s="9" t="n">
        <f aca="false">IF(AND(C65=0,E65=0),0,IF(C65=0,"New",(E65-C65)/C65))</f>
        <v>-1</v>
      </c>
      <c r="H65" s="8" t="n">
        <f aca="false">SUMIFS('Source'!$E:$E,'Source'!$A:$A,"160920 SALUS",'Source'!$B:$B,$A65)</f>
        <v>494.8</v>
      </c>
      <c r="I65" s="8" t="n">
        <f aca="false">SUMIFS('Source'!$G:$G,'Source'!$A:$A,"160920 SALUS",'Source'!$B:$B,$A65)</f>
        <v>0</v>
      </c>
      <c r="J65" s="8" t="n">
        <f aca="false">I65*$J$5</f>
        <v>0</v>
      </c>
      <c r="K65" s="8" t="n">
        <f aca="false">J65-H65</f>
        <v>-494.8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471</v>
      </c>
      <c r="B66" s="7" t="str">
        <f aca="false">IFERROR(INDEX('Source'!$C:$C,MATCH($A66,'Source'!$B:$B,0)),"")</f>
        <v>ח.בטן 25 ס'מ</v>
      </c>
      <c r="C66" s="8" t="n">
        <f aca="false">SUMIFS('Source'!$D:$D,'Source'!$A:$A,"160920 SALUS",'Source'!$B:$B,$A66)</f>
        <v>10</v>
      </c>
      <c r="D66" s="8" t="n">
        <f aca="false">SUMIFS('Source'!$F:$F,'Source'!$A:$A,"160920 SALUS",'Source'!$B:$B,$A66)</f>
        <v>0</v>
      </c>
      <c r="E66" s="8" t="n">
        <f aca="false">D66*$J$5</f>
        <v>0</v>
      </c>
      <c r="F66" s="8" t="n">
        <f aca="false">E66-C66</f>
        <v>-10</v>
      </c>
      <c r="G66" s="9" t="n">
        <f aca="false">IF(AND(C66=0,E66=0),0,IF(C66=0,"New",(E66-C66)/C66))</f>
        <v>-1</v>
      </c>
      <c r="H66" s="8" t="n">
        <f aca="false">SUMIFS('Source'!$E:$E,'Source'!$A:$A,"160920 SALUS",'Source'!$B:$B,$A66)</f>
        <v>494.8</v>
      </c>
      <c r="I66" s="8" t="n">
        <f aca="false">SUMIFS('Source'!$G:$G,'Source'!$A:$A,"160920 SALUS",'Source'!$B:$B,$A66)</f>
        <v>0</v>
      </c>
      <c r="J66" s="8" t="n">
        <f aca="false">I66*$J$5</f>
        <v>0</v>
      </c>
      <c r="K66" s="8" t="n">
        <f aca="false">J66-H66</f>
        <v>-494.8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247</v>
      </c>
      <c r="B67" s="7" t="str">
        <f aca="false">IFERROR(INDEX('Source'!$C:$C,MATCH($A67,'Source'!$B:$B,0)),"")</f>
        <v>ח.בטן 25 ס'מ</v>
      </c>
      <c r="C67" s="8" t="n">
        <f aca="false">SUMIFS('Source'!$D:$D,'Source'!$A:$A,"160920 SALUS",'Source'!$B:$B,$A67)</f>
        <v>10</v>
      </c>
      <c r="D67" s="8" t="n">
        <f aca="false">SUMIFS('Source'!$F:$F,'Source'!$A:$A,"160920 SALUS",'Source'!$B:$B,$A67)</f>
        <v>0</v>
      </c>
      <c r="E67" s="8" t="n">
        <f aca="false">D67*$J$5</f>
        <v>0</v>
      </c>
      <c r="F67" s="8" t="n">
        <f aca="false">E67-C67</f>
        <v>-10</v>
      </c>
      <c r="G67" s="9" t="n">
        <f aca="false">IF(AND(C67=0,E67=0),0,IF(C67=0,"New",(E67-C67)/C67))</f>
        <v>-1</v>
      </c>
      <c r="H67" s="8" t="n">
        <f aca="false">SUMIFS('Source'!$E:$E,'Source'!$A:$A,"160920 SALUS",'Source'!$B:$B,$A67)</f>
        <v>494.8</v>
      </c>
      <c r="I67" s="8" t="n">
        <f aca="false">SUMIFS('Source'!$G:$G,'Source'!$A:$A,"160920 SALUS",'Source'!$B:$B,$A67)</f>
        <v>0</v>
      </c>
      <c r="J67" s="8" t="n">
        <f aca="false">I67*$J$5</f>
        <v>0</v>
      </c>
      <c r="K67" s="8" t="n">
        <f aca="false">J67-H67</f>
        <v>-494.8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741</v>
      </c>
      <c r="B68" s="7" t="str">
        <f aca="false">IFERROR(INDEX('Source'!$C:$C,MATCH($A68,'Source'!$B:$B,0)),"")</f>
        <v>עקב סיליקון שטוח</v>
      </c>
      <c r="C68" s="8" t="n">
        <f aca="false">SUMIFS('Source'!$D:$D,'Source'!$A:$A,"160920 SALUS",'Source'!$B:$B,$A68)</f>
        <v>39</v>
      </c>
      <c r="D68" s="8" t="n">
        <f aca="false">SUMIFS('Source'!$F:$F,'Source'!$A:$A,"160920 SALUS",'Source'!$B:$B,$A68)</f>
        <v>20</v>
      </c>
      <c r="E68" s="8" t="n">
        <f aca="false">D68*$J$5</f>
        <v>25.2631578947368</v>
      </c>
      <c r="F68" s="8" t="n">
        <f aca="false">E68-C68</f>
        <v>-13.7368421052632</v>
      </c>
      <c r="G68" s="9" t="n">
        <f aca="false">IF(AND(C68=0,E68=0),0,IF(C68=0,"New",(E68-C68)/C68))</f>
        <v>-0.352226720647773</v>
      </c>
      <c r="H68" s="8" t="n">
        <f aca="false">SUMIFS('Source'!$E:$E,'Source'!$A:$A,"160920 SALUS",'Source'!$B:$B,$A68)</f>
        <v>902.29</v>
      </c>
      <c r="I68" s="8" t="n">
        <f aca="false">SUMIFS('Source'!$G:$G,'Source'!$A:$A,"160920 SALUS",'Source'!$B:$B,$A68)</f>
        <v>414.8</v>
      </c>
      <c r="J68" s="8" t="n">
        <f aca="false">I68*$J$5</f>
        <v>523.957894736842</v>
      </c>
      <c r="K68" s="8" t="n">
        <f aca="false">J68-H68</f>
        <v>-378.332105263158</v>
      </c>
      <c r="L68" s="9" t="n">
        <f aca="false">IF(AND(H68=0,J68=0),0,IF(H68=0,"New",(J68-H68)/H68))</f>
        <v>-0.419302114911124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701</v>
      </c>
      <c r="B69" s="7" t="str">
        <f aca="false">IFERROR(INDEX('Source'!$C:$C,MATCH($A69,'Source'!$B:$B,0)),"")</f>
        <v>תחבושת אלסטית נצמדת צבע ירוק</v>
      </c>
      <c r="C69" s="8" t="n">
        <f aca="false">SUMIFS('Source'!$D:$D,'Source'!$A:$A,"160920 SALUS",'Source'!$B:$B,$A69)</f>
        <v>220</v>
      </c>
      <c r="D69" s="8" t="n">
        <f aca="false">SUMIFS('Source'!$F:$F,'Source'!$A:$A,"160920 SALUS",'Source'!$B:$B,$A69)</f>
        <v>150</v>
      </c>
      <c r="E69" s="8" t="n">
        <f aca="false">D69*$J$5</f>
        <v>189.473684210526</v>
      </c>
      <c r="F69" s="8" t="n">
        <f aca="false">E69-C69</f>
        <v>-30.5263157894737</v>
      </c>
      <c r="G69" s="9" t="n">
        <f aca="false">IF(AND(C69=0,E69=0),0,IF(C69=0,"New",(E69-C69)/C69))</f>
        <v>-0.138755980861244</v>
      </c>
      <c r="H69" s="8" t="n">
        <f aca="false">SUMIFS('Source'!$E:$E,'Source'!$A:$A,"160920 SALUS",'Source'!$B:$B,$A69)</f>
        <v>1389.41</v>
      </c>
      <c r="I69" s="8" t="n">
        <f aca="false">SUMIFS('Source'!$G:$G,'Source'!$A:$A,"160920 SALUS",'Source'!$B:$B,$A69)</f>
        <v>906.62</v>
      </c>
      <c r="J69" s="8" t="n">
        <f aca="false">I69*$J$5</f>
        <v>1145.20421052632</v>
      </c>
      <c r="K69" s="8" t="n">
        <f aca="false">J69-H69</f>
        <v>-244.205789473684</v>
      </c>
      <c r="L69" s="9" t="n">
        <f aca="false">IF(AND(H69=0,J69=0),0,IF(H69=0,"New",(J69-H69)/H69))</f>
        <v>-0.175762222435195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556</v>
      </c>
      <c r="B70" s="7" t="str">
        <f aca="false">IFERROR(INDEX('Source'!$C:$C,MATCH($A70,'Source'!$B:$B,0)),"")</f>
        <v>מגן ברך רגיל</v>
      </c>
      <c r="C70" s="8" t="n">
        <f aca="false">SUMIFS('Source'!$D:$D,'Source'!$A:$A,"160920 SALUS",'Source'!$B:$B,$A70)</f>
        <v>200</v>
      </c>
      <c r="D70" s="8" t="n">
        <f aca="false">SUMIFS('Source'!$F:$F,'Source'!$A:$A,"160920 SALUS",'Source'!$B:$B,$A70)</f>
        <v>160</v>
      </c>
      <c r="E70" s="8" t="n">
        <f aca="false">D70*$J$5</f>
        <v>202.105263157895</v>
      </c>
      <c r="F70" s="8" t="n">
        <f aca="false">E70-C70</f>
        <v>2.10526315789474</v>
      </c>
      <c r="G70" s="9" t="n">
        <f aca="false">IF(AND(C70=0,E70=0),0,IF(C70=0,"New",(E70-C70)/C70))</f>
        <v>0.0105263157894737</v>
      </c>
      <c r="H70" s="8" t="n">
        <f aca="false">SUMIFS('Source'!$E:$E,'Source'!$A:$A,"160920 SALUS",'Source'!$B:$B,$A70)</f>
        <v>2096.99</v>
      </c>
      <c r="I70" s="8" t="n">
        <f aca="false">SUMIFS('Source'!$G:$G,'Source'!$A:$A,"160920 SALUS",'Source'!$B:$B,$A70)</f>
        <v>1625.18</v>
      </c>
      <c r="J70" s="8" t="n">
        <f aca="false">I70*$J$5</f>
        <v>2052.85894736842</v>
      </c>
      <c r="K70" s="8" t="n">
        <f aca="false">J70-H70</f>
        <v>-44.1310526315788</v>
      </c>
      <c r="L70" s="9" t="n">
        <f aca="false">IF(AND(H70=0,J70=0),0,IF(H70=0,"New",(J70-H70)/H70))</f>
        <v>-0.0210449513977552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342</v>
      </c>
      <c r="B71" s="7" t="str">
        <f aca="false">IFERROR(INDEX('Source'!$C:$C,MATCH($A71,'Source'!$B:$B,0)),"")</f>
        <v>מדרס מג'ל</v>
      </c>
      <c r="C71" s="8" t="n">
        <f aca="false">SUMIFS('Source'!$D:$D,'Source'!$A:$A,"160920 SALUS",'Source'!$B:$B,$A71)</f>
        <v>10</v>
      </c>
      <c r="D71" s="8" t="n">
        <f aca="false">SUMIFS('Source'!$F:$F,'Source'!$A:$A,"160920 SALUS",'Source'!$B:$B,$A71)</f>
        <v>29</v>
      </c>
      <c r="E71" s="8" t="n">
        <f aca="false">D71*$J$5</f>
        <v>36.6315789473684</v>
      </c>
      <c r="F71" s="8" t="n">
        <f aca="false">E71-C71</f>
        <v>26.6315789473684</v>
      </c>
      <c r="G71" s="9" t="n">
        <f aca="false">IF(AND(C71=0,E71=0),0,IF(C71=0,"New",(E71-C71)/C71))</f>
        <v>2.66315789473684</v>
      </c>
      <c r="H71" s="8" t="n">
        <f aca="false">SUMIFS('Source'!$E:$E,'Source'!$A:$A,"160920 SALUS",'Source'!$B:$B,$A71)</f>
        <v>242.07</v>
      </c>
      <c r="I71" s="8" t="n">
        <f aca="false">SUMIFS('Source'!$G:$G,'Source'!$A:$A,"160920 SALUS",'Source'!$B:$B,$A71)</f>
        <v>710.3</v>
      </c>
      <c r="J71" s="8" t="n">
        <f aca="false">I71*$J$5</f>
        <v>897.221052631579</v>
      </c>
      <c r="K71" s="8" t="n">
        <f aca="false">J71-H71</f>
        <v>655.151052631579</v>
      </c>
      <c r="L71" s="9" t="n">
        <f aca="false">IF(AND(H71=0,J71=0),0,IF(H71=0,"New",(J71-H71)/H71))</f>
        <v>2.70645289640013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271</v>
      </c>
      <c r="B72" s="7" t="str">
        <f aca="false">IFERROR(INDEX('Source'!$C:$C,MATCH($A72,'Source'!$B:$B,0)),"")</f>
        <v>חגורת שבר שחור</v>
      </c>
      <c r="C72" s="8" t="n">
        <f aca="false">SUMIFS('Source'!$D:$D,'Source'!$A:$A,"160920 SALUS",'Source'!$B:$B,$A72)</f>
        <v>5</v>
      </c>
      <c r="D72" s="8" t="n">
        <f aca="false">SUMIFS('Source'!$F:$F,'Source'!$A:$A,"160920 SALUS",'Source'!$B:$B,$A72)</f>
        <v>0</v>
      </c>
      <c r="E72" s="8" t="n">
        <f aca="false">D72*$J$5</f>
        <v>0</v>
      </c>
      <c r="F72" s="8" t="n">
        <f aca="false">E72-C72</f>
        <v>-5</v>
      </c>
      <c r="G72" s="9" t="n">
        <f aca="false">IF(AND(C72=0,E72=0),0,IF(C72=0,"New",(E72-C72)/C72))</f>
        <v>-1</v>
      </c>
      <c r="H72" s="8" t="n">
        <f aca="false">SUMIFS('Source'!$E:$E,'Source'!$A:$A,"160920 SALUS",'Source'!$B:$B,$A72)</f>
        <v>445.48</v>
      </c>
      <c r="I72" s="8" t="n">
        <f aca="false">SUMIFS('Source'!$G:$G,'Source'!$A:$A,"160920 SALUS",'Source'!$B:$B,$A72)</f>
        <v>0</v>
      </c>
      <c r="J72" s="8" t="n">
        <f aca="false">I72*$J$5</f>
        <v>0</v>
      </c>
      <c r="K72" s="8" t="n">
        <f aca="false">J72-H72</f>
        <v>-445.48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384</v>
      </c>
      <c r="B73" s="7" t="str">
        <f aca="false">IFERROR(INDEX('Source'!$C:$C,MATCH($A73,'Source'!$B:$B,0)),"")</f>
        <v>חגורת שבר שחור</v>
      </c>
      <c r="C73" s="8" t="n">
        <f aca="false">SUMIFS('Source'!$D:$D,'Source'!$A:$A,"160920 SALUS",'Source'!$B:$B,$A73)</f>
        <v>5</v>
      </c>
      <c r="D73" s="8" t="n">
        <f aca="false">SUMIFS('Source'!$F:$F,'Source'!$A:$A,"160920 SALUS",'Source'!$B:$B,$A73)</f>
        <v>0</v>
      </c>
      <c r="E73" s="8" t="n">
        <f aca="false">D73*$J$5</f>
        <v>0</v>
      </c>
      <c r="F73" s="8" t="n">
        <f aca="false">E73-C73</f>
        <v>-5</v>
      </c>
      <c r="G73" s="9" t="n">
        <f aca="false">IF(AND(C73=0,E73=0),0,IF(C73=0,"New",(E73-C73)/C73))</f>
        <v>-1</v>
      </c>
      <c r="H73" s="8" t="n">
        <f aca="false">SUMIFS('Source'!$E:$E,'Source'!$A:$A,"160920 SALUS",'Source'!$B:$B,$A73)</f>
        <v>445.48</v>
      </c>
      <c r="I73" s="8" t="n">
        <f aca="false">SUMIFS('Source'!$G:$G,'Source'!$A:$A,"160920 SALUS",'Source'!$B:$B,$A73)</f>
        <v>0</v>
      </c>
      <c r="J73" s="8" t="n">
        <f aca="false">I73*$J$5</f>
        <v>0</v>
      </c>
      <c r="K73" s="8" t="n">
        <f aca="false">J73-H73</f>
        <v>-445.48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421</v>
      </c>
      <c r="B74" s="7" t="str">
        <f aca="false">IFERROR(INDEX('Source'!$C:$C,MATCH($A74,'Source'!$B:$B,0)),"")</f>
        <v>חגורת שבר שחור</v>
      </c>
      <c r="C74" s="8" t="n">
        <f aca="false">SUMIFS('Source'!$D:$D,'Source'!$A:$A,"160920 SALUS",'Source'!$B:$B,$A74)</f>
        <v>5</v>
      </c>
      <c r="D74" s="8" t="n">
        <f aca="false">SUMIFS('Source'!$F:$F,'Source'!$A:$A,"160920 SALUS",'Source'!$B:$B,$A74)</f>
        <v>0</v>
      </c>
      <c r="E74" s="8" t="n">
        <f aca="false">D74*$J$5</f>
        <v>0</v>
      </c>
      <c r="F74" s="8" t="n">
        <f aca="false">E74-C74</f>
        <v>-5</v>
      </c>
      <c r="G74" s="9" t="n">
        <f aca="false">IF(AND(C74=0,E74=0),0,IF(C74=0,"New",(E74-C74)/C74))</f>
        <v>-1</v>
      </c>
      <c r="H74" s="8" t="n">
        <f aca="false">SUMIFS('Source'!$E:$E,'Source'!$A:$A,"160920 SALUS",'Source'!$B:$B,$A74)</f>
        <v>445.48</v>
      </c>
      <c r="I74" s="8" t="n">
        <f aca="false">SUMIFS('Source'!$G:$G,'Source'!$A:$A,"160920 SALUS",'Source'!$B:$B,$A74)</f>
        <v>0</v>
      </c>
      <c r="J74" s="8" t="n">
        <f aca="false">I74*$J$5</f>
        <v>0</v>
      </c>
      <c r="K74" s="8" t="n">
        <f aca="false">J74-H74</f>
        <v>-445.48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958</v>
      </c>
      <c r="B75" s="7" t="str">
        <f aca="false">IFERROR(INDEX('Source'!$C:$C,MATCH($A75,'Source'!$B:$B,0)),"")</f>
        <v>חגורת שבר שחור</v>
      </c>
      <c r="C75" s="8" t="n">
        <f aca="false">SUMIFS('Source'!$D:$D,'Source'!$A:$A,"160920 SALUS",'Source'!$B:$B,$A75)</f>
        <v>5</v>
      </c>
      <c r="D75" s="8" t="n">
        <f aca="false">SUMIFS('Source'!$F:$F,'Source'!$A:$A,"160920 SALUS",'Source'!$B:$B,$A75)</f>
        <v>0</v>
      </c>
      <c r="E75" s="8" t="n">
        <f aca="false">D75*$J$5</f>
        <v>0</v>
      </c>
      <c r="F75" s="8" t="n">
        <f aca="false">E75-C75</f>
        <v>-5</v>
      </c>
      <c r="G75" s="9" t="n">
        <f aca="false">IF(AND(C75=0,E75=0),0,IF(C75=0,"New",(E75-C75)/C75))</f>
        <v>-1</v>
      </c>
      <c r="H75" s="8" t="n">
        <f aca="false">SUMIFS('Source'!$E:$E,'Source'!$A:$A,"160920 SALUS",'Source'!$B:$B,$A75)</f>
        <v>445.48</v>
      </c>
      <c r="I75" s="8" t="n">
        <f aca="false">SUMIFS('Source'!$G:$G,'Source'!$A:$A,"160920 SALUS",'Source'!$B:$B,$A75)</f>
        <v>0</v>
      </c>
      <c r="J75" s="8" t="n">
        <f aca="false">I75*$J$5</f>
        <v>0</v>
      </c>
      <c r="K75" s="8" t="n">
        <f aca="false">J75-H75</f>
        <v>-445.48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281</v>
      </c>
      <c r="B76" s="7" t="str">
        <f aca="false">IFERROR(INDEX('Source'!$C:$C,MATCH($A76,'Source'!$B:$B,0)),"")</f>
        <v>חגורת שבר שחור</v>
      </c>
      <c r="C76" s="8" t="n">
        <f aca="false">SUMIFS('Source'!$D:$D,'Source'!$A:$A,"160920 SALUS",'Source'!$B:$B,$A76)</f>
        <v>5</v>
      </c>
      <c r="D76" s="8" t="n">
        <f aca="false">SUMIFS('Source'!$F:$F,'Source'!$A:$A,"160920 SALUS",'Source'!$B:$B,$A76)</f>
        <v>0</v>
      </c>
      <c r="E76" s="8" t="n">
        <f aca="false">D76*$J$5</f>
        <v>0</v>
      </c>
      <c r="F76" s="8" t="n">
        <f aca="false">E76-C76</f>
        <v>-5</v>
      </c>
      <c r="G76" s="9" t="n">
        <f aca="false">IF(AND(C76=0,E76=0),0,IF(C76=0,"New",(E76-C76)/C76))</f>
        <v>-1</v>
      </c>
      <c r="H76" s="8" t="n">
        <f aca="false">SUMIFS('Source'!$E:$E,'Source'!$A:$A,"160920 SALUS",'Source'!$B:$B,$A76)</f>
        <v>445.48</v>
      </c>
      <c r="I76" s="8" t="n">
        <f aca="false">SUMIFS('Source'!$G:$G,'Source'!$A:$A,"160920 SALUS",'Source'!$B:$B,$A76)</f>
        <v>0</v>
      </c>
      <c r="J76" s="8" t="n">
        <f aca="false">I76*$J$5</f>
        <v>0</v>
      </c>
      <c r="K76" s="8" t="n">
        <f aca="false">J76-H76</f>
        <v>-445.48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700</v>
      </c>
      <c r="B77" s="7" t="str">
        <f aca="false">IFERROR(INDEX('Source'!$C:$C,MATCH($A77,'Source'!$B:$B,0)),"")</f>
        <v>אצבעון מפלסטיק  ליד</v>
      </c>
      <c r="C77" s="8" t="n">
        <f aca="false">SUMIFS('Source'!$D:$D,'Source'!$A:$A,"160920 SALUS",'Source'!$B:$B,$A77)</f>
        <v>220</v>
      </c>
      <c r="D77" s="8" t="n">
        <f aca="false">SUMIFS('Source'!$F:$F,'Source'!$A:$A,"160920 SALUS",'Source'!$B:$B,$A77)</f>
        <v>280</v>
      </c>
      <c r="E77" s="8" t="n">
        <f aca="false">D77*$J$5</f>
        <v>353.684210526316</v>
      </c>
      <c r="F77" s="8" t="n">
        <f aca="false">E77-C77</f>
        <v>133.684210526316</v>
      </c>
      <c r="G77" s="9" t="n">
        <f aca="false">IF(AND(C77=0,E77=0),0,IF(C77=0,"New",(E77-C77)/C77))</f>
        <v>0.607655502392344</v>
      </c>
      <c r="H77" s="8" t="n">
        <f aca="false">SUMIFS('Source'!$E:$E,'Source'!$A:$A,"160920 SALUS",'Source'!$B:$B,$A77)</f>
        <v>1863.08</v>
      </c>
      <c r="I77" s="8" t="n">
        <f aca="false">SUMIFS('Source'!$G:$G,'Source'!$A:$A,"160920 SALUS",'Source'!$B:$B,$A77)</f>
        <v>2305.84</v>
      </c>
      <c r="J77" s="8" t="n">
        <f aca="false">I77*$J$5</f>
        <v>2912.64</v>
      </c>
      <c r="K77" s="8" t="n">
        <f aca="false">J77-H77</f>
        <v>1049.56</v>
      </c>
      <c r="L77" s="9" t="n">
        <f aca="false">IF(AND(H77=0,J77=0),0,IF(H77=0,"New",(J77-H77)/H77))</f>
        <v>0.563346716190394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152</v>
      </c>
      <c r="B78" s="7" t="str">
        <f aca="false">IFERROR(INDEX('Source'!$C:$C,MATCH($A78,'Source'!$B:$B,0)),"")</f>
        <v>תומך ברך גנושילד</v>
      </c>
      <c r="C78" s="8" t="n">
        <f aca="false">SUMIFS('Source'!$D:$D,'Source'!$A:$A,"160920 SALUS",'Source'!$B:$B,$A78)</f>
        <v>5</v>
      </c>
      <c r="D78" s="8" t="n">
        <f aca="false">SUMIFS('Source'!$F:$F,'Source'!$A:$A,"160920 SALUS",'Source'!$B:$B,$A78)</f>
        <v>0</v>
      </c>
      <c r="E78" s="8" t="n">
        <f aca="false">D78*$J$5</f>
        <v>0</v>
      </c>
      <c r="F78" s="8" t="n">
        <f aca="false">E78-C78</f>
        <v>-5</v>
      </c>
      <c r="G78" s="9" t="n">
        <f aca="false">IF(AND(C78=0,E78=0),0,IF(C78=0,"New",(E78-C78)/C78))</f>
        <v>-1</v>
      </c>
      <c r="H78" s="8" t="n">
        <f aca="false">SUMIFS('Source'!$E:$E,'Source'!$A:$A,"160920 SALUS",'Source'!$B:$B,$A78)</f>
        <v>426.39</v>
      </c>
      <c r="I78" s="8" t="n">
        <f aca="false">SUMIFS('Source'!$G:$G,'Source'!$A:$A,"160920 SALUS",'Source'!$B:$B,$A78)</f>
        <v>0</v>
      </c>
      <c r="J78" s="8" t="n">
        <f aca="false">I78*$J$5</f>
        <v>0</v>
      </c>
      <c r="K78" s="8" t="n">
        <f aca="false">J78-H78</f>
        <v>-426.39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122</v>
      </c>
      <c r="B79" s="7" t="str">
        <f aca="false">IFERROR(INDEX('Source'!$C:$C,MATCH($A79,'Source'!$B:$B,0)),"")</f>
        <v>תומך ברך גנושילד</v>
      </c>
      <c r="C79" s="8" t="n">
        <f aca="false">SUMIFS('Source'!$D:$D,'Source'!$A:$A,"160920 SALUS",'Source'!$B:$B,$A79)</f>
        <v>5</v>
      </c>
      <c r="D79" s="8" t="n">
        <f aca="false">SUMIFS('Source'!$F:$F,'Source'!$A:$A,"160920 SALUS",'Source'!$B:$B,$A79)</f>
        <v>0</v>
      </c>
      <c r="E79" s="8" t="n">
        <f aca="false">D79*$J$5</f>
        <v>0</v>
      </c>
      <c r="F79" s="8" t="n">
        <f aca="false">E79-C79</f>
        <v>-5</v>
      </c>
      <c r="G79" s="9" t="n">
        <f aca="false">IF(AND(C79=0,E79=0),0,IF(C79=0,"New",(E79-C79)/C79))</f>
        <v>-1</v>
      </c>
      <c r="H79" s="8" t="n">
        <f aca="false">SUMIFS('Source'!$E:$E,'Source'!$A:$A,"160920 SALUS",'Source'!$B:$B,$A79)</f>
        <v>426.39</v>
      </c>
      <c r="I79" s="8" t="n">
        <f aca="false">SUMIFS('Source'!$G:$G,'Source'!$A:$A,"160920 SALUS",'Source'!$B:$B,$A79)</f>
        <v>0</v>
      </c>
      <c r="J79" s="8" t="n">
        <f aca="false">I79*$J$5</f>
        <v>0</v>
      </c>
      <c r="K79" s="8" t="n">
        <f aca="false">J79-H79</f>
        <v>-426.39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252</v>
      </c>
      <c r="B80" s="7" t="str">
        <f aca="false">IFERROR(INDEX('Source'!$C:$C,MATCH($A80,'Source'!$B:$B,0)),"")</f>
        <v>תומך ברך גנושילד</v>
      </c>
      <c r="C80" s="8" t="n">
        <f aca="false">SUMIFS('Source'!$D:$D,'Source'!$A:$A,"160920 SALUS",'Source'!$B:$B,$A80)</f>
        <v>5</v>
      </c>
      <c r="D80" s="8" t="n">
        <f aca="false">SUMIFS('Source'!$F:$F,'Source'!$A:$A,"160920 SALUS",'Source'!$B:$B,$A80)</f>
        <v>0</v>
      </c>
      <c r="E80" s="8" t="n">
        <f aca="false">D80*$J$5</f>
        <v>0</v>
      </c>
      <c r="F80" s="8" t="n">
        <f aca="false">E80-C80</f>
        <v>-5</v>
      </c>
      <c r="G80" s="9" t="n">
        <f aca="false">IF(AND(C80=0,E80=0),0,IF(C80=0,"New",(E80-C80)/C80))</f>
        <v>-1</v>
      </c>
      <c r="H80" s="8" t="n">
        <f aca="false">SUMIFS('Source'!$E:$E,'Source'!$A:$A,"160920 SALUS",'Source'!$B:$B,$A80)</f>
        <v>426.39</v>
      </c>
      <c r="I80" s="8" t="n">
        <f aca="false">SUMIFS('Source'!$G:$G,'Source'!$A:$A,"160920 SALUS",'Source'!$B:$B,$A80)</f>
        <v>0</v>
      </c>
      <c r="J80" s="8" t="n">
        <f aca="false">I80*$J$5</f>
        <v>0</v>
      </c>
      <c r="K80" s="8" t="n">
        <f aca="false">J80-H80</f>
        <v>-426.39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128</v>
      </c>
      <c r="B81" s="7" t="str">
        <f aca="false">IFERROR(INDEX('Source'!$C:$C,MATCH($A81,'Source'!$B:$B,0)),"")</f>
        <v>תומך ברך גנושילד</v>
      </c>
      <c r="C81" s="8" t="n">
        <f aca="false">SUMIFS('Source'!$D:$D,'Source'!$A:$A,"160920 SALUS",'Source'!$B:$B,$A81)</f>
        <v>5</v>
      </c>
      <c r="D81" s="8" t="n">
        <f aca="false">SUMIFS('Source'!$F:$F,'Source'!$A:$A,"160920 SALUS",'Source'!$B:$B,$A81)</f>
        <v>0</v>
      </c>
      <c r="E81" s="8" t="n">
        <f aca="false">D81*$J$5</f>
        <v>0</v>
      </c>
      <c r="F81" s="8" t="n">
        <f aca="false">E81-C81</f>
        <v>-5</v>
      </c>
      <c r="G81" s="9" t="n">
        <f aca="false">IF(AND(C81=0,E81=0),0,IF(C81=0,"New",(E81-C81)/C81))</f>
        <v>-1</v>
      </c>
      <c r="H81" s="8" t="n">
        <f aca="false">SUMIFS('Source'!$E:$E,'Source'!$A:$A,"160920 SALUS",'Source'!$B:$B,$A81)</f>
        <v>426.39</v>
      </c>
      <c r="I81" s="8" t="n">
        <f aca="false">SUMIFS('Source'!$G:$G,'Source'!$A:$A,"160920 SALUS",'Source'!$B:$B,$A81)</f>
        <v>0</v>
      </c>
      <c r="J81" s="8" t="n">
        <f aca="false">I81*$J$5</f>
        <v>0</v>
      </c>
      <c r="K81" s="8" t="n">
        <f aca="false">J81-H81</f>
        <v>-426.39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409</v>
      </c>
      <c r="B82" s="7" t="str">
        <f aca="false">IFERROR(INDEX('Source'!$C:$C,MATCH($A82,'Source'!$B:$B,0)),"")</f>
        <v>רפידת זיכרון 376</v>
      </c>
      <c r="C82" s="8" t="n">
        <f aca="false">SUMIFS('Source'!$D:$D,'Source'!$A:$A,"160920 SALUS",'Source'!$B:$B,$A82)</f>
        <v>5</v>
      </c>
      <c r="D82" s="8" t="n">
        <f aca="false">SUMIFS('Source'!$F:$F,'Source'!$A:$A,"160920 SALUS",'Source'!$B:$B,$A82)</f>
        <v>35</v>
      </c>
      <c r="E82" s="8" t="n">
        <f aca="false">D82*$J$5</f>
        <v>44.2105263157895</v>
      </c>
      <c r="F82" s="8" t="n">
        <f aca="false">E82-C82</f>
        <v>39.2105263157895</v>
      </c>
      <c r="G82" s="9" t="n">
        <f aca="false">IF(AND(C82=0,E82=0),0,IF(C82=0,"New",(E82-C82)/C82))</f>
        <v>7.8421052631579</v>
      </c>
      <c r="H82" s="8" t="n">
        <f aca="false">SUMIFS('Source'!$E:$E,'Source'!$A:$A,"160920 SALUS",'Source'!$B:$B,$A82)</f>
        <v>68.97</v>
      </c>
      <c r="I82" s="8" t="n">
        <f aca="false">SUMIFS('Source'!$G:$G,'Source'!$A:$A,"160920 SALUS",'Source'!$B:$B,$A82)</f>
        <v>486.46</v>
      </c>
      <c r="J82" s="8" t="n">
        <f aca="false">I82*$J$5</f>
        <v>614.475789473684</v>
      </c>
      <c r="K82" s="8" t="n">
        <f aca="false">J82-H82</f>
        <v>545.505789473684</v>
      </c>
      <c r="L82" s="9" t="n">
        <f aca="false">IF(AND(H82=0,J82=0),0,IF(H82=0,"New",(J82-H82)/H82))</f>
        <v>7.90931984157872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225</v>
      </c>
      <c r="B83" s="7" t="str">
        <f aca="false">IFERROR(INDEX('Source'!$C:$C,MATCH($A83,'Source'!$B:$B,0)),"")</f>
        <v>שרוול מסיליקון ל</v>
      </c>
      <c r="C83" s="8" t="n">
        <f aca="false">SUMIFS('Source'!$D:$D,'Source'!$A:$A,"160920 SALUS",'Source'!$B:$B,$A83)</f>
        <v>420</v>
      </c>
      <c r="D83" s="8" t="n">
        <f aca="false">SUMIFS('Source'!$F:$F,'Source'!$A:$A,"160920 SALUS",'Source'!$B:$B,$A83)</f>
        <v>410</v>
      </c>
      <c r="E83" s="8" t="n">
        <f aca="false">D83*$J$5</f>
        <v>517.894736842105</v>
      </c>
      <c r="F83" s="8" t="n">
        <f aca="false">E83-C83</f>
        <v>97.8947368421052</v>
      </c>
      <c r="G83" s="9" t="n">
        <f aca="false">IF(AND(C83=0,E83=0),0,IF(C83=0,"New",(E83-C83)/C83))</f>
        <v>0.233082706766917</v>
      </c>
      <c r="H83" s="8" t="n">
        <f aca="false">SUMIFS('Source'!$E:$E,'Source'!$A:$A,"160920 SALUS",'Source'!$B:$B,$A83)</f>
        <v>3674.31</v>
      </c>
      <c r="I83" s="8" t="n">
        <f aca="false">SUMIFS('Source'!$G:$G,'Source'!$A:$A,"160920 SALUS",'Source'!$B:$B,$A83)</f>
        <v>3258.95</v>
      </c>
      <c r="J83" s="8" t="n">
        <f aca="false">I83*$J$5</f>
        <v>4116.56842105263</v>
      </c>
      <c r="K83" s="8" t="n">
        <f aca="false">J83-H83</f>
        <v>442.258421052632</v>
      </c>
      <c r="L83" s="9" t="n">
        <f aca="false">IF(AND(H83=0,J83=0),0,IF(H83=0,"New",(J83-H83)/H83))</f>
        <v>0.120365026645175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399</v>
      </c>
      <c r="B84" s="7" t="str">
        <f aca="false">IFERROR(INDEX('Source'!$C:$C,MATCH($A84,'Source'!$B:$B,0)),"")</f>
        <v>מישר כתפיים</v>
      </c>
      <c r="C84" s="8" t="n">
        <f aca="false">SUMIFS('Source'!$D:$D,'Source'!$A:$A,"160920 SALUS",'Source'!$B:$B,$A84)</f>
        <v>6</v>
      </c>
      <c r="D84" s="8" t="n">
        <f aca="false">SUMIFS('Source'!$F:$F,'Source'!$A:$A,"160920 SALUS",'Source'!$B:$B,$A84)</f>
        <v>0</v>
      </c>
      <c r="E84" s="8" t="n">
        <f aca="false">D84*$J$5</f>
        <v>0</v>
      </c>
      <c r="F84" s="8" t="n">
        <f aca="false">E84-C84</f>
        <v>-6</v>
      </c>
      <c r="G84" s="9" t="n">
        <f aca="false">IF(AND(C84=0,E84=0),0,IF(C84=0,"New",(E84-C84)/C84))</f>
        <v>-1</v>
      </c>
      <c r="H84" s="8" t="n">
        <f aca="false">SUMIFS('Source'!$E:$E,'Source'!$A:$A,"160920 SALUS",'Source'!$B:$B,$A84)</f>
        <v>412.53</v>
      </c>
      <c r="I84" s="8" t="n">
        <f aca="false">SUMIFS('Source'!$G:$G,'Source'!$A:$A,"160920 SALUS",'Source'!$B:$B,$A84)</f>
        <v>0</v>
      </c>
      <c r="J84" s="8" t="n">
        <f aca="false">I84*$J$5</f>
        <v>0</v>
      </c>
      <c r="K84" s="8" t="n">
        <f aca="false">J84-H84</f>
        <v>-412.53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597</v>
      </c>
      <c r="B85" s="7" t="str">
        <f aca="false">IFERROR(INDEX('Source'!$C:$C,MATCH($A85,'Source'!$B:$B,0)),"")</f>
        <v>מגן קרסול סגור</v>
      </c>
      <c r="C85" s="8" t="n">
        <f aca="false">SUMIFS('Source'!$D:$D,'Source'!$A:$A,"160920 SALUS",'Source'!$B:$B,$A85)</f>
        <v>44</v>
      </c>
      <c r="D85" s="8" t="n">
        <f aca="false">SUMIFS('Source'!$F:$F,'Source'!$A:$A,"160920 SALUS",'Source'!$B:$B,$A85)</f>
        <v>25</v>
      </c>
      <c r="E85" s="8" t="n">
        <f aca="false">D85*$J$5</f>
        <v>31.5789473684211</v>
      </c>
      <c r="F85" s="8" t="n">
        <f aca="false">E85-C85</f>
        <v>-12.4210526315789</v>
      </c>
      <c r="G85" s="9" t="n">
        <f aca="false">IF(AND(C85=0,E85=0),0,IF(C85=0,"New",(E85-C85)/C85))</f>
        <v>-0.282296650717703</v>
      </c>
      <c r="H85" s="8" t="n">
        <f aca="false">SUMIFS('Source'!$E:$E,'Source'!$A:$A,"160920 SALUS",'Source'!$B:$B,$A85)</f>
        <v>915.75</v>
      </c>
      <c r="I85" s="8" t="n">
        <f aca="false">SUMIFS('Source'!$G:$G,'Source'!$A:$A,"160920 SALUS",'Source'!$B:$B,$A85)</f>
        <v>503.57</v>
      </c>
      <c r="J85" s="8" t="n">
        <f aca="false">I85*$J$5</f>
        <v>636.088421052632</v>
      </c>
      <c r="K85" s="8" t="n">
        <f aca="false">J85-H85</f>
        <v>-279.661578947368</v>
      </c>
      <c r="L85" s="9" t="n">
        <f aca="false">IF(AND(H85=0,J85=0),0,IF(H85=0,"New",(J85-H85)/H85))</f>
        <v>-0.305390749601276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959</v>
      </c>
      <c r="B86" s="7" t="str">
        <f aca="false">IFERROR(INDEX('Source'!$C:$C,MATCH($A86,'Source'!$B:$B,0)),"")</f>
        <v>חגורת שבר שחור</v>
      </c>
      <c r="C86" s="8" t="n">
        <f aca="false">SUMIFS('Source'!$D:$D,'Source'!$A:$A,"160920 SALUS",'Source'!$B:$B,$A86)</f>
        <v>5</v>
      </c>
      <c r="D86" s="8" t="n">
        <f aca="false">SUMIFS('Source'!$F:$F,'Source'!$A:$A,"160920 SALUS",'Source'!$B:$B,$A86)</f>
        <v>0</v>
      </c>
      <c r="E86" s="8" t="n">
        <f aca="false">D86*$J$5</f>
        <v>0</v>
      </c>
      <c r="F86" s="8" t="n">
        <f aca="false">E86-C86</f>
        <v>-5</v>
      </c>
      <c r="G86" s="9" t="n">
        <f aca="false">IF(AND(C86=0,E86=0),0,IF(C86=0,"New",(E86-C86)/C86))</f>
        <v>-1</v>
      </c>
      <c r="H86" s="8" t="n">
        <f aca="false">SUMIFS('Source'!$E:$E,'Source'!$A:$A,"160920 SALUS",'Source'!$B:$B,$A86)</f>
        <v>405.71</v>
      </c>
      <c r="I86" s="8" t="n">
        <f aca="false">SUMIFS('Source'!$G:$G,'Source'!$A:$A,"160920 SALUS",'Source'!$B:$B,$A86)</f>
        <v>0</v>
      </c>
      <c r="J86" s="8" t="n">
        <f aca="false">I86*$J$5</f>
        <v>0</v>
      </c>
      <c r="K86" s="8" t="n">
        <f aca="false">J86-H86</f>
        <v>-405.71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960</v>
      </c>
      <c r="B87" s="7" t="str">
        <f aca="false">IFERROR(INDEX('Source'!$C:$C,MATCH($A87,'Source'!$B:$B,0)),"")</f>
        <v>חגורת שבר שחור</v>
      </c>
      <c r="C87" s="8" t="n">
        <f aca="false">SUMIFS('Source'!$D:$D,'Source'!$A:$A,"160920 SALUS",'Source'!$B:$B,$A87)</f>
        <v>5</v>
      </c>
      <c r="D87" s="8" t="n">
        <f aca="false">SUMIFS('Source'!$F:$F,'Source'!$A:$A,"160920 SALUS",'Source'!$B:$B,$A87)</f>
        <v>0</v>
      </c>
      <c r="E87" s="8" t="n">
        <f aca="false">D87*$J$5</f>
        <v>0</v>
      </c>
      <c r="F87" s="8" t="n">
        <f aca="false">E87-C87</f>
        <v>-5</v>
      </c>
      <c r="G87" s="9" t="n">
        <f aca="false">IF(AND(C87=0,E87=0),0,IF(C87=0,"New",(E87-C87)/C87))</f>
        <v>-1</v>
      </c>
      <c r="H87" s="8" t="n">
        <f aca="false">SUMIFS('Source'!$E:$E,'Source'!$A:$A,"160920 SALUS",'Source'!$B:$B,$A87)</f>
        <v>405.71</v>
      </c>
      <c r="I87" s="8" t="n">
        <f aca="false">SUMIFS('Source'!$G:$G,'Source'!$A:$A,"160920 SALUS",'Source'!$B:$B,$A87)</f>
        <v>0</v>
      </c>
      <c r="J87" s="8" t="n">
        <f aca="false">I87*$J$5</f>
        <v>0</v>
      </c>
      <c r="K87" s="8" t="n">
        <f aca="false">J87-H87</f>
        <v>-405.71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538</v>
      </c>
      <c r="B88" s="7" t="str">
        <f aca="false">IFERROR(INDEX('Source'!$C:$C,MATCH($A88,'Source'!$B:$B,0)),"")</f>
        <v>חגורת שבר שחור</v>
      </c>
      <c r="C88" s="8" t="n">
        <f aca="false">SUMIFS('Source'!$D:$D,'Source'!$A:$A,"160920 SALUS",'Source'!$B:$B,$A88)</f>
        <v>5</v>
      </c>
      <c r="D88" s="8" t="n">
        <f aca="false">SUMIFS('Source'!$F:$F,'Source'!$A:$A,"160920 SALUS",'Source'!$B:$B,$A88)</f>
        <v>0</v>
      </c>
      <c r="E88" s="8" t="n">
        <f aca="false">D88*$J$5</f>
        <v>0</v>
      </c>
      <c r="F88" s="8" t="n">
        <f aca="false">E88-C88</f>
        <v>-5</v>
      </c>
      <c r="G88" s="9" t="n">
        <f aca="false">IF(AND(C88=0,E88=0),0,IF(C88=0,"New",(E88-C88)/C88))</f>
        <v>-1</v>
      </c>
      <c r="H88" s="8" t="n">
        <f aca="false">SUMIFS('Source'!$E:$E,'Source'!$A:$A,"160920 SALUS",'Source'!$B:$B,$A88)</f>
        <v>405.71</v>
      </c>
      <c r="I88" s="8" t="n">
        <f aca="false">SUMIFS('Source'!$G:$G,'Source'!$A:$A,"160920 SALUS",'Source'!$B:$B,$A88)</f>
        <v>0</v>
      </c>
      <c r="J88" s="8" t="n">
        <f aca="false">I88*$J$5</f>
        <v>0</v>
      </c>
      <c r="K88" s="8" t="n">
        <f aca="false">J88-H88</f>
        <v>-405.71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489</v>
      </c>
      <c r="B89" s="7" t="str">
        <f aca="false">IFERROR(INDEX('Source'!$C:$C,MATCH($A89,'Source'!$B:$B,0)),"")</f>
        <v>חגורת שבר שחור</v>
      </c>
      <c r="C89" s="8" t="n">
        <f aca="false">SUMIFS('Source'!$D:$D,'Source'!$A:$A,"160920 SALUS",'Source'!$B:$B,$A89)</f>
        <v>5</v>
      </c>
      <c r="D89" s="8" t="n">
        <f aca="false">SUMIFS('Source'!$F:$F,'Source'!$A:$A,"160920 SALUS",'Source'!$B:$B,$A89)</f>
        <v>0</v>
      </c>
      <c r="E89" s="8" t="n">
        <f aca="false">D89*$J$5</f>
        <v>0</v>
      </c>
      <c r="F89" s="8" t="n">
        <f aca="false">E89-C89</f>
        <v>-5</v>
      </c>
      <c r="G89" s="9" t="n">
        <f aca="false">IF(AND(C89=0,E89=0),0,IF(C89=0,"New",(E89-C89)/C89))</f>
        <v>-1</v>
      </c>
      <c r="H89" s="8" t="n">
        <f aca="false">SUMIFS('Source'!$E:$E,'Source'!$A:$A,"160920 SALUS",'Source'!$B:$B,$A89)</f>
        <v>405.71</v>
      </c>
      <c r="I89" s="8" t="n">
        <f aca="false">SUMIFS('Source'!$G:$G,'Source'!$A:$A,"160920 SALUS",'Source'!$B:$B,$A89)</f>
        <v>0</v>
      </c>
      <c r="J89" s="8" t="n">
        <f aca="false">I89*$J$5</f>
        <v>0</v>
      </c>
      <c r="K89" s="8" t="n">
        <f aca="false">J89-H89</f>
        <v>-405.71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961</v>
      </c>
      <c r="B90" s="7" t="str">
        <f aca="false">IFERROR(INDEX('Source'!$C:$C,MATCH($A90,'Source'!$B:$B,0)),"")</f>
        <v>חגורת שבר שחור</v>
      </c>
      <c r="C90" s="8" t="n">
        <f aca="false">SUMIFS('Source'!$D:$D,'Source'!$A:$A,"160920 SALUS",'Source'!$B:$B,$A90)</f>
        <v>5</v>
      </c>
      <c r="D90" s="8" t="n">
        <f aca="false">SUMIFS('Source'!$F:$F,'Source'!$A:$A,"160920 SALUS",'Source'!$B:$B,$A90)</f>
        <v>0</v>
      </c>
      <c r="E90" s="8" t="n">
        <f aca="false">D90*$J$5</f>
        <v>0</v>
      </c>
      <c r="F90" s="8" t="n">
        <f aca="false">E90-C90</f>
        <v>-5</v>
      </c>
      <c r="G90" s="9" t="n">
        <f aca="false">IF(AND(C90=0,E90=0),0,IF(C90=0,"New",(E90-C90)/C90))</f>
        <v>-1</v>
      </c>
      <c r="H90" s="8" t="n">
        <f aca="false">SUMIFS('Source'!$E:$E,'Source'!$A:$A,"160920 SALUS",'Source'!$B:$B,$A90)</f>
        <v>405.71</v>
      </c>
      <c r="I90" s="8" t="n">
        <f aca="false">SUMIFS('Source'!$G:$G,'Source'!$A:$A,"160920 SALUS",'Source'!$B:$B,$A90)</f>
        <v>0</v>
      </c>
      <c r="J90" s="8" t="n">
        <f aca="false">I90*$J$5</f>
        <v>0</v>
      </c>
      <c r="K90" s="8" t="n">
        <f aca="false">J90-H90</f>
        <v>-405.71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962</v>
      </c>
      <c r="B91" s="7" t="str">
        <f aca="false">IFERROR(INDEX('Source'!$C:$C,MATCH($A91,'Source'!$B:$B,0)),"")</f>
        <v>חגורת שבר שחור</v>
      </c>
      <c r="C91" s="8" t="n">
        <f aca="false">SUMIFS('Source'!$D:$D,'Source'!$A:$A,"160920 SALUS",'Source'!$B:$B,$A91)</f>
        <v>5</v>
      </c>
      <c r="D91" s="8" t="n">
        <f aca="false">SUMIFS('Source'!$F:$F,'Source'!$A:$A,"160920 SALUS",'Source'!$B:$B,$A91)</f>
        <v>0</v>
      </c>
      <c r="E91" s="8" t="n">
        <f aca="false">D91*$J$5</f>
        <v>0</v>
      </c>
      <c r="F91" s="8" t="n">
        <f aca="false">E91-C91</f>
        <v>-5</v>
      </c>
      <c r="G91" s="9" t="n">
        <f aca="false">IF(AND(C91=0,E91=0),0,IF(C91=0,"New",(E91-C91)/C91))</f>
        <v>-1</v>
      </c>
      <c r="H91" s="8" t="n">
        <f aca="false">SUMIFS('Source'!$E:$E,'Source'!$A:$A,"160920 SALUS",'Source'!$B:$B,$A91)</f>
        <v>405.71</v>
      </c>
      <c r="I91" s="8" t="n">
        <f aca="false">SUMIFS('Source'!$G:$G,'Source'!$A:$A,"160920 SALUS",'Source'!$B:$B,$A91)</f>
        <v>0</v>
      </c>
      <c r="J91" s="8" t="n">
        <f aca="false">I91*$J$5</f>
        <v>0</v>
      </c>
      <c r="K91" s="8" t="n">
        <f aca="false">J91-H91</f>
        <v>-405.71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404</v>
      </c>
      <c r="B92" s="7" t="str">
        <f aca="false">IFERROR(INDEX('Source'!$C:$C,MATCH($A92,'Source'!$B:$B,0)),"")</f>
        <v>מגן ירך</v>
      </c>
      <c r="C92" s="8" t="n">
        <f aca="false">SUMIFS('Source'!$D:$D,'Source'!$A:$A,"160920 SALUS",'Source'!$B:$B,$A92)</f>
        <v>12</v>
      </c>
      <c r="D92" s="8" t="n">
        <f aca="false">SUMIFS('Source'!$F:$F,'Source'!$A:$A,"160920 SALUS",'Source'!$B:$B,$A92)</f>
        <v>0</v>
      </c>
      <c r="E92" s="8" t="n">
        <f aca="false">D92*$J$5</f>
        <v>0</v>
      </c>
      <c r="F92" s="8" t="n">
        <f aca="false">E92-C92</f>
        <v>-12</v>
      </c>
      <c r="G92" s="9" t="n">
        <f aca="false">IF(AND(C92=0,E92=0),0,IF(C92=0,"New",(E92-C92)/C92))</f>
        <v>-1</v>
      </c>
      <c r="H92" s="8" t="n">
        <f aca="false">SUMIFS('Source'!$E:$E,'Source'!$A:$A,"160920 SALUS",'Source'!$B:$B,$A92)</f>
        <v>391.77</v>
      </c>
      <c r="I92" s="8" t="n">
        <f aca="false">SUMIFS('Source'!$G:$G,'Source'!$A:$A,"160920 SALUS",'Source'!$B:$B,$A92)</f>
        <v>0</v>
      </c>
      <c r="J92" s="8" t="n">
        <f aca="false">I92*$J$5</f>
        <v>0</v>
      </c>
      <c r="K92" s="8" t="n">
        <f aca="false">J92-H92</f>
        <v>-391.77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411</v>
      </c>
      <c r="B93" s="7" t="str">
        <f aca="false">IFERROR(INDEX('Source'!$C:$C,MATCH($A93,'Source'!$B:$B,0)),"")</f>
        <v>סד קרסול</v>
      </c>
      <c r="C93" s="8" t="n">
        <f aca="false">SUMIFS('Source'!$D:$D,'Source'!$A:$A,"160920 SALUS",'Source'!$B:$B,$A93)</f>
        <v>10</v>
      </c>
      <c r="D93" s="8" t="n">
        <f aca="false">SUMIFS('Source'!$F:$F,'Source'!$A:$A,"160920 SALUS",'Source'!$B:$B,$A93)</f>
        <v>5</v>
      </c>
      <c r="E93" s="8" t="n">
        <f aca="false">D93*$J$5</f>
        <v>6.31578947368421</v>
      </c>
      <c r="F93" s="8" t="n">
        <f aca="false">E93-C93</f>
        <v>-3.68421052631579</v>
      </c>
      <c r="G93" s="9" t="n">
        <f aca="false">IF(AND(C93=0,E93=0),0,IF(C93=0,"New",(E93-C93)/C93))</f>
        <v>-0.368421052631579</v>
      </c>
      <c r="H93" s="8" t="n">
        <f aca="false">SUMIFS('Source'!$E:$E,'Source'!$A:$A,"160920 SALUS",'Source'!$B:$B,$A93)</f>
        <v>720.8</v>
      </c>
      <c r="I93" s="8" t="n">
        <f aca="false">SUMIFS('Source'!$G:$G,'Source'!$A:$A,"160920 SALUS",'Source'!$B:$B,$A93)</f>
        <v>345.45</v>
      </c>
      <c r="J93" s="8" t="n">
        <f aca="false">I93*$J$5</f>
        <v>436.357894736842</v>
      </c>
      <c r="K93" s="8" t="n">
        <f aca="false">J93-H93</f>
        <v>-284.442105263158</v>
      </c>
      <c r="L93" s="9" t="n">
        <f aca="false">IF(AND(H93=0,J93=0),0,IF(H93=0,"New",(J93-H93)/H93))</f>
        <v>-0.394620012851218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114</v>
      </c>
      <c r="B94" s="7" t="str">
        <f aca="false">IFERROR(INDEX('Source'!$C:$C,MATCH($A94,'Source'!$B:$B,0)),"")</f>
        <v>כפפת CTS ימין</v>
      </c>
      <c r="C94" s="8" t="n">
        <f aca="false">SUMIFS('Source'!$D:$D,'Source'!$A:$A,"160920 SALUS",'Source'!$B:$B,$A94)</f>
        <v>10</v>
      </c>
      <c r="D94" s="8" t="n">
        <f aca="false">SUMIFS('Source'!$F:$F,'Source'!$A:$A,"160920 SALUS",'Source'!$B:$B,$A94)</f>
        <v>0</v>
      </c>
      <c r="E94" s="8" t="n">
        <f aca="false">D94*$J$5</f>
        <v>0</v>
      </c>
      <c r="F94" s="8" t="n">
        <f aca="false">E94-C94</f>
        <v>-10</v>
      </c>
      <c r="G94" s="9" t="n">
        <f aca="false">IF(AND(C94=0,E94=0),0,IF(C94=0,"New",(E94-C94)/C94))</f>
        <v>-1</v>
      </c>
      <c r="H94" s="8" t="n">
        <f aca="false">SUMIFS('Source'!$E:$E,'Source'!$A:$A,"160920 SALUS",'Source'!$B:$B,$A94)</f>
        <v>373.89</v>
      </c>
      <c r="I94" s="8" t="n">
        <f aca="false">SUMIFS('Source'!$G:$G,'Source'!$A:$A,"160920 SALUS",'Source'!$B:$B,$A94)</f>
        <v>0</v>
      </c>
      <c r="J94" s="8" t="n">
        <f aca="false">I94*$J$5</f>
        <v>0</v>
      </c>
      <c r="K94" s="8" t="n">
        <f aca="false">J94-H94</f>
        <v>-373.89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121</v>
      </c>
      <c r="B95" s="7" t="str">
        <f aca="false">IFERROR(INDEX('Source'!$C:$C,MATCH($A95,'Source'!$B:$B,0)),"")</f>
        <v>כפפת CTS שמאל</v>
      </c>
      <c r="C95" s="8" t="n">
        <f aca="false">SUMIFS('Source'!$D:$D,'Source'!$A:$A,"160920 SALUS",'Source'!$B:$B,$A95)</f>
        <v>10</v>
      </c>
      <c r="D95" s="8" t="n">
        <f aca="false">SUMIFS('Source'!$F:$F,'Source'!$A:$A,"160920 SALUS",'Source'!$B:$B,$A95)</f>
        <v>0</v>
      </c>
      <c r="E95" s="8" t="n">
        <f aca="false">D95*$J$5</f>
        <v>0</v>
      </c>
      <c r="F95" s="8" t="n">
        <f aca="false">E95-C95</f>
        <v>-10</v>
      </c>
      <c r="G95" s="9" t="n">
        <f aca="false">IF(AND(C95=0,E95=0),0,IF(C95=0,"New",(E95-C95)/C95))</f>
        <v>-1</v>
      </c>
      <c r="H95" s="8" t="n">
        <f aca="false">SUMIFS('Source'!$E:$E,'Source'!$A:$A,"160920 SALUS",'Source'!$B:$B,$A95)</f>
        <v>373.89</v>
      </c>
      <c r="I95" s="8" t="n">
        <f aca="false">SUMIFS('Source'!$G:$G,'Source'!$A:$A,"160920 SALUS",'Source'!$B:$B,$A95)</f>
        <v>0</v>
      </c>
      <c r="J95" s="8" t="n">
        <f aca="false">I95*$J$5</f>
        <v>0</v>
      </c>
      <c r="K95" s="8" t="n">
        <f aca="false">J95-H95</f>
        <v>-373.89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116</v>
      </c>
      <c r="B96" s="7" t="str">
        <f aca="false">IFERROR(INDEX('Source'!$C:$C,MATCH($A96,'Source'!$B:$B,0)),"")</f>
        <v>כפפת CTS ימין</v>
      </c>
      <c r="C96" s="8" t="n">
        <f aca="false">SUMIFS('Source'!$D:$D,'Source'!$A:$A,"160920 SALUS",'Source'!$B:$B,$A96)</f>
        <v>10</v>
      </c>
      <c r="D96" s="8" t="n">
        <f aca="false">SUMIFS('Source'!$F:$F,'Source'!$A:$A,"160920 SALUS",'Source'!$B:$B,$A96)</f>
        <v>0</v>
      </c>
      <c r="E96" s="8" t="n">
        <f aca="false">D96*$J$5</f>
        <v>0</v>
      </c>
      <c r="F96" s="8" t="n">
        <f aca="false">E96-C96</f>
        <v>-10</v>
      </c>
      <c r="G96" s="9" t="n">
        <f aca="false">IF(AND(C96=0,E96=0),0,IF(C96=0,"New",(E96-C96)/C96))</f>
        <v>-1</v>
      </c>
      <c r="H96" s="8" t="n">
        <f aca="false">SUMIFS('Source'!$E:$E,'Source'!$A:$A,"160920 SALUS",'Source'!$B:$B,$A96)</f>
        <v>373.89</v>
      </c>
      <c r="I96" s="8" t="n">
        <f aca="false">SUMIFS('Source'!$G:$G,'Source'!$A:$A,"160920 SALUS",'Source'!$B:$B,$A96)</f>
        <v>0</v>
      </c>
      <c r="J96" s="8" t="n">
        <f aca="false">I96*$J$5</f>
        <v>0</v>
      </c>
      <c r="K96" s="8" t="n">
        <f aca="false">J96-H96</f>
        <v>-373.89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146</v>
      </c>
      <c r="B97" s="7" t="str">
        <f aca="false">IFERROR(INDEX('Source'!$C:$C,MATCH($A97,'Source'!$B:$B,0)),"")</f>
        <v>כפפת CTS שמאל</v>
      </c>
      <c r="C97" s="8" t="n">
        <f aca="false">SUMIFS('Source'!$D:$D,'Source'!$A:$A,"160920 SALUS",'Source'!$B:$B,$A97)</f>
        <v>10</v>
      </c>
      <c r="D97" s="8" t="n">
        <f aca="false">SUMIFS('Source'!$F:$F,'Source'!$A:$A,"160920 SALUS",'Source'!$B:$B,$A97)</f>
        <v>0</v>
      </c>
      <c r="E97" s="8" t="n">
        <f aca="false">D97*$J$5</f>
        <v>0</v>
      </c>
      <c r="F97" s="8" t="n">
        <f aca="false">E97-C97</f>
        <v>-10</v>
      </c>
      <c r="G97" s="9" t="n">
        <f aca="false">IF(AND(C97=0,E97=0),0,IF(C97=0,"New",(E97-C97)/C97))</f>
        <v>-1</v>
      </c>
      <c r="H97" s="8" t="n">
        <f aca="false">SUMIFS('Source'!$E:$E,'Source'!$A:$A,"160920 SALUS",'Source'!$B:$B,$A97)</f>
        <v>373.89</v>
      </c>
      <c r="I97" s="8" t="n">
        <f aca="false">SUMIFS('Source'!$G:$G,'Source'!$A:$A,"160920 SALUS",'Source'!$B:$B,$A97)</f>
        <v>0</v>
      </c>
      <c r="J97" s="8" t="n">
        <f aca="false">I97*$J$5</f>
        <v>0</v>
      </c>
      <c r="K97" s="8" t="n">
        <f aca="false">J97-H97</f>
        <v>-373.89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757</v>
      </c>
      <c r="B98" s="7" t="str">
        <f aca="false">IFERROR(INDEX('Source'!$C:$C,MATCH($A98,'Source'!$B:$B,0)),"")</f>
        <v>מגן לכתף ימין/שמאל</v>
      </c>
      <c r="C98" s="8" t="n">
        <f aca="false">SUMIFS('Source'!$D:$D,'Source'!$A:$A,"160920 SALUS",'Source'!$B:$B,$A98)</f>
        <v>0</v>
      </c>
      <c r="D98" s="8" t="n">
        <f aca="false">SUMIFS('Source'!$F:$F,'Source'!$A:$A,"160920 SALUS",'Source'!$B:$B,$A98)</f>
        <v>5</v>
      </c>
      <c r="E98" s="8" t="n">
        <f aca="false">D98*$J$5</f>
        <v>6.31578947368421</v>
      </c>
      <c r="F98" s="8" t="n">
        <f aca="false">E98-C98</f>
        <v>6.31578947368421</v>
      </c>
      <c r="G98" s="9" t="str">
        <f aca="false">IF(AND(C98=0,E98=0),0,IF(C98=0,"New",(E98-C98)/C98))</f>
        <v>New</v>
      </c>
      <c r="H98" s="8" t="n">
        <f aca="false">SUMIFS('Source'!$E:$E,'Source'!$A:$A,"160920 SALUS",'Source'!$B:$B,$A98)</f>
        <v>0</v>
      </c>
      <c r="I98" s="8" t="n">
        <f aca="false">SUMIFS('Source'!$G:$G,'Source'!$A:$A,"160920 SALUS",'Source'!$B:$B,$A98)</f>
        <v>372.86</v>
      </c>
      <c r="J98" s="8" t="n">
        <f aca="false">I98*$J$5</f>
        <v>470.981052631579</v>
      </c>
      <c r="K98" s="8" t="n">
        <f aca="false">J98-H98</f>
        <v>470.981052631579</v>
      </c>
      <c r="L98" s="9" t="str">
        <f aca="false">IF(AND(H98=0,J98=0),0,IF(H98=0,"New",(J98-H98)/H98))</f>
        <v>New</v>
      </c>
      <c r="M98" s="7" t="str">
        <f aca="false">IF(AND(OR(C98&lt;&gt;0,H98&lt;&gt;0),D98=0,I98=0),"DROP",IF(AND(OR(D98&lt;&gt;0,I98&lt;&gt;0),C98=0,H98=0),"NEW",""))</f>
        <v>NEW</v>
      </c>
    </row>
    <row r="99" customFormat="false" ht="15" hidden="false" customHeight="false" outlineLevel="0" collapsed="false">
      <c r="A99" s="7" t="s">
        <v>758</v>
      </c>
      <c r="B99" s="7" t="str">
        <f aca="false">IFERROR(INDEX('Source'!$C:$C,MATCH($A99,'Source'!$B:$B,0)),"")</f>
        <v>מגן קרסול+ עקב סגור+רצועות</v>
      </c>
      <c r="C99" s="8" t="n">
        <f aca="false">SUMIFS('Source'!$D:$D,'Source'!$A:$A,"160920 SALUS",'Source'!$B:$B,$A99)</f>
        <v>8</v>
      </c>
      <c r="D99" s="8" t="n">
        <f aca="false">SUMIFS('Source'!$F:$F,'Source'!$A:$A,"160920 SALUS",'Source'!$B:$B,$A99)</f>
        <v>20</v>
      </c>
      <c r="E99" s="8" t="n">
        <f aca="false">D99*$J$5</f>
        <v>25.2631578947368</v>
      </c>
      <c r="F99" s="8" t="n">
        <f aca="false">E99-C99</f>
        <v>17.2631578947368</v>
      </c>
      <c r="G99" s="9" t="n">
        <f aca="false">IF(AND(C99=0,E99=0),0,IF(C99=0,"New",(E99-C99)/C99))</f>
        <v>2.15789473684211</v>
      </c>
      <c r="H99" s="8" t="n">
        <f aca="false">SUMIFS('Source'!$E:$E,'Source'!$A:$A,"160920 SALUS",'Source'!$B:$B,$A99)</f>
        <v>227.2</v>
      </c>
      <c r="I99" s="8" t="n">
        <f aca="false">SUMIFS('Source'!$G:$G,'Source'!$A:$A,"160920 SALUS",'Source'!$B:$B,$A99)</f>
        <v>593.2</v>
      </c>
      <c r="J99" s="8" t="n">
        <f aca="false">I99*$J$5</f>
        <v>749.305263157895</v>
      </c>
      <c r="K99" s="8" t="n">
        <f aca="false">J99-H99</f>
        <v>522.105263157895</v>
      </c>
      <c r="L99" s="9" t="n">
        <f aca="false">IF(AND(H99=0,J99=0),0,IF(H99=0,"New",(J99-H99)/H99))</f>
        <v>2.29799851742031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429</v>
      </c>
      <c r="B100" s="7" t="str">
        <f aca="false">IFERROR(INDEX('Source'!$C:$C,MATCH($A100,'Source'!$B:$B,0)),"")</f>
        <v>סד לאגודל</v>
      </c>
      <c r="C100" s="8" t="n">
        <f aca="false">SUMIFS('Source'!$D:$D,'Source'!$A:$A,"160920 SALUS",'Source'!$B:$B,$A100)</f>
        <v>10</v>
      </c>
      <c r="D100" s="8" t="n">
        <f aca="false">SUMIFS('Source'!$F:$F,'Source'!$A:$A,"160920 SALUS",'Source'!$B:$B,$A100)</f>
        <v>0</v>
      </c>
      <c r="E100" s="8" t="n">
        <f aca="false">D100*$J$5</f>
        <v>0</v>
      </c>
      <c r="F100" s="8" t="n">
        <f aca="false">E100-C100</f>
        <v>-10</v>
      </c>
      <c r="G100" s="9" t="n">
        <f aca="false">IF(AND(C100=0,E100=0),0,IF(C100=0,"New",(E100-C100)/C100))</f>
        <v>-1</v>
      </c>
      <c r="H100" s="8" t="n">
        <f aca="false">SUMIFS('Source'!$E:$E,'Source'!$A:$A,"160920 SALUS",'Source'!$B:$B,$A100)</f>
        <v>357.11</v>
      </c>
      <c r="I100" s="8" t="n">
        <f aca="false">SUMIFS('Source'!$G:$G,'Source'!$A:$A,"160920 SALUS",'Source'!$B:$B,$A100)</f>
        <v>0</v>
      </c>
      <c r="J100" s="8" t="n">
        <f aca="false">I100*$J$5</f>
        <v>0</v>
      </c>
      <c r="K100" s="8" t="n">
        <f aca="false">J100-H100</f>
        <v>-357.11</v>
      </c>
      <c r="L100" s="9" t="n">
        <f aca="false">IF(AND(H100=0,J100=0),0,IF(H100=0,"New",(J100-H100)/H100))</f>
        <v>-1</v>
      </c>
      <c r="M100" s="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false" outlineLevel="0" collapsed="false">
      <c r="A101" s="7" t="s">
        <v>572</v>
      </c>
      <c r="B101" s="7" t="str">
        <f aca="false">IFERROR(INDEX('Source'!$C:$C,MATCH($A101,'Source'!$B:$B,0)),"")</f>
        <v>מגן ברך רגיל</v>
      </c>
      <c r="C101" s="8" t="n">
        <f aca="false">SUMIFS('Source'!$D:$D,'Source'!$A:$A,"160920 SALUS",'Source'!$B:$B,$A101)</f>
        <v>60</v>
      </c>
      <c r="D101" s="8" t="n">
        <f aca="false">SUMIFS('Source'!$F:$F,'Source'!$A:$A,"160920 SALUS",'Source'!$B:$B,$A101)</f>
        <v>30</v>
      </c>
      <c r="E101" s="8" t="n">
        <f aca="false">D101*$J$5</f>
        <v>37.8947368421053</v>
      </c>
      <c r="F101" s="8" t="n">
        <f aca="false">E101-C101</f>
        <v>-22.1052631578947</v>
      </c>
      <c r="G101" s="9" t="n">
        <f aca="false">IF(AND(C101=0,E101=0),0,IF(C101=0,"New",(E101-C101)/C101))</f>
        <v>-0.368421052631579</v>
      </c>
      <c r="H101" s="8" t="n">
        <f aca="false">SUMIFS('Source'!$E:$E,'Source'!$A:$A,"160920 SALUS",'Source'!$B:$B,$A101)</f>
        <v>677.02</v>
      </c>
      <c r="I101" s="8" t="n">
        <f aca="false">SUMIFS('Source'!$G:$G,'Source'!$A:$A,"160920 SALUS",'Source'!$B:$B,$A101)</f>
        <v>326.5</v>
      </c>
      <c r="J101" s="8" t="n">
        <f aca="false">I101*$J$5</f>
        <v>412.421052631579</v>
      </c>
      <c r="K101" s="8" t="n">
        <f aca="false">J101-H101</f>
        <v>-264.598947368421</v>
      </c>
      <c r="L101" s="9" t="n">
        <f aca="false">IF(AND(H101=0,J101=0),0,IF(H101=0,"New",(J101-H101)/H101))</f>
        <v>-0.390828849027239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261</v>
      </c>
      <c r="B102" s="7" t="str">
        <f aca="false">IFERROR(INDEX('Source'!$C:$C,MATCH($A102,'Source'!$B:$B,0)),"")</f>
        <v>רצועה לפטלה עם כרית סיליקון</v>
      </c>
      <c r="C102" s="8" t="n">
        <f aca="false">SUMIFS('Source'!$D:$D,'Source'!$A:$A,"160920 SALUS",'Source'!$B:$B,$A102)</f>
        <v>0</v>
      </c>
      <c r="D102" s="8" t="n">
        <f aca="false">SUMIFS('Source'!$F:$F,'Source'!$A:$A,"160920 SALUS",'Source'!$B:$B,$A102)</f>
        <v>10</v>
      </c>
      <c r="E102" s="8" t="n">
        <f aca="false">D102*$J$5</f>
        <v>12.6315789473684</v>
      </c>
      <c r="F102" s="8" t="n">
        <f aca="false">E102-C102</f>
        <v>12.6315789473684</v>
      </c>
      <c r="G102" s="9" t="str">
        <f aca="false">IF(AND(C102=0,E102=0),0,IF(C102=0,"New",(E102-C102)/C102))</f>
        <v>New</v>
      </c>
      <c r="H102" s="8" t="n">
        <f aca="false">SUMIFS('Source'!$E:$E,'Source'!$A:$A,"160920 SALUS",'Source'!$B:$B,$A102)</f>
        <v>0</v>
      </c>
      <c r="I102" s="8" t="n">
        <f aca="false">SUMIFS('Source'!$G:$G,'Source'!$A:$A,"160920 SALUS",'Source'!$B:$B,$A102)</f>
        <v>333.98</v>
      </c>
      <c r="J102" s="8" t="n">
        <f aca="false">I102*$J$5</f>
        <v>421.869473684211</v>
      </c>
      <c r="K102" s="8" t="n">
        <f aca="false">J102-H102</f>
        <v>421.869473684211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512</v>
      </c>
      <c r="B103" s="7" t="str">
        <f aca="false">IFERROR(INDEX('Source'!$C:$C,MATCH($A103,'Source'!$B:$B,0)),"")</f>
        <v>מגן קרסול פתוח</v>
      </c>
      <c r="C103" s="8" t="n">
        <f aca="false">SUMIFS('Source'!$D:$D,'Source'!$A:$A,"160920 SALUS",'Source'!$B:$B,$A103)</f>
        <v>79</v>
      </c>
      <c r="D103" s="8" t="n">
        <f aca="false">SUMIFS('Source'!$F:$F,'Source'!$A:$A,"160920 SALUS",'Source'!$B:$B,$A103)</f>
        <v>50</v>
      </c>
      <c r="E103" s="8" t="n">
        <f aca="false">D103*$J$5</f>
        <v>63.1578947368421</v>
      </c>
      <c r="F103" s="8" t="n">
        <f aca="false">E103-C103</f>
        <v>-15.8421052631579</v>
      </c>
      <c r="G103" s="9" t="n">
        <f aca="false">IF(AND(C103=0,E103=0),0,IF(C103=0,"New",(E103-C103)/C103))</f>
        <v>-0.200532978014657</v>
      </c>
      <c r="H103" s="8" t="n">
        <f aca="false">SUMIFS('Source'!$E:$E,'Source'!$A:$A,"160920 SALUS",'Source'!$B:$B,$A103)</f>
        <v>828.66</v>
      </c>
      <c r="I103" s="8" t="n">
        <f aca="false">SUMIFS('Source'!$G:$G,'Source'!$A:$A,"160920 SALUS",'Source'!$B:$B,$A103)</f>
        <v>503.52</v>
      </c>
      <c r="J103" s="8" t="n">
        <f aca="false">I103*$J$5</f>
        <v>636.025263157895</v>
      </c>
      <c r="K103" s="8" t="n">
        <f aca="false">J103-H103</f>
        <v>-192.634736842105</v>
      </c>
      <c r="L103" s="9" t="n">
        <f aca="false">IF(AND(H103=0,J103=0),0,IF(H103=0,"New",(J103-H103)/H103))</f>
        <v>-0.232465349892725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761</v>
      </c>
      <c r="B104" s="7" t="str">
        <f aca="false">IFERROR(INDEX('Source'!$C:$C,MATCH($A104,'Source'!$B:$B,0)),"")</f>
        <v>תחבושת אלסטית נצמדת צבע וורוד</v>
      </c>
      <c r="C104" s="8" t="n">
        <f aca="false">SUMIFS('Source'!$D:$D,'Source'!$A:$A,"160920 SALUS",'Source'!$B:$B,$A104)</f>
        <v>150</v>
      </c>
      <c r="D104" s="8" t="n">
        <f aca="false">SUMIFS('Source'!$F:$F,'Source'!$A:$A,"160920 SALUS",'Source'!$B:$B,$A104)</f>
        <v>100</v>
      </c>
      <c r="E104" s="8" t="n">
        <f aca="false">D104*$J$5</f>
        <v>126.315789473684</v>
      </c>
      <c r="F104" s="8" t="n">
        <f aca="false">E104-C104</f>
        <v>-23.6842105263158</v>
      </c>
      <c r="G104" s="9" t="n">
        <f aca="false">IF(AND(C104=0,E104=0),0,IF(C104=0,"New",(E104-C104)/C104))</f>
        <v>-0.157894736842105</v>
      </c>
      <c r="H104" s="8" t="n">
        <f aca="false">SUMIFS('Source'!$E:$E,'Source'!$A:$A,"160920 SALUS",'Source'!$B:$B,$A104)</f>
        <v>892.55</v>
      </c>
      <c r="I104" s="8" t="n">
        <f aca="false">SUMIFS('Source'!$G:$G,'Source'!$A:$A,"160920 SALUS",'Source'!$B:$B,$A104)</f>
        <v>570.35</v>
      </c>
      <c r="J104" s="8" t="n">
        <f aca="false">I104*$J$5</f>
        <v>720.442105263158</v>
      </c>
      <c r="K104" s="8" t="n">
        <f aca="false">J104-H104</f>
        <v>-172.107894736842</v>
      </c>
      <c r="L104" s="9" t="n">
        <f aca="false">IF(AND(H104=0,J104=0),0,IF(H104=0,"New",(J104-H104)/H104))</f>
        <v>-0.192827174653344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963</v>
      </c>
      <c r="B105" s="7" t="str">
        <f aca="false">IFERROR(INDEX('Source'!$C:$C,MATCH($A105,'Source'!$B:$B,0)),"")</f>
        <v>חבק טניס</v>
      </c>
      <c r="C105" s="8" t="n">
        <f aca="false">SUMIFS('Source'!$D:$D,'Source'!$A:$A,"160920 SALUS",'Source'!$B:$B,$A105)</f>
        <v>340</v>
      </c>
      <c r="D105" s="8" t="n">
        <f aca="false">SUMIFS('Source'!$F:$F,'Source'!$A:$A,"160920 SALUS",'Source'!$B:$B,$A105)</f>
        <v>360</v>
      </c>
      <c r="E105" s="8" t="n">
        <f aca="false">D105*$J$5</f>
        <v>454.736842105263</v>
      </c>
      <c r="F105" s="8" t="n">
        <f aca="false">E105-C105</f>
        <v>114.736842105263</v>
      </c>
      <c r="G105" s="9" t="n">
        <f aca="false">IF(AND(C105=0,E105=0),0,IF(C105=0,"New",(E105-C105)/C105))</f>
        <v>0.337461300309597</v>
      </c>
      <c r="H105" s="8" t="n">
        <f aca="false">SUMIFS('Source'!$E:$E,'Source'!$A:$A,"160920 SALUS",'Source'!$B:$B,$A105)</f>
        <v>4904.87</v>
      </c>
      <c r="I105" s="8" t="n">
        <f aca="false">SUMIFS('Source'!$G:$G,'Source'!$A:$A,"160920 SALUS",'Source'!$B:$B,$A105)</f>
        <v>5216.74</v>
      </c>
      <c r="J105" s="8" t="n">
        <f aca="false">I105*$J$5</f>
        <v>6589.56631578947</v>
      </c>
      <c r="K105" s="8" t="n">
        <f aca="false">J105-H105</f>
        <v>1684.69631578947</v>
      </c>
      <c r="L105" s="9" t="n">
        <f aca="false">IF(AND(H105=0,J105=0),0,IF(H105=0,"New",(J105-H105)/H105))</f>
        <v>0.343474203350848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276</v>
      </c>
      <c r="B106" s="7" t="str">
        <f aca="false">IFERROR(INDEX('Source'!$C:$C,MATCH($A106,'Source'!$B:$B,0)),"")</f>
        <v>מגן ברך מוצלב+מוטות</v>
      </c>
      <c r="C106" s="8" t="n">
        <f aca="false">SUMIFS('Source'!$D:$D,'Source'!$A:$A,"160920 SALUS",'Source'!$B:$B,$A106)</f>
        <v>6</v>
      </c>
      <c r="D106" s="8" t="n">
        <f aca="false">SUMIFS('Source'!$F:$F,'Source'!$A:$A,"160920 SALUS",'Source'!$B:$B,$A106)</f>
        <v>0</v>
      </c>
      <c r="E106" s="8" t="n">
        <f aca="false">D106*$J$5</f>
        <v>0</v>
      </c>
      <c r="F106" s="8" t="n">
        <f aca="false">E106-C106</f>
        <v>-6</v>
      </c>
      <c r="G106" s="9" t="n">
        <f aca="false">IF(AND(C106=0,E106=0),0,IF(C106=0,"New",(E106-C106)/C106))</f>
        <v>-1</v>
      </c>
      <c r="H106" s="8" t="n">
        <f aca="false">SUMIFS('Source'!$E:$E,'Source'!$A:$A,"160920 SALUS",'Source'!$B:$B,$A106)</f>
        <v>305.12</v>
      </c>
      <c r="I106" s="8" t="n">
        <f aca="false">SUMIFS('Source'!$G:$G,'Source'!$A:$A,"160920 SALUS",'Source'!$B:$B,$A106)</f>
        <v>0</v>
      </c>
      <c r="J106" s="8" t="n">
        <f aca="false">I106*$J$5</f>
        <v>0</v>
      </c>
      <c r="K106" s="8" t="n">
        <f aca="false">J106-H106</f>
        <v>-305.12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339</v>
      </c>
      <c r="B107" s="7" t="str">
        <f aca="false">IFERROR(INDEX('Source'!$C:$C,MATCH($A107,'Source'!$B:$B,0)),"")</f>
        <v>מגן ברך מוצלב+מוטות</v>
      </c>
      <c r="C107" s="8" t="n">
        <f aca="false">SUMIFS('Source'!$D:$D,'Source'!$A:$A,"160920 SALUS",'Source'!$B:$B,$A107)</f>
        <v>6</v>
      </c>
      <c r="D107" s="8" t="n">
        <f aca="false">SUMIFS('Source'!$F:$F,'Source'!$A:$A,"160920 SALUS",'Source'!$B:$B,$A107)</f>
        <v>0</v>
      </c>
      <c r="E107" s="8" t="n">
        <f aca="false">D107*$J$5</f>
        <v>0</v>
      </c>
      <c r="F107" s="8" t="n">
        <f aca="false">E107-C107</f>
        <v>-6</v>
      </c>
      <c r="G107" s="9" t="n">
        <f aca="false">IF(AND(C107=0,E107=0),0,IF(C107=0,"New",(E107-C107)/C107))</f>
        <v>-1</v>
      </c>
      <c r="H107" s="8" t="n">
        <f aca="false">SUMIFS('Source'!$E:$E,'Source'!$A:$A,"160920 SALUS",'Source'!$B:$B,$A107)</f>
        <v>305.12</v>
      </c>
      <c r="I107" s="8" t="n">
        <f aca="false">SUMIFS('Source'!$G:$G,'Source'!$A:$A,"160920 SALUS",'Source'!$B:$B,$A107)</f>
        <v>0</v>
      </c>
      <c r="J107" s="8" t="n">
        <f aca="false">I107*$J$5</f>
        <v>0</v>
      </c>
      <c r="K107" s="8" t="n">
        <f aca="false">J107-H107</f>
        <v>-305.12</v>
      </c>
      <c r="L107" s="9" t="n">
        <f aca="false">IF(AND(H107=0,J107=0),0,IF(H107=0,"New",(J107-H107)/H107))</f>
        <v>-1</v>
      </c>
      <c r="M107" s="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false" outlineLevel="0" collapsed="false">
      <c r="A108" s="7" t="s">
        <v>578</v>
      </c>
      <c r="B108" s="7" t="str">
        <f aca="false">IFERROR(INDEX('Source'!$C:$C,MATCH($A108,'Source'!$B:$B,0)),"")</f>
        <v>מגן ברך רגיל</v>
      </c>
      <c r="C108" s="8" t="n">
        <f aca="false">SUMIFS('Source'!$D:$D,'Source'!$A:$A,"160920 SALUS",'Source'!$B:$B,$A108)</f>
        <v>110</v>
      </c>
      <c r="D108" s="8" t="n">
        <f aca="false">SUMIFS('Source'!$F:$F,'Source'!$A:$A,"160920 SALUS",'Source'!$B:$B,$A108)</f>
        <v>80</v>
      </c>
      <c r="E108" s="8" t="n">
        <f aca="false">D108*$J$5</f>
        <v>101.052631578947</v>
      </c>
      <c r="F108" s="8" t="n">
        <f aca="false">E108-C108</f>
        <v>-8.94736842105263</v>
      </c>
      <c r="G108" s="9" t="n">
        <f aca="false">IF(AND(C108=0,E108=0),0,IF(C108=0,"New",(E108-C108)/C108))</f>
        <v>-0.0813397129186603</v>
      </c>
      <c r="H108" s="8" t="n">
        <f aca="false">SUMIFS('Source'!$E:$E,'Source'!$A:$A,"160920 SALUS",'Source'!$B:$B,$A108)</f>
        <v>1115.69</v>
      </c>
      <c r="I108" s="8" t="n">
        <f aca="false">SUMIFS('Source'!$G:$G,'Source'!$A:$A,"160920 SALUS",'Source'!$B:$B,$A108)</f>
        <v>812.59</v>
      </c>
      <c r="J108" s="8" t="n">
        <f aca="false">I108*$J$5</f>
        <v>1026.42947368421</v>
      </c>
      <c r="K108" s="8" t="n">
        <f aca="false">J108-H108</f>
        <v>-89.2605263157898</v>
      </c>
      <c r="L108" s="9" t="n">
        <f aca="false">IF(AND(H108=0,J108=0),0,IF(H108=0,"New",(J108-H108)/H108))</f>
        <v>-0.0800047740105135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639</v>
      </c>
      <c r="B109" s="7" t="str">
        <f aca="false">IFERROR(INDEX('Source'!$C:$C,MATCH($A109,'Source'!$B:$B,0)),"")</f>
        <v>שרוול מטטרזלי מסיליקון</v>
      </c>
      <c r="C109" s="8" t="n">
        <f aca="false">SUMIFS('Source'!$D:$D,'Source'!$A:$A,"160920 SALUS",'Source'!$B:$B,$A109)</f>
        <v>10</v>
      </c>
      <c r="D109" s="8" t="n">
        <f aca="false">SUMIFS('Source'!$F:$F,'Source'!$A:$A,"160920 SALUS",'Source'!$B:$B,$A109)</f>
        <v>0</v>
      </c>
      <c r="E109" s="8" t="n">
        <f aca="false">D109*$J$5</f>
        <v>0</v>
      </c>
      <c r="F109" s="8" t="n">
        <f aca="false">E109-C109</f>
        <v>-10</v>
      </c>
      <c r="G109" s="9" t="n">
        <f aca="false">IF(AND(C109=0,E109=0),0,IF(C109=0,"New",(E109-C109)/C109))</f>
        <v>-1</v>
      </c>
      <c r="H109" s="8" t="n">
        <f aca="false">SUMIFS('Source'!$E:$E,'Source'!$A:$A,"160920 SALUS",'Source'!$B:$B,$A109)</f>
        <v>297.52</v>
      </c>
      <c r="I109" s="8" t="n">
        <f aca="false">SUMIFS('Source'!$G:$G,'Source'!$A:$A,"160920 SALUS",'Source'!$B:$B,$A109)</f>
        <v>0</v>
      </c>
      <c r="J109" s="8" t="n">
        <f aca="false">I109*$J$5</f>
        <v>0</v>
      </c>
      <c r="K109" s="8" t="n">
        <f aca="false">J109-H109</f>
        <v>-297.52</v>
      </c>
      <c r="L109" s="9" t="n">
        <f aca="false">IF(AND(H109=0,J109=0),0,IF(H109=0,"New",(J109-H109)/H109))</f>
        <v>-1</v>
      </c>
      <c r="M109" s="7" t="str">
        <f aca="false">IF(AND(OR(C109&lt;&gt;0,H109&lt;&gt;0),D109=0,I109=0),"DROP",IF(AND(OR(D109&lt;&gt;0,I109&lt;&gt;0),C109=0,H109=0),"NEW",""))</f>
        <v>DROP</v>
      </c>
    </row>
    <row r="110" customFormat="false" ht="15" hidden="false" customHeight="false" outlineLevel="0" collapsed="false">
      <c r="A110" s="7" t="s">
        <v>638</v>
      </c>
      <c r="B110" s="7" t="str">
        <f aca="false">IFERROR(INDEX('Source'!$C:$C,MATCH($A110,'Source'!$B:$B,0)),"")</f>
        <v>חבק יד מתכוון</v>
      </c>
      <c r="C110" s="8" t="n">
        <f aca="false">SUMIFS('Source'!$D:$D,'Source'!$A:$A,"160920 SALUS",'Source'!$B:$B,$A110)</f>
        <v>5</v>
      </c>
      <c r="D110" s="8" t="n">
        <f aca="false">SUMIFS('Source'!$F:$F,'Source'!$A:$A,"160920 SALUS",'Source'!$B:$B,$A110)</f>
        <v>25</v>
      </c>
      <c r="E110" s="8" t="n">
        <f aca="false">D110*$J$5</f>
        <v>31.5789473684211</v>
      </c>
      <c r="F110" s="8" t="n">
        <f aca="false">E110-C110</f>
        <v>26.5789473684211</v>
      </c>
      <c r="G110" s="9" t="n">
        <f aca="false">IF(AND(C110=0,E110=0),0,IF(C110=0,"New",(E110-C110)/C110))</f>
        <v>5.31578947368421</v>
      </c>
      <c r="H110" s="8" t="n">
        <f aca="false">SUMIFS('Source'!$E:$E,'Source'!$A:$A,"160920 SALUS",'Source'!$B:$B,$A110)</f>
        <v>71.67</v>
      </c>
      <c r="I110" s="8" t="n">
        <f aca="false">SUMIFS('Source'!$G:$G,'Source'!$A:$A,"160920 SALUS",'Source'!$B:$B,$A110)</f>
        <v>368.13</v>
      </c>
      <c r="J110" s="8" t="n">
        <f aca="false">I110*$J$5</f>
        <v>465.006315789474</v>
      </c>
      <c r="K110" s="8" t="n">
        <f aca="false">J110-H110</f>
        <v>393.336315789474</v>
      </c>
      <c r="L110" s="9" t="n">
        <f aca="false">IF(AND(H110=0,J110=0),0,IF(H110=0,"New",(J110-H110)/H110))</f>
        <v>5.48815844550682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650</v>
      </c>
      <c r="B111" s="7" t="str">
        <f aca="false">IFERROR(INDEX('Source'!$C:$C,MATCH($A111,'Source'!$B:$B,0)),"")</f>
        <v>כ.הפרדת אצבעות ס</v>
      </c>
      <c r="C111" s="8" t="n">
        <f aca="false">SUMIFS('Source'!$D:$D,'Source'!$A:$A,"160920 SALUS",'Source'!$B:$B,$A111)</f>
        <v>48</v>
      </c>
      <c r="D111" s="8" t="n">
        <f aca="false">SUMIFS('Source'!$F:$F,'Source'!$A:$A,"160920 SALUS",'Source'!$B:$B,$A111)</f>
        <v>0</v>
      </c>
      <c r="E111" s="8" t="n">
        <f aca="false">D111*$J$5</f>
        <v>0</v>
      </c>
      <c r="F111" s="8" t="n">
        <f aca="false">E111-C111</f>
        <v>-48</v>
      </c>
      <c r="G111" s="9" t="n">
        <f aca="false">IF(AND(C111=0,E111=0),0,IF(C111=0,"New",(E111-C111)/C111))</f>
        <v>-1</v>
      </c>
      <c r="H111" s="8" t="n">
        <f aca="false">SUMIFS('Source'!$E:$E,'Source'!$A:$A,"160920 SALUS",'Source'!$B:$B,$A111)</f>
        <v>296.09</v>
      </c>
      <c r="I111" s="8" t="n">
        <f aca="false">SUMIFS('Source'!$G:$G,'Source'!$A:$A,"160920 SALUS",'Source'!$B:$B,$A111)</f>
        <v>0</v>
      </c>
      <c r="J111" s="8" t="n">
        <f aca="false">I111*$J$5</f>
        <v>0</v>
      </c>
      <c r="K111" s="8" t="n">
        <f aca="false">J111-H111</f>
        <v>-296.09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317</v>
      </c>
      <c r="B112" s="7" t="str">
        <f aca="false">IFERROR(INDEX('Source'!$C:$C,MATCH($A112,'Source'!$B:$B,0)),"")</f>
        <v>רפידת זיכרון 376</v>
      </c>
      <c r="C112" s="8" t="n">
        <f aca="false">SUMIFS('Source'!$D:$D,'Source'!$A:$A,"160920 SALUS",'Source'!$B:$B,$A112)</f>
        <v>50</v>
      </c>
      <c r="D112" s="8" t="n">
        <f aca="false">SUMIFS('Source'!$F:$F,'Source'!$A:$A,"160920 SALUS",'Source'!$B:$B,$A112)</f>
        <v>30</v>
      </c>
      <c r="E112" s="8" t="n">
        <f aca="false">D112*$J$5</f>
        <v>37.8947368421053</v>
      </c>
      <c r="F112" s="8" t="n">
        <f aca="false">E112-C112</f>
        <v>-12.1052631578947</v>
      </c>
      <c r="G112" s="9" t="n">
        <f aca="false">IF(AND(C112=0,E112=0),0,IF(C112=0,"New",(E112-C112)/C112))</f>
        <v>-0.242105263157895</v>
      </c>
      <c r="H112" s="8" t="n">
        <f aca="false">SUMIFS('Source'!$E:$E,'Source'!$A:$A,"160920 SALUS",'Source'!$B:$B,$A112)</f>
        <v>689.7</v>
      </c>
      <c r="I112" s="8" t="n">
        <f aca="false">SUMIFS('Source'!$G:$G,'Source'!$A:$A,"160920 SALUS",'Source'!$B:$B,$A112)</f>
        <v>398.45</v>
      </c>
      <c r="J112" s="8" t="n">
        <f aca="false">I112*$J$5</f>
        <v>503.305263157895</v>
      </c>
      <c r="K112" s="8" t="n">
        <f aca="false">J112-H112</f>
        <v>-186.394736842105</v>
      </c>
      <c r="L112" s="9" t="n">
        <f aca="false">IF(AND(H112=0,J112=0),0,IF(H112=0,"New",(J112-H112)/H112))</f>
        <v>-0.270254801858932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677</v>
      </c>
      <c r="B113" s="7" t="str">
        <f aca="false">IFERROR(INDEX('Source'!$C:$C,MATCH($A113,'Source'!$B:$B,0)),"")</f>
        <v>מגן ברך ארוך</v>
      </c>
      <c r="C113" s="8" t="n">
        <f aca="false">SUMIFS('Source'!$D:$D,'Source'!$A:$A,"160920 SALUS",'Source'!$B:$B,$A113)</f>
        <v>75</v>
      </c>
      <c r="D113" s="8" t="n">
        <f aca="false">SUMIFS('Source'!$F:$F,'Source'!$A:$A,"160920 SALUS",'Source'!$B:$B,$A113)</f>
        <v>100</v>
      </c>
      <c r="E113" s="8" t="n">
        <f aca="false">D113*$J$5</f>
        <v>126.315789473684</v>
      </c>
      <c r="F113" s="8" t="n">
        <f aca="false">E113-C113</f>
        <v>51.3157894736842</v>
      </c>
      <c r="G113" s="9" t="n">
        <f aca="false">IF(AND(C113=0,E113=0),0,IF(C113=0,"New",(E113-C113)/C113))</f>
        <v>0.684210526315789</v>
      </c>
      <c r="H113" s="8" t="n">
        <f aca="false">SUMIFS('Source'!$E:$E,'Source'!$A:$A,"160920 SALUS",'Source'!$B:$B,$A113)</f>
        <v>821.55</v>
      </c>
      <c r="I113" s="8" t="n">
        <f aca="false">SUMIFS('Source'!$G:$G,'Source'!$A:$A,"160920 SALUS",'Source'!$B:$B,$A113)</f>
        <v>1106.41</v>
      </c>
      <c r="J113" s="8" t="n">
        <f aca="false">I113*$J$5</f>
        <v>1397.57052631579</v>
      </c>
      <c r="K113" s="8" t="n">
        <f aca="false">J113-H113</f>
        <v>576.02052631579</v>
      </c>
      <c r="L113" s="9" t="n">
        <f aca="false">IF(AND(H113=0,J113=0),0,IF(H113=0,"New",(J113-H113)/H113))</f>
        <v>0.701138733267348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662</v>
      </c>
      <c r="B114" s="7" t="str">
        <f aca="false">IFERROR(INDEX('Source'!$C:$C,MATCH($A114,'Source'!$B:$B,0)),"")</f>
        <v>סד קרסול</v>
      </c>
      <c r="C114" s="8" t="n">
        <f aca="false">SUMIFS('Source'!$D:$D,'Source'!$A:$A,"160920 SALUS",'Source'!$B:$B,$A114)</f>
        <v>20</v>
      </c>
      <c r="D114" s="8" t="n">
        <f aca="false">SUMIFS('Source'!$F:$F,'Source'!$A:$A,"160920 SALUS",'Source'!$B:$B,$A114)</f>
        <v>15</v>
      </c>
      <c r="E114" s="8" t="n">
        <f aca="false">D114*$J$5</f>
        <v>18.9473684210526</v>
      </c>
      <c r="F114" s="8" t="n">
        <f aca="false">E114-C114</f>
        <v>-1.05263157894737</v>
      </c>
      <c r="G114" s="9" t="n">
        <f aca="false">IF(AND(C114=0,E114=0),0,IF(C114=0,"New",(E114-C114)/C114))</f>
        <v>-0.0526315789473685</v>
      </c>
      <c r="H114" s="8" t="n">
        <f aca="false">SUMIFS('Source'!$E:$E,'Source'!$A:$A,"160920 SALUS",'Source'!$B:$B,$A114)</f>
        <v>1441.61</v>
      </c>
      <c r="I114" s="8" t="n">
        <f aca="false">SUMIFS('Source'!$G:$G,'Source'!$A:$A,"160920 SALUS",'Source'!$B:$B,$A114)</f>
        <v>1160.14</v>
      </c>
      <c r="J114" s="8" t="n">
        <f aca="false">I114*$J$5</f>
        <v>1465.44</v>
      </c>
      <c r="K114" s="8" t="n">
        <f aca="false">J114-H114</f>
        <v>23.8300000000002</v>
      </c>
      <c r="L114" s="9" t="n">
        <f aca="false">IF(AND(H114=0,J114=0),0,IF(H114=0,"New",(J114-H114)/H114))</f>
        <v>0.0165301295079808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640</v>
      </c>
      <c r="B115" s="7" t="str">
        <f aca="false">IFERROR(INDEX('Source'!$C:$C,MATCH($A115,'Source'!$B:$B,0)),"")</f>
        <v>חבק יד מתכוון</v>
      </c>
      <c r="C115" s="8" t="n">
        <f aca="false">SUMIFS('Source'!$D:$D,'Source'!$A:$A,"160920 SALUS",'Source'!$B:$B,$A115)</f>
        <v>15</v>
      </c>
      <c r="D115" s="8" t="n">
        <f aca="false">SUMIFS('Source'!$F:$F,'Source'!$A:$A,"160920 SALUS",'Source'!$B:$B,$A115)</f>
        <v>35</v>
      </c>
      <c r="E115" s="8" t="n">
        <f aca="false">D115*$J$5</f>
        <v>44.2105263157895</v>
      </c>
      <c r="F115" s="8" t="n">
        <f aca="false">E115-C115</f>
        <v>29.2105263157895</v>
      </c>
      <c r="G115" s="9" t="n">
        <f aca="false">IF(AND(C115=0,E115=0),0,IF(C115=0,"New",(E115-C115)/C115))</f>
        <v>1.94736842105263</v>
      </c>
      <c r="H115" s="8" t="n">
        <f aca="false">SUMIFS('Source'!$E:$E,'Source'!$A:$A,"160920 SALUS",'Source'!$B:$B,$A115)</f>
        <v>215.02</v>
      </c>
      <c r="I115" s="8" t="n">
        <f aca="false">SUMIFS('Source'!$G:$G,'Source'!$A:$A,"160920 SALUS",'Source'!$B:$B,$A115)</f>
        <v>493.22</v>
      </c>
      <c r="J115" s="8" t="n">
        <f aca="false">I115*$J$5</f>
        <v>623.014736842105</v>
      </c>
      <c r="K115" s="8" t="n">
        <f aca="false">J115-H115</f>
        <v>407.994736842105</v>
      </c>
      <c r="L115" s="9" t="n">
        <f aca="false">IF(AND(H115=0,J115=0),0,IF(H115=0,"New",(J115-H115)/H115))</f>
        <v>1.89747342964424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799</v>
      </c>
      <c r="B116" s="7" t="str">
        <f aca="false">IFERROR(INDEX('Source'!$C:$C,MATCH($A116,'Source'!$B:$B,0)),"")</f>
        <v>מגן מרפק</v>
      </c>
      <c r="C116" s="8" t="n">
        <f aca="false">SUMIFS('Source'!$D:$D,'Source'!$A:$A,"160920 SALUS",'Source'!$B:$B,$A116)</f>
        <v>34</v>
      </c>
      <c r="D116" s="8" t="n">
        <f aca="false">SUMIFS('Source'!$F:$F,'Source'!$A:$A,"160920 SALUS",'Source'!$B:$B,$A116)</f>
        <v>10</v>
      </c>
      <c r="E116" s="8" t="n">
        <f aca="false">D116*$J$5</f>
        <v>12.6315789473684</v>
      </c>
      <c r="F116" s="8" t="n">
        <f aca="false">E116-C116</f>
        <v>-21.3684210526316</v>
      </c>
      <c r="G116" s="9" t="n">
        <f aca="false">IF(AND(C116=0,E116=0),0,IF(C116=0,"New",(E116-C116)/C116))</f>
        <v>-0.628482972136223</v>
      </c>
      <c r="H116" s="8" t="n">
        <f aca="false">SUMIFS('Source'!$E:$E,'Source'!$A:$A,"160920 SALUS",'Source'!$B:$B,$A116)</f>
        <v>372.24</v>
      </c>
      <c r="I116" s="8" t="n">
        <f aca="false">SUMIFS('Source'!$G:$G,'Source'!$A:$A,"160920 SALUS",'Source'!$B:$B,$A116)</f>
        <v>97.22</v>
      </c>
      <c r="J116" s="8" t="n">
        <f aca="false">I116*$J$5</f>
        <v>122.804210526316</v>
      </c>
      <c r="K116" s="8" t="n">
        <f aca="false">J116-H116</f>
        <v>-249.435789473684</v>
      </c>
      <c r="L116" s="9" t="n">
        <f aca="false">IF(AND(H116=0,J116=0),0,IF(H116=0,"New",(J116-H116)/H116))</f>
        <v>-0.670093997081679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642</v>
      </c>
      <c r="B117" s="7" t="str">
        <f aca="false">IFERROR(INDEX('Source'!$C:$C,MATCH($A117,'Source'!$B:$B,0)),"")</f>
        <v>רפידת זיכרון 376</v>
      </c>
      <c r="C117" s="8" t="n">
        <f aca="false">SUMIFS('Source'!$D:$D,'Source'!$A:$A,"160920 SALUS",'Source'!$B:$B,$A117)</f>
        <v>0</v>
      </c>
      <c r="D117" s="8" t="n">
        <f aca="false">SUMIFS('Source'!$F:$F,'Source'!$A:$A,"160920 SALUS",'Source'!$B:$B,$A117)</f>
        <v>20</v>
      </c>
      <c r="E117" s="8" t="n">
        <f aca="false">D117*$J$5</f>
        <v>25.2631578947368</v>
      </c>
      <c r="F117" s="8" t="n">
        <f aca="false">E117-C117</f>
        <v>25.2631578947368</v>
      </c>
      <c r="G117" s="9" t="str">
        <f aca="false">IF(AND(C117=0,E117=0),0,IF(C117=0,"New",(E117-C117)/C117))</f>
        <v>New</v>
      </c>
      <c r="H117" s="8" t="n">
        <f aca="false">SUMIFS('Source'!$E:$E,'Source'!$A:$A,"160920 SALUS",'Source'!$B:$B,$A117)</f>
        <v>0</v>
      </c>
      <c r="I117" s="8" t="n">
        <f aca="false">SUMIFS('Source'!$G:$G,'Source'!$A:$A,"160920 SALUS",'Source'!$B:$B,$A117)</f>
        <v>264.44</v>
      </c>
      <c r="J117" s="8" t="n">
        <f aca="false">I117*$J$5</f>
        <v>334.029473684211</v>
      </c>
      <c r="K117" s="8" t="n">
        <f aca="false">J117-H117</f>
        <v>334.029473684211</v>
      </c>
      <c r="L117" s="9" t="str">
        <f aca="false">IF(AND(H117=0,J117=0),0,IF(H117=0,"New",(J117-H117)/H117))</f>
        <v>New</v>
      </c>
      <c r="M117" s="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false" outlineLevel="0" collapsed="false">
      <c r="A118" s="7" t="s">
        <v>401</v>
      </c>
      <c r="B118" s="7" t="str">
        <f aca="false">IFERROR(INDEX('Source'!$C:$C,MATCH($A118,'Source'!$B:$B,0)),"")</f>
        <v>מגן קרסול פתוח</v>
      </c>
      <c r="C118" s="8" t="n">
        <f aca="false">SUMIFS('Source'!$D:$D,'Source'!$A:$A,"160920 SALUS",'Source'!$B:$B,$A118)</f>
        <v>105</v>
      </c>
      <c r="D118" s="8" t="n">
        <f aca="false">SUMIFS('Source'!$F:$F,'Source'!$A:$A,"160920 SALUS",'Source'!$B:$B,$A118)</f>
        <v>85</v>
      </c>
      <c r="E118" s="8" t="n">
        <f aca="false">D118*$J$5</f>
        <v>107.368421052632</v>
      </c>
      <c r="F118" s="8" t="n">
        <f aca="false">E118-C118</f>
        <v>2.36842105263158</v>
      </c>
      <c r="G118" s="9" t="n">
        <f aca="false">IF(AND(C118=0,E118=0),0,IF(C118=0,"New",(E118-C118)/C118))</f>
        <v>0.0225563909774436</v>
      </c>
      <c r="H118" s="8" t="n">
        <f aca="false">SUMIFS('Source'!$E:$E,'Source'!$A:$A,"160920 SALUS",'Source'!$B:$B,$A118)</f>
        <v>1133.44</v>
      </c>
      <c r="I118" s="8" t="n">
        <f aca="false">SUMIFS('Source'!$G:$G,'Source'!$A:$A,"160920 SALUS",'Source'!$B:$B,$A118)</f>
        <v>869.9</v>
      </c>
      <c r="J118" s="8" t="n">
        <f aca="false">I118*$J$5</f>
        <v>1098.82105263158</v>
      </c>
      <c r="K118" s="8" t="n">
        <f aca="false">J118-H118</f>
        <v>-34.6189473684212</v>
      </c>
      <c r="L118" s="9" t="n">
        <f aca="false">IF(AND(H118=0,J118=0),0,IF(H118=0,"New",(J118-H118)/H118))</f>
        <v>-0.0305432553716308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297</v>
      </c>
      <c r="B119" s="7" t="str">
        <f aca="false">IFERROR(INDEX('Source'!$C:$C,MATCH($A119,'Source'!$B:$B,0)),"")</f>
        <v>חגורת גב+סגירה כפולה</v>
      </c>
      <c r="C119" s="8" t="n">
        <f aca="false">SUMIFS('Source'!$D:$D,'Source'!$A:$A,"160920 SALUS",'Source'!$B:$B,$A119)</f>
        <v>5</v>
      </c>
      <c r="D119" s="8" t="n">
        <f aca="false">SUMIFS('Source'!$F:$F,'Source'!$A:$A,"160920 SALUS",'Source'!$B:$B,$A119)</f>
        <v>0</v>
      </c>
      <c r="E119" s="8" t="n">
        <f aca="false">D119*$J$5</f>
        <v>0</v>
      </c>
      <c r="F119" s="8" t="n">
        <f aca="false">E119-C119</f>
        <v>-5</v>
      </c>
      <c r="G119" s="9" t="n">
        <f aca="false">IF(AND(C119=0,E119=0),0,IF(C119=0,"New",(E119-C119)/C119))</f>
        <v>-1</v>
      </c>
      <c r="H119" s="8" t="n">
        <f aca="false">SUMIFS('Source'!$E:$E,'Source'!$A:$A,"160920 SALUS",'Source'!$B:$B,$A119)</f>
        <v>262.52</v>
      </c>
      <c r="I119" s="8" t="n">
        <f aca="false">SUMIFS('Source'!$G:$G,'Source'!$A:$A,"160920 SALUS",'Source'!$B:$B,$A119)</f>
        <v>0</v>
      </c>
      <c r="J119" s="8" t="n">
        <f aca="false">I119*$J$5</f>
        <v>0</v>
      </c>
      <c r="K119" s="8" t="n">
        <f aca="false">J119-H119</f>
        <v>-262.52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160</v>
      </c>
      <c r="B120" s="7" t="str">
        <f aca="false">IFERROR(INDEX('Source'!$C:$C,MATCH($A120,'Source'!$B:$B,0)),"")</f>
        <v>חגורת גב+סגירה כפולה</v>
      </c>
      <c r="C120" s="8" t="n">
        <f aca="false">SUMIFS('Source'!$D:$D,'Source'!$A:$A,"160920 SALUS",'Source'!$B:$B,$A120)</f>
        <v>5</v>
      </c>
      <c r="D120" s="8" t="n">
        <f aca="false">SUMIFS('Source'!$F:$F,'Source'!$A:$A,"160920 SALUS",'Source'!$B:$B,$A120)</f>
        <v>0</v>
      </c>
      <c r="E120" s="8" t="n">
        <f aca="false">D120*$J$5</f>
        <v>0</v>
      </c>
      <c r="F120" s="8" t="n">
        <f aca="false">E120-C120</f>
        <v>-5</v>
      </c>
      <c r="G120" s="9" t="n">
        <f aca="false">IF(AND(C120=0,E120=0),0,IF(C120=0,"New",(E120-C120)/C120))</f>
        <v>-1</v>
      </c>
      <c r="H120" s="8" t="n">
        <f aca="false">SUMIFS('Source'!$E:$E,'Source'!$A:$A,"160920 SALUS",'Source'!$B:$B,$A120)</f>
        <v>262.52</v>
      </c>
      <c r="I120" s="8" t="n">
        <f aca="false">SUMIFS('Source'!$G:$G,'Source'!$A:$A,"160920 SALUS",'Source'!$B:$B,$A120)</f>
        <v>0</v>
      </c>
      <c r="J120" s="8" t="n">
        <f aca="false">I120*$J$5</f>
        <v>0</v>
      </c>
      <c r="K120" s="8" t="n">
        <f aca="false">J120-H120</f>
        <v>-262.52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327</v>
      </c>
      <c r="B121" s="7" t="str">
        <f aca="false">IFERROR(INDEX('Source'!$C:$C,MATCH($A121,'Source'!$B:$B,0)),"")</f>
        <v>חגורת גב+סגירה כפולה</v>
      </c>
      <c r="C121" s="8" t="n">
        <f aca="false">SUMIFS('Source'!$D:$D,'Source'!$A:$A,"160920 SALUS",'Source'!$B:$B,$A121)</f>
        <v>5</v>
      </c>
      <c r="D121" s="8" t="n">
        <f aca="false">SUMIFS('Source'!$F:$F,'Source'!$A:$A,"160920 SALUS",'Source'!$B:$B,$A121)</f>
        <v>0</v>
      </c>
      <c r="E121" s="8" t="n">
        <f aca="false">D121*$J$5</f>
        <v>0</v>
      </c>
      <c r="F121" s="8" t="n">
        <f aca="false">E121-C121</f>
        <v>-5</v>
      </c>
      <c r="G121" s="9" t="n">
        <f aca="false">IF(AND(C121=0,E121=0),0,IF(C121=0,"New",(E121-C121)/C121))</f>
        <v>-1</v>
      </c>
      <c r="H121" s="8" t="n">
        <f aca="false">SUMIFS('Source'!$E:$E,'Source'!$A:$A,"160920 SALUS",'Source'!$B:$B,$A121)</f>
        <v>262.52</v>
      </c>
      <c r="I121" s="8" t="n">
        <f aca="false">SUMIFS('Source'!$G:$G,'Source'!$A:$A,"160920 SALUS",'Source'!$B:$B,$A121)</f>
        <v>0</v>
      </c>
      <c r="J121" s="8" t="n">
        <f aca="false">I121*$J$5</f>
        <v>0</v>
      </c>
      <c r="K121" s="8" t="n">
        <f aca="false">J121-H121</f>
        <v>-262.52</v>
      </c>
      <c r="L121" s="9" t="n">
        <f aca="false">IF(AND(H121=0,J121=0),0,IF(H121=0,"New",(J121-H121)/H121))</f>
        <v>-1</v>
      </c>
      <c r="M121" s="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false" outlineLevel="0" collapsed="false">
      <c r="A122" s="7" t="s">
        <v>132</v>
      </c>
      <c r="B122" s="7" t="str">
        <f aca="false">IFERROR(INDEX('Source'!$C:$C,MATCH($A122,'Source'!$B:$B,0)),"")</f>
        <v>תומך ברך גנושילד</v>
      </c>
      <c r="C122" s="8" t="n">
        <f aca="false">SUMIFS('Source'!$D:$D,'Source'!$A:$A,"160920 SALUS",'Source'!$B:$B,$A122)</f>
        <v>3</v>
      </c>
      <c r="D122" s="8" t="n">
        <f aca="false">SUMIFS('Source'!$F:$F,'Source'!$A:$A,"160920 SALUS",'Source'!$B:$B,$A122)</f>
        <v>0</v>
      </c>
      <c r="E122" s="8" t="n">
        <f aca="false">D122*$J$5</f>
        <v>0</v>
      </c>
      <c r="F122" s="8" t="n">
        <f aca="false">E122-C122</f>
        <v>-3</v>
      </c>
      <c r="G122" s="9" t="n">
        <f aca="false">IF(AND(C122=0,E122=0),0,IF(C122=0,"New",(E122-C122)/C122))</f>
        <v>-1</v>
      </c>
      <c r="H122" s="8" t="n">
        <f aca="false">SUMIFS('Source'!$E:$E,'Source'!$A:$A,"160920 SALUS",'Source'!$B:$B,$A122)</f>
        <v>255.83</v>
      </c>
      <c r="I122" s="8" t="n">
        <f aca="false">SUMIFS('Source'!$G:$G,'Source'!$A:$A,"160920 SALUS",'Source'!$B:$B,$A122)</f>
        <v>0</v>
      </c>
      <c r="J122" s="8" t="n">
        <f aca="false">I122*$J$5</f>
        <v>0</v>
      </c>
      <c r="K122" s="8" t="n">
        <f aca="false">J122-H122</f>
        <v>-255.83</v>
      </c>
      <c r="L122" s="9" t="n">
        <f aca="false">IF(AND(H122=0,J122=0),0,IF(H122=0,"New",(J122-H122)/H122))</f>
        <v>-1</v>
      </c>
      <c r="M122" s="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false" outlineLevel="0" collapsed="false">
      <c r="A123" s="7" t="s">
        <v>461</v>
      </c>
      <c r="B123" s="7" t="str">
        <f aca="false">IFERROR(INDEX('Source'!$C:$C,MATCH($A123,'Source'!$B:$B,0)),"")</f>
        <v>מדרסי ג'ל מולטי ספורט</v>
      </c>
      <c r="C123" s="8" t="n">
        <f aca="false">SUMIFS('Source'!$D:$D,'Source'!$A:$A,"160920 SALUS",'Source'!$B:$B,$A123)</f>
        <v>6</v>
      </c>
      <c r="D123" s="8" t="n">
        <f aca="false">SUMIFS('Source'!$F:$F,'Source'!$A:$A,"160920 SALUS",'Source'!$B:$B,$A123)</f>
        <v>0</v>
      </c>
      <c r="E123" s="8" t="n">
        <f aca="false">D123*$J$5</f>
        <v>0</v>
      </c>
      <c r="F123" s="8" t="n">
        <f aca="false">E123-C123</f>
        <v>-6</v>
      </c>
      <c r="G123" s="9" t="n">
        <f aca="false">IF(AND(C123=0,E123=0),0,IF(C123=0,"New",(E123-C123)/C123))</f>
        <v>-1</v>
      </c>
      <c r="H123" s="8" t="n">
        <f aca="false">SUMIFS('Source'!$E:$E,'Source'!$A:$A,"160920 SALUS",'Source'!$B:$B,$A123)</f>
        <v>249.57</v>
      </c>
      <c r="I123" s="8" t="n">
        <f aca="false">SUMIFS('Source'!$G:$G,'Source'!$A:$A,"160920 SALUS",'Source'!$B:$B,$A123)</f>
        <v>0</v>
      </c>
      <c r="J123" s="8" t="n">
        <f aca="false">I123*$J$5</f>
        <v>0</v>
      </c>
      <c r="K123" s="8" t="n">
        <f aca="false">J123-H123</f>
        <v>-249.57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182</v>
      </c>
      <c r="B124" s="7" t="str">
        <f aca="false">IFERROR(INDEX('Source'!$C:$C,MATCH($A124,'Source'!$B:$B,0)),"")</f>
        <v>מדרסי ג'ל קומפורט</v>
      </c>
      <c r="C124" s="8" t="n">
        <f aca="false">SUMIFS('Source'!$D:$D,'Source'!$A:$A,"160920 SALUS",'Source'!$B:$B,$A124)</f>
        <v>6</v>
      </c>
      <c r="D124" s="8" t="n">
        <f aca="false">SUMIFS('Source'!$F:$F,'Source'!$A:$A,"160920 SALUS",'Source'!$B:$B,$A124)</f>
        <v>0</v>
      </c>
      <c r="E124" s="8" t="n">
        <f aca="false">D124*$J$5</f>
        <v>0</v>
      </c>
      <c r="F124" s="8" t="n">
        <f aca="false">E124-C124</f>
        <v>-6</v>
      </c>
      <c r="G124" s="9" t="n">
        <f aca="false">IF(AND(C124=0,E124=0),0,IF(C124=0,"New",(E124-C124)/C124))</f>
        <v>-1</v>
      </c>
      <c r="H124" s="8" t="n">
        <f aca="false">SUMIFS('Source'!$E:$E,'Source'!$A:$A,"160920 SALUS",'Source'!$B:$B,$A124)</f>
        <v>249.57</v>
      </c>
      <c r="I124" s="8" t="n">
        <f aca="false">SUMIFS('Source'!$G:$G,'Source'!$A:$A,"160920 SALUS",'Source'!$B:$B,$A124)</f>
        <v>0</v>
      </c>
      <c r="J124" s="8" t="n">
        <f aca="false">I124*$J$5</f>
        <v>0</v>
      </c>
      <c r="K124" s="8" t="n">
        <f aca="false">J124-H124</f>
        <v>-249.57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545</v>
      </c>
      <c r="B125" s="7" t="str">
        <f aca="false">IFERROR(INDEX('Source'!$C:$C,MATCH($A125,'Source'!$B:$B,0)),"")</f>
        <v>ח.בטן 25 ס'מ</v>
      </c>
      <c r="C125" s="8" t="n">
        <f aca="false">SUMIFS('Source'!$D:$D,'Source'!$A:$A,"160920 SALUS",'Source'!$B:$B,$A125)</f>
        <v>5</v>
      </c>
      <c r="D125" s="8" t="n">
        <f aca="false">SUMIFS('Source'!$F:$F,'Source'!$A:$A,"160920 SALUS",'Source'!$B:$B,$A125)</f>
        <v>0</v>
      </c>
      <c r="E125" s="8" t="n">
        <f aca="false">D125*$J$5</f>
        <v>0</v>
      </c>
      <c r="F125" s="8" t="n">
        <f aca="false">E125-C125</f>
        <v>-5</v>
      </c>
      <c r="G125" s="9" t="n">
        <f aca="false">IF(AND(C125=0,E125=0),0,IF(C125=0,"New",(E125-C125)/C125))</f>
        <v>-1</v>
      </c>
      <c r="H125" s="8" t="n">
        <f aca="false">SUMIFS('Source'!$E:$E,'Source'!$A:$A,"160920 SALUS",'Source'!$B:$B,$A125)</f>
        <v>247.4</v>
      </c>
      <c r="I125" s="8" t="n">
        <f aca="false">SUMIFS('Source'!$G:$G,'Source'!$A:$A,"160920 SALUS",'Source'!$B:$B,$A125)</f>
        <v>0</v>
      </c>
      <c r="J125" s="8" t="n">
        <f aca="false">I125*$J$5</f>
        <v>0</v>
      </c>
      <c r="K125" s="8" t="n">
        <f aca="false">J125-H125</f>
        <v>-247.4</v>
      </c>
      <c r="L125" s="9" t="n">
        <f aca="false">IF(AND(H125=0,J125=0),0,IF(H125=0,"New",(J125-H125)/H125))</f>
        <v>-1</v>
      </c>
      <c r="M125" s="7" t="str">
        <f aca="false">IF(AND(OR(C125&lt;&gt;0,H125&lt;&gt;0),D125=0,I125=0),"DROP",IF(AND(OR(D125&lt;&gt;0,I125&lt;&gt;0),C125=0,H125=0),"NEW",""))</f>
        <v>DROP</v>
      </c>
    </row>
    <row r="126" customFormat="false" ht="15" hidden="false" customHeight="false" outlineLevel="0" collapsed="false">
      <c r="A126" s="7" t="s">
        <v>191</v>
      </c>
      <c r="B126" s="7" t="str">
        <f aca="false">IFERROR(INDEX('Source'!$C:$C,MATCH($A126,'Source'!$B:$B,0)),"")</f>
        <v>מדרסי ג'ל קומפורט</v>
      </c>
      <c r="C126" s="8" t="n">
        <f aca="false">SUMIFS('Source'!$D:$D,'Source'!$A:$A,"160920 SALUS",'Source'!$B:$B,$A126)</f>
        <v>3</v>
      </c>
      <c r="D126" s="8" t="n">
        <f aca="false">SUMIFS('Source'!$F:$F,'Source'!$A:$A,"160920 SALUS",'Source'!$B:$B,$A126)</f>
        <v>10</v>
      </c>
      <c r="E126" s="8" t="n">
        <f aca="false">D126*$J$5</f>
        <v>12.6315789473684</v>
      </c>
      <c r="F126" s="8" t="n">
        <f aca="false">E126-C126</f>
        <v>9.63157894736842</v>
      </c>
      <c r="G126" s="9" t="n">
        <f aca="false">IF(AND(C126=0,E126=0),0,IF(C126=0,"New",(E126-C126)/C126))</f>
        <v>3.21052631578947</v>
      </c>
      <c r="H126" s="8" t="n">
        <f aca="false">SUMIFS('Source'!$E:$E,'Source'!$A:$A,"160920 SALUS",'Source'!$B:$B,$A126)</f>
        <v>124.79</v>
      </c>
      <c r="I126" s="8" t="n">
        <f aca="false">SUMIFS('Source'!$G:$G,'Source'!$A:$A,"160920 SALUS",'Source'!$B:$B,$A126)</f>
        <v>358.38</v>
      </c>
      <c r="J126" s="8" t="n">
        <f aca="false">I126*$J$5</f>
        <v>452.690526315789</v>
      </c>
      <c r="K126" s="8" t="n">
        <f aca="false">J126-H126</f>
        <v>327.900526315789</v>
      </c>
      <c r="L126" s="9" t="n">
        <f aca="false">IF(AND(H126=0,J126=0),0,IF(H126=0,"New",(J126-H126)/H126))</f>
        <v>2.62761860979076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172</v>
      </c>
      <c r="B127" s="7" t="str">
        <f aca="false">IFERROR(INDEX('Source'!$C:$C,MATCH($A127,'Source'!$B:$B,0)),"")</f>
        <v>מדרסי ג'ל וורק</v>
      </c>
      <c r="C127" s="8" t="n">
        <f aca="false">SUMIFS('Source'!$D:$D,'Source'!$A:$A,"160920 SALUS",'Source'!$B:$B,$A127)</f>
        <v>3</v>
      </c>
      <c r="D127" s="8" t="n">
        <f aca="false">SUMIFS('Source'!$F:$F,'Source'!$A:$A,"160920 SALUS",'Source'!$B:$B,$A127)</f>
        <v>10</v>
      </c>
      <c r="E127" s="8" t="n">
        <f aca="false">D127*$J$5</f>
        <v>12.6315789473684</v>
      </c>
      <c r="F127" s="8" t="n">
        <f aca="false">E127-C127</f>
        <v>9.63157894736842</v>
      </c>
      <c r="G127" s="9" t="n">
        <f aca="false">IF(AND(C127=0,E127=0),0,IF(C127=0,"New",(E127-C127)/C127))</f>
        <v>3.21052631578947</v>
      </c>
      <c r="H127" s="8" t="n">
        <f aca="false">SUMIFS('Source'!$E:$E,'Source'!$A:$A,"160920 SALUS",'Source'!$B:$B,$A127)</f>
        <v>124.79</v>
      </c>
      <c r="I127" s="8" t="n">
        <f aca="false">SUMIFS('Source'!$G:$G,'Source'!$A:$A,"160920 SALUS",'Source'!$B:$B,$A127)</f>
        <v>358.38</v>
      </c>
      <c r="J127" s="8" t="n">
        <f aca="false">I127*$J$5</f>
        <v>452.690526315789</v>
      </c>
      <c r="K127" s="8" t="n">
        <f aca="false">J127-H127</f>
        <v>327.900526315789</v>
      </c>
      <c r="L127" s="9" t="n">
        <f aca="false">IF(AND(H127=0,J127=0),0,IF(H127=0,"New",(J127-H127)/H127))</f>
        <v>2.62761860979076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387</v>
      </c>
      <c r="B128" s="7" t="str">
        <f aca="false">IFERROR(INDEX('Source'!$C:$C,MATCH($A128,'Source'!$B:$B,0)),"")</f>
        <v>אצבעון מסיליקון</v>
      </c>
      <c r="C128" s="8" t="n">
        <f aca="false">SUMIFS('Source'!$D:$D,'Source'!$A:$A,"160920 SALUS",'Source'!$B:$B,$A128)</f>
        <v>54</v>
      </c>
      <c r="D128" s="8" t="n">
        <f aca="false">SUMIFS('Source'!$F:$F,'Source'!$A:$A,"160920 SALUS",'Source'!$B:$B,$A128)</f>
        <v>30</v>
      </c>
      <c r="E128" s="8" t="n">
        <f aca="false">D128*$J$5</f>
        <v>37.8947368421053</v>
      </c>
      <c r="F128" s="8" t="n">
        <f aca="false">E128-C128</f>
        <v>-16.1052631578947</v>
      </c>
      <c r="G128" s="9" t="n">
        <f aca="false">IF(AND(C128=0,E128=0),0,IF(C128=0,"New",(E128-C128)/C128))</f>
        <v>-0.298245614035088</v>
      </c>
      <c r="H128" s="8" t="n">
        <f aca="false">SUMIFS('Source'!$E:$E,'Source'!$A:$A,"160920 SALUS",'Source'!$B:$B,$A128)</f>
        <v>498.41</v>
      </c>
      <c r="I128" s="8" t="n">
        <f aca="false">SUMIFS('Source'!$G:$G,'Source'!$A:$A,"160920 SALUS",'Source'!$B:$B,$A128)</f>
        <v>267.86</v>
      </c>
      <c r="J128" s="8" t="n">
        <f aca="false">I128*$J$5</f>
        <v>338.349473684211</v>
      </c>
      <c r="K128" s="8" t="n">
        <f aca="false">J128-H128</f>
        <v>-160.060526315789</v>
      </c>
      <c r="L128" s="9" t="n">
        <f aca="false">IF(AND(H128=0,J128=0),0,IF(H128=0,"New",(J128-H128)/H128))</f>
        <v>-0.321142285098191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792</v>
      </c>
      <c r="B129" s="7" t="str">
        <f aca="false">IFERROR(INDEX('Source'!$C:$C,MATCH($A129,'Source'!$B:$B,0)),"")</f>
        <v>סד לאגודל</v>
      </c>
      <c r="C129" s="8" t="n">
        <f aca="false">SUMIFS('Source'!$D:$D,'Source'!$A:$A,"160920 SALUS",'Source'!$B:$B,$A129)</f>
        <v>6</v>
      </c>
      <c r="D129" s="8" t="n">
        <f aca="false">SUMIFS('Source'!$F:$F,'Source'!$A:$A,"160920 SALUS",'Source'!$B:$B,$A129)</f>
        <v>0</v>
      </c>
      <c r="E129" s="8" t="n">
        <f aca="false">D129*$J$5</f>
        <v>0</v>
      </c>
      <c r="F129" s="8" t="n">
        <f aca="false">E129-C129</f>
        <v>-6</v>
      </c>
      <c r="G129" s="9" t="n">
        <f aca="false">IF(AND(C129=0,E129=0),0,IF(C129=0,"New",(E129-C129)/C129))</f>
        <v>-1</v>
      </c>
      <c r="H129" s="8" t="n">
        <f aca="false">SUMIFS('Source'!$E:$E,'Source'!$A:$A,"160920 SALUS",'Source'!$B:$B,$A129)</f>
        <v>225.67</v>
      </c>
      <c r="I129" s="8" t="n">
        <f aca="false">SUMIFS('Source'!$G:$G,'Source'!$A:$A,"160920 SALUS",'Source'!$B:$B,$A129)</f>
        <v>0</v>
      </c>
      <c r="J129" s="8" t="n">
        <f aca="false">I129*$J$5</f>
        <v>0</v>
      </c>
      <c r="K129" s="8" t="n">
        <f aca="false">J129-H129</f>
        <v>-225.67</v>
      </c>
      <c r="L129" s="9" t="n">
        <f aca="false">IF(AND(H129=0,J129=0),0,IF(H129=0,"New",(J129-H129)/H129))</f>
        <v>-1</v>
      </c>
      <c r="M129" s="7" t="str">
        <f aca="false">IF(AND(OR(C129&lt;&gt;0,H129&lt;&gt;0),D129=0,I129=0),"DROP",IF(AND(OR(D129&lt;&gt;0,I129&lt;&gt;0),C129=0,H129=0),"NEW",""))</f>
        <v>DROP</v>
      </c>
    </row>
    <row r="130" customFormat="false" ht="15" hidden="false" customHeight="false" outlineLevel="0" collapsed="false">
      <c r="A130" s="7" t="s">
        <v>775</v>
      </c>
      <c r="B130" s="7" t="str">
        <f aca="false">IFERROR(INDEX('Source'!$C:$C,MATCH($A130,'Source'!$B:$B,0)),"")</f>
        <v>מגן מרפק</v>
      </c>
      <c r="C130" s="8" t="n">
        <f aca="false">SUMIFS('Source'!$D:$D,'Source'!$A:$A,"160920 SALUS",'Source'!$B:$B,$A130)</f>
        <v>24</v>
      </c>
      <c r="D130" s="8" t="n">
        <f aca="false">SUMIFS('Source'!$F:$F,'Source'!$A:$A,"160920 SALUS",'Source'!$B:$B,$A130)</f>
        <v>5</v>
      </c>
      <c r="E130" s="8" t="n">
        <f aca="false">D130*$J$5</f>
        <v>6.31578947368421</v>
      </c>
      <c r="F130" s="8" t="n">
        <f aca="false">E130-C130</f>
        <v>-17.6842105263158</v>
      </c>
      <c r="G130" s="9" t="n">
        <f aca="false">IF(AND(C130=0,E130=0),0,IF(C130=0,"New",(E130-C130)/C130))</f>
        <v>-0.736842105263158</v>
      </c>
      <c r="H130" s="8" t="n">
        <f aca="false">SUMIFS('Source'!$E:$E,'Source'!$A:$A,"160920 SALUS",'Source'!$B:$B,$A130)</f>
        <v>270.81</v>
      </c>
      <c r="I130" s="8" t="n">
        <f aca="false">SUMIFS('Source'!$G:$G,'Source'!$A:$A,"160920 SALUS",'Source'!$B:$B,$A130)</f>
        <v>48.61</v>
      </c>
      <c r="J130" s="8" t="n">
        <f aca="false">I130*$J$5</f>
        <v>61.4021052631579</v>
      </c>
      <c r="K130" s="8" t="n">
        <f aca="false">J130-H130</f>
        <v>-209.407894736842</v>
      </c>
      <c r="L130" s="9" t="n">
        <f aca="false">IF(AND(H130=0,J130=0),0,IF(H130=0,"New",(J130-H130)/H130))</f>
        <v>-0.773265000320675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647</v>
      </c>
      <c r="B131" s="7" t="str">
        <f aca="false">IFERROR(INDEX('Source'!$C:$C,MATCH($A131,'Source'!$B:$B,0)),"")</f>
        <v>מיצב פיקה</v>
      </c>
      <c r="C131" s="8" t="n">
        <f aca="false">SUMIFS('Source'!$D:$D,'Source'!$A:$A,"160920 SALUS",'Source'!$B:$B,$A131)</f>
        <v>5</v>
      </c>
      <c r="D131" s="8" t="n">
        <f aca="false">SUMIFS('Source'!$F:$F,'Source'!$A:$A,"160920 SALUS",'Source'!$B:$B,$A131)</f>
        <v>0</v>
      </c>
      <c r="E131" s="8" t="n">
        <f aca="false">D131*$J$5</f>
        <v>0</v>
      </c>
      <c r="F131" s="8" t="n">
        <f aca="false">E131-C131</f>
        <v>-5</v>
      </c>
      <c r="G131" s="9" t="n">
        <f aca="false">IF(AND(C131=0,E131=0),0,IF(C131=0,"New",(E131-C131)/C131))</f>
        <v>-1</v>
      </c>
      <c r="H131" s="8" t="n">
        <f aca="false">SUMIFS('Source'!$E:$E,'Source'!$A:$A,"160920 SALUS",'Source'!$B:$B,$A131)</f>
        <v>218.76</v>
      </c>
      <c r="I131" s="8" t="n">
        <f aca="false">SUMIFS('Source'!$G:$G,'Source'!$A:$A,"160920 SALUS",'Source'!$B:$B,$A131)</f>
        <v>0</v>
      </c>
      <c r="J131" s="8" t="n">
        <f aca="false">I131*$J$5</f>
        <v>0</v>
      </c>
      <c r="K131" s="8" t="n">
        <f aca="false">J131-H131</f>
        <v>-218.76</v>
      </c>
      <c r="L131" s="9" t="n">
        <f aca="false">IF(AND(H131=0,J131=0),0,IF(H131=0,"New",(J131-H131)/H131))</f>
        <v>-1</v>
      </c>
      <c r="M131" s="7" t="str">
        <f aca="false">IF(AND(OR(C131&lt;&gt;0,H131&lt;&gt;0),D131=0,I131=0),"DROP",IF(AND(OR(D131&lt;&gt;0,I131&lt;&gt;0),C131=0,H131=0),"NEW",""))</f>
        <v>DROP</v>
      </c>
    </row>
    <row r="132" customFormat="false" ht="15" hidden="false" customHeight="false" outlineLevel="0" collapsed="false">
      <c r="A132" s="7" t="s">
        <v>602</v>
      </c>
      <c r="B132" s="7" t="str">
        <f aca="false">IFERROR(INDEX('Source'!$C:$C,MATCH($A132,'Source'!$B:$B,0)),"")</f>
        <v>מיצב פיקה</v>
      </c>
      <c r="C132" s="8" t="n">
        <f aca="false">SUMIFS('Source'!$D:$D,'Source'!$A:$A,"160920 SALUS",'Source'!$B:$B,$A132)</f>
        <v>5</v>
      </c>
      <c r="D132" s="8" t="n">
        <f aca="false">SUMIFS('Source'!$F:$F,'Source'!$A:$A,"160920 SALUS",'Source'!$B:$B,$A132)</f>
        <v>0</v>
      </c>
      <c r="E132" s="8" t="n">
        <f aca="false">D132*$J$5</f>
        <v>0</v>
      </c>
      <c r="F132" s="8" t="n">
        <f aca="false">E132-C132</f>
        <v>-5</v>
      </c>
      <c r="G132" s="9" t="n">
        <f aca="false">IF(AND(C132=0,E132=0),0,IF(C132=0,"New",(E132-C132)/C132))</f>
        <v>-1</v>
      </c>
      <c r="H132" s="8" t="n">
        <f aca="false">SUMIFS('Source'!$E:$E,'Source'!$A:$A,"160920 SALUS",'Source'!$B:$B,$A132)</f>
        <v>218.76</v>
      </c>
      <c r="I132" s="8" t="n">
        <f aca="false">SUMIFS('Source'!$G:$G,'Source'!$A:$A,"160920 SALUS",'Source'!$B:$B,$A132)</f>
        <v>0</v>
      </c>
      <c r="J132" s="8" t="n">
        <f aca="false">I132*$J$5</f>
        <v>0</v>
      </c>
      <c r="K132" s="8" t="n">
        <f aca="false">J132-H132</f>
        <v>-218.76</v>
      </c>
      <c r="L132" s="9" t="n">
        <f aca="false">IF(AND(H132=0,J132=0),0,IF(H132=0,"New",(J132-H132)/H132))</f>
        <v>-1</v>
      </c>
      <c r="M132" s="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false" outlineLevel="0" collapsed="false">
      <c r="A133" s="7" t="s">
        <v>345</v>
      </c>
      <c r="B133" s="7" t="str">
        <f aca="false">IFERROR(INDEX('Source'!$C:$C,MATCH($A133,'Source'!$B:$B,0)),"")</f>
        <v>מיצב פיקה</v>
      </c>
      <c r="C133" s="8" t="n">
        <f aca="false">SUMIFS('Source'!$D:$D,'Source'!$A:$A,"160920 SALUS",'Source'!$B:$B,$A133)</f>
        <v>5</v>
      </c>
      <c r="D133" s="8" t="n">
        <f aca="false">SUMIFS('Source'!$F:$F,'Source'!$A:$A,"160920 SALUS",'Source'!$B:$B,$A133)</f>
        <v>0</v>
      </c>
      <c r="E133" s="8" t="n">
        <f aca="false">D133*$J$5</f>
        <v>0</v>
      </c>
      <c r="F133" s="8" t="n">
        <f aca="false">E133-C133</f>
        <v>-5</v>
      </c>
      <c r="G133" s="9" t="n">
        <f aca="false">IF(AND(C133=0,E133=0),0,IF(C133=0,"New",(E133-C133)/C133))</f>
        <v>-1</v>
      </c>
      <c r="H133" s="8" t="n">
        <f aca="false">SUMIFS('Source'!$E:$E,'Source'!$A:$A,"160920 SALUS",'Source'!$B:$B,$A133)</f>
        <v>218.76</v>
      </c>
      <c r="I133" s="8" t="n">
        <f aca="false">SUMIFS('Source'!$G:$G,'Source'!$A:$A,"160920 SALUS",'Source'!$B:$B,$A133)</f>
        <v>0</v>
      </c>
      <c r="J133" s="8" t="n">
        <f aca="false">I133*$J$5</f>
        <v>0</v>
      </c>
      <c r="K133" s="8" t="n">
        <f aca="false">J133-H133</f>
        <v>-218.76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318</v>
      </c>
      <c r="B134" s="7" t="str">
        <f aca="false">IFERROR(INDEX('Source'!$C:$C,MATCH($A134,'Source'!$B:$B,0)),"")</f>
        <v>מיצב פיקה</v>
      </c>
      <c r="C134" s="8" t="n">
        <f aca="false">SUMIFS('Source'!$D:$D,'Source'!$A:$A,"160920 SALUS",'Source'!$B:$B,$A134)</f>
        <v>5</v>
      </c>
      <c r="D134" s="8" t="n">
        <f aca="false">SUMIFS('Source'!$F:$F,'Source'!$A:$A,"160920 SALUS",'Source'!$B:$B,$A134)</f>
        <v>0</v>
      </c>
      <c r="E134" s="8" t="n">
        <f aca="false">D134*$J$5</f>
        <v>0</v>
      </c>
      <c r="F134" s="8" t="n">
        <f aca="false">E134-C134</f>
        <v>-5</v>
      </c>
      <c r="G134" s="9" t="n">
        <f aca="false">IF(AND(C134=0,E134=0),0,IF(C134=0,"New",(E134-C134)/C134))</f>
        <v>-1</v>
      </c>
      <c r="H134" s="8" t="n">
        <f aca="false">SUMIFS('Source'!$E:$E,'Source'!$A:$A,"160920 SALUS",'Source'!$B:$B,$A134)</f>
        <v>218.76</v>
      </c>
      <c r="I134" s="8" t="n">
        <f aca="false">SUMIFS('Source'!$G:$G,'Source'!$A:$A,"160920 SALUS",'Source'!$B:$B,$A134)</f>
        <v>0</v>
      </c>
      <c r="J134" s="8" t="n">
        <f aca="false">I134*$J$5</f>
        <v>0</v>
      </c>
      <c r="K134" s="8" t="n">
        <f aca="false">J134-H134</f>
        <v>-218.76</v>
      </c>
      <c r="L134" s="9" t="n">
        <f aca="false">IF(AND(H134=0,J134=0),0,IF(H134=0,"New",(J134-H134)/H134))</f>
        <v>-1</v>
      </c>
      <c r="M134" s="7" t="str">
        <f aca="false">IF(AND(OR(C134&lt;&gt;0,H134&lt;&gt;0),D134=0,I134=0),"DROP",IF(AND(OR(D134&lt;&gt;0,I134&lt;&gt;0),C134=0,H134=0),"NEW",""))</f>
        <v>DROP</v>
      </c>
    </row>
    <row r="135" customFormat="false" ht="15" hidden="false" customHeight="false" outlineLevel="0" collapsed="false">
      <c r="A135" s="7" t="s">
        <v>506</v>
      </c>
      <c r="B135" s="7" t="str">
        <f aca="false">IFERROR(INDEX('Source'!$C:$C,MATCH($A135,'Source'!$B:$B,0)),"")</f>
        <v>מיצב פיקה</v>
      </c>
      <c r="C135" s="8" t="n">
        <f aca="false">SUMIFS('Source'!$D:$D,'Source'!$A:$A,"160920 SALUS",'Source'!$B:$B,$A135)</f>
        <v>5</v>
      </c>
      <c r="D135" s="8" t="n">
        <f aca="false">SUMIFS('Source'!$F:$F,'Source'!$A:$A,"160920 SALUS",'Source'!$B:$B,$A135)</f>
        <v>0</v>
      </c>
      <c r="E135" s="8" t="n">
        <f aca="false">D135*$J$5</f>
        <v>0</v>
      </c>
      <c r="F135" s="8" t="n">
        <f aca="false">E135-C135</f>
        <v>-5</v>
      </c>
      <c r="G135" s="9" t="n">
        <f aca="false">IF(AND(C135=0,E135=0),0,IF(C135=0,"New",(E135-C135)/C135))</f>
        <v>-1</v>
      </c>
      <c r="H135" s="8" t="n">
        <f aca="false">SUMIFS('Source'!$E:$E,'Source'!$A:$A,"160920 SALUS",'Source'!$B:$B,$A135)</f>
        <v>218.76</v>
      </c>
      <c r="I135" s="8" t="n">
        <f aca="false">SUMIFS('Source'!$G:$G,'Source'!$A:$A,"160920 SALUS",'Source'!$B:$B,$A135)</f>
        <v>0</v>
      </c>
      <c r="J135" s="8" t="n">
        <f aca="false">I135*$J$5</f>
        <v>0</v>
      </c>
      <c r="K135" s="8" t="n">
        <f aca="false">J135-H135</f>
        <v>-218.76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617</v>
      </c>
      <c r="B136" s="7" t="str">
        <f aca="false">IFERROR(INDEX('Source'!$C:$C,MATCH($A136,'Source'!$B:$B,0)),"")</f>
        <v>'תחבושת אלסטית נצמדת צבע בז</v>
      </c>
      <c r="C136" s="8" t="n">
        <f aca="false">SUMIFS('Source'!$D:$D,'Source'!$A:$A,"160920 SALUS",'Source'!$B:$B,$A136)</f>
        <v>240</v>
      </c>
      <c r="D136" s="8" t="n">
        <f aca="false">SUMIFS('Source'!$F:$F,'Source'!$A:$A,"160920 SALUS",'Source'!$B:$B,$A136)</f>
        <v>220</v>
      </c>
      <c r="E136" s="8" t="n">
        <f aca="false">D136*$J$5</f>
        <v>277.894736842105</v>
      </c>
      <c r="F136" s="8" t="n">
        <f aca="false">E136-C136</f>
        <v>37.8947368421053</v>
      </c>
      <c r="G136" s="9" t="n">
        <f aca="false">IF(AND(C136=0,E136=0),0,IF(C136=0,"New",(E136-C136)/C136))</f>
        <v>0.157894736842105</v>
      </c>
      <c r="H136" s="8" t="n">
        <f aca="false">SUMIFS('Source'!$E:$E,'Source'!$A:$A,"160920 SALUS",'Source'!$B:$B,$A136)</f>
        <v>1588.75</v>
      </c>
      <c r="I136" s="8" t="n">
        <f aca="false">SUMIFS('Source'!$G:$G,'Source'!$A:$A,"160920 SALUS",'Source'!$B:$B,$A136)</f>
        <v>1377.4</v>
      </c>
      <c r="J136" s="8" t="n">
        <f aca="false">I136*$J$5</f>
        <v>1739.87368421053</v>
      </c>
      <c r="K136" s="8" t="n">
        <f aca="false">J136-H136</f>
        <v>151.123684210526</v>
      </c>
      <c r="L136" s="9" t="n">
        <f aca="false">IF(AND(H136=0,J136=0),0,IF(H136=0,"New",(J136-H136)/H136))</f>
        <v>0.0951211230278687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614</v>
      </c>
      <c r="B137" s="7" t="str">
        <f aca="false">IFERROR(INDEX('Source'!$C:$C,MATCH($A137,'Source'!$B:$B,0)),"")</f>
        <v>סד לאגודל</v>
      </c>
      <c r="C137" s="8" t="n">
        <f aca="false">SUMIFS('Source'!$D:$D,'Source'!$A:$A,"160920 SALUS",'Source'!$B:$B,$A137)</f>
        <v>11</v>
      </c>
      <c r="D137" s="8" t="n">
        <f aca="false">SUMIFS('Source'!$F:$F,'Source'!$A:$A,"160920 SALUS",'Source'!$B:$B,$A137)</f>
        <v>5</v>
      </c>
      <c r="E137" s="8" t="n">
        <f aca="false">D137*$J$5</f>
        <v>6.31578947368421</v>
      </c>
      <c r="F137" s="8" t="n">
        <f aca="false">E137-C137</f>
        <v>-4.68421052631579</v>
      </c>
      <c r="G137" s="9" t="n">
        <f aca="false">IF(AND(C137=0,E137=0),0,IF(C137=0,"New",(E137-C137)/C137))</f>
        <v>-0.425837320574163</v>
      </c>
      <c r="H137" s="8" t="n">
        <f aca="false">SUMIFS('Source'!$E:$E,'Source'!$A:$A,"160920 SALUS",'Source'!$B:$B,$A137)</f>
        <v>394.72</v>
      </c>
      <c r="I137" s="8" t="n">
        <f aca="false">SUMIFS('Source'!$G:$G,'Source'!$A:$A,"160920 SALUS",'Source'!$B:$B,$A137)</f>
        <v>191.06</v>
      </c>
      <c r="J137" s="8" t="n">
        <f aca="false">I137*$J$5</f>
        <v>241.338947368421</v>
      </c>
      <c r="K137" s="8" t="n">
        <f aca="false">J137-H137</f>
        <v>-153.381052631579</v>
      </c>
      <c r="L137" s="9" t="n">
        <f aca="false">IF(AND(H137=0,J137=0),0,IF(H137=0,"New",(J137-H137)/H137))</f>
        <v>-0.388581912828281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544</v>
      </c>
      <c r="B138" s="7" t="str">
        <f aca="false">IFERROR(INDEX('Source'!$C:$C,MATCH($A138,'Source'!$B:$B,0)),"")</f>
        <v>מגן קרסול סגור</v>
      </c>
      <c r="C138" s="8" t="n">
        <f aca="false">SUMIFS('Source'!$D:$D,'Source'!$A:$A,"160920 SALUS",'Source'!$B:$B,$A138)</f>
        <v>15</v>
      </c>
      <c r="D138" s="8" t="n">
        <f aca="false">SUMIFS('Source'!$F:$F,'Source'!$A:$A,"160920 SALUS",'Source'!$B:$B,$A138)</f>
        <v>5</v>
      </c>
      <c r="E138" s="8" t="n">
        <f aca="false">D138*$J$5</f>
        <v>6.31578947368421</v>
      </c>
      <c r="F138" s="8" t="n">
        <f aca="false">E138-C138</f>
        <v>-8.68421052631579</v>
      </c>
      <c r="G138" s="9" t="n">
        <f aca="false">IF(AND(C138=0,E138=0),0,IF(C138=0,"New",(E138-C138)/C138))</f>
        <v>-0.578947368421053</v>
      </c>
      <c r="H138" s="8" t="n">
        <f aca="false">SUMIFS('Source'!$E:$E,'Source'!$A:$A,"160920 SALUS",'Source'!$B:$B,$A138)</f>
        <v>294.13</v>
      </c>
      <c r="I138" s="8" t="n">
        <f aca="false">SUMIFS('Source'!$G:$G,'Source'!$A:$A,"160920 SALUS",'Source'!$B:$B,$A138)</f>
        <v>93.98</v>
      </c>
      <c r="J138" s="8" t="n">
        <f aca="false">I138*$J$5</f>
        <v>118.711578947368</v>
      </c>
      <c r="K138" s="8" t="n">
        <f aca="false">J138-H138</f>
        <v>-175.418421052632</v>
      </c>
      <c r="L138" s="9" t="n">
        <f aca="false">IF(AND(H138=0,J138=0),0,IF(H138=0,"New",(J138-H138)/H138))</f>
        <v>-0.596397582880466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746</v>
      </c>
      <c r="B139" s="7" t="str">
        <f aca="false">IFERROR(INDEX('Source'!$C:$C,MATCH($A139,'Source'!$B:$B,0)),"")</f>
        <v>מגן ברך עם כרית ג'ל</v>
      </c>
      <c r="C139" s="8" t="n">
        <f aca="false">SUMIFS('Source'!$D:$D,'Source'!$A:$A,"160920 SALUS",'Source'!$B:$B,$A139)</f>
        <v>20</v>
      </c>
      <c r="D139" s="8" t="n">
        <f aca="false">SUMIFS('Source'!$F:$F,'Source'!$A:$A,"160920 SALUS",'Source'!$B:$B,$A139)</f>
        <v>25</v>
      </c>
      <c r="E139" s="8" t="n">
        <f aca="false">D139*$J$5</f>
        <v>31.5789473684211</v>
      </c>
      <c r="F139" s="8" t="n">
        <f aca="false">E139-C139</f>
        <v>11.5789473684211</v>
      </c>
      <c r="G139" s="9" t="n">
        <f aca="false">IF(AND(C139=0,E139=0),0,IF(C139=0,"New",(E139-C139)/C139))</f>
        <v>0.578947368421053</v>
      </c>
      <c r="H139" s="8" t="n">
        <f aca="false">SUMIFS('Source'!$E:$E,'Source'!$A:$A,"160920 SALUS",'Source'!$B:$B,$A139)</f>
        <v>586.92</v>
      </c>
      <c r="I139" s="8" t="n">
        <f aca="false">SUMIFS('Source'!$G:$G,'Source'!$A:$A,"160920 SALUS",'Source'!$B:$B,$A139)</f>
        <v>778.82</v>
      </c>
      <c r="J139" s="8" t="n">
        <f aca="false">I139*$J$5</f>
        <v>983.772631578947</v>
      </c>
      <c r="K139" s="8" t="n">
        <f aca="false">J139-H139</f>
        <v>396.852631578947</v>
      </c>
      <c r="L139" s="9" t="n">
        <f aca="false">IF(AND(H139=0,J139=0),0,IF(H139=0,"New",(J139-H139)/H139))</f>
        <v>0.676161370508668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139</v>
      </c>
      <c r="B140" s="7" t="str">
        <f aca="false">IFERROR(INDEX('Source'!$C:$C,MATCH($A140,'Source'!$B:$B,0)),"")</f>
        <v>כפפת CTS שמאל</v>
      </c>
      <c r="C140" s="8" t="n">
        <f aca="false">SUMIFS('Source'!$D:$D,'Source'!$A:$A,"160920 SALUS",'Source'!$B:$B,$A140)</f>
        <v>5</v>
      </c>
      <c r="D140" s="8" t="n">
        <f aca="false">SUMIFS('Source'!$F:$F,'Source'!$A:$A,"160920 SALUS",'Source'!$B:$B,$A140)</f>
        <v>0</v>
      </c>
      <c r="E140" s="8" t="n">
        <f aca="false">D140*$J$5</f>
        <v>0</v>
      </c>
      <c r="F140" s="8" t="n">
        <f aca="false">E140-C140</f>
        <v>-5</v>
      </c>
      <c r="G140" s="9" t="n">
        <f aca="false">IF(AND(C140=0,E140=0),0,IF(C140=0,"New",(E140-C140)/C140))</f>
        <v>-1</v>
      </c>
      <c r="H140" s="8" t="n">
        <f aca="false">SUMIFS('Source'!$E:$E,'Source'!$A:$A,"160920 SALUS",'Source'!$B:$B,$A140)</f>
        <v>186.94</v>
      </c>
      <c r="I140" s="8" t="n">
        <f aca="false">SUMIFS('Source'!$G:$G,'Source'!$A:$A,"160920 SALUS",'Source'!$B:$B,$A140)</f>
        <v>0</v>
      </c>
      <c r="J140" s="8" t="n">
        <f aca="false">I140*$J$5</f>
        <v>0</v>
      </c>
      <c r="K140" s="8" t="n">
        <f aca="false">J140-H140</f>
        <v>-186.94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120</v>
      </c>
      <c r="B141" s="7" t="str">
        <f aca="false">IFERROR(INDEX('Source'!$C:$C,MATCH($A141,'Source'!$B:$B,0)),"")</f>
        <v>כפפת CTS ימין</v>
      </c>
      <c r="C141" s="8" t="n">
        <f aca="false">SUMIFS('Source'!$D:$D,'Source'!$A:$A,"160920 SALUS",'Source'!$B:$B,$A141)</f>
        <v>5</v>
      </c>
      <c r="D141" s="8" t="n">
        <f aca="false">SUMIFS('Source'!$F:$F,'Source'!$A:$A,"160920 SALUS",'Source'!$B:$B,$A141)</f>
        <v>0</v>
      </c>
      <c r="E141" s="8" t="n">
        <f aca="false">D141*$J$5</f>
        <v>0</v>
      </c>
      <c r="F141" s="8" t="n">
        <f aca="false">E141-C141</f>
        <v>-5</v>
      </c>
      <c r="G141" s="9" t="n">
        <f aca="false">IF(AND(C141=0,E141=0),0,IF(C141=0,"New",(E141-C141)/C141))</f>
        <v>-1</v>
      </c>
      <c r="H141" s="8" t="n">
        <f aca="false">SUMIFS('Source'!$E:$E,'Source'!$A:$A,"160920 SALUS",'Source'!$B:$B,$A141)</f>
        <v>186.94</v>
      </c>
      <c r="I141" s="8" t="n">
        <f aca="false">SUMIFS('Source'!$G:$G,'Source'!$A:$A,"160920 SALUS",'Source'!$B:$B,$A141)</f>
        <v>0</v>
      </c>
      <c r="J141" s="8" t="n">
        <f aca="false">I141*$J$5</f>
        <v>0</v>
      </c>
      <c r="K141" s="8" t="n">
        <f aca="false">J141-H141</f>
        <v>-186.94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533</v>
      </c>
      <c r="B142" s="7" t="str">
        <f aca="false">IFERROR(INDEX('Source'!$C:$C,MATCH($A142,'Source'!$B:$B,0)),"")</f>
        <v>מתלה יד-כיס</v>
      </c>
      <c r="C142" s="8" t="n">
        <f aca="false">SUMIFS('Source'!$D:$D,'Source'!$A:$A,"160920 SALUS",'Source'!$B:$B,$A142)</f>
        <v>136</v>
      </c>
      <c r="D142" s="8" t="n">
        <f aca="false">SUMIFS('Source'!$F:$F,'Source'!$A:$A,"160920 SALUS",'Source'!$B:$B,$A142)</f>
        <v>130</v>
      </c>
      <c r="E142" s="8" t="n">
        <f aca="false">D142*$J$5</f>
        <v>164.210526315789</v>
      </c>
      <c r="F142" s="8" t="n">
        <f aca="false">E142-C142</f>
        <v>28.2105263157895</v>
      </c>
      <c r="G142" s="9" t="n">
        <f aca="false">IF(AND(C142=0,E142=0),0,IF(C142=0,"New",(E142-C142)/C142))</f>
        <v>0.207430340557275</v>
      </c>
      <c r="H142" s="8" t="n">
        <f aca="false">SUMIFS('Source'!$E:$E,'Source'!$A:$A,"160920 SALUS",'Source'!$B:$B,$A142)</f>
        <v>2537.92</v>
      </c>
      <c r="I142" s="8" t="n">
        <f aca="false">SUMIFS('Source'!$G:$G,'Source'!$A:$A,"160920 SALUS",'Source'!$B:$B,$A142)</f>
        <v>2351.44</v>
      </c>
      <c r="J142" s="8" t="n">
        <f aca="false">I142*$J$5</f>
        <v>2970.24</v>
      </c>
      <c r="K142" s="8" t="n">
        <f aca="false">J142-H142</f>
        <v>432.32</v>
      </c>
      <c r="L142" s="9" t="n">
        <f aca="false">IF(AND(H142=0,J142=0),0,IF(H142=0,"New",(J142-H142)/H142))</f>
        <v>0.170344218887908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688</v>
      </c>
      <c r="B143" s="7" t="str">
        <f aca="false">IFERROR(INDEX('Source'!$C:$C,MATCH($A143,'Source'!$B:$B,0)),"")</f>
        <v>מגן ברך ארוך</v>
      </c>
      <c r="C143" s="8" t="n">
        <f aca="false">SUMIFS('Source'!$D:$D,'Source'!$A:$A,"160920 SALUS",'Source'!$B:$B,$A143)</f>
        <v>50</v>
      </c>
      <c r="D143" s="8" t="n">
        <f aca="false">SUMIFS('Source'!$F:$F,'Source'!$A:$A,"160920 SALUS",'Source'!$B:$B,$A143)</f>
        <v>65</v>
      </c>
      <c r="E143" s="8" t="n">
        <f aca="false">D143*$J$5</f>
        <v>82.1052631578947</v>
      </c>
      <c r="F143" s="8" t="n">
        <f aca="false">E143-C143</f>
        <v>32.1052631578947</v>
      </c>
      <c r="G143" s="9" t="n">
        <f aca="false">IF(AND(C143=0,E143=0),0,IF(C143=0,"New",(E143-C143)/C143))</f>
        <v>0.642105263157895</v>
      </c>
      <c r="H143" s="8" t="n">
        <f aca="false">SUMIFS('Source'!$E:$E,'Source'!$A:$A,"160920 SALUS",'Source'!$B:$B,$A143)</f>
        <v>547.71</v>
      </c>
      <c r="I143" s="8" t="n">
        <f aca="false">SUMIFS('Source'!$G:$G,'Source'!$A:$A,"160920 SALUS",'Source'!$B:$B,$A143)</f>
        <v>729.51</v>
      </c>
      <c r="J143" s="8" t="n">
        <f aca="false">I143*$J$5</f>
        <v>921.486315789474</v>
      </c>
      <c r="K143" s="8" t="n">
        <f aca="false">J143-H143</f>
        <v>373.776315789474</v>
      </c>
      <c r="L143" s="9" t="n">
        <f aca="false">IF(AND(H143=0,J143=0),0,IF(H143=0,"New",(J143-H143)/H143))</f>
        <v>0.682434711415664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449</v>
      </c>
      <c r="B144" s="7" t="str">
        <f aca="false">IFERROR(INDEX('Source'!$C:$C,MATCH($A144,'Source'!$B:$B,0)),"")</f>
        <v>מגן ירך</v>
      </c>
      <c r="C144" s="8" t="n">
        <f aca="false">SUMIFS('Source'!$D:$D,'Source'!$A:$A,"160920 SALUS",'Source'!$B:$B,$A144)</f>
        <v>24</v>
      </c>
      <c r="D144" s="8" t="n">
        <f aca="false">SUMIFS('Source'!$F:$F,'Source'!$A:$A,"160920 SALUS",'Source'!$B:$B,$A144)</f>
        <v>10</v>
      </c>
      <c r="E144" s="8" t="n">
        <f aca="false">D144*$J$5</f>
        <v>12.6315789473684</v>
      </c>
      <c r="F144" s="8" t="n">
        <f aca="false">E144-C144</f>
        <v>-11.3684210526316</v>
      </c>
      <c r="G144" s="9" t="n">
        <f aca="false">IF(AND(C144=0,E144=0),0,IF(C144=0,"New",(E144-C144)/C144))</f>
        <v>-0.473684210526316</v>
      </c>
      <c r="H144" s="8" t="n">
        <f aca="false">SUMIFS('Source'!$E:$E,'Source'!$A:$A,"160920 SALUS",'Source'!$B:$B,$A144)</f>
        <v>278.03</v>
      </c>
      <c r="I144" s="8" t="n">
        <f aca="false">SUMIFS('Source'!$G:$G,'Source'!$A:$A,"160920 SALUS",'Source'!$B:$B,$A144)</f>
        <v>99.82</v>
      </c>
      <c r="J144" s="8" t="n">
        <f aca="false">I144*$J$5</f>
        <v>126.088421052632</v>
      </c>
      <c r="K144" s="8" t="n">
        <f aca="false">J144-H144</f>
        <v>-151.941578947368</v>
      </c>
      <c r="L144" s="9" t="n">
        <f aca="false">IF(AND(H144=0,J144=0),0,IF(H144=0,"New",(J144-H144)/H144))</f>
        <v>-0.546493468141454</v>
      </c>
      <c r="M144" s="7" t="str">
        <f aca="false">IF(AND(OR(C144&lt;&gt;0,H144&lt;&gt;0),D144=0,I144=0),"DROP",IF(AND(OR(D144&lt;&gt;0,I144&lt;&gt;0),C144=0,H144=0),"NEW",""))</f>
        <v/>
      </c>
    </row>
    <row r="145" customFormat="false" ht="15" hidden="false" customHeight="false" outlineLevel="0" collapsed="false">
      <c r="A145" s="7" t="s">
        <v>237</v>
      </c>
      <c r="B145" s="7" t="str">
        <f aca="false">IFERROR(INDEX('Source'!$C:$C,MATCH($A145,'Source'!$B:$B,0)),"")</f>
        <v>מגן מרפק</v>
      </c>
      <c r="C145" s="8" t="n">
        <f aca="false">SUMIFS('Source'!$D:$D,'Source'!$A:$A,"160920 SALUS",'Source'!$B:$B,$A145)</f>
        <v>160</v>
      </c>
      <c r="D145" s="8" t="n">
        <f aca="false">SUMIFS('Source'!$F:$F,'Source'!$A:$A,"160920 SALUS",'Source'!$B:$B,$A145)</f>
        <v>160</v>
      </c>
      <c r="E145" s="8" t="n">
        <f aca="false">D145*$J$5</f>
        <v>202.105263157895</v>
      </c>
      <c r="F145" s="8" t="n">
        <f aca="false">E145-C145</f>
        <v>42.1052631578947</v>
      </c>
      <c r="G145" s="9" t="n">
        <f aca="false">IF(AND(C145=0,E145=0),0,IF(C145=0,"New",(E145-C145)/C145))</f>
        <v>0.263157894736842</v>
      </c>
      <c r="H145" s="8" t="n">
        <f aca="false">SUMIFS('Source'!$E:$E,'Source'!$A:$A,"160920 SALUS",'Source'!$B:$B,$A145)</f>
        <v>2674.83</v>
      </c>
      <c r="I145" s="8" t="n">
        <f aca="false">SUMIFS('Source'!$G:$G,'Source'!$A:$A,"160920 SALUS",'Source'!$B:$B,$A145)</f>
        <v>2496.75</v>
      </c>
      <c r="J145" s="8" t="n">
        <f aca="false">I145*$J$5</f>
        <v>3153.78947368421</v>
      </c>
      <c r="K145" s="8" t="n">
        <f aca="false">J145-H145</f>
        <v>478.959473684211</v>
      </c>
      <c r="L145" s="9" t="n">
        <f aca="false">IF(AND(H145=0,J145=0),0,IF(H145=0,"New",(J145-H145)/H145))</f>
        <v>0.179061650155042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503</v>
      </c>
      <c r="B146" s="7" t="str">
        <f aca="false">IFERROR(INDEX('Source'!$C:$C,MATCH($A146,'Source'!$B:$B,0)),"")</f>
        <v>מגן קרסול סגור</v>
      </c>
      <c r="C146" s="8" t="n">
        <f aca="false">SUMIFS('Source'!$D:$D,'Source'!$A:$A,"160920 SALUS",'Source'!$B:$B,$A146)</f>
        <v>34</v>
      </c>
      <c r="D146" s="8" t="n">
        <f aca="false">SUMIFS('Source'!$F:$F,'Source'!$A:$A,"160920 SALUS",'Source'!$B:$B,$A146)</f>
        <v>26</v>
      </c>
      <c r="E146" s="8" t="n">
        <f aca="false">D146*$J$5</f>
        <v>32.8421052631579</v>
      </c>
      <c r="F146" s="8" t="n">
        <f aca="false">E146-C146</f>
        <v>-1.15789473684211</v>
      </c>
      <c r="G146" s="9" t="n">
        <f aca="false">IF(AND(C146=0,E146=0),0,IF(C146=0,"New",(E146-C146)/C146))</f>
        <v>-0.0340557275541797</v>
      </c>
      <c r="H146" s="8" t="n">
        <f aca="false">SUMIFS('Source'!$E:$E,'Source'!$A:$A,"160920 SALUS",'Source'!$B:$B,$A146)</f>
        <v>719.66</v>
      </c>
      <c r="I146" s="8" t="n">
        <f aca="false">SUMIFS('Source'!$G:$G,'Source'!$A:$A,"160920 SALUS",'Source'!$B:$B,$A146)</f>
        <v>542.57</v>
      </c>
      <c r="J146" s="8" t="n">
        <f aca="false">I146*$J$5</f>
        <v>685.351578947369</v>
      </c>
      <c r="K146" s="8" t="n">
        <f aca="false">J146-H146</f>
        <v>-34.3084210526316</v>
      </c>
      <c r="L146" s="9" t="n">
        <f aca="false">IF(AND(H146=0,J146=0),0,IF(H146=0,"New",(J146-H146)/H146))</f>
        <v>-0.0476730970911703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207</v>
      </c>
      <c r="B147" s="7" t="str">
        <f aca="false">IFERROR(INDEX('Source'!$C:$C,MATCH($A147,'Source'!$B:$B,0)),"")</f>
        <v>חגורת שבר שחור</v>
      </c>
      <c r="C147" s="8" t="n">
        <f aca="false">SUMIFS('Source'!$D:$D,'Source'!$A:$A,"160920 SALUS",'Source'!$B:$B,$A147)</f>
        <v>5</v>
      </c>
      <c r="D147" s="8" t="n">
        <f aca="false">SUMIFS('Source'!$F:$F,'Source'!$A:$A,"160920 SALUS",'Source'!$B:$B,$A147)</f>
        <v>3</v>
      </c>
      <c r="E147" s="8" t="n">
        <f aca="false">D147*$J$5</f>
        <v>3.78947368421053</v>
      </c>
      <c r="F147" s="8" t="n">
        <f aca="false">E147-C147</f>
        <v>-1.21052631578947</v>
      </c>
      <c r="G147" s="9" t="n">
        <f aca="false">IF(AND(C147=0,E147=0),0,IF(C147=0,"New",(E147-C147)/C147))</f>
        <v>-0.242105263157895</v>
      </c>
      <c r="H147" s="8" t="n">
        <f aca="false">SUMIFS('Source'!$E:$E,'Source'!$A:$A,"160920 SALUS",'Source'!$B:$B,$A147)</f>
        <v>405.71</v>
      </c>
      <c r="I147" s="8" t="n">
        <f aca="false">SUMIFS('Source'!$G:$G,'Source'!$A:$A,"160920 SALUS",'Source'!$B:$B,$A147)</f>
        <v>233.33</v>
      </c>
      <c r="J147" s="8" t="n">
        <f aca="false">I147*$J$5</f>
        <v>294.732631578947</v>
      </c>
      <c r="K147" s="8" t="n">
        <f aca="false">J147-H147</f>
        <v>-110.977368421053</v>
      </c>
      <c r="L147" s="9" t="n">
        <f aca="false">IF(AND(H147=0,J147=0),0,IF(H147=0,"New",(J147-H147)/H147))</f>
        <v>-0.273538656727842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215</v>
      </c>
      <c r="B148" s="7" t="str">
        <f aca="false">IFERROR(INDEX('Source'!$C:$C,MATCH($A148,'Source'!$B:$B,0)),"")</f>
        <v>חגורת שבר שחור</v>
      </c>
      <c r="C148" s="8" t="n">
        <f aca="false">SUMIFS('Source'!$D:$D,'Source'!$A:$A,"160920 SALUS",'Source'!$B:$B,$A148)</f>
        <v>5</v>
      </c>
      <c r="D148" s="8" t="n">
        <f aca="false">SUMIFS('Source'!$F:$F,'Source'!$A:$A,"160920 SALUS",'Source'!$B:$B,$A148)</f>
        <v>3</v>
      </c>
      <c r="E148" s="8" t="n">
        <f aca="false">D148*$J$5</f>
        <v>3.78947368421053</v>
      </c>
      <c r="F148" s="8" t="n">
        <f aca="false">E148-C148</f>
        <v>-1.21052631578947</v>
      </c>
      <c r="G148" s="9" t="n">
        <f aca="false">IF(AND(C148=0,E148=0),0,IF(C148=0,"New",(E148-C148)/C148))</f>
        <v>-0.242105263157895</v>
      </c>
      <c r="H148" s="8" t="n">
        <f aca="false">SUMIFS('Source'!$E:$E,'Source'!$A:$A,"160920 SALUS",'Source'!$B:$B,$A148)</f>
        <v>405.71</v>
      </c>
      <c r="I148" s="8" t="n">
        <f aca="false">SUMIFS('Source'!$G:$G,'Source'!$A:$A,"160920 SALUS",'Source'!$B:$B,$A148)</f>
        <v>233.33</v>
      </c>
      <c r="J148" s="8" t="n">
        <f aca="false">I148*$J$5</f>
        <v>294.732631578947</v>
      </c>
      <c r="K148" s="8" t="n">
        <f aca="false">J148-H148</f>
        <v>-110.977368421053</v>
      </c>
      <c r="L148" s="9" t="n">
        <f aca="false">IF(AND(H148=0,J148=0),0,IF(H148=0,"New",(J148-H148)/H148))</f>
        <v>-0.273538656727842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519</v>
      </c>
      <c r="B149" s="7" t="str">
        <f aca="false">IFERROR(INDEX('Source'!$C:$C,MATCH($A149,'Source'!$B:$B,0)),"")</f>
        <v>חגורת שבר שחור</v>
      </c>
      <c r="C149" s="8" t="n">
        <f aca="false">SUMIFS('Source'!$D:$D,'Source'!$A:$A,"160920 SALUS",'Source'!$B:$B,$A149)</f>
        <v>5</v>
      </c>
      <c r="D149" s="8" t="n">
        <f aca="false">SUMIFS('Source'!$F:$F,'Source'!$A:$A,"160920 SALUS",'Source'!$B:$B,$A149)</f>
        <v>3</v>
      </c>
      <c r="E149" s="8" t="n">
        <f aca="false">D149*$J$5</f>
        <v>3.78947368421053</v>
      </c>
      <c r="F149" s="8" t="n">
        <f aca="false">E149-C149</f>
        <v>-1.21052631578947</v>
      </c>
      <c r="G149" s="9" t="n">
        <f aca="false">IF(AND(C149=0,E149=0),0,IF(C149=0,"New",(E149-C149)/C149))</f>
        <v>-0.242105263157895</v>
      </c>
      <c r="H149" s="8" t="n">
        <f aca="false">SUMIFS('Source'!$E:$E,'Source'!$A:$A,"160920 SALUS",'Source'!$B:$B,$A149)</f>
        <v>405.71</v>
      </c>
      <c r="I149" s="8" t="n">
        <f aca="false">SUMIFS('Source'!$G:$G,'Source'!$A:$A,"160920 SALUS",'Source'!$B:$B,$A149)</f>
        <v>233.33</v>
      </c>
      <c r="J149" s="8" t="n">
        <f aca="false">I149*$J$5</f>
        <v>294.732631578947</v>
      </c>
      <c r="K149" s="8" t="n">
        <f aca="false">J149-H149</f>
        <v>-110.977368421053</v>
      </c>
      <c r="L149" s="9" t="n">
        <f aca="false">IF(AND(H149=0,J149=0),0,IF(H149=0,"New",(J149-H149)/H149))</f>
        <v>-0.273538656727842</v>
      </c>
      <c r="M149" s="7" t="str">
        <f aca="false">IF(AND(OR(C149&lt;&gt;0,H149&lt;&gt;0),D149=0,I149=0),"DROP",IF(AND(OR(D149&lt;&gt;0,I149&lt;&gt;0),C149=0,H149=0),"NEW",""))</f>
        <v/>
      </c>
    </row>
    <row r="150" customFormat="false" ht="15" hidden="false" customHeight="false" outlineLevel="0" collapsed="false">
      <c r="A150" s="7" t="s">
        <v>336</v>
      </c>
      <c r="B150" s="7" t="str">
        <f aca="false">IFERROR(INDEX('Source'!$C:$C,MATCH($A150,'Source'!$B:$B,0)),"")</f>
        <v>חגורת שבר שחור</v>
      </c>
      <c r="C150" s="8" t="n">
        <f aca="false">SUMIFS('Source'!$D:$D,'Source'!$A:$A,"160920 SALUS",'Source'!$B:$B,$A150)</f>
        <v>5</v>
      </c>
      <c r="D150" s="8" t="n">
        <f aca="false">SUMIFS('Source'!$F:$F,'Source'!$A:$A,"160920 SALUS",'Source'!$B:$B,$A150)</f>
        <v>3</v>
      </c>
      <c r="E150" s="8" t="n">
        <f aca="false">D150*$J$5</f>
        <v>3.78947368421053</v>
      </c>
      <c r="F150" s="8" t="n">
        <f aca="false">E150-C150</f>
        <v>-1.21052631578947</v>
      </c>
      <c r="G150" s="9" t="n">
        <f aca="false">IF(AND(C150=0,E150=0),0,IF(C150=0,"New",(E150-C150)/C150))</f>
        <v>-0.242105263157895</v>
      </c>
      <c r="H150" s="8" t="n">
        <f aca="false">SUMIFS('Source'!$E:$E,'Source'!$A:$A,"160920 SALUS",'Source'!$B:$B,$A150)</f>
        <v>405.71</v>
      </c>
      <c r="I150" s="8" t="n">
        <f aca="false">SUMIFS('Source'!$G:$G,'Source'!$A:$A,"160920 SALUS",'Source'!$B:$B,$A150)</f>
        <v>233.33</v>
      </c>
      <c r="J150" s="8" t="n">
        <f aca="false">I150*$J$5</f>
        <v>294.732631578947</v>
      </c>
      <c r="K150" s="8" t="n">
        <f aca="false">J150-H150</f>
        <v>-110.977368421053</v>
      </c>
      <c r="L150" s="9" t="n">
        <f aca="false">IF(AND(H150=0,J150=0),0,IF(H150=0,"New",(J150-H150)/H150))</f>
        <v>-0.273538656727842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162</v>
      </c>
      <c r="B151" s="7" t="str">
        <f aca="false">IFERROR(INDEX('Source'!$C:$C,MATCH($A151,'Source'!$B:$B,0)),"")</f>
        <v>מדרס מתכוונן</v>
      </c>
      <c r="C151" s="8" t="n">
        <f aca="false">SUMIFS('Source'!$D:$D,'Source'!$A:$A,"160920 SALUS",'Source'!$B:$B,$A151)</f>
        <v>10</v>
      </c>
      <c r="D151" s="8" t="n">
        <f aca="false">SUMIFS('Source'!$F:$F,'Source'!$A:$A,"160920 SALUS",'Source'!$B:$B,$A151)</f>
        <v>15</v>
      </c>
      <c r="E151" s="8" t="n">
        <f aca="false">D151*$J$5</f>
        <v>18.9473684210526</v>
      </c>
      <c r="F151" s="8" t="n">
        <f aca="false">E151-C151</f>
        <v>8.94736842105263</v>
      </c>
      <c r="G151" s="9" t="n">
        <f aca="false">IF(AND(C151=0,E151=0),0,IF(C151=0,"New",(E151-C151)/C151))</f>
        <v>0.894736842105263</v>
      </c>
      <c r="H151" s="8" t="n">
        <f aca="false">SUMIFS('Source'!$E:$E,'Source'!$A:$A,"160920 SALUS",'Source'!$B:$B,$A151)</f>
        <v>325.92</v>
      </c>
      <c r="I151" s="8" t="n">
        <f aca="false">SUMIFS('Source'!$G:$G,'Source'!$A:$A,"160920 SALUS",'Source'!$B:$B,$A151)</f>
        <v>496.58</v>
      </c>
      <c r="J151" s="8" t="n">
        <f aca="false">I151*$J$5</f>
        <v>627.258947368421</v>
      </c>
      <c r="K151" s="8" t="n">
        <f aca="false">J151-H151</f>
        <v>301.338947368421</v>
      </c>
      <c r="L151" s="9" t="n">
        <f aca="false">IF(AND(H151=0,J151=0),0,IF(H151=0,"New",(J151-H151)/H151))</f>
        <v>0.924579489962018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711</v>
      </c>
      <c r="B152" s="7" t="str">
        <f aca="false">IFERROR(INDEX('Source'!$C:$C,MATCH($A152,'Source'!$B:$B,0)),"")</f>
        <v>מגן ירך</v>
      </c>
      <c r="C152" s="8" t="n">
        <f aca="false">SUMIFS('Source'!$D:$D,'Source'!$A:$A,"160920 SALUS",'Source'!$B:$B,$A152)</f>
        <v>44</v>
      </c>
      <c r="D152" s="8" t="n">
        <f aca="false">SUMIFS('Source'!$F:$F,'Source'!$A:$A,"160920 SALUS",'Source'!$B:$B,$A152)</f>
        <v>30</v>
      </c>
      <c r="E152" s="8" t="n">
        <f aca="false">D152*$J$5</f>
        <v>37.8947368421053</v>
      </c>
      <c r="F152" s="8" t="n">
        <f aca="false">E152-C152</f>
        <v>-6.10526315789474</v>
      </c>
      <c r="G152" s="9" t="n">
        <f aca="false">IF(AND(C152=0,E152=0),0,IF(C152=0,"New",(E152-C152)/C152))</f>
        <v>-0.138755980861244</v>
      </c>
      <c r="H152" s="8" t="n">
        <f aca="false">SUMIFS('Source'!$E:$E,'Source'!$A:$A,"160920 SALUS",'Source'!$B:$B,$A152)</f>
        <v>486.29</v>
      </c>
      <c r="I152" s="8" t="n">
        <f aca="false">SUMIFS('Source'!$G:$G,'Source'!$A:$A,"160920 SALUS",'Source'!$B:$B,$A152)</f>
        <v>317.31</v>
      </c>
      <c r="J152" s="8" t="n">
        <f aca="false">I152*$J$5</f>
        <v>400.812631578947</v>
      </c>
      <c r="K152" s="8" t="n">
        <f aca="false">J152-H152</f>
        <v>-85.4773684210526</v>
      </c>
      <c r="L152" s="9" t="n">
        <f aca="false">IF(AND(H152=0,J152=0),0,IF(H152=0,"New",(J152-H152)/H152))</f>
        <v>-0.175774472888714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156</v>
      </c>
      <c r="B153" s="7" t="str">
        <f aca="false">IFERROR(INDEX('Source'!$C:$C,MATCH($A153,'Source'!$B:$B,0)),"")</f>
        <v>AC27</v>
      </c>
      <c r="C153" s="8" t="n">
        <f aca="false">SUMIFS('Source'!$D:$D,'Source'!$A:$A,"160920 SALUS",'Source'!$B:$B,$A153)</f>
        <v>10</v>
      </c>
      <c r="D153" s="8" t="n">
        <f aca="false">SUMIFS('Source'!$F:$F,'Source'!$A:$A,"160920 SALUS",'Source'!$B:$B,$A153)</f>
        <v>0</v>
      </c>
      <c r="E153" s="8" t="n">
        <f aca="false">D153*$J$5</f>
        <v>0</v>
      </c>
      <c r="F153" s="8" t="n">
        <f aca="false">E153-C153</f>
        <v>-10</v>
      </c>
      <c r="G153" s="9" t="n">
        <f aca="false">IF(AND(C153=0,E153=0),0,IF(C153=0,"New",(E153-C153)/C153))</f>
        <v>-1</v>
      </c>
      <c r="H153" s="8" t="n">
        <f aca="false">SUMIFS('Source'!$E:$E,'Source'!$A:$A,"160920 SALUS",'Source'!$B:$B,$A153)</f>
        <v>167.69</v>
      </c>
      <c r="I153" s="8" t="n">
        <f aca="false">SUMIFS('Source'!$G:$G,'Source'!$A:$A,"160920 SALUS",'Source'!$B:$B,$A153)</f>
        <v>0</v>
      </c>
      <c r="J153" s="8" t="n">
        <f aca="false">I153*$J$5</f>
        <v>0</v>
      </c>
      <c r="K153" s="8" t="n">
        <f aca="false">J153-H153</f>
        <v>-167.69</v>
      </c>
      <c r="L153" s="9" t="n">
        <f aca="false">IF(AND(H153=0,J153=0),0,IF(H153=0,"New",(J153-H153)/H153))</f>
        <v>-1</v>
      </c>
      <c r="M153" s="7" t="str">
        <f aca="false">IF(AND(OR(C153&lt;&gt;0,H153&lt;&gt;0),D153=0,I153=0),"DROP",IF(AND(OR(D153&lt;&gt;0,I153&lt;&gt;0),C153=0,H153=0),"NEW",""))</f>
        <v>DROP</v>
      </c>
    </row>
    <row r="154" customFormat="false" ht="15" hidden="false" customHeight="false" outlineLevel="0" collapsed="false">
      <c r="A154" s="7" t="s">
        <v>181</v>
      </c>
      <c r="B154" s="7" t="str">
        <f aca="false">IFERROR(INDEX('Source'!$C:$C,MATCH($A154,'Source'!$B:$B,0)),"")</f>
        <v>מגן קרסול+ עקב סגור+רצועות</v>
      </c>
      <c r="C154" s="8" t="n">
        <f aca="false">SUMIFS('Source'!$D:$D,'Source'!$A:$A,"160920 SALUS",'Source'!$B:$B,$A154)</f>
        <v>25</v>
      </c>
      <c r="D154" s="8" t="n">
        <f aca="false">SUMIFS('Source'!$F:$F,'Source'!$A:$A,"160920 SALUS",'Source'!$B:$B,$A154)</f>
        <v>20</v>
      </c>
      <c r="E154" s="8" t="n">
        <f aca="false">D154*$J$5</f>
        <v>25.2631578947368</v>
      </c>
      <c r="F154" s="8" t="n">
        <f aca="false">E154-C154</f>
        <v>0.263157894736843</v>
      </c>
      <c r="G154" s="9" t="n">
        <f aca="false">IF(AND(C154=0,E154=0),0,IF(C154=0,"New",(E154-C154)/C154))</f>
        <v>0.0105263157894737</v>
      </c>
      <c r="H154" s="8" t="n">
        <f aca="false">SUMIFS('Source'!$E:$E,'Source'!$A:$A,"160920 SALUS",'Source'!$B:$B,$A154)</f>
        <v>709.99</v>
      </c>
      <c r="I154" s="8" t="n">
        <f aca="false">SUMIFS('Source'!$G:$G,'Source'!$A:$A,"160920 SALUS",'Source'!$B:$B,$A154)</f>
        <v>544.43</v>
      </c>
      <c r="J154" s="8" t="n">
        <f aca="false">I154*$J$5</f>
        <v>687.701052631579</v>
      </c>
      <c r="K154" s="8" t="n">
        <f aca="false">J154-H154</f>
        <v>-22.2889473684212</v>
      </c>
      <c r="L154" s="9" t="n">
        <f aca="false">IF(AND(H154=0,J154=0),0,IF(H154=0,"New",(J154-H154)/H154))</f>
        <v>-0.0313933257770126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725</v>
      </c>
      <c r="B155" s="7" t="str">
        <f aca="false">IFERROR(INDEX('Source'!$C:$C,MATCH($A155,'Source'!$B:$B,0)),"")</f>
        <v>בליסטר פלסטר</v>
      </c>
      <c r="C155" s="8" t="n">
        <f aca="false">SUMIFS('Source'!$D:$D,'Source'!$A:$A,"160920 SALUS",'Source'!$B:$B,$A155)</f>
        <v>24</v>
      </c>
      <c r="D155" s="8" t="n">
        <f aca="false">SUMIFS('Source'!$F:$F,'Source'!$A:$A,"160920 SALUS",'Source'!$B:$B,$A155)</f>
        <v>0</v>
      </c>
      <c r="E155" s="8" t="n">
        <f aca="false">D155*$J$5</f>
        <v>0</v>
      </c>
      <c r="F155" s="8" t="n">
        <f aca="false">E155-C155</f>
        <v>-24</v>
      </c>
      <c r="G155" s="9" t="n">
        <f aca="false">IF(AND(C155=0,E155=0),0,IF(C155=0,"New",(E155-C155)/C155))</f>
        <v>-1</v>
      </c>
      <c r="H155" s="8" t="n">
        <f aca="false">SUMIFS('Source'!$E:$E,'Source'!$A:$A,"160920 SALUS",'Source'!$B:$B,$A155)</f>
        <v>155.32</v>
      </c>
      <c r="I155" s="8" t="n">
        <f aca="false">SUMIFS('Source'!$G:$G,'Source'!$A:$A,"160920 SALUS",'Source'!$B:$B,$A155)</f>
        <v>0</v>
      </c>
      <c r="J155" s="8" t="n">
        <f aca="false">I155*$J$5</f>
        <v>0</v>
      </c>
      <c r="K155" s="8" t="n">
        <f aca="false">J155-H155</f>
        <v>-155.32</v>
      </c>
      <c r="L155" s="9" t="n">
        <f aca="false">IF(AND(H155=0,J155=0),0,IF(H155=0,"New",(J155-H155)/H155))</f>
        <v>-1</v>
      </c>
      <c r="M155" s="7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false" outlineLevel="0" collapsed="false">
      <c r="A156" s="7" t="s">
        <v>119</v>
      </c>
      <c r="B156" s="7" t="str">
        <f aca="false">IFERROR(INDEX('Source'!$C:$C,MATCH($A156,'Source'!$B:$B,0)),"")</f>
        <v>מיישר בוניון-HALUX VALGUS</v>
      </c>
      <c r="C156" s="8" t="n">
        <f aca="false">SUMIFS('Source'!$D:$D,'Source'!$A:$A,"160920 SALUS",'Source'!$B:$B,$A156)</f>
        <v>54</v>
      </c>
      <c r="D156" s="8" t="n">
        <f aca="false">SUMIFS('Source'!$F:$F,'Source'!$A:$A,"160920 SALUS",'Source'!$B:$B,$A156)</f>
        <v>46</v>
      </c>
      <c r="E156" s="8" t="n">
        <f aca="false">D156*$J$5</f>
        <v>58.1052631578947</v>
      </c>
      <c r="F156" s="8" t="n">
        <f aca="false">E156-C156</f>
        <v>4.10526315789473</v>
      </c>
      <c r="G156" s="9" t="n">
        <f aca="false">IF(AND(C156=0,E156=0),0,IF(C156=0,"New",(E156-C156)/C156))</f>
        <v>0.0760233918128654</v>
      </c>
      <c r="H156" s="8" t="n">
        <f aca="false">SUMIFS('Source'!$E:$E,'Source'!$A:$A,"160920 SALUS",'Source'!$B:$B,$A156)</f>
        <v>874.13</v>
      </c>
      <c r="I156" s="8" t="n">
        <f aca="false">SUMIFS('Source'!$G:$G,'Source'!$A:$A,"160920 SALUS",'Source'!$B:$B,$A156)</f>
        <v>722.12</v>
      </c>
      <c r="J156" s="8" t="n">
        <f aca="false">I156*$J$5</f>
        <v>912.151578947368</v>
      </c>
      <c r="K156" s="8" t="n">
        <f aca="false">J156-H156</f>
        <v>38.0215789473684</v>
      </c>
      <c r="L156" s="9" t="n">
        <f aca="false">IF(AND(H156=0,J156=0),0,IF(H156=0,"New",(J156-H156)/H156))</f>
        <v>0.0434964810123991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230</v>
      </c>
      <c r="B157" s="7" t="str">
        <f aca="false">IFERROR(INDEX('Source'!$C:$C,MATCH($A157,'Source'!$B:$B,0)),"")</f>
        <v>מדרסי ג'ל מולטי ספורט</v>
      </c>
      <c r="C157" s="8" t="n">
        <f aca="false">SUMIFS('Source'!$D:$D,'Source'!$A:$A,"160920 SALUS",'Source'!$B:$B,$A157)</f>
        <v>6</v>
      </c>
      <c r="D157" s="8" t="n">
        <f aca="false">SUMIFS('Source'!$F:$F,'Source'!$A:$A,"160920 SALUS",'Source'!$B:$B,$A157)</f>
        <v>3</v>
      </c>
      <c r="E157" s="8" t="n">
        <f aca="false">D157*$J$5</f>
        <v>3.78947368421053</v>
      </c>
      <c r="F157" s="8" t="n">
        <f aca="false">E157-C157</f>
        <v>-2.21052631578947</v>
      </c>
      <c r="G157" s="9" t="n">
        <f aca="false">IF(AND(C157=0,E157=0),0,IF(C157=0,"New",(E157-C157)/C157))</f>
        <v>-0.368421052631579</v>
      </c>
      <c r="H157" s="8" t="n">
        <f aca="false">SUMIFS('Source'!$E:$E,'Source'!$A:$A,"160920 SALUS",'Source'!$B:$B,$A157)</f>
        <v>249.57</v>
      </c>
      <c r="I157" s="8" t="n">
        <f aca="false">SUMIFS('Source'!$G:$G,'Source'!$A:$A,"160920 SALUS",'Source'!$B:$B,$A157)</f>
        <v>107.51</v>
      </c>
      <c r="J157" s="8" t="n">
        <f aca="false">I157*$J$5</f>
        <v>135.802105263158</v>
      </c>
      <c r="K157" s="8" t="n">
        <f aca="false">J157-H157</f>
        <v>-113.767894736842</v>
      </c>
      <c r="L157" s="9" t="n">
        <f aca="false">IF(AND(H157=0,J157=0),0,IF(H157=0,"New",(J157-H157)/H157))</f>
        <v>-0.455855650666515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329</v>
      </c>
      <c r="B158" s="7" t="str">
        <f aca="false">IFERROR(INDEX('Source'!$C:$C,MATCH($A158,'Source'!$B:$B,0)),"")</f>
        <v>מדרס מתכוונן</v>
      </c>
      <c r="C158" s="8" t="n">
        <f aca="false">SUMIFS('Source'!$D:$D,'Source'!$A:$A,"160920 SALUS",'Source'!$B:$B,$A158)</f>
        <v>5</v>
      </c>
      <c r="D158" s="8" t="n">
        <f aca="false">SUMIFS('Source'!$F:$F,'Source'!$A:$A,"160920 SALUS",'Source'!$B:$B,$A158)</f>
        <v>9</v>
      </c>
      <c r="E158" s="8" t="n">
        <f aca="false">D158*$J$5</f>
        <v>11.3684210526316</v>
      </c>
      <c r="F158" s="8" t="n">
        <f aca="false">E158-C158</f>
        <v>6.36842105263158</v>
      </c>
      <c r="G158" s="9" t="n">
        <f aca="false">IF(AND(C158=0,E158=0),0,IF(C158=0,"New",(E158-C158)/C158))</f>
        <v>1.27368421052632</v>
      </c>
      <c r="H158" s="8" t="n">
        <f aca="false">SUMIFS('Source'!$E:$E,'Source'!$A:$A,"160920 SALUS",'Source'!$B:$B,$A158)</f>
        <v>162.96</v>
      </c>
      <c r="I158" s="8" t="n">
        <f aca="false">SUMIFS('Source'!$G:$G,'Source'!$A:$A,"160920 SALUS",'Source'!$B:$B,$A158)</f>
        <v>303.55</v>
      </c>
      <c r="J158" s="8" t="n">
        <f aca="false">I158*$J$5</f>
        <v>383.431578947368</v>
      </c>
      <c r="K158" s="8" t="n">
        <f aca="false">J158-H158</f>
        <v>220.471578947368</v>
      </c>
      <c r="L158" s="9" t="n">
        <f aca="false">IF(AND(H158=0,J158=0),0,IF(H158=0,"New",(J158-H158)/H158))</f>
        <v>1.35291837842028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418</v>
      </c>
      <c r="B159" s="7" t="str">
        <f aca="false">IFERROR(INDEX('Source'!$C:$C,MATCH($A159,'Source'!$B:$B,0)),"")</f>
        <v>סט פלסטרים הידרוקולואידים 313</v>
      </c>
      <c r="C159" s="8" t="n">
        <f aca="false">SUMIFS('Source'!$D:$D,'Source'!$A:$A,"160920 SALUS",'Source'!$B:$B,$A159)</f>
        <v>10</v>
      </c>
      <c r="D159" s="8" t="n">
        <f aca="false">SUMIFS('Source'!$F:$F,'Source'!$A:$A,"160920 SALUS",'Source'!$B:$B,$A159)</f>
        <v>0</v>
      </c>
      <c r="E159" s="8" t="n">
        <f aca="false">D159*$J$5</f>
        <v>0</v>
      </c>
      <c r="F159" s="8" t="n">
        <f aca="false">E159-C159</f>
        <v>-10</v>
      </c>
      <c r="G159" s="9" t="n">
        <f aca="false">IF(AND(C159=0,E159=0),0,IF(C159=0,"New",(E159-C159)/C159))</f>
        <v>-1</v>
      </c>
      <c r="H159" s="8" t="n">
        <f aca="false">SUMIFS('Source'!$E:$E,'Source'!$A:$A,"160920 SALUS",'Source'!$B:$B,$A159)</f>
        <v>135.24</v>
      </c>
      <c r="I159" s="8" t="n">
        <f aca="false">SUMIFS('Source'!$G:$G,'Source'!$A:$A,"160920 SALUS",'Source'!$B:$B,$A159)</f>
        <v>0</v>
      </c>
      <c r="J159" s="8" t="n">
        <f aca="false">I159*$J$5</f>
        <v>0</v>
      </c>
      <c r="K159" s="8" t="n">
        <f aca="false">J159-H159</f>
        <v>-135.24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382</v>
      </c>
      <c r="B160" s="7" t="str">
        <f aca="false">IFERROR(INDEX('Source'!$C:$C,MATCH($A160,'Source'!$B:$B,0)),"")</f>
        <v>מגן קרסול+ עקב סגור+רצועות</v>
      </c>
      <c r="C160" s="8" t="n">
        <f aca="false">SUMIFS('Source'!$D:$D,'Source'!$A:$A,"160920 SALUS",'Source'!$B:$B,$A160)</f>
        <v>5</v>
      </c>
      <c r="D160" s="8" t="n">
        <f aca="false">SUMIFS('Source'!$F:$F,'Source'!$A:$A,"160920 SALUS",'Source'!$B:$B,$A160)</f>
        <v>10</v>
      </c>
      <c r="E160" s="8" t="n">
        <f aca="false">D160*$J$5</f>
        <v>12.6315789473684</v>
      </c>
      <c r="F160" s="8" t="n">
        <f aca="false">E160-C160</f>
        <v>7.63157894736842</v>
      </c>
      <c r="G160" s="9" t="n">
        <f aca="false">IF(AND(C160=0,E160=0),0,IF(C160=0,"New",(E160-C160)/C160))</f>
        <v>1.52631578947368</v>
      </c>
      <c r="H160" s="8" t="n">
        <f aca="false">SUMIFS('Source'!$E:$E,'Source'!$A:$A,"160920 SALUS",'Source'!$B:$B,$A160)</f>
        <v>142</v>
      </c>
      <c r="I160" s="8" t="n">
        <f aca="false">SUMIFS('Source'!$G:$G,'Source'!$A:$A,"160920 SALUS",'Source'!$B:$B,$A160)</f>
        <v>272.21</v>
      </c>
      <c r="J160" s="8" t="n">
        <f aca="false">I160*$J$5</f>
        <v>343.844210526316</v>
      </c>
      <c r="K160" s="8" t="n">
        <f aca="false">J160-H160</f>
        <v>201.844210526316</v>
      </c>
      <c r="L160" s="9" t="n">
        <f aca="false">IF(AND(H160=0,J160=0),0,IF(H160=0,"New",(J160-H160)/H160))</f>
        <v>1.421438102298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457</v>
      </c>
      <c r="B161" s="7" t="str">
        <f aca="false">IFERROR(INDEX('Source'!$C:$C,MATCH($A161,'Source'!$B:$B,0)),"")</f>
        <v>מגן קרסול+ עקב סגור+רצועות</v>
      </c>
      <c r="C161" s="8" t="n">
        <f aca="false">SUMIFS('Source'!$D:$D,'Source'!$A:$A,"160920 SALUS",'Source'!$B:$B,$A161)</f>
        <v>5</v>
      </c>
      <c r="D161" s="8" t="n">
        <f aca="false">SUMIFS('Source'!$F:$F,'Source'!$A:$A,"160920 SALUS",'Source'!$B:$B,$A161)</f>
        <v>10</v>
      </c>
      <c r="E161" s="8" t="n">
        <f aca="false">D161*$J$5</f>
        <v>12.6315789473684</v>
      </c>
      <c r="F161" s="8" t="n">
        <f aca="false">E161-C161</f>
        <v>7.63157894736842</v>
      </c>
      <c r="G161" s="9" t="n">
        <f aca="false">IF(AND(C161=0,E161=0),0,IF(C161=0,"New",(E161-C161)/C161))</f>
        <v>1.52631578947368</v>
      </c>
      <c r="H161" s="8" t="n">
        <f aca="false">SUMIFS('Source'!$E:$E,'Source'!$A:$A,"160920 SALUS",'Source'!$B:$B,$A161)</f>
        <v>142</v>
      </c>
      <c r="I161" s="8" t="n">
        <f aca="false">SUMIFS('Source'!$G:$G,'Source'!$A:$A,"160920 SALUS",'Source'!$B:$B,$A161)</f>
        <v>272.21</v>
      </c>
      <c r="J161" s="8" t="n">
        <f aca="false">I161*$J$5</f>
        <v>343.844210526316</v>
      </c>
      <c r="K161" s="8" t="n">
        <f aca="false">J161-H161</f>
        <v>201.844210526316</v>
      </c>
      <c r="L161" s="9" t="n">
        <f aca="false">IF(AND(H161=0,J161=0),0,IF(H161=0,"New",(J161-H161)/H161))</f>
        <v>1.421438102298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689</v>
      </c>
      <c r="B162" s="7" t="str">
        <f aca="false">IFERROR(INDEX('Source'!$C:$C,MATCH($A162,'Source'!$B:$B,0)),"")</f>
        <v>עקב סיליקון שטוח</v>
      </c>
      <c r="C162" s="8" t="n">
        <f aca="false">SUMIFS('Source'!$D:$D,'Source'!$A:$A,"160920 SALUS",'Source'!$B:$B,$A162)</f>
        <v>12</v>
      </c>
      <c r="D162" s="8" t="n">
        <f aca="false">SUMIFS('Source'!$F:$F,'Source'!$A:$A,"160920 SALUS",'Source'!$B:$B,$A162)</f>
        <v>20</v>
      </c>
      <c r="E162" s="8" t="n">
        <f aca="false">D162*$J$5</f>
        <v>25.2631578947368</v>
      </c>
      <c r="F162" s="8" t="n">
        <f aca="false">E162-C162</f>
        <v>13.2631578947368</v>
      </c>
      <c r="G162" s="9" t="n">
        <f aca="false">IF(AND(C162=0,E162=0),0,IF(C162=0,"New",(E162-C162)/C162))</f>
        <v>1.10526315789474</v>
      </c>
      <c r="H162" s="8" t="n">
        <f aca="false">SUMIFS('Source'!$E:$E,'Source'!$A:$A,"160920 SALUS",'Source'!$B:$B,$A162)</f>
        <v>288.86</v>
      </c>
      <c r="I162" s="8" t="n">
        <f aca="false">SUMIFS('Source'!$G:$G,'Source'!$A:$A,"160920 SALUS",'Source'!$B:$B,$A162)</f>
        <v>414.8</v>
      </c>
      <c r="J162" s="8" t="n">
        <f aca="false">I162*$J$5</f>
        <v>523.957894736842</v>
      </c>
      <c r="K162" s="8" t="n">
        <f aca="false">J162-H162</f>
        <v>235.097894736842</v>
      </c>
      <c r="L162" s="9" t="n">
        <f aca="false">IF(AND(H162=0,J162=0),0,IF(H162=0,"New",(J162-H162)/H162))</f>
        <v>0.813881793037603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502</v>
      </c>
      <c r="B163" s="7" t="str">
        <f aca="false">IFERROR(INDEX('Source'!$C:$C,MATCH($A163,'Source'!$B:$B,0)),"")</f>
        <v>מיישר בוהן</v>
      </c>
      <c r="C163" s="8" t="n">
        <f aca="false">SUMIFS('Source'!$D:$D,'Source'!$A:$A,"160920 SALUS",'Source'!$B:$B,$A163)</f>
        <v>15</v>
      </c>
      <c r="D163" s="8" t="n">
        <f aca="false">SUMIFS('Source'!$F:$F,'Source'!$A:$A,"160920 SALUS",'Source'!$B:$B,$A163)</f>
        <v>0</v>
      </c>
      <c r="E163" s="8" t="n">
        <f aca="false">D163*$J$5</f>
        <v>0</v>
      </c>
      <c r="F163" s="8" t="n">
        <f aca="false">E163-C163</f>
        <v>-15</v>
      </c>
      <c r="G163" s="9" t="n">
        <f aca="false">IF(AND(C163=0,E163=0),0,IF(C163=0,"New",(E163-C163)/C163))</f>
        <v>-1</v>
      </c>
      <c r="H163" s="8" t="n">
        <f aca="false">SUMIFS('Source'!$E:$E,'Source'!$A:$A,"160920 SALUS",'Source'!$B:$B,$A163)</f>
        <v>119.33</v>
      </c>
      <c r="I163" s="8" t="n">
        <f aca="false">SUMIFS('Source'!$G:$G,'Source'!$A:$A,"160920 SALUS",'Source'!$B:$B,$A163)</f>
        <v>0</v>
      </c>
      <c r="J163" s="8" t="n">
        <f aca="false">I163*$J$5</f>
        <v>0</v>
      </c>
      <c r="K163" s="8" t="n">
        <f aca="false">J163-H163</f>
        <v>-119.33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649</v>
      </c>
      <c r="B164" s="7" t="str">
        <f aca="false">IFERROR(INDEX('Source'!$C:$C,MATCH($A164,'Source'!$B:$B,0)),"")</f>
        <v>כרית סיליקון לעקב</v>
      </c>
      <c r="C164" s="8" t="n">
        <f aca="false">SUMIFS('Source'!$D:$D,'Source'!$A:$A,"160920 SALUS",'Source'!$B:$B,$A164)</f>
        <v>105</v>
      </c>
      <c r="D164" s="8" t="n">
        <f aca="false">SUMIFS('Source'!$F:$F,'Source'!$A:$A,"160920 SALUS",'Source'!$B:$B,$A164)</f>
        <v>100</v>
      </c>
      <c r="E164" s="8" t="n">
        <f aca="false">D164*$J$5</f>
        <v>126.315789473684</v>
      </c>
      <c r="F164" s="8" t="n">
        <f aca="false">E164-C164</f>
        <v>21.3157894736842</v>
      </c>
      <c r="G164" s="9" t="n">
        <f aca="false">IF(AND(C164=0,E164=0),0,IF(C164=0,"New",(E164-C164)/C164))</f>
        <v>0.203007518796992</v>
      </c>
      <c r="H164" s="8" t="n">
        <f aca="false">SUMIFS('Source'!$E:$E,'Source'!$A:$A,"160920 SALUS",'Source'!$B:$B,$A164)</f>
        <v>2712.14</v>
      </c>
      <c r="I164" s="8" t="n">
        <f aca="false">SUMIFS('Source'!$G:$G,'Source'!$A:$A,"160920 SALUS",'Source'!$B:$B,$A164)</f>
        <v>2830.72</v>
      </c>
      <c r="J164" s="8" t="n">
        <f aca="false">I164*$J$5</f>
        <v>3575.64631578947</v>
      </c>
      <c r="K164" s="8" t="n">
        <f aca="false">J164-H164</f>
        <v>863.506315789474</v>
      </c>
      <c r="L164" s="9" t="n">
        <f aca="false">IF(AND(H164=0,J164=0),0,IF(H164=0,"New",(J164-H164)/H164))</f>
        <v>0.318385598010971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405</v>
      </c>
      <c r="B165" s="7" t="str">
        <f aca="false">IFERROR(INDEX('Source'!$C:$C,MATCH($A165,'Source'!$B:$B,0)),"")</f>
        <v>אצבעון מפלסטיק  ליד</v>
      </c>
      <c r="C165" s="8" t="n">
        <f aca="false">SUMIFS('Source'!$D:$D,'Source'!$A:$A,"160920 SALUS",'Source'!$B:$B,$A165)</f>
        <v>320</v>
      </c>
      <c r="D165" s="8" t="n">
        <f aca="false">SUMIFS('Source'!$F:$F,'Source'!$A:$A,"160920 SALUS",'Source'!$B:$B,$A165)</f>
        <v>320</v>
      </c>
      <c r="E165" s="8" t="n">
        <f aca="false">D165*$J$5</f>
        <v>404.21052631579</v>
      </c>
      <c r="F165" s="8" t="n">
        <f aca="false">E165-C165</f>
        <v>84.2105263157895</v>
      </c>
      <c r="G165" s="9" t="n">
        <f aca="false">IF(AND(C165=0,E165=0),0,IF(C165=0,"New",(E165-C165)/C165))</f>
        <v>0.263157894736842</v>
      </c>
      <c r="H165" s="8" t="n">
        <f aca="false">SUMIFS('Source'!$E:$E,'Source'!$A:$A,"160920 SALUS",'Source'!$B:$B,$A165)</f>
        <v>2768.68</v>
      </c>
      <c r="I165" s="8" t="n">
        <f aca="false">SUMIFS('Source'!$G:$G,'Source'!$A:$A,"160920 SALUS",'Source'!$B:$B,$A165)</f>
        <v>2652.86</v>
      </c>
      <c r="J165" s="8" t="n">
        <f aca="false">I165*$J$5</f>
        <v>3350.98105263158</v>
      </c>
      <c r="K165" s="8" t="n">
        <f aca="false">J165-H165</f>
        <v>582.301052631579</v>
      </c>
      <c r="L165" s="9" t="n">
        <f aca="false">IF(AND(H165=0,J165=0),0,IF(H165=0,"New",(J165-H165)/H165))</f>
        <v>0.210317209873145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213</v>
      </c>
      <c r="B166" s="7" t="str">
        <f aca="false">IFERROR(INDEX('Source'!$C:$C,MATCH($A166,'Source'!$B:$B,0)),"")</f>
        <v>סד יד</v>
      </c>
      <c r="C166" s="8" t="n">
        <f aca="false">SUMIFS('Source'!$D:$D,'Source'!$A:$A,"160920 SALUS",'Source'!$B:$B,$A166)</f>
        <v>159</v>
      </c>
      <c r="D166" s="8" t="n">
        <f aca="false">SUMIFS('Source'!$F:$F,'Source'!$A:$A,"160920 SALUS",'Source'!$B:$B,$A166)</f>
        <v>155</v>
      </c>
      <c r="E166" s="8" t="n">
        <f aca="false">D166*$J$5</f>
        <v>195.789473684211</v>
      </c>
      <c r="F166" s="8" t="n">
        <f aca="false">E166-C166</f>
        <v>36.7894736842105</v>
      </c>
      <c r="G166" s="9" t="n">
        <f aca="false">IF(AND(C166=0,E166=0),0,IF(C166=0,"New",(E166-C166)/C166))</f>
        <v>0.231380337636544</v>
      </c>
      <c r="H166" s="8" t="n">
        <f aca="false">SUMIFS('Source'!$E:$E,'Source'!$A:$A,"160920 SALUS",'Source'!$B:$B,$A166)</f>
        <v>2642.53</v>
      </c>
      <c r="I166" s="8" t="n">
        <f aca="false">SUMIFS('Source'!$G:$G,'Source'!$A:$A,"160920 SALUS",'Source'!$B:$B,$A166)</f>
        <v>2532.72</v>
      </c>
      <c r="J166" s="8" t="n">
        <f aca="false">I166*$J$5</f>
        <v>3199.2252631579</v>
      </c>
      <c r="K166" s="8" t="n">
        <f aca="false">J166-H166</f>
        <v>556.695263157895</v>
      </c>
      <c r="L166" s="9" t="n">
        <f aca="false">IF(AND(H166=0,J166=0),0,IF(H166=0,"New",(J166-H166)/H166))</f>
        <v>0.210667528148364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250</v>
      </c>
      <c r="B167" s="7" t="str">
        <f aca="false">IFERROR(INDEX('Source'!$C:$C,MATCH($A167,'Source'!$B:$B,0)),"")</f>
        <v>מדרסי ג'ל וורק</v>
      </c>
      <c r="C167" s="8" t="n">
        <f aca="false">SUMIFS('Source'!$D:$D,'Source'!$A:$A,"160920 SALUS",'Source'!$B:$B,$A167)</f>
        <v>7</v>
      </c>
      <c r="D167" s="8" t="n">
        <f aca="false">SUMIFS('Source'!$F:$F,'Source'!$A:$A,"160920 SALUS",'Source'!$B:$B,$A167)</f>
        <v>10</v>
      </c>
      <c r="E167" s="8" t="n">
        <f aca="false">D167*$J$5</f>
        <v>12.6315789473684</v>
      </c>
      <c r="F167" s="8" t="n">
        <f aca="false">E167-C167</f>
        <v>5.63157894736842</v>
      </c>
      <c r="G167" s="9" t="n">
        <f aca="false">IF(AND(C167=0,E167=0),0,IF(C167=0,"New",(E167-C167)/C167))</f>
        <v>0.804511278195489</v>
      </c>
      <c r="H167" s="8" t="n">
        <f aca="false">SUMIFS('Source'!$E:$E,'Source'!$A:$A,"160920 SALUS",'Source'!$B:$B,$A167)</f>
        <v>249.6</v>
      </c>
      <c r="I167" s="8" t="n">
        <f aca="false">SUMIFS('Source'!$G:$G,'Source'!$A:$A,"160920 SALUS",'Source'!$B:$B,$A167)</f>
        <v>358.38</v>
      </c>
      <c r="J167" s="8" t="n">
        <f aca="false">I167*$J$5</f>
        <v>452.690526315789</v>
      </c>
      <c r="K167" s="8" t="n">
        <f aca="false">J167-H167</f>
        <v>203.090526315789</v>
      </c>
      <c r="L167" s="9" t="n">
        <f aca="false">IF(AND(H167=0,J167=0),0,IF(H167=0,"New",(J167-H167)/H167))</f>
        <v>0.813663967611336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590</v>
      </c>
      <c r="B168" s="7" t="str">
        <f aca="false">IFERROR(INDEX('Source'!$C:$C,MATCH($A168,'Source'!$B:$B,0)),"")</f>
        <v>רפידת אנטי-ריח</v>
      </c>
      <c r="C168" s="8" t="n">
        <f aca="false">SUMIFS('Source'!$D:$D,'Source'!$A:$A,"160920 SALUS",'Source'!$B:$B,$A168)</f>
        <v>10</v>
      </c>
      <c r="D168" s="8" t="n">
        <f aca="false">SUMIFS('Source'!$F:$F,'Source'!$A:$A,"160920 SALUS",'Source'!$B:$B,$A168)</f>
        <v>0</v>
      </c>
      <c r="E168" s="8" t="n">
        <f aca="false">D168*$J$5</f>
        <v>0</v>
      </c>
      <c r="F168" s="8" t="n">
        <f aca="false">E168-C168</f>
        <v>-10</v>
      </c>
      <c r="G168" s="9" t="n">
        <f aca="false">IF(AND(C168=0,E168=0),0,IF(C168=0,"New",(E168-C168)/C168))</f>
        <v>-1</v>
      </c>
      <c r="H168" s="8" t="n">
        <f aca="false">SUMIFS('Source'!$E:$E,'Source'!$A:$A,"160920 SALUS",'Source'!$B:$B,$A168)</f>
        <v>98.64</v>
      </c>
      <c r="I168" s="8" t="n">
        <f aca="false">SUMIFS('Source'!$G:$G,'Source'!$A:$A,"160920 SALUS",'Source'!$B:$B,$A168)</f>
        <v>0</v>
      </c>
      <c r="J168" s="8" t="n">
        <f aca="false">I168*$J$5</f>
        <v>0</v>
      </c>
      <c r="K168" s="8" t="n">
        <f aca="false">J168-H168</f>
        <v>-98.64</v>
      </c>
      <c r="L168" s="9" t="n">
        <f aca="false">IF(AND(H168=0,J168=0),0,IF(H168=0,"New",(J168-H168)/H168))</f>
        <v>-1</v>
      </c>
      <c r="M168" s="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false" outlineLevel="0" collapsed="false">
      <c r="A169" s="7" t="s">
        <v>735</v>
      </c>
      <c r="B169" s="7" t="str">
        <f aca="false">IFERROR(INDEX('Source'!$C:$C,MATCH($A169,'Source'!$B:$B,0)),"")</f>
        <v>רפידה בולמת זעזועים</v>
      </c>
      <c r="C169" s="8" t="n">
        <f aca="false">SUMIFS('Source'!$D:$D,'Source'!$A:$A,"160920 SALUS",'Source'!$B:$B,$A169)</f>
        <v>10</v>
      </c>
      <c r="D169" s="8" t="n">
        <f aca="false">SUMIFS('Source'!$F:$F,'Source'!$A:$A,"160920 SALUS",'Source'!$B:$B,$A169)</f>
        <v>0</v>
      </c>
      <c r="E169" s="8" t="n">
        <f aca="false">D169*$J$5</f>
        <v>0</v>
      </c>
      <c r="F169" s="8" t="n">
        <f aca="false">E169-C169</f>
        <v>-10</v>
      </c>
      <c r="G169" s="9" t="n">
        <f aca="false">IF(AND(C169=0,E169=0),0,IF(C169=0,"New",(E169-C169)/C169))</f>
        <v>-1</v>
      </c>
      <c r="H169" s="8" t="n">
        <f aca="false">SUMIFS('Source'!$E:$E,'Source'!$A:$A,"160920 SALUS",'Source'!$B:$B,$A169)</f>
        <v>98.64</v>
      </c>
      <c r="I169" s="8" t="n">
        <f aca="false">SUMIFS('Source'!$G:$G,'Source'!$A:$A,"160920 SALUS",'Source'!$B:$B,$A169)</f>
        <v>0</v>
      </c>
      <c r="J169" s="8" t="n">
        <f aca="false">I169*$J$5</f>
        <v>0</v>
      </c>
      <c r="K169" s="8" t="n">
        <f aca="false">J169-H169</f>
        <v>-98.64</v>
      </c>
      <c r="L169" s="9" t="n">
        <f aca="false">IF(AND(H169=0,J169=0),0,IF(H169=0,"New",(J169-H169)/H169))</f>
        <v>-1</v>
      </c>
      <c r="M169" s="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false" outlineLevel="0" collapsed="false">
      <c r="A170" s="7" t="s">
        <v>682</v>
      </c>
      <c r="B170" s="7" t="str">
        <f aca="false">IFERROR(INDEX('Source'!$C:$C,MATCH($A170,'Source'!$B:$B,0)),"")</f>
        <v>מגן ירך</v>
      </c>
      <c r="C170" s="8" t="n">
        <f aca="false">SUMIFS('Source'!$D:$D,'Source'!$A:$A,"160920 SALUS",'Source'!$B:$B,$A170)</f>
        <v>34</v>
      </c>
      <c r="D170" s="8" t="n">
        <f aca="false">SUMIFS('Source'!$F:$F,'Source'!$A:$A,"160920 SALUS",'Source'!$B:$B,$A170)</f>
        <v>25</v>
      </c>
      <c r="E170" s="8" t="n">
        <f aca="false">D170*$J$5</f>
        <v>31.5789473684211</v>
      </c>
      <c r="F170" s="8" t="n">
        <f aca="false">E170-C170</f>
        <v>-2.42105263157895</v>
      </c>
      <c r="G170" s="9" t="n">
        <f aca="false">IF(AND(C170=0,E170=0),0,IF(C170=0,"New",(E170-C170)/C170))</f>
        <v>-0.0712074303405573</v>
      </c>
      <c r="H170" s="8" t="n">
        <f aca="false">SUMIFS('Source'!$E:$E,'Source'!$A:$A,"160920 SALUS",'Source'!$B:$B,$A170)</f>
        <v>382.16</v>
      </c>
      <c r="I170" s="8" t="n">
        <f aca="false">SUMIFS('Source'!$G:$G,'Source'!$A:$A,"160920 SALUS",'Source'!$B:$B,$A170)</f>
        <v>285.29</v>
      </c>
      <c r="J170" s="8" t="n">
        <f aca="false">I170*$J$5</f>
        <v>360.366315789474</v>
      </c>
      <c r="K170" s="8" t="n">
        <f aca="false">J170-H170</f>
        <v>-21.7936842105264</v>
      </c>
      <c r="L170" s="9" t="n">
        <f aca="false">IF(AND(H170=0,J170=0),0,IF(H170=0,"New",(J170-H170)/H170))</f>
        <v>-0.0570276434229808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515</v>
      </c>
      <c r="B171" s="7" t="str">
        <f aca="false">IFERROR(INDEX('Source'!$C:$C,MATCH($A171,'Source'!$B:$B,0)),"")</f>
        <v>טבעת אלסטית מסיליקון</v>
      </c>
      <c r="C171" s="8" t="n">
        <f aca="false">SUMIFS('Source'!$D:$D,'Source'!$A:$A,"160920 SALUS",'Source'!$B:$B,$A171)</f>
        <v>0</v>
      </c>
      <c r="D171" s="8" t="n">
        <f aca="false">SUMIFS('Source'!$F:$F,'Source'!$A:$A,"160920 SALUS",'Source'!$B:$B,$A171)</f>
        <v>15</v>
      </c>
      <c r="E171" s="8" t="n">
        <f aca="false">D171*$J$5</f>
        <v>18.9473684210526</v>
      </c>
      <c r="F171" s="8" t="n">
        <f aca="false">E171-C171</f>
        <v>18.9473684210526</v>
      </c>
      <c r="G171" s="9" t="str">
        <f aca="false">IF(AND(C171=0,E171=0),0,IF(C171=0,"New",(E171-C171)/C171))</f>
        <v>New</v>
      </c>
      <c r="H171" s="8" t="n">
        <f aca="false">SUMIFS('Source'!$E:$E,'Source'!$A:$A,"160920 SALUS",'Source'!$B:$B,$A171)</f>
        <v>0</v>
      </c>
      <c r="I171" s="8" t="n">
        <f aca="false">SUMIFS('Source'!$G:$G,'Source'!$A:$A,"160920 SALUS",'Source'!$B:$B,$A171)</f>
        <v>96.3</v>
      </c>
      <c r="J171" s="8" t="n">
        <f aca="false">I171*$J$5</f>
        <v>121.642105263158</v>
      </c>
      <c r="K171" s="8" t="n">
        <f aca="false">J171-H171</f>
        <v>121.642105263158</v>
      </c>
      <c r="L171" s="9" t="str">
        <f aca="false">IF(AND(H171=0,J171=0),0,IF(H171=0,"New",(J171-H171)/H171))</f>
        <v>New</v>
      </c>
      <c r="M171" s="7" t="str">
        <f aca="false">IF(AND(OR(C171&lt;&gt;0,H171&lt;&gt;0),D171=0,I171=0),"DROP",IF(AND(OR(D171&lt;&gt;0,I171&lt;&gt;0),C171=0,H171=0),"NEW",""))</f>
        <v>NEW</v>
      </c>
    </row>
    <row r="172" customFormat="false" ht="15" hidden="false" customHeight="false" outlineLevel="0" collapsed="false">
      <c r="A172" s="7" t="s">
        <v>394</v>
      </c>
      <c r="B172" s="7" t="str">
        <f aca="false">IFERROR(INDEX('Source'!$C:$C,MATCH($A172,'Source'!$B:$B,0)),"")</f>
        <v>מגן קרסול+ עקב סגור+רצועות</v>
      </c>
      <c r="C172" s="8" t="n">
        <f aca="false">SUMIFS('Source'!$D:$D,'Source'!$A:$A,"160920 SALUS",'Source'!$B:$B,$A172)</f>
        <v>39</v>
      </c>
      <c r="D172" s="8" t="n">
        <f aca="false">SUMIFS('Source'!$F:$F,'Source'!$A:$A,"160920 SALUS",'Source'!$B:$B,$A172)</f>
        <v>40</v>
      </c>
      <c r="E172" s="8" t="n">
        <f aca="false">D172*$J$5</f>
        <v>50.5263157894737</v>
      </c>
      <c r="F172" s="8" t="n">
        <f aca="false">E172-C172</f>
        <v>11.5263157894737</v>
      </c>
      <c r="G172" s="9" t="n">
        <f aca="false">IF(AND(C172=0,E172=0),0,IF(C172=0,"New",(E172-C172)/C172))</f>
        <v>0.295546558704453</v>
      </c>
      <c r="H172" s="8" t="n">
        <f aca="false">SUMIFS('Source'!$E:$E,'Source'!$A:$A,"160920 SALUS",'Source'!$B:$B,$A172)</f>
        <v>1184.26</v>
      </c>
      <c r="I172" s="8" t="n">
        <f aca="false">SUMIFS('Source'!$G:$G,'Source'!$A:$A,"160920 SALUS",'Source'!$B:$B,$A172)</f>
        <v>1088.85</v>
      </c>
      <c r="J172" s="8" t="n">
        <f aca="false">I172*$J$5</f>
        <v>1375.38947368421</v>
      </c>
      <c r="K172" s="8" t="n">
        <f aca="false">J172-H172</f>
        <v>191.12947368421</v>
      </c>
      <c r="L172" s="9" t="n">
        <f aca="false">IF(AND(H172=0,J172=0),0,IF(H172=0,"New",(J172-H172)/H172))</f>
        <v>0.16139147964485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801</v>
      </c>
      <c r="B173" s="7" t="str">
        <f aca="false">IFERROR(INDEX('Source'!$C:$C,MATCH($A173,'Source'!$B:$B,0)),"")</f>
        <v>מגן מרפק</v>
      </c>
      <c r="C173" s="8" t="n">
        <f aca="false">SUMIFS('Source'!$D:$D,'Source'!$A:$A,"160920 SALUS",'Source'!$B:$B,$A173)</f>
        <v>5</v>
      </c>
      <c r="D173" s="8" t="n">
        <f aca="false">SUMIFS('Source'!$F:$F,'Source'!$A:$A,"160920 SALUS",'Source'!$B:$B,$A173)</f>
        <v>15</v>
      </c>
      <c r="E173" s="8" t="n">
        <f aca="false">D173*$J$5</f>
        <v>18.9473684210526</v>
      </c>
      <c r="F173" s="8" t="n">
        <f aca="false">E173-C173</f>
        <v>13.9473684210526</v>
      </c>
      <c r="G173" s="9" t="n">
        <f aca="false">IF(AND(C173=0,E173=0),0,IF(C173=0,"New",(E173-C173)/C173))</f>
        <v>2.78947368421053</v>
      </c>
      <c r="H173" s="8" t="n">
        <f aca="false">SUMIFS('Source'!$E:$E,'Source'!$A:$A,"160920 SALUS",'Source'!$B:$B,$A173)</f>
        <v>50.71</v>
      </c>
      <c r="I173" s="8" t="n">
        <f aca="false">SUMIFS('Source'!$G:$G,'Source'!$A:$A,"160920 SALUS",'Source'!$B:$B,$A173)</f>
        <v>145.83</v>
      </c>
      <c r="J173" s="8" t="n">
        <f aca="false">I173*$J$5</f>
        <v>184.206315789474</v>
      </c>
      <c r="K173" s="8" t="n">
        <f aca="false">J173-H173</f>
        <v>133.496315789474</v>
      </c>
      <c r="L173" s="9" t="n">
        <f aca="false">IF(AND(H173=0,J173=0),0,IF(H173=0,"New",(J173-H173)/H173))</f>
        <v>2.63254418831539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580</v>
      </c>
      <c r="B174" s="7" t="str">
        <f aca="false">IFERROR(INDEX('Source'!$C:$C,MATCH($A174,'Source'!$B:$B,0)),"")</f>
        <v>מגן ברך רגיל</v>
      </c>
      <c r="C174" s="8" t="n">
        <f aca="false">SUMIFS('Source'!$D:$D,'Source'!$A:$A,"160920 SALUS",'Source'!$B:$B,$A174)</f>
        <v>126</v>
      </c>
      <c r="D174" s="8" t="n">
        <f aca="false">SUMIFS('Source'!$F:$F,'Source'!$A:$A,"160920 SALUS",'Source'!$B:$B,$A174)</f>
        <v>137</v>
      </c>
      <c r="E174" s="8" t="n">
        <f aca="false">D174*$J$5</f>
        <v>173.052631578947</v>
      </c>
      <c r="F174" s="8" t="n">
        <f aca="false">E174-C174</f>
        <v>47.0526315789474</v>
      </c>
      <c r="G174" s="9" t="n">
        <f aca="false">IF(AND(C174=0,E174=0),0,IF(C174=0,"New",(E174-C174)/C174))</f>
        <v>0.3734335839599</v>
      </c>
      <c r="H174" s="8" t="n">
        <f aca="false">SUMIFS('Source'!$E:$E,'Source'!$A:$A,"160920 SALUS",'Source'!$B:$B,$A174)</f>
        <v>1319.05</v>
      </c>
      <c r="I174" s="8" t="n">
        <f aca="false">SUMIFS('Source'!$G:$G,'Source'!$A:$A,"160920 SALUS",'Source'!$B:$B,$A174)</f>
        <v>1413.77</v>
      </c>
      <c r="J174" s="8" t="n">
        <f aca="false">I174*$J$5</f>
        <v>1785.81473684211</v>
      </c>
      <c r="K174" s="8" t="n">
        <f aca="false">J174-H174</f>
        <v>466.764736842105</v>
      </c>
      <c r="L174" s="9" t="n">
        <f aca="false">IF(AND(H174=0,J174=0),0,IF(H174=0,"New",(J174-H174)/H174))</f>
        <v>0.353864324204621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135</v>
      </c>
      <c r="B175" s="7" t="str">
        <f aca="false">IFERROR(INDEX('Source'!$C:$C,MATCH($A175,'Source'!$B:$B,0)),"")</f>
        <v>מגן ברך עם תמיכות</v>
      </c>
      <c r="C175" s="8" t="n">
        <f aca="false">SUMIFS('Source'!$D:$D,'Source'!$A:$A,"160920 SALUS",'Source'!$B:$B,$A175)</f>
        <v>55</v>
      </c>
      <c r="D175" s="8" t="n">
        <f aca="false">SUMIFS('Source'!$F:$F,'Source'!$A:$A,"160920 SALUS",'Source'!$B:$B,$A175)</f>
        <v>55</v>
      </c>
      <c r="E175" s="8" t="n">
        <f aca="false">D175*$J$5</f>
        <v>69.4736842105263</v>
      </c>
      <c r="F175" s="8" t="n">
        <f aca="false">E175-C175</f>
        <v>14.4736842105263</v>
      </c>
      <c r="G175" s="9" t="n">
        <f aca="false">IF(AND(C175=0,E175=0),0,IF(C175=0,"New",(E175-C175)/C175))</f>
        <v>0.263157894736842</v>
      </c>
      <c r="H175" s="8" t="n">
        <f aca="false">SUMIFS('Source'!$E:$E,'Source'!$A:$A,"160920 SALUS",'Source'!$B:$B,$A175)</f>
        <v>1725.6</v>
      </c>
      <c r="I175" s="8" t="n">
        <f aca="false">SUMIFS('Source'!$G:$G,'Source'!$A:$A,"160920 SALUS",'Source'!$B:$B,$A175)</f>
        <v>1815.67</v>
      </c>
      <c r="J175" s="8" t="n">
        <f aca="false">I175*$J$5</f>
        <v>2293.47789473684</v>
      </c>
      <c r="K175" s="8" t="n">
        <f aca="false">J175-H175</f>
        <v>567.877894736842</v>
      </c>
      <c r="L175" s="9" t="n">
        <f aca="false">IF(AND(H175=0,J175=0),0,IF(H175=0,"New",(J175-H175)/H175))</f>
        <v>0.329090110533636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543</v>
      </c>
      <c r="B176" s="7" t="str">
        <f aca="false">IFERROR(INDEX('Source'!$C:$C,MATCH($A176,'Source'!$B:$B,0)),"")</f>
        <v>מישר כתפיים</v>
      </c>
      <c r="C176" s="8" t="n">
        <f aca="false">SUMIFS('Source'!$D:$D,'Source'!$A:$A,"160920 SALUS",'Source'!$B:$B,$A176)</f>
        <v>2</v>
      </c>
      <c r="D176" s="8" t="n">
        <f aca="false">SUMIFS('Source'!$F:$F,'Source'!$A:$A,"160920 SALUS",'Source'!$B:$B,$A176)</f>
        <v>3</v>
      </c>
      <c r="E176" s="8" t="n">
        <f aca="false">D176*$J$5</f>
        <v>3.78947368421053</v>
      </c>
      <c r="F176" s="8" t="n">
        <f aca="false">E176-C176</f>
        <v>1.78947368421053</v>
      </c>
      <c r="G176" s="9" t="n">
        <f aca="false">IF(AND(C176=0,E176=0),0,IF(C176=0,"New",(E176-C176)/C176))</f>
        <v>0.894736842105263</v>
      </c>
      <c r="H176" s="8" t="n">
        <f aca="false">SUMIFS('Source'!$E:$E,'Source'!$A:$A,"160920 SALUS",'Source'!$B:$B,$A176)</f>
        <v>123.61</v>
      </c>
      <c r="I176" s="8" t="n">
        <f aca="false">SUMIFS('Source'!$G:$G,'Source'!$A:$A,"160920 SALUS",'Source'!$B:$B,$A176)</f>
        <v>209.56</v>
      </c>
      <c r="J176" s="8" t="n">
        <f aca="false">I176*$J$5</f>
        <v>264.707368421053</v>
      </c>
      <c r="K176" s="8" t="n">
        <f aca="false">J176-H176</f>
        <v>141.097368421053</v>
      </c>
      <c r="L176" s="9" t="n">
        <f aca="false">IF(AND(H176=0,J176=0),0,IF(H176=0,"New",(J176-H176)/H176))</f>
        <v>1.14147211731294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661</v>
      </c>
      <c r="B177" s="7" t="str">
        <f aca="false">IFERROR(INDEX('Source'!$C:$C,MATCH($A177,'Source'!$B:$B,0)),"")</f>
        <v>רפידת נוחות</v>
      </c>
      <c r="C177" s="8" t="n">
        <f aca="false">SUMIFS('Source'!$D:$D,'Source'!$A:$A,"160920 SALUS",'Source'!$B:$B,$A177)</f>
        <v>10</v>
      </c>
      <c r="D177" s="8" t="n">
        <f aca="false">SUMIFS('Source'!$F:$F,'Source'!$A:$A,"160920 SALUS",'Source'!$B:$B,$A177)</f>
        <v>0</v>
      </c>
      <c r="E177" s="8" t="n">
        <f aca="false">D177*$J$5</f>
        <v>0</v>
      </c>
      <c r="F177" s="8" t="n">
        <f aca="false">E177-C177</f>
        <v>-10</v>
      </c>
      <c r="G177" s="9" t="n">
        <f aca="false">IF(AND(C177=0,E177=0),0,IF(C177=0,"New",(E177-C177)/C177))</f>
        <v>-1</v>
      </c>
      <c r="H177" s="8" t="n">
        <f aca="false">SUMIFS('Source'!$E:$E,'Source'!$A:$A,"160920 SALUS",'Source'!$B:$B,$A177)</f>
        <v>82.73</v>
      </c>
      <c r="I177" s="8" t="n">
        <f aca="false">SUMIFS('Source'!$G:$G,'Source'!$A:$A,"160920 SALUS",'Source'!$B:$B,$A177)</f>
        <v>0</v>
      </c>
      <c r="J177" s="8" t="n">
        <f aca="false">I177*$J$5</f>
        <v>0</v>
      </c>
      <c r="K177" s="8" t="n">
        <f aca="false">J177-H177</f>
        <v>-82.73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566</v>
      </c>
      <c r="B178" s="7" t="str">
        <f aca="false">IFERROR(INDEX('Source'!$C:$C,MATCH($A178,'Source'!$B:$B,0)),"")</f>
        <v>רפידת מגבת כותנה</v>
      </c>
      <c r="C178" s="8" t="n">
        <f aca="false">SUMIFS('Source'!$D:$D,'Source'!$A:$A,"160920 SALUS",'Source'!$B:$B,$A178)</f>
        <v>10</v>
      </c>
      <c r="D178" s="8" t="n">
        <f aca="false">SUMIFS('Source'!$F:$F,'Source'!$A:$A,"160920 SALUS",'Source'!$B:$B,$A178)</f>
        <v>0</v>
      </c>
      <c r="E178" s="8" t="n">
        <f aca="false">D178*$J$5</f>
        <v>0</v>
      </c>
      <c r="F178" s="8" t="n">
        <f aca="false">E178-C178</f>
        <v>-10</v>
      </c>
      <c r="G178" s="9" t="n">
        <f aca="false">IF(AND(C178=0,E178=0),0,IF(C178=0,"New",(E178-C178)/C178))</f>
        <v>-1</v>
      </c>
      <c r="H178" s="8" t="n">
        <f aca="false">SUMIFS('Source'!$E:$E,'Source'!$A:$A,"160920 SALUS",'Source'!$B:$B,$A178)</f>
        <v>82.73</v>
      </c>
      <c r="I178" s="8" t="n">
        <f aca="false">SUMIFS('Source'!$G:$G,'Source'!$A:$A,"160920 SALUS",'Source'!$B:$B,$A178)</f>
        <v>0</v>
      </c>
      <c r="J178" s="8" t="n">
        <f aca="false">I178*$J$5</f>
        <v>0</v>
      </c>
      <c r="K178" s="8" t="n">
        <f aca="false">J178-H178</f>
        <v>-82.73</v>
      </c>
      <c r="L178" s="9" t="n">
        <f aca="false">IF(AND(H178=0,J178=0),0,IF(H178=0,"New",(J178-H178)/H178))</f>
        <v>-1</v>
      </c>
      <c r="M178" s="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false" outlineLevel="0" collapsed="false">
      <c r="A179" s="7" t="s">
        <v>589</v>
      </c>
      <c r="B179" s="7" t="str">
        <f aca="false">IFERROR(INDEX('Source'!$C:$C,MATCH($A179,'Source'!$B:$B,0)),"")</f>
        <v>מישר כתפיים</v>
      </c>
      <c r="C179" s="8" t="n">
        <f aca="false">SUMIFS('Source'!$D:$D,'Source'!$A:$A,"160920 SALUS",'Source'!$B:$B,$A179)</f>
        <v>6</v>
      </c>
      <c r="D179" s="8" t="n">
        <f aca="false">SUMIFS('Source'!$F:$F,'Source'!$A:$A,"160920 SALUS",'Source'!$B:$B,$A179)</f>
        <v>7</v>
      </c>
      <c r="E179" s="8" t="n">
        <f aca="false">D179*$J$5</f>
        <v>8.84210526315789</v>
      </c>
      <c r="F179" s="8" t="n">
        <f aca="false">E179-C179</f>
        <v>2.84210526315789</v>
      </c>
      <c r="G179" s="9" t="n">
        <f aca="false">IF(AND(C179=0,E179=0),0,IF(C179=0,"New",(E179-C179)/C179))</f>
        <v>0.473684210526316</v>
      </c>
      <c r="H179" s="8" t="n">
        <f aca="false">SUMIFS('Source'!$E:$E,'Source'!$A:$A,"160920 SALUS",'Source'!$B:$B,$A179)</f>
        <v>412.53</v>
      </c>
      <c r="I179" s="8" t="n">
        <f aca="false">SUMIFS('Source'!$G:$G,'Source'!$A:$A,"160920 SALUS",'Source'!$B:$B,$A179)</f>
        <v>488.97</v>
      </c>
      <c r="J179" s="8" t="n">
        <f aca="false">I179*$J$5</f>
        <v>617.646315789474</v>
      </c>
      <c r="K179" s="8" t="n">
        <f aca="false">J179-H179</f>
        <v>205.116315789474</v>
      </c>
      <c r="L179" s="9" t="n">
        <f aca="false">IF(AND(H179=0,J179=0),0,IF(H179=0,"New",(J179-H179)/H179))</f>
        <v>0.497215513512893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134</v>
      </c>
      <c r="B180" s="7" t="str">
        <f aca="false">IFERROR(INDEX('Source'!$C:$C,MATCH($A180,'Source'!$B:$B,0)),"")</f>
        <v>מ. בוניון + מפריד אצבע</v>
      </c>
      <c r="C180" s="8" t="n">
        <f aca="false">SUMIFS('Source'!$D:$D,'Source'!$A:$A,"160920 SALUS",'Source'!$B:$B,$A180)</f>
        <v>40</v>
      </c>
      <c r="D180" s="8" t="n">
        <f aca="false">SUMIFS('Source'!$F:$F,'Source'!$A:$A,"160920 SALUS",'Source'!$B:$B,$A180)</f>
        <v>35</v>
      </c>
      <c r="E180" s="8" t="n">
        <f aca="false">D180*$J$5</f>
        <v>44.2105263157895</v>
      </c>
      <c r="F180" s="8" t="n">
        <f aca="false">E180-C180</f>
        <v>4.21052631578947</v>
      </c>
      <c r="G180" s="9" t="n">
        <f aca="false">IF(AND(C180=0,E180=0),0,IF(C180=0,"New",(E180-C180)/C180))</f>
        <v>0.105263157894737</v>
      </c>
      <c r="H180" s="8" t="n">
        <f aca="false">SUMIFS('Source'!$E:$E,'Source'!$A:$A,"160920 SALUS",'Source'!$B:$B,$A180)</f>
        <v>611.26</v>
      </c>
      <c r="I180" s="8" t="n">
        <f aca="false">SUMIFS('Source'!$G:$G,'Source'!$A:$A,"160920 SALUS",'Source'!$B:$B,$A180)</f>
        <v>538.91</v>
      </c>
      <c r="J180" s="8" t="n">
        <f aca="false">I180*$J$5</f>
        <v>680.728421052632</v>
      </c>
      <c r="K180" s="8" t="n">
        <f aca="false">J180-H180</f>
        <v>69.4684210526315</v>
      </c>
      <c r="L180" s="9" t="n">
        <f aca="false">IF(AND(H180=0,J180=0),0,IF(H180=0,"New",(J180-H180)/H180))</f>
        <v>0.113647909322762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497</v>
      </c>
      <c r="B181" s="7" t="str">
        <f aca="false">IFERROR(INDEX('Source'!$C:$C,MATCH($A181,'Source'!$B:$B,0)),"")</f>
        <v>מגן קרסול פתוח</v>
      </c>
      <c r="C181" s="8" t="n">
        <f aca="false">SUMIFS('Source'!$D:$D,'Source'!$A:$A,"160920 SALUS",'Source'!$B:$B,$A181)</f>
        <v>54</v>
      </c>
      <c r="D181" s="8" t="n">
        <f aca="false">SUMIFS('Source'!$F:$F,'Source'!$A:$A,"160920 SALUS",'Source'!$B:$B,$A181)</f>
        <v>50</v>
      </c>
      <c r="E181" s="8" t="n">
        <f aca="false">D181*$J$5</f>
        <v>63.1578947368421</v>
      </c>
      <c r="F181" s="8" t="n">
        <f aca="false">E181-C181</f>
        <v>9.1578947368421</v>
      </c>
      <c r="G181" s="9" t="n">
        <f aca="false">IF(AND(C181=0,E181=0),0,IF(C181=0,"New",(E181-C181)/C181))</f>
        <v>0.169590643274854</v>
      </c>
      <c r="H181" s="8" t="n">
        <f aca="false">SUMIFS('Source'!$E:$E,'Source'!$A:$A,"160920 SALUS",'Source'!$B:$B,$A181)</f>
        <v>575.09</v>
      </c>
      <c r="I181" s="8" t="n">
        <f aca="false">SUMIFS('Source'!$G:$G,'Source'!$A:$A,"160920 SALUS",'Source'!$B:$B,$A181)</f>
        <v>503.52</v>
      </c>
      <c r="J181" s="8" t="n">
        <f aca="false">I181*$J$5</f>
        <v>636.025263157895</v>
      </c>
      <c r="K181" s="8" t="n">
        <f aca="false">J181-H181</f>
        <v>60.9352631578947</v>
      </c>
      <c r="L181" s="9" t="n">
        <f aca="false">IF(AND(H181=0,J181=0),0,IF(H181=0,"New",(J181-H181)/H181))</f>
        <v>0.105957786012441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306</v>
      </c>
      <c r="B182" s="7" t="str">
        <f aca="false">IFERROR(INDEX('Source'!$C:$C,MATCH($A182,'Source'!$B:$B,0)),"")</f>
        <v>מדרסי ג'ל קומפורט</v>
      </c>
      <c r="C182" s="8" t="n">
        <f aca="false">SUMIFS('Source'!$D:$D,'Source'!$A:$A,"160920 SALUS",'Source'!$B:$B,$A182)</f>
        <v>7</v>
      </c>
      <c r="D182" s="8" t="n">
        <f aca="false">SUMIFS('Source'!$F:$F,'Source'!$A:$A,"160920 SALUS",'Source'!$B:$B,$A182)</f>
        <v>5</v>
      </c>
      <c r="E182" s="8" t="n">
        <f aca="false">D182*$J$5</f>
        <v>6.31578947368421</v>
      </c>
      <c r="F182" s="8" t="n">
        <f aca="false">E182-C182</f>
        <v>-0.684210526315789</v>
      </c>
      <c r="G182" s="9" t="n">
        <f aca="false">IF(AND(C182=0,E182=0),0,IF(C182=0,"New",(E182-C182)/C182))</f>
        <v>-0.0977443609022556</v>
      </c>
      <c r="H182" s="8" t="n">
        <f aca="false">SUMIFS('Source'!$E:$E,'Source'!$A:$A,"160920 SALUS",'Source'!$B:$B,$A182)</f>
        <v>249.6</v>
      </c>
      <c r="I182" s="8" t="n">
        <f aca="false">SUMIFS('Source'!$G:$G,'Source'!$A:$A,"160920 SALUS",'Source'!$B:$B,$A182)</f>
        <v>179.19</v>
      </c>
      <c r="J182" s="8" t="n">
        <f aca="false">I182*$J$5</f>
        <v>226.345263157895</v>
      </c>
      <c r="K182" s="8" t="n">
        <f aca="false">J182-H182</f>
        <v>-23.2547368421053</v>
      </c>
      <c r="L182" s="9" t="n">
        <f aca="false">IF(AND(H182=0,J182=0),0,IF(H182=0,"New",(J182-H182)/H182))</f>
        <v>-0.093168016194332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495</v>
      </c>
      <c r="B183" s="7" t="str">
        <f aca="false">IFERROR(INDEX('Source'!$C:$C,MATCH($A183,'Source'!$B:$B,0)),"")</f>
        <v>מדרסי ג'ל וורק</v>
      </c>
      <c r="C183" s="8" t="n">
        <f aca="false">SUMIFS('Source'!$D:$D,'Source'!$A:$A,"160920 SALUS",'Source'!$B:$B,$A183)</f>
        <v>6</v>
      </c>
      <c r="D183" s="8" t="n">
        <f aca="false">SUMIFS('Source'!$F:$F,'Source'!$A:$A,"160920 SALUS",'Source'!$B:$B,$A183)</f>
        <v>5</v>
      </c>
      <c r="E183" s="8" t="n">
        <f aca="false">D183*$J$5</f>
        <v>6.31578947368421</v>
      </c>
      <c r="F183" s="8" t="n">
        <f aca="false">E183-C183</f>
        <v>0.315789473684211</v>
      </c>
      <c r="G183" s="9" t="n">
        <f aca="false">IF(AND(C183=0,E183=0),0,IF(C183=0,"New",(E183-C183)/C183))</f>
        <v>0.0526315789473684</v>
      </c>
      <c r="H183" s="8" t="n">
        <f aca="false">SUMIFS('Source'!$E:$E,'Source'!$A:$A,"160920 SALUS",'Source'!$B:$B,$A183)</f>
        <v>249.57</v>
      </c>
      <c r="I183" s="8" t="n">
        <f aca="false">SUMIFS('Source'!$G:$G,'Source'!$A:$A,"160920 SALUS",'Source'!$B:$B,$A183)</f>
        <v>179.19</v>
      </c>
      <c r="J183" s="8" t="n">
        <f aca="false">I183*$J$5</f>
        <v>226.345263157895</v>
      </c>
      <c r="K183" s="8" t="n">
        <f aca="false">J183-H183</f>
        <v>-23.2247368421053</v>
      </c>
      <c r="L183" s="9" t="n">
        <f aca="false">IF(AND(H183=0,J183=0),0,IF(H183=0,"New",(J183-H183)/H183))</f>
        <v>-0.0930590088636666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494</v>
      </c>
      <c r="B184" s="7" t="str">
        <f aca="false">IFERROR(INDEX('Source'!$C:$C,MATCH($A184,'Source'!$B:$B,0)),"")</f>
        <v>בננה לתמכת אצבעו</v>
      </c>
      <c r="C184" s="8" t="n">
        <f aca="false">SUMIFS('Source'!$D:$D,'Source'!$A:$A,"160920 SALUS",'Source'!$B:$B,$A184)</f>
        <v>70</v>
      </c>
      <c r="D184" s="8" t="n">
        <f aca="false">SUMIFS('Source'!$F:$F,'Source'!$A:$A,"160920 SALUS",'Source'!$B:$B,$A184)</f>
        <v>70</v>
      </c>
      <c r="E184" s="8" t="n">
        <f aca="false">D184*$J$5</f>
        <v>88.421052631579</v>
      </c>
      <c r="F184" s="8" t="n">
        <f aca="false">E184-C184</f>
        <v>18.4210526315789</v>
      </c>
      <c r="G184" s="9" t="n">
        <f aca="false">IF(AND(C184=0,E184=0),0,IF(C184=0,"New",(E184-C184)/C184))</f>
        <v>0.263157894736842</v>
      </c>
      <c r="H184" s="8" t="n">
        <f aca="false">SUMIFS('Source'!$E:$E,'Source'!$A:$A,"160920 SALUS",'Source'!$B:$B,$A184)</f>
        <v>830.35</v>
      </c>
      <c r="I184" s="8" t="n">
        <f aca="false">SUMIFS('Source'!$G:$G,'Source'!$A:$A,"160920 SALUS",'Source'!$B:$B,$A184)</f>
        <v>763.06</v>
      </c>
      <c r="J184" s="8" t="n">
        <f aca="false">I184*$J$5</f>
        <v>963.865263157895</v>
      </c>
      <c r="K184" s="8" t="n">
        <f aca="false">J184-H184</f>
        <v>133.515263157895</v>
      </c>
      <c r="L184" s="9" t="n">
        <f aca="false">IF(AND(H184=0,J184=0),0,IF(H184=0,"New",(J184-H184)/H184))</f>
        <v>0.160793958159685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217</v>
      </c>
      <c r="B185" s="7" t="str">
        <f aca="false">IFERROR(INDEX('Source'!$C:$C,MATCH($A185,'Source'!$B:$B,0)),"")</f>
        <v>מגן זרת מסיליקון</v>
      </c>
      <c r="C185" s="8" t="n">
        <f aca="false">SUMIFS('Source'!$D:$D,'Source'!$A:$A,"160920 SALUS",'Source'!$B:$B,$A185)</f>
        <v>25</v>
      </c>
      <c r="D185" s="8" t="n">
        <f aca="false">SUMIFS('Source'!$F:$F,'Source'!$A:$A,"160920 SALUS",'Source'!$B:$B,$A185)</f>
        <v>20</v>
      </c>
      <c r="E185" s="8" t="n">
        <f aca="false">D185*$J$5</f>
        <v>25.2631578947368</v>
      </c>
      <c r="F185" s="8" t="n">
        <f aca="false">E185-C185</f>
        <v>0.263157894736843</v>
      </c>
      <c r="G185" s="9" t="n">
        <f aca="false">IF(AND(C185=0,E185=0),0,IF(C185=0,"New",(E185-C185)/C185))</f>
        <v>0.0105263157894737</v>
      </c>
      <c r="H185" s="8" t="n">
        <f aca="false">SUMIFS('Source'!$E:$E,'Source'!$A:$A,"160920 SALUS",'Source'!$B:$B,$A185)</f>
        <v>314.42</v>
      </c>
      <c r="I185" s="8" t="n">
        <f aca="false">SUMIFS('Source'!$G:$G,'Source'!$A:$A,"160920 SALUS",'Source'!$B:$B,$A185)</f>
        <v>251.91</v>
      </c>
      <c r="J185" s="8" t="n">
        <f aca="false">I185*$J$5</f>
        <v>318.202105263158</v>
      </c>
      <c r="K185" s="8" t="n">
        <f aca="false">J185-H185</f>
        <v>3.78210526315792</v>
      </c>
      <c r="L185" s="9" t="n">
        <f aca="false">IF(AND(H185=0,J185=0),0,IF(H185=0,"New",(J185-H185)/H185))</f>
        <v>0.0120288317001397</v>
      </c>
      <c r="M185" s="7" t="str">
        <f aca="false">IF(AND(OR(C185&lt;&gt;0,H185&lt;&gt;0),D185=0,I185=0),"DROP",IF(AND(OR(D185&lt;&gt;0,I185&lt;&gt;0),C185=0,H185=0),"NEW",""))</f>
        <v/>
      </c>
    </row>
    <row r="186" customFormat="false" ht="15" hidden="false" customHeight="false" outlineLevel="0" collapsed="false">
      <c r="A186" s="7" t="s">
        <v>707</v>
      </c>
      <c r="B186" s="7" t="str">
        <f aca="false">IFERROR(INDEX('Source'!$C:$C,MATCH($A186,'Source'!$B:$B,0)),"")</f>
        <v>מגן ברך ארוך</v>
      </c>
      <c r="C186" s="8" t="n">
        <f aca="false">SUMIFS('Source'!$D:$D,'Source'!$A:$A,"160920 SALUS",'Source'!$B:$B,$A186)</f>
        <v>20</v>
      </c>
      <c r="D186" s="8" t="n">
        <f aca="false">SUMIFS('Source'!$F:$F,'Source'!$A:$A,"160920 SALUS",'Source'!$B:$B,$A186)</f>
        <v>25</v>
      </c>
      <c r="E186" s="8" t="n">
        <f aca="false">D186*$J$5</f>
        <v>31.5789473684211</v>
      </c>
      <c r="F186" s="8" t="n">
        <f aca="false">E186-C186</f>
        <v>11.5789473684211</v>
      </c>
      <c r="G186" s="9" t="n">
        <f aca="false">IF(AND(C186=0,E186=0),0,IF(C186=0,"New",(E186-C186)/C186))</f>
        <v>0.578947368421053</v>
      </c>
      <c r="H186" s="8" t="n">
        <f aca="false">SUMIFS('Source'!$E:$E,'Source'!$A:$A,"160920 SALUS",'Source'!$B:$B,$A186)</f>
        <v>219.08</v>
      </c>
      <c r="I186" s="8" t="n">
        <f aca="false">SUMIFS('Source'!$G:$G,'Source'!$A:$A,"160920 SALUS",'Source'!$B:$B,$A186)</f>
        <v>281.31</v>
      </c>
      <c r="J186" s="8" t="n">
        <f aca="false">I186*$J$5</f>
        <v>355.338947368421</v>
      </c>
      <c r="K186" s="8" t="n">
        <f aca="false">J186-H186</f>
        <v>136.258947368421</v>
      </c>
      <c r="L186" s="9" t="n">
        <f aca="false">IF(AND(H186=0,J186=0),0,IF(H186=0,"New",(J186-H186)/H186))</f>
        <v>0.62195977436745</v>
      </c>
      <c r="M186" s="7" t="str">
        <f aca="false">IF(AND(OR(C186&lt;&gt;0,H186&lt;&gt;0),D186=0,I186=0),"DROP",IF(AND(OR(D186&lt;&gt;0,I186&lt;&gt;0),C186=0,H186=0),"NEW",""))</f>
        <v/>
      </c>
    </row>
    <row r="187" customFormat="false" ht="15" hidden="false" customHeight="false" outlineLevel="0" collapsed="false">
      <c r="A187" s="7" t="s">
        <v>643</v>
      </c>
      <c r="B187" s="7" t="str">
        <f aca="false">IFERROR(INDEX('Source'!$C:$C,MATCH($A187,'Source'!$B:$B,0)),"")</f>
        <v>כרית סיליקון לעקב</v>
      </c>
      <c r="C187" s="8" t="n">
        <f aca="false">SUMIFS('Source'!$D:$D,'Source'!$A:$A,"160920 SALUS",'Source'!$B:$B,$A187)</f>
        <v>25</v>
      </c>
      <c r="D187" s="8" t="n">
        <f aca="false">SUMIFS('Source'!$F:$F,'Source'!$A:$A,"160920 SALUS",'Source'!$B:$B,$A187)</f>
        <v>20</v>
      </c>
      <c r="E187" s="8" t="n">
        <f aca="false">D187*$J$5</f>
        <v>25.2631578947368</v>
      </c>
      <c r="F187" s="8" t="n">
        <f aca="false">E187-C187</f>
        <v>0.263157894736843</v>
      </c>
      <c r="G187" s="9" t="n">
        <f aca="false">IF(AND(C187=0,E187=0),0,IF(C187=0,"New",(E187-C187)/C187))</f>
        <v>0.0105263157894737</v>
      </c>
      <c r="H187" s="8" t="n">
        <f aca="false">SUMIFS('Source'!$E:$E,'Source'!$A:$A,"160920 SALUS",'Source'!$B:$B,$A187)</f>
        <v>645.74</v>
      </c>
      <c r="I187" s="8" t="n">
        <f aca="false">SUMIFS('Source'!$G:$G,'Source'!$A:$A,"160920 SALUS",'Source'!$B:$B,$A187)</f>
        <v>583.89</v>
      </c>
      <c r="J187" s="8" t="n">
        <f aca="false">I187*$J$5</f>
        <v>737.545263157895</v>
      </c>
      <c r="K187" s="8" t="n">
        <f aca="false">J187-H187</f>
        <v>91.8052631578946</v>
      </c>
      <c r="L187" s="9" t="n">
        <f aca="false">IF(AND(H187=0,J187=0),0,IF(H187=0,"New",(J187-H187)/H187))</f>
        <v>0.142170630838874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943</v>
      </c>
      <c r="B188" s="7" t="str">
        <f aca="false">IFERROR(INDEX('Source'!$C:$C,MATCH($A188,'Source'!$B:$B,0)),"")</f>
        <v>סד קרסול קל שחור XL</v>
      </c>
      <c r="C188" s="8" t="n">
        <f aca="false">SUMIFS('Source'!$D:$D,'Source'!$A:$A,"160920 SALUS",'Source'!$B:$B,$A188)</f>
        <v>1</v>
      </c>
      <c r="D188" s="8" t="n">
        <f aca="false">SUMIFS('Source'!$F:$F,'Source'!$A:$A,"160920 SALUS",'Source'!$B:$B,$A188)</f>
        <v>0</v>
      </c>
      <c r="E188" s="8" t="n">
        <f aca="false">D188*$J$5</f>
        <v>0</v>
      </c>
      <c r="F188" s="8" t="n">
        <f aca="false">E188-C188</f>
        <v>-1</v>
      </c>
      <c r="G188" s="9" t="n">
        <f aca="false">IF(AND(C188=0,E188=0),0,IF(C188=0,"New",(E188-C188)/C188))</f>
        <v>-1</v>
      </c>
      <c r="H188" s="8" t="n">
        <f aca="false">SUMIFS('Source'!$E:$E,'Source'!$A:$A,"160920 SALUS",'Source'!$B:$B,$A188)</f>
        <v>60.86</v>
      </c>
      <c r="I188" s="8" t="n">
        <f aca="false">SUMIFS('Source'!$G:$G,'Source'!$A:$A,"160920 SALUS",'Source'!$B:$B,$A188)</f>
        <v>0</v>
      </c>
      <c r="J188" s="8" t="n">
        <f aca="false">I188*$J$5</f>
        <v>0</v>
      </c>
      <c r="K188" s="8" t="n">
        <f aca="false">J188-H188</f>
        <v>-60.86</v>
      </c>
      <c r="L188" s="9" t="n">
        <f aca="false">IF(AND(H188=0,J188=0),0,IF(H188=0,"New",(J188-H188)/H188))</f>
        <v>-1</v>
      </c>
      <c r="M188" s="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false" outlineLevel="0" collapsed="false">
      <c r="A189" s="7" t="s">
        <v>690</v>
      </c>
      <c r="B189" s="7" t="str">
        <f aca="false">IFERROR(INDEX('Source'!$C:$C,MATCH($A189,'Source'!$B:$B,0)),"")</f>
        <v>מגן ירך</v>
      </c>
      <c r="C189" s="8" t="n">
        <f aca="false">SUMIFS('Source'!$D:$D,'Source'!$A:$A,"160920 SALUS",'Source'!$B:$B,$A189)</f>
        <v>27</v>
      </c>
      <c r="D189" s="8" t="n">
        <f aca="false">SUMIFS('Source'!$F:$F,'Source'!$A:$A,"160920 SALUS",'Source'!$B:$B,$A189)</f>
        <v>20</v>
      </c>
      <c r="E189" s="8" t="n">
        <f aca="false">D189*$J$5</f>
        <v>25.2631578947368</v>
      </c>
      <c r="F189" s="8" t="n">
        <f aca="false">E189-C189</f>
        <v>-1.73684210526316</v>
      </c>
      <c r="G189" s="9" t="n">
        <f aca="false">IF(AND(C189=0,E189=0),0,IF(C189=0,"New",(E189-C189)/C189))</f>
        <v>-0.0643274853801169</v>
      </c>
      <c r="H189" s="8" t="n">
        <f aca="false">SUMIFS('Source'!$E:$E,'Source'!$A:$A,"160920 SALUS",'Source'!$B:$B,$A189)</f>
        <v>295.22</v>
      </c>
      <c r="I189" s="8" t="n">
        <f aca="false">SUMIFS('Source'!$G:$G,'Source'!$A:$A,"160920 SALUS",'Source'!$B:$B,$A189)</f>
        <v>235.39</v>
      </c>
      <c r="J189" s="8" t="n">
        <f aca="false">I189*$J$5</f>
        <v>297.334736842105</v>
      </c>
      <c r="K189" s="8" t="n">
        <f aca="false">J189-H189</f>
        <v>2.11473684210517</v>
      </c>
      <c r="L189" s="9" t="n">
        <f aca="false">IF(AND(H189=0,J189=0),0,IF(H189=0,"New",(J189-H189)/H189))</f>
        <v>0.0071632573745179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717</v>
      </c>
      <c r="B190" s="7" t="str">
        <f aca="false">IFERROR(INDEX('Source'!$C:$C,MATCH($A190,'Source'!$B:$B,0)),"")</f>
        <v>מגן ברך רגיל</v>
      </c>
      <c r="C190" s="8" t="n">
        <f aca="false">SUMIFS('Source'!$D:$D,'Source'!$A:$A,"160920 SALUS",'Source'!$B:$B,$A190)</f>
        <v>10</v>
      </c>
      <c r="D190" s="8" t="n">
        <f aca="false">SUMIFS('Source'!$F:$F,'Source'!$A:$A,"160920 SALUS",'Source'!$B:$B,$A190)</f>
        <v>5</v>
      </c>
      <c r="E190" s="8" t="n">
        <f aca="false">D190*$J$5</f>
        <v>6.31578947368421</v>
      </c>
      <c r="F190" s="8" t="n">
        <f aca="false">E190-C190</f>
        <v>-3.68421052631579</v>
      </c>
      <c r="G190" s="9" t="n">
        <f aca="false">IF(AND(C190=0,E190=0),0,IF(C190=0,"New",(E190-C190)/C190))</f>
        <v>-0.368421052631579</v>
      </c>
      <c r="H190" s="8" t="n">
        <f aca="false">SUMIFS('Source'!$E:$E,'Source'!$A:$A,"160920 SALUS",'Source'!$B:$B,$A190)</f>
        <v>101.43</v>
      </c>
      <c r="I190" s="8" t="n">
        <f aca="false">SUMIFS('Source'!$G:$G,'Source'!$A:$A,"160920 SALUS",'Source'!$B:$B,$A190)</f>
        <v>48.61</v>
      </c>
      <c r="J190" s="8" t="n">
        <f aca="false">I190*$J$5</f>
        <v>61.4021052631579</v>
      </c>
      <c r="K190" s="8" t="n">
        <f aca="false">J190-H190</f>
        <v>-40.0278947368421</v>
      </c>
      <c r="L190" s="9" t="n">
        <f aca="false">IF(AND(H190=0,J190=0),0,IF(H190=0,"New",(J190-H190)/H190))</f>
        <v>-0.394635657466648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527</v>
      </c>
      <c r="B191" s="7" t="str">
        <f aca="false">IFERROR(INDEX('Source'!$C:$C,MATCH($A191,'Source'!$B:$B,0)),"")</f>
        <v>סד מאורך לאגודל</v>
      </c>
      <c r="C191" s="8" t="n">
        <f aca="false">SUMIFS('Source'!$D:$D,'Source'!$A:$A,"160920 SALUS",'Source'!$B:$B,$A191)</f>
        <v>22</v>
      </c>
      <c r="D191" s="8" t="n">
        <f aca="false">SUMIFS('Source'!$F:$F,'Source'!$A:$A,"160920 SALUS",'Source'!$B:$B,$A191)</f>
        <v>25</v>
      </c>
      <c r="E191" s="8" t="n">
        <f aca="false">D191*$J$5</f>
        <v>31.5789473684211</v>
      </c>
      <c r="F191" s="8" t="n">
        <f aca="false">E191-C191</f>
        <v>9.57894736842105</v>
      </c>
      <c r="G191" s="9" t="n">
        <f aca="false">IF(AND(C191=0,E191=0),0,IF(C191=0,"New",(E191-C191)/C191))</f>
        <v>0.435406698564593</v>
      </c>
      <c r="H191" s="8" t="n">
        <f aca="false">SUMIFS('Source'!$E:$E,'Source'!$A:$A,"160920 SALUS",'Source'!$B:$B,$A191)</f>
        <v>565.24</v>
      </c>
      <c r="I191" s="8" t="n">
        <f aca="false">SUMIFS('Source'!$G:$G,'Source'!$A:$A,"160920 SALUS",'Source'!$B:$B,$A191)</f>
        <v>600.86</v>
      </c>
      <c r="J191" s="8" t="n">
        <f aca="false">I191*$J$5</f>
        <v>758.981052631579</v>
      </c>
      <c r="K191" s="8" t="n">
        <f aca="false">J191-H191</f>
        <v>193.741052631579</v>
      </c>
      <c r="L191" s="9" t="n">
        <f aca="false">IF(AND(H191=0,J191=0),0,IF(H191=0,"New",(J191-H191)/H191))</f>
        <v>0.342758921222098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245</v>
      </c>
      <c r="B192" s="7" t="str">
        <f aca="false">IFERROR(INDEX('Source'!$C:$C,MATCH($A192,'Source'!$B:$B,0)),"")</f>
        <v>חבק טניס</v>
      </c>
      <c r="C192" s="8" t="n">
        <f aca="false">SUMIFS('Source'!$D:$D,'Source'!$A:$A,"160920 SALUS",'Source'!$B:$B,$A192)</f>
        <v>180</v>
      </c>
      <c r="D192" s="8" t="n">
        <f aca="false">SUMIFS('Source'!$F:$F,'Source'!$A:$A,"160920 SALUS",'Source'!$B:$B,$A192)</f>
        <v>180</v>
      </c>
      <c r="E192" s="8" t="n">
        <f aca="false">D192*$J$5</f>
        <v>227.368421052632</v>
      </c>
      <c r="F192" s="8" t="n">
        <f aca="false">E192-C192</f>
        <v>47.3684210526316</v>
      </c>
      <c r="G192" s="9" t="n">
        <f aca="false">IF(AND(C192=0,E192=0),0,IF(C192=0,"New",(E192-C192)/C192))</f>
        <v>0.263157894736842</v>
      </c>
      <c r="H192" s="8" t="n">
        <f aca="false">SUMIFS('Source'!$E:$E,'Source'!$A:$A,"160920 SALUS",'Source'!$B:$B,$A192)</f>
        <v>2628.96</v>
      </c>
      <c r="I192" s="8" t="n">
        <f aca="false">SUMIFS('Source'!$G:$G,'Source'!$A:$A,"160920 SALUS",'Source'!$B:$B,$A192)</f>
        <v>2595.16</v>
      </c>
      <c r="J192" s="8" t="n">
        <f aca="false">I192*$J$5</f>
        <v>3278.09684210526</v>
      </c>
      <c r="K192" s="8" t="n">
        <f aca="false">J192-H192</f>
        <v>649.136842105263</v>
      </c>
      <c r="L192" s="9" t="n">
        <f aca="false">IF(AND(H192=0,J192=0),0,IF(H192=0,"New",(J192-H192)/H192))</f>
        <v>0.246917732527411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779</v>
      </c>
      <c r="B193" s="7" t="str">
        <f aca="false">IFERROR(INDEX('Source'!$C:$C,MATCH($A193,'Source'!$B:$B,0)),"")</f>
        <v>מפריד אצבע</v>
      </c>
      <c r="C193" s="8" t="n">
        <f aca="false">SUMIFS('Source'!$D:$D,'Source'!$A:$A,"160920 SALUS",'Source'!$B:$B,$A193)</f>
        <v>12</v>
      </c>
      <c r="D193" s="8" t="n">
        <f aca="false">SUMIFS('Source'!$F:$F,'Source'!$A:$A,"160920 SALUS",'Source'!$B:$B,$A193)</f>
        <v>6</v>
      </c>
      <c r="E193" s="8" t="n">
        <f aca="false">D193*$J$5</f>
        <v>7.57894736842105</v>
      </c>
      <c r="F193" s="8" t="n">
        <f aca="false">E193-C193</f>
        <v>-4.42105263157895</v>
      </c>
      <c r="G193" s="9" t="n">
        <f aca="false">IF(AND(C193=0,E193=0),0,IF(C193=0,"New",(E193-C193)/C193))</f>
        <v>-0.368421052631579</v>
      </c>
      <c r="H193" s="8" t="n">
        <f aca="false">SUMIFS('Source'!$E:$E,'Source'!$A:$A,"160920 SALUS",'Source'!$B:$B,$A193)</f>
        <v>57.77</v>
      </c>
      <c r="I193" s="8" t="n">
        <f aca="false">SUMIFS('Source'!$G:$G,'Source'!$A:$A,"160920 SALUS",'Source'!$B:$B,$A193)</f>
        <v>24.49</v>
      </c>
      <c r="J193" s="8" t="n">
        <f aca="false">I193*$J$5</f>
        <v>30.9347368421053</v>
      </c>
      <c r="K193" s="8" t="n">
        <f aca="false">J193-H193</f>
        <v>-26.8352631578947</v>
      </c>
      <c r="L193" s="9" t="n">
        <f aca="false">IF(AND(H193=0,J193=0),0,IF(H193=0,"New",(J193-H193)/H193))</f>
        <v>-0.46451900913787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504</v>
      </c>
      <c r="B194" s="7" t="str">
        <f aca="false">IFERROR(INDEX('Source'!$C:$C,MATCH($A194,'Source'!$B:$B,0)),"")</f>
        <v>מדבקה רב פעמית ל</v>
      </c>
      <c r="C194" s="8" t="n">
        <f aca="false">SUMIFS('Source'!$D:$D,'Source'!$A:$A,"160920 SALUS",'Source'!$B:$B,$A194)</f>
        <v>10</v>
      </c>
      <c r="D194" s="8" t="n">
        <f aca="false">SUMIFS('Source'!$F:$F,'Source'!$A:$A,"160920 SALUS",'Source'!$B:$B,$A194)</f>
        <v>15</v>
      </c>
      <c r="E194" s="8" t="n">
        <f aca="false">D194*$J$5</f>
        <v>18.9473684210526</v>
      </c>
      <c r="F194" s="8" t="n">
        <f aca="false">E194-C194</f>
        <v>8.94736842105263</v>
      </c>
      <c r="G194" s="9" t="n">
        <f aca="false">IF(AND(C194=0,E194=0),0,IF(C194=0,"New",(E194-C194)/C194))</f>
        <v>0.894736842105263</v>
      </c>
      <c r="H194" s="8" t="n">
        <f aca="false">SUMIFS('Source'!$E:$E,'Source'!$A:$A,"160920 SALUS",'Source'!$B:$B,$A194)</f>
        <v>68.97</v>
      </c>
      <c r="I194" s="8" t="n">
        <f aca="false">SUMIFS('Source'!$G:$G,'Source'!$A:$A,"160920 SALUS",'Source'!$B:$B,$A194)</f>
        <v>99.16</v>
      </c>
      <c r="J194" s="8" t="n">
        <f aca="false">I194*$J$5</f>
        <v>125.254736842105</v>
      </c>
      <c r="K194" s="8" t="n">
        <f aca="false">J194-H194</f>
        <v>56.2847368421053</v>
      </c>
      <c r="L194" s="9" t="n">
        <f aca="false">IF(AND(H194=0,J194=0),0,IF(H194=0,"New",(J194-H194)/H194))</f>
        <v>0.816075639293972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516</v>
      </c>
      <c r="B195" s="7" t="str">
        <f aca="false">IFERROR(INDEX('Source'!$C:$C,MATCH($A195,'Source'!$B:$B,0)),"")</f>
        <v>טבעת אלסטית מסי</v>
      </c>
      <c r="C195" s="8" t="n">
        <f aca="false">SUMIFS('Source'!$D:$D,'Source'!$A:$A,"160920 SALUS",'Source'!$B:$B,$A195)</f>
        <v>60</v>
      </c>
      <c r="D195" s="8" t="n">
        <f aca="false">SUMIFS('Source'!$F:$F,'Source'!$A:$A,"160920 SALUS",'Source'!$B:$B,$A195)</f>
        <v>75</v>
      </c>
      <c r="E195" s="8" t="n">
        <f aca="false">D195*$J$5</f>
        <v>94.7368421052632</v>
      </c>
      <c r="F195" s="8" t="n">
        <f aca="false">E195-C195</f>
        <v>34.7368421052632</v>
      </c>
      <c r="G195" s="9" t="n">
        <f aca="false">IF(AND(C195=0,E195=0),0,IF(C195=0,"New",(E195-C195)/C195))</f>
        <v>0.578947368421053</v>
      </c>
      <c r="H195" s="8" t="n">
        <f aca="false">SUMIFS('Source'!$E:$E,'Source'!$A:$A,"160920 SALUS",'Source'!$B:$B,$A195)</f>
        <v>388.16</v>
      </c>
      <c r="I195" s="8" t="n">
        <f aca="false">SUMIFS('Source'!$G:$G,'Source'!$A:$A,"160920 SALUS",'Source'!$B:$B,$A195)</f>
        <v>417.96</v>
      </c>
      <c r="J195" s="8" t="n">
        <f aca="false">I195*$J$5</f>
        <v>527.949473684211</v>
      </c>
      <c r="K195" s="8" t="n">
        <f aca="false">J195-H195</f>
        <v>139.78947368421</v>
      </c>
      <c r="L195" s="9" t="n">
        <f aca="false">IF(AND(H195=0,J195=0),0,IF(H195=0,"New",(J195-H195)/H195))</f>
        <v>0.360133639953139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567</v>
      </c>
      <c r="B196" s="7" t="str">
        <f aca="false">IFERROR(INDEX('Source'!$C:$C,MATCH($A196,'Source'!$B:$B,0)),"")</f>
        <v>אצבעון מפלסטיק  ליד</v>
      </c>
      <c r="C196" s="8" t="n">
        <f aca="false">SUMIFS('Source'!$D:$D,'Source'!$A:$A,"160920 SALUS",'Source'!$B:$B,$A196)</f>
        <v>200</v>
      </c>
      <c r="D196" s="8" t="n">
        <f aca="false">SUMIFS('Source'!$F:$F,'Source'!$A:$A,"160920 SALUS",'Source'!$B:$B,$A196)</f>
        <v>210</v>
      </c>
      <c r="E196" s="8" t="n">
        <f aca="false">D196*$J$5</f>
        <v>265.263157894737</v>
      </c>
      <c r="F196" s="8" t="n">
        <f aca="false">E196-C196</f>
        <v>65.2631578947368</v>
      </c>
      <c r="G196" s="9" t="n">
        <f aca="false">IF(AND(C196=0,E196=0),0,IF(C196=0,"New",(E196-C196)/C196))</f>
        <v>0.326315789473684</v>
      </c>
      <c r="H196" s="8" t="n">
        <f aca="false">SUMIFS('Source'!$E:$E,'Source'!$A:$A,"160920 SALUS",'Source'!$B:$B,$A196)</f>
        <v>1703.5</v>
      </c>
      <c r="I196" s="8" t="n">
        <f aca="false">SUMIFS('Source'!$G:$G,'Source'!$A:$A,"160920 SALUS",'Source'!$B:$B,$A196)</f>
        <v>1729.38</v>
      </c>
      <c r="J196" s="8" t="n">
        <f aca="false">I196*$J$5</f>
        <v>2184.48</v>
      </c>
      <c r="K196" s="8" t="n">
        <f aca="false">J196-H196</f>
        <v>480.98</v>
      </c>
      <c r="L196" s="9" t="n">
        <f aca="false">IF(AND(H196=0,J196=0),0,IF(H196=0,"New",(J196-H196)/H196))</f>
        <v>0.282348106838861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251</v>
      </c>
      <c r="B197" s="7" t="str">
        <f aca="false">IFERROR(INDEX('Source'!$C:$C,MATCH($A197,'Source'!$B:$B,0)),"")</f>
        <v>גרביים עם עקב ג'ל</v>
      </c>
      <c r="C197" s="8" t="n">
        <f aca="false">SUMIFS('Source'!$D:$D,'Source'!$A:$A,"160920 SALUS",'Source'!$B:$B,$A197)</f>
        <v>11</v>
      </c>
      <c r="D197" s="8" t="n">
        <f aca="false">SUMIFS('Source'!$F:$F,'Source'!$A:$A,"160920 SALUS",'Source'!$B:$B,$A197)</f>
        <v>10</v>
      </c>
      <c r="E197" s="8" t="n">
        <f aca="false">D197*$J$5</f>
        <v>12.6315789473684</v>
      </c>
      <c r="F197" s="8" t="n">
        <f aca="false">E197-C197</f>
        <v>1.63157894736842</v>
      </c>
      <c r="G197" s="9" t="n">
        <f aca="false">IF(AND(C197=0,E197=0),0,IF(C197=0,"New",(E197-C197)/C197))</f>
        <v>0.148325358851675</v>
      </c>
      <c r="H197" s="8" t="n">
        <f aca="false">SUMIFS('Source'!$E:$E,'Source'!$A:$A,"160920 SALUS",'Source'!$B:$B,$A197)</f>
        <v>171.72</v>
      </c>
      <c r="I197" s="8" t="n">
        <f aca="false">SUMIFS('Source'!$G:$G,'Source'!$A:$A,"160920 SALUS",'Source'!$B:$B,$A197)</f>
        <v>148.26</v>
      </c>
      <c r="J197" s="8" t="n">
        <f aca="false">I197*$J$5</f>
        <v>187.275789473684</v>
      </c>
      <c r="K197" s="8" t="n">
        <f aca="false">J197-H197</f>
        <v>15.5557894736842</v>
      </c>
      <c r="L197" s="9" t="n">
        <f aca="false">IF(AND(H197=0,J197=0),0,IF(H197=0,"New",(J197-H197)/H197))</f>
        <v>0.0905881054838353</v>
      </c>
      <c r="M197" s="7" t="str">
        <f aca="false">IF(AND(OR(C197&lt;&gt;0,H197&lt;&gt;0),D197=0,I197=0),"DROP",IF(AND(OR(D197&lt;&gt;0,I197&lt;&gt;0),C197=0,H197=0),"NEW",""))</f>
        <v/>
      </c>
    </row>
    <row r="198" customFormat="false" ht="15" hidden="false" customHeight="false" outlineLevel="0" collapsed="false">
      <c r="A198" s="7" t="s">
        <v>367</v>
      </c>
      <c r="B198" s="7" t="str">
        <f aca="false">IFERROR(INDEX('Source'!$C:$C,MATCH($A198,'Source'!$B:$B,0)),"")</f>
        <v>אצבעון מסיליקון</v>
      </c>
      <c r="C198" s="8" t="n">
        <f aca="false">SUMIFS('Source'!$D:$D,'Source'!$A:$A,"160920 SALUS",'Source'!$B:$B,$A198)</f>
        <v>36</v>
      </c>
      <c r="D198" s="8" t="n">
        <f aca="false">SUMIFS('Source'!$F:$F,'Source'!$A:$A,"160920 SALUS",'Source'!$B:$B,$A198)</f>
        <v>35</v>
      </c>
      <c r="E198" s="8" t="n">
        <f aca="false">D198*$J$5</f>
        <v>44.2105263157895</v>
      </c>
      <c r="F198" s="8" t="n">
        <f aca="false">E198-C198</f>
        <v>8.21052631578947</v>
      </c>
      <c r="G198" s="9" t="n">
        <f aca="false">IF(AND(C198=0,E198=0),0,IF(C198=0,"New",(E198-C198)/C198))</f>
        <v>0.228070175438596</v>
      </c>
      <c r="H198" s="8" t="n">
        <f aca="false">SUMIFS('Source'!$E:$E,'Source'!$A:$A,"160920 SALUS",'Source'!$B:$B,$A198)</f>
        <v>395.39</v>
      </c>
      <c r="I198" s="8" t="n">
        <f aca="false">SUMIFS('Source'!$G:$G,'Source'!$A:$A,"160920 SALUS",'Source'!$B:$B,$A198)</f>
        <v>373.58</v>
      </c>
      <c r="J198" s="8" t="n">
        <f aca="false">I198*$J$5</f>
        <v>471.890526315789</v>
      </c>
      <c r="K198" s="8" t="n">
        <f aca="false">J198-H198</f>
        <v>76.5005263157894</v>
      </c>
      <c r="L198" s="9" t="n">
        <f aca="false">IF(AND(H198=0,J198=0),0,IF(H198=0,"New",(J198-H198)/H198))</f>
        <v>0.193481186463465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696</v>
      </c>
      <c r="B199" s="7" t="str">
        <f aca="false">IFERROR(INDEX('Source'!$C:$C,MATCH($A199,'Source'!$B:$B,0)),"")</f>
        <v>אצבעון מפלסטיק  ליד</v>
      </c>
      <c r="C199" s="8" t="n">
        <f aca="false">SUMIFS('Source'!$D:$D,'Source'!$A:$A,"160920 SALUS",'Source'!$B:$B,$A199)</f>
        <v>390</v>
      </c>
      <c r="D199" s="8" t="n">
        <f aca="false">SUMIFS('Source'!$F:$F,'Source'!$A:$A,"160920 SALUS",'Source'!$B:$B,$A199)</f>
        <v>400</v>
      </c>
      <c r="E199" s="8" t="n">
        <f aca="false">D199*$J$5</f>
        <v>505.263157894737</v>
      </c>
      <c r="F199" s="8" t="n">
        <f aca="false">E199-C199</f>
        <v>115.263157894737</v>
      </c>
      <c r="G199" s="9" t="n">
        <f aca="false">IF(AND(C199=0,E199=0),0,IF(C199=0,"New",(E199-C199)/C199))</f>
        <v>0.295546558704453</v>
      </c>
      <c r="H199" s="8" t="n">
        <f aca="false">SUMIFS('Source'!$E:$E,'Source'!$A:$A,"160920 SALUS",'Source'!$B:$B,$A199)</f>
        <v>3327.2</v>
      </c>
      <c r="I199" s="8" t="n">
        <f aca="false">SUMIFS('Source'!$G:$G,'Source'!$A:$A,"160920 SALUS",'Source'!$B:$B,$A199)</f>
        <v>3305.8</v>
      </c>
      <c r="J199" s="8" t="n">
        <f aca="false">I199*$J$5</f>
        <v>4175.74736842105</v>
      </c>
      <c r="K199" s="8" t="n">
        <f aca="false">J199-H199</f>
        <v>848.547368421053</v>
      </c>
      <c r="L199" s="9" t="n">
        <f aca="false">IF(AND(H199=0,J199=0),0,IF(H199=0,"New",(J199-H199)/H199))</f>
        <v>0.255033472115008</v>
      </c>
      <c r="M199" s="7" t="str">
        <f aca="false">IF(AND(OR(C199&lt;&gt;0,H199&lt;&gt;0),D199=0,I199=0),"DROP",IF(AND(OR(D199&lt;&gt;0,I199&lt;&gt;0),C199=0,H199=0),"NEW",""))</f>
        <v/>
      </c>
    </row>
    <row r="200" customFormat="false" ht="15" hidden="false" customHeight="false" outlineLevel="0" collapsed="false">
      <c r="A200" s="7" t="s">
        <v>328</v>
      </c>
      <c r="B200" s="7" t="str">
        <f aca="false">IFERROR(INDEX('Source'!$C:$C,MATCH($A200,'Source'!$B:$B,0)),"")</f>
        <v>מדרסי ג'ל מולטי ספורט</v>
      </c>
      <c r="C200" s="8" t="n">
        <f aca="false">SUMIFS('Source'!$D:$D,'Source'!$A:$A,"160920 SALUS",'Source'!$B:$B,$A200)</f>
        <v>4</v>
      </c>
      <c r="D200" s="8" t="n">
        <f aca="false">SUMIFS('Source'!$F:$F,'Source'!$A:$A,"160920 SALUS",'Source'!$B:$B,$A200)</f>
        <v>3</v>
      </c>
      <c r="E200" s="8" t="n">
        <f aca="false">D200*$J$5</f>
        <v>3.78947368421053</v>
      </c>
      <c r="F200" s="8" t="n">
        <f aca="false">E200-C200</f>
        <v>-0.210526315789474</v>
      </c>
      <c r="G200" s="9" t="n">
        <f aca="false">IF(AND(C200=0,E200=0),0,IF(C200=0,"New",(E200-C200)/C200))</f>
        <v>-0.0526315789473685</v>
      </c>
      <c r="H200" s="8" t="n">
        <f aca="false">SUMIFS('Source'!$E:$E,'Source'!$A:$A,"160920 SALUS",'Source'!$B:$B,$A200)</f>
        <v>124.82</v>
      </c>
      <c r="I200" s="8" t="n">
        <f aca="false">SUMIFS('Source'!$G:$G,'Source'!$A:$A,"160920 SALUS",'Source'!$B:$B,$A200)</f>
        <v>107.51</v>
      </c>
      <c r="J200" s="8" t="n">
        <f aca="false">I200*$J$5</f>
        <v>135.802105263158</v>
      </c>
      <c r="K200" s="8" t="n">
        <f aca="false">J200-H200</f>
        <v>10.9821052631579</v>
      </c>
      <c r="L200" s="9" t="n">
        <f aca="false">IF(AND(H200=0,J200=0),0,IF(H200=0,"New",(J200-H200)/H200))</f>
        <v>0.0879835384005599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381</v>
      </c>
      <c r="B201" s="7" t="str">
        <f aca="false">IFERROR(INDEX('Source'!$C:$C,MATCH($A201,'Source'!$B:$B,0)),"")</f>
        <v>חבק יד מתכוון</v>
      </c>
      <c r="C201" s="8" t="n">
        <f aca="false">SUMIFS('Source'!$D:$D,'Source'!$A:$A,"160920 SALUS",'Source'!$B:$B,$A201)</f>
        <v>12</v>
      </c>
      <c r="D201" s="8" t="n">
        <f aca="false">SUMIFS('Source'!$F:$F,'Source'!$A:$A,"160920 SALUS",'Source'!$B:$B,$A201)</f>
        <v>15</v>
      </c>
      <c r="E201" s="8" t="n">
        <f aca="false">D201*$J$5</f>
        <v>18.9473684210526</v>
      </c>
      <c r="F201" s="8" t="n">
        <f aca="false">E201-C201</f>
        <v>6.94736842105263</v>
      </c>
      <c r="G201" s="9" t="n">
        <f aca="false">IF(AND(C201=0,E201=0),0,IF(C201=0,"New",(E201-C201)/C201))</f>
        <v>0.578947368421053</v>
      </c>
      <c r="H201" s="8" t="n">
        <f aca="false">SUMIFS('Source'!$E:$E,'Source'!$A:$A,"160920 SALUS",'Source'!$B:$B,$A201)</f>
        <v>191.37</v>
      </c>
      <c r="I201" s="8" t="n">
        <f aca="false">SUMIFS('Source'!$G:$G,'Source'!$A:$A,"160920 SALUS",'Source'!$B:$B,$A201)</f>
        <v>206.11</v>
      </c>
      <c r="J201" s="8" t="n">
        <f aca="false">I201*$J$5</f>
        <v>260.349473684211</v>
      </c>
      <c r="K201" s="8" t="n">
        <f aca="false">J201-H201</f>
        <v>68.9794736842105</v>
      </c>
      <c r="L201" s="9" t="n">
        <f aca="false">IF(AND(H201=0,J201=0),0,IF(H201=0,"New",(J201-H201)/H201))</f>
        <v>0.36045082136286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125</v>
      </c>
      <c r="B202" s="7" t="str">
        <f aca="false">IFERROR(INDEX('Source'!$C:$C,MATCH($A202,'Source'!$B:$B,0)),"")</f>
        <v>שרוול לגבס ארוך רגל</v>
      </c>
      <c r="C202" s="8" t="n">
        <f aca="false">SUMIFS('Source'!$D:$D,'Source'!$A:$A,"160920 SALUS",'Source'!$B:$B,$A202)</f>
        <v>10</v>
      </c>
      <c r="D202" s="8" t="n">
        <f aca="false">SUMIFS('Source'!$F:$F,'Source'!$A:$A,"160920 SALUS",'Source'!$B:$B,$A202)</f>
        <v>10</v>
      </c>
      <c r="E202" s="8" t="n">
        <f aca="false">D202*$J$5</f>
        <v>12.6315789473684</v>
      </c>
      <c r="F202" s="8" t="n">
        <f aca="false">E202-C202</f>
        <v>2.63157894736842</v>
      </c>
      <c r="G202" s="9" t="n">
        <f aca="false">IF(AND(C202=0,E202=0),0,IF(C202=0,"New",(E202-C202)/C202))</f>
        <v>0.263157894736842</v>
      </c>
      <c r="H202" s="8" t="n">
        <f aca="false">SUMIFS('Source'!$E:$E,'Source'!$A:$A,"160920 SALUS",'Source'!$B:$B,$A202)</f>
        <v>291.15</v>
      </c>
      <c r="I202" s="8" t="n">
        <f aca="false">SUMIFS('Source'!$G:$G,'Source'!$A:$A,"160920 SALUS",'Source'!$B:$B,$A202)</f>
        <v>279.08</v>
      </c>
      <c r="J202" s="8" t="n">
        <f aca="false">I202*$J$5</f>
        <v>352.522105263158</v>
      </c>
      <c r="K202" s="8" t="n">
        <f aca="false">J202-H202</f>
        <v>61.3721052631579</v>
      </c>
      <c r="L202" s="9" t="n">
        <f aca="false">IF(AND(H202=0,J202=0),0,IF(H202=0,"New",(J202-H202)/H202))</f>
        <v>0.210792049675967</v>
      </c>
      <c r="M202" s="7" t="str">
        <f aca="false">IF(AND(OR(C202&lt;&gt;0,H202&lt;&gt;0),D202=0,I202=0),"DROP",IF(AND(OR(D202&lt;&gt;0,I202&lt;&gt;0),C202=0,H202=0),"NEW",""))</f>
        <v/>
      </c>
    </row>
    <row r="203" customFormat="false" ht="15" hidden="false" customHeight="false" outlineLevel="0" collapsed="false">
      <c r="A203" s="7" t="s">
        <v>216</v>
      </c>
      <c r="B203" s="7" t="str">
        <f aca="false">IFERROR(INDEX('Source'!$C:$C,MATCH($A203,'Source'!$B:$B,0)),"")</f>
        <v>שרוול לגבס קצר רגל</v>
      </c>
      <c r="C203" s="8" t="n">
        <f aca="false">SUMIFS('Source'!$D:$D,'Source'!$A:$A,"160920 SALUS",'Source'!$B:$B,$A203)</f>
        <v>10</v>
      </c>
      <c r="D203" s="8" t="n">
        <f aca="false">SUMIFS('Source'!$F:$F,'Source'!$A:$A,"160920 SALUS",'Source'!$B:$B,$A203)</f>
        <v>10</v>
      </c>
      <c r="E203" s="8" t="n">
        <f aca="false">D203*$J$5</f>
        <v>12.6315789473684</v>
      </c>
      <c r="F203" s="8" t="n">
        <f aca="false">E203-C203</f>
        <v>2.63157894736842</v>
      </c>
      <c r="G203" s="9" t="n">
        <f aca="false">IF(AND(C203=0,E203=0),0,IF(C203=0,"New",(E203-C203)/C203))</f>
        <v>0.263157894736842</v>
      </c>
      <c r="H203" s="8" t="n">
        <f aca="false">SUMIFS('Source'!$E:$E,'Source'!$A:$A,"160920 SALUS",'Source'!$B:$B,$A203)</f>
        <v>275.24</v>
      </c>
      <c r="I203" s="8" t="n">
        <f aca="false">SUMIFS('Source'!$G:$G,'Source'!$A:$A,"160920 SALUS",'Source'!$B:$B,$A203)</f>
        <v>263.83</v>
      </c>
      <c r="J203" s="8" t="n">
        <f aca="false">I203*$J$5</f>
        <v>333.258947368421</v>
      </c>
      <c r="K203" s="8" t="n">
        <f aca="false">J203-H203</f>
        <v>58.018947368421</v>
      </c>
      <c r="L203" s="9" t="n">
        <f aca="false">IF(AND(H203=0,J203=0),0,IF(H203=0,"New",(J203-H203)/H203))</f>
        <v>0.210794024736306</v>
      </c>
      <c r="M203" s="7" t="str">
        <f aca="false">IF(AND(OR(C203&lt;&gt;0,H203&lt;&gt;0),D203=0,I203=0),"DROP",IF(AND(OR(D203&lt;&gt;0,I203&lt;&gt;0),C203=0,H203=0),"NEW",""))</f>
        <v/>
      </c>
    </row>
    <row r="204" customFormat="false" ht="15" hidden="false" customHeight="false" outlineLevel="0" collapsed="false">
      <c r="A204" s="7" t="s">
        <v>349</v>
      </c>
      <c r="B204" s="7" t="str">
        <f aca="false">IFERROR(INDEX('Source'!$C:$C,MATCH($A204,'Source'!$B:$B,0)),"")</f>
        <v>חגורת גב+סגירה כפולה</v>
      </c>
      <c r="C204" s="8" t="n">
        <f aca="false">SUMIFS('Source'!$D:$D,'Source'!$A:$A,"160920 SALUS",'Source'!$B:$B,$A204)</f>
        <v>5</v>
      </c>
      <c r="D204" s="8" t="n">
        <f aca="false">SUMIFS('Source'!$F:$F,'Source'!$A:$A,"160920 SALUS",'Source'!$B:$B,$A204)</f>
        <v>5</v>
      </c>
      <c r="E204" s="8" t="n">
        <f aca="false">D204*$J$5</f>
        <v>6.31578947368421</v>
      </c>
      <c r="F204" s="8" t="n">
        <f aca="false">E204-C204</f>
        <v>1.31578947368421</v>
      </c>
      <c r="G204" s="9" t="n">
        <f aca="false">IF(AND(C204=0,E204=0),0,IF(C204=0,"New",(E204-C204)/C204))</f>
        <v>0.263157894736842</v>
      </c>
      <c r="H204" s="8" t="n">
        <f aca="false">SUMIFS('Source'!$E:$E,'Source'!$A:$A,"160920 SALUS",'Source'!$B:$B,$A204)</f>
        <v>262.52</v>
      </c>
      <c r="I204" s="8" t="n">
        <f aca="false">SUMIFS('Source'!$G:$G,'Source'!$A:$A,"160920 SALUS",'Source'!$B:$B,$A204)</f>
        <v>251.63</v>
      </c>
      <c r="J204" s="8" t="n">
        <f aca="false">I204*$J$5</f>
        <v>317.848421052632</v>
      </c>
      <c r="K204" s="8" t="n">
        <f aca="false">J204-H204</f>
        <v>55.3284210526316</v>
      </c>
      <c r="L204" s="9" t="n">
        <f aca="false">IF(AND(H204=0,J204=0),0,IF(H204=0,"New",(J204-H204)/H204))</f>
        <v>0.210758879523966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740</v>
      </c>
      <c r="B205" s="7" t="str">
        <f aca="false">IFERROR(INDEX('Source'!$C:$C,MATCH($A205,'Source'!$B:$B,0)),"")</f>
        <v>מדבקה לשחרור לחץ</v>
      </c>
      <c r="C205" s="8" t="n">
        <f aca="false">SUMIFS('Source'!$D:$D,'Source'!$A:$A,"160920 SALUS",'Source'!$B:$B,$A205)</f>
        <v>17</v>
      </c>
      <c r="D205" s="8" t="n">
        <f aca="false">SUMIFS('Source'!$F:$F,'Source'!$A:$A,"160920 SALUS",'Source'!$B:$B,$A205)</f>
        <v>20</v>
      </c>
      <c r="E205" s="8" t="n">
        <f aca="false">D205*$J$5</f>
        <v>25.2631578947368</v>
      </c>
      <c r="F205" s="8" t="n">
        <f aca="false">E205-C205</f>
        <v>8.26315789473684</v>
      </c>
      <c r="G205" s="9" t="n">
        <f aca="false">IF(AND(C205=0,E205=0),0,IF(C205=0,"New",(E205-C205)/C205))</f>
        <v>0.486068111455108</v>
      </c>
      <c r="H205" s="8" t="n">
        <f aca="false">SUMIFS('Source'!$E:$E,'Source'!$A:$A,"160920 SALUS",'Source'!$B:$B,$A205)</f>
        <v>168.8</v>
      </c>
      <c r="I205" s="8" t="n">
        <f aca="false">SUMIFS('Source'!$G:$G,'Source'!$A:$A,"160920 SALUS",'Source'!$B:$B,$A205)</f>
        <v>178.77</v>
      </c>
      <c r="J205" s="8" t="n">
        <f aca="false">I205*$J$5</f>
        <v>225.814736842105</v>
      </c>
      <c r="K205" s="8" t="n">
        <f aca="false">J205-H205</f>
        <v>57.0147368421053</v>
      </c>
      <c r="L205" s="9" t="n">
        <f aca="false">IF(AND(H205=0,J205=0),0,IF(H205=0,"New",(J205-H205)/H205))</f>
        <v>0.337765028685458</v>
      </c>
      <c r="M205" s="7" t="str">
        <f aca="false">IF(AND(OR(C205&lt;&gt;0,H205&lt;&gt;0),D205=0,I205=0),"DROP",IF(AND(OR(D205&lt;&gt;0,I205&lt;&gt;0),C205=0,H205=0),"NEW",""))</f>
        <v/>
      </c>
    </row>
    <row r="206" customFormat="false" ht="15" hidden="false" customHeight="false" outlineLevel="0" collapsed="false">
      <c r="A206" s="7" t="s">
        <v>163</v>
      </c>
      <c r="B206" s="7" t="str">
        <f aca="false">IFERROR(INDEX('Source'!$C:$C,MATCH($A206,'Source'!$B:$B,0)),"")</f>
        <v>שרוול לגבס ארוך יד</v>
      </c>
      <c r="C206" s="8" t="n">
        <f aca="false">SUMIFS('Source'!$D:$D,'Source'!$A:$A,"160920 SALUS",'Source'!$B:$B,$A206)</f>
        <v>10</v>
      </c>
      <c r="D206" s="8" t="n">
        <f aca="false">SUMIFS('Source'!$F:$F,'Source'!$A:$A,"160920 SALUS",'Source'!$B:$B,$A206)</f>
        <v>10</v>
      </c>
      <c r="E206" s="8" t="n">
        <f aca="false">D206*$J$5</f>
        <v>12.6315789473684</v>
      </c>
      <c r="F206" s="8" t="n">
        <f aca="false">E206-C206</f>
        <v>2.63157894736842</v>
      </c>
      <c r="G206" s="9" t="n">
        <f aca="false">IF(AND(C206=0,E206=0),0,IF(C206=0,"New",(E206-C206)/C206))</f>
        <v>0.263157894736842</v>
      </c>
      <c r="H206" s="8" t="n">
        <f aca="false">SUMIFS('Source'!$E:$E,'Source'!$A:$A,"160920 SALUS",'Source'!$B:$B,$A206)</f>
        <v>238.65</v>
      </c>
      <c r="I206" s="8" t="n">
        <f aca="false">SUMIFS('Source'!$G:$G,'Source'!$A:$A,"160920 SALUS",'Source'!$B:$B,$A206)</f>
        <v>228.75</v>
      </c>
      <c r="J206" s="8" t="n">
        <f aca="false">I206*$J$5</f>
        <v>288.947368421053</v>
      </c>
      <c r="K206" s="8" t="n">
        <f aca="false">J206-H206</f>
        <v>50.2973684210526</v>
      </c>
      <c r="L206" s="9" t="n">
        <f aca="false">IF(AND(H206=0,J206=0),0,IF(H206=0,"New",(J206-H206)/H206))</f>
        <v>0.210757881504515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680</v>
      </c>
      <c r="B207" s="7" t="str">
        <f aca="false">IFERROR(INDEX('Source'!$C:$C,MATCH($A207,'Source'!$B:$B,0)),"")</f>
        <v>חבק יד מתכוון</v>
      </c>
      <c r="C207" s="8" t="n">
        <f aca="false">SUMIFS('Source'!$D:$D,'Source'!$A:$A,"160920 SALUS",'Source'!$B:$B,$A207)</f>
        <v>5</v>
      </c>
      <c r="D207" s="8" t="n">
        <f aca="false">SUMIFS('Source'!$F:$F,'Source'!$A:$A,"160920 SALUS",'Source'!$B:$B,$A207)</f>
        <v>5</v>
      </c>
      <c r="E207" s="8" t="n">
        <f aca="false">D207*$J$5</f>
        <v>6.31578947368421</v>
      </c>
      <c r="F207" s="8" t="n">
        <f aca="false">E207-C207</f>
        <v>1.31578947368421</v>
      </c>
      <c r="G207" s="9" t="n">
        <f aca="false">IF(AND(C207=0,E207=0),0,IF(C207=0,"New",(E207-C207)/C207))</f>
        <v>0.263157894736842</v>
      </c>
      <c r="H207" s="8" t="n">
        <f aca="false">SUMIFS('Source'!$E:$E,'Source'!$A:$A,"160920 SALUS",'Source'!$B:$B,$A207)</f>
        <v>71.67</v>
      </c>
      <c r="I207" s="8" t="n">
        <f aca="false">SUMIFS('Source'!$G:$G,'Source'!$A:$A,"160920 SALUS",'Source'!$B:$B,$A207)</f>
        <v>81.01</v>
      </c>
      <c r="J207" s="8" t="n">
        <f aca="false">I207*$J$5</f>
        <v>102.328421052632</v>
      </c>
      <c r="K207" s="8" t="n">
        <f aca="false">J207-H207</f>
        <v>30.6584210526316</v>
      </c>
      <c r="L207" s="9" t="n">
        <f aca="false">IF(AND(H207=0,J207=0),0,IF(H207=0,"New",(J207-H207)/H207))</f>
        <v>0.427772025291357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356</v>
      </c>
      <c r="B208" s="7" t="str">
        <f aca="false">IFERROR(INDEX('Source'!$C:$C,MATCH($A208,'Source'!$B:$B,0)),"")</f>
        <v>שרוול לגבס קצר יד</v>
      </c>
      <c r="C208" s="8" t="n">
        <f aca="false">SUMIFS('Source'!$D:$D,'Source'!$A:$A,"160920 SALUS",'Source'!$B:$B,$A208)</f>
        <v>10</v>
      </c>
      <c r="D208" s="8" t="n">
        <f aca="false">SUMIFS('Source'!$F:$F,'Source'!$A:$A,"160920 SALUS",'Source'!$B:$B,$A208)</f>
        <v>10</v>
      </c>
      <c r="E208" s="8" t="n">
        <f aca="false">D208*$J$5</f>
        <v>12.6315789473684</v>
      </c>
      <c r="F208" s="8" t="n">
        <f aca="false">E208-C208</f>
        <v>2.63157894736842</v>
      </c>
      <c r="G208" s="9" t="n">
        <f aca="false">IF(AND(C208=0,E208=0),0,IF(C208=0,"New",(E208-C208)/C208))</f>
        <v>0.263157894736842</v>
      </c>
      <c r="H208" s="8" t="n">
        <f aca="false">SUMIFS('Source'!$E:$E,'Source'!$A:$A,"160920 SALUS",'Source'!$B:$B,$A208)</f>
        <v>210.01</v>
      </c>
      <c r="I208" s="8" t="n">
        <f aca="false">SUMIFS('Source'!$G:$G,'Source'!$A:$A,"160920 SALUS",'Source'!$B:$B,$A208)</f>
        <v>201.3</v>
      </c>
      <c r="J208" s="8" t="n">
        <f aca="false">I208*$J$5</f>
        <v>254.273684210526</v>
      </c>
      <c r="K208" s="8" t="n">
        <f aca="false">J208-H208</f>
        <v>44.2636842105263</v>
      </c>
      <c r="L208" s="9" t="n">
        <f aca="false">IF(AND(H208=0,J208=0),0,IF(H208=0,"New",(J208-H208)/H208))</f>
        <v>0.210769411982888</v>
      </c>
      <c r="M208" s="7" t="str">
        <f aca="false">IF(AND(OR(C208&lt;&gt;0,H208&lt;&gt;0),D208=0,I208=0),"DROP",IF(AND(OR(D208&lt;&gt;0,I208&lt;&gt;0),C208=0,H208=0),"NEW",""))</f>
        <v/>
      </c>
    </row>
    <row r="209" customFormat="false" ht="15" hidden="false" customHeight="false" outlineLevel="0" collapsed="false">
      <c r="A209" s="7" t="s">
        <v>726</v>
      </c>
      <c r="B209" s="7" t="str">
        <f aca="false">IFERROR(INDEX('Source'!$C:$C,MATCH($A209,'Source'!$B:$B,0)),"")</f>
        <v>מגן קרסול סגור</v>
      </c>
      <c r="C209" s="8" t="n">
        <f aca="false">SUMIFS('Source'!$D:$D,'Source'!$A:$A,"160920 SALUS",'Source'!$B:$B,$A209)</f>
        <v>6</v>
      </c>
      <c r="D209" s="8" t="n">
        <f aca="false">SUMIFS('Source'!$F:$F,'Source'!$A:$A,"160920 SALUS",'Source'!$B:$B,$A209)</f>
        <v>5</v>
      </c>
      <c r="E209" s="8" t="n">
        <f aca="false">D209*$J$5</f>
        <v>6.31578947368421</v>
      </c>
      <c r="F209" s="8" t="n">
        <f aca="false">E209-C209</f>
        <v>0.315789473684211</v>
      </c>
      <c r="G209" s="9" t="n">
        <f aca="false">IF(AND(C209=0,E209=0),0,IF(C209=0,"New",(E209-C209)/C209))</f>
        <v>0.0526315789473684</v>
      </c>
      <c r="H209" s="8" t="n">
        <f aca="false">SUMIFS('Source'!$E:$E,'Source'!$A:$A,"160920 SALUS",'Source'!$B:$B,$A209)</f>
        <v>117.66</v>
      </c>
      <c r="I209" s="8" t="n">
        <f aca="false">SUMIFS('Source'!$G:$G,'Source'!$A:$A,"160920 SALUS",'Source'!$B:$B,$A209)</f>
        <v>110.82</v>
      </c>
      <c r="J209" s="8" t="n">
        <f aca="false">I209*$J$5</f>
        <v>139.983157894737</v>
      </c>
      <c r="K209" s="8" t="n">
        <f aca="false">J209-H209</f>
        <v>22.3231578947368</v>
      </c>
      <c r="L209" s="9" t="n">
        <f aca="false">IF(AND(H209=0,J209=0),0,IF(H209=0,"New",(J209-H209)/H209))</f>
        <v>0.189725972248316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203</v>
      </c>
      <c r="B210" s="7" t="str">
        <f aca="false">IFERROR(INDEX('Source'!$C:$C,MATCH($A210,'Source'!$B:$B,0)),"")</f>
        <v>מישר כתפיים</v>
      </c>
      <c r="C210" s="8" t="n">
        <f aca="false">SUMIFS('Source'!$D:$D,'Source'!$A:$A,"160920 SALUS",'Source'!$B:$B,$A210)</f>
        <v>5</v>
      </c>
      <c r="D210" s="8" t="n">
        <f aca="false">SUMIFS('Source'!$F:$F,'Source'!$A:$A,"160920 SALUS",'Source'!$B:$B,$A210)</f>
        <v>5</v>
      </c>
      <c r="E210" s="8" t="n">
        <f aca="false">D210*$J$5</f>
        <v>6.31578947368421</v>
      </c>
      <c r="F210" s="8" t="n">
        <f aca="false">E210-C210</f>
        <v>1.31578947368421</v>
      </c>
      <c r="G210" s="9" t="n">
        <f aca="false">IF(AND(C210=0,E210=0),0,IF(C210=0,"New",(E210-C210)/C210))</f>
        <v>0.263157894736842</v>
      </c>
      <c r="H210" s="8" t="n">
        <f aca="false">SUMIFS('Source'!$E:$E,'Source'!$A:$A,"160920 SALUS",'Source'!$B:$B,$A210)</f>
        <v>343.78</v>
      </c>
      <c r="I210" s="8" t="n">
        <f aca="false">SUMIFS('Source'!$G:$G,'Source'!$A:$A,"160920 SALUS",'Source'!$B:$B,$A210)</f>
        <v>349.26</v>
      </c>
      <c r="J210" s="8" t="n">
        <f aca="false">I210*$J$5</f>
        <v>441.170526315789</v>
      </c>
      <c r="K210" s="8" t="n">
        <f aca="false">J210-H210</f>
        <v>97.3905263157895</v>
      </c>
      <c r="L210" s="9" t="n">
        <f aca="false">IF(AND(H210=0,J210=0),0,IF(H210=0,"New",(J210-H210)/H210))</f>
        <v>0.283293170969194</v>
      </c>
      <c r="M210" s="7" t="str">
        <f aca="false">IF(AND(OR(C210&lt;&gt;0,H210&lt;&gt;0),D210=0,I210=0),"DROP",IF(AND(OR(D210&lt;&gt;0,I210&lt;&gt;0),C210=0,H210=0),"NEW",""))</f>
        <v/>
      </c>
    </row>
    <row r="211" customFormat="false" ht="15" hidden="false" customHeight="false" outlineLevel="0" collapsed="false">
      <c r="A211" s="7" t="s">
        <v>748</v>
      </c>
      <c r="B211" s="7" t="str">
        <f aca="false">IFERROR(INDEX('Source'!$C:$C,MATCH($A211,'Source'!$B:$B,0)),"")</f>
        <v>מגן ירך</v>
      </c>
      <c r="C211" s="8" t="n">
        <f aca="false">SUMIFS('Source'!$D:$D,'Source'!$A:$A,"160920 SALUS",'Source'!$B:$B,$A211)</f>
        <v>5</v>
      </c>
      <c r="D211" s="8" t="n">
        <f aca="false">SUMIFS('Source'!$F:$F,'Source'!$A:$A,"160920 SALUS",'Source'!$B:$B,$A211)</f>
        <v>5</v>
      </c>
      <c r="E211" s="8" t="n">
        <f aca="false">D211*$J$5</f>
        <v>6.31578947368421</v>
      </c>
      <c r="F211" s="8" t="n">
        <f aca="false">E211-C211</f>
        <v>1.31578947368421</v>
      </c>
      <c r="G211" s="9" t="n">
        <f aca="false">IF(AND(C211=0,E211=0),0,IF(C211=0,"New",(E211-C211)/C211))</f>
        <v>0.263157894736842</v>
      </c>
      <c r="H211" s="8" t="n">
        <f aca="false">SUMIFS('Source'!$E:$E,'Source'!$A:$A,"160920 SALUS",'Source'!$B:$B,$A211)</f>
        <v>52.06</v>
      </c>
      <c r="I211" s="8" t="n">
        <f aca="false">SUMIFS('Source'!$G:$G,'Source'!$A:$A,"160920 SALUS",'Source'!$B:$B,$A211)</f>
        <v>49.9</v>
      </c>
      <c r="J211" s="8" t="n">
        <f aca="false">I211*$J$5</f>
        <v>63.0315789473684</v>
      </c>
      <c r="K211" s="8" t="n">
        <f aca="false">J211-H211</f>
        <v>10.9715789473684</v>
      </c>
      <c r="L211" s="9" t="n">
        <f aca="false">IF(AND(H211=0,J211=0),0,IF(H211=0,"New",(J211-H211)/H211))</f>
        <v>0.210748731221061</v>
      </c>
      <c r="M211" s="7" t="str">
        <f aca="false">IF(AND(OR(C211&lt;&gt;0,H211&lt;&gt;0),D211=0,I211=0),"DROP",IF(AND(OR(D211&lt;&gt;0,I211&lt;&gt;0),C211=0,H211=0),"NEW",""))</f>
        <v/>
      </c>
    </row>
    <row r="212" customFormat="false" ht="15" hidden="false" customHeight="false" outlineLevel="0" collapsed="false">
      <c r="A212" s="7" t="s">
        <v>714</v>
      </c>
      <c r="B212" s="7" t="str">
        <f aca="false">IFERROR(INDEX('Source'!$C:$C,MATCH($A212,'Source'!$B:$B,0)),"")</f>
        <v>מגן מרפק</v>
      </c>
      <c r="C212" s="8" t="n">
        <f aca="false">SUMIFS('Source'!$D:$D,'Source'!$A:$A,"160920 SALUS",'Source'!$B:$B,$A212)</f>
        <v>36</v>
      </c>
      <c r="D212" s="8" t="n">
        <f aca="false">SUMIFS('Source'!$F:$F,'Source'!$A:$A,"160920 SALUS",'Source'!$B:$B,$A212)</f>
        <v>40</v>
      </c>
      <c r="E212" s="8" t="n">
        <f aca="false">D212*$J$5</f>
        <v>50.5263157894737</v>
      </c>
      <c r="F212" s="8" t="n">
        <f aca="false">E212-C212</f>
        <v>14.5263157894737</v>
      </c>
      <c r="G212" s="9" t="n">
        <f aca="false">IF(AND(C212=0,E212=0),0,IF(C212=0,"New",(E212-C212)/C212))</f>
        <v>0.403508771929825</v>
      </c>
      <c r="H212" s="8" t="n">
        <f aca="false">SUMIFS('Source'!$E:$E,'Source'!$A:$A,"160920 SALUS",'Source'!$B:$B,$A212)</f>
        <v>406.21</v>
      </c>
      <c r="I212" s="8" t="n">
        <f aca="false">SUMIFS('Source'!$G:$G,'Source'!$A:$A,"160920 SALUS",'Source'!$B:$B,$A212)</f>
        <v>406.3</v>
      </c>
      <c r="J212" s="8" t="n">
        <f aca="false">I212*$J$5</f>
        <v>513.221052631579</v>
      </c>
      <c r="K212" s="8" t="n">
        <f aca="false">J212-H212</f>
        <v>107.011052631579</v>
      </c>
      <c r="L212" s="9" t="n">
        <f aca="false">IF(AND(H212=0,J212=0),0,IF(H212=0,"New",(J212-H212)/H212))</f>
        <v>0.263437760349521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110</v>
      </c>
      <c r="B213" s="7" t="str">
        <f aca="false">IFERROR(INDEX('Source'!$C:$C,MATCH($A213,'Source'!$B:$B,0)),"")</f>
        <v>גרבי נסיעות אנטיבקטריאלי</v>
      </c>
      <c r="C213" s="8" t="n">
        <f aca="false">SUMIFS('Source'!$D:$D,'Source'!$A:$A,"160920 SALUS",'Source'!$B:$B,$A213)</f>
        <v>1</v>
      </c>
      <c r="D213" s="8" t="n">
        <f aca="false">SUMIFS('Source'!$F:$F,'Source'!$A:$A,"160920 SALUS",'Source'!$B:$B,$A213)</f>
        <v>0</v>
      </c>
      <c r="E213" s="8" t="n">
        <f aca="false">D213*$J$5</f>
        <v>0</v>
      </c>
      <c r="F213" s="8" t="n">
        <f aca="false">E213-C213</f>
        <v>-1</v>
      </c>
      <c r="G213" s="9" t="n">
        <f aca="false">IF(AND(C213=0,E213=0),0,IF(C213=0,"New",(E213-C213)/C213))</f>
        <v>-1</v>
      </c>
      <c r="H213" s="8" t="n">
        <f aca="false">SUMIFS('Source'!$E:$E,'Source'!$A:$A,"160920 SALUS",'Source'!$B:$B,$A213)</f>
        <v>0.03</v>
      </c>
      <c r="I213" s="8" t="n">
        <f aca="false">SUMIFS('Source'!$G:$G,'Source'!$A:$A,"160920 SALUS",'Source'!$B:$B,$A213)</f>
        <v>0</v>
      </c>
      <c r="J213" s="8" t="n">
        <f aca="false">I213*$J$5</f>
        <v>0</v>
      </c>
      <c r="K213" s="8" t="n">
        <f aca="false">J213-H213</f>
        <v>-0.03</v>
      </c>
      <c r="L213" s="9" t="n">
        <f aca="false">IF(AND(H213=0,J213=0),0,IF(H213=0,"New",(J213-H213)/H213))</f>
        <v>-1</v>
      </c>
      <c r="M213" s="7" t="str">
        <f aca="false">IF(AND(OR(C213&lt;&gt;0,H213&lt;&gt;0),D213=0,I213=0),"DROP",IF(AND(OR(D213&lt;&gt;0,I213&lt;&gt;0),C213=0,H213=0),"NEW",""))</f>
        <v>DROP</v>
      </c>
    </row>
    <row r="214" customFormat="false" ht="15" hidden="false" customHeight="false" outlineLevel="0" collapsed="false">
      <c r="A214" s="7" t="s">
        <v>947</v>
      </c>
      <c r="B214" s="7" t="str">
        <f aca="false">IFERROR(INDEX('Source'!$C:$C,MATCH($A214,'Source'!$B:$B,0)),"")</f>
        <v>טייפ בסיס מקדים</v>
      </c>
      <c r="C214" s="8" t="n">
        <f aca="false">SUMIFS('Source'!$D:$D,'Source'!$A:$A,"160920 SALUS",'Source'!$B:$B,$A214)</f>
        <v>0</v>
      </c>
      <c r="D214" s="8" t="n">
        <f aca="false">SUMIFS('Source'!$F:$F,'Source'!$A:$A,"160920 SALUS",'Source'!$B:$B,$A214)</f>
        <v>1</v>
      </c>
      <c r="E214" s="8" t="n">
        <f aca="false">D214*$J$5</f>
        <v>1.26315789473684</v>
      </c>
      <c r="F214" s="8" t="n">
        <f aca="false">E214-C214</f>
        <v>1.26315789473684</v>
      </c>
      <c r="G214" s="9" t="str">
        <f aca="false">IF(AND(C214=0,E214=0),0,IF(C214=0,"New",(E214-C214)/C214))</f>
        <v>New</v>
      </c>
      <c r="H214" s="8" t="n">
        <f aca="false">SUMIFS('Source'!$E:$E,'Source'!$A:$A,"160920 SALUS",'Source'!$B:$B,$A214)</f>
        <v>0</v>
      </c>
      <c r="I214" s="8" t="n">
        <f aca="false">SUMIFS('Source'!$G:$G,'Source'!$A:$A,"160920 SALUS",'Source'!$B:$B,$A214)</f>
        <v>0.03</v>
      </c>
      <c r="J214" s="8" t="n">
        <f aca="false">I214*$J$5</f>
        <v>0.0378947368421053</v>
      </c>
      <c r="K214" s="8" t="n">
        <f aca="false">J214-H214</f>
        <v>0.0378947368421053</v>
      </c>
      <c r="L214" s="9" t="str">
        <f aca="false">IF(AND(H214=0,J214=0),0,IF(H214=0,"New",(J214-H214)/H214))</f>
        <v>New</v>
      </c>
      <c r="M214" s="7" t="str">
        <f aca="false">IF(AND(OR(C214&lt;&gt;0,H214&lt;&gt;0),D214=0,I214=0),"DROP",IF(AND(OR(D214&lt;&gt;0,I214&lt;&gt;0),C214=0,H214=0),"NEW",""))</f>
        <v>NEW</v>
      </c>
    </row>
    <row r="215" customFormat="false" ht="15" hidden="false" customHeight="false" outlineLevel="0" collapsed="false">
      <c r="A215" s="7" t="s">
        <v>738</v>
      </c>
      <c r="B215" s="7" t="str">
        <f aca="false">IFERROR(INDEX('Source'!$C:$C,MATCH($A215,'Source'!$B:$B,0)),"")</f>
        <v>גרבי חורף אנטיבקטריאלי לבן</v>
      </c>
      <c r="C215" s="8" t="n">
        <f aca="false">SUMIFS('Source'!$D:$D,'Source'!$A:$A,"160920 SALUS",'Source'!$B:$B,$A215)</f>
        <v>1</v>
      </c>
      <c r="D215" s="8" t="n">
        <f aca="false">SUMIFS('Source'!$F:$F,'Source'!$A:$A,"160920 SALUS",'Source'!$B:$B,$A215)</f>
        <v>0</v>
      </c>
      <c r="E215" s="8" t="n">
        <f aca="false">D215*$J$5</f>
        <v>0</v>
      </c>
      <c r="F215" s="8" t="n">
        <f aca="false">E215-C215</f>
        <v>-1</v>
      </c>
      <c r="G215" s="9" t="n">
        <f aca="false">IF(AND(C215=0,E215=0),0,IF(C215=0,"New",(E215-C215)/C215))</f>
        <v>-1</v>
      </c>
      <c r="H215" s="8" t="n">
        <f aca="false">SUMIFS('Source'!$E:$E,'Source'!$A:$A,"160920 SALUS",'Source'!$B:$B,$A215)</f>
        <v>0.03</v>
      </c>
      <c r="I215" s="8" t="n">
        <f aca="false">SUMIFS('Source'!$G:$G,'Source'!$A:$A,"160920 SALUS",'Source'!$B:$B,$A215)</f>
        <v>0</v>
      </c>
      <c r="J215" s="8" t="n">
        <f aca="false">I215*$J$5</f>
        <v>0</v>
      </c>
      <c r="K215" s="8" t="n">
        <f aca="false">J215-H215</f>
        <v>-0.03</v>
      </c>
      <c r="L215" s="9" t="n">
        <f aca="false">IF(AND(H215=0,J215=0),0,IF(H215=0,"New",(J215-H215)/H215))</f>
        <v>-1</v>
      </c>
      <c r="M215" s="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false" outlineLevel="0" collapsed="false">
      <c r="A216" s="7" t="s">
        <v>935</v>
      </c>
      <c r="B216" s="7" t="str">
        <f aca="false">IFERROR(INDEX('Source'!$C:$C,MATCH($A216,'Source'!$B:$B,0)),"")</f>
        <v>צוארון עממי</v>
      </c>
      <c r="C216" s="8" t="n">
        <f aca="false">SUMIFS('Source'!$D:$D,'Source'!$A:$A,"160920 SALUS",'Source'!$B:$B,$A216)</f>
        <v>0</v>
      </c>
      <c r="D216" s="8" t="n">
        <f aca="false">SUMIFS('Source'!$F:$F,'Source'!$A:$A,"160920 SALUS",'Source'!$B:$B,$A216)</f>
        <v>1</v>
      </c>
      <c r="E216" s="8" t="n">
        <f aca="false">D216*$J$5</f>
        <v>1.26315789473684</v>
      </c>
      <c r="F216" s="8" t="n">
        <f aca="false">E216-C216</f>
        <v>1.26315789473684</v>
      </c>
      <c r="G216" s="9" t="str">
        <f aca="false">IF(AND(C216=0,E216=0),0,IF(C216=0,"New",(E216-C216)/C216))</f>
        <v>New</v>
      </c>
      <c r="H216" s="8" t="n">
        <f aca="false">SUMIFS('Source'!$E:$E,'Source'!$A:$A,"160920 SALUS",'Source'!$B:$B,$A216)</f>
        <v>0</v>
      </c>
      <c r="I216" s="8" t="n">
        <f aca="false">SUMIFS('Source'!$G:$G,'Source'!$A:$A,"160920 SALUS",'Source'!$B:$B,$A216)</f>
        <v>0.03</v>
      </c>
      <c r="J216" s="8" t="n">
        <f aca="false">I216*$J$5</f>
        <v>0.0378947368421053</v>
      </c>
      <c r="K216" s="8" t="n">
        <f aca="false">J216-H216</f>
        <v>0.0378947368421053</v>
      </c>
      <c r="L216" s="9" t="str">
        <f aca="false">IF(AND(H216=0,J216=0),0,IF(H216=0,"New",(J216-H216)/H216))</f>
        <v>New</v>
      </c>
      <c r="M216" s="7" t="str">
        <f aca="false">IF(AND(OR(C216&lt;&gt;0,H216&lt;&gt;0),D216=0,I216=0),"DROP",IF(AND(OR(D216&lt;&gt;0,I216&lt;&gt;0),C216=0,H216=0),"NEW",""))</f>
        <v>NEW</v>
      </c>
    </row>
    <row r="217" customFormat="false" ht="15" hidden="false" customHeight="false" outlineLevel="0" collapsed="false">
      <c r="A217" s="7" t="s">
        <v>964</v>
      </c>
      <c r="B217" s="7" t="str">
        <f aca="false">IFERROR(INDEX('Source'!$C:$C,MATCH($A217,'Source'!$B:$B,0)),"")</f>
        <v>MalleoShield תומך קרסול עם כריות ג'ל</v>
      </c>
      <c r="C217" s="8" t="n">
        <f aca="false">SUMIFS('Source'!$D:$D,'Source'!$A:$A,"160920 SALUS",'Source'!$B:$B,$A217)</f>
        <v>0</v>
      </c>
      <c r="D217" s="8" t="n">
        <f aca="false">SUMIFS('Source'!$F:$F,'Source'!$A:$A,"160920 SALUS",'Source'!$B:$B,$A217)</f>
        <v>1</v>
      </c>
      <c r="E217" s="8" t="n">
        <f aca="false">D217*$J$5</f>
        <v>1.26315789473684</v>
      </c>
      <c r="F217" s="8" t="n">
        <f aca="false">E217-C217</f>
        <v>1.26315789473684</v>
      </c>
      <c r="G217" s="9" t="str">
        <f aca="false">IF(AND(C217=0,E217=0),0,IF(C217=0,"New",(E217-C217)/C217))</f>
        <v>New</v>
      </c>
      <c r="H217" s="8" t="n">
        <f aca="false">SUMIFS('Source'!$E:$E,'Source'!$A:$A,"160920 SALUS",'Source'!$B:$B,$A217)</f>
        <v>0</v>
      </c>
      <c r="I217" s="8" t="n">
        <f aca="false">SUMIFS('Source'!$G:$G,'Source'!$A:$A,"160920 SALUS",'Source'!$B:$B,$A217)</f>
        <v>0.03</v>
      </c>
      <c r="J217" s="8" t="n">
        <f aca="false">I217*$J$5</f>
        <v>0.0378947368421053</v>
      </c>
      <c r="K217" s="8" t="n">
        <f aca="false">J217-H217</f>
        <v>0.0378947368421053</v>
      </c>
      <c r="L217" s="9" t="str">
        <f aca="false">IF(AND(H217=0,J217=0),0,IF(H217=0,"New",(J217-H217)/H217))</f>
        <v>New</v>
      </c>
      <c r="M217" s="7" t="str">
        <f aca="false">IF(AND(OR(C217&lt;&gt;0,H217&lt;&gt;0),D217=0,I217=0),"DROP",IF(AND(OR(D217&lt;&gt;0,I217&lt;&gt;0),C217=0,H217=0),"NEW",""))</f>
        <v>NEW</v>
      </c>
    </row>
    <row r="218" customFormat="false" ht="15" hidden="false" customHeight="false" outlineLevel="0" collapsed="false">
      <c r="A218" s="7" t="s">
        <v>118</v>
      </c>
      <c r="B218" s="7" t="str">
        <f aca="false">IFERROR(INDEX('Source'!$C:$C,MATCH($A218,'Source'!$B:$B,0)),"")</f>
        <v>גרבי קיץ אנטיבקטריאלי שחור</v>
      </c>
      <c r="C218" s="8" t="n">
        <f aca="false">SUMIFS('Source'!$D:$D,'Source'!$A:$A,"160920 SALUS",'Source'!$B:$B,$A218)</f>
        <v>1</v>
      </c>
      <c r="D218" s="8" t="n">
        <f aca="false">SUMIFS('Source'!$F:$F,'Source'!$A:$A,"160920 SALUS",'Source'!$B:$B,$A218)</f>
        <v>0</v>
      </c>
      <c r="E218" s="8" t="n">
        <f aca="false">D218*$J$5</f>
        <v>0</v>
      </c>
      <c r="F218" s="8" t="n">
        <f aca="false">E218-C218</f>
        <v>-1</v>
      </c>
      <c r="G218" s="9" t="n">
        <f aca="false">IF(AND(C218=0,E218=0),0,IF(C218=0,"New",(E218-C218)/C218))</f>
        <v>-1</v>
      </c>
      <c r="H218" s="8" t="n">
        <f aca="false">SUMIFS('Source'!$E:$E,'Source'!$A:$A,"160920 SALUS",'Source'!$B:$B,$A218)</f>
        <v>0.03</v>
      </c>
      <c r="I218" s="8" t="n">
        <f aca="false">SUMIFS('Source'!$G:$G,'Source'!$A:$A,"160920 SALUS",'Source'!$B:$B,$A218)</f>
        <v>0</v>
      </c>
      <c r="J218" s="8" t="n">
        <f aca="false">I218*$J$5</f>
        <v>0</v>
      </c>
      <c r="K218" s="8" t="n">
        <f aca="false">J218-H218</f>
        <v>-0.03</v>
      </c>
      <c r="L218" s="9" t="n">
        <f aca="false">IF(AND(H218=0,J218=0),0,IF(H218=0,"New",(J218-H218)/H218))</f>
        <v>-1</v>
      </c>
      <c r="M218" s="7" t="str">
        <f aca="false">IF(AND(OR(C218&lt;&gt;0,H218&lt;&gt;0),D218=0,I218=0),"DROP",IF(AND(OR(D218&lt;&gt;0,I218&lt;&gt;0),C218=0,H218=0),"NEW",""))</f>
        <v>DROP</v>
      </c>
    </row>
    <row r="219" customFormat="false" ht="15" hidden="false" customHeight="false" outlineLevel="0" collapsed="false">
      <c r="A219" s="7" t="s">
        <v>965</v>
      </c>
      <c r="B219" s="7" t="str">
        <f aca="false">IFERROR(INDEX('Source'!$C:$C,MATCH($A219,'Source'!$B:$B,0)),"")</f>
        <v>תרמה ברך</v>
      </c>
      <c r="C219" s="8" t="n">
        <f aca="false">SUMIFS('Source'!$D:$D,'Source'!$A:$A,"160920 SALUS",'Source'!$B:$B,$A219)</f>
        <v>0</v>
      </c>
      <c r="D219" s="8" t="n">
        <f aca="false">SUMIFS('Source'!$F:$F,'Source'!$A:$A,"160920 SALUS",'Source'!$B:$B,$A219)</f>
        <v>1</v>
      </c>
      <c r="E219" s="8" t="n">
        <f aca="false">D219*$J$5</f>
        <v>1.26315789473684</v>
      </c>
      <c r="F219" s="8" t="n">
        <f aca="false">E219-C219</f>
        <v>1.26315789473684</v>
      </c>
      <c r="G219" s="9" t="str">
        <f aca="false">IF(AND(C219=0,E219=0),0,IF(C219=0,"New",(E219-C219)/C219))</f>
        <v>New</v>
      </c>
      <c r="H219" s="8" t="n">
        <f aca="false">SUMIFS('Source'!$E:$E,'Source'!$A:$A,"160920 SALUS",'Source'!$B:$B,$A219)</f>
        <v>0</v>
      </c>
      <c r="I219" s="8" t="n">
        <f aca="false">SUMIFS('Source'!$G:$G,'Source'!$A:$A,"160920 SALUS",'Source'!$B:$B,$A219)</f>
        <v>0.03</v>
      </c>
      <c r="J219" s="8" t="n">
        <f aca="false">I219*$J$5</f>
        <v>0.0378947368421053</v>
      </c>
      <c r="K219" s="8" t="n">
        <f aca="false">J219-H219</f>
        <v>0.0378947368421053</v>
      </c>
      <c r="L219" s="9" t="str">
        <f aca="false">IF(AND(H219=0,J219=0),0,IF(H219=0,"New",(J219-H219)/H219))</f>
        <v>New</v>
      </c>
      <c r="M219" s="7" t="str">
        <f aca="false">IF(AND(OR(C219&lt;&gt;0,H219&lt;&gt;0),D219=0,I219=0),"DROP",IF(AND(OR(D219&lt;&gt;0,I219&lt;&gt;0),C219=0,H219=0),"NEW",""))</f>
        <v>NEW</v>
      </c>
    </row>
    <row r="220" customFormat="false" ht="15" hidden="false" customHeight="false" outlineLevel="0" collapsed="false">
      <c r="A220" s="7" t="s">
        <v>966</v>
      </c>
      <c r="B220" s="7" t="str">
        <f aca="false">IFERROR(INDEX('Source'!$C:$C,MATCH($A220,'Source'!$B:$B,0)),"")</f>
        <v>ThermaSpine חגורת גב תרמית לתמיכה</v>
      </c>
      <c r="C220" s="8" t="n">
        <f aca="false">SUMIFS('Source'!$D:$D,'Source'!$A:$A,"160920 SALUS",'Source'!$B:$B,$A220)</f>
        <v>0</v>
      </c>
      <c r="D220" s="8" t="n">
        <f aca="false">SUMIFS('Source'!$F:$F,'Source'!$A:$A,"160920 SALUS",'Source'!$B:$B,$A220)</f>
        <v>1</v>
      </c>
      <c r="E220" s="8" t="n">
        <f aca="false">D220*$J$5</f>
        <v>1.26315789473684</v>
      </c>
      <c r="F220" s="8" t="n">
        <f aca="false">E220-C220</f>
        <v>1.26315789473684</v>
      </c>
      <c r="G220" s="9" t="str">
        <f aca="false">IF(AND(C220=0,E220=0),0,IF(C220=0,"New",(E220-C220)/C220))</f>
        <v>New</v>
      </c>
      <c r="H220" s="8" t="n">
        <f aca="false">SUMIFS('Source'!$E:$E,'Source'!$A:$A,"160920 SALUS",'Source'!$B:$B,$A220)</f>
        <v>0</v>
      </c>
      <c r="I220" s="8" t="n">
        <f aca="false">SUMIFS('Source'!$G:$G,'Source'!$A:$A,"160920 SALUS",'Source'!$B:$B,$A220)</f>
        <v>0.03</v>
      </c>
      <c r="J220" s="8" t="n">
        <f aca="false">I220*$J$5</f>
        <v>0.0378947368421053</v>
      </c>
      <c r="K220" s="8" t="n">
        <f aca="false">J220-H220</f>
        <v>0.0378947368421053</v>
      </c>
      <c r="L220" s="9" t="str">
        <f aca="false">IF(AND(H220=0,J220=0),0,IF(H220=0,"New",(J220-H220)/H220))</f>
        <v>New</v>
      </c>
      <c r="M220" s="7" t="str">
        <f aca="false">IF(AND(OR(C220&lt;&gt;0,H220&lt;&gt;0),D220=0,I220=0),"DROP",IF(AND(OR(D220&lt;&gt;0,I220&lt;&gt;0),C220=0,H220=0),"NEW",""))</f>
        <v>NEW</v>
      </c>
    </row>
    <row r="221" customFormat="false" ht="15" hidden="false" customHeight="false" outlineLevel="0" collapsed="false">
      <c r="A221" s="7" t="s">
        <v>517</v>
      </c>
      <c r="B221" s="7" t="str">
        <f aca="false">IFERROR(INDEX('Source'!$C:$C,MATCH($A221,'Source'!$B:$B,0)),"")</f>
        <v>סד לילה לבוהן</v>
      </c>
      <c r="C221" s="8" t="n">
        <f aca="false">SUMIFS('Source'!$D:$D,'Source'!$A:$A,"160920 SALUS",'Source'!$B:$B,$A221)</f>
        <v>1</v>
      </c>
      <c r="D221" s="8" t="n">
        <f aca="false">SUMIFS('Source'!$F:$F,'Source'!$A:$A,"160920 SALUS",'Source'!$B:$B,$A221)</f>
        <v>0</v>
      </c>
      <c r="E221" s="8" t="n">
        <f aca="false">D221*$J$5</f>
        <v>0</v>
      </c>
      <c r="F221" s="8" t="n">
        <f aca="false">E221-C221</f>
        <v>-1</v>
      </c>
      <c r="G221" s="9" t="n">
        <f aca="false">IF(AND(C221=0,E221=0),0,IF(C221=0,"New",(E221-C221)/C221))</f>
        <v>-1</v>
      </c>
      <c r="H221" s="8" t="n">
        <f aca="false">SUMIFS('Source'!$E:$E,'Source'!$A:$A,"160920 SALUS",'Source'!$B:$B,$A221)</f>
        <v>0.03</v>
      </c>
      <c r="I221" s="8" t="n">
        <f aca="false">SUMIFS('Source'!$G:$G,'Source'!$A:$A,"160920 SALUS",'Source'!$B:$B,$A221)</f>
        <v>0</v>
      </c>
      <c r="J221" s="8" t="n">
        <f aca="false">I221*$J$5</f>
        <v>0</v>
      </c>
      <c r="K221" s="8" t="n">
        <f aca="false">J221-H221</f>
        <v>-0.03</v>
      </c>
      <c r="L221" s="9" t="n">
        <f aca="false">IF(AND(H221=0,J221=0),0,IF(H221=0,"New",(J221-H221)/H221))</f>
        <v>-1</v>
      </c>
      <c r="M221" s="7" t="str">
        <f aca="false">IF(AND(OR(C221&lt;&gt;0,H221&lt;&gt;0),D221=0,I221=0),"DROP",IF(AND(OR(D221&lt;&gt;0,I221&lt;&gt;0),C221=0,H221=0),"NEW",""))</f>
        <v>DROP</v>
      </c>
    </row>
    <row r="222" customFormat="false" ht="15" hidden="false" customHeight="false" outlineLevel="0" collapsed="false">
      <c r="A222" s="7" t="s">
        <v>967</v>
      </c>
      <c r="B222" s="7" t="str">
        <f aca="false">IFERROR(INDEX('Source'!$C:$C,MATCH($A222,'Source'!$B:$B,0)),"")</f>
        <v>גינושילד פרו מייצב ברך עם צירים- שמאל</v>
      </c>
      <c r="C222" s="8" t="n">
        <f aca="false">SUMIFS('Source'!$D:$D,'Source'!$A:$A,"160920 SALUS",'Source'!$B:$B,$A222)</f>
        <v>0</v>
      </c>
      <c r="D222" s="8" t="n">
        <f aca="false">SUMIFS('Source'!$F:$F,'Source'!$A:$A,"160920 SALUS",'Source'!$B:$B,$A222)</f>
        <v>1</v>
      </c>
      <c r="E222" s="8" t="n">
        <f aca="false">D222*$J$5</f>
        <v>1.26315789473684</v>
      </c>
      <c r="F222" s="8" t="n">
        <f aca="false">E222-C222</f>
        <v>1.26315789473684</v>
      </c>
      <c r="G222" s="9" t="str">
        <f aca="false">IF(AND(C222=0,E222=0),0,IF(C222=0,"New",(E222-C222)/C222))</f>
        <v>New</v>
      </c>
      <c r="H222" s="8" t="n">
        <f aca="false">SUMIFS('Source'!$E:$E,'Source'!$A:$A,"160920 SALUS",'Source'!$B:$B,$A222)</f>
        <v>0</v>
      </c>
      <c r="I222" s="8" t="n">
        <f aca="false">SUMIFS('Source'!$G:$G,'Source'!$A:$A,"160920 SALUS",'Source'!$B:$B,$A222)</f>
        <v>0.03</v>
      </c>
      <c r="J222" s="8" t="n">
        <f aca="false">I222*$J$5</f>
        <v>0.0378947368421053</v>
      </c>
      <c r="K222" s="8" t="n">
        <f aca="false">J222-H222</f>
        <v>0.0378947368421053</v>
      </c>
      <c r="L222" s="9" t="str">
        <f aca="false">IF(AND(H222=0,J222=0),0,IF(H222=0,"New",(J222-H222)/H222))</f>
        <v>New</v>
      </c>
      <c r="M222" s="7" t="str">
        <f aca="false">IF(AND(OR(C222&lt;&gt;0,H222&lt;&gt;0),D222=0,I222=0),"DROP",IF(AND(OR(D222&lt;&gt;0,I222&lt;&gt;0),C222=0,H222=0),"NEW",""))</f>
        <v>NEW</v>
      </c>
    </row>
    <row r="223" customFormat="false" ht="15" hidden="false" customHeight="false" outlineLevel="0" collapsed="false">
      <c r="A223" s="7" t="s">
        <v>568</v>
      </c>
      <c r="B223" s="7" t="str">
        <f aca="false">IFERROR(INDEX('Source'!$C:$C,MATCH($A223,'Source'!$B:$B,0)),"")</f>
        <v>WRISTO STRAP חבק יד</v>
      </c>
      <c r="C223" s="8" t="n">
        <f aca="false">SUMIFS('Source'!$D:$D,'Source'!$A:$A,"160920 SALUS",'Source'!$B:$B,$A223)</f>
        <v>0</v>
      </c>
      <c r="D223" s="8" t="n">
        <f aca="false">SUMIFS('Source'!$F:$F,'Source'!$A:$A,"160920 SALUS",'Source'!$B:$B,$A223)</f>
        <v>1</v>
      </c>
      <c r="E223" s="8" t="n">
        <f aca="false">D223*$J$5</f>
        <v>1.26315789473684</v>
      </c>
      <c r="F223" s="8" t="n">
        <f aca="false">E223-C223</f>
        <v>1.26315789473684</v>
      </c>
      <c r="G223" s="9" t="str">
        <f aca="false">IF(AND(C223=0,E223=0),0,IF(C223=0,"New",(E223-C223)/C223))</f>
        <v>New</v>
      </c>
      <c r="H223" s="8" t="n">
        <f aca="false">SUMIFS('Source'!$E:$E,'Source'!$A:$A,"160920 SALUS",'Source'!$B:$B,$A223)</f>
        <v>0</v>
      </c>
      <c r="I223" s="8" t="n">
        <f aca="false">SUMIFS('Source'!$G:$G,'Source'!$A:$A,"160920 SALUS",'Source'!$B:$B,$A223)</f>
        <v>0.03</v>
      </c>
      <c r="J223" s="8" t="n">
        <f aca="false">I223*$J$5</f>
        <v>0.0378947368421053</v>
      </c>
      <c r="K223" s="8" t="n">
        <f aca="false">J223-H223</f>
        <v>0.0378947368421053</v>
      </c>
      <c r="L223" s="9" t="str">
        <f aca="false">IF(AND(H223=0,J223=0),0,IF(H223=0,"New",(J223-H223)/H223))</f>
        <v>New</v>
      </c>
      <c r="M223" s="7" t="str">
        <f aca="false">IF(AND(OR(C223&lt;&gt;0,H223&lt;&gt;0),D223=0,I223=0),"DROP",IF(AND(OR(D223&lt;&gt;0,I223&lt;&gt;0),C223=0,H223=0),"NEW",""))</f>
        <v>NEW</v>
      </c>
    </row>
    <row r="224" customFormat="false" ht="15" hidden="false" customHeight="false" outlineLevel="0" collapsed="false">
      <c r="A224" s="7" t="s">
        <v>334</v>
      </c>
      <c r="B224" s="7" t="str">
        <f aca="false">IFERROR(INDEX('Source'!$C:$C,MATCH($A224,'Source'!$B:$B,0)),"")</f>
        <v>סד לילה לבוהן</v>
      </c>
      <c r="C224" s="8" t="n">
        <f aca="false">SUMIFS('Source'!$D:$D,'Source'!$A:$A,"160920 SALUS",'Source'!$B:$B,$A224)</f>
        <v>1</v>
      </c>
      <c r="D224" s="8" t="n">
        <f aca="false">SUMIFS('Source'!$F:$F,'Source'!$A:$A,"160920 SALUS",'Source'!$B:$B,$A224)</f>
        <v>0</v>
      </c>
      <c r="E224" s="8" t="n">
        <f aca="false">D224*$J$5</f>
        <v>0</v>
      </c>
      <c r="F224" s="8" t="n">
        <f aca="false">E224-C224</f>
        <v>-1</v>
      </c>
      <c r="G224" s="9" t="n">
        <f aca="false">IF(AND(C224=0,E224=0),0,IF(C224=0,"New",(E224-C224)/C224))</f>
        <v>-1</v>
      </c>
      <c r="H224" s="8" t="n">
        <f aca="false">SUMIFS('Source'!$E:$E,'Source'!$A:$A,"160920 SALUS",'Source'!$B:$B,$A224)</f>
        <v>0.03</v>
      </c>
      <c r="I224" s="8" t="n">
        <f aca="false">SUMIFS('Source'!$G:$G,'Source'!$A:$A,"160920 SALUS",'Source'!$B:$B,$A224)</f>
        <v>0</v>
      </c>
      <c r="J224" s="8" t="n">
        <f aca="false">I224*$J$5</f>
        <v>0</v>
      </c>
      <c r="K224" s="8" t="n">
        <f aca="false">J224-H224</f>
        <v>-0.03</v>
      </c>
      <c r="L224" s="9" t="n">
        <f aca="false">IF(AND(H224=0,J224=0),0,IF(H224=0,"New",(J224-H224)/H224))</f>
        <v>-1</v>
      </c>
      <c r="M224" s="7" t="str">
        <f aca="false">IF(AND(OR(C224&lt;&gt;0,H224&lt;&gt;0),D224=0,I224=0),"DROP",IF(AND(OR(D224&lt;&gt;0,I224&lt;&gt;0),C224=0,H224=0),"NEW",""))</f>
        <v>DROP</v>
      </c>
    </row>
    <row r="225" customFormat="false" ht="15" hidden="false" customHeight="false" outlineLevel="0" collapsed="false">
      <c r="A225" s="7" t="s">
        <v>968</v>
      </c>
      <c r="B225" s="7" t="str">
        <f aca="false">IFERROR(INDEX('Source'!$C:$C,MATCH($A225,'Source'!$B:$B,0)),"")</f>
        <v>תרמה קרסול</v>
      </c>
      <c r="C225" s="8" t="n">
        <f aca="false">SUMIFS('Source'!$D:$D,'Source'!$A:$A,"160920 SALUS",'Source'!$B:$B,$A225)</f>
        <v>0</v>
      </c>
      <c r="D225" s="8" t="n">
        <f aca="false">SUMIFS('Source'!$F:$F,'Source'!$A:$A,"160920 SALUS",'Source'!$B:$B,$A225)</f>
        <v>1</v>
      </c>
      <c r="E225" s="8" t="n">
        <f aca="false">D225*$J$5</f>
        <v>1.26315789473684</v>
      </c>
      <c r="F225" s="8" t="n">
        <f aca="false">E225-C225</f>
        <v>1.26315789473684</v>
      </c>
      <c r="G225" s="9" t="str">
        <f aca="false">IF(AND(C225=0,E225=0),0,IF(C225=0,"New",(E225-C225)/C225))</f>
        <v>New</v>
      </c>
      <c r="H225" s="8" t="n">
        <f aca="false">SUMIFS('Source'!$E:$E,'Source'!$A:$A,"160920 SALUS",'Source'!$B:$B,$A225)</f>
        <v>0</v>
      </c>
      <c r="I225" s="8" t="n">
        <f aca="false">SUMIFS('Source'!$G:$G,'Source'!$A:$A,"160920 SALUS",'Source'!$B:$B,$A225)</f>
        <v>0.03</v>
      </c>
      <c r="J225" s="8" t="n">
        <f aca="false">I225*$J$5</f>
        <v>0.0378947368421053</v>
      </c>
      <c r="K225" s="8" t="n">
        <f aca="false">J225-H225</f>
        <v>0.0378947368421053</v>
      </c>
      <c r="L225" s="9" t="str">
        <f aca="false">IF(AND(H225=0,J225=0),0,IF(H225=0,"New",(J225-H225)/H225))</f>
        <v>New</v>
      </c>
      <c r="M225" s="7" t="str">
        <f aca="false">IF(AND(OR(C225&lt;&gt;0,H225&lt;&gt;0),D225=0,I225=0),"DROP",IF(AND(OR(D225&lt;&gt;0,I225&lt;&gt;0),C225=0,H225=0),"NEW",""))</f>
        <v>NEW</v>
      </c>
    </row>
    <row r="227" customFormat="false" ht="15" hidden="false" customHeight="false" outlineLevel="0" collapsed="false">
      <c r="A227" s="17"/>
      <c r="B227" s="18" t="s">
        <v>97</v>
      </c>
      <c r="C227" s="19" t="n">
        <f aca="false">SUM(C9:C225)</f>
        <v>18268</v>
      </c>
      <c r="D227" s="19" t="n">
        <f aca="false">SUM(D9:D225)</f>
        <v>20601</v>
      </c>
      <c r="E227" s="19" t="n">
        <f aca="false">SUM(E9:E225)</f>
        <v>26022.3157894737</v>
      </c>
      <c r="F227" s="19" t="n">
        <f aca="false">SUM(F9:F225)</f>
        <v>7754.31578947368</v>
      </c>
      <c r="G227" s="20" t="n">
        <f aca="false">IF(C227=0,"N/A",F227/C227)</f>
        <v>0.424475355237228</v>
      </c>
      <c r="H227" s="19" t="n">
        <f aca="false">SUM(H9:H225)</f>
        <v>319558.55</v>
      </c>
      <c r="I227" s="19" t="n">
        <f aca="false">SUM(I9:I225)</f>
        <v>365555.25</v>
      </c>
      <c r="J227" s="19" t="n">
        <f aca="false">SUM(J9:J225)</f>
        <v>461754</v>
      </c>
      <c r="K227" s="19" t="n">
        <f aca="false">SUM(K9:K225)</f>
        <v>142195.45</v>
      </c>
      <c r="L227" s="20" t="n">
        <f aca="false">IF(H227=0,"N/A",K227/H227)</f>
        <v>0.44497463766812</v>
      </c>
      <c r="M227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969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970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SUMPRODUCT(--(((C9:C98&lt;&gt;0)+(H9:H98&lt;&gt;0)&gt;0)*((D9:D98=0)*(I9:I98=0))))</f>
        <v>90</v>
      </c>
      <c r="C5" s="13" t="s">
        <v>47</v>
      </c>
      <c r="D5" s="14" t="n">
        <f aca="false">SUMPRODUCT(--(((D9:D98&lt;&gt;0)+(I9:I98&lt;&gt;0)&gt;0)*((C9:C98=0)*(H9:H98=0))))</f>
        <v>0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SUMPRODUCT(--(((C9:C98&lt;&gt;0)+(H9:H98&lt;&gt;0)&gt;0)*((D9:D98=0)*(I9:I98=0)))*C9:C98)</f>
        <v>6687</v>
      </c>
      <c r="C6" s="13" t="s">
        <v>50</v>
      </c>
      <c r="D6" s="14" t="n">
        <f aca="false">SUMPRODUCT(--(((C9:C98&lt;&gt;0)+(H9:H98&lt;&gt;0)&gt;0)*((D9:D98=0)*(I9:I98=0)))*H9:H98)</f>
        <v>256772.1</v>
      </c>
      <c r="E6" s="13" t="s">
        <v>51</v>
      </c>
      <c r="F6" s="14" t="n">
        <f aca="false">SUMPRODUCT(--(((D9:D98&lt;&gt;0)+(I9:I98&lt;&gt;0)&gt;0)*((C9:C98=0)*(H9:H98=0)))*D9:D98)</f>
        <v>0</v>
      </c>
      <c r="G6" s="13" t="s">
        <v>52</v>
      </c>
      <c r="H6" s="14" t="n">
        <f aca="false">SUMPRODUCT(--(((D9:D98&lt;&gt;0)+(I9:I98&lt;&gt;0)&gt;0)*((C9:C98=0)*(H9:H98=0)))*I9:I98)</f>
        <v>0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200</v>
      </c>
      <c r="B9" s="7" t="str">
        <f aca="false">IFERROR(INDEX('Source'!$C:$C,MATCH($A9,'Source'!$B:$B,0)),"")</f>
        <v>חגורת פאבליק (רצועות אבדוקציה)</v>
      </c>
      <c r="C9" s="8" t="n">
        <f aca="false">SUMIFS('Source'!$D:$D,'Source'!$A:$A,"160951 MEDIPAL COMPANY",'Source'!$B:$B,$A9)</f>
        <v>200</v>
      </c>
      <c r="D9" s="8" t="n">
        <f aca="false">SUMIFS('Source'!$F:$F,'Source'!$A:$A,"160951 MEDIPAL COMPANY",'Source'!$B:$B,$A9)</f>
        <v>0</v>
      </c>
      <c r="E9" s="8" t="n">
        <f aca="false">D9*$J$5</f>
        <v>0</v>
      </c>
      <c r="F9" s="8" t="n">
        <f aca="false">E9-C9</f>
        <v>-200</v>
      </c>
      <c r="G9" s="9" t="n">
        <f aca="false">IF(AND(C9=0,E9=0),0,IF(C9=0,"New",(E9-C9)/C9))</f>
        <v>-1</v>
      </c>
      <c r="H9" s="8" t="n">
        <f aca="false">SUMIFS('Source'!$E:$E,'Source'!$A:$A,"160951 MEDIPAL COMPANY",'Source'!$B:$B,$A9)</f>
        <v>32424.43</v>
      </c>
      <c r="I9" s="8" t="n">
        <f aca="false">SUMIFS('Source'!$G:$G,'Source'!$A:$A,"160951 MEDIPAL COMPANY",'Source'!$B:$B,$A9)</f>
        <v>0</v>
      </c>
      <c r="J9" s="8" t="n">
        <f aca="false">I9*$J$5</f>
        <v>0</v>
      </c>
      <c r="K9" s="8" t="n">
        <f aca="false">J9-H9</f>
        <v>-32424.43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138</v>
      </c>
      <c r="B10" s="7" t="str">
        <f aca="false">IFERROR(INDEX('Source'!$C:$C,MATCH($A10,'Source'!$B:$B,0)),"")</f>
        <v>חגורת פאבליק (רצועות אבדוקציה)</v>
      </c>
      <c r="C10" s="8" t="n">
        <f aca="false">SUMIFS('Source'!$D:$D,'Source'!$A:$A,"160951 MEDIPAL COMPANY",'Source'!$B:$B,$A10)</f>
        <v>200</v>
      </c>
      <c r="D10" s="8" t="n">
        <f aca="false">SUMIFS('Source'!$F:$F,'Source'!$A:$A,"160951 MEDIPAL COMPANY",'Source'!$B:$B,$A10)</f>
        <v>0</v>
      </c>
      <c r="E10" s="8" t="n">
        <f aca="false">D10*$J$5</f>
        <v>0</v>
      </c>
      <c r="F10" s="8" t="n">
        <f aca="false">E10-C10</f>
        <v>-200</v>
      </c>
      <c r="G10" s="9" t="n">
        <f aca="false">IF(AND(C10=0,E10=0),0,IF(C10=0,"New",(E10-C10)/C10))</f>
        <v>-1</v>
      </c>
      <c r="H10" s="8" t="n">
        <f aca="false">SUMIFS('Source'!$E:$E,'Source'!$A:$A,"160951 MEDIPAL COMPANY",'Source'!$B:$B,$A10)</f>
        <v>32424.43</v>
      </c>
      <c r="I10" s="8" t="n">
        <f aca="false">SUMIFS('Source'!$G:$G,'Source'!$A:$A,"160951 MEDIPAL COMPANY",'Source'!$B:$B,$A10)</f>
        <v>0</v>
      </c>
      <c r="J10" s="8" t="n">
        <f aca="false">I10*$J$5</f>
        <v>0</v>
      </c>
      <c r="K10" s="8" t="n">
        <f aca="false">J10-H10</f>
        <v>-32424.43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437</v>
      </c>
      <c r="B11" s="7" t="str">
        <f aca="false">IFERROR(INDEX('Source'!$C:$C,MATCH($A11,'Source'!$B:$B,0)),"")</f>
        <v>חגורת גב עם תמיכות</v>
      </c>
      <c r="C11" s="8" t="n">
        <f aca="false">SUMIFS('Source'!$D:$D,'Source'!$A:$A,"160951 MEDIPAL COMPANY",'Source'!$B:$B,$A11)</f>
        <v>550</v>
      </c>
      <c r="D11" s="8" t="n">
        <f aca="false">SUMIFS('Source'!$F:$F,'Source'!$A:$A,"160951 MEDIPAL COMPANY",'Source'!$B:$B,$A11)</f>
        <v>0</v>
      </c>
      <c r="E11" s="8" t="n">
        <f aca="false">D11*$J$5</f>
        <v>0</v>
      </c>
      <c r="F11" s="8" t="n">
        <f aca="false">E11-C11</f>
        <v>-550</v>
      </c>
      <c r="G11" s="9" t="n">
        <f aca="false">IF(AND(C11=0,E11=0),0,IF(C11=0,"New",(E11-C11)/C11))</f>
        <v>-1</v>
      </c>
      <c r="H11" s="8" t="n">
        <f aca="false">SUMIFS('Source'!$E:$E,'Source'!$A:$A,"160951 MEDIPAL COMPANY",'Source'!$B:$B,$A11)</f>
        <v>25232.79</v>
      </c>
      <c r="I11" s="8" t="n">
        <f aca="false">SUMIFS('Source'!$G:$G,'Source'!$A:$A,"160951 MEDIPAL COMPANY",'Source'!$B:$B,$A11)</f>
        <v>0</v>
      </c>
      <c r="J11" s="8" t="n">
        <f aca="false">I11*$J$5</f>
        <v>0</v>
      </c>
      <c r="K11" s="8" t="n">
        <f aca="false">J11-H11</f>
        <v>-25232.79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372</v>
      </c>
      <c r="B12" s="7" t="str">
        <f aca="false">IFERROR(INDEX('Source'!$C:$C,MATCH($A12,'Source'!$B:$B,0)),"")</f>
        <v>חגורת פאבליק (רצועות אבדוקציה)</v>
      </c>
      <c r="C12" s="8" t="n">
        <f aca="false">SUMIFS('Source'!$D:$D,'Source'!$A:$A,"160951 MEDIPAL COMPANY",'Source'!$B:$B,$A12)</f>
        <v>100</v>
      </c>
      <c r="D12" s="8" t="n">
        <f aca="false">SUMIFS('Source'!$F:$F,'Source'!$A:$A,"160951 MEDIPAL COMPANY",'Source'!$B:$B,$A12)</f>
        <v>0</v>
      </c>
      <c r="E12" s="8" t="n">
        <f aca="false">D12*$J$5</f>
        <v>0</v>
      </c>
      <c r="F12" s="8" t="n">
        <f aca="false">E12-C12</f>
        <v>-100</v>
      </c>
      <c r="G12" s="9" t="n">
        <f aca="false">IF(AND(C12=0,E12=0),0,IF(C12=0,"New",(E12-C12)/C12))</f>
        <v>-1</v>
      </c>
      <c r="H12" s="8" t="n">
        <f aca="false">SUMIFS('Source'!$E:$E,'Source'!$A:$A,"160951 MEDIPAL COMPANY",'Source'!$B:$B,$A12)</f>
        <v>16212.21</v>
      </c>
      <c r="I12" s="8" t="n">
        <f aca="false">SUMIFS('Source'!$G:$G,'Source'!$A:$A,"160951 MEDIPAL COMPANY",'Source'!$B:$B,$A12)</f>
        <v>0</v>
      </c>
      <c r="J12" s="8" t="n">
        <f aca="false">I12*$J$5</f>
        <v>0</v>
      </c>
      <c r="K12" s="8" t="n">
        <f aca="false">J12-H12</f>
        <v>-16212.21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311</v>
      </c>
      <c r="B13" s="7" t="str">
        <f aca="false">IFERROR(INDEX('Source'!$C:$C,MATCH($A13,'Source'!$B:$B,0)),"")</f>
        <v>מגן ברך + צירים</v>
      </c>
      <c r="C13" s="8" t="n">
        <f aca="false">SUMIFS('Source'!$D:$D,'Source'!$A:$A,"160951 MEDIPAL COMPANY",'Source'!$B:$B,$A13)</f>
        <v>330</v>
      </c>
      <c r="D13" s="8" t="n">
        <f aca="false">SUMIFS('Source'!$F:$F,'Source'!$A:$A,"160951 MEDIPAL COMPANY",'Source'!$B:$B,$A13)</f>
        <v>0</v>
      </c>
      <c r="E13" s="8" t="n">
        <f aca="false">D13*$J$5</f>
        <v>0</v>
      </c>
      <c r="F13" s="8" t="n">
        <f aca="false">E13-C13</f>
        <v>-330</v>
      </c>
      <c r="G13" s="9" t="n">
        <f aca="false">IF(AND(C13=0,E13=0),0,IF(C13=0,"New",(E13-C13)/C13))</f>
        <v>-1</v>
      </c>
      <c r="H13" s="8" t="n">
        <f aca="false">SUMIFS('Source'!$E:$E,'Source'!$A:$A,"160951 MEDIPAL COMPANY",'Source'!$B:$B,$A13)</f>
        <v>15083.9</v>
      </c>
      <c r="I13" s="8" t="n">
        <f aca="false">SUMIFS('Source'!$G:$G,'Source'!$A:$A,"160951 MEDIPAL COMPANY",'Source'!$B:$B,$A13)</f>
        <v>0</v>
      </c>
      <c r="J13" s="8" t="n">
        <f aca="false">I13*$J$5</f>
        <v>0</v>
      </c>
      <c r="K13" s="8" t="n">
        <f aca="false">J13-H13</f>
        <v>-15083.9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100</v>
      </c>
      <c r="B14" s="7" t="str">
        <f aca="false">IFERROR(INDEX('Source'!$C:$C,MATCH($A14,'Source'!$B:$B,0)),"")</f>
        <v>כרית שינה חלומית</v>
      </c>
      <c r="C14" s="8" t="n">
        <f aca="false">SUMIFS('Source'!$D:$D,'Source'!$A:$A,"160951 MEDIPAL COMPANY",'Source'!$B:$B,$A14)</f>
        <v>142</v>
      </c>
      <c r="D14" s="8" t="n">
        <f aca="false">SUMIFS('Source'!$F:$F,'Source'!$A:$A,"160951 MEDIPAL COMPANY",'Source'!$B:$B,$A14)</f>
        <v>0</v>
      </c>
      <c r="E14" s="8" t="n">
        <f aca="false">D14*$J$5</f>
        <v>0</v>
      </c>
      <c r="F14" s="8" t="n">
        <f aca="false">E14-C14</f>
        <v>-142</v>
      </c>
      <c r="G14" s="9" t="n">
        <f aca="false">IF(AND(C14=0,E14=0),0,IF(C14=0,"New",(E14-C14)/C14))</f>
        <v>-1</v>
      </c>
      <c r="H14" s="8" t="n">
        <f aca="false">SUMIFS('Source'!$E:$E,'Source'!$A:$A,"160951 MEDIPAL COMPANY",'Source'!$B:$B,$A14)</f>
        <v>14683.56</v>
      </c>
      <c r="I14" s="8" t="n">
        <f aca="false">SUMIFS('Source'!$G:$G,'Source'!$A:$A,"160951 MEDIPAL COMPANY",'Source'!$B:$B,$A14)</f>
        <v>0</v>
      </c>
      <c r="J14" s="8" t="n">
        <f aca="false">I14*$J$5</f>
        <v>0</v>
      </c>
      <c r="K14" s="8" t="n">
        <f aca="false">J14-H14</f>
        <v>-14683.56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135</v>
      </c>
      <c r="B15" s="7" t="str">
        <f aca="false">IFERROR(INDEX('Source'!$C:$C,MATCH($A15,'Source'!$B:$B,0)),"")</f>
        <v>מגן ברך עם תמיכות</v>
      </c>
      <c r="C15" s="8" t="n">
        <f aca="false">SUMIFS('Source'!$D:$D,'Source'!$A:$A,"160951 MEDIPAL COMPANY",'Source'!$B:$B,$A15)</f>
        <v>330</v>
      </c>
      <c r="D15" s="8" t="n">
        <f aca="false">SUMIFS('Source'!$F:$F,'Source'!$A:$A,"160951 MEDIPAL COMPANY",'Source'!$B:$B,$A15)</f>
        <v>0</v>
      </c>
      <c r="E15" s="8" t="n">
        <f aca="false">D15*$J$5</f>
        <v>0</v>
      </c>
      <c r="F15" s="8" t="n">
        <f aca="false">E15-C15</f>
        <v>-330</v>
      </c>
      <c r="G15" s="9" t="n">
        <f aca="false">IF(AND(C15=0,E15=0),0,IF(C15=0,"New",(E15-C15)/C15))</f>
        <v>-1</v>
      </c>
      <c r="H15" s="8" t="n">
        <f aca="false">SUMIFS('Source'!$E:$E,'Source'!$A:$A,"160951 MEDIPAL COMPANY",'Source'!$B:$B,$A15)</f>
        <v>10155.14</v>
      </c>
      <c r="I15" s="8" t="n">
        <f aca="false">SUMIFS('Source'!$G:$G,'Source'!$A:$A,"160951 MEDIPAL COMPANY",'Source'!$B:$B,$A15)</f>
        <v>0</v>
      </c>
      <c r="J15" s="8" t="n">
        <f aca="false">I15*$J$5</f>
        <v>0</v>
      </c>
      <c r="K15" s="8" t="n">
        <f aca="false">J15-H15</f>
        <v>-10155.14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162</v>
      </c>
      <c r="B16" s="7" t="str">
        <f aca="false">IFERROR(INDEX('Source'!$C:$C,MATCH($A16,'Source'!$B:$B,0)),"")</f>
        <v>מדרס מתכוונן</v>
      </c>
      <c r="C16" s="8" t="n">
        <f aca="false">SUMIFS('Source'!$D:$D,'Source'!$A:$A,"160951 MEDIPAL COMPANY",'Source'!$B:$B,$A16)</f>
        <v>300</v>
      </c>
      <c r="D16" s="8" t="n">
        <f aca="false">SUMIFS('Source'!$F:$F,'Source'!$A:$A,"160951 MEDIPAL COMPANY",'Source'!$B:$B,$A16)</f>
        <v>0</v>
      </c>
      <c r="E16" s="8" t="n">
        <f aca="false">D16*$J$5</f>
        <v>0</v>
      </c>
      <c r="F16" s="8" t="n">
        <f aca="false">E16-C16</f>
        <v>-300</v>
      </c>
      <c r="G16" s="9" t="n">
        <f aca="false">IF(AND(C16=0,E16=0),0,IF(C16=0,"New",(E16-C16)/C16))</f>
        <v>-1</v>
      </c>
      <c r="H16" s="8" t="n">
        <f aca="false">SUMIFS('Source'!$E:$E,'Source'!$A:$A,"160951 MEDIPAL COMPANY",'Source'!$B:$B,$A16)</f>
        <v>9625.04</v>
      </c>
      <c r="I16" s="8" t="n">
        <f aca="false">SUMIFS('Source'!$G:$G,'Source'!$A:$A,"160951 MEDIPAL COMPANY",'Source'!$B:$B,$A16)</f>
        <v>0</v>
      </c>
      <c r="J16" s="8" t="n">
        <f aca="false">I16*$J$5</f>
        <v>0</v>
      </c>
      <c r="K16" s="8" t="n">
        <f aca="false">J16-H16</f>
        <v>-9625.04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171</v>
      </c>
      <c r="B17" s="7" t="str">
        <f aca="false">IFERROR(INDEX('Source'!$C:$C,MATCH($A17,'Source'!$B:$B,0)),"")</f>
        <v>מדרס מתכוונן</v>
      </c>
      <c r="C17" s="8" t="n">
        <f aca="false">SUMIFS('Source'!$D:$D,'Source'!$A:$A,"160951 MEDIPAL COMPANY",'Source'!$B:$B,$A17)</f>
        <v>300</v>
      </c>
      <c r="D17" s="8" t="n">
        <f aca="false">SUMIFS('Source'!$F:$F,'Source'!$A:$A,"160951 MEDIPAL COMPANY",'Source'!$B:$B,$A17)</f>
        <v>0</v>
      </c>
      <c r="E17" s="8" t="n">
        <f aca="false">D17*$J$5</f>
        <v>0</v>
      </c>
      <c r="F17" s="8" t="n">
        <f aca="false">E17-C17</f>
        <v>-300</v>
      </c>
      <c r="G17" s="9" t="n">
        <f aca="false">IF(AND(C17=0,E17=0),0,IF(C17=0,"New",(E17-C17)/C17))</f>
        <v>-1</v>
      </c>
      <c r="H17" s="8" t="n">
        <f aca="false">SUMIFS('Source'!$E:$E,'Source'!$A:$A,"160951 MEDIPAL COMPANY",'Source'!$B:$B,$A17)</f>
        <v>9625.03</v>
      </c>
      <c r="I17" s="8" t="n">
        <f aca="false">SUMIFS('Source'!$G:$G,'Source'!$A:$A,"160951 MEDIPAL COMPANY",'Source'!$B:$B,$A17)</f>
        <v>0</v>
      </c>
      <c r="J17" s="8" t="n">
        <f aca="false">I17*$J$5</f>
        <v>0</v>
      </c>
      <c r="K17" s="8" t="n">
        <f aca="false">J17-H17</f>
        <v>-9625.03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101</v>
      </c>
      <c r="B18" s="7" t="str">
        <f aca="false">IFERROR(INDEX('Source'!$C:$C,MATCH($A18,'Source'!$B:$B,0)),"")</f>
        <v>מיישר כתפיים</v>
      </c>
      <c r="C18" s="8" t="n">
        <f aca="false">SUMIFS('Source'!$D:$D,'Source'!$A:$A,"160951 MEDIPAL COMPANY",'Source'!$B:$B,$A18)</f>
        <v>330</v>
      </c>
      <c r="D18" s="8" t="n">
        <f aca="false">SUMIFS('Source'!$F:$F,'Source'!$A:$A,"160951 MEDIPAL COMPANY",'Source'!$B:$B,$A18)</f>
        <v>0</v>
      </c>
      <c r="E18" s="8" t="n">
        <f aca="false">D18*$J$5</f>
        <v>0</v>
      </c>
      <c r="F18" s="8" t="n">
        <f aca="false">E18-C18</f>
        <v>-330</v>
      </c>
      <c r="G18" s="9" t="n">
        <f aca="false">IF(AND(C18=0,E18=0),0,IF(C18=0,"New",(E18-C18)/C18))</f>
        <v>-1</v>
      </c>
      <c r="H18" s="8" t="n">
        <f aca="false">SUMIFS('Source'!$E:$E,'Source'!$A:$A,"160951 MEDIPAL COMPANY",'Source'!$B:$B,$A18)</f>
        <v>8648.61</v>
      </c>
      <c r="I18" s="8" t="n">
        <f aca="false">SUMIFS('Source'!$G:$G,'Source'!$A:$A,"160951 MEDIPAL COMPANY",'Source'!$B:$B,$A18)</f>
        <v>0</v>
      </c>
      <c r="J18" s="8" t="n">
        <f aca="false">I18*$J$5</f>
        <v>0</v>
      </c>
      <c r="K18" s="8" t="n">
        <f aca="false">J18-H18</f>
        <v>-8648.61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253</v>
      </c>
      <c r="B19" s="7" t="str">
        <f aca="false">IFERROR(INDEX('Source'!$C:$C,MATCH($A19,'Source'!$B:$B,0)),"")</f>
        <v>סד לאגודל</v>
      </c>
      <c r="C19" s="8" t="n">
        <f aca="false">SUMIFS('Source'!$D:$D,'Source'!$A:$A,"160951 MEDIPAL COMPANY",'Source'!$B:$B,$A19)</f>
        <v>550</v>
      </c>
      <c r="D19" s="8" t="n">
        <f aca="false">SUMIFS('Source'!$F:$F,'Source'!$A:$A,"160951 MEDIPAL COMPANY",'Source'!$B:$B,$A19)</f>
        <v>0</v>
      </c>
      <c r="E19" s="8" t="n">
        <f aca="false">D19*$J$5</f>
        <v>0</v>
      </c>
      <c r="F19" s="8" t="n">
        <f aca="false">E19-C19</f>
        <v>-550</v>
      </c>
      <c r="G19" s="9" t="n">
        <f aca="false">IF(AND(C19=0,E19=0),0,IF(C19=0,"New",(E19-C19)/C19))</f>
        <v>-1</v>
      </c>
      <c r="H19" s="8" t="n">
        <f aca="false">SUMIFS('Source'!$E:$E,'Source'!$A:$A,"160951 MEDIPAL COMPANY",'Source'!$B:$B,$A19)</f>
        <v>7501.67</v>
      </c>
      <c r="I19" s="8" t="n">
        <f aca="false">SUMIFS('Source'!$G:$G,'Source'!$A:$A,"160951 MEDIPAL COMPANY",'Source'!$B:$B,$A19)</f>
        <v>0</v>
      </c>
      <c r="J19" s="8" t="n">
        <f aca="false">I19*$J$5</f>
        <v>0</v>
      </c>
      <c r="K19" s="8" t="n">
        <f aca="false">J19-H19</f>
        <v>-7501.67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156</v>
      </c>
      <c r="B20" s="7" t="str">
        <f aca="false">IFERROR(INDEX('Source'!$C:$C,MATCH($A20,'Source'!$B:$B,0)),"")</f>
        <v>AC27</v>
      </c>
      <c r="C20" s="8" t="n">
        <f aca="false">SUMIFS('Source'!$D:$D,'Source'!$A:$A,"160951 MEDIPAL COMPANY",'Source'!$B:$B,$A20)</f>
        <v>330</v>
      </c>
      <c r="D20" s="8" t="n">
        <f aca="false">SUMIFS('Source'!$F:$F,'Source'!$A:$A,"160951 MEDIPAL COMPANY",'Source'!$B:$B,$A20)</f>
        <v>0</v>
      </c>
      <c r="E20" s="8" t="n">
        <f aca="false">D20*$J$5</f>
        <v>0</v>
      </c>
      <c r="F20" s="8" t="n">
        <f aca="false">E20-C20</f>
        <v>-330</v>
      </c>
      <c r="G20" s="9" t="n">
        <f aca="false">IF(AND(C20=0,E20=0),0,IF(C20=0,"New",(E20-C20)/C20))</f>
        <v>-1</v>
      </c>
      <c r="H20" s="8" t="n">
        <f aca="false">SUMIFS('Source'!$E:$E,'Source'!$A:$A,"160951 MEDIPAL COMPANY",'Source'!$B:$B,$A20)</f>
        <v>6453.92</v>
      </c>
      <c r="I20" s="8" t="n">
        <f aca="false">SUMIFS('Source'!$G:$G,'Source'!$A:$A,"160951 MEDIPAL COMPANY",'Source'!$B:$B,$A20)</f>
        <v>0</v>
      </c>
      <c r="J20" s="8" t="n">
        <f aca="false">I20*$J$5</f>
        <v>0</v>
      </c>
      <c r="K20" s="8" t="n">
        <f aca="false">J20-H20</f>
        <v>-6453.92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174</v>
      </c>
      <c r="B21" s="7" t="str">
        <f aca="false">IFERROR(INDEX('Source'!$C:$C,MATCH($A21,'Source'!$B:$B,0)),"")</f>
        <v>AC27</v>
      </c>
      <c r="C21" s="8" t="n">
        <f aca="false">SUMIFS('Source'!$D:$D,'Source'!$A:$A,"160951 MEDIPAL COMPANY",'Source'!$B:$B,$A21)</f>
        <v>330</v>
      </c>
      <c r="D21" s="8" t="n">
        <f aca="false">SUMIFS('Source'!$F:$F,'Source'!$A:$A,"160951 MEDIPAL COMPANY",'Source'!$B:$B,$A21)</f>
        <v>0</v>
      </c>
      <c r="E21" s="8" t="n">
        <f aca="false">D21*$J$5</f>
        <v>0</v>
      </c>
      <c r="F21" s="8" t="n">
        <f aca="false">E21-C21</f>
        <v>-330</v>
      </c>
      <c r="G21" s="9" t="n">
        <f aca="false">IF(AND(C21=0,E21=0),0,IF(C21=0,"New",(E21-C21)/C21))</f>
        <v>-1</v>
      </c>
      <c r="H21" s="8" t="n">
        <f aca="false">SUMIFS('Source'!$E:$E,'Source'!$A:$A,"160951 MEDIPAL COMPANY",'Source'!$B:$B,$A21)</f>
        <v>6453.92</v>
      </c>
      <c r="I21" s="8" t="n">
        <f aca="false">SUMIFS('Source'!$G:$G,'Source'!$A:$A,"160951 MEDIPAL COMPANY",'Source'!$B:$B,$A21)</f>
        <v>0</v>
      </c>
      <c r="J21" s="8" t="n">
        <f aca="false">I21*$J$5</f>
        <v>0</v>
      </c>
      <c r="K21" s="8" t="n">
        <f aca="false">J21-H21</f>
        <v>-6453.92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208</v>
      </c>
      <c r="B22" s="7" t="str">
        <f aca="false">IFERROR(INDEX('Source'!$C:$C,MATCH($A22,'Source'!$B:$B,0)),"")</f>
        <v>מדרס מתכוונן</v>
      </c>
      <c r="C22" s="8" t="n">
        <f aca="false">SUMIFS('Source'!$D:$D,'Source'!$A:$A,"160951 MEDIPAL COMPANY",'Source'!$B:$B,$A22)</f>
        <v>200</v>
      </c>
      <c r="D22" s="8" t="n">
        <f aca="false">SUMIFS('Source'!$F:$F,'Source'!$A:$A,"160951 MEDIPAL COMPANY",'Source'!$B:$B,$A22)</f>
        <v>0</v>
      </c>
      <c r="E22" s="8" t="n">
        <f aca="false">D22*$J$5</f>
        <v>0</v>
      </c>
      <c r="F22" s="8" t="n">
        <f aca="false">E22-C22</f>
        <v>-200</v>
      </c>
      <c r="G22" s="9" t="n">
        <f aca="false">IF(AND(C22=0,E22=0),0,IF(C22=0,"New",(E22-C22)/C22))</f>
        <v>-1</v>
      </c>
      <c r="H22" s="8" t="n">
        <f aca="false">SUMIFS('Source'!$E:$E,'Source'!$A:$A,"160951 MEDIPAL COMPANY",'Source'!$B:$B,$A22)</f>
        <v>6416.69</v>
      </c>
      <c r="I22" s="8" t="n">
        <f aca="false">SUMIFS('Source'!$G:$G,'Source'!$A:$A,"160951 MEDIPAL COMPANY",'Source'!$B:$B,$A22)</f>
        <v>0</v>
      </c>
      <c r="J22" s="8" t="n">
        <f aca="false">I22*$J$5</f>
        <v>0</v>
      </c>
      <c r="K22" s="8" t="n">
        <f aca="false">J22-H22</f>
        <v>-6416.69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245</v>
      </c>
      <c r="B23" s="7" t="str">
        <f aca="false">IFERROR(INDEX('Source'!$C:$C,MATCH($A23,'Source'!$B:$B,0)),"")</f>
        <v>חבק טניס</v>
      </c>
      <c r="C23" s="8" t="n">
        <f aca="false">SUMIFS('Source'!$D:$D,'Source'!$A:$A,"160951 MEDIPAL COMPANY",'Source'!$B:$B,$A23)</f>
        <v>341</v>
      </c>
      <c r="D23" s="8" t="n">
        <f aca="false">SUMIFS('Source'!$F:$F,'Source'!$A:$A,"160951 MEDIPAL COMPANY",'Source'!$B:$B,$A23)</f>
        <v>0</v>
      </c>
      <c r="E23" s="8" t="n">
        <f aca="false">D23*$J$5</f>
        <v>0</v>
      </c>
      <c r="F23" s="8" t="n">
        <f aca="false">E23-C23</f>
        <v>-341</v>
      </c>
      <c r="G23" s="9" t="n">
        <f aca="false">IF(AND(C23=0,E23=0),0,IF(C23=0,"New",(E23-C23)/C23))</f>
        <v>-1</v>
      </c>
      <c r="H23" s="8" t="n">
        <f aca="false">SUMIFS('Source'!$E:$E,'Source'!$A:$A,"160951 MEDIPAL COMPANY",'Source'!$B:$B,$A23)</f>
        <v>4612.63</v>
      </c>
      <c r="I23" s="8" t="n">
        <f aca="false">SUMIFS('Source'!$G:$G,'Source'!$A:$A,"160951 MEDIPAL COMPANY",'Source'!$B:$B,$A23)</f>
        <v>0</v>
      </c>
      <c r="J23" s="8" t="n">
        <f aca="false">I23*$J$5</f>
        <v>0</v>
      </c>
      <c r="K23" s="8" t="n">
        <f aca="false">J23-H23</f>
        <v>-4612.63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147</v>
      </c>
      <c r="B24" s="7" t="str">
        <f aca="false">IFERROR(INDEX('Source'!$C:$C,MATCH($A24,'Source'!$B:$B,0)),"")</f>
        <v>חגורה למנותחי בית חזה</v>
      </c>
      <c r="C24" s="8" t="n">
        <f aca="false">SUMIFS('Source'!$D:$D,'Source'!$A:$A,"160951 MEDIPAL COMPANY",'Source'!$B:$B,$A24)</f>
        <v>55</v>
      </c>
      <c r="D24" s="8" t="n">
        <f aca="false">SUMIFS('Source'!$F:$F,'Source'!$A:$A,"160951 MEDIPAL COMPANY",'Source'!$B:$B,$A24)</f>
        <v>0</v>
      </c>
      <c r="E24" s="8" t="n">
        <f aca="false">D24*$J$5</f>
        <v>0</v>
      </c>
      <c r="F24" s="8" t="n">
        <f aca="false">E24-C24</f>
        <v>-55</v>
      </c>
      <c r="G24" s="9" t="n">
        <f aca="false">IF(AND(C24=0,E24=0),0,IF(C24=0,"New",(E24-C24)/C24))</f>
        <v>-1</v>
      </c>
      <c r="H24" s="8" t="n">
        <f aca="false">SUMIFS('Source'!$E:$E,'Source'!$A:$A,"160951 MEDIPAL COMPANY",'Source'!$B:$B,$A24)</f>
        <v>3595.85</v>
      </c>
      <c r="I24" s="8" t="n">
        <f aca="false">SUMIFS('Source'!$G:$G,'Source'!$A:$A,"160951 MEDIPAL COMPANY",'Source'!$B:$B,$A24)</f>
        <v>0</v>
      </c>
      <c r="J24" s="8" t="n">
        <f aca="false">I24*$J$5</f>
        <v>0</v>
      </c>
      <c r="K24" s="8" t="n">
        <f aca="false">J24-H24</f>
        <v>-3595.85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971</v>
      </c>
      <c r="B25" s="7" t="str">
        <f aca="false">IFERROR(INDEX('Source'!$C:$C,MATCH($A25,'Source'!$B:$B,0)),"")</f>
        <v>ח.גב אורירית (30)</v>
      </c>
      <c r="C25" s="8" t="n">
        <f aca="false">SUMIFS('Source'!$D:$D,'Source'!$A:$A,"160951 MEDIPAL COMPANY",'Source'!$B:$B,$A25)</f>
        <v>20</v>
      </c>
      <c r="D25" s="8" t="n">
        <f aca="false">SUMIFS('Source'!$F:$F,'Source'!$A:$A,"160951 MEDIPAL COMPANY",'Source'!$B:$B,$A25)</f>
        <v>0</v>
      </c>
      <c r="E25" s="8" t="n">
        <f aca="false">D25*$J$5</f>
        <v>0</v>
      </c>
      <c r="F25" s="8" t="n">
        <f aca="false">E25-C25</f>
        <v>-20</v>
      </c>
      <c r="G25" s="9" t="n">
        <f aca="false">IF(AND(C25=0,E25=0),0,IF(C25=0,"New",(E25-C25)/C25))</f>
        <v>-1</v>
      </c>
      <c r="H25" s="8" t="n">
        <f aca="false">SUMIFS('Source'!$E:$E,'Source'!$A:$A,"160951 MEDIPAL COMPANY",'Source'!$B:$B,$A25)</f>
        <v>3513.36</v>
      </c>
      <c r="I25" s="8" t="n">
        <f aca="false">SUMIFS('Source'!$G:$G,'Source'!$A:$A,"160951 MEDIPAL COMPANY",'Source'!$B:$B,$A25)</f>
        <v>0</v>
      </c>
      <c r="J25" s="8" t="n">
        <f aca="false">I25*$J$5</f>
        <v>0</v>
      </c>
      <c r="K25" s="8" t="n">
        <f aca="false">J25-H25</f>
        <v>-3513.36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441</v>
      </c>
      <c r="B26" s="7" t="str">
        <f aca="false">IFERROR(INDEX('Source'!$C:$C,MATCH($A26,'Source'!$B:$B,0)),"")</f>
        <v>מגן קרסול</v>
      </c>
      <c r="C26" s="8" t="n">
        <f aca="false">SUMIFS('Source'!$D:$D,'Source'!$A:$A,"160951 MEDIPAL COMPANY",'Source'!$B:$B,$A26)</f>
        <v>220</v>
      </c>
      <c r="D26" s="8" t="n">
        <f aca="false">SUMIFS('Source'!$F:$F,'Source'!$A:$A,"160951 MEDIPAL COMPANY",'Source'!$B:$B,$A26)</f>
        <v>0</v>
      </c>
      <c r="E26" s="8" t="n">
        <f aca="false">D26*$J$5</f>
        <v>0</v>
      </c>
      <c r="F26" s="8" t="n">
        <f aca="false">E26-C26</f>
        <v>-220</v>
      </c>
      <c r="G26" s="9" t="n">
        <f aca="false">IF(AND(C26=0,E26=0),0,IF(C26=0,"New",(E26-C26)/C26))</f>
        <v>-1</v>
      </c>
      <c r="H26" s="8" t="n">
        <f aca="false">SUMIFS('Source'!$E:$E,'Source'!$A:$A,"160951 MEDIPAL COMPANY",'Source'!$B:$B,$A26)</f>
        <v>3409.86</v>
      </c>
      <c r="I26" s="8" t="n">
        <f aca="false">SUMIFS('Source'!$G:$G,'Source'!$A:$A,"160951 MEDIPAL COMPANY",'Source'!$B:$B,$A26)</f>
        <v>0</v>
      </c>
      <c r="J26" s="8" t="n">
        <f aca="false">I26*$J$5</f>
        <v>0</v>
      </c>
      <c r="K26" s="8" t="n">
        <f aca="false">J26-H26</f>
        <v>-3409.86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582</v>
      </c>
      <c r="B27" s="7" t="str">
        <f aca="false">IFERROR(INDEX('Source'!$C:$C,MATCH($A27,'Source'!$B:$B,0)),"")</f>
        <v>חבק לשורש כף היד</v>
      </c>
      <c r="C27" s="8" t="n">
        <f aca="false">SUMIFS('Source'!$D:$D,'Source'!$A:$A,"160951 MEDIPAL COMPANY",'Source'!$B:$B,$A27)</f>
        <v>220</v>
      </c>
      <c r="D27" s="8" t="n">
        <f aca="false">SUMIFS('Source'!$F:$F,'Source'!$A:$A,"160951 MEDIPAL COMPANY",'Source'!$B:$B,$A27)</f>
        <v>0</v>
      </c>
      <c r="E27" s="8" t="n">
        <f aca="false">D27*$J$5</f>
        <v>0</v>
      </c>
      <c r="F27" s="8" t="n">
        <f aca="false">E27-C27</f>
        <v>-220</v>
      </c>
      <c r="G27" s="9" t="n">
        <f aca="false">IF(AND(C27=0,E27=0),0,IF(C27=0,"New",(E27-C27)/C27))</f>
        <v>-1</v>
      </c>
      <c r="H27" s="8" t="n">
        <f aca="false">SUMIFS('Source'!$E:$E,'Source'!$A:$A,"160951 MEDIPAL COMPANY",'Source'!$B:$B,$A27)</f>
        <v>3254.87</v>
      </c>
      <c r="I27" s="8" t="n">
        <f aca="false">SUMIFS('Source'!$G:$G,'Source'!$A:$A,"160951 MEDIPAL COMPANY",'Source'!$B:$B,$A27)</f>
        <v>0</v>
      </c>
      <c r="J27" s="8" t="n">
        <f aca="false">I27*$J$5</f>
        <v>0</v>
      </c>
      <c r="K27" s="8" t="n">
        <f aca="false">J27-H27</f>
        <v>-3254.87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361</v>
      </c>
      <c r="B28" s="7" t="str">
        <f aca="false">IFERROR(INDEX('Source'!$C:$C,MATCH($A28,'Source'!$B:$B,0)),"")</f>
        <v>מדרס מתכוונן</v>
      </c>
      <c r="C28" s="8" t="n">
        <f aca="false">SUMIFS('Source'!$D:$D,'Source'!$A:$A,"160951 MEDIPAL COMPANY",'Source'!$B:$B,$A28)</f>
        <v>100</v>
      </c>
      <c r="D28" s="8" t="n">
        <f aca="false">SUMIFS('Source'!$F:$F,'Source'!$A:$A,"160951 MEDIPAL COMPANY",'Source'!$B:$B,$A28)</f>
        <v>0</v>
      </c>
      <c r="E28" s="8" t="n">
        <f aca="false">D28*$J$5</f>
        <v>0</v>
      </c>
      <c r="F28" s="8" t="n">
        <f aca="false">E28-C28</f>
        <v>-100</v>
      </c>
      <c r="G28" s="9" t="n">
        <f aca="false">IF(AND(C28=0,E28=0),0,IF(C28=0,"New",(E28-C28)/C28))</f>
        <v>-1</v>
      </c>
      <c r="H28" s="8" t="n">
        <f aca="false">SUMIFS('Source'!$E:$E,'Source'!$A:$A,"160951 MEDIPAL COMPANY",'Source'!$B:$B,$A28)</f>
        <v>3208.35</v>
      </c>
      <c r="I28" s="8" t="n">
        <f aca="false">SUMIFS('Source'!$G:$G,'Source'!$A:$A,"160951 MEDIPAL COMPANY",'Source'!$B:$B,$A28)</f>
        <v>0</v>
      </c>
      <c r="J28" s="8" t="n">
        <f aca="false">I28*$J$5</f>
        <v>0</v>
      </c>
      <c r="K28" s="8" t="n">
        <f aca="false">J28-H28</f>
        <v>-3208.35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319</v>
      </c>
      <c r="B29" s="7" t="str">
        <f aca="false">IFERROR(INDEX('Source'!$C:$C,MATCH($A29,'Source'!$B:$B,0)),"")</f>
        <v>מדרס מתכוונן</v>
      </c>
      <c r="C29" s="8" t="n">
        <f aca="false">SUMIFS('Source'!$D:$D,'Source'!$A:$A,"160951 MEDIPAL COMPANY",'Source'!$B:$B,$A29)</f>
        <v>100</v>
      </c>
      <c r="D29" s="8" t="n">
        <f aca="false">SUMIFS('Source'!$F:$F,'Source'!$A:$A,"160951 MEDIPAL COMPANY",'Source'!$B:$B,$A29)</f>
        <v>0</v>
      </c>
      <c r="E29" s="8" t="n">
        <f aca="false">D29*$J$5</f>
        <v>0</v>
      </c>
      <c r="F29" s="8" t="n">
        <f aca="false">E29-C29</f>
        <v>-100</v>
      </c>
      <c r="G29" s="9" t="n">
        <f aca="false">IF(AND(C29=0,E29=0),0,IF(C29=0,"New",(E29-C29)/C29))</f>
        <v>-1</v>
      </c>
      <c r="H29" s="8" t="n">
        <f aca="false">SUMIFS('Source'!$E:$E,'Source'!$A:$A,"160951 MEDIPAL COMPANY",'Source'!$B:$B,$A29)</f>
        <v>3208.35</v>
      </c>
      <c r="I29" s="8" t="n">
        <f aca="false">SUMIFS('Source'!$G:$G,'Source'!$A:$A,"160951 MEDIPAL COMPANY",'Source'!$B:$B,$A29)</f>
        <v>0</v>
      </c>
      <c r="J29" s="8" t="n">
        <f aca="false">I29*$J$5</f>
        <v>0</v>
      </c>
      <c r="K29" s="8" t="n">
        <f aca="false">J29-H29</f>
        <v>-3208.35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237</v>
      </c>
      <c r="B30" s="7" t="str">
        <f aca="false">IFERROR(INDEX('Source'!$C:$C,MATCH($A30,'Source'!$B:$B,0)),"")</f>
        <v>מגן מרפק</v>
      </c>
      <c r="C30" s="8" t="n">
        <f aca="false">SUMIFS('Source'!$D:$D,'Source'!$A:$A,"160951 MEDIPAL COMPANY",'Source'!$B:$B,$A30)</f>
        <v>176</v>
      </c>
      <c r="D30" s="8" t="n">
        <f aca="false">SUMIFS('Source'!$F:$F,'Source'!$A:$A,"160951 MEDIPAL COMPANY",'Source'!$B:$B,$A30)</f>
        <v>0</v>
      </c>
      <c r="E30" s="8" t="n">
        <f aca="false">D30*$J$5</f>
        <v>0</v>
      </c>
      <c r="F30" s="8" t="n">
        <f aca="false">E30-C30</f>
        <v>-176</v>
      </c>
      <c r="G30" s="9" t="n">
        <f aca="false">IF(AND(C30=0,E30=0),0,IF(C30=0,"New",(E30-C30)/C30))</f>
        <v>-1</v>
      </c>
      <c r="H30" s="8" t="n">
        <f aca="false">SUMIFS('Source'!$E:$E,'Source'!$A:$A,"160951 MEDIPAL COMPANY",'Source'!$B:$B,$A30)</f>
        <v>3119.76</v>
      </c>
      <c r="I30" s="8" t="n">
        <f aca="false">SUMIFS('Source'!$G:$G,'Source'!$A:$A,"160951 MEDIPAL COMPANY",'Source'!$B:$B,$A30)</f>
        <v>0</v>
      </c>
      <c r="J30" s="8" t="n">
        <f aca="false">I30*$J$5</f>
        <v>0</v>
      </c>
      <c r="K30" s="8" t="n">
        <f aca="false">J30-H30</f>
        <v>-3119.76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972</v>
      </c>
      <c r="B31" s="7" t="str">
        <f aca="false">IFERROR(INDEX('Source'!$C:$C,MATCH($A31,'Source'!$B:$B,0)),"")</f>
        <v>ח.גב אורירית (30)</v>
      </c>
      <c r="C31" s="8" t="n">
        <f aca="false">SUMIFS('Source'!$D:$D,'Source'!$A:$A,"160951 MEDIPAL COMPANY",'Source'!$B:$B,$A31)</f>
        <v>10</v>
      </c>
      <c r="D31" s="8" t="n">
        <f aca="false">SUMIFS('Source'!$F:$F,'Source'!$A:$A,"160951 MEDIPAL COMPANY",'Source'!$B:$B,$A31)</f>
        <v>0</v>
      </c>
      <c r="E31" s="8" t="n">
        <f aca="false">D31*$J$5</f>
        <v>0</v>
      </c>
      <c r="F31" s="8" t="n">
        <f aca="false">E31-C31</f>
        <v>-10</v>
      </c>
      <c r="G31" s="9" t="n">
        <f aca="false">IF(AND(C31=0,E31=0),0,IF(C31=0,"New",(E31-C31)/C31))</f>
        <v>-1</v>
      </c>
      <c r="H31" s="8" t="n">
        <f aca="false">SUMIFS('Source'!$E:$E,'Source'!$A:$A,"160951 MEDIPAL COMPANY",'Source'!$B:$B,$A31)</f>
        <v>1756.68</v>
      </c>
      <c r="I31" s="8" t="n">
        <f aca="false">SUMIFS('Source'!$G:$G,'Source'!$A:$A,"160951 MEDIPAL COMPANY",'Source'!$B:$B,$A31)</f>
        <v>0</v>
      </c>
      <c r="J31" s="8" t="n">
        <f aca="false">I31*$J$5</f>
        <v>0</v>
      </c>
      <c r="K31" s="8" t="n">
        <f aca="false">J31-H31</f>
        <v>-1756.68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973</v>
      </c>
      <c r="B32" s="7" t="str">
        <f aca="false">IFERROR(INDEX('Source'!$C:$C,MATCH($A32,'Source'!$B:$B,0)),"")</f>
        <v>ח.גב אורירית (30)</v>
      </c>
      <c r="C32" s="8" t="n">
        <f aca="false">SUMIFS('Source'!$D:$D,'Source'!$A:$A,"160951 MEDIPAL COMPANY",'Source'!$B:$B,$A32)</f>
        <v>10</v>
      </c>
      <c r="D32" s="8" t="n">
        <f aca="false">SUMIFS('Source'!$F:$F,'Source'!$A:$A,"160951 MEDIPAL COMPANY",'Source'!$B:$B,$A32)</f>
        <v>0</v>
      </c>
      <c r="E32" s="8" t="n">
        <f aca="false">D32*$J$5</f>
        <v>0</v>
      </c>
      <c r="F32" s="8" t="n">
        <f aca="false">E32-C32</f>
        <v>-10</v>
      </c>
      <c r="G32" s="9" t="n">
        <f aca="false">IF(AND(C32=0,E32=0),0,IF(C32=0,"New",(E32-C32)/C32))</f>
        <v>-1</v>
      </c>
      <c r="H32" s="8" t="n">
        <f aca="false">SUMIFS('Source'!$E:$E,'Source'!$A:$A,"160951 MEDIPAL COMPANY",'Source'!$B:$B,$A32)</f>
        <v>1756.68</v>
      </c>
      <c r="I32" s="8" t="n">
        <f aca="false">SUMIFS('Source'!$G:$G,'Source'!$A:$A,"160951 MEDIPAL COMPANY",'Source'!$B:$B,$A32)</f>
        <v>0</v>
      </c>
      <c r="J32" s="8" t="n">
        <f aca="false">I32*$J$5</f>
        <v>0</v>
      </c>
      <c r="K32" s="8" t="n">
        <f aca="false">J32-H32</f>
        <v>-1756.68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331</v>
      </c>
      <c r="B33" s="7" t="str">
        <f aca="false">IFERROR(INDEX('Source'!$C:$C,MATCH($A33,'Source'!$B:$B,0)),"")</f>
        <v>חגורת גב-לומבו</v>
      </c>
      <c r="C33" s="8" t="n">
        <f aca="false">SUMIFS('Source'!$D:$D,'Source'!$A:$A,"160951 MEDIPAL COMPANY",'Source'!$B:$B,$A33)</f>
        <v>20</v>
      </c>
      <c r="D33" s="8" t="n">
        <f aca="false">SUMIFS('Source'!$F:$F,'Source'!$A:$A,"160951 MEDIPAL COMPANY",'Source'!$B:$B,$A33)</f>
        <v>0</v>
      </c>
      <c r="E33" s="8" t="n">
        <f aca="false">D33*$J$5</f>
        <v>0</v>
      </c>
      <c r="F33" s="8" t="n">
        <f aca="false">E33-C33</f>
        <v>-20</v>
      </c>
      <c r="G33" s="9" t="n">
        <f aca="false">IF(AND(C33=0,E33=0),0,IF(C33=0,"New",(E33-C33)/C33))</f>
        <v>-1</v>
      </c>
      <c r="H33" s="8" t="n">
        <f aca="false">SUMIFS('Source'!$E:$E,'Source'!$A:$A,"160951 MEDIPAL COMPANY",'Source'!$B:$B,$A33)</f>
        <v>1598.91</v>
      </c>
      <c r="I33" s="8" t="n">
        <f aca="false">SUMIFS('Source'!$G:$G,'Source'!$A:$A,"160951 MEDIPAL COMPANY",'Source'!$B:$B,$A33)</f>
        <v>0</v>
      </c>
      <c r="J33" s="8" t="n">
        <f aca="false">I33*$J$5</f>
        <v>0</v>
      </c>
      <c r="K33" s="8" t="n">
        <f aca="false">J33-H33</f>
        <v>-1598.91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639</v>
      </c>
      <c r="B34" s="7" t="str">
        <f aca="false">IFERROR(INDEX('Source'!$C:$C,MATCH($A34,'Source'!$B:$B,0)),"")</f>
        <v>שרוול מטטרזלי מסיליקון</v>
      </c>
      <c r="C34" s="8" t="n">
        <f aca="false">SUMIFS('Source'!$D:$D,'Source'!$A:$A,"160951 MEDIPAL COMPANY",'Source'!$B:$B,$A34)</f>
        <v>55</v>
      </c>
      <c r="D34" s="8" t="n">
        <f aca="false">SUMIFS('Source'!$F:$F,'Source'!$A:$A,"160951 MEDIPAL COMPANY",'Source'!$B:$B,$A34)</f>
        <v>0</v>
      </c>
      <c r="E34" s="8" t="n">
        <f aca="false">D34*$J$5</f>
        <v>0</v>
      </c>
      <c r="F34" s="8" t="n">
        <f aca="false">E34-C34</f>
        <v>-55</v>
      </c>
      <c r="G34" s="9" t="n">
        <f aca="false">IF(AND(C34=0,E34=0),0,IF(C34=0,"New",(E34-C34)/C34))</f>
        <v>-1</v>
      </c>
      <c r="H34" s="8" t="n">
        <f aca="false">SUMIFS('Source'!$E:$E,'Source'!$A:$A,"160951 MEDIPAL COMPANY",'Source'!$B:$B,$A34)</f>
        <v>1450.76</v>
      </c>
      <c r="I34" s="8" t="n">
        <f aca="false">SUMIFS('Source'!$G:$G,'Source'!$A:$A,"160951 MEDIPAL COMPANY",'Source'!$B:$B,$A34)</f>
        <v>0</v>
      </c>
      <c r="J34" s="8" t="n">
        <f aca="false">I34*$J$5</f>
        <v>0</v>
      </c>
      <c r="K34" s="8" t="n">
        <f aca="false">J34-H34</f>
        <v>-1450.76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342</v>
      </c>
      <c r="B35" s="7" t="str">
        <f aca="false">IFERROR(INDEX('Source'!$C:$C,MATCH($A35,'Source'!$B:$B,0)),"")</f>
        <v>מדרס מג'ל</v>
      </c>
      <c r="C35" s="8" t="n">
        <f aca="false">SUMIFS('Source'!$D:$D,'Source'!$A:$A,"160951 MEDIPAL COMPANY",'Source'!$B:$B,$A35)</f>
        <v>55</v>
      </c>
      <c r="D35" s="8" t="n">
        <f aca="false">SUMIFS('Source'!$F:$F,'Source'!$A:$A,"160951 MEDIPAL COMPANY",'Source'!$B:$B,$A35)</f>
        <v>0</v>
      </c>
      <c r="E35" s="8" t="n">
        <f aca="false">D35*$J$5</f>
        <v>0</v>
      </c>
      <c r="F35" s="8" t="n">
        <f aca="false">E35-C35</f>
        <v>-55</v>
      </c>
      <c r="G35" s="9" t="n">
        <f aca="false">IF(AND(C35=0,E35=0),0,IF(C35=0,"New",(E35-C35)/C35))</f>
        <v>-1</v>
      </c>
      <c r="H35" s="8" t="n">
        <f aca="false">SUMIFS('Source'!$E:$E,'Source'!$A:$A,"160951 MEDIPAL COMPANY",'Source'!$B:$B,$A35)</f>
        <v>1317.47</v>
      </c>
      <c r="I35" s="8" t="n">
        <f aca="false">SUMIFS('Source'!$G:$G,'Source'!$A:$A,"160951 MEDIPAL COMPANY",'Source'!$B:$B,$A35)</f>
        <v>0</v>
      </c>
      <c r="J35" s="8" t="n">
        <f aca="false">I35*$J$5</f>
        <v>0</v>
      </c>
      <c r="K35" s="8" t="n">
        <f aca="false">J35-H35</f>
        <v>-1317.47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778</v>
      </c>
      <c r="B36" s="7" t="str">
        <f aca="false">IFERROR(INDEX('Source'!$C:$C,MATCH($A36,'Source'!$B:$B,0)),"")</f>
        <v>חגורת צלעות לגבר</v>
      </c>
      <c r="C36" s="8" t="n">
        <f aca="false">SUMIFS('Source'!$D:$D,'Source'!$A:$A,"160951 MEDIPAL COMPANY",'Source'!$B:$B,$A36)</f>
        <v>22</v>
      </c>
      <c r="D36" s="8" t="n">
        <f aca="false">SUMIFS('Source'!$F:$F,'Source'!$A:$A,"160951 MEDIPAL COMPANY",'Source'!$B:$B,$A36)</f>
        <v>0</v>
      </c>
      <c r="E36" s="8" t="n">
        <f aca="false">D36*$J$5</f>
        <v>0</v>
      </c>
      <c r="F36" s="8" t="n">
        <f aca="false">E36-C36</f>
        <v>-22</v>
      </c>
      <c r="G36" s="9" t="n">
        <f aca="false">IF(AND(C36=0,E36=0),0,IF(C36=0,"New",(E36-C36)/C36))</f>
        <v>-1</v>
      </c>
      <c r="H36" s="8" t="n">
        <f aca="false">SUMIFS('Source'!$E:$E,'Source'!$A:$A,"160951 MEDIPAL COMPANY",'Source'!$B:$B,$A36)</f>
        <v>1060.18</v>
      </c>
      <c r="I36" s="8" t="n">
        <f aca="false">SUMIFS('Source'!$G:$G,'Source'!$A:$A,"160951 MEDIPAL COMPANY",'Source'!$B:$B,$A36)</f>
        <v>0</v>
      </c>
      <c r="J36" s="8" t="n">
        <f aca="false">I36*$J$5</f>
        <v>0</v>
      </c>
      <c r="K36" s="8" t="n">
        <f aca="false">J36-H36</f>
        <v>-1060.18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750</v>
      </c>
      <c r="B37" s="7" t="str">
        <f aca="false">IFERROR(INDEX('Source'!$C:$C,MATCH($A37,'Source'!$B:$B,0)),"")</f>
        <v>חגורת צלעות לאשה</v>
      </c>
      <c r="C37" s="8" t="n">
        <f aca="false">SUMIFS('Source'!$D:$D,'Source'!$A:$A,"160951 MEDIPAL COMPANY",'Source'!$B:$B,$A37)</f>
        <v>22</v>
      </c>
      <c r="D37" s="8" t="n">
        <f aca="false">SUMIFS('Source'!$F:$F,'Source'!$A:$A,"160951 MEDIPAL COMPANY",'Source'!$B:$B,$A37)</f>
        <v>0</v>
      </c>
      <c r="E37" s="8" t="n">
        <f aca="false">D37*$J$5</f>
        <v>0</v>
      </c>
      <c r="F37" s="8" t="n">
        <f aca="false">E37-C37</f>
        <v>-22</v>
      </c>
      <c r="G37" s="9" t="n">
        <f aca="false">IF(AND(C37=0,E37=0),0,IF(C37=0,"New",(E37-C37)/C37))</f>
        <v>-1</v>
      </c>
      <c r="H37" s="8" t="n">
        <f aca="false">SUMIFS('Source'!$E:$E,'Source'!$A:$A,"160951 MEDIPAL COMPANY",'Source'!$B:$B,$A37)</f>
        <v>976.49</v>
      </c>
      <c r="I37" s="8" t="n">
        <f aca="false">SUMIFS('Source'!$G:$G,'Source'!$A:$A,"160951 MEDIPAL COMPANY",'Source'!$B:$B,$A37)</f>
        <v>0</v>
      </c>
      <c r="J37" s="8" t="n">
        <f aca="false">I37*$J$5</f>
        <v>0</v>
      </c>
      <c r="K37" s="8" t="n">
        <f aca="false">J37-H37</f>
        <v>-976.49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581</v>
      </c>
      <c r="B38" s="7" t="str">
        <f aca="false">IFERROR(INDEX('Source'!$C:$C,MATCH($A38,'Source'!$B:$B,0)),"")</f>
        <v>מתלה</v>
      </c>
      <c r="C38" s="8" t="n">
        <f aca="false">SUMIFS('Source'!$D:$D,'Source'!$A:$A,"160951 MEDIPAL COMPANY",'Source'!$B:$B,$A38)</f>
        <v>20</v>
      </c>
      <c r="D38" s="8" t="n">
        <f aca="false">SUMIFS('Source'!$F:$F,'Source'!$A:$A,"160951 MEDIPAL COMPANY",'Source'!$B:$B,$A38)</f>
        <v>0</v>
      </c>
      <c r="E38" s="8" t="n">
        <f aca="false">D38*$J$5</f>
        <v>0</v>
      </c>
      <c r="F38" s="8" t="n">
        <f aca="false">E38-C38</f>
        <v>-20</v>
      </c>
      <c r="G38" s="9" t="n">
        <f aca="false">IF(AND(C38=0,E38=0),0,IF(C38=0,"New",(E38-C38)/C38))</f>
        <v>-1</v>
      </c>
      <c r="H38" s="8" t="n">
        <f aca="false">SUMIFS('Source'!$E:$E,'Source'!$A:$A,"160951 MEDIPAL COMPANY",'Source'!$B:$B,$A38)</f>
        <v>905.16</v>
      </c>
      <c r="I38" s="8" t="n">
        <f aca="false">SUMIFS('Source'!$G:$G,'Source'!$A:$A,"160951 MEDIPAL COMPANY",'Source'!$B:$B,$A38)</f>
        <v>0</v>
      </c>
      <c r="J38" s="8" t="n">
        <f aca="false">I38*$J$5</f>
        <v>0</v>
      </c>
      <c r="K38" s="8" t="n">
        <f aca="false">J38-H38</f>
        <v>-905.16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974</v>
      </c>
      <c r="B39" s="7" t="str">
        <f aca="false">IFERROR(INDEX('Source'!$C:$C,MATCH($A39,'Source'!$B:$B,0)),"")</f>
        <v>ח.גב אורירית (30)</v>
      </c>
      <c r="C39" s="8" t="n">
        <f aca="false">SUMIFS('Source'!$D:$D,'Source'!$A:$A,"160951 MEDIPAL COMPANY",'Source'!$B:$B,$A39)</f>
        <v>5</v>
      </c>
      <c r="D39" s="8" t="n">
        <f aca="false">SUMIFS('Source'!$F:$F,'Source'!$A:$A,"160951 MEDIPAL COMPANY",'Source'!$B:$B,$A39)</f>
        <v>0</v>
      </c>
      <c r="E39" s="8" t="n">
        <f aca="false">D39*$J$5</f>
        <v>0</v>
      </c>
      <c r="F39" s="8" t="n">
        <f aca="false">E39-C39</f>
        <v>-5</v>
      </c>
      <c r="G39" s="9" t="n">
        <f aca="false">IF(AND(C39=0,E39=0),0,IF(C39=0,"New",(E39-C39)/C39))</f>
        <v>-1</v>
      </c>
      <c r="H39" s="8" t="n">
        <f aca="false">SUMIFS('Source'!$E:$E,'Source'!$A:$A,"160951 MEDIPAL COMPANY",'Source'!$B:$B,$A39)</f>
        <v>878.34</v>
      </c>
      <c r="I39" s="8" t="n">
        <f aca="false">SUMIFS('Source'!$G:$G,'Source'!$A:$A,"160951 MEDIPAL COMPANY",'Source'!$B:$B,$A39)</f>
        <v>0</v>
      </c>
      <c r="J39" s="8" t="n">
        <f aca="false">I39*$J$5</f>
        <v>0</v>
      </c>
      <c r="K39" s="8" t="n">
        <f aca="false">J39-H39</f>
        <v>-878.34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134</v>
      </c>
      <c r="B40" s="7" t="str">
        <f aca="false">IFERROR(INDEX('Source'!$C:$C,MATCH($A40,'Source'!$B:$B,0)),"")</f>
        <v>מ. בוניון + מפריד אצבע</v>
      </c>
      <c r="C40" s="8" t="n">
        <f aca="false">SUMIFS('Source'!$D:$D,'Source'!$A:$A,"160951 MEDIPAL COMPANY",'Source'!$B:$B,$A40)</f>
        <v>55</v>
      </c>
      <c r="D40" s="8" t="n">
        <f aca="false">SUMIFS('Source'!$F:$F,'Source'!$A:$A,"160951 MEDIPAL COMPANY",'Source'!$B:$B,$A40)</f>
        <v>0</v>
      </c>
      <c r="E40" s="8" t="n">
        <f aca="false">D40*$J$5</f>
        <v>0</v>
      </c>
      <c r="F40" s="8" t="n">
        <f aca="false">E40-C40</f>
        <v>-55</v>
      </c>
      <c r="G40" s="9" t="n">
        <f aca="false">IF(AND(C40=0,E40=0),0,IF(C40=0,"New",(E40-C40)/C40))</f>
        <v>-1</v>
      </c>
      <c r="H40" s="8" t="n">
        <f aca="false">SUMIFS('Source'!$E:$E,'Source'!$A:$A,"160951 MEDIPAL COMPANY",'Source'!$B:$B,$A40)</f>
        <v>805.99</v>
      </c>
      <c r="I40" s="8" t="n">
        <f aca="false">SUMIFS('Source'!$G:$G,'Source'!$A:$A,"160951 MEDIPAL COMPANY",'Source'!$B:$B,$A40)</f>
        <v>0</v>
      </c>
      <c r="J40" s="8" t="n">
        <f aca="false">I40*$J$5</f>
        <v>0</v>
      </c>
      <c r="K40" s="8" t="n">
        <f aca="false">J40-H40</f>
        <v>-805.99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425</v>
      </c>
      <c r="B41" s="7" t="str">
        <f aca="false">IFERROR(INDEX('Source'!$C:$C,MATCH($A41,'Source'!$B:$B,0)),"")</f>
        <v>חגורת גב-לומבו</v>
      </c>
      <c r="C41" s="8" t="n">
        <f aca="false">SUMIFS('Source'!$D:$D,'Source'!$A:$A,"160951 MEDIPAL COMPANY",'Source'!$B:$B,$A41)</f>
        <v>10</v>
      </c>
      <c r="D41" s="8" t="n">
        <f aca="false">SUMIFS('Source'!$F:$F,'Source'!$A:$A,"160951 MEDIPAL COMPANY",'Source'!$B:$B,$A41)</f>
        <v>0</v>
      </c>
      <c r="E41" s="8" t="n">
        <f aca="false">D41*$J$5</f>
        <v>0</v>
      </c>
      <c r="F41" s="8" t="n">
        <f aca="false">E41-C41</f>
        <v>-10</v>
      </c>
      <c r="G41" s="9" t="n">
        <f aca="false">IF(AND(C41=0,E41=0),0,IF(C41=0,"New",(E41-C41)/C41))</f>
        <v>-1</v>
      </c>
      <c r="H41" s="8" t="n">
        <f aca="false">SUMIFS('Source'!$E:$E,'Source'!$A:$A,"160951 MEDIPAL COMPANY",'Source'!$B:$B,$A41)</f>
        <v>799.45</v>
      </c>
      <c r="I41" s="8" t="n">
        <f aca="false">SUMIFS('Source'!$G:$G,'Source'!$A:$A,"160951 MEDIPAL COMPANY",'Source'!$B:$B,$A41)</f>
        <v>0</v>
      </c>
      <c r="J41" s="8" t="n">
        <f aca="false">I41*$J$5</f>
        <v>0</v>
      </c>
      <c r="K41" s="8" t="n">
        <f aca="false">J41-H41</f>
        <v>-799.45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181</v>
      </c>
      <c r="B42" s="7" t="str">
        <f aca="false">IFERROR(INDEX('Source'!$C:$C,MATCH($A42,'Source'!$B:$B,0)),"")</f>
        <v>מגן קרסול+ עקב סגור+רצועות</v>
      </c>
      <c r="C42" s="8" t="n">
        <f aca="false">SUMIFS('Source'!$D:$D,'Source'!$A:$A,"160951 MEDIPAL COMPANY",'Source'!$B:$B,$A42)</f>
        <v>20</v>
      </c>
      <c r="D42" s="8" t="n">
        <f aca="false">SUMIFS('Source'!$F:$F,'Source'!$A:$A,"160951 MEDIPAL COMPANY",'Source'!$B:$B,$A42)</f>
        <v>0</v>
      </c>
      <c r="E42" s="8" t="n">
        <f aca="false">D42*$J$5</f>
        <v>0</v>
      </c>
      <c r="F42" s="8" t="n">
        <f aca="false">E42-C42</f>
        <v>-20</v>
      </c>
      <c r="G42" s="9" t="n">
        <f aca="false">IF(AND(C42=0,E42=0),0,IF(C42=0,"New",(E42-C42)/C42))</f>
        <v>-1</v>
      </c>
      <c r="H42" s="8" t="n">
        <f aca="false">SUMIFS('Source'!$E:$E,'Source'!$A:$A,"160951 MEDIPAL COMPANY",'Source'!$B:$B,$A42)</f>
        <v>647.87</v>
      </c>
      <c r="I42" s="8" t="n">
        <f aca="false">SUMIFS('Source'!$G:$G,'Source'!$A:$A,"160951 MEDIPAL COMPANY",'Source'!$B:$B,$A42)</f>
        <v>0</v>
      </c>
      <c r="J42" s="8" t="n">
        <f aca="false">I42*$J$5</f>
        <v>0</v>
      </c>
      <c r="K42" s="8" t="n">
        <f aca="false">J42-H42</f>
        <v>-647.87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394</v>
      </c>
      <c r="B43" s="7" t="str">
        <f aca="false">IFERROR(INDEX('Source'!$C:$C,MATCH($A43,'Source'!$B:$B,0)),"")</f>
        <v>מגן קרסול+ עקב סגור+רצועות</v>
      </c>
      <c r="C43" s="8" t="n">
        <f aca="false">SUMIFS('Source'!$D:$D,'Source'!$A:$A,"160951 MEDIPAL COMPANY",'Source'!$B:$B,$A43)</f>
        <v>20</v>
      </c>
      <c r="D43" s="8" t="n">
        <f aca="false">SUMIFS('Source'!$F:$F,'Source'!$A:$A,"160951 MEDIPAL COMPANY",'Source'!$B:$B,$A43)</f>
        <v>0</v>
      </c>
      <c r="E43" s="8" t="n">
        <f aca="false">D43*$J$5</f>
        <v>0</v>
      </c>
      <c r="F43" s="8" t="n">
        <f aca="false">E43-C43</f>
        <v>-20</v>
      </c>
      <c r="G43" s="9" t="n">
        <f aca="false">IF(AND(C43=0,E43=0),0,IF(C43=0,"New",(E43-C43)/C43))</f>
        <v>-1</v>
      </c>
      <c r="H43" s="8" t="n">
        <f aca="false">SUMIFS('Source'!$E:$E,'Source'!$A:$A,"160951 MEDIPAL COMPANY",'Source'!$B:$B,$A43)</f>
        <v>647.87</v>
      </c>
      <c r="I43" s="8" t="n">
        <f aca="false">SUMIFS('Source'!$G:$G,'Source'!$A:$A,"160951 MEDIPAL COMPANY",'Source'!$B:$B,$A43)</f>
        <v>0</v>
      </c>
      <c r="J43" s="8" t="n">
        <f aca="false">I43*$J$5</f>
        <v>0</v>
      </c>
      <c r="K43" s="8" t="n">
        <f aca="false">J43-H43</f>
        <v>-647.87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465</v>
      </c>
      <c r="B44" s="7" t="str">
        <f aca="false">IFERROR(INDEX('Source'!$C:$C,MATCH($A44,'Source'!$B:$B,0)),"")</f>
        <v>צוארון ספוגי</v>
      </c>
      <c r="C44" s="8" t="n">
        <f aca="false">SUMIFS('Source'!$D:$D,'Source'!$A:$A,"160951 MEDIPAL COMPANY",'Source'!$B:$B,$A44)</f>
        <v>20</v>
      </c>
      <c r="D44" s="8" t="n">
        <f aca="false">SUMIFS('Source'!$F:$F,'Source'!$A:$A,"160951 MEDIPAL COMPANY",'Source'!$B:$B,$A44)</f>
        <v>0</v>
      </c>
      <c r="E44" s="8" t="n">
        <f aca="false">D44*$J$5</f>
        <v>0</v>
      </c>
      <c r="F44" s="8" t="n">
        <f aca="false">E44-C44</f>
        <v>-20</v>
      </c>
      <c r="G44" s="9" t="n">
        <f aca="false">IF(AND(C44=0,E44=0),0,IF(C44=0,"New",(E44-C44)/C44))</f>
        <v>-1</v>
      </c>
      <c r="H44" s="8" t="n">
        <f aca="false">SUMIFS('Source'!$E:$E,'Source'!$A:$A,"160951 MEDIPAL COMPANY",'Source'!$B:$B,$A44)</f>
        <v>554.25</v>
      </c>
      <c r="I44" s="8" t="n">
        <f aca="false">SUMIFS('Source'!$G:$G,'Source'!$A:$A,"160951 MEDIPAL COMPANY",'Source'!$B:$B,$A44)</f>
        <v>0</v>
      </c>
      <c r="J44" s="8" t="n">
        <f aca="false">I44*$J$5</f>
        <v>0</v>
      </c>
      <c r="K44" s="8" t="n">
        <f aca="false">J44-H44</f>
        <v>-554.25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706</v>
      </c>
      <c r="B45" s="7" t="str">
        <f aca="false">IFERROR(INDEX('Source'!$C:$C,MATCH($A45,'Source'!$B:$B,0)),"")</f>
        <v>חגורת צלעות לגבר</v>
      </c>
      <c r="C45" s="8" t="n">
        <f aca="false">SUMIFS('Source'!$D:$D,'Source'!$A:$A,"160951 MEDIPAL COMPANY",'Source'!$B:$B,$A45)</f>
        <v>12</v>
      </c>
      <c r="D45" s="8" t="n">
        <f aca="false">SUMIFS('Source'!$F:$F,'Source'!$A:$A,"160951 MEDIPAL COMPANY",'Source'!$B:$B,$A45)</f>
        <v>0</v>
      </c>
      <c r="E45" s="8" t="n">
        <f aca="false">D45*$J$5</f>
        <v>0</v>
      </c>
      <c r="F45" s="8" t="n">
        <f aca="false">E45-C45</f>
        <v>-12</v>
      </c>
      <c r="G45" s="9" t="n">
        <f aca="false">IF(AND(C45=0,E45=0),0,IF(C45=0,"New",(E45-C45)/C45))</f>
        <v>-1</v>
      </c>
      <c r="H45" s="8" t="n">
        <f aca="false">SUMIFS('Source'!$E:$E,'Source'!$A:$A,"160951 MEDIPAL COMPANY",'Source'!$B:$B,$A45)</f>
        <v>530.1</v>
      </c>
      <c r="I45" s="8" t="n">
        <f aca="false">SUMIFS('Source'!$G:$G,'Source'!$A:$A,"160951 MEDIPAL COMPANY",'Source'!$B:$B,$A45)</f>
        <v>0</v>
      </c>
      <c r="J45" s="8" t="n">
        <f aca="false">I45*$J$5</f>
        <v>0</v>
      </c>
      <c r="K45" s="8" t="n">
        <f aca="false">J45-H45</f>
        <v>-530.1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414</v>
      </c>
      <c r="B46" s="7" t="str">
        <f aca="false">IFERROR(INDEX('Source'!$C:$C,MATCH($A46,'Source'!$B:$B,0)),"")</f>
        <v>חגורת צלעות לגבר</v>
      </c>
      <c r="C46" s="8" t="n">
        <f aca="false">SUMIFS('Source'!$D:$D,'Source'!$A:$A,"160951 MEDIPAL COMPANY",'Source'!$B:$B,$A46)</f>
        <v>12</v>
      </c>
      <c r="D46" s="8" t="n">
        <f aca="false">SUMIFS('Source'!$F:$F,'Source'!$A:$A,"160951 MEDIPAL COMPANY",'Source'!$B:$B,$A46)</f>
        <v>0</v>
      </c>
      <c r="E46" s="8" t="n">
        <f aca="false">D46*$J$5</f>
        <v>0</v>
      </c>
      <c r="F46" s="8" t="n">
        <f aca="false">E46-C46</f>
        <v>-12</v>
      </c>
      <c r="G46" s="9" t="n">
        <f aca="false">IF(AND(C46=0,E46=0),0,IF(C46=0,"New",(E46-C46)/C46))</f>
        <v>-1</v>
      </c>
      <c r="H46" s="8" t="n">
        <f aca="false">SUMIFS('Source'!$E:$E,'Source'!$A:$A,"160951 MEDIPAL COMPANY",'Source'!$B:$B,$A46)</f>
        <v>530.1</v>
      </c>
      <c r="I46" s="8" t="n">
        <f aca="false">SUMIFS('Source'!$G:$G,'Source'!$A:$A,"160951 MEDIPAL COMPANY",'Source'!$B:$B,$A46)</f>
        <v>0</v>
      </c>
      <c r="J46" s="8" t="n">
        <f aca="false">I46*$J$5</f>
        <v>0</v>
      </c>
      <c r="K46" s="8" t="n">
        <f aca="false">J46-H46</f>
        <v>-530.1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649</v>
      </c>
      <c r="B47" s="7" t="str">
        <f aca="false">IFERROR(INDEX('Source'!$C:$C,MATCH($A47,'Source'!$B:$B,0)),"")</f>
        <v>כרית סיליקון לעקב</v>
      </c>
      <c r="C47" s="8" t="n">
        <f aca="false">SUMIFS('Source'!$D:$D,'Source'!$A:$A,"160951 MEDIPAL COMPANY",'Source'!$B:$B,$A47)</f>
        <v>20</v>
      </c>
      <c r="D47" s="8" t="n">
        <f aca="false">SUMIFS('Source'!$F:$F,'Source'!$A:$A,"160951 MEDIPAL COMPANY",'Source'!$B:$B,$A47)</f>
        <v>0</v>
      </c>
      <c r="E47" s="8" t="n">
        <f aca="false">D47*$J$5</f>
        <v>0</v>
      </c>
      <c r="F47" s="8" t="n">
        <f aca="false">E47-C47</f>
        <v>-20</v>
      </c>
      <c r="G47" s="9" t="n">
        <f aca="false">IF(AND(C47=0,E47=0),0,IF(C47=0,"New",(E47-C47)/C47))</f>
        <v>-1</v>
      </c>
      <c r="H47" s="8" t="n">
        <f aca="false">SUMIFS('Source'!$E:$E,'Source'!$A:$A,"160951 MEDIPAL COMPANY",'Source'!$B:$B,$A47)</f>
        <v>489.77</v>
      </c>
      <c r="I47" s="8" t="n">
        <f aca="false">SUMIFS('Source'!$G:$G,'Source'!$A:$A,"160951 MEDIPAL COMPANY",'Source'!$B:$B,$A47)</f>
        <v>0</v>
      </c>
      <c r="J47" s="8" t="n">
        <f aca="false">I47*$J$5</f>
        <v>0</v>
      </c>
      <c r="K47" s="8" t="n">
        <f aca="false">J47-H47</f>
        <v>-489.77</v>
      </c>
      <c r="L47" s="9" t="n">
        <f aca="false">IF(AND(H47=0,J47=0),0,IF(H47=0,"New",(J47-H47)/H47))</f>
        <v>-1</v>
      </c>
      <c r="M47" s="7" t="str">
        <f aca="false">IF(AND(OR(C47&lt;&gt;0,H47&lt;&gt;0),D47=0,I47=0),"DROP",IF(AND(OR(D47&lt;&gt;0,I47&lt;&gt;0),C47=0,H47=0),"NEW",""))</f>
        <v>DROP</v>
      </c>
    </row>
    <row r="48" customFormat="false" ht="15" hidden="false" customHeight="false" outlineLevel="0" collapsed="false">
      <c r="A48" s="7" t="s">
        <v>643</v>
      </c>
      <c r="B48" s="7" t="str">
        <f aca="false">IFERROR(INDEX('Source'!$C:$C,MATCH($A48,'Source'!$B:$B,0)),"")</f>
        <v>כרית סיליקון לעקב</v>
      </c>
      <c r="C48" s="8" t="n">
        <f aca="false">SUMIFS('Source'!$D:$D,'Source'!$A:$A,"160951 MEDIPAL COMPANY",'Source'!$B:$B,$A48)</f>
        <v>20</v>
      </c>
      <c r="D48" s="8" t="n">
        <f aca="false">SUMIFS('Source'!$F:$F,'Source'!$A:$A,"160951 MEDIPAL COMPANY",'Source'!$B:$B,$A48)</f>
        <v>0</v>
      </c>
      <c r="E48" s="8" t="n">
        <f aca="false">D48*$J$5</f>
        <v>0</v>
      </c>
      <c r="F48" s="8" t="n">
        <f aca="false">E48-C48</f>
        <v>-20</v>
      </c>
      <c r="G48" s="9" t="n">
        <f aca="false">IF(AND(C48=0,E48=0),0,IF(C48=0,"New",(E48-C48)/C48))</f>
        <v>-1</v>
      </c>
      <c r="H48" s="8" t="n">
        <f aca="false">SUMIFS('Source'!$E:$E,'Source'!$A:$A,"160951 MEDIPAL COMPANY",'Source'!$B:$B,$A48)</f>
        <v>489.77</v>
      </c>
      <c r="I48" s="8" t="n">
        <f aca="false">SUMIFS('Source'!$G:$G,'Source'!$A:$A,"160951 MEDIPAL COMPANY",'Source'!$B:$B,$A48)</f>
        <v>0</v>
      </c>
      <c r="J48" s="8" t="n">
        <f aca="false">I48*$J$5</f>
        <v>0</v>
      </c>
      <c r="K48" s="8" t="n">
        <f aca="false">J48-H48</f>
        <v>-489.77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574</v>
      </c>
      <c r="B49" s="7" t="str">
        <f aca="false">IFERROR(INDEX('Source'!$C:$C,MATCH($A49,'Source'!$B:$B,0)),"")</f>
        <v>חגורת צלעות לאשה</v>
      </c>
      <c r="C49" s="8" t="n">
        <f aca="false">SUMIFS('Source'!$D:$D,'Source'!$A:$A,"160951 MEDIPAL COMPANY",'Source'!$B:$B,$A49)</f>
        <v>10</v>
      </c>
      <c r="D49" s="8" t="n">
        <f aca="false">SUMIFS('Source'!$F:$F,'Source'!$A:$A,"160951 MEDIPAL COMPANY",'Source'!$B:$B,$A49)</f>
        <v>0</v>
      </c>
      <c r="E49" s="8" t="n">
        <f aca="false">D49*$J$5</f>
        <v>0</v>
      </c>
      <c r="F49" s="8" t="n">
        <f aca="false">E49-C49</f>
        <v>-10</v>
      </c>
      <c r="G49" s="9" t="n">
        <f aca="false">IF(AND(C49=0,E49=0),0,IF(C49=0,"New",(E49-C49)/C49))</f>
        <v>-1</v>
      </c>
      <c r="H49" s="8" t="n">
        <f aca="false">SUMIFS('Source'!$E:$E,'Source'!$A:$A,"160951 MEDIPAL COMPANY",'Source'!$B:$B,$A49)</f>
        <v>488.22</v>
      </c>
      <c r="I49" s="8" t="n">
        <f aca="false">SUMIFS('Source'!$G:$G,'Source'!$A:$A,"160951 MEDIPAL COMPANY",'Source'!$B:$B,$A49)</f>
        <v>0</v>
      </c>
      <c r="J49" s="8" t="n">
        <f aca="false">I49*$J$5</f>
        <v>0</v>
      </c>
      <c r="K49" s="8" t="n">
        <f aca="false">J49-H49</f>
        <v>-488.22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547</v>
      </c>
      <c r="B50" s="7" t="str">
        <f aca="false">IFERROR(INDEX('Source'!$C:$C,MATCH($A50,'Source'!$B:$B,0)),"")</f>
        <v>חגורת צלעות לאשה</v>
      </c>
      <c r="C50" s="8" t="n">
        <f aca="false">SUMIFS('Source'!$D:$D,'Source'!$A:$A,"160951 MEDIPAL COMPANY",'Source'!$B:$B,$A50)</f>
        <v>11</v>
      </c>
      <c r="D50" s="8" t="n">
        <f aca="false">SUMIFS('Source'!$F:$F,'Source'!$A:$A,"160951 MEDIPAL COMPANY",'Source'!$B:$B,$A50)</f>
        <v>0</v>
      </c>
      <c r="E50" s="8" t="n">
        <f aca="false">D50*$J$5</f>
        <v>0</v>
      </c>
      <c r="F50" s="8" t="n">
        <f aca="false">E50-C50</f>
        <v>-11</v>
      </c>
      <c r="G50" s="9" t="n">
        <f aca="false">IF(AND(C50=0,E50=0),0,IF(C50=0,"New",(E50-C50)/C50))</f>
        <v>-1</v>
      </c>
      <c r="H50" s="8" t="n">
        <f aca="false">SUMIFS('Source'!$E:$E,'Source'!$A:$A,"160951 MEDIPAL COMPANY",'Source'!$B:$B,$A50)</f>
        <v>488.22</v>
      </c>
      <c r="I50" s="8" t="n">
        <f aca="false">SUMIFS('Source'!$G:$G,'Source'!$A:$A,"160951 MEDIPAL COMPANY",'Source'!$B:$B,$A50)</f>
        <v>0</v>
      </c>
      <c r="J50" s="8" t="n">
        <f aca="false">I50*$J$5</f>
        <v>0</v>
      </c>
      <c r="K50" s="8" t="n">
        <f aca="false">J50-H50</f>
        <v>-488.22</v>
      </c>
      <c r="L50" s="9" t="n">
        <f aca="false">IF(AND(H50=0,J50=0),0,IF(H50=0,"New",(J50-H50)/H50))</f>
        <v>-1</v>
      </c>
      <c r="M50" s="7" t="str">
        <f aca="false">IF(AND(OR(C50&lt;&gt;0,H50&lt;&gt;0),D50=0,I50=0),"DROP",IF(AND(OR(D50&lt;&gt;0,I50&lt;&gt;0),C50=0,H50=0),"NEW",""))</f>
        <v>DROP</v>
      </c>
    </row>
    <row r="51" customFormat="false" ht="15" hidden="false" customHeight="false" outlineLevel="0" collapsed="false">
      <c r="A51" s="7" t="s">
        <v>597</v>
      </c>
      <c r="B51" s="7" t="str">
        <f aca="false">IFERROR(INDEX('Source'!$C:$C,MATCH($A51,'Source'!$B:$B,0)),"")</f>
        <v>מגן קרסול סגור</v>
      </c>
      <c r="C51" s="8" t="n">
        <f aca="false">SUMIFS('Source'!$D:$D,'Source'!$A:$A,"160951 MEDIPAL COMPANY",'Source'!$B:$B,$A51)</f>
        <v>20</v>
      </c>
      <c r="D51" s="8" t="n">
        <f aca="false">SUMIFS('Source'!$F:$F,'Source'!$A:$A,"160951 MEDIPAL COMPANY",'Source'!$B:$B,$A51)</f>
        <v>0</v>
      </c>
      <c r="E51" s="8" t="n">
        <f aca="false">D51*$J$5</f>
        <v>0</v>
      </c>
      <c r="F51" s="8" t="n">
        <f aca="false">E51-C51</f>
        <v>-20</v>
      </c>
      <c r="G51" s="9" t="n">
        <f aca="false">IF(AND(C51=0,E51=0),0,IF(C51=0,"New",(E51-C51)/C51))</f>
        <v>-1</v>
      </c>
      <c r="H51" s="8" t="n">
        <f aca="false">SUMIFS('Source'!$E:$E,'Source'!$A:$A,"160951 MEDIPAL COMPANY",'Source'!$B:$B,$A51)</f>
        <v>483.58</v>
      </c>
      <c r="I51" s="8" t="n">
        <f aca="false">SUMIFS('Source'!$G:$G,'Source'!$A:$A,"160951 MEDIPAL COMPANY",'Source'!$B:$B,$A51)</f>
        <v>0</v>
      </c>
      <c r="J51" s="8" t="n">
        <f aca="false">I51*$J$5</f>
        <v>0</v>
      </c>
      <c r="K51" s="8" t="n">
        <f aca="false">J51-H51</f>
        <v>-483.58</v>
      </c>
      <c r="L51" s="9" t="n">
        <f aca="false">IF(AND(H51=0,J51=0),0,IF(H51=0,"New",(J51-H51)/H51))</f>
        <v>-1</v>
      </c>
      <c r="M51" s="7" t="str">
        <f aca="false">IF(AND(OR(C51&lt;&gt;0,H51&lt;&gt;0),D51=0,I51=0),"DROP",IF(AND(OR(D51&lt;&gt;0,I51&lt;&gt;0),C51=0,H51=0),"NEW",""))</f>
        <v>DROP</v>
      </c>
    </row>
    <row r="52" customFormat="false" ht="15" hidden="false" customHeight="false" outlineLevel="0" collapsed="false">
      <c r="A52" s="7" t="s">
        <v>784</v>
      </c>
      <c r="B52" s="7" t="str">
        <f aca="false">IFERROR(INDEX('Source'!$C:$C,MATCH($A52,'Source'!$B:$B,0)),"")</f>
        <v>מתלה</v>
      </c>
      <c r="C52" s="8" t="n">
        <f aca="false">SUMIFS('Source'!$D:$D,'Source'!$A:$A,"160951 MEDIPAL COMPANY",'Source'!$B:$B,$A52)</f>
        <v>10</v>
      </c>
      <c r="D52" s="8" t="n">
        <f aca="false">SUMIFS('Source'!$F:$F,'Source'!$A:$A,"160951 MEDIPAL COMPANY",'Source'!$B:$B,$A52)</f>
        <v>0</v>
      </c>
      <c r="E52" s="8" t="n">
        <f aca="false">D52*$J$5</f>
        <v>0</v>
      </c>
      <c r="F52" s="8" t="n">
        <f aca="false">E52-C52</f>
        <v>-10</v>
      </c>
      <c r="G52" s="9" t="n">
        <f aca="false">IF(AND(C52=0,E52=0),0,IF(C52=0,"New",(E52-C52)/C52))</f>
        <v>-1</v>
      </c>
      <c r="H52" s="8" t="n">
        <f aca="false">SUMIFS('Source'!$E:$E,'Source'!$A:$A,"160951 MEDIPAL COMPANY",'Source'!$B:$B,$A52)</f>
        <v>452.58</v>
      </c>
      <c r="I52" s="8" t="n">
        <f aca="false">SUMIFS('Source'!$G:$G,'Source'!$A:$A,"160951 MEDIPAL COMPANY",'Source'!$B:$B,$A52)</f>
        <v>0</v>
      </c>
      <c r="J52" s="8" t="n">
        <f aca="false">I52*$J$5</f>
        <v>0</v>
      </c>
      <c r="K52" s="8" t="n">
        <f aca="false">J52-H52</f>
        <v>-452.58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785</v>
      </c>
      <c r="B53" s="7" t="str">
        <f aca="false">IFERROR(INDEX('Source'!$C:$C,MATCH($A53,'Source'!$B:$B,0)),"")</f>
        <v>מתלה</v>
      </c>
      <c r="C53" s="8" t="n">
        <f aca="false">SUMIFS('Source'!$D:$D,'Source'!$A:$A,"160951 MEDIPAL COMPANY",'Source'!$B:$B,$A53)</f>
        <v>10</v>
      </c>
      <c r="D53" s="8" t="n">
        <f aca="false">SUMIFS('Source'!$F:$F,'Source'!$A:$A,"160951 MEDIPAL COMPANY",'Source'!$B:$B,$A53)</f>
        <v>0</v>
      </c>
      <c r="E53" s="8" t="n">
        <f aca="false">D53*$J$5</f>
        <v>0</v>
      </c>
      <c r="F53" s="8" t="n">
        <f aca="false">E53-C53</f>
        <v>-10</v>
      </c>
      <c r="G53" s="9" t="n">
        <f aca="false">IF(AND(C53=0,E53=0),0,IF(C53=0,"New",(E53-C53)/C53))</f>
        <v>-1</v>
      </c>
      <c r="H53" s="8" t="n">
        <f aca="false">SUMIFS('Source'!$E:$E,'Source'!$A:$A,"160951 MEDIPAL COMPANY",'Source'!$B:$B,$A53)</f>
        <v>452.58</v>
      </c>
      <c r="I53" s="8" t="n">
        <f aca="false">SUMIFS('Source'!$G:$G,'Source'!$A:$A,"160951 MEDIPAL COMPANY",'Source'!$B:$B,$A53)</f>
        <v>0</v>
      </c>
      <c r="J53" s="8" t="n">
        <f aca="false">I53*$J$5</f>
        <v>0</v>
      </c>
      <c r="K53" s="8" t="n">
        <f aca="false">J53-H53</f>
        <v>-452.58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225</v>
      </c>
      <c r="B54" s="7" t="str">
        <f aca="false">IFERROR(INDEX('Source'!$C:$C,MATCH($A54,'Source'!$B:$B,0)),"")</f>
        <v>שרוול מסיליקון ל</v>
      </c>
      <c r="C54" s="8" t="n">
        <f aca="false">SUMIFS('Source'!$D:$D,'Source'!$A:$A,"160951 MEDIPAL COMPANY",'Source'!$B:$B,$A54)</f>
        <v>55</v>
      </c>
      <c r="D54" s="8" t="n">
        <f aca="false">SUMIFS('Source'!$F:$F,'Source'!$A:$A,"160951 MEDIPAL COMPANY",'Source'!$B:$B,$A54)</f>
        <v>0</v>
      </c>
      <c r="E54" s="8" t="n">
        <f aca="false">D54*$J$5</f>
        <v>0</v>
      </c>
      <c r="F54" s="8" t="n">
        <f aca="false">E54-C54</f>
        <v>-55</v>
      </c>
      <c r="G54" s="9" t="n">
        <f aca="false">IF(AND(C54=0,E54=0),0,IF(C54=0,"New",(E54-C54)/C54))</f>
        <v>-1</v>
      </c>
      <c r="H54" s="8" t="n">
        <f aca="false">SUMIFS('Source'!$E:$E,'Source'!$A:$A,"160951 MEDIPAL COMPANY",'Source'!$B:$B,$A54)</f>
        <v>403.01</v>
      </c>
      <c r="I54" s="8" t="n">
        <f aca="false">SUMIFS('Source'!$G:$G,'Source'!$A:$A,"160951 MEDIPAL COMPANY",'Source'!$B:$B,$A54)</f>
        <v>0</v>
      </c>
      <c r="J54" s="8" t="n">
        <f aca="false">I54*$J$5</f>
        <v>0</v>
      </c>
      <c r="K54" s="8" t="n">
        <f aca="false">J54-H54</f>
        <v>-403.01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577</v>
      </c>
      <c r="B55" s="7" t="str">
        <f aca="false">IFERROR(INDEX('Source'!$C:$C,MATCH($A55,'Source'!$B:$B,0)),"")</f>
        <v>חגורת גב-לומבו</v>
      </c>
      <c r="C55" s="8" t="n">
        <f aca="false">SUMIFS('Source'!$D:$D,'Source'!$A:$A,"160951 MEDIPAL COMPANY",'Source'!$B:$B,$A55)</f>
        <v>5</v>
      </c>
      <c r="D55" s="8" t="n">
        <f aca="false">SUMIFS('Source'!$F:$F,'Source'!$A:$A,"160951 MEDIPAL COMPANY",'Source'!$B:$B,$A55)</f>
        <v>0</v>
      </c>
      <c r="E55" s="8" t="n">
        <f aca="false">D55*$J$5</f>
        <v>0</v>
      </c>
      <c r="F55" s="8" t="n">
        <f aca="false">E55-C55</f>
        <v>-5</v>
      </c>
      <c r="G55" s="9" t="n">
        <f aca="false">IF(AND(C55=0,E55=0),0,IF(C55=0,"New",(E55-C55)/C55))</f>
        <v>-1</v>
      </c>
      <c r="H55" s="8" t="n">
        <f aca="false">SUMIFS('Source'!$E:$E,'Source'!$A:$A,"160951 MEDIPAL COMPANY",'Source'!$B:$B,$A55)</f>
        <v>399.72</v>
      </c>
      <c r="I55" s="8" t="n">
        <f aca="false">SUMIFS('Source'!$G:$G,'Source'!$A:$A,"160951 MEDIPAL COMPANY",'Source'!$B:$B,$A55)</f>
        <v>0</v>
      </c>
      <c r="J55" s="8" t="n">
        <f aca="false">I55*$J$5</f>
        <v>0</v>
      </c>
      <c r="K55" s="8" t="n">
        <f aca="false">J55-H55</f>
        <v>-399.72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975</v>
      </c>
      <c r="B56" s="7" t="str">
        <f aca="false">IFERROR(INDEX('Source'!$C:$C,MATCH($A56,'Source'!$B:$B,0)),"")</f>
        <v>חגורת גב-לומבו</v>
      </c>
      <c r="C56" s="8" t="n">
        <f aca="false">SUMIFS('Source'!$D:$D,'Source'!$A:$A,"160951 MEDIPAL COMPANY",'Source'!$B:$B,$A56)</f>
        <v>5</v>
      </c>
      <c r="D56" s="8" t="n">
        <f aca="false">SUMIFS('Source'!$F:$F,'Source'!$A:$A,"160951 MEDIPAL COMPANY",'Source'!$B:$B,$A56)</f>
        <v>0</v>
      </c>
      <c r="E56" s="8" t="n">
        <f aca="false">D56*$J$5</f>
        <v>0</v>
      </c>
      <c r="F56" s="8" t="n">
        <f aca="false">E56-C56</f>
        <v>-5</v>
      </c>
      <c r="G56" s="9" t="n">
        <f aca="false">IF(AND(C56=0,E56=0),0,IF(C56=0,"New",(E56-C56)/C56))</f>
        <v>-1</v>
      </c>
      <c r="H56" s="8" t="n">
        <f aca="false">SUMIFS('Source'!$E:$E,'Source'!$A:$A,"160951 MEDIPAL COMPANY",'Source'!$B:$B,$A56)</f>
        <v>399.72</v>
      </c>
      <c r="I56" s="8" t="n">
        <f aca="false">SUMIFS('Source'!$G:$G,'Source'!$A:$A,"160951 MEDIPAL COMPANY",'Source'!$B:$B,$A56)</f>
        <v>0</v>
      </c>
      <c r="J56" s="8" t="n">
        <f aca="false">I56*$J$5</f>
        <v>0</v>
      </c>
      <c r="K56" s="8" t="n">
        <f aca="false">J56-H56</f>
        <v>-399.72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272</v>
      </c>
      <c r="B57" s="7" t="str">
        <f aca="false">IFERROR(INDEX('Source'!$C:$C,MATCH($A57,'Source'!$B:$B,0)),"")</f>
        <v>חגורת גב-לומבו</v>
      </c>
      <c r="C57" s="8" t="n">
        <f aca="false">SUMIFS('Source'!$D:$D,'Source'!$A:$A,"160951 MEDIPAL COMPANY",'Source'!$B:$B,$A57)</f>
        <v>5</v>
      </c>
      <c r="D57" s="8" t="n">
        <f aca="false">SUMIFS('Source'!$F:$F,'Source'!$A:$A,"160951 MEDIPAL COMPANY",'Source'!$B:$B,$A57)</f>
        <v>0</v>
      </c>
      <c r="E57" s="8" t="n">
        <f aca="false">D57*$J$5</f>
        <v>0</v>
      </c>
      <c r="F57" s="8" t="n">
        <f aca="false">E57-C57</f>
        <v>-5</v>
      </c>
      <c r="G57" s="9" t="n">
        <f aca="false">IF(AND(C57=0,E57=0),0,IF(C57=0,"New",(E57-C57)/C57))</f>
        <v>-1</v>
      </c>
      <c r="H57" s="8" t="n">
        <f aca="false">SUMIFS('Source'!$E:$E,'Source'!$A:$A,"160951 MEDIPAL COMPANY",'Source'!$B:$B,$A57)</f>
        <v>399.72</v>
      </c>
      <c r="I57" s="8" t="n">
        <f aca="false">SUMIFS('Source'!$G:$G,'Source'!$A:$A,"160951 MEDIPAL COMPANY",'Source'!$B:$B,$A57)</f>
        <v>0</v>
      </c>
      <c r="J57" s="8" t="n">
        <f aca="false">I57*$J$5</f>
        <v>0</v>
      </c>
      <c r="K57" s="8" t="n">
        <f aca="false">J57-H57</f>
        <v>-399.72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478</v>
      </c>
      <c r="B58" s="7" t="str">
        <f aca="false">IFERROR(INDEX('Source'!$C:$C,MATCH($A58,'Source'!$B:$B,0)),"")</f>
        <v>מדבקה גדולה מסיליקון</v>
      </c>
      <c r="C58" s="8" t="n">
        <f aca="false">SUMIFS('Source'!$D:$D,'Source'!$A:$A,"160951 MEDIPAL COMPANY",'Source'!$B:$B,$A58)</f>
        <v>55</v>
      </c>
      <c r="D58" s="8" t="n">
        <f aca="false">SUMIFS('Source'!$F:$F,'Source'!$A:$A,"160951 MEDIPAL COMPANY",'Source'!$B:$B,$A58)</f>
        <v>0</v>
      </c>
      <c r="E58" s="8" t="n">
        <f aca="false">D58*$J$5</f>
        <v>0</v>
      </c>
      <c r="F58" s="8" t="n">
        <f aca="false">E58-C58</f>
        <v>-55</v>
      </c>
      <c r="G58" s="9" t="n">
        <f aca="false">IF(AND(C58=0,E58=0),0,IF(C58=0,"New",(E58-C58)/C58))</f>
        <v>-1</v>
      </c>
      <c r="H58" s="8" t="n">
        <f aca="false">SUMIFS('Source'!$E:$E,'Source'!$A:$A,"160951 MEDIPAL COMPANY",'Source'!$B:$B,$A58)</f>
        <v>387.52</v>
      </c>
      <c r="I58" s="8" t="n">
        <f aca="false">SUMIFS('Source'!$G:$G,'Source'!$A:$A,"160951 MEDIPAL COMPANY",'Source'!$B:$B,$A58)</f>
        <v>0</v>
      </c>
      <c r="J58" s="8" t="n">
        <f aca="false">I58*$J$5</f>
        <v>0</v>
      </c>
      <c r="K58" s="8" t="n">
        <f aca="false">J58-H58</f>
        <v>-387.52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735</v>
      </c>
      <c r="B59" s="7" t="str">
        <f aca="false">IFERROR(INDEX('Source'!$C:$C,MATCH($A59,'Source'!$B:$B,0)),"")</f>
        <v>רפידה בולמת זעזועים</v>
      </c>
      <c r="C59" s="8" t="n">
        <f aca="false">SUMIFS('Source'!$D:$D,'Source'!$A:$A,"160951 MEDIPAL COMPANY",'Source'!$B:$B,$A59)</f>
        <v>55</v>
      </c>
      <c r="D59" s="8" t="n">
        <f aca="false">SUMIFS('Source'!$F:$F,'Source'!$A:$A,"160951 MEDIPAL COMPANY",'Source'!$B:$B,$A59)</f>
        <v>0</v>
      </c>
      <c r="E59" s="8" t="n">
        <f aca="false">D59*$J$5</f>
        <v>0</v>
      </c>
      <c r="F59" s="8" t="n">
        <f aca="false">E59-C59</f>
        <v>-55</v>
      </c>
      <c r="G59" s="9" t="n">
        <f aca="false">IF(AND(C59=0,E59=0),0,IF(C59=0,"New",(E59-C59)/C59))</f>
        <v>-1</v>
      </c>
      <c r="H59" s="8" t="n">
        <f aca="false">SUMIFS('Source'!$E:$E,'Source'!$A:$A,"160951 MEDIPAL COMPANY",'Source'!$B:$B,$A59)</f>
        <v>379.76</v>
      </c>
      <c r="I59" s="8" t="n">
        <f aca="false">SUMIFS('Source'!$G:$G,'Source'!$A:$A,"160951 MEDIPAL COMPANY",'Source'!$B:$B,$A59)</f>
        <v>0</v>
      </c>
      <c r="J59" s="8" t="n">
        <f aca="false">I59*$J$5</f>
        <v>0</v>
      </c>
      <c r="K59" s="8" t="n">
        <f aca="false">J59-H59</f>
        <v>-379.76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445</v>
      </c>
      <c r="B60" s="7" t="str">
        <f aca="false">IFERROR(INDEX('Source'!$C:$C,MATCH($A60,'Source'!$B:$B,0)),"")</f>
        <v>חגורת צלעות לגבר</v>
      </c>
      <c r="C60" s="8" t="n">
        <f aca="false">SUMIFS('Source'!$D:$D,'Source'!$A:$A,"160951 MEDIPAL COMPANY",'Source'!$B:$B,$A60)</f>
        <v>6</v>
      </c>
      <c r="D60" s="8" t="n">
        <f aca="false">SUMIFS('Source'!$F:$F,'Source'!$A:$A,"160951 MEDIPAL COMPANY",'Source'!$B:$B,$A60)</f>
        <v>0</v>
      </c>
      <c r="E60" s="8" t="n">
        <f aca="false">D60*$J$5</f>
        <v>0</v>
      </c>
      <c r="F60" s="8" t="n">
        <f aca="false">E60-C60</f>
        <v>-6</v>
      </c>
      <c r="G60" s="9" t="n">
        <f aca="false">IF(AND(C60=0,E60=0),0,IF(C60=0,"New",(E60-C60)/C60))</f>
        <v>-1</v>
      </c>
      <c r="H60" s="8" t="n">
        <f aca="false">SUMIFS('Source'!$E:$E,'Source'!$A:$A,"160951 MEDIPAL COMPANY",'Source'!$B:$B,$A60)</f>
        <v>318.04</v>
      </c>
      <c r="I60" s="8" t="n">
        <f aca="false">SUMIFS('Source'!$G:$G,'Source'!$A:$A,"160951 MEDIPAL COMPANY",'Source'!$B:$B,$A60)</f>
        <v>0</v>
      </c>
      <c r="J60" s="8" t="n">
        <f aca="false">I60*$J$5</f>
        <v>0</v>
      </c>
      <c r="K60" s="8" t="n">
        <f aca="false">J60-H60</f>
        <v>-318.04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661</v>
      </c>
      <c r="B61" s="7" t="str">
        <f aca="false">IFERROR(INDEX('Source'!$C:$C,MATCH($A61,'Source'!$B:$B,0)),"")</f>
        <v>רפידת נוחות</v>
      </c>
      <c r="C61" s="8" t="n">
        <f aca="false">SUMIFS('Source'!$D:$D,'Source'!$A:$A,"160951 MEDIPAL COMPANY",'Source'!$B:$B,$A61)</f>
        <v>55</v>
      </c>
      <c r="D61" s="8" t="n">
        <f aca="false">SUMIFS('Source'!$F:$F,'Source'!$A:$A,"160951 MEDIPAL COMPANY",'Source'!$B:$B,$A61)</f>
        <v>0</v>
      </c>
      <c r="E61" s="8" t="n">
        <f aca="false">D61*$J$5</f>
        <v>0</v>
      </c>
      <c r="F61" s="8" t="n">
        <f aca="false">E61-C61</f>
        <v>-55</v>
      </c>
      <c r="G61" s="9" t="n">
        <f aca="false">IF(AND(C61=0,E61=0),0,IF(C61=0,"New",(E61-C61)/C61))</f>
        <v>-1</v>
      </c>
      <c r="H61" s="8" t="n">
        <f aca="false">SUMIFS('Source'!$E:$E,'Source'!$A:$A,"160951 MEDIPAL COMPANY",'Source'!$B:$B,$A61)</f>
        <v>279.02</v>
      </c>
      <c r="I61" s="8" t="n">
        <f aca="false">SUMIFS('Source'!$G:$G,'Source'!$A:$A,"160951 MEDIPAL COMPANY",'Source'!$B:$B,$A61)</f>
        <v>0</v>
      </c>
      <c r="J61" s="8" t="n">
        <f aca="false">I61*$J$5</f>
        <v>0</v>
      </c>
      <c r="K61" s="8" t="n">
        <f aca="false">J61-H61</f>
        <v>-279.02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551</v>
      </c>
      <c r="B62" s="7" t="str">
        <f aca="false">IFERROR(INDEX('Source'!$C:$C,MATCH($A62,'Source'!$B:$B,0)),"")</f>
        <v>צוארון ספוגי</v>
      </c>
      <c r="C62" s="8" t="n">
        <f aca="false">SUMIFS('Source'!$D:$D,'Source'!$A:$A,"160951 MEDIPAL COMPANY",'Source'!$B:$B,$A62)</f>
        <v>10</v>
      </c>
      <c r="D62" s="8" t="n">
        <f aca="false">SUMIFS('Source'!$F:$F,'Source'!$A:$A,"160951 MEDIPAL COMPANY",'Source'!$B:$B,$A62)</f>
        <v>0</v>
      </c>
      <c r="E62" s="8" t="n">
        <f aca="false">D62*$J$5</f>
        <v>0</v>
      </c>
      <c r="F62" s="8" t="n">
        <f aca="false">E62-C62</f>
        <v>-10</v>
      </c>
      <c r="G62" s="9" t="n">
        <f aca="false">IF(AND(C62=0,E62=0),0,IF(C62=0,"New",(E62-C62)/C62))</f>
        <v>-1</v>
      </c>
      <c r="H62" s="8" t="n">
        <f aca="false">SUMIFS('Source'!$E:$E,'Source'!$A:$A,"160951 MEDIPAL COMPANY",'Source'!$B:$B,$A62)</f>
        <v>277.12</v>
      </c>
      <c r="I62" s="8" t="n">
        <f aca="false">SUMIFS('Source'!$G:$G,'Source'!$A:$A,"160951 MEDIPAL COMPANY",'Source'!$B:$B,$A62)</f>
        <v>0</v>
      </c>
      <c r="J62" s="8" t="n">
        <f aca="false">I62*$J$5</f>
        <v>0</v>
      </c>
      <c r="K62" s="8" t="n">
        <f aca="false">J62-H62</f>
        <v>-277.12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262</v>
      </c>
      <c r="B63" s="7" t="str">
        <f aca="false">IFERROR(INDEX('Source'!$C:$C,MATCH($A63,'Source'!$B:$B,0)),"")</f>
        <v>צוארון ספוגי</v>
      </c>
      <c r="C63" s="8" t="n">
        <f aca="false">SUMIFS('Source'!$D:$D,'Source'!$A:$A,"160951 MEDIPAL COMPANY",'Source'!$B:$B,$A63)</f>
        <v>10</v>
      </c>
      <c r="D63" s="8" t="n">
        <f aca="false">SUMIFS('Source'!$F:$F,'Source'!$A:$A,"160951 MEDIPAL COMPANY",'Source'!$B:$B,$A63)</f>
        <v>0</v>
      </c>
      <c r="E63" s="8" t="n">
        <f aca="false">D63*$J$5</f>
        <v>0</v>
      </c>
      <c r="F63" s="8" t="n">
        <f aca="false">E63-C63</f>
        <v>-10</v>
      </c>
      <c r="G63" s="9" t="n">
        <f aca="false">IF(AND(C63=0,E63=0),0,IF(C63=0,"New",(E63-C63)/C63))</f>
        <v>-1</v>
      </c>
      <c r="H63" s="8" t="n">
        <f aca="false">SUMIFS('Source'!$E:$E,'Source'!$A:$A,"160951 MEDIPAL COMPANY",'Source'!$B:$B,$A63)</f>
        <v>277.12</v>
      </c>
      <c r="I63" s="8" t="n">
        <f aca="false">SUMIFS('Source'!$G:$G,'Source'!$A:$A,"160951 MEDIPAL COMPANY",'Source'!$B:$B,$A63)</f>
        <v>0</v>
      </c>
      <c r="J63" s="8" t="n">
        <f aca="false">I63*$J$5</f>
        <v>0</v>
      </c>
      <c r="K63" s="8" t="n">
        <f aca="false">J63-H63</f>
        <v>-277.12</v>
      </c>
      <c r="L63" s="9" t="n">
        <f aca="false">IF(AND(H63=0,J63=0),0,IF(H63=0,"New",(J63-H63)/H63))</f>
        <v>-1</v>
      </c>
      <c r="M63" s="7" t="str">
        <f aca="false">IF(AND(OR(C63&lt;&gt;0,H63&lt;&gt;0),D63=0,I63=0),"DROP",IF(AND(OR(D63&lt;&gt;0,I63&lt;&gt;0),C63=0,H63=0),"NEW",""))</f>
        <v>DROP</v>
      </c>
    </row>
    <row r="64" customFormat="false" ht="15" hidden="false" customHeight="false" outlineLevel="0" collapsed="false">
      <c r="A64" s="7" t="s">
        <v>688</v>
      </c>
      <c r="B64" s="7" t="str">
        <f aca="false">IFERROR(INDEX('Source'!$C:$C,MATCH($A64,'Source'!$B:$B,0)),"")</f>
        <v>מגן ברך ארוך</v>
      </c>
      <c r="C64" s="8" t="n">
        <f aca="false">SUMIFS('Source'!$D:$D,'Source'!$A:$A,"160951 MEDIPAL COMPANY",'Source'!$B:$B,$A64)</f>
        <v>20</v>
      </c>
      <c r="D64" s="8" t="n">
        <f aca="false">SUMIFS('Source'!$F:$F,'Source'!$A:$A,"160951 MEDIPAL COMPANY",'Source'!$B:$B,$A64)</f>
        <v>0</v>
      </c>
      <c r="E64" s="8" t="n">
        <f aca="false">D64*$J$5</f>
        <v>0</v>
      </c>
      <c r="F64" s="8" t="n">
        <f aca="false">E64-C64</f>
        <v>-20</v>
      </c>
      <c r="G64" s="9" t="n">
        <f aca="false">IF(AND(C64=0,E64=0),0,IF(C64=0,"New",(E64-C64)/C64))</f>
        <v>-1</v>
      </c>
      <c r="H64" s="8" t="n">
        <f aca="false">SUMIFS('Source'!$E:$E,'Source'!$A:$A,"160951 MEDIPAL COMPANY",'Source'!$B:$B,$A64)</f>
        <v>270.93</v>
      </c>
      <c r="I64" s="8" t="n">
        <f aca="false">SUMIFS('Source'!$G:$G,'Source'!$A:$A,"160951 MEDIPAL COMPANY",'Source'!$B:$B,$A64)</f>
        <v>0</v>
      </c>
      <c r="J64" s="8" t="n">
        <f aca="false">I64*$J$5</f>
        <v>0</v>
      </c>
      <c r="K64" s="8" t="n">
        <f aca="false">J64-H64</f>
        <v>-270.93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677</v>
      </c>
      <c r="B65" s="7" t="str">
        <f aca="false">IFERROR(INDEX('Source'!$C:$C,MATCH($A65,'Source'!$B:$B,0)),"")</f>
        <v>מגן ברך ארוך</v>
      </c>
      <c r="C65" s="8" t="n">
        <f aca="false">SUMIFS('Source'!$D:$D,'Source'!$A:$A,"160951 MEDIPAL COMPANY",'Source'!$B:$B,$A65)</f>
        <v>20</v>
      </c>
      <c r="D65" s="8" t="n">
        <f aca="false">SUMIFS('Source'!$F:$F,'Source'!$A:$A,"160951 MEDIPAL COMPANY",'Source'!$B:$B,$A65)</f>
        <v>0</v>
      </c>
      <c r="E65" s="8" t="n">
        <f aca="false">D65*$J$5</f>
        <v>0</v>
      </c>
      <c r="F65" s="8" t="n">
        <f aca="false">E65-C65</f>
        <v>-20</v>
      </c>
      <c r="G65" s="9" t="n">
        <f aca="false">IF(AND(C65=0,E65=0),0,IF(C65=0,"New",(E65-C65)/C65))</f>
        <v>-1</v>
      </c>
      <c r="H65" s="8" t="n">
        <f aca="false">SUMIFS('Source'!$E:$E,'Source'!$A:$A,"160951 MEDIPAL COMPANY",'Source'!$B:$B,$A65)</f>
        <v>270.93</v>
      </c>
      <c r="I65" s="8" t="n">
        <f aca="false">SUMIFS('Source'!$G:$G,'Source'!$A:$A,"160951 MEDIPAL COMPANY",'Source'!$B:$B,$A65)</f>
        <v>0</v>
      </c>
      <c r="J65" s="8" t="n">
        <f aca="false">I65*$J$5</f>
        <v>0</v>
      </c>
      <c r="K65" s="8" t="n">
        <f aca="false">J65-H65</f>
        <v>-270.93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502</v>
      </c>
      <c r="B66" s="7" t="str">
        <f aca="false">IFERROR(INDEX('Source'!$C:$C,MATCH($A66,'Source'!$B:$B,0)),"")</f>
        <v>מיישר בוהן</v>
      </c>
      <c r="C66" s="8" t="n">
        <f aca="false">SUMIFS('Source'!$D:$D,'Source'!$A:$A,"160951 MEDIPAL COMPANY",'Source'!$B:$B,$A66)</f>
        <v>55</v>
      </c>
      <c r="D66" s="8" t="n">
        <f aca="false">SUMIFS('Source'!$F:$F,'Source'!$A:$A,"160951 MEDIPAL COMPANY",'Source'!$B:$B,$A66)</f>
        <v>0</v>
      </c>
      <c r="E66" s="8" t="n">
        <f aca="false">D66*$J$5</f>
        <v>0</v>
      </c>
      <c r="F66" s="8" t="n">
        <f aca="false">E66-C66</f>
        <v>-55</v>
      </c>
      <c r="G66" s="9" t="n">
        <f aca="false">IF(AND(C66=0,E66=0),0,IF(C66=0,"New",(E66-C66)/C66))</f>
        <v>-1</v>
      </c>
      <c r="H66" s="8" t="n">
        <f aca="false">SUMIFS('Source'!$E:$E,'Source'!$A:$A,"160951 MEDIPAL COMPANY",'Source'!$B:$B,$A66)</f>
        <v>248.02</v>
      </c>
      <c r="I66" s="8" t="n">
        <f aca="false">SUMIFS('Source'!$G:$G,'Source'!$A:$A,"160951 MEDIPAL COMPANY",'Source'!$B:$B,$A66)</f>
        <v>0</v>
      </c>
      <c r="J66" s="8" t="n">
        <f aca="false">I66*$J$5</f>
        <v>0</v>
      </c>
      <c r="K66" s="8" t="n">
        <f aca="false">J66-H66</f>
        <v>-248.02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483</v>
      </c>
      <c r="B67" s="7" t="str">
        <f aca="false">IFERROR(INDEX('Source'!$C:$C,MATCH($A67,'Source'!$B:$B,0)),"")</f>
        <v>כרית סיליקון לעקב</v>
      </c>
      <c r="C67" s="8" t="n">
        <f aca="false">SUMIFS('Source'!$D:$D,'Source'!$A:$A,"160951 MEDIPAL COMPANY",'Source'!$B:$B,$A67)</f>
        <v>10</v>
      </c>
      <c r="D67" s="8" t="n">
        <f aca="false">SUMIFS('Source'!$F:$F,'Source'!$A:$A,"160951 MEDIPAL COMPANY",'Source'!$B:$B,$A67)</f>
        <v>0</v>
      </c>
      <c r="E67" s="8" t="n">
        <f aca="false">D67*$J$5</f>
        <v>0</v>
      </c>
      <c r="F67" s="8" t="n">
        <f aca="false">E67-C67</f>
        <v>-10</v>
      </c>
      <c r="G67" s="9" t="n">
        <f aca="false">IF(AND(C67=0,E67=0),0,IF(C67=0,"New",(E67-C67)/C67))</f>
        <v>-1</v>
      </c>
      <c r="H67" s="8" t="n">
        <f aca="false">SUMIFS('Source'!$E:$E,'Source'!$A:$A,"160951 MEDIPAL COMPANY",'Source'!$B:$B,$A67)</f>
        <v>244.89</v>
      </c>
      <c r="I67" s="8" t="n">
        <f aca="false">SUMIFS('Source'!$G:$G,'Source'!$A:$A,"160951 MEDIPAL COMPANY",'Source'!$B:$B,$A67)</f>
        <v>0</v>
      </c>
      <c r="J67" s="8" t="n">
        <f aca="false">I67*$J$5</f>
        <v>0</v>
      </c>
      <c r="K67" s="8" t="n">
        <f aca="false">J67-H67</f>
        <v>-244.89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228</v>
      </c>
      <c r="B68" s="7" t="str">
        <f aca="false">IFERROR(INDEX('Source'!$C:$C,MATCH($A68,'Source'!$B:$B,0)),"")</f>
        <v>חגורת צלעות לאשה</v>
      </c>
      <c r="C68" s="8" t="n">
        <f aca="false">SUMIFS('Source'!$D:$D,'Source'!$A:$A,"160951 MEDIPAL COMPANY",'Source'!$B:$B,$A68)</f>
        <v>7</v>
      </c>
      <c r="D68" s="8" t="n">
        <f aca="false">SUMIFS('Source'!$F:$F,'Source'!$A:$A,"160951 MEDIPAL COMPANY",'Source'!$B:$B,$A68)</f>
        <v>0</v>
      </c>
      <c r="E68" s="8" t="n">
        <f aca="false">D68*$J$5</f>
        <v>0</v>
      </c>
      <c r="F68" s="8" t="n">
        <f aca="false">E68-C68</f>
        <v>-7</v>
      </c>
      <c r="G68" s="9" t="n">
        <f aca="false">IF(AND(C68=0,E68=0),0,IF(C68=0,"New",(E68-C68)/C68))</f>
        <v>-1</v>
      </c>
      <c r="H68" s="8" t="n">
        <f aca="false">SUMIFS('Source'!$E:$E,'Source'!$A:$A,"160951 MEDIPAL COMPANY",'Source'!$B:$B,$A68)</f>
        <v>244.14</v>
      </c>
      <c r="I68" s="8" t="n">
        <f aca="false">SUMIFS('Source'!$G:$G,'Source'!$A:$A,"160951 MEDIPAL COMPANY",'Source'!$B:$B,$A68)</f>
        <v>0</v>
      </c>
      <c r="J68" s="8" t="n">
        <f aca="false">I68*$J$5</f>
        <v>0</v>
      </c>
      <c r="K68" s="8" t="n">
        <f aca="false">J68-H68</f>
        <v>-244.14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430</v>
      </c>
      <c r="B69" s="7" t="str">
        <f aca="false">IFERROR(INDEX('Source'!$C:$C,MATCH($A69,'Source'!$B:$B,0)),"")</f>
        <v>חגורת צלעות לאשה</v>
      </c>
      <c r="C69" s="8" t="n">
        <f aca="false">SUMIFS('Source'!$D:$D,'Source'!$A:$A,"160951 MEDIPAL COMPANY",'Source'!$B:$B,$A69)</f>
        <v>5</v>
      </c>
      <c r="D69" s="8" t="n">
        <f aca="false">SUMIFS('Source'!$F:$F,'Source'!$A:$A,"160951 MEDIPAL COMPANY",'Source'!$B:$B,$A69)</f>
        <v>0</v>
      </c>
      <c r="E69" s="8" t="n">
        <f aca="false">D69*$J$5</f>
        <v>0</v>
      </c>
      <c r="F69" s="8" t="n">
        <f aca="false">E69-C69</f>
        <v>-5</v>
      </c>
      <c r="G69" s="9" t="n">
        <f aca="false">IF(AND(C69=0,E69=0),0,IF(C69=0,"New",(E69-C69)/C69))</f>
        <v>-1</v>
      </c>
      <c r="H69" s="8" t="n">
        <f aca="false">SUMIFS('Source'!$E:$E,'Source'!$A:$A,"160951 MEDIPAL COMPANY",'Source'!$B:$B,$A69)</f>
        <v>244.11</v>
      </c>
      <c r="I69" s="8" t="n">
        <f aca="false">SUMIFS('Source'!$G:$G,'Source'!$A:$A,"160951 MEDIPAL COMPANY",'Source'!$B:$B,$A69)</f>
        <v>0</v>
      </c>
      <c r="J69" s="8" t="n">
        <f aca="false">I69*$J$5</f>
        <v>0</v>
      </c>
      <c r="K69" s="8" t="n">
        <f aca="false">J69-H69</f>
        <v>-244.11</v>
      </c>
      <c r="L69" s="9" t="n">
        <f aca="false">IF(AND(H69=0,J69=0),0,IF(H69=0,"New",(J69-H69)/H69))</f>
        <v>-1</v>
      </c>
      <c r="M69" s="7" t="str">
        <f aca="false">IF(AND(OR(C69&lt;&gt;0,H69&lt;&gt;0),D69=0,I69=0),"DROP",IF(AND(OR(D69&lt;&gt;0,I69&lt;&gt;0),C69=0,H69=0),"NEW",""))</f>
        <v>DROP</v>
      </c>
    </row>
    <row r="70" customFormat="false" ht="15" hidden="false" customHeight="false" outlineLevel="0" collapsed="false">
      <c r="A70" s="7" t="s">
        <v>405</v>
      </c>
      <c r="B70" s="7" t="str">
        <f aca="false">IFERROR(INDEX('Source'!$C:$C,MATCH($A70,'Source'!$B:$B,0)),"")</f>
        <v>אצבעון מפלסטיק  ליד</v>
      </c>
      <c r="C70" s="8" t="n">
        <f aca="false">SUMIFS('Source'!$D:$D,'Source'!$A:$A,"160951 MEDIPAL COMPANY",'Source'!$B:$B,$A70)</f>
        <v>33</v>
      </c>
      <c r="D70" s="8" t="n">
        <f aca="false">SUMIFS('Source'!$F:$F,'Source'!$A:$A,"160951 MEDIPAL COMPANY",'Source'!$B:$B,$A70)</f>
        <v>0</v>
      </c>
      <c r="E70" s="8" t="n">
        <f aca="false">D70*$J$5</f>
        <v>0</v>
      </c>
      <c r="F70" s="8" t="n">
        <f aca="false">E70-C70</f>
        <v>-33</v>
      </c>
      <c r="G70" s="9" t="n">
        <f aca="false">IF(AND(C70=0,E70=0),0,IF(C70=0,"New",(E70-C70)/C70))</f>
        <v>-1</v>
      </c>
      <c r="H70" s="8" t="n">
        <f aca="false">SUMIFS('Source'!$E:$E,'Source'!$A:$A,"160951 MEDIPAL COMPANY",'Source'!$B:$B,$A70)</f>
        <v>241.81</v>
      </c>
      <c r="I70" s="8" t="n">
        <f aca="false">SUMIFS('Source'!$G:$G,'Source'!$A:$A,"160951 MEDIPAL COMPANY",'Source'!$B:$B,$A70)</f>
        <v>0</v>
      </c>
      <c r="J70" s="8" t="n">
        <f aca="false">I70*$J$5</f>
        <v>0</v>
      </c>
      <c r="K70" s="8" t="n">
        <f aca="false">J70-H70</f>
        <v>-241.81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700</v>
      </c>
      <c r="B71" s="7" t="str">
        <f aca="false">IFERROR(INDEX('Source'!$C:$C,MATCH($A71,'Source'!$B:$B,0)),"")</f>
        <v>אצבעון מפלסטיק  ליד</v>
      </c>
      <c r="C71" s="8" t="n">
        <f aca="false">SUMIFS('Source'!$D:$D,'Source'!$A:$A,"160951 MEDIPAL COMPANY",'Source'!$B:$B,$A71)</f>
        <v>33</v>
      </c>
      <c r="D71" s="8" t="n">
        <f aca="false">SUMIFS('Source'!$F:$F,'Source'!$A:$A,"160951 MEDIPAL COMPANY",'Source'!$B:$B,$A71)</f>
        <v>0</v>
      </c>
      <c r="E71" s="8" t="n">
        <f aca="false">D71*$J$5</f>
        <v>0</v>
      </c>
      <c r="F71" s="8" t="n">
        <f aca="false">E71-C71</f>
        <v>-33</v>
      </c>
      <c r="G71" s="9" t="n">
        <f aca="false">IF(AND(C71=0,E71=0),0,IF(C71=0,"New",(E71-C71)/C71))</f>
        <v>-1</v>
      </c>
      <c r="H71" s="8" t="n">
        <f aca="false">SUMIFS('Source'!$E:$E,'Source'!$A:$A,"160951 MEDIPAL COMPANY",'Source'!$B:$B,$A71)</f>
        <v>241.8</v>
      </c>
      <c r="I71" s="8" t="n">
        <f aca="false">SUMIFS('Source'!$G:$G,'Source'!$A:$A,"160951 MEDIPAL COMPANY",'Source'!$B:$B,$A71)</f>
        <v>0</v>
      </c>
      <c r="J71" s="8" t="n">
        <f aca="false">I71*$J$5</f>
        <v>0</v>
      </c>
      <c r="K71" s="8" t="n">
        <f aca="false">J71-H71</f>
        <v>-241.8</v>
      </c>
      <c r="L71" s="9" t="n">
        <f aca="false">IF(AND(H71=0,J71=0),0,IF(H71=0,"New",(J71-H71)/H71))</f>
        <v>-1</v>
      </c>
      <c r="M71" s="7" t="str">
        <f aca="false">IF(AND(OR(C71&lt;&gt;0,H71&lt;&gt;0),D71=0,I71=0),"DROP",IF(AND(OR(D71&lt;&gt;0,I71&lt;&gt;0),C71=0,H71=0),"NEW",""))</f>
        <v>DROP</v>
      </c>
    </row>
    <row r="72" customFormat="false" ht="15" hidden="false" customHeight="false" outlineLevel="0" collapsed="false">
      <c r="A72" s="7" t="s">
        <v>503</v>
      </c>
      <c r="B72" s="7" t="str">
        <f aca="false">IFERROR(INDEX('Source'!$C:$C,MATCH($A72,'Source'!$B:$B,0)),"")</f>
        <v>מגן קרסול סגור</v>
      </c>
      <c r="C72" s="8" t="n">
        <f aca="false">SUMIFS('Source'!$D:$D,'Source'!$A:$A,"160951 MEDIPAL COMPANY",'Source'!$B:$B,$A72)</f>
        <v>10</v>
      </c>
      <c r="D72" s="8" t="n">
        <f aca="false">SUMIFS('Source'!$F:$F,'Source'!$A:$A,"160951 MEDIPAL COMPANY",'Source'!$B:$B,$A72)</f>
        <v>0</v>
      </c>
      <c r="E72" s="8" t="n">
        <f aca="false">D72*$J$5</f>
        <v>0</v>
      </c>
      <c r="F72" s="8" t="n">
        <f aca="false">E72-C72</f>
        <v>-10</v>
      </c>
      <c r="G72" s="9" t="n">
        <f aca="false">IF(AND(C72=0,E72=0),0,IF(C72=0,"New",(E72-C72)/C72))</f>
        <v>-1</v>
      </c>
      <c r="H72" s="8" t="n">
        <f aca="false">SUMIFS('Source'!$E:$E,'Source'!$A:$A,"160951 MEDIPAL COMPANY",'Source'!$B:$B,$A72)</f>
        <v>241.78</v>
      </c>
      <c r="I72" s="8" t="n">
        <f aca="false">SUMIFS('Source'!$G:$G,'Source'!$A:$A,"160951 MEDIPAL COMPANY",'Source'!$B:$B,$A72)</f>
        <v>0</v>
      </c>
      <c r="J72" s="8" t="n">
        <f aca="false">I72*$J$5</f>
        <v>0</v>
      </c>
      <c r="K72" s="8" t="n">
        <f aca="false">J72-H72</f>
        <v>-241.78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616</v>
      </c>
      <c r="B73" s="7" t="str">
        <f aca="false">IFERROR(INDEX('Source'!$C:$C,MATCH($A73,'Source'!$B:$B,0)),"")</f>
        <v>מגן קרסול סגור</v>
      </c>
      <c r="C73" s="8" t="n">
        <f aca="false">SUMIFS('Source'!$D:$D,'Source'!$A:$A,"160951 MEDIPAL COMPANY",'Source'!$B:$B,$A73)</f>
        <v>10</v>
      </c>
      <c r="D73" s="8" t="n">
        <f aca="false">SUMIFS('Source'!$F:$F,'Source'!$A:$A,"160951 MEDIPAL COMPANY",'Source'!$B:$B,$A73)</f>
        <v>0</v>
      </c>
      <c r="E73" s="8" t="n">
        <f aca="false">D73*$J$5</f>
        <v>0</v>
      </c>
      <c r="F73" s="8" t="n">
        <f aca="false">E73-C73</f>
        <v>-10</v>
      </c>
      <c r="G73" s="9" t="n">
        <f aca="false">IF(AND(C73=0,E73=0),0,IF(C73=0,"New",(E73-C73)/C73))</f>
        <v>-1</v>
      </c>
      <c r="H73" s="8" t="n">
        <f aca="false">SUMIFS('Source'!$E:$E,'Source'!$A:$A,"160951 MEDIPAL COMPANY",'Source'!$B:$B,$A73)</f>
        <v>241.78</v>
      </c>
      <c r="I73" s="8" t="n">
        <f aca="false">SUMIFS('Source'!$G:$G,'Source'!$A:$A,"160951 MEDIPAL COMPANY",'Source'!$B:$B,$A73)</f>
        <v>0</v>
      </c>
      <c r="J73" s="8" t="n">
        <f aca="false">I73*$J$5</f>
        <v>0</v>
      </c>
      <c r="K73" s="8" t="n">
        <f aca="false">J73-H73</f>
        <v>-241.78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544</v>
      </c>
      <c r="B74" s="7" t="str">
        <f aca="false">IFERROR(INDEX('Source'!$C:$C,MATCH($A74,'Source'!$B:$B,0)),"")</f>
        <v>מגן קרסול סגור</v>
      </c>
      <c r="C74" s="8" t="n">
        <f aca="false">SUMIFS('Source'!$D:$D,'Source'!$A:$A,"160951 MEDIPAL COMPANY",'Source'!$B:$B,$A74)</f>
        <v>10</v>
      </c>
      <c r="D74" s="8" t="n">
        <f aca="false">SUMIFS('Source'!$F:$F,'Source'!$A:$A,"160951 MEDIPAL COMPANY",'Source'!$B:$B,$A74)</f>
        <v>0</v>
      </c>
      <c r="E74" s="8" t="n">
        <f aca="false">D74*$J$5</f>
        <v>0</v>
      </c>
      <c r="F74" s="8" t="n">
        <f aca="false">E74-C74</f>
        <v>-10</v>
      </c>
      <c r="G74" s="9" t="n">
        <f aca="false">IF(AND(C74=0,E74=0),0,IF(C74=0,"New",(E74-C74)/C74))</f>
        <v>-1</v>
      </c>
      <c r="H74" s="8" t="n">
        <f aca="false">SUMIFS('Source'!$E:$E,'Source'!$A:$A,"160951 MEDIPAL COMPANY",'Source'!$B:$B,$A74)</f>
        <v>241.78</v>
      </c>
      <c r="I74" s="8" t="n">
        <f aca="false">SUMIFS('Source'!$G:$G,'Source'!$A:$A,"160951 MEDIPAL COMPANY",'Source'!$B:$B,$A74)</f>
        <v>0</v>
      </c>
      <c r="J74" s="8" t="n">
        <f aca="false">I74*$J$5</f>
        <v>0</v>
      </c>
      <c r="K74" s="8" t="n">
        <f aca="false">J74-H74</f>
        <v>-241.78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610</v>
      </c>
      <c r="B75" s="7" t="str">
        <f aca="false">IFERROR(INDEX('Source'!$C:$C,MATCH($A75,'Source'!$B:$B,0)),"")</f>
        <v>מתלה</v>
      </c>
      <c r="C75" s="8" t="n">
        <f aca="false">SUMIFS('Source'!$D:$D,'Source'!$A:$A,"160951 MEDIPAL COMPANY",'Source'!$B:$B,$A75)</f>
        <v>5</v>
      </c>
      <c r="D75" s="8" t="n">
        <f aca="false">SUMIFS('Source'!$F:$F,'Source'!$A:$A,"160951 MEDIPAL COMPANY",'Source'!$B:$B,$A75)</f>
        <v>0</v>
      </c>
      <c r="E75" s="8" t="n">
        <f aca="false">D75*$J$5</f>
        <v>0</v>
      </c>
      <c r="F75" s="8" t="n">
        <f aca="false">E75-C75</f>
        <v>-5</v>
      </c>
      <c r="G75" s="9" t="n">
        <f aca="false">IF(AND(C75=0,E75=0),0,IF(C75=0,"New",(E75-C75)/C75))</f>
        <v>-1</v>
      </c>
      <c r="H75" s="8" t="n">
        <f aca="false">SUMIFS('Source'!$E:$E,'Source'!$A:$A,"160951 MEDIPAL COMPANY",'Source'!$B:$B,$A75)</f>
        <v>226.29</v>
      </c>
      <c r="I75" s="8" t="n">
        <f aca="false">SUMIFS('Source'!$G:$G,'Source'!$A:$A,"160951 MEDIPAL COMPANY",'Source'!$B:$B,$A75)</f>
        <v>0</v>
      </c>
      <c r="J75" s="8" t="n">
        <f aca="false">I75*$J$5</f>
        <v>0</v>
      </c>
      <c r="K75" s="8" t="n">
        <f aca="false">J75-H75</f>
        <v>-226.29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976</v>
      </c>
      <c r="B76" s="7" t="str">
        <f aca="false">IFERROR(INDEX('Source'!$C:$C,MATCH($A76,'Source'!$B:$B,0)),"")</f>
        <v>חגורת צלעות לגבר</v>
      </c>
      <c r="C76" s="8" t="n">
        <f aca="false">SUMIFS('Source'!$D:$D,'Source'!$A:$A,"160951 MEDIPAL COMPANY",'Source'!$B:$B,$A76)</f>
        <v>5</v>
      </c>
      <c r="D76" s="8" t="n">
        <f aca="false">SUMIFS('Source'!$F:$F,'Source'!$A:$A,"160951 MEDIPAL COMPANY",'Source'!$B:$B,$A76)</f>
        <v>0</v>
      </c>
      <c r="E76" s="8" t="n">
        <f aca="false">D76*$J$5</f>
        <v>0</v>
      </c>
      <c r="F76" s="8" t="n">
        <f aca="false">E76-C76</f>
        <v>-5</v>
      </c>
      <c r="G76" s="9" t="n">
        <f aca="false">IF(AND(C76=0,E76=0),0,IF(C76=0,"New",(E76-C76)/C76))</f>
        <v>-1</v>
      </c>
      <c r="H76" s="8" t="n">
        <f aca="false">SUMIFS('Source'!$E:$E,'Source'!$A:$A,"160951 MEDIPAL COMPANY",'Source'!$B:$B,$A76)</f>
        <v>212.06</v>
      </c>
      <c r="I76" s="8" t="n">
        <f aca="false">SUMIFS('Source'!$G:$G,'Source'!$A:$A,"160951 MEDIPAL COMPANY",'Source'!$B:$B,$A76)</f>
        <v>0</v>
      </c>
      <c r="J76" s="8" t="n">
        <f aca="false">I76*$J$5</f>
        <v>0</v>
      </c>
      <c r="K76" s="8" t="n">
        <f aca="false">J76-H76</f>
        <v>-212.06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524</v>
      </c>
      <c r="B77" s="7" t="str">
        <f aca="false">IFERROR(INDEX('Source'!$C:$C,MATCH($A77,'Source'!$B:$B,0)),"")</f>
        <v>מגן יד</v>
      </c>
      <c r="C77" s="8" t="n">
        <f aca="false">SUMIFS('Source'!$D:$D,'Source'!$A:$A,"160951 MEDIPAL COMPANY",'Source'!$B:$B,$A77)</f>
        <v>10</v>
      </c>
      <c r="D77" s="8" t="n">
        <f aca="false">SUMIFS('Source'!$F:$F,'Source'!$A:$A,"160951 MEDIPAL COMPANY",'Source'!$B:$B,$A77)</f>
        <v>0</v>
      </c>
      <c r="E77" s="8" t="n">
        <f aca="false">D77*$J$5</f>
        <v>0</v>
      </c>
      <c r="F77" s="8" t="n">
        <f aca="false">E77-C77</f>
        <v>-10</v>
      </c>
      <c r="G77" s="9" t="n">
        <f aca="false">IF(AND(C77=0,E77=0),0,IF(C77=0,"New",(E77-C77)/C77))</f>
        <v>-1</v>
      </c>
      <c r="H77" s="8" t="n">
        <f aca="false">SUMIFS('Source'!$E:$E,'Source'!$A:$A,"160951 MEDIPAL COMPANY",'Source'!$B:$B,$A77)</f>
        <v>177.62</v>
      </c>
      <c r="I77" s="8" t="n">
        <f aca="false">SUMIFS('Source'!$G:$G,'Source'!$A:$A,"160951 MEDIPAL COMPANY",'Source'!$B:$B,$A77)</f>
        <v>0</v>
      </c>
      <c r="J77" s="8" t="n">
        <f aca="false">I77*$J$5</f>
        <v>0</v>
      </c>
      <c r="K77" s="8" t="n">
        <f aca="false">J77-H77</f>
        <v>-177.62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382</v>
      </c>
      <c r="B78" s="7" t="str">
        <f aca="false">IFERROR(INDEX('Source'!$C:$C,MATCH($A78,'Source'!$B:$B,0)),"")</f>
        <v>מגן קרסול+ עקב סגור+רצועות</v>
      </c>
      <c r="C78" s="8" t="n">
        <f aca="false">SUMIFS('Source'!$D:$D,'Source'!$A:$A,"160951 MEDIPAL COMPANY",'Source'!$B:$B,$A78)</f>
        <v>5</v>
      </c>
      <c r="D78" s="8" t="n">
        <f aca="false">SUMIFS('Source'!$F:$F,'Source'!$A:$A,"160951 MEDIPAL COMPANY",'Source'!$B:$B,$A78)</f>
        <v>0</v>
      </c>
      <c r="E78" s="8" t="n">
        <f aca="false">D78*$J$5</f>
        <v>0</v>
      </c>
      <c r="F78" s="8" t="n">
        <f aca="false">E78-C78</f>
        <v>-5</v>
      </c>
      <c r="G78" s="9" t="n">
        <f aca="false">IF(AND(C78=0,E78=0),0,IF(C78=0,"New",(E78-C78)/C78))</f>
        <v>-1</v>
      </c>
      <c r="H78" s="8" t="n">
        <f aca="false">SUMIFS('Source'!$E:$E,'Source'!$A:$A,"160951 MEDIPAL COMPANY",'Source'!$B:$B,$A78)</f>
        <v>161.97</v>
      </c>
      <c r="I78" s="8" t="n">
        <f aca="false">SUMIFS('Source'!$G:$G,'Source'!$A:$A,"160951 MEDIPAL COMPANY",'Source'!$B:$B,$A78)</f>
        <v>0</v>
      </c>
      <c r="J78" s="8" t="n">
        <f aca="false">I78*$J$5</f>
        <v>0</v>
      </c>
      <c r="K78" s="8" t="n">
        <f aca="false">J78-H78</f>
        <v>-161.97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535</v>
      </c>
      <c r="B79" s="7" t="str">
        <f aca="false">IFERROR(INDEX('Source'!$C:$C,MATCH($A79,'Source'!$B:$B,0)),"")</f>
        <v>מגן קרסול+ עקב סגור+רצועות</v>
      </c>
      <c r="C79" s="8" t="n">
        <f aca="false">SUMIFS('Source'!$D:$D,'Source'!$A:$A,"160951 MEDIPAL COMPANY",'Source'!$B:$B,$A79)</f>
        <v>5</v>
      </c>
      <c r="D79" s="8" t="n">
        <f aca="false">SUMIFS('Source'!$F:$F,'Source'!$A:$A,"160951 MEDIPAL COMPANY",'Source'!$B:$B,$A79)</f>
        <v>0</v>
      </c>
      <c r="E79" s="8" t="n">
        <f aca="false">D79*$J$5</f>
        <v>0</v>
      </c>
      <c r="F79" s="8" t="n">
        <f aca="false">E79-C79</f>
        <v>-5</v>
      </c>
      <c r="G79" s="9" t="n">
        <f aca="false">IF(AND(C79=0,E79=0),0,IF(C79=0,"New",(E79-C79)/C79))</f>
        <v>-1</v>
      </c>
      <c r="H79" s="8" t="n">
        <f aca="false">SUMIFS('Source'!$E:$E,'Source'!$A:$A,"160951 MEDIPAL COMPANY",'Source'!$B:$B,$A79)</f>
        <v>161.97</v>
      </c>
      <c r="I79" s="8" t="n">
        <f aca="false">SUMIFS('Source'!$G:$G,'Source'!$A:$A,"160951 MEDIPAL COMPANY",'Source'!$B:$B,$A79)</f>
        <v>0</v>
      </c>
      <c r="J79" s="8" t="n">
        <f aca="false">I79*$J$5</f>
        <v>0</v>
      </c>
      <c r="K79" s="8" t="n">
        <f aca="false">J79-H79</f>
        <v>-161.97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567</v>
      </c>
      <c r="B80" s="7" t="str">
        <f aca="false">IFERROR(INDEX('Source'!$C:$C,MATCH($A80,'Source'!$B:$B,0)),"")</f>
        <v>אצבעון מפלסטיק  ליד</v>
      </c>
      <c r="C80" s="8" t="n">
        <f aca="false">SUMIFS('Source'!$D:$D,'Source'!$A:$A,"160951 MEDIPAL COMPANY",'Source'!$B:$B,$A80)</f>
        <v>22</v>
      </c>
      <c r="D80" s="8" t="n">
        <f aca="false">SUMIFS('Source'!$F:$F,'Source'!$A:$A,"160951 MEDIPAL COMPANY",'Source'!$B:$B,$A80)</f>
        <v>0</v>
      </c>
      <c r="E80" s="8" t="n">
        <f aca="false">D80*$J$5</f>
        <v>0</v>
      </c>
      <c r="F80" s="8" t="n">
        <f aca="false">E80-C80</f>
        <v>-22</v>
      </c>
      <c r="G80" s="9" t="n">
        <f aca="false">IF(AND(C80=0,E80=0),0,IF(C80=0,"New",(E80-C80)/C80))</f>
        <v>-1</v>
      </c>
      <c r="H80" s="8" t="n">
        <f aca="false">SUMIFS('Source'!$E:$E,'Source'!$A:$A,"160951 MEDIPAL COMPANY",'Source'!$B:$B,$A80)</f>
        <v>161.23</v>
      </c>
      <c r="I80" s="8" t="n">
        <f aca="false">SUMIFS('Source'!$G:$G,'Source'!$A:$A,"160951 MEDIPAL COMPANY",'Source'!$B:$B,$A80)</f>
        <v>0</v>
      </c>
      <c r="J80" s="8" t="n">
        <f aca="false">I80*$J$5</f>
        <v>0</v>
      </c>
      <c r="K80" s="8" t="n">
        <f aca="false">J80-H80</f>
        <v>-161.23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696</v>
      </c>
      <c r="B81" s="7" t="str">
        <f aca="false">IFERROR(INDEX('Source'!$C:$C,MATCH($A81,'Source'!$B:$B,0)),"")</f>
        <v>אצבעון מפלסטיק  ליד</v>
      </c>
      <c r="C81" s="8" t="n">
        <f aca="false">SUMIFS('Source'!$D:$D,'Source'!$A:$A,"160951 MEDIPAL COMPANY",'Source'!$B:$B,$A81)</f>
        <v>22</v>
      </c>
      <c r="D81" s="8" t="n">
        <f aca="false">SUMIFS('Source'!$F:$F,'Source'!$A:$A,"160951 MEDIPAL COMPANY",'Source'!$B:$B,$A81)</f>
        <v>0</v>
      </c>
      <c r="E81" s="8" t="n">
        <f aca="false">D81*$J$5</f>
        <v>0</v>
      </c>
      <c r="F81" s="8" t="n">
        <f aca="false">E81-C81</f>
        <v>-22</v>
      </c>
      <c r="G81" s="9" t="n">
        <f aca="false">IF(AND(C81=0,E81=0),0,IF(C81=0,"New",(E81-C81)/C81))</f>
        <v>-1</v>
      </c>
      <c r="H81" s="8" t="n">
        <f aca="false">SUMIFS('Source'!$E:$E,'Source'!$A:$A,"160951 MEDIPAL COMPANY",'Source'!$B:$B,$A81)</f>
        <v>161.23</v>
      </c>
      <c r="I81" s="8" t="n">
        <f aca="false">SUMIFS('Source'!$G:$G,'Source'!$A:$A,"160951 MEDIPAL COMPANY",'Source'!$B:$B,$A81)</f>
        <v>0</v>
      </c>
      <c r="J81" s="8" t="n">
        <f aca="false">I81*$J$5</f>
        <v>0</v>
      </c>
      <c r="K81" s="8" t="n">
        <f aca="false">J81-H81</f>
        <v>-161.23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638</v>
      </c>
      <c r="B82" s="7" t="str">
        <f aca="false">IFERROR(INDEX('Source'!$C:$C,MATCH($A82,'Source'!$B:$B,0)),"")</f>
        <v>חבק יד מתכוון</v>
      </c>
      <c r="C82" s="8" t="n">
        <f aca="false">SUMIFS('Source'!$D:$D,'Source'!$A:$A,"160951 MEDIPAL COMPANY",'Source'!$B:$B,$A82)</f>
        <v>10</v>
      </c>
      <c r="D82" s="8" t="n">
        <f aca="false">SUMIFS('Source'!$F:$F,'Source'!$A:$A,"160951 MEDIPAL COMPANY",'Source'!$B:$B,$A82)</f>
        <v>0</v>
      </c>
      <c r="E82" s="8" t="n">
        <f aca="false">D82*$J$5</f>
        <v>0</v>
      </c>
      <c r="F82" s="8" t="n">
        <f aca="false">E82-C82</f>
        <v>-10</v>
      </c>
      <c r="G82" s="9" t="n">
        <f aca="false">IF(AND(C82=0,E82=0),0,IF(C82=0,"New",(E82-C82)/C82))</f>
        <v>-1</v>
      </c>
      <c r="H82" s="8" t="n">
        <f aca="false">SUMIFS('Source'!$E:$E,'Source'!$A:$A,"160951 MEDIPAL COMPANY",'Source'!$B:$B,$A82)</f>
        <v>139.5</v>
      </c>
      <c r="I82" s="8" t="n">
        <f aca="false">SUMIFS('Source'!$G:$G,'Source'!$A:$A,"160951 MEDIPAL COMPANY",'Source'!$B:$B,$A82)</f>
        <v>0</v>
      </c>
      <c r="J82" s="8" t="n">
        <f aca="false">I82*$J$5</f>
        <v>0</v>
      </c>
      <c r="K82" s="8" t="n">
        <f aca="false">J82-H82</f>
        <v>-139.5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680</v>
      </c>
      <c r="B83" s="7" t="str">
        <f aca="false">IFERROR(INDEX('Source'!$C:$C,MATCH($A83,'Source'!$B:$B,0)),"")</f>
        <v>חבק יד מתכוון</v>
      </c>
      <c r="C83" s="8" t="n">
        <f aca="false">SUMIFS('Source'!$D:$D,'Source'!$A:$A,"160951 MEDIPAL COMPANY",'Source'!$B:$B,$A83)</f>
        <v>10</v>
      </c>
      <c r="D83" s="8" t="n">
        <f aca="false">SUMIFS('Source'!$F:$F,'Source'!$A:$A,"160951 MEDIPAL COMPANY",'Source'!$B:$B,$A83)</f>
        <v>0</v>
      </c>
      <c r="E83" s="8" t="n">
        <f aca="false">D83*$J$5</f>
        <v>0</v>
      </c>
      <c r="F83" s="8" t="n">
        <f aca="false">E83-C83</f>
        <v>-10</v>
      </c>
      <c r="G83" s="9" t="n">
        <f aca="false">IF(AND(C83=0,E83=0),0,IF(C83=0,"New",(E83-C83)/C83))</f>
        <v>-1</v>
      </c>
      <c r="H83" s="8" t="n">
        <f aca="false">SUMIFS('Source'!$E:$E,'Source'!$A:$A,"160951 MEDIPAL COMPANY",'Source'!$B:$B,$A83)</f>
        <v>139.5</v>
      </c>
      <c r="I83" s="8" t="n">
        <f aca="false">SUMIFS('Source'!$G:$G,'Source'!$A:$A,"160951 MEDIPAL COMPANY",'Source'!$B:$B,$A83)</f>
        <v>0</v>
      </c>
      <c r="J83" s="8" t="n">
        <f aca="false">I83*$J$5</f>
        <v>0</v>
      </c>
      <c r="K83" s="8" t="n">
        <f aca="false">J83-H83</f>
        <v>-139.5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977</v>
      </c>
      <c r="B84" s="7" t="str">
        <f aca="false">IFERROR(INDEX('Source'!$C:$C,MATCH($A84,'Source'!$B:$B,0)),"")</f>
        <v>חבק יד מתכוון</v>
      </c>
      <c r="C84" s="8" t="n">
        <f aca="false">SUMIFS('Source'!$D:$D,'Source'!$A:$A,"160951 MEDIPAL COMPANY",'Source'!$B:$B,$A84)</f>
        <v>10</v>
      </c>
      <c r="D84" s="8" t="n">
        <f aca="false">SUMIFS('Source'!$F:$F,'Source'!$A:$A,"160951 MEDIPAL COMPANY",'Source'!$B:$B,$A84)</f>
        <v>0</v>
      </c>
      <c r="E84" s="8" t="n">
        <f aca="false">D84*$J$5</f>
        <v>0</v>
      </c>
      <c r="F84" s="8" t="n">
        <f aca="false">E84-C84</f>
        <v>-10</v>
      </c>
      <c r="G84" s="9" t="n">
        <f aca="false">IF(AND(C84=0,E84=0),0,IF(C84=0,"New",(E84-C84)/C84))</f>
        <v>-1</v>
      </c>
      <c r="H84" s="8" t="n">
        <f aca="false">SUMIFS('Source'!$E:$E,'Source'!$A:$A,"160951 MEDIPAL COMPANY",'Source'!$B:$B,$A84)</f>
        <v>139.5</v>
      </c>
      <c r="I84" s="8" t="n">
        <f aca="false">SUMIFS('Source'!$G:$G,'Source'!$A:$A,"160951 MEDIPAL COMPANY",'Source'!$B:$B,$A84)</f>
        <v>0</v>
      </c>
      <c r="J84" s="8" t="n">
        <f aca="false">I84*$J$5</f>
        <v>0</v>
      </c>
      <c r="K84" s="8" t="n">
        <f aca="false">J84-H84</f>
        <v>-139.5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720</v>
      </c>
      <c r="B85" s="7" t="str">
        <f aca="false">IFERROR(INDEX('Source'!$C:$C,MATCH($A85,'Source'!$B:$B,0)),"")</f>
        <v>צוארון ספוגי</v>
      </c>
      <c r="C85" s="8" t="n">
        <f aca="false">SUMIFS('Source'!$D:$D,'Source'!$A:$A,"160951 MEDIPAL COMPANY",'Source'!$B:$B,$A85)</f>
        <v>5</v>
      </c>
      <c r="D85" s="8" t="n">
        <f aca="false">SUMIFS('Source'!$F:$F,'Source'!$A:$A,"160951 MEDIPAL COMPANY",'Source'!$B:$B,$A85)</f>
        <v>0</v>
      </c>
      <c r="E85" s="8" t="n">
        <f aca="false">D85*$J$5</f>
        <v>0</v>
      </c>
      <c r="F85" s="8" t="n">
        <f aca="false">E85-C85</f>
        <v>-5</v>
      </c>
      <c r="G85" s="9" t="n">
        <f aca="false">IF(AND(C85=0,E85=0),0,IF(C85=0,"New",(E85-C85)/C85))</f>
        <v>-1</v>
      </c>
      <c r="H85" s="8" t="n">
        <f aca="false">SUMIFS('Source'!$E:$E,'Source'!$A:$A,"160951 MEDIPAL COMPANY",'Source'!$B:$B,$A85)</f>
        <v>138.57</v>
      </c>
      <c r="I85" s="8" t="n">
        <f aca="false">SUMIFS('Source'!$G:$G,'Source'!$A:$A,"160951 MEDIPAL COMPANY",'Source'!$B:$B,$A85)</f>
        <v>0</v>
      </c>
      <c r="J85" s="8" t="n">
        <f aca="false">I85*$J$5</f>
        <v>0</v>
      </c>
      <c r="K85" s="8" t="n">
        <f aca="false">J85-H85</f>
        <v>-138.57</v>
      </c>
      <c r="L85" s="9" t="n">
        <f aca="false">IF(AND(H85=0,J85=0),0,IF(H85=0,"New",(J85-H85)/H85))</f>
        <v>-1</v>
      </c>
      <c r="M85" s="7" t="str">
        <f aca="false">IF(AND(OR(C85&lt;&gt;0,H85&lt;&gt;0),D85=0,I85=0),"DROP",IF(AND(OR(D85&lt;&gt;0,I85&lt;&gt;0),C85=0,H85=0),"NEW",""))</f>
        <v>DROP</v>
      </c>
    </row>
    <row r="86" customFormat="false" ht="15" hidden="false" customHeight="false" outlineLevel="0" collapsed="false">
      <c r="A86" s="7" t="s">
        <v>596</v>
      </c>
      <c r="B86" s="7" t="str">
        <f aca="false">IFERROR(INDEX('Source'!$C:$C,MATCH($A86,'Source'!$B:$B,0)),"")</f>
        <v>צוארון ספוגי</v>
      </c>
      <c r="C86" s="8" t="n">
        <f aca="false">SUMIFS('Source'!$D:$D,'Source'!$A:$A,"160951 MEDIPAL COMPANY",'Source'!$B:$B,$A86)</f>
        <v>5</v>
      </c>
      <c r="D86" s="8" t="n">
        <f aca="false">SUMIFS('Source'!$F:$F,'Source'!$A:$A,"160951 MEDIPAL COMPANY",'Source'!$B:$B,$A86)</f>
        <v>0</v>
      </c>
      <c r="E86" s="8" t="n">
        <f aca="false">D86*$J$5</f>
        <v>0</v>
      </c>
      <c r="F86" s="8" t="n">
        <f aca="false">E86-C86</f>
        <v>-5</v>
      </c>
      <c r="G86" s="9" t="n">
        <f aca="false">IF(AND(C86=0,E86=0),0,IF(C86=0,"New",(E86-C86)/C86))</f>
        <v>-1</v>
      </c>
      <c r="H86" s="8" t="n">
        <f aca="false">SUMIFS('Source'!$E:$E,'Source'!$A:$A,"160951 MEDIPAL COMPANY",'Source'!$B:$B,$A86)</f>
        <v>138.57</v>
      </c>
      <c r="I86" s="8" t="n">
        <f aca="false">SUMIFS('Source'!$G:$G,'Source'!$A:$A,"160951 MEDIPAL COMPANY",'Source'!$B:$B,$A86)</f>
        <v>0</v>
      </c>
      <c r="J86" s="8" t="n">
        <f aca="false">I86*$J$5</f>
        <v>0</v>
      </c>
      <c r="K86" s="8" t="n">
        <f aca="false">J86-H86</f>
        <v>-138.57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766</v>
      </c>
      <c r="B87" s="7" t="str">
        <f aca="false">IFERROR(INDEX('Source'!$C:$C,MATCH($A87,'Source'!$B:$B,0)),"")</f>
        <v>מגן ברך ארוך</v>
      </c>
      <c r="C87" s="8" t="n">
        <f aca="false">SUMIFS('Source'!$D:$D,'Source'!$A:$A,"160951 MEDIPAL COMPANY",'Source'!$B:$B,$A87)</f>
        <v>15</v>
      </c>
      <c r="D87" s="8" t="n">
        <f aca="false">SUMIFS('Source'!$F:$F,'Source'!$A:$A,"160951 MEDIPAL COMPANY",'Source'!$B:$B,$A87)</f>
        <v>0</v>
      </c>
      <c r="E87" s="8" t="n">
        <f aca="false">D87*$J$5</f>
        <v>0</v>
      </c>
      <c r="F87" s="8" t="n">
        <f aca="false">E87-C87</f>
        <v>-15</v>
      </c>
      <c r="G87" s="9" t="n">
        <f aca="false">IF(AND(C87=0,E87=0),0,IF(C87=0,"New",(E87-C87)/C87))</f>
        <v>-1</v>
      </c>
      <c r="H87" s="8" t="n">
        <f aca="false">SUMIFS('Source'!$E:$E,'Source'!$A:$A,"160951 MEDIPAL COMPANY",'Source'!$B:$B,$A87)</f>
        <v>135.49</v>
      </c>
      <c r="I87" s="8" t="n">
        <f aca="false">SUMIFS('Source'!$G:$G,'Source'!$A:$A,"160951 MEDIPAL COMPANY",'Source'!$B:$B,$A87)</f>
        <v>0</v>
      </c>
      <c r="J87" s="8" t="n">
        <f aca="false">I87*$J$5</f>
        <v>0</v>
      </c>
      <c r="K87" s="8" t="n">
        <f aca="false">J87-H87</f>
        <v>-135.49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978</v>
      </c>
      <c r="B88" s="7" t="str">
        <f aca="false">IFERROR(INDEX('Source'!$C:$C,MATCH($A88,'Source'!$B:$B,0)),"")</f>
        <v>סטנד כף רגל מסתובב חדש</v>
      </c>
      <c r="C88" s="8" t="n">
        <f aca="false">SUMIFS('Source'!$D:$D,'Source'!$A:$A,"160951 MEDIPAL COMPANY",'Source'!$B:$B,$A88)</f>
        <v>5</v>
      </c>
      <c r="D88" s="8" t="n">
        <f aca="false">SUMIFS('Source'!$F:$F,'Source'!$A:$A,"160951 MEDIPAL COMPANY",'Source'!$B:$B,$A88)</f>
        <v>0</v>
      </c>
      <c r="E88" s="8" t="n">
        <f aca="false">D88*$J$5</f>
        <v>0</v>
      </c>
      <c r="F88" s="8" t="n">
        <f aca="false">E88-C88</f>
        <v>-5</v>
      </c>
      <c r="G88" s="9" t="n">
        <f aca="false">IF(AND(C88=0,E88=0),0,IF(C88=0,"New",(E88-C88)/C88))</f>
        <v>-1</v>
      </c>
      <c r="H88" s="8" t="n">
        <f aca="false">SUMIFS('Source'!$E:$E,'Source'!$A:$A,"160951 MEDIPAL COMPANY",'Source'!$B:$B,$A88)</f>
        <v>0.18</v>
      </c>
      <c r="I88" s="8" t="n">
        <f aca="false">SUMIFS('Source'!$G:$G,'Source'!$A:$A,"160951 MEDIPAL COMPANY",'Source'!$B:$B,$A88)</f>
        <v>0</v>
      </c>
      <c r="J88" s="8" t="n">
        <f aca="false">I88*$J$5</f>
        <v>0</v>
      </c>
      <c r="K88" s="8" t="n">
        <f aca="false">J88-H88</f>
        <v>-0.18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979</v>
      </c>
      <c r="B89" s="7" t="str">
        <f aca="false">IFERROR(INDEX('Source'!$C:$C,MATCH($A89,'Source'!$B:$B,0)),"")</f>
        <v>חגורת פיסוק פאבליק</v>
      </c>
      <c r="C89" s="8" t="n">
        <f aca="false">SUMIFS('Source'!$D:$D,'Source'!$A:$A,"160951 MEDIPAL COMPANY",'Source'!$B:$B,$A89)</f>
        <v>1</v>
      </c>
      <c r="D89" s="8" t="n">
        <f aca="false">SUMIFS('Source'!$F:$F,'Source'!$A:$A,"160951 MEDIPAL COMPANY",'Source'!$B:$B,$A89)</f>
        <v>0</v>
      </c>
      <c r="E89" s="8" t="n">
        <f aca="false">D89*$J$5</f>
        <v>0</v>
      </c>
      <c r="F89" s="8" t="n">
        <f aca="false">E89-C89</f>
        <v>-1</v>
      </c>
      <c r="G89" s="9" t="n">
        <f aca="false">IF(AND(C89=0,E89=0),0,IF(C89=0,"New",(E89-C89)/C89))</f>
        <v>-1</v>
      </c>
      <c r="H89" s="8" t="n">
        <f aca="false">SUMIFS('Source'!$E:$E,'Source'!$A:$A,"160951 MEDIPAL COMPANY",'Source'!$B:$B,$A89)</f>
        <v>0.04</v>
      </c>
      <c r="I89" s="8" t="n">
        <f aca="false">SUMIFS('Source'!$G:$G,'Source'!$A:$A,"160951 MEDIPAL COMPANY",'Source'!$B:$B,$A89)</f>
        <v>0</v>
      </c>
      <c r="J89" s="8" t="n">
        <f aca="false">I89*$J$5</f>
        <v>0</v>
      </c>
      <c r="K89" s="8" t="n">
        <f aca="false">J89-H89</f>
        <v>-0.04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980</v>
      </c>
      <c r="B90" s="7" t="str">
        <f aca="false">IFERROR(INDEX('Source'!$C:$C,MATCH($A90,'Source'!$B:$B,0)),"")</f>
        <v>ח.גב אורירית (30)</v>
      </c>
      <c r="C90" s="8" t="n">
        <f aca="false">SUMIFS('Source'!$D:$D,'Source'!$A:$A,"160951 MEDIPAL COMPANY",'Source'!$B:$B,$A90)</f>
        <v>5</v>
      </c>
      <c r="D90" s="8" t="n">
        <f aca="false">SUMIFS('Source'!$F:$F,'Source'!$A:$A,"160951 MEDIPAL COMPANY",'Source'!$B:$B,$A90)</f>
        <v>0</v>
      </c>
      <c r="E90" s="8" t="n">
        <f aca="false">D90*$J$5</f>
        <v>0</v>
      </c>
      <c r="F90" s="8" t="n">
        <f aca="false">E90-C90</f>
        <v>-5</v>
      </c>
      <c r="G90" s="9" t="n">
        <f aca="false">IF(AND(C90=0,E90=0),0,IF(C90=0,"New",(E90-C90)/C90))</f>
        <v>-1</v>
      </c>
      <c r="H90" s="8" t="n">
        <f aca="false">SUMIFS('Source'!$E:$E,'Source'!$A:$A,"160951 MEDIPAL COMPANY",'Source'!$B:$B,$A90)</f>
        <v>0.03</v>
      </c>
      <c r="I90" s="8" t="n">
        <f aca="false">SUMIFS('Source'!$G:$G,'Source'!$A:$A,"160951 MEDIPAL COMPANY",'Source'!$B:$B,$A90)</f>
        <v>0</v>
      </c>
      <c r="J90" s="8" t="n">
        <f aca="false">I90*$J$5</f>
        <v>0</v>
      </c>
      <c r="K90" s="8" t="n">
        <f aca="false">J90-H90</f>
        <v>-0.03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786</v>
      </c>
      <c r="B91" s="7" t="str">
        <f aca="false">IFERROR(INDEX('Source'!$C:$C,MATCH($A91,'Source'!$B:$B,0)),"")</f>
        <v>מתלה</v>
      </c>
      <c r="C91" s="8" t="n">
        <f aca="false">SUMIFS('Source'!$D:$D,'Source'!$A:$A,"160951 MEDIPAL COMPANY",'Source'!$B:$B,$A91)</f>
        <v>5</v>
      </c>
      <c r="D91" s="8" t="n">
        <f aca="false">SUMIFS('Source'!$F:$F,'Source'!$A:$A,"160951 MEDIPAL COMPANY",'Source'!$B:$B,$A91)</f>
        <v>0</v>
      </c>
      <c r="E91" s="8" t="n">
        <f aca="false">D91*$J$5</f>
        <v>0</v>
      </c>
      <c r="F91" s="8" t="n">
        <f aca="false">E91-C91</f>
        <v>-5</v>
      </c>
      <c r="G91" s="9" t="n">
        <f aca="false">IF(AND(C91=0,E91=0),0,IF(C91=0,"New",(E91-C91)/C91))</f>
        <v>-1</v>
      </c>
      <c r="H91" s="8" t="n">
        <f aca="false">SUMIFS('Source'!$E:$E,'Source'!$A:$A,"160951 MEDIPAL COMPANY",'Source'!$B:$B,$A91)</f>
        <v>0.03</v>
      </c>
      <c r="I91" s="8" t="n">
        <f aca="false">SUMIFS('Source'!$G:$G,'Source'!$A:$A,"160951 MEDIPAL COMPANY",'Source'!$B:$B,$A91)</f>
        <v>0</v>
      </c>
      <c r="J91" s="8" t="n">
        <f aca="false">I91*$J$5</f>
        <v>0</v>
      </c>
      <c r="K91" s="8" t="n">
        <f aca="false">J91-H91</f>
        <v>-0.03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227</v>
      </c>
      <c r="B92" s="7" t="str">
        <f aca="false">IFERROR(INDEX('Source'!$C:$C,MATCH($A92,'Source'!$B:$B,0)),"")</f>
        <v>כרית סיליקון לעקב</v>
      </c>
      <c r="C92" s="8" t="n">
        <f aca="false">SUMIFS('Source'!$D:$D,'Source'!$A:$A,"160951 MEDIPAL COMPANY",'Source'!$B:$B,$A92)</f>
        <v>5</v>
      </c>
      <c r="D92" s="8" t="n">
        <f aca="false">SUMIFS('Source'!$F:$F,'Source'!$A:$A,"160951 MEDIPAL COMPANY",'Source'!$B:$B,$A92)</f>
        <v>0</v>
      </c>
      <c r="E92" s="8" t="n">
        <f aca="false">D92*$J$5</f>
        <v>0</v>
      </c>
      <c r="F92" s="8" t="n">
        <f aca="false">E92-C92</f>
        <v>-5</v>
      </c>
      <c r="G92" s="9" t="n">
        <f aca="false">IF(AND(C92=0,E92=0),0,IF(C92=0,"New",(E92-C92)/C92))</f>
        <v>-1</v>
      </c>
      <c r="H92" s="8" t="n">
        <f aca="false">SUMIFS('Source'!$E:$E,'Source'!$A:$A,"160951 MEDIPAL COMPANY",'Source'!$B:$B,$A92)</f>
        <v>0.03</v>
      </c>
      <c r="I92" s="8" t="n">
        <f aca="false">SUMIFS('Source'!$G:$G,'Source'!$A:$A,"160951 MEDIPAL COMPANY",'Source'!$B:$B,$A92)</f>
        <v>0</v>
      </c>
      <c r="J92" s="8" t="n">
        <f aca="false">I92*$J$5</f>
        <v>0</v>
      </c>
      <c r="K92" s="8" t="n">
        <f aca="false">J92-H92</f>
        <v>-0.03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329</v>
      </c>
      <c r="B93" s="7" t="str">
        <f aca="false">IFERROR(INDEX('Source'!$C:$C,MATCH($A93,'Source'!$B:$B,0)),"")</f>
        <v>מדרס מתכוונן</v>
      </c>
      <c r="C93" s="8" t="n">
        <f aca="false">SUMIFS('Source'!$D:$D,'Source'!$A:$A,"160951 MEDIPAL COMPANY",'Source'!$B:$B,$A93)</f>
        <v>100</v>
      </c>
      <c r="D93" s="8" t="n">
        <f aca="false">SUMIFS('Source'!$F:$F,'Source'!$A:$A,"160951 MEDIPAL COMPANY",'Source'!$B:$B,$A93)</f>
        <v>0</v>
      </c>
      <c r="E93" s="8" t="n">
        <f aca="false">D93*$J$5</f>
        <v>0</v>
      </c>
      <c r="F93" s="8" t="n">
        <f aca="false">E93-C93</f>
        <v>-100</v>
      </c>
      <c r="G93" s="9" t="n">
        <f aca="false">IF(AND(C93=0,E93=0),0,IF(C93=0,"New",(E93-C93)/C93))</f>
        <v>-1</v>
      </c>
      <c r="H93" s="8" t="n">
        <f aca="false">SUMIFS('Source'!$E:$E,'Source'!$A:$A,"160951 MEDIPAL COMPANY",'Source'!$B:$B,$A93)</f>
        <v>0.03</v>
      </c>
      <c r="I93" s="8" t="n">
        <f aca="false">SUMIFS('Source'!$G:$G,'Source'!$A:$A,"160951 MEDIPAL COMPANY",'Source'!$B:$B,$A93)</f>
        <v>0</v>
      </c>
      <c r="J93" s="8" t="n">
        <f aca="false">I93*$J$5</f>
        <v>0</v>
      </c>
      <c r="K93" s="8" t="n">
        <f aca="false">J93-H93</f>
        <v>-0.03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341</v>
      </c>
      <c r="B94" s="7" t="str">
        <f aca="false">IFERROR(INDEX('Source'!$C:$C,MATCH($A94,'Source'!$B:$B,0)),"")</f>
        <v>מגן קרסול סגור</v>
      </c>
      <c r="C94" s="8" t="n">
        <f aca="false">SUMIFS('Source'!$D:$D,'Source'!$A:$A,"160951 MEDIPAL COMPANY",'Source'!$B:$B,$A94)</f>
        <v>5</v>
      </c>
      <c r="D94" s="8" t="n">
        <f aca="false">SUMIFS('Source'!$F:$F,'Source'!$A:$A,"160951 MEDIPAL COMPANY",'Source'!$B:$B,$A94)</f>
        <v>0</v>
      </c>
      <c r="E94" s="8" t="n">
        <f aca="false">D94*$J$5</f>
        <v>0</v>
      </c>
      <c r="F94" s="8" t="n">
        <f aca="false">E94-C94</f>
        <v>-5</v>
      </c>
      <c r="G94" s="9" t="n">
        <f aca="false">IF(AND(C94=0,E94=0),0,IF(C94=0,"New",(E94-C94)/C94))</f>
        <v>-1</v>
      </c>
      <c r="H94" s="8" t="n">
        <f aca="false">SUMIFS('Source'!$E:$E,'Source'!$A:$A,"160951 MEDIPAL COMPANY",'Source'!$B:$B,$A94)</f>
        <v>0.03</v>
      </c>
      <c r="I94" s="8" t="n">
        <f aca="false">SUMIFS('Source'!$G:$G,'Source'!$A:$A,"160951 MEDIPAL COMPANY",'Source'!$B:$B,$A94)</f>
        <v>0</v>
      </c>
      <c r="J94" s="8" t="n">
        <f aca="false">I94*$J$5</f>
        <v>0</v>
      </c>
      <c r="K94" s="8" t="n">
        <f aca="false">J94-H94</f>
        <v>-0.03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426</v>
      </c>
      <c r="B95" s="7" t="str">
        <f aca="false">IFERROR(INDEX('Source'!$C:$C,MATCH($A95,'Source'!$B:$B,0)),"")</f>
        <v>חגורת גב-לומבו</v>
      </c>
      <c r="C95" s="8" t="n">
        <f aca="false">SUMIFS('Source'!$D:$D,'Source'!$A:$A,"160951 MEDIPAL COMPANY",'Source'!$B:$B,$A95)</f>
        <v>5</v>
      </c>
      <c r="D95" s="8" t="n">
        <f aca="false">SUMIFS('Source'!$F:$F,'Source'!$A:$A,"160951 MEDIPAL COMPANY",'Source'!$B:$B,$A95)</f>
        <v>0</v>
      </c>
      <c r="E95" s="8" t="n">
        <f aca="false">D95*$J$5</f>
        <v>0</v>
      </c>
      <c r="F95" s="8" t="n">
        <f aca="false">E95-C95</f>
        <v>-5</v>
      </c>
      <c r="G95" s="9" t="n">
        <f aca="false">IF(AND(C95=0,E95=0),0,IF(C95=0,"New",(E95-C95)/C95))</f>
        <v>-1</v>
      </c>
      <c r="H95" s="8" t="n">
        <f aca="false">SUMIFS('Source'!$E:$E,'Source'!$A:$A,"160951 MEDIPAL COMPANY",'Source'!$B:$B,$A95)</f>
        <v>0.03</v>
      </c>
      <c r="I95" s="8" t="n">
        <f aca="false">SUMIFS('Source'!$G:$G,'Source'!$A:$A,"160951 MEDIPAL COMPANY",'Source'!$B:$B,$A95)</f>
        <v>0</v>
      </c>
      <c r="J95" s="8" t="n">
        <f aca="false">I95*$J$5</f>
        <v>0</v>
      </c>
      <c r="K95" s="8" t="n">
        <f aca="false">J95-H95</f>
        <v>-0.03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758</v>
      </c>
      <c r="B96" s="7" t="str">
        <f aca="false">IFERROR(INDEX('Source'!$C:$C,MATCH($A96,'Source'!$B:$B,0)),"")</f>
        <v>מגן קרסול+ עקב סגור+רצועות</v>
      </c>
      <c r="C96" s="8" t="n">
        <f aca="false">SUMIFS('Source'!$D:$D,'Source'!$A:$A,"160951 MEDIPAL COMPANY",'Source'!$B:$B,$A96)</f>
        <v>5</v>
      </c>
      <c r="D96" s="8" t="n">
        <f aca="false">SUMIFS('Source'!$F:$F,'Source'!$A:$A,"160951 MEDIPAL COMPANY",'Source'!$B:$B,$A96)</f>
        <v>0</v>
      </c>
      <c r="E96" s="8" t="n">
        <f aca="false">D96*$J$5</f>
        <v>0</v>
      </c>
      <c r="F96" s="8" t="n">
        <f aca="false">E96-C96</f>
        <v>-5</v>
      </c>
      <c r="G96" s="9" t="n">
        <f aca="false">IF(AND(C96=0,E96=0),0,IF(C96=0,"New",(E96-C96)/C96))</f>
        <v>-1</v>
      </c>
      <c r="H96" s="8" t="n">
        <f aca="false">SUMIFS('Source'!$E:$E,'Source'!$A:$A,"160951 MEDIPAL COMPANY",'Source'!$B:$B,$A96)</f>
        <v>0.03</v>
      </c>
      <c r="I96" s="8" t="n">
        <f aca="false">SUMIFS('Source'!$G:$G,'Source'!$A:$A,"160951 MEDIPAL COMPANY",'Source'!$B:$B,$A96)</f>
        <v>0</v>
      </c>
      <c r="J96" s="8" t="n">
        <f aca="false">I96*$J$5</f>
        <v>0</v>
      </c>
      <c r="K96" s="8" t="n">
        <f aca="false">J96-H96</f>
        <v>-0.03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981</v>
      </c>
      <c r="B97" s="7" t="str">
        <f aca="false">IFERROR(INDEX('Source'!$C:$C,MATCH($A97,'Source'!$B:$B,0)),"")</f>
        <v>חגורת פאבליק (רצועות אבדוקציה)</v>
      </c>
      <c r="C97" s="8" t="n">
        <f aca="false">SUMIFS('Source'!$D:$D,'Source'!$A:$A,"160951 MEDIPAL COMPANY",'Source'!$B:$B,$A97)</f>
        <v>50</v>
      </c>
      <c r="D97" s="8" t="n">
        <f aca="false">SUMIFS('Source'!$F:$F,'Source'!$A:$A,"160951 MEDIPAL COMPANY",'Source'!$B:$B,$A97)</f>
        <v>0</v>
      </c>
      <c r="E97" s="8" t="n">
        <f aca="false">D97*$J$5</f>
        <v>0</v>
      </c>
      <c r="F97" s="8" t="n">
        <f aca="false">E97-C97</f>
        <v>-50</v>
      </c>
      <c r="G97" s="9" t="n">
        <f aca="false">IF(AND(C97=0,E97=0),0,IF(C97=0,"New",(E97-C97)/C97))</f>
        <v>-1</v>
      </c>
      <c r="H97" s="8" t="n">
        <f aca="false">SUMIFS('Source'!$E:$E,'Source'!$A:$A,"160951 MEDIPAL COMPANY",'Source'!$B:$B,$A97)</f>
        <v>0.03</v>
      </c>
      <c r="I97" s="8" t="n">
        <f aca="false">SUMIFS('Source'!$G:$G,'Source'!$A:$A,"160951 MEDIPAL COMPANY",'Source'!$B:$B,$A97)</f>
        <v>0</v>
      </c>
      <c r="J97" s="8" t="n">
        <f aca="false">I97*$J$5</f>
        <v>0</v>
      </c>
      <c r="K97" s="8" t="n">
        <f aca="false">J97-H97</f>
        <v>-0.03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460</v>
      </c>
      <c r="B98" s="7" t="str">
        <f aca="false">IFERROR(INDEX('Source'!$C:$C,MATCH($A98,'Source'!$B:$B,0)),"")</f>
        <v>צוארון ספוגי</v>
      </c>
      <c r="C98" s="8" t="n">
        <f aca="false">SUMIFS('Source'!$D:$D,'Source'!$A:$A,"160951 MEDIPAL COMPANY",'Source'!$B:$B,$A98)</f>
        <v>5</v>
      </c>
      <c r="D98" s="8" t="n">
        <f aca="false">SUMIFS('Source'!$F:$F,'Source'!$A:$A,"160951 MEDIPAL COMPANY",'Source'!$B:$B,$A98)</f>
        <v>0</v>
      </c>
      <c r="E98" s="8" t="n">
        <f aca="false">D98*$J$5</f>
        <v>0</v>
      </c>
      <c r="F98" s="8" t="n">
        <f aca="false">E98-C98</f>
        <v>-5</v>
      </c>
      <c r="G98" s="9" t="n">
        <f aca="false">IF(AND(C98=0,E98=0),0,IF(C98=0,"New",(E98-C98)/C98))</f>
        <v>-1</v>
      </c>
      <c r="H98" s="8" t="n">
        <f aca="false">SUMIFS('Source'!$E:$E,'Source'!$A:$A,"160951 MEDIPAL COMPANY",'Source'!$B:$B,$A98)</f>
        <v>0.03</v>
      </c>
      <c r="I98" s="8" t="n">
        <f aca="false">SUMIFS('Source'!$G:$G,'Source'!$A:$A,"160951 MEDIPAL COMPANY",'Source'!$B:$B,$A98)</f>
        <v>0</v>
      </c>
      <c r="J98" s="8" t="n">
        <f aca="false">I98*$J$5</f>
        <v>0</v>
      </c>
      <c r="K98" s="8" t="n">
        <f aca="false">J98-H98</f>
        <v>-0.03</v>
      </c>
      <c r="L98" s="9" t="n">
        <f aca="false">IF(AND(H98=0,J98=0),0,IF(H98=0,"New",(J98-H98)/H98))</f>
        <v>-1</v>
      </c>
      <c r="M98" s="7" t="str">
        <f aca="false">IF(AND(OR(C98&lt;&gt;0,H98&lt;&gt;0),D98=0,I98=0),"DROP",IF(AND(OR(D98&lt;&gt;0,I98&lt;&gt;0),C98=0,H98=0),"NEW",""))</f>
        <v>DROP</v>
      </c>
    </row>
    <row r="100" customFormat="false" ht="15" hidden="false" customHeight="false" outlineLevel="0" collapsed="false">
      <c r="A100" s="17"/>
      <c r="B100" s="18" t="s">
        <v>97</v>
      </c>
      <c r="C100" s="19" t="n">
        <f aca="false">SUM(C9:C98)</f>
        <v>6687</v>
      </c>
      <c r="D100" s="19" t="n">
        <f aca="false">SUM(D9:D98)</f>
        <v>0</v>
      </c>
      <c r="E100" s="19" t="n">
        <f aca="false">SUM(E9:E98)</f>
        <v>0</v>
      </c>
      <c r="F100" s="19" t="n">
        <f aca="false">SUM(F9:F98)</f>
        <v>-6687</v>
      </c>
      <c r="G100" s="20" t="n">
        <f aca="false">IF(C100=0,"N/A",F100/C100)</f>
        <v>-1</v>
      </c>
      <c r="H100" s="19" t="n">
        <f aca="false">SUM(H9:H98)</f>
        <v>256772.1</v>
      </c>
      <c r="I100" s="19" t="n">
        <f aca="false">SUM(I9:I98)</f>
        <v>0</v>
      </c>
      <c r="J100" s="19" t="n">
        <f aca="false">SUM(J9:J98)</f>
        <v>0</v>
      </c>
      <c r="K100" s="19" t="n">
        <f aca="false">SUM(K9:K98)</f>
        <v>-256772.1</v>
      </c>
      <c r="L100" s="20" t="n">
        <f aca="false">IF(H100=0,"N/A",K100/H100)</f>
        <v>-1</v>
      </c>
      <c r="M100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982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983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SUMPRODUCT(--(((C9:C45&lt;&gt;0)+(H9:H45&lt;&gt;0)&gt;0)*((D9:D45=0)*(I9:I45=0))))</f>
        <v>14</v>
      </c>
      <c r="C5" s="13" t="s">
        <v>47</v>
      </c>
      <c r="D5" s="14" t="n">
        <f aca="false">SUMPRODUCT(--(((D9:D45&lt;&gt;0)+(I9:I45&lt;&gt;0)&gt;0)*((C9:C45=0)*(H9:H45=0))))</f>
        <v>0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SUMPRODUCT(--(((C9:C45&lt;&gt;0)+(H9:H45&lt;&gt;0)&gt;0)*((D9:D45=0)*(I9:I45=0)))*C9:C45)</f>
        <v>653</v>
      </c>
      <c r="C6" s="13" t="s">
        <v>50</v>
      </c>
      <c r="D6" s="14" t="n">
        <f aca="false">SUMPRODUCT(--(((C9:C45&lt;&gt;0)+(H9:H45&lt;&gt;0)&gt;0)*((D9:D45=0)*(I9:I45=0)))*H9:H45)</f>
        <v>14501.3</v>
      </c>
      <c r="E6" s="13" t="s">
        <v>51</v>
      </c>
      <c r="F6" s="14" t="n">
        <f aca="false">SUMPRODUCT(--(((D9:D45&lt;&gt;0)+(I9:I45&lt;&gt;0)&gt;0)*((C9:C45=0)*(H9:H45=0)))*D9:D45)</f>
        <v>0</v>
      </c>
      <c r="G6" s="13" t="s">
        <v>52</v>
      </c>
      <c r="H6" s="14" t="n">
        <f aca="false">SUMPRODUCT(--(((D9:D45&lt;&gt;0)+(I9:I45&lt;&gt;0)&gt;0)*((C9:C45=0)*(H9:H45=0)))*I9:I45)</f>
        <v>0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387</v>
      </c>
      <c r="B9" s="7" t="str">
        <f aca="false">IFERROR(INDEX('Source'!$C:$C,MATCH($A9,'Source'!$B:$B,0)),"")</f>
        <v>אצבעון מסיליקון</v>
      </c>
      <c r="C9" s="8" t="n">
        <f aca="false">SUMIFS('Source'!$D:$D,'Source'!$A:$A,"160226 HEALTH CARE PROD. GMBH",'Source'!$B:$B,$A9)</f>
        <v>980</v>
      </c>
      <c r="D9" s="8" t="n">
        <f aca="false">SUMIFS('Source'!$F:$F,'Source'!$A:$A,"160226 HEALTH CARE PROD. GMBH",'Source'!$B:$B,$A9)</f>
        <v>576</v>
      </c>
      <c r="E9" s="8" t="n">
        <f aca="false">D9*$J$5</f>
        <v>727.578947368421</v>
      </c>
      <c r="F9" s="8" t="n">
        <f aca="false">E9-C9</f>
        <v>-252.421052631579</v>
      </c>
      <c r="G9" s="9" t="n">
        <f aca="false">IF(AND(C9=0,E9=0),0,IF(C9=0,"New",(E9-C9)/C9))</f>
        <v>-0.257572502685285</v>
      </c>
      <c r="H9" s="8" t="n">
        <f aca="false">SUMIFS('Source'!$E:$E,'Source'!$A:$A,"160226 HEALTH CARE PROD. GMBH",'Source'!$B:$B,$A9)</f>
        <v>10238.3</v>
      </c>
      <c r="I9" s="8" t="n">
        <f aca="false">SUMIFS('Source'!$G:$G,'Source'!$A:$A,"160226 HEALTH CARE PROD. GMBH",'Source'!$B:$B,$A9)</f>
        <v>5431.17</v>
      </c>
      <c r="J9" s="8" t="n">
        <f aca="false">I9*$J$5</f>
        <v>6860.4252631579</v>
      </c>
      <c r="K9" s="8" t="n">
        <f aca="false">J9-H9</f>
        <v>-3377.8747368421</v>
      </c>
      <c r="L9" s="9" t="n">
        <f aca="false">IF(AND(H9=0,J9=0),0,IF(H9=0,"New",(J9-H9)/H9))</f>
        <v>-0.329925352533341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664</v>
      </c>
      <c r="B10" s="7" t="str">
        <f aca="false">IFERROR(INDEX('Source'!$C:$C,MATCH($A10,'Source'!$B:$B,0)),"")</f>
        <v>אבן שיוף להסירת</v>
      </c>
      <c r="C10" s="8" t="n">
        <f aca="false">SUMIFS('Source'!$D:$D,'Source'!$A:$A,"160226 HEALTH CARE PROD. GMBH",'Source'!$B:$B,$A10)</f>
        <v>4400</v>
      </c>
      <c r="D10" s="8" t="n">
        <f aca="false">SUMIFS('Source'!$F:$F,'Source'!$A:$A,"160226 HEALTH CARE PROD. GMBH",'Source'!$B:$B,$A10)</f>
        <v>5700</v>
      </c>
      <c r="E10" s="8" t="n">
        <f aca="false">D10*$J$5</f>
        <v>7200</v>
      </c>
      <c r="F10" s="8" t="n">
        <f aca="false">E10-C10</f>
        <v>2800</v>
      </c>
      <c r="G10" s="9" t="n">
        <f aca="false">IF(AND(C10=0,E10=0),0,IF(C10=0,"New",(E10-C10)/C10))</f>
        <v>0.636363636363636</v>
      </c>
      <c r="H10" s="8" t="n">
        <f aca="false">SUMIFS('Source'!$E:$E,'Source'!$A:$A,"160226 HEALTH CARE PROD. GMBH",'Source'!$B:$B,$A10)</f>
        <v>20662.34</v>
      </c>
      <c r="I10" s="8" t="n">
        <f aca="false">SUMIFS('Source'!$G:$G,'Source'!$A:$A,"160226 HEALTH CARE PROD. GMBH",'Source'!$B:$B,$A10)</f>
        <v>24290.34</v>
      </c>
      <c r="J10" s="8" t="n">
        <f aca="false">I10*$J$5</f>
        <v>30682.5347368421</v>
      </c>
      <c r="K10" s="8" t="n">
        <f aca="false">J10-H10</f>
        <v>10020.1947368421</v>
      </c>
      <c r="L10" s="9" t="n">
        <f aca="false">IF(AND(H10=0,J10=0),0,IF(H10=0,"New",(J10-H10)/H10))</f>
        <v>0.484949658985483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470</v>
      </c>
      <c r="B11" s="7" t="str">
        <f aca="false">IFERROR(INDEX('Source'!$C:$C,MATCH($A11,'Source'!$B:$B,0)),"")</f>
        <v>גרבי נוחות חורף שחור</v>
      </c>
      <c r="C11" s="8" t="n">
        <f aca="false">SUMIFS('Source'!$D:$D,'Source'!$A:$A,"160226 HEALTH CARE PROD. GMBH",'Source'!$B:$B,$A11)</f>
        <v>150</v>
      </c>
      <c r="D11" s="8" t="n">
        <f aca="false">SUMIFS('Source'!$F:$F,'Source'!$A:$A,"160226 HEALTH CARE PROD. GMBH",'Source'!$B:$B,$A11)</f>
        <v>0</v>
      </c>
      <c r="E11" s="8" t="n">
        <f aca="false">D11*$J$5</f>
        <v>0</v>
      </c>
      <c r="F11" s="8" t="n">
        <f aca="false">E11-C11</f>
        <v>-150</v>
      </c>
      <c r="G11" s="9" t="n">
        <f aca="false">IF(AND(C11=0,E11=0),0,IF(C11=0,"New",(E11-C11)/C11))</f>
        <v>-1</v>
      </c>
      <c r="H11" s="8" t="n">
        <f aca="false">SUMIFS('Source'!$E:$E,'Source'!$A:$A,"160226 HEALTH CARE PROD. GMBH",'Source'!$B:$B,$A11)</f>
        <v>3564.8</v>
      </c>
      <c r="I11" s="8" t="n">
        <f aca="false">SUMIFS('Source'!$G:$G,'Source'!$A:$A,"160226 HEALTH CARE PROD. GMBH",'Source'!$B:$B,$A11)</f>
        <v>0</v>
      </c>
      <c r="J11" s="8" t="n">
        <f aca="false">I11*$J$5</f>
        <v>0</v>
      </c>
      <c r="K11" s="8" t="n">
        <f aca="false">J11-H11</f>
        <v>-3564.8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173</v>
      </c>
      <c r="B12" s="7" t="str">
        <f aca="false">IFERROR(INDEX('Source'!$C:$C,MATCH($A12,'Source'!$B:$B,0)),"")</f>
        <v>גרבי נוחות חורף שחור</v>
      </c>
      <c r="C12" s="8" t="n">
        <f aca="false">SUMIFS('Source'!$D:$D,'Source'!$A:$A,"160226 HEALTH CARE PROD. GMBH",'Source'!$B:$B,$A12)</f>
        <v>150</v>
      </c>
      <c r="D12" s="8" t="n">
        <f aca="false">SUMIFS('Source'!$F:$F,'Source'!$A:$A,"160226 HEALTH CARE PROD. GMBH",'Source'!$B:$B,$A12)</f>
        <v>0</v>
      </c>
      <c r="E12" s="8" t="n">
        <f aca="false">D12*$J$5</f>
        <v>0</v>
      </c>
      <c r="F12" s="8" t="n">
        <f aca="false">E12-C12</f>
        <v>-150</v>
      </c>
      <c r="G12" s="9" t="n">
        <f aca="false">IF(AND(C12=0,E12=0),0,IF(C12=0,"New",(E12-C12)/C12))</f>
        <v>-1</v>
      </c>
      <c r="H12" s="8" t="n">
        <f aca="false">SUMIFS('Source'!$E:$E,'Source'!$A:$A,"160226 HEALTH CARE PROD. GMBH",'Source'!$B:$B,$A12)</f>
        <v>3539.25</v>
      </c>
      <c r="I12" s="8" t="n">
        <f aca="false">SUMIFS('Source'!$G:$G,'Source'!$A:$A,"160226 HEALTH CARE PROD. GMBH",'Source'!$B:$B,$A12)</f>
        <v>0</v>
      </c>
      <c r="J12" s="8" t="n">
        <f aca="false">I12*$J$5</f>
        <v>0</v>
      </c>
      <c r="K12" s="8" t="n">
        <f aca="false">J12-H12</f>
        <v>-3539.25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225</v>
      </c>
      <c r="B13" s="7" t="str">
        <f aca="false">IFERROR(INDEX('Source'!$C:$C,MATCH($A13,'Source'!$B:$B,0)),"")</f>
        <v>שרוול מסיליקון ל</v>
      </c>
      <c r="C13" s="8" t="n">
        <f aca="false">SUMIFS('Source'!$D:$D,'Source'!$A:$A,"160226 HEALTH CARE PROD. GMBH",'Source'!$B:$B,$A13)</f>
        <v>1800</v>
      </c>
      <c r="D13" s="8" t="n">
        <f aca="false">SUMIFS('Source'!$F:$F,'Source'!$A:$A,"160226 HEALTH CARE PROD. GMBH",'Source'!$B:$B,$A13)</f>
        <v>1700</v>
      </c>
      <c r="E13" s="8" t="n">
        <f aca="false">D13*$J$5</f>
        <v>2147.36842105263</v>
      </c>
      <c r="F13" s="8" t="n">
        <f aca="false">E13-C13</f>
        <v>347.368421052632</v>
      </c>
      <c r="G13" s="9" t="n">
        <f aca="false">IF(AND(C13=0,E13=0),0,IF(C13=0,"New",(E13-C13)/C13))</f>
        <v>0.192982456140351</v>
      </c>
      <c r="H13" s="8" t="n">
        <f aca="false">SUMIFS('Source'!$E:$E,'Source'!$A:$A,"160226 HEALTH CARE PROD. GMBH",'Source'!$B:$B,$A13)</f>
        <v>16729.1</v>
      </c>
      <c r="I13" s="8" t="n">
        <f aca="false">SUMIFS('Source'!$G:$G,'Source'!$A:$A,"160226 HEALTH CARE PROD. GMBH",'Source'!$B:$B,$A13)</f>
        <v>14391.49</v>
      </c>
      <c r="J13" s="8" t="n">
        <f aca="false">I13*$J$5</f>
        <v>18178.7242105263</v>
      </c>
      <c r="K13" s="8" t="n">
        <f aca="false">J13-H13</f>
        <v>1449.62421052632</v>
      </c>
      <c r="L13" s="9" t="n">
        <f aca="false">IF(AND(H13=0,J13=0),0,IF(H13=0,"New",(J13-H13)/H13))</f>
        <v>0.0866528510515399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367</v>
      </c>
      <c r="B14" s="7" t="str">
        <f aca="false">IFERROR(INDEX('Source'!$C:$C,MATCH($A14,'Source'!$B:$B,0)),"")</f>
        <v>אצבעון מסיליקון</v>
      </c>
      <c r="C14" s="8" t="n">
        <f aca="false">SUMIFS('Source'!$D:$D,'Source'!$A:$A,"160226 HEALTH CARE PROD. GMBH",'Source'!$B:$B,$A14)</f>
        <v>850</v>
      </c>
      <c r="D14" s="8" t="n">
        <f aca="false">SUMIFS('Source'!$F:$F,'Source'!$A:$A,"160226 HEALTH CARE PROD. GMBH",'Source'!$B:$B,$A14)</f>
        <v>770</v>
      </c>
      <c r="E14" s="8" t="n">
        <f aca="false">D14*$J$5</f>
        <v>972.631578947368</v>
      </c>
      <c r="F14" s="8" t="n">
        <f aca="false">E14-C14</f>
        <v>122.631578947368</v>
      </c>
      <c r="G14" s="9" t="n">
        <f aca="false">IF(AND(C14=0,E14=0),0,IF(C14=0,"New",(E14-C14)/C14))</f>
        <v>0.144272445820433</v>
      </c>
      <c r="H14" s="8" t="n">
        <f aca="false">SUMIFS('Source'!$E:$E,'Source'!$A:$A,"160226 HEALTH CARE PROD. GMBH",'Source'!$B:$B,$A14)</f>
        <v>9860.71</v>
      </c>
      <c r="I14" s="8" t="n">
        <f aca="false">SUMIFS('Source'!$G:$G,'Source'!$A:$A,"160226 HEALTH CARE PROD. GMBH",'Source'!$B:$B,$A14)</f>
        <v>8160.66</v>
      </c>
      <c r="J14" s="8" t="n">
        <f aca="false">I14*$J$5</f>
        <v>10308.2021052632</v>
      </c>
      <c r="K14" s="8" t="n">
        <f aca="false">J14-H14</f>
        <v>447.492105263158</v>
      </c>
      <c r="L14" s="9" t="n">
        <f aca="false">IF(AND(H14=0,J14=0),0,IF(H14=0,"New",(J14-H14)/H14))</f>
        <v>0.045381327030524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226</v>
      </c>
      <c r="B15" s="7" t="str">
        <f aca="false">IFERROR(INDEX('Source'!$C:$C,MATCH($A15,'Source'!$B:$B,0)),"")</f>
        <v>גרבי נוחות חורף אפור</v>
      </c>
      <c r="C15" s="8" t="n">
        <f aca="false">SUMIFS('Source'!$D:$D,'Source'!$A:$A,"160226 HEALTH CARE PROD. GMBH",'Source'!$B:$B,$A15)</f>
        <v>30</v>
      </c>
      <c r="D15" s="8" t="n">
        <f aca="false">SUMIFS('Source'!$F:$F,'Source'!$A:$A,"160226 HEALTH CARE PROD. GMBH",'Source'!$B:$B,$A15)</f>
        <v>0</v>
      </c>
      <c r="E15" s="8" t="n">
        <f aca="false">D15*$J$5</f>
        <v>0</v>
      </c>
      <c r="F15" s="8" t="n">
        <f aca="false">E15-C15</f>
        <v>-30</v>
      </c>
      <c r="G15" s="9" t="n">
        <f aca="false">IF(AND(C15=0,E15=0),0,IF(C15=0,"New",(E15-C15)/C15))</f>
        <v>-1</v>
      </c>
      <c r="H15" s="8" t="n">
        <f aca="false">SUMIFS('Source'!$E:$E,'Source'!$A:$A,"160226 HEALTH CARE PROD. GMBH",'Source'!$B:$B,$A15)</f>
        <v>1403.58</v>
      </c>
      <c r="I15" s="8" t="n">
        <f aca="false">SUMIFS('Source'!$G:$G,'Source'!$A:$A,"160226 HEALTH CARE PROD. GMBH",'Source'!$B:$B,$A15)</f>
        <v>0</v>
      </c>
      <c r="J15" s="8" t="n">
        <f aca="false">I15*$J$5</f>
        <v>0</v>
      </c>
      <c r="K15" s="8" t="n">
        <f aca="false">J15-H15</f>
        <v>-1403.58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478</v>
      </c>
      <c r="B16" s="7" t="str">
        <f aca="false">IFERROR(INDEX('Source'!$C:$C,MATCH($A16,'Source'!$B:$B,0)),"")</f>
        <v>מדבקה גדולה מסיליקון</v>
      </c>
      <c r="C16" s="8" t="n">
        <f aca="false">SUMIFS('Source'!$D:$D,'Source'!$A:$A,"160226 HEALTH CARE PROD. GMBH",'Source'!$B:$B,$A16)</f>
        <v>196</v>
      </c>
      <c r="D16" s="8" t="n">
        <f aca="false">SUMIFS('Source'!$F:$F,'Source'!$A:$A,"160226 HEALTH CARE PROD. GMBH",'Source'!$B:$B,$A16)</f>
        <v>28</v>
      </c>
      <c r="E16" s="8" t="n">
        <f aca="false">D16*$J$5</f>
        <v>35.3684210526316</v>
      </c>
      <c r="F16" s="8" t="n">
        <f aca="false">E16-C16</f>
        <v>-160.631578947368</v>
      </c>
      <c r="G16" s="9" t="n">
        <f aca="false">IF(AND(C16=0,E16=0),0,IF(C16=0,"New",(E16-C16)/C16))</f>
        <v>-0.819548872180451</v>
      </c>
      <c r="H16" s="8" t="n">
        <f aca="false">SUMIFS('Source'!$E:$E,'Source'!$A:$A,"160226 HEALTH CARE PROD. GMBH",'Source'!$B:$B,$A16)</f>
        <v>1570.61</v>
      </c>
      <c r="I16" s="8" t="n">
        <f aca="false">SUMIFS('Source'!$G:$G,'Source'!$A:$A,"160226 HEALTH CARE PROD. GMBH",'Source'!$B:$B,$A16)</f>
        <v>217.79</v>
      </c>
      <c r="J16" s="8" t="n">
        <f aca="false">I16*$J$5</f>
        <v>275.103157894737</v>
      </c>
      <c r="K16" s="8" t="n">
        <f aca="false">J16-H16</f>
        <v>-1295.50684210526</v>
      </c>
      <c r="L16" s="9" t="n">
        <f aca="false">IF(AND(H16=0,J16=0),0,IF(H16=0,"New",(J16-H16)/H16))</f>
        <v>-0.824843113252344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468</v>
      </c>
      <c r="B17" s="7" t="str">
        <f aca="false">IFERROR(INDEX('Source'!$C:$C,MATCH($A17,'Source'!$B:$B,0)),"")</f>
        <v>גרבי נוחות חורף אפור</v>
      </c>
      <c r="C17" s="8" t="n">
        <f aca="false">SUMIFS('Source'!$D:$D,'Source'!$A:$A,"160226 HEALTH CARE PROD. GMBH",'Source'!$B:$B,$A17)</f>
        <v>50</v>
      </c>
      <c r="D17" s="8" t="n">
        <f aca="false">SUMIFS('Source'!$F:$F,'Source'!$A:$A,"160226 HEALTH CARE PROD. GMBH",'Source'!$B:$B,$A17)</f>
        <v>0</v>
      </c>
      <c r="E17" s="8" t="n">
        <f aca="false">D17*$J$5</f>
        <v>0</v>
      </c>
      <c r="F17" s="8" t="n">
        <f aca="false">E17-C17</f>
        <v>-50</v>
      </c>
      <c r="G17" s="9" t="n">
        <f aca="false">IF(AND(C17=0,E17=0),0,IF(C17=0,"New",(E17-C17)/C17))</f>
        <v>-1</v>
      </c>
      <c r="H17" s="8" t="n">
        <f aca="false">SUMIFS('Source'!$E:$E,'Source'!$A:$A,"160226 HEALTH CARE PROD. GMBH",'Source'!$B:$B,$A17)</f>
        <v>1317.39</v>
      </c>
      <c r="I17" s="8" t="n">
        <f aca="false">SUMIFS('Source'!$G:$G,'Source'!$A:$A,"160226 HEALTH CARE PROD. GMBH",'Source'!$B:$B,$A17)</f>
        <v>0</v>
      </c>
      <c r="J17" s="8" t="n">
        <f aca="false">I17*$J$5</f>
        <v>0</v>
      </c>
      <c r="K17" s="8" t="n">
        <f aca="false">J17-H17</f>
        <v>-1317.39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736</v>
      </c>
      <c r="B18" s="7" t="str">
        <f aca="false">IFERROR(INDEX('Source'!$C:$C,MATCH($A18,'Source'!$B:$B,0)),"")</f>
        <v>קוצץ ציפורניים</v>
      </c>
      <c r="C18" s="8" t="n">
        <f aca="false">SUMIFS('Source'!$D:$D,'Source'!$A:$A,"160226 HEALTH CARE PROD. GMBH",'Source'!$B:$B,$A18)</f>
        <v>300</v>
      </c>
      <c r="D18" s="8" t="n">
        <f aca="false">SUMIFS('Source'!$F:$F,'Source'!$A:$A,"160226 HEALTH CARE PROD. GMBH",'Source'!$B:$B,$A18)</f>
        <v>190</v>
      </c>
      <c r="E18" s="8" t="n">
        <f aca="false">D18*$J$5</f>
        <v>240</v>
      </c>
      <c r="F18" s="8" t="n">
        <f aca="false">E18-C18</f>
        <v>-60</v>
      </c>
      <c r="G18" s="9" t="n">
        <f aca="false">IF(AND(C18=0,E18=0),0,IF(C18=0,"New",(E18-C18)/C18))</f>
        <v>-0.2</v>
      </c>
      <c r="H18" s="8" t="n">
        <f aca="false">SUMIFS('Source'!$E:$E,'Source'!$A:$A,"160226 HEALTH CARE PROD. GMBH",'Source'!$B:$B,$A18)</f>
        <v>2677</v>
      </c>
      <c r="I18" s="8" t="n">
        <f aca="false">SUMIFS('Source'!$G:$G,'Source'!$A:$A,"160226 HEALTH CARE PROD. GMBH",'Source'!$B:$B,$A18)</f>
        <v>1509.87</v>
      </c>
      <c r="J18" s="8" t="n">
        <f aca="false">I18*$J$5</f>
        <v>1907.20421052632</v>
      </c>
      <c r="K18" s="8" t="n">
        <f aca="false">J18-H18</f>
        <v>-769.795789473684</v>
      </c>
      <c r="L18" s="9" t="n">
        <f aca="false">IF(AND(H18=0,J18=0),0,IF(H18=0,"New",(J18-H18)/H18))</f>
        <v>-0.287559129426105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575</v>
      </c>
      <c r="B19" s="7" t="str">
        <f aca="false">IFERROR(INDEX('Source'!$C:$C,MATCH($A19,'Source'!$B:$B,0)),"")</f>
        <v>מגן קרסול</v>
      </c>
      <c r="C19" s="8" t="n">
        <f aca="false">SUMIFS('Source'!$D:$D,'Source'!$A:$A,"160226 HEALTH CARE PROD. GMBH",'Source'!$B:$B,$A19)</f>
        <v>60</v>
      </c>
      <c r="D19" s="8" t="n">
        <f aca="false">SUMIFS('Source'!$F:$F,'Source'!$A:$A,"160226 HEALTH CARE PROD. GMBH",'Source'!$B:$B,$A19)</f>
        <v>0</v>
      </c>
      <c r="E19" s="8" t="n">
        <f aca="false">D19*$J$5</f>
        <v>0</v>
      </c>
      <c r="F19" s="8" t="n">
        <f aca="false">E19-C19</f>
        <v>-60</v>
      </c>
      <c r="G19" s="9" t="n">
        <f aca="false">IF(AND(C19=0,E19=0),0,IF(C19=0,"New",(E19-C19)/C19))</f>
        <v>-1</v>
      </c>
      <c r="H19" s="8" t="n">
        <f aca="false">SUMIFS('Source'!$E:$E,'Source'!$A:$A,"160226 HEALTH CARE PROD. GMBH",'Source'!$B:$B,$A19)</f>
        <v>1061.29</v>
      </c>
      <c r="I19" s="8" t="n">
        <f aca="false">SUMIFS('Source'!$G:$G,'Source'!$A:$A,"160226 HEALTH CARE PROD. GMBH",'Source'!$B:$B,$A19)</f>
        <v>0</v>
      </c>
      <c r="J19" s="8" t="n">
        <f aca="false">I19*$J$5</f>
        <v>0</v>
      </c>
      <c r="K19" s="8" t="n">
        <f aca="false">J19-H19</f>
        <v>-1061.29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229</v>
      </c>
      <c r="B20" s="7" t="str">
        <f aca="false">IFERROR(INDEX('Source'!$C:$C,MATCH($A20,'Source'!$B:$B,0)),"")</f>
        <v>מכשיר ליצוב הבוהן</v>
      </c>
      <c r="C20" s="8" t="n">
        <f aca="false">SUMIFS('Source'!$D:$D,'Source'!$A:$A,"160226 HEALTH CARE PROD. GMBH",'Source'!$B:$B,$A20)</f>
        <v>30</v>
      </c>
      <c r="D20" s="8" t="n">
        <f aca="false">SUMIFS('Source'!$F:$F,'Source'!$A:$A,"160226 HEALTH CARE PROD. GMBH",'Source'!$B:$B,$A20)</f>
        <v>0</v>
      </c>
      <c r="E20" s="8" t="n">
        <f aca="false">D20*$J$5</f>
        <v>0</v>
      </c>
      <c r="F20" s="8" t="n">
        <f aca="false">E20-C20</f>
        <v>-30</v>
      </c>
      <c r="G20" s="9" t="n">
        <f aca="false">IF(AND(C20=0,E20=0),0,IF(C20=0,"New",(E20-C20)/C20))</f>
        <v>-1</v>
      </c>
      <c r="H20" s="8" t="n">
        <f aca="false">SUMIFS('Source'!$E:$E,'Source'!$A:$A,"160226 HEALTH CARE PROD. GMBH",'Source'!$B:$B,$A20)</f>
        <v>1057.05</v>
      </c>
      <c r="I20" s="8" t="n">
        <f aca="false">SUMIFS('Source'!$G:$G,'Source'!$A:$A,"160226 HEALTH CARE PROD. GMBH",'Source'!$B:$B,$A20)</f>
        <v>0</v>
      </c>
      <c r="J20" s="8" t="n">
        <f aca="false">I20*$J$5</f>
        <v>0</v>
      </c>
      <c r="K20" s="8" t="n">
        <f aca="false">J20-H20</f>
        <v>-1057.05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689</v>
      </c>
      <c r="B21" s="7" t="str">
        <f aca="false">IFERROR(INDEX('Source'!$C:$C,MATCH($A21,'Source'!$B:$B,0)),"")</f>
        <v>עקב סיליקון שטוח</v>
      </c>
      <c r="C21" s="8" t="n">
        <f aca="false">SUMIFS('Source'!$D:$D,'Source'!$A:$A,"160226 HEALTH CARE PROD. GMBH",'Source'!$B:$B,$A21)</f>
        <v>70</v>
      </c>
      <c r="D21" s="8" t="n">
        <f aca="false">SUMIFS('Source'!$F:$F,'Source'!$A:$A,"160226 HEALTH CARE PROD. GMBH",'Source'!$B:$B,$A21)</f>
        <v>30</v>
      </c>
      <c r="E21" s="8" t="n">
        <f aca="false">D21*$J$5</f>
        <v>37.8947368421053</v>
      </c>
      <c r="F21" s="8" t="n">
        <f aca="false">E21-C21</f>
        <v>-32.1052631578947</v>
      </c>
      <c r="G21" s="9" t="n">
        <f aca="false">IF(AND(C21=0,E21=0),0,IF(C21=0,"New",(E21-C21)/C21))</f>
        <v>-0.458646616541353</v>
      </c>
      <c r="H21" s="8" t="n">
        <f aca="false">SUMIFS('Source'!$E:$E,'Source'!$A:$A,"160226 HEALTH CARE PROD. GMBH",'Source'!$B:$B,$A21)</f>
        <v>1792.62</v>
      </c>
      <c r="I21" s="8" t="n">
        <f aca="false">SUMIFS('Source'!$G:$G,'Source'!$A:$A,"160226 HEALTH CARE PROD. GMBH",'Source'!$B:$B,$A21)</f>
        <v>738.93</v>
      </c>
      <c r="J21" s="8" t="n">
        <f aca="false">I21*$J$5</f>
        <v>933.385263157895</v>
      </c>
      <c r="K21" s="8" t="n">
        <f aca="false">J21-H21</f>
        <v>-859.234736842105</v>
      </c>
      <c r="L21" s="9" t="n">
        <f aca="false">IF(AND(H21=0,J21=0),0,IF(H21=0,"New",(J21-H21)/H21))</f>
        <v>-0.479317834701222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494</v>
      </c>
      <c r="B22" s="7" t="str">
        <f aca="false">IFERROR(INDEX('Source'!$C:$C,MATCH($A22,'Source'!$B:$B,0)),"")</f>
        <v>בננה לתמכת אצבעו</v>
      </c>
      <c r="C22" s="8" t="n">
        <f aca="false">SUMIFS('Source'!$D:$D,'Source'!$A:$A,"160226 HEALTH CARE PROD. GMBH",'Source'!$B:$B,$A22)</f>
        <v>80</v>
      </c>
      <c r="D22" s="8" t="n">
        <f aca="false">SUMIFS('Source'!$F:$F,'Source'!$A:$A,"160226 HEALTH CARE PROD. GMBH",'Source'!$B:$B,$A22)</f>
        <v>0</v>
      </c>
      <c r="E22" s="8" t="n">
        <f aca="false">D22*$J$5</f>
        <v>0</v>
      </c>
      <c r="F22" s="8" t="n">
        <f aca="false">E22-C22</f>
        <v>-80</v>
      </c>
      <c r="G22" s="9" t="n">
        <f aca="false">IF(AND(C22=0,E22=0),0,IF(C22=0,"New",(E22-C22)/C22))</f>
        <v>-1</v>
      </c>
      <c r="H22" s="8" t="n">
        <f aca="false">SUMIFS('Source'!$E:$E,'Source'!$A:$A,"160226 HEALTH CARE PROD. GMBH",'Source'!$B:$B,$A22)</f>
        <v>1038.21</v>
      </c>
      <c r="I22" s="8" t="n">
        <f aca="false">SUMIFS('Source'!$G:$G,'Source'!$A:$A,"160226 HEALTH CARE PROD. GMBH",'Source'!$B:$B,$A22)</f>
        <v>0</v>
      </c>
      <c r="J22" s="8" t="n">
        <f aca="false">I22*$J$5</f>
        <v>0</v>
      </c>
      <c r="K22" s="8" t="n">
        <f aca="false">J22-H22</f>
        <v>-1038.21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504</v>
      </c>
      <c r="B23" s="7" t="str">
        <f aca="false">IFERROR(INDEX('Source'!$C:$C,MATCH($A23,'Source'!$B:$B,0)),"")</f>
        <v>מדבקה רב פעמית ל</v>
      </c>
      <c r="C23" s="8" t="n">
        <f aca="false">SUMIFS('Source'!$D:$D,'Source'!$A:$A,"160226 HEALTH CARE PROD. GMBH",'Source'!$B:$B,$A23)</f>
        <v>250</v>
      </c>
      <c r="D23" s="8" t="n">
        <f aca="false">SUMIFS('Source'!$F:$F,'Source'!$A:$A,"160226 HEALTH CARE PROD. GMBH",'Source'!$B:$B,$A23)</f>
        <v>130</v>
      </c>
      <c r="E23" s="8" t="n">
        <f aca="false">D23*$J$5</f>
        <v>164.210526315789</v>
      </c>
      <c r="F23" s="8" t="n">
        <f aca="false">E23-C23</f>
        <v>-85.7894736842106</v>
      </c>
      <c r="G23" s="9" t="n">
        <f aca="false">IF(AND(C23=0,E23=0),0,IF(C23=0,"New",(E23-C23)/C23))</f>
        <v>-0.343157894736842</v>
      </c>
      <c r="H23" s="8" t="n">
        <f aca="false">SUMIFS('Source'!$E:$E,'Source'!$A:$A,"160226 HEALTH CARE PROD. GMBH",'Source'!$B:$B,$A23)</f>
        <v>1998.81</v>
      </c>
      <c r="I23" s="8" t="n">
        <f aca="false">SUMIFS('Source'!$G:$G,'Source'!$A:$A,"160226 HEALTH CARE PROD. GMBH",'Source'!$B:$B,$A23)</f>
        <v>992.9</v>
      </c>
      <c r="J23" s="8" t="n">
        <f aca="false">I23*$J$5</f>
        <v>1254.18947368421</v>
      </c>
      <c r="K23" s="8" t="n">
        <f aca="false">J23-H23</f>
        <v>-744.620526315789</v>
      </c>
      <c r="L23" s="9" t="n">
        <f aca="false">IF(AND(H23=0,J23=0),0,IF(H23=0,"New",(J23-H23)/H23))</f>
        <v>-0.372531919650087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176</v>
      </c>
      <c r="B24" s="7" t="str">
        <f aca="false">IFERROR(INDEX('Source'!$C:$C,MATCH($A24,'Source'!$B:$B,0)),"")</f>
        <v>חבק יד</v>
      </c>
      <c r="C24" s="8" t="n">
        <f aca="false">SUMIFS('Source'!$D:$D,'Source'!$A:$A,"160226 HEALTH CARE PROD. GMBH",'Source'!$B:$B,$A24)</f>
        <v>190</v>
      </c>
      <c r="D24" s="8" t="n">
        <f aca="false">SUMIFS('Source'!$F:$F,'Source'!$A:$A,"160226 HEALTH CARE PROD. GMBH",'Source'!$B:$B,$A24)</f>
        <v>150</v>
      </c>
      <c r="E24" s="8" t="n">
        <f aca="false">D24*$J$5</f>
        <v>189.473684210526</v>
      </c>
      <c r="F24" s="8" t="n">
        <f aca="false">E24-C24</f>
        <v>-0.526315789473699</v>
      </c>
      <c r="G24" s="9" t="n">
        <f aca="false">IF(AND(C24=0,E24=0),0,IF(C24=0,"New",(E24-C24)/C24))</f>
        <v>-0.00277008310249315</v>
      </c>
      <c r="H24" s="8" t="n">
        <f aca="false">SUMIFS('Source'!$E:$E,'Source'!$A:$A,"160226 HEALTH CARE PROD. GMBH",'Source'!$B:$B,$A24)</f>
        <v>2727.88</v>
      </c>
      <c r="I24" s="8" t="n">
        <f aca="false">SUMIFS('Source'!$G:$G,'Source'!$A:$A,"160226 HEALTH CARE PROD. GMBH",'Source'!$B:$B,$A24)</f>
        <v>1935.43</v>
      </c>
      <c r="J24" s="8" t="n">
        <f aca="false">I24*$J$5</f>
        <v>2444.75368421053</v>
      </c>
      <c r="K24" s="8" t="n">
        <f aca="false">J24-H24</f>
        <v>-283.126315789474</v>
      </c>
      <c r="L24" s="9" t="n">
        <f aca="false">IF(AND(H24=0,J24=0),0,IF(H24=0,"New",(J24-H24)/H24))</f>
        <v>-0.103789871911328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334</v>
      </c>
      <c r="B25" s="7" t="str">
        <f aca="false">IFERROR(INDEX('Source'!$C:$C,MATCH($A25,'Source'!$B:$B,0)),"")</f>
        <v>סד לילה לבוהן</v>
      </c>
      <c r="C25" s="8" t="n">
        <f aca="false">SUMIFS('Source'!$D:$D,'Source'!$A:$A,"160226 HEALTH CARE PROD. GMBH",'Source'!$B:$B,$A25)</f>
        <v>50</v>
      </c>
      <c r="D25" s="8" t="n">
        <f aca="false">SUMIFS('Source'!$F:$F,'Source'!$A:$A,"160226 HEALTH CARE PROD. GMBH",'Source'!$B:$B,$A25)</f>
        <v>30</v>
      </c>
      <c r="E25" s="8" t="n">
        <f aca="false">D25*$J$5</f>
        <v>37.8947368421053</v>
      </c>
      <c r="F25" s="8" t="n">
        <f aca="false">E25-C25</f>
        <v>-12.1052631578947</v>
      </c>
      <c r="G25" s="9" t="n">
        <f aca="false">IF(AND(C25=0,E25=0),0,IF(C25=0,"New",(E25-C25)/C25))</f>
        <v>-0.242105263157895</v>
      </c>
      <c r="H25" s="8" t="n">
        <f aca="false">SUMIFS('Source'!$E:$E,'Source'!$A:$A,"160226 HEALTH CARE PROD. GMBH",'Source'!$B:$B,$A25)</f>
        <v>1742.86</v>
      </c>
      <c r="I25" s="8" t="n">
        <f aca="false">SUMIFS('Source'!$G:$G,'Source'!$A:$A,"160226 HEALTH CARE PROD. GMBH",'Source'!$B:$B,$A25)</f>
        <v>1002.17</v>
      </c>
      <c r="J25" s="8" t="n">
        <f aca="false">I25*$J$5</f>
        <v>1265.89894736842</v>
      </c>
      <c r="K25" s="8" t="n">
        <f aca="false">J25-H25</f>
        <v>-476.961052631579</v>
      </c>
      <c r="L25" s="9" t="n">
        <f aca="false">IF(AND(H25=0,J25=0),0,IF(H25=0,"New",(J25-H25)/H25))</f>
        <v>-0.273665729107088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741</v>
      </c>
      <c r="B26" s="7" t="str">
        <f aca="false">IFERROR(INDEX('Source'!$C:$C,MATCH($A26,'Source'!$B:$B,0)),"")</f>
        <v>עקב סיליקון שטוח</v>
      </c>
      <c r="C26" s="8" t="n">
        <f aca="false">SUMIFS('Source'!$D:$D,'Source'!$A:$A,"160226 HEALTH CARE PROD. GMBH",'Source'!$B:$B,$A26)</f>
        <v>100</v>
      </c>
      <c r="D26" s="8" t="n">
        <f aca="false">SUMIFS('Source'!$F:$F,'Source'!$A:$A,"160226 HEALTH CARE PROD. GMBH",'Source'!$B:$B,$A26)</f>
        <v>80</v>
      </c>
      <c r="E26" s="8" t="n">
        <f aca="false">D26*$J$5</f>
        <v>101.052631578947</v>
      </c>
      <c r="F26" s="8" t="n">
        <f aca="false">E26-C26</f>
        <v>1.05263157894737</v>
      </c>
      <c r="G26" s="9" t="n">
        <f aca="false">IF(AND(C26=0,E26=0),0,IF(C26=0,"New",(E26-C26)/C26))</f>
        <v>0.0105263157894737</v>
      </c>
      <c r="H26" s="8" t="n">
        <f aca="false">SUMIFS('Source'!$E:$E,'Source'!$A:$A,"160226 HEALTH CARE PROD. GMBH",'Source'!$B:$B,$A26)</f>
        <v>2618.74</v>
      </c>
      <c r="I26" s="8" t="n">
        <f aca="false">SUMIFS('Source'!$G:$G,'Source'!$A:$A,"160226 HEALTH CARE PROD. GMBH",'Source'!$B:$B,$A26)</f>
        <v>1899.5</v>
      </c>
      <c r="J26" s="8" t="n">
        <f aca="false">I26*$J$5</f>
        <v>2399.36842105263</v>
      </c>
      <c r="K26" s="8" t="n">
        <f aca="false">J26-H26</f>
        <v>-219.371578947369</v>
      </c>
      <c r="L26" s="9" t="n">
        <f aca="false">IF(AND(H26=0,J26=0),0,IF(H26=0,"New",(J26-H26)/H26))</f>
        <v>-0.0837698965713926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280</v>
      </c>
      <c r="B27" s="7" t="str">
        <f aca="false">IFERROR(INDEX('Source'!$C:$C,MATCH($A27,'Source'!$B:$B,0)),"")</f>
        <v>מ.ברך</v>
      </c>
      <c r="C27" s="8" t="n">
        <f aca="false">SUMIFS('Source'!$D:$D,'Source'!$A:$A,"160226 HEALTH CARE PROD. GMBH",'Source'!$B:$B,$A27)</f>
        <v>110</v>
      </c>
      <c r="D27" s="8" t="n">
        <f aca="false">SUMIFS('Source'!$F:$F,'Source'!$A:$A,"160226 HEALTH CARE PROD. GMBH",'Source'!$B:$B,$A27)</f>
        <v>80</v>
      </c>
      <c r="E27" s="8" t="n">
        <f aca="false">D27*$J$5</f>
        <v>101.052631578947</v>
      </c>
      <c r="F27" s="8" t="n">
        <f aca="false">E27-C27</f>
        <v>-8.94736842105263</v>
      </c>
      <c r="G27" s="9" t="n">
        <f aca="false">IF(AND(C27=0,E27=0),0,IF(C27=0,"New",(E27-C27)/C27))</f>
        <v>-0.0813397129186603</v>
      </c>
      <c r="H27" s="8" t="n">
        <f aca="false">SUMIFS('Source'!$E:$E,'Source'!$A:$A,"160226 HEALTH CARE PROD. GMBH",'Source'!$B:$B,$A27)</f>
        <v>2049.75</v>
      </c>
      <c r="I27" s="8" t="n">
        <f aca="false">SUMIFS('Source'!$G:$G,'Source'!$A:$A,"160226 HEALTH CARE PROD. GMBH",'Source'!$B:$B,$A27)</f>
        <v>1431.27</v>
      </c>
      <c r="J27" s="8" t="n">
        <f aca="false">I27*$J$5</f>
        <v>1807.92</v>
      </c>
      <c r="K27" s="8" t="n">
        <f aca="false">J27-H27</f>
        <v>-241.83</v>
      </c>
      <c r="L27" s="9" t="n">
        <f aca="false">IF(AND(H27=0,J27=0),0,IF(H27=0,"New",(J27-H27)/H27))</f>
        <v>-0.117980241492865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377</v>
      </c>
      <c r="B28" s="7" t="str">
        <f aca="false">IFERROR(INDEX('Source'!$C:$C,MATCH($A28,'Source'!$B:$B,0)),"")</f>
        <v>מדבקה מסיליקון ל</v>
      </c>
      <c r="C28" s="8" t="n">
        <f aca="false">SUMIFS('Source'!$D:$D,'Source'!$A:$A,"160226 HEALTH CARE PROD. GMBH",'Source'!$B:$B,$A28)</f>
        <v>30</v>
      </c>
      <c r="D28" s="8" t="n">
        <f aca="false">SUMIFS('Source'!$F:$F,'Source'!$A:$A,"160226 HEALTH CARE PROD. GMBH",'Source'!$B:$B,$A28)</f>
        <v>0</v>
      </c>
      <c r="E28" s="8" t="n">
        <f aca="false">D28*$J$5</f>
        <v>0</v>
      </c>
      <c r="F28" s="8" t="n">
        <f aca="false">E28-C28</f>
        <v>-30</v>
      </c>
      <c r="G28" s="9" t="n">
        <f aca="false">IF(AND(C28=0,E28=0),0,IF(C28=0,"New",(E28-C28)/C28))</f>
        <v>-1</v>
      </c>
      <c r="H28" s="8" t="n">
        <f aca="false">SUMIFS('Source'!$E:$E,'Source'!$A:$A,"160226 HEALTH CARE PROD. GMBH",'Source'!$B:$B,$A28)</f>
        <v>583.99</v>
      </c>
      <c r="I28" s="8" t="n">
        <f aca="false">SUMIFS('Source'!$G:$G,'Source'!$A:$A,"160226 HEALTH CARE PROD. GMBH",'Source'!$B:$B,$A28)</f>
        <v>0</v>
      </c>
      <c r="J28" s="8" t="n">
        <f aca="false">I28*$J$5</f>
        <v>0</v>
      </c>
      <c r="K28" s="8" t="n">
        <f aca="false">J28-H28</f>
        <v>-583.99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945</v>
      </c>
      <c r="B29" s="7" t="str">
        <f aca="false">IFERROR(INDEX('Source'!$C:$C,MATCH($A29,'Source'!$B:$B,0)),"")</f>
        <v>מגן מרפק</v>
      </c>
      <c r="C29" s="8" t="n">
        <f aca="false">SUMIFS('Source'!$D:$D,'Source'!$A:$A,"160226 HEALTH CARE PROD. GMBH",'Source'!$B:$B,$A29)</f>
        <v>20</v>
      </c>
      <c r="D29" s="8" t="n">
        <f aca="false">SUMIFS('Source'!$F:$F,'Source'!$A:$A,"160226 HEALTH CARE PROD. GMBH",'Source'!$B:$B,$A29)</f>
        <v>50</v>
      </c>
      <c r="E29" s="8" t="n">
        <f aca="false">D29*$J$5</f>
        <v>63.1578947368421</v>
      </c>
      <c r="F29" s="8" t="n">
        <f aca="false">E29-C29</f>
        <v>43.1578947368421</v>
      </c>
      <c r="G29" s="9" t="n">
        <f aca="false">IF(AND(C29=0,E29=0),0,IF(C29=0,"New",(E29-C29)/C29))</f>
        <v>2.15789473684211</v>
      </c>
      <c r="H29" s="8" t="n">
        <f aca="false">SUMIFS('Source'!$E:$E,'Source'!$A:$A,"160226 HEALTH CARE PROD. GMBH",'Source'!$B:$B,$A29)</f>
        <v>412.16</v>
      </c>
      <c r="I29" s="8" t="n">
        <f aca="false">SUMIFS('Source'!$G:$G,'Source'!$A:$A,"160226 HEALTH CARE PROD. GMBH",'Source'!$B:$B,$A29)</f>
        <v>981.53</v>
      </c>
      <c r="J29" s="8" t="n">
        <f aca="false">I29*$J$5</f>
        <v>1239.82736842105</v>
      </c>
      <c r="K29" s="8" t="n">
        <f aca="false">J29-H29</f>
        <v>827.667368421053</v>
      </c>
      <c r="L29" s="9" t="n">
        <f aca="false">IF(AND(H29=0,J29=0),0,IF(H29=0,"New",(J29-H29)/H29))</f>
        <v>2.00812152664269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735</v>
      </c>
      <c r="B30" s="7" t="str">
        <f aca="false">IFERROR(INDEX('Source'!$C:$C,MATCH($A30,'Source'!$B:$B,0)),"")</f>
        <v>רפידה בולמת זעזועים</v>
      </c>
      <c r="C30" s="8" t="n">
        <f aca="false">SUMIFS('Source'!$D:$D,'Source'!$A:$A,"160226 HEALTH CARE PROD. GMBH",'Source'!$B:$B,$A30)</f>
        <v>100</v>
      </c>
      <c r="D30" s="8" t="n">
        <f aca="false">SUMIFS('Source'!$F:$F,'Source'!$A:$A,"160226 HEALTH CARE PROD. GMBH",'Source'!$B:$B,$A30)</f>
        <v>50</v>
      </c>
      <c r="E30" s="8" t="n">
        <f aca="false">D30*$J$5</f>
        <v>63.1578947368421</v>
      </c>
      <c r="F30" s="8" t="n">
        <f aca="false">E30-C30</f>
        <v>-36.8421052631579</v>
      </c>
      <c r="G30" s="9" t="n">
        <f aca="false">IF(AND(C30=0,E30=0),0,IF(C30=0,"New",(E30-C30)/C30))</f>
        <v>-0.368421052631579</v>
      </c>
      <c r="H30" s="8" t="n">
        <f aca="false">SUMIFS('Source'!$E:$E,'Source'!$A:$A,"160226 HEALTH CARE PROD. GMBH",'Source'!$B:$B,$A30)</f>
        <v>947.31</v>
      </c>
      <c r="I30" s="8" t="n">
        <f aca="false">SUMIFS('Source'!$G:$G,'Source'!$A:$A,"160226 HEALTH CARE PROD. GMBH",'Source'!$B:$B,$A30)</f>
        <v>409.87</v>
      </c>
      <c r="J30" s="8" t="n">
        <f aca="false">I30*$J$5</f>
        <v>517.73052631579</v>
      </c>
      <c r="K30" s="8" t="n">
        <f aca="false">J30-H30</f>
        <v>-429.579473684211</v>
      </c>
      <c r="L30" s="9" t="n">
        <f aca="false">IF(AND(H30=0,J30=0),0,IF(H30=0,"New",(J30-H30)/H30))</f>
        <v>-0.453472964166124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665</v>
      </c>
      <c r="B31" s="7" t="str">
        <f aca="false">IFERROR(INDEX('Source'!$C:$C,MATCH($A31,'Source'!$B:$B,0)),"")</f>
        <v>ICE &amp; GO</v>
      </c>
      <c r="C31" s="8" t="n">
        <f aca="false">SUMIFS('Source'!$D:$D,'Source'!$A:$A,"160226 HEALTH CARE PROD. GMBH",'Source'!$B:$B,$A31)</f>
        <v>2200</v>
      </c>
      <c r="D31" s="8" t="n">
        <f aca="false">SUMIFS('Source'!$F:$F,'Source'!$A:$A,"160226 HEALTH CARE PROD. GMBH",'Source'!$B:$B,$A31)</f>
        <v>2500</v>
      </c>
      <c r="E31" s="8" t="n">
        <f aca="false">D31*$J$5</f>
        <v>3157.89473684211</v>
      </c>
      <c r="F31" s="8" t="n">
        <f aca="false">E31-C31</f>
        <v>957.894736842105</v>
      </c>
      <c r="G31" s="9" t="n">
        <f aca="false">IF(AND(C31=0,E31=0),0,IF(C31=0,"New",(E31-C31)/C31))</f>
        <v>0.435406698564593</v>
      </c>
      <c r="H31" s="8" t="n">
        <f aca="false">SUMIFS('Source'!$E:$E,'Source'!$A:$A,"160226 HEALTH CARE PROD. GMBH",'Source'!$B:$B,$A31)</f>
        <v>24114.82</v>
      </c>
      <c r="I31" s="8" t="n">
        <f aca="false">SUMIFS('Source'!$G:$G,'Source'!$A:$A,"160226 HEALTH CARE PROD. GMBH",'Source'!$B:$B,$A31)</f>
        <v>24534.97</v>
      </c>
      <c r="J31" s="8" t="n">
        <f aca="false">I31*$J$5</f>
        <v>30991.5410526316</v>
      </c>
      <c r="K31" s="8" t="n">
        <f aca="false">J31-H31</f>
        <v>6876.72105263158</v>
      </c>
      <c r="L31" s="9" t="n">
        <f aca="false">IF(AND(H31=0,J31=0),0,IF(H31=0,"New",(J31-H31)/H31))</f>
        <v>0.285165763320298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251</v>
      </c>
      <c r="B32" s="7" t="str">
        <f aca="false">IFERROR(INDEX('Source'!$C:$C,MATCH($A32,'Source'!$B:$B,0)),"")</f>
        <v>גרביים עם עקב ג'ל</v>
      </c>
      <c r="C32" s="8" t="n">
        <f aca="false">SUMIFS('Source'!$D:$D,'Source'!$A:$A,"160226 HEALTH CARE PROD. GMBH",'Source'!$B:$B,$A32)</f>
        <v>20</v>
      </c>
      <c r="D32" s="8" t="n">
        <f aca="false">SUMIFS('Source'!$F:$F,'Source'!$A:$A,"160226 HEALTH CARE PROD. GMBH",'Source'!$B:$B,$A32)</f>
        <v>0</v>
      </c>
      <c r="E32" s="8" t="n">
        <f aca="false">D32*$J$5</f>
        <v>0</v>
      </c>
      <c r="F32" s="8" t="n">
        <f aca="false">E32-C32</f>
        <v>-20</v>
      </c>
      <c r="G32" s="9" t="n">
        <f aca="false">IF(AND(C32=0,E32=0),0,IF(C32=0,"New",(E32-C32)/C32))</f>
        <v>-1</v>
      </c>
      <c r="H32" s="8" t="n">
        <f aca="false">SUMIFS('Source'!$E:$E,'Source'!$A:$A,"160226 HEALTH CARE PROD. GMBH",'Source'!$B:$B,$A32)</f>
        <v>381.46</v>
      </c>
      <c r="I32" s="8" t="n">
        <f aca="false">SUMIFS('Source'!$G:$G,'Source'!$A:$A,"160226 HEALTH CARE PROD. GMBH",'Source'!$B:$B,$A32)</f>
        <v>0</v>
      </c>
      <c r="J32" s="8" t="n">
        <f aca="false">I32*$J$5</f>
        <v>0</v>
      </c>
      <c r="K32" s="8" t="n">
        <f aca="false">J32-H32</f>
        <v>-381.46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650</v>
      </c>
      <c r="B33" s="7" t="str">
        <f aca="false">IFERROR(INDEX('Source'!$C:$C,MATCH($A33,'Source'!$B:$B,0)),"")</f>
        <v>כ.הפרדת אצבעות ס</v>
      </c>
      <c r="C33" s="8" t="n">
        <f aca="false">SUMIFS('Source'!$D:$D,'Source'!$A:$A,"160226 HEALTH CARE PROD. GMBH",'Source'!$B:$B,$A33)</f>
        <v>240</v>
      </c>
      <c r="D33" s="8" t="n">
        <f aca="false">SUMIFS('Source'!$F:$F,'Source'!$A:$A,"160226 HEALTH CARE PROD. GMBH",'Source'!$B:$B,$A33)</f>
        <v>316</v>
      </c>
      <c r="E33" s="8" t="n">
        <f aca="false">D33*$J$5</f>
        <v>399.157894736842</v>
      </c>
      <c r="F33" s="8" t="n">
        <f aca="false">E33-C33</f>
        <v>159.157894736842</v>
      </c>
      <c r="G33" s="9" t="n">
        <f aca="false">IF(AND(C33=0,E33=0),0,IF(C33=0,"New",(E33-C33)/C33))</f>
        <v>0.663157894736842</v>
      </c>
      <c r="H33" s="8" t="n">
        <f aca="false">SUMIFS('Source'!$E:$E,'Source'!$A:$A,"160226 HEALTH CARE PROD. GMBH",'Source'!$B:$B,$A33)</f>
        <v>1556.89</v>
      </c>
      <c r="I33" s="8" t="n">
        <f aca="false">SUMIFS('Source'!$G:$G,'Source'!$A:$A,"160226 HEALTH CARE PROD. GMBH",'Source'!$B:$B,$A33)</f>
        <v>1907.3</v>
      </c>
      <c r="J33" s="8" t="n">
        <f aca="false">I33*$J$5</f>
        <v>2409.22105263158</v>
      </c>
      <c r="K33" s="8" t="n">
        <f aca="false">J33-H33</f>
        <v>852.331052631579</v>
      </c>
      <c r="L33" s="9" t="n">
        <f aca="false">IF(AND(H33=0,J33=0),0,IF(H33=0,"New",(J33-H33)/H33))</f>
        <v>0.547457464966426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515</v>
      </c>
      <c r="B34" s="7" t="str">
        <f aca="false">IFERROR(INDEX('Source'!$C:$C,MATCH($A34,'Source'!$B:$B,0)),"")</f>
        <v>טבעת אלסטית מסיליקון</v>
      </c>
      <c r="C34" s="8" t="n">
        <f aca="false">SUMIFS('Source'!$D:$D,'Source'!$A:$A,"160226 HEALTH CARE PROD. GMBH",'Source'!$B:$B,$A34)</f>
        <v>40</v>
      </c>
      <c r="D34" s="8" t="n">
        <f aca="false">SUMIFS('Source'!$F:$F,'Source'!$A:$A,"160226 HEALTH CARE PROD. GMBH",'Source'!$B:$B,$A34)</f>
        <v>0</v>
      </c>
      <c r="E34" s="8" t="n">
        <f aca="false">D34*$J$5</f>
        <v>0</v>
      </c>
      <c r="F34" s="8" t="n">
        <f aca="false">E34-C34</f>
        <v>-40</v>
      </c>
      <c r="G34" s="9" t="n">
        <f aca="false">IF(AND(C34=0,E34=0),0,IF(C34=0,"New",(E34-C34)/C34))</f>
        <v>-1</v>
      </c>
      <c r="H34" s="8" t="n">
        <f aca="false">SUMIFS('Source'!$E:$E,'Source'!$A:$A,"160226 HEALTH CARE PROD. GMBH",'Source'!$B:$B,$A34)</f>
        <v>321.82</v>
      </c>
      <c r="I34" s="8" t="n">
        <f aca="false">SUMIFS('Source'!$G:$G,'Source'!$A:$A,"160226 HEALTH CARE PROD. GMBH",'Source'!$B:$B,$A34)</f>
        <v>0</v>
      </c>
      <c r="J34" s="8" t="n">
        <f aca="false">I34*$J$5</f>
        <v>0</v>
      </c>
      <c r="K34" s="8" t="n">
        <f aca="false">J34-H34</f>
        <v>-321.82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516</v>
      </c>
      <c r="B35" s="7" t="str">
        <f aca="false">IFERROR(INDEX('Source'!$C:$C,MATCH($A35,'Source'!$B:$B,0)),"")</f>
        <v>טבעת אלסטית מסי</v>
      </c>
      <c r="C35" s="8" t="n">
        <f aca="false">SUMIFS('Source'!$D:$D,'Source'!$A:$A,"160226 HEALTH CARE PROD. GMBH",'Source'!$B:$B,$A35)</f>
        <v>240</v>
      </c>
      <c r="D35" s="8" t="n">
        <f aca="false">SUMIFS('Source'!$F:$F,'Source'!$A:$A,"160226 HEALTH CARE PROD. GMBH",'Source'!$B:$B,$A35)</f>
        <v>230</v>
      </c>
      <c r="E35" s="8" t="n">
        <f aca="false">D35*$J$5</f>
        <v>290.526315789474</v>
      </c>
      <c r="F35" s="8" t="n">
        <f aca="false">E35-C35</f>
        <v>50.5263157894736</v>
      </c>
      <c r="G35" s="9" t="n">
        <f aca="false">IF(AND(C35=0,E35=0),0,IF(C35=0,"New",(E35-C35)/C35))</f>
        <v>0.210526315789474</v>
      </c>
      <c r="H35" s="8" t="n">
        <f aca="false">SUMIFS('Source'!$E:$E,'Source'!$A:$A,"160226 HEALTH CARE PROD. GMBH",'Source'!$B:$B,$A35)</f>
        <v>1721.44</v>
      </c>
      <c r="I35" s="8" t="n">
        <f aca="false">SUMIFS('Source'!$G:$G,'Source'!$A:$A,"160226 HEALTH CARE PROD. GMBH",'Source'!$B:$B,$A35)</f>
        <v>1474.91</v>
      </c>
      <c r="J35" s="8" t="n">
        <f aca="false">I35*$J$5</f>
        <v>1863.04421052632</v>
      </c>
      <c r="K35" s="8" t="n">
        <f aca="false">J35-H35</f>
        <v>141.604210526316</v>
      </c>
      <c r="L35" s="9" t="n">
        <f aca="false">IF(AND(H35=0,J35=0),0,IF(H35=0,"New",(J35-H35)/H35))</f>
        <v>0.0822591612407727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781</v>
      </c>
      <c r="B36" s="7" t="str">
        <f aca="false">IFERROR(INDEX('Source'!$C:$C,MATCH($A36,'Source'!$B:$B,0)),"")</f>
        <v>פומפיה להסרת עור</v>
      </c>
      <c r="C36" s="8" t="n">
        <f aca="false">SUMIFS('Source'!$D:$D,'Source'!$A:$A,"160226 HEALTH CARE PROD. GMBH",'Source'!$B:$B,$A36)</f>
        <v>90</v>
      </c>
      <c r="D36" s="8" t="n">
        <f aca="false">SUMIFS('Source'!$F:$F,'Source'!$A:$A,"160226 HEALTH CARE PROD. GMBH",'Source'!$B:$B,$A36)</f>
        <v>120</v>
      </c>
      <c r="E36" s="8" t="n">
        <f aca="false">D36*$J$5</f>
        <v>151.578947368421</v>
      </c>
      <c r="F36" s="8" t="n">
        <f aca="false">E36-C36</f>
        <v>61.578947368421</v>
      </c>
      <c r="G36" s="9" t="n">
        <f aca="false">IF(AND(C36=0,E36=0),0,IF(C36=0,"New",(E36-C36)/C36))</f>
        <v>0.684210526315789</v>
      </c>
      <c r="H36" s="8" t="n">
        <f aca="false">SUMIFS('Source'!$E:$E,'Source'!$A:$A,"160226 HEALTH CARE PROD. GMBH",'Source'!$B:$B,$A36)</f>
        <v>1369.04</v>
      </c>
      <c r="I36" s="8" t="n">
        <f aca="false">SUMIFS('Source'!$G:$G,'Source'!$A:$A,"160226 HEALTH CARE PROD. GMBH",'Source'!$B:$B,$A36)</f>
        <v>1612.97</v>
      </c>
      <c r="J36" s="8" t="n">
        <f aca="false">I36*$J$5</f>
        <v>2037.43578947368</v>
      </c>
      <c r="K36" s="8" t="n">
        <f aca="false">J36-H36</f>
        <v>668.395789473684</v>
      </c>
      <c r="L36" s="9" t="n">
        <f aca="false">IF(AND(H36=0,J36=0),0,IF(H36=0,"New",(J36-H36)/H36))</f>
        <v>0.488222250243736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415</v>
      </c>
      <c r="B37" s="7" t="str">
        <f aca="false">IFERROR(INDEX('Source'!$C:$C,MATCH($A37,'Source'!$B:$B,0)),"")</f>
        <v>גרבי נוחות חורף לבן</v>
      </c>
      <c r="C37" s="8" t="n">
        <f aca="false">SUMIFS('Source'!$D:$D,'Source'!$A:$A,"160226 HEALTH CARE PROD. GMBH",'Source'!$B:$B,$A37)</f>
        <v>10</v>
      </c>
      <c r="D37" s="8" t="n">
        <f aca="false">SUMIFS('Source'!$F:$F,'Source'!$A:$A,"160226 HEALTH CARE PROD. GMBH",'Source'!$B:$B,$A37)</f>
        <v>0</v>
      </c>
      <c r="E37" s="8" t="n">
        <f aca="false">D37*$J$5</f>
        <v>0</v>
      </c>
      <c r="F37" s="8" t="n">
        <f aca="false">E37-C37</f>
        <v>-10</v>
      </c>
      <c r="G37" s="9" t="n">
        <f aca="false">IF(AND(C37=0,E37=0),0,IF(C37=0,"New",(E37-C37)/C37))</f>
        <v>-1</v>
      </c>
      <c r="H37" s="8" t="n">
        <f aca="false">SUMIFS('Source'!$E:$E,'Source'!$A:$A,"160226 HEALTH CARE PROD. GMBH",'Source'!$B:$B,$A37)</f>
        <v>232.34</v>
      </c>
      <c r="I37" s="8" t="n">
        <f aca="false">SUMIFS('Source'!$G:$G,'Source'!$A:$A,"160226 HEALTH CARE PROD. GMBH",'Source'!$B:$B,$A37)</f>
        <v>0</v>
      </c>
      <c r="J37" s="8" t="n">
        <f aca="false">I37*$J$5</f>
        <v>0</v>
      </c>
      <c r="K37" s="8" t="n">
        <f aca="false">J37-H37</f>
        <v>-232.34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213</v>
      </c>
      <c r="B38" s="7" t="str">
        <f aca="false">IFERROR(INDEX('Source'!$C:$C,MATCH($A38,'Source'!$B:$B,0)),"")</f>
        <v>סד יד</v>
      </c>
      <c r="C38" s="8" t="n">
        <f aca="false">SUMIFS('Source'!$D:$D,'Source'!$A:$A,"160226 HEALTH CARE PROD. GMBH",'Source'!$B:$B,$A38)</f>
        <v>10</v>
      </c>
      <c r="D38" s="8" t="n">
        <f aca="false">SUMIFS('Source'!$F:$F,'Source'!$A:$A,"160226 HEALTH CARE PROD. GMBH",'Source'!$B:$B,$A38)</f>
        <v>20</v>
      </c>
      <c r="E38" s="8" t="n">
        <f aca="false">D38*$J$5</f>
        <v>25.2631578947368</v>
      </c>
      <c r="F38" s="8" t="n">
        <f aca="false">E38-C38</f>
        <v>15.2631578947368</v>
      </c>
      <c r="G38" s="9" t="n">
        <f aca="false">IF(AND(C38=0,E38=0),0,IF(C38=0,"New",(E38-C38)/C38))</f>
        <v>1.52631578947368</v>
      </c>
      <c r="H38" s="8" t="n">
        <f aca="false">SUMIFS('Source'!$E:$E,'Source'!$A:$A,"160226 HEALTH CARE PROD. GMBH",'Source'!$B:$B,$A38)</f>
        <v>183.25</v>
      </c>
      <c r="I38" s="8" t="n">
        <f aca="false">SUMIFS('Source'!$G:$G,'Source'!$A:$A,"160226 HEALTH CARE PROD. GMBH",'Source'!$B:$B,$A38)</f>
        <v>342.22</v>
      </c>
      <c r="J38" s="8" t="n">
        <f aca="false">I38*$J$5</f>
        <v>432.277894736842</v>
      </c>
      <c r="K38" s="8" t="n">
        <f aca="false">J38-H38</f>
        <v>249.027894736842</v>
      </c>
      <c r="L38" s="9" t="n">
        <f aca="false">IF(AND(H38=0,J38=0),0,IF(H38=0,"New",(J38-H38)/H38))</f>
        <v>1.35895167659941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96</v>
      </c>
      <c r="B39" s="7" t="str">
        <f aca="false">IFERROR(INDEX('Source'!$C:$C,MATCH($A39,'Source'!$B:$B,0)),"")</f>
        <v>סד יד</v>
      </c>
      <c r="C39" s="8" t="n">
        <f aca="false">SUMIFS('Source'!$D:$D,'Source'!$A:$A,"160226 HEALTH CARE PROD. GMBH",'Source'!$B:$B,$A39)</f>
        <v>10</v>
      </c>
      <c r="D39" s="8" t="n">
        <f aca="false">SUMIFS('Source'!$F:$F,'Source'!$A:$A,"160226 HEALTH CARE PROD. GMBH",'Source'!$B:$B,$A39)</f>
        <v>20</v>
      </c>
      <c r="E39" s="8" t="n">
        <f aca="false">D39*$J$5</f>
        <v>25.2631578947368</v>
      </c>
      <c r="F39" s="8" t="n">
        <f aca="false">E39-C39</f>
        <v>15.2631578947368</v>
      </c>
      <c r="G39" s="9" t="n">
        <f aca="false">IF(AND(C39=0,E39=0),0,IF(C39=0,"New",(E39-C39)/C39))</f>
        <v>1.52631578947368</v>
      </c>
      <c r="H39" s="8" t="n">
        <f aca="false">SUMIFS('Source'!$E:$E,'Source'!$A:$A,"160226 HEALTH CARE PROD. GMBH",'Source'!$B:$B,$A39)</f>
        <v>183.25</v>
      </c>
      <c r="I39" s="8" t="n">
        <f aca="false">SUMIFS('Source'!$G:$G,'Source'!$A:$A,"160226 HEALTH CARE PROD. GMBH",'Source'!$B:$B,$A39)</f>
        <v>342.22</v>
      </c>
      <c r="J39" s="8" t="n">
        <f aca="false">I39*$J$5</f>
        <v>432.277894736842</v>
      </c>
      <c r="K39" s="8" t="n">
        <f aca="false">J39-H39</f>
        <v>249.027894736842</v>
      </c>
      <c r="L39" s="9" t="n">
        <f aca="false">IF(AND(H39=0,J39=0),0,IF(H39=0,"New",(J39-H39)/H39))</f>
        <v>1.35895167659941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159</v>
      </c>
      <c r="B40" s="7" t="str">
        <f aca="false">IFERROR(INDEX('Source'!$C:$C,MATCH($A40,'Source'!$B:$B,0)),"")</f>
        <v>כרית מטטרזלי מס</v>
      </c>
      <c r="C40" s="8" t="n">
        <f aca="false">SUMIFS('Source'!$D:$D,'Source'!$A:$A,"160226 HEALTH CARE PROD. GMBH",'Source'!$B:$B,$A40)</f>
        <v>90</v>
      </c>
      <c r="D40" s="8" t="n">
        <f aca="false">SUMIFS('Source'!$F:$F,'Source'!$A:$A,"160226 HEALTH CARE PROD. GMBH",'Source'!$B:$B,$A40)</f>
        <v>100</v>
      </c>
      <c r="E40" s="8" t="n">
        <f aca="false">D40*$J$5</f>
        <v>126.315789473684</v>
      </c>
      <c r="F40" s="8" t="n">
        <f aca="false">E40-C40</f>
        <v>36.3157894736842</v>
      </c>
      <c r="G40" s="9" t="n">
        <f aca="false">IF(AND(C40=0,E40=0),0,IF(C40=0,"New",(E40-C40)/C40))</f>
        <v>0.403508771929825</v>
      </c>
      <c r="H40" s="8" t="n">
        <f aca="false">SUMIFS('Source'!$E:$E,'Source'!$A:$A,"160226 HEALTH CARE PROD. GMBH",'Source'!$B:$B,$A40)</f>
        <v>1435.63</v>
      </c>
      <c r="I40" s="8" t="n">
        <f aca="false">SUMIFS('Source'!$G:$G,'Source'!$A:$A,"160226 HEALTH CARE PROD. GMBH",'Source'!$B:$B,$A40)</f>
        <v>1365.6</v>
      </c>
      <c r="J40" s="8" t="n">
        <f aca="false">I40*$J$5</f>
        <v>1724.96842105263</v>
      </c>
      <c r="K40" s="8" t="n">
        <f aca="false">J40-H40</f>
        <v>289.338421052631</v>
      </c>
      <c r="L40" s="9" t="n">
        <f aca="false">IF(AND(H40=0,J40=0),0,IF(H40=0,"New",(J40-H40)/H40))</f>
        <v>0.201541080259281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517</v>
      </c>
      <c r="B41" s="7" t="str">
        <f aca="false">IFERROR(INDEX('Source'!$C:$C,MATCH($A41,'Source'!$B:$B,0)),"")</f>
        <v>סד לילה לבוהן</v>
      </c>
      <c r="C41" s="8" t="n">
        <f aca="false">SUMIFS('Source'!$D:$D,'Source'!$A:$A,"160226 HEALTH CARE PROD. GMBH",'Source'!$B:$B,$A41)</f>
        <v>30</v>
      </c>
      <c r="D41" s="8" t="n">
        <f aca="false">SUMIFS('Source'!$F:$F,'Source'!$A:$A,"160226 HEALTH CARE PROD. GMBH",'Source'!$B:$B,$A41)</f>
        <v>30</v>
      </c>
      <c r="E41" s="8" t="n">
        <f aca="false">D41*$J$5</f>
        <v>37.8947368421053</v>
      </c>
      <c r="F41" s="8" t="n">
        <f aca="false">E41-C41</f>
        <v>7.89473684210526</v>
      </c>
      <c r="G41" s="9" t="n">
        <f aca="false">IF(AND(C41=0,E41=0),0,IF(C41=0,"New",(E41-C41)/C41))</f>
        <v>0.263157894736842</v>
      </c>
      <c r="H41" s="8" t="n">
        <f aca="false">SUMIFS('Source'!$E:$E,'Source'!$A:$A,"160226 HEALTH CARE PROD. GMBH",'Source'!$B:$B,$A41)</f>
        <v>1059.18</v>
      </c>
      <c r="I41" s="8" t="n">
        <f aca="false">SUMIFS('Source'!$G:$G,'Source'!$A:$A,"160226 HEALTH CARE PROD. GMBH",'Source'!$B:$B,$A41)</f>
        <v>1002.17</v>
      </c>
      <c r="J41" s="8" t="n">
        <f aca="false">I41*$J$5</f>
        <v>1265.89894736842</v>
      </c>
      <c r="K41" s="8" t="n">
        <f aca="false">J41-H41</f>
        <v>206.718947368421</v>
      </c>
      <c r="L41" s="9" t="n">
        <f aca="false">IF(AND(H41=0,J41=0),0,IF(H41=0,"New",(J41-H41)/H41))</f>
        <v>0.195168854555808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305</v>
      </c>
      <c r="B42" s="7" t="str">
        <f aca="false">IFERROR(INDEX('Source'!$C:$C,MATCH($A42,'Source'!$B:$B,0)),"")</f>
        <v>חגורת בטן קלה</v>
      </c>
      <c r="C42" s="8" t="n">
        <f aca="false">SUMIFS('Source'!$D:$D,'Source'!$A:$A,"160226 HEALTH CARE PROD. GMBH",'Source'!$B:$B,$A42)</f>
        <v>7</v>
      </c>
      <c r="D42" s="8" t="n">
        <f aca="false">SUMIFS('Source'!$F:$F,'Source'!$A:$A,"160226 HEALTH CARE PROD. GMBH",'Source'!$B:$B,$A42)</f>
        <v>6</v>
      </c>
      <c r="E42" s="8" t="n">
        <f aca="false">D42*$J$5</f>
        <v>7.57894736842105</v>
      </c>
      <c r="F42" s="8" t="n">
        <f aca="false">E42-C42</f>
        <v>0.578947368421052</v>
      </c>
      <c r="G42" s="9" t="n">
        <f aca="false">IF(AND(C42=0,E42=0),0,IF(C42=0,"New",(E42-C42)/C42))</f>
        <v>0.0827067669172932</v>
      </c>
      <c r="H42" s="8" t="n">
        <f aca="false">SUMIFS('Source'!$E:$E,'Source'!$A:$A,"160226 HEALTH CARE PROD. GMBH",'Source'!$B:$B,$A42)</f>
        <v>186.01</v>
      </c>
      <c r="I42" s="8" t="n">
        <f aca="false">SUMIFS('Source'!$G:$G,'Source'!$A:$A,"160226 HEALTH CARE PROD. GMBH",'Source'!$B:$B,$A42)</f>
        <v>154.54</v>
      </c>
      <c r="J42" s="8" t="n">
        <f aca="false">I42*$J$5</f>
        <v>195.208421052632</v>
      </c>
      <c r="K42" s="8" t="n">
        <f aca="false">J42-H42</f>
        <v>9.19842105263155</v>
      </c>
      <c r="L42" s="9" t="n">
        <f aca="false">IF(AND(H42=0,J42=0),0,IF(H42=0,"New",(J42-H42)/H42))</f>
        <v>0.0494512179594191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583</v>
      </c>
      <c r="B43" s="7" t="str">
        <f aca="false">IFERROR(INDEX('Source'!$C:$C,MATCH($A43,'Source'!$B:$B,0)),"")</f>
        <v>גרבי חורף אנטיבקטריאלי לבן</v>
      </c>
      <c r="C43" s="8" t="n">
        <f aca="false">SUMIFS('Source'!$D:$D,'Source'!$A:$A,"160226 HEALTH CARE PROD. GMBH",'Source'!$B:$B,$A43)</f>
        <v>1</v>
      </c>
      <c r="D43" s="8" t="n">
        <f aca="false">SUMIFS('Source'!$F:$F,'Source'!$A:$A,"160226 HEALTH CARE PROD. GMBH",'Source'!$B:$B,$A43)</f>
        <v>0</v>
      </c>
      <c r="E43" s="8" t="n">
        <f aca="false">D43*$J$5</f>
        <v>0</v>
      </c>
      <c r="F43" s="8" t="n">
        <f aca="false">E43-C43</f>
        <v>-1</v>
      </c>
      <c r="G43" s="9" t="n">
        <f aca="false">IF(AND(C43=0,E43=0),0,IF(C43=0,"New",(E43-C43)/C43))</f>
        <v>-1</v>
      </c>
      <c r="H43" s="8" t="n">
        <f aca="false">SUMIFS('Source'!$E:$E,'Source'!$A:$A,"160226 HEALTH CARE PROD. GMBH",'Source'!$B:$B,$A43)</f>
        <v>0.04</v>
      </c>
      <c r="I43" s="8" t="n">
        <f aca="false">SUMIFS('Source'!$G:$G,'Source'!$A:$A,"160226 HEALTH CARE PROD. GMBH",'Source'!$B:$B,$A43)</f>
        <v>0</v>
      </c>
      <c r="J43" s="8" t="n">
        <f aca="false">I43*$J$5</f>
        <v>0</v>
      </c>
      <c r="K43" s="8" t="n">
        <f aca="false">J43-H43</f>
        <v>-0.04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106</v>
      </c>
      <c r="B44" s="7" t="str">
        <f aca="false">IFERROR(INDEX('Source'!$C:$C,MATCH($A44,'Source'!$B:$B,0)),"")</f>
        <v>גרבי נסיעות אנטיבקטריאלי</v>
      </c>
      <c r="C44" s="8" t="n">
        <f aca="false">SUMIFS('Source'!$D:$D,'Source'!$A:$A,"160226 HEALTH CARE PROD. GMBH",'Source'!$B:$B,$A44)</f>
        <v>1</v>
      </c>
      <c r="D44" s="8" t="n">
        <f aca="false">SUMIFS('Source'!$F:$F,'Source'!$A:$A,"160226 HEALTH CARE PROD. GMBH",'Source'!$B:$B,$A44)</f>
        <v>0</v>
      </c>
      <c r="E44" s="8" t="n">
        <f aca="false">D44*$J$5</f>
        <v>0</v>
      </c>
      <c r="F44" s="8" t="n">
        <f aca="false">E44-C44</f>
        <v>-1</v>
      </c>
      <c r="G44" s="9" t="n">
        <f aca="false">IF(AND(C44=0,E44=0),0,IF(C44=0,"New",(E44-C44)/C44))</f>
        <v>-1</v>
      </c>
      <c r="H44" s="8" t="n">
        <f aca="false">SUMIFS('Source'!$E:$E,'Source'!$A:$A,"160226 HEALTH CARE PROD. GMBH",'Source'!$B:$B,$A44)</f>
        <v>0.04</v>
      </c>
      <c r="I44" s="8" t="n">
        <f aca="false">SUMIFS('Source'!$G:$G,'Source'!$A:$A,"160226 HEALTH CARE PROD. GMBH",'Source'!$B:$B,$A44)</f>
        <v>0</v>
      </c>
      <c r="J44" s="8" t="n">
        <f aca="false">I44*$J$5</f>
        <v>0</v>
      </c>
      <c r="K44" s="8" t="n">
        <f aca="false">J44-H44</f>
        <v>-0.04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299</v>
      </c>
      <c r="B45" s="7" t="str">
        <f aca="false">IFERROR(INDEX('Source'!$C:$C,MATCH($A45,'Source'!$B:$B,0)),"")</f>
        <v>גרבי קיץ אנטיבקטריאלי שחור</v>
      </c>
      <c r="C45" s="8" t="n">
        <f aca="false">SUMIFS('Source'!$D:$D,'Source'!$A:$A,"160226 HEALTH CARE PROD. GMBH",'Source'!$B:$B,$A45)</f>
        <v>1</v>
      </c>
      <c r="D45" s="8" t="n">
        <f aca="false">SUMIFS('Source'!$F:$F,'Source'!$A:$A,"160226 HEALTH CARE PROD. GMBH",'Source'!$B:$B,$A45)</f>
        <v>0</v>
      </c>
      <c r="E45" s="8" t="n">
        <f aca="false">D45*$J$5</f>
        <v>0</v>
      </c>
      <c r="F45" s="8" t="n">
        <f aca="false">E45-C45</f>
        <v>-1</v>
      </c>
      <c r="G45" s="9" t="n">
        <f aca="false">IF(AND(C45=0,E45=0),0,IF(C45=0,"New",(E45-C45)/C45))</f>
        <v>-1</v>
      </c>
      <c r="H45" s="8" t="n">
        <f aca="false">SUMIFS('Source'!$E:$E,'Source'!$A:$A,"160226 HEALTH CARE PROD. GMBH",'Source'!$B:$B,$A45)</f>
        <v>0.04</v>
      </c>
      <c r="I45" s="8" t="n">
        <f aca="false">SUMIFS('Source'!$G:$G,'Source'!$A:$A,"160226 HEALTH CARE PROD. GMBH",'Source'!$B:$B,$A45)</f>
        <v>0</v>
      </c>
      <c r="J45" s="8" t="n">
        <f aca="false">I45*$J$5</f>
        <v>0</v>
      </c>
      <c r="K45" s="8" t="n">
        <f aca="false">J45-H45</f>
        <v>-0.04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7" customFormat="false" ht="15" hidden="false" customHeight="false" outlineLevel="0" collapsed="false">
      <c r="A47" s="17"/>
      <c r="B47" s="18" t="s">
        <v>97</v>
      </c>
      <c r="C47" s="19" t="n">
        <f aca="false">SUM(C9:C45)</f>
        <v>12986</v>
      </c>
      <c r="D47" s="19" t="n">
        <f aca="false">SUM(D9:D45)</f>
        <v>12906</v>
      </c>
      <c r="E47" s="19" t="n">
        <f aca="false">SUM(E9:E45)</f>
        <v>16302.3157894737</v>
      </c>
      <c r="F47" s="19" t="n">
        <f aca="false">SUM(F9:F45)</f>
        <v>3316.31578947368</v>
      </c>
      <c r="G47" s="20" t="n">
        <f aca="false">IF(C47=0,"N/A",F47/C47)</f>
        <v>0.255376235135814</v>
      </c>
      <c r="H47" s="19" t="n">
        <f aca="false">SUM(H9:H45)</f>
        <v>122339</v>
      </c>
      <c r="I47" s="19" t="n">
        <f aca="false">SUM(I9:I45)</f>
        <v>96129.82</v>
      </c>
      <c r="J47" s="19" t="n">
        <f aca="false">SUM(J9:J45)</f>
        <v>121427.141052632</v>
      </c>
      <c r="K47" s="19" t="n">
        <f aca="false">SUM(K9:K45)</f>
        <v>-911.858947368425</v>
      </c>
      <c r="L47" s="20" t="n">
        <f aca="false">IF(H47=0,"N/A",K47/H47)</f>
        <v>-0.0074535425936817</v>
      </c>
      <c r="M47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984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985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SUMPRODUCT(--(((C9:C253&lt;&gt;0)+(H9:H253&lt;&gt;0)&gt;0)*((D9:D253=0)*(I9:I253=0))))</f>
        <v>91</v>
      </c>
      <c r="C5" s="13" t="s">
        <v>47</v>
      </c>
      <c r="D5" s="14" t="n">
        <f aca="false">SUMPRODUCT(--(((D9:D253&lt;&gt;0)+(I9:I253&lt;&gt;0)&gt;0)*((C9:C253=0)*(H9:H253=0))))</f>
        <v>68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SUMPRODUCT(--(((C9:C253&lt;&gt;0)+(H9:H253&lt;&gt;0)&gt;0)*((D9:D253=0)*(I9:I253=0)))*C9:C253)</f>
        <v>1696</v>
      </c>
      <c r="C6" s="13" t="s">
        <v>50</v>
      </c>
      <c r="D6" s="14" t="n">
        <f aca="false">SUMPRODUCT(--(((C9:C253&lt;&gt;0)+(H9:H253&lt;&gt;0)&gt;0)*((D9:D253=0)*(I9:I253=0)))*H9:H253)</f>
        <v>47367.29</v>
      </c>
      <c r="E6" s="13" t="s">
        <v>51</v>
      </c>
      <c r="F6" s="14" t="n">
        <f aca="false">SUMPRODUCT(--(((D9:D253&lt;&gt;0)+(I9:I253&lt;&gt;0)&gt;0)*((C9:C253=0)*(H9:H253=0)))*D9:D253)</f>
        <v>754</v>
      </c>
      <c r="G6" s="13" t="s">
        <v>52</v>
      </c>
      <c r="H6" s="14" t="n">
        <f aca="false">SUMPRODUCT(--(((D9:D253&lt;&gt;0)+(I9:I253&lt;&gt;0)&gt;0)*((C9:C253=0)*(H9:H253=0)))*I9:I253)</f>
        <v>27727.77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172</v>
      </c>
      <c r="B9" s="7" t="str">
        <f aca="false">IFERROR(INDEX('Source'!$C:$C,MATCH($A9,'Source'!$B:$B,0)),"")</f>
        <v>מדרסי ג'ל וורק</v>
      </c>
      <c r="C9" s="8" t="n">
        <f aca="false">SUMIFS('Source'!$D:$D,'Source'!$A:$A,"160150 MAX KONNARIS LTD",'Source'!$B:$B,$A9)</f>
        <v>83</v>
      </c>
      <c r="D9" s="8" t="n">
        <f aca="false">SUMIFS('Source'!$F:$F,'Source'!$A:$A,"160150 MAX KONNARIS LTD",'Source'!$B:$B,$A9)</f>
        <v>0</v>
      </c>
      <c r="E9" s="8" t="n">
        <f aca="false">D9*$J$5</f>
        <v>0</v>
      </c>
      <c r="F9" s="8" t="n">
        <f aca="false">E9-C9</f>
        <v>-83</v>
      </c>
      <c r="G9" s="9" t="n">
        <f aca="false">IF(AND(C9=0,E9=0),0,IF(C9=0,"New",(E9-C9)/C9))</f>
        <v>-1</v>
      </c>
      <c r="H9" s="8" t="n">
        <f aca="false">SUMIFS('Source'!$E:$E,'Source'!$A:$A,"160150 MAX KONNARIS LTD",'Source'!$B:$B,$A9)</f>
        <v>3823.33</v>
      </c>
      <c r="I9" s="8" t="n">
        <f aca="false">SUMIFS('Source'!$G:$G,'Source'!$A:$A,"160150 MAX KONNARIS LTD",'Source'!$B:$B,$A9)</f>
        <v>0</v>
      </c>
      <c r="J9" s="8" t="n">
        <f aca="false">I9*$J$5</f>
        <v>0</v>
      </c>
      <c r="K9" s="8" t="n">
        <f aca="false">J9-H9</f>
        <v>-3823.33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250</v>
      </c>
      <c r="B10" s="7" t="str">
        <f aca="false">IFERROR(INDEX('Source'!$C:$C,MATCH($A10,'Source'!$B:$B,0)),"")</f>
        <v>מדרסי ג'ל וורק</v>
      </c>
      <c r="C10" s="8" t="n">
        <f aca="false">SUMIFS('Source'!$D:$D,'Source'!$A:$A,"160150 MAX KONNARIS LTD",'Source'!$B:$B,$A10)</f>
        <v>65</v>
      </c>
      <c r="D10" s="8" t="n">
        <f aca="false">SUMIFS('Source'!$F:$F,'Source'!$A:$A,"160150 MAX KONNARIS LTD",'Source'!$B:$B,$A10)</f>
        <v>0</v>
      </c>
      <c r="E10" s="8" t="n">
        <f aca="false">D10*$J$5</f>
        <v>0</v>
      </c>
      <c r="F10" s="8" t="n">
        <f aca="false">E10-C10</f>
        <v>-65</v>
      </c>
      <c r="G10" s="9" t="n">
        <f aca="false">IF(AND(C10=0,E10=0),0,IF(C10=0,"New",(E10-C10)/C10))</f>
        <v>-1</v>
      </c>
      <c r="H10" s="8" t="n">
        <f aca="false">SUMIFS('Source'!$E:$E,'Source'!$A:$A,"160150 MAX KONNARIS LTD",'Source'!$B:$B,$A10)</f>
        <v>2987.6</v>
      </c>
      <c r="I10" s="8" t="n">
        <f aca="false">SUMIFS('Source'!$G:$G,'Source'!$A:$A,"160150 MAX KONNARIS LTD",'Source'!$B:$B,$A10)</f>
        <v>0</v>
      </c>
      <c r="J10" s="8" t="n">
        <f aca="false">I10*$J$5</f>
        <v>0</v>
      </c>
      <c r="K10" s="8" t="n">
        <f aca="false">J10-H10</f>
        <v>-2987.6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191</v>
      </c>
      <c r="B11" s="7" t="str">
        <f aca="false">IFERROR(INDEX('Source'!$C:$C,MATCH($A11,'Source'!$B:$B,0)),"")</f>
        <v>מדרסי ג'ל קומפורט</v>
      </c>
      <c r="C11" s="8" t="n">
        <f aca="false">SUMIFS('Source'!$D:$D,'Source'!$A:$A,"160150 MAX KONNARIS LTD",'Source'!$B:$B,$A11)</f>
        <v>64</v>
      </c>
      <c r="D11" s="8" t="n">
        <f aca="false">SUMIFS('Source'!$F:$F,'Source'!$A:$A,"160150 MAX KONNARIS LTD",'Source'!$B:$B,$A11)</f>
        <v>0</v>
      </c>
      <c r="E11" s="8" t="n">
        <f aca="false">D11*$J$5</f>
        <v>0</v>
      </c>
      <c r="F11" s="8" t="n">
        <f aca="false">E11-C11</f>
        <v>-64</v>
      </c>
      <c r="G11" s="9" t="n">
        <f aca="false">IF(AND(C11=0,E11=0),0,IF(C11=0,"New",(E11-C11)/C11))</f>
        <v>-1</v>
      </c>
      <c r="H11" s="8" t="n">
        <f aca="false">SUMIFS('Source'!$E:$E,'Source'!$A:$A,"160150 MAX KONNARIS LTD",'Source'!$B:$B,$A11)</f>
        <v>2987.56</v>
      </c>
      <c r="I11" s="8" t="n">
        <f aca="false">SUMIFS('Source'!$G:$G,'Source'!$A:$A,"160150 MAX KONNARIS LTD",'Source'!$B:$B,$A11)</f>
        <v>0</v>
      </c>
      <c r="J11" s="8" t="n">
        <f aca="false">I11*$J$5</f>
        <v>0</v>
      </c>
      <c r="K11" s="8" t="n">
        <f aca="false">J11-H11</f>
        <v>-2987.56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230</v>
      </c>
      <c r="B12" s="7" t="str">
        <f aca="false">IFERROR(INDEX('Source'!$C:$C,MATCH($A12,'Source'!$B:$B,0)),"")</f>
        <v>מדרסי ג'ל מולטי ספורט</v>
      </c>
      <c r="C12" s="8" t="n">
        <f aca="false">SUMIFS('Source'!$D:$D,'Source'!$A:$A,"160150 MAX KONNARIS LTD",'Source'!$B:$B,$A12)</f>
        <v>54</v>
      </c>
      <c r="D12" s="8" t="n">
        <f aca="false">SUMIFS('Source'!$F:$F,'Source'!$A:$A,"160150 MAX KONNARIS LTD",'Source'!$B:$B,$A12)</f>
        <v>0</v>
      </c>
      <c r="E12" s="8" t="n">
        <f aca="false">D12*$J$5</f>
        <v>0</v>
      </c>
      <c r="F12" s="8" t="n">
        <f aca="false">E12-C12</f>
        <v>-54</v>
      </c>
      <c r="G12" s="9" t="n">
        <f aca="false">IF(AND(C12=0,E12=0),0,IF(C12=0,"New",(E12-C12)/C12))</f>
        <v>-1</v>
      </c>
      <c r="H12" s="8" t="n">
        <f aca="false">SUMIFS('Source'!$E:$E,'Source'!$A:$A,"160150 MAX KONNARIS LTD",'Source'!$B:$B,$A12)</f>
        <v>2541.16</v>
      </c>
      <c r="I12" s="8" t="n">
        <f aca="false">SUMIFS('Source'!$G:$G,'Source'!$A:$A,"160150 MAX KONNARIS LTD",'Source'!$B:$B,$A12)</f>
        <v>0</v>
      </c>
      <c r="J12" s="8" t="n">
        <f aca="false">I12*$J$5</f>
        <v>0</v>
      </c>
      <c r="K12" s="8" t="n">
        <f aca="false">J12-H12</f>
        <v>-2541.16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154</v>
      </c>
      <c r="B13" s="7" t="str">
        <f aca="false">IFERROR(INDEX('Source'!$C:$C,MATCH($A13,'Source'!$B:$B,0)),"")</f>
        <v>חבק טניס שחור</v>
      </c>
      <c r="C13" s="8" t="n">
        <f aca="false">SUMIFS('Source'!$D:$D,'Source'!$A:$A,"160150 MAX KONNARIS LTD",'Source'!$B:$B,$A13)</f>
        <v>45</v>
      </c>
      <c r="D13" s="8" t="n">
        <f aca="false">SUMIFS('Source'!$F:$F,'Source'!$A:$A,"160150 MAX KONNARIS LTD",'Source'!$B:$B,$A13)</f>
        <v>0</v>
      </c>
      <c r="E13" s="8" t="n">
        <f aca="false">D13*$J$5</f>
        <v>0</v>
      </c>
      <c r="F13" s="8" t="n">
        <f aca="false">E13-C13</f>
        <v>-45</v>
      </c>
      <c r="G13" s="9" t="n">
        <f aca="false">IF(AND(C13=0,E13=0),0,IF(C13=0,"New",(E13-C13)/C13))</f>
        <v>-1</v>
      </c>
      <c r="H13" s="8" t="n">
        <f aca="false">SUMIFS('Source'!$E:$E,'Source'!$A:$A,"160150 MAX KONNARIS LTD",'Source'!$B:$B,$A13)</f>
        <v>2127.83</v>
      </c>
      <c r="I13" s="8" t="n">
        <f aca="false">SUMIFS('Source'!$G:$G,'Source'!$A:$A,"160150 MAX KONNARIS LTD",'Source'!$B:$B,$A13)</f>
        <v>0</v>
      </c>
      <c r="J13" s="8" t="n">
        <f aca="false">I13*$J$5</f>
        <v>0</v>
      </c>
      <c r="K13" s="8" t="n">
        <f aca="false">J13-H13</f>
        <v>-2127.83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328</v>
      </c>
      <c r="B14" s="7" t="str">
        <f aca="false">IFERROR(INDEX('Source'!$C:$C,MATCH($A14,'Source'!$B:$B,0)),"")</f>
        <v>מדרסי ג'ל מולטי ספורט</v>
      </c>
      <c r="C14" s="8" t="n">
        <f aca="false">SUMIFS('Source'!$D:$D,'Source'!$A:$A,"160150 MAX KONNARIS LTD",'Source'!$B:$B,$A14)</f>
        <v>44</v>
      </c>
      <c r="D14" s="8" t="n">
        <f aca="false">SUMIFS('Source'!$F:$F,'Source'!$A:$A,"160150 MAX KONNARIS LTD",'Source'!$B:$B,$A14)</f>
        <v>0</v>
      </c>
      <c r="E14" s="8" t="n">
        <f aca="false">D14*$J$5</f>
        <v>0</v>
      </c>
      <c r="F14" s="8" t="n">
        <f aca="false">E14-C14</f>
        <v>-44</v>
      </c>
      <c r="G14" s="9" t="n">
        <f aca="false">IF(AND(C14=0,E14=0),0,IF(C14=0,"New",(E14-C14)/C14))</f>
        <v>-1</v>
      </c>
      <c r="H14" s="8" t="n">
        <f aca="false">SUMIFS('Source'!$E:$E,'Source'!$A:$A,"160150 MAX KONNARIS LTD",'Source'!$B:$B,$A14)</f>
        <v>2094.75</v>
      </c>
      <c r="I14" s="8" t="n">
        <f aca="false">SUMIFS('Source'!$G:$G,'Source'!$A:$A,"160150 MAX KONNARIS LTD",'Source'!$B:$B,$A14)</f>
        <v>0</v>
      </c>
      <c r="J14" s="8" t="n">
        <f aca="false">I14*$J$5</f>
        <v>0</v>
      </c>
      <c r="K14" s="8" t="n">
        <f aca="false">J14-H14</f>
        <v>-2094.75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306</v>
      </c>
      <c r="B15" s="7" t="str">
        <f aca="false">IFERROR(INDEX('Source'!$C:$C,MATCH($A15,'Source'!$B:$B,0)),"")</f>
        <v>מדרסי ג'ל קומפורט</v>
      </c>
      <c r="C15" s="8" t="n">
        <f aca="false">SUMIFS('Source'!$D:$D,'Source'!$A:$A,"160150 MAX KONNARIS LTD",'Source'!$B:$B,$A15)</f>
        <v>44</v>
      </c>
      <c r="D15" s="8" t="n">
        <f aca="false">SUMIFS('Source'!$F:$F,'Source'!$A:$A,"160150 MAX KONNARIS LTD",'Source'!$B:$B,$A15)</f>
        <v>0</v>
      </c>
      <c r="E15" s="8" t="n">
        <f aca="false">D15*$J$5</f>
        <v>0</v>
      </c>
      <c r="F15" s="8" t="n">
        <f aca="false">E15-C15</f>
        <v>-44</v>
      </c>
      <c r="G15" s="9" t="n">
        <f aca="false">IF(AND(C15=0,E15=0),0,IF(C15=0,"New",(E15-C15)/C15))</f>
        <v>-1</v>
      </c>
      <c r="H15" s="8" t="n">
        <f aca="false">SUMIFS('Source'!$E:$E,'Source'!$A:$A,"160150 MAX KONNARIS LTD",'Source'!$B:$B,$A15)</f>
        <v>2094.75</v>
      </c>
      <c r="I15" s="8" t="n">
        <f aca="false">SUMIFS('Source'!$G:$G,'Source'!$A:$A,"160150 MAX KONNARIS LTD",'Source'!$B:$B,$A15)</f>
        <v>0</v>
      </c>
      <c r="J15" s="8" t="n">
        <f aca="false">I15*$J$5</f>
        <v>0</v>
      </c>
      <c r="K15" s="8" t="n">
        <f aca="false">J15-H15</f>
        <v>-2094.75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495</v>
      </c>
      <c r="B16" s="7" t="str">
        <f aca="false">IFERROR(INDEX('Source'!$C:$C,MATCH($A16,'Source'!$B:$B,0)),"")</f>
        <v>מדרסי ג'ל וורק</v>
      </c>
      <c r="C16" s="8" t="n">
        <f aca="false">SUMIFS('Source'!$D:$D,'Source'!$A:$A,"160150 MAX KONNARIS LTD",'Source'!$B:$B,$A16)</f>
        <v>44</v>
      </c>
      <c r="D16" s="8" t="n">
        <f aca="false">SUMIFS('Source'!$F:$F,'Source'!$A:$A,"160150 MAX KONNARIS LTD",'Source'!$B:$B,$A16)</f>
        <v>0</v>
      </c>
      <c r="E16" s="8" t="n">
        <f aca="false">D16*$J$5</f>
        <v>0</v>
      </c>
      <c r="F16" s="8" t="n">
        <f aca="false">E16-C16</f>
        <v>-44</v>
      </c>
      <c r="G16" s="9" t="n">
        <f aca="false">IF(AND(C16=0,E16=0),0,IF(C16=0,"New",(E16-C16)/C16))</f>
        <v>-1</v>
      </c>
      <c r="H16" s="8" t="n">
        <f aca="false">SUMIFS('Source'!$E:$E,'Source'!$A:$A,"160150 MAX KONNARIS LTD",'Source'!$B:$B,$A16)</f>
        <v>2083.48</v>
      </c>
      <c r="I16" s="8" t="n">
        <f aca="false">SUMIFS('Source'!$G:$G,'Source'!$A:$A,"160150 MAX KONNARIS LTD",'Source'!$B:$B,$A16)</f>
        <v>0</v>
      </c>
      <c r="J16" s="8" t="n">
        <f aca="false">I16*$J$5</f>
        <v>0</v>
      </c>
      <c r="K16" s="8" t="n">
        <f aca="false">J16-H16</f>
        <v>-2083.48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122</v>
      </c>
      <c r="B17" s="7" t="str">
        <f aca="false">IFERROR(INDEX('Source'!$C:$C,MATCH($A17,'Source'!$B:$B,0)),"")</f>
        <v>תומך ברך גנושילד</v>
      </c>
      <c r="C17" s="8" t="n">
        <f aca="false">SUMIFS('Source'!$D:$D,'Source'!$A:$A,"160150 MAX KONNARIS LTD",'Source'!$B:$B,$A17)</f>
        <v>0</v>
      </c>
      <c r="D17" s="8" t="n">
        <f aca="false">SUMIFS('Source'!$F:$F,'Source'!$A:$A,"160150 MAX KONNARIS LTD",'Source'!$B:$B,$A17)</f>
        <v>20</v>
      </c>
      <c r="E17" s="8" t="n">
        <f aca="false">D17*$J$5</f>
        <v>25.2631578947368</v>
      </c>
      <c r="F17" s="8" t="n">
        <f aca="false">E17-C17</f>
        <v>25.2631578947368</v>
      </c>
      <c r="G17" s="9" t="str">
        <f aca="false">IF(AND(C17=0,E17=0),0,IF(C17=0,"New",(E17-C17)/C17))</f>
        <v>New</v>
      </c>
      <c r="H17" s="8" t="n">
        <f aca="false">SUMIFS('Source'!$E:$E,'Source'!$A:$A,"160150 MAX KONNARIS LTD",'Source'!$B:$B,$A17)</f>
        <v>0</v>
      </c>
      <c r="I17" s="8" t="n">
        <f aca="false">SUMIFS('Source'!$G:$G,'Source'!$A:$A,"160150 MAX KONNARIS LTD",'Source'!$B:$B,$A17)</f>
        <v>1969.37</v>
      </c>
      <c r="J17" s="8" t="n">
        <f aca="false">I17*$J$5</f>
        <v>2487.62526315789</v>
      </c>
      <c r="K17" s="8" t="n">
        <f aca="false">J17-H17</f>
        <v>2487.62526315789</v>
      </c>
      <c r="L17" s="9" t="str">
        <f aca="false">IF(AND(H17=0,J17=0),0,IF(H17=0,"New",(J17-H17)/H17))</f>
        <v>New</v>
      </c>
      <c r="M17" s="7" t="str">
        <f aca="false">IF(AND(OR(C17&lt;&gt;0,H17&lt;&gt;0),D17=0,I17=0),"DROP",IF(AND(OR(D17&lt;&gt;0,I17&lt;&gt;0),C17=0,H17=0),"NEW",""))</f>
        <v>NEW</v>
      </c>
    </row>
    <row r="18" customFormat="false" ht="15" hidden="false" customHeight="false" outlineLevel="0" collapsed="false">
      <c r="A18" s="7" t="s">
        <v>128</v>
      </c>
      <c r="B18" s="7" t="str">
        <f aca="false">IFERROR(INDEX('Source'!$C:$C,MATCH($A18,'Source'!$B:$B,0)),"")</f>
        <v>תומך ברך גנושילד</v>
      </c>
      <c r="C18" s="8" t="n">
        <f aca="false">SUMIFS('Source'!$D:$D,'Source'!$A:$A,"160150 MAX KONNARIS LTD",'Source'!$B:$B,$A18)</f>
        <v>0</v>
      </c>
      <c r="D18" s="8" t="n">
        <f aca="false">SUMIFS('Source'!$F:$F,'Source'!$A:$A,"160150 MAX KONNARIS LTD",'Source'!$B:$B,$A18)</f>
        <v>20</v>
      </c>
      <c r="E18" s="8" t="n">
        <f aca="false">D18*$J$5</f>
        <v>25.2631578947368</v>
      </c>
      <c r="F18" s="8" t="n">
        <f aca="false">E18-C18</f>
        <v>25.2631578947368</v>
      </c>
      <c r="G18" s="9" t="str">
        <f aca="false">IF(AND(C18=0,E18=0),0,IF(C18=0,"New",(E18-C18)/C18))</f>
        <v>New</v>
      </c>
      <c r="H18" s="8" t="n">
        <f aca="false">SUMIFS('Source'!$E:$E,'Source'!$A:$A,"160150 MAX KONNARIS LTD",'Source'!$B:$B,$A18)</f>
        <v>0</v>
      </c>
      <c r="I18" s="8" t="n">
        <f aca="false">SUMIFS('Source'!$G:$G,'Source'!$A:$A,"160150 MAX KONNARIS LTD",'Source'!$B:$B,$A18)</f>
        <v>1969.37</v>
      </c>
      <c r="J18" s="8" t="n">
        <f aca="false">I18*$J$5</f>
        <v>2487.62526315789</v>
      </c>
      <c r="K18" s="8" t="n">
        <f aca="false">J18-H18</f>
        <v>2487.62526315789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334</v>
      </c>
      <c r="B19" s="7" t="str">
        <f aca="false">IFERROR(INDEX('Source'!$C:$C,MATCH($A19,'Source'!$B:$B,0)),"")</f>
        <v>סד לילה לבוהן</v>
      </c>
      <c r="C19" s="8" t="n">
        <f aca="false">SUMIFS('Source'!$D:$D,'Source'!$A:$A,"160150 MAX KONNARIS LTD",'Source'!$B:$B,$A19)</f>
        <v>34</v>
      </c>
      <c r="D19" s="8" t="n">
        <f aca="false">SUMIFS('Source'!$F:$F,'Source'!$A:$A,"160150 MAX KONNARIS LTD",'Source'!$B:$B,$A19)</f>
        <v>0</v>
      </c>
      <c r="E19" s="8" t="n">
        <f aca="false">D19*$J$5</f>
        <v>0</v>
      </c>
      <c r="F19" s="8" t="n">
        <f aca="false">E19-C19</f>
        <v>-34</v>
      </c>
      <c r="G19" s="9" t="n">
        <f aca="false">IF(AND(C19=0,E19=0),0,IF(C19=0,"New",(E19-C19)/C19))</f>
        <v>-1</v>
      </c>
      <c r="H19" s="8" t="n">
        <f aca="false">SUMIFS('Source'!$E:$E,'Source'!$A:$A,"160150 MAX KONNARIS LTD",'Source'!$B:$B,$A19)</f>
        <v>1862.47</v>
      </c>
      <c r="I19" s="8" t="n">
        <f aca="false">SUMIFS('Source'!$G:$G,'Source'!$A:$A,"160150 MAX KONNARIS LTD",'Source'!$B:$B,$A19)</f>
        <v>0</v>
      </c>
      <c r="J19" s="8" t="n">
        <f aca="false">I19*$J$5</f>
        <v>0</v>
      </c>
      <c r="K19" s="8" t="n">
        <f aca="false">J19-H19</f>
        <v>-1862.47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296</v>
      </c>
      <c r="B20" s="7" t="str">
        <f aca="false">IFERROR(INDEX('Source'!$C:$C,MATCH($A20,'Source'!$B:$B,0)),"")</f>
        <v>קינזיולוגי טייפ</v>
      </c>
      <c r="C20" s="8" t="n">
        <f aca="false">SUMIFS('Source'!$D:$D,'Source'!$A:$A,"160150 MAX KONNARIS LTD",'Source'!$B:$B,$A20)</f>
        <v>120</v>
      </c>
      <c r="D20" s="8" t="n">
        <f aca="false">SUMIFS('Source'!$F:$F,'Source'!$A:$A,"160150 MAX KONNARIS LTD",'Source'!$B:$B,$A20)</f>
        <v>0</v>
      </c>
      <c r="E20" s="8" t="n">
        <f aca="false">D20*$J$5</f>
        <v>0</v>
      </c>
      <c r="F20" s="8" t="n">
        <f aca="false">E20-C20</f>
        <v>-120</v>
      </c>
      <c r="G20" s="9" t="n">
        <f aca="false">IF(AND(C20=0,E20=0),0,IF(C20=0,"New",(E20-C20)/C20))</f>
        <v>-1</v>
      </c>
      <c r="H20" s="8" t="n">
        <f aca="false">SUMIFS('Source'!$E:$E,'Source'!$A:$A,"160150 MAX KONNARIS LTD",'Source'!$B:$B,$A20)</f>
        <v>1720.49</v>
      </c>
      <c r="I20" s="8" t="n">
        <f aca="false">SUMIFS('Source'!$G:$G,'Source'!$A:$A,"160150 MAX KONNARIS LTD",'Source'!$B:$B,$A20)</f>
        <v>0</v>
      </c>
      <c r="J20" s="8" t="n">
        <f aca="false">I20*$J$5</f>
        <v>0</v>
      </c>
      <c r="K20" s="8" t="n">
        <f aca="false">J20-H20</f>
        <v>-1720.49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601</v>
      </c>
      <c r="B21" s="7" t="str">
        <f aca="false">IFERROR(INDEX('Source'!$C:$C,MATCH($A21,'Source'!$B:$B,0)),"")</f>
        <v>קינזיולוגי טייפ</v>
      </c>
      <c r="C21" s="8" t="n">
        <f aca="false">SUMIFS('Source'!$D:$D,'Source'!$A:$A,"160150 MAX KONNARIS LTD",'Source'!$B:$B,$A21)</f>
        <v>120</v>
      </c>
      <c r="D21" s="8" t="n">
        <f aca="false">SUMIFS('Source'!$F:$F,'Source'!$A:$A,"160150 MAX KONNARIS LTD",'Source'!$B:$B,$A21)</f>
        <v>0</v>
      </c>
      <c r="E21" s="8" t="n">
        <f aca="false">D21*$J$5</f>
        <v>0</v>
      </c>
      <c r="F21" s="8" t="n">
        <f aca="false">E21-C21</f>
        <v>-120</v>
      </c>
      <c r="G21" s="9" t="n">
        <f aca="false">IF(AND(C21=0,E21=0),0,IF(C21=0,"New",(E21-C21)/C21))</f>
        <v>-1</v>
      </c>
      <c r="H21" s="8" t="n">
        <f aca="false">SUMIFS('Source'!$E:$E,'Source'!$A:$A,"160150 MAX KONNARIS LTD",'Source'!$B:$B,$A21)</f>
        <v>1720.49</v>
      </c>
      <c r="I21" s="8" t="n">
        <f aca="false">SUMIFS('Source'!$G:$G,'Source'!$A:$A,"160150 MAX KONNARIS LTD",'Source'!$B:$B,$A21)</f>
        <v>0</v>
      </c>
      <c r="J21" s="8" t="n">
        <f aca="false">I21*$J$5</f>
        <v>0</v>
      </c>
      <c r="K21" s="8" t="n">
        <f aca="false">J21-H21</f>
        <v>-1720.49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182</v>
      </c>
      <c r="B22" s="7" t="str">
        <f aca="false">IFERROR(INDEX('Source'!$C:$C,MATCH($A22,'Source'!$B:$B,0)),"")</f>
        <v>מדרסי ג'ל קומפורט</v>
      </c>
      <c r="C22" s="8" t="n">
        <f aca="false">SUMIFS('Source'!$D:$D,'Source'!$A:$A,"160150 MAX KONNARIS LTD",'Source'!$B:$B,$A22)</f>
        <v>35</v>
      </c>
      <c r="D22" s="8" t="n">
        <f aca="false">SUMIFS('Source'!$F:$F,'Source'!$A:$A,"160150 MAX KONNARIS LTD",'Source'!$B:$B,$A22)</f>
        <v>0</v>
      </c>
      <c r="E22" s="8" t="n">
        <f aca="false">D22*$J$5</f>
        <v>0</v>
      </c>
      <c r="F22" s="8" t="n">
        <f aca="false">E22-C22</f>
        <v>-35</v>
      </c>
      <c r="G22" s="9" t="n">
        <f aca="false">IF(AND(C22=0,E22=0),0,IF(C22=0,"New",(E22-C22)/C22))</f>
        <v>-1</v>
      </c>
      <c r="H22" s="8" t="n">
        <f aca="false">SUMIFS('Source'!$E:$E,'Source'!$A:$A,"160150 MAX KONNARIS LTD",'Source'!$B:$B,$A22)</f>
        <v>1637.11</v>
      </c>
      <c r="I22" s="8" t="n">
        <f aca="false">SUMIFS('Source'!$G:$G,'Source'!$A:$A,"160150 MAX KONNARIS LTD",'Source'!$B:$B,$A22)</f>
        <v>0</v>
      </c>
      <c r="J22" s="8" t="n">
        <f aca="false">I22*$J$5</f>
        <v>0</v>
      </c>
      <c r="K22" s="8" t="n">
        <f aca="false">J22-H22</f>
        <v>-1637.11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461</v>
      </c>
      <c r="B23" s="7" t="str">
        <f aca="false">IFERROR(INDEX('Source'!$C:$C,MATCH($A23,'Source'!$B:$B,0)),"")</f>
        <v>מדרסי ג'ל מולטי ספורט</v>
      </c>
      <c r="C23" s="8" t="n">
        <f aca="false">SUMIFS('Source'!$D:$D,'Source'!$A:$A,"160150 MAX KONNARIS LTD",'Source'!$B:$B,$A23)</f>
        <v>34</v>
      </c>
      <c r="D23" s="8" t="n">
        <f aca="false">SUMIFS('Source'!$F:$F,'Source'!$A:$A,"160150 MAX KONNARIS LTD",'Source'!$B:$B,$A23)</f>
        <v>0</v>
      </c>
      <c r="E23" s="8" t="n">
        <f aca="false">D23*$J$5</f>
        <v>0</v>
      </c>
      <c r="F23" s="8" t="n">
        <f aca="false">E23-C23</f>
        <v>-34</v>
      </c>
      <c r="G23" s="9" t="n">
        <f aca="false">IF(AND(C23=0,E23=0),0,IF(C23=0,"New",(E23-C23)/C23))</f>
        <v>-1</v>
      </c>
      <c r="H23" s="8" t="n">
        <f aca="false">SUMIFS('Source'!$E:$E,'Source'!$A:$A,"160150 MAX KONNARIS LTD",'Source'!$B:$B,$A23)</f>
        <v>1637.07</v>
      </c>
      <c r="I23" s="8" t="n">
        <f aca="false">SUMIFS('Source'!$G:$G,'Source'!$A:$A,"160150 MAX KONNARIS LTD",'Source'!$B:$B,$A23)</f>
        <v>0</v>
      </c>
      <c r="J23" s="8" t="n">
        <f aca="false">I23*$J$5</f>
        <v>0</v>
      </c>
      <c r="K23" s="8" t="n">
        <f aca="false">J23-H23</f>
        <v>-1637.07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300</v>
      </c>
      <c r="B24" s="7" t="str">
        <f aca="false">IFERROR(INDEX('Source'!$C:$C,MATCH($A24,'Source'!$B:$B,0)),"")</f>
        <v>חגורת בטן קלה</v>
      </c>
      <c r="C24" s="8" t="n">
        <f aca="false">SUMIFS('Source'!$D:$D,'Source'!$A:$A,"160150 MAX KONNARIS LTD",'Source'!$B:$B,$A24)</f>
        <v>6</v>
      </c>
      <c r="D24" s="8" t="n">
        <f aca="false">SUMIFS('Source'!$F:$F,'Source'!$A:$A,"160150 MAX KONNARIS LTD",'Source'!$B:$B,$A24)</f>
        <v>50</v>
      </c>
      <c r="E24" s="8" t="n">
        <f aca="false">D24*$J$5</f>
        <v>63.1578947368421</v>
      </c>
      <c r="F24" s="8" t="n">
        <f aca="false">E24-C24</f>
        <v>57.1578947368421</v>
      </c>
      <c r="G24" s="9" t="n">
        <f aca="false">IF(AND(C24=0,E24=0),0,IF(C24=0,"New",(E24-C24)/C24))</f>
        <v>9.52631578947368</v>
      </c>
      <c r="H24" s="8" t="n">
        <f aca="false">SUMIFS('Source'!$E:$E,'Source'!$A:$A,"160150 MAX KONNARIS LTD",'Source'!$B:$B,$A24)</f>
        <v>245.91</v>
      </c>
      <c r="I24" s="8" t="n">
        <f aca="false">SUMIFS('Source'!$G:$G,'Source'!$A:$A,"160150 MAX KONNARIS LTD",'Source'!$B:$B,$A24)</f>
        <v>1726.36</v>
      </c>
      <c r="J24" s="8" t="n">
        <f aca="false">I24*$J$5</f>
        <v>2180.6652631579</v>
      </c>
      <c r="K24" s="8" t="n">
        <f aca="false">J24-H24</f>
        <v>1934.7552631579</v>
      </c>
      <c r="L24" s="9" t="n">
        <f aca="false">IF(AND(H24=0,J24=0),0,IF(H24=0,"New",(J24-H24)/H24))</f>
        <v>7.86773723377616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305</v>
      </c>
      <c r="B25" s="7" t="str">
        <f aca="false">IFERROR(INDEX('Source'!$C:$C,MATCH($A25,'Source'!$B:$B,0)),"")</f>
        <v>חגורת בטן קלה</v>
      </c>
      <c r="C25" s="8" t="n">
        <f aca="false">SUMIFS('Source'!$D:$D,'Source'!$A:$A,"160150 MAX KONNARIS LTD",'Source'!$B:$B,$A25)</f>
        <v>70</v>
      </c>
      <c r="D25" s="8" t="n">
        <f aca="false">SUMIFS('Source'!$F:$F,'Source'!$A:$A,"160150 MAX KONNARIS LTD",'Source'!$B:$B,$A25)</f>
        <v>32</v>
      </c>
      <c r="E25" s="8" t="n">
        <f aca="false">D25*$J$5</f>
        <v>40.4210526315789</v>
      </c>
      <c r="F25" s="8" t="n">
        <f aca="false">E25-C25</f>
        <v>-29.5789473684211</v>
      </c>
      <c r="G25" s="9" t="n">
        <f aca="false">IF(AND(C25=0,E25=0),0,IF(C25=0,"New",(E25-C25)/C25))</f>
        <v>-0.422556390977444</v>
      </c>
      <c r="H25" s="8" t="n">
        <f aca="false">SUMIFS('Source'!$E:$E,'Source'!$A:$A,"160150 MAX KONNARIS LTD",'Source'!$B:$B,$A25)</f>
        <v>2065.81</v>
      </c>
      <c r="I25" s="8" t="n">
        <f aca="false">SUMIFS('Source'!$G:$G,'Source'!$A:$A,"160150 MAX KONNARIS LTD",'Source'!$B:$B,$A25)</f>
        <v>801.07</v>
      </c>
      <c r="J25" s="8" t="n">
        <f aca="false">I25*$J$5</f>
        <v>1011.87789473684</v>
      </c>
      <c r="K25" s="8" t="n">
        <f aca="false">J25-H25</f>
        <v>-1053.93210526316</v>
      </c>
      <c r="L25" s="9" t="n">
        <f aca="false">IF(AND(H25=0,J25=0),0,IF(H25=0,"New",(J25-H25)/H25))</f>
        <v>-0.51017862497672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135</v>
      </c>
      <c r="B26" s="7" t="str">
        <f aca="false">IFERROR(INDEX('Source'!$C:$C,MATCH($A26,'Source'!$B:$B,0)),"")</f>
        <v>מגן ברך עם תמיכות</v>
      </c>
      <c r="C26" s="8" t="n">
        <f aca="false">SUMIFS('Source'!$D:$D,'Source'!$A:$A,"160150 MAX KONNARIS LTD",'Source'!$B:$B,$A26)</f>
        <v>10</v>
      </c>
      <c r="D26" s="8" t="n">
        <f aca="false">SUMIFS('Source'!$F:$F,'Source'!$A:$A,"160150 MAX KONNARIS LTD",'Source'!$B:$B,$A26)</f>
        <v>46</v>
      </c>
      <c r="E26" s="8" t="n">
        <f aca="false">D26*$J$5</f>
        <v>58.1052631578947</v>
      </c>
      <c r="F26" s="8" t="n">
        <f aca="false">E26-C26</f>
        <v>48.1052631578947</v>
      </c>
      <c r="G26" s="9" t="n">
        <f aca="false">IF(AND(C26=0,E26=0),0,IF(C26=0,"New",(E26-C26)/C26))</f>
        <v>4.81052631578947</v>
      </c>
      <c r="H26" s="8" t="n">
        <f aca="false">SUMIFS('Source'!$E:$E,'Source'!$A:$A,"160150 MAX KONNARIS LTD",'Source'!$B:$B,$A26)</f>
        <v>362.82</v>
      </c>
      <c r="I26" s="8" t="n">
        <f aca="false">SUMIFS('Source'!$G:$G,'Source'!$A:$A,"160150 MAX KONNARIS LTD",'Source'!$B:$B,$A26)</f>
        <v>1575.62</v>
      </c>
      <c r="J26" s="8" t="n">
        <f aca="false">I26*$J$5</f>
        <v>1990.25684210526</v>
      </c>
      <c r="K26" s="8" t="n">
        <f aca="false">J26-H26</f>
        <v>1627.43684210526</v>
      </c>
      <c r="L26" s="9" t="n">
        <f aca="false">IF(AND(H26=0,J26=0),0,IF(H26=0,"New",(J26-H26)/H26))</f>
        <v>4.48552131113297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409</v>
      </c>
      <c r="B27" s="7" t="str">
        <f aca="false">IFERROR(INDEX('Source'!$C:$C,MATCH($A27,'Source'!$B:$B,0)),"")</f>
        <v>רפידת זיכרון 376</v>
      </c>
      <c r="C27" s="8" t="n">
        <f aca="false">SUMIFS('Source'!$D:$D,'Source'!$A:$A,"160150 MAX KONNARIS LTD",'Source'!$B:$B,$A27)</f>
        <v>76</v>
      </c>
      <c r="D27" s="8" t="n">
        <f aca="false">SUMIFS('Source'!$F:$F,'Source'!$A:$A,"160150 MAX KONNARIS LTD",'Source'!$B:$B,$A27)</f>
        <v>10</v>
      </c>
      <c r="E27" s="8" t="n">
        <f aca="false">D27*$J$5</f>
        <v>12.6315789473684</v>
      </c>
      <c r="F27" s="8" t="n">
        <f aca="false">E27-C27</f>
        <v>-63.3684210526316</v>
      </c>
      <c r="G27" s="9" t="n">
        <f aca="false">IF(AND(C27=0,E27=0),0,IF(C27=0,"New",(E27-C27)/C27))</f>
        <v>-0.833795013850415</v>
      </c>
      <c r="H27" s="8" t="n">
        <f aca="false">SUMIFS('Source'!$E:$E,'Source'!$A:$A,"160150 MAX KONNARIS LTD",'Source'!$B:$B,$A27)</f>
        <v>1270.62</v>
      </c>
      <c r="I27" s="8" t="n">
        <f aca="false">SUMIFS('Source'!$G:$G,'Source'!$A:$A,"160150 MAX KONNARIS LTD",'Source'!$B:$B,$A27)</f>
        <v>143.75</v>
      </c>
      <c r="J27" s="8" t="n">
        <f aca="false">I27*$J$5</f>
        <v>181.578947368421</v>
      </c>
      <c r="K27" s="8" t="n">
        <f aca="false">J27-H27</f>
        <v>-1089.04105263158</v>
      </c>
      <c r="L27" s="9" t="n">
        <f aca="false">IF(AND(H27=0,J27=0),0,IF(H27=0,"New",(J27-H27)/H27))</f>
        <v>-0.857094215919456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187</v>
      </c>
      <c r="B28" s="7" t="str">
        <f aca="false">IFERROR(INDEX('Source'!$C:$C,MATCH($A28,'Source'!$B:$B,0)),"")</f>
        <v>TaluAirShield | מקבע קרסול</v>
      </c>
      <c r="C28" s="8" t="n">
        <f aca="false">SUMIFS('Source'!$D:$D,'Source'!$A:$A,"160150 MAX KONNARIS LTD",'Source'!$B:$B,$A28)</f>
        <v>0</v>
      </c>
      <c r="D28" s="8" t="n">
        <f aca="false">SUMIFS('Source'!$F:$F,'Source'!$A:$A,"160150 MAX KONNARIS LTD",'Source'!$B:$B,$A28)</f>
        <v>20</v>
      </c>
      <c r="E28" s="8" t="n">
        <f aca="false">D28*$J$5</f>
        <v>25.2631578947368</v>
      </c>
      <c r="F28" s="8" t="n">
        <f aca="false">E28-C28</f>
        <v>25.2631578947368</v>
      </c>
      <c r="G28" s="9" t="str">
        <f aca="false">IF(AND(C28=0,E28=0),0,IF(C28=0,"New",(E28-C28)/C28))</f>
        <v>New</v>
      </c>
      <c r="H28" s="8" t="n">
        <f aca="false">SUMIFS('Source'!$E:$E,'Source'!$A:$A,"160150 MAX KONNARIS LTD",'Source'!$B:$B,$A28)</f>
        <v>0</v>
      </c>
      <c r="I28" s="8" t="n">
        <f aca="false">SUMIFS('Source'!$G:$G,'Source'!$A:$A,"160150 MAX KONNARIS LTD",'Source'!$B:$B,$A28)</f>
        <v>1124.31</v>
      </c>
      <c r="J28" s="8" t="n">
        <f aca="false">I28*$J$5</f>
        <v>1420.18105263158</v>
      </c>
      <c r="K28" s="8" t="n">
        <f aca="false">J28-H28</f>
        <v>1420.18105263158</v>
      </c>
      <c r="L28" s="9" t="str">
        <f aca="false">IF(AND(H28=0,J28=0),0,IF(H28=0,"New",(J28-H28)/H28))</f>
        <v>New</v>
      </c>
      <c r="M28" s="7" t="str">
        <f aca="false">IF(AND(OR(C28&lt;&gt;0,H28&lt;&gt;0),D28=0,I28=0),"DROP",IF(AND(OR(D28&lt;&gt;0,I28&lt;&gt;0),C28=0,H28=0),"NEW",""))</f>
        <v>NEW</v>
      </c>
    </row>
    <row r="29" customFormat="false" ht="15" hidden="false" customHeight="false" outlineLevel="0" collapsed="false">
      <c r="A29" s="7" t="s">
        <v>899</v>
      </c>
      <c r="B29" s="7" t="str">
        <f aca="false">IFERROR(INDEX('Source'!$C:$C,MATCH($A29,'Source'!$B:$B,0)),"")</f>
        <v>מדרס מטטרזלי</v>
      </c>
      <c r="C29" s="8" t="n">
        <f aca="false">SUMIFS('Source'!$D:$D,'Source'!$A:$A,"160150 MAX KONNARIS LTD",'Source'!$B:$B,$A29)</f>
        <v>80</v>
      </c>
      <c r="D29" s="8" t="n">
        <f aca="false">SUMIFS('Source'!$F:$F,'Source'!$A:$A,"160150 MAX KONNARIS LTD",'Source'!$B:$B,$A29)</f>
        <v>0</v>
      </c>
      <c r="E29" s="8" t="n">
        <f aca="false">D29*$J$5</f>
        <v>0</v>
      </c>
      <c r="F29" s="8" t="n">
        <f aca="false">E29-C29</f>
        <v>-80</v>
      </c>
      <c r="G29" s="9" t="n">
        <f aca="false">IF(AND(C29=0,E29=0),0,IF(C29=0,"New",(E29-C29)/C29))</f>
        <v>-1</v>
      </c>
      <c r="H29" s="8" t="n">
        <f aca="false">SUMIFS('Source'!$E:$E,'Source'!$A:$A,"160150 MAX KONNARIS LTD",'Source'!$B:$B,$A29)</f>
        <v>1037.19</v>
      </c>
      <c r="I29" s="8" t="n">
        <f aca="false">SUMIFS('Source'!$G:$G,'Source'!$A:$A,"160150 MAX KONNARIS LTD",'Source'!$B:$B,$A29)</f>
        <v>0</v>
      </c>
      <c r="J29" s="8" t="n">
        <f aca="false">I29*$J$5</f>
        <v>0</v>
      </c>
      <c r="K29" s="8" t="n">
        <f aca="false">J29-H29</f>
        <v>-1037.19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152</v>
      </c>
      <c r="B30" s="7" t="str">
        <f aca="false">IFERROR(INDEX('Source'!$C:$C,MATCH($A30,'Source'!$B:$B,0)),"")</f>
        <v>תומך ברך גנושילד</v>
      </c>
      <c r="C30" s="8" t="n">
        <f aca="false">SUMIFS('Source'!$D:$D,'Source'!$A:$A,"160150 MAX KONNARIS LTD",'Source'!$B:$B,$A30)</f>
        <v>0</v>
      </c>
      <c r="D30" s="8" t="n">
        <f aca="false">SUMIFS('Source'!$F:$F,'Source'!$A:$A,"160150 MAX KONNARIS LTD",'Source'!$B:$B,$A30)</f>
        <v>10</v>
      </c>
      <c r="E30" s="8" t="n">
        <f aca="false">D30*$J$5</f>
        <v>12.6315789473684</v>
      </c>
      <c r="F30" s="8" t="n">
        <f aca="false">E30-C30</f>
        <v>12.6315789473684</v>
      </c>
      <c r="G30" s="9" t="str">
        <f aca="false">IF(AND(C30=0,E30=0),0,IF(C30=0,"New",(E30-C30)/C30))</f>
        <v>New</v>
      </c>
      <c r="H30" s="8" t="n">
        <f aca="false">SUMIFS('Source'!$E:$E,'Source'!$A:$A,"160150 MAX KONNARIS LTD",'Source'!$B:$B,$A30)</f>
        <v>0</v>
      </c>
      <c r="I30" s="8" t="n">
        <f aca="false">SUMIFS('Source'!$G:$G,'Source'!$A:$A,"160150 MAX KONNARIS LTD",'Source'!$B:$B,$A30)</f>
        <v>984.69</v>
      </c>
      <c r="J30" s="8" t="n">
        <f aca="false">I30*$J$5</f>
        <v>1243.81894736842</v>
      </c>
      <c r="K30" s="8" t="n">
        <f aca="false">J30-H30</f>
        <v>1243.81894736842</v>
      </c>
      <c r="L30" s="9" t="str">
        <f aca="false">IF(AND(H30=0,J30=0),0,IF(H30=0,"New",(J30-H30)/H30))</f>
        <v>New</v>
      </c>
      <c r="M30" s="7" t="str">
        <f aca="false">IF(AND(OR(C30&lt;&gt;0,H30&lt;&gt;0),D30=0,I30=0),"DROP",IF(AND(OR(D30&lt;&gt;0,I30&lt;&gt;0),C30=0,H30=0),"NEW",""))</f>
        <v>NEW</v>
      </c>
    </row>
    <row r="31" customFormat="false" ht="15" hidden="false" customHeight="false" outlineLevel="0" collapsed="false">
      <c r="A31" s="7" t="s">
        <v>132</v>
      </c>
      <c r="B31" s="7" t="str">
        <f aca="false">IFERROR(INDEX('Source'!$C:$C,MATCH($A31,'Source'!$B:$B,0)),"")</f>
        <v>תומך ברך גנושילד</v>
      </c>
      <c r="C31" s="8" t="n">
        <f aca="false">SUMIFS('Source'!$D:$D,'Source'!$A:$A,"160150 MAX KONNARIS LTD",'Source'!$B:$B,$A31)</f>
        <v>0</v>
      </c>
      <c r="D31" s="8" t="n">
        <f aca="false">SUMIFS('Source'!$F:$F,'Source'!$A:$A,"160150 MAX KONNARIS LTD",'Source'!$B:$B,$A31)</f>
        <v>10</v>
      </c>
      <c r="E31" s="8" t="n">
        <f aca="false">D31*$J$5</f>
        <v>12.6315789473684</v>
      </c>
      <c r="F31" s="8" t="n">
        <f aca="false">E31-C31</f>
        <v>12.6315789473684</v>
      </c>
      <c r="G31" s="9" t="str">
        <f aca="false">IF(AND(C31=0,E31=0),0,IF(C31=0,"New",(E31-C31)/C31))</f>
        <v>New</v>
      </c>
      <c r="H31" s="8" t="n">
        <f aca="false">SUMIFS('Source'!$E:$E,'Source'!$A:$A,"160150 MAX KONNARIS LTD",'Source'!$B:$B,$A31)</f>
        <v>0</v>
      </c>
      <c r="I31" s="8" t="n">
        <f aca="false">SUMIFS('Source'!$G:$G,'Source'!$A:$A,"160150 MAX KONNARIS LTD",'Source'!$B:$B,$A31)</f>
        <v>984.69</v>
      </c>
      <c r="J31" s="8" t="n">
        <f aca="false">I31*$J$5</f>
        <v>1243.81894736842</v>
      </c>
      <c r="K31" s="8" t="n">
        <f aca="false">J31-H31</f>
        <v>1243.81894736842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201</v>
      </c>
      <c r="B32" s="7" t="str">
        <f aca="false">IFERROR(INDEX('Source'!$C:$C,MATCH($A32,'Source'!$B:$B,0)),"")</f>
        <v>תומך ברך גנושילד</v>
      </c>
      <c r="C32" s="8" t="n">
        <f aca="false">SUMIFS('Source'!$D:$D,'Source'!$A:$A,"160150 MAX KONNARIS LTD",'Source'!$B:$B,$A32)</f>
        <v>0</v>
      </c>
      <c r="D32" s="8" t="n">
        <f aca="false">SUMIFS('Source'!$F:$F,'Source'!$A:$A,"160150 MAX KONNARIS LTD",'Source'!$B:$B,$A32)</f>
        <v>10</v>
      </c>
      <c r="E32" s="8" t="n">
        <f aca="false">D32*$J$5</f>
        <v>12.6315789473684</v>
      </c>
      <c r="F32" s="8" t="n">
        <f aca="false">E32-C32</f>
        <v>12.6315789473684</v>
      </c>
      <c r="G32" s="9" t="str">
        <f aca="false">IF(AND(C32=0,E32=0),0,IF(C32=0,"New",(E32-C32)/C32))</f>
        <v>New</v>
      </c>
      <c r="H32" s="8" t="n">
        <f aca="false">SUMIFS('Source'!$E:$E,'Source'!$A:$A,"160150 MAX KONNARIS LTD",'Source'!$B:$B,$A32)</f>
        <v>0</v>
      </c>
      <c r="I32" s="8" t="n">
        <f aca="false">SUMIFS('Source'!$G:$G,'Source'!$A:$A,"160150 MAX KONNARIS LTD",'Source'!$B:$B,$A32)</f>
        <v>984.69</v>
      </c>
      <c r="J32" s="8" t="n">
        <f aca="false">I32*$J$5</f>
        <v>1243.81894736842</v>
      </c>
      <c r="K32" s="8" t="n">
        <f aca="false">J32-H32</f>
        <v>1243.81894736842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425</v>
      </c>
      <c r="B33" s="7" t="str">
        <f aca="false">IFERROR(INDEX('Source'!$C:$C,MATCH($A33,'Source'!$B:$B,0)),"")</f>
        <v>חגורת גב-לומבו</v>
      </c>
      <c r="C33" s="8" t="n">
        <f aca="false">SUMIFS('Source'!$D:$D,'Source'!$A:$A,"160150 MAX KONNARIS LTD",'Source'!$B:$B,$A33)</f>
        <v>12</v>
      </c>
      <c r="D33" s="8" t="n">
        <f aca="false">SUMIFS('Source'!$F:$F,'Source'!$A:$A,"160150 MAX KONNARIS LTD",'Source'!$B:$B,$A33)</f>
        <v>0</v>
      </c>
      <c r="E33" s="8" t="n">
        <f aca="false">D33*$J$5</f>
        <v>0</v>
      </c>
      <c r="F33" s="8" t="n">
        <f aca="false">E33-C33</f>
        <v>-12</v>
      </c>
      <c r="G33" s="9" t="n">
        <f aca="false">IF(AND(C33=0,E33=0),0,IF(C33=0,"New",(E33-C33)/C33))</f>
        <v>-1</v>
      </c>
      <c r="H33" s="8" t="n">
        <f aca="false">SUMIFS('Source'!$E:$E,'Source'!$A:$A,"160150 MAX KONNARIS LTD",'Source'!$B:$B,$A33)</f>
        <v>949.91</v>
      </c>
      <c r="I33" s="8" t="n">
        <f aca="false">SUMIFS('Source'!$G:$G,'Source'!$A:$A,"160150 MAX KONNARIS LTD",'Source'!$B:$B,$A33)</f>
        <v>0</v>
      </c>
      <c r="J33" s="8" t="n">
        <f aca="false">I33*$J$5</f>
        <v>0</v>
      </c>
      <c r="K33" s="8" t="n">
        <f aca="false">J33-H33</f>
        <v>-949.91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104</v>
      </c>
      <c r="B34" s="7" t="str">
        <f aca="false">IFERROR(INDEX('Source'!$C:$C,MATCH($A34,'Source'!$B:$B,0)),"")</f>
        <v>גרבי נסיעות אנטיבקטריאלי</v>
      </c>
      <c r="C34" s="8" t="n">
        <f aca="false">SUMIFS('Source'!$D:$D,'Source'!$A:$A,"160150 MAX KONNARIS LTD",'Source'!$B:$B,$A34)</f>
        <v>0</v>
      </c>
      <c r="D34" s="8" t="n">
        <f aca="false">SUMIFS('Source'!$F:$F,'Source'!$A:$A,"160150 MAX KONNARIS LTD",'Source'!$B:$B,$A34)</f>
        <v>32</v>
      </c>
      <c r="E34" s="8" t="n">
        <f aca="false">D34*$J$5</f>
        <v>40.4210526315789</v>
      </c>
      <c r="F34" s="8" t="n">
        <f aca="false">E34-C34</f>
        <v>40.4210526315789</v>
      </c>
      <c r="G34" s="9" t="str">
        <f aca="false">IF(AND(C34=0,E34=0),0,IF(C34=0,"New",(E34-C34)/C34))</f>
        <v>New</v>
      </c>
      <c r="H34" s="8" t="n">
        <f aca="false">SUMIFS('Source'!$E:$E,'Source'!$A:$A,"160150 MAX KONNARIS LTD",'Source'!$B:$B,$A34)</f>
        <v>0</v>
      </c>
      <c r="I34" s="8" t="n">
        <f aca="false">SUMIFS('Source'!$G:$G,'Source'!$A:$A,"160150 MAX KONNARIS LTD",'Source'!$B:$B,$A34)</f>
        <v>911.58</v>
      </c>
      <c r="J34" s="8" t="n">
        <f aca="false">I34*$J$5</f>
        <v>1151.46947368421</v>
      </c>
      <c r="K34" s="8" t="n">
        <f aca="false">J34-H34</f>
        <v>1151.46947368421</v>
      </c>
      <c r="L34" s="9" t="str">
        <f aca="false">IF(AND(H34=0,J34=0),0,IF(H34=0,"New",(J34-H34)/H34))</f>
        <v>New</v>
      </c>
      <c r="M34" s="7" t="str">
        <f aca="false">IF(AND(OR(C34&lt;&gt;0,H34&lt;&gt;0),D34=0,I34=0),"DROP",IF(AND(OR(D34&lt;&gt;0,I34&lt;&gt;0),C34=0,H34=0),"NEW",""))</f>
        <v>NEW</v>
      </c>
    </row>
    <row r="35" customFormat="false" ht="15" hidden="false" customHeight="false" outlineLevel="0" collapsed="false">
      <c r="A35" s="7" t="s">
        <v>351</v>
      </c>
      <c r="B35" s="7" t="str">
        <f aca="false">IFERROR(INDEX('Source'!$C:$C,MATCH($A35,'Source'!$B:$B,0)),"")</f>
        <v>מגן לכתף ימין/שמאל</v>
      </c>
      <c r="C35" s="8" t="n">
        <f aca="false">SUMIFS('Source'!$D:$D,'Source'!$A:$A,"160150 MAX KONNARIS LTD",'Source'!$B:$B,$A35)</f>
        <v>0</v>
      </c>
      <c r="D35" s="8" t="n">
        <f aca="false">SUMIFS('Source'!$F:$F,'Source'!$A:$A,"160150 MAX KONNARIS LTD",'Source'!$B:$B,$A35)</f>
        <v>12</v>
      </c>
      <c r="E35" s="8" t="n">
        <f aca="false">D35*$J$5</f>
        <v>15.1578947368421</v>
      </c>
      <c r="F35" s="8" t="n">
        <f aca="false">E35-C35</f>
        <v>15.1578947368421</v>
      </c>
      <c r="G35" s="9" t="str">
        <f aca="false">IF(AND(C35=0,E35=0),0,IF(C35=0,"New",(E35-C35)/C35))</f>
        <v>New</v>
      </c>
      <c r="H35" s="8" t="n">
        <f aca="false">SUMIFS('Source'!$E:$E,'Source'!$A:$A,"160150 MAX KONNARIS LTD",'Source'!$B:$B,$A35)</f>
        <v>0</v>
      </c>
      <c r="I35" s="8" t="n">
        <f aca="false">SUMIFS('Source'!$G:$G,'Source'!$A:$A,"160150 MAX KONNARIS LTD",'Source'!$B:$B,$A35)</f>
        <v>890.63</v>
      </c>
      <c r="J35" s="8" t="n">
        <f aca="false">I35*$J$5</f>
        <v>1125.00631578947</v>
      </c>
      <c r="K35" s="8" t="n">
        <f aca="false">J35-H35</f>
        <v>1125.00631578947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462</v>
      </c>
      <c r="B36" s="7" t="str">
        <f aca="false">IFERROR(INDEX('Source'!$C:$C,MATCH($A36,'Source'!$B:$B,0)),"")</f>
        <v>מגן לכתף ימין/שמאל</v>
      </c>
      <c r="C36" s="8" t="n">
        <f aca="false">SUMIFS('Source'!$D:$D,'Source'!$A:$A,"160150 MAX KONNARIS LTD",'Source'!$B:$B,$A36)</f>
        <v>0</v>
      </c>
      <c r="D36" s="8" t="n">
        <f aca="false">SUMIFS('Source'!$F:$F,'Source'!$A:$A,"160150 MAX KONNARIS LTD",'Source'!$B:$B,$A36)</f>
        <v>12</v>
      </c>
      <c r="E36" s="8" t="n">
        <f aca="false">D36*$J$5</f>
        <v>15.1578947368421</v>
      </c>
      <c r="F36" s="8" t="n">
        <f aca="false">E36-C36</f>
        <v>15.1578947368421</v>
      </c>
      <c r="G36" s="9" t="str">
        <f aca="false">IF(AND(C36=0,E36=0),0,IF(C36=0,"New",(E36-C36)/C36))</f>
        <v>New</v>
      </c>
      <c r="H36" s="8" t="n">
        <f aca="false">SUMIFS('Source'!$E:$E,'Source'!$A:$A,"160150 MAX KONNARIS LTD",'Source'!$B:$B,$A36)</f>
        <v>0</v>
      </c>
      <c r="I36" s="8" t="n">
        <f aca="false">SUMIFS('Source'!$G:$G,'Source'!$A:$A,"160150 MAX KONNARIS LTD",'Source'!$B:$B,$A36)</f>
        <v>890.63</v>
      </c>
      <c r="J36" s="8" t="n">
        <f aca="false">I36*$J$5</f>
        <v>1125.00631578947</v>
      </c>
      <c r="K36" s="8" t="n">
        <f aca="false">J36-H36</f>
        <v>1125.00631578947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7" customFormat="false" ht="15" hidden="false" customHeight="false" outlineLevel="0" collapsed="false">
      <c r="A37" s="7" t="s">
        <v>590</v>
      </c>
      <c r="B37" s="7" t="str">
        <f aca="false">IFERROR(INDEX('Source'!$C:$C,MATCH($A37,'Source'!$B:$B,0)),"")</f>
        <v>רפידת אנטי-ריח</v>
      </c>
      <c r="C37" s="8" t="n">
        <f aca="false">SUMIFS('Source'!$D:$D,'Source'!$A:$A,"160150 MAX KONNARIS LTD",'Source'!$B:$B,$A37)</f>
        <v>150</v>
      </c>
      <c r="D37" s="8" t="n">
        <f aca="false">SUMIFS('Source'!$F:$F,'Source'!$A:$A,"160150 MAX KONNARIS LTD",'Source'!$B:$B,$A37)</f>
        <v>50</v>
      </c>
      <c r="E37" s="8" t="n">
        <f aca="false">D37*$J$5</f>
        <v>63.1578947368421</v>
      </c>
      <c r="F37" s="8" t="n">
        <f aca="false">E37-C37</f>
        <v>-86.8421052631579</v>
      </c>
      <c r="G37" s="9" t="n">
        <f aca="false">IF(AND(C37=0,E37=0),0,IF(C37=0,"New",(E37-C37)/C37))</f>
        <v>-0.578947368421053</v>
      </c>
      <c r="H37" s="8" t="n">
        <f aca="false">SUMIFS('Source'!$E:$E,'Source'!$A:$A,"160150 MAX KONNARIS LTD",'Source'!$B:$B,$A37)</f>
        <v>1254.66</v>
      </c>
      <c r="I37" s="8" t="n">
        <f aca="false">SUMIFS('Source'!$G:$G,'Source'!$A:$A,"160150 MAX KONNARIS LTD",'Source'!$B:$B,$A37)</f>
        <v>367.42</v>
      </c>
      <c r="J37" s="8" t="n">
        <f aca="false">I37*$J$5</f>
        <v>464.109473684211</v>
      </c>
      <c r="K37" s="8" t="n">
        <f aca="false">J37-H37</f>
        <v>-790.55052631579</v>
      </c>
      <c r="L37" s="9" t="n">
        <f aca="false">IF(AND(H37=0,J37=0),0,IF(H37=0,"New",(J37-H37)/H37))</f>
        <v>-0.630091440163701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114</v>
      </c>
      <c r="B38" s="7" t="str">
        <f aca="false">IFERROR(INDEX('Source'!$C:$C,MATCH($A38,'Source'!$B:$B,0)),"")</f>
        <v>כפפת CTS ימין</v>
      </c>
      <c r="C38" s="8" t="n">
        <f aca="false">SUMIFS('Source'!$D:$D,'Source'!$A:$A,"160150 MAX KONNARIS LTD",'Source'!$B:$B,$A38)</f>
        <v>0</v>
      </c>
      <c r="D38" s="8" t="n">
        <f aca="false">SUMIFS('Source'!$F:$F,'Source'!$A:$A,"160150 MAX KONNARIS LTD",'Source'!$B:$B,$A38)</f>
        <v>20</v>
      </c>
      <c r="E38" s="8" t="n">
        <f aca="false">D38*$J$5</f>
        <v>25.2631578947368</v>
      </c>
      <c r="F38" s="8" t="n">
        <f aca="false">E38-C38</f>
        <v>25.2631578947368</v>
      </c>
      <c r="G38" s="9" t="str">
        <f aca="false">IF(AND(C38=0,E38=0),0,IF(C38=0,"New",(E38-C38)/C38))</f>
        <v>New</v>
      </c>
      <c r="H38" s="8" t="n">
        <f aca="false">SUMIFS('Source'!$E:$E,'Source'!$A:$A,"160150 MAX KONNARIS LTD",'Source'!$B:$B,$A38)</f>
        <v>0</v>
      </c>
      <c r="I38" s="8" t="n">
        <f aca="false">SUMIFS('Source'!$G:$G,'Source'!$A:$A,"160150 MAX KONNARIS LTD",'Source'!$B:$B,$A38)</f>
        <v>863.44</v>
      </c>
      <c r="J38" s="8" t="n">
        <f aca="false">I38*$J$5</f>
        <v>1090.66105263158</v>
      </c>
      <c r="K38" s="8" t="n">
        <f aca="false">J38-H38</f>
        <v>1090.66105263158</v>
      </c>
      <c r="L38" s="9" t="str">
        <f aca="false">IF(AND(H38=0,J38=0),0,IF(H38=0,"New",(J38-H38)/H38))</f>
        <v>New</v>
      </c>
      <c r="M38" s="7" t="str">
        <f aca="false">IF(AND(OR(C38&lt;&gt;0,H38&lt;&gt;0),D38=0,I38=0),"DROP",IF(AND(OR(D38&lt;&gt;0,I38&lt;&gt;0),C38=0,H38=0),"NEW",""))</f>
        <v>NEW</v>
      </c>
    </row>
    <row r="39" customFormat="false" ht="15" hidden="false" customHeight="false" outlineLevel="0" collapsed="false">
      <c r="A39" s="7" t="s">
        <v>121</v>
      </c>
      <c r="B39" s="7" t="str">
        <f aca="false">IFERROR(INDEX('Source'!$C:$C,MATCH($A39,'Source'!$B:$B,0)),"")</f>
        <v>כפפת CTS שמאל</v>
      </c>
      <c r="C39" s="8" t="n">
        <f aca="false">SUMIFS('Source'!$D:$D,'Source'!$A:$A,"160150 MAX KONNARIS LTD",'Source'!$B:$B,$A39)</f>
        <v>0</v>
      </c>
      <c r="D39" s="8" t="n">
        <f aca="false">SUMIFS('Source'!$F:$F,'Source'!$A:$A,"160150 MAX KONNARIS LTD",'Source'!$B:$B,$A39)</f>
        <v>20</v>
      </c>
      <c r="E39" s="8" t="n">
        <f aca="false">D39*$J$5</f>
        <v>25.2631578947368</v>
      </c>
      <c r="F39" s="8" t="n">
        <f aca="false">E39-C39</f>
        <v>25.2631578947368</v>
      </c>
      <c r="G39" s="9" t="str">
        <f aca="false">IF(AND(C39=0,E39=0),0,IF(C39=0,"New",(E39-C39)/C39))</f>
        <v>New</v>
      </c>
      <c r="H39" s="8" t="n">
        <f aca="false">SUMIFS('Source'!$E:$E,'Source'!$A:$A,"160150 MAX KONNARIS LTD",'Source'!$B:$B,$A39)</f>
        <v>0</v>
      </c>
      <c r="I39" s="8" t="n">
        <f aca="false">SUMIFS('Source'!$G:$G,'Source'!$A:$A,"160150 MAX KONNARIS LTD",'Source'!$B:$B,$A39)</f>
        <v>863.44</v>
      </c>
      <c r="J39" s="8" t="n">
        <f aca="false">I39*$J$5</f>
        <v>1090.66105263158</v>
      </c>
      <c r="K39" s="8" t="n">
        <f aca="false">J39-H39</f>
        <v>1090.66105263158</v>
      </c>
      <c r="L39" s="9" t="str">
        <f aca="false">IF(AND(H39=0,J39=0),0,IF(H39=0,"New",(J39-H39)/H39))</f>
        <v>New</v>
      </c>
      <c r="M39" s="7" t="str">
        <f aca="false">IF(AND(OR(C39&lt;&gt;0,H39&lt;&gt;0),D39=0,I39=0),"DROP",IF(AND(OR(D39&lt;&gt;0,I39&lt;&gt;0),C39=0,H39=0),"NEW",""))</f>
        <v>NEW</v>
      </c>
    </row>
    <row r="40" customFormat="false" ht="15" hidden="false" customHeight="false" outlineLevel="0" collapsed="false">
      <c r="A40" s="7" t="s">
        <v>116</v>
      </c>
      <c r="B40" s="7" t="str">
        <f aca="false">IFERROR(INDEX('Source'!$C:$C,MATCH($A40,'Source'!$B:$B,0)),"")</f>
        <v>כפפת CTS ימין</v>
      </c>
      <c r="C40" s="8" t="n">
        <f aca="false">SUMIFS('Source'!$D:$D,'Source'!$A:$A,"160150 MAX KONNARIS LTD",'Source'!$B:$B,$A40)</f>
        <v>0</v>
      </c>
      <c r="D40" s="8" t="n">
        <f aca="false">SUMIFS('Source'!$F:$F,'Source'!$A:$A,"160150 MAX KONNARIS LTD",'Source'!$B:$B,$A40)</f>
        <v>20</v>
      </c>
      <c r="E40" s="8" t="n">
        <f aca="false">D40*$J$5</f>
        <v>25.2631578947368</v>
      </c>
      <c r="F40" s="8" t="n">
        <f aca="false">E40-C40</f>
        <v>25.2631578947368</v>
      </c>
      <c r="G40" s="9" t="str">
        <f aca="false">IF(AND(C40=0,E40=0),0,IF(C40=0,"New",(E40-C40)/C40))</f>
        <v>New</v>
      </c>
      <c r="H40" s="8" t="n">
        <f aca="false">SUMIFS('Source'!$E:$E,'Source'!$A:$A,"160150 MAX KONNARIS LTD",'Source'!$B:$B,$A40)</f>
        <v>0</v>
      </c>
      <c r="I40" s="8" t="n">
        <f aca="false">SUMIFS('Source'!$G:$G,'Source'!$A:$A,"160150 MAX KONNARIS LTD",'Source'!$B:$B,$A40)</f>
        <v>863.44</v>
      </c>
      <c r="J40" s="8" t="n">
        <f aca="false">I40*$J$5</f>
        <v>1090.66105263158</v>
      </c>
      <c r="K40" s="8" t="n">
        <f aca="false">J40-H40</f>
        <v>1090.66105263158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146</v>
      </c>
      <c r="B41" s="7" t="str">
        <f aca="false">IFERROR(INDEX('Source'!$C:$C,MATCH($A41,'Source'!$B:$B,0)),"")</f>
        <v>כפפת CTS שמאל</v>
      </c>
      <c r="C41" s="8" t="n">
        <f aca="false">SUMIFS('Source'!$D:$D,'Source'!$A:$A,"160150 MAX KONNARIS LTD",'Source'!$B:$B,$A41)</f>
        <v>0</v>
      </c>
      <c r="D41" s="8" t="n">
        <f aca="false">SUMIFS('Source'!$F:$F,'Source'!$A:$A,"160150 MAX KONNARIS LTD",'Source'!$B:$B,$A41)</f>
        <v>20</v>
      </c>
      <c r="E41" s="8" t="n">
        <f aca="false">D41*$J$5</f>
        <v>25.2631578947368</v>
      </c>
      <c r="F41" s="8" t="n">
        <f aca="false">E41-C41</f>
        <v>25.2631578947368</v>
      </c>
      <c r="G41" s="9" t="str">
        <f aca="false">IF(AND(C41=0,E41=0),0,IF(C41=0,"New",(E41-C41)/C41))</f>
        <v>New</v>
      </c>
      <c r="H41" s="8" t="n">
        <f aca="false">SUMIFS('Source'!$E:$E,'Source'!$A:$A,"160150 MAX KONNARIS LTD",'Source'!$B:$B,$A41)</f>
        <v>0</v>
      </c>
      <c r="I41" s="8" t="n">
        <f aca="false">SUMIFS('Source'!$G:$G,'Source'!$A:$A,"160150 MAX KONNARIS LTD",'Source'!$B:$B,$A41)</f>
        <v>863.44</v>
      </c>
      <c r="J41" s="8" t="n">
        <f aca="false">I41*$J$5</f>
        <v>1090.66105263158</v>
      </c>
      <c r="K41" s="8" t="n">
        <f aca="false">J41-H41</f>
        <v>1090.66105263158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400</v>
      </c>
      <c r="B42" s="7" t="str">
        <f aca="false">IFERROR(INDEX('Source'!$C:$C,MATCH($A42,'Source'!$B:$B,0)),"")</f>
        <v>חגורה אוורירית איטלקית</v>
      </c>
      <c r="C42" s="8" t="n">
        <f aca="false">SUMIFS('Source'!$D:$D,'Source'!$A:$A,"160150 MAX KONNARIS LTD",'Source'!$B:$B,$A42)</f>
        <v>12</v>
      </c>
      <c r="D42" s="8" t="n">
        <f aca="false">SUMIFS('Source'!$F:$F,'Source'!$A:$A,"160150 MAX KONNARIS LTD",'Source'!$B:$B,$A42)</f>
        <v>6</v>
      </c>
      <c r="E42" s="8" t="n">
        <f aca="false">D42*$J$5</f>
        <v>7.57894736842105</v>
      </c>
      <c r="F42" s="8" t="n">
        <f aca="false">E42-C42</f>
        <v>-4.42105263157895</v>
      </c>
      <c r="G42" s="9" t="n">
        <f aca="false">IF(AND(C42=0,E42=0),0,IF(C42=0,"New",(E42-C42)/C42))</f>
        <v>-0.368421052631579</v>
      </c>
      <c r="H42" s="8" t="n">
        <f aca="false">SUMIFS('Source'!$E:$E,'Source'!$A:$A,"160150 MAX KONNARIS LTD",'Source'!$B:$B,$A42)</f>
        <v>1570.91</v>
      </c>
      <c r="I42" s="8" t="n">
        <f aca="false">SUMIFS('Source'!$G:$G,'Source'!$A:$A,"160150 MAX KONNARIS LTD",'Source'!$B:$B,$A42)</f>
        <v>731.9</v>
      </c>
      <c r="J42" s="8" t="n">
        <f aca="false">I42*$J$5</f>
        <v>924.505263157895</v>
      </c>
      <c r="K42" s="8" t="n">
        <f aca="false">J42-H42</f>
        <v>-646.404736842105</v>
      </c>
      <c r="L42" s="9" t="n">
        <f aca="false">IF(AND(H42=0,J42=0),0,IF(H42=0,"New",(J42-H42)/H42))</f>
        <v>-0.411484258704894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603</v>
      </c>
      <c r="B43" s="7" t="str">
        <f aca="false">IFERROR(INDEX('Source'!$C:$C,MATCH($A43,'Source'!$B:$B,0)),"")</f>
        <v>קינזיולוגי טייפ</v>
      </c>
      <c r="C43" s="8" t="n">
        <f aca="false">SUMIFS('Source'!$D:$D,'Source'!$A:$A,"160150 MAX KONNARIS LTD",'Source'!$B:$B,$A43)</f>
        <v>60</v>
      </c>
      <c r="D43" s="8" t="n">
        <f aca="false">SUMIFS('Source'!$F:$F,'Source'!$A:$A,"160150 MAX KONNARIS LTD",'Source'!$B:$B,$A43)</f>
        <v>0</v>
      </c>
      <c r="E43" s="8" t="n">
        <f aca="false">D43*$J$5</f>
        <v>0</v>
      </c>
      <c r="F43" s="8" t="n">
        <f aca="false">E43-C43</f>
        <v>-60</v>
      </c>
      <c r="G43" s="9" t="n">
        <f aca="false">IF(AND(C43=0,E43=0),0,IF(C43=0,"New",(E43-C43)/C43))</f>
        <v>-1</v>
      </c>
      <c r="H43" s="8" t="n">
        <f aca="false">SUMIFS('Source'!$E:$E,'Source'!$A:$A,"160150 MAX KONNARIS LTD",'Source'!$B:$B,$A43)</f>
        <v>829.68</v>
      </c>
      <c r="I43" s="8" t="n">
        <f aca="false">SUMIFS('Source'!$G:$G,'Source'!$A:$A,"160150 MAX KONNARIS LTD",'Source'!$B:$B,$A43)</f>
        <v>0</v>
      </c>
      <c r="J43" s="8" t="n">
        <f aca="false">I43*$J$5</f>
        <v>0</v>
      </c>
      <c r="K43" s="8" t="n">
        <f aca="false">J43-H43</f>
        <v>-829.68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110</v>
      </c>
      <c r="B44" s="7" t="str">
        <f aca="false">IFERROR(INDEX('Source'!$C:$C,MATCH($A44,'Source'!$B:$B,0)),"")</f>
        <v>גרבי נסיעות אנטיבקטריאלי</v>
      </c>
      <c r="C44" s="8" t="n">
        <f aca="false">SUMIFS('Source'!$D:$D,'Source'!$A:$A,"160150 MAX KONNARIS LTD",'Source'!$B:$B,$A44)</f>
        <v>0</v>
      </c>
      <c r="D44" s="8" t="n">
        <f aca="false">SUMIFS('Source'!$F:$F,'Source'!$A:$A,"160150 MAX KONNARIS LTD",'Source'!$B:$B,$A44)</f>
        <v>24</v>
      </c>
      <c r="E44" s="8" t="n">
        <f aca="false">D44*$J$5</f>
        <v>30.3157894736842</v>
      </c>
      <c r="F44" s="8" t="n">
        <f aca="false">E44-C44</f>
        <v>30.3157894736842</v>
      </c>
      <c r="G44" s="9" t="str">
        <f aca="false">IF(AND(C44=0,E44=0),0,IF(C44=0,"New",(E44-C44)/C44))</f>
        <v>New</v>
      </c>
      <c r="H44" s="8" t="n">
        <f aca="false">SUMIFS('Source'!$E:$E,'Source'!$A:$A,"160150 MAX KONNARIS LTD",'Source'!$B:$B,$A44)</f>
        <v>0</v>
      </c>
      <c r="I44" s="8" t="n">
        <f aca="false">SUMIFS('Source'!$G:$G,'Source'!$A:$A,"160150 MAX KONNARIS LTD",'Source'!$B:$B,$A44)</f>
        <v>689.8</v>
      </c>
      <c r="J44" s="8" t="n">
        <f aca="false">I44*$J$5</f>
        <v>871.326315789474</v>
      </c>
      <c r="K44" s="8" t="n">
        <f aca="false">J44-H44</f>
        <v>871.326315789474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106</v>
      </c>
      <c r="B45" s="7" t="str">
        <f aca="false">IFERROR(INDEX('Source'!$C:$C,MATCH($A45,'Source'!$B:$B,0)),"")</f>
        <v>גרבי נסיעות אנטיבקטריאלי</v>
      </c>
      <c r="C45" s="8" t="n">
        <f aca="false">SUMIFS('Source'!$D:$D,'Source'!$A:$A,"160150 MAX KONNARIS LTD",'Source'!$B:$B,$A45)</f>
        <v>1</v>
      </c>
      <c r="D45" s="8" t="n">
        <f aca="false">SUMIFS('Source'!$F:$F,'Source'!$A:$A,"160150 MAX KONNARIS LTD",'Source'!$B:$B,$A45)</f>
        <v>24</v>
      </c>
      <c r="E45" s="8" t="n">
        <f aca="false">D45*$J$5</f>
        <v>30.3157894736842</v>
      </c>
      <c r="F45" s="8" t="n">
        <f aca="false">E45-C45</f>
        <v>29.3157894736842</v>
      </c>
      <c r="G45" s="9" t="n">
        <f aca="false">IF(AND(C45=0,E45=0),0,IF(C45=0,"New",(E45-C45)/C45))</f>
        <v>29.3157894736842</v>
      </c>
      <c r="H45" s="8" t="n">
        <f aca="false">SUMIFS('Source'!$E:$E,'Source'!$A:$A,"160150 MAX KONNARIS LTD",'Source'!$B:$B,$A45)</f>
        <v>0.04</v>
      </c>
      <c r="I45" s="8" t="n">
        <f aca="false">SUMIFS('Source'!$G:$G,'Source'!$A:$A,"160150 MAX KONNARIS LTD",'Source'!$B:$B,$A45)</f>
        <v>689.8</v>
      </c>
      <c r="J45" s="8" t="n">
        <f aca="false">I45*$J$5</f>
        <v>871.326315789474</v>
      </c>
      <c r="K45" s="8" t="n">
        <f aca="false">J45-H45</f>
        <v>871.286315789474</v>
      </c>
      <c r="L45" s="9" t="n">
        <f aca="false">IF(AND(H45=0,J45=0),0,IF(H45=0,"New",(J45-H45)/H45))</f>
        <v>21782.1578947368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117</v>
      </c>
      <c r="B46" s="7" t="str">
        <f aca="false">IFERROR(INDEX('Source'!$C:$C,MATCH($A46,'Source'!$B:$B,0)),"")</f>
        <v>גרבי טיסה</v>
      </c>
      <c r="C46" s="8" t="n">
        <f aca="false">SUMIFS('Source'!$D:$D,'Source'!$A:$A,"160150 MAX KONNARIS LTD",'Source'!$B:$B,$A46)</f>
        <v>20</v>
      </c>
      <c r="D46" s="8" t="n">
        <f aca="false">SUMIFS('Source'!$F:$F,'Source'!$A:$A,"160150 MAX KONNARIS LTD",'Source'!$B:$B,$A46)</f>
        <v>0</v>
      </c>
      <c r="E46" s="8" t="n">
        <f aca="false">D46*$J$5</f>
        <v>0</v>
      </c>
      <c r="F46" s="8" t="n">
        <f aca="false">E46-C46</f>
        <v>-20</v>
      </c>
      <c r="G46" s="9" t="n">
        <f aca="false">IF(AND(C46=0,E46=0),0,IF(C46=0,"New",(E46-C46)/C46))</f>
        <v>-1</v>
      </c>
      <c r="H46" s="8" t="n">
        <f aca="false">SUMIFS('Source'!$E:$E,'Source'!$A:$A,"160150 MAX KONNARIS LTD",'Source'!$B:$B,$A46)</f>
        <v>654.27</v>
      </c>
      <c r="I46" s="8" t="n">
        <f aca="false">SUMIFS('Source'!$G:$G,'Source'!$A:$A,"160150 MAX KONNARIS LTD",'Source'!$B:$B,$A46)</f>
        <v>0</v>
      </c>
      <c r="J46" s="8" t="n">
        <f aca="false">I46*$J$5</f>
        <v>0</v>
      </c>
      <c r="K46" s="8" t="n">
        <f aca="false">J46-H46</f>
        <v>-654.27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181</v>
      </c>
      <c r="B47" s="7" t="str">
        <f aca="false">IFERROR(INDEX('Source'!$C:$C,MATCH($A47,'Source'!$B:$B,0)),"")</f>
        <v>מגן קרסול+ עקב סגור+רצועות</v>
      </c>
      <c r="C47" s="8" t="n">
        <f aca="false">SUMIFS('Source'!$D:$D,'Source'!$A:$A,"160150 MAX KONNARIS LTD",'Source'!$B:$B,$A47)</f>
        <v>0</v>
      </c>
      <c r="D47" s="8" t="n">
        <f aca="false">SUMIFS('Source'!$F:$F,'Source'!$A:$A,"160150 MAX KONNARIS LTD",'Source'!$B:$B,$A47)</f>
        <v>20</v>
      </c>
      <c r="E47" s="8" t="n">
        <f aca="false">D47*$J$5</f>
        <v>25.2631578947368</v>
      </c>
      <c r="F47" s="8" t="n">
        <f aca="false">E47-C47</f>
        <v>25.2631578947368</v>
      </c>
      <c r="G47" s="9" t="str">
        <f aca="false">IF(AND(C47=0,E47=0),0,IF(C47=0,"New",(E47-C47)/C47))</f>
        <v>New</v>
      </c>
      <c r="H47" s="8" t="n">
        <f aca="false">SUMIFS('Source'!$E:$E,'Source'!$A:$A,"160150 MAX KONNARIS LTD",'Source'!$B:$B,$A47)</f>
        <v>0</v>
      </c>
      <c r="I47" s="8" t="n">
        <f aca="false">SUMIFS('Source'!$G:$G,'Source'!$A:$A,"160150 MAX KONNARIS LTD",'Source'!$B:$B,$A47)</f>
        <v>635.64</v>
      </c>
      <c r="J47" s="8" t="n">
        <f aca="false">I47*$J$5</f>
        <v>802.913684210526</v>
      </c>
      <c r="K47" s="8" t="n">
        <f aca="false">J47-H47</f>
        <v>802.913684210526</v>
      </c>
      <c r="L47" s="9" t="str">
        <f aca="false">IF(AND(H47=0,J47=0),0,IF(H47=0,"New",(J47-H47)/H47))</f>
        <v>New</v>
      </c>
      <c r="M47" s="7" t="str">
        <f aca="false">IF(AND(OR(C47&lt;&gt;0,H47&lt;&gt;0),D47=0,I47=0),"DROP",IF(AND(OR(D47&lt;&gt;0,I47&lt;&gt;0),C47=0,H47=0),"NEW",""))</f>
        <v>NEW</v>
      </c>
    </row>
    <row r="48" customFormat="false" ht="15" hidden="false" customHeight="false" outlineLevel="0" collapsed="false">
      <c r="A48" s="7" t="s">
        <v>253</v>
      </c>
      <c r="B48" s="7" t="str">
        <f aca="false">IFERROR(INDEX('Source'!$C:$C,MATCH($A48,'Source'!$B:$B,0)),"")</f>
        <v>סד לאגודל</v>
      </c>
      <c r="C48" s="8" t="n">
        <f aca="false">SUMIFS('Source'!$D:$D,'Source'!$A:$A,"160150 MAX KONNARIS LTD",'Source'!$B:$B,$A48)</f>
        <v>0</v>
      </c>
      <c r="D48" s="8" t="n">
        <f aca="false">SUMIFS('Source'!$F:$F,'Source'!$A:$A,"160150 MAX KONNARIS LTD",'Source'!$B:$B,$A48)</f>
        <v>40</v>
      </c>
      <c r="E48" s="8" t="n">
        <f aca="false">D48*$J$5</f>
        <v>50.5263157894737</v>
      </c>
      <c r="F48" s="8" t="n">
        <f aca="false">E48-C48</f>
        <v>50.5263157894737</v>
      </c>
      <c r="G48" s="9" t="str">
        <f aca="false">IF(AND(C48=0,E48=0),0,IF(C48=0,"New",(E48-C48)/C48))</f>
        <v>New</v>
      </c>
      <c r="H48" s="8" t="n">
        <f aca="false">SUMIFS('Source'!$E:$E,'Source'!$A:$A,"160150 MAX KONNARIS LTD",'Source'!$B:$B,$A48)</f>
        <v>0</v>
      </c>
      <c r="I48" s="8" t="n">
        <f aca="false">SUMIFS('Source'!$G:$G,'Source'!$A:$A,"160150 MAX KONNARIS LTD",'Source'!$B:$B,$A48)</f>
        <v>624.61</v>
      </c>
      <c r="J48" s="8" t="n">
        <f aca="false">I48*$J$5</f>
        <v>788.981052631579</v>
      </c>
      <c r="K48" s="8" t="n">
        <f aca="false">J48-H48</f>
        <v>788.981052631579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517</v>
      </c>
      <c r="B49" s="7" t="str">
        <f aca="false">IFERROR(INDEX('Source'!$C:$C,MATCH($A49,'Source'!$B:$B,0)),"")</f>
        <v>סד לילה לבוהן</v>
      </c>
      <c r="C49" s="8" t="n">
        <f aca="false">SUMIFS('Source'!$D:$D,'Source'!$A:$A,"160150 MAX KONNARIS LTD",'Source'!$B:$B,$A49)</f>
        <v>25</v>
      </c>
      <c r="D49" s="8" t="n">
        <f aca="false">SUMIFS('Source'!$F:$F,'Source'!$A:$A,"160150 MAX KONNARIS LTD",'Source'!$B:$B,$A49)</f>
        <v>10</v>
      </c>
      <c r="E49" s="8" t="n">
        <f aca="false">D49*$J$5</f>
        <v>12.6315789473684</v>
      </c>
      <c r="F49" s="8" t="n">
        <f aca="false">E49-C49</f>
        <v>-12.3684210526316</v>
      </c>
      <c r="G49" s="9" t="n">
        <f aca="false">IF(AND(C49=0,E49=0),0,IF(C49=0,"New",(E49-C49)/C49))</f>
        <v>-0.494736842105263</v>
      </c>
      <c r="H49" s="8" t="n">
        <f aca="false">SUMIFS('Source'!$E:$E,'Source'!$A:$A,"160150 MAX KONNARIS LTD",'Source'!$B:$B,$A49)</f>
        <v>913.43</v>
      </c>
      <c r="I49" s="8" t="n">
        <f aca="false">SUMIFS('Source'!$G:$G,'Source'!$A:$A,"160150 MAX KONNARIS LTD",'Source'!$B:$B,$A49)</f>
        <v>311.45</v>
      </c>
      <c r="J49" s="8" t="n">
        <f aca="false">I49*$J$5</f>
        <v>393.410526315789</v>
      </c>
      <c r="K49" s="8" t="n">
        <f aca="false">J49-H49</f>
        <v>-520.019473684211</v>
      </c>
      <c r="L49" s="9" t="n">
        <f aca="false">IF(AND(H49=0,J49=0),0,IF(H49=0,"New",(J49-H49)/H49))</f>
        <v>-0.56930413242855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208</v>
      </c>
      <c r="B50" s="7" t="str">
        <f aca="false">IFERROR(INDEX('Source'!$C:$C,MATCH($A50,'Source'!$B:$B,0)),"")</f>
        <v>מדרס מתכוונן</v>
      </c>
      <c r="C50" s="8" t="n">
        <f aca="false">SUMIFS('Source'!$D:$D,'Source'!$A:$A,"160150 MAX KONNARIS LTD",'Source'!$B:$B,$A50)</f>
        <v>25</v>
      </c>
      <c r="D50" s="8" t="n">
        <f aca="false">SUMIFS('Source'!$F:$F,'Source'!$A:$A,"160150 MAX KONNARIS LTD",'Source'!$B:$B,$A50)</f>
        <v>10</v>
      </c>
      <c r="E50" s="8" t="n">
        <f aca="false">D50*$J$5</f>
        <v>12.6315789473684</v>
      </c>
      <c r="F50" s="8" t="n">
        <f aca="false">E50-C50</f>
        <v>-12.3684210526316</v>
      </c>
      <c r="G50" s="9" t="n">
        <f aca="false">IF(AND(C50=0,E50=0),0,IF(C50=0,"New",(E50-C50)/C50))</f>
        <v>-0.494736842105263</v>
      </c>
      <c r="H50" s="8" t="n">
        <f aca="false">SUMIFS('Source'!$E:$E,'Source'!$A:$A,"160150 MAX KONNARIS LTD",'Source'!$B:$B,$A50)</f>
        <v>961.17</v>
      </c>
      <c r="I50" s="8" t="n">
        <f aca="false">SUMIFS('Source'!$G:$G,'Source'!$A:$A,"160150 MAX KONNARIS LTD",'Source'!$B:$B,$A50)</f>
        <v>363.75</v>
      </c>
      <c r="J50" s="8" t="n">
        <f aca="false">I50*$J$5</f>
        <v>459.473684210526</v>
      </c>
      <c r="K50" s="8" t="n">
        <f aca="false">J50-H50</f>
        <v>-501.696315789474</v>
      </c>
      <c r="L50" s="9" t="n">
        <f aca="false">IF(AND(H50=0,J50=0),0,IF(H50=0,"New",(J50-H50)/H50))</f>
        <v>-0.521964185096782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311</v>
      </c>
      <c r="B51" s="7" t="str">
        <f aca="false">IFERROR(INDEX('Source'!$C:$C,MATCH($A51,'Source'!$B:$B,0)),"")</f>
        <v>מגן ברך + צירים</v>
      </c>
      <c r="C51" s="8" t="n">
        <f aca="false">SUMIFS('Source'!$D:$D,'Source'!$A:$A,"160150 MAX KONNARIS LTD",'Source'!$B:$B,$A51)</f>
        <v>30</v>
      </c>
      <c r="D51" s="8" t="n">
        <f aca="false">SUMIFS('Source'!$F:$F,'Source'!$A:$A,"160150 MAX KONNARIS LTD",'Source'!$B:$B,$A51)</f>
        <v>20</v>
      </c>
      <c r="E51" s="8" t="n">
        <f aca="false">D51*$J$5</f>
        <v>25.2631578947368</v>
      </c>
      <c r="F51" s="8" t="n">
        <f aca="false">E51-C51</f>
        <v>-4.73684210526316</v>
      </c>
      <c r="G51" s="9" t="n">
        <f aca="false">IF(AND(C51=0,E51=0),0,IF(C51=0,"New",(E51-C51)/C51))</f>
        <v>-0.157894736842105</v>
      </c>
      <c r="H51" s="8" t="n">
        <f aca="false">SUMIFS('Source'!$E:$E,'Source'!$A:$A,"160150 MAX KONNARIS LTD",'Source'!$B:$B,$A51)</f>
        <v>1460.82</v>
      </c>
      <c r="I51" s="8" t="n">
        <f aca="false">SUMIFS('Source'!$G:$G,'Source'!$A:$A,"160150 MAX KONNARIS LTD",'Source'!$B:$B,$A51)</f>
        <v>872.9</v>
      </c>
      <c r="J51" s="8" t="n">
        <f aca="false">I51*$J$5</f>
        <v>1102.61052631579</v>
      </c>
      <c r="K51" s="8" t="n">
        <f aca="false">J51-H51</f>
        <v>-358.209473684211</v>
      </c>
      <c r="L51" s="9" t="n">
        <f aca="false">IF(AND(H51=0,J51=0),0,IF(H51=0,"New",(J51-H51)/H51))</f>
        <v>-0.245211233200675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96</v>
      </c>
      <c r="B52" s="7" t="str">
        <f aca="false">IFERROR(INDEX('Source'!$C:$C,MATCH($A52,'Source'!$B:$B,0)),"")</f>
        <v>סד יד</v>
      </c>
      <c r="C52" s="8" t="n">
        <f aca="false">SUMIFS('Source'!$D:$D,'Source'!$A:$A,"160150 MAX KONNARIS LTD",'Source'!$B:$B,$A52)</f>
        <v>40</v>
      </c>
      <c r="D52" s="8" t="n">
        <f aca="false">SUMIFS('Source'!$F:$F,'Source'!$A:$A,"160150 MAX KONNARIS LTD",'Source'!$B:$B,$A52)</f>
        <v>10</v>
      </c>
      <c r="E52" s="8" t="n">
        <f aca="false">D52*$J$5</f>
        <v>12.6315789473684</v>
      </c>
      <c r="F52" s="8" t="n">
        <f aca="false">E52-C52</f>
        <v>-27.3684210526316</v>
      </c>
      <c r="G52" s="9" t="n">
        <f aca="false">IF(AND(C52=0,E52=0),0,IF(C52=0,"New",(E52-C52)/C52))</f>
        <v>-0.68421052631579</v>
      </c>
      <c r="H52" s="8" t="n">
        <f aca="false">SUMIFS('Source'!$E:$E,'Source'!$A:$A,"160150 MAX KONNARIS LTD",'Source'!$B:$B,$A52)</f>
        <v>744.59</v>
      </c>
      <c r="I52" s="8" t="n">
        <f aca="false">SUMIFS('Source'!$G:$G,'Source'!$A:$A,"160150 MAX KONNARIS LTD",'Source'!$B:$B,$A52)</f>
        <v>162.57</v>
      </c>
      <c r="J52" s="8" t="n">
        <f aca="false">I52*$J$5</f>
        <v>205.351578947368</v>
      </c>
      <c r="K52" s="8" t="n">
        <f aca="false">J52-H52</f>
        <v>-539.238421052632</v>
      </c>
      <c r="L52" s="9" t="n">
        <f aca="false">IF(AND(H52=0,J52=0),0,IF(H52=0,"New",(J52-H52)/H52))</f>
        <v>-0.724208518852834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342</v>
      </c>
      <c r="B53" s="7" t="str">
        <f aca="false">IFERROR(INDEX('Source'!$C:$C,MATCH($A53,'Source'!$B:$B,0)),"")</f>
        <v>מדרס מג'ל</v>
      </c>
      <c r="C53" s="8" t="n">
        <f aca="false">SUMIFS('Source'!$D:$D,'Source'!$A:$A,"160150 MAX KONNARIS LTD",'Source'!$B:$B,$A53)</f>
        <v>20</v>
      </c>
      <c r="D53" s="8" t="n">
        <f aca="false">SUMIFS('Source'!$F:$F,'Source'!$A:$A,"160150 MAX KONNARIS LTD",'Source'!$B:$B,$A53)</f>
        <v>0</v>
      </c>
      <c r="E53" s="8" t="n">
        <f aca="false">D53*$J$5</f>
        <v>0</v>
      </c>
      <c r="F53" s="8" t="n">
        <f aca="false">E53-C53</f>
        <v>-20</v>
      </c>
      <c r="G53" s="9" t="n">
        <f aca="false">IF(AND(C53=0,E53=0),0,IF(C53=0,"New",(E53-C53)/C53))</f>
        <v>-1</v>
      </c>
      <c r="H53" s="8" t="n">
        <f aca="false">SUMIFS('Source'!$E:$E,'Source'!$A:$A,"160150 MAX KONNARIS LTD",'Source'!$B:$B,$A53)</f>
        <v>572.59</v>
      </c>
      <c r="I53" s="8" t="n">
        <f aca="false">SUMIFS('Source'!$G:$G,'Source'!$A:$A,"160150 MAX KONNARIS LTD",'Source'!$B:$B,$A53)</f>
        <v>0</v>
      </c>
      <c r="J53" s="8" t="n">
        <f aca="false">I53*$J$5</f>
        <v>0</v>
      </c>
      <c r="K53" s="8" t="n">
        <f aca="false">J53-H53</f>
        <v>-572.59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206</v>
      </c>
      <c r="B54" s="7" t="str">
        <f aca="false">IFERROR(INDEX('Source'!$C:$C,MATCH($A54,'Source'!$B:$B,0)),"")</f>
        <v>חגורה אוורירית איטלקית</v>
      </c>
      <c r="C54" s="8" t="n">
        <f aca="false">SUMIFS('Source'!$D:$D,'Source'!$A:$A,"160150 MAX KONNARIS LTD",'Source'!$B:$B,$A54)</f>
        <v>10</v>
      </c>
      <c r="D54" s="8" t="n">
        <f aca="false">SUMIFS('Source'!$F:$F,'Source'!$A:$A,"160150 MAX KONNARIS LTD",'Source'!$B:$B,$A54)</f>
        <v>6</v>
      </c>
      <c r="E54" s="8" t="n">
        <f aca="false">D54*$J$5</f>
        <v>7.57894736842105</v>
      </c>
      <c r="F54" s="8" t="n">
        <f aca="false">E54-C54</f>
        <v>-2.42105263157895</v>
      </c>
      <c r="G54" s="9" t="n">
        <f aca="false">IF(AND(C54=0,E54=0),0,IF(C54=0,"New",(E54-C54)/C54))</f>
        <v>-0.242105263157895</v>
      </c>
      <c r="H54" s="8" t="n">
        <f aca="false">SUMIFS('Source'!$E:$E,'Source'!$A:$A,"160150 MAX KONNARIS LTD",'Source'!$B:$B,$A54)</f>
        <v>1293.21</v>
      </c>
      <c r="I54" s="8" t="n">
        <f aca="false">SUMIFS('Source'!$G:$G,'Source'!$A:$A,"160150 MAX KONNARIS LTD",'Source'!$B:$B,$A54)</f>
        <v>731.9</v>
      </c>
      <c r="J54" s="8" t="n">
        <f aca="false">I54*$J$5</f>
        <v>924.505263157895</v>
      </c>
      <c r="K54" s="8" t="n">
        <f aca="false">J54-H54</f>
        <v>-368.704736842105</v>
      </c>
      <c r="L54" s="9" t="n">
        <f aca="false">IF(AND(H54=0,J54=0),0,IF(H54=0,"New",(J54-H54)/H54))</f>
        <v>-0.285108170244667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595</v>
      </c>
      <c r="B55" s="7" t="str">
        <f aca="false">IFERROR(INDEX('Source'!$C:$C,MATCH($A55,'Source'!$B:$B,0)),"")</f>
        <v>מתלה יד-כיס</v>
      </c>
      <c r="C55" s="8" t="n">
        <f aca="false">SUMIFS('Source'!$D:$D,'Source'!$A:$A,"160150 MAX KONNARIS LTD",'Source'!$B:$B,$A55)</f>
        <v>30</v>
      </c>
      <c r="D55" s="8" t="n">
        <f aca="false">SUMIFS('Source'!$F:$F,'Source'!$A:$A,"160150 MAX KONNARIS LTD",'Source'!$B:$B,$A55)</f>
        <v>6</v>
      </c>
      <c r="E55" s="8" t="n">
        <f aca="false">D55*$J$5</f>
        <v>7.57894736842105</v>
      </c>
      <c r="F55" s="8" t="n">
        <f aca="false">E55-C55</f>
        <v>-22.421052631579</v>
      </c>
      <c r="G55" s="9" t="n">
        <f aca="false">IF(AND(C55=0,E55=0),0,IF(C55=0,"New",(E55-C55)/C55))</f>
        <v>-0.747368421052632</v>
      </c>
      <c r="H55" s="8" t="n">
        <f aca="false">SUMIFS('Source'!$E:$E,'Source'!$A:$A,"160150 MAX KONNARIS LTD",'Source'!$B:$B,$A55)</f>
        <v>669</v>
      </c>
      <c r="I55" s="8" t="n">
        <f aca="false">SUMIFS('Source'!$G:$G,'Source'!$A:$A,"160150 MAX KONNARIS LTD",'Source'!$B:$B,$A55)</f>
        <v>112.94</v>
      </c>
      <c r="J55" s="8" t="n">
        <f aca="false">I55*$J$5</f>
        <v>142.661052631579</v>
      </c>
      <c r="K55" s="8" t="n">
        <f aca="false">J55-H55</f>
        <v>-526.338947368421</v>
      </c>
      <c r="L55" s="9" t="n">
        <f aca="false">IF(AND(H55=0,J55=0),0,IF(H55=0,"New",(J55-H55)/H55))</f>
        <v>-0.786754779324994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160</v>
      </c>
      <c r="B56" s="7" t="str">
        <f aca="false">IFERROR(INDEX('Source'!$C:$C,MATCH($A56,'Source'!$B:$B,0)),"")</f>
        <v>חגורת גב+סגירה כפולה</v>
      </c>
      <c r="C56" s="8" t="n">
        <f aca="false">SUMIFS('Source'!$D:$D,'Source'!$A:$A,"160150 MAX KONNARIS LTD",'Source'!$B:$B,$A56)</f>
        <v>12</v>
      </c>
      <c r="D56" s="8" t="n">
        <f aca="false">SUMIFS('Source'!$F:$F,'Source'!$A:$A,"160150 MAX KONNARIS LTD",'Source'!$B:$B,$A56)</f>
        <v>0</v>
      </c>
      <c r="E56" s="8" t="n">
        <f aca="false">D56*$J$5</f>
        <v>0</v>
      </c>
      <c r="F56" s="8" t="n">
        <f aca="false">E56-C56</f>
        <v>-12</v>
      </c>
      <c r="G56" s="9" t="n">
        <f aca="false">IF(AND(C56=0,E56=0),0,IF(C56=0,"New",(E56-C56)/C56))</f>
        <v>-1</v>
      </c>
      <c r="H56" s="8" t="n">
        <f aca="false">SUMIFS('Source'!$E:$E,'Source'!$A:$A,"160150 MAX KONNARIS LTD",'Source'!$B:$B,$A56)</f>
        <v>549.38</v>
      </c>
      <c r="I56" s="8" t="n">
        <f aca="false">SUMIFS('Source'!$G:$G,'Source'!$A:$A,"160150 MAX KONNARIS LTD",'Source'!$B:$B,$A56)</f>
        <v>0</v>
      </c>
      <c r="J56" s="8" t="n">
        <f aca="false">I56*$J$5</f>
        <v>0</v>
      </c>
      <c r="K56" s="8" t="n">
        <f aca="false">J56-H56</f>
        <v>-549.38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111</v>
      </c>
      <c r="B57" s="7" t="str">
        <f aca="false">IFERROR(INDEX('Source'!$C:$C,MATCH($A57,'Source'!$B:$B,0)),"")</f>
        <v>גרבי טיסה</v>
      </c>
      <c r="C57" s="8" t="n">
        <f aca="false">SUMIFS('Source'!$D:$D,'Source'!$A:$A,"160150 MAX KONNARIS LTD",'Source'!$B:$B,$A57)</f>
        <v>16</v>
      </c>
      <c r="D57" s="8" t="n">
        <f aca="false">SUMIFS('Source'!$F:$F,'Source'!$A:$A,"160150 MAX KONNARIS LTD",'Source'!$B:$B,$A57)</f>
        <v>0</v>
      </c>
      <c r="E57" s="8" t="n">
        <f aca="false">D57*$J$5</f>
        <v>0</v>
      </c>
      <c r="F57" s="8" t="n">
        <f aca="false">E57-C57</f>
        <v>-16</v>
      </c>
      <c r="G57" s="9" t="n">
        <f aca="false">IF(AND(C57=0,E57=0),0,IF(C57=0,"New",(E57-C57)/C57))</f>
        <v>-1</v>
      </c>
      <c r="H57" s="8" t="n">
        <f aca="false">SUMIFS('Source'!$E:$E,'Source'!$A:$A,"160150 MAX KONNARIS LTD",'Source'!$B:$B,$A57)</f>
        <v>528.07</v>
      </c>
      <c r="I57" s="8" t="n">
        <f aca="false">SUMIFS('Source'!$G:$G,'Source'!$A:$A,"160150 MAX KONNARIS LTD",'Source'!$B:$B,$A57)</f>
        <v>0</v>
      </c>
      <c r="J57" s="8" t="n">
        <f aca="false">I57*$J$5</f>
        <v>0</v>
      </c>
      <c r="K57" s="8" t="n">
        <f aca="false">J57-H57</f>
        <v>-528.07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735</v>
      </c>
      <c r="B58" s="7" t="str">
        <f aca="false">IFERROR(INDEX('Source'!$C:$C,MATCH($A58,'Source'!$B:$B,0)),"")</f>
        <v>רפידה בולמת זעזועים</v>
      </c>
      <c r="C58" s="8" t="n">
        <f aca="false">SUMIFS('Source'!$D:$D,'Source'!$A:$A,"160150 MAX KONNARIS LTD",'Source'!$B:$B,$A58)</f>
        <v>50</v>
      </c>
      <c r="D58" s="8" t="n">
        <f aca="false">SUMIFS('Source'!$F:$F,'Source'!$A:$A,"160150 MAX KONNARIS LTD",'Source'!$B:$B,$A58)</f>
        <v>0</v>
      </c>
      <c r="E58" s="8" t="n">
        <f aca="false">D58*$J$5</f>
        <v>0</v>
      </c>
      <c r="F58" s="8" t="n">
        <f aca="false">E58-C58</f>
        <v>-50</v>
      </c>
      <c r="G58" s="9" t="n">
        <f aca="false">IF(AND(C58=0,E58=0),0,IF(C58=0,"New",(E58-C58)/C58))</f>
        <v>-1</v>
      </c>
      <c r="H58" s="8" t="n">
        <f aca="false">SUMIFS('Source'!$E:$E,'Source'!$A:$A,"160150 MAX KONNARIS LTD",'Source'!$B:$B,$A58)</f>
        <v>467.42</v>
      </c>
      <c r="I58" s="8" t="n">
        <f aca="false">SUMIFS('Source'!$G:$G,'Source'!$A:$A,"160150 MAX KONNARIS LTD",'Source'!$B:$B,$A58)</f>
        <v>0</v>
      </c>
      <c r="J58" s="8" t="n">
        <f aca="false">I58*$J$5</f>
        <v>0</v>
      </c>
      <c r="K58" s="8" t="n">
        <f aca="false">J58-H58</f>
        <v>-467.42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297</v>
      </c>
      <c r="B59" s="7" t="str">
        <f aca="false">IFERROR(INDEX('Source'!$C:$C,MATCH($A59,'Source'!$B:$B,0)),"")</f>
        <v>חגורת גב+סגירה כפולה</v>
      </c>
      <c r="C59" s="8" t="n">
        <f aca="false">SUMIFS('Source'!$D:$D,'Source'!$A:$A,"160150 MAX KONNARIS LTD",'Source'!$B:$B,$A59)</f>
        <v>10</v>
      </c>
      <c r="D59" s="8" t="n">
        <f aca="false">SUMIFS('Source'!$F:$F,'Source'!$A:$A,"160150 MAX KONNARIS LTD",'Source'!$B:$B,$A59)</f>
        <v>0</v>
      </c>
      <c r="E59" s="8" t="n">
        <f aca="false">D59*$J$5</f>
        <v>0</v>
      </c>
      <c r="F59" s="8" t="n">
        <f aca="false">E59-C59</f>
        <v>-10</v>
      </c>
      <c r="G59" s="9" t="n">
        <f aca="false">IF(AND(C59=0,E59=0),0,IF(C59=0,"New",(E59-C59)/C59))</f>
        <v>-1</v>
      </c>
      <c r="H59" s="8" t="n">
        <f aca="false">SUMIFS('Source'!$E:$E,'Source'!$A:$A,"160150 MAX KONNARIS LTD",'Source'!$B:$B,$A59)</f>
        <v>463.53</v>
      </c>
      <c r="I59" s="8" t="n">
        <f aca="false">SUMIFS('Source'!$G:$G,'Source'!$A:$A,"160150 MAX KONNARIS LTD",'Source'!$B:$B,$A59)</f>
        <v>0</v>
      </c>
      <c r="J59" s="8" t="n">
        <f aca="false">I59*$J$5</f>
        <v>0</v>
      </c>
      <c r="K59" s="8" t="n">
        <f aca="false">J59-H59</f>
        <v>-463.53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142</v>
      </c>
      <c r="B60" s="7" t="str">
        <f aca="false">IFERROR(INDEX('Source'!$C:$C,MATCH($A60,'Source'!$B:$B,0)),"")</f>
        <v>SpinaShield | חגורת תיקון יציבה לעמוד שדרה וכתפיים</v>
      </c>
      <c r="C60" s="8" t="n">
        <f aca="false">SUMIFS('Source'!$D:$D,'Source'!$A:$A,"160150 MAX KONNARIS LTD",'Source'!$B:$B,$A60)</f>
        <v>0</v>
      </c>
      <c r="D60" s="8" t="n">
        <f aca="false">SUMIFS('Source'!$F:$F,'Source'!$A:$A,"160150 MAX KONNARIS LTD",'Source'!$B:$B,$A60)</f>
        <v>3</v>
      </c>
      <c r="E60" s="8" t="n">
        <f aca="false">D60*$J$5</f>
        <v>3.78947368421053</v>
      </c>
      <c r="F60" s="8" t="n">
        <f aca="false">E60-C60</f>
        <v>3.78947368421053</v>
      </c>
      <c r="G60" s="9" t="str">
        <f aca="false">IF(AND(C60=0,E60=0),0,IF(C60=0,"New",(E60-C60)/C60))</f>
        <v>New</v>
      </c>
      <c r="H60" s="8" t="n">
        <f aca="false">SUMIFS('Source'!$E:$E,'Source'!$A:$A,"160150 MAX KONNARIS LTD",'Source'!$B:$B,$A60)</f>
        <v>0</v>
      </c>
      <c r="I60" s="8" t="n">
        <f aca="false">SUMIFS('Source'!$G:$G,'Source'!$A:$A,"160150 MAX KONNARIS LTD",'Source'!$B:$B,$A60)</f>
        <v>462.95</v>
      </c>
      <c r="J60" s="8" t="n">
        <f aca="false">I60*$J$5</f>
        <v>584.778947368421</v>
      </c>
      <c r="K60" s="8" t="n">
        <f aca="false">J60-H60</f>
        <v>584.778947368421</v>
      </c>
      <c r="L60" s="9" t="str">
        <f aca="false">IF(AND(H60=0,J60=0),0,IF(H60=0,"New",(J60-H60)/H60))</f>
        <v>New</v>
      </c>
      <c r="M60" s="7" t="str">
        <f aca="false">IF(AND(OR(C60&lt;&gt;0,H60&lt;&gt;0),D60=0,I60=0),"DROP",IF(AND(OR(D60&lt;&gt;0,I60&lt;&gt;0),C60=0,H60=0),"NEW",""))</f>
        <v>NEW</v>
      </c>
    </row>
    <row r="61" customFormat="false" ht="15" hidden="false" customHeight="false" outlineLevel="0" collapsed="false">
      <c r="A61" s="7" t="s">
        <v>149</v>
      </c>
      <c r="B61" s="7" t="str">
        <f aca="false">IFERROR(INDEX('Source'!$C:$C,MATCH($A61,'Source'!$B:$B,0)),"")</f>
        <v>SpinaShield | חגורת תיקון יציבה לעמוד שדרה וכתפיים</v>
      </c>
      <c r="C61" s="8" t="n">
        <f aca="false">SUMIFS('Source'!$D:$D,'Source'!$A:$A,"160150 MAX KONNARIS LTD",'Source'!$B:$B,$A61)</f>
        <v>0</v>
      </c>
      <c r="D61" s="8" t="n">
        <f aca="false">SUMIFS('Source'!$F:$F,'Source'!$A:$A,"160150 MAX KONNARIS LTD",'Source'!$B:$B,$A61)</f>
        <v>3</v>
      </c>
      <c r="E61" s="8" t="n">
        <f aca="false">D61*$J$5</f>
        <v>3.78947368421053</v>
      </c>
      <c r="F61" s="8" t="n">
        <f aca="false">E61-C61</f>
        <v>3.78947368421053</v>
      </c>
      <c r="G61" s="9" t="str">
        <f aca="false">IF(AND(C61=0,E61=0),0,IF(C61=0,"New",(E61-C61)/C61))</f>
        <v>New</v>
      </c>
      <c r="H61" s="8" t="n">
        <f aca="false">SUMIFS('Source'!$E:$E,'Source'!$A:$A,"160150 MAX KONNARIS LTD",'Source'!$B:$B,$A61)</f>
        <v>0</v>
      </c>
      <c r="I61" s="8" t="n">
        <f aca="false">SUMIFS('Source'!$G:$G,'Source'!$A:$A,"160150 MAX KONNARIS LTD",'Source'!$B:$B,$A61)</f>
        <v>462.95</v>
      </c>
      <c r="J61" s="8" t="n">
        <f aca="false">I61*$J$5</f>
        <v>584.778947368421</v>
      </c>
      <c r="K61" s="8" t="n">
        <f aca="false">J61-H61</f>
        <v>584.778947368421</v>
      </c>
      <c r="L61" s="9" t="str">
        <f aca="false">IF(AND(H61=0,J61=0),0,IF(H61=0,"New",(J61-H61)/H61))</f>
        <v>New</v>
      </c>
      <c r="M61" s="7" t="str">
        <f aca="false">IF(AND(OR(C61&lt;&gt;0,H61&lt;&gt;0),D61=0,I61=0),"DROP",IF(AND(OR(D61&lt;&gt;0,I61&lt;&gt;0),C61=0,H61=0),"NEW",""))</f>
        <v>NEW</v>
      </c>
    </row>
    <row r="62" customFormat="false" ht="15" hidden="false" customHeight="false" outlineLevel="0" collapsed="false">
      <c r="A62" s="7" t="s">
        <v>986</v>
      </c>
      <c r="B62" s="7" t="str">
        <f aca="false">IFERROR(INDEX('Source'!$C:$C,MATCH($A62,'Source'!$B:$B,0)),"")</f>
        <v>SpinaShield | חגורת תיקון יציבה לעמוד שדרה וכתפיים</v>
      </c>
      <c r="C62" s="8" t="n">
        <f aca="false">SUMIFS('Source'!$D:$D,'Source'!$A:$A,"160150 MAX KONNARIS LTD",'Source'!$B:$B,$A62)</f>
        <v>0</v>
      </c>
      <c r="D62" s="8" t="n">
        <f aca="false">SUMIFS('Source'!$F:$F,'Source'!$A:$A,"160150 MAX KONNARIS LTD",'Source'!$B:$B,$A62)</f>
        <v>3</v>
      </c>
      <c r="E62" s="8" t="n">
        <f aca="false">D62*$J$5</f>
        <v>3.78947368421053</v>
      </c>
      <c r="F62" s="8" t="n">
        <f aca="false">E62-C62</f>
        <v>3.78947368421053</v>
      </c>
      <c r="G62" s="9" t="str">
        <f aca="false">IF(AND(C62=0,E62=0),0,IF(C62=0,"New",(E62-C62)/C62))</f>
        <v>New</v>
      </c>
      <c r="H62" s="8" t="n">
        <f aca="false">SUMIFS('Source'!$E:$E,'Source'!$A:$A,"160150 MAX KONNARIS LTD",'Source'!$B:$B,$A62)</f>
        <v>0</v>
      </c>
      <c r="I62" s="8" t="n">
        <f aca="false">SUMIFS('Source'!$G:$G,'Source'!$A:$A,"160150 MAX KONNARIS LTD",'Source'!$B:$B,$A62)</f>
        <v>462.95</v>
      </c>
      <c r="J62" s="8" t="n">
        <f aca="false">I62*$J$5</f>
        <v>584.778947368421</v>
      </c>
      <c r="K62" s="8" t="n">
        <f aca="false">J62-H62</f>
        <v>584.778947368421</v>
      </c>
      <c r="L62" s="9" t="str">
        <f aca="false">IF(AND(H62=0,J62=0),0,IF(H62=0,"New",(J62-H62)/H62))</f>
        <v>New</v>
      </c>
      <c r="M62" s="7" t="str">
        <f aca="false">IF(AND(OR(C62&lt;&gt;0,H62&lt;&gt;0),D62=0,I62=0),"DROP",IF(AND(OR(D62&lt;&gt;0,I62&lt;&gt;0),C62=0,H62=0),"NEW",""))</f>
        <v>NEW</v>
      </c>
    </row>
    <row r="63" customFormat="false" ht="15" hidden="false" customHeight="false" outlineLevel="0" collapsed="false">
      <c r="A63" s="7" t="s">
        <v>582</v>
      </c>
      <c r="B63" s="7" t="str">
        <f aca="false">IFERROR(INDEX('Source'!$C:$C,MATCH($A63,'Source'!$B:$B,0)),"")</f>
        <v>חבק לשורש כף היד</v>
      </c>
      <c r="C63" s="8" t="n">
        <f aca="false">SUMIFS('Source'!$D:$D,'Source'!$A:$A,"160150 MAX KONNARIS LTD",'Source'!$B:$B,$A63)</f>
        <v>0</v>
      </c>
      <c r="D63" s="8" t="n">
        <f aca="false">SUMIFS('Source'!$F:$F,'Source'!$A:$A,"160150 MAX KONNARIS LTD",'Source'!$B:$B,$A63)</f>
        <v>30</v>
      </c>
      <c r="E63" s="8" t="n">
        <f aca="false">D63*$J$5</f>
        <v>37.8947368421053</v>
      </c>
      <c r="F63" s="8" t="n">
        <f aca="false">E63-C63</f>
        <v>37.8947368421053</v>
      </c>
      <c r="G63" s="9" t="str">
        <f aca="false">IF(AND(C63=0,E63=0),0,IF(C63=0,"New",(E63-C63)/C63))</f>
        <v>New</v>
      </c>
      <c r="H63" s="8" t="n">
        <f aca="false">SUMIFS('Source'!$E:$E,'Source'!$A:$A,"160150 MAX KONNARIS LTD",'Source'!$B:$B,$A63)</f>
        <v>0</v>
      </c>
      <c r="I63" s="8" t="n">
        <f aca="false">SUMIFS('Source'!$G:$G,'Source'!$A:$A,"160150 MAX KONNARIS LTD",'Source'!$B:$B,$A63)</f>
        <v>457.77</v>
      </c>
      <c r="J63" s="8" t="n">
        <f aca="false">I63*$J$5</f>
        <v>578.235789473684</v>
      </c>
      <c r="K63" s="8" t="n">
        <f aca="false">J63-H63</f>
        <v>578.235789473684</v>
      </c>
      <c r="L63" s="9" t="str">
        <f aca="false">IF(AND(H63=0,J63=0),0,IF(H63=0,"New",(J63-H63)/H63))</f>
        <v>New</v>
      </c>
      <c r="M63" s="7" t="str">
        <f aca="false">IF(AND(OR(C63&lt;&gt;0,H63&lt;&gt;0),D63=0,I63=0),"DROP",IF(AND(OR(D63&lt;&gt;0,I63&lt;&gt;0),C63=0,H63=0),"NEW",""))</f>
        <v>NEW</v>
      </c>
    </row>
    <row r="64" customFormat="false" ht="15" hidden="false" customHeight="false" outlineLevel="0" collapsed="false">
      <c r="A64" s="7" t="s">
        <v>757</v>
      </c>
      <c r="B64" s="7" t="str">
        <f aca="false">IFERROR(INDEX('Source'!$C:$C,MATCH($A64,'Source'!$B:$B,0)),"")</f>
        <v>מגן לכתף ימין/שמאל</v>
      </c>
      <c r="C64" s="8" t="n">
        <f aca="false">SUMIFS('Source'!$D:$D,'Source'!$A:$A,"160150 MAX KONNARIS LTD",'Source'!$B:$B,$A64)</f>
        <v>0</v>
      </c>
      <c r="D64" s="8" t="n">
        <f aca="false">SUMIFS('Source'!$F:$F,'Source'!$A:$A,"160150 MAX KONNARIS LTD",'Source'!$B:$B,$A64)</f>
        <v>6</v>
      </c>
      <c r="E64" s="8" t="n">
        <f aca="false">D64*$J$5</f>
        <v>7.57894736842105</v>
      </c>
      <c r="F64" s="8" t="n">
        <f aca="false">E64-C64</f>
        <v>7.57894736842105</v>
      </c>
      <c r="G64" s="9" t="str">
        <f aca="false">IF(AND(C64=0,E64=0),0,IF(C64=0,"New",(E64-C64)/C64))</f>
        <v>New</v>
      </c>
      <c r="H64" s="8" t="n">
        <f aca="false">SUMIFS('Source'!$E:$E,'Source'!$A:$A,"160150 MAX KONNARIS LTD",'Source'!$B:$B,$A64)</f>
        <v>0</v>
      </c>
      <c r="I64" s="8" t="n">
        <f aca="false">SUMIFS('Source'!$G:$G,'Source'!$A:$A,"160150 MAX KONNARIS LTD",'Source'!$B:$B,$A64)</f>
        <v>445.31</v>
      </c>
      <c r="J64" s="8" t="n">
        <f aca="false">I64*$J$5</f>
        <v>562.496842105263</v>
      </c>
      <c r="K64" s="8" t="n">
        <f aca="false">J64-H64</f>
        <v>562.496842105263</v>
      </c>
      <c r="L64" s="9" t="str">
        <f aca="false">IF(AND(H64=0,J64=0),0,IF(H64=0,"New",(J64-H64)/H64))</f>
        <v>New</v>
      </c>
      <c r="M64" s="7" t="str">
        <f aca="false">IF(AND(OR(C64&lt;&gt;0,H64&lt;&gt;0),D64=0,I64=0),"DROP",IF(AND(OR(D64&lt;&gt;0,I64&lt;&gt;0),C64=0,H64=0),"NEW",""))</f>
        <v>NEW</v>
      </c>
    </row>
    <row r="65" customFormat="false" ht="15" hidden="false" customHeight="false" outlineLevel="0" collapsed="false">
      <c r="A65" s="7" t="s">
        <v>437</v>
      </c>
      <c r="B65" s="7" t="str">
        <f aca="false">IFERROR(INDEX('Source'!$C:$C,MATCH($A65,'Source'!$B:$B,0)),"")</f>
        <v>חגורת גב עם תמיכות</v>
      </c>
      <c r="C65" s="8" t="n">
        <f aca="false">SUMIFS('Source'!$D:$D,'Source'!$A:$A,"160150 MAX KONNARIS LTD",'Source'!$B:$B,$A65)</f>
        <v>10</v>
      </c>
      <c r="D65" s="8" t="n">
        <f aca="false">SUMIFS('Source'!$F:$F,'Source'!$A:$A,"160150 MAX KONNARIS LTD",'Source'!$B:$B,$A65)</f>
        <v>22</v>
      </c>
      <c r="E65" s="8" t="n">
        <f aca="false">D65*$J$5</f>
        <v>27.7894736842105</v>
      </c>
      <c r="F65" s="8" t="n">
        <f aca="false">E65-C65</f>
        <v>17.7894736842105</v>
      </c>
      <c r="G65" s="9" t="n">
        <f aca="false">IF(AND(C65=0,E65=0),0,IF(C65=0,"New",(E65-C65)/C65))</f>
        <v>1.77894736842105</v>
      </c>
      <c r="H65" s="8" t="n">
        <f aca="false">SUMIFS('Source'!$E:$E,'Source'!$A:$A,"160150 MAX KONNARIS LTD",'Source'!$B:$B,$A65)</f>
        <v>438.21</v>
      </c>
      <c r="I65" s="8" t="n">
        <f aca="false">SUMIFS('Source'!$G:$G,'Source'!$A:$A,"160150 MAX KONNARIS LTD",'Source'!$B:$B,$A65)</f>
        <v>881.05</v>
      </c>
      <c r="J65" s="8" t="n">
        <f aca="false">I65*$J$5</f>
        <v>1112.90526315789</v>
      </c>
      <c r="K65" s="8" t="n">
        <f aca="false">J65-H65</f>
        <v>674.695263157895</v>
      </c>
      <c r="L65" s="9" t="n">
        <f aca="false">IF(AND(H65=0,J65=0),0,IF(H65=0,"New",(J65-H65)/H65))</f>
        <v>1.53966195011044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176</v>
      </c>
      <c r="B66" s="7" t="str">
        <f aca="false">IFERROR(INDEX('Source'!$C:$C,MATCH($A66,'Source'!$B:$B,0)),"")</f>
        <v>חבק יד</v>
      </c>
      <c r="C66" s="8" t="n">
        <f aca="false">SUMIFS('Source'!$D:$D,'Source'!$A:$A,"160150 MAX KONNARIS LTD",'Source'!$B:$B,$A66)</f>
        <v>120</v>
      </c>
      <c r="D66" s="8" t="n">
        <f aca="false">SUMIFS('Source'!$F:$F,'Source'!$A:$A,"160150 MAX KONNARIS LTD",'Source'!$B:$B,$A66)</f>
        <v>100</v>
      </c>
      <c r="E66" s="8" t="n">
        <f aca="false">D66*$J$5</f>
        <v>126.315789473684</v>
      </c>
      <c r="F66" s="8" t="n">
        <f aca="false">E66-C66</f>
        <v>6.31578947368421</v>
      </c>
      <c r="G66" s="9" t="n">
        <f aca="false">IF(AND(C66=0,E66=0),0,IF(C66=0,"New",(E66-C66)/C66))</f>
        <v>0.0526315789473684</v>
      </c>
      <c r="H66" s="8" t="n">
        <f aca="false">SUMIFS('Source'!$E:$E,'Source'!$A:$A,"160150 MAX KONNARIS LTD",'Source'!$B:$B,$A66)</f>
        <v>1792.25</v>
      </c>
      <c r="I66" s="8" t="n">
        <f aca="false">SUMIFS('Source'!$G:$G,'Source'!$A:$A,"160150 MAX KONNARIS LTD",'Source'!$B:$B,$A66)</f>
        <v>1358.95</v>
      </c>
      <c r="J66" s="8" t="n">
        <f aca="false">I66*$J$5</f>
        <v>1716.56842105263</v>
      </c>
      <c r="K66" s="8" t="n">
        <f aca="false">J66-H66</f>
        <v>-75.6815789473685</v>
      </c>
      <c r="L66" s="9" t="n">
        <f aca="false">IF(AND(H66=0,J66=0),0,IF(H66=0,"New",(J66-H66)/H66))</f>
        <v>-0.0422271329040974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139</v>
      </c>
      <c r="B67" s="7" t="str">
        <f aca="false">IFERROR(INDEX('Source'!$C:$C,MATCH($A67,'Source'!$B:$B,0)),"")</f>
        <v>כפפת CTS שמאל</v>
      </c>
      <c r="C67" s="8" t="n">
        <f aca="false">SUMIFS('Source'!$D:$D,'Source'!$A:$A,"160150 MAX KONNARIS LTD",'Source'!$B:$B,$A67)</f>
        <v>0</v>
      </c>
      <c r="D67" s="8" t="n">
        <f aca="false">SUMIFS('Source'!$F:$F,'Source'!$A:$A,"160150 MAX KONNARIS LTD",'Source'!$B:$B,$A67)</f>
        <v>10</v>
      </c>
      <c r="E67" s="8" t="n">
        <f aca="false">D67*$J$5</f>
        <v>12.6315789473684</v>
      </c>
      <c r="F67" s="8" t="n">
        <f aca="false">E67-C67</f>
        <v>12.6315789473684</v>
      </c>
      <c r="G67" s="9" t="str">
        <f aca="false">IF(AND(C67=0,E67=0),0,IF(C67=0,"New",(E67-C67)/C67))</f>
        <v>New</v>
      </c>
      <c r="H67" s="8" t="n">
        <f aca="false">SUMIFS('Source'!$E:$E,'Source'!$A:$A,"160150 MAX KONNARIS LTD",'Source'!$B:$B,$A67)</f>
        <v>0</v>
      </c>
      <c r="I67" s="8" t="n">
        <f aca="false">SUMIFS('Source'!$G:$G,'Source'!$A:$A,"160150 MAX KONNARIS LTD",'Source'!$B:$B,$A67)</f>
        <v>431.72</v>
      </c>
      <c r="J67" s="8" t="n">
        <f aca="false">I67*$J$5</f>
        <v>545.33052631579</v>
      </c>
      <c r="K67" s="8" t="n">
        <f aca="false">J67-H67</f>
        <v>545.33052631579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120</v>
      </c>
      <c r="B68" s="7" t="str">
        <f aca="false">IFERROR(INDEX('Source'!$C:$C,MATCH($A68,'Source'!$B:$B,0)),"")</f>
        <v>כפפת CTS ימין</v>
      </c>
      <c r="C68" s="8" t="n">
        <f aca="false">SUMIFS('Source'!$D:$D,'Source'!$A:$A,"160150 MAX KONNARIS LTD",'Source'!$B:$B,$A68)</f>
        <v>0</v>
      </c>
      <c r="D68" s="8" t="n">
        <f aca="false">SUMIFS('Source'!$F:$F,'Source'!$A:$A,"160150 MAX KONNARIS LTD",'Source'!$B:$B,$A68)</f>
        <v>10</v>
      </c>
      <c r="E68" s="8" t="n">
        <f aca="false">D68*$J$5</f>
        <v>12.6315789473684</v>
      </c>
      <c r="F68" s="8" t="n">
        <f aca="false">E68-C68</f>
        <v>12.6315789473684</v>
      </c>
      <c r="G68" s="9" t="str">
        <f aca="false">IF(AND(C68=0,E68=0),0,IF(C68=0,"New",(E68-C68)/C68))</f>
        <v>New</v>
      </c>
      <c r="H68" s="8" t="n">
        <f aca="false">SUMIFS('Source'!$E:$E,'Source'!$A:$A,"160150 MAX KONNARIS LTD",'Source'!$B:$B,$A68)</f>
        <v>0</v>
      </c>
      <c r="I68" s="8" t="n">
        <f aca="false">SUMIFS('Source'!$G:$G,'Source'!$A:$A,"160150 MAX KONNARIS LTD",'Source'!$B:$B,$A68)</f>
        <v>431.72</v>
      </c>
      <c r="J68" s="8" t="n">
        <f aca="false">I68*$J$5</f>
        <v>545.33052631579</v>
      </c>
      <c r="K68" s="8" t="n">
        <f aca="false">J68-H68</f>
        <v>545.33052631579</v>
      </c>
      <c r="L68" s="9" t="str">
        <f aca="false">IF(AND(H68=0,J68=0),0,IF(H68=0,"New",(J68-H68)/H68))</f>
        <v>New</v>
      </c>
      <c r="M68" s="7" t="str">
        <f aca="false">IF(AND(OR(C68&lt;&gt;0,H68&lt;&gt;0),D68=0,I68=0),"DROP",IF(AND(OR(D68&lt;&gt;0,I68&lt;&gt;0),C68=0,H68=0),"NEW",""))</f>
        <v>NEW</v>
      </c>
    </row>
    <row r="69" customFormat="false" ht="15" hidden="false" customHeight="false" outlineLevel="0" collapsed="false">
      <c r="A69" s="7" t="s">
        <v>213</v>
      </c>
      <c r="B69" s="7" t="str">
        <f aca="false">IFERROR(INDEX('Source'!$C:$C,MATCH($A69,'Source'!$B:$B,0)),"")</f>
        <v>סד יד</v>
      </c>
      <c r="C69" s="8" t="n">
        <f aca="false">SUMIFS('Source'!$D:$D,'Source'!$A:$A,"160150 MAX KONNARIS LTD",'Source'!$B:$B,$A69)</f>
        <v>40</v>
      </c>
      <c r="D69" s="8" t="n">
        <f aca="false">SUMIFS('Source'!$F:$F,'Source'!$A:$A,"160150 MAX KONNARIS LTD",'Source'!$B:$B,$A69)</f>
        <v>22</v>
      </c>
      <c r="E69" s="8" t="n">
        <f aca="false">D69*$J$5</f>
        <v>27.7894736842105</v>
      </c>
      <c r="F69" s="8" t="n">
        <f aca="false">E69-C69</f>
        <v>-12.2105263157895</v>
      </c>
      <c r="G69" s="9" t="n">
        <f aca="false">IF(AND(C69=0,E69=0),0,IF(C69=0,"New",(E69-C69)/C69))</f>
        <v>-0.305263157894737</v>
      </c>
      <c r="H69" s="8" t="n">
        <f aca="false">SUMIFS('Source'!$E:$E,'Source'!$A:$A,"160150 MAX KONNARIS LTD",'Source'!$B:$B,$A69)</f>
        <v>780.98</v>
      </c>
      <c r="I69" s="8" t="n">
        <f aca="false">SUMIFS('Source'!$G:$G,'Source'!$A:$A,"160150 MAX KONNARIS LTD",'Source'!$B:$B,$A69)</f>
        <v>357.65</v>
      </c>
      <c r="J69" s="8" t="n">
        <f aca="false">I69*$J$5</f>
        <v>451.768421052632</v>
      </c>
      <c r="K69" s="8" t="n">
        <f aca="false">J69-H69</f>
        <v>-329.211578947369</v>
      </c>
      <c r="L69" s="9" t="n">
        <f aca="false">IF(AND(H69=0,J69=0),0,IF(H69=0,"New",(J69-H69)/H69))</f>
        <v>-0.421536504068438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398</v>
      </c>
      <c r="B70" s="7" t="str">
        <f aca="false">IFERROR(INDEX('Source'!$C:$C,MATCH($A70,'Source'!$B:$B,0)),"")</f>
        <v>טייפ חבישה לספורט בז'</v>
      </c>
      <c r="C70" s="8" t="n">
        <f aca="false">SUMIFS('Source'!$D:$D,'Source'!$A:$A,"160150 MAX KONNARIS LTD",'Source'!$B:$B,$A70)</f>
        <v>44</v>
      </c>
      <c r="D70" s="8" t="n">
        <f aca="false">SUMIFS('Source'!$F:$F,'Source'!$A:$A,"160150 MAX KONNARIS LTD",'Source'!$B:$B,$A70)</f>
        <v>0</v>
      </c>
      <c r="E70" s="8" t="n">
        <f aca="false">D70*$J$5</f>
        <v>0</v>
      </c>
      <c r="F70" s="8" t="n">
        <f aca="false">E70-C70</f>
        <v>-44</v>
      </c>
      <c r="G70" s="9" t="n">
        <f aca="false">IF(AND(C70=0,E70=0),0,IF(C70=0,"New",(E70-C70)/C70))</f>
        <v>-1</v>
      </c>
      <c r="H70" s="8" t="n">
        <f aca="false">SUMIFS('Source'!$E:$E,'Source'!$A:$A,"160150 MAX KONNARIS LTD",'Source'!$B:$B,$A70)</f>
        <v>422.71</v>
      </c>
      <c r="I70" s="8" t="n">
        <f aca="false">SUMIFS('Source'!$G:$G,'Source'!$A:$A,"160150 MAX KONNARIS LTD",'Source'!$B:$B,$A70)</f>
        <v>0</v>
      </c>
      <c r="J70" s="8" t="n">
        <f aca="false">I70*$J$5</f>
        <v>0</v>
      </c>
      <c r="K70" s="8" t="n">
        <f aca="false">J70-H70</f>
        <v>-422.71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125</v>
      </c>
      <c r="B71" s="7" t="str">
        <f aca="false">IFERROR(INDEX('Source'!$C:$C,MATCH($A71,'Source'!$B:$B,0)),"")</f>
        <v>שרוול לגבס ארוך רגל</v>
      </c>
      <c r="C71" s="8" t="n">
        <f aca="false">SUMIFS('Source'!$D:$D,'Source'!$A:$A,"160150 MAX KONNARIS LTD",'Source'!$B:$B,$A71)</f>
        <v>30</v>
      </c>
      <c r="D71" s="8" t="n">
        <f aca="false">SUMIFS('Source'!$F:$F,'Source'!$A:$A,"160150 MAX KONNARIS LTD",'Source'!$B:$B,$A71)</f>
        <v>50</v>
      </c>
      <c r="E71" s="8" t="n">
        <f aca="false">D71*$J$5</f>
        <v>63.1578947368421</v>
      </c>
      <c r="F71" s="8" t="n">
        <f aca="false">E71-C71</f>
        <v>33.1578947368421</v>
      </c>
      <c r="G71" s="9" t="n">
        <f aca="false">IF(AND(C71=0,E71=0),0,IF(C71=0,"New",(E71-C71)/C71))</f>
        <v>1.10526315789474</v>
      </c>
      <c r="H71" s="8" t="n">
        <f aca="false">SUMIFS('Source'!$E:$E,'Source'!$A:$A,"160150 MAX KONNARIS LTD",'Source'!$B:$B,$A71)</f>
        <v>919.47</v>
      </c>
      <c r="I71" s="8" t="n">
        <f aca="false">SUMIFS('Source'!$G:$G,'Source'!$A:$A,"160150 MAX KONNARIS LTD",'Source'!$B:$B,$A71)</f>
        <v>1340.08</v>
      </c>
      <c r="J71" s="8" t="n">
        <f aca="false">I71*$J$5</f>
        <v>1692.73263157895</v>
      </c>
      <c r="K71" s="8" t="n">
        <f aca="false">J71-H71</f>
        <v>773.262631578947</v>
      </c>
      <c r="L71" s="9" t="n">
        <f aca="false">IF(AND(H71=0,J71=0),0,IF(H71=0,"New",(J71-H71)/H71))</f>
        <v>0.840987342250369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934</v>
      </c>
      <c r="B72" s="7" t="str">
        <f aca="false">IFERROR(INDEX('Source'!$C:$C,MATCH($A72,'Source'!$B:$B,0)),"")</f>
        <v>מתלה יד-ספוגי</v>
      </c>
      <c r="C72" s="8" t="n">
        <f aca="false">SUMIFS('Source'!$D:$D,'Source'!$A:$A,"160150 MAX KONNARIS LTD",'Source'!$B:$B,$A72)</f>
        <v>40</v>
      </c>
      <c r="D72" s="8" t="n">
        <f aca="false">SUMIFS('Source'!$F:$F,'Source'!$A:$A,"160150 MAX KONNARIS LTD",'Source'!$B:$B,$A72)</f>
        <v>30</v>
      </c>
      <c r="E72" s="8" t="n">
        <f aca="false">D72*$J$5</f>
        <v>37.8947368421053</v>
      </c>
      <c r="F72" s="8" t="n">
        <f aca="false">E72-C72</f>
        <v>-2.10526315789474</v>
      </c>
      <c r="G72" s="9" t="n">
        <f aca="false">IF(AND(C72=0,E72=0),0,IF(C72=0,"New",(E72-C72)/C72))</f>
        <v>-0.0526315789473685</v>
      </c>
      <c r="H72" s="8" t="n">
        <f aca="false">SUMIFS('Source'!$E:$E,'Source'!$A:$A,"160150 MAX KONNARIS LTD",'Source'!$B:$B,$A72)</f>
        <v>1252.59</v>
      </c>
      <c r="I72" s="8" t="n">
        <f aca="false">SUMIFS('Source'!$G:$G,'Source'!$A:$A,"160150 MAX KONNARIS LTD",'Source'!$B:$B,$A72)</f>
        <v>840.14</v>
      </c>
      <c r="J72" s="8" t="n">
        <f aca="false">I72*$J$5</f>
        <v>1061.22947368421</v>
      </c>
      <c r="K72" s="8" t="n">
        <f aca="false">J72-H72</f>
        <v>-191.36052631579</v>
      </c>
      <c r="L72" s="9" t="n">
        <f aca="false">IF(AND(H72=0,J72=0),0,IF(H72=0,"New",(J72-H72)/H72))</f>
        <v>-0.152771877721992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280</v>
      </c>
      <c r="B73" s="7" t="str">
        <f aca="false">IFERROR(INDEX('Source'!$C:$C,MATCH($A73,'Source'!$B:$B,0)),"")</f>
        <v>מ.ברך</v>
      </c>
      <c r="C73" s="8" t="n">
        <f aca="false">SUMIFS('Source'!$D:$D,'Source'!$A:$A,"160150 MAX KONNARIS LTD",'Source'!$B:$B,$A73)</f>
        <v>50</v>
      </c>
      <c r="D73" s="8" t="n">
        <f aca="false">SUMIFS('Source'!$F:$F,'Source'!$A:$A,"160150 MAX KONNARIS LTD",'Source'!$B:$B,$A73)</f>
        <v>30</v>
      </c>
      <c r="E73" s="8" t="n">
        <f aca="false">D73*$J$5</f>
        <v>37.8947368421053</v>
      </c>
      <c r="F73" s="8" t="n">
        <f aca="false">E73-C73</f>
        <v>-12.1052631578947</v>
      </c>
      <c r="G73" s="9" t="n">
        <f aca="false">IF(AND(C73=0,E73=0),0,IF(C73=0,"New",(E73-C73)/C73))</f>
        <v>-0.242105263157895</v>
      </c>
      <c r="H73" s="8" t="n">
        <f aca="false">SUMIFS('Source'!$E:$E,'Source'!$A:$A,"160150 MAX KONNARIS LTD",'Source'!$B:$B,$A73)</f>
        <v>940.21</v>
      </c>
      <c r="I73" s="8" t="n">
        <f aca="false">SUMIFS('Source'!$G:$G,'Source'!$A:$A,"160150 MAX KONNARIS LTD",'Source'!$B:$B,$A73)</f>
        <v>527.77</v>
      </c>
      <c r="J73" s="8" t="n">
        <f aca="false">I73*$J$5</f>
        <v>666.656842105263</v>
      </c>
      <c r="K73" s="8" t="n">
        <f aca="false">J73-H73</f>
        <v>-273.553157894737</v>
      </c>
      <c r="L73" s="9" t="n">
        <f aca="false">IF(AND(H73=0,J73=0),0,IF(H73=0,"New",(J73-H73)/H73))</f>
        <v>-0.290948998516009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596</v>
      </c>
      <c r="B74" s="7" t="str">
        <f aca="false">IFERROR(INDEX('Source'!$C:$C,MATCH($A74,'Source'!$B:$B,0)),"")</f>
        <v>צוארון ספוגי</v>
      </c>
      <c r="C74" s="8" t="n">
        <f aca="false">SUMIFS('Source'!$D:$D,'Source'!$A:$A,"160150 MAX KONNARIS LTD",'Source'!$B:$B,$A74)</f>
        <v>20</v>
      </c>
      <c r="D74" s="8" t="n">
        <f aca="false">SUMIFS('Source'!$F:$F,'Source'!$A:$A,"160150 MAX KONNARIS LTD",'Source'!$B:$B,$A74)</f>
        <v>6</v>
      </c>
      <c r="E74" s="8" t="n">
        <f aca="false">D74*$J$5</f>
        <v>7.57894736842105</v>
      </c>
      <c r="F74" s="8" t="n">
        <f aca="false">E74-C74</f>
        <v>-12.4210526315789</v>
      </c>
      <c r="G74" s="9" t="n">
        <f aca="false">IF(AND(C74=0,E74=0),0,IF(C74=0,"New",(E74-C74)/C74))</f>
        <v>-0.621052631578947</v>
      </c>
      <c r="H74" s="8" t="n">
        <f aca="false">SUMIFS('Source'!$E:$E,'Source'!$A:$A,"160150 MAX KONNARIS LTD",'Source'!$B:$B,$A74)</f>
        <v>547.87</v>
      </c>
      <c r="I74" s="8" t="n">
        <f aca="false">SUMIFS('Source'!$G:$G,'Source'!$A:$A,"160150 MAX KONNARIS LTD",'Source'!$B:$B,$A74)</f>
        <v>144.4</v>
      </c>
      <c r="J74" s="8" t="n">
        <f aca="false">I74*$J$5</f>
        <v>182.4</v>
      </c>
      <c r="K74" s="8" t="n">
        <f aca="false">J74-H74</f>
        <v>-365.47</v>
      </c>
      <c r="L74" s="9" t="n">
        <f aca="false">IF(AND(H74=0,J74=0),0,IF(H74=0,"New",(J74-H74)/H74))</f>
        <v>-0.667074305948492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905</v>
      </c>
      <c r="B75" s="7" t="str">
        <f aca="false">IFERROR(INDEX('Source'!$C:$C,MATCH($A75,'Source'!$B:$B,0)),"")</f>
        <v>מדרס סיליקון לנעלי עקב</v>
      </c>
      <c r="C75" s="8" t="n">
        <f aca="false">SUMIFS('Source'!$D:$D,'Source'!$A:$A,"160150 MAX KONNARIS LTD",'Source'!$B:$B,$A75)</f>
        <v>0</v>
      </c>
      <c r="D75" s="8" t="n">
        <f aca="false">SUMIFS('Source'!$F:$F,'Source'!$A:$A,"160150 MAX KONNARIS LTD",'Source'!$B:$B,$A75)</f>
        <v>20</v>
      </c>
      <c r="E75" s="8" t="n">
        <f aca="false">D75*$J$5</f>
        <v>25.2631578947368</v>
      </c>
      <c r="F75" s="8" t="n">
        <f aca="false">E75-C75</f>
        <v>25.2631578947368</v>
      </c>
      <c r="G75" s="9" t="str">
        <f aca="false">IF(AND(C75=0,E75=0),0,IF(C75=0,"New",(E75-C75)/C75))</f>
        <v>New</v>
      </c>
      <c r="H75" s="8" t="n">
        <f aca="false">SUMIFS('Source'!$E:$E,'Source'!$A:$A,"160150 MAX KONNARIS LTD",'Source'!$B:$B,$A75)</f>
        <v>0</v>
      </c>
      <c r="I75" s="8" t="n">
        <f aca="false">SUMIFS('Source'!$G:$G,'Source'!$A:$A,"160150 MAX KONNARIS LTD",'Source'!$B:$B,$A75)</f>
        <v>396.81</v>
      </c>
      <c r="J75" s="8" t="n">
        <f aca="false">I75*$J$5</f>
        <v>501.233684210526</v>
      </c>
      <c r="K75" s="8" t="n">
        <f aca="false">J75-H75</f>
        <v>501.233684210526</v>
      </c>
      <c r="L75" s="9" t="str">
        <f aca="false">IF(AND(H75=0,J75=0),0,IF(H75=0,"New",(J75-H75)/H75))</f>
        <v>New</v>
      </c>
      <c r="M75" s="7" t="str">
        <f aca="false">IF(AND(OR(C75&lt;&gt;0,H75&lt;&gt;0),D75=0,I75=0),"DROP",IF(AND(OR(D75&lt;&gt;0,I75&lt;&gt;0),C75=0,H75=0),"NEW",""))</f>
        <v>NEW</v>
      </c>
    </row>
    <row r="76" customFormat="false" ht="15" hidden="false" customHeight="false" outlineLevel="0" collapsed="false">
      <c r="A76" s="7" t="s">
        <v>906</v>
      </c>
      <c r="B76" s="7" t="str">
        <f aca="false">IFERROR(INDEX('Source'!$C:$C,MATCH($A76,'Source'!$B:$B,0)),"")</f>
        <v>מדרס סיליקון לנעלי עקב</v>
      </c>
      <c r="C76" s="8" t="n">
        <f aca="false">SUMIFS('Source'!$D:$D,'Source'!$A:$A,"160150 MAX KONNARIS LTD",'Source'!$B:$B,$A76)</f>
        <v>0</v>
      </c>
      <c r="D76" s="8" t="n">
        <f aca="false">SUMIFS('Source'!$F:$F,'Source'!$A:$A,"160150 MAX KONNARIS LTD",'Source'!$B:$B,$A76)</f>
        <v>20</v>
      </c>
      <c r="E76" s="8" t="n">
        <f aca="false">D76*$J$5</f>
        <v>25.2631578947368</v>
      </c>
      <c r="F76" s="8" t="n">
        <f aca="false">E76-C76</f>
        <v>25.2631578947368</v>
      </c>
      <c r="G76" s="9" t="str">
        <f aca="false">IF(AND(C76=0,E76=0),0,IF(C76=0,"New",(E76-C76)/C76))</f>
        <v>New</v>
      </c>
      <c r="H76" s="8" t="n">
        <f aca="false">SUMIFS('Source'!$E:$E,'Source'!$A:$A,"160150 MAX KONNARIS LTD",'Source'!$B:$B,$A76)</f>
        <v>0</v>
      </c>
      <c r="I76" s="8" t="n">
        <f aca="false">SUMIFS('Source'!$G:$G,'Source'!$A:$A,"160150 MAX KONNARIS LTD",'Source'!$B:$B,$A76)</f>
        <v>396.81</v>
      </c>
      <c r="J76" s="8" t="n">
        <f aca="false">I76*$J$5</f>
        <v>501.233684210526</v>
      </c>
      <c r="K76" s="8" t="n">
        <f aca="false">J76-H76</f>
        <v>501.233684210526</v>
      </c>
      <c r="L76" s="9" t="str">
        <f aca="false">IF(AND(H76=0,J76=0),0,IF(H76=0,"New",(J76-H76)/H76))</f>
        <v>New</v>
      </c>
      <c r="M76" s="7" t="str">
        <f aca="false">IF(AND(OR(C76&lt;&gt;0,H76&lt;&gt;0),D76=0,I76=0),"DROP",IF(AND(OR(D76&lt;&gt;0,I76&lt;&gt;0),C76=0,H76=0),"NEW",""))</f>
        <v>NEW</v>
      </c>
    </row>
    <row r="77" customFormat="false" ht="15" hidden="false" customHeight="false" outlineLevel="0" collapsed="false">
      <c r="A77" s="7" t="s">
        <v>649</v>
      </c>
      <c r="B77" s="7" t="str">
        <f aca="false">IFERROR(INDEX('Source'!$C:$C,MATCH($A77,'Source'!$B:$B,0)),"")</f>
        <v>כרית סיליקון לעקב</v>
      </c>
      <c r="C77" s="8" t="n">
        <f aca="false">SUMIFS('Source'!$D:$D,'Source'!$A:$A,"160150 MAX KONNARIS LTD",'Source'!$B:$B,$A77)</f>
        <v>12</v>
      </c>
      <c r="D77" s="8" t="n">
        <f aca="false">SUMIFS('Source'!$F:$F,'Source'!$A:$A,"160150 MAX KONNARIS LTD",'Source'!$B:$B,$A77)</f>
        <v>0</v>
      </c>
      <c r="E77" s="8" t="n">
        <f aca="false">D77*$J$5</f>
        <v>0</v>
      </c>
      <c r="F77" s="8" t="n">
        <f aca="false">E77-C77</f>
        <v>-12</v>
      </c>
      <c r="G77" s="9" t="n">
        <f aca="false">IF(AND(C77=0,E77=0),0,IF(C77=0,"New",(E77-C77)/C77))</f>
        <v>-1</v>
      </c>
      <c r="H77" s="8" t="n">
        <f aca="false">SUMIFS('Source'!$E:$E,'Source'!$A:$A,"160150 MAX KONNARIS LTD",'Source'!$B:$B,$A77)</f>
        <v>393.96</v>
      </c>
      <c r="I77" s="8" t="n">
        <f aca="false">SUMIFS('Source'!$G:$G,'Source'!$A:$A,"160150 MAX KONNARIS LTD",'Source'!$B:$B,$A77)</f>
        <v>0</v>
      </c>
      <c r="J77" s="8" t="n">
        <f aca="false">I77*$J$5</f>
        <v>0</v>
      </c>
      <c r="K77" s="8" t="n">
        <f aca="false">J77-H77</f>
        <v>-393.96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513</v>
      </c>
      <c r="B78" s="7" t="str">
        <f aca="false">IFERROR(INDEX('Source'!$C:$C,MATCH($A78,'Source'!$B:$B,0)),"")</f>
        <v>חגורה אוורירית איטלקית</v>
      </c>
      <c r="C78" s="8" t="n">
        <f aca="false">SUMIFS('Source'!$D:$D,'Source'!$A:$A,"160150 MAX KONNARIS LTD",'Source'!$B:$B,$A78)</f>
        <v>3</v>
      </c>
      <c r="D78" s="8" t="n">
        <f aca="false">SUMIFS('Source'!$F:$F,'Source'!$A:$A,"160150 MAX KONNARIS LTD",'Source'!$B:$B,$A78)</f>
        <v>0</v>
      </c>
      <c r="E78" s="8" t="n">
        <f aca="false">D78*$J$5</f>
        <v>0</v>
      </c>
      <c r="F78" s="8" t="n">
        <f aca="false">E78-C78</f>
        <v>-3</v>
      </c>
      <c r="G78" s="9" t="n">
        <f aca="false">IF(AND(C78=0,E78=0),0,IF(C78=0,"New",(E78-C78)/C78))</f>
        <v>-1</v>
      </c>
      <c r="H78" s="8" t="n">
        <f aca="false">SUMIFS('Source'!$E:$E,'Source'!$A:$A,"160150 MAX KONNARIS LTD",'Source'!$B:$B,$A78)</f>
        <v>387.96</v>
      </c>
      <c r="I78" s="8" t="n">
        <f aca="false">SUMIFS('Source'!$G:$G,'Source'!$A:$A,"160150 MAX KONNARIS LTD",'Source'!$B:$B,$A78)</f>
        <v>0</v>
      </c>
      <c r="J78" s="8" t="n">
        <f aca="false">I78*$J$5</f>
        <v>0</v>
      </c>
      <c r="K78" s="8" t="n">
        <f aca="false">J78-H78</f>
        <v>-387.96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963</v>
      </c>
      <c r="B79" s="7" t="str">
        <f aca="false">IFERROR(INDEX('Source'!$C:$C,MATCH($A79,'Source'!$B:$B,0)),"")</f>
        <v>חבק טניס</v>
      </c>
      <c r="C79" s="8" t="n">
        <f aca="false">SUMIFS('Source'!$D:$D,'Source'!$A:$A,"160150 MAX KONNARIS LTD",'Source'!$B:$B,$A79)</f>
        <v>30</v>
      </c>
      <c r="D79" s="8" t="n">
        <f aca="false">SUMIFS('Source'!$F:$F,'Source'!$A:$A,"160150 MAX KONNARIS LTD",'Source'!$B:$B,$A79)</f>
        <v>10</v>
      </c>
      <c r="E79" s="8" t="n">
        <f aca="false">D79*$J$5</f>
        <v>12.6315789473684</v>
      </c>
      <c r="F79" s="8" t="n">
        <f aca="false">E79-C79</f>
        <v>-17.3684210526316</v>
      </c>
      <c r="G79" s="9" t="n">
        <f aca="false">IF(AND(C79=0,E79=0),0,IF(C79=0,"New",(E79-C79)/C79))</f>
        <v>-0.578947368421053</v>
      </c>
      <c r="H79" s="8" t="n">
        <f aca="false">SUMIFS('Source'!$E:$E,'Source'!$A:$A,"160150 MAX KONNARIS LTD",'Source'!$B:$B,$A79)</f>
        <v>533.23</v>
      </c>
      <c r="I79" s="8" t="n">
        <f aca="false">SUMIFS('Source'!$G:$G,'Source'!$A:$A,"160150 MAX KONNARIS LTD",'Source'!$B:$B,$A79)</f>
        <v>156.15</v>
      </c>
      <c r="J79" s="8" t="n">
        <f aca="false">I79*$J$5</f>
        <v>197.242105263158</v>
      </c>
      <c r="K79" s="8" t="n">
        <f aca="false">J79-H79</f>
        <v>-335.987894736842</v>
      </c>
      <c r="L79" s="9" t="n">
        <f aca="false">IF(AND(H79=0,J79=0),0,IF(H79=0,"New",(J79-H79)/H79))</f>
        <v>-0.630099384387304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614</v>
      </c>
      <c r="B80" s="7" t="str">
        <f aca="false">IFERROR(INDEX('Source'!$C:$C,MATCH($A80,'Source'!$B:$B,0)),"")</f>
        <v>סד לאגודל</v>
      </c>
      <c r="C80" s="8" t="n">
        <f aca="false">SUMIFS('Source'!$D:$D,'Source'!$A:$A,"160150 MAX KONNARIS LTD",'Source'!$B:$B,$A80)</f>
        <v>9</v>
      </c>
      <c r="D80" s="8" t="n">
        <f aca="false">SUMIFS('Source'!$F:$F,'Source'!$A:$A,"160150 MAX KONNARIS LTD",'Source'!$B:$B,$A80)</f>
        <v>0</v>
      </c>
      <c r="E80" s="8" t="n">
        <f aca="false">D80*$J$5</f>
        <v>0</v>
      </c>
      <c r="F80" s="8" t="n">
        <f aca="false">E80-C80</f>
        <v>-9</v>
      </c>
      <c r="G80" s="9" t="n">
        <f aca="false">IF(AND(C80=0,E80=0),0,IF(C80=0,"New",(E80-C80)/C80))</f>
        <v>-1</v>
      </c>
      <c r="H80" s="8" t="n">
        <f aca="false">SUMIFS('Source'!$E:$E,'Source'!$A:$A,"160150 MAX KONNARIS LTD",'Source'!$B:$B,$A80)</f>
        <v>375.86</v>
      </c>
      <c r="I80" s="8" t="n">
        <f aca="false">SUMIFS('Source'!$G:$G,'Source'!$A:$A,"160150 MAX KONNARIS LTD",'Source'!$B:$B,$A80)</f>
        <v>0</v>
      </c>
      <c r="J80" s="8" t="n">
        <f aca="false">I80*$J$5</f>
        <v>0</v>
      </c>
      <c r="K80" s="8" t="n">
        <f aca="false">J80-H80</f>
        <v>-375.86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126</v>
      </c>
      <c r="B81" s="7" t="str">
        <f aca="false">IFERROR(INDEX('Source'!$C:$C,MATCH($A81,'Source'!$B:$B,0)),"")</f>
        <v>חבק יד SC25</v>
      </c>
      <c r="C81" s="8" t="n">
        <f aca="false">SUMIFS('Source'!$D:$D,'Source'!$A:$A,"160150 MAX KONNARIS LTD",'Source'!$B:$B,$A81)</f>
        <v>9</v>
      </c>
      <c r="D81" s="8" t="n">
        <f aca="false">SUMIFS('Source'!$F:$F,'Source'!$A:$A,"160150 MAX KONNARIS LTD",'Source'!$B:$B,$A81)</f>
        <v>0</v>
      </c>
      <c r="E81" s="8" t="n">
        <f aca="false">D81*$J$5</f>
        <v>0</v>
      </c>
      <c r="F81" s="8" t="n">
        <f aca="false">E81-C81</f>
        <v>-9</v>
      </c>
      <c r="G81" s="9" t="n">
        <f aca="false">IF(AND(C81=0,E81=0),0,IF(C81=0,"New",(E81-C81)/C81))</f>
        <v>-1</v>
      </c>
      <c r="H81" s="8" t="n">
        <f aca="false">SUMIFS('Source'!$E:$E,'Source'!$A:$A,"160150 MAX KONNARIS LTD",'Source'!$B:$B,$A81)</f>
        <v>369.32</v>
      </c>
      <c r="I81" s="8" t="n">
        <f aca="false">SUMIFS('Source'!$G:$G,'Source'!$A:$A,"160150 MAX KONNARIS LTD",'Source'!$B:$B,$A81)</f>
        <v>0</v>
      </c>
      <c r="J81" s="8" t="n">
        <f aca="false">I81*$J$5</f>
        <v>0</v>
      </c>
      <c r="K81" s="8" t="n">
        <f aca="false">J81-H81</f>
        <v>-369.32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758</v>
      </c>
      <c r="B82" s="7" t="str">
        <f aca="false">IFERROR(INDEX('Source'!$C:$C,MATCH($A82,'Source'!$B:$B,0)),"")</f>
        <v>מגן קרסול+ עקב סגור+רצועות</v>
      </c>
      <c r="C82" s="8" t="n">
        <f aca="false">SUMIFS('Source'!$D:$D,'Source'!$A:$A,"160150 MAX KONNARIS LTD",'Source'!$B:$B,$A82)</f>
        <v>0</v>
      </c>
      <c r="D82" s="8" t="n">
        <f aca="false">SUMIFS('Source'!$F:$F,'Source'!$A:$A,"160150 MAX KONNARIS LTD",'Source'!$B:$B,$A82)</f>
        <v>12</v>
      </c>
      <c r="E82" s="8" t="n">
        <f aca="false">D82*$J$5</f>
        <v>15.1578947368421</v>
      </c>
      <c r="F82" s="8" t="n">
        <f aca="false">E82-C82</f>
        <v>15.1578947368421</v>
      </c>
      <c r="G82" s="9" t="str">
        <f aca="false">IF(AND(C82=0,E82=0),0,IF(C82=0,"New",(E82-C82)/C82))</f>
        <v>New</v>
      </c>
      <c r="H82" s="8" t="n">
        <f aca="false">SUMIFS('Source'!$E:$E,'Source'!$A:$A,"160150 MAX KONNARIS LTD",'Source'!$B:$B,$A82)</f>
        <v>0</v>
      </c>
      <c r="I82" s="8" t="n">
        <f aca="false">SUMIFS('Source'!$G:$G,'Source'!$A:$A,"160150 MAX KONNARIS LTD",'Source'!$B:$B,$A82)</f>
        <v>368.32</v>
      </c>
      <c r="J82" s="8" t="n">
        <f aca="false">I82*$J$5</f>
        <v>465.246315789474</v>
      </c>
      <c r="K82" s="8" t="n">
        <f aca="false">J82-H82</f>
        <v>465.246315789474</v>
      </c>
      <c r="L82" s="9" t="str">
        <f aca="false">IF(AND(H82=0,J82=0),0,IF(H82=0,"New",(J82-H82)/H82))</f>
        <v>New</v>
      </c>
      <c r="M82" s="7" t="str">
        <f aca="false">IF(AND(OR(C82&lt;&gt;0,H82&lt;&gt;0),D82=0,I82=0),"DROP",IF(AND(OR(D82&lt;&gt;0,I82&lt;&gt;0),C82=0,H82=0),"NEW",""))</f>
        <v>NEW</v>
      </c>
    </row>
    <row r="83" customFormat="false" ht="15" hidden="false" customHeight="false" outlineLevel="0" collapsed="false">
      <c r="A83" s="7" t="s">
        <v>390</v>
      </c>
      <c r="B83" s="7" t="str">
        <f aca="false">IFERROR(INDEX('Source'!$C:$C,MATCH($A83,'Source'!$B:$B,0)),"")</f>
        <v>חגורת גב אפורה</v>
      </c>
      <c r="C83" s="8" t="n">
        <f aca="false">SUMIFS('Source'!$D:$D,'Source'!$A:$A,"160150 MAX KONNARIS LTD",'Source'!$B:$B,$A83)</f>
        <v>6</v>
      </c>
      <c r="D83" s="8" t="n">
        <f aca="false">SUMIFS('Source'!$F:$F,'Source'!$A:$A,"160150 MAX KONNARIS LTD",'Source'!$B:$B,$A83)</f>
        <v>0</v>
      </c>
      <c r="E83" s="8" t="n">
        <f aca="false">D83*$J$5</f>
        <v>0</v>
      </c>
      <c r="F83" s="8" t="n">
        <f aca="false">E83-C83</f>
        <v>-6</v>
      </c>
      <c r="G83" s="9" t="n">
        <f aca="false">IF(AND(C83=0,E83=0),0,IF(C83=0,"New",(E83-C83)/C83))</f>
        <v>-1</v>
      </c>
      <c r="H83" s="8" t="n">
        <f aca="false">SUMIFS('Source'!$E:$E,'Source'!$A:$A,"160150 MAX KONNARIS LTD",'Source'!$B:$B,$A83)</f>
        <v>352.91</v>
      </c>
      <c r="I83" s="8" t="n">
        <f aca="false">SUMIFS('Source'!$G:$G,'Source'!$A:$A,"160150 MAX KONNARIS LTD",'Source'!$B:$B,$A83)</f>
        <v>0</v>
      </c>
      <c r="J83" s="8" t="n">
        <f aca="false">I83*$J$5</f>
        <v>0</v>
      </c>
      <c r="K83" s="8" t="n">
        <f aca="false">J83-H83</f>
        <v>-352.91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174</v>
      </c>
      <c r="B84" s="7" t="str">
        <f aca="false">IFERROR(INDEX('Source'!$C:$C,MATCH($A84,'Source'!$B:$B,0)),"")</f>
        <v>AC27</v>
      </c>
      <c r="C84" s="8" t="n">
        <f aca="false">SUMIFS('Source'!$D:$D,'Source'!$A:$A,"160150 MAX KONNARIS LTD",'Source'!$B:$B,$A84)</f>
        <v>0</v>
      </c>
      <c r="D84" s="8" t="n">
        <f aca="false">SUMIFS('Source'!$F:$F,'Source'!$A:$A,"160150 MAX KONNARIS LTD",'Source'!$B:$B,$A84)</f>
        <v>20</v>
      </c>
      <c r="E84" s="8" t="n">
        <f aca="false">D84*$J$5</f>
        <v>25.2631578947368</v>
      </c>
      <c r="F84" s="8" t="n">
        <f aca="false">E84-C84</f>
        <v>25.2631578947368</v>
      </c>
      <c r="G84" s="9" t="str">
        <f aca="false">IF(AND(C84=0,E84=0),0,IF(C84=0,"New",(E84-C84)/C84))</f>
        <v>New</v>
      </c>
      <c r="H84" s="8" t="n">
        <f aca="false">SUMIFS('Source'!$E:$E,'Source'!$A:$A,"160150 MAX KONNARIS LTD",'Source'!$B:$B,$A84)</f>
        <v>0</v>
      </c>
      <c r="I84" s="8" t="n">
        <f aca="false">SUMIFS('Source'!$G:$G,'Source'!$A:$A,"160150 MAX KONNARIS LTD",'Source'!$B:$B,$A84)</f>
        <v>349.1</v>
      </c>
      <c r="J84" s="8" t="n">
        <f aca="false">I84*$J$5</f>
        <v>440.968421052632</v>
      </c>
      <c r="K84" s="8" t="n">
        <f aca="false">J84-H84</f>
        <v>440.968421052632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317</v>
      </c>
      <c r="B85" s="7" t="str">
        <f aca="false">IFERROR(INDEX('Source'!$C:$C,MATCH($A85,'Source'!$B:$B,0)),"")</f>
        <v>רפידת זיכרון 376</v>
      </c>
      <c r="C85" s="8" t="n">
        <f aca="false">SUMIFS('Source'!$D:$D,'Source'!$A:$A,"160150 MAX KONNARIS LTD",'Source'!$B:$B,$A85)</f>
        <v>56</v>
      </c>
      <c r="D85" s="8" t="n">
        <f aca="false">SUMIFS('Source'!$F:$F,'Source'!$A:$A,"160150 MAX KONNARIS LTD",'Source'!$B:$B,$A85)</f>
        <v>40</v>
      </c>
      <c r="E85" s="8" t="n">
        <f aca="false">D85*$J$5</f>
        <v>50.5263157894737</v>
      </c>
      <c r="F85" s="8" t="n">
        <f aca="false">E85-C85</f>
        <v>-5.47368421052632</v>
      </c>
      <c r="G85" s="9" t="n">
        <f aca="false">IF(AND(C85=0,E85=0),0,IF(C85=0,"New",(E85-C85)/C85))</f>
        <v>-0.0977443609022556</v>
      </c>
      <c r="H85" s="8" t="n">
        <f aca="false">SUMIFS('Source'!$E:$E,'Source'!$A:$A,"160150 MAX KONNARIS LTD",'Source'!$B:$B,$A85)</f>
        <v>951.48</v>
      </c>
      <c r="I85" s="8" t="n">
        <f aca="false">SUMIFS('Source'!$G:$G,'Source'!$A:$A,"160150 MAX KONNARIS LTD",'Source'!$B:$B,$A85)</f>
        <v>606.7</v>
      </c>
      <c r="J85" s="8" t="n">
        <f aca="false">I85*$J$5</f>
        <v>766.357894736842</v>
      </c>
      <c r="K85" s="8" t="n">
        <f aca="false">J85-H85</f>
        <v>-185.122105263158</v>
      </c>
      <c r="L85" s="9" t="n">
        <f aca="false">IF(AND(H85=0,J85=0),0,IF(H85=0,"New",(J85-H85)/H85))</f>
        <v>-0.194562266430359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639</v>
      </c>
      <c r="B86" s="7" t="str">
        <f aca="false">IFERROR(INDEX('Source'!$C:$C,MATCH($A86,'Source'!$B:$B,0)),"")</f>
        <v>שרוול מטטרזלי מסיליקון</v>
      </c>
      <c r="C86" s="8" t="n">
        <f aca="false">SUMIFS('Source'!$D:$D,'Source'!$A:$A,"160150 MAX KONNARIS LTD",'Source'!$B:$B,$A86)</f>
        <v>10</v>
      </c>
      <c r="D86" s="8" t="n">
        <f aca="false">SUMIFS('Source'!$F:$F,'Source'!$A:$A,"160150 MAX KONNARIS LTD",'Source'!$B:$B,$A86)</f>
        <v>0</v>
      </c>
      <c r="E86" s="8" t="n">
        <f aca="false">D86*$J$5</f>
        <v>0</v>
      </c>
      <c r="F86" s="8" t="n">
        <f aca="false">E86-C86</f>
        <v>-10</v>
      </c>
      <c r="G86" s="9" t="n">
        <f aca="false">IF(AND(C86=0,E86=0),0,IF(C86=0,"New",(E86-C86)/C86))</f>
        <v>-1</v>
      </c>
      <c r="H86" s="8" t="n">
        <f aca="false">SUMIFS('Source'!$E:$E,'Source'!$A:$A,"160150 MAX KONNARIS LTD",'Source'!$B:$B,$A86)</f>
        <v>341.93</v>
      </c>
      <c r="I86" s="8" t="n">
        <f aca="false">SUMIFS('Source'!$G:$G,'Source'!$A:$A,"160150 MAX KONNARIS LTD",'Source'!$B:$B,$A86)</f>
        <v>0</v>
      </c>
      <c r="J86" s="8" t="n">
        <f aca="false">I86*$J$5</f>
        <v>0</v>
      </c>
      <c r="K86" s="8" t="n">
        <f aca="false">J86-H86</f>
        <v>-341.93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773</v>
      </c>
      <c r="B87" s="7" t="str">
        <f aca="false">IFERROR(INDEX('Source'!$C:$C,MATCH($A87,'Source'!$B:$B,0)),"")</f>
        <v>רפידת ג'ל זיכרון M בז'</v>
      </c>
      <c r="C87" s="8" t="n">
        <f aca="false">SUMIFS('Source'!$D:$D,'Source'!$A:$A,"160150 MAX KONNARIS LTD",'Source'!$B:$B,$A87)</f>
        <v>10</v>
      </c>
      <c r="D87" s="8" t="n">
        <f aca="false">SUMIFS('Source'!$F:$F,'Source'!$A:$A,"160150 MAX KONNARIS LTD",'Source'!$B:$B,$A87)</f>
        <v>0</v>
      </c>
      <c r="E87" s="8" t="n">
        <f aca="false">D87*$J$5</f>
        <v>0</v>
      </c>
      <c r="F87" s="8" t="n">
        <f aca="false">E87-C87</f>
        <v>-10</v>
      </c>
      <c r="G87" s="9" t="n">
        <f aca="false">IF(AND(C87=0,E87=0),0,IF(C87=0,"New",(E87-C87)/C87))</f>
        <v>-1</v>
      </c>
      <c r="H87" s="8" t="n">
        <f aca="false">SUMIFS('Source'!$E:$E,'Source'!$A:$A,"160150 MAX KONNARIS LTD",'Source'!$B:$B,$A87)</f>
        <v>338.76</v>
      </c>
      <c r="I87" s="8" t="n">
        <f aca="false">SUMIFS('Source'!$G:$G,'Source'!$A:$A,"160150 MAX KONNARIS LTD",'Source'!$B:$B,$A87)</f>
        <v>0</v>
      </c>
      <c r="J87" s="8" t="n">
        <f aca="false">I87*$J$5</f>
        <v>0</v>
      </c>
      <c r="K87" s="8" t="n">
        <f aca="false">J87-H87</f>
        <v>-338.76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101</v>
      </c>
      <c r="B88" s="7" t="str">
        <f aca="false">IFERROR(INDEX('Source'!$C:$C,MATCH($A88,'Source'!$B:$B,0)),"")</f>
        <v>מיישר כתפיים</v>
      </c>
      <c r="C88" s="8" t="n">
        <f aca="false">SUMIFS('Source'!$D:$D,'Source'!$A:$A,"160150 MAX KONNARIS LTD",'Source'!$B:$B,$A88)</f>
        <v>0</v>
      </c>
      <c r="D88" s="8" t="n">
        <f aca="false">SUMIFS('Source'!$F:$F,'Source'!$A:$A,"160150 MAX KONNARIS LTD",'Source'!$B:$B,$A88)</f>
        <v>10</v>
      </c>
      <c r="E88" s="8" t="n">
        <f aca="false">D88*$J$5</f>
        <v>12.6315789473684</v>
      </c>
      <c r="F88" s="8" t="n">
        <f aca="false">E88-C88</f>
        <v>12.6315789473684</v>
      </c>
      <c r="G88" s="9" t="str">
        <f aca="false">IF(AND(C88=0,E88=0),0,IF(C88=0,"New",(E88-C88)/C88))</f>
        <v>New</v>
      </c>
      <c r="H88" s="8" t="n">
        <f aca="false">SUMIFS('Source'!$E:$E,'Source'!$A:$A,"160150 MAX KONNARIS LTD",'Source'!$B:$B,$A88)</f>
        <v>0</v>
      </c>
      <c r="I88" s="8" t="n">
        <f aca="false">SUMIFS('Source'!$G:$G,'Source'!$A:$A,"160150 MAX KONNARIS LTD",'Source'!$B:$B,$A88)</f>
        <v>334.35</v>
      </c>
      <c r="J88" s="8" t="n">
        <f aca="false">I88*$J$5</f>
        <v>422.336842105263</v>
      </c>
      <c r="K88" s="8" t="n">
        <f aca="false">J88-H88</f>
        <v>422.336842105263</v>
      </c>
      <c r="L88" s="9" t="str">
        <f aca="false">IF(AND(H88=0,J88=0),0,IF(H88=0,"New",(J88-H88)/H88))</f>
        <v>New</v>
      </c>
      <c r="M88" s="7" t="str">
        <f aca="false">IF(AND(OR(C88&lt;&gt;0,H88&lt;&gt;0),D88=0,I88=0),"DROP",IF(AND(OR(D88&lt;&gt;0,I88&lt;&gt;0),C88=0,H88=0),"NEW",""))</f>
        <v>NEW</v>
      </c>
    </row>
    <row r="89" customFormat="false" ht="15" hidden="false" customHeight="false" outlineLevel="0" collapsed="false">
      <c r="A89" s="7" t="s">
        <v>374</v>
      </c>
      <c r="B89" s="7" t="str">
        <f aca="false">IFERROR(INDEX('Source'!$C:$C,MATCH($A89,'Source'!$B:$B,0)),"")</f>
        <v>אטלטיק טייפ</v>
      </c>
      <c r="C89" s="8" t="n">
        <f aca="false">SUMIFS('Source'!$D:$D,'Source'!$A:$A,"160150 MAX KONNARIS LTD",'Source'!$B:$B,$A89)</f>
        <v>32</v>
      </c>
      <c r="D89" s="8" t="n">
        <f aca="false">SUMIFS('Source'!$F:$F,'Source'!$A:$A,"160150 MAX KONNARIS LTD",'Source'!$B:$B,$A89)</f>
        <v>0</v>
      </c>
      <c r="E89" s="8" t="n">
        <f aca="false">D89*$J$5</f>
        <v>0</v>
      </c>
      <c r="F89" s="8" t="n">
        <f aca="false">E89-C89</f>
        <v>-32</v>
      </c>
      <c r="G89" s="9" t="n">
        <f aca="false">IF(AND(C89=0,E89=0),0,IF(C89=0,"New",(E89-C89)/C89))</f>
        <v>-1</v>
      </c>
      <c r="H89" s="8" t="n">
        <f aca="false">SUMIFS('Source'!$E:$E,'Source'!$A:$A,"160150 MAX KONNARIS LTD",'Source'!$B:$B,$A89)</f>
        <v>326.64</v>
      </c>
      <c r="I89" s="8" t="n">
        <f aca="false">SUMIFS('Source'!$G:$G,'Source'!$A:$A,"160150 MAX KONNARIS LTD",'Source'!$B:$B,$A89)</f>
        <v>0</v>
      </c>
      <c r="J89" s="8" t="n">
        <f aca="false">I89*$J$5</f>
        <v>0</v>
      </c>
      <c r="K89" s="8" t="n">
        <f aca="false">J89-H89</f>
        <v>-326.64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113</v>
      </c>
      <c r="B90" s="7" t="str">
        <f aca="false">IFERROR(INDEX('Source'!$C:$C,MATCH($A90,'Source'!$B:$B,0)),"")</f>
        <v>גרבי טיסה</v>
      </c>
      <c r="C90" s="8" t="n">
        <f aca="false">SUMIFS('Source'!$D:$D,'Source'!$A:$A,"160150 MAX KONNARIS LTD",'Source'!$B:$B,$A90)</f>
        <v>10</v>
      </c>
      <c r="D90" s="8" t="n">
        <f aca="false">SUMIFS('Source'!$F:$F,'Source'!$A:$A,"160150 MAX KONNARIS LTD",'Source'!$B:$B,$A90)</f>
        <v>0</v>
      </c>
      <c r="E90" s="8" t="n">
        <f aca="false">D90*$J$5</f>
        <v>0</v>
      </c>
      <c r="F90" s="8" t="n">
        <f aca="false">E90-C90</f>
        <v>-10</v>
      </c>
      <c r="G90" s="9" t="n">
        <f aca="false">IF(AND(C90=0,E90=0),0,IF(C90=0,"New",(E90-C90)/C90))</f>
        <v>-1</v>
      </c>
      <c r="H90" s="8" t="n">
        <f aca="false">SUMIFS('Source'!$E:$E,'Source'!$A:$A,"160150 MAX KONNARIS LTD",'Source'!$B:$B,$A90)</f>
        <v>315.51</v>
      </c>
      <c r="I90" s="8" t="n">
        <f aca="false">SUMIFS('Source'!$G:$G,'Source'!$A:$A,"160150 MAX KONNARIS LTD",'Source'!$B:$B,$A90)</f>
        <v>0</v>
      </c>
      <c r="J90" s="8" t="n">
        <f aca="false">I90*$J$5</f>
        <v>0</v>
      </c>
      <c r="K90" s="8" t="n">
        <f aca="false">J90-H90</f>
        <v>-315.51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140</v>
      </c>
      <c r="B91" s="7" t="str">
        <f aca="false">IFERROR(INDEX('Source'!$C:$C,MATCH($A91,'Source'!$B:$B,0)),"")</f>
        <v>SpinaShield | חגורת תיקון יציבה לעמוד שדרה וכתפיים</v>
      </c>
      <c r="C91" s="8" t="n">
        <f aca="false">SUMIFS('Source'!$D:$D,'Source'!$A:$A,"160150 MAX KONNARIS LTD",'Source'!$B:$B,$A91)</f>
        <v>0</v>
      </c>
      <c r="D91" s="8" t="n">
        <f aca="false">SUMIFS('Source'!$F:$F,'Source'!$A:$A,"160150 MAX KONNARIS LTD",'Source'!$B:$B,$A91)</f>
        <v>2</v>
      </c>
      <c r="E91" s="8" t="n">
        <f aca="false">D91*$J$5</f>
        <v>2.52631578947368</v>
      </c>
      <c r="F91" s="8" t="n">
        <f aca="false">E91-C91</f>
        <v>2.52631578947368</v>
      </c>
      <c r="G91" s="9" t="str">
        <f aca="false">IF(AND(C91=0,E91=0),0,IF(C91=0,"New",(E91-C91)/C91))</f>
        <v>New</v>
      </c>
      <c r="H91" s="8" t="n">
        <f aca="false">SUMIFS('Source'!$E:$E,'Source'!$A:$A,"160150 MAX KONNARIS LTD",'Source'!$B:$B,$A91)</f>
        <v>0</v>
      </c>
      <c r="I91" s="8" t="n">
        <f aca="false">SUMIFS('Source'!$G:$G,'Source'!$A:$A,"160150 MAX KONNARIS LTD",'Source'!$B:$B,$A91)</f>
        <v>308.63</v>
      </c>
      <c r="J91" s="8" t="n">
        <f aca="false">I91*$J$5</f>
        <v>389.848421052632</v>
      </c>
      <c r="K91" s="8" t="n">
        <f aca="false">J91-H91</f>
        <v>389.848421052632</v>
      </c>
      <c r="L91" s="9" t="str">
        <f aca="false">IF(AND(H91=0,J91=0),0,IF(H91=0,"New",(J91-H91)/H91))</f>
        <v>New</v>
      </c>
      <c r="M91" s="7" t="str">
        <f aca="false">IF(AND(OR(C91&lt;&gt;0,H91&lt;&gt;0),D91=0,I91=0),"DROP",IF(AND(OR(D91&lt;&gt;0,I91&lt;&gt;0),C91=0,H91=0),"NEW",""))</f>
        <v>NEW</v>
      </c>
    </row>
    <row r="92" customFormat="false" ht="15" hidden="false" customHeight="false" outlineLevel="0" collapsed="false">
      <c r="A92" s="7" t="s">
        <v>312</v>
      </c>
      <c r="B92" s="7" t="str">
        <f aca="false">IFERROR(INDEX('Source'!$C:$C,MATCH($A92,'Source'!$B:$B,0)),"")</f>
        <v>SpinaShield | חגורת תיקון יציבה לעמוד שדרה וכתפיים</v>
      </c>
      <c r="C92" s="8" t="n">
        <f aca="false">SUMIFS('Source'!$D:$D,'Source'!$A:$A,"160150 MAX KONNARIS LTD",'Source'!$B:$B,$A92)</f>
        <v>0</v>
      </c>
      <c r="D92" s="8" t="n">
        <f aca="false">SUMIFS('Source'!$F:$F,'Source'!$A:$A,"160150 MAX KONNARIS LTD",'Source'!$B:$B,$A92)</f>
        <v>2</v>
      </c>
      <c r="E92" s="8" t="n">
        <f aca="false">D92*$J$5</f>
        <v>2.52631578947368</v>
      </c>
      <c r="F92" s="8" t="n">
        <f aca="false">E92-C92</f>
        <v>2.52631578947368</v>
      </c>
      <c r="G92" s="9" t="str">
        <f aca="false">IF(AND(C92=0,E92=0),0,IF(C92=0,"New",(E92-C92)/C92))</f>
        <v>New</v>
      </c>
      <c r="H92" s="8" t="n">
        <f aca="false">SUMIFS('Source'!$E:$E,'Source'!$A:$A,"160150 MAX KONNARIS LTD",'Source'!$B:$B,$A92)</f>
        <v>0</v>
      </c>
      <c r="I92" s="8" t="n">
        <f aca="false">SUMIFS('Source'!$G:$G,'Source'!$A:$A,"160150 MAX KONNARIS LTD",'Source'!$B:$B,$A92)</f>
        <v>308.63</v>
      </c>
      <c r="J92" s="8" t="n">
        <f aca="false">I92*$J$5</f>
        <v>389.848421052632</v>
      </c>
      <c r="K92" s="8" t="n">
        <f aca="false">J92-H92</f>
        <v>389.848421052632</v>
      </c>
      <c r="L92" s="9" t="str">
        <f aca="false">IF(AND(H92=0,J92=0),0,IF(H92=0,"New",(J92-H92)/H92))</f>
        <v>New</v>
      </c>
      <c r="M92" s="7" t="str">
        <f aca="false">IF(AND(OR(C92&lt;&gt;0,H92&lt;&gt;0),D92=0,I92=0),"DROP",IF(AND(OR(D92&lt;&gt;0,I92&lt;&gt;0),C92=0,H92=0),"NEW",""))</f>
        <v>NEW</v>
      </c>
    </row>
    <row r="93" customFormat="false" ht="15" hidden="false" customHeight="false" outlineLevel="0" collapsed="false">
      <c r="A93" s="7" t="s">
        <v>544</v>
      </c>
      <c r="B93" s="7" t="str">
        <f aca="false">IFERROR(INDEX('Source'!$C:$C,MATCH($A93,'Source'!$B:$B,0)),"")</f>
        <v>מגן קרסול סגור</v>
      </c>
      <c r="C93" s="8" t="n">
        <f aca="false">SUMIFS('Source'!$D:$D,'Source'!$A:$A,"160150 MAX KONNARIS LTD",'Source'!$B:$B,$A93)</f>
        <v>13</v>
      </c>
      <c r="D93" s="8" t="n">
        <f aca="false">SUMIFS('Source'!$F:$F,'Source'!$A:$A,"160150 MAX KONNARIS LTD",'Source'!$B:$B,$A93)</f>
        <v>0</v>
      </c>
      <c r="E93" s="8" t="n">
        <f aca="false">D93*$J$5</f>
        <v>0</v>
      </c>
      <c r="F93" s="8" t="n">
        <f aca="false">E93-C93</f>
        <v>-13</v>
      </c>
      <c r="G93" s="9" t="n">
        <f aca="false">IF(AND(C93=0,E93=0),0,IF(C93=0,"New",(E93-C93)/C93))</f>
        <v>-1</v>
      </c>
      <c r="H93" s="8" t="n">
        <f aca="false">SUMIFS('Source'!$E:$E,'Source'!$A:$A,"160150 MAX KONNARIS LTD",'Source'!$B:$B,$A93)</f>
        <v>303.23</v>
      </c>
      <c r="I93" s="8" t="n">
        <f aca="false">SUMIFS('Source'!$G:$G,'Source'!$A:$A,"160150 MAX KONNARIS LTD",'Source'!$B:$B,$A93)</f>
        <v>0</v>
      </c>
      <c r="J93" s="8" t="n">
        <f aca="false">I93*$J$5</f>
        <v>0</v>
      </c>
      <c r="K93" s="8" t="n">
        <f aca="false">J93-H93</f>
        <v>-303.23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567</v>
      </c>
      <c r="B94" s="7" t="str">
        <f aca="false">IFERROR(INDEX('Source'!$C:$C,MATCH($A94,'Source'!$B:$B,0)),"")</f>
        <v>אצבעון מפלסטיק  ליד</v>
      </c>
      <c r="C94" s="8" t="n">
        <f aca="false">SUMIFS('Source'!$D:$D,'Source'!$A:$A,"160150 MAX KONNARIS LTD",'Source'!$B:$B,$A94)</f>
        <v>30</v>
      </c>
      <c r="D94" s="8" t="n">
        <f aca="false">SUMIFS('Source'!$F:$F,'Source'!$A:$A,"160150 MAX KONNARIS LTD",'Source'!$B:$B,$A94)</f>
        <v>0</v>
      </c>
      <c r="E94" s="8" t="n">
        <f aca="false">D94*$J$5</f>
        <v>0</v>
      </c>
      <c r="F94" s="8" t="n">
        <f aca="false">E94-C94</f>
        <v>-30</v>
      </c>
      <c r="G94" s="9" t="n">
        <f aca="false">IF(AND(C94=0,E94=0),0,IF(C94=0,"New",(E94-C94)/C94))</f>
        <v>-1</v>
      </c>
      <c r="H94" s="8" t="n">
        <f aca="false">SUMIFS('Source'!$E:$E,'Source'!$A:$A,"160150 MAX KONNARIS LTD",'Source'!$B:$B,$A94)</f>
        <v>301.12</v>
      </c>
      <c r="I94" s="8" t="n">
        <f aca="false">SUMIFS('Source'!$G:$G,'Source'!$A:$A,"160150 MAX KONNARIS LTD",'Source'!$B:$B,$A94)</f>
        <v>0</v>
      </c>
      <c r="J94" s="8" t="n">
        <f aca="false">I94*$J$5</f>
        <v>0</v>
      </c>
      <c r="K94" s="8" t="n">
        <f aca="false">J94-H94</f>
        <v>-301.12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319</v>
      </c>
      <c r="B95" s="7" t="str">
        <f aca="false">IFERROR(INDEX('Source'!$C:$C,MATCH($A95,'Source'!$B:$B,0)),"")</f>
        <v>מדרס מתכוונן</v>
      </c>
      <c r="C95" s="8" t="n">
        <f aca="false">SUMIFS('Source'!$D:$D,'Source'!$A:$A,"160150 MAX KONNARIS LTD",'Source'!$B:$B,$A95)</f>
        <v>12</v>
      </c>
      <c r="D95" s="8" t="n">
        <f aca="false">SUMIFS('Source'!$F:$F,'Source'!$A:$A,"160150 MAX KONNARIS LTD",'Source'!$B:$B,$A95)</f>
        <v>22</v>
      </c>
      <c r="E95" s="8" t="n">
        <f aca="false">D95*$J$5</f>
        <v>27.7894736842105</v>
      </c>
      <c r="F95" s="8" t="n">
        <f aca="false">E95-C95</f>
        <v>15.7894736842105</v>
      </c>
      <c r="G95" s="9" t="n">
        <f aca="false">IF(AND(C95=0,E95=0),0,IF(C95=0,"New",(E95-C95)/C95))</f>
        <v>1.31578947368421</v>
      </c>
      <c r="H95" s="8" t="n">
        <f aca="false">SUMIFS('Source'!$E:$E,'Source'!$A:$A,"160150 MAX KONNARIS LTD",'Source'!$B:$B,$A95)</f>
        <v>474.09</v>
      </c>
      <c r="I95" s="8" t="n">
        <f aca="false">SUMIFS('Source'!$G:$G,'Source'!$A:$A,"160150 MAX KONNARIS LTD",'Source'!$B:$B,$A95)</f>
        <v>760.37</v>
      </c>
      <c r="J95" s="8" t="n">
        <f aca="false">I95*$J$5</f>
        <v>960.467368421053</v>
      </c>
      <c r="K95" s="8" t="n">
        <f aca="false">J95-H95</f>
        <v>486.377368421053</v>
      </c>
      <c r="L95" s="9" t="n">
        <f aca="false">IF(AND(H95=0,J95=0),0,IF(H95=0,"New",(J95-H95)/H95))</f>
        <v>1.02591779708716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661</v>
      </c>
      <c r="B96" s="7" t="str">
        <f aca="false">IFERROR(INDEX('Source'!$C:$C,MATCH($A96,'Source'!$B:$B,0)),"")</f>
        <v>רפידת נוחות</v>
      </c>
      <c r="C96" s="8" t="n">
        <f aca="false">SUMIFS('Source'!$D:$D,'Source'!$A:$A,"160150 MAX KONNARIS LTD",'Source'!$B:$B,$A96)</f>
        <v>50</v>
      </c>
      <c r="D96" s="8" t="n">
        <f aca="false">SUMIFS('Source'!$F:$F,'Source'!$A:$A,"160150 MAX KONNARIS LTD",'Source'!$B:$B,$A96)</f>
        <v>100</v>
      </c>
      <c r="E96" s="8" t="n">
        <f aca="false">D96*$J$5</f>
        <v>126.315789473684</v>
      </c>
      <c r="F96" s="8" t="n">
        <f aca="false">E96-C96</f>
        <v>76.3157894736842</v>
      </c>
      <c r="G96" s="9" t="n">
        <f aca="false">IF(AND(C96=0,E96=0),0,IF(C96=0,"New",(E96-C96)/C96))</f>
        <v>1.52631578947368</v>
      </c>
      <c r="H96" s="8" t="n">
        <f aca="false">SUMIFS('Source'!$E:$E,'Source'!$A:$A,"160150 MAX KONNARIS LTD",'Source'!$B:$B,$A96)</f>
        <v>376.4</v>
      </c>
      <c r="I96" s="8" t="n">
        <f aca="false">SUMIFS('Source'!$G:$G,'Source'!$A:$A,"160150 MAX KONNARIS LTD",'Source'!$B:$B,$A96)</f>
        <v>661.36</v>
      </c>
      <c r="J96" s="8" t="n">
        <f aca="false">I96*$J$5</f>
        <v>835.402105263158</v>
      </c>
      <c r="K96" s="8" t="n">
        <f aca="false">J96-H96</f>
        <v>459.002105263158</v>
      </c>
      <c r="L96" s="9" t="n">
        <f aca="false">IF(AND(H96=0,J96=0),0,IF(H96=0,"New",(J96-H96)/H96))</f>
        <v>1.2194529895408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642</v>
      </c>
      <c r="B97" s="7" t="str">
        <f aca="false">IFERROR(INDEX('Source'!$C:$C,MATCH($A97,'Source'!$B:$B,0)),"")</f>
        <v>רפידת זיכרון 376</v>
      </c>
      <c r="C97" s="8" t="n">
        <f aca="false">SUMIFS('Source'!$D:$D,'Source'!$A:$A,"160150 MAX KONNARIS LTD",'Source'!$B:$B,$A97)</f>
        <v>22</v>
      </c>
      <c r="D97" s="8" t="n">
        <f aca="false">SUMIFS('Source'!$F:$F,'Source'!$A:$A,"160150 MAX KONNARIS LTD",'Source'!$B:$B,$A97)</f>
        <v>6</v>
      </c>
      <c r="E97" s="8" t="n">
        <f aca="false">D97*$J$5</f>
        <v>7.57894736842105</v>
      </c>
      <c r="F97" s="8" t="n">
        <f aca="false">E97-C97</f>
        <v>-14.4210526315789</v>
      </c>
      <c r="G97" s="9" t="n">
        <f aca="false">IF(AND(C97=0,E97=0),0,IF(C97=0,"New",(E97-C97)/C97))</f>
        <v>-0.655502392344498</v>
      </c>
      <c r="H97" s="8" t="n">
        <f aca="false">SUMIFS('Source'!$E:$E,'Source'!$A:$A,"160150 MAX KONNARIS LTD",'Source'!$B:$B,$A97)</f>
        <v>370.35</v>
      </c>
      <c r="I97" s="8" t="n">
        <f aca="false">SUMIFS('Source'!$G:$G,'Source'!$A:$A,"160150 MAX KONNARIS LTD",'Source'!$B:$B,$A97)</f>
        <v>86.25</v>
      </c>
      <c r="J97" s="8" t="n">
        <f aca="false">I97*$J$5</f>
        <v>108.947368421053</v>
      </c>
      <c r="K97" s="8" t="n">
        <f aca="false">J97-H97</f>
        <v>-261.402631578947</v>
      </c>
      <c r="L97" s="9" t="n">
        <f aca="false">IF(AND(H97=0,J97=0),0,IF(H97=0,"New",(J97-H97)/H97))</f>
        <v>-0.705825925689071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325</v>
      </c>
      <c r="B98" s="7" t="str">
        <f aca="false">IFERROR(INDEX('Source'!$C:$C,MATCH($A98,'Source'!$B:$B,0)),"")</f>
        <v>חגורת בטן</v>
      </c>
      <c r="C98" s="8" t="n">
        <f aca="false">SUMIFS('Source'!$D:$D,'Source'!$A:$A,"160150 MAX KONNARIS LTD",'Source'!$B:$B,$A98)</f>
        <v>0</v>
      </c>
      <c r="D98" s="8" t="n">
        <f aca="false">SUMIFS('Source'!$F:$F,'Source'!$A:$A,"160150 MAX KONNARIS LTD",'Source'!$B:$B,$A98)</f>
        <v>6</v>
      </c>
      <c r="E98" s="8" t="n">
        <f aca="false">D98*$J$5</f>
        <v>7.57894736842105</v>
      </c>
      <c r="F98" s="8" t="n">
        <f aca="false">E98-C98</f>
        <v>7.57894736842105</v>
      </c>
      <c r="G98" s="9" t="str">
        <f aca="false">IF(AND(C98=0,E98=0),0,IF(C98=0,"New",(E98-C98)/C98))</f>
        <v>New</v>
      </c>
      <c r="H98" s="8" t="n">
        <f aca="false">SUMIFS('Source'!$E:$E,'Source'!$A:$A,"160150 MAX KONNARIS LTD",'Source'!$B:$B,$A98)</f>
        <v>0</v>
      </c>
      <c r="I98" s="8" t="n">
        <f aca="false">SUMIFS('Source'!$G:$G,'Source'!$A:$A,"160150 MAX KONNARIS LTD",'Source'!$B:$B,$A98)</f>
        <v>282.18</v>
      </c>
      <c r="J98" s="8" t="n">
        <f aca="false">I98*$J$5</f>
        <v>356.437894736842</v>
      </c>
      <c r="K98" s="8" t="n">
        <f aca="false">J98-H98</f>
        <v>356.437894736842</v>
      </c>
      <c r="L98" s="9" t="str">
        <f aca="false">IF(AND(H98=0,J98=0),0,IF(H98=0,"New",(J98-H98)/H98))</f>
        <v>New</v>
      </c>
      <c r="M98" s="7" t="str">
        <f aca="false">IF(AND(OR(C98&lt;&gt;0,H98&lt;&gt;0),D98=0,I98=0),"DROP",IF(AND(OR(D98&lt;&gt;0,I98&lt;&gt;0),C98=0,H98=0),"NEW",""))</f>
        <v>NEW</v>
      </c>
    </row>
    <row r="99" customFormat="false" ht="15" hidden="false" customHeight="false" outlineLevel="0" collapsed="false">
      <c r="A99" s="7" t="s">
        <v>576</v>
      </c>
      <c r="B99" s="7" t="str">
        <f aca="false">IFERROR(INDEX('Source'!$C:$C,MATCH($A99,'Source'!$B:$B,0)),"")</f>
        <v>חגורת בטן</v>
      </c>
      <c r="C99" s="8" t="n">
        <f aca="false">SUMIFS('Source'!$D:$D,'Source'!$A:$A,"160150 MAX KONNARIS LTD",'Source'!$B:$B,$A99)</f>
        <v>0</v>
      </c>
      <c r="D99" s="8" t="n">
        <f aca="false">SUMIFS('Source'!$F:$F,'Source'!$A:$A,"160150 MAX KONNARIS LTD",'Source'!$B:$B,$A99)</f>
        <v>6</v>
      </c>
      <c r="E99" s="8" t="n">
        <f aca="false">D99*$J$5</f>
        <v>7.57894736842105</v>
      </c>
      <c r="F99" s="8" t="n">
        <f aca="false">E99-C99</f>
        <v>7.57894736842105</v>
      </c>
      <c r="G99" s="9" t="str">
        <f aca="false">IF(AND(C99=0,E99=0),0,IF(C99=0,"New",(E99-C99)/C99))</f>
        <v>New</v>
      </c>
      <c r="H99" s="8" t="n">
        <f aca="false">SUMIFS('Source'!$E:$E,'Source'!$A:$A,"160150 MAX KONNARIS LTD",'Source'!$B:$B,$A99)</f>
        <v>0</v>
      </c>
      <c r="I99" s="8" t="n">
        <f aca="false">SUMIFS('Source'!$G:$G,'Source'!$A:$A,"160150 MAX KONNARIS LTD",'Source'!$B:$B,$A99)</f>
        <v>282.18</v>
      </c>
      <c r="J99" s="8" t="n">
        <f aca="false">I99*$J$5</f>
        <v>356.437894736842</v>
      </c>
      <c r="K99" s="8" t="n">
        <f aca="false">J99-H99</f>
        <v>356.437894736842</v>
      </c>
      <c r="L99" s="9" t="str">
        <f aca="false">IF(AND(H99=0,J99=0),0,IF(H99=0,"New",(J99-H99)/H99))</f>
        <v>New</v>
      </c>
      <c r="M99" s="7" t="str">
        <f aca="false">IF(AND(OR(C99&lt;&gt;0,H99&lt;&gt;0),D99=0,I99=0),"DROP",IF(AND(OR(D99&lt;&gt;0,I99&lt;&gt;0),C99=0,H99=0),"NEW",""))</f>
        <v>NEW</v>
      </c>
    </row>
    <row r="100" customFormat="false" ht="15" hidden="false" customHeight="false" outlineLevel="0" collapsed="false">
      <c r="A100" s="7" t="s">
        <v>797</v>
      </c>
      <c r="B100" s="7" t="str">
        <f aca="false">IFERROR(INDEX('Source'!$C:$C,MATCH($A100,'Source'!$B:$B,0)),"")</f>
        <v>חגורת בטן</v>
      </c>
      <c r="C100" s="8" t="n">
        <f aca="false">SUMIFS('Source'!$D:$D,'Source'!$A:$A,"160150 MAX KONNARIS LTD",'Source'!$B:$B,$A100)</f>
        <v>0</v>
      </c>
      <c r="D100" s="8" t="n">
        <f aca="false">SUMIFS('Source'!$F:$F,'Source'!$A:$A,"160150 MAX KONNARIS LTD",'Source'!$B:$B,$A100)</f>
        <v>6</v>
      </c>
      <c r="E100" s="8" t="n">
        <f aca="false">D100*$J$5</f>
        <v>7.57894736842105</v>
      </c>
      <c r="F100" s="8" t="n">
        <f aca="false">E100-C100</f>
        <v>7.57894736842105</v>
      </c>
      <c r="G100" s="9" t="str">
        <f aca="false">IF(AND(C100=0,E100=0),0,IF(C100=0,"New",(E100-C100)/C100))</f>
        <v>New</v>
      </c>
      <c r="H100" s="8" t="n">
        <f aca="false">SUMIFS('Source'!$E:$E,'Source'!$A:$A,"160150 MAX KONNARIS LTD",'Source'!$B:$B,$A100)</f>
        <v>0</v>
      </c>
      <c r="I100" s="8" t="n">
        <f aca="false">SUMIFS('Source'!$G:$G,'Source'!$A:$A,"160150 MAX KONNARIS LTD",'Source'!$B:$B,$A100)</f>
        <v>282.18</v>
      </c>
      <c r="J100" s="8" t="n">
        <f aca="false">I100*$J$5</f>
        <v>356.437894736842</v>
      </c>
      <c r="K100" s="8" t="n">
        <f aca="false">J100-H100</f>
        <v>356.437894736842</v>
      </c>
      <c r="L100" s="9" t="str">
        <f aca="false">IF(AND(H100=0,J100=0),0,IF(H100=0,"New",(J100-H100)/H100))</f>
        <v>New</v>
      </c>
      <c r="M100" s="7" t="str">
        <f aca="false">IF(AND(OR(C100&lt;&gt;0,H100&lt;&gt;0),D100=0,I100=0),"DROP",IF(AND(OR(D100&lt;&gt;0,I100&lt;&gt;0),C100=0,H100=0),"NEW",""))</f>
        <v>NEW</v>
      </c>
    </row>
    <row r="101" customFormat="false" ht="15" hidden="false" customHeight="false" outlineLevel="0" collapsed="false">
      <c r="A101" s="7" t="s">
        <v>327</v>
      </c>
      <c r="B101" s="7" t="str">
        <f aca="false">IFERROR(INDEX('Source'!$C:$C,MATCH($A101,'Source'!$B:$B,0)),"")</f>
        <v>חגורת גב+סגירה כפולה</v>
      </c>
      <c r="C101" s="8" t="n">
        <f aca="false">SUMIFS('Source'!$D:$D,'Source'!$A:$A,"160150 MAX KONNARIS LTD",'Source'!$B:$B,$A101)</f>
        <v>6</v>
      </c>
      <c r="D101" s="8" t="n">
        <f aca="false">SUMIFS('Source'!$F:$F,'Source'!$A:$A,"160150 MAX KONNARIS LTD",'Source'!$B:$B,$A101)</f>
        <v>0</v>
      </c>
      <c r="E101" s="8" t="n">
        <f aca="false">D101*$J$5</f>
        <v>0</v>
      </c>
      <c r="F101" s="8" t="n">
        <f aca="false">E101-C101</f>
        <v>-6</v>
      </c>
      <c r="G101" s="9" t="n">
        <f aca="false">IF(AND(C101=0,E101=0),0,IF(C101=0,"New",(E101-C101)/C101))</f>
        <v>-1</v>
      </c>
      <c r="H101" s="8" t="n">
        <f aca="false">SUMIFS('Source'!$E:$E,'Source'!$A:$A,"160150 MAX KONNARIS LTD",'Source'!$B:$B,$A101)</f>
        <v>278.12</v>
      </c>
      <c r="I101" s="8" t="n">
        <f aca="false">SUMIFS('Source'!$G:$G,'Source'!$A:$A,"160150 MAX KONNARIS LTD",'Source'!$B:$B,$A101)</f>
        <v>0</v>
      </c>
      <c r="J101" s="8" t="n">
        <f aca="false">I101*$J$5</f>
        <v>0</v>
      </c>
      <c r="K101" s="8" t="n">
        <f aca="false">J101-H101</f>
        <v>-278.12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660</v>
      </c>
      <c r="B102" s="7" t="str">
        <f aca="false">IFERROR(INDEX('Source'!$C:$C,MATCH($A102,'Source'!$B:$B,0)),"")</f>
        <v>רפידת זיכרון 376</v>
      </c>
      <c r="C102" s="8" t="n">
        <f aca="false">SUMIFS('Source'!$D:$D,'Source'!$A:$A,"160150 MAX KONNARIS LTD",'Source'!$B:$B,$A102)</f>
        <v>22</v>
      </c>
      <c r="D102" s="8" t="n">
        <f aca="false">SUMIFS('Source'!$F:$F,'Source'!$A:$A,"160150 MAX KONNARIS LTD",'Source'!$B:$B,$A102)</f>
        <v>6</v>
      </c>
      <c r="E102" s="8" t="n">
        <f aca="false">D102*$J$5</f>
        <v>7.57894736842105</v>
      </c>
      <c r="F102" s="8" t="n">
        <f aca="false">E102-C102</f>
        <v>-14.4210526315789</v>
      </c>
      <c r="G102" s="9" t="n">
        <f aca="false">IF(AND(C102=0,E102=0),0,IF(C102=0,"New",(E102-C102)/C102))</f>
        <v>-0.655502392344498</v>
      </c>
      <c r="H102" s="8" t="n">
        <f aca="false">SUMIFS('Source'!$E:$E,'Source'!$A:$A,"160150 MAX KONNARIS LTD",'Source'!$B:$B,$A102)</f>
        <v>370.35</v>
      </c>
      <c r="I102" s="8" t="n">
        <f aca="false">SUMIFS('Source'!$G:$G,'Source'!$A:$A,"160150 MAX KONNARIS LTD",'Source'!$B:$B,$A102)</f>
        <v>92.59</v>
      </c>
      <c r="J102" s="8" t="n">
        <f aca="false">I102*$J$5</f>
        <v>116.955789473684</v>
      </c>
      <c r="K102" s="8" t="n">
        <f aca="false">J102-H102</f>
        <v>-253.394210526316</v>
      </c>
      <c r="L102" s="9" t="n">
        <f aca="false">IF(AND(H102=0,J102=0),0,IF(H102=0,"New",(J102-H102)/H102))</f>
        <v>-0.684201999531027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179</v>
      </c>
      <c r="B103" s="7" t="str">
        <f aca="false">IFERROR(INDEX('Source'!$C:$C,MATCH($A103,'Source'!$B:$B,0)),"")</f>
        <v>מתלה ליד לילדים</v>
      </c>
      <c r="C103" s="8" t="n">
        <f aca="false">SUMIFS('Source'!$D:$D,'Source'!$A:$A,"160150 MAX KONNARIS LTD",'Source'!$B:$B,$A103)</f>
        <v>10</v>
      </c>
      <c r="D103" s="8" t="n">
        <f aca="false">SUMIFS('Source'!$F:$F,'Source'!$A:$A,"160150 MAX KONNARIS LTD",'Source'!$B:$B,$A103)</f>
        <v>0</v>
      </c>
      <c r="E103" s="8" t="n">
        <f aca="false">D103*$J$5</f>
        <v>0</v>
      </c>
      <c r="F103" s="8" t="n">
        <f aca="false">E103-C103</f>
        <v>-10</v>
      </c>
      <c r="G103" s="9" t="n">
        <f aca="false">IF(AND(C103=0,E103=0),0,IF(C103=0,"New",(E103-C103)/C103))</f>
        <v>-1</v>
      </c>
      <c r="H103" s="8" t="n">
        <f aca="false">SUMIFS('Source'!$E:$E,'Source'!$A:$A,"160150 MAX KONNARIS LTD",'Source'!$B:$B,$A103)</f>
        <v>277.34</v>
      </c>
      <c r="I103" s="8" t="n">
        <f aca="false">SUMIFS('Source'!$G:$G,'Source'!$A:$A,"160150 MAX KONNARIS LTD",'Source'!$B:$B,$A103)</f>
        <v>0</v>
      </c>
      <c r="J103" s="8" t="n">
        <f aca="false">I103*$J$5</f>
        <v>0</v>
      </c>
      <c r="K103" s="8" t="n">
        <f aca="false">J103-H103</f>
        <v>-277.34</v>
      </c>
      <c r="L103" s="9" t="n">
        <f aca="false">IF(AND(H103=0,J103=0),0,IF(H103=0,"New",(J103-H103)/H103))</f>
        <v>-1</v>
      </c>
      <c r="M103" s="7" t="str">
        <f aca="false">IF(AND(OR(C103&lt;&gt;0,H103&lt;&gt;0),D103=0,I103=0),"DROP",IF(AND(OR(D103&lt;&gt;0,I103&lt;&gt;0),C103=0,H103=0),"NEW",""))</f>
        <v>DROP</v>
      </c>
    </row>
    <row r="104" customFormat="false" ht="15" hidden="false" customHeight="false" outlineLevel="0" collapsed="false">
      <c r="A104" s="7" t="s">
        <v>248</v>
      </c>
      <c r="B104" s="7" t="str">
        <f aca="false">IFERROR(INDEX('Source'!$C:$C,MATCH($A104,'Source'!$B:$B,0)),"")</f>
        <v>מגן לכתף ימין/שמאל</v>
      </c>
      <c r="C104" s="8" t="n">
        <f aca="false">SUMIFS('Source'!$D:$D,'Source'!$A:$A,"160150 MAX KONNARIS LTD",'Source'!$B:$B,$A104)</f>
        <v>0</v>
      </c>
      <c r="D104" s="8" t="n">
        <f aca="false">SUMIFS('Source'!$F:$F,'Source'!$A:$A,"160150 MAX KONNARIS LTD",'Source'!$B:$B,$A104)</f>
        <v>4</v>
      </c>
      <c r="E104" s="8" t="n">
        <f aca="false">D104*$J$5</f>
        <v>5.05263157894737</v>
      </c>
      <c r="F104" s="8" t="n">
        <f aca="false">E104-C104</f>
        <v>5.05263157894737</v>
      </c>
      <c r="G104" s="9" t="str">
        <f aca="false">IF(AND(C104=0,E104=0),0,IF(C104=0,"New",(E104-C104)/C104))</f>
        <v>New</v>
      </c>
      <c r="H104" s="8" t="n">
        <f aca="false">SUMIFS('Source'!$E:$E,'Source'!$A:$A,"160150 MAX KONNARIS LTD",'Source'!$B:$B,$A104)</f>
        <v>0</v>
      </c>
      <c r="I104" s="8" t="n">
        <f aca="false">SUMIFS('Source'!$G:$G,'Source'!$A:$A,"160150 MAX KONNARIS LTD",'Source'!$B:$B,$A104)</f>
        <v>276.54</v>
      </c>
      <c r="J104" s="8" t="n">
        <f aca="false">I104*$J$5</f>
        <v>349.313684210526</v>
      </c>
      <c r="K104" s="8" t="n">
        <f aca="false">J104-H104</f>
        <v>349.313684210526</v>
      </c>
      <c r="L104" s="9" t="str">
        <f aca="false">IF(AND(H104=0,J104=0),0,IF(H104=0,"New",(J104-H104)/H104))</f>
        <v>New</v>
      </c>
      <c r="M104" s="7" t="str">
        <f aca="false">IF(AND(OR(C104&lt;&gt;0,H104&lt;&gt;0),D104=0,I104=0),"DROP",IF(AND(OR(D104&lt;&gt;0,I104&lt;&gt;0),C104=0,H104=0),"NEW",""))</f>
        <v>NEW</v>
      </c>
    </row>
    <row r="105" customFormat="false" ht="15" hidden="false" customHeight="false" outlineLevel="0" collapsed="false">
      <c r="A105" s="7" t="s">
        <v>763</v>
      </c>
      <c r="B105" s="7" t="str">
        <f aca="false">IFERROR(INDEX('Source'!$C:$C,MATCH($A105,'Source'!$B:$B,0)),"")</f>
        <v>חגורת גב+סגירה כפולה</v>
      </c>
      <c r="C105" s="8" t="n">
        <f aca="false">SUMIFS('Source'!$D:$D,'Source'!$A:$A,"160150 MAX KONNARIS LTD",'Source'!$B:$B,$A105)</f>
        <v>6</v>
      </c>
      <c r="D105" s="8" t="n">
        <f aca="false">SUMIFS('Source'!$F:$F,'Source'!$A:$A,"160150 MAX KONNARIS LTD",'Source'!$B:$B,$A105)</f>
        <v>0</v>
      </c>
      <c r="E105" s="8" t="n">
        <f aca="false">D105*$J$5</f>
        <v>0</v>
      </c>
      <c r="F105" s="8" t="n">
        <f aca="false">E105-C105</f>
        <v>-6</v>
      </c>
      <c r="G105" s="9" t="n">
        <f aca="false">IF(AND(C105=0,E105=0),0,IF(C105=0,"New",(E105-C105)/C105))</f>
        <v>-1</v>
      </c>
      <c r="H105" s="8" t="n">
        <f aca="false">SUMIFS('Source'!$E:$E,'Source'!$A:$A,"160150 MAX KONNARIS LTD",'Source'!$B:$B,$A105)</f>
        <v>274.69</v>
      </c>
      <c r="I105" s="8" t="n">
        <f aca="false">SUMIFS('Source'!$G:$G,'Source'!$A:$A,"160150 MAX KONNARIS LTD",'Source'!$B:$B,$A105)</f>
        <v>0</v>
      </c>
      <c r="J105" s="8" t="n">
        <f aca="false">I105*$J$5</f>
        <v>0</v>
      </c>
      <c r="K105" s="8" t="n">
        <f aca="false">J105-H105</f>
        <v>-274.69</v>
      </c>
      <c r="L105" s="9" t="n">
        <f aca="false">IF(AND(H105=0,J105=0),0,IF(H105=0,"New",(J105-H105)/H105))</f>
        <v>-1</v>
      </c>
      <c r="M105" s="7" t="str">
        <f aca="false">IF(AND(OR(C105&lt;&gt;0,H105&lt;&gt;0),D105=0,I105=0),"DROP",IF(AND(OR(D105&lt;&gt;0,I105&lt;&gt;0),C105=0,H105=0),"NEW",""))</f>
        <v>DROP</v>
      </c>
    </row>
    <row r="106" customFormat="false" ht="15" hidden="false" customHeight="false" outlineLevel="0" collapsed="false">
      <c r="A106" s="7" t="s">
        <v>163</v>
      </c>
      <c r="B106" s="7" t="str">
        <f aca="false">IFERROR(INDEX('Source'!$C:$C,MATCH($A106,'Source'!$B:$B,0)),"")</f>
        <v>שרוול לגבס ארוך יד</v>
      </c>
      <c r="C106" s="8" t="n">
        <f aca="false">SUMIFS('Source'!$D:$D,'Source'!$A:$A,"160150 MAX KONNARIS LTD",'Source'!$B:$B,$A106)</f>
        <v>30</v>
      </c>
      <c r="D106" s="8" t="n">
        <f aca="false">SUMIFS('Source'!$F:$F,'Source'!$A:$A,"160150 MAX KONNARIS LTD",'Source'!$B:$B,$A106)</f>
        <v>20</v>
      </c>
      <c r="E106" s="8" t="n">
        <f aca="false">D106*$J$5</f>
        <v>25.2631578947368</v>
      </c>
      <c r="F106" s="8" t="n">
        <f aca="false">E106-C106</f>
        <v>-4.73684210526316</v>
      </c>
      <c r="G106" s="9" t="n">
        <f aca="false">IF(AND(C106=0,E106=0),0,IF(C106=0,"New",(E106-C106)/C106))</f>
        <v>-0.157894736842105</v>
      </c>
      <c r="H106" s="8" t="n">
        <f aca="false">SUMIFS('Source'!$E:$E,'Source'!$A:$A,"160150 MAX KONNARIS LTD",'Source'!$B:$B,$A106)</f>
        <v>689.16</v>
      </c>
      <c r="I106" s="8" t="n">
        <f aca="false">SUMIFS('Source'!$G:$G,'Source'!$A:$A,"160150 MAX KONNARIS LTD",'Source'!$B:$B,$A106)</f>
        <v>415.16</v>
      </c>
      <c r="J106" s="8" t="n">
        <f aca="false">I106*$J$5</f>
        <v>524.412631578947</v>
      </c>
      <c r="K106" s="8" t="n">
        <f aca="false">J106-H106</f>
        <v>-164.747368421053</v>
      </c>
      <c r="L106" s="9" t="n">
        <f aca="false">IF(AND(H106=0,J106=0),0,IF(H106=0,"New",(J106-H106)/H106))</f>
        <v>-0.239055325934547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471</v>
      </c>
      <c r="B107" s="7" t="str">
        <f aca="false">IFERROR(INDEX('Source'!$C:$C,MATCH($A107,'Source'!$B:$B,0)),"")</f>
        <v>ח.בטן 25 ס'מ</v>
      </c>
      <c r="C107" s="8" t="n">
        <f aca="false">SUMIFS('Source'!$D:$D,'Source'!$A:$A,"160150 MAX KONNARIS LTD",'Source'!$B:$B,$A107)</f>
        <v>0</v>
      </c>
      <c r="D107" s="8" t="n">
        <f aca="false">SUMIFS('Source'!$F:$F,'Source'!$A:$A,"160150 MAX KONNARIS LTD",'Source'!$B:$B,$A107)</f>
        <v>6</v>
      </c>
      <c r="E107" s="8" t="n">
        <f aca="false">D107*$J$5</f>
        <v>7.57894736842105</v>
      </c>
      <c r="F107" s="8" t="n">
        <f aca="false">E107-C107</f>
        <v>7.57894736842105</v>
      </c>
      <c r="G107" s="9" t="str">
        <f aca="false">IF(AND(C107=0,E107=0),0,IF(C107=0,"New",(E107-C107)/C107))</f>
        <v>New</v>
      </c>
      <c r="H107" s="8" t="n">
        <f aca="false">SUMIFS('Source'!$E:$E,'Source'!$A:$A,"160150 MAX KONNARIS LTD",'Source'!$B:$B,$A107)</f>
        <v>0</v>
      </c>
      <c r="I107" s="8" t="n">
        <f aca="false">SUMIFS('Source'!$G:$G,'Source'!$A:$A,"160150 MAX KONNARIS LTD",'Source'!$B:$B,$A107)</f>
        <v>273.36</v>
      </c>
      <c r="J107" s="8" t="n">
        <f aca="false">I107*$J$5</f>
        <v>345.296842105263</v>
      </c>
      <c r="K107" s="8" t="n">
        <f aca="false">J107-H107</f>
        <v>345.296842105263</v>
      </c>
      <c r="L107" s="9" t="str">
        <f aca="false">IF(AND(H107=0,J107=0),0,IF(H107=0,"New",(J107-H107)/H107))</f>
        <v>New</v>
      </c>
      <c r="M107" s="7" t="str">
        <f aca="false">IF(AND(OR(C107&lt;&gt;0,H107&lt;&gt;0),D107=0,I107=0),"DROP",IF(AND(OR(D107&lt;&gt;0,I107&lt;&gt;0),C107=0,H107=0),"NEW",""))</f>
        <v>NEW</v>
      </c>
    </row>
    <row r="108" customFormat="false" ht="15" hidden="false" customHeight="false" outlineLevel="0" collapsed="false">
      <c r="A108" s="7" t="s">
        <v>247</v>
      </c>
      <c r="B108" s="7" t="str">
        <f aca="false">IFERROR(INDEX('Source'!$C:$C,MATCH($A108,'Source'!$B:$B,0)),"")</f>
        <v>ח.בטן 25 ס'מ</v>
      </c>
      <c r="C108" s="8" t="n">
        <f aca="false">SUMIFS('Source'!$D:$D,'Source'!$A:$A,"160150 MAX KONNARIS LTD",'Source'!$B:$B,$A108)</f>
        <v>0</v>
      </c>
      <c r="D108" s="8" t="n">
        <f aca="false">SUMIFS('Source'!$F:$F,'Source'!$A:$A,"160150 MAX KONNARIS LTD",'Source'!$B:$B,$A108)</f>
        <v>6</v>
      </c>
      <c r="E108" s="8" t="n">
        <f aca="false">D108*$J$5</f>
        <v>7.57894736842105</v>
      </c>
      <c r="F108" s="8" t="n">
        <f aca="false">E108-C108</f>
        <v>7.57894736842105</v>
      </c>
      <c r="G108" s="9" t="str">
        <f aca="false">IF(AND(C108=0,E108=0),0,IF(C108=0,"New",(E108-C108)/C108))</f>
        <v>New</v>
      </c>
      <c r="H108" s="8" t="n">
        <f aca="false">SUMIFS('Source'!$E:$E,'Source'!$A:$A,"160150 MAX KONNARIS LTD",'Source'!$B:$B,$A108)</f>
        <v>0</v>
      </c>
      <c r="I108" s="8" t="n">
        <f aca="false">SUMIFS('Source'!$G:$G,'Source'!$A:$A,"160150 MAX KONNARIS LTD",'Source'!$B:$B,$A108)</f>
        <v>273.36</v>
      </c>
      <c r="J108" s="8" t="n">
        <f aca="false">I108*$J$5</f>
        <v>345.296842105263</v>
      </c>
      <c r="K108" s="8" t="n">
        <f aca="false">J108-H108</f>
        <v>345.296842105263</v>
      </c>
      <c r="L108" s="9" t="str">
        <f aca="false">IF(AND(H108=0,J108=0),0,IF(H108=0,"New",(J108-H108)/H108))</f>
        <v>New</v>
      </c>
      <c r="M108" s="7" t="str">
        <f aca="false">IF(AND(OR(C108&lt;&gt;0,H108&lt;&gt;0),D108=0,I108=0),"DROP",IF(AND(OR(D108&lt;&gt;0,I108&lt;&gt;0),C108=0,H108=0),"NEW",""))</f>
        <v>NEW</v>
      </c>
    </row>
    <row r="109" customFormat="false" ht="15" hidden="false" customHeight="false" outlineLevel="0" collapsed="false">
      <c r="A109" s="7" t="s">
        <v>133</v>
      </c>
      <c r="B109" s="7" t="str">
        <f aca="false">IFERROR(INDEX('Source'!$C:$C,MATCH($A109,'Source'!$B:$B,0)),"")</f>
        <v>סד יד</v>
      </c>
      <c r="C109" s="8" t="n">
        <f aca="false">SUMIFS('Source'!$D:$D,'Source'!$A:$A,"160150 MAX KONNARIS LTD",'Source'!$B:$B,$A109)</f>
        <v>30</v>
      </c>
      <c r="D109" s="8" t="n">
        <f aca="false">SUMIFS('Source'!$F:$F,'Source'!$A:$A,"160150 MAX KONNARIS LTD",'Source'!$B:$B,$A109)</f>
        <v>50</v>
      </c>
      <c r="E109" s="8" t="n">
        <f aca="false">D109*$J$5</f>
        <v>63.1578947368421</v>
      </c>
      <c r="F109" s="8" t="n">
        <f aca="false">E109-C109</f>
        <v>33.1578947368421</v>
      </c>
      <c r="G109" s="9" t="n">
        <f aca="false">IF(AND(C109=0,E109=0),0,IF(C109=0,"New",(E109-C109)/C109))</f>
        <v>1.10526315789474</v>
      </c>
      <c r="H109" s="8" t="n">
        <f aca="false">SUMIFS('Source'!$E:$E,'Source'!$A:$A,"160150 MAX KONNARIS LTD",'Source'!$B:$B,$A109)</f>
        <v>511.47</v>
      </c>
      <c r="I109" s="8" t="n">
        <f aca="false">SUMIFS('Source'!$G:$G,'Source'!$A:$A,"160150 MAX KONNARIS LTD",'Source'!$B:$B,$A109)</f>
        <v>783.9</v>
      </c>
      <c r="J109" s="8" t="n">
        <f aca="false">I109*$J$5</f>
        <v>990.189473684211</v>
      </c>
      <c r="K109" s="8" t="n">
        <f aca="false">J109-H109</f>
        <v>478.71947368421</v>
      </c>
      <c r="L109" s="9" t="n">
        <f aca="false">IF(AND(H109=0,J109=0),0,IF(H109=0,"New",(J109-H109)/H109))</f>
        <v>0.935967845004029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898</v>
      </c>
      <c r="B110" s="7" t="str">
        <f aca="false">IFERROR(INDEX('Source'!$C:$C,MATCH($A110,'Source'!$B:$B,0)),"")</f>
        <v>ריפוד סיליקון לכרית כף הרגל</v>
      </c>
      <c r="C110" s="8" t="n">
        <f aca="false">SUMIFS('Source'!$D:$D,'Source'!$A:$A,"160150 MAX KONNARIS LTD",'Source'!$B:$B,$A110)</f>
        <v>0</v>
      </c>
      <c r="D110" s="8" t="n">
        <f aca="false">SUMIFS('Source'!$F:$F,'Source'!$A:$A,"160150 MAX KONNARIS LTD",'Source'!$B:$B,$A110)</f>
        <v>30</v>
      </c>
      <c r="E110" s="8" t="n">
        <f aca="false">D110*$J$5</f>
        <v>37.8947368421053</v>
      </c>
      <c r="F110" s="8" t="n">
        <f aca="false">E110-C110</f>
        <v>37.8947368421053</v>
      </c>
      <c r="G110" s="9" t="str">
        <f aca="false">IF(AND(C110=0,E110=0),0,IF(C110=0,"New",(E110-C110)/C110))</f>
        <v>New</v>
      </c>
      <c r="H110" s="8" t="n">
        <f aca="false">SUMIFS('Source'!$E:$E,'Source'!$A:$A,"160150 MAX KONNARIS LTD",'Source'!$B:$B,$A110)</f>
        <v>0</v>
      </c>
      <c r="I110" s="8" t="n">
        <f aca="false">SUMIFS('Source'!$G:$G,'Source'!$A:$A,"160150 MAX KONNARIS LTD",'Source'!$B:$B,$A110)</f>
        <v>272.09</v>
      </c>
      <c r="J110" s="8" t="n">
        <f aca="false">I110*$J$5</f>
        <v>343.692631578947</v>
      </c>
      <c r="K110" s="8" t="n">
        <f aca="false">J110-H110</f>
        <v>343.692631578947</v>
      </c>
      <c r="L110" s="9" t="str">
        <f aca="false">IF(AND(H110=0,J110=0),0,IF(H110=0,"New",(J110-H110)/H110))</f>
        <v>New</v>
      </c>
      <c r="M110" s="7" t="str">
        <f aca="false">IF(AND(OR(C110&lt;&gt;0,H110&lt;&gt;0),D110=0,I110=0),"DROP",IF(AND(OR(D110&lt;&gt;0,I110&lt;&gt;0),C110=0,H110=0),"NEW",""))</f>
        <v>NEW</v>
      </c>
    </row>
    <row r="111" customFormat="false" ht="15" hidden="false" customHeight="false" outlineLevel="0" collapsed="false">
      <c r="A111" s="7" t="s">
        <v>415</v>
      </c>
      <c r="B111" s="7" t="str">
        <f aca="false">IFERROR(INDEX('Source'!$C:$C,MATCH($A111,'Source'!$B:$B,0)),"")</f>
        <v>גרבי נוחות חורף לבן</v>
      </c>
      <c r="C111" s="8" t="n">
        <f aca="false">SUMIFS('Source'!$D:$D,'Source'!$A:$A,"160150 MAX KONNARIS LTD",'Source'!$B:$B,$A111)</f>
        <v>10</v>
      </c>
      <c r="D111" s="8" t="n">
        <f aca="false">SUMIFS('Source'!$F:$F,'Source'!$A:$A,"160150 MAX KONNARIS LTD",'Source'!$B:$B,$A111)</f>
        <v>0</v>
      </c>
      <c r="E111" s="8" t="n">
        <f aca="false">D111*$J$5</f>
        <v>0</v>
      </c>
      <c r="F111" s="8" t="n">
        <f aca="false">E111-C111</f>
        <v>-10</v>
      </c>
      <c r="G111" s="9" t="n">
        <f aca="false">IF(AND(C111=0,E111=0),0,IF(C111=0,"New",(E111-C111)/C111))</f>
        <v>-1</v>
      </c>
      <c r="H111" s="8" t="n">
        <f aca="false">SUMIFS('Source'!$E:$E,'Source'!$A:$A,"160150 MAX KONNARIS LTD",'Source'!$B:$B,$A111)</f>
        <v>263.48</v>
      </c>
      <c r="I111" s="8" t="n">
        <f aca="false">SUMIFS('Source'!$G:$G,'Source'!$A:$A,"160150 MAX KONNARIS LTD",'Source'!$B:$B,$A111)</f>
        <v>0</v>
      </c>
      <c r="J111" s="8" t="n">
        <f aca="false">I111*$J$5</f>
        <v>0</v>
      </c>
      <c r="K111" s="8" t="n">
        <f aca="false">J111-H111</f>
        <v>-263.48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183</v>
      </c>
      <c r="B112" s="7" t="str">
        <f aca="false">IFERROR(INDEX('Source'!$C:$C,MATCH($A112,'Source'!$B:$B,0)),"")</f>
        <v>גרבי נוחות חורף לבן</v>
      </c>
      <c r="C112" s="8" t="n">
        <f aca="false">SUMIFS('Source'!$D:$D,'Source'!$A:$A,"160150 MAX KONNARIS LTD",'Source'!$B:$B,$A112)</f>
        <v>10</v>
      </c>
      <c r="D112" s="8" t="n">
        <f aca="false">SUMIFS('Source'!$F:$F,'Source'!$A:$A,"160150 MAX KONNARIS LTD",'Source'!$B:$B,$A112)</f>
        <v>0</v>
      </c>
      <c r="E112" s="8" t="n">
        <f aca="false">D112*$J$5</f>
        <v>0</v>
      </c>
      <c r="F112" s="8" t="n">
        <f aca="false">E112-C112</f>
        <v>-10</v>
      </c>
      <c r="G112" s="9" t="n">
        <f aca="false">IF(AND(C112=0,E112=0),0,IF(C112=0,"New",(E112-C112)/C112))</f>
        <v>-1</v>
      </c>
      <c r="H112" s="8" t="n">
        <f aca="false">SUMIFS('Source'!$E:$E,'Source'!$A:$A,"160150 MAX KONNARIS LTD",'Source'!$B:$B,$A112)</f>
        <v>263.48</v>
      </c>
      <c r="I112" s="8" t="n">
        <f aca="false">SUMIFS('Source'!$G:$G,'Source'!$A:$A,"160150 MAX KONNARIS LTD",'Source'!$B:$B,$A112)</f>
        <v>0</v>
      </c>
      <c r="J112" s="8" t="n">
        <f aca="false">I112*$J$5</f>
        <v>0</v>
      </c>
      <c r="K112" s="8" t="n">
        <f aca="false">J112-H112</f>
        <v>-263.48</v>
      </c>
      <c r="L112" s="9" t="n">
        <f aca="false">IF(AND(H112=0,J112=0),0,IF(H112=0,"New",(J112-H112)/H112))</f>
        <v>-1</v>
      </c>
      <c r="M112" s="7" t="str">
        <f aca="false">IF(AND(OR(C112&lt;&gt;0,H112&lt;&gt;0),D112=0,I112=0),"DROP",IF(AND(OR(D112&lt;&gt;0,I112&lt;&gt;0),C112=0,H112=0),"NEW",""))</f>
        <v>DROP</v>
      </c>
    </row>
    <row r="113" customFormat="false" ht="15" hidden="false" customHeight="false" outlineLevel="0" collapsed="false">
      <c r="A113" s="7" t="s">
        <v>226</v>
      </c>
      <c r="B113" s="7" t="str">
        <f aca="false">IFERROR(INDEX('Source'!$C:$C,MATCH($A113,'Source'!$B:$B,0)),"")</f>
        <v>גרבי נוחות חורף אפור</v>
      </c>
      <c r="C113" s="8" t="n">
        <f aca="false">SUMIFS('Source'!$D:$D,'Source'!$A:$A,"160150 MAX KONNARIS LTD",'Source'!$B:$B,$A113)</f>
        <v>10</v>
      </c>
      <c r="D113" s="8" t="n">
        <f aca="false">SUMIFS('Source'!$F:$F,'Source'!$A:$A,"160150 MAX KONNARIS LTD",'Source'!$B:$B,$A113)</f>
        <v>0</v>
      </c>
      <c r="E113" s="8" t="n">
        <f aca="false">D113*$J$5</f>
        <v>0</v>
      </c>
      <c r="F113" s="8" t="n">
        <f aca="false">E113-C113</f>
        <v>-10</v>
      </c>
      <c r="G113" s="9" t="n">
        <f aca="false">IF(AND(C113=0,E113=0),0,IF(C113=0,"New",(E113-C113)/C113))</f>
        <v>-1</v>
      </c>
      <c r="H113" s="8" t="n">
        <f aca="false">SUMIFS('Source'!$E:$E,'Source'!$A:$A,"160150 MAX KONNARIS LTD",'Source'!$B:$B,$A113)</f>
        <v>263.48</v>
      </c>
      <c r="I113" s="8" t="n">
        <f aca="false">SUMIFS('Source'!$G:$G,'Source'!$A:$A,"160150 MAX KONNARIS LTD",'Source'!$B:$B,$A113)</f>
        <v>0</v>
      </c>
      <c r="J113" s="8" t="n">
        <f aca="false">I113*$J$5</f>
        <v>0</v>
      </c>
      <c r="K113" s="8" t="n">
        <f aca="false">J113-H113</f>
        <v>-263.48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394</v>
      </c>
      <c r="B114" s="7" t="str">
        <f aca="false">IFERROR(INDEX('Source'!$C:$C,MATCH($A114,'Source'!$B:$B,0)),"")</f>
        <v>מגן קרסול+ עקב סגור+רצועות</v>
      </c>
      <c r="C114" s="8" t="n">
        <f aca="false">SUMIFS('Source'!$D:$D,'Source'!$A:$A,"160150 MAX KONNARIS LTD",'Source'!$B:$B,$A114)</f>
        <v>10</v>
      </c>
      <c r="D114" s="8" t="n">
        <f aca="false">SUMIFS('Source'!$F:$F,'Source'!$A:$A,"160150 MAX KONNARIS LTD",'Source'!$B:$B,$A114)</f>
        <v>20</v>
      </c>
      <c r="E114" s="8" t="n">
        <f aca="false">D114*$J$5</f>
        <v>25.2631578947368</v>
      </c>
      <c r="F114" s="8" t="n">
        <f aca="false">E114-C114</f>
        <v>15.2631578947368</v>
      </c>
      <c r="G114" s="9" t="n">
        <f aca="false">IF(AND(C114=0,E114=0),0,IF(C114=0,"New",(E114-C114)/C114))</f>
        <v>1.52631578947368</v>
      </c>
      <c r="H114" s="8" t="n">
        <f aca="false">SUMIFS('Source'!$E:$E,'Source'!$A:$A,"160150 MAX KONNARIS LTD",'Source'!$B:$B,$A114)</f>
        <v>328.63</v>
      </c>
      <c r="I114" s="8" t="n">
        <f aca="false">SUMIFS('Source'!$G:$G,'Source'!$A:$A,"160150 MAX KONNARIS LTD",'Source'!$B:$B,$A114)</f>
        <v>592.1</v>
      </c>
      <c r="J114" s="8" t="n">
        <f aca="false">I114*$J$5</f>
        <v>747.915789473684</v>
      </c>
      <c r="K114" s="8" t="n">
        <f aca="false">J114-H114</f>
        <v>419.285789473684</v>
      </c>
      <c r="L114" s="9" t="n">
        <f aca="false">IF(AND(H114=0,J114=0),0,IF(H114=0,"New",(J114-H114)/H114))</f>
        <v>1.2758597494863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754</v>
      </c>
      <c r="B115" s="7" t="str">
        <f aca="false">IFERROR(INDEX('Source'!$C:$C,MATCH($A115,'Source'!$B:$B,0)),"")</f>
        <v>אטלטיק טייפ</v>
      </c>
      <c r="C115" s="8" t="n">
        <f aca="false">SUMIFS('Source'!$D:$D,'Source'!$A:$A,"160150 MAX KONNARIS LTD",'Source'!$B:$B,$A115)</f>
        <v>26</v>
      </c>
      <c r="D115" s="8" t="n">
        <f aca="false">SUMIFS('Source'!$F:$F,'Source'!$A:$A,"160150 MAX KONNARIS LTD",'Source'!$B:$B,$A115)</f>
        <v>0</v>
      </c>
      <c r="E115" s="8" t="n">
        <f aca="false">D115*$J$5</f>
        <v>0</v>
      </c>
      <c r="F115" s="8" t="n">
        <f aca="false">E115-C115</f>
        <v>-26</v>
      </c>
      <c r="G115" s="9" t="n">
        <f aca="false">IF(AND(C115=0,E115=0),0,IF(C115=0,"New",(E115-C115)/C115))</f>
        <v>-1</v>
      </c>
      <c r="H115" s="8" t="n">
        <f aca="false">SUMIFS('Source'!$E:$E,'Source'!$A:$A,"160150 MAX KONNARIS LTD",'Source'!$B:$B,$A115)</f>
        <v>262.65</v>
      </c>
      <c r="I115" s="8" t="n">
        <f aca="false">SUMIFS('Source'!$G:$G,'Source'!$A:$A,"160150 MAX KONNARIS LTD",'Source'!$B:$B,$A115)</f>
        <v>0</v>
      </c>
      <c r="J115" s="8" t="n">
        <f aca="false">I115*$J$5</f>
        <v>0</v>
      </c>
      <c r="K115" s="8" t="n">
        <f aca="false">J115-H115</f>
        <v>-262.65</v>
      </c>
      <c r="L115" s="9" t="n">
        <f aca="false">IF(AND(H115=0,J115=0),0,IF(H115=0,"New",(J115-H115)/H115))</f>
        <v>-1</v>
      </c>
      <c r="M115" s="7" t="str">
        <f aca="false">IF(AND(OR(C115&lt;&gt;0,H115&lt;&gt;0),D115=0,I115=0),"DROP",IF(AND(OR(D115&lt;&gt;0,I115&lt;&gt;0),C115=0,H115=0),"NEW",""))</f>
        <v>DROP</v>
      </c>
    </row>
    <row r="116" customFormat="false" ht="15" hidden="false" customHeight="false" outlineLevel="0" collapsed="false">
      <c r="A116" s="7" t="s">
        <v>533</v>
      </c>
      <c r="B116" s="7" t="str">
        <f aca="false">IFERROR(INDEX('Source'!$C:$C,MATCH($A116,'Source'!$B:$B,0)),"")</f>
        <v>מתלה יד-כיס</v>
      </c>
      <c r="C116" s="8" t="n">
        <f aca="false">SUMIFS('Source'!$D:$D,'Source'!$A:$A,"160150 MAX KONNARIS LTD",'Source'!$B:$B,$A116)</f>
        <v>0</v>
      </c>
      <c r="D116" s="8" t="n">
        <f aca="false">SUMIFS('Source'!$F:$F,'Source'!$A:$A,"160150 MAX KONNARIS LTD",'Source'!$B:$B,$A116)</f>
        <v>13</v>
      </c>
      <c r="E116" s="8" t="n">
        <f aca="false">D116*$J$5</f>
        <v>16.4210526315789</v>
      </c>
      <c r="F116" s="8" t="n">
        <f aca="false">E116-C116</f>
        <v>16.4210526315789</v>
      </c>
      <c r="G116" s="9" t="str">
        <f aca="false">IF(AND(C116=0,E116=0),0,IF(C116=0,"New",(E116-C116)/C116))</f>
        <v>New</v>
      </c>
      <c r="H116" s="8" t="n">
        <f aca="false">SUMIFS('Source'!$E:$E,'Source'!$A:$A,"160150 MAX KONNARIS LTD",'Source'!$B:$B,$A116)</f>
        <v>0</v>
      </c>
      <c r="I116" s="8" t="n">
        <f aca="false">SUMIFS('Source'!$G:$G,'Source'!$A:$A,"160150 MAX KONNARIS LTD",'Source'!$B:$B,$A116)</f>
        <v>258.55</v>
      </c>
      <c r="J116" s="8" t="n">
        <f aca="false">I116*$J$5</f>
        <v>326.589473684211</v>
      </c>
      <c r="K116" s="8" t="n">
        <f aca="false">J116-H116</f>
        <v>326.589473684211</v>
      </c>
      <c r="L116" s="9" t="str">
        <f aca="false">IF(AND(H116=0,J116=0),0,IF(H116=0,"New",(J116-H116)/H116))</f>
        <v>New</v>
      </c>
      <c r="M116" s="7" t="str">
        <f aca="false">IF(AND(OR(C116&lt;&gt;0,H116&lt;&gt;0),D116=0,I116=0),"DROP",IF(AND(OR(D116&lt;&gt;0,I116&lt;&gt;0),C116=0,H116=0),"NEW",""))</f>
        <v>NEW</v>
      </c>
    </row>
    <row r="117" customFormat="false" ht="15" hidden="false" customHeight="false" outlineLevel="0" collapsed="false">
      <c r="A117" s="7" t="s">
        <v>313</v>
      </c>
      <c r="B117" s="7" t="str">
        <f aca="false">IFERROR(INDEX('Source'!$C:$C,MATCH($A117,'Source'!$B:$B,0)),"")</f>
        <v>צווארון ספוג</v>
      </c>
      <c r="C117" s="8" t="n">
        <f aca="false">SUMIFS('Source'!$D:$D,'Source'!$A:$A,"160150 MAX KONNARIS LTD",'Source'!$B:$B,$A117)</f>
        <v>0</v>
      </c>
      <c r="D117" s="8" t="n">
        <f aca="false">SUMIFS('Source'!$F:$F,'Source'!$A:$A,"160150 MAX KONNARIS LTD",'Source'!$B:$B,$A117)</f>
        <v>10</v>
      </c>
      <c r="E117" s="8" t="n">
        <f aca="false">D117*$J$5</f>
        <v>12.6315789473684</v>
      </c>
      <c r="F117" s="8" t="n">
        <f aca="false">E117-C117</f>
        <v>12.6315789473684</v>
      </c>
      <c r="G117" s="9" t="str">
        <f aca="false">IF(AND(C117=0,E117=0),0,IF(C117=0,"New",(E117-C117)/C117))</f>
        <v>New</v>
      </c>
      <c r="H117" s="8" t="n">
        <f aca="false">SUMIFS('Source'!$E:$E,'Source'!$A:$A,"160150 MAX KONNARIS LTD",'Source'!$B:$B,$A117)</f>
        <v>0</v>
      </c>
      <c r="I117" s="8" t="n">
        <f aca="false">SUMIFS('Source'!$G:$G,'Source'!$A:$A,"160150 MAX KONNARIS LTD",'Source'!$B:$B,$A117)</f>
        <v>256.69</v>
      </c>
      <c r="J117" s="8" t="n">
        <f aca="false">I117*$J$5</f>
        <v>324.24</v>
      </c>
      <c r="K117" s="8" t="n">
        <f aca="false">J117-H117</f>
        <v>324.24</v>
      </c>
      <c r="L117" s="9" t="str">
        <f aca="false">IF(AND(H117=0,J117=0),0,IF(H117=0,"New",(J117-H117)/H117))</f>
        <v>New</v>
      </c>
      <c r="M117" s="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false" outlineLevel="0" collapsed="false">
      <c r="A118" s="7" t="s">
        <v>903</v>
      </c>
      <c r="B118" s="7" t="str">
        <f aca="false">IFERROR(INDEX('Source'!$C:$C,MATCH($A118,'Source'!$B:$B,0)),"")</f>
        <v>ריפוד סיליקון לעקב אחורי</v>
      </c>
      <c r="C118" s="8" t="n">
        <f aca="false">SUMIFS('Source'!$D:$D,'Source'!$A:$A,"160150 MAX KONNARIS LTD",'Source'!$B:$B,$A118)</f>
        <v>0</v>
      </c>
      <c r="D118" s="8" t="n">
        <f aca="false">SUMIFS('Source'!$F:$F,'Source'!$A:$A,"160150 MAX KONNARIS LTD",'Source'!$B:$B,$A118)</f>
        <v>40</v>
      </c>
      <c r="E118" s="8" t="n">
        <f aca="false">D118*$J$5</f>
        <v>50.5263157894737</v>
      </c>
      <c r="F118" s="8" t="n">
        <f aca="false">E118-C118</f>
        <v>50.5263157894737</v>
      </c>
      <c r="G118" s="9" t="str">
        <f aca="false">IF(AND(C118=0,E118=0),0,IF(C118=0,"New",(E118-C118)/C118))</f>
        <v>New</v>
      </c>
      <c r="H118" s="8" t="n">
        <f aca="false">SUMIFS('Source'!$E:$E,'Source'!$A:$A,"160150 MAX KONNARIS LTD",'Source'!$B:$B,$A118)</f>
        <v>0</v>
      </c>
      <c r="I118" s="8" t="n">
        <f aca="false">SUMIFS('Source'!$G:$G,'Source'!$A:$A,"160150 MAX KONNARIS LTD",'Source'!$B:$B,$A118)</f>
        <v>255.48</v>
      </c>
      <c r="J118" s="8" t="n">
        <f aca="false">I118*$J$5</f>
        <v>322.711578947368</v>
      </c>
      <c r="K118" s="8" t="n">
        <f aca="false">J118-H118</f>
        <v>322.711578947368</v>
      </c>
      <c r="L118" s="9" t="str">
        <f aca="false">IF(AND(H118=0,J118=0),0,IF(H118=0,"New",(J118-H118)/H118))</f>
        <v>New</v>
      </c>
      <c r="M118" s="7" t="str">
        <f aca="false">IF(AND(OR(C118&lt;&gt;0,H118&lt;&gt;0),D118=0,I118=0),"DROP",IF(AND(OR(D118&lt;&gt;0,I118&lt;&gt;0),C118=0,H118=0),"NEW",""))</f>
        <v>NEW</v>
      </c>
    </row>
    <row r="119" customFormat="false" ht="15" hidden="false" customHeight="false" outlineLevel="0" collapsed="false">
      <c r="A119" s="7" t="s">
        <v>148</v>
      </c>
      <c r="B119" s="7" t="str">
        <f aca="false">IFERROR(INDEX('Source'!$C:$C,MATCH($A119,'Source'!$B:$B,0)),"")</f>
        <v>מגן ברך SC422</v>
      </c>
      <c r="C119" s="8" t="n">
        <f aca="false">SUMIFS('Source'!$D:$D,'Source'!$A:$A,"160150 MAX KONNARIS LTD",'Source'!$B:$B,$A119)</f>
        <v>3</v>
      </c>
      <c r="D119" s="8" t="n">
        <f aca="false">SUMIFS('Source'!$F:$F,'Source'!$A:$A,"160150 MAX KONNARIS LTD",'Source'!$B:$B,$A119)</f>
        <v>0</v>
      </c>
      <c r="E119" s="8" t="n">
        <f aca="false">D119*$J$5</f>
        <v>0</v>
      </c>
      <c r="F119" s="8" t="n">
        <f aca="false">E119-C119</f>
        <v>-3</v>
      </c>
      <c r="G119" s="9" t="n">
        <f aca="false">IF(AND(C119=0,E119=0),0,IF(C119=0,"New",(E119-C119)/C119))</f>
        <v>-1</v>
      </c>
      <c r="H119" s="8" t="n">
        <f aca="false">SUMIFS('Source'!$E:$E,'Source'!$A:$A,"160150 MAX KONNARIS LTD",'Source'!$B:$B,$A119)</f>
        <v>251.56</v>
      </c>
      <c r="I119" s="8" t="n">
        <f aca="false">SUMIFS('Source'!$G:$G,'Source'!$A:$A,"160150 MAX KONNARIS LTD",'Source'!$B:$B,$A119)</f>
        <v>0</v>
      </c>
      <c r="J119" s="8" t="n">
        <f aca="false">I119*$J$5</f>
        <v>0</v>
      </c>
      <c r="K119" s="8" t="n">
        <f aca="false">J119-H119</f>
        <v>-251.56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626</v>
      </c>
      <c r="B120" s="7" t="str">
        <f aca="false">IFERROR(INDEX('Source'!$C:$C,MATCH($A120,'Source'!$B:$B,0)),"")</f>
        <v>חגורת בטן</v>
      </c>
      <c r="C120" s="8" t="n">
        <f aca="false">SUMIFS('Source'!$D:$D,'Source'!$A:$A,"160150 MAX KONNARIS LTD",'Source'!$B:$B,$A120)</f>
        <v>6</v>
      </c>
      <c r="D120" s="8" t="n">
        <f aca="false">SUMIFS('Source'!$F:$F,'Source'!$A:$A,"160150 MAX KONNARIS LTD",'Source'!$B:$B,$A120)</f>
        <v>12</v>
      </c>
      <c r="E120" s="8" t="n">
        <f aca="false">D120*$J$5</f>
        <v>15.1578947368421</v>
      </c>
      <c r="F120" s="8" t="n">
        <f aca="false">E120-C120</f>
        <v>9.1578947368421</v>
      </c>
      <c r="G120" s="9" t="n">
        <f aca="false">IF(AND(C120=0,E120=0),0,IF(C120=0,"New",(E120-C120)/C120))</f>
        <v>1.52631578947368</v>
      </c>
      <c r="H120" s="8" t="n">
        <f aca="false">SUMIFS('Source'!$E:$E,'Source'!$A:$A,"160150 MAX KONNARIS LTD",'Source'!$B:$B,$A120)</f>
        <v>299.15</v>
      </c>
      <c r="I120" s="8" t="n">
        <f aca="false">SUMIFS('Source'!$G:$G,'Source'!$A:$A,"160150 MAX KONNARIS LTD",'Source'!$B:$B,$A120)</f>
        <v>545.03</v>
      </c>
      <c r="J120" s="8" t="n">
        <f aca="false">I120*$J$5</f>
        <v>688.458947368421</v>
      </c>
      <c r="K120" s="8" t="n">
        <f aca="false">J120-H120</f>
        <v>389.308947368421</v>
      </c>
      <c r="L120" s="9" t="n">
        <f aca="false">IF(AND(H120=0,J120=0),0,IF(H120=0,"New",(J120-H120)/H120))</f>
        <v>1.30138374517273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465</v>
      </c>
      <c r="B121" s="7" t="str">
        <f aca="false">IFERROR(INDEX('Source'!$C:$C,MATCH($A121,'Source'!$B:$B,0)),"")</f>
        <v>צוארון ספוגי</v>
      </c>
      <c r="C121" s="8" t="n">
        <f aca="false">SUMIFS('Source'!$D:$D,'Source'!$A:$A,"160150 MAX KONNARIS LTD",'Source'!$B:$B,$A121)</f>
        <v>0</v>
      </c>
      <c r="D121" s="8" t="n">
        <f aca="false">SUMIFS('Source'!$F:$F,'Source'!$A:$A,"160150 MAX KONNARIS LTD",'Source'!$B:$B,$A121)</f>
        <v>10</v>
      </c>
      <c r="E121" s="8" t="n">
        <f aca="false">D121*$J$5</f>
        <v>12.6315789473684</v>
      </c>
      <c r="F121" s="8" t="n">
        <f aca="false">E121-C121</f>
        <v>12.6315789473684</v>
      </c>
      <c r="G121" s="9" t="str">
        <f aca="false">IF(AND(C121=0,E121=0),0,IF(C121=0,"New",(E121-C121)/C121))</f>
        <v>New</v>
      </c>
      <c r="H121" s="8" t="n">
        <f aca="false">SUMIFS('Source'!$E:$E,'Source'!$A:$A,"160150 MAX KONNARIS LTD",'Source'!$B:$B,$A121)</f>
        <v>0</v>
      </c>
      <c r="I121" s="8" t="n">
        <f aca="false">SUMIFS('Source'!$G:$G,'Source'!$A:$A,"160150 MAX KONNARIS LTD",'Source'!$B:$B,$A121)</f>
        <v>240.66</v>
      </c>
      <c r="J121" s="8" t="n">
        <f aca="false">I121*$J$5</f>
        <v>303.991578947368</v>
      </c>
      <c r="K121" s="8" t="n">
        <f aca="false">J121-H121</f>
        <v>303.991578947368</v>
      </c>
      <c r="L121" s="9" t="str">
        <f aca="false">IF(AND(H121=0,J121=0),0,IF(H121=0,"New",(J121-H121)/H121))</f>
        <v>New</v>
      </c>
      <c r="M121" s="7" t="str">
        <f aca="false">IF(AND(OR(C121&lt;&gt;0,H121&lt;&gt;0),D121=0,I121=0),"DROP",IF(AND(OR(D121&lt;&gt;0,I121&lt;&gt;0),C121=0,H121=0),"NEW",""))</f>
        <v>NEW</v>
      </c>
    </row>
    <row r="122" customFormat="false" ht="15" hidden="false" customHeight="false" outlineLevel="0" collapsed="false">
      <c r="A122" s="7" t="s">
        <v>616</v>
      </c>
      <c r="B122" s="7" t="str">
        <f aca="false">IFERROR(INDEX('Source'!$C:$C,MATCH($A122,'Source'!$B:$B,0)),"")</f>
        <v>מגן קרסול סגור</v>
      </c>
      <c r="C122" s="8" t="n">
        <f aca="false">SUMIFS('Source'!$D:$D,'Source'!$A:$A,"160150 MAX KONNARIS LTD",'Source'!$B:$B,$A122)</f>
        <v>10</v>
      </c>
      <c r="D122" s="8" t="n">
        <f aca="false">SUMIFS('Source'!$F:$F,'Source'!$A:$A,"160150 MAX KONNARIS LTD",'Source'!$B:$B,$A122)</f>
        <v>0</v>
      </c>
      <c r="E122" s="8" t="n">
        <f aca="false">D122*$J$5</f>
        <v>0</v>
      </c>
      <c r="F122" s="8" t="n">
        <f aca="false">E122-C122</f>
        <v>-10</v>
      </c>
      <c r="G122" s="9" t="n">
        <f aca="false">IF(AND(C122=0,E122=0),0,IF(C122=0,"New",(E122-C122)/C122))</f>
        <v>-1</v>
      </c>
      <c r="H122" s="8" t="n">
        <f aca="false">SUMIFS('Source'!$E:$E,'Source'!$A:$A,"160150 MAX KONNARIS LTD",'Source'!$B:$B,$A122)</f>
        <v>233.71</v>
      </c>
      <c r="I122" s="8" t="n">
        <f aca="false">SUMIFS('Source'!$G:$G,'Source'!$A:$A,"160150 MAX KONNARIS LTD",'Source'!$B:$B,$A122)</f>
        <v>0</v>
      </c>
      <c r="J122" s="8" t="n">
        <f aca="false">I122*$J$5</f>
        <v>0</v>
      </c>
      <c r="K122" s="8" t="n">
        <f aca="false">J122-H122</f>
        <v>-233.71</v>
      </c>
      <c r="L122" s="9" t="n">
        <f aca="false">IF(AND(H122=0,J122=0),0,IF(H122=0,"New",(J122-H122)/H122))</f>
        <v>-1</v>
      </c>
      <c r="M122" s="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false" outlineLevel="0" collapsed="false">
      <c r="A123" s="7" t="s">
        <v>774</v>
      </c>
      <c r="B123" s="7" t="str">
        <f aca="false">IFERROR(INDEX('Source'!$C:$C,MATCH($A123,'Source'!$B:$B,0)),"")</f>
        <v>טיפ תחבושת לספורט כחול</v>
      </c>
      <c r="C123" s="8" t="n">
        <f aca="false">SUMIFS('Source'!$D:$D,'Source'!$A:$A,"160150 MAX KONNARIS LTD",'Source'!$B:$B,$A123)</f>
        <v>24</v>
      </c>
      <c r="D123" s="8" t="n">
        <f aca="false">SUMIFS('Source'!$F:$F,'Source'!$A:$A,"160150 MAX KONNARIS LTD",'Source'!$B:$B,$A123)</f>
        <v>0</v>
      </c>
      <c r="E123" s="8" t="n">
        <f aca="false">D123*$J$5</f>
        <v>0</v>
      </c>
      <c r="F123" s="8" t="n">
        <f aca="false">E123-C123</f>
        <v>-24</v>
      </c>
      <c r="G123" s="9" t="n">
        <f aca="false">IF(AND(C123=0,E123=0),0,IF(C123=0,"New",(E123-C123)/C123))</f>
        <v>-1</v>
      </c>
      <c r="H123" s="8" t="n">
        <f aca="false">SUMIFS('Source'!$E:$E,'Source'!$A:$A,"160150 MAX KONNARIS LTD",'Source'!$B:$B,$A123)</f>
        <v>227.95</v>
      </c>
      <c r="I123" s="8" t="n">
        <f aca="false">SUMIFS('Source'!$G:$G,'Source'!$A:$A,"160150 MAX KONNARIS LTD",'Source'!$B:$B,$A123)</f>
        <v>0</v>
      </c>
      <c r="J123" s="8" t="n">
        <f aca="false">I123*$J$5</f>
        <v>0</v>
      </c>
      <c r="K123" s="8" t="n">
        <f aca="false">J123-H123</f>
        <v>-227.95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459</v>
      </c>
      <c r="B124" s="7" t="str">
        <f aca="false">IFERROR(INDEX('Source'!$C:$C,MATCH($A124,'Source'!$B:$B,0)),"")</f>
        <v>טייפ חבישה לספורט שחור</v>
      </c>
      <c r="C124" s="8" t="n">
        <f aca="false">SUMIFS('Source'!$D:$D,'Source'!$A:$A,"160150 MAX KONNARIS LTD",'Source'!$B:$B,$A124)</f>
        <v>24</v>
      </c>
      <c r="D124" s="8" t="n">
        <f aca="false">SUMIFS('Source'!$F:$F,'Source'!$A:$A,"160150 MAX KONNARIS LTD",'Source'!$B:$B,$A124)</f>
        <v>0</v>
      </c>
      <c r="E124" s="8" t="n">
        <f aca="false">D124*$J$5</f>
        <v>0</v>
      </c>
      <c r="F124" s="8" t="n">
        <f aca="false">E124-C124</f>
        <v>-24</v>
      </c>
      <c r="G124" s="9" t="n">
        <f aca="false">IF(AND(C124=0,E124=0),0,IF(C124=0,"New",(E124-C124)/C124))</f>
        <v>-1</v>
      </c>
      <c r="H124" s="8" t="n">
        <f aca="false">SUMIFS('Source'!$E:$E,'Source'!$A:$A,"160150 MAX KONNARIS LTD",'Source'!$B:$B,$A124)</f>
        <v>227.95</v>
      </c>
      <c r="I124" s="8" t="n">
        <f aca="false">SUMIFS('Source'!$G:$G,'Source'!$A:$A,"160150 MAX KONNARIS LTD",'Source'!$B:$B,$A124)</f>
        <v>0</v>
      </c>
      <c r="J124" s="8" t="n">
        <f aca="false">I124*$J$5</f>
        <v>0</v>
      </c>
      <c r="K124" s="8" t="n">
        <f aca="false">J124-H124</f>
        <v>-227.95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124</v>
      </c>
      <c r="B125" s="7" t="str">
        <f aca="false">IFERROR(INDEX('Source'!$C:$C,MATCH($A125,'Source'!$B:$B,0)),"")</f>
        <v>גרבי נוחות קיץ שחור</v>
      </c>
      <c r="C125" s="8" t="n">
        <f aca="false">SUMIFS('Source'!$D:$D,'Source'!$A:$A,"160150 MAX KONNARIS LTD",'Source'!$B:$B,$A125)</f>
        <v>10</v>
      </c>
      <c r="D125" s="8" t="n">
        <f aca="false">SUMIFS('Source'!$F:$F,'Source'!$A:$A,"160150 MAX KONNARIS LTD",'Source'!$B:$B,$A125)</f>
        <v>0</v>
      </c>
      <c r="E125" s="8" t="n">
        <f aca="false">D125*$J$5</f>
        <v>0</v>
      </c>
      <c r="F125" s="8" t="n">
        <f aca="false">E125-C125</f>
        <v>-10</v>
      </c>
      <c r="G125" s="9" t="n">
        <f aca="false">IF(AND(C125=0,E125=0),0,IF(C125=0,"New",(E125-C125)/C125))</f>
        <v>-1</v>
      </c>
      <c r="H125" s="8" t="n">
        <f aca="false">SUMIFS('Source'!$E:$E,'Source'!$A:$A,"160150 MAX KONNARIS LTD",'Source'!$B:$B,$A125)</f>
        <v>225.92</v>
      </c>
      <c r="I125" s="8" t="n">
        <f aca="false">SUMIFS('Source'!$G:$G,'Source'!$A:$A,"160150 MAX KONNARIS LTD",'Source'!$B:$B,$A125)</f>
        <v>0</v>
      </c>
      <c r="J125" s="8" t="n">
        <f aca="false">I125*$J$5</f>
        <v>0</v>
      </c>
      <c r="K125" s="8" t="n">
        <f aca="false">J125-H125</f>
        <v>-225.92</v>
      </c>
      <c r="L125" s="9" t="n">
        <f aca="false">IF(AND(H125=0,J125=0),0,IF(H125=0,"New",(J125-H125)/H125))</f>
        <v>-1</v>
      </c>
      <c r="M125" s="7" t="str">
        <f aca="false">IF(AND(OR(C125&lt;&gt;0,H125&lt;&gt;0),D125=0,I125=0),"DROP",IF(AND(OR(D125&lt;&gt;0,I125&lt;&gt;0),C125=0,H125=0),"NEW",""))</f>
        <v>DROP</v>
      </c>
    </row>
    <row r="126" customFormat="false" ht="15" hidden="false" customHeight="false" outlineLevel="0" collapsed="false">
      <c r="A126" s="7" t="s">
        <v>509</v>
      </c>
      <c r="B126" s="7" t="str">
        <f aca="false">IFERROR(INDEX('Source'!$C:$C,MATCH($A126,'Source'!$B:$B,0)),"")</f>
        <v>גרבי נוחות קיץ שחור</v>
      </c>
      <c r="C126" s="8" t="n">
        <f aca="false">SUMIFS('Source'!$D:$D,'Source'!$A:$A,"160150 MAX KONNARIS LTD",'Source'!$B:$B,$A126)</f>
        <v>10</v>
      </c>
      <c r="D126" s="8" t="n">
        <f aca="false">SUMIFS('Source'!$F:$F,'Source'!$A:$A,"160150 MAX KONNARIS LTD",'Source'!$B:$B,$A126)</f>
        <v>0</v>
      </c>
      <c r="E126" s="8" t="n">
        <f aca="false">D126*$J$5</f>
        <v>0</v>
      </c>
      <c r="F126" s="8" t="n">
        <f aca="false">E126-C126</f>
        <v>-10</v>
      </c>
      <c r="G126" s="9" t="n">
        <f aca="false">IF(AND(C126=0,E126=0),0,IF(C126=0,"New",(E126-C126)/C126))</f>
        <v>-1</v>
      </c>
      <c r="H126" s="8" t="n">
        <f aca="false">SUMIFS('Source'!$E:$E,'Source'!$A:$A,"160150 MAX KONNARIS LTD",'Source'!$B:$B,$A126)</f>
        <v>225.92</v>
      </c>
      <c r="I126" s="8" t="n">
        <f aca="false">SUMIFS('Source'!$G:$G,'Source'!$A:$A,"160150 MAX KONNARIS LTD",'Source'!$B:$B,$A126)</f>
        <v>0</v>
      </c>
      <c r="J126" s="8" t="n">
        <f aca="false">I126*$J$5</f>
        <v>0</v>
      </c>
      <c r="K126" s="8" t="n">
        <f aca="false">J126-H126</f>
        <v>-225.92</v>
      </c>
      <c r="L126" s="9" t="n">
        <f aca="false">IF(AND(H126=0,J126=0),0,IF(H126=0,"New",(J126-H126)/H126))</f>
        <v>-1</v>
      </c>
      <c r="M126" s="7" t="str">
        <f aca="false">IF(AND(OR(C126&lt;&gt;0,H126&lt;&gt;0),D126=0,I126=0),"DROP",IF(AND(OR(D126&lt;&gt;0,I126&lt;&gt;0),C126=0,H126=0),"NEW",""))</f>
        <v>DROP</v>
      </c>
    </row>
    <row r="127" customFormat="false" ht="15" hidden="false" customHeight="false" outlineLevel="0" collapsed="false">
      <c r="A127" s="7" t="s">
        <v>188</v>
      </c>
      <c r="B127" s="7" t="str">
        <f aca="false">IFERROR(INDEX('Source'!$C:$C,MATCH($A127,'Source'!$B:$B,0)),"")</f>
        <v>גרבי נוחות קיץ שחור</v>
      </c>
      <c r="C127" s="8" t="n">
        <f aca="false">SUMIFS('Source'!$D:$D,'Source'!$A:$A,"160150 MAX KONNARIS LTD",'Source'!$B:$B,$A127)</f>
        <v>10</v>
      </c>
      <c r="D127" s="8" t="n">
        <f aca="false">SUMIFS('Source'!$F:$F,'Source'!$A:$A,"160150 MAX KONNARIS LTD",'Source'!$B:$B,$A127)</f>
        <v>0</v>
      </c>
      <c r="E127" s="8" t="n">
        <f aca="false">D127*$J$5</f>
        <v>0</v>
      </c>
      <c r="F127" s="8" t="n">
        <f aca="false">E127-C127</f>
        <v>-10</v>
      </c>
      <c r="G127" s="9" t="n">
        <f aca="false">IF(AND(C127=0,E127=0),0,IF(C127=0,"New",(E127-C127)/C127))</f>
        <v>-1</v>
      </c>
      <c r="H127" s="8" t="n">
        <f aca="false">SUMIFS('Source'!$E:$E,'Source'!$A:$A,"160150 MAX KONNARIS LTD",'Source'!$B:$B,$A127)</f>
        <v>225.92</v>
      </c>
      <c r="I127" s="8" t="n">
        <f aca="false">SUMIFS('Source'!$G:$G,'Source'!$A:$A,"160150 MAX KONNARIS LTD",'Source'!$B:$B,$A127)</f>
        <v>0</v>
      </c>
      <c r="J127" s="8" t="n">
        <f aca="false">I127*$J$5</f>
        <v>0</v>
      </c>
      <c r="K127" s="8" t="n">
        <f aca="false">J127-H127</f>
        <v>-225.92</v>
      </c>
      <c r="L127" s="9" t="n">
        <f aca="false">IF(AND(H127=0,J127=0),0,IF(H127=0,"New",(J127-H127)/H127))</f>
        <v>-1</v>
      </c>
      <c r="M127" s="7" t="str">
        <f aca="false">IF(AND(OR(C127&lt;&gt;0,H127&lt;&gt;0),D127=0,I127=0),"DROP",IF(AND(OR(D127&lt;&gt;0,I127&lt;&gt;0),C127=0,H127=0),"NEW",""))</f>
        <v>DROP</v>
      </c>
    </row>
    <row r="128" customFormat="false" ht="15" hidden="false" customHeight="false" outlineLevel="0" collapsed="false">
      <c r="A128" s="7" t="s">
        <v>171</v>
      </c>
      <c r="B128" s="7" t="str">
        <f aca="false">IFERROR(INDEX('Source'!$C:$C,MATCH($A128,'Source'!$B:$B,0)),"")</f>
        <v>מדרס מתכוונן</v>
      </c>
      <c r="C128" s="8" t="n">
        <f aca="false">SUMIFS('Source'!$D:$D,'Source'!$A:$A,"160150 MAX KONNARIS LTD",'Source'!$B:$B,$A128)</f>
        <v>26</v>
      </c>
      <c r="D128" s="8" t="n">
        <f aca="false">SUMIFS('Source'!$F:$F,'Source'!$A:$A,"160150 MAX KONNARIS LTD",'Source'!$B:$B,$A128)</f>
        <v>36</v>
      </c>
      <c r="E128" s="8" t="n">
        <f aca="false">D128*$J$5</f>
        <v>45.4736842105263</v>
      </c>
      <c r="F128" s="8" t="n">
        <f aca="false">E128-C128</f>
        <v>19.4736842105263</v>
      </c>
      <c r="G128" s="9" t="n">
        <f aca="false">IF(AND(C128=0,E128=0),0,IF(C128=0,"New",(E128-C128)/C128))</f>
        <v>0.748987854251012</v>
      </c>
      <c r="H128" s="8" t="n">
        <f aca="false">SUMIFS('Source'!$E:$E,'Source'!$A:$A,"160150 MAX KONNARIS LTD",'Source'!$B:$B,$A128)</f>
        <v>1010.16</v>
      </c>
      <c r="I128" s="8" t="n">
        <f aca="false">SUMIFS('Source'!$G:$G,'Source'!$A:$A,"160150 MAX KONNARIS LTD",'Source'!$B:$B,$A128)</f>
        <v>1234.73</v>
      </c>
      <c r="J128" s="8" t="n">
        <f aca="false">I128*$J$5</f>
        <v>1559.65894736842</v>
      </c>
      <c r="K128" s="8" t="n">
        <f aca="false">J128-H128</f>
        <v>549.498947368421</v>
      </c>
      <c r="L128" s="9" t="n">
        <f aca="false">IF(AND(H128=0,J128=0),0,IF(H128=0,"New",(J128-H128)/H128))</f>
        <v>0.543972189918846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262</v>
      </c>
      <c r="B129" s="7" t="str">
        <f aca="false">IFERROR(INDEX('Source'!$C:$C,MATCH($A129,'Source'!$B:$B,0)),"")</f>
        <v>צוארון ספוגי</v>
      </c>
      <c r="C129" s="8" t="n">
        <f aca="false">SUMIFS('Source'!$D:$D,'Source'!$A:$A,"160150 MAX KONNARIS LTD",'Source'!$B:$B,$A129)</f>
        <v>0</v>
      </c>
      <c r="D129" s="8" t="n">
        <f aca="false">SUMIFS('Source'!$F:$F,'Source'!$A:$A,"160150 MAX KONNARIS LTD",'Source'!$B:$B,$A129)</f>
        <v>10</v>
      </c>
      <c r="E129" s="8" t="n">
        <f aca="false">D129*$J$5</f>
        <v>12.6315789473684</v>
      </c>
      <c r="F129" s="8" t="n">
        <f aca="false">E129-C129</f>
        <v>12.6315789473684</v>
      </c>
      <c r="G129" s="9" t="str">
        <f aca="false">IF(AND(C129=0,E129=0),0,IF(C129=0,"New",(E129-C129)/C129))</f>
        <v>New</v>
      </c>
      <c r="H129" s="8" t="n">
        <f aca="false">SUMIFS('Source'!$E:$E,'Source'!$A:$A,"160150 MAX KONNARIS LTD",'Source'!$B:$B,$A129)</f>
        <v>0</v>
      </c>
      <c r="I129" s="8" t="n">
        <f aca="false">SUMIFS('Source'!$G:$G,'Source'!$A:$A,"160150 MAX KONNARIS LTD",'Source'!$B:$B,$A129)</f>
        <v>224.17</v>
      </c>
      <c r="J129" s="8" t="n">
        <f aca="false">I129*$J$5</f>
        <v>283.162105263158</v>
      </c>
      <c r="K129" s="8" t="n">
        <f aca="false">J129-H129</f>
        <v>283.162105263158</v>
      </c>
      <c r="L129" s="9" t="str">
        <f aca="false">IF(AND(H129=0,J129=0),0,IF(H129=0,"New",(J129-H129)/H129))</f>
        <v>New</v>
      </c>
      <c r="M129" s="7" t="str">
        <f aca="false">IF(AND(OR(C129&lt;&gt;0,H129&lt;&gt;0),D129=0,I129=0),"DROP",IF(AND(OR(D129&lt;&gt;0,I129&lt;&gt;0),C129=0,H129=0),"NEW",""))</f>
        <v>NEW</v>
      </c>
    </row>
    <row r="130" customFormat="false" ht="15" hidden="false" customHeight="false" outlineLevel="0" collapsed="false">
      <c r="A130" s="7" t="s">
        <v>670</v>
      </c>
      <c r="B130" s="7" t="str">
        <f aca="false">IFERROR(INDEX('Source'!$C:$C,MATCH($A130,'Source'!$B:$B,0)),"")</f>
        <v>מגן מרפק + סיליקון</v>
      </c>
      <c r="C130" s="8" t="n">
        <f aca="false">SUMIFS('Source'!$D:$D,'Source'!$A:$A,"160150 MAX KONNARIS LTD",'Source'!$B:$B,$A130)</f>
        <v>3</v>
      </c>
      <c r="D130" s="8" t="n">
        <f aca="false">SUMIFS('Source'!$F:$F,'Source'!$A:$A,"160150 MAX KONNARIS LTD",'Source'!$B:$B,$A130)</f>
        <v>0</v>
      </c>
      <c r="E130" s="8" t="n">
        <f aca="false">D130*$J$5</f>
        <v>0</v>
      </c>
      <c r="F130" s="8" t="n">
        <f aca="false">E130-C130</f>
        <v>-3</v>
      </c>
      <c r="G130" s="9" t="n">
        <f aca="false">IF(AND(C130=0,E130=0),0,IF(C130=0,"New",(E130-C130)/C130))</f>
        <v>-1</v>
      </c>
      <c r="H130" s="8" t="n">
        <f aca="false">SUMIFS('Source'!$E:$E,'Source'!$A:$A,"160150 MAX KONNARIS LTD",'Source'!$B:$B,$A130)</f>
        <v>213.92</v>
      </c>
      <c r="I130" s="8" t="n">
        <f aca="false">SUMIFS('Source'!$G:$G,'Source'!$A:$A,"160150 MAX KONNARIS LTD",'Source'!$B:$B,$A130)</f>
        <v>0</v>
      </c>
      <c r="J130" s="8" t="n">
        <f aca="false">I130*$J$5</f>
        <v>0</v>
      </c>
      <c r="K130" s="8" t="n">
        <f aca="false">J130-H130</f>
        <v>-213.92</v>
      </c>
      <c r="L130" s="9" t="n">
        <f aca="false">IF(AND(H130=0,J130=0),0,IF(H130=0,"New",(J130-H130)/H130))</f>
        <v>-1</v>
      </c>
      <c r="M130" s="7" t="str">
        <f aca="false">IF(AND(OR(C130&lt;&gt;0,H130&lt;&gt;0),D130=0,I130=0),"DROP",IF(AND(OR(D130&lt;&gt;0,I130&lt;&gt;0),C130=0,H130=0),"NEW",""))</f>
        <v>DROP</v>
      </c>
    </row>
    <row r="131" customFormat="false" ht="15" hidden="false" customHeight="false" outlineLevel="0" collapsed="false">
      <c r="A131" s="7" t="s">
        <v>159</v>
      </c>
      <c r="B131" s="7" t="str">
        <f aca="false">IFERROR(INDEX('Source'!$C:$C,MATCH($A131,'Source'!$B:$B,0)),"")</f>
        <v>כרית מטטרזלי מס</v>
      </c>
      <c r="C131" s="8" t="n">
        <f aca="false">SUMIFS('Source'!$D:$D,'Source'!$A:$A,"160150 MAX KONNARIS LTD",'Source'!$B:$B,$A131)</f>
        <v>21</v>
      </c>
      <c r="D131" s="8" t="n">
        <f aca="false">SUMIFS('Source'!$F:$F,'Source'!$A:$A,"160150 MAX KONNARIS LTD",'Source'!$B:$B,$A131)</f>
        <v>10</v>
      </c>
      <c r="E131" s="8" t="n">
        <f aca="false">D131*$J$5</f>
        <v>12.6315789473684</v>
      </c>
      <c r="F131" s="8" t="n">
        <f aca="false">E131-C131</f>
        <v>-8.36842105263158</v>
      </c>
      <c r="G131" s="9" t="n">
        <f aca="false">IF(AND(C131=0,E131=0),0,IF(C131=0,"New",(E131-C131)/C131))</f>
        <v>-0.398496240601504</v>
      </c>
      <c r="H131" s="8" t="n">
        <f aca="false">SUMIFS('Source'!$E:$E,'Source'!$A:$A,"160150 MAX KONNARIS LTD",'Source'!$B:$B,$A131)</f>
        <v>344.41</v>
      </c>
      <c r="I131" s="8" t="n">
        <f aca="false">SUMIFS('Source'!$G:$G,'Source'!$A:$A,"160150 MAX KONNARIS LTD",'Source'!$B:$B,$A131)</f>
        <v>136.9</v>
      </c>
      <c r="J131" s="8" t="n">
        <f aca="false">I131*$J$5</f>
        <v>172.926315789474</v>
      </c>
      <c r="K131" s="8" t="n">
        <f aca="false">J131-H131</f>
        <v>-171.483684210526</v>
      </c>
      <c r="L131" s="9" t="n">
        <f aca="false">IF(AND(H131=0,J131=0),0,IF(H131=0,"New",(J131-H131)/H131))</f>
        <v>-0.497905647950194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469</v>
      </c>
      <c r="B132" s="7" t="str">
        <f aca="false">IFERROR(INDEX('Source'!$C:$C,MATCH($A132,'Source'!$B:$B,0)),"")</f>
        <v>מדרס מג'ל</v>
      </c>
      <c r="C132" s="8" t="n">
        <f aca="false">SUMIFS('Source'!$D:$D,'Source'!$A:$A,"160150 MAX KONNARIS LTD",'Source'!$B:$B,$A132)</f>
        <v>32</v>
      </c>
      <c r="D132" s="8" t="n">
        <f aca="false">SUMIFS('Source'!$F:$F,'Source'!$A:$A,"160150 MAX KONNARIS LTD",'Source'!$B:$B,$A132)</f>
        <v>30</v>
      </c>
      <c r="E132" s="8" t="n">
        <f aca="false">D132*$J$5</f>
        <v>37.8947368421053</v>
      </c>
      <c r="F132" s="8" t="n">
        <f aca="false">E132-C132</f>
        <v>5.89473684210526</v>
      </c>
      <c r="G132" s="9" t="n">
        <f aca="false">IF(AND(C132=0,E132=0),0,IF(C132=0,"New",(E132-C132)/C132))</f>
        <v>0.184210526315789</v>
      </c>
      <c r="H132" s="8" t="n">
        <f aca="false">SUMIFS('Source'!$E:$E,'Source'!$A:$A,"160150 MAX KONNARIS LTD",'Source'!$B:$B,$A132)</f>
        <v>1005.51</v>
      </c>
      <c r="I132" s="8" t="n">
        <f aca="false">SUMIFS('Source'!$G:$G,'Source'!$A:$A,"160150 MAX KONNARIS LTD",'Source'!$B:$B,$A132)</f>
        <v>806</v>
      </c>
      <c r="J132" s="8" t="n">
        <f aca="false">I132*$J$5</f>
        <v>1018.10526315789</v>
      </c>
      <c r="K132" s="8" t="n">
        <f aca="false">J132-H132</f>
        <v>12.5952631578947</v>
      </c>
      <c r="L132" s="9" t="n">
        <f aca="false">IF(AND(H132=0,J132=0),0,IF(H132=0,"New",(J132-H132)/H132))</f>
        <v>0.0125262435559017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732</v>
      </c>
      <c r="B133" s="7" t="str">
        <f aca="false">IFERROR(INDEX('Source'!$C:$C,MATCH($A133,'Source'!$B:$B,0)),"")</f>
        <v>מגן ירך</v>
      </c>
      <c r="C133" s="8" t="n">
        <f aca="false">SUMIFS('Source'!$D:$D,'Source'!$A:$A,"160150 MAX KONNARIS LTD",'Source'!$B:$B,$A133)</f>
        <v>10</v>
      </c>
      <c r="D133" s="8" t="n">
        <f aca="false">SUMIFS('Source'!$F:$F,'Source'!$A:$A,"160150 MAX KONNARIS LTD",'Source'!$B:$B,$A133)</f>
        <v>0</v>
      </c>
      <c r="E133" s="8" t="n">
        <f aca="false">D133*$J$5</f>
        <v>0</v>
      </c>
      <c r="F133" s="8" t="n">
        <f aca="false">E133-C133</f>
        <v>-10</v>
      </c>
      <c r="G133" s="9" t="n">
        <f aca="false">IF(AND(C133=0,E133=0),0,IF(C133=0,"New",(E133-C133)/C133))</f>
        <v>-1</v>
      </c>
      <c r="H133" s="8" t="n">
        <f aca="false">SUMIFS('Source'!$E:$E,'Source'!$A:$A,"160150 MAX KONNARIS LTD",'Source'!$B:$B,$A133)</f>
        <v>196.56</v>
      </c>
      <c r="I133" s="8" t="n">
        <f aca="false">SUMIFS('Source'!$G:$G,'Source'!$A:$A,"160150 MAX KONNARIS LTD",'Source'!$B:$B,$A133)</f>
        <v>0</v>
      </c>
      <c r="J133" s="8" t="n">
        <f aca="false">I133*$J$5</f>
        <v>0</v>
      </c>
      <c r="K133" s="8" t="n">
        <f aca="false">J133-H133</f>
        <v>-196.56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356</v>
      </c>
      <c r="B134" s="7" t="str">
        <f aca="false">IFERROR(INDEX('Source'!$C:$C,MATCH($A134,'Source'!$B:$B,0)),"")</f>
        <v>שרוול לגבס קצר יד</v>
      </c>
      <c r="C134" s="8" t="n">
        <f aca="false">SUMIFS('Source'!$D:$D,'Source'!$A:$A,"160150 MAX KONNARIS LTD",'Source'!$B:$B,$A134)</f>
        <v>20</v>
      </c>
      <c r="D134" s="8" t="n">
        <f aca="false">SUMIFS('Source'!$F:$F,'Source'!$A:$A,"160150 MAX KONNARIS LTD",'Source'!$B:$B,$A134)</f>
        <v>12</v>
      </c>
      <c r="E134" s="8" t="n">
        <f aca="false">D134*$J$5</f>
        <v>15.1578947368421</v>
      </c>
      <c r="F134" s="8" t="n">
        <f aca="false">E134-C134</f>
        <v>-4.8421052631579</v>
      </c>
      <c r="G134" s="9" t="n">
        <f aca="false">IF(AND(C134=0,E134=0),0,IF(C134=0,"New",(E134-C134)/C134))</f>
        <v>-0.242105263157895</v>
      </c>
      <c r="H134" s="8" t="n">
        <f aca="false">SUMIFS('Source'!$E:$E,'Source'!$A:$A,"160150 MAX KONNARIS LTD",'Source'!$B:$B,$A134)</f>
        <v>411.65</v>
      </c>
      <c r="I134" s="8" t="n">
        <f aca="false">SUMIFS('Source'!$G:$G,'Source'!$A:$A,"160150 MAX KONNARIS LTD",'Source'!$B:$B,$A134)</f>
        <v>219.72</v>
      </c>
      <c r="J134" s="8" t="n">
        <f aca="false">I134*$J$5</f>
        <v>277.541052631579</v>
      </c>
      <c r="K134" s="8" t="n">
        <f aca="false">J134-H134</f>
        <v>-134.108947368421</v>
      </c>
      <c r="L134" s="9" t="n">
        <f aca="false">IF(AND(H134=0,J134=0),0,IF(H134=0,"New",(J134-H134)/H134))</f>
        <v>-0.325783911984504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945</v>
      </c>
      <c r="B135" s="7" t="str">
        <f aca="false">IFERROR(INDEX('Source'!$C:$C,MATCH($A135,'Source'!$B:$B,0)),"")</f>
        <v>מגן מרפק</v>
      </c>
      <c r="C135" s="8" t="n">
        <f aca="false">SUMIFS('Source'!$D:$D,'Source'!$A:$A,"160150 MAX KONNARIS LTD",'Source'!$B:$B,$A135)</f>
        <v>10</v>
      </c>
      <c r="D135" s="8" t="n">
        <f aca="false">SUMIFS('Source'!$F:$F,'Source'!$A:$A,"160150 MAX KONNARIS LTD",'Source'!$B:$B,$A135)</f>
        <v>20</v>
      </c>
      <c r="E135" s="8" t="n">
        <f aca="false">D135*$J$5</f>
        <v>25.2631578947368</v>
      </c>
      <c r="F135" s="8" t="n">
        <f aca="false">E135-C135</f>
        <v>15.2631578947368</v>
      </c>
      <c r="G135" s="9" t="n">
        <f aca="false">IF(AND(C135=0,E135=0),0,IF(C135=0,"New",(E135-C135)/C135))</f>
        <v>1.52631578947368</v>
      </c>
      <c r="H135" s="8" t="n">
        <f aca="false">SUMIFS('Source'!$E:$E,'Source'!$A:$A,"160150 MAX KONNARIS LTD",'Source'!$B:$B,$A135)</f>
        <v>206.45</v>
      </c>
      <c r="I135" s="8" t="n">
        <f aca="false">SUMIFS('Source'!$G:$G,'Source'!$A:$A,"160150 MAX KONNARIS LTD",'Source'!$B:$B,$A135)</f>
        <v>389.47</v>
      </c>
      <c r="J135" s="8" t="n">
        <f aca="false">I135*$J$5</f>
        <v>491.962105263158</v>
      </c>
      <c r="K135" s="8" t="n">
        <f aca="false">J135-H135</f>
        <v>285.512105263158</v>
      </c>
      <c r="L135" s="9" t="n">
        <f aca="false">IF(AND(H135=0,J135=0),0,IF(H135=0,"New",(J135-H135)/H135))</f>
        <v>1.38296006424392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367</v>
      </c>
      <c r="B136" s="7" t="str">
        <f aca="false">IFERROR(INDEX('Source'!$C:$C,MATCH($A136,'Source'!$B:$B,0)),"")</f>
        <v>אצבעון מסיליקון</v>
      </c>
      <c r="C136" s="8" t="n">
        <f aca="false">SUMIFS('Source'!$D:$D,'Source'!$A:$A,"160150 MAX KONNARIS LTD",'Source'!$B:$B,$A136)</f>
        <v>0</v>
      </c>
      <c r="D136" s="8" t="n">
        <f aca="false">SUMIFS('Source'!$F:$F,'Source'!$A:$A,"160150 MAX KONNARIS LTD",'Source'!$B:$B,$A136)</f>
        <v>6</v>
      </c>
      <c r="E136" s="8" t="n">
        <f aca="false">D136*$J$5</f>
        <v>7.57894736842105</v>
      </c>
      <c r="F136" s="8" t="n">
        <f aca="false">E136-C136</f>
        <v>7.57894736842105</v>
      </c>
      <c r="G136" s="9" t="str">
        <f aca="false">IF(AND(C136=0,E136=0),0,IF(C136=0,"New",(E136-C136)/C136))</f>
        <v>New</v>
      </c>
      <c r="H136" s="8" t="n">
        <f aca="false">SUMIFS('Source'!$E:$E,'Source'!$A:$A,"160150 MAX KONNARIS LTD",'Source'!$B:$B,$A136)</f>
        <v>0</v>
      </c>
      <c r="I136" s="8" t="n">
        <f aca="false">SUMIFS('Source'!$G:$G,'Source'!$A:$A,"160150 MAX KONNARIS LTD",'Source'!$B:$B,$A136)</f>
        <v>179.54</v>
      </c>
      <c r="J136" s="8" t="n">
        <f aca="false">I136*$J$5</f>
        <v>226.787368421053</v>
      </c>
      <c r="K136" s="8" t="n">
        <f aca="false">J136-H136</f>
        <v>226.787368421053</v>
      </c>
      <c r="L136" s="9" t="str">
        <f aca="false">IF(AND(H136=0,J136=0),0,IF(H136=0,"New",(J136-H136)/H136))</f>
        <v>New</v>
      </c>
      <c r="M136" s="7" t="str">
        <f aca="false">IF(AND(OR(C136&lt;&gt;0,H136&lt;&gt;0),D136=0,I136=0),"DROP",IF(AND(OR(D136&lt;&gt;0,I136&lt;&gt;0),C136=0,H136=0),"NEW",""))</f>
        <v>NEW</v>
      </c>
    </row>
    <row r="137" customFormat="false" ht="15" hidden="false" customHeight="false" outlineLevel="0" collapsed="false">
      <c r="A137" s="7" t="s">
        <v>143</v>
      </c>
      <c r="B137" s="7" t="str">
        <f aca="false">IFERROR(INDEX('Source'!$C:$C,MATCH($A137,'Source'!$B:$B,0)),"")</f>
        <v>סד יד דו צדדי</v>
      </c>
      <c r="C137" s="8" t="n">
        <f aca="false">SUMIFS('Source'!$D:$D,'Source'!$A:$A,"160150 MAX KONNARIS LTD",'Source'!$B:$B,$A137)</f>
        <v>20</v>
      </c>
      <c r="D137" s="8" t="n">
        <f aca="false">SUMIFS('Source'!$F:$F,'Source'!$A:$A,"160150 MAX KONNARIS LTD",'Source'!$B:$B,$A137)</f>
        <v>30</v>
      </c>
      <c r="E137" s="8" t="n">
        <f aca="false">D137*$J$5</f>
        <v>37.8947368421053</v>
      </c>
      <c r="F137" s="8" t="n">
        <f aca="false">E137-C137</f>
        <v>17.8947368421053</v>
      </c>
      <c r="G137" s="9" t="n">
        <f aca="false">IF(AND(C137=0,E137=0),0,IF(C137=0,"New",(E137-C137)/C137))</f>
        <v>0.894736842105263</v>
      </c>
      <c r="H137" s="8" t="n">
        <f aca="false">SUMIFS('Source'!$E:$E,'Source'!$A:$A,"160150 MAX KONNARIS LTD",'Source'!$B:$B,$A137)</f>
        <v>484.75</v>
      </c>
      <c r="I137" s="8" t="n">
        <f aca="false">SUMIFS('Source'!$G:$G,'Source'!$A:$A,"160150 MAX KONNARIS LTD",'Source'!$B:$B,$A137)</f>
        <v>662.71</v>
      </c>
      <c r="J137" s="8" t="n">
        <f aca="false">I137*$J$5</f>
        <v>837.107368421053</v>
      </c>
      <c r="K137" s="8" t="n">
        <f aca="false">J137-H137</f>
        <v>352.357368421053</v>
      </c>
      <c r="L137" s="9" t="n">
        <f aca="false">IF(AND(H137=0,J137=0),0,IF(H137=0,"New",(J137-H137)/H137))</f>
        <v>0.726884720827339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156</v>
      </c>
      <c r="B138" s="7" t="str">
        <f aca="false">IFERROR(INDEX('Source'!$C:$C,MATCH($A138,'Source'!$B:$B,0)),"")</f>
        <v>AC27</v>
      </c>
      <c r="C138" s="8" t="n">
        <f aca="false">SUMIFS('Source'!$D:$D,'Source'!$A:$A,"160150 MAX KONNARIS LTD",'Source'!$B:$B,$A138)</f>
        <v>0</v>
      </c>
      <c r="D138" s="8" t="n">
        <f aca="false">SUMIFS('Source'!$F:$F,'Source'!$A:$A,"160150 MAX KONNARIS LTD",'Source'!$B:$B,$A138)</f>
        <v>10</v>
      </c>
      <c r="E138" s="8" t="n">
        <f aca="false">D138*$J$5</f>
        <v>12.6315789473684</v>
      </c>
      <c r="F138" s="8" t="n">
        <f aca="false">E138-C138</f>
        <v>12.6315789473684</v>
      </c>
      <c r="G138" s="9" t="str">
        <f aca="false">IF(AND(C138=0,E138=0),0,IF(C138=0,"New",(E138-C138)/C138))</f>
        <v>New</v>
      </c>
      <c r="H138" s="8" t="n">
        <f aca="false">SUMIFS('Source'!$E:$E,'Source'!$A:$A,"160150 MAX KONNARIS LTD",'Source'!$B:$B,$A138)</f>
        <v>0</v>
      </c>
      <c r="I138" s="8" t="n">
        <f aca="false">SUMIFS('Source'!$G:$G,'Source'!$A:$A,"160150 MAX KONNARIS LTD",'Source'!$B:$B,$A138)</f>
        <v>174.55</v>
      </c>
      <c r="J138" s="8" t="n">
        <f aca="false">I138*$J$5</f>
        <v>220.484210526316</v>
      </c>
      <c r="K138" s="8" t="n">
        <f aca="false">J138-H138</f>
        <v>220.484210526316</v>
      </c>
      <c r="L138" s="9" t="str">
        <f aca="false">IF(AND(H138=0,J138=0),0,IF(H138=0,"New",(J138-H138)/H138))</f>
        <v>New</v>
      </c>
      <c r="M138" s="7" t="str">
        <f aca="false">IF(AND(OR(C138&lt;&gt;0,H138&lt;&gt;0),D138=0,I138=0),"DROP",IF(AND(OR(D138&lt;&gt;0,I138&lt;&gt;0),C138=0,H138=0),"NEW",""))</f>
        <v>NEW</v>
      </c>
    </row>
    <row r="139" customFormat="false" ht="15" hidden="false" customHeight="false" outlineLevel="0" collapsed="false">
      <c r="A139" s="7" t="s">
        <v>700</v>
      </c>
      <c r="B139" s="7" t="str">
        <f aca="false">IFERROR(INDEX('Source'!$C:$C,MATCH($A139,'Source'!$B:$B,0)),"")</f>
        <v>אצבעון מפלסטיק  ליד</v>
      </c>
      <c r="C139" s="8" t="n">
        <f aca="false">SUMIFS('Source'!$D:$D,'Source'!$A:$A,"160150 MAX KONNARIS LTD",'Source'!$B:$B,$A139)</f>
        <v>6</v>
      </c>
      <c r="D139" s="8" t="n">
        <f aca="false">SUMIFS('Source'!$F:$F,'Source'!$A:$A,"160150 MAX KONNARIS LTD",'Source'!$B:$B,$A139)</f>
        <v>27</v>
      </c>
      <c r="E139" s="8" t="n">
        <f aca="false">D139*$J$5</f>
        <v>34.1052631578947</v>
      </c>
      <c r="F139" s="8" t="n">
        <f aca="false">E139-C139</f>
        <v>28.1052631578947</v>
      </c>
      <c r="G139" s="9" t="n">
        <f aca="false">IF(AND(C139=0,E139=0),0,IF(C139=0,"New",(E139-C139)/C139))</f>
        <v>4.68421052631579</v>
      </c>
      <c r="H139" s="8" t="n">
        <f aca="false">SUMIFS('Source'!$E:$E,'Source'!$A:$A,"160150 MAX KONNARIS LTD",'Source'!$B:$B,$A139)</f>
        <v>54.71</v>
      </c>
      <c r="I139" s="8" t="n">
        <f aca="false">SUMIFS('Source'!$G:$G,'Source'!$A:$A,"160150 MAX KONNARIS LTD",'Source'!$B:$B,$A139)</f>
        <v>229.03</v>
      </c>
      <c r="J139" s="8" t="n">
        <f aca="false">I139*$J$5</f>
        <v>289.301052631579</v>
      </c>
      <c r="K139" s="8" t="n">
        <f aca="false">J139-H139</f>
        <v>234.591052631579</v>
      </c>
      <c r="L139" s="9" t="n">
        <f aca="false">IF(AND(H139=0,J139=0),0,IF(H139=0,"New",(J139-H139)/H139))</f>
        <v>4.28790079750647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429</v>
      </c>
      <c r="B140" s="7" t="str">
        <f aca="false">IFERROR(INDEX('Source'!$C:$C,MATCH($A140,'Source'!$B:$B,0)),"")</f>
        <v>סד לאגודל</v>
      </c>
      <c r="C140" s="8" t="n">
        <f aca="false">SUMIFS('Source'!$D:$D,'Source'!$A:$A,"160150 MAX KONNARIS LTD",'Source'!$B:$B,$A140)</f>
        <v>10</v>
      </c>
      <c r="D140" s="8" t="n">
        <f aca="false">SUMIFS('Source'!$F:$F,'Source'!$A:$A,"160150 MAX KONNARIS LTD",'Source'!$B:$B,$A140)</f>
        <v>6</v>
      </c>
      <c r="E140" s="8" t="n">
        <f aca="false">D140*$J$5</f>
        <v>7.57894736842105</v>
      </c>
      <c r="F140" s="8" t="n">
        <f aca="false">E140-C140</f>
        <v>-2.42105263157895</v>
      </c>
      <c r="G140" s="9" t="n">
        <f aca="false">IF(AND(C140=0,E140=0),0,IF(C140=0,"New",(E140-C140)/C140))</f>
        <v>-0.242105263157895</v>
      </c>
      <c r="H140" s="8" t="n">
        <f aca="false">SUMIFS('Source'!$E:$E,'Source'!$A:$A,"160150 MAX KONNARIS LTD",'Source'!$B:$B,$A140)</f>
        <v>401.21</v>
      </c>
      <c r="I140" s="8" t="n">
        <f aca="false">SUMIFS('Source'!$G:$G,'Source'!$A:$A,"160150 MAX KONNARIS LTD",'Source'!$B:$B,$A140)</f>
        <v>227.07</v>
      </c>
      <c r="J140" s="8" t="n">
        <f aca="false">I140*$J$5</f>
        <v>286.825263157895</v>
      </c>
      <c r="K140" s="8" t="n">
        <f aca="false">J140-H140</f>
        <v>-114.384736842105</v>
      </c>
      <c r="L140" s="9" t="n">
        <f aca="false">IF(AND(H140=0,J140=0),0,IF(H140=0,"New",(J140-H140)/H140))</f>
        <v>-0.285099416370742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684</v>
      </c>
      <c r="B141" s="7" t="str">
        <f aca="false">IFERROR(INDEX('Source'!$C:$C,MATCH($A141,'Source'!$B:$B,0)),"")</f>
        <v>מגן מרפק שחור</v>
      </c>
      <c r="C141" s="8" t="n">
        <f aca="false">SUMIFS('Source'!$D:$D,'Source'!$A:$A,"160150 MAX KONNARIS LTD",'Source'!$B:$B,$A141)</f>
        <v>32</v>
      </c>
      <c r="D141" s="8" t="n">
        <f aca="false">SUMIFS('Source'!$F:$F,'Source'!$A:$A,"160150 MAX KONNARIS LTD",'Source'!$B:$B,$A141)</f>
        <v>20</v>
      </c>
      <c r="E141" s="8" t="n">
        <f aca="false">D141*$J$5</f>
        <v>25.2631578947368</v>
      </c>
      <c r="F141" s="8" t="n">
        <f aca="false">E141-C141</f>
        <v>-6.73684210526316</v>
      </c>
      <c r="G141" s="9" t="n">
        <f aca="false">IF(AND(C141=0,E141=0),0,IF(C141=0,"New",(E141-C141)/C141))</f>
        <v>-0.210526315789474</v>
      </c>
      <c r="H141" s="8" t="n">
        <f aca="false">SUMIFS('Source'!$E:$E,'Source'!$A:$A,"160150 MAX KONNARIS LTD",'Source'!$B:$B,$A141)</f>
        <v>394.11</v>
      </c>
      <c r="I141" s="8" t="n">
        <f aca="false">SUMIFS('Source'!$G:$G,'Source'!$A:$A,"160150 MAX KONNARIS LTD",'Source'!$B:$B,$A141)</f>
        <v>220</v>
      </c>
      <c r="J141" s="8" t="n">
        <f aca="false">I141*$J$5</f>
        <v>277.894736842105</v>
      </c>
      <c r="K141" s="8" t="n">
        <f aca="false">J141-H141</f>
        <v>-116.215263157895</v>
      </c>
      <c r="L141" s="9" t="n">
        <f aca="false">IF(AND(H141=0,J141=0),0,IF(H141=0,"New",(J141-H141)/H141))</f>
        <v>-0.294880269868551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214</v>
      </c>
      <c r="B142" s="7" t="str">
        <f aca="false">IFERROR(INDEX('Source'!$C:$C,MATCH($A142,'Source'!$B:$B,0)),"")</f>
        <v>חגורת גב אפורה</v>
      </c>
      <c r="C142" s="8" t="n">
        <f aca="false">SUMIFS('Source'!$D:$D,'Source'!$A:$A,"160150 MAX KONNARIS LTD",'Source'!$B:$B,$A142)</f>
        <v>3</v>
      </c>
      <c r="D142" s="8" t="n">
        <f aca="false">SUMIFS('Source'!$F:$F,'Source'!$A:$A,"160150 MAX KONNARIS LTD",'Source'!$B:$B,$A142)</f>
        <v>0</v>
      </c>
      <c r="E142" s="8" t="n">
        <f aca="false">D142*$J$5</f>
        <v>0</v>
      </c>
      <c r="F142" s="8" t="n">
        <f aca="false">E142-C142</f>
        <v>-3</v>
      </c>
      <c r="G142" s="9" t="n">
        <f aca="false">IF(AND(C142=0,E142=0),0,IF(C142=0,"New",(E142-C142)/C142))</f>
        <v>-1</v>
      </c>
      <c r="H142" s="8" t="n">
        <f aca="false">SUMIFS('Source'!$E:$E,'Source'!$A:$A,"160150 MAX KONNARIS LTD",'Source'!$B:$B,$A142)</f>
        <v>172.1</v>
      </c>
      <c r="I142" s="8" t="n">
        <f aca="false">SUMIFS('Source'!$G:$G,'Source'!$A:$A,"160150 MAX KONNARIS LTD",'Source'!$B:$B,$A142)</f>
        <v>0</v>
      </c>
      <c r="J142" s="8" t="n">
        <f aca="false">I142*$J$5</f>
        <v>0</v>
      </c>
      <c r="K142" s="8" t="n">
        <f aca="false">J142-H142</f>
        <v>-172.1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185</v>
      </c>
      <c r="B143" s="7" t="str">
        <f aca="false">IFERROR(INDEX('Source'!$C:$C,MATCH($A143,'Source'!$B:$B,0)),"")</f>
        <v>כרית עם סרט אלסט</v>
      </c>
      <c r="C143" s="8" t="n">
        <f aca="false">SUMIFS('Source'!$D:$D,'Source'!$A:$A,"160150 MAX KONNARIS LTD",'Source'!$B:$B,$A143)</f>
        <v>10</v>
      </c>
      <c r="D143" s="8" t="n">
        <f aca="false">SUMIFS('Source'!$F:$F,'Source'!$A:$A,"160150 MAX KONNARIS LTD",'Source'!$B:$B,$A143)</f>
        <v>0</v>
      </c>
      <c r="E143" s="8" t="n">
        <f aca="false">D143*$J$5</f>
        <v>0</v>
      </c>
      <c r="F143" s="8" t="n">
        <f aca="false">E143-C143</f>
        <v>-10</v>
      </c>
      <c r="G143" s="9" t="n">
        <f aca="false">IF(AND(C143=0,E143=0),0,IF(C143=0,"New",(E143-C143)/C143))</f>
        <v>-1</v>
      </c>
      <c r="H143" s="8" t="n">
        <f aca="false">SUMIFS('Source'!$E:$E,'Source'!$A:$A,"160150 MAX KONNARIS LTD",'Source'!$B:$B,$A143)</f>
        <v>171.39</v>
      </c>
      <c r="I143" s="8" t="n">
        <f aca="false">SUMIFS('Source'!$G:$G,'Source'!$A:$A,"160150 MAX KONNARIS LTD",'Source'!$B:$B,$A143)</f>
        <v>0</v>
      </c>
      <c r="J143" s="8" t="n">
        <f aca="false">I143*$J$5</f>
        <v>0</v>
      </c>
      <c r="K143" s="8" t="n">
        <f aca="false">J143-H143</f>
        <v>-171.39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4" customFormat="false" ht="15" hidden="false" customHeight="false" outlineLevel="0" collapsed="false">
      <c r="A144" s="7" t="s">
        <v>134</v>
      </c>
      <c r="B144" s="7" t="str">
        <f aca="false">IFERROR(INDEX('Source'!$C:$C,MATCH($A144,'Source'!$B:$B,0)),"")</f>
        <v>מ. בוניון + מפריד אצבע</v>
      </c>
      <c r="C144" s="8" t="n">
        <f aca="false">SUMIFS('Source'!$D:$D,'Source'!$A:$A,"160150 MAX KONNARIS LTD",'Source'!$B:$B,$A144)</f>
        <v>0</v>
      </c>
      <c r="D144" s="8" t="n">
        <f aca="false">SUMIFS('Source'!$F:$F,'Source'!$A:$A,"160150 MAX KONNARIS LTD",'Source'!$B:$B,$A144)</f>
        <v>10</v>
      </c>
      <c r="E144" s="8" t="n">
        <f aca="false">D144*$J$5</f>
        <v>12.6315789473684</v>
      </c>
      <c r="F144" s="8" t="n">
        <f aca="false">E144-C144</f>
        <v>12.6315789473684</v>
      </c>
      <c r="G144" s="9" t="str">
        <f aca="false">IF(AND(C144=0,E144=0),0,IF(C144=0,"New",(E144-C144)/C144))</f>
        <v>New</v>
      </c>
      <c r="H144" s="8" t="n">
        <f aca="false">SUMIFS('Source'!$E:$E,'Source'!$A:$A,"160150 MAX KONNARIS LTD",'Source'!$B:$B,$A144)</f>
        <v>0</v>
      </c>
      <c r="I144" s="8" t="n">
        <f aca="false">SUMIFS('Source'!$G:$G,'Source'!$A:$A,"160150 MAX KONNARIS LTD",'Source'!$B:$B,$A144)</f>
        <v>170.85</v>
      </c>
      <c r="J144" s="8" t="n">
        <f aca="false">I144*$J$5</f>
        <v>215.810526315789</v>
      </c>
      <c r="K144" s="8" t="n">
        <f aca="false">J144-H144</f>
        <v>215.810526315789</v>
      </c>
      <c r="L144" s="9" t="str">
        <f aca="false">IF(AND(H144=0,J144=0),0,IF(H144=0,"New",(J144-H144)/H144))</f>
        <v>New</v>
      </c>
      <c r="M144" s="7" t="str">
        <f aca="false">IF(AND(OR(C144&lt;&gt;0,H144&lt;&gt;0),D144=0,I144=0),"DROP",IF(AND(OR(D144&lt;&gt;0,I144&lt;&gt;0),C144=0,H144=0),"NEW",""))</f>
        <v>NEW</v>
      </c>
    </row>
    <row r="145" customFormat="false" ht="15" hidden="false" customHeight="false" outlineLevel="0" collapsed="false">
      <c r="A145" s="7" t="s">
        <v>724</v>
      </c>
      <c r="B145" s="7" t="str">
        <f aca="false">IFERROR(INDEX('Source'!$C:$C,MATCH($A145,'Source'!$B:$B,0)),"")</f>
        <v>חגורת בטן</v>
      </c>
      <c r="C145" s="8" t="n">
        <f aca="false">SUMIFS('Source'!$D:$D,'Source'!$A:$A,"160150 MAX KONNARIS LTD",'Source'!$B:$B,$A145)</f>
        <v>6</v>
      </c>
      <c r="D145" s="8" t="n">
        <f aca="false">SUMIFS('Source'!$F:$F,'Source'!$A:$A,"160150 MAX KONNARIS LTD",'Source'!$B:$B,$A145)</f>
        <v>3</v>
      </c>
      <c r="E145" s="8" t="n">
        <f aca="false">D145*$J$5</f>
        <v>3.78947368421053</v>
      </c>
      <c r="F145" s="8" t="n">
        <f aca="false">E145-C145</f>
        <v>-2.21052631578947</v>
      </c>
      <c r="G145" s="9" t="n">
        <f aca="false">IF(AND(C145=0,E145=0),0,IF(C145=0,"New",(E145-C145)/C145))</f>
        <v>-0.368421052631579</v>
      </c>
      <c r="H145" s="8" t="n">
        <f aca="false">SUMIFS('Source'!$E:$E,'Source'!$A:$A,"160150 MAX KONNARIS LTD",'Source'!$B:$B,$A145)</f>
        <v>299.15</v>
      </c>
      <c r="I145" s="8" t="n">
        <f aca="false">SUMIFS('Source'!$G:$G,'Source'!$A:$A,"160150 MAX KONNARIS LTD",'Source'!$B:$B,$A145)</f>
        <v>131.42</v>
      </c>
      <c r="J145" s="8" t="n">
        <f aca="false">I145*$J$5</f>
        <v>166.004210526316</v>
      </c>
      <c r="K145" s="8" t="n">
        <f aca="false">J145-H145</f>
        <v>-133.145789473684</v>
      </c>
      <c r="L145" s="9" t="n">
        <f aca="false">IF(AND(H145=0,J145=0),0,IF(H145=0,"New",(J145-H145)/H145))</f>
        <v>-0.445080359263527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570</v>
      </c>
      <c r="B146" s="7" t="str">
        <f aca="false">IFERROR(INDEX('Source'!$C:$C,MATCH($A146,'Source'!$B:$B,0)),"")</f>
        <v>רפידת זיכרון 376</v>
      </c>
      <c r="C146" s="8" t="n">
        <f aca="false">SUMIFS('Source'!$D:$D,'Source'!$A:$A,"160150 MAX KONNARIS LTD",'Source'!$B:$B,$A146)</f>
        <v>28</v>
      </c>
      <c r="D146" s="8" t="n">
        <f aca="false">SUMIFS('Source'!$F:$F,'Source'!$A:$A,"160150 MAX KONNARIS LTD",'Source'!$B:$B,$A146)</f>
        <v>20</v>
      </c>
      <c r="E146" s="8" t="n">
        <f aca="false">D146*$J$5</f>
        <v>25.2631578947368</v>
      </c>
      <c r="F146" s="8" t="n">
        <f aca="false">E146-C146</f>
        <v>-2.73684210526316</v>
      </c>
      <c r="G146" s="9" t="n">
        <f aca="false">IF(AND(C146=0,E146=0),0,IF(C146=0,"New",(E146-C146)/C146))</f>
        <v>-0.0977443609022556</v>
      </c>
      <c r="H146" s="8" t="n">
        <f aca="false">SUMIFS('Source'!$E:$E,'Source'!$A:$A,"160150 MAX KONNARIS LTD",'Source'!$B:$B,$A146)</f>
        <v>475.74</v>
      </c>
      <c r="I146" s="8" t="n">
        <f aca="false">SUMIFS('Source'!$G:$G,'Source'!$A:$A,"160150 MAX KONNARIS LTD",'Source'!$B:$B,$A146)</f>
        <v>308.63</v>
      </c>
      <c r="J146" s="8" t="n">
        <f aca="false">I146*$J$5</f>
        <v>389.848421052632</v>
      </c>
      <c r="K146" s="8" t="n">
        <f aca="false">J146-H146</f>
        <v>-85.8915789473684</v>
      </c>
      <c r="L146" s="9" t="n">
        <f aca="false">IF(AND(H146=0,J146=0),0,IF(H146=0,"New",(J146-H146)/H146))</f>
        <v>-0.180543109571128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698</v>
      </c>
      <c r="B147" s="7" t="str">
        <f aca="false">IFERROR(INDEX('Source'!$C:$C,MATCH($A147,'Source'!$B:$B,0)),"")</f>
        <v>מגן ברך חום</v>
      </c>
      <c r="C147" s="8" t="n">
        <f aca="false">SUMIFS('Source'!$D:$D,'Source'!$A:$A,"160150 MAX KONNARIS LTD",'Source'!$B:$B,$A147)</f>
        <v>0</v>
      </c>
      <c r="D147" s="8" t="n">
        <f aca="false">SUMIFS('Source'!$F:$F,'Source'!$A:$A,"160150 MAX KONNARIS LTD",'Source'!$B:$B,$A147)</f>
        <v>16</v>
      </c>
      <c r="E147" s="8" t="n">
        <f aca="false">D147*$J$5</f>
        <v>20.2105263157895</v>
      </c>
      <c r="F147" s="8" t="n">
        <f aca="false">E147-C147</f>
        <v>20.2105263157895</v>
      </c>
      <c r="G147" s="9" t="str">
        <f aca="false">IF(AND(C147=0,E147=0),0,IF(C147=0,"New",(E147-C147)/C147))</f>
        <v>New</v>
      </c>
      <c r="H147" s="8" t="n">
        <f aca="false">SUMIFS('Source'!$E:$E,'Source'!$A:$A,"160150 MAX KONNARIS LTD",'Source'!$B:$B,$A147)</f>
        <v>0</v>
      </c>
      <c r="I147" s="8" t="n">
        <f aca="false">SUMIFS('Source'!$G:$G,'Source'!$A:$A,"160150 MAX KONNARIS LTD",'Source'!$B:$B,$A147)</f>
        <v>165.99</v>
      </c>
      <c r="J147" s="8" t="n">
        <f aca="false">I147*$J$5</f>
        <v>209.671578947368</v>
      </c>
      <c r="K147" s="8" t="n">
        <f aca="false">J147-H147</f>
        <v>209.671578947368</v>
      </c>
      <c r="L147" s="9" t="str">
        <f aca="false">IF(AND(H147=0,J147=0),0,IF(H147=0,"New",(J147-H147)/H147))</f>
        <v>New</v>
      </c>
      <c r="M147" s="7" t="str">
        <f aca="false">IF(AND(OR(C147&lt;&gt;0,H147&lt;&gt;0),D147=0,I147=0),"DROP",IF(AND(OR(D147&lt;&gt;0,I147&lt;&gt;0),C147=0,H147=0),"NEW",""))</f>
        <v>NEW</v>
      </c>
    </row>
    <row r="148" customFormat="false" ht="15" hidden="false" customHeight="false" outlineLevel="0" collapsed="false">
      <c r="A148" s="7" t="s">
        <v>651</v>
      </c>
      <c r="B148" s="7" t="str">
        <f aca="false">IFERROR(INDEX('Source'!$C:$C,MATCH($A148,'Source'!$B:$B,0)),"")</f>
        <v>מגן שוק SC39</v>
      </c>
      <c r="C148" s="8" t="n">
        <f aca="false">SUMIFS('Source'!$D:$D,'Source'!$A:$A,"160150 MAX KONNARIS LTD",'Source'!$B:$B,$A148)</f>
        <v>0</v>
      </c>
      <c r="D148" s="8" t="n">
        <f aca="false">SUMIFS('Source'!$F:$F,'Source'!$A:$A,"160150 MAX KONNARIS LTD",'Source'!$B:$B,$A148)</f>
        <v>2</v>
      </c>
      <c r="E148" s="8" t="n">
        <f aca="false">D148*$J$5</f>
        <v>2.52631578947368</v>
      </c>
      <c r="F148" s="8" t="n">
        <f aca="false">E148-C148</f>
        <v>2.52631578947368</v>
      </c>
      <c r="G148" s="9" t="str">
        <f aca="false">IF(AND(C148=0,E148=0),0,IF(C148=0,"New",(E148-C148)/C148))</f>
        <v>New</v>
      </c>
      <c r="H148" s="8" t="n">
        <f aca="false">SUMIFS('Source'!$E:$E,'Source'!$A:$A,"160150 MAX KONNARIS LTD",'Source'!$B:$B,$A148)</f>
        <v>0</v>
      </c>
      <c r="I148" s="8" t="n">
        <f aca="false">SUMIFS('Source'!$G:$G,'Source'!$A:$A,"160150 MAX KONNARIS LTD",'Source'!$B:$B,$A148)</f>
        <v>164.28</v>
      </c>
      <c r="J148" s="8" t="n">
        <f aca="false">I148*$J$5</f>
        <v>207.511578947368</v>
      </c>
      <c r="K148" s="8" t="n">
        <f aca="false">J148-H148</f>
        <v>207.511578947368</v>
      </c>
      <c r="L148" s="9" t="str">
        <f aca="false">IF(AND(H148=0,J148=0),0,IF(H148=0,"New",(J148-H148)/H148))</f>
        <v>New</v>
      </c>
      <c r="M148" s="7" t="str">
        <f aca="false">IF(AND(OR(C148&lt;&gt;0,H148&lt;&gt;0),D148=0,I148=0),"DROP",IF(AND(OR(D148&lt;&gt;0,I148&lt;&gt;0),C148=0,H148=0),"NEW",""))</f>
        <v>NEW</v>
      </c>
    </row>
    <row r="149" customFormat="false" ht="15" hidden="false" customHeight="false" outlineLevel="0" collapsed="false">
      <c r="A149" s="7" t="s">
        <v>354</v>
      </c>
      <c r="B149" s="7" t="str">
        <f aca="false">IFERROR(INDEX('Source'!$C:$C,MATCH($A149,'Source'!$B:$B,0)),"")</f>
        <v>מגן שוק SC39</v>
      </c>
      <c r="C149" s="8" t="n">
        <f aca="false">SUMIFS('Source'!$D:$D,'Source'!$A:$A,"160150 MAX KONNARIS LTD",'Source'!$B:$B,$A149)</f>
        <v>0</v>
      </c>
      <c r="D149" s="8" t="n">
        <f aca="false">SUMIFS('Source'!$F:$F,'Source'!$A:$A,"160150 MAX KONNARIS LTD",'Source'!$B:$B,$A149)</f>
        <v>2</v>
      </c>
      <c r="E149" s="8" t="n">
        <f aca="false">D149*$J$5</f>
        <v>2.52631578947368</v>
      </c>
      <c r="F149" s="8" t="n">
        <f aca="false">E149-C149</f>
        <v>2.52631578947368</v>
      </c>
      <c r="G149" s="9" t="str">
        <f aca="false">IF(AND(C149=0,E149=0),0,IF(C149=0,"New",(E149-C149)/C149))</f>
        <v>New</v>
      </c>
      <c r="H149" s="8" t="n">
        <f aca="false">SUMIFS('Source'!$E:$E,'Source'!$A:$A,"160150 MAX KONNARIS LTD",'Source'!$B:$B,$A149)</f>
        <v>0</v>
      </c>
      <c r="I149" s="8" t="n">
        <f aca="false">SUMIFS('Source'!$G:$G,'Source'!$A:$A,"160150 MAX KONNARIS LTD",'Source'!$B:$B,$A149)</f>
        <v>164.28</v>
      </c>
      <c r="J149" s="8" t="n">
        <f aca="false">I149*$J$5</f>
        <v>207.511578947368</v>
      </c>
      <c r="K149" s="8" t="n">
        <f aca="false">J149-H149</f>
        <v>207.511578947368</v>
      </c>
      <c r="L149" s="9" t="str">
        <f aca="false">IF(AND(H149=0,J149=0),0,IF(H149=0,"New",(J149-H149)/H149))</f>
        <v>New</v>
      </c>
      <c r="M149" s="7" t="str">
        <f aca="false">IF(AND(OR(C149&lt;&gt;0,H149&lt;&gt;0),D149=0,I149=0),"DROP",IF(AND(OR(D149&lt;&gt;0,I149&lt;&gt;0),C149=0,H149=0),"NEW",""))</f>
        <v>NEW</v>
      </c>
    </row>
    <row r="150" customFormat="false" ht="15" hidden="false" customHeight="false" outlineLevel="0" collapsed="false">
      <c r="A150" s="7" t="s">
        <v>323</v>
      </c>
      <c r="B150" s="7" t="str">
        <f aca="false">IFERROR(INDEX('Source'!$C:$C,MATCH($A150,'Source'!$B:$B,0)),"")</f>
        <v>חגורת היריון</v>
      </c>
      <c r="C150" s="8" t="n">
        <f aca="false">SUMIFS('Source'!$D:$D,'Source'!$A:$A,"160150 MAX KONNARIS LTD",'Source'!$B:$B,$A150)</f>
        <v>3</v>
      </c>
      <c r="D150" s="8" t="n">
        <f aca="false">SUMIFS('Source'!$F:$F,'Source'!$A:$A,"160150 MAX KONNARIS LTD",'Source'!$B:$B,$A150)</f>
        <v>7</v>
      </c>
      <c r="E150" s="8" t="n">
        <f aca="false">D150*$J$5</f>
        <v>8.84210526315789</v>
      </c>
      <c r="F150" s="8" t="n">
        <f aca="false">E150-C150</f>
        <v>5.84210526315789</v>
      </c>
      <c r="G150" s="9" t="n">
        <f aca="false">IF(AND(C150=0,E150=0),0,IF(C150=0,"New",(E150-C150)/C150))</f>
        <v>1.94736842105263</v>
      </c>
      <c r="H150" s="8" t="n">
        <f aca="false">SUMIFS('Source'!$E:$E,'Source'!$A:$A,"160150 MAX KONNARIS LTD",'Source'!$B:$B,$A150)</f>
        <v>150.16</v>
      </c>
      <c r="I150" s="8" t="n">
        <f aca="false">SUMIFS('Source'!$G:$G,'Source'!$A:$A,"160150 MAX KONNARIS LTD",'Source'!$B:$B,$A150)</f>
        <v>307.86</v>
      </c>
      <c r="J150" s="8" t="n">
        <f aca="false">I150*$J$5</f>
        <v>388.875789473684</v>
      </c>
      <c r="K150" s="8" t="n">
        <f aca="false">J150-H150</f>
        <v>238.715789473684</v>
      </c>
      <c r="L150" s="9" t="n">
        <f aca="false">IF(AND(H150=0,J150=0),0,IF(H150=0,"New",(J150-H150)/H150))</f>
        <v>1.58974287076242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145</v>
      </c>
      <c r="B151" s="7" t="str">
        <f aca="false">IFERROR(INDEX('Source'!$C:$C,MATCH($A151,'Source'!$B:$B,0)),"")</f>
        <v>חגורת שבר לצד שמאל</v>
      </c>
      <c r="C151" s="8" t="n">
        <f aca="false">SUMIFS('Source'!$D:$D,'Source'!$A:$A,"160150 MAX KONNARIS LTD",'Source'!$B:$B,$A151)</f>
        <v>0</v>
      </c>
      <c r="D151" s="8" t="n">
        <f aca="false">SUMIFS('Source'!$F:$F,'Source'!$A:$A,"160150 MAX KONNARIS LTD",'Source'!$B:$B,$A151)</f>
        <v>2</v>
      </c>
      <c r="E151" s="8" t="n">
        <f aca="false">D151*$J$5</f>
        <v>2.52631578947368</v>
      </c>
      <c r="F151" s="8" t="n">
        <f aca="false">E151-C151</f>
        <v>2.52631578947368</v>
      </c>
      <c r="G151" s="9" t="str">
        <f aca="false">IF(AND(C151=0,E151=0),0,IF(C151=0,"New",(E151-C151)/C151))</f>
        <v>New</v>
      </c>
      <c r="H151" s="8" t="n">
        <f aca="false">SUMIFS('Source'!$E:$E,'Source'!$A:$A,"160150 MAX KONNARIS LTD",'Source'!$B:$B,$A151)</f>
        <v>0</v>
      </c>
      <c r="I151" s="8" t="n">
        <f aca="false">SUMIFS('Source'!$G:$G,'Source'!$A:$A,"160150 MAX KONNARIS LTD",'Source'!$B:$B,$A151)</f>
        <v>157.26</v>
      </c>
      <c r="J151" s="8" t="n">
        <f aca="false">I151*$J$5</f>
        <v>198.644210526316</v>
      </c>
      <c r="K151" s="8" t="n">
        <f aca="false">J151-H151</f>
        <v>198.644210526316</v>
      </c>
      <c r="L151" s="9" t="str">
        <f aca="false">IF(AND(H151=0,J151=0),0,IF(H151=0,"New",(J151-H151)/H151))</f>
        <v>New</v>
      </c>
      <c r="M151" s="7" t="str">
        <f aca="false">IF(AND(OR(C151&lt;&gt;0,H151&lt;&gt;0),D151=0,I151=0),"DROP",IF(AND(OR(D151&lt;&gt;0,I151&lt;&gt;0),C151=0,H151=0),"NEW",""))</f>
        <v>NEW</v>
      </c>
    </row>
    <row r="152" customFormat="false" ht="15" hidden="false" customHeight="false" outlineLevel="0" collapsed="false">
      <c r="A152" s="7" t="s">
        <v>403</v>
      </c>
      <c r="B152" s="7" t="str">
        <f aca="false">IFERROR(INDEX('Source'!$C:$C,MATCH($A152,'Source'!$B:$B,0)),"")</f>
        <v>חגורת שבר דו צדדית</v>
      </c>
      <c r="C152" s="8" t="n">
        <f aca="false">SUMIFS('Source'!$D:$D,'Source'!$A:$A,"160150 MAX KONNARIS LTD",'Source'!$B:$B,$A152)</f>
        <v>0</v>
      </c>
      <c r="D152" s="8" t="n">
        <f aca="false">SUMIFS('Source'!$F:$F,'Source'!$A:$A,"160150 MAX KONNARIS LTD",'Source'!$B:$B,$A152)</f>
        <v>2</v>
      </c>
      <c r="E152" s="8" t="n">
        <f aca="false">D152*$J$5</f>
        <v>2.52631578947368</v>
      </c>
      <c r="F152" s="8" t="n">
        <f aca="false">E152-C152</f>
        <v>2.52631578947368</v>
      </c>
      <c r="G152" s="9" t="str">
        <f aca="false">IF(AND(C152=0,E152=0),0,IF(C152=0,"New",(E152-C152)/C152))</f>
        <v>New</v>
      </c>
      <c r="H152" s="8" t="n">
        <f aca="false">SUMIFS('Source'!$E:$E,'Source'!$A:$A,"160150 MAX KONNARIS LTD",'Source'!$B:$B,$A152)</f>
        <v>0</v>
      </c>
      <c r="I152" s="8" t="n">
        <f aca="false">SUMIFS('Source'!$G:$G,'Source'!$A:$A,"160150 MAX KONNARIS LTD",'Source'!$B:$B,$A152)</f>
        <v>155.72</v>
      </c>
      <c r="J152" s="8" t="n">
        <f aca="false">I152*$J$5</f>
        <v>196.698947368421</v>
      </c>
      <c r="K152" s="8" t="n">
        <f aca="false">J152-H152</f>
        <v>196.698947368421</v>
      </c>
      <c r="L152" s="9" t="str">
        <f aca="false">IF(AND(H152=0,J152=0),0,IF(H152=0,"New",(J152-H152)/H152))</f>
        <v>New</v>
      </c>
      <c r="M152" s="7" t="str">
        <f aca="false">IF(AND(OR(C152&lt;&gt;0,H152&lt;&gt;0),D152=0,I152=0),"DROP",IF(AND(OR(D152&lt;&gt;0,I152&lt;&gt;0),C152=0,H152=0),"NEW",""))</f>
        <v>NEW</v>
      </c>
    </row>
    <row r="153" customFormat="false" ht="15" hidden="false" customHeight="false" outlineLevel="0" collapsed="false">
      <c r="A153" s="7" t="s">
        <v>212</v>
      </c>
      <c r="B153" s="7" t="str">
        <f aca="false">IFERROR(INDEX('Source'!$C:$C,MATCH($A153,'Source'!$B:$B,0)),"")</f>
        <v>חגורת גב אפורה</v>
      </c>
      <c r="C153" s="8" t="n">
        <f aca="false">SUMIFS('Source'!$D:$D,'Source'!$A:$A,"160150 MAX KONNARIS LTD",'Source'!$B:$B,$A153)</f>
        <v>0</v>
      </c>
      <c r="D153" s="8" t="n">
        <f aca="false">SUMIFS('Source'!$F:$F,'Source'!$A:$A,"160150 MAX KONNARIS LTD",'Source'!$B:$B,$A153)</f>
        <v>3</v>
      </c>
      <c r="E153" s="8" t="n">
        <f aca="false">D153*$J$5</f>
        <v>3.78947368421053</v>
      </c>
      <c r="F153" s="8" t="n">
        <f aca="false">E153-C153</f>
        <v>3.78947368421053</v>
      </c>
      <c r="G153" s="9" t="str">
        <f aca="false">IF(AND(C153=0,E153=0),0,IF(C153=0,"New",(E153-C153)/C153))</f>
        <v>New</v>
      </c>
      <c r="H153" s="8" t="n">
        <f aca="false">SUMIFS('Source'!$E:$E,'Source'!$A:$A,"160150 MAX KONNARIS LTD",'Source'!$B:$B,$A153)</f>
        <v>0</v>
      </c>
      <c r="I153" s="8" t="n">
        <f aca="false">SUMIFS('Source'!$G:$G,'Source'!$A:$A,"160150 MAX KONNARIS LTD",'Source'!$B:$B,$A153)</f>
        <v>155.04</v>
      </c>
      <c r="J153" s="8" t="n">
        <f aca="false">I153*$J$5</f>
        <v>195.84</v>
      </c>
      <c r="K153" s="8" t="n">
        <f aca="false">J153-H153</f>
        <v>195.84</v>
      </c>
      <c r="L153" s="9" t="str">
        <f aca="false">IF(AND(H153=0,J153=0),0,IF(H153=0,"New",(J153-H153)/H153))</f>
        <v>New</v>
      </c>
      <c r="M153" s="7" t="str">
        <f aca="false">IF(AND(OR(C153&lt;&gt;0,H153&lt;&gt;0),D153=0,I153=0),"DROP",IF(AND(OR(D153&lt;&gt;0,I153&lt;&gt;0),C153=0,H153=0),"NEW",""))</f>
        <v>NEW</v>
      </c>
    </row>
    <row r="154" customFormat="false" ht="15" hidden="false" customHeight="false" outlineLevel="0" collapsed="false">
      <c r="A154" s="7" t="s">
        <v>129</v>
      </c>
      <c r="B154" s="7" t="str">
        <f aca="false">IFERROR(INDEX('Source'!$C:$C,MATCH($A154,'Source'!$B:$B,0)),"")</f>
        <v>רצועה לפיקה+כרית</v>
      </c>
      <c r="C154" s="8" t="n">
        <f aca="false">SUMIFS('Source'!$D:$D,'Source'!$A:$A,"160150 MAX KONNARIS LTD",'Source'!$B:$B,$A154)</f>
        <v>6</v>
      </c>
      <c r="D154" s="8" t="n">
        <f aca="false">SUMIFS('Source'!$F:$F,'Source'!$A:$A,"160150 MAX KONNARIS LTD",'Source'!$B:$B,$A154)</f>
        <v>3</v>
      </c>
      <c r="E154" s="8" t="n">
        <f aca="false">D154*$J$5</f>
        <v>3.78947368421053</v>
      </c>
      <c r="F154" s="8" t="n">
        <f aca="false">E154-C154</f>
        <v>-2.21052631578947</v>
      </c>
      <c r="G154" s="9" t="n">
        <f aca="false">IF(AND(C154=0,E154=0),0,IF(C154=0,"New",(E154-C154)/C154))</f>
        <v>-0.368421052631579</v>
      </c>
      <c r="H154" s="8" t="n">
        <f aca="false">SUMIFS('Source'!$E:$E,'Source'!$A:$A,"160150 MAX KONNARIS LTD",'Source'!$B:$B,$A154)</f>
        <v>275.78</v>
      </c>
      <c r="I154" s="8" t="n">
        <f aca="false">SUMIFS('Source'!$G:$G,'Source'!$A:$A,"160150 MAX KONNARIS LTD",'Source'!$B:$B,$A154)</f>
        <v>121.16</v>
      </c>
      <c r="J154" s="8" t="n">
        <f aca="false">I154*$J$5</f>
        <v>153.044210526316</v>
      </c>
      <c r="K154" s="8" t="n">
        <f aca="false">J154-H154</f>
        <v>-122.735789473684</v>
      </c>
      <c r="L154" s="9" t="n">
        <f aca="false">IF(AND(H154=0,J154=0),0,IF(H154=0,"New",(J154-H154)/H154))</f>
        <v>-0.44504963910974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184</v>
      </c>
      <c r="B155" s="7" t="str">
        <f aca="false">IFERROR(INDEX('Source'!$C:$C,MATCH($A155,'Source'!$B:$B,0)),"")</f>
        <v>חגורת שבר לצד ימין</v>
      </c>
      <c r="C155" s="8" t="n">
        <f aca="false">SUMIFS('Source'!$D:$D,'Source'!$A:$A,"160150 MAX KONNARIS LTD",'Source'!$B:$B,$A155)</f>
        <v>1</v>
      </c>
      <c r="D155" s="8" t="n">
        <f aca="false">SUMIFS('Source'!$F:$F,'Source'!$A:$A,"160150 MAX KONNARIS LTD",'Source'!$B:$B,$A155)</f>
        <v>3</v>
      </c>
      <c r="E155" s="8" t="n">
        <f aca="false">D155*$J$5</f>
        <v>3.78947368421053</v>
      </c>
      <c r="F155" s="8" t="n">
        <f aca="false">E155-C155</f>
        <v>2.78947368421053</v>
      </c>
      <c r="G155" s="9" t="n">
        <f aca="false">IF(AND(C155=0,E155=0),0,IF(C155=0,"New",(E155-C155)/C155))</f>
        <v>2.78947368421053</v>
      </c>
      <c r="H155" s="8" t="n">
        <f aca="false">SUMIFS('Source'!$E:$E,'Source'!$A:$A,"160150 MAX KONNARIS LTD",'Source'!$B:$B,$A155)</f>
        <v>81.3</v>
      </c>
      <c r="I155" s="8" t="n">
        <f aca="false">SUMIFS('Source'!$G:$G,'Source'!$A:$A,"160150 MAX KONNARIS LTD",'Source'!$B:$B,$A155)</f>
        <v>235.88</v>
      </c>
      <c r="J155" s="8" t="n">
        <f aca="false">I155*$J$5</f>
        <v>297.953684210526</v>
      </c>
      <c r="K155" s="8" t="n">
        <f aca="false">J155-H155</f>
        <v>216.653684210526</v>
      </c>
      <c r="L155" s="9" t="n">
        <f aca="false">IF(AND(H155=0,J155=0),0,IF(H155=0,"New",(J155-H155)/H155))</f>
        <v>2.66486696445912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435</v>
      </c>
      <c r="B156" s="7" t="str">
        <f aca="false">IFERROR(INDEX('Source'!$C:$C,MATCH($A156,'Source'!$B:$B,0)),"")</f>
        <v>מגן ברך שחור</v>
      </c>
      <c r="C156" s="8" t="n">
        <f aca="false">SUMIFS('Source'!$D:$D,'Source'!$A:$A,"160150 MAX KONNARIS LTD",'Source'!$B:$B,$A156)</f>
        <v>12</v>
      </c>
      <c r="D156" s="8" t="n">
        <f aca="false">SUMIFS('Source'!$F:$F,'Source'!$A:$A,"160150 MAX KONNARIS LTD",'Source'!$B:$B,$A156)</f>
        <v>0</v>
      </c>
      <c r="E156" s="8" t="n">
        <f aca="false">D156*$J$5</f>
        <v>0</v>
      </c>
      <c r="F156" s="8" t="n">
        <f aca="false">E156-C156</f>
        <v>-12</v>
      </c>
      <c r="G156" s="9" t="n">
        <f aca="false">IF(AND(C156=0,E156=0),0,IF(C156=0,"New",(E156-C156)/C156))</f>
        <v>-1</v>
      </c>
      <c r="H156" s="8" t="n">
        <f aca="false">SUMIFS('Source'!$E:$E,'Source'!$A:$A,"160150 MAX KONNARIS LTD",'Source'!$B:$B,$A156)</f>
        <v>152.66</v>
      </c>
      <c r="I156" s="8" t="n">
        <f aca="false">SUMIFS('Source'!$G:$G,'Source'!$A:$A,"160150 MAX KONNARIS LTD",'Source'!$B:$B,$A156)</f>
        <v>0</v>
      </c>
      <c r="J156" s="8" t="n">
        <f aca="false">I156*$J$5</f>
        <v>0</v>
      </c>
      <c r="K156" s="8" t="n">
        <f aca="false">J156-H156</f>
        <v>-152.66</v>
      </c>
      <c r="L156" s="9" t="n">
        <f aca="false">IF(AND(H156=0,J156=0),0,IF(H156=0,"New",(J156-H156)/H156))</f>
        <v>-1</v>
      </c>
      <c r="M156" s="7" t="str">
        <f aca="false">IF(AND(OR(C156&lt;&gt;0,H156&lt;&gt;0),D156=0,I156=0),"DROP",IF(AND(OR(D156&lt;&gt;0,I156&lt;&gt;0),C156=0,H156=0),"NEW",""))</f>
        <v>DROP</v>
      </c>
    </row>
    <row r="157" customFormat="false" ht="15" hidden="false" customHeight="false" outlineLevel="0" collapsed="false">
      <c r="A157" s="7" t="s">
        <v>714</v>
      </c>
      <c r="B157" s="7" t="str">
        <f aca="false">IFERROR(INDEX('Source'!$C:$C,MATCH($A157,'Source'!$B:$B,0)),"")</f>
        <v>מגן מרפק</v>
      </c>
      <c r="C157" s="8" t="n">
        <f aca="false">SUMIFS('Source'!$D:$D,'Source'!$A:$A,"160150 MAX KONNARIS LTD",'Source'!$B:$B,$A157)</f>
        <v>13</v>
      </c>
      <c r="D157" s="8" t="n">
        <f aca="false">SUMIFS('Source'!$F:$F,'Source'!$A:$A,"160150 MAX KONNARIS LTD",'Source'!$B:$B,$A157)</f>
        <v>0</v>
      </c>
      <c r="E157" s="8" t="n">
        <f aca="false">D157*$J$5</f>
        <v>0</v>
      </c>
      <c r="F157" s="8" t="n">
        <f aca="false">E157-C157</f>
        <v>-13</v>
      </c>
      <c r="G157" s="9" t="n">
        <f aca="false">IF(AND(C157=0,E157=0),0,IF(C157=0,"New",(E157-C157)/C157))</f>
        <v>-1</v>
      </c>
      <c r="H157" s="8" t="n">
        <f aca="false">SUMIFS('Source'!$E:$E,'Source'!$A:$A,"160150 MAX KONNARIS LTD",'Source'!$B:$B,$A157)</f>
        <v>151.92</v>
      </c>
      <c r="I157" s="8" t="n">
        <f aca="false">SUMIFS('Source'!$G:$G,'Source'!$A:$A,"160150 MAX KONNARIS LTD",'Source'!$B:$B,$A157)</f>
        <v>0</v>
      </c>
      <c r="J157" s="8" t="n">
        <f aca="false">I157*$J$5</f>
        <v>0</v>
      </c>
      <c r="K157" s="8" t="n">
        <f aca="false">J157-H157</f>
        <v>-151.92</v>
      </c>
      <c r="L157" s="9" t="n">
        <f aca="false">IF(AND(H157=0,J157=0),0,IF(H157=0,"New",(J157-H157)/H157))</f>
        <v>-1</v>
      </c>
      <c r="M157" s="7" t="str">
        <f aca="false">IF(AND(OR(C157&lt;&gt;0,H157&lt;&gt;0),D157=0,I157=0),"DROP",IF(AND(OR(D157&lt;&gt;0,I157&lt;&gt;0),C157=0,H157=0),"NEW",""))</f>
        <v>DROP</v>
      </c>
    </row>
    <row r="158" customFormat="false" ht="15" hidden="false" customHeight="false" outlineLevel="0" collapsed="false">
      <c r="A158" s="7" t="s">
        <v>303</v>
      </c>
      <c r="B158" s="7" t="str">
        <f aca="false">IFERROR(INDEX('Source'!$C:$C,MATCH($A158,'Source'!$B:$B,0)),"")</f>
        <v>מגן קרסול שמאל SC35</v>
      </c>
      <c r="C158" s="8" t="n">
        <f aca="false">SUMIFS('Source'!$D:$D,'Source'!$A:$A,"160150 MAX KONNARIS LTD",'Source'!$B:$B,$A158)</f>
        <v>3</v>
      </c>
      <c r="D158" s="8" t="n">
        <f aca="false">SUMIFS('Source'!$F:$F,'Source'!$A:$A,"160150 MAX KONNARIS LTD",'Source'!$B:$B,$A158)</f>
        <v>0</v>
      </c>
      <c r="E158" s="8" t="n">
        <f aca="false">D158*$J$5</f>
        <v>0</v>
      </c>
      <c r="F158" s="8" t="n">
        <f aca="false">E158-C158</f>
        <v>-3</v>
      </c>
      <c r="G158" s="9" t="n">
        <f aca="false">IF(AND(C158=0,E158=0),0,IF(C158=0,"New",(E158-C158)/C158))</f>
        <v>-1</v>
      </c>
      <c r="H158" s="8" t="n">
        <f aca="false">SUMIFS('Source'!$E:$E,'Source'!$A:$A,"160150 MAX KONNARIS LTD",'Source'!$B:$B,$A158)</f>
        <v>148.99</v>
      </c>
      <c r="I158" s="8" t="n">
        <f aca="false">SUMIFS('Source'!$G:$G,'Source'!$A:$A,"160150 MAX KONNARIS LTD",'Source'!$B:$B,$A158)</f>
        <v>0</v>
      </c>
      <c r="J158" s="8" t="n">
        <f aca="false">I158*$J$5</f>
        <v>0</v>
      </c>
      <c r="K158" s="8" t="n">
        <f aca="false">J158-H158</f>
        <v>-148.99</v>
      </c>
      <c r="L158" s="9" t="n">
        <f aca="false">IF(AND(H158=0,J158=0),0,IF(H158=0,"New",(J158-H158)/H158))</f>
        <v>-1</v>
      </c>
      <c r="M158" s="7" t="str">
        <f aca="false">IF(AND(OR(C158&lt;&gt;0,H158&lt;&gt;0),D158=0,I158=0),"DROP",IF(AND(OR(D158&lt;&gt;0,I158&lt;&gt;0),C158=0,H158=0),"NEW",""))</f>
        <v>DROP</v>
      </c>
    </row>
    <row r="159" customFormat="false" ht="15" hidden="false" customHeight="false" outlineLevel="0" collapsed="false">
      <c r="A159" s="7" t="s">
        <v>217</v>
      </c>
      <c r="B159" s="7" t="str">
        <f aca="false">IFERROR(INDEX('Source'!$C:$C,MATCH($A159,'Source'!$B:$B,0)),"")</f>
        <v>מגן זרת מסיליקון</v>
      </c>
      <c r="C159" s="8" t="n">
        <f aca="false">SUMIFS('Source'!$D:$D,'Source'!$A:$A,"160150 MAX KONNARIS LTD",'Source'!$B:$B,$A159)</f>
        <v>10</v>
      </c>
      <c r="D159" s="8" t="n">
        <f aca="false">SUMIFS('Source'!$F:$F,'Source'!$A:$A,"160150 MAX KONNARIS LTD",'Source'!$B:$B,$A159)</f>
        <v>0</v>
      </c>
      <c r="E159" s="8" t="n">
        <f aca="false">D159*$J$5</f>
        <v>0</v>
      </c>
      <c r="F159" s="8" t="n">
        <f aca="false">E159-C159</f>
        <v>-10</v>
      </c>
      <c r="G159" s="9" t="n">
        <f aca="false">IF(AND(C159=0,E159=0),0,IF(C159=0,"New",(E159-C159)/C159))</f>
        <v>-1</v>
      </c>
      <c r="H159" s="8" t="n">
        <f aca="false">SUMIFS('Source'!$E:$E,'Source'!$A:$A,"160150 MAX KONNARIS LTD",'Source'!$B:$B,$A159)</f>
        <v>148.02</v>
      </c>
      <c r="I159" s="8" t="n">
        <f aca="false">SUMIFS('Source'!$G:$G,'Source'!$A:$A,"160150 MAX KONNARIS LTD",'Source'!$B:$B,$A159)</f>
        <v>0</v>
      </c>
      <c r="J159" s="8" t="n">
        <f aca="false">I159*$J$5</f>
        <v>0</v>
      </c>
      <c r="K159" s="8" t="n">
        <f aca="false">J159-H159</f>
        <v>-148.02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382</v>
      </c>
      <c r="B160" s="7" t="str">
        <f aca="false">IFERROR(INDEX('Source'!$C:$C,MATCH($A160,'Source'!$B:$B,0)),"")</f>
        <v>מגן קרסול+ עקב סגור+רצועות</v>
      </c>
      <c r="C160" s="8" t="n">
        <f aca="false">SUMIFS('Source'!$D:$D,'Source'!$A:$A,"160150 MAX KONNARIS LTD",'Source'!$B:$B,$A160)</f>
        <v>10</v>
      </c>
      <c r="D160" s="8" t="n">
        <f aca="false">SUMIFS('Source'!$F:$F,'Source'!$A:$A,"160150 MAX KONNARIS LTD",'Source'!$B:$B,$A160)</f>
        <v>6</v>
      </c>
      <c r="E160" s="8" t="n">
        <f aca="false">D160*$J$5</f>
        <v>7.57894736842105</v>
      </c>
      <c r="F160" s="8" t="n">
        <f aca="false">E160-C160</f>
        <v>-2.42105263157895</v>
      </c>
      <c r="G160" s="9" t="n">
        <f aca="false">IF(AND(C160=0,E160=0),0,IF(C160=0,"New",(E160-C160)/C160))</f>
        <v>-0.242105263157895</v>
      </c>
      <c r="H160" s="8" t="n">
        <f aca="false">SUMIFS('Source'!$E:$E,'Source'!$A:$A,"160150 MAX KONNARIS LTD",'Source'!$B:$B,$A160)</f>
        <v>336.93</v>
      </c>
      <c r="I160" s="8" t="n">
        <f aca="false">SUMIFS('Source'!$G:$G,'Source'!$A:$A,"160150 MAX KONNARIS LTD",'Source'!$B:$B,$A160)</f>
        <v>190.69</v>
      </c>
      <c r="J160" s="8" t="n">
        <f aca="false">I160*$J$5</f>
        <v>240.871578947368</v>
      </c>
      <c r="K160" s="8" t="n">
        <f aca="false">J160-H160</f>
        <v>-96.0584210526316</v>
      </c>
      <c r="L160" s="9" t="n">
        <f aca="false">IF(AND(H160=0,J160=0),0,IF(H160=0,"New",(J160-H160)/H160))</f>
        <v>-0.285099044468084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240</v>
      </c>
      <c r="B161" s="7" t="str">
        <f aca="false">IFERROR(INDEX('Source'!$C:$C,MATCH($A161,'Source'!$B:$B,0)),"")</f>
        <v>מגן קרסול ימין SC35</v>
      </c>
      <c r="C161" s="8" t="n">
        <f aca="false">SUMIFS('Source'!$D:$D,'Source'!$A:$A,"160150 MAX KONNARIS LTD",'Source'!$B:$B,$A161)</f>
        <v>3</v>
      </c>
      <c r="D161" s="8" t="n">
        <f aca="false">SUMIFS('Source'!$F:$F,'Source'!$A:$A,"160150 MAX KONNARIS LTD",'Source'!$B:$B,$A161)</f>
        <v>0</v>
      </c>
      <c r="E161" s="8" t="n">
        <f aca="false">D161*$J$5</f>
        <v>0</v>
      </c>
      <c r="F161" s="8" t="n">
        <f aca="false">E161-C161</f>
        <v>-3</v>
      </c>
      <c r="G161" s="9" t="n">
        <f aca="false">IF(AND(C161=0,E161=0),0,IF(C161=0,"New",(E161-C161)/C161))</f>
        <v>-1</v>
      </c>
      <c r="H161" s="8" t="n">
        <f aca="false">SUMIFS('Source'!$E:$E,'Source'!$A:$A,"160150 MAX KONNARIS LTD",'Source'!$B:$B,$A161)</f>
        <v>145.32</v>
      </c>
      <c r="I161" s="8" t="n">
        <f aca="false">SUMIFS('Source'!$G:$G,'Source'!$A:$A,"160150 MAX KONNARIS LTD",'Source'!$B:$B,$A161)</f>
        <v>0</v>
      </c>
      <c r="J161" s="8" t="n">
        <f aca="false">I161*$J$5</f>
        <v>0</v>
      </c>
      <c r="K161" s="8" t="n">
        <f aca="false">J161-H161</f>
        <v>-145.32</v>
      </c>
      <c r="L161" s="9" t="n">
        <f aca="false">IF(AND(H161=0,J161=0),0,IF(H161=0,"New",(J161-H161)/H161))</f>
        <v>-1</v>
      </c>
      <c r="M161" s="7" t="str">
        <f aca="false">IF(AND(OR(C161&lt;&gt;0,H161&lt;&gt;0),D161=0,I161=0),"DROP",IF(AND(OR(D161&lt;&gt;0,I161&lt;&gt;0),C161=0,H161=0),"NEW",""))</f>
        <v>DROP</v>
      </c>
    </row>
    <row r="162" customFormat="false" ht="15" hidden="false" customHeight="false" outlineLevel="0" collapsed="false">
      <c r="A162" s="7" t="s">
        <v>270</v>
      </c>
      <c r="B162" s="7" t="str">
        <f aca="false">IFERROR(INDEX('Source'!$C:$C,MATCH($A162,'Source'!$B:$B,0)),"")</f>
        <v>נוזל לריכוך ציפורן חודרנית</v>
      </c>
      <c r="C162" s="8" t="n">
        <f aca="false">SUMIFS('Source'!$D:$D,'Source'!$A:$A,"160150 MAX KONNARIS LTD",'Source'!$B:$B,$A162)</f>
        <v>10</v>
      </c>
      <c r="D162" s="8" t="n">
        <f aca="false">SUMIFS('Source'!$F:$F,'Source'!$A:$A,"160150 MAX KONNARIS LTD",'Source'!$B:$B,$A162)</f>
        <v>3</v>
      </c>
      <c r="E162" s="8" t="n">
        <f aca="false">D162*$J$5</f>
        <v>3.78947368421053</v>
      </c>
      <c r="F162" s="8" t="n">
        <f aca="false">E162-C162</f>
        <v>-6.21052631578947</v>
      </c>
      <c r="G162" s="9" t="n">
        <f aca="false">IF(AND(C162=0,E162=0),0,IF(C162=0,"New",(E162-C162)/C162))</f>
        <v>-0.621052631578947</v>
      </c>
      <c r="H162" s="8" t="n">
        <f aca="false">SUMIFS('Source'!$E:$E,'Source'!$A:$A,"160150 MAX KONNARIS LTD",'Source'!$B:$B,$A162)</f>
        <v>192.81</v>
      </c>
      <c r="I162" s="8" t="n">
        <f aca="false">SUMIFS('Source'!$G:$G,'Source'!$A:$A,"160150 MAX KONNARIS LTD",'Source'!$B:$B,$A162)</f>
        <v>50.82</v>
      </c>
      <c r="J162" s="8" t="n">
        <f aca="false">I162*$J$5</f>
        <v>64.1936842105263</v>
      </c>
      <c r="K162" s="8" t="n">
        <f aca="false">J162-H162</f>
        <v>-128.616315789474</v>
      </c>
      <c r="L162" s="9" t="n">
        <f aca="false">IF(AND(H162=0,J162=0),0,IF(H162=0,"New",(J162-H162)/H162))</f>
        <v>-0.66706247492077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289</v>
      </c>
      <c r="B163" s="7" t="str">
        <f aca="false">IFERROR(INDEX('Source'!$C:$C,MATCH($A163,'Source'!$B:$B,0)),"")</f>
        <v>ח.בטן 25 ס'מ</v>
      </c>
      <c r="C163" s="8" t="n">
        <f aca="false">SUMIFS('Source'!$D:$D,'Source'!$A:$A,"160150 MAX KONNARIS LTD",'Source'!$B:$B,$A163)</f>
        <v>3</v>
      </c>
      <c r="D163" s="8" t="n">
        <f aca="false">SUMIFS('Source'!$F:$F,'Source'!$A:$A,"160150 MAX KONNARIS LTD",'Source'!$B:$B,$A163)</f>
        <v>0</v>
      </c>
      <c r="E163" s="8" t="n">
        <f aca="false">D163*$J$5</f>
        <v>0</v>
      </c>
      <c r="F163" s="8" t="n">
        <f aca="false">E163-C163</f>
        <v>-3</v>
      </c>
      <c r="G163" s="9" t="n">
        <f aca="false">IF(AND(C163=0,E163=0),0,IF(C163=0,"New",(E163-C163)/C163))</f>
        <v>-1</v>
      </c>
      <c r="H163" s="8" t="n">
        <f aca="false">SUMIFS('Source'!$E:$E,'Source'!$A:$A,"160150 MAX KONNARIS LTD",'Source'!$B:$B,$A163)</f>
        <v>141.33</v>
      </c>
      <c r="I163" s="8" t="n">
        <f aca="false">SUMIFS('Source'!$G:$G,'Source'!$A:$A,"160150 MAX KONNARIS LTD",'Source'!$B:$B,$A163)</f>
        <v>0</v>
      </c>
      <c r="J163" s="8" t="n">
        <f aca="false">I163*$J$5</f>
        <v>0</v>
      </c>
      <c r="K163" s="8" t="n">
        <f aca="false">J163-H163</f>
        <v>-141.33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341</v>
      </c>
      <c r="B164" s="7" t="str">
        <f aca="false">IFERROR(INDEX('Source'!$C:$C,MATCH($A164,'Source'!$B:$B,0)),"")</f>
        <v>מגן קרסול סגור</v>
      </c>
      <c r="C164" s="8" t="n">
        <f aca="false">SUMIFS('Source'!$D:$D,'Source'!$A:$A,"160150 MAX KONNARIS LTD",'Source'!$B:$B,$A164)</f>
        <v>6</v>
      </c>
      <c r="D164" s="8" t="n">
        <f aca="false">SUMIFS('Source'!$F:$F,'Source'!$A:$A,"160150 MAX KONNARIS LTD",'Source'!$B:$B,$A164)</f>
        <v>0</v>
      </c>
      <c r="E164" s="8" t="n">
        <f aca="false">D164*$J$5</f>
        <v>0</v>
      </c>
      <c r="F164" s="8" t="n">
        <f aca="false">E164-C164</f>
        <v>-6</v>
      </c>
      <c r="G164" s="9" t="n">
        <f aca="false">IF(AND(C164=0,E164=0),0,IF(C164=0,"New",(E164-C164)/C164))</f>
        <v>-1</v>
      </c>
      <c r="H164" s="8" t="n">
        <f aca="false">SUMIFS('Source'!$E:$E,'Source'!$A:$A,"160150 MAX KONNARIS LTD",'Source'!$B:$B,$A164)</f>
        <v>140.23</v>
      </c>
      <c r="I164" s="8" t="n">
        <f aca="false">SUMIFS('Source'!$G:$G,'Source'!$A:$A,"160150 MAX KONNARIS LTD",'Source'!$B:$B,$A164)</f>
        <v>0</v>
      </c>
      <c r="J164" s="8" t="n">
        <f aca="false">I164*$J$5</f>
        <v>0</v>
      </c>
      <c r="K164" s="8" t="n">
        <f aca="false">J164-H164</f>
        <v>-140.23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726</v>
      </c>
      <c r="B165" s="7" t="str">
        <f aca="false">IFERROR(INDEX('Source'!$C:$C,MATCH($A165,'Source'!$B:$B,0)),"")</f>
        <v>מגן קרסול סגור</v>
      </c>
      <c r="C165" s="8" t="n">
        <f aca="false">SUMIFS('Source'!$D:$D,'Source'!$A:$A,"160150 MAX KONNARIS LTD",'Source'!$B:$B,$A165)</f>
        <v>6</v>
      </c>
      <c r="D165" s="8" t="n">
        <f aca="false">SUMIFS('Source'!$F:$F,'Source'!$A:$A,"160150 MAX KONNARIS LTD",'Source'!$B:$B,$A165)</f>
        <v>0</v>
      </c>
      <c r="E165" s="8" t="n">
        <f aca="false">D165*$J$5</f>
        <v>0</v>
      </c>
      <c r="F165" s="8" t="n">
        <f aca="false">E165-C165</f>
        <v>-6</v>
      </c>
      <c r="G165" s="9" t="n">
        <f aca="false">IF(AND(C165=0,E165=0),0,IF(C165=0,"New",(E165-C165)/C165))</f>
        <v>-1</v>
      </c>
      <c r="H165" s="8" t="n">
        <f aca="false">SUMIFS('Source'!$E:$E,'Source'!$A:$A,"160150 MAX KONNARIS LTD",'Source'!$B:$B,$A165)</f>
        <v>140.23</v>
      </c>
      <c r="I165" s="8" t="n">
        <f aca="false">SUMIFS('Source'!$G:$G,'Source'!$A:$A,"160150 MAX KONNARIS LTD",'Source'!$B:$B,$A165)</f>
        <v>0</v>
      </c>
      <c r="J165" s="8" t="n">
        <f aca="false">I165*$J$5</f>
        <v>0</v>
      </c>
      <c r="K165" s="8" t="n">
        <f aca="false">J165-H165</f>
        <v>-140.23</v>
      </c>
      <c r="L165" s="9" t="n">
        <f aca="false">IF(AND(H165=0,J165=0),0,IF(H165=0,"New",(J165-H165)/H165))</f>
        <v>-1</v>
      </c>
      <c r="M165" s="7" t="str">
        <f aca="false">IF(AND(OR(C165&lt;&gt;0,H165&lt;&gt;0),D165=0,I165=0),"DROP",IF(AND(OR(D165&lt;&gt;0,I165&lt;&gt;0),C165=0,H165=0),"NEW",""))</f>
        <v>DROP</v>
      </c>
    </row>
    <row r="166" customFormat="false" ht="15" hidden="false" customHeight="false" outlineLevel="0" collapsed="false">
      <c r="A166" s="7" t="s">
        <v>322</v>
      </c>
      <c r="B166" s="7" t="str">
        <f aca="false">IFERROR(INDEX('Source'!$C:$C,MATCH($A166,'Source'!$B:$B,0)),"")</f>
        <v>מגן ברך SC422</v>
      </c>
      <c r="C166" s="8" t="n">
        <f aca="false">SUMIFS('Source'!$D:$D,'Source'!$A:$A,"160150 MAX KONNARIS LTD",'Source'!$B:$B,$A166)</f>
        <v>0</v>
      </c>
      <c r="D166" s="8" t="n">
        <f aca="false">SUMIFS('Source'!$F:$F,'Source'!$A:$A,"160150 MAX KONNARIS LTD",'Source'!$B:$B,$A166)</f>
        <v>2</v>
      </c>
      <c r="E166" s="8" t="n">
        <f aca="false">D166*$J$5</f>
        <v>2.52631578947368</v>
      </c>
      <c r="F166" s="8" t="n">
        <f aca="false">E166-C166</f>
        <v>2.52631578947368</v>
      </c>
      <c r="G166" s="9" t="str">
        <f aca="false">IF(AND(C166=0,E166=0),0,IF(C166=0,"New",(E166-C166)/C166))</f>
        <v>New</v>
      </c>
      <c r="H166" s="8" t="n">
        <f aca="false">SUMIFS('Source'!$E:$E,'Source'!$A:$A,"160150 MAX KONNARIS LTD",'Source'!$B:$B,$A166)</f>
        <v>0</v>
      </c>
      <c r="I166" s="8" t="n">
        <f aca="false">SUMIFS('Source'!$G:$G,'Source'!$A:$A,"160150 MAX KONNARIS LTD",'Source'!$B:$B,$A166)</f>
        <v>137.24</v>
      </c>
      <c r="J166" s="8" t="n">
        <f aca="false">I166*$J$5</f>
        <v>173.355789473684</v>
      </c>
      <c r="K166" s="8" t="n">
        <f aca="false">J166-H166</f>
        <v>173.355789473684</v>
      </c>
      <c r="L166" s="9" t="str">
        <f aca="false">IF(AND(H166=0,J166=0),0,IF(H166=0,"New",(J166-H166)/H166))</f>
        <v>New</v>
      </c>
      <c r="M166" s="7" t="str">
        <f aca="false">IF(AND(OR(C166&lt;&gt;0,H166&lt;&gt;0),D166=0,I166=0),"DROP",IF(AND(OR(D166&lt;&gt;0,I166&lt;&gt;0),C166=0,H166=0),"NEW",""))</f>
        <v>NEW</v>
      </c>
    </row>
    <row r="167" customFormat="false" ht="15" hidden="false" customHeight="false" outlineLevel="0" collapsed="false">
      <c r="A167" s="7" t="s">
        <v>329</v>
      </c>
      <c r="B167" s="7" t="str">
        <f aca="false">IFERROR(INDEX('Source'!$C:$C,MATCH($A167,'Source'!$B:$B,0)),"")</f>
        <v>מדרס מתכוונן</v>
      </c>
      <c r="C167" s="8" t="n">
        <f aca="false">SUMIFS('Source'!$D:$D,'Source'!$A:$A,"160150 MAX KONNARIS LTD",'Source'!$B:$B,$A167)</f>
        <v>13</v>
      </c>
      <c r="D167" s="8" t="n">
        <f aca="false">SUMIFS('Source'!$F:$F,'Source'!$A:$A,"160150 MAX KONNARIS LTD",'Source'!$B:$B,$A167)</f>
        <v>10</v>
      </c>
      <c r="E167" s="8" t="n">
        <f aca="false">D167*$J$5</f>
        <v>12.6315789473684</v>
      </c>
      <c r="F167" s="8" t="n">
        <f aca="false">E167-C167</f>
        <v>-0.368421052631579</v>
      </c>
      <c r="G167" s="9" t="n">
        <f aca="false">IF(AND(C167=0,E167=0),0,IF(C167=0,"New",(E167-C167)/C167))</f>
        <v>-0.0283400809716599</v>
      </c>
      <c r="H167" s="8" t="n">
        <f aca="false">SUMIFS('Source'!$E:$E,'Source'!$A:$A,"160150 MAX KONNARIS LTD",'Source'!$B:$B,$A167)</f>
        <v>500.33</v>
      </c>
      <c r="I167" s="8" t="n">
        <f aca="false">SUMIFS('Source'!$G:$G,'Source'!$A:$A,"160150 MAX KONNARIS LTD",'Source'!$B:$B,$A167)</f>
        <v>363.75</v>
      </c>
      <c r="J167" s="8" t="n">
        <f aca="false">I167*$J$5</f>
        <v>459.473684210526</v>
      </c>
      <c r="K167" s="8" t="n">
        <f aca="false">J167-H167</f>
        <v>-40.8563157894737</v>
      </c>
      <c r="L167" s="9" t="n">
        <f aca="false">IF(AND(H167=0,J167=0),0,IF(H167=0,"New",(J167-H167)/H167))</f>
        <v>-0.081658736812651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683</v>
      </c>
      <c r="B168" s="7" t="str">
        <f aca="false">IFERROR(INDEX('Source'!$C:$C,MATCH($A168,'Source'!$B:$B,0)),"")</f>
        <v>סד לאצבע הדק</v>
      </c>
      <c r="C168" s="8" t="n">
        <f aca="false">SUMIFS('Source'!$D:$D,'Source'!$A:$A,"160150 MAX KONNARIS LTD",'Source'!$B:$B,$A168)</f>
        <v>0</v>
      </c>
      <c r="D168" s="8" t="n">
        <f aca="false">SUMIFS('Source'!$F:$F,'Source'!$A:$A,"160150 MAX KONNARIS LTD",'Source'!$B:$B,$A168)</f>
        <v>10</v>
      </c>
      <c r="E168" s="8" t="n">
        <f aca="false">D168*$J$5</f>
        <v>12.6315789473684</v>
      </c>
      <c r="F168" s="8" t="n">
        <f aca="false">E168-C168</f>
        <v>12.6315789473684</v>
      </c>
      <c r="G168" s="9" t="str">
        <f aca="false">IF(AND(C168=0,E168=0),0,IF(C168=0,"New",(E168-C168)/C168))</f>
        <v>New</v>
      </c>
      <c r="H168" s="8" t="n">
        <f aca="false">SUMIFS('Source'!$E:$E,'Source'!$A:$A,"160150 MAX KONNARIS LTD",'Source'!$B:$B,$A168)</f>
        <v>0</v>
      </c>
      <c r="I168" s="8" t="n">
        <f aca="false">SUMIFS('Source'!$G:$G,'Source'!$A:$A,"160150 MAX KONNARIS LTD",'Source'!$B:$B,$A168)</f>
        <v>133.48</v>
      </c>
      <c r="J168" s="8" t="n">
        <f aca="false">I168*$J$5</f>
        <v>168.606315789474</v>
      </c>
      <c r="K168" s="8" t="n">
        <f aca="false">J168-H168</f>
        <v>168.606315789474</v>
      </c>
      <c r="L168" s="9" t="str">
        <f aca="false">IF(AND(H168=0,J168=0),0,IF(H168=0,"New",(J168-H168)/H168))</f>
        <v>New</v>
      </c>
      <c r="M168" s="7" t="str">
        <f aca="false">IF(AND(OR(C168&lt;&gt;0,H168&lt;&gt;0),D168=0,I168=0),"DROP",IF(AND(OR(D168&lt;&gt;0,I168&lt;&gt;0),C168=0,H168=0),"NEW",""))</f>
        <v>NEW</v>
      </c>
    </row>
    <row r="169" customFormat="false" ht="15" hidden="false" customHeight="false" outlineLevel="0" collapsed="false">
      <c r="A169" s="7" t="s">
        <v>558</v>
      </c>
      <c r="B169" s="7" t="str">
        <f aca="false">IFERROR(INDEX('Source'!$C:$C,MATCH($A169,'Source'!$B:$B,0)),"")</f>
        <v>צווארון ספוג</v>
      </c>
      <c r="C169" s="8" t="n">
        <f aca="false">SUMIFS('Source'!$D:$D,'Source'!$A:$A,"160150 MAX KONNARIS LTD",'Source'!$B:$B,$A169)</f>
        <v>10</v>
      </c>
      <c r="D169" s="8" t="n">
        <f aca="false">SUMIFS('Source'!$F:$F,'Source'!$A:$A,"160150 MAX KONNARIS LTD",'Source'!$B:$B,$A169)</f>
        <v>6</v>
      </c>
      <c r="E169" s="8" t="n">
        <f aca="false">D169*$J$5</f>
        <v>7.57894736842105</v>
      </c>
      <c r="F169" s="8" t="n">
        <f aca="false">E169-C169</f>
        <v>-2.42105263157895</v>
      </c>
      <c r="G169" s="9" t="n">
        <f aca="false">IF(AND(C169=0,E169=0),0,IF(C169=0,"New",(E169-C169)/C169))</f>
        <v>-0.242105263157895</v>
      </c>
      <c r="H169" s="8" t="n">
        <f aca="false">SUMIFS('Source'!$E:$E,'Source'!$A:$A,"160150 MAX KONNARIS LTD",'Source'!$B:$B,$A169)</f>
        <v>292.14</v>
      </c>
      <c r="I169" s="8" t="n">
        <f aca="false">SUMIFS('Source'!$G:$G,'Source'!$A:$A,"160150 MAX KONNARIS LTD",'Source'!$B:$B,$A169)</f>
        <v>165.34</v>
      </c>
      <c r="J169" s="8" t="n">
        <f aca="false">I169*$J$5</f>
        <v>208.850526315789</v>
      </c>
      <c r="K169" s="8" t="n">
        <f aca="false">J169-H169</f>
        <v>-83.2894736842105</v>
      </c>
      <c r="L169" s="9" t="n">
        <f aca="false">IF(AND(H169=0,J169=0),0,IF(H169=0,"New",(J169-H169)/H169))</f>
        <v>-0.285101231204938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220</v>
      </c>
      <c r="B170" s="7" t="str">
        <f aca="false">IFERROR(INDEX('Source'!$C:$C,MATCH($A170,'Source'!$B:$B,0)),"")</f>
        <v>חגורת היריון</v>
      </c>
      <c r="C170" s="8" t="n">
        <f aca="false">SUMIFS('Source'!$D:$D,'Source'!$A:$A,"160150 MAX KONNARIS LTD",'Source'!$B:$B,$A170)</f>
        <v>5</v>
      </c>
      <c r="D170" s="8" t="n">
        <f aca="false">SUMIFS('Source'!$F:$F,'Source'!$A:$A,"160150 MAX KONNARIS LTD",'Source'!$B:$B,$A170)</f>
        <v>3</v>
      </c>
      <c r="E170" s="8" t="n">
        <f aca="false">D170*$J$5</f>
        <v>3.78947368421053</v>
      </c>
      <c r="F170" s="8" t="n">
        <f aca="false">E170-C170</f>
        <v>-1.21052631578947</v>
      </c>
      <c r="G170" s="9" t="n">
        <f aca="false">IF(AND(C170=0,E170=0),0,IF(C170=0,"New",(E170-C170)/C170))</f>
        <v>-0.242105263157895</v>
      </c>
      <c r="H170" s="8" t="n">
        <f aca="false">SUMIFS('Source'!$E:$E,'Source'!$A:$A,"160150 MAX KONNARIS LTD",'Source'!$B:$B,$A170)</f>
        <v>257.64</v>
      </c>
      <c r="I170" s="8" t="n">
        <f aca="false">SUMIFS('Source'!$G:$G,'Source'!$A:$A,"160150 MAX KONNARIS LTD",'Source'!$B:$B,$A170)</f>
        <v>131.94</v>
      </c>
      <c r="J170" s="8" t="n">
        <f aca="false">I170*$J$5</f>
        <v>166.661052631579</v>
      </c>
      <c r="K170" s="8" t="n">
        <f aca="false">J170-H170</f>
        <v>-90.9789473684211</v>
      </c>
      <c r="L170" s="9" t="n">
        <f aca="false">IF(AND(H170=0,J170=0),0,IF(H170=0,"New",(J170-H170)/H170))</f>
        <v>-0.353124310543476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693</v>
      </c>
      <c r="B171" s="7" t="str">
        <f aca="false">IFERROR(INDEX('Source'!$C:$C,MATCH($A171,'Source'!$B:$B,0)),"")</f>
        <v>מתלה יד-כיס</v>
      </c>
      <c r="C171" s="8" t="n">
        <f aca="false">SUMIFS('Source'!$D:$D,'Source'!$A:$A,"160150 MAX KONNARIS LTD",'Source'!$B:$B,$A171)</f>
        <v>20</v>
      </c>
      <c r="D171" s="8" t="n">
        <f aca="false">SUMIFS('Source'!$F:$F,'Source'!$A:$A,"160150 MAX KONNARIS LTD",'Source'!$B:$B,$A171)</f>
        <v>16</v>
      </c>
      <c r="E171" s="8" t="n">
        <f aca="false">D171*$J$5</f>
        <v>20.2105263157895</v>
      </c>
      <c r="F171" s="8" t="n">
        <f aca="false">E171-C171</f>
        <v>0.210526315789473</v>
      </c>
      <c r="G171" s="9" t="n">
        <f aca="false">IF(AND(C171=0,E171=0),0,IF(C171=0,"New",(E171-C171)/C171))</f>
        <v>0.0105263157894736</v>
      </c>
      <c r="H171" s="8" t="n">
        <f aca="false">SUMIFS('Source'!$E:$E,'Source'!$A:$A,"160150 MAX KONNARIS LTD",'Source'!$B:$B,$A171)</f>
        <v>423.2</v>
      </c>
      <c r="I171" s="8" t="n">
        <f aca="false">SUMIFS('Source'!$G:$G,'Source'!$A:$A,"160150 MAX KONNARIS LTD",'Source'!$B:$B,$A171)</f>
        <v>301.18</v>
      </c>
      <c r="J171" s="8" t="n">
        <f aca="false">I171*$J$5</f>
        <v>380.437894736842</v>
      </c>
      <c r="K171" s="8" t="n">
        <f aca="false">J171-H171</f>
        <v>-42.7621052631579</v>
      </c>
      <c r="L171" s="9" t="n">
        <f aca="false">IF(AND(H171=0,J171=0),0,IF(H171=0,"New",(J171-H171)/H171))</f>
        <v>-0.101044672171923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464</v>
      </c>
      <c r="B172" s="7" t="str">
        <f aca="false">IFERROR(INDEX('Source'!$C:$C,MATCH($A172,'Source'!$B:$B,0)),"")</f>
        <v>מגן קרסול שחור</v>
      </c>
      <c r="C172" s="8" t="n">
        <f aca="false">SUMIFS('Source'!$D:$D,'Source'!$A:$A,"160150 MAX KONNARIS LTD",'Source'!$B:$B,$A172)</f>
        <v>10</v>
      </c>
      <c r="D172" s="8" t="n">
        <f aca="false">SUMIFS('Source'!$F:$F,'Source'!$A:$A,"160150 MAX KONNARIS LTD",'Source'!$B:$B,$A172)</f>
        <v>0</v>
      </c>
      <c r="E172" s="8" t="n">
        <f aca="false">D172*$J$5</f>
        <v>0</v>
      </c>
      <c r="F172" s="8" t="n">
        <f aca="false">E172-C172</f>
        <v>-10</v>
      </c>
      <c r="G172" s="9" t="n">
        <f aca="false">IF(AND(C172=0,E172=0),0,IF(C172=0,"New",(E172-C172)/C172))</f>
        <v>-1</v>
      </c>
      <c r="H172" s="8" t="n">
        <f aca="false">SUMIFS('Source'!$E:$E,'Source'!$A:$A,"160150 MAX KONNARIS LTD",'Source'!$B:$B,$A172)</f>
        <v>120.75</v>
      </c>
      <c r="I172" s="8" t="n">
        <f aca="false">SUMIFS('Source'!$G:$G,'Source'!$A:$A,"160150 MAX KONNARIS LTD",'Source'!$B:$B,$A172)</f>
        <v>0</v>
      </c>
      <c r="J172" s="8" t="n">
        <f aca="false">I172*$J$5</f>
        <v>0</v>
      </c>
      <c r="K172" s="8" t="n">
        <f aca="false">J172-H172</f>
        <v>-120.75</v>
      </c>
      <c r="L172" s="9" t="n">
        <f aca="false">IF(AND(H172=0,J172=0),0,IF(H172=0,"New",(J172-H172)/H172))</f>
        <v>-1</v>
      </c>
      <c r="M172" s="7" t="str">
        <f aca="false">IF(AND(OR(C172&lt;&gt;0,H172&lt;&gt;0),D172=0,I172=0),"DROP",IF(AND(OR(D172&lt;&gt;0,I172&lt;&gt;0),C172=0,H172=0),"NEW",""))</f>
        <v>DROP</v>
      </c>
    </row>
    <row r="173" customFormat="false" ht="15" hidden="false" customHeight="false" outlineLevel="0" collapsed="false">
      <c r="A173" s="7" t="s">
        <v>696</v>
      </c>
      <c r="B173" s="7" t="str">
        <f aca="false">IFERROR(INDEX('Source'!$C:$C,MATCH($A173,'Source'!$B:$B,0)),"")</f>
        <v>אצבעון מפלסטיק  ליד</v>
      </c>
      <c r="C173" s="8" t="n">
        <f aca="false">SUMIFS('Source'!$D:$D,'Source'!$A:$A,"160150 MAX KONNARIS LTD",'Source'!$B:$B,$A173)</f>
        <v>12</v>
      </c>
      <c r="D173" s="8" t="n">
        <f aca="false">SUMIFS('Source'!$F:$F,'Source'!$A:$A,"160150 MAX KONNARIS LTD",'Source'!$B:$B,$A173)</f>
        <v>0</v>
      </c>
      <c r="E173" s="8" t="n">
        <f aca="false">D173*$J$5</f>
        <v>0</v>
      </c>
      <c r="F173" s="8" t="n">
        <f aca="false">E173-C173</f>
        <v>-12</v>
      </c>
      <c r="G173" s="9" t="n">
        <f aca="false">IF(AND(C173=0,E173=0),0,IF(C173=0,"New",(E173-C173)/C173))</f>
        <v>-1</v>
      </c>
      <c r="H173" s="8" t="n">
        <f aca="false">SUMIFS('Source'!$E:$E,'Source'!$A:$A,"160150 MAX KONNARIS LTD",'Source'!$B:$B,$A173)</f>
        <v>120.45</v>
      </c>
      <c r="I173" s="8" t="n">
        <f aca="false">SUMIFS('Source'!$G:$G,'Source'!$A:$A,"160150 MAX KONNARIS LTD",'Source'!$B:$B,$A173)</f>
        <v>0</v>
      </c>
      <c r="J173" s="8" t="n">
        <f aca="false">I173*$J$5</f>
        <v>0</v>
      </c>
      <c r="K173" s="8" t="n">
        <f aca="false">J173-H173</f>
        <v>-120.45</v>
      </c>
      <c r="L173" s="9" t="n">
        <f aca="false">IF(AND(H173=0,J173=0),0,IF(H173=0,"New",(J173-H173)/H173))</f>
        <v>-1</v>
      </c>
      <c r="M173" s="7" t="str">
        <f aca="false">IF(AND(OR(C173&lt;&gt;0,H173&lt;&gt;0),D173=0,I173=0),"DROP",IF(AND(OR(D173&lt;&gt;0,I173&lt;&gt;0),C173=0,H173=0),"NEW",""))</f>
        <v>DROP</v>
      </c>
    </row>
    <row r="174" customFormat="false" ht="15" hidden="false" customHeight="false" outlineLevel="0" collapsed="false">
      <c r="A174" s="7" t="s">
        <v>157</v>
      </c>
      <c r="B174" s="7" t="str">
        <f aca="false">IFERROR(INDEX('Source'!$C:$C,MATCH($A174,'Source'!$B:$B,0)),"")</f>
        <v>חבק יד SC25</v>
      </c>
      <c r="C174" s="8" t="n">
        <f aca="false">SUMIFS('Source'!$D:$D,'Source'!$A:$A,"160150 MAX KONNARIS LTD",'Source'!$B:$B,$A174)</f>
        <v>3</v>
      </c>
      <c r="D174" s="8" t="n">
        <f aca="false">SUMIFS('Source'!$F:$F,'Source'!$A:$A,"160150 MAX KONNARIS LTD",'Source'!$B:$B,$A174)</f>
        <v>0</v>
      </c>
      <c r="E174" s="8" t="n">
        <f aca="false">D174*$J$5</f>
        <v>0</v>
      </c>
      <c r="F174" s="8" t="n">
        <f aca="false">E174-C174</f>
        <v>-3</v>
      </c>
      <c r="G174" s="9" t="n">
        <f aca="false">IF(AND(C174=0,E174=0),0,IF(C174=0,"New",(E174-C174)/C174))</f>
        <v>-1</v>
      </c>
      <c r="H174" s="8" t="n">
        <f aca="false">SUMIFS('Source'!$E:$E,'Source'!$A:$A,"160150 MAX KONNARIS LTD",'Source'!$B:$B,$A174)</f>
        <v>119.1</v>
      </c>
      <c r="I174" s="8" t="n">
        <f aca="false">SUMIFS('Source'!$G:$G,'Source'!$A:$A,"160150 MAX KONNARIS LTD",'Source'!$B:$B,$A174)</f>
        <v>0</v>
      </c>
      <c r="J174" s="8" t="n">
        <f aca="false">I174*$J$5</f>
        <v>0</v>
      </c>
      <c r="K174" s="8" t="n">
        <f aca="false">J174-H174</f>
        <v>-119.1</v>
      </c>
      <c r="L174" s="9" t="n">
        <f aca="false">IF(AND(H174=0,J174=0),0,IF(H174=0,"New",(J174-H174)/H174))</f>
        <v>-1</v>
      </c>
      <c r="M174" s="7" t="str">
        <f aca="false">IF(AND(OR(C174&lt;&gt;0,H174&lt;&gt;0),D174=0,I174=0),"DROP",IF(AND(OR(D174&lt;&gt;0,I174&lt;&gt;0),C174=0,H174=0),"NEW",""))</f>
        <v>DROP</v>
      </c>
    </row>
    <row r="175" customFormat="false" ht="15" hidden="false" customHeight="false" outlineLevel="0" collapsed="false">
      <c r="A175" s="7" t="s">
        <v>216</v>
      </c>
      <c r="B175" s="7" t="str">
        <f aca="false">IFERROR(INDEX('Source'!$C:$C,MATCH($A175,'Source'!$B:$B,0)),"")</f>
        <v>שרוול לגבס קצר רגל</v>
      </c>
      <c r="C175" s="8" t="n">
        <f aca="false">SUMIFS('Source'!$D:$D,'Source'!$A:$A,"160150 MAX KONNARIS LTD",'Source'!$B:$B,$A175)</f>
        <v>10</v>
      </c>
      <c r="D175" s="8" t="n">
        <f aca="false">SUMIFS('Source'!$F:$F,'Source'!$A:$A,"160150 MAX KONNARIS LTD",'Source'!$B:$B,$A175)</f>
        <v>16</v>
      </c>
      <c r="E175" s="8" t="n">
        <f aca="false">D175*$J$5</f>
        <v>20.2105263157895</v>
      </c>
      <c r="F175" s="8" t="n">
        <f aca="false">E175-C175</f>
        <v>10.2105263157895</v>
      </c>
      <c r="G175" s="9" t="n">
        <f aca="false">IF(AND(C175=0,E175=0),0,IF(C175=0,"New",(E175-C175)/C175))</f>
        <v>1.02105263157895</v>
      </c>
      <c r="H175" s="8" t="n">
        <f aca="false">SUMIFS('Source'!$E:$E,'Source'!$A:$A,"160150 MAX KONNARIS LTD",'Source'!$B:$B,$A175)</f>
        <v>269.74</v>
      </c>
      <c r="I175" s="8" t="n">
        <f aca="false">SUMIFS('Source'!$G:$G,'Source'!$A:$A,"160150 MAX KONNARIS LTD",'Source'!$B:$B,$A175)</f>
        <v>388.8</v>
      </c>
      <c r="J175" s="8" t="n">
        <f aca="false">I175*$J$5</f>
        <v>491.115789473684</v>
      </c>
      <c r="K175" s="8" t="n">
        <f aca="false">J175-H175</f>
        <v>221.375789473684</v>
      </c>
      <c r="L175" s="9" t="n">
        <f aca="false">IF(AND(H175=0,J175=0),0,IF(H175=0,"New",(J175-H175)/H175))</f>
        <v>0.820700635699875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686</v>
      </c>
      <c r="B176" s="7" t="str">
        <f aca="false">IFERROR(INDEX('Source'!$C:$C,MATCH($A176,'Source'!$B:$B,0)),"")</f>
        <v>מגן מרפק שחור</v>
      </c>
      <c r="C176" s="8" t="n">
        <f aca="false">SUMIFS('Source'!$D:$D,'Source'!$A:$A,"160150 MAX KONNARIS LTD",'Source'!$B:$B,$A176)</f>
        <v>10</v>
      </c>
      <c r="D176" s="8" t="n">
        <f aca="false">SUMIFS('Source'!$F:$F,'Source'!$A:$A,"160150 MAX KONNARIS LTD",'Source'!$B:$B,$A176)</f>
        <v>0</v>
      </c>
      <c r="E176" s="8" t="n">
        <f aca="false">D176*$J$5</f>
        <v>0</v>
      </c>
      <c r="F176" s="8" t="n">
        <f aca="false">E176-C176</f>
        <v>-10</v>
      </c>
      <c r="G176" s="9" t="n">
        <f aca="false">IF(AND(C176=0,E176=0),0,IF(C176=0,"New",(E176-C176)/C176))</f>
        <v>-1</v>
      </c>
      <c r="H176" s="8" t="n">
        <f aca="false">SUMIFS('Source'!$E:$E,'Source'!$A:$A,"160150 MAX KONNARIS LTD",'Source'!$B:$B,$A176)</f>
        <v>117.78</v>
      </c>
      <c r="I176" s="8" t="n">
        <f aca="false">SUMIFS('Source'!$G:$G,'Source'!$A:$A,"160150 MAX KONNARIS LTD",'Source'!$B:$B,$A176)</f>
        <v>0</v>
      </c>
      <c r="J176" s="8" t="n">
        <f aca="false">I176*$J$5</f>
        <v>0</v>
      </c>
      <c r="K176" s="8" t="n">
        <f aca="false">J176-H176</f>
        <v>-117.78</v>
      </c>
      <c r="L176" s="9" t="n">
        <f aca="false">IF(AND(H176=0,J176=0),0,IF(H176=0,"New",(J176-H176)/H176))</f>
        <v>-1</v>
      </c>
      <c r="M176" s="7" t="str">
        <f aca="false">IF(AND(OR(C176&lt;&gt;0,H176&lt;&gt;0),D176=0,I176=0),"DROP",IF(AND(OR(D176&lt;&gt;0,I176&lt;&gt;0),C176=0,H176=0),"NEW",""))</f>
        <v>DROP</v>
      </c>
    </row>
    <row r="177" customFormat="false" ht="15" hidden="false" customHeight="false" outlineLevel="0" collapsed="false">
      <c r="A177" s="7" t="s">
        <v>704</v>
      </c>
      <c r="B177" s="7" t="str">
        <f aca="false">IFERROR(INDEX('Source'!$C:$C,MATCH($A177,'Source'!$B:$B,0)),"")</f>
        <v>מגן קרסול שחור</v>
      </c>
      <c r="C177" s="8" t="n">
        <f aca="false">SUMIFS('Source'!$D:$D,'Source'!$A:$A,"160150 MAX KONNARIS LTD",'Source'!$B:$B,$A177)</f>
        <v>10</v>
      </c>
      <c r="D177" s="8" t="n">
        <f aca="false">SUMIFS('Source'!$F:$F,'Source'!$A:$A,"160150 MAX KONNARIS LTD",'Source'!$B:$B,$A177)</f>
        <v>0</v>
      </c>
      <c r="E177" s="8" t="n">
        <f aca="false">D177*$J$5</f>
        <v>0</v>
      </c>
      <c r="F177" s="8" t="n">
        <f aca="false">E177-C177</f>
        <v>-10</v>
      </c>
      <c r="G177" s="9" t="n">
        <f aca="false">IF(AND(C177=0,E177=0),0,IF(C177=0,"New",(E177-C177)/C177))</f>
        <v>-1</v>
      </c>
      <c r="H177" s="8" t="n">
        <f aca="false">SUMIFS('Source'!$E:$E,'Source'!$A:$A,"160150 MAX KONNARIS LTD",'Source'!$B:$B,$A177)</f>
        <v>117.78</v>
      </c>
      <c r="I177" s="8" t="n">
        <f aca="false">SUMIFS('Source'!$G:$G,'Source'!$A:$A,"160150 MAX KONNARIS LTD",'Source'!$B:$B,$A177)</f>
        <v>0</v>
      </c>
      <c r="J177" s="8" t="n">
        <f aca="false">I177*$J$5</f>
        <v>0</v>
      </c>
      <c r="K177" s="8" t="n">
        <f aca="false">J177-H177</f>
        <v>-117.78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477</v>
      </c>
      <c r="B178" s="7" t="str">
        <f aca="false">IFERROR(INDEX('Source'!$C:$C,MATCH($A178,'Source'!$B:$B,0)),"")</f>
        <v>סד לאגודל</v>
      </c>
      <c r="C178" s="8" t="n">
        <f aca="false">SUMIFS('Source'!$D:$D,'Source'!$A:$A,"160150 MAX KONNARIS LTD",'Source'!$B:$B,$A178)</f>
        <v>3</v>
      </c>
      <c r="D178" s="8" t="n">
        <f aca="false">SUMIFS('Source'!$F:$F,'Source'!$A:$A,"160150 MAX KONNARIS LTD",'Source'!$B:$B,$A178)</f>
        <v>0</v>
      </c>
      <c r="E178" s="8" t="n">
        <f aca="false">D178*$J$5</f>
        <v>0</v>
      </c>
      <c r="F178" s="8" t="n">
        <f aca="false">E178-C178</f>
        <v>-3</v>
      </c>
      <c r="G178" s="9" t="n">
        <f aca="false">IF(AND(C178=0,E178=0),0,IF(C178=0,"New",(E178-C178)/C178))</f>
        <v>-1</v>
      </c>
      <c r="H178" s="8" t="n">
        <f aca="false">SUMIFS('Source'!$E:$E,'Source'!$A:$A,"160150 MAX KONNARIS LTD",'Source'!$B:$B,$A178)</f>
        <v>117.4</v>
      </c>
      <c r="I178" s="8" t="n">
        <f aca="false">SUMIFS('Source'!$G:$G,'Source'!$A:$A,"160150 MAX KONNARIS LTD",'Source'!$B:$B,$A178)</f>
        <v>0</v>
      </c>
      <c r="J178" s="8" t="n">
        <f aca="false">I178*$J$5</f>
        <v>0</v>
      </c>
      <c r="K178" s="8" t="n">
        <f aca="false">J178-H178</f>
        <v>-117.4</v>
      </c>
      <c r="L178" s="9" t="n">
        <f aca="false">IF(AND(H178=0,J178=0),0,IF(H178=0,"New",(J178-H178)/H178))</f>
        <v>-1</v>
      </c>
      <c r="M178" s="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false" outlineLevel="0" collapsed="false">
      <c r="A179" s="7" t="s">
        <v>455</v>
      </c>
      <c r="B179" s="7" t="str">
        <f aca="false">IFERROR(INDEX('Source'!$C:$C,MATCH($A179,'Source'!$B:$B,0)),"")</f>
        <v>מגן ברך ארוך בז'</v>
      </c>
      <c r="C179" s="8" t="n">
        <f aca="false">SUMIFS('Source'!$D:$D,'Source'!$A:$A,"160150 MAX KONNARIS LTD",'Source'!$B:$B,$A179)</f>
        <v>9</v>
      </c>
      <c r="D179" s="8" t="n">
        <f aca="false">SUMIFS('Source'!$F:$F,'Source'!$A:$A,"160150 MAX KONNARIS LTD",'Source'!$B:$B,$A179)</f>
        <v>0</v>
      </c>
      <c r="E179" s="8" t="n">
        <f aca="false">D179*$J$5</f>
        <v>0</v>
      </c>
      <c r="F179" s="8" t="n">
        <f aca="false">E179-C179</f>
        <v>-9</v>
      </c>
      <c r="G179" s="9" t="n">
        <f aca="false">IF(AND(C179=0,E179=0),0,IF(C179=0,"New",(E179-C179)/C179))</f>
        <v>-1</v>
      </c>
      <c r="H179" s="8" t="n">
        <f aca="false">SUMIFS('Source'!$E:$E,'Source'!$A:$A,"160150 MAX KONNARIS LTD",'Source'!$B:$B,$A179)</f>
        <v>114.86</v>
      </c>
      <c r="I179" s="8" t="n">
        <f aca="false">SUMIFS('Source'!$G:$G,'Source'!$A:$A,"160150 MAX KONNARIS LTD",'Source'!$B:$B,$A179)</f>
        <v>0</v>
      </c>
      <c r="J179" s="8" t="n">
        <f aca="false">I179*$J$5</f>
        <v>0</v>
      </c>
      <c r="K179" s="8" t="n">
        <f aca="false">J179-H179</f>
        <v>-114.86</v>
      </c>
      <c r="L179" s="9" t="n">
        <f aca="false">IF(AND(H179=0,J179=0),0,IF(H179=0,"New",(J179-H179)/H179))</f>
        <v>-1</v>
      </c>
      <c r="M179" s="7" t="str">
        <f aca="false">IF(AND(OR(C179&lt;&gt;0,H179&lt;&gt;0),D179=0,I179=0),"DROP",IF(AND(OR(D179&lt;&gt;0,I179&lt;&gt;0),C179=0,H179=0),"NEW",""))</f>
        <v>DROP</v>
      </c>
    </row>
    <row r="180" customFormat="false" ht="15" hidden="false" customHeight="false" outlineLevel="0" collapsed="false">
      <c r="A180" s="7" t="s">
        <v>343</v>
      </c>
      <c r="B180" s="7" t="str">
        <f aca="false">IFERROR(INDEX('Source'!$C:$C,MATCH($A180,'Source'!$B:$B,0)),"")</f>
        <v>מגן קרסול שחור</v>
      </c>
      <c r="C180" s="8" t="n">
        <f aca="false">SUMIFS('Source'!$D:$D,'Source'!$A:$A,"160150 MAX KONNARIS LTD",'Source'!$B:$B,$A180)</f>
        <v>0</v>
      </c>
      <c r="D180" s="8" t="n">
        <f aca="false">SUMIFS('Source'!$F:$F,'Source'!$A:$A,"160150 MAX KONNARIS LTD",'Source'!$B:$B,$A180)</f>
        <v>10</v>
      </c>
      <c r="E180" s="8" t="n">
        <f aca="false">D180*$J$5</f>
        <v>12.6315789473684</v>
      </c>
      <c r="F180" s="8" t="n">
        <f aca="false">E180-C180</f>
        <v>12.6315789473684</v>
      </c>
      <c r="G180" s="9" t="str">
        <f aca="false">IF(AND(C180=0,E180=0),0,IF(C180=0,"New",(E180-C180)/C180))</f>
        <v>New</v>
      </c>
      <c r="H180" s="8" t="n">
        <f aca="false">SUMIFS('Source'!$E:$E,'Source'!$A:$A,"160150 MAX KONNARIS LTD",'Source'!$B:$B,$A180)</f>
        <v>0</v>
      </c>
      <c r="I180" s="8" t="n">
        <f aca="false">SUMIFS('Source'!$G:$G,'Source'!$A:$A,"160150 MAX KONNARIS LTD",'Source'!$B:$B,$A180)</f>
        <v>113.9</v>
      </c>
      <c r="J180" s="8" t="n">
        <f aca="false">I180*$J$5</f>
        <v>143.873684210526</v>
      </c>
      <c r="K180" s="8" t="n">
        <f aca="false">J180-H180</f>
        <v>143.873684210526</v>
      </c>
      <c r="L180" s="9" t="str">
        <f aca="false">IF(AND(H180=0,J180=0),0,IF(H180=0,"New",(J180-H180)/H180))</f>
        <v>New</v>
      </c>
      <c r="M180" s="7" t="str">
        <f aca="false">IF(AND(OR(C180&lt;&gt;0,H180&lt;&gt;0),D180=0,I180=0),"DROP",IF(AND(OR(D180&lt;&gt;0,I180&lt;&gt;0),C180=0,H180=0),"NEW",""))</f>
        <v>NEW</v>
      </c>
    </row>
    <row r="181" customFormat="false" ht="15" hidden="false" customHeight="false" outlineLevel="0" collapsed="false">
      <c r="A181" s="7" t="s">
        <v>644</v>
      </c>
      <c r="B181" s="7" t="str">
        <f aca="false">IFERROR(INDEX('Source'!$C:$C,MATCH($A181,'Source'!$B:$B,0)),"")</f>
        <v>סד לאגודל</v>
      </c>
      <c r="C181" s="8" t="n">
        <f aca="false">SUMIFS('Source'!$D:$D,'Source'!$A:$A,"160150 MAX KONNARIS LTD",'Source'!$B:$B,$A181)</f>
        <v>0</v>
      </c>
      <c r="D181" s="8" t="n">
        <f aca="false">SUMIFS('Source'!$F:$F,'Source'!$A:$A,"160150 MAX KONNARIS LTD",'Source'!$B:$B,$A181)</f>
        <v>3</v>
      </c>
      <c r="E181" s="8" t="n">
        <f aca="false">D181*$J$5</f>
        <v>3.78947368421053</v>
      </c>
      <c r="F181" s="8" t="n">
        <f aca="false">E181-C181</f>
        <v>3.78947368421053</v>
      </c>
      <c r="G181" s="9" t="str">
        <f aca="false">IF(AND(C181=0,E181=0),0,IF(C181=0,"New",(E181-C181)/C181))</f>
        <v>New</v>
      </c>
      <c r="H181" s="8" t="n">
        <f aca="false">SUMIFS('Source'!$E:$E,'Source'!$A:$A,"160150 MAX KONNARIS LTD",'Source'!$B:$B,$A181)</f>
        <v>0</v>
      </c>
      <c r="I181" s="8" t="n">
        <f aca="false">SUMIFS('Source'!$G:$G,'Source'!$A:$A,"160150 MAX KONNARIS LTD",'Source'!$B:$B,$A181)</f>
        <v>113.53</v>
      </c>
      <c r="J181" s="8" t="n">
        <f aca="false">I181*$J$5</f>
        <v>143.406315789474</v>
      </c>
      <c r="K181" s="8" t="n">
        <f aca="false">J181-H181</f>
        <v>143.406315789474</v>
      </c>
      <c r="L181" s="9" t="str">
        <f aca="false">IF(AND(H181=0,J181=0),0,IF(H181=0,"New",(J181-H181)/H181))</f>
        <v>New</v>
      </c>
      <c r="M181" s="7" t="str">
        <f aca="false">IF(AND(OR(C181&lt;&gt;0,H181&lt;&gt;0),D181=0,I181=0),"DROP",IF(AND(OR(D181&lt;&gt;0,I181&lt;&gt;0),C181=0,H181=0),"NEW",""))</f>
        <v>NEW</v>
      </c>
    </row>
    <row r="182" customFormat="false" ht="15" hidden="false" customHeight="false" outlineLevel="0" collapsed="false">
      <c r="A182" s="7" t="s">
        <v>522</v>
      </c>
      <c r="B182" s="7" t="str">
        <f aca="false">IFERROR(INDEX('Source'!$C:$C,MATCH($A182,'Source'!$B:$B,0)),"")</f>
        <v>מגן קרסול פתוח</v>
      </c>
      <c r="C182" s="8" t="n">
        <f aca="false">SUMIFS('Source'!$D:$D,'Source'!$A:$A,"160150 MAX KONNARIS LTD",'Source'!$B:$B,$A182)</f>
        <v>10</v>
      </c>
      <c r="D182" s="8" t="n">
        <f aca="false">SUMIFS('Source'!$F:$F,'Source'!$A:$A,"160150 MAX KONNARIS LTD",'Source'!$B:$B,$A182)</f>
        <v>0</v>
      </c>
      <c r="E182" s="8" t="n">
        <f aca="false">D182*$J$5</f>
        <v>0</v>
      </c>
      <c r="F182" s="8" t="n">
        <f aca="false">E182-C182</f>
        <v>-10</v>
      </c>
      <c r="G182" s="9" t="n">
        <f aca="false">IF(AND(C182=0,E182=0),0,IF(C182=0,"New",(E182-C182)/C182))</f>
        <v>-1</v>
      </c>
      <c r="H182" s="8" t="n">
        <f aca="false">SUMIFS('Source'!$E:$E,'Source'!$A:$A,"160150 MAX KONNARIS LTD",'Source'!$B:$B,$A182)</f>
        <v>112.96</v>
      </c>
      <c r="I182" s="8" t="n">
        <f aca="false">SUMIFS('Source'!$G:$G,'Source'!$A:$A,"160150 MAX KONNARIS LTD",'Source'!$B:$B,$A182)</f>
        <v>0</v>
      </c>
      <c r="J182" s="8" t="n">
        <f aca="false">I182*$J$5</f>
        <v>0</v>
      </c>
      <c r="K182" s="8" t="n">
        <f aca="false">J182-H182</f>
        <v>-112.96</v>
      </c>
      <c r="L182" s="9" t="n">
        <f aca="false">IF(AND(H182=0,J182=0),0,IF(H182=0,"New",(J182-H182)/H182))</f>
        <v>-1</v>
      </c>
      <c r="M182" s="7" t="str">
        <f aca="false">IF(AND(OR(C182&lt;&gt;0,H182&lt;&gt;0),D182=0,I182=0),"DROP",IF(AND(OR(D182&lt;&gt;0,I182&lt;&gt;0),C182=0,H182=0),"NEW",""))</f>
        <v>DROP</v>
      </c>
    </row>
    <row r="183" customFormat="false" ht="15" hidden="false" customHeight="false" outlineLevel="0" collapsed="false">
      <c r="A183" s="7" t="s">
        <v>563</v>
      </c>
      <c r="B183" s="7" t="str">
        <f aca="false">IFERROR(INDEX('Source'!$C:$C,MATCH($A183,'Source'!$B:$B,0)),"")</f>
        <v>מגן קרסול פתוח</v>
      </c>
      <c r="C183" s="8" t="n">
        <f aca="false">SUMIFS('Source'!$D:$D,'Source'!$A:$A,"160150 MAX KONNARIS LTD",'Source'!$B:$B,$A183)</f>
        <v>10</v>
      </c>
      <c r="D183" s="8" t="n">
        <f aca="false">SUMIFS('Source'!$F:$F,'Source'!$A:$A,"160150 MAX KONNARIS LTD",'Source'!$B:$B,$A183)</f>
        <v>0</v>
      </c>
      <c r="E183" s="8" t="n">
        <f aca="false">D183*$J$5</f>
        <v>0</v>
      </c>
      <c r="F183" s="8" t="n">
        <f aca="false">E183-C183</f>
        <v>-10</v>
      </c>
      <c r="G183" s="9" t="n">
        <f aca="false">IF(AND(C183=0,E183=0),0,IF(C183=0,"New",(E183-C183)/C183))</f>
        <v>-1</v>
      </c>
      <c r="H183" s="8" t="n">
        <f aca="false">SUMIFS('Source'!$E:$E,'Source'!$A:$A,"160150 MAX KONNARIS LTD",'Source'!$B:$B,$A183)</f>
        <v>112.96</v>
      </c>
      <c r="I183" s="8" t="n">
        <f aca="false">SUMIFS('Source'!$G:$G,'Source'!$A:$A,"160150 MAX KONNARIS LTD",'Source'!$B:$B,$A183)</f>
        <v>0</v>
      </c>
      <c r="J183" s="8" t="n">
        <f aca="false">I183*$J$5</f>
        <v>0</v>
      </c>
      <c r="K183" s="8" t="n">
        <f aca="false">J183-H183</f>
        <v>-112.96</v>
      </c>
      <c r="L183" s="9" t="n">
        <f aca="false">IF(AND(H183=0,J183=0),0,IF(H183=0,"New",(J183-H183)/H183))</f>
        <v>-1</v>
      </c>
      <c r="M183" s="7" t="str">
        <f aca="false">IF(AND(OR(C183&lt;&gt;0,H183&lt;&gt;0),D183=0,I183=0),"DROP",IF(AND(OR(D183&lt;&gt;0,I183&lt;&gt;0),C183=0,H183=0),"NEW",""))</f>
        <v>DROP</v>
      </c>
    </row>
    <row r="184" customFormat="false" ht="15" hidden="false" customHeight="false" outlineLevel="0" collapsed="false">
      <c r="A184" s="7" t="s">
        <v>162</v>
      </c>
      <c r="B184" s="7" t="str">
        <f aca="false">IFERROR(INDEX('Source'!$C:$C,MATCH($A184,'Source'!$B:$B,0)),"")</f>
        <v>מדרס מתכוונן</v>
      </c>
      <c r="C184" s="8" t="n">
        <f aca="false">SUMIFS('Source'!$D:$D,'Source'!$A:$A,"160150 MAX KONNARIS LTD",'Source'!$B:$B,$A184)</f>
        <v>22</v>
      </c>
      <c r="D184" s="8" t="n">
        <f aca="false">SUMIFS('Source'!$F:$F,'Source'!$A:$A,"160150 MAX KONNARIS LTD",'Source'!$B:$B,$A184)</f>
        <v>20</v>
      </c>
      <c r="E184" s="8" t="n">
        <f aca="false">D184*$J$5</f>
        <v>25.2631578947368</v>
      </c>
      <c r="F184" s="8" t="n">
        <f aca="false">E184-C184</f>
        <v>3.26315789473684</v>
      </c>
      <c r="G184" s="9" t="n">
        <f aca="false">IF(AND(C184=0,E184=0),0,IF(C184=0,"New",(E184-C184)/C184))</f>
        <v>0.148325358851675</v>
      </c>
      <c r="H184" s="8" t="n">
        <f aca="false">SUMIFS('Source'!$E:$E,'Source'!$A:$A,"160150 MAX KONNARIS LTD",'Source'!$B:$B,$A184)</f>
        <v>836.96</v>
      </c>
      <c r="I184" s="8" t="n">
        <f aca="false">SUMIFS('Source'!$G:$G,'Source'!$A:$A,"160150 MAX KONNARIS LTD",'Source'!$B:$B,$A184)</f>
        <v>727.49</v>
      </c>
      <c r="J184" s="8" t="n">
        <f aca="false">I184*$J$5</f>
        <v>918.934736842105</v>
      </c>
      <c r="K184" s="8" t="n">
        <f aca="false">J184-H184</f>
        <v>81.9747368421051</v>
      </c>
      <c r="L184" s="9" t="n">
        <f aca="false">IF(AND(H184=0,J184=0),0,IF(H184=0,"New",(J184-H184)/H184))</f>
        <v>0.0979434343840866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605</v>
      </c>
      <c r="B185" s="7" t="str">
        <f aca="false">IFERROR(INDEX('Source'!$C:$C,MATCH($A185,'Source'!$B:$B,0)),"")</f>
        <v>מגן קרסול חום</v>
      </c>
      <c r="C185" s="8" t="n">
        <f aca="false">SUMIFS('Source'!$D:$D,'Source'!$A:$A,"160150 MAX KONNARIS LTD",'Source'!$B:$B,$A185)</f>
        <v>0</v>
      </c>
      <c r="D185" s="8" t="n">
        <f aca="false">SUMIFS('Source'!$F:$F,'Source'!$A:$A,"160150 MAX KONNARIS LTD",'Source'!$B:$B,$A185)</f>
        <v>10</v>
      </c>
      <c r="E185" s="8" t="n">
        <f aca="false">D185*$J$5</f>
        <v>12.6315789473684</v>
      </c>
      <c r="F185" s="8" t="n">
        <f aca="false">E185-C185</f>
        <v>12.6315789473684</v>
      </c>
      <c r="G185" s="9" t="str">
        <f aca="false">IF(AND(C185=0,E185=0),0,IF(C185=0,"New",(E185-C185)/C185))</f>
        <v>New</v>
      </c>
      <c r="H185" s="8" t="n">
        <f aca="false">SUMIFS('Source'!$E:$E,'Source'!$A:$A,"160150 MAX KONNARIS LTD",'Source'!$B:$B,$A185)</f>
        <v>0</v>
      </c>
      <c r="I185" s="8" t="n">
        <f aca="false">SUMIFS('Source'!$G:$G,'Source'!$A:$A,"160150 MAX KONNARIS LTD",'Source'!$B:$B,$A185)</f>
        <v>108.39</v>
      </c>
      <c r="J185" s="8" t="n">
        <f aca="false">I185*$J$5</f>
        <v>136.913684210526</v>
      </c>
      <c r="K185" s="8" t="n">
        <f aca="false">J185-H185</f>
        <v>136.913684210526</v>
      </c>
      <c r="L185" s="9" t="str">
        <f aca="false">IF(AND(H185=0,J185=0),0,IF(H185=0,"New",(J185-H185)/H185))</f>
        <v>New</v>
      </c>
      <c r="M185" s="7" t="str">
        <f aca="false">IF(AND(OR(C185&lt;&gt;0,H185&lt;&gt;0),D185=0,I185=0),"DROP",IF(AND(OR(D185&lt;&gt;0,I185&lt;&gt;0),C185=0,H185=0),"NEW",""))</f>
        <v>NEW</v>
      </c>
    </row>
    <row r="186" customFormat="false" ht="15" hidden="false" customHeight="false" outlineLevel="0" collapsed="false">
      <c r="A186" s="7" t="s">
        <v>654</v>
      </c>
      <c r="B186" s="7" t="str">
        <f aca="false">IFERROR(INDEX('Source'!$C:$C,MATCH($A186,'Source'!$B:$B,0)),"")</f>
        <v>מגן יד</v>
      </c>
      <c r="C186" s="8" t="n">
        <f aca="false">SUMIFS('Source'!$D:$D,'Source'!$A:$A,"160150 MAX KONNARIS LTD",'Source'!$B:$B,$A186)</f>
        <v>6</v>
      </c>
      <c r="D186" s="8" t="n">
        <f aca="false">SUMIFS('Source'!$F:$F,'Source'!$A:$A,"160150 MAX KONNARIS LTD",'Source'!$B:$B,$A186)</f>
        <v>0</v>
      </c>
      <c r="E186" s="8" t="n">
        <f aca="false">D186*$J$5</f>
        <v>0</v>
      </c>
      <c r="F186" s="8" t="n">
        <f aca="false">E186-C186</f>
        <v>-6</v>
      </c>
      <c r="G186" s="9" t="n">
        <f aca="false">IF(AND(C186=0,E186=0),0,IF(C186=0,"New",(E186-C186)/C186))</f>
        <v>-1</v>
      </c>
      <c r="H186" s="8" t="n">
        <f aca="false">SUMIFS('Source'!$E:$E,'Source'!$A:$A,"160150 MAX KONNARIS LTD",'Source'!$B:$B,$A186)</f>
        <v>107.51</v>
      </c>
      <c r="I186" s="8" t="n">
        <f aca="false">SUMIFS('Source'!$G:$G,'Source'!$A:$A,"160150 MAX KONNARIS LTD",'Source'!$B:$B,$A186)</f>
        <v>0</v>
      </c>
      <c r="J186" s="8" t="n">
        <f aca="false">I186*$J$5</f>
        <v>0</v>
      </c>
      <c r="K186" s="8" t="n">
        <f aca="false">J186-H186</f>
        <v>-107.51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428</v>
      </c>
      <c r="B187" s="7" t="str">
        <f aca="false">IFERROR(INDEX('Source'!$C:$C,MATCH($A187,'Source'!$B:$B,0)),"")</f>
        <v>חגורה אוורירית איטלקית</v>
      </c>
      <c r="C187" s="8" t="n">
        <f aca="false">SUMIFS('Source'!$D:$D,'Source'!$A:$A,"160150 MAX KONNARIS LTD",'Source'!$B:$B,$A187)</f>
        <v>2</v>
      </c>
      <c r="D187" s="8" t="n">
        <f aca="false">SUMIFS('Source'!$F:$F,'Source'!$A:$A,"160150 MAX KONNARIS LTD",'Source'!$B:$B,$A187)</f>
        <v>3</v>
      </c>
      <c r="E187" s="8" t="n">
        <f aca="false">D187*$J$5</f>
        <v>3.78947368421053</v>
      </c>
      <c r="F187" s="8" t="n">
        <f aca="false">E187-C187</f>
        <v>1.78947368421053</v>
      </c>
      <c r="G187" s="9" t="n">
        <f aca="false">IF(AND(C187=0,E187=0),0,IF(C187=0,"New",(E187-C187)/C187))</f>
        <v>0.894736842105263</v>
      </c>
      <c r="H187" s="8" t="n">
        <f aca="false">SUMIFS('Source'!$E:$E,'Source'!$A:$A,"160150 MAX KONNARIS LTD",'Source'!$B:$B,$A187)</f>
        <v>258.64</v>
      </c>
      <c r="I187" s="8" t="n">
        <f aca="false">SUMIFS('Source'!$G:$G,'Source'!$A:$A,"160150 MAX KONNARIS LTD",'Source'!$B:$B,$A187)</f>
        <v>365.95</v>
      </c>
      <c r="J187" s="8" t="n">
        <f aca="false">I187*$J$5</f>
        <v>462.252631578947</v>
      </c>
      <c r="K187" s="8" t="n">
        <f aca="false">J187-H187</f>
        <v>203.612631578947</v>
      </c>
      <c r="L187" s="9" t="n">
        <f aca="false">IF(AND(H187=0,J187=0),0,IF(H187=0,"New",(J187-H187)/H187))</f>
        <v>0.787243394598466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556</v>
      </c>
      <c r="B188" s="7" t="str">
        <f aca="false">IFERROR(INDEX('Source'!$C:$C,MATCH($A188,'Source'!$B:$B,0)),"")</f>
        <v>מגן ברך רגיל</v>
      </c>
      <c r="C188" s="8" t="n">
        <f aca="false">SUMIFS('Source'!$D:$D,'Source'!$A:$A,"160150 MAX KONNARIS LTD",'Source'!$B:$B,$A188)</f>
        <v>9</v>
      </c>
      <c r="D188" s="8" t="n">
        <f aca="false">SUMIFS('Source'!$F:$F,'Source'!$A:$A,"160150 MAX KONNARIS LTD",'Source'!$B:$B,$A188)</f>
        <v>0</v>
      </c>
      <c r="E188" s="8" t="n">
        <f aca="false">D188*$J$5</f>
        <v>0</v>
      </c>
      <c r="F188" s="8" t="n">
        <f aca="false">E188-C188</f>
        <v>-9</v>
      </c>
      <c r="G188" s="9" t="n">
        <f aca="false">IF(AND(C188=0,E188=0),0,IF(C188=0,"New",(E188-C188)/C188))</f>
        <v>-1</v>
      </c>
      <c r="H188" s="8" t="n">
        <f aca="false">SUMIFS('Source'!$E:$E,'Source'!$A:$A,"160150 MAX KONNARIS LTD",'Source'!$B:$B,$A188)</f>
        <v>105.96</v>
      </c>
      <c r="I188" s="8" t="n">
        <f aca="false">SUMIFS('Source'!$G:$G,'Source'!$A:$A,"160150 MAX KONNARIS LTD",'Source'!$B:$B,$A188)</f>
        <v>0</v>
      </c>
      <c r="J188" s="8" t="n">
        <f aca="false">I188*$J$5</f>
        <v>0</v>
      </c>
      <c r="K188" s="8" t="n">
        <f aca="false">J188-H188</f>
        <v>-105.96</v>
      </c>
      <c r="L188" s="9" t="n">
        <f aca="false">IF(AND(H188=0,J188=0),0,IF(H188=0,"New",(J188-H188)/H188))</f>
        <v>-1</v>
      </c>
      <c r="M188" s="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false" outlineLevel="0" collapsed="false">
      <c r="A189" s="7" t="s">
        <v>665</v>
      </c>
      <c r="B189" s="7" t="str">
        <f aca="false">IFERROR(INDEX('Source'!$C:$C,MATCH($A189,'Source'!$B:$B,0)),"")</f>
        <v>ICE &amp; GO</v>
      </c>
      <c r="C189" s="8" t="n">
        <f aca="false">SUMIFS('Source'!$D:$D,'Source'!$A:$A,"160150 MAX KONNARIS LTD",'Source'!$B:$B,$A189)</f>
        <v>0</v>
      </c>
      <c r="D189" s="8" t="n">
        <f aca="false">SUMIFS('Source'!$F:$F,'Source'!$A:$A,"160150 MAX KONNARIS LTD",'Source'!$B:$B,$A189)</f>
        <v>10</v>
      </c>
      <c r="E189" s="8" t="n">
        <f aca="false">D189*$J$5</f>
        <v>12.6315789473684</v>
      </c>
      <c r="F189" s="8" t="n">
        <f aca="false">E189-C189</f>
        <v>12.6315789473684</v>
      </c>
      <c r="G189" s="9" t="str">
        <f aca="false">IF(AND(C189=0,E189=0),0,IF(C189=0,"New",(E189-C189)/C189))</f>
        <v>New</v>
      </c>
      <c r="H189" s="8" t="n">
        <f aca="false">SUMIFS('Source'!$E:$E,'Source'!$A:$A,"160150 MAX KONNARIS LTD",'Source'!$B:$B,$A189)</f>
        <v>0</v>
      </c>
      <c r="I189" s="8" t="n">
        <f aca="false">SUMIFS('Source'!$G:$G,'Source'!$A:$A,"160150 MAX KONNARIS LTD",'Source'!$B:$B,$A189)</f>
        <v>102.88</v>
      </c>
      <c r="J189" s="8" t="n">
        <f aca="false">I189*$J$5</f>
        <v>129.953684210526</v>
      </c>
      <c r="K189" s="8" t="n">
        <f aca="false">J189-H189</f>
        <v>129.953684210526</v>
      </c>
      <c r="L189" s="9" t="str">
        <f aca="false">IF(AND(H189=0,J189=0),0,IF(H189=0,"New",(J189-H189)/H189))</f>
        <v>New</v>
      </c>
      <c r="M189" s="7" t="str">
        <f aca="false">IF(AND(OR(C189&lt;&gt;0,H189&lt;&gt;0),D189=0,I189=0),"DROP",IF(AND(OR(D189&lt;&gt;0,I189&lt;&gt;0),C189=0,H189=0),"NEW",""))</f>
        <v>NEW</v>
      </c>
    </row>
    <row r="190" customFormat="false" ht="15" hidden="false" customHeight="false" outlineLevel="0" collapsed="false">
      <c r="A190" s="7" t="s">
        <v>977</v>
      </c>
      <c r="B190" s="7" t="str">
        <f aca="false">IFERROR(INDEX('Source'!$C:$C,MATCH($A190,'Source'!$B:$B,0)),"")</f>
        <v>חבק יד מתכוון</v>
      </c>
      <c r="C190" s="8" t="n">
        <f aca="false">SUMIFS('Source'!$D:$D,'Source'!$A:$A,"160150 MAX KONNARIS LTD",'Source'!$B:$B,$A190)</f>
        <v>6</v>
      </c>
      <c r="D190" s="8" t="n">
        <f aca="false">SUMIFS('Source'!$F:$F,'Source'!$A:$A,"160150 MAX KONNARIS LTD",'Source'!$B:$B,$A190)</f>
        <v>0</v>
      </c>
      <c r="E190" s="8" t="n">
        <f aca="false">D190*$J$5</f>
        <v>0</v>
      </c>
      <c r="F190" s="8" t="n">
        <f aca="false">E190-C190</f>
        <v>-6</v>
      </c>
      <c r="G190" s="9" t="n">
        <f aca="false">IF(AND(C190=0,E190=0),0,IF(C190=0,"New",(E190-C190)/C190))</f>
        <v>-1</v>
      </c>
      <c r="H190" s="8" t="n">
        <f aca="false">SUMIFS('Source'!$E:$E,'Source'!$A:$A,"160150 MAX KONNARIS LTD",'Source'!$B:$B,$A190)</f>
        <v>102.83</v>
      </c>
      <c r="I190" s="8" t="n">
        <f aca="false">SUMIFS('Source'!$G:$G,'Source'!$A:$A,"160150 MAX KONNARIS LTD",'Source'!$B:$B,$A190)</f>
        <v>0</v>
      </c>
      <c r="J190" s="8" t="n">
        <f aca="false">I190*$J$5</f>
        <v>0</v>
      </c>
      <c r="K190" s="8" t="n">
        <f aca="false">J190-H190</f>
        <v>-102.83</v>
      </c>
      <c r="L190" s="9" t="n">
        <f aca="false">IF(AND(H190=0,J190=0),0,IF(H190=0,"New",(J190-H190)/H190))</f>
        <v>-1</v>
      </c>
      <c r="M190" s="7" t="str">
        <f aca="false">IF(AND(OR(C190&lt;&gt;0,H190&lt;&gt;0),D190=0,I190=0),"DROP",IF(AND(OR(D190&lt;&gt;0,I190&lt;&gt;0),C190=0,H190=0),"NEW",""))</f>
        <v>DROP</v>
      </c>
    </row>
    <row r="191" customFormat="false" ht="15" hidden="false" customHeight="false" outlineLevel="0" collapsed="false">
      <c r="A191" s="7" t="s">
        <v>795</v>
      </c>
      <c r="B191" s="7" t="str">
        <f aca="false">IFERROR(INDEX('Source'!$C:$C,MATCH($A191,'Source'!$B:$B,0)),"")</f>
        <v>מגן יד</v>
      </c>
      <c r="C191" s="8" t="n">
        <f aca="false">SUMIFS('Source'!$D:$D,'Source'!$A:$A,"160150 MAX KONNARIS LTD",'Source'!$B:$B,$A191)</f>
        <v>12</v>
      </c>
      <c r="D191" s="8" t="n">
        <f aca="false">SUMIFS('Source'!$F:$F,'Source'!$A:$A,"160150 MAX KONNARIS LTD",'Source'!$B:$B,$A191)</f>
        <v>20</v>
      </c>
      <c r="E191" s="8" t="n">
        <f aca="false">D191*$J$5</f>
        <v>25.2631578947368</v>
      </c>
      <c r="F191" s="8" t="n">
        <f aca="false">E191-C191</f>
        <v>13.2631578947368</v>
      </c>
      <c r="G191" s="9" t="n">
        <f aca="false">IF(AND(C191=0,E191=0),0,IF(C191=0,"New",(E191-C191)/C191))</f>
        <v>1.10526315789474</v>
      </c>
      <c r="H191" s="8" t="n">
        <f aca="false">SUMIFS('Source'!$E:$E,'Source'!$A:$A,"160150 MAX KONNARIS LTD",'Source'!$B:$B,$A191)</f>
        <v>222.94</v>
      </c>
      <c r="I191" s="8" t="n">
        <f aca="false">SUMIFS('Source'!$G:$G,'Source'!$A:$A,"160150 MAX KONNARIS LTD",'Source'!$B:$B,$A191)</f>
        <v>321.82</v>
      </c>
      <c r="J191" s="8" t="n">
        <f aca="false">I191*$J$5</f>
        <v>406.509473684211</v>
      </c>
      <c r="K191" s="8" t="n">
        <f aca="false">J191-H191</f>
        <v>183.569473684211</v>
      </c>
      <c r="L191" s="9" t="n">
        <f aca="false">IF(AND(H191=0,J191=0),0,IF(H191=0,"New",(J191-H191)/H191))</f>
        <v>0.823403039760521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643</v>
      </c>
      <c r="B192" s="7" t="str">
        <f aca="false">IFERROR(INDEX('Source'!$C:$C,MATCH($A192,'Source'!$B:$B,0)),"")</f>
        <v>כרית סיליקון לעקב</v>
      </c>
      <c r="C192" s="8" t="n">
        <f aca="false">SUMIFS('Source'!$D:$D,'Source'!$A:$A,"160150 MAX KONNARIS LTD",'Source'!$B:$B,$A192)</f>
        <v>3</v>
      </c>
      <c r="D192" s="8" t="n">
        <f aca="false">SUMIFS('Source'!$F:$F,'Source'!$A:$A,"160150 MAX KONNARIS LTD",'Source'!$B:$B,$A192)</f>
        <v>0</v>
      </c>
      <c r="E192" s="8" t="n">
        <f aca="false">D192*$J$5</f>
        <v>0</v>
      </c>
      <c r="F192" s="8" t="n">
        <f aca="false">E192-C192</f>
        <v>-3</v>
      </c>
      <c r="G192" s="9" t="n">
        <f aca="false">IF(AND(C192=0,E192=0),0,IF(C192=0,"New",(E192-C192)/C192))</f>
        <v>-1</v>
      </c>
      <c r="H192" s="8" t="n">
        <f aca="false">SUMIFS('Source'!$E:$E,'Source'!$A:$A,"160150 MAX KONNARIS LTD",'Source'!$B:$B,$A192)</f>
        <v>98.49</v>
      </c>
      <c r="I192" s="8" t="n">
        <f aca="false">SUMIFS('Source'!$G:$G,'Source'!$A:$A,"160150 MAX KONNARIS LTD",'Source'!$B:$B,$A192)</f>
        <v>0</v>
      </c>
      <c r="J192" s="8" t="n">
        <f aca="false">I192*$J$5</f>
        <v>0</v>
      </c>
      <c r="K192" s="8" t="n">
        <f aca="false">J192-H192</f>
        <v>-98.49</v>
      </c>
      <c r="L192" s="9" t="n">
        <f aca="false">IF(AND(H192=0,J192=0),0,IF(H192=0,"New",(J192-H192)/H192))</f>
        <v>-1</v>
      </c>
      <c r="M192" s="7" t="str">
        <f aca="false">IF(AND(OR(C192&lt;&gt;0,H192&lt;&gt;0),D192=0,I192=0),"DROP",IF(AND(OR(D192&lt;&gt;0,I192&lt;&gt;0),C192=0,H192=0),"NEW",""))</f>
        <v>DROP</v>
      </c>
    </row>
    <row r="193" customFormat="false" ht="15" hidden="false" customHeight="false" outlineLevel="0" collapsed="false">
      <c r="A193" s="7" t="s">
        <v>638</v>
      </c>
      <c r="B193" s="7" t="str">
        <f aca="false">IFERROR(INDEX('Source'!$C:$C,MATCH($A193,'Source'!$B:$B,0)),"")</f>
        <v>חבק יד מתכוון</v>
      </c>
      <c r="C193" s="8" t="n">
        <f aca="false">SUMIFS('Source'!$D:$D,'Source'!$A:$A,"160150 MAX KONNARIS LTD",'Source'!$B:$B,$A193)</f>
        <v>0</v>
      </c>
      <c r="D193" s="8" t="n">
        <f aca="false">SUMIFS('Source'!$F:$F,'Source'!$A:$A,"160150 MAX KONNARIS LTD",'Source'!$B:$B,$A193)</f>
        <v>6</v>
      </c>
      <c r="E193" s="8" t="n">
        <f aca="false">D193*$J$5</f>
        <v>7.57894736842105</v>
      </c>
      <c r="F193" s="8" t="n">
        <f aca="false">E193-C193</f>
        <v>7.57894736842105</v>
      </c>
      <c r="G193" s="9" t="str">
        <f aca="false">IF(AND(C193=0,E193=0),0,IF(C193=0,"New",(E193-C193)/C193))</f>
        <v>New</v>
      </c>
      <c r="H193" s="8" t="n">
        <f aca="false">SUMIFS('Source'!$E:$E,'Source'!$A:$A,"160150 MAX KONNARIS LTD",'Source'!$B:$B,$A193)</f>
        <v>0</v>
      </c>
      <c r="I193" s="8" t="n">
        <f aca="false">SUMIFS('Source'!$G:$G,'Source'!$A:$A,"160150 MAX KONNARIS LTD",'Source'!$B:$B,$A193)</f>
        <v>97</v>
      </c>
      <c r="J193" s="8" t="n">
        <f aca="false">I193*$J$5</f>
        <v>122.526315789474</v>
      </c>
      <c r="K193" s="8" t="n">
        <f aca="false">J193-H193</f>
        <v>122.526315789474</v>
      </c>
      <c r="L193" s="9" t="str">
        <f aca="false">IF(AND(H193=0,J193=0),0,IF(H193=0,"New",(J193-H193)/H193))</f>
        <v>New</v>
      </c>
      <c r="M193" s="7" t="str">
        <f aca="false">IF(AND(OR(C193&lt;&gt;0,H193&lt;&gt;0),D193=0,I193=0),"DROP",IF(AND(OR(D193&lt;&gt;0,I193&lt;&gt;0),C193=0,H193=0),"NEW",""))</f>
        <v>NEW</v>
      </c>
    </row>
    <row r="194" customFormat="false" ht="15" hidden="false" customHeight="false" outlineLevel="0" collapsed="false">
      <c r="A194" s="7" t="s">
        <v>503</v>
      </c>
      <c r="B194" s="7" t="str">
        <f aca="false">IFERROR(INDEX('Source'!$C:$C,MATCH($A194,'Source'!$B:$B,0)),"")</f>
        <v>מגן קרסול סגור</v>
      </c>
      <c r="C194" s="8" t="n">
        <f aca="false">SUMIFS('Source'!$D:$D,'Source'!$A:$A,"160150 MAX KONNARIS LTD",'Source'!$B:$B,$A194)</f>
        <v>13</v>
      </c>
      <c r="D194" s="8" t="n">
        <f aca="false">SUMIFS('Source'!$F:$F,'Source'!$A:$A,"160150 MAX KONNARIS LTD",'Source'!$B:$B,$A194)</f>
        <v>10</v>
      </c>
      <c r="E194" s="8" t="n">
        <f aca="false">D194*$J$5</f>
        <v>12.6315789473684</v>
      </c>
      <c r="F194" s="8" t="n">
        <f aca="false">E194-C194</f>
        <v>-0.368421052631579</v>
      </c>
      <c r="G194" s="9" t="n">
        <f aca="false">IF(AND(C194=0,E194=0),0,IF(C194=0,"New",(E194-C194)/C194))</f>
        <v>-0.0283400809716599</v>
      </c>
      <c r="H194" s="8" t="n">
        <f aca="false">SUMIFS('Source'!$E:$E,'Source'!$A:$A,"160150 MAX KONNARIS LTD",'Source'!$B:$B,$A194)</f>
        <v>308.99</v>
      </c>
      <c r="I194" s="8" t="n">
        <f aca="false">SUMIFS('Source'!$G:$G,'Source'!$A:$A,"160150 MAX KONNARIS LTD",'Source'!$B:$B,$A194)</f>
        <v>220.45</v>
      </c>
      <c r="J194" s="8" t="n">
        <f aca="false">I194*$J$5</f>
        <v>278.463157894737</v>
      </c>
      <c r="K194" s="8" t="n">
        <f aca="false">J194-H194</f>
        <v>-30.5268421052632</v>
      </c>
      <c r="L194" s="9" t="n">
        <f aca="false">IF(AND(H194=0,J194=0),0,IF(H194=0,"New",(J194-H194)/H194))</f>
        <v>-0.098795566540222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688</v>
      </c>
      <c r="B195" s="7" t="str">
        <f aca="false">IFERROR(INDEX('Source'!$C:$C,MATCH($A195,'Source'!$B:$B,0)),"")</f>
        <v>מגן ברך ארוך</v>
      </c>
      <c r="C195" s="8" t="n">
        <f aca="false">SUMIFS('Source'!$D:$D,'Source'!$A:$A,"160150 MAX KONNARIS LTD",'Source'!$B:$B,$A195)</f>
        <v>6</v>
      </c>
      <c r="D195" s="8" t="n">
        <f aca="false">SUMIFS('Source'!$F:$F,'Source'!$A:$A,"160150 MAX KONNARIS LTD",'Source'!$B:$B,$A195)</f>
        <v>0</v>
      </c>
      <c r="E195" s="8" t="n">
        <f aca="false">D195*$J$5</f>
        <v>0</v>
      </c>
      <c r="F195" s="8" t="n">
        <f aca="false">E195-C195</f>
        <v>-6</v>
      </c>
      <c r="G195" s="9" t="n">
        <f aca="false">IF(AND(C195=0,E195=0),0,IF(C195=0,"New",(E195-C195)/C195))</f>
        <v>-1</v>
      </c>
      <c r="H195" s="8" t="n">
        <f aca="false">SUMIFS('Source'!$E:$E,'Source'!$A:$A,"160150 MAX KONNARIS LTD",'Source'!$B:$B,$A195)</f>
        <v>82.81</v>
      </c>
      <c r="I195" s="8" t="n">
        <f aca="false">SUMIFS('Source'!$G:$G,'Source'!$A:$A,"160150 MAX KONNARIS LTD",'Source'!$B:$B,$A195)</f>
        <v>0</v>
      </c>
      <c r="J195" s="8" t="n">
        <f aca="false">I195*$J$5</f>
        <v>0</v>
      </c>
      <c r="K195" s="8" t="n">
        <f aca="false">J195-H195</f>
        <v>-82.81</v>
      </c>
      <c r="L195" s="9" t="n">
        <f aca="false">IF(AND(H195=0,J195=0),0,IF(H195=0,"New",(J195-H195)/H195))</f>
        <v>-1</v>
      </c>
      <c r="M195" s="7" t="str">
        <f aca="false">IF(AND(OR(C195&lt;&gt;0,H195&lt;&gt;0),D195=0,I195=0),"DROP",IF(AND(OR(D195&lt;&gt;0,I195&lt;&gt;0),C195=0,H195=0),"NEW",""))</f>
        <v>DROP</v>
      </c>
    </row>
    <row r="196" customFormat="false" ht="15" hidden="false" customHeight="false" outlineLevel="0" collapsed="false">
      <c r="A196" s="7" t="s">
        <v>405</v>
      </c>
      <c r="B196" s="7" t="str">
        <f aca="false">IFERROR(INDEX('Source'!$C:$C,MATCH($A196,'Source'!$B:$B,0)),"")</f>
        <v>אצבעון מפלסטיק  ליד</v>
      </c>
      <c r="C196" s="8" t="n">
        <f aca="false">SUMIFS('Source'!$D:$D,'Source'!$A:$A,"160150 MAX KONNARIS LTD",'Source'!$B:$B,$A196)</f>
        <v>0</v>
      </c>
      <c r="D196" s="8" t="n">
        <f aca="false">SUMIFS('Source'!$F:$F,'Source'!$A:$A,"160150 MAX KONNARIS LTD",'Source'!$B:$B,$A196)</f>
        <v>10</v>
      </c>
      <c r="E196" s="8" t="n">
        <f aca="false">D196*$J$5</f>
        <v>12.6315789473684</v>
      </c>
      <c r="F196" s="8" t="n">
        <f aca="false">E196-C196</f>
        <v>12.6315789473684</v>
      </c>
      <c r="G196" s="9" t="str">
        <f aca="false">IF(AND(C196=0,E196=0),0,IF(C196=0,"New",(E196-C196)/C196))</f>
        <v>New</v>
      </c>
      <c r="H196" s="8" t="n">
        <f aca="false">SUMIFS('Source'!$E:$E,'Source'!$A:$A,"160150 MAX KONNARIS LTD",'Source'!$B:$B,$A196)</f>
        <v>0</v>
      </c>
      <c r="I196" s="8" t="n">
        <f aca="false">SUMIFS('Source'!$G:$G,'Source'!$A:$A,"160150 MAX KONNARIS LTD",'Source'!$B:$B,$A196)</f>
        <v>82.14</v>
      </c>
      <c r="J196" s="8" t="n">
        <f aca="false">I196*$J$5</f>
        <v>103.755789473684</v>
      </c>
      <c r="K196" s="8" t="n">
        <f aca="false">J196-H196</f>
        <v>103.755789473684</v>
      </c>
      <c r="L196" s="9" t="str">
        <f aca="false">IF(AND(H196=0,J196=0),0,IF(H196=0,"New",(J196-H196)/H196))</f>
        <v>New</v>
      </c>
      <c r="M196" s="7" t="str">
        <f aca="false">IF(AND(OR(C196&lt;&gt;0,H196&lt;&gt;0),D196=0,I196=0),"DROP",IF(AND(OR(D196&lt;&gt;0,I196&lt;&gt;0),C196=0,H196=0),"NEW",""))</f>
        <v>NEW</v>
      </c>
    </row>
    <row r="197" customFormat="false" ht="15" hidden="false" customHeight="false" outlineLevel="0" collapsed="false">
      <c r="A197" s="7" t="s">
        <v>505</v>
      </c>
      <c r="B197" s="7" t="str">
        <f aca="false">IFERROR(INDEX('Source'!$C:$C,MATCH($A197,'Source'!$B:$B,0)),"")</f>
        <v>מגן ברך חום</v>
      </c>
      <c r="C197" s="8" t="n">
        <f aca="false">SUMIFS('Source'!$D:$D,'Source'!$A:$A,"160150 MAX KONNARIS LTD",'Source'!$B:$B,$A197)</f>
        <v>10</v>
      </c>
      <c r="D197" s="8" t="n">
        <f aca="false">SUMIFS('Source'!$F:$F,'Source'!$A:$A,"160150 MAX KONNARIS LTD",'Source'!$B:$B,$A197)</f>
        <v>3</v>
      </c>
      <c r="E197" s="8" t="n">
        <f aca="false">D197*$J$5</f>
        <v>3.78947368421053</v>
      </c>
      <c r="F197" s="8" t="n">
        <f aca="false">E197-C197</f>
        <v>-6.21052631578947</v>
      </c>
      <c r="G197" s="9" t="n">
        <f aca="false">IF(AND(C197=0,E197=0),0,IF(C197=0,"New",(E197-C197)/C197))</f>
        <v>-0.621052631578947</v>
      </c>
      <c r="H197" s="8" t="n">
        <f aca="false">SUMIFS('Source'!$E:$E,'Source'!$A:$A,"160150 MAX KONNARIS LTD",'Source'!$B:$B,$A197)</f>
        <v>112.08</v>
      </c>
      <c r="I197" s="8" t="n">
        <f aca="false">SUMIFS('Source'!$G:$G,'Source'!$A:$A,"160150 MAX KONNARIS LTD",'Source'!$B:$B,$A197)</f>
        <v>30.29</v>
      </c>
      <c r="J197" s="8" t="n">
        <f aca="false">I197*$J$5</f>
        <v>38.2610526315789</v>
      </c>
      <c r="K197" s="8" t="n">
        <f aca="false">J197-H197</f>
        <v>-73.8189473684211</v>
      </c>
      <c r="L197" s="9" t="n">
        <f aca="false">IF(AND(H197=0,J197=0),0,IF(H197=0,"New",(J197-H197)/H197))</f>
        <v>-0.658627296292122</v>
      </c>
      <c r="M197" s="7" t="str">
        <f aca="false">IF(AND(OR(C197&lt;&gt;0,H197&lt;&gt;0),D197=0,I197=0),"DROP",IF(AND(OR(D197&lt;&gt;0,I197&lt;&gt;0),C197=0,H197=0),"NEW",""))</f>
        <v/>
      </c>
    </row>
    <row r="198" customFormat="false" ht="15" hidden="false" customHeight="false" outlineLevel="0" collapsed="false">
      <c r="A198" s="7" t="s">
        <v>901</v>
      </c>
      <c r="B198" s="7" t="str">
        <f aca="false">IFERROR(INDEX('Source'!$C:$C,MATCH($A198,'Source'!$B:$B,0)),"")</f>
        <v>ריפוד סיליקון לעקב תחתון</v>
      </c>
      <c r="C198" s="8" t="n">
        <f aca="false">SUMIFS('Source'!$D:$D,'Source'!$A:$A,"160150 MAX KONNARIS LTD",'Source'!$B:$B,$A198)</f>
        <v>10</v>
      </c>
      <c r="D198" s="8" t="n">
        <f aca="false">SUMIFS('Source'!$F:$F,'Source'!$A:$A,"160150 MAX KONNARIS LTD",'Source'!$B:$B,$A198)</f>
        <v>0</v>
      </c>
      <c r="E198" s="8" t="n">
        <f aca="false">D198*$J$5</f>
        <v>0</v>
      </c>
      <c r="F198" s="8" t="n">
        <f aca="false">E198-C198</f>
        <v>-10</v>
      </c>
      <c r="G198" s="9" t="n">
        <f aca="false">IF(AND(C198=0,E198=0),0,IF(C198=0,"New",(E198-C198)/C198))</f>
        <v>-1</v>
      </c>
      <c r="H198" s="8" t="n">
        <f aca="false">SUMIFS('Source'!$E:$E,'Source'!$A:$A,"160150 MAX KONNARIS LTD",'Source'!$B:$B,$A198)</f>
        <v>79.46</v>
      </c>
      <c r="I198" s="8" t="n">
        <f aca="false">SUMIFS('Source'!$G:$G,'Source'!$A:$A,"160150 MAX KONNARIS LTD",'Source'!$B:$B,$A198)</f>
        <v>0</v>
      </c>
      <c r="J198" s="8" t="n">
        <f aca="false">I198*$J$5</f>
        <v>0</v>
      </c>
      <c r="K198" s="8" t="n">
        <f aca="false">J198-H198</f>
        <v>-79.46</v>
      </c>
      <c r="L198" s="9" t="n">
        <f aca="false">IF(AND(H198=0,J198=0),0,IF(H198=0,"New",(J198-H198)/H198))</f>
        <v>-1</v>
      </c>
      <c r="M198" s="7" t="str">
        <f aca="false">IF(AND(OR(C198&lt;&gt;0,H198&lt;&gt;0),D198=0,I198=0),"DROP",IF(AND(OR(D198&lt;&gt;0,I198&lt;&gt;0),C198=0,H198=0),"NEW",""))</f>
        <v>DROP</v>
      </c>
    </row>
    <row r="199" customFormat="false" ht="15" hidden="false" customHeight="false" outlineLevel="0" collapsed="false">
      <c r="A199" s="7" t="s">
        <v>407</v>
      </c>
      <c r="B199" s="7" t="str">
        <f aca="false">IFERROR(INDEX('Source'!$C:$C,MATCH($A199,'Source'!$B:$B,0)),"")</f>
        <v>חגורת שבר דו צדדית</v>
      </c>
      <c r="C199" s="8" t="n">
        <f aca="false">SUMIFS('Source'!$D:$D,'Source'!$A:$A,"160150 MAX KONNARIS LTD",'Source'!$B:$B,$A199)</f>
        <v>0</v>
      </c>
      <c r="D199" s="8" t="n">
        <f aca="false">SUMIFS('Source'!$F:$F,'Source'!$A:$A,"160150 MAX KONNARIS LTD",'Source'!$B:$B,$A199)</f>
        <v>1</v>
      </c>
      <c r="E199" s="8" t="n">
        <f aca="false">D199*$J$5</f>
        <v>1.26315789473684</v>
      </c>
      <c r="F199" s="8" t="n">
        <f aca="false">E199-C199</f>
        <v>1.26315789473684</v>
      </c>
      <c r="G199" s="9" t="str">
        <f aca="false">IF(AND(C199=0,E199=0),0,IF(C199=0,"New",(E199-C199)/C199))</f>
        <v>New</v>
      </c>
      <c r="H199" s="8" t="n">
        <f aca="false">SUMIFS('Source'!$E:$E,'Source'!$A:$A,"160150 MAX KONNARIS LTD",'Source'!$B:$B,$A199)</f>
        <v>0</v>
      </c>
      <c r="I199" s="8" t="n">
        <f aca="false">SUMIFS('Source'!$G:$G,'Source'!$A:$A,"160150 MAX KONNARIS LTD",'Source'!$B:$B,$A199)</f>
        <v>77.86</v>
      </c>
      <c r="J199" s="8" t="n">
        <f aca="false">I199*$J$5</f>
        <v>98.3494736842105</v>
      </c>
      <c r="K199" s="8" t="n">
        <f aca="false">J199-H199</f>
        <v>98.3494736842105</v>
      </c>
      <c r="L199" s="9" t="str">
        <f aca="false">IF(AND(H199=0,J199=0),0,IF(H199=0,"New",(J199-H199)/H199))</f>
        <v>New</v>
      </c>
      <c r="M199" s="7" t="str">
        <f aca="false">IF(AND(OR(C199&lt;&gt;0,H199&lt;&gt;0),D199=0,I199=0),"DROP",IF(AND(OR(D199&lt;&gt;0,I199&lt;&gt;0),C199=0,H199=0),"NEW",""))</f>
        <v>NEW</v>
      </c>
    </row>
    <row r="200" customFormat="false" ht="15" hidden="false" customHeight="false" outlineLevel="0" collapsed="false">
      <c r="A200" s="7" t="s">
        <v>360</v>
      </c>
      <c r="B200" s="7" t="str">
        <f aca="false">IFERROR(INDEX('Source'!$C:$C,MATCH($A200,'Source'!$B:$B,0)),"")</f>
        <v>חגורת שבר לצד שמאל</v>
      </c>
      <c r="C200" s="8" t="n">
        <f aca="false">SUMIFS('Source'!$D:$D,'Source'!$A:$A,"160150 MAX KONNARIS LTD",'Source'!$B:$B,$A200)</f>
        <v>1</v>
      </c>
      <c r="D200" s="8" t="n">
        <f aca="false">SUMIFS('Source'!$F:$F,'Source'!$A:$A,"160150 MAX KONNARIS LTD",'Source'!$B:$B,$A200)</f>
        <v>2</v>
      </c>
      <c r="E200" s="8" t="n">
        <f aca="false">D200*$J$5</f>
        <v>2.52631578947368</v>
      </c>
      <c r="F200" s="8" t="n">
        <f aca="false">E200-C200</f>
        <v>1.52631578947368</v>
      </c>
      <c r="G200" s="9" t="n">
        <f aca="false">IF(AND(C200=0,E200=0),0,IF(C200=0,"New",(E200-C200)/C200))</f>
        <v>1.52631578947368</v>
      </c>
      <c r="H200" s="8" t="n">
        <f aca="false">SUMIFS('Source'!$E:$E,'Source'!$A:$A,"160150 MAX KONNARIS LTD",'Source'!$B:$B,$A200)</f>
        <v>81.3</v>
      </c>
      <c r="I200" s="8" t="n">
        <f aca="false">SUMIFS('Source'!$G:$G,'Source'!$A:$A,"160150 MAX KONNARIS LTD",'Source'!$B:$B,$A200)</f>
        <v>157.26</v>
      </c>
      <c r="J200" s="8" t="n">
        <f aca="false">I200*$J$5</f>
        <v>198.644210526316</v>
      </c>
      <c r="K200" s="8" t="n">
        <f aca="false">J200-H200</f>
        <v>117.344210526316</v>
      </c>
      <c r="L200" s="9" t="n">
        <f aca="false">IF(AND(H200=0,J200=0),0,IF(H200=0,"New",(J200-H200)/H200))</f>
        <v>1.44334822295591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130</v>
      </c>
      <c r="B201" s="7" t="str">
        <f aca="false">IFERROR(INDEX('Source'!$C:$C,MATCH($A201,'Source'!$B:$B,0)),"")</f>
        <v>חגורת שבר לצד ימין</v>
      </c>
      <c r="C201" s="8" t="n">
        <f aca="false">SUMIFS('Source'!$D:$D,'Source'!$A:$A,"160150 MAX KONNARIS LTD",'Source'!$B:$B,$A201)</f>
        <v>1</v>
      </c>
      <c r="D201" s="8" t="n">
        <f aca="false">SUMIFS('Source'!$F:$F,'Source'!$A:$A,"160150 MAX KONNARIS LTD",'Source'!$B:$B,$A201)</f>
        <v>2</v>
      </c>
      <c r="E201" s="8" t="n">
        <f aca="false">D201*$J$5</f>
        <v>2.52631578947368</v>
      </c>
      <c r="F201" s="8" t="n">
        <f aca="false">E201-C201</f>
        <v>1.52631578947368</v>
      </c>
      <c r="G201" s="9" t="n">
        <f aca="false">IF(AND(C201=0,E201=0),0,IF(C201=0,"New",(E201-C201)/C201))</f>
        <v>1.52631578947368</v>
      </c>
      <c r="H201" s="8" t="n">
        <f aca="false">SUMIFS('Source'!$E:$E,'Source'!$A:$A,"160150 MAX KONNARIS LTD",'Source'!$B:$B,$A201)</f>
        <v>81.3</v>
      </c>
      <c r="I201" s="8" t="n">
        <f aca="false">SUMIFS('Source'!$G:$G,'Source'!$A:$A,"160150 MAX KONNARIS LTD",'Source'!$B:$B,$A201)</f>
        <v>157.26</v>
      </c>
      <c r="J201" s="8" t="n">
        <f aca="false">I201*$J$5</f>
        <v>198.644210526316</v>
      </c>
      <c r="K201" s="8" t="n">
        <f aca="false">J201-H201</f>
        <v>117.344210526316</v>
      </c>
      <c r="L201" s="9" t="n">
        <f aca="false">IF(AND(H201=0,J201=0),0,IF(H201=0,"New",(J201-H201)/H201))</f>
        <v>1.44334822295591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640</v>
      </c>
      <c r="B202" s="7" t="str">
        <f aca="false">IFERROR(INDEX('Source'!$C:$C,MATCH($A202,'Source'!$B:$B,0)),"")</f>
        <v>חבק יד מתכוון</v>
      </c>
      <c r="C202" s="8" t="n">
        <f aca="false">SUMIFS('Source'!$D:$D,'Source'!$A:$A,"160150 MAX KONNARIS LTD",'Source'!$B:$B,$A202)</f>
        <v>10</v>
      </c>
      <c r="D202" s="8" t="n">
        <f aca="false">SUMIFS('Source'!$F:$F,'Source'!$A:$A,"160150 MAX KONNARIS LTD",'Source'!$B:$B,$A202)</f>
        <v>6</v>
      </c>
      <c r="E202" s="8" t="n">
        <f aca="false">D202*$J$5</f>
        <v>7.57894736842105</v>
      </c>
      <c r="F202" s="8" t="n">
        <f aca="false">E202-C202</f>
        <v>-2.42105263157895</v>
      </c>
      <c r="G202" s="9" t="n">
        <f aca="false">IF(AND(C202=0,E202=0),0,IF(C202=0,"New",(E202-C202)/C202))</f>
        <v>-0.242105263157895</v>
      </c>
      <c r="H202" s="8" t="n">
        <f aca="false">SUMIFS('Source'!$E:$E,'Source'!$A:$A,"160150 MAX KONNARIS LTD",'Source'!$B:$B,$A202)</f>
        <v>171.39</v>
      </c>
      <c r="I202" s="8" t="n">
        <f aca="false">SUMIFS('Source'!$G:$G,'Source'!$A:$A,"160150 MAX KONNARIS LTD",'Source'!$B:$B,$A202)</f>
        <v>97</v>
      </c>
      <c r="J202" s="8" t="n">
        <f aca="false">I202*$J$5</f>
        <v>122.526315789474</v>
      </c>
      <c r="K202" s="8" t="n">
        <f aca="false">J202-H202</f>
        <v>-48.8636842105263</v>
      </c>
      <c r="L202" s="9" t="n">
        <f aca="false">IF(AND(H202=0,J202=0),0,IF(H202=0,"New",(J202-H202)/H202))</f>
        <v>-0.285102305913567</v>
      </c>
      <c r="M202" s="7" t="str">
        <f aca="false">IF(AND(OR(C202&lt;&gt;0,H202&lt;&gt;0),D202=0,I202=0),"DROP",IF(AND(OR(D202&lt;&gt;0,I202&lt;&gt;0),C202=0,H202=0),"NEW",""))</f>
        <v/>
      </c>
    </row>
    <row r="203" customFormat="false" ht="15" hidden="false" customHeight="false" outlineLevel="0" collapsed="false">
      <c r="A203" s="7" t="s">
        <v>692</v>
      </c>
      <c r="B203" s="7" t="str">
        <f aca="false">IFERROR(INDEX('Source'!$C:$C,MATCH($A203,'Source'!$B:$B,0)),"")</f>
        <v>מתלה יד-כיס</v>
      </c>
      <c r="C203" s="8" t="n">
        <f aca="false">SUMIFS('Source'!$D:$D,'Source'!$A:$A,"160150 MAX KONNARIS LTD",'Source'!$B:$B,$A203)</f>
        <v>6</v>
      </c>
      <c r="D203" s="8" t="n">
        <f aca="false">SUMIFS('Source'!$F:$F,'Source'!$A:$A,"160150 MAX KONNARIS LTD",'Source'!$B:$B,$A203)</f>
        <v>10</v>
      </c>
      <c r="E203" s="8" t="n">
        <f aca="false">D203*$J$5</f>
        <v>12.6315789473684</v>
      </c>
      <c r="F203" s="8" t="n">
        <f aca="false">E203-C203</f>
        <v>6.63157894736842</v>
      </c>
      <c r="G203" s="9" t="n">
        <f aca="false">IF(AND(C203=0,E203=0),0,IF(C203=0,"New",(E203-C203)/C203))</f>
        <v>1.10526315789474</v>
      </c>
      <c r="H203" s="8" t="n">
        <f aca="false">SUMIFS('Source'!$E:$E,'Source'!$A:$A,"160150 MAX KONNARIS LTD",'Source'!$B:$B,$A203)</f>
        <v>128.54</v>
      </c>
      <c r="I203" s="8" t="n">
        <f aca="false">SUMIFS('Source'!$G:$G,'Source'!$A:$A,"160150 MAX KONNARIS LTD",'Source'!$B:$B,$A203)</f>
        <v>202.08</v>
      </c>
      <c r="J203" s="8" t="n">
        <f aca="false">I203*$J$5</f>
        <v>255.258947368421</v>
      </c>
      <c r="K203" s="8" t="n">
        <f aca="false">J203-H203</f>
        <v>126.718947368421</v>
      </c>
      <c r="L203" s="9" t="n">
        <f aca="false">IF(AND(H203=0,J203=0),0,IF(H203=0,"New",(J203-H203)/H203))</f>
        <v>0.985832794215194</v>
      </c>
      <c r="M203" s="7" t="str">
        <f aca="false">IF(AND(OR(C203&lt;&gt;0,H203&lt;&gt;0),D203=0,I203=0),"DROP",IF(AND(OR(D203&lt;&gt;0,I203&lt;&gt;0),C203=0,H203=0),"NEW",""))</f>
        <v/>
      </c>
    </row>
    <row r="204" customFormat="false" ht="15" hidden="false" customHeight="false" outlineLevel="0" collapsed="false">
      <c r="A204" s="7" t="s">
        <v>560</v>
      </c>
      <c r="B204" s="7" t="str">
        <f aca="false">IFERROR(INDEX('Source'!$C:$C,MATCH($A204,'Source'!$B:$B,0)),"")</f>
        <v>מגן ברך שחור</v>
      </c>
      <c r="C204" s="8" t="n">
        <f aca="false">SUMIFS('Source'!$D:$D,'Source'!$A:$A,"160150 MAX KONNARIS LTD",'Source'!$B:$B,$A204)</f>
        <v>6</v>
      </c>
      <c r="D204" s="8" t="n">
        <f aca="false">SUMIFS('Source'!$F:$F,'Source'!$A:$A,"160150 MAX KONNARIS LTD",'Source'!$B:$B,$A204)</f>
        <v>0</v>
      </c>
      <c r="E204" s="8" t="n">
        <f aca="false">D204*$J$5</f>
        <v>0</v>
      </c>
      <c r="F204" s="8" t="n">
        <f aca="false">E204-C204</f>
        <v>-6</v>
      </c>
      <c r="G204" s="9" t="n">
        <f aca="false">IF(AND(C204=0,E204=0),0,IF(C204=0,"New",(E204-C204)/C204))</f>
        <v>-1</v>
      </c>
      <c r="H204" s="8" t="n">
        <f aca="false">SUMIFS('Source'!$E:$E,'Source'!$A:$A,"160150 MAX KONNARIS LTD",'Source'!$B:$B,$A204)</f>
        <v>71.8</v>
      </c>
      <c r="I204" s="8" t="n">
        <f aca="false">SUMIFS('Source'!$G:$G,'Source'!$A:$A,"160150 MAX KONNARIS LTD",'Source'!$B:$B,$A204)</f>
        <v>0</v>
      </c>
      <c r="J204" s="8" t="n">
        <f aca="false">I204*$J$5</f>
        <v>0</v>
      </c>
      <c r="K204" s="8" t="n">
        <f aca="false">J204-H204</f>
        <v>-71.8</v>
      </c>
      <c r="L204" s="9" t="n">
        <f aca="false">IF(AND(H204=0,J204=0),0,IF(H204=0,"New",(J204-H204)/H204))</f>
        <v>-1</v>
      </c>
      <c r="M204" s="7" t="str">
        <f aca="false">IF(AND(OR(C204&lt;&gt;0,H204&lt;&gt;0),D204=0,I204=0),"DROP",IF(AND(OR(D204&lt;&gt;0,I204&lt;&gt;0),C204=0,H204=0),"NEW",""))</f>
        <v>DROP</v>
      </c>
    </row>
    <row r="205" customFormat="false" ht="15" hidden="false" customHeight="false" outlineLevel="0" collapsed="false">
      <c r="A205" s="7" t="s">
        <v>330</v>
      </c>
      <c r="B205" s="7" t="str">
        <f aca="false">IFERROR(INDEX('Source'!$C:$C,MATCH($A205,'Source'!$B:$B,0)),"")</f>
        <v>מגן מרפק + סיליקון</v>
      </c>
      <c r="C205" s="8" t="n">
        <f aca="false">SUMIFS('Source'!$D:$D,'Source'!$A:$A,"160150 MAX KONNARIS LTD",'Source'!$B:$B,$A205)</f>
        <v>1</v>
      </c>
      <c r="D205" s="8" t="n">
        <f aca="false">SUMIFS('Source'!$F:$F,'Source'!$A:$A,"160150 MAX KONNARIS LTD",'Source'!$B:$B,$A205)</f>
        <v>0</v>
      </c>
      <c r="E205" s="8" t="n">
        <f aca="false">D205*$J$5</f>
        <v>0</v>
      </c>
      <c r="F205" s="8" t="n">
        <f aca="false">E205-C205</f>
        <v>-1</v>
      </c>
      <c r="G205" s="9" t="n">
        <f aca="false">IF(AND(C205=0,E205=0),0,IF(C205=0,"New",(E205-C205)/C205))</f>
        <v>-1</v>
      </c>
      <c r="H205" s="8" t="n">
        <f aca="false">SUMIFS('Source'!$E:$E,'Source'!$A:$A,"160150 MAX KONNARIS LTD",'Source'!$B:$B,$A205)</f>
        <v>71.31</v>
      </c>
      <c r="I205" s="8" t="n">
        <f aca="false">SUMIFS('Source'!$G:$G,'Source'!$A:$A,"160150 MAX KONNARIS LTD",'Source'!$B:$B,$A205)</f>
        <v>0</v>
      </c>
      <c r="J205" s="8" t="n">
        <f aca="false">I205*$J$5</f>
        <v>0</v>
      </c>
      <c r="K205" s="8" t="n">
        <f aca="false">J205-H205</f>
        <v>-71.31</v>
      </c>
      <c r="L205" s="9" t="n">
        <f aca="false">IF(AND(H205=0,J205=0),0,IF(H205=0,"New",(J205-H205)/H205))</f>
        <v>-1</v>
      </c>
      <c r="M205" s="7" t="str">
        <f aca="false">IF(AND(OR(C205&lt;&gt;0,H205&lt;&gt;0),D205=0,I205=0),"DROP",IF(AND(OR(D205&lt;&gt;0,I205&lt;&gt;0),C205=0,H205=0),"NEW",""))</f>
        <v>DROP</v>
      </c>
    </row>
    <row r="206" customFormat="false" ht="15" hidden="false" customHeight="false" outlineLevel="0" collapsed="false">
      <c r="A206" s="7" t="s">
        <v>776</v>
      </c>
      <c r="B206" s="7" t="str">
        <f aca="false">IFERROR(INDEX('Source'!$C:$C,MATCH($A206,'Source'!$B:$B,0)),"")</f>
        <v>מגן מרפק בז'</v>
      </c>
      <c r="C206" s="8" t="n">
        <f aca="false">SUMIFS('Source'!$D:$D,'Source'!$A:$A,"160150 MAX KONNARIS LTD",'Source'!$B:$B,$A206)</f>
        <v>6</v>
      </c>
      <c r="D206" s="8" t="n">
        <f aca="false">SUMIFS('Source'!$F:$F,'Source'!$A:$A,"160150 MAX KONNARIS LTD",'Source'!$B:$B,$A206)</f>
        <v>0</v>
      </c>
      <c r="E206" s="8" t="n">
        <f aca="false">D206*$J$5</f>
        <v>0</v>
      </c>
      <c r="F206" s="8" t="n">
        <f aca="false">E206-C206</f>
        <v>-6</v>
      </c>
      <c r="G206" s="9" t="n">
        <f aca="false">IF(AND(C206=0,E206=0),0,IF(C206=0,"New",(E206-C206)/C206))</f>
        <v>-1</v>
      </c>
      <c r="H206" s="8" t="n">
        <f aca="false">SUMIFS('Source'!$E:$E,'Source'!$A:$A,"160150 MAX KONNARIS LTD",'Source'!$B:$B,$A206)</f>
        <v>70.11</v>
      </c>
      <c r="I206" s="8" t="n">
        <f aca="false">SUMIFS('Source'!$G:$G,'Source'!$A:$A,"160150 MAX KONNARIS LTD",'Source'!$B:$B,$A206)</f>
        <v>0</v>
      </c>
      <c r="J206" s="8" t="n">
        <f aca="false">I206*$J$5</f>
        <v>0</v>
      </c>
      <c r="K206" s="8" t="n">
        <f aca="false">J206-H206</f>
        <v>-70.11</v>
      </c>
      <c r="L206" s="9" t="n">
        <f aca="false">IF(AND(H206=0,J206=0),0,IF(H206=0,"New",(J206-H206)/H206))</f>
        <v>-1</v>
      </c>
      <c r="M206" s="7" t="str">
        <f aca="false">IF(AND(OR(C206&lt;&gt;0,H206&lt;&gt;0),D206=0,I206=0),"DROP",IF(AND(OR(D206&lt;&gt;0,I206&lt;&gt;0),C206=0,H206=0),"NEW",""))</f>
        <v>DROP</v>
      </c>
    </row>
    <row r="207" customFormat="false" ht="15" hidden="false" customHeight="false" outlineLevel="0" collapsed="false">
      <c r="A207" s="7" t="s">
        <v>725</v>
      </c>
      <c r="B207" s="7" t="str">
        <f aca="false">IFERROR(INDEX('Source'!$C:$C,MATCH($A207,'Source'!$B:$B,0)),"")</f>
        <v>בליסטר פלסטר</v>
      </c>
      <c r="C207" s="8" t="n">
        <f aca="false">SUMIFS('Source'!$D:$D,'Source'!$A:$A,"160150 MAX KONNARIS LTD",'Source'!$B:$B,$A207)</f>
        <v>0</v>
      </c>
      <c r="D207" s="8" t="n">
        <f aca="false">SUMIFS('Source'!$F:$F,'Source'!$A:$A,"160150 MAX KONNARIS LTD",'Source'!$B:$B,$A207)</f>
        <v>10</v>
      </c>
      <c r="E207" s="8" t="n">
        <f aca="false">D207*$J$5</f>
        <v>12.6315789473684</v>
      </c>
      <c r="F207" s="8" t="n">
        <f aca="false">E207-C207</f>
        <v>12.6315789473684</v>
      </c>
      <c r="G207" s="9" t="str">
        <f aca="false">IF(AND(C207=0,E207=0),0,IF(C207=0,"New",(E207-C207)/C207))</f>
        <v>New</v>
      </c>
      <c r="H207" s="8" t="n">
        <f aca="false">SUMIFS('Source'!$E:$E,'Source'!$A:$A,"160150 MAX KONNARIS LTD",'Source'!$B:$B,$A207)</f>
        <v>0</v>
      </c>
      <c r="I207" s="8" t="n">
        <f aca="false">SUMIFS('Source'!$G:$G,'Source'!$A:$A,"160150 MAX KONNARIS LTD",'Source'!$B:$B,$A207)</f>
        <v>69.81</v>
      </c>
      <c r="J207" s="8" t="n">
        <f aca="false">I207*$J$5</f>
        <v>88.181052631579</v>
      </c>
      <c r="K207" s="8" t="n">
        <f aca="false">J207-H207</f>
        <v>88.181052631579</v>
      </c>
      <c r="L207" s="9" t="str">
        <f aca="false">IF(AND(H207=0,J207=0),0,IF(H207=0,"New",(J207-H207)/H207))</f>
        <v>New</v>
      </c>
      <c r="M207" s="7" t="str">
        <f aca="false">IF(AND(OR(C207&lt;&gt;0,H207&lt;&gt;0),D207=0,I207=0),"DROP",IF(AND(OR(D207&lt;&gt;0,I207&lt;&gt;0),C207=0,H207=0),"NEW",""))</f>
        <v>NEW</v>
      </c>
    </row>
    <row r="208" customFormat="false" ht="15" hidden="false" customHeight="false" outlineLevel="0" collapsed="false">
      <c r="A208" s="7" t="s">
        <v>497</v>
      </c>
      <c r="B208" s="7" t="str">
        <f aca="false">IFERROR(INDEX('Source'!$C:$C,MATCH($A208,'Source'!$B:$B,0)),"")</f>
        <v>מגן קרסול פתוח</v>
      </c>
      <c r="C208" s="8" t="n">
        <f aca="false">SUMIFS('Source'!$D:$D,'Source'!$A:$A,"160150 MAX KONNARIS LTD",'Source'!$B:$B,$A208)</f>
        <v>6</v>
      </c>
      <c r="D208" s="8" t="n">
        <f aca="false">SUMIFS('Source'!$F:$F,'Source'!$A:$A,"160150 MAX KONNARIS LTD",'Source'!$B:$B,$A208)</f>
        <v>0</v>
      </c>
      <c r="E208" s="8" t="n">
        <f aca="false">D208*$J$5</f>
        <v>0</v>
      </c>
      <c r="F208" s="8" t="n">
        <f aca="false">E208-C208</f>
        <v>-6</v>
      </c>
      <c r="G208" s="9" t="n">
        <f aca="false">IF(AND(C208=0,E208=0),0,IF(C208=0,"New",(E208-C208)/C208))</f>
        <v>-1</v>
      </c>
      <c r="H208" s="8" t="n">
        <f aca="false">SUMIFS('Source'!$E:$E,'Source'!$A:$A,"160150 MAX KONNARIS LTD",'Source'!$B:$B,$A208)</f>
        <v>67.78</v>
      </c>
      <c r="I208" s="8" t="n">
        <f aca="false">SUMIFS('Source'!$G:$G,'Source'!$A:$A,"160150 MAX KONNARIS LTD",'Source'!$B:$B,$A208)</f>
        <v>0</v>
      </c>
      <c r="J208" s="8" t="n">
        <f aca="false">I208*$J$5</f>
        <v>0</v>
      </c>
      <c r="K208" s="8" t="n">
        <f aca="false">J208-H208</f>
        <v>-67.78</v>
      </c>
      <c r="L208" s="9" t="n">
        <f aca="false">IF(AND(H208=0,J208=0),0,IF(H208=0,"New",(J208-H208)/H208))</f>
        <v>-1</v>
      </c>
      <c r="M208" s="7" t="str">
        <f aca="false">IF(AND(OR(C208&lt;&gt;0,H208&lt;&gt;0),D208=0,I208=0),"DROP",IF(AND(OR(D208&lt;&gt;0,I208&lt;&gt;0),C208=0,H208=0),"NEW",""))</f>
        <v>DROP</v>
      </c>
    </row>
    <row r="209" customFormat="false" ht="15" hidden="false" customHeight="false" outlineLevel="0" collapsed="false">
      <c r="A209" s="7" t="s">
        <v>361</v>
      </c>
      <c r="B209" s="7" t="str">
        <f aca="false">IFERROR(INDEX('Source'!$C:$C,MATCH($A209,'Source'!$B:$B,0)),"")</f>
        <v>מדרס מתכוונן</v>
      </c>
      <c r="C209" s="8" t="n">
        <f aca="false">SUMIFS('Source'!$D:$D,'Source'!$A:$A,"160150 MAX KONNARIS LTD",'Source'!$B:$B,$A209)</f>
        <v>0</v>
      </c>
      <c r="D209" s="8" t="n">
        <f aca="false">SUMIFS('Source'!$F:$F,'Source'!$A:$A,"160150 MAX KONNARIS LTD",'Source'!$B:$B,$A209)</f>
        <v>2</v>
      </c>
      <c r="E209" s="8" t="n">
        <f aca="false">D209*$J$5</f>
        <v>2.52631578947368</v>
      </c>
      <c r="F209" s="8" t="n">
        <f aca="false">E209-C209</f>
        <v>2.52631578947368</v>
      </c>
      <c r="G209" s="9" t="str">
        <f aca="false">IF(AND(C209=0,E209=0),0,IF(C209=0,"New",(E209-C209)/C209))</f>
        <v>New</v>
      </c>
      <c r="H209" s="8" t="n">
        <f aca="false">SUMIFS('Source'!$E:$E,'Source'!$A:$A,"160150 MAX KONNARIS LTD",'Source'!$B:$B,$A209)</f>
        <v>0</v>
      </c>
      <c r="I209" s="8" t="n">
        <f aca="false">SUMIFS('Source'!$G:$G,'Source'!$A:$A,"160150 MAX KONNARIS LTD",'Source'!$B:$B,$A209)</f>
        <v>67.77</v>
      </c>
      <c r="J209" s="8" t="n">
        <f aca="false">I209*$J$5</f>
        <v>85.6042105263158</v>
      </c>
      <c r="K209" s="8" t="n">
        <f aca="false">J209-H209</f>
        <v>85.6042105263158</v>
      </c>
      <c r="L209" s="9" t="str">
        <f aca="false">IF(AND(H209=0,J209=0),0,IF(H209=0,"New",(J209-H209)/H209))</f>
        <v>New</v>
      </c>
      <c r="M209" s="7" t="str">
        <f aca="false">IF(AND(OR(C209&lt;&gt;0,H209&lt;&gt;0),D209=0,I209=0),"DROP",IF(AND(OR(D209&lt;&gt;0,I209&lt;&gt;0),C209=0,H209=0),"NEW",""))</f>
        <v>NEW</v>
      </c>
    </row>
    <row r="210" customFormat="false" ht="15" hidden="false" customHeight="false" outlineLevel="0" collapsed="false">
      <c r="A210" s="7" t="s">
        <v>635</v>
      </c>
      <c r="B210" s="7" t="str">
        <f aca="false">IFERROR(INDEX('Source'!$C:$C,MATCH($A210,'Source'!$B:$B,0)),"")</f>
        <v>מגן קרסול חום</v>
      </c>
      <c r="C210" s="8" t="n">
        <f aca="false">SUMIFS('Source'!$D:$D,'Source'!$A:$A,"160150 MAX KONNARIS LTD",'Source'!$B:$B,$A210)</f>
        <v>6</v>
      </c>
      <c r="D210" s="8" t="n">
        <f aca="false">SUMIFS('Source'!$F:$F,'Source'!$A:$A,"160150 MAX KONNARIS LTD",'Source'!$B:$B,$A210)</f>
        <v>0</v>
      </c>
      <c r="E210" s="8" t="n">
        <f aca="false">D210*$J$5</f>
        <v>0</v>
      </c>
      <c r="F210" s="8" t="n">
        <f aca="false">E210-C210</f>
        <v>-6</v>
      </c>
      <c r="G210" s="9" t="n">
        <f aca="false">IF(AND(C210=0,E210=0),0,IF(C210=0,"New",(E210-C210)/C210))</f>
        <v>-1</v>
      </c>
      <c r="H210" s="8" t="n">
        <f aca="false">SUMIFS('Source'!$E:$E,'Source'!$A:$A,"160150 MAX KONNARIS LTD",'Source'!$B:$B,$A210)</f>
        <v>67.25</v>
      </c>
      <c r="I210" s="8" t="n">
        <f aca="false">SUMIFS('Source'!$G:$G,'Source'!$A:$A,"160150 MAX KONNARIS LTD",'Source'!$B:$B,$A210)</f>
        <v>0</v>
      </c>
      <c r="J210" s="8" t="n">
        <f aca="false">I210*$J$5</f>
        <v>0</v>
      </c>
      <c r="K210" s="8" t="n">
        <f aca="false">J210-H210</f>
        <v>-67.25</v>
      </c>
      <c r="L210" s="9" t="n">
        <f aca="false">IF(AND(H210=0,J210=0),0,IF(H210=0,"New",(J210-H210)/H210))</f>
        <v>-1</v>
      </c>
      <c r="M210" s="7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false" outlineLevel="0" collapsed="false">
      <c r="A211" s="7" t="s">
        <v>727</v>
      </c>
      <c r="B211" s="7" t="str">
        <f aca="false">IFERROR(INDEX('Source'!$C:$C,MATCH($A211,'Source'!$B:$B,0)),"")</f>
        <v>מגן מרפק</v>
      </c>
      <c r="C211" s="8" t="n">
        <f aca="false">SUMIFS('Source'!$D:$D,'Source'!$A:$A,"160150 MAX KONNARIS LTD",'Source'!$B:$B,$A211)</f>
        <v>6</v>
      </c>
      <c r="D211" s="8" t="n">
        <f aca="false">SUMIFS('Source'!$F:$F,'Source'!$A:$A,"160150 MAX KONNARIS LTD",'Source'!$B:$B,$A211)</f>
        <v>0</v>
      </c>
      <c r="E211" s="8" t="n">
        <f aca="false">D211*$J$5</f>
        <v>0</v>
      </c>
      <c r="F211" s="8" t="n">
        <f aca="false">E211-C211</f>
        <v>-6</v>
      </c>
      <c r="G211" s="9" t="n">
        <f aca="false">IF(AND(C211=0,E211=0),0,IF(C211=0,"New",(E211-C211)/C211))</f>
        <v>-1</v>
      </c>
      <c r="H211" s="8" t="n">
        <f aca="false">SUMIFS('Source'!$E:$E,'Source'!$A:$A,"160150 MAX KONNARIS LTD",'Source'!$B:$B,$A211)</f>
        <v>67.25</v>
      </c>
      <c r="I211" s="8" t="n">
        <f aca="false">SUMIFS('Source'!$G:$G,'Source'!$A:$A,"160150 MAX KONNARIS LTD",'Source'!$B:$B,$A211)</f>
        <v>0</v>
      </c>
      <c r="J211" s="8" t="n">
        <f aca="false">I211*$J$5</f>
        <v>0</v>
      </c>
      <c r="K211" s="8" t="n">
        <f aca="false">J211-H211</f>
        <v>-67.25</v>
      </c>
      <c r="L211" s="9" t="n">
        <f aca="false">IF(AND(H211=0,J211=0),0,IF(H211=0,"New",(J211-H211)/H211))</f>
        <v>-1</v>
      </c>
      <c r="M211" s="7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false" outlineLevel="0" collapsed="false">
      <c r="A212" s="7" t="s">
        <v>801</v>
      </c>
      <c r="B212" s="7" t="str">
        <f aca="false">IFERROR(INDEX('Source'!$C:$C,MATCH($A212,'Source'!$B:$B,0)),"")</f>
        <v>מגן מרפק</v>
      </c>
      <c r="C212" s="8" t="n">
        <f aca="false">SUMIFS('Source'!$D:$D,'Source'!$A:$A,"160150 MAX KONNARIS LTD",'Source'!$B:$B,$A212)</f>
        <v>6</v>
      </c>
      <c r="D212" s="8" t="n">
        <f aca="false">SUMIFS('Source'!$F:$F,'Source'!$A:$A,"160150 MAX KONNARIS LTD",'Source'!$B:$B,$A212)</f>
        <v>0</v>
      </c>
      <c r="E212" s="8" t="n">
        <f aca="false">D212*$J$5</f>
        <v>0</v>
      </c>
      <c r="F212" s="8" t="n">
        <f aca="false">E212-C212</f>
        <v>-6</v>
      </c>
      <c r="G212" s="9" t="n">
        <f aca="false">IF(AND(C212=0,E212=0),0,IF(C212=0,"New",(E212-C212)/C212))</f>
        <v>-1</v>
      </c>
      <c r="H212" s="8" t="n">
        <f aca="false">SUMIFS('Source'!$E:$E,'Source'!$A:$A,"160150 MAX KONNARIS LTD",'Source'!$B:$B,$A212)</f>
        <v>67.25</v>
      </c>
      <c r="I212" s="8" t="n">
        <f aca="false">SUMIFS('Source'!$G:$G,'Source'!$A:$A,"160150 MAX KONNARIS LTD",'Source'!$B:$B,$A212)</f>
        <v>0</v>
      </c>
      <c r="J212" s="8" t="n">
        <f aca="false">I212*$J$5</f>
        <v>0</v>
      </c>
      <c r="K212" s="8" t="n">
        <f aca="false">J212-H212</f>
        <v>-67.25</v>
      </c>
      <c r="L212" s="9" t="n">
        <f aca="false">IF(AND(H212=0,J212=0),0,IF(H212=0,"New",(J212-H212)/H212))</f>
        <v>-1</v>
      </c>
      <c r="M212" s="7" t="str">
        <f aca="false">IF(AND(OR(C212&lt;&gt;0,H212&lt;&gt;0),D212=0,I212=0),"DROP",IF(AND(OR(D212&lt;&gt;0,I212&lt;&gt;0),C212=0,H212=0),"NEW",""))</f>
        <v>DROP</v>
      </c>
    </row>
    <row r="213" customFormat="false" ht="15" hidden="false" customHeight="false" outlineLevel="0" collapsed="false">
      <c r="A213" s="7" t="s">
        <v>772</v>
      </c>
      <c r="B213" s="7" t="str">
        <f aca="false">IFERROR(INDEX('Source'!$C:$C,MATCH($A213,'Source'!$B:$B,0)),"")</f>
        <v>אטלטיק טייפ</v>
      </c>
      <c r="C213" s="8" t="n">
        <f aca="false">SUMIFS('Source'!$D:$D,'Source'!$A:$A,"160150 MAX KONNARIS LTD",'Source'!$B:$B,$A213)</f>
        <v>6</v>
      </c>
      <c r="D213" s="8" t="n">
        <f aca="false">SUMIFS('Source'!$F:$F,'Source'!$A:$A,"160150 MAX KONNARIS LTD",'Source'!$B:$B,$A213)</f>
        <v>0</v>
      </c>
      <c r="E213" s="8" t="n">
        <f aca="false">D213*$J$5</f>
        <v>0</v>
      </c>
      <c r="F213" s="8" t="n">
        <f aca="false">E213-C213</f>
        <v>-6</v>
      </c>
      <c r="G213" s="9" t="n">
        <f aca="false">IF(AND(C213=0,E213=0),0,IF(C213=0,"New",(E213-C213)/C213))</f>
        <v>-1</v>
      </c>
      <c r="H213" s="8" t="n">
        <f aca="false">SUMIFS('Source'!$E:$E,'Source'!$A:$A,"160150 MAX KONNARIS LTD",'Source'!$B:$B,$A213)</f>
        <v>63.99</v>
      </c>
      <c r="I213" s="8" t="n">
        <f aca="false">SUMIFS('Source'!$G:$G,'Source'!$A:$A,"160150 MAX KONNARIS LTD",'Source'!$B:$B,$A213)</f>
        <v>0</v>
      </c>
      <c r="J213" s="8" t="n">
        <f aca="false">I213*$J$5</f>
        <v>0</v>
      </c>
      <c r="K213" s="8" t="n">
        <f aca="false">J213-H213</f>
        <v>-63.99</v>
      </c>
      <c r="L213" s="9" t="n">
        <f aca="false">IF(AND(H213=0,J213=0),0,IF(H213=0,"New",(J213-H213)/H213))</f>
        <v>-1</v>
      </c>
      <c r="M213" s="7" t="str">
        <f aca="false">IF(AND(OR(C213&lt;&gt;0,H213&lt;&gt;0),D213=0,I213=0),"DROP",IF(AND(OR(D213&lt;&gt;0,I213&lt;&gt;0),C213=0,H213=0),"NEW",""))</f>
        <v>DROP</v>
      </c>
    </row>
    <row r="214" customFormat="false" ht="15" hidden="false" customHeight="false" outlineLevel="0" collapsed="false">
      <c r="A214" s="7" t="s">
        <v>764</v>
      </c>
      <c r="B214" s="7" t="str">
        <f aca="false">IFERROR(INDEX('Source'!$C:$C,MATCH($A214,'Source'!$B:$B,0)),"")</f>
        <v>מגן ברך חום</v>
      </c>
      <c r="C214" s="8" t="n">
        <f aca="false">SUMIFS('Source'!$D:$D,'Source'!$A:$A,"160150 MAX KONNARIS LTD",'Source'!$B:$B,$A214)</f>
        <v>0</v>
      </c>
      <c r="D214" s="8" t="n">
        <f aca="false">SUMIFS('Source'!$F:$F,'Source'!$A:$A,"160150 MAX KONNARIS LTD",'Source'!$B:$B,$A214)</f>
        <v>6</v>
      </c>
      <c r="E214" s="8" t="n">
        <f aca="false">D214*$J$5</f>
        <v>7.57894736842105</v>
      </c>
      <c r="F214" s="8" t="n">
        <f aca="false">E214-C214</f>
        <v>7.57894736842105</v>
      </c>
      <c r="G214" s="9" t="str">
        <f aca="false">IF(AND(C214=0,E214=0),0,IF(C214=0,"New",(E214-C214)/C214))</f>
        <v>New</v>
      </c>
      <c r="H214" s="8" t="n">
        <f aca="false">SUMIFS('Source'!$E:$E,'Source'!$A:$A,"160150 MAX KONNARIS LTD",'Source'!$B:$B,$A214)</f>
        <v>0</v>
      </c>
      <c r="I214" s="8" t="n">
        <f aca="false">SUMIFS('Source'!$G:$G,'Source'!$A:$A,"160150 MAX KONNARIS LTD",'Source'!$B:$B,$A214)</f>
        <v>60.58</v>
      </c>
      <c r="J214" s="8" t="n">
        <f aca="false">I214*$J$5</f>
        <v>76.5221052631579</v>
      </c>
      <c r="K214" s="8" t="n">
        <f aca="false">J214-H214</f>
        <v>76.5221052631579</v>
      </c>
      <c r="L214" s="9" t="str">
        <f aca="false">IF(AND(H214=0,J214=0),0,IF(H214=0,"New",(J214-H214)/H214))</f>
        <v>New</v>
      </c>
      <c r="M214" s="7" t="str">
        <f aca="false">IF(AND(OR(C214&lt;&gt;0,H214&lt;&gt;0),D214=0,I214=0),"DROP",IF(AND(OR(D214&lt;&gt;0,I214&lt;&gt;0),C214=0,H214=0),"NEW",""))</f>
        <v>NEW</v>
      </c>
    </row>
    <row r="215" customFormat="false" ht="15" hidden="false" customHeight="false" outlineLevel="0" collapsed="false">
      <c r="A215" s="7" t="s">
        <v>617</v>
      </c>
      <c r="B215" s="7" t="str">
        <f aca="false">IFERROR(INDEX('Source'!$C:$C,MATCH($A215,'Source'!$B:$B,0)),"")</f>
        <v>'תחבושת אלסטית נצמדת צבע בז</v>
      </c>
      <c r="C215" s="8" t="n">
        <f aca="false">SUMIFS('Source'!$D:$D,'Source'!$A:$A,"160150 MAX KONNARIS LTD",'Source'!$B:$B,$A215)</f>
        <v>48</v>
      </c>
      <c r="D215" s="8" t="n">
        <f aca="false">SUMIFS('Source'!$F:$F,'Source'!$A:$A,"160150 MAX KONNARIS LTD",'Source'!$B:$B,$A215)</f>
        <v>60</v>
      </c>
      <c r="E215" s="8" t="n">
        <f aca="false">D215*$J$5</f>
        <v>75.7894736842105</v>
      </c>
      <c r="F215" s="8" t="n">
        <f aca="false">E215-C215</f>
        <v>27.7894736842105</v>
      </c>
      <c r="G215" s="9" t="n">
        <f aca="false">IF(AND(C215=0,E215=0),0,IF(C215=0,"New",(E215-C215)/C215))</f>
        <v>0.578947368421053</v>
      </c>
      <c r="H215" s="8" t="n">
        <f aca="false">SUMIFS('Source'!$E:$E,'Source'!$A:$A,"160150 MAX KONNARIS LTD",'Source'!$B:$B,$A215)</f>
        <v>336.53</v>
      </c>
      <c r="I215" s="8" t="n">
        <f aca="false">SUMIFS('Source'!$G:$G,'Source'!$A:$A,"160150 MAX KONNARIS LTD",'Source'!$B:$B,$A215)</f>
        <v>396.81</v>
      </c>
      <c r="J215" s="8" t="n">
        <f aca="false">I215*$J$5</f>
        <v>501.233684210526</v>
      </c>
      <c r="K215" s="8" t="n">
        <f aca="false">J215-H215</f>
        <v>164.703684210526</v>
      </c>
      <c r="L215" s="9" t="n">
        <f aca="false">IF(AND(H215=0,J215=0),0,IF(H215=0,"New",(J215-H215)/H215))</f>
        <v>0.489417538437959</v>
      </c>
      <c r="M215" s="7" t="str">
        <f aca="false">IF(AND(OR(C215&lt;&gt;0,H215&lt;&gt;0),D215=0,I215=0),"DROP",IF(AND(OR(D215&lt;&gt;0,I215&lt;&gt;0),C215=0,H215=0),"NEW",""))</f>
        <v/>
      </c>
    </row>
    <row r="216" customFormat="false" ht="15" hidden="false" customHeight="false" outlineLevel="0" collapsed="false">
      <c r="A216" s="7" t="s">
        <v>496</v>
      </c>
      <c r="B216" s="7" t="str">
        <f aca="false">IFERROR(INDEX('Source'!$C:$C,MATCH($A216,'Source'!$B:$B,0)),"")</f>
        <v>מגן ברך ארוך בז'</v>
      </c>
      <c r="C216" s="8" t="n">
        <f aca="false">SUMIFS('Source'!$D:$D,'Source'!$A:$A,"160150 MAX KONNARIS LTD",'Source'!$B:$B,$A216)</f>
        <v>10</v>
      </c>
      <c r="D216" s="8" t="n">
        <f aca="false">SUMIFS('Source'!$F:$F,'Source'!$A:$A,"160150 MAX KONNARIS LTD",'Source'!$B:$B,$A216)</f>
        <v>16</v>
      </c>
      <c r="E216" s="8" t="n">
        <f aca="false">D216*$J$5</f>
        <v>20.2105263157895</v>
      </c>
      <c r="F216" s="8" t="n">
        <f aca="false">E216-C216</f>
        <v>10.2105263157895</v>
      </c>
      <c r="G216" s="9" t="n">
        <f aca="false">IF(AND(C216=0,E216=0),0,IF(C216=0,"New",(E216-C216)/C216))</f>
        <v>1.02105263157895</v>
      </c>
      <c r="H216" s="8" t="n">
        <f aca="false">SUMIFS('Source'!$E:$E,'Source'!$A:$A,"160150 MAX KONNARIS LTD",'Source'!$B:$B,$A216)</f>
        <v>126.59</v>
      </c>
      <c r="I216" s="8" t="n">
        <f aca="false">SUMIFS('Source'!$G:$G,'Source'!$A:$A,"160150 MAX KONNARIS LTD",'Source'!$B:$B,$A216)</f>
        <v>186.15</v>
      </c>
      <c r="J216" s="8" t="n">
        <f aca="false">I216*$J$5</f>
        <v>235.136842105263</v>
      </c>
      <c r="K216" s="8" t="n">
        <f aca="false">J216-H216</f>
        <v>108.546842105263</v>
      </c>
      <c r="L216" s="9" t="n">
        <f aca="false">IF(AND(H216=0,J216=0),0,IF(H216=0,"New",(J216-H216)/H216))</f>
        <v>0.857467747099006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447</v>
      </c>
      <c r="B217" s="7" t="str">
        <f aca="false">IFERROR(INDEX('Source'!$C:$C,MATCH($A217,'Source'!$B:$B,0)),"")</f>
        <v>חבק יד אגודלי ימ</v>
      </c>
      <c r="C217" s="8" t="n">
        <f aca="false">SUMIFS('Source'!$D:$D,'Source'!$A:$A,"160150 MAX KONNARIS LTD",'Source'!$B:$B,$A217)</f>
        <v>0</v>
      </c>
      <c r="D217" s="8" t="n">
        <f aca="false">SUMIFS('Source'!$F:$F,'Source'!$A:$A,"160150 MAX KONNARIS LTD",'Source'!$B:$B,$A217)</f>
        <v>3</v>
      </c>
      <c r="E217" s="8" t="n">
        <f aca="false">D217*$J$5</f>
        <v>3.78947368421053</v>
      </c>
      <c r="F217" s="8" t="n">
        <f aca="false">E217-C217</f>
        <v>3.78947368421053</v>
      </c>
      <c r="G217" s="9" t="str">
        <f aca="false">IF(AND(C217=0,E217=0),0,IF(C217=0,"New",(E217-C217)/C217))</f>
        <v>New</v>
      </c>
      <c r="H217" s="8" t="n">
        <f aca="false">SUMIFS('Source'!$E:$E,'Source'!$A:$A,"160150 MAX KONNARIS LTD",'Source'!$B:$B,$A217)</f>
        <v>0</v>
      </c>
      <c r="I217" s="8" t="n">
        <f aca="false">SUMIFS('Source'!$G:$G,'Source'!$A:$A,"160150 MAX KONNARIS LTD",'Source'!$B:$B,$A217)</f>
        <v>59.55</v>
      </c>
      <c r="J217" s="8" t="n">
        <f aca="false">I217*$J$5</f>
        <v>75.2210526315789</v>
      </c>
      <c r="K217" s="8" t="n">
        <f aca="false">J217-H217</f>
        <v>75.2210526315789</v>
      </c>
      <c r="L217" s="9" t="str">
        <f aca="false">IF(AND(H217=0,J217=0),0,IF(H217=0,"New",(J217-H217)/H217))</f>
        <v>New</v>
      </c>
      <c r="M217" s="7" t="str">
        <f aca="false">IF(AND(OR(C217&lt;&gt;0,H217&lt;&gt;0),D217=0,I217=0),"DROP",IF(AND(OR(D217&lt;&gt;0,I217&lt;&gt;0),C217=0,H217=0),"NEW",""))</f>
        <v>NEW</v>
      </c>
    </row>
    <row r="218" customFormat="false" ht="15" hidden="false" customHeight="false" outlineLevel="0" collapsed="false">
      <c r="A218" s="7" t="s">
        <v>242</v>
      </c>
      <c r="B218" s="7" t="str">
        <f aca="false">IFERROR(INDEX('Source'!$C:$C,MATCH($A218,'Source'!$B:$B,0)),"")</f>
        <v>רצועות פיקה לברך</v>
      </c>
      <c r="C218" s="8" t="n">
        <f aca="false">SUMIFS('Source'!$D:$D,'Source'!$A:$A,"160150 MAX KONNARIS LTD",'Source'!$B:$B,$A218)</f>
        <v>6</v>
      </c>
      <c r="D218" s="8" t="n">
        <f aca="false">SUMIFS('Source'!$F:$F,'Source'!$A:$A,"160150 MAX KONNARIS LTD",'Source'!$B:$B,$A218)</f>
        <v>9</v>
      </c>
      <c r="E218" s="8" t="n">
        <f aca="false">D218*$J$5</f>
        <v>11.3684210526316</v>
      </c>
      <c r="F218" s="8" t="n">
        <f aca="false">E218-C218</f>
        <v>5.36842105263158</v>
      </c>
      <c r="G218" s="9" t="n">
        <f aca="false">IF(AND(C218=0,E218=0),0,IF(C218=0,"New",(E218-C218)/C218))</f>
        <v>0.894736842105263</v>
      </c>
      <c r="H218" s="8" t="n">
        <f aca="false">SUMIFS('Source'!$E:$E,'Source'!$A:$A,"160150 MAX KONNARIS LTD",'Source'!$B:$B,$A218)</f>
        <v>141.33</v>
      </c>
      <c r="I218" s="8" t="n">
        <f aca="false">SUMIFS('Source'!$G:$G,'Source'!$A:$A,"160150 MAX KONNARIS LTD",'Source'!$B:$B,$A218)</f>
        <v>200.34</v>
      </c>
      <c r="J218" s="8" t="n">
        <f aca="false">I218*$J$5</f>
        <v>253.061052631579</v>
      </c>
      <c r="K218" s="8" t="n">
        <f aca="false">J218-H218</f>
        <v>111.731052631579</v>
      </c>
      <c r="L218" s="9" t="n">
        <f aca="false">IF(AND(H218=0,J218=0),0,IF(H218=0,"New",(J218-H218)/H218))</f>
        <v>0.790568546179714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675</v>
      </c>
      <c r="B219" s="7" t="str">
        <f aca="false">IFERROR(INDEX('Source'!$C:$C,MATCH($A219,'Source'!$B:$B,0)),"")</f>
        <v>מגן יד</v>
      </c>
      <c r="C219" s="8" t="n">
        <f aca="false">SUMIFS('Source'!$D:$D,'Source'!$A:$A,"160150 MAX KONNARIS LTD",'Source'!$B:$B,$A219)</f>
        <v>3</v>
      </c>
      <c r="D219" s="8" t="n">
        <f aca="false">SUMIFS('Source'!$F:$F,'Source'!$A:$A,"160150 MAX KONNARIS LTD",'Source'!$B:$B,$A219)</f>
        <v>0</v>
      </c>
      <c r="E219" s="8" t="n">
        <f aca="false">D219*$J$5</f>
        <v>0</v>
      </c>
      <c r="F219" s="8" t="n">
        <f aca="false">E219-C219</f>
        <v>-3</v>
      </c>
      <c r="G219" s="9" t="n">
        <f aca="false">IF(AND(C219=0,E219=0),0,IF(C219=0,"New",(E219-C219)/C219))</f>
        <v>-1</v>
      </c>
      <c r="H219" s="8" t="n">
        <f aca="false">SUMIFS('Source'!$E:$E,'Source'!$A:$A,"160150 MAX KONNARIS LTD",'Source'!$B:$B,$A219)</f>
        <v>53.75</v>
      </c>
      <c r="I219" s="8" t="n">
        <f aca="false">SUMIFS('Source'!$G:$G,'Source'!$A:$A,"160150 MAX KONNARIS LTD",'Source'!$B:$B,$A219)</f>
        <v>0</v>
      </c>
      <c r="J219" s="8" t="n">
        <f aca="false">I219*$J$5</f>
        <v>0</v>
      </c>
      <c r="K219" s="8" t="n">
        <f aca="false">J219-H219</f>
        <v>-53.75</v>
      </c>
      <c r="L219" s="9" t="n">
        <f aca="false">IF(AND(H219=0,J219=0),0,IF(H219=0,"New",(J219-H219)/H219))</f>
        <v>-1</v>
      </c>
      <c r="M219" s="7" t="str">
        <f aca="false">IF(AND(OR(C219&lt;&gt;0,H219&lt;&gt;0),D219=0,I219=0),"DROP",IF(AND(OR(D219&lt;&gt;0,I219&lt;&gt;0),C219=0,H219=0),"NEW",""))</f>
        <v>DROP</v>
      </c>
    </row>
    <row r="220" customFormat="false" ht="15" hidden="false" customHeight="false" outlineLevel="0" collapsed="false">
      <c r="A220" s="7" t="s">
        <v>805</v>
      </c>
      <c r="B220" s="7" t="str">
        <f aca="false">IFERROR(INDEX('Source'!$C:$C,MATCH($A220,'Source'!$B:$B,0)),"")</f>
        <v>מגן ברך חום</v>
      </c>
      <c r="C220" s="8" t="n">
        <f aca="false">SUMIFS('Source'!$D:$D,'Source'!$A:$A,"160150 MAX KONNARIS LTD",'Source'!$B:$B,$A220)</f>
        <v>10</v>
      </c>
      <c r="D220" s="8" t="n">
        <f aca="false">SUMIFS('Source'!$F:$F,'Source'!$A:$A,"160150 MAX KONNARIS LTD",'Source'!$B:$B,$A220)</f>
        <v>6</v>
      </c>
      <c r="E220" s="8" t="n">
        <f aca="false">D220*$J$5</f>
        <v>7.57894736842105</v>
      </c>
      <c r="F220" s="8" t="n">
        <f aca="false">E220-C220</f>
        <v>-2.42105263157895</v>
      </c>
      <c r="G220" s="9" t="n">
        <f aca="false">IF(AND(C220=0,E220=0),0,IF(C220=0,"New",(E220-C220)/C220))</f>
        <v>-0.242105263157895</v>
      </c>
      <c r="H220" s="8" t="n">
        <f aca="false">SUMIFS('Source'!$E:$E,'Source'!$A:$A,"160150 MAX KONNARIS LTD",'Source'!$B:$B,$A220)</f>
        <v>114.91</v>
      </c>
      <c r="I220" s="8" t="n">
        <f aca="false">SUMIFS('Source'!$G:$G,'Source'!$A:$A,"160150 MAX KONNARIS LTD",'Source'!$B:$B,$A220)</f>
        <v>65.03</v>
      </c>
      <c r="J220" s="8" t="n">
        <f aca="false">I220*$J$5</f>
        <v>82.1431578947369</v>
      </c>
      <c r="K220" s="8" t="n">
        <f aca="false">J220-H220</f>
        <v>-32.7668421052632</v>
      </c>
      <c r="L220" s="9" t="n">
        <f aca="false">IF(AND(H220=0,J220=0),0,IF(H220=0,"New",(J220-H220)/H220))</f>
        <v>-0.285152224395293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627</v>
      </c>
      <c r="B221" s="7" t="str">
        <f aca="false">IFERROR(INDEX('Source'!$C:$C,MATCH($A221,'Source'!$B:$B,0)),"")</f>
        <v>תחבושת אלסטית נצמדת צבע שחור</v>
      </c>
      <c r="C221" s="8" t="n">
        <f aca="false">SUMIFS('Source'!$D:$D,'Source'!$A:$A,"160150 MAX KONNARIS LTD",'Source'!$B:$B,$A221)</f>
        <v>84</v>
      </c>
      <c r="D221" s="8" t="n">
        <f aca="false">SUMIFS('Source'!$F:$F,'Source'!$A:$A,"160150 MAX KONNARIS LTD",'Source'!$B:$B,$A221)</f>
        <v>86</v>
      </c>
      <c r="E221" s="8" t="n">
        <f aca="false">D221*$J$5</f>
        <v>108.631578947368</v>
      </c>
      <c r="F221" s="8" t="n">
        <f aca="false">E221-C221</f>
        <v>24.6315789473684</v>
      </c>
      <c r="G221" s="9" t="n">
        <f aca="false">IF(AND(C221=0,E221=0),0,IF(C221=0,"New",(E221-C221)/C221))</f>
        <v>0.293233082706767</v>
      </c>
      <c r="H221" s="8" t="n">
        <f aca="false">SUMIFS('Source'!$E:$E,'Source'!$A:$A,"160150 MAX KONNARIS LTD",'Source'!$B:$B,$A221)</f>
        <v>595.13</v>
      </c>
      <c r="I221" s="8" t="n">
        <f aca="false">SUMIFS('Source'!$G:$G,'Source'!$A:$A,"160150 MAX KONNARIS LTD",'Source'!$B:$B,$A221)</f>
        <v>546.12</v>
      </c>
      <c r="J221" s="8" t="n">
        <f aca="false">I221*$J$5</f>
        <v>689.835789473684</v>
      </c>
      <c r="K221" s="8" t="n">
        <f aca="false">J221-H221</f>
        <v>94.7057894736842</v>
      </c>
      <c r="L221" s="9" t="n">
        <f aca="false">IF(AND(H221=0,J221=0),0,IF(H221=0,"New",(J221-H221)/H221))</f>
        <v>0.159134625163719</v>
      </c>
      <c r="M221" s="7" t="str">
        <f aca="false">IF(AND(OR(C221&lt;&gt;0,H221&lt;&gt;0),D221=0,I221=0),"DROP",IF(AND(OR(D221&lt;&gt;0,I221&lt;&gt;0),C221=0,H221=0),"NEW",""))</f>
        <v/>
      </c>
    </row>
    <row r="222" customFormat="false" ht="15" hidden="false" customHeight="false" outlineLevel="0" collapsed="false">
      <c r="A222" s="7" t="s">
        <v>597</v>
      </c>
      <c r="B222" s="7" t="str">
        <f aca="false">IFERROR(INDEX('Source'!$C:$C,MATCH($A222,'Source'!$B:$B,0)),"")</f>
        <v>מגן קרסול סגור</v>
      </c>
      <c r="C222" s="8" t="n">
        <f aca="false">SUMIFS('Source'!$D:$D,'Source'!$A:$A,"160150 MAX KONNARIS LTD",'Source'!$B:$B,$A222)</f>
        <v>3</v>
      </c>
      <c r="D222" s="8" t="n">
        <f aca="false">SUMIFS('Source'!$F:$F,'Source'!$A:$A,"160150 MAX KONNARIS LTD",'Source'!$B:$B,$A222)</f>
        <v>6</v>
      </c>
      <c r="E222" s="8" t="n">
        <f aca="false">D222*$J$5</f>
        <v>7.57894736842105</v>
      </c>
      <c r="F222" s="8" t="n">
        <f aca="false">E222-C222</f>
        <v>4.57894736842105</v>
      </c>
      <c r="G222" s="9" t="n">
        <f aca="false">IF(AND(C222=0,E222=0),0,IF(C222=0,"New",(E222-C222)/C222))</f>
        <v>1.52631578947368</v>
      </c>
      <c r="H222" s="8" t="n">
        <f aca="false">SUMIFS('Source'!$E:$E,'Source'!$A:$A,"160150 MAX KONNARIS LTD",'Source'!$B:$B,$A222)</f>
        <v>75.28</v>
      </c>
      <c r="I222" s="8" t="n">
        <f aca="false">SUMIFS('Source'!$G:$G,'Source'!$A:$A,"160150 MAX KONNARIS LTD",'Source'!$B:$B,$A222)</f>
        <v>123.21</v>
      </c>
      <c r="J222" s="8" t="n">
        <f aca="false">I222*$J$5</f>
        <v>155.633684210526</v>
      </c>
      <c r="K222" s="8" t="n">
        <f aca="false">J222-H222</f>
        <v>80.3536842105263</v>
      </c>
      <c r="L222" s="9" t="n">
        <f aca="false">IF(AND(H222=0,J222=0),0,IF(H222=0,"New",(J222-H222)/H222))</f>
        <v>1.06739750545333</v>
      </c>
      <c r="M222" s="7" t="str">
        <f aca="false">IF(AND(OR(C222&lt;&gt;0,H222&lt;&gt;0),D222=0,I222=0),"DROP",IF(AND(OR(D222&lt;&gt;0,I222&lt;&gt;0),C222=0,H222=0),"NEW",""))</f>
        <v/>
      </c>
    </row>
    <row r="223" customFormat="false" ht="15" hidden="false" customHeight="false" outlineLevel="0" collapsed="false">
      <c r="A223" s="7" t="s">
        <v>710</v>
      </c>
      <c r="B223" s="7" t="str">
        <f aca="false">IFERROR(INDEX('Source'!$C:$C,MATCH($A223,'Source'!$B:$B,0)),"")</f>
        <v>מגן קרסול שחור</v>
      </c>
      <c r="C223" s="8" t="n">
        <f aca="false">SUMIFS('Source'!$D:$D,'Source'!$A:$A,"160150 MAX KONNARIS LTD",'Source'!$B:$B,$A223)</f>
        <v>6</v>
      </c>
      <c r="D223" s="8" t="n">
        <f aca="false">SUMIFS('Source'!$F:$F,'Source'!$A:$A,"160150 MAX KONNARIS LTD",'Source'!$B:$B,$A223)</f>
        <v>3</v>
      </c>
      <c r="E223" s="8" t="n">
        <f aca="false">D223*$J$5</f>
        <v>3.78947368421053</v>
      </c>
      <c r="F223" s="8" t="n">
        <f aca="false">E223-C223</f>
        <v>-2.21052631578947</v>
      </c>
      <c r="G223" s="9" t="n">
        <f aca="false">IF(AND(C223=0,E223=0),0,IF(C223=0,"New",(E223-C223)/C223))</f>
        <v>-0.368421052631579</v>
      </c>
      <c r="H223" s="8" t="n">
        <f aca="false">SUMIFS('Source'!$E:$E,'Source'!$A:$A,"160150 MAX KONNARIS LTD",'Source'!$B:$B,$A223)</f>
        <v>77.79</v>
      </c>
      <c r="I223" s="8" t="n">
        <f aca="false">SUMIFS('Source'!$G:$G,'Source'!$A:$A,"160150 MAX KONNARIS LTD",'Source'!$B:$B,$A223)</f>
        <v>31.83</v>
      </c>
      <c r="J223" s="8" t="n">
        <f aca="false">I223*$J$5</f>
        <v>40.2063157894737</v>
      </c>
      <c r="K223" s="8" t="n">
        <f aca="false">J223-H223</f>
        <v>-37.5836842105263</v>
      </c>
      <c r="L223" s="9" t="n">
        <f aca="false">IF(AND(H223=0,J223=0),0,IF(H223=0,"New",(J223-H223)/H223))</f>
        <v>-0.483142874540768</v>
      </c>
      <c r="M223" s="7" t="str">
        <f aca="false">IF(AND(OR(C223&lt;&gt;0,H223&lt;&gt;0),D223=0,I223=0),"DROP",IF(AND(OR(D223&lt;&gt;0,I223&lt;&gt;0),C223=0,H223=0),"NEW",""))</f>
        <v/>
      </c>
    </row>
    <row r="224" customFormat="false" ht="15" hidden="false" customHeight="false" outlineLevel="0" collapsed="false">
      <c r="A224" s="7" t="s">
        <v>575</v>
      </c>
      <c r="B224" s="7" t="str">
        <f aca="false">IFERROR(INDEX('Source'!$C:$C,MATCH($A224,'Source'!$B:$B,0)),"")</f>
        <v>מגן קרסול</v>
      </c>
      <c r="C224" s="8" t="n">
        <f aca="false">SUMIFS('Source'!$D:$D,'Source'!$A:$A,"160150 MAX KONNARIS LTD",'Source'!$B:$B,$A224)</f>
        <v>30</v>
      </c>
      <c r="D224" s="8" t="n">
        <f aca="false">SUMIFS('Source'!$F:$F,'Source'!$A:$A,"160150 MAX KONNARIS LTD",'Source'!$B:$B,$A224)</f>
        <v>30</v>
      </c>
      <c r="E224" s="8" t="n">
        <f aca="false">D224*$J$5</f>
        <v>37.8947368421053</v>
      </c>
      <c r="F224" s="8" t="n">
        <f aca="false">E224-C224</f>
        <v>7.89473684210526</v>
      </c>
      <c r="G224" s="9" t="n">
        <f aca="false">IF(AND(C224=0,E224=0),0,IF(C224=0,"New",(E224-C224)/C224))</f>
        <v>0.263157894736842</v>
      </c>
      <c r="H224" s="8" t="n">
        <f aca="false">SUMIFS('Source'!$E:$E,'Source'!$A:$A,"160150 MAX KONNARIS LTD",'Source'!$B:$B,$A224)</f>
        <v>505.71</v>
      </c>
      <c r="I224" s="8" t="n">
        <f aca="false">SUMIFS('Source'!$G:$G,'Source'!$A:$A,"160150 MAX KONNARIS LTD",'Source'!$B:$B,$A224)</f>
        <v>462.84</v>
      </c>
      <c r="J224" s="8" t="n">
        <f aca="false">I224*$J$5</f>
        <v>584.64</v>
      </c>
      <c r="K224" s="8" t="n">
        <f aca="false">J224-H224</f>
        <v>78.93</v>
      </c>
      <c r="L224" s="9" t="n">
        <f aca="false">IF(AND(H224=0,J224=0),0,IF(H224=0,"New",(J224-H224)/H224))</f>
        <v>0.156077593877914</v>
      </c>
      <c r="M224" s="7" t="str">
        <f aca="false">IF(AND(OR(C224&lt;&gt;0,H224&lt;&gt;0),D224=0,I224=0),"DROP",IF(AND(OR(D224&lt;&gt;0,I224&lt;&gt;0),C224=0,H224=0),"NEW",""))</f>
        <v/>
      </c>
    </row>
    <row r="225" customFormat="false" ht="15" hidden="false" customHeight="false" outlineLevel="0" collapsed="false">
      <c r="A225" s="7" t="s">
        <v>515</v>
      </c>
      <c r="B225" s="7" t="str">
        <f aca="false">IFERROR(INDEX('Source'!$C:$C,MATCH($A225,'Source'!$B:$B,0)),"")</f>
        <v>טבעת אלסטית מסיליקון</v>
      </c>
      <c r="C225" s="8" t="n">
        <f aca="false">SUMIFS('Source'!$D:$D,'Source'!$A:$A,"160150 MAX KONNARIS LTD",'Source'!$B:$B,$A225)</f>
        <v>10</v>
      </c>
      <c r="D225" s="8" t="n">
        <f aca="false">SUMIFS('Source'!$F:$F,'Source'!$A:$A,"160150 MAX KONNARIS LTD",'Source'!$B:$B,$A225)</f>
        <v>0</v>
      </c>
      <c r="E225" s="8" t="n">
        <f aca="false">D225*$J$5</f>
        <v>0</v>
      </c>
      <c r="F225" s="8" t="n">
        <f aca="false">E225-C225</f>
        <v>-10</v>
      </c>
      <c r="G225" s="9" t="n">
        <f aca="false">IF(AND(C225=0,E225=0),0,IF(C225=0,"New",(E225-C225)/C225))</f>
        <v>-1</v>
      </c>
      <c r="H225" s="8" t="n">
        <f aca="false">SUMIFS('Source'!$E:$E,'Source'!$A:$A,"160150 MAX KONNARIS LTD",'Source'!$B:$B,$A225)</f>
        <v>41.41</v>
      </c>
      <c r="I225" s="8" t="n">
        <f aca="false">SUMIFS('Source'!$G:$G,'Source'!$A:$A,"160150 MAX KONNARIS LTD",'Source'!$B:$B,$A225)</f>
        <v>0</v>
      </c>
      <c r="J225" s="8" t="n">
        <f aca="false">I225*$J$5</f>
        <v>0</v>
      </c>
      <c r="K225" s="8" t="n">
        <f aca="false">J225-H225</f>
        <v>-41.41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false" outlineLevel="0" collapsed="false">
      <c r="A226" s="7" t="s">
        <v>578</v>
      </c>
      <c r="B226" s="7" t="str">
        <f aca="false">IFERROR(INDEX('Source'!$C:$C,MATCH($A226,'Source'!$B:$B,0)),"")</f>
        <v>מגן ברך רגיל</v>
      </c>
      <c r="C226" s="8" t="n">
        <f aca="false">SUMIFS('Source'!$D:$D,'Source'!$A:$A,"160150 MAX KONNARIS LTD",'Source'!$B:$B,$A226)</f>
        <v>3</v>
      </c>
      <c r="D226" s="8" t="n">
        <f aca="false">SUMIFS('Source'!$F:$F,'Source'!$A:$A,"160150 MAX KONNARIS LTD",'Source'!$B:$B,$A226)</f>
        <v>0</v>
      </c>
      <c r="E226" s="8" t="n">
        <f aca="false">D226*$J$5</f>
        <v>0</v>
      </c>
      <c r="F226" s="8" t="n">
        <f aca="false">E226-C226</f>
        <v>-3</v>
      </c>
      <c r="G226" s="9" t="n">
        <f aca="false">IF(AND(C226=0,E226=0),0,IF(C226=0,"New",(E226-C226)/C226))</f>
        <v>-1</v>
      </c>
      <c r="H226" s="8" t="n">
        <f aca="false">SUMIFS('Source'!$E:$E,'Source'!$A:$A,"160150 MAX KONNARIS LTD",'Source'!$B:$B,$A226)</f>
        <v>34.47</v>
      </c>
      <c r="I226" s="8" t="n">
        <f aca="false">SUMIFS('Source'!$G:$G,'Source'!$A:$A,"160150 MAX KONNARIS LTD",'Source'!$B:$B,$A226)</f>
        <v>0</v>
      </c>
      <c r="J226" s="8" t="n">
        <f aca="false">I226*$J$5</f>
        <v>0</v>
      </c>
      <c r="K226" s="8" t="n">
        <f aca="false">J226-H226</f>
        <v>-34.47</v>
      </c>
      <c r="L226" s="9" t="n">
        <f aca="false">IF(AND(H226=0,J226=0),0,IF(H226=0,"New",(J226-H226)/H226))</f>
        <v>-1</v>
      </c>
      <c r="M226" s="7" t="str">
        <f aca="false">IF(AND(OR(C226&lt;&gt;0,H226&lt;&gt;0),D226=0,I226=0),"DROP",IF(AND(OR(D226&lt;&gt;0,I226&lt;&gt;0),C226=0,H226=0),"NEW",""))</f>
        <v>DROP</v>
      </c>
    </row>
    <row r="227" customFormat="false" ht="15" hidden="false" customHeight="false" outlineLevel="0" collapsed="false">
      <c r="A227" s="7" t="s">
        <v>799</v>
      </c>
      <c r="B227" s="7" t="str">
        <f aca="false">IFERROR(INDEX('Source'!$C:$C,MATCH($A227,'Source'!$B:$B,0)),"")</f>
        <v>מגן מרפק</v>
      </c>
      <c r="C227" s="8" t="n">
        <f aca="false">SUMIFS('Source'!$D:$D,'Source'!$A:$A,"160150 MAX KONNARIS LTD",'Source'!$B:$B,$A227)</f>
        <v>3</v>
      </c>
      <c r="D227" s="8" t="n">
        <f aca="false">SUMIFS('Source'!$F:$F,'Source'!$A:$A,"160150 MAX KONNARIS LTD",'Source'!$B:$B,$A227)</f>
        <v>0</v>
      </c>
      <c r="E227" s="8" t="n">
        <f aca="false">D227*$J$5</f>
        <v>0</v>
      </c>
      <c r="F227" s="8" t="n">
        <f aca="false">E227-C227</f>
        <v>-3</v>
      </c>
      <c r="G227" s="9" t="n">
        <f aca="false">IF(AND(C227=0,E227=0),0,IF(C227=0,"New",(E227-C227)/C227))</f>
        <v>-1</v>
      </c>
      <c r="H227" s="8" t="n">
        <f aca="false">SUMIFS('Source'!$E:$E,'Source'!$A:$A,"160150 MAX KONNARIS LTD",'Source'!$B:$B,$A227)</f>
        <v>34.47</v>
      </c>
      <c r="I227" s="8" t="n">
        <f aca="false">SUMIFS('Source'!$G:$G,'Source'!$A:$A,"160150 MAX KONNARIS LTD",'Source'!$B:$B,$A227)</f>
        <v>0</v>
      </c>
      <c r="J227" s="8" t="n">
        <f aca="false">I227*$J$5</f>
        <v>0</v>
      </c>
      <c r="K227" s="8" t="n">
        <f aca="false">J227-H227</f>
        <v>-34.47</v>
      </c>
      <c r="L227" s="9" t="n">
        <f aca="false">IF(AND(H227=0,J227=0),0,IF(H227=0,"New",(J227-H227)/H227))</f>
        <v>-1</v>
      </c>
      <c r="M227" s="7" t="str">
        <f aca="false">IF(AND(OR(C227&lt;&gt;0,H227&lt;&gt;0),D227=0,I227=0),"DROP",IF(AND(OR(D227&lt;&gt;0,I227&lt;&gt;0),C227=0,H227=0),"NEW",""))</f>
        <v>DROP</v>
      </c>
    </row>
    <row r="228" customFormat="false" ht="15" hidden="false" customHeight="false" outlineLevel="0" collapsed="false">
      <c r="A228" s="7" t="s">
        <v>681</v>
      </c>
      <c r="B228" s="7" t="str">
        <f aca="false">IFERROR(INDEX('Source'!$C:$C,MATCH($A228,'Source'!$B:$B,0)),"")</f>
        <v>מגן מרפק שחור</v>
      </c>
      <c r="C228" s="8" t="n">
        <f aca="false">SUMIFS('Source'!$D:$D,'Source'!$A:$A,"160150 MAX KONNARIS LTD",'Source'!$B:$B,$A228)</f>
        <v>0</v>
      </c>
      <c r="D228" s="8" t="n">
        <f aca="false">SUMIFS('Source'!$F:$F,'Source'!$A:$A,"160150 MAX KONNARIS LTD",'Source'!$B:$B,$A228)</f>
        <v>3</v>
      </c>
      <c r="E228" s="8" t="n">
        <f aca="false">D228*$J$5</f>
        <v>3.78947368421053</v>
      </c>
      <c r="F228" s="8" t="n">
        <f aca="false">E228-C228</f>
        <v>3.78947368421053</v>
      </c>
      <c r="G228" s="9" t="str">
        <f aca="false">IF(AND(C228=0,E228=0),0,IF(C228=0,"New",(E228-C228)/C228))</f>
        <v>New</v>
      </c>
      <c r="H228" s="8" t="n">
        <f aca="false">SUMIFS('Source'!$E:$E,'Source'!$A:$A,"160150 MAX KONNARIS LTD",'Source'!$B:$B,$A228)</f>
        <v>0</v>
      </c>
      <c r="I228" s="8" t="n">
        <f aca="false">SUMIFS('Source'!$G:$G,'Source'!$A:$A,"160150 MAX KONNARIS LTD",'Source'!$B:$B,$A228)</f>
        <v>34.17</v>
      </c>
      <c r="J228" s="8" t="n">
        <f aca="false">I228*$J$5</f>
        <v>43.1621052631579</v>
      </c>
      <c r="K228" s="8" t="n">
        <f aca="false">J228-H228</f>
        <v>43.1621052631579</v>
      </c>
      <c r="L228" s="9" t="str">
        <f aca="false">IF(AND(H228=0,J228=0),0,IF(H228=0,"New",(J228-H228)/H228))</f>
        <v>New</v>
      </c>
      <c r="M228" s="7" t="str">
        <f aca="false">IF(AND(OR(C228&lt;&gt;0,H228&lt;&gt;0),D228=0,I228=0),"DROP",IF(AND(OR(D228&lt;&gt;0,I228&lt;&gt;0),C228=0,H228=0),"NEW",""))</f>
        <v>NEW</v>
      </c>
    </row>
    <row r="229" customFormat="false" ht="15" hidden="false" customHeight="false" outlineLevel="0" collapsed="false">
      <c r="A229" s="7" t="s">
        <v>524</v>
      </c>
      <c r="B229" s="7" t="str">
        <f aca="false">IFERROR(INDEX('Source'!$C:$C,MATCH($A229,'Source'!$B:$B,0)),"")</f>
        <v>מגן יד</v>
      </c>
      <c r="C229" s="8" t="n">
        <f aca="false">SUMIFS('Source'!$D:$D,'Source'!$A:$A,"160150 MAX KONNARIS LTD",'Source'!$B:$B,$A229)</f>
        <v>10</v>
      </c>
      <c r="D229" s="8" t="n">
        <f aca="false">SUMIFS('Source'!$F:$F,'Source'!$A:$A,"160150 MAX KONNARIS LTD",'Source'!$B:$B,$A229)</f>
        <v>9</v>
      </c>
      <c r="E229" s="8" t="n">
        <f aca="false">D229*$J$5</f>
        <v>11.3684210526316</v>
      </c>
      <c r="F229" s="8" t="n">
        <f aca="false">E229-C229</f>
        <v>1.36842105263158</v>
      </c>
      <c r="G229" s="9" t="n">
        <f aca="false">IF(AND(C229=0,E229=0),0,IF(C229=0,"New",(E229-C229)/C229))</f>
        <v>0.136842105263158</v>
      </c>
      <c r="H229" s="8" t="n">
        <f aca="false">SUMIFS('Source'!$E:$E,'Source'!$A:$A,"160150 MAX KONNARIS LTD",'Source'!$B:$B,$A229)</f>
        <v>179.18</v>
      </c>
      <c r="I229" s="8" t="n">
        <f aca="false">SUMIFS('Source'!$G:$G,'Source'!$A:$A,"160150 MAX KONNARIS LTD",'Source'!$B:$B,$A229)</f>
        <v>148.64</v>
      </c>
      <c r="J229" s="8" t="n">
        <f aca="false">I229*$J$5</f>
        <v>187.755789473684</v>
      </c>
      <c r="K229" s="8" t="n">
        <f aca="false">J229-H229</f>
        <v>8.57578947368418</v>
      </c>
      <c r="L229" s="9" t="n">
        <f aca="false">IF(AND(H229=0,J229=0),0,IF(H229=0,"New",(J229-H229)/H229))</f>
        <v>0.0478613097091427</v>
      </c>
      <c r="M229" s="7" t="str">
        <f aca="false">IF(AND(OR(C229&lt;&gt;0,H229&lt;&gt;0),D229=0,I229=0),"DROP",IF(AND(OR(D229&lt;&gt;0,I229&lt;&gt;0),C229=0,H229=0),"NEW",""))</f>
        <v/>
      </c>
    </row>
    <row r="230" customFormat="false" ht="15" hidden="false" customHeight="false" outlineLevel="0" collapsed="false">
      <c r="A230" s="7" t="s">
        <v>580</v>
      </c>
      <c r="B230" s="7" t="str">
        <f aca="false">IFERROR(INDEX('Source'!$C:$C,MATCH($A230,'Source'!$B:$B,0)),"")</f>
        <v>מגן ברך רגיל</v>
      </c>
      <c r="C230" s="8" t="n">
        <f aca="false">SUMIFS('Source'!$D:$D,'Source'!$A:$A,"160150 MAX KONNARIS LTD",'Source'!$B:$B,$A230)</f>
        <v>0</v>
      </c>
      <c r="D230" s="8" t="n">
        <f aca="false">SUMIFS('Source'!$F:$F,'Source'!$A:$A,"160150 MAX KONNARIS LTD",'Source'!$B:$B,$A230)</f>
        <v>3</v>
      </c>
      <c r="E230" s="8" t="n">
        <f aca="false">D230*$J$5</f>
        <v>3.78947368421053</v>
      </c>
      <c r="F230" s="8" t="n">
        <f aca="false">E230-C230</f>
        <v>3.78947368421053</v>
      </c>
      <c r="G230" s="9" t="str">
        <f aca="false">IF(AND(C230=0,E230=0),0,IF(C230=0,"New",(E230-C230)/C230))</f>
        <v>New</v>
      </c>
      <c r="H230" s="8" t="n">
        <f aca="false">SUMIFS('Source'!$E:$E,'Source'!$A:$A,"160150 MAX KONNARIS LTD",'Source'!$B:$B,$A230)</f>
        <v>0</v>
      </c>
      <c r="I230" s="8" t="n">
        <f aca="false">SUMIFS('Source'!$G:$G,'Source'!$A:$A,"160150 MAX KONNARIS LTD",'Source'!$B:$B,$A230)</f>
        <v>30.29</v>
      </c>
      <c r="J230" s="8" t="n">
        <f aca="false">I230*$J$5</f>
        <v>38.2610526315789</v>
      </c>
      <c r="K230" s="8" t="n">
        <f aca="false">J230-H230</f>
        <v>38.2610526315789</v>
      </c>
      <c r="L230" s="9" t="str">
        <f aca="false">IF(AND(H230=0,J230=0),0,IF(H230=0,"New",(J230-H230)/H230))</f>
        <v>New</v>
      </c>
      <c r="M230" s="7" t="str">
        <f aca="false">IF(AND(OR(C230&lt;&gt;0,H230&lt;&gt;0),D230=0,I230=0),"DROP",IF(AND(OR(D230&lt;&gt;0,I230&lt;&gt;0),C230=0,H230=0),"NEW",""))</f>
        <v>NEW</v>
      </c>
    </row>
    <row r="231" customFormat="false" ht="15" hidden="false" customHeight="false" outlineLevel="0" collapsed="false">
      <c r="A231" s="7" t="s">
        <v>650</v>
      </c>
      <c r="B231" s="7" t="str">
        <f aca="false">IFERROR(INDEX('Source'!$C:$C,MATCH($A231,'Source'!$B:$B,0)),"")</f>
        <v>כ.הפרדת אצבעות ס</v>
      </c>
      <c r="C231" s="8" t="n">
        <f aca="false">SUMIFS('Source'!$D:$D,'Source'!$A:$A,"160150 MAX KONNARIS LTD",'Source'!$B:$B,$A231)</f>
        <v>10</v>
      </c>
      <c r="D231" s="8" t="n">
        <f aca="false">SUMIFS('Source'!$F:$F,'Source'!$A:$A,"160150 MAX KONNARIS LTD",'Source'!$B:$B,$A231)</f>
        <v>6</v>
      </c>
      <c r="E231" s="8" t="n">
        <f aca="false">D231*$J$5</f>
        <v>7.57894736842105</v>
      </c>
      <c r="F231" s="8" t="n">
        <f aca="false">E231-C231</f>
        <v>-2.42105263157895</v>
      </c>
      <c r="G231" s="9" t="n">
        <f aca="false">IF(AND(C231=0,E231=0),0,IF(C231=0,"New",(E231-C231)/C231))</f>
        <v>-0.242105263157895</v>
      </c>
      <c r="H231" s="8" t="n">
        <f aca="false">SUMIFS('Source'!$E:$E,'Source'!$A:$A,"160150 MAX KONNARIS LTD",'Source'!$B:$B,$A231)</f>
        <v>66.22</v>
      </c>
      <c r="I231" s="8" t="n">
        <f aca="false">SUMIFS('Source'!$G:$G,'Source'!$A:$A,"160150 MAX KONNARIS LTD",'Source'!$B:$B,$A231)</f>
        <v>37.48</v>
      </c>
      <c r="J231" s="8" t="n">
        <f aca="false">I231*$J$5</f>
        <v>47.3431578947368</v>
      </c>
      <c r="K231" s="8" t="n">
        <f aca="false">J231-H231</f>
        <v>-18.8768421052632</v>
      </c>
      <c r="L231" s="9" t="n">
        <f aca="false">IF(AND(H231=0,J231=0),0,IF(H231=0,"New",(J231-H231)/H231))</f>
        <v>-0.285062550668426</v>
      </c>
      <c r="M231" s="7" t="str">
        <f aca="false">IF(AND(OR(C231&lt;&gt;0,H231&lt;&gt;0),D231=0,I231=0),"DROP",IF(AND(OR(D231&lt;&gt;0,I231&lt;&gt;0),C231=0,H231=0),"NEW",""))</f>
        <v/>
      </c>
    </row>
    <row r="232" customFormat="false" ht="15" hidden="false" customHeight="false" outlineLevel="0" collapsed="false">
      <c r="A232" s="7" t="s">
        <v>902</v>
      </c>
      <c r="B232" s="7" t="str">
        <f aca="false">IFERROR(INDEX('Source'!$C:$C,MATCH($A232,'Source'!$B:$B,0)),"")</f>
        <v>מגן מרפק בז'</v>
      </c>
      <c r="C232" s="8" t="n">
        <f aca="false">SUMIFS('Source'!$D:$D,'Source'!$A:$A,"160150 MAX KONNARIS LTD",'Source'!$B:$B,$A232)</f>
        <v>3</v>
      </c>
      <c r="D232" s="8" t="n">
        <f aca="false">SUMIFS('Source'!$F:$F,'Source'!$A:$A,"160150 MAX KONNARIS LTD",'Source'!$B:$B,$A232)</f>
        <v>6</v>
      </c>
      <c r="E232" s="8" t="n">
        <f aca="false">D232*$J$5</f>
        <v>7.57894736842105</v>
      </c>
      <c r="F232" s="8" t="n">
        <f aca="false">E232-C232</f>
        <v>4.57894736842105</v>
      </c>
      <c r="G232" s="9" t="n">
        <f aca="false">IF(AND(C232=0,E232=0),0,IF(C232=0,"New",(E232-C232)/C232))</f>
        <v>1.52631578947368</v>
      </c>
      <c r="H232" s="8" t="n">
        <f aca="false">SUMIFS('Source'!$E:$E,'Source'!$A:$A,"160150 MAX KONNARIS LTD",'Source'!$B:$B,$A232)</f>
        <v>35.06</v>
      </c>
      <c r="I232" s="8" t="n">
        <f aca="false">SUMIFS('Source'!$G:$G,'Source'!$A:$A,"160150 MAX KONNARIS LTD",'Source'!$B:$B,$A232)</f>
        <v>61.61</v>
      </c>
      <c r="J232" s="8" t="n">
        <f aca="false">I232*$J$5</f>
        <v>77.8231578947368</v>
      </c>
      <c r="K232" s="8" t="n">
        <f aca="false">J232-H232</f>
        <v>42.7631578947368</v>
      </c>
      <c r="L232" s="9" t="n">
        <f aca="false">IF(AND(H232=0,J232=0),0,IF(H232=0,"New",(J232-H232)/H232))</f>
        <v>1.21971357372324</v>
      </c>
      <c r="M232" s="7" t="str">
        <f aca="false">IF(AND(OR(C232&lt;&gt;0,H232&lt;&gt;0),D232=0,I232=0),"DROP",IF(AND(OR(D232&lt;&gt;0,I232&lt;&gt;0),C232=0,H232=0),"NEW",""))</f>
        <v/>
      </c>
    </row>
    <row r="233" customFormat="false" ht="15" hidden="false" customHeight="false" outlineLevel="0" collapsed="false">
      <c r="A233" s="7" t="s">
        <v>802</v>
      </c>
      <c r="B233" s="7" t="str">
        <f aca="false">IFERROR(INDEX('Source'!$C:$C,MATCH($A233,'Source'!$B:$B,0)),"")</f>
        <v>מגן קרסול שחור</v>
      </c>
      <c r="C233" s="8" t="n">
        <f aca="false">SUMIFS('Source'!$D:$D,'Source'!$A:$A,"160150 MAX KONNARIS LTD",'Source'!$B:$B,$A233)</f>
        <v>15</v>
      </c>
      <c r="D233" s="8" t="n">
        <f aca="false">SUMIFS('Source'!$F:$F,'Source'!$A:$A,"160150 MAX KONNARIS LTD",'Source'!$B:$B,$A233)</f>
        <v>20</v>
      </c>
      <c r="E233" s="8" t="n">
        <f aca="false">D233*$J$5</f>
        <v>25.2631578947368</v>
      </c>
      <c r="F233" s="8" t="n">
        <f aca="false">E233-C233</f>
        <v>10.2631578947368</v>
      </c>
      <c r="G233" s="9" t="n">
        <f aca="false">IF(AND(C233=0,E233=0),0,IF(C233=0,"New",(E233-C233)/C233))</f>
        <v>0.68421052631579</v>
      </c>
      <c r="H233" s="8" t="n">
        <f aca="false">SUMIFS('Source'!$E:$E,'Source'!$A:$A,"160150 MAX KONNARIS LTD",'Source'!$B:$B,$A233)</f>
        <v>194.47</v>
      </c>
      <c r="I233" s="8" t="n">
        <f aca="false">SUMIFS('Source'!$G:$G,'Source'!$A:$A,"160150 MAX KONNARIS LTD",'Source'!$B:$B,$A233)</f>
        <v>220</v>
      </c>
      <c r="J233" s="8" t="n">
        <f aca="false">I233*$J$5</f>
        <v>277.894736842105</v>
      </c>
      <c r="K233" s="8" t="n">
        <f aca="false">J233-H233</f>
        <v>83.4247368421053</v>
      </c>
      <c r="L233" s="9" t="n">
        <f aca="false">IF(AND(H233=0,J233=0),0,IF(H233=0,"New",(J233-H233)/H233))</f>
        <v>0.428985122857537</v>
      </c>
      <c r="M233" s="7" t="str">
        <f aca="false">IF(AND(OR(C233&lt;&gt;0,H233&lt;&gt;0),D233=0,I233=0),"DROP",IF(AND(OR(D233&lt;&gt;0,I233&lt;&gt;0),C233=0,H233=0),"NEW",""))</f>
        <v/>
      </c>
    </row>
    <row r="234" customFormat="false" ht="15" hidden="false" customHeight="false" outlineLevel="0" collapsed="false">
      <c r="A234" s="7" t="s">
        <v>729</v>
      </c>
      <c r="B234" s="7" t="str">
        <f aca="false">IFERROR(INDEX('Source'!$C:$C,MATCH($A234,'Source'!$B:$B,0)),"")</f>
        <v>מגן ברך ארוך בז'</v>
      </c>
      <c r="C234" s="8" t="n">
        <f aca="false">SUMIFS('Source'!$D:$D,'Source'!$A:$A,"160150 MAX KONNARIS LTD",'Source'!$B:$B,$A234)</f>
        <v>0</v>
      </c>
      <c r="D234" s="8" t="n">
        <f aca="false">SUMIFS('Source'!$F:$F,'Source'!$A:$A,"160150 MAX KONNARIS LTD",'Source'!$B:$B,$A234)</f>
        <v>2</v>
      </c>
      <c r="E234" s="8" t="n">
        <f aca="false">D234*$J$5</f>
        <v>2.52631578947368</v>
      </c>
      <c r="F234" s="8" t="n">
        <f aca="false">E234-C234</f>
        <v>2.52631578947368</v>
      </c>
      <c r="G234" s="9" t="str">
        <f aca="false">IF(AND(C234=0,E234=0),0,IF(C234=0,"New",(E234-C234)/C234))</f>
        <v>New</v>
      </c>
      <c r="H234" s="8" t="n">
        <f aca="false">SUMIFS('Source'!$E:$E,'Source'!$A:$A,"160150 MAX KONNARIS LTD",'Source'!$B:$B,$A234)</f>
        <v>0</v>
      </c>
      <c r="I234" s="8" t="n">
        <f aca="false">SUMIFS('Source'!$G:$G,'Source'!$A:$A,"160150 MAX KONNARIS LTD",'Source'!$B:$B,$A234)</f>
        <v>22.25</v>
      </c>
      <c r="J234" s="8" t="n">
        <f aca="false">I234*$J$5</f>
        <v>28.1052631578947</v>
      </c>
      <c r="K234" s="8" t="n">
        <f aca="false">J234-H234</f>
        <v>28.1052631578947</v>
      </c>
      <c r="L234" s="9" t="str">
        <f aca="false">IF(AND(H234=0,J234=0),0,IF(H234=0,"New",(J234-H234)/H234))</f>
        <v>New</v>
      </c>
      <c r="M234" s="7" t="str">
        <f aca="false">IF(AND(OR(C234&lt;&gt;0,H234&lt;&gt;0),D234=0,I234=0),"DROP",IF(AND(OR(D234&lt;&gt;0,I234&lt;&gt;0),C234=0,H234=0),"NEW",""))</f>
        <v>NEW</v>
      </c>
    </row>
    <row r="235" customFormat="false" ht="15" hidden="false" customHeight="false" outlineLevel="0" collapsed="false">
      <c r="A235" s="7" t="s">
        <v>466</v>
      </c>
      <c r="B235" s="7" t="str">
        <f aca="false">IFERROR(INDEX('Source'!$C:$C,MATCH($A235,'Source'!$B:$B,0)),"")</f>
        <v>חגורה אוורירית איטלקית</v>
      </c>
      <c r="C235" s="8" t="n">
        <f aca="false">SUMIFS('Source'!$D:$D,'Source'!$A:$A,"160150 MAX KONNARIS LTD",'Source'!$B:$B,$A235)</f>
        <v>3</v>
      </c>
      <c r="D235" s="8" t="n">
        <f aca="false">SUMIFS('Source'!$F:$F,'Source'!$A:$A,"160150 MAX KONNARIS LTD",'Source'!$B:$B,$A235)</f>
        <v>3</v>
      </c>
      <c r="E235" s="8" t="n">
        <f aca="false">D235*$J$5</f>
        <v>3.78947368421053</v>
      </c>
      <c r="F235" s="8" t="n">
        <f aca="false">E235-C235</f>
        <v>0.789473684210526</v>
      </c>
      <c r="G235" s="9" t="n">
        <f aca="false">IF(AND(C235=0,E235=0),0,IF(C235=0,"New",(E235-C235)/C235))</f>
        <v>0.263157894736842</v>
      </c>
      <c r="H235" s="8" t="n">
        <f aca="false">SUMIFS('Source'!$E:$E,'Source'!$A:$A,"160150 MAX KONNARIS LTD",'Source'!$B:$B,$A235)</f>
        <v>387.96</v>
      </c>
      <c r="I235" s="8" t="n">
        <f aca="false">SUMIFS('Source'!$G:$G,'Source'!$A:$A,"160150 MAX KONNARIS LTD",'Source'!$B:$B,$A235)</f>
        <v>365.95</v>
      </c>
      <c r="J235" s="8" t="n">
        <f aca="false">I235*$J$5</f>
        <v>462.252631578947</v>
      </c>
      <c r="K235" s="8" t="n">
        <f aca="false">J235-H235</f>
        <v>74.2926315789474</v>
      </c>
      <c r="L235" s="9" t="n">
        <f aca="false">IF(AND(H235=0,J235=0),0,IF(H235=0,"New",(J235-H235)/H235))</f>
        <v>0.191495596398978</v>
      </c>
      <c r="M235" s="7" t="str">
        <f aca="false">IF(AND(OR(C235&lt;&gt;0,H235&lt;&gt;0),D235=0,I235=0),"DROP",IF(AND(OR(D235&lt;&gt;0,I235&lt;&gt;0),C235=0,H235=0),"NEW",""))</f>
        <v/>
      </c>
    </row>
    <row r="236" customFormat="false" ht="15" hidden="false" customHeight="false" outlineLevel="0" collapsed="false">
      <c r="A236" s="7" t="s">
        <v>701</v>
      </c>
      <c r="B236" s="7" t="str">
        <f aca="false">IFERROR(INDEX('Source'!$C:$C,MATCH($A236,'Source'!$B:$B,0)),"")</f>
        <v>תחבושת אלסטית נצמדת צבע ירוק</v>
      </c>
      <c r="C236" s="8" t="n">
        <f aca="false">SUMIFS('Source'!$D:$D,'Source'!$A:$A,"160150 MAX KONNARIS LTD",'Source'!$B:$B,$A236)</f>
        <v>24</v>
      </c>
      <c r="D236" s="8" t="n">
        <f aca="false">SUMIFS('Source'!$F:$F,'Source'!$A:$A,"160150 MAX KONNARIS LTD",'Source'!$B:$B,$A236)</f>
        <v>24</v>
      </c>
      <c r="E236" s="8" t="n">
        <f aca="false">D236*$J$5</f>
        <v>30.3157894736842</v>
      </c>
      <c r="F236" s="8" t="n">
        <f aca="false">E236-C236</f>
        <v>6.31578947368421</v>
      </c>
      <c r="G236" s="9" t="n">
        <f aca="false">IF(AND(C236=0,E236=0),0,IF(C236=0,"New",(E236-C236)/C236))</f>
        <v>0.263157894736842</v>
      </c>
      <c r="H236" s="8" t="n">
        <f aca="false">SUMIFS('Source'!$E:$E,'Source'!$A:$A,"160150 MAX KONNARIS LTD",'Source'!$B:$B,$A236)</f>
        <v>180.67</v>
      </c>
      <c r="I236" s="8" t="n">
        <f aca="false">SUMIFS('Source'!$G:$G,'Source'!$A:$A,"160150 MAX KONNARIS LTD",'Source'!$B:$B,$A236)</f>
        <v>158.73</v>
      </c>
      <c r="J236" s="8" t="n">
        <f aca="false">I236*$J$5</f>
        <v>200.501052631579</v>
      </c>
      <c r="K236" s="8" t="n">
        <f aca="false">J236-H236</f>
        <v>19.8310526315789</v>
      </c>
      <c r="L236" s="9" t="n">
        <f aca="false">IF(AND(H236=0,J236=0),0,IF(H236=0,"New",(J236-H236)/H236))</f>
        <v>0.109763948810422</v>
      </c>
      <c r="M236" s="7" t="str">
        <f aca="false">IF(AND(OR(C236&lt;&gt;0,H236&lt;&gt;0),D236=0,I236=0),"DROP",IF(AND(OR(D236&lt;&gt;0,I236&lt;&gt;0),C236=0,H236=0),"NEW",""))</f>
        <v/>
      </c>
    </row>
    <row r="237" customFormat="false" ht="15" hidden="false" customHeight="false" outlineLevel="0" collapsed="false">
      <c r="A237" s="7" t="s">
        <v>161</v>
      </c>
      <c r="B237" s="7" t="str">
        <f aca="false">IFERROR(INDEX('Source'!$C:$C,MATCH($A237,'Source'!$B:$B,0)),"")</f>
        <v>סד לתמיכה פרק כף יד ואגודל</v>
      </c>
      <c r="C237" s="8" t="n">
        <f aca="false">SUMIFS('Source'!$D:$D,'Source'!$A:$A,"160150 MAX KONNARIS LTD",'Source'!$B:$B,$A237)</f>
        <v>10</v>
      </c>
      <c r="D237" s="8" t="n">
        <f aca="false">SUMIFS('Source'!$F:$F,'Source'!$A:$A,"160150 MAX KONNARIS LTD",'Source'!$B:$B,$A237)</f>
        <v>10</v>
      </c>
      <c r="E237" s="8" t="n">
        <f aca="false">D237*$J$5</f>
        <v>12.6315789473684</v>
      </c>
      <c r="F237" s="8" t="n">
        <f aca="false">E237-C237</f>
        <v>2.63157894736842</v>
      </c>
      <c r="G237" s="9" t="n">
        <f aca="false">IF(AND(C237=0,E237=0),0,IF(C237=0,"New",(E237-C237)/C237))</f>
        <v>0.263157894736842</v>
      </c>
      <c r="H237" s="8" t="n">
        <f aca="false">SUMIFS('Source'!$E:$E,'Source'!$A:$A,"160150 MAX KONNARIS LTD",'Source'!$B:$B,$A237)</f>
        <v>379.78</v>
      </c>
      <c r="I237" s="8" t="n">
        <f aca="false">SUMIFS('Source'!$G:$G,'Source'!$A:$A,"160150 MAX KONNARIS LTD",'Source'!$B:$B,$A237)</f>
        <v>358.23</v>
      </c>
      <c r="J237" s="8" t="n">
        <f aca="false">I237*$J$5</f>
        <v>452.501052631579</v>
      </c>
      <c r="K237" s="8" t="n">
        <f aca="false">J237-H237</f>
        <v>72.721052631579</v>
      </c>
      <c r="L237" s="9" t="n">
        <f aca="false">IF(AND(H237=0,J237=0),0,IF(H237=0,"New",(J237-H237)/H237))</f>
        <v>0.191482049164198</v>
      </c>
      <c r="M237" s="7" t="str">
        <f aca="false">IF(AND(OR(C237&lt;&gt;0,H237&lt;&gt;0),D237=0,I237=0),"DROP",IF(AND(OR(D237&lt;&gt;0,I237&lt;&gt;0),C237=0,H237=0),"NEW",""))</f>
        <v/>
      </c>
    </row>
    <row r="238" customFormat="false" ht="15" hidden="false" customHeight="false" outlineLevel="0" collapsed="false">
      <c r="A238" s="7" t="s">
        <v>572</v>
      </c>
      <c r="B238" s="7" t="str">
        <f aca="false">IFERROR(INDEX('Source'!$C:$C,MATCH($A238,'Source'!$B:$B,0)),"")</f>
        <v>מגן ברך רגיל</v>
      </c>
      <c r="C238" s="8" t="n">
        <f aca="false">SUMIFS('Source'!$D:$D,'Source'!$A:$A,"160150 MAX KONNARIS LTD",'Source'!$B:$B,$A238)</f>
        <v>0</v>
      </c>
      <c r="D238" s="8" t="n">
        <f aca="false">SUMIFS('Source'!$F:$F,'Source'!$A:$A,"160150 MAX KONNARIS LTD",'Source'!$B:$B,$A238)</f>
        <v>2</v>
      </c>
      <c r="E238" s="8" t="n">
        <f aca="false">D238*$J$5</f>
        <v>2.52631578947368</v>
      </c>
      <c r="F238" s="8" t="n">
        <f aca="false">E238-C238</f>
        <v>2.52631578947368</v>
      </c>
      <c r="G238" s="9" t="str">
        <f aca="false">IF(AND(C238=0,E238=0),0,IF(C238=0,"New",(E238-C238)/C238))</f>
        <v>New</v>
      </c>
      <c r="H238" s="8" t="n">
        <f aca="false">SUMIFS('Source'!$E:$E,'Source'!$A:$A,"160150 MAX KONNARIS LTD",'Source'!$B:$B,$A238)</f>
        <v>0</v>
      </c>
      <c r="I238" s="8" t="n">
        <f aca="false">SUMIFS('Source'!$G:$G,'Source'!$A:$A,"160150 MAX KONNARIS LTD",'Source'!$B:$B,$A238)</f>
        <v>20.19</v>
      </c>
      <c r="J238" s="8" t="n">
        <f aca="false">I238*$J$5</f>
        <v>25.5031578947368</v>
      </c>
      <c r="K238" s="8" t="n">
        <f aca="false">J238-H238</f>
        <v>25.5031578947368</v>
      </c>
      <c r="L238" s="9" t="str">
        <f aca="false">IF(AND(H238=0,J238=0),0,IF(H238=0,"New",(J238-H238)/H238))</f>
        <v>New</v>
      </c>
      <c r="M238" s="7" t="str">
        <f aca="false">IF(AND(OR(C238&lt;&gt;0,H238&lt;&gt;0),D238=0,I238=0),"DROP",IF(AND(OR(D238&lt;&gt;0,I238&lt;&gt;0),C238=0,H238=0),"NEW",""))</f>
        <v>NEW</v>
      </c>
    </row>
    <row r="239" customFormat="false" ht="15" hidden="false" customHeight="false" outlineLevel="0" collapsed="false">
      <c r="A239" s="7" t="s">
        <v>794</v>
      </c>
      <c r="B239" s="7" t="str">
        <f aca="false">IFERROR(INDEX('Source'!$C:$C,MATCH($A239,'Source'!$B:$B,0)),"")</f>
        <v>חגורת היריון</v>
      </c>
      <c r="C239" s="8" t="n">
        <f aca="false">SUMIFS('Source'!$D:$D,'Source'!$A:$A,"160150 MAX KONNARIS LTD",'Source'!$B:$B,$A239)</f>
        <v>3</v>
      </c>
      <c r="D239" s="8" t="n">
        <f aca="false">SUMIFS('Source'!$F:$F,'Source'!$A:$A,"160150 MAX KONNARIS LTD",'Source'!$B:$B,$A239)</f>
        <v>3</v>
      </c>
      <c r="E239" s="8" t="n">
        <f aca="false">D239*$J$5</f>
        <v>3.78947368421053</v>
      </c>
      <c r="F239" s="8" t="n">
        <f aca="false">E239-C239</f>
        <v>0.789473684210526</v>
      </c>
      <c r="G239" s="9" t="n">
        <f aca="false">IF(AND(C239=0,E239=0),0,IF(C239=0,"New",(E239-C239)/C239))</f>
        <v>0.263157894736842</v>
      </c>
      <c r="H239" s="8" t="n">
        <f aca="false">SUMIFS('Source'!$E:$E,'Source'!$A:$A,"160150 MAX KONNARIS LTD",'Source'!$B:$B,$A239)</f>
        <v>150.16</v>
      </c>
      <c r="I239" s="8" t="n">
        <f aca="false">SUMIFS('Source'!$G:$G,'Source'!$A:$A,"160150 MAX KONNARIS LTD",'Source'!$B:$B,$A239)</f>
        <v>131.94</v>
      </c>
      <c r="J239" s="8" t="n">
        <f aca="false">I239*$J$5</f>
        <v>166.661052631579</v>
      </c>
      <c r="K239" s="8" t="n">
        <f aca="false">J239-H239</f>
        <v>16.5010526315789</v>
      </c>
      <c r="L239" s="9" t="n">
        <f aca="false">IF(AND(H239=0,J239=0),0,IF(H239=0,"New",(J239-H239)/H239))</f>
        <v>0.109889801755321</v>
      </c>
      <c r="M239" s="7" t="str">
        <f aca="false">IF(AND(OR(C239&lt;&gt;0,H239&lt;&gt;0),D239=0,I239=0),"DROP",IF(AND(OR(D239&lt;&gt;0,I239&lt;&gt;0),C239=0,H239=0),"NEW",""))</f>
        <v/>
      </c>
    </row>
    <row r="240" customFormat="false" ht="15" hidden="false" customHeight="false" outlineLevel="0" collapsed="false">
      <c r="A240" s="7" t="s">
        <v>541</v>
      </c>
      <c r="B240" s="7" t="str">
        <f aca="false">IFERROR(INDEX('Source'!$C:$C,MATCH($A240,'Source'!$B:$B,0)),"")</f>
        <v>צווארון ספוג</v>
      </c>
      <c r="C240" s="8" t="n">
        <f aca="false">SUMIFS('Source'!$D:$D,'Source'!$A:$A,"160150 MAX KONNARIS LTD",'Source'!$B:$B,$A240)</f>
        <v>10</v>
      </c>
      <c r="D240" s="8" t="n">
        <f aca="false">SUMIFS('Source'!$F:$F,'Source'!$A:$A,"160150 MAX KONNARIS LTD",'Source'!$B:$B,$A240)</f>
        <v>10</v>
      </c>
      <c r="E240" s="8" t="n">
        <f aca="false">D240*$J$5</f>
        <v>12.6315789473684</v>
      </c>
      <c r="F240" s="8" t="n">
        <f aca="false">E240-C240</f>
        <v>2.63157894736842</v>
      </c>
      <c r="G240" s="9" t="n">
        <f aca="false">IF(AND(C240=0,E240=0),0,IF(C240=0,"New",(E240-C240)/C240))</f>
        <v>0.263157894736842</v>
      </c>
      <c r="H240" s="8" t="n">
        <f aca="false">SUMIFS('Source'!$E:$E,'Source'!$A:$A,"160150 MAX KONNARIS LTD",'Source'!$B:$B,$A240)</f>
        <v>292.14</v>
      </c>
      <c r="I240" s="8" t="n">
        <f aca="false">SUMIFS('Source'!$G:$G,'Source'!$A:$A,"160150 MAX KONNARIS LTD",'Source'!$B:$B,$A240)</f>
        <v>275.57</v>
      </c>
      <c r="J240" s="8" t="n">
        <f aca="false">I240*$J$5</f>
        <v>348.088421052632</v>
      </c>
      <c r="K240" s="8" t="n">
        <f aca="false">J240-H240</f>
        <v>55.9484210526315</v>
      </c>
      <c r="L240" s="9" t="n">
        <f aca="false">IF(AND(H240=0,J240=0),0,IF(H240=0,"New",(J240-H240)/H240))</f>
        <v>0.191512360692242</v>
      </c>
      <c r="M240" s="7" t="str">
        <f aca="false">IF(AND(OR(C240&lt;&gt;0,H240&lt;&gt;0),D240=0,I240=0),"DROP",IF(AND(OR(D240&lt;&gt;0,I240&lt;&gt;0),C240=0,H240=0),"NEW",""))</f>
        <v/>
      </c>
    </row>
    <row r="241" customFormat="false" ht="15" hidden="false" customHeight="false" outlineLevel="0" collapsed="false">
      <c r="A241" s="7" t="s">
        <v>792</v>
      </c>
      <c r="B241" s="7" t="str">
        <f aca="false">IFERROR(INDEX('Source'!$C:$C,MATCH($A241,'Source'!$B:$B,0)),"")</f>
        <v>סד לאגודל</v>
      </c>
      <c r="C241" s="8" t="n">
        <f aca="false">SUMIFS('Source'!$D:$D,'Source'!$A:$A,"160150 MAX KONNARIS LTD",'Source'!$B:$B,$A241)</f>
        <v>3</v>
      </c>
      <c r="D241" s="8" t="n">
        <f aca="false">SUMIFS('Source'!$F:$F,'Source'!$A:$A,"160150 MAX KONNARIS LTD",'Source'!$B:$B,$A241)</f>
        <v>3</v>
      </c>
      <c r="E241" s="8" t="n">
        <f aca="false">D241*$J$5</f>
        <v>3.78947368421053</v>
      </c>
      <c r="F241" s="8" t="n">
        <f aca="false">E241-C241</f>
        <v>0.789473684210526</v>
      </c>
      <c r="G241" s="9" t="n">
        <f aca="false">IF(AND(C241=0,E241=0),0,IF(C241=0,"New",(E241-C241)/C241))</f>
        <v>0.263157894736842</v>
      </c>
      <c r="H241" s="8" t="n">
        <f aca="false">SUMIFS('Source'!$E:$E,'Source'!$A:$A,"160150 MAX KONNARIS LTD",'Source'!$B:$B,$A241)</f>
        <v>120.36</v>
      </c>
      <c r="I241" s="8" t="n">
        <f aca="false">SUMIFS('Source'!$G:$G,'Source'!$A:$A,"160150 MAX KONNARIS LTD",'Source'!$B:$B,$A241)</f>
        <v>105.76</v>
      </c>
      <c r="J241" s="8" t="n">
        <f aca="false">I241*$J$5</f>
        <v>133.591578947368</v>
      </c>
      <c r="K241" s="8" t="n">
        <f aca="false">J241-H241</f>
        <v>13.2315789473684</v>
      </c>
      <c r="L241" s="9" t="n">
        <f aca="false">IF(AND(H241=0,J241=0),0,IF(H241=0,"New",(J241-H241)/H241))</f>
        <v>0.109933357821273</v>
      </c>
      <c r="M241" s="7" t="str">
        <f aca="false">IF(AND(OR(C241&lt;&gt;0,H241&lt;&gt;0),D241=0,I241=0),"DROP",IF(AND(OR(D241&lt;&gt;0,I241&lt;&gt;0),C241=0,H241=0),"NEW",""))</f>
        <v/>
      </c>
    </row>
    <row r="242" customFormat="false" ht="15" hidden="false" customHeight="false" outlineLevel="0" collapsed="false">
      <c r="A242" s="7" t="s">
        <v>473</v>
      </c>
      <c r="B242" s="7" t="str">
        <f aca="false">IFERROR(INDEX('Source'!$C:$C,MATCH($A242,'Source'!$B:$B,0)),"")</f>
        <v>מגן מרפק שחור</v>
      </c>
      <c r="C242" s="8" t="n">
        <f aca="false">SUMIFS('Source'!$D:$D,'Source'!$A:$A,"160150 MAX KONNARIS LTD",'Source'!$B:$B,$A242)</f>
        <v>10</v>
      </c>
      <c r="D242" s="8" t="n">
        <f aca="false">SUMIFS('Source'!$F:$F,'Source'!$A:$A,"160150 MAX KONNARIS LTD",'Source'!$B:$B,$A242)</f>
        <v>10</v>
      </c>
      <c r="E242" s="8" t="n">
        <f aca="false">D242*$J$5</f>
        <v>12.6315789473684</v>
      </c>
      <c r="F242" s="8" t="n">
        <f aca="false">E242-C242</f>
        <v>2.63157894736842</v>
      </c>
      <c r="G242" s="9" t="n">
        <f aca="false">IF(AND(C242=0,E242=0),0,IF(C242=0,"New",(E242-C242)/C242))</f>
        <v>0.263157894736842</v>
      </c>
      <c r="H242" s="8" t="n">
        <f aca="false">SUMIFS('Source'!$E:$E,'Source'!$A:$A,"160150 MAX KONNARIS LTD",'Source'!$B:$B,$A242)</f>
        <v>117.78</v>
      </c>
      <c r="I242" s="8" t="n">
        <f aca="false">SUMIFS('Source'!$G:$G,'Source'!$A:$A,"160150 MAX KONNARIS LTD",'Source'!$B:$B,$A242)</f>
        <v>106.1</v>
      </c>
      <c r="J242" s="8" t="n">
        <f aca="false">I242*$J$5</f>
        <v>134.021052631579</v>
      </c>
      <c r="K242" s="8" t="n">
        <f aca="false">J242-H242</f>
        <v>16.2410526315789</v>
      </c>
      <c r="L242" s="9" t="n">
        <f aca="false">IF(AND(H242=0,J242=0),0,IF(H242=0,"New",(J242-H242)/H242))</f>
        <v>0.13789312813363</v>
      </c>
      <c r="M242" s="7" t="str">
        <f aca="false">IF(AND(OR(C242&lt;&gt;0,H242&lt;&gt;0),D242=0,I242=0),"DROP",IF(AND(OR(D242&lt;&gt;0,I242&lt;&gt;0),C242=0,H242=0),"NEW",""))</f>
        <v/>
      </c>
    </row>
    <row r="243" customFormat="false" ht="15" hidden="false" customHeight="false" outlineLevel="0" collapsed="false">
      <c r="A243" s="7" t="s">
        <v>703</v>
      </c>
      <c r="B243" s="7" t="str">
        <f aca="false">IFERROR(INDEX('Source'!$C:$C,MATCH($A243,'Source'!$B:$B,0)),"")</f>
        <v>אטלטיק טייפ</v>
      </c>
      <c r="C243" s="8" t="n">
        <f aca="false">SUMIFS('Source'!$D:$D,'Source'!$A:$A,"160150 MAX KONNARIS LTD",'Source'!$B:$B,$A243)</f>
        <v>20</v>
      </c>
      <c r="D243" s="8" t="n">
        <f aca="false">SUMIFS('Source'!$F:$F,'Source'!$A:$A,"160150 MAX KONNARIS LTD",'Source'!$B:$B,$A243)</f>
        <v>20</v>
      </c>
      <c r="E243" s="8" t="n">
        <f aca="false">D243*$J$5</f>
        <v>25.2631578947368</v>
      </c>
      <c r="F243" s="8" t="n">
        <f aca="false">E243-C243</f>
        <v>5.26315789473684</v>
      </c>
      <c r="G243" s="9" t="n">
        <f aca="false">IF(AND(C243=0,E243=0),0,IF(C243=0,"New",(E243-C243)/C243))</f>
        <v>0.263157894736842</v>
      </c>
      <c r="H243" s="8" t="n">
        <f aca="false">SUMIFS('Source'!$E:$E,'Source'!$A:$A,"160150 MAX KONNARIS LTD",'Source'!$B:$B,$A243)</f>
        <v>198.66</v>
      </c>
      <c r="I243" s="8" t="n">
        <f aca="false">SUMIFS('Source'!$G:$G,'Source'!$A:$A,"160150 MAX KONNARIS LTD",'Source'!$B:$B,$A243)</f>
        <v>187.38</v>
      </c>
      <c r="J243" s="8" t="n">
        <f aca="false">I243*$J$5</f>
        <v>236.690526315789</v>
      </c>
      <c r="K243" s="8" t="n">
        <f aca="false">J243-H243</f>
        <v>38.0305263157894</v>
      </c>
      <c r="L243" s="9" t="n">
        <f aca="false">IF(AND(H243=0,J243=0),0,IF(H243=0,"New",(J243-H243)/H243))</f>
        <v>0.191435247738797</v>
      </c>
      <c r="M243" s="7" t="str">
        <f aca="false">IF(AND(OR(C243&lt;&gt;0,H243&lt;&gt;0),D243=0,I243=0),"DROP",IF(AND(OR(D243&lt;&gt;0,I243&lt;&gt;0),C243=0,H243=0),"NEW",""))</f>
        <v/>
      </c>
    </row>
    <row r="244" customFormat="false" ht="15" hidden="false" customHeight="false" outlineLevel="0" collapsed="false">
      <c r="A244" s="7" t="s">
        <v>482</v>
      </c>
      <c r="B244" s="7" t="str">
        <f aca="false">IFERROR(INDEX('Source'!$C:$C,MATCH($A244,'Source'!$B:$B,0)),"")</f>
        <v>ח.בטן 25 ס'מ</v>
      </c>
      <c r="C244" s="8" t="n">
        <f aca="false">SUMIFS('Source'!$D:$D,'Source'!$A:$A,"160150 MAX KONNARIS LTD",'Source'!$B:$B,$A244)</f>
        <v>6</v>
      </c>
      <c r="D244" s="8" t="n">
        <f aca="false">SUMIFS('Source'!$F:$F,'Source'!$A:$A,"160150 MAX KONNARIS LTD",'Source'!$B:$B,$A244)</f>
        <v>6</v>
      </c>
      <c r="E244" s="8" t="n">
        <f aca="false">D244*$J$5</f>
        <v>7.57894736842105</v>
      </c>
      <c r="F244" s="8" t="n">
        <f aca="false">E244-C244</f>
        <v>1.57894736842105</v>
      </c>
      <c r="G244" s="9" t="n">
        <f aca="false">IF(AND(C244=0,E244=0),0,IF(C244=0,"New",(E244-C244)/C244))</f>
        <v>0.263157894736842</v>
      </c>
      <c r="H244" s="8" t="n">
        <f aca="false">SUMIFS('Source'!$E:$E,'Source'!$A:$A,"160150 MAX KONNARIS LTD",'Source'!$B:$B,$A244)</f>
        <v>282.66</v>
      </c>
      <c r="I244" s="8" t="n">
        <f aca="false">SUMIFS('Source'!$G:$G,'Source'!$A:$A,"160150 MAX KONNARIS LTD",'Source'!$B:$B,$A244)</f>
        <v>273.36</v>
      </c>
      <c r="J244" s="8" t="n">
        <f aca="false">I244*$J$5</f>
        <v>345.296842105263</v>
      </c>
      <c r="K244" s="8" t="n">
        <f aca="false">J244-H244</f>
        <v>62.6368421052632</v>
      </c>
      <c r="L244" s="9" t="n">
        <f aca="false">IF(AND(H244=0,J244=0),0,IF(H244=0,"New",(J244-H244)/H244))</f>
        <v>0.221597828151359</v>
      </c>
      <c r="M244" s="7" t="str">
        <f aca="false">IF(AND(OR(C244&lt;&gt;0,H244&lt;&gt;0),D244=0,I244=0),"DROP",IF(AND(OR(D244&lt;&gt;0,I244&lt;&gt;0),C244=0,H244=0),"NEW",""))</f>
        <v/>
      </c>
    </row>
    <row r="245" customFormat="false" ht="15" hidden="false" customHeight="false" outlineLevel="0" collapsed="false">
      <c r="A245" s="7" t="s">
        <v>418</v>
      </c>
      <c r="B245" s="7" t="str">
        <f aca="false">IFERROR(INDEX('Source'!$C:$C,MATCH($A245,'Source'!$B:$B,0)),"")</f>
        <v>סט פלסטרים הידרוקולואידים 313</v>
      </c>
      <c r="C245" s="8" t="n">
        <f aca="false">SUMIFS('Source'!$D:$D,'Source'!$A:$A,"160150 MAX KONNARIS LTD",'Source'!$B:$B,$A245)</f>
        <v>10</v>
      </c>
      <c r="D245" s="8" t="n">
        <f aca="false">SUMIFS('Source'!$F:$F,'Source'!$A:$A,"160150 MAX KONNARIS LTD",'Source'!$B:$B,$A245)</f>
        <v>10</v>
      </c>
      <c r="E245" s="8" t="n">
        <f aca="false">D245*$J$5</f>
        <v>12.6315789473684</v>
      </c>
      <c r="F245" s="8" t="n">
        <f aca="false">E245-C245</f>
        <v>2.63157894736842</v>
      </c>
      <c r="G245" s="9" t="n">
        <f aca="false">IF(AND(C245=0,E245=0),0,IF(C245=0,"New",(E245-C245)/C245))</f>
        <v>0.263157894736842</v>
      </c>
      <c r="H245" s="8" t="n">
        <f aca="false">SUMIFS('Source'!$E:$E,'Source'!$A:$A,"160150 MAX KONNARIS LTD",'Source'!$B:$B,$A245)</f>
        <v>138.28</v>
      </c>
      <c r="I245" s="8" t="n">
        <f aca="false">SUMIFS('Source'!$G:$G,'Source'!$A:$A,"160150 MAX KONNARIS LTD",'Source'!$B:$B,$A245)</f>
        <v>130.43</v>
      </c>
      <c r="J245" s="8" t="n">
        <f aca="false">I245*$J$5</f>
        <v>164.753684210526</v>
      </c>
      <c r="K245" s="8" t="n">
        <f aca="false">J245-H245</f>
        <v>26.4736842105263</v>
      </c>
      <c r="L245" s="9" t="n">
        <f aca="false">IF(AND(H245=0,J245=0),0,IF(H245=0,"New",(J245-H245)/H245))</f>
        <v>0.19144984242498</v>
      </c>
      <c r="M245" s="7" t="str">
        <f aca="false">IF(AND(OR(C245&lt;&gt;0,H245&lt;&gt;0),D245=0,I245=0),"DROP",IF(AND(OR(D245&lt;&gt;0,I245&lt;&gt;0),C245=0,H245=0),"NEW",""))</f>
        <v/>
      </c>
    </row>
    <row r="246" customFormat="false" ht="15" hidden="false" customHeight="false" outlineLevel="0" collapsed="false">
      <c r="A246" s="7" t="s">
        <v>516</v>
      </c>
      <c r="B246" s="7" t="str">
        <f aca="false">IFERROR(INDEX('Source'!$C:$C,MATCH($A246,'Source'!$B:$B,0)),"")</f>
        <v>טבעת אלסטית מסי</v>
      </c>
      <c r="C246" s="8" t="n">
        <f aca="false">SUMIFS('Source'!$D:$D,'Source'!$A:$A,"160150 MAX KONNARIS LTD",'Source'!$B:$B,$A246)</f>
        <v>10</v>
      </c>
      <c r="D246" s="8" t="n">
        <f aca="false">SUMIFS('Source'!$F:$F,'Source'!$A:$A,"160150 MAX KONNARIS LTD",'Source'!$B:$B,$A246)</f>
        <v>10</v>
      </c>
      <c r="E246" s="8" t="n">
        <f aca="false">D246*$J$5</f>
        <v>12.6315789473684</v>
      </c>
      <c r="F246" s="8" t="n">
        <f aca="false">E246-C246</f>
        <v>2.63157894736842</v>
      </c>
      <c r="G246" s="9" t="n">
        <f aca="false">IF(AND(C246=0,E246=0),0,IF(C246=0,"New",(E246-C246)/C246))</f>
        <v>0.263157894736842</v>
      </c>
      <c r="H246" s="8" t="n">
        <f aca="false">SUMIFS('Source'!$E:$E,'Source'!$A:$A,"160150 MAX KONNARIS LTD",'Source'!$B:$B,$A246)</f>
        <v>68.39</v>
      </c>
      <c r="I246" s="8" t="n">
        <f aca="false">SUMIFS('Source'!$G:$G,'Source'!$A:$A,"160150 MAX KONNARIS LTD",'Source'!$B:$B,$A246)</f>
        <v>61.61</v>
      </c>
      <c r="J246" s="8" t="n">
        <f aca="false">I246*$J$5</f>
        <v>77.8231578947368</v>
      </c>
      <c r="K246" s="8" t="n">
        <f aca="false">J246-H246</f>
        <v>9.43315789473684</v>
      </c>
      <c r="L246" s="9" t="n">
        <f aca="false">IF(AND(H246=0,J246=0),0,IF(H246=0,"New",(J246-H246)/H246))</f>
        <v>0.137931830600042</v>
      </c>
      <c r="M246" s="7" t="str">
        <f aca="false">IF(AND(OR(C246&lt;&gt;0,H246&lt;&gt;0),D246=0,I246=0),"DROP",IF(AND(OR(D246&lt;&gt;0,I246&lt;&gt;0),C246=0,H246=0),"NEW",""))</f>
        <v/>
      </c>
    </row>
    <row r="247" customFormat="false" ht="15" hidden="false" customHeight="false" outlineLevel="0" collapsed="false">
      <c r="A247" s="7" t="s">
        <v>798</v>
      </c>
      <c r="B247" s="7" t="str">
        <f aca="false">IFERROR(INDEX('Source'!$C:$C,MATCH($A247,'Source'!$B:$B,0)),"")</f>
        <v>מדבקה ג'ל למניעת יבלות</v>
      </c>
      <c r="C247" s="8" t="n">
        <f aca="false">SUMIFS('Source'!$D:$D,'Source'!$A:$A,"160150 MAX KONNARIS LTD",'Source'!$B:$B,$A247)</f>
        <v>10</v>
      </c>
      <c r="D247" s="8" t="n">
        <f aca="false">SUMIFS('Source'!$F:$F,'Source'!$A:$A,"160150 MAX KONNARIS LTD",'Source'!$B:$B,$A247)</f>
        <v>10</v>
      </c>
      <c r="E247" s="8" t="n">
        <f aca="false">D247*$J$5</f>
        <v>12.6315789473684</v>
      </c>
      <c r="F247" s="8" t="n">
        <f aca="false">E247-C247</f>
        <v>2.63157894736842</v>
      </c>
      <c r="G247" s="9" t="n">
        <f aca="false">IF(AND(C247=0,E247=0),0,IF(C247=0,"New",(E247-C247)/C247))</f>
        <v>0.263157894736842</v>
      </c>
      <c r="H247" s="8" t="n">
        <f aca="false">SUMIFS('Source'!$E:$E,'Source'!$A:$A,"160150 MAX KONNARIS LTD",'Source'!$B:$B,$A247)</f>
        <v>108.28</v>
      </c>
      <c r="I247" s="8" t="n">
        <f aca="false">SUMIFS('Source'!$G:$G,'Source'!$A:$A,"160150 MAX KONNARIS LTD",'Source'!$B:$B,$A247)</f>
        <v>104.71</v>
      </c>
      <c r="J247" s="8" t="n">
        <f aca="false">I247*$J$5</f>
        <v>132.265263157895</v>
      </c>
      <c r="K247" s="8" t="n">
        <f aca="false">J247-H247</f>
        <v>23.9852631578947</v>
      </c>
      <c r="L247" s="9" t="n">
        <f aca="false">IF(AND(H247=0,J247=0),0,IF(H247=0,"New",(J247-H247)/H247))</f>
        <v>0.221511480955806</v>
      </c>
      <c r="M247" s="7" t="str">
        <f aca="false">IF(AND(OR(C247&lt;&gt;0,H247&lt;&gt;0),D247=0,I247=0),"DROP",IF(AND(OR(D247&lt;&gt;0,I247&lt;&gt;0),C247=0,H247=0),"NEW",""))</f>
        <v/>
      </c>
    </row>
    <row r="248" customFormat="false" ht="15" hidden="false" customHeight="false" outlineLevel="0" collapsed="false">
      <c r="A248" s="7" t="s">
        <v>761</v>
      </c>
      <c r="B248" s="7" t="str">
        <f aca="false">IFERROR(INDEX('Source'!$C:$C,MATCH($A248,'Source'!$B:$B,0)),"")</f>
        <v>תחבושת אלסטית נצמדת צבע וורוד</v>
      </c>
      <c r="C248" s="8" t="n">
        <f aca="false">SUMIFS('Source'!$D:$D,'Source'!$A:$A,"160150 MAX KONNARIS LTD",'Source'!$B:$B,$A248)</f>
        <v>12</v>
      </c>
      <c r="D248" s="8" t="n">
        <f aca="false">SUMIFS('Source'!$F:$F,'Source'!$A:$A,"160150 MAX KONNARIS LTD",'Source'!$B:$B,$A248)</f>
        <v>12</v>
      </c>
      <c r="E248" s="8" t="n">
        <f aca="false">D248*$J$5</f>
        <v>15.1578947368421</v>
      </c>
      <c r="F248" s="8" t="n">
        <f aca="false">E248-C248</f>
        <v>3.1578947368421</v>
      </c>
      <c r="G248" s="9" t="n">
        <f aca="false">IF(AND(C248=0,E248=0),0,IF(C248=0,"New",(E248-C248)/C248))</f>
        <v>0.263157894736842</v>
      </c>
      <c r="H248" s="8" t="n">
        <f aca="false">SUMIFS('Source'!$E:$E,'Source'!$A:$A,"160150 MAX KONNARIS LTD",'Source'!$B:$B,$A248)</f>
        <v>82.06</v>
      </c>
      <c r="I248" s="8" t="n">
        <f aca="false">SUMIFS('Source'!$G:$G,'Source'!$A:$A,"160150 MAX KONNARIS LTD",'Source'!$B:$B,$A248)</f>
        <v>79.36</v>
      </c>
      <c r="J248" s="8" t="n">
        <f aca="false">I248*$J$5</f>
        <v>100.244210526316</v>
      </c>
      <c r="K248" s="8" t="n">
        <f aca="false">J248-H248</f>
        <v>18.1842105263158</v>
      </c>
      <c r="L248" s="9" t="n">
        <f aca="false">IF(AND(H248=0,J248=0),0,IF(H248=0,"New",(J248-H248)/H248))</f>
        <v>0.2215965211591</v>
      </c>
      <c r="M248" s="7" t="str">
        <f aca="false">IF(AND(OR(C248&lt;&gt;0,H248&lt;&gt;0),D248=0,I248=0),"DROP",IF(AND(OR(D248&lt;&gt;0,I248&lt;&gt;0),C248=0,H248=0),"NEW",""))</f>
        <v/>
      </c>
    </row>
    <row r="249" customFormat="false" ht="15" hidden="false" customHeight="false" outlineLevel="0" collapsed="false">
      <c r="A249" s="7" t="s">
        <v>669</v>
      </c>
      <c r="B249" s="7" t="str">
        <f aca="false">IFERROR(INDEX('Source'!$C:$C,MATCH($A249,'Source'!$B:$B,0)),"")</f>
        <v>מגן ברך ארוך בז'</v>
      </c>
      <c r="C249" s="8" t="n">
        <f aca="false">SUMIFS('Source'!$D:$D,'Source'!$A:$A,"160150 MAX KONNARIS LTD",'Source'!$B:$B,$A249)</f>
        <v>6</v>
      </c>
      <c r="D249" s="8" t="n">
        <f aca="false">SUMIFS('Source'!$F:$F,'Source'!$A:$A,"160150 MAX KONNARIS LTD",'Source'!$B:$B,$A249)</f>
        <v>6</v>
      </c>
      <c r="E249" s="8" t="n">
        <f aca="false">D249*$J$5</f>
        <v>7.57894736842105</v>
      </c>
      <c r="F249" s="8" t="n">
        <f aca="false">E249-C249</f>
        <v>1.57894736842105</v>
      </c>
      <c r="G249" s="9" t="n">
        <f aca="false">IF(AND(C249=0,E249=0),0,IF(C249=0,"New",(E249-C249)/C249))</f>
        <v>0.263157894736842</v>
      </c>
      <c r="H249" s="8" t="n">
        <f aca="false">SUMIFS('Source'!$E:$E,'Source'!$A:$A,"160150 MAX KONNARIS LTD",'Source'!$B:$B,$A249)</f>
        <v>74.08</v>
      </c>
      <c r="I249" s="8" t="n">
        <f aca="false">SUMIFS('Source'!$G:$G,'Source'!$A:$A,"160150 MAX KONNARIS LTD",'Source'!$B:$B,$A249)</f>
        <v>71.65</v>
      </c>
      <c r="J249" s="8" t="n">
        <f aca="false">I249*$J$5</f>
        <v>90.5052631578948</v>
      </c>
      <c r="K249" s="8" t="n">
        <f aca="false">J249-H249</f>
        <v>16.4252631578947</v>
      </c>
      <c r="L249" s="9" t="n">
        <f aca="false">IF(AND(H249=0,J249=0),0,IF(H249=0,"New",(J249-H249)/H249))</f>
        <v>0.221723314766398</v>
      </c>
      <c r="M249" s="7" t="str">
        <f aca="false">IF(AND(OR(C249&lt;&gt;0,H249&lt;&gt;0),D249=0,I249=0),"DROP",IF(AND(OR(D249&lt;&gt;0,I249&lt;&gt;0),C249=0,H249=0),"NEW",""))</f>
        <v/>
      </c>
    </row>
    <row r="250" customFormat="false" ht="15" hidden="false" customHeight="false" outlineLevel="0" collapsed="false">
      <c r="A250" s="7" t="s">
        <v>987</v>
      </c>
      <c r="B250" s="7" t="str">
        <f aca="false">IFERROR(INDEX('Source'!$C:$C,MATCH($A250,'Source'!$B:$B,0)),"")</f>
        <v>סטנד URIEL שחור מסתובב מתכת 35 ס''מ לבתי מרקחת</v>
      </c>
      <c r="C250" s="8" t="n">
        <f aca="false">SUMIFS('Source'!$D:$D,'Source'!$A:$A,"160150 MAX KONNARIS LTD",'Source'!$B:$B,$A250)</f>
        <v>6</v>
      </c>
      <c r="D250" s="8" t="n">
        <f aca="false">SUMIFS('Source'!$F:$F,'Source'!$A:$A,"160150 MAX KONNARIS LTD",'Source'!$B:$B,$A250)</f>
        <v>0</v>
      </c>
      <c r="E250" s="8" t="n">
        <f aca="false">D250*$J$5</f>
        <v>0</v>
      </c>
      <c r="F250" s="8" t="n">
        <f aca="false">E250-C250</f>
        <v>-6</v>
      </c>
      <c r="G250" s="9" t="n">
        <f aca="false">IF(AND(C250=0,E250=0),0,IF(C250=0,"New",(E250-C250)/C250))</f>
        <v>-1</v>
      </c>
      <c r="H250" s="8" t="n">
        <f aca="false">SUMIFS('Source'!$E:$E,'Source'!$A:$A,"160150 MAX KONNARIS LTD",'Source'!$B:$B,$A250)</f>
        <v>0.23</v>
      </c>
      <c r="I250" s="8" t="n">
        <f aca="false">SUMIFS('Source'!$G:$G,'Source'!$A:$A,"160150 MAX KONNARIS LTD",'Source'!$B:$B,$A250)</f>
        <v>0</v>
      </c>
      <c r="J250" s="8" t="n">
        <f aca="false">I250*$J$5</f>
        <v>0</v>
      </c>
      <c r="K250" s="8" t="n">
        <f aca="false">J250-H250</f>
        <v>-0.23</v>
      </c>
      <c r="L250" s="9" t="n">
        <f aca="false">IF(AND(H250=0,J250=0),0,IF(H250=0,"New",(J250-H250)/H250))</f>
        <v>-1</v>
      </c>
      <c r="M250" s="7" t="str">
        <f aca="false">IF(AND(OR(C250&lt;&gt;0,H250&lt;&gt;0),D250=0,I250=0),"DROP",IF(AND(OR(D250&lt;&gt;0,I250&lt;&gt;0),C250=0,H250=0),"NEW",""))</f>
        <v>DROP</v>
      </c>
    </row>
    <row r="251" customFormat="false" ht="15" hidden="false" customHeight="false" outlineLevel="0" collapsed="false">
      <c r="A251" s="7" t="s">
        <v>988</v>
      </c>
      <c r="B251" s="7" t="str">
        <f aca="false">IFERROR(INDEX('Source'!$C:$C,MATCH($A251,'Source'!$B:$B,0)),"")</f>
        <v>סטנד URIEL לבן  מתכת 20 סמ לבתי מרקחת</v>
      </c>
      <c r="C251" s="8" t="n">
        <f aca="false">SUMIFS('Source'!$D:$D,'Source'!$A:$A,"160150 MAX KONNARIS LTD",'Source'!$B:$B,$A251)</f>
        <v>4</v>
      </c>
      <c r="D251" s="8" t="n">
        <f aca="false">SUMIFS('Source'!$F:$F,'Source'!$A:$A,"160150 MAX KONNARIS LTD",'Source'!$B:$B,$A251)</f>
        <v>0</v>
      </c>
      <c r="E251" s="8" t="n">
        <f aca="false">D251*$J$5</f>
        <v>0</v>
      </c>
      <c r="F251" s="8" t="n">
        <f aca="false">E251-C251</f>
        <v>-4</v>
      </c>
      <c r="G251" s="9" t="n">
        <f aca="false">IF(AND(C251=0,E251=0),0,IF(C251=0,"New",(E251-C251)/C251))</f>
        <v>-1</v>
      </c>
      <c r="H251" s="8" t="n">
        <f aca="false">SUMIFS('Source'!$E:$E,'Source'!$A:$A,"160150 MAX KONNARIS LTD",'Source'!$B:$B,$A251)</f>
        <v>0.16</v>
      </c>
      <c r="I251" s="8" t="n">
        <f aca="false">SUMIFS('Source'!$G:$G,'Source'!$A:$A,"160150 MAX KONNARIS LTD",'Source'!$B:$B,$A251)</f>
        <v>0</v>
      </c>
      <c r="J251" s="8" t="n">
        <f aca="false">I251*$J$5</f>
        <v>0</v>
      </c>
      <c r="K251" s="8" t="n">
        <f aca="false">J251-H251</f>
        <v>-0.16</v>
      </c>
      <c r="L251" s="9" t="n">
        <f aca="false">IF(AND(H251=0,J251=0),0,IF(H251=0,"New",(J251-H251)/H251))</f>
        <v>-1</v>
      </c>
      <c r="M251" s="7" t="str">
        <f aca="false">IF(AND(OR(C251&lt;&gt;0,H251&lt;&gt;0),D251=0,I251=0),"DROP",IF(AND(OR(D251&lt;&gt;0,I251&lt;&gt;0),C251=0,H251=0),"NEW",""))</f>
        <v>DROP</v>
      </c>
    </row>
    <row r="252" customFormat="false" ht="15" hidden="false" customHeight="false" outlineLevel="0" collapsed="false">
      <c r="A252" s="7" t="s">
        <v>118</v>
      </c>
      <c r="B252" s="7" t="str">
        <f aca="false">IFERROR(INDEX('Source'!$C:$C,MATCH($A252,'Source'!$B:$B,0)),"")</f>
        <v>גרבי קיץ אנטיבקטריאלי שחור</v>
      </c>
      <c r="C252" s="8" t="n">
        <f aca="false">SUMIFS('Source'!$D:$D,'Source'!$A:$A,"160150 MAX KONNARIS LTD",'Source'!$B:$B,$A252)</f>
        <v>1</v>
      </c>
      <c r="D252" s="8" t="n">
        <f aca="false">SUMIFS('Source'!$F:$F,'Source'!$A:$A,"160150 MAX KONNARIS LTD",'Source'!$B:$B,$A252)</f>
        <v>0</v>
      </c>
      <c r="E252" s="8" t="n">
        <f aca="false">D252*$J$5</f>
        <v>0</v>
      </c>
      <c r="F252" s="8" t="n">
        <f aca="false">E252-C252</f>
        <v>-1</v>
      </c>
      <c r="G252" s="9" t="n">
        <f aca="false">IF(AND(C252=0,E252=0),0,IF(C252=0,"New",(E252-C252)/C252))</f>
        <v>-1</v>
      </c>
      <c r="H252" s="8" t="n">
        <f aca="false">SUMIFS('Source'!$E:$E,'Source'!$A:$A,"160150 MAX KONNARIS LTD",'Source'!$B:$B,$A252)</f>
        <v>0.04</v>
      </c>
      <c r="I252" s="8" t="n">
        <f aca="false">SUMIFS('Source'!$G:$G,'Source'!$A:$A,"160150 MAX KONNARIS LTD",'Source'!$B:$B,$A252)</f>
        <v>0</v>
      </c>
      <c r="J252" s="8" t="n">
        <f aca="false">I252*$J$5</f>
        <v>0</v>
      </c>
      <c r="K252" s="8" t="n">
        <f aca="false">J252-H252</f>
        <v>-0.04</v>
      </c>
      <c r="L252" s="9" t="n">
        <f aca="false">IF(AND(H252=0,J252=0),0,IF(H252=0,"New",(J252-H252)/H252))</f>
        <v>-1</v>
      </c>
      <c r="M252" s="7" t="str">
        <f aca="false">IF(AND(OR(C252&lt;&gt;0,H252&lt;&gt;0),D252=0,I252=0),"DROP",IF(AND(OR(D252&lt;&gt;0,I252&lt;&gt;0),C252=0,H252=0),"NEW",""))</f>
        <v>DROP</v>
      </c>
    </row>
    <row r="253" customFormat="false" ht="15" hidden="false" customHeight="false" outlineLevel="0" collapsed="false">
      <c r="A253" s="7" t="s">
        <v>583</v>
      </c>
      <c r="B253" s="7" t="str">
        <f aca="false">IFERROR(INDEX('Source'!$C:$C,MATCH($A253,'Source'!$B:$B,0)),"")</f>
        <v>גרבי חורף אנטיבקטריאלי לבן</v>
      </c>
      <c r="C253" s="8" t="n">
        <f aca="false">SUMIFS('Source'!$D:$D,'Source'!$A:$A,"160150 MAX KONNARIS LTD",'Source'!$B:$B,$A253)</f>
        <v>1</v>
      </c>
      <c r="D253" s="8" t="n">
        <f aca="false">SUMIFS('Source'!$F:$F,'Source'!$A:$A,"160150 MAX KONNARIS LTD",'Source'!$B:$B,$A253)</f>
        <v>0</v>
      </c>
      <c r="E253" s="8" t="n">
        <f aca="false">D253*$J$5</f>
        <v>0</v>
      </c>
      <c r="F253" s="8" t="n">
        <f aca="false">E253-C253</f>
        <v>-1</v>
      </c>
      <c r="G253" s="9" t="n">
        <f aca="false">IF(AND(C253=0,E253=0),0,IF(C253=0,"New",(E253-C253)/C253))</f>
        <v>-1</v>
      </c>
      <c r="H253" s="8" t="n">
        <f aca="false">SUMIFS('Source'!$E:$E,'Source'!$A:$A,"160150 MAX KONNARIS LTD",'Source'!$B:$B,$A253)</f>
        <v>0.04</v>
      </c>
      <c r="I253" s="8" t="n">
        <f aca="false">SUMIFS('Source'!$G:$G,'Source'!$A:$A,"160150 MAX KONNARIS LTD",'Source'!$B:$B,$A253)</f>
        <v>0</v>
      </c>
      <c r="J253" s="8" t="n">
        <f aca="false">I253*$J$5</f>
        <v>0</v>
      </c>
      <c r="K253" s="8" t="n">
        <f aca="false">J253-H253</f>
        <v>-0.04</v>
      </c>
      <c r="L253" s="9" t="n">
        <f aca="false">IF(AND(H253=0,J253=0),0,IF(H253=0,"New",(J253-H253)/H253))</f>
        <v>-1</v>
      </c>
      <c r="M253" s="7" t="str">
        <f aca="false">IF(AND(OR(C253&lt;&gt;0,H253&lt;&gt;0),D253=0,I253=0),"DROP",IF(AND(OR(D253&lt;&gt;0,I253&lt;&gt;0),C253=0,H253=0),"NEW",""))</f>
        <v>DROP</v>
      </c>
    </row>
    <row r="255" customFormat="false" ht="15" hidden="false" customHeight="false" outlineLevel="0" collapsed="false">
      <c r="A255" s="17"/>
      <c r="B255" s="18" t="s">
        <v>97</v>
      </c>
      <c r="C255" s="19" t="n">
        <f aca="false">SUM(C9:C253)</f>
        <v>3507</v>
      </c>
      <c r="D255" s="19" t="n">
        <f aca="false">SUM(D9:D253)</f>
        <v>2337</v>
      </c>
      <c r="E255" s="19" t="n">
        <f aca="false">SUM(E9:E253)</f>
        <v>2952</v>
      </c>
      <c r="F255" s="19" t="n">
        <f aca="false">SUM(F9:F253)</f>
        <v>-555</v>
      </c>
      <c r="G255" s="20" t="n">
        <f aca="false">IF(C255=0,"N/A",F255/C255)</f>
        <v>-0.158254918733961</v>
      </c>
      <c r="H255" s="19" t="n">
        <f aca="false">SUM(H9:H253)</f>
        <v>86855.65</v>
      </c>
      <c r="I255" s="19" t="n">
        <f aca="false">SUM(I9:I253)</f>
        <v>60462.39</v>
      </c>
      <c r="J255" s="19" t="n">
        <f aca="false">SUM(J9:J253)</f>
        <v>76373.5452631579</v>
      </c>
      <c r="K255" s="19" t="n">
        <f aca="false">SUM(K9:K253)</f>
        <v>-10482.1047368421</v>
      </c>
      <c r="L255" s="20" t="n">
        <f aca="false">IF(H255=0,"N/A",K255/H255)</f>
        <v>-0.12068420116414</v>
      </c>
      <c r="M25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989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990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SUMPRODUCT(--(((C9:C173&lt;&gt;0)+(H9:H173&lt;&gt;0)&gt;0)*((D9:D173=0)*(I9:I173=0))))</f>
        <v>83</v>
      </c>
      <c r="C5" s="13" t="s">
        <v>47</v>
      </c>
      <c r="D5" s="14" t="n">
        <f aca="false">SUMPRODUCT(--(((D9:D173&lt;&gt;0)+(I9:I173&lt;&gt;0)&gt;0)*((C9:C173=0)*(H9:H173=0))))</f>
        <v>17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SUMPRODUCT(--(((C9:C173&lt;&gt;0)+(H9:H173&lt;&gt;0)&gt;0)*((D9:D173=0)*(I9:I173=0)))*C9:C173)</f>
        <v>243</v>
      </c>
      <c r="C6" s="13" t="s">
        <v>50</v>
      </c>
      <c r="D6" s="14" t="n">
        <f aca="false">SUMPRODUCT(--(((C9:C173&lt;&gt;0)+(H9:H173&lt;&gt;0)&gt;0)*((D9:D173=0)*(I9:I173=0)))*H9:H173)</f>
        <v>13460.59</v>
      </c>
      <c r="E6" s="13" t="s">
        <v>51</v>
      </c>
      <c r="F6" s="14" t="n">
        <f aca="false">SUMPRODUCT(--(((D9:D173&lt;&gt;0)+(I9:I173&lt;&gt;0)&gt;0)*((C9:C173=0)*(H9:H173=0)))*D9:D173)</f>
        <v>52</v>
      </c>
      <c r="G6" s="13" t="s">
        <v>52</v>
      </c>
      <c r="H6" s="14" t="n">
        <f aca="false">SUMPRODUCT(--(((D9:D173&lt;&gt;0)+(I9:I173&lt;&gt;0)&gt;0)*((C9:C173=0)*(H9:H173=0)))*I9:I173)</f>
        <v>3461.13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138</v>
      </c>
      <c r="B9" s="7" t="str">
        <f aca="false">IFERROR(INDEX('Source'!$C:$C,MATCH($A9,'Source'!$B:$B,0)),"")</f>
        <v>חגורת פאבליק (רצועות אבדוקציה)</v>
      </c>
      <c r="C9" s="8" t="n">
        <f aca="false">SUMIFS('Source'!$D:$D,'Source'!$A:$A,"151209 רוני אורטופדיה  בע""מ - רמבם",'Source'!$B:$B,$A9)</f>
        <v>22</v>
      </c>
      <c r="D9" s="8" t="n">
        <f aca="false">SUMIFS('Source'!$F:$F,'Source'!$A:$A,"151209 רוני אורטופדיה  בע""מ - רמבם",'Source'!$B:$B,$A9)</f>
        <v>53</v>
      </c>
      <c r="E9" s="8" t="n">
        <f aca="false">D9*$J$5</f>
        <v>66.9473684210526</v>
      </c>
      <c r="F9" s="8" t="n">
        <f aca="false">E9-C9</f>
        <v>44.9473684210526</v>
      </c>
      <c r="G9" s="9" t="n">
        <f aca="false">IF(AND(C9=0,E9=0),0,IF(C9=0,"New",(E9-C9)/C9))</f>
        <v>2.04306220095694</v>
      </c>
      <c r="H9" s="8" t="n">
        <f aca="false">SUMIFS('Source'!$E:$E,'Source'!$A:$A,"151209 רוני אורטופדיה  בע""מ - רמבם",'Source'!$B:$B,$A9)</f>
        <v>5226.02</v>
      </c>
      <c r="I9" s="8" t="n">
        <f aca="false">SUMIFS('Source'!$G:$G,'Source'!$A:$A,"151209 רוני אורטופדיה  בע""מ - רמבם",'Source'!$B:$B,$A9)</f>
        <v>13289.84</v>
      </c>
      <c r="J9" s="8" t="n">
        <f aca="false">I9*$J$5</f>
        <v>16787.1663157895</v>
      </c>
      <c r="K9" s="8" t="n">
        <f aca="false">J9-H9</f>
        <v>11561.1463157895</v>
      </c>
      <c r="L9" s="9" t="n">
        <f aca="false">IF(AND(H9=0,J9=0),0,IF(H9=0,"New",(J9-H9)/H9))</f>
        <v>2.21222772124666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200</v>
      </c>
      <c r="B10" s="7" t="str">
        <f aca="false">IFERROR(INDEX('Source'!$C:$C,MATCH($A10,'Source'!$B:$B,0)),"")</f>
        <v>חגורת פאבליק (רצועות אבדוקציה)</v>
      </c>
      <c r="C10" s="8" t="n">
        <f aca="false">SUMIFS('Source'!$D:$D,'Source'!$A:$A,"151209 רוני אורטופדיה  בע""מ - רמבם",'Source'!$B:$B,$A10)</f>
        <v>30</v>
      </c>
      <c r="D10" s="8" t="n">
        <f aca="false">SUMIFS('Source'!$F:$F,'Source'!$A:$A,"151209 רוני אורטופדיה  בע""מ - רמבם",'Source'!$B:$B,$A10)</f>
        <v>49</v>
      </c>
      <c r="E10" s="8" t="n">
        <f aca="false">D10*$J$5</f>
        <v>61.8947368421053</v>
      </c>
      <c r="F10" s="8" t="n">
        <f aca="false">E10-C10</f>
        <v>31.8947368421053</v>
      </c>
      <c r="G10" s="9" t="n">
        <f aca="false">IF(AND(C10=0,E10=0),0,IF(C10=0,"New",(E10-C10)/C10))</f>
        <v>1.06315789473684</v>
      </c>
      <c r="H10" s="8" t="n">
        <f aca="false">SUMIFS('Source'!$E:$E,'Source'!$A:$A,"151209 רוני אורטופדיה  בע""מ - רמבם",'Source'!$B:$B,$A10)</f>
        <v>6812.01</v>
      </c>
      <c r="I10" s="8" t="n">
        <f aca="false">SUMIFS('Source'!$G:$G,'Source'!$A:$A,"151209 רוני אורטופדיה  בע""מ - רמבם",'Source'!$B:$B,$A10)</f>
        <v>12436.13</v>
      </c>
      <c r="J10" s="8" t="n">
        <f aca="false">I10*$J$5</f>
        <v>15708.7957894737</v>
      </c>
      <c r="K10" s="8" t="n">
        <f aca="false">J10-H10</f>
        <v>8896.78578947368</v>
      </c>
      <c r="L10" s="9" t="n">
        <f aca="false">IF(AND(H10=0,J10=0),0,IF(H10=0,"New",(J10-H10)/H10))</f>
        <v>1.30604414695129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386</v>
      </c>
      <c r="B11" s="7" t="str">
        <f aca="false">IFERROR(INDEX('Source'!$C:$C,MATCH($A11,'Source'!$B:$B,0)),"")</f>
        <v>חגורה למנותחי בית החזה</v>
      </c>
      <c r="C11" s="8" t="n">
        <f aca="false">SUMIFS('Source'!$D:$D,'Source'!$A:$A,"151209 רוני אורטופדיה  בע""מ - רמבם",'Source'!$B:$B,$A11)</f>
        <v>7</v>
      </c>
      <c r="D11" s="8" t="n">
        <f aca="false">SUMIFS('Source'!$F:$F,'Source'!$A:$A,"151209 רוני אורטופדיה  בע""מ - רמבם",'Source'!$B:$B,$A11)</f>
        <v>22</v>
      </c>
      <c r="E11" s="8" t="n">
        <f aca="false">D11*$J$5</f>
        <v>27.7894736842105</v>
      </c>
      <c r="F11" s="8" t="n">
        <f aca="false">E11-C11</f>
        <v>20.7894736842105</v>
      </c>
      <c r="G11" s="9" t="n">
        <f aca="false">IF(AND(C11=0,E11=0),0,IF(C11=0,"New",(E11-C11)/C11))</f>
        <v>2.96992481203008</v>
      </c>
      <c r="H11" s="8" t="n">
        <f aca="false">SUMIFS('Source'!$E:$E,'Source'!$A:$A,"151209 רוני אורטופדיה  בע""מ - רמבם",'Source'!$B:$B,$A11)</f>
        <v>909.98</v>
      </c>
      <c r="I11" s="8" t="n">
        <f aca="false">SUMIFS('Source'!$G:$G,'Source'!$A:$A,"151209 רוני אורטופדיה  בע""מ - רמבם",'Source'!$B:$B,$A11)</f>
        <v>2859.95</v>
      </c>
      <c r="J11" s="8" t="n">
        <f aca="false">I11*$J$5</f>
        <v>3612.56842105263</v>
      </c>
      <c r="K11" s="8" t="n">
        <f aca="false">J11-H11</f>
        <v>2702.58842105263</v>
      </c>
      <c r="L11" s="9" t="n">
        <f aca="false">IF(AND(H11=0,J11=0),0,IF(H11=0,"New",(J11-H11)/H11))</f>
        <v>2.96994265923716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655</v>
      </c>
      <c r="B12" s="7" t="str">
        <f aca="false">IFERROR(INDEX('Source'!$C:$C,MATCH($A12,'Source'!$B:$B,0)),"")</f>
        <v>חגורה למנותחי בית החזה</v>
      </c>
      <c r="C12" s="8" t="n">
        <f aca="false">SUMIFS('Source'!$D:$D,'Source'!$A:$A,"151209 רוני אורטופדיה  בע""מ - רמבם",'Source'!$B:$B,$A12)</f>
        <v>26</v>
      </c>
      <c r="D12" s="8" t="n">
        <f aca="false">SUMIFS('Source'!$F:$F,'Source'!$A:$A,"151209 רוני אורטופדיה  בע""מ - רמבם",'Source'!$B:$B,$A12)</f>
        <v>39</v>
      </c>
      <c r="E12" s="8" t="n">
        <f aca="false">D12*$J$5</f>
        <v>49.2631578947368</v>
      </c>
      <c r="F12" s="8" t="n">
        <f aca="false">E12-C12</f>
        <v>23.2631578947368</v>
      </c>
      <c r="G12" s="9" t="n">
        <f aca="false">IF(AND(C12=0,E12=0),0,IF(C12=0,"New",(E12-C12)/C12))</f>
        <v>0.894736842105263</v>
      </c>
      <c r="H12" s="8" t="n">
        <f aca="false">SUMIFS('Source'!$E:$E,'Source'!$A:$A,"151209 רוני אורטופדיה  בע""מ - רמבם",'Source'!$B:$B,$A12)</f>
        <v>3405.89</v>
      </c>
      <c r="I12" s="8" t="n">
        <f aca="false">SUMIFS('Source'!$G:$G,'Source'!$A:$A,"151209 רוני אורטופדיה  בע""מ - רמבם",'Source'!$B:$B,$A12)</f>
        <v>5069.87</v>
      </c>
      <c r="J12" s="8" t="n">
        <f aca="false">I12*$J$5</f>
        <v>6404.04631578947</v>
      </c>
      <c r="K12" s="8" t="n">
        <f aca="false">J12-H12</f>
        <v>2998.15631578947</v>
      </c>
      <c r="L12" s="9" t="n">
        <f aca="false">IF(AND(H12=0,J12=0),0,IF(H12=0,"New",(J12-H12)/H12))</f>
        <v>0.880285715566114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101</v>
      </c>
      <c r="B13" s="7" t="str">
        <f aca="false">IFERROR(INDEX('Source'!$C:$C,MATCH($A13,'Source'!$B:$B,0)),"")</f>
        <v>מיישר כתפיים</v>
      </c>
      <c r="C13" s="8" t="n">
        <f aca="false">SUMIFS('Source'!$D:$D,'Source'!$A:$A,"151209 רוני אורטופדיה  בע""מ - רמבם",'Source'!$B:$B,$A13)</f>
        <v>7</v>
      </c>
      <c r="D13" s="8" t="n">
        <f aca="false">SUMIFS('Source'!$F:$F,'Source'!$A:$A,"151209 רוני אורטופדיה  בע""מ - רמבם",'Source'!$B:$B,$A13)</f>
        <v>25</v>
      </c>
      <c r="E13" s="8" t="n">
        <f aca="false">D13*$J$5</f>
        <v>31.5789473684211</v>
      </c>
      <c r="F13" s="8" t="n">
        <f aca="false">E13-C13</f>
        <v>24.5789473684211</v>
      </c>
      <c r="G13" s="9" t="n">
        <f aca="false">IF(AND(C13=0,E13=0),0,IF(C13=0,"New",(E13-C13)/C13))</f>
        <v>3.51127819548872</v>
      </c>
      <c r="H13" s="8" t="n">
        <f aca="false">SUMIFS('Source'!$E:$E,'Source'!$A:$A,"151209 רוני אורטופדיה  בע""מ - רמבם",'Source'!$B:$B,$A13)</f>
        <v>508.25</v>
      </c>
      <c r="I13" s="8" t="n">
        <f aca="false">SUMIFS('Source'!$G:$G,'Source'!$A:$A,"151209 רוני אורטופדיה  בע""מ - רמבם",'Source'!$B:$B,$A13)</f>
        <v>1977.16</v>
      </c>
      <c r="J13" s="8" t="n">
        <f aca="false">I13*$J$5</f>
        <v>2497.46526315789</v>
      </c>
      <c r="K13" s="8" t="n">
        <f aca="false">J13-H13</f>
        <v>1989.21526315789</v>
      </c>
      <c r="L13" s="9" t="n">
        <f aca="false">IF(AND(H13=0,J13=0),0,IF(H13=0,"New",(J13-H13)/H13))</f>
        <v>3.91385196883009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372</v>
      </c>
      <c r="B14" s="7" t="str">
        <f aca="false">IFERROR(INDEX('Source'!$C:$C,MATCH($A14,'Source'!$B:$B,0)),"")</f>
        <v>חגורת פאבליק (רצועות אבדוקציה)</v>
      </c>
      <c r="C14" s="8" t="n">
        <f aca="false">SUMIFS('Source'!$D:$D,'Source'!$A:$A,"151209 רוני אורטופדיה  בע""מ - רמבם",'Source'!$B:$B,$A14)</f>
        <v>5</v>
      </c>
      <c r="D14" s="8" t="n">
        <f aca="false">SUMIFS('Source'!$F:$F,'Source'!$A:$A,"151209 רוני אורטופדיה  בע""מ - רמבם",'Source'!$B:$B,$A14)</f>
        <v>9</v>
      </c>
      <c r="E14" s="8" t="n">
        <f aca="false">D14*$J$5</f>
        <v>11.3684210526316</v>
      </c>
      <c r="F14" s="8" t="n">
        <f aca="false">E14-C14</f>
        <v>6.36842105263158</v>
      </c>
      <c r="G14" s="9" t="n">
        <f aca="false">IF(AND(C14=0,E14=0),0,IF(C14=0,"New",(E14-C14)/C14))</f>
        <v>1.27368421052632</v>
      </c>
      <c r="H14" s="8" t="n">
        <f aca="false">SUMIFS('Source'!$E:$E,'Source'!$A:$A,"151209 רוני אורטופדיה  בע""מ - רמבם",'Source'!$B:$B,$A14)</f>
        <v>1186.01</v>
      </c>
      <c r="I14" s="8" t="n">
        <f aca="false">SUMIFS('Source'!$G:$G,'Source'!$A:$A,"151209 רוני אורטופדיה  בע""מ - רמבם",'Source'!$B:$B,$A14)</f>
        <v>2191</v>
      </c>
      <c r="J14" s="8" t="n">
        <f aca="false">I14*$J$5</f>
        <v>2767.57894736842</v>
      </c>
      <c r="K14" s="8" t="n">
        <f aca="false">J14-H14</f>
        <v>1581.56894736842</v>
      </c>
      <c r="L14" s="9" t="n">
        <f aca="false">IF(AND(H14=0,J14=0),0,IF(H14=0,"New",(J14-H14)/H14))</f>
        <v>1.33352075224359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391</v>
      </c>
      <c r="B15" s="7" t="str">
        <f aca="false">IFERROR(INDEX('Source'!$C:$C,MATCH($A15,'Source'!$B:$B,0)),"")</f>
        <v>חגורה אחרי ניתוח</v>
      </c>
      <c r="C15" s="8" t="n">
        <f aca="false">SUMIFS('Source'!$D:$D,'Source'!$A:$A,"151209 רוני אורטופדיה  בע""מ - רמבם",'Source'!$B:$B,$A15)</f>
        <v>10</v>
      </c>
      <c r="D15" s="8" t="n">
        <f aca="false">SUMIFS('Source'!$F:$F,'Source'!$A:$A,"151209 רוני אורטופדיה  בע""מ - רמבם",'Source'!$B:$B,$A15)</f>
        <v>18</v>
      </c>
      <c r="E15" s="8" t="n">
        <f aca="false">D15*$J$5</f>
        <v>22.7368421052632</v>
      </c>
      <c r="F15" s="8" t="n">
        <f aca="false">E15-C15</f>
        <v>12.7368421052632</v>
      </c>
      <c r="G15" s="9" t="n">
        <f aca="false">IF(AND(C15=0,E15=0),0,IF(C15=0,"New",(E15-C15)/C15))</f>
        <v>1.27368421052632</v>
      </c>
      <c r="H15" s="8" t="n">
        <f aca="false">SUMIFS('Source'!$E:$E,'Source'!$A:$A,"151209 רוני אורטופדיה  בע""מ - רמבם",'Source'!$B:$B,$A15)</f>
        <v>983.56</v>
      </c>
      <c r="I15" s="8" t="n">
        <f aca="false">SUMIFS('Source'!$G:$G,'Source'!$A:$A,"151209 רוני אורטופדיה  בע""מ - רמבם",'Source'!$B:$B,$A15)</f>
        <v>1890.03</v>
      </c>
      <c r="J15" s="8" t="n">
        <f aca="false">I15*$J$5</f>
        <v>2387.40631578947</v>
      </c>
      <c r="K15" s="8" t="n">
        <f aca="false">J15-H15</f>
        <v>1403.84631578947</v>
      </c>
      <c r="L15" s="9" t="n">
        <f aca="false">IF(AND(H15=0,J15=0),0,IF(H15=0,"New",(J15-H15)/H15))</f>
        <v>1.42731131378815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147</v>
      </c>
      <c r="B16" s="7" t="str">
        <f aca="false">IFERROR(INDEX('Source'!$C:$C,MATCH($A16,'Source'!$B:$B,0)),"")</f>
        <v>חגורה למנותחי בית חזה</v>
      </c>
      <c r="C16" s="8" t="n">
        <f aca="false">SUMIFS('Source'!$D:$D,'Source'!$A:$A,"151209 רוני אורטופדיה  בע""מ - רמבם",'Source'!$B:$B,$A16)</f>
        <v>13</v>
      </c>
      <c r="D16" s="8" t="n">
        <f aca="false">SUMIFS('Source'!$F:$F,'Source'!$A:$A,"151209 רוני אורטופדיה  בע""מ - רמבם",'Source'!$B:$B,$A16)</f>
        <v>18</v>
      </c>
      <c r="E16" s="8" t="n">
        <f aca="false">D16*$J$5</f>
        <v>22.7368421052632</v>
      </c>
      <c r="F16" s="8" t="n">
        <f aca="false">E16-C16</f>
        <v>9.73684210526316</v>
      </c>
      <c r="G16" s="9" t="n">
        <f aca="false">IF(AND(C16=0,E16=0),0,IF(C16=0,"New",(E16-C16)/C16))</f>
        <v>0.748987854251012</v>
      </c>
      <c r="H16" s="8" t="n">
        <f aca="false">SUMIFS('Source'!$E:$E,'Source'!$A:$A,"151209 רוני אורטופדיה  בע""מ - רמבם",'Source'!$B:$B,$A16)</f>
        <v>2185.02</v>
      </c>
      <c r="I16" s="8" t="n">
        <f aca="false">SUMIFS('Source'!$G:$G,'Source'!$A:$A,"151209 רוני אורטופדיה  בע""מ - רמבם",'Source'!$B:$B,$A16)</f>
        <v>3060.06</v>
      </c>
      <c r="J16" s="8" t="n">
        <f aca="false">I16*$J$5</f>
        <v>3865.33894736842</v>
      </c>
      <c r="K16" s="8" t="n">
        <f aca="false">J16-H16</f>
        <v>1680.31894736842</v>
      </c>
      <c r="L16" s="9" t="n">
        <f aca="false">IF(AND(H16=0,J16=0),0,IF(H16=0,"New",(J16-H16)/H16))</f>
        <v>0.769017650807966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196</v>
      </c>
      <c r="B17" s="7" t="str">
        <f aca="false">IFERROR(INDEX('Source'!$C:$C,MATCH($A17,'Source'!$B:$B,0)),"")</f>
        <v>חגורה אחרי ניתוח</v>
      </c>
      <c r="C17" s="8" t="n">
        <f aca="false">SUMIFS('Source'!$D:$D,'Source'!$A:$A,"151209 רוני אורטופדיה  בע""מ - רמבם",'Source'!$B:$B,$A17)</f>
        <v>15</v>
      </c>
      <c r="D17" s="8" t="n">
        <f aca="false">SUMIFS('Source'!$F:$F,'Source'!$A:$A,"151209 רוני אורטופדיה  בע""מ - רמבם",'Source'!$B:$B,$A17)</f>
        <v>7</v>
      </c>
      <c r="E17" s="8" t="n">
        <f aca="false">D17*$J$5</f>
        <v>8.84210526315789</v>
      </c>
      <c r="F17" s="8" t="n">
        <f aca="false">E17-C17</f>
        <v>-6.15789473684211</v>
      </c>
      <c r="G17" s="9" t="n">
        <f aca="false">IF(AND(C17=0,E17=0),0,IF(C17=0,"New",(E17-C17)/C17))</f>
        <v>-0.410526315789474</v>
      </c>
      <c r="H17" s="8" t="n">
        <f aca="false">SUMIFS('Source'!$E:$E,'Source'!$A:$A,"151209 רוני אורטופדיה  בע""מ - רמבם",'Source'!$B:$B,$A17)</f>
        <v>1475.37</v>
      </c>
      <c r="I17" s="8" t="n">
        <f aca="false">SUMIFS('Source'!$G:$G,'Source'!$A:$A,"151209 רוני אורטופדיה  בע""מ - רמבם",'Source'!$B:$B,$A17)</f>
        <v>735.02</v>
      </c>
      <c r="J17" s="8" t="n">
        <f aca="false">I17*$J$5</f>
        <v>928.446315789474</v>
      </c>
      <c r="K17" s="8" t="n">
        <f aca="false">J17-H17</f>
        <v>-546.923684210526</v>
      </c>
      <c r="L17" s="9" t="n">
        <f aca="false">IF(AND(H17=0,J17=0),0,IF(H17=0,"New",(J17-H17)/H17))</f>
        <v>-0.370702728271909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130</v>
      </c>
      <c r="B18" s="7" t="str">
        <f aca="false">IFERROR(INDEX('Source'!$C:$C,MATCH($A18,'Source'!$B:$B,0)),"")</f>
        <v>חגורת שבר לצד ימין</v>
      </c>
      <c r="C18" s="8" t="n">
        <f aca="false">SUMIFS('Source'!$D:$D,'Source'!$A:$A,"151209 רוני אורטופדיה  בע""מ - רמבם",'Source'!$B:$B,$A18)</f>
        <v>6</v>
      </c>
      <c r="D18" s="8" t="n">
        <f aca="false">SUMIFS('Source'!$F:$F,'Source'!$A:$A,"151209 רוני אורטופדיה  בע""מ - רמבם",'Source'!$B:$B,$A18)</f>
        <v>11</v>
      </c>
      <c r="E18" s="8" t="n">
        <f aca="false">D18*$J$5</f>
        <v>13.8947368421053</v>
      </c>
      <c r="F18" s="8" t="n">
        <f aca="false">E18-C18</f>
        <v>7.89473684210526</v>
      </c>
      <c r="G18" s="9" t="n">
        <f aca="false">IF(AND(C18=0,E18=0),0,IF(C18=0,"New",(E18-C18)/C18))</f>
        <v>1.31578947368421</v>
      </c>
      <c r="H18" s="8" t="n">
        <f aca="false">SUMIFS('Source'!$E:$E,'Source'!$A:$A,"151209 רוני אורטופדיה  בע""מ - רמבם",'Source'!$B:$B,$A18)</f>
        <v>815.38</v>
      </c>
      <c r="I18" s="8" t="n">
        <f aca="false">SUMIFS('Source'!$G:$G,'Source'!$A:$A,"151209 רוני אורטופדיה  בע""מ - רמבם",'Source'!$B:$B,$A18)</f>
        <v>1540</v>
      </c>
      <c r="J18" s="8" t="n">
        <f aca="false">I18*$J$5</f>
        <v>1945.26315789474</v>
      </c>
      <c r="K18" s="8" t="n">
        <f aca="false">J18-H18</f>
        <v>1129.88315789474</v>
      </c>
      <c r="L18" s="9" t="n">
        <f aca="false">IF(AND(H18=0,J18=0),0,IF(H18=0,"New",(J18-H18)/H18))</f>
        <v>1.38571360334413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197</v>
      </c>
      <c r="B19" s="7" t="str">
        <f aca="false">IFERROR(INDEX('Source'!$C:$C,MATCH($A19,'Source'!$B:$B,0)),"")</f>
        <v>חגורה אחרי ניתוח</v>
      </c>
      <c r="C19" s="8" t="n">
        <f aca="false">SUMIFS('Source'!$D:$D,'Source'!$A:$A,"151209 רוני אורטופדיה  בע""מ - רמבם",'Source'!$B:$B,$A19)</f>
        <v>9</v>
      </c>
      <c r="D19" s="8" t="n">
        <f aca="false">SUMIFS('Source'!$F:$F,'Source'!$A:$A,"151209 רוני אורטופדיה  בע""מ - רמבם",'Source'!$B:$B,$A19)</f>
        <v>2</v>
      </c>
      <c r="E19" s="8" t="n">
        <f aca="false">D19*$J$5</f>
        <v>2.52631578947368</v>
      </c>
      <c r="F19" s="8" t="n">
        <f aca="false">E19-C19</f>
        <v>-6.47368421052632</v>
      </c>
      <c r="G19" s="9" t="n">
        <f aca="false">IF(AND(C19=0,E19=0),0,IF(C19=0,"New",(E19-C19)/C19))</f>
        <v>-0.719298245614035</v>
      </c>
      <c r="H19" s="8" t="n">
        <f aca="false">SUMIFS('Source'!$E:$E,'Source'!$A:$A,"151209 רוני אורטופדיה  בע""מ - רמבם",'Source'!$B:$B,$A19)</f>
        <v>878.58</v>
      </c>
      <c r="I19" s="8" t="n">
        <f aca="false">SUMIFS('Source'!$G:$G,'Source'!$A:$A,"151209 רוני אורטופדיה  בע""מ - רמבם",'Source'!$B:$B,$A19)</f>
        <v>210</v>
      </c>
      <c r="J19" s="8" t="n">
        <f aca="false">I19*$J$5</f>
        <v>265.263157894737</v>
      </c>
      <c r="K19" s="8" t="n">
        <f aca="false">J19-H19</f>
        <v>-613.316842105263</v>
      </c>
      <c r="L19" s="9" t="n">
        <f aca="false">IF(AND(H19=0,J19=0),0,IF(H19=0,"New",(J19-H19)/H19))</f>
        <v>-0.698077400015096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132</v>
      </c>
      <c r="B20" s="7" t="str">
        <f aca="false">IFERROR(INDEX('Source'!$C:$C,MATCH($A20,'Source'!$B:$B,0)),"")</f>
        <v>תומך ברך גנושילד</v>
      </c>
      <c r="C20" s="8" t="n">
        <f aca="false">SUMIFS('Source'!$D:$D,'Source'!$A:$A,"151209 רוני אורטופדיה  בע""מ - רמבם",'Source'!$B:$B,$A20)</f>
        <v>5</v>
      </c>
      <c r="D20" s="8" t="n">
        <f aca="false">SUMIFS('Source'!$F:$F,'Source'!$A:$A,"151209 רוני אורטופדיה  בע""מ - רמבם",'Source'!$B:$B,$A20)</f>
        <v>0</v>
      </c>
      <c r="E20" s="8" t="n">
        <f aca="false">D20*$J$5</f>
        <v>0</v>
      </c>
      <c r="F20" s="8" t="n">
        <f aca="false">E20-C20</f>
        <v>-5</v>
      </c>
      <c r="G20" s="9" t="n">
        <f aca="false">IF(AND(C20=0,E20=0),0,IF(C20=0,"New",(E20-C20)/C20))</f>
        <v>-1</v>
      </c>
      <c r="H20" s="8" t="n">
        <f aca="false">SUMIFS('Source'!$E:$E,'Source'!$A:$A,"151209 רוני אורטופדיה  בע""מ - רמבם",'Source'!$B:$B,$A20)</f>
        <v>600</v>
      </c>
      <c r="I20" s="8" t="n">
        <f aca="false">SUMIFS('Source'!$G:$G,'Source'!$A:$A,"151209 רוני אורטופדיה  בע""מ - רמבם",'Source'!$B:$B,$A20)</f>
        <v>0</v>
      </c>
      <c r="J20" s="8" t="n">
        <f aca="false">I20*$J$5</f>
        <v>0</v>
      </c>
      <c r="K20" s="8" t="n">
        <f aca="false">J20-H20</f>
        <v>-600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279</v>
      </c>
      <c r="B21" s="7" t="str">
        <f aca="false">IFERROR(INDEX('Source'!$C:$C,MATCH($A21,'Source'!$B:$B,0)),"")</f>
        <v>חגורה אחרי ניתוח</v>
      </c>
      <c r="C21" s="8" t="n">
        <f aca="false">SUMIFS('Source'!$D:$D,'Source'!$A:$A,"151209 רוני אורטופדיה  בע""מ - רמבם",'Source'!$B:$B,$A21)</f>
        <v>10</v>
      </c>
      <c r="D21" s="8" t="n">
        <f aca="false">SUMIFS('Source'!$F:$F,'Source'!$A:$A,"151209 רוני אורטופדיה  בע""מ - רמבם",'Source'!$B:$B,$A21)</f>
        <v>4</v>
      </c>
      <c r="E21" s="8" t="n">
        <f aca="false">D21*$J$5</f>
        <v>5.05263157894737</v>
      </c>
      <c r="F21" s="8" t="n">
        <f aca="false">E21-C21</f>
        <v>-4.94736842105263</v>
      </c>
      <c r="G21" s="9" t="n">
        <f aca="false">IF(AND(C21=0,E21=0),0,IF(C21=0,"New",(E21-C21)/C21))</f>
        <v>-0.494736842105263</v>
      </c>
      <c r="H21" s="8" t="n">
        <f aca="false">SUMIFS('Source'!$E:$E,'Source'!$A:$A,"151209 רוני אורטופדיה  בע""מ - רמבם",'Source'!$B:$B,$A21)</f>
        <v>1016.78</v>
      </c>
      <c r="I21" s="8" t="n">
        <f aca="false">SUMIFS('Source'!$G:$G,'Source'!$A:$A,"151209 רוני אורטופדיה  בע""מ - רמבם",'Source'!$B:$B,$A21)</f>
        <v>420.01</v>
      </c>
      <c r="J21" s="8" t="n">
        <f aca="false">I21*$J$5</f>
        <v>530.538947368421</v>
      </c>
      <c r="K21" s="8" t="n">
        <f aca="false">J21-H21</f>
        <v>-486.241052631579</v>
      </c>
      <c r="L21" s="9" t="n">
        <f aca="false">IF(AND(H21=0,J21=0),0,IF(H21=0,"New",(J21-H21)/H21))</f>
        <v>-0.478216578445267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229</v>
      </c>
      <c r="B22" s="7" t="str">
        <f aca="false">IFERROR(INDEX('Source'!$C:$C,MATCH($A22,'Source'!$B:$B,0)),"")</f>
        <v>מכשיר ליצוב הבוהן</v>
      </c>
      <c r="C22" s="8" t="n">
        <f aca="false">SUMIFS('Source'!$D:$D,'Source'!$A:$A,"151209 רוני אורטופדיה  בע""מ - רמבם",'Source'!$B:$B,$A22)</f>
        <v>6</v>
      </c>
      <c r="D22" s="8" t="n">
        <f aca="false">SUMIFS('Source'!$F:$F,'Source'!$A:$A,"151209 רוני אורטופדיה  בע""מ - רמבם",'Source'!$B:$B,$A22)</f>
        <v>0</v>
      </c>
      <c r="E22" s="8" t="n">
        <f aca="false">D22*$J$5</f>
        <v>0</v>
      </c>
      <c r="F22" s="8" t="n">
        <f aca="false">E22-C22</f>
        <v>-6</v>
      </c>
      <c r="G22" s="9" t="n">
        <f aca="false">IF(AND(C22=0,E22=0),0,IF(C22=0,"New",(E22-C22)/C22))</f>
        <v>-1</v>
      </c>
      <c r="H22" s="8" t="n">
        <f aca="false">SUMIFS('Source'!$E:$E,'Source'!$A:$A,"151209 רוני אורטופדיה  בע""מ - רמבם",'Source'!$B:$B,$A22)</f>
        <v>534.06</v>
      </c>
      <c r="I22" s="8" t="n">
        <f aca="false">SUMIFS('Source'!$G:$G,'Source'!$A:$A,"151209 רוני אורטופדיה  בע""מ - רמבם",'Source'!$B:$B,$A22)</f>
        <v>0</v>
      </c>
      <c r="J22" s="8" t="n">
        <f aca="false">I22*$J$5</f>
        <v>0</v>
      </c>
      <c r="K22" s="8" t="n">
        <f aca="false">J22-H22</f>
        <v>-534.06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104</v>
      </c>
      <c r="B23" s="7" t="str">
        <f aca="false">IFERROR(INDEX('Source'!$C:$C,MATCH($A23,'Source'!$B:$B,0)),"")</f>
        <v>גרבי נסיעות אנטיבקטריאלי</v>
      </c>
      <c r="C23" s="8" t="n">
        <f aca="false">SUMIFS('Source'!$D:$D,'Source'!$A:$A,"151209 רוני אורטופדיה  בע""מ - רמבם",'Source'!$B:$B,$A23)</f>
        <v>0</v>
      </c>
      <c r="D23" s="8" t="n">
        <f aca="false">SUMIFS('Source'!$F:$F,'Source'!$A:$A,"151209 רוני אורטופדיה  בע""מ - רמבם",'Source'!$B:$B,$A23)</f>
        <v>8</v>
      </c>
      <c r="E23" s="8" t="n">
        <f aca="false">D23*$J$5</f>
        <v>10.1052631578947</v>
      </c>
      <c r="F23" s="8" t="n">
        <f aca="false">E23-C23</f>
        <v>10.1052631578947</v>
      </c>
      <c r="G23" s="9" t="str">
        <f aca="false">IF(AND(C23=0,E23=0),0,IF(C23=0,"New",(E23-C23)/C23))</f>
        <v>New</v>
      </c>
      <c r="H23" s="8" t="n">
        <f aca="false">SUMIFS('Source'!$E:$E,'Source'!$A:$A,"151209 רוני אורטופדיה  בע""מ - רמבם",'Source'!$B:$B,$A23)</f>
        <v>0</v>
      </c>
      <c r="I23" s="8" t="n">
        <f aca="false">SUMIFS('Source'!$G:$G,'Source'!$A:$A,"151209 רוני אורטופדיה  בע""מ - רמבם",'Source'!$B:$B,$A23)</f>
        <v>505.86</v>
      </c>
      <c r="J23" s="8" t="n">
        <f aca="false">I23*$J$5</f>
        <v>638.981052631579</v>
      </c>
      <c r="K23" s="8" t="n">
        <f aca="false">J23-H23</f>
        <v>638.981052631579</v>
      </c>
      <c r="L23" s="9" t="str">
        <f aca="false">IF(AND(H23=0,J23=0),0,IF(H23=0,"New",(J23-H23)/H23))</f>
        <v>New</v>
      </c>
      <c r="M23" s="7" t="str">
        <f aca="false">IF(AND(OR(C23&lt;&gt;0,H23&lt;&gt;0),D23=0,I23=0),"DROP",IF(AND(OR(D23&lt;&gt;0,I23&lt;&gt;0),C23=0,H23=0),"NEW",""))</f>
        <v>NEW</v>
      </c>
    </row>
    <row r="24" customFormat="false" ht="15" hidden="false" customHeight="false" outlineLevel="0" collapsed="false">
      <c r="A24" s="7" t="s">
        <v>203</v>
      </c>
      <c r="B24" s="7" t="str">
        <f aca="false">IFERROR(INDEX('Source'!$C:$C,MATCH($A24,'Source'!$B:$B,0)),"")</f>
        <v>מישר כתפיים</v>
      </c>
      <c r="C24" s="8" t="n">
        <f aca="false">SUMIFS('Source'!$D:$D,'Source'!$A:$A,"151209 רוני אורטופדיה  בע""מ - רמבם",'Source'!$B:$B,$A24)</f>
        <v>0</v>
      </c>
      <c r="D24" s="8" t="n">
        <f aca="false">SUMIFS('Source'!$F:$F,'Source'!$A:$A,"151209 רוני אורטופדיה  בע""מ - רמבם",'Source'!$B:$B,$A24)</f>
        <v>3</v>
      </c>
      <c r="E24" s="8" t="n">
        <f aca="false">D24*$J$5</f>
        <v>3.78947368421053</v>
      </c>
      <c r="F24" s="8" t="n">
        <f aca="false">E24-C24</f>
        <v>3.78947368421053</v>
      </c>
      <c r="G24" s="9" t="str">
        <f aca="false">IF(AND(C24=0,E24=0),0,IF(C24=0,"New",(E24-C24)/C24))</f>
        <v>New</v>
      </c>
      <c r="H24" s="8" t="n">
        <f aca="false">SUMIFS('Source'!$E:$E,'Source'!$A:$A,"151209 רוני אורטופדיה  בע""מ - רמבם",'Source'!$B:$B,$A24)</f>
        <v>0</v>
      </c>
      <c r="I24" s="8" t="n">
        <f aca="false">SUMIFS('Source'!$G:$G,'Source'!$A:$A,"151209 רוני אורטופדיה  בע""מ - רמבם",'Source'!$B:$B,$A24)</f>
        <v>492.03</v>
      </c>
      <c r="J24" s="8" t="n">
        <f aca="false">I24*$J$5</f>
        <v>621.511578947368</v>
      </c>
      <c r="K24" s="8" t="n">
        <f aca="false">J24-H24</f>
        <v>621.511578947368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247</v>
      </c>
      <c r="B25" s="7" t="str">
        <f aca="false">IFERROR(INDEX('Source'!$C:$C,MATCH($A25,'Source'!$B:$B,0)),"")</f>
        <v>ח.בטן 25 ס'מ</v>
      </c>
      <c r="C25" s="8" t="n">
        <f aca="false">SUMIFS('Source'!$D:$D,'Source'!$A:$A,"151209 רוני אורטופדיה  בע""מ - רמבם",'Source'!$B:$B,$A25)</f>
        <v>11</v>
      </c>
      <c r="D25" s="8" t="n">
        <f aca="false">SUMIFS('Source'!$F:$F,'Source'!$A:$A,"151209 רוני אורטופדיה  בע""מ - רמבם",'Source'!$B:$B,$A25)</f>
        <v>4</v>
      </c>
      <c r="E25" s="8" t="n">
        <f aca="false">D25*$J$5</f>
        <v>5.05263157894737</v>
      </c>
      <c r="F25" s="8" t="n">
        <f aca="false">E25-C25</f>
        <v>-5.94736842105263</v>
      </c>
      <c r="G25" s="9" t="n">
        <f aca="false">IF(AND(C25=0,E25=0),0,IF(C25=0,"New",(E25-C25)/C25))</f>
        <v>-0.54066985645933</v>
      </c>
      <c r="H25" s="8" t="n">
        <f aca="false">SUMIFS('Source'!$E:$E,'Source'!$A:$A,"151209 רוני אורטופדיה  בע""מ - רמבם",'Source'!$B:$B,$A25)</f>
        <v>792.08</v>
      </c>
      <c r="I25" s="8" t="n">
        <f aca="false">SUMIFS('Source'!$G:$G,'Source'!$A:$A,"151209 רוני אורטופדיה  בע""מ - רמבם",'Source'!$B:$B,$A25)</f>
        <v>340.01</v>
      </c>
      <c r="J25" s="8" t="n">
        <f aca="false">I25*$J$5</f>
        <v>429.486315789474</v>
      </c>
      <c r="K25" s="8" t="n">
        <f aca="false">J25-H25</f>
        <v>-362.593684210526</v>
      </c>
      <c r="L25" s="9" t="n">
        <f aca="false">IF(AND(H25=0,J25=0),0,IF(H25=0,"New",(J25-H25)/H25))</f>
        <v>-0.457774068541721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981</v>
      </c>
      <c r="B26" s="7" t="str">
        <f aca="false">IFERROR(INDEX('Source'!$C:$C,MATCH($A26,'Source'!$B:$B,0)),"")</f>
        <v>חגורת פאבליק (רצועות אבדוקציה)</v>
      </c>
      <c r="C26" s="8" t="n">
        <f aca="false">SUMIFS('Source'!$D:$D,'Source'!$A:$A,"151209 רוני אורטופדיה  בע""מ - רמבם",'Source'!$B:$B,$A26)</f>
        <v>2</v>
      </c>
      <c r="D26" s="8" t="n">
        <f aca="false">SUMIFS('Source'!$F:$F,'Source'!$A:$A,"151209 רוני אורטופדיה  בע""מ - רמבם",'Source'!$B:$B,$A26)</f>
        <v>0</v>
      </c>
      <c r="E26" s="8" t="n">
        <f aca="false">D26*$J$5</f>
        <v>0</v>
      </c>
      <c r="F26" s="8" t="n">
        <f aca="false">E26-C26</f>
        <v>-2</v>
      </c>
      <c r="G26" s="9" t="n">
        <f aca="false">IF(AND(C26=0,E26=0),0,IF(C26=0,"New",(E26-C26)/C26))</f>
        <v>-1</v>
      </c>
      <c r="H26" s="8" t="n">
        <f aca="false">SUMIFS('Source'!$E:$E,'Source'!$A:$A,"151209 רוני אורטופדיה  בע""מ - רמבם",'Source'!$B:$B,$A26)</f>
        <v>444</v>
      </c>
      <c r="I26" s="8" t="n">
        <f aca="false">SUMIFS('Source'!$G:$G,'Source'!$A:$A,"151209 רוני אורטופדיה  בע""מ - רמבם",'Source'!$B:$B,$A26)</f>
        <v>0</v>
      </c>
      <c r="J26" s="8" t="n">
        <f aca="false">I26*$J$5</f>
        <v>0</v>
      </c>
      <c r="K26" s="8" t="n">
        <f aca="false">J26-H26</f>
        <v>-444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110</v>
      </c>
      <c r="B27" s="7" t="str">
        <f aca="false">IFERROR(INDEX('Source'!$C:$C,MATCH($A27,'Source'!$B:$B,0)),"")</f>
        <v>גרבי נסיעות אנטיבקטריאלי</v>
      </c>
      <c r="C27" s="8" t="n">
        <f aca="false">SUMIFS('Source'!$D:$D,'Source'!$A:$A,"151209 רוני אורטופדיה  בע""מ - רמבם",'Source'!$B:$B,$A27)</f>
        <v>0</v>
      </c>
      <c r="D27" s="8" t="n">
        <f aca="false">SUMIFS('Source'!$F:$F,'Source'!$A:$A,"151209 רוני אורטופדיה  בע""מ - רמבם",'Source'!$B:$B,$A27)</f>
        <v>7</v>
      </c>
      <c r="E27" s="8" t="n">
        <f aca="false">D27*$J$5</f>
        <v>8.84210526315789</v>
      </c>
      <c r="F27" s="8" t="n">
        <f aca="false">E27-C27</f>
        <v>8.84210526315789</v>
      </c>
      <c r="G27" s="9" t="str">
        <f aca="false">IF(AND(C27=0,E27=0),0,IF(C27=0,"New",(E27-C27)/C27))</f>
        <v>New</v>
      </c>
      <c r="H27" s="8" t="n">
        <f aca="false">SUMIFS('Source'!$E:$E,'Source'!$A:$A,"151209 רוני אורטופדיה  בע""מ - רמבם",'Source'!$B:$B,$A27)</f>
        <v>0</v>
      </c>
      <c r="I27" s="8" t="n">
        <f aca="false">SUMIFS('Source'!$G:$G,'Source'!$A:$A,"151209 רוני אורטופדיה  בע""מ - רמבם",'Source'!$B:$B,$A27)</f>
        <v>442.61</v>
      </c>
      <c r="J27" s="8" t="n">
        <f aca="false">I27*$J$5</f>
        <v>559.086315789474</v>
      </c>
      <c r="K27" s="8" t="n">
        <f aca="false">J27-H27</f>
        <v>559.086315789474</v>
      </c>
      <c r="L27" s="9" t="str">
        <f aca="false">IF(AND(H27=0,J27=0),0,IF(H27=0,"New",(J27-H27)/H27))</f>
        <v>New</v>
      </c>
      <c r="M27" s="7" t="str">
        <f aca="false">IF(AND(OR(C27&lt;&gt;0,H27&lt;&gt;0),D27=0,I27=0),"DROP",IF(AND(OR(D27&lt;&gt;0,I27&lt;&gt;0),C27=0,H27=0),"NEW",""))</f>
        <v>NEW</v>
      </c>
    </row>
    <row r="28" customFormat="false" ht="15" hidden="false" customHeight="false" outlineLevel="0" collapsed="false">
      <c r="A28" s="7" t="s">
        <v>231</v>
      </c>
      <c r="B28" s="7" t="str">
        <f aca="false">IFERROR(INDEX('Source'!$C:$C,MATCH($A28,'Source'!$B:$B,0)),"")</f>
        <v>חגורה למנותחי בית החזה</v>
      </c>
      <c r="C28" s="8" t="n">
        <f aca="false">SUMIFS('Source'!$D:$D,'Source'!$A:$A,"151209 רוני אורטופדיה  בע""מ - רמבם",'Source'!$B:$B,$A28)</f>
        <v>4</v>
      </c>
      <c r="D28" s="8" t="n">
        <f aca="false">SUMIFS('Source'!$F:$F,'Source'!$A:$A,"151209 רוני אורטופדיה  בע""מ - רמבם",'Source'!$B:$B,$A28)</f>
        <v>1</v>
      </c>
      <c r="E28" s="8" t="n">
        <f aca="false">D28*$J$5</f>
        <v>1.26315789473684</v>
      </c>
      <c r="F28" s="8" t="n">
        <f aca="false">E28-C28</f>
        <v>-2.73684210526316</v>
      </c>
      <c r="G28" s="9" t="n">
        <f aca="false">IF(AND(C28=0,E28=0),0,IF(C28=0,"New",(E28-C28)/C28))</f>
        <v>-0.68421052631579</v>
      </c>
      <c r="H28" s="8" t="n">
        <f aca="false">SUMIFS('Source'!$E:$E,'Source'!$A:$A,"151209 רוני אורטופדיה  בע""מ - רמבם",'Source'!$B:$B,$A28)</f>
        <v>571.91</v>
      </c>
      <c r="I28" s="8" t="n">
        <f aca="false">SUMIFS('Source'!$G:$G,'Source'!$A:$A,"151209 רוני אורטופדיה  בע""מ - רמבם",'Source'!$B:$B,$A28)</f>
        <v>130</v>
      </c>
      <c r="J28" s="8" t="n">
        <f aca="false">I28*$J$5</f>
        <v>164.210526315789</v>
      </c>
      <c r="K28" s="8" t="n">
        <f aca="false">J28-H28</f>
        <v>-407.699473684211</v>
      </c>
      <c r="L28" s="9" t="n">
        <f aca="false">IF(AND(H28=0,J28=0),0,IF(H28=0,"New",(J28-H28)/H28))</f>
        <v>-0.712873483037909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351</v>
      </c>
      <c r="B29" s="7" t="str">
        <f aca="false">IFERROR(INDEX('Source'!$C:$C,MATCH($A29,'Source'!$B:$B,0)),"")</f>
        <v>מגן לכתף ימין/שמאל</v>
      </c>
      <c r="C29" s="8" t="n">
        <f aca="false">SUMIFS('Source'!$D:$D,'Source'!$A:$A,"151209 רוני אורטופדיה  בע""מ - רמבם",'Source'!$B:$B,$A29)</f>
        <v>5</v>
      </c>
      <c r="D29" s="8" t="n">
        <f aca="false">SUMIFS('Source'!$F:$F,'Source'!$A:$A,"151209 רוני אורטופדיה  בע""מ - רמבם",'Source'!$B:$B,$A29)</f>
        <v>2</v>
      </c>
      <c r="E29" s="8" t="n">
        <f aca="false">D29*$J$5</f>
        <v>2.52631578947368</v>
      </c>
      <c r="F29" s="8" t="n">
        <f aca="false">E29-C29</f>
        <v>-2.47368421052632</v>
      </c>
      <c r="G29" s="9" t="n">
        <f aca="false">IF(AND(C29=0,E29=0),0,IF(C29=0,"New",(E29-C29)/C29))</f>
        <v>-0.494736842105263</v>
      </c>
      <c r="H29" s="8" t="n">
        <f aca="false">SUMIFS('Source'!$E:$E,'Source'!$A:$A,"151209 רוני אורטופדיה  בע""מ - רמבם",'Source'!$B:$B,$A29)</f>
        <v>648</v>
      </c>
      <c r="I29" s="8" t="n">
        <f aca="false">SUMIFS('Source'!$G:$G,'Source'!$A:$A,"151209 רוני אורטופדיה  בע""מ - רמבם",'Source'!$B:$B,$A29)</f>
        <v>260</v>
      </c>
      <c r="J29" s="8" t="n">
        <f aca="false">I29*$J$5</f>
        <v>328.421052631579</v>
      </c>
      <c r="K29" s="8" t="n">
        <f aca="false">J29-H29</f>
        <v>-319.578947368421</v>
      </c>
      <c r="L29" s="9" t="n">
        <f aca="false">IF(AND(H29=0,J29=0),0,IF(H29=0,"New",(J29-H29)/H29))</f>
        <v>-0.49317738791423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111</v>
      </c>
      <c r="B30" s="7" t="str">
        <f aca="false">IFERROR(INDEX('Source'!$C:$C,MATCH($A30,'Source'!$B:$B,0)),"")</f>
        <v>גרבי טיסה</v>
      </c>
      <c r="C30" s="8" t="n">
        <f aca="false">SUMIFS('Source'!$D:$D,'Source'!$A:$A,"151209 רוני אורטופדיה  בע""מ - רמבם",'Source'!$B:$B,$A30)</f>
        <v>6</v>
      </c>
      <c r="D30" s="8" t="n">
        <f aca="false">SUMIFS('Source'!$F:$F,'Source'!$A:$A,"151209 רוני אורטופדיה  בע""מ - רמבם",'Source'!$B:$B,$A30)</f>
        <v>0</v>
      </c>
      <c r="E30" s="8" t="n">
        <f aca="false">D30*$J$5</f>
        <v>0</v>
      </c>
      <c r="F30" s="8" t="n">
        <f aca="false">E30-C30</f>
        <v>-6</v>
      </c>
      <c r="G30" s="9" t="n">
        <f aca="false">IF(AND(C30=0,E30=0),0,IF(C30=0,"New",(E30-C30)/C30))</f>
        <v>-1</v>
      </c>
      <c r="H30" s="8" t="n">
        <f aca="false">SUMIFS('Source'!$E:$E,'Source'!$A:$A,"151209 רוני אורטופדיה  בע""מ - רמבם",'Source'!$B:$B,$A30)</f>
        <v>379.39</v>
      </c>
      <c r="I30" s="8" t="n">
        <f aca="false">SUMIFS('Source'!$G:$G,'Source'!$A:$A,"151209 רוני אורטופדיה  בע""מ - רמבם",'Source'!$B:$B,$A30)</f>
        <v>0</v>
      </c>
      <c r="J30" s="8" t="n">
        <f aca="false">I30*$J$5</f>
        <v>0</v>
      </c>
      <c r="K30" s="8" t="n">
        <f aca="false">J30-H30</f>
        <v>-379.39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290</v>
      </c>
      <c r="B31" s="7" t="str">
        <f aca="false">IFERROR(INDEX('Source'!$C:$C,MATCH($A31,'Source'!$B:$B,0)),"")</f>
        <v>צוארון פלסטי מתכוונן</v>
      </c>
      <c r="C31" s="8" t="n">
        <f aca="false">SUMIFS('Source'!$D:$D,'Source'!$A:$A,"151209 רוני אורטופדיה  בע""מ - רמבם",'Source'!$B:$B,$A31)</f>
        <v>8</v>
      </c>
      <c r="D31" s="8" t="n">
        <f aca="false">SUMIFS('Source'!$F:$F,'Source'!$A:$A,"151209 רוני אורטופדיה  בע""מ - רמבם",'Source'!$B:$B,$A31)</f>
        <v>0</v>
      </c>
      <c r="E31" s="8" t="n">
        <f aca="false">D31*$J$5</f>
        <v>0</v>
      </c>
      <c r="F31" s="8" t="n">
        <f aca="false">E31-C31</f>
        <v>-8</v>
      </c>
      <c r="G31" s="9" t="n">
        <f aca="false">IF(AND(C31=0,E31=0),0,IF(C31=0,"New",(E31-C31)/C31))</f>
        <v>-1</v>
      </c>
      <c r="H31" s="8" t="n">
        <f aca="false">SUMIFS('Source'!$E:$E,'Source'!$A:$A,"151209 רוני אורטופדיה  בע""מ - רמבם",'Source'!$B:$B,$A31)</f>
        <v>376.87</v>
      </c>
      <c r="I31" s="8" t="n">
        <f aca="false">SUMIFS('Source'!$G:$G,'Source'!$A:$A,"151209 רוני אורטופדיה  בע""מ - רמבם",'Source'!$B:$B,$A31)</f>
        <v>0</v>
      </c>
      <c r="J31" s="8" t="n">
        <f aca="false">I31*$J$5</f>
        <v>0</v>
      </c>
      <c r="K31" s="8" t="n">
        <f aca="false">J31-H31</f>
        <v>-376.87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124</v>
      </c>
      <c r="B32" s="7" t="str">
        <f aca="false">IFERROR(INDEX('Source'!$C:$C,MATCH($A32,'Source'!$B:$B,0)),"")</f>
        <v>גרבי נוחות קיץ שחור</v>
      </c>
      <c r="C32" s="8" t="n">
        <f aca="false">SUMIFS('Source'!$D:$D,'Source'!$A:$A,"151209 רוני אורטופדיה  בע""מ - רמבם",'Source'!$B:$B,$A32)</f>
        <v>15</v>
      </c>
      <c r="D32" s="8" t="n">
        <f aca="false">SUMIFS('Source'!$F:$F,'Source'!$A:$A,"151209 רוני אורטופדיה  בע""מ - רמבם",'Source'!$B:$B,$A32)</f>
        <v>0</v>
      </c>
      <c r="E32" s="8" t="n">
        <f aca="false">D32*$J$5</f>
        <v>0</v>
      </c>
      <c r="F32" s="8" t="n">
        <f aca="false">E32-C32</f>
        <v>-15</v>
      </c>
      <c r="G32" s="9" t="n">
        <f aca="false">IF(AND(C32=0,E32=0),0,IF(C32=0,"New",(E32-C32)/C32))</f>
        <v>-1</v>
      </c>
      <c r="H32" s="8" t="n">
        <f aca="false">SUMIFS('Source'!$E:$E,'Source'!$A:$A,"151209 רוני אורטופדיה  בע""מ - רמבם",'Source'!$B:$B,$A32)</f>
        <v>374.96</v>
      </c>
      <c r="I32" s="8" t="n">
        <f aca="false">SUMIFS('Source'!$G:$G,'Source'!$A:$A,"151209 רוני אורטופדיה  בע""מ - רמבם",'Source'!$B:$B,$A32)</f>
        <v>0</v>
      </c>
      <c r="J32" s="8" t="n">
        <f aca="false">I32*$J$5</f>
        <v>0</v>
      </c>
      <c r="K32" s="8" t="n">
        <f aca="false">J32-H32</f>
        <v>-374.96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134</v>
      </c>
      <c r="B33" s="7" t="str">
        <f aca="false">IFERROR(INDEX('Source'!$C:$C,MATCH($A33,'Source'!$B:$B,0)),"")</f>
        <v>מ. בוניון + מפריד אצבע</v>
      </c>
      <c r="C33" s="8" t="n">
        <f aca="false">SUMIFS('Source'!$D:$D,'Source'!$A:$A,"151209 רוני אורטופדיה  בע""מ - רמבם",'Source'!$B:$B,$A33)</f>
        <v>10</v>
      </c>
      <c r="D33" s="8" t="n">
        <f aca="false">SUMIFS('Source'!$F:$F,'Source'!$A:$A,"151209 רוני אורטופדיה  בע""מ - רמבם",'Source'!$B:$B,$A33)</f>
        <v>0</v>
      </c>
      <c r="E33" s="8" t="n">
        <f aca="false">D33*$J$5</f>
        <v>0</v>
      </c>
      <c r="F33" s="8" t="n">
        <f aca="false">E33-C33</f>
        <v>-10</v>
      </c>
      <c r="G33" s="9" t="n">
        <f aca="false">IF(AND(C33=0,E33=0),0,IF(C33=0,"New",(E33-C33)/C33))</f>
        <v>-1</v>
      </c>
      <c r="H33" s="8" t="n">
        <f aca="false">SUMIFS('Source'!$E:$E,'Source'!$A:$A,"151209 רוני אורטופדיה  בע""מ - רמבם",'Source'!$B:$B,$A33)</f>
        <v>348.98</v>
      </c>
      <c r="I33" s="8" t="n">
        <f aca="false">SUMIFS('Source'!$G:$G,'Source'!$A:$A,"151209 רוני אורטופדיה  בע""מ - רמבם",'Source'!$B:$B,$A33)</f>
        <v>0</v>
      </c>
      <c r="J33" s="8" t="n">
        <f aca="false">I33*$J$5</f>
        <v>0</v>
      </c>
      <c r="K33" s="8" t="n">
        <f aca="false">J33-H33</f>
        <v>-348.98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169</v>
      </c>
      <c r="B34" s="7" t="str">
        <f aca="false">IFERROR(INDEX('Source'!$C:$C,MATCH($A34,'Source'!$B:$B,0)),"")</f>
        <v>חגורת שבר דו צדדית</v>
      </c>
      <c r="C34" s="8" t="n">
        <f aca="false">SUMIFS('Source'!$D:$D,'Source'!$A:$A,"151209 רוני אורטופדיה  בע""מ - רמבם",'Source'!$B:$B,$A34)</f>
        <v>4</v>
      </c>
      <c r="D34" s="8" t="n">
        <f aca="false">SUMIFS('Source'!$F:$F,'Source'!$A:$A,"151209 רוני אורטופדיה  בע""מ - רמבם",'Source'!$B:$B,$A34)</f>
        <v>2</v>
      </c>
      <c r="E34" s="8" t="n">
        <f aca="false">D34*$J$5</f>
        <v>2.52631578947368</v>
      </c>
      <c r="F34" s="8" t="n">
        <f aca="false">E34-C34</f>
        <v>-1.47368421052632</v>
      </c>
      <c r="G34" s="9" t="n">
        <f aca="false">IF(AND(C34=0,E34=0),0,IF(C34=0,"New",(E34-C34)/C34))</f>
        <v>-0.368421052631579</v>
      </c>
      <c r="H34" s="8" t="n">
        <f aca="false">SUMIFS('Source'!$E:$E,'Source'!$A:$A,"151209 רוני אורטופדיה  בע""מ - רמבם",'Source'!$B:$B,$A34)</f>
        <v>698.12</v>
      </c>
      <c r="I34" s="8" t="n">
        <f aca="false">SUMIFS('Source'!$G:$G,'Source'!$A:$A,"151209 רוני אורטופדיה  בע""מ - רמבם",'Source'!$B:$B,$A34)</f>
        <v>360</v>
      </c>
      <c r="J34" s="8" t="n">
        <f aca="false">I34*$J$5</f>
        <v>454.736842105263</v>
      </c>
      <c r="K34" s="8" t="n">
        <f aca="false">J34-H34</f>
        <v>-243.383157894737</v>
      </c>
      <c r="L34" s="9" t="n">
        <f aca="false">IF(AND(H34=0,J34=0),0,IF(H34=0,"New",(J34-H34)/H34))</f>
        <v>-0.348626536834265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403</v>
      </c>
      <c r="B35" s="7" t="str">
        <f aca="false">IFERROR(INDEX('Source'!$C:$C,MATCH($A35,'Source'!$B:$B,0)),"")</f>
        <v>חגורת שבר דו צדדית</v>
      </c>
      <c r="C35" s="8" t="n">
        <f aca="false">SUMIFS('Source'!$D:$D,'Source'!$A:$A,"151209 רוני אורטופדיה  בע""מ - רמבם",'Source'!$B:$B,$A35)</f>
        <v>2</v>
      </c>
      <c r="D35" s="8" t="n">
        <f aca="false">SUMIFS('Source'!$F:$F,'Source'!$A:$A,"151209 רוני אורטופדיה  בע""מ - רמבם",'Source'!$B:$B,$A35)</f>
        <v>0</v>
      </c>
      <c r="E35" s="8" t="n">
        <f aca="false">D35*$J$5</f>
        <v>0</v>
      </c>
      <c r="F35" s="8" t="n">
        <f aca="false">E35-C35</f>
        <v>-2</v>
      </c>
      <c r="G35" s="9" t="n">
        <f aca="false">IF(AND(C35=0,E35=0),0,IF(C35=0,"New",(E35-C35)/C35))</f>
        <v>-1</v>
      </c>
      <c r="H35" s="8" t="n">
        <f aca="false">SUMIFS('Source'!$E:$E,'Source'!$A:$A,"151209 רוני אורטופדיה  בע""מ - רמבם",'Source'!$B:$B,$A35)</f>
        <v>338.12</v>
      </c>
      <c r="I35" s="8" t="n">
        <f aca="false">SUMIFS('Source'!$G:$G,'Source'!$A:$A,"151209 רוני אורטופדיה  בע""מ - רמבם",'Source'!$B:$B,$A35)</f>
        <v>0</v>
      </c>
      <c r="J35" s="8" t="n">
        <f aca="false">I35*$J$5</f>
        <v>0</v>
      </c>
      <c r="K35" s="8" t="n">
        <f aca="false">J35-H35</f>
        <v>-338.12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266</v>
      </c>
      <c r="B36" s="7" t="str">
        <f aca="false">IFERROR(INDEX('Source'!$C:$C,MATCH($A36,'Source'!$B:$B,0)),"")</f>
        <v>חגורה למנותחי בית החזה</v>
      </c>
      <c r="C36" s="8" t="n">
        <f aca="false">SUMIFS('Source'!$D:$D,'Source'!$A:$A,"151209 רוני אורטופדיה  בע""מ - רמבם",'Source'!$B:$B,$A36)</f>
        <v>9</v>
      </c>
      <c r="D36" s="8" t="n">
        <f aca="false">SUMIFS('Source'!$F:$F,'Source'!$A:$A,"151209 רוני אורטופדיה  בע""מ - רמבם",'Source'!$B:$B,$A36)</f>
        <v>12</v>
      </c>
      <c r="E36" s="8" t="n">
        <f aca="false">D36*$J$5</f>
        <v>15.1578947368421</v>
      </c>
      <c r="F36" s="8" t="n">
        <f aca="false">E36-C36</f>
        <v>6.1578947368421</v>
      </c>
      <c r="G36" s="9" t="n">
        <f aca="false">IF(AND(C36=0,E36=0),0,IF(C36=0,"New",(E36-C36)/C36))</f>
        <v>0.684210526315789</v>
      </c>
      <c r="H36" s="8" t="n">
        <f aca="false">SUMIFS('Source'!$E:$E,'Source'!$A:$A,"151209 רוני אורטופדיה  בע""מ - רמבם",'Source'!$B:$B,$A36)</f>
        <v>1221.89</v>
      </c>
      <c r="I36" s="8" t="n">
        <f aca="false">SUMIFS('Source'!$G:$G,'Source'!$A:$A,"151209 רוני אורטופדיה  בע""מ - רמבם",'Source'!$B:$B,$A36)</f>
        <v>1559.99</v>
      </c>
      <c r="J36" s="8" t="n">
        <f aca="false">I36*$J$5</f>
        <v>1970.51368421053</v>
      </c>
      <c r="K36" s="8" t="n">
        <f aca="false">J36-H36</f>
        <v>748.623684210526</v>
      </c>
      <c r="L36" s="9" t="n">
        <f aca="false">IF(AND(H36=0,J36=0),0,IF(H36=0,"New",(J36-H36)/H36))</f>
        <v>0.612676823781622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695</v>
      </c>
      <c r="B37" s="7" t="str">
        <f aca="false">IFERROR(INDEX('Source'!$C:$C,MATCH($A37,'Source'!$B:$B,0)),"")</f>
        <v>צוארון פלסטי מתכוונן</v>
      </c>
      <c r="C37" s="8" t="n">
        <f aca="false">SUMIFS('Source'!$D:$D,'Source'!$A:$A,"151209 רוני אורטופדיה  בע""מ - רמבם",'Source'!$B:$B,$A37)</f>
        <v>7</v>
      </c>
      <c r="D37" s="8" t="n">
        <f aca="false">SUMIFS('Source'!$F:$F,'Source'!$A:$A,"151209 רוני אורטופדיה  בע""מ - רמבם",'Source'!$B:$B,$A37)</f>
        <v>0</v>
      </c>
      <c r="E37" s="8" t="n">
        <f aca="false">D37*$J$5</f>
        <v>0</v>
      </c>
      <c r="F37" s="8" t="n">
        <f aca="false">E37-C37</f>
        <v>-7</v>
      </c>
      <c r="G37" s="9" t="n">
        <f aca="false">IF(AND(C37=0,E37=0),0,IF(C37=0,"New",(E37-C37)/C37))</f>
        <v>-1</v>
      </c>
      <c r="H37" s="8" t="n">
        <f aca="false">SUMIFS('Source'!$E:$E,'Source'!$A:$A,"151209 רוני אורטופדיה  בע""מ - רמבם",'Source'!$B:$B,$A37)</f>
        <v>337.87</v>
      </c>
      <c r="I37" s="8" t="n">
        <f aca="false">SUMIFS('Source'!$G:$G,'Source'!$A:$A,"151209 רוני אורטופדיה  בע""מ - רמבם",'Source'!$B:$B,$A37)</f>
        <v>0</v>
      </c>
      <c r="J37" s="8" t="n">
        <f aca="false">I37*$J$5</f>
        <v>0</v>
      </c>
      <c r="K37" s="8" t="n">
        <f aca="false">J37-H37</f>
        <v>-337.87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164</v>
      </c>
      <c r="B38" s="7" t="str">
        <f aca="false">IFERROR(INDEX('Source'!$C:$C,MATCH($A38,'Source'!$B:$B,0)),"")</f>
        <v>סד לקרסול</v>
      </c>
      <c r="C38" s="8" t="n">
        <f aca="false">SUMIFS('Source'!$D:$D,'Source'!$A:$A,"151209 רוני אורטופדיה  בע""מ - רמבם",'Source'!$B:$B,$A38)</f>
        <v>3</v>
      </c>
      <c r="D38" s="8" t="n">
        <f aca="false">SUMIFS('Source'!$F:$F,'Source'!$A:$A,"151209 רוני אורטופדיה  בע""מ - רמבם",'Source'!$B:$B,$A38)</f>
        <v>0</v>
      </c>
      <c r="E38" s="8" t="n">
        <f aca="false">D38*$J$5</f>
        <v>0</v>
      </c>
      <c r="F38" s="8" t="n">
        <f aca="false">E38-C38</f>
        <v>-3</v>
      </c>
      <c r="G38" s="9" t="n">
        <f aca="false">IF(AND(C38=0,E38=0),0,IF(C38=0,"New",(E38-C38)/C38))</f>
        <v>-1</v>
      </c>
      <c r="H38" s="8" t="n">
        <f aca="false">SUMIFS('Source'!$E:$E,'Source'!$A:$A,"151209 רוני אורטופדיה  בע""מ - רמבם",'Source'!$B:$B,$A38)</f>
        <v>330</v>
      </c>
      <c r="I38" s="8" t="n">
        <f aca="false">SUMIFS('Source'!$G:$G,'Source'!$A:$A,"151209 רוני אורטופדיה  בע""מ - רמבם",'Source'!$B:$B,$A38)</f>
        <v>0</v>
      </c>
      <c r="J38" s="8" t="n">
        <f aca="false">I38*$J$5</f>
        <v>0</v>
      </c>
      <c r="K38" s="8" t="n">
        <f aca="false">J38-H38</f>
        <v>-330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302</v>
      </c>
      <c r="B39" s="7" t="str">
        <f aca="false">IFERROR(INDEX('Source'!$C:$C,MATCH($A39,'Source'!$B:$B,0)),"")</f>
        <v>מדרס מתכוונן לגיל</v>
      </c>
      <c r="C39" s="8" t="n">
        <f aca="false">SUMIFS('Source'!$D:$D,'Source'!$A:$A,"151209 רוני אורטופדיה  בע""מ - רמבם",'Source'!$B:$B,$A39)</f>
        <v>4</v>
      </c>
      <c r="D39" s="8" t="n">
        <f aca="false">SUMIFS('Source'!$F:$F,'Source'!$A:$A,"151209 רוני אורטופדיה  בע""מ - רמבם",'Source'!$B:$B,$A39)</f>
        <v>0</v>
      </c>
      <c r="E39" s="8" t="n">
        <f aca="false">D39*$J$5</f>
        <v>0</v>
      </c>
      <c r="F39" s="8" t="n">
        <f aca="false">E39-C39</f>
        <v>-4</v>
      </c>
      <c r="G39" s="9" t="n">
        <f aca="false">IF(AND(C39=0,E39=0),0,IF(C39=0,"New",(E39-C39)/C39))</f>
        <v>-1</v>
      </c>
      <c r="H39" s="8" t="n">
        <f aca="false">SUMIFS('Source'!$E:$E,'Source'!$A:$A,"151209 רוני אורטופדיה  בע""מ - רמבם",'Source'!$B:$B,$A39)</f>
        <v>320</v>
      </c>
      <c r="I39" s="8" t="n">
        <f aca="false">SUMIFS('Source'!$G:$G,'Source'!$A:$A,"151209 רוני אורטופדיה  בע""מ - רמבם",'Source'!$B:$B,$A39)</f>
        <v>0</v>
      </c>
      <c r="J39" s="8" t="n">
        <f aca="false">I39*$J$5</f>
        <v>0</v>
      </c>
      <c r="K39" s="8" t="n">
        <f aca="false">J39-H39</f>
        <v>-320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185</v>
      </c>
      <c r="B40" s="7" t="str">
        <f aca="false">IFERROR(INDEX('Source'!$C:$C,MATCH($A40,'Source'!$B:$B,0)),"")</f>
        <v>כרית עם סרט אלסט</v>
      </c>
      <c r="C40" s="8" t="n">
        <f aca="false">SUMIFS('Source'!$D:$D,'Source'!$A:$A,"151209 רוני אורטופדיה  בע""מ - רמבם",'Source'!$B:$B,$A40)</f>
        <v>5</v>
      </c>
      <c r="D40" s="8" t="n">
        <f aca="false">SUMIFS('Source'!$F:$F,'Source'!$A:$A,"151209 רוני אורטופדיה  בע""מ - רמבם",'Source'!$B:$B,$A40)</f>
        <v>15</v>
      </c>
      <c r="E40" s="8" t="n">
        <f aca="false">D40*$J$5</f>
        <v>18.9473684210526</v>
      </c>
      <c r="F40" s="8" t="n">
        <f aca="false">E40-C40</f>
        <v>13.9473684210526</v>
      </c>
      <c r="G40" s="9" t="n">
        <f aca="false">IF(AND(C40=0,E40=0),0,IF(C40=0,"New",(E40-C40)/C40))</f>
        <v>2.78947368421053</v>
      </c>
      <c r="H40" s="8" t="n">
        <f aca="false">SUMIFS('Source'!$E:$E,'Source'!$A:$A,"151209 רוני אורטופדיה  בע""מ - רמבם",'Source'!$B:$B,$A40)</f>
        <v>123.69</v>
      </c>
      <c r="I40" s="8" t="n">
        <f aca="false">SUMIFS('Source'!$G:$G,'Source'!$A:$A,"151209 רוני אורטופדיה  בע""מ - רמבם",'Source'!$B:$B,$A40)</f>
        <v>428.17</v>
      </c>
      <c r="J40" s="8" t="n">
        <f aca="false">I40*$J$5</f>
        <v>540.846315789474</v>
      </c>
      <c r="K40" s="8" t="n">
        <f aca="false">J40-H40</f>
        <v>417.156315789474</v>
      </c>
      <c r="L40" s="9" t="n">
        <f aca="false">IF(AND(H40=0,J40=0),0,IF(H40=0,"New",(J40-H40)/H40))</f>
        <v>3.3725953253252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148</v>
      </c>
      <c r="B41" s="7" t="str">
        <f aca="false">IFERROR(INDEX('Source'!$C:$C,MATCH($A41,'Source'!$B:$B,0)),"")</f>
        <v>מגן ברך SC422</v>
      </c>
      <c r="C41" s="8" t="n">
        <f aca="false">SUMIFS('Source'!$D:$D,'Source'!$A:$A,"151209 רוני אורטופדיה  בע""מ - רמבם",'Source'!$B:$B,$A41)</f>
        <v>2</v>
      </c>
      <c r="D41" s="8" t="n">
        <f aca="false">SUMIFS('Source'!$F:$F,'Source'!$A:$A,"151209 רוני אורטופדיה  בע""מ - רמבם",'Source'!$B:$B,$A41)</f>
        <v>0</v>
      </c>
      <c r="E41" s="8" t="n">
        <f aca="false">D41*$J$5</f>
        <v>0</v>
      </c>
      <c r="F41" s="8" t="n">
        <f aca="false">E41-C41</f>
        <v>-2</v>
      </c>
      <c r="G41" s="9" t="n">
        <f aca="false">IF(AND(C41=0,E41=0),0,IF(C41=0,"New",(E41-C41)/C41))</f>
        <v>-1</v>
      </c>
      <c r="H41" s="8" t="n">
        <f aca="false">SUMIFS('Source'!$E:$E,'Source'!$A:$A,"151209 רוני אורטופדיה  בע""מ - רמבם",'Source'!$B:$B,$A41)</f>
        <v>281.14</v>
      </c>
      <c r="I41" s="8" t="n">
        <f aca="false">SUMIFS('Source'!$G:$G,'Source'!$A:$A,"151209 רוני אורטופדיה  בע""מ - רמבם",'Source'!$B:$B,$A41)</f>
        <v>0</v>
      </c>
      <c r="J41" s="8" t="n">
        <f aca="false">I41*$J$5</f>
        <v>0</v>
      </c>
      <c r="K41" s="8" t="n">
        <f aca="false">J41-H41</f>
        <v>-281.14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244</v>
      </c>
      <c r="B42" s="7" t="str">
        <f aca="false">IFERROR(INDEX('Source'!$C:$C,MATCH($A42,'Source'!$B:$B,0)),"")</f>
        <v>מתלה יד + קיבוע מרפק</v>
      </c>
      <c r="C42" s="8" t="n">
        <f aca="false">SUMIFS('Source'!$D:$D,'Source'!$A:$A,"151209 רוני אורטופדיה  בע""מ - רמבם",'Source'!$B:$B,$A42)</f>
        <v>4</v>
      </c>
      <c r="D42" s="8" t="n">
        <f aca="false">SUMIFS('Source'!$F:$F,'Source'!$A:$A,"151209 רוני אורטופדיה  בע""מ - רמבם",'Source'!$B:$B,$A42)</f>
        <v>0</v>
      </c>
      <c r="E42" s="8" t="n">
        <f aca="false">D42*$J$5</f>
        <v>0</v>
      </c>
      <c r="F42" s="8" t="n">
        <f aca="false">E42-C42</f>
        <v>-4</v>
      </c>
      <c r="G42" s="9" t="n">
        <f aca="false">IF(AND(C42=0,E42=0),0,IF(C42=0,"New",(E42-C42)/C42))</f>
        <v>-1</v>
      </c>
      <c r="H42" s="8" t="n">
        <f aca="false">SUMIFS('Source'!$E:$E,'Source'!$A:$A,"151209 רוני אורטופדיה  בע""מ - רמבם",'Source'!$B:$B,$A42)</f>
        <v>259.99</v>
      </c>
      <c r="I42" s="8" t="n">
        <f aca="false">SUMIFS('Source'!$G:$G,'Source'!$A:$A,"151209 רוני אורטופדיה  בע""מ - רמבם",'Source'!$B:$B,$A42)</f>
        <v>0</v>
      </c>
      <c r="J42" s="8" t="n">
        <f aca="false">I42*$J$5</f>
        <v>0</v>
      </c>
      <c r="K42" s="8" t="n">
        <f aca="false">J42-H42</f>
        <v>-259.99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472</v>
      </c>
      <c r="B43" s="7" t="str">
        <f aca="false">IFERROR(INDEX('Source'!$C:$C,MATCH($A43,'Source'!$B:$B,0)),"")</f>
        <v>צוארון פלסטי מתכוונן</v>
      </c>
      <c r="C43" s="8" t="n">
        <f aca="false">SUMIFS('Source'!$D:$D,'Source'!$A:$A,"151209 רוני אורטופדיה  בע""מ - רמבם",'Source'!$B:$B,$A43)</f>
        <v>5</v>
      </c>
      <c r="D43" s="8" t="n">
        <f aca="false">SUMIFS('Source'!$F:$F,'Source'!$A:$A,"151209 רוני אורטופדיה  בע""מ - רמבם",'Source'!$B:$B,$A43)</f>
        <v>0</v>
      </c>
      <c r="E43" s="8" t="n">
        <f aca="false">D43*$J$5</f>
        <v>0</v>
      </c>
      <c r="F43" s="8" t="n">
        <f aca="false">E43-C43</f>
        <v>-5</v>
      </c>
      <c r="G43" s="9" t="n">
        <f aca="false">IF(AND(C43=0,E43=0),0,IF(C43=0,"New",(E43-C43)/C43))</f>
        <v>-1</v>
      </c>
      <c r="H43" s="8" t="n">
        <f aca="false">SUMIFS('Source'!$E:$E,'Source'!$A:$A,"151209 רוני אורטופדיה  בע""מ - רמבם",'Source'!$B:$B,$A43)</f>
        <v>259.89</v>
      </c>
      <c r="I43" s="8" t="n">
        <f aca="false">SUMIFS('Source'!$G:$G,'Source'!$A:$A,"151209 רוני אורטופדיה  בע""מ - רמבם",'Source'!$B:$B,$A43)</f>
        <v>0</v>
      </c>
      <c r="J43" s="8" t="n">
        <f aca="false">I43*$J$5</f>
        <v>0</v>
      </c>
      <c r="K43" s="8" t="n">
        <f aca="false">J43-H43</f>
        <v>-259.89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378</v>
      </c>
      <c r="B44" s="7" t="str">
        <f aca="false">IFERROR(INDEX('Source'!$C:$C,MATCH($A44,'Source'!$B:$B,0)),"")</f>
        <v>מגן לכתף ימין/שמאל</v>
      </c>
      <c r="C44" s="8" t="n">
        <f aca="false">SUMIFS('Source'!$D:$D,'Source'!$A:$A,"151209 רוני אורטופדיה  בע""מ - רמבם",'Source'!$B:$B,$A44)</f>
        <v>4</v>
      </c>
      <c r="D44" s="8" t="n">
        <f aca="false">SUMIFS('Source'!$F:$F,'Source'!$A:$A,"151209 רוני אורטופדיה  בע""מ - רמבם",'Source'!$B:$B,$A44)</f>
        <v>2</v>
      </c>
      <c r="E44" s="8" t="n">
        <f aca="false">D44*$J$5</f>
        <v>2.52631578947368</v>
      </c>
      <c r="F44" s="8" t="n">
        <f aca="false">E44-C44</f>
        <v>-1.47368421052632</v>
      </c>
      <c r="G44" s="9" t="n">
        <f aca="false">IF(AND(C44=0,E44=0),0,IF(C44=0,"New",(E44-C44)/C44))</f>
        <v>-0.368421052631579</v>
      </c>
      <c r="H44" s="8" t="n">
        <f aca="false">SUMIFS('Source'!$E:$E,'Source'!$A:$A,"151209 רוני אורטופדיה  בע""מ - רמבם",'Source'!$B:$B,$A44)</f>
        <v>519</v>
      </c>
      <c r="I44" s="8" t="n">
        <f aca="false">SUMIFS('Source'!$G:$G,'Source'!$A:$A,"151209 רוני אורטופדיה  בע""מ - רמבם",'Source'!$B:$B,$A44)</f>
        <v>260</v>
      </c>
      <c r="J44" s="8" t="n">
        <f aca="false">I44*$J$5</f>
        <v>328.421052631579</v>
      </c>
      <c r="K44" s="8" t="n">
        <f aca="false">J44-H44</f>
        <v>-190.578947368421</v>
      </c>
      <c r="L44" s="9" t="n">
        <f aca="false">IF(AND(H44=0,J44=0),0,IF(H44=0,"New",(J44-H44)/H44))</f>
        <v>-0.367204137511409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248</v>
      </c>
      <c r="B45" s="7" t="str">
        <f aca="false">IFERROR(INDEX('Source'!$C:$C,MATCH($A45,'Source'!$B:$B,0)),"")</f>
        <v>מגן לכתף ימין/שמאל</v>
      </c>
      <c r="C45" s="8" t="n">
        <f aca="false">SUMIFS('Source'!$D:$D,'Source'!$A:$A,"151209 רוני אורטופדיה  בע""מ - רמבם",'Source'!$B:$B,$A45)</f>
        <v>4</v>
      </c>
      <c r="D45" s="8" t="n">
        <f aca="false">SUMIFS('Source'!$F:$F,'Source'!$A:$A,"151209 רוני אורטופדיה  בע""מ - רמבם",'Source'!$B:$B,$A45)</f>
        <v>2</v>
      </c>
      <c r="E45" s="8" t="n">
        <f aca="false">D45*$J$5</f>
        <v>2.52631578947368</v>
      </c>
      <c r="F45" s="8" t="n">
        <f aca="false">E45-C45</f>
        <v>-1.47368421052632</v>
      </c>
      <c r="G45" s="9" t="n">
        <f aca="false">IF(AND(C45=0,E45=0),0,IF(C45=0,"New",(E45-C45)/C45))</f>
        <v>-0.368421052631579</v>
      </c>
      <c r="H45" s="8" t="n">
        <f aca="false">SUMIFS('Source'!$E:$E,'Source'!$A:$A,"151209 רוני אורטופדיה  בע""מ - רמבם",'Source'!$B:$B,$A45)</f>
        <v>518</v>
      </c>
      <c r="I45" s="8" t="n">
        <f aca="false">SUMIFS('Source'!$G:$G,'Source'!$A:$A,"151209 רוני אורטופדיה  בע""מ - רמבם",'Source'!$B:$B,$A45)</f>
        <v>260</v>
      </c>
      <c r="J45" s="8" t="n">
        <f aca="false">I45*$J$5</f>
        <v>328.421052631579</v>
      </c>
      <c r="K45" s="8" t="n">
        <f aca="false">J45-H45</f>
        <v>-189.578947368421</v>
      </c>
      <c r="L45" s="9" t="n">
        <f aca="false">IF(AND(H45=0,J45=0),0,IF(H45=0,"New",(J45-H45)/H45))</f>
        <v>-0.365982523877261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626</v>
      </c>
      <c r="B46" s="7" t="str">
        <f aca="false">IFERROR(INDEX('Source'!$C:$C,MATCH($A46,'Source'!$B:$B,0)),"")</f>
        <v>חגורת בטן</v>
      </c>
      <c r="C46" s="8" t="n">
        <f aca="false">SUMIFS('Source'!$D:$D,'Source'!$A:$A,"151209 רוני אורטופדיה  בע""מ - רמבם",'Source'!$B:$B,$A46)</f>
        <v>0</v>
      </c>
      <c r="D46" s="8" t="n">
        <f aca="false">SUMIFS('Source'!$F:$F,'Source'!$A:$A,"151209 רוני אורטופדיה  בע""מ - רמבם",'Source'!$B:$B,$A46)</f>
        <v>3</v>
      </c>
      <c r="E46" s="8" t="n">
        <f aca="false">D46*$J$5</f>
        <v>3.78947368421053</v>
      </c>
      <c r="F46" s="8" t="n">
        <f aca="false">E46-C46</f>
        <v>3.78947368421053</v>
      </c>
      <c r="G46" s="9" t="str">
        <f aca="false">IF(AND(C46=0,E46=0),0,IF(C46=0,"New",(E46-C46)/C46))</f>
        <v>New</v>
      </c>
      <c r="H46" s="8" t="n">
        <f aca="false">SUMIFS('Source'!$E:$E,'Source'!$A:$A,"151209 רוני אורטופדיה  בע""מ - רמבם",'Source'!$B:$B,$A46)</f>
        <v>0</v>
      </c>
      <c r="I46" s="8" t="n">
        <f aca="false">SUMIFS('Source'!$G:$G,'Source'!$A:$A,"151209 רוני אורטופדיה  בע""מ - רמבם",'Source'!$B:$B,$A46)</f>
        <v>254.99</v>
      </c>
      <c r="J46" s="8" t="n">
        <f aca="false">I46*$J$5</f>
        <v>322.092631578947</v>
      </c>
      <c r="K46" s="8" t="n">
        <f aca="false">J46-H46</f>
        <v>322.092631578947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106</v>
      </c>
      <c r="B47" s="7" t="str">
        <f aca="false">IFERROR(INDEX('Source'!$C:$C,MATCH($A47,'Source'!$B:$B,0)),"")</f>
        <v>גרבי נסיעות אנטיבקטריאלי</v>
      </c>
      <c r="C47" s="8" t="n">
        <f aca="false">SUMIFS('Source'!$D:$D,'Source'!$A:$A,"151209 רוני אורטופדיה  בע""מ - רמבם",'Source'!$B:$B,$A47)</f>
        <v>0</v>
      </c>
      <c r="D47" s="8" t="n">
        <f aca="false">SUMIFS('Source'!$F:$F,'Source'!$A:$A,"151209 רוני אורטופדיה  בע""מ - רמבם",'Source'!$B:$B,$A47)</f>
        <v>4</v>
      </c>
      <c r="E47" s="8" t="n">
        <f aca="false">D47*$J$5</f>
        <v>5.05263157894737</v>
      </c>
      <c r="F47" s="8" t="n">
        <f aca="false">E47-C47</f>
        <v>5.05263157894737</v>
      </c>
      <c r="G47" s="9" t="str">
        <f aca="false">IF(AND(C47=0,E47=0),0,IF(C47=0,"New",(E47-C47)/C47))</f>
        <v>New</v>
      </c>
      <c r="H47" s="8" t="n">
        <f aca="false">SUMIFS('Source'!$E:$E,'Source'!$A:$A,"151209 רוני אורטופדיה  בע""מ - רמבם",'Source'!$B:$B,$A47)</f>
        <v>0</v>
      </c>
      <c r="I47" s="8" t="n">
        <f aca="false">SUMIFS('Source'!$G:$G,'Source'!$A:$A,"151209 רוני אורטופדיה  בע""מ - רמבם",'Source'!$B:$B,$A47)</f>
        <v>252.93</v>
      </c>
      <c r="J47" s="8" t="n">
        <f aca="false">I47*$J$5</f>
        <v>319.490526315789</v>
      </c>
      <c r="K47" s="8" t="n">
        <f aca="false">J47-H47</f>
        <v>319.490526315789</v>
      </c>
      <c r="L47" s="9" t="str">
        <f aca="false">IF(AND(H47=0,J47=0),0,IF(H47=0,"New",(J47-H47)/H47))</f>
        <v>New</v>
      </c>
      <c r="M47" s="7" t="str">
        <f aca="false">IF(AND(OR(C47&lt;&gt;0,H47&lt;&gt;0),D47=0,I47=0),"DROP",IF(AND(OR(D47&lt;&gt;0,I47&lt;&gt;0),C47=0,H47=0),"NEW",""))</f>
        <v>NEW</v>
      </c>
    </row>
    <row r="48" customFormat="false" ht="15" hidden="false" customHeight="false" outlineLevel="0" collapsed="false">
      <c r="A48" s="7" t="s">
        <v>103</v>
      </c>
      <c r="B48" s="7" t="str">
        <f aca="false">IFERROR(INDEX('Source'!$C:$C,MATCH($A48,'Source'!$B:$B,0)),"")</f>
        <v>מיישר כתפיים</v>
      </c>
      <c r="C48" s="8" t="n">
        <f aca="false">SUMIFS('Source'!$D:$D,'Source'!$A:$A,"151209 רוני אורטופדיה  בע""מ - רמבם",'Source'!$B:$B,$A48)</f>
        <v>2</v>
      </c>
      <c r="D48" s="8" t="n">
        <f aca="false">SUMIFS('Source'!$F:$F,'Source'!$A:$A,"151209 רוני אורטופדיה  בע""מ - רמבם",'Source'!$B:$B,$A48)</f>
        <v>4</v>
      </c>
      <c r="E48" s="8" t="n">
        <f aca="false">D48*$J$5</f>
        <v>5.05263157894737</v>
      </c>
      <c r="F48" s="8" t="n">
        <f aca="false">E48-C48</f>
        <v>3.05263157894737</v>
      </c>
      <c r="G48" s="9" t="n">
        <f aca="false">IF(AND(C48=0,E48=0),0,IF(C48=0,"New",(E48-C48)/C48))</f>
        <v>1.52631578947368</v>
      </c>
      <c r="H48" s="8" t="n">
        <f aca="false">SUMIFS('Source'!$E:$E,'Source'!$A:$A,"151209 רוני אורטופדיה  בע""מ - רמבם",'Source'!$B:$B,$A48)</f>
        <v>72.62</v>
      </c>
      <c r="I48" s="8" t="n">
        <f aca="false">SUMIFS('Source'!$G:$G,'Source'!$A:$A,"151209 רוני אורטופדיה  בע""מ - רמבם",'Source'!$B:$B,$A48)</f>
        <v>318.6</v>
      </c>
      <c r="J48" s="8" t="n">
        <f aca="false">I48*$J$5</f>
        <v>402.442105263158</v>
      </c>
      <c r="K48" s="8" t="n">
        <f aca="false">J48-H48</f>
        <v>329.822105263158</v>
      </c>
      <c r="L48" s="9" t="n">
        <f aca="false">IF(AND(H48=0,J48=0),0,IF(H48=0,"New",(J48-H48)/H48))</f>
        <v>4.54175303309223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152</v>
      </c>
      <c r="B49" s="7" t="str">
        <f aca="false">IFERROR(INDEX('Source'!$C:$C,MATCH($A49,'Source'!$B:$B,0)),"")</f>
        <v>תומך ברך גנושילד</v>
      </c>
      <c r="C49" s="8" t="n">
        <f aca="false">SUMIFS('Source'!$D:$D,'Source'!$A:$A,"151209 רוני אורטופדיה  בע""מ - רמבם",'Source'!$B:$B,$A49)</f>
        <v>2</v>
      </c>
      <c r="D49" s="8" t="n">
        <f aca="false">SUMIFS('Source'!$F:$F,'Source'!$A:$A,"151209 רוני אורטופדיה  בע""מ - רמבם",'Source'!$B:$B,$A49)</f>
        <v>0</v>
      </c>
      <c r="E49" s="8" t="n">
        <f aca="false">D49*$J$5</f>
        <v>0</v>
      </c>
      <c r="F49" s="8" t="n">
        <f aca="false">E49-C49</f>
        <v>-2</v>
      </c>
      <c r="G49" s="9" t="n">
        <f aca="false">IF(AND(C49=0,E49=0),0,IF(C49=0,"New",(E49-C49)/C49))</f>
        <v>-1</v>
      </c>
      <c r="H49" s="8" t="n">
        <f aca="false">SUMIFS('Source'!$E:$E,'Source'!$A:$A,"151209 רוני אורטופדיה  בע""מ - רמבם",'Source'!$B:$B,$A49)</f>
        <v>240</v>
      </c>
      <c r="I49" s="8" t="n">
        <f aca="false">SUMIFS('Source'!$G:$G,'Source'!$A:$A,"151209 רוני אורטופדיה  בע""מ - רמבם",'Source'!$B:$B,$A49)</f>
        <v>0</v>
      </c>
      <c r="J49" s="8" t="n">
        <f aca="false">I49*$J$5</f>
        <v>0</v>
      </c>
      <c r="K49" s="8" t="n">
        <f aca="false">J49-H49</f>
        <v>-240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122</v>
      </c>
      <c r="B50" s="7" t="str">
        <f aca="false">IFERROR(INDEX('Source'!$C:$C,MATCH($A50,'Source'!$B:$B,0)),"")</f>
        <v>תומך ברך גנושילד</v>
      </c>
      <c r="C50" s="8" t="n">
        <f aca="false">SUMIFS('Source'!$D:$D,'Source'!$A:$A,"151209 רוני אורטופדיה  בע""מ - רמבם",'Source'!$B:$B,$A50)</f>
        <v>2</v>
      </c>
      <c r="D50" s="8" t="n">
        <f aca="false">SUMIFS('Source'!$F:$F,'Source'!$A:$A,"151209 רוני אורטופדיה  בע""מ - רמבם",'Source'!$B:$B,$A50)</f>
        <v>0</v>
      </c>
      <c r="E50" s="8" t="n">
        <f aca="false">D50*$J$5</f>
        <v>0</v>
      </c>
      <c r="F50" s="8" t="n">
        <f aca="false">E50-C50</f>
        <v>-2</v>
      </c>
      <c r="G50" s="9" t="n">
        <f aca="false">IF(AND(C50=0,E50=0),0,IF(C50=0,"New",(E50-C50)/C50))</f>
        <v>-1</v>
      </c>
      <c r="H50" s="8" t="n">
        <f aca="false">SUMIFS('Source'!$E:$E,'Source'!$A:$A,"151209 רוני אורטופדיה  בע""מ - רמבם",'Source'!$B:$B,$A50)</f>
        <v>240</v>
      </c>
      <c r="I50" s="8" t="n">
        <f aca="false">SUMIFS('Source'!$G:$G,'Source'!$A:$A,"151209 רוני אורטופדיה  בע""מ - רמבם",'Source'!$B:$B,$A50)</f>
        <v>0</v>
      </c>
      <c r="J50" s="8" t="n">
        <f aca="false">I50*$J$5</f>
        <v>0</v>
      </c>
      <c r="K50" s="8" t="n">
        <f aca="false">J50-H50</f>
        <v>-240</v>
      </c>
      <c r="L50" s="9" t="n">
        <f aca="false">IF(AND(H50=0,J50=0),0,IF(H50=0,"New",(J50-H50)/H50))</f>
        <v>-1</v>
      </c>
      <c r="M50" s="7" t="str">
        <f aca="false">IF(AND(OR(C50&lt;&gt;0,H50&lt;&gt;0),D50=0,I50=0),"DROP",IF(AND(OR(D50&lt;&gt;0,I50&lt;&gt;0),C50=0,H50=0),"NEW",""))</f>
        <v>DROP</v>
      </c>
    </row>
    <row r="51" customFormat="false" ht="15" hidden="false" customHeight="false" outlineLevel="0" collapsed="false">
      <c r="A51" s="7" t="s">
        <v>517</v>
      </c>
      <c r="B51" s="7" t="str">
        <f aca="false">IFERROR(INDEX('Source'!$C:$C,MATCH($A51,'Source'!$B:$B,0)),"")</f>
        <v>סד לילה לבוהן</v>
      </c>
      <c r="C51" s="8" t="n">
        <f aca="false">SUMIFS('Source'!$D:$D,'Source'!$A:$A,"151209 רוני אורטופדיה  בע""מ - רמבם",'Source'!$B:$B,$A51)</f>
        <v>2</v>
      </c>
      <c r="D51" s="8" t="n">
        <f aca="false">SUMIFS('Source'!$F:$F,'Source'!$A:$A,"151209 רוני אורטופדיה  בע""מ - רמבם",'Source'!$B:$B,$A51)</f>
        <v>6</v>
      </c>
      <c r="E51" s="8" t="n">
        <f aca="false">D51*$J$5</f>
        <v>7.57894736842105</v>
      </c>
      <c r="F51" s="8" t="n">
        <f aca="false">E51-C51</f>
        <v>5.57894736842105</v>
      </c>
      <c r="G51" s="9" t="n">
        <f aca="false">IF(AND(C51=0,E51=0),0,IF(C51=0,"New",(E51-C51)/C51))</f>
        <v>2.78947368421053</v>
      </c>
      <c r="H51" s="8" t="n">
        <f aca="false">SUMIFS('Source'!$E:$E,'Source'!$A:$A,"151209 רוני אורטופדיה  בע""מ - רמבם",'Source'!$B:$B,$A51)</f>
        <v>120</v>
      </c>
      <c r="I51" s="8" t="n">
        <f aca="false">SUMIFS('Source'!$G:$G,'Source'!$A:$A,"151209 רוני אורטופדיה  בע""מ - רמבם",'Source'!$B:$B,$A51)</f>
        <v>360</v>
      </c>
      <c r="J51" s="8" t="n">
        <f aca="false">I51*$J$5</f>
        <v>454.736842105263</v>
      </c>
      <c r="K51" s="8" t="n">
        <f aca="false">J51-H51</f>
        <v>334.736842105263</v>
      </c>
      <c r="L51" s="9" t="n">
        <f aca="false">IF(AND(H51=0,J51=0),0,IF(H51=0,"New",(J51-H51)/H51))</f>
        <v>2.78947368421053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143</v>
      </c>
      <c r="B52" s="7" t="str">
        <f aca="false">IFERROR(INDEX('Source'!$C:$C,MATCH($A52,'Source'!$B:$B,0)),"")</f>
        <v>סד יד דו צדדי</v>
      </c>
      <c r="C52" s="8" t="n">
        <f aca="false">SUMIFS('Source'!$D:$D,'Source'!$A:$A,"151209 רוני אורטופדיה  בע""מ - רמבם",'Source'!$B:$B,$A52)</f>
        <v>0</v>
      </c>
      <c r="D52" s="8" t="n">
        <f aca="false">SUMIFS('Source'!$F:$F,'Source'!$A:$A,"151209 רוני אורטופדיה  בע""מ - רמבם",'Source'!$B:$B,$A52)</f>
        <v>4</v>
      </c>
      <c r="E52" s="8" t="n">
        <f aca="false">D52*$J$5</f>
        <v>5.05263157894737</v>
      </c>
      <c r="F52" s="8" t="n">
        <f aca="false">E52-C52</f>
        <v>5.05263157894737</v>
      </c>
      <c r="G52" s="9" t="str">
        <f aca="false">IF(AND(C52=0,E52=0),0,IF(C52=0,"New",(E52-C52)/C52))</f>
        <v>New</v>
      </c>
      <c r="H52" s="8" t="n">
        <f aca="false">SUMIFS('Source'!$E:$E,'Source'!$A:$A,"151209 רוני אורטופדיה  בע""מ - רמבם",'Source'!$B:$B,$A52)</f>
        <v>0</v>
      </c>
      <c r="I52" s="8" t="n">
        <f aca="false">SUMIFS('Source'!$G:$G,'Source'!$A:$A,"151209 רוני אורטופדיה  בע""מ - רמבם",'Source'!$B:$B,$A52)</f>
        <v>240</v>
      </c>
      <c r="J52" s="8" t="n">
        <f aca="false">I52*$J$5</f>
        <v>303.157894736842</v>
      </c>
      <c r="K52" s="8" t="n">
        <f aca="false">J52-H52</f>
        <v>303.157894736842</v>
      </c>
      <c r="L52" s="9" t="str">
        <f aca="false">IF(AND(H52=0,J52=0),0,IF(H52=0,"New",(J52-H52)/H52))</f>
        <v>New</v>
      </c>
      <c r="M52" s="7" t="str">
        <f aca="false">IF(AND(OR(C52&lt;&gt;0,H52&lt;&gt;0),D52=0,I52=0),"DROP",IF(AND(OR(D52&lt;&gt;0,I52&lt;&gt;0),C52=0,H52=0),"NEW",""))</f>
        <v>NEW</v>
      </c>
    </row>
    <row r="53" customFormat="false" ht="15" hidden="false" customHeight="false" outlineLevel="0" collapsed="false">
      <c r="A53" s="7" t="s">
        <v>201</v>
      </c>
      <c r="B53" s="7" t="str">
        <f aca="false">IFERROR(INDEX('Source'!$C:$C,MATCH($A53,'Source'!$B:$B,0)),"")</f>
        <v>תומך ברך גנושילד</v>
      </c>
      <c r="C53" s="8" t="n">
        <f aca="false">SUMIFS('Source'!$D:$D,'Source'!$A:$A,"151209 רוני אורטופדיה  בע""מ - רמבם",'Source'!$B:$B,$A53)</f>
        <v>2</v>
      </c>
      <c r="D53" s="8" t="n">
        <f aca="false">SUMIFS('Source'!$F:$F,'Source'!$A:$A,"151209 רוני אורטופדיה  בע""מ - רמבם",'Source'!$B:$B,$A53)</f>
        <v>0</v>
      </c>
      <c r="E53" s="8" t="n">
        <f aca="false">D53*$J$5</f>
        <v>0</v>
      </c>
      <c r="F53" s="8" t="n">
        <f aca="false">E53-C53</f>
        <v>-2</v>
      </c>
      <c r="G53" s="9" t="n">
        <f aca="false">IF(AND(C53=0,E53=0),0,IF(C53=0,"New",(E53-C53)/C53))</f>
        <v>-1</v>
      </c>
      <c r="H53" s="8" t="n">
        <f aca="false">SUMIFS('Source'!$E:$E,'Source'!$A:$A,"151209 רוני אורטופדיה  בע""מ - רמבם",'Source'!$B:$B,$A53)</f>
        <v>240</v>
      </c>
      <c r="I53" s="8" t="n">
        <f aca="false">SUMIFS('Source'!$G:$G,'Source'!$A:$A,"151209 רוני אורטופדיה  בע""מ - רמבם",'Source'!$B:$B,$A53)</f>
        <v>0</v>
      </c>
      <c r="J53" s="8" t="n">
        <f aca="false">I53*$J$5</f>
        <v>0</v>
      </c>
      <c r="K53" s="8" t="n">
        <f aca="false">J53-H53</f>
        <v>-240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128</v>
      </c>
      <c r="B54" s="7" t="str">
        <f aca="false">IFERROR(INDEX('Source'!$C:$C,MATCH($A54,'Source'!$B:$B,0)),"")</f>
        <v>תומך ברך גנושילד</v>
      </c>
      <c r="C54" s="8" t="n">
        <f aca="false">SUMIFS('Source'!$D:$D,'Source'!$A:$A,"151209 רוני אורטופדיה  בע""מ - רמבם",'Source'!$B:$B,$A54)</f>
        <v>2</v>
      </c>
      <c r="D54" s="8" t="n">
        <f aca="false">SUMIFS('Source'!$F:$F,'Source'!$A:$A,"151209 רוני אורטופדיה  בע""מ - רמבם",'Source'!$B:$B,$A54)</f>
        <v>0</v>
      </c>
      <c r="E54" s="8" t="n">
        <f aca="false">D54*$J$5</f>
        <v>0</v>
      </c>
      <c r="F54" s="8" t="n">
        <f aca="false">E54-C54</f>
        <v>-2</v>
      </c>
      <c r="G54" s="9" t="n">
        <f aca="false">IF(AND(C54=0,E54=0),0,IF(C54=0,"New",(E54-C54)/C54))</f>
        <v>-1</v>
      </c>
      <c r="H54" s="8" t="n">
        <f aca="false">SUMIFS('Source'!$E:$E,'Source'!$A:$A,"151209 רוני אורטופדיה  בע""מ - רמבם",'Source'!$B:$B,$A54)</f>
        <v>240</v>
      </c>
      <c r="I54" s="8" t="n">
        <f aca="false">SUMIFS('Source'!$G:$G,'Source'!$A:$A,"151209 רוני אורטופדיה  בע""מ - רמבם",'Source'!$B:$B,$A54)</f>
        <v>0</v>
      </c>
      <c r="J54" s="8" t="n">
        <f aca="false">I54*$J$5</f>
        <v>0</v>
      </c>
      <c r="K54" s="8" t="n">
        <f aca="false">J54-H54</f>
        <v>-240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251</v>
      </c>
      <c r="B55" s="7" t="str">
        <f aca="false">IFERROR(INDEX('Source'!$C:$C,MATCH($A55,'Source'!$B:$B,0)),"")</f>
        <v>גרביים עם עקב ג'ל</v>
      </c>
      <c r="C55" s="8" t="n">
        <f aca="false">SUMIFS('Source'!$D:$D,'Source'!$A:$A,"151209 רוני אורטופדיה  בע""מ - רמבם",'Source'!$B:$B,$A55)</f>
        <v>6</v>
      </c>
      <c r="D55" s="8" t="n">
        <f aca="false">SUMIFS('Source'!$F:$F,'Source'!$A:$A,"151209 רוני אורטופדיה  בע""מ - רמבם",'Source'!$B:$B,$A55)</f>
        <v>0</v>
      </c>
      <c r="E55" s="8" t="n">
        <f aca="false">D55*$J$5</f>
        <v>0</v>
      </c>
      <c r="F55" s="8" t="n">
        <f aca="false">E55-C55</f>
        <v>-6</v>
      </c>
      <c r="G55" s="9" t="n">
        <f aca="false">IF(AND(C55=0,E55=0),0,IF(C55=0,"New",(E55-C55)/C55))</f>
        <v>-1</v>
      </c>
      <c r="H55" s="8" t="n">
        <f aca="false">SUMIFS('Source'!$E:$E,'Source'!$A:$A,"151209 רוני אורטופדיה  בע""מ - רמבם",'Source'!$B:$B,$A55)</f>
        <v>224.73</v>
      </c>
      <c r="I55" s="8" t="n">
        <f aca="false">SUMIFS('Source'!$G:$G,'Source'!$A:$A,"151209 רוני אורטופדיה  בע""מ - רמבם",'Source'!$B:$B,$A55)</f>
        <v>0</v>
      </c>
      <c r="J55" s="8" t="n">
        <f aca="false">I55*$J$5</f>
        <v>0</v>
      </c>
      <c r="K55" s="8" t="n">
        <f aca="false">J55-H55</f>
        <v>-224.73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471</v>
      </c>
      <c r="B56" s="7" t="str">
        <f aca="false">IFERROR(INDEX('Source'!$C:$C,MATCH($A56,'Source'!$B:$B,0)),"")</f>
        <v>ח.בטן 25 ס'מ</v>
      </c>
      <c r="C56" s="8" t="n">
        <f aca="false">SUMIFS('Source'!$D:$D,'Source'!$A:$A,"151209 רוני אורטופדיה  בע""מ - רמבם",'Source'!$B:$B,$A56)</f>
        <v>8</v>
      </c>
      <c r="D56" s="8" t="n">
        <f aca="false">SUMIFS('Source'!$F:$F,'Source'!$A:$A,"151209 רוני אורטופדיה  בע""מ - רמבם",'Source'!$B:$B,$A56)</f>
        <v>5</v>
      </c>
      <c r="E56" s="8" t="n">
        <f aca="false">D56*$J$5</f>
        <v>6.31578947368421</v>
      </c>
      <c r="F56" s="8" t="n">
        <f aca="false">E56-C56</f>
        <v>-1.68421052631579</v>
      </c>
      <c r="G56" s="9" t="n">
        <f aca="false">IF(AND(C56=0,E56=0),0,IF(C56=0,"New",(E56-C56)/C56))</f>
        <v>-0.210526315789474</v>
      </c>
      <c r="H56" s="8" t="n">
        <f aca="false">SUMIFS('Source'!$E:$E,'Source'!$A:$A,"151209 רוני אורטופדיה  בע""מ - רמבם",'Source'!$B:$B,$A56)</f>
        <v>647.99</v>
      </c>
      <c r="I56" s="8" t="n">
        <f aca="false">SUMIFS('Source'!$G:$G,'Source'!$A:$A,"151209 רוני אורטופדיה  בע""מ - רמבם",'Source'!$B:$B,$A56)</f>
        <v>425</v>
      </c>
      <c r="J56" s="8" t="n">
        <f aca="false">I56*$J$5</f>
        <v>536.842105263158</v>
      </c>
      <c r="K56" s="8" t="n">
        <f aca="false">J56-H56</f>
        <v>-111.147894736842</v>
      </c>
      <c r="L56" s="9" t="n">
        <f aca="false">IF(AND(H56=0,J56=0),0,IF(H56=0,"New",(J56-H56)/H56))</f>
        <v>-0.1715271759392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205</v>
      </c>
      <c r="B57" s="7" t="str">
        <f aca="false">IFERROR(INDEX('Source'!$C:$C,MATCH($A57,'Source'!$B:$B,0)),"")</f>
        <v>סד לקרסול</v>
      </c>
      <c r="C57" s="8" t="n">
        <f aca="false">SUMIFS('Source'!$D:$D,'Source'!$A:$A,"151209 רוני אורטופדיה  בע""מ - רמבם",'Source'!$B:$B,$A57)</f>
        <v>2</v>
      </c>
      <c r="D57" s="8" t="n">
        <f aca="false">SUMIFS('Source'!$F:$F,'Source'!$A:$A,"151209 רוני אורטופדיה  בע""מ - רמבם",'Source'!$B:$B,$A57)</f>
        <v>0</v>
      </c>
      <c r="E57" s="8" t="n">
        <f aca="false">D57*$J$5</f>
        <v>0</v>
      </c>
      <c r="F57" s="8" t="n">
        <f aca="false">E57-C57</f>
        <v>-2</v>
      </c>
      <c r="G57" s="9" t="n">
        <f aca="false">IF(AND(C57=0,E57=0),0,IF(C57=0,"New",(E57-C57)/C57))</f>
        <v>-1</v>
      </c>
      <c r="H57" s="8" t="n">
        <f aca="false">SUMIFS('Source'!$E:$E,'Source'!$A:$A,"151209 רוני אורטופדיה  בע""מ - רמבם",'Source'!$B:$B,$A57)</f>
        <v>220</v>
      </c>
      <c r="I57" s="8" t="n">
        <f aca="false">SUMIFS('Source'!$G:$G,'Source'!$A:$A,"151209 רוני אורטופדיה  בע""מ - רמבם",'Source'!$B:$B,$A57)</f>
        <v>0</v>
      </c>
      <c r="J57" s="8" t="n">
        <f aca="false">I57*$J$5</f>
        <v>0</v>
      </c>
      <c r="K57" s="8" t="n">
        <f aca="false">J57-H57</f>
        <v>-220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193</v>
      </c>
      <c r="B58" s="7" t="str">
        <f aca="false">IFERROR(INDEX('Source'!$C:$C,MATCH($A58,'Source'!$B:$B,0)),"")</f>
        <v>מדרס מתכוונן לגיל</v>
      </c>
      <c r="C58" s="8" t="n">
        <f aca="false">SUMIFS('Source'!$D:$D,'Source'!$A:$A,"151209 רוני אורטופדיה  בע""מ - רמבם",'Source'!$B:$B,$A58)</f>
        <v>5</v>
      </c>
      <c r="D58" s="8" t="n">
        <f aca="false">SUMIFS('Source'!$F:$F,'Source'!$A:$A,"151209 רוני אורטופדיה  בע""מ - רמבם",'Source'!$B:$B,$A58)</f>
        <v>2</v>
      </c>
      <c r="E58" s="8" t="n">
        <f aca="false">D58*$J$5</f>
        <v>2.52631578947368</v>
      </c>
      <c r="F58" s="8" t="n">
        <f aca="false">E58-C58</f>
        <v>-2.47368421052632</v>
      </c>
      <c r="G58" s="9" t="n">
        <f aca="false">IF(AND(C58=0,E58=0),0,IF(C58=0,"New",(E58-C58)/C58))</f>
        <v>-0.494736842105263</v>
      </c>
      <c r="H58" s="8" t="n">
        <f aca="false">SUMIFS('Source'!$E:$E,'Source'!$A:$A,"151209 רוני אורטופדיה  בע""מ - רמבם",'Source'!$B:$B,$A58)</f>
        <v>376</v>
      </c>
      <c r="I58" s="8" t="n">
        <f aca="false">SUMIFS('Source'!$G:$G,'Source'!$A:$A,"151209 רוני אורטופדיה  בע""מ - רמבם",'Source'!$B:$B,$A58)</f>
        <v>160</v>
      </c>
      <c r="J58" s="8" t="n">
        <f aca="false">I58*$J$5</f>
        <v>202.105263157895</v>
      </c>
      <c r="K58" s="8" t="n">
        <f aca="false">J58-H58</f>
        <v>-173.894736842105</v>
      </c>
      <c r="L58" s="9" t="n">
        <f aca="false">IF(AND(H58=0,J58=0),0,IF(H58=0,"New",(J58-H58)/H58))</f>
        <v>-0.462486002239642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388</v>
      </c>
      <c r="B59" s="7" t="str">
        <f aca="false">IFERROR(INDEX('Source'!$C:$C,MATCH($A59,'Source'!$B:$B,0)),"")</f>
        <v>מגן שוק רגיל</v>
      </c>
      <c r="C59" s="8" t="n">
        <f aca="false">SUMIFS('Source'!$D:$D,'Source'!$A:$A,"151209 רוני אורטופדיה  בע""מ - רמבם",'Source'!$B:$B,$A59)</f>
        <v>2</v>
      </c>
      <c r="D59" s="8" t="n">
        <f aca="false">SUMIFS('Source'!$F:$F,'Source'!$A:$A,"151209 רוני אורטופדיה  בע""מ - רמבם",'Source'!$B:$B,$A59)</f>
        <v>0</v>
      </c>
      <c r="E59" s="8" t="n">
        <f aca="false">D59*$J$5</f>
        <v>0</v>
      </c>
      <c r="F59" s="8" t="n">
        <f aca="false">E59-C59</f>
        <v>-2</v>
      </c>
      <c r="G59" s="9" t="n">
        <f aca="false">IF(AND(C59=0,E59=0),0,IF(C59=0,"New",(E59-C59)/C59))</f>
        <v>-1</v>
      </c>
      <c r="H59" s="8" t="n">
        <f aca="false">SUMIFS('Source'!$E:$E,'Source'!$A:$A,"151209 רוני אורטופדיה  בע""מ - רמבם",'Source'!$B:$B,$A59)</f>
        <v>211.72</v>
      </c>
      <c r="I59" s="8" t="n">
        <f aca="false">SUMIFS('Source'!$G:$G,'Source'!$A:$A,"151209 רוני אורטופדיה  בע""מ - רמבם",'Source'!$B:$B,$A59)</f>
        <v>0</v>
      </c>
      <c r="J59" s="8" t="n">
        <f aca="false">I59*$J$5</f>
        <v>0</v>
      </c>
      <c r="K59" s="8" t="n">
        <f aca="false">J59-H59</f>
        <v>-211.72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482</v>
      </c>
      <c r="B60" s="7" t="str">
        <f aca="false">IFERROR(INDEX('Source'!$C:$C,MATCH($A60,'Source'!$B:$B,0)),"")</f>
        <v>ח.בטן 25 ס'מ</v>
      </c>
      <c r="C60" s="8" t="n">
        <f aca="false">SUMIFS('Source'!$D:$D,'Source'!$A:$A,"151209 רוני אורטופדיה  בע""מ - רמבם",'Source'!$B:$B,$A60)</f>
        <v>14</v>
      </c>
      <c r="D60" s="8" t="n">
        <f aca="false">SUMIFS('Source'!$F:$F,'Source'!$A:$A,"151209 רוני אורטופדיה  בע""מ - רמבם",'Source'!$B:$B,$A60)</f>
        <v>11</v>
      </c>
      <c r="E60" s="8" t="n">
        <f aca="false">D60*$J$5</f>
        <v>13.8947368421053</v>
      </c>
      <c r="F60" s="8" t="n">
        <f aca="false">E60-C60</f>
        <v>-0.105263157894738</v>
      </c>
      <c r="G60" s="9" t="n">
        <f aca="false">IF(AND(C60=0,E60=0),0,IF(C60=0,"New",(E60-C60)/C60))</f>
        <v>-0.00751879699248129</v>
      </c>
      <c r="H60" s="8" t="n">
        <f aca="false">SUMIFS('Source'!$E:$E,'Source'!$A:$A,"151209 רוני אורטופדיה  בע""מ - רמבם",'Source'!$B:$B,$A60)</f>
        <v>1142.99</v>
      </c>
      <c r="I60" s="8" t="n">
        <f aca="false">SUMIFS('Source'!$G:$G,'Source'!$A:$A,"151209 רוני אורטופדיה  בע""מ - רמבם",'Source'!$B:$B,$A60)</f>
        <v>934.97</v>
      </c>
      <c r="J60" s="8" t="n">
        <f aca="false">I60*$J$5</f>
        <v>1181.01473684211</v>
      </c>
      <c r="K60" s="8" t="n">
        <f aca="false">J60-H60</f>
        <v>38.0247368421053</v>
      </c>
      <c r="L60" s="9" t="n">
        <f aca="false">IF(AND(H60=0,J60=0),0,IF(H60=0,"New",(J60-H60)/H60))</f>
        <v>0.0332677773577243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991</v>
      </c>
      <c r="B61" s="7" t="str">
        <f aca="false">IFERROR(INDEX('Source'!$C:$C,MATCH($A61,'Source'!$B:$B,0)),"")</f>
        <v>מגן קרסול + סיליקון</v>
      </c>
      <c r="C61" s="8" t="n">
        <f aca="false">SUMIFS('Source'!$D:$D,'Source'!$A:$A,"151209 רוני אורטופדיה  בע""מ - רמבם",'Source'!$B:$B,$A61)</f>
        <v>2</v>
      </c>
      <c r="D61" s="8" t="n">
        <f aca="false">SUMIFS('Source'!$F:$F,'Source'!$A:$A,"151209 רוני אורטופדיה  בע""מ - רמבם",'Source'!$B:$B,$A61)</f>
        <v>0</v>
      </c>
      <c r="E61" s="8" t="n">
        <f aca="false">D61*$J$5</f>
        <v>0</v>
      </c>
      <c r="F61" s="8" t="n">
        <f aca="false">E61-C61</f>
        <v>-2</v>
      </c>
      <c r="G61" s="9" t="n">
        <f aca="false">IF(AND(C61=0,E61=0),0,IF(C61=0,"New",(E61-C61)/C61))</f>
        <v>-1</v>
      </c>
      <c r="H61" s="8" t="n">
        <f aca="false">SUMIFS('Source'!$E:$E,'Source'!$A:$A,"151209 רוני אורטופדיה  בע""מ - רמבם",'Source'!$B:$B,$A61)</f>
        <v>196.58</v>
      </c>
      <c r="I61" s="8" t="n">
        <f aca="false">SUMIFS('Source'!$G:$G,'Source'!$A:$A,"151209 רוני אורטופדיה  בע""מ - רמבם",'Source'!$B:$B,$A61)</f>
        <v>0</v>
      </c>
      <c r="J61" s="8" t="n">
        <f aca="false">I61*$J$5</f>
        <v>0</v>
      </c>
      <c r="K61" s="8" t="n">
        <f aca="false">J61-H61</f>
        <v>-196.58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113</v>
      </c>
      <c r="B62" s="7" t="str">
        <f aca="false">IFERROR(INDEX('Source'!$C:$C,MATCH($A62,'Source'!$B:$B,0)),"")</f>
        <v>גרבי טיסה</v>
      </c>
      <c r="C62" s="8" t="n">
        <f aca="false">SUMIFS('Source'!$D:$D,'Source'!$A:$A,"151209 רוני אורטופדיה  בע""מ - רמבם",'Source'!$B:$B,$A62)</f>
        <v>3</v>
      </c>
      <c r="D62" s="8" t="n">
        <f aca="false">SUMIFS('Source'!$F:$F,'Source'!$A:$A,"151209 רוני אורטופדיה  בע""מ - רמבם",'Source'!$B:$B,$A62)</f>
        <v>0</v>
      </c>
      <c r="E62" s="8" t="n">
        <f aca="false">D62*$J$5</f>
        <v>0</v>
      </c>
      <c r="F62" s="8" t="n">
        <f aca="false">E62-C62</f>
        <v>-3</v>
      </c>
      <c r="G62" s="9" t="n">
        <f aca="false">IF(AND(C62=0,E62=0),0,IF(C62=0,"New",(E62-C62)/C62))</f>
        <v>-1</v>
      </c>
      <c r="H62" s="8" t="n">
        <f aca="false">SUMIFS('Source'!$E:$E,'Source'!$A:$A,"151209 רוני אורטופדיה  בע""מ - רמבם",'Source'!$B:$B,$A62)</f>
        <v>189.69</v>
      </c>
      <c r="I62" s="8" t="n">
        <f aca="false">SUMIFS('Source'!$G:$G,'Source'!$A:$A,"151209 רוני אורטופדיה  בע""מ - רמבם",'Source'!$B:$B,$A62)</f>
        <v>0</v>
      </c>
      <c r="J62" s="8" t="n">
        <f aca="false">I62*$J$5</f>
        <v>0</v>
      </c>
      <c r="K62" s="8" t="n">
        <f aca="false">J62-H62</f>
        <v>-189.69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119</v>
      </c>
      <c r="B63" s="7" t="str">
        <f aca="false">IFERROR(INDEX('Source'!$C:$C,MATCH($A63,'Source'!$B:$B,0)),"")</f>
        <v>מיישר בוניון-HALUX VALGUS</v>
      </c>
      <c r="C63" s="8" t="n">
        <f aca="false">SUMIFS('Source'!$D:$D,'Source'!$A:$A,"151209 רוני אורטופדיה  בע""מ - רמבם",'Source'!$B:$B,$A63)</f>
        <v>9</v>
      </c>
      <c r="D63" s="8" t="n">
        <f aca="false">SUMIFS('Source'!$F:$F,'Source'!$A:$A,"151209 רוני אורטופדיה  בע""מ - רמבם",'Source'!$B:$B,$A63)</f>
        <v>5</v>
      </c>
      <c r="E63" s="8" t="n">
        <f aca="false">D63*$J$5</f>
        <v>6.31578947368421</v>
      </c>
      <c r="F63" s="8" t="n">
        <f aca="false">E63-C63</f>
        <v>-2.68421052631579</v>
      </c>
      <c r="G63" s="9" t="n">
        <f aca="false">IF(AND(C63=0,E63=0),0,IF(C63=0,"New",(E63-C63)/C63))</f>
        <v>-0.298245614035088</v>
      </c>
      <c r="H63" s="8" t="n">
        <f aca="false">SUMIFS('Source'!$E:$E,'Source'!$A:$A,"151209 רוני אורטופדיה  בע""מ - רמבם",'Source'!$B:$B,$A63)</f>
        <v>425.65</v>
      </c>
      <c r="I63" s="8" t="n">
        <f aca="false">SUMIFS('Source'!$G:$G,'Source'!$A:$A,"151209 רוני אורטופדיה  בע""מ - רמבם",'Source'!$B:$B,$A63)</f>
        <v>236.47</v>
      </c>
      <c r="J63" s="8" t="n">
        <f aca="false">I63*$J$5</f>
        <v>298.698947368421</v>
      </c>
      <c r="K63" s="8" t="n">
        <f aca="false">J63-H63</f>
        <v>-126.951052631579</v>
      </c>
      <c r="L63" s="9" t="n">
        <f aca="false">IF(AND(H63=0,J63=0),0,IF(H63=0,"New",(J63-H63)/H63))</f>
        <v>-0.298252208696297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992</v>
      </c>
      <c r="B64" s="7" t="str">
        <f aca="false">IFERROR(INDEX('Source'!$C:$C,MATCH($A64,'Source'!$B:$B,0)),"")</f>
        <v>מ.ברךגנוסיל+כ .</v>
      </c>
      <c r="C64" s="8" t="n">
        <f aca="false">SUMIFS('Source'!$D:$D,'Source'!$A:$A,"151209 רוני אורטופדיה  בע""מ - רמבם",'Source'!$B:$B,$A64)</f>
        <v>1</v>
      </c>
      <c r="D64" s="8" t="n">
        <f aca="false">SUMIFS('Source'!$F:$F,'Source'!$A:$A,"151209 רוני אורטופדיה  בע""מ - רמבם",'Source'!$B:$B,$A64)</f>
        <v>0</v>
      </c>
      <c r="E64" s="8" t="n">
        <f aca="false">D64*$J$5</f>
        <v>0</v>
      </c>
      <c r="F64" s="8" t="n">
        <f aca="false">E64-C64</f>
        <v>-1</v>
      </c>
      <c r="G64" s="9" t="n">
        <f aca="false">IF(AND(C64=0,E64=0),0,IF(C64=0,"New",(E64-C64)/C64))</f>
        <v>-1</v>
      </c>
      <c r="H64" s="8" t="n">
        <f aca="false">SUMIFS('Source'!$E:$E,'Source'!$A:$A,"151209 רוני אורטופדיה  בע""מ - רמבם",'Source'!$B:$B,$A64)</f>
        <v>187.45</v>
      </c>
      <c r="I64" s="8" t="n">
        <f aca="false">SUMIFS('Source'!$G:$G,'Source'!$A:$A,"151209 רוני אורטופדיה  בע""מ - רמבם",'Source'!$B:$B,$A64)</f>
        <v>0</v>
      </c>
      <c r="J64" s="8" t="n">
        <f aca="false">I64*$J$5</f>
        <v>0</v>
      </c>
      <c r="K64" s="8" t="n">
        <f aca="false">J64-H64</f>
        <v>-187.45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289</v>
      </c>
      <c r="B65" s="7" t="str">
        <f aca="false">IFERROR(INDEX('Source'!$C:$C,MATCH($A65,'Source'!$B:$B,0)),"")</f>
        <v>ח.בטן 25 ס'מ</v>
      </c>
      <c r="C65" s="8" t="n">
        <f aca="false">SUMIFS('Source'!$D:$D,'Source'!$A:$A,"151209 רוני אורטופדיה  בע""מ - רמבם",'Source'!$B:$B,$A65)</f>
        <v>1</v>
      </c>
      <c r="D65" s="8" t="n">
        <f aca="false">SUMIFS('Source'!$F:$F,'Source'!$A:$A,"151209 רוני אורטופדיה  בע""מ - רמבם",'Source'!$B:$B,$A65)</f>
        <v>3</v>
      </c>
      <c r="E65" s="8" t="n">
        <f aca="false">D65*$J$5</f>
        <v>3.78947368421053</v>
      </c>
      <c r="F65" s="8" t="n">
        <f aca="false">E65-C65</f>
        <v>2.78947368421053</v>
      </c>
      <c r="G65" s="9" t="n">
        <f aca="false">IF(AND(C65=0,E65=0),0,IF(C65=0,"New",(E65-C65)/C65))</f>
        <v>2.78947368421053</v>
      </c>
      <c r="H65" s="8" t="n">
        <f aca="false">SUMIFS('Source'!$E:$E,'Source'!$A:$A,"151209 רוני אורטופדיה  בע""מ - רמבם",'Source'!$B:$B,$A65)</f>
        <v>69</v>
      </c>
      <c r="I65" s="8" t="n">
        <f aca="false">SUMIFS('Source'!$G:$G,'Source'!$A:$A,"151209 רוני אורטופדיה  בע""מ - רמבם",'Source'!$B:$B,$A65)</f>
        <v>255.02</v>
      </c>
      <c r="J65" s="8" t="n">
        <f aca="false">I65*$J$5</f>
        <v>322.13052631579</v>
      </c>
      <c r="K65" s="8" t="n">
        <f aca="false">J65-H65</f>
        <v>253.13052631579</v>
      </c>
      <c r="L65" s="9" t="n">
        <f aca="false">IF(AND(H65=0,J65=0),0,IF(H65=0,"New",(J65-H65)/H65))</f>
        <v>3.66855835240275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354</v>
      </c>
      <c r="B66" s="7" t="str">
        <f aca="false">IFERROR(INDEX('Source'!$C:$C,MATCH($A66,'Source'!$B:$B,0)),"")</f>
        <v>מגן שוק SC39</v>
      </c>
      <c r="C66" s="8" t="n">
        <f aca="false">SUMIFS('Source'!$D:$D,'Source'!$A:$A,"151209 רוני אורטופדיה  בע""מ - רמבם",'Source'!$B:$B,$A66)</f>
        <v>1</v>
      </c>
      <c r="D66" s="8" t="n">
        <f aca="false">SUMIFS('Source'!$F:$F,'Source'!$A:$A,"151209 רוני אורטופדיה  בע""מ - רמבם",'Source'!$B:$B,$A66)</f>
        <v>2</v>
      </c>
      <c r="E66" s="8" t="n">
        <f aca="false">D66*$J$5</f>
        <v>2.52631578947368</v>
      </c>
      <c r="F66" s="8" t="n">
        <f aca="false">E66-C66</f>
        <v>1.52631578947368</v>
      </c>
      <c r="G66" s="9" t="n">
        <f aca="false">IF(AND(C66=0,E66=0),0,IF(C66=0,"New",(E66-C66)/C66))</f>
        <v>1.52631578947368</v>
      </c>
      <c r="H66" s="8" t="n">
        <f aca="false">SUMIFS('Source'!$E:$E,'Source'!$A:$A,"151209 רוני אורטופדיה  בע""מ - רמבם",'Source'!$B:$B,$A66)</f>
        <v>145.26</v>
      </c>
      <c r="I66" s="8" t="n">
        <f aca="false">SUMIFS('Source'!$G:$G,'Source'!$A:$A,"151209 רוני אורטופדיה  בע""מ - רמבם",'Source'!$B:$B,$A66)</f>
        <v>328.04</v>
      </c>
      <c r="J66" s="8" t="n">
        <f aca="false">I66*$J$5</f>
        <v>414.366315789474</v>
      </c>
      <c r="K66" s="8" t="n">
        <f aca="false">J66-H66</f>
        <v>269.106315789474</v>
      </c>
      <c r="L66" s="9" t="n">
        <f aca="false">IF(AND(H66=0,J66=0),0,IF(H66=0,"New",(J66-H66)/H66))</f>
        <v>1.85258375182069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543</v>
      </c>
      <c r="B67" s="7" t="str">
        <f aca="false">IFERROR(INDEX('Source'!$C:$C,MATCH($A67,'Source'!$B:$B,0)),"")</f>
        <v>מישר כתפיים</v>
      </c>
      <c r="C67" s="8" t="n">
        <f aca="false">SUMIFS('Source'!$D:$D,'Source'!$A:$A,"151209 רוני אורטופדיה  בע""מ - רמבם",'Source'!$B:$B,$A67)</f>
        <v>0</v>
      </c>
      <c r="D67" s="8" t="n">
        <f aca="false">SUMIFS('Source'!$F:$F,'Source'!$A:$A,"151209 רוני אורטופדיה  בע""מ - רמבם",'Source'!$B:$B,$A67)</f>
        <v>1</v>
      </c>
      <c r="E67" s="8" t="n">
        <f aca="false">D67*$J$5</f>
        <v>1.26315789473684</v>
      </c>
      <c r="F67" s="8" t="n">
        <f aca="false">E67-C67</f>
        <v>1.26315789473684</v>
      </c>
      <c r="G67" s="9" t="str">
        <f aca="false">IF(AND(C67=0,E67=0),0,IF(C67=0,"New",(E67-C67)/C67))</f>
        <v>New</v>
      </c>
      <c r="H67" s="8" t="n">
        <f aca="false">SUMIFS('Source'!$E:$E,'Source'!$A:$A,"151209 רוני אורטופדיה  בע""מ - רמבם",'Source'!$B:$B,$A67)</f>
        <v>0</v>
      </c>
      <c r="I67" s="8" t="n">
        <f aca="false">SUMIFS('Source'!$G:$G,'Source'!$A:$A,"151209 רוני אורטופדיה  בע""מ - רמבם",'Source'!$B:$B,$A67)</f>
        <v>164.01</v>
      </c>
      <c r="J67" s="8" t="n">
        <f aca="false">I67*$J$5</f>
        <v>207.170526315789</v>
      </c>
      <c r="K67" s="8" t="n">
        <f aca="false">J67-H67</f>
        <v>207.170526315789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383</v>
      </c>
      <c r="B68" s="7" t="str">
        <f aca="false">IFERROR(INDEX('Source'!$C:$C,MATCH($A68,'Source'!$B:$B,0)),"")</f>
        <v>מישר כתפיים רחב+תמיכה לבית השח</v>
      </c>
      <c r="C68" s="8" t="n">
        <f aca="false">SUMIFS('Source'!$D:$D,'Source'!$A:$A,"151209 רוני אורטופדיה  בע""מ - רמבם",'Source'!$B:$B,$A68)</f>
        <v>1</v>
      </c>
      <c r="D68" s="8" t="n">
        <f aca="false">SUMIFS('Source'!$F:$F,'Source'!$A:$A,"151209 רוני אורטופדיה  בע""מ - רמבם",'Source'!$B:$B,$A68)</f>
        <v>0</v>
      </c>
      <c r="E68" s="8" t="n">
        <f aca="false">D68*$J$5</f>
        <v>0</v>
      </c>
      <c r="F68" s="8" t="n">
        <f aca="false">E68-C68</f>
        <v>-1</v>
      </c>
      <c r="G68" s="9" t="n">
        <f aca="false">IF(AND(C68=0,E68=0),0,IF(C68=0,"New",(E68-C68)/C68))</f>
        <v>-1</v>
      </c>
      <c r="H68" s="8" t="n">
        <f aca="false">SUMIFS('Source'!$E:$E,'Source'!$A:$A,"151209 רוני אורטופדיה  בע""מ - רמבם",'Source'!$B:$B,$A68)</f>
        <v>160</v>
      </c>
      <c r="I68" s="8" t="n">
        <f aca="false">SUMIFS('Source'!$G:$G,'Source'!$A:$A,"151209 רוני אורטופדיה  בע""מ - רמבם",'Source'!$B:$B,$A68)</f>
        <v>0</v>
      </c>
      <c r="J68" s="8" t="n">
        <f aca="false">I68*$J$5</f>
        <v>0</v>
      </c>
      <c r="K68" s="8" t="n">
        <f aca="false">J68-H68</f>
        <v>-160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347</v>
      </c>
      <c r="B69" s="7" t="str">
        <f aca="false">IFERROR(INDEX('Source'!$C:$C,MATCH($A69,'Source'!$B:$B,0)),"")</f>
        <v>מישר כתפיים רחב+תמיכה לבית השח</v>
      </c>
      <c r="C69" s="8" t="n">
        <f aca="false">SUMIFS('Source'!$D:$D,'Source'!$A:$A,"151209 רוני אורטופדיה  בע""מ - רמבם",'Source'!$B:$B,$A69)</f>
        <v>0</v>
      </c>
      <c r="D69" s="8" t="n">
        <f aca="false">SUMIFS('Source'!$F:$F,'Source'!$A:$A,"151209 רוני אורטופדיה  בע""מ - רמבם",'Source'!$B:$B,$A69)</f>
        <v>1</v>
      </c>
      <c r="E69" s="8" t="n">
        <f aca="false">D69*$J$5</f>
        <v>1.26315789473684</v>
      </c>
      <c r="F69" s="8" t="n">
        <f aca="false">E69-C69</f>
        <v>1.26315789473684</v>
      </c>
      <c r="G69" s="9" t="str">
        <f aca="false">IF(AND(C69=0,E69=0),0,IF(C69=0,"New",(E69-C69)/C69))</f>
        <v>New</v>
      </c>
      <c r="H69" s="8" t="n">
        <f aca="false">SUMIFS('Source'!$E:$E,'Source'!$A:$A,"151209 רוני אורטופדיה  בע""מ - רמבם",'Source'!$B:$B,$A69)</f>
        <v>0</v>
      </c>
      <c r="I69" s="8" t="n">
        <f aca="false">SUMIFS('Source'!$G:$G,'Source'!$A:$A,"151209 רוני אורטופדיה  בע""מ - רמבם",'Source'!$B:$B,$A69)</f>
        <v>160</v>
      </c>
      <c r="J69" s="8" t="n">
        <f aca="false">I69*$J$5</f>
        <v>202.105263157895</v>
      </c>
      <c r="K69" s="8" t="n">
        <f aca="false">J69-H69</f>
        <v>202.105263157895</v>
      </c>
      <c r="L69" s="9" t="str">
        <f aca="false">IF(AND(H69=0,J69=0),0,IF(H69=0,"New",(J69-H69)/H69))</f>
        <v>New</v>
      </c>
      <c r="M69" s="7" t="str">
        <f aca="false">IF(AND(OR(C69&lt;&gt;0,H69&lt;&gt;0),D69=0,I69=0),"DROP",IF(AND(OR(D69&lt;&gt;0,I69&lt;&gt;0),C69=0,H69=0),"NEW",""))</f>
        <v>NEW</v>
      </c>
    </row>
    <row r="70" customFormat="false" ht="15" hidden="false" customHeight="false" outlineLevel="0" collapsed="false">
      <c r="A70" s="7" t="s">
        <v>223</v>
      </c>
      <c r="B70" s="7" t="str">
        <f aca="false">IFERROR(INDEX('Source'!$C:$C,MATCH($A70,'Source'!$B:$B,0)),"")</f>
        <v>מישר כתפיים רחב+תמיכה לבית השח</v>
      </c>
      <c r="C70" s="8" t="n">
        <f aca="false">SUMIFS('Source'!$D:$D,'Source'!$A:$A,"151209 רוני אורטופדיה  בע""מ - רמבם",'Source'!$B:$B,$A70)</f>
        <v>0</v>
      </c>
      <c r="D70" s="8" t="n">
        <f aca="false">SUMIFS('Source'!$F:$F,'Source'!$A:$A,"151209 רוני אורטופדיה  בע""מ - רמבם",'Source'!$B:$B,$A70)</f>
        <v>1</v>
      </c>
      <c r="E70" s="8" t="n">
        <f aca="false">D70*$J$5</f>
        <v>1.26315789473684</v>
      </c>
      <c r="F70" s="8" t="n">
        <f aca="false">E70-C70</f>
        <v>1.26315789473684</v>
      </c>
      <c r="G70" s="9" t="str">
        <f aca="false">IF(AND(C70=0,E70=0),0,IF(C70=0,"New",(E70-C70)/C70))</f>
        <v>New</v>
      </c>
      <c r="H70" s="8" t="n">
        <f aca="false">SUMIFS('Source'!$E:$E,'Source'!$A:$A,"151209 רוני אורטופדיה  בע""מ - רמבם",'Source'!$B:$B,$A70)</f>
        <v>0</v>
      </c>
      <c r="I70" s="8" t="n">
        <f aca="false">SUMIFS('Source'!$G:$G,'Source'!$A:$A,"151209 רוני אורטופדיה  בע""מ - רמבם",'Source'!$B:$B,$A70)</f>
        <v>160</v>
      </c>
      <c r="J70" s="8" t="n">
        <f aca="false">I70*$J$5</f>
        <v>202.105263157895</v>
      </c>
      <c r="K70" s="8" t="n">
        <f aca="false">J70-H70</f>
        <v>202.105263157895</v>
      </c>
      <c r="L70" s="9" t="str">
        <f aca="false">IF(AND(H70=0,J70=0),0,IF(H70=0,"New",(J70-H70)/H70))</f>
        <v>New</v>
      </c>
      <c r="M70" s="7" t="str">
        <f aca="false">IF(AND(OR(C70&lt;&gt;0,H70&lt;&gt;0),D70=0,I70=0),"DROP",IF(AND(OR(D70&lt;&gt;0,I70&lt;&gt;0),C70=0,H70=0),"NEW",""))</f>
        <v>NEW</v>
      </c>
    </row>
    <row r="71" customFormat="false" ht="15" hidden="false" customHeight="false" outlineLevel="0" collapsed="false">
      <c r="A71" s="7" t="s">
        <v>291</v>
      </c>
      <c r="B71" s="7" t="str">
        <f aca="false">IFERROR(INDEX('Source'!$C:$C,MATCH($A71,'Source'!$B:$B,0)),"")</f>
        <v>מישר כתפיים רחב+תמיכה לבית השח</v>
      </c>
      <c r="C71" s="8" t="n">
        <f aca="false">SUMIFS('Source'!$D:$D,'Source'!$A:$A,"151209 רוני אורטופדיה  בע""מ - רמבם",'Source'!$B:$B,$A71)</f>
        <v>1</v>
      </c>
      <c r="D71" s="8" t="n">
        <f aca="false">SUMIFS('Source'!$F:$F,'Source'!$A:$A,"151209 רוני אורטופדיה  בע""מ - רמבם",'Source'!$B:$B,$A71)</f>
        <v>0</v>
      </c>
      <c r="E71" s="8" t="n">
        <f aca="false">D71*$J$5</f>
        <v>0</v>
      </c>
      <c r="F71" s="8" t="n">
        <f aca="false">E71-C71</f>
        <v>-1</v>
      </c>
      <c r="G71" s="9" t="n">
        <f aca="false">IF(AND(C71=0,E71=0),0,IF(C71=0,"New",(E71-C71)/C71))</f>
        <v>-1</v>
      </c>
      <c r="H71" s="8" t="n">
        <f aca="false">SUMIFS('Source'!$E:$E,'Source'!$A:$A,"151209 רוני אורטופדיה  בע""מ - רמבם",'Source'!$B:$B,$A71)</f>
        <v>160</v>
      </c>
      <c r="I71" s="8" t="n">
        <f aca="false">SUMIFS('Source'!$G:$G,'Source'!$A:$A,"151209 רוני אורטופדיה  בע""מ - רמבם",'Source'!$B:$B,$A71)</f>
        <v>0</v>
      </c>
      <c r="J71" s="8" t="n">
        <f aca="false">I71*$J$5</f>
        <v>0</v>
      </c>
      <c r="K71" s="8" t="n">
        <f aca="false">J71-H71</f>
        <v>-160</v>
      </c>
      <c r="L71" s="9" t="n">
        <f aca="false">IF(AND(H71=0,J71=0),0,IF(H71=0,"New",(J71-H71)/H71))</f>
        <v>-1</v>
      </c>
      <c r="M71" s="7" t="str">
        <f aca="false">IF(AND(OR(C71&lt;&gt;0,H71&lt;&gt;0),D71=0,I71=0),"DROP",IF(AND(OR(D71&lt;&gt;0,I71&lt;&gt;0),C71=0,H71=0),"NEW",""))</f>
        <v>DROP</v>
      </c>
    </row>
    <row r="72" customFormat="false" ht="15" hidden="false" customHeight="false" outlineLevel="0" collapsed="false">
      <c r="A72" s="7" t="s">
        <v>260</v>
      </c>
      <c r="B72" s="7" t="str">
        <f aca="false">IFERROR(INDEX('Source'!$C:$C,MATCH($A72,'Source'!$B:$B,0)),"")</f>
        <v>מישר כתפיים רחב+תמיכה לבית השח</v>
      </c>
      <c r="C72" s="8" t="n">
        <f aca="false">SUMIFS('Source'!$D:$D,'Source'!$A:$A,"151209 רוני אורטופדיה  בע""מ - רמבם",'Source'!$B:$B,$A72)</f>
        <v>1</v>
      </c>
      <c r="D72" s="8" t="n">
        <f aca="false">SUMIFS('Source'!$F:$F,'Source'!$A:$A,"151209 רוני אורטופדיה  בע""מ - רמבם",'Source'!$B:$B,$A72)</f>
        <v>0</v>
      </c>
      <c r="E72" s="8" t="n">
        <f aca="false">D72*$J$5</f>
        <v>0</v>
      </c>
      <c r="F72" s="8" t="n">
        <f aca="false">E72-C72</f>
        <v>-1</v>
      </c>
      <c r="G72" s="9" t="n">
        <f aca="false">IF(AND(C72=0,E72=0),0,IF(C72=0,"New",(E72-C72)/C72))</f>
        <v>-1</v>
      </c>
      <c r="H72" s="8" t="n">
        <f aca="false">SUMIFS('Source'!$E:$E,'Source'!$A:$A,"151209 רוני אורטופדיה  בע""מ - רמבם",'Source'!$B:$B,$A72)</f>
        <v>160</v>
      </c>
      <c r="I72" s="8" t="n">
        <f aca="false">SUMIFS('Source'!$G:$G,'Source'!$A:$A,"151209 רוני אורטופדיה  בע""מ - רמבם",'Source'!$B:$B,$A72)</f>
        <v>0</v>
      </c>
      <c r="J72" s="8" t="n">
        <f aca="false">I72*$J$5</f>
        <v>0</v>
      </c>
      <c r="K72" s="8" t="n">
        <f aca="false">J72-H72</f>
        <v>-160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195</v>
      </c>
      <c r="B73" s="7" t="str">
        <f aca="false">IFERROR(INDEX('Source'!$C:$C,MATCH($A73,'Source'!$B:$B,0)),"")</f>
        <v>מישר כתפיים רחב+תמיכה לבית השח</v>
      </c>
      <c r="C73" s="8" t="n">
        <f aca="false">SUMIFS('Source'!$D:$D,'Source'!$A:$A,"151209 רוני אורטופדיה  בע""מ - רמבם",'Source'!$B:$B,$A73)</f>
        <v>1</v>
      </c>
      <c r="D73" s="8" t="n">
        <f aca="false">SUMIFS('Source'!$F:$F,'Source'!$A:$A,"151209 רוני אורטופדיה  בע""מ - רמבם",'Source'!$B:$B,$A73)</f>
        <v>0</v>
      </c>
      <c r="E73" s="8" t="n">
        <f aca="false">D73*$J$5</f>
        <v>0</v>
      </c>
      <c r="F73" s="8" t="n">
        <f aca="false">E73-C73</f>
        <v>-1</v>
      </c>
      <c r="G73" s="9" t="n">
        <f aca="false">IF(AND(C73=0,E73=0),0,IF(C73=0,"New",(E73-C73)/C73))</f>
        <v>-1</v>
      </c>
      <c r="H73" s="8" t="n">
        <f aca="false">SUMIFS('Source'!$E:$E,'Source'!$A:$A,"151209 רוני אורטופדיה  בע""מ - רמבם",'Source'!$B:$B,$A73)</f>
        <v>160</v>
      </c>
      <c r="I73" s="8" t="n">
        <f aca="false">SUMIFS('Source'!$G:$G,'Source'!$A:$A,"151209 רוני אורטופדיה  בע""מ - רמבם",'Source'!$B:$B,$A73)</f>
        <v>0</v>
      </c>
      <c r="J73" s="8" t="n">
        <f aca="false">I73*$J$5</f>
        <v>0</v>
      </c>
      <c r="K73" s="8" t="n">
        <f aca="false">J73-H73</f>
        <v>-160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145</v>
      </c>
      <c r="B74" s="7" t="str">
        <f aca="false">IFERROR(INDEX('Source'!$C:$C,MATCH($A74,'Source'!$B:$B,0)),"")</f>
        <v>חגורת שבר לצד שמאל</v>
      </c>
      <c r="C74" s="8" t="n">
        <f aca="false">SUMIFS('Source'!$D:$D,'Source'!$A:$A,"151209 רוני אורטופדיה  בע""מ - רמבם",'Source'!$B:$B,$A74)</f>
        <v>9</v>
      </c>
      <c r="D74" s="8" t="n">
        <f aca="false">SUMIFS('Source'!$F:$F,'Source'!$A:$A,"151209 רוני אורטופדיה  בע""מ - רמבם",'Source'!$B:$B,$A74)</f>
        <v>7</v>
      </c>
      <c r="E74" s="8" t="n">
        <f aca="false">D74*$J$5</f>
        <v>8.84210526315789</v>
      </c>
      <c r="F74" s="8" t="n">
        <f aca="false">E74-C74</f>
        <v>-0.157894736842106</v>
      </c>
      <c r="G74" s="9" t="n">
        <f aca="false">IF(AND(C74=0,E74=0),0,IF(C74=0,"New",(E74-C74)/C74))</f>
        <v>-0.0175438596491229</v>
      </c>
      <c r="H74" s="8" t="n">
        <f aca="false">SUMIFS('Source'!$E:$E,'Source'!$A:$A,"151209 רוני אורטופדיה  בע""מ - רמבם",'Source'!$B:$B,$A74)</f>
        <v>1136.9</v>
      </c>
      <c r="I74" s="8" t="n">
        <f aca="false">SUMIFS('Source'!$G:$G,'Source'!$A:$A,"151209 רוני אורטופדיה  בע""מ - רמבם",'Source'!$B:$B,$A74)</f>
        <v>980</v>
      </c>
      <c r="J74" s="8" t="n">
        <f aca="false">I74*$J$5</f>
        <v>1237.89473684211</v>
      </c>
      <c r="K74" s="8" t="n">
        <f aca="false">J74-H74</f>
        <v>100.994736842105</v>
      </c>
      <c r="L74" s="9" t="n">
        <f aca="false">IF(AND(H74=0,J74=0),0,IF(H74=0,"New",(J74-H74)/H74))</f>
        <v>0.0888334390378266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186</v>
      </c>
      <c r="B75" s="7" t="str">
        <f aca="false">IFERROR(INDEX('Source'!$C:$C,MATCH($A75,'Source'!$B:$B,0)),"")</f>
        <v>מ.ברך מנאופרן+ציר D +כ.סיליקון</v>
      </c>
      <c r="C75" s="8" t="n">
        <f aca="false">SUMIFS('Source'!$D:$D,'Source'!$A:$A,"151209 רוני אורטופדיה  בע""מ - רמבם",'Source'!$B:$B,$A75)</f>
        <v>1</v>
      </c>
      <c r="D75" s="8" t="n">
        <f aca="false">SUMIFS('Source'!$F:$F,'Source'!$A:$A,"151209 רוני אורטופדיה  בע""מ - רמבם",'Source'!$B:$B,$A75)</f>
        <v>0</v>
      </c>
      <c r="E75" s="8" t="n">
        <f aca="false">D75*$J$5</f>
        <v>0</v>
      </c>
      <c r="F75" s="8" t="n">
        <f aca="false">E75-C75</f>
        <v>-1</v>
      </c>
      <c r="G75" s="9" t="n">
        <f aca="false">IF(AND(C75=0,E75=0),0,IF(C75=0,"New",(E75-C75)/C75))</f>
        <v>-1</v>
      </c>
      <c r="H75" s="8" t="n">
        <f aca="false">SUMIFS('Source'!$E:$E,'Source'!$A:$A,"151209 רוני אורטופדיה  בע""מ - רמבם",'Source'!$B:$B,$A75)</f>
        <v>153.85</v>
      </c>
      <c r="I75" s="8" t="n">
        <f aca="false">SUMIFS('Source'!$G:$G,'Source'!$A:$A,"151209 רוני אורטופדיה  בע""מ - רמבם",'Source'!$B:$B,$A75)</f>
        <v>0</v>
      </c>
      <c r="J75" s="8" t="n">
        <f aca="false">I75*$J$5</f>
        <v>0</v>
      </c>
      <c r="K75" s="8" t="n">
        <f aca="false">J75-H75</f>
        <v>-153.85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159</v>
      </c>
      <c r="B76" s="7" t="str">
        <f aca="false">IFERROR(INDEX('Source'!$C:$C,MATCH($A76,'Source'!$B:$B,0)),"")</f>
        <v>כרית מטטרזלי מס</v>
      </c>
      <c r="C76" s="8" t="n">
        <f aca="false">SUMIFS('Source'!$D:$D,'Source'!$A:$A,"151209 רוני אורטופדיה  בע""מ - רמבם",'Source'!$B:$B,$A76)</f>
        <v>5</v>
      </c>
      <c r="D76" s="8" t="n">
        <f aca="false">SUMIFS('Source'!$F:$F,'Source'!$A:$A,"151209 רוני אורטופדיה  בע""מ - רמבם",'Source'!$B:$B,$A76)</f>
        <v>0</v>
      </c>
      <c r="E76" s="8" t="n">
        <f aca="false">D76*$J$5</f>
        <v>0</v>
      </c>
      <c r="F76" s="8" t="n">
        <f aca="false">E76-C76</f>
        <v>-5</v>
      </c>
      <c r="G76" s="9" t="n">
        <f aca="false">IF(AND(C76=0,E76=0),0,IF(C76=0,"New",(E76-C76)/C76))</f>
        <v>-1</v>
      </c>
      <c r="H76" s="8" t="n">
        <f aca="false">SUMIFS('Source'!$E:$E,'Source'!$A:$A,"151209 רוני אורטופדיה  בע""מ - רמבם",'Source'!$B:$B,$A76)</f>
        <v>152.1</v>
      </c>
      <c r="I76" s="8" t="n">
        <f aca="false">SUMIFS('Source'!$G:$G,'Source'!$A:$A,"151209 רוני אורטופדיה  בע""מ - רמבם",'Source'!$B:$B,$A76)</f>
        <v>0</v>
      </c>
      <c r="J76" s="8" t="n">
        <f aca="false">I76*$J$5</f>
        <v>0</v>
      </c>
      <c r="K76" s="8" t="n">
        <f aca="false">J76-H76</f>
        <v>-152.1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460</v>
      </c>
      <c r="B77" s="7" t="str">
        <f aca="false">IFERROR(INDEX('Source'!$C:$C,MATCH($A77,'Source'!$B:$B,0)),"")</f>
        <v>צוארון ספוגי</v>
      </c>
      <c r="C77" s="8" t="n">
        <f aca="false">SUMIFS('Source'!$D:$D,'Source'!$A:$A,"151209 רוני אורטופדיה  בע""מ - רמבם",'Source'!$B:$B,$A77)</f>
        <v>3</v>
      </c>
      <c r="D77" s="8" t="n">
        <f aca="false">SUMIFS('Source'!$F:$F,'Source'!$A:$A,"151209 רוני אורטופדיה  בע""מ - רמבם",'Source'!$B:$B,$A77)</f>
        <v>0</v>
      </c>
      <c r="E77" s="8" t="n">
        <f aca="false">D77*$J$5</f>
        <v>0</v>
      </c>
      <c r="F77" s="8" t="n">
        <f aca="false">E77-C77</f>
        <v>-3</v>
      </c>
      <c r="G77" s="9" t="n">
        <f aca="false">IF(AND(C77=0,E77=0),0,IF(C77=0,"New",(E77-C77)/C77))</f>
        <v>-1</v>
      </c>
      <c r="H77" s="8" t="n">
        <f aca="false">SUMIFS('Source'!$E:$E,'Source'!$A:$A,"151209 רוני אורטופדיה  בע""מ - רמבם",'Source'!$B:$B,$A77)</f>
        <v>148.9</v>
      </c>
      <c r="I77" s="8" t="n">
        <f aca="false">SUMIFS('Source'!$G:$G,'Source'!$A:$A,"151209 רוני אורטופדיה  בע""מ - רמבם",'Source'!$B:$B,$A77)</f>
        <v>0</v>
      </c>
      <c r="J77" s="8" t="n">
        <f aca="false">I77*$J$5</f>
        <v>0</v>
      </c>
      <c r="K77" s="8" t="n">
        <f aca="false">J77-H77</f>
        <v>-148.9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285</v>
      </c>
      <c r="B78" s="7" t="str">
        <f aca="false">IFERROR(INDEX('Source'!$C:$C,MATCH($A78,'Source'!$B:$B,0)),"")</f>
        <v>מגן שוק SC39</v>
      </c>
      <c r="C78" s="8" t="n">
        <f aca="false">SUMIFS('Source'!$D:$D,'Source'!$A:$A,"151209 רוני אורטופדיה  בע""מ - רמבם",'Source'!$B:$B,$A78)</f>
        <v>1</v>
      </c>
      <c r="D78" s="8" t="n">
        <f aca="false">SUMIFS('Source'!$F:$F,'Source'!$A:$A,"151209 רוני אורטופדיה  בע""מ - רמבם",'Source'!$B:$B,$A78)</f>
        <v>0</v>
      </c>
      <c r="E78" s="8" t="n">
        <f aca="false">D78*$J$5</f>
        <v>0</v>
      </c>
      <c r="F78" s="8" t="n">
        <f aca="false">E78-C78</f>
        <v>-1</v>
      </c>
      <c r="G78" s="9" t="n">
        <f aca="false">IF(AND(C78=0,E78=0),0,IF(C78=0,"New",(E78-C78)/C78))</f>
        <v>-1</v>
      </c>
      <c r="H78" s="8" t="n">
        <f aca="false">SUMIFS('Source'!$E:$E,'Source'!$A:$A,"151209 רוני אורטופדיה  בע""מ - רמבם",'Source'!$B:$B,$A78)</f>
        <v>145.26</v>
      </c>
      <c r="I78" s="8" t="n">
        <f aca="false">SUMIFS('Source'!$G:$G,'Source'!$A:$A,"151209 רוני אורטופדיה  בע""מ - רמבם",'Source'!$B:$B,$A78)</f>
        <v>0</v>
      </c>
      <c r="J78" s="8" t="n">
        <f aca="false">I78*$J$5</f>
        <v>0</v>
      </c>
      <c r="K78" s="8" t="n">
        <f aca="false">J78-H78</f>
        <v>-145.26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389</v>
      </c>
      <c r="B79" s="7" t="str">
        <f aca="false">IFERROR(INDEX('Source'!$C:$C,MATCH($A79,'Source'!$B:$B,0)),"")</f>
        <v>מדרס מתכוונן לגיל</v>
      </c>
      <c r="C79" s="8" t="n">
        <f aca="false">SUMIFS('Source'!$D:$D,'Source'!$A:$A,"151209 רוני אורטופדיה  בע""מ - רמבם",'Source'!$B:$B,$A79)</f>
        <v>3</v>
      </c>
      <c r="D79" s="8" t="n">
        <f aca="false">SUMIFS('Source'!$F:$F,'Source'!$A:$A,"151209 רוני אורטופדיה  בע""מ - רמבם",'Source'!$B:$B,$A79)</f>
        <v>1</v>
      </c>
      <c r="E79" s="8" t="n">
        <f aca="false">D79*$J$5</f>
        <v>1.26315789473684</v>
      </c>
      <c r="F79" s="8" t="n">
        <f aca="false">E79-C79</f>
        <v>-1.73684210526316</v>
      </c>
      <c r="G79" s="9" t="n">
        <f aca="false">IF(AND(C79=0,E79=0),0,IF(C79=0,"New",(E79-C79)/C79))</f>
        <v>-0.578947368421053</v>
      </c>
      <c r="H79" s="8" t="n">
        <f aca="false">SUMIFS('Source'!$E:$E,'Source'!$A:$A,"151209 רוני אורטופדיה  בע""מ - רמבם",'Source'!$B:$B,$A79)</f>
        <v>224</v>
      </c>
      <c r="I79" s="8" t="n">
        <f aca="false">SUMIFS('Source'!$G:$G,'Source'!$A:$A,"151209 רוני אורטופדיה  בע""מ - רמבם",'Source'!$B:$B,$A79)</f>
        <v>80</v>
      </c>
      <c r="J79" s="8" t="n">
        <f aca="false">I79*$J$5</f>
        <v>101.052631578947</v>
      </c>
      <c r="K79" s="8" t="n">
        <f aca="false">J79-H79</f>
        <v>-122.947368421053</v>
      </c>
      <c r="L79" s="9" t="n">
        <f aca="false">IF(AND(H79=0,J79=0),0,IF(H79=0,"New",(J79-H79)/H79))</f>
        <v>-0.548872180451128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322</v>
      </c>
      <c r="B80" s="7" t="str">
        <f aca="false">IFERROR(INDEX('Source'!$C:$C,MATCH($A80,'Source'!$B:$B,0)),"")</f>
        <v>מגן ברך SC422</v>
      </c>
      <c r="C80" s="8" t="n">
        <f aca="false">SUMIFS('Source'!$D:$D,'Source'!$A:$A,"151209 רוני אורטופדיה  בע""מ - רמבם",'Source'!$B:$B,$A80)</f>
        <v>1</v>
      </c>
      <c r="D80" s="8" t="n">
        <f aca="false">SUMIFS('Source'!$F:$F,'Source'!$A:$A,"151209 רוני אורטופדיה  בע""מ - רמבם",'Source'!$B:$B,$A80)</f>
        <v>0</v>
      </c>
      <c r="E80" s="8" t="n">
        <f aca="false">D80*$J$5</f>
        <v>0</v>
      </c>
      <c r="F80" s="8" t="n">
        <f aca="false">E80-C80</f>
        <v>-1</v>
      </c>
      <c r="G80" s="9" t="n">
        <f aca="false">IF(AND(C80=0,E80=0),0,IF(C80=0,"New",(E80-C80)/C80))</f>
        <v>-1</v>
      </c>
      <c r="H80" s="8" t="n">
        <f aca="false">SUMIFS('Source'!$E:$E,'Source'!$A:$A,"151209 רוני אורטופדיה  בע""מ - רמבם",'Source'!$B:$B,$A80)</f>
        <v>140.57</v>
      </c>
      <c r="I80" s="8" t="n">
        <f aca="false">SUMIFS('Source'!$G:$G,'Source'!$A:$A,"151209 רוני אורטופדיה  בע""מ - רמבם",'Source'!$B:$B,$A80)</f>
        <v>0</v>
      </c>
      <c r="J80" s="8" t="n">
        <f aca="false">I80*$J$5</f>
        <v>0</v>
      </c>
      <c r="K80" s="8" t="n">
        <f aca="false">J80-H80</f>
        <v>-140.57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233</v>
      </c>
      <c r="B81" s="7" t="str">
        <f aca="false">IFERROR(INDEX('Source'!$C:$C,MATCH($A81,'Source'!$B:$B,0)),"")</f>
        <v>מגן ברך SC422</v>
      </c>
      <c r="C81" s="8" t="n">
        <f aca="false">SUMIFS('Source'!$D:$D,'Source'!$A:$A,"151209 רוני אורטופדיה  בע""מ - רמבם",'Source'!$B:$B,$A81)</f>
        <v>1</v>
      </c>
      <c r="D81" s="8" t="n">
        <f aca="false">SUMIFS('Source'!$F:$F,'Source'!$A:$A,"151209 רוני אורטופדיה  בע""מ - רמבם",'Source'!$B:$B,$A81)</f>
        <v>0</v>
      </c>
      <c r="E81" s="8" t="n">
        <f aca="false">D81*$J$5</f>
        <v>0</v>
      </c>
      <c r="F81" s="8" t="n">
        <f aca="false">E81-C81</f>
        <v>-1</v>
      </c>
      <c r="G81" s="9" t="n">
        <f aca="false">IF(AND(C81=0,E81=0),0,IF(C81=0,"New",(E81-C81)/C81))</f>
        <v>-1</v>
      </c>
      <c r="H81" s="8" t="n">
        <f aca="false">SUMIFS('Source'!$E:$E,'Source'!$A:$A,"151209 רוני אורטופדיה  בע""מ - רמבם",'Source'!$B:$B,$A81)</f>
        <v>140.57</v>
      </c>
      <c r="I81" s="8" t="n">
        <f aca="false">SUMIFS('Source'!$G:$G,'Source'!$A:$A,"151209 רוני אורטופדיה  בע""מ - רמבם",'Source'!$B:$B,$A81)</f>
        <v>0</v>
      </c>
      <c r="J81" s="8" t="n">
        <f aca="false">I81*$J$5</f>
        <v>0</v>
      </c>
      <c r="K81" s="8" t="n">
        <f aca="false">J81-H81</f>
        <v>-140.57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150</v>
      </c>
      <c r="B82" s="7" t="str">
        <f aca="false">IFERROR(INDEX('Source'!$C:$C,MATCH($A82,'Source'!$B:$B,0)),"")</f>
        <v>מגן ברך SC422</v>
      </c>
      <c r="C82" s="8" t="n">
        <f aca="false">SUMIFS('Source'!$D:$D,'Source'!$A:$A,"151209 רוני אורטופדיה  בע""מ - רמבם",'Source'!$B:$B,$A82)</f>
        <v>1</v>
      </c>
      <c r="D82" s="8" t="n">
        <f aca="false">SUMIFS('Source'!$F:$F,'Source'!$A:$A,"151209 רוני אורטופדיה  בע""מ - רמבם",'Source'!$B:$B,$A82)</f>
        <v>0</v>
      </c>
      <c r="E82" s="8" t="n">
        <f aca="false">D82*$J$5</f>
        <v>0</v>
      </c>
      <c r="F82" s="8" t="n">
        <f aca="false">E82-C82</f>
        <v>-1</v>
      </c>
      <c r="G82" s="9" t="n">
        <f aca="false">IF(AND(C82=0,E82=0),0,IF(C82=0,"New",(E82-C82)/C82))</f>
        <v>-1</v>
      </c>
      <c r="H82" s="8" t="n">
        <f aca="false">SUMIFS('Source'!$E:$E,'Source'!$A:$A,"151209 רוני אורטופדיה  בע""מ - רמבם",'Source'!$B:$B,$A82)</f>
        <v>140.57</v>
      </c>
      <c r="I82" s="8" t="n">
        <f aca="false">SUMIFS('Source'!$G:$G,'Source'!$A:$A,"151209 רוני אורטופדיה  בע""מ - רמבם",'Source'!$B:$B,$A82)</f>
        <v>0</v>
      </c>
      <c r="J82" s="8" t="n">
        <f aca="false">I82*$J$5</f>
        <v>0</v>
      </c>
      <c r="K82" s="8" t="n">
        <f aca="false">J82-H82</f>
        <v>-140.57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287</v>
      </c>
      <c r="B83" s="7" t="str">
        <f aca="false">IFERROR(INDEX('Source'!$C:$C,MATCH($A83,'Source'!$B:$B,0)),"")</f>
        <v>חגורת שבר לצד ימין</v>
      </c>
      <c r="C83" s="8" t="n">
        <f aca="false">SUMIFS('Source'!$D:$D,'Source'!$A:$A,"151209 רוני אורטופדיה  בע""מ - רמבם",'Source'!$B:$B,$A83)</f>
        <v>0</v>
      </c>
      <c r="D83" s="8" t="n">
        <f aca="false">SUMIFS('Source'!$F:$F,'Source'!$A:$A,"151209 רוני אורטופדיה  בע""מ - רמבם",'Source'!$B:$B,$A83)</f>
        <v>1</v>
      </c>
      <c r="E83" s="8" t="n">
        <f aca="false">D83*$J$5</f>
        <v>1.26315789473684</v>
      </c>
      <c r="F83" s="8" t="n">
        <f aca="false">E83-C83</f>
        <v>1.26315789473684</v>
      </c>
      <c r="G83" s="9" t="str">
        <f aca="false">IF(AND(C83=0,E83=0),0,IF(C83=0,"New",(E83-C83)/C83))</f>
        <v>New</v>
      </c>
      <c r="H83" s="8" t="n">
        <f aca="false">SUMIFS('Source'!$E:$E,'Source'!$A:$A,"151209 רוני אורטופדיה  בע""מ - רמבם",'Source'!$B:$B,$A83)</f>
        <v>0</v>
      </c>
      <c r="I83" s="8" t="n">
        <f aca="false">SUMIFS('Source'!$G:$G,'Source'!$A:$A,"151209 רוני אורטופדיה  בע""מ - רמבם",'Source'!$B:$B,$A83)</f>
        <v>140</v>
      </c>
      <c r="J83" s="8" t="n">
        <f aca="false">I83*$J$5</f>
        <v>176.842105263158</v>
      </c>
      <c r="K83" s="8" t="n">
        <f aca="false">J83-H83</f>
        <v>176.842105263158</v>
      </c>
      <c r="L83" s="9" t="str">
        <f aca="false">IF(AND(H83=0,J83=0),0,IF(H83=0,"New",(J83-H83)/H83))</f>
        <v>New</v>
      </c>
      <c r="M83" s="7" t="str">
        <f aca="false">IF(AND(OR(C83&lt;&gt;0,H83&lt;&gt;0),D83=0,I83=0),"DROP",IF(AND(OR(D83&lt;&gt;0,I83&lt;&gt;0),C83=0,H83=0),"NEW",""))</f>
        <v>NEW</v>
      </c>
    </row>
    <row r="84" customFormat="false" ht="15" hidden="false" customHeight="false" outlineLevel="0" collapsed="false">
      <c r="A84" s="7" t="s">
        <v>314</v>
      </c>
      <c r="B84" s="7" t="str">
        <f aca="false">IFERROR(INDEX('Source'!$C:$C,MATCH($A84,'Source'!$B:$B,0)),"")</f>
        <v>חגורת שבר לצד שמאל</v>
      </c>
      <c r="C84" s="8" t="n">
        <f aca="false">SUMIFS('Source'!$D:$D,'Source'!$A:$A,"151209 רוני אורטופדיה  בע""מ - רמבם",'Source'!$B:$B,$A84)</f>
        <v>2</v>
      </c>
      <c r="D84" s="8" t="n">
        <f aca="false">SUMIFS('Source'!$F:$F,'Source'!$A:$A,"151209 רוני אורטופדיה  בע""מ - רמבם",'Source'!$B:$B,$A84)</f>
        <v>3</v>
      </c>
      <c r="E84" s="8" t="n">
        <f aca="false">D84*$J$5</f>
        <v>3.78947368421053</v>
      </c>
      <c r="F84" s="8" t="n">
        <f aca="false">E84-C84</f>
        <v>1.78947368421053</v>
      </c>
      <c r="G84" s="9" t="n">
        <f aca="false">IF(AND(C84=0,E84=0),0,IF(C84=0,"New",(E84-C84)/C84))</f>
        <v>0.894736842105263</v>
      </c>
      <c r="H84" s="8" t="n">
        <f aca="false">SUMIFS('Source'!$E:$E,'Source'!$A:$A,"151209 רוני אורטופדיה  בע""מ - רמבם",'Source'!$B:$B,$A84)</f>
        <v>280</v>
      </c>
      <c r="I84" s="8" t="n">
        <f aca="false">SUMIFS('Source'!$G:$G,'Source'!$A:$A,"151209 רוני אורטופדיה  בע""מ - רמבם",'Source'!$B:$B,$A84)</f>
        <v>420</v>
      </c>
      <c r="J84" s="8" t="n">
        <f aca="false">I84*$J$5</f>
        <v>530.526315789474</v>
      </c>
      <c r="K84" s="8" t="n">
        <f aca="false">J84-H84</f>
        <v>250.526315789474</v>
      </c>
      <c r="L84" s="9" t="n">
        <f aca="false">IF(AND(H84=0,J84=0),0,IF(H84=0,"New",(J84-H84)/H84))</f>
        <v>0.894736842105263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184</v>
      </c>
      <c r="B85" s="7" t="str">
        <f aca="false">IFERROR(INDEX('Source'!$C:$C,MATCH($A85,'Source'!$B:$B,0)),"")</f>
        <v>חגורת שבר לצד ימין</v>
      </c>
      <c r="C85" s="8" t="n">
        <f aca="false">SUMIFS('Source'!$D:$D,'Source'!$A:$A,"151209 רוני אורטופדיה  בע""מ - רמבם",'Source'!$B:$B,$A85)</f>
        <v>1</v>
      </c>
      <c r="D85" s="8" t="n">
        <f aca="false">SUMIFS('Source'!$F:$F,'Source'!$A:$A,"151209 רוני אורטופדיה  בע""מ - רמבם",'Source'!$B:$B,$A85)</f>
        <v>2</v>
      </c>
      <c r="E85" s="8" t="n">
        <f aca="false">D85*$J$5</f>
        <v>2.52631578947368</v>
      </c>
      <c r="F85" s="8" t="n">
        <f aca="false">E85-C85</f>
        <v>1.52631578947368</v>
      </c>
      <c r="G85" s="9" t="n">
        <f aca="false">IF(AND(C85=0,E85=0),0,IF(C85=0,"New",(E85-C85)/C85))</f>
        <v>1.52631578947368</v>
      </c>
      <c r="H85" s="8" t="n">
        <f aca="false">SUMIFS('Source'!$E:$E,'Source'!$A:$A,"151209 רוני אורטופדיה  בע""מ - רמבם",'Source'!$B:$B,$A85)</f>
        <v>140</v>
      </c>
      <c r="I85" s="8" t="n">
        <f aca="false">SUMIFS('Source'!$G:$G,'Source'!$A:$A,"151209 רוני אורטופדיה  בע""מ - רמבם",'Source'!$B:$B,$A85)</f>
        <v>280</v>
      </c>
      <c r="J85" s="8" t="n">
        <f aca="false">I85*$J$5</f>
        <v>353.684210526316</v>
      </c>
      <c r="K85" s="8" t="n">
        <f aca="false">J85-H85</f>
        <v>213.684210526316</v>
      </c>
      <c r="L85" s="9" t="n">
        <f aca="false">IF(AND(H85=0,J85=0),0,IF(H85=0,"New",(J85-H85)/H85))</f>
        <v>1.52631578947368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217</v>
      </c>
      <c r="B86" s="7" t="str">
        <f aca="false">IFERROR(INDEX('Source'!$C:$C,MATCH($A86,'Source'!$B:$B,0)),"")</f>
        <v>מגן זרת מסיליקון</v>
      </c>
      <c r="C86" s="8" t="n">
        <f aca="false">SUMIFS('Source'!$D:$D,'Source'!$A:$A,"151209 רוני אורטופדיה  בע""מ - רמבם",'Source'!$B:$B,$A86)</f>
        <v>5</v>
      </c>
      <c r="D86" s="8" t="n">
        <f aca="false">SUMIFS('Source'!$F:$F,'Source'!$A:$A,"151209 רוני אורטופדיה  בע""מ - רמבם",'Source'!$B:$B,$A86)</f>
        <v>0</v>
      </c>
      <c r="E86" s="8" t="n">
        <f aca="false">D86*$J$5</f>
        <v>0</v>
      </c>
      <c r="F86" s="8" t="n">
        <f aca="false">E86-C86</f>
        <v>-5</v>
      </c>
      <c r="G86" s="9" t="n">
        <f aca="false">IF(AND(C86=0,E86=0),0,IF(C86=0,"New",(E86-C86)/C86))</f>
        <v>-1</v>
      </c>
      <c r="H86" s="8" t="n">
        <f aca="false">SUMIFS('Source'!$E:$E,'Source'!$A:$A,"151209 רוני אורטופדיה  בע""מ - רמבם",'Source'!$B:$B,$A86)</f>
        <v>131.83</v>
      </c>
      <c r="I86" s="8" t="n">
        <f aca="false">SUMIFS('Source'!$G:$G,'Source'!$A:$A,"151209 רוני אורטופדיה  בע""מ - רמבם",'Source'!$B:$B,$A86)</f>
        <v>0</v>
      </c>
      <c r="J86" s="8" t="n">
        <f aca="false">I86*$J$5</f>
        <v>0</v>
      </c>
      <c r="K86" s="8" t="n">
        <f aca="false">J86-H86</f>
        <v>-131.83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238</v>
      </c>
      <c r="B87" s="7" t="str">
        <f aca="false">IFERROR(INDEX('Source'!$C:$C,MATCH($A87,'Source'!$B:$B,0)),"")</f>
        <v>מגן לכתף ימין/שמאל</v>
      </c>
      <c r="C87" s="8" t="n">
        <f aca="false">SUMIFS('Source'!$D:$D,'Source'!$A:$A,"151209 רוני אורטופדיה  בע""מ - רמבם",'Source'!$B:$B,$A87)</f>
        <v>2</v>
      </c>
      <c r="D87" s="8" t="n">
        <f aca="false">SUMIFS('Source'!$F:$F,'Source'!$A:$A,"151209 רוני אורטופדיה  בע""מ - רמבם",'Source'!$B:$B,$A87)</f>
        <v>1</v>
      </c>
      <c r="E87" s="8" t="n">
        <f aca="false">D87*$J$5</f>
        <v>1.26315789473684</v>
      </c>
      <c r="F87" s="8" t="n">
        <f aca="false">E87-C87</f>
        <v>-0.736842105263158</v>
      </c>
      <c r="G87" s="9" t="n">
        <f aca="false">IF(AND(C87=0,E87=0),0,IF(C87=0,"New",(E87-C87)/C87))</f>
        <v>-0.368421052631579</v>
      </c>
      <c r="H87" s="8" t="n">
        <f aca="false">SUMIFS('Source'!$E:$E,'Source'!$A:$A,"151209 רוני אורטופדיה  בע""מ - רמבם",'Source'!$B:$B,$A87)</f>
        <v>260</v>
      </c>
      <c r="I87" s="8" t="n">
        <f aca="false">SUMIFS('Source'!$G:$G,'Source'!$A:$A,"151209 רוני אורטופדיה  בע""מ - רמבם",'Source'!$B:$B,$A87)</f>
        <v>130</v>
      </c>
      <c r="J87" s="8" t="n">
        <f aca="false">I87*$J$5</f>
        <v>164.210526315789</v>
      </c>
      <c r="K87" s="8" t="n">
        <f aca="false">J87-H87</f>
        <v>-95.7894736842106</v>
      </c>
      <c r="L87" s="9" t="n">
        <f aca="false">IF(AND(H87=0,J87=0),0,IF(H87=0,"New",(J87-H87)/H87))</f>
        <v>-0.368421052631579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308</v>
      </c>
      <c r="B88" s="7" t="str">
        <f aca="false">IFERROR(INDEX('Source'!$C:$C,MATCH($A88,'Source'!$B:$B,0)),"")</f>
        <v>חבק יד אגודלי שחור</v>
      </c>
      <c r="C88" s="8" t="n">
        <f aca="false">SUMIFS('Source'!$D:$D,'Source'!$A:$A,"151209 רוני אורטופדיה  בע""מ - רמבם",'Source'!$B:$B,$A88)</f>
        <v>3</v>
      </c>
      <c r="D88" s="8" t="n">
        <f aca="false">SUMIFS('Source'!$F:$F,'Source'!$A:$A,"151209 רוני אורטופדיה  בע""מ - רמבם",'Source'!$B:$B,$A88)</f>
        <v>0</v>
      </c>
      <c r="E88" s="8" t="n">
        <f aca="false">D88*$J$5</f>
        <v>0</v>
      </c>
      <c r="F88" s="8" t="n">
        <f aca="false">E88-C88</f>
        <v>-3</v>
      </c>
      <c r="G88" s="9" t="n">
        <f aca="false">IF(AND(C88=0,E88=0),0,IF(C88=0,"New",(E88-C88)/C88))</f>
        <v>-1</v>
      </c>
      <c r="H88" s="8" t="n">
        <f aca="false">SUMIFS('Source'!$E:$E,'Source'!$A:$A,"151209 רוני אורטופדיה  בע""מ - רמבם",'Source'!$B:$B,$A88)</f>
        <v>127.48</v>
      </c>
      <c r="I88" s="8" t="n">
        <f aca="false">SUMIFS('Source'!$G:$G,'Source'!$A:$A,"151209 רוני אורטופדיה  בע""מ - רמבם",'Source'!$B:$B,$A88)</f>
        <v>0</v>
      </c>
      <c r="J88" s="8" t="n">
        <f aca="false">I88*$J$5</f>
        <v>0</v>
      </c>
      <c r="K88" s="8" t="n">
        <f aca="false">J88-H88</f>
        <v>-127.48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554</v>
      </c>
      <c r="B89" s="7" t="str">
        <f aca="false">IFERROR(INDEX('Source'!$C:$C,MATCH($A89,'Source'!$B:$B,0)),"")</f>
        <v>חבק יד אגודלי ימ</v>
      </c>
      <c r="C89" s="8" t="n">
        <f aca="false">SUMIFS('Source'!$D:$D,'Source'!$A:$A,"151209 רוני אורטופדיה  בע""מ - רמבם",'Source'!$B:$B,$A89)</f>
        <v>3</v>
      </c>
      <c r="D89" s="8" t="n">
        <f aca="false">SUMIFS('Source'!$F:$F,'Source'!$A:$A,"151209 רוני אורטופדיה  בע""מ - רמבם",'Source'!$B:$B,$A89)</f>
        <v>0</v>
      </c>
      <c r="E89" s="8" t="n">
        <f aca="false">D89*$J$5</f>
        <v>0</v>
      </c>
      <c r="F89" s="8" t="n">
        <f aca="false">E89-C89</f>
        <v>-3</v>
      </c>
      <c r="G89" s="9" t="n">
        <f aca="false">IF(AND(C89=0,E89=0),0,IF(C89=0,"New",(E89-C89)/C89))</f>
        <v>-1</v>
      </c>
      <c r="H89" s="8" t="n">
        <f aca="false">SUMIFS('Source'!$E:$E,'Source'!$A:$A,"151209 רוני אורטופדיה  בע""מ - רמבם",'Source'!$B:$B,$A89)</f>
        <v>127.48</v>
      </c>
      <c r="I89" s="8" t="n">
        <f aca="false">SUMIFS('Source'!$G:$G,'Source'!$A:$A,"151209 רוני אורטופדיה  בע""מ - רמבם",'Source'!$B:$B,$A89)</f>
        <v>0</v>
      </c>
      <c r="J89" s="8" t="n">
        <f aca="false">I89*$J$5</f>
        <v>0</v>
      </c>
      <c r="K89" s="8" t="n">
        <f aca="false">J89-H89</f>
        <v>-127.48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447</v>
      </c>
      <c r="B90" s="7" t="str">
        <f aca="false">IFERROR(INDEX('Source'!$C:$C,MATCH($A90,'Source'!$B:$B,0)),"")</f>
        <v>חבק יד אגודלי ימ</v>
      </c>
      <c r="C90" s="8" t="n">
        <f aca="false">SUMIFS('Source'!$D:$D,'Source'!$A:$A,"151209 רוני אורטופדיה  בע""מ - רמבם",'Source'!$B:$B,$A90)</f>
        <v>3</v>
      </c>
      <c r="D90" s="8" t="n">
        <f aca="false">SUMIFS('Source'!$F:$F,'Source'!$A:$A,"151209 רוני אורטופדיה  בע""מ - רמבם",'Source'!$B:$B,$A90)</f>
        <v>0</v>
      </c>
      <c r="E90" s="8" t="n">
        <f aca="false">D90*$J$5</f>
        <v>0</v>
      </c>
      <c r="F90" s="8" t="n">
        <f aca="false">E90-C90</f>
        <v>-3</v>
      </c>
      <c r="G90" s="9" t="n">
        <f aca="false">IF(AND(C90=0,E90=0),0,IF(C90=0,"New",(E90-C90)/C90))</f>
        <v>-1</v>
      </c>
      <c r="H90" s="8" t="n">
        <f aca="false">SUMIFS('Source'!$E:$E,'Source'!$A:$A,"151209 רוני אורטופדיה  בע""מ - רמבם",'Source'!$B:$B,$A90)</f>
        <v>127.48</v>
      </c>
      <c r="I90" s="8" t="n">
        <f aca="false">SUMIFS('Source'!$G:$G,'Source'!$A:$A,"151209 רוני אורטופדיה  בע""מ - רמבם",'Source'!$B:$B,$A90)</f>
        <v>0</v>
      </c>
      <c r="J90" s="8" t="n">
        <f aca="false">I90*$J$5</f>
        <v>0</v>
      </c>
      <c r="K90" s="8" t="n">
        <f aca="false">J90-H90</f>
        <v>-127.48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117</v>
      </c>
      <c r="B91" s="7" t="str">
        <f aca="false">IFERROR(INDEX('Source'!$C:$C,MATCH($A91,'Source'!$B:$B,0)),"")</f>
        <v>גרבי טיסה</v>
      </c>
      <c r="C91" s="8" t="n">
        <f aca="false">SUMIFS('Source'!$D:$D,'Source'!$A:$A,"151209 רוני אורטופדיה  בע""מ - רמבם",'Source'!$B:$B,$A91)</f>
        <v>2</v>
      </c>
      <c r="D91" s="8" t="n">
        <f aca="false">SUMIFS('Source'!$F:$F,'Source'!$A:$A,"151209 רוני אורטופדיה  בע""מ - רמבם",'Source'!$B:$B,$A91)</f>
        <v>0</v>
      </c>
      <c r="E91" s="8" t="n">
        <f aca="false">D91*$J$5</f>
        <v>0</v>
      </c>
      <c r="F91" s="8" t="n">
        <f aca="false">E91-C91</f>
        <v>-2</v>
      </c>
      <c r="G91" s="9" t="n">
        <f aca="false">IF(AND(C91=0,E91=0),0,IF(C91=0,"New",(E91-C91)/C91))</f>
        <v>-1</v>
      </c>
      <c r="H91" s="8" t="n">
        <f aca="false">SUMIFS('Source'!$E:$E,'Source'!$A:$A,"151209 רוני אורטופדיה  בע""מ - רמבם",'Source'!$B:$B,$A91)</f>
        <v>126.46</v>
      </c>
      <c r="I91" s="8" t="n">
        <f aca="false">SUMIFS('Source'!$G:$G,'Source'!$A:$A,"151209 רוני אורטופדיה  בע""מ - רמבם",'Source'!$B:$B,$A91)</f>
        <v>0</v>
      </c>
      <c r="J91" s="8" t="n">
        <f aca="false">I91*$J$5</f>
        <v>0</v>
      </c>
      <c r="K91" s="8" t="n">
        <f aca="false">J91-H91</f>
        <v>-126.46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708</v>
      </c>
      <c r="B92" s="7" t="str">
        <f aca="false">IFERROR(INDEX('Source'!$C:$C,MATCH($A92,'Source'!$B:$B,0)),"")</f>
        <v>מיצב כתפיים</v>
      </c>
      <c r="C92" s="8" t="n">
        <f aca="false">SUMIFS('Source'!$D:$D,'Source'!$A:$A,"151209 רוני אורטופדיה  בע""מ - רמבם",'Source'!$B:$B,$A92)</f>
        <v>1</v>
      </c>
      <c r="D92" s="8" t="n">
        <f aca="false">SUMIFS('Source'!$F:$F,'Source'!$A:$A,"151209 רוני אורטופדיה  בע""מ - רמבם",'Source'!$B:$B,$A92)</f>
        <v>0</v>
      </c>
      <c r="E92" s="8" t="n">
        <f aca="false">D92*$J$5</f>
        <v>0</v>
      </c>
      <c r="F92" s="8" t="n">
        <f aca="false">E92-C92</f>
        <v>-1</v>
      </c>
      <c r="G92" s="9" t="n">
        <f aca="false">IF(AND(C92=0,E92=0),0,IF(C92=0,"New",(E92-C92)/C92))</f>
        <v>-1</v>
      </c>
      <c r="H92" s="8" t="n">
        <f aca="false">SUMIFS('Source'!$E:$E,'Source'!$A:$A,"151209 רוני אורטופדיה  בע""מ - רמבם",'Source'!$B:$B,$A92)</f>
        <v>125</v>
      </c>
      <c r="I92" s="8" t="n">
        <f aca="false">SUMIFS('Source'!$G:$G,'Source'!$A:$A,"151209 רוני אורטופדיה  בע""מ - רמבם",'Source'!$B:$B,$A92)</f>
        <v>0</v>
      </c>
      <c r="J92" s="8" t="n">
        <f aca="false">I92*$J$5</f>
        <v>0</v>
      </c>
      <c r="K92" s="8" t="n">
        <f aca="false">J92-H92</f>
        <v>-125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118</v>
      </c>
      <c r="B93" s="7" t="str">
        <f aca="false">IFERROR(INDEX('Source'!$C:$C,MATCH($A93,'Source'!$B:$B,0)),"")</f>
        <v>גרבי קיץ אנטיבקטריאלי שחור</v>
      </c>
      <c r="C93" s="8" t="n">
        <f aca="false">SUMIFS('Source'!$D:$D,'Source'!$A:$A,"151209 רוני אורטופדיה  בע""מ - רמבם",'Source'!$B:$B,$A93)</f>
        <v>0</v>
      </c>
      <c r="D93" s="8" t="n">
        <f aca="false">SUMIFS('Source'!$F:$F,'Source'!$A:$A,"151209 רוני אורטופדיה  בע""מ - רמבם",'Source'!$B:$B,$A93)</f>
        <v>4</v>
      </c>
      <c r="E93" s="8" t="n">
        <f aca="false">D93*$J$5</f>
        <v>5.05263157894737</v>
      </c>
      <c r="F93" s="8" t="n">
        <f aca="false">E93-C93</f>
        <v>5.05263157894737</v>
      </c>
      <c r="G93" s="9" t="str">
        <f aca="false">IF(AND(C93=0,E93=0),0,IF(C93=0,"New",(E93-C93)/C93))</f>
        <v>New</v>
      </c>
      <c r="H93" s="8" t="n">
        <f aca="false">SUMIFS('Source'!$E:$E,'Source'!$A:$A,"151209 רוני אורטופדיה  בע""מ - רמבם",'Source'!$B:$B,$A93)</f>
        <v>0</v>
      </c>
      <c r="I93" s="8" t="n">
        <f aca="false">SUMIFS('Source'!$G:$G,'Source'!$A:$A,"151209 רוני אורטופדיה  בע""מ - רמבם",'Source'!$B:$B,$A93)</f>
        <v>121.68</v>
      </c>
      <c r="J93" s="8" t="n">
        <f aca="false">I93*$J$5</f>
        <v>153.701052631579</v>
      </c>
      <c r="K93" s="8" t="n">
        <f aca="false">J93-H93</f>
        <v>153.701052631579</v>
      </c>
      <c r="L93" s="9" t="str">
        <f aca="false">IF(AND(H93=0,J93=0),0,IF(H93=0,"New",(J93-H93)/H93))</f>
        <v>New</v>
      </c>
      <c r="M93" s="7" t="str">
        <f aca="false">IF(AND(OR(C93&lt;&gt;0,H93&lt;&gt;0),D93=0,I93=0),"DROP",IF(AND(OR(D93&lt;&gt;0,I93&lt;&gt;0),C93=0,H93=0),"NEW",""))</f>
        <v>NEW</v>
      </c>
    </row>
    <row r="94" customFormat="false" ht="15" hidden="false" customHeight="false" outlineLevel="0" collapsed="false">
      <c r="A94" s="7" t="s">
        <v>413</v>
      </c>
      <c r="B94" s="7" t="str">
        <f aca="false">IFERROR(INDEX('Source'!$C:$C,MATCH($A94,'Source'!$B:$B,0)),"")</f>
        <v>מתלה יד + קיבוע מרפק</v>
      </c>
      <c r="C94" s="8" t="n">
        <f aca="false">SUMIFS('Source'!$D:$D,'Source'!$A:$A,"151209 רוני אורטופדיה  בע""מ - רמבם",'Source'!$B:$B,$A94)</f>
        <v>2</v>
      </c>
      <c r="D94" s="8" t="n">
        <f aca="false">SUMIFS('Source'!$F:$F,'Source'!$A:$A,"151209 רוני אורטופדיה  בע""מ - רמבם",'Source'!$B:$B,$A94)</f>
        <v>0</v>
      </c>
      <c r="E94" s="8" t="n">
        <f aca="false">D94*$J$5</f>
        <v>0</v>
      </c>
      <c r="F94" s="8" t="n">
        <f aca="false">E94-C94</f>
        <v>-2</v>
      </c>
      <c r="G94" s="9" t="n">
        <f aca="false">IF(AND(C94=0,E94=0),0,IF(C94=0,"New",(E94-C94)/C94))</f>
        <v>-1</v>
      </c>
      <c r="H94" s="8" t="n">
        <f aca="false">SUMIFS('Source'!$E:$E,'Source'!$A:$A,"151209 רוני אורטופדיה  בע""מ - רמבם",'Source'!$B:$B,$A94)</f>
        <v>120</v>
      </c>
      <c r="I94" s="8" t="n">
        <f aca="false">SUMIFS('Source'!$G:$G,'Source'!$A:$A,"151209 רוני אורטופדיה  בע""מ - רמבם",'Source'!$B:$B,$A94)</f>
        <v>0</v>
      </c>
      <c r="J94" s="8" t="n">
        <f aca="false">I94*$J$5</f>
        <v>0</v>
      </c>
      <c r="K94" s="8" t="n">
        <f aca="false">J94-H94</f>
        <v>-120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899</v>
      </c>
      <c r="B95" s="7" t="str">
        <f aca="false">IFERROR(INDEX('Source'!$C:$C,MATCH($A95,'Source'!$B:$B,0)),"")</f>
        <v>מדרס מטטרזלי</v>
      </c>
      <c r="C95" s="8" t="n">
        <f aca="false">SUMIFS('Source'!$D:$D,'Source'!$A:$A,"151209 רוני אורטופדיה  בע""מ - רמבם",'Source'!$B:$B,$A95)</f>
        <v>5</v>
      </c>
      <c r="D95" s="8" t="n">
        <f aca="false">SUMIFS('Source'!$F:$F,'Source'!$A:$A,"151209 רוני אורטופדיה  בע""מ - רמבם",'Source'!$B:$B,$A95)</f>
        <v>0</v>
      </c>
      <c r="E95" s="8" t="n">
        <f aca="false">D95*$J$5</f>
        <v>0</v>
      </c>
      <c r="F95" s="8" t="n">
        <f aca="false">E95-C95</f>
        <v>-5</v>
      </c>
      <c r="G95" s="9" t="n">
        <f aca="false">IF(AND(C95=0,E95=0),0,IF(C95=0,"New",(E95-C95)/C95))</f>
        <v>-1</v>
      </c>
      <c r="H95" s="8" t="n">
        <f aca="false">SUMIFS('Source'!$E:$E,'Source'!$A:$A,"151209 רוני אורטופדיה  בע""מ - רמבם",'Source'!$B:$B,$A95)</f>
        <v>119.29</v>
      </c>
      <c r="I95" s="8" t="n">
        <f aca="false">SUMIFS('Source'!$G:$G,'Source'!$A:$A,"151209 רוני אורטופדיה  בע""מ - רמבם",'Source'!$B:$B,$A95)</f>
        <v>0</v>
      </c>
      <c r="J95" s="8" t="n">
        <f aca="false">I95*$J$5</f>
        <v>0</v>
      </c>
      <c r="K95" s="8" t="n">
        <f aca="false">J95-H95</f>
        <v>-119.29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214</v>
      </c>
      <c r="B96" s="7" t="str">
        <f aca="false">IFERROR(INDEX('Source'!$C:$C,MATCH($A96,'Source'!$B:$B,0)),"")</f>
        <v>חגורת גב אפורה</v>
      </c>
      <c r="C96" s="8" t="n">
        <f aca="false">SUMIFS('Source'!$D:$D,'Source'!$A:$A,"151209 רוני אורטופדיה  בע""מ - רמבם",'Source'!$B:$B,$A96)</f>
        <v>1</v>
      </c>
      <c r="D96" s="8" t="n">
        <f aca="false">SUMIFS('Source'!$F:$F,'Source'!$A:$A,"151209 רוני אורטופדיה  בע""מ - רמבם",'Source'!$B:$B,$A96)</f>
        <v>0</v>
      </c>
      <c r="E96" s="8" t="n">
        <f aca="false">D96*$J$5</f>
        <v>0</v>
      </c>
      <c r="F96" s="8" t="n">
        <f aca="false">E96-C96</f>
        <v>-1</v>
      </c>
      <c r="G96" s="9" t="n">
        <f aca="false">IF(AND(C96=0,E96=0),0,IF(C96=0,"New",(E96-C96)/C96))</f>
        <v>-1</v>
      </c>
      <c r="H96" s="8" t="n">
        <f aca="false">SUMIFS('Source'!$E:$E,'Source'!$A:$A,"151209 רוני אורטופדיה  בע""מ - רמבם",'Source'!$B:$B,$A96)</f>
        <v>117.15</v>
      </c>
      <c r="I96" s="8" t="n">
        <f aca="false">SUMIFS('Source'!$G:$G,'Source'!$A:$A,"151209 רוני אורטופדיה  בע""מ - רמבם",'Source'!$B:$B,$A96)</f>
        <v>0</v>
      </c>
      <c r="J96" s="8" t="n">
        <f aca="false">I96*$J$5</f>
        <v>0</v>
      </c>
      <c r="K96" s="8" t="n">
        <f aca="false">J96-H96</f>
        <v>-117.15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607</v>
      </c>
      <c r="B97" s="7" t="str">
        <f aca="false">IFERROR(INDEX('Source'!$C:$C,MATCH($A97,'Source'!$B:$B,0)),"")</f>
        <v>מגן שוק רגיל</v>
      </c>
      <c r="C97" s="8" t="n">
        <f aca="false">SUMIFS('Source'!$D:$D,'Source'!$A:$A,"151209 רוני אורטופדיה  בע""מ - רמבם",'Source'!$B:$B,$A97)</f>
        <v>1</v>
      </c>
      <c r="D97" s="8" t="n">
        <f aca="false">SUMIFS('Source'!$F:$F,'Source'!$A:$A,"151209 רוני אורטופדיה  בע""מ - רמבם",'Source'!$B:$B,$A97)</f>
        <v>2</v>
      </c>
      <c r="E97" s="8" t="n">
        <f aca="false">D97*$J$5</f>
        <v>2.52631578947368</v>
      </c>
      <c r="F97" s="8" t="n">
        <f aca="false">E97-C97</f>
        <v>1.52631578947368</v>
      </c>
      <c r="G97" s="9" t="n">
        <f aca="false">IF(AND(C97=0,E97=0),0,IF(C97=0,"New",(E97-C97)/C97))</f>
        <v>1.52631578947368</v>
      </c>
      <c r="H97" s="8" t="n">
        <f aca="false">SUMIFS('Source'!$E:$E,'Source'!$A:$A,"151209 רוני אורטופדיה  בע""מ - רמבם",'Source'!$B:$B,$A97)</f>
        <v>103.96</v>
      </c>
      <c r="I97" s="8" t="n">
        <f aca="false">SUMIFS('Source'!$G:$G,'Source'!$A:$A,"151209 רוני אורטופדיה  בע""מ - רמבם",'Source'!$B:$B,$A97)</f>
        <v>215.52</v>
      </c>
      <c r="J97" s="8" t="n">
        <f aca="false">I97*$J$5</f>
        <v>272.235789473684</v>
      </c>
      <c r="K97" s="8" t="n">
        <f aca="false">J97-H97</f>
        <v>168.275789473684</v>
      </c>
      <c r="L97" s="9" t="n">
        <f aca="false">IF(AND(H97=0,J97=0),0,IF(H97=0,"New",(J97-H97)/H97))</f>
        <v>1.6186589984002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993</v>
      </c>
      <c r="B98" s="7" t="str">
        <f aca="false">IFERROR(INDEX('Source'!$C:$C,MATCH($A98,'Source'!$B:$B,0)),"")</f>
        <v>סד לקרסול</v>
      </c>
      <c r="C98" s="8" t="n">
        <f aca="false">SUMIFS('Source'!$D:$D,'Source'!$A:$A,"151209 רוני אורטופדיה  בע""מ - רמבם",'Source'!$B:$B,$A98)</f>
        <v>1</v>
      </c>
      <c r="D98" s="8" t="n">
        <f aca="false">SUMIFS('Source'!$F:$F,'Source'!$A:$A,"151209 רוני אורטופדיה  בע""מ - רמבם",'Source'!$B:$B,$A98)</f>
        <v>0</v>
      </c>
      <c r="E98" s="8" t="n">
        <f aca="false">D98*$J$5</f>
        <v>0</v>
      </c>
      <c r="F98" s="8" t="n">
        <f aca="false">E98-C98</f>
        <v>-1</v>
      </c>
      <c r="G98" s="9" t="n">
        <f aca="false">IF(AND(C98=0,E98=0),0,IF(C98=0,"New",(E98-C98)/C98))</f>
        <v>-1</v>
      </c>
      <c r="H98" s="8" t="n">
        <f aca="false">SUMIFS('Source'!$E:$E,'Source'!$A:$A,"151209 רוני אורטופדיה  בע""מ - רמבם",'Source'!$B:$B,$A98)</f>
        <v>110.01</v>
      </c>
      <c r="I98" s="8" t="n">
        <f aca="false">SUMIFS('Source'!$G:$G,'Source'!$A:$A,"151209 רוני אורטופדיה  בע""מ - רמבם",'Source'!$B:$B,$A98)</f>
        <v>0</v>
      </c>
      <c r="J98" s="8" t="n">
        <f aca="false">I98*$J$5</f>
        <v>0</v>
      </c>
      <c r="K98" s="8" t="n">
        <f aca="false">J98-H98</f>
        <v>-110.01</v>
      </c>
      <c r="L98" s="9" t="n">
        <f aca="false">IF(AND(H98=0,J98=0),0,IF(H98=0,"New",(J98-H98)/H98))</f>
        <v>-1</v>
      </c>
      <c r="M98" s="7" t="str">
        <f aca="false">IF(AND(OR(C98&lt;&gt;0,H98&lt;&gt;0),D98=0,I98=0),"DROP",IF(AND(OR(D98&lt;&gt;0,I98&lt;&gt;0),C98=0,H98=0),"NEW",""))</f>
        <v>DROP</v>
      </c>
    </row>
    <row r="99" customFormat="false" ht="15" hidden="false" customHeight="false" outlineLevel="0" collapsed="false">
      <c r="A99" s="7" t="s">
        <v>705</v>
      </c>
      <c r="B99" s="7" t="str">
        <f aca="false">IFERROR(INDEX('Source'!$C:$C,MATCH($A99,'Source'!$B:$B,0)),"")</f>
        <v>סד לקרסול</v>
      </c>
      <c r="C99" s="8" t="n">
        <f aca="false">SUMIFS('Source'!$D:$D,'Source'!$A:$A,"151209 רוני אורטופדיה  בע""מ - רמבם",'Source'!$B:$B,$A99)</f>
        <v>1</v>
      </c>
      <c r="D99" s="8" t="n">
        <f aca="false">SUMIFS('Source'!$F:$F,'Source'!$A:$A,"151209 רוני אורטופדיה  בע""מ - רמבם",'Source'!$B:$B,$A99)</f>
        <v>0</v>
      </c>
      <c r="E99" s="8" t="n">
        <f aca="false">D99*$J$5</f>
        <v>0</v>
      </c>
      <c r="F99" s="8" t="n">
        <f aca="false">E99-C99</f>
        <v>-1</v>
      </c>
      <c r="G99" s="9" t="n">
        <f aca="false">IF(AND(C99=0,E99=0),0,IF(C99=0,"New",(E99-C99)/C99))</f>
        <v>-1</v>
      </c>
      <c r="H99" s="8" t="n">
        <f aca="false">SUMIFS('Source'!$E:$E,'Source'!$A:$A,"151209 רוני אורטופדיה  בע""מ - רמבם",'Source'!$B:$B,$A99)</f>
        <v>110</v>
      </c>
      <c r="I99" s="8" t="n">
        <f aca="false">SUMIFS('Source'!$G:$G,'Source'!$A:$A,"151209 רוני אורטופדיה  בע""מ - רמבם",'Source'!$B:$B,$A99)</f>
        <v>0</v>
      </c>
      <c r="J99" s="8" t="n">
        <f aca="false">I99*$J$5</f>
        <v>0</v>
      </c>
      <c r="K99" s="8" t="n">
        <f aca="false">J99-H99</f>
        <v>-110</v>
      </c>
      <c r="L99" s="9" t="n">
        <f aca="false">IF(AND(H99=0,J99=0),0,IF(H99=0,"New",(J99-H99)/H99))</f>
        <v>-1</v>
      </c>
      <c r="M99" s="7" t="str">
        <f aca="false">IF(AND(OR(C99&lt;&gt;0,H99&lt;&gt;0),D99=0,I99=0),"DROP",IF(AND(OR(D99&lt;&gt;0,I99&lt;&gt;0),C99=0,H99=0),"NEW",""))</f>
        <v>DROP</v>
      </c>
    </row>
    <row r="100" customFormat="false" ht="15" hidden="false" customHeight="false" outlineLevel="0" collapsed="false">
      <c r="A100" s="7" t="s">
        <v>467</v>
      </c>
      <c r="B100" s="7" t="str">
        <f aca="false">IFERROR(INDEX('Source'!$C:$C,MATCH($A100,'Source'!$B:$B,0)),"")</f>
        <v>סד לקרסול</v>
      </c>
      <c r="C100" s="8" t="n">
        <f aca="false">SUMIFS('Source'!$D:$D,'Source'!$A:$A,"151209 רוני אורטופדיה  בע""מ - רמבם",'Source'!$B:$B,$A100)</f>
        <v>1</v>
      </c>
      <c r="D100" s="8" t="n">
        <f aca="false">SUMIFS('Source'!$F:$F,'Source'!$A:$A,"151209 רוני אורטופדיה  בע""מ - רמבם",'Source'!$B:$B,$A100)</f>
        <v>0</v>
      </c>
      <c r="E100" s="8" t="n">
        <f aca="false">D100*$J$5</f>
        <v>0</v>
      </c>
      <c r="F100" s="8" t="n">
        <f aca="false">E100-C100</f>
        <v>-1</v>
      </c>
      <c r="G100" s="9" t="n">
        <f aca="false">IF(AND(C100=0,E100=0),0,IF(C100=0,"New",(E100-C100)/C100))</f>
        <v>-1</v>
      </c>
      <c r="H100" s="8" t="n">
        <f aca="false">SUMIFS('Source'!$E:$E,'Source'!$A:$A,"151209 רוני אורטופדיה  בע""מ - רמבם",'Source'!$B:$B,$A100)</f>
        <v>110</v>
      </c>
      <c r="I100" s="8" t="n">
        <f aca="false">SUMIFS('Source'!$G:$G,'Source'!$A:$A,"151209 רוני אורטופדיה  בע""מ - רמבם",'Source'!$B:$B,$A100)</f>
        <v>0</v>
      </c>
      <c r="J100" s="8" t="n">
        <f aca="false">I100*$J$5</f>
        <v>0</v>
      </c>
      <c r="K100" s="8" t="n">
        <f aca="false">J100-H100</f>
        <v>-110</v>
      </c>
      <c r="L100" s="9" t="n">
        <f aca="false">IF(AND(H100=0,J100=0),0,IF(H100=0,"New",(J100-H100)/H100))</f>
        <v>-1</v>
      </c>
      <c r="M100" s="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false" outlineLevel="0" collapsed="false">
      <c r="A101" s="7" t="s">
        <v>333</v>
      </c>
      <c r="B101" s="7" t="str">
        <f aca="false">IFERROR(INDEX('Source'!$C:$C,MATCH($A101,'Source'!$B:$B,0)),"")</f>
        <v>סד לקרסול</v>
      </c>
      <c r="C101" s="8" t="n">
        <f aca="false">SUMIFS('Source'!$D:$D,'Source'!$A:$A,"151209 רוני אורטופדיה  בע""מ - רמבם",'Source'!$B:$B,$A101)</f>
        <v>1</v>
      </c>
      <c r="D101" s="8" t="n">
        <f aca="false">SUMIFS('Source'!$F:$F,'Source'!$A:$A,"151209 רוני אורטופדיה  בע""מ - רמבם",'Source'!$B:$B,$A101)</f>
        <v>0</v>
      </c>
      <c r="E101" s="8" t="n">
        <f aca="false">D101*$J$5</f>
        <v>0</v>
      </c>
      <c r="F101" s="8" t="n">
        <f aca="false">E101-C101</f>
        <v>-1</v>
      </c>
      <c r="G101" s="9" t="n">
        <f aca="false">IF(AND(C101=0,E101=0),0,IF(C101=0,"New",(E101-C101)/C101))</f>
        <v>-1</v>
      </c>
      <c r="H101" s="8" t="n">
        <f aca="false">SUMIFS('Source'!$E:$E,'Source'!$A:$A,"151209 רוני אורטופדיה  בע""מ - רמבם",'Source'!$B:$B,$A101)</f>
        <v>110</v>
      </c>
      <c r="I101" s="8" t="n">
        <f aca="false">SUMIFS('Source'!$G:$G,'Source'!$A:$A,"151209 רוני אורטופדיה  בע""מ - רמבם",'Source'!$B:$B,$A101)</f>
        <v>0</v>
      </c>
      <c r="J101" s="8" t="n">
        <f aca="false">I101*$J$5</f>
        <v>0</v>
      </c>
      <c r="K101" s="8" t="n">
        <f aca="false">J101-H101</f>
        <v>-110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994</v>
      </c>
      <c r="B102" s="7" t="str">
        <f aca="false">IFERROR(INDEX('Source'!$C:$C,MATCH($A102,'Source'!$B:$B,0)),"")</f>
        <v>חגורת גב סגירה כפולה</v>
      </c>
      <c r="C102" s="8" t="n">
        <f aca="false">SUMIFS('Source'!$D:$D,'Source'!$A:$A,"151209 רוני אורטופדיה  בע""מ - רמבם",'Source'!$B:$B,$A102)</f>
        <v>0</v>
      </c>
      <c r="D102" s="8" t="n">
        <f aca="false">SUMIFS('Source'!$F:$F,'Source'!$A:$A,"151209 רוני אורטופדיה  בע""מ - רמבם",'Source'!$B:$B,$A102)</f>
        <v>1</v>
      </c>
      <c r="E102" s="8" t="n">
        <f aca="false">D102*$J$5</f>
        <v>1.26315789473684</v>
      </c>
      <c r="F102" s="8" t="n">
        <f aca="false">E102-C102</f>
        <v>1.26315789473684</v>
      </c>
      <c r="G102" s="9" t="str">
        <f aca="false">IF(AND(C102=0,E102=0),0,IF(C102=0,"New",(E102-C102)/C102))</f>
        <v>New</v>
      </c>
      <c r="H102" s="8" t="n">
        <f aca="false">SUMIFS('Source'!$E:$E,'Source'!$A:$A,"151209 רוני אורטופדיה  בע""מ - רמבם",'Source'!$B:$B,$A102)</f>
        <v>0</v>
      </c>
      <c r="I102" s="8" t="n">
        <f aca="false">SUMIFS('Source'!$G:$G,'Source'!$A:$A,"151209 רוני אורטופדיה  בע""מ - רמבם",'Source'!$B:$B,$A102)</f>
        <v>108.7</v>
      </c>
      <c r="J102" s="8" t="n">
        <f aca="false">I102*$J$5</f>
        <v>137.305263157895</v>
      </c>
      <c r="K102" s="8" t="n">
        <f aca="false">J102-H102</f>
        <v>137.305263157895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502</v>
      </c>
      <c r="B103" s="7" t="str">
        <f aca="false">IFERROR(INDEX('Source'!$C:$C,MATCH($A103,'Source'!$B:$B,0)),"")</f>
        <v>מיישר בוהן</v>
      </c>
      <c r="C103" s="8" t="n">
        <f aca="false">SUMIFS('Source'!$D:$D,'Source'!$A:$A,"151209 רוני אורטופדיה  בע""מ - רמבם",'Source'!$B:$B,$A103)</f>
        <v>0</v>
      </c>
      <c r="D103" s="8" t="n">
        <f aca="false">SUMIFS('Source'!$F:$F,'Source'!$A:$A,"151209 רוני אורטופדיה  בע""מ - רמבם",'Source'!$B:$B,$A103)</f>
        <v>5</v>
      </c>
      <c r="E103" s="8" t="n">
        <f aca="false">D103*$J$5</f>
        <v>6.31578947368421</v>
      </c>
      <c r="F103" s="8" t="n">
        <f aca="false">E103-C103</f>
        <v>6.31578947368421</v>
      </c>
      <c r="G103" s="9" t="str">
        <f aca="false">IF(AND(C103=0,E103=0),0,IF(C103=0,"New",(E103-C103)/C103))</f>
        <v>New</v>
      </c>
      <c r="H103" s="8" t="n">
        <f aca="false">SUMIFS('Source'!$E:$E,'Source'!$A:$A,"151209 רוני אורטופדיה  בע""מ - רמבם",'Source'!$B:$B,$A103)</f>
        <v>0</v>
      </c>
      <c r="I103" s="8" t="n">
        <f aca="false">SUMIFS('Source'!$G:$G,'Source'!$A:$A,"151209 רוני אורטופדיה  בע""מ - רמבם",'Source'!$B:$B,$A103)</f>
        <v>105.22</v>
      </c>
      <c r="J103" s="8" t="n">
        <f aca="false">I103*$J$5</f>
        <v>132.909473684211</v>
      </c>
      <c r="K103" s="8" t="n">
        <f aca="false">J103-H103</f>
        <v>132.909473684211</v>
      </c>
      <c r="L103" s="9" t="str">
        <f aca="false">IF(AND(H103=0,J103=0),0,IF(H103=0,"New",(J103-H103)/H103))</f>
        <v>New</v>
      </c>
      <c r="M103" s="7" t="str">
        <f aca="false">IF(AND(OR(C103&lt;&gt;0,H103&lt;&gt;0),D103=0,I103=0),"DROP",IF(AND(OR(D103&lt;&gt;0,I103&lt;&gt;0),C103=0,H103=0),"NEW",""))</f>
        <v>NEW</v>
      </c>
    </row>
    <row r="104" customFormat="false" ht="15" hidden="false" customHeight="false" outlineLevel="0" collapsed="false">
      <c r="A104" s="7" t="s">
        <v>264</v>
      </c>
      <c r="B104" s="7" t="str">
        <f aca="false">IFERROR(INDEX('Source'!$C:$C,MATCH($A104,'Source'!$B:$B,0)),"")</f>
        <v>מגן שוק רגיל</v>
      </c>
      <c r="C104" s="8" t="n">
        <f aca="false">SUMIFS('Source'!$D:$D,'Source'!$A:$A,"151209 רוני אורטופדיה  בע""מ - רמבם",'Source'!$B:$B,$A104)</f>
        <v>2</v>
      </c>
      <c r="D104" s="8" t="n">
        <f aca="false">SUMIFS('Source'!$F:$F,'Source'!$A:$A,"151209 רוני אורטופדיה  בע""מ - רמבם",'Source'!$B:$B,$A104)</f>
        <v>1</v>
      </c>
      <c r="E104" s="8" t="n">
        <f aca="false">D104*$J$5</f>
        <v>1.26315789473684</v>
      </c>
      <c r="F104" s="8" t="n">
        <f aca="false">E104-C104</f>
        <v>-0.736842105263158</v>
      </c>
      <c r="G104" s="9" t="n">
        <f aca="false">IF(AND(C104=0,E104=0),0,IF(C104=0,"New",(E104-C104)/C104))</f>
        <v>-0.368421052631579</v>
      </c>
      <c r="H104" s="8" t="n">
        <f aca="false">SUMIFS('Source'!$E:$E,'Source'!$A:$A,"151209 רוני אורטופדיה  בע""מ - רמבם",'Source'!$B:$B,$A104)</f>
        <v>211.72</v>
      </c>
      <c r="I104" s="8" t="n">
        <f aca="false">SUMIFS('Source'!$G:$G,'Source'!$A:$A,"151209 רוני אורטופדיה  בע""מ - רמבם",'Source'!$B:$B,$A104)</f>
        <v>107.76</v>
      </c>
      <c r="J104" s="8" t="n">
        <f aca="false">I104*$J$5</f>
        <v>136.117894736842</v>
      </c>
      <c r="K104" s="8" t="n">
        <f aca="false">J104-H104</f>
        <v>-75.6021052631579</v>
      </c>
      <c r="L104" s="9" t="n">
        <f aca="false">IF(AND(H104=0,J104=0),0,IF(H104=0,"New",(J104-H104)/H104))</f>
        <v>-0.357085326200443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179</v>
      </c>
      <c r="B105" s="7" t="str">
        <f aca="false">IFERROR(INDEX('Source'!$C:$C,MATCH($A105,'Source'!$B:$B,0)),"")</f>
        <v>מתלה ליד לילדים</v>
      </c>
      <c r="C105" s="8" t="n">
        <f aca="false">SUMIFS('Source'!$D:$D,'Source'!$A:$A,"151209 רוני אורטופדיה  בע""מ - רמבם",'Source'!$B:$B,$A105)</f>
        <v>5</v>
      </c>
      <c r="D105" s="8" t="n">
        <f aca="false">SUMIFS('Source'!$F:$F,'Source'!$A:$A,"151209 רוני אורטופדיה  בע""מ - רמבם",'Source'!$B:$B,$A105)</f>
        <v>7</v>
      </c>
      <c r="E105" s="8" t="n">
        <f aca="false">D105*$J$5</f>
        <v>8.84210526315789</v>
      </c>
      <c r="F105" s="8" t="n">
        <f aca="false">E105-C105</f>
        <v>3.84210526315789</v>
      </c>
      <c r="G105" s="9" t="n">
        <f aca="false">IF(AND(C105=0,E105=0),0,IF(C105=0,"New",(E105-C105)/C105))</f>
        <v>0.768421052631579</v>
      </c>
      <c r="H105" s="8" t="n">
        <f aca="false">SUMIFS('Source'!$E:$E,'Source'!$A:$A,"151209 רוני אורטופדיה  בע""מ - רמבם",'Source'!$B:$B,$A105)</f>
        <v>259.91</v>
      </c>
      <c r="I105" s="8" t="n">
        <f aca="false">SUMIFS('Source'!$G:$G,'Source'!$A:$A,"151209 רוני אורטופדיה  בע""מ - רמבם",'Source'!$B:$B,$A105)</f>
        <v>363.87</v>
      </c>
      <c r="J105" s="8" t="n">
        <f aca="false">I105*$J$5</f>
        <v>459.625263157895</v>
      </c>
      <c r="K105" s="8" t="n">
        <f aca="false">J105-H105</f>
        <v>199.715263157895</v>
      </c>
      <c r="L105" s="9" t="n">
        <f aca="false">IF(AND(H105=0,J105=0),0,IF(H105=0,"New",(J105-H105)/H105))</f>
        <v>0.768401612703992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412</v>
      </c>
      <c r="B106" s="7" t="str">
        <f aca="false">IFERROR(INDEX('Source'!$C:$C,MATCH($A106,'Source'!$B:$B,0)),"")</f>
        <v>תחבושת נצמדת צבע ורוד</v>
      </c>
      <c r="C106" s="8" t="n">
        <f aca="false">SUMIFS('Source'!$D:$D,'Source'!$A:$A,"151209 רוני אורטופדיה  בע""מ - רמבם",'Source'!$B:$B,$A106)</f>
        <v>8</v>
      </c>
      <c r="D106" s="8" t="n">
        <f aca="false">SUMIFS('Source'!$F:$F,'Source'!$A:$A,"151209 רוני אורטופדיה  בע""מ - רמבם",'Source'!$B:$B,$A106)</f>
        <v>0</v>
      </c>
      <c r="E106" s="8" t="n">
        <f aca="false">D106*$J$5</f>
        <v>0</v>
      </c>
      <c r="F106" s="8" t="n">
        <f aca="false">E106-C106</f>
        <v>-8</v>
      </c>
      <c r="G106" s="9" t="n">
        <f aca="false">IF(AND(C106=0,E106=0),0,IF(C106=0,"New",(E106-C106)/C106))</f>
        <v>-1</v>
      </c>
      <c r="H106" s="8" t="n">
        <f aca="false">SUMIFS('Source'!$E:$E,'Source'!$A:$A,"151209 רוני אורטופדיה  בע""מ - רמבם",'Source'!$B:$B,$A106)</f>
        <v>100.86</v>
      </c>
      <c r="I106" s="8" t="n">
        <f aca="false">SUMIFS('Source'!$G:$G,'Source'!$A:$A,"151209 רוני אורטופדיה  בע""מ - רמבם",'Source'!$B:$B,$A106)</f>
        <v>0</v>
      </c>
      <c r="J106" s="8" t="n">
        <f aca="false">I106*$J$5</f>
        <v>0</v>
      </c>
      <c r="K106" s="8" t="n">
        <f aca="false">J106-H106</f>
        <v>-100.86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375</v>
      </c>
      <c r="B107" s="7" t="str">
        <f aca="false">IFERROR(INDEX('Source'!$C:$C,MATCH($A107,'Source'!$B:$B,0)),"")</f>
        <v>תחבושת נצמדת צבע שחור</v>
      </c>
      <c r="C107" s="8" t="n">
        <f aca="false">SUMIFS('Source'!$D:$D,'Source'!$A:$A,"151209 רוני אורטופדיה  בע""מ - רמבם",'Source'!$B:$B,$A107)</f>
        <v>8</v>
      </c>
      <c r="D107" s="8" t="n">
        <f aca="false">SUMIFS('Source'!$F:$F,'Source'!$A:$A,"151209 רוני אורטופדיה  בע""מ - רמבם",'Source'!$B:$B,$A107)</f>
        <v>0</v>
      </c>
      <c r="E107" s="8" t="n">
        <f aca="false">D107*$J$5</f>
        <v>0</v>
      </c>
      <c r="F107" s="8" t="n">
        <f aca="false">E107-C107</f>
        <v>-8</v>
      </c>
      <c r="G107" s="9" t="n">
        <f aca="false">IF(AND(C107=0,E107=0),0,IF(C107=0,"New",(E107-C107)/C107))</f>
        <v>-1</v>
      </c>
      <c r="H107" s="8" t="n">
        <f aca="false">SUMIFS('Source'!$E:$E,'Source'!$A:$A,"151209 רוני אורטופדיה  בע""מ - רמבם",'Source'!$B:$B,$A107)</f>
        <v>100.86</v>
      </c>
      <c r="I107" s="8" t="n">
        <f aca="false">SUMIFS('Source'!$G:$G,'Source'!$A:$A,"151209 רוני אורטופדיה  בע""מ - רמבם",'Source'!$B:$B,$A107)</f>
        <v>0</v>
      </c>
      <c r="J107" s="8" t="n">
        <f aca="false">I107*$J$5</f>
        <v>0</v>
      </c>
      <c r="K107" s="8" t="n">
        <f aca="false">J107-H107</f>
        <v>-100.86</v>
      </c>
      <c r="L107" s="9" t="n">
        <f aca="false">IF(AND(H107=0,J107=0),0,IF(H107=0,"New",(J107-H107)/H107))</f>
        <v>-1</v>
      </c>
      <c r="M107" s="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false" outlineLevel="0" collapsed="false">
      <c r="A108" s="7" t="s">
        <v>663</v>
      </c>
      <c r="B108" s="7" t="str">
        <f aca="false">IFERROR(INDEX('Source'!$C:$C,MATCH($A108,'Source'!$B:$B,0)),"")</f>
        <v>תחבושת נצמדת צבע כחול</v>
      </c>
      <c r="C108" s="8" t="n">
        <f aca="false">SUMIFS('Source'!$D:$D,'Source'!$A:$A,"151209 רוני אורטופדיה  בע""מ - רמבם",'Source'!$B:$B,$A108)</f>
        <v>8</v>
      </c>
      <c r="D108" s="8" t="n">
        <f aca="false">SUMIFS('Source'!$F:$F,'Source'!$A:$A,"151209 רוני אורטופדיה  בע""מ - רמבם",'Source'!$B:$B,$A108)</f>
        <v>0</v>
      </c>
      <c r="E108" s="8" t="n">
        <f aca="false">D108*$J$5</f>
        <v>0</v>
      </c>
      <c r="F108" s="8" t="n">
        <f aca="false">E108-C108</f>
        <v>-8</v>
      </c>
      <c r="G108" s="9" t="n">
        <f aca="false">IF(AND(C108=0,E108=0),0,IF(C108=0,"New",(E108-C108)/C108))</f>
        <v>-1</v>
      </c>
      <c r="H108" s="8" t="n">
        <f aca="false">SUMIFS('Source'!$E:$E,'Source'!$A:$A,"151209 רוני אורטופדיה  בע""מ - רמבם",'Source'!$B:$B,$A108)</f>
        <v>100.86</v>
      </c>
      <c r="I108" s="8" t="n">
        <f aca="false">SUMIFS('Source'!$G:$G,'Source'!$A:$A,"151209 רוני אורטופדיה  בע""מ - רמבם",'Source'!$B:$B,$A108)</f>
        <v>0</v>
      </c>
      <c r="J108" s="8" t="n">
        <f aca="false">I108*$J$5</f>
        <v>0</v>
      </c>
      <c r="K108" s="8" t="n">
        <f aca="false">J108-H108</f>
        <v>-100.86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249</v>
      </c>
      <c r="B109" s="7" t="str">
        <f aca="false">IFERROR(INDEX('Source'!$C:$C,MATCH($A109,'Source'!$B:$B,0)),"")</f>
        <v>חגורת שבר לצד שמאל</v>
      </c>
      <c r="C109" s="8" t="n">
        <f aca="false">SUMIFS('Source'!$D:$D,'Source'!$A:$A,"151209 רוני אורטופדיה  בע""מ - רמבם",'Source'!$B:$B,$A109)</f>
        <v>2</v>
      </c>
      <c r="D109" s="8" t="n">
        <f aca="false">SUMIFS('Source'!$F:$F,'Source'!$A:$A,"151209 רוני אורטופדיה  בע""מ - רמבם",'Source'!$B:$B,$A109)</f>
        <v>1</v>
      </c>
      <c r="E109" s="8" t="n">
        <f aca="false">D109*$J$5</f>
        <v>1.26315789473684</v>
      </c>
      <c r="F109" s="8" t="n">
        <f aca="false">E109-C109</f>
        <v>-0.736842105263158</v>
      </c>
      <c r="G109" s="9" t="n">
        <f aca="false">IF(AND(C109=0,E109=0),0,IF(C109=0,"New",(E109-C109)/C109))</f>
        <v>-0.368421052631579</v>
      </c>
      <c r="H109" s="8" t="n">
        <f aca="false">SUMIFS('Source'!$E:$E,'Source'!$A:$A,"151209 רוני אורטופדיה  בע""מ - רמבם",'Source'!$B:$B,$A109)</f>
        <v>240.38</v>
      </c>
      <c r="I109" s="8" t="n">
        <f aca="false">SUMIFS('Source'!$G:$G,'Source'!$A:$A,"151209 רוני אורטופדיה  בע""מ - רמבם",'Source'!$B:$B,$A109)</f>
        <v>140</v>
      </c>
      <c r="J109" s="8" t="n">
        <f aca="false">I109*$J$5</f>
        <v>176.842105263158</v>
      </c>
      <c r="K109" s="8" t="n">
        <f aca="false">J109-H109</f>
        <v>-63.5378947368421</v>
      </c>
      <c r="L109" s="9" t="n">
        <f aca="false">IF(AND(H109=0,J109=0),0,IF(H109=0,"New",(J109-H109)/H109))</f>
        <v>-0.264322717101432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551</v>
      </c>
      <c r="B110" s="7" t="str">
        <f aca="false">IFERROR(INDEX('Source'!$C:$C,MATCH($A110,'Source'!$B:$B,0)),"")</f>
        <v>צוארון ספוגי</v>
      </c>
      <c r="C110" s="8" t="n">
        <f aca="false">SUMIFS('Source'!$D:$D,'Source'!$A:$A,"151209 רוני אורטופדיה  בע""מ - רמבם",'Source'!$B:$B,$A110)</f>
        <v>2</v>
      </c>
      <c r="D110" s="8" t="n">
        <f aca="false">SUMIFS('Source'!$F:$F,'Source'!$A:$A,"151209 רוני אורטופדיה  בע""מ - רמבם",'Source'!$B:$B,$A110)</f>
        <v>0</v>
      </c>
      <c r="E110" s="8" t="n">
        <f aca="false">D110*$J$5</f>
        <v>0</v>
      </c>
      <c r="F110" s="8" t="n">
        <f aca="false">E110-C110</f>
        <v>-2</v>
      </c>
      <c r="G110" s="9" t="n">
        <f aca="false">IF(AND(C110=0,E110=0),0,IF(C110=0,"New",(E110-C110)/C110))</f>
        <v>-1</v>
      </c>
      <c r="H110" s="8" t="n">
        <f aca="false">SUMIFS('Source'!$E:$E,'Source'!$A:$A,"151209 רוני אורטופדיה  בע""מ - רמבם",'Source'!$B:$B,$A110)</f>
        <v>99.27</v>
      </c>
      <c r="I110" s="8" t="n">
        <f aca="false">SUMIFS('Source'!$G:$G,'Source'!$A:$A,"151209 רוני אורטופדיה  בע""מ - רמבם",'Source'!$B:$B,$A110)</f>
        <v>0</v>
      </c>
      <c r="J110" s="8" t="n">
        <f aca="false">I110*$J$5</f>
        <v>0</v>
      </c>
      <c r="K110" s="8" t="n">
        <f aca="false">J110-H110</f>
        <v>-99.27</v>
      </c>
      <c r="L110" s="9" t="n">
        <f aca="false">IF(AND(H110=0,J110=0),0,IF(H110=0,"New",(J110-H110)/H110))</f>
        <v>-1</v>
      </c>
      <c r="M110" s="7" t="str">
        <f aca="false">IF(AND(OR(C110&lt;&gt;0,H110&lt;&gt;0),D110=0,I110=0),"DROP",IF(AND(OR(D110&lt;&gt;0,I110&lt;&gt;0),C110=0,H110=0),"NEW",""))</f>
        <v>DROP</v>
      </c>
    </row>
    <row r="111" customFormat="false" ht="15" hidden="false" customHeight="false" outlineLevel="0" collapsed="false">
      <c r="A111" s="7" t="s">
        <v>720</v>
      </c>
      <c r="B111" s="7" t="str">
        <f aca="false">IFERROR(INDEX('Source'!$C:$C,MATCH($A111,'Source'!$B:$B,0)),"")</f>
        <v>צוארון ספוגי</v>
      </c>
      <c r="C111" s="8" t="n">
        <f aca="false">SUMIFS('Source'!$D:$D,'Source'!$A:$A,"151209 רוני אורטופדיה  בע""מ - רמבם",'Source'!$B:$B,$A111)</f>
        <v>2</v>
      </c>
      <c r="D111" s="8" t="n">
        <f aca="false">SUMIFS('Source'!$F:$F,'Source'!$A:$A,"151209 רוני אורטופדיה  בע""מ - רמבם",'Source'!$B:$B,$A111)</f>
        <v>0</v>
      </c>
      <c r="E111" s="8" t="n">
        <f aca="false">D111*$J$5</f>
        <v>0</v>
      </c>
      <c r="F111" s="8" t="n">
        <f aca="false">E111-C111</f>
        <v>-2</v>
      </c>
      <c r="G111" s="9" t="n">
        <f aca="false">IF(AND(C111=0,E111=0),0,IF(C111=0,"New",(E111-C111)/C111))</f>
        <v>-1</v>
      </c>
      <c r="H111" s="8" t="n">
        <f aca="false">SUMIFS('Source'!$E:$E,'Source'!$A:$A,"151209 רוני אורטופדיה  בע""מ - רמבם",'Source'!$B:$B,$A111)</f>
        <v>99.27</v>
      </c>
      <c r="I111" s="8" t="n">
        <f aca="false">SUMIFS('Source'!$G:$G,'Source'!$A:$A,"151209 רוני אורטופדיה  בע""מ - רמבם",'Source'!$B:$B,$A111)</f>
        <v>0</v>
      </c>
      <c r="J111" s="8" t="n">
        <f aca="false">I111*$J$5</f>
        <v>0</v>
      </c>
      <c r="K111" s="8" t="n">
        <f aca="false">J111-H111</f>
        <v>-99.27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693</v>
      </c>
      <c r="B112" s="7" t="str">
        <f aca="false">IFERROR(INDEX('Source'!$C:$C,MATCH($A112,'Source'!$B:$B,0)),"")</f>
        <v>מתלה יד-כיס</v>
      </c>
      <c r="C112" s="8" t="n">
        <f aca="false">SUMIFS('Source'!$D:$D,'Source'!$A:$A,"151209 רוני אורטופדיה  בע""מ - רמבם",'Source'!$B:$B,$A112)</f>
        <v>4</v>
      </c>
      <c r="D112" s="8" t="n">
        <f aca="false">SUMIFS('Source'!$F:$F,'Source'!$A:$A,"151209 רוני אורטופדיה  בע""מ - רמבם",'Source'!$B:$B,$A112)</f>
        <v>2</v>
      </c>
      <c r="E112" s="8" t="n">
        <f aca="false">D112*$J$5</f>
        <v>2.52631578947368</v>
      </c>
      <c r="F112" s="8" t="n">
        <f aca="false">E112-C112</f>
        <v>-1.47368421052632</v>
      </c>
      <c r="G112" s="9" t="n">
        <f aca="false">IF(AND(C112=0,E112=0),0,IF(C112=0,"New",(E112-C112)/C112))</f>
        <v>-0.368421052631579</v>
      </c>
      <c r="H112" s="8" t="n">
        <f aca="false">SUMIFS('Source'!$E:$E,'Source'!$A:$A,"151209 רוני אורטופדיה  בע""מ - רמבם",'Source'!$B:$B,$A112)</f>
        <v>195.99</v>
      </c>
      <c r="I112" s="8" t="n">
        <f aca="false">SUMIFS('Source'!$G:$G,'Source'!$A:$A,"151209 רוני אורטופדיה  בע""מ - רמבם",'Source'!$B:$B,$A112)</f>
        <v>97.99</v>
      </c>
      <c r="J112" s="8" t="n">
        <f aca="false">I112*$J$5</f>
        <v>123.776842105263</v>
      </c>
      <c r="K112" s="8" t="n">
        <f aca="false">J112-H112</f>
        <v>-72.2131578947369</v>
      </c>
      <c r="L112" s="9" t="n">
        <f aca="false">IF(AND(H112=0,J112=0),0,IF(H112=0,"New",(J112-H112)/H112))</f>
        <v>-0.368453277691397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533</v>
      </c>
      <c r="B113" s="7" t="str">
        <f aca="false">IFERROR(INDEX('Source'!$C:$C,MATCH($A113,'Source'!$B:$B,0)),"")</f>
        <v>מתלה יד-כיס</v>
      </c>
      <c r="C113" s="8" t="n">
        <f aca="false">SUMIFS('Source'!$D:$D,'Source'!$A:$A,"151209 רוני אורטופדיה  בע""מ - רמבם",'Source'!$B:$B,$A113)</f>
        <v>0</v>
      </c>
      <c r="D113" s="8" t="n">
        <f aca="false">SUMIFS('Source'!$F:$F,'Source'!$A:$A,"151209 רוני אורטופדיה  בע""מ - רמבם",'Source'!$B:$B,$A113)</f>
        <v>2</v>
      </c>
      <c r="E113" s="8" t="n">
        <f aca="false">D113*$J$5</f>
        <v>2.52631578947368</v>
      </c>
      <c r="F113" s="8" t="n">
        <f aca="false">E113-C113</f>
        <v>2.52631578947368</v>
      </c>
      <c r="G113" s="9" t="str">
        <f aca="false">IF(AND(C113=0,E113=0),0,IF(C113=0,"New",(E113-C113)/C113))</f>
        <v>New</v>
      </c>
      <c r="H113" s="8" t="n">
        <f aca="false">SUMIFS('Source'!$E:$E,'Source'!$A:$A,"151209 רוני אורטופדיה  בע""מ - רמבם",'Source'!$B:$B,$A113)</f>
        <v>0</v>
      </c>
      <c r="I113" s="8" t="n">
        <f aca="false">SUMIFS('Source'!$G:$G,'Source'!$A:$A,"151209 רוני אורטופדיה  בע""מ - רמבם",'Source'!$B:$B,$A113)</f>
        <v>97.99</v>
      </c>
      <c r="J113" s="8" t="n">
        <f aca="false">I113*$J$5</f>
        <v>123.776842105263</v>
      </c>
      <c r="K113" s="8" t="n">
        <f aca="false">J113-H113</f>
        <v>123.776842105263</v>
      </c>
      <c r="L113" s="9" t="str">
        <f aca="false">IF(AND(H113=0,J113=0),0,IF(H113=0,"New",(J113-H113)/H113))</f>
        <v>New</v>
      </c>
      <c r="M113" s="7" t="str">
        <f aca="false">IF(AND(OR(C113&lt;&gt;0,H113&lt;&gt;0),D113=0,I113=0),"DROP",IF(AND(OR(D113&lt;&gt;0,I113&lt;&gt;0),C113=0,H113=0),"NEW",""))</f>
        <v>NEW</v>
      </c>
    </row>
    <row r="114" customFormat="false" ht="15" hidden="false" customHeight="false" outlineLevel="0" collapsed="false">
      <c r="A114" s="7" t="s">
        <v>595</v>
      </c>
      <c r="B114" s="7" t="str">
        <f aca="false">IFERROR(INDEX('Source'!$C:$C,MATCH($A114,'Source'!$B:$B,0)),"")</f>
        <v>מתלה יד-כיס</v>
      </c>
      <c r="C114" s="8" t="n">
        <f aca="false">SUMIFS('Source'!$D:$D,'Source'!$A:$A,"151209 רוני אורטופדיה  בע""מ - רמבם",'Source'!$B:$B,$A114)</f>
        <v>2</v>
      </c>
      <c r="D114" s="8" t="n">
        <f aca="false">SUMIFS('Source'!$F:$F,'Source'!$A:$A,"151209 רוני אורטופדיה  בע""מ - רמבם",'Source'!$B:$B,$A114)</f>
        <v>4</v>
      </c>
      <c r="E114" s="8" t="n">
        <f aca="false">D114*$J$5</f>
        <v>5.05263157894737</v>
      </c>
      <c r="F114" s="8" t="n">
        <f aca="false">E114-C114</f>
        <v>3.05263157894737</v>
      </c>
      <c r="G114" s="9" t="n">
        <f aca="false">IF(AND(C114=0,E114=0),0,IF(C114=0,"New",(E114-C114)/C114))</f>
        <v>1.52631578947368</v>
      </c>
      <c r="H114" s="8" t="n">
        <f aca="false">SUMIFS('Source'!$E:$E,'Source'!$A:$A,"151209 רוני אורטופדיה  בע""מ - רמבם",'Source'!$B:$B,$A114)</f>
        <v>97.99</v>
      </c>
      <c r="I114" s="8" t="n">
        <f aca="false">SUMIFS('Source'!$G:$G,'Source'!$A:$A,"151209 רוני אורטופדיה  בע""מ - רמבם",'Source'!$B:$B,$A114)</f>
        <v>195.98</v>
      </c>
      <c r="J114" s="8" t="n">
        <f aca="false">I114*$J$5</f>
        <v>247.553684210526</v>
      </c>
      <c r="K114" s="8" t="n">
        <f aca="false">J114-H114</f>
        <v>149.563684210526</v>
      </c>
      <c r="L114" s="9" t="n">
        <f aca="false">IF(AND(H114=0,J114=0),0,IF(H114=0,"New",(J114-H114)/H114))</f>
        <v>1.52631578947368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162</v>
      </c>
      <c r="B115" s="7" t="str">
        <f aca="false">IFERROR(INDEX('Source'!$C:$C,MATCH($A115,'Source'!$B:$B,0)),"")</f>
        <v>מדרס מתכוונן</v>
      </c>
      <c r="C115" s="8" t="n">
        <f aca="false">SUMIFS('Source'!$D:$D,'Source'!$A:$A,"151209 רוני אורטופדיה  בע""מ - רמבם",'Source'!$B:$B,$A115)</f>
        <v>0</v>
      </c>
      <c r="D115" s="8" t="n">
        <f aca="false">SUMIFS('Source'!$F:$F,'Source'!$A:$A,"151209 רוני אורטופדיה  בע""מ - רמבם",'Source'!$B:$B,$A115)</f>
        <v>1</v>
      </c>
      <c r="E115" s="8" t="n">
        <f aca="false">D115*$J$5</f>
        <v>1.26315789473684</v>
      </c>
      <c r="F115" s="8" t="n">
        <f aca="false">E115-C115</f>
        <v>1.26315789473684</v>
      </c>
      <c r="G115" s="9" t="str">
        <f aca="false">IF(AND(C115=0,E115=0),0,IF(C115=0,"New",(E115-C115)/C115))</f>
        <v>New</v>
      </c>
      <c r="H115" s="8" t="n">
        <f aca="false">SUMIFS('Source'!$E:$E,'Source'!$A:$A,"151209 רוני אורטופדיה  בע""מ - רמבם",'Source'!$B:$B,$A115)</f>
        <v>0</v>
      </c>
      <c r="I115" s="8" t="n">
        <f aca="false">SUMIFS('Source'!$G:$G,'Source'!$A:$A,"151209 רוני אורטופדיה  בע""מ - רמבם",'Source'!$B:$B,$A115)</f>
        <v>93.7</v>
      </c>
      <c r="J115" s="8" t="n">
        <f aca="false">I115*$J$5</f>
        <v>118.357894736842</v>
      </c>
      <c r="K115" s="8" t="n">
        <f aca="false">J115-H115</f>
        <v>118.357894736842</v>
      </c>
      <c r="L115" s="9" t="str">
        <f aca="false">IF(AND(H115=0,J115=0),0,IF(H115=0,"New",(J115-H115)/H115))</f>
        <v>New</v>
      </c>
      <c r="M115" s="7" t="str">
        <f aca="false">IF(AND(OR(C115&lt;&gt;0,H115&lt;&gt;0),D115=0,I115=0),"DROP",IF(AND(OR(D115&lt;&gt;0,I115&lt;&gt;0),C115=0,H115=0),"NEW",""))</f>
        <v>NEW</v>
      </c>
    </row>
    <row r="116" customFormat="false" ht="15" hidden="false" customHeight="false" outlineLevel="0" collapsed="false">
      <c r="A116" s="7" t="s">
        <v>225</v>
      </c>
      <c r="B116" s="7" t="str">
        <f aca="false">IFERROR(INDEX('Source'!$C:$C,MATCH($A116,'Source'!$B:$B,0)),"")</f>
        <v>שרוול מסיליקון ל</v>
      </c>
      <c r="C116" s="8" t="n">
        <f aca="false">SUMIFS('Source'!$D:$D,'Source'!$A:$A,"151209 רוני אורטופדיה  בע""מ - רמבם",'Source'!$B:$B,$A116)</f>
        <v>10</v>
      </c>
      <c r="D116" s="8" t="n">
        <f aca="false">SUMIFS('Source'!$F:$F,'Source'!$A:$A,"151209 רוני אורטופדיה  בע""מ - רמבם",'Source'!$B:$B,$A116)</f>
        <v>15</v>
      </c>
      <c r="E116" s="8" t="n">
        <f aca="false">D116*$J$5</f>
        <v>18.9473684210526</v>
      </c>
      <c r="F116" s="8" t="n">
        <f aca="false">E116-C116</f>
        <v>8.94736842105263</v>
      </c>
      <c r="G116" s="9" t="n">
        <f aca="false">IF(AND(C116=0,E116=0),0,IF(C116=0,"New",(E116-C116)/C116))</f>
        <v>0.894736842105263</v>
      </c>
      <c r="H116" s="8" t="n">
        <f aca="false">SUMIFS('Source'!$E:$E,'Source'!$A:$A,"151209 רוני אורטופדיה  בע""מ - רמבם",'Source'!$B:$B,$A116)</f>
        <v>187.05</v>
      </c>
      <c r="I116" s="8" t="n">
        <f aca="false">SUMIFS('Source'!$G:$G,'Source'!$A:$A,"151209 רוני אורטופדיה  בע""מ - רמבם",'Source'!$B:$B,$A116)</f>
        <v>280.58</v>
      </c>
      <c r="J116" s="8" t="n">
        <f aca="false">I116*$J$5</f>
        <v>354.416842105263</v>
      </c>
      <c r="K116" s="8" t="n">
        <f aca="false">J116-H116</f>
        <v>167.366842105263</v>
      </c>
      <c r="L116" s="9" t="n">
        <f aca="false">IF(AND(H116=0,J116=0),0,IF(H116=0,"New",(J116-H116)/H116))</f>
        <v>0.894770607352382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590</v>
      </c>
      <c r="B117" s="7" t="str">
        <f aca="false">IFERROR(INDEX('Source'!$C:$C,MATCH($A117,'Source'!$B:$B,0)),"")</f>
        <v>רפידת אנטי-ריח</v>
      </c>
      <c r="C117" s="8" t="n">
        <f aca="false">SUMIFS('Source'!$D:$D,'Source'!$A:$A,"151209 רוני אורטופדיה  בע""מ - רמבם",'Source'!$B:$B,$A117)</f>
        <v>6</v>
      </c>
      <c r="D117" s="8" t="n">
        <f aca="false">SUMIFS('Source'!$F:$F,'Source'!$A:$A,"151209 רוני אורטופדיה  בע""מ - רמבם",'Source'!$B:$B,$A117)</f>
        <v>0</v>
      </c>
      <c r="E117" s="8" t="n">
        <f aca="false">D117*$J$5</f>
        <v>0</v>
      </c>
      <c r="F117" s="8" t="n">
        <f aca="false">E117-C117</f>
        <v>-6</v>
      </c>
      <c r="G117" s="9" t="n">
        <f aca="false">IF(AND(C117=0,E117=0),0,IF(C117=0,"New",(E117-C117)/C117))</f>
        <v>-1</v>
      </c>
      <c r="H117" s="8" t="n">
        <f aca="false">SUMIFS('Source'!$E:$E,'Source'!$A:$A,"151209 רוני אורטופדיה  בע""מ - רמבם",'Source'!$B:$B,$A117)</f>
        <v>92.52</v>
      </c>
      <c r="I117" s="8" t="n">
        <f aca="false">SUMIFS('Source'!$G:$G,'Source'!$A:$A,"151209 רוני אורטופדיה  בע""מ - רמבם",'Source'!$B:$B,$A117)</f>
        <v>0</v>
      </c>
      <c r="J117" s="8" t="n">
        <f aca="false">I117*$J$5</f>
        <v>0</v>
      </c>
      <c r="K117" s="8" t="n">
        <f aca="false">J117-H117</f>
        <v>-92.52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735</v>
      </c>
      <c r="B118" s="7" t="str">
        <f aca="false">IFERROR(INDEX('Source'!$C:$C,MATCH($A118,'Source'!$B:$B,0)),"")</f>
        <v>רפידה בולמת זעזועים</v>
      </c>
      <c r="C118" s="8" t="n">
        <f aca="false">SUMIFS('Source'!$D:$D,'Source'!$A:$A,"151209 רוני אורטופדיה  בע""מ - רמבם",'Source'!$B:$B,$A118)</f>
        <v>6</v>
      </c>
      <c r="D118" s="8" t="n">
        <f aca="false">SUMIFS('Source'!$F:$F,'Source'!$A:$A,"151209 רוני אורטופדיה  בע""מ - רמבם",'Source'!$B:$B,$A118)</f>
        <v>0</v>
      </c>
      <c r="E118" s="8" t="n">
        <f aca="false">D118*$J$5</f>
        <v>0</v>
      </c>
      <c r="F118" s="8" t="n">
        <f aca="false">E118-C118</f>
        <v>-6</v>
      </c>
      <c r="G118" s="9" t="n">
        <f aca="false">IF(AND(C118=0,E118=0),0,IF(C118=0,"New",(E118-C118)/C118))</f>
        <v>-1</v>
      </c>
      <c r="H118" s="8" t="n">
        <f aca="false">SUMIFS('Source'!$E:$E,'Source'!$A:$A,"151209 רוני אורטופדיה  בע""מ - רמבם",'Source'!$B:$B,$A118)</f>
        <v>92.52</v>
      </c>
      <c r="I118" s="8" t="n">
        <f aca="false">SUMIFS('Source'!$G:$G,'Source'!$A:$A,"151209 רוני אורטופדיה  בע""מ - רמבם",'Source'!$B:$B,$A118)</f>
        <v>0</v>
      </c>
      <c r="J118" s="8" t="n">
        <f aca="false">I118*$J$5</f>
        <v>0</v>
      </c>
      <c r="K118" s="8" t="n">
        <f aca="false">J118-H118</f>
        <v>-92.52</v>
      </c>
      <c r="L118" s="9" t="n">
        <f aca="false">IF(AND(H118=0,J118=0),0,IF(H118=0,"New",(J118-H118)/H118))</f>
        <v>-1</v>
      </c>
      <c r="M118" s="7" t="str">
        <f aca="false">IF(AND(OR(C118&lt;&gt;0,H118&lt;&gt;0),D118=0,I118=0),"DROP",IF(AND(OR(D118&lt;&gt;0,I118&lt;&gt;0),C118=0,H118=0),"NEW",""))</f>
        <v>DROP</v>
      </c>
    </row>
    <row r="119" customFormat="false" ht="15" hidden="false" customHeight="false" outlineLevel="0" collapsed="false">
      <c r="A119" s="7" t="s">
        <v>436</v>
      </c>
      <c r="B119" s="7" t="str">
        <f aca="false">IFERROR(INDEX('Source'!$C:$C,MATCH($A119,'Source'!$B:$B,0)),"")</f>
        <v>חגורת שבר לצד ימין</v>
      </c>
      <c r="C119" s="8" t="n">
        <f aca="false">SUMIFS('Source'!$D:$D,'Source'!$A:$A,"151209 רוני אורטופדיה  בע""מ - רמבם",'Source'!$B:$B,$A119)</f>
        <v>5</v>
      </c>
      <c r="D119" s="8" t="n">
        <f aca="false">SUMIFS('Source'!$F:$F,'Source'!$A:$A,"151209 רוני אורטופדיה  בע""מ - רמבם",'Source'!$B:$B,$A119)</f>
        <v>4</v>
      </c>
      <c r="E119" s="8" t="n">
        <f aca="false">D119*$J$5</f>
        <v>5.05263157894737</v>
      </c>
      <c r="F119" s="8" t="n">
        <f aca="false">E119-C119</f>
        <v>0.0526315789473681</v>
      </c>
      <c r="G119" s="9" t="n">
        <f aca="false">IF(AND(C119=0,E119=0),0,IF(C119=0,"New",(E119-C119)/C119))</f>
        <v>0.0105263157894736</v>
      </c>
      <c r="H119" s="8" t="n">
        <f aca="false">SUMIFS('Source'!$E:$E,'Source'!$A:$A,"151209 רוני אורטופדיה  בע""מ - רמבם",'Source'!$B:$B,$A119)</f>
        <v>650.76</v>
      </c>
      <c r="I119" s="8" t="n">
        <f aca="false">SUMIFS('Source'!$G:$G,'Source'!$A:$A,"151209 רוני אורטופדיה  בע""מ - רמבם",'Source'!$B:$B,$A119)</f>
        <v>560</v>
      </c>
      <c r="J119" s="8" t="n">
        <f aca="false">I119*$J$5</f>
        <v>707.368421052632</v>
      </c>
      <c r="K119" s="8" t="n">
        <f aca="false">J119-H119</f>
        <v>56.6084210526316</v>
      </c>
      <c r="L119" s="9" t="n">
        <f aca="false">IF(AND(H119=0,J119=0),0,IF(H119=0,"New",(J119-H119)/H119))</f>
        <v>0.0869881692984074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139</v>
      </c>
      <c r="B120" s="7" t="str">
        <f aca="false">IFERROR(INDEX('Source'!$C:$C,MATCH($A120,'Source'!$B:$B,0)),"")</f>
        <v>כפפת CTS שמאל</v>
      </c>
      <c r="C120" s="8" t="n">
        <f aca="false">SUMIFS('Source'!$D:$D,'Source'!$A:$A,"151209 רוני אורטופדיה  בע""מ - רמבם",'Source'!$B:$B,$A120)</f>
        <v>1</v>
      </c>
      <c r="D120" s="8" t="n">
        <f aca="false">SUMIFS('Source'!$F:$F,'Source'!$A:$A,"151209 רוני אורטופדיה  בע""מ - רמבם",'Source'!$B:$B,$A120)</f>
        <v>0</v>
      </c>
      <c r="E120" s="8" t="n">
        <f aca="false">D120*$J$5</f>
        <v>0</v>
      </c>
      <c r="F120" s="8" t="n">
        <f aca="false">E120-C120</f>
        <v>-1</v>
      </c>
      <c r="G120" s="9" t="n">
        <f aca="false">IF(AND(C120=0,E120=0),0,IF(C120=0,"New",(E120-C120)/C120))</f>
        <v>-1</v>
      </c>
      <c r="H120" s="8" t="n">
        <f aca="false">SUMIFS('Source'!$E:$E,'Source'!$A:$A,"151209 רוני אורטופדיה  בע""מ - רמבם",'Source'!$B:$B,$A120)</f>
        <v>90</v>
      </c>
      <c r="I120" s="8" t="n">
        <f aca="false">SUMIFS('Source'!$G:$G,'Source'!$A:$A,"151209 רוני אורטופדיה  בע""מ - רמבם",'Source'!$B:$B,$A120)</f>
        <v>0</v>
      </c>
      <c r="J120" s="8" t="n">
        <f aca="false">I120*$J$5</f>
        <v>0</v>
      </c>
      <c r="K120" s="8" t="n">
        <f aca="false">J120-H120</f>
        <v>-90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114</v>
      </c>
      <c r="B121" s="7" t="str">
        <f aca="false">IFERROR(INDEX('Source'!$C:$C,MATCH($A121,'Source'!$B:$B,0)),"")</f>
        <v>כפפת CTS ימין</v>
      </c>
      <c r="C121" s="8" t="n">
        <f aca="false">SUMIFS('Source'!$D:$D,'Source'!$A:$A,"151209 רוני אורטופדיה  בע""מ - רמבם",'Source'!$B:$B,$A121)</f>
        <v>1</v>
      </c>
      <c r="D121" s="8" t="n">
        <f aca="false">SUMIFS('Source'!$F:$F,'Source'!$A:$A,"151209 רוני אורטופדיה  בע""מ - רמבם",'Source'!$B:$B,$A121)</f>
        <v>2</v>
      </c>
      <c r="E121" s="8" t="n">
        <f aca="false">D121*$J$5</f>
        <v>2.52631578947368</v>
      </c>
      <c r="F121" s="8" t="n">
        <f aca="false">E121-C121</f>
        <v>1.52631578947368</v>
      </c>
      <c r="G121" s="9" t="n">
        <f aca="false">IF(AND(C121=0,E121=0),0,IF(C121=0,"New",(E121-C121)/C121))</f>
        <v>1.52631578947368</v>
      </c>
      <c r="H121" s="8" t="n">
        <f aca="false">SUMIFS('Source'!$E:$E,'Source'!$A:$A,"151209 רוני אורטופדיה  בע""מ - רמבם",'Source'!$B:$B,$A121)</f>
        <v>90</v>
      </c>
      <c r="I121" s="8" t="n">
        <f aca="false">SUMIFS('Source'!$G:$G,'Source'!$A:$A,"151209 רוני אורטופדיה  בע""מ - רמבם",'Source'!$B:$B,$A121)</f>
        <v>180</v>
      </c>
      <c r="J121" s="8" t="n">
        <f aca="false">I121*$J$5</f>
        <v>227.368421052632</v>
      </c>
      <c r="K121" s="8" t="n">
        <f aca="false">J121-H121</f>
        <v>137.368421052632</v>
      </c>
      <c r="L121" s="9" t="n">
        <f aca="false">IF(AND(H121=0,J121=0),0,IF(H121=0,"New",(J121-H121)/H121))</f>
        <v>1.52631578947368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121</v>
      </c>
      <c r="B122" s="7" t="str">
        <f aca="false">IFERROR(INDEX('Source'!$C:$C,MATCH($A122,'Source'!$B:$B,0)),"")</f>
        <v>כפפת CTS שמאל</v>
      </c>
      <c r="C122" s="8" t="n">
        <f aca="false">SUMIFS('Source'!$D:$D,'Source'!$A:$A,"151209 רוני אורטופדיה  בע""מ - רמבם",'Source'!$B:$B,$A122)</f>
        <v>1</v>
      </c>
      <c r="D122" s="8" t="n">
        <f aca="false">SUMIFS('Source'!$F:$F,'Source'!$A:$A,"151209 רוני אורטופדיה  בע""מ - רמבם",'Source'!$B:$B,$A122)</f>
        <v>0</v>
      </c>
      <c r="E122" s="8" t="n">
        <f aca="false">D122*$J$5</f>
        <v>0</v>
      </c>
      <c r="F122" s="8" t="n">
        <f aca="false">E122-C122</f>
        <v>-1</v>
      </c>
      <c r="G122" s="9" t="n">
        <f aca="false">IF(AND(C122=0,E122=0),0,IF(C122=0,"New",(E122-C122)/C122))</f>
        <v>-1</v>
      </c>
      <c r="H122" s="8" t="n">
        <f aca="false">SUMIFS('Source'!$E:$E,'Source'!$A:$A,"151209 רוני אורטופדיה  בע""מ - רמבם",'Source'!$B:$B,$A122)</f>
        <v>90</v>
      </c>
      <c r="I122" s="8" t="n">
        <f aca="false">SUMIFS('Source'!$G:$G,'Source'!$A:$A,"151209 רוני אורטופדיה  בע""מ - רמבם",'Source'!$B:$B,$A122)</f>
        <v>0</v>
      </c>
      <c r="J122" s="8" t="n">
        <f aca="false">I122*$J$5</f>
        <v>0</v>
      </c>
      <c r="K122" s="8" t="n">
        <f aca="false">J122-H122</f>
        <v>-90</v>
      </c>
      <c r="L122" s="9" t="n">
        <f aca="false">IF(AND(H122=0,J122=0),0,IF(H122=0,"New",(J122-H122)/H122))</f>
        <v>-1</v>
      </c>
      <c r="M122" s="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false" outlineLevel="0" collapsed="false">
      <c r="A123" s="7" t="s">
        <v>120</v>
      </c>
      <c r="B123" s="7" t="str">
        <f aca="false">IFERROR(INDEX('Source'!$C:$C,MATCH($A123,'Source'!$B:$B,0)),"")</f>
        <v>כפפת CTS ימין</v>
      </c>
      <c r="C123" s="8" t="n">
        <f aca="false">SUMIFS('Source'!$D:$D,'Source'!$A:$A,"151209 רוני אורטופדיה  בע""מ - רמבם",'Source'!$B:$B,$A123)</f>
        <v>1</v>
      </c>
      <c r="D123" s="8" t="n">
        <f aca="false">SUMIFS('Source'!$F:$F,'Source'!$A:$A,"151209 רוני אורטופדיה  בע""מ - רמבם",'Source'!$B:$B,$A123)</f>
        <v>0</v>
      </c>
      <c r="E123" s="8" t="n">
        <f aca="false">D123*$J$5</f>
        <v>0</v>
      </c>
      <c r="F123" s="8" t="n">
        <f aca="false">E123-C123</f>
        <v>-1</v>
      </c>
      <c r="G123" s="9" t="n">
        <f aca="false">IF(AND(C123=0,E123=0),0,IF(C123=0,"New",(E123-C123)/C123))</f>
        <v>-1</v>
      </c>
      <c r="H123" s="8" t="n">
        <f aca="false">SUMIFS('Source'!$E:$E,'Source'!$A:$A,"151209 רוני אורטופדיה  בע""מ - רמבם",'Source'!$B:$B,$A123)</f>
        <v>90</v>
      </c>
      <c r="I123" s="8" t="n">
        <f aca="false">SUMIFS('Source'!$G:$G,'Source'!$A:$A,"151209 רוני אורטופדיה  בע""מ - רמבם",'Source'!$B:$B,$A123)</f>
        <v>0</v>
      </c>
      <c r="J123" s="8" t="n">
        <f aca="false">I123*$J$5</f>
        <v>0</v>
      </c>
      <c r="K123" s="8" t="n">
        <f aca="false">J123-H123</f>
        <v>-90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116</v>
      </c>
      <c r="B124" s="7" t="str">
        <f aca="false">IFERROR(INDEX('Source'!$C:$C,MATCH($A124,'Source'!$B:$B,0)),"")</f>
        <v>כפפת CTS ימין</v>
      </c>
      <c r="C124" s="8" t="n">
        <f aca="false">SUMIFS('Source'!$D:$D,'Source'!$A:$A,"151209 רוני אורטופדיה  בע""מ - רמבם",'Source'!$B:$B,$A124)</f>
        <v>1</v>
      </c>
      <c r="D124" s="8" t="n">
        <f aca="false">SUMIFS('Source'!$F:$F,'Source'!$A:$A,"151209 רוני אורטופדיה  בע""מ - רמבם",'Source'!$B:$B,$A124)</f>
        <v>0</v>
      </c>
      <c r="E124" s="8" t="n">
        <f aca="false">D124*$J$5</f>
        <v>0</v>
      </c>
      <c r="F124" s="8" t="n">
        <f aca="false">E124-C124</f>
        <v>-1</v>
      </c>
      <c r="G124" s="9" t="n">
        <f aca="false">IF(AND(C124=0,E124=0),0,IF(C124=0,"New",(E124-C124)/C124))</f>
        <v>-1</v>
      </c>
      <c r="H124" s="8" t="n">
        <f aca="false">SUMIFS('Source'!$E:$E,'Source'!$A:$A,"151209 רוני אורטופדיה  בע""מ - רמבם",'Source'!$B:$B,$A124)</f>
        <v>90</v>
      </c>
      <c r="I124" s="8" t="n">
        <f aca="false">SUMIFS('Source'!$G:$G,'Source'!$A:$A,"151209 רוני אורטופדיה  בע""מ - רמבם",'Source'!$B:$B,$A124)</f>
        <v>0</v>
      </c>
      <c r="J124" s="8" t="n">
        <f aca="false">I124*$J$5</f>
        <v>0</v>
      </c>
      <c r="K124" s="8" t="n">
        <f aca="false">J124-H124</f>
        <v>-90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146</v>
      </c>
      <c r="B125" s="7" t="str">
        <f aca="false">IFERROR(INDEX('Source'!$C:$C,MATCH($A125,'Source'!$B:$B,0)),"")</f>
        <v>כפפת CTS שמאל</v>
      </c>
      <c r="C125" s="8" t="n">
        <f aca="false">SUMIFS('Source'!$D:$D,'Source'!$A:$A,"151209 רוני אורטופדיה  בע""מ - רמבם",'Source'!$B:$B,$A125)</f>
        <v>1</v>
      </c>
      <c r="D125" s="8" t="n">
        <f aca="false">SUMIFS('Source'!$F:$F,'Source'!$A:$A,"151209 רוני אורטופדיה  בע""מ - רמבם",'Source'!$B:$B,$A125)</f>
        <v>0</v>
      </c>
      <c r="E125" s="8" t="n">
        <f aca="false">D125*$J$5</f>
        <v>0</v>
      </c>
      <c r="F125" s="8" t="n">
        <f aca="false">E125-C125</f>
        <v>-1</v>
      </c>
      <c r="G125" s="9" t="n">
        <f aca="false">IF(AND(C125=0,E125=0),0,IF(C125=0,"New",(E125-C125)/C125))</f>
        <v>-1</v>
      </c>
      <c r="H125" s="8" t="n">
        <f aca="false">SUMIFS('Source'!$E:$E,'Source'!$A:$A,"151209 רוני אורטופדיה  בע""מ - רמבם",'Source'!$B:$B,$A125)</f>
        <v>90</v>
      </c>
      <c r="I125" s="8" t="n">
        <f aca="false">SUMIFS('Source'!$G:$G,'Source'!$A:$A,"151209 רוני אורטופדיה  בע""מ - רמבם",'Source'!$B:$B,$A125)</f>
        <v>0</v>
      </c>
      <c r="J125" s="8" t="n">
        <f aca="false">I125*$J$5</f>
        <v>0</v>
      </c>
      <c r="K125" s="8" t="n">
        <f aca="false">J125-H125</f>
        <v>-90</v>
      </c>
      <c r="L125" s="9" t="n">
        <f aca="false">IF(AND(H125=0,J125=0),0,IF(H125=0,"New",(J125-H125)/H125))</f>
        <v>-1</v>
      </c>
      <c r="M125" s="7" t="str">
        <f aca="false">IF(AND(OR(C125&lt;&gt;0,H125&lt;&gt;0),D125=0,I125=0),"DROP",IF(AND(OR(D125&lt;&gt;0,I125&lt;&gt;0),C125=0,H125=0),"NEW",""))</f>
        <v>DROP</v>
      </c>
    </row>
    <row r="126" customFormat="false" ht="15" hidden="false" customHeight="false" outlineLevel="0" collapsed="false">
      <c r="A126" s="7" t="s">
        <v>327</v>
      </c>
      <c r="B126" s="7" t="str">
        <f aca="false">IFERROR(INDEX('Source'!$C:$C,MATCH($A126,'Source'!$B:$B,0)),"")</f>
        <v>חגורת גב+סגירה כפולה</v>
      </c>
      <c r="C126" s="8" t="n">
        <f aca="false">SUMIFS('Source'!$D:$D,'Source'!$A:$A,"151209 רוני אורטופדיה  בע""מ - רמבם",'Source'!$B:$B,$A126)</f>
        <v>1</v>
      </c>
      <c r="D126" s="8" t="n">
        <f aca="false">SUMIFS('Source'!$F:$F,'Source'!$A:$A,"151209 רוני אורטופדיה  בע""מ - רמבם",'Source'!$B:$B,$A126)</f>
        <v>0</v>
      </c>
      <c r="E126" s="8" t="n">
        <f aca="false">D126*$J$5</f>
        <v>0</v>
      </c>
      <c r="F126" s="8" t="n">
        <f aca="false">E126-C126</f>
        <v>-1</v>
      </c>
      <c r="G126" s="9" t="n">
        <f aca="false">IF(AND(C126=0,E126=0),0,IF(C126=0,"New",(E126-C126)/C126))</f>
        <v>-1</v>
      </c>
      <c r="H126" s="8" t="n">
        <f aca="false">SUMIFS('Source'!$E:$E,'Source'!$A:$A,"151209 רוני אורטופדיה  בע""מ - רמבם",'Source'!$B:$B,$A126)</f>
        <v>90</v>
      </c>
      <c r="I126" s="8" t="n">
        <f aca="false">SUMIFS('Source'!$G:$G,'Source'!$A:$A,"151209 רוני אורטופדיה  בע""מ - רמבם",'Source'!$B:$B,$A126)</f>
        <v>0</v>
      </c>
      <c r="J126" s="8" t="n">
        <f aca="false">I126*$J$5</f>
        <v>0</v>
      </c>
      <c r="K126" s="8" t="n">
        <f aca="false">J126-H126</f>
        <v>-90</v>
      </c>
      <c r="L126" s="9" t="n">
        <f aca="false">IF(AND(H126=0,J126=0),0,IF(H126=0,"New",(J126-H126)/H126))</f>
        <v>-1</v>
      </c>
      <c r="M126" s="7" t="str">
        <f aca="false">IF(AND(OR(C126&lt;&gt;0,H126&lt;&gt;0),D126=0,I126=0),"DROP",IF(AND(OR(D126&lt;&gt;0,I126&lt;&gt;0),C126=0,H126=0),"NEW",""))</f>
        <v>DROP</v>
      </c>
    </row>
    <row r="127" customFormat="false" ht="15" hidden="false" customHeight="false" outlineLevel="0" collapsed="false">
      <c r="A127" s="7" t="s">
        <v>158</v>
      </c>
      <c r="B127" s="7" t="str">
        <f aca="false">IFERROR(INDEX('Source'!$C:$C,MATCH($A127,'Source'!$B:$B,0)),"")</f>
        <v>חגורת קיבוע לכתף</v>
      </c>
      <c r="C127" s="8" t="n">
        <f aca="false">SUMIFS('Source'!$D:$D,'Source'!$A:$A,"151209 רוני אורטופדיה  בע""מ - רמבם",'Source'!$B:$B,$A127)</f>
        <v>1</v>
      </c>
      <c r="D127" s="8" t="n">
        <f aca="false">SUMIFS('Source'!$F:$F,'Source'!$A:$A,"151209 רוני אורטופדיה  בע""מ - רמבם",'Source'!$B:$B,$A127)</f>
        <v>0</v>
      </c>
      <c r="E127" s="8" t="n">
        <f aca="false">D127*$J$5</f>
        <v>0</v>
      </c>
      <c r="F127" s="8" t="n">
        <f aca="false">E127-C127</f>
        <v>-1</v>
      </c>
      <c r="G127" s="9" t="n">
        <f aca="false">IF(AND(C127=0,E127=0),0,IF(C127=0,"New",(E127-C127)/C127))</f>
        <v>-1</v>
      </c>
      <c r="H127" s="8" t="n">
        <f aca="false">SUMIFS('Source'!$E:$E,'Source'!$A:$A,"151209 רוני אורטופדיה  בע""מ - רמבם",'Source'!$B:$B,$A127)</f>
        <v>89.74</v>
      </c>
      <c r="I127" s="8" t="n">
        <f aca="false">SUMIFS('Source'!$G:$G,'Source'!$A:$A,"151209 רוני אורטופדיה  בע""מ - רמבם",'Source'!$B:$B,$A127)</f>
        <v>0</v>
      </c>
      <c r="J127" s="8" t="n">
        <f aca="false">I127*$J$5</f>
        <v>0</v>
      </c>
      <c r="K127" s="8" t="n">
        <f aca="false">J127-H127</f>
        <v>-89.74</v>
      </c>
      <c r="L127" s="9" t="n">
        <f aca="false">IF(AND(H127=0,J127=0),0,IF(H127=0,"New",(J127-H127)/H127))</f>
        <v>-1</v>
      </c>
      <c r="M127" s="7" t="str">
        <f aca="false">IF(AND(OR(C127&lt;&gt;0,H127&lt;&gt;0),D127=0,I127=0),"DROP",IF(AND(OR(D127&lt;&gt;0,I127&lt;&gt;0),C127=0,H127=0),"NEW",""))</f>
        <v>DROP</v>
      </c>
    </row>
    <row r="128" customFormat="false" ht="15" hidden="false" customHeight="false" outlineLevel="0" collapsed="false">
      <c r="A128" s="7" t="s">
        <v>358</v>
      </c>
      <c r="B128" s="7" t="str">
        <f aca="false">IFERROR(INDEX('Source'!$C:$C,MATCH($A128,'Source'!$B:$B,0)),"")</f>
        <v>חגורת קיבוע לכתף</v>
      </c>
      <c r="C128" s="8" t="n">
        <f aca="false">SUMIFS('Source'!$D:$D,'Source'!$A:$A,"151209 רוני אורטופדיה  בע""מ - רמבם",'Source'!$B:$B,$A128)</f>
        <v>1</v>
      </c>
      <c r="D128" s="8" t="n">
        <f aca="false">SUMIFS('Source'!$F:$F,'Source'!$A:$A,"151209 רוני אורטופדיה  בע""מ - רמבם",'Source'!$B:$B,$A128)</f>
        <v>0</v>
      </c>
      <c r="E128" s="8" t="n">
        <f aca="false">D128*$J$5</f>
        <v>0</v>
      </c>
      <c r="F128" s="8" t="n">
        <f aca="false">E128-C128</f>
        <v>-1</v>
      </c>
      <c r="G128" s="9" t="n">
        <f aca="false">IF(AND(C128=0,E128=0),0,IF(C128=0,"New",(E128-C128)/C128))</f>
        <v>-1</v>
      </c>
      <c r="H128" s="8" t="n">
        <f aca="false">SUMIFS('Source'!$E:$E,'Source'!$A:$A,"151209 רוני אורטופדיה  בע""מ - רמבם",'Source'!$B:$B,$A128)</f>
        <v>89.74</v>
      </c>
      <c r="I128" s="8" t="n">
        <f aca="false">SUMIFS('Source'!$G:$G,'Source'!$A:$A,"151209 רוני אורטופדיה  בע""מ - רמבם",'Source'!$B:$B,$A128)</f>
        <v>0</v>
      </c>
      <c r="J128" s="8" t="n">
        <f aca="false">I128*$J$5</f>
        <v>0</v>
      </c>
      <c r="K128" s="8" t="n">
        <f aca="false">J128-H128</f>
        <v>-89.74</v>
      </c>
      <c r="L128" s="9" t="n">
        <f aca="false">IF(AND(H128=0,J128=0),0,IF(H128=0,"New",(J128-H128)/H128))</f>
        <v>-1</v>
      </c>
      <c r="M128" s="7" t="str">
        <f aca="false">IF(AND(OR(C128&lt;&gt;0,H128&lt;&gt;0),D128=0,I128=0),"DROP",IF(AND(OR(D128&lt;&gt;0,I128&lt;&gt;0),C128=0,H128=0),"NEW",""))</f>
        <v>DROP</v>
      </c>
    </row>
    <row r="129" customFormat="false" ht="15" hidden="false" customHeight="false" outlineLevel="0" collapsed="false">
      <c r="A129" s="7" t="s">
        <v>995</v>
      </c>
      <c r="B129" s="7" t="str">
        <f aca="false">IFERROR(INDEX('Source'!$C:$C,MATCH($A129,'Source'!$B:$B,0)),"")</f>
        <v>מגן ירך רגיל</v>
      </c>
      <c r="C129" s="8" t="n">
        <f aca="false">SUMIFS('Source'!$D:$D,'Source'!$A:$A,"151209 רוני אורטופדיה  בע""מ - רמבם",'Source'!$B:$B,$A129)</f>
        <v>1</v>
      </c>
      <c r="D129" s="8" t="n">
        <f aca="false">SUMIFS('Source'!$F:$F,'Source'!$A:$A,"151209 רוני אורטופדיה  בע""מ - רמבם",'Source'!$B:$B,$A129)</f>
        <v>0</v>
      </c>
      <c r="E129" s="8" t="n">
        <f aca="false">D129*$J$5</f>
        <v>0</v>
      </c>
      <c r="F129" s="8" t="n">
        <f aca="false">E129-C129</f>
        <v>-1</v>
      </c>
      <c r="G129" s="9" t="n">
        <f aca="false">IF(AND(C129=0,E129=0),0,IF(C129=0,"New",(E129-C129)/C129))</f>
        <v>-1</v>
      </c>
      <c r="H129" s="8" t="n">
        <f aca="false">SUMIFS('Source'!$E:$E,'Source'!$A:$A,"151209 רוני אורטופדיה  בע""מ - רמבם",'Source'!$B:$B,$A129)</f>
        <v>85.26</v>
      </c>
      <c r="I129" s="8" t="n">
        <f aca="false">SUMIFS('Source'!$G:$G,'Source'!$A:$A,"151209 רוני אורטופדיה  בע""מ - רמבם",'Source'!$B:$B,$A129)</f>
        <v>0</v>
      </c>
      <c r="J129" s="8" t="n">
        <f aca="false">I129*$J$5</f>
        <v>0</v>
      </c>
      <c r="K129" s="8" t="n">
        <f aca="false">J129-H129</f>
        <v>-85.26</v>
      </c>
      <c r="L129" s="9" t="n">
        <f aca="false">IF(AND(H129=0,J129=0),0,IF(H129=0,"New",(J129-H129)/H129))</f>
        <v>-1</v>
      </c>
      <c r="M129" s="7" t="str">
        <f aca="false">IF(AND(OR(C129&lt;&gt;0,H129&lt;&gt;0),D129=0,I129=0),"DROP",IF(AND(OR(D129&lt;&gt;0,I129&lt;&gt;0),C129=0,H129=0),"NEW",""))</f>
        <v>DROP</v>
      </c>
    </row>
    <row r="130" customFormat="false" ht="15" hidden="false" customHeight="false" outlineLevel="0" collapsed="false">
      <c r="A130" s="7" t="s">
        <v>661</v>
      </c>
      <c r="B130" s="7" t="str">
        <f aca="false">IFERROR(INDEX('Source'!$C:$C,MATCH($A130,'Source'!$B:$B,0)),"")</f>
        <v>רפידת נוחות</v>
      </c>
      <c r="C130" s="8" t="n">
        <f aca="false">SUMIFS('Source'!$D:$D,'Source'!$A:$A,"151209 רוני אורטופדיה  בע""מ - רמבם",'Source'!$B:$B,$A130)</f>
        <v>6</v>
      </c>
      <c r="D130" s="8" t="n">
        <f aca="false">SUMIFS('Source'!$F:$F,'Source'!$A:$A,"151209 רוני אורטופדיה  בע""מ - רמבם",'Source'!$B:$B,$A130)</f>
        <v>0</v>
      </c>
      <c r="E130" s="8" t="n">
        <f aca="false">D130*$J$5</f>
        <v>0</v>
      </c>
      <c r="F130" s="8" t="n">
        <f aca="false">E130-C130</f>
        <v>-6</v>
      </c>
      <c r="G130" s="9" t="n">
        <f aca="false">IF(AND(C130=0,E130=0),0,IF(C130=0,"New",(E130-C130)/C130))</f>
        <v>-1</v>
      </c>
      <c r="H130" s="8" t="n">
        <f aca="false">SUMIFS('Source'!$E:$E,'Source'!$A:$A,"151209 רוני אורטופדיה  בע""מ - רמבם",'Source'!$B:$B,$A130)</f>
        <v>78.48</v>
      </c>
      <c r="I130" s="8" t="n">
        <f aca="false">SUMIFS('Source'!$G:$G,'Source'!$A:$A,"151209 רוני אורטופדיה  בע""מ - רמבם",'Source'!$B:$B,$A130)</f>
        <v>0</v>
      </c>
      <c r="J130" s="8" t="n">
        <f aca="false">I130*$J$5</f>
        <v>0</v>
      </c>
      <c r="K130" s="8" t="n">
        <f aca="false">J130-H130</f>
        <v>-78.48</v>
      </c>
      <c r="L130" s="9" t="n">
        <f aca="false">IF(AND(H130=0,J130=0),0,IF(H130=0,"New",(J130-H130)/H130))</f>
        <v>-1</v>
      </c>
      <c r="M130" s="7" t="str">
        <f aca="false">IF(AND(OR(C130&lt;&gt;0,H130&lt;&gt;0),D130=0,I130=0),"DROP",IF(AND(OR(D130&lt;&gt;0,I130&lt;&gt;0),C130=0,H130=0),"NEW",""))</f>
        <v>DROP</v>
      </c>
    </row>
    <row r="131" customFormat="false" ht="15" hidden="false" customHeight="false" outlineLevel="0" collapsed="false">
      <c r="A131" s="7" t="s">
        <v>126</v>
      </c>
      <c r="B131" s="7" t="str">
        <f aca="false">IFERROR(INDEX('Source'!$C:$C,MATCH($A131,'Source'!$B:$B,0)),"")</f>
        <v>חבק יד SC25</v>
      </c>
      <c r="C131" s="8" t="n">
        <f aca="false">SUMIFS('Source'!$D:$D,'Source'!$A:$A,"151209 רוני אורטופדיה  בע""מ - רמבם",'Source'!$B:$B,$A131)</f>
        <v>2</v>
      </c>
      <c r="D131" s="8" t="n">
        <f aca="false">SUMIFS('Source'!$F:$F,'Source'!$A:$A,"151209 רוני אורטופדיה  בע""מ - רמבם",'Source'!$B:$B,$A131)</f>
        <v>1</v>
      </c>
      <c r="E131" s="8" t="n">
        <f aca="false">D131*$J$5</f>
        <v>1.26315789473684</v>
      </c>
      <c r="F131" s="8" t="n">
        <f aca="false">E131-C131</f>
        <v>-0.736842105263158</v>
      </c>
      <c r="G131" s="9" t="n">
        <f aca="false">IF(AND(C131=0,E131=0),0,IF(C131=0,"New",(E131-C131)/C131))</f>
        <v>-0.368421052631579</v>
      </c>
      <c r="H131" s="8" t="n">
        <f aca="false">SUMIFS('Source'!$E:$E,'Source'!$A:$A,"151209 רוני אורטופדיה  בע""מ - רמבם",'Source'!$B:$B,$A131)</f>
        <v>170.97</v>
      </c>
      <c r="I131" s="8" t="n">
        <f aca="false">SUMIFS('Source'!$G:$G,'Source'!$A:$A,"151209 רוני אורטופדיה  בע""מ - רמבם",'Source'!$B:$B,$A131)</f>
        <v>93.67</v>
      </c>
      <c r="J131" s="8" t="n">
        <f aca="false">I131*$J$5</f>
        <v>118.32</v>
      </c>
      <c r="K131" s="8" t="n">
        <f aca="false">J131-H131</f>
        <v>-52.65</v>
      </c>
      <c r="L131" s="9" t="n">
        <f aca="false">IF(AND(H131=0,J131=0),0,IF(H131=0,"New",(J131-H131)/H131))</f>
        <v>-0.307948762940867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259</v>
      </c>
      <c r="B132" s="7" t="str">
        <f aca="false">IFERROR(INDEX('Source'!$C:$C,MATCH($A132,'Source'!$B:$B,0)),"")</f>
        <v>מגן מופק SC95</v>
      </c>
      <c r="C132" s="8" t="n">
        <f aca="false">SUMIFS('Source'!$D:$D,'Source'!$A:$A,"151209 רוני אורטופדיה  בע""מ - רמבם",'Source'!$B:$B,$A132)</f>
        <v>1</v>
      </c>
      <c r="D132" s="8" t="n">
        <f aca="false">SUMIFS('Source'!$F:$F,'Source'!$A:$A,"151209 רוני אורטופדיה  בע""מ - רמבם",'Source'!$B:$B,$A132)</f>
        <v>0</v>
      </c>
      <c r="E132" s="8" t="n">
        <f aca="false">D132*$J$5</f>
        <v>0</v>
      </c>
      <c r="F132" s="8" t="n">
        <f aca="false">E132-C132</f>
        <v>-1</v>
      </c>
      <c r="G132" s="9" t="n">
        <f aca="false">IF(AND(C132=0,E132=0),0,IF(C132=0,"New",(E132-C132)/C132))</f>
        <v>-1</v>
      </c>
      <c r="H132" s="8" t="n">
        <f aca="false">SUMIFS('Source'!$E:$E,'Source'!$A:$A,"151209 רוני אורטופדיה  בע""מ - רמבם",'Source'!$B:$B,$A132)</f>
        <v>77.3</v>
      </c>
      <c r="I132" s="8" t="n">
        <f aca="false">SUMIFS('Source'!$G:$G,'Source'!$A:$A,"151209 רוני אורטופדיה  בע""מ - רמבם",'Source'!$B:$B,$A132)</f>
        <v>0</v>
      </c>
      <c r="J132" s="8" t="n">
        <f aca="false">I132*$J$5</f>
        <v>0</v>
      </c>
      <c r="K132" s="8" t="n">
        <f aca="false">J132-H132</f>
        <v>-77.3</v>
      </c>
      <c r="L132" s="9" t="n">
        <f aca="false">IF(AND(H132=0,J132=0),0,IF(H132=0,"New",(J132-H132)/H132))</f>
        <v>-1</v>
      </c>
      <c r="M132" s="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false" outlineLevel="0" collapsed="false">
      <c r="A133" s="7" t="s">
        <v>240</v>
      </c>
      <c r="B133" s="7" t="str">
        <f aca="false">IFERROR(INDEX('Source'!$C:$C,MATCH($A133,'Source'!$B:$B,0)),"")</f>
        <v>מגן קרסול ימין SC35</v>
      </c>
      <c r="C133" s="8" t="n">
        <f aca="false">SUMIFS('Source'!$D:$D,'Source'!$A:$A,"151209 רוני אורטופדיה  בע""מ - רמבם",'Source'!$B:$B,$A133)</f>
        <v>1</v>
      </c>
      <c r="D133" s="8" t="n">
        <f aca="false">SUMIFS('Source'!$F:$F,'Source'!$A:$A,"151209 רוני אורטופדיה  בע""מ - רמבם",'Source'!$B:$B,$A133)</f>
        <v>0</v>
      </c>
      <c r="E133" s="8" t="n">
        <f aca="false">D133*$J$5</f>
        <v>0</v>
      </c>
      <c r="F133" s="8" t="n">
        <f aca="false">E133-C133</f>
        <v>-1</v>
      </c>
      <c r="G133" s="9" t="n">
        <f aca="false">IF(AND(C133=0,E133=0),0,IF(C133=0,"New",(E133-C133)/C133))</f>
        <v>-1</v>
      </c>
      <c r="H133" s="8" t="n">
        <f aca="false">SUMIFS('Source'!$E:$E,'Source'!$A:$A,"151209 רוני אורטופדיה  בע""מ - רמבם",'Source'!$B:$B,$A133)</f>
        <v>77.29</v>
      </c>
      <c r="I133" s="8" t="n">
        <f aca="false">SUMIFS('Source'!$G:$G,'Source'!$A:$A,"151209 רוני אורטופדיה  בע""מ - רמבם",'Source'!$B:$B,$A133)</f>
        <v>0</v>
      </c>
      <c r="J133" s="8" t="n">
        <f aca="false">I133*$J$5</f>
        <v>0</v>
      </c>
      <c r="K133" s="8" t="n">
        <f aca="false">J133-H133</f>
        <v>-77.29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759</v>
      </c>
      <c r="B134" s="7" t="str">
        <f aca="false">IFERROR(INDEX('Source'!$C:$C,MATCH($A134,'Source'!$B:$B,0)),"")</f>
        <v>מגן קרסול ימין SC35</v>
      </c>
      <c r="C134" s="8" t="n">
        <f aca="false">SUMIFS('Source'!$D:$D,'Source'!$A:$A,"151209 רוני אורטופדיה  בע""מ - רמבם",'Source'!$B:$B,$A134)</f>
        <v>1</v>
      </c>
      <c r="D134" s="8" t="n">
        <f aca="false">SUMIFS('Source'!$F:$F,'Source'!$A:$A,"151209 רוני אורטופדיה  בע""מ - רמבם",'Source'!$B:$B,$A134)</f>
        <v>0</v>
      </c>
      <c r="E134" s="8" t="n">
        <f aca="false">D134*$J$5</f>
        <v>0</v>
      </c>
      <c r="F134" s="8" t="n">
        <f aca="false">E134-C134</f>
        <v>-1</v>
      </c>
      <c r="G134" s="9" t="n">
        <f aca="false">IF(AND(C134=0,E134=0),0,IF(C134=0,"New",(E134-C134)/C134))</f>
        <v>-1</v>
      </c>
      <c r="H134" s="8" t="n">
        <f aca="false">SUMIFS('Source'!$E:$E,'Source'!$A:$A,"151209 רוני אורטופדיה  בע""מ - רמבם",'Source'!$B:$B,$A134)</f>
        <v>77.29</v>
      </c>
      <c r="I134" s="8" t="n">
        <f aca="false">SUMIFS('Source'!$G:$G,'Source'!$A:$A,"151209 רוני אורטופדיה  בע""מ - רמבם",'Source'!$B:$B,$A134)</f>
        <v>0</v>
      </c>
      <c r="J134" s="8" t="n">
        <f aca="false">I134*$J$5</f>
        <v>0</v>
      </c>
      <c r="K134" s="8" t="n">
        <f aca="false">J134-H134</f>
        <v>-77.29</v>
      </c>
      <c r="L134" s="9" t="n">
        <f aca="false">IF(AND(H134=0,J134=0),0,IF(H134=0,"New",(J134-H134)/H134))</f>
        <v>-1</v>
      </c>
      <c r="M134" s="7" t="str">
        <f aca="false">IF(AND(OR(C134&lt;&gt;0,H134&lt;&gt;0),D134=0,I134=0),"DROP",IF(AND(OR(D134&lt;&gt;0,I134&lt;&gt;0),C134=0,H134=0),"NEW",""))</f>
        <v>DROP</v>
      </c>
    </row>
    <row r="135" customFormat="false" ht="15" hidden="false" customHeight="false" outlineLevel="0" collapsed="false">
      <c r="A135" s="7" t="s">
        <v>283</v>
      </c>
      <c r="B135" s="7" t="str">
        <f aca="false">IFERROR(INDEX('Source'!$C:$C,MATCH($A135,'Source'!$B:$B,0)),"")</f>
        <v>חבק יד SC25</v>
      </c>
      <c r="C135" s="8" t="n">
        <f aca="false">SUMIFS('Source'!$D:$D,'Source'!$A:$A,"151209 רוני אורטופדיה  בע""מ - רמבם",'Source'!$B:$B,$A135)</f>
        <v>1</v>
      </c>
      <c r="D135" s="8" t="n">
        <f aca="false">SUMIFS('Source'!$F:$F,'Source'!$A:$A,"151209 רוני אורטופדיה  בע""מ - רמבם",'Source'!$B:$B,$A135)</f>
        <v>0</v>
      </c>
      <c r="E135" s="8" t="n">
        <f aca="false">D135*$J$5</f>
        <v>0</v>
      </c>
      <c r="F135" s="8" t="n">
        <f aca="false">E135-C135</f>
        <v>-1</v>
      </c>
      <c r="G135" s="9" t="n">
        <f aca="false">IF(AND(C135=0,E135=0),0,IF(C135=0,"New",(E135-C135)/C135))</f>
        <v>-1</v>
      </c>
      <c r="H135" s="8" t="n">
        <f aca="false">SUMIFS('Source'!$E:$E,'Source'!$A:$A,"151209 רוני אורטופדיה  בע""מ - רמבם",'Source'!$B:$B,$A135)</f>
        <v>77.29</v>
      </c>
      <c r="I135" s="8" t="n">
        <f aca="false">SUMIFS('Source'!$G:$G,'Source'!$A:$A,"151209 רוני אורטופדיה  בע""מ - רמבם",'Source'!$B:$B,$A135)</f>
        <v>0</v>
      </c>
      <c r="J135" s="8" t="n">
        <f aca="false">I135*$J$5</f>
        <v>0</v>
      </c>
      <c r="K135" s="8" t="n">
        <f aca="false">J135-H135</f>
        <v>-77.29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258</v>
      </c>
      <c r="B136" s="7" t="str">
        <f aca="false">IFERROR(INDEX('Source'!$C:$C,MATCH($A136,'Source'!$B:$B,0)),"")</f>
        <v>מגן מרפק SC95 XL</v>
      </c>
      <c r="C136" s="8" t="n">
        <f aca="false">SUMIFS('Source'!$D:$D,'Source'!$A:$A,"151209 רוני אורטופדיה  בע""מ - רמבם",'Source'!$B:$B,$A136)</f>
        <v>1</v>
      </c>
      <c r="D136" s="8" t="n">
        <f aca="false">SUMIFS('Source'!$F:$F,'Source'!$A:$A,"151209 רוני אורטופדיה  בע""מ - רמבם",'Source'!$B:$B,$A136)</f>
        <v>0</v>
      </c>
      <c r="E136" s="8" t="n">
        <f aca="false">D136*$J$5</f>
        <v>0</v>
      </c>
      <c r="F136" s="8" t="n">
        <f aca="false">E136-C136</f>
        <v>-1</v>
      </c>
      <c r="G136" s="9" t="n">
        <f aca="false">IF(AND(C136=0,E136=0),0,IF(C136=0,"New",(E136-C136)/C136))</f>
        <v>-1</v>
      </c>
      <c r="H136" s="8" t="n">
        <f aca="false">SUMIFS('Source'!$E:$E,'Source'!$A:$A,"151209 רוני אורטופדיה  בע""מ - רמבם",'Source'!$B:$B,$A136)</f>
        <v>77.29</v>
      </c>
      <c r="I136" s="8" t="n">
        <f aca="false">SUMIFS('Source'!$G:$G,'Source'!$A:$A,"151209 רוני אורטופדיה  בע""מ - רמבם",'Source'!$B:$B,$A136)</f>
        <v>0</v>
      </c>
      <c r="J136" s="8" t="n">
        <f aca="false">I136*$J$5</f>
        <v>0</v>
      </c>
      <c r="K136" s="8" t="n">
        <f aca="false">J136-H136</f>
        <v>-77.29</v>
      </c>
      <c r="L136" s="9" t="n">
        <f aca="false">IF(AND(H136=0,J136=0),0,IF(H136=0,"New",(J136-H136)/H136))</f>
        <v>-1</v>
      </c>
      <c r="M136" s="7" t="str">
        <f aca="false">IF(AND(OR(C136&lt;&gt;0,H136&lt;&gt;0),D136=0,I136=0),"DROP",IF(AND(OR(D136&lt;&gt;0,I136&lt;&gt;0),C136=0,H136=0),"NEW",""))</f>
        <v>DROP</v>
      </c>
    </row>
    <row r="137" customFormat="false" ht="15" hidden="false" customHeight="false" outlineLevel="0" collapsed="false">
      <c r="A137" s="7" t="s">
        <v>739</v>
      </c>
      <c r="B137" s="7" t="str">
        <f aca="false">IFERROR(INDEX('Source'!$C:$C,MATCH($A137,'Source'!$B:$B,0)),"")</f>
        <v>מגן קרסול שמאל SC35</v>
      </c>
      <c r="C137" s="8" t="n">
        <f aca="false">SUMIFS('Source'!$D:$D,'Source'!$A:$A,"151209 רוני אורטופדיה  בע""מ - רמבם",'Source'!$B:$B,$A137)</f>
        <v>1</v>
      </c>
      <c r="D137" s="8" t="n">
        <f aca="false">SUMIFS('Source'!$F:$F,'Source'!$A:$A,"151209 רוני אורטופדיה  בע""מ - רמבם",'Source'!$B:$B,$A137)</f>
        <v>0</v>
      </c>
      <c r="E137" s="8" t="n">
        <f aca="false">D137*$J$5</f>
        <v>0</v>
      </c>
      <c r="F137" s="8" t="n">
        <f aca="false">E137-C137</f>
        <v>-1</v>
      </c>
      <c r="G137" s="9" t="n">
        <f aca="false">IF(AND(C137=0,E137=0),0,IF(C137=0,"New",(E137-C137)/C137))</f>
        <v>-1</v>
      </c>
      <c r="H137" s="8" t="n">
        <f aca="false">SUMIFS('Source'!$E:$E,'Source'!$A:$A,"151209 רוני אורטופדיה  בע""מ - רמבם",'Source'!$B:$B,$A137)</f>
        <v>77.29</v>
      </c>
      <c r="I137" s="8" t="n">
        <f aca="false">SUMIFS('Source'!$G:$G,'Source'!$A:$A,"151209 רוני אורטופדיה  בע""מ - רמבם",'Source'!$B:$B,$A137)</f>
        <v>0</v>
      </c>
      <c r="J137" s="8" t="n">
        <f aca="false">I137*$J$5</f>
        <v>0</v>
      </c>
      <c r="K137" s="8" t="n">
        <f aca="false">J137-H137</f>
        <v>-77.29</v>
      </c>
      <c r="L137" s="9" t="n">
        <f aca="false">IF(AND(H137=0,J137=0),0,IF(H137=0,"New",(J137-H137)/H137))</f>
        <v>-1</v>
      </c>
      <c r="M137" s="7" t="str">
        <f aca="false">IF(AND(OR(C137&lt;&gt;0,H137&lt;&gt;0),D137=0,I137=0),"DROP",IF(AND(OR(D137&lt;&gt;0,I137&lt;&gt;0),C137=0,H137=0),"NEW",""))</f>
        <v>DROP</v>
      </c>
    </row>
    <row r="138" customFormat="false" ht="15" hidden="false" customHeight="false" outlineLevel="0" collapsed="false">
      <c r="A138" s="7" t="s">
        <v>295</v>
      </c>
      <c r="B138" s="7" t="str">
        <f aca="false">IFERROR(INDEX('Source'!$C:$C,MATCH($A138,'Source'!$B:$B,0)),"")</f>
        <v>מגן קרסול שמאל SC35</v>
      </c>
      <c r="C138" s="8" t="n">
        <f aca="false">SUMIFS('Source'!$D:$D,'Source'!$A:$A,"151209 רוני אורטופדיה  בע""מ - רמבם",'Source'!$B:$B,$A138)</f>
        <v>1</v>
      </c>
      <c r="D138" s="8" t="n">
        <f aca="false">SUMIFS('Source'!$F:$F,'Source'!$A:$A,"151209 רוני אורטופדיה  בע""מ - רמבם",'Source'!$B:$B,$A138)</f>
        <v>0</v>
      </c>
      <c r="E138" s="8" t="n">
        <f aca="false">D138*$J$5</f>
        <v>0</v>
      </c>
      <c r="F138" s="8" t="n">
        <f aca="false">E138-C138</f>
        <v>-1</v>
      </c>
      <c r="G138" s="9" t="n">
        <f aca="false">IF(AND(C138=0,E138=0),0,IF(C138=0,"New",(E138-C138)/C138))</f>
        <v>-1</v>
      </c>
      <c r="H138" s="8" t="n">
        <f aca="false">SUMIFS('Source'!$E:$E,'Source'!$A:$A,"151209 רוני אורטופדיה  בע""מ - רמבם",'Source'!$B:$B,$A138)</f>
        <v>77.29</v>
      </c>
      <c r="I138" s="8" t="n">
        <f aca="false">SUMIFS('Source'!$G:$G,'Source'!$A:$A,"151209 רוני אורטופדיה  בע""מ - רמבם",'Source'!$B:$B,$A138)</f>
        <v>0</v>
      </c>
      <c r="J138" s="8" t="n">
        <f aca="false">I138*$J$5</f>
        <v>0</v>
      </c>
      <c r="K138" s="8" t="n">
        <f aca="false">J138-H138</f>
        <v>-77.29</v>
      </c>
      <c r="L138" s="9" t="n">
        <f aca="false">IF(AND(H138=0,J138=0),0,IF(H138=0,"New",(J138-H138)/H138))</f>
        <v>-1</v>
      </c>
      <c r="M138" s="7" t="str">
        <f aca="false">IF(AND(OR(C138&lt;&gt;0,H138&lt;&gt;0),D138=0,I138=0),"DROP",IF(AND(OR(D138&lt;&gt;0,I138&lt;&gt;0),C138=0,H138=0),"NEW",""))</f>
        <v>DROP</v>
      </c>
    </row>
    <row r="139" customFormat="false" ht="15" hidden="false" customHeight="false" outlineLevel="0" collapsed="false">
      <c r="A139" s="7" t="s">
        <v>424</v>
      </c>
      <c r="B139" s="7" t="str">
        <f aca="false">IFERROR(INDEX('Source'!$C:$C,MATCH($A139,'Source'!$B:$B,0)),"")</f>
        <v>מגן קרסול שמאלSC35</v>
      </c>
      <c r="C139" s="8" t="n">
        <f aca="false">SUMIFS('Source'!$D:$D,'Source'!$A:$A,"151209 רוני אורטופדיה  בע""מ - רמבם",'Source'!$B:$B,$A139)</f>
        <v>1</v>
      </c>
      <c r="D139" s="8" t="n">
        <f aca="false">SUMIFS('Source'!$F:$F,'Source'!$A:$A,"151209 רוני אורטופדיה  בע""מ - רמבם",'Source'!$B:$B,$A139)</f>
        <v>0</v>
      </c>
      <c r="E139" s="8" t="n">
        <f aca="false">D139*$J$5</f>
        <v>0</v>
      </c>
      <c r="F139" s="8" t="n">
        <f aca="false">E139-C139</f>
        <v>-1</v>
      </c>
      <c r="G139" s="9" t="n">
        <f aca="false">IF(AND(C139=0,E139=0),0,IF(C139=0,"New",(E139-C139)/C139))</f>
        <v>-1</v>
      </c>
      <c r="H139" s="8" t="n">
        <f aca="false">SUMIFS('Source'!$E:$E,'Source'!$A:$A,"151209 רוני אורטופדיה  בע""מ - רמבם",'Source'!$B:$B,$A139)</f>
        <v>77.29</v>
      </c>
      <c r="I139" s="8" t="n">
        <f aca="false">SUMIFS('Source'!$G:$G,'Source'!$A:$A,"151209 רוני אורטופדיה  בע""מ - רמבם",'Source'!$B:$B,$A139)</f>
        <v>0</v>
      </c>
      <c r="J139" s="8" t="n">
        <f aca="false">I139*$J$5</f>
        <v>0</v>
      </c>
      <c r="K139" s="8" t="n">
        <f aca="false">J139-H139</f>
        <v>-77.29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157</v>
      </c>
      <c r="B140" s="7" t="str">
        <f aca="false">IFERROR(INDEX('Source'!$C:$C,MATCH($A140,'Source'!$B:$B,0)),"")</f>
        <v>חבק יד SC25</v>
      </c>
      <c r="C140" s="8" t="n">
        <f aca="false">SUMIFS('Source'!$D:$D,'Source'!$A:$A,"151209 רוני אורטופדיה  בע""מ - רמבם",'Source'!$B:$B,$A140)</f>
        <v>1</v>
      </c>
      <c r="D140" s="8" t="n">
        <f aca="false">SUMIFS('Source'!$F:$F,'Source'!$A:$A,"151209 רוני אורטופדיה  בע""מ - רמבם",'Source'!$B:$B,$A140)</f>
        <v>0</v>
      </c>
      <c r="E140" s="8" t="n">
        <f aca="false">D140*$J$5</f>
        <v>0</v>
      </c>
      <c r="F140" s="8" t="n">
        <f aca="false">E140-C140</f>
        <v>-1</v>
      </c>
      <c r="G140" s="9" t="n">
        <f aca="false">IF(AND(C140=0,E140=0),0,IF(C140=0,"New",(E140-C140)/C140))</f>
        <v>-1</v>
      </c>
      <c r="H140" s="8" t="n">
        <f aca="false">SUMIFS('Source'!$E:$E,'Source'!$A:$A,"151209 רוני אורטופדיה  בע""מ - רמבם",'Source'!$B:$B,$A140)</f>
        <v>77.29</v>
      </c>
      <c r="I140" s="8" t="n">
        <f aca="false">SUMIFS('Source'!$G:$G,'Source'!$A:$A,"151209 רוני אורטופדיה  בע""מ - רמבם",'Source'!$B:$B,$A140)</f>
        <v>0</v>
      </c>
      <c r="J140" s="8" t="n">
        <f aca="false">I140*$J$5</f>
        <v>0</v>
      </c>
      <c r="K140" s="8" t="n">
        <f aca="false">J140-H140</f>
        <v>-77.29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791</v>
      </c>
      <c r="B141" s="7" t="str">
        <f aca="false">IFERROR(INDEX('Source'!$C:$C,MATCH($A141,'Source'!$B:$B,0)),"")</f>
        <v>מגן קרסול ימין SC35</v>
      </c>
      <c r="C141" s="8" t="n">
        <f aca="false">SUMIFS('Source'!$D:$D,'Source'!$A:$A,"151209 רוני אורטופדיה  בע""מ - רמבם",'Source'!$B:$B,$A141)</f>
        <v>1</v>
      </c>
      <c r="D141" s="8" t="n">
        <f aca="false">SUMIFS('Source'!$F:$F,'Source'!$A:$A,"151209 רוני אורטופדיה  בע""מ - רמבם",'Source'!$B:$B,$A141)</f>
        <v>0</v>
      </c>
      <c r="E141" s="8" t="n">
        <f aca="false">D141*$J$5</f>
        <v>0</v>
      </c>
      <c r="F141" s="8" t="n">
        <f aca="false">E141-C141</f>
        <v>-1</v>
      </c>
      <c r="G141" s="9" t="n">
        <f aca="false">IF(AND(C141=0,E141=0),0,IF(C141=0,"New",(E141-C141)/C141))</f>
        <v>-1</v>
      </c>
      <c r="H141" s="8" t="n">
        <f aca="false">SUMIFS('Source'!$E:$E,'Source'!$A:$A,"151209 רוני אורטופדיה  בע""מ - רמבם",'Source'!$B:$B,$A141)</f>
        <v>77.29</v>
      </c>
      <c r="I141" s="8" t="n">
        <f aca="false">SUMIFS('Source'!$G:$G,'Source'!$A:$A,"151209 רוני אורטופדיה  בע""מ - רמבם",'Source'!$B:$B,$A141)</f>
        <v>0</v>
      </c>
      <c r="J141" s="8" t="n">
        <f aca="false">I141*$J$5</f>
        <v>0</v>
      </c>
      <c r="K141" s="8" t="n">
        <f aca="false">J141-H141</f>
        <v>-77.29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204</v>
      </c>
      <c r="B142" s="7" t="str">
        <f aca="false">IFERROR(INDEX('Source'!$C:$C,MATCH($A142,'Source'!$B:$B,0)),"")</f>
        <v>מגן קרסול ימין SC35</v>
      </c>
      <c r="C142" s="8" t="n">
        <f aca="false">SUMIFS('Source'!$D:$D,'Source'!$A:$A,"151209 רוני אורטופדיה  בע""מ - רמבם",'Source'!$B:$B,$A142)</f>
        <v>1</v>
      </c>
      <c r="D142" s="8" t="n">
        <f aca="false">SUMIFS('Source'!$F:$F,'Source'!$A:$A,"151209 רוני אורטופדיה  בע""מ - רמבם",'Source'!$B:$B,$A142)</f>
        <v>0</v>
      </c>
      <c r="E142" s="8" t="n">
        <f aca="false">D142*$J$5</f>
        <v>0</v>
      </c>
      <c r="F142" s="8" t="n">
        <f aca="false">E142-C142</f>
        <v>-1</v>
      </c>
      <c r="G142" s="9" t="n">
        <f aca="false">IF(AND(C142=0,E142=0),0,IF(C142=0,"New",(E142-C142)/C142))</f>
        <v>-1</v>
      </c>
      <c r="H142" s="8" t="n">
        <f aca="false">SUMIFS('Source'!$E:$E,'Source'!$A:$A,"151209 רוני אורטופדיה  בע""מ - רמבם",'Source'!$B:$B,$A142)</f>
        <v>77.29</v>
      </c>
      <c r="I142" s="8" t="n">
        <f aca="false">SUMIFS('Source'!$G:$G,'Source'!$A:$A,"151209 רוני אורטופדיה  בע""מ - רמבם",'Source'!$B:$B,$A142)</f>
        <v>0</v>
      </c>
      <c r="J142" s="8" t="n">
        <f aca="false">I142*$J$5</f>
        <v>0</v>
      </c>
      <c r="K142" s="8" t="n">
        <f aca="false">J142-H142</f>
        <v>-77.29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627</v>
      </c>
      <c r="B143" s="7" t="str">
        <f aca="false">IFERROR(INDEX('Source'!$C:$C,MATCH($A143,'Source'!$B:$B,0)),"")</f>
        <v>תחבושת אלסטית נצמדת צבע שחור</v>
      </c>
      <c r="C143" s="8" t="n">
        <f aca="false">SUMIFS('Source'!$D:$D,'Source'!$A:$A,"151209 רוני אורטופדיה  בע""מ - רמבם",'Source'!$B:$B,$A143)</f>
        <v>6</v>
      </c>
      <c r="D143" s="8" t="n">
        <f aca="false">SUMIFS('Source'!$F:$F,'Source'!$A:$A,"151209 רוני אורטופדיה  בע""מ - רמבם",'Source'!$B:$B,$A143)</f>
        <v>0</v>
      </c>
      <c r="E143" s="8" t="n">
        <f aca="false">D143*$J$5</f>
        <v>0</v>
      </c>
      <c r="F143" s="8" t="n">
        <f aca="false">E143-C143</f>
        <v>-6</v>
      </c>
      <c r="G143" s="9" t="n">
        <f aca="false">IF(AND(C143=0,E143=0),0,IF(C143=0,"New",(E143-C143)/C143))</f>
        <v>-1</v>
      </c>
      <c r="H143" s="8" t="n">
        <f aca="false">SUMIFS('Source'!$E:$E,'Source'!$A:$A,"151209 רוני אורטופדיה  בע""מ - רמבם",'Source'!$B:$B,$A143)</f>
        <v>75.64</v>
      </c>
      <c r="I143" s="8" t="n">
        <f aca="false">SUMIFS('Source'!$G:$G,'Source'!$A:$A,"151209 רוני אורטופדיה  בע""מ - רמבם",'Source'!$B:$B,$A143)</f>
        <v>0</v>
      </c>
      <c r="J143" s="8" t="n">
        <f aca="false">I143*$J$5</f>
        <v>0</v>
      </c>
      <c r="K143" s="8" t="n">
        <f aca="false">J143-H143</f>
        <v>-75.64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4" customFormat="false" ht="15" hidden="false" customHeight="false" outlineLevel="0" collapsed="false">
      <c r="A144" s="7" t="s">
        <v>761</v>
      </c>
      <c r="B144" s="7" t="str">
        <f aca="false">IFERROR(INDEX('Source'!$C:$C,MATCH($A144,'Source'!$B:$B,0)),"")</f>
        <v>תחבושת אלסטית נצמדת צבע וורוד</v>
      </c>
      <c r="C144" s="8" t="n">
        <f aca="false">SUMIFS('Source'!$D:$D,'Source'!$A:$A,"151209 רוני אורטופדיה  בע""מ - רמבם",'Source'!$B:$B,$A144)</f>
        <v>6</v>
      </c>
      <c r="D144" s="8" t="n">
        <f aca="false">SUMIFS('Source'!$F:$F,'Source'!$A:$A,"151209 רוני אורטופדיה  בע""מ - רמבם",'Source'!$B:$B,$A144)</f>
        <v>0</v>
      </c>
      <c r="E144" s="8" t="n">
        <f aca="false">D144*$J$5</f>
        <v>0</v>
      </c>
      <c r="F144" s="8" t="n">
        <f aca="false">E144-C144</f>
        <v>-6</v>
      </c>
      <c r="G144" s="9" t="n">
        <f aca="false">IF(AND(C144=0,E144=0),0,IF(C144=0,"New",(E144-C144)/C144))</f>
        <v>-1</v>
      </c>
      <c r="H144" s="8" t="n">
        <f aca="false">SUMIFS('Source'!$E:$E,'Source'!$A:$A,"151209 רוני אורטופדיה  בע""מ - רמבם",'Source'!$B:$B,$A144)</f>
        <v>75.64</v>
      </c>
      <c r="I144" s="8" t="n">
        <f aca="false">SUMIFS('Source'!$G:$G,'Source'!$A:$A,"151209 רוני אורטופדיה  בע""מ - רמבם",'Source'!$B:$B,$A144)</f>
        <v>0</v>
      </c>
      <c r="J144" s="8" t="n">
        <f aca="false">I144*$J$5</f>
        <v>0</v>
      </c>
      <c r="K144" s="8" t="n">
        <f aca="false">J144-H144</f>
        <v>-75.64</v>
      </c>
      <c r="L144" s="9" t="n">
        <f aca="false">IF(AND(H144=0,J144=0),0,IF(H144=0,"New",(J144-H144)/H144))</f>
        <v>-1</v>
      </c>
      <c r="M144" s="7" t="str">
        <f aca="false">IF(AND(OR(C144&lt;&gt;0,H144&lt;&gt;0),D144=0,I144=0),"DROP",IF(AND(OR(D144&lt;&gt;0,I144&lt;&gt;0),C144=0,H144=0),"NEW",""))</f>
        <v>DROP</v>
      </c>
    </row>
    <row r="145" customFormat="false" ht="15" hidden="false" customHeight="false" outlineLevel="0" collapsed="false">
      <c r="A145" s="7" t="s">
        <v>701</v>
      </c>
      <c r="B145" s="7" t="str">
        <f aca="false">IFERROR(INDEX('Source'!$C:$C,MATCH($A145,'Source'!$B:$B,0)),"")</f>
        <v>תחבושת אלסטית נצמדת צבע ירוק</v>
      </c>
      <c r="C145" s="8" t="n">
        <f aca="false">SUMIFS('Source'!$D:$D,'Source'!$A:$A,"151209 רוני אורטופדיה  בע""מ - רמבם",'Source'!$B:$B,$A145)</f>
        <v>6</v>
      </c>
      <c r="D145" s="8" t="n">
        <f aca="false">SUMIFS('Source'!$F:$F,'Source'!$A:$A,"151209 רוני אורטופדיה  בע""מ - רמבם",'Source'!$B:$B,$A145)</f>
        <v>0</v>
      </c>
      <c r="E145" s="8" t="n">
        <f aca="false">D145*$J$5</f>
        <v>0</v>
      </c>
      <c r="F145" s="8" t="n">
        <f aca="false">E145-C145</f>
        <v>-6</v>
      </c>
      <c r="G145" s="9" t="n">
        <f aca="false">IF(AND(C145=0,E145=0),0,IF(C145=0,"New",(E145-C145)/C145))</f>
        <v>-1</v>
      </c>
      <c r="H145" s="8" t="n">
        <f aca="false">SUMIFS('Source'!$E:$E,'Source'!$A:$A,"151209 רוני אורטופדיה  בע""מ - רמבם",'Source'!$B:$B,$A145)</f>
        <v>75.64</v>
      </c>
      <c r="I145" s="8" t="n">
        <f aca="false">SUMIFS('Source'!$G:$G,'Source'!$A:$A,"151209 רוני אורטופדיה  בע""מ - רמבם",'Source'!$B:$B,$A145)</f>
        <v>0</v>
      </c>
      <c r="J145" s="8" t="n">
        <f aca="false">I145*$J$5</f>
        <v>0</v>
      </c>
      <c r="K145" s="8" t="n">
        <f aca="false">J145-H145</f>
        <v>-75.64</v>
      </c>
      <c r="L145" s="9" t="n">
        <f aca="false">IF(AND(H145=0,J145=0),0,IF(H145=0,"New",(J145-H145)/H145))</f>
        <v>-1</v>
      </c>
      <c r="M145" s="7" t="str">
        <f aca="false">IF(AND(OR(C145&lt;&gt;0,H145&lt;&gt;0),D145=0,I145=0),"DROP",IF(AND(OR(D145&lt;&gt;0,I145&lt;&gt;0),C145=0,H145=0),"NEW",""))</f>
        <v>DROP</v>
      </c>
    </row>
    <row r="146" customFormat="false" ht="15" hidden="false" customHeight="false" outlineLevel="0" collapsed="false">
      <c r="A146" s="7" t="s">
        <v>617</v>
      </c>
      <c r="B146" s="7" t="str">
        <f aca="false">IFERROR(INDEX('Source'!$C:$C,MATCH($A146,'Source'!$B:$B,0)),"")</f>
        <v>'תחבושת אלסטית נצמדת צבע בז</v>
      </c>
      <c r="C146" s="8" t="n">
        <f aca="false">SUMIFS('Source'!$D:$D,'Source'!$A:$A,"151209 רוני אורטופדיה  בע""מ - רמבם",'Source'!$B:$B,$A146)</f>
        <v>6</v>
      </c>
      <c r="D146" s="8" t="n">
        <f aca="false">SUMIFS('Source'!$F:$F,'Source'!$A:$A,"151209 רוני אורטופדיה  בע""מ - רמבם",'Source'!$B:$B,$A146)</f>
        <v>0</v>
      </c>
      <c r="E146" s="8" t="n">
        <f aca="false">D146*$J$5</f>
        <v>0</v>
      </c>
      <c r="F146" s="8" t="n">
        <f aca="false">E146-C146</f>
        <v>-6</v>
      </c>
      <c r="G146" s="9" t="n">
        <f aca="false">IF(AND(C146=0,E146=0),0,IF(C146=0,"New",(E146-C146)/C146))</f>
        <v>-1</v>
      </c>
      <c r="H146" s="8" t="n">
        <f aca="false">SUMIFS('Source'!$E:$E,'Source'!$A:$A,"151209 רוני אורטופדיה  בע""מ - רמבם",'Source'!$B:$B,$A146)</f>
        <v>75.64</v>
      </c>
      <c r="I146" s="8" t="n">
        <f aca="false">SUMIFS('Source'!$G:$G,'Source'!$A:$A,"151209 רוני אורטופדיה  בע""מ - רמבם",'Source'!$B:$B,$A146)</f>
        <v>0</v>
      </c>
      <c r="J146" s="8" t="n">
        <f aca="false">I146*$J$5</f>
        <v>0</v>
      </c>
      <c r="K146" s="8" t="n">
        <f aca="false">J146-H146</f>
        <v>-75.64</v>
      </c>
      <c r="L146" s="9" t="n">
        <f aca="false">IF(AND(H146=0,J146=0),0,IF(H146=0,"New",(J146-H146)/H146))</f>
        <v>-1</v>
      </c>
      <c r="M146" s="7" t="str">
        <f aca="false">IF(AND(OR(C146&lt;&gt;0,H146&lt;&gt;0),D146=0,I146=0),"DROP",IF(AND(OR(D146&lt;&gt;0,I146&lt;&gt;0),C146=0,H146=0),"NEW",""))</f>
        <v>DROP</v>
      </c>
    </row>
    <row r="147" customFormat="false" ht="15" hidden="false" customHeight="false" outlineLevel="0" collapsed="false">
      <c r="A147" s="7" t="s">
        <v>779</v>
      </c>
      <c r="B147" s="7" t="str">
        <f aca="false">IFERROR(INDEX('Source'!$C:$C,MATCH($A147,'Source'!$B:$B,0)),"")</f>
        <v>מפריד אצבע</v>
      </c>
      <c r="C147" s="8" t="n">
        <f aca="false">SUMIFS('Source'!$D:$D,'Source'!$A:$A,"151209 רוני אורטופדיה  בע""מ - רמבם",'Source'!$B:$B,$A147)</f>
        <v>0</v>
      </c>
      <c r="D147" s="8" t="n">
        <f aca="false">SUMIFS('Source'!$F:$F,'Source'!$A:$A,"151209 רוני אורטופדיה  בע""מ - רמבם",'Source'!$B:$B,$A147)</f>
        <v>5</v>
      </c>
      <c r="E147" s="8" t="n">
        <f aca="false">D147*$J$5</f>
        <v>6.31578947368421</v>
      </c>
      <c r="F147" s="8" t="n">
        <f aca="false">E147-C147</f>
        <v>6.31578947368421</v>
      </c>
      <c r="G147" s="9" t="str">
        <f aca="false">IF(AND(C147=0,E147=0),0,IF(C147=0,"New",(E147-C147)/C147))</f>
        <v>New</v>
      </c>
      <c r="H147" s="8" t="n">
        <f aca="false">SUMIFS('Source'!$E:$E,'Source'!$A:$A,"151209 רוני אורטופדיה  בע""מ - רמבם",'Source'!$B:$B,$A147)</f>
        <v>0</v>
      </c>
      <c r="I147" s="8" t="n">
        <f aca="false">SUMIFS('Source'!$G:$G,'Source'!$A:$A,"151209 רוני אורטופדיה  בע""מ - רמבם",'Source'!$B:$B,$A147)</f>
        <v>72.41</v>
      </c>
      <c r="J147" s="8" t="n">
        <f aca="false">I147*$J$5</f>
        <v>91.4652631578947</v>
      </c>
      <c r="K147" s="8" t="n">
        <f aca="false">J147-H147</f>
        <v>91.4652631578947</v>
      </c>
      <c r="L147" s="9" t="str">
        <f aca="false">IF(AND(H147=0,J147=0),0,IF(H147=0,"New",(J147-H147)/H147))</f>
        <v>New</v>
      </c>
      <c r="M147" s="7" t="str">
        <f aca="false">IF(AND(OR(C147&lt;&gt;0,H147&lt;&gt;0),D147=0,I147=0),"DROP",IF(AND(OR(D147&lt;&gt;0,I147&lt;&gt;0),C147=0,H147=0),"NEW",""))</f>
        <v>NEW</v>
      </c>
    </row>
    <row r="148" customFormat="false" ht="15" hidden="false" customHeight="false" outlineLevel="0" collapsed="false">
      <c r="A148" s="7" t="s">
        <v>631</v>
      </c>
      <c r="B148" s="7" t="str">
        <f aca="false">IFERROR(INDEX('Source'!$C:$C,MATCH($A148,'Source'!$B:$B,0)),"")</f>
        <v>מתלה יד + קיבוע מרפק</v>
      </c>
      <c r="C148" s="8" t="n">
        <f aca="false">SUMIFS('Source'!$D:$D,'Source'!$A:$A,"151209 רוני אורטופדיה  בע""מ - רמבם",'Source'!$B:$B,$A148)</f>
        <v>1</v>
      </c>
      <c r="D148" s="8" t="n">
        <f aca="false">SUMIFS('Source'!$F:$F,'Source'!$A:$A,"151209 רוני אורטופדיה  בע""מ - רמבם",'Source'!$B:$B,$A148)</f>
        <v>0</v>
      </c>
      <c r="E148" s="8" t="n">
        <f aca="false">D148*$J$5</f>
        <v>0</v>
      </c>
      <c r="F148" s="8" t="n">
        <f aca="false">E148-C148</f>
        <v>-1</v>
      </c>
      <c r="G148" s="9" t="n">
        <f aca="false">IF(AND(C148=0,E148=0),0,IF(C148=0,"New",(E148-C148)/C148))</f>
        <v>-1</v>
      </c>
      <c r="H148" s="8" t="n">
        <f aca="false">SUMIFS('Source'!$E:$E,'Source'!$A:$A,"151209 רוני אורטופדיה  בע""מ - רמבם",'Source'!$B:$B,$A148)</f>
        <v>70</v>
      </c>
      <c r="I148" s="8" t="n">
        <f aca="false">SUMIFS('Source'!$G:$G,'Source'!$A:$A,"151209 רוני אורטופדיה  בע""מ - רמבם",'Source'!$B:$B,$A148)</f>
        <v>0</v>
      </c>
      <c r="J148" s="8" t="n">
        <f aca="false">I148*$J$5</f>
        <v>0</v>
      </c>
      <c r="K148" s="8" t="n">
        <f aca="false">J148-H148</f>
        <v>-70</v>
      </c>
      <c r="L148" s="9" t="n">
        <f aca="false">IF(AND(H148=0,J148=0),0,IF(H148=0,"New",(J148-H148)/H148))</f>
        <v>-1</v>
      </c>
      <c r="M148" s="7" t="str">
        <f aca="false">IF(AND(OR(C148&lt;&gt;0,H148&lt;&gt;0),D148=0,I148=0),"DROP",IF(AND(OR(D148&lt;&gt;0,I148&lt;&gt;0),C148=0,H148=0),"NEW",""))</f>
        <v>DROP</v>
      </c>
    </row>
    <row r="149" customFormat="false" ht="15" hidden="false" customHeight="false" outlineLevel="0" collapsed="false">
      <c r="A149" s="7" t="s">
        <v>545</v>
      </c>
      <c r="B149" s="7" t="str">
        <f aca="false">IFERROR(INDEX('Source'!$C:$C,MATCH($A149,'Source'!$B:$B,0)),"")</f>
        <v>ח.בטן 25 ס'מ</v>
      </c>
      <c r="C149" s="8" t="n">
        <f aca="false">SUMIFS('Source'!$D:$D,'Source'!$A:$A,"151209 רוני אורטופדיה  בע""מ - רמבם",'Source'!$B:$B,$A149)</f>
        <v>1</v>
      </c>
      <c r="D149" s="8" t="n">
        <f aca="false">SUMIFS('Source'!$F:$F,'Source'!$A:$A,"151209 רוני אורטופדיה  בע""מ - רמבם",'Source'!$B:$B,$A149)</f>
        <v>0</v>
      </c>
      <c r="E149" s="8" t="n">
        <f aca="false">D149*$J$5</f>
        <v>0</v>
      </c>
      <c r="F149" s="8" t="n">
        <f aca="false">E149-C149</f>
        <v>-1</v>
      </c>
      <c r="G149" s="9" t="n">
        <f aca="false">IF(AND(C149=0,E149=0),0,IF(C149=0,"New",(E149-C149)/C149))</f>
        <v>-1</v>
      </c>
      <c r="H149" s="8" t="n">
        <f aca="false">SUMIFS('Source'!$E:$E,'Source'!$A:$A,"151209 רוני אורטופדיה  בע""מ - רמבם",'Source'!$B:$B,$A149)</f>
        <v>69</v>
      </c>
      <c r="I149" s="8" t="n">
        <f aca="false">SUMIFS('Source'!$G:$G,'Source'!$A:$A,"151209 רוני אורטופדיה  בע""מ - רמבם",'Source'!$B:$B,$A149)</f>
        <v>0</v>
      </c>
      <c r="J149" s="8" t="n">
        <f aca="false">I149*$J$5</f>
        <v>0</v>
      </c>
      <c r="K149" s="8" t="n">
        <f aca="false">J149-H149</f>
        <v>-69</v>
      </c>
      <c r="L149" s="9" t="n">
        <f aca="false">IF(AND(H149=0,J149=0),0,IF(H149=0,"New",(J149-H149)/H149))</f>
        <v>-1</v>
      </c>
      <c r="M149" s="7" t="str">
        <f aca="false">IF(AND(OR(C149&lt;&gt;0,H149&lt;&gt;0),D149=0,I149=0),"DROP",IF(AND(OR(D149&lt;&gt;0,I149&lt;&gt;0),C149=0,H149=0),"NEW",""))</f>
        <v>DROP</v>
      </c>
    </row>
    <row r="150" customFormat="false" ht="15" hidden="false" customHeight="false" outlineLevel="0" collapsed="false">
      <c r="A150" s="7" t="s">
        <v>136</v>
      </c>
      <c r="B150" s="7" t="str">
        <f aca="false">IFERROR(INDEX('Source'!$C:$C,MATCH($A150,'Source'!$B:$B,0)),"")</f>
        <v>מגן מרפק SC95</v>
      </c>
      <c r="C150" s="8" t="n">
        <f aca="false">SUMIFS('Source'!$D:$D,'Source'!$A:$A,"151209 רוני אורטופדיה  בע""מ - רמבם",'Source'!$B:$B,$A150)</f>
        <v>2</v>
      </c>
      <c r="D150" s="8" t="n">
        <f aca="false">SUMIFS('Source'!$F:$F,'Source'!$A:$A,"151209 רוני אורטופדיה  בע""מ - רמבם",'Source'!$B:$B,$A150)</f>
        <v>1</v>
      </c>
      <c r="E150" s="8" t="n">
        <f aca="false">D150*$J$5</f>
        <v>1.26315789473684</v>
      </c>
      <c r="F150" s="8" t="n">
        <f aca="false">E150-C150</f>
        <v>-0.736842105263158</v>
      </c>
      <c r="G150" s="9" t="n">
        <f aca="false">IF(AND(C150=0,E150=0),0,IF(C150=0,"New",(E150-C150)/C150))</f>
        <v>-0.368421052631579</v>
      </c>
      <c r="H150" s="8" t="n">
        <f aca="false">SUMIFS('Source'!$E:$E,'Source'!$A:$A,"151209 רוני אורטופדיה  בע""מ - רמבם",'Source'!$B:$B,$A150)</f>
        <v>154.59</v>
      </c>
      <c r="I150" s="8" t="n">
        <f aca="false">SUMIFS('Source'!$G:$G,'Source'!$A:$A,"151209 רוני אורטופדיה  בע""מ - רמבם",'Source'!$B:$B,$A150)</f>
        <v>93.67</v>
      </c>
      <c r="J150" s="8" t="n">
        <f aca="false">I150*$J$5</f>
        <v>118.32</v>
      </c>
      <c r="K150" s="8" t="n">
        <f aca="false">J150-H150</f>
        <v>-36.27</v>
      </c>
      <c r="L150" s="9" t="n">
        <f aca="false">IF(AND(H150=0,J150=0),0,IF(H150=0,"New",(J150-H150)/H150))</f>
        <v>-0.234620609353775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334</v>
      </c>
      <c r="B151" s="7" t="str">
        <f aca="false">IFERROR(INDEX('Source'!$C:$C,MATCH($A151,'Source'!$B:$B,0)),"")</f>
        <v>סד לילה לבוהן</v>
      </c>
      <c r="C151" s="8" t="n">
        <f aca="false">SUMIFS('Source'!$D:$D,'Source'!$A:$A,"151209 רוני אורטופדיה  בע""מ - רמבם",'Source'!$B:$B,$A151)</f>
        <v>1</v>
      </c>
      <c r="D151" s="8" t="n">
        <f aca="false">SUMIFS('Source'!$F:$F,'Source'!$A:$A,"151209 רוני אורטופדיה  בע""מ - רמבם",'Source'!$B:$B,$A151)</f>
        <v>2</v>
      </c>
      <c r="E151" s="8" t="n">
        <f aca="false">D151*$J$5</f>
        <v>2.52631578947368</v>
      </c>
      <c r="F151" s="8" t="n">
        <f aca="false">E151-C151</f>
        <v>1.52631578947368</v>
      </c>
      <c r="G151" s="9" t="n">
        <f aca="false">IF(AND(C151=0,E151=0),0,IF(C151=0,"New",(E151-C151)/C151))</f>
        <v>1.52631578947368</v>
      </c>
      <c r="H151" s="8" t="n">
        <f aca="false">SUMIFS('Source'!$E:$E,'Source'!$A:$A,"151209 רוני אורטופדיה  בע""מ - רמבם",'Source'!$B:$B,$A151)</f>
        <v>60</v>
      </c>
      <c r="I151" s="8" t="n">
        <f aca="false">SUMIFS('Source'!$G:$G,'Source'!$A:$A,"151209 רוני אורטופדיה  בע""מ - רמבם",'Source'!$B:$B,$A151)</f>
        <v>120</v>
      </c>
      <c r="J151" s="8" t="n">
        <f aca="false">I151*$J$5</f>
        <v>151.578947368421</v>
      </c>
      <c r="K151" s="8" t="n">
        <f aca="false">J151-H151</f>
        <v>91.578947368421</v>
      </c>
      <c r="L151" s="9" t="n">
        <f aca="false">IF(AND(H151=0,J151=0),0,IF(H151=0,"New",(J151-H151)/H151))</f>
        <v>1.52631578947368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262</v>
      </c>
      <c r="B152" s="7" t="str">
        <f aca="false">IFERROR(INDEX('Source'!$C:$C,MATCH($A152,'Source'!$B:$B,0)),"")</f>
        <v>צוארון ספוגי</v>
      </c>
      <c r="C152" s="8" t="n">
        <f aca="false">SUMIFS('Source'!$D:$D,'Source'!$A:$A,"151209 רוני אורטופדיה  בע""מ - רמבם",'Source'!$B:$B,$A152)</f>
        <v>2</v>
      </c>
      <c r="D152" s="8" t="n">
        <f aca="false">SUMIFS('Source'!$F:$F,'Source'!$A:$A,"151209 רוני אורטופדיה  בע""מ - רמבם",'Source'!$B:$B,$A152)</f>
        <v>3</v>
      </c>
      <c r="E152" s="8" t="n">
        <f aca="false">D152*$J$5</f>
        <v>3.78947368421053</v>
      </c>
      <c r="F152" s="8" t="n">
        <f aca="false">E152-C152</f>
        <v>1.78947368421053</v>
      </c>
      <c r="G152" s="9" t="n">
        <f aca="false">IF(AND(C152=0,E152=0),0,IF(C152=0,"New",(E152-C152)/C152))</f>
        <v>0.894736842105263</v>
      </c>
      <c r="H152" s="8" t="n">
        <f aca="false">SUMIFS('Source'!$E:$E,'Source'!$A:$A,"151209 רוני אורטופדיה  בע""מ - רמבם",'Source'!$B:$B,$A152)</f>
        <v>99.27</v>
      </c>
      <c r="I152" s="8" t="n">
        <f aca="false">SUMIFS('Source'!$G:$G,'Source'!$A:$A,"151209 רוני אורטופדיה  בע""מ - רמבם",'Source'!$B:$B,$A152)</f>
        <v>148.9</v>
      </c>
      <c r="J152" s="8" t="n">
        <f aca="false">I152*$J$5</f>
        <v>188.084210526316</v>
      </c>
      <c r="K152" s="8" t="n">
        <f aca="false">J152-H152</f>
        <v>88.8142105263158</v>
      </c>
      <c r="L152" s="9" t="n">
        <f aca="false">IF(AND(H152=0,J152=0),0,IF(H152=0,"New",(J152-H152)/H152))</f>
        <v>0.89467321976746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263</v>
      </c>
      <c r="B153" s="7" t="str">
        <f aca="false">IFERROR(INDEX('Source'!$C:$C,MATCH($A153,'Source'!$B:$B,0)),"")</f>
        <v>מתלה רשת לזרוע שחור 85B</v>
      </c>
      <c r="C153" s="8" t="n">
        <f aca="false">SUMIFS('Source'!$D:$D,'Source'!$A:$A,"151209 רוני אורטופדיה  בע""מ - רמבם",'Source'!$B:$B,$A153)</f>
        <v>1</v>
      </c>
      <c r="D153" s="8" t="n">
        <f aca="false">SUMIFS('Source'!$F:$F,'Source'!$A:$A,"151209 רוני אורטופדיה  בע""מ - רמבם",'Source'!$B:$B,$A153)</f>
        <v>2</v>
      </c>
      <c r="E153" s="8" t="n">
        <f aca="false">D153*$J$5</f>
        <v>2.52631578947368</v>
      </c>
      <c r="F153" s="8" t="n">
        <f aca="false">E153-C153</f>
        <v>1.52631578947368</v>
      </c>
      <c r="G153" s="9" t="n">
        <f aca="false">IF(AND(C153=0,E153=0),0,IF(C153=0,"New",(E153-C153)/C153))</f>
        <v>1.52631578947368</v>
      </c>
      <c r="H153" s="8" t="n">
        <f aca="false">SUMIFS('Source'!$E:$E,'Source'!$A:$A,"151209 רוני אורטופדיה  בע""מ - רמבם",'Source'!$B:$B,$A153)</f>
        <v>49</v>
      </c>
      <c r="I153" s="8" t="n">
        <f aca="false">SUMIFS('Source'!$G:$G,'Source'!$A:$A,"151209 רוני אורטופדיה  בע""מ - רמבם",'Source'!$B:$B,$A153)</f>
        <v>98</v>
      </c>
      <c r="J153" s="8" t="n">
        <f aca="false">I153*$J$5</f>
        <v>123.789473684211</v>
      </c>
      <c r="K153" s="8" t="n">
        <f aca="false">J153-H153</f>
        <v>74.7894736842105</v>
      </c>
      <c r="L153" s="9" t="n">
        <f aca="false">IF(AND(H153=0,J153=0),0,IF(H153=0,"New",(J153-H153)/H153))</f>
        <v>1.52631578947368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458</v>
      </c>
      <c r="B154" s="7" t="str">
        <f aca="false">IFERROR(INDEX('Source'!$C:$C,MATCH($A154,'Source'!$B:$B,0)),"")</f>
        <v>מתלה רשת לזרוע שחור 85B</v>
      </c>
      <c r="C154" s="8" t="n">
        <f aca="false">SUMIFS('Source'!$D:$D,'Source'!$A:$A,"151209 רוני אורטופדיה  בע""מ - רמבם",'Source'!$B:$B,$A154)</f>
        <v>0</v>
      </c>
      <c r="D154" s="8" t="n">
        <f aca="false">SUMIFS('Source'!$F:$F,'Source'!$A:$A,"151209 רוני אורטופדיה  בע""מ - רמבם",'Source'!$B:$B,$A154)</f>
        <v>1</v>
      </c>
      <c r="E154" s="8" t="n">
        <f aca="false">D154*$J$5</f>
        <v>1.26315789473684</v>
      </c>
      <c r="F154" s="8" t="n">
        <f aca="false">E154-C154</f>
        <v>1.26315789473684</v>
      </c>
      <c r="G154" s="9" t="str">
        <f aca="false">IF(AND(C154=0,E154=0),0,IF(C154=0,"New",(E154-C154)/C154))</f>
        <v>New</v>
      </c>
      <c r="H154" s="8" t="n">
        <f aca="false">SUMIFS('Source'!$E:$E,'Source'!$A:$A,"151209 רוני אורטופדיה  בע""מ - רמבם",'Source'!$B:$B,$A154)</f>
        <v>0</v>
      </c>
      <c r="I154" s="8" t="n">
        <f aca="false">SUMIFS('Source'!$G:$G,'Source'!$A:$A,"151209 רוני אורטופדיה  בע""מ - רמבם",'Source'!$B:$B,$A154)</f>
        <v>49</v>
      </c>
      <c r="J154" s="8" t="n">
        <f aca="false">I154*$J$5</f>
        <v>61.8947368421053</v>
      </c>
      <c r="K154" s="8" t="n">
        <f aca="false">J154-H154</f>
        <v>61.8947368421053</v>
      </c>
      <c r="L154" s="9" t="str">
        <f aca="false">IF(AND(H154=0,J154=0),0,IF(H154=0,"New",(J154-H154)/H154))</f>
        <v>New</v>
      </c>
      <c r="M154" s="7" t="str">
        <f aca="false">IF(AND(OR(C154&lt;&gt;0,H154&lt;&gt;0),D154=0,I154=0),"DROP",IF(AND(OR(D154&lt;&gt;0,I154&lt;&gt;0),C154=0,H154=0),"NEW",""))</f>
        <v>NEW</v>
      </c>
    </row>
    <row r="155" customFormat="false" ht="15" hidden="false" customHeight="false" outlineLevel="0" collapsed="false">
      <c r="A155" s="7" t="s">
        <v>267</v>
      </c>
      <c r="B155" s="7" t="str">
        <f aca="false">IFERROR(INDEX('Source'!$C:$C,MATCH($A155,'Source'!$B:$B,0)),"")</f>
        <v>מתלה רשת לזרוע שחור 85B</v>
      </c>
      <c r="C155" s="8" t="n">
        <f aca="false">SUMIFS('Source'!$D:$D,'Source'!$A:$A,"151209 רוני אורטופדיה  בע""מ - רמבם",'Source'!$B:$B,$A155)</f>
        <v>3</v>
      </c>
      <c r="D155" s="8" t="n">
        <f aca="false">SUMIFS('Source'!$F:$F,'Source'!$A:$A,"151209 רוני אורטופדיה  בע""מ - רמבם",'Source'!$B:$B,$A155)</f>
        <v>4</v>
      </c>
      <c r="E155" s="8" t="n">
        <f aca="false">D155*$J$5</f>
        <v>5.05263157894737</v>
      </c>
      <c r="F155" s="8" t="n">
        <f aca="false">E155-C155</f>
        <v>2.05263157894737</v>
      </c>
      <c r="G155" s="9" t="n">
        <f aca="false">IF(AND(C155=0,E155=0),0,IF(C155=0,"New",(E155-C155)/C155))</f>
        <v>0.684210526315789</v>
      </c>
      <c r="H155" s="8" t="n">
        <f aca="false">SUMIFS('Source'!$E:$E,'Source'!$A:$A,"151209 רוני אורטופדיה  בע""מ - רמבם",'Source'!$B:$B,$A155)</f>
        <v>154.69</v>
      </c>
      <c r="I155" s="8" t="n">
        <f aca="false">SUMIFS('Source'!$G:$G,'Source'!$A:$A,"151209 רוני אורטופדיה  בע""מ - רמבם",'Source'!$B:$B,$A155)</f>
        <v>195.98</v>
      </c>
      <c r="J155" s="8" t="n">
        <f aca="false">I155*$J$5</f>
        <v>247.553684210526</v>
      </c>
      <c r="K155" s="8" t="n">
        <f aca="false">J155-H155</f>
        <v>92.8636842105263</v>
      </c>
      <c r="L155" s="9" t="n">
        <f aca="false">IF(AND(H155=0,J155=0),0,IF(H155=0,"New",(J155-H155)/H155))</f>
        <v>0.600321185665048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168</v>
      </c>
      <c r="B156" s="7" t="str">
        <f aca="false">IFERROR(INDEX('Source'!$C:$C,MATCH($A156,'Source'!$B:$B,0)),"")</f>
        <v>מדרס מתכוונן לגיל</v>
      </c>
      <c r="C156" s="8" t="n">
        <f aca="false">SUMIFS('Source'!$D:$D,'Source'!$A:$A,"151209 רוני אורטופדיה  בע""מ - רמבם",'Source'!$B:$B,$A156)</f>
        <v>8</v>
      </c>
      <c r="D156" s="8" t="n">
        <f aca="false">SUMIFS('Source'!$F:$F,'Source'!$A:$A,"151209 רוני אורטופדיה  בע""מ - רמבם",'Source'!$B:$B,$A156)</f>
        <v>8</v>
      </c>
      <c r="E156" s="8" t="n">
        <f aca="false">D156*$J$5</f>
        <v>10.1052631578947</v>
      </c>
      <c r="F156" s="8" t="n">
        <f aca="false">E156-C156</f>
        <v>2.10526315789474</v>
      </c>
      <c r="G156" s="9" t="n">
        <f aca="false">IF(AND(C156=0,E156=0),0,IF(C156=0,"New",(E156-C156)/C156))</f>
        <v>0.263157894736842</v>
      </c>
      <c r="H156" s="8" t="n">
        <f aca="false">SUMIFS('Source'!$E:$E,'Source'!$A:$A,"151209 רוני אורטופדיה  בע""מ - רמבם",'Source'!$B:$B,$A156)</f>
        <v>608</v>
      </c>
      <c r="I156" s="8" t="n">
        <f aca="false">SUMIFS('Source'!$G:$G,'Source'!$A:$A,"151209 רוני אורטופדיה  בע""מ - רמבם",'Source'!$B:$B,$A156)</f>
        <v>640.01</v>
      </c>
      <c r="J156" s="8" t="n">
        <f aca="false">I156*$J$5</f>
        <v>808.433684210526</v>
      </c>
      <c r="K156" s="8" t="n">
        <f aca="false">J156-H156</f>
        <v>200.433684210526</v>
      </c>
      <c r="L156" s="9" t="n">
        <f aca="false">IF(AND(H156=0,J156=0),0,IF(H156=0,"New",(J156-H156)/H156))</f>
        <v>0.329660664819945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166</v>
      </c>
      <c r="B157" s="7" t="str">
        <f aca="false">IFERROR(INDEX('Source'!$C:$C,MATCH($A157,'Source'!$B:$B,0)),"")</f>
        <v>גרבי נוחות קיץ לבן</v>
      </c>
      <c r="C157" s="8" t="n">
        <f aca="false">SUMIFS('Source'!$D:$D,'Source'!$A:$A,"151209 רוני אורטופדיה  בע""מ - רמבם",'Source'!$B:$B,$A157)</f>
        <v>3</v>
      </c>
      <c r="D157" s="8" t="n">
        <f aca="false">SUMIFS('Source'!$F:$F,'Source'!$A:$A,"151209 רוני אורטופדיה  בע""מ - רמבם",'Source'!$B:$B,$A157)</f>
        <v>4</v>
      </c>
      <c r="E157" s="8" t="n">
        <f aca="false">D157*$J$5</f>
        <v>5.05263157894737</v>
      </c>
      <c r="F157" s="8" t="n">
        <f aca="false">E157-C157</f>
        <v>2.05263157894737</v>
      </c>
      <c r="G157" s="9" t="n">
        <f aca="false">IF(AND(C157=0,E157=0),0,IF(C157=0,"New",(E157-C157)/C157))</f>
        <v>0.684210526315789</v>
      </c>
      <c r="H157" s="8" t="n">
        <f aca="false">SUMIFS('Source'!$E:$E,'Source'!$A:$A,"151209 רוני אורטופדיה  בע""מ - רמבם",'Source'!$B:$B,$A157)</f>
        <v>74.99</v>
      </c>
      <c r="I157" s="8" t="n">
        <f aca="false">SUMIFS('Source'!$G:$G,'Source'!$A:$A,"151209 רוני אורטופדיה  בע""מ - רמבם",'Source'!$B:$B,$A157)</f>
        <v>99.99</v>
      </c>
      <c r="J157" s="8" t="n">
        <f aca="false">I157*$J$5</f>
        <v>126.303157894737</v>
      </c>
      <c r="K157" s="8" t="n">
        <f aca="false">J157-H157</f>
        <v>51.3131578947368</v>
      </c>
      <c r="L157" s="9" t="n">
        <f aca="false">IF(AND(H157=0,J157=0),0,IF(H157=0,"New",(J157-H157)/H157))</f>
        <v>0.684266674153045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286</v>
      </c>
      <c r="B158" s="7" t="str">
        <f aca="false">IFERROR(INDEX('Source'!$C:$C,MATCH($A158,'Source'!$B:$B,0)),"")</f>
        <v>שרוול לבוניון מסיליקון</v>
      </c>
      <c r="C158" s="8" t="n">
        <f aca="false">SUMIFS('Source'!$D:$D,'Source'!$A:$A,"151209 רוני אורטופדיה  בע""מ - רמבם",'Source'!$B:$B,$A158)</f>
        <v>5</v>
      </c>
      <c r="D158" s="8" t="n">
        <f aca="false">SUMIFS('Source'!$F:$F,'Source'!$A:$A,"151209 רוני אורטופדיה  בע""מ - רמבם",'Source'!$B:$B,$A158)</f>
        <v>5</v>
      </c>
      <c r="E158" s="8" t="n">
        <f aca="false">D158*$J$5</f>
        <v>6.31578947368421</v>
      </c>
      <c r="F158" s="8" t="n">
        <f aca="false">E158-C158</f>
        <v>1.31578947368421</v>
      </c>
      <c r="G158" s="9" t="n">
        <f aca="false">IF(AND(C158=0,E158=0),0,IF(C158=0,"New",(E158-C158)/C158))</f>
        <v>0.263157894736842</v>
      </c>
      <c r="H158" s="8" t="n">
        <f aca="false">SUMIFS('Source'!$E:$E,'Source'!$A:$A,"151209 רוני אורטופדיה  בע""מ - רמבם",'Source'!$B:$B,$A158)</f>
        <v>162.3</v>
      </c>
      <c r="I158" s="8" t="n">
        <f aca="false">SUMIFS('Source'!$G:$G,'Source'!$A:$A,"151209 רוני אורטופדיה  בע""מ - רמבם",'Source'!$B:$B,$A158)</f>
        <v>187.27</v>
      </c>
      <c r="J158" s="8" t="n">
        <f aca="false">I158*$J$5</f>
        <v>236.551578947368</v>
      </c>
      <c r="K158" s="8" t="n">
        <f aca="false">J158-H158</f>
        <v>74.2515789473684</v>
      </c>
      <c r="L158" s="9" t="n">
        <f aca="false">IF(AND(H158=0,J158=0),0,IF(H158=0,"New",(J158-H158)/H158))</f>
        <v>0.457495865356552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189</v>
      </c>
      <c r="B159" s="7" t="str">
        <f aca="false">IFERROR(INDEX('Source'!$C:$C,MATCH($A159,'Source'!$B:$B,0)),"")</f>
        <v>מתלה יד + קיבוע מרפק</v>
      </c>
      <c r="C159" s="8" t="n">
        <f aca="false">SUMIFS('Source'!$D:$D,'Source'!$A:$A,"151209 רוני אורטופדיה  בע""מ - רמבם",'Source'!$B:$B,$A159)</f>
        <v>2</v>
      </c>
      <c r="D159" s="8" t="n">
        <f aca="false">SUMIFS('Source'!$F:$F,'Source'!$A:$A,"151209 רוני אורטופדיה  בע""מ - רמבם",'Source'!$B:$B,$A159)</f>
        <v>2</v>
      </c>
      <c r="E159" s="8" t="n">
        <f aca="false">D159*$J$5</f>
        <v>2.52631578947368</v>
      </c>
      <c r="F159" s="8" t="n">
        <f aca="false">E159-C159</f>
        <v>0.526315789473684</v>
      </c>
      <c r="G159" s="9" t="n">
        <f aca="false">IF(AND(C159=0,E159=0),0,IF(C159=0,"New",(E159-C159)/C159))</f>
        <v>0.263157894736842</v>
      </c>
      <c r="H159" s="8" t="n">
        <f aca="false">SUMIFS('Source'!$E:$E,'Source'!$A:$A,"151209 רוני אורטופדיה  בע""מ - רמבם",'Source'!$B:$B,$A159)</f>
        <v>120</v>
      </c>
      <c r="I159" s="8" t="n">
        <f aca="false">SUMIFS('Source'!$G:$G,'Source'!$A:$A,"151209 רוני אורטופדיה  בע""מ - רמבם",'Source'!$B:$B,$A159)</f>
        <v>139.99</v>
      </c>
      <c r="J159" s="8" t="n">
        <f aca="false">I159*$J$5</f>
        <v>176.829473684211</v>
      </c>
      <c r="K159" s="8" t="n">
        <f aca="false">J159-H159</f>
        <v>56.8294736842105</v>
      </c>
      <c r="L159" s="9" t="n">
        <f aca="false">IF(AND(H159=0,J159=0),0,IF(H159=0,"New",(J159-H159)/H159))</f>
        <v>0.473578947368421</v>
      </c>
      <c r="M159" s="7" t="str">
        <f aca="false">IF(AND(OR(C159&lt;&gt;0,H159&lt;&gt;0),D159=0,I159=0),"DROP",IF(AND(OR(D159&lt;&gt;0,I159&lt;&gt;0),C159=0,H159=0),"NEW",""))</f>
        <v/>
      </c>
    </row>
    <row r="160" customFormat="false" ht="15" hidden="false" customHeight="false" outlineLevel="0" collapsed="false">
      <c r="A160" s="7" t="s">
        <v>326</v>
      </c>
      <c r="B160" s="7" t="str">
        <f aca="false">IFERROR(INDEX('Source'!$C:$C,MATCH($A160,'Source'!$B:$B,0)),"")</f>
        <v>מגן שוק SC39</v>
      </c>
      <c r="C160" s="8" t="n">
        <f aca="false">SUMIFS('Source'!$D:$D,'Source'!$A:$A,"151209 רוני אורטופדיה  בע""מ - רמבם",'Source'!$B:$B,$A160)</f>
        <v>1</v>
      </c>
      <c r="D160" s="8" t="n">
        <f aca="false">SUMIFS('Source'!$F:$F,'Source'!$A:$A,"151209 רוני אורטופדיה  בע""מ - רמבם",'Source'!$B:$B,$A160)</f>
        <v>1</v>
      </c>
      <c r="E160" s="8" t="n">
        <f aca="false">D160*$J$5</f>
        <v>1.26315789473684</v>
      </c>
      <c r="F160" s="8" t="n">
        <f aca="false">E160-C160</f>
        <v>0.263157894736842</v>
      </c>
      <c r="G160" s="9" t="n">
        <f aca="false">IF(AND(C160=0,E160=0),0,IF(C160=0,"New",(E160-C160)/C160))</f>
        <v>0.263157894736842</v>
      </c>
      <c r="H160" s="8" t="n">
        <f aca="false">SUMIFS('Source'!$E:$E,'Source'!$A:$A,"151209 רוני אורטופדיה  בע""מ - רמבם",'Source'!$B:$B,$A160)</f>
        <v>145.26</v>
      </c>
      <c r="I160" s="8" t="n">
        <f aca="false">SUMIFS('Source'!$G:$G,'Source'!$A:$A,"151209 רוני אורטופדיה  בע""מ - רמבם",'Source'!$B:$B,$A160)</f>
        <v>164.03</v>
      </c>
      <c r="J160" s="8" t="n">
        <f aca="false">I160*$J$5</f>
        <v>207.195789473684</v>
      </c>
      <c r="K160" s="8" t="n">
        <f aca="false">J160-H160</f>
        <v>61.9357894736842</v>
      </c>
      <c r="L160" s="9" t="n">
        <f aca="false">IF(AND(H160=0,J160=0),0,IF(H160=0,"New",(J160-H160)/H160))</f>
        <v>0.426378834322485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651</v>
      </c>
      <c r="B161" s="7" t="str">
        <f aca="false">IFERROR(INDEX('Source'!$C:$C,MATCH($A161,'Source'!$B:$B,0)),"")</f>
        <v>מגן שוק SC39</v>
      </c>
      <c r="C161" s="8" t="n">
        <f aca="false">SUMIFS('Source'!$D:$D,'Source'!$A:$A,"151209 רוני אורטופדיה  בע""מ - רמבם",'Source'!$B:$B,$A161)</f>
        <v>1</v>
      </c>
      <c r="D161" s="8" t="n">
        <f aca="false">SUMIFS('Source'!$F:$F,'Source'!$A:$A,"151209 רוני אורטופדיה  בע""מ - רמבם",'Source'!$B:$B,$A161)</f>
        <v>1</v>
      </c>
      <c r="E161" s="8" t="n">
        <f aca="false">D161*$J$5</f>
        <v>1.26315789473684</v>
      </c>
      <c r="F161" s="8" t="n">
        <f aca="false">E161-C161</f>
        <v>0.263157894736842</v>
      </c>
      <c r="G161" s="9" t="n">
        <f aca="false">IF(AND(C161=0,E161=0),0,IF(C161=0,"New",(E161-C161)/C161))</f>
        <v>0.263157894736842</v>
      </c>
      <c r="H161" s="8" t="n">
        <f aca="false">SUMIFS('Source'!$E:$E,'Source'!$A:$A,"151209 רוני אורטופדיה  בע""מ - רמבם",'Source'!$B:$B,$A161)</f>
        <v>145.26</v>
      </c>
      <c r="I161" s="8" t="n">
        <f aca="false">SUMIFS('Source'!$G:$G,'Source'!$A:$A,"151209 רוני אורטופדיה  בע""מ - רמבם",'Source'!$B:$B,$A161)</f>
        <v>164.02</v>
      </c>
      <c r="J161" s="8" t="n">
        <f aca="false">I161*$J$5</f>
        <v>207.183157894737</v>
      </c>
      <c r="K161" s="8" t="n">
        <f aca="false">J161-H161</f>
        <v>61.9231578947368</v>
      </c>
      <c r="L161" s="9" t="n">
        <f aca="false">IF(AND(H161=0,J161=0),0,IF(H161=0,"New",(J161-H161)/H161))</f>
        <v>0.426291875910346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151</v>
      </c>
      <c r="B162" s="7" t="str">
        <f aca="false">IFERROR(INDEX('Source'!$C:$C,MATCH($A162,'Source'!$B:$B,0)),"")</f>
        <v>חבק יד SC25</v>
      </c>
      <c r="C162" s="8" t="n">
        <f aca="false">SUMIFS('Source'!$D:$D,'Source'!$A:$A,"151209 רוני אורטופדיה  בע""מ - רמבם",'Source'!$B:$B,$A162)</f>
        <v>1</v>
      </c>
      <c r="D162" s="8" t="n">
        <f aca="false">SUMIFS('Source'!$F:$F,'Source'!$A:$A,"151209 רוני אורטופדיה  בע""מ - רמבם",'Source'!$B:$B,$A162)</f>
        <v>1</v>
      </c>
      <c r="E162" s="8" t="n">
        <f aca="false">D162*$J$5</f>
        <v>1.26315789473684</v>
      </c>
      <c r="F162" s="8" t="n">
        <f aca="false">E162-C162</f>
        <v>0.263157894736842</v>
      </c>
      <c r="G162" s="9" t="n">
        <f aca="false">IF(AND(C162=0,E162=0),0,IF(C162=0,"New",(E162-C162)/C162))</f>
        <v>0.263157894736842</v>
      </c>
      <c r="H162" s="8" t="n">
        <f aca="false">SUMIFS('Source'!$E:$E,'Source'!$A:$A,"151209 רוני אורטופדיה  בע""מ - רמבם",'Source'!$B:$B,$A162)</f>
        <v>77.29</v>
      </c>
      <c r="I162" s="8" t="n">
        <f aca="false">SUMIFS('Source'!$G:$G,'Source'!$A:$A,"151209 רוני אורטופדיה  בע""מ - רמבם",'Source'!$B:$B,$A162)</f>
        <v>93.67</v>
      </c>
      <c r="J162" s="8" t="n">
        <f aca="false">I162*$J$5</f>
        <v>118.32</v>
      </c>
      <c r="K162" s="8" t="n">
        <f aca="false">J162-H162</f>
        <v>41.03</v>
      </c>
      <c r="L162" s="9" t="n">
        <f aca="false">IF(AND(H162=0,J162=0),0,IF(H162=0,"New",(J162-H162)/H162))</f>
        <v>0.530857808254625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755</v>
      </c>
      <c r="B163" s="7" t="str">
        <f aca="false">IFERROR(INDEX('Source'!$C:$C,MATCH($A163,'Source'!$B:$B,0)),"")</f>
        <v>מגן מרפק SC95</v>
      </c>
      <c r="C163" s="8" t="n">
        <f aca="false">SUMIFS('Source'!$D:$D,'Source'!$A:$A,"151209 רוני אורטופדיה  בע""מ - רמבם",'Source'!$B:$B,$A163)</f>
        <v>1</v>
      </c>
      <c r="D163" s="8" t="n">
        <f aca="false">SUMIFS('Source'!$F:$F,'Source'!$A:$A,"151209 רוני אורטופדיה  בע""מ - רמבם",'Source'!$B:$B,$A163)</f>
        <v>1</v>
      </c>
      <c r="E163" s="8" t="n">
        <f aca="false">D163*$J$5</f>
        <v>1.26315789473684</v>
      </c>
      <c r="F163" s="8" t="n">
        <f aca="false">E163-C163</f>
        <v>0.263157894736842</v>
      </c>
      <c r="G163" s="9" t="n">
        <f aca="false">IF(AND(C163=0,E163=0),0,IF(C163=0,"New",(E163-C163)/C163))</f>
        <v>0.263157894736842</v>
      </c>
      <c r="H163" s="8" t="n">
        <f aca="false">SUMIFS('Source'!$E:$E,'Source'!$A:$A,"151209 רוני אורטופדיה  בע""מ - רמבם",'Source'!$B:$B,$A163)</f>
        <v>77.29</v>
      </c>
      <c r="I163" s="8" t="n">
        <f aca="false">SUMIFS('Source'!$G:$G,'Source'!$A:$A,"151209 רוני אורטופדיה  בע""מ - רמבם",'Source'!$B:$B,$A163)</f>
        <v>93.67</v>
      </c>
      <c r="J163" s="8" t="n">
        <f aca="false">I163*$J$5</f>
        <v>118.32</v>
      </c>
      <c r="K163" s="8" t="n">
        <f aca="false">J163-H163</f>
        <v>41.03</v>
      </c>
      <c r="L163" s="9" t="n">
        <f aca="false">IF(AND(H163=0,J163=0),0,IF(H163=0,"New",(J163-H163)/H163))</f>
        <v>0.530857808254625</v>
      </c>
      <c r="M163" s="7" t="str">
        <f aca="false">IF(AND(OR(C163&lt;&gt;0,H163&lt;&gt;0),D163=0,I163=0),"DROP",IF(AND(OR(D163&lt;&gt;0,I163&lt;&gt;0),C163=0,H163=0),"NEW",""))</f>
        <v/>
      </c>
    </row>
    <row r="164" customFormat="false" ht="15" hidden="false" customHeight="false" outlineLevel="0" collapsed="false">
      <c r="A164" s="7" t="s">
        <v>303</v>
      </c>
      <c r="B164" s="7" t="str">
        <f aca="false">IFERROR(INDEX('Source'!$C:$C,MATCH($A164,'Source'!$B:$B,0)),"")</f>
        <v>מגן קרסול שמאל SC35</v>
      </c>
      <c r="C164" s="8" t="n">
        <f aca="false">SUMIFS('Source'!$D:$D,'Source'!$A:$A,"151209 רוני אורטופדיה  בע""מ - רמבם",'Source'!$B:$B,$A164)</f>
        <v>1</v>
      </c>
      <c r="D164" s="8" t="n">
        <f aca="false">SUMIFS('Source'!$F:$F,'Source'!$A:$A,"151209 רוני אורטופדיה  בע""מ - רמבם",'Source'!$B:$B,$A164)</f>
        <v>1</v>
      </c>
      <c r="E164" s="8" t="n">
        <f aca="false">D164*$J$5</f>
        <v>1.26315789473684</v>
      </c>
      <c r="F164" s="8" t="n">
        <f aca="false">E164-C164</f>
        <v>0.263157894736842</v>
      </c>
      <c r="G164" s="9" t="n">
        <f aca="false">IF(AND(C164=0,E164=0),0,IF(C164=0,"New",(E164-C164)/C164))</f>
        <v>0.263157894736842</v>
      </c>
      <c r="H164" s="8" t="n">
        <f aca="false">SUMIFS('Source'!$E:$E,'Source'!$A:$A,"151209 רוני אורטופדיה  בע""מ - רמבם",'Source'!$B:$B,$A164)</f>
        <v>77.29</v>
      </c>
      <c r="I164" s="8" t="n">
        <f aca="false">SUMIFS('Source'!$G:$G,'Source'!$A:$A,"151209 רוני אורטופדיה  בע""מ - רמבם",'Source'!$B:$B,$A164)</f>
        <v>93.67</v>
      </c>
      <c r="J164" s="8" t="n">
        <f aca="false">I164*$J$5</f>
        <v>118.32</v>
      </c>
      <c r="K164" s="8" t="n">
        <f aca="false">J164-H164</f>
        <v>41.03</v>
      </c>
      <c r="L164" s="9" t="n">
        <f aca="false">IF(AND(H164=0,J164=0),0,IF(H164=0,"New",(J164-H164)/H164))</f>
        <v>0.530857808254625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298</v>
      </c>
      <c r="B165" s="7" t="str">
        <f aca="false">IFERROR(INDEX('Source'!$C:$C,MATCH($A165,'Source'!$B:$B,0)),"")</f>
        <v>מדרס מתכוונן לגיל</v>
      </c>
      <c r="C165" s="8" t="n">
        <f aca="false">SUMIFS('Source'!$D:$D,'Source'!$A:$A,"151209 רוני אורטופדיה  בע""מ - רמבם",'Source'!$B:$B,$A165)</f>
        <v>4</v>
      </c>
      <c r="D165" s="8" t="n">
        <f aca="false">SUMIFS('Source'!$F:$F,'Source'!$A:$A,"151209 רוני אורטופדיה  בע""מ - רמבם",'Source'!$B:$B,$A165)</f>
        <v>4</v>
      </c>
      <c r="E165" s="8" t="n">
        <f aca="false">D165*$J$5</f>
        <v>5.05263157894737</v>
      </c>
      <c r="F165" s="8" t="n">
        <f aca="false">E165-C165</f>
        <v>1.05263157894737</v>
      </c>
      <c r="G165" s="9" t="n">
        <f aca="false">IF(AND(C165=0,E165=0),0,IF(C165=0,"New",(E165-C165)/C165))</f>
        <v>0.263157894736842</v>
      </c>
      <c r="H165" s="8" t="n">
        <f aca="false">SUMIFS('Source'!$E:$E,'Source'!$A:$A,"151209 רוני אורטופדיה  בע""מ - רמבם",'Source'!$B:$B,$A165)</f>
        <v>304</v>
      </c>
      <c r="I165" s="8" t="n">
        <f aca="false">SUMIFS('Source'!$G:$G,'Source'!$A:$A,"151209 רוני אורטופדיה  בע""מ - רמבם",'Source'!$B:$B,$A165)</f>
        <v>320</v>
      </c>
      <c r="J165" s="8" t="n">
        <f aca="false">I165*$J$5</f>
        <v>404.21052631579</v>
      </c>
      <c r="K165" s="8" t="n">
        <f aca="false">J165-H165</f>
        <v>100.210526315789</v>
      </c>
      <c r="L165" s="9" t="n">
        <f aca="false">IF(AND(H165=0,J165=0),0,IF(H165=0,"New",(J165-H165)/H165))</f>
        <v>0.329639889196676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284</v>
      </c>
      <c r="B166" s="7" t="str">
        <f aca="false">IFERROR(INDEX('Source'!$C:$C,MATCH($A166,'Source'!$B:$B,0)),"")</f>
        <v>מתלה רשת לזרוע שחור 85B</v>
      </c>
      <c r="C166" s="8" t="n">
        <f aca="false">SUMIFS('Source'!$D:$D,'Source'!$A:$A,"151209 רוני אורטופדיה  בע""מ - רמבם",'Source'!$B:$B,$A166)</f>
        <v>6</v>
      </c>
      <c r="D166" s="8" t="n">
        <f aca="false">SUMIFS('Source'!$F:$F,'Source'!$A:$A,"151209 רוני אורטופדיה  בע""מ - רמבם",'Source'!$B:$B,$A166)</f>
        <v>6</v>
      </c>
      <c r="E166" s="8" t="n">
        <f aca="false">D166*$J$5</f>
        <v>7.57894736842105</v>
      </c>
      <c r="F166" s="8" t="n">
        <f aca="false">E166-C166</f>
        <v>1.57894736842105</v>
      </c>
      <c r="G166" s="9" t="n">
        <f aca="false">IF(AND(C166=0,E166=0),0,IF(C166=0,"New",(E166-C166)/C166))</f>
        <v>0.263157894736842</v>
      </c>
      <c r="H166" s="8" t="n">
        <f aca="false">SUMIFS('Source'!$E:$E,'Source'!$A:$A,"151209 רוני אורטופדיה  בע""מ - רמבם",'Source'!$B:$B,$A166)</f>
        <v>309.34</v>
      </c>
      <c r="I166" s="8" t="n">
        <f aca="false">SUMIFS('Source'!$G:$G,'Source'!$A:$A,"151209 רוני אורטופדיה  בע""מ - רמבם",'Source'!$B:$B,$A166)</f>
        <v>293.99</v>
      </c>
      <c r="J166" s="8" t="n">
        <f aca="false">I166*$J$5</f>
        <v>371.355789473684</v>
      </c>
      <c r="K166" s="8" t="n">
        <f aca="false">J166-H166</f>
        <v>62.0157894736842</v>
      </c>
      <c r="L166" s="9" t="n">
        <f aca="false">IF(AND(H166=0,J166=0),0,IF(H166=0,"New",(J166-H166)/H166))</f>
        <v>0.200477757398604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650</v>
      </c>
      <c r="B167" s="7" t="str">
        <f aca="false">IFERROR(INDEX('Source'!$C:$C,MATCH($A167,'Source'!$B:$B,0)),"")</f>
        <v>כ.הפרדת אצבעות ס</v>
      </c>
      <c r="C167" s="8" t="n">
        <f aca="false">SUMIFS('Source'!$D:$D,'Source'!$A:$A,"151209 רוני אורטופדיה  בע""מ - רמבם",'Source'!$B:$B,$A167)</f>
        <v>5</v>
      </c>
      <c r="D167" s="8" t="n">
        <f aca="false">SUMIFS('Source'!$F:$F,'Source'!$A:$A,"151209 רוני אורטופדיה  בע""מ - רמבם",'Source'!$B:$B,$A167)</f>
        <v>5</v>
      </c>
      <c r="E167" s="8" t="n">
        <f aca="false">D167*$J$5</f>
        <v>6.31578947368421</v>
      </c>
      <c r="F167" s="8" t="n">
        <f aca="false">E167-C167</f>
        <v>1.31578947368421</v>
      </c>
      <c r="G167" s="9" t="n">
        <f aca="false">IF(AND(C167=0,E167=0),0,IF(C167=0,"New",(E167-C167)/C167))</f>
        <v>0.263157894736842</v>
      </c>
      <c r="H167" s="8" t="n">
        <f aca="false">SUMIFS('Source'!$E:$E,'Source'!$A:$A,"151209 רוני אורטופדיה  בע""מ - רמבם",'Source'!$B:$B,$A167)</f>
        <v>62.76</v>
      </c>
      <c r="I167" s="8" t="n">
        <f aca="false">SUMIFS('Source'!$G:$G,'Source'!$A:$A,"151209 רוני אורטופדיה  בע""מ - רמבם",'Source'!$B:$B,$A167)</f>
        <v>72.41</v>
      </c>
      <c r="J167" s="8" t="n">
        <f aca="false">I167*$J$5</f>
        <v>91.4652631578947</v>
      </c>
      <c r="K167" s="8" t="n">
        <f aca="false">J167-H167</f>
        <v>28.7052631578947</v>
      </c>
      <c r="L167" s="9" t="n">
        <f aca="false">IF(AND(H167=0,J167=0),0,IF(H167=0,"New",(J167-H167)/H167))</f>
        <v>0.457381503471873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252</v>
      </c>
      <c r="B168" s="7" t="str">
        <f aca="false">IFERROR(INDEX('Source'!$C:$C,MATCH($A168,'Source'!$B:$B,0)),"")</f>
        <v>תומך ברך גנושילד</v>
      </c>
      <c r="C168" s="8" t="n">
        <f aca="false">SUMIFS('Source'!$D:$D,'Source'!$A:$A,"151209 רוני אורטופדיה  בע""מ - רמבם",'Source'!$B:$B,$A168)</f>
        <v>2</v>
      </c>
      <c r="D168" s="8" t="n">
        <f aca="false">SUMIFS('Source'!$F:$F,'Source'!$A:$A,"151209 רוני אורטופדיה  בע""מ - רמבם",'Source'!$B:$B,$A168)</f>
        <v>0</v>
      </c>
      <c r="E168" s="8" t="n">
        <f aca="false">D168*$J$5</f>
        <v>0</v>
      </c>
      <c r="F168" s="8" t="n">
        <f aca="false">E168-C168</f>
        <v>-2</v>
      </c>
      <c r="G168" s="9" t="n">
        <f aca="false">IF(AND(C168=0,E168=0),0,IF(C168=0,"New",(E168-C168)/C168))</f>
        <v>-1</v>
      </c>
      <c r="H168" s="8" t="n">
        <f aca="false">SUMIFS('Source'!$E:$E,'Source'!$A:$A,"151209 רוני אורטופדיה  בע""מ - רמבם",'Source'!$B:$B,$A168)</f>
        <v>0.01</v>
      </c>
      <c r="I168" s="8" t="n">
        <f aca="false">SUMIFS('Source'!$G:$G,'Source'!$A:$A,"151209 רוני אורטופדיה  בע""מ - רמבם",'Source'!$B:$B,$A168)</f>
        <v>0</v>
      </c>
      <c r="J168" s="8" t="n">
        <f aca="false">I168*$J$5</f>
        <v>0</v>
      </c>
      <c r="K168" s="8" t="n">
        <f aca="false">J168-H168</f>
        <v>-0.01</v>
      </c>
      <c r="L168" s="9" t="n">
        <f aca="false">IF(AND(H168=0,J168=0),0,IF(H168=0,"New",(J168-H168)/H168))</f>
        <v>-1</v>
      </c>
      <c r="M168" s="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false" outlineLevel="0" collapsed="false">
      <c r="A169" s="7" t="s">
        <v>385</v>
      </c>
      <c r="B169" s="7" t="str">
        <f aca="false">IFERROR(INDEX('Source'!$C:$C,MATCH($A169,'Source'!$B:$B,0)),"")</f>
        <v>חגורת שבר דו צדדית</v>
      </c>
      <c r="C169" s="8" t="n">
        <f aca="false">SUMIFS('Source'!$D:$D,'Source'!$A:$A,"151209 רוני אורטופדיה  בע""מ - רמבם",'Source'!$B:$B,$A169)</f>
        <v>1</v>
      </c>
      <c r="D169" s="8" t="n">
        <f aca="false">SUMIFS('Source'!$F:$F,'Source'!$A:$A,"151209 רוני אורטופדיה  בע""מ - רמבם",'Source'!$B:$B,$A169)</f>
        <v>1</v>
      </c>
      <c r="E169" s="8" t="n">
        <f aca="false">D169*$J$5</f>
        <v>1.26315789473684</v>
      </c>
      <c r="F169" s="8" t="n">
        <f aca="false">E169-C169</f>
        <v>0.263157894736842</v>
      </c>
      <c r="G169" s="9" t="n">
        <f aca="false">IF(AND(C169=0,E169=0),0,IF(C169=0,"New",(E169-C169)/C169))</f>
        <v>0.263157894736842</v>
      </c>
      <c r="H169" s="8" t="n">
        <f aca="false">SUMIFS('Source'!$E:$E,'Source'!$A:$A,"151209 רוני אורטופדיה  בע""מ - רמבם",'Source'!$B:$B,$A169)</f>
        <v>180</v>
      </c>
      <c r="I169" s="8" t="n">
        <f aca="false">SUMIFS('Source'!$G:$G,'Source'!$A:$A,"151209 רוני אורטופדיה  בע""מ - רמבם",'Source'!$B:$B,$A169)</f>
        <v>180</v>
      </c>
      <c r="J169" s="8" t="n">
        <f aca="false">I169*$J$5</f>
        <v>227.368421052632</v>
      </c>
      <c r="K169" s="8" t="n">
        <f aca="false">J169-H169</f>
        <v>47.3684210526316</v>
      </c>
      <c r="L169" s="9" t="n">
        <f aca="false">IF(AND(H169=0,J169=0),0,IF(H169=0,"New",(J169-H169)/H169))</f>
        <v>0.263157894736842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367</v>
      </c>
      <c r="B170" s="7" t="str">
        <f aca="false">IFERROR(INDEX('Source'!$C:$C,MATCH($A170,'Source'!$B:$B,0)),"")</f>
        <v>אצבעון מסיליקון</v>
      </c>
      <c r="C170" s="8" t="n">
        <f aca="false">SUMIFS('Source'!$D:$D,'Source'!$A:$A,"151209 רוני אורטופדיה  בע""מ - רמבם",'Source'!$B:$B,$A170)</f>
        <v>5</v>
      </c>
      <c r="D170" s="8" t="n">
        <f aca="false">SUMIFS('Source'!$F:$F,'Source'!$A:$A,"151209 רוני אורטופדיה  בע""מ - רמבם",'Source'!$B:$B,$A170)</f>
        <v>5</v>
      </c>
      <c r="E170" s="8" t="n">
        <f aca="false">D170*$J$5</f>
        <v>6.31578947368421</v>
      </c>
      <c r="F170" s="8" t="n">
        <f aca="false">E170-C170</f>
        <v>1.31578947368421</v>
      </c>
      <c r="G170" s="9" t="n">
        <f aca="false">IF(AND(C170=0,E170=0),0,IF(C170=0,"New",(E170-C170)/C170))</f>
        <v>0.263157894736842</v>
      </c>
      <c r="H170" s="8" t="n">
        <f aca="false">SUMIFS('Source'!$E:$E,'Source'!$A:$A,"151209 רוני אורטופדיה  בע""מ - רמבם",'Source'!$B:$B,$A170)</f>
        <v>130.99</v>
      </c>
      <c r="I170" s="8" t="n">
        <f aca="false">SUMIFS('Source'!$G:$G,'Source'!$A:$A,"151209 רוני אורטופדיה  בע""מ - רמבם",'Source'!$B:$B,$A170)</f>
        <v>130.99</v>
      </c>
      <c r="J170" s="8" t="n">
        <f aca="false">I170*$J$5</f>
        <v>165.461052631579</v>
      </c>
      <c r="K170" s="8" t="n">
        <f aca="false">J170-H170</f>
        <v>34.4710526315789</v>
      </c>
      <c r="L170" s="9" t="n">
        <f aca="false">IF(AND(H170=0,J170=0),0,IF(H170=0,"New",(J170-H170)/H170))</f>
        <v>0.263157894736842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757</v>
      </c>
      <c r="B171" s="7" t="str">
        <f aca="false">IFERROR(INDEX('Source'!$C:$C,MATCH($A171,'Source'!$B:$B,0)),"")</f>
        <v>מגן לכתף ימין/שמאל</v>
      </c>
      <c r="C171" s="8" t="n">
        <f aca="false">SUMIFS('Source'!$D:$D,'Source'!$A:$A,"151209 רוני אורטופדיה  בע""מ - רמבם",'Source'!$B:$B,$A171)</f>
        <v>1</v>
      </c>
      <c r="D171" s="8" t="n">
        <f aca="false">SUMIFS('Source'!$F:$F,'Source'!$A:$A,"151209 רוני אורטופדיה  בע""מ - רמבם",'Source'!$B:$B,$A171)</f>
        <v>1</v>
      </c>
      <c r="E171" s="8" t="n">
        <f aca="false">D171*$J$5</f>
        <v>1.26315789473684</v>
      </c>
      <c r="F171" s="8" t="n">
        <f aca="false">E171-C171</f>
        <v>0.263157894736842</v>
      </c>
      <c r="G171" s="9" t="n">
        <f aca="false">IF(AND(C171=0,E171=0),0,IF(C171=0,"New",(E171-C171)/C171))</f>
        <v>0.263157894736842</v>
      </c>
      <c r="H171" s="8" t="n">
        <f aca="false">SUMIFS('Source'!$E:$E,'Source'!$A:$A,"151209 רוני אורטופדיה  בע""מ - רמבם",'Source'!$B:$B,$A171)</f>
        <v>130</v>
      </c>
      <c r="I171" s="8" t="n">
        <f aca="false">SUMIFS('Source'!$G:$G,'Source'!$A:$A,"151209 רוני אורטופדיה  בע""מ - רמבם",'Source'!$B:$B,$A171)</f>
        <v>130</v>
      </c>
      <c r="J171" s="8" t="n">
        <f aca="false">I171*$J$5</f>
        <v>164.210526315789</v>
      </c>
      <c r="K171" s="8" t="n">
        <f aca="false">J171-H171</f>
        <v>34.2105263157895</v>
      </c>
      <c r="L171" s="9" t="n">
        <f aca="false">IF(AND(H171=0,J171=0),0,IF(H171=0,"New",(J171-H171)/H171))</f>
        <v>0.263157894736842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465</v>
      </c>
      <c r="B172" s="7" t="str">
        <f aca="false">IFERROR(INDEX('Source'!$C:$C,MATCH($A172,'Source'!$B:$B,0)),"")</f>
        <v>צוארון ספוגי</v>
      </c>
      <c r="C172" s="8" t="n">
        <f aca="false">SUMIFS('Source'!$D:$D,'Source'!$A:$A,"151209 רוני אורטופדיה  בע""מ - רמבם",'Source'!$B:$B,$A172)</f>
        <v>2</v>
      </c>
      <c r="D172" s="8" t="n">
        <f aca="false">SUMIFS('Source'!$F:$F,'Source'!$A:$A,"151209 רוני אורטופדיה  בע""מ - רמבם",'Source'!$B:$B,$A172)</f>
        <v>2</v>
      </c>
      <c r="E172" s="8" t="n">
        <f aca="false">D172*$J$5</f>
        <v>2.52631578947368</v>
      </c>
      <c r="F172" s="8" t="n">
        <f aca="false">E172-C172</f>
        <v>0.526315789473684</v>
      </c>
      <c r="G172" s="9" t="n">
        <f aca="false">IF(AND(C172=0,E172=0),0,IF(C172=0,"New",(E172-C172)/C172))</f>
        <v>0.263157894736842</v>
      </c>
      <c r="H172" s="8" t="n">
        <f aca="false">SUMIFS('Source'!$E:$E,'Source'!$A:$A,"151209 רוני אורטופדיה  בע""מ - רמבם",'Source'!$B:$B,$A172)</f>
        <v>99.27</v>
      </c>
      <c r="I172" s="8" t="n">
        <f aca="false">SUMIFS('Source'!$G:$G,'Source'!$A:$A,"151209 רוני אורטופדיה  בע""מ - רמבם",'Source'!$B:$B,$A172)</f>
        <v>99.27</v>
      </c>
      <c r="J172" s="8" t="n">
        <f aca="false">I172*$J$5</f>
        <v>125.393684210526</v>
      </c>
      <c r="K172" s="8" t="n">
        <f aca="false">J172-H172</f>
        <v>26.1236842105263</v>
      </c>
      <c r="L172" s="9" t="n">
        <f aca="false">IF(AND(H172=0,J172=0),0,IF(H172=0,"New",(J172-H172)/H172))</f>
        <v>0.263157894736842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596</v>
      </c>
      <c r="B173" s="7" t="str">
        <f aca="false">IFERROR(INDEX('Source'!$C:$C,MATCH($A173,'Source'!$B:$B,0)),"")</f>
        <v>צוארון ספוגי</v>
      </c>
      <c r="C173" s="8" t="n">
        <f aca="false">SUMIFS('Source'!$D:$D,'Source'!$A:$A,"151209 רוני אורטופדיה  בע""מ - רמבם",'Source'!$B:$B,$A173)</f>
        <v>2</v>
      </c>
      <c r="D173" s="8" t="n">
        <f aca="false">SUMIFS('Source'!$F:$F,'Source'!$A:$A,"151209 רוני אורטופדיה  בע""מ - רמבם",'Source'!$B:$B,$A173)</f>
        <v>2</v>
      </c>
      <c r="E173" s="8" t="n">
        <f aca="false">D173*$J$5</f>
        <v>2.52631578947368</v>
      </c>
      <c r="F173" s="8" t="n">
        <f aca="false">E173-C173</f>
        <v>0.526315789473684</v>
      </c>
      <c r="G173" s="9" t="n">
        <f aca="false">IF(AND(C173=0,E173=0),0,IF(C173=0,"New",(E173-C173)/C173))</f>
        <v>0.263157894736842</v>
      </c>
      <c r="H173" s="8" t="n">
        <f aca="false">SUMIFS('Source'!$E:$E,'Source'!$A:$A,"151209 רוני אורטופדיה  בע""מ - רמבם",'Source'!$B:$B,$A173)</f>
        <v>99.27</v>
      </c>
      <c r="I173" s="8" t="n">
        <f aca="false">SUMIFS('Source'!$G:$G,'Source'!$A:$A,"151209 רוני אורטופדיה  בע""מ - רמבם",'Source'!$B:$B,$A173)</f>
        <v>99.27</v>
      </c>
      <c r="J173" s="8" t="n">
        <f aca="false">I173*$J$5</f>
        <v>125.393684210526</v>
      </c>
      <c r="K173" s="8" t="n">
        <f aca="false">J173-H173</f>
        <v>26.1236842105263</v>
      </c>
      <c r="L173" s="9" t="n">
        <f aca="false">IF(AND(H173=0,J173=0),0,IF(H173=0,"New",(J173-H173)/H173))</f>
        <v>0.263157894736842</v>
      </c>
      <c r="M173" s="7" t="str">
        <f aca="false">IF(AND(OR(C173&lt;&gt;0,H173&lt;&gt;0),D173=0,I173=0),"DROP",IF(AND(OR(D173&lt;&gt;0,I173&lt;&gt;0),C173=0,H173=0),"NEW",""))</f>
        <v/>
      </c>
    </row>
    <row r="175" customFormat="false" ht="15" hidden="false" customHeight="false" outlineLevel="0" collapsed="false">
      <c r="A175" s="17"/>
      <c r="B175" s="18" t="s">
        <v>97</v>
      </c>
      <c r="C175" s="19" t="n">
        <f aca="false">SUM(C9:C173)</f>
        <v>600</v>
      </c>
      <c r="D175" s="19" t="n">
        <f aca="false">SUM(D9:D173)</f>
        <v>502</v>
      </c>
      <c r="E175" s="19" t="n">
        <f aca="false">SUM(E9:E173)</f>
        <v>634.105263157895</v>
      </c>
      <c r="F175" s="19" t="n">
        <f aca="false">SUM(F9:F173)</f>
        <v>34.1052631578947</v>
      </c>
      <c r="G175" s="20" t="n">
        <f aca="false">IF(C175=0,"N/A",F175/C175)</f>
        <v>0.0568421052631579</v>
      </c>
      <c r="H175" s="19" t="n">
        <f aca="false">SUM(H9:H173)</f>
        <v>54526.13</v>
      </c>
      <c r="I175" s="19" t="n">
        <f aca="false">SUM(I9:I173)</f>
        <v>63540.64</v>
      </c>
      <c r="J175" s="19" t="n">
        <f aca="false">SUM(J9:J173)</f>
        <v>80261.8610526316</v>
      </c>
      <c r="K175" s="19" t="n">
        <f aca="false">SUM(K9:K173)</f>
        <v>25735.7310526316</v>
      </c>
      <c r="L175" s="20" t="n">
        <f aca="false">IF(H175=0,"N/A",K175/H175)</f>
        <v>0.471988953784756</v>
      </c>
      <c r="M17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996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997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SUMPRODUCT(--(((C9:C191&lt;&gt;0)+(H9:H191&lt;&gt;0)&gt;0)*((D9:D191=0)*(I9:I191=0))))</f>
        <v>38</v>
      </c>
      <c r="C5" s="13" t="s">
        <v>47</v>
      </c>
      <c r="D5" s="14" t="n">
        <f aca="false">SUMPRODUCT(--(((D9:D191&lt;&gt;0)+(I9:I191&lt;&gt;0)&gt;0)*((C9:C191=0)*(H9:H191=0))))</f>
        <v>55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SUMPRODUCT(--(((C9:C191&lt;&gt;0)+(H9:H191&lt;&gt;0)&gt;0)*((D9:D191=0)*(I9:I191=0)))*C9:C191)</f>
        <v>533</v>
      </c>
      <c r="C6" s="13" t="s">
        <v>50</v>
      </c>
      <c r="D6" s="14" t="n">
        <f aca="false">SUMPRODUCT(--(((C9:C191&lt;&gt;0)+(H9:H191&lt;&gt;0)&gt;0)*((D9:D191=0)*(I9:I191=0)))*H9:H191)</f>
        <v>15504.74</v>
      </c>
      <c r="E6" s="13" t="s">
        <v>51</v>
      </c>
      <c r="F6" s="14" t="n">
        <f aca="false">SUMPRODUCT(--(((D9:D191&lt;&gt;0)+(I9:I191&lt;&gt;0)&gt;0)*((C9:C191=0)*(H9:H191=0)))*D9:D191)</f>
        <v>360</v>
      </c>
      <c r="G6" s="13" t="s">
        <v>52</v>
      </c>
      <c r="H6" s="14" t="n">
        <f aca="false">SUMPRODUCT(--(((D9:D191&lt;&gt;0)+(I9:I191&lt;&gt;0)&gt;0)*((C9:C191=0)*(H9:H191=0)))*I9:I191)</f>
        <v>16342.42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134</v>
      </c>
      <c r="B9" s="7" t="str">
        <f aca="false">IFERROR(INDEX('Source'!$C:$C,MATCH($A9,'Source'!$B:$B,0)),"")</f>
        <v>מ. בוניון + מפריד אצבע</v>
      </c>
      <c r="C9" s="8" t="n">
        <f aca="false">SUMIFS('Source'!$D:$D,'Source'!$A:$A,"160450 OY. EA. AB.",'Source'!$B:$B,$A9)</f>
        <v>200</v>
      </c>
      <c r="D9" s="8" t="n">
        <f aca="false">SUMIFS('Source'!$F:$F,'Source'!$A:$A,"160450 OY. EA. AB.",'Source'!$B:$B,$A9)</f>
        <v>40</v>
      </c>
      <c r="E9" s="8" t="n">
        <f aca="false">D9*$J$5</f>
        <v>50.5263157894737</v>
      </c>
      <c r="F9" s="8" t="n">
        <f aca="false">E9-C9</f>
        <v>-149.473684210526</v>
      </c>
      <c r="G9" s="9" t="n">
        <f aca="false">IF(AND(C9=0,E9=0),0,IF(C9=0,"New",(E9-C9)/C9))</f>
        <v>-0.747368421052632</v>
      </c>
      <c r="H9" s="8" t="n">
        <f aca="false">SUMIFS('Source'!$E:$E,'Source'!$A:$A,"160450 OY. EA. AB.",'Source'!$B:$B,$A9)</f>
        <v>3602.77</v>
      </c>
      <c r="I9" s="8" t="n">
        <f aca="false">SUMIFS('Source'!$G:$G,'Source'!$A:$A,"160450 OY. EA. AB.",'Source'!$B:$B,$A9)</f>
        <v>618.69</v>
      </c>
      <c r="J9" s="8" t="n">
        <f aca="false">I9*$J$5</f>
        <v>781.503157894737</v>
      </c>
      <c r="K9" s="8" t="n">
        <f aca="false">J9-H9</f>
        <v>-2821.26684210526</v>
      </c>
      <c r="L9" s="9" t="n">
        <f aca="false">IF(AND(H9=0,J9=0),0,IF(H9=0,"New",(J9-H9)/H9))</f>
        <v>-0.783082695288698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185</v>
      </c>
      <c r="B10" s="7" t="str">
        <f aca="false">IFERROR(INDEX('Source'!$C:$C,MATCH($A10,'Source'!$B:$B,0)),"")</f>
        <v>כרית עם סרט אלסט</v>
      </c>
      <c r="C10" s="8" t="n">
        <f aca="false">SUMIFS('Source'!$D:$D,'Source'!$A:$A,"160450 OY. EA. AB.",'Source'!$B:$B,$A10)</f>
        <v>140</v>
      </c>
      <c r="D10" s="8" t="n">
        <f aca="false">SUMIFS('Source'!$F:$F,'Source'!$A:$A,"160450 OY. EA. AB.",'Source'!$B:$B,$A10)</f>
        <v>30</v>
      </c>
      <c r="E10" s="8" t="n">
        <f aca="false">D10*$J$5</f>
        <v>37.8947368421053</v>
      </c>
      <c r="F10" s="8" t="n">
        <f aca="false">E10-C10</f>
        <v>-102.105263157895</v>
      </c>
      <c r="G10" s="9" t="n">
        <f aca="false">IF(AND(C10=0,E10=0),0,IF(C10=0,"New",(E10-C10)/C10))</f>
        <v>-0.729323308270677</v>
      </c>
      <c r="H10" s="8" t="n">
        <f aca="false">SUMIFS('Source'!$E:$E,'Source'!$A:$A,"160450 OY. EA. AB.",'Source'!$B:$B,$A10)</f>
        <v>2377.55</v>
      </c>
      <c r="I10" s="8" t="n">
        <f aca="false">SUMIFS('Source'!$G:$G,'Source'!$A:$A,"160450 OY. EA. AB.",'Source'!$B:$B,$A10)</f>
        <v>439.07</v>
      </c>
      <c r="J10" s="8" t="n">
        <f aca="false">I10*$J$5</f>
        <v>554.614736842105</v>
      </c>
      <c r="K10" s="8" t="n">
        <f aca="false">J10-H10</f>
        <v>-1822.9352631579</v>
      </c>
      <c r="L10" s="9" t="n">
        <f aca="false">IF(AND(H10=0,J10=0),0,IF(H10=0,"New",(J10-H10)/H10))</f>
        <v>-0.76672846550352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998</v>
      </c>
      <c r="B11" s="7" t="str">
        <f aca="false">IFERROR(INDEX('Source'!$C:$C,MATCH($A11,'Source'!$B:$B,0)),"")</f>
        <v>גרב לילה לטיפול בדורבן</v>
      </c>
      <c r="C11" s="8" t="n">
        <f aca="false">SUMIFS('Source'!$D:$D,'Source'!$A:$A,"160450 OY. EA. AB.",'Source'!$B:$B,$A11)</f>
        <v>60</v>
      </c>
      <c r="D11" s="8" t="n">
        <f aca="false">SUMIFS('Source'!$F:$F,'Source'!$A:$A,"160450 OY. EA. AB.",'Source'!$B:$B,$A11)</f>
        <v>15</v>
      </c>
      <c r="E11" s="8" t="n">
        <f aca="false">D11*$J$5</f>
        <v>18.9473684210526</v>
      </c>
      <c r="F11" s="8" t="n">
        <f aca="false">E11-C11</f>
        <v>-41.0526315789474</v>
      </c>
      <c r="G11" s="9" t="n">
        <f aca="false">IF(AND(C11=0,E11=0),0,IF(C11=0,"New",(E11-C11)/C11))</f>
        <v>-0.68421052631579</v>
      </c>
      <c r="H11" s="8" t="n">
        <f aca="false">SUMIFS('Source'!$E:$E,'Source'!$A:$A,"160450 OY. EA. AB.",'Source'!$B:$B,$A11)</f>
        <v>2271.41</v>
      </c>
      <c r="I11" s="8" t="n">
        <f aca="false">SUMIFS('Source'!$G:$G,'Source'!$A:$A,"160450 OY. EA. AB.",'Source'!$B:$B,$A11)</f>
        <v>493.96</v>
      </c>
      <c r="J11" s="8" t="n">
        <f aca="false">I11*$J$5</f>
        <v>623.949473684211</v>
      </c>
      <c r="K11" s="8" t="n">
        <f aca="false">J11-H11</f>
        <v>-1647.46052631579</v>
      </c>
      <c r="L11" s="9" t="n">
        <f aca="false">IF(AND(H11=0,J11=0),0,IF(H11=0,"New",(J11-H11)/H11))</f>
        <v>-0.725303017207721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339</v>
      </c>
      <c r="B12" s="7" t="str">
        <f aca="false">IFERROR(INDEX('Source'!$C:$C,MATCH($A12,'Source'!$B:$B,0)),"")</f>
        <v>מגן ברך מוצלב+מוטות</v>
      </c>
      <c r="C12" s="8" t="n">
        <f aca="false">SUMIFS('Source'!$D:$D,'Source'!$A:$A,"160450 OY. EA. AB.",'Source'!$B:$B,$A12)</f>
        <v>30</v>
      </c>
      <c r="D12" s="8" t="n">
        <f aca="false">SUMIFS('Source'!$F:$F,'Source'!$A:$A,"160450 OY. EA. AB.",'Source'!$B:$B,$A12)</f>
        <v>0</v>
      </c>
      <c r="E12" s="8" t="n">
        <f aca="false">D12*$J$5</f>
        <v>0</v>
      </c>
      <c r="F12" s="8" t="n">
        <f aca="false">E12-C12</f>
        <v>-30</v>
      </c>
      <c r="G12" s="9" t="n">
        <f aca="false">IF(AND(C12=0,E12=0),0,IF(C12=0,"New",(E12-C12)/C12))</f>
        <v>-1</v>
      </c>
      <c r="H12" s="8" t="n">
        <f aca="false">SUMIFS('Source'!$E:$E,'Source'!$A:$A,"160450 OY. EA. AB.",'Source'!$B:$B,$A12)</f>
        <v>1573.72</v>
      </c>
      <c r="I12" s="8" t="n">
        <f aca="false">SUMIFS('Source'!$G:$G,'Source'!$A:$A,"160450 OY. EA. AB.",'Source'!$B:$B,$A12)</f>
        <v>0</v>
      </c>
      <c r="J12" s="8" t="n">
        <f aca="false">I12*$J$5</f>
        <v>0</v>
      </c>
      <c r="K12" s="8" t="n">
        <f aca="false">J12-H12</f>
        <v>-1573.72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780</v>
      </c>
      <c r="B13" s="7" t="str">
        <f aca="false">IFERROR(INDEX('Source'!$C:$C,MATCH($A13,'Source'!$B:$B,0)),"")</f>
        <v>מגן ברך מוצלב+מוטות</v>
      </c>
      <c r="C13" s="8" t="n">
        <f aca="false">SUMIFS('Source'!$D:$D,'Source'!$A:$A,"160450 OY. EA. AB.",'Source'!$B:$B,$A13)</f>
        <v>30</v>
      </c>
      <c r="D13" s="8" t="n">
        <f aca="false">SUMIFS('Source'!$F:$F,'Source'!$A:$A,"160450 OY. EA. AB.",'Source'!$B:$B,$A13)</f>
        <v>0</v>
      </c>
      <c r="E13" s="8" t="n">
        <f aca="false">D13*$J$5</f>
        <v>0</v>
      </c>
      <c r="F13" s="8" t="n">
        <f aca="false">E13-C13</f>
        <v>-30</v>
      </c>
      <c r="G13" s="9" t="n">
        <f aca="false">IF(AND(C13=0,E13=0),0,IF(C13=0,"New",(E13-C13)/C13))</f>
        <v>-1</v>
      </c>
      <c r="H13" s="8" t="n">
        <f aca="false">SUMIFS('Source'!$E:$E,'Source'!$A:$A,"160450 OY. EA. AB.",'Source'!$B:$B,$A13)</f>
        <v>1573.72</v>
      </c>
      <c r="I13" s="8" t="n">
        <f aca="false">SUMIFS('Source'!$G:$G,'Source'!$A:$A,"160450 OY. EA. AB.",'Source'!$B:$B,$A13)</f>
        <v>0</v>
      </c>
      <c r="J13" s="8" t="n">
        <f aca="false">I13*$J$5</f>
        <v>0</v>
      </c>
      <c r="K13" s="8" t="n">
        <f aca="false">J13-H13</f>
        <v>-1573.72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192</v>
      </c>
      <c r="B14" s="7" t="str">
        <f aca="false">IFERROR(INDEX('Source'!$C:$C,MATCH($A14,'Source'!$B:$B,0)),"")</f>
        <v>מ.ברך מנאופרן+ציר D +כ.סיליקון</v>
      </c>
      <c r="C14" s="8" t="n">
        <f aca="false">SUMIFS('Source'!$D:$D,'Source'!$A:$A,"160450 OY. EA. AB.",'Source'!$B:$B,$A14)</f>
        <v>0</v>
      </c>
      <c r="D14" s="8" t="n">
        <f aca="false">SUMIFS('Source'!$F:$F,'Source'!$A:$A,"160450 OY. EA. AB.",'Source'!$B:$B,$A14)</f>
        <v>12</v>
      </c>
      <c r="E14" s="8" t="n">
        <f aca="false">D14*$J$5</f>
        <v>15.1578947368421</v>
      </c>
      <c r="F14" s="8" t="n">
        <f aca="false">E14-C14</f>
        <v>15.1578947368421</v>
      </c>
      <c r="G14" s="9" t="str">
        <f aca="false">IF(AND(C14=0,E14=0),0,IF(C14=0,"New",(E14-C14)/C14))</f>
        <v>New</v>
      </c>
      <c r="H14" s="8" t="n">
        <f aca="false">SUMIFS('Source'!$E:$E,'Source'!$A:$A,"160450 OY. EA. AB.",'Source'!$B:$B,$A14)</f>
        <v>0</v>
      </c>
      <c r="I14" s="8" t="n">
        <f aca="false">SUMIFS('Source'!$G:$G,'Source'!$A:$A,"160450 OY. EA. AB.",'Source'!$B:$B,$A14)</f>
        <v>1436.96</v>
      </c>
      <c r="J14" s="8" t="n">
        <f aca="false">I14*$J$5</f>
        <v>1815.10736842105</v>
      </c>
      <c r="K14" s="8" t="n">
        <f aca="false">J14-H14</f>
        <v>1815.10736842105</v>
      </c>
      <c r="L14" s="9" t="str">
        <f aca="false">IF(AND(H14=0,J14=0),0,IF(H14=0,"New",(J14-H14)/H14))</f>
        <v>New</v>
      </c>
      <c r="M14" s="7" t="str">
        <f aca="false">IF(AND(OR(C14&lt;&gt;0,H14&lt;&gt;0),D14=0,I14=0),"DROP",IF(AND(OR(D14&lt;&gt;0,I14&lt;&gt;0),C14=0,H14=0),"NEW",""))</f>
        <v>NEW</v>
      </c>
    </row>
    <row r="15" customFormat="false" ht="15" hidden="false" customHeight="false" outlineLevel="0" collapsed="false">
      <c r="A15" s="7" t="s">
        <v>999</v>
      </c>
      <c r="B15" s="7" t="str">
        <f aca="false">IFERROR(INDEX('Source'!$C:$C,MATCH($A15,'Source'!$B:$B,0)),"")</f>
        <v>גרב לילה לטיפול בדורבן</v>
      </c>
      <c r="C15" s="8" t="n">
        <f aca="false">SUMIFS('Source'!$D:$D,'Source'!$A:$A,"160450 OY. EA. AB.",'Source'!$B:$B,$A15)</f>
        <v>70</v>
      </c>
      <c r="D15" s="8" t="n">
        <f aca="false">SUMIFS('Source'!$F:$F,'Source'!$A:$A,"160450 OY. EA. AB.",'Source'!$B:$B,$A15)</f>
        <v>40</v>
      </c>
      <c r="E15" s="8" t="n">
        <f aca="false">D15*$J$5</f>
        <v>50.5263157894737</v>
      </c>
      <c r="F15" s="8" t="n">
        <f aca="false">E15-C15</f>
        <v>-19.4736842105263</v>
      </c>
      <c r="G15" s="9" t="n">
        <f aca="false">IF(AND(C15=0,E15=0),0,IF(C15=0,"New",(E15-C15)/C15))</f>
        <v>-0.278195488721805</v>
      </c>
      <c r="H15" s="8" t="n">
        <f aca="false">SUMIFS('Source'!$E:$E,'Source'!$A:$A,"160450 OY. EA. AB.",'Source'!$B:$B,$A15)</f>
        <v>2654.93</v>
      </c>
      <c r="I15" s="8" t="n">
        <f aca="false">SUMIFS('Source'!$G:$G,'Source'!$A:$A,"160450 OY. EA. AB.",'Source'!$B:$B,$A15)</f>
        <v>1317.21</v>
      </c>
      <c r="J15" s="8" t="n">
        <f aca="false">I15*$J$5</f>
        <v>1663.84421052632</v>
      </c>
      <c r="K15" s="8" t="n">
        <f aca="false">J15-H15</f>
        <v>-991.085789473684</v>
      </c>
      <c r="L15" s="9" t="n">
        <f aca="false">IF(AND(H15=0,J15=0),0,IF(H15=0,"New",(J15-H15)/H15))</f>
        <v>-0.373300158374678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276</v>
      </c>
      <c r="B16" s="7" t="str">
        <f aca="false">IFERROR(INDEX('Source'!$C:$C,MATCH($A16,'Source'!$B:$B,0)),"")</f>
        <v>מגן ברך מוצלב+מוטות</v>
      </c>
      <c r="C16" s="8" t="n">
        <f aca="false">SUMIFS('Source'!$D:$D,'Source'!$A:$A,"160450 OY. EA. AB.",'Source'!$B:$B,$A16)</f>
        <v>25</v>
      </c>
      <c r="D16" s="8" t="n">
        <f aca="false">SUMIFS('Source'!$F:$F,'Source'!$A:$A,"160450 OY. EA. AB.",'Source'!$B:$B,$A16)</f>
        <v>0</v>
      </c>
      <c r="E16" s="8" t="n">
        <f aca="false">D16*$J$5</f>
        <v>0</v>
      </c>
      <c r="F16" s="8" t="n">
        <f aca="false">E16-C16</f>
        <v>-25</v>
      </c>
      <c r="G16" s="9" t="n">
        <f aca="false">IF(AND(C16=0,E16=0),0,IF(C16=0,"New",(E16-C16)/C16))</f>
        <v>-1</v>
      </c>
      <c r="H16" s="8" t="n">
        <f aca="false">SUMIFS('Source'!$E:$E,'Source'!$A:$A,"160450 OY. EA. AB.",'Source'!$B:$B,$A16)</f>
        <v>1311.43</v>
      </c>
      <c r="I16" s="8" t="n">
        <f aca="false">SUMIFS('Source'!$G:$G,'Source'!$A:$A,"160450 OY. EA. AB.",'Source'!$B:$B,$A16)</f>
        <v>0</v>
      </c>
      <c r="J16" s="8" t="n">
        <f aca="false">I16*$J$5</f>
        <v>0</v>
      </c>
      <c r="K16" s="8" t="n">
        <f aca="false">J16-H16</f>
        <v>-1311.43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101</v>
      </c>
      <c r="B17" s="7" t="str">
        <f aca="false">IFERROR(INDEX('Source'!$C:$C,MATCH($A17,'Source'!$B:$B,0)),"")</f>
        <v>מיישר כתפיים</v>
      </c>
      <c r="C17" s="8" t="n">
        <f aca="false">SUMIFS('Source'!$D:$D,'Source'!$A:$A,"160450 OY. EA. AB.",'Source'!$B:$B,$A17)</f>
        <v>35</v>
      </c>
      <c r="D17" s="8" t="n">
        <f aca="false">SUMIFS('Source'!$F:$F,'Source'!$A:$A,"160450 OY. EA. AB.",'Source'!$B:$B,$A17)</f>
        <v>0</v>
      </c>
      <c r="E17" s="8" t="n">
        <f aca="false">D17*$J$5</f>
        <v>0</v>
      </c>
      <c r="F17" s="8" t="n">
        <f aca="false">E17-C17</f>
        <v>-35</v>
      </c>
      <c r="G17" s="9" t="n">
        <f aca="false">IF(AND(C17=0,E17=0),0,IF(C17=0,"New",(E17-C17)/C17))</f>
        <v>-1</v>
      </c>
      <c r="H17" s="8" t="n">
        <f aca="false">SUMIFS('Source'!$E:$E,'Source'!$A:$A,"160450 OY. EA. AB.",'Source'!$B:$B,$A17)</f>
        <v>1265.72</v>
      </c>
      <c r="I17" s="8" t="n">
        <f aca="false">SUMIFS('Source'!$G:$G,'Source'!$A:$A,"160450 OY. EA. AB.",'Source'!$B:$B,$A17)</f>
        <v>0</v>
      </c>
      <c r="J17" s="8" t="n">
        <f aca="false">I17*$J$5</f>
        <v>0</v>
      </c>
      <c r="K17" s="8" t="n">
        <f aca="false">J17-H17</f>
        <v>-1265.72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269</v>
      </c>
      <c r="B18" s="7" t="str">
        <f aca="false">IFERROR(INDEX('Source'!$C:$C,MATCH($A18,'Source'!$B:$B,0)),"")</f>
        <v>מ.ברך מנאופרן+ציר D +כ.סיליקון</v>
      </c>
      <c r="C18" s="8" t="n">
        <f aca="false">SUMIFS('Source'!$D:$D,'Source'!$A:$A,"160450 OY. EA. AB.",'Source'!$B:$B,$A18)</f>
        <v>0</v>
      </c>
      <c r="D18" s="8" t="n">
        <f aca="false">SUMIFS('Source'!$F:$F,'Source'!$A:$A,"160450 OY. EA. AB.",'Source'!$B:$B,$A18)</f>
        <v>10</v>
      </c>
      <c r="E18" s="8" t="n">
        <f aca="false">D18*$J$5</f>
        <v>12.6315789473684</v>
      </c>
      <c r="F18" s="8" t="n">
        <f aca="false">E18-C18</f>
        <v>12.6315789473684</v>
      </c>
      <c r="G18" s="9" t="str">
        <f aca="false">IF(AND(C18=0,E18=0),0,IF(C18=0,"New",(E18-C18)/C18))</f>
        <v>New</v>
      </c>
      <c r="H18" s="8" t="n">
        <f aca="false">SUMIFS('Source'!$E:$E,'Source'!$A:$A,"160450 OY. EA. AB.",'Source'!$B:$B,$A18)</f>
        <v>0</v>
      </c>
      <c r="I18" s="8" t="n">
        <f aca="false">SUMIFS('Source'!$G:$G,'Source'!$A:$A,"160450 OY. EA. AB.",'Source'!$B:$B,$A18)</f>
        <v>1197.47</v>
      </c>
      <c r="J18" s="8" t="n">
        <f aca="false">I18*$J$5</f>
        <v>1512.59368421053</v>
      </c>
      <c r="K18" s="8" t="n">
        <f aca="false">J18-H18</f>
        <v>1512.59368421053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280</v>
      </c>
      <c r="B19" s="7" t="str">
        <f aca="false">IFERROR(INDEX('Source'!$C:$C,MATCH($A19,'Source'!$B:$B,0)),"")</f>
        <v>מ.ברך</v>
      </c>
      <c r="C19" s="8" t="n">
        <f aca="false">SUMIFS('Source'!$D:$D,'Source'!$A:$A,"160450 OY. EA. AB.",'Source'!$B:$B,$A19)</f>
        <v>105</v>
      </c>
      <c r="D19" s="8" t="n">
        <f aca="false">SUMIFS('Source'!$F:$F,'Source'!$A:$A,"160450 OY. EA. AB.",'Source'!$B:$B,$A19)</f>
        <v>60</v>
      </c>
      <c r="E19" s="8" t="n">
        <f aca="false">D19*$J$5</f>
        <v>75.7894736842105</v>
      </c>
      <c r="F19" s="8" t="n">
        <f aca="false">E19-C19</f>
        <v>-29.2105263157895</v>
      </c>
      <c r="G19" s="9" t="n">
        <f aca="false">IF(AND(C19=0,E19=0),0,IF(C19=0,"New",(E19-C19)/C19))</f>
        <v>-0.278195488721805</v>
      </c>
      <c r="H19" s="8" t="n">
        <f aca="false">SUMIFS('Source'!$E:$E,'Source'!$A:$A,"160450 OY. EA. AB.",'Source'!$B:$B,$A19)</f>
        <v>2010.3</v>
      </c>
      <c r="I19" s="8" t="n">
        <f aca="false">SUMIFS('Source'!$G:$G,'Source'!$A:$A,"160450 OY. EA. AB.",'Source'!$B:$B,$A19)</f>
        <v>977.93</v>
      </c>
      <c r="J19" s="8" t="n">
        <f aca="false">I19*$J$5</f>
        <v>1235.28</v>
      </c>
      <c r="K19" s="8" t="n">
        <f aca="false">J19-H19</f>
        <v>-775.02</v>
      </c>
      <c r="L19" s="9" t="n">
        <f aca="false">IF(AND(H19=0,J19=0),0,IF(H19=0,"New",(J19-H19)/H19))</f>
        <v>-0.38552454857484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186</v>
      </c>
      <c r="B20" s="7" t="str">
        <f aca="false">IFERROR(INDEX('Source'!$C:$C,MATCH($A20,'Source'!$B:$B,0)),"")</f>
        <v>מ.ברך מנאופרן+ציר D +כ.סיליקון</v>
      </c>
      <c r="C20" s="8" t="n">
        <f aca="false">SUMIFS('Source'!$D:$D,'Source'!$A:$A,"160450 OY. EA. AB.",'Source'!$B:$B,$A20)</f>
        <v>0</v>
      </c>
      <c r="D20" s="8" t="n">
        <f aca="false">SUMIFS('Source'!$F:$F,'Source'!$A:$A,"160450 OY. EA. AB.",'Source'!$B:$B,$A20)</f>
        <v>8</v>
      </c>
      <c r="E20" s="8" t="n">
        <f aca="false">D20*$J$5</f>
        <v>10.1052631578947</v>
      </c>
      <c r="F20" s="8" t="n">
        <f aca="false">E20-C20</f>
        <v>10.1052631578947</v>
      </c>
      <c r="G20" s="9" t="str">
        <f aca="false">IF(AND(C20=0,E20=0),0,IF(C20=0,"New",(E20-C20)/C20))</f>
        <v>New</v>
      </c>
      <c r="H20" s="8" t="n">
        <f aca="false">SUMIFS('Source'!$E:$E,'Source'!$A:$A,"160450 OY. EA. AB.",'Source'!$B:$B,$A20)</f>
        <v>0</v>
      </c>
      <c r="I20" s="8" t="n">
        <f aca="false">SUMIFS('Source'!$G:$G,'Source'!$A:$A,"160450 OY. EA. AB.",'Source'!$B:$B,$A20)</f>
        <v>957.97</v>
      </c>
      <c r="J20" s="8" t="n">
        <f aca="false">I20*$J$5</f>
        <v>1210.06736842105</v>
      </c>
      <c r="K20" s="8" t="n">
        <f aca="false">J20-H20</f>
        <v>1210.06736842105</v>
      </c>
      <c r="L20" s="9" t="str">
        <f aca="false">IF(AND(H20=0,J20=0),0,IF(H20=0,"New",(J20-H20)/H20))</f>
        <v>New</v>
      </c>
      <c r="M20" s="7" t="str">
        <f aca="false">IF(AND(OR(C20&lt;&gt;0,H20&lt;&gt;0),D20=0,I20=0),"DROP",IF(AND(OR(D20&lt;&gt;0,I20&lt;&gt;0),C20=0,H20=0),"NEW",""))</f>
        <v>NEW</v>
      </c>
    </row>
    <row r="21" customFormat="false" ht="15" hidden="false" customHeight="false" outlineLevel="0" collapsed="false">
      <c r="A21" s="7" t="s">
        <v>668</v>
      </c>
      <c r="B21" s="7" t="str">
        <f aca="false">IFERROR(INDEX('Source'!$C:$C,MATCH($A21,'Source'!$B:$B,0)),"")</f>
        <v>רפידת ג'ל זיכרון W כחול</v>
      </c>
      <c r="C21" s="8" t="n">
        <f aca="false">SUMIFS('Source'!$D:$D,'Source'!$A:$A,"160450 OY. EA. AB.",'Source'!$B:$B,$A21)</f>
        <v>30</v>
      </c>
      <c r="D21" s="8" t="n">
        <f aca="false">SUMIFS('Source'!$F:$F,'Source'!$A:$A,"160450 OY. EA. AB.",'Source'!$B:$B,$A21)</f>
        <v>0</v>
      </c>
      <c r="E21" s="8" t="n">
        <f aca="false">D21*$J$5</f>
        <v>0</v>
      </c>
      <c r="F21" s="8" t="n">
        <f aca="false">E21-C21</f>
        <v>-30</v>
      </c>
      <c r="G21" s="9" t="n">
        <f aca="false">IF(AND(C21=0,E21=0),0,IF(C21=0,"New",(E21-C21)/C21))</f>
        <v>-1</v>
      </c>
      <c r="H21" s="8" t="n">
        <f aca="false">SUMIFS('Source'!$E:$E,'Source'!$A:$A,"160450 OY. EA. AB.",'Source'!$B:$B,$A21)</f>
        <v>917.06</v>
      </c>
      <c r="I21" s="8" t="n">
        <f aca="false">SUMIFS('Source'!$G:$G,'Source'!$A:$A,"160450 OY. EA. AB.",'Source'!$B:$B,$A21)</f>
        <v>0</v>
      </c>
      <c r="J21" s="8" t="n">
        <f aca="false">I21*$J$5</f>
        <v>0</v>
      </c>
      <c r="K21" s="8" t="n">
        <f aca="false">J21-H21</f>
        <v>-917.06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128</v>
      </c>
      <c r="B22" s="7" t="str">
        <f aca="false">IFERROR(INDEX('Source'!$C:$C,MATCH($A22,'Source'!$B:$B,0)),"")</f>
        <v>תומך ברך גנושילד</v>
      </c>
      <c r="C22" s="8" t="n">
        <f aca="false">SUMIFS('Source'!$D:$D,'Source'!$A:$A,"160450 OY. EA. AB.",'Source'!$B:$B,$A22)</f>
        <v>0</v>
      </c>
      <c r="D22" s="8" t="n">
        <f aca="false">SUMIFS('Source'!$F:$F,'Source'!$A:$A,"160450 OY. EA. AB.",'Source'!$B:$B,$A22)</f>
        <v>10</v>
      </c>
      <c r="E22" s="8" t="n">
        <f aca="false">D22*$J$5</f>
        <v>12.6315789473684</v>
      </c>
      <c r="F22" s="8" t="n">
        <f aca="false">E22-C22</f>
        <v>12.6315789473684</v>
      </c>
      <c r="G22" s="9" t="str">
        <f aca="false">IF(AND(C22=0,E22=0),0,IF(C22=0,"New",(E22-C22)/C22))</f>
        <v>New</v>
      </c>
      <c r="H22" s="8" t="n">
        <f aca="false">SUMIFS('Source'!$E:$E,'Source'!$A:$A,"160450 OY. EA. AB.",'Source'!$B:$B,$A22)</f>
        <v>0</v>
      </c>
      <c r="I22" s="8" t="n">
        <f aca="false">SUMIFS('Source'!$G:$G,'Source'!$A:$A,"160450 OY. EA. AB.",'Source'!$B:$B,$A22)</f>
        <v>891.45</v>
      </c>
      <c r="J22" s="8" t="n">
        <f aca="false">I22*$J$5</f>
        <v>1126.04210526316</v>
      </c>
      <c r="K22" s="8" t="n">
        <f aca="false">J22-H22</f>
        <v>1126.04210526316</v>
      </c>
      <c r="L22" s="9" t="str">
        <f aca="false">IF(AND(H22=0,J22=0),0,IF(H22=0,"New",(J22-H22)/H22))</f>
        <v>New</v>
      </c>
      <c r="M22" s="7" t="str">
        <f aca="false">IF(AND(OR(C22&lt;&gt;0,H22&lt;&gt;0),D22=0,I22=0),"DROP",IF(AND(OR(D22&lt;&gt;0,I22&lt;&gt;0),C22=0,H22=0),"NEW",""))</f>
        <v>NEW</v>
      </c>
    </row>
    <row r="23" customFormat="false" ht="15" hidden="false" customHeight="false" outlineLevel="0" collapsed="false">
      <c r="A23" s="7" t="s">
        <v>119</v>
      </c>
      <c r="B23" s="7" t="str">
        <f aca="false">IFERROR(INDEX('Source'!$C:$C,MATCH($A23,'Source'!$B:$B,0)),"")</f>
        <v>מיישר בוניון-HALUX VALGUS</v>
      </c>
      <c r="C23" s="8" t="n">
        <f aca="false">SUMIFS('Source'!$D:$D,'Source'!$A:$A,"160450 OY. EA. AB.",'Source'!$B:$B,$A23)</f>
        <v>70</v>
      </c>
      <c r="D23" s="8" t="n">
        <f aca="false">SUMIFS('Source'!$F:$F,'Source'!$A:$A,"160450 OY. EA. AB.",'Source'!$B:$B,$A23)</f>
        <v>30</v>
      </c>
      <c r="E23" s="8" t="n">
        <f aca="false">D23*$J$5</f>
        <v>37.8947368421053</v>
      </c>
      <c r="F23" s="8" t="n">
        <f aca="false">E23-C23</f>
        <v>-32.1052631578947</v>
      </c>
      <c r="G23" s="9" t="n">
        <f aca="false">IF(AND(C23=0,E23=0),0,IF(C23=0,"New",(E23-C23)/C23))</f>
        <v>-0.458646616541353</v>
      </c>
      <c r="H23" s="8" t="n">
        <f aca="false">SUMIFS('Source'!$E:$E,'Source'!$A:$A,"160450 OY. EA. AB.",'Source'!$B:$B,$A23)</f>
        <v>1279.23</v>
      </c>
      <c r="I23" s="8" t="n">
        <f aca="false">SUMIFS('Source'!$G:$G,'Source'!$A:$A,"160450 OY. EA. AB.",'Source'!$B:$B,$A23)</f>
        <v>469.01</v>
      </c>
      <c r="J23" s="8" t="n">
        <f aca="false">I23*$J$5</f>
        <v>592.433684210526</v>
      </c>
      <c r="K23" s="8" t="n">
        <f aca="false">J23-H23</f>
        <v>-686.796315789474</v>
      </c>
      <c r="L23" s="9" t="n">
        <f aca="false">IF(AND(H23=0,J23=0),0,IF(H23=0,"New",(J23-H23)/H23))</f>
        <v>-0.53688259014366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773</v>
      </c>
      <c r="B24" s="7" t="str">
        <f aca="false">IFERROR(INDEX('Source'!$C:$C,MATCH($A24,'Source'!$B:$B,0)),"")</f>
        <v>רפידת ג'ל זיכרון M בז'</v>
      </c>
      <c r="C24" s="8" t="n">
        <f aca="false">SUMIFS('Source'!$D:$D,'Source'!$A:$A,"160450 OY. EA. AB.",'Source'!$B:$B,$A24)</f>
        <v>0</v>
      </c>
      <c r="D24" s="8" t="n">
        <f aca="false">SUMIFS('Source'!$F:$F,'Source'!$A:$A,"160450 OY. EA. AB.",'Source'!$B:$B,$A24)</f>
        <v>30</v>
      </c>
      <c r="E24" s="8" t="n">
        <f aca="false">D24*$J$5</f>
        <v>37.8947368421053</v>
      </c>
      <c r="F24" s="8" t="n">
        <f aca="false">E24-C24</f>
        <v>37.8947368421053</v>
      </c>
      <c r="G24" s="9" t="str">
        <f aca="false">IF(AND(C24=0,E24=0),0,IF(C24=0,"New",(E24-C24)/C24))</f>
        <v>New</v>
      </c>
      <c r="H24" s="8" t="n">
        <f aca="false">SUMIFS('Source'!$E:$E,'Source'!$A:$A,"160450 OY. EA. AB.",'Source'!$B:$B,$A24)</f>
        <v>0</v>
      </c>
      <c r="I24" s="8" t="n">
        <f aca="false">SUMIFS('Source'!$G:$G,'Source'!$A:$A,"160450 OY. EA. AB.",'Source'!$B:$B,$A24)</f>
        <v>808.29</v>
      </c>
      <c r="J24" s="8" t="n">
        <f aca="false">I24*$J$5</f>
        <v>1020.99789473684</v>
      </c>
      <c r="K24" s="8" t="n">
        <f aca="false">J24-H24</f>
        <v>1020.99789473684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213</v>
      </c>
      <c r="B25" s="7" t="str">
        <f aca="false">IFERROR(INDEX('Source'!$C:$C,MATCH($A25,'Source'!$B:$B,0)),"")</f>
        <v>סד יד</v>
      </c>
      <c r="C25" s="8" t="n">
        <f aca="false">SUMIFS('Source'!$D:$D,'Source'!$A:$A,"160450 OY. EA. AB.",'Source'!$B:$B,$A25)</f>
        <v>60</v>
      </c>
      <c r="D25" s="8" t="n">
        <f aca="false">SUMIFS('Source'!$F:$F,'Source'!$A:$A,"160450 OY. EA. AB.",'Source'!$B:$B,$A25)</f>
        <v>20</v>
      </c>
      <c r="E25" s="8" t="n">
        <f aca="false">D25*$J$5</f>
        <v>25.2631578947368</v>
      </c>
      <c r="F25" s="8" t="n">
        <f aca="false">E25-C25</f>
        <v>-34.7368421052632</v>
      </c>
      <c r="G25" s="9" t="n">
        <f aca="false">IF(AND(C25=0,E25=0),0,IF(C25=0,"New",(E25-C25)/C25))</f>
        <v>-0.578947368421053</v>
      </c>
      <c r="H25" s="8" t="n">
        <f aca="false">SUMIFS('Source'!$E:$E,'Source'!$A:$A,"160450 OY. EA. AB.",'Source'!$B:$B,$A25)</f>
        <v>1104.08</v>
      </c>
      <c r="I25" s="8" t="n">
        <f aca="false">SUMIFS('Source'!$G:$G,'Source'!$A:$A,"160450 OY. EA. AB.",'Source'!$B:$B,$A25)</f>
        <v>316</v>
      </c>
      <c r="J25" s="8" t="n">
        <f aca="false">I25*$J$5</f>
        <v>399.157894736842</v>
      </c>
      <c r="K25" s="8" t="n">
        <f aca="false">J25-H25</f>
        <v>-704.922105263158</v>
      </c>
      <c r="L25" s="9" t="n">
        <f aca="false">IF(AND(H25=0,J25=0),0,IF(H25=0,"New",(J25-H25)/H25))</f>
        <v>-0.638470133743169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176</v>
      </c>
      <c r="B26" s="7" t="str">
        <f aca="false">IFERROR(INDEX('Source'!$C:$C,MATCH($A26,'Source'!$B:$B,0)),"")</f>
        <v>חבק יד</v>
      </c>
      <c r="C26" s="8" t="n">
        <f aca="false">SUMIFS('Source'!$D:$D,'Source'!$A:$A,"160450 OY. EA. AB.",'Source'!$B:$B,$A26)</f>
        <v>80</v>
      </c>
      <c r="D26" s="8" t="n">
        <f aca="false">SUMIFS('Source'!$F:$F,'Source'!$A:$A,"160450 OY. EA. AB.",'Source'!$B:$B,$A26)</f>
        <v>30</v>
      </c>
      <c r="E26" s="8" t="n">
        <f aca="false">D26*$J$5</f>
        <v>37.8947368421053</v>
      </c>
      <c r="F26" s="8" t="n">
        <f aca="false">E26-C26</f>
        <v>-42.1052631578947</v>
      </c>
      <c r="G26" s="9" t="n">
        <f aca="false">IF(AND(C26=0,E26=0),0,IF(C26=0,"New",(E26-C26)/C26))</f>
        <v>-0.526315789473684</v>
      </c>
      <c r="H26" s="8" t="n">
        <f aca="false">SUMIFS('Source'!$E:$E,'Source'!$A:$A,"160450 OY. EA. AB.",'Source'!$B:$B,$A26)</f>
        <v>1162.19</v>
      </c>
      <c r="I26" s="8" t="n">
        <f aca="false">SUMIFS('Source'!$G:$G,'Source'!$A:$A,"160450 OY. EA. AB.",'Source'!$B:$B,$A26)</f>
        <v>374.21</v>
      </c>
      <c r="J26" s="8" t="n">
        <f aca="false">I26*$J$5</f>
        <v>472.686315789474</v>
      </c>
      <c r="K26" s="8" t="n">
        <f aca="false">J26-H26</f>
        <v>-689.503684210526</v>
      </c>
      <c r="L26" s="9" t="n">
        <f aca="false">IF(AND(H26=0,J26=0),0,IF(H26=0,"New",(J26-H26)/H26))</f>
        <v>-0.5932796566917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288</v>
      </c>
      <c r="B27" s="7" t="str">
        <f aca="false">IFERROR(INDEX('Source'!$C:$C,MATCH($A27,'Source'!$B:$B,0)),"")</f>
        <v>מגן ברך מוצלב+מוטות</v>
      </c>
      <c r="C27" s="8" t="n">
        <f aca="false">SUMIFS('Source'!$D:$D,'Source'!$A:$A,"160450 OY. EA. AB.",'Source'!$B:$B,$A27)</f>
        <v>15</v>
      </c>
      <c r="D27" s="8" t="n">
        <f aca="false">SUMIFS('Source'!$F:$F,'Source'!$A:$A,"160450 OY. EA. AB.",'Source'!$B:$B,$A27)</f>
        <v>0</v>
      </c>
      <c r="E27" s="8" t="n">
        <f aca="false">D27*$J$5</f>
        <v>0</v>
      </c>
      <c r="F27" s="8" t="n">
        <f aca="false">E27-C27</f>
        <v>-15</v>
      </c>
      <c r="G27" s="9" t="n">
        <f aca="false">IF(AND(C27=0,E27=0),0,IF(C27=0,"New",(E27-C27)/C27))</f>
        <v>-1</v>
      </c>
      <c r="H27" s="8" t="n">
        <f aca="false">SUMIFS('Source'!$E:$E,'Source'!$A:$A,"160450 OY. EA. AB.",'Source'!$B:$B,$A27)</f>
        <v>786.86</v>
      </c>
      <c r="I27" s="8" t="n">
        <f aca="false">SUMIFS('Source'!$G:$G,'Source'!$A:$A,"160450 OY. EA. AB.",'Source'!$B:$B,$A27)</f>
        <v>0</v>
      </c>
      <c r="J27" s="8" t="n">
        <f aca="false">I27*$J$5</f>
        <v>0</v>
      </c>
      <c r="K27" s="8" t="n">
        <f aca="false">J27-H27</f>
        <v>-786.86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152</v>
      </c>
      <c r="B28" s="7" t="str">
        <f aca="false">IFERROR(INDEX('Source'!$C:$C,MATCH($A28,'Source'!$B:$B,0)),"")</f>
        <v>תומך ברך גנושילד</v>
      </c>
      <c r="C28" s="8" t="n">
        <f aca="false">SUMIFS('Source'!$D:$D,'Source'!$A:$A,"160450 OY. EA. AB.",'Source'!$B:$B,$A28)</f>
        <v>0</v>
      </c>
      <c r="D28" s="8" t="n">
        <f aca="false">SUMIFS('Source'!$F:$F,'Source'!$A:$A,"160450 OY. EA. AB.",'Source'!$B:$B,$A28)</f>
        <v>8</v>
      </c>
      <c r="E28" s="8" t="n">
        <f aca="false">D28*$J$5</f>
        <v>10.1052631578947</v>
      </c>
      <c r="F28" s="8" t="n">
        <f aca="false">E28-C28</f>
        <v>10.1052631578947</v>
      </c>
      <c r="G28" s="9" t="str">
        <f aca="false">IF(AND(C28=0,E28=0),0,IF(C28=0,"New",(E28-C28)/C28))</f>
        <v>New</v>
      </c>
      <c r="H28" s="8" t="n">
        <f aca="false">SUMIFS('Source'!$E:$E,'Source'!$A:$A,"160450 OY. EA. AB.",'Source'!$B:$B,$A28)</f>
        <v>0</v>
      </c>
      <c r="I28" s="8" t="n">
        <f aca="false">SUMIFS('Source'!$G:$G,'Source'!$A:$A,"160450 OY. EA. AB.",'Source'!$B:$B,$A28)</f>
        <v>713.16</v>
      </c>
      <c r="J28" s="8" t="n">
        <f aca="false">I28*$J$5</f>
        <v>900.833684210526</v>
      </c>
      <c r="K28" s="8" t="n">
        <f aca="false">J28-H28</f>
        <v>900.833684210526</v>
      </c>
      <c r="L28" s="9" t="str">
        <f aca="false">IF(AND(H28=0,J28=0),0,IF(H28=0,"New",(J28-H28)/H28))</f>
        <v>New</v>
      </c>
      <c r="M28" s="7" t="str">
        <f aca="false">IF(AND(OR(C28&lt;&gt;0,H28&lt;&gt;0),D28=0,I28=0),"DROP",IF(AND(OR(D28&lt;&gt;0,I28&lt;&gt;0),C28=0,H28=0),"NEW",""))</f>
        <v>NEW</v>
      </c>
    </row>
    <row r="29" customFormat="false" ht="15" hidden="false" customHeight="false" outlineLevel="0" collapsed="false">
      <c r="A29" s="7" t="s">
        <v>96</v>
      </c>
      <c r="B29" s="7" t="str">
        <f aca="false">IFERROR(INDEX('Source'!$C:$C,MATCH($A29,'Source'!$B:$B,0)),"")</f>
        <v>סד יד</v>
      </c>
      <c r="C29" s="8" t="n">
        <f aca="false">SUMIFS('Source'!$D:$D,'Source'!$A:$A,"160450 OY. EA. AB.",'Source'!$B:$B,$A29)</f>
        <v>50</v>
      </c>
      <c r="D29" s="8" t="n">
        <f aca="false">SUMIFS('Source'!$F:$F,'Source'!$A:$A,"160450 OY. EA. AB.",'Source'!$B:$B,$A29)</f>
        <v>15</v>
      </c>
      <c r="E29" s="8" t="n">
        <f aca="false">D29*$J$5</f>
        <v>18.9473684210526</v>
      </c>
      <c r="F29" s="8" t="n">
        <f aca="false">E29-C29</f>
        <v>-31.0526315789474</v>
      </c>
      <c r="G29" s="9" t="n">
        <f aca="false">IF(AND(C29=0,E29=0),0,IF(C29=0,"New",(E29-C29)/C29))</f>
        <v>-0.621052631578947</v>
      </c>
      <c r="H29" s="8" t="n">
        <f aca="false">SUMIFS('Source'!$E:$E,'Source'!$A:$A,"160450 OY. EA. AB.",'Source'!$B:$B,$A29)</f>
        <v>924.82</v>
      </c>
      <c r="I29" s="8" t="n">
        <f aca="false">SUMIFS('Source'!$G:$G,'Source'!$A:$A,"160450 OY. EA. AB.",'Source'!$B:$B,$A29)</f>
        <v>237</v>
      </c>
      <c r="J29" s="8" t="n">
        <f aca="false">I29*$J$5</f>
        <v>299.368421052632</v>
      </c>
      <c r="K29" s="8" t="n">
        <f aca="false">J29-H29</f>
        <v>-625.451578947368</v>
      </c>
      <c r="L29" s="9" t="n">
        <f aca="false">IF(AND(H29=0,J29=0),0,IF(H29=0,"New",(J29-H29)/H29))</f>
        <v>-0.676295472575602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154</v>
      </c>
      <c r="B30" s="7" t="str">
        <f aca="false">IFERROR(INDEX('Source'!$C:$C,MATCH($A30,'Source'!$B:$B,0)),"")</f>
        <v>חבק טניס שחור</v>
      </c>
      <c r="C30" s="8" t="n">
        <f aca="false">SUMIFS('Source'!$D:$D,'Source'!$A:$A,"160450 OY. EA. AB.",'Source'!$B:$B,$A30)</f>
        <v>0</v>
      </c>
      <c r="D30" s="8" t="n">
        <f aca="false">SUMIFS('Source'!$F:$F,'Source'!$A:$A,"160450 OY. EA. AB.",'Source'!$B:$B,$A30)</f>
        <v>15</v>
      </c>
      <c r="E30" s="8" t="n">
        <f aca="false">D30*$J$5</f>
        <v>18.9473684210526</v>
      </c>
      <c r="F30" s="8" t="n">
        <f aca="false">E30-C30</f>
        <v>18.9473684210526</v>
      </c>
      <c r="G30" s="9" t="str">
        <f aca="false">IF(AND(C30=0,E30=0),0,IF(C30=0,"New",(E30-C30)/C30))</f>
        <v>New</v>
      </c>
      <c r="H30" s="8" t="n">
        <f aca="false">SUMIFS('Source'!$E:$E,'Source'!$A:$A,"160450 OY. EA. AB.",'Source'!$B:$B,$A30)</f>
        <v>0</v>
      </c>
      <c r="I30" s="8" t="n">
        <f aca="false">SUMIFS('Source'!$G:$G,'Source'!$A:$A,"160450 OY. EA. AB.",'Source'!$B:$B,$A30)</f>
        <v>598.73</v>
      </c>
      <c r="J30" s="8" t="n">
        <f aca="false">I30*$J$5</f>
        <v>756.290526315789</v>
      </c>
      <c r="K30" s="8" t="n">
        <f aca="false">J30-H30</f>
        <v>756.290526315789</v>
      </c>
      <c r="L30" s="9" t="str">
        <f aca="false">IF(AND(H30=0,J30=0),0,IF(H30=0,"New",(J30-H30)/H30))</f>
        <v>New</v>
      </c>
      <c r="M30" s="7" t="str">
        <f aca="false">IF(AND(OR(C30&lt;&gt;0,H30&lt;&gt;0),D30=0,I30=0),"DROP",IF(AND(OR(D30&lt;&gt;0,I30&lt;&gt;0),C30=0,H30=0),"NEW",""))</f>
        <v>NEW</v>
      </c>
    </row>
    <row r="31" customFormat="false" ht="15" hidden="false" customHeight="false" outlineLevel="0" collapsed="false">
      <c r="A31" s="7" t="s">
        <v>305</v>
      </c>
      <c r="B31" s="7" t="str">
        <f aca="false">IFERROR(INDEX('Source'!$C:$C,MATCH($A31,'Source'!$B:$B,0)),"")</f>
        <v>חגורת בטן קלה</v>
      </c>
      <c r="C31" s="8" t="n">
        <f aca="false">SUMIFS('Source'!$D:$D,'Source'!$A:$A,"160450 OY. EA. AB.",'Source'!$B:$B,$A31)</f>
        <v>0</v>
      </c>
      <c r="D31" s="8" t="n">
        <f aca="false">SUMIFS('Source'!$F:$F,'Source'!$A:$A,"160450 OY. EA. AB.",'Source'!$B:$B,$A31)</f>
        <v>25</v>
      </c>
      <c r="E31" s="8" t="n">
        <f aca="false">D31*$J$5</f>
        <v>31.5789473684211</v>
      </c>
      <c r="F31" s="8" t="n">
        <f aca="false">E31-C31</f>
        <v>31.5789473684211</v>
      </c>
      <c r="G31" s="9" t="str">
        <f aca="false">IF(AND(C31=0,E31=0),0,IF(C31=0,"New",(E31-C31)/C31))</f>
        <v>New</v>
      </c>
      <c r="H31" s="8" t="n">
        <f aca="false">SUMIFS('Source'!$E:$E,'Source'!$A:$A,"160450 OY. EA. AB.",'Source'!$B:$B,$A31)</f>
        <v>0</v>
      </c>
      <c r="I31" s="8" t="n">
        <f aca="false">SUMIFS('Source'!$G:$G,'Source'!$A:$A,"160450 OY. EA. AB.",'Source'!$B:$B,$A31)</f>
        <v>594.58</v>
      </c>
      <c r="J31" s="8" t="n">
        <f aca="false">I31*$J$5</f>
        <v>751.048421052632</v>
      </c>
      <c r="K31" s="8" t="n">
        <f aca="false">J31-H31</f>
        <v>751.048421052632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582</v>
      </c>
      <c r="B32" s="7" t="str">
        <f aca="false">IFERROR(INDEX('Source'!$C:$C,MATCH($A32,'Source'!$B:$B,0)),"")</f>
        <v>חבק לשורש כף היד</v>
      </c>
      <c r="C32" s="8" t="n">
        <f aca="false">SUMIFS('Source'!$D:$D,'Source'!$A:$A,"160450 OY. EA. AB.",'Source'!$B:$B,$A32)</f>
        <v>70</v>
      </c>
      <c r="D32" s="8" t="n">
        <f aca="false">SUMIFS('Source'!$F:$F,'Source'!$A:$A,"160450 OY. EA. AB.",'Source'!$B:$B,$A32)</f>
        <v>40</v>
      </c>
      <c r="E32" s="8" t="n">
        <f aca="false">D32*$J$5</f>
        <v>50.5263157894737</v>
      </c>
      <c r="F32" s="8" t="n">
        <f aca="false">E32-C32</f>
        <v>-19.4736842105263</v>
      </c>
      <c r="G32" s="9" t="n">
        <f aca="false">IF(AND(C32=0,E32=0),0,IF(C32=0,"New",(E32-C32)/C32))</f>
        <v>-0.278195488721805</v>
      </c>
      <c r="H32" s="8" t="n">
        <f aca="false">SUMIFS('Source'!$E:$E,'Source'!$A:$A,"160450 OY. EA. AB.",'Source'!$B:$B,$A32)</f>
        <v>1148.25</v>
      </c>
      <c r="I32" s="8" t="n">
        <f aca="false">SUMIFS('Source'!$G:$G,'Source'!$A:$A,"160450 OY. EA. AB.",'Source'!$B:$B,$A32)</f>
        <v>565.47</v>
      </c>
      <c r="J32" s="8" t="n">
        <f aca="false">I32*$J$5</f>
        <v>714.277894736842</v>
      </c>
      <c r="K32" s="8" t="n">
        <f aca="false">J32-H32</f>
        <v>-433.972105263158</v>
      </c>
      <c r="L32" s="9" t="n">
        <f aca="false">IF(AND(H32=0,J32=0),0,IF(H32=0,"New",(J32-H32)/H32))</f>
        <v>-0.377942177455396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494</v>
      </c>
      <c r="B33" s="7" t="str">
        <f aca="false">IFERROR(INDEX('Source'!$C:$C,MATCH($A33,'Source'!$B:$B,0)),"")</f>
        <v>בננה לתמכת אצבעו</v>
      </c>
      <c r="C33" s="8" t="n">
        <f aca="false">SUMIFS('Source'!$D:$D,'Source'!$A:$A,"160450 OY. EA. AB.",'Source'!$B:$B,$A33)</f>
        <v>75</v>
      </c>
      <c r="D33" s="8" t="n">
        <f aca="false">SUMIFS('Source'!$F:$F,'Source'!$A:$A,"160450 OY. EA. AB.",'Source'!$B:$B,$A33)</f>
        <v>35</v>
      </c>
      <c r="E33" s="8" t="n">
        <f aca="false">D33*$J$5</f>
        <v>44.2105263157895</v>
      </c>
      <c r="F33" s="8" t="n">
        <f aca="false">E33-C33</f>
        <v>-30.7894736842105</v>
      </c>
      <c r="G33" s="9" t="n">
        <f aca="false">IF(AND(C33=0,E33=0),0,IF(C33=0,"New",(E33-C33)/C33))</f>
        <v>-0.410526315789474</v>
      </c>
      <c r="H33" s="8" t="n">
        <f aca="false">SUMIFS('Source'!$E:$E,'Source'!$A:$A,"160450 OY. EA. AB.",'Source'!$B:$B,$A33)</f>
        <v>960.46</v>
      </c>
      <c r="I33" s="8" t="n">
        <f aca="false">SUMIFS('Source'!$G:$G,'Source'!$A:$A,"160450 OY. EA. AB.",'Source'!$B:$B,$A33)</f>
        <v>384.19</v>
      </c>
      <c r="J33" s="8" t="n">
        <f aca="false">I33*$J$5</f>
        <v>485.292631578947</v>
      </c>
      <c r="K33" s="8" t="n">
        <f aca="false">J33-H33</f>
        <v>-475.167368421053</v>
      </c>
      <c r="L33" s="9" t="n">
        <f aca="false">IF(AND(H33=0,J33=0),0,IF(H33=0,"New",(J33-H33)/H33))</f>
        <v>-0.494728951149504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143</v>
      </c>
      <c r="B34" s="7" t="str">
        <f aca="false">IFERROR(INDEX('Source'!$C:$C,MATCH($A34,'Source'!$B:$B,0)),"")</f>
        <v>סד יד דו צדדי</v>
      </c>
      <c r="C34" s="8" t="n">
        <f aca="false">SUMIFS('Source'!$D:$D,'Source'!$A:$A,"160450 OY. EA. AB.",'Source'!$B:$B,$A34)</f>
        <v>30</v>
      </c>
      <c r="D34" s="8" t="n">
        <f aca="false">SUMIFS('Source'!$F:$F,'Source'!$A:$A,"160450 OY. EA. AB.",'Source'!$B:$B,$A34)</f>
        <v>10</v>
      </c>
      <c r="E34" s="8" t="n">
        <f aca="false">D34*$J$5</f>
        <v>12.6315789473684</v>
      </c>
      <c r="F34" s="8" t="n">
        <f aca="false">E34-C34</f>
        <v>-17.3684210526316</v>
      </c>
      <c r="G34" s="9" t="n">
        <f aca="false">IF(AND(C34=0,E34=0),0,IF(C34=0,"New",(E34-C34)/C34))</f>
        <v>-0.578947368421053</v>
      </c>
      <c r="H34" s="8" t="n">
        <f aca="false">SUMIFS('Source'!$E:$E,'Source'!$A:$A,"160450 OY. EA. AB.",'Source'!$B:$B,$A34)</f>
        <v>751.09</v>
      </c>
      <c r="I34" s="8" t="n">
        <f aca="false">SUMIFS('Source'!$G:$G,'Source'!$A:$A,"160450 OY. EA. AB.",'Source'!$B:$B,$A34)</f>
        <v>209.56</v>
      </c>
      <c r="J34" s="8" t="n">
        <f aca="false">I34*$J$5</f>
        <v>264.707368421053</v>
      </c>
      <c r="K34" s="8" t="n">
        <f aca="false">J34-H34</f>
        <v>-486.382631578947</v>
      </c>
      <c r="L34" s="9" t="n">
        <f aca="false">IF(AND(H34=0,J34=0),0,IF(H34=0,"New",(J34-H34)/H34))</f>
        <v>-0.647569041764565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122</v>
      </c>
      <c r="B35" s="7" t="str">
        <f aca="false">IFERROR(INDEX('Source'!$C:$C,MATCH($A35,'Source'!$B:$B,0)),"")</f>
        <v>תומך ברך גנושילד</v>
      </c>
      <c r="C35" s="8" t="n">
        <f aca="false">SUMIFS('Source'!$D:$D,'Source'!$A:$A,"160450 OY. EA. AB.",'Source'!$B:$B,$A35)</f>
        <v>0</v>
      </c>
      <c r="D35" s="8" t="n">
        <f aca="false">SUMIFS('Source'!$F:$F,'Source'!$A:$A,"160450 OY. EA. AB.",'Source'!$B:$B,$A35)</f>
        <v>6</v>
      </c>
      <c r="E35" s="8" t="n">
        <f aca="false">D35*$J$5</f>
        <v>7.57894736842105</v>
      </c>
      <c r="F35" s="8" t="n">
        <f aca="false">E35-C35</f>
        <v>7.57894736842105</v>
      </c>
      <c r="G35" s="9" t="str">
        <f aca="false">IF(AND(C35=0,E35=0),0,IF(C35=0,"New",(E35-C35)/C35))</f>
        <v>New</v>
      </c>
      <c r="H35" s="8" t="n">
        <f aca="false">SUMIFS('Source'!$E:$E,'Source'!$A:$A,"160450 OY. EA. AB.",'Source'!$B:$B,$A35)</f>
        <v>0</v>
      </c>
      <c r="I35" s="8" t="n">
        <f aca="false">SUMIFS('Source'!$G:$G,'Source'!$A:$A,"160450 OY. EA. AB.",'Source'!$B:$B,$A35)</f>
        <v>534.87</v>
      </c>
      <c r="J35" s="8" t="n">
        <f aca="false">I35*$J$5</f>
        <v>675.625263157895</v>
      </c>
      <c r="K35" s="8" t="n">
        <f aca="false">J35-H35</f>
        <v>675.625263157895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593</v>
      </c>
      <c r="B36" s="7" t="str">
        <f aca="false">IFERROR(INDEX('Source'!$C:$C,MATCH($A36,'Source'!$B:$B,0)),"")</f>
        <v>מגן ברך מוצלב+מוטות</v>
      </c>
      <c r="C36" s="8" t="n">
        <f aca="false">SUMIFS('Source'!$D:$D,'Source'!$A:$A,"160450 OY. EA. AB.",'Source'!$B:$B,$A36)</f>
        <v>10</v>
      </c>
      <c r="D36" s="8" t="n">
        <f aca="false">SUMIFS('Source'!$F:$F,'Source'!$A:$A,"160450 OY. EA. AB.",'Source'!$B:$B,$A36)</f>
        <v>0</v>
      </c>
      <c r="E36" s="8" t="n">
        <f aca="false">D36*$J$5</f>
        <v>0</v>
      </c>
      <c r="F36" s="8" t="n">
        <f aca="false">E36-C36</f>
        <v>-10</v>
      </c>
      <c r="G36" s="9" t="n">
        <f aca="false">IF(AND(C36=0,E36=0),0,IF(C36=0,"New",(E36-C36)/C36))</f>
        <v>-1</v>
      </c>
      <c r="H36" s="8" t="n">
        <f aca="false">SUMIFS('Source'!$E:$E,'Source'!$A:$A,"160450 OY. EA. AB.",'Source'!$B:$B,$A36)</f>
        <v>524.57</v>
      </c>
      <c r="I36" s="8" t="n">
        <f aca="false">SUMIFS('Source'!$G:$G,'Source'!$A:$A,"160450 OY. EA. AB.",'Source'!$B:$B,$A36)</f>
        <v>0</v>
      </c>
      <c r="J36" s="8" t="n">
        <f aca="false">I36*$J$5</f>
        <v>0</v>
      </c>
      <c r="K36" s="8" t="n">
        <f aca="false">J36-H36</f>
        <v>-524.57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689</v>
      </c>
      <c r="B37" s="7" t="str">
        <f aca="false">IFERROR(INDEX('Source'!$C:$C,MATCH($A37,'Source'!$B:$B,0)),"")</f>
        <v>עקב סיליקון שטוח</v>
      </c>
      <c r="C37" s="8" t="n">
        <f aca="false">SUMIFS('Source'!$D:$D,'Source'!$A:$A,"160450 OY. EA. AB.",'Source'!$B:$B,$A37)</f>
        <v>20</v>
      </c>
      <c r="D37" s="8" t="n">
        <f aca="false">SUMIFS('Source'!$F:$F,'Source'!$A:$A,"160450 OY. EA. AB.",'Source'!$B:$B,$A37)</f>
        <v>0</v>
      </c>
      <c r="E37" s="8" t="n">
        <f aca="false">D37*$J$5</f>
        <v>0</v>
      </c>
      <c r="F37" s="8" t="n">
        <f aca="false">E37-C37</f>
        <v>-20</v>
      </c>
      <c r="G37" s="9" t="n">
        <f aca="false">IF(AND(C37=0,E37=0),0,IF(C37=0,"New",(E37-C37)/C37))</f>
        <v>-1</v>
      </c>
      <c r="H37" s="8" t="n">
        <f aca="false">SUMIFS('Source'!$E:$E,'Source'!$A:$A,"160450 OY. EA. AB.",'Source'!$B:$B,$A37)</f>
        <v>515.23</v>
      </c>
      <c r="I37" s="8" t="n">
        <f aca="false">SUMIFS('Source'!$G:$G,'Source'!$A:$A,"160450 OY. EA. AB.",'Source'!$B:$B,$A37)</f>
        <v>0</v>
      </c>
      <c r="J37" s="8" t="n">
        <f aca="false">I37*$J$5</f>
        <v>0</v>
      </c>
      <c r="K37" s="8" t="n">
        <f aca="false">J37-H37</f>
        <v>-515.23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209</v>
      </c>
      <c r="B38" s="7" t="str">
        <f aca="false">IFERROR(INDEX('Source'!$C:$C,MATCH($A38,'Source'!$B:$B,0)),"")</f>
        <v>רצועה לפיקת הברך</v>
      </c>
      <c r="C38" s="8" t="n">
        <f aca="false">SUMIFS('Source'!$D:$D,'Source'!$A:$A,"160450 OY. EA. AB.",'Source'!$B:$B,$A38)</f>
        <v>15</v>
      </c>
      <c r="D38" s="8" t="n">
        <f aca="false">SUMIFS('Source'!$F:$F,'Source'!$A:$A,"160450 OY. EA. AB.",'Source'!$B:$B,$A38)</f>
        <v>0</v>
      </c>
      <c r="E38" s="8" t="n">
        <f aca="false">D38*$J$5</f>
        <v>0</v>
      </c>
      <c r="F38" s="8" t="n">
        <f aca="false">E38-C38</f>
        <v>-15</v>
      </c>
      <c r="G38" s="9" t="n">
        <f aca="false">IF(AND(C38=0,E38=0),0,IF(C38=0,"New",(E38-C38)/C38))</f>
        <v>-1</v>
      </c>
      <c r="H38" s="8" t="n">
        <f aca="false">SUMIFS('Source'!$E:$E,'Source'!$A:$A,"160450 OY. EA. AB.",'Source'!$B:$B,$A38)</f>
        <v>503.7</v>
      </c>
      <c r="I38" s="8" t="n">
        <f aca="false">SUMIFS('Source'!$G:$G,'Source'!$A:$A,"160450 OY. EA. AB.",'Source'!$B:$B,$A38)</f>
        <v>0</v>
      </c>
      <c r="J38" s="8" t="n">
        <f aca="false">I38*$J$5</f>
        <v>0</v>
      </c>
      <c r="K38" s="8" t="n">
        <f aca="false">J38-H38</f>
        <v>-503.7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615</v>
      </c>
      <c r="B39" s="7" t="str">
        <f aca="false">IFERROR(INDEX('Source'!$C:$C,MATCH($A39,'Source'!$B:$B,0)),"")</f>
        <v>מגן קרסול מתכוון</v>
      </c>
      <c r="C39" s="8" t="n">
        <f aca="false">SUMIFS('Source'!$D:$D,'Source'!$A:$A,"160450 OY. EA. AB.",'Source'!$B:$B,$A39)</f>
        <v>15</v>
      </c>
      <c r="D39" s="8" t="n">
        <f aca="false">SUMIFS('Source'!$F:$F,'Source'!$A:$A,"160450 OY. EA. AB.",'Source'!$B:$B,$A39)</f>
        <v>0</v>
      </c>
      <c r="E39" s="8" t="n">
        <f aca="false">D39*$J$5</f>
        <v>0</v>
      </c>
      <c r="F39" s="8" t="n">
        <f aca="false">E39-C39</f>
        <v>-15</v>
      </c>
      <c r="G39" s="9" t="n">
        <f aca="false">IF(AND(C39=0,E39=0),0,IF(C39=0,"New",(E39-C39)/C39))</f>
        <v>-1</v>
      </c>
      <c r="H39" s="8" t="n">
        <f aca="false">SUMIFS('Source'!$E:$E,'Source'!$A:$A,"160450 OY. EA. AB.",'Source'!$B:$B,$A39)</f>
        <v>503.7</v>
      </c>
      <c r="I39" s="8" t="n">
        <f aca="false">SUMIFS('Source'!$G:$G,'Source'!$A:$A,"160450 OY. EA. AB.",'Source'!$B:$B,$A39)</f>
        <v>0</v>
      </c>
      <c r="J39" s="8" t="n">
        <f aca="false">I39*$J$5</f>
        <v>0</v>
      </c>
      <c r="K39" s="8" t="n">
        <f aca="false">J39-H39</f>
        <v>-503.7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450</v>
      </c>
      <c r="B40" s="7" t="str">
        <f aca="false">IFERROR(INDEX('Source'!$C:$C,MATCH($A40,'Source'!$B:$B,0)),"")</f>
        <v>מגן קרסול מתכוון</v>
      </c>
      <c r="C40" s="8" t="n">
        <f aca="false">SUMIFS('Source'!$D:$D,'Source'!$A:$A,"160450 OY. EA. AB.",'Source'!$B:$B,$A40)</f>
        <v>15</v>
      </c>
      <c r="D40" s="8" t="n">
        <f aca="false">SUMIFS('Source'!$F:$F,'Source'!$A:$A,"160450 OY. EA. AB.",'Source'!$B:$B,$A40)</f>
        <v>0</v>
      </c>
      <c r="E40" s="8" t="n">
        <f aca="false">D40*$J$5</f>
        <v>0</v>
      </c>
      <c r="F40" s="8" t="n">
        <f aca="false">E40-C40</f>
        <v>-15</v>
      </c>
      <c r="G40" s="9" t="n">
        <f aca="false">IF(AND(C40=0,E40=0),0,IF(C40=0,"New",(E40-C40)/C40))</f>
        <v>-1</v>
      </c>
      <c r="H40" s="8" t="n">
        <f aca="false">SUMIFS('Source'!$E:$E,'Source'!$A:$A,"160450 OY. EA. AB.",'Source'!$B:$B,$A40)</f>
        <v>503.7</v>
      </c>
      <c r="I40" s="8" t="n">
        <f aca="false">SUMIFS('Source'!$G:$G,'Source'!$A:$A,"160450 OY. EA. AB.",'Source'!$B:$B,$A40)</f>
        <v>0</v>
      </c>
      <c r="J40" s="8" t="n">
        <f aca="false">I40*$J$5</f>
        <v>0</v>
      </c>
      <c r="K40" s="8" t="n">
        <f aca="false">J40-H40</f>
        <v>-503.7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936</v>
      </c>
      <c r="B41" s="7" t="str">
        <f aca="false">IFERROR(INDEX('Source'!$C:$C,MATCH($A41,'Source'!$B:$B,0)),"")</f>
        <v>סד קרסול קל שחורL</v>
      </c>
      <c r="C41" s="8" t="n">
        <f aca="false">SUMIFS('Source'!$D:$D,'Source'!$A:$A,"160450 OY. EA. AB.",'Source'!$B:$B,$A41)</f>
        <v>0</v>
      </c>
      <c r="D41" s="8" t="n">
        <f aca="false">SUMIFS('Source'!$F:$F,'Source'!$A:$A,"160450 OY. EA. AB.",'Source'!$B:$B,$A41)</f>
        <v>8</v>
      </c>
      <c r="E41" s="8" t="n">
        <f aca="false">D41*$J$5</f>
        <v>10.1052631578947</v>
      </c>
      <c r="F41" s="8" t="n">
        <f aca="false">E41-C41</f>
        <v>10.1052631578947</v>
      </c>
      <c r="G41" s="9" t="str">
        <f aca="false">IF(AND(C41=0,E41=0),0,IF(C41=0,"New",(E41-C41)/C41))</f>
        <v>New</v>
      </c>
      <c r="H41" s="8" t="n">
        <f aca="false">SUMIFS('Source'!$E:$E,'Source'!$A:$A,"160450 OY. EA. AB.",'Source'!$B:$B,$A41)</f>
        <v>0</v>
      </c>
      <c r="I41" s="8" t="n">
        <f aca="false">SUMIFS('Source'!$G:$G,'Source'!$A:$A,"160450 OY. EA. AB.",'Source'!$B:$B,$A41)</f>
        <v>493.62</v>
      </c>
      <c r="J41" s="8" t="n">
        <f aca="false">I41*$J$5</f>
        <v>623.52</v>
      </c>
      <c r="K41" s="8" t="n">
        <f aca="false">J41-H41</f>
        <v>623.52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579</v>
      </c>
      <c r="B42" s="7" t="str">
        <f aca="false">IFERROR(INDEX('Source'!$C:$C,MATCH($A42,'Source'!$B:$B,0)),"")</f>
        <v>סד קרסול קל שחור M</v>
      </c>
      <c r="C42" s="8" t="n">
        <f aca="false">SUMIFS('Source'!$D:$D,'Source'!$A:$A,"160450 OY. EA. AB.",'Source'!$B:$B,$A42)</f>
        <v>0</v>
      </c>
      <c r="D42" s="8" t="n">
        <f aca="false">SUMIFS('Source'!$F:$F,'Source'!$A:$A,"160450 OY. EA. AB.",'Source'!$B:$B,$A42)</f>
        <v>8</v>
      </c>
      <c r="E42" s="8" t="n">
        <f aca="false">D42*$J$5</f>
        <v>10.1052631578947</v>
      </c>
      <c r="F42" s="8" t="n">
        <f aca="false">E42-C42</f>
        <v>10.1052631578947</v>
      </c>
      <c r="G42" s="9" t="str">
        <f aca="false">IF(AND(C42=0,E42=0),0,IF(C42=0,"New",(E42-C42)/C42))</f>
        <v>New</v>
      </c>
      <c r="H42" s="8" t="n">
        <f aca="false">SUMIFS('Source'!$E:$E,'Source'!$A:$A,"160450 OY. EA. AB.",'Source'!$B:$B,$A42)</f>
        <v>0</v>
      </c>
      <c r="I42" s="8" t="n">
        <f aca="false">SUMIFS('Source'!$G:$G,'Source'!$A:$A,"160450 OY. EA. AB.",'Source'!$B:$B,$A42)</f>
        <v>493.62</v>
      </c>
      <c r="J42" s="8" t="n">
        <f aca="false">I42*$J$5</f>
        <v>623.52</v>
      </c>
      <c r="K42" s="8" t="n">
        <f aca="false">J42-H42</f>
        <v>623.52</v>
      </c>
      <c r="L42" s="9" t="str">
        <f aca="false">IF(AND(H42=0,J42=0),0,IF(H42=0,"New",(J42-H42)/H42))</f>
        <v>New</v>
      </c>
      <c r="M42" s="7" t="str">
        <f aca="false">IF(AND(OR(C42&lt;&gt;0,H42&lt;&gt;0),D42=0,I42=0),"DROP",IF(AND(OR(D42&lt;&gt;0,I42&lt;&gt;0),C42=0,H42=0),"NEW",""))</f>
        <v>NEW</v>
      </c>
    </row>
    <row r="43" customFormat="false" ht="15" hidden="false" customHeight="false" outlineLevel="0" collapsed="false">
      <c r="A43" s="7" t="s">
        <v>133</v>
      </c>
      <c r="B43" s="7" t="str">
        <f aca="false">IFERROR(INDEX('Source'!$C:$C,MATCH($A43,'Source'!$B:$B,0)),"")</f>
        <v>סד יד</v>
      </c>
      <c r="C43" s="8" t="n">
        <f aca="false">SUMIFS('Source'!$D:$D,'Source'!$A:$A,"160450 OY. EA. AB.",'Source'!$B:$B,$A43)</f>
        <v>50</v>
      </c>
      <c r="D43" s="8" t="n">
        <f aca="false">SUMIFS('Source'!$F:$F,'Source'!$A:$A,"160450 OY. EA. AB.",'Source'!$B:$B,$A43)</f>
        <v>25</v>
      </c>
      <c r="E43" s="8" t="n">
        <f aca="false">D43*$J$5</f>
        <v>31.5789473684211</v>
      </c>
      <c r="F43" s="8" t="n">
        <f aca="false">E43-C43</f>
        <v>-18.421052631579</v>
      </c>
      <c r="G43" s="9" t="n">
        <f aca="false">IF(AND(C43=0,E43=0),0,IF(C43=0,"New",(E43-C43)/C43))</f>
        <v>-0.368421052631579</v>
      </c>
      <c r="H43" s="8" t="n">
        <f aca="false">SUMIFS('Source'!$E:$E,'Source'!$A:$A,"160450 OY. EA. AB.",'Source'!$B:$B,$A43)</f>
        <v>861.96</v>
      </c>
      <c r="I43" s="8" t="n">
        <f aca="false">SUMIFS('Source'!$G:$G,'Source'!$A:$A,"160450 OY. EA. AB.",'Source'!$B:$B,$A43)</f>
        <v>370.05</v>
      </c>
      <c r="J43" s="8" t="n">
        <f aca="false">I43*$J$5</f>
        <v>467.431578947368</v>
      </c>
      <c r="K43" s="8" t="n">
        <f aca="false">J43-H43</f>
        <v>-394.528421052632</v>
      </c>
      <c r="L43" s="9" t="n">
        <f aca="false">IF(AND(H43=0,J43=0),0,IF(H43=0,"New",(J43-H43)/H43))</f>
        <v>-0.457710823069089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253</v>
      </c>
      <c r="B44" s="7" t="str">
        <f aca="false">IFERROR(INDEX('Source'!$C:$C,MATCH($A44,'Source'!$B:$B,0)),"")</f>
        <v>סד לאגודל</v>
      </c>
      <c r="C44" s="8" t="n">
        <f aca="false">SUMIFS('Source'!$D:$D,'Source'!$A:$A,"160450 OY. EA. AB.",'Source'!$B:$B,$A44)</f>
        <v>50</v>
      </c>
      <c r="D44" s="8" t="n">
        <f aca="false">SUMIFS('Source'!$F:$F,'Source'!$A:$A,"160450 OY. EA. AB.",'Source'!$B:$B,$A44)</f>
        <v>25</v>
      </c>
      <c r="E44" s="8" t="n">
        <f aca="false">D44*$J$5</f>
        <v>31.5789473684211</v>
      </c>
      <c r="F44" s="8" t="n">
        <f aca="false">E44-C44</f>
        <v>-18.421052631579</v>
      </c>
      <c r="G44" s="9" t="n">
        <f aca="false">IF(AND(C44=0,E44=0),0,IF(C44=0,"New",(E44-C44)/C44))</f>
        <v>-0.368421052631579</v>
      </c>
      <c r="H44" s="8" t="n">
        <f aca="false">SUMIFS('Source'!$E:$E,'Source'!$A:$A,"160450 OY. EA. AB.",'Source'!$B:$B,$A44)</f>
        <v>819.34</v>
      </c>
      <c r="I44" s="8" t="n">
        <f aca="false">SUMIFS('Source'!$G:$G,'Source'!$A:$A,"160450 OY. EA. AB.",'Source'!$B:$B,$A44)</f>
        <v>351.76</v>
      </c>
      <c r="J44" s="8" t="n">
        <f aca="false">I44*$J$5</f>
        <v>444.328421052632</v>
      </c>
      <c r="K44" s="8" t="n">
        <f aca="false">J44-H44</f>
        <v>-375.011578947368</v>
      </c>
      <c r="L44" s="9" t="n">
        <f aca="false">IF(AND(H44=0,J44=0),0,IF(H44=0,"New",(J44-H44)/H44))</f>
        <v>-0.457699586188113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272</v>
      </c>
      <c r="B45" s="7" t="str">
        <f aca="false">IFERROR(INDEX('Source'!$C:$C,MATCH($A45,'Source'!$B:$B,0)),"")</f>
        <v>חגורת גב-לומבו</v>
      </c>
      <c r="C45" s="8" t="n">
        <f aca="false">SUMIFS('Source'!$D:$D,'Source'!$A:$A,"160450 OY. EA. AB.",'Source'!$B:$B,$A45)</f>
        <v>6</v>
      </c>
      <c r="D45" s="8" t="n">
        <f aca="false">SUMIFS('Source'!$F:$F,'Source'!$A:$A,"160450 OY. EA. AB.",'Source'!$B:$B,$A45)</f>
        <v>0</v>
      </c>
      <c r="E45" s="8" t="n">
        <f aca="false">D45*$J$5</f>
        <v>0</v>
      </c>
      <c r="F45" s="8" t="n">
        <f aca="false">E45-C45</f>
        <v>-6</v>
      </c>
      <c r="G45" s="9" t="n">
        <f aca="false">IF(AND(C45=0,E45=0),0,IF(C45=0,"New",(E45-C45)/C45))</f>
        <v>-1</v>
      </c>
      <c r="H45" s="8" t="n">
        <f aca="false">SUMIFS('Source'!$E:$E,'Source'!$A:$A,"160450 OY. EA. AB.",'Source'!$B:$B,$A45)</f>
        <v>467.34</v>
      </c>
      <c r="I45" s="8" t="n">
        <f aca="false">SUMIFS('Source'!$G:$G,'Source'!$A:$A,"160450 OY. EA. AB.",'Source'!$B:$B,$A45)</f>
        <v>0</v>
      </c>
      <c r="J45" s="8" t="n">
        <f aca="false">I45*$J$5</f>
        <v>0</v>
      </c>
      <c r="K45" s="8" t="n">
        <f aca="false">J45-H45</f>
        <v>-467.34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956</v>
      </c>
      <c r="B46" s="7" t="str">
        <f aca="false">IFERROR(INDEX('Source'!$C:$C,MATCH($A46,'Source'!$B:$B,0)),"")</f>
        <v>מגן ברך+ציר H</v>
      </c>
      <c r="C46" s="8" t="n">
        <f aca="false">SUMIFS('Source'!$D:$D,'Source'!$A:$A,"160450 OY. EA. AB.",'Source'!$B:$B,$A46)</f>
        <v>20</v>
      </c>
      <c r="D46" s="8" t="n">
        <f aca="false">SUMIFS('Source'!$F:$F,'Source'!$A:$A,"160450 OY. EA. AB.",'Source'!$B:$B,$A46)</f>
        <v>30</v>
      </c>
      <c r="E46" s="8" t="n">
        <f aca="false">D46*$J$5</f>
        <v>37.8947368421053</v>
      </c>
      <c r="F46" s="8" t="n">
        <f aca="false">E46-C46</f>
        <v>17.8947368421053</v>
      </c>
      <c r="G46" s="9" t="n">
        <f aca="false">IF(AND(C46=0,E46=0),0,IF(C46=0,"New",(E46-C46)/C46))</f>
        <v>0.894736842105263</v>
      </c>
      <c r="H46" s="8" t="n">
        <f aca="false">SUMIFS('Source'!$E:$E,'Source'!$A:$A,"160450 OY. EA. AB.",'Source'!$B:$B,$A46)</f>
        <v>1411.44</v>
      </c>
      <c r="I46" s="8" t="n">
        <f aca="false">SUMIFS('Source'!$G:$G,'Source'!$A:$A,"160450 OY. EA. AB.",'Source'!$B:$B,$A46)</f>
        <v>1866.05</v>
      </c>
      <c r="J46" s="8" t="n">
        <f aca="false">I46*$J$5</f>
        <v>2357.11578947368</v>
      </c>
      <c r="K46" s="8" t="n">
        <f aca="false">J46-H46</f>
        <v>945.675789473684</v>
      </c>
      <c r="L46" s="9" t="n">
        <f aca="false">IF(AND(H46=0,J46=0),0,IF(H46=0,"New",(J46-H46)/H46))</f>
        <v>0.670007786001306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945</v>
      </c>
      <c r="B47" s="7" t="str">
        <f aca="false">IFERROR(INDEX('Source'!$C:$C,MATCH($A47,'Source'!$B:$B,0)),"")</f>
        <v>מגן מרפק</v>
      </c>
      <c r="C47" s="8" t="n">
        <f aca="false">SUMIFS('Source'!$D:$D,'Source'!$A:$A,"160450 OY. EA. AB.",'Source'!$B:$B,$A47)</f>
        <v>30</v>
      </c>
      <c r="D47" s="8" t="n">
        <f aca="false">SUMIFS('Source'!$F:$F,'Source'!$A:$A,"160450 OY. EA. AB.",'Source'!$B:$B,$A47)</f>
        <v>10</v>
      </c>
      <c r="E47" s="8" t="n">
        <f aca="false">D47*$J$5</f>
        <v>12.6315789473684</v>
      </c>
      <c r="F47" s="8" t="n">
        <f aca="false">E47-C47</f>
        <v>-17.3684210526316</v>
      </c>
      <c r="G47" s="9" t="n">
        <f aca="false">IF(AND(C47=0,E47=0),0,IF(C47=0,"New",(E47-C47)/C47))</f>
        <v>-0.578947368421053</v>
      </c>
      <c r="H47" s="8" t="n">
        <f aca="false">SUMIFS('Source'!$E:$E,'Source'!$A:$A,"160450 OY. EA. AB.",'Source'!$B:$B,$A47)</f>
        <v>621.26</v>
      </c>
      <c r="I47" s="8" t="n">
        <f aca="false">SUMIFS('Source'!$G:$G,'Source'!$A:$A,"160450 OY. EA. AB.",'Source'!$B:$B,$A47)</f>
        <v>176.29</v>
      </c>
      <c r="J47" s="8" t="n">
        <f aca="false">I47*$J$5</f>
        <v>222.682105263158</v>
      </c>
      <c r="K47" s="8" t="n">
        <f aca="false">J47-H47</f>
        <v>-398.577894736842</v>
      </c>
      <c r="L47" s="9" t="n">
        <f aca="false">IF(AND(H47=0,J47=0),0,IF(H47=0,"New",(J47-H47)/H47))</f>
        <v>-0.641563749053282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245</v>
      </c>
      <c r="B48" s="7" t="str">
        <f aca="false">IFERROR(INDEX('Source'!$C:$C,MATCH($A48,'Source'!$B:$B,0)),"")</f>
        <v>חבק טניס</v>
      </c>
      <c r="C48" s="8" t="n">
        <f aca="false">SUMIFS('Source'!$D:$D,'Source'!$A:$A,"160450 OY. EA. AB.",'Source'!$B:$B,$A48)</f>
        <v>0</v>
      </c>
      <c r="D48" s="8" t="n">
        <f aca="false">SUMIFS('Source'!$F:$F,'Source'!$A:$A,"160450 OY. EA. AB.",'Source'!$B:$B,$A48)</f>
        <v>30</v>
      </c>
      <c r="E48" s="8" t="n">
        <f aca="false">D48*$J$5</f>
        <v>37.8947368421053</v>
      </c>
      <c r="F48" s="8" t="n">
        <f aca="false">E48-C48</f>
        <v>37.8947368421053</v>
      </c>
      <c r="G48" s="9" t="str">
        <f aca="false">IF(AND(C48=0,E48=0),0,IF(C48=0,"New",(E48-C48)/C48))</f>
        <v>New</v>
      </c>
      <c r="H48" s="8" t="n">
        <f aca="false">SUMIFS('Source'!$E:$E,'Source'!$A:$A,"160450 OY. EA. AB.",'Source'!$B:$B,$A48)</f>
        <v>0</v>
      </c>
      <c r="I48" s="8" t="n">
        <f aca="false">SUMIFS('Source'!$G:$G,'Source'!$A:$A,"160450 OY. EA. AB.",'Source'!$B:$B,$A48)</f>
        <v>444.06</v>
      </c>
      <c r="J48" s="8" t="n">
        <f aca="false">I48*$J$5</f>
        <v>560.917894736842</v>
      </c>
      <c r="K48" s="8" t="n">
        <f aca="false">J48-H48</f>
        <v>560.917894736842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212</v>
      </c>
      <c r="B49" s="7" t="str">
        <f aca="false">IFERROR(INDEX('Source'!$C:$C,MATCH($A49,'Source'!$B:$B,0)),"")</f>
        <v>חגורת גב אפורה</v>
      </c>
      <c r="C49" s="8" t="n">
        <f aca="false">SUMIFS('Source'!$D:$D,'Source'!$A:$A,"160450 OY. EA. AB.",'Source'!$B:$B,$A49)</f>
        <v>0</v>
      </c>
      <c r="D49" s="8" t="n">
        <f aca="false">SUMIFS('Source'!$F:$F,'Source'!$A:$A,"160450 OY. EA. AB.",'Source'!$B:$B,$A49)</f>
        <v>10</v>
      </c>
      <c r="E49" s="8" t="n">
        <f aca="false">D49*$J$5</f>
        <v>12.6315789473684</v>
      </c>
      <c r="F49" s="8" t="n">
        <f aca="false">E49-C49</f>
        <v>12.6315789473684</v>
      </c>
      <c r="G49" s="9" t="str">
        <f aca="false">IF(AND(C49=0,E49=0),0,IF(C49=0,"New",(E49-C49)/C49))</f>
        <v>New</v>
      </c>
      <c r="H49" s="8" t="n">
        <f aca="false">SUMIFS('Source'!$E:$E,'Source'!$A:$A,"160450 OY. EA. AB.",'Source'!$B:$B,$A49)</f>
        <v>0</v>
      </c>
      <c r="I49" s="8" t="n">
        <f aca="false">SUMIFS('Source'!$G:$G,'Source'!$A:$A,"160450 OY. EA. AB.",'Source'!$B:$B,$A49)</f>
        <v>439.07</v>
      </c>
      <c r="J49" s="8" t="n">
        <f aca="false">I49*$J$5</f>
        <v>554.614736842105</v>
      </c>
      <c r="K49" s="8" t="n">
        <f aca="false">J49-H49</f>
        <v>554.614736842105</v>
      </c>
      <c r="L49" s="9" t="str">
        <f aca="false">IF(AND(H49=0,J49=0),0,IF(H49=0,"New",(J49-H49)/H49))</f>
        <v>New</v>
      </c>
      <c r="M49" s="7" t="str">
        <f aca="false">IF(AND(OR(C49&lt;&gt;0,H49&lt;&gt;0),D49=0,I49=0),"DROP",IF(AND(OR(D49&lt;&gt;0,I49&lt;&gt;0),C49=0,H49=0),"NEW",""))</f>
        <v>NEW</v>
      </c>
    </row>
    <row r="50" customFormat="false" ht="15" hidden="false" customHeight="false" outlineLevel="0" collapsed="false">
      <c r="A50" s="7" t="s">
        <v>214</v>
      </c>
      <c r="B50" s="7" t="str">
        <f aca="false">IFERROR(INDEX('Source'!$C:$C,MATCH($A50,'Source'!$B:$B,0)),"")</f>
        <v>חגורת גב אפורה</v>
      </c>
      <c r="C50" s="8" t="n">
        <f aca="false">SUMIFS('Source'!$D:$D,'Source'!$A:$A,"160450 OY. EA. AB.",'Source'!$B:$B,$A50)</f>
        <v>0</v>
      </c>
      <c r="D50" s="8" t="n">
        <f aca="false">SUMIFS('Source'!$F:$F,'Source'!$A:$A,"160450 OY. EA. AB.",'Source'!$B:$B,$A50)</f>
        <v>10</v>
      </c>
      <c r="E50" s="8" t="n">
        <f aca="false">D50*$J$5</f>
        <v>12.6315789473684</v>
      </c>
      <c r="F50" s="8" t="n">
        <f aca="false">E50-C50</f>
        <v>12.6315789473684</v>
      </c>
      <c r="G50" s="9" t="str">
        <f aca="false">IF(AND(C50=0,E50=0),0,IF(C50=0,"New",(E50-C50)/C50))</f>
        <v>New</v>
      </c>
      <c r="H50" s="8" t="n">
        <f aca="false">SUMIFS('Source'!$E:$E,'Source'!$A:$A,"160450 OY. EA. AB.",'Source'!$B:$B,$A50)</f>
        <v>0</v>
      </c>
      <c r="I50" s="8" t="n">
        <f aca="false">SUMIFS('Source'!$G:$G,'Source'!$A:$A,"160450 OY. EA. AB.",'Source'!$B:$B,$A50)</f>
        <v>439.07</v>
      </c>
      <c r="J50" s="8" t="n">
        <f aca="false">I50*$J$5</f>
        <v>554.614736842105</v>
      </c>
      <c r="K50" s="8" t="n">
        <f aca="false">J50-H50</f>
        <v>554.614736842105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403</v>
      </c>
      <c r="B51" s="7" t="str">
        <f aca="false">IFERROR(INDEX('Source'!$C:$C,MATCH($A51,'Source'!$B:$B,0)),"")</f>
        <v>חגורת שבר דו צדדית</v>
      </c>
      <c r="C51" s="8" t="n">
        <f aca="false">SUMIFS('Source'!$D:$D,'Source'!$A:$A,"160450 OY. EA. AB.",'Source'!$B:$B,$A51)</f>
        <v>6</v>
      </c>
      <c r="D51" s="8" t="n">
        <f aca="false">SUMIFS('Source'!$F:$F,'Source'!$A:$A,"160450 OY. EA. AB.",'Source'!$B:$B,$A51)</f>
        <v>2</v>
      </c>
      <c r="E51" s="8" t="n">
        <f aca="false">D51*$J$5</f>
        <v>2.52631578947368</v>
      </c>
      <c r="F51" s="8" t="n">
        <f aca="false">E51-C51</f>
        <v>-3.47368421052632</v>
      </c>
      <c r="G51" s="9" t="n">
        <f aca="false">IF(AND(C51=0,E51=0),0,IF(C51=0,"New",(E51-C51)/C51))</f>
        <v>-0.578947368421053</v>
      </c>
      <c r="H51" s="8" t="n">
        <f aca="false">SUMIFS('Source'!$E:$E,'Source'!$A:$A,"160450 OY. EA. AB.",'Source'!$B:$B,$A51)</f>
        <v>604.45</v>
      </c>
      <c r="I51" s="8" t="n">
        <f aca="false">SUMIFS('Source'!$G:$G,'Source'!$A:$A,"160450 OY. EA. AB.",'Source'!$B:$B,$A51)</f>
        <v>168.64</v>
      </c>
      <c r="J51" s="8" t="n">
        <f aca="false">I51*$J$5</f>
        <v>213.018947368421</v>
      </c>
      <c r="K51" s="8" t="n">
        <f aca="false">J51-H51</f>
        <v>-391.431052631579</v>
      </c>
      <c r="L51" s="9" t="n">
        <f aca="false">IF(AND(H51=0,J51=0),0,IF(H51=0,"New",(J51-H51)/H51))</f>
        <v>-0.647582186502737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1000</v>
      </c>
      <c r="B52" s="7" t="str">
        <f aca="false">IFERROR(INDEX('Source'!$C:$C,MATCH($A52,'Source'!$B:$B,0)),"")</f>
        <v>מגן למפרק כתף</v>
      </c>
      <c r="C52" s="8" t="n">
        <f aca="false">SUMIFS('Source'!$D:$D,'Source'!$A:$A,"160450 OY. EA. AB.",'Source'!$B:$B,$A52)</f>
        <v>6</v>
      </c>
      <c r="D52" s="8" t="n">
        <f aca="false">SUMIFS('Source'!$F:$F,'Source'!$A:$A,"160450 OY. EA. AB.",'Source'!$B:$B,$A52)</f>
        <v>0</v>
      </c>
      <c r="E52" s="8" t="n">
        <f aca="false">D52*$J$5</f>
        <v>0</v>
      </c>
      <c r="F52" s="8" t="n">
        <f aca="false">E52-C52</f>
        <v>-6</v>
      </c>
      <c r="G52" s="9" t="n">
        <f aca="false">IF(AND(C52=0,E52=0),0,IF(C52=0,"New",(E52-C52)/C52))</f>
        <v>-1</v>
      </c>
      <c r="H52" s="8" t="n">
        <f aca="false">SUMIFS('Source'!$E:$E,'Source'!$A:$A,"160450 OY. EA. AB.",'Source'!$B:$B,$A52)</f>
        <v>410.12</v>
      </c>
      <c r="I52" s="8" t="n">
        <f aca="false">SUMIFS('Source'!$G:$G,'Source'!$A:$A,"160450 OY. EA. AB.",'Source'!$B:$B,$A52)</f>
        <v>0</v>
      </c>
      <c r="J52" s="8" t="n">
        <f aca="false">I52*$J$5</f>
        <v>0</v>
      </c>
      <c r="K52" s="8" t="n">
        <f aca="false">J52-H52</f>
        <v>-410.12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757</v>
      </c>
      <c r="B53" s="7" t="str">
        <f aca="false">IFERROR(INDEX('Source'!$C:$C,MATCH($A53,'Source'!$B:$B,0)),"")</f>
        <v>מגן לכתף ימין/שמאל</v>
      </c>
      <c r="C53" s="8" t="n">
        <f aca="false">SUMIFS('Source'!$D:$D,'Source'!$A:$A,"160450 OY. EA. AB.",'Source'!$B:$B,$A53)</f>
        <v>0</v>
      </c>
      <c r="D53" s="8" t="n">
        <f aca="false">SUMIFS('Source'!$F:$F,'Source'!$A:$A,"160450 OY. EA. AB.",'Source'!$B:$B,$A53)</f>
        <v>6</v>
      </c>
      <c r="E53" s="8" t="n">
        <f aca="false">D53*$J$5</f>
        <v>7.57894736842105</v>
      </c>
      <c r="F53" s="8" t="n">
        <f aca="false">E53-C53</f>
        <v>7.57894736842105</v>
      </c>
      <c r="G53" s="9" t="str">
        <f aca="false">IF(AND(C53=0,E53=0),0,IF(C53=0,"New",(E53-C53)/C53))</f>
        <v>New</v>
      </c>
      <c r="H53" s="8" t="n">
        <f aca="false">SUMIFS('Source'!$E:$E,'Source'!$A:$A,"160450 OY. EA. AB.",'Source'!$B:$B,$A53)</f>
        <v>0</v>
      </c>
      <c r="I53" s="8" t="n">
        <f aca="false">SUMIFS('Source'!$G:$G,'Source'!$A:$A,"160450 OY. EA. AB.",'Source'!$B:$B,$A53)</f>
        <v>403.15</v>
      </c>
      <c r="J53" s="8" t="n">
        <f aca="false">I53*$J$5</f>
        <v>509.242105263158</v>
      </c>
      <c r="K53" s="8" t="n">
        <f aca="false">J53-H53</f>
        <v>509.242105263158</v>
      </c>
      <c r="L53" s="9" t="str">
        <f aca="false">IF(AND(H53=0,J53=0),0,IF(H53=0,"New",(J53-H53)/H53))</f>
        <v>New</v>
      </c>
      <c r="M53" s="7" t="str">
        <f aca="false">IF(AND(OR(C53&lt;&gt;0,H53&lt;&gt;0),D53=0,I53=0),"DROP",IF(AND(OR(D53&lt;&gt;0,I53&lt;&gt;0),C53=0,H53=0),"NEW",""))</f>
        <v>NEW</v>
      </c>
    </row>
    <row r="54" customFormat="false" ht="15" hidden="false" customHeight="false" outlineLevel="0" collapsed="false">
      <c r="A54" s="7" t="s">
        <v>581</v>
      </c>
      <c r="B54" s="7" t="str">
        <f aca="false">IFERROR(INDEX('Source'!$C:$C,MATCH($A54,'Source'!$B:$B,0)),"")</f>
        <v>מתלה</v>
      </c>
      <c r="C54" s="8" t="n">
        <f aca="false">SUMIFS('Source'!$D:$D,'Source'!$A:$A,"160450 OY. EA. AB.",'Source'!$B:$B,$A54)</f>
        <v>10</v>
      </c>
      <c r="D54" s="8" t="n">
        <f aca="false">SUMIFS('Source'!$F:$F,'Source'!$A:$A,"160450 OY. EA. AB.",'Source'!$B:$B,$A54)</f>
        <v>2</v>
      </c>
      <c r="E54" s="8" t="n">
        <f aca="false">D54*$J$5</f>
        <v>2.52631578947368</v>
      </c>
      <c r="F54" s="8" t="n">
        <f aca="false">E54-C54</f>
        <v>-7.47368421052632</v>
      </c>
      <c r="G54" s="9" t="n">
        <f aca="false">IF(AND(C54=0,E54=0),0,IF(C54=0,"New",(E54-C54)/C54))</f>
        <v>-0.747368421052632</v>
      </c>
      <c r="H54" s="8" t="n">
        <f aca="false">SUMIFS('Source'!$E:$E,'Source'!$A:$A,"160450 OY. EA. AB.",'Source'!$B:$B,$A54)</f>
        <v>476.88</v>
      </c>
      <c r="I54" s="8" t="n">
        <f aca="false">SUMIFS('Source'!$G:$G,'Source'!$A:$A,"160450 OY. EA. AB.",'Source'!$B:$B,$A54)</f>
        <v>79.83</v>
      </c>
      <c r="J54" s="8" t="n">
        <f aca="false">I54*$J$5</f>
        <v>100.837894736842</v>
      </c>
      <c r="K54" s="8" t="n">
        <f aca="false">J54-H54</f>
        <v>-376.042105263158</v>
      </c>
      <c r="L54" s="9" t="n">
        <f aca="false">IF(AND(H54=0,J54=0),0,IF(H54=0,"New",(J54-H54)/H54))</f>
        <v>-0.78854660556777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159</v>
      </c>
      <c r="B55" s="7" t="str">
        <f aca="false">IFERROR(INDEX('Source'!$C:$C,MATCH($A55,'Source'!$B:$B,0)),"")</f>
        <v>כרית מטטרזלי מס</v>
      </c>
      <c r="C55" s="8" t="n">
        <f aca="false">SUMIFS('Source'!$D:$D,'Source'!$A:$A,"160450 OY. EA. AB.",'Source'!$B:$B,$A55)</f>
        <v>60</v>
      </c>
      <c r="D55" s="8" t="n">
        <f aca="false">SUMIFS('Source'!$F:$F,'Source'!$A:$A,"160450 OY. EA. AB.",'Source'!$B:$B,$A55)</f>
        <v>40</v>
      </c>
      <c r="E55" s="8" t="n">
        <f aca="false">D55*$J$5</f>
        <v>50.5263157894737</v>
      </c>
      <c r="F55" s="8" t="n">
        <f aca="false">E55-C55</f>
        <v>-9.47368421052632</v>
      </c>
      <c r="G55" s="9" t="n">
        <f aca="false">IF(AND(C55=0,E55=0),0,IF(C55=0,"New",(E55-C55)/C55))</f>
        <v>-0.157894736842105</v>
      </c>
      <c r="H55" s="8" t="n">
        <f aca="false">SUMIFS('Source'!$E:$E,'Source'!$A:$A,"160450 OY. EA. AB.",'Source'!$B:$B,$A55)</f>
        <v>921.74</v>
      </c>
      <c r="I55" s="8" t="n">
        <f aca="false">SUMIFS('Source'!$G:$G,'Source'!$A:$A,"160450 OY. EA. AB.",'Source'!$B:$B,$A55)</f>
        <v>532.21</v>
      </c>
      <c r="J55" s="8" t="n">
        <f aca="false">I55*$J$5</f>
        <v>672.265263157895</v>
      </c>
      <c r="K55" s="8" t="n">
        <f aca="false">J55-H55</f>
        <v>-249.474736842105</v>
      </c>
      <c r="L55" s="9" t="n">
        <f aca="false">IF(AND(H55=0,J55=0),0,IF(H55=0,"New",(J55-H55)/H55))</f>
        <v>-0.270656298785021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225</v>
      </c>
      <c r="B56" s="7" t="str">
        <f aca="false">IFERROR(INDEX('Source'!$C:$C,MATCH($A56,'Source'!$B:$B,0)),"")</f>
        <v>שרוול מסיליקון ל</v>
      </c>
      <c r="C56" s="8" t="n">
        <f aca="false">SUMIFS('Source'!$D:$D,'Source'!$A:$A,"160450 OY. EA. AB.",'Source'!$B:$B,$A56)</f>
        <v>65</v>
      </c>
      <c r="D56" s="8" t="n">
        <f aca="false">SUMIFS('Source'!$F:$F,'Source'!$A:$A,"160450 OY. EA. AB.",'Source'!$B:$B,$A56)</f>
        <v>30</v>
      </c>
      <c r="E56" s="8" t="n">
        <f aca="false">D56*$J$5</f>
        <v>37.8947368421053</v>
      </c>
      <c r="F56" s="8" t="n">
        <f aca="false">E56-C56</f>
        <v>-27.1052631578947</v>
      </c>
      <c r="G56" s="9" t="n">
        <f aca="false">IF(AND(C56=0,E56=0),0,IF(C56=0,"New",(E56-C56)/C56))</f>
        <v>-0.417004048582996</v>
      </c>
      <c r="H56" s="8" t="n">
        <f aca="false">SUMIFS('Source'!$E:$E,'Source'!$A:$A,"160450 OY. EA. AB.",'Source'!$B:$B,$A56)</f>
        <v>607.93</v>
      </c>
      <c r="I56" s="8" t="n">
        <f aca="false">SUMIFS('Source'!$G:$G,'Source'!$A:$A,"160450 OY. EA. AB.",'Source'!$B:$B,$A56)</f>
        <v>239.49</v>
      </c>
      <c r="J56" s="8" t="n">
        <f aca="false">I56*$J$5</f>
        <v>302.513684210526</v>
      </c>
      <c r="K56" s="8" t="n">
        <f aca="false">J56-H56</f>
        <v>-305.416315789474</v>
      </c>
      <c r="L56" s="9" t="n">
        <f aca="false">IF(AND(H56=0,J56=0),0,IF(H56=0,"New",(J56-H56)/H56))</f>
        <v>-0.502387307402947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252</v>
      </c>
      <c r="B57" s="7" t="str">
        <f aca="false">IFERROR(INDEX('Source'!$C:$C,MATCH($A57,'Source'!$B:$B,0)),"")</f>
        <v>תומך ברך גנושילד</v>
      </c>
      <c r="C57" s="8" t="n">
        <f aca="false">SUMIFS('Source'!$D:$D,'Source'!$A:$A,"160450 OY. EA. AB.",'Source'!$B:$B,$A57)</f>
        <v>0</v>
      </c>
      <c r="D57" s="8" t="n">
        <f aca="false">SUMIFS('Source'!$F:$F,'Source'!$A:$A,"160450 OY. EA. AB.",'Source'!$B:$B,$A57)</f>
        <v>4</v>
      </c>
      <c r="E57" s="8" t="n">
        <f aca="false">D57*$J$5</f>
        <v>5.05263157894737</v>
      </c>
      <c r="F57" s="8" t="n">
        <f aca="false">E57-C57</f>
        <v>5.05263157894737</v>
      </c>
      <c r="G57" s="9" t="str">
        <f aca="false">IF(AND(C57=0,E57=0),0,IF(C57=0,"New",(E57-C57)/C57))</f>
        <v>New</v>
      </c>
      <c r="H57" s="8" t="n">
        <f aca="false">SUMIFS('Source'!$E:$E,'Source'!$A:$A,"160450 OY. EA. AB.",'Source'!$B:$B,$A57)</f>
        <v>0</v>
      </c>
      <c r="I57" s="8" t="n">
        <f aca="false">SUMIFS('Source'!$G:$G,'Source'!$A:$A,"160450 OY. EA. AB.",'Source'!$B:$B,$A57)</f>
        <v>356.58</v>
      </c>
      <c r="J57" s="8" t="n">
        <f aca="false">I57*$J$5</f>
        <v>450.416842105263</v>
      </c>
      <c r="K57" s="8" t="n">
        <f aca="false">J57-H57</f>
        <v>450.416842105263</v>
      </c>
      <c r="L57" s="9" t="str">
        <f aca="false">IF(AND(H57=0,J57=0),0,IF(H57=0,"New",(J57-H57)/H57))</f>
        <v>New</v>
      </c>
      <c r="M57" s="7" t="str">
        <f aca="false">IF(AND(OR(C57&lt;&gt;0,H57&lt;&gt;0),D57=0,I57=0),"DROP",IF(AND(OR(D57&lt;&gt;0,I57&lt;&gt;0),C57=0,H57=0),"NEW",""))</f>
        <v>NEW</v>
      </c>
    </row>
    <row r="58" customFormat="false" ht="15" hidden="false" customHeight="false" outlineLevel="0" collapsed="false">
      <c r="A58" s="7" t="s">
        <v>223</v>
      </c>
      <c r="B58" s="7" t="str">
        <f aca="false">IFERROR(INDEX('Source'!$C:$C,MATCH($A58,'Source'!$B:$B,0)),"")</f>
        <v>מישר כתפיים רחב+תמיכה לבית השח</v>
      </c>
      <c r="C58" s="8" t="n">
        <f aca="false">SUMIFS('Source'!$D:$D,'Source'!$A:$A,"160450 OY. EA. AB.",'Source'!$B:$B,$A58)</f>
        <v>0</v>
      </c>
      <c r="D58" s="8" t="n">
        <f aca="false">SUMIFS('Source'!$F:$F,'Source'!$A:$A,"160450 OY. EA. AB.",'Source'!$B:$B,$A58)</f>
        <v>4</v>
      </c>
      <c r="E58" s="8" t="n">
        <f aca="false">D58*$J$5</f>
        <v>5.05263157894737</v>
      </c>
      <c r="F58" s="8" t="n">
        <f aca="false">E58-C58</f>
        <v>5.05263157894737</v>
      </c>
      <c r="G58" s="9" t="str">
        <f aca="false">IF(AND(C58=0,E58=0),0,IF(C58=0,"New",(E58-C58)/C58))</f>
        <v>New</v>
      </c>
      <c r="H58" s="8" t="n">
        <f aca="false">SUMIFS('Source'!$E:$E,'Source'!$A:$A,"160450 OY. EA. AB.",'Source'!$B:$B,$A58)</f>
        <v>0</v>
      </c>
      <c r="I58" s="8" t="n">
        <f aca="false">SUMIFS('Source'!$G:$G,'Source'!$A:$A,"160450 OY. EA. AB.",'Source'!$B:$B,$A58)</f>
        <v>345.94</v>
      </c>
      <c r="J58" s="8" t="n">
        <f aca="false">I58*$J$5</f>
        <v>436.976842105263</v>
      </c>
      <c r="K58" s="8" t="n">
        <f aca="false">J58-H58</f>
        <v>436.976842105263</v>
      </c>
      <c r="L58" s="9" t="str">
        <f aca="false">IF(AND(H58=0,J58=0),0,IF(H58=0,"New",(J58-H58)/H58))</f>
        <v>New</v>
      </c>
      <c r="M58" s="7" t="str">
        <f aca="false">IF(AND(OR(C58&lt;&gt;0,H58&lt;&gt;0),D58=0,I58=0),"DROP",IF(AND(OR(D58&lt;&gt;0,I58&lt;&gt;0),C58=0,H58=0),"NEW",""))</f>
        <v>NEW</v>
      </c>
    </row>
    <row r="59" customFormat="false" ht="15" hidden="false" customHeight="false" outlineLevel="0" collapsed="false">
      <c r="A59" s="7" t="s">
        <v>649</v>
      </c>
      <c r="B59" s="7" t="str">
        <f aca="false">IFERROR(INDEX('Source'!$C:$C,MATCH($A59,'Source'!$B:$B,0)),"")</f>
        <v>כרית סיליקון לעקב</v>
      </c>
      <c r="C59" s="8" t="n">
        <f aca="false">SUMIFS('Source'!$D:$D,'Source'!$A:$A,"160450 OY. EA. AB.",'Source'!$B:$B,$A59)</f>
        <v>45</v>
      </c>
      <c r="D59" s="8" t="n">
        <f aca="false">SUMIFS('Source'!$F:$F,'Source'!$A:$A,"160450 OY. EA. AB.",'Source'!$B:$B,$A59)</f>
        <v>40</v>
      </c>
      <c r="E59" s="8" t="n">
        <f aca="false">D59*$J$5</f>
        <v>50.5263157894737</v>
      </c>
      <c r="F59" s="8" t="n">
        <f aca="false">E59-C59</f>
        <v>5.52631578947369</v>
      </c>
      <c r="G59" s="9" t="n">
        <f aca="false">IF(AND(C59=0,E59=0),0,IF(C59=0,"New",(E59-C59)/C59))</f>
        <v>0.12280701754386</v>
      </c>
      <c r="H59" s="8" t="n">
        <f aca="false">SUMIFS('Source'!$E:$E,'Source'!$A:$A,"160450 OY. EA. AB.",'Source'!$B:$B,$A59)</f>
        <v>1380.26</v>
      </c>
      <c r="I59" s="8" t="n">
        <f aca="false">SUMIFS('Source'!$G:$G,'Source'!$A:$A,"160450 OY. EA. AB.",'Source'!$B:$B,$A59)</f>
        <v>1044.46</v>
      </c>
      <c r="J59" s="8" t="n">
        <f aca="false">I59*$J$5</f>
        <v>1319.31789473684</v>
      </c>
      <c r="K59" s="8" t="n">
        <f aca="false">J59-H59</f>
        <v>-60.9421052631578</v>
      </c>
      <c r="L59" s="9" t="n">
        <f aca="false">IF(AND(H59=0,J59=0),0,IF(H59=0,"New",(J59-H59)/H59))</f>
        <v>-0.0441526272319402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643</v>
      </c>
      <c r="B60" s="7" t="str">
        <f aca="false">IFERROR(INDEX('Source'!$C:$C,MATCH($A60,'Source'!$B:$B,0)),"")</f>
        <v>כרית סיליקון לעקב</v>
      </c>
      <c r="C60" s="8" t="n">
        <f aca="false">SUMIFS('Source'!$D:$D,'Source'!$A:$A,"160450 OY. EA. AB.",'Source'!$B:$B,$A60)</f>
        <v>20</v>
      </c>
      <c r="D60" s="8" t="n">
        <f aca="false">SUMIFS('Source'!$F:$F,'Source'!$A:$A,"160450 OY. EA. AB.",'Source'!$B:$B,$A60)</f>
        <v>10</v>
      </c>
      <c r="E60" s="8" t="n">
        <f aca="false">D60*$J$5</f>
        <v>12.6315789473684</v>
      </c>
      <c r="F60" s="8" t="n">
        <f aca="false">E60-C60</f>
        <v>-7.36842105263158</v>
      </c>
      <c r="G60" s="9" t="n">
        <f aca="false">IF(AND(C60=0,E60=0),0,IF(C60=0,"New",(E60-C60)/C60))</f>
        <v>-0.368421052631579</v>
      </c>
      <c r="H60" s="8" t="n">
        <f aca="false">SUMIFS('Source'!$E:$E,'Source'!$A:$A,"160450 OY. EA. AB.",'Source'!$B:$B,$A60)</f>
        <v>592.5</v>
      </c>
      <c r="I60" s="8" t="n">
        <f aca="false">SUMIFS('Source'!$G:$G,'Source'!$A:$A,"160450 OY. EA. AB.",'Source'!$B:$B,$A60)</f>
        <v>261.11</v>
      </c>
      <c r="J60" s="8" t="n">
        <f aca="false">I60*$J$5</f>
        <v>329.823157894737</v>
      </c>
      <c r="K60" s="8" t="n">
        <f aca="false">J60-H60</f>
        <v>-262.676842105263</v>
      </c>
      <c r="L60" s="9" t="n">
        <f aca="false">IF(AND(H60=0,J60=0),0,IF(H60=0,"New",(J60-H60)/H60))</f>
        <v>-0.443336442371752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222</v>
      </c>
      <c r="B61" s="7" t="str">
        <f aca="false">IFERROR(INDEX('Source'!$C:$C,MATCH($A61,'Source'!$B:$B,0)),"")</f>
        <v>רפידת ג'ל זיכרון M בז'</v>
      </c>
      <c r="C61" s="8" t="n">
        <f aca="false">SUMIFS('Source'!$D:$D,'Source'!$A:$A,"160450 OY. EA. AB.",'Source'!$B:$B,$A61)</f>
        <v>10</v>
      </c>
      <c r="D61" s="8" t="n">
        <f aca="false">SUMIFS('Source'!$F:$F,'Source'!$A:$A,"160450 OY. EA. AB.",'Source'!$B:$B,$A61)</f>
        <v>0</v>
      </c>
      <c r="E61" s="8" t="n">
        <f aca="false">D61*$J$5</f>
        <v>0</v>
      </c>
      <c r="F61" s="8" t="n">
        <f aca="false">E61-C61</f>
        <v>-10</v>
      </c>
      <c r="G61" s="9" t="n">
        <f aca="false">IF(AND(C61=0,E61=0),0,IF(C61=0,"New",(E61-C61)/C61))</f>
        <v>-1</v>
      </c>
      <c r="H61" s="8" t="n">
        <f aca="false">SUMIFS('Source'!$E:$E,'Source'!$A:$A,"160450 OY. EA. AB.",'Source'!$B:$B,$A61)</f>
        <v>320.78</v>
      </c>
      <c r="I61" s="8" t="n">
        <f aca="false">SUMIFS('Source'!$G:$G,'Source'!$A:$A,"160450 OY. EA. AB.",'Source'!$B:$B,$A61)</f>
        <v>0</v>
      </c>
      <c r="J61" s="8" t="n">
        <f aca="false">I61*$J$5</f>
        <v>0</v>
      </c>
      <c r="K61" s="8" t="n">
        <f aca="false">J61-H61</f>
        <v>-320.78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741</v>
      </c>
      <c r="B62" s="7" t="str">
        <f aca="false">IFERROR(INDEX('Source'!$C:$C,MATCH($A62,'Source'!$B:$B,0)),"")</f>
        <v>עקב סיליקון שטוח</v>
      </c>
      <c r="C62" s="8" t="n">
        <f aca="false">SUMIFS('Source'!$D:$D,'Source'!$A:$A,"160450 OY. EA. AB.",'Source'!$B:$B,$A62)</f>
        <v>25</v>
      </c>
      <c r="D62" s="8" t="n">
        <f aca="false">SUMIFS('Source'!$F:$F,'Source'!$A:$A,"160450 OY. EA. AB.",'Source'!$B:$B,$A62)</f>
        <v>15</v>
      </c>
      <c r="E62" s="8" t="n">
        <f aca="false">D62*$J$5</f>
        <v>18.9473684210526</v>
      </c>
      <c r="F62" s="8" t="n">
        <f aca="false">E62-C62</f>
        <v>-6.05263157894737</v>
      </c>
      <c r="G62" s="9" t="n">
        <f aca="false">IF(AND(C62=0,E62=0),0,IF(C62=0,"New",(E62-C62)/C62))</f>
        <v>-0.242105263157895</v>
      </c>
      <c r="H62" s="8" t="n">
        <f aca="false">SUMIFS('Source'!$E:$E,'Source'!$A:$A,"160450 OY. EA. AB.",'Source'!$B:$B,$A62)</f>
        <v>647.37</v>
      </c>
      <c r="I62" s="8" t="n">
        <f aca="false">SUMIFS('Source'!$G:$G,'Source'!$A:$A,"160450 OY. EA. AB.",'Source'!$B:$B,$A62)</f>
        <v>331.8</v>
      </c>
      <c r="J62" s="8" t="n">
        <f aca="false">I62*$J$5</f>
        <v>419.115789473684</v>
      </c>
      <c r="K62" s="8" t="n">
        <f aca="false">J62-H62</f>
        <v>-228.254210526316</v>
      </c>
      <c r="L62" s="9" t="n">
        <f aca="false">IF(AND(H62=0,J62=0),0,IF(H62=0,"New",(J62-H62)/H62))</f>
        <v>-0.352586944909891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309</v>
      </c>
      <c r="B63" s="7" t="str">
        <f aca="false">IFERROR(INDEX('Source'!$C:$C,MATCH($A63,'Source'!$B:$B,0)),"")</f>
        <v>חגורה לשבר טבור</v>
      </c>
      <c r="C63" s="8" t="n">
        <f aca="false">SUMIFS('Source'!$D:$D,'Source'!$A:$A,"160450 OY. EA. AB.",'Source'!$B:$B,$A63)</f>
        <v>10</v>
      </c>
      <c r="D63" s="8" t="n">
        <f aca="false">SUMIFS('Source'!$F:$F,'Source'!$A:$A,"160450 OY. EA. AB.",'Source'!$B:$B,$A63)</f>
        <v>6</v>
      </c>
      <c r="E63" s="8" t="n">
        <f aca="false">D63*$J$5</f>
        <v>7.57894736842105</v>
      </c>
      <c r="F63" s="8" t="n">
        <f aca="false">E63-C63</f>
        <v>-2.42105263157895</v>
      </c>
      <c r="G63" s="9" t="n">
        <f aca="false">IF(AND(C63=0,E63=0),0,IF(C63=0,"New",(E63-C63)/C63))</f>
        <v>-0.242105263157895</v>
      </c>
      <c r="H63" s="8" t="n">
        <f aca="false">SUMIFS('Source'!$E:$E,'Source'!$A:$A,"160450 OY. EA. AB.",'Source'!$B:$B,$A63)</f>
        <v>639.27</v>
      </c>
      <c r="I63" s="8" t="n">
        <f aca="false">SUMIFS('Source'!$G:$G,'Source'!$A:$A,"160450 OY. EA. AB.",'Source'!$B:$B,$A63)</f>
        <v>324.31</v>
      </c>
      <c r="J63" s="8" t="n">
        <f aca="false">I63*$J$5</f>
        <v>409.654736842105</v>
      </c>
      <c r="K63" s="8" t="n">
        <f aca="false">J63-H63</f>
        <v>-229.615263157895</v>
      </c>
      <c r="L63" s="9" t="n">
        <f aca="false">IF(AND(H63=0,J63=0),0,IF(H63=0,"New",(J63-H63)/H63))</f>
        <v>-0.359183542412275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407</v>
      </c>
      <c r="B64" s="7" t="str">
        <f aca="false">IFERROR(INDEX('Source'!$C:$C,MATCH($A64,'Source'!$B:$B,0)),"")</f>
        <v>חגורת שבר דו צדדית</v>
      </c>
      <c r="C64" s="8" t="n">
        <f aca="false">SUMIFS('Source'!$D:$D,'Source'!$A:$A,"160450 OY. EA. AB.",'Source'!$B:$B,$A64)</f>
        <v>3</v>
      </c>
      <c r="D64" s="8" t="n">
        <f aca="false">SUMIFS('Source'!$F:$F,'Source'!$A:$A,"160450 OY. EA. AB.",'Source'!$B:$B,$A64)</f>
        <v>0</v>
      </c>
      <c r="E64" s="8" t="n">
        <f aca="false">D64*$J$5</f>
        <v>0</v>
      </c>
      <c r="F64" s="8" t="n">
        <f aca="false">E64-C64</f>
        <v>-3</v>
      </c>
      <c r="G64" s="9" t="n">
        <f aca="false">IF(AND(C64=0,E64=0),0,IF(C64=0,"New",(E64-C64)/C64))</f>
        <v>-1</v>
      </c>
      <c r="H64" s="8" t="n">
        <f aca="false">SUMIFS('Source'!$E:$E,'Source'!$A:$A,"160450 OY. EA. AB.",'Source'!$B:$B,$A64)</f>
        <v>302.22</v>
      </c>
      <c r="I64" s="8" t="n">
        <f aca="false">SUMIFS('Source'!$G:$G,'Source'!$A:$A,"160450 OY. EA. AB.",'Source'!$B:$B,$A64)</f>
        <v>0</v>
      </c>
      <c r="J64" s="8" t="n">
        <f aca="false">I64*$J$5</f>
        <v>0</v>
      </c>
      <c r="K64" s="8" t="n">
        <f aca="false">J64-H64</f>
        <v>-302.22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402</v>
      </c>
      <c r="B65" s="7" t="str">
        <f aca="false">IFERROR(INDEX('Source'!$C:$C,MATCH($A65,'Source'!$B:$B,0)),"")</f>
        <v>חגורה לשבר טבור</v>
      </c>
      <c r="C65" s="8" t="n">
        <f aca="false">SUMIFS('Source'!$D:$D,'Source'!$A:$A,"160450 OY. EA. AB.",'Source'!$B:$B,$A65)</f>
        <v>10</v>
      </c>
      <c r="D65" s="8" t="n">
        <f aca="false">SUMIFS('Source'!$F:$F,'Source'!$A:$A,"160450 OY. EA. AB.",'Source'!$B:$B,$A65)</f>
        <v>6</v>
      </c>
      <c r="E65" s="8" t="n">
        <f aca="false">D65*$J$5</f>
        <v>7.57894736842105</v>
      </c>
      <c r="F65" s="8" t="n">
        <f aca="false">E65-C65</f>
        <v>-2.42105263157895</v>
      </c>
      <c r="G65" s="9" t="n">
        <f aca="false">IF(AND(C65=0,E65=0),0,IF(C65=0,"New",(E65-C65)/C65))</f>
        <v>-0.242105263157895</v>
      </c>
      <c r="H65" s="8" t="n">
        <f aca="false">SUMIFS('Source'!$E:$E,'Source'!$A:$A,"160450 OY. EA. AB.",'Source'!$B:$B,$A65)</f>
        <v>626.27</v>
      </c>
      <c r="I65" s="8" t="n">
        <f aca="false">SUMIFS('Source'!$G:$G,'Source'!$A:$A,"160450 OY. EA. AB.",'Source'!$B:$B,$A65)</f>
        <v>324.31</v>
      </c>
      <c r="J65" s="8" t="n">
        <f aca="false">I65*$J$5</f>
        <v>409.654736842105</v>
      </c>
      <c r="K65" s="8" t="n">
        <f aca="false">J65-H65</f>
        <v>-216.615263157895</v>
      </c>
      <c r="L65" s="9" t="n">
        <f aca="false">IF(AND(H65=0,J65=0),0,IF(H65=0,"New",(J65-H65)/H65))</f>
        <v>-0.345881589662438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236</v>
      </c>
      <c r="B66" s="7" t="str">
        <f aca="false">IFERROR(INDEX('Source'!$C:$C,MATCH($A66,'Source'!$B:$B,0)),"")</f>
        <v>חגורה לשבר טבור</v>
      </c>
      <c r="C66" s="8" t="n">
        <f aca="false">SUMIFS('Source'!$D:$D,'Source'!$A:$A,"160450 OY. EA. AB.",'Source'!$B:$B,$A66)</f>
        <v>8</v>
      </c>
      <c r="D66" s="8" t="n">
        <f aca="false">SUMIFS('Source'!$F:$F,'Source'!$A:$A,"160450 OY. EA. AB.",'Source'!$B:$B,$A66)</f>
        <v>4</v>
      </c>
      <c r="E66" s="8" t="n">
        <f aca="false">D66*$J$5</f>
        <v>5.05263157894737</v>
      </c>
      <c r="F66" s="8" t="n">
        <f aca="false">E66-C66</f>
        <v>-2.94736842105263</v>
      </c>
      <c r="G66" s="9" t="n">
        <f aca="false">IF(AND(C66=0,E66=0),0,IF(C66=0,"New",(E66-C66)/C66))</f>
        <v>-0.368421052631579</v>
      </c>
      <c r="H66" s="8" t="n">
        <f aca="false">SUMIFS('Source'!$E:$E,'Source'!$A:$A,"160450 OY. EA. AB.",'Source'!$B:$B,$A66)</f>
        <v>516.62</v>
      </c>
      <c r="I66" s="8" t="n">
        <f aca="false">SUMIFS('Source'!$G:$G,'Source'!$A:$A,"160450 OY. EA. AB.",'Source'!$B:$B,$A66)</f>
        <v>216.21</v>
      </c>
      <c r="J66" s="8" t="n">
        <f aca="false">I66*$J$5</f>
        <v>273.107368421053</v>
      </c>
      <c r="K66" s="8" t="n">
        <f aca="false">J66-H66</f>
        <v>-243.512631578947</v>
      </c>
      <c r="L66" s="9" t="n">
        <f aca="false">IF(AND(H66=0,J66=0),0,IF(H66=0,"New",(J66-H66)/H66))</f>
        <v>-0.47135734500977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1001</v>
      </c>
      <c r="B67" s="7" t="str">
        <f aca="false">IFERROR(INDEX('Source'!$C:$C,MATCH($A67,'Source'!$B:$B,0)),"")</f>
        <v>מגן ברך עם רצועות</v>
      </c>
      <c r="C67" s="8" t="n">
        <f aca="false">SUMIFS('Source'!$D:$D,'Source'!$A:$A,"160450 OY. EA. AB.",'Source'!$B:$B,$A67)</f>
        <v>0</v>
      </c>
      <c r="D67" s="8" t="n">
        <f aca="false">SUMIFS('Source'!$F:$F,'Source'!$A:$A,"160450 OY. EA. AB.",'Source'!$B:$B,$A67)</f>
        <v>3</v>
      </c>
      <c r="E67" s="8" t="n">
        <f aca="false">D67*$J$5</f>
        <v>3.78947368421053</v>
      </c>
      <c r="F67" s="8" t="n">
        <f aca="false">E67-C67</f>
        <v>3.78947368421053</v>
      </c>
      <c r="G67" s="9" t="str">
        <f aca="false">IF(AND(C67=0,E67=0),0,IF(C67=0,"New",(E67-C67)/C67))</f>
        <v>New</v>
      </c>
      <c r="H67" s="8" t="n">
        <f aca="false">SUMIFS('Source'!$E:$E,'Source'!$A:$A,"160450 OY. EA. AB.",'Source'!$B:$B,$A67)</f>
        <v>0</v>
      </c>
      <c r="I67" s="8" t="n">
        <f aca="false">SUMIFS('Source'!$G:$G,'Source'!$A:$A,"160450 OY. EA. AB.",'Source'!$B:$B,$A67)</f>
        <v>299.37</v>
      </c>
      <c r="J67" s="8" t="n">
        <f aca="false">I67*$J$5</f>
        <v>378.151578947368</v>
      </c>
      <c r="K67" s="8" t="n">
        <f aca="false">J67-H67</f>
        <v>378.151578947368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343</v>
      </c>
      <c r="B68" s="7" t="str">
        <f aca="false">IFERROR(INDEX('Source'!$C:$C,MATCH($A68,'Source'!$B:$B,0)),"")</f>
        <v>מגן קרסול שחור</v>
      </c>
      <c r="C68" s="8" t="n">
        <f aca="false">SUMIFS('Source'!$D:$D,'Source'!$A:$A,"160450 OY. EA. AB.",'Source'!$B:$B,$A68)</f>
        <v>25</v>
      </c>
      <c r="D68" s="8" t="n">
        <f aca="false">SUMIFS('Source'!$F:$F,'Source'!$A:$A,"160450 OY. EA. AB.",'Source'!$B:$B,$A68)</f>
        <v>0</v>
      </c>
      <c r="E68" s="8" t="n">
        <f aca="false">D68*$J$5</f>
        <v>0</v>
      </c>
      <c r="F68" s="8" t="n">
        <f aca="false">E68-C68</f>
        <v>-25</v>
      </c>
      <c r="G68" s="9" t="n">
        <f aca="false">IF(AND(C68=0,E68=0),0,IF(C68=0,"New",(E68-C68)/C68))</f>
        <v>-1</v>
      </c>
      <c r="H68" s="8" t="n">
        <f aca="false">SUMIFS('Source'!$E:$E,'Source'!$A:$A,"160450 OY. EA. AB.",'Source'!$B:$B,$A68)</f>
        <v>298.68</v>
      </c>
      <c r="I68" s="8" t="n">
        <f aca="false">SUMIFS('Source'!$G:$G,'Source'!$A:$A,"160450 OY. EA. AB.",'Source'!$B:$B,$A68)</f>
        <v>0</v>
      </c>
      <c r="J68" s="8" t="n">
        <f aca="false">I68*$J$5</f>
        <v>0</v>
      </c>
      <c r="K68" s="8" t="n">
        <f aca="false">J68-H68</f>
        <v>-298.68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125</v>
      </c>
      <c r="B69" s="7" t="str">
        <f aca="false">IFERROR(INDEX('Source'!$C:$C,MATCH($A69,'Source'!$B:$B,0)),"")</f>
        <v>שרוול לגבס ארוך רגל</v>
      </c>
      <c r="C69" s="8" t="n">
        <f aca="false">SUMIFS('Source'!$D:$D,'Source'!$A:$A,"160450 OY. EA. AB.",'Source'!$B:$B,$A69)</f>
        <v>10</v>
      </c>
      <c r="D69" s="8" t="n">
        <f aca="false">SUMIFS('Source'!$F:$F,'Source'!$A:$A,"160450 OY. EA. AB.",'Source'!$B:$B,$A69)</f>
        <v>0</v>
      </c>
      <c r="E69" s="8" t="n">
        <f aca="false">D69*$J$5</f>
        <v>0</v>
      </c>
      <c r="F69" s="8" t="n">
        <f aca="false">E69-C69</f>
        <v>-10</v>
      </c>
      <c r="G69" s="9" t="n">
        <f aca="false">IF(AND(C69=0,E69=0),0,IF(C69=0,"New",(E69-C69)/C69))</f>
        <v>-1</v>
      </c>
      <c r="H69" s="8" t="n">
        <f aca="false">SUMIFS('Source'!$E:$E,'Source'!$A:$A,"160450 OY. EA. AB.",'Source'!$B:$B,$A69)</f>
        <v>290.55</v>
      </c>
      <c r="I69" s="8" t="n">
        <f aca="false">SUMIFS('Source'!$G:$G,'Source'!$A:$A,"160450 OY. EA. AB.",'Source'!$B:$B,$A69)</f>
        <v>0</v>
      </c>
      <c r="J69" s="8" t="n">
        <f aca="false">I69*$J$5</f>
        <v>0</v>
      </c>
      <c r="K69" s="8" t="n">
        <f aca="false">J69-H69</f>
        <v>-290.55</v>
      </c>
      <c r="L69" s="9" t="n">
        <f aca="false">IF(AND(H69=0,J69=0),0,IF(H69=0,"New",(J69-H69)/H69))</f>
        <v>-1</v>
      </c>
      <c r="M69" s="7" t="str">
        <f aca="false">IF(AND(OR(C69&lt;&gt;0,H69&lt;&gt;0),D69=0,I69=0),"DROP",IF(AND(OR(D69&lt;&gt;0,I69&lt;&gt;0),C69=0,H69=0),"NEW",""))</f>
        <v>DROP</v>
      </c>
    </row>
    <row r="70" customFormat="false" ht="15" hidden="false" customHeight="false" outlineLevel="0" collapsed="false">
      <c r="A70" s="7" t="s">
        <v>313</v>
      </c>
      <c r="B70" s="7" t="str">
        <f aca="false">IFERROR(INDEX('Source'!$C:$C,MATCH($A70,'Source'!$B:$B,0)),"")</f>
        <v>צווארון ספוג</v>
      </c>
      <c r="C70" s="8" t="n">
        <f aca="false">SUMIFS('Source'!$D:$D,'Source'!$A:$A,"160450 OY. EA. AB.",'Source'!$B:$B,$A70)</f>
        <v>23</v>
      </c>
      <c r="D70" s="8" t="n">
        <f aca="false">SUMIFS('Source'!$F:$F,'Source'!$A:$A,"160450 OY. EA. AB.",'Source'!$B:$B,$A70)</f>
        <v>15</v>
      </c>
      <c r="E70" s="8" t="n">
        <f aca="false">D70*$J$5</f>
        <v>18.9473684210526</v>
      </c>
      <c r="F70" s="8" t="n">
        <f aca="false">E70-C70</f>
        <v>-4.05263157894737</v>
      </c>
      <c r="G70" s="9" t="n">
        <f aca="false">IF(AND(C70=0,E70=0),0,IF(C70=0,"New",(E70-C70)/C70))</f>
        <v>-0.176201372997712</v>
      </c>
      <c r="H70" s="8" t="n">
        <f aca="false">SUMIFS('Source'!$E:$E,'Source'!$A:$A,"160450 OY. EA. AB.",'Source'!$B:$B,$A70)</f>
        <v>663</v>
      </c>
      <c r="I70" s="8" t="n">
        <f aca="false">SUMIFS('Source'!$G:$G,'Source'!$A:$A,"160450 OY. EA. AB.",'Source'!$B:$B,$A70)</f>
        <v>374.21</v>
      </c>
      <c r="J70" s="8" t="n">
        <f aca="false">I70*$J$5</f>
        <v>472.686315789474</v>
      </c>
      <c r="K70" s="8" t="n">
        <f aca="false">J70-H70</f>
        <v>-190.313684210526</v>
      </c>
      <c r="L70" s="9" t="n">
        <f aca="false">IF(AND(H70=0,J70=0),0,IF(H70=0,"New",(J70-H70)/H70))</f>
        <v>-0.287049297451774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513</v>
      </c>
      <c r="B71" s="7" t="str">
        <f aca="false">IFERROR(INDEX('Source'!$C:$C,MATCH($A71,'Source'!$B:$B,0)),"")</f>
        <v>חגורה אוורירית איטלקית</v>
      </c>
      <c r="C71" s="8" t="n">
        <f aca="false">SUMIFS('Source'!$D:$D,'Source'!$A:$A,"160450 OY. EA. AB.",'Source'!$B:$B,$A71)</f>
        <v>3</v>
      </c>
      <c r="D71" s="8" t="n">
        <f aca="false">SUMIFS('Source'!$F:$F,'Source'!$A:$A,"160450 OY. EA. AB.",'Source'!$B:$B,$A71)</f>
        <v>6</v>
      </c>
      <c r="E71" s="8" t="n">
        <f aca="false">D71*$J$5</f>
        <v>7.57894736842105</v>
      </c>
      <c r="F71" s="8" t="n">
        <f aca="false">E71-C71</f>
        <v>4.57894736842105</v>
      </c>
      <c r="G71" s="9" t="n">
        <f aca="false">IF(AND(C71=0,E71=0),0,IF(C71=0,"New",(E71-C71)/C71))</f>
        <v>1.52631578947368</v>
      </c>
      <c r="H71" s="8" t="n">
        <f aca="false">SUMIFS('Source'!$E:$E,'Source'!$A:$A,"160450 OY. EA. AB.",'Source'!$B:$B,$A71)</f>
        <v>375.88</v>
      </c>
      <c r="I71" s="8" t="n">
        <f aca="false">SUMIFS('Source'!$G:$G,'Source'!$A:$A,"160450 OY. EA. AB.",'Source'!$B:$B,$A71)</f>
        <v>662.6</v>
      </c>
      <c r="J71" s="8" t="n">
        <f aca="false">I71*$J$5</f>
        <v>836.968421052632</v>
      </c>
      <c r="K71" s="8" t="n">
        <f aca="false">J71-H71</f>
        <v>461.088421052632</v>
      </c>
      <c r="L71" s="9" t="n">
        <f aca="false">IF(AND(H71=0,J71=0),0,IF(H71=0,"New",(J71-H71)/H71))</f>
        <v>1.22669048912587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435</v>
      </c>
      <c r="B72" s="7" t="str">
        <f aca="false">IFERROR(INDEX('Source'!$C:$C,MATCH($A72,'Source'!$B:$B,0)),"")</f>
        <v>מגן ברך שחור</v>
      </c>
      <c r="C72" s="8" t="n">
        <f aca="false">SUMIFS('Source'!$D:$D,'Source'!$A:$A,"160450 OY. EA. AB.",'Source'!$B:$B,$A72)</f>
        <v>30</v>
      </c>
      <c r="D72" s="8" t="n">
        <f aca="false">SUMIFS('Source'!$F:$F,'Source'!$A:$A,"160450 OY. EA. AB.",'Source'!$B:$B,$A72)</f>
        <v>8</v>
      </c>
      <c r="E72" s="8" t="n">
        <f aca="false">D72*$J$5</f>
        <v>10.1052631578947</v>
      </c>
      <c r="F72" s="8" t="n">
        <f aca="false">E72-C72</f>
        <v>-19.8947368421053</v>
      </c>
      <c r="G72" s="9" t="n">
        <f aca="false">IF(AND(C72=0,E72=0),0,IF(C72=0,"New",(E72-C72)/C72))</f>
        <v>-0.663157894736842</v>
      </c>
      <c r="H72" s="8" t="n">
        <f aca="false">SUMIFS('Source'!$E:$E,'Source'!$A:$A,"160450 OY. EA. AB.",'Source'!$B:$B,$A72)</f>
        <v>369.24</v>
      </c>
      <c r="I72" s="8" t="n">
        <f aca="false">SUMIFS('Source'!$G:$G,'Source'!$A:$A,"160450 OY. EA. AB.",'Source'!$B:$B,$A72)</f>
        <v>83.82</v>
      </c>
      <c r="J72" s="8" t="n">
        <f aca="false">I72*$J$5</f>
        <v>105.877894736842</v>
      </c>
      <c r="K72" s="8" t="n">
        <f aca="false">J72-H72</f>
        <v>-263.362105263158</v>
      </c>
      <c r="L72" s="9" t="n">
        <f aca="false">IF(AND(H72=0,J72=0),0,IF(H72=0,"New",(J72-H72)/H72))</f>
        <v>-0.713254537057626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623</v>
      </c>
      <c r="B73" s="7" t="str">
        <f aca="false">IFERROR(INDEX('Source'!$C:$C,MATCH($A73,'Source'!$B:$B,0)),"")</f>
        <v>צוארון ספוגי</v>
      </c>
      <c r="C73" s="8" t="n">
        <f aca="false">SUMIFS('Source'!$D:$D,'Source'!$A:$A,"160450 OY. EA. AB.",'Source'!$B:$B,$A73)</f>
        <v>10</v>
      </c>
      <c r="D73" s="8" t="n">
        <f aca="false">SUMIFS('Source'!$F:$F,'Source'!$A:$A,"160450 OY. EA. AB.",'Source'!$B:$B,$A73)</f>
        <v>0</v>
      </c>
      <c r="E73" s="8" t="n">
        <f aca="false">D73*$J$5</f>
        <v>0</v>
      </c>
      <c r="F73" s="8" t="n">
        <f aca="false">E73-C73</f>
        <v>-10</v>
      </c>
      <c r="G73" s="9" t="n">
        <f aca="false">IF(AND(C73=0,E73=0),0,IF(C73=0,"New",(E73-C73)/C73))</f>
        <v>-1</v>
      </c>
      <c r="H73" s="8" t="n">
        <f aca="false">SUMIFS('Source'!$E:$E,'Source'!$A:$A,"160450 OY. EA. AB.",'Source'!$B:$B,$A73)</f>
        <v>283.04</v>
      </c>
      <c r="I73" s="8" t="n">
        <f aca="false">SUMIFS('Source'!$G:$G,'Source'!$A:$A,"160450 OY. EA. AB.",'Source'!$B:$B,$A73)</f>
        <v>0</v>
      </c>
      <c r="J73" s="8" t="n">
        <f aca="false">I73*$J$5</f>
        <v>0</v>
      </c>
      <c r="K73" s="8" t="n">
        <f aca="false">J73-H73</f>
        <v>-283.04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907</v>
      </c>
      <c r="B74" s="7" t="str">
        <f aca="false">IFERROR(INDEX('Source'!$C:$C,MATCH($A74,'Source'!$B:$B,0)),"")</f>
        <v>ריפוד סיליקון לנעלי אצבע</v>
      </c>
      <c r="C74" s="8" t="n">
        <f aca="false">SUMIFS('Source'!$D:$D,'Source'!$A:$A,"160450 OY. EA. AB.",'Source'!$B:$B,$A74)</f>
        <v>20</v>
      </c>
      <c r="D74" s="8" t="n">
        <f aca="false">SUMIFS('Source'!$F:$F,'Source'!$A:$A,"160450 OY. EA. AB.",'Source'!$B:$B,$A74)</f>
        <v>0</v>
      </c>
      <c r="E74" s="8" t="n">
        <f aca="false">D74*$J$5</f>
        <v>0</v>
      </c>
      <c r="F74" s="8" t="n">
        <f aca="false">E74-C74</f>
        <v>-20</v>
      </c>
      <c r="G74" s="9" t="n">
        <f aca="false">IF(AND(C74=0,E74=0),0,IF(C74=0,"New",(E74-C74)/C74))</f>
        <v>-1</v>
      </c>
      <c r="H74" s="8" t="n">
        <f aca="false">SUMIFS('Source'!$E:$E,'Source'!$A:$A,"160450 OY. EA. AB.",'Source'!$B:$B,$A74)</f>
        <v>278.18</v>
      </c>
      <c r="I74" s="8" t="n">
        <f aca="false">SUMIFS('Source'!$G:$G,'Source'!$A:$A,"160450 OY. EA. AB.",'Source'!$B:$B,$A74)</f>
        <v>0</v>
      </c>
      <c r="J74" s="8" t="n">
        <f aca="false">I74*$J$5</f>
        <v>0</v>
      </c>
      <c r="K74" s="8" t="n">
        <f aca="false">J74-H74</f>
        <v>-278.18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1002</v>
      </c>
      <c r="B75" s="7" t="str">
        <f aca="false">IFERROR(INDEX('Source'!$C:$C,MATCH($A75,'Source'!$B:$B,0)),"")</f>
        <v>מגן למפרק כתף</v>
      </c>
      <c r="C75" s="8" t="n">
        <f aca="false">SUMIFS('Source'!$D:$D,'Source'!$A:$A,"160450 OY. EA. AB.",'Source'!$B:$B,$A75)</f>
        <v>4</v>
      </c>
      <c r="D75" s="8" t="n">
        <f aca="false">SUMIFS('Source'!$F:$F,'Source'!$A:$A,"160450 OY. EA. AB.",'Source'!$B:$B,$A75)</f>
        <v>0</v>
      </c>
      <c r="E75" s="8" t="n">
        <f aca="false">D75*$J$5</f>
        <v>0</v>
      </c>
      <c r="F75" s="8" t="n">
        <f aca="false">E75-C75</f>
        <v>-4</v>
      </c>
      <c r="G75" s="9" t="n">
        <f aca="false">IF(AND(C75=0,E75=0),0,IF(C75=0,"New",(E75-C75)/C75))</f>
        <v>-1</v>
      </c>
      <c r="H75" s="8" t="n">
        <f aca="false">SUMIFS('Source'!$E:$E,'Source'!$A:$A,"160450 OY. EA. AB.",'Source'!$B:$B,$A75)</f>
        <v>273.41</v>
      </c>
      <c r="I75" s="8" t="n">
        <f aca="false">SUMIFS('Source'!$G:$G,'Source'!$A:$A,"160450 OY. EA. AB.",'Source'!$B:$B,$A75)</f>
        <v>0</v>
      </c>
      <c r="J75" s="8" t="n">
        <f aca="false">I75*$J$5</f>
        <v>0</v>
      </c>
      <c r="K75" s="8" t="n">
        <f aca="false">J75-H75</f>
        <v>-273.41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558</v>
      </c>
      <c r="B76" s="7" t="str">
        <f aca="false">IFERROR(INDEX('Source'!$C:$C,MATCH($A76,'Source'!$B:$B,0)),"")</f>
        <v>צווארון ספוג</v>
      </c>
      <c r="C76" s="8" t="n">
        <f aca="false">SUMIFS('Source'!$D:$D,'Source'!$A:$A,"160450 OY. EA. AB.",'Source'!$B:$B,$A76)</f>
        <v>18</v>
      </c>
      <c r="D76" s="8" t="n">
        <f aca="false">SUMIFS('Source'!$F:$F,'Source'!$A:$A,"160450 OY. EA. AB.",'Source'!$B:$B,$A76)</f>
        <v>10</v>
      </c>
      <c r="E76" s="8" t="n">
        <f aca="false">D76*$J$5</f>
        <v>12.6315789473684</v>
      </c>
      <c r="F76" s="8" t="n">
        <f aca="false">E76-C76</f>
        <v>-5.36842105263158</v>
      </c>
      <c r="G76" s="9" t="n">
        <f aca="false">IF(AND(C76=0,E76=0),0,IF(C76=0,"New",(E76-C76)/C76))</f>
        <v>-0.298245614035088</v>
      </c>
      <c r="H76" s="8" t="n">
        <f aca="false">SUMIFS('Source'!$E:$E,'Source'!$A:$A,"160450 OY. EA. AB.",'Source'!$B:$B,$A76)</f>
        <v>521.48</v>
      </c>
      <c r="I76" s="8" t="n">
        <f aca="false">SUMIFS('Source'!$G:$G,'Source'!$A:$A,"160450 OY. EA. AB.",'Source'!$B:$B,$A76)</f>
        <v>249.47</v>
      </c>
      <c r="J76" s="8" t="n">
        <f aca="false">I76*$J$5</f>
        <v>315.12</v>
      </c>
      <c r="K76" s="8" t="n">
        <f aca="false">J76-H76</f>
        <v>-206.36</v>
      </c>
      <c r="L76" s="9" t="n">
        <f aca="false">IF(AND(H76=0,J76=0),0,IF(H76=0,"New",(J76-H76)/H76))</f>
        <v>-0.395719874204188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428</v>
      </c>
      <c r="B77" s="7" t="str">
        <f aca="false">IFERROR(INDEX('Source'!$C:$C,MATCH($A77,'Source'!$B:$B,0)),"")</f>
        <v>חגורה אוורירית איטלקית</v>
      </c>
      <c r="C77" s="8" t="n">
        <f aca="false">SUMIFS('Source'!$D:$D,'Source'!$A:$A,"160450 OY. EA. AB.",'Source'!$B:$B,$A77)</f>
        <v>2</v>
      </c>
      <c r="D77" s="8" t="n">
        <f aca="false">SUMIFS('Source'!$F:$F,'Source'!$A:$A,"160450 OY. EA. AB.",'Source'!$B:$B,$A77)</f>
        <v>0</v>
      </c>
      <c r="E77" s="8" t="n">
        <f aca="false">D77*$J$5</f>
        <v>0</v>
      </c>
      <c r="F77" s="8" t="n">
        <f aca="false">E77-C77</f>
        <v>-2</v>
      </c>
      <c r="G77" s="9" t="n">
        <f aca="false">IF(AND(C77=0,E77=0),0,IF(C77=0,"New",(E77-C77)/C77))</f>
        <v>-1</v>
      </c>
      <c r="H77" s="8" t="n">
        <f aca="false">SUMIFS('Source'!$E:$E,'Source'!$A:$A,"160450 OY. EA. AB.",'Source'!$B:$B,$A77)</f>
        <v>263.87</v>
      </c>
      <c r="I77" s="8" t="n">
        <f aca="false">SUMIFS('Source'!$G:$G,'Source'!$A:$A,"160450 OY. EA. AB.",'Source'!$B:$B,$A77)</f>
        <v>0</v>
      </c>
      <c r="J77" s="8" t="n">
        <f aca="false">I77*$J$5</f>
        <v>0</v>
      </c>
      <c r="K77" s="8" t="n">
        <f aca="false">J77-H77</f>
        <v>-263.87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232</v>
      </c>
      <c r="B78" s="7" t="str">
        <f aca="false">IFERROR(INDEX('Source'!$C:$C,MATCH($A78,'Source'!$B:$B,0)),"")</f>
        <v>חגורת גב אפורה</v>
      </c>
      <c r="C78" s="8" t="n">
        <f aca="false">SUMIFS('Source'!$D:$D,'Source'!$A:$A,"160450 OY. EA. AB.",'Source'!$B:$B,$A78)</f>
        <v>0</v>
      </c>
      <c r="D78" s="8" t="n">
        <f aca="false">SUMIFS('Source'!$F:$F,'Source'!$A:$A,"160450 OY. EA. AB.",'Source'!$B:$B,$A78)</f>
        <v>6</v>
      </c>
      <c r="E78" s="8" t="n">
        <f aca="false">D78*$J$5</f>
        <v>7.57894736842105</v>
      </c>
      <c r="F78" s="8" t="n">
        <f aca="false">E78-C78</f>
        <v>7.57894736842105</v>
      </c>
      <c r="G78" s="9" t="str">
        <f aca="false">IF(AND(C78=0,E78=0),0,IF(C78=0,"New",(E78-C78)/C78))</f>
        <v>New</v>
      </c>
      <c r="H78" s="8" t="n">
        <f aca="false">SUMIFS('Source'!$E:$E,'Source'!$A:$A,"160450 OY. EA. AB.",'Source'!$B:$B,$A78)</f>
        <v>0</v>
      </c>
      <c r="I78" s="8" t="n">
        <f aca="false">SUMIFS('Source'!$G:$G,'Source'!$A:$A,"160450 OY. EA. AB.",'Source'!$B:$B,$A78)</f>
        <v>263.44</v>
      </c>
      <c r="J78" s="8" t="n">
        <f aca="false">I78*$J$5</f>
        <v>332.766315789474</v>
      </c>
      <c r="K78" s="8" t="n">
        <f aca="false">J78-H78</f>
        <v>332.766315789474</v>
      </c>
      <c r="L78" s="9" t="str">
        <f aca="false">IF(AND(H78=0,J78=0),0,IF(H78=0,"New",(J78-H78)/H78))</f>
        <v>New</v>
      </c>
      <c r="M78" s="7" t="str">
        <f aca="false">IF(AND(OR(C78&lt;&gt;0,H78&lt;&gt;0),D78=0,I78=0),"DROP",IF(AND(OR(D78&lt;&gt;0,I78&lt;&gt;0),C78=0,H78=0),"NEW",""))</f>
        <v>NEW</v>
      </c>
    </row>
    <row r="79" customFormat="false" ht="15" hidden="false" customHeight="false" outlineLevel="0" collapsed="false">
      <c r="A79" s="7" t="s">
        <v>469</v>
      </c>
      <c r="B79" s="7" t="str">
        <f aca="false">IFERROR(INDEX('Source'!$C:$C,MATCH($A79,'Source'!$B:$B,0)),"")</f>
        <v>מדרס מג'ל</v>
      </c>
      <c r="C79" s="8" t="n">
        <f aca="false">SUMIFS('Source'!$D:$D,'Source'!$A:$A,"160450 OY. EA. AB.",'Source'!$B:$B,$A79)</f>
        <v>0</v>
      </c>
      <c r="D79" s="8" t="n">
        <f aca="false">SUMIFS('Source'!$F:$F,'Source'!$A:$A,"160450 OY. EA. AB.",'Source'!$B:$B,$A79)</f>
        <v>10</v>
      </c>
      <c r="E79" s="8" t="n">
        <f aca="false">D79*$J$5</f>
        <v>12.6315789473684</v>
      </c>
      <c r="F79" s="8" t="n">
        <f aca="false">E79-C79</f>
        <v>12.6315789473684</v>
      </c>
      <c r="G79" s="9" t="str">
        <f aca="false">IF(AND(C79=0,E79=0),0,IF(C79=0,"New",(E79-C79)/C79))</f>
        <v>New</v>
      </c>
      <c r="H79" s="8" t="n">
        <f aca="false">SUMIFS('Source'!$E:$E,'Source'!$A:$A,"160450 OY. EA. AB.",'Source'!$B:$B,$A79)</f>
        <v>0</v>
      </c>
      <c r="I79" s="8" t="n">
        <f aca="false">SUMIFS('Source'!$G:$G,'Source'!$A:$A,"160450 OY. EA. AB.",'Source'!$B:$B,$A79)</f>
        <v>261.11</v>
      </c>
      <c r="J79" s="8" t="n">
        <f aca="false">I79*$J$5</f>
        <v>329.823157894737</v>
      </c>
      <c r="K79" s="8" t="n">
        <f aca="false">J79-H79</f>
        <v>329.823157894737</v>
      </c>
      <c r="L79" s="9" t="str">
        <f aca="false">IF(AND(H79=0,J79=0),0,IF(H79=0,"New",(J79-H79)/H79))</f>
        <v>New</v>
      </c>
      <c r="M79" s="7" t="str">
        <f aca="false">IF(AND(OR(C79&lt;&gt;0,H79&lt;&gt;0),D79=0,I79=0),"DROP",IF(AND(OR(D79&lt;&gt;0,I79&lt;&gt;0),C79=0,H79=0),"NEW",""))</f>
        <v>NEW</v>
      </c>
    </row>
    <row r="80" customFormat="false" ht="15" hidden="false" customHeight="false" outlineLevel="0" collapsed="false">
      <c r="A80" s="7" t="s">
        <v>614</v>
      </c>
      <c r="B80" s="7" t="str">
        <f aca="false">IFERROR(INDEX('Source'!$C:$C,MATCH($A80,'Source'!$B:$B,0)),"")</f>
        <v>סד לאגודל</v>
      </c>
      <c r="C80" s="8" t="n">
        <f aca="false">SUMIFS('Source'!$D:$D,'Source'!$A:$A,"160450 OY. EA. AB.",'Source'!$B:$B,$A80)</f>
        <v>10</v>
      </c>
      <c r="D80" s="8" t="n">
        <f aca="false">SUMIFS('Source'!$F:$F,'Source'!$A:$A,"160450 OY. EA. AB.",'Source'!$B:$B,$A80)</f>
        <v>4</v>
      </c>
      <c r="E80" s="8" t="n">
        <f aca="false">D80*$J$5</f>
        <v>5.05263157894737</v>
      </c>
      <c r="F80" s="8" t="n">
        <f aca="false">E80-C80</f>
        <v>-4.94736842105263</v>
      </c>
      <c r="G80" s="9" t="n">
        <f aca="false">IF(AND(C80=0,E80=0),0,IF(C80=0,"New",(E80-C80)/C80))</f>
        <v>-0.494736842105263</v>
      </c>
      <c r="H80" s="8" t="n">
        <f aca="false">SUMIFS('Source'!$E:$E,'Source'!$A:$A,"160450 OY. EA. AB.",'Source'!$B:$B,$A80)</f>
        <v>396.96</v>
      </c>
      <c r="I80" s="8" t="n">
        <f aca="false">SUMIFS('Source'!$G:$G,'Source'!$A:$A,"160450 OY. EA. AB.",'Source'!$B:$B,$A80)</f>
        <v>137.04</v>
      </c>
      <c r="J80" s="8" t="n">
        <f aca="false">I80*$J$5</f>
        <v>173.103157894737</v>
      </c>
      <c r="K80" s="8" t="n">
        <f aca="false">J80-H80</f>
        <v>-223.856842105263</v>
      </c>
      <c r="L80" s="9" t="n">
        <f aca="false">IF(AND(H80=0,J80=0),0,IF(H80=0,"New",(J80-H80)/H80))</f>
        <v>-0.563927957741997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590</v>
      </c>
      <c r="B81" s="7" t="str">
        <f aca="false">IFERROR(INDEX('Source'!$C:$C,MATCH($A81,'Source'!$B:$B,0)),"")</f>
        <v>רפידת אנטי-ריח</v>
      </c>
      <c r="C81" s="8" t="n">
        <f aca="false">SUMIFS('Source'!$D:$D,'Source'!$A:$A,"160450 OY. EA. AB.",'Source'!$B:$B,$A81)</f>
        <v>50</v>
      </c>
      <c r="D81" s="8" t="n">
        <f aca="false">SUMIFS('Source'!$F:$F,'Source'!$A:$A,"160450 OY. EA. AB.",'Source'!$B:$B,$A81)</f>
        <v>20</v>
      </c>
      <c r="E81" s="8" t="n">
        <f aca="false">D81*$J$5</f>
        <v>25.2631578947368</v>
      </c>
      <c r="F81" s="8" t="n">
        <f aca="false">E81-C81</f>
        <v>-24.7368421052632</v>
      </c>
      <c r="G81" s="9" t="n">
        <f aca="false">IF(AND(C81=0,E81=0),0,IF(C81=0,"New",(E81-C81)/C81))</f>
        <v>-0.494736842105263</v>
      </c>
      <c r="H81" s="8" t="n">
        <f aca="false">SUMIFS('Source'!$E:$E,'Source'!$A:$A,"160450 OY. EA. AB.",'Source'!$B:$B,$A81)</f>
        <v>389.4</v>
      </c>
      <c r="I81" s="8" t="n">
        <f aca="false">SUMIFS('Source'!$G:$G,'Source'!$A:$A,"160450 OY. EA. AB.",'Source'!$B:$B,$A81)</f>
        <v>133.05</v>
      </c>
      <c r="J81" s="8" t="n">
        <f aca="false">I81*$J$5</f>
        <v>168.063157894737</v>
      </c>
      <c r="K81" s="8" t="n">
        <f aca="false">J81-H81</f>
        <v>-221.336842105263</v>
      </c>
      <c r="L81" s="9" t="n">
        <f aca="false">IF(AND(H81=0,J81=0),0,IF(H81=0,"New",(J81-H81)/H81))</f>
        <v>-0.568404833346849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541</v>
      </c>
      <c r="B82" s="7" t="str">
        <f aca="false">IFERROR(INDEX('Source'!$C:$C,MATCH($A82,'Source'!$B:$B,0)),"")</f>
        <v>צווארון ספוג</v>
      </c>
      <c r="C82" s="8" t="n">
        <f aca="false">SUMIFS('Source'!$D:$D,'Source'!$A:$A,"160450 OY. EA. AB.",'Source'!$B:$B,$A82)</f>
        <v>0</v>
      </c>
      <c r="D82" s="8" t="n">
        <f aca="false">SUMIFS('Source'!$F:$F,'Source'!$A:$A,"160450 OY. EA. AB.",'Source'!$B:$B,$A82)</f>
        <v>10</v>
      </c>
      <c r="E82" s="8" t="n">
        <f aca="false">D82*$J$5</f>
        <v>12.6315789473684</v>
      </c>
      <c r="F82" s="8" t="n">
        <f aca="false">E82-C82</f>
        <v>12.6315789473684</v>
      </c>
      <c r="G82" s="9" t="str">
        <f aca="false">IF(AND(C82=0,E82=0),0,IF(C82=0,"New",(E82-C82)/C82))</f>
        <v>New</v>
      </c>
      <c r="H82" s="8" t="n">
        <f aca="false">SUMIFS('Source'!$E:$E,'Source'!$A:$A,"160450 OY. EA. AB.",'Source'!$B:$B,$A82)</f>
        <v>0</v>
      </c>
      <c r="I82" s="8" t="n">
        <f aca="false">SUMIFS('Source'!$G:$G,'Source'!$A:$A,"160450 OY. EA. AB.",'Source'!$B:$B,$A82)</f>
        <v>249.47</v>
      </c>
      <c r="J82" s="8" t="n">
        <f aca="false">I82*$J$5</f>
        <v>315.12</v>
      </c>
      <c r="K82" s="8" t="n">
        <f aca="false">J82-H82</f>
        <v>315.12</v>
      </c>
      <c r="L82" s="9" t="str">
        <f aca="false">IF(AND(H82=0,J82=0),0,IF(H82=0,"New",(J82-H82)/H82))</f>
        <v>New</v>
      </c>
      <c r="M82" s="7" t="str">
        <f aca="false">IF(AND(OR(C82&lt;&gt;0,H82&lt;&gt;0),D82=0,I82=0),"DROP",IF(AND(OR(D82&lt;&gt;0,I82&lt;&gt;0),C82=0,H82=0),"NEW",""))</f>
        <v>NEW</v>
      </c>
    </row>
    <row r="83" customFormat="false" ht="15" hidden="false" customHeight="false" outlineLevel="0" collapsed="false">
      <c r="A83" s="7" t="s">
        <v>698</v>
      </c>
      <c r="B83" s="7" t="str">
        <f aca="false">IFERROR(INDEX('Source'!$C:$C,MATCH($A83,'Source'!$B:$B,0)),"")</f>
        <v>מגן ברך חום</v>
      </c>
      <c r="C83" s="8" t="n">
        <f aca="false">SUMIFS('Source'!$D:$D,'Source'!$A:$A,"160450 OY. EA. AB.",'Source'!$B:$B,$A83)</f>
        <v>30</v>
      </c>
      <c r="D83" s="8" t="n">
        <f aca="false">SUMIFS('Source'!$F:$F,'Source'!$A:$A,"160450 OY. EA. AB.",'Source'!$B:$B,$A83)</f>
        <v>10</v>
      </c>
      <c r="E83" s="8" t="n">
        <f aca="false">D83*$J$5</f>
        <v>12.6315789473684</v>
      </c>
      <c r="F83" s="8" t="n">
        <f aca="false">E83-C83</f>
        <v>-17.3684210526316</v>
      </c>
      <c r="G83" s="9" t="n">
        <f aca="false">IF(AND(C83=0,E83=0),0,IF(C83=0,"New",(E83-C83)/C83))</f>
        <v>-0.578947368421053</v>
      </c>
      <c r="H83" s="8" t="n">
        <f aca="false">SUMIFS('Source'!$E:$E,'Source'!$A:$A,"160450 OY. EA. AB.",'Source'!$B:$B,$A83)</f>
        <v>345.8</v>
      </c>
      <c r="I83" s="8" t="n">
        <f aca="false">SUMIFS('Source'!$G:$G,'Source'!$A:$A,"160450 OY. EA. AB.",'Source'!$B:$B,$A83)</f>
        <v>98.13</v>
      </c>
      <c r="J83" s="8" t="n">
        <f aca="false">I83*$J$5</f>
        <v>123.953684210526</v>
      </c>
      <c r="K83" s="8" t="n">
        <f aca="false">J83-H83</f>
        <v>-221.846315789474</v>
      </c>
      <c r="L83" s="9" t="n">
        <f aca="false">IF(AND(H83=0,J83=0),0,IF(H83=0,"New",(J83-H83)/H83))</f>
        <v>-0.641545158442665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1003</v>
      </c>
      <c r="B84" s="7" t="str">
        <f aca="false">IFERROR(INDEX('Source'!$C:$C,MATCH($A84,'Source'!$B:$B,0)),"")</f>
        <v>סד קרסול קל שחור XXL</v>
      </c>
      <c r="C84" s="8" t="n">
        <f aca="false">SUMIFS('Source'!$D:$D,'Source'!$A:$A,"160450 OY. EA. AB.",'Source'!$B:$B,$A84)</f>
        <v>0</v>
      </c>
      <c r="D84" s="8" t="n">
        <f aca="false">SUMIFS('Source'!$F:$F,'Source'!$A:$A,"160450 OY. EA. AB.",'Source'!$B:$B,$A84)</f>
        <v>4</v>
      </c>
      <c r="E84" s="8" t="n">
        <f aca="false">D84*$J$5</f>
        <v>5.05263157894737</v>
      </c>
      <c r="F84" s="8" t="n">
        <f aca="false">E84-C84</f>
        <v>5.05263157894737</v>
      </c>
      <c r="G84" s="9" t="str">
        <f aca="false">IF(AND(C84=0,E84=0),0,IF(C84=0,"New",(E84-C84)/C84))</f>
        <v>New</v>
      </c>
      <c r="H84" s="8" t="n">
        <f aca="false">SUMIFS('Source'!$E:$E,'Source'!$A:$A,"160450 OY. EA. AB.",'Source'!$B:$B,$A84)</f>
        <v>0</v>
      </c>
      <c r="I84" s="8" t="n">
        <f aca="false">SUMIFS('Source'!$G:$G,'Source'!$A:$A,"160450 OY. EA. AB.",'Source'!$B:$B,$A84)</f>
        <v>246.81</v>
      </c>
      <c r="J84" s="8" t="n">
        <f aca="false">I84*$J$5</f>
        <v>311.76</v>
      </c>
      <c r="K84" s="8" t="n">
        <f aca="false">J84-H84</f>
        <v>311.76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1004</v>
      </c>
      <c r="B85" s="7" t="str">
        <f aca="false">IFERROR(INDEX('Source'!$C:$C,MATCH($A85,'Source'!$B:$B,0)),"")</f>
        <v>סד קרסול קל שחור S</v>
      </c>
      <c r="C85" s="8" t="n">
        <f aca="false">SUMIFS('Source'!$D:$D,'Source'!$A:$A,"160450 OY. EA. AB.",'Source'!$B:$B,$A85)</f>
        <v>0</v>
      </c>
      <c r="D85" s="8" t="n">
        <f aca="false">SUMIFS('Source'!$F:$F,'Source'!$A:$A,"160450 OY. EA. AB.",'Source'!$B:$B,$A85)</f>
        <v>4</v>
      </c>
      <c r="E85" s="8" t="n">
        <f aca="false">D85*$J$5</f>
        <v>5.05263157894737</v>
      </c>
      <c r="F85" s="8" t="n">
        <f aca="false">E85-C85</f>
        <v>5.05263157894737</v>
      </c>
      <c r="G85" s="9" t="str">
        <f aca="false">IF(AND(C85=0,E85=0),0,IF(C85=0,"New",(E85-C85)/C85))</f>
        <v>New</v>
      </c>
      <c r="H85" s="8" t="n">
        <f aca="false">SUMIFS('Source'!$E:$E,'Source'!$A:$A,"160450 OY. EA. AB.",'Source'!$B:$B,$A85)</f>
        <v>0</v>
      </c>
      <c r="I85" s="8" t="n">
        <f aca="false">SUMIFS('Source'!$G:$G,'Source'!$A:$A,"160450 OY. EA. AB.",'Source'!$B:$B,$A85)</f>
        <v>246.81</v>
      </c>
      <c r="J85" s="8" t="n">
        <f aca="false">I85*$J$5</f>
        <v>311.76</v>
      </c>
      <c r="K85" s="8" t="n">
        <f aca="false">J85-H85</f>
        <v>311.76</v>
      </c>
      <c r="L85" s="9" t="str">
        <f aca="false">IF(AND(H85=0,J85=0),0,IF(H85=0,"New",(J85-H85)/H85))</f>
        <v>New</v>
      </c>
      <c r="M85" s="7" t="str">
        <f aca="false">IF(AND(OR(C85&lt;&gt;0,H85&lt;&gt;0),D85=0,I85=0),"DROP",IF(AND(OR(D85&lt;&gt;0,I85&lt;&gt;0),C85=0,H85=0),"NEW",""))</f>
        <v>NEW</v>
      </c>
    </row>
    <row r="86" customFormat="false" ht="15" hidden="false" customHeight="false" outlineLevel="0" collapsed="false">
      <c r="A86" s="7" t="s">
        <v>710</v>
      </c>
      <c r="B86" s="7" t="str">
        <f aca="false">IFERROR(INDEX('Source'!$C:$C,MATCH($A86,'Source'!$B:$B,0)),"")</f>
        <v>מגן קרסול שחור</v>
      </c>
      <c r="C86" s="8" t="n">
        <f aca="false">SUMIFS('Source'!$D:$D,'Source'!$A:$A,"160450 OY. EA. AB.",'Source'!$B:$B,$A86)</f>
        <v>20</v>
      </c>
      <c r="D86" s="8" t="n">
        <f aca="false">SUMIFS('Source'!$F:$F,'Source'!$A:$A,"160450 OY. EA. AB.",'Source'!$B:$B,$A86)</f>
        <v>0</v>
      </c>
      <c r="E86" s="8" t="n">
        <f aca="false">D86*$J$5</f>
        <v>0</v>
      </c>
      <c r="F86" s="8" t="n">
        <f aca="false">E86-C86</f>
        <v>-20</v>
      </c>
      <c r="G86" s="9" t="n">
        <f aca="false">IF(AND(C86=0,E86=0),0,IF(C86=0,"New",(E86-C86)/C86))</f>
        <v>-1</v>
      </c>
      <c r="H86" s="8" t="n">
        <f aca="false">SUMIFS('Source'!$E:$E,'Source'!$A:$A,"160450 OY. EA. AB.",'Source'!$B:$B,$A86)</f>
        <v>240.18</v>
      </c>
      <c r="I86" s="8" t="n">
        <f aca="false">SUMIFS('Source'!$G:$G,'Source'!$A:$A,"160450 OY. EA. AB.",'Source'!$B:$B,$A86)</f>
        <v>0</v>
      </c>
      <c r="J86" s="8" t="n">
        <f aca="false">I86*$J$5</f>
        <v>0</v>
      </c>
      <c r="K86" s="8" t="n">
        <f aca="false">J86-H86</f>
        <v>-240.18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545</v>
      </c>
      <c r="B87" s="7" t="str">
        <f aca="false">IFERROR(INDEX('Source'!$C:$C,MATCH($A87,'Source'!$B:$B,0)),"")</f>
        <v>ח.בטן 25 ס'מ</v>
      </c>
      <c r="C87" s="8" t="n">
        <f aca="false">SUMIFS('Source'!$D:$D,'Source'!$A:$A,"160450 OY. EA. AB.",'Source'!$B:$B,$A87)</f>
        <v>5</v>
      </c>
      <c r="D87" s="8" t="n">
        <f aca="false">SUMIFS('Source'!$F:$F,'Source'!$A:$A,"160450 OY. EA. AB.",'Source'!$B:$B,$A87)</f>
        <v>0</v>
      </c>
      <c r="E87" s="8" t="n">
        <f aca="false">D87*$J$5</f>
        <v>0</v>
      </c>
      <c r="F87" s="8" t="n">
        <f aca="false">E87-C87</f>
        <v>-5</v>
      </c>
      <c r="G87" s="9" t="n">
        <f aca="false">IF(AND(C87=0,E87=0),0,IF(C87=0,"New",(E87-C87)/C87))</f>
        <v>-1</v>
      </c>
      <c r="H87" s="8" t="n">
        <f aca="false">SUMIFS('Source'!$E:$E,'Source'!$A:$A,"160450 OY. EA. AB.",'Source'!$B:$B,$A87)</f>
        <v>238.95</v>
      </c>
      <c r="I87" s="8" t="n">
        <f aca="false">SUMIFS('Source'!$G:$G,'Source'!$A:$A,"160450 OY. EA. AB.",'Source'!$B:$B,$A87)</f>
        <v>0</v>
      </c>
      <c r="J87" s="8" t="n">
        <f aca="false">I87*$J$5</f>
        <v>0</v>
      </c>
      <c r="K87" s="8" t="n">
        <f aca="false">J87-H87</f>
        <v>-238.95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618</v>
      </c>
      <c r="B88" s="7" t="str">
        <f aca="false">IFERROR(INDEX('Source'!$C:$C,MATCH($A88,'Source'!$B:$B,0)),"")</f>
        <v>מגן קרסול חום</v>
      </c>
      <c r="C88" s="8" t="n">
        <f aca="false">SUMIFS('Source'!$D:$D,'Source'!$A:$A,"160450 OY. EA. AB.",'Source'!$B:$B,$A88)</f>
        <v>19</v>
      </c>
      <c r="D88" s="8" t="n">
        <f aca="false">SUMIFS('Source'!$F:$F,'Source'!$A:$A,"160450 OY. EA. AB.",'Source'!$B:$B,$A88)</f>
        <v>0</v>
      </c>
      <c r="E88" s="8" t="n">
        <f aca="false">D88*$J$5</f>
        <v>0</v>
      </c>
      <c r="F88" s="8" t="n">
        <f aca="false">E88-C88</f>
        <v>-19</v>
      </c>
      <c r="G88" s="9" t="n">
        <f aca="false">IF(AND(C88=0,E88=0),0,IF(C88=0,"New",(E88-C88)/C88))</f>
        <v>-1</v>
      </c>
      <c r="H88" s="8" t="n">
        <f aca="false">SUMIFS('Source'!$E:$E,'Source'!$A:$A,"160450 OY. EA. AB.",'Source'!$B:$B,$A88)</f>
        <v>220.38</v>
      </c>
      <c r="I88" s="8" t="n">
        <f aca="false">SUMIFS('Source'!$G:$G,'Source'!$A:$A,"160450 OY. EA. AB.",'Source'!$B:$B,$A88)</f>
        <v>0</v>
      </c>
      <c r="J88" s="8" t="n">
        <f aca="false">I88*$J$5</f>
        <v>0</v>
      </c>
      <c r="K88" s="8" t="n">
        <f aca="false">J88-H88</f>
        <v>-220.38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256</v>
      </c>
      <c r="B89" s="7" t="str">
        <f aca="false">IFERROR(INDEX('Source'!$C:$C,MATCH($A89,'Source'!$B:$B,0)),"")</f>
        <v>חגורת אגן  צר מנאופרן</v>
      </c>
      <c r="C89" s="8" t="n">
        <f aca="false">SUMIFS('Source'!$D:$D,'Source'!$A:$A,"160450 OY. EA. AB.",'Source'!$B:$B,$A89)</f>
        <v>0</v>
      </c>
      <c r="D89" s="8" t="n">
        <f aca="false">SUMIFS('Source'!$F:$F,'Source'!$A:$A,"160450 OY. EA. AB.",'Source'!$B:$B,$A89)</f>
        <v>5</v>
      </c>
      <c r="E89" s="8" t="n">
        <f aca="false">D89*$J$5</f>
        <v>6.31578947368421</v>
      </c>
      <c r="F89" s="8" t="n">
        <f aca="false">E89-C89</f>
        <v>6.31578947368421</v>
      </c>
      <c r="G89" s="9" t="str">
        <f aca="false">IF(AND(C89=0,E89=0),0,IF(C89=0,"New",(E89-C89)/C89))</f>
        <v>New</v>
      </c>
      <c r="H89" s="8" t="n">
        <f aca="false">SUMIFS('Source'!$E:$E,'Source'!$A:$A,"160450 OY. EA. AB.",'Source'!$B:$B,$A89)</f>
        <v>0</v>
      </c>
      <c r="I89" s="8" t="n">
        <f aca="false">SUMIFS('Source'!$G:$G,'Source'!$A:$A,"160450 OY. EA. AB.",'Source'!$B:$B,$A89)</f>
        <v>212.05</v>
      </c>
      <c r="J89" s="8" t="n">
        <f aca="false">I89*$J$5</f>
        <v>267.852631578947</v>
      </c>
      <c r="K89" s="8" t="n">
        <f aca="false">J89-H89</f>
        <v>267.852631578947</v>
      </c>
      <c r="L89" s="9" t="str">
        <f aca="false">IF(AND(H89=0,J89=0),0,IF(H89=0,"New",(J89-H89)/H89))</f>
        <v>New</v>
      </c>
      <c r="M89" s="7" t="str">
        <f aca="false">IF(AND(OR(C89&lt;&gt;0,H89&lt;&gt;0),D89=0,I89=0),"DROP",IF(AND(OR(D89&lt;&gt;0,I89&lt;&gt;0),C89=0,H89=0),"NEW",""))</f>
        <v>NEW</v>
      </c>
    </row>
    <row r="90" customFormat="false" ht="15" hidden="false" customHeight="false" outlineLevel="0" collapsed="false">
      <c r="A90" s="7" t="s">
        <v>611</v>
      </c>
      <c r="B90" s="7" t="str">
        <f aca="false">IFERROR(INDEX('Source'!$C:$C,MATCH($A90,'Source'!$B:$B,0)),"")</f>
        <v>חגורת אגן  צר מנאופרן</v>
      </c>
      <c r="C90" s="8" t="n">
        <f aca="false">SUMIFS('Source'!$D:$D,'Source'!$A:$A,"160450 OY. EA. AB.",'Source'!$B:$B,$A90)</f>
        <v>0</v>
      </c>
      <c r="D90" s="8" t="n">
        <f aca="false">SUMIFS('Source'!$F:$F,'Source'!$A:$A,"160450 OY. EA. AB.",'Source'!$B:$B,$A90)</f>
        <v>5</v>
      </c>
      <c r="E90" s="8" t="n">
        <f aca="false">D90*$J$5</f>
        <v>6.31578947368421</v>
      </c>
      <c r="F90" s="8" t="n">
        <f aca="false">E90-C90</f>
        <v>6.31578947368421</v>
      </c>
      <c r="G90" s="9" t="str">
        <f aca="false">IF(AND(C90=0,E90=0),0,IF(C90=0,"New",(E90-C90)/C90))</f>
        <v>New</v>
      </c>
      <c r="H90" s="8" t="n">
        <f aca="false">SUMIFS('Source'!$E:$E,'Source'!$A:$A,"160450 OY. EA. AB.",'Source'!$B:$B,$A90)</f>
        <v>0</v>
      </c>
      <c r="I90" s="8" t="n">
        <f aca="false">SUMIFS('Source'!$G:$G,'Source'!$A:$A,"160450 OY. EA. AB.",'Source'!$B:$B,$A90)</f>
        <v>212.05</v>
      </c>
      <c r="J90" s="8" t="n">
        <f aca="false">I90*$J$5</f>
        <v>267.852631578947</v>
      </c>
      <c r="K90" s="8" t="n">
        <f aca="false">J90-H90</f>
        <v>267.852631578947</v>
      </c>
      <c r="L90" s="9" t="str">
        <f aca="false">IF(AND(H90=0,J90=0),0,IF(H90=0,"New",(J90-H90)/H90))</f>
        <v>New</v>
      </c>
      <c r="M90" s="7" t="str">
        <f aca="false">IF(AND(OR(C90&lt;&gt;0,H90&lt;&gt;0),D90=0,I90=0),"DROP",IF(AND(OR(D90&lt;&gt;0,I90&lt;&gt;0),C90=0,H90=0),"NEW",""))</f>
        <v>NEW</v>
      </c>
    </row>
    <row r="91" customFormat="false" ht="15" hidden="false" customHeight="false" outlineLevel="0" collapsed="false">
      <c r="A91" s="7" t="s">
        <v>426</v>
      </c>
      <c r="B91" s="7" t="str">
        <f aca="false">IFERROR(INDEX('Source'!$C:$C,MATCH($A91,'Source'!$B:$B,0)),"")</f>
        <v>חגורת גב-לומבו</v>
      </c>
      <c r="C91" s="8" t="n">
        <f aca="false">SUMIFS('Source'!$D:$D,'Source'!$A:$A,"160450 OY. EA. AB.",'Source'!$B:$B,$A91)</f>
        <v>6</v>
      </c>
      <c r="D91" s="8" t="n">
        <f aca="false">SUMIFS('Source'!$F:$F,'Source'!$A:$A,"160450 OY. EA. AB.",'Source'!$B:$B,$A91)</f>
        <v>4</v>
      </c>
      <c r="E91" s="8" t="n">
        <f aca="false">D91*$J$5</f>
        <v>5.05263157894737</v>
      </c>
      <c r="F91" s="8" t="n">
        <f aca="false">E91-C91</f>
        <v>-0.947368421052632</v>
      </c>
      <c r="G91" s="9" t="n">
        <f aca="false">IF(AND(C91=0,E91=0),0,IF(C91=0,"New",(E91-C91)/C91))</f>
        <v>-0.157894736842105</v>
      </c>
      <c r="H91" s="8" t="n">
        <f aca="false">SUMIFS('Source'!$E:$E,'Source'!$A:$A,"160450 OY. EA. AB.",'Source'!$B:$B,$A91)</f>
        <v>467.34</v>
      </c>
      <c r="I91" s="8" t="n">
        <f aca="false">SUMIFS('Source'!$G:$G,'Source'!$A:$A,"160450 OY. EA. AB.",'Source'!$B:$B,$A91)</f>
        <v>260.78</v>
      </c>
      <c r="J91" s="8" t="n">
        <f aca="false">I91*$J$5</f>
        <v>329.406315789474</v>
      </c>
      <c r="K91" s="8" t="n">
        <f aca="false">J91-H91</f>
        <v>-137.933684210526</v>
      </c>
      <c r="L91" s="9" t="n">
        <f aca="false">IF(AND(H91=0,J91=0),0,IF(H91=0,"New",(J91-H91)/H91))</f>
        <v>-0.295146326465799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642</v>
      </c>
      <c r="B92" s="7" t="str">
        <f aca="false">IFERROR(INDEX('Source'!$C:$C,MATCH($A92,'Source'!$B:$B,0)),"")</f>
        <v>רפידת זיכרון 376</v>
      </c>
      <c r="C92" s="8" t="n">
        <f aca="false">SUMIFS('Source'!$D:$D,'Source'!$A:$A,"160450 OY. EA. AB.",'Source'!$B:$B,$A92)</f>
        <v>12</v>
      </c>
      <c r="D92" s="8" t="n">
        <f aca="false">SUMIFS('Source'!$F:$F,'Source'!$A:$A,"160450 OY. EA. AB.",'Source'!$B:$B,$A92)</f>
        <v>0</v>
      </c>
      <c r="E92" s="8" t="n">
        <f aca="false">D92*$J$5</f>
        <v>0</v>
      </c>
      <c r="F92" s="8" t="n">
        <f aca="false">E92-C92</f>
        <v>-12</v>
      </c>
      <c r="G92" s="9" t="n">
        <f aca="false">IF(AND(C92=0,E92=0),0,IF(C92=0,"New",(E92-C92)/C92))</f>
        <v>-1</v>
      </c>
      <c r="H92" s="8" t="n">
        <f aca="false">SUMIFS('Source'!$E:$E,'Source'!$A:$A,"160450 OY. EA. AB.",'Source'!$B:$B,$A92)</f>
        <v>200.29</v>
      </c>
      <c r="I92" s="8" t="n">
        <f aca="false">SUMIFS('Source'!$G:$G,'Source'!$A:$A,"160450 OY. EA. AB.",'Source'!$B:$B,$A92)</f>
        <v>0</v>
      </c>
      <c r="J92" s="8" t="n">
        <f aca="false">I92*$J$5</f>
        <v>0</v>
      </c>
      <c r="K92" s="8" t="n">
        <f aca="false">J92-H92</f>
        <v>-200.29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505</v>
      </c>
      <c r="B93" s="7" t="str">
        <f aca="false">IFERROR(INDEX('Source'!$C:$C,MATCH($A93,'Source'!$B:$B,0)),"")</f>
        <v>מגן ברך חום</v>
      </c>
      <c r="C93" s="8" t="n">
        <f aca="false">SUMIFS('Source'!$D:$D,'Source'!$A:$A,"160450 OY. EA. AB.",'Source'!$B:$B,$A93)</f>
        <v>20</v>
      </c>
      <c r="D93" s="8" t="n">
        <f aca="false">SUMIFS('Source'!$F:$F,'Source'!$A:$A,"160450 OY. EA. AB.",'Source'!$B:$B,$A93)</f>
        <v>4</v>
      </c>
      <c r="E93" s="8" t="n">
        <f aca="false">D93*$J$5</f>
        <v>5.05263157894737</v>
      </c>
      <c r="F93" s="8" t="n">
        <f aca="false">E93-C93</f>
        <v>-14.9473684210526</v>
      </c>
      <c r="G93" s="9" t="n">
        <f aca="false">IF(AND(C93=0,E93=0),0,IF(C93=0,"New",(E93-C93)/C93))</f>
        <v>-0.747368421052632</v>
      </c>
      <c r="H93" s="8" t="n">
        <f aca="false">SUMIFS('Source'!$E:$E,'Source'!$A:$A,"160450 OY. EA. AB.",'Source'!$B:$B,$A93)</f>
        <v>228.56</v>
      </c>
      <c r="I93" s="8" t="n">
        <f aca="false">SUMIFS('Source'!$G:$G,'Source'!$A:$A,"160450 OY. EA. AB.",'Source'!$B:$B,$A93)</f>
        <v>39.25</v>
      </c>
      <c r="J93" s="8" t="n">
        <f aca="false">I93*$J$5</f>
        <v>49.5789473684211</v>
      </c>
      <c r="K93" s="8" t="n">
        <f aca="false">J93-H93</f>
        <v>-178.981052631579</v>
      </c>
      <c r="L93" s="9" t="n">
        <f aca="false">IF(AND(H93=0,J93=0),0,IF(H93=0,"New",(J93-H93)/H93))</f>
        <v>-0.783081259326124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132</v>
      </c>
      <c r="B94" s="7" t="str">
        <f aca="false">IFERROR(INDEX('Source'!$C:$C,MATCH($A94,'Source'!$B:$B,0)),"")</f>
        <v>תומך ברך גנושילד</v>
      </c>
      <c r="C94" s="8" t="n">
        <f aca="false">SUMIFS('Source'!$D:$D,'Source'!$A:$A,"160450 OY. EA. AB.",'Source'!$B:$B,$A94)</f>
        <v>0</v>
      </c>
      <c r="D94" s="8" t="n">
        <f aca="false">SUMIFS('Source'!$F:$F,'Source'!$A:$A,"160450 OY. EA. AB.",'Source'!$B:$B,$A94)</f>
        <v>2</v>
      </c>
      <c r="E94" s="8" t="n">
        <f aca="false">D94*$J$5</f>
        <v>2.52631578947368</v>
      </c>
      <c r="F94" s="8" t="n">
        <f aca="false">E94-C94</f>
        <v>2.52631578947368</v>
      </c>
      <c r="G94" s="9" t="str">
        <f aca="false">IF(AND(C94=0,E94=0),0,IF(C94=0,"New",(E94-C94)/C94))</f>
        <v>New</v>
      </c>
      <c r="H94" s="8" t="n">
        <f aca="false">SUMIFS('Source'!$E:$E,'Source'!$A:$A,"160450 OY. EA. AB.",'Source'!$B:$B,$A94)</f>
        <v>0</v>
      </c>
      <c r="I94" s="8" t="n">
        <f aca="false">SUMIFS('Source'!$G:$G,'Source'!$A:$A,"160450 OY. EA. AB.",'Source'!$B:$B,$A94)</f>
        <v>178.29</v>
      </c>
      <c r="J94" s="8" t="n">
        <f aca="false">I94*$J$5</f>
        <v>225.208421052632</v>
      </c>
      <c r="K94" s="8" t="n">
        <f aca="false">J94-H94</f>
        <v>225.208421052632</v>
      </c>
      <c r="L94" s="9" t="str">
        <f aca="false">IF(AND(H94=0,J94=0),0,IF(H94=0,"New",(J94-H94)/H94))</f>
        <v>New</v>
      </c>
      <c r="M94" s="7" t="str">
        <f aca="false">IF(AND(OR(C94&lt;&gt;0,H94&lt;&gt;0),D94=0,I94=0),"DROP",IF(AND(OR(D94&lt;&gt;0,I94&lt;&gt;0),C94=0,H94=0),"NEW",""))</f>
        <v>NEW</v>
      </c>
    </row>
    <row r="95" customFormat="false" ht="15" hidden="false" customHeight="false" outlineLevel="0" collapsed="false">
      <c r="A95" s="7" t="s">
        <v>516</v>
      </c>
      <c r="B95" s="7" t="str">
        <f aca="false">IFERROR(INDEX('Source'!$C:$C,MATCH($A95,'Source'!$B:$B,0)),"")</f>
        <v>טבעת אלסטית מסי</v>
      </c>
      <c r="C95" s="8" t="n">
        <f aca="false">SUMIFS('Source'!$D:$D,'Source'!$A:$A,"160450 OY. EA. AB.",'Source'!$B:$B,$A95)</f>
        <v>25</v>
      </c>
      <c r="D95" s="8" t="n">
        <f aca="false">SUMIFS('Source'!$F:$F,'Source'!$A:$A,"160450 OY. EA. AB.",'Source'!$B:$B,$A95)</f>
        <v>0</v>
      </c>
      <c r="E95" s="8" t="n">
        <f aca="false">D95*$J$5</f>
        <v>0</v>
      </c>
      <c r="F95" s="8" t="n">
        <f aca="false">E95-C95</f>
        <v>-25</v>
      </c>
      <c r="G95" s="9" t="n">
        <f aca="false">IF(AND(C95=0,E95=0),0,IF(C95=0,"New",(E95-C95)/C95))</f>
        <v>-1</v>
      </c>
      <c r="H95" s="8" t="n">
        <f aca="false">SUMIFS('Source'!$E:$E,'Source'!$A:$A,"160450 OY. EA. AB.",'Source'!$B:$B,$A95)</f>
        <v>175.23</v>
      </c>
      <c r="I95" s="8" t="n">
        <f aca="false">SUMIFS('Source'!$G:$G,'Source'!$A:$A,"160450 OY. EA. AB.",'Source'!$B:$B,$A95)</f>
        <v>0</v>
      </c>
      <c r="J95" s="8" t="n">
        <f aca="false">I95*$J$5</f>
        <v>0</v>
      </c>
      <c r="K95" s="8" t="n">
        <f aca="false">J95-H95</f>
        <v>-175.23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466</v>
      </c>
      <c r="B96" s="7" t="str">
        <f aca="false">IFERROR(INDEX('Source'!$C:$C,MATCH($A96,'Source'!$B:$B,0)),"")</f>
        <v>חגורה אוורירית איטלקית</v>
      </c>
      <c r="C96" s="8" t="n">
        <f aca="false">SUMIFS('Source'!$D:$D,'Source'!$A:$A,"160450 OY. EA. AB.",'Source'!$B:$B,$A96)</f>
        <v>3</v>
      </c>
      <c r="D96" s="8" t="n">
        <f aca="false">SUMIFS('Source'!$F:$F,'Source'!$A:$A,"160450 OY. EA. AB.",'Source'!$B:$B,$A96)</f>
        <v>2</v>
      </c>
      <c r="E96" s="8" t="n">
        <f aca="false">D96*$J$5</f>
        <v>2.52631578947368</v>
      </c>
      <c r="F96" s="8" t="n">
        <f aca="false">E96-C96</f>
        <v>-0.473684210526316</v>
      </c>
      <c r="G96" s="9" t="n">
        <f aca="false">IF(AND(C96=0,E96=0),0,IF(C96=0,"New",(E96-C96)/C96))</f>
        <v>-0.157894736842105</v>
      </c>
      <c r="H96" s="8" t="n">
        <f aca="false">SUMIFS('Source'!$E:$E,'Source'!$A:$A,"160450 OY. EA. AB.",'Source'!$B:$B,$A96)</f>
        <v>395.81</v>
      </c>
      <c r="I96" s="8" t="n">
        <f aca="false">SUMIFS('Source'!$G:$G,'Source'!$A:$A,"160450 OY. EA. AB.",'Source'!$B:$B,$A96)</f>
        <v>220.87</v>
      </c>
      <c r="J96" s="8" t="n">
        <f aca="false">I96*$J$5</f>
        <v>278.993684210526</v>
      </c>
      <c r="K96" s="8" t="n">
        <f aca="false">J96-H96</f>
        <v>-116.816315789474</v>
      </c>
      <c r="L96" s="9" t="n">
        <f aca="false">IF(AND(H96=0,J96=0),0,IF(H96=0,"New",(J96-H96)/H96))</f>
        <v>-0.295132300319531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347</v>
      </c>
      <c r="B97" s="7" t="str">
        <f aca="false">IFERROR(INDEX('Source'!$C:$C,MATCH($A97,'Source'!$B:$B,0)),"")</f>
        <v>מישר כתפיים רחב+תמיכה לבית השח</v>
      </c>
      <c r="C97" s="8" t="n">
        <f aca="false">SUMIFS('Source'!$D:$D,'Source'!$A:$A,"160450 OY. EA. AB.",'Source'!$B:$B,$A97)</f>
        <v>0</v>
      </c>
      <c r="D97" s="8" t="n">
        <f aca="false">SUMIFS('Source'!$F:$F,'Source'!$A:$A,"160450 OY. EA. AB.",'Source'!$B:$B,$A97)</f>
        <v>2</v>
      </c>
      <c r="E97" s="8" t="n">
        <f aca="false">D97*$J$5</f>
        <v>2.52631578947368</v>
      </c>
      <c r="F97" s="8" t="n">
        <f aca="false">E97-C97</f>
        <v>2.52631578947368</v>
      </c>
      <c r="G97" s="9" t="str">
        <f aca="false">IF(AND(C97=0,E97=0),0,IF(C97=0,"New",(E97-C97)/C97))</f>
        <v>New</v>
      </c>
      <c r="H97" s="8" t="n">
        <f aca="false">SUMIFS('Source'!$E:$E,'Source'!$A:$A,"160450 OY. EA. AB.",'Source'!$B:$B,$A97)</f>
        <v>0</v>
      </c>
      <c r="I97" s="8" t="n">
        <f aca="false">SUMIFS('Source'!$G:$G,'Source'!$A:$A,"160450 OY. EA. AB.",'Source'!$B:$B,$A97)</f>
        <v>172.97</v>
      </c>
      <c r="J97" s="8" t="n">
        <f aca="false">I97*$J$5</f>
        <v>218.488421052632</v>
      </c>
      <c r="K97" s="8" t="n">
        <f aca="false">J97-H97</f>
        <v>218.488421052632</v>
      </c>
      <c r="L97" s="9" t="str">
        <f aca="false">IF(AND(H97=0,J97=0),0,IF(H97=0,"New",(J97-H97)/H97))</f>
        <v>New</v>
      </c>
      <c r="M97" s="7" t="str">
        <f aca="false">IF(AND(OR(C97&lt;&gt;0,H97&lt;&gt;0),D97=0,I97=0),"DROP",IF(AND(OR(D97&lt;&gt;0,I97&lt;&gt;0),C97=0,H97=0),"NEW",""))</f>
        <v>NEW</v>
      </c>
    </row>
    <row r="98" customFormat="false" ht="15" hidden="false" customHeight="false" outlineLevel="0" collapsed="false">
      <c r="A98" s="7" t="s">
        <v>291</v>
      </c>
      <c r="B98" s="7" t="str">
        <f aca="false">IFERROR(INDEX('Source'!$C:$C,MATCH($A98,'Source'!$B:$B,0)),"")</f>
        <v>מישר כתפיים רחב+תמיכה לבית השח</v>
      </c>
      <c r="C98" s="8" t="n">
        <f aca="false">SUMIFS('Source'!$D:$D,'Source'!$A:$A,"160450 OY. EA. AB.",'Source'!$B:$B,$A98)</f>
        <v>0</v>
      </c>
      <c r="D98" s="8" t="n">
        <f aca="false">SUMIFS('Source'!$F:$F,'Source'!$A:$A,"160450 OY. EA. AB.",'Source'!$B:$B,$A98)</f>
        <v>2</v>
      </c>
      <c r="E98" s="8" t="n">
        <f aca="false">D98*$J$5</f>
        <v>2.52631578947368</v>
      </c>
      <c r="F98" s="8" t="n">
        <f aca="false">E98-C98</f>
        <v>2.52631578947368</v>
      </c>
      <c r="G98" s="9" t="str">
        <f aca="false">IF(AND(C98=0,E98=0),0,IF(C98=0,"New",(E98-C98)/C98))</f>
        <v>New</v>
      </c>
      <c r="H98" s="8" t="n">
        <f aca="false">SUMIFS('Source'!$E:$E,'Source'!$A:$A,"160450 OY. EA. AB.",'Source'!$B:$B,$A98)</f>
        <v>0</v>
      </c>
      <c r="I98" s="8" t="n">
        <f aca="false">SUMIFS('Source'!$G:$G,'Source'!$A:$A,"160450 OY. EA. AB.",'Source'!$B:$B,$A98)</f>
        <v>172.97</v>
      </c>
      <c r="J98" s="8" t="n">
        <f aca="false">I98*$J$5</f>
        <v>218.488421052632</v>
      </c>
      <c r="K98" s="8" t="n">
        <f aca="false">J98-H98</f>
        <v>218.488421052632</v>
      </c>
      <c r="L98" s="9" t="str">
        <f aca="false">IF(AND(H98=0,J98=0),0,IF(H98=0,"New",(J98-H98)/H98))</f>
        <v>New</v>
      </c>
      <c r="M98" s="7" t="str">
        <f aca="false">IF(AND(OR(C98&lt;&gt;0,H98&lt;&gt;0),D98=0,I98=0),"DROP",IF(AND(OR(D98&lt;&gt;0,I98&lt;&gt;0),C98=0,H98=0),"NEW",""))</f>
        <v>NEW</v>
      </c>
    </row>
    <row r="99" customFormat="false" ht="15" hidden="false" customHeight="false" outlineLevel="0" collapsed="false">
      <c r="A99" s="7" t="s">
        <v>217</v>
      </c>
      <c r="B99" s="7" t="str">
        <f aca="false">IFERROR(INDEX('Source'!$C:$C,MATCH($A99,'Source'!$B:$B,0)),"")</f>
        <v>מגן זרת מסיליקון</v>
      </c>
      <c r="C99" s="8" t="n">
        <f aca="false">SUMIFS('Source'!$D:$D,'Source'!$A:$A,"160450 OY. EA. AB.",'Source'!$B:$B,$A99)</f>
        <v>10</v>
      </c>
      <c r="D99" s="8" t="n">
        <f aca="false">SUMIFS('Source'!$F:$F,'Source'!$A:$A,"160450 OY. EA. AB.",'Source'!$B:$B,$A99)</f>
        <v>25</v>
      </c>
      <c r="E99" s="8" t="n">
        <f aca="false">D99*$J$5</f>
        <v>31.5789473684211</v>
      </c>
      <c r="F99" s="8" t="n">
        <f aca="false">E99-C99</f>
        <v>21.5789473684211</v>
      </c>
      <c r="G99" s="9" t="n">
        <f aca="false">IF(AND(C99=0,E99=0),0,IF(C99=0,"New",(E99-C99)/C99))</f>
        <v>2.15789473684211</v>
      </c>
      <c r="H99" s="8" t="n">
        <f aca="false">SUMIFS('Source'!$E:$E,'Source'!$A:$A,"160450 OY. EA. AB.",'Source'!$B:$B,$A99)</f>
        <v>143.41</v>
      </c>
      <c r="I99" s="8" t="n">
        <f aca="false">SUMIFS('Source'!$G:$G,'Source'!$A:$A,"160450 OY. EA. AB.",'Source'!$B:$B,$A99)</f>
        <v>316</v>
      </c>
      <c r="J99" s="8" t="n">
        <f aca="false">I99*$J$5</f>
        <v>399.157894736842</v>
      </c>
      <c r="K99" s="8" t="n">
        <f aca="false">J99-H99</f>
        <v>255.747894736842</v>
      </c>
      <c r="L99" s="9" t="n">
        <f aca="false">IF(AND(H99=0,J99=0),0,IF(H99=0,"New",(J99-H99)/H99))</f>
        <v>1.78333376150089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323</v>
      </c>
      <c r="B100" s="7" t="str">
        <f aca="false">IFERROR(INDEX('Source'!$C:$C,MATCH($A100,'Source'!$B:$B,0)),"")</f>
        <v>חגורת היריון</v>
      </c>
      <c r="C100" s="8" t="n">
        <f aca="false">SUMIFS('Source'!$D:$D,'Source'!$A:$A,"160450 OY. EA. AB.",'Source'!$B:$B,$A100)</f>
        <v>0</v>
      </c>
      <c r="D100" s="8" t="n">
        <f aca="false">SUMIFS('Source'!$F:$F,'Source'!$A:$A,"160450 OY. EA. AB.",'Source'!$B:$B,$A100)</f>
        <v>4</v>
      </c>
      <c r="E100" s="8" t="n">
        <f aca="false">D100*$J$5</f>
        <v>5.05263157894737</v>
      </c>
      <c r="F100" s="8" t="n">
        <f aca="false">E100-C100</f>
        <v>5.05263157894737</v>
      </c>
      <c r="G100" s="9" t="str">
        <f aca="false">IF(AND(C100=0,E100=0),0,IF(C100=0,"New",(E100-C100)/C100))</f>
        <v>New</v>
      </c>
      <c r="H100" s="8" t="n">
        <f aca="false">SUMIFS('Source'!$E:$E,'Source'!$A:$A,"160450 OY. EA. AB.",'Source'!$B:$B,$A100)</f>
        <v>0</v>
      </c>
      <c r="I100" s="8" t="n">
        <f aca="false">SUMIFS('Source'!$G:$G,'Source'!$A:$A,"160450 OY. EA. AB.",'Source'!$B:$B,$A100)</f>
        <v>170.97</v>
      </c>
      <c r="J100" s="8" t="n">
        <f aca="false">I100*$J$5</f>
        <v>215.962105263158</v>
      </c>
      <c r="K100" s="8" t="n">
        <f aca="false">J100-H100</f>
        <v>215.962105263158</v>
      </c>
      <c r="L100" s="9" t="str">
        <f aca="false">IF(AND(H100=0,J100=0),0,IF(H100=0,"New",(J100-H100)/H100))</f>
        <v>New</v>
      </c>
      <c r="M100" s="7" t="str">
        <f aca="false">IF(AND(OR(C100&lt;&gt;0,H100&lt;&gt;0),D100=0,I100=0),"DROP",IF(AND(OR(D100&lt;&gt;0,I100&lt;&gt;0),C100=0,H100=0),"NEW",""))</f>
        <v>NEW</v>
      </c>
    </row>
    <row r="101" customFormat="false" ht="15" hidden="false" customHeight="false" outlineLevel="0" collapsed="false">
      <c r="A101" s="7" t="s">
        <v>416</v>
      </c>
      <c r="B101" s="7" t="str">
        <f aca="false">IFERROR(INDEX('Source'!$C:$C,MATCH($A101,'Source'!$B:$B,0)),"")</f>
        <v>קינזיולוגי טייפ</v>
      </c>
      <c r="C101" s="8" t="n">
        <f aca="false">SUMIFS('Source'!$D:$D,'Source'!$A:$A,"160450 OY. EA. AB.",'Source'!$B:$B,$A101)</f>
        <v>12</v>
      </c>
      <c r="D101" s="8" t="n">
        <f aca="false">SUMIFS('Source'!$F:$F,'Source'!$A:$A,"160450 OY. EA. AB.",'Source'!$B:$B,$A101)</f>
        <v>0</v>
      </c>
      <c r="E101" s="8" t="n">
        <f aca="false">D101*$J$5</f>
        <v>0</v>
      </c>
      <c r="F101" s="8" t="n">
        <f aca="false">E101-C101</f>
        <v>-12</v>
      </c>
      <c r="G101" s="9" t="n">
        <f aca="false">IF(AND(C101=0,E101=0),0,IF(C101=0,"New",(E101-C101)/C101))</f>
        <v>-1</v>
      </c>
      <c r="H101" s="8" t="n">
        <f aca="false">SUMIFS('Source'!$E:$E,'Source'!$A:$A,"160450 OY. EA. AB.",'Source'!$B:$B,$A101)</f>
        <v>169.29</v>
      </c>
      <c r="I101" s="8" t="n">
        <f aca="false">SUMIFS('Source'!$G:$G,'Source'!$A:$A,"160450 OY. EA. AB.",'Source'!$B:$B,$A101)</f>
        <v>0</v>
      </c>
      <c r="J101" s="8" t="n">
        <f aca="false">I101*$J$5</f>
        <v>0</v>
      </c>
      <c r="K101" s="8" t="n">
        <f aca="false">J101-H101</f>
        <v>-169.29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603</v>
      </c>
      <c r="B102" s="7" t="str">
        <f aca="false">IFERROR(INDEX('Source'!$C:$C,MATCH($A102,'Source'!$B:$B,0)),"")</f>
        <v>קינזיולוגי טייפ</v>
      </c>
      <c r="C102" s="8" t="n">
        <f aca="false">SUMIFS('Source'!$D:$D,'Source'!$A:$A,"160450 OY. EA. AB.",'Source'!$B:$B,$A102)</f>
        <v>12</v>
      </c>
      <c r="D102" s="8" t="n">
        <f aca="false">SUMIFS('Source'!$F:$F,'Source'!$A:$A,"160450 OY. EA. AB.",'Source'!$B:$B,$A102)</f>
        <v>0</v>
      </c>
      <c r="E102" s="8" t="n">
        <f aca="false">D102*$J$5</f>
        <v>0</v>
      </c>
      <c r="F102" s="8" t="n">
        <f aca="false">E102-C102</f>
        <v>-12</v>
      </c>
      <c r="G102" s="9" t="n">
        <f aca="false">IF(AND(C102=0,E102=0),0,IF(C102=0,"New",(E102-C102)/C102))</f>
        <v>-1</v>
      </c>
      <c r="H102" s="8" t="n">
        <f aca="false">SUMIFS('Source'!$E:$E,'Source'!$A:$A,"160450 OY. EA. AB.",'Source'!$B:$B,$A102)</f>
        <v>169.29</v>
      </c>
      <c r="I102" s="8" t="n">
        <f aca="false">SUMIFS('Source'!$G:$G,'Source'!$A:$A,"160450 OY. EA. AB.",'Source'!$B:$B,$A102)</f>
        <v>0</v>
      </c>
      <c r="J102" s="8" t="n">
        <f aca="false">I102*$J$5</f>
        <v>0</v>
      </c>
      <c r="K102" s="8" t="n">
        <f aca="false">J102-H102</f>
        <v>-169.29</v>
      </c>
      <c r="L102" s="9" t="n">
        <f aca="false">IF(AND(H102=0,J102=0),0,IF(H102=0,"New",(J102-H102)/H102))</f>
        <v>-1</v>
      </c>
      <c r="M102" s="7" t="str">
        <f aca="false">IF(AND(OR(C102&lt;&gt;0,H102&lt;&gt;0),D102=0,I102=0),"DROP",IF(AND(OR(D102&lt;&gt;0,I102&lt;&gt;0),C102=0,H102=0),"NEW",""))</f>
        <v>DROP</v>
      </c>
    </row>
    <row r="103" customFormat="false" ht="15" hidden="false" customHeight="false" outlineLevel="0" collapsed="false">
      <c r="A103" s="7" t="s">
        <v>385</v>
      </c>
      <c r="B103" s="7" t="str">
        <f aca="false">IFERROR(INDEX('Source'!$C:$C,MATCH($A103,'Source'!$B:$B,0)),"")</f>
        <v>חגורת שבר דו צדדית</v>
      </c>
      <c r="C103" s="8" t="n">
        <f aca="false">SUMIFS('Source'!$D:$D,'Source'!$A:$A,"160450 OY. EA. AB.",'Source'!$B:$B,$A103)</f>
        <v>0</v>
      </c>
      <c r="D103" s="8" t="n">
        <f aca="false">SUMIFS('Source'!$F:$F,'Source'!$A:$A,"160450 OY. EA. AB.",'Source'!$B:$B,$A103)</f>
        <v>2</v>
      </c>
      <c r="E103" s="8" t="n">
        <f aca="false">D103*$J$5</f>
        <v>2.52631578947368</v>
      </c>
      <c r="F103" s="8" t="n">
        <f aca="false">E103-C103</f>
        <v>2.52631578947368</v>
      </c>
      <c r="G103" s="9" t="str">
        <f aca="false">IF(AND(C103=0,E103=0),0,IF(C103=0,"New",(E103-C103)/C103))</f>
        <v>New</v>
      </c>
      <c r="H103" s="8" t="n">
        <f aca="false">SUMIFS('Source'!$E:$E,'Source'!$A:$A,"160450 OY. EA. AB.",'Source'!$B:$B,$A103)</f>
        <v>0</v>
      </c>
      <c r="I103" s="8" t="n">
        <f aca="false">SUMIFS('Source'!$G:$G,'Source'!$A:$A,"160450 OY. EA. AB.",'Source'!$B:$B,$A103)</f>
        <v>168.64</v>
      </c>
      <c r="J103" s="8" t="n">
        <f aca="false">I103*$J$5</f>
        <v>213.018947368421</v>
      </c>
      <c r="K103" s="8" t="n">
        <f aca="false">J103-H103</f>
        <v>213.018947368421</v>
      </c>
      <c r="L103" s="9" t="str">
        <f aca="false">IF(AND(H103=0,J103=0),0,IF(H103=0,"New",(J103-H103)/H103))</f>
        <v>New</v>
      </c>
      <c r="M103" s="7" t="str">
        <f aca="false">IF(AND(OR(C103&lt;&gt;0,H103&lt;&gt;0),D103=0,I103=0),"DROP",IF(AND(OR(D103&lt;&gt;0,I103&lt;&gt;0),C103=0,H103=0),"NEW",""))</f>
        <v>NEW</v>
      </c>
    </row>
    <row r="104" customFormat="false" ht="15" hidden="false" customHeight="false" outlineLevel="0" collapsed="false">
      <c r="A104" s="7" t="s">
        <v>247</v>
      </c>
      <c r="B104" s="7" t="str">
        <f aca="false">IFERROR(INDEX('Source'!$C:$C,MATCH($A104,'Source'!$B:$B,0)),"")</f>
        <v>ח.בטן 25 ס'מ</v>
      </c>
      <c r="C104" s="8" t="n">
        <f aca="false">SUMIFS('Source'!$D:$D,'Source'!$A:$A,"160450 OY. EA. AB.",'Source'!$B:$B,$A104)</f>
        <v>0</v>
      </c>
      <c r="D104" s="8" t="n">
        <f aca="false">SUMIFS('Source'!$F:$F,'Source'!$A:$A,"160450 OY. EA. AB.",'Source'!$B:$B,$A104)</f>
        <v>4</v>
      </c>
      <c r="E104" s="8" t="n">
        <f aca="false">D104*$J$5</f>
        <v>5.05263157894737</v>
      </c>
      <c r="F104" s="8" t="n">
        <f aca="false">E104-C104</f>
        <v>5.05263157894737</v>
      </c>
      <c r="G104" s="9" t="str">
        <f aca="false">IF(AND(C104=0,E104=0),0,IF(C104=0,"New",(E104-C104)/C104))</f>
        <v>New</v>
      </c>
      <c r="H104" s="8" t="n">
        <f aca="false">SUMIFS('Source'!$E:$E,'Source'!$A:$A,"160450 OY. EA. AB.",'Source'!$B:$B,$A104)</f>
        <v>0</v>
      </c>
      <c r="I104" s="8" t="n">
        <f aca="false">SUMIFS('Source'!$G:$G,'Source'!$A:$A,"160450 OY. EA. AB.",'Source'!$B:$B,$A104)</f>
        <v>164.98</v>
      </c>
      <c r="J104" s="8" t="n">
        <f aca="false">I104*$J$5</f>
        <v>208.395789473684</v>
      </c>
      <c r="K104" s="8" t="n">
        <f aca="false">J104-H104</f>
        <v>208.395789473684</v>
      </c>
      <c r="L104" s="9" t="str">
        <f aca="false">IF(AND(H104=0,J104=0),0,IF(H104=0,"New",(J104-H104)/H104))</f>
        <v>New</v>
      </c>
      <c r="M104" s="7" t="str">
        <f aca="false">IF(AND(OR(C104&lt;&gt;0,H104&lt;&gt;0),D104=0,I104=0),"DROP",IF(AND(OR(D104&lt;&gt;0,I104&lt;&gt;0),C104=0,H104=0),"NEW",""))</f>
        <v>NEW</v>
      </c>
    </row>
    <row r="105" customFormat="false" ht="15" hidden="false" customHeight="false" outlineLevel="0" collapsed="false">
      <c r="A105" s="7" t="s">
        <v>216</v>
      </c>
      <c r="B105" s="7" t="str">
        <f aca="false">IFERROR(INDEX('Source'!$C:$C,MATCH($A105,'Source'!$B:$B,0)),"")</f>
        <v>שרוול לגבס קצר רגל</v>
      </c>
      <c r="C105" s="8" t="n">
        <f aca="false">SUMIFS('Source'!$D:$D,'Source'!$A:$A,"160450 OY. EA. AB.",'Source'!$B:$B,$A105)</f>
        <v>10</v>
      </c>
      <c r="D105" s="8" t="n">
        <f aca="false">SUMIFS('Source'!$F:$F,'Source'!$A:$A,"160450 OY. EA. AB.",'Source'!$B:$B,$A105)</f>
        <v>5</v>
      </c>
      <c r="E105" s="8" t="n">
        <f aca="false">D105*$J$5</f>
        <v>6.31578947368421</v>
      </c>
      <c r="F105" s="8" t="n">
        <f aca="false">E105-C105</f>
        <v>-3.68421052631579</v>
      </c>
      <c r="G105" s="9" t="n">
        <f aca="false">IF(AND(C105=0,E105=0),0,IF(C105=0,"New",(E105-C105)/C105))</f>
        <v>-0.368421052631579</v>
      </c>
      <c r="H105" s="8" t="n">
        <f aca="false">SUMIFS('Source'!$E:$E,'Source'!$A:$A,"160450 OY. EA. AB.",'Source'!$B:$B,$A105)</f>
        <v>282.15</v>
      </c>
      <c r="I105" s="8" t="n">
        <f aca="false">SUMIFS('Source'!$G:$G,'Source'!$A:$A,"160450 OY. EA. AB.",'Source'!$B:$B,$A105)</f>
        <v>118.08</v>
      </c>
      <c r="J105" s="8" t="n">
        <f aca="false">I105*$J$5</f>
        <v>149.153684210526</v>
      </c>
      <c r="K105" s="8" t="n">
        <f aca="false">J105-H105</f>
        <v>-132.996315789474</v>
      </c>
      <c r="L105" s="9" t="n">
        <f aca="false">IF(AND(H105=0,J105=0),0,IF(H105=0,"New",(J105-H105)/H105))</f>
        <v>-0.471367413749685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704</v>
      </c>
      <c r="B106" s="7" t="str">
        <f aca="false">IFERROR(INDEX('Source'!$C:$C,MATCH($A106,'Source'!$B:$B,0)),"")</f>
        <v>מגן קרסול שחור</v>
      </c>
      <c r="C106" s="8" t="n">
        <f aca="false">SUMIFS('Source'!$D:$D,'Source'!$A:$A,"160450 OY. EA. AB.",'Source'!$B:$B,$A106)</f>
        <v>17</v>
      </c>
      <c r="D106" s="8" t="n">
        <f aca="false">SUMIFS('Source'!$F:$F,'Source'!$A:$A,"160450 OY. EA. AB.",'Source'!$B:$B,$A106)</f>
        <v>4</v>
      </c>
      <c r="E106" s="8" t="n">
        <f aca="false">D106*$J$5</f>
        <v>5.05263157894737</v>
      </c>
      <c r="F106" s="8" t="n">
        <f aca="false">E106-C106</f>
        <v>-11.9473684210526</v>
      </c>
      <c r="G106" s="9" t="n">
        <f aca="false">IF(AND(C106=0,E106=0),0,IF(C106=0,"New",(E106-C106)/C106))</f>
        <v>-0.702786377708978</v>
      </c>
      <c r="H106" s="8" t="n">
        <f aca="false">SUMIFS('Source'!$E:$E,'Source'!$A:$A,"160450 OY. EA. AB.",'Source'!$B:$B,$A106)</f>
        <v>205.08</v>
      </c>
      <c r="I106" s="8" t="n">
        <f aca="false">SUMIFS('Source'!$G:$G,'Source'!$A:$A,"160450 OY. EA. AB.",'Source'!$B:$B,$A106)</f>
        <v>41.25</v>
      </c>
      <c r="J106" s="8" t="n">
        <f aca="false">I106*$J$5</f>
        <v>52.1052631578947</v>
      </c>
      <c r="K106" s="8" t="n">
        <f aca="false">J106-H106</f>
        <v>-152.974736842105</v>
      </c>
      <c r="L106" s="9" t="n">
        <f aca="false">IF(AND(H106=0,J106=0),0,IF(H106=0,"New",(J106-H106)/H106))</f>
        <v>-0.745927134981984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785</v>
      </c>
      <c r="B107" s="7" t="str">
        <f aca="false">IFERROR(INDEX('Source'!$C:$C,MATCH($A107,'Source'!$B:$B,0)),"")</f>
        <v>מתלה</v>
      </c>
      <c r="C107" s="8" t="n">
        <f aca="false">SUMIFS('Source'!$D:$D,'Source'!$A:$A,"160450 OY. EA. AB.",'Source'!$B:$B,$A107)</f>
        <v>10</v>
      </c>
      <c r="D107" s="8" t="n">
        <f aca="false">SUMIFS('Source'!$F:$F,'Source'!$A:$A,"160450 OY. EA. AB.",'Source'!$B:$B,$A107)</f>
        <v>8</v>
      </c>
      <c r="E107" s="8" t="n">
        <f aca="false">D107*$J$5</f>
        <v>10.1052631578947</v>
      </c>
      <c r="F107" s="8" t="n">
        <f aca="false">E107-C107</f>
        <v>0.105263157894736</v>
      </c>
      <c r="G107" s="9" t="n">
        <f aca="false">IF(AND(C107=0,E107=0),0,IF(C107=0,"New",(E107-C107)/C107))</f>
        <v>0.0105263157894736</v>
      </c>
      <c r="H107" s="8" t="n">
        <f aca="false">SUMIFS('Source'!$E:$E,'Source'!$A:$A,"160450 OY. EA. AB.",'Source'!$B:$B,$A107)</f>
        <v>476.88</v>
      </c>
      <c r="I107" s="8" t="n">
        <f aca="false">SUMIFS('Source'!$G:$G,'Source'!$A:$A,"160450 OY. EA. AB.",'Source'!$B:$B,$A107)</f>
        <v>319.32</v>
      </c>
      <c r="J107" s="8" t="n">
        <f aca="false">I107*$J$5</f>
        <v>403.351578947368</v>
      </c>
      <c r="K107" s="8" t="n">
        <f aca="false">J107-H107</f>
        <v>-73.5284210526316</v>
      </c>
      <c r="L107" s="9" t="n">
        <f aca="false">IF(AND(H107=0,J107=0),0,IF(H107=0,"New",(J107-H107)/H107))</f>
        <v>-0.154186422271078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369</v>
      </c>
      <c r="B108" s="7" t="str">
        <f aca="false">IFERROR(INDEX('Source'!$C:$C,MATCH($A108,'Source'!$B:$B,0)),"")</f>
        <v>מגן ברך שחור</v>
      </c>
      <c r="C108" s="8" t="n">
        <f aca="false">SUMIFS('Source'!$D:$D,'Source'!$A:$A,"160450 OY. EA. AB.",'Source'!$B:$B,$A108)</f>
        <v>20</v>
      </c>
      <c r="D108" s="8" t="n">
        <f aca="false">SUMIFS('Source'!$F:$F,'Source'!$A:$A,"160450 OY. EA. AB.",'Source'!$B:$B,$A108)</f>
        <v>10</v>
      </c>
      <c r="E108" s="8" t="n">
        <f aca="false">D108*$J$5</f>
        <v>12.6315789473684</v>
      </c>
      <c r="F108" s="8" t="n">
        <f aca="false">E108-C108</f>
        <v>-7.36842105263158</v>
      </c>
      <c r="G108" s="9" t="n">
        <f aca="false">IF(AND(C108=0,E108=0),0,IF(C108=0,"New",(E108-C108)/C108))</f>
        <v>-0.368421052631579</v>
      </c>
      <c r="H108" s="8" t="n">
        <f aca="false">SUMIFS('Source'!$E:$E,'Source'!$A:$A,"160450 OY. EA. AB.",'Source'!$B:$B,$A108)</f>
        <v>250.36</v>
      </c>
      <c r="I108" s="8" t="n">
        <f aca="false">SUMIFS('Source'!$G:$G,'Source'!$A:$A,"160450 OY. EA. AB.",'Source'!$B:$B,$A108)</f>
        <v>104.78</v>
      </c>
      <c r="J108" s="8" t="n">
        <f aca="false">I108*$J$5</f>
        <v>132.353684210526</v>
      </c>
      <c r="K108" s="8" t="n">
        <f aca="false">J108-H108</f>
        <v>-118.006315789474</v>
      </c>
      <c r="L108" s="9" t="n">
        <f aca="false">IF(AND(H108=0,J108=0),0,IF(H108=0,"New",(J108-H108)/H108))</f>
        <v>-0.4713465241631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441</v>
      </c>
      <c r="B109" s="7" t="str">
        <f aca="false">IFERROR(INDEX('Source'!$C:$C,MATCH($A109,'Source'!$B:$B,0)),"")</f>
        <v>מגן קרסול</v>
      </c>
      <c r="C109" s="8" t="n">
        <f aca="false">SUMIFS('Source'!$D:$D,'Source'!$A:$A,"160450 OY. EA. AB.",'Source'!$B:$B,$A109)</f>
        <v>20</v>
      </c>
      <c r="D109" s="8" t="n">
        <f aca="false">SUMIFS('Source'!$F:$F,'Source'!$A:$A,"160450 OY. EA. AB.",'Source'!$B:$B,$A109)</f>
        <v>15</v>
      </c>
      <c r="E109" s="8" t="n">
        <f aca="false">D109*$J$5</f>
        <v>18.9473684210526</v>
      </c>
      <c r="F109" s="8" t="n">
        <f aca="false">E109-C109</f>
        <v>-1.05263157894737</v>
      </c>
      <c r="G109" s="9" t="n">
        <f aca="false">IF(AND(C109=0,E109=0),0,IF(C109=0,"New",(E109-C109)/C109))</f>
        <v>-0.0526315789473685</v>
      </c>
      <c r="H109" s="8" t="n">
        <f aca="false">SUMIFS('Source'!$E:$E,'Source'!$A:$A,"160450 OY. EA. AB.",'Source'!$B:$B,$A109)</f>
        <v>406.77</v>
      </c>
      <c r="I109" s="8" t="n">
        <f aca="false">SUMIFS('Source'!$G:$G,'Source'!$A:$A,"160450 OY. EA. AB.",'Source'!$B:$B,$A109)</f>
        <v>261.95</v>
      </c>
      <c r="J109" s="8" t="n">
        <f aca="false">I109*$J$5</f>
        <v>330.884210526316</v>
      </c>
      <c r="K109" s="8" t="n">
        <f aca="false">J109-H109</f>
        <v>-75.8857894736842</v>
      </c>
      <c r="L109" s="9" t="n">
        <f aca="false">IF(AND(H109=0,J109=0),0,IF(H109=0,"New",(J109-H109)/H109))</f>
        <v>-0.186556996518141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570</v>
      </c>
      <c r="B110" s="7" t="str">
        <f aca="false">IFERROR(INDEX('Source'!$C:$C,MATCH($A110,'Source'!$B:$B,0)),"")</f>
        <v>רפידת זיכרון 376</v>
      </c>
      <c r="C110" s="8" t="n">
        <f aca="false">SUMIFS('Source'!$D:$D,'Source'!$A:$A,"160450 OY. EA. AB.",'Source'!$B:$B,$A110)</f>
        <v>0</v>
      </c>
      <c r="D110" s="8" t="n">
        <f aca="false">SUMIFS('Source'!$F:$F,'Source'!$A:$A,"160450 OY. EA. AB.",'Source'!$B:$B,$A110)</f>
        <v>10</v>
      </c>
      <c r="E110" s="8" t="n">
        <f aca="false">D110*$J$5</f>
        <v>12.6315789473684</v>
      </c>
      <c r="F110" s="8" t="n">
        <f aca="false">E110-C110</f>
        <v>12.6315789473684</v>
      </c>
      <c r="G110" s="9" t="str">
        <f aca="false">IF(AND(C110=0,E110=0),0,IF(C110=0,"New",(E110-C110)/C110))</f>
        <v>New</v>
      </c>
      <c r="H110" s="8" t="n">
        <f aca="false">SUMIFS('Source'!$E:$E,'Source'!$A:$A,"160450 OY. EA. AB.",'Source'!$B:$B,$A110)</f>
        <v>0</v>
      </c>
      <c r="I110" s="8" t="n">
        <f aca="false">SUMIFS('Source'!$G:$G,'Source'!$A:$A,"160450 OY. EA. AB.",'Source'!$B:$B,$A110)</f>
        <v>139.7</v>
      </c>
      <c r="J110" s="8" t="n">
        <f aca="false">I110*$J$5</f>
        <v>176.463157894737</v>
      </c>
      <c r="K110" s="8" t="n">
        <f aca="false">J110-H110</f>
        <v>176.463157894737</v>
      </c>
      <c r="L110" s="9" t="str">
        <f aca="false">IF(AND(H110=0,J110=0),0,IF(H110=0,"New",(J110-H110)/H110))</f>
        <v>New</v>
      </c>
      <c r="M110" s="7" t="str">
        <f aca="false">IF(AND(OR(C110&lt;&gt;0,H110&lt;&gt;0),D110=0,I110=0),"DROP",IF(AND(OR(D110&lt;&gt;0,I110&lt;&gt;0),C110=0,H110=0),"NEW",""))</f>
        <v>NEW</v>
      </c>
    </row>
    <row r="111" customFormat="false" ht="15" hidden="false" customHeight="false" outlineLevel="0" collapsed="false">
      <c r="A111" s="7" t="s">
        <v>802</v>
      </c>
      <c r="B111" s="7" t="str">
        <f aca="false">IFERROR(INDEX('Source'!$C:$C,MATCH($A111,'Source'!$B:$B,0)),"")</f>
        <v>מגן קרסול שחור</v>
      </c>
      <c r="C111" s="8" t="n">
        <f aca="false">SUMIFS('Source'!$D:$D,'Source'!$A:$A,"160450 OY. EA. AB.",'Source'!$B:$B,$A111)</f>
        <v>20</v>
      </c>
      <c r="D111" s="8" t="n">
        <f aca="false">SUMIFS('Source'!$F:$F,'Source'!$A:$A,"160450 OY. EA. AB.",'Source'!$B:$B,$A111)</f>
        <v>10</v>
      </c>
      <c r="E111" s="8" t="n">
        <f aca="false">D111*$J$5</f>
        <v>12.6315789473684</v>
      </c>
      <c r="F111" s="8" t="n">
        <f aca="false">E111-C111</f>
        <v>-7.36842105263158</v>
      </c>
      <c r="G111" s="9" t="n">
        <f aca="false">IF(AND(C111=0,E111=0),0,IF(C111=0,"New",(E111-C111)/C111))</f>
        <v>-0.368421052631579</v>
      </c>
      <c r="H111" s="8" t="n">
        <f aca="false">SUMIFS('Source'!$E:$E,'Source'!$A:$A,"160450 OY. EA. AB.",'Source'!$B:$B,$A111)</f>
        <v>240.18</v>
      </c>
      <c r="I111" s="8" t="n">
        <f aca="false">SUMIFS('Source'!$G:$G,'Source'!$A:$A,"160450 OY. EA. AB.",'Source'!$B:$B,$A111)</f>
        <v>103.12</v>
      </c>
      <c r="J111" s="8" t="n">
        <f aca="false">I111*$J$5</f>
        <v>130.256842105263</v>
      </c>
      <c r="K111" s="8" t="n">
        <f aca="false">J111-H111</f>
        <v>-109.923157894737</v>
      </c>
      <c r="L111" s="9" t="n">
        <f aca="false">IF(AND(H111=0,J111=0),0,IF(H111=0,"New",(J111-H111)/H111))</f>
        <v>-0.457669905465638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260</v>
      </c>
      <c r="B112" s="7" t="str">
        <f aca="false">IFERROR(INDEX('Source'!$C:$C,MATCH($A112,'Source'!$B:$B,0)),"")</f>
        <v>מישר כתפיים רחב+תמיכה לבית השח</v>
      </c>
      <c r="C112" s="8" t="n">
        <f aca="false">SUMIFS('Source'!$D:$D,'Source'!$A:$A,"160450 OY. EA. AB.",'Source'!$B:$B,$A112)</f>
        <v>3</v>
      </c>
      <c r="D112" s="8" t="n">
        <f aca="false">SUMIFS('Source'!$F:$F,'Source'!$A:$A,"160450 OY. EA. AB.",'Source'!$B:$B,$A112)</f>
        <v>2</v>
      </c>
      <c r="E112" s="8" t="n">
        <f aca="false">D112*$J$5</f>
        <v>2.52631578947368</v>
      </c>
      <c r="F112" s="8" t="n">
        <f aca="false">E112-C112</f>
        <v>-0.473684210526316</v>
      </c>
      <c r="G112" s="9" t="n">
        <f aca="false">IF(AND(C112=0,E112=0),0,IF(C112=0,"New",(E112-C112)/C112))</f>
        <v>-0.157894736842105</v>
      </c>
      <c r="H112" s="8" t="n">
        <f aca="false">SUMIFS('Source'!$E:$E,'Source'!$A:$A,"160450 OY. EA. AB.",'Source'!$B:$B,$A112)</f>
        <v>309.97</v>
      </c>
      <c r="I112" s="8" t="n">
        <f aca="false">SUMIFS('Source'!$G:$G,'Source'!$A:$A,"160450 OY. EA. AB.",'Source'!$B:$B,$A112)</f>
        <v>172.97</v>
      </c>
      <c r="J112" s="8" t="n">
        <f aca="false">I112*$J$5</f>
        <v>218.488421052632</v>
      </c>
      <c r="K112" s="8" t="n">
        <f aca="false">J112-H112</f>
        <v>-91.4815789473685</v>
      </c>
      <c r="L112" s="9" t="n">
        <f aca="false">IF(AND(H112=0,J112=0),0,IF(H112=0,"New",(J112-H112)/H112))</f>
        <v>-0.295130428581374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805</v>
      </c>
      <c r="B113" s="7" t="str">
        <f aca="false">IFERROR(INDEX('Source'!$C:$C,MATCH($A113,'Source'!$B:$B,0)),"")</f>
        <v>מגן ברך חום</v>
      </c>
      <c r="C113" s="8" t="n">
        <f aca="false">SUMIFS('Source'!$D:$D,'Source'!$A:$A,"160450 OY. EA. AB.",'Source'!$B:$B,$A113)</f>
        <v>20</v>
      </c>
      <c r="D113" s="8" t="n">
        <f aca="false">SUMIFS('Source'!$F:$F,'Source'!$A:$A,"160450 OY. EA. AB.",'Source'!$B:$B,$A113)</f>
        <v>10</v>
      </c>
      <c r="E113" s="8" t="n">
        <f aca="false">D113*$J$5</f>
        <v>12.6315789473684</v>
      </c>
      <c r="F113" s="8" t="n">
        <f aca="false">E113-C113</f>
        <v>-7.36842105263158</v>
      </c>
      <c r="G113" s="9" t="n">
        <f aca="false">IF(AND(C113=0,E113=0),0,IF(C113=0,"New",(E113-C113)/C113))</f>
        <v>-0.368421052631579</v>
      </c>
      <c r="H113" s="8" t="n">
        <f aca="false">SUMIFS('Source'!$E:$E,'Source'!$A:$A,"160450 OY. EA. AB.",'Source'!$B:$B,$A113)</f>
        <v>234.47</v>
      </c>
      <c r="I113" s="8" t="n">
        <f aca="false">SUMIFS('Source'!$G:$G,'Source'!$A:$A,"160450 OY. EA. AB.",'Source'!$B:$B,$A113)</f>
        <v>98.13</v>
      </c>
      <c r="J113" s="8" t="n">
        <f aca="false">I113*$J$5</f>
        <v>123.953684210526</v>
      </c>
      <c r="K113" s="8" t="n">
        <f aca="false">J113-H113</f>
        <v>-110.516315789474</v>
      </c>
      <c r="L113" s="9" t="n">
        <f aca="false">IF(AND(H113=0,J113=0),0,IF(H113=0,"New",(J113-H113)/H113))</f>
        <v>-0.471345228769027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750</v>
      </c>
      <c r="B114" s="7" t="str">
        <f aca="false">IFERROR(INDEX('Source'!$C:$C,MATCH($A114,'Source'!$B:$B,0)),"")</f>
        <v>חגורת צלעות לאשה</v>
      </c>
      <c r="C114" s="8" t="n">
        <f aca="false">SUMIFS('Source'!$D:$D,'Source'!$A:$A,"160450 OY. EA. AB.",'Source'!$B:$B,$A114)</f>
        <v>0</v>
      </c>
      <c r="D114" s="8" t="n">
        <f aca="false">SUMIFS('Source'!$F:$F,'Source'!$A:$A,"160450 OY. EA. AB.",'Source'!$B:$B,$A114)</f>
        <v>3</v>
      </c>
      <c r="E114" s="8" t="n">
        <f aca="false">D114*$J$5</f>
        <v>3.78947368421053</v>
      </c>
      <c r="F114" s="8" t="n">
        <f aca="false">E114-C114</f>
        <v>3.78947368421053</v>
      </c>
      <c r="G114" s="9" t="str">
        <f aca="false">IF(AND(C114=0,E114=0),0,IF(C114=0,"New",(E114-C114)/C114))</f>
        <v>New</v>
      </c>
      <c r="H114" s="8" t="n">
        <f aca="false">SUMIFS('Source'!$E:$E,'Source'!$A:$A,"160450 OY. EA. AB.",'Source'!$B:$B,$A114)</f>
        <v>0</v>
      </c>
      <c r="I114" s="8" t="n">
        <f aca="false">SUMIFS('Source'!$G:$G,'Source'!$A:$A,"160450 OY. EA. AB.",'Source'!$B:$B,$A114)</f>
        <v>136.21</v>
      </c>
      <c r="J114" s="8" t="n">
        <f aca="false">I114*$J$5</f>
        <v>172.054736842105</v>
      </c>
      <c r="K114" s="8" t="n">
        <f aca="false">J114-H114</f>
        <v>172.054736842105</v>
      </c>
      <c r="L114" s="9" t="str">
        <f aca="false">IF(AND(H114=0,J114=0),0,IF(H114=0,"New",(J114-H114)/H114))</f>
        <v>New</v>
      </c>
      <c r="M114" s="7" t="str">
        <f aca="false">IF(AND(OR(C114&lt;&gt;0,H114&lt;&gt;0),D114=0,I114=0),"DROP",IF(AND(OR(D114&lt;&gt;0,I114&lt;&gt;0),C114=0,H114=0),"NEW",""))</f>
        <v>NEW</v>
      </c>
    </row>
    <row r="115" customFormat="false" ht="15" hidden="false" customHeight="false" outlineLevel="0" collapsed="false">
      <c r="A115" s="7" t="s">
        <v>596</v>
      </c>
      <c r="B115" s="7" t="str">
        <f aca="false">IFERROR(INDEX('Source'!$C:$C,MATCH($A115,'Source'!$B:$B,0)),"")</f>
        <v>צוארון ספוגי</v>
      </c>
      <c r="C115" s="8" t="n">
        <f aca="false">SUMIFS('Source'!$D:$D,'Source'!$A:$A,"160450 OY. EA. AB.",'Source'!$B:$B,$A115)</f>
        <v>8</v>
      </c>
      <c r="D115" s="8" t="n">
        <f aca="false">SUMIFS('Source'!$F:$F,'Source'!$A:$A,"160450 OY. EA. AB.",'Source'!$B:$B,$A115)</f>
        <v>3</v>
      </c>
      <c r="E115" s="8" t="n">
        <f aca="false">D115*$J$5</f>
        <v>3.78947368421053</v>
      </c>
      <c r="F115" s="8" t="n">
        <f aca="false">E115-C115</f>
        <v>-4.21052631578947</v>
      </c>
      <c r="G115" s="9" t="n">
        <f aca="false">IF(AND(C115=0,E115=0),0,IF(C115=0,"New",(E115-C115)/C115))</f>
        <v>-0.526315789473684</v>
      </c>
      <c r="H115" s="8" t="n">
        <f aca="false">SUMIFS('Source'!$E:$E,'Source'!$A:$A,"160450 OY. EA. AB.",'Source'!$B:$B,$A115)</f>
        <v>200.37</v>
      </c>
      <c r="I115" s="8" t="n">
        <f aca="false">SUMIFS('Source'!$G:$G,'Source'!$A:$A,"160450 OY. EA. AB.",'Source'!$B:$B,$A115)</f>
        <v>65.36</v>
      </c>
      <c r="J115" s="8" t="n">
        <f aca="false">I115*$J$5</f>
        <v>82.56</v>
      </c>
      <c r="K115" s="8" t="n">
        <f aca="false">J115-H115</f>
        <v>-117.81</v>
      </c>
      <c r="L115" s="9" t="n">
        <f aca="false">IF(AND(H115=0,J115=0),0,IF(H115=0,"New",(J115-H115)/H115))</f>
        <v>-0.587962269800868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700</v>
      </c>
      <c r="B116" s="7" t="str">
        <f aca="false">IFERROR(INDEX('Source'!$C:$C,MATCH($A116,'Source'!$B:$B,0)),"")</f>
        <v>אצבעון מפלסטיק  ליד</v>
      </c>
      <c r="C116" s="8" t="n">
        <f aca="false">SUMIFS('Source'!$D:$D,'Source'!$A:$A,"160450 OY. EA. AB.",'Source'!$B:$B,$A116)</f>
        <v>23</v>
      </c>
      <c r="D116" s="8" t="n">
        <f aca="false">SUMIFS('Source'!$F:$F,'Source'!$A:$A,"160450 OY. EA. AB.",'Source'!$B:$B,$A116)</f>
        <v>10</v>
      </c>
      <c r="E116" s="8" t="n">
        <f aca="false">D116*$J$5</f>
        <v>12.6315789473684</v>
      </c>
      <c r="F116" s="8" t="n">
        <f aca="false">E116-C116</f>
        <v>-10.3684210526316</v>
      </c>
      <c r="G116" s="9" t="n">
        <f aca="false">IF(AND(C116=0,E116=0),0,IF(C116=0,"New",(E116-C116)/C116))</f>
        <v>-0.450800915331808</v>
      </c>
      <c r="H116" s="8" t="n">
        <f aca="false">SUMIFS('Source'!$E:$E,'Source'!$A:$A,"160450 OY. EA. AB.",'Source'!$B:$B,$A116)</f>
        <v>212.16</v>
      </c>
      <c r="I116" s="8" t="n">
        <f aca="false">SUMIFS('Source'!$G:$G,'Source'!$A:$A,"160450 OY. EA. AB.",'Source'!$B:$B,$A116)</f>
        <v>79.83</v>
      </c>
      <c r="J116" s="8" t="n">
        <f aca="false">I116*$J$5</f>
        <v>100.837894736842</v>
      </c>
      <c r="K116" s="8" t="n">
        <f aca="false">J116-H116</f>
        <v>-111.322105263158</v>
      </c>
      <c r="L116" s="9" t="n">
        <f aca="false">IF(AND(H116=0,J116=0),0,IF(H116=0,"New",(J116-H116)/H116))</f>
        <v>-0.524708263872351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292</v>
      </c>
      <c r="B117" s="7" t="str">
        <f aca="false">IFERROR(INDEX('Source'!$C:$C,MATCH($A117,'Source'!$B:$B,0)),"")</f>
        <v>חגורת גב אפורה</v>
      </c>
      <c r="C117" s="8" t="n">
        <f aca="false">SUMIFS('Source'!$D:$D,'Source'!$A:$A,"160450 OY. EA. AB.",'Source'!$B:$B,$A117)</f>
        <v>0</v>
      </c>
      <c r="D117" s="8" t="n">
        <f aca="false">SUMIFS('Source'!$F:$F,'Source'!$A:$A,"160450 OY. EA. AB.",'Source'!$B:$B,$A117)</f>
        <v>3</v>
      </c>
      <c r="E117" s="8" t="n">
        <f aca="false">D117*$J$5</f>
        <v>3.78947368421053</v>
      </c>
      <c r="F117" s="8" t="n">
        <f aca="false">E117-C117</f>
        <v>3.78947368421053</v>
      </c>
      <c r="G117" s="9" t="str">
        <f aca="false">IF(AND(C117=0,E117=0),0,IF(C117=0,"New",(E117-C117)/C117))</f>
        <v>New</v>
      </c>
      <c r="H117" s="8" t="n">
        <f aca="false">SUMIFS('Source'!$E:$E,'Source'!$A:$A,"160450 OY. EA. AB.",'Source'!$B:$B,$A117)</f>
        <v>0</v>
      </c>
      <c r="I117" s="8" t="n">
        <f aca="false">SUMIFS('Source'!$G:$G,'Source'!$A:$A,"160450 OY. EA. AB.",'Source'!$B:$B,$A117)</f>
        <v>131.72</v>
      </c>
      <c r="J117" s="8" t="n">
        <f aca="false">I117*$J$5</f>
        <v>166.383157894737</v>
      </c>
      <c r="K117" s="8" t="n">
        <f aca="false">J117-H117</f>
        <v>166.383157894737</v>
      </c>
      <c r="L117" s="9" t="str">
        <f aca="false">IF(AND(H117=0,J117=0),0,IF(H117=0,"New",(J117-H117)/H117))</f>
        <v>New</v>
      </c>
      <c r="M117" s="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false" outlineLevel="0" collapsed="false">
      <c r="A118" s="7" t="s">
        <v>390</v>
      </c>
      <c r="B118" s="7" t="str">
        <f aca="false">IFERROR(INDEX('Source'!$C:$C,MATCH($A118,'Source'!$B:$B,0)),"")</f>
        <v>חגורת גב אפורה</v>
      </c>
      <c r="C118" s="8" t="n">
        <f aca="false">SUMIFS('Source'!$D:$D,'Source'!$A:$A,"160450 OY. EA. AB.",'Source'!$B:$B,$A118)</f>
        <v>0</v>
      </c>
      <c r="D118" s="8" t="n">
        <f aca="false">SUMIFS('Source'!$F:$F,'Source'!$A:$A,"160450 OY. EA. AB.",'Source'!$B:$B,$A118)</f>
        <v>3</v>
      </c>
      <c r="E118" s="8" t="n">
        <f aca="false">D118*$J$5</f>
        <v>3.78947368421053</v>
      </c>
      <c r="F118" s="8" t="n">
        <f aca="false">E118-C118</f>
        <v>3.78947368421053</v>
      </c>
      <c r="G118" s="9" t="str">
        <f aca="false">IF(AND(C118=0,E118=0),0,IF(C118=0,"New",(E118-C118)/C118))</f>
        <v>New</v>
      </c>
      <c r="H118" s="8" t="n">
        <f aca="false">SUMIFS('Source'!$E:$E,'Source'!$A:$A,"160450 OY. EA. AB.",'Source'!$B:$B,$A118)</f>
        <v>0</v>
      </c>
      <c r="I118" s="8" t="n">
        <f aca="false">SUMIFS('Source'!$G:$G,'Source'!$A:$A,"160450 OY. EA. AB.",'Source'!$B:$B,$A118)</f>
        <v>131.72</v>
      </c>
      <c r="J118" s="8" t="n">
        <f aca="false">I118*$J$5</f>
        <v>166.383157894737</v>
      </c>
      <c r="K118" s="8" t="n">
        <f aca="false">J118-H118</f>
        <v>166.383157894737</v>
      </c>
      <c r="L118" s="9" t="str">
        <f aca="false">IF(AND(H118=0,J118=0),0,IF(H118=0,"New",(J118-H118)/H118))</f>
        <v>New</v>
      </c>
      <c r="M118" s="7" t="str">
        <f aca="false">IF(AND(OR(C118&lt;&gt;0,H118&lt;&gt;0),D118=0,I118=0),"DROP",IF(AND(OR(D118&lt;&gt;0,I118&lt;&gt;0),C118=0,H118=0),"NEW",""))</f>
        <v>NEW</v>
      </c>
    </row>
    <row r="119" customFormat="false" ht="15" hidden="false" customHeight="false" outlineLevel="0" collapsed="false">
      <c r="A119" s="7" t="s">
        <v>502</v>
      </c>
      <c r="B119" s="7" t="str">
        <f aca="false">IFERROR(INDEX('Source'!$C:$C,MATCH($A119,'Source'!$B:$B,0)),"")</f>
        <v>מיישר בוהן</v>
      </c>
      <c r="C119" s="8" t="n">
        <f aca="false">SUMIFS('Source'!$D:$D,'Source'!$A:$A,"160450 OY. EA. AB.",'Source'!$B:$B,$A119)</f>
        <v>20</v>
      </c>
      <c r="D119" s="8" t="n">
        <f aca="false">SUMIFS('Source'!$F:$F,'Source'!$A:$A,"160450 OY. EA. AB.",'Source'!$B:$B,$A119)</f>
        <v>0</v>
      </c>
      <c r="E119" s="8" t="n">
        <f aca="false">D119*$J$5</f>
        <v>0</v>
      </c>
      <c r="F119" s="8" t="n">
        <f aca="false">E119-C119</f>
        <v>-20</v>
      </c>
      <c r="G119" s="9" t="n">
        <f aca="false">IF(AND(C119=0,E119=0),0,IF(C119=0,"New",(E119-C119)/C119))</f>
        <v>-1</v>
      </c>
      <c r="H119" s="8" t="n">
        <f aca="false">SUMIFS('Source'!$E:$E,'Source'!$A:$A,"160450 OY. EA. AB.",'Source'!$B:$B,$A119)</f>
        <v>131.72</v>
      </c>
      <c r="I119" s="8" t="n">
        <f aca="false">SUMIFS('Source'!$G:$G,'Source'!$A:$A,"160450 OY. EA. AB.",'Source'!$B:$B,$A119)</f>
        <v>0</v>
      </c>
      <c r="J119" s="8" t="n">
        <f aca="false">I119*$J$5</f>
        <v>0</v>
      </c>
      <c r="K119" s="8" t="n">
        <f aca="false">J119-H119</f>
        <v>-131.72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560</v>
      </c>
      <c r="B120" s="7" t="str">
        <f aca="false">IFERROR(INDEX('Source'!$C:$C,MATCH($A120,'Source'!$B:$B,0)),"")</f>
        <v>מגן ברך שחור</v>
      </c>
      <c r="C120" s="8" t="n">
        <f aca="false">SUMIFS('Source'!$D:$D,'Source'!$A:$A,"160450 OY. EA. AB.",'Source'!$B:$B,$A120)</f>
        <v>10</v>
      </c>
      <c r="D120" s="8" t="n">
        <f aca="false">SUMIFS('Source'!$F:$F,'Source'!$A:$A,"160450 OY. EA. AB.",'Source'!$B:$B,$A120)</f>
        <v>0</v>
      </c>
      <c r="E120" s="8" t="n">
        <f aca="false">D120*$J$5</f>
        <v>0</v>
      </c>
      <c r="F120" s="8" t="n">
        <f aca="false">E120-C120</f>
        <v>-10</v>
      </c>
      <c r="G120" s="9" t="n">
        <f aca="false">IF(AND(C120=0,E120=0),0,IF(C120=0,"New",(E120-C120)/C120))</f>
        <v>-1</v>
      </c>
      <c r="H120" s="8" t="n">
        <f aca="false">SUMIFS('Source'!$E:$E,'Source'!$A:$A,"160450 OY. EA. AB.",'Source'!$B:$B,$A120)</f>
        <v>125.18</v>
      </c>
      <c r="I120" s="8" t="n">
        <f aca="false">SUMIFS('Source'!$G:$G,'Source'!$A:$A,"160450 OY. EA. AB.",'Source'!$B:$B,$A120)</f>
        <v>0</v>
      </c>
      <c r="J120" s="8" t="n">
        <f aca="false">I120*$J$5</f>
        <v>0</v>
      </c>
      <c r="K120" s="8" t="n">
        <f aca="false">J120-H120</f>
        <v>-125.18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550</v>
      </c>
      <c r="B121" s="7" t="str">
        <f aca="false">IFERROR(INDEX('Source'!$C:$C,MATCH($A121,'Source'!$B:$B,0)),"")</f>
        <v>צווארון ספוג</v>
      </c>
      <c r="C121" s="8" t="n">
        <f aca="false">SUMIFS('Source'!$D:$D,'Source'!$A:$A,"160450 OY. EA. AB.",'Source'!$B:$B,$A121)</f>
        <v>0</v>
      </c>
      <c r="D121" s="8" t="n">
        <f aca="false">SUMIFS('Source'!$F:$F,'Source'!$A:$A,"160450 OY. EA. AB.",'Source'!$B:$B,$A121)</f>
        <v>5</v>
      </c>
      <c r="E121" s="8" t="n">
        <f aca="false">D121*$J$5</f>
        <v>6.31578947368421</v>
      </c>
      <c r="F121" s="8" t="n">
        <f aca="false">E121-C121</f>
        <v>6.31578947368421</v>
      </c>
      <c r="G121" s="9" t="str">
        <f aca="false">IF(AND(C121=0,E121=0),0,IF(C121=0,"New",(E121-C121)/C121))</f>
        <v>New</v>
      </c>
      <c r="H121" s="8" t="n">
        <f aca="false">SUMIFS('Source'!$E:$E,'Source'!$A:$A,"160450 OY. EA. AB.",'Source'!$B:$B,$A121)</f>
        <v>0</v>
      </c>
      <c r="I121" s="8" t="n">
        <f aca="false">SUMIFS('Source'!$G:$G,'Source'!$A:$A,"160450 OY. EA. AB.",'Source'!$B:$B,$A121)</f>
        <v>124.74</v>
      </c>
      <c r="J121" s="8" t="n">
        <f aca="false">I121*$J$5</f>
        <v>157.566315789474</v>
      </c>
      <c r="K121" s="8" t="n">
        <f aca="false">J121-H121</f>
        <v>157.566315789474</v>
      </c>
      <c r="L121" s="9" t="str">
        <f aca="false">IF(AND(H121=0,J121=0),0,IF(H121=0,"New",(J121-H121)/H121))</f>
        <v>New</v>
      </c>
      <c r="M121" s="7" t="str">
        <f aca="false">IF(AND(OR(C121&lt;&gt;0,H121&lt;&gt;0),D121=0,I121=0),"DROP",IF(AND(OR(D121&lt;&gt;0,I121&lt;&gt;0),C121=0,H121=0),"NEW",""))</f>
        <v>NEW</v>
      </c>
    </row>
    <row r="122" customFormat="false" ht="15" hidden="false" customHeight="false" outlineLevel="0" collapsed="false">
      <c r="A122" s="7" t="s">
        <v>943</v>
      </c>
      <c r="B122" s="7" t="str">
        <f aca="false">IFERROR(INDEX('Source'!$C:$C,MATCH($A122,'Source'!$B:$B,0)),"")</f>
        <v>סד קרסול קל שחור XL</v>
      </c>
      <c r="C122" s="8" t="n">
        <f aca="false">SUMIFS('Source'!$D:$D,'Source'!$A:$A,"160450 OY. EA. AB.",'Source'!$B:$B,$A122)</f>
        <v>0</v>
      </c>
      <c r="D122" s="8" t="n">
        <f aca="false">SUMIFS('Source'!$F:$F,'Source'!$A:$A,"160450 OY. EA. AB.",'Source'!$B:$B,$A122)</f>
        <v>2</v>
      </c>
      <c r="E122" s="8" t="n">
        <f aca="false">D122*$J$5</f>
        <v>2.52631578947368</v>
      </c>
      <c r="F122" s="8" t="n">
        <f aca="false">E122-C122</f>
        <v>2.52631578947368</v>
      </c>
      <c r="G122" s="9" t="str">
        <f aca="false">IF(AND(C122=0,E122=0),0,IF(C122=0,"New",(E122-C122)/C122))</f>
        <v>New</v>
      </c>
      <c r="H122" s="8" t="n">
        <f aca="false">SUMIFS('Source'!$E:$E,'Source'!$A:$A,"160450 OY. EA. AB.",'Source'!$B:$B,$A122)</f>
        <v>0</v>
      </c>
      <c r="I122" s="8" t="n">
        <f aca="false">SUMIFS('Source'!$G:$G,'Source'!$A:$A,"160450 OY. EA. AB.",'Source'!$B:$B,$A122)</f>
        <v>123.41</v>
      </c>
      <c r="J122" s="8" t="n">
        <f aca="false">I122*$J$5</f>
        <v>155.886315789474</v>
      </c>
      <c r="K122" s="8" t="n">
        <f aca="false">J122-H122</f>
        <v>155.886315789474</v>
      </c>
      <c r="L122" s="9" t="str">
        <f aca="false">IF(AND(H122=0,J122=0),0,IF(H122=0,"New",(J122-H122)/H122))</f>
        <v>New</v>
      </c>
      <c r="M122" s="7" t="str">
        <f aca="false">IF(AND(OR(C122&lt;&gt;0,H122&lt;&gt;0),D122=0,I122=0),"DROP",IF(AND(OR(D122&lt;&gt;0,I122&lt;&gt;0),C122=0,H122=0),"NEW",""))</f>
        <v>NEW</v>
      </c>
    </row>
    <row r="123" customFormat="false" ht="15" hidden="false" customHeight="false" outlineLevel="0" collapsed="false">
      <c r="A123" s="7" t="s">
        <v>635</v>
      </c>
      <c r="B123" s="7" t="str">
        <f aca="false">IFERROR(INDEX('Source'!$C:$C,MATCH($A123,'Source'!$B:$B,0)),"")</f>
        <v>מגן קרסול חום</v>
      </c>
      <c r="C123" s="8" t="n">
        <f aca="false">SUMIFS('Source'!$D:$D,'Source'!$A:$A,"160450 OY. EA. AB.",'Source'!$B:$B,$A123)</f>
        <v>10</v>
      </c>
      <c r="D123" s="8" t="n">
        <f aca="false">SUMIFS('Source'!$F:$F,'Source'!$A:$A,"160450 OY. EA. AB.",'Source'!$B:$B,$A123)</f>
        <v>0</v>
      </c>
      <c r="E123" s="8" t="n">
        <f aca="false">D123*$J$5</f>
        <v>0</v>
      </c>
      <c r="F123" s="8" t="n">
        <f aca="false">E123-C123</f>
        <v>-10</v>
      </c>
      <c r="G123" s="9" t="n">
        <f aca="false">IF(AND(C123=0,E123=0),0,IF(C123=0,"New",(E123-C123)/C123))</f>
        <v>-1</v>
      </c>
      <c r="H123" s="8" t="n">
        <f aca="false">SUMIFS('Source'!$E:$E,'Source'!$A:$A,"160450 OY. EA. AB.",'Source'!$B:$B,$A123)</f>
        <v>117.23</v>
      </c>
      <c r="I123" s="8" t="n">
        <f aca="false">SUMIFS('Source'!$G:$G,'Source'!$A:$A,"160450 OY. EA. AB.",'Source'!$B:$B,$A123)</f>
        <v>0</v>
      </c>
      <c r="J123" s="8" t="n">
        <f aca="false">I123*$J$5</f>
        <v>0</v>
      </c>
      <c r="K123" s="8" t="n">
        <f aca="false">J123-H123</f>
        <v>-117.23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605</v>
      </c>
      <c r="B124" s="7" t="str">
        <f aca="false">IFERROR(INDEX('Source'!$C:$C,MATCH($A124,'Source'!$B:$B,0)),"")</f>
        <v>מגן קרסול חום</v>
      </c>
      <c r="C124" s="8" t="n">
        <f aca="false">SUMIFS('Source'!$D:$D,'Source'!$A:$A,"160450 OY. EA. AB.",'Source'!$B:$B,$A124)</f>
        <v>10</v>
      </c>
      <c r="D124" s="8" t="n">
        <f aca="false">SUMIFS('Source'!$F:$F,'Source'!$A:$A,"160450 OY. EA. AB.",'Source'!$B:$B,$A124)</f>
        <v>0</v>
      </c>
      <c r="E124" s="8" t="n">
        <f aca="false">D124*$J$5</f>
        <v>0</v>
      </c>
      <c r="F124" s="8" t="n">
        <f aca="false">E124-C124</f>
        <v>-10</v>
      </c>
      <c r="G124" s="9" t="n">
        <f aca="false">IF(AND(C124=0,E124=0),0,IF(C124=0,"New",(E124-C124)/C124))</f>
        <v>-1</v>
      </c>
      <c r="H124" s="8" t="n">
        <f aca="false">SUMIFS('Source'!$E:$E,'Source'!$A:$A,"160450 OY. EA. AB.",'Source'!$B:$B,$A124)</f>
        <v>117.23</v>
      </c>
      <c r="I124" s="8" t="n">
        <f aca="false">SUMIFS('Source'!$G:$G,'Source'!$A:$A,"160450 OY. EA. AB.",'Source'!$B:$B,$A124)</f>
        <v>0</v>
      </c>
      <c r="J124" s="8" t="n">
        <f aca="false">I124*$J$5</f>
        <v>0</v>
      </c>
      <c r="K124" s="8" t="n">
        <f aca="false">J124-H124</f>
        <v>-117.23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944</v>
      </c>
      <c r="B125" s="7" t="str">
        <f aca="false">IFERROR(INDEX('Source'!$C:$C,MATCH($A125,'Source'!$B:$B,0)),"")</f>
        <v>מגן קרסול מתכוון</v>
      </c>
      <c r="C125" s="8" t="n">
        <f aca="false">SUMIFS('Source'!$D:$D,'Source'!$A:$A,"160450 OY. EA. AB.",'Source'!$B:$B,$A125)</f>
        <v>0</v>
      </c>
      <c r="D125" s="8" t="n">
        <f aca="false">SUMIFS('Source'!$F:$F,'Source'!$A:$A,"160450 OY. EA. AB.",'Source'!$B:$B,$A125)</f>
        <v>4</v>
      </c>
      <c r="E125" s="8" t="n">
        <f aca="false">D125*$J$5</f>
        <v>5.05263157894737</v>
      </c>
      <c r="F125" s="8" t="n">
        <f aca="false">E125-C125</f>
        <v>5.05263157894737</v>
      </c>
      <c r="G125" s="9" t="str">
        <f aca="false">IF(AND(C125=0,E125=0),0,IF(C125=0,"New",(E125-C125)/C125))</f>
        <v>New</v>
      </c>
      <c r="H125" s="8" t="n">
        <f aca="false">SUMIFS('Source'!$E:$E,'Source'!$A:$A,"160450 OY. EA. AB.",'Source'!$B:$B,$A125)</f>
        <v>0</v>
      </c>
      <c r="I125" s="8" t="n">
        <f aca="false">SUMIFS('Source'!$G:$G,'Source'!$A:$A,"160450 OY. EA. AB.",'Source'!$B:$B,$A125)</f>
        <v>112.43</v>
      </c>
      <c r="J125" s="8" t="n">
        <f aca="false">I125*$J$5</f>
        <v>142.016842105263</v>
      </c>
      <c r="K125" s="8" t="n">
        <f aca="false">J125-H125</f>
        <v>142.016842105263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483</v>
      </c>
      <c r="B126" s="7" t="str">
        <f aca="false">IFERROR(INDEX('Source'!$C:$C,MATCH($A126,'Source'!$B:$B,0)),"")</f>
        <v>כרית סיליקון לעקב</v>
      </c>
      <c r="C126" s="8" t="n">
        <f aca="false">SUMIFS('Source'!$D:$D,'Source'!$A:$A,"160450 OY. EA. AB.",'Source'!$B:$B,$A126)</f>
        <v>25</v>
      </c>
      <c r="D126" s="8" t="n">
        <f aca="false">SUMIFS('Source'!$F:$F,'Source'!$A:$A,"160450 OY. EA. AB.",'Source'!$B:$B,$A126)</f>
        <v>25</v>
      </c>
      <c r="E126" s="8" t="n">
        <f aca="false">D126*$J$5</f>
        <v>31.5789473684211</v>
      </c>
      <c r="F126" s="8" t="n">
        <f aca="false">E126-C126</f>
        <v>6.57894736842105</v>
      </c>
      <c r="G126" s="9" t="n">
        <f aca="false">IF(AND(C126=0,E126=0),0,IF(C126=0,"New",(E126-C126)/C126))</f>
        <v>0.263157894736842</v>
      </c>
      <c r="H126" s="8" t="n">
        <f aca="false">SUMIFS('Source'!$E:$E,'Source'!$A:$A,"160450 OY. EA. AB.",'Source'!$B:$B,$A126)</f>
        <v>764.19</v>
      </c>
      <c r="I126" s="8" t="n">
        <f aca="false">SUMIFS('Source'!$G:$G,'Source'!$A:$A,"160450 OY. EA. AB.",'Source'!$B:$B,$A126)</f>
        <v>652.79</v>
      </c>
      <c r="J126" s="8" t="n">
        <f aca="false">I126*$J$5</f>
        <v>824.576842105263</v>
      </c>
      <c r="K126" s="8" t="n">
        <f aca="false">J126-H126</f>
        <v>60.386842105263</v>
      </c>
      <c r="L126" s="9" t="n">
        <f aca="false">IF(AND(H126=0,J126=0),0,IF(H126=0,"New",(J126-H126)/H126))</f>
        <v>0.0790207174986103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345</v>
      </c>
      <c r="B127" s="7" t="str">
        <f aca="false">IFERROR(INDEX('Source'!$C:$C,MATCH($A127,'Source'!$B:$B,0)),"")</f>
        <v>מיצב פיקה</v>
      </c>
      <c r="C127" s="8" t="n">
        <f aca="false">SUMIFS('Source'!$D:$D,'Source'!$A:$A,"160450 OY. EA. AB.",'Source'!$B:$B,$A127)</f>
        <v>0</v>
      </c>
      <c r="D127" s="8" t="n">
        <f aca="false">SUMIFS('Source'!$F:$F,'Source'!$A:$A,"160450 OY. EA. AB.",'Source'!$B:$B,$A127)</f>
        <v>3</v>
      </c>
      <c r="E127" s="8" t="n">
        <f aca="false">D127*$J$5</f>
        <v>3.78947368421053</v>
      </c>
      <c r="F127" s="8" t="n">
        <f aca="false">E127-C127</f>
        <v>3.78947368421053</v>
      </c>
      <c r="G127" s="9" t="str">
        <f aca="false">IF(AND(C127=0,E127=0),0,IF(C127=0,"New",(E127-C127)/C127))</f>
        <v>New</v>
      </c>
      <c r="H127" s="8" t="n">
        <f aca="false">SUMIFS('Source'!$E:$E,'Source'!$A:$A,"160450 OY. EA. AB.",'Source'!$B:$B,$A127)</f>
        <v>0</v>
      </c>
      <c r="I127" s="8" t="n">
        <f aca="false">SUMIFS('Source'!$G:$G,'Source'!$A:$A,"160450 OY. EA. AB.",'Source'!$B:$B,$A127)</f>
        <v>109.27</v>
      </c>
      <c r="J127" s="8" t="n">
        <f aca="false">I127*$J$5</f>
        <v>138.025263157895</v>
      </c>
      <c r="K127" s="8" t="n">
        <f aca="false">J127-H127</f>
        <v>138.025263157895</v>
      </c>
      <c r="L127" s="9" t="str">
        <f aca="false">IF(AND(H127=0,J127=0),0,IF(H127=0,"New",(J127-H127)/H127))</f>
        <v>New</v>
      </c>
      <c r="M127" s="7" t="str">
        <f aca="false">IF(AND(OR(C127&lt;&gt;0,H127&lt;&gt;0),D127=0,I127=0),"DROP",IF(AND(OR(D127&lt;&gt;0,I127&lt;&gt;0),C127=0,H127=0),"NEW",""))</f>
        <v>NEW</v>
      </c>
    </row>
    <row r="128" customFormat="false" ht="15" hidden="false" customHeight="false" outlineLevel="0" collapsed="false">
      <c r="A128" s="7" t="s">
        <v>506</v>
      </c>
      <c r="B128" s="7" t="str">
        <f aca="false">IFERROR(INDEX('Source'!$C:$C,MATCH($A128,'Source'!$B:$B,0)),"")</f>
        <v>מיצב פיקה</v>
      </c>
      <c r="C128" s="8" t="n">
        <f aca="false">SUMIFS('Source'!$D:$D,'Source'!$A:$A,"160450 OY. EA. AB.",'Source'!$B:$B,$A128)</f>
        <v>0</v>
      </c>
      <c r="D128" s="8" t="n">
        <f aca="false">SUMIFS('Source'!$F:$F,'Source'!$A:$A,"160450 OY. EA. AB.",'Source'!$B:$B,$A128)</f>
        <v>3</v>
      </c>
      <c r="E128" s="8" t="n">
        <f aca="false">D128*$J$5</f>
        <v>3.78947368421053</v>
      </c>
      <c r="F128" s="8" t="n">
        <f aca="false">E128-C128</f>
        <v>3.78947368421053</v>
      </c>
      <c r="G128" s="9" t="str">
        <f aca="false">IF(AND(C128=0,E128=0),0,IF(C128=0,"New",(E128-C128)/C128))</f>
        <v>New</v>
      </c>
      <c r="H128" s="8" t="n">
        <f aca="false">SUMIFS('Source'!$E:$E,'Source'!$A:$A,"160450 OY. EA. AB.",'Source'!$B:$B,$A128)</f>
        <v>0</v>
      </c>
      <c r="I128" s="8" t="n">
        <f aca="false">SUMIFS('Source'!$G:$G,'Source'!$A:$A,"160450 OY. EA. AB.",'Source'!$B:$B,$A128)</f>
        <v>109.27</v>
      </c>
      <c r="J128" s="8" t="n">
        <f aca="false">I128*$J$5</f>
        <v>138.025263157895</v>
      </c>
      <c r="K128" s="8" t="n">
        <f aca="false">J128-H128</f>
        <v>138.025263157895</v>
      </c>
      <c r="L128" s="9" t="str">
        <f aca="false">IF(AND(H128=0,J128=0),0,IF(H128=0,"New",(J128-H128)/H128))</f>
        <v>New</v>
      </c>
      <c r="M128" s="7" t="str">
        <f aca="false">IF(AND(OR(C128&lt;&gt;0,H128&lt;&gt;0),D128=0,I128=0),"DROP",IF(AND(OR(D128&lt;&gt;0,I128&lt;&gt;0),C128=0,H128=0),"NEW",""))</f>
        <v>NEW</v>
      </c>
    </row>
    <row r="129" customFormat="false" ht="15" hidden="false" customHeight="false" outlineLevel="0" collapsed="false">
      <c r="A129" s="7" t="s">
        <v>683</v>
      </c>
      <c r="B129" s="7" t="str">
        <f aca="false">IFERROR(INDEX('Source'!$C:$C,MATCH($A129,'Source'!$B:$B,0)),"")</f>
        <v>סד לאצבע הדק</v>
      </c>
      <c r="C129" s="8" t="n">
        <f aca="false">SUMIFS('Source'!$D:$D,'Source'!$A:$A,"160450 OY. EA. AB.",'Source'!$B:$B,$A129)</f>
        <v>20</v>
      </c>
      <c r="D129" s="8" t="n">
        <f aca="false">SUMIFS('Source'!$F:$F,'Source'!$A:$A,"160450 OY. EA. AB.",'Source'!$B:$B,$A129)</f>
        <v>15</v>
      </c>
      <c r="E129" s="8" t="n">
        <f aca="false">D129*$J$5</f>
        <v>18.9473684210526</v>
      </c>
      <c r="F129" s="8" t="n">
        <f aca="false">E129-C129</f>
        <v>-1.05263157894737</v>
      </c>
      <c r="G129" s="9" t="n">
        <f aca="false">IF(AND(C129=0,E129=0),0,IF(C129=0,"New",(E129-C129)/C129))</f>
        <v>-0.0526315789473685</v>
      </c>
      <c r="H129" s="8" t="n">
        <f aca="false">SUMIFS('Source'!$E:$E,'Source'!$A:$A,"160450 OY. EA. AB.",'Source'!$B:$B,$A129)</f>
        <v>302.17</v>
      </c>
      <c r="I129" s="8" t="n">
        <f aca="false">SUMIFS('Source'!$G:$G,'Source'!$A:$A,"160450 OY. EA. AB.",'Source'!$B:$B,$A129)</f>
        <v>194.59</v>
      </c>
      <c r="J129" s="8" t="n">
        <f aca="false">I129*$J$5</f>
        <v>245.797894736842</v>
      </c>
      <c r="K129" s="8" t="n">
        <f aca="false">J129-H129</f>
        <v>-56.3721052631579</v>
      </c>
      <c r="L129" s="9" t="n">
        <f aca="false">IF(AND(H129=0,J129=0),0,IF(H129=0,"New",(J129-H129)/H129))</f>
        <v>-0.186557584350392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331</v>
      </c>
      <c r="B130" s="7" t="str">
        <f aca="false">IFERROR(INDEX('Source'!$C:$C,MATCH($A130,'Source'!$B:$B,0)),"")</f>
        <v>חגורת גב-לומבו</v>
      </c>
      <c r="C130" s="8" t="n">
        <f aca="false">SUMIFS('Source'!$D:$D,'Source'!$A:$A,"160450 OY. EA. AB.",'Source'!$B:$B,$A130)</f>
        <v>2</v>
      </c>
      <c r="D130" s="8" t="n">
        <f aca="false">SUMIFS('Source'!$F:$F,'Source'!$A:$A,"160450 OY. EA. AB.",'Source'!$B:$B,$A130)</f>
        <v>4</v>
      </c>
      <c r="E130" s="8" t="n">
        <f aca="false">D130*$J$5</f>
        <v>5.05263157894737</v>
      </c>
      <c r="F130" s="8" t="n">
        <f aca="false">E130-C130</f>
        <v>3.05263157894737</v>
      </c>
      <c r="G130" s="9" t="n">
        <f aca="false">IF(AND(C130=0,E130=0),0,IF(C130=0,"New",(E130-C130)/C130))</f>
        <v>1.52631578947368</v>
      </c>
      <c r="H130" s="8" t="n">
        <f aca="false">SUMIFS('Source'!$E:$E,'Source'!$A:$A,"160450 OY. EA. AB.",'Source'!$B:$B,$A130)</f>
        <v>155.78</v>
      </c>
      <c r="I130" s="8" t="n">
        <f aca="false">SUMIFS('Source'!$G:$G,'Source'!$A:$A,"160450 OY. EA. AB.",'Source'!$B:$B,$A130)</f>
        <v>260.78</v>
      </c>
      <c r="J130" s="8" t="n">
        <f aca="false">I130*$J$5</f>
        <v>329.406315789474</v>
      </c>
      <c r="K130" s="8" t="n">
        <f aca="false">J130-H130</f>
        <v>173.626315789474</v>
      </c>
      <c r="L130" s="9" t="n">
        <f aca="false">IF(AND(H130=0,J130=0),0,IF(H130=0,"New",(J130-H130)/H130))</f>
        <v>1.1145610206026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696</v>
      </c>
      <c r="B131" s="7" t="str">
        <f aca="false">IFERROR(INDEX('Source'!$C:$C,MATCH($A131,'Source'!$B:$B,0)),"")</f>
        <v>אצבעון מפלסטיק  ליד</v>
      </c>
      <c r="C131" s="8" t="n">
        <f aca="false">SUMIFS('Source'!$D:$D,'Source'!$A:$A,"160450 OY. EA. AB.",'Source'!$B:$B,$A131)</f>
        <v>15</v>
      </c>
      <c r="D131" s="8" t="n">
        <f aca="false">SUMIFS('Source'!$F:$F,'Source'!$A:$A,"160450 OY. EA. AB.",'Source'!$B:$B,$A131)</f>
        <v>5</v>
      </c>
      <c r="E131" s="8" t="n">
        <f aca="false">D131*$J$5</f>
        <v>6.31578947368421</v>
      </c>
      <c r="F131" s="8" t="n">
        <f aca="false">E131-C131</f>
        <v>-8.68421052631579</v>
      </c>
      <c r="G131" s="9" t="n">
        <f aca="false">IF(AND(C131=0,E131=0),0,IF(C131=0,"New",(E131-C131)/C131))</f>
        <v>-0.578947368421053</v>
      </c>
      <c r="H131" s="8" t="n">
        <f aca="false">SUMIFS('Source'!$E:$E,'Source'!$A:$A,"160450 OY. EA. AB.",'Source'!$B:$B,$A131)</f>
        <v>140.67</v>
      </c>
      <c r="I131" s="8" t="n">
        <f aca="false">SUMIFS('Source'!$G:$G,'Source'!$A:$A,"160450 OY. EA. AB.",'Source'!$B:$B,$A131)</f>
        <v>39.92</v>
      </c>
      <c r="J131" s="8" t="n">
        <f aca="false">I131*$J$5</f>
        <v>50.4252631578947</v>
      </c>
      <c r="K131" s="8" t="n">
        <f aca="false">J131-H131</f>
        <v>-90.2447368421053</v>
      </c>
      <c r="L131" s="9" t="n">
        <f aca="false">IF(AND(H131=0,J131=0),0,IF(H131=0,"New",(J131-H131)/H131))</f>
        <v>-0.641535059658102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398</v>
      </c>
      <c r="B132" s="7" t="str">
        <f aca="false">IFERROR(INDEX('Source'!$C:$C,MATCH($A132,'Source'!$B:$B,0)),"")</f>
        <v>טייפ חבישה לספורט בז'</v>
      </c>
      <c r="C132" s="8" t="n">
        <f aca="false">SUMIFS('Source'!$D:$D,'Source'!$A:$A,"160450 OY. EA. AB.",'Source'!$B:$B,$A132)</f>
        <v>0</v>
      </c>
      <c r="D132" s="8" t="n">
        <f aca="false">SUMIFS('Source'!$F:$F,'Source'!$A:$A,"160450 OY. EA. AB.",'Source'!$B:$B,$A132)</f>
        <v>12</v>
      </c>
      <c r="E132" s="8" t="n">
        <f aca="false">D132*$J$5</f>
        <v>15.1578947368421</v>
      </c>
      <c r="F132" s="8" t="n">
        <f aca="false">E132-C132</f>
        <v>15.1578947368421</v>
      </c>
      <c r="G132" s="9" t="str">
        <f aca="false">IF(AND(C132=0,E132=0),0,IF(C132=0,"New",(E132-C132)/C132))</f>
        <v>New</v>
      </c>
      <c r="H132" s="8" t="n">
        <f aca="false">SUMIFS('Source'!$E:$E,'Source'!$A:$A,"160450 OY. EA. AB.",'Source'!$B:$B,$A132)</f>
        <v>0</v>
      </c>
      <c r="I132" s="8" t="n">
        <f aca="false">SUMIFS('Source'!$G:$G,'Source'!$A:$A,"160450 OY. EA. AB.",'Source'!$B:$B,$A132)</f>
        <v>99.79</v>
      </c>
      <c r="J132" s="8" t="n">
        <f aca="false">I132*$J$5</f>
        <v>126.050526315789</v>
      </c>
      <c r="K132" s="8" t="n">
        <f aca="false">J132-H132</f>
        <v>126.050526315789</v>
      </c>
      <c r="L132" s="9" t="str">
        <f aca="false">IF(AND(H132=0,J132=0),0,IF(H132=0,"New",(J132-H132)/H132))</f>
        <v>New</v>
      </c>
      <c r="M132" s="7" t="str">
        <f aca="false">IF(AND(OR(C132&lt;&gt;0,H132&lt;&gt;0),D132=0,I132=0),"DROP",IF(AND(OR(D132&lt;&gt;0,I132&lt;&gt;0),C132=0,H132=0),"NEW",""))</f>
        <v>NEW</v>
      </c>
    </row>
    <row r="133" customFormat="false" ht="15" hidden="false" customHeight="false" outlineLevel="0" collapsed="false">
      <c r="A133" s="7" t="s">
        <v>169</v>
      </c>
      <c r="B133" s="7" t="str">
        <f aca="false">IFERROR(INDEX('Source'!$C:$C,MATCH($A133,'Source'!$B:$B,0)),"")</f>
        <v>חגורת שבר דו צדדית</v>
      </c>
      <c r="C133" s="8" t="n">
        <f aca="false">SUMIFS('Source'!$D:$D,'Source'!$A:$A,"160450 OY. EA. AB.",'Source'!$B:$B,$A133)</f>
        <v>6</v>
      </c>
      <c r="D133" s="8" t="n">
        <f aca="false">SUMIFS('Source'!$F:$F,'Source'!$A:$A,"160450 OY. EA. AB.",'Source'!$B:$B,$A133)</f>
        <v>6</v>
      </c>
      <c r="E133" s="8" t="n">
        <f aca="false">D133*$J$5</f>
        <v>7.57894736842105</v>
      </c>
      <c r="F133" s="8" t="n">
        <f aca="false">E133-C133</f>
        <v>1.57894736842105</v>
      </c>
      <c r="G133" s="9" t="n">
        <f aca="false">IF(AND(C133=0,E133=0),0,IF(C133=0,"New",(E133-C133)/C133))</f>
        <v>0.263157894736842</v>
      </c>
      <c r="H133" s="8" t="n">
        <f aca="false">SUMIFS('Source'!$E:$E,'Source'!$A:$A,"160450 OY. EA. AB.",'Source'!$B:$B,$A133)</f>
        <v>604.45</v>
      </c>
      <c r="I133" s="8" t="n">
        <f aca="false">SUMIFS('Source'!$G:$G,'Source'!$A:$A,"160450 OY. EA. AB.",'Source'!$B:$B,$A133)</f>
        <v>505.93</v>
      </c>
      <c r="J133" s="8" t="n">
        <f aca="false">I133*$J$5</f>
        <v>639.069473684211</v>
      </c>
      <c r="K133" s="8" t="n">
        <f aca="false">J133-H133</f>
        <v>34.6194736842105</v>
      </c>
      <c r="L133" s="9" t="n">
        <f aca="false">IF(AND(H133=0,J133=0),0,IF(H133=0,"New",(J133-H133)/H133))</f>
        <v>0.0572743381325344</v>
      </c>
      <c r="M133" s="7" t="str">
        <f aca="false">IF(AND(OR(C133&lt;&gt;0,H133&lt;&gt;0),D133=0,I133=0),"DROP",IF(AND(OR(D133&lt;&gt;0,I133&lt;&gt;0),C133=0,H133=0),"NEW",""))</f>
        <v/>
      </c>
    </row>
    <row r="134" customFormat="false" ht="15" hidden="false" customHeight="false" outlineLevel="0" collapsed="false">
      <c r="A134" s="7" t="s">
        <v>262</v>
      </c>
      <c r="B134" s="7" t="str">
        <f aca="false">IFERROR(INDEX('Source'!$C:$C,MATCH($A134,'Source'!$B:$B,0)),"")</f>
        <v>צוארון ספוגי</v>
      </c>
      <c r="C134" s="8" t="n">
        <f aca="false">SUMIFS('Source'!$D:$D,'Source'!$A:$A,"160450 OY. EA. AB.",'Source'!$B:$B,$A134)</f>
        <v>9</v>
      </c>
      <c r="D134" s="8" t="n">
        <f aca="false">SUMIFS('Source'!$F:$F,'Source'!$A:$A,"160450 OY. EA. AB.",'Source'!$B:$B,$A134)</f>
        <v>6</v>
      </c>
      <c r="E134" s="8" t="n">
        <f aca="false">D134*$J$5</f>
        <v>7.57894736842105</v>
      </c>
      <c r="F134" s="8" t="n">
        <f aca="false">E134-C134</f>
        <v>-1.42105263157895</v>
      </c>
      <c r="G134" s="9" t="n">
        <f aca="false">IF(AND(C134=0,E134=0),0,IF(C134=0,"New",(E134-C134)/C134))</f>
        <v>-0.157894736842105</v>
      </c>
      <c r="H134" s="8" t="n">
        <f aca="false">SUMIFS('Source'!$E:$E,'Source'!$A:$A,"160450 OY. EA. AB.",'Source'!$B:$B,$A134)</f>
        <v>226.4</v>
      </c>
      <c r="I134" s="8" t="n">
        <f aca="false">SUMIFS('Source'!$G:$G,'Source'!$A:$A,"160450 OY. EA. AB.",'Source'!$B:$B,$A134)</f>
        <v>130.72</v>
      </c>
      <c r="J134" s="8" t="n">
        <f aca="false">I134*$J$5</f>
        <v>165.12</v>
      </c>
      <c r="K134" s="8" t="n">
        <f aca="false">J134-H134</f>
        <v>-61.28</v>
      </c>
      <c r="L134" s="9" t="n">
        <f aca="false">IF(AND(H134=0,J134=0),0,IF(H134=0,"New",(J134-H134)/H134))</f>
        <v>-0.270671378091873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353</v>
      </c>
      <c r="B135" s="7" t="str">
        <f aca="false">IFERROR(INDEX('Source'!$C:$C,MATCH($A135,'Source'!$B:$B,0)),"")</f>
        <v>סד יד דו צדדי</v>
      </c>
      <c r="C135" s="8" t="n">
        <f aca="false">SUMIFS('Source'!$D:$D,'Source'!$A:$A,"160450 OY. EA. AB.",'Source'!$B:$B,$A135)</f>
        <v>2</v>
      </c>
      <c r="D135" s="8" t="n">
        <f aca="false">SUMIFS('Source'!$F:$F,'Source'!$A:$A,"160450 OY. EA. AB.",'Source'!$B:$B,$A135)</f>
        <v>0</v>
      </c>
      <c r="E135" s="8" t="n">
        <f aca="false">D135*$J$5</f>
        <v>0</v>
      </c>
      <c r="F135" s="8" t="n">
        <f aca="false">E135-C135</f>
        <v>-2</v>
      </c>
      <c r="G135" s="9" t="n">
        <f aca="false">IF(AND(C135=0,E135=0),0,IF(C135=0,"New",(E135-C135)/C135))</f>
        <v>-1</v>
      </c>
      <c r="H135" s="8" t="n">
        <f aca="false">SUMIFS('Source'!$E:$E,'Source'!$A:$A,"160450 OY. EA. AB.",'Source'!$B:$B,$A135)</f>
        <v>92.84</v>
      </c>
      <c r="I135" s="8" t="n">
        <f aca="false">SUMIFS('Source'!$G:$G,'Source'!$A:$A,"160450 OY. EA. AB.",'Source'!$B:$B,$A135)</f>
        <v>0</v>
      </c>
      <c r="J135" s="8" t="n">
        <f aca="false">I135*$J$5</f>
        <v>0</v>
      </c>
      <c r="K135" s="8" t="n">
        <f aca="false">J135-H135</f>
        <v>-92.84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464</v>
      </c>
      <c r="B136" s="7" t="str">
        <f aca="false">IFERROR(INDEX('Source'!$C:$C,MATCH($A136,'Source'!$B:$B,0)),"")</f>
        <v>מגן קרסול שחור</v>
      </c>
      <c r="C136" s="8" t="n">
        <f aca="false">SUMIFS('Source'!$D:$D,'Source'!$A:$A,"160450 OY. EA. AB.",'Source'!$B:$B,$A136)</f>
        <v>0</v>
      </c>
      <c r="D136" s="8" t="n">
        <f aca="false">SUMIFS('Source'!$F:$F,'Source'!$A:$A,"160450 OY. EA. AB.",'Source'!$B:$B,$A136)</f>
        <v>9</v>
      </c>
      <c r="E136" s="8" t="n">
        <f aca="false">D136*$J$5</f>
        <v>11.3684210526316</v>
      </c>
      <c r="F136" s="8" t="n">
        <f aca="false">E136-C136</f>
        <v>11.3684210526316</v>
      </c>
      <c r="G136" s="9" t="str">
        <f aca="false">IF(AND(C136=0,E136=0),0,IF(C136=0,"New",(E136-C136)/C136))</f>
        <v>New</v>
      </c>
      <c r="H136" s="8" t="n">
        <f aca="false">SUMIFS('Source'!$E:$E,'Source'!$A:$A,"160450 OY. EA. AB.",'Source'!$B:$B,$A136)</f>
        <v>0</v>
      </c>
      <c r="I136" s="8" t="n">
        <f aca="false">SUMIFS('Source'!$G:$G,'Source'!$A:$A,"160450 OY. EA. AB.",'Source'!$B:$B,$A136)</f>
        <v>92.8</v>
      </c>
      <c r="J136" s="8" t="n">
        <f aca="false">I136*$J$5</f>
        <v>117.221052631579</v>
      </c>
      <c r="K136" s="8" t="n">
        <f aca="false">J136-H136</f>
        <v>117.221052631579</v>
      </c>
      <c r="L136" s="9" t="str">
        <f aca="false">IF(AND(H136=0,J136=0),0,IF(H136=0,"New",(J136-H136)/H136))</f>
        <v>New</v>
      </c>
      <c r="M136" s="7" t="str">
        <f aca="false">IF(AND(OR(C136&lt;&gt;0,H136&lt;&gt;0),D136=0,I136=0),"DROP",IF(AND(OR(D136&lt;&gt;0,I136&lt;&gt;0),C136=0,H136=0),"NEW",""))</f>
        <v>NEW</v>
      </c>
    </row>
    <row r="137" customFormat="false" ht="15" hidden="false" customHeight="false" outlineLevel="0" collapsed="false">
      <c r="A137" s="7" t="s">
        <v>430</v>
      </c>
      <c r="B137" s="7" t="str">
        <f aca="false">IFERROR(INDEX('Source'!$C:$C,MATCH($A137,'Source'!$B:$B,0)),"")</f>
        <v>חגורת צלעות לאשה</v>
      </c>
      <c r="C137" s="8" t="n">
        <f aca="false">SUMIFS('Source'!$D:$D,'Source'!$A:$A,"160450 OY. EA. AB.",'Source'!$B:$B,$A137)</f>
        <v>0</v>
      </c>
      <c r="D137" s="8" t="n">
        <f aca="false">SUMIFS('Source'!$F:$F,'Source'!$A:$A,"160450 OY. EA. AB.",'Source'!$B:$B,$A137)</f>
        <v>2</v>
      </c>
      <c r="E137" s="8" t="n">
        <f aca="false">D137*$J$5</f>
        <v>2.52631578947368</v>
      </c>
      <c r="F137" s="8" t="n">
        <f aca="false">E137-C137</f>
        <v>2.52631578947368</v>
      </c>
      <c r="G137" s="9" t="str">
        <f aca="false">IF(AND(C137=0,E137=0),0,IF(C137=0,"New",(E137-C137)/C137))</f>
        <v>New</v>
      </c>
      <c r="H137" s="8" t="n">
        <f aca="false">SUMIFS('Source'!$E:$E,'Source'!$A:$A,"160450 OY. EA. AB.",'Source'!$B:$B,$A137)</f>
        <v>0</v>
      </c>
      <c r="I137" s="8" t="n">
        <f aca="false">SUMIFS('Source'!$G:$G,'Source'!$A:$A,"160450 OY. EA. AB.",'Source'!$B:$B,$A137)</f>
        <v>90.81</v>
      </c>
      <c r="J137" s="8" t="n">
        <f aca="false">I137*$J$5</f>
        <v>114.707368421053</v>
      </c>
      <c r="K137" s="8" t="n">
        <f aca="false">J137-H137</f>
        <v>114.707368421053</v>
      </c>
      <c r="L137" s="9" t="str">
        <f aca="false">IF(AND(H137=0,J137=0),0,IF(H137=0,"New",(J137-H137)/H137))</f>
        <v>New</v>
      </c>
      <c r="M137" s="7" t="str">
        <f aca="false">IF(AND(OR(C137&lt;&gt;0,H137&lt;&gt;0),D137=0,I137=0),"DROP",IF(AND(OR(D137&lt;&gt;0,I137&lt;&gt;0),C137=0,H137=0),"NEW",""))</f>
        <v>NEW</v>
      </c>
    </row>
    <row r="138" customFormat="false" ht="15" hidden="false" customHeight="false" outlineLevel="0" collapsed="false">
      <c r="A138" s="7" t="s">
        <v>400</v>
      </c>
      <c r="B138" s="7" t="str">
        <f aca="false">IFERROR(INDEX('Source'!$C:$C,MATCH($A138,'Source'!$B:$B,0)),"")</f>
        <v>חגורה אוורירית איטלקית</v>
      </c>
      <c r="C138" s="8" t="n">
        <f aca="false">SUMIFS('Source'!$D:$D,'Source'!$A:$A,"160450 OY. EA. AB.",'Source'!$B:$B,$A138)</f>
        <v>6</v>
      </c>
      <c r="D138" s="8" t="n">
        <f aca="false">SUMIFS('Source'!$F:$F,'Source'!$A:$A,"160450 OY. EA. AB.",'Source'!$B:$B,$A138)</f>
        <v>6</v>
      </c>
      <c r="E138" s="8" t="n">
        <f aca="false">D138*$J$5</f>
        <v>7.57894736842105</v>
      </c>
      <c r="F138" s="8" t="n">
        <f aca="false">E138-C138</f>
        <v>1.57894736842105</v>
      </c>
      <c r="G138" s="9" t="n">
        <f aca="false">IF(AND(C138=0,E138=0),0,IF(C138=0,"New",(E138-C138)/C138))</f>
        <v>0.263157894736842</v>
      </c>
      <c r="H138" s="8" t="n">
        <f aca="false">SUMIFS('Source'!$E:$E,'Source'!$A:$A,"160450 OY. EA. AB.",'Source'!$B:$B,$A138)</f>
        <v>751.76</v>
      </c>
      <c r="I138" s="8" t="n">
        <f aca="false">SUMIFS('Source'!$G:$G,'Source'!$A:$A,"160450 OY. EA. AB.",'Source'!$B:$B,$A138)</f>
        <v>662.6</v>
      </c>
      <c r="J138" s="8" t="n">
        <f aca="false">I138*$J$5</f>
        <v>836.968421052632</v>
      </c>
      <c r="K138" s="8" t="n">
        <f aca="false">J138-H138</f>
        <v>85.2084210526316</v>
      </c>
      <c r="L138" s="9" t="n">
        <f aca="false">IF(AND(H138=0,J138=0),0,IF(H138=0,"New",(J138-H138)/H138))</f>
        <v>0.113345244562934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761</v>
      </c>
      <c r="B139" s="7" t="str">
        <f aca="false">IFERROR(INDEX('Source'!$C:$C,MATCH($A139,'Source'!$B:$B,0)),"")</f>
        <v>תחבושת אלסטית נצמדת צבע וורוד</v>
      </c>
      <c r="C139" s="8" t="n">
        <f aca="false">SUMIFS('Source'!$D:$D,'Source'!$A:$A,"160450 OY. EA. AB.",'Source'!$B:$B,$A139)</f>
        <v>12</v>
      </c>
      <c r="D139" s="8" t="n">
        <f aca="false">SUMIFS('Source'!$F:$F,'Source'!$A:$A,"160450 OY. EA. AB.",'Source'!$B:$B,$A139)</f>
        <v>0</v>
      </c>
      <c r="E139" s="8" t="n">
        <f aca="false">D139*$J$5</f>
        <v>0</v>
      </c>
      <c r="F139" s="8" t="n">
        <f aca="false">E139-C139</f>
        <v>-12</v>
      </c>
      <c r="G139" s="9" t="n">
        <f aca="false">IF(AND(C139=0,E139=0),0,IF(C139=0,"New",(E139-C139)/C139))</f>
        <v>-1</v>
      </c>
      <c r="H139" s="8" t="n">
        <f aca="false">SUMIFS('Source'!$E:$E,'Source'!$A:$A,"160450 OY. EA. AB.",'Source'!$B:$B,$A139)</f>
        <v>85.84</v>
      </c>
      <c r="I139" s="8" t="n">
        <f aca="false">SUMIFS('Source'!$G:$G,'Source'!$A:$A,"160450 OY. EA. AB.",'Source'!$B:$B,$A139)</f>
        <v>0</v>
      </c>
      <c r="J139" s="8" t="n">
        <f aca="false">I139*$J$5</f>
        <v>0</v>
      </c>
      <c r="K139" s="8" t="n">
        <f aca="false">J139-H139</f>
        <v>-85.84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617</v>
      </c>
      <c r="B140" s="7" t="str">
        <f aca="false">IFERROR(INDEX('Source'!$C:$C,MATCH($A140,'Source'!$B:$B,0)),"")</f>
        <v>'תחבושת אלסטית נצמדת צבע בז</v>
      </c>
      <c r="C140" s="8" t="n">
        <f aca="false">SUMIFS('Source'!$D:$D,'Source'!$A:$A,"160450 OY. EA. AB.",'Source'!$B:$B,$A140)</f>
        <v>12</v>
      </c>
      <c r="D140" s="8" t="n">
        <f aca="false">SUMIFS('Source'!$F:$F,'Source'!$A:$A,"160450 OY. EA. AB.",'Source'!$B:$B,$A140)</f>
        <v>0</v>
      </c>
      <c r="E140" s="8" t="n">
        <f aca="false">D140*$J$5</f>
        <v>0</v>
      </c>
      <c r="F140" s="8" t="n">
        <f aca="false">E140-C140</f>
        <v>-12</v>
      </c>
      <c r="G140" s="9" t="n">
        <f aca="false">IF(AND(C140=0,E140=0),0,IF(C140=0,"New",(E140-C140)/C140))</f>
        <v>-1</v>
      </c>
      <c r="H140" s="8" t="n">
        <f aca="false">SUMIFS('Source'!$E:$E,'Source'!$A:$A,"160450 OY. EA. AB.",'Source'!$B:$B,$A140)</f>
        <v>85.84</v>
      </c>
      <c r="I140" s="8" t="n">
        <f aca="false">SUMIFS('Source'!$G:$G,'Source'!$A:$A,"160450 OY. EA. AB.",'Source'!$B:$B,$A140)</f>
        <v>0</v>
      </c>
      <c r="J140" s="8" t="n">
        <f aca="false">I140*$J$5</f>
        <v>0</v>
      </c>
      <c r="K140" s="8" t="n">
        <f aca="false">J140-H140</f>
        <v>-85.84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365</v>
      </c>
      <c r="B141" s="7" t="str">
        <f aca="false">IFERROR(INDEX('Source'!$C:$C,MATCH($A141,'Source'!$B:$B,0)),"")</f>
        <v>חגורת אגן  צר מנאופרן</v>
      </c>
      <c r="C141" s="8" t="n">
        <f aca="false">SUMIFS('Source'!$D:$D,'Source'!$A:$A,"160450 OY. EA. AB.",'Source'!$B:$B,$A141)</f>
        <v>0</v>
      </c>
      <c r="D141" s="8" t="n">
        <f aca="false">SUMIFS('Source'!$F:$F,'Source'!$A:$A,"160450 OY. EA. AB.",'Source'!$B:$B,$A141)</f>
        <v>2</v>
      </c>
      <c r="E141" s="8" t="n">
        <f aca="false">D141*$J$5</f>
        <v>2.52631578947368</v>
      </c>
      <c r="F141" s="8" t="n">
        <f aca="false">E141-C141</f>
        <v>2.52631578947368</v>
      </c>
      <c r="G141" s="9" t="str">
        <f aca="false">IF(AND(C141=0,E141=0),0,IF(C141=0,"New",(E141-C141)/C141))</f>
        <v>New</v>
      </c>
      <c r="H141" s="8" t="n">
        <f aca="false">SUMIFS('Source'!$E:$E,'Source'!$A:$A,"160450 OY. EA. AB.",'Source'!$B:$B,$A141)</f>
        <v>0</v>
      </c>
      <c r="I141" s="8" t="n">
        <f aca="false">SUMIFS('Source'!$G:$G,'Source'!$A:$A,"160450 OY. EA. AB.",'Source'!$B:$B,$A141)</f>
        <v>84.82</v>
      </c>
      <c r="J141" s="8" t="n">
        <f aca="false">I141*$J$5</f>
        <v>107.141052631579</v>
      </c>
      <c r="K141" s="8" t="n">
        <f aca="false">J141-H141</f>
        <v>107.141052631579</v>
      </c>
      <c r="L141" s="9" t="str">
        <f aca="false">IF(AND(H141=0,J141=0),0,IF(H141=0,"New",(J141-H141)/H141))</f>
        <v>New</v>
      </c>
      <c r="M141" s="7" t="str">
        <f aca="false">IF(AND(OR(C141&lt;&gt;0,H141&lt;&gt;0),D141=0,I141=0),"DROP",IF(AND(OR(D141&lt;&gt;0,I141&lt;&gt;0),C141=0,H141=0),"NEW",""))</f>
        <v>NEW</v>
      </c>
    </row>
    <row r="142" customFormat="false" ht="15" hidden="false" customHeight="false" outlineLevel="0" collapsed="false">
      <c r="A142" s="7" t="s">
        <v>210</v>
      </c>
      <c r="B142" s="7" t="str">
        <f aca="false">IFERROR(INDEX('Source'!$C:$C,MATCH($A142,'Source'!$B:$B,0)),"")</f>
        <v>חגורת אגן  צר מנאופרן</v>
      </c>
      <c r="C142" s="8" t="n">
        <f aca="false">SUMIFS('Source'!$D:$D,'Source'!$A:$A,"160450 OY. EA. AB.",'Source'!$B:$B,$A142)</f>
        <v>6</v>
      </c>
      <c r="D142" s="8" t="n">
        <f aca="false">SUMIFS('Source'!$F:$F,'Source'!$A:$A,"160450 OY. EA. AB.",'Source'!$B:$B,$A142)</f>
        <v>5</v>
      </c>
      <c r="E142" s="8" t="n">
        <f aca="false">D142*$J$5</f>
        <v>6.31578947368421</v>
      </c>
      <c r="F142" s="8" t="n">
        <f aca="false">E142-C142</f>
        <v>0.315789473684211</v>
      </c>
      <c r="G142" s="9" t="n">
        <f aca="false">IF(AND(C142=0,E142=0),0,IF(C142=0,"New",(E142-C142)/C142))</f>
        <v>0.0526315789473684</v>
      </c>
      <c r="H142" s="8" t="n">
        <f aca="false">SUMIFS('Source'!$E:$E,'Source'!$A:$A,"160450 OY. EA. AB.",'Source'!$B:$B,$A142)</f>
        <v>296.36</v>
      </c>
      <c r="I142" s="8" t="n">
        <f aca="false">SUMIFS('Source'!$G:$G,'Source'!$A:$A,"160450 OY. EA. AB.",'Source'!$B:$B,$A142)</f>
        <v>212.05</v>
      </c>
      <c r="J142" s="8" t="n">
        <f aca="false">I142*$J$5</f>
        <v>267.852631578947</v>
      </c>
      <c r="K142" s="8" t="n">
        <f aca="false">J142-H142</f>
        <v>-28.5073684210527</v>
      </c>
      <c r="L142" s="9" t="n">
        <f aca="false">IF(AND(H142=0,J142=0),0,IF(H142=0,"New",(J142-H142)/H142))</f>
        <v>-0.0961916872083029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676</v>
      </c>
      <c r="B143" s="7" t="str">
        <f aca="false">IFERROR(INDEX('Source'!$C:$C,MATCH($A143,'Source'!$B:$B,0)),"")</f>
        <v>מגן ברך שחור</v>
      </c>
      <c r="C143" s="8" t="n">
        <f aca="false">SUMIFS('Source'!$D:$D,'Source'!$A:$A,"160450 OY. EA. AB.",'Source'!$B:$B,$A143)</f>
        <v>15</v>
      </c>
      <c r="D143" s="8" t="n">
        <f aca="false">SUMIFS('Source'!$F:$F,'Source'!$A:$A,"160450 OY. EA. AB.",'Source'!$B:$B,$A143)</f>
        <v>10</v>
      </c>
      <c r="E143" s="8" t="n">
        <f aca="false">D143*$J$5</f>
        <v>12.6315789473684</v>
      </c>
      <c r="F143" s="8" t="n">
        <f aca="false">E143-C143</f>
        <v>-2.36842105263158</v>
      </c>
      <c r="G143" s="9" t="n">
        <f aca="false">IF(AND(C143=0,E143=0),0,IF(C143=0,"New",(E143-C143)/C143))</f>
        <v>-0.157894736842105</v>
      </c>
      <c r="H143" s="8" t="n">
        <f aca="false">SUMIFS('Source'!$E:$E,'Source'!$A:$A,"160450 OY. EA. AB.",'Source'!$B:$B,$A143)</f>
        <v>187.77</v>
      </c>
      <c r="I143" s="8" t="n">
        <f aca="false">SUMIFS('Source'!$G:$G,'Source'!$A:$A,"160450 OY. EA. AB.",'Source'!$B:$B,$A143)</f>
        <v>104.78</v>
      </c>
      <c r="J143" s="8" t="n">
        <f aca="false">I143*$J$5</f>
        <v>132.353684210526</v>
      </c>
      <c r="K143" s="8" t="n">
        <f aca="false">J143-H143</f>
        <v>-55.4163157894737</v>
      </c>
      <c r="L143" s="9" t="n">
        <f aca="false">IF(AND(H143=0,J143=0),0,IF(H143=0,"New",(J143-H143)/H143))</f>
        <v>-0.295128698884133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482</v>
      </c>
      <c r="B144" s="7" t="str">
        <f aca="false">IFERROR(INDEX('Source'!$C:$C,MATCH($A144,'Source'!$B:$B,0)),"")</f>
        <v>ח.בטן 25 ס'מ</v>
      </c>
      <c r="C144" s="8" t="n">
        <f aca="false">SUMIFS('Source'!$D:$D,'Source'!$A:$A,"160450 OY. EA. AB.",'Source'!$B:$B,$A144)</f>
        <v>0</v>
      </c>
      <c r="D144" s="8" t="n">
        <f aca="false">SUMIFS('Source'!$F:$F,'Source'!$A:$A,"160450 OY. EA. AB.",'Source'!$B:$B,$A144)</f>
        <v>2</v>
      </c>
      <c r="E144" s="8" t="n">
        <f aca="false">D144*$J$5</f>
        <v>2.52631578947368</v>
      </c>
      <c r="F144" s="8" t="n">
        <f aca="false">E144-C144</f>
        <v>2.52631578947368</v>
      </c>
      <c r="G144" s="9" t="str">
        <f aca="false">IF(AND(C144=0,E144=0),0,IF(C144=0,"New",(E144-C144)/C144))</f>
        <v>New</v>
      </c>
      <c r="H144" s="8" t="n">
        <f aca="false">SUMIFS('Source'!$E:$E,'Source'!$A:$A,"160450 OY. EA. AB.",'Source'!$B:$B,$A144)</f>
        <v>0</v>
      </c>
      <c r="I144" s="8" t="n">
        <f aca="false">SUMIFS('Source'!$G:$G,'Source'!$A:$A,"160450 OY. EA. AB.",'Source'!$B:$B,$A144)</f>
        <v>82.49</v>
      </c>
      <c r="J144" s="8" t="n">
        <f aca="false">I144*$J$5</f>
        <v>104.197894736842</v>
      </c>
      <c r="K144" s="8" t="n">
        <f aca="false">J144-H144</f>
        <v>104.197894736842</v>
      </c>
      <c r="L144" s="9" t="str">
        <f aca="false">IF(AND(H144=0,J144=0),0,IF(H144=0,"New",(J144-H144)/H144))</f>
        <v>New</v>
      </c>
      <c r="M144" s="7" t="str">
        <f aca="false">IF(AND(OR(C144&lt;&gt;0,H144&lt;&gt;0),D144=0,I144=0),"DROP",IF(AND(OR(D144&lt;&gt;0,I144&lt;&gt;0),C144=0,H144=0),"NEW",""))</f>
        <v>NEW</v>
      </c>
    </row>
    <row r="145" customFormat="false" ht="15" hidden="false" customHeight="false" outlineLevel="0" collapsed="false">
      <c r="A145" s="7" t="s">
        <v>351</v>
      </c>
      <c r="B145" s="7" t="str">
        <f aca="false">IFERROR(INDEX('Source'!$C:$C,MATCH($A145,'Source'!$B:$B,0)),"")</f>
        <v>מגן לכתף ימין/שמאל</v>
      </c>
      <c r="C145" s="8" t="n">
        <f aca="false">SUMIFS('Source'!$D:$D,'Source'!$A:$A,"160450 OY. EA. AB.",'Source'!$B:$B,$A145)</f>
        <v>4</v>
      </c>
      <c r="D145" s="8" t="n">
        <f aca="false">SUMIFS('Source'!$F:$F,'Source'!$A:$A,"160450 OY. EA. AB.",'Source'!$B:$B,$A145)</f>
        <v>6</v>
      </c>
      <c r="E145" s="8" t="n">
        <f aca="false">D145*$J$5</f>
        <v>7.57894736842105</v>
      </c>
      <c r="F145" s="8" t="n">
        <f aca="false">E145-C145</f>
        <v>3.57894736842105</v>
      </c>
      <c r="G145" s="9" t="n">
        <f aca="false">IF(AND(C145=0,E145=0),0,IF(C145=0,"New",(E145-C145)/C145))</f>
        <v>0.894736842105263</v>
      </c>
      <c r="H145" s="8" t="n">
        <f aca="false">SUMIFS('Source'!$E:$E,'Source'!$A:$A,"160450 OY. EA. AB.",'Source'!$B:$B,$A145)</f>
        <v>321.1</v>
      </c>
      <c r="I145" s="8" t="n">
        <f aca="false">SUMIFS('Source'!$G:$G,'Source'!$A:$A,"160450 OY. EA. AB.",'Source'!$B:$B,$A145)</f>
        <v>403.15</v>
      </c>
      <c r="J145" s="8" t="n">
        <f aca="false">I145*$J$5</f>
        <v>509.242105263158</v>
      </c>
      <c r="K145" s="8" t="n">
        <f aca="false">J145-H145</f>
        <v>188.142105263158</v>
      </c>
      <c r="L145" s="9" t="n">
        <f aca="false">IF(AND(H145=0,J145=0),0,IF(H145=0,"New",(J145-H145)/H145))</f>
        <v>0.585929944762248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462</v>
      </c>
      <c r="B146" s="7" t="str">
        <f aca="false">IFERROR(INDEX('Source'!$C:$C,MATCH($A146,'Source'!$B:$B,0)),"")</f>
        <v>מגן לכתף ימין/שמאל</v>
      </c>
      <c r="C146" s="8" t="n">
        <f aca="false">SUMIFS('Source'!$D:$D,'Source'!$A:$A,"160450 OY. EA. AB.",'Source'!$B:$B,$A146)</f>
        <v>4</v>
      </c>
      <c r="D146" s="8" t="n">
        <f aca="false">SUMIFS('Source'!$F:$F,'Source'!$A:$A,"160450 OY. EA. AB.",'Source'!$B:$B,$A146)</f>
        <v>6</v>
      </c>
      <c r="E146" s="8" t="n">
        <f aca="false">D146*$J$5</f>
        <v>7.57894736842105</v>
      </c>
      <c r="F146" s="8" t="n">
        <f aca="false">E146-C146</f>
        <v>3.57894736842105</v>
      </c>
      <c r="G146" s="9" t="n">
        <f aca="false">IF(AND(C146=0,E146=0),0,IF(C146=0,"New",(E146-C146)/C146))</f>
        <v>0.894736842105263</v>
      </c>
      <c r="H146" s="8" t="n">
        <f aca="false">SUMIFS('Source'!$E:$E,'Source'!$A:$A,"160450 OY. EA. AB.",'Source'!$B:$B,$A146)</f>
        <v>321.1</v>
      </c>
      <c r="I146" s="8" t="n">
        <f aca="false">SUMIFS('Source'!$G:$G,'Source'!$A:$A,"160450 OY. EA. AB.",'Source'!$B:$B,$A146)</f>
        <v>403.15</v>
      </c>
      <c r="J146" s="8" t="n">
        <f aca="false">I146*$J$5</f>
        <v>509.242105263158</v>
      </c>
      <c r="K146" s="8" t="n">
        <f aca="false">J146-H146</f>
        <v>188.142105263158</v>
      </c>
      <c r="L146" s="9" t="n">
        <f aca="false">IF(AND(H146=0,J146=0),0,IF(H146=0,"New",(J146-H146)/H146))</f>
        <v>0.585929944762248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316</v>
      </c>
      <c r="B147" s="7" t="str">
        <f aca="false">IFERROR(INDEX('Source'!$C:$C,MATCH($A147,'Source'!$B:$B,0)),"")</f>
        <v>סד יד דו צדדי</v>
      </c>
      <c r="C147" s="8" t="n">
        <f aca="false">SUMIFS('Source'!$D:$D,'Source'!$A:$A,"160450 OY. EA. AB.",'Source'!$B:$B,$A147)</f>
        <v>0</v>
      </c>
      <c r="D147" s="8" t="n">
        <f aca="false">SUMIFS('Source'!$F:$F,'Source'!$A:$A,"160450 OY. EA. AB.",'Source'!$B:$B,$A147)</f>
        <v>2</v>
      </c>
      <c r="E147" s="8" t="n">
        <f aca="false">D147*$J$5</f>
        <v>2.52631578947368</v>
      </c>
      <c r="F147" s="8" t="n">
        <f aca="false">E147-C147</f>
        <v>2.52631578947368</v>
      </c>
      <c r="G147" s="9" t="str">
        <f aca="false">IF(AND(C147=0,E147=0),0,IF(C147=0,"New",(E147-C147)/C147))</f>
        <v>New</v>
      </c>
      <c r="H147" s="8" t="n">
        <f aca="false">SUMIFS('Source'!$E:$E,'Source'!$A:$A,"160450 OY. EA. AB.",'Source'!$B:$B,$A147)</f>
        <v>0</v>
      </c>
      <c r="I147" s="8" t="n">
        <f aca="false">SUMIFS('Source'!$G:$G,'Source'!$A:$A,"160450 OY. EA. AB.",'Source'!$B:$B,$A147)</f>
        <v>81.83</v>
      </c>
      <c r="J147" s="8" t="n">
        <f aca="false">I147*$J$5</f>
        <v>103.364210526316</v>
      </c>
      <c r="K147" s="8" t="n">
        <f aca="false">J147-H147</f>
        <v>103.364210526316</v>
      </c>
      <c r="L147" s="9" t="str">
        <f aca="false">IF(AND(H147=0,J147=0),0,IF(H147=0,"New",(J147-H147)/H147))</f>
        <v>New</v>
      </c>
      <c r="M147" s="7" t="str">
        <f aca="false">IF(AND(OR(C147&lt;&gt;0,H147&lt;&gt;0),D147=0,I147=0),"DROP",IF(AND(OR(D147&lt;&gt;0,I147&lt;&gt;0),C147=0,H147=0),"NEW",""))</f>
        <v>NEW</v>
      </c>
    </row>
    <row r="148" customFormat="false" ht="15" hidden="false" customHeight="false" outlineLevel="0" collapsed="false">
      <c r="A148" s="7" t="s">
        <v>367</v>
      </c>
      <c r="B148" s="7" t="str">
        <f aca="false">IFERROR(INDEX('Source'!$C:$C,MATCH($A148,'Source'!$B:$B,0)),"")</f>
        <v>אצבעון מסיליקון</v>
      </c>
      <c r="C148" s="8" t="n">
        <f aca="false">SUMIFS('Source'!$D:$D,'Source'!$A:$A,"160450 OY. EA. AB.",'Source'!$B:$B,$A148)</f>
        <v>10</v>
      </c>
      <c r="D148" s="8" t="n">
        <f aca="false">SUMIFS('Source'!$F:$F,'Source'!$A:$A,"160450 OY. EA. AB.",'Source'!$B:$B,$A148)</f>
        <v>20</v>
      </c>
      <c r="E148" s="8" t="n">
        <f aca="false">D148*$J$5</f>
        <v>25.2631578947368</v>
      </c>
      <c r="F148" s="8" t="n">
        <f aca="false">E148-C148</f>
        <v>15.2631578947368</v>
      </c>
      <c r="G148" s="9" t="n">
        <f aca="false">IF(AND(C148=0,E148=0),0,IF(C148=0,"New",(E148-C148)/C148))</f>
        <v>1.52631578947368</v>
      </c>
      <c r="H148" s="8" t="n">
        <f aca="false">SUMIFS('Source'!$E:$E,'Source'!$A:$A,"160450 OY. EA. AB.",'Source'!$B:$B,$A148)</f>
        <v>119.22</v>
      </c>
      <c r="I148" s="8" t="n">
        <f aca="false">SUMIFS('Source'!$G:$G,'Source'!$A:$A,"160450 OY. EA. AB.",'Source'!$B:$B,$A148)</f>
        <v>199.58</v>
      </c>
      <c r="J148" s="8" t="n">
        <f aca="false">I148*$J$5</f>
        <v>252.101052631579</v>
      </c>
      <c r="K148" s="8" t="n">
        <f aca="false">J148-H148</f>
        <v>132.881052631579</v>
      </c>
      <c r="L148" s="9" t="n">
        <f aca="false">IF(AND(H148=0,J148=0),0,IF(H148=0,"New",(J148-H148)/H148))</f>
        <v>1.11458692024475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786</v>
      </c>
      <c r="B149" s="7" t="str">
        <f aca="false">IFERROR(INDEX('Source'!$C:$C,MATCH($A149,'Source'!$B:$B,0)),"")</f>
        <v>מתלה</v>
      </c>
      <c r="C149" s="8" t="n">
        <f aca="false">SUMIFS('Source'!$D:$D,'Source'!$A:$A,"160450 OY. EA. AB.",'Source'!$B:$B,$A149)</f>
        <v>0</v>
      </c>
      <c r="D149" s="8" t="n">
        <f aca="false">SUMIFS('Source'!$F:$F,'Source'!$A:$A,"160450 OY. EA. AB.",'Source'!$B:$B,$A149)</f>
        <v>2</v>
      </c>
      <c r="E149" s="8" t="n">
        <f aca="false">D149*$J$5</f>
        <v>2.52631578947368</v>
      </c>
      <c r="F149" s="8" t="n">
        <f aca="false">E149-C149</f>
        <v>2.52631578947368</v>
      </c>
      <c r="G149" s="9" t="str">
        <f aca="false">IF(AND(C149=0,E149=0),0,IF(C149=0,"New",(E149-C149)/C149))</f>
        <v>New</v>
      </c>
      <c r="H149" s="8" t="n">
        <f aca="false">SUMIFS('Source'!$E:$E,'Source'!$A:$A,"160450 OY. EA. AB.",'Source'!$B:$B,$A149)</f>
        <v>0</v>
      </c>
      <c r="I149" s="8" t="n">
        <f aca="false">SUMIFS('Source'!$G:$G,'Source'!$A:$A,"160450 OY. EA. AB.",'Source'!$B:$B,$A149)</f>
        <v>79.83</v>
      </c>
      <c r="J149" s="8" t="n">
        <f aca="false">I149*$J$5</f>
        <v>100.837894736842</v>
      </c>
      <c r="K149" s="8" t="n">
        <f aca="false">J149-H149</f>
        <v>100.837894736842</v>
      </c>
      <c r="L149" s="9" t="str">
        <f aca="false">IF(AND(H149=0,J149=0),0,IF(H149=0,"New",(J149-H149)/H149))</f>
        <v>New</v>
      </c>
      <c r="M149" s="7" t="str">
        <f aca="false">IF(AND(OR(C149&lt;&gt;0,H149&lt;&gt;0),D149=0,I149=0),"DROP",IF(AND(OR(D149&lt;&gt;0,I149&lt;&gt;0),C149=0,H149=0),"NEW",""))</f>
        <v>NEW</v>
      </c>
    </row>
    <row r="150" customFormat="false" ht="15" hidden="false" customHeight="false" outlineLevel="0" collapsed="false">
      <c r="A150" s="7" t="s">
        <v>610</v>
      </c>
      <c r="B150" s="7" t="str">
        <f aca="false">IFERROR(INDEX('Source'!$C:$C,MATCH($A150,'Source'!$B:$B,0)),"")</f>
        <v>מתלה</v>
      </c>
      <c r="C150" s="8" t="n">
        <f aca="false">SUMIFS('Source'!$D:$D,'Source'!$A:$A,"160450 OY. EA. AB.",'Source'!$B:$B,$A150)</f>
        <v>0</v>
      </c>
      <c r="D150" s="8" t="n">
        <f aca="false">SUMIFS('Source'!$F:$F,'Source'!$A:$A,"160450 OY. EA. AB.",'Source'!$B:$B,$A150)</f>
        <v>2</v>
      </c>
      <c r="E150" s="8" t="n">
        <f aca="false">D150*$J$5</f>
        <v>2.52631578947368</v>
      </c>
      <c r="F150" s="8" t="n">
        <f aca="false">E150-C150</f>
        <v>2.52631578947368</v>
      </c>
      <c r="G150" s="9" t="str">
        <f aca="false">IF(AND(C150=0,E150=0),0,IF(C150=0,"New",(E150-C150)/C150))</f>
        <v>New</v>
      </c>
      <c r="H150" s="8" t="n">
        <f aca="false">SUMIFS('Source'!$E:$E,'Source'!$A:$A,"160450 OY. EA. AB.",'Source'!$B:$B,$A150)</f>
        <v>0</v>
      </c>
      <c r="I150" s="8" t="n">
        <f aca="false">SUMIFS('Source'!$G:$G,'Source'!$A:$A,"160450 OY. EA. AB.",'Source'!$B:$B,$A150)</f>
        <v>79.83</v>
      </c>
      <c r="J150" s="8" t="n">
        <f aca="false">I150*$J$5</f>
        <v>100.837894736842</v>
      </c>
      <c r="K150" s="8" t="n">
        <f aca="false">J150-H150</f>
        <v>100.837894736842</v>
      </c>
      <c r="L150" s="9" t="str">
        <f aca="false">IF(AND(H150=0,J150=0),0,IF(H150=0,"New",(J150-H150)/H150))</f>
        <v>New</v>
      </c>
      <c r="M150" s="7" t="str">
        <f aca="false">IF(AND(OR(C150&lt;&gt;0,H150&lt;&gt;0),D150=0,I150=0),"DROP",IF(AND(OR(D150&lt;&gt;0,I150&lt;&gt;0),C150=0,H150=0),"NEW",""))</f>
        <v>NEW</v>
      </c>
    </row>
    <row r="151" customFormat="false" ht="15" hidden="false" customHeight="false" outlineLevel="0" collapsed="false">
      <c r="A151" s="7" t="s">
        <v>504</v>
      </c>
      <c r="B151" s="7" t="str">
        <f aca="false">IFERROR(INDEX('Source'!$C:$C,MATCH($A151,'Source'!$B:$B,0)),"")</f>
        <v>מדבקה רב פעמית ל</v>
      </c>
      <c r="C151" s="8" t="n">
        <f aca="false">SUMIFS('Source'!$D:$D,'Source'!$A:$A,"160450 OY. EA. AB.",'Source'!$B:$B,$A151)</f>
        <v>10</v>
      </c>
      <c r="D151" s="8" t="n">
        <f aca="false">SUMIFS('Source'!$F:$F,'Source'!$A:$A,"160450 OY. EA. AB.",'Source'!$B:$B,$A151)</f>
        <v>0</v>
      </c>
      <c r="E151" s="8" t="n">
        <f aca="false">D151*$J$5</f>
        <v>0</v>
      </c>
      <c r="F151" s="8" t="n">
        <f aca="false">E151-C151</f>
        <v>-10</v>
      </c>
      <c r="G151" s="9" t="n">
        <f aca="false">IF(AND(C151=0,E151=0),0,IF(C151=0,"New",(E151-C151)/C151))</f>
        <v>-1</v>
      </c>
      <c r="H151" s="8" t="n">
        <f aca="false">SUMIFS('Source'!$E:$E,'Source'!$A:$A,"160450 OY. EA. AB.",'Source'!$B:$B,$A151)</f>
        <v>79.25</v>
      </c>
      <c r="I151" s="8" t="n">
        <f aca="false">SUMIFS('Source'!$G:$G,'Source'!$A:$A,"160450 OY. EA. AB.",'Source'!$B:$B,$A151)</f>
        <v>0</v>
      </c>
      <c r="J151" s="8" t="n">
        <f aca="false">I151*$J$5</f>
        <v>0</v>
      </c>
      <c r="K151" s="8" t="n">
        <f aca="false">J151-H151</f>
        <v>-79.25</v>
      </c>
      <c r="L151" s="9" t="n">
        <f aca="false">IF(AND(H151=0,J151=0),0,IF(H151=0,"New",(J151-H151)/H151))</f>
        <v>-1</v>
      </c>
      <c r="M151" s="7" t="str">
        <f aca="false">IF(AND(OR(C151&lt;&gt;0,H151&lt;&gt;0),D151=0,I151=0),"DROP",IF(AND(OR(D151&lt;&gt;0,I151&lt;&gt;0),C151=0,H151=0),"NEW",""))</f>
        <v>DROP</v>
      </c>
    </row>
    <row r="152" customFormat="false" ht="15" hidden="false" customHeight="false" outlineLevel="0" collapsed="false">
      <c r="A152" s="7" t="s">
        <v>220</v>
      </c>
      <c r="B152" s="7" t="str">
        <f aca="false">IFERROR(INDEX('Source'!$C:$C,MATCH($A152,'Source'!$B:$B,0)),"")</f>
        <v>חגורת היריון</v>
      </c>
      <c r="C152" s="8" t="n">
        <f aca="false">SUMIFS('Source'!$D:$D,'Source'!$A:$A,"160450 OY. EA. AB.",'Source'!$B:$B,$A152)</f>
        <v>5</v>
      </c>
      <c r="D152" s="8" t="n">
        <f aca="false">SUMIFS('Source'!$F:$F,'Source'!$A:$A,"160450 OY. EA. AB.",'Source'!$B:$B,$A152)</f>
        <v>4</v>
      </c>
      <c r="E152" s="8" t="n">
        <f aca="false">D152*$J$5</f>
        <v>5.05263157894737</v>
      </c>
      <c r="F152" s="8" t="n">
        <f aca="false">E152-C152</f>
        <v>0.0526315789473681</v>
      </c>
      <c r="G152" s="9" t="n">
        <f aca="false">IF(AND(C152=0,E152=0),0,IF(C152=0,"New",(E152-C152)/C152))</f>
        <v>0.0105263157894736</v>
      </c>
      <c r="H152" s="8" t="n">
        <f aca="false">SUMIFS('Source'!$E:$E,'Source'!$A:$A,"160450 OY. EA. AB.",'Source'!$B:$B,$A152)</f>
        <v>247.61</v>
      </c>
      <c r="I152" s="8" t="n">
        <f aca="false">SUMIFS('Source'!$G:$G,'Source'!$A:$A,"160450 OY. EA. AB.",'Source'!$B:$B,$A152)</f>
        <v>170.97</v>
      </c>
      <c r="J152" s="8" t="n">
        <f aca="false">I152*$J$5</f>
        <v>215.962105263158</v>
      </c>
      <c r="K152" s="8" t="n">
        <f aca="false">J152-H152</f>
        <v>-31.6478947368421</v>
      </c>
      <c r="L152" s="9" t="n">
        <f aca="false">IF(AND(H152=0,J152=0),0,IF(H152=0,"New",(J152-H152)/H152))</f>
        <v>-0.127813475775785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695</v>
      </c>
      <c r="B153" s="7" t="str">
        <f aca="false">IFERROR(INDEX('Source'!$C:$C,MATCH($A153,'Source'!$B:$B,0)),"")</f>
        <v>צוארון פלסטי מתכוונן</v>
      </c>
      <c r="C153" s="8" t="n">
        <f aca="false">SUMIFS('Source'!$D:$D,'Source'!$A:$A,"160450 OY. EA. AB.",'Source'!$B:$B,$A153)</f>
        <v>0</v>
      </c>
      <c r="D153" s="8" t="n">
        <f aca="false">SUMIFS('Source'!$F:$F,'Source'!$A:$A,"160450 OY. EA. AB.",'Source'!$B:$B,$A153)</f>
        <v>3</v>
      </c>
      <c r="E153" s="8" t="n">
        <f aca="false">D153*$J$5</f>
        <v>3.78947368421053</v>
      </c>
      <c r="F153" s="8" t="n">
        <f aca="false">E153-C153</f>
        <v>3.78947368421053</v>
      </c>
      <c r="G153" s="9" t="str">
        <f aca="false">IF(AND(C153=0,E153=0),0,IF(C153=0,"New",(E153-C153)/C153))</f>
        <v>New</v>
      </c>
      <c r="H153" s="8" t="n">
        <f aca="false">SUMIFS('Source'!$E:$E,'Source'!$A:$A,"160450 OY. EA. AB.",'Source'!$B:$B,$A153)</f>
        <v>0</v>
      </c>
      <c r="I153" s="8" t="n">
        <f aca="false">SUMIFS('Source'!$G:$G,'Source'!$A:$A,"160450 OY. EA. AB.",'Source'!$B:$B,$A153)</f>
        <v>74.84</v>
      </c>
      <c r="J153" s="8" t="n">
        <f aca="false">I153*$J$5</f>
        <v>94.5347368421053</v>
      </c>
      <c r="K153" s="8" t="n">
        <f aca="false">J153-H153</f>
        <v>94.5347368421053</v>
      </c>
      <c r="L153" s="9" t="str">
        <f aca="false">IF(AND(H153=0,J153=0),0,IF(H153=0,"New",(J153-H153)/H153))</f>
        <v>New</v>
      </c>
      <c r="M153" s="7" t="str">
        <f aca="false">IF(AND(OR(C153&lt;&gt;0,H153&lt;&gt;0),D153=0,I153=0),"DROP",IF(AND(OR(D153&lt;&gt;0,I153&lt;&gt;0),C153=0,H153=0),"NEW",""))</f>
        <v>NEW</v>
      </c>
    </row>
    <row r="154" customFormat="false" ht="15" hidden="false" customHeight="false" outlineLevel="0" collapsed="false">
      <c r="A154" s="7" t="s">
        <v>693</v>
      </c>
      <c r="B154" s="7" t="str">
        <f aca="false">IFERROR(INDEX('Source'!$C:$C,MATCH($A154,'Source'!$B:$B,0)),"")</f>
        <v>מתלה יד-כיס</v>
      </c>
      <c r="C154" s="8" t="n">
        <f aca="false">SUMIFS('Source'!$D:$D,'Source'!$A:$A,"160450 OY. EA. AB.",'Source'!$B:$B,$A154)</f>
        <v>0</v>
      </c>
      <c r="D154" s="8" t="n">
        <f aca="false">SUMIFS('Source'!$F:$F,'Source'!$A:$A,"160450 OY. EA. AB.",'Source'!$B:$B,$A154)</f>
        <v>4</v>
      </c>
      <c r="E154" s="8" t="n">
        <f aca="false">D154*$J$5</f>
        <v>5.05263157894737</v>
      </c>
      <c r="F154" s="8" t="n">
        <f aca="false">E154-C154</f>
        <v>5.05263157894737</v>
      </c>
      <c r="G154" s="9" t="str">
        <f aca="false">IF(AND(C154=0,E154=0),0,IF(C154=0,"New",(E154-C154)/C154))</f>
        <v>New</v>
      </c>
      <c r="H154" s="8" t="n">
        <f aca="false">SUMIFS('Source'!$E:$E,'Source'!$A:$A,"160450 OY. EA. AB.",'Source'!$B:$B,$A154)</f>
        <v>0</v>
      </c>
      <c r="I154" s="8" t="n">
        <f aca="false">SUMIFS('Source'!$G:$G,'Source'!$A:$A,"160450 OY. EA. AB.",'Source'!$B:$B,$A154)</f>
        <v>73.18</v>
      </c>
      <c r="J154" s="8" t="n">
        <f aca="false">I154*$J$5</f>
        <v>92.4378947368421</v>
      </c>
      <c r="K154" s="8" t="n">
        <f aca="false">J154-H154</f>
        <v>92.4378947368421</v>
      </c>
      <c r="L154" s="9" t="str">
        <f aca="false">IF(AND(H154=0,J154=0),0,IF(H154=0,"New",(J154-H154)/H154))</f>
        <v>New</v>
      </c>
      <c r="M154" s="7" t="str">
        <f aca="false">IF(AND(OR(C154&lt;&gt;0,H154&lt;&gt;0),D154=0,I154=0),"DROP",IF(AND(OR(D154&lt;&gt;0,I154&lt;&gt;0),C154=0,H154=0),"NEW",""))</f>
        <v>NEW</v>
      </c>
    </row>
    <row r="155" customFormat="false" ht="15" hidden="false" customHeight="false" outlineLevel="0" collapsed="false">
      <c r="A155" s="7" t="s">
        <v>784</v>
      </c>
      <c r="B155" s="7" t="str">
        <f aca="false">IFERROR(INDEX('Source'!$C:$C,MATCH($A155,'Source'!$B:$B,0)),"")</f>
        <v>מתלה</v>
      </c>
      <c r="C155" s="8" t="n">
        <f aca="false">SUMIFS('Source'!$D:$D,'Source'!$A:$A,"160450 OY. EA. AB.",'Source'!$B:$B,$A155)</f>
        <v>4</v>
      </c>
      <c r="D155" s="8" t="n">
        <f aca="false">SUMIFS('Source'!$F:$F,'Source'!$A:$A,"160450 OY. EA. AB.",'Source'!$B:$B,$A155)</f>
        <v>3</v>
      </c>
      <c r="E155" s="8" t="n">
        <f aca="false">D155*$J$5</f>
        <v>3.78947368421053</v>
      </c>
      <c r="F155" s="8" t="n">
        <f aca="false">E155-C155</f>
        <v>-0.210526315789474</v>
      </c>
      <c r="G155" s="9" t="n">
        <f aca="false">IF(AND(C155=0,E155=0),0,IF(C155=0,"New",(E155-C155)/C155))</f>
        <v>-0.0526315789473685</v>
      </c>
      <c r="H155" s="8" t="n">
        <f aca="false">SUMIFS('Source'!$E:$E,'Source'!$A:$A,"160450 OY. EA. AB.",'Source'!$B:$B,$A155)</f>
        <v>190.75</v>
      </c>
      <c r="I155" s="8" t="n">
        <f aca="false">SUMIFS('Source'!$G:$G,'Source'!$A:$A,"160450 OY. EA. AB.",'Source'!$B:$B,$A155)</f>
        <v>119.75</v>
      </c>
      <c r="J155" s="8" t="n">
        <f aca="false">I155*$J$5</f>
        <v>151.263157894737</v>
      </c>
      <c r="K155" s="8" t="n">
        <f aca="false">J155-H155</f>
        <v>-39.4868421052632</v>
      </c>
      <c r="L155" s="9" t="n">
        <f aca="false">IF(AND(H155=0,J155=0),0,IF(H155=0,"New",(J155-H155)/H155))</f>
        <v>-0.20700834655446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409</v>
      </c>
      <c r="B156" s="7" t="str">
        <f aca="false">IFERROR(INDEX('Source'!$C:$C,MATCH($A156,'Source'!$B:$B,0)),"")</f>
        <v>רפידת זיכרון 376</v>
      </c>
      <c r="C156" s="8" t="n">
        <f aca="false">SUMIFS('Source'!$D:$D,'Source'!$A:$A,"160450 OY. EA. AB.",'Source'!$B:$B,$A156)</f>
        <v>8</v>
      </c>
      <c r="D156" s="8" t="n">
        <f aca="false">SUMIFS('Source'!$F:$F,'Source'!$A:$A,"160450 OY. EA. AB.",'Source'!$B:$B,$A156)</f>
        <v>4</v>
      </c>
      <c r="E156" s="8" t="n">
        <f aca="false">D156*$J$5</f>
        <v>5.05263157894737</v>
      </c>
      <c r="F156" s="8" t="n">
        <f aca="false">E156-C156</f>
        <v>-2.94736842105263</v>
      </c>
      <c r="G156" s="9" t="n">
        <f aca="false">IF(AND(C156=0,E156=0),0,IF(C156=0,"New",(E156-C156)/C156))</f>
        <v>-0.368421052631579</v>
      </c>
      <c r="H156" s="8" t="n">
        <f aca="false">SUMIFS('Source'!$E:$E,'Source'!$A:$A,"160450 OY. EA. AB.",'Source'!$B:$B,$A156)</f>
        <v>126.8</v>
      </c>
      <c r="I156" s="8" t="n">
        <f aca="false">SUMIFS('Source'!$G:$G,'Source'!$A:$A,"160450 OY. EA. AB.",'Source'!$B:$B,$A156)</f>
        <v>55.88</v>
      </c>
      <c r="J156" s="8" t="n">
        <f aca="false">I156*$J$5</f>
        <v>70.5852631578947</v>
      </c>
      <c r="K156" s="8" t="n">
        <f aca="false">J156-H156</f>
        <v>-56.2147368421053</v>
      </c>
      <c r="L156" s="9" t="n">
        <f aca="false">IF(AND(H156=0,J156=0),0,IF(H156=0,"New",(J156-H156)/H156))</f>
        <v>-0.443333886767392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794</v>
      </c>
      <c r="B157" s="7" t="str">
        <f aca="false">IFERROR(INDEX('Source'!$C:$C,MATCH($A157,'Source'!$B:$B,0)),"")</f>
        <v>חגורת היריון</v>
      </c>
      <c r="C157" s="8" t="n">
        <f aca="false">SUMIFS('Source'!$D:$D,'Source'!$A:$A,"160450 OY. EA. AB.",'Source'!$B:$B,$A157)</f>
        <v>2</v>
      </c>
      <c r="D157" s="8" t="n">
        <f aca="false">SUMIFS('Source'!$F:$F,'Source'!$A:$A,"160450 OY. EA. AB.",'Source'!$B:$B,$A157)</f>
        <v>4</v>
      </c>
      <c r="E157" s="8" t="n">
        <f aca="false">D157*$J$5</f>
        <v>5.05263157894737</v>
      </c>
      <c r="F157" s="8" t="n">
        <f aca="false">E157-C157</f>
        <v>3.05263157894737</v>
      </c>
      <c r="G157" s="9" t="n">
        <f aca="false">IF(AND(C157=0,E157=0),0,IF(C157=0,"New",(E157-C157)/C157))</f>
        <v>1.52631578947368</v>
      </c>
      <c r="H157" s="8" t="n">
        <f aca="false">SUMIFS('Source'!$E:$E,'Source'!$A:$A,"160450 OY. EA. AB.",'Source'!$B:$B,$A157)</f>
        <v>102.13</v>
      </c>
      <c r="I157" s="8" t="n">
        <f aca="false">SUMIFS('Source'!$G:$G,'Source'!$A:$A,"160450 OY. EA. AB.",'Source'!$B:$B,$A157)</f>
        <v>170.97</v>
      </c>
      <c r="J157" s="8" t="n">
        <f aca="false">I157*$J$5</f>
        <v>215.962105263158</v>
      </c>
      <c r="K157" s="8" t="n">
        <f aca="false">J157-H157</f>
        <v>113.832105263158</v>
      </c>
      <c r="L157" s="9" t="n">
        <f aca="false">IF(AND(H157=0,J157=0),0,IF(H157=0,"New",(J157-H157)/H157))</f>
        <v>1.11458048823223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595</v>
      </c>
      <c r="B158" s="7" t="str">
        <f aca="false">IFERROR(INDEX('Source'!$C:$C,MATCH($A158,'Source'!$B:$B,0)),"")</f>
        <v>מתלה יד-כיס</v>
      </c>
      <c r="C158" s="8" t="n">
        <f aca="false">SUMIFS('Source'!$D:$D,'Source'!$A:$A,"160450 OY. EA. AB.",'Source'!$B:$B,$A158)</f>
        <v>0</v>
      </c>
      <c r="D158" s="8" t="n">
        <f aca="false">SUMIFS('Source'!$F:$F,'Source'!$A:$A,"160450 OY. EA. AB.",'Source'!$B:$B,$A158)</f>
        <v>3</v>
      </c>
      <c r="E158" s="8" t="n">
        <f aca="false">D158*$J$5</f>
        <v>3.78947368421053</v>
      </c>
      <c r="F158" s="8" t="n">
        <f aca="false">E158-C158</f>
        <v>3.78947368421053</v>
      </c>
      <c r="G158" s="9" t="str">
        <f aca="false">IF(AND(C158=0,E158=0),0,IF(C158=0,"New",(E158-C158)/C158))</f>
        <v>New</v>
      </c>
      <c r="H158" s="8" t="n">
        <f aca="false">SUMIFS('Source'!$E:$E,'Source'!$A:$A,"160450 OY. EA. AB.",'Source'!$B:$B,$A158)</f>
        <v>0</v>
      </c>
      <c r="I158" s="8" t="n">
        <f aca="false">SUMIFS('Source'!$G:$G,'Source'!$A:$A,"160450 OY. EA. AB.",'Source'!$B:$B,$A158)</f>
        <v>54.88</v>
      </c>
      <c r="J158" s="8" t="n">
        <f aca="false">I158*$J$5</f>
        <v>69.3221052631579</v>
      </c>
      <c r="K158" s="8" t="n">
        <f aca="false">J158-H158</f>
        <v>69.3221052631579</v>
      </c>
      <c r="L158" s="9" t="str">
        <f aca="false">IF(AND(H158=0,J158=0),0,IF(H158=0,"New",(J158-H158)/H158))</f>
        <v>New</v>
      </c>
      <c r="M158" s="7" t="str">
        <f aca="false">IF(AND(OR(C158&lt;&gt;0,H158&lt;&gt;0),D158=0,I158=0),"DROP",IF(AND(OR(D158&lt;&gt;0,I158&lt;&gt;0),C158=0,H158=0),"NEW",""))</f>
        <v>NEW</v>
      </c>
    </row>
    <row r="159" customFormat="false" ht="15" hidden="false" customHeight="false" outlineLevel="0" collapsed="false">
      <c r="A159" s="7" t="s">
        <v>714</v>
      </c>
      <c r="B159" s="7" t="str">
        <f aca="false">IFERROR(INDEX('Source'!$C:$C,MATCH($A159,'Source'!$B:$B,0)),"")</f>
        <v>מגן מרפק</v>
      </c>
      <c r="C159" s="8" t="n">
        <f aca="false">SUMIFS('Source'!$D:$D,'Source'!$A:$A,"160450 OY. EA. AB.",'Source'!$B:$B,$A159)</f>
        <v>0</v>
      </c>
      <c r="D159" s="8" t="n">
        <f aca="false">SUMIFS('Source'!$F:$F,'Source'!$A:$A,"160450 OY. EA. AB.",'Source'!$B:$B,$A159)</f>
        <v>5</v>
      </c>
      <c r="E159" s="8" t="n">
        <f aca="false">D159*$J$5</f>
        <v>6.31578947368421</v>
      </c>
      <c r="F159" s="8" t="n">
        <f aca="false">E159-C159</f>
        <v>6.31578947368421</v>
      </c>
      <c r="G159" s="9" t="str">
        <f aca="false">IF(AND(C159=0,E159=0),0,IF(C159=0,"New",(E159-C159)/C159))</f>
        <v>New</v>
      </c>
      <c r="H159" s="8" t="n">
        <f aca="false">SUMIFS('Source'!$E:$E,'Source'!$A:$A,"160450 OY. EA. AB.",'Source'!$B:$B,$A159)</f>
        <v>0</v>
      </c>
      <c r="I159" s="8" t="n">
        <f aca="false">SUMIFS('Source'!$G:$G,'Source'!$A:$A,"160450 OY. EA. AB.",'Source'!$B:$B,$A159)</f>
        <v>51.56</v>
      </c>
      <c r="J159" s="8" t="n">
        <f aca="false">I159*$J$5</f>
        <v>65.1284210526316</v>
      </c>
      <c r="K159" s="8" t="n">
        <f aca="false">J159-H159</f>
        <v>65.1284210526316</v>
      </c>
      <c r="L159" s="9" t="str">
        <f aca="false">IF(AND(H159=0,J159=0),0,IF(H159=0,"New",(J159-H159)/H159))</f>
        <v>New</v>
      </c>
      <c r="M159" s="7" t="str">
        <f aca="false">IF(AND(OR(C159&lt;&gt;0,H159&lt;&gt;0),D159=0,I159=0),"DROP",IF(AND(OR(D159&lt;&gt;0,I159&lt;&gt;0),C159=0,H159=0),"NEW",""))</f>
        <v>NEW</v>
      </c>
    </row>
    <row r="160" customFormat="false" ht="15" hidden="false" customHeight="false" outlineLevel="0" collapsed="false">
      <c r="A160" s="7" t="s">
        <v>248</v>
      </c>
      <c r="B160" s="7" t="str">
        <f aca="false">IFERROR(INDEX('Source'!$C:$C,MATCH($A160,'Source'!$B:$B,0)),"")</f>
        <v>מגן לכתף ימין/שמאל</v>
      </c>
      <c r="C160" s="8" t="n">
        <f aca="false">SUMIFS('Source'!$D:$D,'Source'!$A:$A,"160450 OY. EA. AB.",'Source'!$B:$B,$A160)</f>
        <v>2</v>
      </c>
      <c r="D160" s="8" t="n">
        <f aca="false">SUMIFS('Source'!$F:$F,'Source'!$A:$A,"160450 OY. EA. AB.",'Source'!$B:$B,$A160)</f>
        <v>3</v>
      </c>
      <c r="E160" s="8" t="n">
        <f aca="false">D160*$J$5</f>
        <v>3.78947368421053</v>
      </c>
      <c r="F160" s="8" t="n">
        <f aca="false">E160-C160</f>
        <v>1.78947368421053</v>
      </c>
      <c r="G160" s="9" t="n">
        <f aca="false">IF(AND(C160=0,E160=0),0,IF(C160=0,"New",(E160-C160)/C160))</f>
        <v>0.894736842105263</v>
      </c>
      <c r="H160" s="8" t="n">
        <f aca="false">SUMIFS('Source'!$E:$E,'Source'!$A:$A,"160450 OY. EA. AB.",'Source'!$B:$B,$A160)</f>
        <v>152.47</v>
      </c>
      <c r="I160" s="8" t="n">
        <f aca="false">SUMIFS('Source'!$G:$G,'Source'!$A:$A,"160450 OY. EA. AB.",'Source'!$B:$B,$A160)</f>
        <v>201.57</v>
      </c>
      <c r="J160" s="8" t="n">
        <f aca="false">I160*$J$5</f>
        <v>254.614736842105</v>
      </c>
      <c r="K160" s="8" t="n">
        <f aca="false">J160-H160</f>
        <v>102.144736842105</v>
      </c>
      <c r="L160" s="9" t="n">
        <f aca="false">IF(AND(H160=0,J160=0),0,IF(H160=0,"New",(J160-H160)/H160))</f>
        <v>0.669933343228866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575</v>
      </c>
      <c r="B161" s="7" t="str">
        <f aca="false">IFERROR(INDEX('Source'!$C:$C,MATCH($A161,'Source'!$B:$B,0)),"")</f>
        <v>מגן קרסול</v>
      </c>
      <c r="C161" s="8" t="n">
        <f aca="false">SUMIFS('Source'!$D:$D,'Source'!$A:$A,"160450 OY. EA. AB.",'Source'!$B:$B,$A161)</f>
        <v>20</v>
      </c>
      <c r="D161" s="8" t="n">
        <f aca="false">SUMIFS('Source'!$F:$F,'Source'!$A:$A,"160450 OY. EA. AB.",'Source'!$B:$B,$A161)</f>
        <v>20</v>
      </c>
      <c r="E161" s="8" t="n">
        <f aca="false">D161*$J$5</f>
        <v>25.2631578947368</v>
      </c>
      <c r="F161" s="8" t="n">
        <f aca="false">E161-C161</f>
        <v>5.26315789473684</v>
      </c>
      <c r="G161" s="9" t="n">
        <f aca="false">IF(AND(C161=0,E161=0),0,IF(C161=0,"New",(E161-C161)/C161))</f>
        <v>0.263157894736842</v>
      </c>
      <c r="H161" s="8" t="n">
        <f aca="false">SUMIFS('Source'!$E:$E,'Source'!$A:$A,"160450 OY. EA. AB.",'Source'!$B:$B,$A161)</f>
        <v>340.91</v>
      </c>
      <c r="I161" s="8" t="n">
        <f aca="false">SUMIFS('Source'!$G:$G,'Source'!$A:$A,"160450 OY. EA. AB.",'Source'!$B:$B,$A161)</f>
        <v>292.71</v>
      </c>
      <c r="J161" s="8" t="n">
        <f aca="false">I161*$J$5</f>
        <v>369.738947368421</v>
      </c>
      <c r="K161" s="8" t="n">
        <f aca="false">J161-H161</f>
        <v>28.828947368421</v>
      </c>
      <c r="L161" s="9" t="n">
        <f aca="false">IF(AND(H161=0,J161=0),0,IF(H161=0,"New",(J161-H161)/H161))</f>
        <v>0.0845646867748701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613</v>
      </c>
      <c r="B162" s="7" t="str">
        <f aca="false">IFERROR(INDEX('Source'!$C:$C,MATCH($A162,'Source'!$B:$B,0)),"")</f>
        <v>מגן קרסול חום</v>
      </c>
      <c r="C162" s="8" t="n">
        <f aca="false">SUMIFS('Source'!$D:$D,'Source'!$A:$A,"160450 OY. EA. AB.",'Source'!$B:$B,$A162)</f>
        <v>4</v>
      </c>
      <c r="D162" s="8" t="n">
        <f aca="false">SUMIFS('Source'!$F:$F,'Source'!$A:$A,"160450 OY. EA. AB.",'Source'!$B:$B,$A162)</f>
        <v>0</v>
      </c>
      <c r="E162" s="8" t="n">
        <f aca="false">D162*$J$5</f>
        <v>0</v>
      </c>
      <c r="F162" s="8" t="n">
        <f aca="false">E162-C162</f>
        <v>-4</v>
      </c>
      <c r="G162" s="9" t="n">
        <f aca="false">IF(AND(C162=0,E162=0),0,IF(C162=0,"New",(E162-C162)/C162))</f>
        <v>-1</v>
      </c>
      <c r="H162" s="8" t="n">
        <f aca="false">SUMIFS('Source'!$E:$E,'Source'!$A:$A,"160450 OY. EA. AB.",'Source'!$B:$B,$A162)</f>
        <v>46.89</v>
      </c>
      <c r="I162" s="8" t="n">
        <f aca="false">SUMIFS('Source'!$G:$G,'Source'!$A:$A,"160450 OY. EA. AB.",'Source'!$B:$B,$A162)</f>
        <v>0</v>
      </c>
      <c r="J162" s="8" t="n">
        <f aca="false">I162*$J$5</f>
        <v>0</v>
      </c>
      <c r="K162" s="8" t="n">
        <f aca="false">J162-H162</f>
        <v>-46.89</v>
      </c>
      <c r="L162" s="9" t="n">
        <f aca="false">IF(AND(H162=0,J162=0),0,IF(H162=0,"New",(J162-H162)/H162))</f>
        <v>-1</v>
      </c>
      <c r="M162" s="7" t="str">
        <f aca="false">IF(AND(OR(C162&lt;&gt;0,H162&lt;&gt;0),D162=0,I162=0),"DROP",IF(AND(OR(D162&lt;&gt;0,I162&lt;&gt;0),C162=0,H162=0),"NEW",""))</f>
        <v>DROP</v>
      </c>
    </row>
    <row r="163" customFormat="false" ht="15" hidden="false" customHeight="false" outlineLevel="0" collapsed="false">
      <c r="A163" s="7" t="s">
        <v>317</v>
      </c>
      <c r="B163" s="7" t="str">
        <f aca="false">IFERROR(INDEX('Source'!$C:$C,MATCH($A163,'Source'!$B:$B,0)),"")</f>
        <v>רפידת זיכרון 376</v>
      </c>
      <c r="C163" s="8" t="n">
        <f aca="false">SUMIFS('Source'!$D:$D,'Source'!$A:$A,"160450 OY. EA. AB.",'Source'!$B:$B,$A163)</f>
        <v>10</v>
      </c>
      <c r="D163" s="8" t="n">
        <f aca="false">SUMIFS('Source'!$F:$F,'Source'!$A:$A,"160450 OY. EA. AB.",'Source'!$B:$B,$A163)</f>
        <v>8</v>
      </c>
      <c r="E163" s="8" t="n">
        <f aca="false">D163*$J$5</f>
        <v>10.1052631578947</v>
      </c>
      <c r="F163" s="8" t="n">
        <f aca="false">E163-C163</f>
        <v>0.105263157894736</v>
      </c>
      <c r="G163" s="9" t="n">
        <f aca="false">IF(AND(C163=0,E163=0),0,IF(C163=0,"New",(E163-C163)/C163))</f>
        <v>0.0105263157894736</v>
      </c>
      <c r="H163" s="8" t="n">
        <f aca="false">SUMIFS('Source'!$E:$E,'Source'!$A:$A,"160450 OY. EA. AB.",'Source'!$B:$B,$A163)</f>
        <v>158.5</v>
      </c>
      <c r="I163" s="8" t="n">
        <f aca="false">SUMIFS('Source'!$G:$G,'Source'!$A:$A,"160450 OY. EA. AB.",'Source'!$B:$B,$A163)</f>
        <v>111.76</v>
      </c>
      <c r="J163" s="8" t="n">
        <f aca="false">I163*$J$5</f>
        <v>141.170526315789</v>
      </c>
      <c r="K163" s="8" t="n">
        <f aca="false">J163-H163</f>
        <v>-17.3294736842105</v>
      </c>
      <c r="L163" s="9" t="n">
        <f aca="false">IF(AND(H163=0,J163=0),0,IF(H163=0,"New",(J163-H163)/H163))</f>
        <v>-0.109334218827827</v>
      </c>
      <c r="M163" s="7" t="str">
        <f aca="false">IF(AND(OR(C163&lt;&gt;0,H163&lt;&gt;0),D163=0,I163=0),"DROP",IF(AND(OR(D163&lt;&gt;0,I163&lt;&gt;0),C163=0,H163=0),"NEW",""))</f>
        <v/>
      </c>
    </row>
    <row r="164" customFormat="false" ht="15" hidden="false" customHeight="false" outlineLevel="0" collapsed="false">
      <c r="A164" s="7" t="s">
        <v>206</v>
      </c>
      <c r="B164" s="7" t="str">
        <f aca="false">IFERROR(INDEX('Source'!$C:$C,MATCH($A164,'Source'!$B:$B,0)),"")</f>
        <v>חגורה אוורירית איטלקית</v>
      </c>
      <c r="C164" s="8" t="n">
        <f aca="false">SUMIFS('Source'!$D:$D,'Source'!$A:$A,"160450 OY. EA. AB.",'Source'!$B:$B,$A164)</f>
        <v>3</v>
      </c>
      <c r="D164" s="8" t="n">
        <f aca="false">SUMIFS('Source'!$F:$F,'Source'!$A:$A,"160450 OY. EA. AB.",'Source'!$B:$B,$A164)</f>
        <v>4</v>
      </c>
      <c r="E164" s="8" t="n">
        <f aca="false">D164*$J$5</f>
        <v>5.05263157894737</v>
      </c>
      <c r="F164" s="8" t="n">
        <f aca="false">E164-C164</f>
        <v>2.05263157894737</v>
      </c>
      <c r="G164" s="9" t="n">
        <f aca="false">IF(AND(C164=0,E164=0),0,IF(C164=0,"New",(E164-C164)/C164))</f>
        <v>0.684210526315789</v>
      </c>
      <c r="H164" s="8" t="n">
        <f aca="false">SUMIFS('Source'!$E:$E,'Source'!$A:$A,"160450 OY. EA. AB.",'Source'!$B:$B,$A164)</f>
        <v>395.81</v>
      </c>
      <c r="I164" s="8" t="n">
        <f aca="false">SUMIFS('Source'!$G:$G,'Source'!$A:$A,"160450 OY. EA. AB.",'Source'!$B:$B,$A164)</f>
        <v>441.73</v>
      </c>
      <c r="J164" s="8" t="n">
        <f aca="false">I164*$J$5</f>
        <v>557.974736842105</v>
      </c>
      <c r="K164" s="8" t="n">
        <f aca="false">J164-H164</f>
        <v>162.164736842105</v>
      </c>
      <c r="L164" s="9" t="n">
        <f aca="false">IF(AND(H164=0,J164=0),0,IF(H164=0,"New",(J164-H164)/H164))</f>
        <v>0.409703486122395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161</v>
      </c>
      <c r="B165" s="7" t="str">
        <f aca="false">IFERROR(INDEX('Source'!$C:$C,MATCH($A165,'Source'!$B:$B,0)),"")</f>
        <v>סד לתמיכה פרק כף יד ואגודל</v>
      </c>
      <c r="C165" s="8" t="n">
        <f aca="false">SUMIFS('Source'!$D:$D,'Source'!$A:$A,"160450 OY. EA. AB.",'Source'!$B:$B,$A165)</f>
        <v>10</v>
      </c>
      <c r="D165" s="8" t="n">
        <f aca="false">SUMIFS('Source'!$F:$F,'Source'!$A:$A,"160450 OY. EA. AB.",'Source'!$B:$B,$A165)</f>
        <v>10</v>
      </c>
      <c r="E165" s="8" t="n">
        <f aca="false">D165*$J$5</f>
        <v>12.6315789473684</v>
      </c>
      <c r="F165" s="8" t="n">
        <f aca="false">E165-C165</f>
        <v>2.63157894736842</v>
      </c>
      <c r="G165" s="9" t="n">
        <f aca="false">IF(AND(C165=0,E165=0),0,IF(C165=0,"New",(E165-C165)/C165))</f>
        <v>0.263157894736842</v>
      </c>
      <c r="H165" s="8" t="n">
        <f aca="false">SUMIFS('Source'!$E:$E,'Source'!$A:$A,"160450 OY. EA. AB.",'Source'!$B:$B,$A165)</f>
        <v>367.96</v>
      </c>
      <c r="I165" s="8" t="n">
        <f aca="false">SUMIFS('Source'!$G:$G,'Source'!$A:$A,"160450 OY. EA. AB.",'Source'!$B:$B,$A165)</f>
        <v>324.31</v>
      </c>
      <c r="J165" s="8" t="n">
        <f aca="false">I165*$J$5</f>
        <v>409.654736842105</v>
      </c>
      <c r="K165" s="8" t="n">
        <f aca="false">J165-H165</f>
        <v>41.6947368421053</v>
      </c>
      <c r="L165" s="9" t="n">
        <f aca="false">IF(AND(H165=0,J165=0),0,IF(H165=0,"New",(J165-H165)/H165))</f>
        <v>0.113313231987459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692</v>
      </c>
      <c r="B166" s="7" t="str">
        <f aca="false">IFERROR(INDEX('Source'!$C:$C,MATCH($A166,'Source'!$B:$B,0)),"")</f>
        <v>מתלה יד-כיס</v>
      </c>
      <c r="C166" s="8" t="n">
        <f aca="false">SUMIFS('Source'!$D:$D,'Source'!$A:$A,"160450 OY. EA. AB.",'Source'!$B:$B,$A166)</f>
        <v>2</v>
      </c>
      <c r="D166" s="8" t="n">
        <f aca="false">SUMIFS('Source'!$F:$F,'Source'!$A:$A,"160450 OY. EA. AB.",'Source'!$B:$B,$A166)</f>
        <v>0</v>
      </c>
      <c r="E166" s="8" t="n">
        <f aca="false">D166*$J$5</f>
        <v>0</v>
      </c>
      <c r="F166" s="8" t="n">
        <f aca="false">E166-C166</f>
        <v>-2</v>
      </c>
      <c r="G166" s="9" t="n">
        <f aca="false">IF(AND(C166=0,E166=0),0,IF(C166=0,"New",(E166-C166)/C166))</f>
        <v>-1</v>
      </c>
      <c r="H166" s="8" t="n">
        <f aca="false">SUMIFS('Source'!$E:$E,'Source'!$A:$A,"160450 OY. EA. AB.",'Source'!$B:$B,$A166)</f>
        <v>41.51</v>
      </c>
      <c r="I166" s="8" t="n">
        <f aca="false">SUMIFS('Source'!$G:$G,'Source'!$A:$A,"160450 OY. EA. AB.",'Source'!$B:$B,$A166)</f>
        <v>0</v>
      </c>
      <c r="J166" s="8" t="n">
        <f aca="false">I166*$J$5</f>
        <v>0</v>
      </c>
      <c r="K166" s="8" t="n">
        <f aca="false">J166-H166</f>
        <v>-41.51</v>
      </c>
      <c r="L166" s="9" t="n">
        <f aca="false">IF(AND(H166=0,J166=0),0,IF(H166=0,"New",(J166-H166)/H166))</f>
        <v>-1</v>
      </c>
      <c r="M166" s="7" t="str">
        <f aca="false">IF(AND(OR(C166&lt;&gt;0,H166&lt;&gt;0),D166=0,I166=0),"DROP",IF(AND(OR(D166&lt;&gt;0,I166&lt;&gt;0),C166=0,H166=0),"NEW",""))</f>
        <v>DROP</v>
      </c>
    </row>
    <row r="167" customFormat="false" ht="15" hidden="false" customHeight="false" outlineLevel="0" collapsed="false">
      <c r="A167" s="7" t="s">
        <v>686</v>
      </c>
      <c r="B167" s="7" t="str">
        <f aca="false">IFERROR(INDEX('Source'!$C:$C,MATCH($A167,'Source'!$B:$B,0)),"")</f>
        <v>מגן מרפק שחור</v>
      </c>
      <c r="C167" s="8" t="n">
        <f aca="false">SUMIFS('Source'!$D:$D,'Source'!$A:$A,"160450 OY. EA. AB.",'Source'!$B:$B,$A167)</f>
        <v>0</v>
      </c>
      <c r="D167" s="8" t="n">
        <f aca="false">SUMIFS('Source'!$F:$F,'Source'!$A:$A,"160450 OY. EA. AB.",'Source'!$B:$B,$A167)</f>
        <v>4</v>
      </c>
      <c r="E167" s="8" t="n">
        <f aca="false">D167*$J$5</f>
        <v>5.05263157894737</v>
      </c>
      <c r="F167" s="8" t="n">
        <f aca="false">E167-C167</f>
        <v>5.05263157894737</v>
      </c>
      <c r="G167" s="9" t="str">
        <f aca="false">IF(AND(C167=0,E167=0),0,IF(C167=0,"New",(E167-C167)/C167))</f>
        <v>New</v>
      </c>
      <c r="H167" s="8" t="n">
        <f aca="false">SUMIFS('Source'!$E:$E,'Source'!$A:$A,"160450 OY. EA. AB.",'Source'!$B:$B,$A167)</f>
        <v>0</v>
      </c>
      <c r="I167" s="8" t="n">
        <f aca="false">SUMIFS('Source'!$G:$G,'Source'!$A:$A,"160450 OY. EA. AB.",'Source'!$B:$B,$A167)</f>
        <v>41.25</v>
      </c>
      <c r="J167" s="8" t="n">
        <f aca="false">I167*$J$5</f>
        <v>52.1052631578947</v>
      </c>
      <c r="K167" s="8" t="n">
        <f aca="false">J167-H167</f>
        <v>52.1052631578947</v>
      </c>
      <c r="L167" s="9" t="str">
        <f aca="false">IF(AND(H167=0,J167=0),0,IF(H167=0,"New",(J167-H167)/H167))</f>
        <v>New</v>
      </c>
      <c r="M167" s="7" t="str">
        <f aca="false">IF(AND(OR(C167&lt;&gt;0,H167&lt;&gt;0),D167=0,I167=0),"DROP",IF(AND(OR(D167&lt;&gt;0,I167&lt;&gt;0),C167=0,H167=0),"NEW",""))</f>
        <v>NEW</v>
      </c>
    </row>
    <row r="168" customFormat="false" ht="15" hidden="false" customHeight="false" outlineLevel="0" collapsed="false">
      <c r="A168" s="7" t="s">
        <v>378</v>
      </c>
      <c r="B168" s="7" t="str">
        <f aca="false">IFERROR(INDEX('Source'!$C:$C,MATCH($A168,'Source'!$B:$B,0)),"")</f>
        <v>מגן לכתף ימין/שמאל</v>
      </c>
      <c r="C168" s="8" t="n">
        <f aca="false">SUMIFS('Source'!$D:$D,'Source'!$A:$A,"160450 OY. EA. AB.",'Source'!$B:$B,$A168)</f>
        <v>2</v>
      </c>
      <c r="D168" s="8" t="n">
        <f aca="false">SUMIFS('Source'!$F:$F,'Source'!$A:$A,"160450 OY. EA. AB.",'Source'!$B:$B,$A168)</f>
        <v>3</v>
      </c>
      <c r="E168" s="8" t="n">
        <f aca="false">D168*$J$5</f>
        <v>3.78947368421053</v>
      </c>
      <c r="F168" s="8" t="n">
        <f aca="false">E168-C168</f>
        <v>1.78947368421053</v>
      </c>
      <c r="G168" s="9" t="n">
        <f aca="false">IF(AND(C168=0,E168=0),0,IF(C168=0,"New",(E168-C168)/C168))</f>
        <v>0.894736842105263</v>
      </c>
      <c r="H168" s="8" t="n">
        <f aca="false">SUMIFS('Source'!$E:$E,'Source'!$A:$A,"160450 OY. EA. AB.",'Source'!$B:$B,$A168)</f>
        <v>160.55</v>
      </c>
      <c r="I168" s="8" t="n">
        <f aca="false">SUMIFS('Source'!$G:$G,'Source'!$A:$A,"160450 OY. EA. AB.",'Source'!$B:$B,$A168)</f>
        <v>201.57</v>
      </c>
      <c r="J168" s="8" t="n">
        <f aca="false">I168*$J$5</f>
        <v>254.614736842105</v>
      </c>
      <c r="K168" s="8" t="n">
        <f aca="false">J168-H168</f>
        <v>94.0647368421052</v>
      </c>
      <c r="L168" s="9" t="n">
        <f aca="false">IF(AND(H168=0,J168=0),0,IF(H168=0,"New",(J168-H168)/H168))</f>
        <v>0.585890606303988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899</v>
      </c>
      <c r="B169" s="7" t="str">
        <f aca="false">IFERROR(INDEX('Source'!$C:$C,MATCH($A169,'Source'!$B:$B,0)),"")</f>
        <v>מדרס מטטרזלי</v>
      </c>
      <c r="C169" s="8" t="n">
        <f aca="false">SUMIFS('Source'!$D:$D,'Source'!$A:$A,"160450 OY. EA. AB.",'Source'!$B:$B,$A169)</f>
        <v>20</v>
      </c>
      <c r="D169" s="8" t="n">
        <f aca="false">SUMIFS('Source'!$F:$F,'Source'!$A:$A,"160450 OY. EA. AB.",'Source'!$B:$B,$A169)</f>
        <v>20</v>
      </c>
      <c r="E169" s="8" t="n">
        <f aca="false">D169*$J$5</f>
        <v>25.2631578947368</v>
      </c>
      <c r="F169" s="8" t="n">
        <f aca="false">E169-C169</f>
        <v>5.26315789473684</v>
      </c>
      <c r="G169" s="9" t="n">
        <f aca="false">IF(AND(C169=0,E169=0),0,IF(C169=0,"New",(E169-C169)/C169))</f>
        <v>0.263157894736842</v>
      </c>
      <c r="H169" s="8" t="n">
        <f aca="false">SUMIFS('Source'!$E:$E,'Source'!$A:$A,"160450 OY. EA. AB.",'Source'!$B:$B,$A169)</f>
        <v>246.39</v>
      </c>
      <c r="I169" s="8" t="n">
        <f aca="false">SUMIFS('Source'!$G:$G,'Source'!$A:$A,"160450 OY. EA. AB.",'Source'!$B:$B,$A169)</f>
        <v>206.23</v>
      </c>
      <c r="J169" s="8" t="n">
        <f aca="false">I169*$J$5</f>
        <v>260.501052631579</v>
      </c>
      <c r="K169" s="8" t="n">
        <f aca="false">J169-H169</f>
        <v>14.111052631579</v>
      </c>
      <c r="L169" s="9" t="n">
        <f aca="false">IF(AND(H169=0,J169=0),0,IF(H169=0,"New",(J169-H169)/H169))</f>
        <v>0.057271206751812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257</v>
      </c>
      <c r="B170" s="7" t="str">
        <f aca="false">IFERROR(INDEX('Source'!$C:$C,MATCH($A170,'Source'!$B:$B,0)),"")</f>
        <v>חגורה לשבר טבור</v>
      </c>
      <c r="C170" s="8" t="n">
        <f aca="false">SUMIFS('Source'!$D:$D,'Source'!$A:$A,"160450 OY. EA. AB.",'Source'!$B:$B,$A170)</f>
        <v>2</v>
      </c>
      <c r="D170" s="8" t="n">
        <f aca="false">SUMIFS('Source'!$F:$F,'Source'!$A:$A,"160450 OY. EA. AB.",'Source'!$B:$B,$A170)</f>
        <v>3</v>
      </c>
      <c r="E170" s="8" t="n">
        <f aca="false">D170*$J$5</f>
        <v>3.78947368421053</v>
      </c>
      <c r="F170" s="8" t="n">
        <f aca="false">E170-C170</f>
        <v>1.78947368421053</v>
      </c>
      <c r="G170" s="9" t="n">
        <f aca="false">IF(AND(C170=0,E170=0),0,IF(C170=0,"New",(E170-C170)/C170))</f>
        <v>0.894736842105263</v>
      </c>
      <c r="H170" s="8" t="n">
        <f aca="false">SUMIFS('Source'!$E:$E,'Source'!$A:$A,"160450 OY. EA. AB.",'Source'!$B:$B,$A170)</f>
        <v>122.65</v>
      </c>
      <c r="I170" s="8" t="n">
        <f aca="false">SUMIFS('Source'!$G:$G,'Source'!$A:$A,"160450 OY. EA. AB.",'Source'!$B:$B,$A170)</f>
        <v>162.16</v>
      </c>
      <c r="J170" s="8" t="n">
        <f aca="false">I170*$J$5</f>
        <v>204.833684210526</v>
      </c>
      <c r="K170" s="8" t="n">
        <f aca="false">J170-H170</f>
        <v>82.1836842105263</v>
      </c>
      <c r="L170" s="9" t="n">
        <f aca="false">IF(AND(H170=0,J170=0),0,IF(H170=0,"New",(J170-H170)/H170))</f>
        <v>0.670066728173879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533</v>
      </c>
      <c r="B171" s="7" t="str">
        <f aca="false">IFERROR(INDEX('Source'!$C:$C,MATCH($A171,'Source'!$B:$B,0)),"")</f>
        <v>מתלה יד-כיס</v>
      </c>
      <c r="C171" s="8" t="n">
        <f aca="false">SUMIFS('Source'!$D:$D,'Source'!$A:$A,"160450 OY. EA. AB.",'Source'!$B:$B,$A171)</f>
        <v>0</v>
      </c>
      <c r="D171" s="8" t="n">
        <f aca="false">SUMIFS('Source'!$F:$F,'Source'!$A:$A,"160450 OY. EA. AB.",'Source'!$B:$B,$A171)</f>
        <v>2</v>
      </c>
      <c r="E171" s="8" t="n">
        <f aca="false">D171*$J$5</f>
        <v>2.52631578947368</v>
      </c>
      <c r="F171" s="8" t="n">
        <f aca="false">E171-C171</f>
        <v>2.52631578947368</v>
      </c>
      <c r="G171" s="9" t="str">
        <f aca="false">IF(AND(C171=0,E171=0),0,IF(C171=0,"New",(E171-C171)/C171))</f>
        <v>New</v>
      </c>
      <c r="H171" s="8" t="n">
        <f aca="false">SUMIFS('Source'!$E:$E,'Source'!$A:$A,"160450 OY. EA. AB.",'Source'!$B:$B,$A171)</f>
        <v>0</v>
      </c>
      <c r="I171" s="8" t="n">
        <f aca="false">SUMIFS('Source'!$G:$G,'Source'!$A:$A,"160450 OY. EA. AB.",'Source'!$B:$B,$A171)</f>
        <v>36.59</v>
      </c>
      <c r="J171" s="8" t="n">
        <f aca="false">I171*$J$5</f>
        <v>46.2189473684211</v>
      </c>
      <c r="K171" s="8" t="n">
        <f aca="false">J171-H171</f>
        <v>46.2189473684211</v>
      </c>
      <c r="L171" s="9" t="str">
        <f aca="false">IF(AND(H171=0,J171=0),0,IF(H171=0,"New",(J171-H171)/H171))</f>
        <v>New</v>
      </c>
      <c r="M171" s="7" t="str">
        <f aca="false">IF(AND(OR(C171&lt;&gt;0,H171&lt;&gt;0),D171=0,I171=0),"DROP",IF(AND(OR(D171&lt;&gt;0,I171&lt;&gt;0),C171=0,H171=0),"NEW",""))</f>
        <v>NEW</v>
      </c>
    </row>
    <row r="172" customFormat="false" ht="15" hidden="false" customHeight="false" outlineLevel="0" collapsed="false">
      <c r="A172" s="7" t="s">
        <v>405</v>
      </c>
      <c r="B172" s="7" t="str">
        <f aca="false">IFERROR(INDEX('Source'!$C:$C,MATCH($A172,'Source'!$B:$B,0)),"")</f>
        <v>אצבעון מפלסטיק  ליד</v>
      </c>
      <c r="C172" s="8" t="n">
        <f aca="false">SUMIFS('Source'!$D:$D,'Source'!$A:$A,"160450 OY. EA. AB.",'Source'!$B:$B,$A172)</f>
        <v>8</v>
      </c>
      <c r="D172" s="8" t="n">
        <f aca="false">SUMIFS('Source'!$F:$F,'Source'!$A:$A,"160450 OY. EA. AB.",'Source'!$B:$B,$A172)</f>
        <v>5</v>
      </c>
      <c r="E172" s="8" t="n">
        <f aca="false">D172*$J$5</f>
        <v>6.31578947368421</v>
      </c>
      <c r="F172" s="8" t="n">
        <f aca="false">E172-C172</f>
        <v>-1.68421052631579</v>
      </c>
      <c r="G172" s="9" t="n">
        <f aca="false">IF(AND(C172=0,E172=0),0,IF(C172=0,"New",(E172-C172)/C172))</f>
        <v>-0.210526315789474</v>
      </c>
      <c r="H172" s="8" t="n">
        <f aca="false">SUMIFS('Source'!$E:$E,'Source'!$A:$A,"160450 OY. EA. AB.",'Source'!$B:$B,$A172)</f>
        <v>76.3</v>
      </c>
      <c r="I172" s="8" t="n">
        <f aca="false">SUMIFS('Source'!$G:$G,'Source'!$A:$A,"160450 OY. EA. AB.",'Source'!$B:$B,$A172)</f>
        <v>39.92</v>
      </c>
      <c r="J172" s="8" t="n">
        <f aca="false">I172*$J$5</f>
        <v>50.4252631578947</v>
      </c>
      <c r="K172" s="8" t="n">
        <f aca="false">J172-H172</f>
        <v>-25.8747368421053</v>
      </c>
      <c r="L172" s="9" t="n">
        <f aca="false">IF(AND(H172=0,J172=0),0,IF(H172=0,"New",(J172-H172)/H172))</f>
        <v>-0.339118438297579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661</v>
      </c>
      <c r="B173" s="7" t="str">
        <f aca="false">IFERROR(INDEX('Source'!$C:$C,MATCH($A173,'Source'!$B:$B,0)),"")</f>
        <v>רפידת נוחות</v>
      </c>
      <c r="C173" s="8" t="n">
        <f aca="false">SUMIFS('Source'!$D:$D,'Source'!$A:$A,"160450 OY. EA. AB.",'Source'!$B:$B,$A173)</f>
        <v>15</v>
      </c>
      <c r="D173" s="8" t="n">
        <f aca="false">SUMIFS('Source'!$F:$F,'Source'!$A:$A,"160450 OY. EA. AB.",'Source'!$B:$B,$A173)</f>
        <v>12</v>
      </c>
      <c r="E173" s="8" t="n">
        <f aca="false">D173*$J$5</f>
        <v>15.1578947368421</v>
      </c>
      <c r="F173" s="8" t="n">
        <f aca="false">E173-C173</f>
        <v>0.157894736842104</v>
      </c>
      <c r="G173" s="9" t="n">
        <f aca="false">IF(AND(C173=0,E173=0),0,IF(C173=0,"New",(E173-C173)/C173))</f>
        <v>0.0105263157894736</v>
      </c>
      <c r="H173" s="8" t="n">
        <f aca="false">SUMIFS('Source'!$E:$E,'Source'!$A:$A,"160450 OY. EA. AB.",'Source'!$B:$B,$A173)</f>
        <v>107.3</v>
      </c>
      <c r="I173" s="8" t="n">
        <f aca="false">SUMIFS('Source'!$G:$G,'Source'!$A:$A,"160450 OY. EA. AB.",'Source'!$B:$B,$A173)</f>
        <v>71.85</v>
      </c>
      <c r="J173" s="8" t="n">
        <f aca="false">I173*$J$5</f>
        <v>90.7578947368421</v>
      </c>
      <c r="K173" s="8" t="n">
        <f aca="false">J173-H173</f>
        <v>-16.5421052631579</v>
      </c>
      <c r="L173" s="9" t="n">
        <f aca="false">IF(AND(H173=0,J173=0),0,IF(H173=0,"New",(J173-H173)/H173))</f>
        <v>-0.154166871045274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782</v>
      </c>
      <c r="B174" s="7" t="str">
        <f aca="false">IFERROR(INDEX('Source'!$C:$C,MATCH($A174,'Source'!$B:$B,0)),"")</f>
        <v>מגן ברך שחור</v>
      </c>
      <c r="C174" s="8" t="n">
        <f aca="false">SUMIFS('Source'!$D:$D,'Source'!$A:$A,"160450 OY. EA. AB.",'Source'!$B:$B,$A174)</f>
        <v>4</v>
      </c>
      <c r="D174" s="8" t="n">
        <f aca="false">SUMIFS('Source'!$F:$F,'Source'!$A:$A,"160450 OY. EA. AB.",'Source'!$B:$B,$A174)</f>
        <v>8</v>
      </c>
      <c r="E174" s="8" t="n">
        <f aca="false">D174*$J$5</f>
        <v>10.1052631578947</v>
      </c>
      <c r="F174" s="8" t="n">
        <f aca="false">E174-C174</f>
        <v>6.10526315789474</v>
      </c>
      <c r="G174" s="9" t="n">
        <f aca="false">IF(AND(C174=0,E174=0),0,IF(C174=0,"New",(E174-C174)/C174))</f>
        <v>1.52631578947368</v>
      </c>
      <c r="H174" s="8" t="n">
        <f aca="false">SUMIFS('Source'!$E:$E,'Source'!$A:$A,"160450 OY. EA. AB.",'Source'!$B:$B,$A174)</f>
        <v>50.07</v>
      </c>
      <c r="I174" s="8" t="n">
        <f aca="false">SUMIFS('Source'!$G:$G,'Source'!$A:$A,"160450 OY. EA. AB.",'Source'!$B:$B,$A174)</f>
        <v>83.82</v>
      </c>
      <c r="J174" s="8" t="n">
        <f aca="false">I174*$J$5</f>
        <v>105.877894736842</v>
      </c>
      <c r="K174" s="8" t="n">
        <f aca="false">J174-H174</f>
        <v>55.8078947368421</v>
      </c>
      <c r="L174" s="9" t="n">
        <f aca="false">IF(AND(H174=0,J174=0),0,IF(H174=0,"New",(J174-H174)/H174))</f>
        <v>1.11459745829523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702</v>
      </c>
      <c r="B175" s="7" t="str">
        <f aca="false">IFERROR(INDEX('Source'!$C:$C,MATCH($A175,'Source'!$B:$B,0)),"")</f>
        <v>מגן קרסול חום</v>
      </c>
      <c r="C175" s="8" t="n">
        <f aca="false">SUMIFS('Source'!$D:$D,'Source'!$A:$A,"160450 OY. EA. AB.",'Source'!$B:$B,$A175)</f>
        <v>8</v>
      </c>
      <c r="D175" s="8" t="n">
        <f aca="false">SUMIFS('Source'!$F:$F,'Source'!$A:$A,"160450 OY. EA. AB.",'Source'!$B:$B,$A175)</f>
        <v>6</v>
      </c>
      <c r="E175" s="8" t="n">
        <f aca="false">D175*$J$5</f>
        <v>7.57894736842105</v>
      </c>
      <c r="F175" s="8" t="n">
        <f aca="false">E175-C175</f>
        <v>-0.421052631578948</v>
      </c>
      <c r="G175" s="9" t="n">
        <f aca="false">IF(AND(C175=0,E175=0),0,IF(C175=0,"New",(E175-C175)/C175))</f>
        <v>-0.0526315789473685</v>
      </c>
      <c r="H175" s="8" t="n">
        <f aca="false">SUMIFS('Source'!$E:$E,'Source'!$A:$A,"160450 OY. EA. AB.",'Source'!$B:$B,$A175)</f>
        <v>92.61</v>
      </c>
      <c r="I175" s="8" t="n">
        <f aca="false">SUMIFS('Source'!$G:$G,'Source'!$A:$A,"160450 OY. EA. AB.",'Source'!$B:$B,$A175)</f>
        <v>58.88</v>
      </c>
      <c r="J175" s="8" t="n">
        <f aca="false">I175*$J$5</f>
        <v>74.3747368421053</v>
      </c>
      <c r="K175" s="8" t="n">
        <f aca="false">J175-H175</f>
        <v>-18.2352631578947</v>
      </c>
      <c r="L175" s="9" t="n">
        <f aca="false">IF(AND(H175=0,J175=0),0,IF(H175=0,"New",(J175-H175)/H175))</f>
        <v>-0.196903824186316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744</v>
      </c>
      <c r="B176" s="7" t="str">
        <f aca="false">IFERROR(INDEX('Source'!$C:$C,MATCH($A176,'Source'!$B:$B,0)),"")</f>
        <v>חגורת אגן  צר מנאופרן</v>
      </c>
      <c r="C176" s="8" t="n">
        <f aca="false">SUMIFS('Source'!$D:$D,'Source'!$A:$A,"160450 OY. EA. AB.",'Source'!$B:$B,$A176)</f>
        <v>5</v>
      </c>
      <c r="D176" s="8" t="n">
        <f aca="false">SUMIFS('Source'!$F:$F,'Source'!$A:$A,"160450 OY. EA. AB.",'Source'!$B:$B,$A176)</f>
        <v>5</v>
      </c>
      <c r="E176" s="8" t="n">
        <f aca="false">D176*$J$5</f>
        <v>6.31578947368421</v>
      </c>
      <c r="F176" s="8" t="n">
        <f aca="false">E176-C176</f>
        <v>1.31578947368421</v>
      </c>
      <c r="G176" s="9" t="n">
        <f aca="false">IF(AND(C176=0,E176=0),0,IF(C176=0,"New",(E176-C176)/C176))</f>
        <v>0.263157894736842</v>
      </c>
      <c r="H176" s="8" t="n">
        <f aca="false">SUMIFS('Source'!$E:$E,'Source'!$A:$A,"160450 OY. EA. AB.",'Source'!$B:$B,$A176)</f>
        <v>245.69</v>
      </c>
      <c r="I176" s="8" t="n">
        <f aca="false">SUMIFS('Source'!$G:$G,'Source'!$A:$A,"160450 OY. EA. AB.",'Source'!$B:$B,$A176)</f>
        <v>212.05</v>
      </c>
      <c r="J176" s="8" t="n">
        <f aca="false">I176*$J$5</f>
        <v>267.852631578947</v>
      </c>
      <c r="K176" s="8" t="n">
        <f aca="false">J176-H176</f>
        <v>22.1626315789474</v>
      </c>
      <c r="L176" s="9" t="n">
        <f aca="false">IF(AND(H176=0,J176=0),0,IF(H176=0,"New",(J176-H176)/H176))</f>
        <v>0.0902056721028424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342</v>
      </c>
      <c r="B177" s="7" t="str">
        <f aca="false">IFERROR(INDEX('Source'!$C:$C,MATCH($A177,'Source'!$B:$B,0)),"")</f>
        <v>מדרס מג'ל</v>
      </c>
      <c r="C177" s="8" t="n">
        <f aca="false">SUMIFS('Source'!$D:$D,'Source'!$A:$A,"160450 OY. EA. AB.",'Source'!$B:$B,$A177)</f>
        <v>10</v>
      </c>
      <c r="D177" s="8" t="n">
        <f aca="false">SUMIFS('Source'!$F:$F,'Source'!$A:$A,"160450 OY. EA. AB.",'Source'!$B:$B,$A177)</f>
        <v>10</v>
      </c>
      <c r="E177" s="8" t="n">
        <f aca="false">D177*$J$5</f>
        <v>12.6315789473684</v>
      </c>
      <c r="F177" s="8" t="n">
        <f aca="false">E177-C177</f>
        <v>2.63157894736842</v>
      </c>
      <c r="G177" s="9" t="n">
        <f aca="false">IF(AND(C177=0,E177=0),0,IF(C177=0,"New",(E177-C177)/C177))</f>
        <v>0.263157894736842</v>
      </c>
      <c r="H177" s="8" t="n">
        <f aca="false">SUMIFS('Source'!$E:$E,'Source'!$A:$A,"160450 OY. EA. AB.",'Source'!$B:$B,$A177)</f>
        <v>277.38</v>
      </c>
      <c r="I177" s="8" t="n">
        <f aca="false">SUMIFS('Source'!$G:$G,'Source'!$A:$A,"160450 OY. EA. AB.",'Source'!$B:$B,$A177)</f>
        <v>244.48</v>
      </c>
      <c r="J177" s="8" t="n">
        <f aca="false">I177*$J$5</f>
        <v>308.816842105263</v>
      </c>
      <c r="K177" s="8" t="n">
        <f aca="false">J177-H177</f>
        <v>31.4368421052631</v>
      </c>
      <c r="L177" s="9" t="n">
        <f aca="false">IF(AND(H177=0,J177=0),0,IF(H177=0,"New",(J177-H177)/H177))</f>
        <v>0.11333492719469</v>
      </c>
      <c r="M177" s="7" t="str">
        <f aca="false">IF(AND(OR(C177&lt;&gt;0,H177&lt;&gt;0),D177=0,I177=0),"DROP",IF(AND(OR(D177&lt;&gt;0,I177&lt;&gt;0),C177=0,H177=0),"NEW",""))</f>
        <v/>
      </c>
    </row>
    <row r="178" customFormat="false" ht="15" hidden="false" customHeight="false" outlineLevel="0" collapsed="false">
      <c r="A178" s="7" t="s">
        <v>434</v>
      </c>
      <c r="B178" s="7" t="str">
        <f aca="false">IFERROR(INDEX('Source'!$C:$C,MATCH($A178,'Source'!$B:$B,0)),"")</f>
        <v>מגן קרסול מתכוון</v>
      </c>
      <c r="C178" s="8" t="n">
        <f aca="false">SUMIFS('Source'!$D:$D,'Source'!$A:$A,"160450 OY. EA. AB.",'Source'!$B:$B,$A178)</f>
        <v>6</v>
      </c>
      <c r="D178" s="8" t="n">
        <f aca="false">SUMIFS('Source'!$F:$F,'Source'!$A:$A,"160450 OY. EA. AB.",'Source'!$B:$B,$A178)</f>
        <v>6</v>
      </c>
      <c r="E178" s="8" t="n">
        <f aca="false">D178*$J$5</f>
        <v>7.57894736842105</v>
      </c>
      <c r="F178" s="8" t="n">
        <f aca="false">E178-C178</f>
        <v>1.57894736842105</v>
      </c>
      <c r="G178" s="9" t="n">
        <f aca="false">IF(AND(C178=0,E178=0),0,IF(C178=0,"New",(E178-C178)/C178))</f>
        <v>0.263157894736842</v>
      </c>
      <c r="H178" s="8" t="n">
        <f aca="false">SUMIFS('Source'!$E:$E,'Source'!$A:$A,"160450 OY. EA. AB.",'Source'!$B:$B,$A178)</f>
        <v>201.48</v>
      </c>
      <c r="I178" s="8" t="n">
        <f aca="false">SUMIFS('Source'!$G:$G,'Source'!$A:$A,"160450 OY. EA. AB.",'Source'!$B:$B,$A178)</f>
        <v>168.64</v>
      </c>
      <c r="J178" s="8" t="n">
        <f aca="false">I178*$J$5</f>
        <v>213.018947368421</v>
      </c>
      <c r="K178" s="8" t="n">
        <f aca="false">J178-H178</f>
        <v>11.538947368421</v>
      </c>
      <c r="L178" s="9" t="n">
        <f aca="false">IF(AND(H178=0,J178=0),0,IF(H178=0,"New",(J178-H178)/H178))</f>
        <v>0.0572709319457069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799</v>
      </c>
      <c r="B179" s="7" t="str">
        <f aca="false">IFERROR(INDEX('Source'!$C:$C,MATCH($A179,'Source'!$B:$B,0)),"")</f>
        <v>מגן מרפק</v>
      </c>
      <c r="C179" s="8" t="n">
        <f aca="false">SUMIFS('Source'!$D:$D,'Source'!$A:$A,"160450 OY. EA. AB.",'Source'!$B:$B,$A179)</f>
        <v>0</v>
      </c>
      <c r="D179" s="8" t="n">
        <f aca="false">SUMIFS('Source'!$F:$F,'Source'!$A:$A,"160450 OY. EA. AB.",'Source'!$B:$B,$A179)</f>
        <v>3</v>
      </c>
      <c r="E179" s="8" t="n">
        <f aca="false">D179*$J$5</f>
        <v>3.78947368421053</v>
      </c>
      <c r="F179" s="8" t="n">
        <f aca="false">E179-C179</f>
        <v>3.78947368421053</v>
      </c>
      <c r="G179" s="9" t="str">
        <f aca="false">IF(AND(C179=0,E179=0),0,IF(C179=0,"New",(E179-C179)/C179))</f>
        <v>New</v>
      </c>
      <c r="H179" s="8" t="n">
        <f aca="false">SUMIFS('Source'!$E:$E,'Source'!$A:$A,"160450 OY. EA. AB.",'Source'!$B:$B,$A179)</f>
        <v>0</v>
      </c>
      <c r="I179" s="8" t="n">
        <f aca="false">SUMIFS('Source'!$G:$G,'Source'!$A:$A,"160450 OY. EA. AB.",'Source'!$B:$B,$A179)</f>
        <v>30.93</v>
      </c>
      <c r="J179" s="8" t="n">
        <f aca="false">I179*$J$5</f>
        <v>39.0694736842105</v>
      </c>
      <c r="K179" s="8" t="n">
        <f aca="false">J179-H179</f>
        <v>39.0694736842105</v>
      </c>
      <c r="L179" s="9" t="str">
        <f aca="false">IF(AND(H179=0,J179=0),0,IF(H179=0,"New",(J179-H179)/H179))</f>
        <v>New</v>
      </c>
      <c r="M179" s="7" t="str">
        <f aca="false">IF(AND(OR(C179&lt;&gt;0,H179&lt;&gt;0),D179=0,I179=0),"DROP",IF(AND(OR(D179&lt;&gt;0,I179&lt;&gt;0),C179=0,H179=0),"NEW",""))</f>
        <v>NEW</v>
      </c>
    </row>
    <row r="180" customFormat="false" ht="15" hidden="false" customHeight="false" outlineLevel="0" collapsed="false">
      <c r="A180" s="7" t="s">
        <v>425</v>
      </c>
      <c r="B180" s="7" t="str">
        <f aca="false">IFERROR(INDEX('Source'!$C:$C,MATCH($A180,'Source'!$B:$B,0)),"")</f>
        <v>חגורת גב-לומבו</v>
      </c>
      <c r="C180" s="8" t="n">
        <f aca="false">SUMIFS('Source'!$D:$D,'Source'!$A:$A,"160450 OY. EA. AB.",'Source'!$B:$B,$A180)</f>
        <v>2</v>
      </c>
      <c r="D180" s="8" t="n">
        <f aca="false">SUMIFS('Source'!$F:$F,'Source'!$A:$A,"160450 OY. EA. AB.",'Source'!$B:$B,$A180)</f>
        <v>2</v>
      </c>
      <c r="E180" s="8" t="n">
        <f aca="false">D180*$J$5</f>
        <v>2.52631578947368</v>
      </c>
      <c r="F180" s="8" t="n">
        <f aca="false">E180-C180</f>
        <v>0.526315789473684</v>
      </c>
      <c r="G180" s="9" t="n">
        <f aca="false">IF(AND(C180=0,E180=0),0,IF(C180=0,"New",(E180-C180)/C180))</f>
        <v>0.263157894736842</v>
      </c>
      <c r="H180" s="8" t="n">
        <f aca="false">SUMIFS('Source'!$E:$E,'Source'!$A:$A,"160450 OY. EA. AB.",'Source'!$B:$B,$A180)</f>
        <v>155.78</v>
      </c>
      <c r="I180" s="8" t="n">
        <f aca="false">SUMIFS('Source'!$G:$G,'Source'!$A:$A,"160450 OY. EA. AB.",'Source'!$B:$B,$A180)</f>
        <v>130.39</v>
      </c>
      <c r="J180" s="8" t="n">
        <f aca="false">I180*$J$5</f>
        <v>164.703157894737</v>
      </c>
      <c r="K180" s="8" t="n">
        <f aca="false">J180-H180</f>
        <v>8.92315789473682</v>
      </c>
      <c r="L180" s="9" t="n">
        <f aca="false">IF(AND(H180=0,J180=0),0,IF(H180=0,"New",(J180-H180)/H180))</f>
        <v>0.057280510301302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286</v>
      </c>
      <c r="B181" s="7" t="str">
        <f aca="false">IFERROR(INDEX('Source'!$C:$C,MATCH($A181,'Source'!$B:$B,0)),"")</f>
        <v>שרוול לבוניון מסיליקון</v>
      </c>
      <c r="C181" s="8" t="n">
        <f aca="false">SUMIFS('Source'!$D:$D,'Source'!$A:$A,"160450 OY. EA. AB.",'Source'!$B:$B,$A181)</f>
        <v>10</v>
      </c>
      <c r="D181" s="8" t="n">
        <f aca="false">SUMIFS('Source'!$F:$F,'Source'!$A:$A,"160450 OY. EA. AB.",'Source'!$B:$B,$A181)</f>
        <v>10</v>
      </c>
      <c r="E181" s="8" t="n">
        <f aca="false">D181*$J$5</f>
        <v>12.6315789473684</v>
      </c>
      <c r="F181" s="8" t="n">
        <f aca="false">E181-C181</f>
        <v>2.63157894736842</v>
      </c>
      <c r="G181" s="9" t="n">
        <f aca="false">IF(AND(C181=0,E181=0),0,IF(C181=0,"New",(E181-C181)/C181))</f>
        <v>0.263157894736842</v>
      </c>
      <c r="H181" s="8" t="n">
        <f aca="false">SUMIFS('Source'!$E:$E,'Source'!$A:$A,"160450 OY. EA. AB.",'Source'!$B:$B,$A181)</f>
        <v>194.36</v>
      </c>
      <c r="I181" s="8" t="n">
        <f aca="false">SUMIFS('Source'!$G:$G,'Source'!$A:$A,"160450 OY. EA. AB.",'Source'!$B:$B,$A181)</f>
        <v>171.3</v>
      </c>
      <c r="J181" s="8" t="n">
        <f aca="false">I181*$J$5</f>
        <v>216.378947368421</v>
      </c>
      <c r="K181" s="8" t="n">
        <f aca="false">J181-H181</f>
        <v>22.018947368421</v>
      </c>
      <c r="L181" s="9" t="n">
        <f aca="false">IF(AND(H181=0,J181=0),0,IF(H181=0,"New",(J181-H181)/H181))</f>
        <v>0.11328950076364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732</v>
      </c>
      <c r="B182" s="7" t="str">
        <f aca="false">IFERROR(INDEX('Source'!$C:$C,MATCH($A182,'Source'!$B:$B,0)),"")</f>
        <v>מגן ירך</v>
      </c>
      <c r="C182" s="8" t="n">
        <f aca="false">SUMIFS('Source'!$D:$D,'Source'!$A:$A,"160450 OY. EA. AB.",'Source'!$B:$B,$A182)</f>
        <v>4</v>
      </c>
      <c r="D182" s="8" t="n">
        <f aca="false">SUMIFS('Source'!$F:$F,'Source'!$A:$A,"160450 OY. EA. AB.",'Source'!$B:$B,$A182)</f>
        <v>6</v>
      </c>
      <c r="E182" s="8" t="n">
        <f aca="false">D182*$J$5</f>
        <v>7.57894736842105</v>
      </c>
      <c r="F182" s="8" t="n">
        <f aca="false">E182-C182</f>
        <v>3.57894736842105</v>
      </c>
      <c r="G182" s="9" t="n">
        <f aca="false">IF(AND(C182=0,E182=0),0,IF(C182=0,"New",(E182-C182)/C182))</f>
        <v>0.894736842105263</v>
      </c>
      <c r="H182" s="8" t="n">
        <f aca="false">SUMIFS('Source'!$E:$E,'Source'!$A:$A,"160450 OY. EA. AB.",'Source'!$B:$B,$A182)</f>
        <v>70.95</v>
      </c>
      <c r="I182" s="8" t="n">
        <f aca="false">SUMIFS('Source'!$G:$G,'Source'!$A:$A,"160450 OY. EA. AB.",'Source'!$B:$B,$A182)</f>
        <v>93.8</v>
      </c>
      <c r="J182" s="8" t="n">
        <f aca="false">I182*$J$5</f>
        <v>118.484210526316</v>
      </c>
      <c r="K182" s="8" t="n">
        <f aca="false">J182-H182</f>
        <v>47.5342105263158</v>
      </c>
      <c r="L182" s="9" t="n">
        <f aca="false">IF(AND(H182=0,J182=0),0,IF(H182=0,"New",(J182-H182)/H182))</f>
        <v>0.669967731167241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202</v>
      </c>
      <c r="B183" s="7" t="str">
        <f aca="false">IFERROR(INDEX('Source'!$C:$C,MATCH($A183,'Source'!$B:$B,0)),"")</f>
        <v>סד יד דו צדדי</v>
      </c>
      <c r="C183" s="8" t="n">
        <f aca="false">SUMIFS('Source'!$D:$D,'Source'!$A:$A,"160450 OY. EA. AB.",'Source'!$B:$B,$A183)</f>
        <v>4</v>
      </c>
      <c r="D183" s="8" t="n">
        <f aca="false">SUMIFS('Source'!$F:$F,'Source'!$A:$A,"160450 OY. EA. AB.",'Source'!$B:$B,$A183)</f>
        <v>4</v>
      </c>
      <c r="E183" s="8" t="n">
        <f aca="false">D183*$J$5</f>
        <v>5.05263157894737</v>
      </c>
      <c r="F183" s="8" t="n">
        <f aca="false">E183-C183</f>
        <v>1.05263157894737</v>
      </c>
      <c r="G183" s="9" t="n">
        <f aca="false">IF(AND(C183=0,E183=0),0,IF(C183=0,"New",(E183-C183)/C183))</f>
        <v>0.263157894736842</v>
      </c>
      <c r="H183" s="8" t="n">
        <f aca="false">SUMIFS('Source'!$E:$E,'Source'!$A:$A,"160450 OY. EA. AB.",'Source'!$B:$B,$A183)</f>
        <v>185.68</v>
      </c>
      <c r="I183" s="8" t="n">
        <f aca="false">SUMIFS('Source'!$G:$G,'Source'!$A:$A,"160450 OY. EA. AB.",'Source'!$B:$B,$A183)</f>
        <v>163.65</v>
      </c>
      <c r="J183" s="8" t="n">
        <f aca="false">I183*$J$5</f>
        <v>206.715789473684</v>
      </c>
      <c r="K183" s="8" t="n">
        <f aca="false">J183-H183</f>
        <v>21.0357894736842</v>
      </c>
      <c r="L183" s="9" t="n">
        <f aca="false">IF(AND(H183=0,J183=0),0,IF(H183=0,"New",(J183-H183)/H183))</f>
        <v>0.113290550806141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290</v>
      </c>
      <c r="B184" s="7" t="str">
        <f aca="false">IFERROR(INDEX('Source'!$C:$C,MATCH($A184,'Source'!$B:$B,0)),"")</f>
        <v>צוארון פלסטי מתכוונן</v>
      </c>
      <c r="C184" s="8" t="n">
        <f aca="false">SUMIFS('Source'!$D:$D,'Source'!$A:$A,"160450 OY. EA. AB.",'Source'!$B:$B,$A184)</f>
        <v>2</v>
      </c>
      <c r="D184" s="8" t="n">
        <f aca="false">SUMIFS('Source'!$F:$F,'Source'!$A:$A,"160450 OY. EA. AB.",'Source'!$B:$B,$A184)</f>
        <v>3</v>
      </c>
      <c r="E184" s="8" t="n">
        <f aca="false">D184*$J$5</f>
        <v>3.78947368421053</v>
      </c>
      <c r="F184" s="8" t="n">
        <f aca="false">E184-C184</f>
        <v>1.78947368421053</v>
      </c>
      <c r="G184" s="9" t="n">
        <f aca="false">IF(AND(C184=0,E184=0),0,IF(C184=0,"New",(E184-C184)/C184))</f>
        <v>0.894736842105263</v>
      </c>
      <c r="H184" s="8" t="n">
        <f aca="false">SUMIFS('Source'!$E:$E,'Source'!$A:$A,"160450 OY. EA. AB.",'Source'!$B:$B,$A184)</f>
        <v>56.61</v>
      </c>
      <c r="I184" s="8" t="n">
        <f aca="false">SUMIFS('Source'!$G:$G,'Source'!$A:$A,"160450 OY. EA. AB.",'Source'!$B:$B,$A184)</f>
        <v>74.84</v>
      </c>
      <c r="J184" s="8" t="n">
        <f aca="false">I184*$J$5</f>
        <v>94.5347368421053</v>
      </c>
      <c r="K184" s="8" t="n">
        <f aca="false">J184-H184</f>
        <v>37.9247368421053</v>
      </c>
      <c r="L184" s="9" t="n">
        <f aca="false">IF(AND(H184=0,J184=0),0,IF(H184=0,"New",(J184-H184)/H184))</f>
        <v>0.669929991911416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387</v>
      </c>
      <c r="B185" s="7" t="str">
        <f aca="false">IFERROR(INDEX('Source'!$C:$C,MATCH($A185,'Source'!$B:$B,0)),"")</f>
        <v>אצבעון מסיליקון</v>
      </c>
      <c r="C185" s="8" t="n">
        <f aca="false">SUMIFS('Source'!$D:$D,'Source'!$A:$A,"160450 OY. EA. AB.",'Source'!$B:$B,$A185)</f>
        <v>10</v>
      </c>
      <c r="D185" s="8" t="n">
        <f aca="false">SUMIFS('Source'!$F:$F,'Source'!$A:$A,"160450 OY. EA. AB.",'Source'!$B:$B,$A185)</f>
        <v>10</v>
      </c>
      <c r="E185" s="8" t="n">
        <f aca="false">D185*$J$5</f>
        <v>12.6315789473684</v>
      </c>
      <c r="F185" s="8" t="n">
        <f aca="false">E185-C185</f>
        <v>2.63157894736842</v>
      </c>
      <c r="G185" s="9" t="n">
        <f aca="false">IF(AND(C185=0,E185=0),0,IF(C185=0,"New",(E185-C185)/C185))</f>
        <v>0.263157894736842</v>
      </c>
      <c r="H185" s="8" t="n">
        <f aca="false">SUMIFS('Source'!$E:$E,'Source'!$A:$A,"160450 OY. EA. AB.",'Source'!$B:$B,$A185)</f>
        <v>107.3</v>
      </c>
      <c r="I185" s="8" t="n">
        <f aca="false">SUMIFS('Source'!$G:$G,'Source'!$A:$A,"160450 OY. EA. AB.",'Source'!$B:$B,$A185)</f>
        <v>89.81</v>
      </c>
      <c r="J185" s="8" t="n">
        <f aca="false">I185*$J$5</f>
        <v>113.444210526316</v>
      </c>
      <c r="K185" s="8" t="n">
        <f aca="false">J185-H185</f>
        <v>6.14421052631579</v>
      </c>
      <c r="L185" s="9" t="n">
        <f aca="false">IF(AND(H185=0,J185=0),0,IF(H185=0,"New",(J185-H185)/H185))</f>
        <v>0.0572619806739589</v>
      </c>
      <c r="M185" s="7" t="str">
        <f aca="false">IF(AND(OR(C185&lt;&gt;0,H185&lt;&gt;0),D185=0,I185=0),"DROP",IF(AND(OR(D185&lt;&gt;0,I185&lt;&gt;0),C185=0,H185=0),"NEW",""))</f>
        <v/>
      </c>
    </row>
    <row r="186" customFormat="false" ht="15" hidden="false" customHeight="false" outlineLevel="0" collapsed="false">
      <c r="A186" s="7" t="s">
        <v>437</v>
      </c>
      <c r="B186" s="7" t="str">
        <f aca="false">IFERROR(INDEX('Source'!$C:$C,MATCH($A186,'Source'!$B:$B,0)),"")</f>
        <v>חגורת גב עם תמיכות</v>
      </c>
      <c r="C186" s="8" t="n">
        <f aca="false">SUMIFS('Source'!$D:$D,'Source'!$A:$A,"160450 OY. EA. AB.",'Source'!$B:$B,$A186)</f>
        <v>35</v>
      </c>
      <c r="D186" s="8" t="n">
        <f aca="false">SUMIFS('Source'!$F:$F,'Source'!$A:$A,"160450 OY. EA. AB.",'Source'!$B:$B,$A186)</f>
        <v>40</v>
      </c>
      <c r="E186" s="8" t="n">
        <f aca="false">D186*$J$5</f>
        <v>50.5263157894737</v>
      </c>
      <c r="F186" s="8" t="n">
        <f aca="false">E186-C186</f>
        <v>15.5263157894737</v>
      </c>
      <c r="G186" s="9" t="n">
        <f aca="false">IF(AND(C186=0,E186=0),0,IF(C186=0,"New",(E186-C186)/C186))</f>
        <v>0.443609022556391</v>
      </c>
      <c r="H186" s="8" t="n">
        <f aca="false">SUMIFS('Source'!$E:$E,'Source'!$A:$A,"160450 OY. EA. AB.",'Source'!$B:$B,$A186)</f>
        <v>1954.88</v>
      </c>
      <c r="I186" s="8" t="n">
        <f aca="false">SUMIFS('Source'!$G:$G,'Source'!$A:$A,"160450 OY. EA. AB.",'Source'!$B:$B,$A186)</f>
        <v>1969.17</v>
      </c>
      <c r="J186" s="8" t="n">
        <f aca="false">I186*$J$5</f>
        <v>2487.37263157895</v>
      </c>
      <c r="K186" s="8" t="n">
        <f aca="false">J186-H186</f>
        <v>532.492631578947</v>
      </c>
      <c r="L186" s="9" t="n">
        <f aca="false">IF(AND(H186=0,J186=0),0,IF(H186=0,"New",(J186-H186)/H186))</f>
        <v>0.272391467291571</v>
      </c>
      <c r="M186" s="7" t="str">
        <f aca="false">IF(AND(OR(C186&lt;&gt;0,H186&lt;&gt;0),D186=0,I186=0),"DROP",IF(AND(OR(D186&lt;&gt;0,I186&lt;&gt;0),C186=0,H186=0),"NEW",""))</f>
        <v/>
      </c>
    </row>
    <row r="187" customFormat="false" ht="15" hidden="false" customHeight="false" outlineLevel="0" collapsed="false">
      <c r="A187" s="7" t="s">
        <v>478</v>
      </c>
      <c r="B187" s="7" t="str">
        <f aca="false">IFERROR(INDEX('Source'!$C:$C,MATCH($A187,'Source'!$B:$B,0)),"")</f>
        <v>מדבקה גדולה מסיליקון</v>
      </c>
      <c r="C187" s="8" t="n">
        <f aca="false">SUMIFS('Source'!$D:$D,'Source'!$A:$A,"160450 OY. EA. AB.",'Source'!$B:$B,$A187)</f>
        <v>10</v>
      </c>
      <c r="D187" s="8" t="n">
        <f aca="false">SUMIFS('Source'!$F:$F,'Source'!$A:$A,"160450 OY. EA. AB.",'Source'!$B:$B,$A187)</f>
        <v>10</v>
      </c>
      <c r="E187" s="8" t="n">
        <f aca="false">D187*$J$5</f>
        <v>12.6315789473684</v>
      </c>
      <c r="F187" s="8" t="n">
        <f aca="false">E187-C187</f>
        <v>2.63157894736842</v>
      </c>
      <c r="G187" s="9" t="n">
        <f aca="false">IF(AND(C187=0,E187=0),0,IF(C187=0,"New",(E187-C187)/C187))</f>
        <v>0.263157894736842</v>
      </c>
      <c r="H187" s="8" t="n">
        <f aca="false">SUMIFS('Source'!$E:$E,'Source'!$A:$A,"160450 OY. EA. AB.",'Source'!$B:$B,$A187)</f>
        <v>79.25</v>
      </c>
      <c r="I187" s="8" t="n">
        <f aca="false">SUMIFS('Source'!$G:$G,'Source'!$A:$A,"160450 OY. EA. AB.",'Source'!$B:$B,$A187)</f>
        <v>69.85</v>
      </c>
      <c r="J187" s="8" t="n">
        <f aca="false">I187*$J$5</f>
        <v>88.2315789473684</v>
      </c>
      <c r="K187" s="8" t="n">
        <f aca="false">J187-H187</f>
        <v>8.98157894736841</v>
      </c>
      <c r="L187" s="9" t="n">
        <f aca="false">IF(AND(H187=0,J187=0),0,IF(H187=0,"New",(J187-H187)/H187))</f>
        <v>0.113332226465216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429</v>
      </c>
      <c r="B188" s="7" t="str">
        <f aca="false">IFERROR(INDEX('Source'!$C:$C,MATCH($A188,'Source'!$B:$B,0)),"")</f>
        <v>סד לאגודל</v>
      </c>
      <c r="C188" s="8" t="n">
        <f aca="false">SUMIFS('Source'!$D:$D,'Source'!$A:$A,"160450 OY. EA. AB.",'Source'!$B:$B,$A188)</f>
        <v>2</v>
      </c>
      <c r="D188" s="8" t="n">
        <f aca="false">SUMIFS('Source'!$F:$F,'Source'!$A:$A,"160450 OY. EA. AB.",'Source'!$B:$B,$A188)</f>
        <v>2</v>
      </c>
      <c r="E188" s="8" t="n">
        <f aca="false">D188*$J$5</f>
        <v>2.52631578947368</v>
      </c>
      <c r="F188" s="8" t="n">
        <f aca="false">E188-C188</f>
        <v>0.526315789473684</v>
      </c>
      <c r="G188" s="9" t="n">
        <f aca="false">IF(AND(C188=0,E188=0),0,IF(C188=0,"New",(E188-C188)/C188))</f>
        <v>0.263157894736842</v>
      </c>
      <c r="H188" s="8" t="n">
        <f aca="false">SUMIFS('Source'!$E:$E,'Source'!$A:$A,"160450 OY. EA. AB.",'Source'!$B:$B,$A188)</f>
        <v>77.74</v>
      </c>
      <c r="I188" s="8" t="n">
        <f aca="false">SUMIFS('Source'!$G:$G,'Source'!$A:$A,"160450 OY. EA. AB.",'Source'!$B:$B,$A188)</f>
        <v>68.52</v>
      </c>
      <c r="J188" s="8" t="n">
        <f aca="false">I188*$J$5</f>
        <v>86.5515789473684</v>
      </c>
      <c r="K188" s="8" t="n">
        <f aca="false">J188-H188</f>
        <v>8.81157894736842</v>
      </c>
      <c r="L188" s="9" t="n">
        <f aca="false">IF(AND(H188=0,J188=0),0,IF(H188=0,"New",(J188-H188)/H188))</f>
        <v>0.113346783475282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650</v>
      </c>
      <c r="B189" s="7" t="str">
        <f aca="false">IFERROR(INDEX('Source'!$C:$C,MATCH($A189,'Source'!$B:$B,0)),"")</f>
        <v>כ.הפרדת אצבעות ס</v>
      </c>
      <c r="C189" s="8" t="n">
        <f aca="false">SUMIFS('Source'!$D:$D,'Source'!$A:$A,"160450 OY. EA. AB.",'Source'!$B:$B,$A189)</f>
        <v>10</v>
      </c>
      <c r="D189" s="8" t="n">
        <f aca="false">SUMIFS('Source'!$F:$F,'Source'!$A:$A,"160450 OY. EA. AB.",'Source'!$B:$B,$A189)</f>
        <v>10</v>
      </c>
      <c r="E189" s="8" t="n">
        <f aca="false">D189*$J$5</f>
        <v>12.6315789473684</v>
      </c>
      <c r="F189" s="8" t="n">
        <f aca="false">E189-C189</f>
        <v>2.63157894736842</v>
      </c>
      <c r="G189" s="9" t="n">
        <f aca="false">IF(AND(C189=0,E189=0),0,IF(C189=0,"New",(E189-C189)/C189))</f>
        <v>0.263157894736842</v>
      </c>
      <c r="H189" s="8" t="n">
        <f aca="false">SUMIFS('Source'!$E:$E,'Source'!$A:$A,"160450 OY. EA. AB.",'Source'!$B:$B,$A189)</f>
        <v>64.16</v>
      </c>
      <c r="I189" s="8" t="n">
        <f aca="false">SUMIFS('Source'!$G:$G,'Source'!$A:$A,"160450 OY. EA. AB.",'Source'!$B:$B,$A189)</f>
        <v>56.55</v>
      </c>
      <c r="J189" s="8" t="n">
        <f aca="false">I189*$J$5</f>
        <v>71.4315789473684</v>
      </c>
      <c r="K189" s="8" t="n">
        <f aca="false">J189-H189</f>
        <v>7.27157894736841</v>
      </c>
      <c r="L189" s="9" t="n">
        <f aca="false">IF(AND(H189=0,J189=0),0,IF(H189=0,"New",(J189-H189)/H189))</f>
        <v>0.113335083344271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472</v>
      </c>
      <c r="B190" s="7" t="str">
        <f aca="false">IFERROR(INDEX('Source'!$C:$C,MATCH($A190,'Source'!$B:$B,0)),"")</f>
        <v>צוארון פלסטי מתכוונן</v>
      </c>
      <c r="C190" s="8" t="n">
        <f aca="false">SUMIFS('Source'!$D:$D,'Source'!$A:$A,"160450 OY. EA. AB.",'Source'!$B:$B,$A190)</f>
        <v>2</v>
      </c>
      <c r="D190" s="8" t="n">
        <f aca="false">SUMIFS('Source'!$F:$F,'Source'!$A:$A,"160450 OY. EA. AB.",'Source'!$B:$B,$A190)</f>
        <v>2</v>
      </c>
      <c r="E190" s="8" t="n">
        <f aca="false">D190*$J$5</f>
        <v>2.52631578947368</v>
      </c>
      <c r="F190" s="8" t="n">
        <f aca="false">E190-C190</f>
        <v>0.526315789473684</v>
      </c>
      <c r="G190" s="9" t="n">
        <f aca="false">IF(AND(C190=0,E190=0),0,IF(C190=0,"New",(E190-C190)/C190))</f>
        <v>0.263157894736842</v>
      </c>
      <c r="H190" s="8" t="n">
        <f aca="false">SUMIFS('Source'!$E:$E,'Source'!$A:$A,"160450 OY. EA. AB.",'Source'!$B:$B,$A190)</f>
        <v>56.61</v>
      </c>
      <c r="I190" s="8" t="n">
        <f aca="false">SUMIFS('Source'!$G:$G,'Source'!$A:$A,"160450 OY. EA. AB.",'Source'!$B:$B,$A190)</f>
        <v>49.89</v>
      </c>
      <c r="J190" s="8" t="n">
        <f aca="false">I190*$J$5</f>
        <v>63.0189473684211</v>
      </c>
      <c r="K190" s="8" t="n">
        <f aca="false">J190-H190</f>
        <v>6.40894736842105</v>
      </c>
      <c r="L190" s="9" t="n">
        <f aca="false">IF(AND(H190=0,J190=0),0,IF(H190=0,"New",(J190-H190)/H190))</f>
        <v>0.113212283490921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657</v>
      </c>
      <c r="B191" s="7" t="str">
        <f aca="false">IFERROR(INDEX('Source'!$C:$C,MATCH($A191,'Source'!$B:$B,0)),"")</f>
        <v>מגן ברך חום</v>
      </c>
      <c r="C191" s="8" t="n">
        <f aca="false">SUMIFS('Source'!$D:$D,'Source'!$A:$A,"160450 OY. EA. AB.",'Source'!$B:$B,$A191)</f>
        <v>9</v>
      </c>
      <c r="D191" s="8" t="n">
        <f aca="false">SUMIFS('Source'!$F:$F,'Source'!$A:$A,"160450 OY. EA. AB.",'Source'!$B:$B,$A191)</f>
        <v>10</v>
      </c>
      <c r="E191" s="8" t="n">
        <f aca="false">D191*$J$5</f>
        <v>12.6315789473684</v>
      </c>
      <c r="F191" s="8" t="n">
        <f aca="false">E191-C191</f>
        <v>3.63157894736842</v>
      </c>
      <c r="G191" s="9" t="n">
        <f aca="false">IF(AND(C191=0,E191=0),0,IF(C191=0,"New",(E191-C191)/C191))</f>
        <v>0.403508771929825</v>
      </c>
      <c r="H191" s="8" t="n">
        <f aca="false">SUMIFS('Source'!$E:$E,'Source'!$A:$A,"160450 OY. EA. AB.",'Source'!$B:$B,$A191)</f>
        <v>102.56</v>
      </c>
      <c r="I191" s="8" t="n">
        <f aca="false">SUMIFS('Source'!$G:$G,'Source'!$A:$A,"160450 OY. EA. AB.",'Source'!$B:$B,$A191)</f>
        <v>98.13</v>
      </c>
      <c r="J191" s="8" t="n">
        <f aca="false">I191*$J$5</f>
        <v>123.953684210526</v>
      </c>
      <c r="K191" s="8" t="n">
        <f aca="false">J191-H191</f>
        <v>21.3936842105263</v>
      </c>
      <c r="L191" s="9" t="n">
        <f aca="false">IF(AND(H191=0,J191=0),0,IF(H191=0,"New",(J191-H191)/H191))</f>
        <v>0.208596764923228</v>
      </c>
      <c r="M191" s="7" t="str">
        <f aca="false">IF(AND(OR(C191&lt;&gt;0,H191&lt;&gt;0),D191=0,I191=0),"DROP",IF(AND(OR(D191&lt;&gt;0,I191&lt;&gt;0),C191=0,H191=0),"NEW",""))</f>
        <v/>
      </c>
    </row>
    <row r="193" customFormat="false" ht="15" hidden="false" customHeight="false" outlineLevel="0" collapsed="false">
      <c r="A193" s="17"/>
      <c r="B193" s="18" t="s">
        <v>97</v>
      </c>
      <c r="C193" s="19" t="n">
        <f aca="false">SUM(C9:C191)</f>
        <v>2672</v>
      </c>
      <c r="D193" s="19" t="n">
        <f aca="false">SUM(D9:D191)</f>
        <v>1516</v>
      </c>
      <c r="E193" s="19" t="n">
        <f aca="false">SUM(E9:E191)</f>
        <v>1914.94736842105</v>
      </c>
      <c r="F193" s="19" t="n">
        <f aca="false">SUM(F9:F191)</f>
        <v>-757.052631578947</v>
      </c>
      <c r="G193" s="20" t="n">
        <f aca="false">IF(C193=0,"N/A",F193/C193)</f>
        <v>-0.283328080680744</v>
      </c>
      <c r="H193" s="19" t="n">
        <f aca="false">SUM(H9:H191)</f>
        <v>64554.59</v>
      </c>
      <c r="I193" s="19" t="n">
        <f aca="false">SUM(I9:I191)</f>
        <v>43116.44</v>
      </c>
      <c r="J193" s="19" t="n">
        <f aca="false">SUM(J9:J191)</f>
        <v>54462.8715789474</v>
      </c>
      <c r="K193" s="19" t="n">
        <f aca="false">SUM(K9:K191)</f>
        <v>-10091.7184210526</v>
      </c>
      <c r="L193" s="20" t="n">
        <f aca="false">IF(H193=0,"N/A",K193/H193)</f>
        <v>-0.156328441107792</v>
      </c>
      <c r="M193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1005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1006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SUMPRODUCT(--(((C9:C104&lt;&gt;0)+(H9:H104&lt;&gt;0)&gt;0)*((D9:D104=0)*(I9:I104=0))))</f>
        <v>33</v>
      </c>
      <c r="C5" s="13" t="s">
        <v>47</v>
      </c>
      <c r="D5" s="14" t="n">
        <f aca="false">SUMPRODUCT(--(((D9:D104&lt;&gt;0)+(I9:I104&lt;&gt;0)&gt;0)*((C9:C104=0)*(H9:H104=0))))</f>
        <v>28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SUMPRODUCT(--(((C9:C104&lt;&gt;0)+(H9:H104&lt;&gt;0)&gt;0)*((D9:D104=0)*(I9:I104=0)))*C9:C104)</f>
        <v>187</v>
      </c>
      <c r="C6" s="13" t="s">
        <v>50</v>
      </c>
      <c r="D6" s="14" t="n">
        <f aca="false">SUMPRODUCT(--(((C9:C104&lt;&gt;0)+(H9:H104&lt;&gt;0)&gt;0)*((D9:D104=0)*(I9:I104=0)))*H9:H104)</f>
        <v>12103.28</v>
      </c>
      <c r="E6" s="13" t="s">
        <v>51</v>
      </c>
      <c r="F6" s="14" t="n">
        <f aca="false">SUMPRODUCT(--(((D9:D104&lt;&gt;0)+(I9:I104&lt;&gt;0)&gt;0)*((C9:C104=0)*(H9:H104=0)))*D9:D104)</f>
        <v>-30</v>
      </c>
      <c r="G6" s="13" t="s">
        <v>52</v>
      </c>
      <c r="H6" s="14" t="n">
        <f aca="false">SUMPRODUCT(--(((D9:D104&lt;&gt;0)+(I9:I104&lt;&gt;0)&gt;0)*((C9:C104=0)*(H9:H104=0)))*I9:I104)</f>
        <v>695.09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147</v>
      </c>
      <c r="B9" s="7" t="str">
        <f aca="false">IFERROR(INDEX('Source'!$C:$C,MATCH($A9,'Source'!$B:$B,0)),"")</f>
        <v>חגורה למנותחי בית חזה</v>
      </c>
      <c r="C9" s="8" t="n">
        <f aca="false">SUMIFS('Source'!$D:$D,'Source'!$A:$A,"150366 א.א.אורטופדיה איתי-יהוד",'Source'!$B:$B,$A9)</f>
        <v>24</v>
      </c>
      <c r="D9" s="8" t="n">
        <f aca="false">SUMIFS('Source'!$F:$F,'Source'!$A:$A,"150366 א.א.אורטופדיה איתי-יהוד",'Source'!$B:$B,$A9)</f>
        <v>3</v>
      </c>
      <c r="E9" s="8" t="n">
        <f aca="false">D9*$J$5</f>
        <v>3.78947368421053</v>
      </c>
      <c r="F9" s="8" t="n">
        <f aca="false">E9-C9</f>
        <v>-20.2105263157895</v>
      </c>
      <c r="G9" s="9" t="n">
        <f aca="false">IF(AND(C9=0,E9=0),0,IF(C9=0,"New",(E9-C9)/C9))</f>
        <v>-0.842105263157895</v>
      </c>
      <c r="H9" s="8" t="n">
        <f aca="false">SUMIFS('Source'!$E:$E,'Source'!$A:$A,"150366 א.א.אורטופדיה איתי-יהוד",'Source'!$B:$B,$A9)</f>
        <v>4040.04</v>
      </c>
      <c r="I9" s="8" t="n">
        <f aca="false">SUMIFS('Source'!$G:$G,'Source'!$A:$A,"150366 א.א.אורטופדיה איתי-יהוד",'Source'!$B:$B,$A9)</f>
        <v>510.01</v>
      </c>
      <c r="J9" s="8" t="n">
        <f aca="false">I9*$J$5</f>
        <v>644.223157894737</v>
      </c>
      <c r="K9" s="8" t="n">
        <f aca="false">J9-H9</f>
        <v>-3395.81684210526</v>
      </c>
      <c r="L9" s="9" t="n">
        <f aca="false">IF(AND(H9=0,J9=0),0,IF(H9=0,"New",(J9-H9)/H9))</f>
        <v>-0.840540401111193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194</v>
      </c>
      <c r="B10" s="7" t="str">
        <f aca="false">IFERROR(INDEX('Source'!$C:$C,MATCH($A10,'Source'!$B:$B,0)),"")</f>
        <v>חגורת קיבוע לכתף</v>
      </c>
      <c r="C10" s="8" t="n">
        <f aca="false">SUMIFS('Source'!$D:$D,'Source'!$A:$A,"150366 א.א.אורטופדיה איתי-יהוד",'Source'!$B:$B,$A10)</f>
        <v>10</v>
      </c>
      <c r="D10" s="8" t="n">
        <f aca="false">SUMIFS('Source'!$F:$F,'Source'!$A:$A,"150366 א.א.אורטופדיה איתי-יהוד",'Source'!$B:$B,$A10)</f>
        <v>34</v>
      </c>
      <c r="E10" s="8" t="n">
        <f aca="false">D10*$J$5</f>
        <v>42.9473684210526</v>
      </c>
      <c r="F10" s="8" t="n">
        <f aca="false">E10-C10</f>
        <v>32.9473684210526</v>
      </c>
      <c r="G10" s="9" t="n">
        <f aca="false">IF(AND(C10=0,E10=0),0,IF(C10=0,"New",(E10-C10)/C10))</f>
        <v>3.29473684210526</v>
      </c>
      <c r="H10" s="8" t="n">
        <f aca="false">SUMIFS('Source'!$E:$E,'Source'!$A:$A,"150366 א.א.אורטופדיה איתי-יהוד",'Source'!$B:$B,$A10)</f>
        <v>1400</v>
      </c>
      <c r="I10" s="8" t="n">
        <f aca="false">SUMIFS('Source'!$G:$G,'Source'!$A:$A,"150366 א.א.אורטופדיה איתי-יהוד",'Source'!$B:$B,$A10)</f>
        <v>4760.06</v>
      </c>
      <c r="J10" s="8" t="n">
        <f aca="false">I10*$J$5</f>
        <v>6012.70736842105</v>
      </c>
      <c r="K10" s="8" t="n">
        <f aca="false">J10-H10</f>
        <v>4612.70736842105</v>
      </c>
      <c r="L10" s="9" t="n">
        <f aca="false">IF(AND(H10=0,J10=0),0,IF(H10=0,"New",(J10-H10)/H10))</f>
        <v>3.29479097744361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158</v>
      </c>
      <c r="B11" s="7" t="str">
        <f aca="false">IFERROR(INDEX('Source'!$C:$C,MATCH($A11,'Source'!$B:$B,0)),"")</f>
        <v>חגורת קיבוע לכתף</v>
      </c>
      <c r="C11" s="8" t="n">
        <f aca="false">SUMIFS('Source'!$D:$D,'Source'!$A:$A,"150366 א.א.אורטופדיה איתי-יהוד",'Source'!$B:$B,$A11)</f>
        <v>17</v>
      </c>
      <c r="D11" s="8" t="n">
        <f aca="false">SUMIFS('Source'!$F:$F,'Source'!$A:$A,"150366 א.א.אורטופדיה איתי-יהוד",'Source'!$B:$B,$A11)</f>
        <v>40</v>
      </c>
      <c r="E11" s="8" t="n">
        <f aca="false">D11*$J$5</f>
        <v>50.5263157894737</v>
      </c>
      <c r="F11" s="8" t="n">
        <f aca="false">E11-C11</f>
        <v>33.5263157894737</v>
      </c>
      <c r="G11" s="9" t="n">
        <f aca="false">IF(AND(C11=0,E11=0),0,IF(C11=0,"New",(E11-C11)/C11))</f>
        <v>1.97213622291022</v>
      </c>
      <c r="H11" s="8" t="n">
        <f aca="false">SUMIFS('Source'!$E:$E,'Source'!$A:$A,"150366 א.א.אורטופדיה איתי-יהוד",'Source'!$B:$B,$A11)</f>
        <v>2367.02</v>
      </c>
      <c r="I11" s="8" t="n">
        <f aca="false">SUMIFS('Source'!$G:$G,'Source'!$A:$A,"150366 א.א.אורטופדיה איתי-יהוד",'Source'!$B:$B,$A11)</f>
        <v>5600.08</v>
      </c>
      <c r="J11" s="8" t="n">
        <f aca="false">I11*$J$5</f>
        <v>7073.78526315789</v>
      </c>
      <c r="K11" s="8" t="n">
        <f aca="false">J11-H11</f>
        <v>4706.7652631579</v>
      </c>
      <c r="L11" s="9" t="n">
        <f aca="false">IF(AND(H11=0,J11=0),0,IF(H11=0,"New",(J11-H11)/H11))</f>
        <v>1.98847718361395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372</v>
      </c>
      <c r="B12" s="7" t="str">
        <f aca="false">IFERROR(INDEX('Source'!$C:$C,MATCH($A12,'Source'!$B:$B,0)),"")</f>
        <v>חגורת פאבליק (רצועות אבדוקציה)</v>
      </c>
      <c r="C12" s="8" t="n">
        <f aca="false">SUMIFS('Source'!$D:$D,'Source'!$A:$A,"150366 א.א.אורטופדיה איתי-יהוד",'Source'!$B:$B,$A12)</f>
        <v>22</v>
      </c>
      <c r="D12" s="8" t="n">
        <f aca="false">SUMIFS('Source'!$F:$F,'Source'!$A:$A,"150366 א.א.אורטופדיה איתי-יהוד",'Source'!$B:$B,$A12)</f>
        <v>9</v>
      </c>
      <c r="E12" s="8" t="n">
        <f aca="false">D12*$J$5</f>
        <v>11.3684210526316</v>
      </c>
      <c r="F12" s="8" t="n">
        <f aca="false">E12-C12</f>
        <v>-10.6315789473684</v>
      </c>
      <c r="G12" s="9" t="n">
        <f aca="false">IF(AND(C12=0,E12=0),0,IF(C12=0,"New",(E12-C12)/C12))</f>
        <v>-0.483253588516746</v>
      </c>
      <c r="H12" s="8" t="n">
        <f aca="false">SUMIFS('Source'!$E:$E,'Source'!$A:$A,"150366 א.א.אורטופדיה איתי-יהוד",'Source'!$B:$B,$A12)</f>
        <v>5568.03</v>
      </c>
      <c r="I12" s="8" t="n">
        <f aca="false">SUMIFS('Source'!$G:$G,'Source'!$A:$A,"150366 א.א.אורטופדיה איתי-יהוד",'Source'!$B:$B,$A12)</f>
        <v>2340</v>
      </c>
      <c r="J12" s="8" t="n">
        <f aca="false">I12*$J$5</f>
        <v>2955.78947368421</v>
      </c>
      <c r="K12" s="8" t="n">
        <f aca="false">J12-H12</f>
        <v>-2612.24052631579</v>
      </c>
      <c r="L12" s="9" t="n">
        <f aca="false">IF(AND(H12=0,J12=0),0,IF(H12=0,"New",(J12-H12)/H12))</f>
        <v>-0.46914986562856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200</v>
      </c>
      <c r="B13" s="7" t="str">
        <f aca="false">IFERROR(INDEX('Source'!$C:$C,MATCH($A13,'Source'!$B:$B,0)),"")</f>
        <v>חגורת פאבליק (רצועות אבדוקציה)</v>
      </c>
      <c r="C13" s="8" t="n">
        <f aca="false">SUMIFS('Source'!$D:$D,'Source'!$A:$A,"150366 א.א.אורטופדיה איתי-יהוד",'Source'!$B:$B,$A13)</f>
        <v>10</v>
      </c>
      <c r="D13" s="8" t="n">
        <f aca="false">SUMIFS('Source'!$F:$F,'Source'!$A:$A,"150366 א.א.אורטופדיה איתי-יהוד",'Source'!$B:$B,$A13)</f>
        <v>18</v>
      </c>
      <c r="E13" s="8" t="n">
        <f aca="false">D13*$J$5</f>
        <v>22.7368421052632</v>
      </c>
      <c r="F13" s="8" t="n">
        <f aca="false">E13-C13</f>
        <v>12.7368421052632</v>
      </c>
      <c r="G13" s="9" t="n">
        <f aca="false">IF(AND(C13=0,E13=0),0,IF(C13=0,"New",(E13-C13)/C13))</f>
        <v>1.27368421052632</v>
      </c>
      <c r="H13" s="8" t="n">
        <f aca="false">SUMIFS('Source'!$E:$E,'Source'!$A:$A,"150366 א.א.אורטופדיה איתי-יהוד",'Source'!$B:$B,$A13)</f>
        <v>2524.03</v>
      </c>
      <c r="I13" s="8" t="n">
        <f aca="false">SUMIFS('Source'!$G:$G,'Source'!$A:$A,"150366 א.א.אורטופדיה איתי-יהוד",'Source'!$B:$B,$A13)</f>
        <v>4680.05</v>
      </c>
      <c r="J13" s="8" t="n">
        <f aca="false">I13*$J$5</f>
        <v>5911.64210526316</v>
      </c>
      <c r="K13" s="8" t="n">
        <f aca="false">J13-H13</f>
        <v>3387.61210526316</v>
      </c>
      <c r="L13" s="9" t="n">
        <f aca="false">IF(AND(H13=0,J13=0),0,IF(H13=0,"New",(J13-H13)/H13))</f>
        <v>1.34214415251132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358</v>
      </c>
      <c r="B14" s="7" t="str">
        <f aca="false">IFERROR(INDEX('Source'!$C:$C,MATCH($A14,'Source'!$B:$B,0)),"")</f>
        <v>חגורת קיבוע לכתף</v>
      </c>
      <c r="C14" s="8" t="n">
        <f aca="false">SUMIFS('Source'!$D:$D,'Source'!$A:$A,"150366 א.א.אורטופדיה איתי-יהוד",'Source'!$B:$B,$A14)</f>
        <v>14</v>
      </c>
      <c r="D14" s="8" t="n">
        <f aca="false">SUMIFS('Source'!$F:$F,'Source'!$A:$A,"150366 א.א.אורטופדיה איתי-יהוד",'Source'!$B:$B,$A14)</f>
        <v>27</v>
      </c>
      <c r="E14" s="8" t="n">
        <f aca="false">D14*$J$5</f>
        <v>34.1052631578947</v>
      </c>
      <c r="F14" s="8" t="n">
        <f aca="false">E14-C14</f>
        <v>20.1052631578947</v>
      </c>
      <c r="G14" s="9" t="n">
        <f aca="false">IF(AND(C14=0,E14=0),0,IF(C14=0,"New",(E14-C14)/C14))</f>
        <v>1.43609022556391</v>
      </c>
      <c r="H14" s="8" t="n">
        <f aca="false">SUMIFS('Source'!$E:$E,'Source'!$A:$A,"150366 א.א.אורטופדיה איתי-יהוד",'Source'!$B:$B,$A14)</f>
        <v>1960.03</v>
      </c>
      <c r="I14" s="8" t="n">
        <f aca="false">SUMIFS('Source'!$G:$G,'Source'!$A:$A,"150366 א.א.אורטופדיה איתי-יהוד",'Source'!$B:$B,$A14)</f>
        <v>3780.05</v>
      </c>
      <c r="J14" s="8" t="n">
        <f aca="false">I14*$J$5</f>
        <v>4774.8</v>
      </c>
      <c r="K14" s="8" t="n">
        <f aca="false">J14-H14</f>
        <v>2814.77</v>
      </c>
      <c r="L14" s="9" t="n">
        <f aca="false">IF(AND(H14=0,J14=0),0,IF(H14=0,"New",(J14-H14)/H14))</f>
        <v>1.43608516196181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138</v>
      </c>
      <c r="B15" s="7" t="str">
        <f aca="false">IFERROR(INDEX('Source'!$C:$C,MATCH($A15,'Source'!$B:$B,0)),"")</f>
        <v>חגורת פאבליק (רצועות אבדוקציה)</v>
      </c>
      <c r="C15" s="8" t="n">
        <f aca="false">SUMIFS('Source'!$D:$D,'Source'!$A:$A,"150366 א.א.אורטופדיה איתי-יהוד",'Source'!$B:$B,$A15)</f>
        <v>28</v>
      </c>
      <c r="D15" s="8" t="n">
        <f aca="false">SUMIFS('Source'!$F:$F,'Source'!$A:$A,"150366 א.א.אורטופדיה איתי-יהוד",'Source'!$B:$B,$A15)</f>
        <v>19</v>
      </c>
      <c r="E15" s="8" t="n">
        <f aca="false">D15*$J$5</f>
        <v>24</v>
      </c>
      <c r="F15" s="8" t="n">
        <f aca="false">E15-C15</f>
        <v>-4</v>
      </c>
      <c r="G15" s="9" t="n">
        <f aca="false">IF(AND(C15=0,E15=0),0,IF(C15=0,"New",(E15-C15)/C15))</f>
        <v>-0.142857142857143</v>
      </c>
      <c r="H15" s="8" t="n">
        <f aca="false">SUMIFS('Source'!$E:$E,'Source'!$A:$A,"150366 א.א.אורטופדיה איתי-יהוד",'Source'!$B:$B,$A15)</f>
        <v>6748.02</v>
      </c>
      <c r="I15" s="8" t="n">
        <f aca="false">SUMIFS('Source'!$G:$G,'Source'!$A:$A,"150366 א.א.אורטופדיה איתי-יהוד",'Source'!$B:$B,$A15)</f>
        <v>4940.03</v>
      </c>
      <c r="J15" s="8" t="n">
        <f aca="false">I15*$J$5</f>
        <v>6240.03789473684</v>
      </c>
      <c r="K15" s="8" t="n">
        <f aca="false">J15-H15</f>
        <v>-507.982105263159</v>
      </c>
      <c r="L15" s="9" t="n">
        <f aca="false">IF(AND(H15=0,J15=0),0,IF(H15=0,"New",(J15-H15)/H15))</f>
        <v>-0.0752786899361826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674</v>
      </c>
      <c r="B16" s="7" t="str">
        <f aca="false">IFERROR(INDEX('Source'!$C:$C,MATCH($A16,'Source'!$B:$B,0)),"")</f>
        <v>טלק לכף הרגל מועשר באלוורה</v>
      </c>
      <c r="C16" s="8" t="n">
        <f aca="false">SUMIFS('Source'!$D:$D,'Source'!$A:$A,"150366 א.א.אורטופדיה איתי-יהוד",'Source'!$B:$B,$A16)</f>
        <v>300</v>
      </c>
      <c r="D16" s="8" t="n">
        <f aca="false">SUMIFS('Source'!$F:$F,'Source'!$A:$A,"150366 א.א.אורטופדיה איתי-יהוד",'Source'!$B:$B,$A16)</f>
        <v>238</v>
      </c>
      <c r="E16" s="8" t="n">
        <f aca="false">D16*$J$5</f>
        <v>300.631578947368</v>
      </c>
      <c r="F16" s="8" t="n">
        <f aca="false">E16-C16</f>
        <v>0.631578947368382</v>
      </c>
      <c r="G16" s="9" t="n">
        <f aca="false">IF(AND(C16=0,E16=0),0,IF(C16=0,"New",(E16-C16)/C16))</f>
        <v>0.00210526315789461</v>
      </c>
      <c r="H16" s="8" t="n">
        <f aca="false">SUMIFS('Source'!$E:$E,'Source'!$A:$A,"150366 א.א.אורטופדיה איתי-יהוד",'Source'!$B:$B,$A16)</f>
        <v>5760</v>
      </c>
      <c r="I16" s="8" t="n">
        <f aca="false">SUMIFS('Source'!$G:$G,'Source'!$A:$A,"150366 א.א.אורטופדיה איתי-יהוד",'Source'!$B:$B,$A16)</f>
        <v>4329.6</v>
      </c>
      <c r="J16" s="8" t="n">
        <f aca="false">I16*$J$5</f>
        <v>5468.96842105263</v>
      </c>
      <c r="K16" s="8" t="n">
        <f aca="false">J16-H16</f>
        <v>-291.031578947368</v>
      </c>
      <c r="L16" s="9" t="n">
        <f aca="false">IF(AND(H16=0,J16=0),0,IF(H16=0,"New",(J16-H16)/H16))</f>
        <v>-0.0505263157894736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979</v>
      </c>
      <c r="B17" s="7" t="str">
        <f aca="false">IFERROR(INDEX('Source'!$C:$C,MATCH($A17,'Source'!$B:$B,0)),"")</f>
        <v>חגורת פיסוק פאבליק</v>
      </c>
      <c r="C17" s="8" t="n">
        <f aca="false">SUMIFS('Source'!$D:$D,'Source'!$A:$A,"150366 א.א.אורטופדיה איתי-יהוד",'Source'!$B:$B,$A17)</f>
        <v>6</v>
      </c>
      <c r="D17" s="8" t="n">
        <f aca="false">SUMIFS('Source'!$F:$F,'Source'!$A:$A,"150366 א.א.אורטופדיה איתי-יהוד",'Source'!$B:$B,$A17)</f>
        <v>0</v>
      </c>
      <c r="E17" s="8" t="n">
        <f aca="false">D17*$J$5</f>
        <v>0</v>
      </c>
      <c r="F17" s="8" t="n">
        <f aca="false">E17-C17</f>
        <v>-6</v>
      </c>
      <c r="G17" s="9" t="n">
        <f aca="false">IF(AND(C17=0,E17=0),0,IF(C17=0,"New",(E17-C17)/C17))</f>
        <v>-1</v>
      </c>
      <c r="H17" s="8" t="n">
        <f aca="false">SUMIFS('Source'!$E:$E,'Source'!$A:$A,"150366 א.א.אורטופדיה איתי-יהוד",'Source'!$B:$B,$A17)</f>
        <v>1321.8</v>
      </c>
      <c r="I17" s="8" t="n">
        <f aca="false">SUMIFS('Source'!$G:$G,'Source'!$A:$A,"150366 א.א.אורטופדיה איתי-יהוד",'Source'!$B:$B,$A17)</f>
        <v>0</v>
      </c>
      <c r="J17" s="8" t="n">
        <f aca="false">I17*$J$5</f>
        <v>0</v>
      </c>
      <c r="K17" s="8" t="n">
        <f aca="false">J17-H17</f>
        <v>-1321.8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149</v>
      </c>
      <c r="B18" s="7" t="str">
        <f aca="false">IFERROR(INDEX('Source'!$C:$C,MATCH($A18,'Source'!$B:$B,0)),"")</f>
        <v>SpinaShield | חגורת תיקון יציבה לעמוד שדרה וכתפיים</v>
      </c>
      <c r="C18" s="8" t="n">
        <f aca="false">SUMIFS('Source'!$D:$D,'Source'!$A:$A,"150366 א.א.אורטופדיה איתי-יהוד",'Source'!$B:$B,$A18)</f>
        <v>0</v>
      </c>
      <c r="D18" s="8" t="n">
        <f aca="false">SUMIFS('Source'!$F:$F,'Source'!$A:$A,"150366 א.א.אורטופדיה איתי-יהוד",'Source'!$B:$B,$A18)</f>
        <v>3</v>
      </c>
      <c r="E18" s="8" t="n">
        <f aca="false">D18*$J$5</f>
        <v>3.78947368421053</v>
      </c>
      <c r="F18" s="8" t="n">
        <f aca="false">E18-C18</f>
        <v>3.78947368421053</v>
      </c>
      <c r="G18" s="9" t="str">
        <f aca="false">IF(AND(C18=0,E18=0),0,IF(C18=0,"New",(E18-C18)/C18))</f>
        <v>New</v>
      </c>
      <c r="H18" s="8" t="n">
        <f aca="false">SUMIFS('Source'!$E:$E,'Source'!$A:$A,"150366 א.א.אורטופדיה איתי-יהוד",'Source'!$B:$B,$A18)</f>
        <v>0</v>
      </c>
      <c r="I18" s="8" t="n">
        <f aca="false">SUMIFS('Source'!$G:$G,'Source'!$A:$A,"150366 א.א.אורטופדיה איתי-יהוד",'Source'!$B:$B,$A18)</f>
        <v>1050.02</v>
      </c>
      <c r="J18" s="8" t="n">
        <f aca="false">I18*$J$5</f>
        <v>1326.34105263158</v>
      </c>
      <c r="K18" s="8" t="n">
        <f aca="false">J18-H18</f>
        <v>1326.34105263158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142</v>
      </c>
      <c r="B19" s="7" t="str">
        <f aca="false">IFERROR(INDEX('Source'!$C:$C,MATCH($A19,'Source'!$B:$B,0)),"")</f>
        <v>SpinaShield | חגורת תיקון יציבה לעמוד שדרה וכתפיים</v>
      </c>
      <c r="C19" s="8" t="n">
        <f aca="false">SUMIFS('Source'!$D:$D,'Source'!$A:$A,"150366 א.א.אורטופדיה איתי-יהוד",'Source'!$B:$B,$A19)</f>
        <v>0</v>
      </c>
      <c r="D19" s="8" t="n">
        <f aca="false">SUMIFS('Source'!$F:$F,'Source'!$A:$A,"150366 א.א.אורטופדיה איתי-יהוד",'Source'!$B:$B,$A19)</f>
        <v>3</v>
      </c>
      <c r="E19" s="8" t="n">
        <f aca="false">D19*$J$5</f>
        <v>3.78947368421053</v>
      </c>
      <c r="F19" s="8" t="n">
        <f aca="false">E19-C19</f>
        <v>3.78947368421053</v>
      </c>
      <c r="G19" s="9" t="str">
        <f aca="false">IF(AND(C19=0,E19=0),0,IF(C19=0,"New",(E19-C19)/C19))</f>
        <v>New</v>
      </c>
      <c r="H19" s="8" t="n">
        <f aca="false">SUMIFS('Source'!$E:$E,'Source'!$A:$A,"150366 א.א.אורטופדיה איתי-יהוד",'Source'!$B:$B,$A19)</f>
        <v>0</v>
      </c>
      <c r="I19" s="8" t="n">
        <f aca="false">SUMIFS('Source'!$G:$G,'Source'!$A:$A,"150366 א.א.אורטופדיה איתי-יהוד",'Source'!$B:$B,$A19)</f>
        <v>1050</v>
      </c>
      <c r="J19" s="8" t="n">
        <f aca="false">I19*$J$5</f>
        <v>1326.31578947368</v>
      </c>
      <c r="K19" s="8" t="n">
        <f aca="false">J19-H19</f>
        <v>1326.31578947368</v>
      </c>
      <c r="L19" s="9" t="str">
        <f aca="false">IF(AND(H19=0,J19=0),0,IF(H19=0,"New",(J19-H19)/H19))</f>
        <v>New</v>
      </c>
      <c r="M19" s="7" t="str">
        <f aca="false">IF(AND(OR(C19&lt;&gt;0,H19&lt;&gt;0),D19=0,I19=0),"DROP",IF(AND(OR(D19&lt;&gt;0,I19&lt;&gt;0),C19=0,H19=0),"NEW",""))</f>
        <v>NEW</v>
      </c>
    </row>
    <row r="20" customFormat="false" ht="15" hidden="false" customHeight="false" outlineLevel="0" collapsed="false">
      <c r="A20" s="7" t="s">
        <v>1007</v>
      </c>
      <c r="B20" s="7" t="str">
        <f aca="false">IFERROR(INDEX('Source'!$C:$C,MATCH($A20,'Source'!$B:$B,0)),"")</f>
        <v>חגורת פיסוק פאבליק</v>
      </c>
      <c r="C20" s="8" t="n">
        <f aca="false">SUMIFS('Source'!$D:$D,'Source'!$A:$A,"150366 א.א.אורטופדיה איתי-יהוד",'Source'!$B:$B,$A20)</f>
        <v>4</v>
      </c>
      <c r="D20" s="8" t="n">
        <f aca="false">SUMIFS('Source'!$F:$F,'Source'!$A:$A,"150366 א.א.אורטופדיה איתי-יהוד",'Source'!$B:$B,$A20)</f>
        <v>0</v>
      </c>
      <c r="E20" s="8" t="n">
        <f aca="false">D20*$J$5</f>
        <v>0</v>
      </c>
      <c r="F20" s="8" t="n">
        <f aca="false">E20-C20</f>
        <v>-4</v>
      </c>
      <c r="G20" s="9" t="n">
        <f aca="false">IF(AND(C20=0,E20=0),0,IF(C20=0,"New",(E20-C20)/C20))</f>
        <v>-1</v>
      </c>
      <c r="H20" s="8" t="n">
        <f aca="false">SUMIFS('Source'!$E:$E,'Source'!$A:$A,"150366 א.א.אורטופדיה איתי-יהוד",'Source'!$B:$B,$A20)</f>
        <v>880.35</v>
      </c>
      <c r="I20" s="8" t="n">
        <f aca="false">SUMIFS('Source'!$G:$G,'Source'!$A:$A,"150366 א.א.אורטופדיה איתי-יהוד",'Source'!$B:$B,$A20)</f>
        <v>0</v>
      </c>
      <c r="J20" s="8" t="n">
        <f aca="false">I20*$J$5</f>
        <v>0</v>
      </c>
      <c r="K20" s="8" t="n">
        <f aca="false">J20-H20</f>
        <v>-880.35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981</v>
      </c>
      <c r="B21" s="7" t="str">
        <f aca="false">IFERROR(INDEX('Source'!$C:$C,MATCH($A21,'Source'!$B:$B,0)),"")</f>
        <v>חגורת פאבליק (רצועות אבדוקציה)</v>
      </c>
      <c r="C21" s="8" t="n">
        <f aca="false">SUMIFS('Source'!$D:$D,'Source'!$A:$A,"150366 א.א.אורטופדיה איתי-יהוד",'Source'!$B:$B,$A21)</f>
        <v>4</v>
      </c>
      <c r="D21" s="8" t="n">
        <f aca="false">SUMIFS('Source'!$F:$F,'Source'!$A:$A,"150366 א.א.אורטופדיה איתי-יהוד",'Source'!$B:$B,$A21)</f>
        <v>7</v>
      </c>
      <c r="E21" s="8" t="n">
        <f aca="false">D21*$J$5</f>
        <v>8.84210526315789</v>
      </c>
      <c r="F21" s="8" t="n">
        <f aca="false">E21-C21</f>
        <v>4.84210526315789</v>
      </c>
      <c r="G21" s="9" t="n">
        <f aca="false">IF(AND(C21=0,E21=0),0,IF(C21=0,"New",(E21-C21)/C21))</f>
        <v>1.21052631578947</v>
      </c>
      <c r="H21" s="8" t="n">
        <f aca="false">SUMIFS('Source'!$E:$E,'Source'!$A:$A,"150366 א.א.אורטופדיה איתי-יהוד",'Source'!$B:$B,$A21)</f>
        <v>964</v>
      </c>
      <c r="I21" s="8" t="n">
        <f aca="false">SUMIFS('Source'!$G:$G,'Source'!$A:$A,"150366 א.א.אורטופדיה איתי-יהוד",'Source'!$B:$B,$A21)</f>
        <v>1820.02</v>
      </c>
      <c r="J21" s="8" t="n">
        <f aca="false">I21*$J$5</f>
        <v>2298.97263157895</v>
      </c>
      <c r="K21" s="8" t="n">
        <f aca="false">J21-H21</f>
        <v>1334.97263157895</v>
      </c>
      <c r="L21" s="9" t="n">
        <f aca="false">IF(AND(H21=0,J21=0),0,IF(H21=0,"New",(J21-H21)/H21))</f>
        <v>1.38482638130596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312</v>
      </c>
      <c r="B22" s="7" t="str">
        <f aca="false">IFERROR(INDEX('Source'!$C:$C,MATCH($A22,'Source'!$B:$B,0)),"")</f>
        <v>SpinaShield | חגורת תיקון יציבה לעמוד שדרה וכתפיים</v>
      </c>
      <c r="C22" s="8" t="n">
        <f aca="false">SUMIFS('Source'!$D:$D,'Source'!$A:$A,"150366 א.א.אורטופדיה איתי-יהוד",'Source'!$B:$B,$A22)</f>
        <v>0</v>
      </c>
      <c r="D22" s="8" t="n">
        <f aca="false">SUMIFS('Source'!$F:$F,'Source'!$A:$A,"150366 א.א.אורטופדיה איתי-יהוד",'Source'!$B:$B,$A22)</f>
        <v>2</v>
      </c>
      <c r="E22" s="8" t="n">
        <f aca="false">D22*$J$5</f>
        <v>2.52631578947368</v>
      </c>
      <c r="F22" s="8" t="n">
        <f aca="false">E22-C22</f>
        <v>2.52631578947368</v>
      </c>
      <c r="G22" s="9" t="str">
        <f aca="false">IF(AND(C22=0,E22=0),0,IF(C22=0,"New",(E22-C22)/C22))</f>
        <v>New</v>
      </c>
      <c r="H22" s="8" t="n">
        <f aca="false">SUMIFS('Source'!$E:$E,'Source'!$A:$A,"150366 א.א.אורטופדיה איתי-יהוד",'Source'!$B:$B,$A22)</f>
        <v>0</v>
      </c>
      <c r="I22" s="8" t="n">
        <f aca="false">SUMIFS('Source'!$G:$G,'Source'!$A:$A,"150366 א.א.אורטופדיה איתי-יהוד",'Source'!$B:$B,$A22)</f>
        <v>700.01</v>
      </c>
      <c r="J22" s="8" t="n">
        <f aca="false">I22*$J$5</f>
        <v>884.223157894737</v>
      </c>
      <c r="K22" s="8" t="n">
        <f aca="false">J22-H22</f>
        <v>884.223157894737</v>
      </c>
      <c r="L22" s="9" t="str">
        <f aca="false">IF(AND(H22=0,J22=0),0,IF(H22=0,"New",(J22-H22)/H22))</f>
        <v>New</v>
      </c>
      <c r="M22" s="7" t="str">
        <f aca="false">IF(AND(OR(C22&lt;&gt;0,H22&lt;&gt;0),D22=0,I22=0),"DROP",IF(AND(OR(D22&lt;&gt;0,I22&lt;&gt;0),C22=0,H22=0),"NEW",""))</f>
        <v>NEW</v>
      </c>
    </row>
    <row r="23" customFormat="false" ht="15" hidden="false" customHeight="false" outlineLevel="0" collapsed="false">
      <c r="A23" s="7" t="s">
        <v>986</v>
      </c>
      <c r="B23" s="7" t="str">
        <f aca="false">IFERROR(INDEX('Source'!$C:$C,MATCH($A23,'Source'!$B:$B,0)),"")</f>
        <v>SpinaShield | חגורת תיקון יציבה לעמוד שדרה וכתפיים</v>
      </c>
      <c r="C23" s="8" t="n">
        <f aca="false">SUMIFS('Source'!$D:$D,'Source'!$A:$A,"150366 א.א.אורטופדיה איתי-יהוד",'Source'!$B:$B,$A23)</f>
        <v>0</v>
      </c>
      <c r="D23" s="8" t="n">
        <f aca="false">SUMIFS('Source'!$F:$F,'Source'!$A:$A,"150366 א.א.אורטופדיה איתי-יהוד",'Source'!$B:$B,$A23)</f>
        <v>2</v>
      </c>
      <c r="E23" s="8" t="n">
        <f aca="false">D23*$J$5</f>
        <v>2.52631578947368</v>
      </c>
      <c r="F23" s="8" t="n">
        <f aca="false">E23-C23</f>
        <v>2.52631578947368</v>
      </c>
      <c r="G23" s="9" t="str">
        <f aca="false">IF(AND(C23=0,E23=0),0,IF(C23=0,"New",(E23-C23)/C23))</f>
        <v>New</v>
      </c>
      <c r="H23" s="8" t="n">
        <f aca="false">SUMIFS('Source'!$E:$E,'Source'!$A:$A,"150366 א.א.אורטופדיה איתי-יהוד",'Source'!$B:$B,$A23)</f>
        <v>0</v>
      </c>
      <c r="I23" s="8" t="n">
        <f aca="false">SUMIFS('Source'!$G:$G,'Source'!$A:$A,"150366 א.א.אורטופדיה איתי-יהוד",'Source'!$B:$B,$A23)</f>
        <v>700</v>
      </c>
      <c r="J23" s="8" t="n">
        <f aca="false">I23*$J$5</f>
        <v>884.21052631579</v>
      </c>
      <c r="K23" s="8" t="n">
        <f aca="false">J23-H23</f>
        <v>884.21052631579</v>
      </c>
      <c r="L23" s="9" t="str">
        <f aca="false">IF(AND(H23=0,J23=0),0,IF(H23=0,"New",(J23-H23)/H23))</f>
        <v>New</v>
      </c>
      <c r="M23" s="7" t="str">
        <f aca="false">IF(AND(OR(C23&lt;&gt;0,H23&lt;&gt;0),D23=0,I23=0),"DROP",IF(AND(OR(D23&lt;&gt;0,I23&lt;&gt;0),C23=0,H23=0),"NEW",""))</f>
        <v>NEW</v>
      </c>
    </row>
    <row r="24" customFormat="false" ht="15" hidden="false" customHeight="false" outlineLevel="0" collapsed="false">
      <c r="A24" s="7" t="s">
        <v>416</v>
      </c>
      <c r="B24" s="7" t="str">
        <f aca="false">IFERROR(INDEX('Source'!$C:$C,MATCH($A24,'Source'!$B:$B,0)),"")</f>
        <v>קינזיולוגי טייפ</v>
      </c>
      <c r="C24" s="8" t="n">
        <f aca="false">SUMIFS('Source'!$D:$D,'Source'!$A:$A,"150366 א.א.אורטופדיה איתי-יהוד",'Source'!$B:$B,$A24)</f>
        <v>24</v>
      </c>
      <c r="D24" s="8" t="n">
        <f aca="false">SUMIFS('Source'!$F:$F,'Source'!$A:$A,"150366 א.א.אורטופדיה איתי-יהוד",'Source'!$B:$B,$A24)</f>
        <v>0</v>
      </c>
      <c r="E24" s="8" t="n">
        <f aca="false">D24*$J$5</f>
        <v>0</v>
      </c>
      <c r="F24" s="8" t="n">
        <f aca="false">E24-C24</f>
        <v>-24</v>
      </c>
      <c r="G24" s="9" t="n">
        <f aca="false">IF(AND(C24=0,E24=0),0,IF(C24=0,"New",(E24-C24)/C24))</f>
        <v>-1</v>
      </c>
      <c r="H24" s="8" t="n">
        <f aca="false">SUMIFS('Source'!$E:$E,'Source'!$A:$A,"150366 א.א.אורטופדיה איתי-יהוד",'Source'!$B:$B,$A24)</f>
        <v>600.3</v>
      </c>
      <c r="I24" s="8" t="n">
        <f aca="false">SUMIFS('Source'!$G:$G,'Source'!$A:$A,"150366 א.א.אורטופדיה איתי-יהוד",'Source'!$B:$B,$A24)</f>
        <v>0</v>
      </c>
      <c r="J24" s="8" t="n">
        <f aca="false">I24*$J$5</f>
        <v>0</v>
      </c>
      <c r="K24" s="8" t="n">
        <f aca="false">J24-H24</f>
        <v>-600.3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603</v>
      </c>
      <c r="B25" s="7" t="str">
        <f aca="false">IFERROR(INDEX('Source'!$C:$C,MATCH($A25,'Source'!$B:$B,0)),"")</f>
        <v>קינזיולוגי טייפ</v>
      </c>
      <c r="C25" s="8" t="n">
        <f aca="false">SUMIFS('Source'!$D:$D,'Source'!$A:$A,"150366 א.א.אורטופדיה איתי-יהוד",'Source'!$B:$B,$A25)</f>
        <v>24</v>
      </c>
      <c r="D25" s="8" t="n">
        <f aca="false">SUMIFS('Source'!$F:$F,'Source'!$A:$A,"150366 א.א.אורטופדיה איתי-יהוד",'Source'!$B:$B,$A25)</f>
        <v>0</v>
      </c>
      <c r="E25" s="8" t="n">
        <f aca="false">D25*$J$5</f>
        <v>0</v>
      </c>
      <c r="F25" s="8" t="n">
        <f aca="false">E25-C25</f>
        <v>-24</v>
      </c>
      <c r="G25" s="9" t="n">
        <f aca="false">IF(AND(C25=0,E25=0),0,IF(C25=0,"New",(E25-C25)/C25))</f>
        <v>-1</v>
      </c>
      <c r="H25" s="8" t="n">
        <f aca="false">SUMIFS('Source'!$E:$E,'Source'!$A:$A,"150366 א.א.אורטופדיה איתי-יהוד",'Source'!$B:$B,$A25)</f>
        <v>600.3</v>
      </c>
      <c r="I25" s="8" t="n">
        <f aca="false">SUMIFS('Source'!$G:$G,'Source'!$A:$A,"150366 א.א.אורטופדיה איתי-יהוד",'Source'!$B:$B,$A25)</f>
        <v>0</v>
      </c>
      <c r="J25" s="8" t="n">
        <f aca="false">I25*$J$5</f>
        <v>0</v>
      </c>
      <c r="K25" s="8" t="n">
        <f aca="false">J25-H25</f>
        <v>-600.3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296</v>
      </c>
      <c r="B26" s="7" t="str">
        <f aca="false">IFERROR(INDEX('Source'!$C:$C,MATCH($A26,'Source'!$B:$B,0)),"")</f>
        <v>קינזיולוגי טייפ</v>
      </c>
      <c r="C26" s="8" t="n">
        <f aca="false">SUMIFS('Source'!$D:$D,'Source'!$A:$A,"150366 א.א.אורטופדיה איתי-יהוד",'Source'!$B:$B,$A26)</f>
        <v>24</v>
      </c>
      <c r="D26" s="8" t="n">
        <f aca="false">SUMIFS('Source'!$F:$F,'Source'!$A:$A,"150366 א.א.אורטופדיה איתי-יהוד",'Source'!$B:$B,$A26)</f>
        <v>0</v>
      </c>
      <c r="E26" s="8" t="n">
        <f aca="false">D26*$J$5</f>
        <v>0</v>
      </c>
      <c r="F26" s="8" t="n">
        <f aca="false">E26-C26</f>
        <v>-24</v>
      </c>
      <c r="G26" s="9" t="n">
        <f aca="false">IF(AND(C26=0,E26=0),0,IF(C26=0,"New",(E26-C26)/C26))</f>
        <v>-1</v>
      </c>
      <c r="H26" s="8" t="n">
        <f aca="false">SUMIFS('Source'!$E:$E,'Source'!$A:$A,"150366 א.א.אורטופדיה איתי-יהוד",'Source'!$B:$B,$A26)</f>
        <v>600.3</v>
      </c>
      <c r="I26" s="8" t="n">
        <f aca="false">SUMIFS('Source'!$G:$G,'Source'!$A:$A,"150366 א.א.אורטופדיה איתי-יהוד",'Source'!$B:$B,$A26)</f>
        <v>0</v>
      </c>
      <c r="J26" s="8" t="n">
        <f aca="false">I26*$J$5</f>
        <v>0</v>
      </c>
      <c r="K26" s="8" t="n">
        <f aca="false">J26-H26</f>
        <v>-600.3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601</v>
      </c>
      <c r="B27" s="7" t="str">
        <f aca="false">IFERROR(INDEX('Source'!$C:$C,MATCH($A27,'Source'!$B:$B,0)),"")</f>
        <v>קינזיולוגי טייפ</v>
      </c>
      <c r="C27" s="8" t="n">
        <f aca="false">SUMIFS('Source'!$D:$D,'Source'!$A:$A,"150366 א.א.אורטופדיה איתי-יהוד",'Source'!$B:$B,$A27)</f>
        <v>24</v>
      </c>
      <c r="D27" s="8" t="n">
        <f aca="false">SUMIFS('Source'!$F:$F,'Source'!$A:$A,"150366 א.א.אורטופדיה איתי-יהוד",'Source'!$B:$B,$A27)</f>
        <v>0</v>
      </c>
      <c r="E27" s="8" t="n">
        <f aca="false">D27*$J$5</f>
        <v>0</v>
      </c>
      <c r="F27" s="8" t="n">
        <f aca="false">E27-C27</f>
        <v>-24</v>
      </c>
      <c r="G27" s="9" t="n">
        <f aca="false">IF(AND(C27=0,E27=0),0,IF(C27=0,"New",(E27-C27)/C27))</f>
        <v>-1</v>
      </c>
      <c r="H27" s="8" t="n">
        <f aca="false">SUMIFS('Source'!$E:$E,'Source'!$A:$A,"150366 א.א.אורטופדיה איתי-יהוד",'Source'!$B:$B,$A27)</f>
        <v>600.3</v>
      </c>
      <c r="I27" s="8" t="n">
        <f aca="false">SUMIFS('Source'!$G:$G,'Source'!$A:$A,"150366 א.א.אורטופדיה איתי-יהוד",'Source'!$B:$B,$A27)</f>
        <v>0</v>
      </c>
      <c r="J27" s="8" t="n">
        <f aca="false">I27*$J$5</f>
        <v>0</v>
      </c>
      <c r="K27" s="8" t="n">
        <f aca="false">J27-H27</f>
        <v>-600.3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555</v>
      </c>
      <c r="B28" s="7" t="str">
        <f aca="false">IFERROR(INDEX('Source'!$C:$C,MATCH($A28,'Source'!$B:$B,0)),"")</f>
        <v>חגורת קיבוע לכתף</v>
      </c>
      <c r="C28" s="8" t="n">
        <f aca="false">SUMIFS('Source'!$D:$D,'Source'!$A:$A,"150366 א.א.אורטופדיה איתי-יהוד",'Source'!$B:$B,$A28)</f>
        <v>9</v>
      </c>
      <c r="D28" s="8" t="n">
        <f aca="false">SUMIFS('Source'!$F:$F,'Source'!$A:$A,"150366 א.א.אורטופדיה איתי-יהוד",'Source'!$B:$B,$A28)</f>
        <v>5</v>
      </c>
      <c r="E28" s="8" t="n">
        <f aca="false">D28*$J$5</f>
        <v>6.31578947368421</v>
      </c>
      <c r="F28" s="8" t="n">
        <f aca="false">E28-C28</f>
        <v>-2.68421052631579</v>
      </c>
      <c r="G28" s="9" t="n">
        <f aca="false">IF(AND(C28=0,E28=0),0,IF(C28=0,"New",(E28-C28)/C28))</f>
        <v>-0.298245614035088</v>
      </c>
      <c r="H28" s="8" t="n">
        <f aca="false">SUMIFS('Source'!$E:$E,'Source'!$A:$A,"150366 א.א.אורטופדיה איתי-יהוד",'Source'!$B:$B,$A28)</f>
        <v>1260</v>
      </c>
      <c r="I28" s="8" t="n">
        <f aca="false">SUMIFS('Source'!$G:$G,'Source'!$A:$A,"150366 א.א.אורטופדיה איתי-יהוד",'Source'!$B:$B,$A28)</f>
        <v>700.01</v>
      </c>
      <c r="J28" s="8" t="n">
        <f aca="false">I28*$J$5</f>
        <v>884.223157894737</v>
      </c>
      <c r="K28" s="8" t="n">
        <f aca="false">J28-H28</f>
        <v>-375.776842105263</v>
      </c>
      <c r="L28" s="9" t="n">
        <f aca="false">IF(AND(H28=0,J28=0),0,IF(H28=0,"New",(J28-H28)/H28))</f>
        <v>-0.298235588972431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139</v>
      </c>
      <c r="B29" s="7" t="str">
        <f aca="false">IFERROR(INDEX('Source'!$C:$C,MATCH($A29,'Source'!$B:$B,0)),"")</f>
        <v>כפפת CTS שמאל</v>
      </c>
      <c r="C29" s="8" t="n">
        <f aca="false">SUMIFS('Source'!$D:$D,'Source'!$A:$A,"150366 א.א.אורטופדיה איתי-יהוד",'Source'!$B:$B,$A29)</f>
        <v>6</v>
      </c>
      <c r="D29" s="8" t="n">
        <f aca="false">SUMIFS('Source'!$F:$F,'Source'!$A:$A,"150366 א.א.אורטופדיה איתי-יהוד",'Source'!$B:$B,$A29)</f>
        <v>0</v>
      </c>
      <c r="E29" s="8" t="n">
        <f aca="false">D29*$J$5</f>
        <v>0</v>
      </c>
      <c r="F29" s="8" t="n">
        <f aca="false">E29-C29</f>
        <v>-6</v>
      </c>
      <c r="G29" s="9" t="n">
        <f aca="false">IF(AND(C29=0,E29=0),0,IF(C29=0,"New",(E29-C29)/C29))</f>
        <v>-1</v>
      </c>
      <c r="H29" s="8" t="n">
        <f aca="false">SUMIFS('Source'!$E:$E,'Source'!$A:$A,"150366 א.א.אורטופדיה איתי-יהוד",'Source'!$B:$B,$A29)</f>
        <v>540</v>
      </c>
      <c r="I29" s="8" t="n">
        <f aca="false">SUMIFS('Source'!$G:$G,'Source'!$A:$A,"150366 א.א.אורטופדיה איתי-יהוד",'Source'!$B:$B,$A29)</f>
        <v>0</v>
      </c>
      <c r="J29" s="8" t="n">
        <f aca="false">I29*$J$5</f>
        <v>0</v>
      </c>
      <c r="K29" s="8" t="n">
        <f aca="false">J29-H29</f>
        <v>-540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114</v>
      </c>
      <c r="B30" s="7" t="str">
        <f aca="false">IFERROR(INDEX('Source'!$C:$C,MATCH($A30,'Source'!$B:$B,0)),"")</f>
        <v>כפפת CTS ימין</v>
      </c>
      <c r="C30" s="8" t="n">
        <f aca="false">SUMIFS('Source'!$D:$D,'Source'!$A:$A,"150366 א.א.אורטופדיה איתי-יהוד",'Source'!$B:$B,$A30)</f>
        <v>6</v>
      </c>
      <c r="D30" s="8" t="n">
        <f aca="false">SUMIFS('Source'!$F:$F,'Source'!$A:$A,"150366 א.א.אורטופדיה איתי-יהוד",'Source'!$B:$B,$A30)</f>
        <v>0</v>
      </c>
      <c r="E30" s="8" t="n">
        <f aca="false">D30*$J$5</f>
        <v>0</v>
      </c>
      <c r="F30" s="8" t="n">
        <f aca="false">E30-C30</f>
        <v>-6</v>
      </c>
      <c r="G30" s="9" t="n">
        <f aca="false">IF(AND(C30=0,E30=0),0,IF(C30=0,"New",(E30-C30)/C30))</f>
        <v>-1</v>
      </c>
      <c r="H30" s="8" t="n">
        <f aca="false">SUMIFS('Source'!$E:$E,'Source'!$A:$A,"150366 א.א.אורטופדיה איתי-יהוד",'Source'!$B:$B,$A30)</f>
        <v>540</v>
      </c>
      <c r="I30" s="8" t="n">
        <f aca="false">SUMIFS('Source'!$G:$G,'Source'!$A:$A,"150366 א.א.אורטופדיה איתי-יהוד",'Source'!$B:$B,$A30)</f>
        <v>0</v>
      </c>
      <c r="J30" s="8" t="n">
        <f aca="false">I30*$J$5</f>
        <v>0</v>
      </c>
      <c r="K30" s="8" t="n">
        <f aca="false">J30-H30</f>
        <v>-540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116</v>
      </c>
      <c r="B31" s="7" t="str">
        <f aca="false">IFERROR(INDEX('Source'!$C:$C,MATCH($A31,'Source'!$B:$B,0)),"")</f>
        <v>כפפת CTS ימין</v>
      </c>
      <c r="C31" s="8" t="n">
        <f aca="false">SUMIFS('Source'!$D:$D,'Source'!$A:$A,"150366 א.א.אורטופדיה איתי-יהוד",'Source'!$B:$B,$A31)</f>
        <v>6</v>
      </c>
      <c r="D31" s="8" t="n">
        <f aca="false">SUMIFS('Source'!$F:$F,'Source'!$A:$A,"150366 א.א.אורטופדיה איתי-יהוד",'Source'!$B:$B,$A31)</f>
        <v>0</v>
      </c>
      <c r="E31" s="8" t="n">
        <f aca="false">D31*$J$5</f>
        <v>0</v>
      </c>
      <c r="F31" s="8" t="n">
        <f aca="false">E31-C31</f>
        <v>-6</v>
      </c>
      <c r="G31" s="9" t="n">
        <f aca="false">IF(AND(C31=0,E31=0),0,IF(C31=0,"New",(E31-C31)/C31))</f>
        <v>-1</v>
      </c>
      <c r="H31" s="8" t="n">
        <f aca="false">SUMIFS('Source'!$E:$E,'Source'!$A:$A,"150366 א.א.אורטופדיה איתי-יהוד",'Source'!$B:$B,$A31)</f>
        <v>540</v>
      </c>
      <c r="I31" s="8" t="n">
        <f aca="false">SUMIFS('Source'!$G:$G,'Source'!$A:$A,"150366 א.א.אורטופדיה איתי-יהוד",'Source'!$B:$B,$A31)</f>
        <v>0</v>
      </c>
      <c r="J31" s="8" t="n">
        <f aca="false">I31*$J$5</f>
        <v>0</v>
      </c>
      <c r="K31" s="8" t="n">
        <f aca="false">J31-H31</f>
        <v>-540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121</v>
      </c>
      <c r="B32" s="7" t="str">
        <f aca="false">IFERROR(INDEX('Source'!$C:$C,MATCH($A32,'Source'!$B:$B,0)),"")</f>
        <v>כפפת CTS שמאל</v>
      </c>
      <c r="C32" s="8" t="n">
        <f aca="false">SUMIFS('Source'!$D:$D,'Source'!$A:$A,"150366 א.א.אורטופדיה איתי-יהוד",'Source'!$B:$B,$A32)</f>
        <v>6</v>
      </c>
      <c r="D32" s="8" t="n">
        <f aca="false">SUMIFS('Source'!$F:$F,'Source'!$A:$A,"150366 א.א.אורטופדיה איתי-יהוד",'Source'!$B:$B,$A32)</f>
        <v>0</v>
      </c>
      <c r="E32" s="8" t="n">
        <f aca="false">D32*$J$5</f>
        <v>0</v>
      </c>
      <c r="F32" s="8" t="n">
        <f aca="false">E32-C32</f>
        <v>-6</v>
      </c>
      <c r="G32" s="9" t="n">
        <f aca="false">IF(AND(C32=0,E32=0),0,IF(C32=0,"New",(E32-C32)/C32))</f>
        <v>-1</v>
      </c>
      <c r="H32" s="8" t="n">
        <f aca="false">SUMIFS('Source'!$E:$E,'Source'!$A:$A,"150366 א.א.אורטופדיה איתי-יהוד",'Source'!$B:$B,$A32)</f>
        <v>540</v>
      </c>
      <c r="I32" s="8" t="n">
        <f aca="false">SUMIFS('Source'!$G:$G,'Source'!$A:$A,"150366 א.א.אורטופדיה איתי-יהוד",'Source'!$B:$B,$A32)</f>
        <v>0</v>
      </c>
      <c r="J32" s="8" t="n">
        <f aca="false">I32*$J$5</f>
        <v>0</v>
      </c>
      <c r="K32" s="8" t="n">
        <f aca="false">J32-H32</f>
        <v>-540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146</v>
      </c>
      <c r="B33" s="7" t="str">
        <f aca="false">IFERROR(INDEX('Source'!$C:$C,MATCH($A33,'Source'!$B:$B,0)),"")</f>
        <v>כפפת CTS שמאל</v>
      </c>
      <c r="C33" s="8" t="n">
        <f aca="false">SUMIFS('Source'!$D:$D,'Source'!$A:$A,"150366 א.א.אורטופדיה איתי-יהוד",'Source'!$B:$B,$A33)</f>
        <v>6</v>
      </c>
      <c r="D33" s="8" t="n">
        <f aca="false">SUMIFS('Source'!$F:$F,'Source'!$A:$A,"150366 א.א.אורטופדיה איתי-יהוד",'Source'!$B:$B,$A33)</f>
        <v>0</v>
      </c>
      <c r="E33" s="8" t="n">
        <f aca="false">D33*$J$5</f>
        <v>0</v>
      </c>
      <c r="F33" s="8" t="n">
        <f aca="false">E33-C33</f>
        <v>-6</v>
      </c>
      <c r="G33" s="9" t="n">
        <f aca="false">IF(AND(C33=0,E33=0),0,IF(C33=0,"New",(E33-C33)/C33))</f>
        <v>-1</v>
      </c>
      <c r="H33" s="8" t="n">
        <f aca="false">SUMIFS('Source'!$E:$E,'Source'!$A:$A,"150366 א.א.אורטופדיה איתי-יהוד",'Source'!$B:$B,$A33)</f>
        <v>540</v>
      </c>
      <c r="I33" s="8" t="n">
        <f aca="false">SUMIFS('Source'!$G:$G,'Source'!$A:$A,"150366 א.א.אורטופדיה איתי-יהוד",'Source'!$B:$B,$A33)</f>
        <v>0</v>
      </c>
      <c r="J33" s="8" t="n">
        <f aca="false">I33*$J$5</f>
        <v>0</v>
      </c>
      <c r="K33" s="8" t="n">
        <f aca="false">J33-H33</f>
        <v>-540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120</v>
      </c>
      <c r="B34" s="7" t="str">
        <f aca="false">IFERROR(INDEX('Source'!$C:$C,MATCH($A34,'Source'!$B:$B,0)),"")</f>
        <v>כפפת CTS ימין</v>
      </c>
      <c r="C34" s="8" t="n">
        <f aca="false">SUMIFS('Source'!$D:$D,'Source'!$A:$A,"150366 א.א.אורטופדיה איתי-יהוד",'Source'!$B:$B,$A34)</f>
        <v>6</v>
      </c>
      <c r="D34" s="8" t="n">
        <f aca="false">SUMIFS('Source'!$F:$F,'Source'!$A:$A,"150366 א.א.אורטופדיה איתי-יהוד",'Source'!$B:$B,$A34)</f>
        <v>0</v>
      </c>
      <c r="E34" s="8" t="n">
        <f aca="false">D34*$J$5</f>
        <v>0</v>
      </c>
      <c r="F34" s="8" t="n">
        <f aca="false">E34-C34</f>
        <v>-6</v>
      </c>
      <c r="G34" s="9" t="n">
        <f aca="false">IF(AND(C34=0,E34=0),0,IF(C34=0,"New",(E34-C34)/C34))</f>
        <v>-1</v>
      </c>
      <c r="H34" s="8" t="n">
        <f aca="false">SUMIFS('Source'!$E:$E,'Source'!$A:$A,"150366 א.א.אורטופדיה איתי-יהוד",'Source'!$B:$B,$A34)</f>
        <v>540</v>
      </c>
      <c r="I34" s="8" t="n">
        <f aca="false">SUMIFS('Source'!$G:$G,'Source'!$A:$A,"150366 א.א.אורטופדיה איתי-יהוד",'Source'!$B:$B,$A34)</f>
        <v>0</v>
      </c>
      <c r="J34" s="8" t="n">
        <f aca="false">I34*$J$5</f>
        <v>0</v>
      </c>
      <c r="K34" s="8" t="n">
        <f aca="false">J34-H34</f>
        <v>-540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163</v>
      </c>
      <c r="B35" s="7" t="str">
        <f aca="false">IFERROR(INDEX('Source'!$C:$C,MATCH($A35,'Source'!$B:$B,0)),"")</f>
        <v>שרוול לגבס ארוך יד</v>
      </c>
      <c r="C35" s="8" t="n">
        <f aca="false">SUMIFS('Source'!$D:$D,'Source'!$A:$A,"150366 א.א.אורטופדיה איתי-יהוד",'Source'!$B:$B,$A35)</f>
        <v>30</v>
      </c>
      <c r="D35" s="8" t="n">
        <f aca="false">SUMIFS('Source'!$F:$F,'Source'!$A:$A,"150366 א.א.אורטופדיה איתי-יהוד",'Source'!$B:$B,$A35)</f>
        <v>18</v>
      </c>
      <c r="E35" s="8" t="n">
        <f aca="false">D35*$J$5</f>
        <v>22.7368421052632</v>
      </c>
      <c r="F35" s="8" t="n">
        <f aca="false">E35-C35</f>
        <v>-7.26315789473684</v>
      </c>
      <c r="G35" s="9" t="n">
        <f aca="false">IF(AND(C35=0,E35=0),0,IF(C35=0,"New",(E35-C35)/C35))</f>
        <v>-0.242105263157895</v>
      </c>
      <c r="H35" s="8" t="n">
        <f aca="false">SUMIFS('Source'!$E:$E,'Source'!$A:$A,"150366 א.א.אורטופדיה איתי-יהוד",'Source'!$B:$B,$A35)</f>
        <v>1239.04</v>
      </c>
      <c r="I35" s="8" t="n">
        <f aca="false">SUMIFS('Source'!$G:$G,'Source'!$A:$A,"150366 א.א.אורטופדיה איתי-יהוד",'Source'!$B:$B,$A35)</f>
        <v>758.42</v>
      </c>
      <c r="J35" s="8" t="n">
        <f aca="false">I35*$J$5</f>
        <v>958.004210526316</v>
      </c>
      <c r="K35" s="8" t="n">
        <f aca="false">J35-H35</f>
        <v>-281.035789473684</v>
      </c>
      <c r="L35" s="9" t="n">
        <f aca="false">IF(AND(H35=0,J35=0),0,IF(H35=0,"New",(J35-H35)/H35))</f>
        <v>-0.226817366246194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326</v>
      </c>
      <c r="B36" s="7" t="str">
        <f aca="false">IFERROR(INDEX('Source'!$C:$C,MATCH($A36,'Source'!$B:$B,0)),"")</f>
        <v>מגן שוק SC39</v>
      </c>
      <c r="C36" s="8" t="n">
        <f aca="false">SUMIFS('Source'!$D:$D,'Source'!$A:$A,"150366 א.א.אורטופדיה איתי-יהוד",'Source'!$B:$B,$A36)</f>
        <v>3</v>
      </c>
      <c r="D36" s="8" t="n">
        <f aca="false">SUMIFS('Source'!$F:$F,'Source'!$A:$A,"150366 א.א.אורטופדיה איתי-יהוד",'Source'!$B:$B,$A36)</f>
        <v>0</v>
      </c>
      <c r="E36" s="8" t="n">
        <f aca="false">D36*$J$5</f>
        <v>0</v>
      </c>
      <c r="F36" s="8" t="n">
        <f aca="false">E36-C36</f>
        <v>-3</v>
      </c>
      <c r="G36" s="9" t="n">
        <f aca="false">IF(AND(C36=0,E36=0),0,IF(C36=0,"New",(E36-C36)/C36))</f>
        <v>-1</v>
      </c>
      <c r="H36" s="8" t="n">
        <f aca="false">SUMIFS('Source'!$E:$E,'Source'!$A:$A,"150366 א.א.אורטופדיה איתי-יהוד",'Source'!$B:$B,$A36)</f>
        <v>454.55</v>
      </c>
      <c r="I36" s="8" t="n">
        <f aca="false">SUMIFS('Source'!$G:$G,'Source'!$A:$A,"150366 א.א.אורטופדיה איתי-יהוד",'Source'!$B:$B,$A36)</f>
        <v>0</v>
      </c>
      <c r="J36" s="8" t="n">
        <f aca="false">I36*$J$5</f>
        <v>0</v>
      </c>
      <c r="K36" s="8" t="n">
        <f aca="false">J36-H36</f>
        <v>-454.55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655</v>
      </c>
      <c r="B37" s="7" t="str">
        <f aca="false">IFERROR(INDEX('Source'!$C:$C,MATCH($A37,'Source'!$B:$B,0)),"")</f>
        <v>חגורה למנותחי בית החזה</v>
      </c>
      <c r="C37" s="8" t="n">
        <f aca="false">SUMIFS('Source'!$D:$D,'Source'!$A:$A,"150366 א.א.אורטופדיה איתי-יהוד",'Source'!$B:$B,$A37)</f>
        <v>2</v>
      </c>
      <c r="D37" s="8" t="n">
        <f aca="false">SUMIFS('Source'!$F:$F,'Source'!$A:$A,"150366 א.א.אורטופדיה איתי-יהוד",'Source'!$B:$B,$A37)</f>
        <v>-1</v>
      </c>
      <c r="E37" s="8" t="n">
        <f aca="false">D37*$J$5</f>
        <v>-1.26315789473684</v>
      </c>
      <c r="F37" s="8" t="n">
        <f aca="false">E37-C37</f>
        <v>-3.26315789473684</v>
      </c>
      <c r="G37" s="9" t="n">
        <f aca="false">IF(AND(C37=0,E37=0),0,IF(C37=0,"New",(E37-C37)/C37))</f>
        <v>-1.63157894736842</v>
      </c>
      <c r="H37" s="8" t="n">
        <f aca="false">SUMIFS('Source'!$E:$E,'Source'!$A:$A,"150366 א.א.אורטופדיה איתי-יהוד",'Source'!$B:$B,$A37)</f>
        <v>313.95</v>
      </c>
      <c r="I37" s="8" t="n">
        <f aca="false">SUMIFS('Source'!$G:$G,'Source'!$A:$A,"150366 א.א.אורטופדיה איתי-יהוד",'Source'!$B:$B,$A37)</f>
        <v>-130</v>
      </c>
      <c r="J37" s="8" t="n">
        <f aca="false">I37*$J$5</f>
        <v>-164.210526315789</v>
      </c>
      <c r="K37" s="8" t="n">
        <f aca="false">J37-H37</f>
        <v>-478.160526315789</v>
      </c>
      <c r="L37" s="9" t="n">
        <f aca="false">IF(AND(H37=0,J37=0),0,IF(H37=0,"New",(J37-H37)/H37))</f>
        <v>-1.52304674730304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266</v>
      </c>
      <c r="B38" s="7" t="str">
        <f aca="false">IFERROR(INDEX('Source'!$C:$C,MATCH($A38,'Source'!$B:$B,0)),"")</f>
        <v>חגורה למנותחי בית החזה</v>
      </c>
      <c r="C38" s="8" t="n">
        <f aca="false">SUMIFS('Source'!$D:$D,'Source'!$A:$A,"150366 א.א.אורטופדיה איתי-יהוד",'Source'!$B:$B,$A38)</f>
        <v>2</v>
      </c>
      <c r="D38" s="8" t="n">
        <f aca="false">SUMIFS('Source'!$F:$F,'Source'!$A:$A,"150366 א.א.אורטופדיה איתי-יהוד",'Source'!$B:$B,$A38)</f>
        <v>-1</v>
      </c>
      <c r="E38" s="8" t="n">
        <f aca="false">D38*$J$5</f>
        <v>-1.26315789473684</v>
      </c>
      <c r="F38" s="8" t="n">
        <f aca="false">E38-C38</f>
        <v>-3.26315789473684</v>
      </c>
      <c r="G38" s="9" t="n">
        <f aca="false">IF(AND(C38=0,E38=0),0,IF(C38=0,"New",(E38-C38)/C38))</f>
        <v>-1.63157894736842</v>
      </c>
      <c r="H38" s="8" t="n">
        <f aca="false">SUMIFS('Source'!$E:$E,'Source'!$A:$A,"150366 א.א.אורטופדיה איתי-יהוד",'Source'!$B:$B,$A38)</f>
        <v>313.95</v>
      </c>
      <c r="I38" s="8" t="n">
        <f aca="false">SUMIFS('Source'!$G:$G,'Source'!$A:$A,"150366 א.א.אורטופדיה איתי-יהוד",'Source'!$B:$B,$A38)</f>
        <v>-130</v>
      </c>
      <c r="J38" s="8" t="n">
        <f aca="false">I38*$J$5</f>
        <v>-164.210526315789</v>
      </c>
      <c r="K38" s="8" t="n">
        <f aca="false">J38-H38</f>
        <v>-478.160526315789</v>
      </c>
      <c r="L38" s="9" t="n">
        <f aca="false">IF(AND(H38=0,J38=0),0,IF(H38=0,"New",(J38-H38)/H38))</f>
        <v>-1.52304674730304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1008</v>
      </c>
      <c r="B39" s="7" t="str">
        <f aca="false">IFERROR(INDEX('Source'!$C:$C,MATCH($A39,'Source'!$B:$B,0)),"")</f>
        <v>חגורת פיסוק פאבליק</v>
      </c>
      <c r="C39" s="8" t="n">
        <f aca="false">SUMIFS('Source'!$D:$D,'Source'!$A:$A,"150366 א.א.אורטופדיה איתי-יהוד",'Source'!$B:$B,$A39)</f>
        <v>2</v>
      </c>
      <c r="D39" s="8" t="n">
        <f aca="false">SUMIFS('Source'!$F:$F,'Source'!$A:$A,"150366 א.א.אורטופדיה איתי-יהוד",'Source'!$B:$B,$A39)</f>
        <v>0</v>
      </c>
      <c r="E39" s="8" t="n">
        <f aca="false">D39*$J$5</f>
        <v>0</v>
      </c>
      <c r="F39" s="8" t="n">
        <f aca="false">E39-C39</f>
        <v>-2</v>
      </c>
      <c r="G39" s="9" t="n">
        <f aca="false">IF(AND(C39=0,E39=0),0,IF(C39=0,"New",(E39-C39)/C39))</f>
        <v>-1</v>
      </c>
      <c r="H39" s="8" t="n">
        <f aca="false">SUMIFS('Source'!$E:$E,'Source'!$A:$A,"150366 א.א.אורטופדיה איתי-יהוד",'Source'!$B:$B,$A39)</f>
        <v>440.1</v>
      </c>
      <c r="I39" s="8" t="n">
        <f aca="false">SUMIFS('Source'!$G:$G,'Source'!$A:$A,"150366 א.א.אורטופדיה איתי-יהוד",'Source'!$B:$B,$A39)</f>
        <v>0</v>
      </c>
      <c r="J39" s="8" t="n">
        <f aca="false">I39*$J$5</f>
        <v>0</v>
      </c>
      <c r="K39" s="8" t="n">
        <f aca="false">J39-H39</f>
        <v>-440.1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278</v>
      </c>
      <c r="B40" s="7" t="str">
        <f aca="false">IFERROR(INDEX('Source'!$C:$C,MATCH($A40,'Source'!$B:$B,0)),"")</f>
        <v>חגורת קיבוע לכתף</v>
      </c>
      <c r="C40" s="8" t="n">
        <f aca="false">SUMIFS('Source'!$D:$D,'Source'!$A:$A,"150366 א.א.אורטופדיה איתי-יהוד",'Source'!$B:$B,$A40)</f>
        <v>5</v>
      </c>
      <c r="D40" s="8" t="n">
        <f aca="false">SUMIFS('Source'!$F:$F,'Source'!$A:$A,"150366 א.א.אורטופדיה איתי-יהוד",'Source'!$B:$B,$A40)</f>
        <v>2</v>
      </c>
      <c r="E40" s="8" t="n">
        <f aca="false">D40*$J$5</f>
        <v>2.52631578947368</v>
      </c>
      <c r="F40" s="8" t="n">
        <f aca="false">E40-C40</f>
        <v>-2.47368421052632</v>
      </c>
      <c r="G40" s="9" t="n">
        <f aca="false">IF(AND(C40=0,E40=0),0,IF(C40=0,"New",(E40-C40)/C40))</f>
        <v>-0.494736842105263</v>
      </c>
      <c r="H40" s="8" t="n">
        <f aca="false">SUMIFS('Source'!$E:$E,'Source'!$A:$A,"150366 א.א.אורטופדיה איתי-יהוד",'Source'!$B:$B,$A40)</f>
        <v>700.04</v>
      </c>
      <c r="I40" s="8" t="n">
        <f aca="false">SUMIFS('Source'!$G:$G,'Source'!$A:$A,"150366 א.א.אורטופדיה איתי-יהוד",'Source'!$B:$B,$A40)</f>
        <v>280</v>
      </c>
      <c r="J40" s="8" t="n">
        <f aca="false">I40*$J$5</f>
        <v>353.684210526316</v>
      </c>
      <c r="K40" s="8" t="n">
        <f aca="false">J40-H40</f>
        <v>-346.355789473684</v>
      </c>
      <c r="L40" s="9" t="n">
        <f aca="false">IF(AND(H40=0,J40=0),0,IF(H40=0,"New",(J40-H40)/H40))</f>
        <v>-0.49476571263597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784</v>
      </c>
      <c r="B41" s="7" t="str">
        <f aca="false">IFERROR(INDEX('Source'!$C:$C,MATCH($A41,'Source'!$B:$B,0)),"")</f>
        <v>מתלה</v>
      </c>
      <c r="C41" s="8" t="n">
        <f aca="false">SUMIFS('Source'!$D:$D,'Source'!$A:$A,"150366 א.א.אורטופדיה איתי-יהוד",'Source'!$B:$B,$A41)</f>
        <v>2</v>
      </c>
      <c r="D41" s="8" t="n">
        <f aca="false">SUMIFS('Source'!$F:$F,'Source'!$A:$A,"150366 א.א.אורטופדיה איתי-יהוד",'Source'!$B:$B,$A41)</f>
        <v>5</v>
      </c>
      <c r="E41" s="8" t="n">
        <f aca="false">D41*$J$5</f>
        <v>6.31578947368421</v>
      </c>
      <c r="F41" s="8" t="n">
        <f aca="false">E41-C41</f>
        <v>4.31578947368421</v>
      </c>
      <c r="G41" s="9" t="n">
        <f aca="false">IF(AND(C41=0,E41=0),0,IF(C41=0,"New",(E41-C41)/C41))</f>
        <v>2.15789473684211</v>
      </c>
      <c r="H41" s="8" t="n">
        <f aca="false">SUMIFS('Source'!$E:$E,'Source'!$A:$A,"150366 א.א.אורטופדיה איתי-יהוד",'Source'!$B:$B,$A41)</f>
        <v>138</v>
      </c>
      <c r="I41" s="8" t="n">
        <f aca="false">SUMIFS('Source'!$G:$G,'Source'!$A:$A,"150366 א.א.אורטופדיה איתי-יהוד",'Source'!$B:$B,$A41)</f>
        <v>555.2</v>
      </c>
      <c r="J41" s="8" t="n">
        <f aca="false">I41*$J$5</f>
        <v>701.305263157895</v>
      </c>
      <c r="K41" s="8" t="n">
        <f aca="false">J41-H41</f>
        <v>563.305263157895</v>
      </c>
      <c r="L41" s="9" t="n">
        <f aca="false">IF(AND(H41=0,J41=0),0,IF(H41=0,"New",(J41-H41)/H41))</f>
        <v>4.08192219679634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248</v>
      </c>
      <c r="B42" s="7" t="str">
        <f aca="false">IFERROR(INDEX('Source'!$C:$C,MATCH($A42,'Source'!$B:$B,0)),"")</f>
        <v>מגן לכתף ימין/שמאל</v>
      </c>
      <c r="C42" s="8" t="n">
        <f aca="false">SUMIFS('Source'!$D:$D,'Source'!$A:$A,"150366 א.א.אורטופדיה איתי-יהוד",'Source'!$B:$B,$A42)</f>
        <v>3</v>
      </c>
      <c r="D42" s="8" t="n">
        <f aca="false">SUMIFS('Source'!$F:$F,'Source'!$A:$A,"150366 א.א.אורטופדיה איתי-יהוד",'Source'!$B:$B,$A42)</f>
        <v>0</v>
      </c>
      <c r="E42" s="8" t="n">
        <f aca="false">D42*$J$5</f>
        <v>0</v>
      </c>
      <c r="F42" s="8" t="n">
        <f aca="false">E42-C42</f>
        <v>-3</v>
      </c>
      <c r="G42" s="9" t="n">
        <f aca="false">IF(AND(C42=0,E42=0),0,IF(C42=0,"New",(E42-C42)/C42))</f>
        <v>-1</v>
      </c>
      <c r="H42" s="8" t="n">
        <f aca="false">SUMIFS('Source'!$E:$E,'Source'!$A:$A,"150366 א.א.אורטופדיה איתי-יהוד",'Source'!$B:$B,$A42)</f>
        <v>389.99</v>
      </c>
      <c r="I42" s="8" t="n">
        <f aca="false">SUMIFS('Source'!$G:$G,'Source'!$A:$A,"150366 א.א.אורטופדיה איתי-יהוד",'Source'!$B:$B,$A42)</f>
        <v>0</v>
      </c>
      <c r="J42" s="8" t="n">
        <f aca="false">I42*$J$5</f>
        <v>0</v>
      </c>
      <c r="K42" s="8" t="n">
        <f aca="false">J42-H42</f>
        <v>-389.99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144</v>
      </c>
      <c r="B43" s="7" t="str">
        <f aca="false">IFERROR(INDEX('Source'!$C:$C,MATCH($A43,'Source'!$B:$B,0)),"")</f>
        <v>חגורת גב+מיישר+תמיכה לבית השחי</v>
      </c>
      <c r="C43" s="8" t="n">
        <f aca="false">SUMIFS('Source'!$D:$D,'Source'!$A:$A,"150366 א.א.אורטופדיה איתי-יהוד",'Source'!$B:$B,$A43)</f>
        <v>1</v>
      </c>
      <c r="D43" s="8" t="n">
        <f aca="false">SUMIFS('Source'!$F:$F,'Source'!$A:$A,"150366 א.א.אורטופדיה איתי-יהוד",'Source'!$B:$B,$A43)</f>
        <v>0</v>
      </c>
      <c r="E43" s="8" t="n">
        <f aca="false">D43*$J$5</f>
        <v>0</v>
      </c>
      <c r="F43" s="8" t="n">
        <f aca="false">E43-C43</f>
        <v>-1</v>
      </c>
      <c r="G43" s="9" t="n">
        <f aca="false">IF(AND(C43=0,E43=0),0,IF(C43=0,"New",(E43-C43)/C43))</f>
        <v>-1</v>
      </c>
      <c r="H43" s="8" t="n">
        <f aca="false">SUMIFS('Source'!$E:$E,'Source'!$A:$A,"150366 א.א.אורטופדיה איתי-יהוד",'Source'!$B:$B,$A43)</f>
        <v>350</v>
      </c>
      <c r="I43" s="8" t="n">
        <f aca="false">SUMIFS('Source'!$G:$G,'Source'!$A:$A,"150366 א.א.אורטופדיה איתי-יהוד",'Source'!$B:$B,$A43)</f>
        <v>0</v>
      </c>
      <c r="J43" s="8" t="n">
        <f aca="false">I43*$J$5</f>
        <v>0</v>
      </c>
      <c r="K43" s="8" t="n">
        <f aca="false">J43-H43</f>
        <v>-350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184</v>
      </c>
      <c r="B44" s="7" t="str">
        <f aca="false">IFERROR(INDEX('Source'!$C:$C,MATCH($A44,'Source'!$B:$B,0)),"")</f>
        <v>חגורת שבר לצד ימין</v>
      </c>
      <c r="C44" s="8" t="n">
        <f aca="false">SUMIFS('Source'!$D:$D,'Source'!$A:$A,"150366 א.א.אורטופדיה איתי-יהוד",'Source'!$B:$B,$A44)</f>
        <v>0</v>
      </c>
      <c r="D44" s="8" t="n">
        <f aca="false">SUMIFS('Source'!$F:$F,'Source'!$A:$A,"150366 א.א.אורטופדיה איתי-יהוד",'Source'!$B:$B,$A44)</f>
        <v>-3</v>
      </c>
      <c r="E44" s="8" t="n">
        <f aca="false">D44*$J$5</f>
        <v>-3.78947368421053</v>
      </c>
      <c r="F44" s="8" t="n">
        <f aca="false">E44-C44</f>
        <v>-3.78947368421053</v>
      </c>
      <c r="G44" s="9" t="str">
        <f aca="false">IF(AND(C44=0,E44=0),0,IF(C44=0,"New",(E44-C44)/C44))</f>
        <v>New</v>
      </c>
      <c r="H44" s="8" t="n">
        <f aca="false">SUMIFS('Source'!$E:$E,'Source'!$A:$A,"150366 א.א.אורטופדיה איתי-יהוד",'Source'!$B:$B,$A44)</f>
        <v>0</v>
      </c>
      <c r="I44" s="8" t="n">
        <f aca="false">SUMIFS('Source'!$G:$G,'Source'!$A:$A,"150366 א.א.אורטופדיה איתי-יהוד",'Source'!$B:$B,$A44)</f>
        <v>-346.15</v>
      </c>
      <c r="J44" s="8" t="n">
        <f aca="false">I44*$J$5</f>
        <v>-437.242105263158</v>
      </c>
      <c r="K44" s="8" t="n">
        <f aca="false">J44-H44</f>
        <v>-437.242105263158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260</v>
      </c>
      <c r="B45" s="7" t="str">
        <f aca="false">IFERROR(INDEX('Source'!$C:$C,MATCH($A45,'Source'!$B:$B,0)),"")</f>
        <v>מישר כתפיים רחב+תמיכה לבית השח</v>
      </c>
      <c r="C45" s="8" t="n">
        <f aca="false">SUMIFS('Source'!$D:$D,'Source'!$A:$A,"150366 א.א.אורטופדיה איתי-יהוד",'Source'!$B:$B,$A45)</f>
        <v>0</v>
      </c>
      <c r="D45" s="8" t="n">
        <f aca="false">SUMIFS('Source'!$F:$F,'Source'!$A:$A,"150366 א.א.אורטופדיה איתי-יהוד",'Source'!$B:$B,$A45)</f>
        <v>-2</v>
      </c>
      <c r="E45" s="8" t="n">
        <f aca="false">D45*$J$5</f>
        <v>-2.52631578947368</v>
      </c>
      <c r="F45" s="8" t="n">
        <f aca="false">E45-C45</f>
        <v>-2.52631578947368</v>
      </c>
      <c r="G45" s="9" t="str">
        <f aca="false">IF(AND(C45=0,E45=0),0,IF(C45=0,"New",(E45-C45)/C45))</f>
        <v>New</v>
      </c>
      <c r="H45" s="8" t="n">
        <f aca="false">SUMIFS('Source'!$E:$E,'Source'!$A:$A,"150366 א.א.אורטופדיה איתי-יהוד",'Source'!$B:$B,$A45)</f>
        <v>0</v>
      </c>
      <c r="I45" s="8" t="n">
        <f aca="false">SUMIFS('Source'!$G:$G,'Source'!$A:$A,"150366 א.א.אורטופדיה איתי-יהוד",'Source'!$B:$B,$A45)</f>
        <v>-319.99</v>
      </c>
      <c r="J45" s="8" t="n">
        <f aca="false">I45*$J$5</f>
        <v>-404.197894736842</v>
      </c>
      <c r="K45" s="8" t="n">
        <f aca="false">J45-H45</f>
        <v>-404.197894736842</v>
      </c>
      <c r="L45" s="9" t="str">
        <f aca="false">IF(AND(H45=0,J45=0),0,IF(H45=0,"New",(J45-H45)/H45))</f>
        <v>New</v>
      </c>
      <c r="M45" s="7" t="str">
        <f aca="false">IF(AND(OR(C45&lt;&gt;0,H45&lt;&gt;0),D45=0,I45=0),"DROP",IF(AND(OR(D45&lt;&gt;0,I45&lt;&gt;0),C45=0,H45=0),"NEW",""))</f>
        <v>NEW</v>
      </c>
    </row>
    <row r="46" customFormat="false" ht="15" hidden="false" customHeight="false" outlineLevel="0" collapsed="false">
      <c r="A46" s="7" t="s">
        <v>231</v>
      </c>
      <c r="B46" s="7" t="str">
        <f aca="false">IFERROR(INDEX('Source'!$C:$C,MATCH($A46,'Source'!$B:$B,0)),"")</f>
        <v>חגורה למנותחי בית החזה</v>
      </c>
      <c r="C46" s="8" t="n">
        <f aca="false">SUMIFS('Source'!$D:$D,'Source'!$A:$A,"150366 א.א.אורטופדיה איתי-יהוד",'Source'!$B:$B,$A46)</f>
        <v>2</v>
      </c>
      <c r="D46" s="8" t="n">
        <f aca="false">SUMIFS('Source'!$F:$F,'Source'!$A:$A,"150366 א.א.אורטופדיה איתי-יהוד",'Source'!$B:$B,$A46)</f>
        <v>0</v>
      </c>
      <c r="E46" s="8" t="n">
        <f aca="false">D46*$J$5</f>
        <v>0</v>
      </c>
      <c r="F46" s="8" t="n">
        <f aca="false">E46-C46</f>
        <v>-2</v>
      </c>
      <c r="G46" s="9" t="n">
        <f aca="false">IF(AND(C46=0,E46=0),0,IF(C46=0,"New",(E46-C46)/C46))</f>
        <v>-1</v>
      </c>
      <c r="H46" s="8" t="n">
        <f aca="false">SUMIFS('Source'!$E:$E,'Source'!$A:$A,"150366 א.א.אורטופדיה איתי-יהוד",'Source'!$B:$B,$A46)</f>
        <v>313.95</v>
      </c>
      <c r="I46" s="8" t="n">
        <f aca="false">SUMIFS('Source'!$G:$G,'Source'!$A:$A,"150366 א.א.אורטופדיה איתי-יהוד",'Source'!$B:$B,$A46)</f>
        <v>0</v>
      </c>
      <c r="J46" s="8" t="n">
        <f aca="false">I46*$J$5</f>
        <v>0</v>
      </c>
      <c r="K46" s="8" t="n">
        <f aca="false">J46-H46</f>
        <v>-313.95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285</v>
      </c>
      <c r="B47" s="7" t="str">
        <f aca="false">IFERROR(INDEX('Source'!$C:$C,MATCH($A47,'Source'!$B:$B,0)),"")</f>
        <v>מגן שוק SC39</v>
      </c>
      <c r="C47" s="8" t="n">
        <f aca="false">SUMIFS('Source'!$D:$D,'Source'!$A:$A,"150366 א.א.אורטופדיה איתי-יהוד",'Source'!$B:$B,$A47)</f>
        <v>2</v>
      </c>
      <c r="D47" s="8" t="n">
        <f aca="false">SUMIFS('Source'!$F:$F,'Source'!$A:$A,"150366 א.א.אורטופדיה איתי-יהוד",'Source'!$B:$B,$A47)</f>
        <v>0</v>
      </c>
      <c r="E47" s="8" t="n">
        <f aca="false">D47*$J$5</f>
        <v>0</v>
      </c>
      <c r="F47" s="8" t="n">
        <f aca="false">E47-C47</f>
        <v>-2</v>
      </c>
      <c r="G47" s="9" t="n">
        <f aca="false">IF(AND(C47=0,E47=0),0,IF(C47=0,"New",(E47-C47)/C47))</f>
        <v>-1</v>
      </c>
      <c r="H47" s="8" t="n">
        <f aca="false">SUMIFS('Source'!$E:$E,'Source'!$A:$A,"150366 א.א.אורטופדיה איתי-יהוד",'Source'!$B:$B,$A47)</f>
        <v>290.52</v>
      </c>
      <c r="I47" s="8" t="n">
        <f aca="false">SUMIFS('Source'!$G:$G,'Source'!$A:$A,"150366 א.א.אורטופדיה איתי-יהוד",'Source'!$B:$B,$A47)</f>
        <v>0</v>
      </c>
      <c r="J47" s="8" t="n">
        <f aca="false">I47*$J$5</f>
        <v>0</v>
      </c>
      <c r="K47" s="8" t="n">
        <f aca="false">J47-H47</f>
        <v>-290.52</v>
      </c>
      <c r="L47" s="9" t="n">
        <f aca="false">IF(AND(H47=0,J47=0),0,IF(H47=0,"New",(J47-H47)/H47))</f>
        <v>-1</v>
      </c>
      <c r="M47" s="7" t="str">
        <f aca="false">IF(AND(OR(C47&lt;&gt;0,H47&lt;&gt;0),D47=0,I47=0),"DROP",IF(AND(OR(D47&lt;&gt;0,I47&lt;&gt;0),C47=0,H47=0),"NEW",""))</f>
        <v>DROP</v>
      </c>
    </row>
    <row r="48" customFormat="false" ht="15" hidden="false" customHeight="false" outlineLevel="0" collapsed="false">
      <c r="A48" s="7" t="s">
        <v>647</v>
      </c>
      <c r="B48" s="7" t="str">
        <f aca="false">IFERROR(INDEX('Source'!$C:$C,MATCH($A48,'Source'!$B:$B,0)),"")</f>
        <v>מיצב פיקה</v>
      </c>
      <c r="C48" s="8" t="n">
        <f aca="false">SUMIFS('Source'!$D:$D,'Source'!$A:$A,"150366 א.א.אורטופדיה איתי-יהוד",'Source'!$B:$B,$A48)</f>
        <v>0</v>
      </c>
      <c r="D48" s="8" t="n">
        <f aca="false">SUMIFS('Source'!$F:$F,'Source'!$A:$A,"150366 א.א.אורטופדיה איתי-יהוד",'Source'!$B:$B,$A48)</f>
        <v>-3</v>
      </c>
      <c r="E48" s="8" t="n">
        <f aca="false">D48*$J$5</f>
        <v>-3.78947368421053</v>
      </c>
      <c r="F48" s="8" t="n">
        <f aca="false">E48-C48</f>
        <v>-3.78947368421053</v>
      </c>
      <c r="G48" s="9" t="str">
        <f aca="false">IF(AND(C48=0,E48=0),0,IF(C48=0,"New",(E48-C48)/C48))</f>
        <v>New</v>
      </c>
      <c r="H48" s="8" t="n">
        <f aca="false">SUMIFS('Source'!$E:$E,'Source'!$A:$A,"150366 א.א.אורטופדיה איתי-יהוד",'Source'!$B:$B,$A48)</f>
        <v>0</v>
      </c>
      <c r="I48" s="8" t="n">
        <f aca="false">SUMIFS('Source'!$G:$G,'Source'!$A:$A,"150366 א.א.אורטופדיה איתי-יהוד",'Source'!$B:$B,$A48)</f>
        <v>-283.9</v>
      </c>
      <c r="J48" s="8" t="n">
        <f aca="false">I48*$J$5</f>
        <v>-358.610526315789</v>
      </c>
      <c r="K48" s="8" t="n">
        <f aca="false">J48-H48</f>
        <v>-358.610526315789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494</v>
      </c>
      <c r="B49" s="7" t="str">
        <f aca="false">IFERROR(INDEX('Source'!$C:$C,MATCH($A49,'Source'!$B:$B,0)),"")</f>
        <v>בננה לתמכת אצבעו</v>
      </c>
      <c r="C49" s="8" t="n">
        <f aca="false">SUMIFS('Source'!$D:$D,'Source'!$A:$A,"150366 א.א.אורטופדיה איתי-יהוד",'Source'!$B:$B,$A49)</f>
        <v>10</v>
      </c>
      <c r="D49" s="8" t="n">
        <f aca="false">SUMIFS('Source'!$F:$F,'Source'!$A:$A,"150366 א.א.אורטופדיה איתי-יהוד",'Source'!$B:$B,$A49)</f>
        <v>20</v>
      </c>
      <c r="E49" s="8" t="n">
        <f aca="false">D49*$J$5</f>
        <v>25.2631578947368</v>
      </c>
      <c r="F49" s="8" t="n">
        <f aca="false">E49-C49</f>
        <v>15.2631578947368</v>
      </c>
      <c r="G49" s="9" t="n">
        <f aca="false">IF(AND(C49=0,E49=0),0,IF(C49=0,"New",(E49-C49)/C49))</f>
        <v>1.52631578947368</v>
      </c>
      <c r="H49" s="8" t="n">
        <f aca="false">SUMIFS('Source'!$E:$E,'Source'!$A:$A,"150366 א.א.אורטופדיה איתי-יהוד",'Source'!$B:$B,$A49)</f>
        <v>280.8</v>
      </c>
      <c r="I49" s="8" t="n">
        <f aca="false">SUMIFS('Source'!$G:$G,'Source'!$A:$A,"150366 א.א.אורטופדיה איתי-יהוד",'Source'!$B:$B,$A49)</f>
        <v>561.6</v>
      </c>
      <c r="J49" s="8" t="n">
        <f aca="false">I49*$J$5</f>
        <v>709.389473684211</v>
      </c>
      <c r="K49" s="8" t="n">
        <f aca="false">J49-H49</f>
        <v>428.589473684211</v>
      </c>
      <c r="L49" s="9" t="n">
        <f aca="false">IF(AND(H49=0,J49=0),0,IF(H49=0,"New",(J49-H49)/H49))</f>
        <v>1.52631578947368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390</v>
      </c>
      <c r="B50" s="7" t="str">
        <f aca="false">IFERROR(INDEX('Source'!$C:$C,MATCH($A50,'Source'!$B:$B,0)),"")</f>
        <v>חגורת גב אפורה</v>
      </c>
      <c r="C50" s="8" t="n">
        <f aca="false">SUMIFS('Source'!$D:$D,'Source'!$A:$A,"150366 א.א.אורטופדיה איתי-יהוד",'Source'!$B:$B,$A50)</f>
        <v>0</v>
      </c>
      <c r="D50" s="8" t="n">
        <f aca="false">SUMIFS('Source'!$F:$F,'Source'!$A:$A,"150366 א.א.אורטופדיה איתי-יהוד",'Source'!$B:$B,$A50)</f>
        <v>-5</v>
      </c>
      <c r="E50" s="8" t="n">
        <f aca="false">D50*$J$5</f>
        <v>-6.31578947368421</v>
      </c>
      <c r="F50" s="8" t="n">
        <f aca="false">E50-C50</f>
        <v>-6.31578947368421</v>
      </c>
      <c r="G50" s="9" t="str">
        <f aca="false">IF(AND(C50=0,E50=0),0,IF(C50=0,"New",(E50-C50)/C50))</f>
        <v>New</v>
      </c>
      <c r="H50" s="8" t="n">
        <f aca="false">SUMIFS('Source'!$E:$E,'Source'!$A:$A,"150366 א.א.אורטופדיה איתי-יהוד",'Source'!$B:$B,$A50)</f>
        <v>0</v>
      </c>
      <c r="I50" s="8" t="n">
        <f aca="false">SUMIFS('Source'!$G:$G,'Source'!$A:$A,"150366 א.א.אורטופדיה איתי-יהוד",'Source'!$B:$B,$A50)</f>
        <v>-277.8</v>
      </c>
      <c r="J50" s="8" t="n">
        <f aca="false">I50*$J$5</f>
        <v>-350.905263157895</v>
      </c>
      <c r="K50" s="8" t="n">
        <f aca="false">J50-H50</f>
        <v>-350.905263157895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785</v>
      </c>
      <c r="B51" s="7" t="str">
        <f aca="false">IFERROR(INDEX('Source'!$C:$C,MATCH($A51,'Source'!$B:$B,0)),"")</f>
        <v>מתלה</v>
      </c>
      <c r="C51" s="8" t="n">
        <f aca="false">SUMIFS('Source'!$D:$D,'Source'!$A:$A,"150366 א.א.אורטופדיה איתי-יהוד",'Source'!$B:$B,$A51)</f>
        <v>1</v>
      </c>
      <c r="D51" s="8" t="n">
        <f aca="false">SUMIFS('Source'!$F:$F,'Source'!$A:$A,"150366 א.א.אורטופדיה איתי-יהוד",'Source'!$B:$B,$A51)</f>
        <v>3</v>
      </c>
      <c r="E51" s="8" t="n">
        <f aca="false">D51*$J$5</f>
        <v>3.78947368421053</v>
      </c>
      <c r="F51" s="8" t="n">
        <f aca="false">E51-C51</f>
        <v>2.78947368421053</v>
      </c>
      <c r="G51" s="9" t="n">
        <f aca="false">IF(AND(C51=0,E51=0),0,IF(C51=0,"New",(E51-C51)/C51))</f>
        <v>2.78947368421053</v>
      </c>
      <c r="H51" s="8" t="n">
        <f aca="false">SUMIFS('Source'!$E:$E,'Source'!$A:$A,"150366 א.א.אורטופדיה איתי-יהוד",'Source'!$B:$B,$A51)</f>
        <v>69</v>
      </c>
      <c r="I51" s="8" t="n">
        <f aca="false">SUMIFS('Source'!$G:$G,'Source'!$A:$A,"150366 א.א.אורטופדיה איתי-יהוד",'Source'!$B:$B,$A51)</f>
        <v>333.12</v>
      </c>
      <c r="J51" s="8" t="n">
        <f aca="false">I51*$J$5</f>
        <v>420.783157894737</v>
      </c>
      <c r="K51" s="8" t="n">
        <f aca="false">J51-H51</f>
        <v>351.783157894737</v>
      </c>
      <c r="L51" s="9" t="n">
        <f aca="false">IF(AND(H51=0,J51=0),0,IF(H51=0,"New",(J51-H51)/H51))</f>
        <v>5.09830663615561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999</v>
      </c>
      <c r="B52" s="7" t="str">
        <f aca="false">IFERROR(INDEX('Source'!$C:$C,MATCH($A52,'Source'!$B:$B,0)),"")</f>
        <v>גרב לילה לטיפול בדורבן</v>
      </c>
      <c r="C52" s="8" t="n">
        <f aca="false">SUMIFS('Source'!$D:$D,'Source'!$A:$A,"150366 א.א.אורטופדיה איתי-יהוד",'Source'!$B:$B,$A52)</f>
        <v>4</v>
      </c>
      <c r="D52" s="8" t="n">
        <f aca="false">SUMIFS('Source'!$F:$F,'Source'!$A:$A,"150366 א.א.אורטופדיה איתי-יהוד",'Source'!$B:$B,$A52)</f>
        <v>0</v>
      </c>
      <c r="E52" s="8" t="n">
        <f aca="false">D52*$J$5</f>
        <v>0</v>
      </c>
      <c r="F52" s="8" t="n">
        <f aca="false">E52-C52</f>
        <v>-4</v>
      </c>
      <c r="G52" s="9" t="n">
        <f aca="false">IF(AND(C52=0,E52=0),0,IF(C52=0,"New",(E52-C52)/C52))</f>
        <v>-1</v>
      </c>
      <c r="H52" s="8" t="n">
        <f aca="false">SUMIFS('Source'!$E:$E,'Source'!$A:$A,"150366 א.א.אורטופדיה איתי-יהוד",'Source'!$B:$B,$A52)</f>
        <v>260.01</v>
      </c>
      <c r="I52" s="8" t="n">
        <f aca="false">SUMIFS('Source'!$G:$G,'Source'!$A:$A,"150366 א.א.אורטופדיה איתי-יהוד",'Source'!$B:$B,$A52)</f>
        <v>0</v>
      </c>
      <c r="J52" s="8" t="n">
        <f aca="false">I52*$J$5</f>
        <v>0</v>
      </c>
      <c r="K52" s="8" t="n">
        <f aca="false">J52-H52</f>
        <v>-260.01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462</v>
      </c>
      <c r="B53" s="7" t="str">
        <f aca="false">IFERROR(INDEX('Source'!$C:$C,MATCH($A53,'Source'!$B:$B,0)),"")</f>
        <v>מגן לכתף ימין/שמאל</v>
      </c>
      <c r="C53" s="8" t="n">
        <f aca="false">SUMIFS('Source'!$D:$D,'Source'!$A:$A,"150366 א.א.אורטופדיה איתי-יהוד",'Source'!$B:$B,$A53)</f>
        <v>1</v>
      </c>
      <c r="D53" s="8" t="n">
        <f aca="false">SUMIFS('Source'!$F:$F,'Source'!$A:$A,"150366 א.א.אורטופדיה איתי-יהוד",'Source'!$B:$B,$A53)</f>
        <v>-1</v>
      </c>
      <c r="E53" s="8" t="n">
        <f aca="false">D53*$J$5</f>
        <v>-1.26315789473684</v>
      </c>
      <c r="F53" s="8" t="n">
        <f aca="false">E53-C53</f>
        <v>-2.26315789473684</v>
      </c>
      <c r="G53" s="9" t="n">
        <f aca="false">IF(AND(C53=0,E53=0),0,IF(C53=0,"New",(E53-C53)/C53))</f>
        <v>-2.26315789473684</v>
      </c>
      <c r="H53" s="8" t="n">
        <f aca="false">SUMIFS('Source'!$E:$E,'Source'!$A:$A,"150366 א.א.אורטופדיה איתי-יהוד",'Source'!$B:$B,$A53)</f>
        <v>130</v>
      </c>
      <c r="I53" s="8" t="n">
        <f aca="false">SUMIFS('Source'!$G:$G,'Source'!$A:$A,"150366 א.א.אורטופדיה איתי-יהוד",'Source'!$B:$B,$A53)</f>
        <v>-130</v>
      </c>
      <c r="J53" s="8" t="n">
        <f aca="false">I53*$J$5</f>
        <v>-164.210526315789</v>
      </c>
      <c r="K53" s="8" t="n">
        <f aca="false">J53-H53</f>
        <v>-294.21052631579</v>
      </c>
      <c r="L53" s="9" t="n">
        <f aca="false">IF(AND(H53=0,J53=0),0,IF(H53=0,"New",(J53-H53)/H53))</f>
        <v>-2.26315789473684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238</v>
      </c>
      <c r="B54" s="7" t="str">
        <f aca="false">IFERROR(INDEX('Source'!$C:$C,MATCH($A54,'Source'!$B:$B,0)),"")</f>
        <v>מגן לכתף ימין/שמאל</v>
      </c>
      <c r="C54" s="8" t="n">
        <f aca="false">SUMIFS('Source'!$D:$D,'Source'!$A:$A,"150366 א.א.אורטופדיה איתי-יהוד",'Source'!$B:$B,$A54)</f>
        <v>2</v>
      </c>
      <c r="D54" s="8" t="n">
        <f aca="false">SUMIFS('Source'!$F:$F,'Source'!$A:$A,"150366 א.א.אורטופדיה איתי-יהוד",'Source'!$B:$B,$A54)</f>
        <v>0</v>
      </c>
      <c r="E54" s="8" t="n">
        <f aca="false">D54*$J$5</f>
        <v>0</v>
      </c>
      <c r="F54" s="8" t="n">
        <f aca="false">E54-C54</f>
        <v>-2</v>
      </c>
      <c r="G54" s="9" t="n">
        <f aca="false">IF(AND(C54=0,E54=0),0,IF(C54=0,"New",(E54-C54)/C54))</f>
        <v>-1</v>
      </c>
      <c r="H54" s="8" t="n">
        <f aca="false">SUMIFS('Source'!$E:$E,'Source'!$A:$A,"150366 א.א.אורטופדיה איתי-יהוד",'Source'!$B:$B,$A54)</f>
        <v>260</v>
      </c>
      <c r="I54" s="8" t="n">
        <f aca="false">SUMIFS('Source'!$G:$G,'Source'!$A:$A,"150366 א.א.אורטופדיה איתי-יהוד",'Source'!$B:$B,$A54)</f>
        <v>0</v>
      </c>
      <c r="J54" s="8" t="n">
        <f aca="false">I54*$J$5</f>
        <v>0</v>
      </c>
      <c r="K54" s="8" t="n">
        <f aca="false">J54-H54</f>
        <v>-260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161</v>
      </c>
      <c r="B55" s="7" t="str">
        <f aca="false">IFERROR(INDEX('Source'!$C:$C,MATCH($A55,'Source'!$B:$B,0)),"")</f>
        <v>סד לתמיכה פרק כף יד ואגודל</v>
      </c>
      <c r="C55" s="8" t="n">
        <f aca="false">SUMIFS('Source'!$D:$D,'Source'!$A:$A,"150366 א.א.אורטופדיה איתי-יהוד",'Source'!$B:$B,$A55)</f>
        <v>0</v>
      </c>
      <c r="D55" s="8" t="n">
        <f aca="false">SUMIFS('Source'!$F:$F,'Source'!$A:$A,"150366 א.א.אורטופדיה איתי-יהוד",'Source'!$B:$B,$A55)</f>
        <v>-4</v>
      </c>
      <c r="E55" s="8" t="n">
        <f aca="false">D55*$J$5</f>
        <v>-5.05263157894737</v>
      </c>
      <c r="F55" s="8" t="n">
        <f aca="false">E55-C55</f>
        <v>-5.05263157894737</v>
      </c>
      <c r="G55" s="9" t="str">
        <f aca="false">IF(AND(C55=0,E55=0),0,IF(C55=0,"New",(E55-C55)/C55))</f>
        <v>New</v>
      </c>
      <c r="H55" s="8" t="n">
        <f aca="false">SUMIFS('Source'!$E:$E,'Source'!$A:$A,"150366 א.א.אורטופדיה איתי-יהוד",'Source'!$B:$B,$A55)</f>
        <v>0</v>
      </c>
      <c r="I55" s="8" t="n">
        <f aca="false">SUMIFS('Source'!$G:$G,'Source'!$A:$A,"150366 א.א.אורטופדיה איתי-יהוד",'Source'!$B:$B,$A55)</f>
        <v>-256.4</v>
      </c>
      <c r="J55" s="8" t="n">
        <f aca="false">I55*$J$5</f>
        <v>-323.873684210526</v>
      </c>
      <c r="K55" s="8" t="n">
        <f aca="false">J55-H55</f>
        <v>-323.873684210526</v>
      </c>
      <c r="L55" s="9" t="str">
        <f aca="false">IF(AND(H55=0,J55=0),0,IF(H55=0,"New",(J55-H55)/H55))</f>
        <v>New</v>
      </c>
      <c r="M55" s="7" t="str">
        <f aca="false">IF(AND(OR(C55&lt;&gt;0,H55&lt;&gt;0),D55=0,I55=0),"DROP",IF(AND(OR(D55&lt;&gt;0,I55&lt;&gt;0),C55=0,H55=0),"NEW",""))</f>
        <v>NEW</v>
      </c>
    </row>
    <row r="56" customFormat="false" ht="15" hidden="false" customHeight="false" outlineLevel="0" collapsed="false">
      <c r="A56" s="7" t="s">
        <v>279</v>
      </c>
      <c r="B56" s="7" t="str">
        <f aca="false">IFERROR(INDEX('Source'!$C:$C,MATCH($A56,'Source'!$B:$B,0)),"")</f>
        <v>חגורה אחרי ניתוח</v>
      </c>
      <c r="C56" s="8" t="n">
        <f aca="false">SUMIFS('Source'!$D:$D,'Source'!$A:$A,"150366 א.א.אורטופדיה איתי-יהוד",'Source'!$B:$B,$A56)</f>
        <v>7</v>
      </c>
      <c r="D56" s="8" t="n">
        <f aca="false">SUMIFS('Source'!$F:$F,'Source'!$A:$A,"150366 א.א.אורטופדיה איתי-יהוד",'Source'!$B:$B,$A56)</f>
        <v>9</v>
      </c>
      <c r="E56" s="8" t="n">
        <f aca="false">D56*$J$5</f>
        <v>11.3684210526316</v>
      </c>
      <c r="F56" s="8" t="n">
        <f aca="false">E56-C56</f>
        <v>4.36842105263158</v>
      </c>
      <c r="G56" s="9" t="n">
        <f aca="false">IF(AND(C56=0,E56=0),0,IF(C56=0,"New",(E56-C56)/C56))</f>
        <v>0.62406015037594</v>
      </c>
      <c r="H56" s="8" t="n">
        <f aca="false">SUMIFS('Source'!$E:$E,'Source'!$A:$A,"150366 א.א.אורטופדיה איתי-יהוד",'Source'!$B:$B,$A56)</f>
        <v>701.8</v>
      </c>
      <c r="I56" s="8" t="n">
        <f aca="false">SUMIFS('Source'!$G:$G,'Source'!$A:$A,"150366 א.א.אורטופדיה איתי-יהוד",'Source'!$B:$B,$A56)</f>
        <v>945.04</v>
      </c>
      <c r="J56" s="8" t="n">
        <f aca="false">I56*$J$5</f>
        <v>1193.73473684211</v>
      </c>
      <c r="K56" s="8" t="n">
        <f aca="false">J56-H56</f>
        <v>491.934736842105</v>
      </c>
      <c r="L56" s="9" t="n">
        <f aca="false">IF(AND(H56=0,J56=0),0,IF(H56=0,"New",(J56-H56)/H56))</f>
        <v>0.700961437506562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212</v>
      </c>
      <c r="B57" s="7" t="str">
        <f aca="false">IFERROR(INDEX('Source'!$C:$C,MATCH($A57,'Source'!$B:$B,0)),"")</f>
        <v>חגורת גב אפורה</v>
      </c>
      <c r="C57" s="8" t="n">
        <f aca="false">SUMIFS('Source'!$D:$D,'Source'!$A:$A,"150366 א.א.אורטופדיה איתי-יהוד",'Source'!$B:$B,$A57)</f>
        <v>0</v>
      </c>
      <c r="D57" s="8" t="n">
        <f aca="false">SUMIFS('Source'!$F:$F,'Source'!$A:$A,"150366 א.א.אורטופדיה איתי-יהוד",'Source'!$B:$B,$A57)</f>
        <v>-4</v>
      </c>
      <c r="E57" s="8" t="n">
        <f aca="false">D57*$J$5</f>
        <v>-5.05263157894737</v>
      </c>
      <c r="F57" s="8" t="n">
        <f aca="false">E57-C57</f>
        <v>-5.05263157894737</v>
      </c>
      <c r="G57" s="9" t="str">
        <f aca="false">IF(AND(C57=0,E57=0),0,IF(C57=0,"New",(E57-C57)/C57))</f>
        <v>New</v>
      </c>
      <c r="H57" s="8" t="n">
        <f aca="false">SUMIFS('Source'!$E:$E,'Source'!$A:$A,"150366 א.א.אורטופדיה איתי-יהוד",'Source'!$B:$B,$A57)</f>
        <v>0</v>
      </c>
      <c r="I57" s="8" t="n">
        <f aca="false">SUMIFS('Source'!$G:$G,'Source'!$A:$A,"150366 א.א.אורטופדיה איתי-יהוד",'Source'!$B:$B,$A57)</f>
        <v>-222.24</v>
      </c>
      <c r="J57" s="8" t="n">
        <f aca="false">I57*$J$5</f>
        <v>-280.724210526316</v>
      </c>
      <c r="K57" s="8" t="n">
        <f aca="false">J57-H57</f>
        <v>-280.724210526316</v>
      </c>
      <c r="L57" s="9" t="str">
        <f aca="false">IF(AND(H57=0,J57=0),0,IF(H57=0,"New",(J57-H57)/H57))</f>
        <v>New</v>
      </c>
      <c r="M57" s="7" t="str">
        <f aca="false">IF(AND(OR(C57&lt;&gt;0,H57&lt;&gt;0),D57=0,I57=0),"DROP",IF(AND(OR(D57&lt;&gt;0,I57&lt;&gt;0),C57=0,H57=0),"NEW",""))</f>
        <v>NEW</v>
      </c>
    </row>
    <row r="58" customFormat="false" ht="15" hidden="false" customHeight="false" outlineLevel="0" collapsed="false">
      <c r="A58" s="7" t="s">
        <v>1009</v>
      </c>
      <c r="B58" s="7" t="str">
        <f aca="false">IFERROR(INDEX('Source'!$C:$C,MATCH($A58,'Source'!$B:$B,0)),"")</f>
        <v>חגורת פיסוק פאבליק</v>
      </c>
      <c r="C58" s="8" t="n">
        <f aca="false">SUMIFS('Source'!$D:$D,'Source'!$A:$A,"150366 א.א.אורטופדיה איתי-יהוד",'Source'!$B:$B,$A58)</f>
        <v>2</v>
      </c>
      <c r="D58" s="8" t="n">
        <f aca="false">SUMIFS('Source'!$F:$F,'Source'!$A:$A,"150366 א.א.אורטופדיה איתי-יהוד",'Source'!$B:$B,$A58)</f>
        <v>1</v>
      </c>
      <c r="E58" s="8" t="n">
        <f aca="false">D58*$J$5</f>
        <v>1.26315789473684</v>
      </c>
      <c r="F58" s="8" t="n">
        <f aca="false">E58-C58</f>
        <v>-0.736842105263158</v>
      </c>
      <c r="G58" s="9" t="n">
        <f aca="false">IF(AND(C58=0,E58=0),0,IF(C58=0,"New",(E58-C58)/C58))</f>
        <v>-0.368421052631579</v>
      </c>
      <c r="H58" s="8" t="n">
        <f aca="false">SUMIFS('Source'!$E:$E,'Source'!$A:$A,"150366 א.א.אורטופדיה איתי-יהוד",'Source'!$B:$B,$A58)</f>
        <v>439.97</v>
      </c>
      <c r="I58" s="8" t="n">
        <f aca="false">SUMIFS('Source'!$G:$G,'Source'!$A:$A,"150366 א.א.אורטופדיה איתי-יהוד",'Source'!$B:$B,$A58)</f>
        <v>219.76</v>
      </c>
      <c r="J58" s="8" t="n">
        <f aca="false">I58*$J$5</f>
        <v>277.591578947368</v>
      </c>
      <c r="K58" s="8" t="n">
        <f aca="false">J58-H58</f>
        <v>-162.378421052632</v>
      </c>
      <c r="L58" s="9" t="n">
        <f aca="false">IF(AND(H58=0,J58=0),0,IF(H58=0,"New",(J58-H58)/H58))</f>
        <v>-0.369067029689823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813</v>
      </c>
      <c r="B59" s="7" t="str">
        <f aca="false">IFERROR(INDEX('Source'!$C:$C,MATCH($A59,'Source'!$B:$B,0)),"")</f>
        <v>מגן ברך רגיל</v>
      </c>
      <c r="C59" s="8" t="n">
        <f aca="false">SUMIFS('Source'!$D:$D,'Source'!$A:$A,"150366 א.א.אורטופדיה איתי-יהוד",'Source'!$B:$B,$A59)</f>
        <v>0</v>
      </c>
      <c r="D59" s="8" t="n">
        <f aca="false">SUMIFS('Source'!$F:$F,'Source'!$A:$A,"150366 א.א.אורטופדיה איתי-יהוד",'Source'!$B:$B,$A59)</f>
        <v>2</v>
      </c>
      <c r="E59" s="8" t="n">
        <f aca="false">D59*$J$5</f>
        <v>2.52631578947368</v>
      </c>
      <c r="F59" s="8" t="n">
        <f aca="false">E59-C59</f>
        <v>2.52631578947368</v>
      </c>
      <c r="G59" s="9" t="str">
        <f aca="false">IF(AND(C59=0,E59=0),0,IF(C59=0,"New",(E59-C59)/C59))</f>
        <v>New</v>
      </c>
      <c r="H59" s="8" t="n">
        <f aca="false">SUMIFS('Source'!$E:$E,'Source'!$A:$A,"150366 א.א.אורטופדיה איתי-יהוד",'Source'!$B:$B,$A59)</f>
        <v>0</v>
      </c>
      <c r="I59" s="8" t="n">
        <f aca="false">SUMIFS('Source'!$G:$G,'Source'!$A:$A,"150366 א.א.אורטופדיה איתי-יהוד",'Source'!$B:$B,$A59)</f>
        <v>210.84</v>
      </c>
      <c r="J59" s="8" t="n">
        <f aca="false">I59*$J$5</f>
        <v>266.324210526316</v>
      </c>
      <c r="K59" s="8" t="n">
        <f aca="false">J59-H59</f>
        <v>266.324210526316</v>
      </c>
      <c r="L59" s="9" t="str">
        <f aca="false">IF(AND(H59=0,J59=0),0,IF(H59=0,"New",(J59-H59)/H59))</f>
        <v>New</v>
      </c>
      <c r="M59" s="7" t="str">
        <f aca="false">IF(AND(OR(C59&lt;&gt;0,H59&lt;&gt;0),D59=0,I59=0),"DROP",IF(AND(OR(D59&lt;&gt;0,I59&lt;&gt;0),C59=0,H59=0),"NEW",""))</f>
        <v>NEW</v>
      </c>
    </row>
    <row r="60" customFormat="false" ht="15" hidden="false" customHeight="false" outlineLevel="0" collapsed="false">
      <c r="A60" s="7" t="s">
        <v>318</v>
      </c>
      <c r="B60" s="7" t="str">
        <f aca="false">IFERROR(INDEX('Source'!$C:$C,MATCH($A60,'Source'!$B:$B,0)),"")</f>
        <v>מיצב פיקה</v>
      </c>
      <c r="C60" s="8" t="n">
        <f aca="false">SUMIFS('Source'!$D:$D,'Source'!$A:$A,"150366 א.א.אורטופדיה איתי-יהוד",'Source'!$B:$B,$A60)</f>
        <v>0</v>
      </c>
      <c r="D60" s="8" t="n">
        <f aca="false">SUMIFS('Source'!$F:$F,'Source'!$A:$A,"150366 א.א.אורטופדיה איתי-יהוד",'Source'!$B:$B,$A60)</f>
        <v>-2</v>
      </c>
      <c r="E60" s="8" t="n">
        <f aca="false">D60*$J$5</f>
        <v>-2.52631578947368</v>
      </c>
      <c r="F60" s="8" t="n">
        <f aca="false">E60-C60</f>
        <v>-2.52631578947368</v>
      </c>
      <c r="G60" s="9" t="str">
        <f aca="false">IF(AND(C60=0,E60=0),0,IF(C60=0,"New",(E60-C60)/C60))</f>
        <v>New</v>
      </c>
      <c r="H60" s="8" t="n">
        <f aca="false">SUMIFS('Source'!$E:$E,'Source'!$A:$A,"150366 א.א.אורטופדיה איתי-יהוד",'Source'!$B:$B,$A60)</f>
        <v>0</v>
      </c>
      <c r="I60" s="8" t="n">
        <f aca="false">SUMIFS('Source'!$G:$G,'Source'!$A:$A,"150366 א.א.אורטופדיה איתי-יהוד",'Source'!$B:$B,$A60)</f>
        <v>-189.27</v>
      </c>
      <c r="J60" s="8" t="n">
        <f aca="false">I60*$J$5</f>
        <v>-239.077894736842</v>
      </c>
      <c r="K60" s="8" t="n">
        <f aca="false">J60-H60</f>
        <v>-239.077894736842</v>
      </c>
      <c r="L60" s="9" t="str">
        <f aca="false">IF(AND(H60=0,J60=0),0,IF(H60=0,"New",(J60-H60)/H60))</f>
        <v>New</v>
      </c>
      <c r="M60" s="7" t="str">
        <f aca="false">IF(AND(OR(C60&lt;&gt;0,H60&lt;&gt;0),D60=0,I60=0),"DROP",IF(AND(OR(D60&lt;&gt;0,I60&lt;&gt;0),C60=0,H60=0),"NEW",""))</f>
        <v>NEW</v>
      </c>
    </row>
    <row r="61" customFormat="false" ht="15" hidden="false" customHeight="false" outlineLevel="0" collapsed="false">
      <c r="A61" s="7" t="s">
        <v>786</v>
      </c>
      <c r="B61" s="7" t="str">
        <f aca="false">IFERROR(INDEX('Source'!$C:$C,MATCH($A61,'Source'!$B:$B,0)),"")</f>
        <v>מתלה</v>
      </c>
      <c r="C61" s="8" t="n">
        <f aca="false">SUMIFS('Source'!$D:$D,'Source'!$A:$A,"150366 א.א.אורטופדיה איתי-יהוד",'Source'!$B:$B,$A61)</f>
        <v>4</v>
      </c>
      <c r="D61" s="8" t="n">
        <f aca="false">SUMIFS('Source'!$F:$F,'Source'!$A:$A,"150366 א.א.אורטופדיה איתי-יהוד",'Source'!$B:$B,$A61)</f>
        <v>2</v>
      </c>
      <c r="E61" s="8" t="n">
        <f aca="false">D61*$J$5</f>
        <v>2.52631578947368</v>
      </c>
      <c r="F61" s="8" t="n">
        <f aca="false">E61-C61</f>
        <v>-1.47368421052632</v>
      </c>
      <c r="G61" s="9" t="n">
        <f aca="false">IF(AND(C61=0,E61=0),0,IF(C61=0,"New",(E61-C61)/C61))</f>
        <v>-0.368421052631579</v>
      </c>
      <c r="H61" s="8" t="n">
        <f aca="false">SUMIFS('Source'!$E:$E,'Source'!$A:$A,"150366 א.א.אורטופדיה איתי-יהוד",'Source'!$B:$B,$A61)</f>
        <v>402.11</v>
      </c>
      <c r="I61" s="8" t="n">
        <f aca="false">SUMIFS('Source'!$G:$G,'Source'!$A:$A,"150366 א.א.אורטופדיה איתי-יהוד",'Source'!$B:$B,$A61)</f>
        <v>222.07</v>
      </c>
      <c r="J61" s="8" t="n">
        <f aca="false">I61*$J$5</f>
        <v>280.509473684211</v>
      </c>
      <c r="K61" s="8" t="n">
        <f aca="false">J61-H61</f>
        <v>-121.60052631579</v>
      </c>
      <c r="L61" s="9" t="n">
        <f aca="false">IF(AND(H61=0,J61=0),0,IF(H61=0,"New",(J61-H61)/H61))</f>
        <v>-0.302406123488074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292</v>
      </c>
      <c r="B62" s="7" t="str">
        <f aca="false">IFERROR(INDEX('Source'!$C:$C,MATCH($A62,'Source'!$B:$B,0)),"")</f>
        <v>חגורת גב אפורה</v>
      </c>
      <c r="C62" s="8" t="n">
        <f aca="false">SUMIFS('Source'!$D:$D,'Source'!$A:$A,"150366 א.א.אורטופדיה איתי-יהוד",'Source'!$B:$B,$A62)</f>
        <v>1</v>
      </c>
      <c r="D62" s="8" t="n">
        <f aca="false">SUMIFS('Source'!$F:$F,'Source'!$A:$A,"150366 א.א.אורטופדיה איתי-יהוד",'Source'!$B:$B,$A62)</f>
        <v>-1</v>
      </c>
      <c r="E62" s="8" t="n">
        <f aca="false">D62*$J$5</f>
        <v>-1.26315789473684</v>
      </c>
      <c r="F62" s="8" t="n">
        <f aca="false">E62-C62</f>
        <v>-2.26315789473684</v>
      </c>
      <c r="G62" s="9" t="n">
        <f aca="false">IF(AND(C62=0,E62=0),0,IF(C62=0,"New",(E62-C62)/C62))</f>
        <v>-2.26315789473684</v>
      </c>
      <c r="H62" s="8" t="n">
        <f aca="false">SUMIFS('Source'!$E:$E,'Source'!$A:$A,"150366 א.א.אורטופדיה איתי-יהוד",'Source'!$B:$B,$A62)</f>
        <v>117.14</v>
      </c>
      <c r="I62" s="8" t="n">
        <f aca="false">SUMIFS('Source'!$G:$G,'Source'!$A:$A,"150366 א.א.אורטופדיה איתי-יהוד",'Source'!$B:$B,$A62)</f>
        <v>-55.56</v>
      </c>
      <c r="J62" s="8" t="n">
        <f aca="false">I62*$J$5</f>
        <v>-70.181052631579</v>
      </c>
      <c r="K62" s="8" t="n">
        <f aca="false">J62-H62</f>
        <v>-187.321052631579</v>
      </c>
      <c r="L62" s="9" t="n">
        <f aca="false">IF(AND(H62=0,J62=0),0,IF(H62=0,"New",(J62-H62)/H62))</f>
        <v>-1.59912115956615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626</v>
      </c>
      <c r="B63" s="7" t="str">
        <f aca="false">IFERROR(INDEX('Source'!$C:$C,MATCH($A63,'Source'!$B:$B,0)),"")</f>
        <v>חגורת בטן</v>
      </c>
      <c r="C63" s="8" t="n">
        <f aca="false">SUMIFS('Source'!$D:$D,'Source'!$A:$A,"150366 א.א.אורטופדיה איתי-יהוד",'Source'!$B:$B,$A63)</f>
        <v>1</v>
      </c>
      <c r="D63" s="8" t="n">
        <f aca="false">SUMIFS('Source'!$F:$F,'Source'!$A:$A,"150366 א.א.אורטופדיה איתי-יהוד",'Source'!$B:$B,$A63)</f>
        <v>-1</v>
      </c>
      <c r="E63" s="8" t="n">
        <f aca="false">D63*$J$5</f>
        <v>-1.26315789473684</v>
      </c>
      <c r="F63" s="8" t="n">
        <f aca="false">E63-C63</f>
        <v>-2.26315789473684</v>
      </c>
      <c r="G63" s="9" t="n">
        <f aca="false">IF(AND(C63=0,E63=0),0,IF(C63=0,"New",(E63-C63)/C63))</f>
        <v>-2.26315789473684</v>
      </c>
      <c r="H63" s="8" t="n">
        <f aca="false">SUMIFS('Source'!$E:$E,'Source'!$A:$A,"150366 א.א.אורטופדיה איתי-יהוד",'Source'!$B:$B,$A63)</f>
        <v>85</v>
      </c>
      <c r="I63" s="8" t="n">
        <f aca="false">SUMIFS('Source'!$G:$G,'Source'!$A:$A,"150366 א.א.אורטופדיה איתי-יהוד",'Source'!$B:$B,$A63)</f>
        <v>-85</v>
      </c>
      <c r="J63" s="8" t="n">
        <f aca="false">I63*$J$5</f>
        <v>-107.368421052632</v>
      </c>
      <c r="K63" s="8" t="n">
        <f aca="false">J63-H63</f>
        <v>-192.368421052632</v>
      </c>
      <c r="L63" s="9" t="n">
        <f aca="false">IF(AND(H63=0,J63=0),0,IF(H63=0,"New",(J63-H63)/H63))</f>
        <v>-2.26315789473684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548</v>
      </c>
      <c r="B64" s="7" t="str">
        <f aca="false">IFERROR(INDEX('Source'!$C:$C,MATCH($A64,'Source'!$B:$B,0)),"")</f>
        <v>חגורת בטן לנורבגיה</v>
      </c>
      <c r="C64" s="8" t="n">
        <f aca="false">SUMIFS('Source'!$D:$D,'Source'!$A:$A,"150366 א.א.אורטופדיה איתי-יהוד",'Source'!$B:$B,$A64)</f>
        <v>0</v>
      </c>
      <c r="D64" s="8" t="n">
        <f aca="false">SUMIFS('Source'!$F:$F,'Source'!$A:$A,"150366 א.א.אורטופדיה איתי-יהוד",'Source'!$B:$B,$A64)</f>
        <v>1</v>
      </c>
      <c r="E64" s="8" t="n">
        <f aca="false">D64*$J$5</f>
        <v>1.26315789473684</v>
      </c>
      <c r="F64" s="8" t="n">
        <f aca="false">E64-C64</f>
        <v>1.26315789473684</v>
      </c>
      <c r="G64" s="9" t="str">
        <f aca="false">IF(AND(C64=0,E64=0),0,IF(C64=0,"New",(E64-C64)/C64))</f>
        <v>New</v>
      </c>
      <c r="H64" s="8" t="n">
        <f aca="false">SUMIFS('Source'!$E:$E,'Source'!$A:$A,"150366 א.א.אורטופדיה איתי-יהוד",'Source'!$B:$B,$A64)</f>
        <v>0</v>
      </c>
      <c r="I64" s="8" t="n">
        <f aca="false">SUMIFS('Source'!$G:$G,'Source'!$A:$A,"150366 א.א.אורטופדיה איתי-יהוד",'Source'!$B:$B,$A64)</f>
        <v>165</v>
      </c>
      <c r="J64" s="8" t="n">
        <f aca="false">I64*$J$5</f>
        <v>208.421052631579</v>
      </c>
      <c r="K64" s="8" t="n">
        <f aca="false">J64-H64</f>
        <v>208.421052631579</v>
      </c>
      <c r="L64" s="9" t="str">
        <f aca="false">IF(AND(H64=0,J64=0),0,IF(H64=0,"New",(J64-H64)/H64))</f>
        <v>New</v>
      </c>
      <c r="M64" s="7" t="str">
        <f aca="false">IF(AND(OR(C64&lt;&gt;0,H64&lt;&gt;0),D64=0,I64=0),"DROP",IF(AND(OR(D64&lt;&gt;0,I64&lt;&gt;0),C64=0,H64=0),"NEW",""))</f>
        <v>NEW</v>
      </c>
    </row>
    <row r="65" customFormat="false" ht="15" hidden="false" customHeight="false" outlineLevel="0" collapsed="false">
      <c r="A65" s="7" t="s">
        <v>651</v>
      </c>
      <c r="B65" s="7" t="str">
        <f aca="false">IFERROR(INDEX('Source'!$C:$C,MATCH($A65,'Source'!$B:$B,0)),"")</f>
        <v>מגן שוק SC39</v>
      </c>
      <c r="C65" s="8" t="n">
        <f aca="false">SUMIFS('Source'!$D:$D,'Source'!$A:$A,"150366 א.א.אורטופדיה איתי-יהוד",'Source'!$B:$B,$A65)</f>
        <v>1</v>
      </c>
      <c r="D65" s="8" t="n">
        <f aca="false">SUMIFS('Source'!$F:$F,'Source'!$A:$A,"150366 א.א.אורטופדיה איתי-יהוד",'Source'!$B:$B,$A65)</f>
        <v>0</v>
      </c>
      <c r="E65" s="8" t="n">
        <f aca="false">D65*$J$5</f>
        <v>0</v>
      </c>
      <c r="F65" s="8" t="n">
        <f aca="false">E65-C65</f>
        <v>-1</v>
      </c>
      <c r="G65" s="9" t="n">
        <f aca="false">IF(AND(C65=0,E65=0),0,IF(C65=0,"New",(E65-C65)/C65))</f>
        <v>-1</v>
      </c>
      <c r="H65" s="8" t="n">
        <f aca="false">SUMIFS('Source'!$E:$E,'Source'!$A:$A,"150366 א.א.אורטופדיה איתי-יהוד",'Source'!$B:$B,$A65)</f>
        <v>164.03</v>
      </c>
      <c r="I65" s="8" t="n">
        <f aca="false">SUMIFS('Source'!$G:$G,'Source'!$A:$A,"150366 א.א.אורטופדיה איתי-יהוד",'Source'!$B:$B,$A65)</f>
        <v>0</v>
      </c>
      <c r="J65" s="8" t="n">
        <f aca="false">I65*$J$5</f>
        <v>0</v>
      </c>
      <c r="K65" s="8" t="n">
        <f aca="false">J65-H65</f>
        <v>-164.03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383</v>
      </c>
      <c r="B66" s="7" t="str">
        <f aca="false">IFERROR(INDEX('Source'!$C:$C,MATCH($A66,'Source'!$B:$B,0)),"")</f>
        <v>מישר כתפיים רחב+תמיכה לבית השח</v>
      </c>
      <c r="C66" s="8" t="n">
        <f aca="false">SUMIFS('Source'!$D:$D,'Source'!$A:$A,"150366 א.א.אורטופדיה איתי-יהוד",'Source'!$B:$B,$A66)</f>
        <v>0</v>
      </c>
      <c r="D66" s="8" t="n">
        <f aca="false">SUMIFS('Source'!$F:$F,'Source'!$A:$A,"150366 א.א.אורטופדיה איתי-יהוד",'Source'!$B:$B,$A66)</f>
        <v>-1</v>
      </c>
      <c r="E66" s="8" t="n">
        <f aca="false">D66*$J$5</f>
        <v>-1.26315789473684</v>
      </c>
      <c r="F66" s="8" t="n">
        <f aca="false">E66-C66</f>
        <v>-1.26315789473684</v>
      </c>
      <c r="G66" s="9" t="str">
        <f aca="false">IF(AND(C66=0,E66=0),0,IF(C66=0,"New",(E66-C66)/C66))</f>
        <v>New</v>
      </c>
      <c r="H66" s="8" t="n">
        <f aca="false">SUMIFS('Source'!$E:$E,'Source'!$A:$A,"150366 א.א.אורטופדיה איתי-יהוד",'Source'!$B:$B,$A66)</f>
        <v>0</v>
      </c>
      <c r="I66" s="8" t="n">
        <f aca="false">SUMIFS('Source'!$G:$G,'Source'!$A:$A,"150366 א.א.אורטופדיה איתי-יהוד",'Source'!$B:$B,$A66)</f>
        <v>-160</v>
      </c>
      <c r="J66" s="8" t="n">
        <f aca="false">I66*$J$5</f>
        <v>-202.105263157895</v>
      </c>
      <c r="K66" s="8" t="n">
        <f aca="false">J66-H66</f>
        <v>-202.105263157895</v>
      </c>
      <c r="L66" s="9" t="str">
        <f aca="false">IF(AND(H66=0,J66=0),0,IF(H66=0,"New",(J66-H66)/H66))</f>
        <v>New</v>
      </c>
      <c r="M66" s="7" t="str">
        <f aca="false">IF(AND(OR(C66&lt;&gt;0,H66&lt;&gt;0),D66=0,I66=0),"DROP",IF(AND(OR(D66&lt;&gt;0,I66&lt;&gt;0),C66=0,H66=0),"NEW",""))</f>
        <v>NEW</v>
      </c>
    </row>
    <row r="67" customFormat="false" ht="15" hidden="false" customHeight="false" outlineLevel="0" collapsed="false">
      <c r="A67" s="7" t="s">
        <v>223</v>
      </c>
      <c r="B67" s="7" t="str">
        <f aca="false">IFERROR(INDEX('Source'!$C:$C,MATCH($A67,'Source'!$B:$B,0)),"")</f>
        <v>מישר כתפיים רחב+תמיכה לבית השח</v>
      </c>
      <c r="C67" s="8" t="n">
        <f aca="false">SUMIFS('Source'!$D:$D,'Source'!$A:$A,"150366 א.א.אורטופדיה איתי-יהוד",'Source'!$B:$B,$A67)</f>
        <v>0</v>
      </c>
      <c r="D67" s="8" t="n">
        <f aca="false">SUMIFS('Source'!$F:$F,'Source'!$A:$A,"150366 א.א.אורטופדיה איתי-יהוד",'Source'!$B:$B,$A67)</f>
        <v>-1</v>
      </c>
      <c r="E67" s="8" t="n">
        <f aca="false">D67*$J$5</f>
        <v>-1.26315789473684</v>
      </c>
      <c r="F67" s="8" t="n">
        <f aca="false">E67-C67</f>
        <v>-1.26315789473684</v>
      </c>
      <c r="G67" s="9" t="str">
        <f aca="false">IF(AND(C67=0,E67=0),0,IF(C67=0,"New",(E67-C67)/C67))</f>
        <v>New</v>
      </c>
      <c r="H67" s="8" t="n">
        <f aca="false">SUMIFS('Source'!$E:$E,'Source'!$A:$A,"150366 א.א.אורטופדיה איתי-יהוד",'Source'!$B:$B,$A67)</f>
        <v>0</v>
      </c>
      <c r="I67" s="8" t="n">
        <f aca="false">SUMIFS('Source'!$G:$G,'Source'!$A:$A,"150366 א.א.אורטופדיה איתי-יהוד",'Source'!$B:$B,$A67)</f>
        <v>-160</v>
      </c>
      <c r="J67" s="8" t="n">
        <f aca="false">I67*$J$5</f>
        <v>-202.105263157895</v>
      </c>
      <c r="K67" s="8" t="n">
        <f aca="false">J67-H67</f>
        <v>-202.105263157895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385</v>
      </c>
      <c r="B68" s="7" t="str">
        <f aca="false">IFERROR(INDEX('Source'!$C:$C,MATCH($A68,'Source'!$B:$B,0)),"")</f>
        <v>חגורת שבר דו צדדית</v>
      </c>
      <c r="C68" s="8" t="n">
        <f aca="false">SUMIFS('Source'!$D:$D,'Source'!$A:$A,"150366 א.א.אורטופדיה איתי-יהוד",'Source'!$B:$B,$A68)</f>
        <v>0</v>
      </c>
      <c r="D68" s="8" t="n">
        <f aca="false">SUMIFS('Source'!$F:$F,'Source'!$A:$A,"150366 א.א.אורטופדיה איתי-יהוד",'Source'!$B:$B,$A68)</f>
        <v>-1</v>
      </c>
      <c r="E68" s="8" t="n">
        <f aca="false">D68*$J$5</f>
        <v>-1.26315789473684</v>
      </c>
      <c r="F68" s="8" t="n">
        <f aca="false">E68-C68</f>
        <v>-1.26315789473684</v>
      </c>
      <c r="G68" s="9" t="str">
        <f aca="false">IF(AND(C68=0,E68=0),0,IF(C68=0,"New",(E68-C68)/C68))</f>
        <v>New</v>
      </c>
      <c r="H68" s="8" t="n">
        <f aca="false">SUMIFS('Source'!$E:$E,'Source'!$A:$A,"150366 א.א.אורטופדיה איתי-יהוד",'Source'!$B:$B,$A68)</f>
        <v>0</v>
      </c>
      <c r="I68" s="8" t="n">
        <f aca="false">SUMIFS('Source'!$G:$G,'Source'!$A:$A,"150366 א.א.אורטופדיה איתי-יהוד",'Source'!$B:$B,$A68)</f>
        <v>-158.12</v>
      </c>
      <c r="J68" s="8" t="n">
        <f aca="false">I68*$J$5</f>
        <v>-199.730526315789</v>
      </c>
      <c r="K68" s="8" t="n">
        <f aca="false">J68-H68</f>
        <v>-199.730526315789</v>
      </c>
      <c r="L68" s="9" t="str">
        <f aca="false">IF(AND(H68=0,J68=0),0,IF(H68=0,"New",(J68-H68)/H68))</f>
        <v>New</v>
      </c>
      <c r="M68" s="7" t="str">
        <f aca="false">IF(AND(OR(C68&lt;&gt;0,H68&lt;&gt;0),D68=0,I68=0),"DROP",IF(AND(OR(D68&lt;&gt;0,I68&lt;&gt;0),C68=0,H68=0),"NEW",""))</f>
        <v>NEW</v>
      </c>
    </row>
    <row r="69" customFormat="false" ht="15" hidden="false" customHeight="false" outlineLevel="0" collapsed="false">
      <c r="A69" s="7" t="s">
        <v>391</v>
      </c>
      <c r="B69" s="7" t="str">
        <f aca="false">IFERROR(INDEX('Source'!$C:$C,MATCH($A69,'Source'!$B:$B,0)),"")</f>
        <v>חגורה אחרי ניתוח</v>
      </c>
      <c r="C69" s="8" t="n">
        <f aca="false">SUMIFS('Source'!$D:$D,'Source'!$A:$A,"150366 א.א.אורטופדיה איתי-יהוד",'Source'!$B:$B,$A69)</f>
        <v>10</v>
      </c>
      <c r="D69" s="8" t="n">
        <f aca="false">SUMIFS('Source'!$F:$F,'Source'!$A:$A,"150366 א.א.אורטופדיה איתי-יהוד",'Source'!$B:$B,$A69)</f>
        <v>8</v>
      </c>
      <c r="E69" s="8" t="n">
        <f aca="false">D69*$J$5</f>
        <v>10.1052631578947</v>
      </c>
      <c r="F69" s="8" t="n">
        <f aca="false">E69-C69</f>
        <v>0.105263157894736</v>
      </c>
      <c r="G69" s="9" t="n">
        <f aca="false">IF(AND(C69=0,E69=0),0,IF(C69=0,"New",(E69-C69)/C69))</f>
        <v>0.0105263157894736</v>
      </c>
      <c r="H69" s="8" t="n">
        <f aca="false">SUMIFS('Source'!$E:$E,'Source'!$A:$A,"150366 א.א.אורטופדיה איתי-יהוד",'Source'!$B:$B,$A69)</f>
        <v>983.58</v>
      </c>
      <c r="I69" s="8" t="n">
        <f aca="false">SUMIFS('Source'!$G:$G,'Source'!$A:$A,"150366 א.א.אורטופדיה איתי-יהוד",'Source'!$B:$B,$A69)</f>
        <v>840</v>
      </c>
      <c r="J69" s="8" t="n">
        <f aca="false">I69*$J$5</f>
        <v>1061.05263157895</v>
      </c>
      <c r="K69" s="8" t="n">
        <f aca="false">J69-H69</f>
        <v>77.4726315789472</v>
      </c>
      <c r="L69" s="9" t="n">
        <f aca="false">IF(AND(H69=0,J69=0),0,IF(H69=0,"New",(J69-H69)/H69))</f>
        <v>0.0787659687864203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155</v>
      </c>
      <c r="B70" s="7" t="str">
        <f aca="false">IFERROR(INDEX('Source'!$C:$C,MATCH($A70,'Source'!$B:$B,0)),"")</f>
        <v>חגורת קיבוע לכתף</v>
      </c>
      <c r="C70" s="8" t="n">
        <f aca="false">SUMIFS('Source'!$D:$D,'Source'!$A:$A,"150366 א.א.אורטופדיה איתי-יהוד",'Source'!$B:$B,$A70)</f>
        <v>3</v>
      </c>
      <c r="D70" s="8" t="n">
        <f aca="false">SUMIFS('Source'!$F:$F,'Source'!$A:$A,"150366 א.א.אורטופדיה איתי-יהוד",'Source'!$B:$B,$A70)</f>
        <v>2</v>
      </c>
      <c r="E70" s="8" t="n">
        <f aca="false">D70*$J$5</f>
        <v>2.52631578947368</v>
      </c>
      <c r="F70" s="8" t="n">
        <f aca="false">E70-C70</f>
        <v>-0.473684210526316</v>
      </c>
      <c r="G70" s="9" t="n">
        <f aca="false">IF(AND(C70=0,E70=0),0,IF(C70=0,"New",(E70-C70)/C70))</f>
        <v>-0.157894736842105</v>
      </c>
      <c r="H70" s="8" t="n">
        <f aca="false">SUMIFS('Source'!$E:$E,'Source'!$A:$A,"150366 א.א.אורטופדיה איתי-יהוד",'Source'!$B:$B,$A70)</f>
        <v>421.74</v>
      </c>
      <c r="I70" s="8" t="n">
        <f aca="false">SUMIFS('Source'!$G:$G,'Source'!$A:$A,"150366 א.א.אורטופדיה איתי-יהוד",'Source'!$B:$B,$A70)</f>
        <v>281.14</v>
      </c>
      <c r="J70" s="8" t="n">
        <f aca="false">I70*$J$5</f>
        <v>355.124210526316</v>
      </c>
      <c r="K70" s="8" t="n">
        <f aca="false">J70-H70</f>
        <v>-66.6157894736842</v>
      </c>
      <c r="L70" s="9" t="n">
        <f aca="false">IF(AND(H70=0,J70=0),0,IF(H70=0,"New",(J70-H70)/H70))</f>
        <v>-0.157954639051748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706</v>
      </c>
      <c r="B71" s="7" t="str">
        <f aca="false">IFERROR(INDEX('Source'!$C:$C,MATCH($A71,'Source'!$B:$B,0)),"")</f>
        <v>חגורת צלעות לגבר</v>
      </c>
      <c r="C71" s="8" t="n">
        <f aca="false">SUMIFS('Source'!$D:$D,'Source'!$A:$A,"150366 א.א.אורטופדיה איתי-יהוד",'Source'!$B:$B,$A71)</f>
        <v>0</v>
      </c>
      <c r="D71" s="8" t="n">
        <f aca="false">SUMIFS('Source'!$F:$F,'Source'!$A:$A,"150366 א.א.אורטופדיה איתי-יהוד",'Source'!$B:$B,$A71)</f>
        <v>1</v>
      </c>
      <c r="E71" s="8" t="n">
        <f aca="false">D71*$J$5</f>
        <v>1.26315789473684</v>
      </c>
      <c r="F71" s="8" t="n">
        <f aca="false">E71-C71</f>
        <v>1.26315789473684</v>
      </c>
      <c r="G71" s="9" t="str">
        <f aca="false">IF(AND(C71=0,E71=0),0,IF(C71=0,"New",(E71-C71)/C71))</f>
        <v>New</v>
      </c>
      <c r="H71" s="8" t="n">
        <f aca="false">SUMIFS('Source'!$E:$E,'Source'!$A:$A,"150366 א.א.אורטופדיה איתי-יהוד",'Source'!$B:$B,$A71)</f>
        <v>0</v>
      </c>
      <c r="I71" s="8" t="n">
        <f aca="false">SUMIFS('Source'!$G:$G,'Source'!$A:$A,"150366 א.א.אורטופדיה איתי-יהוד",'Source'!$B:$B,$A71)</f>
        <v>140.57</v>
      </c>
      <c r="J71" s="8" t="n">
        <f aca="false">I71*$J$5</f>
        <v>177.562105263158</v>
      </c>
      <c r="K71" s="8" t="n">
        <f aca="false">J71-H71</f>
        <v>177.562105263158</v>
      </c>
      <c r="L71" s="9" t="str">
        <f aca="false">IF(AND(H71=0,J71=0),0,IF(H71=0,"New",(J71-H71)/H71))</f>
        <v>New</v>
      </c>
      <c r="M71" s="7" t="str">
        <f aca="false">IF(AND(OR(C71&lt;&gt;0,H71&lt;&gt;0),D71=0,I71=0),"DROP",IF(AND(OR(D71&lt;&gt;0,I71&lt;&gt;0),C71=0,H71=0),"NEW",""))</f>
        <v>NEW</v>
      </c>
    </row>
    <row r="72" customFormat="false" ht="15" hidden="false" customHeight="false" outlineLevel="0" collapsed="false">
      <c r="A72" s="7" t="s">
        <v>322</v>
      </c>
      <c r="B72" s="7" t="str">
        <f aca="false">IFERROR(INDEX('Source'!$C:$C,MATCH($A72,'Source'!$B:$B,0)),"")</f>
        <v>מגן ברך SC422</v>
      </c>
      <c r="C72" s="8" t="n">
        <f aca="false">SUMIFS('Source'!$D:$D,'Source'!$A:$A,"150366 א.א.אורטופדיה איתי-יהוד",'Source'!$B:$B,$A72)</f>
        <v>0</v>
      </c>
      <c r="D72" s="8" t="n">
        <f aca="false">SUMIFS('Source'!$F:$F,'Source'!$A:$A,"150366 א.א.אורטופדיה איתי-יהוד",'Source'!$B:$B,$A72)</f>
        <v>-1</v>
      </c>
      <c r="E72" s="8" t="n">
        <f aca="false">D72*$J$5</f>
        <v>-1.26315789473684</v>
      </c>
      <c r="F72" s="8" t="n">
        <f aca="false">E72-C72</f>
        <v>-1.26315789473684</v>
      </c>
      <c r="G72" s="9" t="str">
        <f aca="false">IF(AND(C72=0,E72=0),0,IF(C72=0,"New",(E72-C72)/C72))</f>
        <v>New</v>
      </c>
      <c r="H72" s="8" t="n">
        <f aca="false">SUMIFS('Source'!$E:$E,'Source'!$A:$A,"150366 א.א.אורטופדיה איתי-יהוד",'Source'!$B:$B,$A72)</f>
        <v>0</v>
      </c>
      <c r="I72" s="8" t="n">
        <f aca="false">SUMIFS('Source'!$G:$G,'Source'!$A:$A,"150366 א.א.אורטופדיה איתי-יהוד",'Source'!$B:$B,$A72)</f>
        <v>-140.57</v>
      </c>
      <c r="J72" s="8" t="n">
        <f aca="false">I72*$J$5</f>
        <v>-177.562105263158</v>
      </c>
      <c r="K72" s="8" t="n">
        <f aca="false">J72-H72</f>
        <v>-177.562105263158</v>
      </c>
      <c r="L72" s="9" t="str">
        <f aca="false">IF(AND(H72=0,J72=0),0,IF(H72=0,"New",(J72-H72)/H72))</f>
        <v>New</v>
      </c>
      <c r="M72" s="7" t="str">
        <f aca="false">IF(AND(OR(C72&lt;&gt;0,H72&lt;&gt;0),D72=0,I72=0),"DROP",IF(AND(OR(D72&lt;&gt;0,I72&lt;&gt;0),C72=0,H72=0),"NEW",""))</f>
        <v>NEW</v>
      </c>
    </row>
    <row r="73" customFormat="false" ht="15" hidden="false" customHeight="false" outlineLevel="0" collapsed="false">
      <c r="A73" s="7" t="s">
        <v>314</v>
      </c>
      <c r="B73" s="7" t="str">
        <f aca="false">IFERROR(INDEX('Source'!$C:$C,MATCH($A73,'Source'!$B:$B,0)),"")</f>
        <v>חגורת שבר לצד שמאל</v>
      </c>
      <c r="C73" s="8" t="n">
        <f aca="false">SUMIFS('Source'!$D:$D,'Source'!$A:$A,"150366 א.א.אורטופדיה איתי-יהוד",'Source'!$B:$B,$A73)</f>
        <v>1</v>
      </c>
      <c r="D73" s="8" t="n">
        <f aca="false">SUMIFS('Source'!$F:$F,'Source'!$A:$A,"150366 א.א.אורטופדיה איתי-יהוד",'Source'!$B:$B,$A73)</f>
        <v>0</v>
      </c>
      <c r="E73" s="8" t="n">
        <f aca="false">D73*$J$5</f>
        <v>0</v>
      </c>
      <c r="F73" s="8" t="n">
        <f aca="false">E73-C73</f>
        <v>-1</v>
      </c>
      <c r="G73" s="9" t="n">
        <f aca="false">IF(AND(C73=0,E73=0),0,IF(C73=0,"New",(E73-C73)/C73))</f>
        <v>-1</v>
      </c>
      <c r="H73" s="8" t="n">
        <f aca="false">SUMIFS('Source'!$E:$E,'Source'!$A:$A,"150366 א.א.אורטופדיה איתי-יהוד",'Source'!$B:$B,$A73)</f>
        <v>140</v>
      </c>
      <c r="I73" s="8" t="n">
        <f aca="false">SUMIFS('Source'!$G:$G,'Source'!$A:$A,"150366 א.א.אורטופדיה איתי-יהוד",'Source'!$B:$B,$A73)</f>
        <v>0</v>
      </c>
      <c r="J73" s="8" t="n">
        <f aca="false">I73*$J$5</f>
        <v>0</v>
      </c>
      <c r="K73" s="8" t="n">
        <f aca="false">J73-H73</f>
        <v>-140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356</v>
      </c>
      <c r="B74" s="7" t="str">
        <f aca="false">IFERROR(INDEX('Source'!$C:$C,MATCH($A74,'Source'!$B:$B,0)),"")</f>
        <v>שרוול לגבס קצר יד</v>
      </c>
      <c r="C74" s="8" t="n">
        <f aca="false">SUMIFS('Source'!$D:$D,'Source'!$A:$A,"150366 א.א.אורטופדיה איתי-יהוד",'Source'!$B:$B,$A74)</f>
        <v>28</v>
      </c>
      <c r="D74" s="8" t="n">
        <f aca="false">SUMIFS('Source'!$F:$F,'Source'!$A:$A,"150366 א.א.אורטופדיה איתי-יהוד",'Source'!$B:$B,$A74)</f>
        <v>24</v>
      </c>
      <c r="E74" s="8" t="n">
        <f aca="false">D74*$J$5</f>
        <v>30.3157894736842</v>
      </c>
      <c r="F74" s="8" t="n">
        <f aca="false">E74-C74</f>
        <v>2.31578947368421</v>
      </c>
      <c r="G74" s="9" t="n">
        <f aca="false">IF(AND(C74=0,E74=0),0,IF(C74=0,"New",(E74-C74)/C74))</f>
        <v>0.0827067669172932</v>
      </c>
      <c r="H74" s="8" t="n">
        <f aca="false">SUMIFS('Source'!$E:$E,'Source'!$A:$A,"150366 א.א.אורטופדיה איתי-יהוד",'Source'!$B:$B,$A74)</f>
        <v>1087.26</v>
      </c>
      <c r="I74" s="8" t="n">
        <f aca="false">SUMIFS('Source'!$G:$G,'Source'!$A:$A,"150366 א.א.אורטופדיה איתי-יהוד",'Source'!$B:$B,$A74)</f>
        <v>955.1</v>
      </c>
      <c r="J74" s="8" t="n">
        <f aca="false">I74*$J$5</f>
        <v>1206.44210526316</v>
      </c>
      <c r="K74" s="8" t="n">
        <f aca="false">J74-H74</f>
        <v>119.182105263158</v>
      </c>
      <c r="L74" s="9" t="n">
        <f aca="false">IF(AND(H74=0,J74=0),0,IF(H74=0,"New",(J74-H74)/H74))</f>
        <v>0.109616931794748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351</v>
      </c>
      <c r="B75" s="7" t="str">
        <f aca="false">IFERROR(INDEX('Source'!$C:$C,MATCH($A75,'Source'!$B:$B,0)),"")</f>
        <v>מגן לכתף ימין/שמאל</v>
      </c>
      <c r="C75" s="8" t="n">
        <f aca="false">SUMIFS('Source'!$D:$D,'Source'!$A:$A,"150366 א.א.אורטופדיה איתי-יהוד",'Source'!$B:$B,$A75)</f>
        <v>1</v>
      </c>
      <c r="D75" s="8" t="n">
        <f aca="false">SUMIFS('Source'!$F:$F,'Source'!$A:$A,"150366 א.א.אורטופדיה איתי-יהוד",'Source'!$B:$B,$A75)</f>
        <v>0</v>
      </c>
      <c r="E75" s="8" t="n">
        <f aca="false">D75*$J$5</f>
        <v>0</v>
      </c>
      <c r="F75" s="8" t="n">
        <f aca="false">E75-C75</f>
        <v>-1</v>
      </c>
      <c r="G75" s="9" t="n">
        <f aca="false">IF(AND(C75=0,E75=0),0,IF(C75=0,"New",(E75-C75)/C75))</f>
        <v>-1</v>
      </c>
      <c r="H75" s="8" t="n">
        <f aca="false">SUMIFS('Source'!$E:$E,'Source'!$A:$A,"150366 א.א.אורטופדיה איתי-יהוד",'Source'!$B:$B,$A75)</f>
        <v>130</v>
      </c>
      <c r="I75" s="8" t="n">
        <f aca="false">SUMIFS('Source'!$G:$G,'Source'!$A:$A,"150366 א.א.אורטופדיה איתי-יהוד",'Source'!$B:$B,$A75)</f>
        <v>0</v>
      </c>
      <c r="J75" s="8" t="n">
        <f aca="false">I75*$J$5</f>
        <v>0</v>
      </c>
      <c r="K75" s="8" t="n">
        <f aca="false">J75-H75</f>
        <v>-130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998</v>
      </c>
      <c r="B76" s="7" t="str">
        <f aca="false">IFERROR(INDEX('Source'!$C:$C,MATCH($A76,'Source'!$B:$B,0)),"")</f>
        <v>גרב לילה לטיפול בדורבן</v>
      </c>
      <c r="C76" s="8" t="n">
        <f aca="false">SUMIFS('Source'!$D:$D,'Source'!$A:$A,"150366 א.א.אורטופדיה איתי-יהוד",'Source'!$B:$B,$A76)</f>
        <v>2</v>
      </c>
      <c r="D76" s="8" t="n">
        <f aca="false">SUMIFS('Source'!$F:$F,'Source'!$A:$A,"150366 א.א.אורטופדיה איתי-יהוד",'Source'!$B:$B,$A76)</f>
        <v>0</v>
      </c>
      <c r="E76" s="8" t="n">
        <f aca="false">D76*$J$5</f>
        <v>0</v>
      </c>
      <c r="F76" s="8" t="n">
        <f aca="false">E76-C76</f>
        <v>-2</v>
      </c>
      <c r="G76" s="9" t="n">
        <f aca="false">IF(AND(C76=0,E76=0),0,IF(C76=0,"New",(E76-C76)/C76))</f>
        <v>-1</v>
      </c>
      <c r="H76" s="8" t="n">
        <f aca="false">SUMIFS('Source'!$E:$E,'Source'!$A:$A,"150366 א.א.אורטופדיה איתי-יהוד",'Source'!$B:$B,$A76)</f>
        <v>130</v>
      </c>
      <c r="I76" s="8" t="n">
        <f aca="false">SUMIFS('Source'!$G:$G,'Source'!$A:$A,"150366 א.א.אורטופדיה איתי-יהוד",'Source'!$B:$B,$A76)</f>
        <v>0</v>
      </c>
      <c r="J76" s="8" t="n">
        <f aca="false">I76*$J$5</f>
        <v>0</v>
      </c>
      <c r="K76" s="8" t="n">
        <f aca="false">J76-H76</f>
        <v>-130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113</v>
      </c>
      <c r="B77" s="7" t="str">
        <f aca="false">IFERROR(INDEX('Source'!$C:$C,MATCH($A77,'Source'!$B:$B,0)),"")</f>
        <v>גרבי טיסה</v>
      </c>
      <c r="C77" s="8" t="n">
        <f aca="false">SUMIFS('Source'!$D:$D,'Source'!$A:$A,"150366 א.א.אורטופדיה איתי-יהוד",'Source'!$B:$B,$A77)</f>
        <v>2</v>
      </c>
      <c r="D77" s="8" t="n">
        <f aca="false">SUMIFS('Source'!$F:$F,'Source'!$A:$A,"150366 א.א.אורטופדיה איתי-יהוד",'Source'!$B:$B,$A77)</f>
        <v>0</v>
      </c>
      <c r="E77" s="8" t="n">
        <f aca="false">D77*$J$5</f>
        <v>0</v>
      </c>
      <c r="F77" s="8" t="n">
        <f aca="false">E77-C77</f>
        <v>-2</v>
      </c>
      <c r="G77" s="9" t="n">
        <f aca="false">IF(AND(C77=0,E77=0),0,IF(C77=0,"New",(E77-C77)/C77))</f>
        <v>-1</v>
      </c>
      <c r="H77" s="8" t="n">
        <f aca="false">SUMIFS('Source'!$E:$E,'Source'!$A:$A,"150366 א.א.אורטופדיה איתי-יהוד",'Source'!$B:$B,$A77)</f>
        <v>126.46</v>
      </c>
      <c r="I77" s="8" t="n">
        <f aca="false">SUMIFS('Source'!$G:$G,'Source'!$A:$A,"150366 א.א.אורטופדיה איתי-יהוד",'Source'!$B:$B,$A77)</f>
        <v>0</v>
      </c>
      <c r="J77" s="8" t="n">
        <f aca="false">I77*$J$5</f>
        <v>0</v>
      </c>
      <c r="K77" s="8" t="n">
        <f aca="false">J77-H77</f>
        <v>-126.46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111</v>
      </c>
      <c r="B78" s="7" t="str">
        <f aca="false">IFERROR(INDEX('Source'!$C:$C,MATCH($A78,'Source'!$B:$B,0)),"")</f>
        <v>גרבי טיסה</v>
      </c>
      <c r="C78" s="8" t="n">
        <f aca="false">SUMIFS('Source'!$D:$D,'Source'!$A:$A,"150366 א.א.אורטופדיה איתי-יהוד",'Source'!$B:$B,$A78)</f>
        <v>2</v>
      </c>
      <c r="D78" s="8" t="n">
        <f aca="false">SUMIFS('Source'!$F:$F,'Source'!$A:$A,"150366 א.א.אורטופדיה איתי-יהוד",'Source'!$B:$B,$A78)</f>
        <v>0</v>
      </c>
      <c r="E78" s="8" t="n">
        <f aca="false">D78*$J$5</f>
        <v>0</v>
      </c>
      <c r="F78" s="8" t="n">
        <f aca="false">E78-C78</f>
        <v>-2</v>
      </c>
      <c r="G78" s="9" t="n">
        <f aca="false">IF(AND(C78=0,E78=0),0,IF(C78=0,"New",(E78-C78)/C78))</f>
        <v>-1</v>
      </c>
      <c r="H78" s="8" t="n">
        <f aca="false">SUMIFS('Source'!$E:$E,'Source'!$A:$A,"150366 א.א.אורטופדיה איתי-יהוד",'Source'!$B:$B,$A78)</f>
        <v>126.46</v>
      </c>
      <c r="I78" s="8" t="n">
        <f aca="false">SUMIFS('Source'!$G:$G,'Source'!$A:$A,"150366 א.א.אורטופדיה איתי-יהוד",'Source'!$B:$B,$A78)</f>
        <v>0</v>
      </c>
      <c r="J78" s="8" t="n">
        <f aca="false">I78*$J$5</f>
        <v>0</v>
      </c>
      <c r="K78" s="8" t="n">
        <f aca="false">J78-H78</f>
        <v>-126.46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714</v>
      </c>
      <c r="B79" s="7" t="str">
        <f aca="false">IFERROR(INDEX('Source'!$C:$C,MATCH($A79,'Source'!$B:$B,0)),"")</f>
        <v>מגן מרפק</v>
      </c>
      <c r="C79" s="8" t="n">
        <f aca="false">SUMIFS('Source'!$D:$D,'Source'!$A:$A,"150366 א.א.אורטופדיה איתי-יהוד",'Source'!$B:$B,$A79)</f>
        <v>0</v>
      </c>
      <c r="D79" s="8" t="n">
        <f aca="false">SUMIFS('Source'!$F:$F,'Source'!$A:$A,"150366 א.א.אורטופדיה איתי-יהוד",'Source'!$B:$B,$A79)</f>
        <v>-4</v>
      </c>
      <c r="E79" s="8" t="n">
        <f aca="false">D79*$J$5</f>
        <v>-5.05263157894737</v>
      </c>
      <c r="F79" s="8" t="n">
        <f aca="false">E79-C79</f>
        <v>-5.05263157894737</v>
      </c>
      <c r="G79" s="9" t="str">
        <f aca="false">IF(AND(C79=0,E79=0),0,IF(C79=0,"New",(E79-C79)/C79))</f>
        <v>New</v>
      </c>
      <c r="H79" s="8" t="n">
        <f aca="false">SUMIFS('Source'!$E:$E,'Source'!$A:$A,"150366 א.א.אורטופדיה איתי-יהוד",'Source'!$B:$B,$A79)</f>
        <v>0</v>
      </c>
      <c r="I79" s="8" t="n">
        <f aca="false">SUMIFS('Source'!$G:$G,'Source'!$A:$A,"150366 א.א.אורטופדיה איתי-יהוד",'Source'!$B:$B,$A79)</f>
        <v>-123.57</v>
      </c>
      <c r="J79" s="8" t="n">
        <f aca="false">I79*$J$5</f>
        <v>-156.088421052632</v>
      </c>
      <c r="K79" s="8" t="n">
        <f aca="false">J79-H79</f>
        <v>-156.088421052632</v>
      </c>
      <c r="L79" s="9" t="str">
        <f aca="false">IF(AND(H79=0,J79=0),0,IF(H79=0,"New",(J79-H79)/H79))</f>
        <v>New</v>
      </c>
      <c r="M79" s="7" t="str">
        <f aca="false">IF(AND(OR(C79&lt;&gt;0,H79&lt;&gt;0),D79=0,I79=0),"DROP",IF(AND(OR(D79&lt;&gt;0,I79&lt;&gt;0),C79=0,H79=0),"NEW",""))</f>
        <v>NEW</v>
      </c>
    </row>
    <row r="80" customFormat="false" ht="15" hidden="false" customHeight="false" outlineLevel="0" collapsed="false">
      <c r="A80" s="7" t="s">
        <v>190</v>
      </c>
      <c r="B80" s="7" t="str">
        <f aca="false">IFERROR(INDEX('Source'!$C:$C,MATCH($A80,'Source'!$B:$B,0)),"")</f>
        <v>תרסיס דיאודורנט לכף הרגל</v>
      </c>
      <c r="C80" s="8" t="n">
        <f aca="false">SUMIFS('Source'!$D:$D,'Source'!$A:$A,"150366 א.א.אורטופדיה איתי-יהוד",'Source'!$B:$B,$A80)</f>
        <v>6</v>
      </c>
      <c r="D80" s="8" t="n">
        <f aca="false">SUMIFS('Source'!$F:$F,'Source'!$A:$A,"150366 א.א.אורטופדיה איתי-יהוד",'Source'!$B:$B,$A80)</f>
        <v>0</v>
      </c>
      <c r="E80" s="8" t="n">
        <f aca="false">D80*$J$5</f>
        <v>0</v>
      </c>
      <c r="F80" s="8" t="n">
        <f aca="false">E80-C80</f>
        <v>-6</v>
      </c>
      <c r="G80" s="9" t="n">
        <f aca="false">IF(AND(C80=0,E80=0),0,IF(C80=0,"New",(E80-C80)/C80))</f>
        <v>-1</v>
      </c>
      <c r="H80" s="8" t="n">
        <f aca="false">SUMIFS('Source'!$E:$E,'Source'!$A:$A,"150366 א.א.אורטופדיה איתי-יהוד",'Source'!$B:$B,$A80)</f>
        <v>117.01</v>
      </c>
      <c r="I80" s="8" t="n">
        <f aca="false">SUMIFS('Source'!$G:$G,'Source'!$A:$A,"150366 א.א.אורטופדיה איתי-יהוד",'Source'!$B:$B,$A80)</f>
        <v>0</v>
      </c>
      <c r="J80" s="8" t="n">
        <f aca="false">I80*$J$5</f>
        <v>0</v>
      </c>
      <c r="K80" s="8" t="n">
        <f aca="false">J80-H80</f>
        <v>-117.01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130</v>
      </c>
      <c r="B81" s="7" t="str">
        <f aca="false">IFERROR(INDEX('Source'!$C:$C,MATCH($A81,'Source'!$B:$B,0)),"")</f>
        <v>חגורת שבר לצד ימין</v>
      </c>
      <c r="C81" s="8" t="n">
        <f aca="false">SUMIFS('Source'!$D:$D,'Source'!$A:$A,"150366 א.א.אורטופדיה איתי-יהוד",'Source'!$B:$B,$A81)</f>
        <v>1</v>
      </c>
      <c r="D81" s="8" t="n">
        <f aca="false">SUMIFS('Source'!$F:$F,'Source'!$A:$A,"150366 א.א.אורטופדיה איתי-יהוד",'Source'!$B:$B,$A81)</f>
        <v>0</v>
      </c>
      <c r="E81" s="8" t="n">
        <f aca="false">D81*$J$5</f>
        <v>0</v>
      </c>
      <c r="F81" s="8" t="n">
        <f aca="false">E81-C81</f>
        <v>-1</v>
      </c>
      <c r="G81" s="9" t="n">
        <f aca="false">IF(AND(C81=0,E81=0),0,IF(C81=0,"New",(E81-C81)/C81))</f>
        <v>-1</v>
      </c>
      <c r="H81" s="8" t="n">
        <f aca="false">SUMIFS('Source'!$E:$E,'Source'!$A:$A,"150366 א.א.אורטופדיה איתי-יהוד",'Source'!$B:$B,$A81)</f>
        <v>115.38</v>
      </c>
      <c r="I81" s="8" t="n">
        <f aca="false">SUMIFS('Source'!$G:$G,'Source'!$A:$A,"150366 א.א.אורטופדיה איתי-יהוד",'Source'!$B:$B,$A81)</f>
        <v>0</v>
      </c>
      <c r="J81" s="8" t="n">
        <f aca="false">I81*$J$5</f>
        <v>0</v>
      </c>
      <c r="K81" s="8" t="n">
        <f aca="false">J81-H81</f>
        <v>-115.38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257</v>
      </c>
      <c r="B82" s="7" t="str">
        <f aca="false">IFERROR(INDEX('Source'!$C:$C,MATCH($A82,'Source'!$B:$B,0)),"")</f>
        <v>חגורה לשבר טבור</v>
      </c>
      <c r="C82" s="8" t="n">
        <f aca="false">SUMIFS('Source'!$D:$D,'Source'!$A:$A,"150366 א.א.אורטופדיה איתי-יהוד",'Source'!$B:$B,$A82)</f>
        <v>0</v>
      </c>
      <c r="D82" s="8" t="n">
        <f aca="false">SUMIFS('Source'!$F:$F,'Source'!$A:$A,"150366 א.א.אורטופדיה איתי-יהוד",'Source'!$B:$B,$A82)</f>
        <v>-1</v>
      </c>
      <c r="E82" s="8" t="n">
        <f aca="false">D82*$J$5</f>
        <v>-1.26315789473684</v>
      </c>
      <c r="F82" s="8" t="n">
        <f aca="false">E82-C82</f>
        <v>-1.26315789473684</v>
      </c>
      <c r="G82" s="9" t="str">
        <f aca="false">IF(AND(C82=0,E82=0),0,IF(C82=0,"New",(E82-C82)/C82))</f>
        <v>New</v>
      </c>
      <c r="H82" s="8" t="n">
        <f aca="false">SUMIFS('Source'!$E:$E,'Source'!$A:$A,"150366 א.א.אורטופדיה איתי-יהוד",'Source'!$B:$B,$A82)</f>
        <v>0</v>
      </c>
      <c r="I82" s="8" t="n">
        <f aca="false">SUMIFS('Source'!$G:$G,'Source'!$A:$A,"150366 א.א.אורטופדיה איתי-יהוד",'Source'!$B:$B,$A82)</f>
        <v>-115</v>
      </c>
      <c r="J82" s="8" t="n">
        <f aca="false">I82*$J$5</f>
        <v>-145.263157894737</v>
      </c>
      <c r="K82" s="8" t="n">
        <f aca="false">J82-H82</f>
        <v>-145.263157894737</v>
      </c>
      <c r="L82" s="9" t="str">
        <f aca="false">IF(AND(H82=0,J82=0),0,IF(H82=0,"New",(J82-H82)/H82))</f>
        <v>New</v>
      </c>
      <c r="M82" s="7" t="str">
        <f aca="false">IF(AND(OR(C82&lt;&gt;0,H82&lt;&gt;0),D82=0,I82=0),"DROP",IF(AND(OR(D82&lt;&gt;0,I82&lt;&gt;0),C82=0,H82=0),"NEW",""))</f>
        <v>NEW</v>
      </c>
    </row>
    <row r="83" customFormat="false" ht="15" hidden="false" customHeight="false" outlineLevel="0" collapsed="false">
      <c r="A83" s="7" t="s">
        <v>232</v>
      </c>
      <c r="B83" s="7" t="str">
        <f aca="false">IFERROR(INDEX('Source'!$C:$C,MATCH($A83,'Source'!$B:$B,0)),"")</f>
        <v>חגורת גב אפורה</v>
      </c>
      <c r="C83" s="8" t="n">
        <f aca="false">SUMIFS('Source'!$D:$D,'Source'!$A:$A,"150366 א.א.אורטופדיה איתי-יהוד",'Source'!$B:$B,$A83)</f>
        <v>0</v>
      </c>
      <c r="D83" s="8" t="n">
        <f aca="false">SUMIFS('Source'!$F:$F,'Source'!$A:$A,"150366 א.א.אורטופדיה איתי-יהוד",'Source'!$B:$B,$A83)</f>
        <v>-2</v>
      </c>
      <c r="E83" s="8" t="n">
        <f aca="false">D83*$J$5</f>
        <v>-2.52631578947368</v>
      </c>
      <c r="F83" s="8" t="n">
        <f aca="false">E83-C83</f>
        <v>-2.52631578947368</v>
      </c>
      <c r="G83" s="9" t="str">
        <f aca="false">IF(AND(C83=0,E83=0),0,IF(C83=0,"New",(E83-C83)/C83))</f>
        <v>New</v>
      </c>
      <c r="H83" s="8" t="n">
        <f aca="false">SUMIFS('Source'!$E:$E,'Source'!$A:$A,"150366 א.א.אורטופדיה איתי-יהוד",'Source'!$B:$B,$A83)</f>
        <v>0</v>
      </c>
      <c r="I83" s="8" t="n">
        <f aca="false">SUMIFS('Source'!$G:$G,'Source'!$A:$A,"150366 א.א.אורטופדיה איתי-יהוד",'Source'!$B:$B,$A83)</f>
        <v>-111.12</v>
      </c>
      <c r="J83" s="8" t="n">
        <f aca="false">I83*$J$5</f>
        <v>-140.362105263158</v>
      </c>
      <c r="K83" s="8" t="n">
        <f aca="false">J83-H83</f>
        <v>-140.362105263158</v>
      </c>
      <c r="L83" s="9" t="str">
        <f aca="false">IF(AND(H83=0,J83=0),0,IF(H83=0,"New",(J83-H83)/H83))</f>
        <v>New</v>
      </c>
      <c r="M83" s="7" t="str">
        <f aca="false">IF(AND(OR(C83&lt;&gt;0,H83&lt;&gt;0),D83=0,I83=0),"DROP",IF(AND(OR(D83&lt;&gt;0,I83&lt;&gt;0),C83=0,H83=0),"NEW",""))</f>
        <v>NEW</v>
      </c>
    </row>
    <row r="84" customFormat="false" ht="15" hidden="false" customHeight="false" outlineLevel="0" collapsed="false">
      <c r="A84" s="7" t="s">
        <v>581</v>
      </c>
      <c r="B84" s="7" t="str">
        <f aca="false">IFERROR(INDEX('Source'!$C:$C,MATCH($A84,'Source'!$B:$B,0)),"")</f>
        <v>מתלה</v>
      </c>
      <c r="C84" s="8" t="n">
        <f aca="false">SUMIFS('Source'!$D:$D,'Source'!$A:$A,"150366 א.א.אורטופדיה איתי-יהוד",'Source'!$B:$B,$A84)</f>
        <v>1</v>
      </c>
      <c r="D84" s="8" t="n">
        <f aca="false">SUMIFS('Source'!$F:$F,'Source'!$A:$A,"150366 א.א.אורטופדיה איתי-יהוד",'Source'!$B:$B,$A84)</f>
        <v>0</v>
      </c>
      <c r="E84" s="8" t="n">
        <f aca="false">D84*$J$5</f>
        <v>0</v>
      </c>
      <c r="F84" s="8" t="n">
        <f aca="false">E84-C84</f>
        <v>-1</v>
      </c>
      <c r="G84" s="9" t="n">
        <f aca="false">IF(AND(C84=0,E84=0),0,IF(C84=0,"New",(E84-C84)/C84))</f>
        <v>-1</v>
      </c>
      <c r="H84" s="8" t="n">
        <f aca="false">SUMIFS('Source'!$E:$E,'Source'!$A:$A,"150366 א.א.אורטופדיה איתי-יהוד",'Source'!$B:$B,$A84)</f>
        <v>111.04</v>
      </c>
      <c r="I84" s="8" t="n">
        <f aca="false">SUMIFS('Source'!$G:$G,'Source'!$A:$A,"150366 א.א.אורטופדיה איתי-יהוד",'Source'!$B:$B,$A84)</f>
        <v>0</v>
      </c>
      <c r="J84" s="8" t="n">
        <f aca="false">I84*$J$5</f>
        <v>0</v>
      </c>
      <c r="K84" s="8" t="n">
        <f aca="false">J84-H84</f>
        <v>-111.04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320</v>
      </c>
      <c r="B85" s="7" t="str">
        <f aca="false">IFERROR(INDEX('Source'!$C:$C,MATCH($A85,'Source'!$B:$B,0)),"")</f>
        <v>דאודורנט ספרי לנעל 100 מל</v>
      </c>
      <c r="C85" s="8" t="n">
        <f aca="false">SUMIFS('Source'!$D:$D,'Source'!$A:$A,"150366 א.א.אורטופדיה איתי-יהוד",'Source'!$B:$B,$A85)</f>
        <v>6</v>
      </c>
      <c r="D85" s="8" t="n">
        <f aca="false">SUMIFS('Source'!$F:$F,'Source'!$A:$A,"150366 א.א.אורטופדיה איתי-יהוד",'Source'!$B:$B,$A85)</f>
        <v>0</v>
      </c>
      <c r="E85" s="8" t="n">
        <f aca="false">D85*$J$5</f>
        <v>0</v>
      </c>
      <c r="F85" s="8" t="n">
        <f aca="false">E85-C85</f>
        <v>-6</v>
      </c>
      <c r="G85" s="9" t="n">
        <f aca="false">IF(AND(C85=0,E85=0),0,IF(C85=0,"New",(E85-C85)/C85))</f>
        <v>-1</v>
      </c>
      <c r="H85" s="8" t="n">
        <f aca="false">SUMIFS('Source'!$E:$E,'Source'!$A:$A,"150366 א.א.אורטופדיה איתי-יהוד",'Source'!$B:$B,$A85)</f>
        <v>107.6</v>
      </c>
      <c r="I85" s="8" t="n">
        <f aca="false">SUMIFS('Source'!$G:$G,'Source'!$A:$A,"150366 א.א.אורטופדיה איתי-יהוד",'Source'!$B:$B,$A85)</f>
        <v>0</v>
      </c>
      <c r="J85" s="8" t="n">
        <f aca="false">I85*$J$5</f>
        <v>0</v>
      </c>
      <c r="K85" s="8" t="n">
        <f aca="false">J85-H85</f>
        <v>-107.6</v>
      </c>
      <c r="L85" s="9" t="n">
        <f aca="false">IF(AND(H85=0,J85=0),0,IF(H85=0,"New",(J85-H85)/H85))</f>
        <v>-1</v>
      </c>
      <c r="M85" s="7" t="str">
        <f aca="false">IF(AND(OR(C85&lt;&gt;0,H85&lt;&gt;0),D85=0,I85=0),"DROP",IF(AND(OR(D85&lt;&gt;0,I85&lt;&gt;0),C85=0,H85=0),"NEW",""))</f>
        <v>DROP</v>
      </c>
    </row>
    <row r="86" customFormat="false" ht="15" hidden="false" customHeight="false" outlineLevel="0" collapsed="false">
      <c r="A86" s="7" t="s">
        <v>143</v>
      </c>
      <c r="B86" s="7" t="str">
        <f aca="false">IFERROR(INDEX('Source'!$C:$C,MATCH($A86,'Source'!$B:$B,0)),"")</f>
        <v>סד יד דו צדדי</v>
      </c>
      <c r="C86" s="8" t="n">
        <f aca="false">SUMIFS('Source'!$D:$D,'Source'!$A:$A,"150366 א.א.אורטופדיה איתי-יהוד",'Source'!$B:$B,$A86)</f>
        <v>0</v>
      </c>
      <c r="D86" s="8" t="n">
        <f aca="false">SUMIFS('Source'!$F:$F,'Source'!$A:$A,"150366 א.א.אורטופדיה איתי-יהוד",'Source'!$B:$B,$A86)</f>
        <v>-2</v>
      </c>
      <c r="E86" s="8" t="n">
        <f aca="false">D86*$J$5</f>
        <v>-2.52631578947368</v>
      </c>
      <c r="F86" s="8" t="n">
        <f aca="false">E86-C86</f>
        <v>-2.52631578947368</v>
      </c>
      <c r="G86" s="9" t="str">
        <f aca="false">IF(AND(C86=0,E86=0),0,IF(C86=0,"New",(E86-C86)/C86))</f>
        <v>New</v>
      </c>
      <c r="H86" s="8" t="n">
        <f aca="false">SUMIFS('Source'!$E:$E,'Source'!$A:$A,"150366 א.א.אורטופדיה איתי-יהוד",'Source'!$B:$B,$A86)</f>
        <v>0</v>
      </c>
      <c r="I86" s="8" t="n">
        <f aca="false">SUMIFS('Source'!$G:$G,'Source'!$A:$A,"150366 א.א.אורטופדיה איתי-יהוד",'Source'!$B:$B,$A86)</f>
        <v>-102.56</v>
      </c>
      <c r="J86" s="8" t="n">
        <f aca="false">I86*$J$5</f>
        <v>-129.549473684211</v>
      </c>
      <c r="K86" s="8" t="n">
        <f aca="false">J86-H86</f>
        <v>-129.549473684211</v>
      </c>
      <c r="L86" s="9" t="str">
        <f aca="false">IF(AND(H86=0,J86=0),0,IF(H86=0,"New",(J86-H86)/H86))</f>
        <v>New</v>
      </c>
      <c r="M86" s="7" t="str">
        <f aca="false">IF(AND(OR(C86&lt;&gt;0,H86&lt;&gt;0),D86=0,I86=0),"DROP",IF(AND(OR(D86&lt;&gt;0,I86&lt;&gt;0),C86=0,H86=0),"NEW",""))</f>
        <v>NEW</v>
      </c>
    </row>
    <row r="87" customFormat="false" ht="15" hidden="false" customHeight="false" outlineLevel="0" collapsed="false">
      <c r="A87" s="7" t="s">
        <v>506</v>
      </c>
      <c r="B87" s="7" t="str">
        <f aca="false">IFERROR(INDEX('Source'!$C:$C,MATCH($A87,'Source'!$B:$B,0)),"")</f>
        <v>מיצב פיקה</v>
      </c>
      <c r="C87" s="8" t="n">
        <f aca="false">SUMIFS('Source'!$D:$D,'Source'!$A:$A,"150366 א.א.אורטופדיה איתי-יהוד",'Source'!$B:$B,$A87)</f>
        <v>0</v>
      </c>
      <c r="D87" s="8" t="n">
        <f aca="false">SUMIFS('Source'!$F:$F,'Source'!$A:$A,"150366 א.א.אורטופדיה איתי-יהוד",'Source'!$B:$B,$A87)</f>
        <v>-1</v>
      </c>
      <c r="E87" s="8" t="n">
        <f aca="false">D87*$J$5</f>
        <v>-1.26315789473684</v>
      </c>
      <c r="F87" s="8" t="n">
        <f aca="false">E87-C87</f>
        <v>-1.26315789473684</v>
      </c>
      <c r="G87" s="9" t="str">
        <f aca="false">IF(AND(C87=0,E87=0),0,IF(C87=0,"New",(E87-C87)/C87))</f>
        <v>New</v>
      </c>
      <c r="H87" s="8" t="n">
        <f aca="false">SUMIFS('Source'!$E:$E,'Source'!$A:$A,"150366 א.א.אורטופדיה איתי-יהוד",'Source'!$B:$B,$A87)</f>
        <v>0</v>
      </c>
      <c r="I87" s="8" t="n">
        <f aca="false">SUMIFS('Source'!$G:$G,'Source'!$A:$A,"150366 א.א.אורטופדיה איתי-יהוד",'Source'!$B:$B,$A87)</f>
        <v>-94.63</v>
      </c>
      <c r="J87" s="8" t="n">
        <f aca="false">I87*$J$5</f>
        <v>-119.532631578947</v>
      </c>
      <c r="K87" s="8" t="n">
        <f aca="false">J87-H87</f>
        <v>-119.532631578947</v>
      </c>
      <c r="L87" s="9" t="str">
        <f aca="false">IF(AND(H87=0,J87=0),0,IF(H87=0,"New",(J87-H87)/H87))</f>
        <v>New</v>
      </c>
      <c r="M87" s="7" t="str">
        <f aca="false">IF(AND(OR(C87&lt;&gt;0,H87&lt;&gt;0),D87=0,I87=0),"DROP",IF(AND(OR(D87&lt;&gt;0,I87&lt;&gt;0),C87=0,H87=0),"NEW",""))</f>
        <v>NEW</v>
      </c>
    </row>
    <row r="88" customFormat="false" ht="15" hidden="false" customHeight="false" outlineLevel="0" collapsed="false">
      <c r="A88" s="7" t="s">
        <v>283</v>
      </c>
      <c r="B88" s="7" t="str">
        <f aca="false">IFERROR(INDEX('Source'!$C:$C,MATCH($A88,'Source'!$B:$B,0)),"")</f>
        <v>חבק יד SC25</v>
      </c>
      <c r="C88" s="8" t="n">
        <f aca="false">SUMIFS('Source'!$D:$D,'Source'!$A:$A,"150366 א.א.אורטופדיה איתי-יהוד",'Source'!$B:$B,$A88)</f>
        <v>1</v>
      </c>
      <c r="D88" s="8" t="n">
        <f aca="false">SUMIFS('Source'!$F:$F,'Source'!$A:$A,"150366 א.א.אורטופדיה איתי-יהוד",'Source'!$B:$B,$A88)</f>
        <v>0</v>
      </c>
      <c r="E88" s="8" t="n">
        <f aca="false">D88*$J$5</f>
        <v>0</v>
      </c>
      <c r="F88" s="8" t="n">
        <f aca="false">E88-C88</f>
        <v>-1</v>
      </c>
      <c r="G88" s="9" t="n">
        <f aca="false">IF(AND(C88=0,E88=0),0,IF(C88=0,"New",(E88-C88)/C88))</f>
        <v>-1</v>
      </c>
      <c r="H88" s="8" t="n">
        <f aca="false">SUMIFS('Source'!$E:$E,'Source'!$A:$A,"150366 א.א.אורטופדיה איתי-יהוד",'Source'!$B:$B,$A88)</f>
        <v>93.67</v>
      </c>
      <c r="I88" s="8" t="n">
        <f aca="false">SUMIFS('Source'!$G:$G,'Source'!$A:$A,"150366 א.א.אורטופדיה איתי-יהוד",'Source'!$B:$B,$A88)</f>
        <v>0</v>
      </c>
      <c r="J88" s="8" t="n">
        <f aca="false">I88*$J$5</f>
        <v>0</v>
      </c>
      <c r="K88" s="8" t="n">
        <f aca="false">J88-H88</f>
        <v>-93.67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349</v>
      </c>
      <c r="B89" s="7" t="str">
        <f aca="false">IFERROR(INDEX('Source'!$C:$C,MATCH($A89,'Source'!$B:$B,0)),"")</f>
        <v>חגורת גב+סגירה כפולה</v>
      </c>
      <c r="C89" s="8" t="n">
        <f aca="false">SUMIFS('Source'!$D:$D,'Source'!$A:$A,"150366 א.א.אורטופדיה איתי-יהוד",'Source'!$B:$B,$A89)</f>
        <v>0</v>
      </c>
      <c r="D89" s="8" t="n">
        <f aca="false">SUMIFS('Source'!$F:$F,'Source'!$A:$A,"150366 א.א.אורטופדיה איתי-יהוד",'Source'!$B:$B,$A89)</f>
        <v>-1</v>
      </c>
      <c r="E89" s="8" t="n">
        <f aca="false">D89*$J$5</f>
        <v>-1.26315789473684</v>
      </c>
      <c r="F89" s="8" t="n">
        <f aca="false">E89-C89</f>
        <v>-1.26315789473684</v>
      </c>
      <c r="G89" s="9" t="str">
        <f aca="false">IF(AND(C89=0,E89=0),0,IF(C89=0,"New",(E89-C89)/C89))</f>
        <v>New</v>
      </c>
      <c r="H89" s="8" t="n">
        <f aca="false">SUMIFS('Source'!$E:$E,'Source'!$A:$A,"150366 א.א.אורטופדיה איתי-יהוד",'Source'!$B:$B,$A89)</f>
        <v>0</v>
      </c>
      <c r="I89" s="8" t="n">
        <f aca="false">SUMIFS('Source'!$G:$G,'Source'!$A:$A,"150366 א.א.אורטופדיה איתי-יהוד",'Source'!$B:$B,$A89)</f>
        <v>-90</v>
      </c>
      <c r="J89" s="8" t="n">
        <f aca="false">I89*$J$5</f>
        <v>-113.684210526316</v>
      </c>
      <c r="K89" s="8" t="n">
        <f aca="false">J89-H89</f>
        <v>-113.684210526316</v>
      </c>
      <c r="L89" s="9" t="str">
        <f aca="false">IF(AND(H89=0,J89=0),0,IF(H89=0,"New",(J89-H89)/H89))</f>
        <v>New</v>
      </c>
      <c r="M89" s="7" t="str">
        <f aca="false">IF(AND(OR(C89&lt;&gt;0,H89&lt;&gt;0),D89=0,I89=0),"DROP",IF(AND(OR(D89&lt;&gt;0,I89&lt;&gt;0),C89=0,H89=0),"NEW",""))</f>
        <v>NEW</v>
      </c>
    </row>
    <row r="90" customFormat="false" ht="15" hidden="false" customHeight="false" outlineLevel="0" collapsed="false">
      <c r="A90" s="7" t="s">
        <v>1010</v>
      </c>
      <c r="B90" s="7" t="str">
        <f aca="false">IFERROR(INDEX('Source'!$C:$C,MATCH($A90,'Source'!$B:$B,0)),"")</f>
        <v>מגן קרסול+כרית סיליקון</v>
      </c>
      <c r="C90" s="8" t="n">
        <f aca="false">SUMIFS('Source'!$D:$D,'Source'!$A:$A,"150366 א.א.אורטופדיה איתי-יהוד",'Source'!$B:$B,$A90)</f>
        <v>1</v>
      </c>
      <c r="D90" s="8" t="n">
        <f aca="false">SUMIFS('Source'!$F:$F,'Source'!$A:$A,"150366 א.א.אורטופדיה איתי-יהוד",'Source'!$B:$B,$A90)</f>
        <v>0</v>
      </c>
      <c r="E90" s="8" t="n">
        <f aca="false">D90*$J$5</f>
        <v>0</v>
      </c>
      <c r="F90" s="8" t="n">
        <f aca="false">E90-C90</f>
        <v>-1</v>
      </c>
      <c r="G90" s="9" t="n">
        <f aca="false">IF(AND(C90=0,E90=0),0,IF(C90=0,"New",(E90-C90)/C90))</f>
        <v>-1</v>
      </c>
      <c r="H90" s="8" t="n">
        <f aca="false">SUMIFS('Source'!$E:$E,'Source'!$A:$A,"150366 א.א.אורטופדיה איתי-יהוד",'Source'!$B:$B,$A90)</f>
        <v>72.65</v>
      </c>
      <c r="I90" s="8" t="n">
        <f aca="false">SUMIFS('Source'!$G:$G,'Source'!$A:$A,"150366 א.א.אורטופדיה איתי-יהוד",'Source'!$B:$B,$A90)</f>
        <v>0</v>
      </c>
      <c r="J90" s="8" t="n">
        <f aca="false">I90*$J$5</f>
        <v>0</v>
      </c>
      <c r="K90" s="8" t="n">
        <f aca="false">J90-H90</f>
        <v>-72.65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472</v>
      </c>
      <c r="B91" s="7" t="str">
        <f aca="false">IFERROR(INDEX('Source'!$C:$C,MATCH($A91,'Source'!$B:$B,0)),"")</f>
        <v>צוארון פלסטי מתכוונן</v>
      </c>
      <c r="C91" s="8" t="n">
        <f aca="false">SUMIFS('Source'!$D:$D,'Source'!$A:$A,"150366 א.א.אורטופדיה איתי-יהוד",'Source'!$B:$B,$A91)</f>
        <v>1</v>
      </c>
      <c r="D91" s="8" t="n">
        <f aca="false">SUMIFS('Source'!$F:$F,'Source'!$A:$A,"150366 א.א.אורטופדיה איתי-יהוד",'Source'!$B:$B,$A91)</f>
        <v>0</v>
      </c>
      <c r="E91" s="8" t="n">
        <f aca="false">D91*$J$5</f>
        <v>0</v>
      </c>
      <c r="F91" s="8" t="n">
        <f aca="false">E91-C91</f>
        <v>-1</v>
      </c>
      <c r="G91" s="9" t="n">
        <f aca="false">IF(AND(C91=0,E91=0),0,IF(C91=0,"New",(E91-C91)/C91))</f>
        <v>-1</v>
      </c>
      <c r="H91" s="8" t="n">
        <f aca="false">SUMIFS('Source'!$E:$E,'Source'!$A:$A,"150366 א.א.אורטופדיה איתי-יהוד",'Source'!$B:$B,$A91)</f>
        <v>66.51</v>
      </c>
      <c r="I91" s="8" t="n">
        <f aca="false">SUMIFS('Source'!$G:$G,'Source'!$A:$A,"150366 א.א.אורטופדיה איתי-יהוד",'Source'!$B:$B,$A91)</f>
        <v>0</v>
      </c>
      <c r="J91" s="8" t="n">
        <f aca="false">I91*$J$5</f>
        <v>0</v>
      </c>
      <c r="K91" s="8" t="n">
        <f aca="false">J91-H91</f>
        <v>-66.51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197</v>
      </c>
      <c r="B92" s="7" t="str">
        <f aca="false">IFERROR(INDEX('Source'!$C:$C,MATCH($A92,'Source'!$B:$B,0)),"")</f>
        <v>חגורה אחרי ניתוח</v>
      </c>
      <c r="C92" s="8" t="n">
        <f aca="false">SUMIFS('Source'!$D:$D,'Source'!$A:$A,"150366 א.א.אורטופדיה איתי-יהוד",'Source'!$B:$B,$A92)</f>
        <v>10</v>
      </c>
      <c r="D92" s="8" t="n">
        <f aca="false">SUMIFS('Source'!$F:$F,'Source'!$A:$A,"150366 א.א.אורטופדיה איתי-יהוד",'Source'!$B:$B,$A92)</f>
        <v>10</v>
      </c>
      <c r="E92" s="8" t="n">
        <f aca="false">D92*$J$5</f>
        <v>12.6315789473684</v>
      </c>
      <c r="F92" s="8" t="n">
        <f aca="false">E92-C92</f>
        <v>2.63157894736842</v>
      </c>
      <c r="G92" s="9" t="n">
        <f aca="false">IF(AND(C92=0,E92=0),0,IF(C92=0,"New",(E92-C92)/C92))</f>
        <v>0.263157894736842</v>
      </c>
      <c r="H92" s="8" t="n">
        <f aca="false">SUMIFS('Source'!$E:$E,'Source'!$A:$A,"150366 א.א.אורטופדיה איתי-יהוד",'Source'!$B:$B,$A92)</f>
        <v>983.58</v>
      </c>
      <c r="I92" s="8" t="n">
        <f aca="false">SUMIFS('Source'!$G:$G,'Source'!$A:$A,"150366 א.א.אורטופדיה איתי-יהוד",'Source'!$B:$B,$A92)</f>
        <v>1050</v>
      </c>
      <c r="J92" s="8" t="n">
        <f aca="false">I92*$J$5</f>
        <v>1326.31578947368</v>
      </c>
      <c r="K92" s="8" t="n">
        <f aca="false">J92-H92</f>
        <v>342.735789473684</v>
      </c>
      <c r="L92" s="9" t="n">
        <f aca="false">IF(AND(H92=0,J92=0),0,IF(H92=0,"New",(J92-H92)/H92))</f>
        <v>0.348457460983025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597</v>
      </c>
      <c r="B93" s="7" t="str">
        <f aca="false">IFERROR(INDEX('Source'!$C:$C,MATCH($A93,'Source'!$B:$B,0)),"")</f>
        <v>מגן קרסול סגור</v>
      </c>
      <c r="C93" s="8" t="n">
        <f aca="false">SUMIFS('Source'!$D:$D,'Source'!$A:$A,"150366 א.א.אורטופדיה איתי-יהוד",'Source'!$B:$B,$A93)</f>
        <v>0</v>
      </c>
      <c r="D93" s="8" t="n">
        <f aca="false">SUMIFS('Source'!$F:$F,'Source'!$A:$A,"150366 א.א.אורטופדיה איתי-יהוד",'Source'!$B:$B,$A93)</f>
        <v>-1</v>
      </c>
      <c r="E93" s="8" t="n">
        <f aca="false">D93*$J$5</f>
        <v>-1.26315789473684</v>
      </c>
      <c r="F93" s="8" t="n">
        <f aca="false">E93-C93</f>
        <v>-1.26315789473684</v>
      </c>
      <c r="G93" s="9" t="str">
        <f aca="false">IF(AND(C93=0,E93=0),0,IF(C93=0,"New",(E93-C93)/C93))</f>
        <v>New</v>
      </c>
      <c r="H93" s="8" t="n">
        <f aca="false">SUMIFS('Source'!$E:$E,'Source'!$A:$A,"150366 א.א.אורטופדיה איתי-יהוד",'Source'!$B:$B,$A93)</f>
        <v>0</v>
      </c>
      <c r="I93" s="8" t="n">
        <f aca="false">SUMIFS('Source'!$G:$G,'Source'!$A:$A,"150366 א.א.אורטופדיה איתי-יהוד",'Source'!$B:$B,$A93)</f>
        <v>-46.82</v>
      </c>
      <c r="J93" s="8" t="n">
        <f aca="false">I93*$J$5</f>
        <v>-59.1410526315789</v>
      </c>
      <c r="K93" s="8" t="n">
        <f aca="false">J93-H93</f>
        <v>-59.1410526315789</v>
      </c>
      <c r="L93" s="9" t="str">
        <f aca="false">IF(AND(H93=0,J93=0),0,IF(H93=0,"New",(J93-H93)/H93))</f>
        <v>New</v>
      </c>
      <c r="M93" s="7" t="str">
        <f aca="false">IF(AND(OR(C93&lt;&gt;0,H93&lt;&gt;0),D93=0,I93=0),"DROP",IF(AND(OR(D93&lt;&gt;0,I93&lt;&gt;0),C93=0,H93=0),"NEW",""))</f>
        <v>NEW</v>
      </c>
    </row>
    <row r="94" customFormat="false" ht="15" hidden="false" customHeight="false" outlineLevel="0" collapsed="false">
      <c r="A94" s="7" t="s">
        <v>935</v>
      </c>
      <c r="B94" s="7" t="str">
        <f aca="false">IFERROR(INDEX('Source'!$C:$C,MATCH($A94,'Source'!$B:$B,0)),"")</f>
        <v>צוארון עממי</v>
      </c>
      <c r="C94" s="8" t="n">
        <f aca="false">SUMIFS('Source'!$D:$D,'Source'!$A:$A,"150366 א.א.אורטופדיה איתי-יהוד",'Source'!$B:$B,$A94)</f>
        <v>0</v>
      </c>
      <c r="D94" s="8" t="n">
        <f aca="false">SUMIFS('Source'!$F:$F,'Source'!$A:$A,"150366 א.א.אורטופדיה איתי-יהוד",'Source'!$B:$B,$A94)</f>
        <v>-2</v>
      </c>
      <c r="E94" s="8" t="n">
        <f aca="false">D94*$J$5</f>
        <v>-2.52631578947368</v>
      </c>
      <c r="F94" s="8" t="n">
        <f aca="false">E94-C94</f>
        <v>-2.52631578947368</v>
      </c>
      <c r="G94" s="9" t="str">
        <f aca="false">IF(AND(C94=0,E94=0),0,IF(C94=0,"New",(E94-C94)/C94))</f>
        <v>New</v>
      </c>
      <c r="H94" s="8" t="n">
        <f aca="false">SUMIFS('Source'!$E:$E,'Source'!$A:$A,"150366 א.א.אורטופדיה איתי-יהוד",'Source'!$B:$B,$A94)</f>
        <v>0</v>
      </c>
      <c r="I94" s="8" t="n">
        <f aca="false">SUMIFS('Source'!$G:$G,'Source'!$A:$A,"150366 א.א.אורטופדיה איתי-יהוד",'Source'!$B:$B,$A94)</f>
        <v>-46.16</v>
      </c>
      <c r="J94" s="8" t="n">
        <f aca="false">I94*$J$5</f>
        <v>-58.3073684210526</v>
      </c>
      <c r="K94" s="8" t="n">
        <f aca="false">J94-H94</f>
        <v>-58.3073684210526</v>
      </c>
      <c r="L94" s="9" t="str">
        <f aca="false">IF(AND(H94=0,J94=0),0,IF(H94=0,"New",(J94-H94)/H94))</f>
        <v>New</v>
      </c>
      <c r="M94" s="7" t="str">
        <f aca="false">IF(AND(OR(C94&lt;&gt;0,H94&lt;&gt;0),D94=0,I94=0),"DROP",IF(AND(OR(D94&lt;&gt;0,I94&lt;&gt;0),C94=0,H94=0),"NEW",""))</f>
        <v>NEW</v>
      </c>
    </row>
    <row r="95" customFormat="false" ht="15" hidden="false" customHeight="false" outlineLevel="0" collapsed="false">
      <c r="A95" s="7" t="s">
        <v>933</v>
      </c>
      <c r="B95" s="7" t="str">
        <f aca="false">IFERROR(INDEX('Source'!$C:$C,MATCH($A95,'Source'!$B:$B,0)),"")</f>
        <v>צוארון עממי</v>
      </c>
      <c r="C95" s="8" t="n">
        <f aca="false">SUMIFS('Source'!$D:$D,'Source'!$A:$A,"150366 א.א.אורטופדיה איתי-יהוד",'Source'!$B:$B,$A95)</f>
        <v>0</v>
      </c>
      <c r="D95" s="8" t="n">
        <f aca="false">SUMIFS('Source'!$F:$F,'Source'!$A:$A,"150366 א.א.אורטופדיה איתי-יהוד",'Source'!$B:$B,$A95)</f>
        <v>-2</v>
      </c>
      <c r="E95" s="8" t="n">
        <f aca="false">D95*$J$5</f>
        <v>-2.52631578947368</v>
      </c>
      <c r="F95" s="8" t="n">
        <f aca="false">E95-C95</f>
        <v>-2.52631578947368</v>
      </c>
      <c r="G95" s="9" t="str">
        <f aca="false">IF(AND(C95=0,E95=0),0,IF(C95=0,"New",(E95-C95)/C95))</f>
        <v>New</v>
      </c>
      <c r="H95" s="8" t="n">
        <f aca="false">SUMIFS('Source'!$E:$E,'Source'!$A:$A,"150366 א.א.אורטופדיה איתי-יהוד",'Source'!$B:$B,$A95)</f>
        <v>0</v>
      </c>
      <c r="I95" s="8" t="n">
        <f aca="false">SUMIFS('Source'!$G:$G,'Source'!$A:$A,"150366 א.א.אורטופדיה איתי-יהוד",'Source'!$B:$B,$A95)</f>
        <v>-46.16</v>
      </c>
      <c r="J95" s="8" t="n">
        <f aca="false">I95*$J$5</f>
        <v>-58.3073684210526</v>
      </c>
      <c r="K95" s="8" t="n">
        <f aca="false">J95-H95</f>
        <v>-58.3073684210526</v>
      </c>
      <c r="L95" s="9" t="str">
        <f aca="false">IF(AND(H95=0,J95=0),0,IF(H95=0,"New",(J95-H95)/H95))</f>
        <v>New</v>
      </c>
      <c r="M95" s="7" t="str">
        <f aca="false">IF(AND(OR(C95&lt;&gt;0,H95&lt;&gt;0),D95=0,I95=0),"DROP",IF(AND(OR(D95&lt;&gt;0,I95&lt;&gt;0),C95=0,H95=0),"NEW",""))</f>
        <v>NEW</v>
      </c>
    </row>
    <row r="96" customFormat="false" ht="15" hidden="false" customHeight="false" outlineLevel="0" collapsed="false">
      <c r="A96" s="7" t="s">
        <v>216</v>
      </c>
      <c r="B96" s="7" t="str">
        <f aca="false">IFERROR(INDEX('Source'!$C:$C,MATCH($A96,'Source'!$B:$B,0)),"")</f>
        <v>שרוול לגבס קצר רגל</v>
      </c>
      <c r="C96" s="8" t="n">
        <f aca="false">SUMIFS('Source'!$D:$D,'Source'!$A:$A,"150366 א.א.אורטופדיה איתי-יהוד",'Source'!$B:$B,$A96)</f>
        <v>24</v>
      </c>
      <c r="D96" s="8" t="n">
        <f aca="false">SUMIFS('Source'!$F:$F,'Source'!$A:$A,"150366 א.א.אורטופדיה איתי-יהוד",'Source'!$B:$B,$A96)</f>
        <v>23</v>
      </c>
      <c r="E96" s="8" t="n">
        <f aca="false">D96*$J$5</f>
        <v>29.0526315789474</v>
      </c>
      <c r="F96" s="8" t="n">
        <f aca="false">E96-C96</f>
        <v>5.05263157894737</v>
      </c>
      <c r="G96" s="9" t="n">
        <f aca="false">IF(AND(C96=0,E96=0),0,IF(C96=0,"New",(E96-C96)/C96))</f>
        <v>0.210526315789474</v>
      </c>
      <c r="H96" s="8" t="n">
        <f aca="false">SUMIFS('Source'!$E:$E,'Source'!$A:$A,"150366 א.א.אורטופדיה איתי-יהוד",'Source'!$B:$B,$A96)</f>
        <v>1068.93</v>
      </c>
      <c r="I96" s="8" t="n">
        <f aca="false">SUMIFS('Source'!$G:$G,'Source'!$A:$A,"150366 א.א.אורטופדיה איתי-יהוד",'Source'!$B:$B,$A96)</f>
        <v>1033.78</v>
      </c>
      <c r="J96" s="8" t="n">
        <f aca="false">I96*$J$5</f>
        <v>1305.82736842105</v>
      </c>
      <c r="K96" s="8" t="n">
        <f aca="false">J96-H96</f>
        <v>236.897368421053</v>
      </c>
      <c r="L96" s="9" t="n">
        <f aca="false">IF(AND(H96=0,J96=0),0,IF(H96=0,"New",(J96-H96)/H96))</f>
        <v>0.221621030770072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698</v>
      </c>
      <c r="B97" s="7" t="str">
        <f aca="false">IFERROR(INDEX('Source'!$C:$C,MATCH($A97,'Source'!$B:$B,0)),"")</f>
        <v>מגן ברך חום</v>
      </c>
      <c r="C97" s="8" t="n">
        <f aca="false">SUMIFS('Source'!$D:$D,'Source'!$A:$A,"150366 א.א.אורטופדיה איתי-יהוד",'Source'!$B:$B,$A97)</f>
        <v>0</v>
      </c>
      <c r="D97" s="8" t="n">
        <f aca="false">SUMIFS('Source'!$F:$F,'Source'!$A:$A,"150366 א.א.אורטופדיה איתי-יהוד",'Source'!$B:$B,$A97)</f>
        <v>-1</v>
      </c>
      <c r="E97" s="8" t="n">
        <f aca="false">D97*$J$5</f>
        <v>-1.26315789473684</v>
      </c>
      <c r="F97" s="8" t="n">
        <f aca="false">E97-C97</f>
        <v>-1.26315789473684</v>
      </c>
      <c r="G97" s="9" t="str">
        <f aca="false">IF(AND(C97=0,E97=0),0,IF(C97=0,"New",(E97-C97)/C97))</f>
        <v>New</v>
      </c>
      <c r="H97" s="8" t="n">
        <f aca="false">SUMIFS('Source'!$E:$E,'Source'!$A:$A,"150366 א.א.אורטופדיה איתי-יהוד",'Source'!$B:$B,$A97)</f>
        <v>0</v>
      </c>
      <c r="I97" s="8" t="n">
        <f aca="false">SUMIFS('Source'!$G:$G,'Source'!$A:$A,"150366 א.א.אורטופדיה איתי-יהוד",'Source'!$B:$B,$A97)</f>
        <v>-30.89</v>
      </c>
      <c r="J97" s="8" t="n">
        <f aca="false">I97*$J$5</f>
        <v>-39.0189473684211</v>
      </c>
      <c r="K97" s="8" t="n">
        <f aca="false">J97-H97</f>
        <v>-39.0189473684211</v>
      </c>
      <c r="L97" s="9" t="str">
        <f aca="false">IF(AND(H97=0,J97=0),0,IF(H97=0,"New",(J97-H97)/H97))</f>
        <v>New</v>
      </c>
      <c r="M97" s="7" t="str">
        <f aca="false">IF(AND(OR(C97&lt;&gt;0,H97&lt;&gt;0),D97=0,I97=0),"DROP",IF(AND(OR(D97&lt;&gt;0,I97&lt;&gt;0),C97=0,H97=0),"NEW",""))</f>
        <v>NEW</v>
      </c>
    </row>
    <row r="98" customFormat="false" ht="15" hidden="false" customHeight="false" outlineLevel="0" collapsed="false">
      <c r="A98" s="7" t="s">
        <v>185</v>
      </c>
      <c r="B98" s="7" t="str">
        <f aca="false">IFERROR(INDEX('Source'!$C:$C,MATCH($A98,'Source'!$B:$B,0)),"")</f>
        <v>כרית עם סרט אלסט</v>
      </c>
      <c r="C98" s="8" t="n">
        <f aca="false">SUMIFS('Source'!$D:$D,'Source'!$A:$A,"150366 א.א.אורטופדיה איתי-יהוד",'Source'!$B:$B,$A98)</f>
        <v>60</v>
      </c>
      <c r="D98" s="8" t="n">
        <f aca="false">SUMIFS('Source'!$F:$F,'Source'!$A:$A,"150366 א.א.אורטופדיה איתי-יהוד",'Source'!$B:$B,$A98)</f>
        <v>60</v>
      </c>
      <c r="E98" s="8" t="n">
        <f aca="false">D98*$J$5</f>
        <v>75.7894736842105</v>
      </c>
      <c r="F98" s="8" t="n">
        <f aca="false">E98-C98</f>
        <v>15.7894736842105</v>
      </c>
      <c r="G98" s="9" t="n">
        <f aca="false">IF(AND(C98=0,E98=0),0,IF(C98=0,"New",(E98-C98)/C98))</f>
        <v>0.263157894736842</v>
      </c>
      <c r="H98" s="8" t="n">
        <f aca="false">SUMIFS('Source'!$E:$E,'Source'!$A:$A,"150366 א.א.אורטופדיה איתי-יהוד",'Source'!$B:$B,$A98)</f>
        <v>1703.41</v>
      </c>
      <c r="I98" s="8" t="n">
        <f aca="false">SUMIFS('Source'!$G:$G,'Source'!$A:$A,"150366 א.א.אורטופדיה איתי-יהוד",'Source'!$B:$B,$A98)</f>
        <v>1712.69</v>
      </c>
      <c r="J98" s="8" t="n">
        <f aca="false">I98*$J$5</f>
        <v>2163.39789473684</v>
      </c>
      <c r="K98" s="8" t="n">
        <f aca="false">J98-H98</f>
        <v>459.987894736842</v>
      </c>
      <c r="L98" s="9" t="n">
        <f aca="false">IF(AND(H98=0,J98=0),0,IF(H98=0,"New",(J98-H98)/H98))</f>
        <v>0.270039447189368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125</v>
      </c>
      <c r="B99" s="7" t="str">
        <f aca="false">IFERROR(INDEX('Source'!$C:$C,MATCH($A99,'Source'!$B:$B,0)),"")</f>
        <v>שרוול לגבס ארוך רגל</v>
      </c>
      <c r="C99" s="8" t="n">
        <f aca="false">SUMIFS('Source'!$D:$D,'Source'!$A:$A,"150366 א.א.אורטופדיה איתי-יהוד",'Source'!$B:$B,$A99)</f>
        <v>19</v>
      </c>
      <c r="D99" s="8" t="n">
        <f aca="false">SUMIFS('Source'!$F:$F,'Source'!$A:$A,"150366 א.א.אורטופדיה איתי-יהוד",'Source'!$B:$B,$A99)</f>
        <v>19</v>
      </c>
      <c r="E99" s="8" t="n">
        <f aca="false">D99*$J$5</f>
        <v>24</v>
      </c>
      <c r="F99" s="8" t="n">
        <f aca="false">E99-C99</f>
        <v>5</v>
      </c>
      <c r="G99" s="9" t="n">
        <f aca="false">IF(AND(C99=0,E99=0),0,IF(C99=0,"New",(E99-C99)/C99))</f>
        <v>0.263157894736842</v>
      </c>
      <c r="H99" s="8" t="n">
        <f aca="false">SUMIFS('Source'!$E:$E,'Source'!$A:$A,"150366 א.א.אורטופדיה איתי-יהוד",'Source'!$B:$B,$A99)</f>
        <v>885.71</v>
      </c>
      <c r="I99" s="8" t="n">
        <f aca="false">SUMIFS('Source'!$G:$G,'Source'!$A:$A,"150366 א.א.אורטופדיה איתי-יהוד",'Source'!$B:$B,$A99)</f>
        <v>889.61</v>
      </c>
      <c r="J99" s="8" t="n">
        <f aca="false">I99*$J$5</f>
        <v>1123.71789473684</v>
      </c>
      <c r="K99" s="8" t="n">
        <f aca="false">J99-H99</f>
        <v>238.007894736842</v>
      </c>
      <c r="L99" s="9" t="n">
        <f aca="false">IF(AND(H99=0,J99=0),0,IF(H99=0,"New",(J99-H99)/H99))</f>
        <v>0.268719891089456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196</v>
      </c>
      <c r="B100" s="7" t="str">
        <f aca="false">IFERROR(INDEX('Source'!$C:$C,MATCH($A100,'Source'!$B:$B,0)),"")</f>
        <v>חגורה אחרי ניתוח</v>
      </c>
      <c r="C100" s="8" t="n">
        <f aca="false">SUMIFS('Source'!$D:$D,'Source'!$A:$A,"150366 א.א.אורטופדיה איתי-יהוד",'Source'!$B:$B,$A100)</f>
        <v>11</v>
      </c>
      <c r="D100" s="8" t="n">
        <f aca="false">SUMIFS('Source'!$F:$F,'Source'!$A:$A,"150366 א.א.אורטופדיה איתי-יהוד",'Source'!$B:$B,$A100)</f>
        <v>11</v>
      </c>
      <c r="E100" s="8" t="n">
        <f aca="false">D100*$J$5</f>
        <v>13.8947368421053</v>
      </c>
      <c r="F100" s="8" t="n">
        <f aca="false">E100-C100</f>
        <v>2.89473684210526</v>
      </c>
      <c r="G100" s="9" t="n">
        <f aca="false">IF(AND(C100=0,E100=0),0,IF(C100=0,"New",(E100-C100)/C100))</f>
        <v>0.263157894736842</v>
      </c>
      <c r="H100" s="8" t="n">
        <f aca="false">SUMIFS('Source'!$E:$E,'Source'!$A:$A,"150366 א.א.אורטופדיה איתי-יהוד",'Source'!$B:$B,$A100)</f>
        <v>1155</v>
      </c>
      <c r="I100" s="8" t="n">
        <f aca="false">SUMIFS('Source'!$G:$G,'Source'!$A:$A,"150366 א.א.אורטופדיה איתי-יהוד",'Source'!$B:$B,$A100)</f>
        <v>1155.01</v>
      </c>
      <c r="J100" s="8" t="n">
        <f aca="false">I100*$J$5</f>
        <v>1458.96</v>
      </c>
      <c r="K100" s="8" t="n">
        <f aca="false">J100-H100</f>
        <v>303.96</v>
      </c>
      <c r="L100" s="9" t="n">
        <f aca="false">IF(AND(H100=0,J100=0),0,IF(H100=0,"New",(J100-H100)/H100))</f>
        <v>0.263168831168831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274</v>
      </c>
      <c r="B101" s="7" t="str">
        <f aca="false">IFERROR(INDEX('Source'!$C:$C,MATCH($A101,'Source'!$B:$B,0)),"")</f>
        <v>חגורה אחרי ניתוח</v>
      </c>
      <c r="C101" s="8" t="n">
        <f aca="false">SUMIFS('Source'!$D:$D,'Source'!$A:$A,"150366 א.א.אורטופדיה איתי-יהוד",'Source'!$B:$B,$A101)</f>
        <v>1</v>
      </c>
      <c r="D101" s="8" t="n">
        <f aca="false">SUMIFS('Source'!$F:$F,'Source'!$A:$A,"150366 א.א.אורטופדיה איתי-יהוד",'Source'!$B:$B,$A101)</f>
        <v>1</v>
      </c>
      <c r="E101" s="8" t="n">
        <f aca="false">D101*$J$5</f>
        <v>1.26315789473684</v>
      </c>
      <c r="F101" s="8" t="n">
        <f aca="false">E101-C101</f>
        <v>0.263157894736842</v>
      </c>
      <c r="G101" s="9" t="n">
        <f aca="false">IF(AND(C101=0,E101=0),0,IF(C101=0,"New",(E101-C101)/C101))</f>
        <v>0.263157894736842</v>
      </c>
      <c r="H101" s="8" t="n">
        <f aca="false">SUMIFS('Source'!$E:$E,'Source'!$A:$A,"150366 א.א.אורטופדיה איתי-יהוד",'Source'!$B:$B,$A101)</f>
        <v>105</v>
      </c>
      <c r="I101" s="8" t="n">
        <f aca="false">SUMIFS('Source'!$G:$G,'Source'!$A:$A,"150366 א.א.אורטופדיה איתי-יהוד",'Source'!$B:$B,$A101)</f>
        <v>105</v>
      </c>
      <c r="J101" s="8" t="n">
        <f aca="false">I101*$J$5</f>
        <v>132.631578947368</v>
      </c>
      <c r="K101" s="8" t="n">
        <f aca="false">J101-H101</f>
        <v>27.6315789473684</v>
      </c>
      <c r="L101" s="9" t="n">
        <f aca="false">IF(AND(H101=0,J101=0),0,IF(H101=0,"New",(J101-H101)/H101))</f>
        <v>0.263157894736842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341</v>
      </c>
      <c r="B102" s="7" t="str">
        <f aca="false">IFERROR(INDEX('Source'!$C:$C,MATCH($A102,'Source'!$B:$B,0)),"")</f>
        <v>מגן קרסול סגור</v>
      </c>
      <c r="C102" s="8" t="n">
        <f aca="false">SUMIFS('Source'!$D:$D,'Source'!$A:$A,"150366 א.א.אורטופדיה איתי-יהוד",'Source'!$B:$B,$A102)</f>
        <v>1</v>
      </c>
      <c r="D102" s="8" t="n">
        <f aca="false">SUMIFS('Source'!$F:$F,'Source'!$A:$A,"150366 א.א.אורטופדיה איתי-יהוד",'Source'!$B:$B,$A102)</f>
        <v>1</v>
      </c>
      <c r="E102" s="8" t="n">
        <f aca="false">D102*$J$5</f>
        <v>1.26315789473684</v>
      </c>
      <c r="F102" s="8" t="n">
        <f aca="false">E102-C102</f>
        <v>0.263157894736842</v>
      </c>
      <c r="G102" s="9" t="n">
        <f aca="false">IF(AND(C102=0,E102=0),0,IF(C102=0,"New",(E102-C102)/C102))</f>
        <v>0.263157894736842</v>
      </c>
      <c r="H102" s="8" t="n">
        <f aca="false">SUMIFS('Source'!$E:$E,'Source'!$A:$A,"150366 א.א.אורטופדיה איתי-יהוד",'Source'!$B:$B,$A102)</f>
        <v>46.82</v>
      </c>
      <c r="I102" s="8" t="n">
        <f aca="false">SUMIFS('Source'!$G:$G,'Source'!$A:$A,"150366 א.א.אורטופדיה איתי-יהוד",'Source'!$B:$B,$A102)</f>
        <v>46.82</v>
      </c>
      <c r="J102" s="8" t="n">
        <f aca="false">I102*$J$5</f>
        <v>59.1410526315789</v>
      </c>
      <c r="K102" s="8" t="n">
        <f aca="false">J102-H102</f>
        <v>12.3210526315789</v>
      </c>
      <c r="L102" s="9" t="n">
        <f aca="false">IF(AND(H102=0,J102=0),0,IF(H102=0,"New",(J102-H102)/H102))</f>
        <v>0.263157894736842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321</v>
      </c>
      <c r="B103" s="7" t="str">
        <f aca="false">IFERROR(INDEX('Source'!$C:$C,MATCH($A103,'Source'!$B:$B,0)),"")</f>
        <v>חגורת קיבוע לכתף</v>
      </c>
      <c r="C103" s="8" t="n">
        <f aca="false">SUMIFS('Source'!$D:$D,'Source'!$A:$A,"150366 א.א.אורטופדיה איתי-יהוד",'Source'!$B:$B,$A103)</f>
        <v>2</v>
      </c>
      <c r="D103" s="8" t="n">
        <f aca="false">SUMIFS('Source'!$F:$F,'Source'!$A:$A,"150366 א.א.אורטופדיה איתי-יהוד",'Source'!$B:$B,$A103)</f>
        <v>2</v>
      </c>
      <c r="E103" s="8" t="n">
        <f aca="false">D103*$J$5</f>
        <v>2.52631578947368</v>
      </c>
      <c r="F103" s="8" t="n">
        <f aca="false">E103-C103</f>
        <v>0.526315789473684</v>
      </c>
      <c r="G103" s="9" t="n">
        <f aca="false">IF(AND(C103=0,E103=0),0,IF(C103=0,"New",(E103-C103)/C103))</f>
        <v>0.263157894736842</v>
      </c>
      <c r="H103" s="8" t="n">
        <f aca="false">SUMIFS('Source'!$E:$E,'Source'!$A:$A,"150366 א.א.אורטופדיה איתי-יהוד",'Source'!$B:$B,$A103)</f>
        <v>281.14</v>
      </c>
      <c r="I103" s="8" t="n">
        <f aca="false">SUMIFS('Source'!$G:$G,'Source'!$A:$A,"150366 א.א.אורטופדיה איתי-יהוד",'Source'!$B:$B,$A103)</f>
        <v>281.14</v>
      </c>
      <c r="J103" s="8" t="n">
        <f aca="false">I103*$J$5</f>
        <v>355.124210526316</v>
      </c>
      <c r="K103" s="8" t="n">
        <f aca="false">J103-H103</f>
        <v>73.9842105263158</v>
      </c>
      <c r="L103" s="9" t="n">
        <f aca="false">IF(AND(H103=0,J103=0),0,IF(H103=0,"New",(J103-H103)/H103))</f>
        <v>0.263157894736842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325</v>
      </c>
      <c r="B104" s="7" t="str">
        <f aca="false">IFERROR(INDEX('Source'!$C:$C,MATCH($A104,'Source'!$B:$B,0)),"")</f>
        <v>חגורת בטן</v>
      </c>
      <c r="C104" s="8" t="n">
        <f aca="false">SUMIFS('Source'!$D:$D,'Source'!$A:$A,"150366 א.א.אורטופדיה איתי-יהוד",'Source'!$B:$B,$A104)</f>
        <v>2</v>
      </c>
      <c r="D104" s="8" t="n">
        <f aca="false">SUMIFS('Source'!$F:$F,'Source'!$A:$A,"150366 א.א.אורטופדיה איתי-יהוד",'Source'!$B:$B,$A104)</f>
        <v>2</v>
      </c>
      <c r="E104" s="8" t="n">
        <f aca="false">D104*$J$5</f>
        <v>2.52631578947368</v>
      </c>
      <c r="F104" s="8" t="n">
        <f aca="false">E104-C104</f>
        <v>0.526315789473684</v>
      </c>
      <c r="G104" s="9" t="n">
        <f aca="false">IF(AND(C104=0,E104=0),0,IF(C104=0,"New",(E104-C104)/C104))</f>
        <v>0.263157894736842</v>
      </c>
      <c r="H104" s="8" t="n">
        <f aca="false">SUMIFS('Source'!$E:$E,'Source'!$A:$A,"150366 א.א.אורטופדיה איתי-יהוד",'Source'!$B:$B,$A104)</f>
        <v>169.99</v>
      </c>
      <c r="I104" s="8" t="n">
        <f aca="false">SUMIFS('Source'!$G:$G,'Source'!$A:$A,"150366 א.א.אורטופדיה איתי-יהוד",'Source'!$B:$B,$A104)</f>
        <v>169.99</v>
      </c>
      <c r="J104" s="8" t="n">
        <f aca="false">I104*$J$5</f>
        <v>214.724210526316</v>
      </c>
      <c r="K104" s="8" t="n">
        <f aca="false">J104-H104</f>
        <v>44.7342105263158</v>
      </c>
      <c r="L104" s="9" t="n">
        <f aca="false">IF(AND(H104=0,J104=0),0,IF(H104=0,"New",(J104-H104)/H104))</f>
        <v>0.263157894736842</v>
      </c>
      <c r="M104" s="7" t="str">
        <f aca="false">IF(AND(OR(C104&lt;&gt;0,H104&lt;&gt;0),D104=0,I104=0),"DROP",IF(AND(OR(D104&lt;&gt;0,I104&lt;&gt;0),C104=0,H104=0),"NEW",""))</f>
        <v/>
      </c>
    </row>
    <row r="106" customFormat="false" ht="15" hidden="false" customHeight="false" outlineLevel="0" collapsed="false">
      <c r="A106" s="17"/>
      <c r="B106" s="18" t="s">
        <v>97</v>
      </c>
      <c r="C106" s="19" t="n">
        <f aca="false">SUM(C9:C104)</f>
        <v>864</v>
      </c>
      <c r="D106" s="19" t="n">
        <f aca="false">SUM(D9:D104)</f>
        <v>588</v>
      </c>
      <c r="E106" s="19" t="n">
        <f aca="false">SUM(E9:E104)</f>
        <v>742.736842105263</v>
      </c>
      <c r="F106" s="19" t="n">
        <f aca="false">SUM(F9:F104)</f>
        <v>-121.263157894737</v>
      </c>
      <c r="G106" s="20" t="n">
        <f aca="false">IF(C106=0,"N/A",F106/C106)</f>
        <v>-0.140350877192983</v>
      </c>
      <c r="H106" s="19" t="n">
        <f aca="false">SUM(H9:H104)</f>
        <v>58517.41</v>
      </c>
      <c r="I106" s="19" t="n">
        <f aca="false">SUM(I9:I104)</f>
        <v>46019.93</v>
      </c>
      <c r="J106" s="19" t="n">
        <f aca="false">SUM(J9:J104)</f>
        <v>58130.4378947368</v>
      </c>
      <c r="K106" s="19" t="n">
        <f aca="false">SUM(K9:K104)</f>
        <v>-386.972105263159</v>
      </c>
      <c r="L106" s="20" t="n">
        <f aca="false">IF(H106=0,"N/A",K106/H106)</f>
        <v>-0.00661293972619703</v>
      </c>
      <c r="M106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1011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99.75" hidden="false" customHeight="true" outlineLevel="0" collapsed="false">
      <c r="A3" s="4" t="s">
        <v>1012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43</v>
      </c>
      <c r="B4" s="4"/>
      <c r="C4" s="4"/>
      <c r="D4" s="4"/>
      <c r="E4" s="4"/>
      <c r="F4" s="4"/>
      <c r="G4" s="4"/>
      <c r="H4" s="4"/>
      <c r="I4" s="10" t="s">
        <v>44</v>
      </c>
      <c r="J4" s="11" t="n">
        <v>12</v>
      </c>
      <c r="K4" s="12" t="s">
        <v>45</v>
      </c>
      <c r="L4" s="11" t="n">
        <v>9.5</v>
      </c>
    </row>
    <row r="5" customFormat="false" ht="30" hidden="false" customHeight="true" outlineLevel="0" collapsed="false">
      <c r="A5" s="13" t="s">
        <v>46</v>
      </c>
      <c r="B5" s="14" t="n">
        <f aca="false">SUMPRODUCT(--(((C9:C220&lt;&gt;0)+(H9:H220&lt;&gt;0)&gt;0)*((D9:D220=0)*(I9:I220=0))))</f>
        <v>65</v>
      </c>
      <c r="C5" s="13" t="s">
        <v>47</v>
      </c>
      <c r="D5" s="14" t="n">
        <f aca="false">SUMPRODUCT(--(((D9:D220&lt;&gt;0)+(I9:I220&lt;&gt;0)&gt;0)*((C9:C220=0)*(H9:H220=0))))</f>
        <v>44</v>
      </c>
      <c r="I5" s="13" t="s">
        <v>48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49</v>
      </c>
      <c r="B6" s="14" t="n">
        <f aca="false">SUMPRODUCT(--(((C9:C220&lt;&gt;0)+(H9:H220&lt;&gt;0)&gt;0)*((D9:D220=0)*(I9:I220=0)))*C9:C220)</f>
        <v>188</v>
      </c>
      <c r="C6" s="13" t="s">
        <v>50</v>
      </c>
      <c r="D6" s="14" t="n">
        <f aca="false">SUMPRODUCT(--(((C9:C220&lt;&gt;0)+(H9:H220&lt;&gt;0)&gt;0)*((D9:D220=0)*(I9:I220=0)))*H9:H220)</f>
        <v>13951.94</v>
      </c>
      <c r="E6" s="13" t="s">
        <v>51</v>
      </c>
      <c r="F6" s="14" t="n">
        <f aca="false">SUMPRODUCT(--(((D9:D220&lt;&gt;0)+(I9:I220&lt;&gt;0)&gt;0)*((C9:C220=0)*(H9:H220=0)))*D9:D220)</f>
        <v>123</v>
      </c>
      <c r="G6" s="13" t="s">
        <v>52</v>
      </c>
      <c r="H6" s="14" t="n">
        <f aca="false">SUMPRODUCT(--(((D9:D220&lt;&gt;0)+(I9:I220&lt;&gt;0)&gt;0)*((C9:C220=0)*(H9:H220=0)))*I9:I220)</f>
        <v>10518.59</v>
      </c>
    </row>
    <row r="8" customFormat="false" ht="43.5" hidden="false" customHeight="true" outlineLevel="0" collapsed="false">
      <c r="A8" s="5" t="s">
        <v>53</v>
      </c>
      <c r="B8" s="5" t="s">
        <v>54</v>
      </c>
      <c r="C8" s="5" t="s">
        <v>15</v>
      </c>
      <c r="D8" s="16" t="s">
        <v>55</v>
      </c>
      <c r="E8" s="5" t="s">
        <v>56</v>
      </c>
      <c r="F8" s="5" t="s">
        <v>57</v>
      </c>
      <c r="G8" s="5" t="s">
        <v>58</v>
      </c>
      <c r="H8" s="5" t="s">
        <v>18</v>
      </c>
      <c r="I8" s="16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customFormat="false" ht="15" hidden="false" customHeight="false" outlineLevel="0" collapsed="false">
      <c r="A9" s="7" t="s">
        <v>100</v>
      </c>
      <c r="B9" s="7" t="str">
        <f aca="false">IFERROR(INDEX('Source'!$C:$C,MATCH($A9,'Source'!$B:$B,0)),"")</f>
        <v>כרית שינה חלומית</v>
      </c>
      <c r="C9" s="8" t="n">
        <f aca="false">SUMIFS('Source'!$D:$D,'Source'!$A:$A,"157464 מדיקל הצפון ב.מ-חורי",'Source'!$B:$B,$A9)</f>
        <v>12</v>
      </c>
      <c r="D9" s="8" t="n">
        <f aca="false">SUMIFS('Source'!$F:$F,'Source'!$A:$A,"157464 מדיקל הצפון ב.מ-חורי",'Source'!$B:$B,$A9)</f>
        <v>0</v>
      </c>
      <c r="E9" s="8" t="n">
        <f aca="false">D9*$J$5</f>
        <v>0</v>
      </c>
      <c r="F9" s="8" t="n">
        <f aca="false">E9-C9</f>
        <v>-12</v>
      </c>
      <c r="G9" s="9" t="n">
        <f aca="false">IF(AND(C9=0,E9=0),0,IF(C9=0,"New",(E9-C9)/C9))</f>
        <v>-1</v>
      </c>
      <c r="H9" s="8" t="n">
        <f aca="false">SUMIFS('Source'!$E:$E,'Source'!$A:$A,"157464 מדיקל הצפון ב.מ-חורי",'Source'!$B:$B,$A9)</f>
        <v>1554.98</v>
      </c>
      <c r="I9" s="8" t="n">
        <f aca="false">SUMIFS('Source'!$G:$G,'Source'!$A:$A,"157464 מדיקל הצפון ב.מ-חורי",'Source'!$B:$B,$A9)</f>
        <v>0</v>
      </c>
      <c r="J9" s="8" t="n">
        <f aca="false">I9*$J$5</f>
        <v>0</v>
      </c>
      <c r="K9" s="8" t="n">
        <f aca="false">J9-H9</f>
        <v>-1554.98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321</v>
      </c>
      <c r="B10" s="7" t="str">
        <f aca="false">IFERROR(INDEX('Source'!$C:$C,MATCH($A10,'Source'!$B:$B,0)),"")</f>
        <v>חגורת קיבוע לכתף</v>
      </c>
      <c r="C10" s="8" t="n">
        <f aca="false">SUMIFS('Source'!$D:$D,'Source'!$A:$A,"157464 מדיקל הצפון ב.מ-חורי",'Source'!$B:$B,$A10)</f>
        <v>9</v>
      </c>
      <c r="D10" s="8" t="n">
        <f aca="false">SUMIFS('Source'!$F:$F,'Source'!$A:$A,"157464 מדיקל הצפון ב.מ-חורי",'Source'!$B:$B,$A10)</f>
        <v>18</v>
      </c>
      <c r="E10" s="8" t="n">
        <f aca="false">D10*$J$5</f>
        <v>22.7368421052632</v>
      </c>
      <c r="F10" s="8" t="n">
        <f aca="false">E10-C10</f>
        <v>13.7368421052632</v>
      </c>
      <c r="G10" s="9" t="n">
        <f aca="false">IF(AND(C10=0,E10=0),0,IF(C10=0,"New",(E10-C10)/C10))</f>
        <v>1.52631578947368</v>
      </c>
      <c r="H10" s="8" t="n">
        <f aca="false">SUMIFS('Source'!$E:$E,'Source'!$A:$A,"157464 מדיקל הצפון ב.מ-חורי",'Source'!$B:$B,$A10)</f>
        <v>1264.5</v>
      </c>
      <c r="I10" s="8" t="n">
        <f aca="false">SUMIFS('Source'!$G:$G,'Source'!$A:$A,"157464 מדיקל הצפון ב.מ-חורי",'Source'!$B:$B,$A10)</f>
        <v>2530.32</v>
      </c>
      <c r="J10" s="8" t="n">
        <f aca="false">I10*$J$5</f>
        <v>3196.19368421053</v>
      </c>
      <c r="K10" s="8" t="n">
        <f aca="false">J10-H10</f>
        <v>1931.69368421053</v>
      </c>
      <c r="L10" s="9" t="n">
        <f aca="false">IF(AND(H10=0,J10=0),0,IF(H10=0,"New",(J10-H10)/H10))</f>
        <v>1.52763438846226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152</v>
      </c>
      <c r="B11" s="7" t="str">
        <f aca="false">IFERROR(INDEX('Source'!$C:$C,MATCH($A11,'Source'!$B:$B,0)),"")</f>
        <v>תומך ברך גנושילד</v>
      </c>
      <c r="C11" s="8" t="n">
        <f aca="false">SUMIFS('Source'!$D:$D,'Source'!$A:$A,"157464 מדיקל הצפון ב.מ-חורי",'Source'!$B:$B,$A11)</f>
        <v>6</v>
      </c>
      <c r="D11" s="8" t="n">
        <f aca="false">SUMIFS('Source'!$F:$F,'Source'!$A:$A,"157464 מדיקל הצפון ב.מ-חורי",'Source'!$B:$B,$A11)</f>
        <v>16</v>
      </c>
      <c r="E11" s="8" t="n">
        <f aca="false">D11*$J$5</f>
        <v>20.2105263157895</v>
      </c>
      <c r="F11" s="8" t="n">
        <f aca="false">E11-C11</f>
        <v>14.2105263157895</v>
      </c>
      <c r="G11" s="9" t="n">
        <f aca="false">IF(AND(C11=0,E11=0),0,IF(C11=0,"New",(E11-C11)/C11))</f>
        <v>2.36842105263158</v>
      </c>
      <c r="H11" s="8" t="n">
        <f aca="false">SUMIFS('Source'!$E:$E,'Source'!$A:$A,"157464 מדיקל הצפון ב.מ-חורי",'Source'!$B:$B,$A11)</f>
        <v>720</v>
      </c>
      <c r="I11" s="8" t="n">
        <f aca="false">SUMIFS('Source'!$G:$G,'Source'!$A:$A,"157464 מדיקל הצפון ב.מ-חורי",'Source'!$B:$B,$A11)</f>
        <v>1920</v>
      </c>
      <c r="J11" s="8" t="n">
        <f aca="false">I11*$J$5</f>
        <v>2425.26315789474</v>
      </c>
      <c r="K11" s="8" t="n">
        <f aca="false">J11-H11</f>
        <v>1705.26315789474</v>
      </c>
      <c r="L11" s="9" t="n">
        <f aca="false">IF(AND(H11=0,J11=0),0,IF(H11=0,"New",(J11-H11)/H11))</f>
        <v>2.36842105263158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1013</v>
      </c>
      <c r="B12" s="7" t="str">
        <f aca="false">IFERROR(INDEX('Source'!$C:$C,MATCH($A12,'Source'!$B:$B,0)),"")</f>
        <v>מגן ברך ארוך עם כרית סיליקון</v>
      </c>
      <c r="C12" s="8" t="n">
        <f aca="false">SUMIFS('Source'!$D:$D,'Source'!$A:$A,"157464 מדיקל הצפון ב.מ-חורי",'Source'!$B:$B,$A12)</f>
        <v>12</v>
      </c>
      <c r="D12" s="8" t="n">
        <f aca="false">SUMIFS('Source'!$F:$F,'Source'!$A:$A,"157464 מדיקל הצפון ב.מ-חורי",'Source'!$B:$B,$A12)</f>
        <v>0</v>
      </c>
      <c r="E12" s="8" t="n">
        <f aca="false">D12*$J$5</f>
        <v>0</v>
      </c>
      <c r="F12" s="8" t="n">
        <f aca="false">E12-C12</f>
        <v>-12</v>
      </c>
      <c r="G12" s="9" t="n">
        <f aca="false">IF(AND(C12=0,E12=0),0,IF(C12=0,"New",(E12-C12)/C12))</f>
        <v>-1</v>
      </c>
      <c r="H12" s="8" t="n">
        <f aca="false">SUMIFS('Source'!$E:$E,'Source'!$A:$A,"157464 מדיקל הצפון ב.מ-חורי",'Source'!$B:$B,$A12)</f>
        <v>1071.02</v>
      </c>
      <c r="I12" s="8" t="n">
        <f aca="false">SUMIFS('Source'!$G:$G,'Source'!$A:$A,"157464 מדיקל הצפון ב.מ-חורי",'Source'!$B:$B,$A12)</f>
        <v>0</v>
      </c>
      <c r="J12" s="8" t="n">
        <f aca="false">I12*$J$5</f>
        <v>0</v>
      </c>
      <c r="K12" s="8" t="n">
        <f aca="false">J12-H12</f>
        <v>-1071.02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1014</v>
      </c>
      <c r="B13" s="7" t="str">
        <f aca="false">IFERROR(INDEX('Source'!$C:$C,MATCH($A13,'Source'!$B:$B,0)),"")</f>
        <v>מגן קרסול + סיליקון</v>
      </c>
      <c r="C13" s="8" t="n">
        <f aca="false">SUMIFS('Source'!$D:$D,'Source'!$A:$A,"157464 מדיקל הצפון ב.מ-חורי",'Source'!$B:$B,$A13)</f>
        <v>5</v>
      </c>
      <c r="D13" s="8" t="n">
        <f aca="false">SUMIFS('Source'!$F:$F,'Source'!$A:$A,"157464 מדיקל הצפון ב.מ-חורי",'Source'!$B:$B,$A13)</f>
        <v>0</v>
      </c>
      <c r="E13" s="8" t="n">
        <f aca="false">D13*$J$5</f>
        <v>0</v>
      </c>
      <c r="F13" s="8" t="n">
        <f aca="false">E13-C13</f>
        <v>-5</v>
      </c>
      <c r="G13" s="9" t="n">
        <f aca="false">IF(AND(C13=0,E13=0),0,IF(C13=0,"New",(E13-C13)/C13))</f>
        <v>-1</v>
      </c>
      <c r="H13" s="8" t="n">
        <f aca="false">SUMIFS('Source'!$E:$E,'Source'!$A:$A,"157464 מדיקל הצפון ב.מ-חורי",'Source'!$B:$B,$A13)</f>
        <v>1063.77</v>
      </c>
      <c r="I13" s="8" t="n">
        <f aca="false">SUMIFS('Source'!$G:$G,'Source'!$A:$A,"157464 מדיקל הצפון ב.מ-חורי",'Source'!$B:$B,$A13)</f>
        <v>0</v>
      </c>
      <c r="J13" s="8" t="n">
        <f aca="false">I13*$J$5</f>
        <v>0</v>
      </c>
      <c r="K13" s="8" t="n">
        <f aca="false">J13-H13</f>
        <v>-1063.77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252</v>
      </c>
      <c r="B14" s="7" t="str">
        <f aca="false">IFERROR(INDEX('Source'!$C:$C,MATCH($A14,'Source'!$B:$B,0)),"")</f>
        <v>תומך ברך גנושילד</v>
      </c>
      <c r="C14" s="8" t="n">
        <f aca="false">SUMIFS('Source'!$D:$D,'Source'!$A:$A,"157464 מדיקל הצפון ב.מ-חורי",'Source'!$B:$B,$A14)</f>
        <v>5</v>
      </c>
      <c r="D14" s="8" t="n">
        <f aca="false">SUMIFS('Source'!$F:$F,'Source'!$A:$A,"157464 מדיקל הצפון ב.מ-חורי",'Source'!$B:$B,$A14)</f>
        <v>11</v>
      </c>
      <c r="E14" s="8" t="n">
        <f aca="false">D14*$J$5</f>
        <v>13.8947368421053</v>
      </c>
      <c r="F14" s="8" t="n">
        <f aca="false">E14-C14</f>
        <v>8.89473684210526</v>
      </c>
      <c r="G14" s="9" t="n">
        <f aca="false">IF(AND(C14=0,E14=0),0,IF(C14=0,"New",(E14-C14)/C14))</f>
        <v>1.77894736842105</v>
      </c>
      <c r="H14" s="8" t="n">
        <f aca="false">SUMIFS('Source'!$E:$E,'Source'!$A:$A,"157464 מדיקל הצפון ב.מ-חורי",'Source'!$B:$B,$A14)</f>
        <v>360.01</v>
      </c>
      <c r="I14" s="8" t="n">
        <f aca="false">SUMIFS('Source'!$G:$G,'Source'!$A:$A,"157464 מדיקל הצפון ב.מ-חורי",'Source'!$B:$B,$A14)</f>
        <v>1320</v>
      </c>
      <c r="J14" s="8" t="n">
        <f aca="false">I14*$J$5</f>
        <v>1667.36842105263</v>
      </c>
      <c r="K14" s="8" t="n">
        <f aca="false">J14-H14</f>
        <v>1307.35842105263</v>
      </c>
      <c r="L14" s="9" t="n">
        <f aca="false">IF(AND(H14=0,J14=0),0,IF(H14=0,"New",(J14-H14)/H14))</f>
        <v>3.63145029597131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154</v>
      </c>
      <c r="B15" s="7" t="str">
        <f aca="false">IFERROR(INDEX('Source'!$C:$C,MATCH($A15,'Source'!$B:$B,0)),"")</f>
        <v>חבק טניס שחור</v>
      </c>
      <c r="C15" s="8" t="n">
        <f aca="false">SUMIFS('Source'!$D:$D,'Source'!$A:$A,"157464 מדיקל הצפון ב.מ-חורי",'Source'!$B:$B,$A15)</f>
        <v>0</v>
      </c>
      <c r="D15" s="8" t="n">
        <f aca="false">SUMIFS('Source'!$F:$F,'Source'!$A:$A,"157464 מדיקל הצפון ב.מ-חורי",'Source'!$B:$B,$A15)</f>
        <v>14</v>
      </c>
      <c r="E15" s="8" t="n">
        <f aca="false">D15*$J$5</f>
        <v>17.6842105263158</v>
      </c>
      <c r="F15" s="8" t="n">
        <f aca="false">E15-C15</f>
        <v>17.6842105263158</v>
      </c>
      <c r="G15" s="9" t="str">
        <f aca="false">IF(AND(C15=0,E15=0),0,IF(C15=0,"New",(E15-C15)/C15))</f>
        <v>New</v>
      </c>
      <c r="H15" s="8" t="n">
        <f aca="false">SUMIFS('Source'!$E:$E,'Source'!$A:$A,"157464 מדיקל הצפון ב.מ-חורי",'Source'!$B:$B,$A15)</f>
        <v>0</v>
      </c>
      <c r="I15" s="8" t="n">
        <f aca="false">SUMIFS('Source'!$G:$G,'Source'!$A:$A,"157464 מדיקל הצפון ב.מ-חורי",'Source'!$B:$B,$A15)</f>
        <v>910.04</v>
      </c>
      <c r="J15" s="8" t="n">
        <f aca="false">I15*$J$5</f>
        <v>1149.52421052632</v>
      </c>
      <c r="K15" s="8" t="n">
        <f aca="false">J15-H15</f>
        <v>1149.52421052632</v>
      </c>
      <c r="L15" s="9" t="str">
        <f aca="false">IF(AND(H15=0,J15=0),0,IF(H15=0,"New",(J15-H15)/H15))</f>
        <v>New</v>
      </c>
      <c r="M15" s="7" t="str">
        <f aca="false">IF(AND(OR(C15&lt;&gt;0,H15&lt;&gt;0),D15=0,I15=0),"DROP",IF(AND(OR(D15&lt;&gt;0,I15&lt;&gt;0),C15=0,H15=0),"NEW",""))</f>
        <v>NEW</v>
      </c>
    </row>
    <row r="16" customFormat="false" ht="15" hidden="false" customHeight="false" outlineLevel="0" collapsed="false">
      <c r="A16" s="7" t="s">
        <v>155</v>
      </c>
      <c r="B16" s="7" t="str">
        <f aca="false">IFERROR(INDEX('Source'!$C:$C,MATCH($A16,'Source'!$B:$B,0)),"")</f>
        <v>חגורת קיבוע לכתף</v>
      </c>
      <c r="C16" s="8" t="n">
        <f aca="false">SUMIFS('Source'!$D:$D,'Source'!$A:$A,"157464 מדיקל הצפון ב.מ-חורי",'Source'!$B:$B,$A16)</f>
        <v>7</v>
      </c>
      <c r="D16" s="8" t="n">
        <f aca="false">SUMIFS('Source'!$F:$F,'Source'!$A:$A,"157464 מדיקל הצפון ב.מ-חורי",'Source'!$B:$B,$A16)</f>
        <v>13</v>
      </c>
      <c r="E16" s="8" t="n">
        <f aca="false">D16*$J$5</f>
        <v>16.4210526315789</v>
      </c>
      <c r="F16" s="8" t="n">
        <f aca="false">E16-C16</f>
        <v>9.42105263157895</v>
      </c>
      <c r="G16" s="9" t="n">
        <f aca="false">IF(AND(C16=0,E16=0),0,IF(C16=0,"New",(E16-C16)/C16))</f>
        <v>1.34586466165414</v>
      </c>
      <c r="H16" s="8" t="n">
        <f aca="false">SUMIFS('Source'!$E:$E,'Source'!$A:$A,"157464 מדיקל הצפון ב.מ-חורי",'Source'!$B:$B,$A16)</f>
        <v>984.02</v>
      </c>
      <c r="I16" s="8" t="n">
        <f aca="false">SUMIFS('Source'!$G:$G,'Source'!$A:$A,"157464 מדיקל הצפון ב.מ-חורי",'Source'!$B:$B,$A16)</f>
        <v>1827.45</v>
      </c>
      <c r="J16" s="8" t="n">
        <f aca="false">I16*$J$5</f>
        <v>2308.35789473684</v>
      </c>
      <c r="K16" s="8" t="n">
        <f aca="false">J16-H16</f>
        <v>1324.33789473684</v>
      </c>
      <c r="L16" s="9" t="n">
        <f aca="false">IF(AND(H16=0,J16=0),0,IF(H16=0,"New",(J16-H16)/H16))</f>
        <v>1.34584448968196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485</v>
      </c>
      <c r="B17" s="7" t="str">
        <f aca="false">IFERROR(INDEX('Source'!$C:$C,MATCH($A17,'Source'!$B:$B,0)),"")</f>
        <v>סד יד דו צדדי</v>
      </c>
      <c r="C17" s="8" t="n">
        <f aca="false">SUMIFS('Source'!$D:$D,'Source'!$A:$A,"157464 מדיקל הצפון ב.מ-חורי",'Source'!$B:$B,$A17)</f>
        <v>8</v>
      </c>
      <c r="D17" s="8" t="n">
        <f aca="false">SUMIFS('Source'!$F:$F,'Source'!$A:$A,"157464 מדיקל הצפון ב.מ-חורי",'Source'!$B:$B,$A17)</f>
        <v>0</v>
      </c>
      <c r="E17" s="8" t="n">
        <f aca="false">D17*$J$5</f>
        <v>0</v>
      </c>
      <c r="F17" s="8" t="n">
        <f aca="false">E17-C17</f>
        <v>-8</v>
      </c>
      <c r="G17" s="9" t="n">
        <f aca="false">IF(AND(C17=0,E17=0),0,IF(C17=0,"New",(E17-C17)/C17))</f>
        <v>-1</v>
      </c>
      <c r="H17" s="8" t="n">
        <f aca="false">SUMIFS('Source'!$E:$E,'Source'!$A:$A,"157464 מדיקל הצפון ב.מ-חורי",'Source'!$B:$B,$A17)</f>
        <v>824.57</v>
      </c>
      <c r="I17" s="8" t="n">
        <f aca="false">SUMIFS('Source'!$G:$G,'Source'!$A:$A,"157464 מדיקל הצפון ב.מ-חורי",'Source'!$B:$B,$A17)</f>
        <v>0</v>
      </c>
      <c r="J17" s="8" t="n">
        <f aca="false">I17*$J$5</f>
        <v>0</v>
      </c>
      <c r="K17" s="8" t="n">
        <f aca="false">J17-H17</f>
        <v>-824.57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128</v>
      </c>
      <c r="B18" s="7" t="str">
        <f aca="false">IFERROR(INDEX('Source'!$C:$C,MATCH($A18,'Source'!$B:$B,0)),"")</f>
        <v>תומך ברך גנושילד</v>
      </c>
      <c r="C18" s="8" t="n">
        <f aca="false">SUMIFS('Source'!$D:$D,'Source'!$A:$A,"157464 מדיקל הצפון ב.מ-חורי",'Source'!$B:$B,$A18)</f>
        <v>6</v>
      </c>
      <c r="D18" s="8" t="n">
        <f aca="false">SUMIFS('Source'!$F:$F,'Source'!$A:$A,"157464 מדיקל הצפון ב.מ-חורי",'Source'!$B:$B,$A18)</f>
        <v>15</v>
      </c>
      <c r="E18" s="8" t="n">
        <f aca="false">D18*$J$5</f>
        <v>18.9473684210526</v>
      </c>
      <c r="F18" s="8" t="n">
        <f aca="false">E18-C18</f>
        <v>12.9473684210526</v>
      </c>
      <c r="G18" s="9" t="n">
        <f aca="false">IF(AND(C18=0,E18=0),0,IF(C18=0,"New",(E18-C18)/C18))</f>
        <v>2.15789473684211</v>
      </c>
      <c r="H18" s="8" t="n">
        <f aca="false">SUMIFS('Source'!$E:$E,'Source'!$A:$A,"157464 מדיקל הצפון ב.מ-חורי",'Source'!$B:$B,$A18)</f>
        <v>720</v>
      </c>
      <c r="I18" s="8" t="n">
        <f aca="false">SUMIFS('Source'!$G:$G,'Source'!$A:$A,"157464 מדיקל הצפון ב.מ-חורי",'Source'!$B:$B,$A18)</f>
        <v>1440.02</v>
      </c>
      <c r="J18" s="8" t="n">
        <f aca="false">I18*$J$5</f>
        <v>1818.97263157895</v>
      </c>
      <c r="K18" s="8" t="n">
        <f aca="false">J18-H18</f>
        <v>1098.97263157895</v>
      </c>
      <c r="L18" s="9" t="n">
        <f aca="false">IF(AND(H18=0,J18=0),0,IF(H18=0,"New",(J18-H18)/H18))</f>
        <v>1.52635087719298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1015</v>
      </c>
      <c r="B19" s="7" t="str">
        <f aca="false">IFERROR(INDEX('Source'!$C:$C,MATCH($A19,'Source'!$B:$B,0)),"")</f>
        <v>מגן קרסול+כרית סיליקון שחור</v>
      </c>
      <c r="C19" s="8" t="n">
        <f aca="false">SUMIFS('Source'!$D:$D,'Source'!$A:$A,"157464 מדיקל הצפון ב.מ-חורי",'Source'!$B:$B,$A19)</f>
        <v>8</v>
      </c>
      <c r="D19" s="8" t="n">
        <f aca="false">SUMIFS('Source'!$F:$F,'Source'!$A:$A,"157464 מדיקל הצפון ב.מ-חורי",'Source'!$B:$B,$A19)</f>
        <v>2</v>
      </c>
      <c r="E19" s="8" t="n">
        <f aca="false">D19*$J$5</f>
        <v>2.52631578947368</v>
      </c>
      <c r="F19" s="8" t="n">
        <f aca="false">E19-C19</f>
        <v>-5.47368421052632</v>
      </c>
      <c r="G19" s="9" t="n">
        <f aca="false">IF(AND(C19=0,E19=0),0,IF(C19=0,"New",(E19-C19)/C19))</f>
        <v>-0.68421052631579</v>
      </c>
      <c r="H19" s="8" t="n">
        <f aca="false">SUMIFS('Source'!$E:$E,'Source'!$A:$A,"157464 מדיקל הצפון ב.מ-חורי",'Source'!$B:$B,$A19)</f>
        <v>791.64</v>
      </c>
      <c r="I19" s="8" t="n">
        <f aca="false">SUMIFS('Source'!$G:$G,'Source'!$A:$A,"157464 מדיקל הצפון ב.מ-חורי",'Source'!$B:$B,$A19)</f>
        <v>139.99</v>
      </c>
      <c r="J19" s="8" t="n">
        <f aca="false">I19*$J$5</f>
        <v>176.829473684211</v>
      </c>
      <c r="K19" s="8" t="n">
        <f aca="false">J19-H19</f>
        <v>-614.81052631579</v>
      </c>
      <c r="L19" s="9" t="n">
        <f aca="false">IF(AND(H19=0,J19=0),0,IF(H19=0,"New",(J19-H19)/H19))</f>
        <v>-0.776628930215489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1016</v>
      </c>
      <c r="B20" s="7" t="str">
        <f aca="false">IFERROR(INDEX('Source'!$C:$C,MATCH($A20,'Source'!$B:$B,0)),"")</f>
        <v>מגן ברך ארוך עם כרית סיליקון</v>
      </c>
      <c r="C20" s="8" t="n">
        <f aca="false">SUMIFS('Source'!$D:$D,'Source'!$A:$A,"157464 מדיקל הצפון ב.מ-חורי",'Source'!$B:$B,$A20)</f>
        <v>7</v>
      </c>
      <c r="D20" s="8" t="n">
        <f aca="false">SUMIFS('Source'!$F:$F,'Source'!$A:$A,"157464 מדיקל הצפון ב.מ-חורי",'Source'!$B:$B,$A20)</f>
        <v>0</v>
      </c>
      <c r="E20" s="8" t="n">
        <f aca="false">D20*$J$5</f>
        <v>0</v>
      </c>
      <c r="F20" s="8" t="n">
        <f aca="false">E20-C20</f>
        <v>-7</v>
      </c>
      <c r="G20" s="9" t="n">
        <f aca="false">IF(AND(C20=0,E20=0),0,IF(C20=0,"New",(E20-C20)/C20))</f>
        <v>-1</v>
      </c>
      <c r="H20" s="8" t="n">
        <f aca="false">SUMIFS('Source'!$E:$E,'Source'!$A:$A,"157464 מדיקל הצפון ב.מ-חורי",'Source'!$B:$B,$A20)</f>
        <v>609.81</v>
      </c>
      <c r="I20" s="8" t="n">
        <f aca="false">SUMIFS('Source'!$G:$G,'Source'!$A:$A,"157464 מדיקל הצפון ב.מ-חורי",'Source'!$B:$B,$A20)</f>
        <v>0</v>
      </c>
      <c r="J20" s="8" t="n">
        <f aca="false">I20*$J$5</f>
        <v>0</v>
      </c>
      <c r="K20" s="8" t="n">
        <f aca="false">J20-H20</f>
        <v>-609.81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513</v>
      </c>
      <c r="B21" s="7" t="str">
        <f aca="false">IFERROR(INDEX('Source'!$C:$C,MATCH($A21,'Source'!$B:$B,0)),"")</f>
        <v>חגורה אוורירית איטלקית</v>
      </c>
      <c r="C21" s="8" t="n">
        <f aca="false">SUMIFS('Source'!$D:$D,'Source'!$A:$A,"157464 מדיקל הצפון ב.מ-חורי",'Source'!$B:$B,$A21)</f>
        <v>5</v>
      </c>
      <c r="D21" s="8" t="n">
        <f aca="false">SUMIFS('Source'!$F:$F,'Source'!$A:$A,"157464 מדיקל הצפון ב.מ-חורי",'Source'!$B:$B,$A21)</f>
        <v>2</v>
      </c>
      <c r="E21" s="8" t="n">
        <f aca="false">D21*$J$5</f>
        <v>2.52631578947368</v>
      </c>
      <c r="F21" s="8" t="n">
        <f aca="false">E21-C21</f>
        <v>-2.47368421052632</v>
      </c>
      <c r="G21" s="9" t="n">
        <f aca="false">IF(AND(C21=0,E21=0),0,IF(C21=0,"New",(E21-C21)/C21))</f>
        <v>-0.494736842105263</v>
      </c>
      <c r="H21" s="8" t="n">
        <f aca="false">SUMIFS('Source'!$E:$E,'Source'!$A:$A,"157464 מדיקל הצפון ב.מ-חורי",'Source'!$B:$B,$A21)</f>
        <v>1020</v>
      </c>
      <c r="I21" s="8" t="n">
        <f aca="false">SUMIFS('Source'!$G:$G,'Source'!$A:$A,"157464 מדיקל הצפון ב.מ-חורי",'Source'!$B:$B,$A21)</f>
        <v>439.99</v>
      </c>
      <c r="J21" s="8" t="n">
        <f aca="false">I21*$J$5</f>
        <v>555.776842105263</v>
      </c>
      <c r="K21" s="8" t="n">
        <f aca="false">J21-H21</f>
        <v>-464.223157894737</v>
      </c>
      <c r="L21" s="9" t="n">
        <f aca="false">IF(AND(H21=0,J21=0),0,IF(H21=0,"New",(J21-H21)/H21))</f>
        <v>-0.455120743034056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643</v>
      </c>
      <c r="B22" s="7" t="str">
        <f aca="false">IFERROR(INDEX('Source'!$C:$C,MATCH($A22,'Source'!$B:$B,0)),"")</f>
        <v>כרית סיליקון לעקב</v>
      </c>
      <c r="C22" s="8" t="n">
        <f aca="false">SUMIFS('Source'!$D:$D,'Source'!$A:$A,"157464 מדיקל הצפון ב.מ-חורי",'Source'!$B:$B,$A22)</f>
        <v>0</v>
      </c>
      <c r="D22" s="8" t="n">
        <f aca="false">SUMIFS('Source'!$F:$F,'Source'!$A:$A,"157464 מדיקל הצפון ב.מ-חורי",'Source'!$B:$B,$A22)</f>
        <v>6</v>
      </c>
      <c r="E22" s="8" t="n">
        <f aca="false">D22*$J$5</f>
        <v>7.57894736842105</v>
      </c>
      <c r="F22" s="8" t="n">
        <f aca="false">E22-C22</f>
        <v>7.57894736842105</v>
      </c>
      <c r="G22" s="9" t="str">
        <f aca="false">IF(AND(C22=0,E22=0),0,IF(C22=0,"New",(E22-C22)/C22))</f>
        <v>New</v>
      </c>
      <c r="H22" s="8" t="n">
        <f aca="false">SUMIFS('Source'!$E:$E,'Source'!$A:$A,"157464 מדיקל הצפון ב.מ-חורי",'Source'!$B:$B,$A22)</f>
        <v>0</v>
      </c>
      <c r="I22" s="8" t="n">
        <f aca="false">SUMIFS('Source'!$G:$G,'Source'!$A:$A,"157464 מדיקל הצפון ב.מ-חורי",'Source'!$B:$B,$A22)</f>
        <v>553.77</v>
      </c>
      <c r="J22" s="8" t="n">
        <f aca="false">I22*$J$5</f>
        <v>699.498947368421</v>
      </c>
      <c r="K22" s="8" t="n">
        <f aca="false">J22-H22</f>
        <v>699.498947368421</v>
      </c>
      <c r="L22" s="9" t="str">
        <f aca="false">IF(AND(H22=0,J22=0),0,IF(H22=0,"New",(J22-H22)/H22))</f>
        <v>New</v>
      </c>
      <c r="M22" s="7" t="str">
        <f aca="false">IF(AND(OR(C22&lt;&gt;0,H22&lt;&gt;0),D22=0,I22=0),"DROP",IF(AND(OR(D22&lt;&gt;0,I22&lt;&gt;0),C22=0,H22=0),"NEW",""))</f>
        <v>NEW</v>
      </c>
    </row>
    <row r="23" customFormat="false" ht="15" hidden="false" customHeight="false" outlineLevel="0" collapsed="false">
      <c r="A23" s="7" t="s">
        <v>143</v>
      </c>
      <c r="B23" s="7" t="str">
        <f aca="false">IFERROR(INDEX('Source'!$C:$C,MATCH($A23,'Source'!$B:$B,0)),"")</f>
        <v>סד יד דו צדדי</v>
      </c>
      <c r="C23" s="8" t="n">
        <f aca="false">SUMIFS('Source'!$D:$D,'Source'!$A:$A,"157464 מדיקל הצפון ב.מ-חורי",'Source'!$B:$B,$A23)</f>
        <v>9</v>
      </c>
      <c r="D23" s="8" t="n">
        <f aca="false">SUMIFS('Source'!$F:$F,'Source'!$A:$A,"157464 מדיקל הצפון ב.מ-חורי",'Source'!$B:$B,$A23)</f>
        <v>18</v>
      </c>
      <c r="E23" s="8" t="n">
        <f aca="false">D23*$J$5</f>
        <v>22.7368421052632</v>
      </c>
      <c r="F23" s="8" t="n">
        <f aca="false">E23-C23</f>
        <v>13.7368421052632</v>
      </c>
      <c r="G23" s="9" t="n">
        <f aca="false">IF(AND(C23=0,E23=0),0,IF(C23=0,"New",(E23-C23)/C23))</f>
        <v>1.52631578947368</v>
      </c>
      <c r="H23" s="8" t="n">
        <f aca="false">SUMIFS('Source'!$E:$E,'Source'!$A:$A,"157464 מדיקל הצפון ב.מ-חורי",'Source'!$B:$B,$A23)</f>
        <v>540</v>
      </c>
      <c r="I23" s="8" t="n">
        <f aca="false">SUMIFS('Source'!$G:$G,'Source'!$A:$A,"157464 מדיקל הצפון ב.מ-חורי",'Source'!$B:$B,$A23)</f>
        <v>1080</v>
      </c>
      <c r="J23" s="8" t="n">
        <f aca="false">I23*$J$5</f>
        <v>1364.21052631579</v>
      </c>
      <c r="K23" s="8" t="n">
        <f aca="false">J23-H23</f>
        <v>824.210526315789</v>
      </c>
      <c r="L23" s="9" t="n">
        <f aca="false">IF(AND(H23=0,J23=0),0,IF(H23=0,"New",(J23-H23)/H23))</f>
        <v>1.52631578947368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655</v>
      </c>
      <c r="B24" s="7" t="str">
        <f aca="false">IFERROR(INDEX('Source'!$C:$C,MATCH($A24,'Source'!$B:$B,0)),"")</f>
        <v>חגורה למנותחי בית החזה</v>
      </c>
      <c r="C24" s="8" t="n">
        <f aca="false">SUMIFS('Source'!$D:$D,'Source'!$A:$A,"157464 מדיקל הצפון ב.מ-חורי",'Source'!$B:$B,$A24)</f>
        <v>0</v>
      </c>
      <c r="D24" s="8" t="n">
        <f aca="false">SUMIFS('Source'!$F:$F,'Source'!$A:$A,"157464 מדיקל הצפון ב.מ-חורי",'Source'!$B:$B,$A24)</f>
        <v>4</v>
      </c>
      <c r="E24" s="8" t="n">
        <f aca="false">D24*$J$5</f>
        <v>5.05263157894737</v>
      </c>
      <c r="F24" s="8" t="n">
        <f aca="false">E24-C24</f>
        <v>5.05263157894737</v>
      </c>
      <c r="G24" s="9" t="str">
        <f aca="false">IF(AND(C24=0,E24=0),0,IF(C24=0,"New",(E24-C24)/C24))</f>
        <v>New</v>
      </c>
      <c r="H24" s="8" t="n">
        <f aca="false">SUMIFS('Source'!$E:$E,'Source'!$A:$A,"157464 מדיקל הצפון ב.מ-חורי",'Source'!$B:$B,$A24)</f>
        <v>0</v>
      </c>
      <c r="I24" s="8" t="n">
        <f aca="false">SUMIFS('Source'!$G:$G,'Source'!$A:$A,"157464 מדיקל הצפון ב.מ-חורי",'Source'!$B:$B,$A24)</f>
        <v>519.99</v>
      </c>
      <c r="J24" s="8" t="n">
        <f aca="false">I24*$J$5</f>
        <v>656.829473684211</v>
      </c>
      <c r="K24" s="8" t="n">
        <f aca="false">J24-H24</f>
        <v>656.829473684211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122</v>
      </c>
      <c r="B25" s="7" t="str">
        <f aca="false">IFERROR(INDEX('Source'!$C:$C,MATCH($A25,'Source'!$B:$B,0)),"")</f>
        <v>תומך ברך גנושילד</v>
      </c>
      <c r="C25" s="8" t="n">
        <f aca="false">SUMIFS('Source'!$D:$D,'Source'!$A:$A,"157464 מדיקל הצפון ב.מ-חורי",'Source'!$B:$B,$A25)</f>
        <v>6</v>
      </c>
      <c r="D25" s="8" t="n">
        <f aca="false">SUMIFS('Source'!$F:$F,'Source'!$A:$A,"157464 מדיקל הצפון ב.מ-חורי",'Source'!$B:$B,$A25)</f>
        <v>11</v>
      </c>
      <c r="E25" s="8" t="n">
        <f aca="false">D25*$J$5</f>
        <v>13.8947368421053</v>
      </c>
      <c r="F25" s="8" t="n">
        <f aca="false">E25-C25</f>
        <v>7.89473684210526</v>
      </c>
      <c r="G25" s="9" t="n">
        <f aca="false">IF(AND(C25=0,E25=0),0,IF(C25=0,"New",(E25-C25)/C25))</f>
        <v>1.31578947368421</v>
      </c>
      <c r="H25" s="8" t="n">
        <f aca="false">SUMIFS('Source'!$E:$E,'Source'!$A:$A,"157464 מדיקל הצפון ב.מ-חורי",'Source'!$B:$B,$A25)</f>
        <v>720</v>
      </c>
      <c r="I25" s="8" t="n">
        <f aca="false">SUMIFS('Source'!$G:$G,'Source'!$A:$A,"157464 מדיקל הצפון ב.מ-חורי",'Source'!$B:$B,$A25)</f>
        <v>1200.01</v>
      </c>
      <c r="J25" s="8" t="n">
        <f aca="false">I25*$J$5</f>
        <v>1515.80210526316</v>
      </c>
      <c r="K25" s="8" t="n">
        <f aca="false">J25-H25</f>
        <v>795.802105263158</v>
      </c>
      <c r="L25" s="9" t="n">
        <f aca="false">IF(AND(H25=0,J25=0),0,IF(H25=0,"New",(J25-H25)/H25))</f>
        <v>1.10528070175439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223</v>
      </c>
      <c r="B26" s="7" t="str">
        <f aca="false">IFERROR(INDEX('Source'!$C:$C,MATCH($A26,'Source'!$B:$B,0)),"")</f>
        <v>מישר כתפיים רחב+תמיכה לבית השח</v>
      </c>
      <c r="C26" s="8" t="n">
        <f aca="false">SUMIFS('Source'!$D:$D,'Source'!$A:$A,"157464 מדיקל הצפון ב.מ-חורי",'Source'!$B:$B,$A26)</f>
        <v>6</v>
      </c>
      <c r="D26" s="8" t="n">
        <f aca="false">SUMIFS('Source'!$F:$F,'Source'!$A:$A,"157464 מדיקל הצפון ב.מ-חורי",'Source'!$B:$B,$A26)</f>
        <v>9</v>
      </c>
      <c r="E26" s="8" t="n">
        <f aca="false">D26*$J$5</f>
        <v>11.3684210526316</v>
      </c>
      <c r="F26" s="8" t="n">
        <f aca="false">E26-C26</f>
        <v>5.36842105263158</v>
      </c>
      <c r="G26" s="9" t="n">
        <f aca="false">IF(AND(C26=0,E26=0),0,IF(C26=0,"New",(E26-C26)/C26))</f>
        <v>0.894736842105263</v>
      </c>
      <c r="H26" s="8" t="n">
        <f aca="false">SUMIFS('Source'!$E:$E,'Source'!$A:$A,"157464 מדיקל הצפון ב.מ-חורי",'Source'!$B:$B,$A26)</f>
        <v>959.99</v>
      </c>
      <c r="I26" s="8" t="n">
        <f aca="false">SUMIFS('Source'!$G:$G,'Source'!$A:$A,"157464 מדיקל הצפון ב.מ-חורי",'Source'!$B:$B,$A26)</f>
        <v>1439.97</v>
      </c>
      <c r="J26" s="8" t="n">
        <f aca="false">I26*$J$5</f>
        <v>1818.90947368421</v>
      </c>
      <c r="K26" s="8" t="n">
        <f aca="false">J26-H26</f>
        <v>858.919473684211</v>
      </c>
      <c r="L26" s="9" t="n">
        <f aca="false">IF(AND(H26=0,J26=0),0,IF(H26=0,"New",(J26-H26)/H26))</f>
        <v>0.894717105057564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260</v>
      </c>
      <c r="B27" s="7" t="str">
        <f aca="false">IFERROR(INDEX('Source'!$C:$C,MATCH($A27,'Source'!$B:$B,0)),"")</f>
        <v>מישר כתפיים רחב+תמיכה לבית השח</v>
      </c>
      <c r="C27" s="8" t="n">
        <f aca="false">SUMIFS('Source'!$D:$D,'Source'!$A:$A,"157464 מדיקל הצפון ב.מ-חורי",'Source'!$B:$B,$A27)</f>
        <v>6</v>
      </c>
      <c r="D27" s="8" t="n">
        <f aca="false">SUMIFS('Source'!$F:$F,'Source'!$A:$A,"157464 מדיקל הצפון ב.מ-חורי",'Source'!$B:$B,$A27)</f>
        <v>9</v>
      </c>
      <c r="E27" s="8" t="n">
        <f aca="false">D27*$J$5</f>
        <v>11.3684210526316</v>
      </c>
      <c r="F27" s="8" t="n">
        <f aca="false">E27-C27</f>
        <v>5.36842105263158</v>
      </c>
      <c r="G27" s="9" t="n">
        <f aca="false">IF(AND(C27=0,E27=0),0,IF(C27=0,"New",(E27-C27)/C27))</f>
        <v>0.894736842105263</v>
      </c>
      <c r="H27" s="8" t="n">
        <f aca="false">SUMIFS('Source'!$E:$E,'Source'!$A:$A,"157464 מדיקל הצפון ב.מ-חורי",'Source'!$B:$B,$A27)</f>
        <v>959.98</v>
      </c>
      <c r="I27" s="8" t="n">
        <f aca="false">SUMIFS('Source'!$G:$G,'Source'!$A:$A,"157464 מדיקל הצפון ב.מ-חורי",'Source'!$B:$B,$A27)</f>
        <v>1439.96</v>
      </c>
      <c r="J27" s="8" t="n">
        <f aca="false">I27*$J$5</f>
        <v>1818.89684210526</v>
      </c>
      <c r="K27" s="8" t="n">
        <f aca="false">J27-H27</f>
        <v>858.916842105263</v>
      </c>
      <c r="L27" s="9" t="n">
        <f aca="false">IF(AND(H27=0,J27=0),0,IF(H27=0,"New",(J27-H27)/H27))</f>
        <v>0.894723683936398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212</v>
      </c>
      <c r="B28" s="7" t="str">
        <f aca="false">IFERROR(INDEX('Source'!$C:$C,MATCH($A28,'Source'!$B:$B,0)),"")</f>
        <v>חגורת גב אפורה</v>
      </c>
      <c r="C28" s="8" t="n">
        <f aca="false">SUMIFS('Source'!$D:$D,'Source'!$A:$A,"157464 מדיקל הצפון ב.מ-חורי",'Source'!$B:$B,$A28)</f>
        <v>0</v>
      </c>
      <c r="D28" s="8" t="n">
        <f aca="false">SUMIFS('Source'!$F:$F,'Source'!$A:$A,"157464 מדיקל הצפון ב.מ-חורי",'Source'!$B:$B,$A28)</f>
        <v>4</v>
      </c>
      <c r="E28" s="8" t="n">
        <f aca="false">D28*$J$5</f>
        <v>5.05263157894737</v>
      </c>
      <c r="F28" s="8" t="n">
        <f aca="false">E28-C28</f>
        <v>5.05263157894737</v>
      </c>
      <c r="G28" s="9" t="str">
        <f aca="false">IF(AND(C28=0,E28=0),0,IF(C28=0,"New",(E28-C28)/C28))</f>
        <v>New</v>
      </c>
      <c r="H28" s="8" t="n">
        <f aca="false">SUMIFS('Source'!$E:$E,'Source'!$A:$A,"157464 מדיקל הצפון ב.מ-חורי",'Source'!$B:$B,$A28)</f>
        <v>0</v>
      </c>
      <c r="I28" s="8" t="n">
        <f aca="false">SUMIFS('Source'!$G:$G,'Source'!$A:$A,"157464 מדיקל הצפון ב.מ-חורי",'Source'!$B:$B,$A28)</f>
        <v>468.53</v>
      </c>
      <c r="J28" s="8" t="n">
        <f aca="false">I28*$J$5</f>
        <v>591.827368421053</v>
      </c>
      <c r="K28" s="8" t="n">
        <f aca="false">J28-H28</f>
        <v>591.827368421053</v>
      </c>
      <c r="L28" s="9" t="str">
        <f aca="false">IF(AND(H28=0,J28=0),0,IF(H28=0,"New",(J28-H28)/H28))</f>
        <v>New</v>
      </c>
      <c r="M28" s="7" t="str">
        <f aca="false">IF(AND(OR(C28&lt;&gt;0,H28&lt;&gt;0),D28=0,I28=0),"DROP",IF(AND(OR(D28&lt;&gt;0,I28&lt;&gt;0),C28=0,H28=0),"NEW",""))</f>
        <v>NEW</v>
      </c>
    </row>
    <row r="29" customFormat="false" ht="15" hidden="false" customHeight="false" outlineLevel="0" collapsed="false">
      <c r="A29" s="7" t="s">
        <v>227</v>
      </c>
      <c r="B29" s="7" t="str">
        <f aca="false">IFERROR(INDEX('Source'!$C:$C,MATCH($A29,'Source'!$B:$B,0)),"")</f>
        <v>כרית סיליקון לעקב</v>
      </c>
      <c r="C29" s="8" t="n">
        <f aca="false">SUMIFS('Source'!$D:$D,'Source'!$A:$A,"157464 מדיקל הצפון ב.מ-חורי",'Source'!$B:$B,$A29)</f>
        <v>4</v>
      </c>
      <c r="D29" s="8" t="n">
        <f aca="false">SUMIFS('Source'!$F:$F,'Source'!$A:$A,"157464 מדיקל הצפון ב.מ-חורי",'Source'!$B:$B,$A29)</f>
        <v>9</v>
      </c>
      <c r="E29" s="8" t="n">
        <f aca="false">D29*$J$5</f>
        <v>11.3684210526316</v>
      </c>
      <c r="F29" s="8" t="n">
        <f aca="false">E29-C29</f>
        <v>7.36842105263158</v>
      </c>
      <c r="G29" s="9" t="n">
        <f aca="false">IF(AND(C29=0,E29=0),0,IF(C29=0,"New",(E29-C29)/C29))</f>
        <v>1.84210526315789</v>
      </c>
      <c r="H29" s="8" t="n">
        <f aca="false">SUMIFS('Source'!$E:$E,'Source'!$A:$A,"157464 מדיקל הצפון ב.מ-חורי",'Source'!$B:$B,$A29)</f>
        <v>369.18</v>
      </c>
      <c r="I29" s="8" t="n">
        <f aca="false">SUMIFS('Source'!$G:$G,'Source'!$A:$A,"157464 מדיקל הצפון ב.מ-חורי",'Source'!$B:$B,$A29)</f>
        <v>830.65</v>
      </c>
      <c r="J29" s="8" t="n">
        <f aca="false">I29*$J$5</f>
        <v>1049.24210526316</v>
      </c>
      <c r="K29" s="8" t="n">
        <f aca="false">J29-H29</f>
        <v>680.062105263158</v>
      </c>
      <c r="L29" s="9" t="n">
        <f aca="false">IF(AND(H29=0,J29=0),0,IF(H29=0,"New",(J29-H29)/H29))</f>
        <v>1.84208815554244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466</v>
      </c>
      <c r="B30" s="7" t="str">
        <f aca="false">IFERROR(INDEX('Source'!$C:$C,MATCH($A30,'Source'!$B:$B,0)),"")</f>
        <v>חגורה אוורירית איטלקית</v>
      </c>
      <c r="C30" s="8" t="n">
        <f aca="false">SUMIFS('Source'!$D:$D,'Source'!$A:$A,"157464 מדיקל הצפון ב.מ-חורי",'Source'!$B:$B,$A30)</f>
        <v>1</v>
      </c>
      <c r="D30" s="8" t="n">
        <f aca="false">SUMIFS('Source'!$F:$F,'Source'!$A:$A,"157464 מדיקל הצפון ב.מ-חורי",'Source'!$B:$B,$A30)</f>
        <v>3</v>
      </c>
      <c r="E30" s="8" t="n">
        <f aca="false">D30*$J$5</f>
        <v>3.78947368421053</v>
      </c>
      <c r="F30" s="8" t="n">
        <f aca="false">E30-C30</f>
        <v>2.78947368421053</v>
      </c>
      <c r="G30" s="9" t="n">
        <f aca="false">IF(AND(C30=0,E30=0),0,IF(C30=0,"New",(E30-C30)/C30))</f>
        <v>2.78947368421053</v>
      </c>
      <c r="H30" s="8" t="n">
        <f aca="false">SUMIFS('Source'!$E:$E,'Source'!$A:$A,"157464 מדיקל הצפון ב.מ-חורי",'Source'!$B:$B,$A30)</f>
        <v>220</v>
      </c>
      <c r="I30" s="8" t="n">
        <f aca="false">SUMIFS('Source'!$G:$G,'Source'!$A:$A,"157464 מדיקל הצפון ב.מ-חורי",'Source'!$B:$B,$A30)</f>
        <v>660.19</v>
      </c>
      <c r="J30" s="8" t="n">
        <f aca="false">I30*$J$5</f>
        <v>833.924210526316</v>
      </c>
      <c r="K30" s="8" t="n">
        <f aca="false">J30-H30</f>
        <v>613.924210526316</v>
      </c>
      <c r="L30" s="9" t="n">
        <f aca="false">IF(AND(H30=0,J30=0),0,IF(H30=0,"New",(J30-H30)/H30))</f>
        <v>2.79056459330144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1017</v>
      </c>
      <c r="B31" s="7" t="str">
        <f aca="false">IFERROR(INDEX('Source'!$C:$C,MATCH($A31,'Source'!$B:$B,0)),"")</f>
        <v>מגן קרסול+כרית סיליקון</v>
      </c>
      <c r="C31" s="8" t="n">
        <f aca="false">SUMIFS('Source'!$D:$D,'Source'!$A:$A,"157464 מדיקל הצפון ב.מ-חורי",'Source'!$B:$B,$A31)</f>
        <v>0</v>
      </c>
      <c r="D31" s="8" t="n">
        <f aca="false">SUMIFS('Source'!$F:$F,'Source'!$A:$A,"157464 מדיקל הצפון ב.מ-חורי",'Source'!$B:$B,$A31)</f>
        <v>6</v>
      </c>
      <c r="E31" s="8" t="n">
        <f aca="false">D31*$J$5</f>
        <v>7.57894736842105</v>
      </c>
      <c r="F31" s="8" t="n">
        <f aca="false">E31-C31</f>
        <v>7.57894736842105</v>
      </c>
      <c r="G31" s="9" t="str">
        <f aca="false">IF(AND(C31=0,E31=0),0,IF(C31=0,"New",(E31-C31)/C31))</f>
        <v>New</v>
      </c>
      <c r="H31" s="8" t="n">
        <f aca="false">SUMIFS('Source'!$E:$E,'Source'!$A:$A,"157464 מדיקל הצפון ב.מ-חורי",'Source'!$B:$B,$A31)</f>
        <v>0</v>
      </c>
      <c r="I31" s="8" t="n">
        <f aca="false">SUMIFS('Source'!$G:$G,'Source'!$A:$A,"157464 מדיקל הצפון ב.מ-חורי",'Source'!$B:$B,$A31)</f>
        <v>419.98</v>
      </c>
      <c r="J31" s="8" t="n">
        <f aca="false">I31*$J$5</f>
        <v>530.501052631579</v>
      </c>
      <c r="K31" s="8" t="n">
        <f aca="false">J31-H31</f>
        <v>530.501052631579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1018</v>
      </c>
      <c r="B32" s="7" t="str">
        <f aca="false">IFERROR(INDEX('Source'!$C:$C,MATCH($A32,'Source'!$B:$B,0)),"")</f>
        <v>מגן קרסול+כרית סיליקון</v>
      </c>
      <c r="C32" s="8" t="n">
        <f aca="false">SUMIFS('Source'!$D:$D,'Source'!$A:$A,"157464 מדיקל הצפון ב.מ-חורי",'Source'!$B:$B,$A32)</f>
        <v>0</v>
      </c>
      <c r="D32" s="8" t="n">
        <f aca="false">SUMIFS('Source'!$F:$F,'Source'!$A:$A,"157464 מדיקל הצפון ב.מ-חורי",'Source'!$B:$B,$A32)</f>
        <v>6</v>
      </c>
      <c r="E32" s="8" t="n">
        <f aca="false">D32*$J$5</f>
        <v>7.57894736842105</v>
      </c>
      <c r="F32" s="8" t="n">
        <f aca="false">E32-C32</f>
        <v>7.57894736842105</v>
      </c>
      <c r="G32" s="9" t="str">
        <f aca="false">IF(AND(C32=0,E32=0),0,IF(C32=0,"New",(E32-C32)/C32))</f>
        <v>New</v>
      </c>
      <c r="H32" s="8" t="n">
        <f aca="false">SUMIFS('Source'!$E:$E,'Source'!$A:$A,"157464 מדיקל הצפון ב.מ-חורי",'Source'!$B:$B,$A32)</f>
        <v>0</v>
      </c>
      <c r="I32" s="8" t="n">
        <f aca="false">SUMIFS('Source'!$G:$G,'Source'!$A:$A,"157464 מדיקל הצפון ב.מ-חורי",'Source'!$B:$B,$A32)</f>
        <v>419.98</v>
      </c>
      <c r="J32" s="8" t="n">
        <f aca="false">I32*$J$5</f>
        <v>530.501052631579</v>
      </c>
      <c r="K32" s="8" t="n">
        <f aca="false">J32-H32</f>
        <v>530.501052631579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125</v>
      </c>
      <c r="B33" s="7" t="str">
        <f aca="false">IFERROR(INDEX('Source'!$C:$C,MATCH($A33,'Source'!$B:$B,0)),"")</f>
        <v>שרוול לגבס ארוך רגל</v>
      </c>
      <c r="C33" s="8" t="n">
        <f aca="false">SUMIFS('Source'!$D:$D,'Source'!$A:$A,"157464 מדיקל הצפון ב.מ-חורי",'Source'!$B:$B,$A33)</f>
        <v>9</v>
      </c>
      <c r="D33" s="8" t="n">
        <f aca="false">SUMIFS('Source'!$F:$F,'Source'!$A:$A,"157464 מדיקל הצפון ב.מ-חורי",'Source'!$B:$B,$A33)</f>
        <v>0</v>
      </c>
      <c r="E33" s="8" t="n">
        <f aca="false">D33*$J$5</f>
        <v>0</v>
      </c>
      <c r="F33" s="8" t="n">
        <f aca="false">E33-C33</f>
        <v>-9</v>
      </c>
      <c r="G33" s="9" t="n">
        <f aca="false">IF(AND(C33=0,E33=0),0,IF(C33=0,"New",(E33-C33)/C33))</f>
        <v>-1</v>
      </c>
      <c r="H33" s="8" t="n">
        <f aca="false">SUMIFS('Source'!$E:$E,'Source'!$A:$A,"157464 מדיקל הצפון ב.מ-חורי",'Source'!$B:$B,$A33)</f>
        <v>417.49</v>
      </c>
      <c r="I33" s="8" t="n">
        <f aca="false">SUMIFS('Source'!$G:$G,'Source'!$A:$A,"157464 מדיקל הצפון ב.מ-חורי",'Source'!$B:$B,$A33)</f>
        <v>0</v>
      </c>
      <c r="J33" s="8" t="n">
        <f aca="false">I33*$J$5</f>
        <v>0</v>
      </c>
      <c r="K33" s="8" t="n">
        <f aca="false">J33-H33</f>
        <v>-417.49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614</v>
      </c>
      <c r="B34" s="7" t="str">
        <f aca="false">IFERROR(INDEX('Source'!$C:$C,MATCH($A34,'Source'!$B:$B,0)),"")</f>
        <v>סד לאגודל</v>
      </c>
      <c r="C34" s="8" t="n">
        <f aca="false">SUMIFS('Source'!$D:$D,'Source'!$A:$A,"157464 מדיקל הצפון ב.מ-חורי",'Source'!$B:$B,$A34)</f>
        <v>4</v>
      </c>
      <c r="D34" s="8" t="n">
        <f aca="false">SUMIFS('Source'!$F:$F,'Source'!$A:$A,"157464 מדיקל הצפון ב.מ-חורי",'Source'!$B:$B,$A34)</f>
        <v>0</v>
      </c>
      <c r="E34" s="8" t="n">
        <f aca="false">D34*$J$5</f>
        <v>0</v>
      </c>
      <c r="F34" s="8" t="n">
        <f aca="false">E34-C34</f>
        <v>-4</v>
      </c>
      <c r="G34" s="9" t="n">
        <f aca="false">IF(AND(C34=0,E34=0),0,IF(C34=0,"New",(E34-C34)/C34))</f>
        <v>-1</v>
      </c>
      <c r="H34" s="8" t="n">
        <f aca="false">SUMIFS('Source'!$E:$E,'Source'!$A:$A,"157464 מדיקל הצפון ב.מ-חורי",'Source'!$B:$B,$A34)</f>
        <v>412.29</v>
      </c>
      <c r="I34" s="8" t="n">
        <f aca="false">SUMIFS('Source'!$G:$G,'Source'!$A:$A,"157464 מדיקל הצפון ב.מ-חורי",'Source'!$B:$B,$A34)</f>
        <v>0</v>
      </c>
      <c r="J34" s="8" t="n">
        <f aca="false">I34*$J$5</f>
        <v>0</v>
      </c>
      <c r="K34" s="8" t="n">
        <f aca="false">J34-H34</f>
        <v>-412.29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134</v>
      </c>
      <c r="B35" s="7" t="str">
        <f aca="false">IFERROR(INDEX('Source'!$C:$C,MATCH($A35,'Source'!$B:$B,0)),"")</f>
        <v>מ. בוניון + מפריד אצבע</v>
      </c>
      <c r="C35" s="8" t="n">
        <f aca="false">SUMIFS('Source'!$D:$D,'Source'!$A:$A,"157464 מדיקל הצפון ב.מ-חורי",'Source'!$B:$B,$A35)</f>
        <v>10</v>
      </c>
      <c r="D35" s="8" t="n">
        <f aca="false">SUMIFS('Source'!$F:$F,'Source'!$A:$A,"157464 מדיקל הצפון ב.מ-חורי",'Source'!$B:$B,$A35)</f>
        <v>20</v>
      </c>
      <c r="E35" s="8" t="n">
        <f aca="false">D35*$J$5</f>
        <v>25.2631578947368</v>
      </c>
      <c r="F35" s="8" t="n">
        <f aca="false">E35-C35</f>
        <v>15.2631578947368</v>
      </c>
      <c r="G35" s="9" t="n">
        <f aca="false">IF(AND(C35=0,E35=0),0,IF(C35=0,"New",(E35-C35)/C35))</f>
        <v>1.52631578947368</v>
      </c>
      <c r="H35" s="8" t="n">
        <f aca="false">SUMIFS('Source'!$E:$E,'Source'!$A:$A,"157464 מדיקל הצפון ב.מ-חורי",'Source'!$B:$B,$A35)</f>
        <v>402.68</v>
      </c>
      <c r="I35" s="8" t="n">
        <f aca="false">SUMIFS('Source'!$G:$G,'Source'!$A:$A,"157464 מדיקל הצפון ב.מ-חורי",'Source'!$B:$B,$A35)</f>
        <v>805.35</v>
      </c>
      <c r="J35" s="8" t="n">
        <f aca="false">I35*$J$5</f>
        <v>1017.28421052632</v>
      </c>
      <c r="K35" s="8" t="n">
        <f aca="false">J35-H35</f>
        <v>614.604210526316</v>
      </c>
      <c r="L35" s="9" t="n">
        <f aca="false">IF(AND(H35=0,J35=0),0,IF(H35=0,"New",(J35-H35)/H35))</f>
        <v>1.52628442069712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216</v>
      </c>
      <c r="B36" s="7" t="str">
        <f aca="false">IFERROR(INDEX('Source'!$C:$C,MATCH($A36,'Source'!$B:$B,0)),"")</f>
        <v>שרוול לגבס קצר רגל</v>
      </c>
      <c r="C36" s="8" t="n">
        <f aca="false">SUMIFS('Source'!$D:$D,'Source'!$A:$A,"157464 מדיקל הצפון ב.מ-חורי",'Source'!$B:$B,$A36)</f>
        <v>9</v>
      </c>
      <c r="D36" s="8" t="n">
        <f aca="false">SUMIFS('Source'!$F:$F,'Source'!$A:$A,"157464 מדיקל הצפון ב.מ-חורי",'Source'!$B:$B,$A36)</f>
        <v>0</v>
      </c>
      <c r="E36" s="8" t="n">
        <f aca="false">D36*$J$5</f>
        <v>0</v>
      </c>
      <c r="F36" s="8" t="n">
        <f aca="false">E36-C36</f>
        <v>-9</v>
      </c>
      <c r="G36" s="9" t="n">
        <f aca="false">IF(AND(C36=0,E36=0),0,IF(C36=0,"New",(E36-C36)/C36))</f>
        <v>-1</v>
      </c>
      <c r="H36" s="8" t="n">
        <f aca="false">SUMIFS('Source'!$E:$E,'Source'!$A:$A,"157464 מדיקל הצפון ב.מ-חורי",'Source'!$B:$B,$A36)</f>
        <v>399.63</v>
      </c>
      <c r="I36" s="8" t="n">
        <f aca="false">SUMIFS('Source'!$G:$G,'Source'!$A:$A,"157464 מדיקל הצפון ב.מ-חורי",'Source'!$B:$B,$A36)</f>
        <v>0</v>
      </c>
      <c r="J36" s="8" t="n">
        <f aca="false">I36*$J$5</f>
        <v>0</v>
      </c>
      <c r="K36" s="8" t="n">
        <f aca="false">J36-H36</f>
        <v>-399.63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163</v>
      </c>
      <c r="B37" s="7" t="str">
        <f aca="false">IFERROR(INDEX('Source'!$C:$C,MATCH($A37,'Source'!$B:$B,0)),"")</f>
        <v>שרוול לגבס ארוך יד</v>
      </c>
      <c r="C37" s="8" t="n">
        <f aca="false">SUMIFS('Source'!$D:$D,'Source'!$A:$A,"157464 מדיקל הצפון ב.מ-חורי",'Source'!$B:$B,$A37)</f>
        <v>9</v>
      </c>
      <c r="D37" s="8" t="n">
        <f aca="false">SUMIFS('Source'!$F:$F,'Source'!$A:$A,"157464 מדיקל הצפון ב.מ-חורי",'Source'!$B:$B,$A37)</f>
        <v>0</v>
      </c>
      <c r="E37" s="8" t="n">
        <f aca="false">D37*$J$5</f>
        <v>0</v>
      </c>
      <c r="F37" s="8" t="n">
        <f aca="false">E37-C37</f>
        <v>-9</v>
      </c>
      <c r="G37" s="9" t="n">
        <f aca="false">IF(AND(C37=0,E37=0),0,IF(C37=0,"New",(E37-C37)/C37))</f>
        <v>-1</v>
      </c>
      <c r="H37" s="8" t="n">
        <f aca="false">SUMIFS('Source'!$E:$E,'Source'!$A:$A,"157464 מדיקל הצפון ב.מ-חורי",'Source'!$B:$B,$A37)</f>
        <v>379.22</v>
      </c>
      <c r="I37" s="8" t="n">
        <f aca="false">SUMIFS('Source'!$G:$G,'Source'!$A:$A,"157464 מדיקל הצפון ב.מ-חורי",'Source'!$B:$B,$A37)</f>
        <v>0</v>
      </c>
      <c r="J37" s="8" t="n">
        <f aca="false">I37*$J$5</f>
        <v>0</v>
      </c>
      <c r="K37" s="8" t="n">
        <f aca="false">J37-H37</f>
        <v>-379.22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400</v>
      </c>
      <c r="B38" s="7" t="str">
        <f aca="false">IFERROR(INDEX('Source'!$C:$C,MATCH($A38,'Source'!$B:$B,0)),"")</f>
        <v>חגורה אוורירית איטלקית</v>
      </c>
      <c r="C38" s="8" t="n">
        <f aca="false">SUMIFS('Source'!$D:$D,'Source'!$A:$A,"157464 מדיקל הצפון ב.מ-חורי",'Source'!$B:$B,$A38)</f>
        <v>8</v>
      </c>
      <c r="D38" s="8" t="n">
        <f aca="false">SUMIFS('Source'!$F:$F,'Source'!$A:$A,"157464 מדיקל הצפון ב.מ-חורי",'Source'!$B:$B,$A38)</f>
        <v>6</v>
      </c>
      <c r="E38" s="8" t="n">
        <f aca="false">D38*$J$5</f>
        <v>7.57894736842105</v>
      </c>
      <c r="F38" s="8" t="n">
        <f aca="false">E38-C38</f>
        <v>-0.421052631578948</v>
      </c>
      <c r="G38" s="9" t="n">
        <f aca="false">IF(AND(C38=0,E38=0),0,IF(C38=0,"New",(E38-C38)/C38))</f>
        <v>-0.0526315789473685</v>
      </c>
      <c r="H38" s="8" t="n">
        <f aca="false">SUMIFS('Source'!$E:$E,'Source'!$A:$A,"157464 מדיקל הצפון ב.מ-חורי",'Source'!$B:$B,$A38)</f>
        <v>1680.08</v>
      </c>
      <c r="I38" s="8" t="n">
        <f aca="false">SUMIFS('Source'!$G:$G,'Source'!$A:$A,"157464 מדיקל הצפון ב.מ-חורי",'Source'!$B:$B,$A38)</f>
        <v>1319.98</v>
      </c>
      <c r="J38" s="8" t="n">
        <f aca="false">I38*$J$5</f>
        <v>1667.34315789474</v>
      </c>
      <c r="K38" s="8" t="n">
        <f aca="false">J38-H38</f>
        <v>-12.7368421052631</v>
      </c>
      <c r="L38" s="9" t="n">
        <f aca="false">IF(AND(H38=0,J38=0),0,IF(H38=0,"New",(J38-H38)/H38))</f>
        <v>-0.00758109262967426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390</v>
      </c>
      <c r="B39" s="7" t="str">
        <f aca="false">IFERROR(INDEX('Source'!$C:$C,MATCH($A39,'Source'!$B:$B,0)),"")</f>
        <v>חגורת גב אפורה</v>
      </c>
      <c r="C39" s="8" t="n">
        <f aca="false">SUMIFS('Source'!$D:$D,'Source'!$A:$A,"157464 מדיקל הצפון ב.מ-חורי",'Source'!$B:$B,$A39)</f>
        <v>0</v>
      </c>
      <c r="D39" s="8" t="n">
        <f aca="false">SUMIFS('Source'!$F:$F,'Source'!$A:$A,"157464 מדיקל הצפון ב.מ-חורי",'Source'!$B:$B,$A39)</f>
        <v>3</v>
      </c>
      <c r="E39" s="8" t="n">
        <f aca="false">D39*$J$5</f>
        <v>3.78947368421053</v>
      </c>
      <c r="F39" s="8" t="n">
        <f aca="false">E39-C39</f>
        <v>3.78947368421053</v>
      </c>
      <c r="G39" s="9" t="str">
        <f aca="false">IF(AND(C39=0,E39=0),0,IF(C39=0,"New",(E39-C39)/C39))</f>
        <v>New</v>
      </c>
      <c r="H39" s="8" t="n">
        <f aca="false">SUMIFS('Source'!$E:$E,'Source'!$A:$A,"157464 מדיקל הצפון ב.מ-חורי",'Source'!$B:$B,$A39)</f>
        <v>0</v>
      </c>
      <c r="I39" s="8" t="n">
        <f aca="false">SUMIFS('Source'!$G:$G,'Source'!$A:$A,"157464 מדיקל הצפון ב.מ-חורי",'Source'!$B:$B,$A39)</f>
        <v>351.45</v>
      </c>
      <c r="J39" s="8" t="n">
        <f aca="false">I39*$J$5</f>
        <v>443.936842105263</v>
      </c>
      <c r="K39" s="8" t="n">
        <f aca="false">J39-H39</f>
        <v>443.936842105263</v>
      </c>
      <c r="L39" s="9" t="str">
        <f aca="false">IF(AND(H39=0,J39=0),0,IF(H39=0,"New",(J39-H39)/H39))</f>
        <v>New</v>
      </c>
      <c r="M39" s="7" t="str">
        <f aca="false">IF(AND(OR(C39&lt;&gt;0,H39&lt;&gt;0),D39=0,I39=0),"DROP",IF(AND(OR(D39&lt;&gt;0,I39&lt;&gt;0),C39=0,H39=0),"NEW",""))</f>
        <v>NEW</v>
      </c>
    </row>
    <row r="40" customFormat="false" ht="15" hidden="false" customHeight="false" outlineLevel="0" collapsed="false">
      <c r="A40" s="7" t="s">
        <v>232</v>
      </c>
      <c r="B40" s="7" t="str">
        <f aca="false">IFERROR(INDEX('Source'!$C:$C,MATCH($A40,'Source'!$B:$B,0)),"")</f>
        <v>חגורת גב אפורה</v>
      </c>
      <c r="C40" s="8" t="n">
        <f aca="false">SUMIFS('Source'!$D:$D,'Source'!$A:$A,"157464 מדיקל הצפון ב.מ-חורי",'Source'!$B:$B,$A40)</f>
        <v>0</v>
      </c>
      <c r="D40" s="8" t="n">
        <f aca="false">SUMIFS('Source'!$F:$F,'Source'!$A:$A,"157464 מדיקל הצפון ב.מ-חורי",'Source'!$B:$B,$A40)</f>
        <v>3</v>
      </c>
      <c r="E40" s="8" t="n">
        <f aca="false">D40*$J$5</f>
        <v>3.78947368421053</v>
      </c>
      <c r="F40" s="8" t="n">
        <f aca="false">E40-C40</f>
        <v>3.78947368421053</v>
      </c>
      <c r="G40" s="9" t="str">
        <f aca="false">IF(AND(C40=0,E40=0),0,IF(C40=0,"New",(E40-C40)/C40))</f>
        <v>New</v>
      </c>
      <c r="H40" s="8" t="n">
        <f aca="false">SUMIFS('Source'!$E:$E,'Source'!$A:$A,"157464 מדיקל הצפון ב.מ-חורי",'Source'!$B:$B,$A40)</f>
        <v>0</v>
      </c>
      <c r="I40" s="8" t="n">
        <f aca="false">SUMIFS('Source'!$G:$G,'Source'!$A:$A,"157464 מדיקל הצפון ב.מ-חורי",'Source'!$B:$B,$A40)</f>
        <v>351.4</v>
      </c>
      <c r="J40" s="8" t="n">
        <f aca="false">I40*$J$5</f>
        <v>443.873684210526</v>
      </c>
      <c r="K40" s="8" t="n">
        <f aca="false">J40-H40</f>
        <v>443.873684210526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1019</v>
      </c>
      <c r="B41" s="7" t="str">
        <f aca="false">IFERROR(INDEX('Source'!$C:$C,MATCH($A41,'Source'!$B:$B,0)),"")</f>
        <v>מגן ברך ארוך עם כרית סיליקון</v>
      </c>
      <c r="C41" s="8" t="n">
        <f aca="false">SUMIFS('Source'!$D:$D,'Source'!$A:$A,"157464 מדיקל הצפון ב.מ-חורי",'Source'!$B:$B,$A41)</f>
        <v>4</v>
      </c>
      <c r="D41" s="8" t="n">
        <f aca="false">SUMIFS('Source'!$F:$F,'Source'!$A:$A,"157464 מדיקל הצפון ב.מ-חורי",'Source'!$B:$B,$A41)</f>
        <v>0</v>
      </c>
      <c r="E41" s="8" t="n">
        <f aca="false">D41*$J$5</f>
        <v>0</v>
      </c>
      <c r="F41" s="8" t="n">
        <f aca="false">E41-C41</f>
        <v>-4</v>
      </c>
      <c r="G41" s="9" t="n">
        <f aca="false">IF(AND(C41=0,E41=0),0,IF(C41=0,"New",(E41-C41)/C41))</f>
        <v>-1</v>
      </c>
      <c r="H41" s="8" t="n">
        <f aca="false">SUMIFS('Source'!$E:$E,'Source'!$A:$A,"157464 מדיקל הצפון ב.מ-חורי",'Source'!$B:$B,$A41)</f>
        <v>349.99</v>
      </c>
      <c r="I41" s="8" t="n">
        <f aca="false">SUMIFS('Source'!$G:$G,'Source'!$A:$A,"157464 מדיקל הצפון ב.מ-חורי",'Source'!$B:$B,$A41)</f>
        <v>0</v>
      </c>
      <c r="J41" s="8" t="n">
        <f aca="false">I41*$J$5</f>
        <v>0</v>
      </c>
      <c r="K41" s="8" t="n">
        <f aca="false">J41-H41</f>
        <v>-349.99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705</v>
      </c>
      <c r="B42" s="7" t="str">
        <f aca="false">IFERROR(INDEX('Source'!$C:$C,MATCH($A42,'Source'!$B:$B,0)),"")</f>
        <v>סד לקרסול</v>
      </c>
      <c r="C42" s="8" t="n">
        <f aca="false">SUMIFS('Source'!$D:$D,'Source'!$A:$A,"157464 מדיקל הצפון ב.מ-חורי",'Source'!$B:$B,$A42)</f>
        <v>4</v>
      </c>
      <c r="D42" s="8" t="n">
        <f aca="false">SUMIFS('Source'!$F:$F,'Source'!$A:$A,"157464 מדיקל הצפון ב.מ-חורי",'Source'!$B:$B,$A42)</f>
        <v>1</v>
      </c>
      <c r="E42" s="8" t="n">
        <f aca="false">D42*$J$5</f>
        <v>1.26315789473684</v>
      </c>
      <c r="F42" s="8" t="n">
        <f aca="false">E42-C42</f>
        <v>-2.73684210526316</v>
      </c>
      <c r="G42" s="9" t="n">
        <f aca="false">IF(AND(C42=0,E42=0),0,IF(C42=0,"New",(E42-C42)/C42))</f>
        <v>-0.68421052631579</v>
      </c>
      <c r="H42" s="8" t="n">
        <f aca="false">SUMIFS('Source'!$E:$E,'Source'!$A:$A,"157464 מדיקל הצפון ב.מ-חורי",'Source'!$B:$B,$A42)</f>
        <v>459.99</v>
      </c>
      <c r="I42" s="8" t="n">
        <f aca="false">SUMIFS('Source'!$G:$G,'Source'!$A:$A,"157464 מדיקל הצפון ב.מ-חורי",'Source'!$B:$B,$A42)</f>
        <v>115</v>
      </c>
      <c r="J42" s="8" t="n">
        <f aca="false">I42*$J$5</f>
        <v>145.263157894737</v>
      </c>
      <c r="K42" s="8" t="n">
        <f aca="false">J42-H42</f>
        <v>-314.726842105263</v>
      </c>
      <c r="L42" s="9" t="n">
        <f aca="false">IF(AND(H42=0,J42=0),0,IF(H42=0,"New",(J42-H42)/H42))</f>
        <v>-0.684203661177989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790</v>
      </c>
      <c r="B43" s="7" t="str">
        <f aca="false">IFERROR(INDEX('Source'!$C:$C,MATCH($A43,'Source'!$B:$B,0)),"")</f>
        <v>מגן מרפק + סיליקון</v>
      </c>
      <c r="C43" s="8" t="n">
        <f aca="false">SUMIFS('Source'!$D:$D,'Source'!$A:$A,"157464 מדיקל הצפון ב.מ-חורי",'Source'!$B:$B,$A43)</f>
        <v>6</v>
      </c>
      <c r="D43" s="8" t="n">
        <f aca="false">SUMIFS('Source'!$F:$F,'Source'!$A:$A,"157464 מדיקל הצפון ב.מ-חורי",'Source'!$B:$B,$A43)</f>
        <v>2</v>
      </c>
      <c r="E43" s="8" t="n">
        <f aca="false">D43*$J$5</f>
        <v>2.52631578947368</v>
      </c>
      <c r="F43" s="8" t="n">
        <f aca="false">E43-C43</f>
        <v>-3.47368421052632</v>
      </c>
      <c r="G43" s="9" t="n">
        <f aca="false">IF(AND(C43=0,E43=0),0,IF(C43=0,"New",(E43-C43)/C43))</f>
        <v>-0.578947368421053</v>
      </c>
      <c r="H43" s="8" t="n">
        <f aca="false">SUMIFS('Source'!$E:$E,'Source'!$A:$A,"157464 מדיקל הצפון ב.מ-חורי",'Source'!$B:$B,$A43)</f>
        <v>524.92</v>
      </c>
      <c r="I43" s="8" t="n">
        <f aca="false">SUMIFS('Source'!$G:$G,'Source'!$A:$A,"157464 מדיקל הצפון ב.מ-חורי",'Source'!$B:$B,$A43)</f>
        <v>180</v>
      </c>
      <c r="J43" s="8" t="n">
        <f aca="false">I43*$J$5</f>
        <v>227.368421052632</v>
      </c>
      <c r="K43" s="8" t="n">
        <f aca="false">J43-H43</f>
        <v>-297.551578947368</v>
      </c>
      <c r="L43" s="9" t="n">
        <f aca="false">IF(AND(H43=0,J43=0),0,IF(H43=0,"New",(J43-H43)/H43))</f>
        <v>-0.566851289620073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147</v>
      </c>
      <c r="B44" s="7" t="str">
        <f aca="false">IFERROR(INDEX('Source'!$C:$C,MATCH($A44,'Source'!$B:$B,0)),"")</f>
        <v>חגורה למנותחי בית חזה</v>
      </c>
      <c r="C44" s="8" t="n">
        <f aca="false">SUMIFS('Source'!$D:$D,'Source'!$A:$A,"157464 מדיקל הצפון ב.מ-חורי",'Source'!$B:$B,$A44)</f>
        <v>0</v>
      </c>
      <c r="D44" s="8" t="n">
        <f aca="false">SUMIFS('Source'!$F:$F,'Source'!$A:$A,"157464 מדיקל הצפון ב.מ-חורי",'Source'!$B:$B,$A44)</f>
        <v>2</v>
      </c>
      <c r="E44" s="8" t="n">
        <f aca="false">D44*$J$5</f>
        <v>2.52631578947368</v>
      </c>
      <c r="F44" s="8" t="n">
        <f aca="false">E44-C44</f>
        <v>2.52631578947368</v>
      </c>
      <c r="G44" s="9" t="str">
        <f aca="false">IF(AND(C44=0,E44=0),0,IF(C44=0,"New",(E44-C44)/C44))</f>
        <v>New</v>
      </c>
      <c r="H44" s="8" t="n">
        <f aca="false">SUMIFS('Source'!$E:$E,'Source'!$A:$A,"157464 מדיקל הצפון ב.מ-חורי",'Source'!$B:$B,$A44)</f>
        <v>0</v>
      </c>
      <c r="I44" s="8" t="n">
        <f aca="false">SUMIFS('Source'!$G:$G,'Source'!$A:$A,"157464 מדיקל הצפון ב.מ-חורי",'Source'!$B:$B,$A44)</f>
        <v>340</v>
      </c>
      <c r="J44" s="8" t="n">
        <f aca="false">I44*$J$5</f>
        <v>429.473684210526</v>
      </c>
      <c r="K44" s="8" t="n">
        <f aca="false">J44-H44</f>
        <v>429.473684210526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247</v>
      </c>
      <c r="B45" s="7" t="str">
        <f aca="false">IFERROR(INDEX('Source'!$C:$C,MATCH($A45,'Source'!$B:$B,0)),"")</f>
        <v>ח.בטן 25 ס'מ</v>
      </c>
      <c r="C45" s="8" t="n">
        <f aca="false">SUMIFS('Source'!$D:$D,'Source'!$A:$A,"157464 מדיקל הצפון ב.מ-חורי",'Source'!$B:$B,$A45)</f>
        <v>7</v>
      </c>
      <c r="D45" s="8" t="n">
        <f aca="false">SUMIFS('Source'!$F:$F,'Source'!$A:$A,"157464 מדיקל הצפון ב.מ-חורי",'Source'!$B:$B,$A45)</f>
        <v>3</v>
      </c>
      <c r="E45" s="8" t="n">
        <f aca="false">D45*$J$5</f>
        <v>3.78947368421053</v>
      </c>
      <c r="F45" s="8" t="n">
        <f aca="false">E45-C45</f>
        <v>-3.21052631578947</v>
      </c>
      <c r="G45" s="9" t="n">
        <f aca="false">IF(AND(C45=0,E45=0),0,IF(C45=0,"New",(E45-C45)/C45))</f>
        <v>-0.458646616541353</v>
      </c>
      <c r="H45" s="8" t="n">
        <f aca="false">SUMIFS('Source'!$E:$E,'Source'!$A:$A,"157464 מדיקל הצפון ב.מ-חורי",'Source'!$B:$B,$A45)</f>
        <v>594.98</v>
      </c>
      <c r="I45" s="8" t="n">
        <f aca="false">SUMIFS('Source'!$G:$G,'Source'!$A:$A,"157464 מדיקל הצפון ב.מ-חורי",'Source'!$B:$B,$A45)</f>
        <v>254.99</v>
      </c>
      <c r="J45" s="8" t="n">
        <f aca="false">I45*$J$5</f>
        <v>322.092631578947</v>
      </c>
      <c r="K45" s="8" t="n">
        <f aca="false">J45-H45</f>
        <v>-272.887368421053</v>
      </c>
      <c r="L45" s="9" t="n">
        <f aca="false">IF(AND(H45=0,J45=0),0,IF(H45=0,"New",(J45-H45)/H45))</f>
        <v>-0.458649649435364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1020</v>
      </c>
      <c r="B46" s="7" t="str">
        <f aca="false">IFERROR(INDEX('Source'!$C:$C,MATCH($A46,'Source'!$B:$B,0)),"")</f>
        <v>מ.ברך ארוך+כ. סיל.+ציר D</v>
      </c>
      <c r="C46" s="8" t="n">
        <f aca="false">SUMIFS('Source'!$D:$D,'Source'!$A:$A,"157464 מדיקל הצפון ב.מ-חורי",'Source'!$B:$B,$A46)</f>
        <v>0</v>
      </c>
      <c r="D46" s="8" t="n">
        <f aca="false">SUMIFS('Source'!$F:$F,'Source'!$A:$A,"157464 מדיקל הצפון ב.מ-חורי",'Source'!$B:$B,$A46)</f>
        <v>1</v>
      </c>
      <c r="E46" s="8" t="n">
        <f aca="false">D46*$J$5</f>
        <v>1.26315789473684</v>
      </c>
      <c r="F46" s="8" t="n">
        <f aca="false">E46-C46</f>
        <v>1.26315789473684</v>
      </c>
      <c r="G46" s="9" t="str">
        <f aca="false">IF(AND(C46=0,E46=0),0,IF(C46=0,"New",(E46-C46)/C46))</f>
        <v>New</v>
      </c>
      <c r="H46" s="8" t="n">
        <f aca="false">SUMIFS('Source'!$E:$E,'Source'!$A:$A,"157464 מדיקל הצפון ב.מ-חורי",'Source'!$B:$B,$A46)</f>
        <v>0</v>
      </c>
      <c r="I46" s="8" t="n">
        <f aca="false">SUMIFS('Source'!$G:$G,'Source'!$A:$A,"157464 מדיקל הצפון ב.מ-חורי",'Source'!$B:$B,$A46)</f>
        <v>330.88</v>
      </c>
      <c r="J46" s="8" t="n">
        <f aca="false">I46*$J$5</f>
        <v>417.953684210526</v>
      </c>
      <c r="K46" s="8" t="n">
        <f aca="false">J46-H46</f>
        <v>417.953684210526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1021</v>
      </c>
      <c r="B47" s="7" t="str">
        <f aca="false">IFERROR(INDEX('Source'!$C:$C,MATCH($A47,'Source'!$B:$B,0)),"")</f>
        <v>מ.ברך ארוך+כ. סיל.+ציר D</v>
      </c>
      <c r="C47" s="8" t="n">
        <f aca="false">SUMIFS('Source'!$D:$D,'Source'!$A:$A,"157464 מדיקל הצפון ב.מ-חורי",'Source'!$B:$B,$A47)</f>
        <v>0</v>
      </c>
      <c r="D47" s="8" t="n">
        <f aca="false">SUMIFS('Source'!$F:$F,'Source'!$A:$A,"157464 מדיקל הצפון ב.מ-חורי",'Source'!$B:$B,$A47)</f>
        <v>1</v>
      </c>
      <c r="E47" s="8" t="n">
        <f aca="false">D47*$J$5</f>
        <v>1.26315789473684</v>
      </c>
      <c r="F47" s="8" t="n">
        <f aca="false">E47-C47</f>
        <v>1.26315789473684</v>
      </c>
      <c r="G47" s="9" t="str">
        <f aca="false">IF(AND(C47=0,E47=0),0,IF(C47=0,"New",(E47-C47)/C47))</f>
        <v>New</v>
      </c>
      <c r="H47" s="8" t="n">
        <f aca="false">SUMIFS('Source'!$E:$E,'Source'!$A:$A,"157464 מדיקל הצפון ב.מ-חורי",'Source'!$B:$B,$A47)</f>
        <v>0</v>
      </c>
      <c r="I47" s="8" t="n">
        <f aca="false">SUMIFS('Source'!$G:$G,'Source'!$A:$A,"157464 מדיקל הצפון ב.מ-חורי",'Source'!$B:$B,$A47)</f>
        <v>330.88</v>
      </c>
      <c r="J47" s="8" t="n">
        <f aca="false">I47*$J$5</f>
        <v>417.953684210526</v>
      </c>
      <c r="K47" s="8" t="n">
        <f aca="false">J47-H47</f>
        <v>417.953684210526</v>
      </c>
      <c r="L47" s="9" t="str">
        <f aca="false">IF(AND(H47=0,J47=0),0,IF(H47=0,"New",(J47-H47)/H47))</f>
        <v>New</v>
      </c>
      <c r="M47" s="7" t="str">
        <f aca="false">IF(AND(OR(C47&lt;&gt;0,H47&lt;&gt;0),D47=0,I47=0),"DROP",IF(AND(OR(D47&lt;&gt;0,I47&lt;&gt;0),C47=0,H47=0),"NEW",""))</f>
        <v>NEW</v>
      </c>
    </row>
    <row r="48" customFormat="false" ht="15" hidden="false" customHeight="false" outlineLevel="0" collapsed="false">
      <c r="A48" s="7" t="s">
        <v>1022</v>
      </c>
      <c r="B48" s="7" t="str">
        <f aca="false">IFERROR(INDEX('Source'!$C:$C,MATCH($A48,'Source'!$B:$B,0)),"")</f>
        <v>כ. סיל.+ציר D</v>
      </c>
      <c r="C48" s="8" t="n">
        <f aca="false">SUMIFS('Source'!$D:$D,'Source'!$A:$A,"157464 מדיקל הצפון ב.מ-חורי",'Source'!$B:$B,$A48)</f>
        <v>1</v>
      </c>
      <c r="D48" s="8" t="n">
        <f aca="false">SUMIFS('Source'!$F:$F,'Source'!$A:$A,"157464 מדיקל הצפון ב.מ-חורי",'Source'!$B:$B,$A48)</f>
        <v>0</v>
      </c>
      <c r="E48" s="8" t="n">
        <f aca="false">D48*$J$5</f>
        <v>0</v>
      </c>
      <c r="F48" s="8" t="n">
        <f aca="false">E48-C48</f>
        <v>-1</v>
      </c>
      <c r="G48" s="9" t="n">
        <f aca="false">IF(AND(C48=0,E48=0),0,IF(C48=0,"New",(E48-C48)/C48))</f>
        <v>-1</v>
      </c>
      <c r="H48" s="8" t="n">
        <f aca="false">SUMIFS('Source'!$E:$E,'Source'!$A:$A,"157464 מדיקל הצפון ב.מ-חורי",'Source'!$B:$B,$A48)</f>
        <v>330.86</v>
      </c>
      <c r="I48" s="8" t="n">
        <f aca="false">SUMIFS('Source'!$G:$G,'Source'!$A:$A,"157464 מדיקל הצפון ב.מ-חורי",'Source'!$B:$B,$A48)</f>
        <v>0</v>
      </c>
      <c r="J48" s="8" t="n">
        <f aca="false">I48*$J$5</f>
        <v>0</v>
      </c>
      <c r="K48" s="8" t="n">
        <f aca="false">J48-H48</f>
        <v>-330.86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1023</v>
      </c>
      <c r="B49" s="7" t="str">
        <f aca="false">IFERROR(INDEX('Source'!$C:$C,MATCH($A49,'Source'!$B:$B,0)),"")</f>
        <v>כ. סיל.+ציר D</v>
      </c>
      <c r="C49" s="8" t="n">
        <f aca="false">SUMIFS('Source'!$D:$D,'Source'!$A:$A,"157464 מדיקל הצפון ב.מ-חורי",'Source'!$B:$B,$A49)</f>
        <v>1</v>
      </c>
      <c r="D49" s="8" t="n">
        <f aca="false">SUMIFS('Source'!$F:$F,'Source'!$A:$A,"157464 מדיקל הצפון ב.מ-חורי",'Source'!$B:$B,$A49)</f>
        <v>0</v>
      </c>
      <c r="E49" s="8" t="n">
        <f aca="false">D49*$J$5</f>
        <v>0</v>
      </c>
      <c r="F49" s="8" t="n">
        <f aca="false">E49-C49</f>
        <v>-1</v>
      </c>
      <c r="G49" s="9" t="n">
        <f aca="false">IF(AND(C49=0,E49=0),0,IF(C49=0,"New",(E49-C49)/C49))</f>
        <v>-1</v>
      </c>
      <c r="H49" s="8" t="n">
        <f aca="false">SUMIFS('Source'!$E:$E,'Source'!$A:$A,"157464 מדיקל הצפון ב.מ-חורי",'Source'!$B:$B,$A49)</f>
        <v>330.86</v>
      </c>
      <c r="I49" s="8" t="n">
        <f aca="false">SUMIFS('Source'!$G:$G,'Source'!$A:$A,"157464 מדיקל הצפון ב.מ-חורי",'Source'!$B:$B,$A49)</f>
        <v>0</v>
      </c>
      <c r="J49" s="8" t="n">
        <f aca="false">I49*$J$5</f>
        <v>0</v>
      </c>
      <c r="K49" s="8" t="n">
        <f aca="false">J49-H49</f>
        <v>-330.86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383</v>
      </c>
      <c r="B50" s="7" t="str">
        <f aca="false">IFERROR(INDEX('Source'!$C:$C,MATCH($A50,'Source'!$B:$B,0)),"")</f>
        <v>מישר כתפיים רחב+תמיכה לבית השח</v>
      </c>
      <c r="C50" s="8" t="n">
        <f aca="false">SUMIFS('Source'!$D:$D,'Source'!$A:$A,"157464 מדיקל הצפון ב.מ-חורי",'Source'!$B:$B,$A50)</f>
        <v>2</v>
      </c>
      <c r="D50" s="8" t="n">
        <f aca="false">SUMIFS('Source'!$F:$F,'Source'!$A:$A,"157464 מדיקל הצפון ב.מ-חורי",'Source'!$B:$B,$A50)</f>
        <v>0</v>
      </c>
      <c r="E50" s="8" t="n">
        <f aca="false">D50*$J$5</f>
        <v>0</v>
      </c>
      <c r="F50" s="8" t="n">
        <f aca="false">E50-C50</f>
        <v>-2</v>
      </c>
      <c r="G50" s="9" t="n">
        <f aca="false">IF(AND(C50=0,E50=0),0,IF(C50=0,"New",(E50-C50)/C50))</f>
        <v>-1</v>
      </c>
      <c r="H50" s="8" t="n">
        <f aca="false">SUMIFS('Source'!$E:$E,'Source'!$A:$A,"157464 מדיקל הצפון ב.מ-חורי",'Source'!$B:$B,$A50)</f>
        <v>320</v>
      </c>
      <c r="I50" s="8" t="n">
        <f aca="false">SUMIFS('Source'!$G:$G,'Source'!$A:$A,"157464 מדיקל הצפון ב.מ-חורי",'Source'!$B:$B,$A50)</f>
        <v>0</v>
      </c>
      <c r="J50" s="8" t="n">
        <f aca="false">I50*$J$5</f>
        <v>0</v>
      </c>
      <c r="K50" s="8" t="n">
        <f aca="false">J50-H50</f>
        <v>-320</v>
      </c>
      <c r="L50" s="9" t="n">
        <f aca="false">IF(AND(H50=0,J50=0),0,IF(H50=0,"New",(J50-H50)/H50))</f>
        <v>-1</v>
      </c>
      <c r="M50" s="7" t="str">
        <f aca="false">IF(AND(OR(C50&lt;&gt;0,H50&lt;&gt;0),D50=0,I50=0),"DROP",IF(AND(OR(D50&lt;&gt;0,I50&lt;&gt;0),C50=0,H50=0),"NEW",""))</f>
        <v>DROP</v>
      </c>
    </row>
    <row r="51" customFormat="false" ht="15" hidden="false" customHeight="false" outlineLevel="0" collapsed="false">
      <c r="A51" s="7" t="s">
        <v>385</v>
      </c>
      <c r="B51" s="7" t="str">
        <f aca="false">IFERROR(INDEX('Source'!$C:$C,MATCH($A51,'Source'!$B:$B,0)),"")</f>
        <v>חגורת שבר דו צדדית</v>
      </c>
      <c r="C51" s="8" t="n">
        <f aca="false">SUMIFS('Source'!$D:$D,'Source'!$A:$A,"157464 מדיקל הצפון ב.מ-חורי",'Source'!$B:$B,$A51)</f>
        <v>2</v>
      </c>
      <c r="D51" s="8" t="n">
        <f aca="false">SUMIFS('Source'!$F:$F,'Source'!$A:$A,"157464 מדיקל הצפון ב.מ-חורי",'Source'!$B:$B,$A51)</f>
        <v>0</v>
      </c>
      <c r="E51" s="8" t="n">
        <f aca="false">D51*$J$5</f>
        <v>0</v>
      </c>
      <c r="F51" s="8" t="n">
        <f aca="false">E51-C51</f>
        <v>-2</v>
      </c>
      <c r="G51" s="9" t="n">
        <f aca="false">IF(AND(C51=0,E51=0),0,IF(C51=0,"New",(E51-C51)/C51))</f>
        <v>-1</v>
      </c>
      <c r="H51" s="8" t="n">
        <f aca="false">SUMIFS('Source'!$E:$E,'Source'!$A:$A,"157464 מדיקל הצפון ב.מ-חורי",'Source'!$B:$B,$A51)</f>
        <v>316.24</v>
      </c>
      <c r="I51" s="8" t="n">
        <f aca="false">SUMIFS('Source'!$G:$G,'Source'!$A:$A,"157464 מדיקל הצפון ב.מ-חורי",'Source'!$B:$B,$A51)</f>
        <v>0</v>
      </c>
      <c r="J51" s="8" t="n">
        <f aca="false">I51*$J$5</f>
        <v>0</v>
      </c>
      <c r="K51" s="8" t="n">
        <f aca="false">J51-H51</f>
        <v>-316.24</v>
      </c>
      <c r="L51" s="9" t="n">
        <f aca="false">IF(AND(H51=0,J51=0),0,IF(H51=0,"New",(J51-H51)/H51))</f>
        <v>-1</v>
      </c>
      <c r="M51" s="7" t="str">
        <f aca="false">IF(AND(OR(C51&lt;&gt;0,H51&lt;&gt;0),D51=0,I51=0),"DROP",IF(AND(OR(D51&lt;&gt;0,I51&lt;&gt;0),C51=0,H51=0),"NEW",""))</f>
        <v>DROP</v>
      </c>
    </row>
    <row r="52" customFormat="false" ht="15" hidden="false" customHeight="false" outlineLevel="0" collapsed="false">
      <c r="A52" s="7" t="s">
        <v>476</v>
      </c>
      <c r="B52" s="7" t="str">
        <f aca="false">IFERROR(INDEX('Source'!$C:$C,MATCH($A52,'Source'!$B:$B,0)),"")</f>
        <v>סד יד דו צדדי</v>
      </c>
      <c r="C52" s="8" t="n">
        <f aca="false">SUMIFS('Source'!$D:$D,'Source'!$A:$A,"157464 מדיקל הצפון ב.מ-חורי",'Source'!$B:$B,$A52)</f>
        <v>3</v>
      </c>
      <c r="D52" s="8" t="n">
        <f aca="false">SUMIFS('Source'!$F:$F,'Source'!$A:$A,"157464 מדיקל הצפון ב.מ-חורי",'Source'!$B:$B,$A52)</f>
        <v>0</v>
      </c>
      <c r="E52" s="8" t="n">
        <f aca="false">D52*$J$5</f>
        <v>0</v>
      </c>
      <c r="F52" s="8" t="n">
        <f aca="false">E52-C52</f>
        <v>-3</v>
      </c>
      <c r="G52" s="9" t="n">
        <f aca="false">IF(AND(C52=0,E52=0),0,IF(C52=0,"New",(E52-C52)/C52))</f>
        <v>-1</v>
      </c>
      <c r="H52" s="8" t="n">
        <f aca="false">SUMIFS('Source'!$E:$E,'Source'!$A:$A,"157464 מדיקל הצפון ב.מ-חורי",'Source'!$B:$B,$A52)</f>
        <v>309.22</v>
      </c>
      <c r="I52" s="8" t="n">
        <f aca="false">SUMIFS('Source'!$G:$G,'Source'!$A:$A,"157464 מדיקל הצפון ב.מ-חורי",'Source'!$B:$B,$A52)</f>
        <v>0</v>
      </c>
      <c r="J52" s="8" t="n">
        <f aca="false">I52*$J$5</f>
        <v>0</v>
      </c>
      <c r="K52" s="8" t="n">
        <f aca="false">J52-H52</f>
        <v>-309.22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792</v>
      </c>
      <c r="B53" s="7" t="str">
        <f aca="false">IFERROR(INDEX('Source'!$C:$C,MATCH($A53,'Source'!$B:$B,0)),"")</f>
        <v>סד לאגודל</v>
      </c>
      <c r="C53" s="8" t="n">
        <f aca="false">SUMIFS('Source'!$D:$D,'Source'!$A:$A,"157464 מדיקל הצפון ב.מ-חורי",'Source'!$B:$B,$A53)</f>
        <v>5</v>
      </c>
      <c r="D53" s="8" t="n">
        <f aca="false">SUMIFS('Source'!$F:$F,'Source'!$A:$A,"157464 מדיקל הצפון ב.מ-חורי",'Source'!$B:$B,$A53)</f>
        <v>2</v>
      </c>
      <c r="E53" s="8" t="n">
        <f aca="false">D53*$J$5</f>
        <v>2.52631578947368</v>
      </c>
      <c r="F53" s="8" t="n">
        <f aca="false">E53-C53</f>
        <v>-2.47368421052632</v>
      </c>
      <c r="G53" s="9" t="n">
        <f aca="false">IF(AND(C53=0,E53=0),0,IF(C53=0,"New",(E53-C53)/C53))</f>
        <v>-0.494736842105263</v>
      </c>
      <c r="H53" s="8" t="n">
        <f aca="false">SUMIFS('Source'!$E:$E,'Source'!$A:$A,"157464 מדיקל הצפון ב.מ-חורי",'Source'!$B:$B,$A53)</f>
        <v>515.36</v>
      </c>
      <c r="I53" s="8" t="n">
        <f aca="false">SUMIFS('Source'!$G:$G,'Source'!$A:$A,"157464 מדיקל הצפון ב.מ-חורי",'Source'!$B:$B,$A53)</f>
        <v>206.14</v>
      </c>
      <c r="J53" s="8" t="n">
        <f aca="false">I53*$J$5</f>
        <v>260.387368421053</v>
      </c>
      <c r="K53" s="8" t="n">
        <f aca="false">J53-H53</f>
        <v>-254.972631578947</v>
      </c>
      <c r="L53" s="9" t="n">
        <f aca="false">IF(AND(H53=0,J53=0),0,IF(H53=0,"New",(J53-H53)/H53))</f>
        <v>-0.494746646187029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353</v>
      </c>
      <c r="B54" s="7" t="str">
        <f aca="false">IFERROR(INDEX('Source'!$C:$C,MATCH($A54,'Source'!$B:$B,0)),"")</f>
        <v>סד יד דו צדדי</v>
      </c>
      <c r="C54" s="8" t="n">
        <f aca="false">SUMIFS('Source'!$D:$D,'Source'!$A:$A,"157464 מדיקל הצפון ב.מ-חורי",'Source'!$B:$B,$A54)</f>
        <v>0</v>
      </c>
      <c r="D54" s="8" t="n">
        <f aca="false">SUMIFS('Source'!$F:$F,'Source'!$A:$A,"157464 מדיקל הצפון ב.מ-חורי",'Source'!$B:$B,$A54)</f>
        <v>3</v>
      </c>
      <c r="E54" s="8" t="n">
        <f aca="false">D54*$J$5</f>
        <v>3.78947368421053</v>
      </c>
      <c r="F54" s="8" t="n">
        <f aca="false">E54-C54</f>
        <v>3.78947368421053</v>
      </c>
      <c r="G54" s="9" t="str">
        <f aca="false">IF(AND(C54=0,E54=0),0,IF(C54=0,"New",(E54-C54)/C54))</f>
        <v>New</v>
      </c>
      <c r="H54" s="8" t="n">
        <f aca="false">SUMIFS('Source'!$E:$E,'Source'!$A:$A,"157464 מדיקל הצפון ב.מ-חורי",'Source'!$B:$B,$A54)</f>
        <v>0</v>
      </c>
      <c r="I54" s="8" t="n">
        <f aca="false">SUMIFS('Source'!$G:$G,'Source'!$A:$A,"157464 מדיקל הצפון ב.מ-חורי",'Source'!$B:$B,$A54)</f>
        <v>309.21</v>
      </c>
      <c r="J54" s="8" t="n">
        <f aca="false">I54*$J$5</f>
        <v>390.581052631579</v>
      </c>
      <c r="K54" s="8" t="n">
        <f aca="false">J54-H54</f>
        <v>390.581052631579</v>
      </c>
      <c r="L54" s="9" t="str">
        <f aca="false">IF(AND(H54=0,J54=0),0,IF(H54=0,"New",(J54-H54)/H54))</f>
        <v>New</v>
      </c>
      <c r="M54" s="7" t="str">
        <f aca="false">IF(AND(OR(C54&lt;&gt;0,H54&lt;&gt;0),D54=0,I54=0),"DROP",IF(AND(OR(D54&lt;&gt;0,I54&lt;&gt;0),C54=0,H54=0),"NEW",""))</f>
        <v>NEW</v>
      </c>
    </row>
    <row r="55" customFormat="false" ht="15" hidden="false" customHeight="false" outlineLevel="0" collapsed="false">
      <c r="A55" s="7" t="s">
        <v>517</v>
      </c>
      <c r="B55" s="7" t="str">
        <f aca="false">IFERROR(INDEX('Source'!$C:$C,MATCH($A55,'Source'!$B:$B,0)),"")</f>
        <v>סד לילה לבוהן</v>
      </c>
      <c r="C55" s="8" t="n">
        <f aca="false">SUMIFS('Source'!$D:$D,'Source'!$A:$A,"157464 מדיקל הצפון ב.מ-חורי",'Source'!$B:$B,$A55)</f>
        <v>3</v>
      </c>
      <c r="D55" s="8" t="n">
        <f aca="false">SUMIFS('Source'!$F:$F,'Source'!$A:$A,"157464 מדיקל הצפון ב.מ-חורי",'Source'!$B:$B,$A55)</f>
        <v>8</v>
      </c>
      <c r="E55" s="8" t="n">
        <f aca="false">D55*$J$5</f>
        <v>10.1052631578947</v>
      </c>
      <c r="F55" s="8" t="n">
        <f aca="false">E55-C55</f>
        <v>7.10526315789474</v>
      </c>
      <c r="G55" s="9" t="n">
        <f aca="false">IF(AND(C55=0,E55=0),0,IF(C55=0,"New",(E55-C55)/C55))</f>
        <v>2.36842105263158</v>
      </c>
      <c r="H55" s="8" t="n">
        <f aca="false">SUMIFS('Source'!$E:$E,'Source'!$A:$A,"157464 מדיקל הצפון ב.מ-חורי",'Source'!$B:$B,$A55)</f>
        <v>180</v>
      </c>
      <c r="I55" s="8" t="n">
        <f aca="false">SUMIFS('Source'!$G:$G,'Source'!$A:$A,"157464 מדיקל הצפון ב.מ-חורי",'Source'!$B:$B,$A55)</f>
        <v>480</v>
      </c>
      <c r="J55" s="8" t="n">
        <f aca="false">I55*$J$5</f>
        <v>606.315789473684</v>
      </c>
      <c r="K55" s="8" t="n">
        <f aca="false">J55-H55</f>
        <v>426.315789473684</v>
      </c>
      <c r="L55" s="9" t="n">
        <f aca="false">IF(AND(H55=0,J55=0),0,IF(H55=0,"New",(J55-H55)/H55))</f>
        <v>2.36842105263158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650</v>
      </c>
      <c r="B56" s="7" t="str">
        <f aca="false">IFERROR(INDEX('Source'!$C:$C,MATCH($A56,'Source'!$B:$B,0)),"")</f>
        <v>כ.הפרדת אצבעות ס</v>
      </c>
      <c r="C56" s="8" t="n">
        <f aca="false">SUMIFS('Source'!$D:$D,'Source'!$A:$A,"157464 מדיקל הצפון ב.מ-חורי",'Source'!$B:$B,$A56)</f>
        <v>20</v>
      </c>
      <c r="D56" s="8" t="n">
        <f aca="false">SUMIFS('Source'!$F:$F,'Source'!$A:$A,"157464 מדיקל הצפון ב.מ-חורי",'Source'!$B:$B,$A56)</f>
        <v>0</v>
      </c>
      <c r="E56" s="8" t="n">
        <f aca="false">D56*$J$5</f>
        <v>0</v>
      </c>
      <c r="F56" s="8" t="n">
        <f aca="false">E56-C56</f>
        <v>-20</v>
      </c>
      <c r="G56" s="9" t="n">
        <f aca="false">IF(AND(C56=0,E56=0),0,IF(C56=0,"New",(E56-C56)/C56))</f>
        <v>-1</v>
      </c>
      <c r="H56" s="8" t="n">
        <f aca="false">SUMIFS('Source'!$E:$E,'Source'!$A:$A,"157464 מדיקל הצפון ב.מ-חורי",'Source'!$B:$B,$A56)</f>
        <v>289.65</v>
      </c>
      <c r="I56" s="8" t="n">
        <f aca="false">SUMIFS('Source'!$G:$G,'Source'!$A:$A,"157464 מדיקל הצפון ב.מ-חורי",'Source'!$B:$B,$A56)</f>
        <v>0</v>
      </c>
      <c r="J56" s="8" t="n">
        <f aca="false">I56*$J$5</f>
        <v>0</v>
      </c>
      <c r="K56" s="8" t="n">
        <f aca="false">J56-H56</f>
        <v>-289.65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1010</v>
      </c>
      <c r="B57" s="7" t="str">
        <f aca="false">IFERROR(INDEX('Source'!$C:$C,MATCH($A57,'Source'!$B:$B,0)),"")</f>
        <v>מגן קרסול+כרית סיליקון</v>
      </c>
      <c r="C57" s="8" t="n">
        <f aca="false">SUMIFS('Source'!$D:$D,'Source'!$A:$A,"157464 מדיקל הצפון ב.מ-חורי",'Source'!$B:$B,$A57)</f>
        <v>7</v>
      </c>
      <c r="D57" s="8" t="n">
        <f aca="false">SUMIFS('Source'!$F:$F,'Source'!$A:$A,"157464 מדיקל הצפון ב.מ-חורי",'Source'!$B:$B,$A57)</f>
        <v>3</v>
      </c>
      <c r="E57" s="8" t="n">
        <f aca="false">D57*$J$5</f>
        <v>3.78947368421053</v>
      </c>
      <c r="F57" s="8" t="n">
        <f aca="false">E57-C57</f>
        <v>-3.21052631578947</v>
      </c>
      <c r="G57" s="9" t="n">
        <f aca="false">IF(AND(C57=0,E57=0),0,IF(C57=0,"New",(E57-C57)/C57))</f>
        <v>-0.458646616541353</v>
      </c>
      <c r="H57" s="8" t="n">
        <f aca="false">SUMIFS('Source'!$E:$E,'Source'!$A:$A,"157464 מדיקל הצפון ב.מ-חורי",'Source'!$B:$B,$A57)</f>
        <v>495.29</v>
      </c>
      <c r="I57" s="8" t="n">
        <f aca="false">SUMIFS('Source'!$G:$G,'Source'!$A:$A,"157464 מדיקל הצפון ב.מ-חורי",'Source'!$B:$B,$A57)</f>
        <v>209.99</v>
      </c>
      <c r="J57" s="8" t="n">
        <f aca="false">I57*$J$5</f>
        <v>265.250526315789</v>
      </c>
      <c r="K57" s="8" t="n">
        <f aca="false">J57-H57</f>
        <v>-230.039473684211</v>
      </c>
      <c r="L57" s="9" t="n">
        <f aca="false">IF(AND(H57=0,J57=0),0,IF(H57=0,"New",(J57-H57)/H57))</f>
        <v>-0.464454105037878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129</v>
      </c>
      <c r="B58" s="7" t="str">
        <f aca="false">IFERROR(INDEX('Source'!$C:$C,MATCH($A58,'Source'!$B:$B,0)),"")</f>
        <v>רצועה לפיקה+כרית</v>
      </c>
      <c r="C58" s="8" t="n">
        <f aca="false">SUMIFS('Source'!$D:$D,'Source'!$A:$A,"157464 מדיקל הצפון ב.מ-חורי",'Source'!$B:$B,$A58)</f>
        <v>5</v>
      </c>
      <c r="D58" s="8" t="n">
        <f aca="false">SUMIFS('Source'!$F:$F,'Source'!$A:$A,"157464 מדיקל הצפון ב.מ-חורי",'Source'!$B:$B,$A58)</f>
        <v>8</v>
      </c>
      <c r="E58" s="8" t="n">
        <f aca="false">D58*$J$5</f>
        <v>10.1052631578947</v>
      </c>
      <c r="F58" s="8" t="n">
        <f aca="false">E58-C58</f>
        <v>5.10526315789474</v>
      </c>
      <c r="G58" s="9" t="n">
        <f aca="false">IF(AND(C58=0,E58=0),0,IF(C58=0,"New",(E58-C58)/C58))</f>
        <v>1.02105263157895</v>
      </c>
      <c r="H58" s="8" t="n">
        <f aca="false">SUMIFS('Source'!$E:$E,'Source'!$A:$A,"157464 מדיקל הצפון ב.מ-חורי",'Source'!$B:$B,$A58)</f>
        <v>473.17</v>
      </c>
      <c r="I58" s="8" t="n">
        <f aca="false">SUMIFS('Source'!$G:$G,'Source'!$A:$A,"157464 מדיקל הצפון ב.מ-חורי",'Source'!$B:$B,$A58)</f>
        <v>757.07</v>
      </c>
      <c r="J58" s="8" t="n">
        <f aca="false">I58*$J$5</f>
        <v>956.298947368421</v>
      </c>
      <c r="K58" s="8" t="n">
        <f aca="false">J58-H58</f>
        <v>483.128947368421</v>
      </c>
      <c r="L58" s="9" t="n">
        <f aca="false">IF(AND(H58=0,J58=0),0,IF(H58=0,"New",(J58-H58)/H58))</f>
        <v>1.02104729244969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287</v>
      </c>
      <c r="B59" s="7" t="str">
        <f aca="false">IFERROR(INDEX('Source'!$C:$C,MATCH($A59,'Source'!$B:$B,0)),"")</f>
        <v>חגורת שבר לצד ימין</v>
      </c>
      <c r="C59" s="8" t="n">
        <f aca="false">SUMIFS('Source'!$D:$D,'Source'!$A:$A,"157464 מדיקל הצפון ב.מ-חורי",'Source'!$B:$B,$A59)</f>
        <v>0</v>
      </c>
      <c r="D59" s="8" t="n">
        <f aca="false">SUMIFS('Source'!$F:$F,'Source'!$A:$A,"157464 מדיקל הצפון ב.מ-חורי",'Source'!$B:$B,$A59)</f>
        <v>2</v>
      </c>
      <c r="E59" s="8" t="n">
        <f aca="false">D59*$J$5</f>
        <v>2.52631578947368</v>
      </c>
      <c r="F59" s="8" t="n">
        <f aca="false">E59-C59</f>
        <v>2.52631578947368</v>
      </c>
      <c r="G59" s="9" t="str">
        <f aca="false">IF(AND(C59=0,E59=0),0,IF(C59=0,"New",(E59-C59)/C59))</f>
        <v>New</v>
      </c>
      <c r="H59" s="8" t="n">
        <f aca="false">SUMIFS('Source'!$E:$E,'Source'!$A:$A,"157464 מדיקל הצפון ב.מ-חורי",'Source'!$B:$B,$A59)</f>
        <v>0</v>
      </c>
      <c r="I59" s="8" t="n">
        <f aca="false">SUMIFS('Source'!$G:$G,'Source'!$A:$A,"157464 מדיקל הצפון ב.מ-חורי",'Source'!$B:$B,$A59)</f>
        <v>280</v>
      </c>
      <c r="J59" s="8" t="n">
        <f aca="false">I59*$J$5</f>
        <v>353.684210526316</v>
      </c>
      <c r="K59" s="8" t="n">
        <f aca="false">J59-H59</f>
        <v>353.684210526316</v>
      </c>
      <c r="L59" s="9" t="str">
        <f aca="false">IF(AND(H59=0,J59=0),0,IF(H59=0,"New",(J59-H59)/H59))</f>
        <v>New</v>
      </c>
      <c r="M59" s="7" t="str">
        <f aca="false">IF(AND(OR(C59&lt;&gt;0,H59&lt;&gt;0),D59=0,I59=0),"DROP",IF(AND(OR(D59&lt;&gt;0,I59&lt;&gt;0),C59=0,H59=0),"NEW",""))</f>
        <v>NEW</v>
      </c>
    </row>
    <row r="60" customFormat="false" ht="15" hidden="false" customHeight="false" outlineLevel="0" collapsed="false">
      <c r="A60" s="7" t="s">
        <v>314</v>
      </c>
      <c r="B60" s="7" t="str">
        <f aca="false">IFERROR(INDEX('Source'!$C:$C,MATCH($A60,'Source'!$B:$B,0)),"")</f>
        <v>חגורת שבר לצד שמאל</v>
      </c>
      <c r="C60" s="8" t="n">
        <f aca="false">SUMIFS('Source'!$D:$D,'Source'!$A:$A,"157464 מדיקל הצפון ב.מ-חורי",'Source'!$B:$B,$A60)</f>
        <v>1</v>
      </c>
      <c r="D60" s="8" t="n">
        <f aca="false">SUMIFS('Source'!$F:$F,'Source'!$A:$A,"157464 מדיקל הצפון ב.מ-חורי",'Source'!$B:$B,$A60)</f>
        <v>3</v>
      </c>
      <c r="E60" s="8" t="n">
        <f aca="false">D60*$J$5</f>
        <v>3.78947368421053</v>
      </c>
      <c r="F60" s="8" t="n">
        <f aca="false">E60-C60</f>
        <v>2.78947368421053</v>
      </c>
      <c r="G60" s="9" t="n">
        <f aca="false">IF(AND(C60=0,E60=0),0,IF(C60=0,"New",(E60-C60)/C60))</f>
        <v>2.78947368421053</v>
      </c>
      <c r="H60" s="8" t="n">
        <f aca="false">SUMIFS('Source'!$E:$E,'Source'!$A:$A,"157464 מדיקל הצפון ב.מ-חורי",'Source'!$B:$B,$A60)</f>
        <v>140</v>
      </c>
      <c r="I60" s="8" t="n">
        <f aca="false">SUMIFS('Source'!$G:$G,'Source'!$A:$A,"157464 מדיקל הצפון ב.מ-חורי",'Source'!$B:$B,$A60)</f>
        <v>420</v>
      </c>
      <c r="J60" s="8" t="n">
        <f aca="false">I60*$J$5</f>
        <v>530.526315789474</v>
      </c>
      <c r="K60" s="8" t="n">
        <f aca="false">J60-H60</f>
        <v>390.526315789474</v>
      </c>
      <c r="L60" s="9" t="n">
        <f aca="false">IF(AND(H60=0,J60=0),0,IF(H60=0,"New",(J60-H60)/H60))</f>
        <v>2.78947368421053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249</v>
      </c>
      <c r="B61" s="7" t="str">
        <f aca="false">IFERROR(INDEX('Source'!$C:$C,MATCH($A61,'Source'!$B:$B,0)),"")</f>
        <v>חגורת שבר לצד שמאל</v>
      </c>
      <c r="C61" s="8" t="n">
        <f aca="false">SUMIFS('Source'!$D:$D,'Source'!$A:$A,"157464 מדיקל הצפון ב.מ-חורי",'Source'!$B:$B,$A61)</f>
        <v>0</v>
      </c>
      <c r="D61" s="8" t="n">
        <f aca="false">SUMIFS('Source'!$F:$F,'Source'!$A:$A,"157464 מדיקל הצפון ב.מ-חורי",'Source'!$B:$B,$A61)</f>
        <v>2</v>
      </c>
      <c r="E61" s="8" t="n">
        <f aca="false">D61*$J$5</f>
        <v>2.52631578947368</v>
      </c>
      <c r="F61" s="8" t="n">
        <f aca="false">E61-C61</f>
        <v>2.52631578947368</v>
      </c>
      <c r="G61" s="9" t="str">
        <f aca="false">IF(AND(C61=0,E61=0),0,IF(C61=0,"New",(E61-C61)/C61))</f>
        <v>New</v>
      </c>
      <c r="H61" s="8" t="n">
        <f aca="false">SUMIFS('Source'!$E:$E,'Source'!$A:$A,"157464 מדיקל הצפון ב.מ-חורי",'Source'!$B:$B,$A61)</f>
        <v>0</v>
      </c>
      <c r="I61" s="8" t="n">
        <f aca="false">SUMIFS('Source'!$G:$G,'Source'!$A:$A,"157464 מדיקל הצפון ב.מ-חורי",'Source'!$B:$B,$A61)</f>
        <v>280</v>
      </c>
      <c r="J61" s="8" t="n">
        <f aca="false">I61*$J$5</f>
        <v>353.684210526316</v>
      </c>
      <c r="K61" s="8" t="n">
        <f aca="false">J61-H61</f>
        <v>353.684210526316</v>
      </c>
      <c r="L61" s="9" t="str">
        <f aca="false">IF(AND(H61=0,J61=0),0,IF(H61=0,"New",(J61-H61)/H61))</f>
        <v>New</v>
      </c>
      <c r="M61" s="7" t="str">
        <f aca="false">IF(AND(OR(C61&lt;&gt;0,H61&lt;&gt;0),D61=0,I61=0),"DROP",IF(AND(OR(D61&lt;&gt;0,I61&lt;&gt;0),C61=0,H61=0),"NEW",""))</f>
        <v>NEW</v>
      </c>
    </row>
    <row r="62" customFormat="false" ht="15" hidden="false" customHeight="false" outlineLevel="0" collapsed="false">
      <c r="A62" s="7" t="s">
        <v>1024</v>
      </c>
      <c r="B62" s="7" t="str">
        <f aca="false">IFERROR(INDEX('Source'!$C:$C,MATCH($A62,'Source'!$B:$B,0)),"")</f>
        <v>מגן קרסול+כרית סיליקון</v>
      </c>
      <c r="C62" s="8" t="n">
        <f aca="false">SUMIFS('Source'!$D:$D,'Source'!$A:$A,"157464 מדיקל הצפון ב.מ-חורי",'Source'!$B:$B,$A62)</f>
        <v>1</v>
      </c>
      <c r="D62" s="8" t="n">
        <f aca="false">SUMIFS('Source'!$F:$F,'Source'!$A:$A,"157464 מדיקל הצפון ב.מ-חורי",'Source'!$B:$B,$A62)</f>
        <v>5</v>
      </c>
      <c r="E62" s="8" t="n">
        <f aca="false">D62*$J$5</f>
        <v>6.31578947368421</v>
      </c>
      <c r="F62" s="8" t="n">
        <f aca="false">E62-C62</f>
        <v>5.31578947368421</v>
      </c>
      <c r="G62" s="9" t="n">
        <f aca="false">IF(AND(C62=0,E62=0),0,IF(C62=0,"New",(E62-C62)/C62))</f>
        <v>5.31578947368421</v>
      </c>
      <c r="H62" s="8" t="n">
        <f aca="false">SUMIFS('Source'!$E:$E,'Source'!$A:$A,"157464 מדיקל הצפון ב.מ-חורי",'Source'!$B:$B,$A62)</f>
        <v>70</v>
      </c>
      <c r="I62" s="8" t="n">
        <f aca="false">SUMIFS('Source'!$G:$G,'Source'!$A:$A,"157464 מדיקל הצפון ב.מ-חורי",'Source'!$B:$B,$A62)</f>
        <v>349.98</v>
      </c>
      <c r="J62" s="8" t="n">
        <f aca="false">I62*$J$5</f>
        <v>442.08</v>
      </c>
      <c r="K62" s="8" t="n">
        <f aca="false">J62-H62</f>
        <v>372.08</v>
      </c>
      <c r="L62" s="9" t="n">
        <f aca="false">IF(AND(H62=0,J62=0),0,IF(H62=0,"New",(J62-H62)/H62))</f>
        <v>5.31542857142857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356</v>
      </c>
      <c r="B63" s="7" t="str">
        <f aca="false">IFERROR(INDEX('Source'!$C:$C,MATCH($A63,'Source'!$B:$B,0)),"")</f>
        <v>שרוול לגבס קצר יד</v>
      </c>
      <c r="C63" s="8" t="n">
        <f aca="false">SUMIFS('Source'!$D:$D,'Source'!$A:$A,"157464 מדיקל הצפון ב.מ-חורי",'Source'!$B:$B,$A63)</f>
        <v>7</v>
      </c>
      <c r="D63" s="8" t="n">
        <f aca="false">SUMIFS('Source'!$F:$F,'Source'!$A:$A,"157464 מדיקל הצפון ב.מ-חורי",'Source'!$B:$B,$A63)</f>
        <v>0</v>
      </c>
      <c r="E63" s="8" t="n">
        <f aca="false">D63*$J$5</f>
        <v>0</v>
      </c>
      <c r="F63" s="8" t="n">
        <f aca="false">E63-C63</f>
        <v>-7</v>
      </c>
      <c r="G63" s="9" t="n">
        <f aca="false">IF(AND(C63=0,E63=0),0,IF(C63=0,"New",(E63-C63)/C63))</f>
        <v>-1</v>
      </c>
      <c r="H63" s="8" t="n">
        <f aca="false">SUMIFS('Source'!$E:$E,'Source'!$A:$A,"157464 מדיקל הצפון ב.מ-חורי",'Source'!$B:$B,$A63)</f>
        <v>278.57</v>
      </c>
      <c r="I63" s="8" t="n">
        <f aca="false">SUMIFS('Source'!$G:$G,'Source'!$A:$A,"157464 מדיקל הצפון ב.מ-חורי",'Source'!$B:$B,$A63)</f>
        <v>0</v>
      </c>
      <c r="J63" s="8" t="n">
        <f aca="false">I63*$J$5</f>
        <v>0</v>
      </c>
      <c r="K63" s="8" t="n">
        <f aca="false">J63-H63</f>
        <v>-278.57</v>
      </c>
      <c r="L63" s="9" t="n">
        <f aca="false">IF(AND(H63=0,J63=0),0,IF(H63=0,"New",(J63-H63)/H63))</f>
        <v>-1</v>
      </c>
      <c r="M63" s="7" t="str">
        <f aca="false">IF(AND(OR(C63&lt;&gt;0,H63&lt;&gt;0),D63=0,I63=0),"DROP",IF(AND(OR(D63&lt;&gt;0,I63&lt;&gt;0),C63=0,H63=0),"NEW",""))</f>
        <v>DROP</v>
      </c>
    </row>
    <row r="64" customFormat="false" ht="15" hidden="false" customHeight="false" outlineLevel="0" collapsed="false">
      <c r="A64" s="7" t="s">
        <v>220</v>
      </c>
      <c r="B64" s="7" t="str">
        <f aca="false">IFERROR(INDEX('Source'!$C:$C,MATCH($A64,'Source'!$B:$B,0)),"")</f>
        <v>חגורת היריון</v>
      </c>
      <c r="C64" s="8" t="n">
        <f aca="false">SUMIFS('Source'!$D:$D,'Source'!$A:$A,"157464 מדיקל הצפון ב.מ-חורי",'Source'!$B:$B,$A64)</f>
        <v>0</v>
      </c>
      <c r="D64" s="8" t="n">
        <f aca="false">SUMIFS('Source'!$F:$F,'Source'!$A:$A,"157464 מדיקל הצפון ב.מ-חורי",'Source'!$B:$B,$A64)</f>
        <v>3</v>
      </c>
      <c r="E64" s="8" t="n">
        <f aca="false">D64*$J$5</f>
        <v>3.78947368421053</v>
      </c>
      <c r="F64" s="8" t="n">
        <f aca="false">E64-C64</f>
        <v>3.78947368421053</v>
      </c>
      <c r="G64" s="9" t="str">
        <f aca="false">IF(AND(C64=0,E64=0),0,IF(C64=0,"New",(E64-C64)/C64))</f>
        <v>New</v>
      </c>
      <c r="H64" s="8" t="n">
        <f aca="false">SUMIFS('Source'!$E:$E,'Source'!$A:$A,"157464 מדיקל הצפון ב.מ-חורי",'Source'!$B:$B,$A64)</f>
        <v>0</v>
      </c>
      <c r="I64" s="8" t="n">
        <f aca="false">SUMIFS('Source'!$G:$G,'Source'!$A:$A,"157464 מדיקל הצפון ב.מ-חורי",'Source'!$B:$B,$A64)</f>
        <v>270</v>
      </c>
      <c r="J64" s="8" t="n">
        <f aca="false">I64*$J$5</f>
        <v>341.052631578947</v>
      </c>
      <c r="K64" s="8" t="n">
        <f aca="false">J64-H64</f>
        <v>341.052631578947</v>
      </c>
      <c r="L64" s="9" t="str">
        <f aca="false">IF(AND(H64=0,J64=0),0,IF(H64=0,"New",(J64-H64)/H64))</f>
        <v>New</v>
      </c>
      <c r="M64" s="7" t="str">
        <f aca="false">IF(AND(OR(C64&lt;&gt;0,H64&lt;&gt;0),D64=0,I64=0),"DROP",IF(AND(OR(D64&lt;&gt;0,I64&lt;&gt;0),C64=0,H64=0),"NEW",""))</f>
        <v>NEW</v>
      </c>
    </row>
    <row r="65" customFormat="false" ht="15" hidden="false" customHeight="false" outlineLevel="0" collapsed="false">
      <c r="A65" s="7" t="s">
        <v>794</v>
      </c>
      <c r="B65" s="7" t="str">
        <f aca="false">IFERROR(INDEX('Source'!$C:$C,MATCH($A65,'Source'!$B:$B,0)),"")</f>
        <v>חגורת היריון</v>
      </c>
      <c r="C65" s="8" t="n">
        <f aca="false">SUMIFS('Source'!$D:$D,'Source'!$A:$A,"157464 מדיקל הצפון ב.מ-חורי",'Source'!$B:$B,$A65)</f>
        <v>0</v>
      </c>
      <c r="D65" s="8" t="n">
        <f aca="false">SUMIFS('Source'!$F:$F,'Source'!$A:$A,"157464 מדיקל הצפון ב.מ-חורי",'Source'!$B:$B,$A65)</f>
        <v>3</v>
      </c>
      <c r="E65" s="8" t="n">
        <f aca="false">D65*$J$5</f>
        <v>3.78947368421053</v>
      </c>
      <c r="F65" s="8" t="n">
        <f aca="false">E65-C65</f>
        <v>3.78947368421053</v>
      </c>
      <c r="G65" s="9" t="str">
        <f aca="false">IF(AND(C65=0,E65=0),0,IF(C65=0,"New",(E65-C65)/C65))</f>
        <v>New</v>
      </c>
      <c r="H65" s="8" t="n">
        <f aca="false">SUMIFS('Source'!$E:$E,'Source'!$A:$A,"157464 מדיקל הצפון ב.מ-חורי",'Source'!$B:$B,$A65)</f>
        <v>0</v>
      </c>
      <c r="I65" s="8" t="n">
        <f aca="false">SUMIFS('Source'!$G:$G,'Source'!$A:$A,"157464 מדיקל הצפון ב.מ-חורי",'Source'!$B:$B,$A65)</f>
        <v>270</v>
      </c>
      <c r="J65" s="8" t="n">
        <f aca="false">I65*$J$5</f>
        <v>341.052631578947</v>
      </c>
      <c r="K65" s="8" t="n">
        <f aca="false">J65-H65</f>
        <v>341.052631578947</v>
      </c>
      <c r="L65" s="9" t="str">
        <f aca="false">IF(AND(H65=0,J65=0),0,IF(H65=0,"New",(J65-H65)/H65))</f>
        <v>New</v>
      </c>
      <c r="M65" s="7" t="str">
        <f aca="false">IF(AND(OR(C65&lt;&gt;0,H65&lt;&gt;0),D65=0,I65=0),"DROP",IF(AND(OR(D65&lt;&gt;0,I65&lt;&gt;0),C65=0,H65=0),"NEW",""))</f>
        <v>NEW</v>
      </c>
    </row>
    <row r="66" customFormat="false" ht="15" hidden="false" customHeight="false" outlineLevel="0" collapsed="false">
      <c r="A66" s="7" t="s">
        <v>695</v>
      </c>
      <c r="B66" s="7" t="str">
        <f aca="false">IFERROR(INDEX('Source'!$C:$C,MATCH($A66,'Source'!$B:$B,0)),"")</f>
        <v>צוארון פלסטי מתכוונן</v>
      </c>
      <c r="C66" s="8" t="n">
        <f aca="false">SUMIFS('Source'!$D:$D,'Source'!$A:$A,"157464 מדיקל הצפון ב.מ-חורי",'Source'!$B:$B,$A66)</f>
        <v>2</v>
      </c>
      <c r="D66" s="8" t="n">
        <f aca="false">SUMIFS('Source'!$F:$F,'Source'!$A:$A,"157464 מדיקל הצפון ב.מ-חורי",'Source'!$B:$B,$A66)</f>
        <v>6</v>
      </c>
      <c r="E66" s="8" t="n">
        <f aca="false">D66*$J$5</f>
        <v>7.57894736842105</v>
      </c>
      <c r="F66" s="8" t="n">
        <f aca="false">E66-C66</f>
        <v>5.57894736842105</v>
      </c>
      <c r="G66" s="9" t="n">
        <f aca="false">IF(AND(C66=0,E66=0),0,IF(C66=0,"New",(E66-C66)/C66))</f>
        <v>2.78947368421053</v>
      </c>
      <c r="H66" s="8" t="n">
        <f aca="false">SUMIFS('Source'!$E:$E,'Source'!$A:$A,"157464 מדיקל הצפון ב.מ-חורי",'Source'!$B:$B,$A66)</f>
        <v>133.02</v>
      </c>
      <c r="I66" s="8" t="n">
        <f aca="false">SUMIFS('Source'!$G:$G,'Source'!$A:$A,"157464 מדיקל הצפון ב.מ-חורי",'Source'!$B:$B,$A66)</f>
        <v>399.06</v>
      </c>
      <c r="J66" s="8" t="n">
        <f aca="false">I66*$J$5</f>
        <v>504.075789473684</v>
      </c>
      <c r="K66" s="8" t="n">
        <f aca="false">J66-H66</f>
        <v>371.055789473684</v>
      </c>
      <c r="L66" s="9" t="n">
        <f aca="false">IF(AND(H66=0,J66=0),0,IF(H66=0,"New",(J66-H66)/H66))</f>
        <v>2.78947368421053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186</v>
      </c>
      <c r="B67" s="7" t="str">
        <f aca="false">IFERROR(INDEX('Source'!$C:$C,MATCH($A67,'Source'!$B:$B,0)),"")</f>
        <v>מ.ברך מנאופרן+ציר D +כ.סיליקון</v>
      </c>
      <c r="C67" s="8" t="n">
        <f aca="false">SUMIFS('Source'!$D:$D,'Source'!$A:$A,"157464 מדיקל הצפון ב.מ-חורי",'Source'!$B:$B,$A67)</f>
        <v>1</v>
      </c>
      <c r="D67" s="8" t="n">
        <f aca="false">SUMIFS('Source'!$F:$F,'Source'!$A:$A,"157464 מדיקל הצפון ב.מ-חורי",'Source'!$B:$B,$A67)</f>
        <v>0</v>
      </c>
      <c r="E67" s="8" t="n">
        <f aca="false">D67*$J$5</f>
        <v>0</v>
      </c>
      <c r="F67" s="8" t="n">
        <f aca="false">E67-C67</f>
        <v>-1</v>
      </c>
      <c r="G67" s="9" t="n">
        <f aca="false">IF(AND(C67=0,E67=0),0,IF(C67=0,"New",(E67-C67)/C67))</f>
        <v>-1</v>
      </c>
      <c r="H67" s="8" t="n">
        <f aca="false">SUMIFS('Source'!$E:$E,'Source'!$A:$A,"157464 מדיקל הצפון ב.מ-חורי",'Source'!$B:$B,$A67)</f>
        <v>260</v>
      </c>
      <c r="I67" s="8" t="n">
        <f aca="false">SUMIFS('Source'!$G:$G,'Source'!$A:$A,"157464 מדיקל הצפון ב.מ-חורי",'Source'!$B:$B,$A67)</f>
        <v>0</v>
      </c>
      <c r="J67" s="8" t="n">
        <f aca="false">I67*$J$5</f>
        <v>0</v>
      </c>
      <c r="K67" s="8" t="n">
        <f aca="false">J67-H67</f>
        <v>-260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540</v>
      </c>
      <c r="B68" s="7" t="str">
        <f aca="false">IFERROR(INDEX('Source'!$C:$C,MATCH($A68,'Source'!$B:$B,0)),"")</f>
        <v>חגורה למנותחי בית החזה</v>
      </c>
      <c r="C68" s="8" t="n">
        <f aca="false">SUMIFS('Source'!$D:$D,'Source'!$A:$A,"157464 מדיקל הצפון ב.מ-חורי",'Source'!$B:$B,$A68)</f>
        <v>0</v>
      </c>
      <c r="D68" s="8" t="n">
        <f aca="false">SUMIFS('Source'!$F:$F,'Source'!$A:$A,"157464 מדיקל הצפון ב.מ-חורי",'Source'!$B:$B,$A68)</f>
        <v>2</v>
      </c>
      <c r="E68" s="8" t="n">
        <f aca="false">D68*$J$5</f>
        <v>2.52631578947368</v>
      </c>
      <c r="F68" s="8" t="n">
        <f aca="false">E68-C68</f>
        <v>2.52631578947368</v>
      </c>
      <c r="G68" s="9" t="str">
        <f aca="false">IF(AND(C68=0,E68=0),0,IF(C68=0,"New",(E68-C68)/C68))</f>
        <v>New</v>
      </c>
      <c r="H68" s="8" t="n">
        <f aca="false">SUMIFS('Source'!$E:$E,'Source'!$A:$A,"157464 מדיקל הצפון ב.מ-חורי",'Source'!$B:$B,$A68)</f>
        <v>0</v>
      </c>
      <c r="I68" s="8" t="n">
        <f aca="false">SUMIFS('Source'!$G:$G,'Source'!$A:$A,"157464 מדיקל הצפון ב.מ-חורי",'Source'!$B:$B,$A68)</f>
        <v>260</v>
      </c>
      <c r="J68" s="8" t="n">
        <f aca="false">I68*$J$5</f>
        <v>328.421052631579</v>
      </c>
      <c r="K68" s="8" t="n">
        <f aca="false">J68-H68</f>
        <v>328.421052631579</v>
      </c>
      <c r="L68" s="9" t="str">
        <f aca="false">IF(AND(H68=0,J68=0),0,IF(H68=0,"New",(J68-H68)/H68))</f>
        <v>New</v>
      </c>
      <c r="M68" s="7" t="str">
        <f aca="false">IF(AND(OR(C68&lt;&gt;0,H68&lt;&gt;0),D68=0,I68=0),"DROP",IF(AND(OR(D68&lt;&gt;0,I68&lt;&gt;0),C68=0,H68=0),"NEW",""))</f>
        <v>NEW</v>
      </c>
    </row>
    <row r="69" customFormat="false" ht="15" hidden="false" customHeight="false" outlineLevel="0" collapsed="false">
      <c r="A69" s="7" t="s">
        <v>231</v>
      </c>
      <c r="B69" s="7" t="str">
        <f aca="false">IFERROR(INDEX('Source'!$C:$C,MATCH($A69,'Source'!$B:$B,0)),"")</f>
        <v>חגורה למנותחי בית החזה</v>
      </c>
      <c r="C69" s="8" t="n">
        <f aca="false">SUMIFS('Source'!$D:$D,'Source'!$A:$A,"157464 מדיקל הצפון ב.מ-חורי",'Source'!$B:$B,$A69)</f>
        <v>0</v>
      </c>
      <c r="D69" s="8" t="n">
        <f aca="false">SUMIFS('Source'!$F:$F,'Source'!$A:$A,"157464 מדיקל הצפון ב.מ-חורי",'Source'!$B:$B,$A69)</f>
        <v>2</v>
      </c>
      <c r="E69" s="8" t="n">
        <f aca="false">D69*$J$5</f>
        <v>2.52631578947368</v>
      </c>
      <c r="F69" s="8" t="n">
        <f aca="false">E69-C69</f>
        <v>2.52631578947368</v>
      </c>
      <c r="G69" s="9" t="str">
        <f aca="false">IF(AND(C69=0,E69=0),0,IF(C69=0,"New",(E69-C69)/C69))</f>
        <v>New</v>
      </c>
      <c r="H69" s="8" t="n">
        <f aca="false">SUMIFS('Source'!$E:$E,'Source'!$A:$A,"157464 מדיקל הצפון ב.מ-חורי",'Source'!$B:$B,$A69)</f>
        <v>0</v>
      </c>
      <c r="I69" s="8" t="n">
        <f aca="false">SUMIFS('Source'!$G:$G,'Source'!$A:$A,"157464 מדיקל הצפון ב.מ-חורי",'Source'!$B:$B,$A69)</f>
        <v>259.99</v>
      </c>
      <c r="J69" s="8" t="n">
        <f aca="false">I69*$J$5</f>
        <v>328.408421052632</v>
      </c>
      <c r="K69" s="8" t="n">
        <f aca="false">J69-H69</f>
        <v>328.408421052632</v>
      </c>
      <c r="L69" s="9" t="str">
        <f aca="false">IF(AND(H69=0,J69=0),0,IF(H69=0,"New",(J69-H69)/H69))</f>
        <v>New</v>
      </c>
      <c r="M69" s="7" t="str">
        <f aca="false">IF(AND(OR(C69&lt;&gt;0,H69&lt;&gt;0),D69=0,I69=0),"DROP",IF(AND(OR(D69&lt;&gt;0,I69&lt;&gt;0),C69=0,H69=0),"NEW",""))</f>
        <v>NEW</v>
      </c>
    </row>
    <row r="70" customFormat="false" ht="15" hidden="false" customHeight="false" outlineLevel="0" collapsed="false">
      <c r="A70" s="7" t="s">
        <v>266</v>
      </c>
      <c r="B70" s="7" t="str">
        <f aca="false">IFERROR(INDEX('Source'!$C:$C,MATCH($A70,'Source'!$B:$B,0)),"")</f>
        <v>חגורה למנותחי בית החזה</v>
      </c>
      <c r="C70" s="8" t="n">
        <f aca="false">SUMIFS('Source'!$D:$D,'Source'!$A:$A,"157464 מדיקל הצפון ב.מ-חורי",'Source'!$B:$B,$A70)</f>
        <v>0</v>
      </c>
      <c r="D70" s="8" t="n">
        <f aca="false">SUMIFS('Source'!$F:$F,'Source'!$A:$A,"157464 מדיקל הצפון ב.מ-חורי",'Source'!$B:$B,$A70)</f>
        <v>2</v>
      </c>
      <c r="E70" s="8" t="n">
        <f aca="false">D70*$J$5</f>
        <v>2.52631578947368</v>
      </c>
      <c r="F70" s="8" t="n">
        <f aca="false">E70-C70</f>
        <v>2.52631578947368</v>
      </c>
      <c r="G70" s="9" t="str">
        <f aca="false">IF(AND(C70=0,E70=0),0,IF(C70=0,"New",(E70-C70)/C70))</f>
        <v>New</v>
      </c>
      <c r="H70" s="8" t="n">
        <f aca="false">SUMIFS('Source'!$E:$E,'Source'!$A:$A,"157464 מדיקל הצפון ב.מ-חורי",'Source'!$B:$B,$A70)</f>
        <v>0</v>
      </c>
      <c r="I70" s="8" t="n">
        <f aca="false">SUMIFS('Source'!$G:$G,'Source'!$A:$A,"157464 מדיקל הצפון ב.מ-חורי",'Source'!$B:$B,$A70)</f>
        <v>259.99</v>
      </c>
      <c r="J70" s="8" t="n">
        <f aca="false">I70*$J$5</f>
        <v>328.408421052632</v>
      </c>
      <c r="K70" s="8" t="n">
        <f aca="false">J70-H70</f>
        <v>328.408421052632</v>
      </c>
      <c r="L70" s="9" t="str">
        <f aca="false">IF(AND(H70=0,J70=0),0,IF(H70=0,"New",(J70-H70)/H70))</f>
        <v>New</v>
      </c>
      <c r="M70" s="7" t="str">
        <f aca="false">IF(AND(OR(C70&lt;&gt;0,H70&lt;&gt;0),D70=0,I70=0),"DROP",IF(AND(OR(D70&lt;&gt;0,I70&lt;&gt;0),C70=0,H70=0),"NEW",""))</f>
        <v>NEW</v>
      </c>
    </row>
    <row r="71" customFormat="false" ht="15" hidden="false" customHeight="false" outlineLevel="0" collapsed="false">
      <c r="A71" s="7" t="s">
        <v>940</v>
      </c>
      <c r="B71" s="7" t="str">
        <f aca="false">IFERROR(INDEX('Source'!$C:$C,MATCH($A71,'Source'!$B:$B,0)),"")</f>
        <v>חבק טניס</v>
      </c>
      <c r="C71" s="8" t="n">
        <f aca="false">SUMIFS('Source'!$D:$D,'Source'!$A:$A,"157464 מדיקל הצפון ב.מ-חורי",'Source'!$B:$B,$A71)</f>
        <v>3</v>
      </c>
      <c r="D71" s="8" t="n">
        <f aca="false">SUMIFS('Source'!$F:$F,'Source'!$A:$A,"157464 מדיקל הצפון ב.מ-חורי",'Source'!$B:$B,$A71)</f>
        <v>0</v>
      </c>
      <c r="E71" s="8" t="n">
        <f aca="false">D71*$J$5</f>
        <v>0</v>
      </c>
      <c r="F71" s="8" t="n">
        <f aca="false">E71-C71</f>
        <v>-3</v>
      </c>
      <c r="G71" s="9" t="n">
        <f aca="false">IF(AND(C71=0,E71=0),0,IF(C71=0,"New",(E71-C71)/C71))</f>
        <v>-1</v>
      </c>
      <c r="H71" s="8" t="n">
        <f aca="false">SUMIFS('Source'!$E:$E,'Source'!$A:$A,"157464 מדיקל הצפון ב.מ-חורי",'Source'!$B:$B,$A71)</f>
        <v>241.72</v>
      </c>
      <c r="I71" s="8" t="n">
        <f aca="false">SUMIFS('Source'!$G:$G,'Source'!$A:$A,"157464 מדיקל הצפון ב.מ-חורי",'Source'!$B:$B,$A71)</f>
        <v>0</v>
      </c>
      <c r="J71" s="8" t="n">
        <f aca="false">I71*$J$5</f>
        <v>0</v>
      </c>
      <c r="K71" s="8" t="n">
        <f aca="false">J71-H71</f>
        <v>-241.72</v>
      </c>
      <c r="L71" s="9" t="n">
        <f aca="false">IF(AND(H71=0,J71=0),0,IF(H71=0,"New",(J71-H71)/H71))</f>
        <v>-1</v>
      </c>
      <c r="M71" s="7" t="str">
        <f aca="false">IF(AND(OR(C71&lt;&gt;0,H71&lt;&gt;0),D71=0,I71=0),"DROP",IF(AND(OR(D71&lt;&gt;0,I71&lt;&gt;0),C71=0,H71=0),"NEW",""))</f>
        <v>DROP</v>
      </c>
    </row>
    <row r="72" customFormat="false" ht="15" hidden="false" customHeight="false" outlineLevel="0" collapsed="false">
      <c r="A72" s="7" t="s">
        <v>101</v>
      </c>
      <c r="B72" s="7" t="str">
        <f aca="false">IFERROR(INDEX('Source'!$C:$C,MATCH($A72,'Source'!$B:$B,0)),"")</f>
        <v>מיישר כתפיים</v>
      </c>
      <c r="C72" s="8" t="n">
        <f aca="false">SUMIFS('Source'!$D:$D,'Source'!$A:$A,"157464 מדיקל הצפון ב.מ-חורי",'Source'!$B:$B,$A72)</f>
        <v>0</v>
      </c>
      <c r="D72" s="8" t="n">
        <f aca="false">SUMIFS('Source'!$F:$F,'Source'!$A:$A,"157464 מדיקל הצפון ב.מ-חורי",'Source'!$B:$B,$A72)</f>
        <v>3</v>
      </c>
      <c r="E72" s="8" t="n">
        <f aca="false">D72*$J$5</f>
        <v>3.78947368421053</v>
      </c>
      <c r="F72" s="8" t="n">
        <f aca="false">E72-C72</f>
        <v>3.78947368421053</v>
      </c>
      <c r="G72" s="9" t="str">
        <f aca="false">IF(AND(C72=0,E72=0),0,IF(C72=0,"New",(E72-C72)/C72))</f>
        <v>New</v>
      </c>
      <c r="H72" s="8" t="n">
        <f aca="false">SUMIFS('Source'!$E:$E,'Source'!$A:$A,"157464 מדיקל הצפון ב.מ-חורי",'Source'!$B:$B,$A72)</f>
        <v>0</v>
      </c>
      <c r="I72" s="8" t="n">
        <f aca="false">SUMIFS('Source'!$G:$G,'Source'!$A:$A,"157464 מדיקל הצפון ב.מ-חורי",'Source'!$B:$B,$A72)</f>
        <v>238.95</v>
      </c>
      <c r="J72" s="8" t="n">
        <f aca="false">I72*$J$5</f>
        <v>301.831578947368</v>
      </c>
      <c r="K72" s="8" t="n">
        <f aca="false">J72-H72</f>
        <v>301.831578947368</v>
      </c>
      <c r="L72" s="9" t="str">
        <f aca="false">IF(AND(H72=0,J72=0),0,IF(H72=0,"New",(J72-H72)/H72))</f>
        <v>New</v>
      </c>
      <c r="M72" s="7" t="str">
        <f aca="false">IF(AND(OR(C72&lt;&gt;0,H72&lt;&gt;0),D72=0,I72=0),"DROP",IF(AND(OR(D72&lt;&gt;0,I72&lt;&gt;0),C72=0,H72=0),"NEW",""))</f>
        <v>NEW</v>
      </c>
    </row>
    <row r="73" customFormat="false" ht="15" hidden="false" customHeight="false" outlineLevel="0" collapsed="false">
      <c r="A73" s="7" t="s">
        <v>214</v>
      </c>
      <c r="B73" s="7" t="str">
        <f aca="false">IFERROR(INDEX('Source'!$C:$C,MATCH($A73,'Source'!$B:$B,0)),"")</f>
        <v>חגורת גב אפורה</v>
      </c>
      <c r="C73" s="8" t="n">
        <f aca="false">SUMIFS('Source'!$D:$D,'Source'!$A:$A,"157464 מדיקל הצפון ב.מ-חורי",'Source'!$B:$B,$A73)</f>
        <v>0</v>
      </c>
      <c r="D73" s="8" t="n">
        <f aca="false">SUMIFS('Source'!$F:$F,'Source'!$A:$A,"157464 מדיקל הצפון ב.מ-חורי",'Source'!$B:$B,$A73)</f>
        <v>2</v>
      </c>
      <c r="E73" s="8" t="n">
        <f aca="false">D73*$J$5</f>
        <v>2.52631578947368</v>
      </c>
      <c r="F73" s="8" t="n">
        <f aca="false">E73-C73</f>
        <v>2.52631578947368</v>
      </c>
      <c r="G73" s="9" t="str">
        <f aca="false">IF(AND(C73=0,E73=0),0,IF(C73=0,"New",(E73-C73)/C73))</f>
        <v>New</v>
      </c>
      <c r="H73" s="8" t="n">
        <f aca="false">SUMIFS('Source'!$E:$E,'Source'!$A:$A,"157464 מדיקל הצפון ב.מ-חורי",'Source'!$B:$B,$A73)</f>
        <v>0</v>
      </c>
      <c r="I73" s="8" t="n">
        <f aca="false">SUMIFS('Source'!$G:$G,'Source'!$A:$A,"157464 מדיקל הצפון ב.מ-חורי",'Source'!$B:$B,$A73)</f>
        <v>234.27</v>
      </c>
      <c r="J73" s="8" t="n">
        <f aca="false">I73*$J$5</f>
        <v>295.92</v>
      </c>
      <c r="K73" s="8" t="n">
        <f aca="false">J73-H73</f>
        <v>295.92</v>
      </c>
      <c r="L73" s="9" t="str">
        <f aca="false">IF(AND(H73=0,J73=0),0,IF(H73=0,"New",(J73-H73)/H73))</f>
        <v>New</v>
      </c>
      <c r="M73" s="7" t="str">
        <f aca="false">IF(AND(OR(C73&lt;&gt;0,H73&lt;&gt;0),D73=0,I73=0),"DROP",IF(AND(OR(D73&lt;&gt;0,I73&lt;&gt;0),C73=0,H73=0),"NEW",""))</f>
        <v>NEW</v>
      </c>
    </row>
    <row r="74" customFormat="false" ht="15" hidden="false" customHeight="false" outlineLevel="0" collapsed="false">
      <c r="A74" s="7" t="s">
        <v>164</v>
      </c>
      <c r="B74" s="7" t="str">
        <f aca="false">IFERROR(INDEX('Source'!$C:$C,MATCH($A74,'Source'!$B:$B,0)),"")</f>
        <v>סד לקרסול</v>
      </c>
      <c r="C74" s="8" t="n">
        <f aca="false">SUMIFS('Source'!$D:$D,'Source'!$A:$A,"157464 מדיקל הצפון ב.מ-חורי",'Source'!$B:$B,$A74)</f>
        <v>4</v>
      </c>
      <c r="D74" s="8" t="n">
        <f aca="false">SUMIFS('Source'!$F:$F,'Source'!$A:$A,"157464 מדיקל הצפון ב.מ-חורי",'Source'!$B:$B,$A74)</f>
        <v>2</v>
      </c>
      <c r="E74" s="8" t="n">
        <f aca="false">D74*$J$5</f>
        <v>2.52631578947368</v>
      </c>
      <c r="F74" s="8" t="n">
        <f aca="false">E74-C74</f>
        <v>-1.47368421052632</v>
      </c>
      <c r="G74" s="9" t="n">
        <f aca="false">IF(AND(C74=0,E74=0),0,IF(C74=0,"New",(E74-C74)/C74))</f>
        <v>-0.368421052631579</v>
      </c>
      <c r="H74" s="8" t="n">
        <f aca="false">SUMIFS('Source'!$E:$E,'Source'!$A:$A,"157464 מדיקל הצפון ב.מ-חורי",'Source'!$B:$B,$A74)</f>
        <v>459.99</v>
      </c>
      <c r="I74" s="8" t="n">
        <f aca="false">SUMIFS('Source'!$G:$G,'Source'!$A:$A,"157464 מדיקל הצפון ב.מ-חורי",'Source'!$B:$B,$A74)</f>
        <v>229.99</v>
      </c>
      <c r="J74" s="8" t="n">
        <f aca="false">I74*$J$5</f>
        <v>290.513684210526</v>
      </c>
      <c r="K74" s="8" t="n">
        <f aca="false">J74-H74</f>
        <v>-169.476315789474</v>
      </c>
      <c r="L74" s="9" t="n">
        <f aca="false">IF(AND(H74=0,J74=0),0,IF(H74=0,"New",(J74-H74)/H74))</f>
        <v>-0.36843478290718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467</v>
      </c>
      <c r="B75" s="7" t="str">
        <f aca="false">IFERROR(INDEX('Source'!$C:$C,MATCH($A75,'Source'!$B:$B,0)),"")</f>
        <v>סד לקרסול</v>
      </c>
      <c r="C75" s="8" t="n">
        <f aca="false">SUMIFS('Source'!$D:$D,'Source'!$A:$A,"157464 מדיקל הצפון ב.מ-חורי",'Source'!$B:$B,$A75)</f>
        <v>2</v>
      </c>
      <c r="D75" s="8" t="n">
        <f aca="false">SUMIFS('Source'!$F:$F,'Source'!$A:$A,"157464 מדיקל הצפון ב.מ-חורי",'Source'!$B:$B,$A75)</f>
        <v>0</v>
      </c>
      <c r="E75" s="8" t="n">
        <f aca="false">D75*$J$5</f>
        <v>0</v>
      </c>
      <c r="F75" s="8" t="n">
        <f aca="false">E75-C75</f>
        <v>-2</v>
      </c>
      <c r="G75" s="9" t="n">
        <f aca="false">IF(AND(C75=0,E75=0),0,IF(C75=0,"New",(E75-C75)/C75))</f>
        <v>-1</v>
      </c>
      <c r="H75" s="8" t="n">
        <f aca="false">SUMIFS('Source'!$E:$E,'Source'!$A:$A,"157464 מדיקל הצפון ב.מ-חורי",'Source'!$B:$B,$A75)</f>
        <v>229.99</v>
      </c>
      <c r="I75" s="8" t="n">
        <f aca="false">SUMIFS('Source'!$G:$G,'Source'!$A:$A,"157464 מדיקל הצפון ב.מ-חורי",'Source'!$B:$B,$A75)</f>
        <v>0</v>
      </c>
      <c r="J75" s="8" t="n">
        <f aca="false">I75*$J$5</f>
        <v>0</v>
      </c>
      <c r="K75" s="8" t="n">
        <f aca="false">J75-H75</f>
        <v>-229.99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469</v>
      </c>
      <c r="B76" s="7" t="str">
        <f aca="false">IFERROR(INDEX('Source'!$C:$C,MATCH($A76,'Source'!$B:$B,0)),"")</f>
        <v>מדרס מג'ל</v>
      </c>
      <c r="C76" s="8" t="n">
        <f aca="false">SUMIFS('Source'!$D:$D,'Source'!$A:$A,"157464 מדיקל הצפון ב.מ-חורי",'Source'!$B:$B,$A76)</f>
        <v>4</v>
      </c>
      <c r="D76" s="8" t="n">
        <f aca="false">SUMIFS('Source'!$F:$F,'Source'!$A:$A,"157464 מדיקל הצפון ב.מ-חורי",'Source'!$B:$B,$A76)</f>
        <v>7</v>
      </c>
      <c r="E76" s="8" t="n">
        <f aca="false">D76*$J$5</f>
        <v>8.84210526315789</v>
      </c>
      <c r="F76" s="8" t="n">
        <f aca="false">E76-C76</f>
        <v>4.84210526315789</v>
      </c>
      <c r="G76" s="9" t="n">
        <f aca="false">IF(AND(C76=0,E76=0),0,IF(C76=0,"New",(E76-C76)/C76))</f>
        <v>1.21052631578947</v>
      </c>
      <c r="H76" s="8" t="n">
        <f aca="false">SUMIFS('Source'!$E:$E,'Source'!$A:$A,"157464 מדיקל הצפון ב.מ-חורי",'Source'!$B:$B,$A76)</f>
        <v>284.11</v>
      </c>
      <c r="I76" s="8" t="n">
        <f aca="false">SUMIFS('Source'!$G:$G,'Source'!$A:$A,"157464 מדיקל הצפון ב.מ-חורי",'Source'!$B:$B,$A76)</f>
        <v>498.38</v>
      </c>
      <c r="J76" s="8" t="n">
        <f aca="false">I76*$J$5</f>
        <v>629.532631578947</v>
      </c>
      <c r="K76" s="8" t="n">
        <f aca="false">J76-H76</f>
        <v>345.422631578947</v>
      </c>
      <c r="L76" s="9" t="n">
        <f aca="false">IF(AND(H76=0,J76=0),0,IF(H76=0,"New",(J76-H76)/H76))</f>
        <v>1.21580596099732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477</v>
      </c>
      <c r="B77" s="7" t="str">
        <f aca="false">IFERROR(INDEX('Source'!$C:$C,MATCH($A77,'Source'!$B:$B,0)),"")</f>
        <v>סד לאגודל</v>
      </c>
      <c r="C77" s="8" t="n">
        <f aca="false">SUMIFS('Source'!$D:$D,'Source'!$A:$A,"157464 מדיקל הצפון ב.מ-חורי",'Source'!$B:$B,$A77)</f>
        <v>0</v>
      </c>
      <c r="D77" s="8" t="n">
        <f aca="false">SUMIFS('Source'!$F:$F,'Source'!$A:$A,"157464 מדיקל הצפון ב.מ-חורי",'Source'!$B:$B,$A77)</f>
        <v>2</v>
      </c>
      <c r="E77" s="8" t="n">
        <f aca="false">D77*$J$5</f>
        <v>2.52631578947368</v>
      </c>
      <c r="F77" s="8" t="n">
        <f aca="false">E77-C77</f>
        <v>2.52631578947368</v>
      </c>
      <c r="G77" s="9" t="str">
        <f aca="false">IF(AND(C77=0,E77=0),0,IF(C77=0,"New",(E77-C77)/C77))</f>
        <v>New</v>
      </c>
      <c r="H77" s="8" t="n">
        <f aca="false">SUMIFS('Source'!$E:$E,'Source'!$A:$A,"157464 מדיקל הצפון ב.מ-חורי",'Source'!$B:$B,$A77)</f>
        <v>0</v>
      </c>
      <c r="I77" s="8" t="n">
        <f aca="false">SUMIFS('Source'!$G:$G,'Source'!$A:$A,"157464 מדיקל הצפון ב.מ-חורי",'Source'!$B:$B,$A77)</f>
        <v>206.14</v>
      </c>
      <c r="J77" s="8" t="n">
        <f aca="false">I77*$J$5</f>
        <v>260.387368421053</v>
      </c>
      <c r="K77" s="8" t="n">
        <f aca="false">J77-H77</f>
        <v>260.387368421053</v>
      </c>
      <c r="L77" s="9" t="str">
        <f aca="false">IF(AND(H77=0,J77=0),0,IF(H77=0,"New",(J77-H77)/H77))</f>
        <v>New</v>
      </c>
      <c r="M77" s="7" t="str">
        <f aca="false">IF(AND(OR(C77&lt;&gt;0,H77&lt;&gt;0),D77=0,I77=0),"DROP",IF(AND(OR(D77&lt;&gt;0,I77&lt;&gt;0),C77=0,H77=0),"NEW",""))</f>
        <v>NEW</v>
      </c>
    </row>
    <row r="78" customFormat="false" ht="15" hidden="false" customHeight="false" outlineLevel="0" collapsed="false">
      <c r="A78" s="7" t="s">
        <v>696</v>
      </c>
      <c r="B78" s="7" t="str">
        <f aca="false">IFERROR(INDEX('Source'!$C:$C,MATCH($A78,'Source'!$B:$B,0)),"")</f>
        <v>אצבעון מפלסטיק  ליד</v>
      </c>
      <c r="C78" s="8" t="n">
        <f aca="false">SUMIFS('Source'!$D:$D,'Source'!$A:$A,"157464 מדיקל הצפון ב.מ-חורי",'Source'!$B:$B,$A78)</f>
        <v>7</v>
      </c>
      <c r="D78" s="8" t="n">
        <f aca="false">SUMIFS('Source'!$F:$F,'Source'!$A:$A,"157464 מדיקל הצפון ב.מ-חורי",'Source'!$B:$B,$A78)</f>
        <v>17</v>
      </c>
      <c r="E78" s="8" t="n">
        <f aca="false">D78*$J$5</f>
        <v>21.4736842105263</v>
      </c>
      <c r="F78" s="8" t="n">
        <f aca="false">E78-C78</f>
        <v>14.4736842105263</v>
      </c>
      <c r="G78" s="9" t="n">
        <f aca="false">IF(AND(C78=0,E78=0),0,IF(C78=0,"New",(E78-C78)/C78))</f>
        <v>2.06766917293233</v>
      </c>
      <c r="H78" s="8" t="n">
        <f aca="false">SUMIFS('Source'!$E:$E,'Source'!$A:$A,"157464 מדיקל הצפון ב.מ-חורי",'Source'!$B:$B,$A78)</f>
        <v>140.75</v>
      </c>
      <c r="I78" s="8" t="n">
        <f aca="false">SUMIFS('Source'!$G:$G,'Source'!$A:$A,"157464 מדיקל הצפון ב.מ-חורי",'Source'!$B:$B,$A78)</f>
        <v>341.83</v>
      </c>
      <c r="J78" s="8" t="n">
        <f aca="false">I78*$J$5</f>
        <v>431.785263157895</v>
      </c>
      <c r="K78" s="8" t="n">
        <f aca="false">J78-H78</f>
        <v>291.035263157895</v>
      </c>
      <c r="L78" s="9" t="n">
        <f aca="false">IF(AND(H78=0,J78=0),0,IF(H78=0,"New",(J78-H78)/H78))</f>
        <v>2.06774609703655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345</v>
      </c>
      <c r="B79" s="7" t="str">
        <f aca="false">IFERROR(INDEX('Source'!$C:$C,MATCH($A79,'Source'!$B:$B,0)),"")</f>
        <v>מיצב פיקה</v>
      </c>
      <c r="C79" s="8" t="n">
        <f aca="false">SUMIFS('Source'!$D:$D,'Source'!$A:$A,"157464 מדיקל הצפון ב.מ-חורי",'Source'!$B:$B,$A79)</f>
        <v>2</v>
      </c>
      <c r="D79" s="8" t="n">
        <f aca="false">SUMIFS('Source'!$F:$F,'Source'!$A:$A,"157464 מדיקל הצפון ב.מ-חורי",'Source'!$B:$B,$A79)</f>
        <v>0</v>
      </c>
      <c r="E79" s="8" t="n">
        <f aca="false">D79*$J$5</f>
        <v>0</v>
      </c>
      <c r="F79" s="8" t="n">
        <f aca="false">E79-C79</f>
        <v>-2</v>
      </c>
      <c r="G79" s="9" t="n">
        <f aca="false">IF(AND(C79=0,E79=0),0,IF(C79=0,"New",(E79-C79)/C79))</f>
        <v>-1</v>
      </c>
      <c r="H79" s="8" t="n">
        <f aca="false">SUMIFS('Source'!$E:$E,'Source'!$A:$A,"157464 מדיקל הצפון ב.מ-חורי",'Source'!$B:$B,$A79)</f>
        <v>189.27</v>
      </c>
      <c r="I79" s="8" t="n">
        <f aca="false">SUMIFS('Source'!$G:$G,'Source'!$A:$A,"157464 מדיקל הצפון ב.מ-חורי",'Source'!$B:$B,$A79)</f>
        <v>0</v>
      </c>
      <c r="J79" s="8" t="n">
        <f aca="false">I79*$J$5</f>
        <v>0</v>
      </c>
      <c r="K79" s="8" t="n">
        <f aca="false">J79-H79</f>
        <v>-189.27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506</v>
      </c>
      <c r="B80" s="7" t="str">
        <f aca="false">IFERROR(INDEX('Source'!$C:$C,MATCH($A80,'Source'!$B:$B,0)),"")</f>
        <v>מיצב פיקה</v>
      </c>
      <c r="C80" s="8" t="n">
        <f aca="false">SUMIFS('Source'!$D:$D,'Source'!$A:$A,"157464 מדיקל הצפון ב.מ-חורי",'Source'!$B:$B,$A80)</f>
        <v>2</v>
      </c>
      <c r="D80" s="8" t="n">
        <f aca="false">SUMIFS('Source'!$F:$F,'Source'!$A:$A,"157464 מדיקל הצפון ב.מ-חורי",'Source'!$B:$B,$A80)</f>
        <v>0</v>
      </c>
      <c r="E80" s="8" t="n">
        <f aca="false">D80*$J$5</f>
        <v>0</v>
      </c>
      <c r="F80" s="8" t="n">
        <f aca="false">E80-C80</f>
        <v>-2</v>
      </c>
      <c r="G80" s="9" t="n">
        <f aca="false">IF(AND(C80=0,E80=0),0,IF(C80=0,"New",(E80-C80)/C80))</f>
        <v>-1</v>
      </c>
      <c r="H80" s="8" t="n">
        <f aca="false">SUMIFS('Source'!$E:$E,'Source'!$A:$A,"157464 מדיקל הצפון ב.מ-חורי",'Source'!$B:$B,$A80)</f>
        <v>189.27</v>
      </c>
      <c r="I80" s="8" t="n">
        <f aca="false">SUMIFS('Source'!$G:$G,'Source'!$A:$A,"157464 מדיקל הצפון ב.מ-חורי",'Source'!$B:$B,$A80)</f>
        <v>0</v>
      </c>
      <c r="J80" s="8" t="n">
        <f aca="false">I80*$J$5</f>
        <v>0</v>
      </c>
      <c r="K80" s="8" t="n">
        <f aca="false">J80-H80</f>
        <v>-189.27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225</v>
      </c>
      <c r="B81" s="7" t="str">
        <f aca="false">IFERROR(INDEX('Source'!$C:$C,MATCH($A81,'Source'!$B:$B,0)),"")</f>
        <v>שרוול מסיליקון ל</v>
      </c>
      <c r="C81" s="8" t="n">
        <f aca="false">SUMIFS('Source'!$D:$D,'Source'!$A:$A,"157464 מדיקל הצפון ב.מ-חורי",'Source'!$B:$B,$A81)</f>
        <v>0</v>
      </c>
      <c r="D81" s="8" t="n">
        <f aca="false">SUMIFS('Source'!$F:$F,'Source'!$A:$A,"157464 מדיקל הצפון ב.מ-חורי",'Source'!$B:$B,$A81)</f>
        <v>10</v>
      </c>
      <c r="E81" s="8" t="n">
        <f aca="false">D81*$J$5</f>
        <v>12.6315789473684</v>
      </c>
      <c r="F81" s="8" t="n">
        <f aca="false">E81-C81</f>
        <v>12.6315789473684</v>
      </c>
      <c r="G81" s="9" t="str">
        <f aca="false">IF(AND(C81=0,E81=0),0,IF(C81=0,"New",(E81-C81)/C81))</f>
        <v>New</v>
      </c>
      <c r="H81" s="8" t="n">
        <f aca="false">SUMIFS('Source'!$E:$E,'Source'!$A:$A,"157464 מדיקל הצפון ב.מ-חורי",'Source'!$B:$B,$A81)</f>
        <v>0</v>
      </c>
      <c r="I81" s="8" t="n">
        <f aca="false">SUMIFS('Source'!$G:$G,'Source'!$A:$A,"157464 מדיקל הצפון ב.מ-חורי",'Source'!$B:$B,$A81)</f>
        <v>187.05</v>
      </c>
      <c r="J81" s="8" t="n">
        <f aca="false">I81*$J$5</f>
        <v>236.273684210526</v>
      </c>
      <c r="K81" s="8" t="n">
        <f aca="false">J81-H81</f>
        <v>236.273684210526</v>
      </c>
      <c r="L81" s="9" t="str">
        <f aca="false">IF(AND(H81=0,J81=0),0,IF(H81=0,"New",(J81-H81)/H81))</f>
        <v>New</v>
      </c>
      <c r="M81" s="7" t="str">
        <f aca="false">IF(AND(OR(C81&lt;&gt;0,H81&lt;&gt;0),D81=0,I81=0),"DROP",IF(AND(OR(D81&lt;&gt;0,I81&lt;&gt;0),C81=0,H81=0),"NEW",""))</f>
        <v>NEW</v>
      </c>
    </row>
    <row r="82" customFormat="false" ht="15" hidden="false" customHeight="false" outlineLevel="0" collapsed="false">
      <c r="A82" s="7" t="s">
        <v>649</v>
      </c>
      <c r="B82" s="7" t="str">
        <f aca="false">IFERROR(INDEX('Source'!$C:$C,MATCH($A82,'Source'!$B:$B,0)),"")</f>
        <v>כרית סיליקון לעקב</v>
      </c>
      <c r="C82" s="8" t="n">
        <f aca="false">SUMIFS('Source'!$D:$D,'Source'!$A:$A,"157464 מדיקל הצפון ב.מ-חורי",'Source'!$B:$B,$A82)</f>
        <v>4</v>
      </c>
      <c r="D82" s="8" t="n">
        <f aca="false">SUMIFS('Source'!$F:$F,'Source'!$A:$A,"157464 מדיקל הצפון ב.מ-חורי",'Source'!$B:$B,$A82)</f>
        <v>6</v>
      </c>
      <c r="E82" s="8" t="n">
        <f aca="false">D82*$J$5</f>
        <v>7.57894736842105</v>
      </c>
      <c r="F82" s="8" t="n">
        <f aca="false">E82-C82</f>
        <v>3.57894736842105</v>
      </c>
      <c r="G82" s="9" t="n">
        <f aca="false">IF(AND(C82=0,E82=0),0,IF(C82=0,"New",(E82-C82)/C82))</f>
        <v>0.894736842105263</v>
      </c>
      <c r="H82" s="8" t="n">
        <f aca="false">SUMIFS('Source'!$E:$E,'Source'!$A:$A,"157464 מדיקל הצפון ב.מ-חורי",'Source'!$B:$B,$A82)</f>
        <v>369.18</v>
      </c>
      <c r="I82" s="8" t="n">
        <f aca="false">SUMIFS('Source'!$G:$G,'Source'!$A:$A,"157464 מדיקל הצפון ב.מ-חורי",'Source'!$B:$B,$A82)</f>
        <v>553.76</v>
      </c>
      <c r="J82" s="8" t="n">
        <f aca="false">I82*$J$5</f>
        <v>699.486315789474</v>
      </c>
      <c r="K82" s="8" t="n">
        <f aca="false">J82-H82</f>
        <v>330.306315789474</v>
      </c>
      <c r="L82" s="9" t="n">
        <f aca="false">IF(AND(H82=0,J82=0),0,IF(H82=0,"New",(J82-H82)/H82))</f>
        <v>0.894702626874353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483</v>
      </c>
      <c r="B83" s="7" t="str">
        <f aca="false">IFERROR(INDEX('Source'!$C:$C,MATCH($A83,'Source'!$B:$B,0)),"")</f>
        <v>כרית סיליקון לעקב</v>
      </c>
      <c r="C83" s="8" t="n">
        <f aca="false">SUMIFS('Source'!$D:$D,'Source'!$A:$A,"157464 מדיקל הצפון ב.מ-חורי",'Source'!$B:$B,$A83)</f>
        <v>4</v>
      </c>
      <c r="D83" s="8" t="n">
        <f aca="false">SUMIFS('Source'!$F:$F,'Source'!$A:$A,"157464 מדיקל הצפון ב.מ-חורי",'Source'!$B:$B,$A83)</f>
        <v>6</v>
      </c>
      <c r="E83" s="8" t="n">
        <f aca="false">D83*$J$5</f>
        <v>7.57894736842105</v>
      </c>
      <c r="F83" s="8" t="n">
        <f aca="false">E83-C83</f>
        <v>3.57894736842105</v>
      </c>
      <c r="G83" s="9" t="n">
        <f aca="false">IF(AND(C83=0,E83=0),0,IF(C83=0,"New",(E83-C83)/C83))</f>
        <v>0.894736842105263</v>
      </c>
      <c r="H83" s="8" t="n">
        <f aca="false">SUMIFS('Source'!$E:$E,'Source'!$A:$A,"157464 מדיקל הצפון ב.מ-חורי",'Source'!$B:$B,$A83)</f>
        <v>369.18</v>
      </c>
      <c r="I83" s="8" t="n">
        <f aca="false">SUMIFS('Source'!$G:$G,'Source'!$A:$A,"157464 מדיקל הצפון ב.מ-חורי",'Source'!$B:$B,$A83)</f>
        <v>553.76</v>
      </c>
      <c r="J83" s="8" t="n">
        <f aca="false">I83*$J$5</f>
        <v>699.486315789474</v>
      </c>
      <c r="K83" s="8" t="n">
        <f aca="false">J83-H83</f>
        <v>330.306315789474</v>
      </c>
      <c r="L83" s="9" t="n">
        <f aca="false">IF(AND(H83=0,J83=0),0,IF(H83=0,"New",(J83-H83)/H83))</f>
        <v>0.894702626874353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763</v>
      </c>
      <c r="B84" s="7" t="str">
        <f aca="false">IFERROR(INDEX('Source'!$C:$C,MATCH($A84,'Source'!$B:$B,0)),"")</f>
        <v>חגורת גב+סגירה כפולה</v>
      </c>
      <c r="C84" s="8" t="n">
        <f aca="false">SUMIFS('Source'!$D:$D,'Source'!$A:$A,"157464 מדיקל הצפון ב.מ-חורי",'Source'!$B:$B,$A84)</f>
        <v>0</v>
      </c>
      <c r="D84" s="8" t="n">
        <f aca="false">SUMIFS('Source'!$F:$F,'Source'!$A:$A,"157464 מדיקל הצפון ב.מ-חורי",'Source'!$B:$B,$A84)</f>
        <v>2</v>
      </c>
      <c r="E84" s="8" t="n">
        <f aca="false">D84*$J$5</f>
        <v>2.52631578947368</v>
      </c>
      <c r="F84" s="8" t="n">
        <f aca="false">E84-C84</f>
        <v>2.52631578947368</v>
      </c>
      <c r="G84" s="9" t="str">
        <f aca="false">IF(AND(C84=0,E84=0),0,IF(C84=0,"New",(E84-C84)/C84))</f>
        <v>New</v>
      </c>
      <c r="H84" s="8" t="n">
        <f aca="false">SUMIFS('Source'!$E:$E,'Source'!$A:$A,"157464 מדיקל הצפון ב.מ-חורי",'Source'!$B:$B,$A84)</f>
        <v>0</v>
      </c>
      <c r="I84" s="8" t="n">
        <f aca="false">SUMIFS('Source'!$G:$G,'Source'!$A:$A,"157464 מדיקל הצפון ב.מ-חורי",'Source'!$B:$B,$A84)</f>
        <v>180</v>
      </c>
      <c r="J84" s="8" t="n">
        <f aca="false">I84*$J$5</f>
        <v>227.368421052632</v>
      </c>
      <c r="K84" s="8" t="n">
        <f aca="false">J84-H84</f>
        <v>227.368421052632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160</v>
      </c>
      <c r="B85" s="7" t="str">
        <f aca="false">IFERROR(INDEX('Source'!$C:$C,MATCH($A85,'Source'!$B:$B,0)),"")</f>
        <v>חגורת גב+סגירה כפולה</v>
      </c>
      <c r="C85" s="8" t="n">
        <f aca="false">SUMIFS('Source'!$D:$D,'Source'!$A:$A,"157464 מדיקל הצפון ב.מ-חורי",'Source'!$B:$B,$A85)</f>
        <v>0</v>
      </c>
      <c r="D85" s="8" t="n">
        <f aca="false">SUMIFS('Source'!$F:$F,'Source'!$A:$A,"157464 מדיקל הצפון ב.מ-חורי",'Source'!$B:$B,$A85)</f>
        <v>2</v>
      </c>
      <c r="E85" s="8" t="n">
        <f aca="false">D85*$J$5</f>
        <v>2.52631578947368</v>
      </c>
      <c r="F85" s="8" t="n">
        <f aca="false">E85-C85</f>
        <v>2.52631578947368</v>
      </c>
      <c r="G85" s="9" t="str">
        <f aca="false">IF(AND(C85=0,E85=0),0,IF(C85=0,"New",(E85-C85)/C85))</f>
        <v>New</v>
      </c>
      <c r="H85" s="8" t="n">
        <f aca="false">SUMIFS('Source'!$E:$E,'Source'!$A:$A,"157464 מדיקל הצפון ב.מ-חורי",'Source'!$B:$B,$A85)</f>
        <v>0</v>
      </c>
      <c r="I85" s="8" t="n">
        <f aca="false">SUMIFS('Source'!$G:$G,'Source'!$A:$A,"157464 מדיקל הצפון ב.מ-חורי",'Source'!$B:$B,$A85)</f>
        <v>180</v>
      </c>
      <c r="J85" s="8" t="n">
        <f aca="false">I85*$J$5</f>
        <v>227.368421052632</v>
      </c>
      <c r="K85" s="8" t="n">
        <f aca="false">J85-H85</f>
        <v>227.368421052632</v>
      </c>
      <c r="L85" s="9" t="str">
        <f aca="false">IF(AND(H85=0,J85=0),0,IF(H85=0,"New",(J85-H85)/H85))</f>
        <v>New</v>
      </c>
      <c r="M85" s="7" t="str">
        <f aca="false">IF(AND(OR(C85&lt;&gt;0,H85&lt;&gt;0),D85=0,I85=0),"DROP",IF(AND(OR(D85&lt;&gt;0,I85&lt;&gt;0),C85=0,H85=0),"NEW",""))</f>
        <v>NEW</v>
      </c>
    </row>
    <row r="86" customFormat="false" ht="15" hidden="false" customHeight="false" outlineLevel="0" collapsed="false">
      <c r="A86" s="7" t="s">
        <v>323</v>
      </c>
      <c r="B86" s="7" t="str">
        <f aca="false">IFERROR(INDEX('Source'!$C:$C,MATCH($A86,'Source'!$B:$B,0)),"")</f>
        <v>חגורת היריון</v>
      </c>
      <c r="C86" s="8" t="n">
        <f aca="false">SUMIFS('Source'!$D:$D,'Source'!$A:$A,"157464 מדיקל הצפון ב.מ-חורי",'Source'!$B:$B,$A86)</f>
        <v>0</v>
      </c>
      <c r="D86" s="8" t="n">
        <f aca="false">SUMIFS('Source'!$F:$F,'Source'!$A:$A,"157464 מדיקל הצפון ב.מ-חורי",'Source'!$B:$B,$A86)</f>
        <v>2</v>
      </c>
      <c r="E86" s="8" t="n">
        <f aca="false">D86*$J$5</f>
        <v>2.52631578947368</v>
      </c>
      <c r="F86" s="8" t="n">
        <f aca="false">E86-C86</f>
        <v>2.52631578947368</v>
      </c>
      <c r="G86" s="9" t="str">
        <f aca="false">IF(AND(C86=0,E86=0),0,IF(C86=0,"New",(E86-C86)/C86))</f>
        <v>New</v>
      </c>
      <c r="H86" s="8" t="n">
        <f aca="false">SUMIFS('Source'!$E:$E,'Source'!$A:$A,"157464 מדיקל הצפון ב.מ-חורי",'Source'!$B:$B,$A86)</f>
        <v>0</v>
      </c>
      <c r="I86" s="8" t="n">
        <f aca="false">SUMIFS('Source'!$G:$G,'Source'!$A:$A,"157464 מדיקל הצפון ב.מ-חורי",'Source'!$B:$B,$A86)</f>
        <v>180</v>
      </c>
      <c r="J86" s="8" t="n">
        <f aca="false">I86*$J$5</f>
        <v>227.368421052632</v>
      </c>
      <c r="K86" s="8" t="n">
        <f aca="false">J86-H86</f>
        <v>227.368421052632</v>
      </c>
      <c r="L86" s="9" t="str">
        <f aca="false">IF(AND(H86=0,J86=0),0,IF(H86=0,"New",(J86-H86)/H86))</f>
        <v>New</v>
      </c>
      <c r="M86" s="7" t="str">
        <f aca="false">IF(AND(OR(C86&lt;&gt;0,H86&lt;&gt;0),D86=0,I86=0),"DROP",IF(AND(OR(D86&lt;&gt;0,I86&lt;&gt;0),C86=0,H86=0),"NEW",""))</f>
        <v>NEW</v>
      </c>
    </row>
    <row r="87" customFormat="false" ht="15" hidden="false" customHeight="false" outlineLevel="0" collapsed="false">
      <c r="A87" s="7" t="s">
        <v>349</v>
      </c>
      <c r="B87" s="7" t="str">
        <f aca="false">IFERROR(INDEX('Source'!$C:$C,MATCH($A87,'Source'!$B:$B,0)),"")</f>
        <v>חגורת גב+סגירה כפולה</v>
      </c>
      <c r="C87" s="8" t="n">
        <f aca="false">SUMIFS('Source'!$D:$D,'Source'!$A:$A,"157464 מדיקל הצפון ב.מ-חורי",'Source'!$B:$B,$A87)</f>
        <v>2</v>
      </c>
      <c r="D87" s="8" t="n">
        <f aca="false">SUMIFS('Source'!$F:$F,'Source'!$A:$A,"157464 מדיקל הצפון ב.מ-חורי",'Source'!$B:$B,$A87)</f>
        <v>4</v>
      </c>
      <c r="E87" s="8" t="n">
        <f aca="false">D87*$J$5</f>
        <v>5.05263157894737</v>
      </c>
      <c r="F87" s="8" t="n">
        <f aca="false">E87-C87</f>
        <v>3.05263157894737</v>
      </c>
      <c r="G87" s="9" t="n">
        <f aca="false">IF(AND(C87=0,E87=0),0,IF(C87=0,"New",(E87-C87)/C87))</f>
        <v>1.52631578947368</v>
      </c>
      <c r="H87" s="8" t="n">
        <f aca="false">SUMIFS('Source'!$E:$E,'Source'!$A:$A,"157464 מדיקל הצפון ב.מ-חורי",'Source'!$B:$B,$A87)</f>
        <v>180</v>
      </c>
      <c r="I87" s="8" t="n">
        <f aca="false">SUMIFS('Source'!$G:$G,'Source'!$A:$A,"157464 מדיקל הצפון ב.מ-חורי",'Source'!$B:$B,$A87)</f>
        <v>360</v>
      </c>
      <c r="J87" s="8" t="n">
        <f aca="false">I87*$J$5</f>
        <v>454.736842105263</v>
      </c>
      <c r="K87" s="8" t="n">
        <f aca="false">J87-H87</f>
        <v>274.736842105263</v>
      </c>
      <c r="L87" s="9" t="n">
        <f aca="false">IF(AND(H87=0,J87=0),0,IF(H87=0,"New",(J87-H87)/H87))</f>
        <v>1.52631578947368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330</v>
      </c>
      <c r="B88" s="7" t="str">
        <f aca="false">IFERROR(INDEX('Source'!$C:$C,MATCH($A88,'Source'!$B:$B,0)),"")</f>
        <v>מגן מרפק + סיליקון</v>
      </c>
      <c r="C88" s="8" t="n">
        <f aca="false">SUMIFS('Source'!$D:$D,'Source'!$A:$A,"157464 מדיקל הצפון ב.מ-חורי",'Source'!$B:$B,$A88)</f>
        <v>2</v>
      </c>
      <c r="D88" s="8" t="n">
        <f aca="false">SUMIFS('Source'!$F:$F,'Source'!$A:$A,"157464 מדיקל הצפון ב.מ-חורי",'Source'!$B:$B,$A88)</f>
        <v>0</v>
      </c>
      <c r="E88" s="8" t="n">
        <f aca="false">D88*$J$5</f>
        <v>0</v>
      </c>
      <c r="F88" s="8" t="n">
        <f aca="false">E88-C88</f>
        <v>-2</v>
      </c>
      <c r="G88" s="9" t="n">
        <f aca="false">IF(AND(C88=0,E88=0),0,IF(C88=0,"New",(E88-C88)/C88))</f>
        <v>-1</v>
      </c>
      <c r="H88" s="8" t="n">
        <f aca="false">SUMIFS('Source'!$E:$E,'Source'!$A:$A,"157464 מדיקל הצפון ב.מ-חורי",'Source'!$B:$B,$A88)</f>
        <v>178</v>
      </c>
      <c r="I88" s="8" t="n">
        <f aca="false">SUMIFS('Source'!$G:$G,'Source'!$A:$A,"157464 מדיקל הצפון ב.מ-חורי",'Source'!$B:$B,$A88)</f>
        <v>0</v>
      </c>
      <c r="J88" s="8" t="n">
        <f aca="false">I88*$J$5</f>
        <v>0</v>
      </c>
      <c r="K88" s="8" t="n">
        <f aca="false">J88-H88</f>
        <v>-178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670</v>
      </c>
      <c r="B89" s="7" t="str">
        <f aca="false">IFERROR(INDEX('Source'!$C:$C,MATCH($A89,'Source'!$B:$B,0)),"")</f>
        <v>מגן מרפק + סיליקון</v>
      </c>
      <c r="C89" s="8" t="n">
        <f aca="false">SUMIFS('Source'!$D:$D,'Source'!$A:$A,"157464 מדיקל הצפון ב.מ-חורי",'Source'!$B:$B,$A89)</f>
        <v>2</v>
      </c>
      <c r="D89" s="8" t="n">
        <f aca="false">SUMIFS('Source'!$F:$F,'Source'!$A:$A,"157464 מדיקל הצפון ב.מ-חורי",'Source'!$B:$B,$A89)</f>
        <v>0</v>
      </c>
      <c r="E89" s="8" t="n">
        <f aca="false">D89*$J$5</f>
        <v>0</v>
      </c>
      <c r="F89" s="8" t="n">
        <f aca="false">E89-C89</f>
        <v>-2</v>
      </c>
      <c r="G89" s="9" t="n">
        <f aca="false">IF(AND(C89=0,E89=0),0,IF(C89=0,"New",(E89-C89)/C89))</f>
        <v>-1</v>
      </c>
      <c r="H89" s="8" t="n">
        <f aca="false">SUMIFS('Source'!$E:$E,'Source'!$A:$A,"157464 מדיקל הצפון ב.מ-חורי",'Source'!$B:$B,$A89)</f>
        <v>178</v>
      </c>
      <c r="I89" s="8" t="n">
        <f aca="false">SUMIFS('Source'!$G:$G,'Source'!$A:$A,"157464 מדיקל הצפון ב.מ-חורי",'Source'!$B:$B,$A89)</f>
        <v>0</v>
      </c>
      <c r="J89" s="8" t="n">
        <f aca="false">I89*$J$5</f>
        <v>0</v>
      </c>
      <c r="K89" s="8" t="n">
        <f aca="false">J89-H89</f>
        <v>-178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482</v>
      </c>
      <c r="B90" s="7" t="str">
        <f aca="false">IFERROR(INDEX('Source'!$C:$C,MATCH($A90,'Source'!$B:$B,0)),"")</f>
        <v>ח.בטן 25 ס'מ</v>
      </c>
      <c r="C90" s="8" t="n">
        <f aca="false">SUMIFS('Source'!$D:$D,'Source'!$A:$A,"157464 מדיקל הצפון ב.מ-חורי",'Source'!$B:$B,$A90)</f>
        <v>2</v>
      </c>
      <c r="D90" s="8" t="n">
        <f aca="false">SUMIFS('Source'!$F:$F,'Source'!$A:$A,"157464 מדיקל הצפון ב.מ-חורי",'Source'!$B:$B,$A90)</f>
        <v>4</v>
      </c>
      <c r="E90" s="8" t="n">
        <f aca="false">D90*$J$5</f>
        <v>5.05263157894737</v>
      </c>
      <c r="F90" s="8" t="n">
        <f aca="false">E90-C90</f>
        <v>3.05263157894737</v>
      </c>
      <c r="G90" s="9" t="n">
        <f aca="false">IF(AND(C90=0,E90=0),0,IF(C90=0,"New",(E90-C90)/C90))</f>
        <v>1.52631578947368</v>
      </c>
      <c r="H90" s="8" t="n">
        <f aca="false">SUMIFS('Source'!$E:$E,'Source'!$A:$A,"157464 מדיקל הצפון ב.מ-חורי",'Source'!$B:$B,$A90)</f>
        <v>169.99</v>
      </c>
      <c r="I90" s="8" t="n">
        <f aca="false">SUMIFS('Source'!$G:$G,'Source'!$A:$A,"157464 מדיקל הצפון ב.מ-חורי",'Source'!$B:$B,$A90)</f>
        <v>339.99</v>
      </c>
      <c r="J90" s="8" t="n">
        <f aca="false">I90*$J$5</f>
        <v>429.461052631579</v>
      </c>
      <c r="K90" s="8" t="n">
        <f aca="false">J90-H90</f>
        <v>259.471052631579</v>
      </c>
      <c r="L90" s="9" t="n">
        <f aca="false">IF(AND(H90=0,J90=0),0,IF(H90=0,"New",(J90-H90)/H90))</f>
        <v>1.5263900972503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542</v>
      </c>
      <c r="B91" s="7" t="str">
        <f aca="false">IFERROR(INDEX('Source'!$C:$C,MATCH($A91,'Source'!$B:$B,0)),"")</f>
        <v>מגן מרפק + סיליקון</v>
      </c>
      <c r="C91" s="8" t="n">
        <f aca="false">SUMIFS('Source'!$D:$D,'Source'!$A:$A,"157464 מדיקל הצפון ב.מ-חורי",'Source'!$B:$B,$A91)</f>
        <v>3</v>
      </c>
      <c r="D91" s="8" t="n">
        <f aca="false">SUMIFS('Source'!$F:$F,'Source'!$A:$A,"157464 מדיקל הצפון ב.מ-חורי",'Source'!$B:$B,$A91)</f>
        <v>1</v>
      </c>
      <c r="E91" s="8" t="n">
        <f aca="false">D91*$J$5</f>
        <v>1.26315789473684</v>
      </c>
      <c r="F91" s="8" t="n">
        <f aca="false">E91-C91</f>
        <v>-1.73684210526316</v>
      </c>
      <c r="G91" s="9" t="n">
        <f aca="false">IF(AND(C91=0,E91=0),0,IF(C91=0,"New",(E91-C91)/C91))</f>
        <v>-0.578947368421053</v>
      </c>
      <c r="H91" s="8" t="n">
        <f aca="false">SUMIFS('Source'!$E:$E,'Source'!$A:$A,"157464 מדיקל הצפון ב.מ-חורי",'Source'!$B:$B,$A91)</f>
        <v>255.92</v>
      </c>
      <c r="I91" s="8" t="n">
        <f aca="false">SUMIFS('Source'!$G:$G,'Source'!$A:$A,"157464 מדיקל הצפון ב.מ-חורי",'Source'!$B:$B,$A91)</f>
        <v>90</v>
      </c>
      <c r="J91" s="8" t="n">
        <f aca="false">I91*$J$5</f>
        <v>113.684210526316</v>
      </c>
      <c r="K91" s="8" t="n">
        <f aca="false">J91-H91</f>
        <v>-142.235789473684</v>
      </c>
      <c r="L91" s="9" t="n">
        <f aca="false">IF(AND(H91=0,J91=0),0,IF(H91=0,"New",(J91-H91)/H91))</f>
        <v>-0.555782234579885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405</v>
      </c>
      <c r="B92" s="7" t="str">
        <f aca="false">IFERROR(INDEX('Source'!$C:$C,MATCH($A92,'Source'!$B:$B,0)),"")</f>
        <v>אצבעון מפלסטיק  ליד</v>
      </c>
      <c r="C92" s="8" t="n">
        <f aca="false">SUMIFS('Source'!$D:$D,'Source'!$A:$A,"157464 מדיקל הצפון ב.מ-חורי",'Source'!$B:$B,$A92)</f>
        <v>8</v>
      </c>
      <c r="D92" s="8" t="n">
        <f aca="false">SUMIFS('Source'!$F:$F,'Source'!$A:$A,"157464 מדיקל הצפון ב.מ-חורי",'Source'!$B:$B,$A92)</f>
        <v>16</v>
      </c>
      <c r="E92" s="8" t="n">
        <f aca="false">D92*$J$5</f>
        <v>20.2105263157895</v>
      </c>
      <c r="F92" s="8" t="n">
        <f aca="false">E92-C92</f>
        <v>12.2105263157895</v>
      </c>
      <c r="G92" s="9" t="n">
        <f aca="false">IF(AND(C92=0,E92=0),0,IF(C92=0,"New",(E92-C92)/C92))</f>
        <v>1.52631578947368</v>
      </c>
      <c r="H92" s="8" t="n">
        <f aca="false">SUMIFS('Source'!$E:$E,'Source'!$A:$A,"157464 מדיקל הצפון ב.מ-חורי",'Source'!$B:$B,$A92)</f>
        <v>160.86</v>
      </c>
      <c r="I92" s="8" t="n">
        <f aca="false">SUMIFS('Source'!$G:$G,'Source'!$A:$A,"157464 מדיקל הצפון ב.מ-חורי",'Source'!$B:$B,$A92)</f>
        <v>321.72</v>
      </c>
      <c r="J92" s="8" t="n">
        <f aca="false">I92*$J$5</f>
        <v>406.383157894737</v>
      </c>
      <c r="K92" s="8" t="n">
        <f aca="false">J92-H92</f>
        <v>245.523157894737</v>
      </c>
      <c r="L92" s="9" t="n">
        <f aca="false">IF(AND(H92=0,J92=0),0,IF(H92=0,"New",(J92-H92)/H92))</f>
        <v>1.52631578947368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347</v>
      </c>
      <c r="B93" s="7" t="str">
        <f aca="false">IFERROR(INDEX('Source'!$C:$C,MATCH($A93,'Source'!$B:$B,0)),"")</f>
        <v>מישר כתפיים רחב+תמיכה לבית השח</v>
      </c>
      <c r="C93" s="8" t="n">
        <f aca="false">SUMIFS('Source'!$D:$D,'Source'!$A:$A,"157464 מדיקל הצפון ב.מ-חורי",'Source'!$B:$B,$A93)</f>
        <v>4</v>
      </c>
      <c r="D93" s="8" t="n">
        <f aca="false">SUMIFS('Source'!$F:$F,'Source'!$A:$A,"157464 מדיקל הצפון ב.מ-חורי",'Source'!$B:$B,$A93)</f>
        <v>3</v>
      </c>
      <c r="E93" s="8" t="n">
        <f aca="false">D93*$J$5</f>
        <v>3.78947368421053</v>
      </c>
      <c r="F93" s="8" t="n">
        <f aca="false">E93-C93</f>
        <v>-0.210526315789474</v>
      </c>
      <c r="G93" s="9" t="n">
        <f aca="false">IF(AND(C93=0,E93=0),0,IF(C93=0,"New",(E93-C93)/C93))</f>
        <v>-0.0526315789473685</v>
      </c>
      <c r="H93" s="8" t="n">
        <f aca="false">SUMIFS('Source'!$E:$E,'Source'!$A:$A,"157464 מדיקל הצפון ב.מ-חורי",'Source'!$B:$B,$A93)</f>
        <v>639.99</v>
      </c>
      <c r="I93" s="8" t="n">
        <f aca="false">SUMIFS('Source'!$G:$G,'Source'!$A:$A,"157464 מדיקל הצפון ב.מ-חורי",'Source'!$B:$B,$A93)</f>
        <v>479.99</v>
      </c>
      <c r="J93" s="8" t="n">
        <f aca="false">I93*$J$5</f>
        <v>606.303157894737</v>
      </c>
      <c r="K93" s="8" t="n">
        <f aca="false">J93-H93</f>
        <v>-33.6868421052632</v>
      </c>
      <c r="L93" s="9" t="n">
        <f aca="false">IF(AND(H93=0,J93=0),0,IF(H93=0,"New",(J93-H93)/H93))</f>
        <v>-0.052636513234993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291</v>
      </c>
      <c r="B94" s="7" t="str">
        <f aca="false">IFERROR(INDEX('Source'!$C:$C,MATCH($A94,'Source'!$B:$B,0)),"")</f>
        <v>מישר כתפיים רחב+תמיכה לבית השח</v>
      </c>
      <c r="C94" s="8" t="n">
        <f aca="false">SUMIFS('Source'!$D:$D,'Source'!$A:$A,"157464 מדיקל הצפון ב.מ-חורי",'Source'!$B:$B,$A94)</f>
        <v>7</v>
      </c>
      <c r="D94" s="8" t="n">
        <f aca="false">SUMIFS('Source'!$F:$F,'Source'!$A:$A,"157464 מדיקל הצפון ב.מ-חורי",'Source'!$B:$B,$A94)</f>
        <v>8</v>
      </c>
      <c r="E94" s="8" t="n">
        <f aca="false">D94*$J$5</f>
        <v>10.1052631578947</v>
      </c>
      <c r="F94" s="8" t="n">
        <f aca="false">E94-C94</f>
        <v>3.10526315789474</v>
      </c>
      <c r="G94" s="9" t="n">
        <f aca="false">IF(AND(C94=0,E94=0),0,IF(C94=0,"New",(E94-C94)/C94))</f>
        <v>0.443609022556391</v>
      </c>
      <c r="H94" s="8" t="n">
        <f aca="false">SUMIFS('Source'!$E:$E,'Source'!$A:$A,"157464 מדיקל הצפון ב.מ-חורי",'Source'!$B:$B,$A94)</f>
        <v>1119.99</v>
      </c>
      <c r="I94" s="8" t="n">
        <f aca="false">SUMIFS('Source'!$G:$G,'Source'!$A:$A,"157464 מדיקל הצפון ב.מ-חורי",'Source'!$B:$B,$A94)</f>
        <v>1279.97</v>
      </c>
      <c r="J94" s="8" t="n">
        <f aca="false">I94*$J$5</f>
        <v>1616.80421052632</v>
      </c>
      <c r="K94" s="8" t="n">
        <f aca="false">J94-H94</f>
        <v>496.814210526316</v>
      </c>
      <c r="L94" s="9" t="n">
        <f aca="false">IF(AND(H94=0,J94=0),0,IF(H94=0,"New",(J94-H94)/H94))</f>
        <v>0.443588077149185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795</v>
      </c>
      <c r="B95" s="7" t="str">
        <f aca="false">IFERROR(INDEX('Source'!$C:$C,MATCH($A95,'Source'!$B:$B,0)),"")</f>
        <v>מגן יד</v>
      </c>
      <c r="C95" s="8" t="n">
        <f aca="false">SUMIFS('Source'!$D:$D,'Source'!$A:$A,"157464 מדיקל הצפון ב.מ-חורי",'Source'!$B:$B,$A95)</f>
        <v>5</v>
      </c>
      <c r="D95" s="8" t="n">
        <f aca="false">SUMIFS('Source'!$F:$F,'Source'!$A:$A,"157464 מדיקל הצפון ב.מ-חורי",'Source'!$B:$B,$A95)</f>
        <v>1</v>
      </c>
      <c r="E95" s="8" t="n">
        <f aca="false">D95*$J$5</f>
        <v>1.26315789473684</v>
      </c>
      <c r="F95" s="8" t="n">
        <f aca="false">E95-C95</f>
        <v>-3.73684210526316</v>
      </c>
      <c r="G95" s="9" t="n">
        <f aca="false">IF(AND(C95=0,E95=0),0,IF(C95=0,"New",(E95-C95)/C95))</f>
        <v>-0.747368421052632</v>
      </c>
      <c r="H95" s="8" t="n">
        <f aca="false">SUMIFS('Source'!$E:$E,'Source'!$A:$A,"157464 מדיקל הצפון ב.מ-חורי",'Source'!$B:$B,$A95)</f>
        <v>198.97</v>
      </c>
      <c r="I95" s="8" t="n">
        <f aca="false">SUMIFS('Source'!$G:$G,'Source'!$A:$A,"157464 מדיקל הצפון ב.מ-חורי",'Source'!$B:$B,$A95)</f>
        <v>39.79</v>
      </c>
      <c r="J95" s="8" t="n">
        <f aca="false">I95*$J$5</f>
        <v>50.2610526315789</v>
      </c>
      <c r="K95" s="8" t="n">
        <f aca="false">J95-H95</f>
        <v>-148.708947368421</v>
      </c>
      <c r="L95" s="9" t="n">
        <f aca="false">IF(AND(H95=0,J95=0),0,IF(H95=0,"New",(J95-H95)/H95))</f>
        <v>-0.7473938149893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524</v>
      </c>
      <c r="B96" s="7" t="str">
        <f aca="false">IFERROR(INDEX('Source'!$C:$C,MATCH($A96,'Source'!$B:$B,0)),"")</f>
        <v>מגן יד</v>
      </c>
      <c r="C96" s="8" t="n">
        <f aca="false">SUMIFS('Source'!$D:$D,'Source'!$A:$A,"157464 מדיקל הצפון ב.מ-חורי",'Source'!$B:$B,$A96)</f>
        <v>4</v>
      </c>
      <c r="D96" s="8" t="n">
        <f aca="false">SUMIFS('Source'!$F:$F,'Source'!$A:$A,"157464 מדיקל הצפון ב.מ-חורי",'Source'!$B:$B,$A96)</f>
        <v>0</v>
      </c>
      <c r="E96" s="8" t="n">
        <f aca="false">D96*$J$5</f>
        <v>0</v>
      </c>
      <c r="F96" s="8" t="n">
        <f aca="false">E96-C96</f>
        <v>-4</v>
      </c>
      <c r="G96" s="9" t="n">
        <f aca="false">IF(AND(C96=0,E96=0),0,IF(C96=0,"New",(E96-C96)/C96))</f>
        <v>-1</v>
      </c>
      <c r="H96" s="8" t="n">
        <f aca="false">SUMIFS('Source'!$E:$E,'Source'!$A:$A,"157464 מדיקל הצפון ב.מ-חורי",'Source'!$B:$B,$A96)</f>
        <v>159.18</v>
      </c>
      <c r="I96" s="8" t="n">
        <f aca="false">SUMIFS('Source'!$G:$G,'Source'!$A:$A,"157464 מדיקל הצפון ב.מ-חורי",'Source'!$B:$B,$A96)</f>
        <v>0</v>
      </c>
      <c r="J96" s="8" t="n">
        <f aca="false">I96*$J$5</f>
        <v>0</v>
      </c>
      <c r="K96" s="8" t="n">
        <f aca="false">J96-H96</f>
        <v>-159.18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169</v>
      </c>
      <c r="B97" s="7" t="str">
        <f aca="false">IFERROR(INDEX('Source'!$C:$C,MATCH($A97,'Source'!$B:$B,0)),"")</f>
        <v>חגורת שבר דו צדדית</v>
      </c>
      <c r="C97" s="8" t="n">
        <f aca="false">SUMIFS('Source'!$D:$D,'Source'!$A:$A,"157464 מדיקל הצפון ב.מ-חורי",'Source'!$B:$B,$A97)</f>
        <v>1</v>
      </c>
      <c r="D97" s="8" t="n">
        <f aca="false">SUMIFS('Source'!$F:$F,'Source'!$A:$A,"157464 מדיקל הצפון ב.מ-חורי",'Source'!$B:$B,$A97)</f>
        <v>0</v>
      </c>
      <c r="E97" s="8" t="n">
        <f aca="false">D97*$J$5</f>
        <v>0</v>
      </c>
      <c r="F97" s="8" t="n">
        <f aca="false">E97-C97</f>
        <v>-1</v>
      </c>
      <c r="G97" s="9" t="n">
        <f aca="false">IF(AND(C97=0,E97=0),0,IF(C97=0,"New",(E97-C97)/C97))</f>
        <v>-1</v>
      </c>
      <c r="H97" s="8" t="n">
        <f aca="false">SUMIFS('Source'!$E:$E,'Source'!$A:$A,"157464 מדיקל הצפון ב.מ-חורי",'Source'!$B:$B,$A97)</f>
        <v>158.12</v>
      </c>
      <c r="I97" s="8" t="n">
        <f aca="false">SUMIFS('Source'!$G:$G,'Source'!$A:$A,"157464 מדיקל הצפון ב.מ-חורי",'Source'!$B:$B,$A97)</f>
        <v>0</v>
      </c>
      <c r="J97" s="8" t="n">
        <f aca="false">I97*$J$5</f>
        <v>0</v>
      </c>
      <c r="K97" s="8" t="n">
        <f aca="false">J97-H97</f>
        <v>-158.12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407</v>
      </c>
      <c r="B98" s="7" t="str">
        <f aca="false">IFERROR(INDEX('Source'!$C:$C,MATCH($A98,'Source'!$B:$B,0)),"")</f>
        <v>חגורת שבר דו צדדית</v>
      </c>
      <c r="C98" s="8" t="n">
        <f aca="false">SUMIFS('Source'!$D:$D,'Source'!$A:$A,"157464 מדיקל הצפון ב.מ-חורי",'Source'!$B:$B,$A98)</f>
        <v>1</v>
      </c>
      <c r="D98" s="8" t="n">
        <f aca="false">SUMIFS('Source'!$F:$F,'Source'!$A:$A,"157464 מדיקל הצפון ב.מ-חורי",'Source'!$B:$B,$A98)</f>
        <v>0</v>
      </c>
      <c r="E98" s="8" t="n">
        <f aca="false">D98*$J$5</f>
        <v>0</v>
      </c>
      <c r="F98" s="8" t="n">
        <f aca="false">E98-C98</f>
        <v>-1</v>
      </c>
      <c r="G98" s="9" t="n">
        <f aca="false">IF(AND(C98=0,E98=0),0,IF(C98=0,"New",(E98-C98)/C98))</f>
        <v>-1</v>
      </c>
      <c r="H98" s="8" t="n">
        <f aca="false">SUMIFS('Source'!$E:$E,'Source'!$A:$A,"157464 מדיקל הצפון ב.מ-חורי",'Source'!$B:$B,$A98)</f>
        <v>158.12</v>
      </c>
      <c r="I98" s="8" t="n">
        <f aca="false">SUMIFS('Source'!$G:$G,'Source'!$A:$A,"157464 מדיקל הצפון ב.מ-חורי",'Source'!$B:$B,$A98)</f>
        <v>0</v>
      </c>
      <c r="J98" s="8" t="n">
        <f aca="false">I98*$J$5</f>
        <v>0</v>
      </c>
      <c r="K98" s="8" t="n">
        <f aca="false">J98-H98</f>
        <v>-158.12</v>
      </c>
      <c r="L98" s="9" t="n">
        <f aca="false">IF(AND(H98=0,J98=0),0,IF(H98=0,"New",(J98-H98)/H98))</f>
        <v>-1</v>
      </c>
      <c r="M98" s="7" t="str">
        <f aca="false">IF(AND(OR(C98&lt;&gt;0,H98&lt;&gt;0),D98=0,I98=0),"DROP",IF(AND(OR(D98&lt;&gt;0,I98&lt;&gt;0),C98=0,H98=0),"NEW",""))</f>
        <v>DROP</v>
      </c>
    </row>
    <row r="99" customFormat="false" ht="15" hidden="false" customHeight="false" outlineLevel="0" collapsed="false">
      <c r="A99" s="7" t="s">
        <v>403</v>
      </c>
      <c r="B99" s="7" t="str">
        <f aca="false">IFERROR(INDEX('Source'!$C:$C,MATCH($A99,'Source'!$B:$B,0)),"")</f>
        <v>חגורת שבר דו צדדית</v>
      </c>
      <c r="C99" s="8" t="n">
        <f aca="false">SUMIFS('Source'!$D:$D,'Source'!$A:$A,"157464 מדיקל הצפון ב.מ-חורי",'Source'!$B:$B,$A99)</f>
        <v>1</v>
      </c>
      <c r="D99" s="8" t="n">
        <f aca="false">SUMIFS('Source'!$F:$F,'Source'!$A:$A,"157464 מדיקל הצפון ב.מ-חורי",'Source'!$B:$B,$A99)</f>
        <v>0</v>
      </c>
      <c r="E99" s="8" t="n">
        <f aca="false">D99*$J$5</f>
        <v>0</v>
      </c>
      <c r="F99" s="8" t="n">
        <f aca="false">E99-C99</f>
        <v>-1</v>
      </c>
      <c r="G99" s="9" t="n">
        <f aca="false">IF(AND(C99=0,E99=0),0,IF(C99=0,"New",(E99-C99)/C99))</f>
        <v>-1</v>
      </c>
      <c r="H99" s="8" t="n">
        <f aca="false">SUMIFS('Source'!$E:$E,'Source'!$A:$A,"157464 מדיקל הצפון ב.מ-חורי",'Source'!$B:$B,$A99)</f>
        <v>158.12</v>
      </c>
      <c r="I99" s="8" t="n">
        <f aca="false">SUMIFS('Source'!$G:$G,'Source'!$A:$A,"157464 מדיקל הצפון ב.מ-חורי",'Source'!$B:$B,$A99)</f>
        <v>0</v>
      </c>
      <c r="J99" s="8" t="n">
        <f aca="false">I99*$J$5</f>
        <v>0</v>
      </c>
      <c r="K99" s="8" t="n">
        <f aca="false">J99-H99</f>
        <v>-158.12</v>
      </c>
      <c r="L99" s="9" t="n">
        <f aca="false">IF(AND(H99=0,J99=0),0,IF(H99=0,"New",(J99-H99)/H99))</f>
        <v>-1</v>
      </c>
      <c r="M99" s="7" t="str">
        <f aca="false">IF(AND(OR(C99&lt;&gt;0,H99&lt;&gt;0),D99=0,I99=0),"DROP",IF(AND(OR(D99&lt;&gt;0,I99&lt;&gt;0),C99=0,H99=0),"NEW",""))</f>
        <v>DROP</v>
      </c>
    </row>
    <row r="100" customFormat="false" ht="15" hidden="false" customHeight="false" outlineLevel="0" collapsed="false">
      <c r="A100" s="7" t="s">
        <v>801</v>
      </c>
      <c r="B100" s="7" t="str">
        <f aca="false">IFERROR(INDEX('Source'!$C:$C,MATCH($A100,'Source'!$B:$B,0)),"")</f>
        <v>מגן מרפק</v>
      </c>
      <c r="C100" s="8" t="n">
        <f aca="false">SUMIFS('Source'!$D:$D,'Source'!$A:$A,"157464 מדיקל הצפון ב.מ-חורי",'Source'!$B:$B,$A100)</f>
        <v>3</v>
      </c>
      <c r="D100" s="8" t="n">
        <f aca="false">SUMIFS('Source'!$F:$F,'Source'!$A:$A,"157464 מדיקל הצפון ב.מ-חורי",'Source'!$B:$B,$A100)</f>
        <v>8</v>
      </c>
      <c r="E100" s="8" t="n">
        <f aca="false">D100*$J$5</f>
        <v>10.1052631578947</v>
      </c>
      <c r="F100" s="8" t="n">
        <f aca="false">E100-C100</f>
        <v>7.10526315789474</v>
      </c>
      <c r="G100" s="9" t="n">
        <f aca="false">IF(AND(C100=0,E100=0),0,IF(C100=0,"New",(E100-C100)/C100))</f>
        <v>2.36842105263158</v>
      </c>
      <c r="H100" s="8" t="n">
        <f aca="false">SUMIFS('Source'!$E:$E,'Source'!$A:$A,"157464 מדיקל הצפון ב.מ-חורי",'Source'!$B:$B,$A100)</f>
        <v>92.68</v>
      </c>
      <c r="I100" s="8" t="n">
        <f aca="false">SUMIFS('Source'!$G:$G,'Source'!$A:$A,"157464 מדיקל הצפון ב.מ-חורי",'Source'!$B:$B,$A100)</f>
        <v>247.13</v>
      </c>
      <c r="J100" s="8" t="n">
        <f aca="false">I100*$J$5</f>
        <v>312.164210526316</v>
      </c>
      <c r="K100" s="8" t="n">
        <f aca="false">J100-H100</f>
        <v>219.484210526316</v>
      </c>
      <c r="L100" s="9" t="n">
        <f aca="false">IF(AND(H100=0,J100=0),0,IF(H100=0,"New",(J100-H100)/H100))</f>
        <v>2.36819389864389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596</v>
      </c>
      <c r="B101" s="7" t="str">
        <f aca="false">IFERROR(INDEX('Source'!$C:$C,MATCH($A101,'Source'!$B:$B,0)),"")</f>
        <v>צוארון ספוגי</v>
      </c>
      <c r="C101" s="8" t="n">
        <f aca="false">SUMIFS('Source'!$D:$D,'Source'!$A:$A,"157464 מדיקל הצפון ב.מ-חורי",'Source'!$B:$B,$A101)</f>
        <v>3</v>
      </c>
      <c r="D101" s="8" t="n">
        <f aca="false">SUMIFS('Source'!$F:$F,'Source'!$A:$A,"157464 מדיקל הצפון ב.מ-חורי",'Source'!$B:$B,$A101)</f>
        <v>0</v>
      </c>
      <c r="E101" s="8" t="n">
        <f aca="false">D101*$J$5</f>
        <v>0</v>
      </c>
      <c r="F101" s="8" t="n">
        <f aca="false">E101-C101</f>
        <v>-3</v>
      </c>
      <c r="G101" s="9" t="n">
        <f aca="false">IF(AND(C101=0,E101=0),0,IF(C101=0,"New",(E101-C101)/C101))</f>
        <v>-1</v>
      </c>
      <c r="H101" s="8" t="n">
        <f aca="false">SUMIFS('Source'!$E:$E,'Source'!$A:$A,"157464 מדיקל הצפון ב.מ-חורי",'Source'!$B:$B,$A101)</f>
        <v>148.9</v>
      </c>
      <c r="I101" s="8" t="n">
        <f aca="false">SUMIFS('Source'!$G:$G,'Source'!$A:$A,"157464 מדיקל הצפון ב.מ-חורי",'Source'!$B:$B,$A101)</f>
        <v>0</v>
      </c>
      <c r="J101" s="8" t="n">
        <f aca="false">I101*$J$5</f>
        <v>0</v>
      </c>
      <c r="K101" s="8" t="n">
        <f aca="false">J101-H101</f>
        <v>-148.9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693</v>
      </c>
      <c r="B102" s="7" t="str">
        <f aca="false">IFERROR(INDEX('Source'!$C:$C,MATCH($A102,'Source'!$B:$B,0)),"")</f>
        <v>מתלה יד-כיס</v>
      </c>
      <c r="C102" s="8" t="n">
        <f aca="false">SUMIFS('Source'!$D:$D,'Source'!$A:$A,"157464 מדיקל הצפון ב.מ-חורי",'Source'!$B:$B,$A102)</f>
        <v>6</v>
      </c>
      <c r="D102" s="8" t="n">
        <f aca="false">SUMIFS('Source'!$F:$F,'Source'!$A:$A,"157464 מדיקל הצפון ב.מ-חורי",'Source'!$B:$B,$A102)</f>
        <v>9</v>
      </c>
      <c r="E102" s="8" t="n">
        <f aca="false">D102*$J$5</f>
        <v>11.3684210526316</v>
      </c>
      <c r="F102" s="8" t="n">
        <f aca="false">E102-C102</f>
        <v>5.36842105263158</v>
      </c>
      <c r="G102" s="9" t="n">
        <f aca="false">IF(AND(C102=0,E102=0),0,IF(C102=0,"New",(E102-C102)/C102))</f>
        <v>0.894736842105263</v>
      </c>
      <c r="H102" s="8" t="n">
        <f aca="false">SUMIFS('Source'!$E:$E,'Source'!$A:$A,"157464 מדיקל הצפון ב.מ-חורי",'Source'!$B:$B,$A102)</f>
        <v>293.99</v>
      </c>
      <c r="I102" s="8" t="n">
        <f aca="false">SUMIFS('Source'!$G:$G,'Source'!$A:$A,"157464 מדיקל הצפון ב.מ-חורי",'Source'!$B:$B,$A102)</f>
        <v>440.98</v>
      </c>
      <c r="J102" s="8" t="n">
        <f aca="false">I102*$J$5</f>
        <v>557.027368421053</v>
      </c>
      <c r="K102" s="8" t="n">
        <f aca="false">J102-H102</f>
        <v>263.037368421053</v>
      </c>
      <c r="L102" s="9" t="n">
        <f aca="false">IF(AND(H102=0,J102=0),0,IF(H102=0,"New",(J102-H102)/H102))</f>
        <v>0.894715359097427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700</v>
      </c>
      <c r="B103" s="7" t="str">
        <f aca="false">IFERROR(INDEX('Source'!$C:$C,MATCH($A103,'Source'!$B:$B,0)),"")</f>
        <v>אצבעון מפלסטיק  ליד</v>
      </c>
      <c r="C103" s="8" t="n">
        <f aca="false">SUMIFS('Source'!$D:$D,'Source'!$A:$A,"157464 מדיקל הצפון ב.מ-חורי",'Source'!$B:$B,$A103)</f>
        <v>6</v>
      </c>
      <c r="D103" s="8" t="n">
        <f aca="false">SUMIFS('Source'!$F:$F,'Source'!$A:$A,"157464 מדיקל הצפון ב.מ-חורי",'Source'!$B:$B,$A103)</f>
        <v>13</v>
      </c>
      <c r="E103" s="8" t="n">
        <f aca="false">D103*$J$5</f>
        <v>16.4210526315789</v>
      </c>
      <c r="F103" s="8" t="n">
        <f aca="false">E103-C103</f>
        <v>10.4210526315789</v>
      </c>
      <c r="G103" s="9" t="n">
        <f aca="false">IF(AND(C103=0,E103=0),0,IF(C103=0,"New",(E103-C103)/C103))</f>
        <v>1.73684210526316</v>
      </c>
      <c r="H103" s="8" t="n">
        <f aca="false">SUMIFS('Source'!$E:$E,'Source'!$A:$A,"157464 מדיקל הצפון ב.מ-חורי",'Source'!$B:$B,$A103)</f>
        <v>120.64</v>
      </c>
      <c r="I103" s="8" t="n">
        <f aca="false">SUMIFS('Source'!$G:$G,'Source'!$A:$A,"157464 מדיקל הצפון ב.מ-חורי",'Source'!$B:$B,$A103)</f>
        <v>261.4</v>
      </c>
      <c r="J103" s="8" t="n">
        <f aca="false">I103*$J$5</f>
        <v>330.189473684211</v>
      </c>
      <c r="K103" s="8" t="n">
        <f aca="false">J103-H103</f>
        <v>209.549473684211</v>
      </c>
      <c r="L103" s="9" t="n">
        <f aca="false">IF(AND(H103=0,J103=0),0,IF(H103=0,"New",(J103-H103)/H103))</f>
        <v>1.73698171157336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181</v>
      </c>
      <c r="B104" s="7" t="str">
        <f aca="false">IFERROR(INDEX('Source'!$C:$C,MATCH($A104,'Source'!$B:$B,0)),"")</f>
        <v>מגן קרסול+ עקב סגור+רצועות</v>
      </c>
      <c r="C104" s="8" t="n">
        <f aca="false">SUMIFS('Source'!$D:$D,'Source'!$A:$A,"157464 מדיקל הצפון ב.מ-חורי",'Source'!$B:$B,$A104)</f>
        <v>0</v>
      </c>
      <c r="D104" s="8" t="n">
        <f aca="false">SUMIFS('Source'!$F:$F,'Source'!$A:$A,"157464 מדיקל הצפון ב.מ-חורי",'Source'!$B:$B,$A104)</f>
        <v>2</v>
      </c>
      <c r="E104" s="8" t="n">
        <f aca="false">D104*$J$5</f>
        <v>2.52631578947368</v>
      </c>
      <c r="F104" s="8" t="n">
        <f aca="false">E104-C104</f>
        <v>2.52631578947368</v>
      </c>
      <c r="G104" s="9" t="str">
        <f aca="false">IF(AND(C104=0,E104=0),0,IF(C104=0,"New",(E104-C104)/C104))</f>
        <v>New</v>
      </c>
      <c r="H104" s="8" t="n">
        <f aca="false">SUMIFS('Source'!$E:$E,'Source'!$A:$A,"157464 מדיקל הצפון ב.מ-חורי",'Source'!$B:$B,$A104)</f>
        <v>0</v>
      </c>
      <c r="I104" s="8" t="n">
        <f aca="false">SUMIFS('Source'!$G:$G,'Source'!$A:$A,"157464 מדיקל הצפון ב.מ-חורי",'Source'!$B:$B,$A104)</f>
        <v>140.52</v>
      </c>
      <c r="J104" s="8" t="n">
        <f aca="false">I104*$J$5</f>
        <v>177.498947368421</v>
      </c>
      <c r="K104" s="8" t="n">
        <f aca="false">J104-H104</f>
        <v>177.498947368421</v>
      </c>
      <c r="L104" s="9" t="str">
        <f aca="false">IF(AND(H104=0,J104=0),0,IF(H104=0,"New",(J104-H104)/H104))</f>
        <v>New</v>
      </c>
      <c r="M104" s="7" t="str">
        <f aca="false">IF(AND(OR(C104&lt;&gt;0,H104&lt;&gt;0),D104=0,I104=0),"DROP",IF(AND(OR(D104&lt;&gt;0,I104&lt;&gt;0),C104=0,H104=0),"NEW",""))</f>
        <v>NEW</v>
      </c>
    </row>
    <row r="105" customFormat="false" ht="15" hidden="false" customHeight="false" outlineLevel="0" collapsed="false">
      <c r="A105" s="7" t="s">
        <v>394</v>
      </c>
      <c r="B105" s="7" t="str">
        <f aca="false">IFERROR(INDEX('Source'!$C:$C,MATCH($A105,'Source'!$B:$B,0)),"")</f>
        <v>מגן קרסול+ עקב סגור+רצועות</v>
      </c>
      <c r="C105" s="8" t="n">
        <f aca="false">SUMIFS('Source'!$D:$D,'Source'!$A:$A,"157464 מדיקל הצפון ב.מ-חורי",'Source'!$B:$B,$A105)</f>
        <v>0</v>
      </c>
      <c r="D105" s="8" t="n">
        <f aca="false">SUMIFS('Source'!$F:$F,'Source'!$A:$A,"157464 מדיקל הצפון ב.מ-חורי",'Source'!$B:$B,$A105)</f>
        <v>2</v>
      </c>
      <c r="E105" s="8" t="n">
        <f aca="false">D105*$J$5</f>
        <v>2.52631578947368</v>
      </c>
      <c r="F105" s="8" t="n">
        <f aca="false">E105-C105</f>
        <v>2.52631578947368</v>
      </c>
      <c r="G105" s="9" t="str">
        <f aca="false">IF(AND(C105=0,E105=0),0,IF(C105=0,"New",(E105-C105)/C105))</f>
        <v>New</v>
      </c>
      <c r="H105" s="8" t="n">
        <f aca="false">SUMIFS('Source'!$E:$E,'Source'!$A:$A,"157464 מדיקל הצפון ב.מ-חורי",'Source'!$B:$B,$A105)</f>
        <v>0</v>
      </c>
      <c r="I105" s="8" t="n">
        <f aca="false">SUMIFS('Source'!$G:$G,'Source'!$A:$A,"157464 מדיקל הצפון ב.מ-חורי",'Source'!$B:$B,$A105)</f>
        <v>140.52</v>
      </c>
      <c r="J105" s="8" t="n">
        <f aca="false">I105*$J$5</f>
        <v>177.498947368421</v>
      </c>
      <c r="K105" s="8" t="n">
        <f aca="false">J105-H105</f>
        <v>177.498947368421</v>
      </c>
      <c r="L105" s="9" t="str">
        <f aca="false">IF(AND(H105=0,J105=0),0,IF(H105=0,"New",(J105-H105)/H105))</f>
        <v>New</v>
      </c>
      <c r="M105" s="7" t="str">
        <f aca="false">IF(AND(OR(C105&lt;&gt;0,H105&lt;&gt;0),D105=0,I105=0),"DROP",IF(AND(OR(D105&lt;&gt;0,I105&lt;&gt;0),C105=0,H105=0),"NEW",""))</f>
        <v>NEW</v>
      </c>
    </row>
    <row r="106" customFormat="false" ht="15" hidden="false" customHeight="false" outlineLevel="0" collapsed="false">
      <c r="A106" s="7" t="s">
        <v>527</v>
      </c>
      <c r="B106" s="7" t="str">
        <f aca="false">IFERROR(INDEX('Source'!$C:$C,MATCH($A106,'Source'!$B:$B,0)),"")</f>
        <v>סד מאורך לאגודל</v>
      </c>
      <c r="C106" s="8" t="n">
        <f aca="false">SUMIFS('Source'!$D:$D,'Source'!$A:$A,"157464 מדיקל הצפון ב.מ-חורי",'Source'!$B:$B,$A106)</f>
        <v>2</v>
      </c>
      <c r="D106" s="8" t="n">
        <f aca="false">SUMIFS('Source'!$F:$F,'Source'!$A:$A,"157464 מדיקל הצפון ב.מ-חורי",'Source'!$B:$B,$A106)</f>
        <v>4</v>
      </c>
      <c r="E106" s="8" t="n">
        <f aca="false">D106*$J$5</f>
        <v>5.05263157894737</v>
      </c>
      <c r="F106" s="8" t="n">
        <f aca="false">E106-C106</f>
        <v>3.05263157894737</v>
      </c>
      <c r="G106" s="9" t="n">
        <f aca="false">IF(AND(C106=0,E106=0),0,IF(C106=0,"New",(E106-C106)/C106))</f>
        <v>1.52631578947368</v>
      </c>
      <c r="H106" s="8" t="n">
        <f aca="false">SUMIFS('Source'!$E:$E,'Source'!$A:$A,"157464 מדיקל הצפון ב.מ-חורי",'Source'!$B:$B,$A106)</f>
        <v>140.52</v>
      </c>
      <c r="I106" s="8" t="n">
        <f aca="false">SUMIFS('Source'!$G:$G,'Source'!$A:$A,"157464 מדיקל הצפון ב.מ-חורי",'Source'!$B:$B,$A106)</f>
        <v>281.04</v>
      </c>
      <c r="J106" s="8" t="n">
        <f aca="false">I106*$J$5</f>
        <v>354.997894736842</v>
      </c>
      <c r="K106" s="8" t="n">
        <f aca="false">J106-H106</f>
        <v>214.477894736842</v>
      </c>
      <c r="L106" s="9" t="n">
        <f aca="false">IF(AND(H106=0,J106=0),0,IF(H106=0,"New",(J106-H106)/H106))</f>
        <v>1.52631578947368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503</v>
      </c>
      <c r="B107" s="7" t="str">
        <f aca="false">IFERROR(INDEX('Source'!$C:$C,MATCH($A107,'Source'!$B:$B,0)),"")</f>
        <v>מגן קרסול סגור</v>
      </c>
      <c r="C107" s="8" t="n">
        <f aca="false">SUMIFS('Source'!$D:$D,'Source'!$A:$A,"157464 מדיקל הצפון ב.מ-חורי",'Source'!$B:$B,$A107)</f>
        <v>3</v>
      </c>
      <c r="D107" s="8" t="n">
        <f aca="false">SUMIFS('Source'!$F:$F,'Source'!$A:$A,"157464 מדיקל הצפון ב.מ-חורי",'Source'!$B:$B,$A107)</f>
        <v>0</v>
      </c>
      <c r="E107" s="8" t="n">
        <f aca="false">D107*$J$5</f>
        <v>0</v>
      </c>
      <c r="F107" s="8" t="n">
        <f aca="false">E107-C107</f>
        <v>-3</v>
      </c>
      <c r="G107" s="9" t="n">
        <f aca="false">IF(AND(C107=0,E107=0),0,IF(C107=0,"New",(E107-C107)/C107))</f>
        <v>-1</v>
      </c>
      <c r="H107" s="8" t="n">
        <f aca="false">SUMIFS('Source'!$E:$E,'Source'!$A:$A,"157464 מדיקל הצפון ב.מ-חורי",'Source'!$B:$B,$A107)</f>
        <v>140.46</v>
      </c>
      <c r="I107" s="8" t="n">
        <f aca="false">SUMIFS('Source'!$G:$G,'Source'!$A:$A,"157464 מדיקל הצפון ב.מ-חורי",'Source'!$B:$B,$A107)</f>
        <v>0</v>
      </c>
      <c r="J107" s="8" t="n">
        <f aca="false">I107*$J$5</f>
        <v>0</v>
      </c>
      <c r="K107" s="8" t="n">
        <f aca="false">J107-H107</f>
        <v>-140.46</v>
      </c>
      <c r="L107" s="9" t="n">
        <f aca="false">IF(AND(H107=0,J107=0),0,IF(H107=0,"New",(J107-H107)/H107))</f>
        <v>-1</v>
      </c>
      <c r="M107" s="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false" outlineLevel="0" collapsed="false">
      <c r="A108" s="7" t="s">
        <v>616</v>
      </c>
      <c r="B108" s="7" t="str">
        <f aca="false">IFERROR(INDEX('Source'!$C:$C,MATCH($A108,'Source'!$B:$B,0)),"")</f>
        <v>מגן קרסול סגור</v>
      </c>
      <c r="C108" s="8" t="n">
        <f aca="false">SUMIFS('Source'!$D:$D,'Source'!$A:$A,"157464 מדיקל הצפון ב.מ-חורי",'Source'!$B:$B,$A108)</f>
        <v>3</v>
      </c>
      <c r="D108" s="8" t="n">
        <f aca="false">SUMIFS('Source'!$F:$F,'Source'!$A:$A,"157464 מדיקל הצפון ב.מ-חורי",'Source'!$B:$B,$A108)</f>
        <v>0</v>
      </c>
      <c r="E108" s="8" t="n">
        <f aca="false">D108*$J$5</f>
        <v>0</v>
      </c>
      <c r="F108" s="8" t="n">
        <f aca="false">E108-C108</f>
        <v>-3</v>
      </c>
      <c r="G108" s="9" t="n">
        <f aca="false">IF(AND(C108=0,E108=0),0,IF(C108=0,"New",(E108-C108)/C108))</f>
        <v>-1</v>
      </c>
      <c r="H108" s="8" t="n">
        <f aca="false">SUMIFS('Source'!$E:$E,'Source'!$A:$A,"157464 מדיקל הצפון ב.מ-חורי",'Source'!$B:$B,$A108)</f>
        <v>140.46</v>
      </c>
      <c r="I108" s="8" t="n">
        <f aca="false">SUMIFS('Source'!$G:$G,'Source'!$A:$A,"157464 מדיקל הצפון ב.מ-חורי",'Source'!$B:$B,$A108)</f>
        <v>0</v>
      </c>
      <c r="J108" s="8" t="n">
        <f aca="false">I108*$J$5</f>
        <v>0</v>
      </c>
      <c r="K108" s="8" t="n">
        <f aca="false">J108-H108</f>
        <v>-140.46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360</v>
      </c>
      <c r="B109" s="7" t="str">
        <f aca="false">IFERROR(INDEX('Source'!$C:$C,MATCH($A109,'Source'!$B:$B,0)),"")</f>
        <v>חגורת שבר לצד שמאל</v>
      </c>
      <c r="C109" s="8" t="n">
        <f aca="false">SUMIFS('Source'!$D:$D,'Source'!$A:$A,"157464 מדיקל הצפון ב.מ-חורי",'Source'!$B:$B,$A109)</f>
        <v>0</v>
      </c>
      <c r="D109" s="8" t="n">
        <f aca="false">SUMIFS('Source'!$F:$F,'Source'!$A:$A,"157464 מדיקל הצפון ב.מ-חורי",'Source'!$B:$B,$A109)</f>
        <v>1</v>
      </c>
      <c r="E109" s="8" t="n">
        <f aca="false">D109*$J$5</f>
        <v>1.26315789473684</v>
      </c>
      <c r="F109" s="8" t="n">
        <f aca="false">E109-C109</f>
        <v>1.26315789473684</v>
      </c>
      <c r="G109" s="9" t="str">
        <f aca="false">IF(AND(C109=0,E109=0),0,IF(C109=0,"New",(E109-C109)/C109))</f>
        <v>New</v>
      </c>
      <c r="H109" s="8" t="n">
        <f aca="false">SUMIFS('Source'!$E:$E,'Source'!$A:$A,"157464 מדיקל הצפון ב.מ-חורי",'Source'!$B:$B,$A109)</f>
        <v>0</v>
      </c>
      <c r="I109" s="8" t="n">
        <f aca="false">SUMIFS('Source'!$G:$G,'Source'!$A:$A,"157464 מדיקל הצפון ב.מ-חורי",'Source'!$B:$B,$A109)</f>
        <v>140</v>
      </c>
      <c r="J109" s="8" t="n">
        <f aca="false">I109*$J$5</f>
        <v>176.842105263158</v>
      </c>
      <c r="K109" s="8" t="n">
        <f aca="false">J109-H109</f>
        <v>176.842105263158</v>
      </c>
      <c r="L109" s="9" t="str">
        <f aca="false">IF(AND(H109=0,J109=0),0,IF(H109=0,"New",(J109-H109)/H109))</f>
        <v>New</v>
      </c>
      <c r="M109" s="7" t="str">
        <f aca="false">IF(AND(OR(C109&lt;&gt;0,H109&lt;&gt;0),D109=0,I109=0),"DROP",IF(AND(OR(D109&lt;&gt;0,I109&lt;&gt;0),C109=0,H109=0),"NEW",""))</f>
        <v>NEW</v>
      </c>
    </row>
    <row r="110" customFormat="false" ht="15" hidden="false" customHeight="false" outlineLevel="0" collapsed="false">
      <c r="A110" s="7" t="s">
        <v>436</v>
      </c>
      <c r="B110" s="7" t="str">
        <f aca="false">IFERROR(INDEX('Source'!$C:$C,MATCH($A110,'Source'!$B:$B,0)),"")</f>
        <v>חגורת שבר לצד ימין</v>
      </c>
      <c r="C110" s="8" t="n">
        <f aca="false">SUMIFS('Source'!$D:$D,'Source'!$A:$A,"157464 מדיקל הצפון ב.מ-חורי",'Source'!$B:$B,$A110)</f>
        <v>0</v>
      </c>
      <c r="D110" s="8" t="n">
        <f aca="false">SUMIFS('Source'!$F:$F,'Source'!$A:$A,"157464 מדיקל הצפון ב.מ-חורי",'Source'!$B:$B,$A110)</f>
        <v>1</v>
      </c>
      <c r="E110" s="8" t="n">
        <f aca="false">D110*$J$5</f>
        <v>1.26315789473684</v>
      </c>
      <c r="F110" s="8" t="n">
        <f aca="false">E110-C110</f>
        <v>1.26315789473684</v>
      </c>
      <c r="G110" s="9" t="str">
        <f aca="false">IF(AND(C110=0,E110=0),0,IF(C110=0,"New",(E110-C110)/C110))</f>
        <v>New</v>
      </c>
      <c r="H110" s="8" t="n">
        <f aca="false">SUMIFS('Source'!$E:$E,'Source'!$A:$A,"157464 מדיקל הצפון ב.מ-חורי",'Source'!$B:$B,$A110)</f>
        <v>0</v>
      </c>
      <c r="I110" s="8" t="n">
        <f aca="false">SUMIFS('Source'!$G:$G,'Source'!$A:$A,"157464 מדיקל הצפון ב.מ-חורי",'Source'!$B:$B,$A110)</f>
        <v>140</v>
      </c>
      <c r="J110" s="8" t="n">
        <f aca="false">I110*$J$5</f>
        <v>176.842105263158</v>
      </c>
      <c r="K110" s="8" t="n">
        <f aca="false">J110-H110</f>
        <v>176.842105263158</v>
      </c>
      <c r="L110" s="9" t="str">
        <f aca="false">IF(AND(H110=0,J110=0),0,IF(H110=0,"New",(J110-H110)/H110))</f>
        <v>New</v>
      </c>
      <c r="M110" s="7" t="str">
        <f aca="false">IF(AND(OR(C110&lt;&gt;0,H110&lt;&gt;0),D110=0,I110=0),"DROP",IF(AND(OR(D110&lt;&gt;0,I110&lt;&gt;0),C110=0,H110=0),"NEW",""))</f>
        <v>NEW</v>
      </c>
    </row>
    <row r="111" customFormat="false" ht="15" hidden="false" customHeight="false" outlineLevel="0" collapsed="false">
      <c r="A111" s="7" t="s">
        <v>145</v>
      </c>
      <c r="B111" s="7" t="str">
        <f aca="false">IFERROR(INDEX('Source'!$C:$C,MATCH($A111,'Source'!$B:$B,0)),"")</f>
        <v>חגורת שבר לצד שמאל</v>
      </c>
      <c r="C111" s="8" t="n">
        <f aca="false">SUMIFS('Source'!$D:$D,'Source'!$A:$A,"157464 מדיקל הצפון ב.מ-חורי",'Source'!$B:$B,$A111)</f>
        <v>1</v>
      </c>
      <c r="D111" s="8" t="n">
        <f aca="false">SUMIFS('Source'!$F:$F,'Source'!$A:$A,"157464 מדיקל הצפון ב.מ-חורי",'Source'!$B:$B,$A111)</f>
        <v>2</v>
      </c>
      <c r="E111" s="8" t="n">
        <f aca="false">D111*$J$5</f>
        <v>2.52631578947368</v>
      </c>
      <c r="F111" s="8" t="n">
        <f aca="false">E111-C111</f>
        <v>1.52631578947368</v>
      </c>
      <c r="G111" s="9" t="n">
        <f aca="false">IF(AND(C111=0,E111=0),0,IF(C111=0,"New",(E111-C111)/C111))</f>
        <v>1.52631578947368</v>
      </c>
      <c r="H111" s="8" t="n">
        <f aca="false">SUMIFS('Source'!$E:$E,'Source'!$A:$A,"157464 מדיקל הצפון ב.מ-חורי",'Source'!$B:$B,$A111)</f>
        <v>140</v>
      </c>
      <c r="I111" s="8" t="n">
        <f aca="false">SUMIFS('Source'!$G:$G,'Source'!$A:$A,"157464 מדיקל הצפון ב.מ-חורי",'Source'!$B:$B,$A111)</f>
        <v>280</v>
      </c>
      <c r="J111" s="8" t="n">
        <f aca="false">I111*$J$5</f>
        <v>353.684210526316</v>
      </c>
      <c r="K111" s="8" t="n">
        <f aca="false">J111-H111</f>
        <v>213.684210526316</v>
      </c>
      <c r="L111" s="9" t="n">
        <f aca="false">IF(AND(H111=0,J111=0),0,IF(H111=0,"New",(J111-H111)/H111))</f>
        <v>1.52631578947368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386</v>
      </c>
      <c r="B112" s="7" t="str">
        <f aca="false">IFERROR(INDEX('Source'!$C:$C,MATCH($A112,'Source'!$B:$B,0)),"")</f>
        <v>חגורה למנותחי בית החזה</v>
      </c>
      <c r="C112" s="8" t="n">
        <f aca="false">SUMIFS('Source'!$D:$D,'Source'!$A:$A,"157464 מדיקל הצפון ב.מ-חורי",'Source'!$B:$B,$A112)</f>
        <v>2</v>
      </c>
      <c r="D112" s="8" t="n">
        <f aca="false">SUMIFS('Source'!$F:$F,'Source'!$A:$A,"157464 מדיקל הצפון ב.מ-חורי",'Source'!$B:$B,$A112)</f>
        <v>1</v>
      </c>
      <c r="E112" s="8" t="n">
        <f aca="false">D112*$J$5</f>
        <v>1.26315789473684</v>
      </c>
      <c r="F112" s="8" t="n">
        <f aca="false">E112-C112</f>
        <v>-0.736842105263158</v>
      </c>
      <c r="G112" s="9" t="n">
        <f aca="false">IF(AND(C112=0,E112=0),0,IF(C112=0,"New",(E112-C112)/C112))</f>
        <v>-0.368421052631579</v>
      </c>
      <c r="H112" s="8" t="n">
        <f aca="false">SUMIFS('Source'!$E:$E,'Source'!$A:$A,"157464 מדיקל הצפון ב.מ-חורי",'Source'!$B:$B,$A112)</f>
        <v>260.01</v>
      </c>
      <c r="I112" s="8" t="n">
        <f aca="false">SUMIFS('Source'!$G:$G,'Source'!$A:$A,"157464 מדיקל הצפון ב.מ-חורי",'Source'!$B:$B,$A112)</f>
        <v>130</v>
      </c>
      <c r="J112" s="8" t="n">
        <f aca="false">I112*$J$5</f>
        <v>164.210526315789</v>
      </c>
      <c r="K112" s="8" t="n">
        <f aca="false">J112-H112</f>
        <v>-95.7994736842105</v>
      </c>
      <c r="L112" s="9" t="n">
        <f aca="false">IF(AND(H112=0,J112=0),0,IF(H112=0,"New",(J112-H112)/H112))</f>
        <v>-0.368445343195302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351</v>
      </c>
      <c r="B113" s="7" t="str">
        <f aca="false">IFERROR(INDEX('Source'!$C:$C,MATCH($A113,'Source'!$B:$B,0)),"")</f>
        <v>מגן לכתף ימין/שמאל</v>
      </c>
      <c r="C113" s="8" t="n">
        <f aca="false">SUMIFS('Source'!$D:$D,'Source'!$A:$A,"157464 מדיקל הצפון ב.מ-חורי",'Source'!$B:$B,$A113)</f>
        <v>4</v>
      </c>
      <c r="D113" s="8" t="n">
        <f aca="false">SUMIFS('Source'!$F:$F,'Source'!$A:$A,"157464 מדיקל הצפון ב.מ-חורי",'Source'!$B:$B,$A113)</f>
        <v>3</v>
      </c>
      <c r="E113" s="8" t="n">
        <f aca="false">D113*$J$5</f>
        <v>3.78947368421053</v>
      </c>
      <c r="F113" s="8" t="n">
        <f aca="false">E113-C113</f>
        <v>-0.210526315789474</v>
      </c>
      <c r="G113" s="9" t="n">
        <f aca="false">IF(AND(C113=0,E113=0),0,IF(C113=0,"New",(E113-C113)/C113))</f>
        <v>-0.0526315789473685</v>
      </c>
      <c r="H113" s="8" t="n">
        <f aca="false">SUMIFS('Source'!$E:$E,'Source'!$A:$A,"157464 מדיקל הצפון ב.מ-חורי",'Source'!$B:$B,$A113)</f>
        <v>519.99</v>
      </c>
      <c r="I113" s="8" t="n">
        <f aca="false">SUMIFS('Source'!$G:$G,'Source'!$A:$A,"157464 מדיקל הצפון ב.מ-חורי",'Source'!$B:$B,$A113)</f>
        <v>389.99</v>
      </c>
      <c r="J113" s="8" t="n">
        <f aca="false">I113*$J$5</f>
        <v>492.618947368421</v>
      </c>
      <c r="K113" s="8" t="n">
        <f aca="false">J113-H113</f>
        <v>-27.3710526315789</v>
      </c>
      <c r="L113" s="9" t="n">
        <f aca="false">IF(AND(H113=0,J113=0),0,IF(H113=0,"New",(J113-H113)/H113))</f>
        <v>-0.0526376519386506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462</v>
      </c>
      <c r="B114" s="7" t="str">
        <f aca="false">IFERROR(INDEX('Source'!$C:$C,MATCH($A114,'Source'!$B:$B,0)),"")</f>
        <v>מגן לכתף ימין/שמאל</v>
      </c>
      <c r="C114" s="8" t="n">
        <f aca="false">SUMIFS('Source'!$D:$D,'Source'!$A:$A,"157464 מדיקל הצפון ב.מ-חורי",'Source'!$B:$B,$A114)</f>
        <v>3</v>
      </c>
      <c r="D114" s="8" t="n">
        <f aca="false">SUMIFS('Source'!$F:$F,'Source'!$A:$A,"157464 מדיקל הצפון ב.מ-חורי",'Source'!$B:$B,$A114)</f>
        <v>2</v>
      </c>
      <c r="E114" s="8" t="n">
        <f aca="false">D114*$J$5</f>
        <v>2.52631578947368</v>
      </c>
      <c r="F114" s="8" t="n">
        <f aca="false">E114-C114</f>
        <v>-0.473684210526316</v>
      </c>
      <c r="G114" s="9" t="n">
        <f aca="false">IF(AND(C114=0,E114=0),0,IF(C114=0,"New",(E114-C114)/C114))</f>
        <v>-0.157894736842105</v>
      </c>
      <c r="H114" s="8" t="n">
        <f aca="false">SUMIFS('Source'!$E:$E,'Source'!$A:$A,"157464 מדיקל הצפון ב.מ-חורי",'Source'!$B:$B,$A114)</f>
        <v>390</v>
      </c>
      <c r="I114" s="8" t="n">
        <f aca="false">SUMIFS('Source'!$G:$G,'Source'!$A:$A,"157464 מדיקל הצפון ב.מ-חורי",'Source'!$B:$B,$A114)</f>
        <v>260</v>
      </c>
      <c r="J114" s="8" t="n">
        <f aca="false">I114*$J$5</f>
        <v>328.421052631579</v>
      </c>
      <c r="K114" s="8" t="n">
        <f aca="false">J114-H114</f>
        <v>-61.5789473684211</v>
      </c>
      <c r="L114" s="9" t="n">
        <f aca="false">IF(AND(H114=0,J114=0),0,IF(H114=0,"New",(J114-H114)/H114))</f>
        <v>-0.157894736842105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789</v>
      </c>
      <c r="B115" s="7" t="str">
        <f aca="false">IFERROR(INDEX('Source'!$C:$C,MATCH($A115,'Source'!$B:$B,0)),"")</f>
        <v>חגורה למנותחי בית החזה</v>
      </c>
      <c r="C115" s="8" t="n">
        <f aca="false">SUMIFS('Source'!$D:$D,'Source'!$A:$A,"157464 מדיקל הצפון ב.מ-חורי",'Source'!$B:$B,$A115)</f>
        <v>0</v>
      </c>
      <c r="D115" s="8" t="n">
        <f aca="false">SUMIFS('Source'!$F:$F,'Source'!$A:$A,"157464 מדיקל הצפון ב.מ-חורי",'Source'!$B:$B,$A115)</f>
        <v>1</v>
      </c>
      <c r="E115" s="8" t="n">
        <f aca="false">D115*$J$5</f>
        <v>1.26315789473684</v>
      </c>
      <c r="F115" s="8" t="n">
        <f aca="false">E115-C115</f>
        <v>1.26315789473684</v>
      </c>
      <c r="G115" s="9" t="str">
        <f aca="false">IF(AND(C115=0,E115=0),0,IF(C115=0,"New",(E115-C115)/C115))</f>
        <v>New</v>
      </c>
      <c r="H115" s="8" t="n">
        <f aca="false">SUMIFS('Source'!$E:$E,'Source'!$A:$A,"157464 מדיקל הצפון ב.מ-חורי",'Source'!$B:$B,$A115)</f>
        <v>0</v>
      </c>
      <c r="I115" s="8" t="n">
        <f aca="false">SUMIFS('Source'!$G:$G,'Source'!$A:$A,"157464 מדיקל הצפון ב.מ-חורי",'Source'!$B:$B,$A115)</f>
        <v>130</v>
      </c>
      <c r="J115" s="8" t="n">
        <f aca="false">I115*$J$5</f>
        <v>164.210526315789</v>
      </c>
      <c r="K115" s="8" t="n">
        <f aca="false">J115-H115</f>
        <v>164.210526315789</v>
      </c>
      <c r="L115" s="9" t="str">
        <f aca="false">IF(AND(H115=0,J115=0),0,IF(H115=0,"New",(J115-H115)/H115))</f>
        <v>New</v>
      </c>
      <c r="M115" s="7" t="str">
        <f aca="false">IF(AND(OR(C115&lt;&gt;0,H115&lt;&gt;0),D115=0,I115=0),"DROP",IF(AND(OR(D115&lt;&gt;0,I115&lt;&gt;0),C115=0,H115=0),"NEW",""))</f>
        <v>NEW</v>
      </c>
    </row>
    <row r="116" customFormat="false" ht="15" hidden="false" customHeight="false" outlineLevel="0" collapsed="false">
      <c r="A116" s="7" t="s">
        <v>248</v>
      </c>
      <c r="B116" s="7" t="str">
        <f aca="false">IFERROR(INDEX('Source'!$C:$C,MATCH($A116,'Source'!$B:$B,0)),"")</f>
        <v>מגן לכתף ימין/שמאל</v>
      </c>
      <c r="C116" s="8" t="n">
        <f aca="false">SUMIFS('Source'!$D:$D,'Source'!$A:$A,"157464 מדיקל הצפון ב.מ-חורי",'Source'!$B:$B,$A116)</f>
        <v>2</v>
      </c>
      <c r="D116" s="8" t="n">
        <f aca="false">SUMIFS('Source'!$F:$F,'Source'!$A:$A,"157464 מדיקל הצפון ב.מ-חורי",'Source'!$B:$B,$A116)</f>
        <v>3</v>
      </c>
      <c r="E116" s="8" t="n">
        <f aca="false">D116*$J$5</f>
        <v>3.78947368421053</v>
      </c>
      <c r="F116" s="8" t="n">
        <f aca="false">E116-C116</f>
        <v>1.78947368421053</v>
      </c>
      <c r="G116" s="9" t="n">
        <f aca="false">IF(AND(C116=0,E116=0),0,IF(C116=0,"New",(E116-C116)/C116))</f>
        <v>0.894736842105263</v>
      </c>
      <c r="H116" s="8" t="n">
        <f aca="false">SUMIFS('Source'!$E:$E,'Source'!$A:$A,"157464 מדיקל הצפון ב.מ-חורי",'Source'!$B:$B,$A116)</f>
        <v>260</v>
      </c>
      <c r="I116" s="8" t="n">
        <f aca="false">SUMIFS('Source'!$G:$G,'Source'!$A:$A,"157464 מדיקל הצפון ב.מ-חורי",'Source'!$B:$B,$A116)</f>
        <v>389.99</v>
      </c>
      <c r="J116" s="8" t="n">
        <f aca="false">I116*$J$5</f>
        <v>492.618947368421</v>
      </c>
      <c r="K116" s="8" t="n">
        <f aca="false">J116-H116</f>
        <v>232.618947368421</v>
      </c>
      <c r="L116" s="9" t="n">
        <f aca="false">IF(AND(H116=0,J116=0),0,IF(H116=0,"New",(J116-H116)/H116))</f>
        <v>0.894688259109312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276</v>
      </c>
      <c r="B117" s="7" t="str">
        <f aca="false">IFERROR(INDEX('Source'!$C:$C,MATCH($A117,'Source'!$B:$B,0)),"")</f>
        <v>מגן ברך מוצלב+מוטות</v>
      </c>
      <c r="C117" s="8" t="n">
        <f aca="false">SUMIFS('Source'!$D:$D,'Source'!$A:$A,"157464 מדיקל הצפון ב.מ-חורי",'Source'!$B:$B,$A117)</f>
        <v>1</v>
      </c>
      <c r="D117" s="8" t="n">
        <f aca="false">SUMIFS('Source'!$F:$F,'Source'!$A:$A,"157464 מדיקל הצפון ב.מ-חורי",'Source'!$B:$B,$A117)</f>
        <v>2</v>
      </c>
      <c r="E117" s="8" t="n">
        <f aca="false">D117*$J$5</f>
        <v>2.52631578947368</v>
      </c>
      <c r="F117" s="8" t="n">
        <f aca="false">E117-C117</f>
        <v>1.52631578947368</v>
      </c>
      <c r="G117" s="9" t="n">
        <f aca="false">IF(AND(C117=0,E117=0),0,IF(C117=0,"New",(E117-C117)/C117))</f>
        <v>1.52631578947368</v>
      </c>
      <c r="H117" s="8" t="n">
        <f aca="false">SUMIFS('Source'!$E:$E,'Source'!$A:$A,"157464 מדיקל הצפון ב.מ-חורי",'Source'!$B:$B,$A117)</f>
        <v>126.51</v>
      </c>
      <c r="I117" s="8" t="n">
        <f aca="false">SUMIFS('Source'!$G:$G,'Source'!$A:$A,"157464 מדיקל הצפון ב.מ-חורי",'Source'!$B:$B,$A117)</f>
        <v>253.02</v>
      </c>
      <c r="J117" s="8" t="n">
        <f aca="false">I117*$J$5</f>
        <v>319.604210526316</v>
      </c>
      <c r="K117" s="8" t="n">
        <f aca="false">J117-H117</f>
        <v>193.094210526316</v>
      </c>
      <c r="L117" s="9" t="n">
        <f aca="false">IF(AND(H117=0,J117=0),0,IF(H117=0,"New",(J117-H117)/H117))</f>
        <v>1.52631578947368</v>
      </c>
      <c r="M117" s="7" t="str">
        <f aca="false">IF(AND(OR(C117&lt;&gt;0,H117&lt;&gt;0),D117=0,I117=0),"DROP",IF(AND(OR(D117&lt;&gt;0,I117&lt;&gt;0),C117=0,H117=0),"NEW",""))</f>
        <v/>
      </c>
    </row>
    <row r="118" customFormat="false" ht="15" hidden="false" customHeight="false" outlineLevel="0" collapsed="false">
      <c r="A118" s="7" t="s">
        <v>339</v>
      </c>
      <c r="B118" s="7" t="str">
        <f aca="false">IFERROR(INDEX('Source'!$C:$C,MATCH($A118,'Source'!$B:$B,0)),"")</f>
        <v>מגן ברך מוצלב+מוטות</v>
      </c>
      <c r="C118" s="8" t="n">
        <f aca="false">SUMIFS('Source'!$D:$D,'Source'!$A:$A,"157464 מדיקל הצפון ב.מ-חורי",'Source'!$B:$B,$A118)</f>
        <v>1</v>
      </c>
      <c r="D118" s="8" t="n">
        <f aca="false">SUMIFS('Source'!$F:$F,'Source'!$A:$A,"157464 מדיקל הצפון ב.מ-חורי",'Source'!$B:$B,$A118)</f>
        <v>2</v>
      </c>
      <c r="E118" s="8" t="n">
        <f aca="false">D118*$J$5</f>
        <v>2.52631578947368</v>
      </c>
      <c r="F118" s="8" t="n">
        <f aca="false">E118-C118</f>
        <v>1.52631578947368</v>
      </c>
      <c r="G118" s="9" t="n">
        <f aca="false">IF(AND(C118=0,E118=0),0,IF(C118=0,"New",(E118-C118)/C118))</f>
        <v>1.52631578947368</v>
      </c>
      <c r="H118" s="8" t="n">
        <f aca="false">SUMIFS('Source'!$E:$E,'Source'!$A:$A,"157464 מדיקל הצפון ב.מ-חורי",'Source'!$B:$B,$A118)</f>
        <v>126.51</v>
      </c>
      <c r="I118" s="8" t="n">
        <f aca="false">SUMIFS('Source'!$G:$G,'Source'!$A:$A,"157464 מדיקל הצפון ב.מ-חורי",'Source'!$B:$B,$A118)</f>
        <v>253.02</v>
      </c>
      <c r="J118" s="8" t="n">
        <f aca="false">I118*$J$5</f>
        <v>319.604210526316</v>
      </c>
      <c r="K118" s="8" t="n">
        <f aca="false">J118-H118</f>
        <v>193.094210526316</v>
      </c>
      <c r="L118" s="9" t="n">
        <f aca="false">IF(AND(H118=0,J118=0),0,IF(H118=0,"New",(J118-H118)/H118))</f>
        <v>1.52631578947368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593</v>
      </c>
      <c r="B119" s="7" t="str">
        <f aca="false">IFERROR(INDEX('Source'!$C:$C,MATCH($A119,'Source'!$B:$B,0)),"")</f>
        <v>מגן ברך מוצלב+מוטות</v>
      </c>
      <c r="C119" s="8" t="n">
        <f aca="false">SUMIFS('Source'!$D:$D,'Source'!$A:$A,"157464 מדיקל הצפון ב.מ-חורי",'Source'!$B:$B,$A119)</f>
        <v>0</v>
      </c>
      <c r="D119" s="8" t="n">
        <f aca="false">SUMIFS('Source'!$F:$F,'Source'!$A:$A,"157464 מדיקל הצפון ב.מ-חורי",'Source'!$B:$B,$A119)</f>
        <v>1</v>
      </c>
      <c r="E119" s="8" t="n">
        <f aca="false">D119*$J$5</f>
        <v>1.26315789473684</v>
      </c>
      <c r="F119" s="8" t="n">
        <f aca="false">E119-C119</f>
        <v>1.26315789473684</v>
      </c>
      <c r="G119" s="9" t="str">
        <f aca="false">IF(AND(C119=0,E119=0),0,IF(C119=0,"New",(E119-C119)/C119))</f>
        <v>New</v>
      </c>
      <c r="H119" s="8" t="n">
        <f aca="false">SUMIFS('Source'!$E:$E,'Source'!$A:$A,"157464 מדיקל הצפון ב.מ-חורי",'Source'!$B:$B,$A119)</f>
        <v>0</v>
      </c>
      <c r="I119" s="8" t="n">
        <f aca="false">SUMIFS('Source'!$G:$G,'Source'!$A:$A,"157464 מדיקל הצפון ב.מ-חורי",'Source'!$B:$B,$A119)</f>
        <v>126.51</v>
      </c>
      <c r="J119" s="8" t="n">
        <f aca="false">I119*$J$5</f>
        <v>159.802105263158</v>
      </c>
      <c r="K119" s="8" t="n">
        <f aca="false">J119-H119</f>
        <v>159.802105263158</v>
      </c>
      <c r="L119" s="9" t="str">
        <f aca="false">IF(AND(H119=0,J119=0),0,IF(H119=0,"New",(J119-H119)/H119))</f>
        <v>New</v>
      </c>
      <c r="M119" s="7" t="str">
        <f aca="false">IF(AND(OR(C119&lt;&gt;0,H119&lt;&gt;0),D119=0,I119=0),"DROP",IF(AND(OR(D119&lt;&gt;0,I119&lt;&gt;0),C119=0,H119=0),"NEW",""))</f>
        <v>NEW</v>
      </c>
    </row>
    <row r="120" customFormat="false" ht="15" hidden="false" customHeight="false" outlineLevel="0" collapsed="false">
      <c r="A120" s="7" t="s">
        <v>580</v>
      </c>
      <c r="B120" s="7" t="str">
        <f aca="false">IFERROR(INDEX('Source'!$C:$C,MATCH($A120,'Source'!$B:$B,0)),"")</f>
        <v>מגן ברך רגיל</v>
      </c>
      <c r="C120" s="8" t="n">
        <f aca="false">SUMIFS('Source'!$D:$D,'Source'!$A:$A,"157464 מדיקל הצפון ב.מ-חורי",'Source'!$B:$B,$A120)</f>
        <v>6</v>
      </c>
      <c r="D120" s="8" t="n">
        <f aca="false">SUMIFS('Source'!$F:$F,'Source'!$A:$A,"157464 מדיקל הצפון ב.מ-חורי",'Source'!$B:$B,$A120)</f>
        <v>2</v>
      </c>
      <c r="E120" s="8" t="n">
        <f aca="false">D120*$J$5</f>
        <v>2.52631578947368</v>
      </c>
      <c r="F120" s="8" t="n">
        <f aca="false">E120-C120</f>
        <v>-3.47368421052632</v>
      </c>
      <c r="G120" s="9" t="n">
        <f aca="false">IF(AND(C120=0,E120=0),0,IF(C120=0,"New",(E120-C120)/C120))</f>
        <v>-0.578947368421053</v>
      </c>
      <c r="H120" s="8" t="n">
        <f aca="false">SUMIFS('Source'!$E:$E,'Source'!$A:$A,"157464 מדיקל הצפון ב.מ-חורי",'Source'!$B:$B,$A120)</f>
        <v>185.36</v>
      </c>
      <c r="I120" s="8" t="n">
        <f aca="false">SUMIFS('Source'!$G:$G,'Source'!$A:$A,"157464 מדיקל הצפון ב.מ-חורי",'Source'!$B:$B,$A120)</f>
        <v>61.78</v>
      </c>
      <c r="J120" s="8" t="n">
        <f aca="false">I120*$J$5</f>
        <v>78.0378947368421</v>
      </c>
      <c r="K120" s="8" t="n">
        <f aca="false">J120-H120</f>
        <v>-107.322105263158</v>
      </c>
      <c r="L120" s="9" t="n">
        <f aca="false">IF(AND(H120=0,J120=0),0,IF(H120=0,"New",(J120-H120)/H120))</f>
        <v>-0.57899279921859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698</v>
      </c>
      <c r="B121" s="7" t="str">
        <f aca="false">IFERROR(INDEX('Source'!$C:$C,MATCH($A121,'Source'!$B:$B,0)),"")</f>
        <v>מגן ברך חום</v>
      </c>
      <c r="C121" s="8" t="n">
        <f aca="false">SUMIFS('Source'!$D:$D,'Source'!$A:$A,"157464 מדיקל הצפון ב.מ-חורי",'Source'!$B:$B,$A121)</f>
        <v>4</v>
      </c>
      <c r="D121" s="8" t="n">
        <f aca="false">SUMIFS('Source'!$F:$F,'Source'!$A:$A,"157464 מדיקל הצפון ב.מ-חורי",'Source'!$B:$B,$A121)</f>
        <v>0</v>
      </c>
      <c r="E121" s="8" t="n">
        <f aca="false">D121*$J$5</f>
        <v>0</v>
      </c>
      <c r="F121" s="8" t="n">
        <f aca="false">E121-C121</f>
        <v>-4</v>
      </c>
      <c r="G121" s="9" t="n">
        <f aca="false">IF(AND(C121=0,E121=0),0,IF(C121=0,"New",(E121-C121)/C121))</f>
        <v>-1</v>
      </c>
      <c r="H121" s="8" t="n">
        <f aca="false">SUMIFS('Source'!$E:$E,'Source'!$A:$A,"157464 מדיקל הצפון ב.מ-חורי",'Source'!$B:$B,$A121)</f>
        <v>123.57</v>
      </c>
      <c r="I121" s="8" t="n">
        <f aca="false">SUMIFS('Source'!$G:$G,'Source'!$A:$A,"157464 מדיקל הצפון ב.מ-חורי",'Source'!$B:$B,$A121)</f>
        <v>0</v>
      </c>
      <c r="J121" s="8" t="n">
        <f aca="false">I121*$J$5</f>
        <v>0</v>
      </c>
      <c r="K121" s="8" t="n">
        <f aca="false">J121-H121</f>
        <v>-123.57</v>
      </c>
      <c r="L121" s="9" t="n">
        <f aca="false">IF(AND(H121=0,J121=0),0,IF(H121=0,"New",(J121-H121)/H121))</f>
        <v>-1</v>
      </c>
      <c r="M121" s="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false" outlineLevel="0" collapsed="false">
      <c r="A122" s="7" t="s">
        <v>805</v>
      </c>
      <c r="B122" s="7" t="str">
        <f aca="false">IFERROR(INDEX('Source'!$C:$C,MATCH($A122,'Source'!$B:$B,0)),"")</f>
        <v>מגן ברך חום</v>
      </c>
      <c r="C122" s="8" t="n">
        <f aca="false">SUMIFS('Source'!$D:$D,'Source'!$A:$A,"157464 מדיקל הצפון ב.מ-חורי",'Source'!$B:$B,$A122)</f>
        <v>4</v>
      </c>
      <c r="D122" s="8" t="n">
        <f aca="false">SUMIFS('Source'!$F:$F,'Source'!$A:$A,"157464 מדיקל הצפון ב.מ-חורי",'Source'!$B:$B,$A122)</f>
        <v>0</v>
      </c>
      <c r="E122" s="8" t="n">
        <f aca="false">D122*$J$5</f>
        <v>0</v>
      </c>
      <c r="F122" s="8" t="n">
        <f aca="false">E122-C122</f>
        <v>-4</v>
      </c>
      <c r="G122" s="9" t="n">
        <f aca="false">IF(AND(C122=0,E122=0),0,IF(C122=0,"New",(E122-C122)/C122))</f>
        <v>-1</v>
      </c>
      <c r="H122" s="8" t="n">
        <f aca="false">SUMIFS('Source'!$E:$E,'Source'!$A:$A,"157464 מדיקל הצפון ב.מ-חורי",'Source'!$B:$B,$A122)</f>
        <v>123.57</v>
      </c>
      <c r="I122" s="8" t="n">
        <f aca="false">SUMIFS('Source'!$G:$G,'Source'!$A:$A,"157464 מדיקל הצפון ב.מ-חורי",'Source'!$B:$B,$A122)</f>
        <v>0</v>
      </c>
      <c r="J122" s="8" t="n">
        <f aca="false">I122*$J$5</f>
        <v>0</v>
      </c>
      <c r="K122" s="8" t="n">
        <f aca="false">J122-H122</f>
        <v>-123.57</v>
      </c>
      <c r="L122" s="9" t="n">
        <f aca="false">IF(AND(H122=0,J122=0),0,IF(H122=0,"New",(J122-H122)/H122))</f>
        <v>-1</v>
      </c>
      <c r="M122" s="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false" outlineLevel="0" collapsed="false">
      <c r="A123" s="7" t="s">
        <v>132</v>
      </c>
      <c r="B123" s="7" t="str">
        <f aca="false">IFERROR(INDEX('Source'!$C:$C,MATCH($A123,'Source'!$B:$B,0)),"")</f>
        <v>תומך ברך גנושילד</v>
      </c>
      <c r="C123" s="8" t="n">
        <f aca="false">SUMIFS('Source'!$D:$D,'Source'!$A:$A,"157464 מדיקל הצפון ב.מ-חורי",'Source'!$B:$B,$A123)</f>
        <v>3</v>
      </c>
      <c r="D123" s="8" t="n">
        <f aca="false">SUMIFS('Source'!$F:$F,'Source'!$A:$A,"157464 מדיקל הצפון ב.מ-חורי",'Source'!$B:$B,$A123)</f>
        <v>4</v>
      </c>
      <c r="E123" s="8" t="n">
        <f aca="false">D123*$J$5</f>
        <v>5.05263157894737</v>
      </c>
      <c r="F123" s="8" t="n">
        <f aca="false">E123-C123</f>
        <v>2.05263157894737</v>
      </c>
      <c r="G123" s="9" t="n">
        <f aca="false">IF(AND(C123=0,E123=0),0,IF(C123=0,"New",(E123-C123)/C123))</f>
        <v>0.684210526315789</v>
      </c>
      <c r="H123" s="8" t="n">
        <f aca="false">SUMIFS('Source'!$E:$E,'Source'!$A:$A,"157464 מדיקל הצפון ב.מ-חורי",'Source'!$B:$B,$A123)</f>
        <v>360</v>
      </c>
      <c r="I123" s="8" t="n">
        <f aca="false">SUMIFS('Source'!$G:$G,'Source'!$A:$A,"157464 מדיקל הצפון ב.מ-חורי",'Source'!$B:$B,$A123)</f>
        <v>480</v>
      </c>
      <c r="J123" s="8" t="n">
        <f aca="false">I123*$J$5</f>
        <v>606.315789473684</v>
      </c>
      <c r="K123" s="8" t="n">
        <f aca="false">J123-H123</f>
        <v>246.315789473684</v>
      </c>
      <c r="L123" s="9" t="n">
        <f aca="false">IF(AND(H123=0,J123=0),0,IF(H123=0,"New",(J123-H123)/H123))</f>
        <v>0.684210526315789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334</v>
      </c>
      <c r="B124" s="7" t="str">
        <f aca="false">IFERROR(INDEX('Source'!$C:$C,MATCH($A124,'Source'!$B:$B,0)),"")</f>
        <v>סד לילה לבוהן</v>
      </c>
      <c r="C124" s="8" t="n">
        <f aca="false">SUMIFS('Source'!$D:$D,'Source'!$A:$A,"157464 מדיקל הצפון ב.מ-חורי",'Source'!$B:$B,$A124)</f>
        <v>7</v>
      </c>
      <c r="D124" s="8" t="n">
        <f aca="false">SUMIFS('Source'!$F:$F,'Source'!$A:$A,"157464 מדיקל הצפון ב.מ-חורי",'Source'!$B:$B,$A124)</f>
        <v>8</v>
      </c>
      <c r="E124" s="8" t="n">
        <f aca="false">D124*$J$5</f>
        <v>10.1052631578947</v>
      </c>
      <c r="F124" s="8" t="n">
        <f aca="false">E124-C124</f>
        <v>3.10526315789474</v>
      </c>
      <c r="G124" s="9" t="n">
        <f aca="false">IF(AND(C124=0,E124=0),0,IF(C124=0,"New",(E124-C124)/C124))</f>
        <v>0.443609022556391</v>
      </c>
      <c r="H124" s="8" t="n">
        <f aca="false">SUMIFS('Source'!$E:$E,'Source'!$A:$A,"157464 מדיקל הצפון ב.מ-חורי",'Source'!$B:$B,$A124)</f>
        <v>360.01</v>
      </c>
      <c r="I124" s="8" t="n">
        <f aca="false">SUMIFS('Source'!$G:$G,'Source'!$A:$A,"157464 מדיקל הצפון ב.מ-חורי",'Source'!$B:$B,$A124)</f>
        <v>480</v>
      </c>
      <c r="J124" s="8" t="n">
        <f aca="false">I124*$J$5</f>
        <v>606.315789473684</v>
      </c>
      <c r="K124" s="8" t="n">
        <f aca="false">J124-H124</f>
        <v>246.305789473684</v>
      </c>
      <c r="L124" s="9" t="n">
        <f aca="false">IF(AND(H124=0,J124=0),0,IF(H124=0,"New",(J124-H124)/H124))</f>
        <v>0.684163743989568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387</v>
      </c>
      <c r="B125" s="7" t="str">
        <f aca="false">IFERROR(INDEX('Source'!$C:$C,MATCH($A125,'Source'!$B:$B,0)),"")</f>
        <v>אצבעון מסיליקון</v>
      </c>
      <c r="C125" s="8" t="n">
        <f aca="false">SUMIFS('Source'!$D:$D,'Source'!$A:$A,"157464 מדיקל הצפון ב.מ-חורי",'Source'!$B:$B,$A125)</f>
        <v>0</v>
      </c>
      <c r="D125" s="8" t="n">
        <f aca="false">SUMIFS('Source'!$F:$F,'Source'!$A:$A,"157464 מדיקל הצפון ב.מ-חורי",'Source'!$B:$B,$A125)</f>
        <v>5</v>
      </c>
      <c r="E125" s="8" t="n">
        <f aca="false">D125*$J$5</f>
        <v>6.31578947368421</v>
      </c>
      <c r="F125" s="8" t="n">
        <f aca="false">E125-C125</f>
        <v>6.31578947368421</v>
      </c>
      <c r="G125" s="9" t="str">
        <f aca="false">IF(AND(C125=0,E125=0),0,IF(C125=0,"New",(E125-C125)/C125))</f>
        <v>New</v>
      </c>
      <c r="H125" s="8" t="n">
        <f aca="false">SUMIFS('Source'!$E:$E,'Source'!$A:$A,"157464 מדיקל הצפון ב.מ-חורי",'Source'!$B:$B,$A125)</f>
        <v>0</v>
      </c>
      <c r="I125" s="8" t="n">
        <f aca="false">SUMIFS('Source'!$G:$G,'Source'!$A:$A,"157464 מדיקל הצפון ב.מ-חורי",'Source'!$B:$B,$A125)</f>
        <v>119.29</v>
      </c>
      <c r="J125" s="8" t="n">
        <f aca="false">I125*$J$5</f>
        <v>150.682105263158</v>
      </c>
      <c r="K125" s="8" t="n">
        <f aca="false">J125-H125</f>
        <v>150.682105263158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130</v>
      </c>
      <c r="B126" s="7" t="str">
        <f aca="false">IFERROR(INDEX('Source'!$C:$C,MATCH($A126,'Source'!$B:$B,0)),"")</f>
        <v>חגורת שבר לצד ימין</v>
      </c>
      <c r="C126" s="8" t="n">
        <f aca="false">SUMIFS('Source'!$D:$D,'Source'!$A:$A,"157464 מדיקל הצפון ב.מ-חורי",'Source'!$B:$B,$A126)</f>
        <v>2</v>
      </c>
      <c r="D126" s="8" t="n">
        <f aca="false">SUMIFS('Source'!$F:$F,'Source'!$A:$A,"157464 מדיקל הצפון ב.מ-חורי",'Source'!$B:$B,$A126)</f>
        <v>1</v>
      </c>
      <c r="E126" s="8" t="n">
        <f aca="false">D126*$J$5</f>
        <v>1.26315789473684</v>
      </c>
      <c r="F126" s="8" t="n">
        <f aca="false">E126-C126</f>
        <v>-0.736842105263158</v>
      </c>
      <c r="G126" s="9" t="n">
        <f aca="false">IF(AND(C126=0,E126=0),0,IF(C126=0,"New",(E126-C126)/C126))</f>
        <v>-0.368421052631579</v>
      </c>
      <c r="H126" s="8" t="n">
        <f aca="false">SUMIFS('Source'!$E:$E,'Source'!$A:$A,"157464 מדיקל הצפון ב.מ-חורי",'Source'!$B:$B,$A126)</f>
        <v>255.38</v>
      </c>
      <c r="I126" s="8" t="n">
        <f aca="false">SUMIFS('Source'!$G:$G,'Source'!$A:$A,"157464 מדיקל הצפון ב.מ-חורי",'Source'!$B:$B,$A126)</f>
        <v>140</v>
      </c>
      <c r="J126" s="8" t="n">
        <f aca="false">I126*$J$5</f>
        <v>176.842105263158</v>
      </c>
      <c r="K126" s="8" t="n">
        <f aca="false">J126-H126</f>
        <v>-78.5378947368421</v>
      </c>
      <c r="L126" s="9" t="n">
        <f aca="false">IF(AND(H126=0,J126=0),0,IF(H126=0,"New",(J126-H126)/H126))</f>
        <v>-0.307533458911591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205</v>
      </c>
      <c r="B127" s="7" t="str">
        <f aca="false">IFERROR(INDEX('Source'!$C:$C,MATCH($A127,'Source'!$B:$B,0)),"")</f>
        <v>סד לקרסול</v>
      </c>
      <c r="C127" s="8" t="n">
        <f aca="false">SUMIFS('Source'!$D:$D,'Source'!$A:$A,"157464 מדיקל הצפון ב.מ-חורי",'Source'!$B:$B,$A127)</f>
        <v>2</v>
      </c>
      <c r="D127" s="8" t="n">
        <f aca="false">SUMIFS('Source'!$F:$F,'Source'!$A:$A,"157464 מדיקל הצפון ב.מ-חורי",'Source'!$B:$B,$A127)</f>
        <v>1</v>
      </c>
      <c r="E127" s="8" t="n">
        <f aca="false">D127*$J$5</f>
        <v>1.26315789473684</v>
      </c>
      <c r="F127" s="8" t="n">
        <f aca="false">E127-C127</f>
        <v>-0.736842105263158</v>
      </c>
      <c r="G127" s="9" t="n">
        <f aca="false">IF(AND(C127=0,E127=0),0,IF(C127=0,"New",(E127-C127)/C127))</f>
        <v>-0.368421052631579</v>
      </c>
      <c r="H127" s="8" t="n">
        <f aca="false">SUMIFS('Source'!$E:$E,'Source'!$A:$A,"157464 מדיקל הצפון ב.מ-חורי",'Source'!$B:$B,$A127)</f>
        <v>230</v>
      </c>
      <c r="I127" s="8" t="n">
        <f aca="false">SUMIFS('Source'!$G:$G,'Source'!$A:$A,"157464 מדיקל הצפון ב.מ-חורי",'Source'!$B:$B,$A127)</f>
        <v>115</v>
      </c>
      <c r="J127" s="8" t="n">
        <f aca="false">I127*$J$5</f>
        <v>145.263157894737</v>
      </c>
      <c r="K127" s="8" t="n">
        <f aca="false">J127-H127</f>
        <v>-84.7368421052632</v>
      </c>
      <c r="L127" s="9" t="n">
        <f aca="false">IF(AND(H127=0,J127=0),0,IF(H127=0,"New",(J127-H127)/H127))</f>
        <v>-0.368421052631579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402</v>
      </c>
      <c r="B128" s="7" t="str">
        <f aca="false">IFERROR(INDEX('Source'!$C:$C,MATCH($A128,'Source'!$B:$B,0)),"")</f>
        <v>חגורה לשבר טבור</v>
      </c>
      <c r="C128" s="8" t="n">
        <f aca="false">SUMIFS('Source'!$D:$D,'Source'!$A:$A,"157464 מדיקל הצפון ב.מ-חורי",'Source'!$B:$B,$A128)</f>
        <v>0</v>
      </c>
      <c r="D128" s="8" t="n">
        <f aca="false">SUMIFS('Source'!$F:$F,'Source'!$A:$A,"157464 מדיקל הצפון ב.מ-חורי",'Source'!$B:$B,$A128)</f>
        <v>1</v>
      </c>
      <c r="E128" s="8" t="n">
        <f aca="false">D128*$J$5</f>
        <v>1.26315789473684</v>
      </c>
      <c r="F128" s="8" t="n">
        <f aca="false">E128-C128</f>
        <v>1.26315789473684</v>
      </c>
      <c r="G128" s="9" t="str">
        <f aca="false">IF(AND(C128=0,E128=0),0,IF(C128=0,"New",(E128-C128)/C128))</f>
        <v>New</v>
      </c>
      <c r="H128" s="8" t="n">
        <f aca="false">SUMIFS('Source'!$E:$E,'Source'!$A:$A,"157464 מדיקל הצפון ב.מ-חורי",'Source'!$B:$B,$A128)</f>
        <v>0</v>
      </c>
      <c r="I128" s="8" t="n">
        <f aca="false">SUMIFS('Source'!$G:$G,'Source'!$A:$A,"157464 מדיקל הצפון ב.מ-חורי",'Source'!$B:$B,$A128)</f>
        <v>115</v>
      </c>
      <c r="J128" s="8" t="n">
        <f aca="false">I128*$J$5</f>
        <v>145.263157894737</v>
      </c>
      <c r="K128" s="8" t="n">
        <f aca="false">J128-H128</f>
        <v>145.263157894737</v>
      </c>
      <c r="L128" s="9" t="str">
        <f aca="false">IF(AND(H128=0,J128=0),0,IF(H128=0,"New",(J128-H128)/H128))</f>
        <v>New</v>
      </c>
      <c r="M128" s="7" t="str">
        <f aca="false">IF(AND(OR(C128&lt;&gt;0,H128&lt;&gt;0),D128=0,I128=0),"DROP",IF(AND(OR(D128&lt;&gt;0,I128&lt;&gt;0),C128=0,H128=0),"NEW",""))</f>
        <v>NEW</v>
      </c>
    </row>
    <row r="129" customFormat="false" ht="15" hidden="false" customHeight="false" outlineLevel="0" collapsed="false">
      <c r="A129" s="7" t="s">
        <v>333</v>
      </c>
      <c r="B129" s="7" t="str">
        <f aca="false">IFERROR(INDEX('Source'!$C:$C,MATCH($A129,'Source'!$B:$B,0)),"")</f>
        <v>סד לקרסול</v>
      </c>
      <c r="C129" s="8" t="n">
        <f aca="false">SUMIFS('Source'!$D:$D,'Source'!$A:$A,"157464 מדיקל הצפון ב.מ-חורי",'Source'!$B:$B,$A129)</f>
        <v>0</v>
      </c>
      <c r="D129" s="8" t="n">
        <f aca="false">SUMIFS('Source'!$F:$F,'Source'!$A:$A,"157464 מדיקל הצפון ב.מ-חורי",'Source'!$B:$B,$A129)</f>
        <v>1</v>
      </c>
      <c r="E129" s="8" t="n">
        <f aca="false">D129*$J$5</f>
        <v>1.26315789473684</v>
      </c>
      <c r="F129" s="8" t="n">
        <f aca="false">E129-C129</f>
        <v>1.26315789473684</v>
      </c>
      <c r="G129" s="9" t="str">
        <f aca="false">IF(AND(C129=0,E129=0),0,IF(C129=0,"New",(E129-C129)/C129))</f>
        <v>New</v>
      </c>
      <c r="H129" s="8" t="n">
        <f aca="false">SUMIFS('Source'!$E:$E,'Source'!$A:$A,"157464 מדיקל הצפון ב.מ-חורי",'Source'!$B:$B,$A129)</f>
        <v>0</v>
      </c>
      <c r="I129" s="8" t="n">
        <f aca="false">SUMIFS('Source'!$G:$G,'Source'!$A:$A,"157464 מדיקל הצפון ב.מ-חורי",'Source'!$B:$B,$A129)</f>
        <v>115</v>
      </c>
      <c r="J129" s="8" t="n">
        <f aca="false">I129*$J$5</f>
        <v>145.263157894737</v>
      </c>
      <c r="K129" s="8" t="n">
        <f aca="false">J129-H129</f>
        <v>145.263157894737</v>
      </c>
      <c r="L129" s="9" t="str">
        <f aca="false">IF(AND(H129=0,J129=0),0,IF(H129=0,"New",(J129-H129)/H129))</f>
        <v>New</v>
      </c>
      <c r="M129" s="7" t="str">
        <f aca="false">IF(AND(OR(C129&lt;&gt;0,H129&lt;&gt;0),D129=0,I129=0),"DROP",IF(AND(OR(D129&lt;&gt;0,I129&lt;&gt;0),C129=0,H129=0),"NEW",""))</f>
        <v>NEW</v>
      </c>
    </row>
    <row r="130" customFormat="false" ht="15" hidden="false" customHeight="false" outlineLevel="0" collapsed="false">
      <c r="A130" s="7" t="s">
        <v>251</v>
      </c>
      <c r="B130" s="7" t="str">
        <f aca="false">IFERROR(INDEX('Source'!$C:$C,MATCH($A130,'Source'!$B:$B,0)),"")</f>
        <v>גרביים עם עקב ג'ל</v>
      </c>
      <c r="C130" s="8" t="n">
        <f aca="false">SUMIFS('Source'!$D:$D,'Source'!$A:$A,"157464 מדיקל הצפון ב.מ-חורי",'Source'!$B:$B,$A130)</f>
        <v>3</v>
      </c>
      <c r="D130" s="8" t="n">
        <f aca="false">SUMIFS('Source'!$F:$F,'Source'!$A:$A,"157464 מדיקל הצפון ב.מ-חורי",'Source'!$B:$B,$A130)</f>
        <v>0</v>
      </c>
      <c r="E130" s="8" t="n">
        <f aca="false">D130*$J$5</f>
        <v>0</v>
      </c>
      <c r="F130" s="8" t="n">
        <f aca="false">E130-C130</f>
        <v>-3</v>
      </c>
      <c r="G130" s="9" t="n">
        <f aca="false">IF(AND(C130=0,E130=0),0,IF(C130=0,"New",(E130-C130)/C130))</f>
        <v>-1</v>
      </c>
      <c r="H130" s="8" t="n">
        <f aca="false">SUMIFS('Source'!$E:$E,'Source'!$A:$A,"157464 מדיקל הצפון ב.מ-חורי",'Source'!$B:$B,$A130)</f>
        <v>112.36</v>
      </c>
      <c r="I130" s="8" t="n">
        <f aca="false">SUMIFS('Source'!$G:$G,'Source'!$A:$A,"157464 מדיקל הצפון ב.מ-חורי",'Source'!$B:$B,$A130)</f>
        <v>0</v>
      </c>
      <c r="J130" s="8" t="n">
        <f aca="false">I130*$J$5</f>
        <v>0</v>
      </c>
      <c r="K130" s="8" t="n">
        <f aca="false">J130-H130</f>
        <v>-112.36</v>
      </c>
      <c r="L130" s="9" t="n">
        <f aca="false">IF(AND(H130=0,J130=0),0,IF(H130=0,"New",(J130-H130)/H130))</f>
        <v>-1</v>
      </c>
      <c r="M130" s="7" t="str">
        <f aca="false">IF(AND(OR(C130&lt;&gt;0,H130&lt;&gt;0),D130=0,I130=0),"DROP",IF(AND(OR(D130&lt;&gt;0,I130&lt;&gt;0),C130=0,H130=0),"NEW",""))</f>
        <v>DROP</v>
      </c>
    </row>
    <row r="131" customFormat="false" ht="15" hidden="false" customHeight="false" outlineLevel="0" collapsed="false">
      <c r="A131" s="7" t="s">
        <v>264</v>
      </c>
      <c r="B131" s="7" t="str">
        <f aca="false">IFERROR(INDEX('Source'!$C:$C,MATCH($A131,'Source'!$B:$B,0)),"")</f>
        <v>מגן שוק רגיל</v>
      </c>
      <c r="C131" s="8" t="n">
        <f aca="false">SUMIFS('Source'!$D:$D,'Source'!$A:$A,"157464 מדיקל הצפון ב.מ-חורי",'Source'!$B:$B,$A131)</f>
        <v>1</v>
      </c>
      <c r="D131" s="8" t="n">
        <f aca="false">SUMIFS('Source'!$F:$F,'Source'!$A:$A,"157464 מדיקל הצפון ב.מ-חורי",'Source'!$B:$B,$A131)</f>
        <v>0</v>
      </c>
      <c r="E131" s="8" t="n">
        <f aca="false">D131*$J$5</f>
        <v>0</v>
      </c>
      <c r="F131" s="8" t="n">
        <f aca="false">E131-C131</f>
        <v>-1</v>
      </c>
      <c r="G131" s="9" t="n">
        <f aca="false">IF(AND(C131=0,E131=0),0,IF(C131=0,"New",(E131-C131)/C131))</f>
        <v>-1</v>
      </c>
      <c r="H131" s="8" t="n">
        <f aca="false">SUMIFS('Source'!$E:$E,'Source'!$A:$A,"157464 מדיקל הצפון ב.מ-חורי",'Source'!$B:$B,$A131)</f>
        <v>107.76</v>
      </c>
      <c r="I131" s="8" t="n">
        <f aca="false">SUMIFS('Source'!$G:$G,'Source'!$A:$A,"157464 מדיקל הצפון ב.מ-חורי",'Source'!$B:$B,$A131)</f>
        <v>0</v>
      </c>
      <c r="J131" s="8" t="n">
        <f aca="false">I131*$J$5</f>
        <v>0</v>
      </c>
      <c r="K131" s="8" t="n">
        <f aca="false">J131-H131</f>
        <v>-107.76</v>
      </c>
      <c r="L131" s="9" t="n">
        <f aca="false">IF(AND(H131=0,J131=0),0,IF(H131=0,"New",(J131-H131)/H131))</f>
        <v>-1</v>
      </c>
      <c r="M131" s="7" t="str">
        <f aca="false">IF(AND(OR(C131&lt;&gt;0,H131&lt;&gt;0),D131=0,I131=0),"DROP",IF(AND(OR(D131&lt;&gt;0,I131&lt;&gt;0),C131=0,H131=0),"NEW",""))</f>
        <v>DROP</v>
      </c>
    </row>
    <row r="132" customFormat="false" ht="15" hidden="false" customHeight="false" outlineLevel="0" collapsed="false">
      <c r="A132" s="7" t="s">
        <v>770</v>
      </c>
      <c r="B132" s="7" t="str">
        <f aca="false">IFERROR(INDEX('Source'!$C:$C,MATCH($A132,'Source'!$B:$B,0)),"")</f>
        <v>מגן שוק רגיל</v>
      </c>
      <c r="C132" s="8" t="n">
        <f aca="false">SUMIFS('Source'!$D:$D,'Source'!$A:$A,"157464 מדיקל הצפון ב.מ-חורי",'Source'!$B:$B,$A132)</f>
        <v>1</v>
      </c>
      <c r="D132" s="8" t="n">
        <f aca="false">SUMIFS('Source'!$F:$F,'Source'!$A:$A,"157464 מדיקל הצפון ב.מ-חורי",'Source'!$B:$B,$A132)</f>
        <v>0</v>
      </c>
      <c r="E132" s="8" t="n">
        <f aca="false">D132*$J$5</f>
        <v>0</v>
      </c>
      <c r="F132" s="8" t="n">
        <f aca="false">E132-C132</f>
        <v>-1</v>
      </c>
      <c r="G132" s="9" t="n">
        <f aca="false">IF(AND(C132=0,E132=0),0,IF(C132=0,"New",(E132-C132)/C132))</f>
        <v>-1</v>
      </c>
      <c r="H132" s="8" t="n">
        <f aca="false">SUMIFS('Source'!$E:$E,'Source'!$A:$A,"157464 מדיקל הצפון ב.מ-חורי",'Source'!$B:$B,$A132)</f>
        <v>107.76</v>
      </c>
      <c r="I132" s="8" t="n">
        <f aca="false">SUMIFS('Source'!$G:$G,'Source'!$A:$A,"157464 מדיקל הצפון ב.מ-חורי",'Source'!$B:$B,$A132)</f>
        <v>0</v>
      </c>
      <c r="J132" s="8" t="n">
        <f aca="false">I132*$J$5</f>
        <v>0</v>
      </c>
      <c r="K132" s="8" t="n">
        <f aca="false">J132-H132</f>
        <v>-107.76</v>
      </c>
      <c r="L132" s="9" t="n">
        <f aca="false">IF(AND(H132=0,J132=0),0,IF(H132=0,"New",(J132-H132)/H132))</f>
        <v>-1</v>
      </c>
      <c r="M132" s="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false" outlineLevel="0" collapsed="false">
      <c r="A133" s="7" t="s">
        <v>607</v>
      </c>
      <c r="B133" s="7" t="str">
        <f aca="false">IFERROR(INDEX('Source'!$C:$C,MATCH($A133,'Source'!$B:$B,0)),"")</f>
        <v>מגן שוק רגיל</v>
      </c>
      <c r="C133" s="8" t="n">
        <f aca="false">SUMIFS('Source'!$D:$D,'Source'!$A:$A,"157464 מדיקל הצפון ב.מ-חורי",'Source'!$B:$B,$A133)</f>
        <v>0</v>
      </c>
      <c r="D133" s="8" t="n">
        <f aca="false">SUMIFS('Source'!$F:$F,'Source'!$A:$A,"157464 מדיקל הצפון ב.מ-חורי",'Source'!$B:$B,$A133)</f>
        <v>1</v>
      </c>
      <c r="E133" s="8" t="n">
        <f aca="false">D133*$J$5</f>
        <v>1.26315789473684</v>
      </c>
      <c r="F133" s="8" t="n">
        <f aca="false">E133-C133</f>
        <v>1.26315789473684</v>
      </c>
      <c r="G133" s="9" t="str">
        <f aca="false">IF(AND(C133=0,E133=0),0,IF(C133=0,"New",(E133-C133)/C133))</f>
        <v>New</v>
      </c>
      <c r="H133" s="8" t="n">
        <f aca="false">SUMIFS('Source'!$E:$E,'Source'!$A:$A,"157464 מדיקל הצפון ב.מ-חורי",'Source'!$B:$B,$A133)</f>
        <v>0</v>
      </c>
      <c r="I133" s="8" t="n">
        <f aca="false">SUMIFS('Source'!$G:$G,'Source'!$A:$A,"157464 מדיקל הצפון ב.מ-חורי",'Source'!$B:$B,$A133)</f>
        <v>107.76</v>
      </c>
      <c r="J133" s="8" t="n">
        <f aca="false">I133*$J$5</f>
        <v>136.117894736842</v>
      </c>
      <c r="K133" s="8" t="n">
        <f aca="false">J133-H133</f>
        <v>136.117894736842</v>
      </c>
      <c r="L133" s="9" t="str">
        <f aca="false">IF(AND(H133=0,J133=0),0,IF(H133=0,"New",(J133-H133)/H133))</f>
        <v>New</v>
      </c>
      <c r="M133" s="7" t="str">
        <f aca="false">IF(AND(OR(C133&lt;&gt;0,H133&lt;&gt;0),D133=0,I133=0),"DROP",IF(AND(OR(D133&lt;&gt;0,I133&lt;&gt;0),C133=0,H133=0),"NEW",""))</f>
        <v>NEW</v>
      </c>
    </row>
    <row r="134" customFormat="false" ht="15" hidden="false" customHeight="false" outlineLevel="0" collapsed="false">
      <c r="A134" s="7" t="s">
        <v>388</v>
      </c>
      <c r="B134" s="7" t="str">
        <f aca="false">IFERROR(INDEX('Source'!$C:$C,MATCH($A134,'Source'!$B:$B,0)),"")</f>
        <v>מגן שוק רגיל</v>
      </c>
      <c r="C134" s="8" t="n">
        <f aca="false">SUMIFS('Source'!$D:$D,'Source'!$A:$A,"157464 מדיקל הצפון ב.מ-חורי",'Source'!$B:$B,$A134)</f>
        <v>1</v>
      </c>
      <c r="D134" s="8" t="n">
        <f aca="false">SUMIFS('Source'!$F:$F,'Source'!$A:$A,"157464 מדיקל הצפון ב.מ-חורי",'Source'!$B:$B,$A134)</f>
        <v>2</v>
      </c>
      <c r="E134" s="8" t="n">
        <f aca="false">D134*$J$5</f>
        <v>2.52631578947368</v>
      </c>
      <c r="F134" s="8" t="n">
        <f aca="false">E134-C134</f>
        <v>1.52631578947368</v>
      </c>
      <c r="G134" s="9" t="n">
        <f aca="false">IF(AND(C134=0,E134=0),0,IF(C134=0,"New",(E134-C134)/C134))</f>
        <v>1.52631578947368</v>
      </c>
      <c r="H134" s="8" t="n">
        <f aca="false">SUMIFS('Source'!$E:$E,'Source'!$A:$A,"157464 מדיקל הצפון ב.מ-חורי",'Source'!$B:$B,$A134)</f>
        <v>107.76</v>
      </c>
      <c r="I134" s="8" t="n">
        <f aca="false">SUMIFS('Source'!$G:$G,'Source'!$A:$A,"157464 מדיקל הצפון ב.מ-חורי",'Source'!$B:$B,$A134)</f>
        <v>215.52</v>
      </c>
      <c r="J134" s="8" t="n">
        <f aca="false">I134*$J$5</f>
        <v>272.235789473684</v>
      </c>
      <c r="K134" s="8" t="n">
        <f aca="false">J134-H134</f>
        <v>164.475789473684</v>
      </c>
      <c r="L134" s="9" t="n">
        <f aca="false">IF(AND(H134=0,J134=0),0,IF(H134=0,"New",(J134-H134)/H134))</f>
        <v>1.52631578947368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279</v>
      </c>
      <c r="B135" s="7" t="str">
        <f aca="false">IFERROR(INDEX('Source'!$C:$C,MATCH($A135,'Source'!$B:$B,0)),"")</f>
        <v>חגורה אחרי ניתוח</v>
      </c>
      <c r="C135" s="8" t="n">
        <f aca="false">SUMIFS('Source'!$D:$D,'Source'!$A:$A,"157464 מדיקל הצפון ב.מ-חורי",'Source'!$B:$B,$A135)</f>
        <v>1</v>
      </c>
      <c r="D135" s="8" t="n">
        <f aca="false">SUMIFS('Source'!$F:$F,'Source'!$A:$A,"157464 מדיקל הצפון ב.מ-חורי",'Source'!$B:$B,$A135)</f>
        <v>0</v>
      </c>
      <c r="E135" s="8" t="n">
        <f aca="false">D135*$J$5</f>
        <v>0</v>
      </c>
      <c r="F135" s="8" t="n">
        <f aca="false">E135-C135</f>
        <v>-1</v>
      </c>
      <c r="G135" s="9" t="n">
        <f aca="false">IF(AND(C135=0,E135=0),0,IF(C135=0,"New",(E135-C135)/C135))</f>
        <v>-1</v>
      </c>
      <c r="H135" s="8" t="n">
        <f aca="false">SUMIFS('Source'!$E:$E,'Source'!$A:$A,"157464 מדיקל הצפון ב.מ-חורי",'Source'!$B:$B,$A135)</f>
        <v>105</v>
      </c>
      <c r="I135" s="8" t="n">
        <f aca="false">SUMIFS('Source'!$G:$G,'Source'!$A:$A,"157464 מדיקל הצפון ב.מ-חורי",'Source'!$B:$B,$A135)</f>
        <v>0</v>
      </c>
      <c r="J135" s="8" t="n">
        <f aca="false">I135*$J$5</f>
        <v>0</v>
      </c>
      <c r="K135" s="8" t="n">
        <f aca="false">J135-H135</f>
        <v>-105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197</v>
      </c>
      <c r="B136" s="7" t="str">
        <f aca="false">IFERROR(INDEX('Source'!$C:$C,MATCH($A136,'Source'!$B:$B,0)),"")</f>
        <v>חגורה אחרי ניתוח</v>
      </c>
      <c r="C136" s="8" t="n">
        <f aca="false">SUMIFS('Source'!$D:$D,'Source'!$A:$A,"157464 מדיקל הצפון ב.מ-חורי",'Source'!$B:$B,$A136)</f>
        <v>1</v>
      </c>
      <c r="D136" s="8" t="n">
        <f aca="false">SUMIFS('Source'!$F:$F,'Source'!$A:$A,"157464 מדיקל הצפון ב.מ-חורי",'Source'!$B:$B,$A136)</f>
        <v>0</v>
      </c>
      <c r="E136" s="8" t="n">
        <f aca="false">D136*$J$5</f>
        <v>0</v>
      </c>
      <c r="F136" s="8" t="n">
        <f aca="false">E136-C136</f>
        <v>-1</v>
      </c>
      <c r="G136" s="9" t="n">
        <f aca="false">IF(AND(C136=0,E136=0),0,IF(C136=0,"New",(E136-C136)/C136))</f>
        <v>-1</v>
      </c>
      <c r="H136" s="8" t="n">
        <f aca="false">SUMIFS('Source'!$E:$E,'Source'!$A:$A,"157464 מדיקל הצפון ב.מ-חורי",'Source'!$B:$B,$A136)</f>
        <v>105</v>
      </c>
      <c r="I136" s="8" t="n">
        <f aca="false">SUMIFS('Source'!$G:$G,'Source'!$A:$A,"157464 מדיקל הצפון ב.מ-חורי",'Source'!$B:$B,$A136)</f>
        <v>0</v>
      </c>
      <c r="J136" s="8" t="n">
        <f aca="false">I136*$J$5</f>
        <v>0</v>
      </c>
      <c r="K136" s="8" t="n">
        <f aca="false">J136-H136</f>
        <v>-105</v>
      </c>
      <c r="L136" s="9" t="n">
        <f aca="false">IF(AND(H136=0,J136=0),0,IF(H136=0,"New",(J136-H136)/H136))</f>
        <v>-1</v>
      </c>
      <c r="M136" s="7" t="str">
        <f aca="false">IF(AND(OR(C136&lt;&gt;0,H136&lt;&gt;0),D136=0,I136=0),"DROP",IF(AND(OR(D136&lt;&gt;0,I136&lt;&gt;0),C136=0,H136=0),"NEW",""))</f>
        <v>DROP</v>
      </c>
    </row>
    <row r="137" customFormat="false" ht="15" hidden="false" customHeight="false" outlineLevel="0" collapsed="false">
      <c r="A137" s="7" t="s">
        <v>274</v>
      </c>
      <c r="B137" s="7" t="str">
        <f aca="false">IFERROR(INDEX('Source'!$C:$C,MATCH($A137,'Source'!$B:$B,0)),"")</f>
        <v>חגורה אחרי ניתוח</v>
      </c>
      <c r="C137" s="8" t="n">
        <f aca="false">SUMIFS('Source'!$D:$D,'Source'!$A:$A,"157464 מדיקל הצפון ב.מ-חורי",'Source'!$B:$B,$A137)</f>
        <v>1</v>
      </c>
      <c r="D137" s="8" t="n">
        <f aca="false">SUMIFS('Source'!$F:$F,'Source'!$A:$A,"157464 מדיקל הצפון ב.מ-חורי",'Source'!$B:$B,$A137)</f>
        <v>0</v>
      </c>
      <c r="E137" s="8" t="n">
        <f aca="false">D137*$J$5</f>
        <v>0</v>
      </c>
      <c r="F137" s="8" t="n">
        <f aca="false">E137-C137</f>
        <v>-1</v>
      </c>
      <c r="G137" s="9" t="n">
        <f aca="false">IF(AND(C137=0,E137=0),0,IF(C137=0,"New",(E137-C137)/C137))</f>
        <v>-1</v>
      </c>
      <c r="H137" s="8" t="n">
        <f aca="false">SUMIFS('Source'!$E:$E,'Source'!$A:$A,"157464 מדיקל הצפון ב.מ-חורי",'Source'!$B:$B,$A137)</f>
        <v>105</v>
      </c>
      <c r="I137" s="8" t="n">
        <f aca="false">SUMIFS('Source'!$G:$G,'Source'!$A:$A,"157464 מדיקל הצפון ב.מ-חורי",'Source'!$B:$B,$A137)</f>
        <v>0</v>
      </c>
      <c r="J137" s="8" t="n">
        <f aca="false">I137*$J$5</f>
        <v>0</v>
      </c>
      <c r="K137" s="8" t="n">
        <f aca="false">J137-H137</f>
        <v>-105</v>
      </c>
      <c r="L137" s="9" t="n">
        <f aca="false">IF(AND(H137=0,J137=0),0,IF(H137=0,"New",(J137-H137)/H137))</f>
        <v>-1</v>
      </c>
      <c r="M137" s="7" t="str">
        <f aca="false">IF(AND(OR(C137&lt;&gt;0,H137&lt;&gt;0),D137=0,I137=0),"DROP",IF(AND(OR(D137&lt;&gt;0,I137&lt;&gt;0),C137=0,H137=0),"NEW",""))</f>
        <v>DROP</v>
      </c>
    </row>
    <row r="138" customFormat="false" ht="15" hidden="false" customHeight="false" outlineLevel="0" collapsed="false">
      <c r="A138" s="7" t="s">
        <v>242</v>
      </c>
      <c r="B138" s="7" t="str">
        <f aca="false">IFERROR(INDEX('Source'!$C:$C,MATCH($A138,'Source'!$B:$B,0)),"")</f>
        <v>רצועות פיקה לברך</v>
      </c>
      <c r="C138" s="8" t="n">
        <f aca="false">SUMIFS('Source'!$D:$D,'Source'!$A:$A,"157464 מדיקל הצפון ב.מ-חורי",'Source'!$B:$B,$A138)</f>
        <v>2</v>
      </c>
      <c r="D138" s="8" t="n">
        <f aca="false">SUMIFS('Source'!$F:$F,'Source'!$A:$A,"157464 מדיקל הצפון ב.מ-חורי",'Source'!$B:$B,$A138)</f>
        <v>0</v>
      </c>
      <c r="E138" s="8" t="n">
        <f aca="false">D138*$J$5</f>
        <v>0</v>
      </c>
      <c r="F138" s="8" t="n">
        <f aca="false">E138-C138</f>
        <v>-2</v>
      </c>
      <c r="G138" s="9" t="n">
        <f aca="false">IF(AND(C138=0,E138=0),0,IF(C138=0,"New",(E138-C138)/C138))</f>
        <v>-1</v>
      </c>
      <c r="H138" s="8" t="n">
        <f aca="false">SUMIFS('Source'!$E:$E,'Source'!$A:$A,"157464 מדיקל הצפון ב.מ-חורי",'Source'!$B:$B,$A138)</f>
        <v>103.96</v>
      </c>
      <c r="I138" s="8" t="n">
        <f aca="false">SUMIFS('Source'!$G:$G,'Source'!$A:$A,"157464 מדיקל הצפון ב.מ-חורי",'Source'!$B:$B,$A138)</f>
        <v>0</v>
      </c>
      <c r="J138" s="8" t="n">
        <f aca="false">I138*$J$5</f>
        <v>0</v>
      </c>
      <c r="K138" s="8" t="n">
        <f aca="false">J138-H138</f>
        <v>-103.96</v>
      </c>
      <c r="L138" s="9" t="n">
        <f aca="false">IF(AND(H138=0,J138=0),0,IF(H138=0,"New",(J138-H138)/H138))</f>
        <v>-1</v>
      </c>
      <c r="M138" s="7" t="str">
        <f aca="false">IF(AND(OR(C138&lt;&gt;0,H138&lt;&gt;0),D138=0,I138=0),"DROP",IF(AND(OR(D138&lt;&gt;0,I138&lt;&gt;0),C138=0,H138=0),"NEW",""))</f>
        <v>DROP</v>
      </c>
    </row>
    <row r="139" customFormat="false" ht="15" hidden="false" customHeight="false" outlineLevel="0" collapsed="false">
      <c r="A139" s="7" t="s">
        <v>202</v>
      </c>
      <c r="B139" s="7" t="str">
        <f aca="false">IFERROR(INDEX('Source'!$C:$C,MATCH($A139,'Source'!$B:$B,0)),"")</f>
        <v>סד יד דו צדדי</v>
      </c>
      <c r="C139" s="8" t="n">
        <f aca="false">SUMIFS('Source'!$D:$D,'Source'!$A:$A,"157464 מדיקל הצפון ב.מ-חורי",'Source'!$B:$B,$A139)</f>
        <v>6</v>
      </c>
      <c r="D139" s="8" t="n">
        <f aca="false">SUMIFS('Source'!$F:$F,'Source'!$A:$A,"157464 מדיקל הצפון ב.מ-חורי",'Source'!$B:$B,$A139)</f>
        <v>5</v>
      </c>
      <c r="E139" s="8" t="n">
        <f aca="false">D139*$J$5</f>
        <v>6.31578947368421</v>
      </c>
      <c r="F139" s="8" t="n">
        <f aca="false">E139-C139</f>
        <v>0.315789473684211</v>
      </c>
      <c r="G139" s="9" t="n">
        <f aca="false">IF(AND(C139=0,E139=0),0,IF(C139=0,"New",(E139-C139)/C139))</f>
        <v>0.0526315789473684</v>
      </c>
      <c r="H139" s="8" t="n">
        <f aca="false">SUMIFS('Source'!$E:$E,'Source'!$A:$A,"157464 מדיקל הצפון ב.מ-חורי",'Source'!$B:$B,$A139)</f>
        <v>618.44</v>
      </c>
      <c r="I139" s="8" t="n">
        <f aca="false">SUMIFS('Source'!$G:$G,'Source'!$A:$A,"157464 מדיקל הצפון ב.מ-חורי",'Source'!$B:$B,$A139)</f>
        <v>515.36</v>
      </c>
      <c r="J139" s="8" t="n">
        <f aca="false">I139*$J$5</f>
        <v>650.981052631579</v>
      </c>
      <c r="K139" s="8" t="n">
        <f aca="false">J139-H139</f>
        <v>32.5410526315789</v>
      </c>
      <c r="L139" s="9" t="n">
        <f aca="false">IF(AND(H139=0,J139=0),0,IF(H139=0,"New",(J139-H139)/H139))</f>
        <v>0.0526179623432812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429</v>
      </c>
      <c r="B140" s="7" t="str">
        <f aca="false">IFERROR(INDEX('Source'!$C:$C,MATCH($A140,'Source'!$B:$B,0)),"")</f>
        <v>סד לאגודל</v>
      </c>
      <c r="C140" s="8" t="n">
        <f aca="false">SUMIFS('Source'!$D:$D,'Source'!$A:$A,"157464 מדיקל הצפון ב.מ-חורי",'Source'!$B:$B,$A140)</f>
        <v>1</v>
      </c>
      <c r="D140" s="8" t="n">
        <f aca="false">SUMIFS('Source'!$F:$F,'Source'!$A:$A,"157464 מדיקל הצפון ב.מ-חורי",'Source'!$B:$B,$A140)</f>
        <v>0</v>
      </c>
      <c r="E140" s="8" t="n">
        <f aca="false">D140*$J$5</f>
        <v>0</v>
      </c>
      <c r="F140" s="8" t="n">
        <f aca="false">E140-C140</f>
        <v>-1</v>
      </c>
      <c r="G140" s="9" t="n">
        <f aca="false">IF(AND(C140=0,E140=0),0,IF(C140=0,"New",(E140-C140)/C140))</f>
        <v>-1</v>
      </c>
      <c r="H140" s="8" t="n">
        <f aca="false">SUMIFS('Source'!$E:$E,'Source'!$A:$A,"157464 מדיקל הצפון ב.מ-חורי",'Source'!$B:$B,$A140)</f>
        <v>103.07</v>
      </c>
      <c r="I140" s="8" t="n">
        <f aca="false">SUMIFS('Source'!$G:$G,'Source'!$A:$A,"157464 מדיקל הצפון ב.מ-חורי",'Source'!$B:$B,$A140)</f>
        <v>0</v>
      </c>
      <c r="J140" s="8" t="n">
        <f aca="false">I140*$J$5</f>
        <v>0</v>
      </c>
      <c r="K140" s="8" t="n">
        <f aca="false">J140-H140</f>
        <v>-103.07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692</v>
      </c>
      <c r="B141" s="7" t="str">
        <f aca="false">IFERROR(INDEX('Source'!$C:$C,MATCH($A141,'Source'!$B:$B,0)),"")</f>
        <v>מתלה יד-כיס</v>
      </c>
      <c r="C141" s="8" t="n">
        <f aca="false">SUMIFS('Source'!$D:$D,'Source'!$A:$A,"157464 מדיקל הצפון ב.מ-חורי",'Source'!$B:$B,$A141)</f>
        <v>5</v>
      </c>
      <c r="D141" s="8" t="n">
        <f aca="false">SUMIFS('Source'!$F:$F,'Source'!$A:$A,"157464 מדיקל הצפון ב.מ-חורי",'Source'!$B:$B,$A141)</f>
        <v>3</v>
      </c>
      <c r="E141" s="8" t="n">
        <f aca="false">D141*$J$5</f>
        <v>3.78947368421053</v>
      </c>
      <c r="F141" s="8" t="n">
        <f aca="false">E141-C141</f>
        <v>-1.21052631578947</v>
      </c>
      <c r="G141" s="9" t="n">
        <f aca="false">IF(AND(C141=0,E141=0),0,IF(C141=0,"New",(E141-C141)/C141))</f>
        <v>-0.242105263157895</v>
      </c>
      <c r="H141" s="8" t="n">
        <f aca="false">SUMIFS('Source'!$E:$E,'Source'!$A:$A,"157464 מדיקל הצפון ב.מ-חורי",'Source'!$B:$B,$A141)</f>
        <v>245.01</v>
      </c>
      <c r="I141" s="8" t="n">
        <f aca="false">SUMIFS('Source'!$G:$G,'Source'!$A:$A,"157464 מדיקל הצפון ב.מ-חורי",'Source'!$B:$B,$A141)</f>
        <v>146.99</v>
      </c>
      <c r="J141" s="8" t="n">
        <f aca="false">I141*$J$5</f>
        <v>185.671578947368</v>
      </c>
      <c r="K141" s="8" t="n">
        <f aca="false">J141-H141</f>
        <v>-59.3384210526316</v>
      </c>
      <c r="L141" s="9" t="n">
        <f aca="false">IF(AND(H141=0,J141=0),0,IF(H141=0,"New",(J141-H141)/H141))</f>
        <v>-0.24218775173516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595</v>
      </c>
      <c r="B142" s="7" t="str">
        <f aca="false">IFERROR(INDEX('Source'!$C:$C,MATCH($A142,'Source'!$B:$B,0)),"")</f>
        <v>מתלה יד-כיס</v>
      </c>
      <c r="C142" s="8" t="n">
        <f aca="false">SUMIFS('Source'!$D:$D,'Source'!$A:$A,"157464 מדיקל הצפון ב.מ-חורי",'Source'!$B:$B,$A142)</f>
        <v>12</v>
      </c>
      <c r="D142" s="8" t="n">
        <f aca="false">SUMIFS('Source'!$F:$F,'Source'!$A:$A,"157464 מדיקל הצפון ב.מ-חורי",'Source'!$B:$B,$A142)</f>
        <v>10</v>
      </c>
      <c r="E142" s="8" t="n">
        <f aca="false">D142*$J$5</f>
        <v>12.6315789473684</v>
      </c>
      <c r="F142" s="8" t="n">
        <f aca="false">E142-C142</f>
        <v>0.631578947368421</v>
      </c>
      <c r="G142" s="9" t="n">
        <f aca="false">IF(AND(C142=0,E142=0),0,IF(C142=0,"New",(E142-C142)/C142))</f>
        <v>0.0526315789473684</v>
      </c>
      <c r="H142" s="8" t="n">
        <f aca="false">SUMIFS('Source'!$E:$E,'Source'!$A:$A,"157464 מדיקל הצפון ב.מ-חורי",'Source'!$B:$B,$A142)</f>
        <v>587.97</v>
      </c>
      <c r="I142" s="8" t="n">
        <f aca="false">SUMIFS('Source'!$G:$G,'Source'!$A:$A,"157464 מדיקל הצפון ב.מ-חורי",'Source'!$B:$B,$A142)</f>
        <v>489.97</v>
      </c>
      <c r="J142" s="8" t="n">
        <f aca="false">I142*$J$5</f>
        <v>618.909473684211</v>
      </c>
      <c r="K142" s="8" t="n">
        <f aca="false">J142-H142</f>
        <v>30.9394736842105</v>
      </c>
      <c r="L142" s="9" t="n">
        <f aca="false">IF(AND(H142=0,J142=0),0,IF(H142=0,"New",(J142-H142)/H142))</f>
        <v>0.0526208372607625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533</v>
      </c>
      <c r="B143" s="7" t="str">
        <f aca="false">IFERROR(INDEX('Source'!$C:$C,MATCH($A143,'Source'!$B:$B,0)),"")</f>
        <v>מתלה יד-כיס</v>
      </c>
      <c r="C143" s="8" t="n">
        <f aca="false">SUMIFS('Source'!$D:$D,'Source'!$A:$A,"157464 מדיקל הצפון ב.מ-חורי",'Source'!$B:$B,$A143)</f>
        <v>6</v>
      </c>
      <c r="D143" s="8" t="n">
        <f aca="false">SUMIFS('Source'!$F:$F,'Source'!$A:$A,"157464 מדיקל הצפון ב.מ-חורי",'Source'!$B:$B,$A143)</f>
        <v>8</v>
      </c>
      <c r="E143" s="8" t="n">
        <f aca="false">D143*$J$5</f>
        <v>10.1052631578947</v>
      </c>
      <c r="F143" s="8" t="n">
        <f aca="false">E143-C143</f>
        <v>4.10526315789474</v>
      </c>
      <c r="G143" s="9" t="n">
        <f aca="false">IF(AND(C143=0,E143=0),0,IF(C143=0,"New",(E143-C143)/C143))</f>
        <v>0.684210526315789</v>
      </c>
      <c r="H143" s="8" t="n">
        <f aca="false">SUMIFS('Source'!$E:$E,'Source'!$A:$A,"157464 מדיקל הצפון ב.מ-חורי",'Source'!$B:$B,$A143)</f>
        <v>293.99</v>
      </c>
      <c r="I143" s="8" t="n">
        <f aca="false">SUMIFS('Source'!$G:$G,'Source'!$A:$A,"157464 מדיקל הצפון ב.מ-חורי",'Source'!$B:$B,$A143)</f>
        <v>391.98</v>
      </c>
      <c r="J143" s="8" t="n">
        <f aca="false">I143*$J$5</f>
        <v>495.132631578947</v>
      </c>
      <c r="K143" s="8" t="n">
        <f aca="false">J143-H143</f>
        <v>201.142631578947</v>
      </c>
      <c r="L143" s="9" t="n">
        <f aca="false">IF(AND(H143=0,J143=0),0,IF(H143=0,"New",(J143-H143)/H143))</f>
        <v>0.684181882305342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554</v>
      </c>
      <c r="B144" s="7" t="str">
        <f aca="false">IFERROR(INDEX('Source'!$C:$C,MATCH($A144,'Source'!$B:$B,0)),"")</f>
        <v>חבק יד אגודלי ימ</v>
      </c>
      <c r="C144" s="8" t="n">
        <f aca="false">SUMIFS('Source'!$D:$D,'Source'!$A:$A,"157464 מדיקל הצפון ב.מ-חורי",'Source'!$B:$B,$A144)</f>
        <v>0</v>
      </c>
      <c r="D144" s="8" t="n">
        <f aca="false">SUMIFS('Source'!$F:$F,'Source'!$A:$A,"157464 מדיקל הצפון ב.מ-חורי",'Source'!$B:$B,$A144)</f>
        <v>2</v>
      </c>
      <c r="E144" s="8" t="n">
        <f aca="false">D144*$J$5</f>
        <v>2.52631578947368</v>
      </c>
      <c r="F144" s="8" t="n">
        <f aca="false">E144-C144</f>
        <v>2.52631578947368</v>
      </c>
      <c r="G144" s="9" t="str">
        <f aca="false">IF(AND(C144=0,E144=0),0,IF(C144=0,"New",(E144-C144)/C144))</f>
        <v>New</v>
      </c>
      <c r="H144" s="8" t="n">
        <f aca="false">SUMIFS('Source'!$E:$E,'Source'!$A:$A,"157464 מדיקל הצפון ב.מ-חורי",'Source'!$B:$B,$A144)</f>
        <v>0</v>
      </c>
      <c r="I144" s="8" t="n">
        <f aca="false">SUMIFS('Source'!$G:$G,'Source'!$A:$A,"157464 מדיקל הצפון ב.מ-חורי",'Source'!$B:$B,$A144)</f>
        <v>93.64</v>
      </c>
      <c r="J144" s="8" t="n">
        <f aca="false">I144*$J$5</f>
        <v>118.282105263158</v>
      </c>
      <c r="K144" s="8" t="n">
        <f aca="false">J144-H144</f>
        <v>118.282105263158</v>
      </c>
      <c r="L144" s="9" t="str">
        <f aca="false">IF(AND(H144=0,J144=0),0,IF(H144=0,"New",(J144-H144)/H144))</f>
        <v>New</v>
      </c>
      <c r="M144" s="7" t="str">
        <f aca="false">IF(AND(OR(C144&lt;&gt;0,H144&lt;&gt;0),D144=0,I144=0),"DROP",IF(AND(OR(D144&lt;&gt;0,I144&lt;&gt;0),C144=0,H144=0),"NEW",""))</f>
        <v>NEW</v>
      </c>
    </row>
    <row r="145" customFormat="false" ht="15" hidden="false" customHeight="false" outlineLevel="0" collapsed="false">
      <c r="A145" s="7" t="s">
        <v>544</v>
      </c>
      <c r="B145" s="7" t="str">
        <f aca="false">IFERROR(INDEX('Source'!$C:$C,MATCH($A145,'Source'!$B:$B,0)),"")</f>
        <v>מגן קרסול סגור</v>
      </c>
      <c r="C145" s="8" t="n">
        <f aca="false">SUMIFS('Source'!$D:$D,'Source'!$A:$A,"157464 מדיקל הצפון ב.מ-חורי",'Source'!$B:$B,$A145)</f>
        <v>2</v>
      </c>
      <c r="D145" s="8" t="n">
        <f aca="false">SUMIFS('Source'!$F:$F,'Source'!$A:$A,"157464 מדיקל הצפון ב.מ-חורי",'Source'!$B:$B,$A145)</f>
        <v>0</v>
      </c>
      <c r="E145" s="8" t="n">
        <f aca="false">D145*$J$5</f>
        <v>0</v>
      </c>
      <c r="F145" s="8" t="n">
        <f aca="false">E145-C145</f>
        <v>-2</v>
      </c>
      <c r="G145" s="9" t="n">
        <f aca="false">IF(AND(C145=0,E145=0),0,IF(C145=0,"New",(E145-C145)/C145))</f>
        <v>-1</v>
      </c>
      <c r="H145" s="8" t="n">
        <f aca="false">SUMIFS('Source'!$E:$E,'Source'!$A:$A,"157464 מדיקל הצפון ב.מ-חורי",'Source'!$B:$B,$A145)</f>
        <v>93.64</v>
      </c>
      <c r="I145" s="8" t="n">
        <f aca="false">SUMIFS('Source'!$G:$G,'Source'!$A:$A,"157464 מדיקל הצפון ב.מ-חורי",'Source'!$B:$B,$A145)</f>
        <v>0</v>
      </c>
      <c r="J145" s="8" t="n">
        <f aca="false">I145*$J$5</f>
        <v>0</v>
      </c>
      <c r="K145" s="8" t="n">
        <f aca="false">J145-H145</f>
        <v>-93.64</v>
      </c>
      <c r="L145" s="9" t="n">
        <f aca="false">IF(AND(H145=0,J145=0),0,IF(H145=0,"New",(J145-H145)/H145))</f>
        <v>-1</v>
      </c>
      <c r="M145" s="7" t="str">
        <f aca="false">IF(AND(OR(C145&lt;&gt;0,H145&lt;&gt;0),D145=0,I145=0),"DROP",IF(AND(OR(D145&lt;&gt;0,I145&lt;&gt;0),C145=0,H145=0),"NEW",""))</f>
        <v>DROP</v>
      </c>
    </row>
    <row r="146" customFormat="false" ht="15" hidden="false" customHeight="false" outlineLevel="0" collapsed="false">
      <c r="A146" s="7" t="s">
        <v>578</v>
      </c>
      <c r="B146" s="7" t="str">
        <f aca="false">IFERROR(INDEX('Source'!$C:$C,MATCH($A146,'Source'!$B:$B,0)),"")</f>
        <v>מגן ברך רגיל</v>
      </c>
      <c r="C146" s="8" t="n">
        <f aca="false">SUMIFS('Source'!$D:$D,'Source'!$A:$A,"157464 מדיקל הצפון ב.מ-חורי",'Source'!$B:$B,$A146)</f>
        <v>6</v>
      </c>
      <c r="D146" s="8" t="n">
        <f aca="false">SUMIFS('Source'!$F:$F,'Source'!$A:$A,"157464 מדיקל הצפון ב.מ-חורי",'Source'!$B:$B,$A146)</f>
        <v>3</v>
      </c>
      <c r="E146" s="8" t="n">
        <f aca="false">D146*$J$5</f>
        <v>3.78947368421053</v>
      </c>
      <c r="F146" s="8" t="n">
        <f aca="false">E146-C146</f>
        <v>-2.21052631578947</v>
      </c>
      <c r="G146" s="9" t="n">
        <f aca="false">IF(AND(C146=0,E146=0),0,IF(C146=0,"New",(E146-C146)/C146))</f>
        <v>-0.368421052631579</v>
      </c>
      <c r="H146" s="8" t="n">
        <f aca="false">SUMIFS('Source'!$E:$E,'Source'!$A:$A,"157464 מדיקל הצפון ב.מ-חורי",'Source'!$B:$B,$A146)</f>
        <v>185.36</v>
      </c>
      <c r="I146" s="8" t="n">
        <f aca="false">SUMIFS('Source'!$G:$G,'Source'!$A:$A,"157464 מדיקל הצפון ב.מ-חורי",'Source'!$B:$B,$A146)</f>
        <v>92.67</v>
      </c>
      <c r="J146" s="8" t="n">
        <f aca="false">I146*$J$5</f>
        <v>117.056842105263</v>
      </c>
      <c r="K146" s="8" t="n">
        <f aca="false">J146-H146</f>
        <v>-68.3031578947369</v>
      </c>
      <c r="L146" s="9" t="n">
        <f aca="false">IF(AND(H146=0,J146=0),0,IF(H146=0,"New",(J146-H146)/H146))</f>
        <v>-0.368489198827885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684</v>
      </c>
      <c r="B147" s="7" t="str">
        <f aca="false">IFERROR(INDEX('Source'!$C:$C,MATCH($A147,'Source'!$B:$B,0)),"")</f>
        <v>מגן מרפק שחור</v>
      </c>
      <c r="C147" s="8" t="n">
        <f aca="false">SUMIFS('Source'!$D:$D,'Source'!$A:$A,"157464 מדיקל הצפון ב.מ-חורי",'Source'!$B:$B,$A147)</f>
        <v>0</v>
      </c>
      <c r="D147" s="8" t="n">
        <f aca="false">SUMIFS('Source'!$F:$F,'Source'!$A:$A,"157464 מדיקל הצפון ב.מ-חורי",'Source'!$B:$B,$A147)</f>
        <v>3</v>
      </c>
      <c r="E147" s="8" t="n">
        <f aca="false">D147*$J$5</f>
        <v>3.78947368421053</v>
      </c>
      <c r="F147" s="8" t="n">
        <f aca="false">E147-C147</f>
        <v>3.78947368421053</v>
      </c>
      <c r="G147" s="9" t="str">
        <f aca="false">IF(AND(C147=0,E147=0),0,IF(C147=0,"New",(E147-C147)/C147))</f>
        <v>New</v>
      </c>
      <c r="H147" s="8" t="n">
        <f aca="false">SUMIFS('Source'!$E:$E,'Source'!$A:$A,"157464 מדיקל הצפון ב.מ-חורי",'Source'!$B:$B,$A147)</f>
        <v>0</v>
      </c>
      <c r="I147" s="8" t="n">
        <f aca="false">SUMIFS('Source'!$G:$G,'Source'!$A:$A,"157464 מדיקל הצפון ב.מ-חורי",'Source'!$B:$B,$A147)</f>
        <v>92.68</v>
      </c>
      <c r="J147" s="8" t="n">
        <f aca="false">I147*$J$5</f>
        <v>117.069473684211</v>
      </c>
      <c r="K147" s="8" t="n">
        <f aca="false">J147-H147</f>
        <v>117.069473684211</v>
      </c>
      <c r="L147" s="9" t="str">
        <f aca="false">IF(AND(H147=0,J147=0),0,IF(H147=0,"New",(J147-H147)/H147))</f>
        <v>New</v>
      </c>
      <c r="M147" s="7" t="str">
        <f aca="false">IF(AND(OR(C147&lt;&gt;0,H147&lt;&gt;0),D147=0,I147=0),"DROP",IF(AND(OR(D147&lt;&gt;0,I147&lt;&gt;0),C147=0,H147=0),"NEW",""))</f>
        <v>NEW</v>
      </c>
    </row>
    <row r="148" customFormat="false" ht="15" hidden="false" customHeight="false" outlineLevel="0" collapsed="false">
      <c r="A148" s="7" t="s">
        <v>618</v>
      </c>
      <c r="B148" s="7" t="str">
        <f aca="false">IFERROR(INDEX('Source'!$C:$C,MATCH($A148,'Source'!$B:$B,0)),"")</f>
        <v>מגן קרסול חום</v>
      </c>
      <c r="C148" s="8" t="n">
        <f aca="false">SUMIFS('Source'!$D:$D,'Source'!$A:$A,"157464 מדיקל הצפון ב.מ-חורי",'Source'!$B:$B,$A148)</f>
        <v>4</v>
      </c>
      <c r="D148" s="8" t="n">
        <f aca="false">SUMIFS('Source'!$F:$F,'Source'!$A:$A,"157464 מדיקל הצפון ב.מ-חורי",'Source'!$B:$B,$A148)</f>
        <v>1</v>
      </c>
      <c r="E148" s="8" t="n">
        <f aca="false">D148*$J$5</f>
        <v>1.26315789473684</v>
      </c>
      <c r="F148" s="8" t="n">
        <f aca="false">E148-C148</f>
        <v>-2.73684210526316</v>
      </c>
      <c r="G148" s="9" t="n">
        <f aca="false">IF(AND(C148=0,E148=0),0,IF(C148=0,"New",(E148-C148)/C148))</f>
        <v>-0.68421052631579</v>
      </c>
      <c r="H148" s="8" t="n">
        <f aca="false">SUMIFS('Source'!$E:$E,'Source'!$A:$A,"157464 מדיקל הצפון ב.מ-חורי",'Source'!$B:$B,$A148)</f>
        <v>123.57</v>
      </c>
      <c r="I148" s="8" t="n">
        <f aca="false">SUMIFS('Source'!$G:$G,'Source'!$A:$A,"157464 מדיקל הצפון ב.מ-חורי",'Source'!$B:$B,$A148)</f>
        <v>30.89</v>
      </c>
      <c r="J148" s="8" t="n">
        <f aca="false">I148*$J$5</f>
        <v>39.0189473684211</v>
      </c>
      <c r="K148" s="8" t="n">
        <f aca="false">J148-H148</f>
        <v>-84.5510526315789</v>
      </c>
      <c r="L148" s="9" t="n">
        <f aca="false">IF(AND(H148=0,J148=0),0,IF(H148=0,"New",(J148-H148)/H148))</f>
        <v>-0.684236081828753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714</v>
      </c>
      <c r="B149" s="7" t="str">
        <f aca="false">IFERROR(INDEX('Source'!$C:$C,MATCH($A149,'Source'!$B:$B,0)),"")</f>
        <v>מגן מרפק</v>
      </c>
      <c r="C149" s="8" t="n">
        <f aca="false">SUMIFS('Source'!$D:$D,'Source'!$A:$A,"157464 מדיקל הצפון ב.מ-חורי",'Source'!$B:$B,$A149)</f>
        <v>4</v>
      </c>
      <c r="D149" s="8" t="n">
        <f aca="false">SUMIFS('Source'!$F:$F,'Source'!$A:$A,"157464 מדיקל הצפון ב.מ-חורי",'Source'!$B:$B,$A149)</f>
        <v>7</v>
      </c>
      <c r="E149" s="8" t="n">
        <f aca="false">D149*$J$5</f>
        <v>8.84210526315789</v>
      </c>
      <c r="F149" s="8" t="n">
        <f aca="false">E149-C149</f>
        <v>4.84210526315789</v>
      </c>
      <c r="G149" s="9" t="n">
        <f aca="false">IF(AND(C149=0,E149=0),0,IF(C149=0,"New",(E149-C149)/C149))</f>
        <v>1.21052631578947</v>
      </c>
      <c r="H149" s="8" t="n">
        <f aca="false">SUMIFS('Source'!$E:$E,'Source'!$A:$A,"157464 מדיקל הצפון ב.מ-חורי",'Source'!$B:$B,$A149)</f>
        <v>123.57</v>
      </c>
      <c r="I149" s="8" t="n">
        <f aca="false">SUMIFS('Source'!$G:$G,'Source'!$A:$A,"157464 מדיקל הצפון ב.מ-חורי",'Source'!$B:$B,$A149)</f>
        <v>216.24</v>
      </c>
      <c r="J149" s="8" t="n">
        <f aca="false">I149*$J$5</f>
        <v>273.145263157895</v>
      </c>
      <c r="K149" s="8" t="n">
        <f aca="false">J149-H149</f>
        <v>149.575263157895</v>
      </c>
      <c r="L149" s="9" t="n">
        <f aca="false">IF(AND(H149=0,J149=0),0,IF(H149=0,"New",(J149-H149)/H149))</f>
        <v>1.21044964925059</v>
      </c>
      <c r="M149" s="7" t="str">
        <f aca="false">IF(AND(OR(C149&lt;&gt;0,H149&lt;&gt;0),D149=0,I149=0),"DROP",IF(AND(OR(D149&lt;&gt;0,I149&lt;&gt;0),C149=0,H149=0),"NEW",""))</f>
        <v/>
      </c>
    </row>
    <row r="150" customFormat="false" ht="15" hidden="false" customHeight="false" outlineLevel="0" collapsed="false">
      <c r="A150" s="7" t="s">
        <v>585</v>
      </c>
      <c r="B150" s="7" t="str">
        <f aca="false">IFERROR(INDEX('Source'!$C:$C,MATCH($A150,'Source'!$B:$B,0)),"")</f>
        <v>מגן מרפק + סיליקון</v>
      </c>
      <c r="C150" s="8" t="n">
        <f aca="false">SUMIFS('Source'!$D:$D,'Source'!$A:$A,"157464 מדיקל הצפון ב.מ-חורי",'Source'!$B:$B,$A150)</f>
        <v>5</v>
      </c>
      <c r="D150" s="8" t="n">
        <f aca="false">SUMIFS('Source'!$F:$F,'Source'!$A:$A,"157464 מדיקל הצפון ב.מ-חורי",'Source'!$B:$B,$A150)</f>
        <v>6</v>
      </c>
      <c r="E150" s="8" t="n">
        <f aca="false">D150*$J$5</f>
        <v>7.57894736842105</v>
      </c>
      <c r="F150" s="8" t="n">
        <f aca="false">E150-C150</f>
        <v>2.57894736842105</v>
      </c>
      <c r="G150" s="9" t="n">
        <f aca="false">IF(AND(C150=0,E150=0),0,IF(C150=0,"New",(E150-C150)/C150))</f>
        <v>0.515789473684211</v>
      </c>
      <c r="H150" s="8" t="n">
        <f aca="false">SUMIFS('Source'!$E:$E,'Source'!$A:$A,"157464 מדיקל הצפון ב.מ-חורי",'Source'!$B:$B,$A150)</f>
        <v>448</v>
      </c>
      <c r="I150" s="8" t="n">
        <f aca="false">SUMIFS('Source'!$G:$G,'Source'!$A:$A,"157464 מדיקל הצפון ב.מ-חורי",'Source'!$B:$B,$A150)</f>
        <v>540</v>
      </c>
      <c r="J150" s="8" t="n">
        <f aca="false">I150*$J$5</f>
        <v>682.105263157895</v>
      </c>
      <c r="K150" s="8" t="n">
        <f aca="false">J150-H150</f>
        <v>234.105263157895</v>
      </c>
      <c r="L150" s="9" t="n">
        <f aca="false">IF(AND(H150=0,J150=0),0,IF(H150=0,"New",(J150-H150)/H150))</f>
        <v>0.522556390977443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139</v>
      </c>
      <c r="B151" s="7" t="str">
        <f aca="false">IFERROR(INDEX('Source'!$C:$C,MATCH($A151,'Source'!$B:$B,0)),"")</f>
        <v>כפפת CTS שמאל</v>
      </c>
      <c r="C151" s="8" t="n">
        <f aca="false">SUMIFS('Source'!$D:$D,'Source'!$A:$A,"157464 מדיקל הצפון ב.מ-חורי",'Source'!$B:$B,$A151)</f>
        <v>1</v>
      </c>
      <c r="D151" s="8" t="n">
        <f aca="false">SUMIFS('Source'!$F:$F,'Source'!$A:$A,"157464 מדיקל הצפון ב.מ-חורי",'Source'!$B:$B,$A151)</f>
        <v>0</v>
      </c>
      <c r="E151" s="8" t="n">
        <f aca="false">D151*$J$5</f>
        <v>0</v>
      </c>
      <c r="F151" s="8" t="n">
        <f aca="false">E151-C151</f>
        <v>-1</v>
      </c>
      <c r="G151" s="9" t="n">
        <f aca="false">IF(AND(C151=0,E151=0),0,IF(C151=0,"New",(E151-C151)/C151))</f>
        <v>-1</v>
      </c>
      <c r="H151" s="8" t="n">
        <f aca="false">SUMIFS('Source'!$E:$E,'Source'!$A:$A,"157464 מדיקל הצפון ב.מ-חורי",'Source'!$B:$B,$A151)</f>
        <v>90</v>
      </c>
      <c r="I151" s="8" t="n">
        <f aca="false">SUMIFS('Source'!$G:$G,'Source'!$A:$A,"157464 מדיקל הצפון ב.מ-חורי",'Source'!$B:$B,$A151)</f>
        <v>0</v>
      </c>
      <c r="J151" s="8" t="n">
        <f aca="false">I151*$J$5</f>
        <v>0</v>
      </c>
      <c r="K151" s="8" t="n">
        <f aca="false">J151-H151</f>
        <v>-90</v>
      </c>
      <c r="L151" s="9" t="n">
        <f aca="false">IF(AND(H151=0,J151=0),0,IF(H151=0,"New",(J151-H151)/H151))</f>
        <v>-1</v>
      </c>
      <c r="M151" s="7" t="str">
        <f aca="false">IF(AND(OR(C151&lt;&gt;0,H151&lt;&gt;0),D151=0,I151=0),"DROP",IF(AND(OR(D151&lt;&gt;0,I151&lt;&gt;0),C151=0,H151=0),"NEW",""))</f>
        <v>DROP</v>
      </c>
    </row>
    <row r="152" customFormat="false" ht="15" hidden="false" customHeight="false" outlineLevel="0" collapsed="false">
      <c r="A152" s="7" t="s">
        <v>297</v>
      </c>
      <c r="B152" s="7" t="str">
        <f aca="false">IFERROR(INDEX('Source'!$C:$C,MATCH($A152,'Source'!$B:$B,0)),"")</f>
        <v>חגורת גב+סגירה כפולה</v>
      </c>
      <c r="C152" s="8" t="n">
        <f aca="false">SUMIFS('Source'!$D:$D,'Source'!$A:$A,"157464 מדיקל הצפון ב.מ-חורי",'Source'!$B:$B,$A152)</f>
        <v>3</v>
      </c>
      <c r="D152" s="8" t="n">
        <f aca="false">SUMIFS('Source'!$F:$F,'Source'!$A:$A,"157464 מדיקל הצפון ב.מ-חורי",'Source'!$B:$B,$A152)</f>
        <v>2</v>
      </c>
      <c r="E152" s="8" t="n">
        <f aca="false">D152*$J$5</f>
        <v>2.52631578947368</v>
      </c>
      <c r="F152" s="8" t="n">
        <f aca="false">E152-C152</f>
        <v>-0.473684210526316</v>
      </c>
      <c r="G152" s="9" t="n">
        <f aca="false">IF(AND(C152=0,E152=0),0,IF(C152=0,"New",(E152-C152)/C152))</f>
        <v>-0.157894736842105</v>
      </c>
      <c r="H152" s="8" t="n">
        <f aca="false">SUMIFS('Source'!$E:$E,'Source'!$A:$A,"157464 מדיקל הצפון ב.מ-חורי",'Source'!$B:$B,$A152)</f>
        <v>270</v>
      </c>
      <c r="I152" s="8" t="n">
        <f aca="false">SUMIFS('Source'!$G:$G,'Source'!$A:$A,"157464 מדיקל הצפון ב.מ-חורי",'Source'!$B:$B,$A152)</f>
        <v>180</v>
      </c>
      <c r="J152" s="8" t="n">
        <f aca="false">I152*$J$5</f>
        <v>227.368421052632</v>
      </c>
      <c r="K152" s="8" t="n">
        <f aca="false">J152-H152</f>
        <v>-42.6315789473684</v>
      </c>
      <c r="L152" s="9" t="n">
        <f aca="false">IF(AND(H152=0,J152=0),0,IF(H152=0,"New",(J152-H152)/H152))</f>
        <v>-0.157894736842105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120</v>
      </c>
      <c r="B153" s="7" t="str">
        <f aca="false">IFERROR(INDEX('Source'!$C:$C,MATCH($A153,'Source'!$B:$B,0)),"")</f>
        <v>כפפת CTS ימין</v>
      </c>
      <c r="C153" s="8" t="n">
        <f aca="false">SUMIFS('Source'!$D:$D,'Source'!$A:$A,"157464 מדיקל הצפון ב.מ-חורי",'Source'!$B:$B,$A153)</f>
        <v>1</v>
      </c>
      <c r="D153" s="8" t="n">
        <f aca="false">SUMIFS('Source'!$F:$F,'Source'!$A:$A,"157464 מדיקל הצפון ב.מ-חורי",'Source'!$B:$B,$A153)</f>
        <v>0</v>
      </c>
      <c r="E153" s="8" t="n">
        <f aca="false">D153*$J$5</f>
        <v>0</v>
      </c>
      <c r="F153" s="8" t="n">
        <f aca="false">E153-C153</f>
        <v>-1</v>
      </c>
      <c r="G153" s="9" t="n">
        <f aca="false">IF(AND(C153=0,E153=0),0,IF(C153=0,"New",(E153-C153)/C153))</f>
        <v>-1</v>
      </c>
      <c r="H153" s="8" t="n">
        <f aca="false">SUMIFS('Source'!$E:$E,'Source'!$A:$A,"157464 מדיקל הצפון ב.מ-חורי",'Source'!$B:$B,$A153)</f>
        <v>90</v>
      </c>
      <c r="I153" s="8" t="n">
        <f aca="false">SUMIFS('Source'!$G:$G,'Source'!$A:$A,"157464 מדיקל הצפון ב.מ-חורי",'Source'!$B:$B,$A153)</f>
        <v>0</v>
      </c>
      <c r="J153" s="8" t="n">
        <f aca="false">I153*$J$5</f>
        <v>0</v>
      </c>
      <c r="K153" s="8" t="n">
        <f aca="false">J153-H153</f>
        <v>-90</v>
      </c>
      <c r="L153" s="9" t="n">
        <f aca="false">IF(AND(H153=0,J153=0),0,IF(H153=0,"New",(J153-H153)/H153))</f>
        <v>-1</v>
      </c>
      <c r="M153" s="7" t="str">
        <f aca="false">IF(AND(OR(C153&lt;&gt;0,H153&lt;&gt;0),D153=0,I153=0),"DROP",IF(AND(OR(D153&lt;&gt;0,I153&lt;&gt;0),C153=0,H153=0),"NEW",""))</f>
        <v>DROP</v>
      </c>
    </row>
    <row r="154" customFormat="false" ht="15" hidden="false" customHeight="false" outlineLevel="0" collapsed="false">
      <c r="A154" s="7" t="s">
        <v>116</v>
      </c>
      <c r="B154" s="7" t="str">
        <f aca="false">IFERROR(INDEX('Source'!$C:$C,MATCH($A154,'Source'!$B:$B,0)),"")</f>
        <v>כפפת CTS ימין</v>
      </c>
      <c r="C154" s="8" t="n">
        <f aca="false">SUMIFS('Source'!$D:$D,'Source'!$A:$A,"157464 מדיקל הצפון ב.מ-חורי",'Source'!$B:$B,$A154)</f>
        <v>1</v>
      </c>
      <c r="D154" s="8" t="n">
        <f aca="false">SUMIFS('Source'!$F:$F,'Source'!$A:$A,"157464 מדיקל הצפון ב.מ-חורי",'Source'!$B:$B,$A154)</f>
        <v>0</v>
      </c>
      <c r="E154" s="8" t="n">
        <f aca="false">D154*$J$5</f>
        <v>0</v>
      </c>
      <c r="F154" s="8" t="n">
        <f aca="false">E154-C154</f>
        <v>-1</v>
      </c>
      <c r="G154" s="9" t="n">
        <f aca="false">IF(AND(C154=0,E154=0),0,IF(C154=0,"New",(E154-C154)/C154))</f>
        <v>-1</v>
      </c>
      <c r="H154" s="8" t="n">
        <f aca="false">SUMIFS('Source'!$E:$E,'Source'!$A:$A,"157464 מדיקל הצפון ב.מ-חורי",'Source'!$B:$B,$A154)</f>
        <v>90</v>
      </c>
      <c r="I154" s="8" t="n">
        <f aca="false">SUMIFS('Source'!$G:$G,'Source'!$A:$A,"157464 מדיקל הצפון ב.מ-חורי",'Source'!$B:$B,$A154)</f>
        <v>0</v>
      </c>
      <c r="J154" s="8" t="n">
        <f aca="false">I154*$J$5</f>
        <v>0</v>
      </c>
      <c r="K154" s="8" t="n">
        <f aca="false">J154-H154</f>
        <v>-90</v>
      </c>
      <c r="L154" s="9" t="n">
        <f aca="false">IF(AND(H154=0,J154=0),0,IF(H154=0,"New",(J154-H154)/H154))</f>
        <v>-1</v>
      </c>
      <c r="M154" s="7" t="str">
        <f aca="false">IF(AND(OR(C154&lt;&gt;0,H154&lt;&gt;0),D154=0,I154=0),"DROP",IF(AND(OR(D154&lt;&gt;0,I154&lt;&gt;0),C154=0,H154=0),"NEW",""))</f>
        <v>DROP</v>
      </c>
    </row>
    <row r="155" customFormat="false" ht="15" hidden="false" customHeight="false" outlineLevel="0" collapsed="false">
      <c r="A155" s="7" t="s">
        <v>146</v>
      </c>
      <c r="B155" s="7" t="str">
        <f aca="false">IFERROR(INDEX('Source'!$C:$C,MATCH($A155,'Source'!$B:$B,0)),"")</f>
        <v>כפפת CTS שמאל</v>
      </c>
      <c r="C155" s="8" t="n">
        <f aca="false">SUMIFS('Source'!$D:$D,'Source'!$A:$A,"157464 מדיקל הצפון ב.מ-חורי",'Source'!$B:$B,$A155)</f>
        <v>1</v>
      </c>
      <c r="D155" s="8" t="n">
        <f aca="false">SUMIFS('Source'!$F:$F,'Source'!$A:$A,"157464 מדיקל הצפון ב.מ-חורי",'Source'!$B:$B,$A155)</f>
        <v>0</v>
      </c>
      <c r="E155" s="8" t="n">
        <f aca="false">D155*$J$5</f>
        <v>0</v>
      </c>
      <c r="F155" s="8" t="n">
        <f aca="false">E155-C155</f>
        <v>-1</v>
      </c>
      <c r="G155" s="9" t="n">
        <f aca="false">IF(AND(C155=0,E155=0),0,IF(C155=0,"New",(E155-C155)/C155))</f>
        <v>-1</v>
      </c>
      <c r="H155" s="8" t="n">
        <f aca="false">SUMIFS('Source'!$E:$E,'Source'!$A:$A,"157464 מדיקל הצפון ב.מ-חורי",'Source'!$B:$B,$A155)</f>
        <v>90</v>
      </c>
      <c r="I155" s="8" t="n">
        <f aca="false">SUMIFS('Source'!$G:$G,'Source'!$A:$A,"157464 מדיקל הצפון ב.מ-חורי",'Source'!$B:$B,$A155)</f>
        <v>0</v>
      </c>
      <c r="J155" s="8" t="n">
        <f aca="false">I155*$J$5</f>
        <v>0</v>
      </c>
      <c r="K155" s="8" t="n">
        <f aca="false">J155-H155</f>
        <v>-90</v>
      </c>
      <c r="L155" s="9" t="n">
        <f aca="false">IF(AND(H155=0,J155=0),0,IF(H155=0,"New",(J155-H155)/H155))</f>
        <v>-1</v>
      </c>
      <c r="M155" s="7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false" outlineLevel="0" collapsed="false">
      <c r="A156" s="7" t="s">
        <v>289</v>
      </c>
      <c r="B156" s="7" t="str">
        <f aca="false">IFERROR(INDEX('Source'!$C:$C,MATCH($A156,'Source'!$B:$B,0)),"")</f>
        <v>ח.בטן 25 ס'מ</v>
      </c>
      <c r="C156" s="8" t="n">
        <f aca="false">SUMIFS('Source'!$D:$D,'Source'!$A:$A,"157464 מדיקל הצפון ב.מ-חורי",'Source'!$B:$B,$A156)</f>
        <v>1</v>
      </c>
      <c r="D156" s="8" t="n">
        <f aca="false">SUMIFS('Source'!$F:$F,'Source'!$A:$A,"157464 מדיקל הצפון ב.מ-חורי",'Source'!$B:$B,$A156)</f>
        <v>2</v>
      </c>
      <c r="E156" s="8" t="n">
        <f aca="false">D156*$J$5</f>
        <v>2.52631578947368</v>
      </c>
      <c r="F156" s="8" t="n">
        <f aca="false">E156-C156</f>
        <v>1.52631578947368</v>
      </c>
      <c r="G156" s="9" t="n">
        <f aca="false">IF(AND(C156=0,E156=0),0,IF(C156=0,"New",(E156-C156)/C156))</f>
        <v>1.52631578947368</v>
      </c>
      <c r="H156" s="8" t="n">
        <f aca="false">SUMIFS('Source'!$E:$E,'Source'!$A:$A,"157464 מדיקל הצפון ב.מ-חורי",'Source'!$B:$B,$A156)</f>
        <v>84.86</v>
      </c>
      <c r="I156" s="8" t="n">
        <f aca="false">SUMIFS('Source'!$G:$G,'Source'!$A:$A,"157464 מדיקל הצפון ב.מ-חורי",'Source'!$B:$B,$A156)</f>
        <v>169.99</v>
      </c>
      <c r="J156" s="8" t="n">
        <f aca="false">I156*$J$5</f>
        <v>214.724210526316</v>
      </c>
      <c r="K156" s="8" t="n">
        <f aca="false">J156-H156</f>
        <v>129.864210526316</v>
      </c>
      <c r="L156" s="9" t="n">
        <f aca="false">IF(AND(H156=0,J156=0),0,IF(H156=0,"New",(J156-H156)/H156))</f>
        <v>1.53033479290968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545</v>
      </c>
      <c r="B157" s="7" t="str">
        <f aca="false">IFERROR(INDEX('Source'!$C:$C,MATCH($A157,'Source'!$B:$B,0)),"")</f>
        <v>ח.בטן 25 ס'מ</v>
      </c>
      <c r="C157" s="8" t="n">
        <f aca="false">SUMIFS('Source'!$D:$D,'Source'!$A:$A,"157464 מדיקל הצפון ב.מ-חורי",'Source'!$B:$B,$A157)</f>
        <v>0</v>
      </c>
      <c r="D157" s="8" t="n">
        <f aca="false">SUMIFS('Source'!$F:$F,'Source'!$A:$A,"157464 מדיקל הצפון ב.מ-חורי",'Source'!$B:$B,$A157)</f>
        <v>1</v>
      </c>
      <c r="E157" s="8" t="n">
        <f aca="false">D157*$J$5</f>
        <v>1.26315789473684</v>
      </c>
      <c r="F157" s="8" t="n">
        <f aca="false">E157-C157</f>
        <v>1.26315789473684</v>
      </c>
      <c r="G157" s="9" t="str">
        <f aca="false">IF(AND(C157=0,E157=0),0,IF(C157=0,"New",(E157-C157)/C157))</f>
        <v>New</v>
      </c>
      <c r="H157" s="8" t="n">
        <f aca="false">SUMIFS('Source'!$E:$E,'Source'!$A:$A,"157464 מדיקל הצפון ב.מ-חורי",'Source'!$B:$B,$A157)</f>
        <v>0</v>
      </c>
      <c r="I157" s="8" t="n">
        <f aca="false">SUMIFS('Source'!$G:$G,'Source'!$A:$A,"157464 מדיקל הצפון ב.מ-חורי",'Source'!$B:$B,$A157)</f>
        <v>85</v>
      </c>
      <c r="J157" s="8" t="n">
        <f aca="false">I157*$J$5</f>
        <v>107.368421052632</v>
      </c>
      <c r="K157" s="8" t="n">
        <f aca="false">J157-H157</f>
        <v>107.368421052632</v>
      </c>
      <c r="L157" s="9" t="str">
        <f aca="false">IF(AND(H157=0,J157=0),0,IF(H157=0,"New",(J157-H157)/H157))</f>
        <v>New</v>
      </c>
      <c r="M157" s="7" t="str">
        <f aca="false">IF(AND(OR(C157&lt;&gt;0,H157&lt;&gt;0),D157=0,I157=0),"DROP",IF(AND(OR(D157&lt;&gt;0,I157&lt;&gt;0),C157=0,H157=0),"NEW",""))</f>
        <v>NEW</v>
      </c>
    </row>
    <row r="158" customFormat="false" ht="15" hidden="false" customHeight="false" outlineLevel="0" collapsed="false">
      <c r="A158" s="7" t="s">
        <v>253</v>
      </c>
      <c r="B158" s="7" t="str">
        <f aca="false">IFERROR(INDEX('Source'!$C:$C,MATCH($A158,'Source'!$B:$B,0)),"")</f>
        <v>סד לאגודל</v>
      </c>
      <c r="C158" s="8" t="n">
        <f aca="false">SUMIFS('Source'!$D:$D,'Source'!$A:$A,"157464 מדיקל הצפון ב.מ-חורי",'Source'!$B:$B,$A158)</f>
        <v>0</v>
      </c>
      <c r="D158" s="8" t="n">
        <f aca="false">SUMIFS('Source'!$F:$F,'Source'!$A:$A,"157464 מדיקל הצפון ב.מ-חורי",'Source'!$B:$B,$A158)</f>
        <v>2</v>
      </c>
      <c r="E158" s="8" t="n">
        <f aca="false">D158*$J$5</f>
        <v>2.52631578947368</v>
      </c>
      <c r="F158" s="8" t="n">
        <f aca="false">E158-C158</f>
        <v>2.52631578947368</v>
      </c>
      <c r="G158" s="9" t="str">
        <f aca="false">IF(AND(C158=0,E158=0),0,IF(C158=0,"New",(E158-C158)/C158))</f>
        <v>New</v>
      </c>
      <c r="H158" s="8" t="n">
        <f aca="false">SUMIFS('Source'!$E:$E,'Source'!$A:$A,"157464 מדיקל הצפון ב.מ-חורי",'Source'!$B:$B,$A158)</f>
        <v>0</v>
      </c>
      <c r="I158" s="8" t="n">
        <f aca="false">SUMIFS('Source'!$G:$G,'Source'!$A:$A,"157464 מדיקל הצפון ב.מ-חורי",'Source'!$B:$B,$A158)</f>
        <v>84.27</v>
      </c>
      <c r="J158" s="8" t="n">
        <f aca="false">I158*$J$5</f>
        <v>106.446315789474</v>
      </c>
      <c r="K158" s="8" t="n">
        <f aca="false">J158-H158</f>
        <v>106.446315789474</v>
      </c>
      <c r="L158" s="9" t="str">
        <f aca="false">IF(AND(H158=0,J158=0),0,IF(H158=0,"New",(J158-H158)/H158))</f>
        <v>New</v>
      </c>
      <c r="M158" s="7" t="str">
        <f aca="false">IF(AND(OR(C158&lt;&gt;0,H158&lt;&gt;0),D158=0,I158=0),"DROP",IF(AND(OR(D158&lt;&gt;0,I158&lt;&gt;0),C158=0,H158=0),"NEW",""))</f>
        <v>NEW</v>
      </c>
    </row>
    <row r="159" customFormat="false" ht="15" hidden="false" customHeight="false" outlineLevel="0" collapsed="false">
      <c r="A159" s="7" t="s">
        <v>237</v>
      </c>
      <c r="B159" s="7" t="str">
        <f aca="false">IFERROR(INDEX('Source'!$C:$C,MATCH($A159,'Source'!$B:$B,0)),"")</f>
        <v>מגן מרפק</v>
      </c>
      <c r="C159" s="8" t="n">
        <f aca="false">SUMIFS('Source'!$D:$D,'Source'!$A:$A,"157464 מדיקל הצפון ב.מ-חורי",'Source'!$B:$B,$A159)</f>
        <v>0</v>
      </c>
      <c r="D159" s="8" t="n">
        <f aca="false">SUMIFS('Source'!$F:$F,'Source'!$A:$A,"157464 מדיקל הצפון ב.מ-חורי",'Source'!$B:$B,$A159)</f>
        <v>2</v>
      </c>
      <c r="E159" s="8" t="n">
        <f aca="false">D159*$J$5</f>
        <v>2.52631578947368</v>
      </c>
      <c r="F159" s="8" t="n">
        <f aca="false">E159-C159</f>
        <v>2.52631578947368</v>
      </c>
      <c r="G159" s="9" t="str">
        <f aca="false">IF(AND(C159=0,E159=0),0,IF(C159=0,"New",(E159-C159)/C159))</f>
        <v>New</v>
      </c>
      <c r="H159" s="8" t="n">
        <f aca="false">SUMIFS('Source'!$E:$E,'Source'!$A:$A,"157464 מדיקל הצפון ב.מ-חורי",'Source'!$B:$B,$A159)</f>
        <v>0</v>
      </c>
      <c r="I159" s="8" t="n">
        <f aca="false">SUMIFS('Source'!$G:$G,'Source'!$A:$A,"157464 מדיקל הצפון ב.מ-חורי",'Source'!$B:$B,$A159)</f>
        <v>84.27</v>
      </c>
      <c r="J159" s="8" t="n">
        <f aca="false">I159*$J$5</f>
        <v>106.446315789474</v>
      </c>
      <c r="K159" s="8" t="n">
        <f aca="false">J159-H159</f>
        <v>106.446315789474</v>
      </c>
      <c r="L159" s="9" t="str">
        <f aca="false">IF(AND(H159=0,J159=0),0,IF(H159=0,"New",(J159-H159)/H159))</f>
        <v>New</v>
      </c>
      <c r="M159" s="7" t="str">
        <f aca="false">IF(AND(OR(C159&lt;&gt;0,H159&lt;&gt;0),D159=0,I159=0),"DROP",IF(AND(OR(D159&lt;&gt;0,I159&lt;&gt;0),C159=0,H159=0),"NEW",""))</f>
        <v>NEW</v>
      </c>
    </row>
    <row r="160" customFormat="false" ht="15" hidden="false" customHeight="false" outlineLevel="0" collapsed="false">
      <c r="A160" s="7" t="s">
        <v>245</v>
      </c>
      <c r="B160" s="7" t="str">
        <f aca="false">IFERROR(INDEX('Source'!$C:$C,MATCH($A160,'Source'!$B:$B,0)),"")</f>
        <v>חבק טניס</v>
      </c>
      <c r="C160" s="8" t="n">
        <f aca="false">SUMIFS('Source'!$D:$D,'Source'!$A:$A,"157464 מדיקל הצפון ב.מ-חורי",'Source'!$B:$B,$A160)</f>
        <v>0</v>
      </c>
      <c r="D160" s="8" t="n">
        <f aca="false">SUMIFS('Source'!$F:$F,'Source'!$A:$A,"157464 מדיקל הצפון ב.מ-חורי",'Source'!$B:$B,$A160)</f>
        <v>2</v>
      </c>
      <c r="E160" s="8" t="n">
        <f aca="false">D160*$J$5</f>
        <v>2.52631578947368</v>
      </c>
      <c r="F160" s="8" t="n">
        <f aca="false">E160-C160</f>
        <v>2.52631578947368</v>
      </c>
      <c r="G160" s="9" t="str">
        <f aca="false">IF(AND(C160=0,E160=0),0,IF(C160=0,"New",(E160-C160)/C160))</f>
        <v>New</v>
      </c>
      <c r="H160" s="8" t="n">
        <f aca="false">SUMIFS('Source'!$E:$E,'Source'!$A:$A,"157464 מדיקל הצפון ב.מ-חורי",'Source'!$B:$B,$A160)</f>
        <v>0</v>
      </c>
      <c r="I160" s="8" t="n">
        <f aca="false">SUMIFS('Source'!$G:$G,'Source'!$A:$A,"157464 מדיקל הצפון ב.מ-חורי",'Source'!$B:$B,$A160)</f>
        <v>79.59</v>
      </c>
      <c r="J160" s="8" t="n">
        <f aca="false">I160*$J$5</f>
        <v>100.534736842105</v>
      </c>
      <c r="K160" s="8" t="n">
        <f aca="false">J160-H160</f>
        <v>100.534736842105</v>
      </c>
      <c r="L160" s="9" t="str">
        <f aca="false">IF(AND(H160=0,J160=0),0,IF(H160=0,"New",(J160-H160)/H160))</f>
        <v>New</v>
      </c>
      <c r="M160" s="7" t="str">
        <f aca="false">IF(AND(OR(C160&lt;&gt;0,H160&lt;&gt;0),D160=0,I160=0),"DROP",IF(AND(OR(D160&lt;&gt;0,I160&lt;&gt;0),C160=0,H160=0),"NEW",""))</f>
        <v>NEW</v>
      </c>
    </row>
    <row r="161" customFormat="false" ht="15" hidden="false" customHeight="false" outlineLevel="0" collapsed="false">
      <c r="A161" s="7" t="s">
        <v>936</v>
      </c>
      <c r="B161" s="7" t="str">
        <f aca="false">IFERROR(INDEX('Source'!$C:$C,MATCH($A161,'Source'!$B:$B,0)),"")</f>
        <v>סד קרסול קל שחורL</v>
      </c>
      <c r="C161" s="8" t="n">
        <f aca="false">SUMIFS('Source'!$D:$D,'Source'!$A:$A,"157464 מדיקל הצפון ב.מ-חורי",'Source'!$B:$B,$A161)</f>
        <v>1</v>
      </c>
      <c r="D161" s="8" t="n">
        <f aca="false">SUMIFS('Source'!$F:$F,'Source'!$A:$A,"157464 מדיקל הצפון ב.מ-חורי",'Source'!$B:$B,$A161)</f>
        <v>0</v>
      </c>
      <c r="E161" s="8" t="n">
        <f aca="false">D161*$J$5</f>
        <v>0</v>
      </c>
      <c r="F161" s="8" t="n">
        <f aca="false">E161-C161</f>
        <v>-1</v>
      </c>
      <c r="G161" s="9" t="n">
        <f aca="false">IF(AND(C161=0,E161=0),0,IF(C161=0,"New",(E161-C161)/C161))</f>
        <v>-1</v>
      </c>
      <c r="H161" s="8" t="n">
        <f aca="false">SUMIFS('Source'!$E:$E,'Source'!$A:$A,"157464 מדיקל הצפון ב.מ-חורי",'Source'!$B:$B,$A161)</f>
        <v>75</v>
      </c>
      <c r="I161" s="8" t="n">
        <f aca="false">SUMIFS('Source'!$G:$G,'Source'!$A:$A,"157464 מדיקל הצפון ב.מ-חורי",'Source'!$B:$B,$A161)</f>
        <v>0</v>
      </c>
      <c r="J161" s="8" t="n">
        <f aca="false">I161*$J$5</f>
        <v>0</v>
      </c>
      <c r="K161" s="8" t="n">
        <f aca="false">J161-H161</f>
        <v>-75</v>
      </c>
      <c r="L161" s="9" t="n">
        <f aca="false">IF(AND(H161=0,J161=0),0,IF(H161=0,"New",(J161-H161)/H161))</f>
        <v>-1</v>
      </c>
      <c r="M161" s="7" t="str">
        <f aca="false">IF(AND(OR(C161&lt;&gt;0,H161&lt;&gt;0),D161=0,I161=0),"DROP",IF(AND(OR(D161&lt;&gt;0,I161&lt;&gt;0),C161=0,H161=0),"NEW",""))</f>
        <v>DROP</v>
      </c>
    </row>
    <row r="162" customFormat="false" ht="15" hidden="false" customHeight="false" outlineLevel="0" collapsed="false">
      <c r="A162" s="7" t="s">
        <v>943</v>
      </c>
      <c r="B162" s="7" t="str">
        <f aca="false">IFERROR(INDEX('Source'!$C:$C,MATCH($A162,'Source'!$B:$B,0)),"")</f>
        <v>סד קרסול קל שחור XL</v>
      </c>
      <c r="C162" s="8" t="n">
        <f aca="false">SUMIFS('Source'!$D:$D,'Source'!$A:$A,"157464 מדיקל הצפון ב.מ-חורי",'Source'!$B:$B,$A162)</f>
        <v>1</v>
      </c>
      <c r="D162" s="8" t="n">
        <f aca="false">SUMIFS('Source'!$F:$F,'Source'!$A:$A,"157464 מדיקל הצפון ב.מ-חורי",'Source'!$B:$B,$A162)</f>
        <v>0</v>
      </c>
      <c r="E162" s="8" t="n">
        <f aca="false">D162*$J$5</f>
        <v>0</v>
      </c>
      <c r="F162" s="8" t="n">
        <f aca="false">E162-C162</f>
        <v>-1</v>
      </c>
      <c r="G162" s="9" t="n">
        <f aca="false">IF(AND(C162=0,E162=0),0,IF(C162=0,"New",(E162-C162)/C162))</f>
        <v>-1</v>
      </c>
      <c r="H162" s="8" t="n">
        <f aca="false">SUMIFS('Source'!$E:$E,'Source'!$A:$A,"157464 מדיקל הצפון ב.מ-חורי",'Source'!$B:$B,$A162)</f>
        <v>75</v>
      </c>
      <c r="I162" s="8" t="n">
        <f aca="false">SUMIFS('Source'!$G:$G,'Source'!$A:$A,"157464 מדיקל הצפון ב.מ-חורי",'Source'!$B:$B,$A162)</f>
        <v>0</v>
      </c>
      <c r="J162" s="8" t="n">
        <f aca="false">I162*$J$5</f>
        <v>0</v>
      </c>
      <c r="K162" s="8" t="n">
        <f aca="false">J162-H162</f>
        <v>-75</v>
      </c>
      <c r="L162" s="9" t="n">
        <f aca="false">IF(AND(H162=0,J162=0),0,IF(H162=0,"New",(J162-H162)/H162))</f>
        <v>-1</v>
      </c>
      <c r="M162" s="7" t="str">
        <f aca="false">IF(AND(OR(C162&lt;&gt;0,H162&lt;&gt;0),D162=0,I162=0),"DROP",IF(AND(OR(D162&lt;&gt;0,I162&lt;&gt;0),C162=0,H162=0),"NEW",""))</f>
        <v>DROP</v>
      </c>
    </row>
    <row r="163" customFormat="false" ht="15" hidden="false" customHeight="false" outlineLevel="0" collapsed="false">
      <c r="A163" s="7" t="s">
        <v>579</v>
      </c>
      <c r="B163" s="7" t="str">
        <f aca="false">IFERROR(INDEX('Source'!$C:$C,MATCH($A163,'Source'!$B:$B,0)),"")</f>
        <v>סד קרסול קל שחור M</v>
      </c>
      <c r="C163" s="8" t="n">
        <f aca="false">SUMIFS('Source'!$D:$D,'Source'!$A:$A,"157464 מדיקל הצפון ב.מ-חורי",'Source'!$B:$B,$A163)</f>
        <v>1</v>
      </c>
      <c r="D163" s="8" t="n">
        <f aca="false">SUMIFS('Source'!$F:$F,'Source'!$A:$A,"157464 מדיקל הצפון ב.מ-חורי",'Source'!$B:$B,$A163)</f>
        <v>0</v>
      </c>
      <c r="E163" s="8" t="n">
        <f aca="false">D163*$J$5</f>
        <v>0</v>
      </c>
      <c r="F163" s="8" t="n">
        <f aca="false">E163-C163</f>
        <v>-1</v>
      </c>
      <c r="G163" s="9" t="n">
        <f aca="false">IF(AND(C163=0,E163=0),0,IF(C163=0,"New",(E163-C163)/C163))</f>
        <v>-1</v>
      </c>
      <c r="H163" s="8" t="n">
        <f aca="false">SUMIFS('Source'!$E:$E,'Source'!$A:$A,"157464 מדיקל הצפון ב.מ-חורי",'Source'!$B:$B,$A163)</f>
        <v>75</v>
      </c>
      <c r="I163" s="8" t="n">
        <f aca="false">SUMIFS('Source'!$G:$G,'Source'!$A:$A,"157464 מדיקל הצפון ב.מ-חורי",'Source'!$B:$B,$A163)</f>
        <v>0</v>
      </c>
      <c r="J163" s="8" t="n">
        <f aca="false">I163*$J$5</f>
        <v>0</v>
      </c>
      <c r="K163" s="8" t="n">
        <f aca="false">J163-H163</f>
        <v>-75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707</v>
      </c>
      <c r="B164" s="7" t="str">
        <f aca="false">IFERROR(INDEX('Source'!$C:$C,MATCH($A164,'Source'!$B:$B,0)),"")</f>
        <v>מגן ברך ארוך</v>
      </c>
      <c r="C164" s="8" t="n">
        <f aca="false">SUMIFS('Source'!$D:$D,'Source'!$A:$A,"157464 מדיקל הצפון ב.מ-חורי",'Source'!$B:$B,$A164)</f>
        <v>2</v>
      </c>
      <c r="D164" s="8" t="n">
        <f aca="false">SUMIFS('Source'!$F:$F,'Source'!$A:$A,"157464 מדיקל הצפון ב.מ-חורי",'Source'!$B:$B,$A164)</f>
        <v>0</v>
      </c>
      <c r="E164" s="8" t="n">
        <f aca="false">D164*$J$5</f>
        <v>0</v>
      </c>
      <c r="F164" s="8" t="n">
        <f aca="false">E164-C164</f>
        <v>-2</v>
      </c>
      <c r="G164" s="9" t="n">
        <f aca="false">IF(AND(C164=0,E164=0),0,IF(C164=0,"New",(E164-C164)/C164))</f>
        <v>-1</v>
      </c>
      <c r="H164" s="8" t="n">
        <f aca="false">SUMIFS('Source'!$E:$E,'Source'!$A:$A,"157464 מדיקל הצפון ב.מ-חורי",'Source'!$B:$B,$A164)</f>
        <v>74.91</v>
      </c>
      <c r="I164" s="8" t="n">
        <f aca="false">SUMIFS('Source'!$G:$G,'Source'!$A:$A,"157464 מדיקל הצפון ב.מ-חורי",'Source'!$B:$B,$A164)</f>
        <v>0</v>
      </c>
      <c r="J164" s="8" t="n">
        <f aca="false">I164*$J$5</f>
        <v>0</v>
      </c>
      <c r="K164" s="8" t="n">
        <f aca="false">J164-H164</f>
        <v>-74.91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342</v>
      </c>
      <c r="B165" s="7" t="str">
        <f aca="false">IFERROR(INDEX('Source'!$C:$C,MATCH($A165,'Source'!$B:$B,0)),"")</f>
        <v>מדרס מג'ל</v>
      </c>
      <c r="C165" s="8" t="n">
        <f aca="false">SUMIFS('Source'!$D:$D,'Source'!$A:$A,"157464 מדיקל הצפון ב.מ-חורי",'Source'!$B:$B,$A165)</f>
        <v>4</v>
      </c>
      <c r="D165" s="8" t="n">
        <f aca="false">SUMIFS('Source'!$F:$F,'Source'!$A:$A,"157464 מדיקל הצפון ב.מ-חורי",'Source'!$B:$B,$A165)</f>
        <v>3</v>
      </c>
      <c r="E165" s="8" t="n">
        <f aca="false">D165*$J$5</f>
        <v>3.78947368421053</v>
      </c>
      <c r="F165" s="8" t="n">
        <f aca="false">E165-C165</f>
        <v>-0.210526315789474</v>
      </c>
      <c r="G165" s="9" t="n">
        <f aca="false">IF(AND(C165=0,E165=0),0,IF(C165=0,"New",(E165-C165)/C165))</f>
        <v>-0.0526315789473685</v>
      </c>
      <c r="H165" s="8" t="n">
        <f aca="false">SUMIFS('Source'!$E:$E,'Source'!$A:$A,"157464 מדיקל הצפון ב.מ-חורי",'Source'!$B:$B,$A165)</f>
        <v>284.11</v>
      </c>
      <c r="I165" s="8" t="n">
        <f aca="false">SUMIFS('Source'!$G:$G,'Source'!$A:$A,"157464 מדיקל הצפון ב.מ-חורי",'Source'!$B:$B,$A165)</f>
        <v>213.59</v>
      </c>
      <c r="J165" s="8" t="n">
        <f aca="false">I165*$J$5</f>
        <v>269.797894736842</v>
      </c>
      <c r="K165" s="8" t="n">
        <f aca="false">J165-H165</f>
        <v>-14.3121052631579</v>
      </c>
      <c r="L165" s="9" t="n">
        <f aca="false">IF(AND(H165=0,J165=0),0,IF(H165=0,"New",(J165-H165)/H165))</f>
        <v>-0.0503752253111751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671</v>
      </c>
      <c r="B166" s="7" t="str">
        <f aca="false">IFERROR(INDEX('Source'!$C:$C,MATCH($A166,'Source'!$B:$B,0)),"")</f>
        <v>סד מאורך לאגודל</v>
      </c>
      <c r="C166" s="8" t="n">
        <f aca="false">SUMIFS('Source'!$D:$D,'Source'!$A:$A,"157464 מדיקל הצפון ב.מ-חורי",'Source'!$B:$B,$A166)</f>
        <v>0</v>
      </c>
      <c r="D166" s="8" t="n">
        <f aca="false">SUMIFS('Source'!$F:$F,'Source'!$A:$A,"157464 מדיקל הצפון ב.מ-חורי",'Source'!$B:$B,$A166)</f>
        <v>1</v>
      </c>
      <c r="E166" s="8" t="n">
        <f aca="false">D166*$J$5</f>
        <v>1.26315789473684</v>
      </c>
      <c r="F166" s="8" t="n">
        <f aca="false">E166-C166</f>
        <v>1.26315789473684</v>
      </c>
      <c r="G166" s="9" t="str">
        <f aca="false">IF(AND(C166=0,E166=0),0,IF(C166=0,"New",(E166-C166)/C166))</f>
        <v>New</v>
      </c>
      <c r="H166" s="8" t="n">
        <f aca="false">SUMIFS('Source'!$E:$E,'Source'!$A:$A,"157464 מדיקל הצפון ב.מ-חורי",'Source'!$B:$B,$A166)</f>
        <v>0</v>
      </c>
      <c r="I166" s="8" t="n">
        <f aca="false">SUMIFS('Source'!$G:$G,'Source'!$A:$A,"157464 מדיקל הצפון ב.מ-חורי",'Source'!$B:$B,$A166)</f>
        <v>70.26</v>
      </c>
      <c r="J166" s="8" t="n">
        <f aca="false">I166*$J$5</f>
        <v>88.7494736842105</v>
      </c>
      <c r="K166" s="8" t="n">
        <f aca="false">J166-H166</f>
        <v>88.7494736842105</v>
      </c>
      <c r="L166" s="9" t="str">
        <f aca="false">IF(AND(H166=0,J166=0),0,IF(H166=0,"New",(J166-H166)/H166))</f>
        <v>New</v>
      </c>
      <c r="M166" s="7" t="str">
        <f aca="false">IF(AND(OR(C166&lt;&gt;0,H166&lt;&gt;0),D166=0,I166=0),"DROP",IF(AND(OR(D166&lt;&gt;0,I166&lt;&gt;0),C166=0,H166=0),"NEW",""))</f>
        <v>NEW</v>
      </c>
    </row>
    <row r="167" customFormat="false" ht="15" hidden="false" customHeight="false" outlineLevel="0" collapsed="false">
      <c r="A167" s="7" t="s">
        <v>324</v>
      </c>
      <c r="B167" s="7" t="str">
        <f aca="false">IFERROR(INDEX('Source'!$C:$C,MATCH($A167,'Source'!$B:$B,0)),"")</f>
        <v>סד מאורך לאגודל</v>
      </c>
      <c r="C167" s="8" t="n">
        <f aca="false">SUMIFS('Source'!$D:$D,'Source'!$A:$A,"157464 מדיקל הצפון ב.מ-חורי",'Source'!$B:$B,$A167)</f>
        <v>2</v>
      </c>
      <c r="D167" s="8" t="n">
        <f aca="false">SUMIFS('Source'!$F:$F,'Source'!$A:$A,"157464 מדיקל הצפון ב.מ-חורי",'Source'!$B:$B,$A167)</f>
        <v>3</v>
      </c>
      <c r="E167" s="8" t="n">
        <f aca="false">D167*$J$5</f>
        <v>3.78947368421053</v>
      </c>
      <c r="F167" s="8" t="n">
        <f aca="false">E167-C167</f>
        <v>1.78947368421053</v>
      </c>
      <c r="G167" s="9" t="n">
        <f aca="false">IF(AND(C167=0,E167=0),0,IF(C167=0,"New",(E167-C167)/C167))</f>
        <v>0.894736842105263</v>
      </c>
      <c r="H167" s="8" t="n">
        <f aca="false">SUMIFS('Source'!$E:$E,'Source'!$A:$A,"157464 מדיקל הצפון ב.מ-חורי",'Source'!$B:$B,$A167)</f>
        <v>140.52</v>
      </c>
      <c r="I167" s="8" t="n">
        <f aca="false">SUMIFS('Source'!$G:$G,'Source'!$A:$A,"157464 מדיקל הצפון ב.מ-חורי",'Source'!$B:$B,$A167)</f>
        <v>210.78</v>
      </c>
      <c r="J167" s="8" t="n">
        <f aca="false">I167*$J$5</f>
        <v>266.248421052632</v>
      </c>
      <c r="K167" s="8" t="n">
        <f aca="false">J167-H167</f>
        <v>125.728421052632</v>
      </c>
      <c r="L167" s="9" t="n">
        <f aca="false">IF(AND(H167=0,J167=0),0,IF(H167=0,"New",(J167-H167)/H167))</f>
        <v>0.894736842105263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760</v>
      </c>
      <c r="B168" s="7" t="str">
        <f aca="false">IFERROR(INDEX('Source'!$C:$C,MATCH($A168,'Source'!$B:$B,0)),"")</f>
        <v>חגורת שרוכים</v>
      </c>
      <c r="C168" s="8" t="n">
        <f aca="false">SUMIFS('Source'!$D:$D,'Source'!$A:$A,"157464 מדיקל הצפון ב.מ-חורי",'Source'!$B:$B,$A168)</f>
        <v>-1</v>
      </c>
      <c r="D168" s="8" t="n">
        <f aca="false">SUMIFS('Source'!$F:$F,'Source'!$A:$A,"157464 מדיקל הצפון ב.מ-חורי",'Source'!$B:$B,$A168)</f>
        <v>0</v>
      </c>
      <c r="E168" s="8" t="n">
        <f aca="false">D168*$J$5</f>
        <v>0</v>
      </c>
      <c r="F168" s="8" t="n">
        <f aca="false">E168-C168</f>
        <v>1</v>
      </c>
      <c r="G168" s="9" t="n">
        <f aca="false">IF(AND(C168=0,E168=0),0,IF(C168=0,"New",(E168-C168)/C168))</f>
        <v>-1</v>
      </c>
      <c r="H168" s="8" t="n">
        <f aca="false">SUMIFS('Source'!$E:$E,'Source'!$A:$A,"157464 מדיקל הצפון ב.מ-חורי",'Source'!$B:$B,$A168)</f>
        <v>-70</v>
      </c>
      <c r="I168" s="8" t="n">
        <f aca="false">SUMIFS('Source'!$G:$G,'Source'!$A:$A,"157464 מדיקל הצפון ב.מ-חורי",'Source'!$B:$B,$A168)</f>
        <v>0</v>
      </c>
      <c r="J168" s="8" t="n">
        <f aca="false">I168*$J$5</f>
        <v>0</v>
      </c>
      <c r="K168" s="8" t="n">
        <f aca="false">J168-H168</f>
        <v>70</v>
      </c>
      <c r="L168" s="9" t="n">
        <f aca="false">IF(AND(H168=0,J168=0),0,IF(H168=0,"New",(J168-H168)/H168))</f>
        <v>-1</v>
      </c>
      <c r="M168" s="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false" outlineLevel="0" collapsed="false">
      <c r="A169" s="7" t="s">
        <v>395</v>
      </c>
      <c r="B169" s="7" t="str">
        <f aca="false">IFERROR(INDEX('Source'!$C:$C,MATCH($A169,'Source'!$B:$B,0)),"")</f>
        <v>חגורת שרוכים</v>
      </c>
      <c r="C169" s="8" t="n">
        <f aca="false">SUMIFS('Source'!$D:$D,'Source'!$A:$A,"157464 מדיקל הצפון ב.מ-חורי",'Source'!$B:$B,$A169)</f>
        <v>-1</v>
      </c>
      <c r="D169" s="8" t="n">
        <f aca="false">SUMIFS('Source'!$F:$F,'Source'!$A:$A,"157464 מדיקל הצפון ב.מ-חורי",'Source'!$B:$B,$A169)</f>
        <v>0</v>
      </c>
      <c r="E169" s="8" t="n">
        <f aca="false">D169*$J$5</f>
        <v>0</v>
      </c>
      <c r="F169" s="8" t="n">
        <f aca="false">E169-C169</f>
        <v>1</v>
      </c>
      <c r="G169" s="9" t="n">
        <f aca="false">IF(AND(C169=0,E169=0),0,IF(C169=0,"New",(E169-C169)/C169))</f>
        <v>-1</v>
      </c>
      <c r="H169" s="8" t="n">
        <f aca="false">SUMIFS('Source'!$E:$E,'Source'!$A:$A,"157464 מדיקל הצפון ב.מ-חורי",'Source'!$B:$B,$A169)</f>
        <v>-70</v>
      </c>
      <c r="I169" s="8" t="n">
        <f aca="false">SUMIFS('Source'!$G:$G,'Source'!$A:$A,"157464 מדיקל הצפון ב.מ-חורי",'Source'!$B:$B,$A169)</f>
        <v>0</v>
      </c>
      <c r="J169" s="8" t="n">
        <f aca="false">I169*$J$5</f>
        <v>0</v>
      </c>
      <c r="K169" s="8" t="n">
        <f aca="false">J169-H169</f>
        <v>70</v>
      </c>
      <c r="L169" s="9" t="n">
        <f aca="false">IF(AND(H169=0,J169=0),0,IF(H169=0,"New",(J169-H169)/H169))</f>
        <v>-1</v>
      </c>
      <c r="M169" s="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false" outlineLevel="0" collapsed="false">
      <c r="A170" s="7" t="s">
        <v>1025</v>
      </c>
      <c r="B170" s="7" t="str">
        <f aca="false">IFERROR(INDEX('Source'!$C:$C,MATCH($A170,'Source'!$B:$B,0)),"")</f>
        <v>מגן קרסול+כרית סיליקון</v>
      </c>
      <c r="C170" s="8" t="n">
        <f aca="false">SUMIFS('Source'!$D:$D,'Source'!$A:$A,"157464 מדיקל הצפון ב.מ-חורי",'Source'!$B:$B,$A170)</f>
        <v>3</v>
      </c>
      <c r="D170" s="8" t="n">
        <f aca="false">SUMIFS('Source'!$F:$F,'Source'!$A:$A,"157464 מדיקל הצפון ב.מ-חורי",'Source'!$B:$B,$A170)</f>
        <v>2</v>
      </c>
      <c r="E170" s="8" t="n">
        <f aca="false">D170*$J$5</f>
        <v>2.52631578947368</v>
      </c>
      <c r="F170" s="8" t="n">
        <f aca="false">E170-C170</f>
        <v>-0.473684210526316</v>
      </c>
      <c r="G170" s="9" t="n">
        <f aca="false">IF(AND(C170=0,E170=0),0,IF(C170=0,"New",(E170-C170)/C170))</f>
        <v>-0.157894736842105</v>
      </c>
      <c r="H170" s="8" t="n">
        <f aca="false">SUMIFS('Source'!$E:$E,'Source'!$A:$A,"157464 מדיקל הצפון ב.מ-חורי",'Source'!$B:$B,$A170)</f>
        <v>209.99</v>
      </c>
      <c r="I170" s="8" t="n">
        <f aca="false">SUMIFS('Source'!$G:$G,'Source'!$A:$A,"157464 מדיקל הצפון ב.מ-חורי",'Source'!$B:$B,$A170)</f>
        <v>139.99</v>
      </c>
      <c r="J170" s="8" t="n">
        <f aca="false">I170*$J$5</f>
        <v>176.829473684211</v>
      </c>
      <c r="K170" s="8" t="n">
        <f aca="false">J170-H170</f>
        <v>-33.1605263157895</v>
      </c>
      <c r="L170" s="9" t="n">
        <f aca="false">IF(AND(H170=0,J170=0),0,IF(H170=0,"New",(J170-H170)/H170))</f>
        <v>-0.157914787922232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471</v>
      </c>
      <c r="B171" s="7" t="str">
        <f aca="false">IFERROR(INDEX('Source'!$C:$C,MATCH($A171,'Source'!$B:$B,0)),"")</f>
        <v>ח.בטן 25 ס'מ</v>
      </c>
      <c r="C171" s="8" t="n">
        <f aca="false">SUMIFS('Source'!$D:$D,'Source'!$A:$A,"157464 מדיקל הצפון ב.מ-חורי",'Source'!$B:$B,$A171)</f>
        <v>4</v>
      </c>
      <c r="D171" s="8" t="n">
        <f aca="false">SUMIFS('Source'!$F:$F,'Source'!$A:$A,"157464 מדיקל הצפון ב.מ-חורי",'Source'!$B:$B,$A171)</f>
        <v>3</v>
      </c>
      <c r="E171" s="8" t="n">
        <f aca="false">D171*$J$5</f>
        <v>3.78947368421053</v>
      </c>
      <c r="F171" s="8" t="n">
        <f aca="false">E171-C171</f>
        <v>-0.210526315789474</v>
      </c>
      <c r="G171" s="9" t="n">
        <f aca="false">IF(AND(C171=0,E171=0),0,IF(C171=0,"New",(E171-C171)/C171))</f>
        <v>-0.0526315789473685</v>
      </c>
      <c r="H171" s="8" t="n">
        <f aca="false">SUMIFS('Source'!$E:$E,'Source'!$A:$A,"157464 מדיקל הצפון ב.מ-חורי",'Source'!$B:$B,$A171)</f>
        <v>323.99</v>
      </c>
      <c r="I171" s="8" t="n">
        <f aca="false">SUMIFS('Source'!$G:$G,'Source'!$A:$A,"157464 מדיקל הצפון ב.מ-חורי",'Source'!$B:$B,$A171)</f>
        <v>254.99</v>
      </c>
      <c r="J171" s="8" t="n">
        <f aca="false">I171*$J$5</f>
        <v>322.092631578947</v>
      </c>
      <c r="K171" s="8" t="n">
        <f aca="false">J171-H171</f>
        <v>-1.89736842105265</v>
      </c>
      <c r="L171" s="9" t="n">
        <f aca="false">IF(AND(H171=0,J171=0),0,IF(H171=0,"New",(J171-H171)/H171))</f>
        <v>-0.00585625612226503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472</v>
      </c>
      <c r="B172" s="7" t="str">
        <f aca="false">IFERROR(INDEX('Source'!$C:$C,MATCH($A172,'Source'!$B:$B,0)),"")</f>
        <v>צוארון פלסטי מתכוונן</v>
      </c>
      <c r="C172" s="8" t="n">
        <f aca="false">SUMIFS('Source'!$D:$D,'Source'!$A:$A,"157464 מדיקל הצפון ב.מ-חורי",'Source'!$B:$B,$A172)</f>
        <v>2</v>
      </c>
      <c r="D172" s="8" t="n">
        <f aca="false">SUMIFS('Source'!$F:$F,'Source'!$A:$A,"157464 מדיקל הצפון ב.מ-חורי",'Source'!$B:$B,$A172)</f>
        <v>1</v>
      </c>
      <c r="E172" s="8" t="n">
        <f aca="false">D172*$J$5</f>
        <v>1.26315789473684</v>
      </c>
      <c r="F172" s="8" t="n">
        <f aca="false">E172-C172</f>
        <v>-0.736842105263158</v>
      </c>
      <c r="G172" s="9" t="n">
        <f aca="false">IF(AND(C172=0,E172=0),0,IF(C172=0,"New",(E172-C172)/C172))</f>
        <v>-0.368421052631579</v>
      </c>
      <c r="H172" s="8" t="n">
        <f aca="false">SUMIFS('Source'!$E:$E,'Source'!$A:$A,"157464 מדיקל הצפון ב.מ-חורי",'Source'!$B:$B,$A172)</f>
        <v>133.02</v>
      </c>
      <c r="I172" s="8" t="n">
        <f aca="false">SUMIFS('Source'!$G:$G,'Source'!$A:$A,"157464 מדיקל הצפון ב.מ-חורי",'Source'!$B:$B,$A172)</f>
        <v>66.51</v>
      </c>
      <c r="J172" s="8" t="n">
        <f aca="false">I172*$J$5</f>
        <v>84.0126315789474</v>
      </c>
      <c r="K172" s="8" t="n">
        <f aca="false">J172-H172</f>
        <v>-49.0073684210527</v>
      </c>
      <c r="L172" s="9" t="n">
        <f aca="false">IF(AND(H172=0,J172=0),0,IF(H172=0,"New",(J172-H172)/H172))</f>
        <v>-0.368421052631579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290</v>
      </c>
      <c r="B173" s="7" t="str">
        <f aca="false">IFERROR(INDEX('Source'!$C:$C,MATCH($A173,'Source'!$B:$B,0)),"")</f>
        <v>צוארון פלסטי מתכוונן</v>
      </c>
      <c r="C173" s="8" t="n">
        <f aca="false">SUMIFS('Source'!$D:$D,'Source'!$A:$A,"157464 מדיקל הצפון ב.מ-חורי",'Source'!$B:$B,$A173)</f>
        <v>2</v>
      </c>
      <c r="D173" s="8" t="n">
        <f aca="false">SUMIFS('Source'!$F:$F,'Source'!$A:$A,"157464 מדיקל הצפון ב.מ-חורי",'Source'!$B:$B,$A173)</f>
        <v>3</v>
      </c>
      <c r="E173" s="8" t="n">
        <f aca="false">D173*$J$5</f>
        <v>3.78947368421053</v>
      </c>
      <c r="F173" s="8" t="n">
        <f aca="false">E173-C173</f>
        <v>1.78947368421053</v>
      </c>
      <c r="G173" s="9" t="n">
        <f aca="false">IF(AND(C173=0,E173=0),0,IF(C173=0,"New",(E173-C173)/C173))</f>
        <v>0.894736842105263</v>
      </c>
      <c r="H173" s="8" t="n">
        <f aca="false">SUMIFS('Source'!$E:$E,'Source'!$A:$A,"157464 מדיקל הצפון ב.מ-חורי",'Source'!$B:$B,$A173)</f>
        <v>133.02</v>
      </c>
      <c r="I173" s="8" t="n">
        <f aca="false">SUMIFS('Source'!$G:$G,'Source'!$A:$A,"157464 מדיקל הצפון ב.מ-חורי",'Source'!$B:$B,$A173)</f>
        <v>199.53</v>
      </c>
      <c r="J173" s="8" t="n">
        <f aca="false">I173*$J$5</f>
        <v>252.037894736842</v>
      </c>
      <c r="K173" s="8" t="n">
        <f aca="false">J173-H173</f>
        <v>119.017894736842</v>
      </c>
      <c r="L173" s="9" t="n">
        <f aca="false">IF(AND(H173=0,J173=0),0,IF(H173=0,"New",(J173-H173)/H173))</f>
        <v>0.894736842105263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638</v>
      </c>
      <c r="B174" s="7" t="str">
        <f aca="false">IFERROR(INDEX('Source'!$C:$C,MATCH($A174,'Source'!$B:$B,0)),"")</f>
        <v>חבק יד מתכוון</v>
      </c>
      <c r="C174" s="8" t="n">
        <f aca="false">SUMIFS('Source'!$D:$D,'Source'!$A:$A,"157464 מדיקל הצפון ב.מ-חורי",'Source'!$B:$B,$A174)</f>
        <v>1</v>
      </c>
      <c r="D174" s="8" t="n">
        <f aca="false">SUMIFS('Source'!$F:$F,'Source'!$A:$A,"157464 מדיקל הצפון ב.מ-חורי",'Source'!$B:$B,$A174)</f>
        <v>3</v>
      </c>
      <c r="E174" s="8" t="n">
        <f aca="false">D174*$J$5</f>
        <v>3.78947368421053</v>
      </c>
      <c r="F174" s="8" t="n">
        <f aca="false">E174-C174</f>
        <v>2.78947368421053</v>
      </c>
      <c r="G174" s="9" t="n">
        <f aca="false">IF(AND(C174=0,E174=0),0,IF(C174=0,"New",(E174-C174)/C174))</f>
        <v>2.78947368421053</v>
      </c>
      <c r="H174" s="8" t="n">
        <f aca="false">SUMIFS('Source'!$E:$E,'Source'!$A:$A,"157464 מדיקל הצפון ב.מ-חורי",'Source'!$B:$B,$A174)</f>
        <v>33.23</v>
      </c>
      <c r="I174" s="8" t="n">
        <f aca="false">SUMIFS('Source'!$G:$G,'Source'!$A:$A,"157464 מדיקל הצפון ב.מ-חורי",'Source'!$B:$B,$A174)</f>
        <v>99.69</v>
      </c>
      <c r="J174" s="8" t="n">
        <f aca="false">I174*$J$5</f>
        <v>125.924210526316</v>
      </c>
      <c r="K174" s="8" t="n">
        <f aca="false">J174-H174</f>
        <v>92.6942105263158</v>
      </c>
      <c r="L174" s="9" t="n">
        <f aca="false">IF(AND(H174=0,J174=0),0,IF(H174=0,"New",(J174-H174)/H174))</f>
        <v>2.78947368421053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680</v>
      </c>
      <c r="B175" s="7" t="str">
        <f aca="false">IFERROR(INDEX('Source'!$C:$C,MATCH($A175,'Source'!$B:$B,0)),"")</f>
        <v>חבק יד מתכוון</v>
      </c>
      <c r="C175" s="8" t="n">
        <f aca="false">SUMIFS('Source'!$D:$D,'Source'!$A:$A,"157464 מדיקל הצפון ב.מ-חורי",'Source'!$B:$B,$A175)</f>
        <v>1</v>
      </c>
      <c r="D175" s="8" t="n">
        <f aca="false">SUMIFS('Source'!$F:$F,'Source'!$A:$A,"157464 מדיקל הצפון ב.מ-חורי",'Source'!$B:$B,$A175)</f>
        <v>3</v>
      </c>
      <c r="E175" s="8" t="n">
        <f aca="false">D175*$J$5</f>
        <v>3.78947368421053</v>
      </c>
      <c r="F175" s="8" t="n">
        <f aca="false">E175-C175</f>
        <v>2.78947368421053</v>
      </c>
      <c r="G175" s="9" t="n">
        <f aca="false">IF(AND(C175=0,E175=0),0,IF(C175=0,"New",(E175-C175)/C175))</f>
        <v>2.78947368421053</v>
      </c>
      <c r="H175" s="8" t="n">
        <f aca="false">SUMIFS('Source'!$E:$E,'Source'!$A:$A,"157464 מדיקל הצפון ב.מ-חורי",'Source'!$B:$B,$A175)</f>
        <v>33.23</v>
      </c>
      <c r="I175" s="8" t="n">
        <f aca="false">SUMIFS('Source'!$G:$G,'Source'!$A:$A,"157464 מדיקל הצפון ב.מ-חורי",'Source'!$B:$B,$A175)</f>
        <v>99.69</v>
      </c>
      <c r="J175" s="8" t="n">
        <f aca="false">I175*$J$5</f>
        <v>125.924210526316</v>
      </c>
      <c r="K175" s="8" t="n">
        <f aca="false">J175-H175</f>
        <v>92.6942105263158</v>
      </c>
      <c r="L175" s="9" t="n">
        <f aca="false">IF(AND(H175=0,J175=0),0,IF(H175=0,"New",(J175-H175)/H175))</f>
        <v>2.78947368421053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635</v>
      </c>
      <c r="B176" s="7" t="str">
        <f aca="false">IFERROR(INDEX('Source'!$C:$C,MATCH($A176,'Source'!$B:$B,0)),"")</f>
        <v>מגן קרסול חום</v>
      </c>
      <c r="C176" s="8" t="n">
        <f aca="false">SUMIFS('Source'!$D:$D,'Source'!$A:$A,"157464 מדיקל הצפון ב.מ-חורי",'Source'!$B:$B,$A176)</f>
        <v>4</v>
      </c>
      <c r="D176" s="8" t="n">
        <f aca="false">SUMIFS('Source'!$F:$F,'Source'!$A:$A,"157464 מדיקל הצפון ב.מ-חורי",'Source'!$B:$B,$A176)</f>
        <v>2</v>
      </c>
      <c r="E176" s="8" t="n">
        <f aca="false">D176*$J$5</f>
        <v>2.52631578947368</v>
      </c>
      <c r="F176" s="8" t="n">
        <f aca="false">E176-C176</f>
        <v>-1.47368421052632</v>
      </c>
      <c r="G176" s="9" t="n">
        <f aca="false">IF(AND(C176=0,E176=0),0,IF(C176=0,"New",(E176-C176)/C176))</f>
        <v>-0.368421052631579</v>
      </c>
      <c r="H176" s="8" t="n">
        <f aca="false">SUMIFS('Source'!$E:$E,'Source'!$A:$A,"157464 מדיקל הצפון ב.מ-חורי",'Source'!$B:$B,$A176)</f>
        <v>123.57</v>
      </c>
      <c r="I176" s="8" t="n">
        <f aca="false">SUMIFS('Source'!$G:$G,'Source'!$A:$A,"157464 מדיקל הצפון ב.מ-חורי",'Source'!$B:$B,$A176)</f>
        <v>61.78</v>
      </c>
      <c r="J176" s="8" t="n">
        <f aca="false">I176*$J$5</f>
        <v>78.0378947368421</v>
      </c>
      <c r="K176" s="8" t="n">
        <f aca="false">J176-H176</f>
        <v>-45.5321052631579</v>
      </c>
      <c r="L176" s="9" t="n">
        <f aca="false">IF(AND(H176=0,J176=0),0,IF(H176=0,"New",(J176-H176)/H176))</f>
        <v>-0.368472163657505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605</v>
      </c>
      <c r="B177" s="7" t="str">
        <f aca="false">IFERROR(INDEX('Source'!$C:$C,MATCH($A177,'Source'!$B:$B,0)),"")</f>
        <v>מגן קרסול חום</v>
      </c>
      <c r="C177" s="8" t="n">
        <f aca="false">SUMIFS('Source'!$D:$D,'Source'!$A:$A,"157464 מדיקל הצפון ב.מ-חורי",'Source'!$B:$B,$A177)</f>
        <v>4</v>
      </c>
      <c r="D177" s="8" t="n">
        <f aca="false">SUMIFS('Source'!$F:$F,'Source'!$A:$A,"157464 מדיקל הצפון ב.מ-חורי",'Source'!$B:$B,$A177)</f>
        <v>2</v>
      </c>
      <c r="E177" s="8" t="n">
        <f aca="false">D177*$J$5</f>
        <v>2.52631578947368</v>
      </c>
      <c r="F177" s="8" t="n">
        <f aca="false">E177-C177</f>
        <v>-1.47368421052632</v>
      </c>
      <c r="G177" s="9" t="n">
        <f aca="false">IF(AND(C177=0,E177=0),0,IF(C177=0,"New",(E177-C177)/C177))</f>
        <v>-0.368421052631579</v>
      </c>
      <c r="H177" s="8" t="n">
        <f aca="false">SUMIFS('Source'!$E:$E,'Source'!$A:$A,"157464 מדיקל הצפון ב.מ-חורי",'Source'!$B:$B,$A177)</f>
        <v>123.57</v>
      </c>
      <c r="I177" s="8" t="n">
        <f aca="false">SUMIFS('Source'!$G:$G,'Source'!$A:$A,"157464 מדיקל הצפון ב.מ-חורי",'Source'!$B:$B,$A177)</f>
        <v>61.78</v>
      </c>
      <c r="J177" s="8" t="n">
        <f aca="false">I177*$J$5</f>
        <v>78.0378947368421</v>
      </c>
      <c r="K177" s="8" t="n">
        <f aca="false">J177-H177</f>
        <v>-45.5321052631579</v>
      </c>
      <c r="L177" s="9" t="n">
        <f aca="false">IF(AND(H177=0,J177=0),0,IF(H177=0,"New",(J177-H177)/H177))</f>
        <v>-0.368472163657505</v>
      </c>
      <c r="M177" s="7" t="str">
        <f aca="false">IF(AND(OR(C177&lt;&gt;0,H177&lt;&gt;0),D177=0,I177=0),"DROP",IF(AND(OR(D177&lt;&gt;0,I177&lt;&gt;0),C177=0,H177=0),"NEW",""))</f>
        <v/>
      </c>
    </row>
    <row r="178" customFormat="false" ht="15" hidden="false" customHeight="false" outlineLevel="0" collapsed="false">
      <c r="A178" s="7" t="s">
        <v>556</v>
      </c>
      <c r="B178" s="7" t="str">
        <f aca="false">IFERROR(INDEX('Source'!$C:$C,MATCH($A178,'Source'!$B:$B,0)),"")</f>
        <v>מגן ברך רגיל</v>
      </c>
      <c r="C178" s="8" t="n">
        <f aca="false">SUMIFS('Source'!$D:$D,'Source'!$A:$A,"157464 מדיקל הצפון ב.מ-חורי",'Source'!$B:$B,$A178)</f>
        <v>4</v>
      </c>
      <c r="D178" s="8" t="n">
        <f aca="false">SUMIFS('Source'!$F:$F,'Source'!$A:$A,"157464 מדיקל הצפון ב.מ-חורי",'Source'!$B:$B,$A178)</f>
        <v>2</v>
      </c>
      <c r="E178" s="8" t="n">
        <f aca="false">D178*$J$5</f>
        <v>2.52631578947368</v>
      </c>
      <c r="F178" s="8" t="n">
        <f aca="false">E178-C178</f>
        <v>-1.47368421052632</v>
      </c>
      <c r="G178" s="9" t="n">
        <f aca="false">IF(AND(C178=0,E178=0),0,IF(C178=0,"New",(E178-C178)/C178))</f>
        <v>-0.368421052631579</v>
      </c>
      <c r="H178" s="8" t="n">
        <f aca="false">SUMIFS('Source'!$E:$E,'Source'!$A:$A,"157464 מדיקל הצפון ב.מ-חורי",'Source'!$B:$B,$A178)</f>
        <v>123.57</v>
      </c>
      <c r="I178" s="8" t="n">
        <f aca="false">SUMIFS('Source'!$G:$G,'Source'!$A:$A,"157464 מדיקל הצפון ב.מ-חורי",'Source'!$B:$B,$A178)</f>
        <v>61.78</v>
      </c>
      <c r="J178" s="8" t="n">
        <f aca="false">I178*$J$5</f>
        <v>78.0378947368421</v>
      </c>
      <c r="K178" s="8" t="n">
        <f aca="false">J178-H178</f>
        <v>-45.5321052631579</v>
      </c>
      <c r="L178" s="9" t="n">
        <f aca="false">IF(AND(H178=0,J178=0),0,IF(H178=0,"New",(J178-H178)/H178))</f>
        <v>-0.368472163657505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401</v>
      </c>
      <c r="B179" s="7" t="str">
        <f aca="false">IFERROR(INDEX('Source'!$C:$C,MATCH($A179,'Source'!$B:$B,0)),"")</f>
        <v>מגן קרסול פתוח</v>
      </c>
      <c r="C179" s="8" t="n">
        <f aca="false">SUMIFS('Source'!$D:$D,'Source'!$A:$A,"157464 מדיקל הצפון ב.מ-חורי",'Source'!$B:$B,$A179)</f>
        <v>2</v>
      </c>
      <c r="D179" s="8" t="n">
        <f aca="false">SUMIFS('Source'!$F:$F,'Source'!$A:$A,"157464 מדיקל הצפון ב.מ-חורי",'Source'!$B:$B,$A179)</f>
        <v>0</v>
      </c>
      <c r="E179" s="8" t="n">
        <f aca="false">D179*$J$5</f>
        <v>0</v>
      </c>
      <c r="F179" s="8" t="n">
        <f aca="false">E179-C179</f>
        <v>-2</v>
      </c>
      <c r="G179" s="9" t="n">
        <f aca="false">IF(AND(C179=0,E179=0),0,IF(C179=0,"New",(E179-C179)/C179))</f>
        <v>-1</v>
      </c>
      <c r="H179" s="8" t="n">
        <f aca="false">SUMIFS('Source'!$E:$E,'Source'!$A:$A,"157464 מדיקל הצפון ב.מ-חורי",'Source'!$B:$B,$A179)</f>
        <v>61.78</v>
      </c>
      <c r="I179" s="8" t="n">
        <f aca="false">SUMIFS('Source'!$G:$G,'Source'!$A:$A,"157464 מדיקל הצפון ב.מ-חורי",'Source'!$B:$B,$A179)</f>
        <v>0</v>
      </c>
      <c r="J179" s="8" t="n">
        <f aca="false">I179*$J$5</f>
        <v>0</v>
      </c>
      <c r="K179" s="8" t="n">
        <f aca="false">J179-H179</f>
        <v>-61.78</v>
      </c>
      <c r="L179" s="9" t="n">
        <f aca="false">IF(AND(H179=0,J179=0),0,IF(H179=0,"New",(J179-H179)/H179))</f>
        <v>-1</v>
      </c>
      <c r="M179" s="7" t="str">
        <f aca="false">IF(AND(OR(C179&lt;&gt;0,H179&lt;&gt;0),D179=0,I179=0),"DROP",IF(AND(OR(D179&lt;&gt;0,I179&lt;&gt;0),C179=0,H179=0),"NEW",""))</f>
        <v>DROP</v>
      </c>
    </row>
    <row r="180" customFormat="false" ht="15" hidden="false" customHeight="false" outlineLevel="0" collapsed="false">
      <c r="A180" s="7" t="s">
        <v>473</v>
      </c>
      <c r="B180" s="7" t="str">
        <f aca="false">IFERROR(INDEX('Source'!$C:$C,MATCH($A180,'Source'!$B:$B,0)),"")</f>
        <v>מגן מרפק שחור</v>
      </c>
      <c r="C180" s="8" t="n">
        <f aca="false">SUMIFS('Source'!$D:$D,'Source'!$A:$A,"157464 מדיקל הצפון ב.מ-חורי",'Source'!$B:$B,$A180)</f>
        <v>0</v>
      </c>
      <c r="D180" s="8" t="n">
        <f aca="false">SUMIFS('Source'!$F:$F,'Source'!$A:$A,"157464 מדיקל הצפון ב.מ-חורי",'Source'!$B:$B,$A180)</f>
        <v>2</v>
      </c>
      <c r="E180" s="8" t="n">
        <f aca="false">D180*$J$5</f>
        <v>2.52631578947368</v>
      </c>
      <c r="F180" s="8" t="n">
        <f aca="false">E180-C180</f>
        <v>2.52631578947368</v>
      </c>
      <c r="G180" s="9" t="str">
        <f aca="false">IF(AND(C180=0,E180=0),0,IF(C180=0,"New",(E180-C180)/C180))</f>
        <v>New</v>
      </c>
      <c r="H180" s="8" t="n">
        <f aca="false">SUMIFS('Source'!$E:$E,'Source'!$A:$A,"157464 מדיקל הצפון ב.מ-חורי",'Source'!$B:$B,$A180)</f>
        <v>0</v>
      </c>
      <c r="I180" s="8" t="n">
        <f aca="false">SUMIFS('Source'!$G:$G,'Source'!$A:$A,"157464 מדיקל הצפון ב.מ-חורי",'Source'!$B:$B,$A180)</f>
        <v>61.78</v>
      </c>
      <c r="J180" s="8" t="n">
        <f aca="false">I180*$J$5</f>
        <v>78.0378947368421</v>
      </c>
      <c r="K180" s="8" t="n">
        <f aca="false">J180-H180</f>
        <v>78.0378947368421</v>
      </c>
      <c r="L180" s="9" t="str">
        <f aca="false">IF(AND(H180=0,J180=0),0,IF(H180=0,"New",(J180-H180)/H180))</f>
        <v>New</v>
      </c>
      <c r="M180" s="7" t="str">
        <f aca="false">IF(AND(OR(C180&lt;&gt;0,H180&lt;&gt;0),D180=0,I180=0),"DROP",IF(AND(OR(D180&lt;&gt;0,I180&lt;&gt;0),C180=0,H180=0),"NEW",""))</f>
        <v>NEW</v>
      </c>
    </row>
    <row r="181" customFormat="false" ht="15" hidden="false" customHeight="false" outlineLevel="0" collapsed="false">
      <c r="A181" s="7" t="s">
        <v>563</v>
      </c>
      <c r="B181" s="7" t="str">
        <f aca="false">IFERROR(INDEX('Source'!$C:$C,MATCH($A181,'Source'!$B:$B,0)),"")</f>
        <v>מגן קרסול פתוח</v>
      </c>
      <c r="C181" s="8" t="n">
        <f aca="false">SUMIFS('Source'!$D:$D,'Source'!$A:$A,"157464 מדיקל הצפון ב.מ-חורי",'Source'!$B:$B,$A181)</f>
        <v>2</v>
      </c>
      <c r="D181" s="8" t="n">
        <f aca="false">SUMIFS('Source'!$F:$F,'Source'!$A:$A,"157464 מדיקל הצפון ב.מ-חורי",'Source'!$B:$B,$A181)</f>
        <v>0</v>
      </c>
      <c r="E181" s="8" t="n">
        <f aca="false">D181*$J$5</f>
        <v>0</v>
      </c>
      <c r="F181" s="8" t="n">
        <f aca="false">E181-C181</f>
        <v>-2</v>
      </c>
      <c r="G181" s="9" t="n">
        <f aca="false">IF(AND(C181=0,E181=0),0,IF(C181=0,"New",(E181-C181)/C181))</f>
        <v>-1</v>
      </c>
      <c r="H181" s="8" t="n">
        <f aca="false">SUMIFS('Source'!$E:$E,'Source'!$A:$A,"157464 מדיקל הצפון ב.מ-חורי",'Source'!$B:$B,$A181)</f>
        <v>61.78</v>
      </c>
      <c r="I181" s="8" t="n">
        <f aca="false">SUMIFS('Source'!$G:$G,'Source'!$A:$A,"157464 מדיקל הצפון ב.מ-חורי",'Source'!$B:$B,$A181)</f>
        <v>0</v>
      </c>
      <c r="J181" s="8" t="n">
        <f aca="false">I181*$J$5</f>
        <v>0</v>
      </c>
      <c r="K181" s="8" t="n">
        <f aca="false">J181-H181</f>
        <v>-61.78</v>
      </c>
      <c r="L181" s="9" t="n">
        <f aca="false">IF(AND(H181=0,J181=0),0,IF(H181=0,"New",(J181-H181)/H181))</f>
        <v>-1</v>
      </c>
      <c r="M181" s="7" t="str">
        <f aca="false">IF(AND(OR(C181&lt;&gt;0,H181&lt;&gt;0),D181=0,I181=0),"DROP",IF(AND(OR(D181&lt;&gt;0,I181&lt;&gt;0),C181=0,H181=0),"NEW",""))</f>
        <v>DROP</v>
      </c>
    </row>
    <row r="182" customFormat="false" ht="15" hidden="false" customHeight="false" outlineLevel="0" collapsed="false">
      <c r="A182" s="7" t="s">
        <v>799</v>
      </c>
      <c r="B182" s="7" t="str">
        <f aca="false">IFERROR(INDEX('Source'!$C:$C,MATCH($A182,'Source'!$B:$B,0)),"")</f>
        <v>מגן מרפק</v>
      </c>
      <c r="C182" s="8" t="n">
        <f aca="false">SUMIFS('Source'!$D:$D,'Source'!$A:$A,"157464 מדיקל הצפון ב.מ-חורי",'Source'!$B:$B,$A182)</f>
        <v>3</v>
      </c>
      <c r="D182" s="8" t="n">
        <f aca="false">SUMIFS('Source'!$F:$F,'Source'!$A:$A,"157464 מדיקל הצפון ב.מ-חורי",'Source'!$B:$B,$A182)</f>
        <v>5</v>
      </c>
      <c r="E182" s="8" t="n">
        <f aca="false">D182*$J$5</f>
        <v>6.31578947368421</v>
      </c>
      <c r="F182" s="8" t="n">
        <f aca="false">E182-C182</f>
        <v>3.31578947368421</v>
      </c>
      <c r="G182" s="9" t="n">
        <f aca="false">IF(AND(C182=0,E182=0),0,IF(C182=0,"New",(E182-C182)/C182))</f>
        <v>1.10526315789474</v>
      </c>
      <c r="H182" s="8" t="n">
        <f aca="false">SUMIFS('Source'!$E:$E,'Source'!$A:$A,"157464 מדיקל הצפון ב.מ-חורי",'Source'!$B:$B,$A182)</f>
        <v>92.68</v>
      </c>
      <c r="I182" s="8" t="n">
        <f aca="false">SUMIFS('Source'!$G:$G,'Source'!$A:$A,"157464 מדיקל הצפון ב.מ-חורי",'Source'!$B:$B,$A182)</f>
        <v>154.46</v>
      </c>
      <c r="J182" s="8" t="n">
        <f aca="false">I182*$J$5</f>
        <v>195.107368421053</v>
      </c>
      <c r="K182" s="8" t="n">
        <f aca="false">J182-H182</f>
        <v>102.427368421053</v>
      </c>
      <c r="L182" s="9" t="n">
        <f aca="false">IF(AND(H182=0,J182=0),0,IF(H182=0,"New",(J182-H182)/H182))</f>
        <v>1.10517229629966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179</v>
      </c>
      <c r="B183" s="7" t="str">
        <f aca="false">IFERROR(INDEX('Source'!$C:$C,MATCH($A183,'Source'!$B:$B,0)),"")</f>
        <v>מתלה ליד לילדים</v>
      </c>
      <c r="C183" s="8" t="n">
        <f aca="false">SUMIFS('Source'!$D:$D,'Source'!$A:$A,"157464 מדיקל הצפון ב.מ-חורי",'Source'!$B:$B,$A183)</f>
        <v>4</v>
      </c>
      <c r="D183" s="8" t="n">
        <f aca="false">SUMIFS('Source'!$F:$F,'Source'!$A:$A,"157464 מדיקל הצפון ב.מ-חורי",'Source'!$B:$B,$A183)</f>
        <v>5</v>
      </c>
      <c r="E183" s="8" t="n">
        <f aca="false">D183*$J$5</f>
        <v>6.31578947368421</v>
      </c>
      <c r="F183" s="8" t="n">
        <f aca="false">E183-C183</f>
        <v>2.31578947368421</v>
      </c>
      <c r="G183" s="9" t="n">
        <f aca="false">IF(AND(C183=0,E183=0),0,IF(C183=0,"New",(E183-C183)/C183))</f>
        <v>0.578947368421053</v>
      </c>
      <c r="H183" s="8" t="n">
        <f aca="false">SUMIFS('Source'!$E:$E,'Source'!$A:$A,"157464 מדיקל הצפון ב.מ-חורי",'Source'!$B:$B,$A183)</f>
        <v>207.93</v>
      </c>
      <c r="I183" s="8" t="n">
        <f aca="false">SUMIFS('Source'!$G:$G,'Source'!$A:$A,"157464 מדיקל הצפון ב.מ-חורי",'Source'!$B:$B,$A183)</f>
        <v>259.91</v>
      </c>
      <c r="J183" s="8" t="n">
        <f aca="false">I183*$J$5</f>
        <v>328.307368421053</v>
      </c>
      <c r="K183" s="8" t="n">
        <f aca="false">J183-H183</f>
        <v>120.377368421053</v>
      </c>
      <c r="L183" s="9" t="n">
        <f aca="false">IF(AND(H183=0,J183=0),0,IF(H183=0,"New",(J183-H183)/H183))</f>
        <v>0.578932181123708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465</v>
      </c>
      <c r="B184" s="7" t="str">
        <f aca="false">IFERROR(INDEX('Source'!$C:$C,MATCH($A184,'Source'!$B:$B,0)),"")</f>
        <v>צוארון ספוגי</v>
      </c>
      <c r="C184" s="8" t="n">
        <f aca="false">SUMIFS('Source'!$D:$D,'Source'!$A:$A,"157464 מדיקל הצפון ב.מ-חורי",'Source'!$B:$B,$A184)</f>
        <v>3</v>
      </c>
      <c r="D184" s="8" t="n">
        <f aca="false">SUMIFS('Source'!$F:$F,'Source'!$A:$A,"157464 מדיקל הצפון ב.מ-חורי",'Source'!$B:$B,$A184)</f>
        <v>4</v>
      </c>
      <c r="E184" s="8" t="n">
        <f aca="false">D184*$J$5</f>
        <v>5.05263157894737</v>
      </c>
      <c r="F184" s="8" t="n">
        <f aca="false">E184-C184</f>
        <v>2.05263157894737</v>
      </c>
      <c r="G184" s="9" t="n">
        <f aca="false">IF(AND(C184=0,E184=0),0,IF(C184=0,"New",(E184-C184)/C184))</f>
        <v>0.684210526315789</v>
      </c>
      <c r="H184" s="8" t="n">
        <f aca="false">SUMIFS('Source'!$E:$E,'Source'!$A:$A,"157464 מדיקל הצפון ב.מ-חורי",'Source'!$B:$B,$A184)</f>
        <v>148.9</v>
      </c>
      <c r="I184" s="8" t="n">
        <f aca="false">SUMIFS('Source'!$G:$G,'Source'!$A:$A,"157464 מדיקל הצפון ב.מ-חורי",'Source'!$B:$B,$A184)</f>
        <v>198.54</v>
      </c>
      <c r="J184" s="8" t="n">
        <f aca="false">I184*$J$5</f>
        <v>250.787368421053</v>
      </c>
      <c r="K184" s="8" t="n">
        <f aca="false">J184-H184</f>
        <v>101.887368421053</v>
      </c>
      <c r="L184" s="9" t="n">
        <f aca="false">IF(AND(H184=0,J184=0),0,IF(H184=0,"New",(J184-H184)/H184))</f>
        <v>0.68426708140398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597</v>
      </c>
      <c r="B185" s="7" t="str">
        <f aca="false">IFERROR(INDEX('Source'!$C:$C,MATCH($A185,'Source'!$B:$B,0)),"")</f>
        <v>מגן קרסול סגור</v>
      </c>
      <c r="C185" s="8" t="n">
        <f aca="false">SUMIFS('Source'!$D:$D,'Source'!$A:$A,"157464 מדיקל הצפון ב.מ-חורי",'Source'!$B:$B,$A185)</f>
        <v>1</v>
      </c>
      <c r="D185" s="8" t="n">
        <f aca="false">SUMIFS('Source'!$F:$F,'Source'!$A:$A,"157464 מדיקל הצפון ב.מ-חורי",'Source'!$B:$B,$A185)</f>
        <v>0</v>
      </c>
      <c r="E185" s="8" t="n">
        <f aca="false">D185*$J$5</f>
        <v>0</v>
      </c>
      <c r="F185" s="8" t="n">
        <f aca="false">E185-C185</f>
        <v>-1</v>
      </c>
      <c r="G185" s="9" t="n">
        <f aca="false">IF(AND(C185=0,E185=0),0,IF(C185=0,"New",(E185-C185)/C185))</f>
        <v>-1</v>
      </c>
      <c r="H185" s="8" t="n">
        <f aca="false">SUMIFS('Source'!$E:$E,'Source'!$A:$A,"157464 מדיקל הצפון ב.מ-חורי",'Source'!$B:$B,$A185)</f>
        <v>46.82</v>
      </c>
      <c r="I185" s="8" t="n">
        <f aca="false">SUMIFS('Source'!$G:$G,'Source'!$A:$A,"157464 מדיקל הצפון ב.מ-חורי",'Source'!$B:$B,$A185)</f>
        <v>0</v>
      </c>
      <c r="J185" s="8" t="n">
        <f aca="false">I185*$J$5</f>
        <v>0</v>
      </c>
      <c r="K185" s="8" t="n">
        <f aca="false">J185-H185</f>
        <v>-46.82</v>
      </c>
      <c r="L185" s="9" t="n">
        <f aca="false">IF(AND(H185=0,J185=0),0,IF(H185=0,"New",(J185-H185)/H185))</f>
        <v>-1</v>
      </c>
      <c r="M185" s="7" t="str">
        <f aca="false">IF(AND(OR(C185&lt;&gt;0,H185&lt;&gt;0),D185=0,I185=0),"DROP",IF(AND(OR(D185&lt;&gt;0,I185&lt;&gt;0),C185=0,H185=0),"NEW",""))</f>
        <v>DROP</v>
      </c>
    </row>
    <row r="186" customFormat="false" ht="15" hidden="false" customHeight="false" outlineLevel="0" collapsed="false">
      <c r="A186" s="7" t="s">
        <v>341</v>
      </c>
      <c r="B186" s="7" t="str">
        <f aca="false">IFERROR(INDEX('Source'!$C:$C,MATCH($A186,'Source'!$B:$B,0)),"")</f>
        <v>מגן קרסול סגור</v>
      </c>
      <c r="C186" s="8" t="n">
        <f aca="false">SUMIFS('Source'!$D:$D,'Source'!$A:$A,"157464 מדיקל הצפון ב.מ-חורי",'Source'!$B:$B,$A186)</f>
        <v>1</v>
      </c>
      <c r="D186" s="8" t="n">
        <f aca="false">SUMIFS('Source'!$F:$F,'Source'!$A:$A,"157464 מדיקל הצפון ב.מ-חורי",'Source'!$B:$B,$A186)</f>
        <v>0</v>
      </c>
      <c r="E186" s="8" t="n">
        <f aca="false">D186*$J$5</f>
        <v>0</v>
      </c>
      <c r="F186" s="8" t="n">
        <f aca="false">E186-C186</f>
        <v>-1</v>
      </c>
      <c r="G186" s="9" t="n">
        <f aca="false">IF(AND(C186=0,E186=0),0,IF(C186=0,"New",(E186-C186)/C186))</f>
        <v>-1</v>
      </c>
      <c r="H186" s="8" t="n">
        <f aca="false">SUMIFS('Source'!$E:$E,'Source'!$A:$A,"157464 מדיקל הצפון ב.מ-חורי",'Source'!$B:$B,$A186)</f>
        <v>46.82</v>
      </c>
      <c r="I186" s="8" t="n">
        <f aca="false">SUMIFS('Source'!$G:$G,'Source'!$A:$A,"157464 מדיקל הצפון ב.מ-חורי",'Source'!$B:$B,$A186)</f>
        <v>0</v>
      </c>
      <c r="J186" s="8" t="n">
        <f aca="false">I186*$J$5</f>
        <v>0</v>
      </c>
      <c r="K186" s="8" t="n">
        <f aca="false">J186-H186</f>
        <v>-46.82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567</v>
      </c>
      <c r="B187" s="7" t="str">
        <f aca="false">IFERROR(INDEX('Source'!$C:$C,MATCH($A187,'Source'!$B:$B,0)),"")</f>
        <v>אצבעון מפלסטיק  ליד</v>
      </c>
      <c r="C187" s="8" t="n">
        <f aca="false">SUMIFS('Source'!$D:$D,'Source'!$A:$A,"157464 מדיקל הצפון ב.מ-חורי",'Source'!$B:$B,$A187)</f>
        <v>5</v>
      </c>
      <c r="D187" s="8" t="n">
        <f aca="false">SUMIFS('Source'!$F:$F,'Source'!$A:$A,"157464 מדיקל הצפון ב.מ-חורי",'Source'!$B:$B,$A187)</f>
        <v>7</v>
      </c>
      <c r="E187" s="8" t="n">
        <f aca="false">D187*$J$5</f>
        <v>8.84210526315789</v>
      </c>
      <c r="F187" s="8" t="n">
        <f aca="false">E187-C187</f>
        <v>3.84210526315789</v>
      </c>
      <c r="G187" s="9" t="n">
        <f aca="false">IF(AND(C187=0,E187=0),0,IF(C187=0,"New",(E187-C187)/C187))</f>
        <v>0.768421052631579</v>
      </c>
      <c r="H187" s="8" t="n">
        <f aca="false">SUMIFS('Source'!$E:$E,'Source'!$A:$A,"157464 מדיקל הצפון ב.מ-חורי",'Source'!$B:$B,$A187)</f>
        <v>100.53</v>
      </c>
      <c r="I187" s="8" t="n">
        <f aca="false">SUMIFS('Source'!$G:$G,'Source'!$A:$A,"157464 מדיקל הצפון ב.מ-חורי",'Source'!$B:$B,$A187)</f>
        <v>140.76</v>
      </c>
      <c r="J187" s="8" t="n">
        <f aca="false">I187*$J$5</f>
        <v>177.802105263158</v>
      </c>
      <c r="K187" s="8" t="n">
        <f aca="false">J187-H187</f>
        <v>77.2721052631579</v>
      </c>
      <c r="L187" s="9" t="n">
        <f aca="false">IF(AND(H187=0,J187=0),0,IF(H187=0,"New",(J187-H187)/H187))</f>
        <v>0.768647222353107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654</v>
      </c>
      <c r="B188" s="7" t="str">
        <f aca="false">IFERROR(INDEX('Source'!$C:$C,MATCH($A188,'Source'!$B:$B,0)),"")</f>
        <v>מגן יד</v>
      </c>
      <c r="C188" s="8" t="n">
        <f aca="false">SUMIFS('Source'!$D:$D,'Source'!$A:$A,"157464 מדיקל הצפון ב.מ-חורי",'Source'!$B:$B,$A188)</f>
        <v>4</v>
      </c>
      <c r="D188" s="8" t="n">
        <f aca="false">SUMIFS('Source'!$F:$F,'Source'!$A:$A,"157464 מדיקל הצפון ב.מ-חורי",'Source'!$B:$B,$A188)</f>
        <v>3</v>
      </c>
      <c r="E188" s="8" t="n">
        <f aca="false">D188*$J$5</f>
        <v>3.78947368421053</v>
      </c>
      <c r="F188" s="8" t="n">
        <f aca="false">E188-C188</f>
        <v>-0.210526315789474</v>
      </c>
      <c r="G188" s="9" t="n">
        <f aca="false">IF(AND(C188=0,E188=0),0,IF(C188=0,"New",(E188-C188)/C188))</f>
        <v>-0.0526315789473685</v>
      </c>
      <c r="H188" s="8" t="n">
        <f aca="false">SUMIFS('Source'!$E:$E,'Source'!$A:$A,"157464 מדיקל הצפון ב.מ-חורי",'Source'!$B:$B,$A188)</f>
        <v>159.18</v>
      </c>
      <c r="I188" s="8" t="n">
        <f aca="false">SUMIFS('Source'!$G:$G,'Source'!$A:$A,"157464 מדיקל הצפון ב.מ-חורי",'Source'!$B:$B,$A188)</f>
        <v>119.38</v>
      </c>
      <c r="J188" s="8" t="n">
        <f aca="false">I188*$J$5</f>
        <v>150.795789473684</v>
      </c>
      <c r="K188" s="8" t="n">
        <f aca="false">J188-H188</f>
        <v>-8.3842105263158</v>
      </c>
      <c r="L188" s="9" t="n">
        <f aca="false">IF(AND(H188=0,J188=0),0,IF(H188=0,"New",(J188-H188)/H188))</f>
        <v>-0.0526712559763525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1026</v>
      </c>
      <c r="B189" s="7" t="str">
        <f aca="false">IFERROR(INDEX('Source'!$C:$C,MATCH($A189,'Source'!$B:$B,0)),"")</f>
        <v>מגן יד</v>
      </c>
      <c r="C189" s="8" t="n">
        <f aca="false">SUMIFS('Source'!$D:$D,'Source'!$A:$A,"157464 מדיקל הצפון ב.מ-חורי",'Source'!$B:$B,$A189)</f>
        <v>1</v>
      </c>
      <c r="D189" s="8" t="n">
        <f aca="false">SUMIFS('Source'!$F:$F,'Source'!$A:$A,"157464 מדיקל הצפון ב.מ-חורי",'Source'!$B:$B,$A189)</f>
        <v>0</v>
      </c>
      <c r="E189" s="8" t="n">
        <f aca="false">D189*$J$5</f>
        <v>0</v>
      </c>
      <c r="F189" s="8" t="n">
        <f aca="false">E189-C189</f>
        <v>-1</v>
      </c>
      <c r="G189" s="9" t="n">
        <f aca="false">IF(AND(C189=0,E189=0),0,IF(C189=0,"New",(E189-C189)/C189))</f>
        <v>-1</v>
      </c>
      <c r="H189" s="8" t="n">
        <f aca="false">SUMIFS('Source'!$E:$E,'Source'!$A:$A,"157464 מדיקל הצפון ב.מ-חורי",'Source'!$B:$B,$A189)</f>
        <v>39.79</v>
      </c>
      <c r="I189" s="8" t="n">
        <f aca="false">SUMIFS('Source'!$G:$G,'Source'!$A:$A,"157464 מדיקל הצפון ב.מ-חורי",'Source'!$B:$B,$A189)</f>
        <v>0</v>
      </c>
      <c r="J189" s="8" t="n">
        <f aca="false">I189*$J$5</f>
        <v>0</v>
      </c>
      <c r="K189" s="8" t="n">
        <f aca="false">J189-H189</f>
        <v>-39.79</v>
      </c>
      <c r="L189" s="9" t="n">
        <f aca="false">IF(AND(H189=0,J189=0),0,IF(H189=0,"New",(J189-H189)/H189))</f>
        <v>-1</v>
      </c>
      <c r="M189" s="7" t="str">
        <f aca="false">IF(AND(OR(C189&lt;&gt;0,H189&lt;&gt;0),D189=0,I189=0),"DROP",IF(AND(OR(D189&lt;&gt;0,I189&lt;&gt;0),C189=0,H189=0),"NEW",""))</f>
        <v>DROP</v>
      </c>
    </row>
    <row r="190" customFormat="false" ht="15" hidden="false" customHeight="false" outlineLevel="0" collapsed="false">
      <c r="A190" s="7" t="s">
        <v>1027</v>
      </c>
      <c r="B190" s="7" t="str">
        <f aca="false">IFERROR(INDEX('Source'!$C:$C,MATCH($A190,'Source'!$B:$B,0)),"")</f>
        <v>מגן יד</v>
      </c>
      <c r="C190" s="8" t="n">
        <f aca="false">SUMIFS('Source'!$D:$D,'Source'!$A:$A,"157464 מדיקל הצפון ב.מ-חורי",'Source'!$B:$B,$A190)</f>
        <v>1</v>
      </c>
      <c r="D190" s="8" t="n">
        <f aca="false">SUMIFS('Source'!$F:$F,'Source'!$A:$A,"157464 מדיקל הצפון ב.מ-חורי",'Source'!$B:$B,$A190)</f>
        <v>0</v>
      </c>
      <c r="E190" s="8" t="n">
        <f aca="false">D190*$J$5</f>
        <v>0</v>
      </c>
      <c r="F190" s="8" t="n">
        <f aca="false">E190-C190</f>
        <v>-1</v>
      </c>
      <c r="G190" s="9" t="n">
        <f aca="false">IF(AND(C190=0,E190=0),0,IF(C190=0,"New",(E190-C190)/C190))</f>
        <v>-1</v>
      </c>
      <c r="H190" s="8" t="n">
        <f aca="false">SUMIFS('Source'!$E:$E,'Source'!$A:$A,"157464 מדיקל הצפון ב.מ-חורי",'Source'!$B:$B,$A190)</f>
        <v>39.79</v>
      </c>
      <c r="I190" s="8" t="n">
        <f aca="false">SUMIFS('Source'!$G:$G,'Source'!$A:$A,"157464 מדיקל הצפון ב.מ-חורי",'Source'!$B:$B,$A190)</f>
        <v>0</v>
      </c>
      <c r="J190" s="8" t="n">
        <f aca="false">I190*$J$5</f>
        <v>0</v>
      </c>
      <c r="K190" s="8" t="n">
        <f aca="false">J190-H190</f>
        <v>-39.79</v>
      </c>
      <c r="L190" s="9" t="n">
        <f aca="false">IF(AND(H190=0,J190=0),0,IF(H190=0,"New",(J190-H190)/H190))</f>
        <v>-1</v>
      </c>
      <c r="M190" s="7" t="str">
        <f aca="false">IF(AND(OR(C190&lt;&gt;0,H190&lt;&gt;0),D190=0,I190=0),"DROP",IF(AND(OR(D190&lt;&gt;0,I190&lt;&gt;0),C190=0,H190=0),"NEW",""))</f>
        <v>DROP</v>
      </c>
    </row>
    <row r="191" customFormat="false" ht="15" hidden="false" customHeight="false" outlineLevel="0" collapsed="false">
      <c r="A191" s="7" t="s">
        <v>688</v>
      </c>
      <c r="B191" s="7" t="str">
        <f aca="false">IFERROR(INDEX('Source'!$C:$C,MATCH($A191,'Source'!$B:$B,0)),"")</f>
        <v>מגן ברך ארוך</v>
      </c>
      <c r="C191" s="8" t="n">
        <f aca="false">SUMIFS('Source'!$D:$D,'Source'!$A:$A,"157464 מדיקל הצפון ב.מ-חורי",'Source'!$B:$B,$A191)</f>
        <v>2</v>
      </c>
      <c r="D191" s="8" t="n">
        <f aca="false">SUMIFS('Source'!$F:$F,'Source'!$A:$A,"157464 מדיקל הצפון ב.מ-חורי",'Source'!$B:$B,$A191)</f>
        <v>1</v>
      </c>
      <c r="E191" s="8" t="n">
        <f aca="false">D191*$J$5</f>
        <v>1.26315789473684</v>
      </c>
      <c r="F191" s="8" t="n">
        <f aca="false">E191-C191</f>
        <v>-0.736842105263158</v>
      </c>
      <c r="G191" s="9" t="n">
        <f aca="false">IF(AND(C191=0,E191=0),0,IF(C191=0,"New",(E191-C191)/C191))</f>
        <v>-0.368421052631579</v>
      </c>
      <c r="H191" s="8" t="n">
        <f aca="false">SUMIFS('Source'!$E:$E,'Source'!$A:$A,"157464 מדיקל הצפון ב.מ-חורי",'Source'!$B:$B,$A191)</f>
        <v>74.91</v>
      </c>
      <c r="I191" s="8" t="n">
        <f aca="false">SUMIFS('Source'!$G:$G,'Source'!$A:$A,"157464 מדיקל הצפון ב.מ-חורי",'Source'!$B:$B,$A191)</f>
        <v>37.45</v>
      </c>
      <c r="J191" s="8" t="n">
        <f aca="false">I191*$J$5</f>
        <v>47.3052631578947</v>
      </c>
      <c r="K191" s="8" t="n">
        <f aca="false">J191-H191</f>
        <v>-27.6047368421053</v>
      </c>
      <c r="L191" s="9" t="n">
        <f aca="false">IF(AND(H191=0,J191=0),0,IF(H191=0,"New",(J191-H191)/H191))</f>
        <v>-0.368505364331935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572</v>
      </c>
      <c r="B192" s="7" t="str">
        <f aca="false">IFERROR(INDEX('Source'!$C:$C,MATCH($A192,'Source'!$B:$B,0)),"")</f>
        <v>מגן ברך רגיל</v>
      </c>
      <c r="C192" s="8" t="n">
        <f aca="false">SUMIFS('Source'!$D:$D,'Source'!$A:$A,"157464 מדיקל הצפון ב.מ-חורי",'Source'!$B:$B,$A192)</f>
        <v>2</v>
      </c>
      <c r="D192" s="8" t="n">
        <f aca="false">SUMIFS('Source'!$F:$F,'Source'!$A:$A,"157464 מדיקל הצפון ב.מ-חורי",'Source'!$B:$B,$A192)</f>
        <v>1</v>
      </c>
      <c r="E192" s="8" t="n">
        <f aca="false">D192*$J$5</f>
        <v>1.26315789473684</v>
      </c>
      <c r="F192" s="8" t="n">
        <f aca="false">E192-C192</f>
        <v>-0.736842105263158</v>
      </c>
      <c r="G192" s="9" t="n">
        <f aca="false">IF(AND(C192=0,E192=0),0,IF(C192=0,"New",(E192-C192)/C192))</f>
        <v>-0.368421052631579</v>
      </c>
      <c r="H192" s="8" t="n">
        <f aca="false">SUMIFS('Source'!$E:$E,'Source'!$A:$A,"157464 מדיקל הצפון ב.מ-חורי",'Source'!$B:$B,$A192)</f>
        <v>61.78</v>
      </c>
      <c r="I192" s="8" t="n">
        <f aca="false">SUMIFS('Source'!$G:$G,'Source'!$A:$A,"157464 מדיקל הצפון ב.מ-חורי",'Source'!$B:$B,$A192)</f>
        <v>30.89</v>
      </c>
      <c r="J192" s="8" t="n">
        <f aca="false">I192*$J$5</f>
        <v>39.0189473684211</v>
      </c>
      <c r="K192" s="8" t="n">
        <f aca="false">J192-H192</f>
        <v>-22.761052631579</v>
      </c>
      <c r="L192" s="9" t="n">
        <f aca="false">IF(AND(H192=0,J192=0),0,IF(H192=0,"New",(J192-H192)/H192))</f>
        <v>-0.368421052631579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702</v>
      </c>
      <c r="B193" s="7" t="str">
        <f aca="false">IFERROR(INDEX('Source'!$C:$C,MATCH($A193,'Source'!$B:$B,0)),"")</f>
        <v>מגן קרסול חום</v>
      </c>
      <c r="C193" s="8" t="n">
        <f aca="false">SUMIFS('Source'!$D:$D,'Source'!$A:$A,"157464 מדיקל הצפון ב.מ-חורי",'Source'!$B:$B,$A193)</f>
        <v>2</v>
      </c>
      <c r="D193" s="8" t="n">
        <f aca="false">SUMIFS('Source'!$F:$F,'Source'!$A:$A,"157464 מדיקל הצפון ב.מ-חורי",'Source'!$B:$B,$A193)</f>
        <v>1</v>
      </c>
      <c r="E193" s="8" t="n">
        <f aca="false">D193*$J$5</f>
        <v>1.26315789473684</v>
      </c>
      <c r="F193" s="8" t="n">
        <f aca="false">E193-C193</f>
        <v>-0.736842105263158</v>
      </c>
      <c r="G193" s="9" t="n">
        <f aca="false">IF(AND(C193=0,E193=0),0,IF(C193=0,"New",(E193-C193)/C193))</f>
        <v>-0.368421052631579</v>
      </c>
      <c r="H193" s="8" t="n">
        <f aca="false">SUMIFS('Source'!$E:$E,'Source'!$A:$A,"157464 מדיקל הצפון ב.מ-חורי",'Source'!$B:$B,$A193)</f>
        <v>61.78</v>
      </c>
      <c r="I193" s="8" t="n">
        <f aca="false">SUMIFS('Source'!$G:$G,'Source'!$A:$A,"157464 מדיקל הצפון ב.מ-חורי",'Source'!$B:$B,$A193)</f>
        <v>30.89</v>
      </c>
      <c r="J193" s="8" t="n">
        <f aca="false">I193*$J$5</f>
        <v>39.0189473684211</v>
      </c>
      <c r="K193" s="8" t="n">
        <f aca="false">J193-H193</f>
        <v>-22.761052631579</v>
      </c>
      <c r="L193" s="9" t="n">
        <f aca="false">IF(AND(H193=0,J193=0),0,IF(H193=0,"New",(J193-H193)/H193))</f>
        <v>-0.368421052631579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749</v>
      </c>
      <c r="B194" s="7" t="str">
        <f aca="false">IFERROR(INDEX('Source'!$C:$C,MATCH($A194,'Source'!$B:$B,0)),"")</f>
        <v>מגן מרפק</v>
      </c>
      <c r="C194" s="8" t="n">
        <f aca="false">SUMIFS('Source'!$D:$D,'Source'!$A:$A,"157464 מדיקל הצפון ב.מ-חורי",'Source'!$B:$B,$A194)</f>
        <v>1</v>
      </c>
      <c r="D194" s="8" t="n">
        <f aca="false">SUMIFS('Source'!$F:$F,'Source'!$A:$A,"157464 מדיקל הצפון ב.מ-חורי",'Source'!$B:$B,$A194)</f>
        <v>0</v>
      </c>
      <c r="E194" s="8" t="n">
        <f aca="false">D194*$J$5</f>
        <v>0</v>
      </c>
      <c r="F194" s="8" t="n">
        <f aca="false">E194-C194</f>
        <v>-1</v>
      </c>
      <c r="G194" s="9" t="n">
        <f aca="false">IF(AND(C194=0,E194=0),0,IF(C194=0,"New",(E194-C194)/C194))</f>
        <v>-1</v>
      </c>
      <c r="H194" s="8" t="n">
        <f aca="false">SUMIFS('Source'!$E:$E,'Source'!$A:$A,"157464 מדיקל הצפון ב.מ-חורי",'Source'!$B:$B,$A194)</f>
        <v>30.89</v>
      </c>
      <c r="I194" s="8" t="n">
        <f aca="false">SUMIFS('Source'!$G:$G,'Source'!$A:$A,"157464 מדיקל הצפון ב.מ-חורי",'Source'!$B:$B,$A194)</f>
        <v>0</v>
      </c>
      <c r="J194" s="8" t="n">
        <f aca="false">I194*$J$5</f>
        <v>0</v>
      </c>
      <c r="K194" s="8" t="n">
        <f aca="false">J194-H194</f>
        <v>-30.89</v>
      </c>
      <c r="L194" s="9" t="n">
        <f aca="false">IF(AND(H194=0,J194=0),0,IF(H194=0,"New",(J194-H194)/H194))</f>
        <v>-1</v>
      </c>
      <c r="M194" s="7" t="str">
        <f aca="false">IF(AND(OR(C194&lt;&gt;0,H194&lt;&gt;0),D194=0,I194=0),"DROP",IF(AND(OR(D194&lt;&gt;0,I194&lt;&gt;0),C194=0,H194=0),"NEW",""))</f>
        <v>DROP</v>
      </c>
    </row>
    <row r="195" customFormat="false" ht="15" hidden="false" customHeight="false" outlineLevel="0" collapsed="false">
      <c r="A195" s="7" t="s">
        <v>522</v>
      </c>
      <c r="B195" s="7" t="str">
        <f aca="false">IFERROR(INDEX('Source'!$C:$C,MATCH($A195,'Source'!$B:$B,0)),"")</f>
        <v>מגן קרסול פתוח</v>
      </c>
      <c r="C195" s="8" t="n">
        <f aca="false">SUMIFS('Source'!$D:$D,'Source'!$A:$A,"157464 מדיקל הצפון ב.מ-חורי",'Source'!$B:$B,$A195)</f>
        <v>2</v>
      </c>
      <c r="D195" s="8" t="n">
        <f aca="false">SUMIFS('Source'!$F:$F,'Source'!$A:$A,"157464 מדיקל הצפון ב.מ-חורי",'Source'!$B:$B,$A195)</f>
        <v>1</v>
      </c>
      <c r="E195" s="8" t="n">
        <f aca="false">D195*$J$5</f>
        <v>1.26315789473684</v>
      </c>
      <c r="F195" s="8" t="n">
        <f aca="false">E195-C195</f>
        <v>-0.736842105263158</v>
      </c>
      <c r="G195" s="9" t="n">
        <f aca="false">IF(AND(C195=0,E195=0),0,IF(C195=0,"New",(E195-C195)/C195))</f>
        <v>-0.368421052631579</v>
      </c>
      <c r="H195" s="8" t="n">
        <f aca="false">SUMIFS('Source'!$E:$E,'Source'!$A:$A,"157464 מדיקל הצפון ב.מ-חורי",'Source'!$B:$B,$A195)</f>
        <v>61.78</v>
      </c>
      <c r="I195" s="8" t="n">
        <f aca="false">SUMIFS('Source'!$G:$G,'Source'!$A:$A,"157464 מדיקל הצפון ב.מ-חורי",'Source'!$B:$B,$A195)</f>
        <v>30.89</v>
      </c>
      <c r="J195" s="8" t="n">
        <f aca="false">I195*$J$5</f>
        <v>39.0189473684211</v>
      </c>
      <c r="K195" s="8" t="n">
        <f aca="false">J195-H195</f>
        <v>-22.761052631579</v>
      </c>
      <c r="L195" s="9" t="n">
        <f aca="false">IF(AND(H195=0,J195=0),0,IF(H195=0,"New",(J195-H195)/H195))</f>
        <v>-0.368421052631579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512</v>
      </c>
      <c r="B196" s="7" t="str">
        <f aca="false">IFERROR(INDEX('Source'!$C:$C,MATCH($A196,'Source'!$B:$B,0)),"")</f>
        <v>מגן קרסול פתוח</v>
      </c>
      <c r="C196" s="8" t="n">
        <f aca="false">SUMIFS('Source'!$D:$D,'Source'!$A:$A,"157464 מדיקל הצפון ב.מ-חורי",'Source'!$B:$B,$A196)</f>
        <v>2</v>
      </c>
      <c r="D196" s="8" t="n">
        <f aca="false">SUMIFS('Source'!$F:$F,'Source'!$A:$A,"157464 מדיקל הצפון ב.מ-חורי",'Source'!$B:$B,$A196)</f>
        <v>1</v>
      </c>
      <c r="E196" s="8" t="n">
        <f aca="false">D196*$J$5</f>
        <v>1.26315789473684</v>
      </c>
      <c r="F196" s="8" t="n">
        <f aca="false">E196-C196</f>
        <v>-0.736842105263158</v>
      </c>
      <c r="G196" s="9" t="n">
        <f aca="false">IF(AND(C196=0,E196=0),0,IF(C196=0,"New",(E196-C196)/C196))</f>
        <v>-0.368421052631579</v>
      </c>
      <c r="H196" s="8" t="n">
        <f aca="false">SUMIFS('Source'!$E:$E,'Source'!$A:$A,"157464 מדיקל הצפון ב.מ-חורי",'Source'!$B:$B,$A196)</f>
        <v>61.78</v>
      </c>
      <c r="I196" s="8" t="n">
        <f aca="false">SUMIFS('Source'!$G:$G,'Source'!$A:$A,"157464 מדיקל הצפון ב.מ-חורי",'Source'!$B:$B,$A196)</f>
        <v>30.89</v>
      </c>
      <c r="J196" s="8" t="n">
        <f aca="false">I196*$J$5</f>
        <v>39.0189473684211</v>
      </c>
      <c r="K196" s="8" t="n">
        <f aca="false">J196-H196</f>
        <v>-22.761052631579</v>
      </c>
      <c r="L196" s="9" t="n">
        <f aca="false">IF(AND(H196=0,J196=0),0,IF(H196=0,"New",(J196-H196)/H196))</f>
        <v>-0.368421052631579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727</v>
      </c>
      <c r="B197" s="7" t="str">
        <f aca="false">IFERROR(INDEX('Source'!$C:$C,MATCH($A197,'Source'!$B:$B,0)),"")</f>
        <v>מגן מרפק</v>
      </c>
      <c r="C197" s="8" t="n">
        <f aca="false">SUMIFS('Source'!$D:$D,'Source'!$A:$A,"157464 מדיקל הצפון ב.מ-חורי",'Source'!$B:$B,$A197)</f>
        <v>1</v>
      </c>
      <c r="D197" s="8" t="n">
        <f aca="false">SUMIFS('Source'!$F:$F,'Source'!$A:$A,"157464 מדיקל הצפון ב.מ-חורי",'Source'!$B:$B,$A197)</f>
        <v>0</v>
      </c>
      <c r="E197" s="8" t="n">
        <f aca="false">D197*$J$5</f>
        <v>0</v>
      </c>
      <c r="F197" s="8" t="n">
        <f aca="false">E197-C197</f>
        <v>-1</v>
      </c>
      <c r="G197" s="9" t="n">
        <f aca="false">IF(AND(C197=0,E197=0),0,IF(C197=0,"New",(E197-C197)/C197))</f>
        <v>-1</v>
      </c>
      <c r="H197" s="8" t="n">
        <f aca="false">SUMIFS('Source'!$E:$E,'Source'!$A:$A,"157464 מדיקל הצפון ב.מ-חורי",'Source'!$B:$B,$A197)</f>
        <v>30.89</v>
      </c>
      <c r="I197" s="8" t="n">
        <f aca="false">SUMIFS('Source'!$G:$G,'Source'!$A:$A,"157464 מדיקל הצפון ב.מ-חורי",'Source'!$B:$B,$A197)</f>
        <v>0</v>
      </c>
      <c r="J197" s="8" t="n">
        <f aca="false">I197*$J$5</f>
        <v>0</v>
      </c>
      <c r="K197" s="8" t="n">
        <f aca="false">J197-H197</f>
        <v>-30.89</v>
      </c>
      <c r="L197" s="9" t="n">
        <f aca="false">IF(AND(H197=0,J197=0),0,IF(H197=0,"New",(J197-H197)/H197))</f>
        <v>-1</v>
      </c>
      <c r="M197" s="7" t="str">
        <f aca="false">IF(AND(OR(C197&lt;&gt;0,H197&lt;&gt;0),D197=0,I197=0),"DROP",IF(AND(OR(D197&lt;&gt;0,I197&lt;&gt;0),C197=0,H197=0),"NEW",""))</f>
        <v>DROP</v>
      </c>
    </row>
    <row r="198" customFormat="false" ht="15" hidden="false" customHeight="false" outlineLevel="0" collapsed="false">
      <c r="A198" s="7" t="s">
        <v>802</v>
      </c>
      <c r="B198" s="7" t="str">
        <f aca="false">IFERROR(INDEX('Source'!$C:$C,MATCH($A198,'Source'!$B:$B,0)),"")</f>
        <v>מגן קרסול שחור</v>
      </c>
      <c r="C198" s="8" t="n">
        <f aca="false">SUMIFS('Source'!$D:$D,'Source'!$A:$A,"157464 מדיקל הצפון ב.מ-חורי",'Source'!$B:$B,$A198)</f>
        <v>1</v>
      </c>
      <c r="D198" s="8" t="n">
        <f aca="false">SUMIFS('Source'!$F:$F,'Source'!$A:$A,"157464 מדיקל הצפון ב.מ-חורי",'Source'!$B:$B,$A198)</f>
        <v>0</v>
      </c>
      <c r="E198" s="8" t="n">
        <f aca="false">D198*$J$5</f>
        <v>0</v>
      </c>
      <c r="F198" s="8" t="n">
        <f aca="false">E198-C198</f>
        <v>-1</v>
      </c>
      <c r="G198" s="9" t="n">
        <f aca="false">IF(AND(C198=0,E198=0),0,IF(C198=0,"New",(E198-C198)/C198))</f>
        <v>-1</v>
      </c>
      <c r="H198" s="8" t="n">
        <f aca="false">SUMIFS('Source'!$E:$E,'Source'!$A:$A,"157464 מדיקל הצפון ב.מ-חורי",'Source'!$B:$B,$A198)</f>
        <v>19</v>
      </c>
      <c r="I198" s="8" t="n">
        <f aca="false">SUMIFS('Source'!$G:$G,'Source'!$A:$A,"157464 מדיקל הצפון ב.מ-חורי",'Source'!$B:$B,$A198)</f>
        <v>0</v>
      </c>
      <c r="J198" s="8" t="n">
        <f aca="false">I198*$J$5</f>
        <v>0</v>
      </c>
      <c r="K198" s="8" t="n">
        <f aca="false">J198-H198</f>
        <v>-19</v>
      </c>
      <c r="L198" s="9" t="n">
        <f aca="false">IF(AND(H198=0,J198=0),0,IF(H198=0,"New",(J198-H198)/H198))</f>
        <v>-1</v>
      </c>
      <c r="M198" s="7" t="str">
        <f aca="false">IF(AND(OR(C198&lt;&gt;0,H198&lt;&gt;0),D198=0,I198=0),"DROP",IF(AND(OR(D198&lt;&gt;0,I198&lt;&gt;0),C198=0,H198=0),"NEW",""))</f>
        <v>DROP</v>
      </c>
    </row>
    <row r="199" customFormat="false" ht="15" hidden="false" customHeight="false" outlineLevel="0" collapsed="false">
      <c r="A199" s="7" t="s">
        <v>464</v>
      </c>
      <c r="B199" s="7" t="str">
        <f aca="false">IFERROR(INDEX('Source'!$C:$C,MATCH($A199,'Source'!$B:$B,0)),"")</f>
        <v>מגן קרסול שחור</v>
      </c>
      <c r="C199" s="8" t="n">
        <f aca="false">SUMIFS('Source'!$D:$D,'Source'!$A:$A,"157464 מדיקל הצפון ב.מ-חורי",'Source'!$B:$B,$A199)</f>
        <v>1</v>
      </c>
      <c r="D199" s="8" t="n">
        <f aca="false">SUMIFS('Source'!$F:$F,'Source'!$A:$A,"157464 מדיקל הצפון ב.מ-חורי",'Source'!$B:$B,$A199)</f>
        <v>0</v>
      </c>
      <c r="E199" s="8" t="n">
        <f aca="false">D199*$J$5</f>
        <v>0</v>
      </c>
      <c r="F199" s="8" t="n">
        <f aca="false">E199-C199</f>
        <v>-1</v>
      </c>
      <c r="G199" s="9" t="n">
        <f aca="false">IF(AND(C199=0,E199=0),0,IF(C199=0,"New",(E199-C199)/C199))</f>
        <v>-1</v>
      </c>
      <c r="H199" s="8" t="n">
        <f aca="false">SUMIFS('Source'!$E:$E,'Source'!$A:$A,"157464 מדיקל הצפון ב.מ-חורי",'Source'!$B:$B,$A199)</f>
        <v>19</v>
      </c>
      <c r="I199" s="8" t="n">
        <f aca="false">SUMIFS('Source'!$G:$G,'Source'!$A:$A,"157464 מדיקל הצפון ב.מ-חורי",'Source'!$B:$B,$A199)</f>
        <v>0</v>
      </c>
      <c r="J199" s="8" t="n">
        <f aca="false">I199*$J$5</f>
        <v>0</v>
      </c>
      <c r="K199" s="8" t="n">
        <f aca="false">J199-H199</f>
        <v>-19</v>
      </c>
      <c r="L199" s="9" t="n">
        <f aca="false">IF(AND(H199=0,J199=0),0,IF(H199=0,"New",(J199-H199)/H199))</f>
        <v>-1</v>
      </c>
      <c r="M199" s="7" t="str">
        <f aca="false">IF(AND(OR(C199&lt;&gt;0,H199&lt;&gt;0),D199=0,I199=0),"DROP",IF(AND(OR(D199&lt;&gt;0,I199&lt;&gt;0),C199=0,H199=0),"NEW",""))</f>
        <v>DROP</v>
      </c>
    </row>
    <row r="200" customFormat="false" ht="15" hidden="false" customHeight="false" outlineLevel="0" collapsed="false">
      <c r="A200" s="7" t="s">
        <v>710</v>
      </c>
      <c r="B200" s="7" t="str">
        <f aca="false">IFERROR(INDEX('Source'!$C:$C,MATCH($A200,'Source'!$B:$B,0)),"")</f>
        <v>מגן קרסול שחור</v>
      </c>
      <c r="C200" s="8" t="n">
        <f aca="false">SUMIFS('Source'!$D:$D,'Source'!$A:$A,"157464 מדיקל הצפון ב.מ-חורי",'Source'!$B:$B,$A200)</f>
        <v>1</v>
      </c>
      <c r="D200" s="8" t="n">
        <f aca="false">SUMIFS('Source'!$F:$F,'Source'!$A:$A,"157464 מדיקל הצפון ב.מ-חורי",'Source'!$B:$B,$A200)</f>
        <v>0</v>
      </c>
      <c r="E200" s="8" t="n">
        <f aca="false">D200*$J$5</f>
        <v>0</v>
      </c>
      <c r="F200" s="8" t="n">
        <f aca="false">E200-C200</f>
        <v>-1</v>
      </c>
      <c r="G200" s="9" t="n">
        <f aca="false">IF(AND(C200=0,E200=0),0,IF(C200=0,"New",(E200-C200)/C200))</f>
        <v>-1</v>
      </c>
      <c r="H200" s="8" t="n">
        <f aca="false">SUMIFS('Source'!$E:$E,'Source'!$A:$A,"157464 מדיקל הצפון ב.מ-חורי",'Source'!$B:$B,$A200)</f>
        <v>19</v>
      </c>
      <c r="I200" s="8" t="n">
        <f aca="false">SUMIFS('Source'!$G:$G,'Source'!$A:$A,"157464 מדיקל הצפון ב.מ-חורי",'Source'!$B:$B,$A200)</f>
        <v>0</v>
      </c>
      <c r="J200" s="8" t="n">
        <f aca="false">I200*$J$5</f>
        <v>0</v>
      </c>
      <c r="K200" s="8" t="n">
        <f aca="false">J200-H200</f>
        <v>-19</v>
      </c>
      <c r="L200" s="9" t="n">
        <f aca="false">IF(AND(H200=0,J200=0),0,IF(H200=0,"New",(J200-H200)/H200))</f>
        <v>-1</v>
      </c>
      <c r="M200" s="7" t="str">
        <f aca="false">IF(AND(OR(C200&lt;&gt;0,H200&lt;&gt;0),D200=0,I200=0),"DROP",IF(AND(OR(D200&lt;&gt;0,I200&lt;&gt;0),C200=0,H200=0),"NEW",""))</f>
        <v>DROP</v>
      </c>
    </row>
    <row r="201" customFormat="false" ht="15" hidden="false" customHeight="false" outlineLevel="0" collapsed="false">
      <c r="A201" s="7" t="s">
        <v>704</v>
      </c>
      <c r="B201" s="7" t="str">
        <f aca="false">IFERROR(INDEX('Source'!$C:$C,MATCH($A201,'Source'!$B:$B,0)),"")</f>
        <v>מגן קרסול שחור</v>
      </c>
      <c r="C201" s="8" t="n">
        <f aca="false">SUMIFS('Source'!$D:$D,'Source'!$A:$A,"157464 מדיקל הצפון ב.מ-חורי",'Source'!$B:$B,$A201)</f>
        <v>1</v>
      </c>
      <c r="D201" s="8" t="n">
        <f aca="false">SUMIFS('Source'!$F:$F,'Source'!$A:$A,"157464 מדיקל הצפון ב.מ-חורי",'Source'!$B:$B,$A201)</f>
        <v>0</v>
      </c>
      <c r="E201" s="8" t="n">
        <f aca="false">D201*$J$5</f>
        <v>0</v>
      </c>
      <c r="F201" s="8" t="n">
        <f aca="false">E201-C201</f>
        <v>-1</v>
      </c>
      <c r="G201" s="9" t="n">
        <f aca="false">IF(AND(C201=0,E201=0),0,IF(C201=0,"New",(E201-C201)/C201))</f>
        <v>-1</v>
      </c>
      <c r="H201" s="8" t="n">
        <f aca="false">SUMIFS('Source'!$E:$E,'Source'!$A:$A,"157464 מדיקל הצפון ב.מ-חורי",'Source'!$B:$B,$A201)</f>
        <v>19</v>
      </c>
      <c r="I201" s="8" t="n">
        <f aca="false">SUMIFS('Source'!$G:$G,'Source'!$A:$A,"157464 מדיקל הצפון ב.מ-חורי",'Source'!$B:$B,$A201)</f>
        <v>0</v>
      </c>
      <c r="J201" s="8" t="n">
        <f aca="false">I201*$J$5</f>
        <v>0</v>
      </c>
      <c r="K201" s="8" t="n">
        <f aca="false">J201-H201</f>
        <v>-19</v>
      </c>
      <c r="L201" s="9" t="n">
        <f aca="false">IF(AND(H201=0,J201=0),0,IF(H201=0,"New",(J201-H201)/H201))</f>
        <v>-1</v>
      </c>
      <c r="M201" s="7" t="str">
        <f aca="false">IF(AND(OR(C201&lt;&gt;0,H201&lt;&gt;0),D201=0,I201=0),"DROP",IF(AND(OR(D201&lt;&gt;0,I201&lt;&gt;0),C201=0,H201=0),"NEW",""))</f>
        <v>DROP</v>
      </c>
    </row>
    <row r="202" customFormat="false" ht="15" hidden="false" customHeight="false" outlineLevel="0" collapsed="false">
      <c r="A202" s="7" t="s">
        <v>343</v>
      </c>
      <c r="B202" s="7" t="str">
        <f aca="false">IFERROR(INDEX('Source'!$C:$C,MATCH($A202,'Source'!$B:$B,0)),"")</f>
        <v>מגן קרסול שחור</v>
      </c>
      <c r="C202" s="8" t="n">
        <f aca="false">SUMIFS('Source'!$D:$D,'Source'!$A:$A,"157464 מדיקל הצפון ב.מ-חורי",'Source'!$B:$B,$A202)</f>
        <v>1</v>
      </c>
      <c r="D202" s="8" t="n">
        <f aca="false">SUMIFS('Source'!$F:$F,'Source'!$A:$A,"157464 מדיקל הצפון ב.מ-חורי",'Source'!$B:$B,$A202)</f>
        <v>0</v>
      </c>
      <c r="E202" s="8" t="n">
        <f aca="false">D202*$J$5</f>
        <v>0</v>
      </c>
      <c r="F202" s="8" t="n">
        <f aca="false">E202-C202</f>
        <v>-1</v>
      </c>
      <c r="G202" s="9" t="n">
        <f aca="false">IF(AND(C202=0,E202=0),0,IF(C202=0,"New",(E202-C202)/C202))</f>
        <v>-1</v>
      </c>
      <c r="H202" s="8" t="n">
        <f aca="false">SUMIFS('Source'!$E:$E,'Source'!$A:$A,"157464 מדיקל הצפון ב.מ-חורי",'Source'!$B:$B,$A202)</f>
        <v>19</v>
      </c>
      <c r="I202" s="8" t="n">
        <f aca="false">SUMIFS('Source'!$G:$G,'Source'!$A:$A,"157464 מדיקל הצפון ב.מ-חורי",'Source'!$B:$B,$A202)</f>
        <v>0</v>
      </c>
      <c r="J202" s="8" t="n">
        <f aca="false">I202*$J$5</f>
        <v>0</v>
      </c>
      <c r="K202" s="8" t="n">
        <f aca="false">J202-H202</f>
        <v>-19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381</v>
      </c>
      <c r="B203" s="7" t="str">
        <f aca="false">IFERROR(INDEX('Source'!$C:$C,MATCH($A203,'Source'!$B:$B,0)),"")</f>
        <v>חבק יד מתכוון</v>
      </c>
      <c r="C203" s="8" t="n">
        <f aca="false">SUMIFS('Source'!$D:$D,'Source'!$A:$A,"157464 מדיקל הצפון ב.מ-חורי",'Source'!$B:$B,$A203)</f>
        <v>1</v>
      </c>
      <c r="D203" s="8" t="n">
        <f aca="false">SUMIFS('Source'!$F:$F,'Source'!$A:$A,"157464 מדיקל הצפון ב.מ-חורי",'Source'!$B:$B,$A203)</f>
        <v>1</v>
      </c>
      <c r="E203" s="8" t="n">
        <f aca="false">D203*$J$5</f>
        <v>1.26315789473684</v>
      </c>
      <c r="F203" s="8" t="n">
        <f aca="false">E203-C203</f>
        <v>0.263157894736842</v>
      </c>
      <c r="G203" s="9" t="n">
        <f aca="false">IF(AND(C203=0,E203=0),0,IF(C203=0,"New",(E203-C203)/C203))</f>
        <v>0.263157894736842</v>
      </c>
      <c r="H203" s="8" t="n">
        <f aca="false">SUMIFS('Source'!$E:$E,'Source'!$A:$A,"157464 מדיקל הצפון ב.מ-חורי",'Source'!$B:$B,$A203)</f>
        <v>33.28</v>
      </c>
      <c r="I203" s="8" t="n">
        <f aca="false">SUMIFS('Source'!$G:$G,'Source'!$A:$A,"157464 מדיקל הצפון ב.מ-חורי",'Source'!$B:$B,$A203)</f>
        <v>33.23</v>
      </c>
      <c r="J203" s="8" t="n">
        <f aca="false">I203*$J$5</f>
        <v>41.9747368421053</v>
      </c>
      <c r="K203" s="8" t="n">
        <f aca="false">J203-H203</f>
        <v>8.69473684210526</v>
      </c>
      <c r="L203" s="9" t="n">
        <f aca="false">IF(AND(H203=0,J203=0),0,IF(H203=0,"New",(J203-H203)/H203))</f>
        <v>0.26126012145749</v>
      </c>
      <c r="M203" s="7" t="str">
        <f aca="false">IF(AND(OR(C203&lt;&gt;0,H203&lt;&gt;0),D203=0,I203=0),"DROP",IF(AND(OR(D203&lt;&gt;0,I203&lt;&gt;0),C203=0,H203=0),"NEW",""))</f>
        <v/>
      </c>
    </row>
    <row r="204" customFormat="false" ht="15" hidden="false" customHeight="false" outlineLevel="0" collapsed="false">
      <c r="A204" s="7" t="s">
        <v>161</v>
      </c>
      <c r="B204" s="7" t="str">
        <f aca="false">IFERROR(INDEX('Source'!$C:$C,MATCH($A204,'Source'!$B:$B,0)),"")</f>
        <v>סד לתמיכה פרק כף יד ואגודל</v>
      </c>
      <c r="C204" s="8" t="n">
        <f aca="false">SUMIFS('Source'!$D:$D,'Source'!$A:$A,"157464 מדיקל הצפון ב.מ-חורי",'Source'!$B:$B,$A204)</f>
        <v>8</v>
      </c>
      <c r="D204" s="8" t="n">
        <f aca="false">SUMIFS('Source'!$F:$F,'Source'!$A:$A,"157464 מדיקל הצפון ב.מ-חורי",'Source'!$B:$B,$A204)</f>
        <v>8</v>
      </c>
      <c r="E204" s="8" t="n">
        <f aca="false">D204*$J$5</f>
        <v>10.1052631578947</v>
      </c>
      <c r="F204" s="8" t="n">
        <f aca="false">E204-C204</f>
        <v>2.10526315789474</v>
      </c>
      <c r="G204" s="9" t="n">
        <f aca="false">IF(AND(C204=0,E204=0),0,IF(C204=0,"New",(E204-C204)/C204))</f>
        <v>0.263157894736842</v>
      </c>
      <c r="H204" s="8" t="n">
        <f aca="false">SUMIFS('Source'!$E:$E,'Source'!$A:$A,"157464 מדיקל הצפון ב.מ-חורי",'Source'!$B:$B,$A204)</f>
        <v>600</v>
      </c>
      <c r="I204" s="8" t="n">
        <f aca="false">SUMIFS('Source'!$G:$G,'Source'!$A:$A,"157464 מדיקל הצפון ב.מ-חורי",'Source'!$B:$B,$A204)</f>
        <v>600.02</v>
      </c>
      <c r="J204" s="8" t="n">
        <f aca="false">I204*$J$5</f>
        <v>757.92</v>
      </c>
      <c r="K204" s="8" t="n">
        <f aca="false">J204-H204</f>
        <v>157.92</v>
      </c>
      <c r="L204" s="9" t="n">
        <f aca="false">IF(AND(H204=0,J204=0),0,IF(H204=0,"New",(J204-H204)/H204))</f>
        <v>0.2632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775</v>
      </c>
      <c r="B205" s="7" t="str">
        <f aca="false">IFERROR(INDEX('Source'!$C:$C,MATCH($A205,'Source'!$B:$B,0)),"")</f>
        <v>מגן מרפק</v>
      </c>
      <c r="C205" s="8" t="n">
        <f aca="false">SUMIFS('Source'!$D:$D,'Source'!$A:$A,"157464 מדיקל הצפון ב.מ-חורי",'Source'!$B:$B,$A205)</f>
        <v>5</v>
      </c>
      <c r="D205" s="8" t="n">
        <f aca="false">SUMIFS('Source'!$F:$F,'Source'!$A:$A,"157464 מדיקל הצפון ב.מ-חורי",'Source'!$B:$B,$A205)</f>
        <v>5</v>
      </c>
      <c r="E205" s="8" t="n">
        <f aca="false">D205*$J$5</f>
        <v>6.31578947368421</v>
      </c>
      <c r="F205" s="8" t="n">
        <f aca="false">E205-C205</f>
        <v>1.31578947368421</v>
      </c>
      <c r="G205" s="9" t="n">
        <f aca="false">IF(AND(C205=0,E205=0),0,IF(C205=0,"New",(E205-C205)/C205))</f>
        <v>0.263157894736842</v>
      </c>
      <c r="H205" s="8" t="n">
        <f aca="false">SUMIFS('Source'!$E:$E,'Source'!$A:$A,"157464 מדיקל הצפון ב.מ-חורי",'Source'!$B:$B,$A205)</f>
        <v>154.47</v>
      </c>
      <c r="I205" s="8" t="n">
        <f aca="false">SUMIFS('Source'!$G:$G,'Source'!$A:$A,"157464 מדיקל הצפון ב.מ-חורי",'Source'!$B:$B,$A205)</f>
        <v>154.46</v>
      </c>
      <c r="J205" s="8" t="n">
        <f aca="false">I205*$J$5</f>
        <v>195.107368421053</v>
      </c>
      <c r="K205" s="8" t="n">
        <f aca="false">J205-H205</f>
        <v>40.6373684210526</v>
      </c>
      <c r="L205" s="9" t="n">
        <f aca="false">IF(AND(H205=0,J205=0),0,IF(H205=0,"New",(J205-H205)/H205))</f>
        <v>0.26307612106592</v>
      </c>
      <c r="M205" s="7" t="str">
        <f aca="false">IF(AND(OR(C205&lt;&gt;0,H205&lt;&gt;0),D205=0,I205=0),"DROP",IF(AND(OR(D205&lt;&gt;0,I205&lt;&gt;0),C205=0,H205=0),"NEW",""))</f>
        <v/>
      </c>
    </row>
    <row r="206" customFormat="false" ht="15" hidden="false" customHeight="false" outlineLevel="0" collapsed="false">
      <c r="A206" s="7" t="s">
        <v>677</v>
      </c>
      <c r="B206" s="7" t="str">
        <f aca="false">IFERROR(INDEX('Source'!$C:$C,MATCH($A206,'Source'!$B:$B,0)),"")</f>
        <v>מגן ברך ארוך</v>
      </c>
      <c r="C206" s="8" t="n">
        <f aca="false">SUMIFS('Source'!$D:$D,'Source'!$A:$A,"157464 מדיקל הצפון ב.מ-חורי",'Source'!$B:$B,$A206)</f>
        <v>2</v>
      </c>
      <c r="D206" s="8" t="n">
        <f aca="false">SUMIFS('Source'!$F:$F,'Source'!$A:$A,"157464 מדיקל הצפון ב.מ-חורי",'Source'!$B:$B,$A206)</f>
        <v>2</v>
      </c>
      <c r="E206" s="8" t="n">
        <f aca="false">D206*$J$5</f>
        <v>2.52631578947368</v>
      </c>
      <c r="F206" s="8" t="n">
        <f aca="false">E206-C206</f>
        <v>0.526315789473684</v>
      </c>
      <c r="G206" s="9" t="n">
        <f aca="false">IF(AND(C206=0,E206=0),0,IF(C206=0,"New",(E206-C206)/C206))</f>
        <v>0.263157894736842</v>
      </c>
      <c r="H206" s="8" t="n">
        <f aca="false">SUMIFS('Source'!$E:$E,'Source'!$A:$A,"157464 מדיקל הצפון ב.מ-חורי",'Source'!$B:$B,$A206)</f>
        <v>74.91</v>
      </c>
      <c r="I206" s="8" t="n">
        <f aca="false">SUMIFS('Source'!$G:$G,'Source'!$A:$A,"157464 מדיקל הצפון ב.מ-חורי",'Source'!$B:$B,$A206)</f>
        <v>74.9</v>
      </c>
      <c r="J206" s="8" t="n">
        <f aca="false">I206*$J$5</f>
        <v>94.6105263157895</v>
      </c>
      <c r="K206" s="8" t="n">
        <f aca="false">J206-H206</f>
        <v>19.7005263157895</v>
      </c>
      <c r="L206" s="9" t="n">
        <f aca="false">IF(AND(H206=0,J206=0),0,IF(H206=0,"New",(J206-H206)/H206))</f>
        <v>0.26298927133613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378</v>
      </c>
      <c r="B207" s="7" t="str">
        <f aca="false">IFERROR(INDEX('Source'!$C:$C,MATCH($A207,'Source'!$B:$B,0)),"")</f>
        <v>מגן לכתף ימין/שמאל</v>
      </c>
      <c r="C207" s="8" t="n">
        <f aca="false">SUMIFS('Source'!$D:$D,'Source'!$A:$A,"157464 מדיקל הצפון ב.מ-חורי",'Source'!$B:$B,$A207)</f>
        <v>3</v>
      </c>
      <c r="D207" s="8" t="n">
        <f aca="false">SUMIFS('Source'!$F:$F,'Source'!$A:$A,"157464 מדיקל הצפון ב.מ-חורי",'Source'!$B:$B,$A207)</f>
        <v>3</v>
      </c>
      <c r="E207" s="8" t="n">
        <f aca="false">D207*$J$5</f>
        <v>3.78947368421053</v>
      </c>
      <c r="F207" s="8" t="n">
        <f aca="false">E207-C207</f>
        <v>0.789473684210526</v>
      </c>
      <c r="G207" s="9" t="n">
        <f aca="false">IF(AND(C207=0,E207=0),0,IF(C207=0,"New",(E207-C207)/C207))</f>
        <v>0.263157894736842</v>
      </c>
      <c r="H207" s="8" t="n">
        <f aca="false">SUMIFS('Source'!$E:$E,'Source'!$A:$A,"157464 מדיקל הצפון ב.מ-חורי",'Source'!$B:$B,$A207)</f>
        <v>390</v>
      </c>
      <c r="I207" s="8" t="n">
        <f aca="false">SUMIFS('Source'!$G:$G,'Source'!$A:$A,"157464 מדיקל הצפון ב.מ-חורי",'Source'!$B:$B,$A207)</f>
        <v>389.99</v>
      </c>
      <c r="J207" s="8" t="n">
        <f aca="false">I207*$J$5</f>
        <v>492.618947368421</v>
      </c>
      <c r="K207" s="8" t="n">
        <f aca="false">J207-H207</f>
        <v>102.618947368421</v>
      </c>
      <c r="L207" s="9" t="n">
        <f aca="false">IF(AND(H207=0,J207=0),0,IF(H207=0,"New",(J207-H207)/H207))</f>
        <v>0.263125506072875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206</v>
      </c>
      <c r="B208" s="7" t="str">
        <f aca="false">IFERROR(INDEX('Source'!$C:$C,MATCH($A208,'Source'!$B:$B,0)),"")</f>
        <v>חגורה אוורירית איטלקית</v>
      </c>
      <c r="C208" s="8" t="n">
        <f aca="false">SUMIFS('Source'!$D:$D,'Source'!$A:$A,"157464 מדיקל הצפון ב.מ-חורי",'Source'!$B:$B,$A208)</f>
        <v>2</v>
      </c>
      <c r="D208" s="8" t="n">
        <f aca="false">SUMIFS('Source'!$F:$F,'Source'!$A:$A,"157464 מדיקל הצפון ב.מ-חורי",'Source'!$B:$B,$A208)</f>
        <v>2</v>
      </c>
      <c r="E208" s="8" t="n">
        <f aca="false">D208*$J$5</f>
        <v>2.52631578947368</v>
      </c>
      <c r="F208" s="8" t="n">
        <f aca="false">E208-C208</f>
        <v>0.526315789473684</v>
      </c>
      <c r="G208" s="9" t="n">
        <f aca="false">IF(AND(C208=0,E208=0),0,IF(C208=0,"New",(E208-C208)/C208))</f>
        <v>0.263157894736842</v>
      </c>
      <c r="H208" s="8" t="n">
        <f aca="false">SUMIFS('Source'!$E:$E,'Source'!$A:$A,"157464 מדיקל הצפון ב.מ-חורי",'Source'!$B:$B,$A208)</f>
        <v>439.99</v>
      </c>
      <c r="I208" s="8" t="n">
        <f aca="false">SUMIFS('Source'!$G:$G,'Source'!$A:$A,"157464 מדיקל הצפון ב.מ-חורי",'Source'!$B:$B,$A208)</f>
        <v>440</v>
      </c>
      <c r="J208" s="8" t="n">
        <f aca="false">I208*$J$5</f>
        <v>555.789473684211</v>
      </c>
      <c r="K208" s="8" t="n">
        <f aca="false">J208-H208</f>
        <v>115.799473684211</v>
      </c>
      <c r="L208" s="9" t="n">
        <f aca="false">IF(AND(H208=0,J208=0),0,IF(H208=0,"New",(J208-H208)/H208))</f>
        <v>0.263186603523286</v>
      </c>
      <c r="M208" s="7" t="str">
        <f aca="false">IF(AND(OR(C208&lt;&gt;0,H208&lt;&gt;0),D208=0,I208=0),"DROP",IF(AND(OR(D208&lt;&gt;0,I208&lt;&gt;0),C208=0,H208=0),"NEW",""))</f>
        <v/>
      </c>
    </row>
    <row r="209" customFormat="false" ht="15" hidden="false" customHeight="false" outlineLevel="0" collapsed="false">
      <c r="A209" s="7" t="s">
        <v>551</v>
      </c>
      <c r="B209" s="7" t="str">
        <f aca="false">IFERROR(INDEX('Source'!$C:$C,MATCH($A209,'Source'!$B:$B,0)),"")</f>
        <v>צוארון ספוגי</v>
      </c>
      <c r="C209" s="8" t="n">
        <f aca="false">SUMIFS('Source'!$D:$D,'Source'!$A:$A,"157464 מדיקל הצפון ב.מ-חורי",'Source'!$B:$B,$A209)</f>
        <v>3</v>
      </c>
      <c r="D209" s="8" t="n">
        <f aca="false">SUMIFS('Source'!$F:$F,'Source'!$A:$A,"157464 מדיקל הצפון ב.מ-חורי",'Source'!$B:$B,$A209)</f>
        <v>3</v>
      </c>
      <c r="E209" s="8" t="n">
        <f aca="false">D209*$J$5</f>
        <v>3.78947368421053</v>
      </c>
      <c r="F209" s="8" t="n">
        <f aca="false">E209-C209</f>
        <v>0.789473684210526</v>
      </c>
      <c r="G209" s="9" t="n">
        <f aca="false">IF(AND(C209=0,E209=0),0,IF(C209=0,"New",(E209-C209)/C209))</f>
        <v>0.263157894736842</v>
      </c>
      <c r="H209" s="8" t="n">
        <f aca="false">SUMIFS('Source'!$E:$E,'Source'!$A:$A,"157464 מדיקל הצפון ב.מ-חורי",'Source'!$B:$B,$A209)</f>
        <v>148.9</v>
      </c>
      <c r="I209" s="8" t="n">
        <f aca="false">SUMIFS('Source'!$G:$G,'Source'!$A:$A,"157464 מדיקל הצפון ב.מ-חורי",'Source'!$B:$B,$A209)</f>
        <v>148.9</v>
      </c>
      <c r="J209" s="8" t="n">
        <f aca="false">I209*$J$5</f>
        <v>188.084210526316</v>
      </c>
      <c r="K209" s="8" t="n">
        <f aca="false">J209-H209</f>
        <v>39.1842105263158</v>
      </c>
      <c r="L209" s="9" t="n">
        <f aca="false">IF(AND(H209=0,J209=0),0,IF(H209=0,"New",(J209-H209)/H209))</f>
        <v>0.263157894736842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316</v>
      </c>
      <c r="B210" s="7" t="str">
        <f aca="false">IFERROR(INDEX('Source'!$C:$C,MATCH($A210,'Source'!$B:$B,0)),"")</f>
        <v>סד יד דו צדדי</v>
      </c>
      <c r="C210" s="8" t="n">
        <f aca="false">SUMIFS('Source'!$D:$D,'Source'!$A:$A,"157464 מדיקל הצפון ב.מ-חורי",'Source'!$B:$B,$A210)</f>
        <v>5</v>
      </c>
      <c r="D210" s="8" t="n">
        <f aca="false">SUMIFS('Source'!$F:$F,'Source'!$A:$A,"157464 מדיקל הצפון ב.מ-חורי",'Source'!$B:$B,$A210)</f>
        <v>5</v>
      </c>
      <c r="E210" s="8" t="n">
        <f aca="false">D210*$J$5</f>
        <v>6.31578947368421</v>
      </c>
      <c r="F210" s="8" t="n">
        <f aca="false">E210-C210</f>
        <v>1.31578947368421</v>
      </c>
      <c r="G210" s="9" t="n">
        <f aca="false">IF(AND(C210=0,E210=0),0,IF(C210=0,"New",(E210-C210)/C210))</f>
        <v>0.263157894736842</v>
      </c>
      <c r="H210" s="8" t="n">
        <f aca="false">SUMIFS('Source'!$E:$E,'Source'!$A:$A,"157464 מדיקל הצפון ב.מ-חורי",'Source'!$B:$B,$A210)</f>
        <v>515.36</v>
      </c>
      <c r="I210" s="8" t="n">
        <f aca="false">SUMIFS('Source'!$G:$G,'Source'!$A:$A,"157464 מדיקל הצפון ב.מ-חורי",'Source'!$B:$B,$A210)</f>
        <v>515.36</v>
      </c>
      <c r="J210" s="8" t="n">
        <f aca="false">I210*$J$5</f>
        <v>650.981052631579</v>
      </c>
      <c r="K210" s="8" t="n">
        <f aca="false">J210-H210</f>
        <v>135.621052631579</v>
      </c>
      <c r="L210" s="9" t="n">
        <f aca="false">IF(AND(H210=0,J210=0),0,IF(H210=0,"New",(J210-H210)/H210))</f>
        <v>0.263157894736842</v>
      </c>
      <c r="M210" s="7" t="str">
        <f aca="false">IF(AND(OR(C210&lt;&gt;0,H210&lt;&gt;0),D210=0,I210=0),"DROP",IF(AND(OR(D210&lt;&gt;0,I210&lt;&gt;0),C210=0,H210=0),"NEW",""))</f>
        <v/>
      </c>
    </row>
    <row r="211" customFormat="false" ht="15" hidden="false" customHeight="false" outlineLevel="0" collapsed="false">
      <c r="A211" s="7" t="s">
        <v>675</v>
      </c>
      <c r="B211" s="7" t="str">
        <f aca="false">IFERROR(INDEX('Source'!$C:$C,MATCH($A211,'Source'!$B:$B,0)),"")</f>
        <v>מגן יד</v>
      </c>
      <c r="C211" s="8" t="n">
        <f aca="false">SUMIFS('Source'!$D:$D,'Source'!$A:$A,"157464 מדיקל הצפון ב.מ-חורי",'Source'!$B:$B,$A211)</f>
        <v>2</v>
      </c>
      <c r="D211" s="8" t="n">
        <f aca="false">SUMIFS('Source'!$F:$F,'Source'!$A:$A,"157464 מדיקל הצפון ב.מ-חורי",'Source'!$B:$B,$A211)</f>
        <v>2</v>
      </c>
      <c r="E211" s="8" t="n">
        <f aca="false">D211*$J$5</f>
        <v>2.52631578947368</v>
      </c>
      <c r="F211" s="8" t="n">
        <f aca="false">E211-C211</f>
        <v>0.526315789473684</v>
      </c>
      <c r="G211" s="9" t="n">
        <f aca="false">IF(AND(C211=0,E211=0),0,IF(C211=0,"New",(E211-C211)/C211))</f>
        <v>0.263157894736842</v>
      </c>
      <c r="H211" s="8" t="n">
        <f aca="false">SUMIFS('Source'!$E:$E,'Source'!$A:$A,"157464 מדיקל הצפון ב.מ-חורי",'Source'!$B:$B,$A211)</f>
        <v>79.59</v>
      </c>
      <c r="I211" s="8" t="n">
        <f aca="false">SUMIFS('Source'!$G:$G,'Source'!$A:$A,"157464 מדיקל הצפון ב.מ-חורי",'Source'!$B:$B,$A211)</f>
        <v>79.59</v>
      </c>
      <c r="J211" s="8" t="n">
        <f aca="false">I211*$J$5</f>
        <v>100.534736842105</v>
      </c>
      <c r="K211" s="8" t="n">
        <f aca="false">J211-H211</f>
        <v>20.9447368421053</v>
      </c>
      <c r="L211" s="9" t="n">
        <f aca="false">IF(AND(H211=0,J211=0),0,IF(H211=0,"New",(J211-H211)/H211))</f>
        <v>0.263157894736842</v>
      </c>
      <c r="M211" s="7" t="str">
        <f aca="false">IF(AND(OR(C211&lt;&gt;0,H211&lt;&gt;0),D211=0,I211=0),"DROP",IF(AND(OR(D211&lt;&gt;0,I211&lt;&gt;0),C211=0,H211=0),"NEW",""))</f>
        <v/>
      </c>
    </row>
    <row r="212" customFormat="false" ht="15" hidden="false" customHeight="false" outlineLevel="0" collapsed="false">
      <c r="A212" s="7" t="s">
        <v>391</v>
      </c>
      <c r="B212" s="7" t="str">
        <f aca="false">IFERROR(INDEX('Source'!$C:$C,MATCH($A212,'Source'!$B:$B,0)),"")</f>
        <v>חגורה אחרי ניתוח</v>
      </c>
      <c r="C212" s="8" t="n">
        <f aca="false">SUMIFS('Source'!$D:$D,'Source'!$A:$A,"157464 מדיקל הצפון ב.מ-חורי",'Source'!$B:$B,$A212)</f>
        <v>1</v>
      </c>
      <c r="D212" s="8" t="n">
        <f aca="false">SUMIFS('Source'!$F:$F,'Source'!$A:$A,"157464 מדיקל הצפון ב.מ-חורי",'Source'!$B:$B,$A212)</f>
        <v>1</v>
      </c>
      <c r="E212" s="8" t="n">
        <f aca="false">D212*$J$5</f>
        <v>1.26315789473684</v>
      </c>
      <c r="F212" s="8" t="n">
        <f aca="false">E212-C212</f>
        <v>0.263157894736842</v>
      </c>
      <c r="G212" s="9" t="n">
        <f aca="false">IF(AND(C212=0,E212=0),0,IF(C212=0,"New",(E212-C212)/C212))</f>
        <v>0.263157894736842</v>
      </c>
      <c r="H212" s="8" t="n">
        <f aca="false">SUMIFS('Source'!$E:$E,'Source'!$A:$A,"157464 מדיקל הצפון ב.מ-חורי",'Source'!$B:$B,$A212)</f>
        <v>105</v>
      </c>
      <c r="I212" s="8" t="n">
        <f aca="false">SUMIFS('Source'!$G:$G,'Source'!$A:$A,"157464 מדיקל הצפון ב.מ-חורי",'Source'!$B:$B,$A212)</f>
        <v>105</v>
      </c>
      <c r="J212" s="8" t="n">
        <f aca="false">I212*$J$5</f>
        <v>132.631578947368</v>
      </c>
      <c r="K212" s="8" t="n">
        <f aca="false">J212-H212</f>
        <v>27.6315789473684</v>
      </c>
      <c r="L212" s="9" t="n">
        <f aca="false">IF(AND(H212=0,J212=0),0,IF(H212=0,"New",(J212-H212)/H212))</f>
        <v>0.263157894736842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640</v>
      </c>
      <c r="B213" s="7" t="str">
        <f aca="false">IFERROR(INDEX('Source'!$C:$C,MATCH($A213,'Source'!$B:$B,0)),"")</f>
        <v>חבק יד מתכוון</v>
      </c>
      <c r="C213" s="8" t="n">
        <f aca="false">SUMIFS('Source'!$D:$D,'Source'!$A:$A,"157464 מדיקל הצפון ב.מ-חורי",'Source'!$B:$B,$A213)</f>
        <v>1</v>
      </c>
      <c r="D213" s="8" t="n">
        <f aca="false">SUMIFS('Source'!$F:$F,'Source'!$A:$A,"157464 מדיקל הצפון ב.מ-חורי",'Source'!$B:$B,$A213)</f>
        <v>1</v>
      </c>
      <c r="E213" s="8" t="n">
        <f aca="false">D213*$J$5</f>
        <v>1.26315789473684</v>
      </c>
      <c r="F213" s="8" t="n">
        <f aca="false">E213-C213</f>
        <v>0.263157894736842</v>
      </c>
      <c r="G213" s="9" t="n">
        <f aca="false">IF(AND(C213=0,E213=0),0,IF(C213=0,"New",(E213-C213)/C213))</f>
        <v>0.263157894736842</v>
      </c>
      <c r="H213" s="8" t="n">
        <f aca="false">SUMIFS('Source'!$E:$E,'Source'!$A:$A,"157464 מדיקל הצפון ב.מ-חורי",'Source'!$B:$B,$A213)</f>
        <v>33.23</v>
      </c>
      <c r="I213" s="8" t="n">
        <f aca="false">SUMIFS('Source'!$G:$G,'Source'!$A:$A,"157464 מדיקל הצפון ב.מ-חורי",'Source'!$B:$B,$A213)</f>
        <v>33.23</v>
      </c>
      <c r="J213" s="8" t="n">
        <f aca="false">I213*$J$5</f>
        <v>41.9747368421053</v>
      </c>
      <c r="K213" s="8" t="n">
        <f aca="false">J213-H213</f>
        <v>8.74473684210526</v>
      </c>
      <c r="L213" s="9" t="n">
        <f aca="false">IF(AND(H213=0,J213=0),0,IF(H213=0,"New",(J213-H213)/H213))</f>
        <v>0.263157894736842</v>
      </c>
      <c r="M213" s="7" t="str">
        <f aca="false">IF(AND(OR(C213&lt;&gt;0,H213&lt;&gt;0),D213=0,I213=0),"DROP",IF(AND(OR(D213&lt;&gt;0,I213&lt;&gt;0),C213=0,H213=0),"NEW",""))</f>
        <v/>
      </c>
    </row>
    <row r="214" customFormat="false" ht="15" hidden="false" customHeight="false" outlineLevel="0" collapsed="false">
      <c r="A214" s="7" t="s">
        <v>262</v>
      </c>
      <c r="B214" s="7" t="str">
        <f aca="false">IFERROR(INDEX('Source'!$C:$C,MATCH($A214,'Source'!$B:$B,0)),"")</f>
        <v>צוארון ספוגי</v>
      </c>
      <c r="C214" s="8" t="n">
        <f aca="false">SUMIFS('Source'!$D:$D,'Source'!$A:$A,"157464 מדיקל הצפון ב.מ-חורי",'Source'!$B:$B,$A214)</f>
        <v>3</v>
      </c>
      <c r="D214" s="8" t="n">
        <f aca="false">SUMIFS('Source'!$F:$F,'Source'!$A:$A,"157464 מדיקל הצפון ב.מ-חורי",'Source'!$B:$B,$A214)</f>
        <v>3</v>
      </c>
      <c r="E214" s="8" t="n">
        <f aca="false">D214*$J$5</f>
        <v>3.78947368421053</v>
      </c>
      <c r="F214" s="8" t="n">
        <f aca="false">E214-C214</f>
        <v>0.789473684210526</v>
      </c>
      <c r="G214" s="9" t="n">
        <f aca="false">IF(AND(C214=0,E214=0),0,IF(C214=0,"New",(E214-C214)/C214))</f>
        <v>0.263157894736842</v>
      </c>
      <c r="H214" s="8" t="n">
        <f aca="false">SUMIFS('Source'!$E:$E,'Source'!$A:$A,"157464 מדיקל הצפון ב.מ-חורי",'Source'!$B:$B,$A214)</f>
        <v>148.9</v>
      </c>
      <c r="I214" s="8" t="n">
        <f aca="false">SUMIFS('Source'!$G:$G,'Source'!$A:$A,"157464 מדיקל הצפון ב.מ-חורי",'Source'!$B:$B,$A214)</f>
        <v>148.9</v>
      </c>
      <c r="J214" s="8" t="n">
        <f aca="false">I214*$J$5</f>
        <v>188.084210526316</v>
      </c>
      <c r="K214" s="8" t="n">
        <f aca="false">J214-H214</f>
        <v>39.1842105263158</v>
      </c>
      <c r="L214" s="9" t="n">
        <f aca="false">IF(AND(H214=0,J214=0),0,IF(H214=0,"New",(J214-H214)/H214))</f>
        <v>0.263157894736842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779</v>
      </c>
      <c r="B215" s="7" t="str">
        <f aca="false">IFERROR(INDEX('Source'!$C:$C,MATCH($A215,'Source'!$B:$B,0)),"")</f>
        <v>מפריד אצבע</v>
      </c>
      <c r="C215" s="8" t="n">
        <f aca="false">SUMIFS('Source'!$D:$D,'Source'!$A:$A,"157464 מדיקל הצפון ב.מ-חורי",'Source'!$B:$B,$A215)</f>
        <v>2</v>
      </c>
      <c r="D215" s="8" t="n">
        <f aca="false">SUMIFS('Source'!$F:$F,'Source'!$A:$A,"157464 מדיקל הצפון ב.מ-חורי",'Source'!$B:$B,$A215)</f>
        <v>2</v>
      </c>
      <c r="E215" s="8" t="n">
        <f aca="false">D215*$J$5</f>
        <v>2.52631578947368</v>
      </c>
      <c r="F215" s="8" t="n">
        <f aca="false">E215-C215</f>
        <v>0.526315789473684</v>
      </c>
      <c r="G215" s="9" t="n">
        <f aca="false">IF(AND(C215=0,E215=0),0,IF(C215=0,"New",(E215-C215)/C215))</f>
        <v>0.263157894736842</v>
      </c>
      <c r="H215" s="8" t="n">
        <f aca="false">SUMIFS('Source'!$E:$E,'Source'!$A:$A,"157464 מדיקל הצפון ב.מ-חורי",'Source'!$B:$B,$A215)</f>
        <v>28.96</v>
      </c>
      <c r="I215" s="8" t="n">
        <f aca="false">SUMIFS('Source'!$G:$G,'Source'!$A:$A,"157464 מדיקל הצפון ב.מ-חורי",'Source'!$B:$B,$A215)</f>
        <v>28.96</v>
      </c>
      <c r="J215" s="8" t="n">
        <f aca="false">I215*$J$5</f>
        <v>36.581052631579</v>
      </c>
      <c r="K215" s="8" t="n">
        <f aca="false">J215-H215</f>
        <v>7.62105263157895</v>
      </c>
      <c r="L215" s="9" t="n">
        <f aca="false">IF(AND(H215=0,J215=0),0,IF(H215=0,"New",(J215-H215)/H215))</f>
        <v>0.263157894736842</v>
      </c>
      <c r="M215" s="7" t="str">
        <f aca="false">IF(AND(OR(C215&lt;&gt;0,H215&lt;&gt;0),D215=0,I215=0),"DROP",IF(AND(OR(D215&lt;&gt;0,I215&lt;&gt;0),C215=0,H215=0),"NEW",""))</f>
        <v/>
      </c>
    </row>
    <row r="216" customFormat="false" ht="15" hidden="false" customHeight="false" outlineLevel="0" collapsed="false">
      <c r="A216" s="7" t="s">
        <v>757</v>
      </c>
      <c r="B216" s="7" t="str">
        <f aca="false">IFERROR(INDEX('Source'!$C:$C,MATCH($A216,'Source'!$B:$B,0)),"")</f>
        <v>מגן לכתף ימין/שמאל</v>
      </c>
      <c r="C216" s="8" t="n">
        <f aca="false">SUMIFS('Source'!$D:$D,'Source'!$A:$A,"157464 מדיקל הצפון ב.מ-חורי",'Source'!$B:$B,$A216)</f>
        <v>1</v>
      </c>
      <c r="D216" s="8" t="n">
        <f aca="false">SUMIFS('Source'!$F:$F,'Source'!$A:$A,"157464 מדיקל הצפון ב.מ-חורי",'Source'!$B:$B,$A216)</f>
        <v>1</v>
      </c>
      <c r="E216" s="8" t="n">
        <f aca="false">D216*$J$5</f>
        <v>1.26315789473684</v>
      </c>
      <c r="F216" s="8" t="n">
        <f aca="false">E216-C216</f>
        <v>0.263157894736842</v>
      </c>
      <c r="G216" s="9" t="n">
        <f aca="false">IF(AND(C216=0,E216=0),0,IF(C216=0,"New",(E216-C216)/C216))</f>
        <v>0.263157894736842</v>
      </c>
      <c r="H216" s="8" t="n">
        <f aca="false">SUMIFS('Source'!$E:$E,'Source'!$A:$A,"157464 מדיקל הצפון ב.מ-חורי",'Source'!$B:$B,$A216)</f>
        <v>130</v>
      </c>
      <c r="I216" s="8" t="n">
        <f aca="false">SUMIFS('Source'!$G:$G,'Source'!$A:$A,"157464 מדיקל הצפון ב.מ-חורי",'Source'!$B:$B,$A216)</f>
        <v>130</v>
      </c>
      <c r="J216" s="8" t="n">
        <f aca="false">I216*$J$5</f>
        <v>164.210526315789</v>
      </c>
      <c r="K216" s="8" t="n">
        <f aca="false">J216-H216</f>
        <v>34.2105263157895</v>
      </c>
      <c r="L216" s="9" t="n">
        <f aca="false">IF(AND(H216=0,J216=0),0,IF(H216=0,"New",(J216-H216)/H216))</f>
        <v>0.263157894736842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766</v>
      </c>
      <c r="B217" s="7" t="str">
        <f aca="false">IFERROR(INDEX('Source'!$C:$C,MATCH($A217,'Source'!$B:$B,0)),"")</f>
        <v>מגן ברך ארוך</v>
      </c>
      <c r="C217" s="8" t="n">
        <f aca="false">SUMIFS('Source'!$D:$D,'Source'!$A:$A,"157464 מדיקל הצפון ב.מ-חורי",'Source'!$B:$B,$A217)</f>
        <v>2</v>
      </c>
      <c r="D217" s="8" t="n">
        <f aca="false">SUMIFS('Source'!$F:$F,'Source'!$A:$A,"157464 מדיקל הצפון ב.מ-חורי",'Source'!$B:$B,$A217)</f>
        <v>2</v>
      </c>
      <c r="E217" s="8" t="n">
        <f aca="false">D217*$J$5</f>
        <v>2.52631578947368</v>
      </c>
      <c r="F217" s="8" t="n">
        <f aca="false">E217-C217</f>
        <v>0.526315789473684</v>
      </c>
      <c r="G217" s="9" t="n">
        <f aca="false">IF(AND(C217=0,E217=0),0,IF(C217=0,"New",(E217-C217)/C217))</f>
        <v>0.263157894736842</v>
      </c>
      <c r="H217" s="8" t="n">
        <f aca="false">SUMIFS('Source'!$E:$E,'Source'!$A:$A,"157464 מדיקל הצפון ב.מ-חורי",'Source'!$B:$B,$A217)</f>
        <v>74.91</v>
      </c>
      <c r="I217" s="8" t="n">
        <f aca="false">SUMIFS('Source'!$G:$G,'Source'!$A:$A,"157464 מדיקל הצפון ב.מ-חורי",'Source'!$B:$B,$A217)</f>
        <v>74.91</v>
      </c>
      <c r="J217" s="8" t="n">
        <f aca="false">I217*$J$5</f>
        <v>94.6231578947368</v>
      </c>
      <c r="K217" s="8" t="n">
        <f aca="false">J217-H217</f>
        <v>19.7131578947368</v>
      </c>
      <c r="L217" s="9" t="n">
        <f aca="false">IF(AND(H217=0,J217=0),0,IF(H217=0,"New",(J217-H217)/H217))</f>
        <v>0.263157894736842</v>
      </c>
      <c r="M217" s="7" t="str">
        <f aca="false">IF(AND(OR(C217&lt;&gt;0,H217&lt;&gt;0),D217=0,I217=0),"DROP",IF(AND(OR(D217&lt;&gt;0,I217&lt;&gt;0),C217=0,H217=0),"NEW",""))</f>
        <v/>
      </c>
    </row>
    <row r="218" customFormat="false" ht="15" hidden="false" customHeight="false" outlineLevel="0" collapsed="false">
      <c r="A218" s="7" t="s">
        <v>327</v>
      </c>
      <c r="B218" s="7" t="str">
        <f aca="false">IFERROR(INDEX('Source'!$C:$C,MATCH($A218,'Source'!$B:$B,0)),"")</f>
        <v>חגורת גב+סגירה כפולה</v>
      </c>
      <c r="C218" s="8" t="n">
        <f aca="false">SUMIFS('Source'!$D:$D,'Source'!$A:$A,"157464 מדיקל הצפון ב.מ-חורי",'Source'!$B:$B,$A218)</f>
        <v>2</v>
      </c>
      <c r="D218" s="8" t="n">
        <f aca="false">SUMIFS('Source'!$F:$F,'Source'!$A:$A,"157464 מדיקל הצפון ב.מ-חורי",'Source'!$B:$B,$A218)</f>
        <v>2</v>
      </c>
      <c r="E218" s="8" t="n">
        <f aca="false">D218*$J$5</f>
        <v>2.52631578947368</v>
      </c>
      <c r="F218" s="8" t="n">
        <f aca="false">E218-C218</f>
        <v>0.526315789473684</v>
      </c>
      <c r="G218" s="9" t="n">
        <f aca="false">IF(AND(C218=0,E218=0),0,IF(C218=0,"New",(E218-C218)/C218))</f>
        <v>0.263157894736842</v>
      </c>
      <c r="H218" s="8" t="n">
        <f aca="false">SUMIFS('Source'!$E:$E,'Source'!$A:$A,"157464 מדיקל הצפון ב.מ-חורי",'Source'!$B:$B,$A218)</f>
        <v>180</v>
      </c>
      <c r="I218" s="8" t="n">
        <f aca="false">SUMIFS('Source'!$G:$G,'Source'!$A:$A,"157464 מדיקל הצפון ב.מ-חורי",'Source'!$B:$B,$A218)</f>
        <v>180</v>
      </c>
      <c r="J218" s="8" t="n">
        <f aca="false">I218*$J$5</f>
        <v>227.368421052632</v>
      </c>
      <c r="K218" s="8" t="n">
        <f aca="false">J218-H218</f>
        <v>47.3684210526316</v>
      </c>
      <c r="L218" s="9" t="n">
        <f aca="false">IF(AND(H218=0,J218=0),0,IF(H218=0,"New",(J218-H218)/H218))</f>
        <v>0.263157894736842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201</v>
      </c>
      <c r="B219" s="7" t="str">
        <f aca="false">IFERROR(INDEX('Source'!$C:$C,MATCH($A219,'Source'!$B:$B,0)),"")</f>
        <v>תומך ברך גנושילד</v>
      </c>
      <c r="C219" s="8" t="n">
        <f aca="false">SUMIFS('Source'!$D:$D,'Source'!$A:$A,"157464 מדיקל הצפון ב.מ-חורי",'Source'!$B:$B,$A219)</f>
        <v>2</v>
      </c>
      <c r="D219" s="8" t="n">
        <f aca="false">SUMIFS('Source'!$F:$F,'Source'!$A:$A,"157464 מדיקל הצפון ב.מ-חורי",'Source'!$B:$B,$A219)</f>
        <v>2</v>
      </c>
      <c r="E219" s="8" t="n">
        <f aca="false">D219*$J$5</f>
        <v>2.52631578947368</v>
      </c>
      <c r="F219" s="8" t="n">
        <f aca="false">E219-C219</f>
        <v>0.526315789473684</v>
      </c>
      <c r="G219" s="9" t="n">
        <f aca="false">IF(AND(C219=0,E219=0),0,IF(C219=0,"New",(E219-C219)/C219))</f>
        <v>0.263157894736842</v>
      </c>
      <c r="H219" s="8" t="n">
        <f aca="false">SUMIFS('Source'!$E:$E,'Source'!$A:$A,"157464 מדיקל הצפון ב.מ-חורי",'Source'!$B:$B,$A219)</f>
        <v>240</v>
      </c>
      <c r="I219" s="8" t="n">
        <f aca="false">SUMIFS('Source'!$G:$G,'Source'!$A:$A,"157464 מדיקל הצפון ב.מ-חורי",'Source'!$B:$B,$A219)</f>
        <v>240</v>
      </c>
      <c r="J219" s="8" t="n">
        <f aca="false">I219*$J$5</f>
        <v>303.157894736842</v>
      </c>
      <c r="K219" s="8" t="n">
        <f aca="false">J219-H219</f>
        <v>63.1578947368421</v>
      </c>
      <c r="L219" s="9" t="n">
        <f aca="false">IF(AND(H219=0,J219=0),0,IF(H219=0,"New",(J219-H219)/H219))</f>
        <v>0.263157894736842</v>
      </c>
      <c r="M219" s="7" t="str">
        <f aca="false">IF(AND(OR(C219&lt;&gt;0,H219&lt;&gt;0),D219=0,I219=0),"DROP",IF(AND(OR(D219&lt;&gt;0,I219&lt;&gt;0),C219=0,H219=0),"NEW",""))</f>
        <v/>
      </c>
    </row>
    <row r="220" customFormat="false" ht="15" hidden="false" customHeight="false" outlineLevel="0" collapsed="false">
      <c r="A220" s="7" t="s">
        <v>196</v>
      </c>
      <c r="B220" s="7" t="str">
        <f aca="false">IFERROR(INDEX('Source'!$C:$C,MATCH($A220,'Source'!$B:$B,0)),"")</f>
        <v>חגורה אחרי ניתוח</v>
      </c>
      <c r="C220" s="8" t="n">
        <f aca="false">SUMIFS('Source'!$D:$D,'Source'!$A:$A,"157464 מדיקל הצפון ב.מ-חורי",'Source'!$B:$B,$A220)</f>
        <v>1</v>
      </c>
      <c r="D220" s="8" t="n">
        <f aca="false">SUMIFS('Source'!$F:$F,'Source'!$A:$A,"157464 מדיקל הצפון ב.מ-חורי",'Source'!$B:$B,$A220)</f>
        <v>1</v>
      </c>
      <c r="E220" s="8" t="n">
        <f aca="false">D220*$J$5</f>
        <v>1.26315789473684</v>
      </c>
      <c r="F220" s="8" t="n">
        <f aca="false">E220-C220</f>
        <v>0.263157894736842</v>
      </c>
      <c r="G220" s="9" t="n">
        <f aca="false">IF(AND(C220=0,E220=0),0,IF(C220=0,"New",(E220-C220)/C220))</f>
        <v>0.263157894736842</v>
      </c>
      <c r="H220" s="8" t="n">
        <f aca="false">SUMIFS('Source'!$E:$E,'Source'!$A:$A,"157464 מדיקל הצפון ב.מ-חורי",'Source'!$B:$B,$A220)</f>
        <v>105</v>
      </c>
      <c r="I220" s="8" t="n">
        <f aca="false">SUMIFS('Source'!$G:$G,'Source'!$A:$A,"157464 מדיקל הצפון ב.מ-חורי",'Source'!$B:$B,$A220)</f>
        <v>105</v>
      </c>
      <c r="J220" s="8" t="n">
        <f aca="false">I220*$J$5</f>
        <v>132.631578947368</v>
      </c>
      <c r="K220" s="8" t="n">
        <f aca="false">J220-H220</f>
        <v>27.6315789473684</v>
      </c>
      <c r="L220" s="9" t="n">
        <f aca="false">IF(AND(H220=0,J220=0),0,IF(H220=0,"New",(J220-H220)/H220))</f>
        <v>0.263157894736842</v>
      </c>
      <c r="M220" s="7" t="str">
        <f aca="false">IF(AND(OR(C220&lt;&gt;0,H220&lt;&gt;0),D220=0,I220=0),"DROP",IF(AND(OR(D220&lt;&gt;0,I220&lt;&gt;0),C220=0,H220=0),"NEW",""))</f>
        <v/>
      </c>
    </row>
    <row r="222" customFormat="false" ht="15" hidden="false" customHeight="false" outlineLevel="0" collapsed="false">
      <c r="A222" s="17"/>
      <c r="B222" s="18" t="s">
        <v>97</v>
      </c>
      <c r="C222" s="19" t="n">
        <f aca="false">SUM(C9:C220)</f>
        <v>589</v>
      </c>
      <c r="D222" s="19" t="n">
        <f aca="false">SUM(D9:D220)</f>
        <v>617</v>
      </c>
      <c r="E222" s="19" t="n">
        <f aca="false">SUM(E9:E220)</f>
        <v>779.368421052632</v>
      </c>
      <c r="F222" s="19" t="n">
        <f aca="false">SUM(F9:F220)</f>
        <v>190.368421052632</v>
      </c>
      <c r="G222" s="20" t="n">
        <f aca="false">IF(C222=0,"N/A",F222/C222)</f>
        <v>0.323206147797337</v>
      </c>
      <c r="H222" s="19" t="n">
        <f aca="false">SUM(H9:H220)</f>
        <v>46725.38</v>
      </c>
      <c r="I222" s="19" t="n">
        <f aca="false">SUM(I9:I220)</f>
        <v>50813.46</v>
      </c>
      <c r="J222" s="19" t="n">
        <f aca="false">SUM(J9:J220)</f>
        <v>64185.4231578947</v>
      </c>
      <c r="K222" s="19" t="n">
        <f aca="false">SUM(K9:K220)</f>
        <v>17460.0431578947</v>
      </c>
      <c r="L222" s="20" t="n">
        <f aca="false">IF(H222=0,"N/A",K222/H222)</f>
        <v>0.373673647124855</v>
      </c>
      <c r="M222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6"/>
  </cols>
  <sheetData>
    <row r="1" customFormat="false" ht="15" hidden="false" customHeight="false" outlineLevel="0" collapsed="false">
      <c r="A1" s="21" t="s">
        <v>1028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1029</v>
      </c>
      <c r="B2" s="22" t="s">
        <v>1030</v>
      </c>
      <c r="C2" s="22" t="s">
        <v>1031</v>
      </c>
      <c r="D2" s="22" t="s">
        <v>15</v>
      </c>
      <c r="E2" s="22" t="s">
        <v>1032</v>
      </c>
      <c r="F2" s="22" t="s">
        <v>16</v>
      </c>
      <c r="G2" s="22" t="s">
        <v>1033</v>
      </c>
    </row>
    <row r="3" customFormat="false" ht="15" hidden="false" customHeight="false" outlineLevel="0" collapsed="false">
      <c r="A3" s="7" t="s">
        <v>39</v>
      </c>
      <c r="B3" s="7" t="s">
        <v>349</v>
      </c>
      <c r="C3" s="7" t="s">
        <v>1034</v>
      </c>
      <c r="D3" s="7" t="n">
        <v>0</v>
      </c>
      <c r="E3" s="7" t="n">
        <v>0</v>
      </c>
      <c r="F3" s="7" t="n">
        <v>-1</v>
      </c>
      <c r="G3" s="7" t="n">
        <v>-90</v>
      </c>
    </row>
    <row r="4" customFormat="false" ht="15" hidden="false" customHeight="false" outlineLevel="0" collapsed="false">
      <c r="A4" s="7" t="s">
        <v>39</v>
      </c>
      <c r="B4" s="7" t="s">
        <v>212</v>
      </c>
      <c r="C4" s="7" t="s">
        <v>1035</v>
      </c>
      <c r="D4" s="7" t="n">
        <v>0</v>
      </c>
      <c r="E4" s="7" t="n">
        <v>0</v>
      </c>
      <c r="F4" s="7" t="n">
        <v>-4</v>
      </c>
      <c r="G4" s="7" t="n">
        <v>-222.24</v>
      </c>
    </row>
    <row r="5" customFormat="false" ht="15" hidden="false" customHeight="false" outlineLevel="0" collapsed="false">
      <c r="A5" s="7" t="s">
        <v>39</v>
      </c>
      <c r="B5" s="7" t="s">
        <v>390</v>
      </c>
      <c r="C5" s="7" t="s">
        <v>1035</v>
      </c>
      <c r="D5" s="7" t="n">
        <v>0</v>
      </c>
      <c r="E5" s="7" t="n">
        <v>0</v>
      </c>
      <c r="F5" s="7" t="n">
        <v>-5</v>
      </c>
      <c r="G5" s="7" t="n">
        <v>-277.8</v>
      </c>
    </row>
    <row r="6" customFormat="false" ht="15" hidden="false" customHeight="false" outlineLevel="0" collapsed="false">
      <c r="A6" s="7" t="s">
        <v>39</v>
      </c>
      <c r="B6" s="7" t="s">
        <v>292</v>
      </c>
      <c r="C6" s="7" t="s">
        <v>1035</v>
      </c>
      <c r="D6" s="7" t="n">
        <v>1</v>
      </c>
      <c r="E6" s="7" t="n">
        <v>117.14</v>
      </c>
      <c r="F6" s="7" t="n">
        <v>0</v>
      </c>
      <c r="G6" s="7" t="n">
        <v>0</v>
      </c>
    </row>
    <row r="7" customFormat="false" ht="15" hidden="false" customHeight="false" outlineLevel="0" collapsed="false">
      <c r="A7" s="7" t="s">
        <v>39</v>
      </c>
      <c r="B7" s="7" t="s">
        <v>292</v>
      </c>
      <c r="C7" s="7" t="s">
        <v>1035</v>
      </c>
      <c r="D7" s="7" t="n">
        <v>0</v>
      </c>
      <c r="E7" s="7" t="n">
        <v>0</v>
      </c>
      <c r="F7" s="7" t="n">
        <v>-1</v>
      </c>
      <c r="G7" s="7" t="n">
        <v>-55.56</v>
      </c>
    </row>
    <row r="8" customFormat="false" ht="15" hidden="false" customHeight="false" outlineLevel="0" collapsed="false">
      <c r="A8" s="7" t="s">
        <v>39</v>
      </c>
      <c r="B8" s="7" t="s">
        <v>232</v>
      </c>
      <c r="C8" s="7" t="s">
        <v>1035</v>
      </c>
      <c r="D8" s="7" t="n">
        <v>0</v>
      </c>
      <c r="E8" s="7" t="n">
        <v>0</v>
      </c>
      <c r="F8" s="7" t="n">
        <v>-2</v>
      </c>
      <c r="G8" s="7" t="n">
        <v>-111.12</v>
      </c>
    </row>
    <row r="9" customFormat="false" ht="15" hidden="false" customHeight="false" outlineLevel="0" collapsed="false">
      <c r="A9" s="7" t="s">
        <v>39</v>
      </c>
      <c r="B9" s="7" t="s">
        <v>626</v>
      </c>
      <c r="C9" s="7" t="s">
        <v>1036</v>
      </c>
      <c r="D9" s="7" t="n">
        <v>1</v>
      </c>
      <c r="E9" s="7" t="n">
        <v>85</v>
      </c>
      <c r="F9" s="7" t="n">
        <v>-1</v>
      </c>
      <c r="G9" s="7" t="n">
        <v>-85</v>
      </c>
    </row>
    <row r="10" customFormat="false" ht="15" hidden="false" customHeight="false" outlineLevel="0" collapsed="false">
      <c r="A10" s="7" t="s">
        <v>39</v>
      </c>
      <c r="B10" s="7" t="s">
        <v>325</v>
      </c>
      <c r="C10" s="7" t="s">
        <v>1036</v>
      </c>
      <c r="D10" s="7" t="n">
        <v>2</v>
      </c>
      <c r="E10" s="7" t="n">
        <v>169.99</v>
      </c>
      <c r="F10" s="7" t="n">
        <v>2</v>
      </c>
      <c r="G10" s="7" t="n">
        <v>169.99</v>
      </c>
    </row>
    <row r="11" customFormat="false" ht="15" hidden="false" customHeight="false" outlineLevel="0" collapsed="false">
      <c r="A11" s="7" t="s">
        <v>39</v>
      </c>
      <c r="B11" s="7" t="s">
        <v>548</v>
      </c>
      <c r="C11" s="7" t="s">
        <v>1037</v>
      </c>
      <c r="D11" s="7" t="n">
        <v>0</v>
      </c>
      <c r="E11" s="7" t="n">
        <v>0</v>
      </c>
      <c r="F11" s="7" t="n">
        <v>1</v>
      </c>
      <c r="G11" s="7" t="n">
        <v>165</v>
      </c>
    </row>
    <row r="12" customFormat="false" ht="15" hidden="false" customHeight="false" outlineLevel="0" collapsed="false">
      <c r="A12" s="7" t="s">
        <v>39</v>
      </c>
      <c r="B12" s="7" t="s">
        <v>391</v>
      </c>
      <c r="C12" s="7" t="s">
        <v>1038</v>
      </c>
      <c r="D12" s="7" t="n">
        <v>8</v>
      </c>
      <c r="E12" s="7" t="n">
        <v>840</v>
      </c>
      <c r="F12" s="7" t="n">
        <v>8</v>
      </c>
      <c r="G12" s="7" t="n">
        <v>840</v>
      </c>
    </row>
    <row r="13" customFormat="false" ht="15" hidden="false" customHeight="false" outlineLevel="0" collapsed="false">
      <c r="A13" s="7" t="s">
        <v>39</v>
      </c>
      <c r="B13" s="7" t="s">
        <v>391</v>
      </c>
      <c r="C13" s="7" t="s">
        <v>1038</v>
      </c>
      <c r="D13" s="7" t="n">
        <v>2</v>
      </c>
      <c r="E13" s="7" t="n">
        <v>143.58</v>
      </c>
      <c r="F13" s="7" t="n">
        <v>0</v>
      </c>
      <c r="G13" s="7" t="n">
        <v>0</v>
      </c>
    </row>
    <row r="14" customFormat="false" ht="15" hidden="false" customHeight="false" outlineLevel="0" collapsed="false">
      <c r="A14" s="7" t="s">
        <v>39</v>
      </c>
      <c r="B14" s="7" t="s">
        <v>279</v>
      </c>
      <c r="C14" s="7" t="s">
        <v>1038</v>
      </c>
      <c r="D14" s="7" t="n">
        <v>1</v>
      </c>
      <c r="E14" s="7" t="n">
        <v>71.79</v>
      </c>
      <c r="F14" s="7" t="n">
        <v>0</v>
      </c>
      <c r="G14" s="7" t="n">
        <v>0</v>
      </c>
    </row>
    <row r="15" customFormat="false" ht="15" hidden="false" customHeight="false" outlineLevel="0" collapsed="false">
      <c r="A15" s="7" t="s">
        <v>39</v>
      </c>
      <c r="B15" s="7" t="s">
        <v>279</v>
      </c>
      <c r="C15" s="7" t="s">
        <v>1038</v>
      </c>
      <c r="D15" s="7" t="n">
        <v>6</v>
      </c>
      <c r="E15" s="7" t="n">
        <v>630.01</v>
      </c>
      <c r="F15" s="7" t="n">
        <v>9</v>
      </c>
      <c r="G15" s="7" t="n">
        <v>945.04</v>
      </c>
    </row>
    <row r="16" customFormat="false" ht="15" hidden="false" customHeight="false" outlineLevel="0" collapsed="false">
      <c r="A16" s="7" t="s">
        <v>39</v>
      </c>
      <c r="B16" s="7" t="s">
        <v>274</v>
      </c>
      <c r="C16" s="7" t="s">
        <v>1038</v>
      </c>
      <c r="D16" s="7" t="n">
        <v>1</v>
      </c>
      <c r="E16" s="7" t="n">
        <v>105</v>
      </c>
      <c r="F16" s="7" t="n">
        <v>1</v>
      </c>
      <c r="G16" s="7" t="n">
        <v>105</v>
      </c>
    </row>
    <row r="17" customFormat="false" ht="15" hidden="false" customHeight="false" outlineLevel="0" collapsed="false">
      <c r="A17" s="7" t="s">
        <v>39</v>
      </c>
      <c r="B17" s="7" t="s">
        <v>196</v>
      </c>
      <c r="C17" s="7" t="s">
        <v>1038</v>
      </c>
      <c r="D17" s="7" t="n">
        <v>11</v>
      </c>
      <c r="E17" s="7" t="n">
        <v>1155</v>
      </c>
      <c r="F17" s="7" t="n">
        <v>11</v>
      </c>
      <c r="G17" s="7" t="n">
        <v>1155.01</v>
      </c>
    </row>
    <row r="18" customFormat="false" ht="15" hidden="false" customHeight="false" outlineLevel="0" collapsed="false">
      <c r="A18" s="7" t="s">
        <v>39</v>
      </c>
      <c r="B18" s="7" t="s">
        <v>197</v>
      </c>
      <c r="C18" s="7" t="s">
        <v>1038</v>
      </c>
      <c r="D18" s="7" t="n">
        <v>8</v>
      </c>
      <c r="E18" s="7" t="n">
        <v>840</v>
      </c>
      <c r="F18" s="7" t="n">
        <v>10</v>
      </c>
      <c r="G18" s="7" t="n">
        <v>1050</v>
      </c>
    </row>
    <row r="19" customFormat="false" ht="15" hidden="false" customHeight="false" outlineLevel="0" collapsed="false">
      <c r="A19" s="7" t="s">
        <v>39</v>
      </c>
      <c r="B19" s="7" t="s">
        <v>197</v>
      </c>
      <c r="C19" s="7" t="s">
        <v>1038</v>
      </c>
      <c r="D19" s="7" t="n">
        <v>2</v>
      </c>
      <c r="E19" s="7" t="n">
        <v>143.58</v>
      </c>
      <c r="F19" s="7" t="n">
        <v>0</v>
      </c>
      <c r="G19" s="7" t="n">
        <v>0</v>
      </c>
    </row>
    <row r="20" customFormat="false" ht="15" hidden="false" customHeight="false" outlineLevel="0" collapsed="false">
      <c r="A20" s="7" t="s">
        <v>39</v>
      </c>
      <c r="B20" s="7" t="s">
        <v>231</v>
      </c>
      <c r="C20" s="7" t="s">
        <v>1039</v>
      </c>
      <c r="D20" s="7" t="n">
        <v>2</v>
      </c>
      <c r="E20" s="7" t="n">
        <v>313.95</v>
      </c>
      <c r="F20" s="7" t="n">
        <v>0</v>
      </c>
      <c r="G20" s="7" t="n">
        <v>0</v>
      </c>
    </row>
    <row r="21" customFormat="false" ht="15" hidden="false" customHeight="false" outlineLevel="0" collapsed="false">
      <c r="A21" s="7" t="s">
        <v>39</v>
      </c>
      <c r="B21" s="7" t="s">
        <v>266</v>
      </c>
      <c r="C21" s="7" t="s">
        <v>1039</v>
      </c>
      <c r="D21" s="7" t="n">
        <v>0</v>
      </c>
      <c r="E21" s="7" t="n">
        <v>0</v>
      </c>
      <c r="F21" s="7" t="n">
        <v>-1</v>
      </c>
      <c r="G21" s="7" t="n">
        <v>-130</v>
      </c>
    </row>
    <row r="22" customFormat="false" ht="15" hidden="false" customHeight="false" outlineLevel="0" collapsed="false">
      <c r="A22" s="7" t="s">
        <v>39</v>
      </c>
      <c r="B22" s="7" t="s">
        <v>266</v>
      </c>
      <c r="C22" s="7" t="s">
        <v>1039</v>
      </c>
      <c r="D22" s="7" t="n">
        <v>2</v>
      </c>
      <c r="E22" s="7" t="n">
        <v>313.95</v>
      </c>
      <c r="F22" s="7" t="n">
        <v>0</v>
      </c>
      <c r="G22" s="7" t="n">
        <v>0</v>
      </c>
    </row>
    <row r="23" customFormat="false" ht="15" hidden="false" customHeight="false" outlineLevel="0" collapsed="false">
      <c r="A23" s="7" t="s">
        <v>39</v>
      </c>
      <c r="B23" s="7" t="s">
        <v>655</v>
      </c>
      <c r="C23" s="7" t="s">
        <v>1039</v>
      </c>
      <c r="D23" s="7" t="n">
        <v>2</v>
      </c>
      <c r="E23" s="7" t="n">
        <v>313.95</v>
      </c>
      <c r="F23" s="7" t="n">
        <v>0</v>
      </c>
      <c r="G23" s="7" t="n">
        <v>0</v>
      </c>
    </row>
    <row r="24" customFormat="false" ht="15" hidden="false" customHeight="false" outlineLevel="0" collapsed="false">
      <c r="A24" s="7" t="s">
        <v>39</v>
      </c>
      <c r="B24" s="7" t="s">
        <v>655</v>
      </c>
      <c r="C24" s="7" t="s">
        <v>1039</v>
      </c>
      <c r="D24" s="7" t="n">
        <v>0</v>
      </c>
      <c r="E24" s="7" t="n">
        <v>0</v>
      </c>
      <c r="F24" s="7" t="n">
        <v>-1</v>
      </c>
      <c r="G24" s="7" t="n">
        <v>-130</v>
      </c>
    </row>
    <row r="25" customFormat="false" ht="15" hidden="false" customHeight="false" outlineLevel="0" collapsed="false">
      <c r="A25" s="7" t="s">
        <v>39</v>
      </c>
      <c r="B25" s="7" t="s">
        <v>257</v>
      </c>
      <c r="C25" s="7" t="s">
        <v>1040</v>
      </c>
      <c r="D25" s="7" t="n">
        <v>0</v>
      </c>
      <c r="E25" s="7" t="n">
        <v>0</v>
      </c>
      <c r="F25" s="7" t="n">
        <v>-1</v>
      </c>
      <c r="G25" s="7" t="n">
        <v>-115</v>
      </c>
    </row>
    <row r="26" customFormat="false" ht="15" hidden="false" customHeight="false" outlineLevel="0" collapsed="false">
      <c r="A26" s="7" t="s">
        <v>39</v>
      </c>
      <c r="B26" s="7" t="s">
        <v>147</v>
      </c>
      <c r="C26" s="7" t="s">
        <v>1041</v>
      </c>
      <c r="D26" s="7" t="n">
        <v>16</v>
      </c>
      <c r="E26" s="7" t="n">
        <v>2720.04</v>
      </c>
      <c r="F26" s="7" t="n">
        <v>3</v>
      </c>
      <c r="G26" s="7" t="n">
        <v>510.01</v>
      </c>
    </row>
    <row r="27" customFormat="false" ht="15" hidden="false" customHeight="false" outlineLevel="0" collapsed="false">
      <c r="A27" s="7" t="s">
        <v>39</v>
      </c>
      <c r="B27" s="7" t="s">
        <v>147</v>
      </c>
      <c r="C27" s="7" t="s">
        <v>1041</v>
      </c>
      <c r="D27" s="7" t="n">
        <v>8</v>
      </c>
      <c r="E27" s="7" t="n">
        <v>1320</v>
      </c>
      <c r="F27" s="7" t="n">
        <v>0</v>
      </c>
      <c r="G27" s="7" t="n">
        <v>0</v>
      </c>
    </row>
    <row r="28" customFormat="false" ht="15" hidden="false" customHeight="false" outlineLevel="0" collapsed="false">
      <c r="A28" s="7" t="s">
        <v>39</v>
      </c>
      <c r="B28" s="7" t="s">
        <v>706</v>
      </c>
      <c r="C28" s="7" t="s">
        <v>1042</v>
      </c>
      <c r="D28" s="7" t="n">
        <v>0</v>
      </c>
      <c r="E28" s="7" t="n">
        <v>0</v>
      </c>
      <c r="F28" s="7" t="n">
        <v>1</v>
      </c>
      <c r="G28" s="7" t="n">
        <v>140.57</v>
      </c>
    </row>
    <row r="29" customFormat="false" ht="15" hidden="false" customHeight="false" outlineLevel="0" collapsed="false">
      <c r="A29" s="7" t="s">
        <v>39</v>
      </c>
      <c r="B29" s="7" t="s">
        <v>139</v>
      </c>
      <c r="C29" s="7" t="s">
        <v>1043</v>
      </c>
      <c r="D29" s="7" t="n">
        <v>6</v>
      </c>
      <c r="E29" s="7" t="n">
        <v>540</v>
      </c>
      <c r="F29" s="7" t="n">
        <v>0</v>
      </c>
      <c r="G29" s="7" t="n">
        <v>0</v>
      </c>
    </row>
    <row r="30" customFormat="false" ht="15" hidden="false" customHeight="false" outlineLevel="0" collapsed="false">
      <c r="A30" s="7" t="s">
        <v>39</v>
      </c>
      <c r="B30" s="7" t="s">
        <v>146</v>
      </c>
      <c r="C30" s="7" t="s">
        <v>1043</v>
      </c>
      <c r="D30" s="7" t="n">
        <v>6</v>
      </c>
      <c r="E30" s="7" t="n">
        <v>540</v>
      </c>
      <c r="F30" s="7" t="n">
        <v>0</v>
      </c>
      <c r="G30" s="7" t="n">
        <v>0</v>
      </c>
    </row>
    <row r="31" customFormat="false" ht="15" hidden="false" customHeight="false" outlineLevel="0" collapsed="false">
      <c r="A31" s="7" t="s">
        <v>39</v>
      </c>
      <c r="B31" s="7" t="s">
        <v>121</v>
      </c>
      <c r="C31" s="7" t="s">
        <v>1043</v>
      </c>
      <c r="D31" s="7" t="n">
        <v>6</v>
      </c>
      <c r="E31" s="7" t="n">
        <v>540</v>
      </c>
      <c r="F31" s="7" t="n">
        <v>0</v>
      </c>
      <c r="G31" s="7" t="n">
        <v>0</v>
      </c>
    </row>
    <row r="32" customFormat="false" ht="15" hidden="false" customHeight="false" outlineLevel="0" collapsed="false">
      <c r="A32" s="7" t="s">
        <v>39</v>
      </c>
      <c r="B32" s="7" t="s">
        <v>120</v>
      </c>
      <c r="C32" s="7" t="s">
        <v>1044</v>
      </c>
      <c r="D32" s="7" t="n">
        <v>6</v>
      </c>
      <c r="E32" s="7" t="n">
        <v>540</v>
      </c>
      <c r="F32" s="7" t="n">
        <v>0</v>
      </c>
      <c r="G32" s="7" t="n">
        <v>0</v>
      </c>
    </row>
    <row r="33" customFormat="false" ht="15" hidden="false" customHeight="false" outlineLevel="0" collapsed="false">
      <c r="A33" s="7" t="s">
        <v>39</v>
      </c>
      <c r="B33" s="7" t="s">
        <v>116</v>
      </c>
      <c r="C33" s="7" t="s">
        <v>1044</v>
      </c>
      <c r="D33" s="7" t="n">
        <v>6</v>
      </c>
      <c r="E33" s="7" t="n">
        <v>540</v>
      </c>
      <c r="F33" s="7" t="n">
        <v>0</v>
      </c>
      <c r="G33" s="7" t="n">
        <v>0</v>
      </c>
    </row>
    <row r="34" customFormat="false" ht="15" hidden="false" customHeight="false" outlineLevel="0" collapsed="false">
      <c r="A34" s="7" t="s">
        <v>39</v>
      </c>
      <c r="B34" s="7" t="s">
        <v>114</v>
      </c>
      <c r="C34" s="7" t="s">
        <v>1044</v>
      </c>
      <c r="D34" s="7" t="n">
        <v>6</v>
      </c>
      <c r="E34" s="7" t="n">
        <v>540</v>
      </c>
      <c r="F34" s="7" t="n">
        <v>0</v>
      </c>
      <c r="G34" s="7" t="n">
        <v>0</v>
      </c>
    </row>
    <row r="35" customFormat="false" ht="15" hidden="false" customHeight="false" outlineLevel="0" collapsed="false">
      <c r="A35" s="7" t="s">
        <v>39</v>
      </c>
      <c r="B35" s="7" t="s">
        <v>356</v>
      </c>
      <c r="C35" s="7" t="s">
        <v>1045</v>
      </c>
      <c r="D35" s="7" t="n">
        <v>4</v>
      </c>
      <c r="E35" s="7" t="n">
        <v>132.18</v>
      </c>
      <c r="F35" s="7" t="n">
        <v>0</v>
      </c>
      <c r="G35" s="7" t="n">
        <v>0</v>
      </c>
    </row>
    <row r="36" customFormat="false" ht="15" hidden="false" customHeight="false" outlineLevel="0" collapsed="false">
      <c r="A36" s="7" t="s">
        <v>39</v>
      </c>
      <c r="B36" s="7" t="s">
        <v>356</v>
      </c>
      <c r="C36" s="7" t="s">
        <v>1045</v>
      </c>
      <c r="D36" s="7" t="n">
        <v>24</v>
      </c>
      <c r="E36" s="7" t="n">
        <v>955.08</v>
      </c>
      <c r="F36" s="7" t="n">
        <v>24</v>
      </c>
      <c r="G36" s="7" t="n">
        <v>955.1</v>
      </c>
    </row>
    <row r="37" customFormat="false" ht="15" hidden="false" customHeight="false" outlineLevel="0" collapsed="false">
      <c r="A37" s="7" t="s">
        <v>39</v>
      </c>
      <c r="B37" s="7" t="s">
        <v>163</v>
      </c>
      <c r="C37" s="7" t="s">
        <v>1046</v>
      </c>
      <c r="D37" s="7" t="n">
        <v>4</v>
      </c>
      <c r="E37" s="7" t="n">
        <v>143.55</v>
      </c>
      <c r="F37" s="7" t="n">
        <v>0</v>
      </c>
      <c r="G37" s="7" t="n">
        <v>0</v>
      </c>
    </row>
    <row r="38" customFormat="false" ht="15" hidden="false" customHeight="false" outlineLevel="0" collapsed="false">
      <c r="A38" s="7" t="s">
        <v>39</v>
      </c>
      <c r="B38" s="7" t="s">
        <v>163</v>
      </c>
      <c r="C38" s="7" t="s">
        <v>1046</v>
      </c>
      <c r="D38" s="7" t="n">
        <v>26</v>
      </c>
      <c r="E38" s="7" t="n">
        <v>1095.49</v>
      </c>
      <c r="F38" s="7" t="n">
        <v>18</v>
      </c>
      <c r="G38" s="7" t="n">
        <v>758.42</v>
      </c>
    </row>
    <row r="39" customFormat="false" ht="15" hidden="false" customHeight="false" outlineLevel="0" collapsed="false">
      <c r="A39" s="7" t="s">
        <v>39</v>
      </c>
      <c r="B39" s="7" t="s">
        <v>143</v>
      </c>
      <c r="C39" s="7" t="s">
        <v>1047</v>
      </c>
      <c r="D39" s="7" t="n">
        <v>0</v>
      </c>
      <c r="E39" s="7" t="n">
        <v>0</v>
      </c>
      <c r="F39" s="7" t="n">
        <v>-2</v>
      </c>
      <c r="G39" s="7" t="n">
        <v>-102.56</v>
      </c>
    </row>
    <row r="40" customFormat="false" ht="15" hidden="false" customHeight="false" outlineLevel="0" collapsed="false">
      <c r="A40" s="7" t="s">
        <v>39</v>
      </c>
      <c r="B40" s="7" t="s">
        <v>161</v>
      </c>
      <c r="C40" s="7" t="s">
        <v>1048</v>
      </c>
      <c r="D40" s="7" t="n">
        <v>0</v>
      </c>
      <c r="E40" s="7" t="n">
        <v>0</v>
      </c>
      <c r="F40" s="7" t="n">
        <v>-4</v>
      </c>
      <c r="G40" s="7" t="n">
        <v>-256.4</v>
      </c>
    </row>
    <row r="41" customFormat="false" ht="15" hidden="false" customHeight="false" outlineLevel="0" collapsed="false">
      <c r="A41" s="7" t="s">
        <v>39</v>
      </c>
      <c r="B41" s="7" t="s">
        <v>1010</v>
      </c>
      <c r="C41" s="7" t="s">
        <v>1049</v>
      </c>
      <c r="D41" s="7" t="n">
        <v>1</v>
      </c>
      <c r="E41" s="7" t="n">
        <v>72.65</v>
      </c>
      <c r="F41" s="7" t="n">
        <v>0</v>
      </c>
      <c r="G41" s="7" t="n">
        <v>0</v>
      </c>
    </row>
    <row r="42" customFormat="false" ht="15" hidden="false" customHeight="false" outlineLevel="0" collapsed="false">
      <c r="A42" s="7" t="s">
        <v>39</v>
      </c>
      <c r="B42" s="7" t="s">
        <v>597</v>
      </c>
      <c r="C42" s="7" t="s">
        <v>1050</v>
      </c>
      <c r="D42" s="7" t="n">
        <v>0</v>
      </c>
      <c r="E42" s="7" t="n">
        <v>0</v>
      </c>
      <c r="F42" s="7" t="n">
        <v>-1</v>
      </c>
      <c r="G42" s="7" t="n">
        <v>-46.82</v>
      </c>
    </row>
    <row r="43" customFormat="false" ht="15" hidden="false" customHeight="false" outlineLevel="0" collapsed="false">
      <c r="A43" s="7" t="s">
        <v>39</v>
      </c>
      <c r="B43" s="7" t="s">
        <v>341</v>
      </c>
      <c r="C43" s="7" t="s">
        <v>1050</v>
      </c>
      <c r="D43" s="7" t="n">
        <v>1</v>
      </c>
      <c r="E43" s="7" t="n">
        <v>46.82</v>
      </c>
      <c r="F43" s="7" t="n">
        <v>1</v>
      </c>
      <c r="G43" s="7" t="n">
        <v>46.82</v>
      </c>
    </row>
    <row r="44" customFormat="false" ht="15" hidden="false" customHeight="false" outlineLevel="0" collapsed="false">
      <c r="A44" s="7" t="s">
        <v>39</v>
      </c>
      <c r="B44" s="7" t="s">
        <v>216</v>
      </c>
      <c r="C44" s="7" t="s">
        <v>1051</v>
      </c>
      <c r="D44" s="7" t="n">
        <v>20</v>
      </c>
      <c r="E44" s="7" t="n">
        <v>898.95</v>
      </c>
      <c r="F44" s="7" t="n">
        <v>23</v>
      </c>
      <c r="G44" s="7" t="n">
        <v>1033.78</v>
      </c>
    </row>
    <row r="45" customFormat="false" ht="15" hidden="false" customHeight="false" outlineLevel="0" collapsed="false">
      <c r="A45" s="7" t="s">
        <v>39</v>
      </c>
      <c r="B45" s="7" t="s">
        <v>216</v>
      </c>
      <c r="C45" s="7" t="s">
        <v>1051</v>
      </c>
      <c r="D45" s="7" t="n">
        <v>4</v>
      </c>
      <c r="E45" s="7" t="n">
        <v>169.98</v>
      </c>
      <c r="F45" s="7" t="n">
        <v>0</v>
      </c>
      <c r="G45" s="7" t="n">
        <v>0</v>
      </c>
    </row>
    <row r="46" customFormat="false" ht="15" hidden="false" customHeight="false" outlineLevel="0" collapsed="false">
      <c r="A46" s="7" t="s">
        <v>39</v>
      </c>
      <c r="B46" s="7" t="s">
        <v>125</v>
      </c>
      <c r="C46" s="7" t="s">
        <v>1052</v>
      </c>
      <c r="D46" s="7" t="n">
        <v>17</v>
      </c>
      <c r="E46" s="7" t="n">
        <v>795.98</v>
      </c>
      <c r="F46" s="7" t="n">
        <v>19</v>
      </c>
      <c r="G46" s="7" t="n">
        <v>889.61</v>
      </c>
    </row>
    <row r="47" customFormat="false" ht="15" hidden="false" customHeight="false" outlineLevel="0" collapsed="false">
      <c r="A47" s="7" t="s">
        <v>39</v>
      </c>
      <c r="B47" s="7" t="s">
        <v>125</v>
      </c>
      <c r="C47" s="7" t="s">
        <v>1052</v>
      </c>
      <c r="D47" s="7" t="n">
        <v>2</v>
      </c>
      <c r="E47" s="7" t="n">
        <v>89.73</v>
      </c>
      <c r="F47" s="7" t="n">
        <v>0</v>
      </c>
      <c r="G47" s="7" t="n">
        <v>0</v>
      </c>
    </row>
    <row r="48" customFormat="false" ht="15" hidden="false" customHeight="false" outlineLevel="0" collapsed="false">
      <c r="A48" s="7" t="s">
        <v>39</v>
      </c>
      <c r="B48" s="7" t="s">
        <v>185</v>
      </c>
      <c r="C48" s="7" t="s">
        <v>1053</v>
      </c>
      <c r="D48" s="7" t="n">
        <v>20</v>
      </c>
      <c r="E48" s="7" t="n">
        <v>561.6</v>
      </c>
      <c r="F48" s="7" t="n">
        <v>0</v>
      </c>
      <c r="G48" s="7" t="n">
        <v>0</v>
      </c>
    </row>
    <row r="49" customFormat="false" ht="15" hidden="false" customHeight="false" outlineLevel="0" collapsed="false">
      <c r="A49" s="7" t="s">
        <v>39</v>
      </c>
      <c r="B49" s="7" t="s">
        <v>185</v>
      </c>
      <c r="C49" s="7" t="s">
        <v>1053</v>
      </c>
      <c r="D49" s="7" t="n">
        <v>40</v>
      </c>
      <c r="E49" s="7" t="n">
        <v>1141.81</v>
      </c>
      <c r="F49" s="7" t="n">
        <v>60</v>
      </c>
      <c r="G49" s="7" t="n">
        <v>1712.69</v>
      </c>
    </row>
    <row r="50" customFormat="false" ht="15" hidden="false" customHeight="false" outlineLevel="0" collapsed="false">
      <c r="A50" s="7" t="s">
        <v>39</v>
      </c>
      <c r="B50" s="7" t="s">
        <v>494</v>
      </c>
      <c r="C50" s="7" t="s">
        <v>1054</v>
      </c>
      <c r="D50" s="7" t="n">
        <v>10</v>
      </c>
      <c r="E50" s="7" t="n">
        <v>280.8</v>
      </c>
      <c r="F50" s="7" t="n">
        <v>20</v>
      </c>
      <c r="G50" s="7" t="n">
        <v>561.6</v>
      </c>
    </row>
    <row r="51" customFormat="false" ht="15" hidden="false" customHeight="false" outlineLevel="0" collapsed="false">
      <c r="A51" s="7" t="s">
        <v>39</v>
      </c>
      <c r="B51" s="7" t="s">
        <v>111</v>
      </c>
      <c r="C51" s="7" t="s">
        <v>1055</v>
      </c>
      <c r="D51" s="7" t="n">
        <v>2</v>
      </c>
      <c r="E51" s="7" t="n">
        <v>126.46</v>
      </c>
      <c r="F51" s="7" t="n">
        <v>0</v>
      </c>
      <c r="G51" s="7" t="n">
        <v>0</v>
      </c>
    </row>
    <row r="52" customFormat="false" ht="15" hidden="false" customHeight="false" outlineLevel="0" collapsed="false">
      <c r="A52" s="7" t="s">
        <v>39</v>
      </c>
      <c r="B52" s="7" t="s">
        <v>113</v>
      </c>
      <c r="C52" s="7" t="s">
        <v>1055</v>
      </c>
      <c r="D52" s="7" t="n">
        <v>2</v>
      </c>
      <c r="E52" s="7" t="n">
        <v>126.46</v>
      </c>
      <c r="F52" s="7" t="n">
        <v>0</v>
      </c>
      <c r="G52" s="7" t="n">
        <v>0</v>
      </c>
    </row>
    <row r="53" customFormat="false" ht="15" hidden="false" customHeight="false" outlineLevel="0" collapsed="false">
      <c r="A53" s="7" t="s">
        <v>39</v>
      </c>
      <c r="B53" s="7" t="s">
        <v>698</v>
      </c>
      <c r="C53" s="7" t="s">
        <v>1056</v>
      </c>
      <c r="D53" s="7" t="n">
        <v>0</v>
      </c>
      <c r="E53" s="7" t="n">
        <v>0</v>
      </c>
      <c r="F53" s="7" t="n">
        <v>-1</v>
      </c>
      <c r="G53" s="7" t="n">
        <v>-30.89</v>
      </c>
    </row>
    <row r="54" customFormat="false" ht="15" hidden="false" customHeight="false" outlineLevel="0" collapsed="false">
      <c r="A54" s="7" t="s">
        <v>39</v>
      </c>
      <c r="B54" s="7" t="s">
        <v>785</v>
      </c>
      <c r="C54" s="7" t="s">
        <v>1057</v>
      </c>
      <c r="D54" s="7" t="n">
        <v>1</v>
      </c>
      <c r="E54" s="7" t="n">
        <v>69</v>
      </c>
      <c r="F54" s="7" t="n">
        <v>0</v>
      </c>
      <c r="G54" s="7" t="n">
        <v>0</v>
      </c>
    </row>
    <row r="55" customFormat="false" ht="15" hidden="false" customHeight="false" outlineLevel="0" collapsed="false">
      <c r="A55" s="7" t="s">
        <v>39</v>
      </c>
      <c r="B55" s="7" t="s">
        <v>785</v>
      </c>
      <c r="C55" s="7" t="s">
        <v>1057</v>
      </c>
      <c r="D55" s="7" t="n">
        <v>0</v>
      </c>
      <c r="E55" s="7" t="n">
        <v>0</v>
      </c>
      <c r="F55" s="7" t="n">
        <v>3</v>
      </c>
      <c r="G55" s="7" t="n">
        <v>333.12</v>
      </c>
    </row>
    <row r="56" customFormat="false" ht="15" hidden="false" customHeight="false" outlineLevel="0" collapsed="false">
      <c r="A56" s="7" t="s">
        <v>39</v>
      </c>
      <c r="B56" s="7" t="s">
        <v>581</v>
      </c>
      <c r="C56" s="7" t="s">
        <v>1057</v>
      </c>
      <c r="D56" s="7" t="n">
        <v>1</v>
      </c>
      <c r="E56" s="7" t="n">
        <v>111.04</v>
      </c>
      <c r="F56" s="7" t="n">
        <v>0</v>
      </c>
      <c r="G56" s="7" t="n">
        <v>0</v>
      </c>
    </row>
    <row r="57" customFormat="false" ht="15" hidden="false" customHeight="false" outlineLevel="0" collapsed="false">
      <c r="A57" s="7" t="s">
        <v>39</v>
      </c>
      <c r="B57" s="7" t="s">
        <v>784</v>
      </c>
      <c r="C57" s="7" t="s">
        <v>1057</v>
      </c>
      <c r="D57" s="7" t="n">
        <v>2</v>
      </c>
      <c r="E57" s="7" t="n">
        <v>138</v>
      </c>
      <c r="F57" s="7" t="n">
        <v>0</v>
      </c>
      <c r="G57" s="7" t="n">
        <v>0</v>
      </c>
    </row>
    <row r="58" customFormat="false" ht="15" hidden="false" customHeight="false" outlineLevel="0" collapsed="false">
      <c r="A58" s="7" t="s">
        <v>39</v>
      </c>
      <c r="B58" s="7" t="s">
        <v>784</v>
      </c>
      <c r="C58" s="7" t="s">
        <v>1057</v>
      </c>
      <c r="D58" s="7" t="n">
        <v>0</v>
      </c>
      <c r="E58" s="7" t="n">
        <v>0</v>
      </c>
      <c r="F58" s="7" t="n">
        <v>5</v>
      </c>
      <c r="G58" s="7" t="n">
        <v>555.2</v>
      </c>
    </row>
    <row r="59" customFormat="false" ht="15" hidden="false" customHeight="false" outlineLevel="0" collapsed="false">
      <c r="A59" s="7" t="s">
        <v>39</v>
      </c>
      <c r="B59" s="7" t="s">
        <v>786</v>
      </c>
      <c r="C59" s="7" t="s">
        <v>1057</v>
      </c>
      <c r="D59" s="7" t="n">
        <v>3</v>
      </c>
      <c r="E59" s="7" t="n">
        <v>333.11</v>
      </c>
      <c r="F59" s="7" t="n">
        <v>2</v>
      </c>
      <c r="G59" s="7" t="n">
        <v>222.07</v>
      </c>
    </row>
    <row r="60" customFormat="false" ht="15" hidden="false" customHeight="false" outlineLevel="0" collapsed="false">
      <c r="A60" s="7" t="s">
        <v>39</v>
      </c>
      <c r="B60" s="7" t="s">
        <v>786</v>
      </c>
      <c r="C60" s="7" t="s">
        <v>1057</v>
      </c>
      <c r="D60" s="7" t="n">
        <v>1</v>
      </c>
      <c r="E60" s="7" t="n">
        <v>69</v>
      </c>
      <c r="F60" s="7" t="n">
        <v>0</v>
      </c>
      <c r="G60" s="7" t="n">
        <v>0</v>
      </c>
    </row>
    <row r="61" customFormat="false" ht="15" hidden="false" customHeight="false" outlineLevel="0" collapsed="false">
      <c r="A61" s="7" t="s">
        <v>39</v>
      </c>
      <c r="B61" s="7" t="s">
        <v>385</v>
      </c>
      <c r="C61" s="7" t="s">
        <v>1058</v>
      </c>
      <c r="D61" s="7" t="n">
        <v>0</v>
      </c>
      <c r="E61" s="7" t="n">
        <v>0</v>
      </c>
      <c r="F61" s="7" t="n">
        <v>-1</v>
      </c>
      <c r="G61" s="7" t="n">
        <v>-158.12</v>
      </c>
    </row>
    <row r="62" customFormat="false" ht="15" hidden="false" customHeight="false" outlineLevel="0" collapsed="false">
      <c r="A62" s="7" t="s">
        <v>39</v>
      </c>
      <c r="B62" s="7" t="s">
        <v>314</v>
      </c>
      <c r="C62" s="7" t="s">
        <v>1059</v>
      </c>
      <c r="D62" s="7" t="n">
        <v>1</v>
      </c>
      <c r="E62" s="7" t="n">
        <v>140</v>
      </c>
      <c r="F62" s="7" t="n">
        <v>0</v>
      </c>
      <c r="G62" s="7" t="n">
        <v>0</v>
      </c>
    </row>
    <row r="63" customFormat="false" ht="15" hidden="false" customHeight="false" outlineLevel="0" collapsed="false">
      <c r="A63" s="7" t="s">
        <v>39</v>
      </c>
      <c r="B63" s="7" t="s">
        <v>184</v>
      </c>
      <c r="C63" s="7" t="s">
        <v>1060</v>
      </c>
      <c r="D63" s="7" t="n">
        <v>0</v>
      </c>
      <c r="E63" s="7" t="n">
        <v>0</v>
      </c>
      <c r="F63" s="7" t="n">
        <v>-3</v>
      </c>
      <c r="G63" s="7" t="n">
        <v>-346.15</v>
      </c>
    </row>
    <row r="64" customFormat="false" ht="15" hidden="false" customHeight="false" outlineLevel="0" collapsed="false">
      <c r="A64" s="7" t="s">
        <v>39</v>
      </c>
      <c r="B64" s="7" t="s">
        <v>130</v>
      </c>
      <c r="C64" s="7" t="s">
        <v>1060</v>
      </c>
      <c r="D64" s="7" t="n">
        <v>1</v>
      </c>
      <c r="E64" s="7" t="n">
        <v>115.38</v>
      </c>
      <c r="F64" s="7" t="n">
        <v>0</v>
      </c>
      <c r="G64" s="7" t="n">
        <v>0</v>
      </c>
    </row>
    <row r="65" customFormat="false" ht="15" hidden="false" customHeight="false" outlineLevel="0" collapsed="false">
      <c r="A65" s="7" t="s">
        <v>39</v>
      </c>
      <c r="B65" s="7" t="s">
        <v>933</v>
      </c>
      <c r="C65" s="7" t="s">
        <v>1061</v>
      </c>
      <c r="D65" s="7" t="n">
        <v>0</v>
      </c>
      <c r="E65" s="7" t="n">
        <v>0</v>
      </c>
      <c r="F65" s="7" t="n">
        <v>-2</v>
      </c>
      <c r="G65" s="7" t="n">
        <v>-46.16</v>
      </c>
    </row>
    <row r="66" customFormat="false" ht="15" hidden="false" customHeight="false" outlineLevel="0" collapsed="false">
      <c r="A66" s="7" t="s">
        <v>39</v>
      </c>
      <c r="B66" s="7" t="s">
        <v>935</v>
      </c>
      <c r="C66" s="7" t="s">
        <v>1061</v>
      </c>
      <c r="D66" s="7" t="n">
        <v>0</v>
      </c>
      <c r="E66" s="7" t="n">
        <v>0</v>
      </c>
      <c r="F66" s="7" t="n">
        <v>-2</v>
      </c>
      <c r="G66" s="7" t="n">
        <v>-46.16</v>
      </c>
    </row>
    <row r="67" customFormat="false" ht="15" hidden="false" customHeight="false" outlineLevel="0" collapsed="false">
      <c r="A67" s="7" t="s">
        <v>39</v>
      </c>
      <c r="B67" s="7" t="s">
        <v>472</v>
      </c>
      <c r="C67" s="7" t="s">
        <v>1062</v>
      </c>
      <c r="D67" s="7" t="n">
        <v>1</v>
      </c>
      <c r="E67" s="7" t="n">
        <v>66.51</v>
      </c>
      <c r="F67" s="7" t="n">
        <v>0</v>
      </c>
      <c r="G67" s="7" t="n">
        <v>0</v>
      </c>
    </row>
    <row r="68" customFormat="false" ht="15" hidden="false" customHeight="false" outlineLevel="0" collapsed="false">
      <c r="A68" s="7" t="s">
        <v>39</v>
      </c>
      <c r="B68" s="7" t="s">
        <v>1007</v>
      </c>
      <c r="C68" s="7" t="s">
        <v>1063</v>
      </c>
      <c r="D68" s="7" t="n">
        <v>1</v>
      </c>
      <c r="E68" s="7" t="n">
        <v>220.43</v>
      </c>
      <c r="F68" s="7" t="n">
        <v>0</v>
      </c>
      <c r="G68" s="7" t="n">
        <v>0</v>
      </c>
    </row>
    <row r="69" customFormat="false" ht="15" hidden="false" customHeight="false" outlineLevel="0" collapsed="false">
      <c r="A69" s="7" t="s">
        <v>39</v>
      </c>
      <c r="B69" s="7" t="s">
        <v>1007</v>
      </c>
      <c r="C69" s="7" t="s">
        <v>1063</v>
      </c>
      <c r="D69" s="7" t="n">
        <v>3</v>
      </c>
      <c r="E69" s="7" t="n">
        <v>659.92</v>
      </c>
      <c r="F69" s="7" t="n">
        <v>0</v>
      </c>
      <c r="G69" s="7" t="n">
        <v>0</v>
      </c>
    </row>
    <row r="70" customFormat="false" ht="15" hidden="false" customHeight="false" outlineLevel="0" collapsed="false">
      <c r="A70" s="7" t="s">
        <v>39</v>
      </c>
      <c r="B70" s="7" t="s">
        <v>1009</v>
      </c>
      <c r="C70" s="7" t="s">
        <v>1063</v>
      </c>
      <c r="D70" s="7" t="n">
        <v>2</v>
      </c>
      <c r="E70" s="7" t="n">
        <v>439.97</v>
      </c>
      <c r="F70" s="7" t="n">
        <v>0</v>
      </c>
      <c r="G70" s="7" t="n">
        <v>0</v>
      </c>
    </row>
    <row r="71" customFormat="false" ht="15" hidden="false" customHeight="false" outlineLevel="0" collapsed="false">
      <c r="A71" s="7" t="s">
        <v>39</v>
      </c>
      <c r="B71" s="7" t="s">
        <v>1009</v>
      </c>
      <c r="C71" s="7" t="s">
        <v>1063</v>
      </c>
      <c r="D71" s="7" t="n">
        <v>0</v>
      </c>
      <c r="E71" s="7" t="n">
        <v>0</v>
      </c>
      <c r="F71" s="7" t="n">
        <v>1</v>
      </c>
      <c r="G71" s="7" t="n">
        <v>219.76</v>
      </c>
    </row>
    <row r="72" customFormat="false" ht="15" hidden="false" customHeight="false" outlineLevel="0" collapsed="false">
      <c r="A72" s="7" t="s">
        <v>39</v>
      </c>
      <c r="B72" s="7" t="s">
        <v>1008</v>
      </c>
      <c r="C72" s="7" t="s">
        <v>1063</v>
      </c>
      <c r="D72" s="7" t="n">
        <v>2</v>
      </c>
      <c r="E72" s="7" t="n">
        <v>440.1</v>
      </c>
      <c r="F72" s="7" t="n">
        <v>0</v>
      </c>
      <c r="G72" s="7" t="n">
        <v>0</v>
      </c>
    </row>
    <row r="73" customFormat="false" ht="15" hidden="false" customHeight="false" outlineLevel="0" collapsed="false">
      <c r="A73" s="7" t="s">
        <v>39</v>
      </c>
      <c r="B73" s="7" t="s">
        <v>979</v>
      </c>
      <c r="C73" s="7" t="s">
        <v>1063</v>
      </c>
      <c r="D73" s="7" t="n">
        <v>2</v>
      </c>
      <c r="E73" s="7" t="n">
        <v>440.1</v>
      </c>
      <c r="F73" s="7" t="n">
        <v>0</v>
      </c>
      <c r="G73" s="7" t="n">
        <v>0</v>
      </c>
    </row>
    <row r="74" customFormat="false" ht="15" hidden="false" customHeight="false" outlineLevel="0" collapsed="false">
      <c r="A74" s="7" t="s">
        <v>39</v>
      </c>
      <c r="B74" s="7" t="s">
        <v>979</v>
      </c>
      <c r="C74" s="7" t="s">
        <v>1063</v>
      </c>
      <c r="D74" s="7" t="n">
        <v>4</v>
      </c>
      <c r="E74" s="7" t="n">
        <v>881.7</v>
      </c>
      <c r="F74" s="7" t="n">
        <v>0</v>
      </c>
      <c r="G74" s="7" t="n">
        <v>0</v>
      </c>
    </row>
    <row r="75" customFormat="false" ht="15" hidden="false" customHeight="false" outlineLevel="0" collapsed="false">
      <c r="A75" s="7" t="s">
        <v>39</v>
      </c>
      <c r="B75" s="7" t="s">
        <v>981</v>
      </c>
      <c r="C75" s="7" t="s">
        <v>1064</v>
      </c>
      <c r="D75" s="7" t="n">
        <v>2</v>
      </c>
      <c r="E75" s="7" t="n">
        <v>520</v>
      </c>
      <c r="F75" s="7" t="n">
        <v>7</v>
      </c>
      <c r="G75" s="7" t="n">
        <v>1820.02</v>
      </c>
    </row>
    <row r="76" customFormat="false" ht="15" hidden="false" customHeight="false" outlineLevel="0" collapsed="false">
      <c r="A76" s="7" t="s">
        <v>39</v>
      </c>
      <c r="B76" s="7" t="s">
        <v>981</v>
      </c>
      <c r="C76" s="7" t="s">
        <v>1064</v>
      </c>
      <c r="D76" s="7" t="n">
        <v>2</v>
      </c>
      <c r="E76" s="7" t="n">
        <v>444</v>
      </c>
      <c r="F76" s="7" t="n">
        <v>0</v>
      </c>
      <c r="G76" s="7" t="n">
        <v>0</v>
      </c>
    </row>
    <row r="77" customFormat="false" ht="15" hidden="false" customHeight="false" outlineLevel="0" collapsed="false">
      <c r="A77" s="7" t="s">
        <v>39</v>
      </c>
      <c r="B77" s="7" t="s">
        <v>372</v>
      </c>
      <c r="C77" s="7" t="s">
        <v>1064</v>
      </c>
      <c r="D77" s="7" t="n">
        <v>18</v>
      </c>
      <c r="E77" s="7" t="n">
        <v>4680.03</v>
      </c>
      <c r="F77" s="7" t="n">
        <v>9</v>
      </c>
      <c r="G77" s="7" t="n">
        <v>2340</v>
      </c>
    </row>
    <row r="78" customFormat="false" ht="15" hidden="false" customHeight="false" outlineLevel="0" collapsed="false">
      <c r="A78" s="7" t="s">
        <v>39</v>
      </c>
      <c r="B78" s="7" t="s">
        <v>372</v>
      </c>
      <c r="C78" s="7" t="s">
        <v>1064</v>
      </c>
      <c r="D78" s="7" t="n">
        <v>4</v>
      </c>
      <c r="E78" s="7" t="n">
        <v>888</v>
      </c>
      <c r="F78" s="7" t="n">
        <v>0</v>
      </c>
      <c r="G78" s="7" t="n">
        <v>0</v>
      </c>
    </row>
    <row r="79" customFormat="false" ht="15" hidden="false" customHeight="false" outlineLevel="0" collapsed="false">
      <c r="A79" s="7" t="s">
        <v>39</v>
      </c>
      <c r="B79" s="7" t="s">
        <v>138</v>
      </c>
      <c r="C79" s="7" t="s">
        <v>1064</v>
      </c>
      <c r="D79" s="7" t="n">
        <v>14</v>
      </c>
      <c r="E79" s="7" t="n">
        <v>3640.02</v>
      </c>
      <c r="F79" s="7" t="n">
        <v>19</v>
      </c>
      <c r="G79" s="7" t="n">
        <v>4940.03</v>
      </c>
    </row>
    <row r="80" customFormat="false" ht="15" hidden="false" customHeight="false" outlineLevel="0" collapsed="false">
      <c r="A80" s="7" t="s">
        <v>39</v>
      </c>
      <c r="B80" s="7" t="s">
        <v>138</v>
      </c>
      <c r="C80" s="7" t="s">
        <v>1064</v>
      </c>
      <c r="D80" s="7" t="n">
        <v>14</v>
      </c>
      <c r="E80" s="7" t="n">
        <v>3108</v>
      </c>
      <c r="F80" s="7" t="n">
        <v>0</v>
      </c>
      <c r="G80" s="7" t="n">
        <v>0</v>
      </c>
    </row>
    <row r="81" customFormat="false" ht="15" hidden="false" customHeight="false" outlineLevel="0" collapsed="false">
      <c r="A81" s="7" t="s">
        <v>39</v>
      </c>
      <c r="B81" s="7" t="s">
        <v>200</v>
      </c>
      <c r="C81" s="7" t="s">
        <v>1064</v>
      </c>
      <c r="D81" s="7" t="n">
        <v>8</v>
      </c>
      <c r="E81" s="7" t="n">
        <v>2080.03</v>
      </c>
      <c r="F81" s="7" t="n">
        <v>18</v>
      </c>
      <c r="G81" s="7" t="n">
        <v>4680.05</v>
      </c>
    </row>
    <row r="82" customFormat="false" ht="15" hidden="false" customHeight="false" outlineLevel="0" collapsed="false">
      <c r="A82" s="7" t="s">
        <v>39</v>
      </c>
      <c r="B82" s="7" t="s">
        <v>200</v>
      </c>
      <c r="C82" s="7" t="s">
        <v>1064</v>
      </c>
      <c r="D82" s="7" t="n">
        <v>2</v>
      </c>
      <c r="E82" s="7" t="n">
        <v>444</v>
      </c>
      <c r="F82" s="7" t="n">
        <v>0</v>
      </c>
      <c r="G82" s="7" t="n">
        <v>0</v>
      </c>
    </row>
    <row r="83" customFormat="false" ht="15" hidden="false" customHeight="false" outlineLevel="0" collapsed="false">
      <c r="A83" s="7" t="s">
        <v>39</v>
      </c>
      <c r="B83" s="7" t="s">
        <v>223</v>
      </c>
      <c r="C83" s="7" t="s">
        <v>1065</v>
      </c>
      <c r="D83" s="7" t="n">
        <v>0</v>
      </c>
      <c r="E83" s="7" t="n">
        <v>0</v>
      </c>
      <c r="F83" s="7" t="n">
        <v>-1</v>
      </c>
      <c r="G83" s="7" t="n">
        <v>-160</v>
      </c>
    </row>
    <row r="84" customFormat="false" ht="15" hidden="false" customHeight="false" outlineLevel="0" collapsed="false">
      <c r="A84" s="7" t="s">
        <v>39</v>
      </c>
      <c r="B84" s="7" t="s">
        <v>260</v>
      </c>
      <c r="C84" s="7" t="s">
        <v>1065</v>
      </c>
      <c r="D84" s="7" t="n">
        <v>0</v>
      </c>
      <c r="E84" s="7" t="n">
        <v>0</v>
      </c>
      <c r="F84" s="7" t="n">
        <v>-2</v>
      </c>
      <c r="G84" s="7" t="n">
        <v>-319.99</v>
      </c>
    </row>
    <row r="85" customFormat="false" ht="15" hidden="false" customHeight="false" outlineLevel="0" collapsed="false">
      <c r="A85" s="7" t="s">
        <v>39</v>
      </c>
      <c r="B85" s="7" t="s">
        <v>383</v>
      </c>
      <c r="C85" s="7" t="s">
        <v>1065</v>
      </c>
      <c r="D85" s="7" t="n">
        <v>0</v>
      </c>
      <c r="E85" s="7" t="n">
        <v>0</v>
      </c>
      <c r="F85" s="7" t="n">
        <v>-1</v>
      </c>
      <c r="G85" s="7" t="n">
        <v>-160</v>
      </c>
    </row>
    <row r="86" customFormat="false" ht="15" hidden="false" customHeight="false" outlineLevel="0" collapsed="false">
      <c r="A86" s="7" t="s">
        <v>39</v>
      </c>
      <c r="B86" s="7" t="s">
        <v>144</v>
      </c>
      <c r="C86" s="7" t="s">
        <v>1066</v>
      </c>
      <c r="D86" s="7" t="n">
        <v>1</v>
      </c>
      <c r="E86" s="7" t="n">
        <v>350</v>
      </c>
      <c r="F86" s="7" t="n">
        <v>0</v>
      </c>
      <c r="G86" s="7" t="n">
        <v>0</v>
      </c>
    </row>
    <row r="87" customFormat="false" ht="15" hidden="false" customHeight="false" outlineLevel="0" collapsed="false">
      <c r="A87" s="7" t="s">
        <v>39</v>
      </c>
      <c r="B87" s="7" t="s">
        <v>603</v>
      </c>
      <c r="C87" s="7" t="s">
        <v>1067</v>
      </c>
      <c r="D87" s="7" t="n">
        <v>24</v>
      </c>
      <c r="E87" s="7" t="n">
        <v>600.3</v>
      </c>
      <c r="F87" s="7" t="n">
        <v>0</v>
      </c>
      <c r="G87" s="7" t="n">
        <v>0</v>
      </c>
    </row>
    <row r="88" customFormat="false" ht="15" hidden="false" customHeight="false" outlineLevel="0" collapsed="false">
      <c r="A88" s="7" t="s">
        <v>39</v>
      </c>
      <c r="B88" s="7" t="s">
        <v>601</v>
      </c>
      <c r="C88" s="7" t="s">
        <v>1067</v>
      </c>
      <c r="D88" s="7" t="n">
        <v>24</v>
      </c>
      <c r="E88" s="7" t="n">
        <v>600.3</v>
      </c>
      <c r="F88" s="7" t="n">
        <v>0</v>
      </c>
      <c r="G88" s="7" t="n">
        <v>0</v>
      </c>
    </row>
    <row r="89" customFormat="false" ht="15" hidden="false" customHeight="false" outlineLevel="0" collapsed="false">
      <c r="A89" s="7" t="s">
        <v>39</v>
      </c>
      <c r="B89" s="7" t="s">
        <v>296</v>
      </c>
      <c r="C89" s="7" t="s">
        <v>1067</v>
      </c>
      <c r="D89" s="7" t="n">
        <v>24</v>
      </c>
      <c r="E89" s="7" t="n">
        <v>600.3</v>
      </c>
      <c r="F89" s="7" t="n">
        <v>0</v>
      </c>
      <c r="G89" s="7" t="n">
        <v>0</v>
      </c>
    </row>
    <row r="90" customFormat="false" ht="15" hidden="false" customHeight="false" outlineLevel="0" collapsed="false">
      <c r="A90" s="7" t="s">
        <v>39</v>
      </c>
      <c r="B90" s="7" t="s">
        <v>416</v>
      </c>
      <c r="C90" s="7" t="s">
        <v>1067</v>
      </c>
      <c r="D90" s="7" t="n">
        <v>24</v>
      </c>
      <c r="E90" s="7" t="n">
        <v>600.3</v>
      </c>
      <c r="F90" s="7" t="n">
        <v>0</v>
      </c>
      <c r="G90" s="7" t="n">
        <v>0</v>
      </c>
    </row>
    <row r="91" customFormat="false" ht="15" hidden="false" customHeight="false" outlineLevel="0" collapsed="false">
      <c r="A91" s="7" t="s">
        <v>39</v>
      </c>
      <c r="B91" s="7" t="s">
        <v>321</v>
      </c>
      <c r="C91" s="7" t="s">
        <v>1068</v>
      </c>
      <c r="D91" s="7" t="n">
        <v>2</v>
      </c>
      <c r="E91" s="7" t="n">
        <v>281.14</v>
      </c>
      <c r="F91" s="7" t="n">
        <v>2</v>
      </c>
      <c r="G91" s="7" t="n">
        <v>281.14</v>
      </c>
    </row>
    <row r="92" customFormat="false" ht="15" hidden="false" customHeight="false" outlineLevel="0" collapsed="false">
      <c r="A92" s="7" t="s">
        <v>39</v>
      </c>
      <c r="B92" s="7" t="s">
        <v>155</v>
      </c>
      <c r="C92" s="7" t="s">
        <v>1068</v>
      </c>
      <c r="D92" s="7" t="n">
        <v>3</v>
      </c>
      <c r="E92" s="7" t="n">
        <v>421.74</v>
      </c>
      <c r="F92" s="7" t="n">
        <v>2</v>
      </c>
      <c r="G92" s="7" t="n">
        <v>281.14</v>
      </c>
    </row>
    <row r="93" customFormat="false" ht="15" hidden="false" customHeight="false" outlineLevel="0" collapsed="false">
      <c r="A93" s="7" t="s">
        <v>39</v>
      </c>
      <c r="B93" s="7" t="s">
        <v>158</v>
      </c>
      <c r="C93" s="7" t="s">
        <v>1068</v>
      </c>
      <c r="D93" s="7" t="n">
        <v>16</v>
      </c>
      <c r="E93" s="7" t="n">
        <v>2240.02</v>
      </c>
      <c r="F93" s="7" t="n">
        <v>40</v>
      </c>
      <c r="G93" s="7" t="n">
        <v>5600.08</v>
      </c>
    </row>
    <row r="94" customFormat="false" ht="15" hidden="false" customHeight="false" outlineLevel="0" collapsed="false">
      <c r="A94" s="7" t="s">
        <v>39</v>
      </c>
      <c r="B94" s="7" t="s">
        <v>158</v>
      </c>
      <c r="C94" s="7" t="s">
        <v>1068</v>
      </c>
      <c r="D94" s="7" t="n">
        <v>1</v>
      </c>
      <c r="E94" s="7" t="n">
        <v>127</v>
      </c>
      <c r="F94" s="7" t="n">
        <v>0</v>
      </c>
      <c r="G94" s="7" t="n">
        <v>0</v>
      </c>
    </row>
    <row r="95" customFormat="false" ht="15" hidden="false" customHeight="false" outlineLevel="0" collapsed="false">
      <c r="A95" s="7" t="s">
        <v>39</v>
      </c>
      <c r="B95" s="7" t="s">
        <v>358</v>
      </c>
      <c r="C95" s="7" t="s">
        <v>1068</v>
      </c>
      <c r="D95" s="7" t="n">
        <v>14</v>
      </c>
      <c r="E95" s="7" t="n">
        <v>1960.03</v>
      </c>
      <c r="F95" s="7" t="n">
        <v>27</v>
      </c>
      <c r="G95" s="7" t="n">
        <v>3780.05</v>
      </c>
    </row>
    <row r="96" customFormat="false" ht="15" hidden="false" customHeight="false" outlineLevel="0" collapsed="false">
      <c r="A96" s="7" t="s">
        <v>39</v>
      </c>
      <c r="B96" s="7" t="s">
        <v>278</v>
      </c>
      <c r="C96" s="7" t="s">
        <v>1068</v>
      </c>
      <c r="D96" s="7" t="n">
        <v>5</v>
      </c>
      <c r="E96" s="7" t="n">
        <v>700.04</v>
      </c>
      <c r="F96" s="7" t="n">
        <v>2</v>
      </c>
      <c r="G96" s="7" t="n">
        <v>280</v>
      </c>
    </row>
    <row r="97" customFormat="false" ht="15" hidden="false" customHeight="false" outlineLevel="0" collapsed="false">
      <c r="A97" s="7" t="s">
        <v>39</v>
      </c>
      <c r="B97" s="7" t="s">
        <v>194</v>
      </c>
      <c r="C97" s="7" t="s">
        <v>1068</v>
      </c>
      <c r="D97" s="7" t="n">
        <v>10</v>
      </c>
      <c r="E97" s="7" t="n">
        <v>1400</v>
      </c>
      <c r="F97" s="7" t="n">
        <v>34</v>
      </c>
      <c r="G97" s="7" t="n">
        <v>4760.06</v>
      </c>
    </row>
    <row r="98" customFormat="false" ht="15" hidden="false" customHeight="false" outlineLevel="0" collapsed="false">
      <c r="A98" s="7" t="s">
        <v>39</v>
      </c>
      <c r="B98" s="7" t="s">
        <v>555</v>
      </c>
      <c r="C98" s="7" t="s">
        <v>1068</v>
      </c>
      <c r="D98" s="7" t="n">
        <v>9</v>
      </c>
      <c r="E98" s="7" t="n">
        <v>1260</v>
      </c>
      <c r="F98" s="7" t="n">
        <v>5</v>
      </c>
      <c r="G98" s="7" t="n">
        <v>700.01</v>
      </c>
    </row>
    <row r="99" customFormat="false" ht="15" hidden="false" customHeight="false" outlineLevel="0" collapsed="false">
      <c r="A99" s="7" t="s">
        <v>39</v>
      </c>
      <c r="B99" s="7" t="s">
        <v>714</v>
      </c>
      <c r="C99" s="7" t="s">
        <v>1069</v>
      </c>
      <c r="D99" s="7" t="n">
        <v>0</v>
      </c>
      <c r="E99" s="7" t="n">
        <v>0</v>
      </c>
      <c r="F99" s="7" t="n">
        <v>-4</v>
      </c>
      <c r="G99" s="7" t="n">
        <v>-123.57</v>
      </c>
    </row>
    <row r="100" customFormat="false" ht="15" hidden="false" customHeight="false" outlineLevel="0" collapsed="false">
      <c r="A100" s="7" t="s">
        <v>39</v>
      </c>
      <c r="B100" s="7" t="s">
        <v>320</v>
      </c>
      <c r="C100" s="7" t="s">
        <v>1070</v>
      </c>
      <c r="D100" s="7" t="n">
        <v>1</v>
      </c>
      <c r="E100" s="7" t="n">
        <v>0.01</v>
      </c>
      <c r="F100" s="7" t="n">
        <v>0</v>
      </c>
      <c r="G100" s="7" t="n">
        <v>0</v>
      </c>
    </row>
    <row r="101" customFormat="false" ht="15" hidden="false" customHeight="false" outlineLevel="0" collapsed="false">
      <c r="A101" s="7" t="s">
        <v>39</v>
      </c>
      <c r="B101" s="7" t="s">
        <v>320</v>
      </c>
      <c r="C101" s="7" t="s">
        <v>1070</v>
      </c>
      <c r="D101" s="7" t="n">
        <v>5</v>
      </c>
      <c r="E101" s="7" t="n">
        <v>107.59</v>
      </c>
      <c r="F101" s="7" t="n">
        <v>0</v>
      </c>
      <c r="G101" s="7" t="n">
        <v>0</v>
      </c>
    </row>
    <row r="102" customFormat="false" ht="15" hidden="false" customHeight="false" outlineLevel="0" collapsed="false">
      <c r="A102" s="7" t="s">
        <v>39</v>
      </c>
      <c r="B102" s="7" t="s">
        <v>190</v>
      </c>
      <c r="C102" s="7" t="s">
        <v>1071</v>
      </c>
      <c r="D102" s="7" t="n">
        <v>5</v>
      </c>
      <c r="E102" s="7" t="n">
        <v>117</v>
      </c>
      <c r="F102" s="7" t="n">
        <v>0</v>
      </c>
      <c r="G102" s="7" t="n">
        <v>0</v>
      </c>
    </row>
    <row r="103" customFormat="false" ht="15" hidden="false" customHeight="false" outlineLevel="0" collapsed="false">
      <c r="A103" s="7" t="s">
        <v>39</v>
      </c>
      <c r="B103" s="7" t="s">
        <v>190</v>
      </c>
      <c r="C103" s="7" t="s">
        <v>1071</v>
      </c>
      <c r="D103" s="7" t="n">
        <v>1</v>
      </c>
      <c r="E103" s="7" t="n">
        <v>0.01</v>
      </c>
      <c r="F103" s="7" t="n">
        <v>0</v>
      </c>
      <c r="G103" s="7" t="n">
        <v>0</v>
      </c>
    </row>
    <row r="104" customFormat="false" ht="15" hidden="false" customHeight="false" outlineLevel="0" collapsed="false">
      <c r="A104" s="7" t="s">
        <v>39</v>
      </c>
      <c r="B104" s="7" t="s">
        <v>674</v>
      </c>
      <c r="C104" s="7" t="s">
        <v>1072</v>
      </c>
      <c r="D104" s="7" t="n">
        <v>150</v>
      </c>
      <c r="E104" s="7" t="n">
        <v>2880</v>
      </c>
      <c r="F104" s="7" t="n">
        <v>188</v>
      </c>
      <c r="G104" s="7" t="n">
        <v>3369.6</v>
      </c>
    </row>
    <row r="105" customFormat="false" ht="15" hidden="false" customHeight="false" outlineLevel="0" collapsed="false">
      <c r="A105" s="7" t="s">
        <v>39</v>
      </c>
      <c r="B105" s="7" t="s">
        <v>674</v>
      </c>
      <c r="C105" s="7" t="s">
        <v>1072</v>
      </c>
      <c r="D105" s="7" t="n">
        <v>150</v>
      </c>
      <c r="E105" s="7" t="n">
        <v>2880</v>
      </c>
      <c r="F105" s="7" t="n">
        <v>50</v>
      </c>
      <c r="G105" s="7" t="n">
        <v>960</v>
      </c>
    </row>
    <row r="106" customFormat="false" ht="15" hidden="false" customHeight="false" outlineLevel="0" collapsed="false">
      <c r="A106" s="7" t="s">
        <v>39</v>
      </c>
      <c r="B106" s="7" t="s">
        <v>283</v>
      </c>
      <c r="C106" s="7" t="s">
        <v>1073</v>
      </c>
      <c r="D106" s="7" t="n">
        <v>1</v>
      </c>
      <c r="E106" s="7" t="n">
        <v>93.67</v>
      </c>
      <c r="F106" s="7" t="n">
        <v>0</v>
      </c>
      <c r="G106" s="7" t="n">
        <v>0</v>
      </c>
    </row>
    <row r="107" customFormat="false" ht="15" hidden="false" customHeight="false" outlineLevel="0" collapsed="false">
      <c r="A107" s="7" t="s">
        <v>39</v>
      </c>
      <c r="B107" s="7" t="s">
        <v>326</v>
      </c>
      <c r="C107" s="7" t="s">
        <v>1074</v>
      </c>
      <c r="D107" s="7" t="n">
        <v>1</v>
      </c>
      <c r="E107" s="7" t="n">
        <v>164.02</v>
      </c>
      <c r="F107" s="7" t="n">
        <v>0</v>
      </c>
      <c r="G107" s="7" t="n">
        <v>0</v>
      </c>
    </row>
    <row r="108" customFormat="false" ht="15" hidden="false" customHeight="false" outlineLevel="0" collapsed="false">
      <c r="A108" s="7" t="s">
        <v>39</v>
      </c>
      <c r="B108" s="7" t="s">
        <v>326</v>
      </c>
      <c r="C108" s="7" t="s">
        <v>1074</v>
      </c>
      <c r="D108" s="7" t="n">
        <v>2</v>
      </c>
      <c r="E108" s="7" t="n">
        <v>290.53</v>
      </c>
      <c r="F108" s="7" t="n">
        <v>0</v>
      </c>
      <c r="G108" s="7" t="n">
        <v>0</v>
      </c>
    </row>
    <row r="109" customFormat="false" ht="15" hidden="false" customHeight="false" outlineLevel="0" collapsed="false">
      <c r="A109" s="7" t="s">
        <v>39</v>
      </c>
      <c r="B109" s="7" t="s">
        <v>651</v>
      </c>
      <c r="C109" s="7" t="s">
        <v>1074</v>
      </c>
      <c r="D109" s="7" t="n">
        <v>1</v>
      </c>
      <c r="E109" s="7" t="n">
        <v>164.03</v>
      </c>
      <c r="F109" s="7" t="n">
        <v>0</v>
      </c>
      <c r="G109" s="7" t="n">
        <v>0</v>
      </c>
    </row>
    <row r="110" customFormat="false" ht="15" hidden="false" customHeight="false" outlineLevel="0" collapsed="false">
      <c r="A110" s="7" t="s">
        <v>39</v>
      </c>
      <c r="B110" s="7" t="s">
        <v>285</v>
      </c>
      <c r="C110" s="7" t="s">
        <v>1074</v>
      </c>
      <c r="D110" s="7" t="n">
        <v>2</v>
      </c>
      <c r="E110" s="7" t="n">
        <v>290.52</v>
      </c>
      <c r="F110" s="7" t="n">
        <v>0</v>
      </c>
      <c r="G110" s="7" t="n">
        <v>0</v>
      </c>
    </row>
    <row r="111" customFormat="false" ht="15" hidden="false" customHeight="false" outlineLevel="0" collapsed="false">
      <c r="A111" s="7" t="s">
        <v>39</v>
      </c>
      <c r="B111" s="7" t="s">
        <v>322</v>
      </c>
      <c r="C111" s="7" t="s">
        <v>1075</v>
      </c>
      <c r="D111" s="7" t="n">
        <v>0</v>
      </c>
      <c r="E111" s="7" t="n">
        <v>0</v>
      </c>
      <c r="F111" s="7" t="n">
        <v>-1</v>
      </c>
      <c r="G111" s="7" t="n">
        <v>-140.57</v>
      </c>
    </row>
    <row r="112" customFormat="false" ht="15" hidden="false" customHeight="false" outlineLevel="0" collapsed="false">
      <c r="A112" s="7" t="s">
        <v>39</v>
      </c>
      <c r="B112" s="7" t="s">
        <v>142</v>
      </c>
      <c r="C112" s="7" t="s">
        <v>1076</v>
      </c>
      <c r="D112" s="7" t="n">
        <v>0</v>
      </c>
      <c r="E112" s="7" t="n">
        <v>0</v>
      </c>
      <c r="F112" s="7" t="n">
        <v>3</v>
      </c>
      <c r="G112" s="7" t="n">
        <v>1050</v>
      </c>
    </row>
    <row r="113" customFormat="false" ht="15" hidden="false" customHeight="false" outlineLevel="0" collapsed="false">
      <c r="A113" s="7" t="s">
        <v>39</v>
      </c>
      <c r="B113" s="7" t="s">
        <v>312</v>
      </c>
      <c r="C113" s="7" t="s">
        <v>1076</v>
      </c>
      <c r="D113" s="7" t="n">
        <v>0</v>
      </c>
      <c r="E113" s="7" t="n">
        <v>0</v>
      </c>
      <c r="F113" s="7" t="n">
        <v>2</v>
      </c>
      <c r="G113" s="7" t="n">
        <v>700.01</v>
      </c>
    </row>
    <row r="114" customFormat="false" ht="15" hidden="false" customHeight="false" outlineLevel="0" collapsed="false">
      <c r="A114" s="7" t="s">
        <v>39</v>
      </c>
      <c r="B114" s="7" t="s">
        <v>149</v>
      </c>
      <c r="C114" s="7" t="s">
        <v>1076</v>
      </c>
      <c r="D114" s="7" t="n">
        <v>0</v>
      </c>
      <c r="E114" s="7" t="n">
        <v>0</v>
      </c>
      <c r="F114" s="7" t="n">
        <v>3</v>
      </c>
      <c r="G114" s="7" t="n">
        <v>1050.02</v>
      </c>
    </row>
    <row r="115" customFormat="false" ht="15" hidden="false" customHeight="false" outlineLevel="0" collapsed="false">
      <c r="A115" s="7" t="s">
        <v>39</v>
      </c>
      <c r="B115" s="7" t="s">
        <v>986</v>
      </c>
      <c r="C115" s="7" t="s">
        <v>1076</v>
      </c>
      <c r="D115" s="7" t="n">
        <v>0</v>
      </c>
      <c r="E115" s="7" t="n">
        <v>0</v>
      </c>
      <c r="F115" s="7" t="n">
        <v>2</v>
      </c>
      <c r="G115" s="7" t="n">
        <v>700</v>
      </c>
    </row>
    <row r="116" customFormat="false" ht="15" hidden="false" customHeight="false" outlineLevel="0" collapsed="false">
      <c r="A116" s="7" t="s">
        <v>39</v>
      </c>
      <c r="B116" s="7" t="s">
        <v>998</v>
      </c>
      <c r="C116" s="7" t="s">
        <v>1077</v>
      </c>
      <c r="D116" s="7" t="n">
        <v>2</v>
      </c>
      <c r="E116" s="7" t="n">
        <v>130</v>
      </c>
      <c r="F116" s="7" t="n">
        <v>0</v>
      </c>
      <c r="G116" s="7" t="n">
        <v>0</v>
      </c>
    </row>
    <row r="117" customFormat="false" ht="15" hidden="false" customHeight="false" outlineLevel="0" collapsed="false">
      <c r="A117" s="7" t="s">
        <v>39</v>
      </c>
      <c r="B117" s="7" t="s">
        <v>999</v>
      </c>
      <c r="C117" s="7" t="s">
        <v>1077</v>
      </c>
      <c r="D117" s="7" t="n">
        <v>4</v>
      </c>
      <c r="E117" s="7" t="n">
        <v>260.01</v>
      </c>
      <c r="F117" s="7" t="n">
        <v>0</v>
      </c>
      <c r="G117" s="7" t="n">
        <v>0</v>
      </c>
    </row>
    <row r="118" customFormat="false" ht="15" hidden="false" customHeight="false" outlineLevel="0" collapsed="false">
      <c r="A118" s="7" t="s">
        <v>39</v>
      </c>
      <c r="B118" s="7" t="s">
        <v>318</v>
      </c>
      <c r="C118" s="7" t="s">
        <v>1078</v>
      </c>
      <c r="D118" s="7" t="n">
        <v>0</v>
      </c>
      <c r="E118" s="7" t="n">
        <v>0</v>
      </c>
      <c r="F118" s="7" t="n">
        <v>-2</v>
      </c>
      <c r="G118" s="7" t="n">
        <v>-189.27</v>
      </c>
    </row>
    <row r="119" customFormat="false" ht="15" hidden="false" customHeight="false" outlineLevel="0" collapsed="false">
      <c r="A119" s="7" t="s">
        <v>39</v>
      </c>
      <c r="B119" s="7" t="s">
        <v>647</v>
      </c>
      <c r="C119" s="7" t="s">
        <v>1078</v>
      </c>
      <c r="D119" s="7" t="n">
        <v>0</v>
      </c>
      <c r="E119" s="7" t="n">
        <v>0</v>
      </c>
      <c r="F119" s="7" t="n">
        <v>-3</v>
      </c>
      <c r="G119" s="7" t="n">
        <v>-283.9</v>
      </c>
    </row>
    <row r="120" customFormat="false" ht="15" hidden="false" customHeight="false" outlineLevel="0" collapsed="false">
      <c r="A120" s="7" t="s">
        <v>39</v>
      </c>
      <c r="B120" s="7" t="s">
        <v>506</v>
      </c>
      <c r="C120" s="7" t="s">
        <v>1078</v>
      </c>
      <c r="D120" s="7" t="n">
        <v>0</v>
      </c>
      <c r="E120" s="7" t="n">
        <v>0</v>
      </c>
      <c r="F120" s="7" t="n">
        <v>-1</v>
      </c>
      <c r="G120" s="7" t="n">
        <v>-94.63</v>
      </c>
    </row>
    <row r="121" customFormat="false" ht="15" hidden="false" customHeight="false" outlineLevel="0" collapsed="false">
      <c r="A121" s="7" t="s">
        <v>39</v>
      </c>
      <c r="B121" s="7" t="s">
        <v>813</v>
      </c>
      <c r="C121" s="7" t="s">
        <v>1079</v>
      </c>
      <c r="D121" s="7" t="n">
        <v>0</v>
      </c>
      <c r="E121" s="7" t="n">
        <v>0</v>
      </c>
      <c r="F121" s="7" t="n">
        <v>2</v>
      </c>
      <c r="G121" s="7" t="n">
        <v>210.84</v>
      </c>
    </row>
    <row r="122" customFormat="false" ht="15" hidden="false" customHeight="false" outlineLevel="0" collapsed="false">
      <c r="A122" s="7" t="s">
        <v>39</v>
      </c>
      <c r="B122" s="7" t="s">
        <v>351</v>
      </c>
      <c r="C122" s="7" t="s">
        <v>1080</v>
      </c>
      <c r="D122" s="7" t="n">
        <v>1</v>
      </c>
      <c r="E122" s="7" t="n">
        <v>130</v>
      </c>
      <c r="F122" s="7" t="n">
        <v>0</v>
      </c>
      <c r="G122" s="7" t="n">
        <v>0</v>
      </c>
    </row>
    <row r="123" customFormat="false" ht="15" hidden="false" customHeight="false" outlineLevel="0" collapsed="false">
      <c r="A123" s="7" t="s">
        <v>39</v>
      </c>
      <c r="B123" s="7" t="s">
        <v>248</v>
      </c>
      <c r="C123" s="7" t="s">
        <v>1080</v>
      </c>
      <c r="D123" s="7" t="n">
        <v>3</v>
      </c>
      <c r="E123" s="7" t="n">
        <v>389.99</v>
      </c>
      <c r="F123" s="7" t="n">
        <v>0</v>
      </c>
      <c r="G123" s="7" t="n">
        <v>0</v>
      </c>
    </row>
    <row r="124" customFormat="false" ht="15" hidden="false" customHeight="false" outlineLevel="0" collapsed="false">
      <c r="A124" s="7" t="s">
        <v>39</v>
      </c>
      <c r="B124" s="7" t="s">
        <v>462</v>
      </c>
      <c r="C124" s="7" t="s">
        <v>1080</v>
      </c>
      <c r="D124" s="7" t="n">
        <v>1</v>
      </c>
      <c r="E124" s="7" t="n">
        <v>130</v>
      </c>
      <c r="F124" s="7" t="n">
        <v>-1</v>
      </c>
      <c r="G124" s="7" t="n">
        <v>-130</v>
      </c>
    </row>
    <row r="125" customFormat="false" ht="15" hidden="false" customHeight="false" outlineLevel="0" collapsed="false">
      <c r="A125" s="7" t="s">
        <v>39</v>
      </c>
      <c r="B125" s="7" t="s">
        <v>238</v>
      </c>
      <c r="C125" s="7" t="s">
        <v>1080</v>
      </c>
      <c r="D125" s="7" t="n">
        <v>2</v>
      </c>
      <c r="E125" s="7" t="n">
        <v>260</v>
      </c>
      <c r="F125" s="7" t="n">
        <v>0</v>
      </c>
      <c r="G125" s="7" t="n">
        <v>0</v>
      </c>
    </row>
    <row r="126" customFormat="false" ht="15" hidden="false" customHeight="false" outlineLevel="0" collapsed="false">
      <c r="A126" s="7" t="s">
        <v>36</v>
      </c>
      <c r="B126" s="7" t="s">
        <v>327</v>
      </c>
      <c r="C126" s="7" t="s">
        <v>1034</v>
      </c>
      <c r="D126" s="7" t="n">
        <v>1</v>
      </c>
      <c r="E126" s="7" t="n">
        <v>90</v>
      </c>
      <c r="F126" s="7" t="n">
        <v>0</v>
      </c>
      <c r="G126" s="7" t="n">
        <v>0</v>
      </c>
    </row>
    <row r="127" customFormat="false" ht="15" hidden="false" customHeight="false" outlineLevel="0" collapsed="false">
      <c r="A127" s="7" t="s">
        <v>36</v>
      </c>
      <c r="B127" s="7" t="s">
        <v>214</v>
      </c>
      <c r="C127" s="7" t="s">
        <v>1035</v>
      </c>
      <c r="D127" s="7" t="n">
        <v>1</v>
      </c>
      <c r="E127" s="7" t="n">
        <v>117.15</v>
      </c>
      <c r="F127" s="7" t="n">
        <v>0</v>
      </c>
      <c r="G127" s="7" t="n">
        <v>0</v>
      </c>
    </row>
    <row r="128" customFormat="false" ht="15" hidden="false" customHeight="false" outlineLevel="0" collapsed="false">
      <c r="A128" s="7" t="s">
        <v>36</v>
      </c>
      <c r="B128" s="7" t="s">
        <v>994</v>
      </c>
      <c r="C128" s="7" t="s">
        <v>1081</v>
      </c>
      <c r="D128" s="7" t="n">
        <v>0</v>
      </c>
      <c r="E128" s="7" t="n">
        <v>0</v>
      </c>
      <c r="F128" s="7" t="n">
        <v>1</v>
      </c>
      <c r="G128" s="7" t="n">
        <v>108.7</v>
      </c>
    </row>
    <row r="129" customFormat="false" ht="15" hidden="false" customHeight="false" outlineLevel="0" collapsed="false">
      <c r="A129" s="7" t="s">
        <v>36</v>
      </c>
      <c r="B129" s="7" t="s">
        <v>626</v>
      </c>
      <c r="C129" s="7" t="s">
        <v>1036</v>
      </c>
      <c r="D129" s="7" t="n">
        <v>0</v>
      </c>
      <c r="E129" s="7" t="n">
        <v>0</v>
      </c>
      <c r="F129" s="7" t="n">
        <v>3</v>
      </c>
      <c r="G129" s="7" t="n">
        <v>254.99</v>
      </c>
    </row>
    <row r="130" customFormat="false" ht="15" hidden="false" customHeight="false" outlineLevel="0" collapsed="false">
      <c r="A130" s="7" t="s">
        <v>36</v>
      </c>
      <c r="B130" s="7" t="s">
        <v>471</v>
      </c>
      <c r="C130" s="7" t="s">
        <v>1082</v>
      </c>
      <c r="D130" s="7" t="n">
        <v>6</v>
      </c>
      <c r="E130" s="7" t="n">
        <v>509.99</v>
      </c>
      <c r="F130" s="7" t="n">
        <v>5</v>
      </c>
      <c r="G130" s="7" t="n">
        <v>425</v>
      </c>
    </row>
    <row r="131" customFormat="false" ht="15" hidden="false" customHeight="false" outlineLevel="0" collapsed="false">
      <c r="A131" s="7" t="s">
        <v>36</v>
      </c>
      <c r="B131" s="7" t="s">
        <v>471</v>
      </c>
      <c r="C131" s="7" t="s">
        <v>1082</v>
      </c>
      <c r="D131" s="7" t="n">
        <v>2</v>
      </c>
      <c r="E131" s="7" t="n">
        <v>138</v>
      </c>
      <c r="F131" s="7" t="n">
        <v>0</v>
      </c>
      <c r="G131" s="7" t="n">
        <v>0</v>
      </c>
    </row>
    <row r="132" customFormat="false" ht="15" hidden="false" customHeight="false" outlineLevel="0" collapsed="false">
      <c r="A132" s="7" t="s">
        <v>36</v>
      </c>
      <c r="B132" s="7" t="s">
        <v>289</v>
      </c>
      <c r="C132" s="7" t="s">
        <v>1082</v>
      </c>
      <c r="D132" s="7" t="n">
        <v>1</v>
      </c>
      <c r="E132" s="7" t="n">
        <v>69</v>
      </c>
      <c r="F132" s="7" t="n">
        <v>0</v>
      </c>
      <c r="G132" s="7" t="n">
        <v>0</v>
      </c>
    </row>
    <row r="133" customFormat="false" ht="15" hidden="false" customHeight="false" outlineLevel="0" collapsed="false">
      <c r="A133" s="7" t="s">
        <v>36</v>
      </c>
      <c r="B133" s="7" t="s">
        <v>289</v>
      </c>
      <c r="C133" s="7" t="s">
        <v>1082</v>
      </c>
      <c r="D133" s="7" t="n">
        <v>0</v>
      </c>
      <c r="E133" s="7" t="n">
        <v>0</v>
      </c>
      <c r="F133" s="7" t="n">
        <v>3</v>
      </c>
      <c r="G133" s="7" t="n">
        <v>255.02</v>
      </c>
    </row>
    <row r="134" customFormat="false" ht="15" hidden="false" customHeight="false" outlineLevel="0" collapsed="false">
      <c r="A134" s="7" t="s">
        <v>36</v>
      </c>
      <c r="B134" s="7" t="s">
        <v>545</v>
      </c>
      <c r="C134" s="7" t="s">
        <v>1082</v>
      </c>
      <c r="D134" s="7" t="n">
        <v>1</v>
      </c>
      <c r="E134" s="7" t="n">
        <v>69</v>
      </c>
      <c r="F134" s="7" t="n">
        <v>0</v>
      </c>
      <c r="G134" s="7" t="n">
        <v>0</v>
      </c>
    </row>
    <row r="135" customFormat="false" ht="15" hidden="false" customHeight="false" outlineLevel="0" collapsed="false">
      <c r="A135" s="7" t="s">
        <v>36</v>
      </c>
      <c r="B135" s="7" t="s">
        <v>482</v>
      </c>
      <c r="C135" s="7" t="s">
        <v>1082</v>
      </c>
      <c r="D135" s="7" t="n">
        <v>9</v>
      </c>
      <c r="E135" s="7" t="n">
        <v>764.97</v>
      </c>
      <c r="F135" s="7" t="n">
        <v>11</v>
      </c>
      <c r="G135" s="7" t="n">
        <v>934.97</v>
      </c>
    </row>
    <row r="136" customFormat="false" ht="15" hidden="false" customHeight="false" outlineLevel="0" collapsed="false">
      <c r="A136" s="7" t="s">
        <v>36</v>
      </c>
      <c r="B136" s="7" t="s">
        <v>482</v>
      </c>
      <c r="C136" s="7" t="s">
        <v>1082</v>
      </c>
      <c r="D136" s="7" t="n">
        <v>2</v>
      </c>
      <c r="E136" s="7" t="n">
        <v>138.02</v>
      </c>
      <c r="F136" s="7" t="n">
        <v>0</v>
      </c>
      <c r="G136" s="7" t="n">
        <v>0</v>
      </c>
    </row>
    <row r="137" customFormat="false" ht="15" hidden="false" customHeight="false" outlineLevel="0" collapsed="false">
      <c r="A137" s="7" t="s">
        <v>36</v>
      </c>
      <c r="B137" s="7" t="s">
        <v>482</v>
      </c>
      <c r="C137" s="7" t="s">
        <v>1082</v>
      </c>
      <c r="D137" s="7" t="n">
        <v>3</v>
      </c>
      <c r="E137" s="7" t="n">
        <v>240</v>
      </c>
      <c r="F137" s="7" t="n">
        <v>0</v>
      </c>
      <c r="G137" s="7" t="n">
        <v>0</v>
      </c>
    </row>
    <row r="138" customFormat="false" ht="15" hidden="false" customHeight="false" outlineLevel="0" collapsed="false">
      <c r="A138" s="7" t="s">
        <v>36</v>
      </c>
      <c r="B138" s="7" t="s">
        <v>247</v>
      </c>
      <c r="C138" s="7" t="s">
        <v>1082</v>
      </c>
      <c r="D138" s="7" t="n">
        <v>5</v>
      </c>
      <c r="E138" s="7" t="n">
        <v>425.07</v>
      </c>
      <c r="F138" s="7" t="n">
        <v>4</v>
      </c>
      <c r="G138" s="7" t="n">
        <v>340.01</v>
      </c>
    </row>
    <row r="139" customFormat="false" ht="15" hidden="false" customHeight="false" outlineLevel="0" collapsed="false">
      <c r="A139" s="7" t="s">
        <v>36</v>
      </c>
      <c r="B139" s="7" t="s">
        <v>247</v>
      </c>
      <c r="C139" s="7" t="s">
        <v>1082</v>
      </c>
      <c r="D139" s="7" t="n">
        <v>1</v>
      </c>
      <c r="E139" s="7" t="n">
        <v>0.01</v>
      </c>
      <c r="F139" s="7" t="n">
        <v>0</v>
      </c>
      <c r="G139" s="7" t="n">
        <v>0</v>
      </c>
    </row>
    <row r="140" customFormat="false" ht="15" hidden="false" customHeight="false" outlineLevel="0" collapsed="false">
      <c r="A140" s="7" t="s">
        <v>36</v>
      </c>
      <c r="B140" s="7" t="s">
        <v>247</v>
      </c>
      <c r="C140" s="7" t="s">
        <v>1082</v>
      </c>
      <c r="D140" s="7" t="n">
        <v>2</v>
      </c>
      <c r="E140" s="7" t="n">
        <v>160</v>
      </c>
      <c r="F140" s="7" t="n">
        <v>0</v>
      </c>
      <c r="G140" s="7" t="n">
        <v>0</v>
      </c>
    </row>
    <row r="141" customFormat="false" ht="15" hidden="false" customHeight="false" outlineLevel="0" collapsed="false">
      <c r="A141" s="7" t="s">
        <v>36</v>
      </c>
      <c r="B141" s="7" t="s">
        <v>247</v>
      </c>
      <c r="C141" s="7" t="s">
        <v>1082</v>
      </c>
      <c r="D141" s="7" t="n">
        <v>3</v>
      </c>
      <c r="E141" s="7" t="n">
        <v>207</v>
      </c>
      <c r="F141" s="7" t="n">
        <v>0</v>
      </c>
      <c r="G141" s="7" t="n">
        <v>0</v>
      </c>
    </row>
    <row r="142" customFormat="false" ht="15" hidden="false" customHeight="false" outlineLevel="0" collapsed="false">
      <c r="A142" s="7" t="s">
        <v>36</v>
      </c>
      <c r="B142" s="7" t="s">
        <v>391</v>
      </c>
      <c r="C142" s="7" t="s">
        <v>1038</v>
      </c>
      <c r="D142" s="7" t="n">
        <v>8</v>
      </c>
      <c r="E142" s="7" t="n">
        <v>839.99</v>
      </c>
      <c r="F142" s="7" t="n">
        <v>18</v>
      </c>
      <c r="G142" s="7" t="n">
        <v>1890.03</v>
      </c>
    </row>
    <row r="143" customFormat="false" ht="15" hidden="false" customHeight="false" outlineLevel="0" collapsed="false">
      <c r="A143" s="7" t="s">
        <v>36</v>
      </c>
      <c r="B143" s="7" t="s">
        <v>391</v>
      </c>
      <c r="C143" s="7" t="s">
        <v>1038</v>
      </c>
      <c r="D143" s="7" t="n">
        <v>2</v>
      </c>
      <c r="E143" s="7" t="n">
        <v>143.57</v>
      </c>
      <c r="F143" s="7" t="n">
        <v>0</v>
      </c>
      <c r="G143" s="7" t="n">
        <v>0</v>
      </c>
    </row>
    <row r="144" customFormat="false" ht="15" hidden="false" customHeight="false" outlineLevel="0" collapsed="false">
      <c r="A144" s="7" t="s">
        <v>36</v>
      </c>
      <c r="B144" s="7" t="s">
        <v>279</v>
      </c>
      <c r="C144" s="7" t="s">
        <v>1038</v>
      </c>
      <c r="D144" s="7" t="n">
        <v>1</v>
      </c>
      <c r="E144" s="7" t="n">
        <v>71.8</v>
      </c>
      <c r="F144" s="7" t="n">
        <v>0</v>
      </c>
      <c r="G144" s="7" t="n">
        <v>0</v>
      </c>
    </row>
    <row r="145" customFormat="false" ht="15" hidden="false" customHeight="false" outlineLevel="0" collapsed="false">
      <c r="A145" s="7" t="s">
        <v>36</v>
      </c>
      <c r="B145" s="7" t="s">
        <v>279</v>
      </c>
      <c r="C145" s="7" t="s">
        <v>1038</v>
      </c>
      <c r="D145" s="7" t="n">
        <v>9</v>
      </c>
      <c r="E145" s="7" t="n">
        <v>944.98</v>
      </c>
      <c r="F145" s="7" t="n">
        <v>4</v>
      </c>
      <c r="G145" s="7" t="n">
        <v>420.01</v>
      </c>
    </row>
    <row r="146" customFormat="false" ht="15" hidden="false" customHeight="false" outlineLevel="0" collapsed="false">
      <c r="A146" s="7" t="s">
        <v>36</v>
      </c>
      <c r="B146" s="7" t="s">
        <v>196</v>
      </c>
      <c r="C146" s="7" t="s">
        <v>1038</v>
      </c>
      <c r="D146" s="7" t="n">
        <v>12</v>
      </c>
      <c r="E146" s="7" t="n">
        <v>1260</v>
      </c>
      <c r="F146" s="7" t="n">
        <v>7</v>
      </c>
      <c r="G146" s="7" t="n">
        <v>735.02</v>
      </c>
    </row>
    <row r="147" customFormat="false" ht="15" hidden="false" customHeight="false" outlineLevel="0" collapsed="false">
      <c r="A147" s="7" t="s">
        <v>36</v>
      </c>
      <c r="B147" s="7" t="s">
        <v>196</v>
      </c>
      <c r="C147" s="7" t="s">
        <v>1038</v>
      </c>
      <c r="D147" s="7" t="n">
        <v>3</v>
      </c>
      <c r="E147" s="7" t="n">
        <v>215.37</v>
      </c>
      <c r="F147" s="7" t="n">
        <v>0</v>
      </c>
      <c r="G147" s="7" t="n">
        <v>0</v>
      </c>
    </row>
    <row r="148" customFormat="false" ht="15" hidden="false" customHeight="false" outlineLevel="0" collapsed="false">
      <c r="A148" s="7" t="s">
        <v>36</v>
      </c>
      <c r="B148" s="7" t="s">
        <v>197</v>
      </c>
      <c r="C148" s="7" t="s">
        <v>1038</v>
      </c>
      <c r="D148" s="7" t="n">
        <v>2</v>
      </c>
      <c r="E148" s="7" t="n">
        <v>143.58</v>
      </c>
      <c r="F148" s="7" t="n">
        <v>0</v>
      </c>
      <c r="G148" s="7" t="n">
        <v>0</v>
      </c>
    </row>
    <row r="149" customFormat="false" ht="15" hidden="false" customHeight="false" outlineLevel="0" collapsed="false">
      <c r="A149" s="7" t="s">
        <v>36</v>
      </c>
      <c r="B149" s="7" t="s">
        <v>197</v>
      </c>
      <c r="C149" s="7" t="s">
        <v>1038</v>
      </c>
      <c r="D149" s="7" t="n">
        <v>7</v>
      </c>
      <c r="E149" s="7" t="n">
        <v>735</v>
      </c>
      <c r="F149" s="7" t="n">
        <v>2</v>
      </c>
      <c r="G149" s="7" t="n">
        <v>210</v>
      </c>
    </row>
    <row r="150" customFormat="false" ht="15" hidden="false" customHeight="false" outlineLevel="0" collapsed="false">
      <c r="A150" s="7" t="s">
        <v>36</v>
      </c>
      <c r="B150" s="7" t="s">
        <v>231</v>
      </c>
      <c r="C150" s="7" t="s">
        <v>1039</v>
      </c>
      <c r="D150" s="7" t="n">
        <v>2</v>
      </c>
      <c r="E150" s="7" t="n">
        <v>311.91</v>
      </c>
      <c r="F150" s="7" t="n">
        <v>0</v>
      </c>
      <c r="G150" s="7" t="n">
        <v>0</v>
      </c>
    </row>
    <row r="151" customFormat="false" ht="15" hidden="false" customHeight="false" outlineLevel="0" collapsed="false">
      <c r="A151" s="7" t="s">
        <v>36</v>
      </c>
      <c r="B151" s="7" t="s">
        <v>231</v>
      </c>
      <c r="C151" s="7" t="s">
        <v>1039</v>
      </c>
      <c r="D151" s="7" t="n">
        <v>2</v>
      </c>
      <c r="E151" s="7" t="n">
        <v>260</v>
      </c>
      <c r="F151" s="7" t="n">
        <v>1</v>
      </c>
      <c r="G151" s="7" t="n">
        <v>130</v>
      </c>
    </row>
    <row r="152" customFormat="false" ht="15" hidden="false" customHeight="false" outlineLevel="0" collapsed="false">
      <c r="A152" s="7" t="s">
        <v>36</v>
      </c>
      <c r="B152" s="7" t="s">
        <v>266</v>
      </c>
      <c r="C152" s="7" t="s">
        <v>1039</v>
      </c>
      <c r="D152" s="7" t="n">
        <v>7</v>
      </c>
      <c r="E152" s="7" t="n">
        <v>909.99</v>
      </c>
      <c r="F152" s="7" t="n">
        <v>12</v>
      </c>
      <c r="G152" s="7" t="n">
        <v>1559.99</v>
      </c>
    </row>
    <row r="153" customFormat="false" ht="15" hidden="false" customHeight="false" outlineLevel="0" collapsed="false">
      <c r="A153" s="7" t="s">
        <v>36</v>
      </c>
      <c r="B153" s="7" t="s">
        <v>266</v>
      </c>
      <c r="C153" s="7" t="s">
        <v>1039</v>
      </c>
      <c r="D153" s="7" t="n">
        <v>2</v>
      </c>
      <c r="E153" s="7" t="n">
        <v>311.9</v>
      </c>
      <c r="F153" s="7" t="n">
        <v>0</v>
      </c>
      <c r="G153" s="7" t="n">
        <v>0</v>
      </c>
    </row>
    <row r="154" customFormat="false" ht="15" hidden="false" customHeight="false" outlineLevel="0" collapsed="false">
      <c r="A154" s="7" t="s">
        <v>36</v>
      </c>
      <c r="B154" s="7" t="s">
        <v>655</v>
      </c>
      <c r="C154" s="7" t="s">
        <v>1039</v>
      </c>
      <c r="D154" s="7" t="n">
        <v>1</v>
      </c>
      <c r="E154" s="7" t="n">
        <v>155.95</v>
      </c>
      <c r="F154" s="7" t="n">
        <v>0</v>
      </c>
      <c r="G154" s="7" t="n">
        <v>0</v>
      </c>
    </row>
    <row r="155" customFormat="false" ht="15" hidden="false" customHeight="false" outlineLevel="0" collapsed="false">
      <c r="A155" s="7" t="s">
        <v>36</v>
      </c>
      <c r="B155" s="7" t="s">
        <v>655</v>
      </c>
      <c r="C155" s="7" t="s">
        <v>1039</v>
      </c>
      <c r="D155" s="7" t="n">
        <v>25</v>
      </c>
      <c r="E155" s="7" t="n">
        <v>3249.94</v>
      </c>
      <c r="F155" s="7" t="n">
        <v>39</v>
      </c>
      <c r="G155" s="7" t="n">
        <v>5069.87</v>
      </c>
    </row>
    <row r="156" customFormat="false" ht="15" hidden="false" customHeight="false" outlineLevel="0" collapsed="false">
      <c r="A156" s="7" t="s">
        <v>36</v>
      </c>
      <c r="B156" s="7" t="s">
        <v>386</v>
      </c>
      <c r="C156" s="7" t="s">
        <v>1039</v>
      </c>
      <c r="D156" s="7" t="n">
        <v>7</v>
      </c>
      <c r="E156" s="7" t="n">
        <v>909.98</v>
      </c>
      <c r="F156" s="7" t="n">
        <v>22</v>
      </c>
      <c r="G156" s="7" t="n">
        <v>2859.95</v>
      </c>
    </row>
    <row r="157" customFormat="false" ht="15" hidden="false" customHeight="false" outlineLevel="0" collapsed="false">
      <c r="A157" s="7" t="s">
        <v>36</v>
      </c>
      <c r="B157" s="7" t="s">
        <v>147</v>
      </c>
      <c r="C157" s="7" t="s">
        <v>1041</v>
      </c>
      <c r="D157" s="7" t="n">
        <v>8</v>
      </c>
      <c r="E157" s="7" t="n">
        <v>1360.02</v>
      </c>
      <c r="F157" s="7" t="n">
        <v>18</v>
      </c>
      <c r="G157" s="7" t="n">
        <v>3060.06</v>
      </c>
    </row>
    <row r="158" customFormat="false" ht="15" hidden="false" customHeight="false" outlineLevel="0" collapsed="false">
      <c r="A158" s="7" t="s">
        <v>36</v>
      </c>
      <c r="B158" s="7" t="s">
        <v>147</v>
      </c>
      <c r="C158" s="7" t="s">
        <v>1041</v>
      </c>
      <c r="D158" s="7" t="n">
        <v>5</v>
      </c>
      <c r="E158" s="7" t="n">
        <v>825</v>
      </c>
      <c r="F158" s="7" t="n">
        <v>0</v>
      </c>
      <c r="G158" s="7" t="n">
        <v>0</v>
      </c>
    </row>
    <row r="159" customFormat="false" ht="15" hidden="false" customHeight="false" outlineLevel="0" collapsed="false">
      <c r="A159" s="7" t="s">
        <v>36</v>
      </c>
      <c r="B159" s="7" t="s">
        <v>139</v>
      </c>
      <c r="C159" s="7" t="s">
        <v>1043</v>
      </c>
      <c r="D159" s="7" t="n">
        <v>1</v>
      </c>
      <c r="E159" s="7" t="n">
        <v>90</v>
      </c>
      <c r="F159" s="7" t="n">
        <v>0</v>
      </c>
      <c r="G159" s="7" t="n">
        <v>0</v>
      </c>
    </row>
    <row r="160" customFormat="false" ht="15" hidden="false" customHeight="false" outlineLevel="0" collapsed="false">
      <c r="A160" s="7" t="s">
        <v>36</v>
      </c>
      <c r="B160" s="7" t="s">
        <v>146</v>
      </c>
      <c r="C160" s="7" t="s">
        <v>1043</v>
      </c>
      <c r="D160" s="7" t="n">
        <v>1</v>
      </c>
      <c r="E160" s="7" t="n">
        <v>90</v>
      </c>
      <c r="F160" s="7" t="n">
        <v>0</v>
      </c>
      <c r="G160" s="7" t="n">
        <v>0</v>
      </c>
    </row>
    <row r="161" customFormat="false" ht="15" hidden="false" customHeight="false" outlineLevel="0" collapsed="false">
      <c r="A161" s="7" t="s">
        <v>36</v>
      </c>
      <c r="B161" s="7" t="s">
        <v>121</v>
      </c>
      <c r="C161" s="7" t="s">
        <v>1043</v>
      </c>
      <c r="D161" s="7" t="n">
        <v>1</v>
      </c>
      <c r="E161" s="7" t="n">
        <v>90</v>
      </c>
      <c r="F161" s="7" t="n">
        <v>0</v>
      </c>
      <c r="G161" s="7" t="n">
        <v>0</v>
      </c>
    </row>
    <row r="162" customFormat="false" ht="15" hidden="false" customHeight="false" outlineLevel="0" collapsed="false">
      <c r="A162" s="7" t="s">
        <v>36</v>
      </c>
      <c r="B162" s="7" t="s">
        <v>120</v>
      </c>
      <c r="C162" s="7" t="s">
        <v>1044</v>
      </c>
      <c r="D162" s="7" t="n">
        <v>1</v>
      </c>
      <c r="E162" s="7" t="n">
        <v>90</v>
      </c>
      <c r="F162" s="7" t="n">
        <v>0</v>
      </c>
      <c r="G162" s="7" t="n">
        <v>0</v>
      </c>
    </row>
    <row r="163" customFormat="false" ht="15" hidden="false" customHeight="false" outlineLevel="0" collapsed="false">
      <c r="A163" s="7" t="s">
        <v>36</v>
      </c>
      <c r="B163" s="7" t="s">
        <v>116</v>
      </c>
      <c r="C163" s="7" t="s">
        <v>1044</v>
      </c>
      <c r="D163" s="7" t="n">
        <v>1</v>
      </c>
      <c r="E163" s="7" t="n">
        <v>90</v>
      </c>
      <c r="F163" s="7" t="n">
        <v>0</v>
      </c>
      <c r="G163" s="7" t="n">
        <v>0</v>
      </c>
    </row>
    <row r="164" customFormat="false" ht="15" hidden="false" customHeight="false" outlineLevel="0" collapsed="false">
      <c r="A164" s="7" t="s">
        <v>36</v>
      </c>
      <c r="B164" s="7" t="s">
        <v>114</v>
      </c>
      <c r="C164" s="7" t="s">
        <v>1044</v>
      </c>
      <c r="D164" s="7" t="n">
        <v>1</v>
      </c>
      <c r="E164" s="7" t="n">
        <v>90</v>
      </c>
      <c r="F164" s="7" t="n">
        <v>2</v>
      </c>
      <c r="G164" s="7" t="n">
        <v>180</v>
      </c>
    </row>
    <row r="165" customFormat="false" ht="15" hidden="false" customHeight="false" outlineLevel="0" collapsed="false">
      <c r="A165" s="7" t="s">
        <v>36</v>
      </c>
      <c r="B165" s="7" t="s">
        <v>143</v>
      </c>
      <c r="C165" s="7" t="s">
        <v>1047</v>
      </c>
      <c r="D165" s="7" t="n">
        <v>0</v>
      </c>
      <c r="E165" s="7" t="n">
        <v>0</v>
      </c>
      <c r="F165" s="7" t="n">
        <v>4</v>
      </c>
      <c r="G165" s="7" t="n">
        <v>240</v>
      </c>
    </row>
    <row r="166" customFormat="false" ht="15" hidden="false" customHeight="false" outlineLevel="0" collapsed="false">
      <c r="A166" s="7" t="s">
        <v>36</v>
      </c>
      <c r="B166" s="7" t="s">
        <v>162</v>
      </c>
      <c r="C166" s="7" t="s">
        <v>1083</v>
      </c>
      <c r="D166" s="7" t="n">
        <v>0</v>
      </c>
      <c r="E166" s="7" t="n">
        <v>0</v>
      </c>
      <c r="F166" s="7" t="n">
        <v>1</v>
      </c>
      <c r="G166" s="7" t="n">
        <v>93.7</v>
      </c>
    </row>
    <row r="167" customFormat="false" ht="15" hidden="false" customHeight="false" outlineLevel="0" collapsed="false">
      <c r="A167" s="7" t="s">
        <v>36</v>
      </c>
      <c r="B167" s="7" t="s">
        <v>302</v>
      </c>
      <c r="C167" s="7" t="s">
        <v>1084</v>
      </c>
      <c r="D167" s="7" t="n">
        <v>4</v>
      </c>
      <c r="E167" s="7" t="n">
        <v>320</v>
      </c>
      <c r="F167" s="7" t="n">
        <v>0</v>
      </c>
      <c r="G167" s="7" t="n">
        <v>0</v>
      </c>
    </row>
    <row r="168" customFormat="false" ht="15" hidden="false" customHeight="false" outlineLevel="0" collapsed="false">
      <c r="A168" s="7" t="s">
        <v>36</v>
      </c>
      <c r="B168" s="7" t="s">
        <v>389</v>
      </c>
      <c r="C168" s="7" t="s">
        <v>1084</v>
      </c>
      <c r="D168" s="7" t="n">
        <v>1</v>
      </c>
      <c r="E168" s="7" t="n">
        <v>80</v>
      </c>
      <c r="F168" s="7" t="n">
        <v>1</v>
      </c>
      <c r="G168" s="7" t="n">
        <v>80</v>
      </c>
    </row>
    <row r="169" customFormat="false" ht="15" hidden="false" customHeight="false" outlineLevel="0" collapsed="false">
      <c r="A169" s="7" t="s">
        <v>36</v>
      </c>
      <c r="B169" s="7" t="s">
        <v>389</v>
      </c>
      <c r="C169" s="7" t="s">
        <v>1084</v>
      </c>
      <c r="D169" s="7" t="n">
        <v>2</v>
      </c>
      <c r="E169" s="7" t="n">
        <v>144</v>
      </c>
      <c r="F169" s="7" t="n">
        <v>0</v>
      </c>
      <c r="G169" s="7" t="n">
        <v>0</v>
      </c>
    </row>
    <row r="170" customFormat="false" ht="15" hidden="false" customHeight="false" outlineLevel="0" collapsed="false">
      <c r="A170" s="7" t="s">
        <v>36</v>
      </c>
      <c r="B170" s="7" t="s">
        <v>193</v>
      </c>
      <c r="C170" s="7" t="s">
        <v>1084</v>
      </c>
      <c r="D170" s="7" t="n">
        <v>2</v>
      </c>
      <c r="E170" s="7" t="n">
        <v>160</v>
      </c>
      <c r="F170" s="7" t="n">
        <v>2</v>
      </c>
      <c r="G170" s="7" t="n">
        <v>160</v>
      </c>
    </row>
    <row r="171" customFormat="false" ht="15" hidden="false" customHeight="false" outlineLevel="0" collapsed="false">
      <c r="A171" s="7" t="s">
        <v>36</v>
      </c>
      <c r="B171" s="7" t="s">
        <v>193</v>
      </c>
      <c r="C171" s="7" t="s">
        <v>1084</v>
      </c>
      <c r="D171" s="7" t="n">
        <v>3</v>
      </c>
      <c r="E171" s="7" t="n">
        <v>216</v>
      </c>
      <c r="F171" s="7" t="n">
        <v>0</v>
      </c>
      <c r="G171" s="7" t="n">
        <v>0</v>
      </c>
    </row>
    <row r="172" customFormat="false" ht="15" hidden="false" customHeight="false" outlineLevel="0" collapsed="false">
      <c r="A172" s="7" t="s">
        <v>36</v>
      </c>
      <c r="B172" s="7" t="s">
        <v>168</v>
      </c>
      <c r="C172" s="7" t="s">
        <v>1084</v>
      </c>
      <c r="D172" s="7" t="n">
        <v>4</v>
      </c>
      <c r="E172" s="7" t="n">
        <v>320</v>
      </c>
      <c r="F172" s="7" t="n">
        <v>8</v>
      </c>
      <c r="G172" s="7" t="n">
        <v>640.01</v>
      </c>
    </row>
    <row r="173" customFormat="false" ht="15" hidden="false" customHeight="false" outlineLevel="0" collapsed="false">
      <c r="A173" s="7" t="s">
        <v>36</v>
      </c>
      <c r="B173" s="7" t="s">
        <v>168</v>
      </c>
      <c r="C173" s="7" t="s">
        <v>1084</v>
      </c>
      <c r="D173" s="7" t="n">
        <v>4</v>
      </c>
      <c r="E173" s="7" t="n">
        <v>288</v>
      </c>
      <c r="F173" s="7" t="n">
        <v>0</v>
      </c>
      <c r="G173" s="7" t="n">
        <v>0</v>
      </c>
    </row>
    <row r="174" customFormat="false" ht="15" hidden="false" customHeight="false" outlineLevel="0" collapsed="false">
      <c r="A174" s="7" t="s">
        <v>36</v>
      </c>
      <c r="B174" s="7" t="s">
        <v>298</v>
      </c>
      <c r="C174" s="7" t="s">
        <v>1084</v>
      </c>
      <c r="D174" s="7" t="n">
        <v>2</v>
      </c>
      <c r="E174" s="7" t="n">
        <v>144</v>
      </c>
      <c r="F174" s="7" t="n">
        <v>0</v>
      </c>
      <c r="G174" s="7" t="n">
        <v>0</v>
      </c>
    </row>
    <row r="175" customFormat="false" ht="15" hidden="false" customHeight="false" outlineLevel="0" collapsed="false">
      <c r="A175" s="7" t="s">
        <v>36</v>
      </c>
      <c r="B175" s="7" t="s">
        <v>298</v>
      </c>
      <c r="C175" s="7" t="s">
        <v>1084</v>
      </c>
      <c r="D175" s="7" t="n">
        <v>2</v>
      </c>
      <c r="E175" s="7" t="n">
        <v>160</v>
      </c>
      <c r="F175" s="7" t="n">
        <v>4</v>
      </c>
      <c r="G175" s="7" t="n">
        <v>320</v>
      </c>
    </row>
    <row r="176" customFormat="false" ht="15" hidden="false" customHeight="false" outlineLevel="0" collapsed="false">
      <c r="A176" s="7" t="s">
        <v>36</v>
      </c>
      <c r="B176" s="7" t="s">
        <v>251</v>
      </c>
      <c r="C176" s="7" t="s">
        <v>1085</v>
      </c>
      <c r="D176" s="7" t="n">
        <v>6</v>
      </c>
      <c r="E176" s="7" t="n">
        <v>224.73</v>
      </c>
      <c r="F176" s="7" t="n">
        <v>0</v>
      </c>
      <c r="G176" s="7" t="n">
        <v>0</v>
      </c>
    </row>
    <row r="177" customFormat="false" ht="15" hidden="false" customHeight="false" outlineLevel="0" collapsed="false">
      <c r="A177" s="7" t="s">
        <v>36</v>
      </c>
      <c r="B177" s="7" t="s">
        <v>991</v>
      </c>
      <c r="C177" s="7" t="s">
        <v>1086</v>
      </c>
      <c r="D177" s="7" t="n">
        <v>2</v>
      </c>
      <c r="E177" s="7" t="n">
        <v>196.58</v>
      </c>
      <c r="F177" s="7" t="n">
        <v>0</v>
      </c>
      <c r="G177" s="7" t="n">
        <v>0</v>
      </c>
    </row>
    <row r="178" customFormat="false" ht="15" hidden="false" customHeight="false" outlineLevel="0" collapsed="false">
      <c r="A178" s="7" t="s">
        <v>36</v>
      </c>
      <c r="B178" s="7" t="s">
        <v>159</v>
      </c>
      <c r="C178" s="7" t="s">
        <v>1087</v>
      </c>
      <c r="D178" s="7" t="n">
        <v>5</v>
      </c>
      <c r="E178" s="7" t="n">
        <v>152.1</v>
      </c>
      <c r="F178" s="7" t="n">
        <v>0</v>
      </c>
      <c r="G178" s="7" t="n">
        <v>0</v>
      </c>
    </row>
    <row r="179" customFormat="false" ht="15" hidden="false" customHeight="false" outlineLevel="0" collapsed="false">
      <c r="A179" s="7" t="s">
        <v>36</v>
      </c>
      <c r="B179" s="7" t="s">
        <v>185</v>
      </c>
      <c r="C179" s="7" t="s">
        <v>1053</v>
      </c>
      <c r="D179" s="7" t="n">
        <v>5</v>
      </c>
      <c r="E179" s="7" t="n">
        <v>123.69</v>
      </c>
      <c r="F179" s="7" t="n">
        <v>15</v>
      </c>
      <c r="G179" s="7" t="n">
        <v>428.17</v>
      </c>
    </row>
    <row r="180" customFormat="false" ht="15" hidden="false" customHeight="false" outlineLevel="0" collapsed="false">
      <c r="A180" s="7" t="s">
        <v>36</v>
      </c>
      <c r="B180" s="7" t="s">
        <v>650</v>
      </c>
      <c r="C180" s="7" t="s">
        <v>1088</v>
      </c>
      <c r="D180" s="7" t="n">
        <v>5</v>
      </c>
      <c r="E180" s="7" t="n">
        <v>62.76</v>
      </c>
      <c r="F180" s="7" t="n">
        <v>5</v>
      </c>
      <c r="G180" s="7" t="n">
        <v>72.41</v>
      </c>
    </row>
    <row r="181" customFormat="false" ht="15" hidden="false" customHeight="false" outlineLevel="0" collapsed="false">
      <c r="A181" s="7" t="s">
        <v>36</v>
      </c>
      <c r="B181" s="7" t="s">
        <v>779</v>
      </c>
      <c r="C181" s="7" t="s">
        <v>1089</v>
      </c>
      <c r="D181" s="7" t="n">
        <v>0</v>
      </c>
      <c r="E181" s="7" t="n">
        <v>0</v>
      </c>
      <c r="F181" s="7" t="n">
        <v>5</v>
      </c>
      <c r="G181" s="7" t="n">
        <v>72.41</v>
      </c>
    </row>
    <row r="182" customFormat="false" ht="15" hidden="false" customHeight="false" outlineLevel="0" collapsed="false">
      <c r="A182" s="7" t="s">
        <v>36</v>
      </c>
      <c r="B182" s="7" t="s">
        <v>502</v>
      </c>
      <c r="C182" s="7" t="s">
        <v>1090</v>
      </c>
      <c r="D182" s="7" t="n">
        <v>0</v>
      </c>
      <c r="E182" s="7" t="n">
        <v>0</v>
      </c>
      <c r="F182" s="7" t="n">
        <v>5</v>
      </c>
      <c r="G182" s="7" t="n">
        <v>105.22</v>
      </c>
    </row>
    <row r="183" customFormat="false" ht="15" hidden="false" customHeight="false" outlineLevel="0" collapsed="false">
      <c r="A183" s="7" t="s">
        <v>36</v>
      </c>
      <c r="B183" s="7" t="s">
        <v>225</v>
      </c>
      <c r="C183" s="7" t="s">
        <v>1091</v>
      </c>
      <c r="D183" s="7" t="n">
        <v>10</v>
      </c>
      <c r="E183" s="7" t="n">
        <v>187.05</v>
      </c>
      <c r="F183" s="7" t="n">
        <v>15</v>
      </c>
      <c r="G183" s="7" t="n">
        <v>280.58</v>
      </c>
    </row>
    <row r="184" customFormat="false" ht="15" hidden="false" customHeight="false" outlineLevel="0" collapsed="false">
      <c r="A184" s="7" t="s">
        <v>36</v>
      </c>
      <c r="B184" s="7" t="s">
        <v>286</v>
      </c>
      <c r="C184" s="7" t="s">
        <v>1092</v>
      </c>
      <c r="D184" s="7" t="n">
        <v>5</v>
      </c>
      <c r="E184" s="7" t="n">
        <v>162.3</v>
      </c>
      <c r="F184" s="7" t="n">
        <v>5</v>
      </c>
      <c r="G184" s="7" t="n">
        <v>187.27</v>
      </c>
    </row>
    <row r="185" customFormat="false" ht="15" hidden="false" customHeight="false" outlineLevel="0" collapsed="false">
      <c r="A185" s="7" t="s">
        <v>36</v>
      </c>
      <c r="B185" s="7" t="s">
        <v>134</v>
      </c>
      <c r="C185" s="7" t="s">
        <v>1093</v>
      </c>
      <c r="D185" s="7" t="n">
        <v>10</v>
      </c>
      <c r="E185" s="7" t="n">
        <v>348.98</v>
      </c>
      <c r="F185" s="7" t="n">
        <v>0</v>
      </c>
      <c r="G185" s="7" t="n">
        <v>0</v>
      </c>
    </row>
    <row r="186" customFormat="false" ht="15" hidden="false" customHeight="false" outlineLevel="0" collapsed="false">
      <c r="A186" s="7" t="s">
        <v>36</v>
      </c>
      <c r="B186" s="7" t="s">
        <v>217</v>
      </c>
      <c r="C186" s="7" t="s">
        <v>1094</v>
      </c>
      <c r="D186" s="7" t="n">
        <v>5</v>
      </c>
      <c r="E186" s="7" t="n">
        <v>131.83</v>
      </c>
      <c r="F186" s="7" t="n">
        <v>0</v>
      </c>
      <c r="G186" s="7" t="n">
        <v>0</v>
      </c>
    </row>
    <row r="187" customFormat="false" ht="15" hidden="false" customHeight="false" outlineLevel="0" collapsed="false">
      <c r="A187" s="7" t="s">
        <v>36</v>
      </c>
      <c r="B187" s="7" t="s">
        <v>367</v>
      </c>
      <c r="C187" s="7" t="s">
        <v>1095</v>
      </c>
      <c r="D187" s="7" t="n">
        <v>5</v>
      </c>
      <c r="E187" s="7" t="n">
        <v>130.99</v>
      </c>
      <c r="F187" s="7" t="n">
        <v>5</v>
      </c>
      <c r="G187" s="7" t="n">
        <v>130.99</v>
      </c>
    </row>
    <row r="188" customFormat="false" ht="15" hidden="false" customHeight="false" outlineLevel="0" collapsed="false">
      <c r="A188" s="7" t="s">
        <v>36</v>
      </c>
      <c r="B188" s="7" t="s">
        <v>661</v>
      </c>
      <c r="C188" s="7" t="s">
        <v>1096</v>
      </c>
      <c r="D188" s="7" t="n">
        <v>6</v>
      </c>
      <c r="E188" s="7" t="n">
        <v>78.48</v>
      </c>
      <c r="F188" s="7" t="n">
        <v>0</v>
      </c>
      <c r="G188" s="7" t="n">
        <v>0</v>
      </c>
    </row>
    <row r="189" customFormat="false" ht="15" hidden="false" customHeight="false" outlineLevel="0" collapsed="false">
      <c r="A189" s="7" t="s">
        <v>36</v>
      </c>
      <c r="B189" s="7" t="s">
        <v>590</v>
      </c>
      <c r="C189" s="7" t="s">
        <v>1097</v>
      </c>
      <c r="D189" s="7" t="n">
        <v>6</v>
      </c>
      <c r="E189" s="7" t="n">
        <v>92.52</v>
      </c>
      <c r="F189" s="7" t="n">
        <v>0</v>
      </c>
      <c r="G189" s="7" t="n">
        <v>0</v>
      </c>
    </row>
    <row r="190" customFormat="false" ht="15" hidden="false" customHeight="false" outlineLevel="0" collapsed="false">
      <c r="A190" s="7" t="s">
        <v>36</v>
      </c>
      <c r="B190" s="7" t="s">
        <v>735</v>
      </c>
      <c r="C190" s="7" t="s">
        <v>1098</v>
      </c>
      <c r="D190" s="7" t="n">
        <v>6</v>
      </c>
      <c r="E190" s="7" t="n">
        <v>92.52</v>
      </c>
      <c r="F190" s="7" t="n">
        <v>0</v>
      </c>
      <c r="G190" s="7" t="n">
        <v>0</v>
      </c>
    </row>
    <row r="191" customFormat="false" ht="15" hidden="false" customHeight="false" outlineLevel="0" collapsed="false">
      <c r="A191" s="7" t="s">
        <v>36</v>
      </c>
      <c r="B191" s="7" t="s">
        <v>229</v>
      </c>
      <c r="C191" s="7" t="s">
        <v>1099</v>
      </c>
      <c r="D191" s="7" t="n">
        <v>6</v>
      </c>
      <c r="E191" s="7" t="n">
        <v>534.06</v>
      </c>
      <c r="F191" s="7" t="n">
        <v>0</v>
      </c>
      <c r="G191" s="7" t="n">
        <v>0</v>
      </c>
    </row>
    <row r="192" customFormat="false" ht="15" hidden="false" customHeight="false" outlineLevel="0" collapsed="false">
      <c r="A192" s="7" t="s">
        <v>36</v>
      </c>
      <c r="B192" s="7" t="s">
        <v>119</v>
      </c>
      <c r="C192" s="7" t="s">
        <v>1100</v>
      </c>
      <c r="D192" s="7" t="n">
        <v>9</v>
      </c>
      <c r="E192" s="7" t="n">
        <v>425.65</v>
      </c>
      <c r="F192" s="7" t="n">
        <v>5</v>
      </c>
      <c r="G192" s="7" t="n">
        <v>236.47</v>
      </c>
    </row>
    <row r="193" customFormat="false" ht="15" hidden="false" customHeight="false" outlineLevel="0" collapsed="false">
      <c r="A193" s="7" t="s">
        <v>36</v>
      </c>
      <c r="B193" s="7" t="s">
        <v>517</v>
      </c>
      <c r="C193" s="7" t="s">
        <v>1101</v>
      </c>
      <c r="D193" s="7" t="n">
        <v>2</v>
      </c>
      <c r="E193" s="7" t="n">
        <v>120</v>
      </c>
      <c r="F193" s="7" t="n">
        <v>6</v>
      </c>
      <c r="G193" s="7" t="n">
        <v>360</v>
      </c>
    </row>
    <row r="194" customFormat="false" ht="15" hidden="false" customHeight="false" outlineLevel="0" collapsed="false">
      <c r="A194" s="7" t="s">
        <v>36</v>
      </c>
      <c r="B194" s="7" t="s">
        <v>334</v>
      </c>
      <c r="C194" s="7" t="s">
        <v>1101</v>
      </c>
      <c r="D194" s="7" t="n">
        <v>1</v>
      </c>
      <c r="E194" s="7" t="n">
        <v>60</v>
      </c>
      <c r="F194" s="7" t="n">
        <v>2</v>
      </c>
      <c r="G194" s="7" t="n">
        <v>120</v>
      </c>
    </row>
    <row r="195" customFormat="false" ht="15" hidden="false" customHeight="false" outlineLevel="0" collapsed="false">
      <c r="A195" s="7" t="s">
        <v>36</v>
      </c>
      <c r="B195" s="7" t="s">
        <v>124</v>
      </c>
      <c r="C195" s="7" t="s">
        <v>1102</v>
      </c>
      <c r="D195" s="7" t="n">
        <v>15</v>
      </c>
      <c r="E195" s="7" t="n">
        <v>374.96</v>
      </c>
      <c r="F195" s="7" t="n">
        <v>0</v>
      </c>
      <c r="G195" s="7" t="n">
        <v>0</v>
      </c>
    </row>
    <row r="196" customFormat="false" ht="15" hidden="false" customHeight="false" outlineLevel="0" collapsed="false">
      <c r="A196" s="7" t="s">
        <v>36</v>
      </c>
      <c r="B196" s="7" t="s">
        <v>166</v>
      </c>
      <c r="C196" s="7" t="s">
        <v>1103</v>
      </c>
      <c r="D196" s="7" t="n">
        <v>3</v>
      </c>
      <c r="E196" s="7" t="n">
        <v>74.99</v>
      </c>
      <c r="F196" s="7" t="n">
        <v>4</v>
      </c>
      <c r="G196" s="7" t="n">
        <v>99.99</v>
      </c>
    </row>
    <row r="197" customFormat="false" ht="15" hidden="false" customHeight="false" outlineLevel="0" collapsed="false">
      <c r="A197" s="7" t="s">
        <v>36</v>
      </c>
      <c r="B197" s="7" t="s">
        <v>118</v>
      </c>
      <c r="C197" s="7" t="s">
        <v>1104</v>
      </c>
      <c r="D197" s="7" t="n">
        <v>0</v>
      </c>
      <c r="E197" s="7" t="n">
        <v>0</v>
      </c>
      <c r="F197" s="7" t="n">
        <v>4</v>
      </c>
      <c r="G197" s="7" t="n">
        <v>121.68</v>
      </c>
    </row>
    <row r="198" customFormat="false" ht="15" hidden="false" customHeight="false" outlineLevel="0" collapsed="false">
      <c r="A198" s="7" t="s">
        <v>36</v>
      </c>
      <c r="B198" s="7" t="s">
        <v>117</v>
      </c>
      <c r="C198" s="7" t="s">
        <v>1055</v>
      </c>
      <c r="D198" s="7" t="n">
        <v>2</v>
      </c>
      <c r="E198" s="7" t="n">
        <v>126.46</v>
      </c>
      <c r="F198" s="7" t="n">
        <v>0</v>
      </c>
      <c r="G198" s="7" t="n">
        <v>0</v>
      </c>
    </row>
    <row r="199" customFormat="false" ht="15" hidden="false" customHeight="false" outlineLevel="0" collapsed="false">
      <c r="A199" s="7" t="s">
        <v>36</v>
      </c>
      <c r="B199" s="7" t="s">
        <v>111</v>
      </c>
      <c r="C199" s="7" t="s">
        <v>1055</v>
      </c>
      <c r="D199" s="7" t="n">
        <v>6</v>
      </c>
      <c r="E199" s="7" t="n">
        <v>379.39</v>
      </c>
      <c r="F199" s="7" t="n">
        <v>0</v>
      </c>
      <c r="G199" s="7" t="n">
        <v>0</v>
      </c>
    </row>
    <row r="200" customFormat="false" ht="15" hidden="false" customHeight="false" outlineLevel="0" collapsed="false">
      <c r="A200" s="7" t="s">
        <v>36</v>
      </c>
      <c r="B200" s="7" t="s">
        <v>113</v>
      </c>
      <c r="C200" s="7" t="s">
        <v>1055</v>
      </c>
      <c r="D200" s="7" t="n">
        <v>3</v>
      </c>
      <c r="E200" s="7" t="n">
        <v>189.69</v>
      </c>
      <c r="F200" s="7" t="n">
        <v>0</v>
      </c>
      <c r="G200" s="7" t="n">
        <v>0</v>
      </c>
    </row>
    <row r="201" customFormat="false" ht="15" hidden="false" customHeight="false" outlineLevel="0" collapsed="false">
      <c r="A201" s="7" t="s">
        <v>36</v>
      </c>
      <c r="B201" s="7" t="s">
        <v>110</v>
      </c>
      <c r="C201" s="7" t="s">
        <v>1105</v>
      </c>
      <c r="D201" s="7" t="n">
        <v>0</v>
      </c>
      <c r="E201" s="7" t="n">
        <v>0</v>
      </c>
      <c r="F201" s="7" t="n">
        <v>7</v>
      </c>
      <c r="G201" s="7" t="n">
        <v>442.61</v>
      </c>
    </row>
    <row r="202" customFormat="false" ht="15" hidden="false" customHeight="false" outlineLevel="0" collapsed="false">
      <c r="A202" s="7" t="s">
        <v>36</v>
      </c>
      <c r="B202" s="7" t="s">
        <v>104</v>
      </c>
      <c r="C202" s="7" t="s">
        <v>1105</v>
      </c>
      <c r="D202" s="7" t="n">
        <v>0</v>
      </c>
      <c r="E202" s="7" t="n">
        <v>0</v>
      </c>
      <c r="F202" s="7" t="n">
        <v>8</v>
      </c>
      <c r="G202" s="7" t="n">
        <v>505.86</v>
      </c>
    </row>
    <row r="203" customFormat="false" ht="15" hidden="false" customHeight="false" outlineLevel="0" collapsed="false">
      <c r="A203" s="7" t="s">
        <v>36</v>
      </c>
      <c r="B203" s="7" t="s">
        <v>106</v>
      </c>
      <c r="C203" s="7" t="s">
        <v>1105</v>
      </c>
      <c r="D203" s="7" t="n">
        <v>0</v>
      </c>
      <c r="E203" s="7" t="n">
        <v>0</v>
      </c>
      <c r="F203" s="7" t="n">
        <v>4</v>
      </c>
      <c r="G203" s="7" t="n">
        <v>252.93</v>
      </c>
    </row>
    <row r="204" customFormat="false" ht="15" hidden="false" customHeight="false" outlineLevel="0" collapsed="false">
      <c r="A204" s="7" t="s">
        <v>36</v>
      </c>
      <c r="B204" s="7" t="s">
        <v>992</v>
      </c>
      <c r="C204" s="7" t="s">
        <v>1106</v>
      </c>
      <c r="D204" s="7" t="n">
        <v>1</v>
      </c>
      <c r="E204" s="7" t="n">
        <v>187.45</v>
      </c>
      <c r="F204" s="7" t="n">
        <v>0</v>
      </c>
      <c r="G204" s="7" t="n">
        <v>0</v>
      </c>
    </row>
    <row r="205" customFormat="false" ht="15" hidden="false" customHeight="false" outlineLevel="0" collapsed="false">
      <c r="A205" s="7" t="s">
        <v>36</v>
      </c>
      <c r="B205" s="7" t="s">
        <v>403</v>
      </c>
      <c r="C205" s="7" t="s">
        <v>1058</v>
      </c>
      <c r="D205" s="7" t="n">
        <v>1</v>
      </c>
      <c r="E205" s="7" t="n">
        <v>158.12</v>
      </c>
      <c r="F205" s="7" t="n">
        <v>0</v>
      </c>
      <c r="G205" s="7" t="n">
        <v>0</v>
      </c>
    </row>
    <row r="206" customFormat="false" ht="15" hidden="false" customHeight="false" outlineLevel="0" collapsed="false">
      <c r="A206" s="7" t="s">
        <v>36</v>
      </c>
      <c r="B206" s="7" t="s">
        <v>403</v>
      </c>
      <c r="C206" s="7" t="s">
        <v>1058</v>
      </c>
      <c r="D206" s="7" t="n">
        <v>1</v>
      </c>
      <c r="E206" s="7" t="n">
        <v>180</v>
      </c>
      <c r="F206" s="7" t="n">
        <v>0</v>
      </c>
      <c r="G206" s="7" t="n">
        <v>0</v>
      </c>
    </row>
    <row r="207" customFormat="false" ht="15" hidden="false" customHeight="false" outlineLevel="0" collapsed="false">
      <c r="A207" s="7" t="s">
        <v>36</v>
      </c>
      <c r="B207" s="7" t="s">
        <v>169</v>
      </c>
      <c r="C207" s="7" t="s">
        <v>1058</v>
      </c>
      <c r="D207" s="7" t="n">
        <v>1</v>
      </c>
      <c r="E207" s="7" t="n">
        <v>158.12</v>
      </c>
      <c r="F207" s="7" t="n">
        <v>0</v>
      </c>
      <c r="G207" s="7" t="n">
        <v>0</v>
      </c>
    </row>
    <row r="208" customFormat="false" ht="15" hidden="false" customHeight="false" outlineLevel="0" collapsed="false">
      <c r="A208" s="7" t="s">
        <v>36</v>
      </c>
      <c r="B208" s="7" t="s">
        <v>169</v>
      </c>
      <c r="C208" s="7" t="s">
        <v>1058</v>
      </c>
      <c r="D208" s="7" t="n">
        <v>3</v>
      </c>
      <c r="E208" s="7" t="n">
        <v>540</v>
      </c>
      <c r="F208" s="7" t="n">
        <v>2</v>
      </c>
      <c r="G208" s="7" t="n">
        <v>360</v>
      </c>
    </row>
    <row r="209" customFormat="false" ht="15" hidden="false" customHeight="false" outlineLevel="0" collapsed="false">
      <c r="A209" s="7" t="s">
        <v>36</v>
      </c>
      <c r="B209" s="7" t="s">
        <v>385</v>
      </c>
      <c r="C209" s="7" t="s">
        <v>1058</v>
      </c>
      <c r="D209" s="7" t="n">
        <v>1</v>
      </c>
      <c r="E209" s="7" t="n">
        <v>180</v>
      </c>
      <c r="F209" s="7" t="n">
        <v>1</v>
      </c>
      <c r="G209" s="7" t="n">
        <v>180</v>
      </c>
    </row>
    <row r="210" customFormat="false" ht="15" hidden="false" customHeight="false" outlineLevel="0" collapsed="false">
      <c r="A210" s="7" t="s">
        <v>36</v>
      </c>
      <c r="B210" s="7" t="s">
        <v>314</v>
      </c>
      <c r="C210" s="7" t="s">
        <v>1059</v>
      </c>
      <c r="D210" s="7" t="n">
        <v>2</v>
      </c>
      <c r="E210" s="7" t="n">
        <v>280</v>
      </c>
      <c r="F210" s="7" t="n">
        <v>3</v>
      </c>
      <c r="G210" s="7" t="n">
        <v>420</v>
      </c>
    </row>
    <row r="211" customFormat="false" ht="15" hidden="false" customHeight="false" outlineLevel="0" collapsed="false">
      <c r="A211" s="7" t="s">
        <v>36</v>
      </c>
      <c r="B211" s="7" t="s">
        <v>145</v>
      </c>
      <c r="C211" s="7" t="s">
        <v>1059</v>
      </c>
      <c r="D211" s="7" t="n">
        <v>5</v>
      </c>
      <c r="E211" s="7" t="n">
        <v>576.9</v>
      </c>
      <c r="F211" s="7" t="n">
        <v>0</v>
      </c>
      <c r="G211" s="7" t="n">
        <v>0</v>
      </c>
    </row>
    <row r="212" customFormat="false" ht="15" hidden="false" customHeight="false" outlineLevel="0" collapsed="false">
      <c r="A212" s="7" t="s">
        <v>36</v>
      </c>
      <c r="B212" s="7" t="s">
        <v>145</v>
      </c>
      <c r="C212" s="7" t="s">
        <v>1059</v>
      </c>
      <c r="D212" s="7" t="n">
        <v>4</v>
      </c>
      <c r="E212" s="7" t="n">
        <v>560</v>
      </c>
      <c r="F212" s="7" t="n">
        <v>7</v>
      </c>
      <c r="G212" s="7" t="n">
        <v>980</v>
      </c>
    </row>
    <row r="213" customFormat="false" ht="15" hidden="false" customHeight="false" outlineLevel="0" collapsed="false">
      <c r="A213" s="7" t="s">
        <v>36</v>
      </c>
      <c r="B213" s="7" t="s">
        <v>249</v>
      </c>
      <c r="C213" s="7" t="s">
        <v>1059</v>
      </c>
      <c r="D213" s="7" t="n">
        <v>1</v>
      </c>
      <c r="E213" s="7" t="n">
        <v>125</v>
      </c>
      <c r="F213" s="7" t="n">
        <v>0</v>
      </c>
      <c r="G213" s="7" t="n">
        <v>0</v>
      </c>
    </row>
    <row r="214" customFormat="false" ht="15" hidden="false" customHeight="false" outlineLevel="0" collapsed="false">
      <c r="A214" s="7" t="s">
        <v>36</v>
      </c>
      <c r="B214" s="7" t="s">
        <v>249</v>
      </c>
      <c r="C214" s="7" t="s">
        <v>1059</v>
      </c>
      <c r="D214" s="7" t="n">
        <v>0</v>
      </c>
      <c r="E214" s="7" t="n">
        <v>0</v>
      </c>
      <c r="F214" s="7" t="n">
        <v>1</v>
      </c>
      <c r="G214" s="7" t="n">
        <v>140</v>
      </c>
    </row>
    <row r="215" customFormat="false" ht="15" hidden="false" customHeight="false" outlineLevel="0" collapsed="false">
      <c r="A215" s="7" t="s">
        <v>36</v>
      </c>
      <c r="B215" s="7" t="s">
        <v>249</v>
      </c>
      <c r="C215" s="7" t="s">
        <v>1059</v>
      </c>
      <c r="D215" s="7" t="n">
        <v>1</v>
      </c>
      <c r="E215" s="7" t="n">
        <v>115.38</v>
      </c>
      <c r="F215" s="7" t="n">
        <v>0</v>
      </c>
      <c r="G215" s="7" t="n">
        <v>0</v>
      </c>
    </row>
    <row r="216" customFormat="false" ht="15" hidden="false" customHeight="false" outlineLevel="0" collapsed="false">
      <c r="A216" s="7" t="s">
        <v>36</v>
      </c>
      <c r="B216" s="7" t="s">
        <v>184</v>
      </c>
      <c r="C216" s="7" t="s">
        <v>1060</v>
      </c>
      <c r="D216" s="7" t="n">
        <v>1</v>
      </c>
      <c r="E216" s="7" t="n">
        <v>140</v>
      </c>
      <c r="F216" s="7" t="n">
        <v>2</v>
      </c>
      <c r="G216" s="7" t="n">
        <v>280</v>
      </c>
    </row>
    <row r="217" customFormat="false" ht="15" hidden="false" customHeight="false" outlineLevel="0" collapsed="false">
      <c r="A217" s="7" t="s">
        <v>36</v>
      </c>
      <c r="B217" s="7" t="s">
        <v>130</v>
      </c>
      <c r="C217" s="7" t="s">
        <v>1060</v>
      </c>
      <c r="D217" s="7" t="n">
        <v>5</v>
      </c>
      <c r="E217" s="7" t="n">
        <v>700</v>
      </c>
      <c r="F217" s="7" t="n">
        <v>11</v>
      </c>
      <c r="G217" s="7" t="n">
        <v>1540</v>
      </c>
    </row>
    <row r="218" customFormat="false" ht="15" hidden="false" customHeight="false" outlineLevel="0" collapsed="false">
      <c r="A218" s="7" t="s">
        <v>36</v>
      </c>
      <c r="B218" s="7" t="s">
        <v>130</v>
      </c>
      <c r="C218" s="7" t="s">
        <v>1060</v>
      </c>
      <c r="D218" s="7" t="n">
        <v>1</v>
      </c>
      <c r="E218" s="7" t="n">
        <v>115.38</v>
      </c>
      <c r="F218" s="7" t="n">
        <v>0</v>
      </c>
      <c r="G218" s="7" t="n">
        <v>0</v>
      </c>
    </row>
    <row r="219" customFormat="false" ht="15" hidden="false" customHeight="false" outlineLevel="0" collapsed="false">
      <c r="A219" s="7" t="s">
        <v>36</v>
      </c>
      <c r="B219" s="7" t="s">
        <v>436</v>
      </c>
      <c r="C219" s="7" t="s">
        <v>1060</v>
      </c>
      <c r="D219" s="7" t="n">
        <v>3</v>
      </c>
      <c r="E219" s="7" t="n">
        <v>420</v>
      </c>
      <c r="F219" s="7" t="n">
        <v>4</v>
      </c>
      <c r="G219" s="7" t="n">
        <v>560</v>
      </c>
    </row>
    <row r="220" customFormat="false" ht="15" hidden="false" customHeight="false" outlineLevel="0" collapsed="false">
      <c r="A220" s="7" t="s">
        <v>36</v>
      </c>
      <c r="B220" s="7" t="s">
        <v>436</v>
      </c>
      <c r="C220" s="7" t="s">
        <v>1060</v>
      </c>
      <c r="D220" s="7" t="n">
        <v>2</v>
      </c>
      <c r="E220" s="7" t="n">
        <v>230.76</v>
      </c>
      <c r="F220" s="7" t="n">
        <v>0</v>
      </c>
      <c r="G220" s="7" t="n">
        <v>0</v>
      </c>
    </row>
    <row r="221" customFormat="false" ht="15" hidden="false" customHeight="false" outlineLevel="0" collapsed="false">
      <c r="A221" s="7" t="s">
        <v>36</v>
      </c>
      <c r="B221" s="7" t="s">
        <v>287</v>
      </c>
      <c r="C221" s="7" t="s">
        <v>1060</v>
      </c>
      <c r="D221" s="7" t="n">
        <v>0</v>
      </c>
      <c r="E221" s="7" t="n">
        <v>0</v>
      </c>
      <c r="F221" s="7" t="n">
        <v>1</v>
      </c>
      <c r="G221" s="7" t="n">
        <v>140</v>
      </c>
    </row>
    <row r="222" customFormat="false" ht="15" hidden="false" customHeight="false" outlineLevel="0" collapsed="false">
      <c r="A222" s="7" t="s">
        <v>36</v>
      </c>
      <c r="B222" s="7" t="s">
        <v>465</v>
      </c>
      <c r="C222" s="7" t="s">
        <v>1107</v>
      </c>
      <c r="D222" s="7" t="n">
        <v>2</v>
      </c>
      <c r="E222" s="7" t="n">
        <v>99.27</v>
      </c>
      <c r="F222" s="7" t="n">
        <v>2</v>
      </c>
      <c r="G222" s="7" t="n">
        <v>99.27</v>
      </c>
    </row>
    <row r="223" customFormat="false" ht="15" hidden="false" customHeight="false" outlineLevel="0" collapsed="false">
      <c r="A223" s="7" t="s">
        <v>36</v>
      </c>
      <c r="B223" s="7" t="s">
        <v>262</v>
      </c>
      <c r="C223" s="7" t="s">
        <v>1107</v>
      </c>
      <c r="D223" s="7" t="n">
        <v>2</v>
      </c>
      <c r="E223" s="7" t="n">
        <v>99.27</v>
      </c>
      <c r="F223" s="7" t="n">
        <v>3</v>
      </c>
      <c r="G223" s="7" t="n">
        <v>148.9</v>
      </c>
    </row>
    <row r="224" customFormat="false" ht="15" hidden="false" customHeight="false" outlineLevel="0" collapsed="false">
      <c r="A224" s="7" t="s">
        <v>36</v>
      </c>
      <c r="B224" s="7" t="s">
        <v>596</v>
      </c>
      <c r="C224" s="7" t="s">
        <v>1107</v>
      </c>
      <c r="D224" s="7" t="n">
        <v>2</v>
      </c>
      <c r="E224" s="7" t="n">
        <v>99.27</v>
      </c>
      <c r="F224" s="7" t="n">
        <v>2</v>
      </c>
      <c r="G224" s="7" t="n">
        <v>99.27</v>
      </c>
    </row>
    <row r="225" customFormat="false" ht="15" hidden="false" customHeight="false" outlineLevel="0" collapsed="false">
      <c r="A225" s="7" t="s">
        <v>36</v>
      </c>
      <c r="B225" s="7" t="s">
        <v>551</v>
      </c>
      <c r="C225" s="7" t="s">
        <v>1107</v>
      </c>
      <c r="D225" s="7" t="n">
        <v>2</v>
      </c>
      <c r="E225" s="7" t="n">
        <v>99.27</v>
      </c>
      <c r="F225" s="7" t="n">
        <v>0</v>
      </c>
      <c r="G225" s="7" t="n">
        <v>0</v>
      </c>
    </row>
    <row r="226" customFormat="false" ht="15" hidden="false" customHeight="false" outlineLevel="0" collapsed="false">
      <c r="A226" s="7" t="s">
        <v>36</v>
      </c>
      <c r="B226" s="7" t="s">
        <v>460</v>
      </c>
      <c r="C226" s="7" t="s">
        <v>1107</v>
      </c>
      <c r="D226" s="7" t="n">
        <v>3</v>
      </c>
      <c r="E226" s="7" t="n">
        <v>148.9</v>
      </c>
      <c r="F226" s="7" t="n">
        <v>0</v>
      </c>
      <c r="G226" s="7" t="n">
        <v>0</v>
      </c>
    </row>
    <row r="227" customFormat="false" ht="15" hidden="false" customHeight="false" outlineLevel="0" collapsed="false">
      <c r="A227" s="7" t="s">
        <v>36</v>
      </c>
      <c r="B227" s="7" t="s">
        <v>720</v>
      </c>
      <c r="C227" s="7" t="s">
        <v>1107</v>
      </c>
      <c r="D227" s="7" t="n">
        <v>2</v>
      </c>
      <c r="E227" s="7" t="n">
        <v>99.27</v>
      </c>
      <c r="F227" s="7" t="n">
        <v>0</v>
      </c>
      <c r="G227" s="7" t="n">
        <v>0</v>
      </c>
    </row>
    <row r="228" customFormat="false" ht="15" hidden="false" customHeight="false" outlineLevel="0" collapsed="false">
      <c r="A228" s="7" t="s">
        <v>36</v>
      </c>
      <c r="B228" s="7" t="s">
        <v>695</v>
      </c>
      <c r="C228" s="7" t="s">
        <v>1062</v>
      </c>
      <c r="D228" s="7" t="n">
        <v>2</v>
      </c>
      <c r="E228" s="7" t="n">
        <v>78</v>
      </c>
      <c r="F228" s="7" t="n">
        <v>0</v>
      </c>
      <c r="G228" s="7" t="n">
        <v>0</v>
      </c>
    </row>
    <row r="229" customFormat="false" ht="15" hidden="false" customHeight="false" outlineLevel="0" collapsed="false">
      <c r="A229" s="7" t="s">
        <v>36</v>
      </c>
      <c r="B229" s="7" t="s">
        <v>695</v>
      </c>
      <c r="C229" s="7" t="s">
        <v>1062</v>
      </c>
      <c r="D229" s="7" t="n">
        <v>5</v>
      </c>
      <c r="E229" s="7" t="n">
        <v>259.87</v>
      </c>
      <c r="F229" s="7" t="n">
        <v>0</v>
      </c>
      <c r="G229" s="7" t="n">
        <v>0</v>
      </c>
    </row>
    <row r="230" customFormat="false" ht="15" hidden="false" customHeight="false" outlineLevel="0" collapsed="false">
      <c r="A230" s="7" t="s">
        <v>36</v>
      </c>
      <c r="B230" s="7" t="s">
        <v>290</v>
      </c>
      <c r="C230" s="7" t="s">
        <v>1062</v>
      </c>
      <c r="D230" s="7" t="n">
        <v>5</v>
      </c>
      <c r="E230" s="7" t="n">
        <v>259.87</v>
      </c>
      <c r="F230" s="7" t="n">
        <v>0</v>
      </c>
      <c r="G230" s="7" t="n">
        <v>0</v>
      </c>
    </row>
    <row r="231" customFormat="false" ht="15" hidden="false" customHeight="false" outlineLevel="0" collapsed="false">
      <c r="A231" s="7" t="s">
        <v>36</v>
      </c>
      <c r="B231" s="7" t="s">
        <v>290</v>
      </c>
      <c r="C231" s="7" t="s">
        <v>1062</v>
      </c>
      <c r="D231" s="7" t="n">
        <v>3</v>
      </c>
      <c r="E231" s="7" t="n">
        <v>117</v>
      </c>
      <c r="F231" s="7" t="n">
        <v>0</v>
      </c>
      <c r="G231" s="7" t="n">
        <v>0</v>
      </c>
    </row>
    <row r="232" customFormat="false" ht="15" hidden="false" customHeight="false" outlineLevel="0" collapsed="false">
      <c r="A232" s="7" t="s">
        <v>36</v>
      </c>
      <c r="B232" s="7" t="s">
        <v>472</v>
      </c>
      <c r="C232" s="7" t="s">
        <v>1062</v>
      </c>
      <c r="D232" s="7" t="n">
        <v>5</v>
      </c>
      <c r="E232" s="7" t="n">
        <v>259.89</v>
      </c>
      <c r="F232" s="7" t="n">
        <v>0</v>
      </c>
      <c r="G232" s="7" t="n">
        <v>0</v>
      </c>
    </row>
    <row r="233" customFormat="false" ht="15" hidden="false" customHeight="false" outlineLevel="0" collapsed="false">
      <c r="A233" s="7" t="s">
        <v>36</v>
      </c>
      <c r="B233" s="7" t="s">
        <v>981</v>
      </c>
      <c r="C233" s="7" t="s">
        <v>1064</v>
      </c>
      <c r="D233" s="7" t="n">
        <v>2</v>
      </c>
      <c r="E233" s="7" t="n">
        <v>444</v>
      </c>
      <c r="F233" s="7" t="n">
        <v>0</v>
      </c>
      <c r="G233" s="7" t="n">
        <v>0</v>
      </c>
    </row>
    <row r="234" customFormat="false" ht="15" hidden="false" customHeight="false" outlineLevel="0" collapsed="false">
      <c r="A234" s="7" t="s">
        <v>36</v>
      </c>
      <c r="B234" s="7" t="s">
        <v>372</v>
      </c>
      <c r="C234" s="7" t="s">
        <v>1064</v>
      </c>
      <c r="D234" s="7" t="n">
        <v>2</v>
      </c>
      <c r="E234" s="7" t="n">
        <v>520.01</v>
      </c>
      <c r="F234" s="7" t="n">
        <v>5</v>
      </c>
      <c r="G234" s="7" t="n">
        <v>1300</v>
      </c>
    </row>
    <row r="235" customFormat="false" ht="15" hidden="false" customHeight="false" outlineLevel="0" collapsed="false">
      <c r="A235" s="7" t="s">
        <v>36</v>
      </c>
      <c r="B235" s="7" t="s">
        <v>372</v>
      </c>
      <c r="C235" s="7" t="s">
        <v>1064</v>
      </c>
      <c r="D235" s="7" t="n">
        <v>0</v>
      </c>
      <c r="E235" s="7" t="n">
        <v>0</v>
      </c>
      <c r="F235" s="7" t="n">
        <v>4</v>
      </c>
      <c r="G235" s="7" t="n">
        <v>891</v>
      </c>
    </row>
    <row r="236" customFormat="false" ht="15" hidden="false" customHeight="false" outlineLevel="0" collapsed="false">
      <c r="A236" s="7" t="s">
        <v>36</v>
      </c>
      <c r="B236" s="7" t="s">
        <v>372</v>
      </c>
      <c r="C236" s="7" t="s">
        <v>1064</v>
      </c>
      <c r="D236" s="7" t="n">
        <v>3</v>
      </c>
      <c r="E236" s="7" t="n">
        <v>666</v>
      </c>
      <c r="F236" s="7" t="n">
        <v>0</v>
      </c>
      <c r="G236" s="7" t="n">
        <v>0</v>
      </c>
    </row>
    <row r="237" customFormat="false" ht="15" hidden="false" customHeight="false" outlineLevel="0" collapsed="false">
      <c r="A237" s="7" t="s">
        <v>36</v>
      </c>
      <c r="B237" s="7" t="s">
        <v>138</v>
      </c>
      <c r="C237" s="7" t="s">
        <v>1064</v>
      </c>
      <c r="D237" s="7" t="n">
        <v>0</v>
      </c>
      <c r="E237" s="7" t="n">
        <v>0</v>
      </c>
      <c r="F237" s="7" t="n">
        <v>5</v>
      </c>
      <c r="G237" s="7" t="n">
        <v>1113.75</v>
      </c>
    </row>
    <row r="238" customFormat="false" ht="15" hidden="false" customHeight="false" outlineLevel="0" collapsed="false">
      <c r="A238" s="7" t="s">
        <v>36</v>
      </c>
      <c r="B238" s="7" t="s">
        <v>138</v>
      </c>
      <c r="C238" s="7" t="s">
        <v>1064</v>
      </c>
      <c r="D238" s="7" t="n">
        <v>9</v>
      </c>
      <c r="E238" s="7" t="n">
        <v>2340.02</v>
      </c>
      <c r="F238" s="7" t="n">
        <v>40</v>
      </c>
      <c r="G238" s="7" t="n">
        <v>10400.09</v>
      </c>
    </row>
    <row r="239" customFormat="false" ht="15" hidden="false" customHeight="false" outlineLevel="0" collapsed="false">
      <c r="A239" s="7" t="s">
        <v>36</v>
      </c>
      <c r="B239" s="7" t="s">
        <v>138</v>
      </c>
      <c r="C239" s="7" t="s">
        <v>1064</v>
      </c>
      <c r="D239" s="7" t="n">
        <v>13</v>
      </c>
      <c r="E239" s="7" t="n">
        <v>2886</v>
      </c>
      <c r="F239" s="7" t="n">
        <v>8</v>
      </c>
      <c r="G239" s="7" t="n">
        <v>1776</v>
      </c>
    </row>
    <row r="240" customFormat="false" ht="15" hidden="false" customHeight="false" outlineLevel="0" collapsed="false">
      <c r="A240" s="7" t="s">
        <v>36</v>
      </c>
      <c r="B240" s="7" t="s">
        <v>200</v>
      </c>
      <c r="C240" s="7" t="s">
        <v>1064</v>
      </c>
      <c r="D240" s="7" t="n">
        <v>4</v>
      </c>
      <c r="E240" s="7" t="n">
        <v>1040.01</v>
      </c>
      <c r="F240" s="7" t="n">
        <v>41</v>
      </c>
      <c r="G240" s="7" t="n">
        <v>10660.13</v>
      </c>
    </row>
    <row r="241" customFormat="false" ht="15" hidden="false" customHeight="false" outlineLevel="0" collapsed="false">
      <c r="A241" s="7" t="s">
        <v>36</v>
      </c>
      <c r="B241" s="7" t="s">
        <v>200</v>
      </c>
      <c r="C241" s="7" t="s">
        <v>1064</v>
      </c>
      <c r="D241" s="7" t="n">
        <v>26</v>
      </c>
      <c r="E241" s="7" t="n">
        <v>5772</v>
      </c>
      <c r="F241" s="7" t="n">
        <v>8</v>
      </c>
      <c r="G241" s="7" t="n">
        <v>1776</v>
      </c>
    </row>
    <row r="242" customFormat="false" ht="15" hidden="false" customHeight="false" outlineLevel="0" collapsed="false">
      <c r="A242" s="7" t="s">
        <v>36</v>
      </c>
      <c r="B242" s="7" t="s">
        <v>708</v>
      </c>
      <c r="C242" s="7" t="s">
        <v>1108</v>
      </c>
      <c r="D242" s="7" t="n">
        <v>1</v>
      </c>
      <c r="E242" s="7" t="n">
        <v>125</v>
      </c>
      <c r="F242" s="7" t="n">
        <v>0</v>
      </c>
      <c r="G242" s="7" t="n">
        <v>0</v>
      </c>
    </row>
    <row r="243" customFormat="false" ht="15" hidden="false" customHeight="false" outlineLevel="0" collapsed="false">
      <c r="A243" s="7" t="s">
        <v>36</v>
      </c>
      <c r="B243" s="7" t="s">
        <v>203</v>
      </c>
      <c r="C243" s="7" t="s">
        <v>1109</v>
      </c>
      <c r="D243" s="7" t="n">
        <v>0</v>
      </c>
      <c r="E243" s="7" t="n">
        <v>0</v>
      </c>
      <c r="F243" s="7" t="n">
        <v>3</v>
      </c>
      <c r="G243" s="7" t="n">
        <v>492.03</v>
      </c>
    </row>
    <row r="244" customFormat="false" ht="15" hidden="false" customHeight="false" outlineLevel="0" collapsed="false">
      <c r="A244" s="7" t="s">
        <v>36</v>
      </c>
      <c r="B244" s="7" t="s">
        <v>543</v>
      </c>
      <c r="C244" s="7" t="s">
        <v>1109</v>
      </c>
      <c r="D244" s="7" t="n">
        <v>0</v>
      </c>
      <c r="E244" s="7" t="n">
        <v>0</v>
      </c>
      <c r="F244" s="7" t="n">
        <v>1</v>
      </c>
      <c r="G244" s="7" t="n">
        <v>164.01</v>
      </c>
    </row>
    <row r="245" customFormat="false" ht="15" hidden="false" customHeight="false" outlineLevel="0" collapsed="false">
      <c r="A245" s="7" t="s">
        <v>36</v>
      </c>
      <c r="B245" s="7" t="s">
        <v>223</v>
      </c>
      <c r="C245" s="7" t="s">
        <v>1065</v>
      </c>
      <c r="D245" s="7" t="n">
        <v>0</v>
      </c>
      <c r="E245" s="7" t="n">
        <v>0</v>
      </c>
      <c r="F245" s="7" t="n">
        <v>1</v>
      </c>
      <c r="G245" s="7" t="n">
        <v>160</v>
      </c>
    </row>
    <row r="246" customFormat="false" ht="15" hidden="false" customHeight="false" outlineLevel="0" collapsed="false">
      <c r="A246" s="7" t="s">
        <v>36</v>
      </c>
      <c r="B246" s="7" t="s">
        <v>260</v>
      </c>
      <c r="C246" s="7" t="s">
        <v>1065</v>
      </c>
      <c r="D246" s="7" t="n">
        <v>1</v>
      </c>
      <c r="E246" s="7" t="n">
        <v>160</v>
      </c>
      <c r="F246" s="7" t="n">
        <v>0</v>
      </c>
      <c r="G246" s="7" t="n">
        <v>0</v>
      </c>
    </row>
    <row r="247" customFormat="false" ht="15" hidden="false" customHeight="false" outlineLevel="0" collapsed="false">
      <c r="A247" s="7" t="s">
        <v>36</v>
      </c>
      <c r="B247" s="7" t="s">
        <v>291</v>
      </c>
      <c r="C247" s="7" t="s">
        <v>1065</v>
      </c>
      <c r="D247" s="7" t="n">
        <v>1</v>
      </c>
      <c r="E247" s="7" t="n">
        <v>160</v>
      </c>
      <c r="F247" s="7" t="n">
        <v>0</v>
      </c>
      <c r="G247" s="7" t="n">
        <v>0</v>
      </c>
    </row>
    <row r="248" customFormat="false" ht="15" hidden="false" customHeight="false" outlineLevel="0" collapsed="false">
      <c r="A248" s="7" t="s">
        <v>36</v>
      </c>
      <c r="B248" s="7" t="s">
        <v>347</v>
      </c>
      <c r="C248" s="7" t="s">
        <v>1065</v>
      </c>
      <c r="D248" s="7" t="n">
        <v>0</v>
      </c>
      <c r="E248" s="7" t="n">
        <v>0</v>
      </c>
      <c r="F248" s="7" t="n">
        <v>1</v>
      </c>
      <c r="G248" s="7" t="n">
        <v>160</v>
      </c>
    </row>
    <row r="249" customFormat="false" ht="15" hidden="false" customHeight="false" outlineLevel="0" collapsed="false">
      <c r="A249" s="7" t="s">
        <v>36</v>
      </c>
      <c r="B249" s="7" t="s">
        <v>195</v>
      </c>
      <c r="C249" s="7" t="s">
        <v>1065</v>
      </c>
      <c r="D249" s="7" t="n">
        <v>1</v>
      </c>
      <c r="E249" s="7" t="n">
        <v>160</v>
      </c>
      <c r="F249" s="7" t="n">
        <v>0</v>
      </c>
      <c r="G249" s="7" t="n">
        <v>0</v>
      </c>
    </row>
    <row r="250" customFormat="false" ht="15" hidden="false" customHeight="false" outlineLevel="0" collapsed="false">
      <c r="A250" s="7" t="s">
        <v>36</v>
      </c>
      <c r="B250" s="7" t="s">
        <v>383</v>
      </c>
      <c r="C250" s="7" t="s">
        <v>1065</v>
      </c>
      <c r="D250" s="7" t="n">
        <v>1</v>
      </c>
      <c r="E250" s="7" t="n">
        <v>160</v>
      </c>
      <c r="F250" s="7" t="n">
        <v>0</v>
      </c>
      <c r="G250" s="7" t="n">
        <v>0</v>
      </c>
    </row>
    <row r="251" customFormat="false" ht="15" hidden="false" customHeight="false" outlineLevel="0" collapsed="false">
      <c r="A251" s="7" t="s">
        <v>36</v>
      </c>
      <c r="B251" s="7" t="s">
        <v>627</v>
      </c>
      <c r="C251" s="7" t="s">
        <v>1110</v>
      </c>
      <c r="D251" s="7" t="n">
        <v>6</v>
      </c>
      <c r="E251" s="7" t="n">
        <v>75.64</v>
      </c>
      <c r="F251" s="7" t="n">
        <v>0</v>
      </c>
      <c r="G251" s="7" t="n">
        <v>0</v>
      </c>
    </row>
    <row r="252" customFormat="false" ht="15" hidden="false" customHeight="false" outlineLevel="0" collapsed="false">
      <c r="A252" s="7" t="s">
        <v>36</v>
      </c>
      <c r="B252" s="7" t="s">
        <v>617</v>
      </c>
      <c r="C252" s="7" t="s">
        <v>1111</v>
      </c>
      <c r="D252" s="7" t="n">
        <v>6</v>
      </c>
      <c r="E252" s="7" t="n">
        <v>75.64</v>
      </c>
      <c r="F252" s="7" t="n">
        <v>0</v>
      </c>
      <c r="G252" s="7" t="n">
        <v>0</v>
      </c>
    </row>
    <row r="253" customFormat="false" ht="15" hidden="false" customHeight="false" outlineLevel="0" collapsed="false">
      <c r="A253" s="7" t="s">
        <v>36</v>
      </c>
      <c r="B253" s="7" t="s">
        <v>701</v>
      </c>
      <c r="C253" s="7" t="s">
        <v>1112</v>
      </c>
      <c r="D253" s="7" t="n">
        <v>6</v>
      </c>
      <c r="E253" s="7" t="n">
        <v>75.64</v>
      </c>
      <c r="F253" s="7" t="n">
        <v>0</v>
      </c>
      <c r="G253" s="7" t="n">
        <v>0</v>
      </c>
    </row>
    <row r="254" customFormat="false" ht="15" hidden="false" customHeight="false" outlineLevel="0" collapsed="false">
      <c r="A254" s="7" t="s">
        <v>36</v>
      </c>
      <c r="B254" s="7" t="s">
        <v>761</v>
      </c>
      <c r="C254" s="7" t="s">
        <v>1113</v>
      </c>
      <c r="D254" s="7" t="n">
        <v>6</v>
      </c>
      <c r="E254" s="7" t="n">
        <v>75.64</v>
      </c>
      <c r="F254" s="7" t="n">
        <v>0</v>
      </c>
      <c r="G254" s="7" t="n">
        <v>0</v>
      </c>
    </row>
    <row r="255" customFormat="false" ht="15" hidden="false" customHeight="false" outlineLevel="0" collapsed="false">
      <c r="A255" s="7" t="s">
        <v>36</v>
      </c>
      <c r="B255" s="7" t="s">
        <v>375</v>
      </c>
      <c r="C255" s="7" t="s">
        <v>1114</v>
      </c>
      <c r="D255" s="7" t="n">
        <v>8</v>
      </c>
      <c r="E255" s="7" t="n">
        <v>100.86</v>
      </c>
      <c r="F255" s="7" t="n">
        <v>0</v>
      </c>
      <c r="G255" s="7" t="n">
        <v>0</v>
      </c>
    </row>
    <row r="256" customFormat="false" ht="15" hidden="false" customHeight="false" outlineLevel="0" collapsed="false">
      <c r="A256" s="7" t="s">
        <v>36</v>
      </c>
      <c r="B256" s="7" t="s">
        <v>663</v>
      </c>
      <c r="C256" s="7" t="s">
        <v>1115</v>
      </c>
      <c r="D256" s="7" t="n">
        <v>8</v>
      </c>
      <c r="E256" s="7" t="n">
        <v>100.86</v>
      </c>
      <c r="F256" s="7" t="n">
        <v>0</v>
      </c>
      <c r="G256" s="7" t="n">
        <v>0</v>
      </c>
    </row>
    <row r="257" customFormat="false" ht="15" hidden="false" customHeight="false" outlineLevel="0" collapsed="false">
      <c r="A257" s="7" t="s">
        <v>36</v>
      </c>
      <c r="B257" s="7" t="s">
        <v>412</v>
      </c>
      <c r="C257" s="7" t="s">
        <v>1116</v>
      </c>
      <c r="D257" s="7" t="n">
        <v>8</v>
      </c>
      <c r="E257" s="7" t="n">
        <v>100.86</v>
      </c>
      <c r="F257" s="7" t="n">
        <v>0</v>
      </c>
      <c r="G257" s="7" t="n">
        <v>0</v>
      </c>
    </row>
    <row r="258" customFormat="false" ht="15" hidden="false" customHeight="false" outlineLevel="0" collapsed="false">
      <c r="A258" s="7" t="s">
        <v>36</v>
      </c>
      <c r="B258" s="7" t="s">
        <v>244</v>
      </c>
      <c r="C258" s="7" t="s">
        <v>1117</v>
      </c>
      <c r="D258" s="7" t="n">
        <v>2</v>
      </c>
      <c r="E258" s="7" t="n">
        <v>139.99</v>
      </c>
      <c r="F258" s="7" t="n">
        <v>0</v>
      </c>
      <c r="G258" s="7" t="n">
        <v>0</v>
      </c>
    </row>
    <row r="259" customFormat="false" ht="15" hidden="false" customHeight="false" outlineLevel="0" collapsed="false">
      <c r="A259" s="7" t="s">
        <v>36</v>
      </c>
      <c r="B259" s="7" t="s">
        <v>244</v>
      </c>
      <c r="C259" s="7" t="s">
        <v>1117</v>
      </c>
      <c r="D259" s="7" t="n">
        <v>2</v>
      </c>
      <c r="E259" s="7" t="n">
        <v>120</v>
      </c>
      <c r="F259" s="7" t="n">
        <v>0</v>
      </c>
      <c r="G259" s="7" t="n">
        <v>0</v>
      </c>
    </row>
    <row r="260" customFormat="false" ht="15" hidden="false" customHeight="false" outlineLevel="0" collapsed="false">
      <c r="A260" s="7" t="s">
        <v>36</v>
      </c>
      <c r="B260" s="7" t="s">
        <v>189</v>
      </c>
      <c r="C260" s="7" t="s">
        <v>1117</v>
      </c>
      <c r="D260" s="7" t="n">
        <v>0</v>
      </c>
      <c r="E260" s="7" t="n">
        <v>0</v>
      </c>
      <c r="F260" s="7" t="n">
        <v>2</v>
      </c>
      <c r="G260" s="7" t="n">
        <v>139.99</v>
      </c>
    </row>
    <row r="261" customFormat="false" ht="15" hidden="false" customHeight="false" outlineLevel="0" collapsed="false">
      <c r="A261" s="7" t="s">
        <v>36</v>
      </c>
      <c r="B261" s="7" t="s">
        <v>189</v>
      </c>
      <c r="C261" s="7" t="s">
        <v>1117</v>
      </c>
      <c r="D261" s="7" t="n">
        <v>2</v>
      </c>
      <c r="E261" s="7" t="n">
        <v>120</v>
      </c>
      <c r="F261" s="7" t="n">
        <v>0</v>
      </c>
      <c r="G261" s="7" t="n">
        <v>0</v>
      </c>
    </row>
    <row r="262" customFormat="false" ht="15" hidden="false" customHeight="false" outlineLevel="0" collapsed="false">
      <c r="A262" s="7" t="s">
        <v>36</v>
      </c>
      <c r="B262" s="7" t="s">
        <v>631</v>
      </c>
      <c r="C262" s="7" t="s">
        <v>1117</v>
      </c>
      <c r="D262" s="7" t="n">
        <v>1</v>
      </c>
      <c r="E262" s="7" t="n">
        <v>70</v>
      </c>
      <c r="F262" s="7" t="n">
        <v>0</v>
      </c>
      <c r="G262" s="7" t="n">
        <v>0</v>
      </c>
    </row>
    <row r="263" customFormat="false" ht="15" hidden="false" customHeight="false" outlineLevel="0" collapsed="false">
      <c r="A263" s="7" t="s">
        <v>36</v>
      </c>
      <c r="B263" s="7" t="s">
        <v>413</v>
      </c>
      <c r="C263" s="7" t="s">
        <v>1117</v>
      </c>
      <c r="D263" s="7" t="n">
        <v>2</v>
      </c>
      <c r="E263" s="7" t="n">
        <v>120</v>
      </c>
      <c r="F263" s="7" t="n">
        <v>0</v>
      </c>
      <c r="G263" s="7" t="n">
        <v>0</v>
      </c>
    </row>
    <row r="264" customFormat="false" ht="15" hidden="false" customHeight="false" outlineLevel="0" collapsed="false">
      <c r="A264" s="7" t="s">
        <v>36</v>
      </c>
      <c r="B264" s="7" t="s">
        <v>595</v>
      </c>
      <c r="C264" s="7" t="s">
        <v>1118</v>
      </c>
      <c r="D264" s="7" t="n">
        <v>2</v>
      </c>
      <c r="E264" s="7" t="n">
        <v>97.99</v>
      </c>
      <c r="F264" s="7" t="n">
        <v>4</v>
      </c>
      <c r="G264" s="7" t="n">
        <v>195.98</v>
      </c>
    </row>
    <row r="265" customFormat="false" ht="15" hidden="false" customHeight="false" outlineLevel="0" collapsed="false">
      <c r="A265" s="7" t="s">
        <v>36</v>
      </c>
      <c r="B265" s="7" t="s">
        <v>693</v>
      </c>
      <c r="C265" s="7" t="s">
        <v>1118</v>
      </c>
      <c r="D265" s="7" t="n">
        <v>2</v>
      </c>
      <c r="E265" s="7" t="n">
        <v>98</v>
      </c>
      <c r="F265" s="7" t="n">
        <v>0</v>
      </c>
      <c r="G265" s="7" t="n">
        <v>0</v>
      </c>
    </row>
    <row r="266" customFormat="false" ht="15" hidden="false" customHeight="false" outlineLevel="0" collapsed="false">
      <c r="A266" s="7" t="s">
        <v>36</v>
      </c>
      <c r="B266" s="7" t="s">
        <v>693</v>
      </c>
      <c r="C266" s="7" t="s">
        <v>1118</v>
      </c>
      <c r="D266" s="7" t="n">
        <v>2</v>
      </c>
      <c r="E266" s="7" t="n">
        <v>97.99</v>
      </c>
      <c r="F266" s="7" t="n">
        <v>2</v>
      </c>
      <c r="G266" s="7" t="n">
        <v>97.99</v>
      </c>
    </row>
    <row r="267" customFormat="false" ht="15" hidden="false" customHeight="false" outlineLevel="0" collapsed="false">
      <c r="A267" s="7" t="s">
        <v>36</v>
      </c>
      <c r="B267" s="7" t="s">
        <v>533</v>
      </c>
      <c r="C267" s="7" t="s">
        <v>1118</v>
      </c>
      <c r="D267" s="7" t="n">
        <v>0</v>
      </c>
      <c r="E267" s="7" t="n">
        <v>0</v>
      </c>
      <c r="F267" s="7" t="n">
        <v>2</v>
      </c>
      <c r="G267" s="7" t="n">
        <v>97.99</v>
      </c>
    </row>
    <row r="268" customFormat="false" ht="15" hidden="false" customHeight="false" outlineLevel="0" collapsed="false">
      <c r="A268" s="7" t="s">
        <v>36</v>
      </c>
      <c r="B268" s="7" t="s">
        <v>284</v>
      </c>
      <c r="C268" s="7" t="s">
        <v>1119</v>
      </c>
      <c r="D268" s="7" t="n">
        <v>4</v>
      </c>
      <c r="E268" s="7" t="n">
        <v>195.99</v>
      </c>
      <c r="F268" s="7" t="n">
        <v>6</v>
      </c>
      <c r="G268" s="7" t="n">
        <v>293.99</v>
      </c>
    </row>
    <row r="269" customFormat="false" ht="15" hidden="false" customHeight="false" outlineLevel="0" collapsed="false">
      <c r="A269" s="7" t="s">
        <v>36</v>
      </c>
      <c r="B269" s="7" t="s">
        <v>284</v>
      </c>
      <c r="C269" s="7" t="s">
        <v>1119</v>
      </c>
      <c r="D269" s="7" t="n">
        <v>2</v>
      </c>
      <c r="E269" s="7" t="n">
        <v>113.35</v>
      </c>
      <c r="F269" s="7" t="n">
        <v>0</v>
      </c>
      <c r="G269" s="7" t="n">
        <v>0</v>
      </c>
    </row>
    <row r="270" customFormat="false" ht="15" hidden="false" customHeight="false" outlineLevel="0" collapsed="false">
      <c r="A270" s="7" t="s">
        <v>36</v>
      </c>
      <c r="B270" s="7" t="s">
        <v>267</v>
      </c>
      <c r="C270" s="7" t="s">
        <v>1119</v>
      </c>
      <c r="D270" s="7" t="n">
        <v>2</v>
      </c>
      <c r="E270" s="7" t="n">
        <v>98.01</v>
      </c>
      <c r="F270" s="7" t="n">
        <v>4</v>
      </c>
      <c r="G270" s="7" t="n">
        <v>195.98</v>
      </c>
    </row>
    <row r="271" customFormat="false" ht="15" hidden="false" customHeight="false" outlineLevel="0" collapsed="false">
      <c r="A271" s="7" t="s">
        <v>36</v>
      </c>
      <c r="B271" s="7" t="s">
        <v>267</v>
      </c>
      <c r="C271" s="7" t="s">
        <v>1119</v>
      </c>
      <c r="D271" s="7" t="n">
        <v>1</v>
      </c>
      <c r="E271" s="7" t="n">
        <v>56.68</v>
      </c>
      <c r="F271" s="7" t="n">
        <v>0</v>
      </c>
      <c r="G271" s="7" t="n">
        <v>0</v>
      </c>
    </row>
    <row r="272" customFormat="false" ht="15" hidden="false" customHeight="false" outlineLevel="0" collapsed="false">
      <c r="A272" s="7" t="s">
        <v>36</v>
      </c>
      <c r="B272" s="7" t="s">
        <v>458</v>
      </c>
      <c r="C272" s="7" t="s">
        <v>1119</v>
      </c>
      <c r="D272" s="7" t="n">
        <v>0</v>
      </c>
      <c r="E272" s="7" t="n">
        <v>0</v>
      </c>
      <c r="F272" s="7" t="n">
        <v>1</v>
      </c>
      <c r="G272" s="7" t="n">
        <v>49</v>
      </c>
    </row>
    <row r="273" customFormat="false" ht="15" hidden="false" customHeight="false" outlineLevel="0" collapsed="false">
      <c r="A273" s="7" t="s">
        <v>36</v>
      </c>
      <c r="B273" s="7" t="s">
        <v>263</v>
      </c>
      <c r="C273" s="7" t="s">
        <v>1119</v>
      </c>
      <c r="D273" s="7" t="n">
        <v>1</v>
      </c>
      <c r="E273" s="7" t="n">
        <v>49</v>
      </c>
      <c r="F273" s="7" t="n">
        <v>2</v>
      </c>
      <c r="G273" s="7" t="n">
        <v>98</v>
      </c>
    </row>
    <row r="274" customFormat="false" ht="15" hidden="false" customHeight="false" outlineLevel="0" collapsed="false">
      <c r="A274" s="7" t="s">
        <v>36</v>
      </c>
      <c r="B274" s="7" t="s">
        <v>179</v>
      </c>
      <c r="C274" s="7" t="s">
        <v>1120</v>
      </c>
      <c r="D274" s="7" t="n">
        <v>5</v>
      </c>
      <c r="E274" s="7" t="n">
        <v>259.91</v>
      </c>
      <c r="F274" s="7" t="n">
        <v>7</v>
      </c>
      <c r="G274" s="7" t="n">
        <v>363.87</v>
      </c>
    </row>
    <row r="275" customFormat="false" ht="15" hidden="false" customHeight="false" outlineLevel="0" collapsed="false">
      <c r="A275" s="7" t="s">
        <v>36</v>
      </c>
      <c r="B275" s="7" t="s">
        <v>158</v>
      </c>
      <c r="C275" s="7" t="s">
        <v>1068</v>
      </c>
      <c r="D275" s="7" t="n">
        <v>1</v>
      </c>
      <c r="E275" s="7" t="n">
        <v>89.74</v>
      </c>
      <c r="F275" s="7" t="n">
        <v>0</v>
      </c>
      <c r="G275" s="7" t="n">
        <v>0</v>
      </c>
    </row>
    <row r="276" customFormat="false" ht="15" hidden="false" customHeight="false" outlineLevel="0" collapsed="false">
      <c r="A276" s="7" t="s">
        <v>36</v>
      </c>
      <c r="B276" s="7" t="s">
        <v>358</v>
      </c>
      <c r="C276" s="7" t="s">
        <v>1068</v>
      </c>
      <c r="D276" s="7" t="n">
        <v>1</v>
      </c>
      <c r="E276" s="7" t="n">
        <v>89.74</v>
      </c>
      <c r="F276" s="7" t="n">
        <v>0</v>
      </c>
      <c r="G276" s="7" t="n">
        <v>0</v>
      </c>
    </row>
    <row r="277" customFormat="false" ht="15" hidden="false" customHeight="false" outlineLevel="0" collapsed="false">
      <c r="A277" s="7" t="s">
        <v>36</v>
      </c>
      <c r="B277" s="7" t="s">
        <v>103</v>
      </c>
      <c r="C277" s="7" t="s">
        <v>1121</v>
      </c>
      <c r="D277" s="7" t="n">
        <v>0</v>
      </c>
      <c r="E277" s="7" t="n">
        <v>0</v>
      </c>
      <c r="F277" s="7" t="n">
        <v>4</v>
      </c>
      <c r="G277" s="7" t="n">
        <v>318.6</v>
      </c>
    </row>
    <row r="278" customFormat="false" ht="15" hidden="false" customHeight="false" outlineLevel="0" collapsed="false">
      <c r="A278" s="7" t="s">
        <v>36</v>
      </c>
      <c r="B278" s="7" t="s">
        <v>103</v>
      </c>
      <c r="C278" s="7" t="s">
        <v>1121</v>
      </c>
      <c r="D278" s="7" t="n">
        <v>1</v>
      </c>
      <c r="E278" s="7" t="n">
        <v>72.61</v>
      </c>
      <c r="F278" s="7" t="n">
        <v>0</v>
      </c>
      <c r="G278" s="7" t="n">
        <v>0</v>
      </c>
    </row>
    <row r="279" customFormat="false" ht="15" hidden="false" customHeight="false" outlineLevel="0" collapsed="false">
      <c r="A279" s="7" t="s">
        <v>36</v>
      </c>
      <c r="B279" s="7" t="s">
        <v>103</v>
      </c>
      <c r="C279" s="7" t="s">
        <v>1121</v>
      </c>
      <c r="D279" s="7" t="n">
        <v>1</v>
      </c>
      <c r="E279" s="7" t="n">
        <v>0.01</v>
      </c>
      <c r="F279" s="7" t="n">
        <v>0</v>
      </c>
      <c r="G279" s="7" t="n">
        <v>0</v>
      </c>
    </row>
    <row r="280" customFormat="false" ht="15" hidden="false" customHeight="false" outlineLevel="0" collapsed="false">
      <c r="A280" s="7" t="s">
        <v>36</v>
      </c>
      <c r="B280" s="7" t="s">
        <v>101</v>
      </c>
      <c r="C280" s="7" t="s">
        <v>1121</v>
      </c>
      <c r="D280" s="7" t="n">
        <v>7</v>
      </c>
      <c r="E280" s="7" t="n">
        <v>508.25</v>
      </c>
      <c r="F280" s="7" t="n">
        <v>2</v>
      </c>
      <c r="G280" s="7" t="n">
        <v>145.22</v>
      </c>
    </row>
    <row r="281" customFormat="false" ht="15" hidden="false" customHeight="false" outlineLevel="0" collapsed="false">
      <c r="A281" s="7" t="s">
        <v>36</v>
      </c>
      <c r="B281" s="7" t="s">
        <v>101</v>
      </c>
      <c r="C281" s="7" t="s">
        <v>1121</v>
      </c>
      <c r="D281" s="7" t="n">
        <v>0</v>
      </c>
      <c r="E281" s="7" t="n">
        <v>0</v>
      </c>
      <c r="F281" s="7" t="n">
        <v>23</v>
      </c>
      <c r="G281" s="7" t="n">
        <v>1831.94</v>
      </c>
    </row>
    <row r="282" customFormat="false" ht="15" hidden="false" customHeight="false" outlineLevel="0" collapsed="false">
      <c r="A282" s="7" t="s">
        <v>36</v>
      </c>
      <c r="B282" s="7" t="s">
        <v>899</v>
      </c>
      <c r="C282" s="7" t="s">
        <v>1122</v>
      </c>
      <c r="D282" s="7" t="n">
        <v>5</v>
      </c>
      <c r="E282" s="7" t="n">
        <v>119.29</v>
      </c>
      <c r="F282" s="7" t="n">
        <v>0</v>
      </c>
      <c r="G282" s="7" t="n">
        <v>0</v>
      </c>
    </row>
    <row r="283" customFormat="false" ht="15" hidden="false" customHeight="false" outlineLevel="0" collapsed="false">
      <c r="A283" s="7" t="s">
        <v>36</v>
      </c>
      <c r="B283" s="7" t="s">
        <v>186</v>
      </c>
      <c r="C283" s="7" t="s">
        <v>1123</v>
      </c>
      <c r="D283" s="7" t="n">
        <v>1</v>
      </c>
      <c r="E283" s="7" t="n">
        <v>153.85</v>
      </c>
      <c r="F283" s="7" t="n">
        <v>0</v>
      </c>
      <c r="G283" s="7" t="n">
        <v>0</v>
      </c>
    </row>
    <row r="284" customFormat="false" ht="15" hidden="false" customHeight="false" outlineLevel="0" collapsed="false">
      <c r="A284" s="7" t="s">
        <v>36</v>
      </c>
      <c r="B284" s="7" t="s">
        <v>126</v>
      </c>
      <c r="C284" s="7" t="s">
        <v>1073</v>
      </c>
      <c r="D284" s="7" t="n">
        <v>1</v>
      </c>
      <c r="E284" s="7" t="n">
        <v>77.29</v>
      </c>
      <c r="F284" s="7" t="n">
        <v>0</v>
      </c>
      <c r="G284" s="7" t="n">
        <v>0</v>
      </c>
    </row>
    <row r="285" customFormat="false" ht="15" hidden="false" customHeight="false" outlineLevel="0" collapsed="false">
      <c r="A285" s="7" t="s">
        <v>36</v>
      </c>
      <c r="B285" s="7" t="s">
        <v>126</v>
      </c>
      <c r="C285" s="7" t="s">
        <v>1073</v>
      </c>
      <c r="D285" s="7" t="n">
        <v>1</v>
      </c>
      <c r="E285" s="7" t="n">
        <v>93.68</v>
      </c>
      <c r="F285" s="7" t="n">
        <v>1</v>
      </c>
      <c r="G285" s="7" t="n">
        <v>93.67</v>
      </c>
    </row>
    <row r="286" customFormat="false" ht="15" hidden="false" customHeight="false" outlineLevel="0" collapsed="false">
      <c r="A286" s="7" t="s">
        <v>36</v>
      </c>
      <c r="B286" s="7" t="s">
        <v>157</v>
      </c>
      <c r="C286" s="7" t="s">
        <v>1073</v>
      </c>
      <c r="D286" s="7" t="n">
        <v>1</v>
      </c>
      <c r="E286" s="7" t="n">
        <v>77.29</v>
      </c>
      <c r="F286" s="7" t="n">
        <v>0</v>
      </c>
      <c r="G286" s="7" t="n">
        <v>0</v>
      </c>
    </row>
    <row r="287" customFormat="false" ht="15" hidden="false" customHeight="false" outlineLevel="0" collapsed="false">
      <c r="A287" s="7" t="s">
        <v>36</v>
      </c>
      <c r="B287" s="7" t="s">
        <v>283</v>
      </c>
      <c r="C287" s="7" t="s">
        <v>1073</v>
      </c>
      <c r="D287" s="7" t="n">
        <v>1</v>
      </c>
      <c r="E287" s="7" t="n">
        <v>77.29</v>
      </c>
      <c r="F287" s="7" t="n">
        <v>0</v>
      </c>
      <c r="G287" s="7" t="n">
        <v>0</v>
      </c>
    </row>
    <row r="288" customFormat="false" ht="15" hidden="false" customHeight="false" outlineLevel="0" collapsed="false">
      <c r="A288" s="7" t="s">
        <v>36</v>
      </c>
      <c r="B288" s="7" t="s">
        <v>151</v>
      </c>
      <c r="C288" s="7" t="s">
        <v>1073</v>
      </c>
      <c r="D288" s="7" t="n">
        <v>1</v>
      </c>
      <c r="E288" s="7" t="n">
        <v>77.29</v>
      </c>
      <c r="F288" s="7" t="n">
        <v>0</v>
      </c>
      <c r="G288" s="7" t="n">
        <v>0</v>
      </c>
    </row>
    <row r="289" customFormat="false" ht="15" hidden="false" customHeight="false" outlineLevel="0" collapsed="false">
      <c r="A289" s="7" t="s">
        <v>36</v>
      </c>
      <c r="B289" s="7" t="s">
        <v>151</v>
      </c>
      <c r="C289" s="7" t="s">
        <v>1073</v>
      </c>
      <c r="D289" s="7" t="n">
        <v>0</v>
      </c>
      <c r="E289" s="7" t="n">
        <v>0</v>
      </c>
      <c r="F289" s="7" t="n">
        <v>1</v>
      </c>
      <c r="G289" s="7" t="n">
        <v>93.67</v>
      </c>
    </row>
    <row r="290" customFormat="false" ht="15" hidden="false" customHeight="false" outlineLevel="0" collapsed="false">
      <c r="A290" s="7" t="s">
        <v>36</v>
      </c>
      <c r="B290" s="7" t="s">
        <v>303</v>
      </c>
      <c r="C290" s="7" t="s">
        <v>1124</v>
      </c>
      <c r="D290" s="7" t="n">
        <v>1</v>
      </c>
      <c r="E290" s="7" t="n">
        <v>77.29</v>
      </c>
      <c r="F290" s="7" t="n">
        <v>0</v>
      </c>
      <c r="G290" s="7" t="n">
        <v>0</v>
      </c>
    </row>
    <row r="291" customFormat="false" ht="15" hidden="false" customHeight="false" outlineLevel="0" collapsed="false">
      <c r="A291" s="7" t="s">
        <v>36</v>
      </c>
      <c r="B291" s="7" t="s">
        <v>303</v>
      </c>
      <c r="C291" s="7" t="s">
        <v>1124</v>
      </c>
      <c r="D291" s="7" t="n">
        <v>0</v>
      </c>
      <c r="E291" s="7" t="n">
        <v>0</v>
      </c>
      <c r="F291" s="7" t="n">
        <v>1</v>
      </c>
      <c r="G291" s="7" t="n">
        <v>93.67</v>
      </c>
    </row>
    <row r="292" customFormat="false" ht="15" hidden="false" customHeight="false" outlineLevel="0" collapsed="false">
      <c r="A292" s="7" t="s">
        <v>36</v>
      </c>
      <c r="B292" s="7" t="s">
        <v>295</v>
      </c>
      <c r="C292" s="7" t="s">
        <v>1124</v>
      </c>
      <c r="D292" s="7" t="n">
        <v>1</v>
      </c>
      <c r="E292" s="7" t="n">
        <v>77.29</v>
      </c>
      <c r="F292" s="7" t="n">
        <v>0</v>
      </c>
      <c r="G292" s="7" t="n">
        <v>0</v>
      </c>
    </row>
    <row r="293" customFormat="false" ht="15" hidden="false" customHeight="false" outlineLevel="0" collapsed="false">
      <c r="A293" s="7" t="s">
        <v>36</v>
      </c>
      <c r="B293" s="7" t="s">
        <v>424</v>
      </c>
      <c r="C293" s="7" t="s">
        <v>1125</v>
      </c>
      <c r="D293" s="7" t="n">
        <v>1</v>
      </c>
      <c r="E293" s="7" t="n">
        <v>77.29</v>
      </c>
      <c r="F293" s="7" t="n">
        <v>0</v>
      </c>
      <c r="G293" s="7" t="n">
        <v>0</v>
      </c>
    </row>
    <row r="294" customFormat="false" ht="15" hidden="false" customHeight="false" outlineLevel="0" collapsed="false">
      <c r="A294" s="7" t="s">
        <v>36</v>
      </c>
      <c r="B294" s="7" t="s">
        <v>739</v>
      </c>
      <c r="C294" s="7" t="s">
        <v>1124</v>
      </c>
      <c r="D294" s="7" t="n">
        <v>1</v>
      </c>
      <c r="E294" s="7" t="n">
        <v>77.29</v>
      </c>
      <c r="F294" s="7" t="n">
        <v>0</v>
      </c>
      <c r="G294" s="7" t="n">
        <v>0</v>
      </c>
    </row>
    <row r="295" customFormat="false" ht="15" hidden="false" customHeight="false" outlineLevel="0" collapsed="false">
      <c r="A295" s="7" t="s">
        <v>36</v>
      </c>
      <c r="B295" s="7" t="s">
        <v>240</v>
      </c>
      <c r="C295" s="7" t="s">
        <v>1126</v>
      </c>
      <c r="D295" s="7" t="n">
        <v>1</v>
      </c>
      <c r="E295" s="7" t="n">
        <v>77.29</v>
      </c>
      <c r="F295" s="7" t="n">
        <v>0</v>
      </c>
      <c r="G295" s="7" t="n">
        <v>0</v>
      </c>
    </row>
    <row r="296" customFormat="false" ht="15" hidden="false" customHeight="false" outlineLevel="0" collapsed="false">
      <c r="A296" s="7" t="s">
        <v>36</v>
      </c>
      <c r="B296" s="7" t="s">
        <v>204</v>
      </c>
      <c r="C296" s="7" t="s">
        <v>1126</v>
      </c>
      <c r="D296" s="7" t="n">
        <v>1</v>
      </c>
      <c r="E296" s="7" t="n">
        <v>77.29</v>
      </c>
      <c r="F296" s="7" t="n">
        <v>0</v>
      </c>
      <c r="G296" s="7" t="n">
        <v>0</v>
      </c>
    </row>
    <row r="297" customFormat="false" ht="15" hidden="false" customHeight="false" outlineLevel="0" collapsed="false">
      <c r="A297" s="7" t="s">
        <v>36</v>
      </c>
      <c r="B297" s="7" t="s">
        <v>791</v>
      </c>
      <c r="C297" s="7" t="s">
        <v>1126</v>
      </c>
      <c r="D297" s="7" t="n">
        <v>1</v>
      </c>
      <c r="E297" s="7" t="n">
        <v>77.29</v>
      </c>
      <c r="F297" s="7" t="n">
        <v>0</v>
      </c>
      <c r="G297" s="7" t="n">
        <v>0</v>
      </c>
    </row>
    <row r="298" customFormat="false" ht="15" hidden="false" customHeight="false" outlineLevel="0" collapsed="false">
      <c r="A298" s="7" t="s">
        <v>36</v>
      </c>
      <c r="B298" s="7" t="s">
        <v>759</v>
      </c>
      <c r="C298" s="7" t="s">
        <v>1126</v>
      </c>
      <c r="D298" s="7" t="n">
        <v>1</v>
      </c>
      <c r="E298" s="7" t="n">
        <v>77.29</v>
      </c>
      <c r="F298" s="7" t="n">
        <v>0</v>
      </c>
      <c r="G298" s="7" t="n">
        <v>0</v>
      </c>
    </row>
    <row r="299" customFormat="false" ht="15" hidden="false" customHeight="false" outlineLevel="0" collapsed="false">
      <c r="A299" s="7" t="s">
        <v>36</v>
      </c>
      <c r="B299" s="7" t="s">
        <v>326</v>
      </c>
      <c r="C299" s="7" t="s">
        <v>1074</v>
      </c>
      <c r="D299" s="7" t="n">
        <v>1</v>
      </c>
      <c r="E299" s="7" t="n">
        <v>145.26</v>
      </c>
      <c r="F299" s="7" t="n">
        <v>0</v>
      </c>
      <c r="G299" s="7" t="n">
        <v>0</v>
      </c>
    </row>
    <row r="300" customFormat="false" ht="15" hidden="false" customHeight="false" outlineLevel="0" collapsed="false">
      <c r="A300" s="7" t="s">
        <v>36</v>
      </c>
      <c r="B300" s="7" t="s">
        <v>326</v>
      </c>
      <c r="C300" s="7" t="s">
        <v>1074</v>
      </c>
      <c r="D300" s="7" t="n">
        <v>0</v>
      </c>
      <c r="E300" s="7" t="n">
        <v>0</v>
      </c>
      <c r="F300" s="7" t="n">
        <v>1</v>
      </c>
      <c r="G300" s="7" t="n">
        <v>164.03</v>
      </c>
    </row>
    <row r="301" customFormat="false" ht="15" hidden="false" customHeight="false" outlineLevel="0" collapsed="false">
      <c r="A301" s="7" t="s">
        <v>36</v>
      </c>
      <c r="B301" s="7" t="s">
        <v>651</v>
      </c>
      <c r="C301" s="7" t="s">
        <v>1074</v>
      </c>
      <c r="D301" s="7" t="n">
        <v>0</v>
      </c>
      <c r="E301" s="7" t="n">
        <v>0</v>
      </c>
      <c r="F301" s="7" t="n">
        <v>1</v>
      </c>
      <c r="G301" s="7" t="n">
        <v>164.02</v>
      </c>
    </row>
    <row r="302" customFormat="false" ht="15" hidden="false" customHeight="false" outlineLevel="0" collapsed="false">
      <c r="A302" s="7" t="s">
        <v>36</v>
      </c>
      <c r="B302" s="7" t="s">
        <v>651</v>
      </c>
      <c r="C302" s="7" t="s">
        <v>1074</v>
      </c>
      <c r="D302" s="7" t="n">
        <v>1</v>
      </c>
      <c r="E302" s="7" t="n">
        <v>145.26</v>
      </c>
      <c r="F302" s="7" t="n">
        <v>0</v>
      </c>
      <c r="G302" s="7" t="n">
        <v>0</v>
      </c>
    </row>
    <row r="303" customFormat="false" ht="15" hidden="false" customHeight="false" outlineLevel="0" collapsed="false">
      <c r="A303" s="7" t="s">
        <v>36</v>
      </c>
      <c r="B303" s="7" t="s">
        <v>354</v>
      </c>
      <c r="C303" s="7" t="s">
        <v>1074</v>
      </c>
      <c r="D303" s="7" t="n">
        <v>1</v>
      </c>
      <c r="E303" s="7" t="n">
        <v>145.26</v>
      </c>
      <c r="F303" s="7" t="n">
        <v>0</v>
      </c>
      <c r="G303" s="7" t="n">
        <v>0</v>
      </c>
    </row>
    <row r="304" customFormat="false" ht="15" hidden="false" customHeight="false" outlineLevel="0" collapsed="false">
      <c r="A304" s="7" t="s">
        <v>36</v>
      </c>
      <c r="B304" s="7" t="s">
        <v>354</v>
      </c>
      <c r="C304" s="7" t="s">
        <v>1074</v>
      </c>
      <c r="D304" s="7" t="n">
        <v>0</v>
      </c>
      <c r="E304" s="7" t="n">
        <v>0</v>
      </c>
      <c r="F304" s="7" t="n">
        <v>2</v>
      </c>
      <c r="G304" s="7" t="n">
        <v>328.04</v>
      </c>
    </row>
    <row r="305" customFormat="false" ht="15" hidden="false" customHeight="false" outlineLevel="0" collapsed="false">
      <c r="A305" s="7" t="s">
        <v>36</v>
      </c>
      <c r="B305" s="7" t="s">
        <v>285</v>
      </c>
      <c r="C305" s="7" t="s">
        <v>1074</v>
      </c>
      <c r="D305" s="7" t="n">
        <v>1</v>
      </c>
      <c r="E305" s="7" t="n">
        <v>145.26</v>
      </c>
      <c r="F305" s="7" t="n">
        <v>0</v>
      </c>
      <c r="G305" s="7" t="n">
        <v>0</v>
      </c>
    </row>
    <row r="306" customFormat="false" ht="15" hidden="false" customHeight="false" outlineLevel="0" collapsed="false">
      <c r="A306" s="7" t="s">
        <v>36</v>
      </c>
      <c r="B306" s="7" t="s">
        <v>322</v>
      </c>
      <c r="C306" s="7" t="s">
        <v>1075</v>
      </c>
      <c r="D306" s="7" t="n">
        <v>1</v>
      </c>
      <c r="E306" s="7" t="n">
        <v>140.57</v>
      </c>
      <c r="F306" s="7" t="n">
        <v>0</v>
      </c>
      <c r="G306" s="7" t="n">
        <v>0</v>
      </c>
    </row>
    <row r="307" customFormat="false" ht="15" hidden="false" customHeight="false" outlineLevel="0" collapsed="false">
      <c r="A307" s="7" t="s">
        <v>36</v>
      </c>
      <c r="B307" s="7" t="s">
        <v>148</v>
      </c>
      <c r="C307" s="7" t="s">
        <v>1075</v>
      </c>
      <c r="D307" s="7" t="n">
        <v>2</v>
      </c>
      <c r="E307" s="7" t="n">
        <v>281.14</v>
      </c>
      <c r="F307" s="7" t="n">
        <v>0</v>
      </c>
      <c r="G307" s="7" t="n">
        <v>0</v>
      </c>
    </row>
    <row r="308" customFormat="false" ht="15" hidden="false" customHeight="false" outlineLevel="0" collapsed="false">
      <c r="A308" s="7" t="s">
        <v>36</v>
      </c>
      <c r="B308" s="7" t="s">
        <v>233</v>
      </c>
      <c r="C308" s="7" t="s">
        <v>1075</v>
      </c>
      <c r="D308" s="7" t="n">
        <v>1</v>
      </c>
      <c r="E308" s="7" t="n">
        <v>140.57</v>
      </c>
      <c r="F308" s="7" t="n">
        <v>0</v>
      </c>
      <c r="G308" s="7" t="n">
        <v>0</v>
      </c>
    </row>
    <row r="309" customFormat="false" ht="15" hidden="false" customHeight="false" outlineLevel="0" collapsed="false">
      <c r="A309" s="7" t="s">
        <v>36</v>
      </c>
      <c r="B309" s="7" t="s">
        <v>150</v>
      </c>
      <c r="C309" s="7" t="s">
        <v>1075</v>
      </c>
      <c r="D309" s="7" t="n">
        <v>1</v>
      </c>
      <c r="E309" s="7" t="n">
        <v>140.57</v>
      </c>
      <c r="F309" s="7" t="n">
        <v>0</v>
      </c>
      <c r="G309" s="7" t="n">
        <v>0</v>
      </c>
    </row>
    <row r="310" customFormat="false" ht="15" hidden="false" customHeight="false" outlineLevel="0" collapsed="false">
      <c r="A310" s="7" t="s">
        <v>36</v>
      </c>
      <c r="B310" s="7" t="s">
        <v>755</v>
      </c>
      <c r="C310" s="7" t="s">
        <v>1127</v>
      </c>
      <c r="D310" s="7" t="n">
        <v>0</v>
      </c>
      <c r="E310" s="7" t="n">
        <v>0</v>
      </c>
      <c r="F310" s="7" t="n">
        <v>1</v>
      </c>
      <c r="G310" s="7" t="n">
        <v>93.67</v>
      </c>
    </row>
    <row r="311" customFormat="false" ht="15" hidden="false" customHeight="false" outlineLevel="0" collapsed="false">
      <c r="A311" s="7" t="s">
        <v>36</v>
      </c>
      <c r="B311" s="7" t="s">
        <v>755</v>
      </c>
      <c r="C311" s="7" t="s">
        <v>1127</v>
      </c>
      <c r="D311" s="7" t="n">
        <v>1</v>
      </c>
      <c r="E311" s="7" t="n">
        <v>77.29</v>
      </c>
      <c r="F311" s="7" t="n">
        <v>0</v>
      </c>
      <c r="G311" s="7" t="n">
        <v>0</v>
      </c>
    </row>
    <row r="312" customFormat="false" ht="15" hidden="false" customHeight="false" outlineLevel="0" collapsed="false">
      <c r="A312" s="7" t="s">
        <v>36</v>
      </c>
      <c r="B312" s="7" t="s">
        <v>136</v>
      </c>
      <c r="C312" s="7" t="s">
        <v>1127</v>
      </c>
      <c r="D312" s="7" t="n">
        <v>2</v>
      </c>
      <c r="E312" s="7" t="n">
        <v>154.59</v>
      </c>
      <c r="F312" s="7" t="n">
        <v>0</v>
      </c>
      <c r="G312" s="7" t="n">
        <v>0</v>
      </c>
    </row>
    <row r="313" customFormat="false" ht="15" hidden="false" customHeight="false" outlineLevel="0" collapsed="false">
      <c r="A313" s="7" t="s">
        <v>36</v>
      </c>
      <c r="B313" s="7" t="s">
        <v>136</v>
      </c>
      <c r="C313" s="7" t="s">
        <v>1127</v>
      </c>
      <c r="D313" s="7" t="n">
        <v>0</v>
      </c>
      <c r="E313" s="7" t="n">
        <v>0</v>
      </c>
      <c r="F313" s="7" t="n">
        <v>1</v>
      </c>
      <c r="G313" s="7" t="n">
        <v>93.67</v>
      </c>
    </row>
    <row r="314" customFormat="false" ht="15" hidden="false" customHeight="false" outlineLevel="0" collapsed="false">
      <c r="A314" s="7" t="s">
        <v>36</v>
      </c>
      <c r="B314" s="7" t="s">
        <v>259</v>
      </c>
      <c r="C314" s="7" t="s">
        <v>1128</v>
      </c>
      <c r="D314" s="7" t="n">
        <v>1</v>
      </c>
      <c r="E314" s="7" t="n">
        <v>77.3</v>
      </c>
      <c r="F314" s="7" t="n">
        <v>0</v>
      </c>
      <c r="G314" s="7" t="n">
        <v>0</v>
      </c>
    </row>
    <row r="315" customFormat="false" ht="15" hidden="false" customHeight="false" outlineLevel="0" collapsed="false">
      <c r="A315" s="7" t="s">
        <v>36</v>
      </c>
      <c r="B315" s="7" t="s">
        <v>258</v>
      </c>
      <c r="C315" s="7" t="s">
        <v>1129</v>
      </c>
      <c r="D315" s="7" t="n">
        <v>1</v>
      </c>
      <c r="E315" s="7" t="n">
        <v>77.29</v>
      </c>
      <c r="F315" s="7" t="n">
        <v>0</v>
      </c>
      <c r="G315" s="7" t="n">
        <v>0</v>
      </c>
    </row>
    <row r="316" customFormat="false" ht="15" hidden="false" customHeight="false" outlineLevel="0" collapsed="false">
      <c r="A316" s="7" t="s">
        <v>36</v>
      </c>
      <c r="B316" s="7" t="s">
        <v>201</v>
      </c>
      <c r="C316" s="7" t="s">
        <v>1130</v>
      </c>
      <c r="D316" s="7" t="n">
        <v>2</v>
      </c>
      <c r="E316" s="7" t="n">
        <v>240</v>
      </c>
      <c r="F316" s="7" t="n">
        <v>0</v>
      </c>
      <c r="G316" s="7" t="n">
        <v>0</v>
      </c>
    </row>
    <row r="317" customFormat="false" ht="15" hidden="false" customHeight="false" outlineLevel="0" collapsed="false">
      <c r="A317" s="7" t="s">
        <v>36</v>
      </c>
      <c r="B317" s="7" t="s">
        <v>132</v>
      </c>
      <c r="C317" s="7" t="s">
        <v>1130</v>
      </c>
      <c r="D317" s="7" t="n">
        <v>5</v>
      </c>
      <c r="E317" s="7" t="n">
        <v>600</v>
      </c>
      <c r="F317" s="7" t="n">
        <v>0</v>
      </c>
      <c r="G317" s="7" t="n">
        <v>0</v>
      </c>
    </row>
    <row r="318" customFormat="false" ht="15" hidden="false" customHeight="false" outlineLevel="0" collapsed="false">
      <c r="A318" s="7" t="s">
        <v>36</v>
      </c>
      <c r="B318" s="7" t="s">
        <v>122</v>
      </c>
      <c r="C318" s="7" t="s">
        <v>1130</v>
      </c>
      <c r="D318" s="7" t="n">
        <v>2</v>
      </c>
      <c r="E318" s="7" t="n">
        <v>240</v>
      </c>
      <c r="F318" s="7" t="n">
        <v>0</v>
      </c>
      <c r="G318" s="7" t="n">
        <v>0</v>
      </c>
    </row>
    <row r="319" customFormat="false" ht="15" hidden="false" customHeight="false" outlineLevel="0" collapsed="false">
      <c r="A319" s="7" t="s">
        <v>36</v>
      </c>
      <c r="B319" s="7" t="s">
        <v>128</v>
      </c>
      <c r="C319" s="7" t="s">
        <v>1130</v>
      </c>
      <c r="D319" s="7" t="n">
        <v>2</v>
      </c>
      <c r="E319" s="7" t="n">
        <v>240</v>
      </c>
      <c r="F319" s="7" t="n">
        <v>0</v>
      </c>
      <c r="G319" s="7" t="n">
        <v>0</v>
      </c>
    </row>
    <row r="320" customFormat="false" ht="15" hidden="false" customHeight="false" outlineLevel="0" collapsed="false">
      <c r="A320" s="7" t="s">
        <v>36</v>
      </c>
      <c r="B320" s="7" t="s">
        <v>152</v>
      </c>
      <c r="C320" s="7" t="s">
        <v>1130</v>
      </c>
      <c r="D320" s="7" t="n">
        <v>2</v>
      </c>
      <c r="E320" s="7" t="n">
        <v>240</v>
      </c>
      <c r="F320" s="7" t="n">
        <v>0</v>
      </c>
      <c r="G320" s="7" t="n">
        <v>0</v>
      </c>
    </row>
    <row r="321" customFormat="false" ht="15" hidden="false" customHeight="false" outlineLevel="0" collapsed="false">
      <c r="A321" s="7" t="s">
        <v>36</v>
      </c>
      <c r="B321" s="7" t="s">
        <v>252</v>
      </c>
      <c r="C321" s="7" t="s">
        <v>1130</v>
      </c>
      <c r="D321" s="7" t="n">
        <v>2</v>
      </c>
      <c r="E321" s="7" t="n">
        <v>0.01</v>
      </c>
      <c r="F321" s="7" t="n">
        <v>0</v>
      </c>
      <c r="G321" s="7" t="n">
        <v>0</v>
      </c>
    </row>
    <row r="322" customFormat="false" ht="15" hidden="false" customHeight="false" outlineLevel="0" collapsed="false">
      <c r="A322" s="7" t="s">
        <v>36</v>
      </c>
      <c r="B322" s="7" t="s">
        <v>554</v>
      </c>
      <c r="C322" s="7" t="s">
        <v>1131</v>
      </c>
      <c r="D322" s="7" t="n">
        <v>3</v>
      </c>
      <c r="E322" s="7" t="n">
        <v>127.48</v>
      </c>
      <c r="F322" s="7" t="n">
        <v>0</v>
      </c>
      <c r="G322" s="7" t="n">
        <v>0</v>
      </c>
    </row>
    <row r="323" customFormat="false" ht="15" hidden="false" customHeight="false" outlineLevel="0" collapsed="false">
      <c r="A323" s="7" t="s">
        <v>36</v>
      </c>
      <c r="B323" s="7" t="s">
        <v>308</v>
      </c>
      <c r="C323" s="7" t="s">
        <v>1132</v>
      </c>
      <c r="D323" s="7" t="n">
        <v>3</v>
      </c>
      <c r="E323" s="7" t="n">
        <v>127.48</v>
      </c>
      <c r="F323" s="7" t="n">
        <v>0</v>
      </c>
      <c r="G323" s="7" t="n">
        <v>0</v>
      </c>
    </row>
    <row r="324" customFormat="false" ht="15" hidden="false" customHeight="false" outlineLevel="0" collapsed="false">
      <c r="A324" s="7" t="s">
        <v>36</v>
      </c>
      <c r="B324" s="7" t="s">
        <v>447</v>
      </c>
      <c r="C324" s="7" t="s">
        <v>1131</v>
      </c>
      <c r="D324" s="7" t="n">
        <v>3</v>
      </c>
      <c r="E324" s="7" t="n">
        <v>127.48</v>
      </c>
      <c r="F324" s="7" t="n">
        <v>0</v>
      </c>
      <c r="G324" s="7" t="n">
        <v>0</v>
      </c>
    </row>
    <row r="325" customFormat="false" ht="15" hidden="false" customHeight="false" outlineLevel="0" collapsed="false">
      <c r="A325" s="7" t="s">
        <v>36</v>
      </c>
      <c r="B325" s="7" t="s">
        <v>164</v>
      </c>
      <c r="C325" s="7" t="s">
        <v>1133</v>
      </c>
      <c r="D325" s="7" t="n">
        <v>3</v>
      </c>
      <c r="E325" s="7" t="n">
        <v>330</v>
      </c>
      <c r="F325" s="7" t="n">
        <v>0</v>
      </c>
      <c r="G325" s="7" t="n">
        <v>0</v>
      </c>
    </row>
    <row r="326" customFormat="false" ht="15" hidden="false" customHeight="false" outlineLevel="0" collapsed="false">
      <c r="A326" s="7" t="s">
        <v>36</v>
      </c>
      <c r="B326" s="7" t="s">
        <v>205</v>
      </c>
      <c r="C326" s="7" t="s">
        <v>1133</v>
      </c>
      <c r="D326" s="7" t="n">
        <v>2</v>
      </c>
      <c r="E326" s="7" t="n">
        <v>220</v>
      </c>
      <c r="F326" s="7" t="n">
        <v>0</v>
      </c>
      <c r="G326" s="7" t="n">
        <v>0</v>
      </c>
    </row>
    <row r="327" customFormat="false" ht="15" hidden="false" customHeight="false" outlineLevel="0" collapsed="false">
      <c r="A327" s="7" t="s">
        <v>36</v>
      </c>
      <c r="B327" s="7" t="s">
        <v>333</v>
      </c>
      <c r="C327" s="7" t="s">
        <v>1133</v>
      </c>
      <c r="D327" s="7" t="n">
        <v>1</v>
      </c>
      <c r="E327" s="7" t="n">
        <v>110</v>
      </c>
      <c r="F327" s="7" t="n">
        <v>0</v>
      </c>
      <c r="G327" s="7" t="n">
        <v>0</v>
      </c>
    </row>
    <row r="328" customFormat="false" ht="15" hidden="false" customHeight="false" outlineLevel="0" collapsed="false">
      <c r="A328" s="7" t="s">
        <v>36</v>
      </c>
      <c r="B328" s="7" t="s">
        <v>705</v>
      </c>
      <c r="C328" s="7" t="s">
        <v>1133</v>
      </c>
      <c r="D328" s="7" t="n">
        <v>1</v>
      </c>
      <c r="E328" s="7" t="n">
        <v>110</v>
      </c>
      <c r="F328" s="7" t="n">
        <v>0</v>
      </c>
      <c r="G328" s="7" t="n">
        <v>0</v>
      </c>
    </row>
    <row r="329" customFormat="false" ht="15" hidden="false" customHeight="false" outlineLevel="0" collapsed="false">
      <c r="A329" s="7" t="s">
        <v>36</v>
      </c>
      <c r="B329" s="7" t="s">
        <v>993</v>
      </c>
      <c r="C329" s="7" t="s">
        <v>1133</v>
      </c>
      <c r="D329" s="7" t="n">
        <v>1</v>
      </c>
      <c r="E329" s="7" t="n">
        <v>110.01</v>
      </c>
      <c r="F329" s="7" t="n">
        <v>0</v>
      </c>
      <c r="G329" s="7" t="n">
        <v>0</v>
      </c>
    </row>
    <row r="330" customFormat="false" ht="15" hidden="false" customHeight="false" outlineLevel="0" collapsed="false">
      <c r="A330" s="7" t="s">
        <v>36</v>
      </c>
      <c r="B330" s="7" t="s">
        <v>467</v>
      </c>
      <c r="C330" s="7" t="s">
        <v>1133</v>
      </c>
      <c r="D330" s="7" t="n">
        <v>1</v>
      </c>
      <c r="E330" s="7" t="n">
        <v>110</v>
      </c>
      <c r="F330" s="7" t="n">
        <v>0</v>
      </c>
      <c r="G330" s="7" t="n">
        <v>0</v>
      </c>
    </row>
    <row r="331" customFormat="false" ht="15" hidden="false" customHeight="false" outlineLevel="0" collapsed="false">
      <c r="A331" s="7" t="s">
        <v>36</v>
      </c>
      <c r="B331" s="7" t="s">
        <v>264</v>
      </c>
      <c r="C331" s="7" t="s">
        <v>1134</v>
      </c>
      <c r="D331" s="7" t="n">
        <v>1</v>
      </c>
      <c r="E331" s="7" t="n">
        <v>107.76</v>
      </c>
      <c r="F331" s="7" t="n">
        <v>1</v>
      </c>
      <c r="G331" s="7" t="n">
        <v>107.76</v>
      </c>
    </row>
    <row r="332" customFormat="false" ht="15" hidden="false" customHeight="false" outlineLevel="0" collapsed="false">
      <c r="A332" s="7" t="s">
        <v>36</v>
      </c>
      <c r="B332" s="7" t="s">
        <v>264</v>
      </c>
      <c r="C332" s="7" t="s">
        <v>1134</v>
      </c>
      <c r="D332" s="7" t="n">
        <v>1</v>
      </c>
      <c r="E332" s="7" t="n">
        <v>103.96</v>
      </c>
      <c r="F332" s="7" t="n">
        <v>0</v>
      </c>
      <c r="G332" s="7" t="n">
        <v>0</v>
      </c>
    </row>
    <row r="333" customFormat="false" ht="15" hidden="false" customHeight="false" outlineLevel="0" collapsed="false">
      <c r="A333" s="7" t="s">
        <v>36</v>
      </c>
      <c r="B333" s="7" t="s">
        <v>388</v>
      </c>
      <c r="C333" s="7" t="s">
        <v>1134</v>
      </c>
      <c r="D333" s="7" t="n">
        <v>1</v>
      </c>
      <c r="E333" s="7" t="n">
        <v>103.96</v>
      </c>
      <c r="F333" s="7" t="n">
        <v>0</v>
      </c>
      <c r="G333" s="7" t="n">
        <v>0</v>
      </c>
    </row>
    <row r="334" customFormat="false" ht="15" hidden="false" customHeight="false" outlineLevel="0" collapsed="false">
      <c r="A334" s="7" t="s">
        <v>36</v>
      </c>
      <c r="B334" s="7" t="s">
        <v>388</v>
      </c>
      <c r="C334" s="7" t="s">
        <v>1134</v>
      </c>
      <c r="D334" s="7" t="n">
        <v>1</v>
      </c>
      <c r="E334" s="7" t="n">
        <v>107.76</v>
      </c>
      <c r="F334" s="7" t="n">
        <v>0</v>
      </c>
      <c r="G334" s="7" t="n">
        <v>0</v>
      </c>
    </row>
    <row r="335" customFormat="false" ht="15" hidden="false" customHeight="false" outlineLevel="0" collapsed="false">
      <c r="A335" s="7" t="s">
        <v>36</v>
      </c>
      <c r="B335" s="7" t="s">
        <v>607</v>
      </c>
      <c r="C335" s="7" t="s">
        <v>1134</v>
      </c>
      <c r="D335" s="7" t="n">
        <v>1</v>
      </c>
      <c r="E335" s="7" t="n">
        <v>103.96</v>
      </c>
      <c r="F335" s="7" t="n">
        <v>0</v>
      </c>
      <c r="G335" s="7" t="n">
        <v>0</v>
      </c>
    </row>
    <row r="336" customFormat="false" ht="15" hidden="false" customHeight="false" outlineLevel="0" collapsed="false">
      <c r="A336" s="7" t="s">
        <v>36</v>
      </c>
      <c r="B336" s="7" t="s">
        <v>607</v>
      </c>
      <c r="C336" s="7" t="s">
        <v>1134</v>
      </c>
      <c r="D336" s="7" t="n">
        <v>0</v>
      </c>
      <c r="E336" s="7" t="n">
        <v>0</v>
      </c>
      <c r="F336" s="7" t="n">
        <v>2</v>
      </c>
      <c r="G336" s="7" t="n">
        <v>215.52</v>
      </c>
    </row>
    <row r="337" customFormat="false" ht="15" hidden="false" customHeight="false" outlineLevel="0" collapsed="false">
      <c r="A337" s="7" t="s">
        <v>36</v>
      </c>
      <c r="B337" s="7" t="s">
        <v>995</v>
      </c>
      <c r="C337" s="7" t="s">
        <v>1135</v>
      </c>
      <c r="D337" s="7" t="n">
        <v>1</v>
      </c>
      <c r="E337" s="7" t="n">
        <v>85.26</v>
      </c>
      <c r="F337" s="7" t="n">
        <v>0</v>
      </c>
      <c r="G337" s="7" t="n">
        <v>0</v>
      </c>
    </row>
    <row r="338" customFormat="false" ht="15" hidden="false" customHeight="false" outlineLevel="0" collapsed="false">
      <c r="A338" s="7" t="s">
        <v>36</v>
      </c>
      <c r="B338" s="7" t="s">
        <v>351</v>
      </c>
      <c r="C338" s="7" t="s">
        <v>1080</v>
      </c>
      <c r="D338" s="7" t="n">
        <v>3</v>
      </c>
      <c r="E338" s="7" t="n">
        <v>390</v>
      </c>
      <c r="F338" s="7" t="n">
        <v>2</v>
      </c>
      <c r="G338" s="7" t="n">
        <v>260</v>
      </c>
    </row>
    <row r="339" customFormat="false" ht="15" hidden="false" customHeight="false" outlineLevel="0" collapsed="false">
      <c r="A339" s="7" t="s">
        <v>36</v>
      </c>
      <c r="B339" s="7" t="s">
        <v>351</v>
      </c>
      <c r="C339" s="7" t="s">
        <v>1080</v>
      </c>
      <c r="D339" s="7" t="n">
        <v>2</v>
      </c>
      <c r="E339" s="7" t="n">
        <v>258</v>
      </c>
      <c r="F339" s="7" t="n">
        <v>0</v>
      </c>
      <c r="G339" s="7" t="n">
        <v>0</v>
      </c>
    </row>
    <row r="340" customFormat="false" ht="15" hidden="false" customHeight="false" outlineLevel="0" collapsed="false">
      <c r="A340" s="7" t="s">
        <v>36</v>
      </c>
      <c r="B340" s="7" t="s">
        <v>248</v>
      </c>
      <c r="C340" s="7" t="s">
        <v>1080</v>
      </c>
      <c r="D340" s="7" t="n">
        <v>2</v>
      </c>
      <c r="E340" s="7" t="n">
        <v>260</v>
      </c>
      <c r="F340" s="7" t="n">
        <v>2</v>
      </c>
      <c r="G340" s="7" t="n">
        <v>260</v>
      </c>
    </row>
    <row r="341" customFormat="false" ht="15" hidden="false" customHeight="false" outlineLevel="0" collapsed="false">
      <c r="A341" s="7" t="s">
        <v>36</v>
      </c>
      <c r="B341" s="7" t="s">
        <v>248</v>
      </c>
      <c r="C341" s="7" t="s">
        <v>1080</v>
      </c>
      <c r="D341" s="7" t="n">
        <v>2</v>
      </c>
      <c r="E341" s="7" t="n">
        <v>258</v>
      </c>
      <c r="F341" s="7" t="n">
        <v>0</v>
      </c>
      <c r="G341" s="7" t="n">
        <v>0</v>
      </c>
    </row>
    <row r="342" customFormat="false" ht="15" hidden="false" customHeight="false" outlineLevel="0" collapsed="false">
      <c r="A342" s="7" t="s">
        <v>36</v>
      </c>
      <c r="B342" s="7" t="s">
        <v>378</v>
      </c>
      <c r="C342" s="7" t="s">
        <v>1080</v>
      </c>
      <c r="D342" s="7" t="n">
        <v>3</v>
      </c>
      <c r="E342" s="7" t="n">
        <v>390</v>
      </c>
      <c r="F342" s="7" t="n">
        <v>2</v>
      </c>
      <c r="G342" s="7" t="n">
        <v>260</v>
      </c>
    </row>
    <row r="343" customFormat="false" ht="15" hidden="false" customHeight="false" outlineLevel="0" collapsed="false">
      <c r="A343" s="7" t="s">
        <v>36</v>
      </c>
      <c r="B343" s="7" t="s">
        <v>378</v>
      </c>
      <c r="C343" s="7" t="s">
        <v>1080</v>
      </c>
      <c r="D343" s="7" t="n">
        <v>1</v>
      </c>
      <c r="E343" s="7" t="n">
        <v>129</v>
      </c>
      <c r="F343" s="7" t="n">
        <v>0</v>
      </c>
      <c r="G343" s="7" t="n">
        <v>0</v>
      </c>
    </row>
    <row r="344" customFormat="false" ht="15" hidden="false" customHeight="false" outlineLevel="0" collapsed="false">
      <c r="A344" s="7" t="s">
        <v>36</v>
      </c>
      <c r="B344" s="7" t="s">
        <v>238</v>
      </c>
      <c r="C344" s="7" t="s">
        <v>1080</v>
      </c>
      <c r="D344" s="7" t="n">
        <v>2</v>
      </c>
      <c r="E344" s="7" t="n">
        <v>260</v>
      </c>
      <c r="F344" s="7" t="n">
        <v>1</v>
      </c>
      <c r="G344" s="7" t="n">
        <v>130</v>
      </c>
    </row>
    <row r="345" customFormat="false" ht="15" hidden="false" customHeight="false" outlineLevel="0" collapsed="false">
      <c r="A345" s="7" t="s">
        <v>36</v>
      </c>
      <c r="B345" s="7" t="s">
        <v>757</v>
      </c>
      <c r="C345" s="7" t="s">
        <v>1080</v>
      </c>
      <c r="D345" s="7" t="n">
        <v>1</v>
      </c>
      <c r="E345" s="7" t="n">
        <v>130</v>
      </c>
      <c r="F345" s="7" t="n">
        <v>1</v>
      </c>
      <c r="G345" s="7" t="n">
        <v>130</v>
      </c>
    </row>
    <row r="346" customFormat="false" ht="15" hidden="false" customHeight="false" outlineLevel="0" collapsed="false">
      <c r="A346" s="7" t="s">
        <v>40</v>
      </c>
      <c r="B346" s="7" t="s">
        <v>349</v>
      </c>
      <c r="C346" s="7" t="s">
        <v>1034</v>
      </c>
      <c r="D346" s="7" t="n">
        <v>2</v>
      </c>
      <c r="E346" s="7" t="n">
        <v>180</v>
      </c>
      <c r="F346" s="7" t="n">
        <v>4</v>
      </c>
      <c r="G346" s="7" t="n">
        <v>360</v>
      </c>
    </row>
    <row r="347" customFormat="false" ht="15" hidden="false" customHeight="false" outlineLevel="0" collapsed="false">
      <c r="A347" s="7" t="s">
        <v>40</v>
      </c>
      <c r="B347" s="7" t="s">
        <v>160</v>
      </c>
      <c r="C347" s="7" t="s">
        <v>1034</v>
      </c>
      <c r="D347" s="7" t="n">
        <v>0</v>
      </c>
      <c r="E347" s="7" t="n">
        <v>0</v>
      </c>
      <c r="F347" s="7" t="n">
        <v>2</v>
      </c>
      <c r="G347" s="7" t="n">
        <v>180</v>
      </c>
    </row>
    <row r="348" customFormat="false" ht="15" hidden="false" customHeight="false" outlineLevel="0" collapsed="false">
      <c r="A348" s="7" t="s">
        <v>40</v>
      </c>
      <c r="B348" s="7" t="s">
        <v>763</v>
      </c>
      <c r="C348" s="7" t="s">
        <v>1034</v>
      </c>
      <c r="D348" s="7" t="n">
        <v>0</v>
      </c>
      <c r="E348" s="7" t="n">
        <v>0</v>
      </c>
      <c r="F348" s="7" t="n">
        <v>2</v>
      </c>
      <c r="G348" s="7" t="n">
        <v>180</v>
      </c>
    </row>
    <row r="349" customFormat="false" ht="15" hidden="false" customHeight="false" outlineLevel="0" collapsed="false">
      <c r="A349" s="7" t="s">
        <v>40</v>
      </c>
      <c r="B349" s="7" t="s">
        <v>297</v>
      </c>
      <c r="C349" s="7" t="s">
        <v>1034</v>
      </c>
      <c r="D349" s="7" t="n">
        <v>3</v>
      </c>
      <c r="E349" s="7" t="n">
        <v>270</v>
      </c>
      <c r="F349" s="7" t="n">
        <v>2</v>
      </c>
      <c r="G349" s="7" t="n">
        <v>180</v>
      </c>
    </row>
    <row r="350" customFormat="false" ht="15" hidden="false" customHeight="false" outlineLevel="0" collapsed="false">
      <c r="A350" s="7" t="s">
        <v>40</v>
      </c>
      <c r="B350" s="7" t="s">
        <v>327</v>
      </c>
      <c r="C350" s="7" t="s">
        <v>1034</v>
      </c>
      <c r="D350" s="7" t="n">
        <v>2</v>
      </c>
      <c r="E350" s="7" t="n">
        <v>180</v>
      </c>
      <c r="F350" s="7" t="n">
        <v>2</v>
      </c>
      <c r="G350" s="7" t="n">
        <v>180</v>
      </c>
    </row>
    <row r="351" customFormat="false" ht="15" hidden="false" customHeight="false" outlineLevel="0" collapsed="false">
      <c r="A351" s="7" t="s">
        <v>40</v>
      </c>
      <c r="B351" s="7" t="s">
        <v>212</v>
      </c>
      <c r="C351" s="7" t="s">
        <v>1035</v>
      </c>
      <c r="D351" s="7" t="n">
        <v>0</v>
      </c>
      <c r="E351" s="7" t="n">
        <v>0</v>
      </c>
      <c r="F351" s="7" t="n">
        <v>4</v>
      </c>
      <c r="G351" s="7" t="n">
        <v>468.53</v>
      </c>
    </row>
    <row r="352" customFormat="false" ht="15" hidden="false" customHeight="false" outlineLevel="0" collapsed="false">
      <c r="A352" s="7" t="s">
        <v>40</v>
      </c>
      <c r="B352" s="7" t="s">
        <v>390</v>
      </c>
      <c r="C352" s="7" t="s">
        <v>1035</v>
      </c>
      <c r="D352" s="7" t="n">
        <v>0</v>
      </c>
      <c r="E352" s="7" t="n">
        <v>0</v>
      </c>
      <c r="F352" s="7" t="n">
        <v>3</v>
      </c>
      <c r="G352" s="7" t="n">
        <v>351.45</v>
      </c>
    </row>
    <row r="353" customFormat="false" ht="15" hidden="false" customHeight="false" outlineLevel="0" collapsed="false">
      <c r="A353" s="7" t="s">
        <v>40</v>
      </c>
      <c r="B353" s="7" t="s">
        <v>232</v>
      </c>
      <c r="C353" s="7" t="s">
        <v>1035</v>
      </c>
      <c r="D353" s="7" t="n">
        <v>0</v>
      </c>
      <c r="E353" s="7" t="n">
        <v>0</v>
      </c>
      <c r="F353" s="7" t="n">
        <v>3</v>
      </c>
      <c r="G353" s="7" t="n">
        <v>351.4</v>
      </c>
    </row>
    <row r="354" customFormat="false" ht="15" hidden="false" customHeight="false" outlineLevel="0" collapsed="false">
      <c r="A354" s="7" t="s">
        <v>40</v>
      </c>
      <c r="B354" s="7" t="s">
        <v>214</v>
      </c>
      <c r="C354" s="7" t="s">
        <v>1035</v>
      </c>
      <c r="D354" s="7" t="n">
        <v>0</v>
      </c>
      <c r="E354" s="7" t="n">
        <v>0</v>
      </c>
      <c r="F354" s="7" t="n">
        <v>2</v>
      </c>
      <c r="G354" s="7" t="n">
        <v>234.27</v>
      </c>
    </row>
    <row r="355" customFormat="false" ht="15" hidden="false" customHeight="false" outlineLevel="0" collapsed="false">
      <c r="A355" s="7" t="s">
        <v>40</v>
      </c>
      <c r="B355" s="7" t="s">
        <v>206</v>
      </c>
      <c r="C355" s="7" t="s">
        <v>1136</v>
      </c>
      <c r="D355" s="7" t="n">
        <v>2</v>
      </c>
      <c r="E355" s="7" t="n">
        <v>439.99</v>
      </c>
      <c r="F355" s="7" t="n">
        <v>2</v>
      </c>
      <c r="G355" s="7" t="n">
        <v>440</v>
      </c>
    </row>
    <row r="356" customFormat="false" ht="15" hidden="false" customHeight="false" outlineLevel="0" collapsed="false">
      <c r="A356" s="7" t="s">
        <v>40</v>
      </c>
      <c r="B356" s="7" t="s">
        <v>466</v>
      </c>
      <c r="C356" s="7" t="s">
        <v>1136</v>
      </c>
      <c r="D356" s="7" t="n">
        <v>1</v>
      </c>
      <c r="E356" s="7" t="n">
        <v>220</v>
      </c>
      <c r="F356" s="7" t="n">
        <v>3</v>
      </c>
      <c r="G356" s="7" t="n">
        <v>660.19</v>
      </c>
    </row>
    <row r="357" customFormat="false" ht="15" hidden="false" customHeight="false" outlineLevel="0" collapsed="false">
      <c r="A357" s="7" t="s">
        <v>40</v>
      </c>
      <c r="B357" s="7" t="s">
        <v>400</v>
      </c>
      <c r="C357" s="7" t="s">
        <v>1136</v>
      </c>
      <c r="D357" s="7" t="n">
        <v>2</v>
      </c>
      <c r="E357" s="7" t="n">
        <v>360.01</v>
      </c>
      <c r="F357" s="7" t="n">
        <v>0</v>
      </c>
      <c r="G357" s="7" t="n">
        <v>0</v>
      </c>
    </row>
    <row r="358" customFormat="false" ht="15" hidden="false" customHeight="false" outlineLevel="0" collapsed="false">
      <c r="A358" s="7" t="s">
        <v>40</v>
      </c>
      <c r="B358" s="7" t="s">
        <v>400</v>
      </c>
      <c r="C358" s="7" t="s">
        <v>1136</v>
      </c>
      <c r="D358" s="7" t="n">
        <v>6</v>
      </c>
      <c r="E358" s="7" t="n">
        <v>1320.07</v>
      </c>
      <c r="F358" s="7" t="n">
        <v>6</v>
      </c>
      <c r="G358" s="7" t="n">
        <v>1319.98</v>
      </c>
    </row>
    <row r="359" customFormat="false" ht="15" hidden="false" customHeight="false" outlineLevel="0" collapsed="false">
      <c r="A359" s="7" t="s">
        <v>40</v>
      </c>
      <c r="B359" s="7" t="s">
        <v>513</v>
      </c>
      <c r="C359" s="7" t="s">
        <v>1136</v>
      </c>
      <c r="D359" s="7" t="n">
        <v>3</v>
      </c>
      <c r="E359" s="7" t="n">
        <v>660</v>
      </c>
      <c r="F359" s="7" t="n">
        <v>2</v>
      </c>
      <c r="G359" s="7" t="n">
        <v>439.99</v>
      </c>
    </row>
    <row r="360" customFormat="false" ht="15" hidden="false" customHeight="false" outlineLevel="0" collapsed="false">
      <c r="A360" s="7" t="s">
        <v>40</v>
      </c>
      <c r="B360" s="7" t="s">
        <v>513</v>
      </c>
      <c r="C360" s="7" t="s">
        <v>1136</v>
      </c>
      <c r="D360" s="7" t="n">
        <v>2</v>
      </c>
      <c r="E360" s="7" t="n">
        <v>360</v>
      </c>
      <c r="F360" s="7" t="n">
        <v>0</v>
      </c>
      <c r="G360" s="7" t="n">
        <v>0</v>
      </c>
    </row>
    <row r="361" customFormat="false" ht="15" hidden="false" customHeight="false" outlineLevel="0" collapsed="false">
      <c r="A361" s="7" t="s">
        <v>40</v>
      </c>
      <c r="B361" s="7" t="s">
        <v>395</v>
      </c>
      <c r="C361" s="7" t="s">
        <v>1137</v>
      </c>
      <c r="D361" s="7" t="n">
        <v>-1</v>
      </c>
      <c r="E361" s="7" t="n">
        <v>-70</v>
      </c>
      <c r="F361" s="7" t="n">
        <v>0</v>
      </c>
      <c r="G361" s="7" t="n">
        <v>0</v>
      </c>
    </row>
    <row r="362" customFormat="false" ht="15" hidden="false" customHeight="false" outlineLevel="0" collapsed="false">
      <c r="A362" s="7" t="s">
        <v>40</v>
      </c>
      <c r="B362" s="7" t="s">
        <v>760</v>
      </c>
      <c r="C362" s="7" t="s">
        <v>1137</v>
      </c>
      <c r="D362" s="7" t="n">
        <v>-1</v>
      </c>
      <c r="E362" s="7" t="n">
        <v>-70</v>
      </c>
      <c r="F362" s="7" t="n">
        <v>0</v>
      </c>
      <c r="G362" s="7" t="n">
        <v>0</v>
      </c>
    </row>
    <row r="363" customFormat="false" ht="15" hidden="false" customHeight="false" outlineLevel="0" collapsed="false">
      <c r="A363" s="7" t="s">
        <v>40</v>
      </c>
      <c r="B363" s="7" t="s">
        <v>471</v>
      </c>
      <c r="C363" s="7" t="s">
        <v>1082</v>
      </c>
      <c r="D363" s="7" t="n">
        <v>3</v>
      </c>
      <c r="E363" s="7" t="n">
        <v>254.99</v>
      </c>
      <c r="F363" s="7" t="n">
        <v>3</v>
      </c>
      <c r="G363" s="7" t="n">
        <v>254.99</v>
      </c>
    </row>
    <row r="364" customFormat="false" ht="15" hidden="false" customHeight="false" outlineLevel="0" collapsed="false">
      <c r="A364" s="7" t="s">
        <v>40</v>
      </c>
      <c r="B364" s="7" t="s">
        <v>471</v>
      </c>
      <c r="C364" s="7" t="s">
        <v>1082</v>
      </c>
      <c r="D364" s="7" t="n">
        <v>1</v>
      </c>
      <c r="E364" s="7" t="n">
        <v>69</v>
      </c>
      <c r="F364" s="7" t="n">
        <v>0</v>
      </c>
      <c r="G364" s="7" t="n">
        <v>0</v>
      </c>
    </row>
    <row r="365" customFormat="false" ht="15" hidden="false" customHeight="false" outlineLevel="0" collapsed="false">
      <c r="A365" s="7" t="s">
        <v>40</v>
      </c>
      <c r="B365" s="7" t="s">
        <v>289</v>
      </c>
      <c r="C365" s="7" t="s">
        <v>1082</v>
      </c>
      <c r="D365" s="7" t="n">
        <v>1</v>
      </c>
      <c r="E365" s="7" t="n">
        <v>84.86</v>
      </c>
      <c r="F365" s="7" t="n">
        <v>2</v>
      </c>
      <c r="G365" s="7" t="n">
        <v>169.99</v>
      </c>
    </row>
    <row r="366" customFormat="false" ht="15" hidden="false" customHeight="false" outlineLevel="0" collapsed="false">
      <c r="A366" s="7" t="s">
        <v>40</v>
      </c>
      <c r="B366" s="7" t="s">
        <v>545</v>
      </c>
      <c r="C366" s="7" t="s">
        <v>1082</v>
      </c>
      <c r="D366" s="7" t="n">
        <v>0</v>
      </c>
      <c r="E366" s="7" t="n">
        <v>0</v>
      </c>
      <c r="F366" s="7" t="n">
        <v>1</v>
      </c>
      <c r="G366" s="7" t="n">
        <v>85</v>
      </c>
    </row>
    <row r="367" customFormat="false" ht="15" hidden="false" customHeight="false" outlineLevel="0" collapsed="false">
      <c r="A367" s="7" t="s">
        <v>40</v>
      </c>
      <c r="B367" s="7" t="s">
        <v>482</v>
      </c>
      <c r="C367" s="7" t="s">
        <v>1082</v>
      </c>
      <c r="D367" s="7" t="n">
        <v>2</v>
      </c>
      <c r="E367" s="7" t="n">
        <v>169.99</v>
      </c>
      <c r="F367" s="7" t="n">
        <v>4</v>
      </c>
      <c r="G367" s="7" t="n">
        <v>339.99</v>
      </c>
    </row>
    <row r="368" customFormat="false" ht="15" hidden="false" customHeight="false" outlineLevel="0" collapsed="false">
      <c r="A368" s="7" t="s">
        <v>40</v>
      </c>
      <c r="B368" s="7" t="s">
        <v>247</v>
      </c>
      <c r="C368" s="7" t="s">
        <v>1082</v>
      </c>
      <c r="D368" s="7" t="n">
        <v>7</v>
      </c>
      <c r="E368" s="7" t="n">
        <v>594.98</v>
      </c>
      <c r="F368" s="7" t="n">
        <v>3</v>
      </c>
      <c r="G368" s="7" t="n">
        <v>254.99</v>
      </c>
    </row>
    <row r="369" customFormat="false" ht="15" hidden="false" customHeight="false" outlineLevel="0" collapsed="false">
      <c r="A369" s="7" t="s">
        <v>40</v>
      </c>
      <c r="B369" s="7" t="s">
        <v>391</v>
      </c>
      <c r="C369" s="7" t="s">
        <v>1038</v>
      </c>
      <c r="D369" s="7" t="n">
        <v>1</v>
      </c>
      <c r="E369" s="7" t="n">
        <v>105</v>
      </c>
      <c r="F369" s="7" t="n">
        <v>1</v>
      </c>
      <c r="G369" s="7" t="n">
        <v>105</v>
      </c>
    </row>
    <row r="370" customFormat="false" ht="15" hidden="false" customHeight="false" outlineLevel="0" collapsed="false">
      <c r="A370" s="7" t="s">
        <v>40</v>
      </c>
      <c r="B370" s="7" t="s">
        <v>279</v>
      </c>
      <c r="C370" s="7" t="s">
        <v>1038</v>
      </c>
      <c r="D370" s="7" t="n">
        <v>1</v>
      </c>
      <c r="E370" s="7" t="n">
        <v>105</v>
      </c>
      <c r="F370" s="7" t="n">
        <v>0</v>
      </c>
      <c r="G370" s="7" t="n">
        <v>0</v>
      </c>
    </row>
    <row r="371" customFormat="false" ht="15" hidden="false" customHeight="false" outlineLevel="0" collapsed="false">
      <c r="A371" s="7" t="s">
        <v>40</v>
      </c>
      <c r="B371" s="7" t="s">
        <v>274</v>
      </c>
      <c r="C371" s="7" t="s">
        <v>1038</v>
      </c>
      <c r="D371" s="7" t="n">
        <v>1</v>
      </c>
      <c r="E371" s="7" t="n">
        <v>105</v>
      </c>
      <c r="F371" s="7" t="n">
        <v>0</v>
      </c>
      <c r="G371" s="7" t="n">
        <v>0</v>
      </c>
    </row>
    <row r="372" customFormat="false" ht="15" hidden="false" customHeight="false" outlineLevel="0" collapsed="false">
      <c r="A372" s="7" t="s">
        <v>40</v>
      </c>
      <c r="B372" s="7" t="s">
        <v>196</v>
      </c>
      <c r="C372" s="7" t="s">
        <v>1038</v>
      </c>
      <c r="D372" s="7" t="n">
        <v>1</v>
      </c>
      <c r="E372" s="7" t="n">
        <v>105</v>
      </c>
      <c r="F372" s="7" t="n">
        <v>1</v>
      </c>
      <c r="G372" s="7" t="n">
        <v>105</v>
      </c>
    </row>
    <row r="373" customFormat="false" ht="15" hidden="false" customHeight="false" outlineLevel="0" collapsed="false">
      <c r="A373" s="7" t="s">
        <v>40</v>
      </c>
      <c r="B373" s="7" t="s">
        <v>197</v>
      </c>
      <c r="C373" s="7" t="s">
        <v>1038</v>
      </c>
      <c r="D373" s="7" t="n">
        <v>1</v>
      </c>
      <c r="E373" s="7" t="n">
        <v>105</v>
      </c>
      <c r="F373" s="7" t="n">
        <v>0</v>
      </c>
      <c r="G373" s="7" t="n">
        <v>0</v>
      </c>
    </row>
    <row r="374" customFormat="false" ht="15" hidden="false" customHeight="false" outlineLevel="0" collapsed="false">
      <c r="A374" s="7" t="s">
        <v>40</v>
      </c>
      <c r="B374" s="7" t="s">
        <v>231</v>
      </c>
      <c r="C374" s="7" t="s">
        <v>1039</v>
      </c>
      <c r="D374" s="7" t="n">
        <v>0</v>
      </c>
      <c r="E374" s="7" t="n">
        <v>0</v>
      </c>
      <c r="F374" s="7" t="n">
        <v>2</v>
      </c>
      <c r="G374" s="7" t="n">
        <v>259.99</v>
      </c>
    </row>
    <row r="375" customFormat="false" ht="15" hidden="false" customHeight="false" outlineLevel="0" collapsed="false">
      <c r="A375" s="7" t="s">
        <v>40</v>
      </c>
      <c r="B375" s="7" t="s">
        <v>789</v>
      </c>
      <c r="C375" s="7" t="s">
        <v>1039</v>
      </c>
      <c r="D375" s="7" t="n">
        <v>0</v>
      </c>
      <c r="E375" s="7" t="n">
        <v>0</v>
      </c>
      <c r="F375" s="7" t="n">
        <v>1</v>
      </c>
      <c r="G375" s="7" t="n">
        <v>130</v>
      </c>
    </row>
    <row r="376" customFormat="false" ht="15" hidden="false" customHeight="false" outlineLevel="0" collapsed="false">
      <c r="A376" s="7" t="s">
        <v>40</v>
      </c>
      <c r="B376" s="7" t="s">
        <v>540</v>
      </c>
      <c r="C376" s="7" t="s">
        <v>1039</v>
      </c>
      <c r="D376" s="7" t="n">
        <v>0</v>
      </c>
      <c r="E376" s="7" t="n">
        <v>0</v>
      </c>
      <c r="F376" s="7" t="n">
        <v>2</v>
      </c>
      <c r="G376" s="7" t="n">
        <v>260</v>
      </c>
    </row>
    <row r="377" customFormat="false" ht="15" hidden="false" customHeight="false" outlineLevel="0" collapsed="false">
      <c r="A377" s="7" t="s">
        <v>40</v>
      </c>
      <c r="B377" s="7" t="s">
        <v>266</v>
      </c>
      <c r="C377" s="7" t="s">
        <v>1039</v>
      </c>
      <c r="D377" s="7" t="n">
        <v>0</v>
      </c>
      <c r="E377" s="7" t="n">
        <v>0</v>
      </c>
      <c r="F377" s="7" t="n">
        <v>2</v>
      </c>
      <c r="G377" s="7" t="n">
        <v>259.99</v>
      </c>
    </row>
    <row r="378" customFormat="false" ht="15" hidden="false" customHeight="false" outlineLevel="0" collapsed="false">
      <c r="A378" s="7" t="s">
        <v>40</v>
      </c>
      <c r="B378" s="7" t="s">
        <v>655</v>
      </c>
      <c r="C378" s="7" t="s">
        <v>1039</v>
      </c>
      <c r="D378" s="7" t="n">
        <v>0</v>
      </c>
      <c r="E378" s="7" t="n">
        <v>0</v>
      </c>
      <c r="F378" s="7" t="n">
        <v>4</v>
      </c>
      <c r="G378" s="7" t="n">
        <v>519.99</v>
      </c>
    </row>
    <row r="379" customFormat="false" ht="15" hidden="false" customHeight="false" outlineLevel="0" collapsed="false">
      <c r="A379" s="7" t="s">
        <v>40</v>
      </c>
      <c r="B379" s="7" t="s">
        <v>386</v>
      </c>
      <c r="C379" s="7" t="s">
        <v>1039</v>
      </c>
      <c r="D379" s="7" t="n">
        <v>2</v>
      </c>
      <c r="E379" s="7" t="n">
        <v>260.01</v>
      </c>
      <c r="F379" s="7" t="n">
        <v>1</v>
      </c>
      <c r="G379" s="7" t="n">
        <v>130</v>
      </c>
    </row>
    <row r="380" customFormat="false" ht="15" hidden="false" customHeight="false" outlineLevel="0" collapsed="false">
      <c r="A380" s="7" t="s">
        <v>40</v>
      </c>
      <c r="B380" s="7" t="s">
        <v>402</v>
      </c>
      <c r="C380" s="7" t="s">
        <v>1040</v>
      </c>
      <c r="D380" s="7" t="n">
        <v>0</v>
      </c>
      <c r="E380" s="7" t="n">
        <v>0</v>
      </c>
      <c r="F380" s="7" t="n">
        <v>1</v>
      </c>
      <c r="G380" s="7" t="n">
        <v>115</v>
      </c>
    </row>
    <row r="381" customFormat="false" ht="15" hidden="false" customHeight="false" outlineLevel="0" collapsed="false">
      <c r="A381" s="7" t="s">
        <v>40</v>
      </c>
      <c r="B381" s="7" t="s">
        <v>147</v>
      </c>
      <c r="C381" s="7" t="s">
        <v>1041</v>
      </c>
      <c r="D381" s="7" t="n">
        <v>0</v>
      </c>
      <c r="E381" s="7" t="n">
        <v>0</v>
      </c>
      <c r="F381" s="7" t="n">
        <v>2</v>
      </c>
      <c r="G381" s="7" t="n">
        <v>340</v>
      </c>
    </row>
    <row r="382" customFormat="false" ht="15" hidden="false" customHeight="false" outlineLevel="0" collapsed="false">
      <c r="A382" s="7" t="s">
        <v>40</v>
      </c>
      <c r="B382" s="7" t="s">
        <v>794</v>
      </c>
      <c r="C382" s="7" t="s">
        <v>1138</v>
      </c>
      <c r="D382" s="7" t="n">
        <v>0</v>
      </c>
      <c r="E382" s="7" t="n">
        <v>0</v>
      </c>
      <c r="F382" s="7" t="n">
        <v>3</v>
      </c>
      <c r="G382" s="7" t="n">
        <v>270</v>
      </c>
    </row>
    <row r="383" customFormat="false" ht="15" hidden="false" customHeight="false" outlineLevel="0" collapsed="false">
      <c r="A383" s="7" t="s">
        <v>40</v>
      </c>
      <c r="B383" s="7" t="s">
        <v>323</v>
      </c>
      <c r="C383" s="7" t="s">
        <v>1138</v>
      </c>
      <c r="D383" s="7" t="n">
        <v>0</v>
      </c>
      <c r="E383" s="7" t="n">
        <v>0</v>
      </c>
      <c r="F383" s="7" t="n">
        <v>2</v>
      </c>
      <c r="G383" s="7" t="n">
        <v>180</v>
      </c>
    </row>
    <row r="384" customFormat="false" ht="15" hidden="false" customHeight="false" outlineLevel="0" collapsed="false">
      <c r="A384" s="7" t="s">
        <v>40</v>
      </c>
      <c r="B384" s="7" t="s">
        <v>220</v>
      </c>
      <c r="C384" s="7" t="s">
        <v>1138</v>
      </c>
      <c r="D384" s="7" t="n">
        <v>0</v>
      </c>
      <c r="E384" s="7" t="n">
        <v>0</v>
      </c>
      <c r="F384" s="7" t="n">
        <v>3</v>
      </c>
      <c r="G384" s="7" t="n">
        <v>270</v>
      </c>
    </row>
    <row r="385" customFormat="false" ht="15" hidden="false" customHeight="false" outlineLevel="0" collapsed="false">
      <c r="A385" s="7" t="s">
        <v>40</v>
      </c>
      <c r="B385" s="7" t="s">
        <v>638</v>
      </c>
      <c r="C385" s="7" t="s">
        <v>1139</v>
      </c>
      <c r="D385" s="7" t="n">
        <v>1</v>
      </c>
      <c r="E385" s="7" t="n">
        <v>33.23</v>
      </c>
      <c r="F385" s="7" t="n">
        <v>3</v>
      </c>
      <c r="G385" s="7" t="n">
        <v>99.69</v>
      </c>
    </row>
    <row r="386" customFormat="false" ht="15" hidden="false" customHeight="false" outlineLevel="0" collapsed="false">
      <c r="A386" s="7" t="s">
        <v>40</v>
      </c>
      <c r="B386" s="7" t="s">
        <v>640</v>
      </c>
      <c r="C386" s="7" t="s">
        <v>1139</v>
      </c>
      <c r="D386" s="7" t="n">
        <v>1</v>
      </c>
      <c r="E386" s="7" t="n">
        <v>33.23</v>
      </c>
      <c r="F386" s="7" t="n">
        <v>1</v>
      </c>
      <c r="G386" s="7" t="n">
        <v>33.23</v>
      </c>
    </row>
    <row r="387" customFormat="false" ht="15" hidden="false" customHeight="false" outlineLevel="0" collapsed="false">
      <c r="A387" s="7" t="s">
        <v>40</v>
      </c>
      <c r="B387" s="7" t="s">
        <v>381</v>
      </c>
      <c r="C387" s="7" t="s">
        <v>1139</v>
      </c>
      <c r="D387" s="7" t="n">
        <v>1</v>
      </c>
      <c r="E387" s="7" t="n">
        <v>33.28</v>
      </c>
      <c r="F387" s="7" t="n">
        <v>1</v>
      </c>
      <c r="G387" s="7" t="n">
        <v>33.23</v>
      </c>
    </row>
    <row r="388" customFormat="false" ht="15" hidden="false" customHeight="false" outlineLevel="0" collapsed="false">
      <c r="A388" s="7" t="s">
        <v>40</v>
      </c>
      <c r="B388" s="7" t="s">
        <v>680</v>
      </c>
      <c r="C388" s="7" t="s">
        <v>1139</v>
      </c>
      <c r="D388" s="7" t="n">
        <v>1</v>
      </c>
      <c r="E388" s="7" t="n">
        <v>33.23</v>
      </c>
      <c r="F388" s="7" t="n">
        <v>3</v>
      </c>
      <c r="G388" s="7" t="n">
        <v>99.69</v>
      </c>
    </row>
    <row r="389" customFormat="false" ht="15" hidden="false" customHeight="false" outlineLevel="0" collapsed="false">
      <c r="A389" s="7" t="s">
        <v>40</v>
      </c>
      <c r="B389" s="7" t="s">
        <v>524</v>
      </c>
      <c r="C389" s="7" t="s">
        <v>1140</v>
      </c>
      <c r="D389" s="7" t="n">
        <v>4</v>
      </c>
      <c r="E389" s="7" t="n">
        <v>159.18</v>
      </c>
      <c r="F389" s="7" t="n">
        <v>0</v>
      </c>
      <c r="G389" s="7" t="n">
        <v>0</v>
      </c>
    </row>
    <row r="390" customFormat="false" ht="15" hidden="false" customHeight="false" outlineLevel="0" collapsed="false">
      <c r="A390" s="7" t="s">
        <v>40</v>
      </c>
      <c r="B390" s="7" t="s">
        <v>795</v>
      </c>
      <c r="C390" s="7" t="s">
        <v>1140</v>
      </c>
      <c r="D390" s="7" t="n">
        <v>5</v>
      </c>
      <c r="E390" s="7" t="n">
        <v>198.97</v>
      </c>
      <c r="F390" s="7" t="n">
        <v>1</v>
      </c>
      <c r="G390" s="7" t="n">
        <v>39.79</v>
      </c>
    </row>
    <row r="391" customFormat="false" ht="15" hidden="false" customHeight="false" outlineLevel="0" collapsed="false">
      <c r="A391" s="7" t="s">
        <v>40</v>
      </c>
      <c r="B391" s="7" t="s">
        <v>654</v>
      </c>
      <c r="C391" s="7" t="s">
        <v>1140</v>
      </c>
      <c r="D391" s="7" t="n">
        <v>4</v>
      </c>
      <c r="E391" s="7" t="n">
        <v>159.18</v>
      </c>
      <c r="F391" s="7" t="n">
        <v>3</v>
      </c>
      <c r="G391" s="7" t="n">
        <v>119.38</v>
      </c>
    </row>
    <row r="392" customFormat="false" ht="15" hidden="false" customHeight="false" outlineLevel="0" collapsed="false">
      <c r="A392" s="7" t="s">
        <v>40</v>
      </c>
      <c r="B392" s="7" t="s">
        <v>675</v>
      </c>
      <c r="C392" s="7" t="s">
        <v>1140</v>
      </c>
      <c r="D392" s="7" t="n">
        <v>2</v>
      </c>
      <c r="E392" s="7" t="n">
        <v>79.59</v>
      </c>
      <c r="F392" s="7" t="n">
        <v>2</v>
      </c>
      <c r="G392" s="7" t="n">
        <v>79.59</v>
      </c>
    </row>
    <row r="393" customFormat="false" ht="15" hidden="false" customHeight="false" outlineLevel="0" collapsed="false">
      <c r="A393" s="7" t="s">
        <v>40</v>
      </c>
      <c r="B393" s="7" t="s">
        <v>1027</v>
      </c>
      <c r="C393" s="7" t="s">
        <v>1140</v>
      </c>
      <c r="D393" s="7" t="n">
        <v>1</v>
      </c>
      <c r="E393" s="7" t="n">
        <v>39.79</v>
      </c>
      <c r="F393" s="7" t="n">
        <v>0</v>
      </c>
      <c r="G393" s="7" t="n">
        <v>0</v>
      </c>
    </row>
    <row r="394" customFormat="false" ht="15" hidden="false" customHeight="false" outlineLevel="0" collapsed="false">
      <c r="A394" s="7" t="s">
        <v>40</v>
      </c>
      <c r="B394" s="7" t="s">
        <v>1026</v>
      </c>
      <c r="C394" s="7" t="s">
        <v>1140</v>
      </c>
      <c r="D394" s="7" t="n">
        <v>1</v>
      </c>
      <c r="E394" s="7" t="n">
        <v>39.79</v>
      </c>
      <c r="F394" s="7" t="n">
        <v>0</v>
      </c>
      <c r="G394" s="7" t="n">
        <v>0</v>
      </c>
    </row>
    <row r="395" customFormat="false" ht="15" hidden="false" customHeight="false" outlineLevel="0" collapsed="false">
      <c r="A395" s="7" t="s">
        <v>40</v>
      </c>
      <c r="B395" s="7" t="s">
        <v>139</v>
      </c>
      <c r="C395" s="7" t="s">
        <v>1043</v>
      </c>
      <c r="D395" s="7" t="n">
        <v>1</v>
      </c>
      <c r="E395" s="7" t="n">
        <v>90</v>
      </c>
      <c r="F395" s="7" t="n">
        <v>0</v>
      </c>
      <c r="G395" s="7" t="n">
        <v>0</v>
      </c>
    </row>
    <row r="396" customFormat="false" ht="15" hidden="false" customHeight="false" outlineLevel="0" collapsed="false">
      <c r="A396" s="7" t="s">
        <v>40</v>
      </c>
      <c r="B396" s="7" t="s">
        <v>146</v>
      </c>
      <c r="C396" s="7" t="s">
        <v>1043</v>
      </c>
      <c r="D396" s="7" t="n">
        <v>1</v>
      </c>
      <c r="E396" s="7" t="n">
        <v>90</v>
      </c>
      <c r="F396" s="7" t="n">
        <v>0</v>
      </c>
      <c r="G396" s="7" t="n">
        <v>0</v>
      </c>
    </row>
    <row r="397" customFormat="false" ht="15" hidden="false" customHeight="false" outlineLevel="0" collapsed="false">
      <c r="A397" s="7" t="s">
        <v>40</v>
      </c>
      <c r="B397" s="7" t="s">
        <v>120</v>
      </c>
      <c r="C397" s="7" t="s">
        <v>1044</v>
      </c>
      <c r="D397" s="7" t="n">
        <v>1</v>
      </c>
      <c r="E397" s="7" t="n">
        <v>90</v>
      </c>
      <c r="F397" s="7" t="n">
        <v>0</v>
      </c>
      <c r="G397" s="7" t="n">
        <v>0</v>
      </c>
    </row>
    <row r="398" customFormat="false" ht="15" hidden="false" customHeight="false" outlineLevel="0" collapsed="false">
      <c r="A398" s="7" t="s">
        <v>40</v>
      </c>
      <c r="B398" s="7" t="s">
        <v>116</v>
      </c>
      <c r="C398" s="7" t="s">
        <v>1044</v>
      </c>
      <c r="D398" s="7" t="n">
        <v>1</v>
      </c>
      <c r="E398" s="7" t="n">
        <v>90</v>
      </c>
      <c r="F398" s="7" t="n">
        <v>0</v>
      </c>
      <c r="G398" s="7" t="n">
        <v>0</v>
      </c>
    </row>
    <row r="399" customFormat="false" ht="15" hidden="false" customHeight="false" outlineLevel="0" collapsed="false">
      <c r="A399" s="7" t="s">
        <v>40</v>
      </c>
      <c r="B399" s="7" t="s">
        <v>405</v>
      </c>
      <c r="C399" s="7" t="s">
        <v>1141</v>
      </c>
      <c r="D399" s="7" t="n">
        <v>8</v>
      </c>
      <c r="E399" s="7" t="n">
        <v>160.86</v>
      </c>
      <c r="F399" s="7" t="n">
        <v>16</v>
      </c>
      <c r="G399" s="7" t="n">
        <v>321.72</v>
      </c>
    </row>
    <row r="400" customFormat="false" ht="15" hidden="false" customHeight="false" outlineLevel="0" collapsed="false">
      <c r="A400" s="7" t="s">
        <v>40</v>
      </c>
      <c r="B400" s="7" t="s">
        <v>696</v>
      </c>
      <c r="C400" s="7" t="s">
        <v>1141</v>
      </c>
      <c r="D400" s="7" t="n">
        <v>7</v>
      </c>
      <c r="E400" s="7" t="n">
        <v>140.75</v>
      </c>
      <c r="F400" s="7" t="n">
        <v>17</v>
      </c>
      <c r="G400" s="7" t="n">
        <v>341.83</v>
      </c>
    </row>
    <row r="401" customFormat="false" ht="15" hidden="false" customHeight="false" outlineLevel="0" collapsed="false">
      <c r="A401" s="7" t="s">
        <v>40</v>
      </c>
      <c r="B401" s="7" t="s">
        <v>700</v>
      </c>
      <c r="C401" s="7" t="s">
        <v>1141</v>
      </c>
      <c r="D401" s="7" t="n">
        <v>6</v>
      </c>
      <c r="E401" s="7" t="n">
        <v>120.64</v>
      </c>
      <c r="F401" s="7" t="n">
        <v>13</v>
      </c>
      <c r="G401" s="7" t="n">
        <v>261.4</v>
      </c>
    </row>
    <row r="402" customFormat="false" ht="15" hidden="false" customHeight="false" outlineLevel="0" collapsed="false">
      <c r="A402" s="7" t="s">
        <v>40</v>
      </c>
      <c r="B402" s="7" t="s">
        <v>567</v>
      </c>
      <c r="C402" s="7" t="s">
        <v>1141</v>
      </c>
      <c r="D402" s="7" t="n">
        <v>5</v>
      </c>
      <c r="E402" s="7" t="n">
        <v>100.53</v>
      </c>
      <c r="F402" s="7" t="n">
        <v>7</v>
      </c>
      <c r="G402" s="7" t="n">
        <v>140.76</v>
      </c>
    </row>
    <row r="403" customFormat="false" ht="15" hidden="false" customHeight="false" outlineLevel="0" collapsed="false">
      <c r="A403" s="7" t="s">
        <v>40</v>
      </c>
      <c r="B403" s="7" t="s">
        <v>356</v>
      </c>
      <c r="C403" s="7" t="s">
        <v>1045</v>
      </c>
      <c r="D403" s="7" t="n">
        <v>7</v>
      </c>
      <c r="E403" s="7" t="n">
        <v>278.57</v>
      </c>
      <c r="F403" s="7" t="n">
        <v>0</v>
      </c>
      <c r="G403" s="7" t="n">
        <v>0</v>
      </c>
    </row>
    <row r="404" customFormat="false" ht="15" hidden="false" customHeight="false" outlineLevel="0" collapsed="false">
      <c r="A404" s="7" t="s">
        <v>40</v>
      </c>
      <c r="B404" s="7" t="s">
        <v>163</v>
      </c>
      <c r="C404" s="7" t="s">
        <v>1046</v>
      </c>
      <c r="D404" s="7" t="n">
        <v>9</v>
      </c>
      <c r="E404" s="7" t="n">
        <v>379.22</v>
      </c>
      <c r="F404" s="7" t="n">
        <v>0</v>
      </c>
      <c r="G404" s="7" t="n">
        <v>0</v>
      </c>
    </row>
    <row r="405" customFormat="false" ht="15" hidden="false" customHeight="false" outlineLevel="0" collapsed="false">
      <c r="A405" s="7" t="s">
        <v>40</v>
      </c>
      <c r="B405" s="7" t="s">
        <v>316</v>
      </c>
      <c r="C405" s="7" t="s">
        <v>1047</v>
      </c>
      <c r="D405" s="7" t="n">
        <v>5</v>
      </c>
      <c r="E405" s="7" t="n">
        <v>515.36</v>
      </c>
      <c r="F405" s="7" t="n">
        <v>5</v>
      </c>
      <c r="G405" s="7" t="n">
        <v>515.36</v>
      </c>
    </row>
    <row r="406" customFormat="false" ht="15" hidden="false" customHeight="false" outlineLevel="0" collapsed="false">
      <c r="A406" s="7" t="s">
        <v>40</v>
      </c>
      <c r="B406" s="7" t="s">
        <v>202</v>
      </c>
      <c r="C406" s="7" t="s">
        <v>1047</v>
      </c>
      <c r="D406" s="7" t="n">
        <v>6</v>
      </c>
      <c r="E406" s="7" t="n">
        <v>618.44</v>
      </c>
      <c r="F406" s="7" t="n">
        <v>5</v>
      </c>
      <c r="G406" s="7" t="n">
        <v>515.36</v>
      </c>
    </row>
    <row r="407" customFormat="false" ht="15" hidden="false" customHeight="false" outlineLevel="0" collapsed="false">
      <c r="A407" s="7" t="s">
        <v>40</v>
      </c>
      <c r="B407" s="7" t="s">
        <v>353</v>
      </c>
      <c r="C407" s="7" t="s">
        <v>1047</v>
      </c>
      <c r="D407" s="7" t="n">
        <v>0</v>
      </c>
      <c r="E407" s="7" t="n">
        <v>0</v>
      </c>
      <c r="F407" s="7" t="n">
        <v>3</v>
      </c>
      <c r="G407" s="7" t="n">
        <v>309.21</v>
      </c>
    </row>
    <row r="408" customFormat="false" ht="15" hidden="false" customHeight="false" outlineLevel="0" collapsed="false">
      <c r="A408" s="7" t="s">
        <v>40</v>
      </c>
      <c r="B408" s="7" t="s">
        <v>485</v>
      </c>
      <c r="C408" s="7" t="s">
        <v>1047</v>
      </c>
      <c r="D408" s="7" t="n">
        <v>8</v>
      </c>
      <c r="E408" s="7" t="n">
        <v>824.57</v>
      </c>
      <c r="F408" s="7" t="n">
        <v>0</v>
      </c>
      <c r="G408" s="7" t="n">
        <v>0</v>
      </c>
    </row>
    <row r="409" customFormat="false" ht="15" hidden="false" customHeight="false" outlineLevel="0" collapsed="false">
      <c r="A409" s="7" t="s">
        <v>40</v>
      </c>
      <c r="B409" s="7" t="s">
        <v>476</v>
      </c>
      <c r="C409" s="7" t="s">
        <v>1047</v>
      </c>
      <c r="D409" s="7" t="n">
        <v>3</v>
      </c>
      <c r="E409" s="7" t="n">
        <v>309.22</v>
      </c>
      <c r="F409" s="7" t="n">
        <v>0</v>
      </c>
      <c r="G409" s="7" t="n">
        <v>0</v>
      </c>
    </row>
    <row r="410" customFormat="false" ht="15" hidden="false" customHeight="false" outlineLevel="0" collapsed="false">
      <c r="A410" s="7" t="s">
        <v>40</v>
      </c>
      <c r="B410" s="7" t="s">
        <v>143</v>
      </c>
      <c r="C410" s="7" t="s">
        <v>1047</v>
      </c>
      <c r="D410" s="7" t="n">
        <v>9</v>
      </c>
      <c r="E410" s="7" t="n">
        <v>540</v>
      </c>
      <c r="F410" s="7" t="n">
        <v>18</v>
      </c>
      <c r="G410" s="7" t="n">
        <v>1080</v>
      </c>
    </row>
    <row r="411" customFormat="false" ht="15" hidden="false" customHeight="false" outlineLevel="0" collapsed="false">
      <c r="A411" s="7" t="s">
        <v>40</v>
      </c>
      <c r="B411" s="7" t="s">
        <v>161</v>
      </c>
      <c r="C411" s="7" t="s">
        <v>1048</v>
      </c>
      <c r="D411" s="7" t="n">
        <v>8</v>
      </c>
      <c r="E411" s="7" t="n">
        <v>600</v>
      </c>
      <c r="F411" s="7" t="n">
        <v>8</v>
      </c>
      <c r="G411" s="7" t="n">
        <v>600.02</v>
      </c>
    </row>
    <row r="412" customFormat="false" ht="15" hidden="false" customHeight="false" outlineLevel="0" collapsed="false">
      <c r="A412" s="7" t="s">
        <v>40</v>
      </c>
      <c r="B412" s="7" t="s">
        <v>792</v>
      </c>
      <c r="C412" s="7" t="s">
        <v>1142</v>
      </c>
      <c r="D412" s="7" t="n">
        <v>5</v>
      </c>
      <c r="E412" s="7" t="n">
        <v>515.36</v>
      </c>
      <c r="F412" s="7" t="n">
        <v>2</v>
      </c>
      <c r="G412" s="7" t="n">
        <v>206.14</v>
      </c>
    </row>
    <row r="413" customFormat="false" ht="15" hidden="false" customHeight="false" outlineLevel="0" collapsed="false">
      <c r="A413" s="7" t="s">
        <v>40</v>
      </c>
      <c r="B413" s="7" t="s">
        <v>614</v>
      </c>
      <c r="C413" s="7" t="s">
        <v>1142</v>
      </c>
      <c r="D413" s="7" t="n">
        <v>4</v>
      </c>
      <c r="E413" s="7" t="n">
        <v>412.29</v>
      </c>
      <c r="F413" s="7" t="n">
        <v>0</v>
      </c>
      <c r="G413" s="7" t="n">
        <v>0</v>
      </c>
    </row>
    <row r="414" customFormat="false" ht="15" hidden="false" customHeight="false" outlineLevel="0" collapsed="false">
      <c r="A414" s="7" t="s">
        <v>40</v>
      </c>
      <c r="B414" s="7" t="s">
        <v>429</v>
      </c>
      <c r="C414" s="7" t="s">
        <v>1142</v>
      </c>
      <c r="D414" s="7" t="n">
        <v>1</v>
      </c>
      <c r="E414" s="7" t="n">
        <v>103.07</v>
      </c>
      <c r="F414" s="7" t="n">
        <v>0</v>
      </c>
      <c r="G414" s="7" t="n">
        <v>0</v>
      </c>
    </row>
    <row r="415" customFormat="false" ht="15" hidden="false" customHeight="false" outlineLevel="0" collapsed="false">
      <c r="A415" s="7" t="s">
        <v>40</v>
      </c>
      <c r="B415" s="7" t="s">
        <v>477</v>
      </c>
      <c r="C415" s="7" t="s">
        <v>1142</v>
      </c>
      <c r="D415" s="7" t="n">
        <v>0</v>
      </c>
      <c r="E415" s="7" t="n">
        <v>0</v>
      </c>
      <c r="F415" s="7" t="n">
        <v>2</v>
      </c>
      <c r="G415" s="7" t="n">
        <v>206.14</v>
      </c>
    </row>
    <row r="416" customFormat="false" ht="15" hidden="false" customHeight="false" outlineLevel="0" collapsed="false">
      <c r="A416" s="7" t="s">
        <v>40</v>
      </c>
      <c r="B416" s="7" t="s">
        <v>469</v>
      </c>
      <c r="C416" s="7" t="s">
        <v>1143</v>
      </c>
      <c r="D416" s="7" t="n">
        <v>2</v>
      </c>
      <c r="E416" s="7" t="n">
        <v>141.72</v>
      </c>
      <c r="F416" s="7" t="n">
        <v>0</v>
      </c>
      <c r="G416" s="7" t="n">
        <v>0</v>
      </c>
    </row>
    <row r="417" customFormat="false" ht="15" hidden="false" customHeight="false" outlineLevel="0" collapsed="false">
      <c r="A417" s="7" t="s">
        <v>40</v>
      </c>
      <c r="B417" s="7" t="s">
        <v>469</v>
      </c>
      <c r="C417" s="7" t="s">
        <v>1143</v>
      </c>
      <c r="D417" s="7" t="n">
        <v>2</v>
      </c>
      <c r="E417" s="7" t="n">
        <v>142.39</v>
      </c>
      <c r="F417" s="7" t="n">
        <v>7</v>
      </c>
      <c r="G417" s="7" t="n">
        <v>498.38</v>
      </c>
    </row>
    <row r="418" customFormat="false" ht="15" hidden="false" customHeight="false" outlineLevel="0" collapsed="false">
      <c r="A418" s="7" t="s">
        <v>40</v>
      </c>
      <c r="B418" s="7" t="s">
        <v>342</v>
      </c>
      <c r="C418" s="7" t="s">
        <v>1143</v>
      </c>
      <c r="D418" s="7" t="n">
        <v>2</v>
      </c>
      <c r="E418" s="7" t="n">
        <v>142.39</v>
      </c>
      <c r="F418" s="7" t="n">
        <v>3</v>
      </c>
      <c r="G418" s="7" t="n">
        <v>213.59</v>
      </c>
    </row>
    <row r="419" customFormat="false" ht="15" hidden="false" customHeight="false" outlineLevel="0" collapsed="false">
      <c r="A419" s="7" t="s">
        <v>40</v>
      </c>
      <c r="B419" s="7" t="s">
        <v>342</v>
      </c>
      <c r="C419" s="7" t="s">
        <v>1143</v>
      </c>
      <c r="D419" s="7" t="n">
        <v>2</v>
      </c>
      <c r="E419" s="7" t="n">
        <v>141.72</v>
      </c>
      <c r="F419" s="7" t="n">
        <v>0</v>
      </c>
      <c r="G419" s="7" t="n">
        <v>0</v>
      </c>
    </row>
    <row r="420" customFormat="false" ht="15" hidden="false" customHeight="false" outlineLevel="0" collapsed="false">
      <c r="A420" s="7" t="s">
        <v>40</v>
      </c>
      <c r="B420" s="7" t="s">
        <v>483</v>
      </c>
      <c r="C420" s="7" t="s">
        <v>1144</v>
      </c>
      <c r="D420" s="7" t="n">
        <v>4</v>
      </c>
      <c r="E420" s="7" t="n">
        <v>369.18</v>
      </c>
      <c r="F420" s="7" t="n">
        <v>6</v>
      </c>
      <c r="G420" s="7" t="n">
        <v>553.76</v>
      </c>
    </row>
    <row r="421" customFormat="false" ht="15" hidden="false" customHeight="false" outlineLevel="0" collapsed="false">
      <c r="A421" s="7" t="s">
        <v>40</v>
      </c>
      <c r="B421" s="7" t="s">
        <v>649</v>
      </c>
      <c r="C421" s="7" t="s">
        <v>1144</v>
      </c>
      <c r="D421" s="7" t="n">
        <v>4</v>
      </c>
      <c r="E421" s="7" t="n">
        <v>369.18</v>
      </c>
      <c r="F421" s="7" t="n">
        <v>6</v>
      </c>
      <c r="G421" s="7" t="n">
        <v>553.76</v>
      </c>
    </row>
    <row r="422" customFormat="false" ht="15" hidden="false" customHeight="false" outlineLevel="0" collapsed="false">
      <c r="A422" s="7" t="s">
        <v>40</v>
      </c>
      <c r="B422" s="7" t="s">
        <v>643</v>
      </c>
      <c r="C422" s="7" t="s">
        <v>1144</v>
      </c>
      <c r="D422" s="7" t="n">
        <v>0</v>
      </c>
      <c r="E422" s="7" t="n">
        <v>0</v>
      </c>
      <c r="F422" s="7" t="n">
        <v>6</v>
      </c>
      <c r="G422" s="7" t="n">
        <v>553.77</v>
      </c>
    </row>
    <row r="423" customFormat="false" ht="15" hidden="false" customHeight="false" outlineLevel="0" collapsed="false">
      <c r="A423" s="7" t="s">
        <v>40</v>
      </c>
      <c r="B423" s="7" t="s">
        <v>227</v>
      </c>
      <c r="C423" s="7" t="s">
        <v>1144</v>
      </c>
      <c r="D423" s="7" t="n">
        <v>4</v>
      </c>
      <c r="E423" s="7" t="n">
        <v>369.18</v>
      </c>
      <c r="F423" s="7" t="n">
        <v>9</v>
      </c>
      <c r="G423" s="7" t="n">
        <v>830.65</v>
      </c>
    </row>
    <row r="424" customFormat="false" ht="15" hidden="false" customHeight="false" outlineLevel="0" collapsed="false">
      <c r="A424" s="7" t="s">
        <v>40</v>
      </c>
      <c r="B424" s="7" t="s">
        <v>1010</v>
      </c>
      <c r="C424" s="7" t="s">
        <v>1049</v>
      </c>
      <c r="D424" s="7" t="n">
        <v>5</v>
      </c>
      <c r="E424" s="7" t="n">
        <v>349.99</v>
      </c>
      <c r="F424" s="7" t="n">
        <v>3</v>
      </c>
      <c r="G424" s="7" t="n">
        <v>209.99</v>
      </c>
    </row>
    <row r="425" customFormat="false" ht="15" hidden="false" customHeight="false" outlineLevel="0" collapsed="false">
      <c r="A425" s="7" t="s">
        <v>40</v>
      </c>
      <c r="B425" s="7" t="s">
        <v>1010</v>
      </c>
      <c r="C425" s="7" t="s">
        <v>1049</v>
      </c>
      <c r="D425" s="7" t="n">
        <v>2</v>
      </c>
      <c r="E425" s="7" t="n">
        <v>145.3</v>
      </c>
      <c r="F425" s="7" t="n">
        <v>0</v>
      </c>
      <c r="G425" s="7" t="n">
        <v>0</v>
      </c>
    </row>
    <row r="426" customFormat="false" ht="15" hidden="false" customHeight="false" outlineLevel="0" collapsed="false">
      <c r="A426" s="7" t="s">
        <v>40</v>
      </c>
      <c r="B426" s="7" t="s">
        <v>1017</v>
      </c>
      <c r="C426" s="7" t="s">
        <v>1049</v>
      </c>
      <c r="D426" s="7" t="n">
        <v>0</v>
      </c>
      <c r="E426" s="7" t="n">
        <v>0</v>
      </c>
      <c r="F426" s="7" t="n">
        <v>6</v>
      </c>
      <c r="G426" s="7" t="n">
        <v>419.98</v>
      </c>
    </row>
    <row r="427" customFormat="false" ht="15" hidden="false" customHeight="false" outlineLevel="0" collapsed="false">
      <c r="A427" s="7" t="s">
        <v>40</v>
      </c>
      <c r="B427" s="7" t="s">
        <v>1025</v>
      </c>
      <c r="C427" s="7" t="s">
        <v>1049</v>
      </c>
      <c r="D427" s="7" t="n">
        <v>3</v>
      </c>
      <c r="E427" s="7" t="n">
        <v>209.99</v>
      </c>
      <c r="F427" s="7" t="n">
        <v>2</v>
      </c>
      <c r="G427" s="7" t="n">
        <v>139.99</v>
      </c>
    </row>
    <row r="428" customFormat="false" ht="15" hidden="false" customHeight="false" outlineLevel="0" collapsed="false">
      <c r="A428" s="7" t="s">
        <v>40</v>
      </c>
      <c r="B428" s="7" t="s">
        <v>1018</v>
      </c>
      <c r="C428" s="7" t="s">
        <v>1049</v>
      </c>
      <c r="D428" s="7" t="n">
        <v>0</v>
      </c>
      <c r="E428" s="7" t="n">
        <v>0</v>
      </c>
      <c r="F428" s="7" t="n">
        <v>6</v>
      </c>
      <c r="G428" s="7" t="n">
        <v>419.98</v>
      </c>
    </row>
    <row r="429" customFormat="false" ht="15" hidden="false" customHeight="false" outlineLevel="0" collapsed="false">
      <c r="A429" s="7" t="s">
        <v>40</v>
      </c>
      <c r="B429" s="7" t="s">
        <v>1024</v>
      </c>
      <c r="C429" s="7" t="s">
        <v>1049</v>
      </c>
      <c r="D429" s="7" t="n">
        <v>1</v>
      </c>
      <c r="E429" s="7" t="n">
        <v>70</v>
      </c>
      <c r="F429" s="7" t="n">
        <v>5</v>
      </c>
      <c r="G429" s="7" t="n">
        <v>349.98</v>
      </c>
    </row>
    <row r="430" customFormat="false" ht="15" hidden="false" customHeight="false" outlineLevel="0" collapsed="false">
      <c r="A430" s="7" t="s">
        <v>40</v>
      </c>
      <c r="B430" s="7" t="s">
        <v>1015</v>
      </c>
      <c r="C430" s="7" t="s">
        <v>1145</v>
      </c>
      <c r="D430" s="7" t="n">
        <v>4</v>
      </c>
      <c r="E430" s="7" t="n">
        <v>279.99</v>
      </c>
      <c r="F430" s="7" t="n">
        <v>2</v>
      </c>
      <c r="G430" s="7" t="n">
        <v>139.99</v>
      </c>
    </row>
    <row r="431" customFormat="false" ht="15" hidden="false" customHeight="false" outlineLevel="0" collapsed="false">
      <c r="A431" s="7" t="s">
        <v>40</v>
      </c>
      <c r="B431" s="7" t="s">
        <v>1015</v>
      </c>
      <c r="C431" s="7" t="s">
        <v>1145</v>
      </c>
      <c r="D431" s="7" t="n">
        <v>4</v>
      </c>
      <c r="E431" s="7" t="n">
        <v>511.65</v>
      </c>
      <c r="F431" s="7" t="n">
        <v>0</v>
      </c>
      <c r="G431" s="7" t="n">
        <v>0</v>
      </c>
    </row>
    <row r="432" customFormat="false" ht="15" hidden="false" customHeight="false" outlineLevel="0" collapsed="false">
      <c r="A432" s="7" t="s">
        <v>40</v>
      </c>
      <c r="B432" s="7" t="s">
        <v>936</v>
      </c>
      <c r="C432" s="7" t="s">
        <v>1146</v>
      </c>
      <c r="D432" s="7" t="n">
        <v>1</v>
      </c>
      <c r="E432" s="7" t="n">
        <v>75</v>
      </c>
      <c r="F432" s="7" t="n">
        <v>0</v>
      </c>
      <c r="G432" s="7" t="n">
        <v>0</v>
      </c>
    </row>
    <row r="433" customFormat="false" ht="15" hidden="false" customHeight="false" outlineLevel="0" collapsed="false">
      <c r="A433" s="7" t="s">
        <v>40</v>
      </c>
      <c r="B433" s="7" t="s">
        <v>579</v>
      </c>
      <c r="C433" s="7" t="s">
        <v>1147</v>
      </c>
      <c r="D433" s="7" t="n">
        <v>1</v>
      </c>
      <c r="E433" s="7" t="n">
        <v>75</v>
      </c>
      <c r="F433" s="7" t="n">
        <v>0</v>
      </c>
      <c r="G433" s="7" t="n">
        <v>0</v>
      </c>
    </row>
    <row r="434" customFormat="false" ht="15" hidden="false" customHeight="false" outlineLevel="0" collapsed="false">
      <c r="A434" s="7" t="s">
        <v>40</v>
      </c>
      <c r="B434" s="7" t="s">
        <v>943</v>
      </c>
      <c r="C434" s="7" t="s">
        <v>1148</v>
      </c>
      <c r="D434" s="7" t="n">
        <v>1</v>
      </c>
      <c r="E434" s="7" t="n">
        <v>75</v>
      </c>
      <c r="F434" s="7" t="n">
        <v>0</v>
      </c>
      <c r="G434" s="7" t="n">
        <v>0</v>
      </c>
    </row>
    <row r="435" customFormat="false" ht="15" hidden="false" customHeight="false" outlineLevel="0" collapsed="false">
      <c r="A435" s="7" t="s">
        <v>40</v>
      </c>
      <c r="B435" s="7" t="s">
        <v>503</v>
      </c>
      <c r="C435" s="7" t="s">
        <v>1050</v>
      </c>
      <c r="D435" s="7" t="n">
        <v>3</v>
      </c>
      <c r="E435" s="7" t="n">
        <v>140.46</v>
      </c>
      <c r="F435" s="7" t="n">
        <v>0</v>
      </c>
      <c r="G435" s="7" t="n">
        <v>0</v>
      </c>
    </row>
    <row r="436" customFormat="false" ht="15" hidden="false" customHeight="false" outlineLevel="0" collapsed="false">
      <c r="A436" s="7" t="s">
        <v>40</v>
      </c>
      <c r="B436" s="7" t="s">
        <v>597</v>
      </c>
      <c r="C436" s="7" t="s">
        <v>1050</v>
      </c>
      <c r="D436" s="7" t="n">
        <v>1</v>
      </c>
      <c r="E436" s="7" t="n">
        <v>46.82</v>
      </c>
      <c r="F436" s="7" t="n">
        <v>0</v>
      </c>
      <c r="G436" s="7" t="n">
        <v>0</v>
      </c>
    </row>
    <row r="437" customFormat="false" ht="15" hidden="false" customHeight="false" outlineLevel="0" collapsed="false">
      <c r="A437" s="7" t="s">
        <v>40</v>
      </c>
      <c r="B437" s="7" t="s">
        <v>544</v>
      </c>
      <c r="C437" s="7" t="s">
        <v>1050</v>
      </c>
      <c r="D437" s="7" t="n">
        <v>2</v>
      </c>
      <c r="E437" s="7" t="n">
        <v>93.64</v>
      </c>
      <c r="F437" s="7" t="n">
        <v>0</v>
      </c>
      <c r="G437" s="7" t="n">
        <v>0</v>
      </c>
    </row>
    <row r="438" customFormat="false" ht="15" hidden="false" customHeight="false" outlineLevel="0" collapsed="false">
      <c r="A438" s="7" t="s">
        <v>40</v>
      </c>
      <c r="B438" s="7" t="s">
        <v>616</v>
      </c>
      <c r="C438" s="7" t="s">
        <v>1050</v>
      </c>
      <c r="D438" s="7" t="n">
        <v>3</v>
      </c>
      <c r="E438" s="7" t="n">
        <v>140.46</v>
      </c>
      <c r="F438" s="7" t="n">
        <v>0</v>
      </c>
      <c r="G438" s="7" t="n">
        <v>0</v>
      </c>
    </row>
    <row r="439" customFormat="false" ht="15" hidden="false" customHeight="false" outlineLevel="0" collapsed="false">
      <c r="A439" s="7" t="s">
        <v>40</v>
      </c>
      <c r="B439" s="7" t="s">
        <v>341</v>
      </c>
      <c r="C439" s="7" t="s">
        <v>1050</v>
      </c>
      <c r="D439" s="7" t="n">
        <v>1</v>
      </c>
      <c r="E439" s="7" t="n">
        <v>46.82</v>
      </c>
      <c r="F439" s="7" t="n">
        <v>0</v>
      </c>
      <c r="G439" s="7" t="n">
        <v>0</v>
      </c>
    </row>
    <row r="440" customFormat="false" ht="15" hidden="false" customHeight="false" outlineLevel="0" collapsed="false">
      <c r="A440" s="7" t="s">
        <v>40</v>
      </c>
      <c r="B440" s="7" t="s">
        <v>181</v>
      </c>
      <c r="C440" s="7" t="s">
        <v>1149</v>
      </c>
      <c r="D440" s="7" t="n">
        <v>0</v>
      </c>
      <c r="E440" s="7" t="n">
        <v>0</v>
      </c>
      <c r="F440" s="7" t="n">
        <v>2</v>
      </c>
      <c r="G440" s="7" t="n">
        <v>140.52</v>
      </c>
    </row>
    <row r="441" customFormat="false" ht="15" hidden="false" customHeight="false" outlineLevel="0" collapsed="false">
      <c r="A441" s="7" t="s">
        <v>40</v>
      </c>
      <c r="B441" s="7" t="s">
        <v>394</v>
      </c>
      <c r="C441" s="7" t="s">
        <v>1149</v>
      </c>
      <c r="D441" s="7" t="n">
        <v>0</v>
      </c>
      <c r="E441" s="7" t="n">
        <v>0</v>
      </c>
      <c r="F441" s="7" t="n">
        <v>2</v>
      </c>
      <c r="G441" s="7" t="n">
        <v>140.52</v>
      </c>
    </row>
    <row r="442" customFormat="false" ht="15" hidden="false" customHeight="false" outlineLevel="0" collapsed="false">
      <c r="A442" s="7" t="s">
        <v>40</v>
      </c>
      <c r="B442" s="7" t="s">
        <v>251</v>
      </c>
      <c r="C442" s="7" t="s">
        <v>1085</v>
      </c>
      <c r="D442" s="7" t="n">
        <v>3</v>
      </c>
      <c r="E442" s="7" t="n">
        <v>112.36</v>
      </c>
      <c r="F442" s="7" t="n">
        <v>0</v>
      </c>
      <c r="G442" s="7" t="n">
        <v>0</v>
      </c>
    </row>
    <row r="443" customFormat="false" ht="15" hidden="false" customHeight="false" outlineLevel="0" collapsed="false">
      <c r="A443" s="7" t="s">
        <v>40</v>
      </c>
      <c r="B443" s="7" t="s">
        <v>563</v>
      </c>
      <c r="C443" s="7" t="s">
        <v>1150</v>
      </c>
      <c r="D443" s="7" t="n">
        <v>2</v>
      </c>
      <c r="E443" s="7" t="n">
        <v>61.78</v>
      </c>
      <c r="F443" s="7" t="n">
        <v>0</v>
      </c>
      <c r="G443" s="7" t="n">
        <v>0</v>
      </c>
    </row>
    <row r="444" customFormat="false" ht="15" hidden="false" customHeight="false" outlineLevel="0" collapsed="false">
      <c r="A444" s="7" t="s">
        <v>40</v>
      </c>
      <c r="B444" s="7" t="s">
        <v>522</v>
      </c>
      <c r="C444" s="7" t="s">
        <v>1150</v>
      </c>
      <c r="D444" s="7" t="n">
        <v>2</v>
      </c>
      <c r="E444" s="7" t="n">
        <v>61.78</v>
      </c>
      <c r="F444" s="7" t="n">
        <v>1</v>
      </c>
      <c r="G444" s="7" t="n">
        <v>30.89</v>
      </c>
    </row>
    <row r="445" customFormat="false" ht="15" hidden="false" customHeight="false" outlineLevel="0" collapsed="false">
      <c r="A445" s="7" t="s">
        <v>40</v>
      </c>
      <c r="B445" s="7" t="s">
        <v>512</v>
      </c>
      <c r="C445" s="7" t="s">
        <v>1150</v>
      </c>
      <c r="D445" s="7" t="n">
        <v>2</v>
      </c>
      <c r="E445" s="7" t="n">
        <v>61.78</v>
      </c>
      <c r="F445" s="7" t="n">
        <v>1</v>
      </c>
      <c r="G445" s="7" t="n">
        <v>30.89</v>
      </c>
    </row>
    <row r="446" customFormat="false" ht="15" hidden="false" customHeight="false" outlineLevel="0" collapsed="false">
      <c r="A446" s="7" t="s">
        <v>40</v>
      </c>
      <c r="B446" s="7" t="s">
        <v>401</v>
      </c>
      <c r="C446" s="7" t="s">
        <v>1150</v>
      </c>
      <c r="D446" s="7" t="n">
        <v>2</v>
      </c>
      <c r="E446" s="7" t="n">
        <v>61.78</v>
      </c>
      <c r="F446" s="7" t="n">
        <v>0</v>
      </c>
      <c r="G446" s="7" t="n">
        <v>0</v>
      </c>
    </row>
    <row r="447" customFormat="false" ht="15" hidden="false" customHeight="false" outlineLevel="0" collapsed="false">
      <c r="A447" s="7" t="s">
        <v>40</v>
      </c>
      <c r="B447" s="7" t="s">
        <v>343</v>
      </c>
      <c r="C447" s="7" t="s">
        <v>1151</v>
      </c>
      <c r="D447" s="7" t="n">
        <v>1</v>
      </c>
      <c r="E447" s="7" t="n">
        <v>19</v>
      </c>
      <c r="F447" s="7" t="n">
        <v>0</v>
      </c>
      <c r="G447" s="7" t="n">
        <v>0</v>
      </c>
    </row>
    <row r="448" customFormat="false" ht="15" hidden="false" customHeight="false" outlineLevel="0" collapsed="false">
      <c r="A448" s="7" t="s">
        <v>40</v>
      </c>
      <c r="B448" s="7" t="s">
        <v>802</v>
      </c>
      <c r="C448" s="7" t="s">
        <v>1151</v>
      </c>
      <c r="D448" s="7" t="n">
        <v>1</v>
      </c>
      <c r="E448" s="7" t="n">
        <v>19</v>
      </c>
      <c r="F448" s="7" t="n">
        <v>0</v>
      </c>
      <c r="G448" s="7" t="n">
        <v>0</v>
      </c>
    </row>
    <row r="449" customFormat="false" ht="15" hidden="false" customHeight="false" outlineLevel="0" collapsed="false">
      <c r="A449" s="7" t="s">
        <v>40</v>
      </c>
      <c r="B449" s="7" t="s">
        <v>704</v>
      </c>
      <c r="C449" s="7" t="s">
        <v>1151</v>
      </c>
      <c r="D449" s="7" t="n">
        <v>1</v>
      </c>
      <c r="E449" s="7" t="n">
        <v>19</v>
      </c>
      <c r="F449" s="7" t="n">
        <v>0</v>
      </c>
      <c r="G449" s="7" t="n">
        <v>0</v>
      </c>
    </row>
    <row r="450" customFormat="false" ht="15" hidden="false" customHeight="false" outlineLevel="0" collapsed="false">
      <c r="A450" s="7" t="s">
        <v>40</v>
      </c>
      <c r="B450" s="7" t="s">
        <v>710</v>
      </c>
      <c r="C450" s="7" t="s">
        <v>1151</v>
      </c>
      <c r="D450" s="7" t="n">
        <v>1</v>
      </c>
      <c r="E450" s="7" t="n">
        <v>19</v>
      </c>
      <c r="F450" s="7" t="n">
        <v>0</v>
      </c>
      <c r="G450" s="7" t="n">
        <v>0</v>
      </c>
    </row>
    <row r="451" customFormat="false" ht="15" hidden="false" customHeight="false" outlineLevel="0" collapsed="false">
      <c r="A451" s="7" t="s">
        <v>40</v>
      </c>
      <c r="B451" s="7" t="s">
        <v>464</v>
      </c>
      <c r="C451" s="7" t="s">
        <v>1151</v>
      </c>
      <c r="D451" s="7" t="n">
        <v>1</v>
      </c>
      <c r="E451" s="7" t="n">
        <v>19</v>
      </c>
      <c r="F451" s="7" t="n">
        <v>0</v>
      </c>
      <c r="G451" s="7" t="n">
        <v>0</v>
      </c>
    </row>
    <row r="452" customFormat="false" ht="15" hidden="false" customHeight="false" outlineLevel="0" collapsed="false">
      <c r="A452" s="7" t="s">
        <v>40</v>
      </c>
      <c r="B452" s="7" t="s">
        <v>605</v>
      </c>
      <c r="C452" s="7" t="s">
        <v>1152</v>
      </c>
      <c r="D452" s="7" t="n">
        <v>4</v>
      </c>
      <c r="E452" s="7" t="n">
        <v>123.57</v>
      </c>
      <c r="F452" s="7" t="n">
        <v>2</v>
      </c>
      <c r="G452" s="7" t="n">
        <v>61.78</v>
      </c>
    </row>
    <row r="453" customFormat="false" ht="15" hidden="false" customHeight="false" outlineLevel="0" collapsed="false">
      <c r="A453" s="7" t="s">
        <v>40</v>
      </c>
      <c r="B453" s="7" t="s">
        <v>618</v>
      </c>
      <c r="C453" s="7" t="s">
        <v>1152</v>
      </c>
      <c r="D453" s="7" t="n">
        <v>4</v>
      </c>
      <c r="E453" s="7" t="n">
        <v>123.57</v>
      </c>
      <c r="F453" s="7" t="n">
        <v>1</v>
      </c>
      <c r="G453" s="7" t="n">
        <v>30.89</v>
      </c>
    </row>
    <row r="454" customFormat="false" ht="15" hidden="false" customHeight="false" outlineLevel="0" collapsed="false">
      <c r="A454" s="7" t="s">
        <v>40</v>
      </c>
      <c r="B454" s="7" t="s">
        <v>702</v>
      </c>
      <c r="C454" s="7" t="s">
        <v>1152</v>
      </c>
      <c r="D454" s="7" t="n">
        <v>2</v>
      </c>
      <c r="E454" s="7" t="n">
        <v>61.78</v>
      </c>
      <c r="F454" s="7" t="n">
        <v>1</v>
      </c>
      <c r="G454" s="7" t="n">
        <v>30.89</v>
      </c>
    </row>
    <row r="455" customFormat="false" ht="15" hidden="false" customHeight="false" outlineLevel="0" collapsed="false">
      <c r="A455" s="7" t="s">
        <v>40</v>
      </c>
      <c r="B455" s="7" t="s">
        <v>635</v>
      </c>
      <c r="C455" s="7" t="s">
        <v>1152</v>
      </c>
      <c r="D455" s="7" t="n">
        <v>4</v>
      </c>
      <c r="E455" s="7" t="n">
        <v>123.57</v>
      </c>
      <c r="F455" s="7" t="n">
        <v>2</v>
      </c>
      <c r="G455" s="7" t="n">
        <v>61.78</v>
      </c>
    </row>
    <row r="456" customFormat="false" ht="15" hidden="false" customHeight="false" outlineLevel="0" collapsed="false">
      <c r="A456" s="7" t="s">
        <v>40</v>
      </c>
      <c r="B456" s="7" t="s">
        <v>216</v>
      </c>
      <c r="C456" s="7" t="s">
        <v>1051</v>
      </c>
      <c r="D456" s="7" t="n">
        <v>2</v>
      </c>
      <c r="E456" s="7" t="n">
        <v>84.99</v>
      </c>
      <c r="F456" s="7" t="n">
        <v>0</v>
      </c>
      <c r="G456" s="7" t="n">
        <v>0</v>
      </c>
    </row>
    <row r="457" customFormat="false" ht="15" hidden="false" customHeight="false" outlineLevel="0" collapsed="false">
      <c r="A457" s="7" t="s">
        <v>40</v>
      </c>
      <c r="B457" s="7" t="s">
        <v>216</v>
      </c>
      <c r="C457" s="7" t="s">
        <v>1051</v>
      </c>
      <c r="D457" s="7" t="n">
        <v>7</v>
      </c>
      <c r="E457" s="7" t="n">
        <v>314.64</v>
      </c>
      <c r="F457" s="7" t="n">
        <v>0</v>
      </c>
      <c r="G457" s="7" t="n">
        <v>0</v>
      </c>
    </row>
    <row r="458" customFormat="false" ht="15" hidden="false" customHeight="false" outlineLevel="0" collapsed="false">
      <c r="A458" s="7" t="s">
        <v>40</v>
      </c>
      <c r="B458" s="7" t="s">
        <v>125</v>
      </c>
      <c r="C458" s="7" t="s">
        <v>1052</v>
      </c>
      <c r="D458" s="7" t="n">
        <v>2</v>
      </c>
      <c r="E458" s="7" t="n">
        <v>89.73</v>
      </c>
      <c r="F458" s="7" t="n">
        <v>0</v>
      </c>
      <c r="G458" s="7" t="n">
        <v>0</v>
      </c>
    </row>
    <row r="459" customFormat="false" ht="15" hidden="false" customHeight="false" outlineLevel="0" collapsed="false">
      <c r="A459" s="7" t="s">
        <v>40</v>
      </c>
      <c r="B459" s="7" t="s">
        <v>125</v>
      </c>
      <c r="C459" s="7" t="s">
        <v>1052</v>
      </c>
      <c r="D459" s="7" t="n">
        <v>7</v>
      </c>
      <c r="E459" s="7" t="n">
        <v>327.76</v>
      </c>
      <c r="F459" s="7" t="n">
        <v>0</v>
      </c>
      <c r="G459" s="7" t="n">
        <v>0</v>
      </c>
    </row>
    <row r="460" customFormat="false" ht="15" hidden="false" customHeight="false" outlineLevel="0" collapsed="false">
      <c r="A460" s="7" t="s">
        <v>40</v>
      </c>
      <c r="B460" s="7" t="s">
        <v>1014</v>
      </c>
      <c r="C460" s="7" t="s">
        <v>1086</v>
      </c>
      <c r="D460" s="7" t="n">
        <v>5</v>
      </c>
      <c r="E460" s="7" t="n">
        <v>1063.77</v>
      </c>
      <c r="F460" s="7" t="n">
        <v>0</v>
      </c>
      <c r="G460" s="7" t="n">
        <v>0</v>
      </c>
    </row>
    <row r="461" customFormat="false" ht="15" hidden="false" customHeight="false" outlineLevel="0" collapsed="false">
      <c r="A461" s="7" t="s">
        <v>40</v>
      </c>
      <c r="B461" s="7" t="s">
        <v>650</v>
      </c>
      <c r="C461" s="7" t="s">
        <v>1088</v>
      </c>
      <c r="D461" s="7" t="n">
        <v>20</v>
      </c>
      <c r="E461" s="7" t="n">
        <v>289.65</v>
      </c>
      <c r="F461" s="7" t="n">
        <v>0</v>
      </c>
      <c r="G461" s="7" t="n">
        <v>0</v>
      </c>
    </row>
    <row r="462" customFormat="false" ht="15" hidden="false" customHeight="false" outlineLevel="0" collapsed="false">
      <c r="A462" s="7" t="s">
        <v>40</v>
      </c>
      <c r="B462" s="7" t="s">
        <v>779</v>
      </c>
      <c r="C462" s="7" t="s">
        <v>1089</v>
      </c>
      <c r="D462" s="7" t="n">
        <v>2</v>
      </c>
      <c r="E462" s="7" t="n">
        <v>28.96</v>
      </c>
      <c r="F462" s="7" t="n">
        <v>2</v>
      </c>
      <c r="G462" s="7" t="n">
        <v>28.96</v>
      </c>
    </row>
    <row r="463" customFormat="false" ht="15" hidden="false" customHeight="false" outlineLevel="0" collapsed="false">
      <c r="A463" s="7" t="s">
        <v>40</v>
      </c>
      <c r="B463" s="7" t="s">
        <v>225</v>
      </c>
      <c r="C463" s="7" t="s">
        <v>1091</v>
      </c>
      <c r="D463" s="7" t="n">
        <v>0</v>
      </c>
      <c r="E463" s="7" t="n">
        <v>0</v>
      </c>
      <c r="F463" s="7" t="n">
        <v>10</v>
      </c>
      <c r="G463" s="7" t="n">
        <v>187.05</v>
      </c>
    </row>
    <row r="464" customFormat="false" ht="15" hidden="false" customHeight="false" outlineLevel="0" collapsed="false">
      <c r="A464" s="7" t="s">
        <v>40</v>
      </c>
      <c r="B464" s="7" t="s">
        <v>134</v>
      </c>
      <c r="C464" s="7" t="s">
        <v>1093</v>
      </c>
      <c r="D464" s="7" t="n">
        <v>10</v>
      </c>
      <c r="E464" s="7" t="n">
        <v>402.68</v>
      </c>
      <c r="F464" s="7" t="n">
        <v>20</v>
      </c>
      <c r="G464" s="7" t="n">
        <v>805.35</v>
      </c>
    </row>
    <row r="465" customFormat="false" ht="15" hidden="false" customHeight="false" outlineLevel="0" collapsed="false">
      <c r="A465" s="7" t="s">
        <v>40</v>
      </c>
      <c r="B465" s="7" t="s">
        <v>387</v>
      </c>
      <c r="C465" s="7" t="s">
        <v>1095</v>
      </c>
      <c r="D465" s="7" t="n">
        <v>0</v>
      </c>
      <c r="E465" s="7" t="n">
        <v>0</v>
      </c>
      <c r="F465" s="7" t="n">
        <v>5</v>
      </c>
      <c r="G465" s="7" t="n">
        <v>119.29</v>
      </c>
    </row>
    <row r="466" customFormat="false" ht="15" hidden="false" customHeight="false" outlineLevel="0" collapsed="false">
      <c r="A466" s="7" t="s">
        <v>40</v>
      </c>
      <c r="B466" s="7" t="s">
        <v>517</v>
      </c>
      <c r="C466" s="7" t="s">
        <v>1101</v>
      </c>
      <c r="D466" s="7" t="n">
        <v>3</v>
      </c>
      <c r="E466" s="7" t="n">
        <v>180</v>
      </c>
      <c r="F466" s="7" t="n">
        <v>8</v>
      </c>
      <c r="G466" s="7" t="n">
        <v>480</v>
      </c>
    </row>
    <row r="467" customFormat="false" ht="15" hidden="false" customHeight="false" outlineLevel="0" collapsed="false">
      <c r="A467" s="7" t="s">
        <v>40</v>
      </c>
      <c r="B467" s="7" t="s">
        <v>334</v>
      </c>
      <c r="C467" s="7" t="s">
        <v>1101</v>
      </c>
      <c r="D467" s="7" t="n">
        <v>6</v>
      </c>
      <c r="E467" s="7" t="n">
        <v>360</v>
      </c>
      <c r="F467" s="7" t="n">
        <v>8</v>
      </c>
      <c r="G467" s="7" t="n">
        <v>480</v>
      </c>
    </row>
    <row r="468" customFormat="false" ht="15" hidden="false" customHeight="false" outlineLevel="0" collapsed="false">
      <c r="A468" s="7" t="s">
        <v>40</v>
      </c>
      <c r="B468" s="7" t="s">
        <v>334</v>
      </c>
      <c r="C468" s="7" t="s">
        <v>1101</v>
      </c>
      <c r="D468" s="7" t="n">
        <v>1</v>
      </c>
      <c r="E468" s="7" t="n">
        <v>0.01</v>
      </c>
      <c r="F468" s="7" t="n">
        <v>0</v>
      </c>
      <c r="G468" s="7" t="n">
        <v>0</v>
      </c>
    </row>
    <row r="469" customFormat="false" ht="15" hidden="false" customHeight="false" outlineLevel="0" collapsed="false">
      <c r="A469" s="7" t="s">
        <v>40</v>
      </c>
      <c r="B469" s="7" t="s">
        <v>242</v>
      </c>
      <c r="C469" s="7" t="s">
        <v>1153</v>
      </c>
      <c r="D469" s="7" t="n">
        <v>2</v>
      </c>
      <c r="E469" s="7" t="n">
        <v>103.96</v>
      </c>
      <c r="F469" s="7" t="n">
        <v>0</v>
      </c>
      <c r="G469" s="7" t="n">
        <v>0</v>
      </c>
    </row>
    <row r="470" customFormat="false" ht="15" hidden="false" customHeight="false" outlineLevel="0" collapsed="false">
      <c r="A470" s="7" t="s">
        <v>40</v>
      </c>
      <c r="B470" s="7" t="s">
        <v>129</v>
      </c>
      <c r="C470" s="7" t="s">
        <v>1154</v>
      </c>
      <c r="D470" s="7" t="n">
        <v>5</v>
      </c>
      <c r="E470" s="7" t="n">
        <v>473.17</v>
      </c>
      <c r="F470" s="7" t="n">
        <v>8</v>
      </c>
      <c r="G470" s="7" t="n">
        <v>757.07</v>
      </c>
    </row>
    <row r="471" customFormat="false" ht="15" hidden="false" customHeight="false" outlineLevel="0" collapsed="false">
      <c r="A471" s="7" t="s">
        <v>40</v>
      </c>
      <c r="B471" s="7" t="s">
        <v>339</v>
      </c>
      <c r="C471" s="7" t="s">
        <v>1155</v>
      </c>
      <c r="D471" s="7" t="n">
        <v>1</v>
      </c>
      <c r="E471" s="7" t="n">
        <v>126.51</v>
      </c>
      <c r="F471" s="7" t="n">
        <v>2</v>
      </c>
      <c r="G471" s="7" t="n">
        <v>253.02</v>
      </c>
    </row>
    <row r="472" customFormat="false" ht="15" hidden="false" customHeight="false" outlineLevel="0" collapsed="false">
      <c r="A472" s="7" t="s">
        <v>40</v>
      </c>
      <c r="B472" s="7" t="s">
        <v>593</v>
      </c>
      <c r="C472" s="7" t="s">
        <v>1155</v>
      </c>
      <c r="D472" s="7" t="n">
        <v>0</v>
      </c>
      <c r="E472" s="7" t="n">
        <v>0</v>
      </c>
      <c r="F472" s="7" t="n">
        <v>1</v>
      </c>
      <c r="G472" s="7" t="n">
        <v>126.51</v>
      </c>
    </row>
    <row r="473" customFormat="false" ht="15" hidden="false" customHeight="false" outlineLevel="0" collapsed="false">
      <c r="A473" s="7" t="s">
        <v>40</v>
      </c>
      <c r="B473" s="7" t="s">
        <v>276</v>
      </c>
      <c r="C473" s="7" t="s">
        <v>1155</v>
      </c>
      <c r="D473" s="7" t="n">
        <v>1</v>
      </c>
      <c r="E473" s="7" t="n">
        <v>126.51</v>
      </c>
      <c r="F473" s="7" t="n">
        <v>2</v>
      </c>
      <c r="G473" s="7" t="n">
        <v>253.02</v>
      </c>
    </row>
    <row r="474" customFormat="false" ht="15" hidden="false" customHeight="false" outlineLevel="0" collapsed="false">
      <c r="A474" s="7" t="s">
        <v>40</v>
      </c>
      <c r="B474" s="7" t="s">
        <v>1023</v>
      </c>
      <c r="C474" s="7" t="s">
        <v>1156</v>
      </c>
      <c r="D474" s="7" t="n">
        <v>1</v>
      </c>
      <c r="E474" s="7" t="n">
        <v>330.86</v>
      </c>
      <c r="F474" s="7" t="n">
        <v>0</v>
      </c>
      <c r="G474" s="7" t="n">
        <v>0</v>
      </c>
    </row>
    <row r="475" customFormat="false" ht="15" hidden="false" customHeight="false" outlineLevel="0" collapsed="false">
      <c r="A475" s="7" t="s">
        <v>40</v>
      </c>
      <c r="B475" s="7" t="s">
        <v>1022</v>
      </c>
      <c r="C475" s="7" t="s">
        <v>1156</v>
      </c>
      <c r="D475" s="7" t="n">
        <v>1</v>
      </c>
      <c r="E475" s="7" t="n">
        <v>330.86</v>
      </c>
      <c r="F475" s="7" t="n">
        <v>0</v>
      </c>
      <c r="G475" s="7" t="n">
        <v>0</v>
      </c>
    </row>
    <row r="476" customFormat="false" ht="15" hidden="false" customHeight="false" outlineLevel="0" collapsed="false">
      <c r="A476" s="7" t="s">
        <v>40</v>
      </c>
      <c r="B476" s="7" t="s">
        <v>1020</v>
      </c>
      <c r="C476" s="7" t="s">
        <v>1157</v>
      </c>
      <c r="D476" s="7" t="n">
        <v>0</v>
      </c>
      <c r="E476" s="7" t="n">
        <v>0</v>
      </c>
      <c r="F476" s="7" t="n">
        <v>1</v>
      </c>
      <c r="G476" s="7" t="n">
        <v>330.88</v>
      </c>
    </row>
    <row r="477" customFormat="false" ht="15" hidden="false" customHeight="false" outlineLevel="0" collapsed="false">
      <c r="A477" s="7" t="s">
        <v>40</v>
      </c>
      <c r="B477" s="7" t="s">
        <v>1021</v>
      </c>
      <c r="C477" s="7" t="s">
        <v>1157</v>
      </c>
      <c r="D477" s="7" t="n">
        <v>0</v>
      </c>
      <c r="E477" s="7" t="n">
        <v>0</v>
      </c>
      <c r="F477" s="7" t="n">
        <v>1</v>
      </c>
      <c r="G477" s="7" t="n">
        <v>330.88</v>
      </c>
    </row>
    <row r="478" customFormat="false" ht="15" hidden="false" customHeight="false" outlineLevel="0" collapsed="false">
      <c r="A478" s="7" t="s">
        <v>40</v>
      </c>
      <c r="B478" s="7" t="s">
        <v>1019</v>
      </c>
      <c r="C478" s="7" t="s">
        <v>1158</v>
      </c>
      <c r="D478" s="7" t="n">
        <v>1</v>
      </c>
      <c r="E478" s="7" t="n">
        <v>95</v>
      </c>
      <c r="F478" s="7" t="n">
        <v>0</v>
      </c>
      <c r="G478" s="7" t="n">
        <v>0</v>
      </c>
    </row>
    <row r="479" customFormat="false" ht="15" hidden="false" customHeight="false" outlineLevel="0" collapsed="false">
      <c r="A479" s="7" t="s">
        <v>40</v>
      </c>
      <c r="B479" s="7" t="s">
        <v>1019</v>
      </c>
      <c r="C479" s="7" t="s">
        <v>1158</v>
      </c>
      <c r="D479" s="7" t="n">
        <v>3</v>
      </c>
      <c r="E479" s="7" t="n">
        <v>254.99</v>
      </c>
      <c r="F479" s="7" t="n">
        <v>0</v>
      </c>
      <c r="G479" s="7" t="n">
        <v>0</v>
      </c>
    </row>
    <row r="480" customFormat="false" ht="15" hidden="false" customHeight="false" outlineLevel="0" collapsed="false">
      <c r="A480" s="7" t="s">
        <v>40</v>
      </c>
      <c r="B480" s="7" t="s">
        <v>1013</v>
      </c>
      <c r="C480" s="7" t="s">
        <v>1158</v>
      </c>
      <c r="D480" s="7" t="n">
        <v>5</v>
      </c>
      <c r="E480" s="7" t="n">
        <v>406</v>
      </c>
      <c r="F480" s="7" t="n">
        <v>0</v>
      </c>
      <c r="G480" s="7" t="n">
        <v>0</v>
      </c>
    </row>
    <row r="481" customFormat="false" ht="15" hidden="false" customHeight="false" outlineLevel="0" collapsed="false">
      <c r="A481" s="7" t="s">
        <v>40</v>
      </c>
      <c r="B481" s="7" t="s">
        <v>1013</v>
      </c>
      <c r="C481" s="7" t="s">
        <v>1158</v>
      </c>
      <c r="D481" s="7" t="n">
        <v>7</v>
      </c>
      <c r="E481" s="7" t="n">
        <v>665.02</v>
      </c>
      <c r="F481" s="7" t="n">
        <v>0</v>
      </c>
      <c r="G481" s="7" t="n">
        <v>0</v>
      </c>
    </row>
    <row r="482" customFormat="false" ht="15" hidden="false" customHeight="false" outlineLevel="0" collapsed="false">
      <c r="A482" s="7" t="s">
        <v>40</v>
      </c>
      <c r="B482" s="7" t="s">
        <v>1016</v>
      </c>
      <c r="C482" s="7" t="s">
        <v>1158</v>
      </c>
      <c r="D482" s="7" t="n">
        <v>4</v>
      </c>
      <c r="E482" s="7" t="n">
        <v>324.8</v>
      </c>
      <c r="F482" s="7" t="n">
        <v>0</v>
      </c>
      <c r="G482" s="7" t="n">
        <v>0</v>
      </c>
    </row>
    <row r="483" customFormat="false" ht="15" hidden="false" customHeight="false" outlineLevel="0" collapsed="false">
      <c r="A483" s="7" t="s">
        <v>40</v>
      </c>
      <c r="B483" s="7" t="s">
        <v>1016</v>
      </c>
      <c r="C483" s="7" t="s">
        <v>1158</v>
      </c>
      <c r="D483" s="7" t="n">
        <v>3</v>
      </c>
      <c r="E483" s="7" t="n">
        <v>285.01</v>
      </c>
      <c r="F483" s="7" t="n">
        <v>0</v>
      </c>
      <c r="G483" s="7" t="n">
        <v>0</v>
      </c>
    </row>
    <row r="484" customFormat="false" ht="15" hidden="false" customHeight="false" outlineLevel="0" collapsed="false">
      <c r="A484" s="7" t="s">
        <v>40</v>
      </c>
      <c r="B484" s="7" t="s">
        <v>556</v>
      </c>
      <c r="C484" s="7" t="s">
        <v>1079</v>
      </c>
      <c r="D484" s="7" t="n">
        <v>4</v>
      </c>
      <c r="E484" s="7" t="n">
        <v>123.57</v>
      </c>
      <c r="F484" s="7" t="n">
        <v>2</v>
      </c>
      <c r="G484" s="7" t="n">
        <v>61.78</v>
      </c>
    </row>
    <row r="485" customFormat="false" ht="15" hidden="false" customHeight="false" outlineLevel="0" collapsed="false">
      <c r="A485" s="7" t="s">
        <v>40</v>
      </c>
      <c r="B485" s="7" t="s">
        <v>580</v>
      </c>
      <c r="C485" s="7" t="s">
        <v>1079</v>
      </c>
      <c r="D485" s="7" t="n">
        <v>6</v>
      </c>
      <c r="E485" s="7" t="n">
        <v>185.36</v>
      </c>
      <c r="F485" s="7" t="n">
        <v>2</v>
      </c>
      <c r="G485" s="7" t="n">
        <v>61.78</v>
      </c>
    </row>
    <row r="486" customFormat="false" ht="15" hidden="false" customHeight="false" outlineLevel="0" collapsed="false">
      <c r="A486" s="7" t="s">
        <v>40</v>
      </c>
      <c r="B486" s="7" t="s">
        <v>572</v>
      </c>
      <c r="C486" s="7" t="s">
        <v>1079</v>
      </c>
      <c r="D486" s="7" t="n">
        <v>2</v>
      </c>
      <c r="E486" s="7" t="n">
        <v>61.78</v>
      </c>
      <c r="F486" s="7" t="n">
        <v>1</v>
      </c>
      <c r="G486" s="7" t="n">
        <v>30.89</v>
      </c>
    </row>
    <row r="487" customFormat="false" ht="15" hidden="false" customHeight="false" outlineLevel="0" collapsed="false">
      <c r="A487" s="7" t="s">
        <v>40</v>
      </c>
      <c r="B487" s="7" t="s">
        <v>578</v>
      </c>
      <c r="C487" s="7" t="s">
        <v>1079</v>
      </c>
      <c r="D487" s="7" t="n">
        <v>6</v>
      </c>
      <c r="E487" s="7" t="n">
        <v>185.36</v>
      </c>
      <c r="F487" s="7" t="n">
        <v>3</v>
      </c>
      <c r="G487" s="7" t="n">
        <v>92.67</v>
      </c>
    </row>
    <row r="488" customFormat="false" ht="15" hidden="false" customHeight="false" outlineLevel="0" collapsed="false">
      <c r="A488" s="7" t="s">
        <v>40</v>
      </c>
      <c r="B488" s="7" t="s">
        <v>698</v>
      </c>
      <c r="C488" s="7" t="s">
        <v>1056</v>
      </c>
      <c r="D488" s="7" t="n">
        <v>4</v>
      </c>
      <c r="E488" s="7" t="n">
        <v>123.57</v>
      </c>
      <c r="F488" s="7" t="n">
        <v>0</v>
      </c>
      <c r="G488" s="7" t="n">
        <v>0</v>
      </c>
    </row>
    <row r="489" customFormat="false" ht="15" hidden="false" customHeight="false" outlineLevel="0" collapsed="false">
      <c r="A489" s="7" t="s">
        <v>40</v>
      </c>
      <c r="B489" s="7" t="s">
        <v>805</v>
      </c>
      <c r="C489" s="7" t="s">
        <v>1056</v>
      </c>
      <c r="D489" s="7" t="n">
        <v>4</v>
      </c>
      <c r="E489" s="7" t="n">
        <v>123.57</v>
      </c>
      <c r="F489" s="7" t="n">
        <v>0</v>
      </c>
      <c r="G489" s="7" t="n">
        <v>0</v>
      </c>
    </row>
    <row r="490" customFormat="false" ht="15" hidden="false" customHeight="false" outlineLevel="0" collapsed="false">
      <c r="A490" s="7" t="s">
        <v>40</v>
      </c>
      <c r="B490" s="7" t="s">
        <v>677</v>
      </c>
      <c r="C490" s="7" t="s">
        <v>1159</v>
      </c>
      <c r="D490" s="7" t="n">
        <v>2</v>
      </c>
      <c r="E490" s="7" t="n">
        <v>74.91</v>
      </c>
      <c r="F490" s="7" t="n">
        <v>2</v>
      </c>
      <c r="G490" s="7" t="n">
        <v>74.9</v>
      </c>
    </row>
    <row r="491" customFormat="false" ht="15" hidden="false" customHeight="false" outlineLevel="0" collapsed="false">
      <c r="A491" s="7" t="s">
        <v>40</v>
      </c>
      <c r="B491" s="7" t="s">
        <v>688</v>
      </c>
      <c r="C491" s="7" t="s">
        <v>1159</v>
      </c>
      <c r="D491" s="7" t="n">
        <v>2</v>
      </c>
      <c r="E491" s="7" t="n">
        <v>74.91</v>
      </c>
      <c r="F491" s="7" t="n">
        <v>1</v>
      </c>
      <c r="G491" s="7" t="n">
        <v>37.45</v>
      </c>
    </row>
    <row r="492" customFormat="false" ht="15" hidden="false" customHeight="false" outlineLevel="0" collapsed="false">
      <c r="A492" s="7" t="s">
        <v>40</v>
      </c>
      <c r="B492" s="7" t="s">
        <v>707</v>
      </c>
      <c r="C492" s="7" t="s">
        <v>1159</v>
      </c>
      <c r="D492" s="7" t="n">
        <v>2</v>
      </c>
      <c r="E492" s="7" t="n">
        <v>74.91</v>
      </c>
      <c r="F492" s="7" t="n">
        <v>0</v>
      </c>
      <c r="G492" s="7" t="n">
        <v>0</v>
      </c>
    </row>
    <row r="493" customFormat="false" ht="15" hidden="false" customHeight="false" outlineLevel="0" collapsed="false">
      <c r="A493" s="7" t="s">
        <v>40</v>
      </c>
      <c r="B493" s="7" t="s">
        <v>766</v>
      </c>
      <c r="C493" s="7" t="s">
        <v>1159</v>
      </c>
      <c r="D493" s="7" t="n">
        <v>2</v>
      </c>
      <c r="E493" s="7" t="n">
        <v>74.91</v>
      </c>
      <c r="F493" s="7" t="n">
        <v>2</v>
      </c>
      <c r="G493" s="7" t="n">
        <v>74.91</v>
      </c>
    </row>
    <row r="494" customFormat="false" ht="15" hidden="false" customHeight="false" outlineLevel="0" collapsed="false">
      <c r="A494" s="7" t="s">
        <v>40</v>
      </c>
      <c r="B494" s="7" t="s">
        <v>403</v>
      </c>
      <c r="C494" s="7" t="s">
        <v>1058</v>
      </c>
      <c r="D494" s="7" t="n">
        <v>1</v>
      </c>
      <c r="E494" s="7" t="n">
        <v>158.12</v>
      </c>
      <c r="F494" s="7" t="n">
        <v>0</v>
      </c>
      <c r="G494" s="7" t="n">
        <v>0</v>
      </c>
    </row>
    <row r="495" customFormat="false" ht="15" hidden="false" customHeight="false" outlineLevel="0" collapsed="false">
      <c r="A495" s="7" t="s">
        <v>40</v>
      </c>
      <c r="B495" s="7" t="s">
        <v>169</v>
      </c>
      <c r="C495" s="7" t="s">
        <v>1058</v>
      </c>
      <c r="D495" s="7" t="n">
        <v>1</v>
      </c>
      <c r="E495" s="7" t="n">
        <v>158.12</v>
      </c>
      <c r="F495" s="7" t="n">
        <v>0</v>
      </c>
      <c r="G495" s="7" t="n">
        <v>0</v>
      </c>
    </row>
    <row r="496" customFormat="false" ht="15" hidden="false" customHeight="false" outlineLevel="0" collapsed="false">
      <c r="A496" s="7" t="s">
        <v>40</v>
      </c>
      <c r="B496" s="7" t="s">
        <v>385</v>
      </c>
      <c r="C496" s="7" t="s">
        <v>1058</v>
      </c>
      <c r="D496" s="7" t="n">
        <v>2</v>
      </c>
      <c r="E496" s="7" t="n">
        <v>316.24</v>
      </c>
      <c r="F496" s="7" t="n">
        <v>0</v>
      </c>
      <c r="G496" s="7" t="n">
        <v>0</v>
      </c>
    </row>
    <row r="497" customFormat="false" ht="15" hidden="false" customHeight="false" outlineLevel="0" collapsed="false">
      <c r="A497" s="7" t="s">
        <v>40</v>
      </c>
      <c r="B497" s="7" t="s">
        <v>407</v>
      </c>
      <c r="C497" s="7" t="s">
        <v>1058</v>
      </c>
      <c r="D497" s="7" t="n">
        <v>1</v>
      </c>
      <c r="E497" s="7" t="n">
        <v>158.12</v>
      </c>
      <c r="F497" s="7" t="n">
        <v>0</v>
      </c>
      <c r="G497" s="7" t="n">
        <v>0</v>
      </c>
    </row>
    <row r="498" customFormat="false" ht="15" hidden="false" customHeight="false" outlineLevel="0" collapsed="false">
      <c r="A498" s="7" t="s">
        <v>40</v>
      </c>
      <c r="B498" s="7" t="s">
        <v>314</v>
      </c>
      <c r="C498" s="7" t="s">
        <v>1059</v>
      </c>
      <c r="D498" s="7" t="n">
        <v>1</v>
      </c>
      <c r="E498" s="7" t="n">
        <v>140</v>
      </c>
      <c r="F498" s="7" t="n">
        <v>3</v>
      </c>
      <c r="G498" s="7" t="n">
        <v>420</v>
      </c>
    </row>
    <row r="499" customFormat="false" ht="15" hidden="false" customHeight="false" outlineLevel="0" collapsed="false">
      <c r="A499" s="7" t="s">
        <v>40</v>
      </c>
      <c r="B499" s="7" t="s">
        <v>145</v>
      </c>
      <c r="C499" s="7" t="s">
        <v>1059</v>
      </c>
      <c r="D499" s="7" t="n">
        <v>1</v>
      </c>
      <c r="E499" s="7" t="n">
        <v>140</v>
      </c>
      <c r="F499" s="7" t="n">
        <v>2</v>
      </c>
      <c r="G499" s="7" t="n">
        <v>280</v>
      </c>
    </row>
    <row r="500" customFormat="false" ht="15" hidden="false" customHeight="false" outlineLevel="0" collapsed="false">
      <c r="A500" s="7" t="s">
        <v>40</v>
      </c>
      <c r="B500" s="7" t="s">
        <v>249</v>
      </c>
      <c r="C500" s="7" t="s">
        <v>1059</v>
      </c>
      <c r="D500" s="7" t="n">
        <v>0</v>
      </c>
      <c r="E500" s="7" t="n">
        <v>0</v>
      </c>
      <c r="F500" s="7" t="n">
        <v>2</v>
      </c>
      <c r="G500" s="7" t="n">
        <v>280</v>
      </c>
    </row>
    <row r="501" customFormat="false" ht="15" hidden="false" customHeight="false" outlineLevel="0" collapsed="false">
      <c r="A501" s="7" t="s">
        <v>40</v>
      </c>
      <c r="B501" s="7" t="s">
        <v>360</v>
      </c>
      <c r="C501" s="7" t="s">
        <v>1059</v>
      </c>
      <c r="D501" s="7" t="n">
        <v>0</v>
      </c>
      <c r="E501" s="7" t="n">
        <v>0</v>
      </c>
      <c r="F501" s="7" t="n">
        <v>1</v>
      </c>
      <c r="G501" s="7" t="n">
        <v>140</v>
      </c>
    </row>
    <row r="502" customFormat="false" ht="15" hidden="false" customHeight="false" outlineLevel="0" collapsed="false">
      <c r="A502" s="7" t="s">
        <v>40</v>
      </c>
      <c r="B502" s="7" t="s">
        <v>130</v>
      </c>
      <c r="C502" s="7" t="s">
        <v>1060</v>
      </c>
      <c r="D502" s="7" t="n">
        <v>1</v>
      </c>
      <c r="E502" s="7" t="n">
        <v>140</v>
      </c>
      <c r="F502" s="7" t="n">
        <v>1</v>
      </c>
      <c r="G502" s="7" t="n">
        <v>140</v>
      </c>
    </row>
    <row r="503" customFormat="false" ht="15" hidden="false" customHeight="false" outlineLevel="0" collapsed="false">
      <c r="A503" s="7" t="s">
        <v>40</v>
      </c>
      <c r="B503" s="7" t="s">
        <v>130</v>
      </c>
      <c r="C503" s="7" t="s">
        <v>1060</v>
      </c>
      <c r="D503" s="7" t="n">
        <v>1</v>
      </c>
      <c r="E503" s="7" t="n">
        <v>115.38</v>
      </c>
      <c r="F503" s="7" t="n">
        <v>0</v>
      </c>
      <c r="G503" s="7" t="n">
        <v>0</v>
      </c>
    </row>
    <row r="504" customFormat="false" ht="15" hidden="false" customHeight="false" outlineLevel="0" collapsed="false">
      <c r="A504" s="7" t="s">
        <v>40</v>
      </c>
      <c r="B504" s="7" t="s">
        <v>436</v>
      </c>
      <c r="C504" s="7" t="s">
        <v>1060</v>
      </c>
      <c r="D504" s="7" t="n">
        <v>0</v>
      </c>
      <c r="E504" s="7" t="n">
        <v>0</v>
      </c>
      <c r="F504" s="7" t="n">
        <v>1</v>
      </c>
      <c r="G504" s="7" t="n">
        <v>140</v>
      </c>
    </row>
    <row r="505" customFormat="false" ht="15" hidden="false" customHeight="false" outlineLevel="0" collapsed="false">
      <c r="A505" s="7" t="s">
        <v>40</v>
      </c>
      <c r="B505" s="7" t="s">
        <v>287</v>
      </c>
      <c r="C505" s="7" t="s">
        <v>1060</v>
      </c>
      <c r="D505" s="7" t="n">
        <v>0</v>
      </c>
      <c r="E505" s="7" t="n">
        <v>0</v>
      </c>
      <c r="F505" s="7" t="n">
        <v>2</v>
      </c>
      <c r="G505" s="7" t="n">
        <v>280</v>
      </c>
    </row>
    <row r="506" customFormat="false" ht="15" hidden="false" customHeight="false" outlineLevel="0" collapsed="false">
      <c r="A506" s="7" t="s">
        <v>40</v>
      </c>
      <c r="B506" s="7" t="s">
        <v>465</v>
      </c>
      <c r="C506" s="7" t="s">
        <v>1107</v>
      </c>
      <c r="D506" s="7" t="n">
        <v>3</v>
      </c>
      <c r="E506" s="7" t="n">
        <v>148.9</v>
      </c>
      <c r="F506" s="7" t="n">
        <v>4</v>
      </c>
      <c r="G506" s="7" t="n">
        <v>198.54</v>
      </c>
    </row>
    <row r="507" customFormat="false" ht="15" hidden="false" customHeight="false" outlineLevel="0" collapsed="false">
      <c r="A507" s="7" t="s">
        <v>40</v>
      </c>
      <c r="B507" s="7" t="s">
        <v>262</v>
      </c>
      <c r="C507" s="7" t="s">
        <v>1107</v>
      </c>
      <c r="D507" s="7" t="n">
        <v>3</v>
      </c>
      <c r="E507" s="7" t="n">
        <v>148.9</v>
      </c>
      <c r="F507" s="7" t="n">
        <v>3</v>
      </c>
      <c r="G507" s="7" t="n">
        <v>148.9</v>
      </c>
    </row>
    <row r="508" customFormat="false" ht="15" hidden="false" customHeight="false" outlineLevel="0" collapsed="false">
      <c r="A508" s="7" t="s">
        <v>40</v>
      </c>
      <c r="B508" s="7" t="s">
        <v>596</v>
      </c>
      <c r="C508" s="7" t="s">
        <v>1107</v>
      </c>
      <c r="D508" s="7" t="n">
        <v>3</v>
      </c>
      <c r="E508" s="7" t="n">
        <v>148.9</v>
      </c>
      <c r="F508" s="7" t="n">
        <v>0</v>
      </c>
      <c r="G508" s="7" t="n">
        <v>0</v>
      </c>
    </row>
    <row r="509" customFormat="false" ht="15" hidden="false" customHeight="false" outlineLevel="0" collapsed="false">
      <c r="A509" s="7" t="s">
        <v>40</v>
      </c>
      <c r="B509" s="7" t="s">
        <v>551</v>
      </c>
      <c r="C509" s="7" t="s">
        <v>1107</v>
      </c>
      <c r="D509" s="7" t="n">
        <v>3</v>
      </c>
      <c r="E509" s="7" t="n">
        <v>148.9</v>
      </c>
      <c r="F509" s="7" t="n">
        <v>3</v>
      </c>
      <c r="G509" s="7" t="n">
        <v>148.9</v>
      </c>
    </row>
    <row r="510" customFormat="false" ht="15" hidden="false" customHeight="false" outlineLevel="0" collapsed="false">
      <c r="A510" s="7" t="s">
        <v>40</v>
      </c>
      <c r="B510" s="7" t="s">
        <v>695</v>
      </c>
      <c r="C510" s="7" t="s">
        <v>1062</v>
      </c>
      <c r="D510" s="7" t="n">
        <v>2</v>
      </c>
      <c r="E510" s="7" t="n">
        <v>133.02</v>
      </c>
      <c r="F510" s="7" t="n">
        <v>6</v>
      </c>
      <c r="G510" s="7" t="n">
        <v>399.06</v>
      </c>
    </row>
    <row r="511" customFormat="false" ht="15" hidden="false" customHeight="false" outlineLevel="0" collapsed="false">
      <c r="A511" s="7" t="s">
        <v>40</v>
      </c>
      <c r="B511" s="7" t="s">
        <v>290</v>
      </c>
      <c r="C511" s="7" t="s">
        <v>1062</v>
      </c>
      <c r="D511" s="7" t="n">
        <v>2</v>
      </c>
      <c r="E511" s="7" t="n">
        <v>133.02</v>
      </c>
      <c r="F511" s="7" t="n">
        <v>3</v>
      </c>
      <c r="G511" s="7" t="n">
        <v>199.53</v>
      </c>
    </row>
    <row r="512" customFormat="false" ht="15" hidden="false" customHeight="false" outlineLevel="0" collapsed="false">
      <c r="A512" s="7" t="s">
        <v>40</v>
      </c>
      <c r="B512" s="7" t="s">
        <v>472</v>
      </c>
      <c r="C512" s="7" t="s">
        <v>1062</v>
      </c>
      <c r="D512" s="7" t="n">
        <v>2</v>
      </c>
      <c r="E512" s="7" t="n">
        <v>133.02</v>
      </c>
      <c r="F512" s="7" t="n">
        <v>1</v>
      </c>
      <c r="G512" s="7" t="n">
        <v>66.51</v>
      </c>
    </row>
    <row r="513" customFormat="false" ht="15" hidden="false" customHeight="false" outlineLevel="0" collapsed="false">
      <c r="A513" s="7" t="s">
        <v>40</v>
      </c>
      <c r="B513" s="7" t="s">
        <v>100</v>
      </c>
      <c r="C513" s="7" t="s">
        <v>1160</v>
      </c>
      <c r="D513" s="7" t="n">
        <v>5</v>
      </c>
      <c r="E513" s="7" t="n">
        <v>0.04</v>
      </c>
      <c r="F513" s="7" t="n">
        <v>0</v>
      </c>
      <c r="G513" s="7" t="n">
        <v>0</v>
      </c>
    </row>
    <row r="514" customFormat="false" ht="15" hidden="false" customHeight="false" outlineLevel="0" collapsed="false">
      <c r="A514" s="7" t="s">
        <v>40</v>
      </c>
      <c r="B514" s="7" t="s">
        <v>100</v>
      </c>
      <c r="C514" s="7" t="s">
        <v>1160</v>
      </c>
      <c r="D514" s="7" t="n">
        <v>7</v>
      </c>
      <c r="E514" s="7" t="n">
        <v>1554.94</v>
      </c>
      <c r="F514" s="7" t="n">
        <v>0</v>
      </c>
      <c r="G514" s="7" t="n">
        <v>0</v>
      </c>
    </row>
    <row r="515" customFormat="false" ht="15" hidden="false" customHeight="false" outlineLevel="0" collapsed="false">
      <c r="A515" s="7" t="s">
        <v>40</v>
      </c>
      <c r="B515" s="7" t="s">
        <v>223</v>
      </c>
      <c r="C515" s="7" t="s">
        <v>1065</v>
      </c>
      <c r="D515" s="7" t="n">
        <v>6</v>
      </c>
      <c r="E515" s="7" t="n">
        <v>959.99</v>
      </c>
      <c r="F515" s="7" t="n">
        <v>9</v>
      </c>
      <c r="G515" s="7" t="n">
        <v>1439.97</v>
      </c>
    </row>
    <row r="516" customFormat="false" ht="15" hidden="false" customHeight="false" outlineLevel="0" collapsed="false">
      <c r="A516" s="7" t="s">
        <v>40</v>
      </c>
      <c r="B516" s="7" t="s">
        <v>260</v>
      </c>
      <c r="C516" s="7" t="s">
        <v>1065</v>
      </c>
      <c r="D516" s="7" t="n">
        <v>6</v>
      </c>
      <c r="E516" s="7" t="n">
        <v>959.98</v>
      </c>
      <c r="F516" s="7" t="n">
        <v>9</v>
      </c>
      <c r="G516" s="7" t="n">
        <v>1439.96</v>
      </c>
    </row>
    <row r="517" customFormat="false" ht="15" hidden="false" customHeight="false" outlineLevel="0" collapsed="false">
      <c r="A517" s="7" t="s">
        <v>40</v>
      </c>
      <c r="B517" s="7" t="s">
        <v>291</v>
      </c>
      <c r="C517" s="7" t="s">
        <v>1065</v>
      </c>
      <c r="D517" s="7" t="n">
        <v>7</v>
      </c>
      <c r="E517" s="7" t="n">
        <v>1119.99</v>
      </c>
      <c r="F517" s="7" t="n">
        <v>8</v>
      </c>
      <c r="G517" s="7" t="n">
        <v>1279.97</v>
      </c>
    </row>
    <row r="518" customFormat="false" ht="15" hidden="false" customHeight="false" outlineLevel="0" collapsed="false">
      <c r="A518" s="7" t="s">
        <v>40</v>
      </c>
      <c r="B518" s="7" t="s">
        <v>347</v>
      </c>
      <c r="C518" s="7" t="s">
        <v>1065</v>
      </c>
      <c r="D518" s="7" t="n">
        <v>4</v>
      </c>
      <c r="E518" s="7" t="n">
        <v>639.99</v>
      </c>
      <c r="F518" s="7" t="n">
        <v>3</v>
      </c>
      <c r="G518" s="7" t="n">
        <v>479.99</v>
      </c>
    </row>
    <row r="519" customFormat="false" ht="15" hidden="false" customHeight="false" outlineLevel="0" collapsed="false">
      <c r="A519" s="7" t="s">
        <v>40</v>
      </c>
      <c r="B519" s="7" t="s">
        <v>383</v>
      </c>
      <c r="C519" s="7" t="s">
        <v>1065</v>
      </c>
      <c r="D519" s="7" t="n">
        <v>2</v>
      </c>
      <c r="E519" s="7" t="n">
        <v>320</v>
      </c>
      <c r="F519" s="7" t="n">
        <v>0</v>
      </c>
      <c r="G519" s="7" t="n">
        <v>0</v>
      </c>
    </row>
    <row r="520" customFormat="false" ht="15" hidden="false" customHeight="false" outlineLevel="0" collapsed="false">
      <c r="A520" s="7" t="s">
        <v>40</v>
      </c>
      <c r="B520" s="7" t="s">
        <v>321</v>
      </c>
      <c r="C520" s="7" t="s">
        <v>1068</v>
      </c>
      <c r="D520" s="7" t="n">
        <v>7</v>
      </c>
      <c r="E520" s="7" t="n">
        <v>984.02</v>
      </c>
      <c r="F520" s="7" t="n">
        <v>18</v>
      </c>
      <c r="G520" s="7" t="n">
        <v>2530.32</v>
      </c>
    </row>
    <row r="521" customFormat="false" ht="15" hidden="false" customHeight="false" outlineLevel="0" collapsed="false">
      <c r="A521" s="7" t="s">
        <v>40</v>
      </c>
      <c r="B521" s="7" t="s">
        <v>321</v>
      </c>
      <c r="C521" s="7" t="s">
        <v>1068</v>
      </c>
      <c r="D521" s="7" t="n">
        <v>2</v>
      </c>
      <c r="E521" s="7" t="n">
        <v>280.48</v>
      </c>
      <c r="F521" s="7" t="n">
        <v>0</v>
      </c>
      <c r="G521" s="7" t="n">
        <v>0</v>
      </c>
    </row>
    <row r="522" customFormat="false" ht="15" hidden="false" customHeight="false" outlineLevel="0" collapsed="false">
      <c r="A522" s="7" t="s">
        <v>40</v>
      </c>
      <c r="B522" s="7" t="s">
        <v>155</v>
      </c>
      <c r="C522" s="7" t="s">
        <v>1068</v>
      </c>
      <c r="D522" s="7" t="n">
        <v>7</v>
      </c>
      <c r="E522" s="7" t="n">
        <v>984.02</v>
      </c>
      <c r="F522" s="7" t="n">
        <v>13</v>
      </c>
      <c r="G522" s="7" t="n">
        <v>1827.45</v>
      </c>
    </row>
    <row r="523" customFormat="false" ht="15" hidden="false" customHeight="false" outlineLevel="0" collapsed="false">
      <c r="A523" s="7" t="s">
        <v>40</v>
      </c>
      <c r="B523" s="7" t="s">
        <v>595</v>
      </c>
      <c r="C523" s="7" t="s">
        <v>1118</v>
      </c>
      <c r="D523" s="7" t="n">
        <v>10</v>
      </c>
      <c r="E523" s="7" t="n">
        <v>489.97</v>
      </c>
      <c r="F523" s="7" t="n">
        <v>10</v>
      </c>
      <c r="G523" s="7" t="n">
        <v>489.97</v>
      </c>
    </row>
    <row r="524" customFormat="false" ht="15" hidden="false" customHeight="false" outlineLevel="0" collapsed="false">
      <c r="A524" s="7" t="s">
        <v>40</v>
      </c>
      <c r="B524" s="7" t="s">
        <v>595</v>
      </c>
      <c r="C524" s="7" t="s">
        <v>1118</v>
      </c>
      <c r="D524" s="7" t="n">
        <v>2</v>
      </c>
      <c r="E524" s="7" t="n">
        <v>98</v>
      </c>
      <c r="F524" s="7" t="n">
        <v>0</v>
      </c>
      <c r="G524" s="7" t="n">
        <v>0</v>
      </c>
    </row>
    <row r="525" customFormat="false" ht="15" hidden="false" customHeight="false" outlineLevel="0" collapsed="false">
      <c r="A525" s="7" t="s">
        <v>40</v>
      </c>
      <c r="B525" s="7" t="s">
        <v>693</v>
      </c>
      <c r="C525" s="7" t="s">
        <v>1118</v>
      </c>
      <c r="D525" s="7" t="n">
        <v>4</v>
      </c>
      <c r="E525" s="7" t="n">
        <v>195.99</v>
      </c>
      <c r="F525" s="7" t="n">
        <v>9</v>
      </c>
      <c r="G525" s="7" t="n">
        <v>440.98</v>
      </c>
    </row>
    <row r="526" customFormat="false" ht="15" hidden="false" customHeight="false" outlineLevel="0" collapsed="false">
      <c r="A526" s="7" t="s">
        <v>40</v>
      </c>
      <c r="B526" s="7" t="s">
        <v>693</v>
      </c>
      <c r="C526" s="7" t="s">
        <v>1118</v>
      </c>
      <c r="D526" s="7" t="n">
        <v>2</v>
      </c>
      <c r="E526" s="7" t="n">
        <v>98</v>
      </c>
      <c r="F526" s="7" t="n">
        <v>0</v>
      </c>
      <c r="G526" s="7" t="n">
        <v>0</v>
      </c>
    </row>
    <row r="527" customFormat="false" ht="15" hidden="false" customHeight="false" outlineLevel="0" collapsed="false">
      <c r="A527" s="7" t="s">
        <v>40</v>
      </c>
      <c r="B527" s="7" t="s">
        <v>692</v>
      </c>
      <c r="C527" s="7" t="s">
        <v>1118</v>
      </c>
      <c r="D527" s="7" t="n">
        <v>1</v>
      </c>
      <c r="E527" s="7" t="n">
        <v>49</v>
      </c>
      <c r="F527" s="7" t="n">
        <v>0</v>
      </c>
      <c r="G527" s="7" t="n">
        <v>0</v>
      </c>
    </row>
    <row r="528" customFormat="false" ht="15" hidden="false" customHeight="false" outlineLevel="0" collapsed="false">
      <c r="A528" s="7" t="s">
        <v>40</v>
      </c>
      <c r="B528" s="7" t="s">
        <v>692</v>
      </c>
      <c r="C528" s="7" t="s">
        <v>1118</v>
      </c>
      <c r="D528" s="7" t="n">
        <v>4</v>
      </c>
      <c r="E528" s="7" t="n">
        <v>196.01</v>
      </c>
      <c r="F528" s="7" t="n">
        <v>3</v>
      </c>
      <c r="G528" s="7" t="n">
        <v>146.99</v>
      </c>
    </row>
    <row r="529" customFormat="false" ht="15" hidden="false" customHeight="false" outlineLevel="0" collapsed="false">
      <c r="A529" s="7" t="s">
        <v>40</v>
      </c>
      <c r="B529" s="7" t="s">
        <v>533</v>
      </c>
      <c r="C529" s="7" t="s">
        <v>1118</v>
      </c>
      <c r="D529" s="7" t="n">
        <v>5</v>
      </c>
      <c r="E529" s="7" t="n">
        <v>244.99</v>
      </c>
      <c r="F529" s="7" t="n">
        <v>8</v>
      </c>
      <c r="G529" s="7" t="n">
        <v>391.98</v>
      </c>
    </row>
    <row r="530" customFormat="false" ht="15" hidden="false" customHeight="false" outlineLevel="0" collapsed="false">
      <c r="A530" s="7" t="s">
        <v>40</v>
      </c>
      <c r="B530" s="7" t="s">
        <v>533</v>
      </c>
      <c r="C530" s="7" t="s">
        <v>1118</v>
      </c>
      <c r="D530" s="7" t="n">
        <v>1</v>
      </c>
      <c r="E530" s="7" t="n">
        <v>49</v>
      </c>
      <c r="F530" s="7" t="n">
        <v>0</v>
      </c>
      <c r="G530" s="7" t="n">
        <v>0</v>
      </c>
    </row>
    <row r="531" customFormat="false" ht="15" hidden="false" customHeight="false" outlineLevel="0" collapsed="false">
      <c r="A531" s="7" t="s">
        <v>40</v>
      </c>
      <c r="B531" s="7" t="s">
        <v>179</v>
      </c>
      <c r="C531" s="7" t="s">
        <v>1120</v>
      </c>
      <c r="D531" s="7" t="n">
        <v>4</v>
      </c>
      <c r="E531" s="7" t="n">
        <v>207.93</v>
      </c>
      <c r="F531" s="7" t="n">
        <v>5</v>
      </c>
      <c r="G531" s="7" t="n">
        <v>259.91</v>
      </c>
    </row>
    <row r="532" customFormat="false" ht="15" hidden="false" customHeight="false" outlineLevel="0" collapsed="false">
      <c r="A532" s="7" t="s">
        <v>40</v>
      </c>
      <c r="B532" s="7" t="s">
        <v>940</v>
      </c>
      <c r="C532" s="7" t="s">
        <v>1161</v>
      </c>
      <c r="D532" s="7" t="n">
        <v>3</v>
      </c>
      <c r="E532" s="7" t="n">
        <v>241.72</v>
      </c>
      <c r="F532" s="7" t="n">
        <v>0</v>
      </c>
      <c r="G532" s="7" t="n">
        <v>0</v>
      </c>
    </row>
    <row r="533" customFormat="false" ht="15" hidden="false" customHeight="false" outlineLevel="0" collapsed="false">
      <c r="A533" s="7" t="s">
        <v>40</v>
      </c>
      <c r="B533" s="7" t="s">
        <v>154</v>
      </c>
      <c r="C533" s="7" t="s">
        <v>1162</v>
      </c>
      <c r="D533" s="7" t="n">
        <v>0</v>
      </c>
      <c r="E533" s="7" t="n">
        <v>0</v>
      </c>
      <c r="F533" s="7" t="n">
        <v>14</v>
      </c>
      <c r="G533" s="7" t="n">
        <v>910.04</v>
      </c>
    </row>
    <row r="534" customFormat="false" ht="15" hidden="false" customHeight="false" outlineLevel="0" collapsed="false">
      <c r="A534" s="7" t="s">
        <v>40</v>
      </c>
      <c r="B534" s="7" t="s">
        <v>790</v>
      </c>
      <c r="C534" s="7" t="s">
        <v>1163</v>
      </c>
      <c r="D534" s="7" t="n">
        <v>1</v>
      </c>
      <c r="E534" s="7" t="n">
        <v>76.92</v>
      </c>
      <c r="F534" s="7" t="n">
        <v>0</v>
      </c>
      <c r="G534" s="7" t="n">
        <v>0</v>
      </c>
    </row>
    <row r="535" customFormat="false" ht="15" hidden="false" customHeight="false" outlineLevel="0" collapsed="false">
      <c r="A535" s="7" t="s">
        <v>40</v>
      </c>
      <c r="B535" s="7" t="s">
        <v>790</v>
      </c>
      <c r="C535" s="7" t="s">
        <v>1163</v>
      </c>
      <c r="D535" s="7" t="n">
        <v>3</v>
      </c>
      <c r="E535" s="7" t="n">
        <v>270</v>
      </c>
      <c r="F535" s="7" t="n">
        <v>2</v>
      </c>
      <c r="G535" s="7" t="n">
        <v>180</v>
      </c>
    </row>
    <row r="536" customFormat="false" ht="15" hidden="false" customHeight="false" outlineLevel="0" collapsed="false">
      <c r="A536" s="7" t="s">
        <v>40</v>
      </c>
      <c r="B536" s="7" t="s">
        <v>790</v>
      </c>
      <c r="C536" s="7" t="s">
        <v>1163</v>
      </c>
      <c r="D536" s="7" t="n">
        <v>2</v>
      </c>
      <c r="E536" s="7" t="n">
        <v>178</v>
      </c>
      <c r="F536" s="7" t="n">
        <v>0</v>
      </c>
      <c r="G536" s="7" t="n">
        <v>0</v>
      </c>
    </row>
    <row r="537" customFormat="false" ht="15" hidden="false" customHeight="false" outlineLevel="0" collapsed="false">
      <c r="A537" s="7" t="s">
        <v>40</v>
      </c>
      <c r="B537" s="7" t="s">
        <v>542</v>
      </c>
      <c r="C537" s="7" t="s">
        <v>1163</v>
      </c>
      <c r="D537" s="7" t="n">
        <v>1</v>
      </c>
      <c r="E537" s="7" t="n">
        <v>90</v>
      </c>
      <c r="F537" s="7" t="n">
        <v>1</v>
      </c>
      <c r="G537" s="7" t="n">
        <v>90</v>
      </c>
    </row>
    <row r="538" customFormat="false" ht="15" hidden="false" customHeight="false" outlineLevel="0" collapsed="false">
      <c r="A538" s="7" t="s">
        <v>40</v>
      </c>
      <c r="B538" s="7" t="s">
        <v>542</v>
      </c>
      <c r="C538" s="7" t="s">
        <v>1163</v>
      </c>
      <c r="D538" s="7" t="n">
        <v>1</v>
      </c>
      <c r="E538" s="7" t="n">
        <v>89</v>
      </c>
      <c r="F538" s="7" t="n">
        <v>0</v>
      </c>
      <c r="G538" s="7" t="n">
        <v>0</v>
      </c>
    </row>
    <row r="539" customFormat="false" ht="15" hidden="false" customHeight="false" outlineLevel="0" collapsed="false">
      <c r="A539" s="7" t="s">
        <v>40</v>
      </c>
      <c r="B539" s="7" t="s">
        <v>542</v>
      </c>
      <c r="C539" s="7" t="s">
        <v>1163</v>
      </c>
      <c r="D539" s="7" t="n">
        <v>1</v>
      </c>
      <c r="E539" s="7" t="n">
        <v>76.92</v>
      </c>
      <c r="F539" s="7" t="n">
        <v>0</v>
      </c>
      <c r="G539" s="7" t="n">
        <v>0</v>
      </c>
    </row>
    <row r="540" customFormat="false" ht="15" hidden="false" customHeight="false" outlineLevel="0" collapsed="false">
      <c r="A540" s="7" t="s">
        <v>40</v>
      </c>
      <c r="B540" s="7" t="s">
        <v>670</v>
      </c>
      <c r="C540" s="7" t="s">
        <v>1163</v>
      </c>
      <c r="D540" s="7" t="n">
        <v>2</v>
      </c>
      <c r="E540" s="7" t="n">
        <v>178</v>
      </c>
      <c r="F540" s="7" t="n">
        <v>0</v>
      </c>
      <c r="G540" s="7" t="n">
        <v>0</v>
      </c>
    </row>
    <row r="541" customFormat="false" ht="15" hidden="false" customHeight="false" outlineLevel="0" collapsed="false">
      <c r="A541" s="7" t="s">
        <v>40</v>
      </c>
      <c r="B541" s="7" t="s">
        <v>585</v>
      </c>
      <c r="C541" s="7" t="s">
        <v>1163</v>
      </c>
      <c r="D541" s="7" t="n">
        <v>3</v>
      </c>
      <c r="E541" s="7" t="n">
        <v>270</v>
      </c>
      <c r="F541" s="7" t="n">
        <v>6</v>
      </c>
      <c r="G541" s="7" t="n">
        <v>540</v>
      </c>
    </row>
    <row r="542" customFormat="false" ht="15" hidden="false" customHeight="false" outlineLevel="0" collapsed="false">
      <c r="A542" s="7" t="s">
        <v>40</v>
      </c>
      <c r="B542" s="7" t="s">
        <v>585</v>
      </c>
      <c r="C542" s="7" t="s">
        <v>1163</v>
      </c>
      <c r="D542" s="7" t="n">
        <v>2</v>
      </c>
      <c r="E542" s="7" t="n">
        <v>178</v>
      </c>
      <c r="F542" s="7" t="n">
        <v>0</v>
      </c>
      <c r="G542" s="7" t="n">
        <v>0</v>
      </c>
    </row>
    <row r="543" customFormat="false" ht="15" hidden="false" customHeight="false" outlineLevel="0" collapsed="false">
      <c r="A543" s="7" t="s">
        <v>40</v>
      </c>
      <c r="B543" s="7" t="s">
        <v>330</v>
      </c>
      <c r="C543" s="7" t="s">
        <v>1163</v>
      </c>
      <c r="D543" s="7" t="n">
        <v>2</v>
      </c>
      <c r="E543" s="7" t="n">
        <v>178</v>
      </c>
      <c r="F543" s="7" t="n">
        <v>0</v>
      </c>
      <c r="G543" s="7" t="n">
        <v>0</v>
      </c>
    </row>
    <row r="544" customFormat="false" ht="15" hidden="false" customHeight="false" outlineLevel="0" collapsed="false">
      <c r="A544" s="7" t="s">
        <v>40</v>
      </c>
      <c r="B544" s="7" t="s">
        <v>801</v>
      </c>
      <c r="C544" s="7" t="s">
        <v>1069</v>
      </c>
      <c r="D544" s="7" t="n">
        <v>3</v>
      </c>
      <c r="E544" s="7" t="n">
        <v>92.68</v>
      </c>
      <c r="F544" s="7" t="n">
        <v>8</v>
      </c>
      <c r="G544" s="7" t="n">
        <v>247.13</v>
      </c>
    </row>
    <row r="545" customFormat="false" ht="15" hidden="false" customHeight="false" outlineLevel="0" collapsed="false">
      <c r="A545" s="7" t="s">
        <v>40</v>
      </c>
      <c r="B545" s="7" t="s">
        <v>714</v>
      </c>
      <c r="C545" s="7" t="s">
        <v>1069</v>
      </c>
      <c r="D545" s="7" t="n">
        <v>4</v>
      </c>
      <c r="E545" s="7" t="n">
        <v>123.57</v>
      </c>
      <c r="F545" s="7" t="n">
        <v>7</v>
      </c>
      <c r="G545" s="7" t="n">
        <v>216.24</v>
      </c>
    </row>
    <row r="546" customFormat="false" ht="15" hidden="false" customHeight="false" outlineLevel="0" collapsed="false">
      <c r="A546" s="7" t="s">
        <v>40</v>
      </c>
      <c r="B546" s="7" t="s">
        <v>799</v>
      </c>
      <c r="C546" s="7" t="s">
        <v>1069</v>
      </c>
      <c r="D546" s="7" t="n">
        <v>3</v>
      </c>
      <c r="E546" s="7" t="n">
        <v>92.68</v>
      </c>
      <c r="F546" s="7" t="n">
        <v>5</v>
      </c>
      <c r="G546" s="7" t="n">
        <v>154.46</v>
      </c>
    </row>
    <row r="547" customFormat="false" ht="15" hidden="false" customHeight="false" outlineLevel="0" collapsed="false">
      <c r="A547" s="7" t="s">
        <v>40</v>
      </c>
      <c r="B547" s="7" t="s">
        <v>775</v>
      </c>
      <c r="C547" s="7" t="s">
        <v>1069</v>
      </c>
      <c r="D547" s="7" t="n">
        <v>5</v>
      </c>
      <c r="E547" s="7" t="n">
        <v>154.47</v>
      </c>
      <c r="F547" s="7" t="n">
        <v>5</v>
      </c>
      <c r="G547" s="7" t="n">
        <v>154.46</v>
      </c>
    </row>
    <row r="548" customFormat="false" ht="15" hidden="false" customHeight="false" outlineLevel="0" collapsed="false">
      <c r="A548" s="7" t="s">
        <v>40</v>
      </c>
      <c r="B548" s="7" t="s">
        <v>749</v>
      </c>
      <c r="C548" s="7" t="s">
        <v>1069</v>
      </c>
      <c r="D548" s="7" t="n">
        <v>1</v>
      </c>
      <c r="E548" s="7" t="n">
        <v>30.89</v>
      </c>
      <c r="F548" s="7" t="n">
        <v>0</v>
      </c>
      <c r="G548" s="7" t="n">
        <v>0</v>
      </c>
    </row>
    <row r="549" customFormat="false" ht="15" hidden="false" customHeight="false" outlineLevel="0" collapsed="false">
      <c r="A549" s="7" t="s">
        <v>40</v>
      </c>
      <c r="B549" s="7" t="s">
        <v>727</v>
      </c>
      <c r="C549" s="7" t="s">
        <v>1069</v>
      </c>
      <c r="D549" s="7" t="n">
        <v>1</v>
      </c>
      <c r="E549" s="7" t="n">
        <v>30.89</v>
      </c>
      <c r="F549" s="7" t="n">
        <v>0</v>
      </c>
      <c r="G549" s="7" t="n">
        <v>0</v>
      </c>
    </row>
    <row r="550" customFormat="false" ht="15" hidden="false" customHeight="false" outlineLevel="0" collapsed="false">
      <c r="A550" s="7" t="s">
        <v>40</v>
      </c>
      <c r="B550" s="7" t="s">
        <v>473</v>
      </c>
      <c r="C550" s="7" t="s">
        <v>1164</v>
      </c>
      <c r="D550" s="7" t="n">
        <v>0</v>
      </c>
      <c r="E550" s="7" t="n">
        <v>0</v>
      </c>
      <c r="F550" s="7" t="n">
        <v>2</v>
      </c>
      <c r="G550" s="7" t="n">
        <v>61.78</v>
      </c>
    </row>
    <row r="551" customFormat="false" ht="15" hidden="false" customHeight="false" outlineLevel="0" collapsed="false">
      <c r="A551" s="7" t="s">
        <v>40</v>
      </c>
      <c r="B551" s="7" t="s">
        <v>684</v>
      </c>
      <c r="C551" s="7" t="s">
        <v>1164</v>
      </c>
      <c r="D551" s="7" t="n">
        <v>0</v>
      </c>
      <c r="E551" s="7" t="n">
        <v>0</v>
      </c>
      <c r="F551" s="7" t="n">
        <v>3</v>
      </c>
      <c r="G551" s="7" t="n">
        <v>92.68</v>
      </c>
    </row>
    <row r="552" customFormat="false" ht="15" hidden="false" customHeight="false" outlineLevel="0" collapsed="false">
      <c r="A552" s="7" t="s">
        <v>40</v>
      </c>
      <c r="B552" s="7" t="s">
        <v>253</v>
      </c>
      <c r="C552" s="7" t="s">
        <v>1142</v>
      </c>
      <c r="D552" s="7" t="n">
        <v>0</v>
      </c>
      <c r="E552" s="7" t="n">
        <v>0</v>
      </c>
      <c r="F552" s="7" t="n">
        <v>2</v>
      </c>
      <c r="G552" s="7" t="n">
        <v>84.27</v>
      </c>
    </row>
    <row r="553" customFormat="false" ht="15" hidden="false" customHeight="false" outlineLevel="0" collapsed="false">
      <c r="A553" s="7" t="s">
        <v>40</v>
      </c>
      <c r="B553" s="7" t="s">
        <v>101</v>
      </c>
      <c r="C553" s="7" t="s">
        <v>1121</v>
      </c>
      <c r="D553" s="7" t="n">
        <v>0</v>
      </c>
      <c r="E553" s="7" t="n">
        <v>0</v>
      </c>
      <c r="F553" s="7" t="n">
        <v>3</v>
      </c>
      <c r="G553" s="7" t="n">
        <v>238.95</v>
      </c>
    </row>
    <row r="554" customFormat="false" ht="15" hidden="false" customHeight="false" outlineLevel="0" collapsed="false">
      <c r="A554" s="7" t="s">
        <v>40</v>
      </c>
      <c r="B554" s="7" t="s">
        <v>245</v>
      </c>
      <c r="C554" s="7" t="s">
        <v>1161</v>
      </c>
      <c r="D554" s="7" t="n">
        <v>0</v>
      </c>
      <c r="E554" s="7" t="n">
        <v>0</v>
      </c>
      <c r="F554" s="7" t="n">
        <v>2</v>
      </c>
      <c r="G554" s="7" t="n">
        <v>79.59</v>
      </c>
    </row>
    <row r="555" customFormat="false" ht="15" hidden="false" customHeight="false" outlineLevel="0" collapsed="false">
      <c r="A555" s="7" t="s">
        <v>40</v>
      </c>
      <c r="B555" s="7" t="s">
        <v>237</v>
      </c>
      <c r="C555" s="7" t="s">
        <v>1069</v>
      </c>
      <c r="D555" s="7" t="n">
        <v>0</v>
      </c>
      <c r="E555" s="7" t="n">
        <v>0</v>
      </c>
      <c r="F555" s="7" t="n">
        <v>2</v>
      </c>
      <c r="G555" s="7" t="n">
        <v>84.27</v>
      </c>
    </row>
    <row r="556" customFormat="false" ht="15" hidden="false" customHeight="false" outlineLevel="0" collapsed="false">
      <c r="A556" s="7" t="s">
        <v>40</v>
      </c>
      <c r="B556" s="7" t="s">
        <v>186</v>
      </c>
      <c r="C556" s="7" t="s">
        <v>1123</v>
      </c>
      <c r="D556" s="7" t="n">
        <v>1</v>
      </c>
      <c r="E556" s="7" t="n">
        <v>260</v>
      </c>
      <c r="F556" s="7" t="n">
        <v>0</v>
      </c>
      <c r="G556" s="7" t="n">
        <v>0</v>
      </c>
    </row>
    <row r="557" customFormat="false" ht="15" hidden="false" customHeight="false" outlineLevel="0" collapsed="false">
      <c r="A557" s="7" t="s">
        <v>40</v>
      </c>
      <c r="B557" s="7" t="s">
        <v>201</v>
      </c>
      <c r="C557" s="7" t="s">
        <v>1130</v>
      </c>
      <c r="D557" s="7" t="n">
        <v>2</v>
      </c>
      <c r="E557" s="7" t="n">
        <v>240</v>
      </c>
      <c r="F557" s="7" t="n">
        <v>2</v>
      </c>
      <c r="G557" s="7" t="n">
        <v>240</v>
      </c>
    </row>
    <row r="558" customFormat="false" ht="15" hidden="false" customHeight="false" outlineLevel="0" collapsed="false">
      <c r="A558" s="7" t="s">
        <v>40</v>
      </c>
      <c r="B558" s="7" t="s">
        <v>132</v>
      </c>
      <c r="C558" s="7" t="s">
        <v>1130</v>
      </c>
      <c r="D558" s="7" t="n">
        <v>3</v>
      </c>
      <c r="E558" s="7" t="n">
        <v>360</v>
      </c>
      <c r="F558" s="7" t="n">
        <v>4</v>
      </c>
      <c r="G558" s="7" t="n">
        <v>480</v>
      </c>
    </row>
    <row r="559" customFormat="false" ht="15" hidden="false" customHeight="false" outlineLevel="0" collapsed="false">
      <c r="A559" s="7" t="s">
        <v>40</v>
      </c>
      <c r="B559" s="7" t="s">
        <v>122</v>
      </c>
      <c r="C559" s="7" t="s">
        <v>1130</v>
      </c>
      <c r="D559" s="7" t="n">
        <v>0</v>
      </c>
      <c r="E559" s="7" t="n">
        <v>0</v>
      </c>
      <c r="F559" s="7" t="n">
        <v>1</v>
      </c>
      <c r="G559" s="7" t="n">
        <v>0.01</v>
      </c>
    </row>
    <row r="560" customFormat="false" ht="15" hidden="false" customHeight="false" outlineLevel="0" collapsed="false">
      <c r="A560" s="7" t="s">
        <v>40</v>
      </c>
      <c r="B560" s="7" t="s">
        <v>122</v>
      </c>
      <c r="C560" s="7" t="s">
        <v>1130</v>
      </c>
      <c r="D560" s="7" t="n">
        <v>6</v>
      </c>
      <c r="E560" s="7" t="n">
        <v>720</v>
      </c>
      <c r="F560" s="7" t="n">
        <v>10</v>
      </c>
      <c r="G560" s="7" t="n">
        <v>1200</v>
      </c>
    </row>
    <row r="561" customFormat="false" ht="15" hidden="false" customHeight="false" outlineLevel="0" collapsed="false">
      <c r="A561" s="7" t="s">
        <v>40</v>
      </c>
      <c r="B561" s="7" t="s">
        <v>128</v>
      </c>
      <c r="C561" s="7" t="s">
        <v>1130</v>
      </c>
      <c r="D561" s="7" t="n">
        <v>6</v>
      </c>
      <c r="E561" s="7" t="n">
        <v>720</v>
      </c>
      <c r="F561" s="7" t="n">
        <v>12</v>
      </c>
      <c r="G561" s="7" t="n">
        <v>1440</v>
      </c>
    </row>
    <row r="562" customFormat="false" ht="15" hidden="false" customHeight="false" outlineLevel="0" collapsed="false">
      <c r="A562" s="7" t="s">
        <v>40</v>
      </c>
      <c r="B562" s="7" t="s">
        <v>128</v>
      </c>
      <c r="C562" s="7" t="s">
        <v>1130</v>
      </c>
      <c r="D562" s="7" t="n">
        <v>0</v>
      </c>
      <c r="E562" s="7" t="n">
        <v>0</v>
      </c>
      <c r="F562" s="7" t="n">
        <v>3</v>
      </c>
      <c r="G562" s="7" t="n">
        <v>0.02</v>
      </c>
    </row>
    <row r="563" customFormat="false" ht="15" hidden="false" customHeight="false" outlineLevel="0" collapsed="false">
      <c r="A563" s="7" t="s">
        <v>40</v>
      </c>
      <c r="B563" s="7" t="s">
        <v>152</v>
      </c>
      <c r="C563" s="7" t="s">
        <v>1130</v>
      </c>
      <c r="D563" s="7" t="n">
        <v>6</v>
      </c>
      <c r="E563" s="7" t="n">
        <v>720</v>
      </c>
      <c r="F563" s="7" t="n">
        <v>16</v>
      </c>
      <c r="G563" s="7" t="n">
        <v>1920</v>
      </c>
    </row>
    <row r="564" customFormat="false" ht="15" hidden="false" customHeight="false" outlineLevel="0" collapsed="false">
      <c r="A564" s="7" t="s">
        <v>40</v>
      </c>
      <c r="B564" s="7" t="s">
        <v>252</v>
      </c>
      <c r="C564" s="7" t="s">
        <v>1130</v>
      </c>
      <c r="D564" s="7" t="n">
        <v>2</v>
      </c>
      <c r="E564" s="7" t="n">
        <v>0.01</v>
      </c>
      <c r="F564" s="7" t="n">
        <v>0</v>
      </c>
      <c r="G564" s="7" t="n">
        <v>0</v>
      </c>
    </row>
    <row r="565" customFormat="false" ht="15" hidden="false" customHeight="false" outlineLevel="0" collapsed="false">
      <c r="A565" s="7" t="s">
        <v>40</v>
      </c>
      <c r="B565" s="7" t="s">
        <v>252</v>
      </c>
      <c r="C565" s="7" t="s">
        <v>1130</v>
      </c>
      <c r="D565" s="7" t="n">
        <v>3</v>
      </c>
      <c r="E565" s="7" t="n">
        <v>360</v>
      </c>
      <c r="F565" s="7" t="n">
        <v>11</v>
      </c>
      <c r="G565" s="7" t="n">
        <v>1320</v>
      </c>
    </row>
    <row r="566" customFormat="false" ht="15" hidden="false" customHeight="false" outlineLevel="0" collapsed="false">
      <c r="A566" s="7" t="s">
        <v>40</v>
      </c>
      <c r="B566" s="7" t="s">
        <v>554</v>
      </c>
      <c r="C566" s="7" t="s">
        <v>1131</v>
      </c>
      <c r="D566" s="7" t="n">
        <v>0</v>
      </c>
      <c r="E566" s="7" t="n">
        <v>0</v>
      </c>
      <c r="F566" s="7" t="n">
        <v>2</v>
      </c>
      <c r="G566" s="7" t="n">
        <v>93.64</v>
      </c>
    </row>
    <row r="567" customFormat="false" ht="15" hidden="false" customHeight="false" outlineLevel="0" collapsed="false">
      <c r="A567" s="7" t="s">
        <v>40</v>
      </c>
      <c r="B567" s="7" t="s">
        <v>671</v>
      </c>
      <c r="C567" s="7" t="s">
        <v>1165</v>
      </c>
      <c r="D567" s="7" t="n">
        <v>0</v>
      </c>
      <c r="E567" s="7" t="n">
        <v>0</v>
      </c>
      <c r="F567" s="7" t="n">
        <v>1</v>
      </c>
      <c r="G567" s="7" t="n">
        <v>70.26</v>
      </c>
    </row>
    <row r="568" customFormat="false" ht="15" hidden="false" customHeight="false" outlineLevel="0" collapsed="false">
      <c r="A568" s="7" t="s">
        <v>40</v>
      </c>
      <c r="B568" s="7" t="s">
        <v>324</v>
      </c>
      <c r="C568" s="7" t="s">
        <v>1165</v>
      </c>
      <c r="D568" s="7" t="n">
        <v>2</v>
      </c>
      <c r="E568" s="7" t="n">
        <v>140.52</v>
      </c>
      <c r="F568" s="7" t="n">
        <v>3</v>
      </c>
      <c r="G568" s="7" t="n">
        <v>210.78</v>
      </c>
    </row>
    <row r="569" customFormat="false" ht="15" hidden="false" customHeight="false" outlineLevel="0" collapsed="false">
      <c r="A569" s="7" t="s">
        <v>40</v>
      </c>
      <c r="B569" s="7" t="s">
        <v>527</v>
      </c>
      <c r="C569" s="7" t="s">
        <v>1165</v>
      </c>
      <c r="D569" s="7" t="n">
        <v>2</v>
      </c>
      <c r="E569" s="7" t="n">
        <v>140.52</v>
      </c>
      <c r="F569" s="7" t="n">
        <v>4</v>
      </c>
      <c r="G569" s="7" t="n">
        <v>281.04</v>
      </c>
    </row>
    <row r="570" customFormat="false" ht="15" hidden="false" customHeight="false" outlineLevel="0" collapsed="false">
      <c r="A570" s="7" t="s">
        <v>40</v>
      </c>
      <c r="B570" s="7" t="s">
        <v>164</v>
      </c>
      <c r="C570" s="7" t="s">
        <v>1133</v>
      </c>
      <c r="D570" s="7" t="n">
        <v>4</v>
      </c>
      <c r="E570" s="7" t="n">
        <v>459.99</v>
      </c>
      <c r="F570" s="7" t="n">
        <v>2</v>
      </c>
      <c r="G570" s="7" t="n">
        <v>229.99</v>
      </c>
    </row>
    <row r="571" customFormat="false" ht="15" hidden="false" customHeight="false" outlineLevel="0" collapsed="false">
      <c r="A571" s="7" t="s">
        <v>40</v>
      </c>
      <c r="B571" s="7" t="s">
        <v>205</v>
      </c>
      <c r="C571" s="7" t="s">
        <v>1133</v>
      </c>
      <c r="D571" s="7" t="n">
        <v>2</v>
      </c>
      <c r="E571" s="7" t="n">
        <v>230</v>
      </c>
      <c r="F571" s="7" t="n">
        <v>1</v>
      </c>
      <c r="G571" s="7" t="n">
        <v>115</v>
      </c>
    </row>
    <row r="572" customFormat="false" ht="15" hidden="false" customHeight="false" outlineLevel="0" collapsed="false">
      <c r="A572" s="7" t="s">
        <v>40</v>
      </c>
      <c r="B572" s="7" t="s">
        <v>333</v>
      </c>
      <c r="C572" s="7" t="s">
        <v>1133</v>
      </c>
      <c r="D572" s="7" t="n">
        <v>0</v>
      </c>
      <c r="E572" s="7" t="n">
        <v>0</v>
      </c>
      <c r="F572" s="7" t="n">
        <v>1</v>
      </c>
      <c r="G572" s="7" t="n">
        <v>115</v>
      </c>
    </row>
    <row r="573" customFormat="false" ht="15" hidden="false" customHeight="false" outlineLevel="0" collapsed="false">
      <c r="A573" s="7" t="s">
        <v>40</v>
      </c>
      <c r="B573" s="7" t="s">
        <v>705</v>
      </c>
      <c r="C573" s="7" t="s">
        <v>1133</v>
      </c>
      <c r="D573" s="7" t="n">
        <v>4</v>
      </c>
      <c r="E573" s="7" t="n">
        <v>459.99</v>
      </c>
      <c r="F573" s="7" t="n">
        <v>1</v>
      </c>
      <c r="G573" s="7" t="n">
        <v>115</v>
      </c>
    </row>
    <row r="574" customFormat="false" ht="15" hidden="false" customHeight="false" outlineLevel="0" collapsed="false">
      <c r="A574" s="7" t="s">
        <v>40</v>
      </c>
      <c r="B574" s="7" t="s">
        <v>467</v>
      </c>
      <c r="C574" s="7" t="s">
        <v>1133</v>
      </c>
      <c r="D574" s="7" t="n">
        <v>2</v>
      </c>
      <c r="E574" s="7" t="n">
        <v>229.99</v>
      </c>
      <c r="F574" s="7" t="n">
        <v>0</v>
      </c>
      <c r="G574" s="7" t="n">
        <v>0</v>
      </c>
    </row>
    <row r="575" customFormat="false" ht="15" hidden="false" customHeight="false" outlineLevel="0" collapsed="false">
      <c r="A575" s="7" t="s">
        <v>40</v>
      </c>
      <c r="B575" s="7" t="s">
        <v>264</v>
      </c>
      <c r="C575" s="7" t="s">
        <v>1134</v>
      </c>
      <c r="D575" s="7" t="n">
        <v>1</v>
      </c>
      <c r="E575" s="7" t="n">
        <v>107.76</v>
      </c>
      <c r="F575" s="7" t="n">
        <v>0</v>
      </c>
      <c r="G575" s="7" t="n">
        <v>0</v>
      </c>
    </row>
    <row r="576" customFormat="false" ht="15" hidden="false" customHeight="false" outlineLevel="0" collapsed="false">
      <c r="A576" s="7" t="s">
        <v>40</v>
      </c>
      <c r="B576" s="7" t="s">
        <v>388</v>
      </c>
      <c r="C576" s="7" t="s">
        <v>1134</v>
      </c>
      <c r="D576" s="7" t="n">
        <v>1</v>
      </c>
      <c r="E576" s="7" t="n">
        <v>107.76</v>
      </c>
      <c r="F576" s="7" t="n">
        <v>2</v>
      </c>
      <c r="G576" s="7" t="n">
        <v>215.52</v>
      </c>
    </row>
    <row r="577" customFormat="false" ht="15" hidden="false" customHeight="false" outlineLevel="0" collapsed="false">
      <c r="A577" s="7" t="s">
        <v>40</v>
      </c>
      <c r="B577" s="7" t="s">
        <v>607</v>
      </c>
      <c r="C577" s="7" t="s">
        <v>1134</v>
      </c>
      <c r="D577" s="7" t="n">
        <v>0</v>
      </c>
      <c r="E577" s="7" t="n">
        <v>0</v>
      </c>
      <c r="F577" s="7" t="n">
        <v>1</v>
      </c>
      <c r="G577" s="7" t="n">
        <v>107.76</v>
      </c>
    </row>
    <row r="578" customFormat="false" ht="15" hidden="false" customHeight="false" outlineLevel="0" collapsed="false">
      <c r="A578" s="7" t="s">
        <v>40</v>
      </c>
      <c r="B578" s="7" t="s">
        <v>770</v>
      </c>
      <c r="C578" s="7" t="s">
        <v>1134</v>
      </c>
      <c r="D578" s="7" t="n">
        <v>1</v>
      </c>
      <c r="E578" s="7" t="n">
        <v>107.76</v>
      </c>
      <c r="F578" s="7" t="n">
        <v>0</v>
      </c>
      <c r="G578" s="7" t="n">
        <v>0</v>
      </c>
    </row>
    <row r="579" customFormat="false" ht="15" hidden="false" customHeight="false" outlineLevel="0" collapsed="false">
      <c r="A579" s="7" t="s">
        <v>40</v>
      </c>
      <c r="B579" s="7" t="s">
        <v>506</v>
      </c>
      <c r="C579" s="7" t="s">
        <v>1078</v>
      </c>
      <c r="D579" s="7" t="n">
        <v>2</v>
      </c>
      <c r="E579" s="7" t="n">
        <v>189.27</v>
      </c>
      <c r="F579" s="7" t="n">
        <v>0</v>
      </c>
      <c r="G579" s="7" t="n">
        <v>0</v>
      </c>
    </row>
    <row r="580" customFormat="false" ht="15" hidden="false" customHeight="false" outlineLevel="0" collapsed="false">
      <c r="A580" s="7" t="s">
        <v>40</v>
      </c>
      <c r="B580" s="7" t="s">
        <v>345</v>
      </c>
      <c r="C580" s="7" t="s">
        <v>1078</v>
      </c>
      <c r="D580" s="7" t="n">
        <v>2</v>
      </c>
      <c r="E580" s="7" t="n">
        <v>189.27</v>
      </c>
      <c r="F580" s="7" t="n">
        <v>0</v>
      </c>
      <c r="G580" s="7" t="n">
        <v>0</v>
      </c>
    </row>
    <row r="581" customFormat="false" ht="15" hidden="false" customHeight="false" outlineLevel="0" collapsed="false">
      <c r="A581" s="7" t="s">
        <v>40</v>
      </c>
      <c r="B581" s="7" t="s">
        <v>351</v>
      </c>
      <c r="C581" s="7" t="s">
        <v>1080</v>
      </c>
      <c r="D581" s="7" t="n">
        <v>4</v>
      </c>
      <c r="E581" s="7" t="n">
        <v>519.99</v>
      </c>
      <c r="F581" s="7" t="n">
        <v>3</v>
      </c>
      <c r="G581" s="7" t="n">
        <v>389.99</v>
      </c>
    </row>
    <row r="582" customFormat="false" ht="15" hidden="false" customHeight="false" outlineLevel="0" collapsed="false">
      <c r="A582" s="7" t="s">
        <v>40</v>
      </c>
      <c r="B582" s="7" t="s">
        <v>248</v>
      </c>
      <c r="C582" s="7" t="s">
        <v>1080</v>
      </c>
      <c r="D582" s="7" t="n">
        <v>2</v>
      </c>
      <c r="E582" s="7" t="n">
        <v>260</v>
      </c>
      <c r="F582" s="7" t="n">
        <v>3</v>
      </c>
      <c r="G582" s="7" t="n">
        <v>389.99</v>
      </c>
    </row>
    <row r="583" customFormat="false" ht="15" hidden="false" customHeight="false" outlineLevel="0" collapsed="false">
      <c r="A583" s="7" t="s">
        <v>40</v>
      </c>
      <c r="B583" s="7" t="s">
        <v>378</v>
      </c>
      <c r="C583" s="7" t="s">
        <v>1080</v>
      </c>
      <c r="D583" s="7" t="n">
        <v>3</v>
      </c>
      <c r="E583" s="7" t="n">
        <v>390</v>
      </c>
      <c r="F583" s="7" t="n">
        <v>3</v>
      </c>
      <c r="G583" s="7" t="n">
        <v>389.99</v>
      </c>
    </row>
    <row r="584" customFormat="false" ht="15" hidden="false" customHeight="false" outlineLevel="0" collapsed="false">
      <c r="A584" s="7" t="s">
        <v>40</v>
      </c>
      <c r="B584" s="7" t="s">
        <v>462</v>
      </c>
      <c r="C584" s="7" t="s">
        <v>1080</v>
      </c>
      <c r="D584" s="7" t="n">
        <v>3</v>
      </c>
      <c r="E584" s="7" t="n">
        <v>390</v>
      </c>
      <c r="F584" s="7" t="n">
        <v>2</v>
      </c>
      <c r="G584" s="7" t="n">
        <v>260</v>
      </c>
    </row>
    <row r="585" customFormat="false" ht="15" hidden="false" customHeight="false" outlineLevel="0" collapsed="false">
      <c r="A585" s="7" t="s">
        <v>40</v>
      </c>
      <c r="B585" s="7" t="s">
        <v>757</v>
      </c>
      <c r="C585" s="7" t="s">
        <v>1080</v>
      </c>
      <c r="D585" s="7" t="n">
        <v>1</v>
      </c>
      <c r="E585" s="7" t="n">
        <v>130</v>
      </c>
      <c r="F585" s="7" t="n">
        <v>1</v>
      </c>
      <c r="G585" s="7" t="n">
        <v>130</v>
      </c>
    </row>
    <row r="586" customFormat="false" ht="15" hidden="false" customHeight="false" outlineLevel="0" collapsed="false">
      <c r="A586" s="7" t="s">
        <v>26</v>
      </c>
      <c r="B586" s="7" t="s">
        <v>890</v>
      </c>
      <c r="C586" s="7" t="s">
        <v>1166</v>
      </c>
      <c r="D586" s="7" t="n">
        <v>6300</v>
      </c>
      <c r="E586" s="7" t="n">
        <v>297486</v>
      </c>
      <c r="F586" s="7" t="n">
        <v>6360</v>
      </c>
      <c r="G586" s="7" t="n">
        <v>300319.2</v>
      </c>
    </row>
    <row r="587" customFormat="false" ht="15" hidden="false" customHeight="false" outlineLevel="0" collapsed="false">
      <c r="A587" s="7" t="s">
        <v>26</v>
      </c>
      <c r="B587" s="7" t="s">
        <v>891</v>
      </c>
      <c r="C587" s="7" t="s">
        <v>1167</v>
      </c>
      <c r="D587" s="7" t="n">
        <v>2400</v>
      </c>
      <c r="E587" s="7" t="n">
        <v>113328</v>
      </c>
      <c r="F587" s="7" t="n">
        <v>2400</v>
      </c>
      <c r="G587" s="7" t="n">
        <v>113328</v>
      </c>
    </row>
    <row r="588" customFormat="false" ht="15" hidden="false" customHeight="false" outlineLevel="0" collapsed="false">
      <c r="A588" s="7" t="s">
        <v>26</v>
      </c>
      <c r="B588" s="7" t="s">
        <v>894</v>
      </c>
      <c r="C588" s="7" t="s">
        <v>1168</v>
      </c>
      <c r="D588" s="7" t="n">
        <v>1600</v>
      </c>
      <c r="E588" s="7" t="n">
        <v>63104</v>
      </c>
      <c r="F588" s="7" t="n">
        <v>1600</v>
      </c>
      <c r="G588" s="7" t="n">
        <v>63104</v>
      </c>
    </row>
    <row r="589" customFormat="false" ht="15" hidden="false" customHeight="false" outlineLevel="0" collapsed="false">
      <c r="A589" s="7" t="s">
        <v>26</v>
      </c>
      <c r="B589" s="7" t="s">
        <v>895</v>
      </c>
      <c r="C589" s="7" t="s">
        <v>1168</v>
      </c>
      <c r="D589" s="7" t="n">
        <v>2400</v>
      </c>
      <c r="E589" s="7" t="n">
        <v>94656</v>
      </c>
      <c r="F589" s="7" t="n">
        <v>2400</v>
      </c>
      <c r="G589" s="7" t="n">
        <v>94656</v>
      </c>
    </row>
    <row r="590" customFormat="false" ht="15" hidden="false" customHeight="false" outlineLevel="0" collapsed="false">
      <c r="A590" s="7" t="s">
        <v>26</v>
      </c>
      <c r="B590" s="7" t="s">
        <v>892</v>
      </c>
      <c r="C590" s="7" t="s">
        <v>1169</v>
      </c>
      <c r="D590" s="7" t="n">
        <v>4320</v>
      </c>
      <c r="E590" s="7" t="n">
        <v>67910.4</v>
      </c>
      <c r="F590" s="7" t="n">
        <v>4320</v>
      </c>
      <c r="G590" s="7" t="n">
        <v>67910.4</v>
      </c>
    </row>
    <row r="591" customFormat="false" ht="15" hidden="false" customHeight="false" outlineLevel="0" collapsed="false">
      <c r="A591" s="7" t="s">
        <v>26</v>
      </c>
      <c r="B591" s="7" t="s">
        <v>883</v>
      </c>
      <c r="C591" s="7" t="s">
        <v>1088</v>
      </c>
      <c r="D591" s="7" t="n">
        <v>8100</v>
      </c>
      <c r="E591" s="7" t="n">
        <v>81891</v>
      </c>
      <c r="F591" s="7" t="n">
        <v>5400</v>
      </c>
      <c r="G591" s="7" t="n">
        <v>54594</v>
      </c>
    </row>
    <row r="592" customFormat="false" ht="15" hidden="false" customHeight="false" outlineLevel="0" collapsed="false">
      <c r="A592" s="7" t="s">
        <v>26</v>
      </c>
      <c r="B592" s="7" t="s">
        <v>884</v>
      </c>
      <c r="C592" s="7" t="s">
        <v>1170</v>
      </c>
      <c r="D592" s="7" t="n">
        <v>4050</v>
      </c>
      <c r="E592" s="7" t="n">
        <v>40945.5</v>
      </c>
      <c r="F592" s="7" t="n">
        <v>1350</v>
      </c>
      <c r="G592" s="7" t="n">
        <v>13648.5</v>
      </c>
    </row>
    <row r="593" customFormat="false" ht="15" hidden="false" customHeight="false" outlineLevel="0" collapsed="false">
      <c r="A593" s="7" t="s">
        <v>26</v>
      </c>
      <c r="B593" s="7" t="s">
        <v>879</v>
      </c>
      <c r="C593" s="7" t="s">
        <v>1090</v>
      </c>
      <c r="D593" s="7" t="n">
        <v>3780</v>
      </c>
      <c r="E593" s="7" t="n">
        <v>53751.6</v>
      </c>
      <c r="F593" s="7" t="n">
        <v>1010</v>
      </c>
      <c r="G593" s="7" t="n">
        <v>14362.2</v>
      </c>
    </row>
    <row r="594" customFormat="false" ht="15" hidden="false" customHeight="false" outlineLevel="0" collapsed="false">
      <c r="A594" s="7" t="s">
        <v>26</v>
      </c>
      <c r="B594" s="7" t="s">
        <v>885</v>
      </c>
      <c r="C594" s="7" t="s">
        <v>1171</v>
      </c>
      <c r="D594" s="7" t="n">
        <v>4860</v>
      </c>
      <c r="E594" s="7" t="n">
        <v>47239.2</v>
      </c>
      <c r="F594" s="7" t="n">
        <v>2160</v>
      </c>
      <c r="G594" s="7" t="n">
        <v>20995.2</v>
      </c>
    </row>
    <row r="595" customFormat="false" ht="15" hidden="false" customHeight="false" outlineLevel="0" collapsed="false">
      <c r="A595" s="7" t="s">
        <v>26</v>
      </c>
      <c r="B595" s="7" t="s">
        <v>876</v>
      </c>
      <c r="C595" s="7" t="s">
        <v>1091</v>
      </c>
      <c r="D595" s="7" t="n">
        <v>17820</v>
      </c>
      <c r="E595" s="7" t="n">
        <v>219007.8</v>
      </c>
      <c r="F595" s="7" t="n">
        <v>3000</v>
      </c>
      <c r="G595" s="7" t="n">
        <v>36870</v>
      </c>
    </row>
    <row r="596" customFormat="false" ht="15" hidden="false" customHeight="false" outlineLevel="0" collapsed="false">
      <c r="A596" s="7" t="s">
        <v>26</v>
      </c>
      <c r="B596" s="7" t="s">
        <v>886</v>
      </c>
      <c r="C596" s="7" t="s">
        <v>1172</v>
      </c>
      <c r="D596" s="7" t="n">
        <v>4860</v>
      </c>
      <c r="E596" s="7" t="n">
        <v>47239.2</v>
      </c>
      <c r="F596" s="7" t="n">
        <v>2430</v>
      </c>
      <c r="G596" s="7" t="n">
        <v>23619.6</v>
      </c>
    </row>
    <row r="597" customFormat="false" ht="15" hidden="false" customHeight="false" outlineLevel="0" collapsed="false">
      <c r="A597" s="7" t="s">
        <v>26</v>
      </c>
      <c r="B597" s="7" t="s">
        <v>893</v>
      </c>
      <c r="C597" s="7" t="s">
        <v>1173</v>
      </c>
      <c r="D597" s="7" t="n">
        <v>1350</v>
      </c>
      <c r="E597" s="7" t="n">
        <v>18306</v>
      </c>
      <c r="F597" s="7" t="n">
        <v>1350</v>
      </c>
      <c r="G597" s="7" t="n">
        <v>18306</v>
      </c>
    </row>
    <row r="598" customFormat="false" ht="15" hidden="false" customHeight="false" outlineLevel="0" collapsed="false">
      <c r="A598" s="7" t="s">
        <v>26</v>
      </c>
      <c r="B598" s="7" t="s">
        <v>877</v>
      </c>
      <c r="C598" s="7" t="s">
        <v>1096</v>
      </c>
      <c r="D598" s="7" t="n">
        <v>14000</v>
      </c>
      <c r="E598" s="7" t="n">
        <v>105840</v>
      </c>
      <c r="F598" s="7" t="n">
        <v>6000</v>
      </c>
      <c r="G598" s="7" t="n">
        <v>45360</v>
      </c>
    </row>
    <row r="599" customFormat="false" ht="15" hidden="false" customHeight="false" outlineLevel="0" collapsed="false">
      <c r="A599" s="7" t="s">
        <v>26</v>
      </c>
      <c r="B599" s="7" t="s">
        <v>878</v>
      </c>
      <c r="C599" s="7" t="s">
        <v>1097</v>
      </c>
      <c r="D599" s="7" t="n">
        <v>9600</v>
      </c>
      <c r="E599" s="7" t="n">
        <v>93888</v>
      </c>
      <c r="F599" s="7" t="n">
        <v>4800</v>
      </c>
      <c r="G599" s="7" t="n">
        <v>46944</v>
      </c>
    </row>
    <row r="600" customFormat="false" ht="15" hidden="false" customHeight="false" outlineLevel="0" collapsed="false">
      <c r="A600" s="7" t="s">
        <v>26</v>
      </c>
      <c r="B600" s="7" t="s">
        <v>882</v>
      </c>
      <c r="C600" s="7" t="s">
        <v>1098</v>
      </c>
      <c r="D600" s="7" t="n">
        <v>9000</v>
      </c>
      <c r="E600" s="7" t="n">
        <v>88020</v>
      </c>
      <c r="F600" s="7" t="n">
        <v>6000</v>
      </c>
      <c r="G600" s="7" t="n">
        <v>58680</v>
      </c>
    </row>
    <row r="601" customFormat="false" ht="15" hidden="false" customHeight="false" outlineLevel="0" collapsed="false">
      <c r="A601" s="7" t="s">
        <v>26</v>
      </c>
      <c r="B601" s="7" t="s">
        <v>887</v>
      </c>
      <c r="C601" s="7" t="s">
        <v>1174</v>
      </c>
      <c r="D601" s="7" t="n">
        <v>3200</v>
      </c>
      <c r="E601" s="7" t="n">
        <v>45856</v>
      </c>
      <c r="F601" s="7" t="n">
        <v>1600</v>
      </c>
      <c r="G601" s="7" t="n">
        <v>22928</v>
      </c>
    </row>
    <row r="602" customFormat="false" ht="15" hidden="false" customHeight="false" outlineLevel="0" collapsed="false">
      <c r="A602" s="7" t="s">
        <v>26</v>
      </c>
      <c r="B602" s="7" t="s">
        <v>889</v>
      </c>
      <c r="C602" s="7" t="s">
        <v>1175</v>
      </c>
      <c r="D602" s="7" t="n">
        <v>4200</v>
      </c>
      <c r="E602" s="7" t="n">
        <v>61824</v>
      </c>
      <c r="F602" s="7" t="n">
        <v>2800</v>
      </c>
      <c r="G602" s="7" t="n">
        <v>41216</v>
      </c>
    </row>
    <row r="603" customFormat="false" ht="15" hidden="false" customHeight="false" outlineLevel="0" collapsed="false">
      <c r="A603" s="7" t="s">
        <v>26</v>
      </c>
      <c r="B603" s="7" t="s">
        <v>880</v>
      </c>
      <c r="C603" s="7" t="s">
        <v>1176</v>
      </c>
      <c r="D603" s="7" t="n">
        <v>5400</v>
      </c>
      <c r="E603" s="7" t="n">
        <v>47844</v>
      </c>
      <c r="F603" s="7" t="n">
        <v>1800</v>
      </c>
      <c r="G603" s="7" t="n">
        <v>15948</v>
      </c>
    </row>
    <row r="604" customFormat="false" ht="15" hidden="false" customHeight="false" outlineLevel="0" collapsed="false">
      <c r="A604" s="7" t="s">
        <v>26</v>
      </c>
      <c r="B604" s="7" t="s">
        <v>881</v>
      </c>
      <c r="C604" s="7" t="s">
        <v>1177</v>
      </c>
      <c r="D604" s="7" t="n">
        <v>4152</v>
      </c>
      <c r="E604" s="7" t="n">
        <v>73822.56</v>
      </c>
      <c r="F604" s="7" t="n">
        <v>2400</v>
      </c>
      <c r="G604" s="7" t="n">
        <v>42672</v>
      </c>
    </row>
    <row r="605" customFormat="false" ht="15" hidden="false" customHeight="false" outlineLevel="0" collapsed="false">
      <c r="A605" s="7" t="s">
        <v>26</v>
      </c>
      <c r="B605" s="7" t="s">
        <v>888</v>
      </c>
      <c r="C605" s="7" t="s">
        <v>1178</v>
      </c>
      <c r="D605" s="7" t="n">
        <v>7000</v>
      </c>
      <c r="E605" s="7" t="n">
        <v>39270</v>
      </c>
      <c r="F605" s="7" t="n">
        <v>3275</v>
      </c>
      <c r="G605" s="7" t="n">
        <v>18372.75</v>
      </c>
    </row>
    <row r="606" customFormat="false" ht="15" hidden="false" customHeight="false" outlineLevel="0" collapsed="false">
      <c r="A606" s="7" t="s">
        <v>26</v>
      </c>
      <c r="B606" s="7" t="s">
        <v>170</v>
      </c>
      <c r="C606" s="7" t="s">
        <v>1179</v>
      </c>
      <c r="D606" s="7" t="n">
        <v>0</v>
      </c>
      <c r="E606" s="7" t="n">
        <v>7427.59</v>
      </c>
      <c r="F606" s="7" t="n">
        <v>0</v>
      </c>
      <c r="G606" s="7" t="n">
        <v>0</v>
      </c>
    </row>
    <row r="607" customFormat="false" ht="15" hidden="false" customHeight="false" outlineLevel="0" collapsed="false">
      <c r="A607" s="7" t="s">
        <v>21</v>
      </c>
      <c r="B607" s="7" t="s">
        <v>65</v>
      </c>
      <c r="C607" s="7" t="s">
        <v>1034</v>
      </c>
      <c r="D607" s="7" t="n">
        <v>3300</v>
      </c>
      <c r="E607" s="7" t="n">
        <v>179553</v>
      </c>
      <c r="F607" s="7" t="n">
        <v>5000</v>
      </c>
      <c r="G607" s="7" t="n">
        <v>272050</v>
      </c>
    </row>
    <row r="608" customFormat="false" ht="15" hidden="false" customHeight="false" outlineLevel="0" collapsed="false">
      <c r="A608" s="7" t="s">
        <v>21</v>
      </c>
      <c r="B608" s="7" t="s">
        <v>65</v>
      </c>
      <c r="C608" s="7" t="s">
        <v>1034</v>
      </c>
      <c r="D608" s="7" t="n">
        <v>4150</v>
      </c>
      <c r="E608" s="7" t="n">
        <v>242775</v>
      </c>
      <c r="F608" s="7" t="n">
        <v>0</v>
      </c>
      <c r="G608" s="7" t="n">
        <v>0</v>
      </c>
    </row>
    <row r="609" customFormat="false" ht="15" hidden="false" customHeight="false" outlineLevel="0" collapsed="false">
      <c r="A609" s="7" t="s">
        <v>21</v>
      </c>
      <c r="B609" s="7" t="s">
        <v>68</v>
      </c>
      <c r="C609" s="7" t="s">
        <v>1034</v>
      </c>
      <c r="D609" s="7" t="n">
        <v>1750</v>
      </c>
      <c r="E609" s="7" t="n">
        <v>95217.5</v>
      </c>
      <c r="F609" s="7" t="n">
        <v>2200</v>
      </c>
      <c r="G609" s="7" t="n">
        <v>119702</v>
      </c>
    </row>
    <row r="610" customFormat="false" ht="15" hidden="false" customHeight="false" outlineLevel="0" collapsed="false">
      <c r="A610" s="7" t="s">
        <v>21</v>
      </c>
      <c r="B610" s="7" t="s">
        <v>68</v>
      </c>
      <c r="C610" s="7" t="s">
        <v>1034</v>
      </c>
      <c r="D610" s="7" t="n">
        <v>2050</v>
      </c>
      <c r="E610" s="7" t="n">
        <v>119925</v>
      </c>
      <c r="F610" s="7" t="n">
        <v>0</v>
      </c>
      <c r="G610" s="7" t="n">
        <v>0</v>
      </c>
    </row>
    <row r="611" customFormat="false" ht="15" hidden="false" customHeight="false" outlineLevel="0" collapsed="false">
      <c r="A611" s="7" t="s">
        <v>21</v>
      </c>
      <c r="B611" s="7" t="s">
        <v>66</v>
      </c>
      <c r="C611" s="7" t="s">
        <v>1034</v>
      </c>
      <c r="D611" s="7" t="n">
        <v>2500</v>
      </c>
      <c r="E611" s="7" t="n">
        <v>136025</v>
      </c>
      <c r="F611" s="7" t="n">
        <v>3700</v>
      </c>
      <c r="G611" s="7" t="n">
        <v>201317</v>
      </c>
    </row>
    <row r="612" customFormat="false" ht="15" hidden="false" customHeight="false" outlineLevel="0" collapsed="false">
      <c r="A612" s="7" t="s">
        <v>21</v>
      </c>
      <c r="B612" s="7" t="s">
        <v>66</v>
      </c>
      <c r="C612" s="7" t="s">
        <v>1034</v>
      </c>
      <c r="D612" s="7" t="n">
        <v>3350</v>
      </c>
      <c r="E612" s="7" t="n">
        <v>195975</v>
      </c>
      <c r="F612" s="7" t="n">
        <v>0</v>
      </c>
      <c r="G612" s="7" t="n">
        <v>0</v>
      </c>
    </row>
    <row r="613" customFormat="false" ht="15" hidden="false" customHeight="false" outlineLevel="0" collapsed="false">
      <c r="A613" s="7" t="s">
        <v>21</v>
      </c>
      <c r="B613" s="7" t="s">
        <v>69</v>
      </c>
      <c r="C613" s="7" t="s">
        <v>1034</v>
      </c>
      <c r="D613" s="7" t="n">
        <v>855</v>
      </c>
      <c r="E613" s="7" t="n">
        <v>46520.55</v>
      </c>
      <c r="F613" s="7" t="n">
        <v>1305</v>
      </c>
      <c r="G613" s="7" t="n">
        <v>71005.05</v>
      </c>
    </row>
    <row r="614" customFormat="false" ht="15" hidden="false" customHeight="false" outlineLevel="0" collapsed="false">
      <c r="A614" s="7" t="s">
        <v>21</v>
      </c>
      <c r="B614" s="7" t="s">
        <v>69</v>
      </c>
      <c r="C614" s="7" t="s">
        <v>1034</v>
      </c>
      <c r="D614" s="7" t="n">
        <v>1710</v>
      </c>
      <c r="E614" s="7" t="n">
        <v>100035</v>
      </c>
      <c r="F614" s="7" t="n">
        <v>0</v>
      </c>
      <c r="G614" s="7" t="n">
        <v>0</v>
      </c>
    </row>
    <row r="615" customFormat="false" ht="15" hidden="false" customHeight="false" outlineLevel="0" collapsed="false">
      <c r="A615" s="7" t="s">
        <v>21</v>
      </c>
      <c r="B615" s="7" t="s">
        <v>81</v>
      </c>
      <c r="C615" s="7" t="s">
        <v>1180</v>
      </c>
      <c r="D615" s="7" t="n">
        <v>1400</v>
      </c>
      <c r="E615" s="7" t="n">
        <v>62020</v>
      </c>
      <c r="F615" s="7" t="n">
        <v>1000</v>
      </c>
      <c r="G615" s="7" t="n">
        <v>44300</v>
      </c>
    </row>
    <row r="616" customFormat="false" ht="15" hidden="false" customHeight="false" outlineLevel="0" collapsed="false">
      <c r="A616" s="7" t="s">
        <v>21</v>
      </c>
      <c r="B616" s="7" t="s">
        <v>84</v>
      </c>
      <c r="C616" s="7" t="s">
        <v>1180</v>
      </c>
      <c r="D616" s="7" t="n">
        <v>950</v>
      </c>
      <c r="E616" s="7" t="n">
        <v>42085</v>
      </c>
      <c r="F616" s="7" t="n">
        <v>650</v>
      </c>
      <c r="G616" s="7" t="n">
        <v>28795</v>
      </c>
    </row>
    <row r="617" customFormat="false" ht="15" hidden="false" customHeight="false" outlineLevel="0" collapsed="false">
      <c r="A617" s="7" t="s">
        <v>21</v>
      </c>
      <c r="B617" s="7" t="s">
        <v>80</v>
      </c>
      <c r="C617" s="7" t="s">
        <v>1180</v>
      </c>
      <c r="D617" s="7" t="n">
        <v>1300</v>
      </c>
      <c r="E617" s="7" t="n">
        <v>57590</v>
      </c>
      <c r="F617" s="7" t="n">
        <v>900</v>
      </c>
      <c r="G617" s="7" t="n">
        <v>39870</v>
      </c>
    </row>
    <row r="618" customFormat="false" ht="15" hidden="false" customHeight="false" outlineLevel="0" collapsed="false">
      <c r="A618" s="7" t="s">
        <v>21</v>
      </c>
      <c r="B618" s="7" t="s">
        <v>88</v>
      </c>
      <c r="C618" s="7" t="s">
        <v>1180</v>
      </c>
      <c r="D618" s="7" t="n">
        <v>945</v>
      </c>
      <c r="E618" s="7" t="n">
        <v>41863.5</v>
      </c>
      <c r="F618" s="7" t="n">
        <v>720</v>
      </c>
      <c r="G618" s="7" t="n">
        <v>31896</v>
      </c>
    </row>
    <row r="619" customFormat="false" ht="15" hidden="false" customHeight="false" outlineLevel="0" collapsed="false">
      <c r="A619" s="7" t="s">
        <v>21</v>
      </c>
      <c r="B619" s="7" t="s">
        <v>73</v>
      </c>
      <c r="C619" s="7" t="s">
        <v>1150</v>
      </c>
      <c r="D619" s="7" t="n">
        <v>7320</v>
      </c>
      <c r="E619" s="7" t="n">
        <v>92964</v>
      </c>
      <c r="F619" s="7" t="n">
        <v>4200</v>
      </c>
      <c r="G619" s="7" t="n">
        <v>53340</v>
      </c>
    </row>
    <row r="620" customFormat="false" ht="15" hidden="false" customHeight="false" outlineLevel="0" collapsed="false">
      <c r="A620" s="7" t="s">
        <v>21</v>
      </c>
      <c r="B620" s="7" t="s">
        <v>82</v>
      </c>
      <c r="C620" s="7" t="s">
        <v>1150</v>
      </c>
      <c r="D620" s="7" t="n">
        <v>4920</v>
      </c>
      <c r="E620" s="7" t="n">
        <v>62484</v>
      </c>
      <c r="F620" s="7" t="n">
        <v>3720</v>
      </c>
      <c r="G620" s="7" t="n">
        <v>47244</v>
      </c>
    </row>
    <row r="621" customFormat="false" ht="15" hidden="false" customHeight="false" outlineLevel="0" collapsed="false">
      <c r="A621" s="7" t="s">
        <v>21</v>
      </c>
      <c r="B621" s="7" t="s">
        <v>91</v>
      </c>
      <c r="C621" s="7" t="s">
        <v>1150</v>
      </c>
      <c r="D621" s="7" t="n">
        <v>1920</v>
      </c>
      <c r="E621" s="7" t="n">
        <v>24384</v>
      </c>
      <c r="F621" s="7" t="n">
        <v>1560</v>
      </c>
      <c r="G621" s="7" t="n">
        <v>19812</v>
      </c>
    </row>
    <row r="622" customFormat="false" ht="15" hidden="false" customHeight="false" outlineLevel="0" collapsed="false">
      <c r="A622" s="7" t="s">
        <v>21</v>
      </c>
      <c r="B622" s="7" t="s">
        <v>89</v>
      </c>
      <c r="C622" s="7" t="s">
        <v>1150</v>
      </c>
      <c r="D622" s="7" t="n">
        <v>5400</v>
      </c>
      <c r="E622" s="7" t="n">
        <v>68580</v>
      </c>
      <c r="F622" s="7" t="n">
        <v>4680</v>
      </c>
      <c r="G622" s="7" t="n">
        <v>59436</v>
      </c>
    </row>
    <row r="623" customFormat="false" ht="15" hidden="false" customHeight="false" outlineLevel="0" collapsed="false">
      <c r="A623" s="7" t="s">
        <v>21</v>
      </c>
      <c r="B623" s="7" t="s">
        <v>78</v>
      </c>
      <c r="C623" s="7" t="s">
        <v>1079</v>
      </c>
      <c r="D623" s="7" t="n">
        <v>4440</v>
      </c>
      <c r="E623" s="7" t="n">
        <v>53102.4</v>
      </c>
      <c r="F623" s="7" t="n">
        <v>8160</v>
      </c>
      <c r="G623" s="7" t="n">
        <v>97593.6</v>
      </c>
    </row>
    <row r="624" customFormat="false" ht="15" hidden="false" customHeight="false" outlineLevel="0" collapsed="false">
      <c r="A624" s="7" t="s">
        <v>21</v>
      </c>
      <c r="B624" s="7" t="s">
        <v>78</v>
      </c>
      <c r="C624" s="7" t="s">
        <v>1079</v>
      </c>
      <c r="D624" s="7" t="n">
        <v>5040</v>
      </c>
      <c r="E624" s="7" t="n">
        <v>65520</v>
      </c>
      <c r="F624" s="7" t="n">
        <v>0</v>
      </c>
      <c r="G624" s="7" t="n">
        <v>0</v>
      </c>
    </row>
    <row r="625" customFormat="false" ht="15" hidden="false" customHeight="false" outlineLevel="0" collapsed="false">
      <c r="A625" s="7" t="s">
        <v>21</v>
      </c>
      <c r="B625" s="7" t="s">
        <v>76</v>
      </c>
      <c r="C625" s="7" t="s">
        <v>1079</v>
      </c>
      <c r="D625" s="7" t="n">
        <v>6720</v>
      </c>
      <c r="E625" s="7" t="n">
        <v>87360</v>
      </c>
      <c r="F625" s="7" t="n">
        <v>4560</v>
      </c>
      <c r="G625" s="7" t="n">
        <v>59280</v>
      </c>
    </row>
    <row r="626" customFormat="false" ht="15" hidden="false" customHeight="false" outlineLevel="0" collapsed="false">
      <c r="A626" s="7" t="s">
        <v>21</v>
      </c>
      <c r="B626" s="7" t="s">
        <v>90</v>
      </c>
      <c r="C626" s="7" t="s">
        <v>1079</v>
      </c>
      <c r="D626" s="7" t="n">
        <v>2040</v>
      </c>
      <c r="E626" s="7" t="n">
        <v>26520</v>
      </c>
      <c r="F626" s="7" t="n">
        <v>1440</v>
      </c>
      <c r="G626" s="7" t="n">
        <v>18720</v>
      </c>
    </row>
    <row r="627" customFormat="false" ht="15" hidden="false" customHeight="false" outlineLevel="0" collapsed="false">
      <c r="A627" s="7" t="s">
        <v>21</v>
      </c>
      <c r="B627" s="7" t="s">
        <v>72</v>
      </c>
      <c r="C627" s="7" t="s">
        <v>1079</v>
      </c>
      <c r="D627" s="7" t="n">
        <v>5400</v>
      </c>
      <c r="E627" s="7" t="n">
        <v>70200</v>
      </c>
      <c r="F627" s="7" t="n">
        <v>0</v>
      </c>
      <c r="G627" s="7" t="n">
        <v>0</v>
      </c>
    </row>
    <row r="628" customFormat="false" ht="15" hidden="false" customHeight="false" outlineLevel="0" collapsed="false">
      <c r="A628" s="7" t="s">
        <v>21</v>
      </c>
      <c r="B628" s="7" t="s">
        <v>72</v>
      </c>
      <c r="C628" s="7" t="s">
        <v>1079</v>
      </c>
      <c r="D628" s="7" t="n">
        <v>4560</v>
      </c>
      <c r="E628" s="7" t="n">
        <v>54537.6</v>
      </c>
      <c r="F628" s="7" t="n">
        <v>6840</v>
      </c>
      <c r="G628" s="7" t="n">
        <v>81806.4</v>
      </c>
    </row>
    <row r="629" customFormat="false" ht="15" hidden="false" customHeight="false" outlineLevel="0" collapsed="false">
      <c r="A629" s="7" t="s">
        <v>21</v>
      </c>
      <c r="B629" s="7" t="s">
        <v>85</v>
      </c>
      <c r="C629" s="7" t="s">
        <v>1061</v>
      </c>
      <c r="D629" s="7" t="n">
        <v>1500</v>
      </c>
      <c r="E629" s="7" t="n">
        <v>32400</v>
      </c>
      <c r="F629" s="7" t="n">
        <v>900</v>
      </c>
      <c r="G629" s="7" t="n">
        <v>19440</v>
      </c>
    </row>
    <row r="630" customFormat="false" ht="15" hidden="false" customHeight="false" outlineLevel="0" collapsed="false">
      <c r="A630" s="7" t="s">
        <v>21</v>
      </c>
      <c r="B630" s="7" t="s">
        <v>94</v>
      </c>
      <c r="C630" s="7" t="s">
        <v>1061</v>
      </c>
      <c r="D630" s="7" t="n">
        <v>720</v>
      </c>
      <c r="E630" s="7" t="n">
        <v>15552</v>
      </c>
      <c r="F630" s="7" t="n">
        <v>660</v>
      </c>
      <c r="G630" s="7" t="n">
        <v>14256</v>
      </c>
    </row>
    <row r="631" customFormat="false" ht="15" hidden="false" customHeight="false" outlineLevel="0" collapsed="false">
      <c r="A631" s="7" t="s">
        <v>21</v>
      </c>
      <c r="B631" s="7" t="s">
        <v>92</v>
      </c>
      <c r="C631" s="7" t="s">
        <v>1181</v>
      </c>
      <c r="D631" s="7" t="n">
        <v>1680</v>
      </c>
      <c r="E631" s="7" t="n">
        <v>28560</v>
      </c>
      <c r="F631" s="7" t="n">
        <v>1440</v>
      </c>
      <c r="G631" s="7" t="n">
        <v>24480</v>
      </c>
    </row>
    <row r="632" customFormat="false" ht="15" hidden="false" customHeight="false" outlineLevel="0" collapsed="false">
      <c r="A632" s="7" t="s">
        <v>21</v>
      </c>
      <c r="B632" s="7" t="s">
        <v>87</v>
      </c>
      <c r="C632" s="7" t="s">
        <v>1118</v>
      </c>
      <c r="D632" s="7" t="n">
        <v>1360</v>
      </c>
      <c r="E632" s="7" t="n">
        <v>46240</v>
      </c>
      <c r="F632" s="7" t="n">
        <v>1040</v>
      </c>
      <c r="G632" s="7" t="n">
        <v>35360</v>
      </c>
    </row>
    <row r="633" customFormat="false" ht="15" hidden="false" customHeight="false" outlineLevel="0" collapsed="false">
      <c r="A633" s="7" t="s">
        <v>21</v>
      </c>
      <c r="B633" s="7" t="s">
        <v>93</v>
      </c>
      <c r="C633" s="7" t="s">
        <v>1118</v>
      </c>
      <c r="D633" s="7" t="n">
        <v>800</v>
      </c>
      <c r="E633" s="7" t="n">
        <v>27200</v>
      </c>
      <c r="F633" s="7" t="n">
        <v>720</v>
      </c>
      <c r="G633" s="7" t="n">
        <v>24480</v>
      </c>
    </row>
    <row r="634" customFormat="false" ht="15" hidden="false" customHeight="false" outlineLevel="0" collapsed="false">
      <c r="A634" s="7" t="s">
        <v>21</v>
      </c>
      <c r="B634" s="7" t="s">
        <v>95</v>
      </c>
      <c r="C634" s="7" t="s">
        <v>95</v>
      </c>
      <c r="D634" s="7" t="n">
        <v>0</v>
      </c>
      <c r="E634" s="7" t="n">
        <v>0</v>
      </c>
      <c r="F634" s="7" t="n">
        <v>-1</v>
      </c>
      <c r="G634" s="7" t="n">
        <v>-801.6</v>
      </c>
    </row>
    <row r="635" customFormat="false" ht="15" hidden="false" customHeight="false" outlineLevel="0" collapsed="false">
      <c r="A635" s="7" t="s">
        <v>21</v>
      </c>
      <c r="B635" s="7" t="s">
        <v>95</v>
      </c>
      <c r="C635" s="7" t="s">
        <v>95</v>
      </c>
      <c r="D635" s="7" t="n">
        <v>0</v>
      </c>
      <c r="E635" s="7" t="n">
        <v>0</v>
      </c>
      <c r="F635" s="7" t="n">
        <v>-1</v>
      </c>
      <c r="G635" s="7" t="n">
        <v>-374.4</v>
      </c>
    </row>
    <row r="636" customFormat="false" ht="15" hidden="false" customHeight="false" outlineLevel="0" collapsed="false">
      <c r="A636" s="7" t="s">
        <v>21</v>
      </c>
      <c r="B636" s="7" t="s">
        <v>83</v>
      </c>
      <c r="C636" s="7" t="s">
        <v>1182</v>
      </c>
      <c r="D636" s="7" t="n">
        <v>1700</v>
      </c>
      <c r="E636" s="7" t="n">
        <v>53890</v>
      </c>
      <c r="F636" s="7" t="n">
        <v>1250</v>
      </c>
      <c r="G636" s="7" t="n">
        <v>39625</v>
      </c>
    </row>
    <row r="637" customFormat="false" ht="15" hidden="false" customHeight="false" outlineLevel="0" collapsed="false">
      <c r="A637" s="7" t="s">
        <v>21</v>
      </c>
      <c r="B637" s="7" t="s">
        <v>86</v>
      </c>
      <c r="C637" s="7" t="s">
        <v>1183</v>
      </c>
      <c r="D637" s="7" t="n">
        <v>4920</v>
      </c>
      <c r="E637" s="7" t="n">
        <v>66912</v>
      </c>
      <c r="F637" s="7" t="n">
        <v>4080</v>
      </c>
      <c r="G637" s="7" t="n">
        <v>55488</v>
      </c>
    </row>
    <row r="638" customFormat="false" ht="15" hidden="false" customHeight="false" outlineLevel="0" collapsed="false">
      <c r="A638" s="7" t="s">
        <v>21</v>
      </c>
      <c r="B638" s="7" t="s">
        <v>67</v>
      </c>
      <c r="C638" s="7" t="s">
        <v>1183</v>
      </c>
      <c r="D638" s="7" t="n">
        <v>12840</v>
      </c>
      <c r="E638" s="7" t="n">
        <v>214428</v>
      </c>
      <c r="F638" s="7" t="n">
        <v>0</v>
      </c>
      <c r="G638" s="7" t="n">
        <v>0</v>
      </c>
    </row>
    <row r="639" customFormat="false" ht="15" hidden="false" customHeight="false" outlineLevel="0" collapsed="false">
      <c r="A639" s="7" t="s">
        <v>21</v>
      </c>
      <c r="B639" s="7" t="s">
        <v>67</v>
      </c>
      <c r="C639" s="7" t="s">
        <v>1183</v>
      </c>
      <c r="D639" s="7" t="n">
        <v>8640</v>
      </c>
      <c r="E639" s="7" t="n">
        <v>129859.2</v>
      </c>
      <c r="F639" s="7" t="n">
        <v>15110</v>
      </c>
      <c r="G639" s="7" t="n">
        <v>227103.3</v>
      </c>
    </row>
    <row r="640" customFormat="false" ht="15" hidden="false" customHeight="false" outlineLevel="0" collapsed="false">
      <c r="A640" s="7" t="s">
        <v>21</v>
      </c>
      <c r="B640" s="7" t="s">
        <v>77</v>
      </c>
      <c r="C640" s="7" t="s">
        <v>1184</v>
      </c>
      <c r="D640" s="7" t="n">
        <v>2560</v>
      </c>
      <c r="E640" s="7" t="n">
        <v>64000</v>
      </c>
      <c r="F640" s="7" t="n">
        <v>0</v>
      </c>
      <c r="G640" s="7" t="n">
        <v>0</v>
      </c>
    </row>
    <row r="641" customFormat="false" ht="15" hidden="false" customHeight="false" outlineLevel="0" collapsed="false">
      <c r="A641" s="7" t="s">
        <v>21</v>
      </c>
      <c r="B641" s="7" t="s">
        <v>77</v>
      </c>
      <c r="C641" s="7" t="s">
        <v>1184</v>
      </c>
      <c r="D641" s="7" t="n">
        <v>1597</v>
      </c>
      <c r="E641" s="7" t="n">
        <v>35932.5</v>
      </c>
      <c r="F641" s="7" t="n">
        <v>3359</v>
      </c>
      <c r="G641" s="7" t="n">
        <v>75577.5</v>
      </c>
    </row>
    <row r="642" customFormat="false" ht="15" hidden="false" customHeight="false" outlineLevel="0" collapsed="false">
      <c r="A642" s="7" t="s">
        <v>21</v>
      </c>
      <c r="B642" s="7" t="s">
        <v>70</v>
      </c>
      <c r="C642" s="7" t="s">
        <v>1184</v>
      </c>
      <c r="D642" s="7" t="n">
        <v>1920</v>
      </c>
      <c r="E642" s="7" t="n">
        <v>43200</v>
      </c>
      <c r="F642" s="7" t="n">
        <v>3920</v>
      </c>
      <c r="G642" s="7" t="n">
        <v>88200</v>
      </c>
    </row>
    <row r="643" customFormat="false" ht="15" hidden="false" customHeight="false" outlineLevel="0" collapsed="false">
      <c r="A643" s="7" t="s">
        <v>21</v>
      </c>
      <c r="B643" s="7" t="s">
        <v>70</v>
      </c>
      <c r="C643" s="7" t="s">
        <v>1184</v>
      </c>
      <c r="D643" s="7" t="n">
        <v>3680</v>
      </c>
      <c r="E643" s="7" t="n">
        <v>92000</v>
      </c>
      <c r="F643" s="7" t="n">
        <v>0</v>
      </c>
      <c r="G643" s="7" t="n">
        <v>0</v>
      </c>
    </row>
    <row r="644" customFormat="false" ht="15" hidden="false" customHeight="false" outlineLevel="0" collapsed="false">
      <c r="A644" s="7" t="s">
        <v>21</v>
      </c>
      <c r="B644" s="7" t="s">
        <v>96</v>
      </c>
      <c r="C644" s="7" t="s">
        <v>1184</v>
      </c>
      <c r="D644" s="7" t="n">
        <v>-1</v>
      </c>
      <c r="E644" s="7" t="n">
        <v>-62.43</v>
      </c>
      <c r="F644" s="7" t="n">
        <v>0</v>
      </c>
      <c r="G644" s="7" t="n">
        <v>0</v>
      </c>
    </row>
    <row r="645" customFormat="false" ht="15" hidden="false" customHeight="false" outlineLevel="0" collapsed="false">
      <c r="A645" s="7" t="s">
        <v>21</v>
      </c>
      <c r="B645" s="7" t="s">
        <v>75</v>
      </c>
      <c r="C645" s="7" t="s">
        <v>1184</v>
      </c>
      <c r="D645" s="7" t="n">
        <v>3840</v>
      </c>
      <c r="E645" s="7" t="n">
        <v>76800</v>
      </c>
      <c r="F645" s="7" t="n">
        <v>0</v>
      </c>
      <c r="G645" s="7" t="n">
        <v>0</v>
      </c>
    </row>
    <row r="646" customFormat="false" ht="15" hidden="false" customHeight="false" outlineLevel="0" collapsed="false">
      <c r="A646" s="7" t="s">
        <v>21</v>
      </c>
      <c r="B646" s="7" t="s">
        <v>75</v>
      </c>
      <c r="C646" s="7" t="s">
        <v>1184</v>
      </c>
      <c r="D646" s="7" t="n">
        <v>2400</v>
      </c>
      <c r="E646" s="7" t="n">
        <v>42720</v>
      </c>
      <c r="F646" s="7" t="n">
        <v>4956</v>
      </c>
      <c r="G646" s="7" t="n">
        <v>88216.8</v>
      </c>
    </row>
    <row r="647" customFormat="false" ht="15" hidden="false" customHeight="false" outlineLevel="0" collapsed="false">
      <c r="A647" s="7" t="s">
        <v>21</v>
      </c>
      <c r="B647" s="7" t="s">
        <v>74</v>
      </c>
      <c r="C647" s="7" t="s">
        <v>1185</v>
      </c>
      <c r="D647" s="7" t="n">
        <v>3840</v>
      </c>
      <c r="E647" s="7" t="n">
        <v>75648</v>
      </c>
      <c r="F647" s="7" t="n">
        <v>0</v>
      </c>
      <c r="G647" s="7" t="n">
        <v>0</v>
      </c>
    </row>
    <row r="648" customFormat="false" ht="15" hidden="false" customHeight="false" outlineLevel="0" collapsed="false">
      <c r="A648" s="7" t="s">
        <v>21</v>
      </c>
      <c r="B648" s="7" t="s">
        <v>74</v>
      </c>
      <c r="C648" s="7" t="s">
        <v>1185</v>
      </c>
      <c r="D648" s="7" t="n">
        <v>3960</v>
      </c>
      <c r="E648" s="7" t="n">
        <v>69418.8</v>
      </c>
      <c r="F648" s="7" t="n">
        <v>6120</v>
      </c>
      <c r="G648" s="7" t="n">
        <v>107283.6</v>
      </c>
    </row>
    <row r="649" customFormat="false" ht="15" hidden="false" customHeight="false" outlineLevel="0" collapsed="false">
      <c r="A649" s="7" t="s">
        <v>21</v>
      </c>
      <c r="B649" s="7" t="s">
        <v>64</v>
      </c>
      <c r="C649" s="7" t="s">
        <v>1186</v>
      </c>
      <c r="D649" s="7" t="n">
        <v>5739</v>
      </c>
      <c r="E649" s="7" t="n">
        <v>237594.6</v>
      </c>
      <c r="F649" s="7" t="n">
        <v>9589</v>
      </c>
      <c r="G649" s="7" t="n">
        <v>396984.6</v>
      </c>
    </row>
    <row r="650" customFormat="false" ht="15" hidden="false" customHeight="false" outlineLevel="0" collapsed="false">
      <c r="A650" s="7" t="s">
        <v>21</v>
      </c>
      <c r="B650" s="7" t="s">
        <v>64</v>
      </c>
      <c r="C650" s="7" t="s">
        <v>1186</v>
      </c>
      <c r="D650" s="7" t="n">
        <v>7560</v>
      </c>
      <c r="E650" s="7" t="n">
        <v>340200</v>
      </c>
      <c r="F650" s="7" t="n">
        <v>0</v>
      </c>
      <c r="G650" s="7" t="n">
        <v>0</v>
      </c>
    </row>
    <row r="651" customFormat="false" ht="15" hidden="false" customHeight="false" outlineLevel="0" collapsed="false">
      <c r="A651" s="7" t="s">
        <v>21</v>
      </c>
      <c r="B651" s="7" t="s">
        <v>79</v>
      </c>
      <c r="C651" s="7" t="s">
        <v>1161</v>
      </c>
      <c r="D651" s="7" t="n">
        <v>4080</v>
      </c>
      <c r="E651" s="7" t="n">
        <v>77112</v>
      </c>
      <c r="F651" s="7" t="n">
        <v>3000</v>
      </c>
      <c r="G651" s="7" t="n">
        <v>56700</v>
      </c>
    </row>
    <row r="652" customFormat="false" ht="15" hidden="false" customHeight="false" outlineLevel="0" collapsed="false">
      <c r="A652" s="7" t="s">
        <v>21</v>
      </c>
      <c r="B652" s="7" t="s">
        <v>71</v>
      </c>
      <c r="C652" s="7" t="s">
        <v>1069</v>
      </c>
      <c r="D652" s="7" t="n">
        <v>2160</v>
      </c>
      <c r="E652" s="7" t="n">
        <v>45943.2</v>
      </c>
      <c r="F652" s="7" t="n">
        <v>3360</v>
      </c>
      <c r="G652" s="7" t="n">
        <v>71467.2</v>
      </c>
    </row>
    <row r="653" customFormat="false" ht="15" hidden="false" customHeight="false" outlineLevel="0" collapsed="false">
      <c r="A653" s="7" t="s">
        <v>21</v>
      </c>
      <c r="B653" s="7" t="s">
        <v>71</v>
      </c>
      <c r="C653" s="7" t="s">
        <v>1069</v>
      </c>
      <c r="D653" s="7" t="n">
        <v>2880</v>
      </c>
      <c r="E653" s="7" t="n">
        <v>68832</v>
      </c>
      <c r="F653" s="7" t="n">
        <v>0</v>
      </c>
      <c r="G653" s="7" t="n">
        <v>0</v>
      </c>
    </row>
    <row r="654" customFormat="false" ht="15" hidden="false" customHeight="false" outlineLevel="0" collapsed="false">
      <c r="A654" s="7" t="s">
        <v>24</v>
      </c>
      <c r="B654" s="7" t="s">
        <v>442</v>
      </c>
      <c r="C654" s="7" t="s">
        <v>1187</v>
      </c>
      <c r="D654" s="7" t="n">
        <v>1</v>
      </c>
      <c r="E654" s="7" t="n">
        <v>444.83</v>
      </c>
      <c r="F654" s="7" t="n">
        <v>0</v>
      </c>
      <c r="G654" s="7" t="n">
        <v>0</v>
      </c>
    </row>
    <row r="655" customFormat="false" ht="15" hidden="false" customHeight="false" outlineLevel="0" collapsed="false">
      <c r="A655" s="7" t="s">
        <v>24</v>
      </c>
      <c r="B655" s="7" t="s">
        <v>444</v>
      </c>
      <c r="C655" s="7" t="s">
        <v>1187</v>
      </c>
      <c r="D655" s="7" t="n">
        <v>1</v>
      </c>
      <c r="E655" s="7" t="n">
        <v>444.83</v>
      </c>
      <c r="F655" s="7" t="n">
        <v>0</v>
      </c>
      <c r="G655" s="7" t="n">
        <v>0</v>
      </c>
    </row>
    <row r="656" customFormat="false" ht="15" hidden="false" customHeight="false" outlineLevel="0" collapsed="false">
      <c r="A656" s="7" t="s">
        <v>24</v>
      </c>
      <c r="B656" s="7" t="s">
        <v>443</v>
      </c>
      <c r="C656" s="7" t="s">
        <v>1187</v>
      </c>
      <c r="D656" s="7" t="n">
        <v>1</v>
      </c>
      <c r="E656" s="7" t="n">
        <v>444.83</v>
      </c>
      <c r="F656" s="7" t="n">
        <v>0</v>
      </c>
      <c r="G656" s="7" t="n">
        <v>0</v>
      </c>
    </row>
    <row r="657" customFormat="false" ht="15" hidden="false" customHeight="false" outlineLevel="0" collapsed="false">
      <c r="A657" s="7" t="s">
        <v>24</v>
      </c>
      <c r="B657" s="7" t="s">
        <v>211</v>
      </c>
      <c r="C657" s="7" t="s">
        <v>1187</v>
      </c>
      <c r="D657" s="7" t="n">
        <v>4</v>
      </c>
      <c r="E657" s="7" t="n">
        <v>1645.88</v>
      </c>
      <c r="F657" s="7" t="n">
        <v>0</v>
      </c>
      <c r="G657" s="7" t="n">
        <v>0</v>
      </c>
    </row>
    <row r="658" customFormat="false" ht="15" hidden="false" customHeight="false" outlineLevel="0" collapsed="false">
      <c r="A658" s="7" t="s">
        <v>24</v>
      </c>
      <c r="B658" s="7" t="s">
        <v>211</v>
      </c>
      <c r="C658" s="7" t="s">
        <v>1187</v>
      </c>
      <c r="D658" s="7" t="n">
        <v>1</v>
      </c>
      <c r="E658" s="7" t="n">
        <v>0.01</v>
      </c>
      <c r="F658" s="7" t="n">
        <v>0</v>
      </c>
      <c r="G658" s="7" t="n">
        <v>0</v>
      </c>
    </row>
    <row r="659" customFormat="false" ht="15" hidden="false" customHeight="false" outlineLevel="0" collapsed="false">
      <c r="A659" s="7" t="s">
        <v>24</v>
      </c>
      <c r="B659" s="7" t="s">
        <v>265</v>
      </c>
      <c r="C659" s="7" t="s">
        <v>1188</v>
      </c>
      <c r="D659" s="7" t="n">
        <v>2</v>
      </c>
      <c r="E659" s="7" t="n">
        <v>479.5</v>
      </c>
      <c r="F659" s="7" t="n">
        <v>0</v>
      </c>
      <c r="G659" s="7" t="n">
        <v>0</v>
      </c>
    </row>
    <row r="660" customFormat="false" ht="15" hidden="false" customHeight="false" outlineLevel="0" collapsed="false">
      <c r="A660" s="7" t="s">
        <v>24</v>
      </c>
      <c r="B660" s="7" t="s">
        <v>265</v>
      </c>
      <c r="C660" s="7" t="s">
        <v>1188</v>
      </c>
      <c r="D660" s="7" t="n">
        <v>0</v>
      </c>
      <c r="E660" s="7" t="n">
        <v>0</v>
      </c>
      <c r="F660" s="7" t="n">
        <v>1</v>
      </c>
      <c r="G660" s="7" t="n">
        <v>254.15</v>
      </c>
    </row>
    <row r="661" customFormat="false" ht="15" hidden="false" customHeight="false" outlineLevel="0" collapsed="false">
      <c r="A661" s="7" t="s">
        <v>24</v>
      </c>
      <c r="B661" s="7" t="s">
        <v>265</v>
      </c>
      <c r="C661" s="7" t="s">
        <v>1188</v>
      </c>
      <c r="D661" s="7" t="n">
        <v>6</v>
      </c>
      <c r="E661" s="7" t="n">
        <v>1410.54</v>
      </c>
      <c r="F661" s="7" t="n">
        <v>2</v>
      </c>
      <c r="G661" s="7" t="n">
        <v>508.3</v>
      </c>
    </row>
    <row r="662" customFormat="false" ht="15" hidden="false" customHeight="false" outlineLevel="0" collapsed="false">
      <c r="A662" s="7" t="s">
        <v>24</v>
      </c>
      <c r="B662" s="7" t="s">
        <v>625</v>
      </c>
      <c r="C662" s="7" t="s">
        <v>1188</v>
      </c>
      <c r="D662" s="7" t="n">
        <v>0</v>
      </c>
      <c r="E662" s="7" t="n">
        <v>0</v>
      </c>
      <c r="F662" s="7" t="n">
        <v>1</v>
      </c>
      <c r="G662" s="7" t="n">
        <v>254.15</v>
      </c>
    </row>
    <row r="663" customFormat="false" ht="15" hidden="false" customHeight="false" outlineLevel="0" collapsed="false">
      <c r="A663" s="7" t="s">
        <v>24</v>
      </c>
      <c r="B663" s="7" t="s">
        <v>625</v>
      </c>
      <c r="C663" s="7" t="s">
        <v>1188</v>
      </c>
      <c r="D663" s="7" t="n">
        <v>0</v>
      </c>
      <c r="E663" s="7" t="n">
        <v>0</v>
      </c>
      <c r="F663" s="7" t="n">
        <v>2</v>
      </c>
      <c r="G663" s="7" t="n">
        <v>508.3</v>
      </c>
    </row>
    <row r="664" customFormat="false" ht="15" hidden="false" customHeight="false" outlineLevel="0" collapsed="false">
      <c r="A664" s="7" t="s">
        <v>24</v>
      </c>
      <c r="B664" s="7" t="s">
        <v>625</v>
      </c>
      <c r="C664" s="7" t="s">
        <v>1188</v>
      </c>
      <c r="D664" s="7" t="n">
        <v>0</v>
      </c>
      <c r="E664" s="7" t="n">
        <v>0</v>
      </c>
      <c r="F664" s="7" t="n">
        <v>1</v>
      </c>
      <c r="G664" s="7" t="n">
        <v>216.03</v>
      </c>
    </row>
    <row r="665" customFormat="false" ht="15" hidden="false" customHeight="false" outlineLevel="0" collapsed="false">
      <c r="A665" s="7" t="s">
        <v>24</v>
      </c>
      <c r="B665" s="7" t="s">
        <v>625</v>
      </c>
      <c r="C665" s="7" t="s">
        <v>1188</v>
      </c>
      <c r="D665" s="7" t="n">
        <v>6</v>
      </c>
      <c r="E665" s="7" t="n">
        <v>1410.54</v>
      </c>
      <c r="F665" s="7" t="n">
        <v>0</v>
      </c>
      <c r="G665" s="7" t="n">
        <v>0</v>
      </c>
    </row>
    <row r="666" customFormat="false" ht="15" hidden="false" customHeight="false" outlineLevel="0" collapsed="false">
      <c r="A666" s="7" t="s">
        <v>24</v>
      </c>
      <c r="B666" s="7" t="s">
        <v>625</v>
      </c>
      <c r="C666" s="7" t="s">
        <v>1188</v>
      </c>
      <c r="D666" s="7" t="n">
        <v>0</v>
      </c>
      <c r="E666" s="7" t="n">
        <v>0</v>
      </c>
      <c r="F666" s="7" t="n">
        <v>1</v>
      </c>
      <c r="G666" s="7" t="n">
        <v>254.15</v>
      </c>
    </row>
    <row r="667" customFormat="false" ht="15" hidden="false" customHeight="false" outlineLevel="0" collapsed="false">
      <c r="A667" s="7" t="s">
        <v>24</v>
      </c>
      <c r="B667" s="7" t="s">
        <v>508</v>
      </c>
      <c r="C667" s="7" t="s">
        <v>1188</v>
      </c>
      <c r="D667" s="7" t="n">
        <v>2</v>
      </c>
      <c r="E667" s="7" t="n">
        <v>482.88</v>
      </c>
      <c r="F667" s="7" t="n">
        <v>0</v>
      </c>
      <c r="G667" s="7" t="n">
        <v>0</v>
      </c>
    </row>
    <row r="668" customFormat="false" ht="15" hidden="false" customHeight="false" outlineLevel="0" collapsed="false">
      <c r="A668" s="7" t="s">
        <v>24</v>
      </c>
      <c r="B668" s="7" t="s">
        <v>508</v>
      </c>
      <c r="C668" s="7" t="s">
        <v>1188</v>
      </c>
      <c r="D668" s="7" t="n">
        <v>0</v>
      </c>
      <c r="E668" s="7" t="n">
        <v>0</v>
      </c>
      <c r="F668" s="7" t="n">
        <v>1</v>
      </c>
      <c r="G668" s="7" t="n">
        <v>406.69</v>
      </c>
    </row>
    <row r="669" customFormat="false" ht="15" hidden="false" customHeight="false" outlineLevel="0" collapsed="false">
      <c r="A669" s="7" t="s">
        <v>24</v>
      </c>
      <c r="B669" s="7" t="s">
        <v>508</v>
      </c>
      <c r="C669" s="7" t="s">
        <v>1188</v>
      </c>
      <c r="D669" s="7" t="n">
        <v>1</v>
      </c>
      <c r="E669" s="7" t="n">
        <v>239.75</v>
      </c>
      <c r="F669" s="7" t="n">
        <v>0</v>
      </c>
      <c r="G669" s="7" t="n">
        <v>0</v>
      </c>
    </row>
    <row r="670" customFormat="false" ht="15" hidden="false" customHeight="false" outlineLevel="0" collapsed="false">
      <c r="A670" s="7" t="s">
        <v>24</v>
      </c>
      <c r="B670" s="7" t="s">
        <v>584</v>
      </c>
      <c r="C670" s="7" t="s">
        <v>1188</v>
      </c>
      <c r="D670" s="7" t="n">
        <v>4</v>
      </c>
      <c r="E670" s="7" t="n">
        <v>1016.6</v>
      </c>
      <c r="F670" s="7" t="n">
        <v>4</v>
      </c>
      <c r="G670" s="7" t="n">
        <v>1016.6</v>
      </c>
    </row>
    <row r="671" customFormat="false" ht="15" hidden="false" customHeight="false" outlineLevel="0" collapsed="false">
      <c r="A671" s="7" t="s">
        <v>24</v>
      </c>
      <c r="B671" s="7" t="s">
        <v>584</v>
      </c>
      <c r="C671" s="7" t="s">
        <v>1188</v>
      </c>
      <c r="D671" s="7" t="n">
        <v>0</v>
      </c>
      <c r="E671" s="7" t="n">
        <v>0</v>
      </c>
      <c r="F671" s="7" t="n">
        <v>1</v>
      </c>
      <c r="G671" s="7" t="n">
        <v>228.74</v>
      </c>
    </row>
    <row r="672" customFormat="false" ht="15" hidden="false" customHeight="false" outlineLevel="0" collapsed="false">
      <c r="A672" s="7" t="s">
        <v>24</v>
      </c>
      <c r="B672" s="7" t="s">
        <v>584</v>
      </c>
      <c r="C672" s="7" t="s">
        <v>1188</v>
      </c>
      <c r="D672" s="7" t="n">
        <v>1</v>
      </c>
      <c r="E672" s="7" t="n">
        <v>239.75</v>
      </c>
      <c r="F672" s="7" t="n">
        <v>0</v>
      </c>
      <c r="G672" s="7" t="n">
        <v>0</v>
      </c>
    </row>
    <row r="673" customFormat="false" ht="15" hidden="false" customHeight="false" outlineLevel="0" collapsed="false">
      <c r="A673" s="7" t="s">
        <v>24</v>
      </c>
      <c r="B673" s="7" t="s">
        <v>584</v>
      </c>
      <c r="C673" s="7" t="s">
        <v>1188</v>
      </c>
      <c r="D673" s="7" t="n">
        <v>0</v>
      </c>
      <c r="E673" s="7" t="n">
        <v>0</v>
      </c>
      <c r="F673" s="7" t="n">
        <v>1</v>
      </c>
      <c r="G673" s="7" t="n">
        <v>228.73</v>
      </c>
    </row>
    <row r="674" customFormat="false" ht="15" hidden="false" customHeight="false" outlineLevel="0" collapsed="false">
      <c r="A674" s="7" t="s">
        <v>24</v>
      </c>
      <c r="B674" s="7" t="s">
        <v>552</v>
      </c>
      <c r="C674" s="7" t="s">
        <v>1188</v>
      </c>
      <c r="D674" s="7" t="n">
        <v>2</v>
      </c>
      <c r="E674" s="7" t="n">
        <v>508.3</v>
      </c>
      <c r="F674" s="7" t="n">
        <v>1</v>
      </c>
      <c r="G674" s="7" t="n">
        <v>254.15</v>
      </c>
    </row>
    <row r="675" customFormat="false" ht="15" hidden="false" customHeight="false" outlineLevel="0" collapsed="false">
      <c r="A675" s="7" t="s">
        <v>24</v>
      </c>
      <c r="B675" s="7" t="s">
        <v>573</v>
      </c>
      <c r="C675" s="7" t="s">
        <v>1188</v>
      </c>
      <c r="D675" s="7" t="n">
        <v>0</v>
      </c>
      <c r="E675" s="7" t="n">
        <v>0</v>
      </c>
      <c r="F675" s="7" t="n">
        <v>1</v>
      </c>
      <c r="G675" s="7" t="n">
        <v>254.15</v>
      </c>
    </row>
    <row r="676" customFormat="false" ht="15" hidden="false" customHeight="false" outlineLevel="0" collapsed="false">
      <c r="A676" s="7" t="s">
        <v>24</v>
      </c>
      <c r="B676" s="7" t="s">
        <v>573</v>
      </c>
      <c r="C676" s="7" t="s">
        <v>1188</v>
      </c>
      <c r="D676" s="7" t="n">
        <v>5</v>
      </c>
      <c r="E676" s="7" t="n">
        <v>1232.63</v>
      </c>
      <c r="F676" s="7" t="n">
        <v>1</v>
      </c>
      <c r="G676" s="7" t="n">
        <v>254.15</v>
      </c>
    </row>
    <row r="677" customFormat="false" ht="15" hidden="false" customHeight="false" outlineLevel="0" collapsed="false">
      <c r="A677" s="7" t="s">
        <v>24</v>
      </c>
      <c r="B677" s="7" t="s">
        <v>573</v>
      </c>
      <c r="C677" s="7" t="s">
        <v>1188</v>
      </c>
      <c r="D677" s="7" t="n">
        <v>0</v>
      </c>
      <c r="E677" s="7" t="n">
        <v>0</v>
      </c>
      <c r="F677" s="7" t="n">
        <v>1</v>
      </c>
      <c r="G677" s="7" t="n">
        <v>216.03</v>
      </c>
    </row>
    <row r="678" customFormat="false" ht="15" hidden="false" customHeight="false" outlineLevel="0" collapsed="false">
      <c r="A678" s="7" t="s">
        <v>24</v>
      </c>
      <c r="B678" s="7" t="s">
        <v>573</v>
      </c>
      <c r="C678" s="7" t="s">
        <v>1188</v>
      </c>
      <c r="D678" s="7" t="n">
        <v>0</v>
      </c>
      <c r="E678" s="7" t="n">
        <v>0</v>
      </c>
      <c r="F678" s="7" t="n">
        <v>1</v>
      </c>
      <c r="G678" s="7" t="n">
        <v>228.73</v>
      </c>
    </row>
    <row r="679" customFormat="false" ht="15" hidden="false" customHeight="false" outlineLevel="0" collapsed="false">
      <c r="A679" s="7" t="s">
        <v>24</v>
      </c>
      <c r="B679" s="7" t="s">
        <v>573</v>
      </c>
      <c r="C679" s="7" t="s">
        <v>1188</v>
      </c>
      <c r="D679" s="7" t="n">
        <v>1</v>
      </c>
      <c r="E679" s="7" t="n">
        <v>203.79</v>
      </c>
      <c r="F679" s="7" t="n">
        <v>0</v>
      </c>
      <c r="G679" s="7" t="n">
        <v>0</v>
      </c>
    </row>
    <row r="680" customFormat="false" ht="15" hidden="false" customHeight="false" outlineLevel="0" collapsed="false">
      <c r="A680" s="7" t="s">
        <v>24</v>
      </c>
      <c r="B680" s="7" t="s">
        <v>573</v>
      </c>
      <c r="C680" s="7" t="s">
        <v>1188</v>
      </c>
      <c r="D680" s="7" t="n">
        <v>0</v>
      </c>
      <c r="E680" s="7" t="n">
        <v>0</v>
      </c>
      <c r="F680" s="7" t="n">
        <v>1</v>
      </c>
      <c r="G680" s="7" t="n">
        <v>254.16</v>
      </c>
    </row>
    <row r="681" customFormat="false" ht="15" hidden="false" customHeight="false" outlineLevel="0" collapsed="false">
      <c r="A681" s="7" t="s">
        <v>24</v>
      </c>
      <c r="B681" s="7" t="s">
        <v>633</v>
      </c>
      <c r="C681" s="7" t="s">
        <v>1189</v>
      </c>
      <c r="D681" s="7" t="n">
        <v>0</v>
      </c>
      <c r="E681" s="7" t="n">
        <v>0</v>
      </c>
      <c r="F681" s="7" t="n">
        <v>1</v>
      </c>
      <c r="G681" s="7" t="n">
        <v>169.4</v>
      </c>
    </row>
    <row r="682" customFormat="false" ht="15" hidden="false" customHeight="false" outlineLevel="0" collapsed="false">
      <c r="A682" s="7" t="s">
        <v>24</v>
      </c>
      <c r="B682" s="7" t="s">
        <v>716</v>
      </c>
      <c r="C682" s="7" t="s">
        <v>1189</v>
      </c>
      <c r="D682" s="7" t="n">
        <v>0</v>
      </c>
      <c r="E682" s="7" t="n">
        <v>0</v>
      </c>
      <c r="F682" s="7" t="n">
        <v>1</v>
      </c>
      <c r="G682" s="7" t="n">
        <v>169.41</v>
      </c>
    </row>
    <row r="683" customFormat="false" ht="15" hidden="false" customHeight="false" outlineLevel="0" collapsed="false">
      <c r="A683" s="7" t="s">
        <v>24</v>
      </c>
      <c r="B683" s="7" t="s">
        <v>716</v>
      </c>
      <c r="C683" s="7" t="s">
        <v>1189</v>
      </c>
      <c r="D683" s="7" t="n">
        <v>0</v>
      </c>
      <c r="E683" s="7" t="n">
        <v>0</v>
      </c>
      <c r="F683" s="7" t="n">
        <v>1</v>
      </c>
      <c r="G683" s="7" t="n">
        <v>169.4</v>
      </c>
    </row>
    <row r="684" customFormat="false" ht="15" hidden="false" customHeight="false" outlineLevel="0" collapsed="false">
      <c r="A684" s="7" t="s">
        <v>24</v>
      </c>
      <c r="B684" s="7" t="s">
        <v>716</v>
      </c>
      <c r="C684" s="7" t="s">
        <v>1189</v>
      </c>
      <c r="D684" s="7" t="n">
        <v>0</v>
      </c>
      <c r="E684" s="7" t="n">
        <v>0</v>
      </c>
      <c r="F684" s="7" t="n">
        <v>1</v>
      </c>
      <c r="G684" s="7" t="n">
        <v>169.4</v>
      </c>
    </row>
    <row r="685" customFormat="false" ht="15" hidden="false" customHeight="false" outlineLevel="0" collapsed="false">
      <c r="A685" s="7" t="s">
        <v>24</v>
      </c>
      <c r="B685" s="7" t="s">
        <v>716</v>
      </c>
      <c r="C685" s="7" t="s">
        <v>1189</v>
      </c>
      <c r="D685" s="7" t="n">
        <v>5</v>
      </c>
      <c r="E685" s="7" t="n">
        <v>1368.28</v>
      </c>
      <c r="F685" s="7" t="n">
        <v>2</v>
      </c>
      <c r="G685" s="7" t="n">
        <v>451.52</v>
      </c>
    </row>
    <row r="686" customFormat="false" ht="15" hidden="false" customHeight="false" outlineLevel="0" collapsed="false">
      <c r="A686" s="7" t="s">
        <v>24</v>
      </c>
      <c r="B686" s="7" t="s">
        <v>716</v>
      </c>
      <c r="C686" s="7" t="s">
        <v>1189</v>
      </c>
      <c r="D686" s="7" t="n">
        <v>0</v>
      </c>
      <c r="E686" s="7" t="n">
        <v>0</v>
      </c>
      <c r="F686" s="7" t="n">
        <v>1</v>
      </c>
      <c r="G686" s="7" t="n">
        <v>169.4</v>
      </c>
    </row>
    <row r="687" customFormat="false" ht="15" hidden="false" customHeight="false" outlineLevel="0" collapsed="false">
      <c r="A687" s="7" t="s">
        <v>24</v>
      </c>
      <c r="B687" s="7" t="s">
        <v>716</v>
      </c>
      <c r="C687" s="7" t="s">
        <v>1189</v>
      </c>
      <c r="D687" s="7" t="n">
        <v>0</v>
      </c>
      <c r="E687" s="7" t="n">
        <v>0</v>
      </c>
      <c r="F687" s="7" t="n">
        <v>1</v>
      </c>
      <c r="G687" s="7" t="n">
        <v>152.46</v>
      </c>
    </row>
    <row r="688" customFormat="false" ht="15" hidden="false" customHeight="false" outlineLevel="0" collapsed="false">
      <c r="A688" s="7" t="s">
        <v>24</v>
      </c>
      <c r="B688" s="7" t="s">
        <v>716</v>
      </c>
      <c r="C688" s="7" t="s">
        <v>1189</v>
      </c>
      <c r="D688" s="7" t="n">
        <v>0</v>
      </c>
      <c r="E688" s="7" t="n">
        <v>0</v>
      </c>
      <c r="F688" s="7" t="n">
        <v>1</v>
      </c>
      <c r="G688" s="7" t="n">
        <v>169.41</v>
      </c>
    </row>
    <row r="689" customFormat="false" ht="15" hidden="false" customHeight="false" outlineLevel="0" collapsed="false">
      <c r="A689" s="7" t="s">
        <v>24</v>
      </c>
      <c r="B689" s="7" t="s">
        <v>304</v>
      </c>
      <c r="C689" s="7" t="s">
        <v>1189</v>
      </c>
      <c r="D689" s="7" t="n">
        <v>0</v>
      </c>
      <c r="E689" s="7" t="n">
        <v>0</v>
      </c>
      <c r="F689" s="7" t="n">
        <v>1</v>
      </c>
      <c r="G689" s="7" t="n">
        <v>169.4</v>
      </c>
    </row>
    <row r="690" customFormat="false" ht="15" hidden="false" customHeight="false" outlineLevel="0" collapsed="false">
      <c r="A690" s="7" t="s">
        <v>24</v>
      </c>
      <c r="B690" s="7" t="s">
        <v>304</v>
      </c>
      <c r="C690" s="7" t="s">
        <v>1189</v>
      </c>
      <c r="D690" s="7" t="n">
        <v>0</v>
      </c>
      <c r="E690" s="7" t="n">
        <v>0</v>
      </c>
      <c r="F690" s="7" t="n">
        <v>1</v>
      </c>
      <c r="G690" s="7" t="n">
        <v>282.12</v>
      </c>
    </row>
    <row r="691" customFormat="false" ht="15" hidden="false" customHeight="false" outlineLevel="0" collapsed="false">
      <c r="A691" s="7" t="s">
        <v>24</v>
      </c>
      <c r="B691" s="7" t="s">
        <v>304</v>
      </c>
      <c r="C691" s="7" t="s">
        <v>1189</v>
      </c>
      <c r="D691" s="7" t="n">
        <v>0</v>
      </c>
      <c r="E691" s="7" t="n">
        <v>0</v>
      </c>
      <c r="F691" s="7" t="n">
        <v>1</v>
      </c>
      <c r="G691" s="7" t="n">
        <v>282.12</v>
      </c>
    </row>
    <row r="692" customFormat="false" ht="15" hidden="false" customHeight="false" outlineLevel="0" collapsed="false">
      <c r="A692" s="7" t="s">
        <v>24</v>
      </c>
      <c r="B692" s="7" t="s">
        <v>304</v>
      </c>
      <c r="C692" s="7" t="s">
        <v>1189</v>
      </c>
      <c r="D692" s="7" t="n">
        <v>0</v>
      </c>
      <c r="E692" s="7" t="n">
        <v>0</v>
      </c>
      <c r="F692" s="7" t="n">
        <v>1</v>
      </c>
      <c r="G692" s="7" t="n">
        <v>152.46</v>
      </c>
    </row>
    <row r="693" customFormat="false" ht="15" hidden="false" customHeight="false" outlineLevel="0" collapsed="false">
      <c r="A693" s="7" t="s">
        <v>24</v>
      </c>
      <c r="B693" s="7" t="s">
        <v>349</v>
      </c>
      <c r="C693" s="7" t="s">
        <v>1034</v>
      </c>
      <c r="D693" s="7" t="n">
        <v>0</v>
      </c>
      <c r="E693" s="7" t="n">
        <v>0</v>
      </c>
      <c r="F693" s="7" t="n">
        <v>1</v>
      </c>
      <c r="G693" s="7" t="n">
        <v>211.77</v>
      </c>
    </row>
    <row r="694" customFormat="false" ht="15" hidden="false" customHeight="false" outlineLevel="0" collapsed="false">
      <c r="A694" s="7" t="s">
        <v>24</v>
      </c>
      <c r="B694" s="7" t="s">
        <v>349</v>
      </c>
      <c r="C694" s="7" t="s">
        <v>1034</v>
      </c>
      <c r="D694" s="7" t="n">
        <v>0</v>
      </c>
      <c r="E694" s="7" t="n">
        <v>0</v>
      </c>
      <c r="F694" s="7" t="n">
        <v>5</v>
      </c>
      <c r="G694" s="7" t="n">
        <v>963.6</v>
      </c>
    </row>
    <row r="695" customFormat="false" ht="15" hidden="false" customHeight="false" outlineLevel="0" collapsed="false">
      <c r="A695" s="7" t="s">
        <v>24</v>
      </c>
      <c r="B695" s="7" t="s">
        <v>349</v>
      </c>
      <c r="C695" s="7" t="s">
        <v>1034</v>
      </c>
      <c r="D695" s="7" t="n">
        <v>0</v>
      </c>
      <c r="E695" s="7" t="n">
        <v>0</v>
      </c>
      <c r="F695" s="7" t="n">
        <v>1</v>
      </c>
      <c r="G695" s="7" t="n">
        <v>211.78</v>
      </c>
    </row>
    <row r="696" customFormat="false" ht="15" hidden="false" customHeight="false" outlineLevel="0" collapsed="false">
      <c r="A696" s="7" t="s">
        <v>24</v>
      </c>
      <c r="B696" s="7" t="s">
        <v>349</v>
      </c>
      <c r="C696" s="7" t="s">
        <v>1034</v>
      </c>
      <c r="D696" s="7" t="n">
        <v>0</v>
      </c>
      <c r="E696" s="7" t="n">
        <v>0</v>
      </c>
      <c r="F696" s="7" t="n">
        <v>1</v>
      </c>
      <c r="G696" s="7" t="n">
        <v>211.78</v>
      </c>
    </row>
    <row r="697" customFormat="false" ht="15" hidden="false" customHeight="false" outlineLevel="0" collapsed="false">
      <c r="A697" s="7" t="s">
        <v>24</v>
      </c>
      <c r="B697" s="7" t="s">
        <v>349</v>
      </c>
      <c r="C697" s="7" t="s">
        <v>1034</v>
      </c>
      <c r="D697" s="7" t="n">
        <v>0</v>
      </c>
      <c r="E697" s="7" t="n">
        <v>0</v>
      </c>
      <c r="F697" s="7" t="n">
        <v>1</v>
      </c>
      <c r="G697" s="7" t="n">
        <v>211.78</v>
      </c>
    </row>
    <row r="698" customFormat="false" ht="15" hidden="false" customHeight="false" outlineLevel="0" collapsed="false">
      <c r="A698" s="7" t="s">
        <v>24</v>
      </c>
      <c r="B698" s="7" t="s">
        <v>349</v>
      </c>
      <c r="C698" s="7" t="s">
        <v>1034</v>
      </c>
      <c r="D698" s="7" t="n">
        <v>0</v>
      </c>
      <c r="E698" s="7" t="n">
        <v>0</v>
      </c>
      <c r="F698" s="7" t="n">
        <v>1</v>
      </c>
      <c r="G698" s="7" t="n">
        <v>190.6</v>
      </c>
    </row>
    <row r="699" customFormat="false" ht="15" hidden="false" customHeight="false" outlineLevel="0" collapsed="false">
      <c r="A699" s="7" t="s">
        <v>24</v>
      </c>
      <c r="B699" s="7" t="s">
        <v>349</v>
      </c>
      <c r="C699" s="7" t="s">
        <v>1034</v>
      </c>
      <c r="D699" s="7" t="n">
        <v>0</v>
      </c>
      <c r="E699" s="7" t="n">
        <v>0</v>
      </c>
      <c r="F699" s="7" t="n">
        <v>2</v>
      </c>
      <c r="G699" s="7" t="n">
        <v>320.25</v>
      </c>
    </row>
    <row r="700" customFormat="false" ht="15" hidden="false" customHeight="false" outlineLevel="0" collapsed="false">
      <c r="A700" s="7" t="s">
        <v>24</v>
      </c>
      <c r="B700" s="7" t="s">
        <v>349</v>
      </c>
      <c r="C700" s="7" t="s">
        <v>1034</v>
      </c>
      <c r="D700" s="7" t="n">
        <v>0</v>
      </c>
      <c r="E700" s="7" t="n">
        <v>0</v>
      </c>
      <c r="F700" s="7" t="n">
        <v>1</v>
      </c>
      <c r="G700" s="7" t="n">
        <v>211.79</v>
      </c>
    </row>
    <row r="701" customFormat="false" ht="15" hidden="false" customHeight="false" outlineLevel="0" collapsed="false">
      <c r="A701" s="7" t="s">
        <v>24</v>
      </c>
      <c r="B701" s="7" t="s">
        <v>349</v>
      </c>
      <c r="C701" s="7" t="s">
        <v>1034</v>
      </c>
      <c r="D701" s="7" t="n">
        <v>0</v>
      </c>
      <c r="E701" s="7" t="n">
        <v>0</v>
      </c>
      <c r="F701" s="7" t="n">
        <v>4</v>
      </c>
      <c r="G701" s="7" t="n">
        <v>804.76</v>
      </c>
    </row>
    <row r="702" customFormat="false" ht="15" hidden="false" customHeight="false" outlineLevel="0" collapsed="false">
      <c r="A702" s="7" t="s">
        <v>24</v>
      </c>
      <c r="B702" s="7" t="s">
        <v>349</v>
      </c>
      <c r="C702" s="7" t="s">
        <v>1034</v>
      </c>
      <c r="D702" s="7" t="n">
        <v>0</v>
      </c>
      <c r="E702" s="7" t="n">
        <v>0</v>
      </c>
      <c r="F702" s="7" t="n">
        <v>1</v>
      </c>
      <c r="G702" s="7" t="n">
        <v>211.78</v>
      </c>
    </row>
    <row r="703" customFormat="false" ht="15" hidden="false" customHeight="false" outlineLevel="0" collapsed="false">
      <c r="A703" s="7" t="s">
        <v>24</v>
      </c>
      <c r="B703" s="7" t="s">
        <v>349</v>
      </c>
      <c r="C703" s="7" t="s">
        <v>1034</v>
      </c>
      <c r="D703" s="7" t="n">
        <v>0</v>
      </c>
      <c r="E703" s="7" t="n">
        <v>0</v>
      </c>
      <c r="F703" s="7" t="n">
        <v>1</v>
      </c>
      <c r="G703" s="7" t="n">
        <v>211.78</v>
      </c>
    </row>
    <row r="704" customFormat="false" ht="15" hidden="false" customHeight="false" outlineLevel="0" collapsed="false">
      <c r="A704" s="7" t="s">
        <v>24</v>
      </c>
      <c r="B704" s="7" t="s">
        <v>349</v>
      </c>
      <c r="C704" s="7" t="s">
        <v>1034</v>
      </c>
      <c r="D704" s="7" t="n">
        <v>0</v>
      </c>
      <c r="E704" s="7" t="n">
        <v>0</v>
      </c>
      <c r="F704" s="7" t="n">
        <v>1</v>
      </c>
      <c r="G704" s="7" t="n">
        <v>211.78</v>
      </c>
    </row>
    <row r="705" customFormat="false" ht="15" hidden="false" customHeight="false" outlineLevel="0" collapsed="false">
      <c r="A705" s="7" t="s">
        <v>24</v>
      </c>
      <c r="B705" s="7" t="s">
        <v>349</v>
      </c>
      <c r="C705" s="7" t="s">
        <v>1034</v>
      </c>
      <c r="D705" s="7" t="n">
        <v>0</v>
      </c>
      <c r="E705" s="7" t="n">
        <v>0</v>
      </c>
      <c r="F705" s="7" t="n">
        <v>1</v>
      </c>
      <c r="G705" s="7" t="n">
        <v>211.78</v>
      </c>
    </row>
    <row r="706" customFormat="false" ht="15" hidden="false" customHeight="false" outlineLevel="0" collapsed="false">
      <c r="A706" s="7" t="s">
        <v>24</v>
      </c>
      <c r="B706" s="7" t="s">
        <v>349</v>
      </c>
      <c r="C706" s="7" t="s">
        <v>1034</v>
      </c>
      <c r="D706" s="7" t="n">
        <v>0</v>
      </c>
      <c r="E706" s="7" t="n">
        <v>0</v>
      </c>
      <c r="F706" s="7" t="n">
        <v>2</v>
      </c>
      <c r="G706" s="7" t="n">
        <v>423.56</v>
      </c>
    </row>
    <row r="707" customFormat="false" ht="15" hidden="false" customHeight="false" outlineLevel="0" collapsed="false">
      <c r="A707" s="7" t="s">
        <v>24</v>
      </c>
      <c r="B707" s="7" t="s">
        <v>349</v>
      </c>
      <c r="C707" s="7" t="s">
        <v>1034</v>
      </c>
      <c r="D707" s="7" t="n">
        <v>0</v>
      </c>
      <c r="E707" s="7" t="n">
        <v>0</v>
      </c>
      <c r="F707" s="7" t="n">
        <v>1</v>
      </c>
      <c r="G707" s="7" t="n">
        <v>211.78</v>
      </c>
    </row>
    <row r="708" customFormat="false" ht="15" hidden="false" customHeight="false" outlineLevel="0" collapsed="false">
      <c r="A708" s="7" t="s">
        <v>24</v>
      </c>
      <c r="B708" s="7" t="s">
        <v>349</v>
      </c>
      <c r="C708" s="7" t="s">
        <v>1034</v>
      </c>
      <c r="D708" s="7" t="n">
        <v>52</v>
      </c>
      <c r="E708" s="7" t="n">
        <v>9911.27</v>
      </c>
      <c r="F708" s="7" t="n">
        <v>17</v>
      </c>
      <c r="G708" s="7" t="n">
        <v>3515.54</v>
      </c>
    </row>
    <row r="709" customFormat="false" ht="15" hidden="false" customHeight="false" outlineLevel="0" collapsed="false">
      <c r="A709" s="7" t="s">
        <v>24</v>
      </c>
      <c r="B709" s="7" t="s">
        <v>349</v>
      </c>
      <c r="C709" s="7" t="s">
        <v>1034</v>
      </c>
      <c r="D709" s="7" t="n">
        <v>0</v>
      </c>
      <c r="E709" s="7" t="n">
        <v>0</v>
      </c>
      <c r="F709" s="7" t="n">
        <v>3</v>
      </c>
      <c r="G709" s="7" t="n">
        <v>614.16</v>
      </c>
    </row>
    <row r="710" customFormat="false" ht="15" hidden="false" customHeight="false" outlineLevel="0" collapsed="false">
      <c r="A710" s="7" t="s">
        <v>24</v>
      </c>
      <c r="B710" s="7" t="s">
        <v>349</v>
      </c>
      <c r="C710" s="7" t="s">
        <v>1034</v>
      </c>
      <c r="D710" s="7" t="n">
        <v>4</v>
      </c>
      <c r="E710" s="7" t="n">
        <v>756.64</v>
      </c>
      <c r="F710" s="7" t="n">
        <v>0</v>
      </c>
      <c r="G710" s="7" t="n">
        <v>0</v>
      </c>
    </row>
    <row r="711" customFormat="false" ht="15" hidden="false" customHeight="false" outlineLevel="0" collapsed="false">
      <c r="A711" s="7" t="s">
        <v>24</v>
      </c>
      <c r="B711" s="7" t="s">
        <v>349</v>
      </c>
      <c r="C711" s="7" t="s">
        <v>1034</v>
      </c>
      <c r="D711" s="7" t="n">
        <v>0</v>
      </c>
      <c r="E711" s="7" t="n">
        <v>0</v>
      </c>
      <c r="F711" s="7" t="n">
        <v>1</v>
      </c>
      <c r="G711" s="7" t="n">
        <v>211.78</v>
      </c>
    </row>
    <row r="712" customFormat="false" ht="15" hidden="false" customHeight="false" outlineLevel="0" collapsed="false">
      <c r="A712" s="7" t="s">
        <v>24</v>
      </c>
      <c r="B712" s="7" t="s">
        <v>349</v>
      </c>
      <c r="C712" s="7" t="s">
        <v>1034</v>
      </c>
      <c r="D712" s="7" t="n">
        <v>0</v>
      </c>
      <c r="E712" s="7" t="n">
        <v>0</v>
      </c>
      <c r="F712" s="7" t="n">
        <v>2</v>
      </c>
      <c r="G712" s="7" t="n">
        <v>423.56</v>
      </c>
    </row>
    <row r="713" customFormat="false" ht="15" hidden="false" customHeight="false" outlineLevel="0" collapsed="false">
      <c r="A713" s="7" t="s">
        <v>24</v>
      </c>
      <c r="B713" s="7" t="s">
        <v>349</v>
      </c>
      <c r="C713" s="7" t="s">
        <v>1034</v>
      </c>
      <c r="D713" s="7" t="n">
        <v>0</v>
      </c>
      <c r="E713" s="7" t="n">
        <v>0</v>
      </c>
      <c r="F713" s="7" t="n">
        <v>1</v>
      </c>
      <c r="G713" s="7" t="n">
        <v>211.78</v>
      </c>
    </row>
    <row r="714" customFormat="false" ht="15" hidden="false" customHeight="false" outlineLevel="0" collapsed="false">
      <c r="A714" s="7" t="s">
        <v>24</v>
      </c>
      <c r="B714" s="7" t="s">
        <v>349</v>
      </c>
      <c r="C714" s="7" t="s">
        <v>1034</v>
      </c>
      <c r="D714" s="7" t="n">
        <v>0</v>
      </c>
      <c r="E714" s="7" t="n">
        <v>0</v>
      </c>
      <c r="F714" s="7" t="n">
        <v>1</v>
      </c>
      <c r="G714" s="7" t="n">
        <v>211.78</v>
      </c>
    </row>
    <row r="715" customFormat="false" ht="15" hidden="false" customHeight="false" outlineLevel="0" collapsed="false">
      <c r="A715" s="7" t="s">
        <v>24</v>
      </c>
      <c r="B715" s="7" t="s">
        <v>160</v>
      </c>
      <c r="C715" s="7" t="s">
        <v>1034</v>
      </c>
      <c r="D715" s="7" t="n">
        <v>42</v>
      </c>
      <c r="E715" s="7" t="n">
        <v>8407.62</v>
      </c>
      <c r="F715" s="7" t="n">
        <v>17</v>
      </c>
      <c r="G715" s="7" t="n">
        <v>3420.23</v>
      </c>
    </row>
    <row r="716" customFormat="false" ht="15" hidden="false" customHeight="false" outlineLevel="0" collapsed="false">
      <c r="A716" s="7" t="s">
        <v>24</v>
      </c>
      <c r="B716" s="7" t="s">
        <v>160</v>
      </c>
      <c r="C716" s="7" t="s">
        <v>1034</v>
      </c>
      <c r="D716" s="7" t="n">
        <v>0</v>
      </c>
      <c r="E716" s="7" t="n">
        <v>0</v>
      </c>
      <c r="F716" s="7" t="n">
        <v>1</v>
      </c>
      <c r="G716" s="7" t="n">
        <v>211.78</v>
      </c>
    </row>
    <row r="717" customFormat="false" ht="15" hidden="false" customHeight="false" outlineLevel="0" collapsed="false">
      <c r="A717" s="7" t="s">
        <v>24</v>
      </c>
      <c r="B717" s="7" t="s">
        <v>160</v>
      </c>
      <c r="C717" s="7" t="s">
        <v>1034</v>
      </c>
      <c r="D717" s="7" t="n">
        <v>0</v>
      </c>
      <c r="E717" s="7" t="n">
        <v>0</v>
      </c>
      <c r="F717" s="7" t="n">
        <v>1</v>
      </c>
      <c r="G717" s="7" t="n">
        <v>190.6</v>
      </c>
    </row>
    <row r="718" customFormat="false" ht="15" hidden="false" customHeight="false" outlineLevel="0" collapsed="false">
      <c r="A718" s="7" t="s">
        <v>24</v>
      </c>
      <c r="B718" s="7" t="s">
        <v>160</v>
      </c>
      <c r="C718" s="7" t="s">
        <v>1034</v>
      </c>
      <c r="D718" s="7" t="n">
        <v>0</v>
      </c>
      <c r="E718" s="7" t="n">
        <v>0</v>
      </c>
      <c r="F718" s="7" t="n">
        <v>1</v>
      </c>
      <c r="G718" s="7" t="n">
        <v>211.78</v>
      </c>
    </row>
    <row r="719" customFormat="false" ht="15" hidden="false" customHeight="false" outlineLevel="0" collapsed="false">
      <c r="A719" s="7" t="s">
        <v>24</v>
      </c>
      <c r="B719" s="7" t="s">
        <v>160</v>
      </c>
      <c r="C719" s="7" t="s">
        <v>1034</v>
      </c>
      <c r="D719" s="7" t="n">
        <v>0</v>
      </c>
      <c r="E719" s="7" t="n">
        <v>0</v>
      </c>
      <c r="F719" s="7" t="n">
        <v>1</v>
      </c>
      <c r="G719" s="7" t="n">
        <v>190.6</v>
      </c>
    </row>
    <row r="720" customFormat="false" ht="15" hidden="false" customHeight="false" outlineLevel="0" collapsed="false">
      <c r="A720" s="7" t="s">
        <v>24</v>
      </c>
      <c r="B720" s="7" t="s">
        <v>160</v>
      </c>
      <c r="C720" s="7" t="s">
        <v>1034</v>
      </c>
      <c r="D720" s="7" t="n">
        <v>0</v>
      </c>
      <c r="E720" s="7" t="n">
        <v>0</v>
      </c>
      <c r="F720" s="7" t="n">
        <v>1</v>
      </c>
      <c r="G720" s="7" t="n">
        <v>211.78</v>
      </c>
    </row>
    <row r="721" customFormat="false" ht="15" hidden="false" customHeight="false" outlineLevel="0" collapsed="false">
      <c r="A721" s="7" t="s">
        <v>24</v>
      </c>
      <c r="B721" s="7" t="s">
        <v>160</v>
      </c>
      <c r="C721" s="7" t="s">
        <v>1034</v>
      </c>
      <c r="D721" s="7" t="n">
        <v>0</v>
      </c>
      <c r="E721" s="7" t="n">
        <v>0</v>
      </c>
      <c r="F721" s="7" t="n">
        <v>1</v>
      </c>
      <c r="G721" s="7" t="n">
        <v>211.78</v>
      </c>
    </row>
    <row r="722" customFormat="false" ht="15" hidden="false" customHeight="false" outlineLevel="0" collapsed="false">
      <c r="A722" s="7" t="s">
        <v>24</v>
      </c>
      <c r="B722" s="7" t="s">
        <v>160</v>
      </c>
      <c r="C722" s="7" t="s">
        <v>1034</v>
      </c>
      <c r="D722" s="7" t="n">
        <v>0</v>
      </c>
      <c r="E722" s="7" t="n">
        <v>0</v>
      </c>
      <c r="F722" s="7" t="n">
        <v>2</v>
      </c>
      <c r="G722" s="7" t="n">
        <v>423.56</v>
      </c>
    </row>
    <row r="723" customFormat="false" ht="15" hidden="false" customHeight="false" outlineLevel="0" collapsed="false">
      <c r="A723" s="7" t="s">
        <v>24</v>
      </c>
      <c r="B723" s="7" t="s">
        <v>160</v>
      </c>
      <c r="C723" s="7" t="s">
        <v>1034</v>
      </c>
      <c r="D723" s="7" t="n">
        <v>0</v>
      </c>
      <c r="E723" s="7" t="n">
        <v>0</v>
      </c>
      <c r="F723" s="7" t="n">
        <v>1</v>
      </c>
      <c r="G723" s="7" t="n">
        <v>190.6</v>
      </c>
    </row>
    <row r="724" customFormat="false" ht="15" hidden="false" customHeight="false" outlineLevel="0" collapsed="false">
      <c r="A724" s="7" t="s">
        <v>24</v>
      </c>
      <c r="B724" s="7" t="s">
        <v>160</v>
      </c>
      <c r="C724" s="7" t="s">
        <v>1034</v>
      </c>
      <c r="D724" s="7" t="n">
        <v>0</v>
      </c>
      <c r="E724" s="7" t="n">
        <v>0</v>
      </c>
      <c r="F724" s="7" t="n">
        <v>1</v>
      </c>
      <c r="G724" s="7" t="n">
        <v>211.78</v>
      </c>
    </row>
    <row r="725" customFormat="false" ht="15" hidden="false" customHeight="false" outlineLevel="0" collapsed="false">
      <c r="A725" s="7" t="s">
        <v>24</v>
      </c>
      <c r="B725" s="7" t="s">
        <v>160</v>
      </c>
      <c r="C725" s="7" t="s">
        <v>1034</v>
      </c>
      <c r="D725" s="7" t="n">
        <v>0</v>
      </c>
      <c r="E725" s="7" t="n">
        <v>0</v>
      </c>
      <c r="F725" s="7" t="n">
        <v>1</v>
      </c>
      <c r="G725" s="7" t="n">
        <v>211.78</v>
      </c>
    </row>
    <row r="726" customFormat="false" ht="15" hidden="false" customHeight="false" outlineLevel="0" collapsed="false">
      <c r="A726" s="7" t="s">
        <v>24</v>
      </c>
      <c r="B726" s="7" t="s">
        <v>160</v>
      </c>
      <c r="C726" s="7" t="s">
        <v>1034</v>
      </c>
      <c r="D726" s="7" t="n">
        <v>0</v>
      </c>
      <c r="E726" s="7" t="n">
        <v>0</v>
      </c>
      <c r="F726" s="7" t="n">
        <v>1</v>
      </c>
      <c r="G726" s="7" t="n">
        <v>190.61</v>
      </c>
    </row>
    <row r="727" customFormat="false" ht="15" hidden="false" customHeight="false" outlineLevel="0" collapsed="false">
      <c r="A727" s="7" t="s">
        <v>24</v>
      </c>
      <c r="B727" s="7" t="s">
        <v>160</v>
      </c>
      <c r="C727" s="7" t="s">
        <v>1034</v>
      </c>
      <c r="D727" s="7" t="n">
        <v>5</v>
      </c>
      <c r="E727" s="7" t="n">
        <v>923.69</v>
      </c>
      <c r="F727" s="7" t="n">
        <v>0</v>
      </c>
      <c r="G727" s="7" t="n">
        <v>0</v>
      </c>
    </row>
    <row r="728" customFormat="false" ht="15" hidden="false" customHeight="false" outlineLevel="0" collapsed="false">
      <c r="A728" s="7" t="s">
        <v>24</v>
      </c>
      <c r="B728" s="7" t="s">
        <v>160</v>
      </c>
      <c r="C728" s="7" t="s">
        <v>1034</v>
      </c>
      <c r="D728" s="7" t="n">
        <v>0</v>
      </c>
      <c r="E728" s="7" t="n">
        <v>0</v>
      </c>
      <c r="F728" s="7" t="n">
        <v>1</v>
      </c>
      <c r="G728" s="7" t="n">
        <v>211.78</v>
      </c>
    </row>
    <row r="729" customFormat="false" ht="15" hidden="false" customHeight="false" outlineLevel="0" collapsed="false">
      <c r="A729" s="7" t="s">
        <v>24</v>
      </c>
      <c r="B729" s="7" t="s">
        <v>160</v>
      </c>
      <c r="C729" s="7" t="s">
        <v>1034</v>
      </c>
      <c r="D729" s="7" t="n">
        <v>0</v>
      </c>
      <c r="E729" s="7" t="n">
        <v>0</v>
      </c>
      <c r="F729" s="7" t="n">
        <v>1</v>
      </c>
      <c r="G729" s="7" t="n">
        <v>211.78</v>
      </c>
    </row>
    <row r="730" customFormat="false" ht="15" hidden="false" customHeight="false" outlineLevel="0" collapsed="false">
      <c r="A730" s="7" t="s">
        <v>24</v>
      </c>
      <c r="B730" s="7" t="s">
        <v>160</v>
      </c>
      <c r="C730" s="7" t="s">
        <v>1034</v>
      </c>
      <c r="D730" s="7" t="n">
        <v>0</v>
      </c>
      <c r="E730" s="7" t="n">
        <v>0</v>
      </c>
      <c r="F730" s="7" t="n">
        <v>1</v>
      </c>
      <c r="G730" s="7" t="n">
        <v>211.78</v>
      </c>
    </row>
    <row r="731" customFormat="false" ht="15" hidden="false" customHeight="false" outlineLevel="0" collapsed="false">
      <c r="A731" s="7" t="s">
        <v>24</v>
      </c>
      <c r="B731" s="7" t="s">
        <v>763</v>
      </c>
      <c r="C731" s="7" t="s">
        <v>1034</v>
      </c>
      <c r="D731" s="7" t="n">
        <v>0</v>
      </c>
      <c r="E731" s="7" t="n">
        <v>0</v>
      </c>
      <c r="F731" s="7" t="n">
        <v>2</v>
      </c>
      <c r="G731" s="7" t="n">
        <v>423.56</v>
      </c>
    </row>
    <row r="732" customFormat="false" ht="15" hidden="false" customHeight="false" outlineLevel="0" collapsed="false">
      <c r="A732" s="7" t="s">
        <v>24</v>
      </c>
      <c r="B732" s="7" t="s">
        <v>763</v>
      </c>
      <c r="C732" s="7" t="s">
        <v>1034</v>
      </c>
      <c r="D732" s="7" t="n">
        <v>2</v>
      </c>
      <c r="E732" s="7" t="n">
        <v>334.1</v>
      </c>
      <c r="F732" s="7" t="n">
        <v>0</v>
      </c>
      <c r="G732" s="7" t="n">
        <v>0</v>
      </c>
    </row>
    <row r="733" customFormat="false" ht="15" hidden="false" customHeight="false" outlineLevel="0" collapsed="false">
      <c r="A733" s="7" t="s">
        <v>24</v>
      </c>
      <c r="B733" s="7" t="s">
        <v>763</v>
      </c>
      <c r="C733" s="7" t="s">
        <v>1034</v>
      </c>
      <c r="D733" s="7" t="n">
        <v>0</v>
      </c>
      <c r="E733" s="7" t="n">
        <v>0</v>
      </c>
      <c r="F733" s="7" t="n">
        <v>1</v>
      </c>
      <c r="G733" s="7" t="n">
        <v>211.78</v>
      </c>
    </row>
    <row r="734" customFormat="false" ht="15" hidden="false" customHeight="false" outlineLevel="0" collapsed="false">
      <c r="A734" s="7" t="s">
        <v>24</v>
      </c>
      <c r="B734" s="7" t="s">
        <v>763</v>
      </c>
      <c r="C734" s="7" t="s">
        <v>1034</v>
      </c>
      <c r="D734" s="7" t="n">
        <v>10</v>
      </c>
      <c r="E734" s="7" t="n">
        <v>2086.03</v>
      </c>
      <c r="F734" s="7" t="n">
        <v>5</v>
      </c>
      <c r="G734" s="7" t="n">
        <v>1005.95</v>
      </c>
    </row>
    <row r="735" customFormat="false" ht="15" hidden="false" customHeight="false" outlineLevel="0" collapsed="false">
      <c r="A735" s="7" t="s">
        <v>24</v>
      </c>
      <c r="B735" s="7" t="s">
        <v>763</v>
      </c>
      <c r="C735" s="7" t="s">
        <v>1034</v>
      </c>
      <c r="D735" s="7" t="n">
        <v>0</v>
      </c>
      <c r="E735" s="7" t="n">
        <v>0</v>
      </c>
      <c r="F735" s="7" t="n">
        <v>1</v>
      </c>
      <c r="G735" s="7" t="n">
        <v>180.02</v>
      </c>
    </row>
    <row r="736" customFormat="false" ht="15" hidden="false" customHeight="false" outlineLevel="0" collapsed="false">
      <c r="A736" s="7" t="s">
        <v>24</v>
      </c>
      <c r="B736" s="7" t="s">
        <v>763</v>
      </c>
      <c r="C736" s="7" t="s">
        <v>1034</v>
      </c>
      <c r="D736" s="7" t="n">
        <v>-1</v>
      </c>
      <c r="E736" s="7" t="n">
        <v>-0.01</v>
      </c>
      <c r="F736" s="7" t="n">
        <v>0</v>
      </c>
      <c r="G736" s="7" t="n">
        <v>0</v>
      </c>
    </row>
    <row r="737" customFormat="false" ht="15" hidden="false" customHeight="false" outlineLevel="0" collapsed="false">
      <c r="A737" s="7" t="s">
        <v>24</v>
      </c>
      <c r="B737" s="7" t="s">
        <v>763</v>
      </c>
      <c r="C737" s="7" t="s">
        <v>1034</v>
      </c>
      <c r="D737" s="7" t="n">
        <v>0</v>
      </c>
      <c r="E737" s="7" t="n">
        <v>0</v>
      </c>
      <c r="F737" s="7" t="n">
        <v>1</v>
      </c>
      <c r="G737" s="7" t="n">
        <v>211.78</v>
      </c>
    </row>
    <row r="738" customFormat="false" ht="15" hidden="false" customHeight="false" outlineLevel="0" collapsed="false">
      <c r="A738" s="7" t="s">
        <v>24</v>
      </c>
      <c r="B738" s="7" t="s">
        <v>763</v>
      </c>
      <c r="C738" s="7" t="s">
        <v>1034</v>
      </c>
      <c r="D738" s="7" t="n">
        <v>0</v>
      </c>
      <c r="E738" s="7" t="n">
        <v>0</v>
      </c>
      <c r="F738" s="7" t="n">
        <v>1</v>
      </c>
      <c r="G738" s="7" t="n">
        <v>211.78</v>
      </c>
    </row>
    <row r="739" customFormat="false" ht="15" hidden="false" customHeight="false" outlineLevel="0" collapsed="false">
      <c r="A739" s="7" t="s">
        <v>24</v>
      </c>
      <c r="B739" s="7" t="s">
        <v>763</v>
      </c>
      <c r="C739" s="7" t="s">
        <v>1034</v>
      </c>
      <c r="D739" s="7" t="n">
        <v>0</v>
      </c>
      <c r="E739" s="7" t="n">
        <v>0</v>
      </c>
      <c r="F739" s="7" t="n">
        <v>1</v>
      </c>
      <c r="G739" s="7" t="n">
        <v>211.78</v>
      </c>
    </row>
    <row r="740" customFormat="false" ht="15" hidden="false" customHeight="false" outlineLevel="0" collapsed="false">
      <c r="A740" s="7" t="s">
        <v>24</v>
      </c>
      <c r="B740" s="7" t="s">
        <v>297</v>
      </c>
      <c r="C740" s="7" t="s">
        <v>1034</v>
      </c>
      <c r="D740" s="7" t="n">
        <v>0</v>
      </c>
      <c r="E740" s="7" t="n">
        <v>0</v>
      </c>
      <c r="F740" s="7" t="n">
        <v>1</v>
      </c>
      <c r="G740" s="7" t="n">
        <v>211.78</v>
      </c>
    </row>
    <row r="741" customFormat="false" ht="15" hidden="false" customHeight="false" outlineLevel="0" collapsed="false">
      <c r="A741" s="7" t="s">
        <v>24</v>
      </c>
      <c r="B741" s="7" t="s">
        <v>297</v>
      </c>
      <c r="C741" s="7" t="s">
        <v>1034</v>
      </c>
      <c r="D741" s="7" t="n">
        <v>1</v>
      </c>
      <c r="E741" s="7" t="n">
        <v>171.2</v>
      </c>
      <c r="F741" s="7" t="n">
        <v>0</v>
      </c>
      <c r="G741" s="7" t="n">
        <v>0</v>
      </c>
    </row>
    <row r="742" customFormat="false" ht="15" hidden="false" customHeight="false" outlineLevel="0" collapsed="false">
      <c r="A742" s="7" t="s">
        <v>24</v>
      </c>
      <c r="B742" s="7" t="s">
        <v>297</v>
      </c>
      <c r="C742" s="7" t="s">
        <v>1034</v>
      </c>
      <c r="D742" s="7" t="n">
        <v>40</v>
      </c>
      <c r="E742" s="7" t="n">
        <v>7793.45</v>
      </c>
      <c r="F742" s="7" t="n">
        <v>31</v>
      </c>
      <c r="G742" s="7" t="n">
        <v>6321.61</v>
      </c>
    </row>
    <row r="743" customFormat="false" ht="15" hidden="false" customHeight="false" outlineLevel="0" collapsed="false">
      <c r="A743" s="7" t="s">
        <v>24</v>
      </c>
      <c r="B743" s="7" t="s">
        <v>297</v>
      </c>
      <c r="C743" s="7" t="s">
        <v>1034</v>
      </c>
      <c r="D743" s="7" t="n">
        <v>0</v>
      </c>
      <c r="E743" s="7" t="n">
        <v>0</v>
      </c>
      <c r="F743" s="7" t="n">
        <v>2</v>
      </c>
      <c r="G743" s="7" t="n">
        <v>423.56</v>
      </c>
    </row>
    <row r="744" customFormat="false" ht="15" hidden="false" customHeight="false" outlineLevel="0" collapsed="false">
      <c r="A744" s="7" t="s">
        <v>24</v>
      </c>
      <c r="B744" s="7" t="s">
        <v>297</v>
      </c>
      <c r="C744" s="7" t="s">
        <v>1034</v>
      </c>
      <c r="D744" s="7" t="n">
        <v>5</v>
      </c>
      <c r="E744" s="7" t="n">
        <v>923.69</v>
      </c>
      <c r="F744" s="7" t="n">
        <v>0</v>
      </c>
      <c r="G744" s="7" t="n">
        <v>0</v>
      </c>
    </row>
    <row r="745" customFormat="false" ht="15" hidden="false" customHeight="false" outlineLevel="0" collapsed="false">
      <c r="A745" s="7" t="s">
        <v>24</v>
      </c>
      <c r="B745" s="7" t="s">
        <v>297</v>
      </c>
      <c r="C745" s="7" t="s">
        <v>1034</v>
      </c>
      <c r="D745" s="7" t="n">
        <v>0</v>
      </c>
      <c r="E745" s="7" t="n">
        <v>0</v>
      </c>
      <c r="F745" s="7" t="n">
        <v>-1</v>
      </c>
      <c r="G745" s="7" t="n">
        <v>-211.78</v>
      </c>
    </row>
    <row r="746" customFormat="false" ht="15" hidden="false" customHeight="false" outlineLevel="0" collapsed="false">
      <c r="A746" s="7" t="s">
        <v>24</v>
      </c>
      <c r="B746" s="7" t="s">
        <v>297</v>
      </c>
      <c r="C746" s="7" t="s">
        <v>1034</v>
      </c>
      <c r="D746" s="7" t="n">
        <v>1</v>
      </c>
      <c r="E746" s="7" t="n">
        <v>0.01</v>
      </c>
      <c r="F746" s="7" t="n">
        <v>0</v>
      </c>
      <c r="G746" s="7" t="n">
        <v>0</v>
      </c>
    </row>
    <row r="747" customFormat="false" ht="15" hidden="false" customHeight="false" outlineLevel="0" collapsed="false">
      <c r="A747" s="7" t="s">
        <v>24</v>
      </c>
      <c r="B747" s="7" t="s">
        <v>297</v>
      </c>
      <c r="C747" s="7" t="s">
        <v>1034</v>
      </c>
      <c r="D747" s="7" t="n">
        <v>0</v>
      </c>
      <c r="E747" s="7" t="n">
        <v>0</v>
      </c>
      <c r="F747" s="7" t="n">
        <v>1</v>
      </c>
      <c r="G747" s="7" t="n">
        <v>190.61</v>
      </c>
    </row>
    <row r="748" customFormat="false" ht="15" hidden="false" customHeight="false" outlineLevel="0" collapsed="false">
      <c r="A748" s="7" t="s">
        <v>24</v>
      </c>
      <c r="B748" s="7" t="s">
        <v>297</v>
      </c>
      <c r="C748" s="7" t="s">
        <v>1034</v>
      </c>
      <c r="D748" s="7" t="n">
        <v>0</v>
      </c>
      <c r="E748" s="7" t="n">
        <v>0</v>
      </c>
      <c r="F748" s="7" t="n">
        <v>1</v>
      </c>
      <c r="G748" s="7" t="n">
        <v>211.78</v>
      </c>
    </row>
    <row r="749" customFormat="false" ht="15" hidden="false" customHeight="false" outlineLevel="0" collapsed="false">
      <c r="A749" s="7" t="s">
        <v>24</v>
      </c>
      <c r="B749" s="7" t="s">
        <v>297</v>
      </c>
      <c r="C749" s="7" t="s">
        <v>1034</v>
      </c>
      <c r="D749" s="7" t="n">
        <v>0</v>
      </c>
      <c r="E749" s="7" t="n">
        <v>0</v>
      </c>
      <c r="F749" s="7" t="n">
        <v>1</v>
      </c>
      <c r="G749" s="7" t="n">
        <v>190.6</v>
      </c>
    </row>
    <row r="750" customFormat="false" ht="15" hidden="false" customHeight="false" outlineLevel="0" collapsed="false">
      <c r="A750" s="7" t="s">
        <v>24</v>
      </c>
      <c r="B750" s="7" t="s">
        <v>297</v>
      </c>
      <c r="C750" s="7" t="s">
        <v>1034</v>
      </c>
      <c r="D750" s="7" t="n">
        <v>0</v>
      </c>
      <c r="E750" s="7" t="n">
        <v>0</v>
      </c>
      <c r="F750" s="7" t="n">
        <v>1</v>
      </c>
      <c r="G750" s="7" t="n">
        <v>211.78</v>
      </c>
    </row>
    <row r="751" customFormat="false" ht="15" hidden="false" customHeight="false" outlineLevel="0" collapsed="false">
      <c r="A751" s="7" t="s">
        <v>24</v>
      </c>
      <c r="B751" s="7" t="s">
        <v>297</v>
      </c>
      <c r="C751" s="7" t="s">
        <v>1034</v>
      </c>
      <c r="D751" s="7" t="n">
        <v>0</v>
      </c>
      <c r="E751" s="7" t="n">
        <v>0</v>
      </c>
      <c r="F751" s="7" t="n">
        <v>1</v>
      </c>
      <c r="G751" s="7" t="n">
        <v>211.78</v>
      </c>
    </row>
    <row r="752" customFormat="false" ht="15" hidden="false" customHeight="false" outlineLevel="0" collapsed="false">
      <c r="A752" s="7" t="s">
        <v>24</v>
      </c>
      <c r="B752" s="7" t="s">
        <v>297</v>
      </c>
      <c r="C752" s="7" t="s">
        <v>1034</v>
      </c>
      <c r="D752" s="7" t="n">
        <v>0</v>
      </c>
      <c r="E752" s="7" t="n">
        <v>0</v>
      </c>
      <c r="F752" s="7" t="n">
        <v>1</v>
      </c>
      <c r="G752" s="7" t="n">
        <v>211.78</v>
      </c>
    </row>
    <row r="753" customFormat="false" ht="15" hidden="false" customHeight="false" outlineLevel="0" collapsed="false">
      <c r="A753" s="7" t="s">
        <v>24</v>
      </c>
      <c r="B753" s="7" t="s">
        <v>327</v>
      </c>
      <c r="C753" s="7" t="s">
        <v>1034</v>
      </c>
      <c r="D753" s="7" t="n">
        <v>0</v>
      </c>
      <c r="E753" s="7" t="n">
        <v>0</v>
      </c>
      <c r="F753" s="7" t="n">
        <v>1</v>
      </c>
      <c r="G753" s="7" t="n">
        <v>180.02</v>
      </c>
    </row>
    <row r="754" customFormat="false" ht="15" hidden="false" customHeight="false" outlineLevel="0" collapsed="false">
      <c r="A754" s="7" t="s">
        <v>24</v>
      </c>
      <c r="B754" s="7" t="s">
        <v>327</v>
      </c>
      <c r="C754" s="7" t="s">
        <v>1034</v>
      </c>
      <c r="D754" s="7" t="n">
        <v>0</v>
      </c>
      <c r="E754" s="7" t="n">
        <v>0</v>
      </c>
      <c r="F754" s="7" t="n">
        <v>2</v>
      </c>
      <c r="G754" s="7" t="n">
        <v>402.38</v>
      </c>
    </row>
    <row r="755" customFormat="false" ht="15" hidden="false" customHeight="false" outlineLevel="0" collapsed="false">
      <c r="A755" s="7" t="s">
        <v>24</v>
      </c>
      <c r="B755" s="7" t="s">
        <v>327</v>
      </c>
      <c r="C755" s="7" t="s">
        <v>1034</v>
      </c>
      <c r="D755" s="7" t="n">
        <v>0</v>
      </c>
      <c r="E755" s="7" t="n">
        <v>0</v>
      </c>
      <c r="F755" s="7" t="n">
        <v>1</v>
      </c>
      <c r="G755" s="7" t="n">
        <v>180.02</v>
      </c>
    </row>
    <row r="756" customFormat="false" ht="15" hidden="false" customHeight="false" outlineLevel="0" collapsed="false">
      <c r="A756" s="7" t="s">
        <v>24</v>
      </c>
      <c r="B756" s="7" t="s">
        <v>327</v>
      </c>
      <c r="C756" s="7" t="s">
        <v>1034</v>
      </c>
      <c r="D756" s="7" t="n">
        <v>0</v>
      </c>
      <c r="E756" s="7" t="n">
        <v>0</v>
      </c>
      <c r="F756" s="7" t="n">
        <v>1</v>
      </c>
      <c r="G756" s="7" t="n">
        <v>211.78</v>
      </c>
    </row>
    <row r="757" customFormat="false" ht="15" hidden="false" customHeight="false" outlineLevel="0" collapsed="false">
      <c r="A757" s="7" t="s">
        <v>24</v>
      </c>
      <c r="B757" s="7" t="s">
        <v>327</v>
      </c>
      <c r="C757" s="7" t="s">
        <v>1034</v>
      </c>
      <c r="D757" s="7" t="n">
        <v>31</v>
      </c>
      <c r="E757" s="7" t="n">
        <v>6258.08</v>
      </c>
      <c r="F757" s="7" t="n">
        <v>14</v>
      </c>
      <c r="G757" s="7" t="n">
        <v>2922.56</v>
      </c>
    </row>
    <row r="758" customFormat="false" ht="15" hidden="false" customHeight="false" outlineLevel="0" collapsed="false">
      <c r="A758" s="7" t="s">
        <v>24</v>
      </c>
      <c r="B758" s="7" t="s">
        <v>327</v>
      </c>
      <c r="C758" s="7" t="s">
        <v>1034</v>
      </c>
      <c r="D758" s="7" t="n">
        <v>3</v>
      </c>
      <c r="E758" s="7" t="n">
        <v>589.59</v>
      </c>
      <c r="F758" s="7" t="n">
        <v>0</v>
      </c>
      <c r="G758" s="7" t="n">
        <v>0</v>
      </c>
    </row>
    <row r="759" customFormat="false" ht="15" hidden="false" customHeight="false" outlineLevel="0" collapsed="false">
      <c r="A759" s="7" t="s">
        <v>24</v>
      </c>
      <c r="B759" s="7" t="s">
        <v>327</v>
      </c>
      <c r="C759" s="7" t="s">
        <v>1034</v>
      </c>
      <c r="D759" s="7" t="n">
        <v>0</v>
      </c>
      <c r="E759" s="7" t="n">
        <v>0</v>
      </c>
      <c r="F759" s="7" t="n">
        <v>1</v>
      </c>
      <c r="G759" s="7" t="n">
        <v>211.78</v>
      </c>
    </row>
    <row r="760" customFormat="false" ht="15" hidden="false" customHeight="false" outlineLevel="0" collapsed="false">
      <c r="A760" s="7" t="s">
        <v>24</v>
      </c>
      <c r="B760" s="7" t="s">
        <v>327</v>
      </c>
      <c r="C760" s="7" t="s">
        <v>1034</v>
      </c>
      <c r="D760" s="7" t="n">
        <v>0</v>
      </c>
      <c r="E760" s="7" t="n">
        <v>0</v>
      </c>
      <c r="F760" s="7" t="n">
        <v>1</v>
      </c>
      <c r="G760" s="7" t="n">
        <v>190.61</v>
      </c>
    </row>
    <row r="761" customFormat="false" ht="15" hidden="false" customHeight="false" outlineLevel="0" collapsed="false">
      <c r="A761" s="7" t="s">
        <v>24</v>
      </c>
      <c r="B761" s="7" t="s">
        <v>327</v>
      </c>
      <c r="C761" s="7" t="s">
        <v>1034</v>
      </c>
      <c r="D761" s="7" t="n">
        <v>0</v>
      </c>
      <c r="E761" s="7" t="n">
        <v>0</v>
      </c>
      <c r="F761" s="7" t="n">
        <v>1</v>
      </c>
      <c r="G761" s="7" t="n">
        <v>211.78</v>
      </c>
    </row>
    <row r="762" customFormat="false" ht="15" hidden="false" customHeight="false" outlineLevel="0" collapsed="false">
      <c r="A762" s="7" t="s">
        <v>24</v>
      </c>
      <c r="B762" s="7" t="s">
        <v>327</v>
      </c>
      <c r="C762" s="7" t="s">
        <v>1034</v>
      </c>
      <c r="D762" s="7" t="n">
        <v>0</v>
      </c>
      <c r="E762" s="7" t="n">
        <v>0</v>
      </c>
      <c r="F762" s="7" t="n">
        <v>1</v>
      </c>
      <c r="G762" s="7" t="n">
        <v>211.78</v>
      </c>
    </row>
    <row r="763" customFormat="false" ht="15" hidden="false" customHeight="false" outlineLevel="0" collapsed="false">
      <c r="A763" s="7" t="s">
        <v>24</v>
      </c>
      <c r="B763" s="7" t="s">
        <v>327</v>
      </c>
      <c r="C763" s="7" t="s">
        <v>1034</v>
      </c>
      <c r="D763" s="7" t="n">
        <v>0</v>
      </c>
      <c r="E763" s="7" t="n">
        <v>0</v>
      </c>
      <c r="F763" s="7" t="n">
        <v>1</v>
      </c>
      <c r="G763" s="7" t="n">
        <v>211.78</v>
      </c>
    </row>
    <row r="764" customFormat="false" ht="15" hidden="false" customHeight="false" outlineLevel="0" collapsed="false">
      <c r="A764" s="7" t="s">
        <v>24</v>
      </c>
      <c r="B764" s="7" t="s">
        <v>327</v>
      </c>
      <c r="C764" s="7" t="s">
        <v>1034</v>
      </c>
      <c r="D764" s="7" t="n">
        <v>0</v>
      </c>
      <c r="E764" s="7" t="n">
        <v>0</v>
      </c>
      <c r="F764" s="7" t="n">
        <v>1</v>
      </c>
      <c r="G764" s="7" t="n">
        <v>211.78</v>
      </c>
    </row>
    <row r="765" customFormat="false" ht="15" hidden="false" customHeight="false" outlineLevel="0" collapsed="false">
      <c r="A765" s="7" t="s">
        <v>24</v>
      </c>
      <c r="B765" s="7" t="s">
        <v>327</v>
      </c>
      <c r="C765" s="7" t="s">
        <v>1034</v>
      </c>
      <c r="D765" s="7" t="n">
        <v>0</v>
      </c>
      <c r="E765" s="7" t="n">
        <v>0</v>
      </c>
      <c r="F765" s="7" t="n">
        <v>1</v>
      </c>
      <c r="G765" s="7" t="n">
        <v>211.78</v>
      </c>
    </row>
    <row r="766" customFormat="false" ht="15" hidden="false" customHeight="false" outlineLevel="0" collapsed="false">
      <c r="A766" s="7" t="s">
        <v>24</v>
      </c>
      <c r="B766" s="7" t="s">
        <v>327</v>
      </c>
      <c r="C766" s="7" t="s">
        <v>1034</v>
      </c>
      <c r="D766" s="7" t="n">
        <v>0</v>
      </c>
      <c r="E766" s="7" t="n">
        <v>0</v>
      </c>
      <c r="F766" s="7" t="n">
        <v>1</v>
      </c>
      <c r="G766" s="7" t="n">
        <v>211.78</v>
      </c>
    </row>
    <row r="767" customFormat="false" ht="15" hidden="false" customHeight="false" outlineLevel="0" collapsed="false">
      <c r="A767" s="7" t="s">
        <v>24</v>
      </c>
      <c r="B767" s="7" t="s">
        <v>327</v>
      </c>
      <c r="C767" s="7" t="s">
        <v>1034</v>
      </c>
      <c r="D767" s="7" t="n">
        <v>0</v>
      </c>
      <c r="E767" s="7" t="n">
        <v>0</v>
      </c>
      <c r="F767" s="7" t="n">
        <v>1</v>
      </c>
      <c r="G767" s="7" t="n">
        <v>211.78</v>
      </c>
    </row>
    <row r="768" customFormat="false" ht="15" hidden="false" customHeight="false" outlineLevel="0" collapsed="false">
      <c r="A768" s="7" t="s">
        <v>24</v>
      </c>
      <c r="B768" s="7" t="s">
        <v>327</v>
      </c>
      <c r="C768" s="7" t="s">
        <v>1034</v>
      </c>
      <c r="D768" s="7" t="n">
        <v>0</v>
      </c>
      <c r="E768" s="7" t="n">
        <v>0</v>
      </c>
      <c r="F768" s="7" t="n">
        <v>1</v>
      </c>
      <c r="G768" s="7" t="n">
        <v>190.61</v>
      </c>
    </row>
    <row r="769" customFormat="false" ht="15" hidden="false" customHeight="false" outlineLevel="0" collapsed="false">
      <c r="A769" s="7" t="s">
        <v>24</v>
      </c>
      <c r="B769" s="7" t="s">
        <v>327</v>
      </c>
      <c r="C769" s="7" t="s">
        <v>1034</v>
      </c>
      <c r="D769" s="7" t="n">
        <v>0</v>
      </c>
      <c r="E769" s="7" t="n">
        <v>0</v>
      </c>
      <c r="F769" s="7" t="n">
        <v>1</v>
      </c>
      <c r="G769" s="7" t="n">
        <v>180.02</v>
      </c>
    </row>
    <row r="770" customFormat="false" ht="15" hidden="false" customHeight="false" outlineLevel="0" collapsed="false">
      <c r="A770" s="7" t="s">
        <v>24</v>
      </c>
      <c r="B770" s="7" t="s">
        <v>327</v>
      </c>
      <c r="C770" s="7" t="s">
        <v>1034</v>
      </c>
      <c r="D770" s="7" t="n">
        <v>0</v>
      </c>
      <c r="E770" s="7" t="n">
        <v>0</v>
      </c>
      <c r="F770" s="7" t="n">
        <v>1</v>
      </c>
      <c r="G770" s="7" t="n">
        <v>190.6</v>
      </c>
    </row>
    <row r="771" customFormat="false" ht="15" hidden="false" customHeight="false" outlineLevel="0" collapsed="false">
      <c r="A771" s="7" t="s">
        <v>24</v>
      </c>
      <c r="B771" s="7" t="s">
        <v>327</v>
      </c>
      <c r="C771" s="7" t="s">
        <v>1034</v>
      </c>
      <c r="D771" s="7" t="n">
        <v>0</v>
      </c>
      <c r="E771" s="7" t="n">
        <v>0</v>
      </c>
      <c r="F771" s="7" t="n">
        <v>1</v>
      </c>
      <c r="G771" s="7" t="n">
        <v>211.78</v>
      </c>
    </row>
    <row r="772" customFormat="false" ht="15" hidden="false" customHeight="false" outlineLevel="0" collapsed="false">
      <c r="A772" s="7" t="s">
        <v>24</v>
      </c>
      <c r="B772" s="7" t="s">
        <v>327</v>
      </c>
      <c r="C772" s="7" t="s">
        <v>1034</v>
      </c>
      <c r="D772" s="7" t="n">
        <v>0</v>
      </c>
      <c r="E772" s="7" t="n">
        <v>0</v>
      </c>
      <c r="F772" s="7" t="n">
        <v>2</v>
      </c>
      <c r="G772" s="7" t="n">
        <v>423.56</v>
      </c>
    </row>
    <row r="773" customFormat="false" ht="15" hidden="false" customHeight="false" outlineLevel="0" collapsed="false">
      <c r="A773" s="7" t="s">
        <v>24</v>
      </c>
      <c r="B773" s="7" t="s">
        <v>327</v>
      </c>
      <c r="C773" s="7" t="s">
        <v>1034</v>
      </c>
      <c r="D773" s="7" t="n">
        <v>0</v>
      </c>
      <c r="E773" s="7" t="n">
        <v>0</v>
      </c>
      <c r="F773" s="7" t="n">
        <v>1</v>
      </c>
      <c r="G773" s="7" t="n">
        <v>211.78</v>
      </c>
    </row>
    <row r="774" customFormat="false" ht="15" hidden="false" customHeight="false" outlineLevel="0" collapsed="false">
      <c r="A774" s="7" t="s">
        <v>24</v>
      </c>
      <c r="B774" s="7" t="s">
        <v>327</v>
      </c>
      <c r="C774" s="7" t="s">
        <v>1034</v>
      </c>
      <c r="D774" s="7" t="n">
        <v>0</v>
      </c>
      <c r="E774" s="7" t="n">
        <v>0</v>
      </c>
      <c r="F774" s="7" t="n">
        <v>2</v>
      </c>
      <c r="G774" s="7" t="n">
        <v>423.56</v>
      </c>
    </row>
    <row r="775" customFormat="false" ht="15" hidden="false" customHeight="false" outlineLevel="0" collapsed="false">
      <c r="A775" s="7" t="s">
        <v>24</v>
      </c>
      <c r="B775" s="7" t="s">
        <v>212</v>
      </c>
      <c r="C775" s="7" t="s">
        <v>1035</v>
      </c>
      <c r="D775" s="7" t="n">
        <v>0</v>
      </c>
      <c r="E775" s="7" t="n">
        <v>0</v>
      </c>
      <c r="F775" s="7" t="n">
        <v>1</v>
      </c>
      <c r="G775" s="7" t="n">
        <v>211.78</v>
      </c>
    </row>
    <row r="776" customFormat="false" ht="15" hidden="false" customHeight="false" outlineLevel="0" collapsed="false">
      <c r="A776" s="7" t="s">
        <v>24</v>
      </c>
      <c r="B776" s="7" t="s">
        <v>212</v>
      </c>
      <c r="C776" s="7" t="s">
        <v>1035</v>
      </c>
      <c r="D776" s="7" t="n">
        <v>0</v>
      </c>
      <c r="E776" s="7" t="n">
        <v>0</v>
      </c>
      <c r="F776" s="7" t="n">
        <v>1</v>
      </c>
      <c r="G776" s="7" t="n">
        <v>211.78</v>
      </c>
    </row>
    <row r="777" customFormat="false" ht="15" hidden="false" customHeight="false" outlineLevel="0" collapsed="false">
      <c r="A777" s="7" t="s">
        <v>24</v>
      </c>
      <c r="B777" s="7" t="s">
        <v>212</v>
      </c>
      <c r="C777" s="7" t="s">
        <v>1035</v>
      </c>
      <c r="D777" s="7" t="n">
        <v>0</v>
      </c>
      <c r="E777" s="7" t="n">
        <v>0</v>
      </c>
      <c r="F777" s="7" t="n">
        <v>1</v>
      </c>
      <c r="G777" s="7" t="n">
        <v>211.78</v>
      </c>
    </row>
    <row r="778" customFormat="false" ht="15" hidden="false" customHeight="false" outlineLevel="0" collapsed="false">
      <c r="A778" s="7" t="s">
        <v>24</v>
      </c>
      <c r="B778" s="7" t="s">
        <v>212</v>
      </c>
      <c r="C778" s="7" t="s">
        <v>1035</v>
      </c>
      <c r="D778" s="7" t="n">
        <v>13</v>
      </c>
      <c r="E778" s="7" t="n">
        <v>2615.47</v>
      </c>
      <c r="F778" s="7" t="n">
        <v>5</v>
      </c>
      <c r="G778" s="7" t="n">
        <v>1037.72</v>
      </c>
    </row>
    <row r="779" customFormat="false" ht="15" hidden="false" customHeight="false" outlineLevel="0" collapsed="false">
      <c r="A779" s="7" t="s">
        <v>24</v>
      </c>
      <c r="B779" s="7" t="s">
        <v>212</v>
      </c>
      <c r="C779" s="7" t="s">
        <v>1035</v>
      </c>
      <c r="D779" s="7" t="n">
        <v>0</v>
      </c>
      <c r="E779" s="7" t="n">
        <v>0</v>
      </c>
      <c r="F779" s="7" t="n">
        <v>1</v>
      </c>
      <c r="G779" s="7" t="n">
        <v>211.78</v>
      </c>
    </row>
    <row r="780" customFormat="false" ht="15" hidden="false" customHeight="false" outlineLevel="0" collapsed="false">
      <c r="A780" s="7" t="s">
        <v>24</v>
      </c>
      <c r="B780" s="7" t="s">
        <v>212</v>
      </c>
      <c r="C780" s="7" t="s">
        <v>1035</v>
      </c>
      <c r="D780" s="7" t="n">
        <v>1</v>
      </c>
      <c r="E780" s="7" t="n">
        <v>167.05</v>
      </c>
      <c r="F780" s="7" t="n">
        <v>0</v>
      </c>
      <c r="G780" s="7" t="n">
        <v>0</v>
      </c>
    </row>
    <row r="781" customFormat="false" ht="15" hidden="false" customHeight="false" outlineLevel="0" collapsed="false">
      <c r="A781" s="7" t="s">
        <v>24</v>
      </c>
      <c r="B781" s="7" t="s">
        <v>212</v>
      </c>
      <c r="C781" s="7" t="s">
        <v>1035</v>
      </c>
      <c r="D781" s="7" t="n">
        <v>0</v>
      </c>
      <c r="E781" s="7" t="n">
        <v>0</v>
      </c>
      <c r="F781" s="7" t="n">
        <v>1</v>
      </c>
      <c r="G781" s="7" t="n">
        <v>190.6</v>
      </c>
    </row>
    <row r="782" customFormat="false" ht="15" hidden="false" customHeight="false" outlineLevel="0" collapsed="false">
      <c r="A782" s="7" t="s">
        <v>24</v>
      </c>
      <c r="B782" s="7" t="s">
        <v>212</v>
      </c>
      <c r="C782" s="7" t="s">
        <v>1035</v>
      </c>
      <c r="D782" s="7" t="n">
        <v>0</v>
      </c>
      <c r="E782" s="7" t="n">
        <v>0</v>
      </c>
      <c r="F782" s="7" t="n">
        <v>10</v>
      </c>
      <c r="G782" s="7" t="n">
        <v>2117.8</v>
      </c>
    </row>
    <row r="783" customFormat="false" ht="15" hidden="false" customHeight="false" outlineLevel="0" collapsed="false">
      <c r="A783" s="7" t="s">
        <v>24</v>
      </c>
      <c r="B783" s="7" t="s">
        <v>212</v>
      </c>
      <c r="C783" s="7" t="s">
        <v>1035</v>
      </c>
      <c r="D783" s="7" t="n">
        <v>0</v>
      </c>
      <c r="E783" s="7" t="n">
        <v>0</v>
      </c>
      <c r="F783" s="7" t="n">
        <v>1</v>
      </c>
      <c r="G783" s="7" t="n">
        <v>211.78</v>
      </c>
    </row>
    <row r="784" customFormat="false" ht="15" hidden="false" customHeight="false" outlineLevel="0" collapsed="false">
      <c r="A784" s="7" t="s">
        <v>24</v>
      </c>
      <c r="B784" s="7" t="s">
        <v>390</v>
      </c>
      <c r="C784" s="7" t="s">
        <v>1035</v>
      </c>
      <c r="D784" s="7" t="n">
        <v>10</v>
      </c>
      <c r="E784" s="7" t="n">
        <v>1958.96</v>
      </c>
      <c r="F784" s="7" t="n">
        <v>5</v>
      </c>
      <c r="G784" s="7" t="n">
        <v>1016.54</v>
      </c>
    </row>
    <row r="785" customFormat="false" ht="15" hidden="false" customHeight="false" outlineLevel="0" collapsed="false">
      <c r="A785" s="7" t="s">
        <v>24</v>
      </c>
      <c r="B785" s="7" t="s">
        <v>390</v>
      </c>
      <c r="C785" s="7" t="s">
        <v>1035</v>
      </c>
      <c r="D785" s="7" t="n">
        <v>0</v>
      </c>
      <c r="E785" s="7" t="n">
        <v>0</v>
      </c>
      <c r="F785" s="7" t="n">
        <v>1</v>
      </c>
      <c r="G785" s="7" t="n">
        <v>190.6</v>
      </c>
    </row>
    <row r="786" customFormat="false" ht="15" hidden="false" customHeight="false" outlineLevel="0" collapsed="false">
      <c r="A786" s="7" t="s">
        <v>24</v>
      </c>
      <c r="B786" s="7" t="s">
        <v>390</v>
      </c>
      <c r="C786" s="7" t="s">
        <v>1035</v>
      </c>
      <c r="D786" s="7" t="n">
        <v>0</v>
      </c>
      <c r="E786" s="7" t="n">
        <v>0</v>
      </c>
      <c r="F786" s="7" t="n">
        <v>1</v>
      </c>
      <c r="G786" s="7" t="n">
        <v>190.6</v>
      </c>
    </row>
    <row r="787" customFormat="false" ht="15" hidden="false" customHeight="false" outlineLevel="0" collapsed="false">
      <c r="A787" s="7" t="s">
        <v>24</v>
      </c>
      <c r="B787" s="7" t="s">
        <v>292</v>
      </c>
      <c r="C787" s="7" t="s">
        <v>1035</v>
      </c>
      <c r="D787" s="7" t="n">
        <v>3</v>
      </c>
      <c r="E787" s="7" t="n">
        <v>560.11</v>
      </c>
      <c r="F787" s="7" t="n">
        <v>0</v>
      </c>
      <c r="G787" s="7" t="n">
        <v>0</v>
      </c>
    </row>
    <row r="788" customFormat="false" ht="15" hidden="false" customHeight="false" outlineLevel="0" collapsed="false">
      <c r="A788" s="7" t="s">
        <v>24</v>
      </c>
      <c r="B788" s="7" t="s">
        <v>292</v>
      </c>
      <c r="C788" s="7" t="s">
        <v>1035</v>
      </c>
      <c r="D788" s="7" t="n">
        <v>0</v>
      </c>
      <c r="E788" s="7" t="n">
        <v>0</v>
      </c>
      <c r="F788" s="7" t="n">
        <v>1</v>
      </c>
      <c r="G788" s="7" t="n">
        <v>211.78</v>
      </c>
    </row>
    <row r="789" customFormat="false" ht="15" hidden="false" customHeight="false" outlineLevel="0" collapsed="false">
      <c r="A789" s="7" t="s">
        <v>24</v>
      </c>
      <c r="B789" s="7" t="s">
        <v>292</v>
      </c>
      <c r="C789" s="7" t="s">
        <v>1035</v>
      </c>
      <c r="D789" s="7" t="n">
        <v>0</v>
      </c>
      <c r="E789" s="7" t="n">
        <v>0</v>
      </c>
      <c r="F789" s="7" t="n">
        <v>1</v>
      </c>
      <c r="G789" s="7" t="n">
        <v>190.6</v>
      </c>
    </row>
    <row r="790" customFormat="false" ht="15" hidden="false" customHeight="false" outlineLevel="0" collapsed="false">
      <c r="A790" s="7" t="s">
        <v>24</v>
      </c>
      <c r="B790" s="7" t="s">
        <v>292</v>
      </c>
      <c r="C790" s="7" t="s">
        <v>1035</v>
      </c>
      <c r="D790" s="7" t="n">
        <v>4</v>
      </c>
      <c r="E790" s="7" t="n">
        <v>794.17</v>
      </c>
      <c r="F790" s="7" t="n">
        <v>0</v>
      </c>
      <c r="G790" s="7" t="n">
        <v>0</v>
      </c>
    </row>
    <row r="791" customFormat="false" ht="15" hidden="false" customHeight="false" outlineLevel="0" collapsed="false">
      <c r="A791" s="7" t="s">
        <v>24</v>
      </c>
      <c r="B791" s="7" t="s">
        <v>232</v>
      </c>
      <c r="C791" s="7" t="s">
        <v>1035</v>
      </c>
      <c r="D791" s="7" t="n">
        <v>2</v>
      </c>
      <c r="E791" s="7" t="n">
        <v>363.58</v>
      </c>
      <c r="F791" s="7" t="n">
        <v>0</v>
      </c>
      <c r="G791" s="7" t="n">
        <v>0</v>
      </c>
    </row>
    <row r="792" customFormat="false" ht="15" hidden="false" customHeight="false" outlineLevel="0" collapsed="false">
      <c r="A792" s="7" t="s">
        <v>24</v>
      </c>
      <c r="B792" s="7" t="s">
        <v>232</v>
      </c>
      <c r="C792" s="7" t="s">
        <v>1035</v>
      </c>
      <c r="D792" s="7" t="n">
        <v>10</v>
      </c>
      <c r="E792" s="7" t="n">
        <v>1927.18</v>
      </c>
      <c r="F792" s="7" t="n">
        <v>2</v>
      </c>
      <c r="G792" s="7" t="n">
        <v>423.56</v>
      </c>
    </row>
    <row r="793" customFormat="false" ht="15" hidden="false" customHeight="false" outlineLevel="0" collapsed="false">
      <c r="A793" s="7" t="s">
        <v>24</v>
      </c>
      <c r="B793" s="7" t="s">
        <v>232</v>
      </c>
      <c r="C793" s="7" t="s">
        <v>1035</v>
      </c>
      <c r="D793" s="7" t="n">
        <v>0</v>
      </c>
      <c r="E793" s="7" t="n">
        <v>0</v>
      </c>
      <c r="F793" s="7" t="n">
        <v>1</v>
      </c>
      <c r="G793" s="7" t="n">
        <v>211.78</v>
      </c>
    </row>
    <row r="794" customFormat="false" ht="15" hidden="false" customHeight="false" outlineLevel="0" collapsed="false">
      <c r="A794" s="7" t="s">
        <v>24</v>
      </c>
      <c r="B794" s="7" t="s">
        <v>232</v>
      </c>
      <c r="C794" s="7" t="s">
        <v>1035</v>
      </c>
      <c r="D794" s="7" t="n">
        <v>0</v>
      </c>
      <c r="E794" s="7" t="n">
        <v>0</v>
      </c>
      <c r="F794" s="7" t="n">
        <v>1</v>
      </c>
      <c r="G794" s="7" t="n">
        <v>190.6</v>
      </c>
    </row>
    <row r="795" customFormat="false" ht="15" hidden="false" customHeight="false" outlineLevel="0" collapsed="false">
      <c r="A795" s="7" t="s">
        <v>24</v>
      </c>
      <c r="B795" s="7" t="s">
        <v>214</v>
      </c>
      <c r="C795" s="7" t="s">
        <v>1035</v>
      </c>
      <c r="D795" s="7" t="n">
        <v>0</v>
      </c>
      <c r="E795" s="7" t="n">
        <v>0</v>
      </c>
      <c r="F795" s="7" t="n">
        <v>1</v>
      </c>
      <c r="G795" s="7" t="n">
        <v>190.6</v>
      </c>
    </row>
    <row r="796" customFormat="false" ht="15" hidden="false" customHeight="false" outlineLevel="0" collapsed="false">
      <c r="A796" s="7" t="s">
        <v>24</v>
      </c>
      <c r="B796" s="7" t="s">
        <v>214</v>
      </c>
      <c r="C796" s="7" t="s">
        <v>1035</v>
      </c>
      <c r="D796" s="7" t="n">
        <v>1</v>
      </c>
      <c r="E796" s="7" t="n">
        <v>167.05</v>
      </c>
      <c r="F796" s="7" t="n">
        <v>0</v>
      </c>
      <c r="G796" s="7" t="n">
        <v>0</v>
      </c>
    </row>
    <row r="797" customFormat="false" ht="15" hidden="false" customHeight="false" outlineLevel="0" collapsed="false">
      <c r="A797" s="7" t="s">
        <v>24</v>
      </c>
      <c r="B797" s="7" t="s">
        <v>214</v>
      </c>
      <c r="C797" s="7" t="s">
        <v>1035</v>
      </c>
      <c r="D797" s="7" t="n">
        <v>13</v>
      </c>
      <c r="E797" s="7" t="n">
        <v>2657.83</v>
      </c>
      <c r="F797" s="7" t="n">
        <v>4</v>
      </c>
      <c r="G797" s="7" t="n">
        <v>804.76</v>
      </c>
    </row>
    <row r="798" customFormat="false" ht="15" hidden="false" customHeight="false" outlineLevel="0" collapsed="false">
      <c r="A798" s="7" t="s">
        <v>24</v>
      </c>
      <c r="B798" s="7" t="s">
        <v>214</v>
      </c>
      <c r="C798" s="7" t="s">
        <v>1035</v>
      </c>
      <c r="D798" s="7" t="n">
        <v>0</v>
      </c>
      <c r="E798" s="7" t="n">
        <v>0</v>
      </c>
      <c r="F798" s="7" t="n">
        <v>1</v>
      </c>
      <c r="G798" s="7" t="n">
        <v>211.78</v>
      </c>
    </row>
    <row r="799" customFormat="false" ht="15" hidden="false" customHeight="false" outlineLevel="0" collapsed="false">
      <c r="A799" s="7" t="s">
        <v>24</v>
      </c>
      <c r="B799" s="7" t="s">
        <v>206</v>
      </c>
      <c r="C799" s="7" t="s">
        <v>1136</v>
      </c>
      <c r="D799" s="7" t="n">
        <v>5</v>
      </c>
      <c r="E799" s="7" t="n">
        <v>2111.49</v>
      </c>
      <c r="F799" s="7" t="n">
        <v>1</v>
      </c>
      <c r="G799" s="7" t="n">
        <v>427.04</v>
      </c>
    </row>
    <row r="800" customFormat="false" ht="15" hidden="false" customHeight="false" outlineLevel="0" collapsed="false">
      <c r="A800" s="7" t="s">
        <v>24</v>
      </c>
      <c r="B800" s="7" t="s">
        <v>466</v>
      </c>
      <c r="C800" s="7" t="s">
        <v>1136</v>
      </c>
      <c r="D800" s="7" t="n">
        <v>0</v>
      </c>
      <c r="E800" s="7" t="n">
        <v>0</v>
      </c>
      <c r="F800" s="7" t="n">
        <v>1</v>
      </c>
      <c r="G800" s="7" t="n">
        <v>474.49</v>
      </c>
    </row>
    <row r="801" customFormat="false" ht="15" hidden="false" customHeight="false" outlineLevel="0" collapsed="false">
      <c r="A801" s="7" t="s">
        <v>24</v>
      </c>
      <c r="B801" s="7" t="s">
        <v>466</v>
      </c>
      <c r="C801" s="7" t="s">
        <v>1136</v>
      </c>
      <c r="D801" s="7" t="n">
        <v>3</v>
      </c>
      <c r="E801" s="7" t="n">
        <v>1328.57</v>
      </c>
      <c r="F801" s="7" t="n">
        <v>1</v>
      </c>
      <c r="G801" s="7" t="n">
        <v>474.49</v>
      </c>
    </row>
    <row r="802" customFormat="false" ht="15" hidden="false" customHeight="false" outlineLevel="0" collapsed="false">
      <c r="A802" s="7" t="s">
        <v>24</v>
      </c>
      <c r="B802" s="7" t="s">
        <v>428</v>
      </c>
      <c r="C802" s="7" t="s">
        <v>1136</v>
      </c>
      <c r="D802" s="7" t="n">
        <v>0</v>
      </c>
      <c r="E802" s="7" t="n">
        <v>0</v>
      </c>
      <c r="F802" s="7" t="n">
        <v>1</v>
      </c>
      <c r="G802" s="7" t="n">
        <v>474.49</v>
      </c>
    </row>
    <row r="803" customFormat="false" ht="15" hidden="false" customHeight="false" outlineLevel="0" collapsed="false">
      <c r="A803" s="7" t="s">
        <v>24</v>
      </c>
      <c r="B803" s="7" t="s">
        <v>400</v>
      </c>
      <c r="C803" s="7" t="s">
        <v>1136</v>
      </c>
      <c r="D803" s="7" t="n">
        <v>0</v>
      </c>
      <c r="E803" s="7" t="n">
        <v>0</v>
      </c>
      <c r="F803" s="7" t="n">
        <v>1</v>
      </c>
      <c r="G803" s="7" t="n">
        <v>403.32</v>
      </c>
    </row>
    <row r="804" customFormat="false" ht="15" hidden="false" customHeight="false" outlineLevel="0" collapsed="false">
      <c r="A804" s="7" t="s">
        <v>24</v>
      </c>
      <c r="B804" s="7" t="s">
        <v>400</v>
      </c>
      <c r="C804" s="7" t="s">
        <v>1136</v>
      </c>
      <c r="D804" s="7" t="n">
        <v>0</v>
      </c>
      <c r="E804" s="7" t="n">
        <v>0</v>
      </c>
      <c r="F804" s="7" t="n">
        <v>1</v>
      </c>
      <c r="G804" s="7" t="n">
        <v>403.32</v>
      </c>
    </row>
    <row r="805" customFormat="false" ht="15" hidden="false" customHeight="false" outlineLevel="0" collapsed="false">
      <c r="A805" s="7" t="s">
        <v>24</v>
      </c>
      <c r="B805" s="7" t="s">
        <v>400</v>
      </c>
      <c r="C805" s="7" t="s">
        <v>1136</v>
      </c>
      <c r="D805" s="7" t="n">
        <v>5</v>
      </c>
      <c r="E805" s="7" t="n">
        <v>2301.28</v>
      </c>
      <c r="F805" s="7" t="n">
        <v>2</v>
      </c>
      <c r="G805" s="7" t="n">
        <v>948.98</v>
      </c>
    </row>
    <row r="806" customFormat="false" ht="15" hidden="false" customHeight="false" outlineLevel="0" collapsed="false">
      <c r="A806" s="7" t="s">
        <v>24</v>
      </c>
      <c r="B806" s="7" t="s">
        <v>235</v>
      </c>
      <c r="C806" s="7" t="s">
        <v>1136</v>
      </c>
      <c r="D806" s="7" t="n">
        <v>0</v>
      </c>
      <c r="E806" s="7" t="n">
        <v>0</v>
      </c>
      <c r="F806" s="7" t="n">
        <v>2</v>
      </c>
      <c r="G806" s="7" t="n">
        <v>948.98</v>
      </c>
    </row>
    <row r="807" customFormat="false" ht="15" hidden="false" customHeight="false" outlineLevel="0" collapsed="false">
      <c r="A807" s="7" t="s">
        <v>24</v>
      </c>
      <c r="B807" s="7" t="s">
        <v>235</v>
      </c>
      <c r="C807" s="7" t="s">
        <v>1136</v>
      </c>
      <c r="D807" s="7" t="n">
        <v>0</v>
      </c>
      <c r="E807" s="7" t="n">
        <v>0</v>
      </c>
      <c r="F807" s="7" t="n">
        <v>1</v>
      </c>
      <c r="G807" s="7" t="n">
        <v>474.49</v>
      </c>
    </row>
    <row r="808" customFormat="false" ht="15" hidden="false" customHeight="false" outlineLevel="0" collapsed="false">
      <c r="A808" s="7" t="s">
        <v>24</v>
      </c>
      <c r="B808" s="7" t="s">
        <v>513</v>
      </c>
      <c r="C808" s="7" t="s">
        <v>1136</v>
      </c>
      <c r="D808" s="7" t="n">
        <v>3</v>
      </c>
      <c r="E808" s="7" t="n">
        <v>1209.96</v>
      </c>
      <c r="F808" s="7" t="n">
        <v>1</v>
      </c>
      <c r="G808" s="7" t="n">
        <v>474.49</v>
      </c>
    </row>
    <row r="809" customFormat="false" ht="15" hidden="false" customHeight="false" outlineLevel="0" collapsed="false">
      <c r="A809" s="7" t="s">
        <v>24</v>
      </c>
      <c r="B809" s="7" t="s">
        <v>513</v>
      </c>
      <c r="C809" s="7" t="s">
        <v>1136</v>
      </c>
      <c r="D809" s="7" t="n">
        <v>0</v>
      </c>
      <c r="E809" s="7" t="n">
        <v>0</v>
      </c>
      <c r="F809" s="7" t="n">
        <v>1</v>
      </c>
      <c r="G809" s="7" t="n">
        <v>427.04</v>
      </c>
    </row>
    <row r="810" customFormat="false" ht="15" hidden="false" customHeight="false" outlineLevel="0" collapsed="false">
      <c r="A810" s="7" t="s">
        <v>24</v>
      </c>
      <c r="B810" s="7" t="s">
        <v>344</v>
      </c>
      <c r="C810" s="7" t="s">
        <v>1190</v>
      </c>
      <c r="D810" s="7" t="n">
        <v>0</v>
      </c>
      <c r="E810" s="7" t="n">
        <v>0</v>
      </c>
      <c r="F810" s="7" t="n">
        <v>1</v>
      </c>
      <c r="G810" s="7" t="n">
        <v>677.88</v>
      </c>
    </row>
    <row r="811" customFormat="false" ht="15" hidden="false" customHeight="false" outlineLevel="0" collapsed="false">
      <c r="A811" s="7" t="s">
        <v>24</v>
      </c>
      <c r="B811" s="7" t="s">
        <v>737</v>
      </c>
      <c r="C811" s="7" t="s">
        <v>1190</v>
      </c>
      <c r="D811" s="7" t="n">
        <v>2</v>
      </c>
      <c r="E811" s="7" t="n">
        <v>847.28</v>
      </c>
      <c r="F811" s="7" t="n">
        <v>1</v>
      </c>
      <c r="G811" s="7" t="n">
        <v>360.09</v>
      </c>
    </row>
    <row r="812" customFormat="false" ht="15" hidden="false" customHeight="false" outlineLevel="0" collapsed="false">
      <c r="A812" s="7" t="s">
        <v>24</v>
      </c>
      <c r="B812" s="7" t="s">
        <v>737</v>
      </c>
      <c r="C812" s="7" t="s">
        <v>1190</v>
      </c>
      <c r="D812" s="7" t="n">
        <v>0</v>
      </c>
      <c r="E812" s="7" t="n">
        <v>0</v>
      </c>
      <c r="F812" s="7" t="n">
        <v>1</v>
      </c>
      <c r="G812" s="7" t="n">
        <v>423.64</v>
      </c>
    </row>
    <row r="813" customFormat="false" ht="15" hidden="false" customHeight="false" outlineLevel="0" collapsed="false">
      <c r="A813" s="7" t="s">
        <v>24</v>
      </c>
      <c r="B813" s="7" t="s">
        <v>357</v>
      </c>
      <c r="C813" s="7" t="s">
        <v>1190</v>
      </c>
      <c r="D813" s="7" t="n">
        <v>6</v>
      </c>
      <c r="E813" s="7" t="n">
        <v>2541.84</v>
      </c>
      <c r="F813" s="7" t="n">
        <v>5</v>
      </c>
      <c r="G813" s="7" t="n">
        <v>1991.12</v>
      </c>
    </row>
    <row r="814" customFormat="false" ht="15" hidden="false" customHeight="false" outlineLevel="0" collapsed="false">
      <c r="A814" s="7" t="s">
        <v>24</v>
      </c>
      <c r="B814" s="7" t="s">
        <v>357</v>
      </c>
      <c r="C814" s="7" t="s">
        <v>1190</v>
      </c>
      <c r="D814" s="7" t="n">
        <v>0</v>
      </c>
      <c r="E814" s="7" t="n">
        <v>0</v>
      </c>
      <c r="F814" s="7" t="n">
        <v>1</v>
      </c>
      <c r="G814" s="7" t="n">
        <v>381.28</v>
      </c>
    </row>
    <row r="815" customFormat="false" ht="15" hidden="false" customHeight="false" outlineLevel="0" collapsed="false">
      <c r="A815" s="7" t="s">
        <v>24</v>
      </c>
      <c r="B815" s="7" t="s">
        <v>357</v>
      </c>
      <c r="C815" s="7" t="s">
        <v>1190</v>
      </c>
      <c r="D815" s="7" t="n">
        <v>0</v>
      </c>
      <c r="E815" s="7" t="n">
        <v>0</v>
      </c>
      <c r="F815" s="7" t="n">
        <v>1</v>
      </c>
      <c r="G815" s="7" t="n">
        <v>381.28</v>
      </c>
    </row>
    <row r="816" customFormat="false" ht="15" hidden="false" customHeight="false" outlineLevel="0" collapsed="false">
      <c r="A816" s="7" t="s">
        <v>24</v>
      </c>
      <c r="B816" s="7" t="s">
        <v>357</v>
      </c>
      <c r="C816" s="7" t="s">
        <v>1190</v>
      </c>
      <c r="D816" s="7" t="n">
        <v>0</v>
      </c>
      <c r="E816" s="7" t="n">
        <v>0</v>
      </c>
      <c r="F816" s="7" t="n">
        <v>1</v>
      </c>
      <c r="G816" s="7" t="n">
        <v>423.64</v>
      </c>
    </row>
    <row r="817" customFormat="false" ht="15" hidden="false" customHeight="false" outlineLevel="0" collapsed="false">
      <c r="A817" s="7" t="s">
        <v>24</v>
      </c>
      <c r="B817" s="7" t="s">
        <v>480</v>
      </c>
      <c r="C817" s="7" t="s">
        <v>1190</v>
      </c>
      <c r="D817" s="7" t="n">
        <v>1</v>
      </c>
      <c r="E817" s="7" t="n">
        <v>356.4</v>
      </c>
      <c r="F817" s="7" t="n">
        <v>0</v>
      </c>
      <c r="G817" s="7" t="n">
        <v>0</v>
      </c>
    </row>
    <row r="818" customFormat="false" ht="15" hidden="false" customHeight="false" outlineLevel="0" collapsed="false">
      <c r="A818" s="7" t="s">
        <v>24</v>
      </c>
      <c r="B818" s="7" t="s">
        <v>480</v>
      </c>
      <c r="C818" s="7" t="s">
        <v>1190</v>
      </c>
      <c r="D818" s="7" t="n">
        <v>1</v>
      </c>
      <c r="E818" s="7" t="n">
        <v>423.64</v>
      </c>
      <c r="F818" s="7" t="n">
        <v>1</v>
      </c>
      <c r="G818" s="7" t="n">
        <v>423.64</v>
      </c>
    </row>
    <row r="819" customFormat="false" ht="15" hidden="false" customHeight="false" outlineLevel="0" collapsed="false">
      <c r="A819" s="7" t="s">
        <v>24</v>
      </c>
      <c r="B819" s="7" t="s">
        <v>395</v>
      </c>
      <c r="C819" s="7" t="s">
        <v>1137</v>
      </c>
      <c r="D819" s="7" t="n">
        <v>0</v>
      </c>
      <c r="E819" s="7" t="n">
        <v>0</v>
      </c>
      <c r="F819" s="7" t="n">
        <v>1</v>
      </c>
      <c r="G819" s="7" t="n">
        <v>137.22</v>
      </c>
    </row>
    <row r="820" customFormat="false" ht="15" hidden="false" customHeight="false" outlineLevel="0" collapsed="false">
      <c r="A820" s="7" t="s">
        <v>24</v>
      </c>
      <c r="B820" s="7" t="s">
        <v>395</v>
      </c>
      <c r="C820" s="7" t="s">
        <v>1137</v>
      </c>
      <c r="D820" s="7" t="n">
        <v>0</v>
      </c>
      <c r="E820" s="7" t="n">
        <v>0</v>
      </c>
      <c r="F820" s="7" t="n">
        <v>1</v>
      </c>
      <c r="G820" s="7" t="n">
        <v>248.22</v>
      </c>
    </row>
    <row r="821" customFormat="false" ht="15" hidden="false" customHeight="false" outlineLevel="0" collapsed="false">
      <c r="A821" s="7" t="s">
        <v>24</v>
      </c>
      <c r="B821" s="7" t="s">
        <v>395</v>
      </c>
      <c r="C821" s="7" t="s">
        <v>1137</v>
      </c>
      <c r="D821" s="7" t="n">
        <v>1</v>
      </c>
      <c r="E821" s="7" t="n">
        <v>245.8</v>
      </c>
      <c r="F821" s="7" t="n">
        <v>0</v>
      </c>
      <c r="G821" s="7" t="n">
        <v>0</v>
      </c>
    </row>
    <row r="822" customFormat="false" ht="15" hidden="false" customHeight="false" outlineLevel="0" collapsed="false">
      <c r="A822" s="7" t="s">
        <v>24</v>
      </c>
      <c r="B822" s="7" t="s">
        <v>395</v>
      </c>
      <c r="C822" s="7" t="s">
        <v>1137</v>
      </c>
      <c r="D822" s="7" t="n">
        <v>0</v>
      </c>
      <c r="E822" s="7" t="n">
        <v>0</v>
      </c>
      <c r="F822" s="7" t="n">
        <v>1</v>
      </c>
      <c r="G822" s="7" t="n">
        <v>152.46</v>
      </c>
    </row>
    <row r="823" customFormat="false" ht="15" hidden="false" customHeight="false" outlineLevel="0" collapsed="false">
      <c r="A823" s="7" t="s">
        <v>24</v>
      </c>
      <c r="B823" s="7" t="s">
        <v>395</v>
      </c>
      <c r="C823" s="7" t="s">
        <v>1137</v>
      </c>
      <c r="D823" s="7" t="n">
        <v>0</v>
      </c>
      <c r="E823" s="7" t="n">
        <v>0</v>
      </c>
      <c r="F823" s="7" t="n">
        <v>1</v>
      </c>
      <c r="G823" s="7" t="n">
        <v>248.22</v>
      </c>
    </row>
    <row r="824" customFormat="false" ht="15" hidden="false" customHeight="false" outlineLevel="0" collapsed="false">
      <c r="A824" s="7" t="s">
        <v>24</v>
      </c>
      <c r="B824" s="7" t="s">
        <v>395</v>
      </c>
      <c r="C824" s="7" t="s">
        <v>1137</v>
      </c>
      <c r="D824" s="7" t="n">
        <v>0</v>
      </c>
      <c r="E824" s="7" t="n">
        <v>0</v>
      </c>
      <c r="F824" s="7" t="n">
        <v>1</v>
      </c>
      <c r="G824" s="7" t="n">
        <v>152.46</v>
      </c>
    </row>
    <row r="825" customFormat="false" ht="15" hidden="false" customHeight="false" outlineLevel="0" collapsed="false">
      <c r="A825" s="7" t="s">
        <v>24</v>
      </c>
      <c r="B825" s="7" t="s">
        <v>395</v>
      </c>
      <c r="C825" s="7" t="s">
        <v>1137</v>
      </c>
      <c r="D825" s="7" t="n">
        <v>5</v>
      </c>
      <c r="E825" s="7" t="n">
        <v>1166.64</v>
      </c>
      <c r="F825" s="7" t="n">
        <v>3</v>
      </c>
      <c r="G825" s="7" t="n">
        <v>719.84</v>
      </c>
    </row>
    <row r="826" customFormat="false" ht="15" hidden="false" customHeight="false" outlineLevel="0" collapsed="false">
      <c r="A826" s="7" t="s">
        <v>24</v>
      </c>
      <c r="B826" s="7" t="s">
        <v>395</v>
      </c>
      <c r="C826" s="7" t="s">
        <v>1137</v>
      </c>
      <c r="D826" s="7" t="n">
        <v>0</v>
      </c>
      <c r="E826" s="7" t="n">
        <v>0</v>
      </c>
      <c r="F826" s="7" t="n">
        <v>1</v>
      </c>
      <c r="G826" s="7" t="n">
        <v>152.46</v>
      </c>
    </row>
    <row r="827" customFormat="false" ht="15" hidden="false" customHeight="false" outlineLevel="0" collapsed="false">
      <c r="A827" s="7" t="s">
        <v>24</v>
      </c>
      <c r="B827" s="7" t="s">
        <v>395</v>
      </c>
      <c r="C827" s="7" t="s">
        <v>1137</v>
      </c>
      <c r="D827" s="7" t="n">
        <v>0</v>
      </c>
      <c r="E827" s="7" t="n">
        <v>0</v>
      </c>
      <c r="F827" s="7" t="n">
        <v>1</v>
      </c>
      <c r="G827" s="7" t="n">
        <v>152.46</v>
      </c>
    </row>
    <row r="828" customFormat="false" ht="15" hidden="false" customHeight="false" outlineLevel="0" collapsed="false">
      <c r="A828" s="7" t="s">
        <v>24</v>
      </c>
      <c r="B828" s="7" t="s">
        <v>760</v>
      </c>
      <c r="C828" s="7" t="s">
        <v>1137</v>
      </c>
      <c r="D828" s="7" t="n">
        <v>1</v>
      </c>
      <c r="E828" s="7" t="n">
        <v>135.5</v>
      </c>
      <c r="F828" s="7" t="n">
        <v>0</v>
      </c>
      <c r="G828" s="7" t="n">
        <v>0</v>
      </c>
    </row>
    <row r="829" customFormat="false" ht="15" hidden="false" customHeight="false" outlineLevel="0" collapsed="false">
      <c r="A829" s="7" t="s">
        <v>24</v>
      </c>
      <c r="B829" s="7" t="s">
        <v>760</v>
      </c>
      <c r="C829" s="7" t="s">
        <v>1137</v>
      </c>
      <c r="D829" s="7" t="n">
        <v>0</v>
      </c>
      <c r="E829" s="7" t="n">
        <v>0</v>
      </c>
      <c r="F829" s="7" t="n">
        <v>1</v>
      </c>
      <c r="G829" s="7" t="n">
        <v>152.46</v>
      </c>
    </row>
    <row r="830" customFormat="false" ht="15" hidden="false" customHeight="false" outlineLevel="0" collapsed="false">
      <c r="A830" s="7" t="s">
        <v>24</v>
      </c>
      <c r="B830" s="7" t="s">
        <v>760</v>
      </c>
      <c r="C830" s="7" t="s">
        <v>1137</v>
      </c>
      <c r="D830" s="7" t="n">
        <v>1</v>
      </c>
      <c r="E830" s="7" t="n">
        <v>210.99</v>
      </c>
      <c r="F830" s="7" t="n">
        <v>0</v>
      </c>
      <c r="G830" s="7" t="n">
        <v>0</v>
      </c>
    </row>
    <row r="831" customFormat="false" ht="15" hidden="false" customHeight="false" outlineLevel="0" collapsed="false">
      <c r="A831" s="7" t="s">
        <v>24</v>
      </c>
      <c r="B831" s="7" t="s">
        <v>760</v>
      </c>
      <c r="C831" s="7" t="s">
        <v>1137</v>
      </c>
      <c r="D831" s="7" t="n">
        <v>0</v>
      </c>
      <c r="E831" s="7" t="n">
        <v>0</v>
      </c>
      <c r="F831" s="7" t="n">
        <v>1</v>
      </c>
      <c r="G831" s="7" t="n">
        <v>152.46</v>
      </c>
    </row>
    <row r="832" customFormat="false" ht="15" hidden="false" customHeight="false" outlineLevel="0" collapsed="false">
      <c r="A832" s="7" t="s">
        <v>24</v>
      </c>
      <c r="B832" s="7" t="s">
        <v>272</v>
      </c>
      <c r="C832" s="7" t="s">
        <v>1191</v>
      </c>
      <c r="D832" s="7" t="n">
        <v>1</v>
      </c>
      <c r="E832" s="7" t="n">
        <v>232.59</v>
      </c>
      <c r="F832" s="7" t="n">
        <v>0</v>
      </c>
      <c r="G832" s="7" t="n">
        <v>0</v>
      </c>
    </row>
    <row r="833" customFormat="false" ht="15" hidden="false" customHeight="false" outlineLevel="0" collapsed="false">
      <c r="A833" s="7" t="s">
        <v>24</v>
      </c>
      <c r="B833" s="7" t="s">
        <v>272</v>
      </c>
      <c r="C833" s="7" t="s">
        <v>1191</v>
      </c>
      <c r="D833" s="7" t="n">
        <v>3</v>
      </c>
      <c r="E833" s="7" t="n">
        <v>838.74</v>
      </c>
      <c r="F833" s="7" t="n">
        <v>0</v>
      </c>
      <c r="G833" s="7" t="n">
        <v>0</v>
      </c>
    </row>
    <row r="834" customFormat="false" ht="15" hidden="false" customHeight="false" outlineLevel="0" collapsed="false">
      <c r="A834" s="7" t="s">
        <v>24</v>
      </c>
      <c r="B834" s="7" t="s">
        <v>425</v>
      </c>
      <c r="C834" s="7" t="s">
        <v>1191</v>
      </c>
      <c r="D834" s="7" t="n">
        <v>2</v>
      </c>
      <c r="E834" s="7" t="n">
        <v>475.29</v>
      </c>
      <c r="F834" s="7" t="n">
        <v>0</v>
      </c>
      <c r="G834" s="7" t="n">
        <v>0</v>
      </c>
    </row>
    <row r="835" customFormat="false" ht="15" hidden="false" customHeight="false" outlineLevel="0" collapsed="false">
      <c r="A835" s="7" t="s">
        <v>24</v>
      </c>
      <c r="B835" s="7" t="s">
        <v>577</v>
      </c>
      <c r="C835" s="7" t="s">
        <v>1191</v>
      </c>
      <c r="D835" s="7" t="n">
        <v>1</v>
      </c>
      <c r="E835" s="7" t="n">
        <v>223.66</v>
      </c>
      <c r="F835" s="7" t="n">
        <v>0</v>
      </c>
      <c r="G835" s="7" t="n">
        <v>0</v>
      </c>
    </row>
    <row r="836" customFormat="false" ht="15" hidden="false" customHeight="false" outlineLevel="0" collapsed="false">
      <c r="A836" s="7" t="s">
        <v>24</v>
      </c>
      <c r="B836" s="7" t="s">
        <v>426</v>
      </c>
      <c r="C836" s="7" t="s">
        <v>1191</v>
      </c>
      <c r="D836" s="7" t="n">
        <v>2</v>
      </c>
      <c r="E836" s="7" t="n">
        <v>475.28</v>
      </c>
      <c r="F836" s="7" t="n">
        <v>0</v>
      </c>
      <c r="G836" s="7" t="n">
        <v>0</v>
      </c>
    </row>
    <row r="837" customFormat="false" ht="15" hidden="false" customHeight="false" outlineLevel="0" collapsed="false">
      <c r="A837" s="7" t="s">
        <v>24</v>
      </c>
      <c r="B837" s="7" t="s">
        <v>331</v>
      </c>
      <c r="C837" s="7" t="s">
        <v>1191</v>
      </c>
      <c r="D837" s="7" t="n">
        <v>1</v>
      </c>
      <c r="E837" s="7" t="n">
        <v>224.8</v>
      </c>
      <c r="F837" s="7" t="n">
        <v>0</v>
      </c>
      <c r="G837" s="7" t="n">
        <v>0</v>
      </c>
    </row>
    <row r="838" customFormat="false" ht="15" hidden="false" customHeight="false" outlineLevel="0" collapsed="false">
      <c r="A838" s="7" t="s">
        <v>24</v>
      </c>
      <c r="B838" s="7" t="s">
        <v>331</v>
      </c>
      <c r="C838" s="7" t="s">
        <v>1191</v>
      </c>
      <c r="D838" s="7" t="n">
        <v>2</v>
      </c>
      <c r="E838" s="7" t="n">
        <v>517.22</v>
      </c>
      <c r="F838" s="7" t="n">
        <v>0</v>
      </c>
      <c r="G838" s="7" t="n">
        <v>0</v>
      </c>
    </row>
    <row r="839" customFormat="false" ht="15" hidden="false" customHeight="false" outlineLevel="0" collapsed="false">
      <c r="A839" s="7" t="s">
        <v>24</v>
      </c>
      <c r="B839" s="7" t="s">
        <v>626</v>
      </c>
      <c r="C839" s="7" t="s">
        <v>1036</v>
      </c>
      <c r="D839" s="7" t="n">
        <v>5</v>
      </c>
      <c r="E839" s="7" t="n">
        <v>974.15</v>
      </c>
      <c r="F839" s="7" t="n">
        <v>4</v>
      </c>
      <c r="G839" s="7" t="n">
        <v>759.84</v>
      </c>
    </row>
    <row r="840" customFormat="false" ht="15" hidden="false" customHeight="false" outlineLevel="0" collapsed="false">
      <c r="A840" s="7" t="s">
        <v>24</v>
      </c>
      <c r="B840" s="7" t="s">
        <v>626</v>
      </c>
      <c r="C840" s="7" t="s">
        <v>1036</v>
      </c>
      <c r="D840" s="7" t="n">
        <v>0</v>
      </c>
      <c r="E840" s="7" t="n">
        <v>0</v>
      </c>
      <c r="F840" s="7" t="n">
        <v>1</v>
      </c>
      <c r="G840" s="7" t="n">
        <v>194.83</v>
      </c>
    </row>
    <row r="841" customFormat="false" ht="15" hidden="false" customHeight="false" outlineLevel="0" collapsed="false">
      <c r="A841" s="7" t="s">
        <v>24</v>
      </c>
      <c r="B841" s="7" t="s">
        <v>626</v>
      </c>
      <c r="C841" s="7" t="s">
        <v>1036</v>
      </c>
      <c r="D841" s="7" t="n">
        <v>0</v>
      </c>
      <c r="E841" s="7" t="n">
        <v>0</v>
      </c>
      <c r="F841" s="7" t="n">
        <v>1</v>
      </c>
      <c r="G841" s="7" t="n">
        <v>194.83</v>
      </c>
    </row>
    <row r="842" customFormat="false" ht="15" hidden="false" customHeight="false" outlineLevel="0" collapsed="false">
      <c r="A842" s="7" t="s">
        <v>24</v>
      </c>
      <c r="B842" s="7" t="s">
        <v>325</v>
      </c>
      <c r="C842" s="7" t="s">
        <v>1036</v>
      </c>
      <c r="D842" s="7" t="n">
        <v>7</v>
      </c>
      <c r="E842" s="7" t="n">
        <v>1285.88</v>
      </c>
      <c r="F842" s="7" t="n">
        <v>4</v>
      </c>
      <c r="G842" s="7" t="n">
        <v>759.84</v>
      </c>
    </row>
    <row r="843" customFormat="false" ht="15" hidden="false" customHeight="false" outlineLevel="0" collapsed="false">
      <c r="A843" s="7" t="s">
        <v>24</v>
      </c>
      <c r="B843" s="7" t="s">
        <v>325</v>
      </c>
      <c r="C843" s="7" t="s">
        <v>1036</v>
      </c>
      <c r="D843" s="7" t="n">
        <v>0</v>
      </c>
      <c r="E843" s="7" t="n">
        <v>0</v>
      </c>
      <c r="F843" s="7" t="n">
        <v>2</v>
      </c>
      <c r="G843" s="7" t="n">
        <v>331.22</v>
      </c>
    </row>
    <row r="844" customFormat="false" ht="15" hidden="false" customHeight="false" outlineLevel="0" collapsed="false">
      <c r="A844" s="7" t="s">
        <v>24</v>
      </c>
      <c r="B844" s="7" t="s">
        <v>325</v>
      </c>
      <c r="C844" s="7" t="s">
        <v>1036</v>
      </c>
      <c r="D844" s="7" t="n">
        <v>0</v>
      </c>
      <c r="E844" s="7" t="n">
        <v>0</v>
      </c>
      <c r="F844" s="7" t="n">
        <v>1</v>
      </c>
      <c r="G844" s="7" t="n">
        <v>194.83</v>
      </c>
    </row>
    <row r="845" customFormat="false" ht="15" hidden="false" customHeight="false" outlineLevel="0" collapsed="false">
      <c r="A845" s="7" t="s">
        <v>24</v>
      </c>
      <c r="B845" s="7" t="s">
        <v>325</v>
      </c>
      <c r="C845" s="7" t="s">
        <v>1036</v>
      </c>
      <c r="D845" s="7" t="n">
        <v>0</v>
      </c>
      <c r="E845" s="7" t="n">
        <v>0</v>
      </c>
      <c r="F845" s="7" t="n">
        <v>3</v>
      </c>
      <c r="G845" s="7" t="n">
        <v>584.49</v>
      </c>
    </row>
    <row r="846" customFormat="false" ht="15" hidden="false" customHeight="false" outlineLevel="0" collapsed="false">
      <c r="A846" s="7" t="s">
        <v>24</v>
      </c>
      <c r="B846" s="7" t="s">
        <v>325</v>
      </c>
      <c r="C846" s="7" t="s">
        <v>1036</v>
      </c>
      <c r="D846" s="7" t="n">
        <v>0</v>
      </c>
      <c r="E846" s="7" t="n">
        <v>0</v>
      </c>
      <c r="F846" s="7" t="n">
        <v>1</v>
      </c>
      <c r="G846" s="7" t="n">
        <v>194.83</v>
      </c>
    </row>
    <row r="847" customFormat="false" ht="15" hidden="false" customHeight="false" outlineLevel="0" collapsed="false">
      <c r="A847" s="7" t="s">
        <v>24</v>
      </c>
      <c r="B847" s="7" t="s">
        <v>576</v>
      </c>
      <c r="C847" s="7" t="s">
        <v>1036</v>
      </c>
      <c r="D847" s="7" t="n">
        <v>0</v>
      </c>
      <c r="E847" s="7" t="n">
        <v>0</v>
      </c>
      <c r="F847" s="7" t="n">
        <v>1</v>
      </c>
      <c r="G847" s="7" t="n">
        <v>194.83</v>
      </c>
    </row>
    <row r="848" customFormat="false" ht="15" hidden="false" customHeight="false" outlineLevel="0" collapsed="false">
      <c r="A848" s="7" t="s">
        <v>24</v>
      </c>
      <c r="B848" s="7" t="s">
        <v>576</v>
      </c>
      <c r="C848" s="7" t="s">
        <v>1036</v>
      </c>
      <c r="D848" s="7" t="n">
        <v>4</v>
      </c>
      <c r="E848" s="7" t="n">
        <v>711.13</v>
      </c>
      <c r="F848" s="7" t="n">
        <v>4</v>
      </c>
      <c r="G848" s="7" t="n">
        <v>740.36</v>
      </c>
    </row>
    <row r="849" customFormat="false" ht="15" hidden="false" customHeight="false" outlineLevel="0" collapsed="false">
      <c r="A849" s="7" t="s">
        <v>24</v>
      </c>
      <c r="B849" s="7" t="s">
        <v>797</v>
      </c>
      <c r="C849" s="7" t="s">
        <v>1036</v>
      </c>
      <c r="D849" s="7" t="n">
        <v>5</v>
      </c>
      <c r="E849" s="7" t="n">
        <v>944.93</v>
      </c>
      <c r="F849" s="7" t="n">
        <v>4</v>
      </c>
      <c r="G849" s="7" t="n">
        <v>740.36</v>
      </c>
    </row>
    <row r="850" customFormat="false" ht="15" hidden="false" customHeight="false" outlineLevel="0" collapsed="false">
      <c r="A850" s="7" t="s">
        <v>24</v>
      </c>
      <c r="B850" s="7" t="s">
        <v>797</v>
      </c>
      <c r="C850" s="7" t="s">
        <v>1036</v>
      </c>
      <c r="D850" s="7" t="n">
        <v>0</v>
      </c>
      <c r="E850" s="7" t="n">
        <v>0</v>
      </c>
      <c r="F850" s="7" t="n">
        <v>1</v>
      </c>
      <c r="G850" s="7" t="n">
        <v>194.83</v>
      </c>
    </row>
    <row r="851" customFormat="false" ht="15" hidden="false" customHeight="false" outlineLevel="0" collapsed="false">
      <c r="A851" s="7" t="s">
        <v>24</v>
      </c>
      <c r="B851" s="7" t="s">
        <v>408</v>
      </c>
      <c r="C851" s="7" t="s">
        <v>1036</v>
      </c>
      <c r="D851" s="7" t="n">
        <v>0</v>
      </c>
      <c r="E851" s="7" t="n">
        <v>0</v>
      </c>
      <c r="F851" s="7" t="n">
        <v>1</v>
      </c>
      <c r="G851" s="7" t="n">
        <v>194.83</v>
      </c>
    </row>
    <row r="852" customFormat="false" ht="15" hidden="false" customHeight="false" outlineLevel="0" collapsed="false">
      <c r="A852" s="7" t="s">
        <v>24</v>
      </c>
      <c r="B852" s="7" t="s">
        <v>408</v>
      </c>
      <c r="C852" s="7" t="s">
        <v>1036</v>
      </c>
      <c r="D852" s="7" t="n">
        <v>0</v>
      </c>
      <c r="E852" s="7" t="n">
        <v>0</v>
      </c>
      <c r="F852" s="7" t="n">
        <v>1</v>
      </c>
      <c r="G852" s="7" t="n">
        <v>313.47</v>
      </c>
    </row>
    <row r="853" customFormat="false" ht="15" hidden="false" customHeight="false" outlineLevel="0" collapsed="false">
      <c r="A853" s="7" t="s">
        <v>24</v>
      </c>
      <c r="B853" s="7" t="s">
        <v>724</v>
      </c>
      <c r="C853" s="7" t="s">
        <v>1036</v>
      </c>
      <c r="D853" s="7" t="n">
        <v>6</v>
      </c>
      <c r="E853" s="7" t="n">
        <v>1139.76</v>
      </c>
      <c r="F853" s="7" t="n">
        <v>3</v>
      </c>
      <c r="G853" s="7" t="n">
        <v>565.01</v>
      </c>
    </row>
    <row r="854" customFormat="false" ht="15" hidden="false" customHeight="false" outlineLevel="0" collapsed="false">
      <c r="A854" s="7" t="s">
        <v>24</v>
      </c>
      <c r="B854" s="7" t="s">
        <v>724</v>
      </c>
      <c r="C854" s="7" t="s">
        <v>1036</v>
      </c>
      <c r="D854" s="7" t="n">
        <v>0</v>
      </c>
      <c r="E854" s="7" t="n">
        <v>0</v>
      </c>
      <c r="F854" s="7" t="n">
        <v>1</v>
      </c>
      <c r="G854" s="7" t="n">
        <v>194.83</v>
      </c>
    </row>
    <row r="855" customFormat="false" ht="15" hidden="false" customHeight="false" outlineLevel="0" collapsed="false">
      <c r="A855" s="7" t="s">
        <v>24</v>
      </c>
      <c r="B855" s="7" t="s">
        <v>724</v>
      </c>
      <c r="C855" s="7" t="s">
        <v>1036</v>
      </c>
      <c r="D855" s="7" t="n">
        <v>0</v>
      </c>
      <c r="E855" s="7" t="n">
        <v>0</v>
      </c>
      <c r="F855" s="7" t="n">
        <v>1</v>
      </c>
      <c r="G855" s="7" t="n">
        <v>194.83</v>
      </c>
    </row>
    <row r="856" customFormat="false" ht="15" hidden="false" customHeight="false" outlineLevel="0" collapsed="false">
      <c r="A856" s="7" t="s">
        <v>24</v>
      </c>
      <c r="B856" s="7" t="s">
        <v>724</v>
      </c>
      <c r="C856" s="7" t="s">
        <v>1036</v>
      </c>
      <c r="D856" s="7" t="n">
        <v>2</v>
      </c>
      <c r="E856" s="7" t="n">
        <v>532.78</v>
      </c>
      <c r="F856" s="7" t="n">
        <v>0</v>
      </c>
      <c r="G856" s="7" t="n">
        <v>0</v>
      </c>
    </row>
    <row r="857" customFormat="false" ht="15" hidden="false" customHeight="false" outlineLevel="0" collapsed="false">
      <c r="A857" s="7" t="s">
        <v>24</v>
      </c>
      <c r="B857" s="7" t="s">
        <v>724</v>
      </c>
      <c r="C857" s="7" t="s">
        <v>1036</v>
      </c>
      <c r="D857" s="7" t="n">
        <v>1</v>
      </c>
      <c r="E857" s="7" t="n">
        <v>159.84</v>
      </c>
      <c r="F857" s="7" t="n">
        <v>0</v>
      </c>
      <c r="G857" s="7" t="n">
        <v>0</v>
      </c>
    </row>
    <row r="858" customFormat="false" ht="15" hidden="false" customHeight="false" outlineLevel="0" collapsed="false">
      <c r="A858" s="7" t="s">
        <v>24</v>
      </c>
      <c r="B858" s="7" t="s">
        <v>724</v>
      </c>
      <c r="C858" s="7" t="s">
        <v>1036</v>
      </c>
      <c r="D858" s="7" t="n">
        <v>0</v>
      </c>
      <c r="E858" s="7" t="n">
        <v>0</v>
      </c>
      <c r="F858" s="7" t="n">
        <v>1</v>
      </c>
      <c r="G858" s="7" t="n">
        <v>175.34</v>
      </c>
    </row>
    <row r="859" customFormat="false" ht="15" hidden="false" customHeight="false" outlineLevel="0" collapsed="false">
      <c r="A859" s="7" t="s">
        <v>24</v>
      </c>
      <c r="B859" s="7" t="s">
        <v>724</v>
      </c>
      <c r="C859" s="7" t="s">
        <v>1036</v>
      </c>
      <c r="D859" s="7" t="n">
        <v>0</v>
      </c>
      <c r="E859" s="7" t="n">
        <v>0</v>
      </c>
      <c r="F859" s="7" t="n">
        <v>1</v>
      </c>
      <c r="G859" s="7" t="n">
        <v>194.83</v>
      </c>
    </row>
    <row r="860" customFormat="false" ht="15" hidden="false" customHeight="false" outlineLevel="0" collapsed="false">
      <c r="A860" s="7" t="s">
        <v>24</v>
      </c>
      <c r="B860" s="7" t="s">
        <v>724</v>
      </c>
      <c r="C860" s="7" t="s">
        <v>1036</v>
      </c>
      <c r="D860" s="7" t="n">
        <v>0</v>
      </c>
      <c r="E860" s="7" t="n">
        <v>0</v>
      </c>
      <c r="F860" s="7" t="n">
        <v>1</v>
      </c>
      <c r="G860" s="7" t="n">
        <v>194.83</v>
      </c>
    </row>
    <row r="861" customFormat="false" ht="15" hidden="false" customHeight="false" outlineLevel="0" collapsed="false">
      <c r="A861" s="7" t="s">
        <v>24</v>
      </c>
      <c r="B861" s="7" t="s">
        <v>724</v>
      </c>
      <c r="C861" s="7" t="s">
        <v>1036</v>
      </c>
      <c r="D861" s="7" t="n">
        <v>0</v>
      </c>
      <c r="E861" s="7" t="n">
        <v>0</v>
      </c>
      <c r="F861" s="7" t="n">
        <v>1</v>
      </c>
      <c r="G861" s="7" t="n">
        <v>194.83</v>
      </c>
    </row>
    <row r="862" customFormat="false" ht="15" hidden="false" customHeight="false" outlineLevel="0" collapsed="false">
      <c r="A862" s="7" t="s">
        <v>24</v>
      </c>
      <c r="B862" s="7" t="s">
        <v>724</v>
      </c>
      <c r="C862" s="7" t="s">
        <v>1036</v>
      </c>
      <c r="D862" s="7" t="n">
        <v>0</v>
      </c>
      <c r="E862" s="7" t="n">
        <v>0</v>
      </c>
      <c r="F862" s="7" t="n">
        <v>1</v>
      </c>
      <c r="G862" s="7" t="n">
        <v>194.83</v>
      </c>
    </row>
    <row r="863" customFormat="false" ht="15" hidden="false" customHeight="false" outlineLevel="0" collapsed="false">
      <c r="A863" s="7" t="s">
        <v>24</v>
      </c>
      <c r="B863" s="7" t="s">
        <v>471</v>
      </c>
      <c r="C863" s="7" t="s">
        <v>1082</v>
      </c>
      <c r="D863" s="7" t="n">
        <v>10</v>
      </c>
      <c r="E863" s="7" t="n">
        <v>1960.84</v>
      </c>
      <c r="F863" s="7" t="n">
        <v>4</v>
      </c>
      <c r="G863" s="7" t="n">
        <v>796.28</v>
      </c>
    </row>
    <row r="864" customFormat="false" ht="15" hidden="false" customHeight="false" outlineLevel="0" collapsed="false">
      <c r="A864" s="7" t="s">
        <v>24</v>
      </c>
      <c r="B864" s="7" t="s">
        <v>471</v>
      </c>
      <c r="C864" s="7" t="s">
        <v>1082</v>
      </c>
      <c r="D864" s="7" t="n">
        <v>0</v>
      </c>
      <c r="E864" s="7" t="n">
        <v>0</v>
      </c>
      <c r="F864" s="7" t="n">
        <v>2</v>
      </c>
      <c r="G864" s="7" t="n">
        <v>398.14</v>
      </c>
    </row>
    <row r="865" customFormat="false" ht="15" hidden="false" customHeight="false" outlineLevel="0" collapsed="false">
      <c r="A865" s="7" t="s">
        <v>24</v>
      </c>
      <c r="B865" s="7" t="s">
        <v>471</v>
      </c>
      <c r="C865" s="7" t="s">
        <v>1082</v>
      </c>
      <c r="D865" s="7" t="n">
        <v>0</v>
      </c>
      <c r="E865" s="7" t="n">
        <v>0</v>
      </c>
      <c r="F865" s="7" t="n">
        <v>2</v>
      </c>
      <c r="G865" s="7" t="n">
        <v>398.13</v>
      </c>
    </row>
    <row r="866" customFormat="false" ht="15" hidden="false" customHeight="false" outlineLevel="0" collapsed="false">
      <c r="A866" s="7" t="s">
        <v>24</v>
      </c>
      <c r="B866" s="7" t="s">
        <v>289</v>
      </c>
      <c r="C866" s="7" t="s">
        <v>1082</v>
      </c>
      <c r="D866" s="7" t="n">
        <v>0</v>
      </c>
      <c r="E866" s="7" t="n">
        <v>0</v>
      </c>
      <c r="F866" s="7" t="n">
        <v>1</v>
      </c>
      <c r="G866" s="7" t="n">
        <v>199.07</v>
      </c>
    </row>
    <row r="867" customFormat="false" ht="15" hidden="false" customHeight="false" outlineLevel="0" collapsed="false">
      <c r="A867" s="7" t="s">
        <v>24</v>
      </c>
      <c r="B867" s="7" t="s">
        <v>289</v>
      </c>
      <c r="C867" s="7" t="s">
        <v>1082</v>
      </c>
      <c r="D867" s="7" t="n">
        <v>0</v>
      </c>
      <c r="E867" s="7" t="n">
        <v>0</v>
      </c>
      <c r="F867" s="7" t="n">
        <v>1</v>
      </c>
      <c r="G867" s="7" t="n">
        <v>179.16</v>
      </c>
    </row>
    <row r="868" customFormat="false" ht="15" hidden="false" customHeight="false" outlineLevel="0" collapsed="false">
      <c r="A868" s="7" t="s">
        <v>24</v>
      </c>
      <c r="B868" s="7" t="s">
        <v>289</v>
      </c>
      <c r="C868" s="7" t="s">
        <v>1082</v>
      </c>
      <c r="D868" s="7" t="n">
        <v>3</v>
      </c>
      <c r="E868" s="7" t="n">
        <v>597.21</v>
      </c>
      <c r="F868" s="7" t="n">
        <v>4</v>
      </c>
      <c r="G868" s="7" t="n">
        <v>776.37</v>
      </c>
    </row>
    <row r="869" customFormat="false" ht="15" hidden="false" customHeight="false" outlineLevel="0" collapsed="false">
      <c r="A869" s="7" t="s">
        <v>24</v>
      </c>
      <c r="B869" s="7" t="s">
        <v>289</v>
      </c>
      <c r="C869" s="7" t="s">
        <v>1082</v>
      </c>
      <c r="D869" s="7" t="n">
        <v>0</v>
      </c>
      <c r="E869" s="7" t="n">
        <v>0</v>
      </c>
      <c r="F869" s="7" t="n">
        <v>1</v>
      </c>
      <c r="G869" s="7" t="n">
        <v>179.16</v>
      </c>
    </row>
    <row r="870" customFormat="false" ht="15" hidden="false" customHeight="false" outlineLevel="0" collapsed="false">
      <c r="A870" s="7" t="s">
        <v>24</v>
      </c>
      <c r="B870" s="7" t="s">
        <v>289</v>
      </c>
      <c r="C870" s="7" t="s">
        <v>1082</v>
      </c>
      <c r="D870" s="7" t="n">
        <v>0</v>
      </c>
      <c r="E870" s="7" t="n">
        <v>0</v>
      </c>
      <c r="F870" s="7" t="n">
        <v>1</v>
      </c>
      <c r="G870" s="7" t="n">
        <v>199.07</v>
      </c>
    </row>
    <row r="871" customFormat="false" ht="15" hidden="false" customHeight="false" outlineLevel="0" collapsed="false">
      <c r="A871" s="7" t="s">
        <v>24</v>
      </c>
      <c r="B871" s="7" t="s">
        <v>289</v>
      </c>
      <c r="C871" s="7" t="s">
        <v>1082</v>
      </c>
      <c r="D871" s="7" t="n">
        <v>0</v>
      </c>
      <c r="E871" s="7" t="n">
        <v>0</v>
      </c>
      <c r="F871" s="7" t="n">
        <v>1</v>
      </c>
      <c r="G871" s="7" t="n">
        <v>199.07</v>
      </c>
    </row>
    <row r="872" customFormat="false" ht="15" hidden="false" customHeight="false" outlineLevel="0" collapsed="false">
      <c r="A872" s="7" t="s">
        <v>24</v>
      </c>
      <c r="B872" s="7" t="s">
        <v>289</v>
      </c>
      <c r="C872" s="7" t="s">
        <v>1082</v>
      </c>
      <c r="D872" s="7" t="n">
        <v>0</v>
      </c>
      <c r="E872" s="7" t="n">
        <v>0</v>
      </c>
      <c r="F872" s="7" t="n">
        <v>1</v>
      </c>
      <c r="G872" s="7" t="n">
        <v>199.07</v>
      </c>
    </row>
    <row r="873" customFormat="false" ht="15" hidden="false" customHeight="false" outlineLevel="0" collapsed="false">
      <c r="A873" s="7" t="s">
        <v>24</v>
      </c>
      <c r="B873" s="7" t="s">
        <v>289</v>
      </c>
      <c r="C873" s="7" t="s">
        <v>1082</v>
      </c>
      <c r="D873" s="7" t="n">
        <v>2</v>
      </c>
      <c r="E873" s="7" t="n">
        <v>376.1</v>
      </c>
      <c r="F873" s="7" t="n">
        <v>0</v>
      </c>
      <c r="G873" s="7" t="n">
        <v>0</v>
      </c>
    </row>
    <row r="874" customFormat="false" ht="15" hidden="false" customHeight="false" outlineLevel="0" collapsed="false">
      <c r="A874" s="7" t="s">
        <v>24</v>
      </c>
      <c r="B874" s="7" t="s">
        <v>545</v>
      </c>
      <c r="C874" s="7" t="s">
        <v>1082</v>
      </c>
      <c r="D874" s="7" t="n">
        <v>1</v>
      </c>
      <c r="E874" s="7" t="n">
        <v>169.21</v>
      </c>
      <c r="F874" s="7" t="n">
        <v>4</v>
      </c>
      <c r="G874" s="7" t="n">
        <v>776.37</v>
      </c>
    </row>
    <row r="875" customFormat="false" ht="15" hidden="false" customHeight="false" outlineLevel="0" collapsed="false">
      <c r="A875" s="7" t="s">
        <v>24</v>
      </c>
      <c r="B875" s="7" t="s">
        <v>545</v>
      </c>
      <c r="C875" s="7" t="s">
        <v>1082</v>
      </c>
      <c r="D875" s="7" t="n">
        <v>3</v>
      </c>
      <c r="E875" s="7" t="n">
        <v>535.94</v>
      </c>
      <c r="F875" s="7" t="n">
        <v>0</v>
      </c>
      <c r="G875" s="7" t="n">
        <v>0</v>
      </c>
    </row>
    <row r="876" customFormat="false" ht="15" hidden="false" customHeight="false" outlineLevel="0" collapsed="false">
      <c r="A876" s="7" t="s">
        <v>24</v>
      </c>
      <c r="B876" s="7" t="s">
        <v>545</v>
      </c>
      <c r="C876" s="7" t="s">
        <v>1082</v>
      </c>
      <c r="D876" s="7" t="n">
        <v>0</v>
      </c>
      <c r="E876" s="7" t="n">
        <v>0</v>
      </c>
      <c r="F876" s="7" t="n">
        <v>1</v>
      </c>
      <c r="G876" s="7" t="n">
        <v>199.07</v>
      </c>
    </row>
    <row r="877" customFormat="false" ht="15" hidden="false" customHeight="false" outlineLevel="0" collapsed="false">
      <c r="A877" s="7" t="s">
        <v>24</v>
      </c>
      <c r="B877" s="7" t="s">
        <v>482</v>
      </c>
      <c r="C877" s="7" t="s">
        <v>1082</v>
      </c>
      <c r="D877" s="7" t="n">
        <v>0</v>
      </c>
      <c r="E877" s="7" t="n">
        <v>0</v>
      </c>
      <c r="F877" s="7" t="n">
        <v>1</v>
      </c>
      <c r="G877" s="7" t="n">
        <v>179.16</v>
      </c>
    </row>
    <row r="878" customFormat="false" ht="15" hidden="false" customHeight="false" outlineLevel="0" collapsed="false">
      <c r="A878" s="7" t="s">
        <v>24</v>
      </c>
      <c r="B878" s="7" t="s">
        <v>482</v>
      </c>
      <c r="C878" s="7" t="s">
        <v>1082</v>
      </c>
      <c r="D878" s="7" t="n">
        <v>2</v>
      </c>
      <c r="E878" s="7" t="n">
        <v>376.1</v>
      </c>
      <c r="F878" s="7" t="n">
        <v>0</v>
      </c>
      <c r="G878" s="7" t="n">
        <v>0</v>
      </c>
    </row>
    <row r="879" customFormat="false" ht="15" hidden="false" customHeight="false" outlineLevel="0" collapsed="false">
      <c r="A879" s="7" t="s">
        <v>24</v>
      </c>
      <c r="B879" s="7" t="s">
        <v>482</v>
      </c>
      <c r="C879" s="7" t="s">
        <v>1082</v>
      </c>
      <c r="D879" s="7" t="n">
        <v>3</v>
      </c>
      <c r="E879" s="7" t="n">
        <v>597.21</v>
      </c>
      <c r="F879" s="7" t="n">
        <v>4</v>
      </c>
      <c r="G879" s="7" t="n">
        <v>776.37</v>
      </c>
    </row>
    <row r="880" customFormat="false" ht="15" hidden="false" customHeight="false" outlineLevel="0" collapsed="false">
      <c r="A880" s="7" t="s">
        <v>24</v>
      </c>
      <c r="B880" s="7" t="s">
        <v>482</v>
      </c>
      <c r="C880" s="7" t="s">
        <v>1082</v>
      </c>
      <c r="D880" s="7" t="n">
        <v>0</v>
      </c>
      <c r="E880" s="7" t="n">
        <v>0</v>
      </c>
      <c r="F880" s="7" t="n">
        <v>1</v>
      </c>
      <c r="G880" s="7" t="n">
        <v>199.07</v>
      </c>
    </row>
    <row r="881" customFormat="false" ht="15" hidden="false" customHeight="false" outlineLevel="0" collapsed="false">
      <c r="A881" s="7" t="s">
        <v>24</v>
      </c>
      <c r="B881" s="7" t="s">
        <v>482</v>
      </c>
      <c r="C881" s="7" t="s">
        <v>1082</v>
      </c>
      <c r="D881" s="7" t="n">
        <v>0</v>
      </c>
      <c r="E881" s="7" t="n">
        <v>0</v>
      </c>
      <c r="F881" s="7" t="n">
        <v>1</v>
      </c>
      <c r="G881" s="7" t="n">
        <v>169.21</v>
      </c>
    </row>
    <row r="882" customFormat="false" ht="15" hidden="false" customHeight="false" outlineLevel="0" collapsed="false">
      <c r="A882" s="7" t="s">
        <v>24</v>
      </c>
      <c r="B882" s="7" t="s">
        <v>599</v>
      </c>
      <c r="C882" s="7" t="s">
        <v>1082</v>
      </c>
      <c r="D882" s="7" t="n">
        <v>0</v>
      </c>
      <c r="E882" s="7" t="n">
        <v>0</v>
      </c>
      <c r="F882" s="7" t="n">
        <v>1</v>
      </c>
      <c r="G882" s="7" t="n">
        <v>199.07</v>
      </c>
    </row>
    <row r="883" customFormat="false" ht="15" hidden="false" customHeight="false" outlineLevel="0" collapsed="false">
      <c r="A883" s="7" t="s">
        <v>24</v>
      </c>
      <c r="B883" s="7" t="s">
        <v>247</v>
      </c>
      <c r="C883" s="7" t="s">
        <v>1082</v>
      </c>
      <c r="D883" s="7" t="n">
        <v>9</v>
      </c>
      <c r="E883" s="7" t="n">
        <v>1712</v>
      </c>
      <c r="F883" s="7" t="n">
        <v>2</v>
      </c>
      <c r="G883" s="7" t="n">
        <v>378.23</v>
      </c>
    </row>
    <row r="884" customFormat="false" ht="15" hidden="false" customHeight="false" outlineLevel="0" collapsed="false">
      <c r="A884" s="7" t="s">
        <v>24</v>
      </c>
      <c r="B884" s="7" t="s">
        <v>247</v>
      </c>
      <c r="C884" s="7" t="s">
        <v>1082</v>
      </c>
      <c r="D884" s="7" t="n">
        <v>1</v>
      </c>
      <c r="E884" s="7" t="n">
        <v>188.05</v>
      </c>
      <c r="F884" s="7" t="n">
        <v>0</v>
      </c>
      <c r="G884" s="7" t="n">
        <v>0</v>
      </c>
    </row>
    <row r="885" customFormat="false" ht="15" hidden="false" customHeight="false" outlineLevel="0" collapsed="false">
      <c r="A885" s="7" t="s">
        <v>24</v>
      </c>
      <c r="B885" s="7" t="s">
        <v>247</v>
      </c>
      <c r="C885" s="7" t="s">
        <v>1082</v>
      </c>
      <c r="D885" s="7" t="n">
        <v>1</v>
      </c>
      <c r="E885" s="7" t="n">
        <v>317.5</v>
      </c>
      <c r="F885" s="7" t="n">
        <v>0</v>
      </c>
      <c r="G885" s="7" t="n">
        <v>0</v>
      </c>
    </row>
    <row r="886" customFormat="false" ht="15" hidden="false" customHeight="false" outlineLevel="0" collapsed="false">
      <c r="A886" s="7" t="s">
        <v>24</v>
      </c>
      <c r="B886" s="7" t="s">
        <v>247</v>
      </c>
      <c r="C886" s="7" t="s">
        <v>1082</v>
      </c>
      <c r="D886" s="7" t="n">
        <v>0</v>
      </c>
      <c r="E886" s="7" t="n">
        <v>0</v>
      </c>
      <c r="F886" s="7" t="n">
        <v>1</v>
      </c>
      <c r="G886" s="7" t="n">
        <v>179.16</v>
      </c>
    </row>
    <row r="887" customFormat="false" ht="15" hidden="false" customHeight="false" outlineLevel="0" collapsed="false">
      <c r="A887" s="7" t="s">
        <v>24</v>
      </c>
      <c r="B887" s="7" t="s">
        <v>247</v>
      </c>
      <c r="C887" s="7" t="s">
        <v>1082</v>
      </c>
      <c r="D887" s="7" t="n">
        <v>0</v>
      </c>
      <c r="E887" s="7" t="n">
        <v>0</v>
      </c>
      <c r="F887" s="7" t="n">
        <v>2</v>
      </c>
      <c r="G887" s="7" t="n">
        <v>358.32</v>
      </c>
    </row>
    <row r="888" customFormat="false" ht="15" hidden="false" customHeight="false" outlineLevel="0" collapsed="false">
      <c r="A888" s="7" t="s">
        <v>24</v>
      </c>
      <c r="B888" s="7" t="s">
        <v>463</v>
      </c>
      <c r="C888" s="7" t="s">
        <v>1037</v>
      </c>
      <c r="D888" s="7" t="n">
        <v>0</v>
      </c>
      <c r="E888" s="7" t="n">
        <v>0</v>
      </c>
      <c r="F888" s="7" t="n">
        <v>1</v>
      </c>
      <c r="G888" s="7" t="n">
        <v>384.66</v>
      </c>
    </row>
    <row r="889" customFormat="false" ht="15" hidden="false" customHeight="false" outlineLevel="0" collapsed="false">
      <c r="A889" s="7" t="s">
        <v>24</v>
      </c>
      <c r="B889" s="7" t="s">
        <v>463</v>
      </c>
      <c r="C889" s="7" t="s">
        <v>1037</v>
      </c>
      <c r="D889" s="7" t="n">
        <v>2</v>
      </c>
      <c r="E889" s="7" t="n">
        <v>769.32</v>
      </c>
      <c r="F889" s="7" t="n">
        <v>0</v>
      </c>
      <c r="G889" s="7" t="n">
        <v>0</v>
      </c>
    </row>
    <row r="890" customFormat="false" ht="15" hidden="false" customHeight="false" outlineLevel="0" collapsed="false">
      <c r="A890" s="7" t="s">
        <v>24</v>
      </c>
      <c r="B890" s="7" t="s">
        <v>239</v>
      </c>
      <c r="C890" s="7" t="s">
        <v>1037</v>
      </c>
      <c r="D890" s="7" t="n">
        <v>4</v>
      </c>
      <c r="E890" s="7" t="n">
        <v>1404.01</v>
      </c>
      <c r="F890" s="7" t="n">
        <v>0</v>
      </c>
      <c r="G890" s="7" t="n">
        <v>0</v>
      </c>
    </row>
    <row r="891" customFormat="false" ht="15" hidden="false" customHeight="false" outlineLevel="0" collapsed="false">
      <c r="A891" s="7" t="s">
        <v>24</v>
      </c>
      <c r="B891" s="7" t="s">
        <v>548</v>
      </c>
      <c r="C891" s="7" t="s">
        <v>1037</v>
      </c>
      <c r="D891" s="7" t="n">
        <v>2</v>
      </c>
      <c r="E891" s="7" t="n">
        <v>769.32</v>
      </c>
      <c r="F891" s="7" t="n">
        <v>1</v>
      </c>
      <c r="G891" s="7" t="n">
        <v>384.66</v>
      </c>
    </row>
    <row r="892" customFormat="false" ht="15" hidden="false" customHeight="false" outlineLevel="0" collapsed="false">
      <c r="A892" s="7" t="s">
        <v>24</v>
      </c>
      <c r="B892" s="7" t="s">
        <v>548</v>
      </c>
      <c r="C892" s="7" t="s">
        <v>1037</v>
      </c>
      <c r="D892" s="7" t="n">
        <v>0</v>
      </c>
      <c r="E892" s="7" t="n">
        <v>0</v>
      </c>
      <c r="F892" s="7" t="n">
        <v>1</v>
      </c>
      <c r="G892" s="7" t="n">
        <v>326.96</v>
      </c>
    </row>
    <row r="893" customFormat="false" ht="15" hidden="false" customHeight="false" outlineLevel="0" collapsed="false">
      <c r="A893" s="7" t="s">
        <v>24</v>
      </c>
      <c r="B893" s="7" t="s">
        <v>548</v>
      </c>
      <c r="C893" s="7" t="s">
        <v>1037</v>
      </c>
      <c r="D893" s="7" t="n">
        <v>0</v>
      </c>
      <c r="E893" s="7" t="n">
        <v>0</v>
      </c>
      <c r="F893" s="7" t="n">
        <v>1</v>
      </c>
      <c r="G893" s="7" t="n">
        <v>556.2</v>
      </c>
    </row>
    <row r="894" customFormat="false" ht="15" hidden="false" customHeight="false" outlineLevel="0" collapsed="false">
      <c r="A894" s="7" t="s">
        <v>24</v>
      </c>
      <c r="B894" s="7" t="s">
        <v>548</v>
      </c>
      <c r="C894" s="7" t="s">
        <v>1037</v>
      </c>
      <c r="D894" s="7" t="n">
        <v>1</v>
      </c>
      <c r="E894" s="7" t="n">
        <v>618.5</v>
      </c>
      <c r="F894" s="7" t="n">
        <v>0</v>
      </c>
      <c r="G894" s="7" t="n">
        <v>0</v>
      </c>
    </row>
    <row r="895" customFormat="false" ht="15" hidden="false" customHeight="false" outlineLevel="0" collapsed="false">
      <c r="A895" s="7" t="s">
        <v>24</v>
      </c>
      <c r="B895" s="7" t="s">
        <v>548</v>
      </c>
      <c r="C895" s="7" t="s">
        <v>1037</v>
      </c>
      <c r="D895" s="7" t="n">
        <v>0</v>
      </c>
      <c r="E895" s="7" t="n">
        <v>0</v>
      </c>
      <c r="F895" s="7" t="n">
        <v>1</v>
      </c>
      <c r="G895" s="7" t="n">
        <v>384.66</v>
      </c>
    </row>
    <row r="896" customFormat="false" ht="15" hidden="false" customHeight="false" outlineLevel="0" collapsed="false">
      <c r="A896" s="7" t="s">
        <v>24</v>
      </c>
      <c r="B896" s="7" t="s">
        <v>352</v>
      </c>
      <c r="C896" s="7" t="s">
        <v>1192</v>
      </c>
      <c r="D896" s="7" t="n">
        <v>0</v>
      </c>
      <c r="E896" s="7" t="n">
        <v>0</v>
      </c>
      <c r="F896" s="7" t="n">
        <v>1</v>
      </c>
      <c r="G896" s="7" t="n">
        <v>221.11</v>
      </c>
    </row>
    <row r="897" customFormat="false" ht="15" hidden="false" customHeight="false" outlineLevel="0" collapsed="false">
      <c r="A897" s="7" t="s">
        <v>24</v>
      </c>
      <c r="B897" s="7" t="s">
        <v>352</v>
      </c>
      <c r="C897" s="7" t="s">
        <v>1192</v>
      </c>
      <c r="D897" s="7" t="n">
        <v>7</v>
      </c>
      <c r="E897" s="7" t="n">
        <v>1560.07</v>
      </c>
      <c r="F897" s="7" t="n">
        <v>0</v>
      </c>
      <c r="G897" s="7" t="n">
        <v>0</v>
      </c>
    </row>
    <row r="898" customFormat="false" ht="15" hidden="false" customHeight="false" outlineLevel="0" collapsed="false">
      <c r="A898" s="7" t="s">
        <v>24</v>
      </c>
      <c r="B898" s="7" t="s">
        <v>352</v>
      </c>
      <c r="C898" s="7" t="s">
        <v>1192</v>
      </c>
      <c r="D898" s="7" t="n">
        <v>0</v>
      </c>
      <c r="E898" s="7" t="n">
        <v>0</v>
      </c>
      <c r="F898" s="7" t="n">
        <v>1</v>
      </c>
      <c r="G898" s="7" t="n">
        <v>245.68</v>
      </c>
    </row>
    <row r="899" customFormat="false" ht="15" hidden="false" customHeight="false" outlineLevel="0" collapsed="false">
      <c r="A899" s="7" t="s">
        <v>24</v>
      </c>
      <c r="B899" s="7" t="s">
        <v>352</v>
      </c>
      <c r="C899" s="7" t="s">
        <v>1192</v>
      </c>
      <c r="D899" s="7" t="n">
        <v>0</v>
      </c>
      <c r="E899" s="7" t="n">
        <v>0</v>
      </c>
      <c r="F899" s="7" t="n">
        <v>1</v>
      </c>
      <c r="G899" s="7" t="n">
        <v>221.11</v>
      </c>
    </row>
    <row r="900" customFormat="false" ht="15" hidden="false" customHeight="false" outlineLevel="0" collapsed="false">
      <c r="A900" s="7" t="s">
        <v>24</v>
      </c>
      <c r="B900" s="7" t="s">
        <v>352</v>
      </c>
      <c r="C900" s="7" t="s">
        <v>1192</v>
      </c>
      <c r="D900" s="7" t="n">
        <v>0</v>
      </c>
      <c r="E900" s="7" t="n">
        <v>0</v>
      </c>
      <c r="F900" s="7" t="n">
        <v>1</v>
      </c>
      <c r="G900" s="7" t="n">
        <v>221.11</v>
      </c>
    </row>
    <row r="901" customFormat="false" ht="15" hidden="false" customHeight="false" outlineLevel="0" collapsed="false">
      <c r="A901" s="7" t="s">
        <v>24</v>
      </c>
      <c r="B901" s="7" t="s">
        <v>438</v>
      </c>
      <c r="C901" s="7" t="s">
        <v>1192</v>
      </c>
      <c r="D901" s="7" t="n">
        <v>3</v>
      </c>
      <c r="E901" s="7" t="n">
        <v>675.62</v>
      </c>
      <c r="F901" s="7" t="n">
        <v>-1</v>
      </c>
      <c r="G901" s="7" t="n">
        <v>-221.11</v>
      </c>
    </row>
    <row r="902" customFormat="false" ht="15" hidden="false" customHeight="false" outlineLevel="0" collapsed="false">
      <c r="A902" s="7" t="s">
        <v>24</v>
      </c>
      <c r="B902" s="7" t="s">
        <v>438</v>
      </c>
      <c r="C902" s="7" t="s">
        <v>1192</v>
      </c>
      <c r="D902" s="7" t="n">
        <v>0</v>
      </c>
      <c r="E902" s="7" t="n">
        <v>0</v>
      </c>
      <c r="F902" s="7" t="n">
        <v>1</v>
      </c>
      <c r="G902" s="7" t="n">
        <v>221.11</v>
      </c>
    </row>
    <row r="903" customFormat="false" ht="15" hidden="false" customHeight="false" outlineLevel="0" collapsed="false">
      <c r="A903" s="7" t="s">
        <v>24</v>
      </c>
      <c r="B903" s="7" t="s">
        <v>438</v>
      </c>
      <c r="C903" s="7" t="s">
        <v>1192</v>
      </c>
      <c r="D903" s="7" t="n">
        <v>0</v>
      </c>
      <c r="E903" s="7" t="n">
        <v>0</v>
      </c>
      <c r="F903" s="7" t="n">
        <v>1</v>
      </c>
      <c r="G903" s="7" t="n">
        <v>221.11</v>
      </c>
    </row>
    <row r="904" customFormat="false" ht="15" hidden="false" customHeight="false" outlineLevel="0" collapsed="false">
      <c r="A904" s="7" t="s">
        <v>24</v>
      </c>
      <c r="B904" s="7" t="s">
        <v>439</v>
      </c>
      <c r="C904" s="7" t="s">
        <v>1192</v>
      </c>
      <c r="D904" s="7" t="n">
        <v>2</v>
      </c>
      <c r="E904" s="7" t="n">
        <v>454.51</v>
      </c>
      <c r="F904" s="7" t="n">
        <v>0</v>
      </c>
      <c r="G904" s="7" t="n">
        <v>0</v>
      </c>
    </row>
    <row r="905" customFormat="false" ht="15" hidden="false" customHeight="false" outlineLevel="0" collapsed="false">
      <c r="A905" s="7" t="s">
        <v>24</v>
      </c>
      <c r="B905" s="7" t="s">
        <v>346</v>
      </c>
      <c r="C905" s="7" t="s">
        <v>1192</v>
      </c>
      <c r="D905" s="7" t="n">
        <v>0</v>
      </c>
      <c r="E905" s="7" t="n">
        <v>0</v>
      </c>
      <c r="F905" s="7" t="n">
        <v>1</v>
      </c>
      <c r="G905" s="7" t="n">
        <v>221.11</v>
      </c>
    </row>
    <row r="906" customFormat="false" ht="15" hidden="false" customHeight="false" outlineLevel="0" collapsed="false">
      <c r="A906" s="7" t="s">
        <v>24</v>
      </c>
      <c r="B906" s="7" t="s">
        <v>346</v>
      </c>
      <c r="C906" s="7" t="s">
        <v>1192</v>
      </c>
      <c r="D906" s="7" t="n">
        <v>0</v>
      </c>
      <c r="E906" s="7" t="n">
        <v>0</v>
      </c>
      <c r="F906" s="7" t="n">
        <v>1</v>
      </c>
      <c r="G906" s="7" t="n">
        <v>221.11</v>
      </c>
    </row>
    <row r="907" customFormat="false" ht="15" hidden="false" customHeight="false" outlineLevel="0" collapsed="false">
      <c r="A907" s="7" t="s">
        <v>24</v>
      </c>
      <c r="B907" s="7" t="s">
        <v>346</v>
      </c>
      <c r="C907" s="7" t="s">
        <v>1192</v>
      </c>
      <c r="D907" s="7" t="n">
        <v>0</v>
      </c>
      <c r="E907" s="7" t="n">
        <v>0</v>
      </c>
      <c r="F907" s="7" t="n">
        <v>1</v>
      </c>
      <c r="G907" s="7" t="n">
        <v>245.68</v>
      </c>
    </row>
    <row r="908" customFormat="false" ht="15" hidden="false" customHeight="false" outlineLevel="0" collapsed="false">
      <c r="A908" s="7" t="s">
        <v>24</v>
      </c>
      <c r="B908" s="7" t="s">
        <v>346</v>
      </c>
      <c r="C908" s="7" t="s">
        <v>1192</v>
      </c>
      <c r="D908" s="7" t="n">
        <v>0</v>
      </c>
      <c r="E908" s="7" t="n">
        <v>0</v>
      </c>
      <c r="F908" s="7" t="n">
        <v>1</v>
      </c>
      <c r="G908" s="7" t="n">
        <v>221.11</v>
      </c>
    </row>
    <row r="909" customFormat="false" ht="15" hidden="false" customHeight="false" outlineLevel="0" collapsed="false">
      <c r="A909" s="7" t="s">
        <v>24</v>
      </c>
      <c r="B909" s="7" t="s">
        <v>346</v>
      </c>
      <c r="C909" s="7" t="s">
        <v>1192</v>
      </c>
      <c r="D909" s="7" t="n">
        <v>6</v>
      </c>
      <c r="E909" s="7" t="n">
        <v>1388.1</v>
      </c>
      <c r="F909" s="7" t="n">
        <v>0</v>
      </c>
      <c r="G909" s="7" t="n">
        <v>0</v>
      </c>
    </row>
    <row r="910" customFormat="false" ht="15" hidden="false" customHeight="false" outlineLevel="0" collapsed="false">
      <c r="A910" s="7" t="s">
        <v>24</v>
      </c>
      <c r="B910" s="7" t="s">
        <v>346</v>
      </c>
      <c r="C910" s="7" t="s">
        <v>1192</v>
      </c>
      <c r="D910" s="7" t="n">
        <v>1</v>
      </c>
      <c r="E910" s="7" t="n">
        <v>196.58</v>
      </c>
      <c r="F910" s="7" t="n">
        <v>0</v>
      </c>
      <c r="G910" s="7" t="n">
        <v>0</v>
      </c>
    </row>
    <row r="911" customFormat="false" ht="15" hidden="false" customHeight="false" outlineLevel="0" collapsed="false">
      <c r="A911" s="7" t="s">
        <v>24</v>
      </c>
      <c r="B911" s="7" t="s">
        <v>373</v>
      </c>
      <c r="C911" s="7" t="s">
        <v>1192</v>
      </c>
      <c r="D911" s="7" t="n">
        <v>1</v>
      </c>
      <c r="E911" s="7" t="n">
        <v>208.83</v>
      </c>
      <c r="F911" s="7" t="n">
        <v>0</v>
      </c>
      <c r="G911" s="7" t="n">
        <v>0</v>
      </c>
    </row>
    <row r="912" customFormat="false" ht="15" hidden="false" customHeight="false" outlineLevel="0" collapsed="false">
      <c r="A912" s="7" t="s">
        <v>24</v>
      </c>
      <c r="B912" s="7" t="s">
        <v>373</v>
      </c>
      <c r="C912" s="7" t="s">
        <v>1192</v>
      </c>
      <c r="D912" s="7" t="n">
        <v>0</v>
      </c>
      <c r="E912" s="7" t="n">
        <v>0</v>
      </c>
      <c r="F912" s="7" t="n">
        <v>1</v>
      </c>
      <c r="G912" s="7" t="n">
        <v>398.22</v>
      </c>
    </row>
    <row r="913" customFormat="false" ht="15" hidden="false" customHeight="false" outlineLevel="0" collapsed="false">
      <c r="A913" s="7" t="s">
        <v>24</v>
      </c>
      <c r="B913" s="7" t="s">
        <v>373</v>
      </c>
      <c r="C913" s="7" t="s">
        <v>1192</v>
      </c>
      <c r="D913" s="7" t="n">
        <v>0</v>
      </c>
      <c r="E913" s="7" t="n">
        <v>0</v>
      </c>
      <c r="F913" s="7" t="n">
        <v>1</v>
      </c>
      <c r="G913" s="7" t="n">
        <v>398.22</v>
      </c>
    </row>
    <row r="914" customFormat="false" ht="15" hidden="false" customHeight="false" outlineLevel="0" collapsed="false">
      <c r="A914" s="7" t="s">
        <v>24</v>
      </c>
      <c r="B914" s="7" t="s">
        <v>453</v>
      </c>
      <c r="C914" s="7" t="s">
        <v>1192</v>
      </c>
      <c r="D914" s="7" t="n">
        <v>0</v>
      </c>
      <c r="E914" s="7" t="n">
        <v>0</v>
      </c>
      <c r="F914" s="7" t="n">
        <v>1</v>
      </c>
      <c r="G914" s="7" t="n">
        <v>398.22</v>
      </c>
    </row>
    <row r="915" customFormat="false" ht="15" hidden="false" customHeight="false" outlineLevel="0" collapsed="false">
      <c r="A915" s="7" t="s">
        <v>24</v>
      </c>
      <c r="B915" s="7" t="s">
        <v>453</v>
      </c>
      <c r="C915" s="7" t="s">
        <v>1192</v>
      </c>
      <c r="D915" s="7" t="n">
        <v>0</v>
      </c>
      <c r="E915" s="7" t="n">
        <v>0</v>
      </c>
      <c r="F915" s="7" t="n">
        <v>1</v>
      </c>
      <c r="G915" s="7" t="n">
        <v>400.7</v>
      </c>
    </row>
    <row r="916" customFormat="false" ht="15" hidden="false" customHeight="false" outlineLevel="0" collapsed="false">
      <c r="A916" s="7" t="s">
        <v>24</v>
      </c>
      <c r="B916" s="7" t="s">
        <v>453</v>
      </c>
      <c r="C916" s="7" t="s">
        <v>1192</v>
      </c>
      <c r="D916" s="7" t="n">
        <v>2</v>
      </c>
      <c r="E916" s="7" t="n">
        <v>796.4</v>
      </c>
      <c r="F916" s="7" t="n">
        <v>0</v>
      </c>
      <c r="G916" s="7" t="n">
        <v>0</v>
      </c>
    </row>
    <row r="917" customFormat="false" ht="15" hidden="false" customHeight="false" outlineLevel="0" collapsed="false">
      <c r="A917" s="7" t="s">
        <v>24</v>
      </c>
      <c r="B917" s="7" t="s">
        <v>453</v>
      </c>
      <c r="C917" s="7" t="s">
        <v>1192</v>
      </c>
      <c r="D917" s="7" t="n">
        <v>0</v>
      </c>
      <c r="E917" s="7" t="n">
        <v>0</v>
      </c>
      <c r="F917" s="7" t="n">
        <v>1</v>
      </c>
      <c r="G917" s="7" t="n">
        <v>221.11</v>
      </c>
    </row>
    <row r="918" customFormat="false" ht="15" hidden="false" customHeight="false" outlineLevel="0" collapsed="false">
      <c r="A918" s="7" t="s">
        <v>24</v>
      </c>
      <c r="B918" s="7" t="s">
        <v>453</v>
      </c>
      <c r="C918" s="7" t="s">
        <v>1192</v>
      </c>
      <c r="D918" s="7" t="n">
        <v>1</v>
      </c>
      <c r="E918" s="7" t="n">
        <v>417.66</v>
      </c>
      <c r="F918" s="7" t="n">
        <v>0</v>
      </c>
      <c r="G918" s="7" t="n">
        <v>0</v>
      </c>
    </row>
    <row r="919" customFormat="false" ht="15" hidden="false" customHeight="false" outlineLevel="0" collapsed="false">
      <c r="A919" s="7" t="s">
        <v>24</v>
      </c>
      <c r="B919" s="7" t="s">
        <v>453</v>
      </c>
      <c r="C919" s="7" t="s">
        <v>1192</v>
      </c>
      <c r="D919" s="7" t="n">
        <v>5</v>
      </c>
      <c r="E919" s="7" t="n">
        <v>1191.55</v>
      </c>
      <c r="F919" s="7" t="n">
        <v>0</v>
      </c>
      <c r="G919" s="7" t="n">
        <v>0</v>
      </c>
    </row>
    <row r="920" customFormat="false" ht="15" hidden="false" customHeight="false" outlineLevel="0" collapsed="false">
      <c r="A920" s="7" t="s">
        <v>24</v>
      </c>
      <c r="B920" s="7" t="s">
        <v>453</v>
      </c>
      <c r="C920" s="7" t="s">
        <v>1192</v>
      </c>
      <c r="D920" s="7" t="n">
        <v>0</v>
      </c>
      <c r="E920" s="7" t="n">
        <v>0</v>
      </c>
      <c r="F920" s="7" t="n">
        <v>1</v>
      </c>
      <c r="G920" s="7" t="n">
        <v>221.11</v>
      </c>
    </row>
    <row r="921" customFormat="false" ht="15" hidden="false" customHeight="false" outlineLevel="0" collapsed="false">
      <c r="A921" s="7" t="s">
        <v>24</v>
      </c>
      <c r="B921" s="7" t="s">
        <v>453</v>
      </c>
      <c r="C921" s="7" t="s">
        <v>1192</v>
      </c>
      <c r="D921" s="7" t="n">
        <v>0</v>
      </c>
      <c r="E921" s="7" t="n">
        <v>0</v>
      </c>
      <c r="F921" s="7" t="n">
        <v>1</v>
      </c>
      <c r="G921" s="7" t="n">
        <v>245.68</v>
      </c>
    </row>
    <row r="922" customFormat="false" ht="15" hidden="false" customHeight="false" outlineLevel="0" collapsed="false">
      <c r="A922" s="7" t="s">
        <v>24</v>
      </c>
      <c r="B922" s="7" t="s">
        <v>453</v>
      </c>
      <c r="C922" s="7" t="s">
        <v>1192</v>
      </c>
      <c r="D922" s="7" t="n">
        <v>1</v>
      </c>
      <c r="E922" s="7" t="n">
        <v>398</v>
      </c>
      <c r="F922" s="7" t="n">
        <v>1</v>
      </c>
      <c r="G922" s="7" t="n">
        <v>398</v>
      </c>
    </row>
    <row r="923" customFormat="false" ht="15" hidden="false" customHeight="false" outlineLevel="0" collapsed="false">
      <c r="A923" s="7" t="s">
        <v>24</v>
      </c>
      <c r="B923" s="7" t="s">
        <v>453</v>
      </c>
      <c r="C923" s="7" t="s">
        <v>1192</v>
      </c>
      <c r="D923" s="7" t="n">
        <v>0</v>
      </c>
      <c r="E923" s="7" t="n">
        <v>0</v>
      </c>
      <c r="F923" s="7" t="n">
        <v>1</v>
      </c>
      <c r="G923" s="7" t="n">
        <v>245.68</v>
      </c>
    </row>
    <row r="924" customFormat="false" ht="15" hidden="false" customHeight="false" outlineLevel="0" collapsed="false">
      <c r="A924" s="7" t="s">
        <v>24</v>
      </c>
      <c r="B924" s="7" t="s">
        <v>453</v>
      </c>
      <c r="C924" s="7" t="s">
        <v>1192</v>
      </c>
      <c r="D924" s="7" t="n">
        <v>0</v>
      </c>
      <c r="E924" s="7" t="n">
        <v>0</v>
      </c>
      <c r="F924" s="7" t="n">
        <v>1</v>
      </c>
      <c r="G924" s="7" t="n">
        <v>245.68</v>
      </c>
    </row>
    <row r="925" customFormat="false" ht="15" hidden="false" customHeight="false" outlineLevel="0" collapsed="false">
      <c r="A925" s="7" t="s">
        <v>24</v>
      </c>
      <c r="B925" s="7" t="s">
        <v>391</v>
      </c>
      <c r="C925" s="7" t="s">
        <v>1038</v>
      </c>
      <c r="D925" s="7" t="n">
        <v>0</v>
      </c>
      <c r="E925" s="7" t="n">
        <v>0</v>
      </c>
      <c r="F925" s="7" t="n">
        <v>1</v>
      </c>
      <c r="G925" s="7" t="n">
        <v>300.76</v>
      </c>
    </row>
    <row r="926" customFormat="false" ht="15" hidden="false" customHeight="false" outlineLevel="0" collapsed="false">
      <c r="A926" s="7" t="s">
        <v>24</v>
      </c>
      <c r="B926" s="7" t="s">
        <v>391</v>
      </c>
      <c r="C926" s="7" t="s">
        <v>1038</v>
      </c>
      <c r="D926" s="7" t="n">
        <v>0</v>
      </c>
      <c r="E926" s="7" t="n">
        <v>0</v>
      </c>
      <c r="F926" s="7" t="n">
        <v>2</v>
      </c>
      <c r="G926" s="7" t="n">
        <v>541.38</v>
      </c>
    </row>
    <row r="927" customFormat="false" ht="15" hidden="false" customHeight="false" outlineLevel="0" collapsed="false">
      <c r="A927" s="7" t="s">
        <v>24</v>
      </c>
      <c r="B927" s="7" t="s">
        <v>391</v>
      </c>
      <c r="C927" s="7" t="s">
        <v>1038</v>
      </c>
      <c r="D927" s="7" t="n">
        <v>10</v>
      </c>
      <c r="E927" s="7" t="n">
        <v>2917.38</v>
      </c>
      <c r="F927" s="7" t="n">
        <v>7</v>
      </c>
      <c r="G927" s="7" t="n">
        <v>2015.09</v>
      </c>
    </row>
    <row r="928" customFormat="false" ht="15" hidden="false" customHeight="false" outlineLevel="0" collapsed="false">
      <c r="A928" s="7" t="s">
        <v>24</v>
      </c>
      <c r="B928" s="7" t="s">
        <v>391</v>
      </c>
      <c r="C928" s="7" t="s">
        <v>1038</v>
      </c>
      <c r="D928" s="7" t="n">
        <v>0</v>
      </c>
      <c r="E928" s="7" t="n">
        <v>0</v>
      </c>
      <c r="F928" s="7" t="n">
        <v>2</v>
      </c>
      <c r="G928" s="7" t="n">
        <v>571.44</v>
      </c>
    </row>
    <row r="929" customFormat="false" ht="15" hidden="false" customHeight="false" outlineLevel="0" collapsed="false">
      <c r="A929" s="7" t="s">
        <v>24</v>
      </c>
      <c r="B929" s="7" t="s">
        <v>391</v>
      </c>
      <c r="C929" s="7" t="s">
        <v>1038</v>
      </c>
      <c r="D929" s="7" t="n">
        <v>0</v>
      </c>
      <c r="E929" s="7" t="n">
        <v>0</v>
      </c>
      <c r="F929" s="7" t="n">
        <v>1</v>
      </c>
      <c r="G929" s="7" t="n">
        <v>300.76</v>
      </c>
    </row>
    <row r="930" customFormat="false" ht="15" hidden="false" customHeight="false" outlineLevel="0" collapsed="false">
      <c r="A930" s="7" t="s">
        <v>24</v>
      </c>
      <c r="B930" s="7" t="s">
        <v>391</v>
      </c>
      <c r="C930" s="7" t="s">
        <v>1038</v>
      </c>
      <c r="D930" s="7" t="n">
        <v>2</v>
      </c>
      <c r="E930" s="7" t="n">
        <v>553.28</v>
      </c>
      <c r="F930" s="7" t="n">
        <v>0</v>
      </c>
      <c r="G930" s="7" t="n">
        <v>0</v>
      </c>
    </row>
    <row r="931" customFormat="false" ht="15" hidden="false" customHeight="false" outlineLevel="0" collapsed="false">
      <c r="A931" s="7" t="s">
        <v>24</v>
      </c>
      <c r="B931" s="7" t="s">
        <v>391</v>
      </c>
      <c r="C931" s="7" t="s">
        <v>1038</v>
      </c>
      <c r="D931" s="7" t="n">
        <v>0</v>
      </c>
      <c r="E931" s="7" t="n">
        <v>0</v>
      </c>
      <c r="F931" s="7" t="n">
        <v>1</v>
      </c>
      <c r="G931" s="7" t="n">
        <v>300.76</v>
      </c>
    </row>
    <row r="932" customFormat="false" ht="15" hidden="false" customHeight="false" outlineLevel="0" collapsed="false">
      <c r="A932" s="7" t="s">
        <v>24</v>
      </c>
      <c r="B932" s="7" t="s">
        <v>279</v>
      </c>
      <c r="C932" s="7" t="s">
        <v>1038</v>
      </c>
      <c r="D932" s="7" t="n">
        <v>1</v>
      </c>
      <c r="E932" s="7" t="n">
        <v>241.41</v>
      </c>
      <c r="F932" s="7" t="n">
        <v>0</v>
      </c>
      <c r="G932" s="7" t="n">
        <v>0</v>
      </c>
    </row>
    <row r="933" customFormat="false" ht="15" hidden="false" customHeight="false" outlineLevel="0" collapsed="false">
      <c r="A933" s="7" t="s">
        <v>24</v>
      </c>
      <c r="B933" s="7" t="s">
        <v>279</v>
      </c>
      <c r="C933" s="7" t="s">
        <v>1038</v>
      </c>
      <c r="D933" s="7" t="n">
        <v>0</v>
      </c>
      <c r="E933" s="7" t="n">
        <v>0</v>
      </c>
      <c r="F933" s="7" t="n">
        <v>1</v>
      </c>
      <c r="G933" s="7" t="n">
        <v>300.76</v>
      </c>
    </row>
    <row r="934" customFormat="false" ht="15" hidden="false" customHeight="false" outlineLevel="0" collapsed="false">
      <c r="A934" s="7" t="s">
        <v>24</v>
      </c>
      <c r="B934" s="7" t="s">
        <v>279</v>
      </c>
      <c r="C934" s="7" t="s">
        <v>1038</v>
      </c>
      <c r="D934" s="7" t="n">
        <v>5</v>
      </c>
      <c r="E934" s="7" t="n">
        <v>1398.54</v>
      </c>
      <c r="F934" s="7" t="n">
        <v>2</v>
      </c>
      <c r="G934" s="7" t="n">
        <v>601.52</v>
      </c>
    </row>
    <row r="935" customFormat="false" ht="15" hidden="false" customHeight="false" outlineLevel="0" collapsed="false">
      <c r="A935" s="7" t="s">
        <v>24</v>
      </c>
      <c r="B935" s="7" t="s">
        <v>279</v>
      </c>
      <c r="C935" s="7" t="s">
        <v>1038</v>
      </c>
      <c r="D935" s="7" t="n">
        <v>0</v>
      </c>
      <c r="E935" s="7" t="n">
        <v>0</v>
      </c>
      <c r="F935" s="7" t="n">
        <v>1</v>
      </c>
      <c r="G935" s="7" t="n">
        <v>270.69</v>
      </c>
    </row>
    <row r="936" customFormat="false" ht="15" hidden="false" customHeight="false" outlineLevel="0" collapsed="false">
      <c r="A936" s="7" t="s">
        <v>24</v>
      </c>
      <c r="B936" s="7" t="s">
        <v>279</v>
      </c>
      <c r="C936" s="7" t="s">
        <v>1038</v>
      </c>
      <c r="D936" s="7" t="n">
        <v>2</v>
      </c>
      <c r="E936" s="7" t="n">
        <v>553.28</v>
      </c>
      <c r="F936" s="7" t="n">
        <v>0</v>
      </c>
      <c r="G936" s="7" t="n">
        <v>0</v>
      </c>
    </row>
    <row r="937" customFormat="false" ht="15" hidden="false" customHeight="false" outlineLevel="0" collapsed="false">
      <c r="A937" s="7" t="s">
        <v>24</v>
      </c>
      <c r="B937" s="7" t="s">
        <v>274</v>
      </c>
      <c r="C937" s="7" t="s">
        <v>1038</v>
      </c>
      <c r="D937" s="7" t="n">
        <v>0</v>
      </c>
      <c r="E937" s="7" t="n">
        <v>0</v>
      </c>
      <c r="F937" s="7" t="n">
        <v>1</v>
      </c>
      <c r="G937" s="7" t="n">
        <v>300.76</v>
      </c>
    </row>
    <row r="938" customFormat="false" ht="15" hidden="false" customHeight="false" outlineLevel="0" collapsed="false">
      <c r="A938" s="7" t="s">
        <v>24</v>
      </c>
      <c r="B938" s="7" t="s">
        <v>274</v>
      </c>
      <c r="C938" s="7" t="s">
        <v>1038</v>
      </c>
      <c r="D938" s="7" t="n">
        <v>1</v>
      </c>
      <c r="E938" s="7" t="n">
        <v>240.61</v>
      </c>
      <c r="F938" s="7" t="n">
        <v>0</v>
      </c>
      <c r="G938" s="7" t="n">
        <v>0</v>
      </c>
    </row>
    <row r="939" customFormat="false" ht="15" hidden="false" customHeight="false" outlineLevel="0" collapsed="false">
      <c r="A939" s="7" t="s">
        <v>24</v>
      </c>
      <c r="B939" s="7" t="s">
        <v>274</v>
      </c>
      <c r="C939" s="7" t="s">
        <v>1038</v>
      </c>
      <c r="D939" s="7" t="n">
        <v>0</v>
      </c>
      <c r="E939" s="7" t="n">
        <v>0</v>
      </c>
      <c r="F939" s="7" t="n">
        <v>1</v>
      </c>
      <c r="G939" s="7" t="n">
        <v>270.69</v>
      </c>
    </row>
    <row r="940" customFormat="false" ht="15" hidden="false" customHeight="false" outlineLevel="0" collapsed="false">
      <c r="A940" s="7" t="s">
        <v>24</v>
      </c>
      <c r="B940" s="7" t="s">
        <v>274</v>
      </c>
      <c r="C940" s="7" t="s">
        <v>1038</v>
      </c>
      <c r="D940" s="7" t="n">
        <v>0</v>
      </c>
      <c r="E940" s="7" t="n">
        <v>0</v>
      </c>
      <c r="F940" s="7" t="n">
        <v>1</v>
      </c>
      <c r="G940" s="7" t="n">
        <v>300.76</v>
      </c>
    </row>
    <row r="941" customFormat="false" ht="15" hidden="false" customHeight="false" outlineLevel="0" collapsed="false">
      <c r="A941" s="7" t="s">
        <v>24</v>
      </c>
      <c r="B941" s="7" t="s">
        <v>274</v>
      </c>
      <c r="C941" s="7" t="s">
        <v>1038</v>
      </c>
      <c r="D941" s="7" t="n">
        <v>0</v>
      </c>
      <c r="E941" s="7" t="n">
        <v>0</v>
      </c>
      <c r="F941" s="7" t="n">
        <v>1</v>
      </c>
      <c r="G941" s="7" t="n">
        <v>434.67</v>
      </c>
    </row>
    <row r="942" customFormat="false" ht="15" hidden="false" customHeight="false" outlineLevel="0" collapsed="false">
      <c r="A942" s="7" t="s">
        <v>24</v>
      </c>
      <c r="B942" s="7" t="s">
        <v>196</v>
      </c>
      <c r="C942" s="7" t="s">
        <v>1038</v>
      </c>
      <c r="D942" s="7" t="n">
        <v>0</v>
      </c>
      <c r="E942" s="7" t="n">
        <v>0</v>
      </c>
      <c r="F942" s="7" t="n">
        <v>1</v>
      </c>
      <c r="G942" s="7" t="n">
        <v>270.69</v>
      </c>
    </row>
    <row r="943" customFormat="false" ht="15" hidden="false" customHeight="false" outlineLevel="0" collapsed="false">
      <c r="A943" s="7" t="s">
        <v>24</v>
      </c>
      <c r="B943" s="7" t="s">
        <v>196</v>
      </c>
      <c r="C943" s="7" t="s">
        <v>1038</v>
      </c>
      <c r="D943" s="7" t="n">
        <v>11</v>
      </c>
      <c r="E943" s="7" t="n">
        <v>3022.64</v>
      </c>
      <c r="F943" s="7" t="n">
        <v>1</v>
      </c>
      <c r="G943" s="7" t="n">
        <v>300.76</v>
      </c>
    </row>
    <row r="944" customFormat="false" ht="15" hidden="false" customHeight="false" outlineLevel="0" collapsed="false">
      <c r="A944" s="7" t="s">
        <v>24</v>
      </c>
      <c r="B944" s="7" t="s">
        <v>196</v>
      </c>
      <c r="C944" s="7" t="s">
        <v>1038</v>
      </c>
      <c r="D944" s="7" t="n">
        <v>0</v>
      </c>
      <c r="E944" s="7" t="n">
        <v>0</v>
      </c>
      <c r="F944" s="7" t="n">
        <v>2</v>
      </c>
      <c r="G944" s="7" t="n">
        <v>601.52</v>
      </c>
    </row>
    <row r="945" customFormat="false" ht="15" hidden="false" customHeight="false" outlineLevel="0" collapsed="false">
      <c r="A945" s="7" t="s">
        <v>24</v>
      </c>
      <c r="B945" s="7" t="s">
        <v>197</v>
      </c>
      <c r="C945" s="7" t="s">
        <v>1038</v>
      </c>
      <c r="D945" s="7" t="n">
        <v>4</v>
      </c>
      <c r="E945" s="7" t="n">
        <v>1151.42</v>
      </c>
      <c r="F945" s="7" t="n">
        <v>0</v>
      </c>
      <c r="G945" s="7" t="n">
        <v>0</v>
      </c>
    </row>
    <row r="946" customFormat="false" ht="15" hidden="false" customHeight="false" outlineLevel="0" collapsed="false">
      <c r="A946" s="7" t="s">
        <v>24</v>
      </c>
      <c r="B946" s="7" t="s">
        <v>197</v>
      </c>
      <c r="C946" s="7" t="s">
        <v>1038</v>
      </c>
      <c r="D946" s="7" t="n">
        <v>0</v>
      </c>
      <c r="E946" s="7" t="n">
        <v>0</v>
      </c>
      <c r="F946" s="7" t="n">
        <v>1</v>
      </c>
      <c r="G946" s="7" t="n">
        <v>270.69</v>
      </c>
    </row>
    <row r="947" customFormat="false" ht="15" hidden="false" customHeight="false" outlineLevel="0" collapsed="false">
      <c r="A947" s="7" t="s">
        <v>24</v>
      </c>
      <c r="B947" s="7" t="s">
        <v>197</v>
      </c>
      <c r="C947" s="7" t="s">
        <v>1038</v>
      </c>
      <c r="D947" s="7" t="n">
        <v>1</v>
      </c>
      <c r="E947" s="7" t="n">
        <v>508.42</v>
      </c>
      <c r="F947" s="7" t="n">
        <v>0</v>
      </c>
      <c r="G947" s="7" t="n">
        <v>0</v>
      </c>
    </row>
    <row r="948" customFormat="false" ht="15" hidden="false" customHeight="false" outlineLevel="0" collapsed="false">
      <c r="A948" s="7" t="s">
        <v>24</v>
      </c>
      <c r="B948" s="7" t="s">
        <v>197</v>
      </c>
      <c r="C948" s="7" t="s">
        <v>1038</v>
      </c>
      <c r="D948" s="7" t="n">
        <v>0</v>
      </c>
      <c r="E948" s="7" t="n">
        <v>0</v>
      </c>
      <c r="F948" s="7" t="n">
        <v>1</v>
      </c>
      <c r="G948" s="7" t="n">
        <v>482.97</v>
      </c>
    </row>
    <row r="949" customFormat="false" ht="15" hidden="false" customHeight="false" outlineLevel="0" collapsed="false">
      <c r="A949" s="7" t="s">
        <v>24</v>
      </c>
      <c r="B949" s="7" t="s">
        <v>197</v>
      </c>
      <c r="C949" s="7" t="s">
        <v>1038</v>
      </c>
      <c r="D949" s="7" t="n">
        <v>8</v>
      </c>
      <c r="E949" s="7" t="n">
        <v>2360.97</v>
      </c>
      <c r="F949" s="7" t="n">
        <v>2</v>
      </c>
      <c r="G949" s="7" t="n">
        <v>601.52</v>
      </c>
    </row>
    <row r="950" customFormat="false" ht="15" hidden="false" customHeight="false" outlineLevel="0" collapsed="false">
      <c r="A950" s="7" t="s">
        <v>24</v>
      </c>
      <c r="B950" s="7" t="s">
        <v>197</v>
      </c>
      <c r="C950" s="7" t="s">
        <v>1038</v>
      </c>
      <c r="D950" s="7" t="n">
        <v>0</v>
      </c>
      <c r="E950" s="7" t="n">
        <v>0</v>
      </c>
      <c r="F950" s="7" t="n">
        <v>1</v>
      </c>
      <c r="G950" s="7" t="n">
        <v>300.76</v>
      </c>
    </row>
    <row r="951" customFormat="false" ht="15" hidden="false" customHeight="false" outlineLevel="0" collapsed="false">
      <c r="A951" s="7" t="s">
        <v>24</v>
      </c>
      <c r="B951" s="7" t="s">
        <v>197</v>
      </c>
      <c r="C951" s="7" t="s">
        <v>1038</v>
      </c>
      <c r="D951" s="7" t="n">
        <v>0</v>
      </c>
      <c r="E951" s="7" t="n">
        <v>0</v>
      </c>
      <c r="F951" s="7" t="n">
        <v>1</v>
      </c>
      <c r="G951" s="7" t="n">
        <v>255.65</v>
      </c>
    </row>
    <row r="952" customFormat="false" ht="15" hidden="false" customHeight="false" outlineLevel="0" collapsed="false">
      <c r="A952" s="7" t="s">
        <v>24</v>
      </c>
      <c r="B952" s="7" t="s">
        <v>197</v>
      </c>
      <c r="C952" s="7" t="s">
        <v>1038</v>
      </c>
      <c r="D952" s="7" t="n">
        <v>0</v>
      </c>
      <c r="E952" s="7" t="n">
        <v>0</v>
      </c>
      <c r="F952" s="7" t="n">
        <v>1</v>
      </c>
      <c r="G952" s="7" t="n">
        <v>270.69</v>
      </c>
    </row>
    <row r="953" customFormat="false" ht="15" hidden="false" customHeight="false" outlineLevel="0" collapsed="false">
      <c r="A953" s="7" t="s">
        <v>24</v>
      </c>
      <c r="B953" s="7" t="s">
        <v>268</v>
      </c>
      <c r="C953" s="7" t="s">
        <v>1193</v>
      </c>
      <c r="D953" s="7" t="n">
        <v>0</v>
      </c>
      <c r="E953" s="7" t="n">
        <v>0</v>
      </c>
      <c r="F953" s="7" t="n">
        <v>2</v>
      </c>
      <c r="G953" s="7" t="n">
        <v>571.44</v>
      </c>
    </row>
    <row r="954" customFormat="false" ht="15" hidden="false" customHeight="false" outlineLevel="0" collapsed="false">
      <c r="A954" s="7" t="s">
        <v>24</v>
      </c>
      <c r="B954" s="7" t="s">
        <v>268</v>
      </c>
      <c r="C954" s="7" t="s">
        <v>1193</v>
      </c>
      <c r="D954" s="7" t="n">
        <v>0</v>
      </c>
      <c r="E954" s="7" t="n">
        <v>0</v>
      </c>
      <c r="F954" s="7" t="n">
        <v>1</v>
      </c>
      <c r="G954" s="7" t="n">
        <v>270.68</v>
      </c>
    </row>
    <row r="955" customFormat="false" ht="15" hidden="false" customHeight="false" outlineLevel="0" collapsed="false">
      <c r="A955" s="7" t="s">
        <v>24</v>
      </c>
      <c r="B955" s="7" t="s">
        <v>268</v>
      </c>
      <c r="C955" s="7" t="s">
        <v>1193</v>
      </c>
      <c r="D955" s="7" t="n">
        <v>0</v>
      </c>
      <c r="E955" s="7" t="n">
        <v>0</v>
      </c>
      <c r="F955" s="7" t="n">
        <v>1</v>
      </c>
      <c r="G955" s="7" t="n">
        <v>255.65</v>
      </c>
    </row>
    <row r="956" customFormat="false" ht="15" hidden="false" customHeight="false" outlineLevel="0" collapsed="false">
      <c r="A956" s="7" t="s">
        <v>24</v>
      </c>
      <c r="B956" s="7" t="s">
        <v>745</v>
      </c>
      <c r="C956" s="7" t="s">
        <v>1193</v>
      </c>
      <c r="D956" s="7" t="n">
        <v>2</v>
      </c>
      <c r="E956" s="7" t="n">
        <v>541.37</v>
      </c>
      <c r="F956" s="7" t="n">
        <v>1</v>
      </c>
      <c r="G956" s="7" t="n">
        <v>300.76</v>
      </c>
    </row>
    <row r="957" customFormat="false" ht="15" hidden="false" customHeight="false" outlineLevel="0" collapsed="false">
      <c r="A957" s="7" t="s">
        <v>24</v>
      </c>
      <c r="B957" s="7" t="s">
        <v>745</v>
      </c>
      <c r="C957" s="7" t="s">
        <v>1193</v>
      </c>
      <c r="D957" s="7" t="n">
        <v>0</v>
      </c>
      <c r="E957" s="7" t="n">
        <v>0</v>
      </c>
      <c r="F957" s="7" t="n">
        <v>1</v>
      </c>
      <c r="G957" s="7" t="n">
        <v>300.76</v>
      </c>
    </row>
    <row r="958" customFormat="false" ht="15" hidden="false" customHeight="false" outlineLevel="0" collapsed="false">
      <c r="A958" s="7" t="s">
        <v>24</v>
      </c>
      <c r="B958" s="7" t="s">
        <v>301</v>
      </c>
      <c r="C958" s="7" t="s">
        <v>1193</v>
      </c>
      <c r="D958" s="7" t="n">
        <v>3</v>
      </c>
      <c r="E958" s="7" t="n">
        <v>902.28</v>
      </c>
      <c r="F958" s="7" t="n">
        <v>0</v>
      </c>
      <c r="G958" s="7" t="n">
        <v>0</v>
      </c>
    </row>
    <row r="959" customFormat="false" ht="15" hidden="false" customHeight="false" outlineLevel="0" collapsed="false">
      <c r="A959" s="7" t="s">
        <v>24</v>
      </c>
      <c r="B959" s="7" t="s">
        <v>362</v>
      </c>
      <c r="C959" s="7" t="s">
        <v>1193</v>
      </c>
      <c r="D959" s="7" t="n">
        <v>1</v>
      </c>
      <c r="E959" s="7" t="n">
        <v>255.65</v>
      </c>
      <c r="F959" s="7" t="n">
        <v>1</v>
      </c>
      <c r="G959" s="7" t="n">
        <v>270.68</v>
      </c>
    </row>
    <row r="960" customFormat="false" ht="15" hidden="false" customHeight="false" outlineLevel="0" collapsed="false">
      <c r="A960" s="7" t="s">
        <v>24</v>
      </c>
      <c r="B960" s="7" t="s">
        <v>362</v>
      </c>
      <c r="C960" s="7" t="s">
        <v>1193</v>
      </c>
      <c r="D960" s="7" t="n">
        <v>0</v>
      </c>
      <c r="E960" s="7" t="n">
        <v>0</v>
      </c>
      <c r="F960" s="7" t="n">
        <v>1</v>
      </c>
      <c r="G960" s="7" t="n">
        <v>300.76</v>
      </c>
    </row>
    <row r="961" customFormat="false" ht="15" hidden="false" customHeight="false" outlineLevel="0" collapsed="false">
      <c r="A961" s="7" t="s">
        <v>24</v>
      </c>
      <c r="B961" s="7" t="s">
        <v>362</v>
      </c>
      <c r="C961" s="7" t="s">
        <v>1193</v>
      </c>
      <c r="D961" s="7" t="n">
        <v>0</v>
      </c>
      <c r="E961" s="7" t="n">
        <v>0</v>
      </c>
      <c r="F961" s="7" t="n">
        <v>1</v>
      </c>
      <c r="G961" s="7" t="n">
        <v>300.76</v>
      </c>
    </row>
    <row r="962" customFormat="false" ht="15" hidden="false" customHeight="false" outlineLevel="0" collapsed="false">
      <c r="A962" s="7" t="s">
        <v>24</v>
      </c>
      <c r="B962" s="7" t="s">
        <v>231</v>
      </c>
      <c r="C962" s="7" t="s">
        <v>1039</v>
      </c>
      <c r="D962" s="7" t="n">
        <v>0</v>
      </c>
      <c r="E962" s="7" t="n">
        <v>0</v>
      </c>
      <c r="F962" s="7" t="n">
        <v>1</v>
      </c>
      <c r="G962" s="7" t="n">
        <v>283.81</v>
      </c>
    </row>
    <row r="963" customFormat="false" ht="15" hidden="false" customHeight="false" outlineLevel="0" collapsed="false">
      <c r="A963" s="7" t="s">
        <v>24</v>
      </c>
      <c r="B963" s="7" t="s">
        <v>231</v>
      </c>
      <c r="C963" s="7" t="s">
        <v>1039</v>
      </c>
      <c r="D963" s="7" t="n">
        <v>2</v>
      </c>
      <c r="E963" s="7" t="n">
        <v>525.05</v>
      </c>
      <c r="F963" s="7" t="n">
        <v>3</v>
      </c>
      <c r="G963" s="7" t="n">
        <v>823.05</v>
      </c>
    </row>
    <row r="964" customFormat="false" ht="15" hidden="false" customHeight="false" outlineLevel="0" collapsed="false">
      <c r="A964" s="7" t="s">
        <v>24</v>
      </c>
      <c r="B964" s="7" t="s">
        <v>231</v>
      </c>
      <c r="C964" s="7" t="s">
        <v>1039</v>
      </c>
      <c r="D964" s="7" t="n">
        <v>0</v>
      </c>
      <c r="E964" s="7" t="n">
        <v>0</v>
      </c>
      <c r="F964" s="7" t="n">
        <v>1</v>
      </c>
      <c r="G964" s="7" t="n">
        <v>255.43</v>
      </c>
    </row>
    <row r="965" customFormat="false" ht="15" hidden="false" customHeight="false" outlineLevel="0" collapsed="false">
      <c r="A965" s="7" t="s">
        <v>24</v>
      </c>
      <c r="B965" s="7" t="s">
        <v>231</v>
      </c>
      <c r="C965" s="7" t="s">
        <v>1039</v>
      </c>
      <c r="D965" s="7" t="n">
        <v>1</v>
      </c>
      <c r="E965" s="7" t="n">
        <v>282.12</v>
      </c>
      <c r="F965" s="7" t="n">
        <v>0</v>
      </c>
      <c r="G965" s="7" t="n">
        <v>0</v>
      </c>
    </row>
    <row r="966" customFormat="false" ht="15" hidden="false" customHeight="false" outlineLevel="0" collapsed="false">
      <c r="A966" s="7" t="s">
        <v>24</v>
      </c>
      <c r="B966" s="7" t="s">
        <v>231</v>
      </c>
      <c r="C966" s="7" t="s">
        <v>1039</v>
      </c>
      <c r="D966" s="7" t="n">
        <v>0</v>
      </c>
      <c r="E966" s="7" t="n">
        <v>0</v>
      </c>
      <c r="F966" s="7" t="n">
        <v>1</v>
      </c>
      <c r="G966" s="7" t="n">
        <v>241.25</v>
      </c>
    </row>
    <row r="967" customFormat="false" ht="15" hidden="false" customHeight="false" outlineLevel="0" collapsed="false">
      <c r="A967" s="7" t="s">
        <v>24</v>
      </c>
      <c r="B967" s="7" t="s">
        <v>231</v>
      </c>
      <c r="C967" s="7" t="s">
        <v>1039</v>
      </c>
      <c r="D967" s="7" t="n">
        <v>0</v>
      </c>
      <c r="E967" s="7" t="n">
        <v>0</v>
      </c>
      <c r="F967" s="7" t="n">
        <v>1</v>
      </c>
      <c r="G967" s="7" t="n">
        <v>407.97</v>
      </c>
    </row>
    <row r="968" customFormat="false" ht="15" hidden="false" customHeight="false" outlineLevel="0" collapsed="false">
      <c r="A968" s="7" t="s">
        <v>24</v>
      </c>
      <c r="B968" s="7" t="s">
        <v>231</v>
      </c>
      <c r="C968" s="7" t="s">
        <v>1039</v>
      </c>
      <c r="D968" s="7" t="n">
        <v>0</v>
      </c>
      <c r="E968" s="7" t="n">
        <v>0</v>
      </c>
      <c r="F968" s="7" t="n">
        <v>1</v>
      </c>
      <c r="G968" s="7" t="n">
        <v>283.81</v>
      </c>
    </row>
    <row r="969" customFormat="false" ht="15" hidden="false" customHeight="false" outlineLevel="0" collapsed="false">
      <c r="A969" s="7" t="s">
        <v>24</v>
      </c>
      <c r="B969" s="7" t="s">
        <v>789</v>
      </c>
      <c r="C969" s="7" t="s">
        <v>1039</v>
      </c>
      <c r="D969" s="7" t="n">
        <v>0</v>
      </c>
      <c r="E969" s="7" t="n">
        <v>0</v>
      </c>
      <c r="F969" s="7" t="n">
        <v>1</v>
      </c>
      <c r="G969" s="7" t="n">
        <v>255.43</v>
      </c>
    </row>
    <row r="970" customFormat="false" ht="15" hidden="false" customHeight="false" outlineLevel="0" collapsed="false">
      <c r="A970" s="7" t="s">
        <v>24</v>
      </c>
      <c r="B970" s="7" t="s">
        <v>789</v>
      </c>
      <c r="C970" s="7" t="s">
        <v>1039</v>
      </c>
      <c r="D970" s="7" t="n">
        <v>1</v>
      </c>
      <c r="E970" s="7" t="n">
        <v>283.81</v>
      </c>
      <c r="F970" s="7" t="n">
        <v>2</v>
      </c>
      <c r="G970" s="7" t="n">
        <v>567.62</v>
      </c>
    </row>
    <row r="971" customFormat="false" ht="15" hidden="false" customHeight="false" outlineLevel="0" collapsed="false">
      <c r="A971" s="7" t="s">
        <v>24</v>
      </c>
      <c r="B971" s="7" t="s">
        <v>789</v>
      </c>
      <c r="C971" s="7" t="s">
        <v>1039</v>
      </c>
      <c r="D971" s="7" t="n">
        <v>0</v>
      </c>
      <c r="E971" s="7" t="n">
        <v>0</v>
      </c>
      <c r="F971" s="7" t="n">
        <v>1</v>
      </c>
      <c r="G971" s="7" t="n">
        <v>283.81</v>
      </c>
    </row>
    <row r="972" customFormat="false" ht="15" hidden="false" customHeight="false" outlineLevel="0" collapsed="false">
      <c r="A972" s="7" t="s">
        <v>24</v>
      </c>
      <c r="B972" s="7" t="s">
        <v>789</v>
      </c>
      <c r="C972" s="7" t="s">
        <v>1039</v>
      </c>
      <c r="D972" s="7" t="n">
        <v>3</v>
      </c>
      <c r="E972" s="7" t="n">
        <v>804.04</v>
      </c>
      <c r="F972" s="7" t="n">
        <v>0</v>
      </c>
      <c r="G972" s="7" t="n">
        <v>0</v>
      </c>
    </row>
    <row r="973" customFormat="false" ht="15" hidden="false" customHeight="false" outlineLevel="0" collapsed="false">
      <c r="A973" s="7" t="s">
        <v>24</v>
      </c>
      <c r="B973" s="7" t="s">
        <v>540</v>
      </c>
      <c r="C973" s="7" t="s">
        <v>1039</v>
      </c>
      <c r="D973" s="7" t="n">
        <v>0</v>
      </c>
      <c r="E973" s="7" t="n">
        <v>0</v>
      </c>
      <c r="F973" s="7" t="n">
        <v>1</v>
      </c>
      <c r="G973" s="7" t="n">
        <v>283.81</v>
      </c>
    </row>
    <row r="974" customFormat="false" ht="15" hidden="false" customHeight="false" outlineLevel="0" collapsed="false">
      <c r="A974" s="7" t="s">
        <v>24</v>
      </c>
      <c r="B974" s="7" t="s">
        <v>266</v>
      </c>
      <c r="C974" s="7" t="s">
        <v>1039</v>
      </c>
      <c r="D974" s="7" t="n">
        <v>0</v>
      </c>
      <c r="E974" s="7" t="n">
        <v>0</v>
      </c>
      <c r="F974" s="7" t="n">
        <v>2</v>
      </c>
      <c r="G974" s="7" t="n">
        <v>539.24</v>
      </c>
    </row>
    <row r="975" customFormat="false" ht="15" hidden="false" customHeight="false" outlineLevel="0" collapsed="false">
      <c r="A975" s="7" t="s">
        <v>24</v>
      </c>
      <c r="B975" s="7" t="s">
        <v>266</v>
      </c>
      <c r="C975" s="7" t="s">
        <v>1039</v>
      </c>
      <c r="D975" s="7" t="n">
        <v>0</v>
      </c>
      <c r="E975" s="7" t="n">
        <v>0</v>
      </c>
      <c r="F975" s="7" t="n">
        <v>1</v>
      </c>
      <c r="G975" s="7" t="n">
        <v>241.24</v>
      </c>
    </row>
    <row r="976" customFormat="false" ht="15" hidden="false" customHeight="false" outlineLevel="0" collapsed="false">
      <c r="A976" s="7" t="s">
        <v>24</v>
      </c>
      <c r="B976" s="7" t="s">
        <v>266</v>
      </c>
      <c r="C976" s="7" t="s">
        <v>1039</v>
      </c>
      <c r="D976" s="7" t="n">
        <v>0</v>
      </c>
      <c r="E976" s="7" t="n">
        <v>0</v>
      </c>
      <c r="F976" s="7" t="n">
        <v>1</v>
      </c>
      <c r="G976" s="7" t="n">
        <v>283.81</v>
      </c>
    </row>
    <row r="977" customFormat="false" ht="15" hidden="false" customHeight="false" outlineLevel="0" collapsed="false">
      <c r="A977" s="7" t="s">
        <v>24</v>
      </c>
      <c r="B977" s="7" t="s">
        <v>266</v>
      </c>
      <c r="C977" s="7" t="s">
        <v>1039</v>
      </c>
      <c r="D977" s="7" t="n">
        <v>0</v>
      </c>
      <c r="E977" s="7" t="n">
        <v>0</v>
      </c>
      <c r="F977" s="7" t="n">
        <v>1</v>
      </c>
      <c r="G977" s="7" t="n">
        <v>283.81</v>
      </c>
    </row>
    <row r="978" customFormat="false" ht="15" hidden="false" customHeight="false" outlineLevel="0" collapsed="false">
      <c r="A978" s="7" t="s">
        <v>24</v>
      </c>
      <c r="B978" s="7" t="s">
        <v>266</v>
      </c>
      <c r="C978" s="7" t="s">
        <v>1039</v>
      </c>
      <c r="D978" s="7" t="n">
        <v>0</v>
      </c>
      <c r="E978" s="7" t="n">
        <v>0</v>
      </c>
      <c r="F978" s="7" t="n">
        <v>1</v>
      </c>
      <c r="G978" s="7" t="n">
        <v>283.81</v>
      </c>
    </row>
    <row r="979" customFormat="false" ht="15" hidden="false" customHeight="false" outlineLevel="0" collapsed="false">
      <c r="A979" s="7" t="s">
        <v>24</v>
      </c>
      <c r="B979" s="7" t="s">
        <v>266</v>
      </c>
      <c r="C979" s="7" t="s">
        <v>1039</v>
      </c>
      <c r="D979" s="7" t="n">
        <v>4</v>
      </c>
      <c r="E979" s="7" t="n">
        <v>1092.67</v>
      </c>
      <c r="F979" s="7" t="n">
        <v>1</v>
      </c>
      <c r="G979" s="7" t="n">
        <v>283.81</v>
      </c>
    </row>
    <row r="980" customFormat="false" ht="15" hidden="false" customHeight="false" outlineLevel="0" collapsed="false">
      <c r="A980" s="7" t="s">
        <v>24</v>
      </c>
      <c r="B980" s="7" t="s">
        <v>266</v>
      </c>
      <c r="C980" s="7" t="s">
        <v>1039</v>
      </c>
      <c r="D980" s="7" t="n">
        <v>1</v>
      </c>
      <c r="E980" s="7" t="n">
        <v>0.01</v>
      </c>
      <c r="F980" s="7" t="n">
        <v>0</v>
      </c>
      <c r="G980" s="7" t="n">
        <v>0</v>
      </c>
    </row>
    <row r="981" customFormat="false" ht="15" hidden="false" customHeight="false" outlineLevel="0" collapsed="false">
      <c r="A981" s="7" t="s">
        <v>24</v>
      </c>
      <c r="B981" s="7" t="s">
        <v>266</v>
      </c>
      <c r="C981" s="7" t="s">
        <v>1039</v>
      </c>
      <c r="D981" s="7" t="n">
        <v>0</v>
      </c>
      <c r="E981" s="7" t="n">
        <v>0</v>
      </c>
      <c r="F981" s="7" t="n">
        <v>1</v>
      </c>
      <c r="G981" s="7" t="n">
        <v>283.81</v>
      </c>
    </row>
    <row r="982" customFormat="false" ht="15" hidden="false" customHeight="false" outlineLevel="0" collapsed="false">
      <c r="A982" s="7" t="s">
        <v>24</v>
      </c>
      <c r="B982" s="7" t="s">
        <v>655</v>
      </c>
      <c r="C982" s="7" t="s">
        <v>1039</v>
      </c>
      <c r="D982" s="7" t="n">
        <v>0</v>
      </c>
      <c r="E982" s="7" t="n">
        <v>0</v>
      </c>
      <c r="F982" s="7" t="n">
        <v>1</v>
      </c>
      <c r="G982" s="7" t="n">
        <v>283.81</v>
      </c>
    </row>
    <row r="983" customFormat="false" ht="15" hidden="false" customHeight="false" outlineLevel="0" collapsed="false">
      <c r="A983" s="7" t="s">
        <v>24</v>
      </c>
      <c r="B983" s="7" t="s">
        <v>655</v>
      </c>
      <c r="C983" s="7" t="s">
        <v>1039</v>
      </c>
      <c r="D983" s="7" t="n">
        <v>12</v>
      </c>
      <c r="E983" s="7" t="n">
        <v>3334.77</v>
      </c>
      <c r="F983" s="7" t="n">
        <v>3</v>
      </c>
      <c r="G983" s="7" t="n">
        <v>823.05</v>
      </c>
    </row>
    <row r="984" customFormat="false" ht="15" hidden="false" customHeight="false" outlineLevel="0" collapsed="false">
      <c r="A984" s="7" t="s">
        <v>24</v>
      </c>
      <c r="B984" s="7" t="s">
        <v>655</v>
      </c>
      <c r="C984" s="7" t="s">
        <v>1039</v>
      </c>
      <c r="D984" s="7" t="n">
        <v>1</v>
      </c>
      <c r="E984" s="7" t="n">
        <v>454.12</v>
      </c>
      <c r="F984" s="7" t="n">
        <v>0</v>
      </c>
      <c r="G984" s="7" t="n">
        <v>0</v>
      </c>
    </row>
    <row r="985" customFormat="false" ht="15" hidden="false" customHeight="false" outlineLevel="0" collapsed="false">
      <c r="A985" s="7" t="s">
        <v>24</v>
      </c>
      <c r="B985" s="7" t="s">
        <v>655</v>
      </c>
      <c r="C985" s="7" t="s">
        <v>1039</v>
      </c>
      <c r="D985" s="7" t="n">
        <v>0</v>
      </c>
      <c r="E985" s="7" t="n">
        <v>0</v>
      </c>
      <c r="F985" s="7" t="n">
        <v>1</v>
      </c>
      <c r="G985" s="7" t="n">
        <v>453.3</v>
      </c>
    </row>
    <row r="986" customFormat="false" ht="15" hidden="false" customHeight="false" outlineLevel="0" collapsed="false">
      <c r="A986" s="7" t="s">
        <v>24</v>
      </c>
      <c r="B986" s="7" t="s">
        <v>655</v>
      </c>
      <c r="C986" s="7" t="s">
        <v>1039</v>
      </c>
      <c r="D986" s="7" t="n">
        <v>0</v>
      </c>
      <c r="E986" s="7" t="n">
        <v>0</v>
      </c>
      <c r="F986" s="7" t="n">
        <v>1</v>
      </c>
      <c r="G986" s="7" t="n">
        <v>283.81</v>
      </c>
    </row>
    <row r="987" customFormat="false" ht="15" hidden="false" customHeight="false" outlineLevel="0" collapsed="false">
      <c r="A987" s="7" t="s">
        <v>24</v>
      </c>
      <c r="B987" s="7" t="s">
        <v>655</v>
      </c>
      <c r="C987" s="7" t="s">
        <v>1039</v>
      </c>
      <c r="D987" s="7" t="n">
        <v>0</v>
      </c>
      <c r="E987" s="7" t="n">
        <v>0</v>
      </c>
      <c r="F987" s="7" t="n">
        <v>1</v>
      </c>
      <c r="G987" s="7" t="n">
        <v>241.25</v>
      </c>
    </row>
    <row r="988" customFormat="false" ht="15" hidden="false" customHeight="false" outlineLevel="0" collapsed="false">
      <c r="A988" s="7" t="s">
        <v>24</v>
      </c>
      <c r="B988" s="7" t="s">
        <v>655</v>
      </c>
      <c r="C988" s="7" t="s">
        <v>1039</v>
      </c>
      <c r="D988" s="7" t="n">
        <v>0</v>
      </c>
      <c r="E988" s="7" t="n">
        <v>0</v>
      </c>
      <c r="F988" s="7" t="n">
        <v>1</v>
      </c>
      <c r="G988" s="7" t="n">
        <v>453.3</v>
      </c>
    </row>
    <row r="989" customFormat="false" ht="15" hidden="false" customHeight="false" outlineLevel="0" collapsed="false">
      <c r="A989" s="7" t="s">
        <v>24</v>
      </c>
      <c r="B989" s="7" t="s">
        <v>655</v>
      </c>
      <c r="C989" s="7" t="s">
        <v>1039</v>
      </c>
      <c r="D989" s="7" t="n">
        <v>0</v>
      </c>
      <c r="E989" s="7" t="n">
        <v>0</v>
      </c>
      <c r="F989" s="7" t="n">
        <v>1</v>
      </c>
      <c r="G989" s="7" t="n">
        <v>283.81</v>
      </c>
    </row>
    <row r="990" customFormat="false" ht="15" hidden="false" customHeight="false" outlineLevel="0" collapsed="false">
      <c r="A990" s="7" t="s">
        <v>24</v>
      </c>
      <c r="B990" s="7" t="s">
        <v>655</v>
      </c>
      <c r="C990" s="7" t="s">
        <v>1039</v>
      </c>
      <c r="D990" s="7" t="n">
        <v>0</v>
      </c>
      <c r="E990" s="7" t="n">
        <v>0</v>
      </c>
      <c r="F990" s="7" t="n">
        <v>1</v>
      </c>
      <c r="G990" s="7" t="n">
        <v>283.81</v>
      </c>
    </row>
    <row r="991" customFormat="false" ht="15" hidden="false" customHeight="false" outlineLevel="0" collapsed="false">
      <c r="A991" s="7" t="s">
        <v>24</v>
      </c>
      <c r="B991" s="7" t="s">
        <v>655</v>
      </c>
      <c r="C991" s="7" t="s">
        <v>1039</v>
      </c>
      <c r="D991" s="7" t="n">
        <v>0</v>
      </c>
      <c r="E991" s="7" t="n">
        <v>0</v>
      </c>
      <c r="F991" s="7" t="n">
        <v>1</v>
      </c>
      <c r="G991" s="7" t="n">
        <v>255.43</v>
      </c>
    </row>
    <row r="992" customFormat="false" ht="15" hidden="false" customHeight="false" outlineLevel="0" collapsed="false">
      <c r="A992" s="7" t="s">
        <v>24</v>
      </c>
      <c r="B992" s="7" t="s">
        <v>655</v>
      </c>
      <c r="C992" s="7" t="s">
        <v>1039</v>
      </c>
      <c r="D992" s="7" t="n">
        <v>0</v>
      </c>
      <c r="E992" s="7" t="n">
        <v>0</v>
      </c>
      <c r="F992" s="7" t="n">
        <v>1</v>
      </c>
      <c r="G992" s="7" t="n">
        <v>283.81</v>
      </c>
    </row>
    <row r="993" customFormat="false" ht="15" hidden="false" customHeight="false" outlineLevel="0" collapsed="false">
      <c r="A993" s="7" t="s">
        <v>24</v>
      </c>
      <c r="B993" s="7" t="s">
        <v>655</v>
      </c>
      <c r="C993" s="7" t="s">
        <v>1039</v>
      </c>
      <c r="D993" s="7" t="n">
        <v>0</v>
      </c>
      <c r="E993" s="7" t="n">
        <v>0</v>
      </c>
      <c r="F993" s="7" t="n">
        <v>1</v>
      </c>
      <c r="G993" s="7" t="n">
        <v>283.81</v>
      </c>
    </row>
    <row r="994" customFormat="false" ht="15" hidden="false" customHeight="false" outlineLevel="0" collapsed="false">
      <c r="A994" s="7" t="s">
        <v>24</v>
      </c>
      <c r="B994" s="7" t="s">
        <v>386</v>
      </c>
      <c r="C994" s="7" t="s">
        <v>1039</v>
      </c>
      <c r="D994" s="7" t="n">
        <v>2</v>
      </c>
      <c r="E994" s="7" t="n">
        <v>567.62</v>
      </c>
      <c r="F994" s="7" t="n">
        <v>0</v>
      </c>
      <c r="G994" s="7" t="n">
        <v>0</v>
      </c>
    </row>
    <row r="995" customFormat="false" ht="15" hidden="false" customHeight="false" outlineLevel="0" collapsed="false">
      <c r="A995" s="7" t="s">
        <v>24</v>
      </c>
      <c r="B995" s="7" t="s">
        <v>637</v>
      </c>
      <c r="C995" s="7" t="s">
        <v>1180</v>
      </c>
      <c r="D995" s="7" t="n">
        <v>1</v>
      </c>
      <c r="E995" s="7" t="n">
        <v>165.58</v>
      </c>
      <c r="F995" s="7" t="n">
        <v>0</v>
      </c>
      <c r="G995" s="7" t="n">
        <v>0</v>
      </c>
    </row>
    <row r="996" customFormat="false" ht="15" hidden="false" customHeight="false" outlineLevel="0" collapsed="false">
      <c r="A996" s="7" t="s">
        <v>24</v>
      </c>
      <c r="B996" s="7" t="s">
        <v>427</v>
      </c>
      <c r="C996" s="7" t="s">
        <v>1194</v>
      </c>
      <c r="D996" s="7" t="n">
        <v>0</v>
      </c>
      <c r="E996" s="7" t="n">
        <v>0</v>
      </c>
      <c r="F996" s="7" t="n">
        <v>1</v>
      </c>
      <c r="G996" s="7" t="n">
        <v>186.36</v>
      </c>
    </row>
    <row r="997" customFormat="false" ht="15" hidden="false" customHeight="false" outlineLevel="0" collapsed="false">
      <c r="A997" s="7" t="s">
        <v>24</v>
      </c>
      <c r="B997" s="7" t="s">
        <v>427</v>
      </c>
      <c r="C997" s="7" t="s">
        <v>1194</v>
      </c>
      <c r="D997" s="7" t="n">
        <v>0</v>
      </c>
      <c r="E997" s="7" t="n">
        <v>0</v>
      </c>
      <c r="F997" s="7" t="n">
        <v>1</v>
      </c>
      <c r="G997" s="7" t="n">
        <v>186.36</v>
      </c>
    </row>
    <row r="998" customFormat="false" ht="15" hidden="false" customHeight="false" outlineLevel="0" collapsed="false">
      <c r="A998" s="7" t="s">
        <v>24</v>
      </c>
      <c r="B998" s="7" t="s">
        <v>427</v>
      </c>
      <c r="C998" s="7" t="s">
        <v>1194</v>
      </c>
      <c r="D998" s="7" t="n">
        <v>0</v>
      </c>
      <c r="E998" s="7" t="n">
        <v>0</v>
      </c>
      <c r="F998" s="7" t="n">
        <v>1</v>
      </c>
      <c r="G998" s="7" t="n">
        <v>186.36</v>
      </c>
    </row>
    <row r="999" customFormat="false" ht="15" hidden="false" customHeight="false" outlineLevel="0" collapsed="false">
      <c r="A999" s="7" t="s">
        <v>24</v>
      </c>
      <c r="B999" s="7" t="s">
        <v>427</v>
      </c>
      <c r="C999" s="7" t="s">
        <v>1194</v>
      </c>
      <c r="D999" s="7" t="n">
        <v>0</v>
      </c>
      <c r="E999" s="7" t="n">
        <v>0</v>
      </c>
      <c r="F999" s="7" t="n">
        <v>1</v>
      </c>
      <c r="G999" s="7" t="n">
        <v>186.36</v>
      </c>
    </row>
    <row r="1000" customFormat="false" ht="15" hidden="false" customHeight="false" outlineLevel="0" collapsed="false">
      <c r="A1000" s="7" t="s">
        <v>24</v>
      </c>
      <c r="B1000" s="7" t="s">
        <v>427</v>
      </c>
      <c r="C1000" s="7" t="s">
        <v>1194</v>
      </c>
      <c r="D1000" s="7" t="n">
        <v>0</v>
      </c>
      <c r="E1000" s="7" t="n">
        <v>0</v>
      </c>
      <c r="F1000" s="7" t="n">
        <v>1</v>
      </c>
      <c r="G1000" s="7" t="n">
        <v>167.72</v>
      </c>
    </row>
    <row r="1001" customFormat="false" ht="15" hidden="false" customHeight="false" outlineLevel="0" collapsed="false">
      <c r="A1001" s="7" t="s">
        <v>24</v>
      </c>
      <c r="B1001" s="7" t="s">
        <v>427</v>
      </c>
      <c r="C1001" s="7" t="s">
        <v>1194</v>
      </c>
      <c r="D1001" s="7" t="n">
        <v>5</v>
      </c>
      <c r="E1001" s="7" t="n">
        <v>810.68</v>
      </c>
      <c r="F1001" s="7" t="n">
        <v>2</v>
      </c>
      <c r="G1001" s="7" t="n">
        <v>372.72</v>
      </c>
    </row>
    <row r="1002" customFormat="false" ht="15" hidden="false" customHeight="false" outlineLevel="0" collapsed="false">
      <c r="A1002" s="7" t="s">
        <v>24</v>
      </c>
      <c r="B1002" s="7" t="s">
        <v>645</v>
      </c>
      <c r="C1002" s="7" t="s">
        <v>1194</v>
      </c>
      <c r="D1002" s="7" t="n">
        <v>0</v>
      </c>
      <c r="E1002" s="7" t="n">
        <v>0</v>
      </c>
      <c r="F1002" s="7" t="n">
        <v>1</v>
      </c>
      <c r="G1002" s="7" t="n">
        <v>186.35</v>
      </c>
    </row>
    <row r="1003" customFormat="false" ht="15" hidden="false" customHeight="false" outlineLevel="0" collapsed="false">
      <c r="A1003" s="7" t="s">
        <v>24</v>
      </c>
      <c r="B1003" s="7" t="s">
        <v>645</v>
      </c>
      <c r="C1003" s="7" t="s">
        <v>1194</v>
      </c>
      <c r="D1003" s="7" t="n">
        <v>5</v>
      </c>
      <c r="E1003" s="7" t="n">
        <v>903.85</v>
      </c>
      <c r="F1003" s="7" t="n">
        <v>3</v>
      </c>
      <c r="G1003" s="7" t="n">
        <v>521.8</v>
      </c>
    </row>
    <row r="1004" customFormat="false" ht="15" hidden="false" customHeight="false" outlineLevel="0" collapsed="false">
      <c r="A1004" s="7" t="s">
        <v>24</v>
      </c>
      <c r="B1004" s="7" t="s">
        <v>645</v>
      </c>
      <c r="C1004" s="7" t="s">
        <v>1194</v>
      </c>
      <c r="D1004" s="7" t="n">
        <v>0</v>
      </c>
      <c r="E1004" s="7" t="n">
        <v>0</v>
      </c>
      <c r="F1004" s="7" t="n">
        <v>2</v>
      </c>
      <c r="G1004" s="7" t="n">
        <v>354.08</v>
      </c>
    </row>
    <row r="1005" customFormat="false" ht="15" hidden="false" customHeight="false" outlineLevel="0" collapsed="false">
      <c r="A1005" s="7" t="s">
        <v>24</v>
      </c>
      <c r="B1005" s="7" t="s">
        <v>501</v>
      </c>
      <c r="C1005" s="7" t="s">
        <v>1194</v>
      </c>
      <c r="D1005" s="7" t="n">
        <v>1</v>
      </c>
      <c r="E1005" s="7" t="n">
        <v>171.1</v>
      </c>
      <c r="F1005" s="7" t="n">
        <v>0</v>
      </c>
      <c r="G1005" s="7" t="n">
        <v>0</v>
      </c>
    </row>
    <row r="1006" customFormat="false" ht="15" hidden="false" customHeight="false" outlineLevel="0" collapsed="false">
      <c r="A1006" s="7" t="s">
        <v>24</v>
      </c>
      <c r="B1006" s="7" t="s">
        <v>501</v>
      </c>
      <c r="C1006" s="7" t="s">
        <v>1194</v>
      </c>
      <c r="D1006" s="7" t="n">
        <v>4</v>
      </c>
      <c r="E1006" s="7" t="n">
        <v>745.44</v>
      </c>
      <c r="F1006" s="7" t="n">
        <v>4</v>
      </c>
      <c r="G1006" s="7" t="n">
        <v>726.8</v>
      </c>
    </row>
    <row r="1007" customFormat="false" ht="15" hidden="false" customHeight="false" outlineLevel="0" collapsed="false">
      <c r="A1007" s="7" t="s">
        <v>24</v>
      </c>
      <c r="B1007" s="7" t="s">
        <v>501</v>
      </c>
      <c r="C1007" s="7" t="s">
        <v>1194</v>
      </c>
      <c r="D1007" s="7" t="n">
        <v>0</v>
      </c>
      <c r="E1007" s="7" t="n">
        <v>0</v>
      </c>
      <c r="F1007" s="7" t="n">
        <v>1</v>
      </c>
      <c r="G1007" s="7" t="n">
        <v>186.36</v>
      </c>
    </row>
    <row r="1008" customFormat="false" ht="15" hidden="false" customHeight="false" outlineLevel="0" collapsed="false">
      <c r="A1008" s="7" t="s">
        <v>24</v>
      </c>
      <c r="B1008" s="7" t="s">
        <v>501</v>
      </c>
      <c r="C1008" s="7" t="s">
        <v>1194</v>
      </c>
      <c r="D1008" s="7" t="n">
        <v>0</v>
      </c>
      <c r="E1008" s="7" t="n">
        <v>0</v>
      </c>
      <c r="F1008" s="7" t="n">
        <v>1</v>
      </c>
      <c r="G1008" s="7" t="n">
        <v>167.72</v>
      </c>
    </row>
    <row r="1009" customFormat="false" ht="15" hidden="false" customHeight="false" outlineLevel="0" collapsed="false">
      <c r="A1009" s="7" t="s">
        <v>24</v>
      </c>
      <c r="B1009" s="7" t="s">
        <v>501</v>
      </c>
      <c r="C1009" s="7" t="s">
        <v>1194</v>
      </c>
      <c r="D1009" s="7" t="n">
        <v>0</v>
      </c>
      <c r="E1009" s="7" t="n">
        <v>0</v>
      </c>
      <c r="F1009" s="7" t="n">
        <v>1</v>
      </c>
      <c r="G1009" s="7" t="n">
        <v>158.41</v>
      </c>
    </row>
    <row r="1010" customFormat="false" ht="15" hidden="false" customHeight="false" outlineLevel="0" collapsed="false">
      <c r="A1010" s="7" t="s">
        <v>24</v>
      </c>
      <c r="B1010" s="7" t="s">
        <v>520</v>
      </c>
      <c r="C1010" s="7" t="s">
        <v>1194</v>
      </c>
      <c r="D1010" s="7" t="n">
        <v>2</v>
      </c>
      <c r="E1010" s="7" t="n">
        <v>342.2</v>
      </c>
      <c r="F1010" s="7" t="n">
        <v>0</v>
      </c>
      <c r="G1010" s="7" t="n">
        <v>0</v>
      </c>
    </row>
    <row r="1011" customFormat="false" ht="15" hidden="false" customHeight="false" outlineLevel="0" collapsed="false">
      <c r="A1011" s="7" t="s">
        <v>24</v>
      </c>
      <c r="B1011" s="7" t="s">
        <v>520</v>
      </c>
      <c r="C1011" s="7" t="s">
        <v>1194</v>
      </c>
      <c r="D1011" s="7" t="n">
        <v>3</v>
      </c>
      <c r="E1011" s="7" t="n">
        <v>503.18</v>
      </c>
      <c r="F1011" s="7" t="n">
        <v>2</v>
      </c>
      <c r="G1011" s="7" t="n">
        <v>354.08</v>
      </c>
    </row>
    <row r="1012" customFormat="false" ht="15" hidden="false" customHeight="false" outlineLevel="0" collapsed="false">
      <c r="A1012" s="7" t="s">
        <v>24</v>
      </c>
      <c r="B1012" s="7" t="s">
        <v>520</v>
      </c>
      <c r="C1012" s="7" t="s">
        <v>1194</v>
      </c>
      <c r="D1012" s="7" t="n">
        <v>0</v>
      </c>
      <c r="E1012" s="7" t="n">
        <v>0</v>
      </c>
      <c r="F1012" s="7" t="n">
        <v>1</v>
      </c>
      <c r="G1012" s="7" t="n">
        <v>186.35</v>
      </c>
    </row>
    <row r="1013" customFormat="false" ht="15" hidden="false" customHeight="false" outlineLevel="0" collapsed="false">
      <c r="A1013" s="7" t="s">
        <v>24</v>
      </c>
      <c r="B1013" s="7" t="s">
        <v>481</v>
      </c>
      <c r="C1013" s="7" t="s">
        <v>1194</v>
      </c>
      <c r="D1013" s="7" t="n">
        <v>0</v>
      </c>
      <c r="E1013" s="7" t="n">
        <v>0</v>
      </c>
      <c r="F1013" s="7" t="n">
        <v>1</v>
      </c>
      <c r="G1013" s="7" t="n">
        <v>186.35</v>
      </c>
    </row>
    <row r="1014" customFormat="false" ht="15" hidden="false" customHeight="false" outlineLevel="0" collapsed="false">
      <c r="A1014" s="7" t="s">
        <v>24</v>
      </c>
      <c r="B1014" s="7" t="s">
        <v>481</v>
      </c>
      <c r="C1014" s="7" t="s">
        <v>1194</v>
      </c>
      <c r="D1014" s="7" t="n">
        <v>1</v>
      </c>
      <c r="E1014" s="7" t="n">
        <v>186.36</v>
      </c>
      <c r="F1014" s="7" t="n">
        <v>0</v>
      </c>
      <c r="G1014" s="7" t="n">
        <v>0</v>
      </c>
    </row>
    <row r="1015" customFormat="false" ht="15" hidden="false" customHeight="false" outlineLevel="0" collapsed="false">
      <c r="A1015" s="7" t="s">
        <v>24</v>
      </c>
      <c r="B1015" s="7" t="s">
        <v>481</v>
      </c>
      <c r="C1015" s="7" t="s">
        <v>1194</v>
      </c>
      <c r="D1015" s="7" t="n">
        <v>0</v>
      </c>
      <c r="E1015" s="7" t="n">
        <v>0</v>
      </c>
      <c r="F1015" s="7" t="n">
        <v>1</v>
      </c>
      <c r="G1015" s="7" t="n">
        <v>167.72</v>
      </c>
    </row>
    <row r="1016" customFormat="false" ht="15" hidden="false" customHeight="false" outlineLevel="0" collapsed="false">
      <c r="A1016" s="7" t="s">
        <v>24</v>
      </c>
      <c r="B1016" s="7" t="s">
        <v>481</v>
      </c>
      <c r="C1016" s="7" t="s">
        <v>1194</v>
      </c>
      <c r="D1016" s="7" t="n">
        <v>0</v>
      </c>
      <c r="E1016" s="7" t="n">
        <v>0</v>
      </c>
      <c r="F1016" s="7" t="n">
        <v>1</v>
      </c>
      <c r="G1016" s="7" t="n">
        <v>186.35</v>
      </c>
    </row>
    <row r="1017" customFormat="false" ht="15" hidden="false" customHeight="false" outlineLevel="0" collapsed="false">
      <c r="A1017" s="7" t="s">
        <v>24</v>
      </c>
      <c r="B1017" s="7" t="s">
        <v>332</v>
      </c>
      <c r="C1017" s="7" t="s">
        <v>1194</v>
      </c>
      <c r="D1017" s="7" t="n">
        <v>1</v>
      </c>
      <c r="E1017" s="7" t="n">
        <v>300.8</v>
      </c>
      <c r="F1017" s="7" t="n">
        <v>0</v>
      </c>
      <c r="G1017" s="7" t="n">
        <v>0</v>
      </c>
    </row>
    <row r="1018" customFormat="false" ht="15" hidden="false" customHeight="false" outlineLevel="0" collapsed="false">
      <c r="A1018" s="7" t="s">
        <v>24</v>
      </c>
      <c r="B1018" s="7" t="s">
        <v>332</v>
      </c>
      <c r="C1018" s="7" t="s">
        <v>1194</v>
      </c>
      <c r="D1018" s="7" t="n">
        <v>6</v>
      </c>
      <c r="E1018" s="7" t="n">
        <v>1080.89</v>
      </c>
      <c r="F1018" s="7" t="n">
        <v>1</v>
      </c>
      <c r="G1018" s="7" t="n">
        <v>186.36</v>
      </c>
    </row>
    <row r="1019" customFormat="false" ht="15" hidden="false" customHeight="false" outlineLevel="0" collapsed="false">
      <c r="A1019" s="7" t="s">
        <v>24</v>
      </c>
      <c r="B1019" s="7" t="s">
        <v>332</v>
      </c>
      <c r="C1019" s="7" t="s">
        <v>1194</v>
      </c>
      <c r="D1019" s="7" t="n">
        <v>2</v>
      </c>
      <c r="E1019" s="7" t="n">
        <v>342.2</v>
      </c>
      <c r="F1019" s="7" t="n">
        <v>0</v>
      </c>
      <c r="G1019" s="7" t="n">
        <v>0</v>
      </c>
    </row>
    <row r="1020" customFormat="false" ht="15" hidden="false" customHeight="false" outlineLevel="0" collapsed="false">
      <c r="A1020" s="7" t="s">
        <v>24</v>
      </c>
      <c r="B1020" s="7" t="s">
        <v>332</v>
      </c>
      <c r="C1020" s="7" t="s">
        <v>1194</v>
      </c>
      <c r="D1020" s="7" t="n">
        <v>0</v>
      </c>
      <c r="E1020" s="7" t="n">
        <v>0</v>
      </c>
      <c r="F1020" s="7" t="n">
        <v>1</v>
      </c>
      <c r="G1020" s="7" t="n">
        <v>186.35</v>
      </c>
    </row>
    <row r="1021" customFormat="false" ht="15" hidden="false" customHeight="false" outlineLevel="0" collapsed="false">
      <c r="A1021" s="7" t="s">
        <v>24</v>
      </c>
      <c r="B1021" s="7" t="s">
        <v>332</v>
      </c>
      <c r="C1021" s="7" t="s">
        <v>1194</v>
      </c>
      <c r="D1021" s="7" t="n">
        <v>0</v>
      </c>
      <c r="E1021" s="7" t="n">
        <v>0</v>
      </c>
      <c r="F1021" s="7" t="n">
        <v>1</v>
      </c>
      <c r="G1021" s="7" t="n">
        <v>167.72</v>
      </c>
    </row>
    <row r="1022" customFormat="false" ht="15" hidden="false" customHeight="false" outlineLevel="0" collapsed="false">
      <c r="A1022" s="7" t="s">
        <v>24</v>
      </c>
      <c r="B1022" s="7" t="s">
        <v>332</v>
      </c>
      <c r="C1022" s="7" t="s">
        <v>1194</v>
      </c>
      <c r="D1022" s="7" t="n">
        <v>0</v>
      </c>
      <c r="E1022" s="7" t="n">
        <v>0</v>
      </c>
      <c r="F1022" s="7" t="n">
        <v>1</v>
      </c>
      <c r="G1022" s="7" t="n">
        <v>186.35</v>
      </c>
    </row>
    <row r="1023" customFormat="false" ht="15" hidden="false" customHeight="false" outlineLevel="0" collapsed="false">
      <c r="A1023" s="7" t="s">
        <v>24</v>
      </c>
      <c r="B1023" s="7" t="s">
        <v>332</v>
      </c>
      <c r="C1023" s="7" t="s">
        <v>1194</v>
      </c>
      <c r="D1023" s="7" t="n">
        <v>2</v>
      </c>
      <c r="E1023" s="7" t="n">
        <v>601.4</v>
      </c>
      <c r="F1023" s="7" t="n">
        <v>0</v>
      </c>
      <c r="G1023" s="7" t="n">
        <v>0</v>
      </c>
    </row>
    <row r="1024" customFormat="false" ht="15" hidden="false" customHeight="false" outlineLevel="0" collapsed="false">
      <c r="A1024" s="7" t="s">
        <v>24</v>
      </c>
      <c r="B1024" s="7" t="s">
        <v>332</v>
      </c>
      <c r="C1024" s="7" t="s">
        <v>1194</v>
      </c>
      <c r="D1024" s="7" t="n">
        <v>0</v>
      </c>
      <c r="E1024" s="7" t="n">
        <v>0</v>
      </c>
      <c r="F1024" s="7" t="n">
        <v>1</v>
      </c>
      <c r="G1024" s="7" t="n">
        <v>300.7</v>
      </c>
    </row>
    <row r="1025" customFormat="false" ht="15" hidden="false" customHeight="false" outlineLevel="0" collapsed="false">
      <c r="A1025" s="7" t="s">
        <v>24</v>
      </c>
      <c r="B1025" s="7" t="s">
        <v>332</v>
      </c>
      <c r="C1025" s="7" t="s">
        <v>1194</v>
      </c>
      <c r="D1025" s="7" t="n">
        <v>0</v>
      </c>
      <c r="E1025" s="7" t="n">
        <v>0</v>
      </c>
      <c r="F1025" s="7" t="n">
        <v>1</v>
      </c>
      <c r="G1025" s="7" t="n">
        <v>186.35</v>
      </c>
    </row>
    <row r="1026" customFormat="false" ht="15" hidden="false" customHeight="false" outlineLevel="0" collapsed="false">
      <c r="A1026" s="7" t="s">
        <v>24</v>
      </c>
      <c r="B1026" s="7" t="s">
        <v>332</v>
      </c>
      <c r="C1026" s="7" t="s">
        <v>1194</v>
      </c>
      <c r="D1026" s="7" t="n">
        <v>0</v>
      </c>
      <c r="E1026" s="7" t="n">
        <v>0</v>
      </c>
      <c r="F1026" s="7" t="n">
        <v>2</v>
      </c>
      <c r="G1026" s="7" t="n">
        <v>372.71</v>
      </c>
    </row>
    <row r="1027" customFormat="false" ht="15" hidden="false" customHeight="false" outlineLevel="0" collapsed="false">
      <c r="A1027" s="7" t="s">
        <v>24</v>
      </c>
      <c r="B1027" s="7" t="s">
        <v>402</v>
      </c>
      <c r="C1027" s="7" t="s">
        <v>1040</v>
      </c>
      <c r="D1027" s="7" t="n">
        <v>3</v>
      </c>
      <c r="E1027" s="7" t="n">
        <v>823.05</v>
      </c>
      <c r="F1027" s="7" t="n">
        <v>0</v>
      </c>
      <c r="G1027" s="7" t="n">
        <v>0</v>
      </c>
    </row>
    <row r="1028" customFormat="false" ht="15" hidden="false" customHeight="false" outlineLevel="0" collapsed="false">
      <c r="A1028" s="7" t="s">
        <v>24</v>
      </c>
      <c r="B1028" s="7" t="s">
        <v>402</v>
      </c>
      <c r="C1028" s="7" t="s">
        <v>1040</v>
      </c>
      <c r="D1028" s="7" t="n">
        <v>0</v>
      </c>
      <c r="E1028" s="7" t="n">
        <v>0</v>
      </c>
      <c r="F1028" s="7" t="n">
        <v>1</v>
      </c>
      <c r="G1028" s="7" t="n">
        <v>283.81</v>
      </c>
    </row>
    <row r="1029" customFormat="false" ht="15" hidden="false" customHeight="false" outlineLevel="0" collapsed="false">
      <c r="A1029" s="7" t="s">
        <v>24</v>
      </c>
      <c r="B1029" s="7" t="s">
        <v>257</v>
      </c>
      <c r="C1029" s="7" t="s">
        <v>1040</v>
      </c>
      <c r="D1029" s="7" t="n">
        <v>1</v>
      </c>
      <c r="E1029" s="7" t="n">
        <v>227.05</v>
      </c>
      <c r="F1029" s="7" t="n">
        <v>3</v>
      </c>
      <c r="G1029" s="7" t="n">
        <v>851.43</v>
      </c>
    </row>
    <row r="1030" customFormat="false" ht="15" hidden="false" customHeight="false" outlineLevel="0" collapsed="false">
      <c r="A1030" s="7" t="s">
        <v>24</v>
      </c>
      <c r="B1030" s="7" t="s">
        <v>257</v>
      </c>
      <c r="C1030" s="7" t="s">
        <v>1040</v>
      </c>
      <c r="D1030" s="7" t="n">
        <v>0</v>
      </c>
      <c r="E1030" s="7" t="n">
        <v>0</v>
      </c>
      <c r="F1030" s="7" t="n">
        <v>1</v>
      </c>
      <c r="G1030" s="7" t="n">
        <v>283.81</v>
      </c>
    </row>
    <row r="1031" customFormat="false" ht="15" hidden="false" customHeight="false" outlineLevel="0" collapsed="false">
      <c r="A1031" s="7" t="s">
        <v>24</v>
      </c>
      <c r="B1031" s="7" t="s">
        <v>257</v>
      </c>
      <c r="C1031" s="7" t="s">
        <v>1040</v>
      </c>
      <c r="D1031" s="7" t="n">
        <v>0</v>
      </c>
      <c r="E1031" s="7" t="n">
        <v>0</v>
      </c>
      <c r="F1031" s="7" t="n">
        <v>1</v>
      </c>
      <c r="G1031" s="7" t="n">
        <v>283.81</v>
      </c>
    </row>
    <row r="1032" customFormat="false" ht="15" hidden="false" customHeight="false" outlineLevel="0" collapsed="false">
      <c r="A1032" s="7" t="s">
        <v>24</v>
      </c>
      <c r="B1032" s="7" t="s">
        <v>565</v>
      </c>
      <c r="C1032" s="7" t="s">
        <v>1040</v>
      </c>
      <c r="D1032" s="7" t="n">
        <v>0</v>
      </c>
      <c r="E1032" s="7" t="n">
        <v>0</v>
      </c>
      <c r="F1032" s="7" t="n">
        <v>1</v>
      </c>
      <c r="G1032" s="7" t="n">
        <v>241.25</v>
      </c>
    </row>
    <row r="1033" customFormat="false" ht="15" hidden="false" customHeight="false" outlineLevel="0" collapsed="false">
      <c r="A1033" s="7" t="s">
        <v>24</v>
      </c>
      <c r="B1033" s="7" t="s">
        <v>309</v>
      </c>
      <c r="C1033" s="7" t="s">
        <v>1040</v>
      </c>
      <c r="D1033" s="7" t="n">
        <v>0</v>
      </c>
      <c r="E1033" s="7" t="n">
        <v>0</v>
      </c>
      <c r="F1033" s="7" t="n">
        <v>1</v>
      </c>
      <c r="G1033" s="7" t="n">
        <v>255.43</v>
      </c>
    </row>
    <row r="1034" customFormat="false" ht="15" hidden="false" customHeight="false" outlineLevel="0" collapsed="false">
      <c r="A1034" s="7" t="s">
        <v>24</v>
      </c>
      <c r="B1034" s="7" t="s">
        <v>309</v>
      </c>
      <c r="C1034" s="7" t="s">
        <v>1040</v>
      </c>
      <c r="D1034" s="7" t="n">
        <v>0</v>
      </c>
      <c r="E1034" s="7" t="n">
        <v>0</v>
      </c>
      <c r="F1034" s="7" t="n">
        <v>1</v>
      </c>
      <c r="G1034" s="7" t="n">
        <v>255.43</v>
      </c>
    </row>
    <row r="1035" customFormat="false" ht="15" hidden="false" customHeight="false" outlineLevel="0" collapsed="false">
      <c r="A1035" s="7" t="s">
        <v>24</v>
      </c>
      <c r="B1035" s="7" t="s">
        <v>309</v>
      </c>
      <c r="C1035" s="7" t="s">
        <v>1040</v>
      </c>
      <c r="D1035" s="7" t="n">
        <v>0</v>
      </c>
      <c r="E1035" s="7" t="n">
        <v>0</v>
      </c>
      <c r="F1035" s="7" t="n">
        <v>1</v>
      </c>
      <c r="G1035" s="7" t="n">
        <v>283.81</v>
      </c>
    </row>
    <row r="1036" customFormat="false" ht="15" hidden="false" customHeight="false" outlineLevel="0" collapsed="false">
      <c r="A1036" s="7" t="s">
        <v>24</v>
      </c>
      <c r="B1036" s="7" t="s">
        <v>309</v>
      </c>
      <c r="C1036" s="7" t="s">
        <v>1040</v>
      </c>
      <c r="D1036" s="7" t="n">
        <v>8</v>
      </c>
      <c r="E1036" s="7" t="n">
        <v>2185.34</v>
      </c>
      <c r="F1036" s="7" t="n">
        <v>1</v>
      </c>
      <c r="G1036" s="7" t="n">
        <v>283.81</v>
      </c>
    </row>
    <row r="1037" customFormat="false" ht="15" hidden="false" customHeight="false" outlineLevel="0" collapsed="false">
      <c r="A1037" s="7" t="s">
        <v>24</v>
      </c>
      <c r="B1037" s="7" t="s">
        <v>309</v>
      </c>
      <c r="C1037" s="7" t="s">
        <v>1040</v>
      </c>
      <c r="D1037" s="7" t="n">
        <v>0</v>
      </c>
      <c r="E1037" s="7" t="n">
        <v>0</v>
      </c>
      <c r="F1037" s="7" t="n">
        <v>1</v>
      </c>
      <c r="G1037" s="7" t="n">
        <v>255.43</v>
      </c>
    </row>
    <row r="1038" customFormat="false" ht="15" hidden="false" customHeight="false" outlineLevel="0" collapsed="false">
      <c r="A1038" s="7" t="s">
        <v>24</v>
      </c>
      <c r="B1038" s="7" t="s">
        <v>539</v>
      </c>
      <c r="C1038" s="7" t="s">
        <v>1040</v>
      </c>
      <c r="D1038" s="7" t="n">
        <v>0</v>
      </c>
      <c r="E1038" s="7" t="n">
        <v>0</v>
      </c>
      <c r="F1038" s="7" t="n">
        <v>1</v>
      </c>
      <c r="G1038" s="7" t="n">
        <v>283.81</v>
      </c>
    </row>
    <row r="1039" customFormat="false" ht="15" hidden="false" customHeight="false" outlineLevel="0" collapsed="false">
      <c r="A1039" s="7" t="s">
        <v>24</v>
      </c>
      <c r="B1039" s="7" t="s">
        <v>236</v>
      </c>
      <c r="C1039" s="7" t="s">
        <v>1040</v>
      </c>
      <c r="D1039" s="7" t="n">
        <v>1</v>
      </c>
      <c r="E1039" s="7" t="n">
        <v>239.8</v>
      </c>
      <c r="F1039" s="7" t="n">
        <v>0</v>
      </c>
      <c r="G1039" s="7" t="n">
        <v>0</v>
      </c>
    </row>
    <row r="1040" customFormat="false" ht="15" hidden="false" customHeight="false" outlineLevel="0" collapsed="false">
      <c r="A1040" s="7" t="s">
        <v>24</v>
      </c>
      <c r="B1040" s="7" t="s">
        <v>236</v>
      </c>
      <c r="C1040" s="7" t="s">
        <v>1040</v>
      </c>
      <c r="D1040" s="7" t="n">
        <v>1</v>
      </c>
      <c r="E1040" s="7" t="n">
        <v>241.24</v>
      </c>
      <c r="F1040" s="7" t="n">
        <v>3</v>
      </c>
      <c r="G1040" s="7" t="n">
        <v>794.67</v>
      </c>
    </row>
    <row r="1041" customFormat="false" ht="15" hidden="false" customHeight="false" outlineLevel="0" collapsed="false">
      <c r="A1041" s="7" t="s">
        <v>24</v>
      </c>
      <c r="B1041" s="7" t="s">
        <v>236</v>
      </c>
      <c r="C1041" s="7" t="s">
        <v>1040</v>
      </c>
      <c r="D1041" s="7" t="n">
        <v>0</v>
      </c>
      <c r="E1041" s="7" t="n">
        <v>0</v>
      </c>
      <c r="F1041" s="7" t="n">
        <v>1</v>
      </c>
      <c r="G1041" s="7" t="n">
        <v>283.81</v>
      </c>
    </row>
    <row r="1042" customFormat="false" ht="15" hidden="false" customHeight="false" outlineLevel="0" collapsed="false">
      <c r="A1042" s="7" t="s">
        <v>24</v>
      </c>
      <c r="B1042" s="7" t="s">
        <v>236</v>
      </c>
      <c r="C1042" s="7" t="s">
        <v>1040</v>
      </c>
      <c r="D1042" s="7" t="n">
        <v>0</v>
      </c>
      <c r="E1042" s="7" t="n">
        <v>0</v>
      </c>
      <c r="F1042" s="7" t="n">
        <v>1</v>
      </c>
      <c r="G1042" s="7" t="n">
        <v>283.81</v>
      </c>
    </row>
    <row r="1043" customFormat="false" ht="15" hidden="false" customHeight="false" outlineLevel="0" collapsed="false">
      <c r="A1043" s="7" t="s">
        <v>24</v>
      </c>
      <c r="B1043" s="7" t="s">
        <v>236</v>
      </c>
      <c r="C1043" s="7" t="s">
        <v>1040</v>
      </c>
      <c r="D1043" s="7" t="n">
        <v>0</v>
      </c>
      <c r="E1043" s="7" t="n">
        <v>0</v>
      </c>
      <c r="F1043" s="7" t="n">
        <v>1</v>
      </c>
      <c r="G1043" s="7" t="n">
        <v>283.81</v>
      </c>
    </row>
    <row r="1044" customFormat="false" ht="15" hidden="false" customHeight="false" outlineLevel="0" collapsed="false">
      <c r="A1044" s="7" t="s">
        <v>24</v>
      </c>
      <c r="B1044" s="7" t="s">
        <v>236</v>
      </c>
      <c r="C1044" s="7" t="s">
        <v>1040</v>
      </c>
      <c r="D1044" s="7" t="n">
        <v>0</v>
      </c>
      <c r="E1044" s="7" t="n">
        <v>0</v>
      </c>
      <c r="F1044" s="7" t="n">
        <v>1</v>
      </c>
      <c r="G1044" s="7" t="n">
        <v>255.43</v>
      </c>
    </row>
    <row r="1045" customFormat="false" ht="15" hidden="false" customHeight="false" outlineLevel="0" collapsed="false">
      <c r="A1045" s="7" t="s">
        <v>24</v>
      </c>
      <c r="B1045" s="7" t="s">
        <v>697</v>
      </c>
      <c r="C1045" s="7" t="s">
        <v>1195</v>
      </c>
      <c r="D1045" s="7" t="n">
        <v>1</v>
      </c>
      <c r="E1045" s="7" t="n">
        <v>97.17</v>
      </c>
      <c r="F1045" s="7" t="n">
        <v>0</v>
      </c>
      <c r="G1045" s="7" t="n">
        <v>0</v>
      </c>
    </row>
    <row r="1046" customFormat="false" ht="15" hidden="false" customHeight="false" outlineLevel="0" collapsed="false">
      <c r="A1046" s="7" t="s">
        <v>24</v>
      </c>
      <c r="B1046" s="7" t="s">
        <v>687</v>
      </c>
      <c r="C1046" s="7" t="s">
        <v>1195</v>
      </c>
      <c r="D1046" s="7" t="n">
        <v>1</v>
      </c>
      <c r="E1046" s="7" t="n">
        <v>106.69</v>
      </c>
      <c r="F1046" s="7" t="n">
        <v>0</v>
      </c>
      <c r="G1046" s="7" t="n">
        <v>0</v>
      </c>
    </row>
    <row r="1047" customFormat="false" ht="15" hidden="false" customHeight="false" outlineLevel="0" collapsed="false">
      <c r="A1047" s="7" t="s">
        <v>24</v>
      </c>
      <c r="B1047" s="7" t="s">
        <v>588</v>
      </c>
      <c r="C1047" s="7" t="s">
        <v>1195</v>
      </c>
      <c r="D1047" s="7" t="n">
        <v>5</v>
      </c>
      <c r="E1047" s="7" t="n">
        <v>571.6</v>
      </c>
      <c r="F1047" s="7" t="n">
        <v>3</v>
      </c>
      <c r="G1047" s="7" t="n">
        <v>342.96</v>
      </c>
    </row>
    <row r="1048" customFormat="false" ht="15" hidden="false" customHeight="false" outlineLevel="0" collapsed="false">
      <c r="A1048" s="7" t="s">
        <v>24</v>
      </c>
      <c r="B1048" s="7" t="s">
        <v>588</v>
      </c>
      <c r="C1048" s="7" t="s">
        <v>1195</v>
      </c>
      <c r="D1048" s="7" t="n">
        <v>1</v>
      </c>
      <c r="E1048" s="7" t="n">
        <v>105.8</v>
      </c>
      <c r="F1048" s="7" t="n">
        <v>0</v>
      </c>
      <c r="G1048" s="7" t="n">
        <v>0</v>
      </c>
    </row>
    <row r="1049" customFormat="false" ht="15" hidden="false" customHeight="false" outlineLevel="0" collapsed="false">
      <c r="A1049" s="7" t="s">
        <v>24</v>
      </c>
      <c r="B1049" s="7" t="s">
        <v>588</v>
      </c>
      <c r="C1049" s="7" t="s">
        <v>1195</v>
      </c>
      <c r="D1049" s="7" t="n">
        <v>0</v>
      </c>
      <c r="E1049" s="7" t="n">
        <v>0</v>
      </c>
      <c r="F1049" s="7" t="n">
        <v>1</v>
      </c>
      <c r="G1049" s="7" t="n">
        <v>102.89</v>
      </c>
    </row>
    <row r="1050" customFormat="false" ht="15" hidden="false" customHeight="false" outlineLevel="0" collapsed="false">
      <c r="A1050" s="7" t="s">
        <v>24</v>
      </c>
      <c r="B1050" s="7" t="s">
        <v>588</v>
      </c>
      <c r="C1050" s="7" t="s">
        <v>1195</v>
      </c>
      <c r="D1050" s="7" t="n">
        <v>1</v>
      </c>
      <c r="E1050" s="7" t="n">
        <v>92.24</v>
      </c>
      <c r="F1050" s="7" t="n">
        <v>0</v>
      </c>
      <c r="G1050" s="7" t="n">
        <v>0</v>
      </c>
    </row>
    <row r="1051" customFormat="false" ht="15" hidden="false" customHeight="false" outlineLevel="0" collapsed="false">
      <c r="A1051" s="7" t="s">
        <v>24</v>
      </c>
      <c r="B1051" s="7" t="s">
        <v>588</v>
      </c>
      <c r="C1051" s="7" t="s">
        <v>1195</v>
      </c>
      <c r="D1051" s="7" t="n">
        <v>0</v>
      </c>
      <c r="E1051" s="7" t="n">
        <v>0</v>
      </c>
      <c r="F1051" s="7" t="n">
        <v>1</v>
      </c>
      <c r="G1051" s="7" t="n">
        <v>114.32</v>
      </c>
    </row>
    <row r="1052" customFormat="false" ht="15" hidden="false" customHeight="false" outlineLevel="0" collapsed="false">
      <c r="A1052" s="7" t="s">
        <v>24</v>
      </c>
      <c r="B1052" s="7" t="s">
        <v>147</v>
      </c>
      <c r="C1052" s="7" t="s">
        <v>1041</v>
      </c>
      <c r="D1052" s="7" t="n">
        <v>0</v>
      </c>
      <c r="E1052" s="7" t="n">
        <v>0</v>
      </c>
      <c r="F1052" s="7" t="n">
        <v>1</v>
      </c>
      <c r="G1052" s="7" t="n">
        <v>474.49</v>
      </c>
    </row>
    <row r="1053" customFormat="false" ht="15" hidden="false" customHeight="false" outlineLevel="0" collapsed="false">
      <c r="A1053" s="7" t="s">
        <v>24</v>
      </c>
      <c r="B1053" s="7" t="s">
        <v>147</v>
      </c>
      <c r="C1053" s="7" t="s">
        <v>1041</v>
      </c>
      <c r="D1053" s="7" t="n">
        <v>3</v>
      </c>
      <c r="E1053" s="7" t="n">
        <v>1269.67</v>
      </c>
      <c r="F1053" s="7" t="n">
        <v>0</v>
      </c>
      <c r="G1053" s="7" t="n">
        <v>0</v>
      </c>
    </row>
    <row r="1054" customFormat="false" ht="15" hidden="false" customHeight="false" outlineLevel="0" collapsed="false">
      <c r="A1054" s="7" t="s">
        <v>24</v>
      </c>
      <c r="B1054" s="7" t="s">
        <v>147</v>
      </c>
      <c r="C1054" s="7" t="s">
        <v>1041</v>
      </c>
      <c r="D1054" s="7" t="n">
        <v>10</v>
      </c>
      <c r="E1054" s="7" t="n">
        <v>4389.04</v>
      </c>
      <c r="F1054" s="7" t="n">
        <v>2</v>
      </c>
      <c r="G1054" s="7" t="n">
        <v>901.53</v>
      </c>
    </row>
    <row r="1055" customFormat="false" ht="15" hidden="false" customHeight="false" outlineLevel="0" collapsed="false">
      <c r="A1055" s="7" t="s">
        <v>24</v>
      </c>
      <c r="B1055" s="7" t="s">
        <v>147</v>
      </c>
      <c r="C1055" s="7" t="s">
        <v>1041</v>
      </c>
      <c r="D1055" s="7" t="n">
        <v>0</v>
      </c>
      <c r="E1055" s="7" t="n">
        <v>0</v>
      </c>
      <c r="F1055" s="7" t="n">
        <v>1</v>
      </c>
      <c r="G1055" s="7" t="n">
        <v>474.49</v>
      </c>
    </row>
    <row r="1056" customFormat="false" ht="15" hidden="false" customHeight="false" outlineLevel="0" collapsed="false">
      <c r="A1056" s="7" t="s">
        <v>24</v>
      </c>
      <c r="B1056" s="7" t="s">
        <v>147</v>
      </c>
      <c r="C1056" s="7" t="s">
        <v>1041</v>
      </c>
      <c r="D1056" s="7" t="n">
        <v>0</v>
      </c>
      <c r="E1056" s="7" t="n">
        <v>0</v>
      </c>
      <c r="F1056" s="7" t="n">
        <v>1</v>
      </c>
      <c r="G1056" s="7" t="n">
        <v>427.04</v>
      </c>
    </row>
    <row r="1057" customFormat="false" ht="15" hidden="false" customHeight="false" outlineLevel="0" collapsed="false">
      <c r="A1057" s="7" t="s">
        <v>24</v>
      </c>
      <c r="B1057" s="7" t="s">
        <v>778</v>
      </c>
      <c r="C1057" s="7" t="s">
        <v>1042</v>
      </c>
      <c r="D1057" s="7" t="n">
        <v>1</v>
      </c>
      <c r="E1057" s="7" t="n">
        <v>254.15</v>
      </c>
      <c r="F1057" s="7" t="n">
        <v>1</v>
      </c>
      <c r="G1057" s="7" t="n">
        <v>254.15</v>
      </c>
    </row>
    <row r="1058" customFormat="false" ht="15" hidden="false" customHeight="false" outlineLevel="0" collapsed="false">
      <c r="A1058" s="7" t="s">
        <v>24</v>
      </c>
      <c r="B1058" s="7" t="s">
        <v>778</v>
      </c>
      <c r="C1058" s="7" t="s">
        <v>1042</v>
      </c>
      <c r="D1058" s="7" t="n">
        <v>0</v>
      </c>
      <c r="E1058" s="7" t="n">
        <v>0</v>
      </c>
      <c r="F1058" s="7" t="n">
        <v>1</v>
      </c>
      <c r="G1058" s="7" t="n">
        <v>228.74</v>
      </c>
    </row>
    <row r="1059" customFormat="false" ht="15" hidden="false" customHeight="false" outlineLevel="0" collapsed="false">
      <c r="A1059" s="7" t="s">
        <v>24</v>
      </c>
      <c r="B1059" s="7" t="s">
        <v>778</v>
      </c>
      <c r="C1059" s="7" t="s">
        <v>1042</v>
      </c>
      <c r="D1059" s="7" t="n">
        <v>1</v>
      </c>
      <c r="E1059" s="7" t="n">
        <v>203.79</v>
      </c>
      <c r="F1059" s="7" t="n">
        <v>0</v>
      </c>
      <c r="G1059" s="7" t="n">
        <v>0</v>
      </c>
    </row>
    <row r="1060" customFormat="false" ht="15" hidden="false" customHeight="false" outlineLevel="0" collapsed="false">
      <c r="A1060" s="7" t="s">
        <v>24</v>
      </c>
      <c r="B1060" s="7" t="s">
        <v>778</v>
      </c>
      <c r="C1060" s="7" t="s">
        <v>1042</v>
      </c>
      <c r="D1060" s="7" t="n">
        <v>1</v>
      </c>
      <c r="E1060" s="7" t="n">
        <v>0.01</v>
      </c>
      <c r="F1060" s="7" t="n">
        <v>0</v>
      </c>
      <c r="G1060" s="7" t="n">
        <v>0</v>
      </c>
    </row>
    <row r="1061" customFormat="false" ht="15" hidden="false" customHeight="false" outlineLevel="0" collapsed="false">
      <c r="A1061" s="7" t="s">
        <v>24</v>
      </c>
      <c r="B1061" s="7" t="s">
        <v>445</v>
      </c>
      <c r="C1061" s="7" t="s">
        <v>1042</v>
      </c>
      <c r="D1061" s="7" t="n">
        <v>1</v>
      </c>
      <c r="E1061" s="7" t="n">
        <v>203.32</v>
      </c>
      <c r="F1061" s="7" t="n">
        <v>0</v>
      </c>
      <c r="G1061" s="7" t="n">
        <v>0</v>
      </c>
    </row>
    <row r="1062" customFormat="false" ht="15" hidden="false" customHeight="false" outlineLevel="0" collapsed="false">
      <c r="A1062" s="7" t="s">
        <v>24</v>
      </c>
      <c r="B1062" s="7" t="s">
        <v>445</v>
      </c>
      <c r="C1062" s="7" t="s">
        <v>1042</v>
      </c>
      <c r="D1062" s="7" t="n">
        <v>1</v>
      </c>
      <c r="E1062" s="7" t="n">
        <v>239.75</v>
      </c>
      <c r="F1062" s="7" t="n">
        <v>0</v>
      </c>
      <c r="G1062" s="7" t="n">
        <v>0</v>
      </c>
    </row>
    <row r="1063" customFormat="false" ht="15" hidden="false" customHeight="false" outlineLevel="0" collapsed="false">
      <c r="A1063" s="7" t="s">
        <v>24</v>
      </c>
      <c r="B1063" s="7" t="s">
        <v>414</v>
      </c>
      <c r="C1063" s="7" t="s">
        <v>1042</v>
      </c>
      <c r="D1063" s="7" t="n">
        <v>0</v>
      </c>
      <c r="E1063" s="7" t="n">
        <v>0</v>
      </c>
      <c r="F1063" s="7" t="n">
        <v>1</v>
      </c>
      <c r="G1063" s="7" t="n">
        <v>228.74</v>
      </c>
    </row>
    <row r="1064" customFormat="false" ht="15" hidden="false" customHeight="false" outlineLevel="0" collapsed="false">
      <c r="A1064" s="7" t="s">
        <v>24</v>
      </c>
      <c r="B1064" s="7" t="s">
        <v>414</v>
      </c>
      <c r="C1064" s="7" t="s">
        <v>1042</v>
      </c>
      <c r="D1064" s="7" t="n">
        <v>3</v>
      </c>
      <c r="E1064" s="7" t="n">
        <v>724.32</v>
      </c>
      <c r="F1064" s="7" t="n">
        <v>0</v>
      </c>
      <c r="G1064" s="7" t="n">
        <v>0</v>
      </c>
    </row>
    <row r="1065" customFormat="false" ht="15" hidden="false" customHeight="false" outlineLevel="0" collapsed="false">
      <c r="A1065" s="7" t="s">
        <v>24</v>
      </c>
      <c r="B1065" s="7" t="s">
        <v>706</v>
      </c>
      <c r="C1065" s="7" t="s">
        <v>1042</v>
      </c>
      <c r="D1065" s="7" t="n">
        <v>2</v>
      </c>
      <c r="E1065" s="7" t="n">
        <v>393.94</v>
      </c>
      <c r="F1065" s="7" t="n">
        <v>1</v>
      </c>
      <c r="G1065" s="7" t="n">
        <v>254.15</v>
      </c>
    </row>
    <row r="1066" customFormat="false" ht="15" hidden="false" customHeight="false" outlineLevel="0" collapsed="false">
      <c r="A1066" s="7" t="s">
        <v>24</v>
      </c>
      <c r="B1066" s="7" t="s">
        <v>706</v>
      </c>
      <c r="C1066" s="7" t="s">
        <v>1042</v>
      </c>
      <c r="D1066" s="7" t="n">
        <v>0</v>
      </c>
      <c r="E1066" s="7" t="n">
        <v>0</v>
      </c>
      <c r="F1066" s="7" t="n">
        <v>1</v>
      </c>
      <c r="G1066" s="7" t="n">
        <v>228.74</v>
      </c>
    </row>
    <row r="1067" customFormat="false" ht="15" hidden="false" customHeight="false" outlineLevel="0" collapsed="false">
      <c r="A1067" s="7" t="s">
        <v>24</v>
      </c>
      <c r="B1067" s="7" t="s">
        <v>750</v>
      </c>
      <c r="C1067" s="7" t="s">
        <v>1196</v>
      </c>
      <c r="D1067" s="7" t="n">
        <v>0</v>
      </c>
      <c r="E1067" s="7" t="n">
        <v>0</v>
      </c>
      <c r="F1067" s="7" t="n">
        <v>1</v>
      </c>
      <c r="G1067" s="7" t="n">
        <v>254.16</v>
      </c>
    </row>
    <row r="1068" customFormat="false" ht="15" hidden="false" customHeight="false" outlineLevel="0" collapsed="false">
      <c r="A1068" s="7" t="s">
        <v>24</v>
      </c>
      <c r="B1068" s="7" t="s">
        <v>750</v>
      </c>
      <c r="C1068" s="7" t="s">
        <v>1196</v>
      </c>
      <c r="D1068" s="7" t="n">
        <v>2</v>
      </c>
      <c r="E1068" s="7" t="n">
        <v>470.18</v>
      </c>
      <c r="F1068" s="7" t="n">
        <v>1</v>
      </c>
      <c r="G1068" s="7" t="n">
        <v>254.15</v>
      </c>
    </row>
    <row r="1069" customFormat="false" ht="15" hidden="false" customHeight="false" outlineLevel="0" collapsed="false">
      <c r="A1069" s="7" t="s">
        <v>24</v>
      </c>
      <c r="B1069" s="7" t="s">
        <v>750</v>
      </c>
      <c r="C1069" s="7" t="s">
        <v>1196</v>
      </c>
      <c r="D1069" s="7" t="n">
        <v>0</v>
      </c>
      <c r="E1069" s="7" t="n">
        <v>0</v>
      </c>
      <c r="F1069" s="7" t="n">
        <v>1</v>
      </c>
      <c r="G1069" s="7" t="n">
        <v>254.15</v>
      </c>
    </row>
    <row r="1070" customFormat="false" ht="15" hidden="false" customHeight="false" outlineLevel="0" collapsed="false">
      <c r="A1070" s="7" t="s">
        <v>24</v>
      </c>
      <c r="B1070" s="7" t="s">
        <v>750</v>
      </c>
      <c r="C1070" s="7" t="s">
        <v>1196</v>
      </c>
      <c r="D1070" s="7" t="n">
        <v>1</v>
      </c>
      <c r="E1070" s="7" t="n">
        <v>239.75</v>
      </c>
      <c r="F1070" s="7" t="n">
        <v>0</v>
      </c>
      <c r="G1070" s="7" t="n">
        <v>0</v>
      </c>
    </row>
    <row r="1071" customFormat="false" ht="15" hidden="false" customHeight="false" outlineLevel="0" collapsed="false">
      <c r="A1071" s="7" t="s">
        <v>24</v>
      </c>
      <c r="B1071" s="7" t="s">
        <v>228</v>
      </c>
      <c r="C1071" s="7" t="s">
        <v>1196</v>
      </c>
      <c r="D1071" s="7" t="n">
        <v>6</v>
      </c>
      <c r="E1071" s="7" t="n">
        <v>1524.9</v>
      </c>
      <c r="F1071" s="7" t="n">
        <v>-1</v>
      </c>
      <c r="G1071" s="7" t="n">
        <v>-254.15</v>
      </c>
    </row>
    <row r="1072" customFormat="false" ht="15" hidden="false" customHeight="false" outlineLevel="0" collapsed="false">
      <c r="A1072" s="7" t="s">
        <v>24</v>
      </c>
      <c r="B1072" s="7" t="s">
        <v>228</v>
      </c>
      <c r="C1072" s="7" t="s">
        <v>1196</v>
      </c>
      <c r="D1072" s="7" t="n">
        <v>0</v>
      </c>
      <c r="E1072" s="7" t="n">
        <v>0</v>
      </c>
      <c r="F1072" s="7" t="n">
        <v>1</v>
      </c>
      <c r="G1072" s="7" t="n">
        <v>254.16</v>
      </c>
    </row>
    <row r="1073" customFormat="false" ht="15" hidden="false" customHeight="false" outlineLevel="0" collapsed="false">
      <c r="A1073" s="7" t="s">
        <v>24</v>
      </c>
      <c r="B1073" s="7" t="s">
        <v>430</v>
      </c>
      <c r="C1073" s="7" t="s">
        <v>1196</v>
      </c>
      <c r="D1073" s="7" t="n">
        <v>2</v>
      </c>
      <c r="E1073" s="7" t="n">
        <v>470.18</v>
      </c>
      <c r="F1073" s="7" t="n">
        <v>0</v>
      </c>
      <c r="G1073" s="7" t="n">
        <v>0</v>
      </c>
    </row>
    <row r="1074" customFormat="false" ht="15" hidden="false" customHeight="false" outlineLevel="0" collapsed="false">
      <c r="A1074" s="7" t="s">
        <v>24</v>
      </c>
      <c r="B1074" s="7" t="s">
        <v>547</v>
      </c>
      <c r="C1074" s="7" t="s">
        <v>1196</v>
      </c>
      <c r="D1074" s="7" t="n">
        <v>1</v>
      </c>
      <c r="E1074" s="7" t="n">
        <v>239.75</v>
      </c>
      <c r="F1074" s="7" t="n">
        <v>0</v>
      </c>
      <c r="G1074" s="7" t="n">
        <v>0</v>
      </c>
    </row>
    <row r="1075" customFormat="false" ht="15" hidden="false" customHeight="false" outlineLevel="0" collapsed="false">
      <c r="A1075" s="7" t="s">
        <v>24</v>
      </c>
      <c r="B1075" s="7" t="s">
        <v>547</v>
      </c>
      <c r="C1075" s="7" t="s">
        <v>1196</v>
      </c>
      <c r="D1075" s="7" t="n">
        <v>1</v>
      </c>
      <c r="E1075" s="7" t="n">
        <v>254.15</v>
      </c>
      <c r="F1075" s="7" t="n">
        <v>0</v>
      </c>
      <c r="G1075" s="7" t="n">
        <v>0</v>
      </c>
    </row>
    <row r="1076" customFormat="false" ht="15" hidden="false" customHeight="false" outlineLevel="0" collapsed="false">
      <c r="A1076" s="7" t="s">
        <v>24</v>
      </c>
      <c r="B1076" s="7" t="s">
        <v>547</v>
      </c>
      <c r="C1076" s="7" t="s">
        <v>1196</v>
      </c>
      <c r="D1076" s="7" t="n">
        <v>0</v>
      </c>
      <c r="E1076" s="7" t="n">
        <v>0</v>
      </c>
      <c r="F1076" s="7" t="n">
        <v>1</v>
      </c>
      <c r="G1076" s="7" t="n">
        <v>228.74</v>
      </c>
    </row>
    <row r="1077" customFormat="false" ht="15" hidden="false" customHeight="false" outlineLevel="0" collapsed="false">
      <c r="A1077" s="7" t="s">
        <v>24</v>
      </c>
      <c r="B1077" s="7" t="s">
        <v>574</v>
      </c>
      <c r="C1077" s="7" t="s">
        <v>1196</v>
      </c>
      <c r="D1077" s="7" t="n">
        <v>0</v>
      </c>
      <c r="E1077" s="7" t="n">
        <v>0</v>
      </c>
      <c r="F1077" s="7" t="n">
        <v>1</v>
      </c>
      <c r="G1077" s="7" t="n">
        <v>228.73</v>
      </c>
    </row>
    <row r="1078" customFormat="false" ht="15" hidden="false" customHeight="false" outlineLevel="0" collapsed="false">
      <c r="A1078" s="7" t="s">
        <v>24</v>
      </c>
      <c r="B1078" s="7" t="s">
        <v>794</v>
      </c>
      <c r="C1078" s="7" t="s">
        <v>1138</v>
      </c>
      <c r="D1078" s="7" t="n">
        <v>0</v>
      </c>
      <c r="E1078" s="7" t="n">
        <v>0</v>
      </c>
      <c r="F1078" s="7" t="n">
        <v>1</v>
      </c>
      <c r="G1078" s="7" t="n">
        <v>228.73</v>
      </c>
    </row>
    <row r="1079" customFormat="false" ht="15" hidden="false" customHeight="false" outlineLevel="0" collapsed="false">
      <c r="A1079" s="7" t="s">
        <v>24</v>
      </c>
      <c r="B1079" s="7" t="s">
        <v>794</v>
      </c>
      <c r="C1079" s="7" t="s">
        <v>1138</v>
      </c>
      <c r="D1079" s="7" t="n">
        <v>3</v>
      </c>
      <c r="E1079" s="7" t="n">
        <v>651.88</v>
      </c>
      <c r="F1079" s="7" t="n">
        <v>0</v>
      </c>
      <c r="G1079" s="7" t="n">
        <v>0</v>
      </c>
    </row>
    <row r="1080" customFormat="false" ht="15" hidden="false" customHeight="false" outlineLevel="0" collapsed="false">
      <c r="A1080" s="7" t="s">
        <v>24</v>
      </c>
      <c r="B1080" s="7" t="s">
        <v>794</v>
      </c>
      <c r="C1080" s="7" t="s">
        <v>1138</v>
      </c>
      <c r="D1080" s="7" t="n">
        <v>0</v>
      </c>
      <c r="E1080" s="7" t="n">
        <v>0</v>
      </c>
      <c r="F1080" s="7" t="n">
        <v>1</v>
      </c>
      <c r="G1080" s="7" t="n">
        <v>205.86</v>
      </c>
    </row>
    <row r="1081" customFormat="false" ht="15" hidden="false" customHeight="false" outlineLevel="0" collapsed="false">
      <c r="A1081" s="7" t="s">
        <v>24</v>
      </c>
      <c r="B1081" s="7" t="s">
        <v>794</v>
      </c>
      <c r="C1081" s="7" t="s">
        <v>1138</v>
      </c>
      <c r="D1081" s="7" t="n">
        <v>0</v>
      </c>
      <c r="E1081" s="7" t="n">
        <v>0</v>
      </c>
      <c r="F1081" s="7" t="n">
        <v>1</v>
      </c>
      <c r="G1081" s="7" t="n">
        <v>228.73</v>
      </c>
    </row>
    <row r="1082" customFormat="false" ht="15" hidden="false" customHeight="false" outlineLevel="0" collapsed="false">
      <c r="A1082" s="7" t="s">
        <v>24</v>
      </c>
      <c r="B1082" s="7" t="s">
        <v>323</v>
      </c>
      <c r="C1082" s="7" t="s">
        <v>1138</v>
      </c>
      <c r="D1082" s="7" t="n">
        <v>12</v>
      </c>
      <c r="E1082" s="7" t="n">
        <v>2550.34</v>
      </c>
      <c r="F1082" s="7" t="n">
        <v>6</v>
      </c>
      <c r="G1082" s="7" t="n">
        <v>1326.64</v>
      </c>
    </row>
    <row r="1083" customFormat="false" ht="15" hidden="false" customHeight="false" outlineLevel="0" collapsed="false">
      <c r="A1083" s="7" t="s">
        <v>24</v>
      </c>
      <c r="B1083" s="7" t="s">
        <v>323</v>
      </c>
      <c r="C1083" s="7" t="s">
        <v>1138</v>
      </c>
      <c r="D1083" s="7" t="n">
        <v>0</v>
      </c>
      <c r="E1083" s="7" t="n">
        <v>0</v>
      </c>
      <c r="F1083" s="7" t="n">
        <v>2</v>
      </c>
      <c r="G1083" s="7" t="n">
        <v>457.46</v>
      </c>
    </row>
    <row r="1084" customFormat="false" ht="15" hidden="false" customHeight="false" outlineLevel="0" collapsed="false">
      <c r="A1084" s="7" t="s">
        <v>24</v>
      </c>
      <c r="B1084" s="7" t="s">
        <v>323</v>
      </c>
      <c r="C1084" s="7" t="s">
        <v>1138</v>
      </c>
      <c r="D1084" s="7" t="n">
        <v>0</v>
      </c>
      <c r="E1084" s="7" t="n">
        <v>0</v>
      </c>
      <c r="F1084" s="7" t="n">
        <v>1</v>
      </c>
      <c r="G1084" s="7" t="n">
        <v>228.73</v>
      </c>
    </row>
    <row r="1085" customFormat="false" ht="15" hidden="false" customHeight="false" outlineLevel="0" collapsed="false">
      <c r="A1085" s="7" t="s">
        <v>24</v>
      </c>
      <c r="B1085" s="7" t="s">
        <v>323</v>
      </c>
      <c r="C1085" s="7" t="s">
        <v>1138</v>
      </c>
      <c r="D1085" s="7" t="n">
        <v>0</v>
      </c>
      <c r="E1085" s="7" t="n">
        <v>0</v>
      </c>
      <c r="F1085" s="7" t="n">
        <v>1</v>
      </c>
      <c r="G1085" s="7" t="n">
        <v>228.73</v>
      </c>
    </row>
    <row r="1086" customFormat="false" ht="15" hidden="false" customHeight="false" outlineLevel="0" collapsed="false">
      <c r="A1086" s="7" t="s">
        <v>24</v>
      </c>
      <c r="B1086" s="7" t="s">
        <v>323</v>
      </c>
      <c r="C1086" s="7" t="s">
        <v>1138</v>
      </c>
      <c r="D1086" s="7" t="n">
        <v>0</v>
      </c>
      <c r="E1086" s="7" t="n">
        <v>0</v>
      </c>
      <c r="F1086" s="7" t="n">
        <v>1</v>
      </c>
      <c r="G1086" s="7" t="n">
        <v>205.86</v>
      </c>
    </row>
    <row r="1087" customFormat="false" ht="15" hidden="false" customHeight="false" outlineLevel="0" collapsed="false">
      <c r="A1087" s="7" t="s">
        <v>24</v>
      </c>
      <c r="B1087" s="7" t="s">
        <v>323</v>
      </c>
      <c r="C1087" s="7" t="s">
        <v>1138</v>
      </c>
      <c r="D1087" s="7" t="n">
        <v>0</v>
      </c>
      <c r="E1087" s="7" t="n">
        <v>0</v>
      </c>
      <c r="F1087" s="7" t="n">
        <v>1</v>
      </c>
      <c r="G1087" s="7" t="n">
        <v>228.73</v>
      </c>
    </row>
    <row r="1088" customFormat="false" ht="15" hidden="false" customHeight="false" outlineLevel="0" collapsed="false">
      <c r="A1088" s="7" t="s">
        <v>24</v>
      </c>
      <c r="B1088" s="7" t="s">
        <v>323</v>
      </c>
      <c r="C1088" s="7" t="s">
        <v>1138</v>
      </c>
      <c r="D1088" s="7" t="n">
        <v>0</v>
      </c>
      <c r="E1088" s="7" t="n">
        <v>0</v>
      </c>
      <c r="F1088" s="7" t="n">
        <v>1</v>
      </c>
      <c r="G1088" s="7" t="n">
        <v>228.73</v>
      </c>
    </row>
    <row r="1089" customFormat="false" ht="15" hidden="false" customHeight="false" outlineLevel="0" collapsed="false">
      <c r="A1089" s="7" t="s">
        <v>24</v>
      </c>
      <c r="B1089" s="7" t="s">
        <v>323</v>
      </c>
      <c r="C1089" s="7" t="s">
        <v>1138</v>
      </c>
      <c r="D1089" s="7" t="n">
        <v>0</v>
      </c>
      <c r="E1089" s="7" t="n">
        <v>0</v>
      </c>
      <c r="F1089" s="7" t="n">
        <v>1</v>
      </c>
      <c r="G1089" s="7" t="n">
        <v>205.85</v>
      </c>
    </row>
    <row r="1090" customFormat="false" ht="15" hidden="false" customHeight="false" outlineLevel="0" collapsed="false">
      <c r="A1090" s="7" t="s">
        <v>24</v>
      </c>
      <c r="B1090" s="7" t="s">
        <v>323</v>
      </c>
      <c r="C1090" s="7" t="s">
        <v>1138</v>
      </c>
      <c r="D1090" s="7" t="n">
        <v>0</v>
      </c>
      <c r="E1090" s="7" t="n">
        <v>0</v>
      </c>
      <c r="F1090" s="7" t="n">
        <v>1</v>
      </c>
      <c r="G1090" s="7" t="n">
        <v>228.73</v>
      </c>
    </row>
    <row r="1091" customFormat="false" ht="15" hidden="false" customHeight="false" outlineLevel="0" collapsed="false">
      <c r="A1091" s="7" t="s">
        <v>24</v>
      </c>
      <c r="B1091" s="7" t="s">
        <v>220</v>
      </c>
      <c r="C1091" s="7" t="s">
        <v>1138</v>
      </c>
      <c r="D1091" s="7" t="n">
        <v>3</v>
      </c>
      <c r="E1091" s="7" t="n">
        <v>640.44</v>
      </c>
      <c r="F1091" s="7" t="n">
        <v>6</v>
      </c>
      <c r="G1091" s="7" t="n">
        <v>1326.64</v>
      </c>
    </row>
    <row r="1092" customFormat="false" ht="15" hidden="false" customHeight="false" outlineLevel="0" collapsed="false">
      <c r="A1092" s="7" t="s">
        <v>24</v>
      </c>
      <c r="B1092" s="7" t="s">
        <v>220</v>
      </c>
      <c r="C1092" s="7" t="s">
        <v>1138</v>
      </c>
      <c r="D1092" s="7" t="n">
        <v>0</v>
      </c>
      <c r="E1092" s="7" t="n">
        <v>0</v>
      </c>
      <c r="F1092" s="7" t="n">
        <v>1</v>
      </c>
      <c r="G1092" s="7" t="n">
        <v>228.73</v>
      </c>
    </row>
    <row r="1093" customFormat="false" ht="15" hidden="false" customHeight="false" outlineLevel="0" collapsed="false">
      <c r="A1093" s="7" t="s">
        <v>24</v>
      </c>
      <c r="B1093" s="7" t="s">
        <v>220</v>
      </c>
      <c r="C1093" s="7" t="s">
        <v>1138</v>
      </c>
      <c r="D1093" s="7" t="n">
        <v>0</v>
      </c>
      <c r="E1093" s="7" t="n">
        <v>0</v>
      </c>
      <c r="F1093" s="7" t="n">
        <v>1</v>
      </c>
      <c r="G1093" s="7" t="n">
        <v>205.86</v>
      </c>
    </row>
    <row r="1094" customFormat="false" ht="15" hidden="false" customHeight="false" outlineLevel="0" collapsed="false">
      <c r="A1094" s="7" t="s">
        <v>24</v>
      </c>
      <c r="B1094" s="7" t="s">
        <v>220</v>
      </c>
      <c r="C1094" s="7" t="s">
        <v>1138</v>
      </c>
      <c r="D1094" s="7" t="n">
        <v>0</v>
      </c>
      <c r="E1094" s="7" t="n">
        <v>0</v>
      </c>
      <c r="F1094" s="7" t="n">
        <v>1</v>
      </c>
      <c r="G1094" s="7" t="n">
        <v>228.73</v>
      </c>
    </row>
    <row r="1095" customFormat="false" ht="15" hidden="false" customHeight="false" outlineLevel="0" collapsed="false">
      <c r="A1095" s="7" t="s">
        <v>24</v>
      </c>
      <c r="B1095" s="7" t="s">
        <v>220</v>
      </c>
      <c r="C1095" s="7" t="s">
        <v>1138</v>
      </c>
      <c r="D1095" s="7" t="n">
        <v>0</v>
      </c>
      <c r="E1095" s="7" t="n">
        <v>0</v>
      </c>
      <c r="F1095" s="7" t="n">
        <v>1</v>
      </c>
      <c r="G1095" s="7" t="n">
        <v>228.73</v>
      </c>
    </row>
    <row r="1096" customFormat="false" ht="15" hidden="false" customHeight="false" outlineLevel="0" collapsed="false">
      <c r="A1096" s="7" t="s">
        <v>24</v>
      </c>
      <c r="B1096" s="7" t="s">
        <v>771</v>
      </c>
      <c r="C1096" s="7" t="s">
        <v>1197</v>
      </c>
      <c r="D1096" s="7" t="n">
        <v>0</v>
      </c>
      <c r="E1096" s="7" t="n">
        <v>0</v>
      </c>
      <c r="F1096" s="7" t="n">
        <v>1</v>
      </c>
      <c r="G1096" s="7" t="n">
        <v>503.31</v>
      </c>
    </row>
    <row r="1097" customFormat="false" ht="15" hidden="false" customHeight="false" outlineLevel="0" collapsed="false">
      <c r="A1097" s="7" t="s">
        <v>24</v>
      </c>
      <c r="B1097" s="7" t="s">
        <v>771</v>
      </c>
      <c r="C1097" s="7" t="s">
        <v>1197</v>
      </c>
      <c r="D1097" s="7" t="n">
        <v>1</v>
      </c>
      <c r="E1097" s="7" t="n">
        <v>475.35</v>
      </c>
      <c r="F1097" s="7" t="n">
        <v>0</v>
      </c>
      <c r="G1097" s="7" t="n">
        <v>0</v>
      </c>
    </row>
    <row r="1098" customFormat="false" ht="15" hidden="false" customHeight="false" outlineLevel="0" collapsed="false">
      <c r="A1098" s="7" t="s">
        <v>24</v>
      </c>
      <c r="B1098" s="7" t="s">
        <v>814</v>
      </c>
      <c r="C1098" s="7" t="s">
        <v>1197</v>
      </c>
      <c r="D1098" s="7" t="n">
        <v>0</v>
      </c>
      <c r="E1098" s="7" t="n">
        <v>0</v>
      </c>
      <c r="F1098" s="7" t="n">
        <v>1</v>
      </c>
      <c r="G1098" s="7" t="n">
        <v>559.24</v>
      </c>
    </row>
    <row r="1099" customFormat="false" ht="15" hidden="false" customHeight="false" outlineLevel="0" collapsed="false">
      <c r="A1099" s="7" t="s">
        <v>24</v>
      </c>
      <c r="B1099" s="7" t="s">
        <v>814</v>
      </c>
      <c r="C1099" s="7" t="s">
        <v>1197</v>
      </c>
      <c r="D1099" s="7" t="n">
        <v>1</v>
      </c>
      <c r="E1099" s="7" t="n">
        <v>559.24</v>
      </c>
      <c r="F1099" s="7" t="n">
        <v>0</v>
      </c>
      <c r="G1099" s="7" t="n">
        <v>0</v>
      </c>
    </row>
    <row r="1100" customFormat="false" ht="15" hidden="false" customHeight="false" outlineLevel="0" collapsed="false">
      <c r="A1100" s="7" t="s">
        <v>24</v>
      </c>
      <c r="B1100" s="7" t="s">
        <v>638</v>
      </c>
      <c r="C1100" s="7" t="s">
        <v>1139</v>
      </c>
      <c r="D1100" s="7" t="n">
        <v>3</v>
      </c>
      <c r="E1100" s="7" t="n">
        <v>162.22</v>
      </c>
      <c r="F1100" s="7" t="n">
        <v>0</v>
      </c>
      <c r="G1100" s="7" t="n">
        <v>0</v>
      </c>
    </row>
    <row r="1101" customFormat="false" ht="15" hidden="false" customHeight="false" outlineLevel="0" collapsed="false">
      <c r="A1101" s="7" t="s">
        <v>24</v>
      </c>
      <c r="B1101" s="7" t="s">
        <v>640</v>
      </c>
      <c r="C1101" s="7" t="s">
        <v>1139</v>
      </c>
      <c r="D1101" s="7" t="n">
        <v>4</v>
      </c>
      <c r="E1101" s="7" t="n">
        <v>219.29</v>
      </c>
      <c r="F1101" s="7" t="n">
        <v>1</v>
      </c>
      <c r="G1101" s="7" t="n">
        <v>60.08</v>
      </c>
    </row>
    <row r="1102" customFormat="false" ht="15" hidden="false" customHeight="false" outlineLevel="0" collapsed="false">
      <c r="A1102" s="7" t="s">
        <v>24</v>
      </c>
      <c r="B1102" s="7" t="s">
        <v>381</v>
      </c>
      <c r="C1102" s="7" t="s">
        <v>1139</v>
      </c>
      <c r="D1102" s="7" t="n">
        <v>10</v>
      </c>
      <c r="E1102" s="7" t="n">
        <v>576.77</v>
      </c>
      <c r="F1102" s="7" t="n">
        <v>0</v>
      </c>
      <c r="G1102" s="7" t="n">
        <v>0</v>
      </c>
    </row>
    <row r="1103" customFormat="false" ht="15" hidden="false" customHeight="false" outlineLevel="0" collapsed="false">
      <c r="A1103" s="7" t="s">
        <v>24</v>
      </c>
      <c r="B1103" s="7" t="s">
        <v>680</v>
      </c>
      <c r="C1103" s="7" t="s">
        <v>1139</v>
      </c>
      <c r="D1103" s="7" t="n">
        <v>2</v>
      </c>
      <c r="E1103" s="7" t="n">
        <v>120.16</v>
      </c>
      <c r="F1103" s="7" t="n">
        <v>0</v>
      </c>
      <c r="G1103" s="7" t="n">
        <v>0</v>
      </c>
    </row>
    <row r="1104" customFormat="false" ht="15" hidden="false" customHeight="false" outlineLevel="0" collapsed="false">
      <c r="A1104" s="7" t="s">
        <v>24</v>
      </c>
      <c r="B1104" s="7" t="s">
        <v>600</v>
      </c>
      <c r="C1104" s="7" t="s">
        <v>1139</v>
      </c>
      <c r="D1104" s="7" t="n">
        <v>4</v>
      </c>
      <c r="E1104" s="7" t="n">
        <v>198.27</v>
      </c>
      <c r="F1104" s="7" t="n">
        <v>0</v>
      </c>
      <c r="G1104" s="7" t="n">
        <v>0</v>
      </c>
    </row>
    <row r="1105" customFormat="false" ht="15" hidden="false" customHeight="false" outlineLevel="0" collapsed="false">
      <c r="A1105" s="7" t="s">
        <v>24</v>
      </c>
      <c r="B1105" s="7" t="s">
        <v>568</v>
      </c>
      <c r="C1105" s="7" t="s">
        <v>1198</v>
      </c>
      <c r="D1105" s="7" t="n">
        <v>0</v>
      </c>
      <c r="E1105" s="7" t="n">
        <v>0</v>
      </c>
      <c r="F1105" s="7" t="n">
        <v>1</v>
      </c>
      <c r="G1105" s="7" t="n">
        <v>76.19</v>
      </c>
    </row>
    <row r="1106" customFormat="false" ht="15" hidden="false" customHeight="false" outlineLevel="0" collapsed="false">
      <c r="A1106" s="7" t="s">
        <v>24</v>
      </c>
      <c r="B1106" s="7" t="s">
        <v>568</v>
      </c>
      <c r="C1106" s="7" t="s">
        <v>1198</v>
      </c>
      <c r="D1106" s="7" t="n">
        <v>0</v>
      </c>
      <c r="E1106" s="7" t="n">
        <v>0</v>
      </c>
      <c r="F1106" s="7" t="n">
        <v>1</v>
      </c>
      <c r="G1106" s="7" t="n">
        <v>84.66</v>
      </c>
    </row>
    <row r="1107" customFormat="false" ht="15" hidden="false" customHeight="false" outlineLevel="0" collapsed="false">
      <c r="A1107" s="7" t="s">
        <v>24</v>
      </c>
      <c r="B1107" s="7" t="s">
        <v>568</v>
      </c>
      <c r="C1107" s="7" t="s">
        <v>1198</v>
      </c>
      <c r="D1107" s="7" t="n">
        <v>0</v>
      </c>
      <c r="E1107" s="7" t="n">
        <v>0</v>
      </c>
      <c r="F1107" s="7" t="n">
        <v>1</v>
      </c>
      <c r="G1107" s="7" t="n">
        <v>76.19</v>
      </c>
    </row>
    <row r="1108" customFormat="false" ht="15" hidden="false" customHeight="false" outlineLevel="0" collapsed="false">
      <c r="A1108" s="7" t="s">
        <v>24</v>
      </c>
      <c r="B1108" s="7" t="s">
        <v>524</v>
      </c>
      <c r="C1108" s="7" t="s">
        <v>1140</v>
      </c>
      <c r="D1108" s="7" t="n">
        <v>4</v>
      </c>
      <c r="E1108" s="7" t="n">
        <v>266.22</v>
      </c>
      <c r="F1108" s="7" t="n">
        <v>4</v>
      </c>
      <c r="G1108" s="7" t="n">
        <v>280.6</v>
      </c>
    </row>
    <row r="1109" customFormat="false" ht="15" hidden="false" customHeight="false" outlineLevel="0" collapsed="false">
      <c r="A1109" s="7" t="s">
        <v>24</v>
      </c>
      <c r="B1109" s="7" t="s">
        <v>524</v>
      </c>
      <c r="C1109" s="7" t="s">
        <v>1140</v>
      </c>
      <c r="D1109" s="7" t="n">
        <v>0</v>
      </c>
      <c r="E1109" s="7" t="n">
        <v>0</v>
      </c>
      <c r="F1109" s="7" t="n">
        <v>1</v>
      </c>
      <c r="G1109" s="7" t="n">
        <v>71.95</v>
      </c>
    </row>
    <row r="1110" customFormat="false" ht="15" hidden="false" customHeight="false" outlineLevel="0" collapsed="false">
      <c r="A1110" s="7" t="s">
        <v>24</v>
      </c>
      <c r="B1110" s="7" t="s">
        <v>524</v>
      </c>
      <c r="C1110" s="7" t="s">
        <v>1140</v>
      </c>
      <c r="D1110" s="7" t="n">
        <v>0</v>
      </c>
      <c r="E1110" s="7" t="n">
        <v>0</v>
      </c>
      <c r="F1110" s="7" t="n">
        <v>1</v>
      </c>
      <c r="G1110" s="7" t="n">
        <v>71.95</v>
      </c>
    </row>
    <row r="1111" customFormat="false" ht="15" hidden="false" customHeight="false" outlineLevel="0" collapsed="false">
      <c r="A1111" s="7" t="s">
        <v>24</v>
      </c>
      <c r="B1111" s="7" t="s">
        <v>524</v>
      </c>
      <c r="C1111" s="7" t="s">
        <v>1140</v>
      </c>
      <c r="D1111" s="7" t="n">
        <v>0</v>
      </c>
      <c r="E1111" s="7" t="n">
        <v>0</v>
      </c>
      <c r="F1111" s="7" t="n">
        <v>2</v>
      </c>
      <c r="G1111" s="7" t="n">
        <v>143.9</v>
      </c>
    </row>
    <row r="1112" customFormat="false" ht="15" hidden="false" customHeight="false" outlineLevel="0" collapsed="false">
      <c r="A1112" s="7" t="s">
        <v>24</v>
      </c>
      <c r="B1112" s="7" t="s">
        <v>795</v>
      </c>
      <c r="C1112" s="7" t="s">
        <v>1140</v>
      </c>
      <c r="D1112" s="7" t="n">
        <v>1</v>
      </c>
      <c r="E1112" s="7" t="n">
        <v>68.56</v>
      </c>
      <c r="F1112" s="7" t="n">
        <v>0</v>
      </c>
      <c r="G1112" s="7" t="n">
        <v>0</v>
      </c>
    </row>
    <row r="1113" customFormat="false" ht="15" hidden="false" customHeight="false" outlineLevel="0" collapsed="false">
      <c r="A1113" s="7" t="s">
        <v>24</v>
      </c>
      <c r="B1113" s="7" t="s">
        <v>795</v>
      </c>
      <c r="C1113" s="7" t="s">
        <v>1140</v>
      </c>
      <c r="D1113" s="7" t="n">
        <v>0</v>
      </c>
      <c r="E1113" s="7" t="n">
        <v>0</v>
      </c>
      <c r="F1113" s="7" t="n">
        <v>1</v>
      </c>
      <c r="G1113" s="7" t="n">
        <v>71.95</v>
      </c>
    </row>
    <row r="1114" customFormat="false" ht="15" hidden="false" customHeight="false" outlineLevel="0" collapsed="false">
      <c r="A1114" s="7" t="s">
        <v>24</v>
      </c>
      <c r="B1114" s="7" t="s">
        <v>795</v>
      </c>
      <c r="C1114" s="7" t="s">
        <v>1140</v>
      </c>
      <c r="D1114" s="7" t="n">
        <v>7</v>
      </c>
      <c r="E1114" s="7" t="n">
        <v>489.26</v>
      </c>
      <c r="F1114" s="7" t="n">
        <v>5</v>
      </c>
      <c r="G1114" s="7" t="n">
        <v>352.55</v>
      </c>
    </row>
    <row r="1115" customFormat="false" ht="15" hidden="false" customHeight="false" outlineLevel="0" collapsed="false">
      <c r="A1115" s="7" t="s">
        <v>24</v>
      </c>
      <c r="B1115" s="7" t="s">
        <v>795</v>
      </c>
      <c r="C1115" s="7" t="s">
        <v>1140</v>
      </c>
      <c r="D1115" s="7" t="n">
        <v>0</v>
      </c>
      <c r="E1115" s="7" t="n">
        <v>0</v>
      </c>
      <c r="F1115" s="7" t="n">
        <v>1</v>
      </c>
      <c r="G1115" s="7" t="n">
        <v>71.95</v>
      </c>
    </row>
    <row r="1116" customFormat="false" ht="15" hidden="false" customHeight="false" outlineLevel="0" collapsed="false">
      <c r="A1116" s="7" t="s">
        <v>24</v>
      </c>
      <c r="B1116" s="7" t="s">
        <v>795</v>
      </c>
      <c r="C1116" s="7" t="s">
        <v>1140</v>
      </c>
      <c r="D1116" s="7" t="n">
        <v>0</v>
      </c>
      <c r="E1116" s="7" t="n">
        <v>0</v>
      </c>
      <c r="F1116" s="7" t="n">
        <v>1</v>
      </c>
      <c r="G1116" s="7" t="n">
        <v>71.95</v>
      </c>
    </row>
    <row r="1117" customFormat="false" ht="15" hidden="false" customHeight="false" outlineLevel="0" collapsed="false">
      <c r="A1117" s="7" t="s">
        <v>24</v>
      </c>
      <c r="B1117" s="7" t="s">
        <v>654</v>
      </c>
      <c r="C1117" s="7" t="s">
        <v>1140</v>
      </c>
      <c r="D1117" s="7" t="n">
        <v>3</v>
      </c>
      <c r="E1117" s="7" t="n">
        <v>205.06</v>
      </c>
      <c r="F1117" s="7" t="n">
        <v>4</v>
      </c>
      <c r="G1117" s="7" t="n">
        <v>273.41</v>
      </c>
    </row>
    <row r="1118" customFormat="false" ht="15" hidden="false" customHeight="false" outlineLevel="0" collapsed="false">
      <c r="A1118" s="7" t="s">
        <v>24</v>
      </c>
      <c r="B1118" s="7" t="s">
        <v>654</v>
      </c>
      <c r="C1118" s="7" t="s">
        <v>1140</v>
      </c>
      <c r="D1118" s="7" t="n">
        <v>0</v>
      </c>
      <c r="E1118" s="7" t="n">
        <v>0</v>
      </c>
      <c r="F1118" s="7" t="n">
        <v>1</v>
      </c>
      <c r="G1118" s="7" t="n">
        <v>71.95</v>
      </c>
    </row>
    <row r="1119" customFormat="false" ht="15" hidden="false" customHeight="false" outlineLevel="0" collapsed="false">
      <c r="A1119" s="7" t="s">
        <v>24</v>
      </c>
      <c r="B1119" s="7" t="s">
        <v>675</v>
      </c>
      <c r="C1119" s="7" t="s">
        <v>1140</v>
      </c>
      <c r="D1119" s="7" t="n">
        <v>3</v>
      </c>
      <c r="E1119" s="7" t="n">
        <v>194.26</v>
      </c>
      <c r="F1119" s="7" t="n">
        <v>1</v>
      </c>
      <c r="G1119" s="7" t="n">
        <v>64.76</v>
      </c>
    </row>
    <row r="1120" customFormat="false" ht="15" hidden="false" customHeight="false" outlineLevel="0" collapsed="false">
      <c r="A1120" s="7" t="s">
        <v>24</v>
      </c>
      <c r="B1120" s="7" t="s">
        <v>675</v>
      </c>
      <c r="C1120" s="7" t="s">
        <v>1140</v>
      </c>
      <c r="D1120" s="7" t="n">
        <v>0</v>
      </c>
      <c r="E1120" s="7" t="n">
        <v>0</v>
      </c>
      <c r="F1120" s="7" t="n">
        <v>1</v>
      </c>
      <c r="G1120" s="7" t="n">
        <v>71.95</v>
      </c>
    </row>
    <row r="1121" customFormat="false" ht="15" hidden="false" customHeight="false" outlineLevel="0" collapsed="false">
      <c r="A1121" s="7" t="s">
        <v>24</v>
      </c>
      <c r="B1121" s="7" t="s">
        <v>675</v>
      </c>
      <c r="C1121" s="7" t="s">
        <v>1140</v>
      </c>
      <c r="D1121" s="7" t="n">
        <v>1</v>
      </c>
      <c r="E1121" s="7" t="n">
        <v>68.56</v>
      </c>
      <c r="F1121" s="7" t="n">
        <v>0</v>
      </c>
      <c r="G1121" s="7" t="n">
        <v>0</v>
      </c>
    </row>
    <row r="1122" customFormat="false" ht="15" hidden="false" customHeight="false" outlineLevel="0" collapsed="false">
      <c r="A1122" s="7" t="s">
        <v>24</v>
      </c>
      <c r="B1122" s="7" t="s">
        <v>376</v>
      </c>
      <c r="C1122" s="7" t="s">
        <v>1199</v>
      </c>
      <c r="D1122" s="7" t="n">
        <v>0</v>
      </c>
      <c r="E1122" s="7" t="n">
        <v>0</v>
      </c>
      <c r="F1122" s="7" t="n">
        <v>1</v>
      </c>
      <c r="G1122" s="7" t="n">
        <v>62.64</v>
      </c>
    </row>
    <row r="1123" customFormat="false" ht="15" hidden="false" customHeight="false" outlineLevel="0" collapsed="false">
      <c r="A1123" s="7" t="s">
        <v>24</v>
      </c>
      <c r="B1123" s="7" t="s">
        <v>376</v>
      </c>
      <c r="C1123" s="7" t="s">
        <v>1199</v>
      </c>
      <c r="D1123" s="7" t="n">
        <v>0</v>
      </c>
      <c r="E1123" s="7" t="n">
        <v>0</v>
      </c>
      <c r="F1123" s="7" t="n">
        <v>1</v>
      </c>
      <c r="G1123" s="7" t="n">
        <v>67.71</v>
      </c>
    </row>
    <row r="1124" customFormat="false" ht="15" hidden="false" customHeight="false" outlineLevel="0" collapsed="false">
      <c r="A1124" s="7" t="s">
        <v>24</v>
      </c>
      <c r="B1124" s="7" t="s">
        <v>376</v>
      </c>
      <c r="C1124" s="7" t="s">
        <v>1199</v>
      </c>
      <c r="D1124" s="7" t="n">
        <v>0</v>
      </c>
      <c r="E1124" s="7" t="n">
        <v>0</v>
      </c>
      <c r="F1124" s="7" t="n">
        <v>1</v>
      </c>
      <c r="G1124" s="7" t="n">
        <v>57.56</v>
      </c>
    </row>
    <row r="1125" customFormat="false" ht="15" hidden="false" customHeight="false" outlineLevel="0" collapsed="false">
      <c r="A1125" s="7" t="s">
        <v>24</v>
      </c>
      <c r="B1125" s="7" t="s">
        <v>376</v>
      </c>
      <c r="C1125" s="7" t="s">
        <v>1199</v>
      </c>
      <c r="D1125" s="7" t="n">
        <v>0</v>
      </c>
      <c r="E1125" s="7" t="n">
        <v>0</v>
      </c>
      <c r="F1125" s="7" t="n">
        <v>1</v>
      </c>
      <c r="G1125" s="7" t="n">
        <v>57.56</v>
      </c>
    </row>
    <row r="1126" customFormat="false" ht="15" hidden="false" customHeight="false" outlineLevel="0" collapsed="false">
      <c r="A1126" s="7" t="s">
        <v>24</v>
      </c>
      <c r="B1126" s="7" t="s">
        <v>376</v>
      </c>
      <c r="C1126" s="7" t="s">
        <v>1199</v>
      </c>
      <c r="D1126" s="7" t="n">
        <v>8</v>
      </c>
      <c r="E1126" s="7" t="n">
        <v>511.21</v>
      </c>
      <c r="F1126" s="7" t="n">
        <v>9</v>
      </c>
      <c r="G1126" s="7" t="n">
        <v>582.31</v>
      </c>
    </row>
    <row r="1127" customFormat="false" ht="15" hidden="false" customHeight="false" outlineLevel="0" collapsed="false">
      <c r="A1127" s="7" t="s">
        <v>24</v>
      </c>
      <c r="B1127" s="7" t="s">
        <v>376</v>
      </c>
      <c r="C1127" s="7" t="s">
        <v>1199</v>
      </c>
      <c r="D1127" s="7" t="n">
        <v>2</v>
      </c>
      <c r="E1127" s="7" t="n">
        <v>120.16</v>
      </c>
      <c r="F1127" s="7" t="n">
        <v>0</v>
      </c>
      <c r="G1127" s="7" t="n">
        <v>0</v>
      </c>
    </row>
    <row r="1128" customFormat="false" ht="15" hidden="false" customHeight="false" outlineLevel="0" collapsed="false">
      <c r="A1128" s="7" t="s">
        <v>24</v>
      </c>
      <c r="B1128" s="7" t="s">
        <v>376</v>
      </c>
      <c r="C1128" s="7" t="s">
        <v>1199</v>
      </c>
      <c r="D1128" s="7" t="n">
        <v>0</v>
      </c>
      <c r="E1128" s="7" t="n">
        <v>0</v>
      </c>
      <c r="F1128" s="7" t="n">
        <v>1</v>
      </c>
      <c r="G1128" s="7" t="n">
        <v>62.64</v>
      </c>
    </row>
    <row r="1129" customFormat="false" ht="15" hidden="false" customHeight="false" outlineLevel="0" collapsed="false">
      <c r="A1129" s="7" t="s">
        <v>24</v>
      </c>
      <c r="B1129" s="7" t="s">
        <v>376</v>
      </c>
      <c r="C1129" s="7" t="s">
        <v>1199</v>
      </c>
      <c r="D1129" s="7" t="n">
        <v>0</v>
      </c>
      <c r="E1129" s="7" t="n">
        <v>0</v>
      </c>
      <c r="F1129" s="7" t="n">
        <v>1</v>
      </c>
      <c r="G1129" s="7" t="n">
        <v>67.71</v>
      </c>
    </row>
    <row r="1130" customFormat="false" ht="15" hidden="false" customHeight="false" outlineLevel="0" collapsed="false">
      <c r="A1130" s="7" t="s">
        <v>24</v>
      </c>
      <c r="B1130" s="7" t="s">
        <v>376</v>
      </c>
      <c r="C1130" s="7" t="s">
        <v>1199</v>
      </c>
      <c r="D1130" s="7" t="n">
        <v>0</v>
      </c>
      <c r="E1130" s="7" t="n">
        <v>0</v>
      </c>
      <c r="F1130" s="7" t="n">
        <v>2</v>
      </c>
      <c r="G1130" s="7" t="n">
        <v>125.27</v>
      </c>
    </row>
    <row r="1131" customFormat="false" ht="15" hidden="false" customHeight="false" outlineLevel="0" collapsed="false">
      <c r="A1131" s="7" t="s">
        <v>24</v>
      </c>
      <c r="B1131" s="7" t="s">
        <v>376</v>
      </c>
      <c r="C1131" s="7" t="s">
        <v>1199</v>
      </c>
      <c r="D1131" s="7" t="n">
        <v>0</v>
      </c>
      <c r="E1131" s="7" t="n">
        <v>0</v>
      </c>
      <c r="F1131" s="7" t="n">
        <v>1</v>
      </c>
      <c r="G1131" s="7" t="n">
        <v>60.94</v>
      </c>
    </row>
    <row r="1132" customFormat="false" ht="15" hidden="false" customHeight="false" outlineLevel="0" collapsed="false">
      <c r="A1132" s="7" t="s">
        <v>24</v>
      </c>
      <c r="B1132" s="7" t="s">
        <v>376</v>
      </c>
      <c r="C1132" s="7" t="s">
        <v>1199</v>
      </c>
      <c r="D1132" s="7" t="n">
        <v>0</v>
      </c>
      <c r="E1132" s="7" t="n">
        <v>0</v>
      </c>
      <c r="F1132" s="7" t="n">
        <v>1</v>
      </c>
      <c r="G1132" s="7" t="n">
        <v>67.71</v>
      </c>
    </row>
    <row r="1133" customFormat="false" ht="15" hidden="false" customHeight="false" outlineLevel="0" collapsed="false">
      <c r="A1133" s="7" t="s">
        <v>24</v>
      </c>
      <c r="B1133" s="7" t="s">
        <v>800</v>
      </c>
      <c r="C1133" s="7" t="s">
        <v>1199</v>
      </c>
      <c r="D1133" s="7" t="n">
        <v>0</v>
      </c>
      <c r="E1133" s="7" t="n">
        <v>0</v>
      </c>
      <c r="F1133" s="7" t="n">
        <v>1</v>
      </c>
      <c r="G1133" s="7" t="n">
        <v>67.71</v>
      </c>
    </row>
    <row r="1134" customFormat="false" ht="15" hidden="false" customHeight="false" outlineLevel="0" collapsed="false">
      <c r="A1134" s="7" t="s">
        <v>24</v>
      </c>
      <c r="B1134" s="7" t="s">
        <v>800</v>
      </c>
      <c r="C1134" s="7" t="s">
        <v>1199</v>
      </c>
      <c r="D1134" s="7" t="n">
        <v>0</v>
      </c>
      <c r="E1134" s="7" t="n">
        <v>0</v>
      </c>
      <c r="F1134" s="7" t="n">
        <v>1</v>
      </c>
      <c r="G1134" s="7" t="n">
        <v>67.72</v>
      </c>
    </row>
    <row r="1135" customFormat="false" ht="15" hidden="false" customHeight="false" outlineLevel="0" collapsed="false">
      <c r="A1135" s="7" t="s">
        <v>24</v>
      </c>
      <c r="B1135" s="7" t="s">
        <v>800</v>
      </c>
      <c r="C1135" s="7" t="s">
        <v>1199</v>
      </c>
      <c r="D1135" s="7" t="n">
        <v>0</v>
      </c>
      <c r="E1135" s="7" t="n">
        <v>0</v>
      </c>
      <c r="F1135" s="7" t="n">
        <v>2</v>
      </c>
      <c r="G1135" s="7" t="n">
        <v>125.27</v>
      </c>
    </row>
    <row r="1136" customFormat="false" ht="15" hidden="false" customHeight="false" outlineLevel="0" collapsed="false">
      <c r="A1136" s="7" t="s">
        <v>24</v>
      </c>
      <c r="B1136" s="7" t="s">
        <v>800</v>
      </c>
      <c r="C1136" s="7" t="s">
        <v>1199</v>
      </c>
      <c r="D1136" s="7" t="n">
        <v>0</v>
      </c>
      <c r="E1136" s="7" t="n">
        <v>0</v>
      </c>
      <c r="F1136" s="7" t="n">
        <v>1</v>
      </c>
      <c r="G1136" s="7" t="n">
        <v>57.56</v>
      </c>
    </row>
    <row r="1137" customFormat="false" ht="15" hidden="false" customHeight="false" outlineLevel="0" collapsed="false">
      <c r="A1137" s="7" t="s">
        <v>24</v>
      </c>
      <c r="B1137" s="7" t="s">
        <v>800</v>
      </c>
      <c r="C1137" s="7" t="s">
        <v>1199</v>
      </c>
      <c r="D1137" s="7" t="n">
        <v>32</v>
      </c>
      <c r="E1137" s="7" t="n">
        <v>1902.67</v>
      </c>
      <c r="F1137" s="7" t="n">
        <v>24</v>
      </c>
      <c r="G1137" s="7" t="n">
        <v>1520.09</v>
      </c>
    </row>
    <row r="1138" customFormat="false" ht="15" hidden="false" customHeight="false" outlineLevel="0" collapsed="false">
      <c r="A1138" s="7" t="s">
        <v>24</v>
      </c>
      <c r="B1138" s="7" t="s">
        <v>800</v>
      </c>
      <c r="C1138" s="7" t="s">
        <v>1199</v>
      </c>
      <c r="D1138" s="7" t="n">
        <v>0</v>
      </c>
      <c r="E1138" s="7" t="n">
        <v>0</v>
      </c>
      <c r="F1138" s="7" t="n">
        <v>1</v>
      </c>
      <c r="G1138" s="7" t="n">
        <v>60.94</v>
      </c>
    </row>
    <row r="1139" customFormat="false" ht="15" hidden="false" customHeight="false" outlineLevel="0" collapsed="false">
      <c r="A1139" s="7" t="s">
        <v>24</v>
      </c>
      <c r="B1139" s="7" t="s">
        <v>800</v>
      </c>
      <c r="C1139" s="7" t="s">
        <v>1199</v>
      </c>
      <c r="D1139" s="7" t="n">
        <v>0</v>
      </c>
      <c r="E1139" s="7" t="n">
        <v>0</v>
      </c>
      <c r="F1139" s="7" t="n">
        <v>1</v>
      </c>
      <c r="G1139" s="7" t="n">
        <v>67.72</v>
      </c>
    </row>
    <row r="1140" customFormat="false" ht="15" hidden="false" customHeight="false" outlineLevel="0" collapsed="false">
      <c r="A1140" s="7" t="s">
        <v>24</v>
      </c>
      <c r="B1140" s="7" t="s">
        <v>800</v>
      </c>
      <c r="C1140" s="7" t="s">
        <v>1199</v>
      </c>
      <c r="D1140" s="7" t="n">
        <v>0</v>
      </c>
      <c r="E1140" s="7" t="n">
        <v>0</v>
      </c>
      <c r="F1140" s="7" t="n">
        <v>1</v>
      </c>
      <c r="G1140" s="7" t="n">
        <v>67.71</v>
      </c>
    </row>
    <row r="1141" customFormat="false" ht="15" hidden="false" customHeight="false" outlineLevel="0" collapsed="false">
      <c r="A1141" s="7" t="s">
        <v>24</v>
      </c>
      <c r="B1141" s="7" t="s">
        <v>800</v>
      </c>
      <c r="C1141" s="7" t="s">
        <v>1199</v>
      </c>
      <c r="D1141" s="7" t="n">
        <v>1</v>
      </c>
      <c r="E1141" s="7" t="n">
        <v>55.19</v>
      </c>
      <c r="F1141" s="7" t="n">
        <v>0</v>
      </c>
      <c r="G1141" s="7" t="n">
        <v>0</v>
      </c>
    </row>
    <row r="1142" customFormat="false" ht="15" hidden="false" customHeight="false" outlineLevel="0" collapsed="false">
      <c r="A1142" s="7" t="s">
        <v>24</v>
      </c>
      <c r="B1142" s="7" t="s">
        <v>800</v>
      </c>
      <c r="C1142" s="7" t="s">
        <v>1199</v>
      </c>
      <c r="D1142" s="7" t="n">
        <v>0</v>
      </c>
      <c r="E1142" s="7" t="n">
        <v>0</v>
      </c>
      <c r="F1142" s="7" t="n">
        <v>1</v>
      </c>
      <c r="G1142" s="7" t="n">
        <v>67.71</v>
      </c>
    </row>
    <row r="1143" customFormat="false" ht="15" hidden="false" customHeight="false" outlineLevel="0" collapsed="false">
      <c r="A1143" s="7" t="s">
        <v>24</v>
      </c>
      <c r="B1143" s="7" t="s">
        <v>800</v>
      </c>
      <c r="C1143" s="7" t="s">
        <v>1199</v>
      </c>
      <c r="D1143" s="7" t="n">
        <v>0</v>
      </c>
      <c r="E1143" s="7" t="n">
        <v>0</v>
      </c>
      <c r="F1143" s="7" t="n">
        <v>1</v>
      </c>
      <c r="G1143" s="7" t="n">
        <v>60.94</v>
      </c>
    </row>
    <row r="1144" customFormat="false" ht="15" hidden="false" customHeight="false" outlineLevel="0" collapsed="false">
      <c r="A1144" s="7" t="s">
        <v>24</v>
      </c>
      <c r="B1144" s="7" t="s">
        <v>800</v>
      </c>
      <c r="C1144" s="7" t="s">
        <v>1199</v>
      </c>
      <c r="D1144" s="7" t="n">
        <v>0</v>
      </c>
      <c r="E1144" s="7" t="n">
        <v>0</v>
      </c>
      <c r="F1144" s="7" t="n">
        <v>1</v>
      </c>
      <c r="G1144" s="7" t="n">
        <v>67.71</v>
      </c>
    </row>
    <row r="1145" customFormat="false" ht="15" hidden="false" customHeight="false" outlineLevel="0" collapsed="false">
      <c r="A1145" s="7" t="s">
        <v>24</v>
      </c>
      <c r="B1145" s="7" t="s">
        <v>800</v>
      </c>
      <c r="C1145" s="7" t="s">
        <v>1199</v>
      </c>
      <c r="D1145" s="7" t="n">
        <v>10</v>
      </c>
      <c r="E1145" s="7" t="n">
        <v>573.77</v>
      </c>
      <c r="F1145" s="7" t="n">
        <v>0</v>
      </c>
      <c r="G1145" s="7" t="n">
        <v>0</v>
      </c>
    </row>
    <row r="1146" customFormat="false" ht="15" hidden="false" customHeight="false" outlineLevel="0" collapsed="false">
      <c r="A1146" s="7" t="s">
        <v>24</v>
      </c>
      <c r="B1146" s="7" t="s">
        <v>800</v>
      </c>
      <c r="C1146" s="7" t="s">
        <v>1199</v>
      </c>
      <c r="D1146" s="7" t="n">
        <v>0</v>
      </c>
      <c r="E1146" s="7" t="n">
        <v>0</v>
      </c>
      <c r="F1146" s="7" t="n">
        <v>1</v>
      </c>
      <c r="G1146" s="7" t="n">
        <v>57.56</v>
      </c>
    </row>
    <row r="1147" customFormat="false" ht="15" hidden="false" customHeight="false" outlineLevel="0" collapsed="false">
      <c r="A1147" s="7" t="s">
        <v>24</v>
      </c>
      <c r="B1147" s="7" t="s">
        <v>800</v>
      </c>
      <c r="C1147" s="7" t="s">
        <v>1199</v>
      </c>
      <c r="D1147" s="7" t="n">
        <v>0</v>
      </c>
      <c r="E1147" s="7" t="n">
        <v>0</v>
      </c>
      <c r="F1147" s="7" t="n">
        <v>1</v>
      </c>
      <c r="G1147" s="7" t="n">
        <v>62.63</v>
      </c>
    </row>
    <row r="1148" customFormat="false" ht="15" hidden="false" customHeight="false" outlineLevel="0" collapsed="false">
      <c r="A1148" s="7" t="s">
        <v>24</v>
      </c>
      <c r="B1148" s="7" t="s">
        <v>800</v>
      </c>
      <c r="C1148" s="7" t="s">
        <v>1199</v>
      </c>
      <c r="D1148" s="7" t="n">
        <v>0</v>
      </c>
      <c r="E1148" s="7" t="n">
        <v>0</v>
      </c>
      <c r="F1148" s="7" t="n">
        <v>2</v>
      </c>
      <c r="G1148" s="7" t="n">
        <v>125.27</v>
      </c>
    </row>
    <row r="1149" customFormat="false" ht="15" hidden="false" customHeight="false" outlineLevel="0" collapsed="false">
      <c r="A1149" s="7" t="s">
        <v>24</v>
      </c>
      <c r="B1149" s="7" t="s">
        <v>800</v>
      </c>
      <c r="C1149" s="7" t="s">
        <v>1199</v>
      </c>
      <c r="D1149" s="7" t="n">
        <v>0</v>
      </c>
      <c r="E1149" s="7" t="n">
        <v>0</v>
      </c>
      <c r="F1149" s="7" t="n">
        <v>1</v>
      </c>
      <c r="G1149" s="7" t="n">
        <v>60.94</v>
      </c>
    </row>
    <row r="1150" customFormat="false" ht="15" hidden="false" customHeight="false" outlineLevel="0" collapsed="false">
      <c r="A1150" s="7" t="s">
        <v>24</v>
      </c>
      <c r="B1150" s="7" t="s">
        <v>557</v>
      </c>
      <c r="C1150" s="7" t="s">
        <v>1199</v>
      </c>
      <c r="D1150" s="7" t="n">
        <v>4</v>
      </c>
      <c r="E1150" s="7" t="n">
        <v>231.31</v>
      </c>
      <c r="F1150" s="7" t="n">
        <v>0</v>
      </c>
      <c r="G1150" s="7" t="n">
        <v>0</v>
      </c>
    </row>
    <row r="1151" customFormat="false" ht="15" hidden="false" customHeight="false" outlineLevel="0" collapsed="false">
      <c r="A1151" s="7" t="s">
        <v>24</v>
      </c>
      <c r="B1151" s="7" t="s">
        <v>557</v>
      </c>
      <c r="C1151" s="7" t="s">
        <v>1199</v>
      </c>
      <c r="D1151" s="7" t="n">
        <v>27</v>
      </c>
      <c r="E1151" s="7" t="n">
        <v>1665.65</v>
      </c>
      <c r="F1151" s="7" t="n">
        <v>18</v>
      </c>
      <c r="G1151" s="7" t="n">
        <v>1127.36</v>
      </c>
    </row>
    <row r="1152" customFormat="false" ht="15" hidden="false" customHeight="false" outlineLevel="0" collapsed="false">
      <c r="A1152" s="7" t="s">
        <v>24</v>
      </c>
      <c r="B1152" s="7" t="s">
        <v>557</v>
      </c>
      <c r="C1152" s="7" t="s">
        <v>1199</v>
      </c>
      <c r="D1152" s="7" t="n">
        <v>0</v>
      </c>
      <c r="E1152" s="7" t="n">
        <v>0</v>
      </c>
      <c r="F1152" s="7" t="n">
        <v>1</v>
      </c>
      <c r="G1152" s="7" t="n">
        <v>67.71</v>
      </c>
    </row>
    <row r="1153" customFormat="false" ht="15" hidden="false" customHeight="false" outlineLevel="0" collapsed="false">
      <c r="A1153" s="7" t="s">
        <v>24</v>
      </c>
      <c r="B1153" s="7" t="s">
        <v>557</v>
      </c>
      <c r="C1153" s="7" t="s">
        <v>1199</v>
      </c>
      <c r="D1153" s="7" t="n">
        <v>0</v>
      </c>
      <c r="E1153" s="7" t="n">
        <v>0</v>
      </c>
      <c r="F1153" s="7" t="n">
        <v>1</v>
      </c>
      <c r="G1153" s="7" t="n">
        <v>67.72</v>
      </c>
    </row>
    <row r="1154" customFormat="false" ht="15" hidden="false" customHeight="false" outlineLevel="0" collapsed="false">
      <c r="A1154" s="7" t="s">
        <v>24</v>
      </c>
      <c r="B1154" s="7" t="s">
        <v>557</v>
      </c>
      <c r="C1154" s="7" t="s">
        <v>1199</v>
      </c>
      <c r="D1154" s="7" t="n">
        <v>0</v>
      </c>
      <c r="E1154" s="7" t="n">
        <v>0</v>
      </c>
      <c r="F1154" s="7" t="n">
        <v>1</v>
      </c>
      <c r="G1154" s="7" t="n">
        <v>67.71</v>
      </c>
    </row>
    <row r="1155" customFormat="false" ht="15" hidden="false" customHeight="false" outlineLevel="0" collapsed="false">
      <c r="A1155" s="7" t="s">
        <v>24</v>
      </c>
      <c r="B1155" s="7" t="s">
        <v>557</v>
      </c>
      <c r="C1155" s="7" t="s">
        <v>1199</v>
      </c>
      <c r="D1155" s="7" t="n">
        <v>0</v>
      </c>
      <c r="E1155" s="7" t="n">
        <v>0</v>
      </c>
      <c r="F1155" s="7" t="n">
        <v>1</v>
      </c>
      <c r="G1155" s="7" t="n">
        <v>67.71</v>
      </c>
    </row>
    <row r="1156" customFormat="false" ht="15" hidden="false" customHeight="false" outlineLevel="0" collapsed="false">
      <c r="A1156" s="7" t="s">
        <v>24</v>
      </c>
      <c r="B1156" s="7" t="s">
        <v>557</v>
      </c>
      <c r="C1156" s="7" t="s">
        <v>1199</v>
      </c>
      <c r="D1156" s="7" t="n">
        <v>0</v>
      </c>
      <c r="E1156" s="7" t="n">
        <v>0</v>
      </c>
      <c r="F1156" s="7" t="n">
        <v>2</v>
      </c>
      <c r="G1156" s="7" t="n">
        <v>121.89</v>
      </c>
    </row>
    <row r="1157" customFormat="false" ht="15" hidden="false" customHeight="false" outlineLevel="0" collapsed="false">
      <c r="A1157" s="7" t="s">
        <v>24</v>
      </c>
      <c r="B1157" s="7" t="s">
        <v>557</v>
      </c>
      <c r="C1157" s="7" t="s">
        <v>1199</v>
      </c>
      <c r="D1157" s="7" t="n">
        <v>0</v>
      </c>
      <c r="E1157" s="7" t="n">
        <v>0</v>
      </c>
      <c r="F1157" s="7" t="n">
        <v>1</v>
      </c>
      <c r="G1157" s="7" t="n">
        <v>67.71</v>
      </c>
    </row>
    <row r="1158" customFormat="false" ht="15" hidden="false" customHeight="false" outlineLevel="0" collapsed="false">
      <c r="A1158" s="7" t="s">
        <v>24</v>
      </c>
      <c r="B1158" s="7" t="s">
        <v>557</v>
      </c>
      <c r="C1158" s="7" t="s">
        <v>1199</v>
      </c>
      <c r="D1158" s="7" t="n">
        <v>0</v>
      </c>
      <c r="E1158" s="7" t="n">
        <v>0</v>
      </c>
      <c r="F1158" s="7" t="n">
        <v>1</v>
      </c>
      <c r="G1158" s="7" t="n">
        <v>60.94</v>
      </c>
    </row>
    <row r="1159" customFormat="false" ht="15" hidden="false" customHeight="false" outlineLevel="0" collapsed="false">
      <c r="A1159" s="7" t="s">
        <v>24</v>
      </c>
      <c r="B1159" s="7" t="s">
        <v>730</v>
      </c>
      <c r="C1159" s="7" t="s">
        <v>1199</v>
      </c>
      <c r="D1159" s="7" t="n">
        <v>0</v>
      </c>
      <c r="E1159" s="7" t="n">
        <v>0</v>
      </c>
      <c r="F1159" s="7" t="n">
        <v>1</v>
      </c>
      <c r="G1159" s="7" t="n">
        <v>67.71</v>
      </c>
    </row>
    <row r="1160" customFormat="false" ht="15" hidden="false" customHeight="false" outlineLevel="0" collapsed="false">
      <c r="A1160" s="7" t="s">
        <v>24</v>
      </c>
      <c r="B1160" s="7" t="s">
        <v>730</v>
      </c>
      <c r="C1160" s="7" t="s">
        <v>1199</v>
      </c>
      <c r="D1160" s="7" t="n">
        <v>0</v>
      </c>
      <c r="E1160" s="7" t="n">
        <v>0</v>
      </c>
      <c r="F1160" s="7" t="n">
        <v>1</v>
      </c>
      <c r="G1160" s="7" t="n">
        <v>67.71</v>
      </c>
    </row>
    <row r="1161" customFormat="false" ht="15" hidden="false" customHeight="false" outlineLevel="0" collapsed="false">
      <c r="A1161" s="7" t="s">
        <v>24</v>
      </c>
      <c r="B1161" s="7" t="s">
        <v>730</v>
      </c>
      <c r="C1161" s="7" t="s">
        <v>1199</v>
      </c>
      <c r="D1161" s="7" t="n">
        <v>8</v>
      </c>
      <c r="E1161" s="7" t="n">
        <v>507.82</v>
      </c>
      <c r="F1161" s="7" t="n">
        <v>4</v>
      </c>
      <c r="G1161" s="7" t="n">
        <v>260.68</v>
      </c>
    </row>
    <row r="1162" customFormat="false" ht="15" hidden="false" customHeight="false" outlineLevel="0" collapsed="false">
      <c r="A1162" s="7" t="s">
        <v>24</v>
      </c>
      <c r="B1162" s="7" t="s">
        <v>730</v>
      </c>
      <c r="C1162" s="7" t="s">
        <v>1199</v>
      </c>
      <c r="D1162" s="7" t="n">
        <v>0</v>
      </c>
      <c r="E1162" s="7" t="n">
        <v>0</v>
      </c>
      <c r="F1162" s="7" t="n">
        <v>1</v>
      </c>
      <c r="G1162" s="7" t="n">
        <v>62.64</v>
      </c>
    </row>
    <row r="1163" customFormat="false" ht="15" hidden="false" customHeight="false" outlineLevel="0" collapsed="false">
      <c r="A1163" s="7" t="s">
        <v>24</v>
      </c>
      <c r="B1163" s="7" t="s">
        <v>730</v>
      </c>
      <c r="C1163" s="7" t="s">
        <v>1199</v>
      </c>
      <c r="D1163" s="7" t="n">
        <v>0</v>
      </c>
      <c r="E1163" s="7" t="n">
        <v>0</v>
      </c>
      <c r="F1163" s="7" t="n">
        <v>1</v>
      </c>
      <c r="G1163" s="7" t="n">
        <v>60.94</v>
      </c>
    </row>
    <row r="1164" customFormat="false" ht="15" hidden="false" customHeight="false" outlineLevel="0" collapsed="false">
      <c r="A1164" s="7" t="s">
        <v>24</v>
      </c>
      <c r="B1164" s="7" t="s">
        <v>730</v>
      </c>
      <c r="C1164" s="7" t="s">
        <v>1199</v>
      </c>
      <c r="D1164" s="7" t="n">
        <v>0</v>
      </c>
      <c r="E1164" s="7" t="n">
        <v>0</v>
      </c>
      <c r="F1164" s="7" t="n">
        <v>1</v>
      </c>
      <c r="G1164" s="7" t="n">
        <v>60.94</v>
      </c>
    </row>
    <row r="1165" customFormat="false" ht="15" hidden="false" customHeight="false" outlineLevel="0" collapsed="false">
      <c r="A1165" s="7" t="s">
        <v>24</v>
      </c>
      <c r="B1165" s="7" t="s">
        <v>221</v>
      </c>
      <c r="C1165" s="7" t="s">
        <v>1200</v>
      </c>
      <c r="D1165" s="7" t="n">
        <v>0</v>
      </c>
      <c r="E1165" s="7" t="n">
        <v>0</v>
      </c>
      <c r="F1165" s="7" t="n">
        <v>1</v>
      </c>
      <c r="G1165" s="7" t="n">
        <v>71.95</v>
      </c>
    </row>
    <row r="1166" customFormat="false" ht="15" hidden="false" customHeight="false" outlineLevel="0" collapsed="false">
      <c r="A1166" s="7" t="s">
        <v>24</v>
      </c>
      <c r="B1166" s="7" t="s">
        <v>221</v>
      </c>
      <c r="C1166" s="7" t="s">
        <v>1200</v>
      </c>
      <c r="D1166" s="7" t="n">
        <v>0</v>
      </c>
      <c r="E1166" s="7" t="n">
        <v>0</v>
      </c>
      <c r="F1166" s="7" t="n">
        <v>1</v>
      </c>
      <c r="G1166" s="7" t="n">
        <v>61.17</v>
      </c>
    </row>
    <row r="1167" customFormat="false" ht="15" hidden="false" customHeight="false" outlineLevel="0" collapsed="false">
      <c r="A1167" s="7" t="s">
        <v>24</v>
      </c>
      <c r="B1167" s="7" t="s">
        <v>221</v>
      </c>
      <c r="C1167" s="7" t="s">
        <v>1200</v>
      </c>
      <c r="D1167" s="7" t="n">
        <v>0</v>
      </c>
      <c r="E1167" s="7" t="n">
        <v>0</v>
      </c>
      <c r="F1167" s="7" t="n">
        <v>1</v>
      </c>
      <c r="G1167" s="7" t="n">
        <v>71.95</v>
      </c>
    </row>
    <row r="1168" customFormat="false" ht="15" hidden="false" customHeight="false" outlineLevel="0" collapsed="false">
      <c r="A1168" s="7" t="s">
        <v>24</v>
      </c>
      <c r="B1168" s="7" t="s">
        <v>221</v>
      </c>
      <c r="C1168" s="7" t="s">
        <v>1200</v>
      </c>
      <c r="D1168" s="7" t="n">
        <v>0</v>
      </c>
      <c r="E1168" s="7" t="n">
        <v>0</v>
      </c>
      <c r="F1168" s="7" t="n">
        <v>2</v>
      </c>
      <c r="G1168" s="7" t="n">
        <v>143.9</v>
      </c>
    </row>
    <row r="1169" customFormat="false" ht="15" hidden="false" customHeight="false" outlineLevel="0" collapsed="false">
      <c r="A1169" s="7" t="s">
        <v>24</v>
      </c>
      <c r="B1169" s="7" t="s">
        <v>221</v>
      </c>
      <c r="C1169" s="7" t="s">
        <v>1200</v>
      </c>
      <c r="D1169" s="7" t="n">
        <v>0</v>
      </c>
      <c r="E1169" s="7" t="n">
        <v>0</v>
      </c>
      <c r="F1169" s="7" t="n">
        <v>4</v>
      </c>
      <c r="G1169" s="7" t="n">
        <v>266.24</v>
      </c>
    </row>
    <row r="1170" customFormat="false" ht="15" hidden="false" customHeight="false" outlineLevel="0" collapsed="false">
      <c r="A1170" s="7" t="s">
        <v>24</v>
      </c>
      <c r="B1170" s="7" t="s">
        <v>221</v>
      </c>
      <c r="C1170" s="7" t="s">
        <v>1200</v>
      </c>
      <c r="D1170" s="7" t="n">
        <v>0</v>
      </c>
      <c r="E1170" s="7" t="n">
        <v>0</v>
      </c>
      <c r="F1170" s="7" t="n">
        <v>1</v>
      </c>
      <c r="G1170" s="7" t="n">
        <v>71.95</v>
      </c>
    </row>
    <row r="1171" customFormat="false" ht="15" hidden="false" customHeight="false" outlineLevel="0" collapsed="false">
      <c r="A1171" s="7" t="s">
        <v>24</v>
      </c>
      <c r="B1171" s="7" t="s">
        <v>221</v>
      </c>
      <c r="C1171" s="7" t="s">
        <v>1200</v>
      </c>
      <c r="D1171" s="7" t="n">
        <v>0</v>
      </c>
      <c r="E1171" s="7" t="n">
        <v>0</v>
      </c>
      <c r="F1171" s="7" t="n">
        <v>2</v>
      </c>
      <c r="G1171" s="7" t="n">
        <v>143.9</v>
      </c>
    </row>
    <row r="1172" customFormat="false" ht="15" hidden="false" customHeight="false" outlineLevel="0" collapsed="false">
      <c r="A1172" s="7" t="s">
        <v>24</v>
      </c>
      <c r="B1172" s="7" t="s">
        <v>221</v>
      </c>
      <c r="C1172" s="7" t="s">
        <v>1200</v>
      </c>
      <c r="D1172" s="7" t="n">
        <v>0</v>
      </c>
      <c r="E1172" s="7" t="n">
        <v>0</v>
      </c>
      <c r="F1172" s="7" t="n">
        <v>1</v>
      </c>
      <c r="G1172" s="7" t="n">
        <v>64.75</v>
      </c>
    </row>
    <row r="1173" customFormat="false" ht="15" hidden="false" customHeight="false" outlineLevel="0" collapsed="false">
      <c r="A1173" s="7" t="s">
        <v>24</v>
      </c>
      <c r="B1173" s="7" t="s">
        <v>221</v>
      </c>
      <c r="C1173" s="7" t="s">
        <v>1200</v>
      </c>
      <c r="D1173" s="7" t="n">
        <v>0</v>
      </c>
      <c r="E1173" s="7" t="n">
        <v>0</v>
      </c>
      <c r="F1173" s="7" t="n">
        <v>1</v>
      </c>
      <c r="G1173" s="7" t="n">
        <v>71.95</v>
      </c>
    </row>
    <row r="1174" customFormat="false" ht="15" hidden="false" customHeight="false" outlineLevel="0" collapsed="false">
      <c r="A1174" s="7" t="s">
        <v>24</v>
      </c>
      <c r="B1174" s="7" t="s">
        <v>221</v>
      </c>
      <c r="C1174" s="7" t="s">
        <v>1200</v>
      </c>
      <c r="D1174" s="7" t="n">
        <v>0</v>
      </c>
      <c r="E1174" s="7" t="n">
        <v>0</v>
      </c>
      <c r="F1174" s="7" t="n">
        <v>1</v>
      </c>
      <c r="G1174" s="7" t="n">
        <v>66.56</v>
      </c>
    </row>
    <row r="1175" customFormat="false" ht="15" hidden="false" customHeight="false" outlineLevel="0" collapsed="false">
      <c r="A1175" s="7" t="s">
        <v>24</v>
      </c>
      <c r="B1175" s="7" t="s">
        <v>221</v>
      </c>
      <c r="C1175" s="7" t="s">
        <v>1200</v>
      </c>
      <c r="D1175" s="7" t="n">
        <v>3</v>
      </c>
      <c r="E1175" s="7" t="n">
        <v>192.96</v>
      </c>
      <c r="F1175" s="7" t="n">
        <v>0</v>
      </c>
      <c r="G1175" s="7" t="n">
        <v>0</v>
      </c>
    </row>
    <row r="1176" customFormat="false" ht="15" hidden="false" customHeight="false" outlineLevel="0" collapsed="false">
      <c r="A1176" s="7" t="s">
        <v>24</v>
      </c>
      <c r="B1176" s="7" t="s">
        <v>221</v>
      </c>
      <c r="C1176" s="7" t="s">
        <v>1200</v>
      </c>
      <c r="D1176" s="7" t="n">
        <v>0</v>
      </c>
      <c r="E1176" s="7" t="n">
        <v>0</v>
      </c>
      <c r="F1176" s="7" t="n">
        <v>1</v>
      </c>
      <c r="G1176" s="7" t="n">
        <v>64.75</v>
      </c>
    </row>
    <row r="1177" customFormat="false" ht="15" hidden="false" customHeight="false" outlineLevel="0" collapsed="false">
      <c r="A1177" s="7" t="s">
        <v>24</v>
      </c>
      <c r="B1177" s="7" t="s">
        <v>221</v>
      </c>
      <c r="C1177" s="7" t="s">
        <v>1200</v>
      </c>
      <c r="D1177" s="7" t="n">
        <v>23</v>
      </c>
      <c r="E1177" s="7" t="n">
        <v>1510.95</v>
      </c>
      <c r="F1177" s="7" t="n">
        <v>23</v>
      </c>
      <c r="G1177" s="7" t="n">
        <v>1572.08</v>
      </c>
    </row>
    <row r="1178" customFormat="false" ht="15" hidden="false" customHeight="false" outlineLevel="0" collapsed="false">
      <c r="A1178" s="7" t="s">
        <v>24</v>
      </c>
      <c r="B1178" s="7" t="s">
        <v>221</v>
      </c>
      <c r="C1178" s="7" t="s">
        <v>1200</v>
      </c>
      <c r="D1178" s="7" t="n">
        <v>0</v>
      </c>
      <c r="E1178" s="7" t="n">
        <v>0</v>
      </c>
      <c r="F1178" s="7" t="n">
        <v>1</v>
      </c>
      <c r="G1178" s="7" t="n">
        <v>71.95</v>
      </c>
    </row>
    <row r="1179" customFormat="false" ht="15" hidden="false" customHeight="false" outlineLevel="0" collapsed="false">
      <c r="A1179" s="7" t="s">
        <v>24</v>
      </c>
      <c r="B1179" s="7" t="s">
        <v>221</v>
      </c>
      <c r="C1179" s="7" t="s">
        <v>1200</v>
      </c>
      <c r="D1179" s="7" t="n">
        <v>0</v>
      </c>
      <c r="E1179" s="7" t="n">
        <v>0</v>
      </c>
      <c r="F1179" s="7" t="n">
        <v>1</v>
      </c>
      <c r="G1179" s="7" t="n">
        <v>61.17</v>
      </c>
    </row>
    <row r="1180" customFormat="false" ht="15" hidden="false" customHeight="false" outlineLevel="0" collapsed="false">
      <c r="A1180" s="7" t="s">
        <v>24</v>
      </c>
      <c r="B1180" s="7" t="s">
        <v>221</v>
      </c>
      <c r="C1180" s="7" t="s">
        <v>1200</v>
      </c>
      <c r="D1180" s="7" t="n">
        <v>0</v>
      </c>
      <c r="E1180" s="7" t="n">
        <v>0</v>
      </c>
      <c r="F1180" s="7" t="n">
        <v>2</v>
      </c>
      <c r="G1180" s="7" t="n">
        <v>133.12</v>
      </c>
    </row>
    <row r="1181" customFormat="false" ht="15" hidden="false" customHeight="false" outlineLevel="0" collapsed="false">
      <c r="A1181" s="7" t="s">
        <v>24</v>
      </c>
      <c r="B1181" s="7" t="s">
        <v>221</v>
      </c>
      <c r="C1181" s="7" t="s">
        <v>1200</v>
      </c>
      <c r="D1181" s="7" t="n">
        <v>0</v>
      </c>
      <c r="E1181" s="7" t="n">
        <v>0</v>
      </c>
      <c r="F1181" s="7" t="n">
        <v>1</v>
      </c>
      <c r="G1181" s="7" t="n">
        <v>71.95</v>
      </c>
    </row>
    <row r="1182" customFormat="false" ht="15" hidden="false" customHeight="false" outlineLevel="0" collapsed="false">
      <c r="A1182" s="7" t="s">
        <v>24</v>
      </c>
      <c r="B1182" s="7" t="s">
        <v>221</v>
      </c>
      <c r="C1182" s="7" t="s">
        <v>1200</v>
      </c>
      <c r="D1182" s="7" t="n">
        <v>0</v>
      </c>
      <c r="E1182" s="7" t="n">
        <v>0</v>
      </c>
      <c r="F1182" s="7" t="n">
        <v>1</v>
      </c>
      <c r="G1182" s="7" t="n">
        <v>61.16</v>
      </c>
    </row>
    <row r="1183" customFormat="false" ht="15" hidden="false" customHeight="false" outlineLevel="0" collapsed="false">
      <c r="A1183" s="7" t="s">
        <v>24</v>
      </c>
      <c r="B1183" s="7" t="s">
        <v>221</v>
      </c>
      <c r="C1183" s="7" t="s">
        <v>1200</v>
      </c>
      <c r="D1183" s="7" t="n">
        <v>0</v>
      </c>
      <c r="E1183" s="7" t="n">
        <v>0</v>
      </c>
      <c r="F1183" s="7" t="n">
        <v>1</v>
      </c>
      <c r="G1183" s="7" t="n">
        <v>71.95</v>
      </c>
    </row>
    <row r="1184" customFormat="false" ht="15" hidden="false" customHeight="false" outlineLevel="0" collapsed="false">
      <c r="A1184" s="7" t="s">
        <v>24</v>
      </c>
      <c r="B1184" s="7" t="s">
        <v>221</v>
      </c>
      <c r="C1184" s="7" t="s">
        <v>1200</v>
      </c>
      <c r="D1184" s="7" t="n">
        <v>0</v>
      </c>
      <c r="E1184" s="7" t="n">
        <v>0</v>
      </c>
      <c r="F1184" s="7" t="n">
        <v>1</v>
      </c>
      <c r="G1184" s="7" t="n">
        <v>49.35</v>
      </c>
    </row>
    <row r="1185" customFormat="false" ht="15" hidden="false" customHeight="false" outlineLevel="0" collapsed="false">
      <c r="A1185" s="7" t="s">
        <v>24</v>
      </c>
      <c r="B1185" s="7" t="s">
        <v>221</v>
      </c>
      <c r="C1185" s="7" t="s">
        <v>1200</v>
      </c>
      <c r="D1185" s="7" t="n">
        <v>0</v>
      </c>
      <c r="E1185" s="7" t="n">
        <v>0</v>
      </c>
      <c r="F1185" s="7" t="n">
        <v>1</v>
      </c>
      <c r="G1185" s="7" t="n">
        <v>71.95</v>
      </c>
    </row>
    <row r="1186" customFormat="false" ht="15" hidden="false" customHeight="false" outlineLevel="0" collapsed="false">
      <c r="A1186" s="7" t="s">
        <v>24</v>
      </c>
      <c r="B1186" s="7" t="s">
        <v>246</v>
      </c>
      <c r="C1186" s="7" t="s">
        <v>1200</v>
      </c>
      <c r="D1186" s="7" t="n">
        <v>0</v>
      </c>
      <c r="E1186" s="7" t="n">
        <v>0</v>
      </c>
      <c r="F1186" s="7" t="n">
        <v>2</v>
      </c>
      <c r="G1186" s="7" t="n">
        <v>133.12</v>
      </c>
    </row>
    <row r="1187" customFormat="false" ht="15" hidden="false" customHeight="false" outlineLevel="0" collapsed="false">
      <c r="A1187" s="7" t="s">
        <v>24</v>
      </c>
      <c r="B1187" s="7" t="s">
        <v>246</v>
      </c>
      <c r="C1187" s="7" t="s">
        <v>1200</v>
      </c>
      <c r="D1187" s="7" t="n">
        <v>0</v>
      </c>
      <c r="E1187" s="7" t="n">
        <v>0</v>
      </c>
      <c r="F1187" s="7" t="n">
        <v>1</v>
      </c>
      <c r="G1187" s="7" t="n">
        <v>61.16</v>
      </c>
    </row>
    <row r="1188" customFormat="false" ht="15" hidden="false" customHeight="false" outlineLevel="0" collapsed="false">
      <c r="A1188" s="7" t="s">
        <v>24</v>
      </c>
      <c r="B1188" s="7" t="s">
        <v>246</v>
      </c>
      <c r="C1188" s="7" t="s">
        <v>1200</v>
      </c>
      <c r="D1188" s="7" t="n">
        <v>0</v>
      </c>
      <c r="E1188" s="7" t="n">
        <v>0</v>
      </c>
      <c r="F1188" s="7" t="n">
        <v>1</v>
      </c>
      <c r="G1188" s="7" t="n">
        <v>61.16</v>
      </c>
    </row>
    <row r="1189" customFormat="false" ht="15" hidden="false" customHeight="false" outlineLevel="0" collapsed="false">
      <c r="A1189" s="7" t="s">
        <v>24</v>
      </c>
      <c r="B1189" s="7" t="s">
        <v>246</v>
      </c>
      <c r="C1189" s="7" t="s">
        <v>1200</v>
      </c>
      <c r="D1189" s="7" t="n">
        <v>0</v>
      </c>
      <c r="E1189" s="7" t="n">
        <v>0</v>
      </c>
      <c r="F1189" s="7" t="n">
        <v>1</v>
      </c>
      <c r="G1189" s="7" t="n">
        <v>71.95</v>
      </c>
    </row>
    <row r="1190" customFormat="false" ht="15" hidden="false" customHeight="false" outlineLevel="0" collapsed="false">
      <c r="A1190" s="7" t="s">
        <v>24</v>
      </c>
      <c r="B1190" s="7" t="s">
        <v>246</v>
      </c>
      <c r="C1190" s="7" t="s">
        <v>1200</v>
      </c>
      <c r="D1190" s="7" t="n">
        <v>0</v>
      </c>
      <c r="E1190" s="7" t="n">
        <v>0</v>
      </c>
      <c r="F1190" s="7" t="n">
        <v>1</v>
      </c>
      <c r="G1190" s="7" t="n">
        <v>71.95</v>
      </c>
    </row>
    <row r="1191" customFormat="false" ht="15" hidden="false" customHeight="false" outlineLevel="0" collapsed="false">
      <c r="A1191" s="7" t="s">
        <v>24</v>
      </c>
      <c r="B1191" s="7" t="s">
        <v>246</v>
      </c>
      <c r="C1191" s="7" t="s">
        <v>1200</v>
      </c>
      <c r="D1191" s="7" t="n">
        <v>0</v>
      </c>
      <c r="E1191" s="7" t="n">
        <v>0</v>
      </c>
      <c r="F1191" s="7" t="n">
        <v>1</v>
      </c>
      <c r="G1191" s="7" t="n">
        <v>71.94</v>
      </c>
    </row>
    <row r="1192" customFormat="false" ht="15" hidden="false" customHeight="false" outlineLevel="0" collapsed="false">
      <c r="A1192" s="7" t="s">
        <v>24</v>
      </c>
      <c r="B1192" s="7" t="s">
        <v>246</v>
      </c>
      <c r="C1192" s="7" t="s">
        <v>1200</v>
      </c>
      <c r="D1192" s="7" t="n">
        <v>0</v>
      </c>
      <c r="E1192" s="7" t="n">
        <v>0</v>
      </c>
      <c r="F1192" s="7" t="n">
        <v>1</v>
      </c>
      <c r="G1192" s="7" t="n">
        <v>64.75</v>
      </c>
    </row>
    <row r="1193" customFormat="false" ht="15" hidden="false" customHeight="false" outlineLevel="0" collapsed="false">
      <c r="A1193" s="7" t="s">
        <v>24</v>
      </c>
      <c r="B1193" s="7" t="s">
        <v>246</v>
      </c>
      <c r="C1193" s="7" t="s">
        <v>1200</v>
      </c>
      <c r="D1193" s="7" t="n">
        <v>0</v>
      </c>
      <c r="E1193" s="7" t="n">
        <v>0</v>
      </c>
      <c r="F1193" s="7" t="n">
        <v>1</v>
      </c>
      <c r="G1193" s="7" t="n">
        <v>71.94</v>
      </c>
    </row>
    <row r="1194" customFormat="false" ht="15" hidden="false" customHeight="false" outlineLevel="0" collapsed="false">
      <c r="A1194" s="7" t="s">
        <v>24</v>
      </c>
      <c r="B1194" s="7" t="s">
        <v>246</v>
      </c>
      <c r="C1194" s="7" t="s">
        <v>1200</v>
      </c>
      <c r="D1194" s="7" t="n">
        <v>0</v>
      </c>
      <c r="E1194" s="7" t="n">
        <v>0</v>
      </c>
      <c r="F1194" s="7" t="n">
        <v>2</v>
      </c>
      <c r="G1194" s="7" t="n">
        <v>133.12</v>
      </c>
    </row>
    <row r="1195" customFormat="false" ht="15" hidden="false" customHeight="false" outlineLevel="0" collapsed="false">
      <c r="A1195" s="7" t="s">
        <v>24</v>
      </c>
      <c r="B1195" s="7" t="s">
        <v>246</v>
      </c>
      <c r="C1195" s="7" t="s">
        <v>1200</v>
      </c>
      <c r="D1195" s="7" t="n">
        <v>0</v>
      </c>
      <c r="E1195" s="7" t="n">
        <v>0</v>
      </c>
      <c r="F1195" s="7" t="n">
        <v>1</v>
      </c>
      <c r="G1195" s="7" t="n">
        <v>71.95</v>
      </c>
    </row>
    <row r="1196" customFormat="false" ht="15" hidden="false" customHeight="false" outlineLevel="0" collapsed="false">
      <c r="A1196" s="7" t="s">
        <v>24</v>
      </c>
      <c r="B1196" s="7" t="s">
        <v>246</v>
      </c>
      <c r="C1196" s="7" t="s">
        <v>1200</v>
      </c>
      <c r="D1196" s="7" t="n">
        <v>0</v>
      </c>
      <c r="E1196" s="7" t="n">
        <v>0</v>
      </c>
      <c r="F1196" s="7" t="n">
        <v>1</v>
      </c>
      <c r="G1196" s="7" t="n">
        <v>71.95</v>
      </c>
    </row>
    <row r="1197" customFormat="false" ht="15" hidden="false" customHeight="false" outlineLevel="0" collapsed="false">
      <c r="A1197" s="7" t="s">
        <v>24</v>
      </c>
      <c r="B1197" s="7" t="s">
        <v>246</v>
      </c>
      <c r="C1197" s="7" t="s">
        <v>1200</v>
      </c>
      <c r="D1197" s="7" t="n">
        <v>0</v>
      </c>
      <c r="E1197" s="7" t="n">
        <v>0</v>
      </c>
      <c r="F1197" s="7" t="n">
        <v>1</v>
      </c>
      <c r="G1197" s="7" t="n">
        <v>71.95</v>
      </c>
    </row>
    <row r="1198" customFormat="false" ht="15" hidden="false" customHeight="false" outlineLevel="0" collapsed="false">
      <c r="A1198" s="7" t="s">
        <v>24</v>
      </c>
      <c r="B1198" s="7" t="s">
        <v>246</v>
      </c>
      <c r="C1198" s="7" t="s">
        <v>1200</v>
      </c>
      <c r="D1198" s="7" t="n">
        <v>0</v>
      </c>
      <c r="E1198" s="7" t="n">
        <v>0</v>
      </c>
      <c r="F1198" s="7" t="n">
        <v>1</v>
      </c>
      <c r="G1198" s="7" t="n">
        <v>71.95</v>
      </c>
    </row>
    <row r="1199" customFormat="false" ht="15" hidden="false" customHeight="false" outlineLevel="0" collapsed="false">
      <c r="A1199" s="7" t="s">
        <v>24</v>
      </c>
      <c r="B1199" s="7" t="s">
        <v>246</v>
      </c>
      <c r="C1199" s="7" t="s">
        <v>1200</v>
      </c>
      <c r="D1199" s="7" t="n">
        <v>0</v>
      </c>
      <c r="E1199" s="7" t="n">
        <v>0</v>
      </c>
      <c r="F1199" s="7" t="n">
        <v>2</v>
      </c>
      <c r="G1199" s="7" t="n">
        <v>129.5</v>
      </c>
    </row>
    <row r="1200" customFormat="false" ht="15" hidden="false" customHeight="false" outlineLevel="0" collapsed="false">
      <c r="A1200" s="7" t="s">
        <v>24</v>
      </c>
      <c r="B1200" s="7" t="s">
        <v>246</v>
      </c>
      <c r="C1200" s="7" t="s">
        <v>1200</v>
      </c>
      <c r="D1200" s="7" t="n">
        <v>0</v>
      </c>
      <c r="E1200" s="7" t="n">
        <v>0</v>
      </c>
      <c r="F1200" s="7" t="n">
        <v>1</v>
      </c>
      <c r="G1200" s="7" t="n">
        <v>71.95</v>
      </c>
    </row>
    <row r="1201" customFormat="false" ht="15" hidden="false" customHeight="false" outlineLevel="0" collapsed="false">
      <c r="A1201" s="7" t="s">
        <v>24</v>
      </c>
      <c r="B1201" s="7" t="s">
        <v>246</v>
      </c>
      <c r="C1201" s="7" t="s">
        <v>1200</v>
      </c>
      <c r="D1201" s="7" t="n">
        <v>0</v>
      </c>
      <c r="E1201" s="7" t="n">
        <v>0</v>
      </c>
      <c r="F1201" s="7" t="n">
        <v>1</v>
      </c>
      <c r="G1201" s="7" t="n">
        <v>66.56</v>
      </c>
    </row>
    <row r="1202" customFormat="false" ht="15" hidden="false" customHeight="false" outlineLevel="0" collapsed="false">
      <c r="A1202" s="7" t="s">
        <v>24</v>
      </c>
      <c r="B1202" s="7" t="s">
        <v>246</v>
      </c>
      <c r="C1202" s="7" t="s">
        <v>1200</v>
      </c>
      <c r="D1202" s="7" t="n">
        <v>0</v>
      </c>
      <c r="E1202" s="7" t="n">
        <v>0</v>
      </c>
      <c r="F1202" s="7" t="n">
        <v>2</v>
      </c>
      <c r="G1202" s="7" t="n">
        <v>122.32</v>
      </c>
    </row>
    <row r="1203" customFormat="false" ht="15" hidden="false" customHeight="false" outlineLevel="0" collapsed="false">
      <c r="A1203" s="7" t="s">
        <v>24</v>
      </c>
      <c r="B1203" s="7" t="s">
        <v>246</v>
      </c>
      <c r="C1203" s="7" t="s">
        <v>1200</v>
      </c>
      <c r="D1203" s="7" t="n">
        <v>0</v>
      </c>
      <c r="E1203" s="7" t="n">
        <v>0</v>
      </c>
      <c r="F1203" s="7" t="n">
        <v>2</v>
      </c>
      <c r="G1203" s="7" t="n">
        <v>133.12</v>
      </c>
    </row>
    <row r="1204" customFormat="false" ht="15" hidden="false" customHeight="false" outlineLevel="0" collapsed="false">
      <c r="A1204" s="7" t="s">
        <v>24</v>
      </c>
      <c r="B1204" s="7" t="s">
        <v>246</v>
      </c>
      <c r="C1204" s="7" t="s">
        <v>1200</v>
      </c>
      <c r="D1204" s="7" t="n">
        <v>51</v>
      </c>
      <c r="E1204" s="7" t="n">
        <v>3298.94</v>
      </c>
      <c r="F1204" s="7" t="n">
        <v>35</v>
      </c>
      <c r="G1204" s="7" t="n">
        <v>2385.13</v>
      </c>
    </row>
    <row r="1205" customFormat="false" ht="15" hidden="false" customHeight="false" outlineLevel="0" collapsed="false">
      <c r="A1205" s="7" t="s">
        <v>24</v>
      </c>
      <c r="B1205" s="7" t="s">
        <v>246</v>
      </c>
      <c r="C1205" s="7" t="s">
        <v>1200</v>
      </c>
      <c r="D1205" s="7" t="n">
        <v>0</v>
      </c>
      <c r="E1205" s="7" t="n">
        <v>0</v>
      </c>
      <c r="F1205" s="7" t="n">
        <v>1</v>
      </c>
      <c r="G1205" s="7" t="n">
        <v>64.76</v>
      </c>
    </row>
    <row r="1206" customFormat="false" ht="15" hidden="false" customHeight="false" outlineLevel="0" collapsed="false">
      <c r="A1206" s="7" t="s">
        <v>24</v>
      </c>
      <c r="B1206" s="7" t="s">
        <v>246</v>
      </c>
      <c r="C1206" s="7" t="s">
        <v>1200</v>
      </c>
      <c r="D1206" s="7" t="n">
        <v>0</v>
      </c>
      <c r="E1206" s="7" t="n">
        <v>0</v>
      </c>
      <c r="F1206" s="7" t="n">
        <v>2</v>
      </c>
      <c r="G1206" s="7" t="n">
        <v>143.9</v>
      </c>
    </row>
    <row r="1207" customFormat="false" ht="15" hidden="false" customHeight="false" outlineLevel="0" collapsed="false">
      <c r="A1207" s="7" t="s">
        <v>24</v>
      </c>
      <c r="B1207" s="7" t="s">
        <v>246</v>
      </c>
      <c r="C1207" s="7" t="s">
        <v>1200</v>
      </c>
      <c r="D1207" s="7" t="n">
        <v>0</v>
      </c>
      <c r="E1207" s="7" t="n">
        <v>0</v>
      </c>
      <c r="F1207" s="7" t="n">
        <v>1</v>
      </c>
      <c r="G1207" s="7" t="n">
        <v>71.95</v>
      </c>
    </row>
    <row r="1208" customFormat="false" ht="15" hidden="false" customHeight="false" outlineLevel="0" collapsed="false">
      <c r="A1208" s="7" t="s">
        <v>24</v>
      </c>
      <c r="B1208" s="7" t="s">
        <v>246</v>
      </c>
      <c r="C1208" s="7" t="s">
        <v>1200</v>
      </c>
      <c r="D1208" s="7" t="n">
        <v>0</v>
      </c>
      <c r="E1208" s="7" t="n">
        <v>0</v>
      </c>
      <c r="F1208" s="7" t="n">
        <v>2</v>
      </c>
      <c r="G1208" s="7" t="n">
        <v>129.51</v>
      </c>
    </row>
    <row r="1209" customFormat="false" ht="15" hidden="false" customHeight="false" outlineLevel="0" collapsed="false">
      <c r="A1209" s="7" t="s">
        <v>24</v>
      </c>
      <c r="B1209" s="7" t="s">
        <v>246</v>
      </c>
      <c r="C1209" s="7" t="s">
        <v>1200</v>
      </c>
      <c r="D1209" s="7" t="n">
        <v>0</v>
      </c>
      <c r="E1209" s="7" t="n">
        <v>0</v>
      </c>
      <c r="F1209" s="7" t="n">
        <v>2</v>
      </c>
      <c r="G1209" s="7" t="n">
        <v>133.12</v>
      </c>
    </row>
    <row r="1210" customFormat="false" ht="15" hidden="false" customHeight="false" outlineLevel="0" collapsed="false">
      <c r="A1210" s="7" t="s">
        <v>24</v>
      </c>
      <c r="B1210" s="7" t="s">
        <v>246</v>
      </c>
      <c r="C1210" s="7" t="s">
        <v>1200</v>
      </c>
      <c r="D1210" s="7" t="n">
        <v>0</v>
      </c>
      <c r="E1210" s="7" t="n">
        <v>0</v>
      </c>
      <c r="F1210" s="7" t="n">
        <v>1</v>
      </c>
      <c r="G1210" s="7" t="n">
        <v>61.17</v>
      </c>
    </row>
    <row r="1211" customFormat="false" ht="15" hidden="false" customHeight="false" outlineLevel="0" collapsed="false">
      <c r="A1211" s="7" t="s">
        <v>24</v>
      </c>
      <c r="B1211" s="7" t="s">
        <v>246</v>
      </c>
      <c r="C1211" s="7" t="s">
        <v>1200</v>
      </c>
      <c r="D1211" s="7" t="n">
        <v>0</v>
      </c>
      <c r="E1211" s="7" t="n">
        <v>0</v>
      </c>
      <c r="F1211" s="7" t="n">
        <v>3</v>
      </c>
      <c r="G1211" s="7" t="n">
        <v>201.46</v>
      </c>
    </row>
    <row r="1212" customFormat="false" ht="15" hidden="false" customHeight="false" outlineLevel="0" collapsed="false">
      <c r="A1212" s="7" t="s">
        <v>24</v>
      </c>
      <c r="B1212" s="7" t="s">
        <v>246</v>
      </c>
      <c r="C1212" s="7" t="s">
        <v>1200</v>
      </c>
      <c r="D1212" s="7" t="n">
        <v>0</v>
      </c>
      <c r="E1212" s="7" t="n">
        <v>0</v>
      </c>
      <c r="F1212" s="7" t="n">
        <v>1</v>
      </c>
      <c r="G1212" s="7" t="n">
        <v>64.76</v>
      </c>
    </row>
    <row r="1213" customFormat="false" ht="15" hidden="false" customHeight="false" outlineLevel="0" collapsed="false">
      <c r="A1213" s="7" t="s">
        <v>24</v>
      </c>
      <c r="B1213" s="7" t="s">
        <v>246</v>
      </c>
      <c r="C1213" s="7" t="s">
        <v>1200</v>
      </c>
      <c r="D1213" s="7" t="n">
        <v>14</v>
      </c>
      <c r="E1213" s="7" t="n">
        <v>871.53</v>
      </c>
      <c r="F1213" s="7" t="n">
        <v>0</v>
      </c>
      <c r="G1213" s="7" t="n">
        <v>0</v>
      </c>
    </row>
    <row r="1214" customFormat="false" ht="15" hidden="false" customHeight="false" outlineLevel="0" collapsed="false">
      <c r="A1214" s="7" t="s">
        <v>24</v>
      </c>
      <c r="B1214" s="7" t="s">
        <v>246</v>
      </c>
      <c r="C1214" s="7" t="s">
        <v>1200</v>
      </c>
      <c r="D1214" s="7" t="n">
        <v>0</v>
      </c>
      <c r="E1214" s="7" t="n">
        <v>0</v>
      </c>
      <c r="F1214" s="7" t="n">
        <v>2</v>
      </c>
      <c r="G1214" s="7" t="n">
        <v>136.71</v>
      </c>
    </row>
    <row r="1215" customFormat="false" ht="15" hidden="false" customHeight="false" outlineLevel="0" collapsed="false">
      <c r="A1215" s="7" t="s">
        <v>24</v>
      </c>
      <c r="B1215" s="7" t="s">
        <v>246</v>
      </c>
      <c r="C1215" s="7" t="s">
        <v>1200</v>
      </c>
      <c r="D1215" s="7" t="n">
        <v>2</v>
      </c>
      <c r="E1215" s="7" t="n">
        <v>0.02</v>
      </c>
      <c r="F1215" s="7" t="n">
        <v>0</v>
      </c>
      <c r="G1215" s="7" t="n">
        <v>0</v>
      </c>
    </row>
    <row r="1216" customFormat="false" ht="15" hidden="false" customHeight="false" outlineLevel="0" collapsed="false">
      <c r="A1216" s="7" t="s">
        <v>24</v>
      </c>
      <c r="B1216" s="7" t="s">
        <v>246</v>
      </c>
      <c r="C1216" s="7" t="s">
        <v>1200</v>
      </c>
      <c r="D1216" s="7" t="n">
        <v>0</v>
      </c>
      <c r="E1216" s="7" t="n">
        <v>0</v>
      </c>
      <c r="F1216" s="7" t="n">
        <v>2</v>
      </c>
      <c r="G1216" s="7" t="n">
        <v>133.12</v>
      </c>
    </row>
    <row r="1217" customFormat="false" ht="15" hidden="false" customHeight="false" outlineLevel="0" collapsed="false">
      <c r="A1217" s="7" t="s">
        <v>24</v>
      </c>
      <c r="B1217" s="7" t="s">
        <v>246</v>
      </c>
      <c r="C1217" s="7" t="s">
        <v>1200</v>
      </c>
      <c r="D1217" s="7" t="n">
        <v>0</v>
      </c>
      <c r="E1217" s="7" t="n">
        <v>0</v>
      </c>
      <c r="F1217" s="7" t="n">
        <v>1</v>
      </c>
      <c r="G1217" s="7" t="n">
        <v>66.56</v>
      </c>
    </row>
    <row r="1218" customFormat="false" ht="15" hidden="false" customHeight="false" outlineLevel="0" collapsed="false">
      <c r="A1218" s="7" t="s">
        <v>24</v>
      </c>
      <c r="B1218" s="7" t="s">
        <v>246</v>
      </c>
      <c r="C1218" s="7" t="s">
        <v>1200</v>
      </c>
      <c r="D1218" s="7" t="n">
        <v>0</v>
      </c>
      <c r="E1218" s="7" t="n">
        <v>0</v>
      </c>
      <c r="F1218" s="7" t="n">
        <v>4</v>
      </c>
      <c r="G1218" s="7" t="n">
        <v>266.24</v>
      </c>
    </row>
    <row r="1219" customFormat="false" ht="15" hidden="false" customHeight="false" outlineLevel="0" collapsed="false">
      <c r="A1219" s="7" t="s">
        <v>24</v>
      </c>
      <c r="B1219" s="7" t="s">
        <v>246</v>
      </c>
      <c r="C1219" s="7" t="s">
        <v>1200</v>
      </c>
      <c r="D1219" s="7" t="n">
        <v>0</v>
      </c>
      <c r="E1219" s="7" t="n">
        <v>0</v>
      </c>
      <c r="F1219" s="7" t="n">
        <v>1</v>
      </c>
      <c r="G1219" s="7" t="n">
        <v>64.75</v>
      </c>
    </row>
    <row r="1220" customFormat="false" ht="15" hidden="false" customHeight="false" outlineLevel="0" collapsed="false">
      <c r="A1220" s="7" t="s">
        <v>24</v>
      </c>
      <c r="B1220" s="7" t="s">
        <v>198</v>
      </c>
      <c r="C1220" s="7" t="s">
        <v>1200</v>
      </c>
      <c r="D1220" s="7" t="n">
        <v>0</v>
      </c>
      <c r="E1220" s="7" t="n">
        <v>0</v>
      </c>
      <c r="F1220" s="7" t="n">
        <v>1</v>
      </c>
      <c r="G1220" s="7" t="n">
        <v>71.95</v>
      </c>
    </row>
    <row r="1221" customFormat="false" ht="15" hidden="false" customHeight="false" outlineLevel="0" collapsed="false">
      <c r="A1221" s="7" t="s">
        <v>24</v>
      </c>
      <c r="B1221" s="7" t="s">
        <v>198</v>
      </c>
      <c r="C1221" s="7" t="s">
        <v>1200</v>
      </c>
      <c r="D1221" s="7" t="n">
        <v>0</v>
      </c>
      <c r="E1221" s="7" t="n">
        <v>0</v>
      </c>
      <c r="F1221" s="7" t="n">
        <v>2</v>
      </c>
      <c r="G1221" s="7" t="n">
        <v>133.12</v>
      </c>
    </row>
    <row r="1222" customFormat="false" ht="15" hidden="false" customHeight="false" outlineLevel="0" collapsed="false">
      <c r="A1222" s="7" t="s">
        <v>24</v>
      </c>
      <c r="B1222" s="7" t="s">
        <v>198</v>
      </c>
      <c r="C1222" s="7" t="s">
        <v>1200</v>
      </c>
      <c r="D1222" s="7" t="n">
        <v>10</v>
      </c>
      <c r="E1222" s="7" t="n">
        <v>575.65</v>
      </c>
      <c r="F1222" s="7" t="n">
        <v>0</v>
      </c>
      <c r="G1222" s="7" t="n">
        <v>0</v>
      </c>
    </row>
    <row r="1223" customFormat="false" ht="15" hidden="false" customHeight="false" outlineLevel="0" collapsed="false">
      <c r="A1223" s="7" t="s">
        <v>24</v>
      </c>
      <c r="B1223" s="7" t="s">
        <v>198</v>
      </c>
      <c r="C1223" s="7" t="s">
        <v>1200</v>
      </c>
      <c r="D1223" s="7" t="n">
        <v>0</v>
      </c>
      <c r="E1223" s="7" t="n">
        <v>0</v>
      </c>
      <c r="F1223" s="7" t="n">
        <v>1</v>
      </c>
      <c r="G1223" s="7" t="n">
        <v>71.95</v>
      </c>
    </row>
    <row r="1224" customFormat="false" ht="15" hidden="false" customHeight="false" outlineLevel="0" collapsed="false">
      <c r="A1224" s="7" t="s">
        <v>24</v>
      </c>
      <c r="B1224" s="7" t="s">
        <v>198</v>
      </c>
      <c r="C1224" s="7" t="s">
        <v>1200</v>
      </c>
      <c r="D1224" s="7" t="n">
        <v>0</v>
      </c>
      <c r="E1224" s="7" t="n">
        <v>0</v>
      </c>
      <c r="F1224" s="7" t="n">
        <v>1</v>
      </c>
      <c r="G1224" s="7" t="n">
        <v>64.76</v>
      </c>
    </row>
    <row r="1225" customFormat="false" ht="15" hidden="false" customHeight="false" outlineLevel="0" collapsed="false">
      <c r="A1225" s="7" t="s">
        <v>24</v>
      </c>
      <c r="B1225" s="7" t="s">
        <v>198</v>
      </c>
      <c r="C1225" s="7" t="s">
        <v>1200</v>
      </c>
      <c r="D1225" s="7" t="n">
        <v>0</v>
      </c>
      <c r="E1225" s="7" t="n">
        <v>0</v>
      </c>
      <c r="F1225" s="7" t="n">
        <v>1</v>
      </c>
      <c r="G1225" s="7" t="n">
        <v>71.95</v>
      </c>
    </row>
    <row r="1226" customFormat="false" ht="15" hidden="false" customHeight="false" outlineLevel="0" collapsed="false">
      <c r="A1226" s="7" t="s">
        <v>24</v>
      </c>
      <c r="B1226" s="7" t="s">
        <v>198</v>
      </c>
      <c r="C1226" s="7" t="s">
        <v>1200</v>
      </c>
      <c r="D1226" s="7" t="n">
        <v>0</v>
      </c>
      <c r="E1226" s="7" t="n">
        <v>0</v>
      </c>
      <c r="F1226" s="7" t="n">
        <v>1</v>
      </c>
      <c r="G1226" s="7" t="n">
        <v>64.75</v>
      </c>
    </row>
    <row r="1227" customFormat="false" ht="15" hidden="false" customHeight="false" outlineLevel="0" collapsed="false">
      <c r="A1227" s="7" t="s">
        <v>24</v>
      </c>
      <c r="B1227" s="7" t="s">
        <v>198</v>
      </c>
      <c r="C1227" s="7" t="s">
        <v>1200</v>
      </c>
      <c r="D1227" s="7" t="n">
        <v>51</v>
      </c>
      <c r="E1227" s="7" t="n">
        <v>3295.31</v>
      </c>
      <c r="F1227" s="7" t="n">
        <v>49</v>
      </c>
      <c r="G1227" s="7" t="n">
        <v>3367.26</v>
      </c>
    </row>
    <row r="1228" customFormat="false" ht="15" hidden="false" customHeight="false" outlineLevel="0" collapsed="false">
      <c r="A1228" s="7" t="s">
        <v>24</v>
      </c>
      <c r="B1228" s="7" t="s">
        <v>198</v>
      </c>
      <c r="C1228" s="7" t="s">
        <v>1200</v>
      </c>
      <c r="D1228" s="7" t="n">
        <v>0</v>
      </c>
      <c r="E1228" s="7" t="n">
        <v>0</v>
      </c>
      <c r="F1228" s="7" t="n">
        <v>1</v>
      </c>
      <c r="G1228" s="7" t="n">
        <v>64.75</v>
      </c>
    </row>
    <row r="1229" customFormat="false" ht="15" hidden="false" customHeight="false" outlineLevel="0" collapsed="false">
      <c r="A1229" s="7" t="s">
        <v>24</v>
      </c>
      <c r="B1229" s="7" t="s">
        <v>198</v>
      </c>
      <c r="C1229" s="7" t="s">
        <v>1200</v>
      </c>
      <c r="D1229" s="7" t="n">
        <v>0</v>
      </c>
      <c r="E1229" s="7" t="n">
        <v>0</v>
      </c>
      <c r="F1229" s="7" t="n">
        <v>2</v>
      </c>
      <c r="G1229" s="7" t="n">
        <v>129.51</v>
      </c>
    </row>
    <row r="1230" customFormat="false" ht="15" hidden="false" customHeight="false" outlineLevel="0" collapsed="false">
      <c r="A1230" s="7" t="s">
        <v>24</v>
      </c>
      <c r="B1230" s="7" t="s">
        <v>198</v>
      </c>
      <c r="C1230" s="7" t="s">
        <v>1200</v>
      </c>
      <c r="D1230" s="7" t="n">
        <v>0</v>
      </c>
      <c r="E1230" s="7" t="n">
        <v>0</v>
      </c>
      <c r="F1230" s="7" t="n">
        <v>1</v>
      </c>
      <c r="G1230" s="7" t="n">
        <v>71.95</v>
      </c>
    </row>
    <row r="1231" customFormat="false" ht="15" hidden="false" customHeight="false" outlineLevel="0" collapsed="false">
      <c r="A1231" s="7" t="s">
        <v>24</v>
      </c>
      <c r="B1231" s="7" t="s">
        <v>198</v>
      </c>
      <c r="C1231" s="7" t="s">
        <v>1200</v>
      </c>
      <c r="D1231" s="7" t="n">
        <v>0</v>
      </c>
      <c r="E1231" s="7" t="n">
        <v>0</v>
      </c>
      <c r="F1231" s="7" t="n">
        <v>1</v>
      </c>
      <c r="G1231" s="7" t="n">
        <v>71.95</v>
      </c>
    </row>
    <row r="1232" customFormat="false" ht="15" hidden="false" customHeight="false" outlineLevel="0" collapsed="false">
      <c r="A1232" s="7" t="s">
        <v>24</v>
      </c>
      <c r="B1232" s="7" t="s">
        <v>198</v>
      </c>
      <c r="C1232" s="7" t="s">
        <v>1200</v>
      </c>
      <c r="D1232" s="7" t="n">
        <v>0</v>
      </c>
      <c r="E1232" s="7" t="n">
        <v>0</v>
      </c>
      <c r="F1232" s="7" t="n">
        <v>1</v>
      </c>
      <c r="G1232" s="7" t="n">
        <v>71.95</v>
      </c>
    </row>
    <row r="1233" customFormat="false" ht="15" hidden="false" customHeight="false" outlineLevel="0" collapsed="false">
      <c r="A1233" s="7" t="s">
        <v>24</v>
      </c>
      <c r="B1233" s="7" t="s">
        <v>198</v>
      </c>
      <c r="C1233" s="7" t="s">
        <v>1200</v>
      </c>
      <c r="D1233" s="7" t="n">
        <v>0</v>
      </c>
      <c r="E1233" s="7" t="n">
        <v>0</v>
      </c>
      <c r="F1233" s="7" t="n">
        <v>1</v>
      </c>
      <c r="G1233" s="7" t="n">
        <v>64.75</v>
      </c>
    </row>
    <row r="1234" customFormat="false" ht="15" hidden="false" customHeight="false" outlineLevel="0" collapsed="false">
      <c r="A1234" s="7" t="s">
        <v>24</v>
      </c>
      <c r="B1234" s="7" t="s">
        <v>198</v>
      </c>
      <c r="C1234" s="7" t="s">
        <v>1200</v>
      </c>
      <c r="D1234" s="7" t="n">
        <v>0</v>
      </c>
      <c r="E1234" s="7" t="n">
        <v>0</v>
      </c>
      <c r="F1234" s="7" t="n">
        <v>1</v>
      </c>
      <c r="G1234" s="7" t="n">
        <v>71.95</v>
      </c>
    </row>
    <row r="1235" customFormat="false" ht="15" hidden="false" customHeight="false" outlineLevel="0" collapsed="false">
      <c r="A1235" s="7" t="s">
        <v>24</v>
      </c>
      <c r="B1235" s="7" t="s">
        <v>198</v>
      </c>
      <c r="C1235" s="7" t="s">
        <v>1200</v>
      </c>
      <c r="D1235" s="7" t="n">
        <v>0</v>
      </c>
      <c r="E1235" s="7" t="n">
        <v>0</v>
      </c>
      <c r="F1235" s="7" t="n">
        <v>1</v>
      </c>
      <c r="G1235" s="7" t="n">
        <v>71.95</v>
      </c>
    </row>
    <row r="1236" customFormat="false" ht="15" hidden="false" customHeight="false" outlineLevel="0" collapsed="false">
      <c r="A1236" s="7" t="s">
        <v>24</v>
      </c>
      <c r="B1236" s="7" t="s">
        <v>198</v>
      </c>
      <c r="C1236" s="7" t="s">
        <v>1200</v>
      </c>
      <c r="D1236" s="7" t="n">
        <v>0</v>
      </c>
      <c r="E1236" s="7" t="n">
        <v>0</v>
      </c>
      <c r="F1236" s="7" t="n">
        <v>1</v>
      </c>
      <c r="G1236" s="7" t="n">
        <v>64.76</v>
      </c>
    </row>
    <row r="1237" customFormat="false" ht="15" hidden="false" customHeight="false" outlineLevel="0" collapsed="false">
      <c r="A1237" s="7" t="s">
        <v>24</v>
      </c>
      <c r="B1237" s="7" t="s">
        <v>198</v>
      </c>
      <c r="C1237" s="7" t="s">
        <v>1200</v>
      </c>
      <c r="D1237" s="7" t="n">
        <v>0</v>
      </c>
      <c r="E1237" s="7" t="n">
        <v>0</v>
      </c>
      <c r="F1237" s="7" t="n">
        <v>1</v>
      </c>
      <c r="G1237" s="7" t="n">
        <v>71.95</v>
      </c>
    </row>
    <row r="1238" customFormat="false" ht="15" hidden="false" customHeight="false" outlineLevel="0" collapsed="false">
      <c r="A1238" s="7" t="s">
        <v>24</v>
      </c>
      <c r="B1238" s="7" t="s">
        <v>198</v>
      </c>
      <c r="C1238" s="7" t="s">
        <v>1200</v>
      </c>
      <c r="D1238" s="7" t="n">
        <v>0</v>
      </c>
      <c r="E1238" s="7" t="n">
        <v>0</v>
      </c>
      <c r="F1238" s="7" t="n">
        <v>2</v>
      </c>
      <c r="G1238" s="7" t="n">
        <v>136.7</v>
      </c>
    </row>
    <row r="1239" customFormat="false" ht="15" hidden="false" customHeight="false" outlineLevel="0" collapsed="false">
      <c r="A1239" s="7" t="s">
        <v>24</v>
      </c>
      <c r="B1239" s="7" t="s">
        <v>198</v>
      </c>
      <c r="C1239" s="7" t="s">
        <v>1200</v>
      </c>
      <c r="D1239" s="7" t="n">
        <v>0</v>
      </c>
      <c r="E1239" s="7" t="n">
        <v>0</v>
      </c>
      <c r="F1239" s="7" t="n">
        <v>1</v>
      </c>
      <c r="G1239" s="7" t="n">
        <v>71.95</v>
      </c>
    </row>
    <row r="1240" customFormat="false" ht="15" hidden="false" customHeight="false" outlineLevel="0" collapsed="false">
      <c r="A1240" s="7" t="s">
        <v>24</v>
      </c>
      <c r="B1240" s="7" t="s">
        <v>198</v>
      </c>
      <c r="C1240" s="7" t="s">
        <v>1200</v>
      </c>
      <c r="D1240" s="7" t="n">
        <v>0</v>
      </c>
      <c r="E1240" s="7" t="n">
        <v>0</v>
      </c>
      <c r="F1240" s="7" t="n">
        <v>2</v>
      </c>
      <c r="G1240" s="7" t="n">
        <v>133.12</v>
      </c>
    </row>
    <row r="1241" customFormat="false" ht="15" hidden="false" customHeight="false" outlineLevel="0" collapsed="false">
      <c r="A1241" s="7" t="s">
        <v>24</v>
      </c>
      <c r="B1241" s="7" t="s">
        <v>198</v>
      </c>
      <c r="C1241" s="7" t="s">
        <v>1200</v>
      </c>
      <c r="D1241" s="7" t="n">
        <v>0</v>
      </c>
      <c r="E1241" s="7" t="n">
        <v>0</v>
      </c>
      <c r="F1241" s="7" t="n">
        <v>1</v>
      </c>
      <c r="G1241" s="7" t="n">
        <v>71.95</v>
      </c>
    </row>
    <row r="1242" customFormat="false" ht="15" hidden="false" customHeight="false" outlineLevel="0" collapsed="false">
      <c r="A1242" s="7" t="s">
        <v>24</v>
      </c>
      <c r="B1242" s="7" t="s">
        <v>198</v>
      </c>
      <c r="C1242" s="7" t="s">
        <v>1200</v>
      </c>
      <c r="D1242" s="7" t="n">
        <v>0</v>
      </c>
      <c r="E1242" s="7" t="n">
        <v>0</v>
      </c>
      <c r="F1242" s="7" t="n">
        <v>1</v>
      </c>
      <c r="G1242" s="7" t="n">
        <v>66.56</v>
      </c>
    </row>
    <row r="1243" customFormat="false" ht="15" hidden="false" customHeight="false" outlineLevel="0" collapsed="false">
      <c r="A1243" s="7" t="s">
        <v>24</v>
      </c>
      <c r="B1243" s="7" t="s">
        <v>198</v>
      </c>
      <c r="C1243" s="7" t="s">
        <v>1200</v>
      </c>
      <c r="D1243" s="7" t="n">
        <v>0</v>
      </c>
      <c r="E1243" s="7" t="n">
        <v>0</v>
      </c>
      <c r="F1243" s="7" t="n">
        <v>2</v>
      </c>
      <c r="G1243" s="7" t="n">
        <v>129.51</v>
      </c>
    </row>
    <row r="1244" customFormat="false" ht="15" hidden="false" customHeight="false" outlineLevel="0" collapsed="false">
      <c r="A1244" s="7" t="s">
        <v>24</v>
      </c>
      <c r="B1244" s="7" t="s">
        <v>198</v>
      </c>
      <c r="C1244" s="7" t="s">
        <v>1200</v>
      </c>
      <c r="D1244" s="7" t="n">
        <v>0</v>
      </c>
      <c r="E1244" s="7" t="n">
        <v>0</v>
      </c>
      <c r="F1244" s="7" t="n">
        <v>2</v>
      </c>
      <c r="G1244" s="7" t="n">
        <v>133.12</v>
      </c>
    </row>
    <row r="1245" customFormat="false" ht="15" hidden="false" customHeight="false" outlineLevel="0" collapsed="false">
      <c r="A1245" s="7" t="s">
        <v>24</v>
      </c>
      <c r="B1245" s="7" t="s">
        <v>198</v>
      </c>
      <c r="C1245" s="7" t="s">
        <v>1200</v>
      </c>
      <c r="D1245" s="7" t="n">
        <v>0</v>
      </c>
      <c r="E1245" s="7" t="n">
        <v>0</v>
      </c>
      <c r="F1245" s="7" t="n">
        <v>2</v>
      </c>
      <c r="G1245" s="7" t="n">
        <v>143.9</v>
      </c>
    </row>
    <row r="1246" customFormat="false" ht="15" hidden="false" customHeight="false" outlineLevel="0" collapsed="false">
      <c r="A1246" s="7" t="s">
        <v>24</v>
      </c>
      <c r="B1246" s="7" t="s">
        <v>198</v>
      </c>
      <c r="C1246" s="7" t="s">
        <v>1200</v>
      </c>
      <c r="D1246" s="7" t="n">
        <v>0</v>
      </c>
      <c r="E1246" s="7" t="n">
        <v>0</v>
      </c>
      <c r="F1246" s="7" t="n">
        <v>1</v>
      </c>
      <c r="G1246" s="7" t="n">
        <v>71.95</v>
      </c>
    </row>
    <row r="1247" customFormat="false" ht="15" hidden="false" customHeight="false" outlineLevel="0" collapsed="false">
      <c r="A1247" s="7" t="s">
        <v>24</v>
      </c>
      <c r="B1247" s="7" t="s">
        <v>198</v>
      </c>
      <c r="C1247" s="7" t="s">
        <v>1200</v>
      </c>
      <c r="D1247" s="7" t="n">
        <v>0</v>
      </c>
      <c r="E1247" s="7" t="n">
        <v>0</v>
      </c>
      <c r="F1247" s="7" t="n">
        <v>1</v>
      </c>
      <c r="G1247" s="7" t="n">
        <v>64.76</v>
      </c>
    </row>
    <row r="1248" customFormat="false" ht="15" hidden="false" customHeight="false" outlineLevel="0" collapsed="false">
      <c r="A1248" s="7" t="s">
        <v>24</v>
      </c>
      <c r="B1248" s="7" t="s">
        <v>198</v>
      </c>
      <c r="C1248" s="7" t="s">
        <v>1200</v>
      </c>
      <c r="D1248" s="7" t="n">
        <v>0</v>
      </c>
      <c r="E1248" s="7" t="n">
        <v>0</v>
      </c>
      <c r="F1248" s="7" t="n">
        <v>1</v>
      </c>
      <c r="G1248" s="7" t="n">
        <v>64.75</v>
      </c>
    </row>
    <row r="1249" customFormat="false" ht="15" hidden="false" customHeight="false" outlineLevel="0" collapsed="false">
      <c r="A1249" s="7" t="s">
        <v>24</v>
      </c>
      <c r="B1249" s="7" t="s">
        <v>511</v>
      </c>
      <c r="C1249" s="7" t="s">
        <v>1200</v>
      </c>
      <c r="D1249" s="7" t="n">
        <v>0</v>
      </c>
      <c r="E1249" s="7" t="n">
        <v>0</v>
      </c>
      <c r="F1249" s="7" t="n">
        <v>1</v>
      </c>
      <c r="G1249" s="7" t="n">
        <v>64.75</v>
      </c>
    </row>
    <row r="1250" customFormat="false" ht="15" hidden="false" customHeight="false" outlineLevel="0" collapsed="false">
      <c r="A1250" s="7" t="s">
        <v>24</v>
      </c>
      <c r="B1250" s="7" t="s">
        <v>511</v>
      </c>
      <c r="C1250" s="7" t="s">
        <v>1200</v>
      </c>
      <c r="D1250" s="7" t="n">
        <v>14</v>
      </c>
      <c r="E1250" s="7" t="n">
        <v>874.2</v>
      </c>
      <c r="F1250" s="7" t="n">
        <v>7</v>
      </c>
      <c r="G1250" s="7" t="n">
        <v>485.66</v>
      </c>
    </row>
    <row r="1251" customFormat="false" ht="15" hidden="false" customHeight="false" outlineLevel="0" collapsed="false">
      <c r="A1251" s="7" t="s">
        <v>24</v>
      </c>
      <c r="B1251" s="7" t="s">
        <v>511</v>
      </c>
      <c r="C1251" s="7" t="s">
        <v>1200</v>
      </c>
      <c r="D1251" s="7" t="n">
        <v>0</v>
      </c>
      <c r="E1251" s="7" t="n">
        <v>0</v>
      </c>
      <c r="F1251" s="7" t="n">
        <v>2</v>
      </c>
      <c r="G1251" s="7" t="n">
        <v>133.12</v>
      </c>
    </row>
    <row r="1252" customFormat="false" ht="15" hidden="false" customHeight="false" outlineLevel="0" collapsed="false">
      <c r="A1252" s="7" t="s">
        <v>24</v>
      </c>
      <c r="B1252" s="7" t="s">
        <v>511</v>
      </c>
      <c r="C1252" s="7" t="s">
        <v>1200</v>
      </c>
      <c r="D1252" s="7" t="n">
        <v>0</v>
      </c>
      <c r="E1252" s="7" t="n">
        <v>0</v>
      </c>
      <c r="F1252" s="7" t="n">
        <v>1</v>
      </c>
      <c r="G1252" s="7" t="n">
        <v>71.95</v>
      </c>
    </row>
    <row r="1253" customFormat="false" ht="15" hidden="false" customHeight="false" outlineLevel="0" collapsed="false">
      <c r="A1253" s="7" t="s">
        <v>24</v>
      </c>
      <c r="B1253" s="7" t="s">
        <v>511</v>
      </c>
      <c r="C1253" s="7" t="s">
        <v>1200</v>
      </c>
      <c r="D1253" s="7" t="n">
        <v>3</v>
      </c>
      <c r="E1253" s="7" t="n">
        <v>192.96</v>
      </c>
      <c r="F1253" s="7" t="n">
        <v>0</v>
      </c>
      <c r="G1253" s="7" t="n">
        <v>0</v>
      </c>
    </row>
    <row r="1254" customFormat="false" ht="15" hidden="false" customHeight="false" outlineLevel="0" collapsed="false">
      <c r="A1254" s="7" t="s">
        <v>24</v>
      </c>
      <c r="B1254" s="7" t="s">
        <v>139</v>
      </c>
      <c r="C1254" s="7" t="s">
        <v>1043</v>
      </c>
      <c r="D1254" s="7" t="n">
        <v>4</v>
      </c>
      <c r="E1254" s="7" t="n">
        <v>762.4</v>
      </c>
      <c r="F1254" s="7" t="n">
        <v>18</v>
      </c>
      <c r="G1254" s="7" t="n">
        <v>3590.29</v>
      </c>
    </row>
    <row r="1255" customFormat="false" ht="15" hidden="false" customHeight="false" outlineLevel="0" collapsed="false">
      <c r="A1255" s="7" t="s">
        <v>24</v>
      </c>
      <c r="B1255" s="7" t="s">
        <v>139</v>
      </c>
      <c r="C1255" s="7" t="s">
        <v>1043</v>
      </c>
      <c r="D1255" s="7" t="n">
        <v>0</v>
      </c>
      <c r="E1255" s="7" t="n">
        <v>0</v>
      </c>
      <c r="F1255" s="7" t="n">
        <v>1</v>
      </c>
      <c r="G1255" s="7" t="n">
        <v>180.02</v>
      </c>
    </row>
    <row r="1256" customFormat="false" ht="15" hidden="false" customHeight="false" outlineLevel="0" collapsed="false">
      <c r="A1256" s="7" t="s">
        <v>24</v>
      </c>
      <c r="B1256" s="7" t="s">
        <v>139</v>
      </c>
      <c r="C1256" s="7" t="s">
        <v>1043</v>
      </c>
      <c r="D1256" s="7" t="n">
        <v>0</v>
      </c>
      <c r="E1256" s="7" t="n">
        <v>0</v>
      </c>
      <c r="F1256" s="7" t="n">
        <v>1</v>
      </c>
      <c r="G1256" s="7" t="n">
        <v>190.6</v>
      </c>
    </row>
    <row r="1257" customFormat="false" ht="15" hidden="false" customHeight="false" outlineLevel="0" collapsed="false">
      <c r="A1257" s="7" t="s">
        <v>24</v>
      </c>
      <c r="B1257" s="7" t="s">
        <v>139</v>
      </c>
      <c r="C1257" s="7" t="s">
        <v>1043</v>
      </c>
      <c r="D1257" s="7" t="n">
        <v>0</v>
      </c>
      <c r="E1257" s="7" t="n">
        <v>0</v>
      </c>
      <c r="F1257" s="7" t="n">
        <v>1</v>
      </c>
      <c r="G1257" s="7" t="n">
        <v>180.02</v>
      </c>
    </row>
    <row r="1258" customFormat="false" ht="15" hidden="false" customHeight="false" outlineLevel="0" collapsed="false">
      <c r="A1258" s="7" t="s">
        <v>24</v>
      </c>
      <c r="B1258" s="7" t="s">
        <v>139</v>
      </c>
      <c r="C1258" s="7" t="s">
        <v>1043</v>
      </c>
      <c r="D1258" s="7" t="n">
        <v>0</v>
      </c>
      <c r="E1258" s="7" t="n">
        <v>0</v>
      </c>
      <c r="F1258" s="7" t="n">
        <v>1</v>
      </c>
      <c r="G1258" s="7" t="n">
        <v>211.78</v>
      </c>
    </row>
    <row r="1259" customFormat="false" ht="15" hidden="false" customHeight="false" outlineLevel="0" collapsed="false">
      <c r="A1259" s="7" t="s">
        <v>24</v>
      </c>
      <c r="B1259" s="7" t="s">
        <v>139</v>
      </c>
      <c r="C1259" s="7" t="s">
        <v>1043</v>
      </c>
      <c r="D1259" s="7" t="n">
        <v>0</v>
      </c>
      <c r="E1259" s="7" t="n">
        <v>0</v>
      </c>
      <c r="F1259" s="7" t="n">
        <v>1</v>
      </c>
      <c r="G1259" s="7" t="n">
        <v>180.02</v>
      </c>
    </row>
    <row r="1260" customFormat="false" ht="15" hidden="false" customHeight="false" outlineLevel="0" collapsed="false">
      <c r="A1260" s="7" t="s">
        <v>24</v>
      </c>
      <c r="B1260" s="7" t="s">
        <v>139</v>
      </c>
      <c r="C1260" s="7" t="s">
        <v>1043</v>
      </c>
      <c r="D1260" s="7" t="n">
        <v>0</v>
      </c>
      <c r="E1260" s="7" t="n">
        <v>0</v>
      </c>
      <c r="F1260" s="7" t="n">
        <v>1</v>
      </c>
      <c r="G1260" s="7" t="n">
        <v>169.4</v>
      </c>
    </row>
    <row r="1261" customFormat="false" ht="15" hidden="false" customHeight="false" outlineLevel="0" collapsed="false">
      <c r="A1261" s="7" t="s">
        <v>24</v>
      </c>
      <c r="B1261" s="7" t="s">
        <v>139</v>
      </c>
      <c r="C1261" s="7" t="s">
        <v>1043</v>
      </c>
      <c r="D1261" s="7" t="n">
        <v>0</v>
      </c>
      <c r="E1261" s="7" t="n">
        <v>0</v>
      </c>
      <c r="F1261" s="7" t="n">
        <v>1</v>
      </c>
      <c r="G1261" s="7" t="n">
        <v>211.78</v>
      </c>
    </row>
    <row r="1262" customFormat="false" ht="15" hidden="false" customHeight="false" outlineLevel="0" collapsed="false">
      <c r="A1262" s="7" t="s">
        <v>24</v>
      </c>
      <c r="B1262" s="7" t="s">
        <v>146</v>
      </c>
      <c r="C1262" s="7" t="s">
        <v>1043</v>
      </c>
      <c r="D1262" s="7" t="n">
        <v>0</v>
      </c>
      <c r="E1262" s="7" t="n">
        <v>0</v>
      </c>
      <c r="F1262" s="7" t="n">
        <v>1</v>
      </c>
      <c r="G1262" s="7" t="n">
        <v>190.6</v>
      </c>
    </row>
    <row r="1263" customFormat="false" ht="15" hidden="false" customHeight="false" outlineLevel="0" collapsed="false">
      <c r="A1263" s="7" t="s">
        <v>24</v>
      </c>
      <c r="B1263" s="7" t="s">
        <v>146</v>
      </c>
      <c r="C1263" s="7" t="s">
        <v>1043</v>
      </c>
      <c r="D1263" s="7" t="n">
        <v>0</v>
      </c>
      <c r="E1263" s="7" t="n">
        <v>0</v>
      </c>
      <c r="F1263" s="7" t="n">
        <v>1</v>
      </c>
      <c r="G1263" s="7" t="n">
        <v>180.02</v>
      </c>
    </row>
    <row r="1264" customFormat="false" ht="15" hidden="false" customHeight="false" outlineLevel="0" collapsed="false">
      <c r="A1264" s="7" t="s">
        <v>24</v>
      </c>
      <c r="B1264" s="7" t="s">
        <v>146</v>
      </c>
      <c r="C1264" s="7" t="s">
        <v>1043</v>
      </c>
      <c r="D1264" s="7" t="n">
        <v>0</v>
      </c>
      <c r="E1264" s="7" t="n">
        <v>0</v>
      </c>
      <c r="F1264" s="7" t="n">
        <v>1</v>
      </c>
      <c r="G1264" s="7" t="n">
        <v>180.02</v>
      </c>
    </row>
    <row r="1265" customFormat="false" ht="15" hidden="false" customHeight="false" outlineLevel="0" collapsed="false">
      <c r="A1265" s="7" t="s">
        <v>24</v>
      </c>
      <c r="B1265" s="7" t="s">
        <v>146</v>
      </c>
      <c r="C1265" s="7" t="s">
        <v>1043</v>
      </c>
      <c r="D1265" s="7" t="n">
        <v>0</v>
      </c>
      <c r="E1265" s="7" t="n">
        <v>0</v>
      </c>
      <c r="F1265" s="7" t="n">
        <v>1</v>
      </c>
      <c r="G1265" s="7" t="n">
        <v>211.78</v>
      </c>
    </row>
    <row r="1266" customFormat="false" ht="15" hidden="false" customHeight="false" outlineLevel="0" collapsed="false">
      <c r="A1266" s="7" t="s">
        <v>24</v>
      </c>
      <c r="B1266" s="7" t="s">
        <v>146</v>
      </c>
      <c r="C1266" s="7" t="s">
        <v>1043</v>
      </c>
      <c r="D1266" s="7" t="n">
        <v>21</v>
      </c>
      <c r="E1266" s="7" t="n">
        <v>3886.13</v>
      </c>
      <c r="F1266" s="7" t="n">
        <v>24</v>
      </c>
      <c r="G1266" s="7" t="n">
        <v>4701.61</v>
      </c>
    </row>
    <row r="1267" customFormat="false" ht="15" hidden="false" customHeight="false" outlineLevel="0" collapsed="false">
      <c r="A1267" s="7" t="s">
        <v>24</v>
      </c>
      <c r="B1267" s="7" t="s">
        <v>146</v>
      </c>
      <c r="C1267" s="7" t="s">
        <v>1043</v>
      </c>
      <c r="D1267" s="7" t="n">
        <v>0</v>
      </c>
      <c r="E1267" s="7" t="n">
        <v>0</v>
      </c>
      <c r="F1267" s="7" t="n">
        <v>2</v>
      </c>
      <c r="G1267" s="7" t="n">
        <v>338.4</v>
      </c>
    </row>
    <row r="1268" customFormat="false" ht="15" hidden="false" customHeight="false" outlineLevel="0" collapsed="false">
      <c r="A1268" s="7" t="s">
        <v>24</v>
      </c>
      <c r="B1268" s="7" t="s">
        <v>146</v>
      </c>
      <c r="C1268" s="7" t="s">
        <v>1043</v>
      </c>
      <c r="D1268" s="7" t="n">
        <v>0</v>
      </c>
      <c r="E1268" s="7" t="n">
        <v>0</v>
      </c>
      <c r="F1268" s="7" t="n">
        <v>1</v>
      </c>
      <c r="G1268" s="7" t="n">
        <v>190.61</v>
      </c>
    </row>
    <row r="1269" customFormat="false" ht="15" hidden="false" customHeight="false" outlineLevel="0" collapsed="false">
      <c r="A1269" s="7" t="s">
        <v>24</v>
      </c>
      <c r="B1269" s="7" t="s">
        <v>146</v>
      </c>
      <c r="C1269" s="7" t="s">
        <v>1043</v>
      </c>
      <c r="D1269" s="7" t="n">
        <v>0</v>
      </c>
      <c r="E1269" s="7" t="n">
        <v>0</v>
      </c>
      <c r="F1269" s="7" t="n">
        <v>1</v>
      </c>
      <c r="G1269" s="7" t="n">
        <v>190.6</v>
      </c>
    </row>
    <row r="1270" customFormat="false" ht="15" hidden="false" customHeight="false" outlineLevel="0" collapsed="false">
      <c r="A1270" s="7" t="s">
        <v>24</v>
      </c>
      <c r="B1270" s="7" t="s">
        <v>146</v>
      </c>
      <c r="C1270" s="7" t="s">
        <v>1043</v>
      </c>
      <c r="D1270" s="7" t="n">
        <v>0</v>
      </c>
      <c r="E1270" s="7" t="n">
        <v>0</v>
      </c>
      <c r="F1270" s="7" t="n">
        <v>1</v>
      </c>
      <c r="G1270" s="7" t="n">
        <v>190.6</v>
      </c>
    </row>
    <row r="1271" customFormat="false" ht="15" hidden="false" customHeight="false" outlineLevel="0" collapsed="false">
      <c r="A1271" s="7" t="s">
        <v>24</v>
      </c>
      <c r="B1271" s="7" t="s">
        <v>146</v>
      </c>
      <c r="C1271" s="7" t="s">
        <v>1043</v>
      </c>
      <c r="D1271" s="7" t="n">
        <v>0</v>
      </c>
      <c r="E1271" s="7" t="n">
        <v>0</v>
      </c>
      <c r="F1271" s="7" t="n">
        <v>1</v>
      </c>
      <c r="G1271" s="7" t="n">
        <v>211.78</v>
      </c>
    </row>
    <row r="1272" customFormat="false" ht="15" hidden="false" customHeight="false" outlineLevel="0" collapsed="false">
      <c r="A1272" s="7" t="s">
        <v>24</v>
      </c>
      <c r="B1272" s="7" t="s">
        <v>146</v>
      </c>
      <c r="C1272" s="7" t="s">
        <v>1043</v>
      </c>
      <c r="D1272" s="7" t="n">
        <v>0</v>
      </c>
      <c r="E1272" s="7" t="n">
        <v>0</v>
      </c>
      <c r="F1272" s="7" t="n">
        <v>1</v>
      </c>
      <c r="G1272" s="7" t="n">
        <v>180.01</v>
      </c>
    </row>
    <row r="1273" customFormat="false" ht="15" hidden="false" customHeight="false" outlineLevel="0" collapsed="false">
      <c r="A1273" s="7" t="s">
        <v>24</v>
      </c>
      <c r="B1273" s="7" t="s">
        <v>146</v>
      </c>
      <c r="C1273" s="7" t="s">
        <v>1043</v>
      </c>
      <c r="D1273" s="7" t="n">
        <v>0</v>
      </c>
      <c r="E1273" s="7" t="n">
        <v>0</v>
      </c>
      <c r="F1273" s="7" t="n">
        <v>1</v>
      </c>
      <c r="G1273" s="7" t="n">
        <v>211.78</v>
      </c>
    </row>
    <row r="1274" customFormat="false" ht="15" hidden="false" customHeight="false" outlineLevel="0" collapsed="false">
      <c r="A1274" s="7" t="s">
        <v>24</v>
      </c>
      <c r="B1274" s="7" t="s">
        <v>146</v>
      </c>
      <c r="C1274" s="7" t="s">
        <v>1043</v>
      </c>
      <c r="D1274" s="7" t="n">
        <v>0</v>
      </c>
      <c r="E1274" s="7" t="n">
        <v>0</v>
      </c>
      <c r="F1274" s="7" t="n">
        <v>1</v>
      </c>
      <c r="G1274" s="7" t="n">
        <v>190.6</v>
      </c>
    </row>
    <row r="1275" customFormat="false" ht="15" hidden="false" customHeight="false" outlineLevel="0" collapsed="false">
      <c r="A1275" s="7" t="s">
        <v>24</v>
      </c>
      <c r="B1275" s="7" t="s">
        <v>146</v>
      </c>
      <c r="C1275" s="7" t="s">
        <v>1043</v>
      </c>
      <c r="D1275" s="7" t="n">
        <v>0</v>
      </c>
      <c r="E1275" s="7" t="n">
        <v>0</v>
      </c>
      <c r="F1275" s="7" t="n">
        <v>1</v>
      </c>
      <c r="G1275" s="7" t="n">
        <v>190.6</v>
      </c>
    </row>
    <row r="1276" customFormat="false" ht="15" hidden="false" customHeight="false" outlineLevel="0" collapsed="false">
      <c r="A1276" s="7" t="s">
        <v>24</v>
      </c>
      <c r="B1276" s="7" t="s">
        <v>121</v>
      </c>
      <c r="C1276" s="7" t="s">
        <v>1043</v>
      </c>
      <c r="D1276" s="7" t="n">
        <v>0</v>
      </c>
      <c r="E1276" s="7" t="n">
        <v>0</v>
      </c>
      <c r="F1276" s="7" t="n">
        <v>1</v>
      </c>
      <c r="G1276" s="7" t="n">
        <v>192.6</v>
      </c>
    </row>
    <row r="1277" customFormat="false" ht="15" hidden="false" customHeight="false" outlineLevel="0" collapsed="false">
      <c r="A1277" s="7" t="s">
        <v>24</v>
      </c>
      <c r="B1277" s="7" t="s">
        <v>121</v>
      </c>
      <c r="C1277" s="7" t="s">
        <v>1043</v>
      </c>
      <c r="D1277" s="7" t="n">
        <v>0</v>
      </c>
      <c r="E1277" s="7" t="n">
        <v>0</v>
      </c>
      <c r="F1277" s="7" t="n">
        <v>1</v>
      </c>
      <c r="G1277" s="7" t="n">
        <v>211.78</v>
      </c>
    </row>
    <row r="1278" customFormat="false" ht="15" hidden="false" customHeight="false" outlineLevel="0" collapsed="false">
      <c r="A1278" s="7" t="s">
        <v>24</v>
      </c>
      <c r="B1278" s="7" t="s">
        <v>121</v>
      </c>
      <c r="C1278" s="7" t="s">
        <v>1043</v>
      </c>
      <c r="D1278" s="7" t="n">
        <v>0</v>
      </c>
      <c r="E1278" s="7" t="n">
        <v>0</v>
      </c>
      <c r="F1278" s="7" t="n">
        <v>1</v>
      </c>
      <c r="G1278" s="7" t="n">
        <v>190.6</v>
      </c>
    </row>
    <row r="1279" customFormat="false" ht="15" hidden="false" customHeight="false" outlineLevel="0" collapsed="false">
      <c r="A1279" s="7" t="s">
        <v>24</v>
      </c>
      <c r="B1279" s="7" t="s">
        <v>121</v>
      </c>
      <c r="C1279" s="7" t="s">
        <v>1043</v>
      </c>
      <c r="D1279" s="7" t="n">
        <v>0</v>
      </c>
      <c r="E1279" s="7" t="n">
        <v>0</v>
      </c>
      <c r="F1279" s="7" t="n">
        <v>1</v>
      </c>
      <c r="G1279" s="7" t="n">
        <v>190.6</v>
      </c>
    </row>
    <row r="1280" customFormat="false" ht="15" hidden="false" customHeight="false" outlineLevel="0" collapsed="false">
      <c r="A1280" s="7" t="s">
        <v>24</v>
      </c>
      <c r="B1280" s="7" t="s">
        <v>121</v>
      </c>
      <c r="C1280" s="7" t="s">
        <v>1043</v>
      </c>
      <c r="D1280" s="7" t="n">
        <v>0</v>
      </c>
      <c r="E1280" s="7" t="n">
        <v>0</v>
      </c>
      <c r="F1280" s="7" t="n">
        <v>1</v>
      </c>
      <c r="G1280" s="7" t="n">
        <v>211.78</v>
      </c>
    </row>
    <row r="1281" customFormat="false" ht="15" hidden="false" customHeight="false" outlineLevel="0" collapsed="false">
      <c r="A1281" s="7" t="s">
        <v>24</v>
      </c>
      <c r="B1281" s="7" t="s">
        <v>121</v>
      </c>
      <c r="C1281" s="7" t="s">
        <v>1043</v>
      </c>
      <c r="D1281" s="7" t="n">
        <v>0</v>
      </c>
      <c r="E1281" s="7" t="n">
        <v>0</v>
      </c>
      <c r="F1281" s="7" t="n">
        <v>1</v>
      </c>
      <c r="G1281" s="7" t="n">
        <v>190.61</v>
      </c>
    </row>
    <row r="1282" customFormat="false" ht="15" hidden="false" customHeight="false" outlineLevel="0" collapsed="false">
      <c r="A1282" s="7" t="s">
        <v>24</v>
      </c>
      <c r="B1282" s="7" t="s">
        <v>121</v>
      </c>
      <c r="C1282" s="7" t="s">
        <v>1043</v>
      </c>
      <c r="D1282" s="7" t="n">
        <v>0</v>
      </c>
      <c r="E1282" s="7" t="n">
        <v>0</v>
      </c>
      <c r="F1282" s="7" t="n">
        <v>1</v>
      </c>
      <c r="G1282" s="7" t="n">
        <v>190.61</v>
      </c>
    </row>
    <row r="1283" customFormat="false" ht="15" hidden="false" customHeight="false" outlineLevel="0" collapsed="false">
      <c r="A1283" s="7" t="s">
        <v>24</v>
      </c>
      <c r="B1283" s="7" t="s">
        <v>121</v>
      </c>
      <c r="C1283" s="7" t="s">
        <v>1043</v>
      </c>
      <c r="D1283" s="7" t="n">
        <v>16</v>
      </c>
      <c r="E1283" s="7" t="n">
        <v>3060.19</v>
      </c>
      <c r="F1283" s="7" t="n">
        <v>42</v>
      </c>
      <c r="G1283" s="7" t="n">
        <v>8442.58</v>
      </c>
    </row>
    <row r="1284" customFormat="false" ht="15" hidden="false" customHeight="false" outlineLevel="0" collapsed="false">
      <c r="A1284" s="7" t="s">
        <v>24</v>
      </c>
      <c r="B1284" s="7" t="s">
        <v>121</v>
      </c>
      <c r="C1284" s="7" t="s">
        <v>1043</v>
      </c>
      <c r="D1284" s="7" t="n">
        <v>0</v>
      </c>
      <c r="E1284" s="7" t="n">
        <v>0</v>
      </c>
      <c r="F1284" s="7" t="n">
        <v>1</v>
      </c>
      <c r="G1284" s="7" t="n">
        <v>211.78</v>
      </c>
    </row>
    <row r="1285" customFormat="false" ht="15" hidden="false" customHeight="false" outlineLevel="0" collapsed="false">
      <c r="A1285" s="7" t="s">
        <v>24</v>
      </c>
      <c r="B1285" s="7" t="s">
        <v>121</v>
      </c>
      <c r="C1285" s="7" t="s">
        <v>1043</v>
      </c>
      <c r="D1285" s="7" t="n">
        <v>0</v>
      </c>
      <c r="E1285" s="7" t="n">
        <v>0</v>
      </c>
      <c r="F1285" s="7" t="n">
        <v>1</v>
      </c>
      <c r="G1285" s="7" t="n">
        <v>190.6</v>
      </c>
    </row>
    <row r="1286" customFormat="false" ht="15" hidden="false" customHeight="false" outlineLevel="0" collapsed="false">
      <c r="A1286" s="7" t="s">
        <v>24</v>
      </c>
      <c r="B1286" s="7" t="s">
        <v>121</v>
      </c>
      <c r="C1286" s="7" t="s">
        <v>1043</v>
      </c>
      <c r="D1286" s="7" t="n">
        <v>0</v>
      </c>
      <c r="E1286" s="7" t="n">
        <v>0</v>
      </c>
      <c r="F1286" s="7" t="n">
        <v>2</v>
      </c>
      <c r="G1286" s="7" t="n">
        <v>381.2</v>
      </c>
    </row>
    <row r="1287" customFormat="false" ht="15" hidden="false" customHeight="false" outlineLevel="0" collapsed="false">
      <c r="A1287" s="7" t="s">
        <v>24</v>
      </c>
      <c r="B1287" s="7" t="s">
        <v>121</v>
      </c>
      <c r="C1287" s="7" t="s">
        <v>1043</v>
      </c>
      <c r="D1287" s="7" t="n">
        <v>0</v>
      </c>
      <c r="E1287" s="7" t="n">
        <v>0</v>
      </c>
      <c r="F1287" s="7" t="n">
        <v>1</v>
      </c>
      <c r="G1287" s="7" t="n">
        <v>211.78</v>
      </c>
    </row>
    <row r="1288" customFormat="false" ht="15" hidden="false" customHeight="false" outlineLevel="0" collapsed="false">
      <c r="A1288" s="7" t="s">
        <v>24</v>
      </c>
      <c r="B1288" s="7" t="s">
        <v>121</v>
      </c>
      <c r="C1288" s="7" t="s">
        <v>1043</v>
      </c>
      <c r="D1288" s="7" t="n">
        <v>0</v>
      </c>
      <c r="E1288" s="7" t="n">
        <v>0</v>
      </c>
      <c r="F1288" s="7" t="n">
        <v>1</v>
      </c>
      <c r="G1288" s="7" t="n">
        <v>180.02</v>
      </c>
    </row>
    <row r="1289" customFormat="false" ht="15" hidden="false" customHeight="false" outlineLevel="0" collapsed="false">
      <c r="A1289" s="7" t="s">
        <v>24</v>
      </c>
      <c r="B1289" s="7" t="s">
        <v>120</v>
      </c>
      <c r="C1289" s="7" t="s">
        <v>1044</v>
      </c>
      <c r="D1289" s="7" t="n">
        <v>0</v>
      </c>
      <c r="E1289" s="7" t="n">
        <v>0</v>
      </c>
      <c r="F1289" s="7" t="n">
        <v>1</v>
      </c>
      <c r="G1289" s="7" t="n">
        <v>211.78</v>
      </c>
    </row>
    <row r="1290" customFormat="false" ht="15" hidden="false" customHeight="false" outlineLevel="0" collapsed="false">
      <c r="A1290" s="7" t="s">
        <v>24</v>
      </c>
      <c r="B1290" s="7" t="s">
        <v>120</v>
      </c>
      <c r="C1290" s="7" t="s">
        <v>1044</v>
      </c>
      <c r="D1290" s="7" t="n">
        <v>0</v>
      </c>
      <c r="E1290" s="7" t="n">
        <v>0</v>
      </c>
      <c r="F1290" s="7" t="n">
        <v>1</v>
      </c>
      <c r="G1290" s="7" t="n">
        <v>180.01</v>
      </c>
    </row>
    <row r="1291" customFormat="false" ht="15" hidden="false" customHeight="false" outlineLevel="0" collapsed="false">
      <c r="A1291" s="7" t="s">
        <v>24</v>
      </c>
      <c r="B1291" s="7" t="s">
        <v>120</v>
      </c>
      <c r="C1291" s="7" t="s">
        <v>1044</v>
      </c>
      <c r="D1291" s="7" t="n">
        <v>9</v>
      </c>
      <c r="E1291" s="7" t="n">
        <v>1662.46</v>
      </c>
      <c r="F1291" s="7" t="n">
        <v>42</v>
      </c>
      <c r="G1291" s="7" t="n">
        <v>8682.52</v>
      </c>
    </row>
    <row r="1292" customFormat="false" ht="15" hidden="false" customHeight="false" outlineLevel="0" collapsed="false">
      <c r="A1292" s="7" t="s">
        <v>24</v>
      </c>
      <c r="B1292" s="7" t="s">
        <v>120</v>
      </c>
      <c r="C1292" s="7" t="s">
        <v>1044</v>
      </c>
      <c r="D1292" s="7" t="n">
        <v>0</v>
      </c>
      <c r="E1292" s="7" t="n">
        <v>0</v>
      </c>
      <c r="F1292" s="7" t="n">
        <v>1</v>
      </c>
      <c r="G1292" s="7" t="n">
        <v>180.02</v>
      </c>
    </row>
    <row r="1293" customFormat="false" ht="15" hidden="false" customHeight="false" outlineLevel="0" collapsed="false">
      <c r="A1293" s="7" t="s">
        <v>24</v>
      </c>
      <c r="B1293" s="7" t="s">
        <v>120</v>
      </c>
      <c r="C1293" s="7" t="s">
        <v>1044</v>
      </c>
      <c r="D1293" s="7" t="n">
        <v>0</v>
      </c>
      <c r="E1293" s="7" t="n">
        <v>0</v>
      </c>
      <c r="F1293" s="7" t="n">
        <v>1</v>
      </c>
      <c r="G1293" s="7" t="n">
        <v>211.78</v>
      </c>
    </row>
    <row r="1294" customFormat="false" ht="15" hidden="false" customHeight="false" outlineLevel="0" collapsed="false">
      <c r="A1294" s="7" t="s">
        <v>24</v>
      </c>
      <c r="B1294" s="7" t="s">
        <v>120</v>
      </c>
      <c r="C1294" s="7" t="s">
        <v>1044</v>
      </c>
      <c r="D1294" s="7" t="n">
        <v>0</v>
      </c>
      <c r="E1294" s="7" t="n">
        <v>0</v>
      </c>
      <c r="F1294" s="7" t="n">
        <v>1</v>
      </c>
      <c r="G1294" s="7" t="n">
        <v>180.02</v>
      </c>
    </row>
    <row r="1295" customFormat="false" ht="15" hidden="false" customHeight="false" outlineLevel="0" collapsed="false">
      <c r="A1295" s="7" t="s">
        <v>24</v>
      </c>
      <c r="B1295" s="7" t="s">
        <v>120</v>
      </c>
      <c r="C1295" s="7" t="s">
        <v>1044</v>
      </c>
      <c r="D1295" s="7" t="n">
        <v>0</v>
      </c>
      <c r="E1295" s="7" t="n">
        <v>0</v>
      </c>
      <c r="F1295" s="7" t="n">
        <v>1</v>
      </c>
      <c r="G1295" s="7" t="n">
        <v>211.78</v>
      </c>
    </row>
    <row r="1296" customFormat="false" ht="15" hidden="false" customHeight="false" outlineLevel="0" collapsed="false">
      <c r="A1296" s="7" t="s">
        <v>24</v>
      </c>
      <c r="B1296" s="7" t="s">
        <v>116</v>
      </c>
      <c r="C1296" s="7" t="s">
        <v>1044</v>
      </c>
      <c r="D1296" s="7" t="n">
        <v>0</v>
      </c>
      <c r="E1296" s="7" t="n">
        <v>0</v>
      </c>
      <c r="F1296" s="7" t="n">
        <v>1</v>
      </c>
      <c r="G1296" s="7" t="n">
        <v>190.61</v>
      </c>
    </row>
    <row r="1297" customFormat="false" ht="15" hidden="false" customHeight="false" outlineLevel="0" collapsed="false">
      <c r="A1297" s="7" t="s">
        <v>24</v>
      </c>
      <c r="B1297" s="7" t="s">
        <v>116</v>
      </c>
      <c r="C1297" s="7" t="s">
        <v>1044</v>
      </c>
      <c r="D1297" s="7" t="n">
        <v>0</v>
      </c>
      <c r="E1297" s="7" t="n">
        <v>0</v>
      </c>
      <c r="F1297" s="7" t="n">
        <v>1</v>
      </c>
      <c r="G1297" s="7" t="n">
        <v>180.02</v>
      </c>
    </row>
    <row r="1298" customFormat="false" ht="15" hidden="false" customHeight="false" outlineLevel="0" collapsed="false">
      <c r="A1298" s="7" t="s">
        <v>24</v>
      </c>
      <c r="B1298" s="7" t="s">
        <v>116</v>
      </c>
      <c r="C1298" s="7" t="s">
        <v>1044</v>
      </c>
      <c r="D1298" s="7" t="n">
        <v>0</v>
      </c>
      <c r="E1298" s="7" t="n">
        <v>0</v>
      </c>
      <c r="F1298" s="7" t="n">
        <v>1</v>
      </c>
      <c r="G1298" s="7" t="n">
        <v>211.78</v>
      </c>
    </row>
    <row r="1299" customFormat="false" ht="15" hidden="false" customHeight="false" outlineLevel="0" collapsed="false">
      <c r="A1299" s="7" t="s">
        <v>24</v>
      </c>
      <c r="B1299" s="7" t="s">
        <v>116</v>
      </c>
      <c r="C1299" s="7" t="s">
        <v>1044</v>
      </c>
      <c r="D1299" s="7" t="n">
        <v>0</v>
      </c>
      <c r="E1299" s="7" t="n">
        <v>0</v>
      </c>
      <c r="F1299" s="7" t="n">
        <v>1</v>
      </c>
      <c r="G1299" s="7" t="n">
        <v>190.6</v>
      </c>
    </row>
    <row r="1300" customFormat="false" ht="15" hidden="false" customHeight="false" outlineLevel="0" collapsed="false">
      <c r="A1300" s="7" t="s">
        <v>24</v>
      </c>
      <c r="B1300" s="7" t="s">
        <v>116</v>
      </c>
      <c r="C1300" s="7" t="s">
        <v>1044</v>
      </c>
      <c r="D1300" s="7" t="n">
        <v>0</v>
      </c>
      <c r="E1300" s="7" t="n">
        <v>0</v>
      </c>
      <c r="F1300" s="7" t="n">
        <v>1</v>
      </c>
      <c r="G1300" s="7" t="n">
        <v>211.78</v>
      </c>
    </row>
    <row r="1301" customFormat="false" ht="15" hidden="false" customHeight="false" outlineLevel="0" collapsed="false">
      <c r="A1301" s="7" t="s">
        <v>24</v>
      </c>
      <c r="B1301" s="7" t="s">
        <v>116</v>
      </c>
      <c r="C1301" s="7" t="s">
        <v>1044</v>
      </c>
      <c r="D1301" s="7" t="n">
        <v>0</v>
      </c>
      <c r="E1301" s="7" t="n">
        <v>0</v>
      </c>
      <c r="F1301" s="7" t="n">
        <v>1</v>
      </c>
      <c r="G1301" s="7" t="n">
        <v>211.78</v>
      </c>
    </row>
    <row r="1302" customFormat="false" ht="15" hidden="false" customHeight="false" outlineLevel="0" collapsed="false">
      <c r="A1302" s="7" t="s">
        <v>24</v>
      </c>
      <c r="B1302" s="7" t="s">
        <v>116</v>
      </c>
      <c r="C1302" s="7" t="s">
        <v>1044</v>
      </c>
      <c r="D1302" s="7" t="n">
        <v>29</v>
      </c>
      <c r="E1302" s="7" t="n">
        <v>5601.54</v>
      </c>
      <c r="F1302" s="7" t="n">
        <v>62</v>
      </c>
      <c r="G1302" s="7" t="n">
        <v>12238.63</v>
      </c>
    </row>
    <row r="1303" customFormat="false" ht="15" hidden="false" customHeight="false" outlineLevel="0" collapsed="false">
      <c r="A1303" s="7" t="s">
        <v>24</v>
      </c>
      <c r="B1303" s="7" t="s">
        <v>116</v>
      </c>
      <c r="C1303" s="7" t="s">
        <v>1044</v>
      </c>
      <c r="D1303" s="7" t="n">
        <v>0</v>
      </c>
      <c r="E1303" s="7" t="n">
        <v>0</v>
      </c>
      <c r="F1303" s="7" t="n">
        <v>1</v>
      </c>
      <c r="G1303" s="7" t="n">
        <v>190.6</v>
      </c>
    </row>
    <row r="1304" customFormat="false" ht="15" hidden="false" customHeight="false" outlineLevel="0" collapsed="false">
      <c r="A1304" s="7" t="s">
        <v>24</v>
      </c>
      <c r="B1304" s="7" t="s">
        <v>116</v>
      </c>
      <c r="C1304" s="7" t="s">
        <v>1044</v>
      </c>
      <c r="D1304" s="7" t="n">
        <v>0</v>
      </c>
      <c r="E1304" s="7" t="n">
        <v>0</v>
      </c>
      <c r="F1304" s="7" t="n">
        <v>1</v>
      </c>
      <c r="G1304" s="7" t="n">
        <v>193.5</v>
      </c>
    </row>
    <row r="1305" customFormat="false" ht="15" hidden="false" customHeight="false" outlineLevel="0" collapsed="false">
      <c r="A1305" s="7" t="s">
        <v>24</v>
      </c>
      <c r="B1305" s="7" t="s">
        <v>116</v>
      </c>
      <c r="C1305" s="7" t="s">
        <v>1044</v>
      </c>
      <c r="D1305" s="7" t="n">
        <v>0</v>
      </c>
      <c r="E1305" s="7" t="n">
        <v>0</v>
      </c>
      <c r="F1305" s="7" t="n">
        <v>1</v>
      </c>
      <c r="G1305" s="7" t="n">
        <v>190.6</v>
      </c>
    </row>
    <row r="1306" customFormat="false" ht="15" hidden="false" customHeight="false" outlineLevel="0" collapsed="false">
      <c r="A1306" s="7" t="s">
        <v>24</v>
      </c>
      <c r="B1306" s="7" t="s">
        <v>116</v>
      </c>
      <c r="C1306" s="7" t="s">
        <v>1044</v>
      </c>
      <c r="D1306" s="7" t="n">
        <v>0</v>
      </c>
      <c r="E1306" s="7" t="n">
        <v>0</v>
      </c>
      <c r="F1306" s="7" t="n">
        <v>1</v>
      </c>
      <c r="G1306" s="7" t="n">
        <v>180.02</v>
      </c>
    </row>
    <row r="1307" customFormat="false" ht="15" hidden="false" customHeight="false" outlineLevel="0" collapsed="false">
      <c r="A1307" s="7" t="s">
        <v>24</v>
      </c>
      <c r="B1307" s="7" t="s">
        <v>116</v>
      </c>
      <c r="C1307" s="7" t="s">
        <v>1044</v>
      </c>
      <c r="D1307" s="7" t="n">
        <v>0</v>
      </c>
      <c r="E1307" s="7" t="n">
        <v>0</v>
      </c>
      <c r="F1307" s="7" t="n">
        <v>1</v>
      </c>
      <c r="G1307" s="7" t="n">
        <v>211.78</v>
      </c>
    </row>
    <row r="1308" customFormat="false" ht="15" hidden="false" customHeight="false" outlineLevel="0" collapsed="false">
      <c r="A1308" s="7" t="s">
        <v>24</v>
      </c>
      <c r="B1308" s="7" t="s">
        <v>116</v>
      </c>
      <c r="C1308" s="7" t="s">
        <v>1044</v>
      </c>
      <c r="D1308" s="7" t="n">
        <v>0</v>
      </c>
      <c r="E1308" s="7" t="n">
        <v>0</v>
      </c>
      <c r="F1308" s="7" t="n">
        <v>1</v>
      </c>
      <c r="G1308" s="7" t="n">
        <v>211.78</v>
      </c>
    </row>
    <row r="1309" customFormat="false" ht="15" hidden="false" customHeight="false" outlineLevel="0" collapsed="false">
      <c r="A1309" s="7" t="s">
        <v>24</v>
      </c>
      <c r="B1309" s="7" t="s">
        <v>116</v>
      </c>
      <c r="C1309" s="7" t="s">
        <v>1044</v>
      </c>
      <c r="D1309" s="7" t="n">
        <v>0</v>
      </c>
      <c r="E1309" s="7" t="n">
        <v>0</v>
      </c>
      <c r="F1309" s="7" t="n">
        <v>1</v>
      </c>
      <c r="G1309" s="7" t="n">
        <v>148.25</v>
      </c>
    </row>
    <row r="1310" customFormat="false" ht="15" hidden="false" customHeight="false" outlineLevel="0" collapsed="false">
      <c r="A1310" s="7" t="s">
        <v>24</v>
      </c>
      <c r="B1310" s="7" t="s">
        <v>116</v>
      </c>
      <c r="C1310" s="7" t="s">
        <v>1044</v>
      </c>
      <c r="D1310" s="7" t="n">
        <v>0</v>
      </c>
      <c r="E1310" s="7" t="n">
        <v>0</v>
      </c>
      <c r="F1310" s="7" t="n">
        <v>1</v>
      </c>
      <c r="G1310" s="7" t="n">
        <v>126.4</v>
      </c>
    </row>
    <row r="1311" customFormat="false" ht="15" hidden="false" customHeight="false" outlineLevel="0" collapsed="false">
      <c r="A1311" s="7" t="s">
        <v>24</v>
      </c>
      <c r="B1311" s="7" t="s">
        <v>116</v>
      </c>
      <c r="C1311" s="7" t="s">
        <v>1044</v>
      </c>
      <c r="D1311" s="7" t="n">
        <v>0</v>
      </c>
      <c r="E1311" s="7" t="n">
        <v>0</v>
      </c>
      <c r="F1311" s="7" t="n">
        <v>1</v>
      </c>
      <c r="G1311" s="7" t="n">
        <v>190.61</v>
      </c>
    </row>
    <row r="1312" customFormat="false" ht="15" hidden="false" customHeight="false" outlineLevel="0" collapsed="false">
      <c r="A1312" s="7" t="s">
        <v>24</v>
      </c>
      <c r="B1312" s="7" t="s">
        <v>116</v>
      </c>
      <c r="C1312" s="7" t="s">
        <v>1044</v>
      </c>
      <c r="D1312" s="7" t="n">
        <v>0</v>
      </c>
      <c r="E1312" s="7" t="n">
        <v>0</v>
      </c>
      <c r="F1312" s="7" t="n">
        <v>1</v>
      </c>
      <c r="G1312" s="7" t="n">
        <v>180.02</v>
      </c>
    </row>
    <row r="1313" customFormat="false" ht="15" hidden="false" customHeight="false" outlineLevel="0" collapsed="false">
      <c r="A1313" s="7" t="s">
        <v>24</v>
      </c>
      <c r="B1313" s="7" t="s">
        <v>116</v>
      </c>
      <c r="C1313" s="7" t="s">
        <v>1044</v>
      </c>
      <c r="D1313" s="7" t="n">
        <v>0</v>
      </c>
      <c r="E1313" s="7" t="n">
        <v>0</v>
      </c>
      <c r="F1313" s="7" t="n">
        <v>1</v>
      </c>
      <c r="G1313" s="7" t="n">
        <v>190.6</v>
      </c>
    </row>
    <row r="1314" customFormat="false" ht="15" hidden="false" customHeight="false" outlineLevel="0" collapsed="false">
      <c r="A1314" s="7" t="s">
        <v>24</v>
      </c>
      <c r="B1314" s="7" t="s">
        <v>116</v>
      </c>
      <c r="C1314" s="7" t="s">
        <v>1044</v>
      </c>
      <c r="D1314" s="7" t="n">
        <v>0</v>
      </c>
      <c r="E1314" s="7" t="n">
        <v>0</v>
      </c>
      <c r="F1314" s="7" t="n">
        <v>1</v>
      </c>
      <c r="G1314" s="7" t="n">
        <v>212</v>
      </c>
    </row>
    <row r="1315" customFormat="false" ht="15" hidden="false" customHeight="false" outlineLevel="0" collapsed="false">
      <c r="A1315" s="7" t="s">
        <v>24</v>
      </c>
      <c r="B1315" s="7" t="s">
        <v>116</v>
      </c>
      <c r="C1315" s="7" t="s">
        <v>1044</v>
      </c>
      <c r="D1315" s="7" t="n">
        <v>0</v>
      </c>
      <c r="E1315" s="7" t="n">
        <v>0</v>
      </c>
      <c r="F1315" s="7" t="n">
        <v>1</v>
      </c>
      <c r="G1315" s="7" t="n">
        <v>190.61</v>
      </c>
    </row>
    <row r="1316" customFormat="false" ht="15" hidden="false" customHeight="false" outlineLevel="0" collapsed="false">
      <c r="A1316" s="7" t="s">
        <v>24</v>
      </c>
      <c r="B1316" s="7" t="s">
        <v>114</v>
      </c>
      <c r="C1316" s="7" t="s">
        <v>1044</v>
      </c>
      <c r="D1316" s="7" t="n">
        <v>0</v>
      </c>
      <c r="E1316" s="7" t="n">
        <v>0</v>
      </c>
      <c r="F1316" s="7" t="n">
        <v>2</v>
      </c>
      <c r="G1316" s="7" t="n">
        <v>423.56</v>
      </c>
    </row>
    <row r="1317" customFormat="false" ht="15" hidden="false" customHeight="false" outlineLevel="0" collapsed="false">
      <c r="A1317" s="7" t="s">
        <v>24</v>
      </c>
      <c r="B1317" s="7" t="s">
        <v>114</v>
      </c>
      <c r="C1317" s="7" t="s">
        <v>1044</v>
      </c>
      <c r="D1317" s="7" t="n">
        <v>0</v>
      </c>
      <c r="E1317" s="7" t="n">
        <v>0</v>
      </c>
      <c r="F1317" s="7" t="n">
        <v>1</v>
      </c>
      <c r="G1317" s="7" t="n">
        <v>211.78</v>
      </c>
    </row>
    <row r="1318" customFormat="false" ht="15" hidden="false" customHeight="false" outlineLevel="0" collapsed="false">
      <c r="A1318" s="7" t="s">
        <v>24</v>
      </c>
      <c r="B1318" s="7" t="s">
        <v>114</v>
      </c>
      <c r="C1318" s="7" t="s">
        <v>1044</v>
      </c>
      <c r="D1318" s="7" t="n">
        <v>0</v>
      </c>
      <c r="E1318" s="7" t="n">
        <v>0</v>
      </c>
      <c r="F1318" s="7" t="n">
        <v>1</v>
      </c>
      <c r="G1318" s="7" t="n">
        <v>211.78</v>
      </c>
    </row>
    <row r="1319" customFormat="false" ht="15" hidden="false" customHeight="false" outlineLevel="0" collapsed="false">
      <c r="A1319" s="7" t="s">
        <v>24</v>
      </c>
      <c r="B1319" s="7" t="s">
        <v>114</v>
      </c>
      <c r="C1319" s="7" t="s">
        <v>1044</v>
      </c>
      <c r="D1319" s="7" t="n">
        <v>0</v>
      </c>
      <c r="E1319" s="7" t="n">
        <v>0</v>
      </c>
      <c r="F1319" s="7" t="n">
        <v>1</v>
      </c>
      <c r="G1319" s="7" t="n">
        <v>211.78</v>
      </c>
    </row>
    <row r="1320" customFormat="false" ht="15" hidden="false" customHeight="false" outlineLevel="0" collapsed="false">
      <c r="A1320" s="7" t="s">
        <v>24</v>
      </c>
      <c r="B1320" s="7" t="s">
        <v>114</v>
      </c>
      <c r="C1320" s="7" t="s">
        <v>1044</v>
      </c>
      <c r="D1320" s="7" t="n">
        <v>0</v>
      </c>
      <c r="E1320" s="7" t="n">
        <v>0</v>
      </c>
      <c r="F1320" s="7" t="n">
        <v>1</v>
      </c>
      <c r="G1320" s="7" t="n">
        <v>190.6</v>
      </c>
    </row>
    <row r="1321" customFormat="false" ht="15" hidden="false" customHeight="false" outlineLevel="0" collapsed="false">
      <c r="A1321" s="7" t="s">
        <v>24</v>
      </c>
      <c r="B1321" s="7" t="s">
        <v>114</v>
      </c>
      <c r="C1321" s="7" t="s">
        <v>1044</v>
      </c>
      <c r="D1321" s="7" t="n">
        <v>0</v>
      </c>
      <c r="E1321" s="7" t="n">
        <v>0</v>
      </c>
      <c r="F1321" s="7" t="n">
        <v>1</v>
      </c>
      <c r="G1321" s="7" t="n">
        <v>211.78</v>
      </c>
    </row>
    <row r="1322" customFormat="false" ht="15" hidden="false" customHeight="false" outlineLevel="0" collapsed="false">
      <c r="A1322" s="7" t="s">
        <v>24</v>
      </c>
      <c r="B1322" s="7" t="s">
        <v>114</v>
      </c>
      <c r="C1322" s="7" t="s">
        <v>1044</v>
      </c>
      <c r="D1322" s="7" t="n">
        <v>0</v>
      </c>
      <c r="E1322" s="7" t="n">
        <v>0</v>
      </c>
      <c r="F1322" s="7" t="n">
        <v>1</v>
      </c>
      <c r="G1322" s="7" t="n">
        <v>190.6</v>
      </c>
    </row>
    <row r="1323" customFormat="false" ht="15" hidden="false" customHeight="false" outlineLevel="0" collapsed="false">
      <c r="A1323" s="7" t="s">
        <v>24</v>
      </c>
      <c r="B1323" s="7" t="s">
        <v>114</v>
      </c>
      <c r="C1323" s="7" t="s">
        <v>1044</v>
      </c>
      <c r="D1323" s="7" t="n">
        <v>21</v>
      </c>
      <c r="E1323" s="7" t="n">
        <v>3928.48</v>
      </c>
      <c r="F1323" s="7" t="n">
        <v>70</v>
      </c>
      <c r="G1323" s="7" t="n">
        <v>13598.7</v>
      </c>
    </row>
    <row r="1324" customFormat="false" ht="15" hidden="false" customHeight="false" outlineLevel="0" collapsed="false">
      <c r="A1324" s="7" t="s">
        <v>24</v>
      </c>
      <c r="B1324" s="7" t="s">
        <v>114</v>
      </c>
      <c r="C1324" s="7" t="s">
        <v>1044</v>
      </c>
      <c r="D1324" s="7" t="n">
        <v>0</v>
      </c>
      <c r="E1324" s="7" t="n">
        <v>0</v>
      </c>
      <c r="F1324" s="7" t="n">
        <v>1</v>
      </c>
      <c r="G1324" s="7" t="n">
        <v>211.78</v>
      </c>
    </row>
    <row r="1325" customFormat="false" ht="15" hidden="false" customHeight="false" outlineLevel="0" collapsed="false">
      <c r="A1325" s="7" t="s">
        <v>24</v>
      </c>
      <c r="B1325" s="7" t="s">
        <v>114</v>
      </c>
      <c r="C1325" s="7" t="s">
        <v>1044</v>
      </c>
      <c r="D1325" s="7" t="n">
        <v>0</v>
      </c>
      <c r="E1325" s="7" t="n">
        <v>0</v>
      </c>
      <c r="F1325" s="7" t="n">
        <v>1</v>
      </c>
      <c r="G1325" s="7" t="n">
        <v>180.02</v>
      </c>
    </row>
    <row r="1326" customFormat="false" ht="15" hidden="false" customHeight="false" outlineLevel="0" collapsed="false">
      <c r="A1326" s="7" t="s">
        <v>24</v>
      </c>
      <c r="B1326" s="7" t="s">
        <v>114</v>
      </c>
      <c r="C1326" s="7" t="s">
        <v>1044</v>
      </c>
      <c r="D1326" s="7" t="n">
        <v>0</v>
      </c>
      <c r="E1326" s="7" t="n">
        <v>0</v>
      </c>
      <c r="F1326" s="7" t="n">
        <v>2</v>
      </c>
      <c r="G1326" s="7" t="n">
        <v>423.56</v>
      </c>
    </row>
    <row r="1327" customFormat="false" ht="15" hidden="false" customHeight="false" outlineLevel="0" collapsed="false">
      <c r="A1327" s="7" t="s">
        <v>24</v>
      </c>
      <c r="B1327" s="7" t="s">
        <v>114</v>
      </c>
      <c r="C1327" s="7" t="s">
        <v>1044</v>
      </c>
      <c r="D1327" s="7" t="n">
        <v>0</v>
      </c>
      <c r="E1327" s="7" t="n">
        <v>0</v>
      </c>
      <c r="F1327" s="7" t="n">
        <v>1</v>
      </c>
      <c r="G1327" s="7" t="n">
        <v>190.6</v>
      </c>
    </row>
    <row r="1328" customFormat="false" ht="15" hidden="false" customHeight="false" outlineLevel="0" collapsed="false">
      <c r="A1328" s="7" t="s">
        <v>24</v>
      </c>
      <c r="B1328" s="7" t="s">
        <v>114</v>
      </c>
      <c r="C1328" s="7" t="s">
        <v>1044</v>
      </c>
      <c r="D1328" s="7" t="n">
        <v>0</v>
      </c>
      <c r="E1328" s="7" t="n">
        <v>0</v>
      </c>
      <c r="F1328" s="7" t="n">
        <v>1</v>
      </c>
      <c r="G1328" s="7" t="n">
        <v>126.9</v>
      </c>
    </row>
    <row r="1329" customFormat="false" ht="15" hidden="false" customHeight="false" outlineLevel="0" collapsed="false">
      <c r="A1329" s="7" t="s">
        <v>24</v>
      </c>
      <c r="B1329" s="7" t="s">
        <v>114</v>
      </c>
      <c r="C1329" s="7" t="s">
        <v>1044</v>
      </c>
      <c r="D1329" s="7" t="n">
        <v>0</v>
      </c>
      <c r="E1329" s="7" t="n">
        <v>0</v>
      </c>
      <c r="F1329" s="7" t="n">
        <v>1</v>
      </c>
      <c r="G1329" s="7" t="n">
        <v>190.6</v>
      </c>
    </row>
    <row r="1330" customFormat="false" ht="15" hidden="false" customHeight="false" outlineLevel="0" collapsed="false">
      <c r="A1330" s="7" t="s">
        <v>24</v>
      </c>
      <c r="B1330" s="7" t="s">
        <v>114</v>
      </c>
      <c r="C1330" s="7" t="s">
        <v>1044</v>
      </c>
      <c r="D1330" s="7" t="n">
        <v>0</v>
      </c>
      <c r="E1330" s="7" t="n">
        <v>0</v>
      </c>
      <c r="F1330" s="7" t="n">
        <v>1</v>
      </c>
      <c r="G1330" s="7" t="n">
        <v>190.61</v>
      </c>
    </row>
    <row r="1331" customFormat="false" ht="15" hidden="false" customHeight="false" outlineLevel="0" collapsed="false">
      <c r="A1331" s="7" t="s">
        <v>24</v>
      </c>
      <c r="B1331" s="7" t="s">
        <v>114</v>
      </c>
      <c r="C1331" s="7" t="s">
        <v>1044</v>
      </c>
      <c r="D1331" s="7" t="n">
        <v>0</v>
      </c>
      <c r="E1331" s="7" t="n">
        <v>0</v>
      </c>
      <c r="F1331" s="7" t="n">
        <v>1</v>
      </c>
      <c r="G1331" s="7" t="n">
        <v>190.6</v>
      </c>
    </row>
    <row r="1332" customFormat="false" ht="15" hidden="false" customHeight="false" outlineLevel="0" collapsed="false">
      <c r="A1332" s="7" t="s">
        <v>24</v>
      </c>
      <c r="B1332" s="7" t="s">
        <v>114</v>
      </c>
      <c r="C1332" s="7" t="s">
        <v>1044</v>
      </c>
      <c r="D1332" s="7" t="n">
        <v>0</v>
      </c>
      <c r="E1332" s="7" t="n">
        <v>0</v>
      </c>
      <c r="F1332" s="7" t="n">
        <v>1</v>
      </c>
      <c r="G1332" s="7" t="n">
        <v>180.02</v>
      </c>
    </row>
    <row r="1333" customFormat="false" ht="15" hidden="false" customHeight="false" outlineLevel="0" collapsed="false">
      <c r="A1333" s="7" t="s">
        <v>24</v>
      </c>
      <c r="B1333" s="7" t="s">
        <v>114</v>
      </c>
      <c r="C1333" s="7" t="s">
        <v>1044</v>
      </c>
      <c r="D1333" s="7" t="n">
        <v>0</v>
      </c>
      <c r="E1333" s="7" t="n">
        <v>0</v>
      </c>
      <c r="F1333" s="7" t="n">
        <v>1</v>
      </c>
      <c r="G1333" s="7" t="n">
        <v>211.78</v>
      </c>
    </row>
    <row r="1334" customFormat="false" ht="15" hidden="false" customHeight="false" outlineLevel="0" collapsed="false">
      <c r="A1334" s="7" t="s">
        <v>24</v>
      </c>
      <c r="B1334" s="7" t="s">
        <v>114</v>
      </c>
      <c r="C1334" s="7" t="s">
        <v>1044</v>
      </c>
      <c r="D1334" s="7" t="n">
        <v>0</v>
      </c>
      <c r="E1334" s="7" t="n">
        <v>0</v>
      </c>
      <c r="F1334" s="7" t="n">
        <v>1</v>
      </c>
      <c r="G1334" s="7" t="n">
        <v>211.78</v>
      </c>
    </row>
    <row r="1335" customFormat="false" ht="15" hidden="false" customHeight="false" outlineLevel="0" collapsed="false">
      <c r="A1335" s="7" t="s">
        <v>24</v>
      </c>
      <c r="B1335" s="7" t="s">
        <v>683</v>
      </c>
      <c r="C1335" s="7" t="s">
        <v>1201</v>
      </c>
      <c r="D1335" s="7" t="n">
        <v>0</v>
      </c>
      <c r="E1335" s="7" t="n">
        <v>0</v>
      </c>
      <c r="F1335" s="7" t="n">
        <v>1</v>
      </c>
      <c r="G1335" s="7" t="n">
        <v>55</v>
      </c>
    </row>
    <row r="1336" customFormat="false" ht="15" hidden="false" customHeight="false" outlineLevel="0" collapsed="false">
      <c r="A1336" s="7" t="s">
        <v>24</v>
      </c>
      <c r="B1336" s="7" t="s">
        <v>683</v>
      </c>
      <c r="C1336" s="7" t="s">
        <v>1201</v>
      </c>
      <c r="D1336" s="7" t="n">
        <v>0</v>
      </c>
      <c r="E1336" s="7" t="n">
        <v>0</v>
      </c>
      <c r="F1336" s="7" t="n">
        <v>1</v>
      </c>
      <c r="G1336" s="7" t="n">
        <v>55</v>
      </c>
    </row>
    <row r="1337" customFormat="false" ht="15" hidden="false" customHeight="false" outlineLevel="0" collapsed="false">
      <c r="A1337" s="7" t="s">
        <v>24</v>
      </c>
      <c r="B1337" s="7" t="s">
        <v>683</v>
      </c>
      <c r="C1337" s="7" t="s">
        <v>1201</v>
      </c>
      <c r="D1337" s="7" t="n">
        <v>0</v>
      </c>
      <c r="E1337" s="7" t="n">
        <v>0</v>
      </c>
      <c r="F1337" s="7" t="n">
        <v>1</v>
      </c>
      <c r="G1337" s="7" t="n">
        <v>55</v>
      </c>
    </row>
    <row r="1338" customFormat="false" ht="15" hidden="false" customHeight="false" outlineLevel="0" collapsed="false">
      <c r="A1338" s="7" t="s">
        <v>24</v>
      </c>
      <c r="B1338" s="7" t="s">
        <v>683</v>
      </c>
      <c r="C1338" s="7" t="s">
        <v>1201</v>
      </c>
      <c r="D1338" s="7" t="n">
        <v>37</v>
      </c>
      <c r="E1338" s="7" t="n">
        <v>1933.25</v>
      </c>
      <c r="F1338" s="7" t="n">
        <v>21</v>
      </c>
      <c r="G1338" s="7" t="n">
        <v>1144</v>
      </c>
    </row>
    <row r="1339" customFormat="false" ht="15" hidden="false" customHeight="false" outlineLevel="0" collapsed="false">
      <c r="A1339" s="7" t="s">
        <v>24</v>
      </c>
      <c r="B1339" s="7" t="s">
        <v>683</v>
      </c>
      <c r="C1339" s="7" t="s">
        <v>1201</v>
      </c>
      <c r="D1339" s="7" t="n">
        <v>0</v>
      </c>
      <c r="E1339" s="7" t="n">
        <v>0</v>
      </c>
      <c r="F1339" s="7" t="n">
        <v>2</v>
      </c>
      <c r="G1339" s="7" t="n">
        <v>93.51</v>
      </c>
    </row>
    <row r="1340" customFormat="false" ht="15" hidden="false" customHeight="false" outlineLevel="0" collapsed="false">
      <c r="A1340" s="7" t="s">
        <v>24</v>
      </c>
      <c r="B1340" s="7" t="s">
        <v>683</v>
      </c>
      <c r="C1340" s="7" t="s">
        <v>1201</v>
      </c>
      <c r="D1340" s="7" t="n">
        <v>0</v>
      </c>
      <c r="E1340" s="7" t="n">
        <v>0</v>
      </c>
      <c r="F1340" s="7" t="n">
        <v>1</v>
      </c>
      <c r="G1340" s="7" t="n">
        <v>55</v>
      </c>
    </row>
    <row r="1341" customFormat="false" ht="15" hidden="false" customHeight="false" outlineLevel="0" collapsed="false">
      <c r="A1341" s="7" t="s">
        <v>24</v>
      </c>
      <c r="B1341" s="7" t="s">
        <v>683</v>
      </c>
      <c r="C1341" s="7" t="s">
        <v>1201</v>
      </c>
      <c r="D1341" s="7" t="n">
        <v>0</v>
      </c>
      <c r="E1341" s="7" t="n">
        <v>0</v>
      </c>
      <c r="F1341" s="7" t="n">
        <v>2</v>
      </c>
      <c r="G1341" s="7" t="n">
        <v>93.51</v>
      </c>
    </row>
    <row r="1342" customFormat="false" ht="15" hidden="false" customHeight="false" outlineLevel="0" collapsed="false">
      <c r="A1342" s="7" t="s">
        <v>24</v>
      </c>
      <c r="B1342" s="7" t="s">
        <v>683</v>
      </c>
      <c r="C1342" s="7" t="s">
        <v>1201</v>
      </c>
      <c r="D1342" s="7" t="n">
        <v>0</v>
      </c>
      <c r="E1342" s="7" t="n">
        <v>0</v>
      </c>
      <c r="F1342" s="7" t="n">
        <v>1</v>
      </c>
      <c r="G1342" s="7" t="n">
        <v>49.5</v>
      </c>
    </row>
    <row r="1343" customFormat="false" ht="15" hidden="false" customHeight="false" outlineLevel="0" collapsed="false">
      <c r="A1343" s="7" t="s">
        <v>24</v>
      </c>
      <c r="B1343" s="7" t="s">
        <v>683</v>
      </c>
      <c r="C1343" s="7" t="s">
        <v>1201</v>
      </c>
      <c r="D1343" s="7" t="n">
        <v>0</v>
      </c>
      <c r="E1343" s="7" t="n">
        <v>0</v>
      </c>
      <c r="F1343" s="7" t="n">
        <v>1</v>
      </c>
      <c r="G1343" s="7" t="n">
        <v>46.76</v>
      </c>
    </row>
    <row r="1344" customFormat="false" ht="15" hidden="false" customHeight="false" outlineLevel="0" collapsed="false">
      <c r="A1344" s="7" t="s">
        <v>24</v>
      </c>
      <c r="B1344" s="7" t="s">
        <v>683</v>
      </c>
      <c r="C1344" s="7" t="s">
        <v>1201</v>
      </c>
      <c r="D1344" s="7" t="n">
        <v>0</v>
      </c>
      <c r="E1344" s="7" t="n">
        <v>0</v>
      </c>
      <c r="F1344" s="7" t="n">
        <v>1</v>
      </c>
      <c r="G1344" s="7" t="n">
        <v>55</v>
      </c>
    </row>
    <row r="1345" customFormat="false" ht="15" hidden="false" customHeight="false" outlineLevel="0" collapsed="false">
      <c r="A1345" s="7" t="s">
        <v>24</v>
      </c>
      <c r="B1345" s="7" t="s">
        <v>683</v>
      </c>
      <c r="C1345" s="7" t="s">
        <v>1201</v>
      </c>
      <c r="D1345" s="7" t="n">
        <v>0</v>
      </c>
      <c r="E1345" s="7" t="n">
        <v>0</v>
      </c>
      <c r="F1345" s="7" t="n">
        <v>1</v>
      </c>
      <c r="G1345" s="7" t="n">
        <v>55</v>
      </c>
    </row>
    <row r="1346" customFormat="false" ht="15" hidden="false" customHeight="false" outlineLevel="0" collapsed="false">
      <c r="A1346" s="7" t="s">
        <v>24</v>
      </c>
      <c r="B1346" s="7" t="s">
        <v>683</v>
      </c>
      <c r="C1346" s="7" t="s">
        <v>1201</v>
      </c>
      <c r="D1346" s="7" t="n">
        <v>0</v>
      </c>
      <c r="E1346" s="7" t="n">
        <v>0</v>
      </c>
      <c r="F1346" s="7" t="n">
        <v>1</v>
      </c>
      <c r="G1346" s="7" t="n">
        <v>49.5</v>
      </c>
    </row>
    <row r="1347" customFormat="false" ht="15" hidden="false" customHeight="false" outlineLevel="0" collapsed="false">
      <c r="A1347" s="7" t="s">
        <v>24</v>
      </c>
      <c r="B1347" s="7" t="s">
        <v>683</v>
      </c>
      <c r="C1347" s="7" t="s">
        <v>1201</v>
      </c>
      <c r="D1347" s="7" t="n">
        <v>0</v>
      </c>
      <c r="E1347" s="7" t="n">
        <v>0</v>
      </c>
      <c r="F1347" s="7" t="n">
        <v>1</v>
      </c>
      <c r="G1347" s="7" t="n">
        <v>55</v>
      </c>
    </row>
    <row r="1348" customFormat="false" ht="15" hidden="false" customHeight="false" outlineLevel="0" collapsed="false">
      <c r="A1348" s="7" t="s">
        <v>24</v>
      </c>
      <c r="B1348" s="7" t="s">
        <v>683</v>
      </c>
      <c r="C1348" s="7" t="s">
        <v>1201</v>
      </c>
      <c r="D1348" s="7" t="n">
        <v>0</v>
      </c>
      <c r="E1348" s="7" t="n">
        <v>0</v>
      </c>
      <c r="F1348" s="7" t="n">
        <v>1</v>
      </c>
      <c r="G1348" s="7" t="n">
        <v>55</v>
      </c>
    </row>
    <row r="1349" customFormat="false" ht="15" hidden="false" customHeight="false" outlineLevel="0" collapsed="false">
      <c r="A1349" s="7" t="s">
        <v>24</v>
      </c>
      <c r="B1349" s="7" t="s">
        <v>683</v>
      </c>
      <c r="C1349" s="7" t="s">
        <v>1201</v>
      </c>
      <c r="D1349" s="7" t="n">
        <v>0</v>
      </c>
      <c r="E1349" s="7" t="n">
        <v>0</v>
      </c>
      <c r="F1349" s="7" t="n">
        <v>2</v>
      </c>
      <c r="G1349" s="7" t="n">
        <v>110</v>
      </c>
    </row>
    <row r="1350" customFormat="false" ht="15" hidden="false" customHeight="false" outlineLevel="0" collapsed="false">
      <c r="A1350" s="7" t="s">
        <v>24</v>
      </c>
      <c r="B1350" s="7" t="s">
        <v>683</v>
      </c>
      <c r="C1350" s="7" t="s">
        <v>1201</v>
      </c>
      <c r="D1350" s="7" t="n">
        <v>3</v>
      </c>
      <c r="E1350" s="7" t="n">
        <v>139.35</v>
      </c>
      <c r="F1350" s="7" t="n">
        <v>0</v>
      </c>
      <c r="G1350" s="7" t="n">
        <v>0</v>
      </c>
    </row>
    <row r="1351" customFormat="false" ht="15" hidden="false" customHeight="false" outlineLevel="0" collapsed="false">
      <c r="A1351" s="7" t="s">
        <v>24</v>
      </c>
      <c r="B1351" s="7" t="s">
        <v>683</v>
      </c>
      <c r="C1351" s="7" t="s">
        <v>1201</v>
      </c>
      <c r="D1351" s="7" t="n">
        <v>0</v>
      </c>
      <c r="E1351" s="7" t="n">
        <v>0</v>
      </c>
      <c r="F1351" s="7" t="n">
        <v>1</v>
      </c>
      <c r="G1351" s="7" t="n">
        <v>55</v>
      </c>
    </row>
    <row r="1352" customFormat="false" ht="15" hidden="false" customHeight="false" outlineLevel="0" collapsed="false">
      <c r="A1352" s="7" t="s">
        <v>24</v>
      </c>
      <c r="B1352" s="7" t="s">
        <v>683</v>
      </c>
      <c r="C1352" s="7" t="s">
        <v>1201</v>
      </c>
      <c r="D1352" s="7" t="n">
        <v>0</v>
      </c>
      <c r="E1352" s="7" t="n">
        <v>0</v>
      </c>
      <c r="F1352" s="7" t="n">
        <v>1</v>
      </c>
      <c r="G1352" s="7" t="n">
        <v>49.5</v>
      </c>
    </row>
    <row r="1353" customFormat="false" ht="15" hidden="false" customHeight="false" outlineLevel="0" collapsed="false">
      <c r="A1353" s="7" t="s">
        <v>24</v>
      </c>
      <c r="B1353" s="7" t="s">
        <v>683</v>
      </c>
      <c r="C1353" s="7" t="s">
        <v>1201</v>
      </c>
      <c r="D1353" s="7" t="n">
        <v>0</v>
      </c>
      <c r="E1353" s="7" t="n">
        <v>0</v>
      </c>
      <c r="F1353" s="7" t="n">
        <v>1</v>
      </c>
      <c r="G1353" s="7" t="n">
        <v>55</v>
      </c>
    </row>
    <row r="1354" customFormat="false" ht="15" hidden="false" customHeight="false" outlineLevel="0" collapsed="false">
      <c r="A1354" s="7" t="s">
        <v>24</v>
      </c>
      <c r="B1354" s="7" t="s">
        <v>405</v>
      </c>
      <c r="C1354" s="7" t="s">
        <v>1141</v>
      </c>
      <c r="D1354" s="7" t="n">
        <v>0</v>
      </c>
      <c r="E1354" s="7" t="n">
        <v>0</v>
      </c>
      <c r="F1354" s="7" t="n">
        <v>1</v>
      </c>
      <c r="G1354" s="7" t="n">
        <v>36.36</v>
      </c>
    </row>
    <row r="1355" customFormat="false" ht="15" hidden="false" customHeight="false" outlineLevel="0" collapsed="false">
      <c r="A1355" s="7" t="s">
        <v>24</v>
      </c>
      <c r="B1355" s="7" t="s">
        <v>405</v>
      </c>
      <c r="C1355" s="7" t="s">
        <v>1141</v>
      </c>
      <c r="D1355" s="7" t="n">
        <v>0</v>
      </c>
      <c r="E1355" s="7" t="n">
        <v>0</v>
      </c>
      <c r="F1355" s="7" t="n">
        <v>1</v>
      </c>
      <c r="G1355" s="7" t="n">
        <v>36.36</v>
      </c>
    </row>
    <row r="1356" customFormat="false" ht="15" hidden="false" customHeight="false" outlineLevel="0" collapsed="false">
      <c r="A1356" s="7" t="s">
        <v>24</v>
      </c>
      <c r="B1356" s="7" t="s">
        <v>405</v>
      </c>
      <c r="C1356" s="7" t="s">
        <v>1141</v>
      </c>
      <c r="D1356" s="7" t="n">
        <v>23</v>
      </c>
      <c r="E1356" s="7" t="n">
        <v>794.48</v>
      </c>
      <c r="F1356" s="7" t="n">
        <v>6</v>
      </c>
      <c r="G1356" s="7" t="n">
        <v>207.24</v>
      </c>
    </row>
    <row r="1357" customFormat="false" ht="15" hidden="false" customHeight="false" outlineLevel="0" collapsed="false">
      <c r="A1357" s="7" t="s">
        <v>24</v>
      </c>
      <c r="B1357" s="7" t="s">
        <v>405</v>
      </c>
      <c r="C1357" s="7" t="s">
        <v>1141</v>
      </c>
      <c r="D1357" s="7" t="n">
        <v>0</v>
      </c>
      <c r="E1357" s="7" t="n">
        <v>0</v>
      </c>
      <c r="F1357" s="7" t="n">
        <v>1</v>
      </c>
      <c r="G1357" s="7" t="n">
        <v>36.36</v>
      </c>
    </row>
    <row r="1358" customFormat="false" ht="15" hidden="false" customHeight="false" outlineLevel="0" collapsed="false">
      <c r="A1358" s="7" t="s">
        <v>24</v>
      </c>
      <c r="B1358" s="7" t="s">
        <v>405</v>
      </c>
      <c r="C1358" s="7" t="s">
        <v>1141</v>
      </c>
      <c r="D1358" s="7" t="n">
        <v>0</v>
      </c>
      <c r="E1358" s="7" t="n">
        <v>0</v>
      </c>
      <c r="F1358" s="7" t="n">
        <v>1</v>
      </c>
      <c r="G1358" s="7" t="n">
        <v>36.36</v>
      </c>
    </row>
    <row r="1359" customFormat="false" ht="15" hidden="false" customHeight="false" outlineLevel="0" collapsed="false">
      <c r="A1359" s="7" t="s">
        <v>24</v>
      </c>
      <c r="B1359" s="7" t="s">
        <v>405</v>
      </c>
      <c r="C1359" s="7" t="s">
        <v>1141</v>
      </c>
      <c r="D1359" s="7" t="n">
        <v>0</v>
      </c>
      <c r="E1359" s="7" t="n">
        <v>0</v>
      </c>
      <c r="F1359" s="7" t="n">
        <v>1</v>
      </c>
      <c r="G1359" s="7" t="n">
        <v>36.36</v>
      </c>
    </row>
    <row r="1360" customFormat="false" ht="15" hidden="false" customHeight="false" outlineLevel="0" collapsed="false">
      <c r="A1360" s="7" t="s">
        <v>24</v>
      </c>
      <c r="B1360" s="7" t="s">
        <v>405</v>
      </c>
      <c r="C1360" s="7" t="s">
        <v>1141</v>
      </c>
      <c r="D1360" s="7" t="n">
        <v>4</v>
      </c>
      <c r="E1360" s="7" t="n">
        <v>121.99</v>
      </c>
      <c r="F1360" s="7" t="n">
        <v>0</v>
      </c>
      <c r="G1360" s="7" t="n">
        <v>0</v>
      </c>
    </row>
    <row r="1361" customFormat="false" ht="15" hidden="false" customHeight="false" outlineLevel="0" collapsed="false">
      <c r="A1361" s="7" t="s">
        <v>24</v>
      </c>
      <c r="B1361" s="7" t="s">
        <v>696</v>
      </c>
      <c r="C1361" s="7" t="s">
        <v>1141</v>
      </c>
      <c r="D1361" s="7" t="n">
        <v>0</v>
      </c>
      <c r="E1361" s="7" t="n">
        <v>0</v>
      </c>
      <c r="F1361" s="7" t="n">
        <v>1</v>
      </c>
      <c r="G1361" s="7" t="n">
        <v>36.36</v>
      </c>
    </row>
    <row r="1362" customFormat="false" ht="15" hidden="false" customHeight="false" outlineLevel="0" collapsed="false">
      <c r="A1362" s="7" t="s">
        <v>24</v>
      </c>
      <c r="B1362" s="7" t="s">
        <v>696</v>
      </c>
      <c r="C1362" s="7" t="s">
        <v>1141</v>
      </c>
      <c r="D1362" s="7" t="n">
        <v>20</v>
      </c>
      <c r="E1362" s="7" t="n">
        <v>707.21</v>
      </c>
      <c r="F1362" s="7" t="n">
        <v>11</v>
      </c>
      <c r="G1362" s="7" t="n">
        <v>378.5</v>
      </c>
    </row>
    <row r="1363" customFormat="false" ht="15" hidden="false" customHeight="false" outlineLevel="0" collapsed="false">
      <c r="A1363" s="7" t="s">
        <v>24</v>
      </c>
      <c r="B1363" s="7" t="s">
        <v>696</v>
      </c>
      <c r="C1363" s="7" t="s">
        <v>1141</v>
      </c>
      <c r="D1363" s="7" t="n">
        <v>0</v>
      </c>
      <c r="E1363" s="7" t="n">
        <v>0</v>
      </c>
      <c r="F1363" s="7" t="n">
        <v>1</v>
      </c>
      <c r="G1363" s="7" t="n">
        <v>32.72</v>
      </c>
    </row>
    <row r="1364" customFormat="false" ht="15" hidden="false" customHeight="false" outlineLevel="0" collapsed="false">
      <c r="A1364" s="7" t="s">
        <v>24</v>
      </c>
      <c r="B1364" s="7" t="s">
        <v>696</v>
      </c>
      <c r="C1364" s="7" t="s">
        <v>1141</v>
      </c>
      <c r="D1364" s="7" t="n">
        <v>0</v>
      </c>
      <c r="E1364" s="7" t="n">
        <v>0</v>
      </c>
      <c r="F1364" s="7" t="n">
        <v>1</v>
      </c>
      <c r="G1364" s="7" t="n">
        <v>36.36</v>
      </c>
    </row>
    <row r="1365" customFormat="false" ht="15" hidden="false" customHeight="false" outlineLevel="0" collapsed="false">
      <c r="A1365" s="7" t="s">
        <v>24</v>
      </c>
      <c r="B1365" s="7" t="s">
        <v>696</v>
      </c>
      <c r="C1365" s="7" t="s">
        <v>1141</v>
      </c>
      <c r="D1365" s="7" t="n">
        <v>7</v>
      </c>
      <c r="E1365" s="7" t="n">
        <v>220.89</v>
      </c>
      <c r="F1365" s="7" t="n">
        <v>0</v>
      </c>
      <c r="G1365" s="7" t="n">
        <v>0</v>
      </c>
    </row>
    <row r="1366" customFormat="false" ht="15" hidden="false" customHeight="false" outlineLevel="0" collapsed="false">
      <c r="A1366" s="7" t="s">
        <v>24</v>
      </c>
      <c r="B1366" s="7" t="s">
        <v>696</v>
      </c>
      <c r="C1366" s="7" t="s">
        <v>1141</v>
      </c>
      <c r="D1366" s="7" t="n">
        <v>0</v>
      </c>
      <c r="E1366" s="7" t="n">
        <v>0</v>
      </c>
      <c r="F1366" s="7" t="n">
        <v>1</v>
      </c>
      <c r="G1366" s="7" t="n">
        <v>36.36</v>
      </c>
    </row>
    <row r="1367" customFormat="false" ht="15" hidden="false" customHeight="false" outlineLevel="0" collapsed="false">
      <c r="A1367" s="7" t="s">
        <v>24</v>
      </c>
      <c r="B1367" s="7" t="s">
        <v>696</v>
      </c>
      <c r="C1367" s="7" t="s">
        <v>1141</v>
      </c>
      <c r="D1367" s="7" t="n">
        <v>0</v>
      </c>
      <c r="E1367" s="7" t="n">
        <v>0</v>
      </c>
      <c r="F1367" s="7" t="n">
        <v>7</v>
      </c>
      <c r="G1367" s="7" t="n">
        <v>254.49</v>
      </c>
    </row>
    <row r="1368" customFormat="false" ht="15" hidden="false" customHeight="false" outlineLevel="0" collapsed="false">
      <c r="A1368" s="7" t="s">
        <v>24</v>
      </c>
      <c r="B1368" s="7" t="s">
        <v>696</v>
      </c>
      <c r="C1368" s="7" t="s">
        <v>1141</v>
      </c>
      <c r="D1368" s="7" t="n">
        <v>0</v>
      </c>
      <c r="E1368" s="7" t="n">
        <v>0</v>
      </c>
      <c r="F1368" s="7" t="n">
        <v>1</v>
      </c>
      <c r="G1368" s="7" t="n">
        <v>36.35</v>
      </c>
    </row>
    <row r="1369" customFormat="false" ht="15" hidden="false" customHeight="false" outlineLevel="0" collapsed="false">
      <c r="A1369" s="7" t="s">
        <v>24</v>
      </c>
      <c r="B1369" s="7" t="s">
        <v>696</v>
      </c>
      <c r="C1369" s="7" t="s">
        <v>1141</v>
      </c>
      <c r="D1369" s="7" t="n">
        <v>0</v>
      </c>
      <c r="E1369" s="7" t="n">
        <v>0</v>
      </c>
      <c r="F1369" s="7" t="n">
        <v>4</v>
      </c>
      <c r="G1369" s="7" t="n">
        <v>145.43</v>
      </c>
    </row>
    <row r="1370" customFormat="false" ht="15" hidden="false" customHeight="false" outlineLevel="0" collapsed="false">
      <c r="A1370" s="7" t="s">
        <v>24</v>
      </c>
      <c r="B1370" s="7" t="s">
        <v>696</v>
      </c>
      <c r="C1370" s="7" t="s">
        <v>1141</v>
      </c>
      <c r="D1370" s="7" t="n">
        <v>0</v>
      </c>
      <c r="E1370" s="7" t="n">
        <v>0</v>
      </c>
      <c r="F1370" s="7" t="n">
        <v>1</v>
      </c>
      <c r="G1370" s="7" t="n">
        <v>36.36</v>
      </c>
    </row>
    <row r="1371" customFormat="false" ht="15" hidden="false" customHeight="false" outlineLevel="0" collapsed="false">
      <c r="A1371" s="7" t="s">
        <v>24</v>
      </c>
      <c r="B1371" s="7" t="s">
        <v>696</v>
      </c>
      <c r="C1371" s="7" t="s">
        <v>1141</v>
      </c>
      <c r="D1371" s="7" t="n">
        <v>0</v>
      </c>
      <c r="E1371" s="7" t="n">
        <v>0</v>
      </c>
      <c r="F1371" s="7" t="n">
        <v>1</v>
      </c>
      <c r="G1371" s="7" t="n">
        <v>36.36</v>
      </c>
    </row>
    <row r="1372" customFormat="false" ht="15" hidden="false" customHeight="false" outlineLevel="0" collapsed="false">
      <c r="A1372" s="7" t="s">
        <v>24</v>
      </c>
      <c r="B1372" s="7" t="s">
        <v>700</v>
      </c>
      <c r="C1372" s="7" t="s">
        <v>1141</v>
      </c>
      <c r="D1372" s="7" t="n">
        <v>11</v>
      </c>
      <c r="E1372" s="7" t="n">
        <v>372.69</v>
      </c>
      <c r="F1372" s="7" t="n">
        <v>9</v>
      </c>
      <c r="G1372" s="7" t="n">
        <v>318.15</v>
      </c>
    </row>
    <row r="1373" customFormat="false" ht="15" hidden="false" customHeight="false" outlineLevel="0" collapsed="false">
      <c r="A1373" s="7" t="s">
        <v>24</v>
      </c>
      <c r="B1373" s="7" t="s">
        <v>700</v>
      </c>
      <c r="C1373" s="7" t="s">
        <v>1141</v>
      </c>
      <c r="D1373" s="7" t="n">
        <v>0</v>
      </c>
      <c r="E1373" s="7" t="n">
        <v>0</v>
      </c>
      <c r="F1373" s="7" t="n">
        <v>1</v>
      </c>
      <c r="G1373" s="7" t="n">
        <v>36.36</v>
      </c>
    </row>
    <row r="1374" customFormat="false" ht="15" hidden="false" customHeight="false" outlineLevel="0" collapsed="false">
      <c r="A1374" s="7" t="s">
        <v>24</v>
      </c>
      <c r="B1374" s="7" t="s">
        <v>700</v>
      </c>
      <c r="C1374" s="7" t="s">
        <v>1141</v>
      </c>
      <c r="D1374" s="7" t="n">
        <v>0</v>
      </c>
      <c r="E1374" s="7" t="n">
        <v>0</v>
      </c>
      <c r="F1374" s="7" t="n">
        <v>1</v>
      </c>
      <c r="G1374" s="7" t="n">
        <v>30.91</v>
      </c>
    </row>
    <row r="1375" customFormat="false" ht="15" hidden="false" customHeight="false" outlineLevel="0" collapsed="false">
      <c r="A1375" s="7" t="s">
        <v>24</v>
      </c>
      <c r="B1375" s="7" t="s">
        <v>700</v>
      </c>
      <c r="C1375" s="7" t="s">
        <v>1141</v>
      </c>
      <c r="D1375" s="7" t="n">
        <v>0</v>
      </c>
      <c r="E1375" s="7" t="n">
        <v>0</v>
      </c>
      <c r="F1375" s="7" t="n">
        <v>1</v>
      </c>
      <c r="G1375" s="7" t="n">
        <v>30.9</v>
      </c>
    </row>
    <row r="1376" customFormat="false" ht="15" hidden="false" customHeight="false" outlineLevel="0" collapsed="false">
      <c r="A1376" s="7" t="s">
        <v>24</v>
      </c>
      <c r="B1376" s="7" t="s">
        <v>700</v>
      </c>
      <c r="C1376" s="7" t="s">
        <v>1141</v>
      </c>
      <c r="D1376" s="7" t="n">
        <v>0</v>
      </c>
      <c r="E1376" s="7" t="n">
        <v>0</v>
      </c>
      <c r="F1376" s="7" t="n">
        <v>1</v>
      </c>
      <c r="G1376" s="7" t="n">
        <v>36.35</v>
      </c>
    </row>
    <row r="1377" customFormat="false" ht="15" hidden="false" customHeight="false" outlineLevel="0" collapsed="false">
      <c r="A1377" s="7" t="s">
        <v>24</v>
      </c>
      <c r="B1377" s="7" t="s">
        <v>700</v>
      </c>
      <c r="C1377" s="7" t="s">
        <v>1141</v>
      </c>
      <c r="D1377" s="7" t="n">
        <v>0</v>
      </c>
      <c r="E1377" s="7" t="n">
        <v>0</v>
      </c>
      <c r="F1377" s="7" t="n">
        <v>4</v>
      </c>
      <c r="G1377" s="7" t="n">
        <v>134.54</v>
      </c>
    </row>
    <row r="1378" customFormat="false" ht="15" hidden="false" customHeight="false" outlineLevel="0" collapsed="false">
      <c r="A1378" s="7" t="s">
        <v>24</v>
      </c>
      <c r="B1378" s="7" t="s">
        <v>700</v>
      </c>
      <c r="C1378" s="7" t="s">
        <v>1141</v>
      </c>
      <c r="D1378" s="7" t="n">
        <v>5</v>
      </c>
      <c r="E1378" s="7" t="n">
        <v>154.96</v>
      </c>
      <c r="F1378" s="7" t="n">
        <v>0</v>
      </c>
      <c r="G1378" s="7" t="n">
        <v>0</v>
      </c>
    </row>
    <row r="1379" customFormat="false" ht="15" hidden="false" customHeight="false" outlineLevel="0" collapsed="false">
      <c r="A1379" s="7" t="s">
        <v>24</v>
      </c>
      <c r="B1379" s="7" t="s">
        <v>700</v>
      </c>
      <c r="C1379" s="7" t="s">
        <v>1141</v>
      </c>
      <c r="D1379" s="7" t="n">
        <v>0</v>
      </c>
      <c r="E1379" s="7" t="n">
        <v>0</v>
      </c>
      <c r="F1379" s="7" t="n">
        <v>1</v>
      </c>
      <c r="G1379" s="7" t="n">
        <v>36.35</v>
      </c>
    </row>
    <row r="1380" customFormat="false" ht="15" hidden="false" customHeight="false" outlineLevel="0" collapsed="false">
      <c r="A1380" s="7" t="s">
        <v>24</v>
      </c>
      <c r="B1380" s="7" t="s">
        <v>567</v>
      </c>
      <c r="C1380" s="7" t="s">
        <v>1141</v>
      </c>
      <c r="D1380" s="7" t="n">
        <v>1</v>
      </c>
      <c r="E1380" s="7" t="n">
        <v>28.02</v>
      </c>
      <c r="F1380" s="7" t="n">
        <v>0</v>
      </c>
      <c r="G1380" s="7" t="n">
        <v>0</v>
      </c>
    </row>
    <row r="1381" customFormat="false" ht="15" hidden="false" customHeight="false" outlineLevel="0" collapsed="false">
      <c r="A1381" s="7" t="s">
        <v>24</v>
      </c>
      <c r="B1381" s="7" t="s">
        <v>567</v>
      </c>
      <c r="C1381" s="7" t="s">
        <v>1141</v>
      </c>
      <c r="D1381" s="7" t="n">
        <v>0</v>
      </c>
      <c r="E1381" s="7" t="n">
        <v>0</v>
      </c>
      <c r="F1381" s="7" t="n">
        <v>4</v>
      </c>
      <c r="G1381" s="7" t="n">
        <v>145.44</v>
      </c>
    </row>
    <row r="1382" customFormat="false" ht="15" hidden="false" customHeight="false" outlineLevel="0" collapsed="false">
      <c r="A1382" s="7" t="s">
        <v>24</v>
      </c>
      <c r="B1382" s="7" t="s">
        <v>567</v>
      </c>
      <c r="C1382" s="7" t="s">
        <v>1141</v>
      </c>
      <c r="D1382" s="7" t="n">
        <v>0</v>
      </c>
      <c r="E1382" s="7" t="n">
        <v>0</v>
      </c>
      <c r="F1382" s="7" t="n">
        <v>1</v>
      </c>
      <c r="G1382" s="7" t="n">
        <v>36.35</v>
      </c>
    </row>
    <row r="1383" customFormat="false" ht="15" hidden="false" customHeight="false" outlineLevel="0" collapsed="false">
      <c r="A1383" s="7" t="s">
        <v>24</v>
      </c>
      <c r="B1383" s="7" t="s">
        <v>567</v>
      </c>
      <c r="C1383" s="7" t="s">
        <v>1141</v>
      </c>
      <c r="D1383" s="7" t="n">
        <v>1</v>
      </c>
      <c r="E1383" s="7" t="n">
        <v>29.6</v>
      </c>
      <c r="F1383" s="7" t="n">
        <v>0</v>
      </c>
      <c r="G1383" s="7" t="n">
        <v>0</v>
      </c>
    </row>
    <row r="1384" customFormat="false" ht="15" hidden="false" customHeight="false" outlineLevel="0" collapsed="false">
      <c r="A1384" s="7" t="s">
        <v>24</v>
      </c>
      <c r="B1384" s="7" t="s">
        <v>567</v>
      </c>
      <c r="C1384" s="7" t="s">
        <v>1141</v>
      </c>
      <c r="D1384" s="7" t="n">
        <v>0</v>
      </c>
      <c r="E1384" s="7" t="n">
        <v>0</v>
      </c>
      <c r="F1384" s="7" t="n">
        <v>1</v>
      </c>
      <c r="G1384" s="7" t="n">
        <v>36.36</v>
      </c>
    </row>
    <row r="1385" customFormat="false" ht="15" hidden="false" customHeight="false" outlineLevel="0" collapsed="false">
      <c r="A1385" s="7" t="s">
        <v>24</v>
      </c>
      <c r="B1385" s="7" t="s">
        <v>567</v>
      </c>
      <c r="C1385" s="7" t="s">
        <v>1141</v>
      </c>
      <c r="D1385" s="7" t="n">
        <v>8</v>
      </c>
      <c r="E1385" s="7" t="n">
        <v>278.16</v>
      </c>
      <c r="F1385" s="7" t="n">
        <v>6</v>
      </c>
      <c r="G1385" s="7" t="n">
        <v>210.88</v>
      </c>
    </row>
    <row r="1386" customFormat="false" ht="15" hidden="false" customHeight="false" outlineLevel="0" collapsed="false">
      <c r="A1386" s="7" t="s">
        <v>24</v>
      </c>
      <c r="B1386" s="7" t="s">
        <v>567</v>
      </c>
      <c r="C1386" s="7" t="s">
        <v>1141</v>
      </c>
      <c r="D1386" s="7" t="n">
        <v>0</v>
      </c>
      <c r="E1386" s="7" t="n">
        <v>0</v>
      </c>
      <c r="F1386" s="7" t="n">
        <v>4</v>
      </c>
      <c r="G1386" s="7" t="n">
        <v>145.43</v>
      </c>
    </row>
    <row r="1387" customFormat="false" ht="15" hidden="false" customHeight="false" outlineLevel="0" collapsed="false">
      <c r="A1387" s="7" t="s">
        <v>24</v>
      </c>
      <c r="B1387" s="7" t="s">
        <v>448</v>
      </c>
      <c r="C1387" s="7" t="s">
        <v>1202</v>
      </c>
      <c r="D1387" s="7" t="n">
        <v>22</v>
      </c>
      <c r="E1387" s="7" t="n">
        <v>750.39</v>
      </c>
      <c r="F1387" s="7" t="n">
        <v>9</v>
      </c>
      <c r="G1387" s="7" t="n">
        <v>311.94</v>
      </c>
    </row>
    <row r="1388" customFormat="false" ht="15" hidden="false" customHeight="false" outlineLevel="0" collapsed="false">
      <c r="A1388" s="7" t="s">
        <v>24</v>
      </c>
      <c r="B1388" s="7" t="s">
        <v>370</v>
      </c>
      <c r="C1388" s="7" t="s">
        <v>1203</v>
      </c>
      <c r="D1388" s="7" t="n">
        <v>32</v>
      </c>
      <c r="E1388" s="7" t="n">
        <v>1041.52</v>
      </c>
      <c r="F1388" s="7" t="n">
        <v>13</v>
      </c>
      <c r="G1388" s="7" t="n">
        <v>447.11</v>
      </c>
    </row>
    <row r="1389" customFormat="false" ht="15" hidden="false" customHeight="false" outlineLevel="0" collapsed="false">
      <c r="A1389" s="7" t="s">
        <v>24</v>
      </c>
      <c r="B1389" s="7" t="s">
        <v>728</v>
      </c>
      <c r="C1389" s="7" t="s">
        <v>1204</v>
      </c>
      <c r="D1389" s="7" t="n">
        <v>4</v>
      </c>
      <c r="E1389" s="7" t="n">
        <v>133.44</v>
      </c>
      <c r="F1389" s="7" t="n">
        <v>6</v>
      </c>
      <c r="G1389" s="7" t="n">
        <v>207.96</v>
      </c>
    </row>
    <row r="1390" customFormat="false" ht="15" hidden="false" customHeight="false" outlineLevel="0" collapsed="false">
      <c r="A1390" s="7" t="s">
        <v>24</v>
      </c>
      <c r="B1390" s="7" t="s">
        <v>765</v>
      </c>
      <c r="C1390" s="7" t="s">
        <v>1205</v>
      </c>
      <c r="D1390" s="7" t="n">
        <v>3</v>
      </c>
      <c r="E1390" s="7" t="n">
        <v>98.78</v>
      </c>
      <c r="F1390" s="7" t="n">
        <v>2</v>
      </c>
      <c r="G1390" s="7" t="n">
        <v>65.85</v>
      </c>
    </row>
    <row r="1391" customFormat="false" ht="15" hidden="false" customHeight="false" outlineLevel="0" collapsed="false">
      <c r="A1391" s="7" t="s">
        <v>24</v>
      </c>
      <c r="B1391" s="7" t="s">
        <v>356</v>
      </c>
      <c r="C1391" s="7" t="s">
        <v>1045</v>
      </c>
      <c r="D1391" s="7" t="n">
        <v>0</v>
      </c>
      <c r="E1391" s="7" t="n">
        <v>0</v>
      </c>
      <c r="F1391" s="7" t="n">
        <v>1</v>
      </c>
      <c r="G1391" s="7" t="n">
        <v>64.75</v>
      </c>
    </row>
    <row r="1392" customFormat="false" ht="15" hidden="false" customHeight="false" outlineLevel="0" collapsed="false">
      <c r="A1392" s="7" t="s">
        <v>24</v>
      </c>
      <c r="B1392" s="7" t="s">
        <v>356</v>
      </c>
      <c r="C1392" s="7" t="s">
        <v>1045</v>
      </c>
      <c r="D1392" s="7" t="n">
        <v>0</v>
      </c>
      <c r="E1392" s="7" t="n">
        <v>0</v>
      </c>
      <c r="F1392" s="7" t="n">
        <v>1</v>
      </c>
      <c r="G1392" s="7" t="n">
        <v>71.94</v>
      </c>
    </row>
    <row r="1393" customFormat="false" ht="15" hidden="false" customHeight="false" outlineLevel="0" collapsed="false">
      <c r="A1393" s="7" t="s">
        <v>24</v>
      </c>
      <c r="B1393" s="7" t="s">
        <v>356</v>
      </c>
      <c r="C1393" s="7" t="s">
        <v>1045</v>
      </c>
      <c r="D1393" s="7" t="n">
        <v>0</v>
      </c>
      <c r="E1393" s="7" t="n">
        <v>0</v>
      </c>
      <c r="F1393" s="7" t="n">
        <v>1</v>
      </c>
      <c r="G1393" s="7" t="n">
        <v>71.95</v>
      </c>
    </row>
    <row r="1394" customFormat="false" ht="15" hidden="false" customHeight="false" outlineLevel="0" collapsed="false">
      <c r="A1394" s="7" t="s">
        <v>24</v>
      </c>
      <c r="B1394" s="7" t="s">
        <v>356</v>
      </c>
      <c r="C1394" s="7" t="s">
        <v>1045</v>
      </c>
      <c r="D1394" s="7" t="n">
        <v>34</v>
      </c>
      <c r="E1394" s="7" t="n">
        <v>2345.58</v>
      </c>
      <c r="F1394" s="7" t="n">
        <v>15</v>
      </c>
      <c r="G1394" s="7" t="n">
        <v>1057.65</v>
      </c>
    </row>
    <row r="1395" customFormat="false" ht="15" hidden="false" customHeight="false" outlineLevel="0" collapsed="false">
      <c r="A1395" s="7" t="s">
        <v>24</v>
      </c>
      <c r="B1395" s="7" t="s">
        <v>356</v>
      </c>
      <c r="C1395" s="7" t="s">
        <v>1045</v>
      </c>
      <c r="D1395" s="7" t="n">
        <v>0</v>
      </c>
      <c r="E1395" s="7" t="n">
        <v>0</v>
      </c>
      <c r="F1395" s="7" t="n">
        <v>1</v>
      </c>
      <c r="G1395" s="7" t="n">
        <v>71.95</v>
      </c>
    </row>
    <row r="1396" customFormat="false" ht="15" hidden="false" customHeight="false" outlineLevel="0" collapsed="false">
      <c r="A1396" s="7" t="s">
        <v>24</v>
      </c>
      <c r="B1396" s="7" t="s">
        <v>356</v>
      </c>
      <c r="C1396" s="7" t="s">
        <v>1045</v>
      </c>
      <c r="D1396" s="7" t="n">
        <v>3</v>
      </c>
      <c r="E1396" s="7" t="n">
        <v>171.23</v>
      </c>
      <c r="F1396" s="7" t="n">
        <v>0</v>
      </c>
      <c r="G1396" s="7" t="n">
        <v>0</v>
      </c>
    </row>
    <row r="1397" customFormat="false" ht="15" hidden="false" customHeight="false" outlineLevel="0" collapsed="false">
      <c r="A1397" s="7" t="s">
        <v>24</v>
      </c>
      <c r="B1397" s="7" t="s">
        <v>356</v>
      </c>
      <c r="C1397" s="7" t="s">
        <v>1045</v>
      </c>
      <c r="D1397" s="7" t="n">
        <v>0</v>
      </c>
      <c r="E1397" s="7" t="n">
        <v>0</v>
      </c>
      <c r="F1397" s="7" t="n">
        <v>2</v>
      </c>
      <c r="G1397" s="7" t="n">
        <v>136.71</v>
      </c>
    </row>
    <row r="1398" customFormat="false" ht="15" hidden="false" customHeight="false" outlineLevel="0" collapsed="false">
      <c r="A1398" s="7" t="s">
        <v>24</v>
      </c>
      <c r="B1398" s="7" t="s">
        <v>356</v>
      </c>
      <c r="C1398" s="7" t="s">
        <v>1045</v>
      </c>
      <c r="D1398" s="7" t="n">
        <v>0</v>
      </c>
      <c r="E1398" s="7" t="n">
        <v>0</v>
      </c>
      <c r="F1398" s="7" t="n">
        <v>1</v>
      </c>
      <c r="G1398" s="7" t="n">
        <v>64.76</v>
      </c>
    </row>
    <row r="1399" customFormat="false" ht="15" hidden="false" customHeight="false" outlineLevel="0" collapsed="false">
      <c r="A1399" s="7" t="s">
        <v>24</v>
      </c>
      <c r="B1399" s="7" t="s">
        <v>356</v>
      </c>
      <c r="C1399" s="7" t="s">
        <v>1045</v>
      </c>
      <c r="D1399" s="7" t="n">
        <v>0</v>
      </c>
      <c r="E1399" s="7" t="n">
        <v>0</v>
      </c>
      <c r="F1399" s="7" t="n">
        <v>2</v>
      </c>
      <c r="G1399" s="7" t="n">
        <v>143.9</v>
      </c>
    </row>
    <row r="1400" customFormat="false" ht="15" hidden="false" customHeight="false" outlineLevel="0" collapsed="false">
      <c r="A1400" s="7" t="s">
        <v>24</v>
      </c>
      <c r="B1400" s="7" t="s">
        <v>356</v>
      </c>
      <c r="C1400" s="7" t="s">
        <v>1045</v>
      </c>
      <c r="D1400" s="7" t="n">
        <v>0</v>
      </c>
      <c r="E1400" s="7" t="n">
        <v>0</v>
      </c>
      <c r="F1400" s="7" t="n">
        <v>2</v>
      </c>
      <c r="G1400" s="7" t="n">
        <v>143.9</v>
      </c>
    </row>
    <row r="1401" customFormat="false" ht="15" hidden="false" customHeight="false" outlineLevel="0" collapsed="false">
      <c r="A1401" s="7" t="s">
        <v>24</v>
      </c>
      <c r="B1401" s="7" t="s">
        <v>356</v>
      </c>
      <c r="C1401" s="7" t="s">
        <v>1045</v>
      </c>
      <c r="D1401" s="7" t="n">
        <v>0</v>
      </c>
      <c r="E1401" s="7" t="n">
        <v>0</v>
      </c>
      <c r="F1401" s="7" t="n">
        <v>1</v>
      </c>
      <c r="G1401" s="7" t="n">
        <v>71.95</v>
      </c>
    </row>
    <row r="1402" customFormat="false" ht="15" hidden="false" customHeight="false" outlineLevel="0" collapsed="false">
      <c r="A1402" s="7" t="s">
        <v>24</v>
      </c>
      <c r="B1402" s="7" t="s">
        <v>356</v>
      </c>
      <c r="C1402" s="7" t="s">
        <v>1045</v>
      </c>
      <c r="D1402" s="7" t="n">
        <v>0</v>
      </c>
      <c r="E1402" s="7" t="n">
        <v>0</v>
      </c>
      <c r="F1402" s="7" t="n">
        <v>1</v>
      </c>
      <c r="G1402" s="7" t="n">
        <v>71.95</v>
      </c>
    </row>
    <row r="1403" customFormat="false" ht="15" hidden="false" customHeight="false" outlineLevel="0" collapsed="false">
      <c r="A1403" s="7" t="s">
        <v>24</v>
      </c>
      <c r="B1403" s="7" t="s">
        <v>356</v>
      </c>
      <c r="C1403" s="7" t="s">
        <v>1045</v>
      </c>
      <c r="D1403" s="7" t="n">
        <v>0</v>
      </c>
      <c r="E1403" s="7" t="n">
        <v>0</v>
      </c>
      <c r="F1403" s="7" t="n">
        <v>1</v>
      </c>
      <c r="G1403" s="7" t="n">
        <v>71.94</v>
      </c>
    </row>
    <row r="1404" customFormat="false" ht="15" hidden="false" customHeight="false" outlineLevel="0" collapsed="false">
      <c r="A1404" s="7" t="s">
        <v>24</v>
      </c>
      <c r="B1404" s="7" t="s">
        <v>356</v>
      </c>
      <c r="C1404" s="7" t="s">
        <v>1045</v>
      </c>
      <c r="D1404" s="7" t="n">
        <v>0</v>
      </c>
      <c r="E1404" s="7" t="n">
        <v>0</v>
      </c>
      <c r="F1404" s="7" t="n">
        <v>2</v>
      </c>
      <c r="G1404" s="7" t="n">
        <v>129.51</v>
      </c>
    </row>
    <row r="1405" customFormat="false" ht="15" hidden="false" customHeight="false" outlineLevel="0" collapsed="false">
      <c r="A1405" s="7" t="s">
        <v>24</v>
      </c>
      <c r="B1405" s="7" t="s">
        <v>356</v>
      </c>
      <c r="C1405" s="7" t="s">
        <v>1045</v>
      </c>
      <c r="D1405" s="7" t="n">
        <v>0</v>
      </c>
      <c r="E1405" s="7" t="n">
        <v>0</v>
      </c>
      <c r="F1405" s="7" t="n">
        <v>2</v>
      </c>
      <c r="G1405" s="7" t="n">
        <v>143.9</v>
      </c>
    </row>
    <row r="1406" customFormat="false" ht="15" hidden="false" customHeight="false" outlineLevel="0" collapsed="false">
      <c r="A1406" s="7" t="s">
        <v>24</v>
      </c>
      <c r="B1406" s="7" t="s">
        <v>356</v>
      </c>
      <c r="C1406" s="7" t="s">
        <v>1045</v>
      </c>
      <c r="D1406" s="7" t="n">
        <v>0</v>
      </c>
      <c r="E1406" s="7" t="n">
        <v>0</v>
      </c>
      <c r="F1406" s="7" t="n">
        <v>3</v>
      </c>
      <c r="G1406" s="7" t="n">
        <v>208.65</v>
      </c>
    </row>
    <row r="1407" customFormat="false" ht="15" hidden="false" customHeight="false" outlineLevel="0" collapsed="false">
      <c r="A1407" s="7" t="s">
        <v>24</v>
      </c>
      <c r="B1407" s="7" t="s">
        <v>356</v>
      </c>
      <c r="C1407" s="7" t="s">
        <v>1045</v>
      </c>
      <c r="D1407" s="7" t="n">
        <v>0</v>
      </c>
      <c r="E1407" s="7" t="n">
        <v>0</v>
      </c>
      <c r="F1407" s="7" t="n">
        <v>1</v>
      </c>
      <c r="G1407" s="7" t="n">
        <v>71.94</v>
      </c>
    </row>
    <row r="1408" customFormat="false" ht="15" hidden="false" customHeight="false" outlineLevel="0" collapsed="false">
      <c r="A1408" s="7" t="s">
        <v>24</v>
      </c>
      <c r="B1408" s="7" t="s">
        <v>356</v>
      </c>
      <c r="C1408" s="7" t="s">
        <v>1045</v>
      </c>
      <c r="D1408" s="7" t="n">
        <v>0</v>
      </c>
      <c r="E1408" s="7" t="n">
        <v>0</v>
      </c>
      <c r="F1408" s="7" t="n">
        <v>1</v>
      </c>
      <c r="G1408" s="7" t="n">
        <v>71.95</v>
      </c>
    </row>
    <row r="1409" customFormat="false" ht="15" hidden="false" customHeight="false" outlineLevel="0" collapsed="false">
      <c r="A1409" s="7" t="s">
        <v>24</v>
      </c>
      <c r="B1409" s="7" t="s">
        <v>356</v>
      </c>
      <c r="C1409" s="7" t="s">
        <v>1045</v>
      </c>
      <c r="D1409" s="7" t="n">
        <v>0</v>
      </c>
      <c r="E1409" s="7" t="n">
        <v>0</v>
      </c>
      <c r="F1409" s="7" t="n">
        <v>1</v>
      </c>
      <c r="G1409" s="7" t="n">
        <v>71.95</v>
      </c>
    </row>
    <row r="1410" customFormat="false" ht="15" hidden="false" customHeight="false" outlineLevel="0" collapsed="false">
      <c r="A1410" s="7" t="s">
        <v>24</v>
      </c>
      <c r="B1410" s="7" t="s">
        <v>356</v>
      </c>
      <c r="C1410" s="7" t="s">
        <v>1045</v>
      </c>
      <c r="D1410" s="7" t="n">
        <v>0</v>
      </c>
      <c r="E1410" s="7" t="n">
        <v>0</v>
      </c>
      <c r="F1410" s="7" t="n">
        <v>1</v>
      </c>
      <c r="G1410" s="7" t="n">
        <v>64.75</v>
      </c>
    </row>
    <row r="1411" customFormat="false" ht="15" hidden="false" customHeight="false" outlineLevel="0" collapsed="false">
      <c r="A1411" s="7" t="s">
        <v>24</v>
      </c>
      <c r="B1411" s="7" t="s">
        <v>356</v>
      </c>
      <c r="C1411" s="7" t="s">
        <v>1045</v>
      </c>
      <c r="D1411" s="7" t="n">
        <v>0</v>
      </c>
      <c r="E1411" s="7" t="n">
        <v>0</v>
      </c>
      <c r="F1411" s="7" t="n">
        <v>1</v>
      </c>
      <c r="G1411" s="7" t="n">
        <v>61.16</v>
      </c>
    </row>
    <row r="1412" customFormat="false" ht="15" hidden="false" customHeight="false" outlineLevel="0" collapsed="false">
      <c r="A1412" s="7" t="s">
        <v>24</v>
      </c>
      <c r="B1412" s="7" t="s">
        <v>356</v>
      </c>
      <c r="C1412" s="7" t="s">
        <v>1045</v>
      </c>
      <c r="D1412" s="7" t="n">
        <v>0</v>
      </c>
      <c r="E1412" s="7" t="n">
        <v>0</v>
      </c>
      <c r="F1412" s="7" t="n">
        <v>1</v>
      </c>
      <c r="G1412" s="7" t="n">
        <v>71.95</v>
      </c>
    </row>
    <row r="1413" customFormat="false" ht="15" hidden="false" customHeight="false" outlineLevel="0" collapsed="false">
      <c r="A1413" s="7" t="s">
        <v>24</v>
      </c>
      <c r="B1413" s="7" t="s">
        <v>356</v>
      </c>
      <c r="C1413" s="7" t="s">
        <v>1045</v>
      </c>
      <c r="D1413" s="7" t="n">
        <v>0</v>
      </c>
      <c r="E1413" s="7" t="n">
        <v>0</v>
      </c>
      <c r="F1413" s="7" t="n">
        <v>1</v>
      </c>
      <c r="G1413" s="7" t="n">
        <v>71.95</v>
      </c>
    </row>
    <row r="1414" customFormat="false" ht="15" hidden="false" customHeight="false" outlineLevel="0" collapsed="false">
      <c r="A1414" s="7" t="s">
        <v>24</v>
      </c>
      <c r="B1414" s="7" t="s">
        <v>356</v>
      </c>
      <c r="C1414" s="7" t="s">
        <v>1045</v>
      </c>
      <c r="D1414" s="7" t="n">
        <v>0</v>
      </c>
      <c r="E1414" s="7" t="n">
        <v>0</v>
      </c>
      <c r="F1414" s="7" t="n">
        <v>1</v>
      </c>
      <c r="G1414" s="7" t="n">
        <v>71.95</v>
      </c>
    </row>
    <row r="1415" customFormat="false" ht="15" hidden="false" customHeight="false" outlineLevel="0" collapsed="false">
      <c r="A1415" s="7" t="s">
        <v>24</v>
      </c>
      <c r="B1415" s="7" t="s">
        <v>356</v>
      </c>
      <c r="C1415" s="7" t="s">
        <v>1045</v>
      </c>
      <c r="D1415" s="7" t="n">
        <v>0</v>
      </c>
      <c r="E1415" s="7" t="n">
        <v>0</v>
      </c>
      <c r="F1415" s="7" t="n">
        <v>1</v>
      </c>
      <c r="G1415" s="7" t="n">
        <v>71.95</v>
      </c>
    </row>
    <row r="1416" customFormat="false" ht="15" hidden="false" customHeight="false" outlineLevel="0" collapsed="false">
      <c r="A1416" s="7" t="s">
        <v>24</v>
      </c>
      <c r="B1416" s="7" t="s">
        <v>163</v>
      </c>
      <c r="C1416" s="7" t="s">
        <v>1046</v>
      </c>
      <c r="D1416" s="7" t="n">
        <v>0</v>
      </c>
      <c r="E1416" s="7" t="n">
        <v>0</v>
      </c>
      <c r="F1416" s="7" t="n">
        <v>1</v>
      </c>
      <c r="G1416" s="7" t="n">
        <v>76.18</v>
      </c>
    </row>
    <row r="1417" customFormat="false" ht="15" hidden="false" customHeight="false" outlineLevel="0" collapsed="false">
      <c r="A1417" s="7" t="s">
        <v>24</v>
      </c>
      <c r="B1417" s="7" t="s">
        <v>163</v>
      </c>
      <c r="C1417" s="7" t="s">
        <v>1046</v>
      </c>
      <c r="D1417" s="7" t="n">
        <v>0</v>
      </c>
      <c r="E1417" s="7" t="n">
        <v>0</v>
      </c>
      <c r="F1417" s="7" t="n">
        <v>1</v>
      </c>
      <c r="G1417" s="7" t="n">
        <v>76.18</v>
      </c>
    </row>
    <row r="1418" customFormat="false" ht="15" hidden="false" customHeight="false" outlineLevel="0" collapsed="false">
      <c r="A1418" s="7" t="s">
        <v>24</v>
      </c>
      <c r="B1418" s="7" t="s">
        <v>163</v>
      </c>
      <c r="C1418" s="7" t="s">
        <v>1046</v>
      </c>
      <c r="D1418" s="7" t="n">
        <v>0</v>
      </c>
      <c r="E1418" s="7" t="n">
        <v>0</v>
      </c>
      <c r="F1418" s="7" t="n">
        <v>2</v>
      </c>
      <c r="G1418" s="7" t="n">
        <v>144.76</v>
      </c>
    </row>
    <row r="1419" customFormat="false" ht="15" hidden="false" customHeight="false" outlineLevel="0" collapsed="false">
      <c r="A1419" s="7" t="s">
        <v>24</v>
      </c>
      <c r="B1419" s="7" t="s">
        <v>163</v>
      </c>
      <c r="C1419" s="7" t="s">
        <v>1046</v>
      </c>
      <c r="D1419" s="7" t="n">
        <v>0</v>
      </c>
      <c r="E1419" s="7" t="n">
        <v>0</v>
      </c>
      <c r="F1419" s="7" t="n">
        <v>1</v>
      </c>
      <c r="G1419" s="7" t="n">
        <v>76.19</v>
      </c>
    </row>
    <row r="1420" customFormat="false" ht="15" hidden="false" customHeight="false" outlineLevel="0" collapsed="false">
      <c r="A1420" s="7" t="s">
        <v>24</v>
      </c>
      <c r="B1420" s="7" t="s">
        <v>163</v>
      </c>
      <c r="C1420" s="7" t="s">
        <v>1046</v>
      </c>
      <c r="D1420" s="7" t="n">
        <v>0</v>
      </c>
      <c r="E1420" s="7" t="n">
        <v>0</v>
      </c>
      <c r="F1420" s="7" t="n">
        <v>1</v>
      </c>
      <c r="G1420" s="7" t="n">
        <v>76.19</v>
      </c>
    </row>
    <row r="1421" customFormat="false" ht="15" hidden="false" customHeight="false" outlineLevel="0" collapsed="false">
      <c r="A1421" s="7" t="s">
        <v>24</v>
      </c>
      <c r="B1421" s="7" t="s">
        <v>163</v>
      </c>
      <c r="C1421" s="7" t="s">
        <v>1046</v>
      </c>
      <c r="D1421" s="7" t="n">
        <v>0</v>
      </c>
      <c r="E1421" s="7" t="n">
        <v>0</v>
      </c>
      <c r="F1421" s="7" t="n">
        <v>1</v>
      </c>
      <c r="G1421" s="7" t="n">
        <v>76.18</v>
      </c>
    </row>
    <row r="1422" customFormat="false" ht="15" hidden="false" customHeight="false" outlineLevel="0" collapsed="false">
      <c r="A1422" s="7" t="s">
        <v>24</v>
      </c>
      <c r="B1422" s="7" t="s">
        <v>163</v>
      </c>
      <c r="C1422" s="7" t="s">
        <v>1046</v>
      </c>
      <c r="D1422" s="7" t="n">
        <v>0</v>
      </c>
      <c r="E1422" s="7" t="n">
        <v>0</v>
      </c>
      <c r="F1422" s="7" t="n">
        <v>2</v>
      </c>
      <c r="G1422" s="7" t="n">
        <v>152.38</v>
      </c>
    </row>
    <row r="1423" customFormat="false" ht="15" hidden="false" customHeight="false" outlineLevel="0" collapsed="false">
      <c r="A1423" s="7" t="s">
        <v>24</v>
      </c>
      <c r="B1423" s="7" t="s">
        <v>163</v>
      </c>
      <c r="C1423" s="7" t="s">
        <v>1046</v>
      </c>
      <c r="D1423" s="7" t="n">
        <v>0</v>
      </c>
      <c r="E1423" s="7" t="n">
        <v>0</v>
      </c>
      <c r="F1423" s="7" t="n">
        <v>1</v>
      </c>
      <c r="G1423" s="7" t="n">
        <v>68.57</v>
      </c>
    </row>
    <row r="1424" customFormat="false" ht="15" hidden="false" customHeight="false" outlineLevel="0" collapsed="false">
      <c r="A1424" s="7" t="s">
        <v>24</v>
      </c>
      <c r="B1424" s="7" t="s">
        <v>163</v>
      </c>
      <c r="C1424" s="7" t="s">
        <v>1046</v>
      </c>
      <c r="D1424" s="7" t="n">
        <v>0</v>
      </c>
      <c r="E1424" s="7" t="n">
        <v>0</v>
      </c>
      <c r="F1424" s="7" t="n">
        <v>1</v>
      </c>
      <c r="G1424" s="7" t="n">
        <v>76.18</v>
      </c>
    </row>
    <row r="1425" customFormat="false" ht="15" hidden="false" customHeight="false" outlineLevel="0" collapsed="false">
      <c r="A1425" s="7" t="s">
        <v>24</v>
      </c>
      <c r="B1425" s="7" t="s">
        <v>163</v>
      </c>
      <c r="C1425" s="7" t="s">
        <v>1046</v>
      </c>
      <c r="D1425" s="7" t="n">
        <v>0</v>
      </c>
      <c r="E1425" s="7" t="n">
        <v>0</v>
      </c>
      <c r="F1425" s="7" t="n">
        <v>3</v>
      </c>
      <c r="G1425" s="7" t="n">
        <v>228.54</v>
      </c>
    </row>
    <row r="1426" customFormat="false" ht="15" hidden="false" customHeight="false" outlineLevel="0" collapsed="false">
      <c r="A1426" s="7" t="s">
        <v>24</v>
      </c>
      <c r="B1426" s="7" t="s">
        <v>163</v>
      </c>
      <c r="C1426" s="7" t="s">
        <v>1046</v>
      </c>
      <c r="D1426" s="7" t="n">
        <v>0</v>
      </c>
      <c r="E1426" s="7" t="n">
        <v>0</v>
      </c>
      <c r="F1426" s="7" t="n">
        <v>2</v>
      </c>
      <c r="G1426" s="7" t="n">
        <v>152.36</v>
      </c>
    </row>
    <row r="1427" customFormat="false" ht="15" hidden="false" customHeight="false" outlineLevel="0" collapsed="false">
      <c r="A1427" s="7" t="s">
        <v>24</v>
      </c>
      <c r="B1427" s="7" t="s">
        <v>163</v>
      </c>
      <c r="C1427" s="7" t="s">
        <v>1046</v>
      </c>
      <c r="D1427" s="7" t="n">
        <v>0</v>
      </c>
      <c r="E1427" s="7" t="n">
        <v>0</v>
      </c>
      <c r="F1427" s="7" t="n">
        <v>1</v>
      </c>
      <c r="G1427" s="7" t="n">
        <v>76.18</v>
      </c>
    </row>
    <row r="1428" customFormat="false" ht="15" hidden="false" customHeight="false" outlineLevel="0" collapsed="false">
      <c r="A1428" s="7" t="s">
        <v>24</v>
      </c>
      <c r="B1428" s="7" t="s">
        <v>163</v>
      </c>
      <c r="C1428" s="7" t="s">
        <v>1046</v>
      </c>
      <c r="D1428" s="7" t="n">
        <v>0</v>
      </c>
      <c r="E1428" s="7" t="n">
        <v>0</v>
      </c>
      <c r="F1428" s="7" t="n">
        <v>1</v>
      </c>
      <c r="G1428" s="7" t="n">
        <v>76.19</v>
      </c>
    </row>
    <row r="1429" customFormat="false" ht="15" hidden="false" customHeight="false" outlineLevel="0" collapsed="false">
      <c r="A1429" s="7" t="s">
        <v>24</v>
      </c>
      <c r="B1429" s="7" t="s">
        <v>163</v>
      </c>
      <c r="C1429" s="7" t="s">
        <v>1046</v>
      </c>
      <c r="D1429" s="7" t="n">
        <v>0</v>
      </c>
      <c r="E1429" s="7" t="n">
        <v>0</v>
      </c>
      <c r="F1429" s="7" t="n">
        <v>1</v>
      </c>
      <c r="G1429" s="7" t="n">
        <v>68.57</v>
      </c>
    </row>
    <row r="1430" customFormat="false" ht="15" hidden="false" customHeight="false" outlineLevel="0" collapsed="false">
      <c r="A1430" s="7" t="s">
        <v>24</v>
      </c>
      <c r="B1430" s="7" t="s">
        <v>163</v>
      </c>
      <c r="C1430" s="7" t="s">
        <v>1046</v>
      </c>
      <c r="D1430" s="7" t="n">
        <v>0</v>
      </c>
      <c r="E1430" s="7" t="n">
        <v>0</v>
      </c>
      <c r="F1430" s="7" t="n">
        <v>1</v>
      </c>
      <c r="G1430" s="7" t="n">
        <v>76.18</v>
      </c>
    </row>
    <row r="1431" customFormat="false" ht="15" hidden="false" customHeight="false" outlineLevel="0" collapsed="false">
      <c r="A1431" s="7" t="s">
        <v>24</v>
      </c>
      <c r="B1431" s="7" t="s">
        <v>163</v>
      </c>
      <c r="C1431" s="7" t="s">
        <v>1046</v>
      </c>
      <c r="D1431" s="7" t="n">
        <v>72</v>
      </c>
      <c r="E1431" s="7" t="n">
        <v>5215.17</v>
      </c>
      <c r="F1431" s="7" t="n">
        <v>33</v>
      </c>
      <c r="G1431" s="7" t="n">
        <v>2472.35</v>
      </c>
    </row>
    <row r="1432" customFormat="false" ht="15" hidden="false" customHeight="false" outlineLevel="0" collapsed="false">
      <c r="A1432" s="7" t="s">
        <v>24</v>
      </c>
      <c r="B1432" s="7" t="s">
        <v>163</v>
      </c>
      <c r="C1432" s="7" t="s">
        <v>1046</v>
      </c>
      <c r="D1432" s="7" t="n">
        <v>0</v>
      </c>
      <c r="E1432" s="7" t="n">
        <v>0</v>
      </c>
      <c r="F1432" s="7" t="n">
        <v>2</v>
      </c>
      <c r="G1432" s="7" t="n">
        <v>152.36</v>
      </c>
    </row>
    <row r="1433" customFormat="false" ht="15" hidden="false" customHeight="false" outlineLevel="0" collapsed="false">
      <c r="A1433" s="7" t="s">
        <v>24</v>
      </c>
      <c r="B1433" s="7" t="s">
        <v>163</v>
      </c>
      <c r="C1433" s="7" t="s">
        <v>1046</v>
      </c>
      <c r="D1433" s="7" t="n">
        <v>0</v>
      </c>
      <c r="E1433" s="7" t="n">
        <v>0</v>
      </c>
      <c r="F1433" s="7" t="n">
        <v>1</v>
      </c>
      <c r="G1433" s="7" t="n">
        <v>64.77</v>
      </c>
    </row>
    <row r="1434" customFormat="false" ht="15" hidden="false" customHeight="false" outlineLevel="0" collapsed="false">
      <c r="A1434" s="7" t="s">
        <v>24</v>
      </c>
      <c r="B1434" s="7" t="s">
        <v>163</v>
      </c>
      <c r="C1434" s="7" t="s">
        <v>1046</v>
      </c>
      <c r="D1434" s="7" t="n">
        <v>0</v>
      </c>
      <c r="E1434" s="7" t="n">
        <v>0</v>
      </c>
      <c r="F1434" s="7" t="n">
        <v>1</v>
      </c>
      <c r="G1434" s="7" t="n">
        <v>76.18</v>
      </c>
    </row>
    <row r="1435" customFormat="false" ht="15" hidden="false" customHeight="false" outlineLevel="0" collapsed="false">
      <c r="A1435" s="7" t="s">
        <v>24</v>
      </c>
      <c r="B1435" s="7" t="s">
        <v>163</v>
      </c>
      <c r="C1435" s="7" t="s">
        <v>1046</v>
      </c>
      <c r="D1435" s="7" t="n">
        <v>0</v>
      </c>
      <c r="E1435" s="7" t="n">
        <v>0</v>
      </c>
      <c r="F1435" s="7" t="n">
        <v>1</v>
      </c>
      <c r="G1435" s="7" t="n">
        <v>76.18</v>
      </c>
    </row>
    <row r="1436" customFormat="false" ht="15" hidden="false" customHeight="false" outlineLevel="0" collapsed="false">
      <c r="A1436" s="7" t="s">
        <v>24</v>
      </c>
      <c r="B1436" s="7" t="s">
        <v>163</v>
      </c>
      <c r="C1436" s="7" t="s">
        <v>1046</v>
      </c>
      <c r="D1436" s="7" t="n">
        <v>0</v>
      </c>
      <c r="E1436" s="7" t="n">
        <v>0</v>
      </c>
      <c r="F1436" s="7" t="n">
        <v>1</v>
      </c>
      <c r="G1436" s="7" t="n">
        <v>76.19</v>
      </c>
    </row>
    <row r="1437" customFormat="false" ht="15" hidden="false" customHeight="false" outlineLevel="0" collapsed="false">
      <c r="A1437" s="7" t="s">
        <v>24</v>
      </c>
      <c r="B1437" s="7" t="s">
        <v>163</v>
      </c>
      <c r="C1437" s="7" t="s">
        <v>1046</v>
      </c>
      <c r="D1437" s="7" t="n">
        <v>0</v>
      </c>
      <c r="E1437" s="7" t="n">
        <v>0</v>
      </c>
      <c r="F1437" s="7" t="n">
        <v>1</v>
      </c>
      <c r="G1437" s="7" t="n">
        <v>76.18</v>
      </c>
    </row>
    <row r="1438" customFormat="false" ht="15" hidden="false" customHeight="false" outlineLevel="0" collapsed="false">
      <c r="A1438" s="7" t="s">
        <v>24</v>
      </c>
      <c r="B1438" s="7" t="s">
        <v>163</v>
      </c>
      <c r="C1438" s="7" t="s">
        <v>1046</v>
      </c>
      <c r="D1438" s="7" t="n">
        <v>0</v>
      </c>
      <c r="E1438" s="7" t="n">
        <v>0</v>
      </c>
      <c r="F1438" s="7" t="n">
        <v>2</v>
      </c>
      <c r="G1438" s="7" t="n">
        <v>152.38</v>
      </c>
    </row>
    <row r="1439" customFormat="false" ht="15" hidden="false" customHeight="false" outlineLevel="0" collapsed="false">
      <c r="A1439" s="7" t="s">
        <v>24</v>
      </c>
      <c r="B1439" s="7" t="s">
        <v>163</v>
      </c>
      <c r="C1439" s="7" t="s">
        <v>1046</v>
      </c>
      <c r="D1439" s="7" t="n">
        <v>0</v>
      </c>
      <c r="E1439" s="7" t="n">
        <v>0</v>
      </c>
      <c r="F1439" s="7" t="n">
        <v>1</v>
      </c>
      <c r="G1439" s="7" t="n">
        <v>76.19</v>
      </c>
    </row>
    <row r="1440" customFormat="false" ht="15" hidden="false" customHeight="false" outlineLevel="0" collapsed="false">
      <c r="A1440" s="7" t="s">
        <v>24</v>
      </c>
      <c r="B1440" s="7" t="s">
        <v>163</v>
      </c>
      <c r="C1440" s="7" t="s">
        <v>1046</v>
      </c>
      <c r="D1440" s="7" t="n">
        <v>0</v>
      </c>
      <c r="E1440" s="7" t="n">
        <v>0</v>
      </c>
      <c r="F1440" s="7" t="n">
        <v>3</v>
      </c>
      <c r="G1440" s="7" t="n">
        <v>228.56</v>
      </c>
    </row>
    <row r="1441" customFormat="false" ht="15" hidden="false" customHeight="false" outlineLevel="0" collapsed="false">
      <c r="A1441" s="7" t="s">
        <v>24</v>
      </c>
      <c r="B1441" s="7" t="s">
        <v>163</v>
      </c>
      <c r="C1441" s="7" t="s">
        <v>1046</v>
      </c>
      <c r="D1441" s="7" t="n">
        <v>0</v>
      </c>
      <c r="E1441" s="7" t="n">
        <v>0</v>
      </c>
      <c r="F1441" s="7" t="n">
        <v>1</v>
      </c>
      <c r="G1441" s="7" t="n">
        <v>76.19</v>
      </c>
    </row>
    <row r="1442" customFormat="false" ht="15" hidden="false" customHeight="false" outlineLevel="0" collapsed="false">
      <c r="A1442" s="7" t="s">
        <v>24</v>
      </c>
      <c r="B1442" s="7" t="s">
        <v>163</v>
      </c>
      <c r="C1442" s="7" t="s">
        <v>1046</v>
      </c>
      <c r="D1442" s="7" t="n">
        <v>0</v>
      </c>
      <c r="E1442" s="7" t="n">
        <v>0</v>
      </c>
      <c r="F1442" s="7" t="n">
        <v>2</v>
      </c>
      <c r="G1442" s="7" t="n">
        <v>152.36</v>
      </c>
    </row>
    <row r="1443" customFormat="false" ht="15" hidden="false" customHeight="false" outlineLevel="0" collapsed="false">
      <c r="A1443" s="7" t="s">
        <v>24</v>
      </c>
      <c r="B1443" s="7" t="s">
        <v>163</v>
      </c>
      <c r="C1443" s="7" t="s">
        <v>1046</v>
      </c>
      <c r="D1443" s="7" t="n">
        <v>0</v>
      </c>
      <c r="E1443" s="7" t="n">
        <v>0</v>
      </c>
      <c r="F1443" s="7" t="n">
        <v>1</v>
      </c>
      <c r="G1443" s="7" t="n">
        <v>76.18</v>
      </c>
    </row>
    <row r="1444" customFormat="false" ht="15" hidden="false" customHeight="false" outlineLevel="0" collapsed="false">
      <c r="A1444" s="7" t="s">
        <v>24</v>
      </c>
      <c r="B1444" s="7" t="s">
        <v>163</v>
      </c>
      <c r="C1444" s="7" t="s">
        <v>1046</v>
      </c>
      <c r="D1444" s="7" t="n">
        <v>0</v>
      </c>
      <c r="E1444" s="7" t="n">
        <v>0</v>
      </c>
      <c r="F1444" s="7" t="n">
        <v>2</v>
      </c>
      <c r="G1444" s="7" t="n">
        <v>144.76</v>
      </c>
    </row>
    <row r="1445" customFormat="false" ht="15" hidden="false" customHeight="false" outlineLevel="0" collapsed="false">
      <c r="A1445" s="7" t="s">
        <v>24</v>
      </c>
      <c r="B1445" s="7" t="s">
        <v>163</v>
      </c>
      <c r="C1445" s="7" t="s">
        <v>1046</v>
      </c>
      <c r="D1445" s="7" t="n">
        <v>0</v>
      </c>
      <c r="E1445" s="7" t="n">
        <v>0</v>
      </c>
      <c r="F1445" s="7" t="n">
        <v>1</v>
      </c>
      <c r="G1445" s="7" t="n">
        <v>76.18</v>
      </c>
    </row>
    <row r="1446" customFormat="false" ht="15" hidden="false" customHeight="false" outlineLevel="0" collapsed="false">
      <c r="A1446" s="7" t="s">
        <v>24</v>
      </c>
      <c r="B1446" s="7" t="s">
        <v>163</v>
      </c>
      <c r="C1446" s="7" t="s">
        <v>1046</v>
      </c>
      <c r="D1446" s="7" t="n">
        <v>0</v>
      </c>
      <c r="E1446" s="7" t="n">
        <v>0</v>
      </c>
      <c r="F1446" s="7" t="n">
        <v>1</v>
      </c>
      <c r="G1446" s="7" t="n">
        <v>76.19</v>
      </c>
    </row>
    <row r="1447" customFormat="false" ht="15" hidden="false" customHeight="false" outlineLevel="0" collapsed="false">
      <c r="A1447" s="7" t="s">
        <v>24</v>
      </c>
      <c r="B1447" s="7" t="s">
        <v>163</v>
      </c>
      <c r="C1447" s="7" t="s">
        <v>1046</v>
      </c>
      <c r="D1447" s="7" t="n">
        <v>0</v>
      </c>
      <c r="E1447" s="7" t="n">
        <v>0</v>
      </c>
      <c r="F1447" s="7" t="n">
        <v>1</v>
      </c>
      <c r="G1447" s="7" t="n">
        <v>76.18</v>
      </c>
    </row>
    <row r="1448" customFormat="false" ht="15" hidden="false" customHeight="false" outlineLevel="0" collapsed="false">
      <c r="A1448" s="7" t="s">
        <v>24</v>
      </c>
      <c r="B1448" s="7" t="s">
        <v>163</v>
      </c>
      <c r="C1448" s="7" t="s">
        <v>1046</v>
      </c>
      <c r="D1448" s="7" t="n">
        <v>0</v>
      </c>
      <c r="E1448" s="7" t="n">
        <v>0</v>
      </c>
      <c r="F1448" s="7" t="n">
        <v>1</v>
      </c>
      <c r="G1448" s="7" t="n">
        <v>68.57</v>
      </c>
    </row>
    <row r="1449" customFormat="false" ht="15" hidden="false" customHeight="false" outlineLevel="0" collapsed="false">
      <c r="A1449" s="7" t="s">
        <v>24</v>
      </c>
      <c r="B1449" s="7" t="s">
        <v>163</v>
      </c>
      <c r="C1449" s="7" t="s">
        <v>1046</v>
      </c>
      <c r="D1449" s="7" t="n">
        <v>0</v>
      </c>
      <c r="E1449" s="7" t="n">
        <v>0</v>
      </c>
      <c r="F1449" s="7" t="n">
        <v>1</v>
      </c>
      <c r="G1449" s="7" t="n">
        <v>76.18</v>
      </c>
    </row>
    <row r="1450" customFormat="false" ht="15" hidden="false" customHeight="false" outlineLevel="0" collapsed="false">
      <c r="A1450" s="7" t="s">
        <v>24</v>
      </c>
      <c r="B1450" s="7" t="s">
        <v>163</v>
      </c>
      <c r="C1450" s="7" t="s">
        <v>1046</v>
      </c>
      <c r="D1450" s="7" t="n">
        <v>0</v>
      </c>
      <c r="E1450" s="7" t="n">
        <v>0</v>
      </c>
      <c r="F1450" s="7" t="n">
        <v>1</v>
      </c>
      <c r="G1450" s="7" t="n">
        <v>76.19</v>
      </c>
    </row>
    <row r="1451" customFormat="false" ht="15" hidden="false" customHeight="false" outlineLevel="0" collapsed="false">
      <c r="A1451" s="7" t="s">
        <v>24</v>
      </c>
      <c r="B1451" s="7" t="s">
        <v>163</v>
      </c>
      <c r="C1451" s="7" t="s">
        <v>1046</v>
      </c>
      <c r="D1451" s="7" t="n">
        <v>0</v>
      </c>
      <c r="E1451" s="7" t="n">
        <v>0</v>
      </c>
      <c r="F1451" s="7" t="n">
        <v>1</v>
      </c>
      <c r="G1451" s="7" t="n">
        <v>64.77</v>
      </c>
    </row>
    <row r="1452" customFormat="false" ht="15" hidden="false" customHeight="false" outlineLevel="0" collapsed="false">
      <c r="A1452" s="7" t="s">
        <v>24</v>
      </c>
      <c r="B1452" s="7" t="s">
        <v>163</v>
      </c>
      <c r="C1452" s="7" t="s">
        <v>1046</v>
      </c>
      <c r="D1452" s="7" t="n">
        <v>0</v>
      </c>
      <c r="E1452" s="7" t="n">
        <v>0</v>
      </c>
      <c r="F1452" s="7" t="n">
        <v>1</v>
      </c>
      <c r="G1452" s="7" t="n">
        <v>76.19</v>
      </c>
    </row>
    <row r="1453" customFormat="false" ht="15" hidden="false" customHeight="false" outlineLevel="0" collapsed="false">
      <c r="A1453" s="7" t="s">
        <v>24</v>
      </c>
      <c r="B1453" s="7" t="s">
        <v>163</v>
      </c>
      <c r="C1453" s="7" t="s">
        <v>1046</v>
      </c>
      <c r="D1453" s="7" t="n">
        <v>0</v>
      </c>
      <c r="E1453" s="7" t="n">
        <v>0</v>
      </c>
      <c r="F1453" s="7" t="n">
        <v>1</v>
      </c>
      <c r="G1453" s="7" t="n">
        <v>76.19</v>
      </c>
    </row>
    <row r="1454" customFormat="false" ht="15" hidden="false" customHeight="false" outlineLevel="0" collapsed="false">
      <c r="A1454" s="7" t="s">
        <v>24</v>
      </c>
      <c r="B1454" s="7" t="s">
        <v>163</v>
      </c>
      <c r="C1454" s="7" t="s">
        <v>1046</v>
      </c>
      <c r="D1454" s="7" t="n">
        <v>0</v>
      </c>
      <c r="E1454" s="7" t="n">
        <v>0</v>
      </c>
      <c r="F1454" s="7" t="n">
        <v>1</v>
      </c>
      <c r="G1454" s="7" t="n">
        <v>64.76</v>
      </c>
    </row>
    <row r="1455" customFormat="false" ht="15" hidden="false" customHeight="false" outlineLevel="0" collapsed="false">
      <c r="A1455" s="7" t="s">
        <v>24</v>
      </c>
      <c r="B1455" s="7" t="s">
        <v>163</v>
      </c>
      <c r="C1455" s="7" t="s">
        <v>1046</v>
      </c>
      <c r="D1455" s="7" t="n">
        <v>0</v>
      </c>
      <c r="E1455" s="7" t="n">
        <v>0</v>
      </c>
      <c r="F1455" s="7" t="n">
        <v>1</v>
      </c>
      <c r="G1455" s="7" t="n">
        <v>76.19</v>
      </c>
    </row>
    <row r="1456" customFormat="false" ht="15" hidden="false" customHeight="false" outlineLevel="0" collapsed="false">
      <c r="A1456" s="7" t="s">
        <v>24</v>
      </c>
      <c r="B1456" s="7" t="s">
        <v>163</v>
      </c>
      <c r="C1456" s="7" t="s">
        <v>1046</v>
      </c>
      <c r="D1456" s="7" t="n">
        <v>0</v>
      </c>
      <c r="E1456" s="7" t="n">
        <v>0</v>
      </c>
      <c r="F1456" s="7" t="n">
        <v>2</v>
      </c>
      <c r="G1456" s="7" t="n">
        <v>152.37</v>
      </c>
    </row>
    <row r="1457" customFormat="false" ht="15" hidden="false" customHeight="false" outlineLevel="0" collapsed="false">
      <c r="A1457" s="7" t="s">
        <v>24</v>
      </c>
      <c r="B1457" s="7" t="s">
        <v>163</v>
      </c>
      <c r="C1457" s="7" t="s">
        <v>1046</v>
      </c>
      <c r="D1457" s="7" t="n">
        <v>0</v>
      </c>
      <c r="E1457" s="7" t="n">
        <v>0</v>
      </c>
      <c r="F1457" s="7" t="n">
        <v>2</v>
      </c>
      <c r="G1457" s="7" t="n">
        <v>152.37</v>
      </c>
    </row>
    <row r="1458" customFormat="false" ht="15" hidden="false" customHeight="false" outlineLevel="0" collapsed="false">
      <c r="A1458" s="7" t="s">
        <v>24</v>
      </c>
      <c r="B1458" s="7" t="s">
        <v>163</v>
      </c>
      <c r="C1458" s="7" t="s">
        <v>1046</v>
      </c>
      <c r="D1458" s="7" t="n">
        <v>0</v>
      </c>
      <c r="E1458" s="7" t="n">
        <v>0</v>
      </c>
      <c r="F1458" s="7" t="n">
        <v>1</v>
      </c>
      <c r="G1458" s="7" t="n">
        <v>76.19</v>
      </c>
    </row>
    <row r="1459" customFormat="false" ht="15" hidden="false" customHeight="false" outlineLevel="0" collapsed="false">
      <c r="A1459" s="7" t="s">
        <v>24</v>
      </c>
      <c r="B1459" s="7" t="s">
        <v>163</v>
      </c>
      <c r="C1459" s="7" t="s">
        <v>1046</v>
      </c>
      <c r="D1459" s="7" t="n">
        <v>0</v>
      </c>
      <c r="E1459" s="7" t="n">
        <v>0</v>
      </c>
      <c r="F1459" s="7" t="n">
        <v>2</v>
      </c>
      <c r="G1459" s="7" t="n">
        <v>152.37</v>
      </c>
    </row>
    <row r="1460" customFormat="false" ht="15" hidden="false" customHeight="false" outlineLevel="0" collapsed="false">
      <c r="A1460" s="7" t="s">
        <v>24</v>
      </c>
      <c r="B1460" s="7" t="s">
        <v>163</v>
      </c>
      <c r="C1460" s="7" t="s">
        <v>1046</v>
      </c>
      <c r="D1460" s="7" t="n">
        <v>0</v>
      </c>
      <c r="E1460" s="7" t="n">
        <v>0</v>
      </c>
      <c r="F1460" s="7" t="n">
        <v>1</v>
      </c>
      <c r="G1460" s="7" t="n">
        <v>76.19</v>
      </c>
    </row>
    <row r="1461" customFormat="false" ht="15" hidden="false" customHeight="false" outlineLevel="0" collapsed="false">
      <c r="A1461" s="7" t="s">
        <v>24</v>
      </c>
      <c r="B1461" s="7" t="s">
        <v>163</v>
      </c>
      <c r="C1461" s="7" t="s">
        <v>1046</v>
      </c>
      <c r="D1461" s="7" t="n">
        <v>16</v>
      </c>
      <c r="E1461" s="7" t="n">
        <v>1013.39</v>
      </c>
      <c r="F1461" s="7" t="n">
        <v>0</v>
      </c>
      <c r="G1461" s="7" t="n">
        <v>0</v>
      </c>
    </row>
    <row r="1462" customFormat="false" ht="15" hidden="false" customHeight="false" outlineLevel="0" collapsed="false">
      <c r="A1462" s="7" t="s">
        <v>24</v>
      </c>
      <c r="B1462" s="7" t="s">
        <v>163</v>
      </c>
      <c r="C1462" s="7" t="s">
        <v>1046</v>
      </c>
      <c r="D1462" s="7" t="n">
        <v>0</v>
      </c>
      <c r="E1462" s="7" t="n">
        <v>0</v>
      </c>
      <c r="F1462" s="7" t="n">
        <v>1</v>
      </c>
      <c r="G1462" s="7" t="n">
        <v>76.19</v>
      </c>
    </row>
    <row r="1463" customFormat="false" ht="15" hidden="false" customHeight="false" outlineLevel="0" collapsed="false">
      <c r="A1463" s="7" t="s">
        <v>24</v>
      </c>
      <c r="B1463" s="7" t="s">
        <v>163</v>
      </c>
      <c r="C1463" s="7" t="s">
        <v>1046</v>
      </c>
      <c r="D1463" s="7" t="n">
        <v>0</v>
      </c>
      <c r="E1463" s="7" t="n">
        <v>0</v>
      </c>
      <c r="F1463" s="7" t="n">
        <v>1</v>
      </c>
      <c r="G1463" s="7" t="n">
        <v>76.19</v>
      </c>
    </row>
    <row r="1464" customFormat="false" ht="15" hidden="false" customHeight="false" outlineLevel="0" collapsed="false">
      <c r="A1464" s="7" t="s">
        <v>24</v>
      </c>
      <c r="B1464" s="7" t="s">
        <v>163</v>
      </c>
      <c r="C1464" s="7" t="s">
        <v>1046</v>
      </c>
      <c r="D1464" s="7" t="n">
        <v>0</v>
      </c>
      <c r="E1464" s="7" t="n">
        <v>0</v>
      </c>
      <c r="F1464" s="7" t="n">
        <v>2</v>
      </c>
      <c r="G1464" s="7" t="n">
        <v>137.14</v>
      </c>
    </row>
    <row r="1465" customFormat="false" ht="15" hidden="false" customHeight="false" outlineLevel="0" collapsed="false">
      <c r="A1465" s="7" t="s">
        <v>24</v>
      </c>
      <c r="B1465" s="7" t="s">
        <v>163</v>
      </c>
      <c r="C1465" s="7" t="s">
        <v>1046</v>
      </c>
      <c r="D1465" s="7" t="n">
        <v>0</v>
      </c>
      <c r="E1465" s="7" t="n">
        <v>0</v>
      </c>
      <c r="F1465" s="7" t="n">
        <v>1</v>
      </c>
      <c r="G1465" s="7" t="n">
        <v>76.19</v>
      </c>
    </row>
    <row r="1466" customFormat="false" ht="15" hidden="false" customHeight="false" outlineLevel="0" collapsed="false">
      <c r="A1466" s="7" t="s">
        <v>24</v>
      </c>
      <c r="B1466" s="7" t="s">
        <v>163</v>
      </c>
      <c r="C1466" s="7" t="s">
        <v>1046</v>
      </c>
      <c r="D1466" s="7" t="n">
        <v>0</v>
      </c>
      <c r="E1466" s="7" t="n">
        <v>0</v>
      </c>
      <c r="F1466" s="7" t="n">
        <v>1</v>
      </c>
      <c r="G1466" s="7" t="n">
        <v>76.19</v>
      </c>
    </row>
    <row r="1467" customFormat="false" ht="15" hidden="false" customHeight="false" outlineLevel="0" collapsed="false">
      <c r="A1467" s="7" t="s">
        <v>24</v>
      </c>
      <c r="B1467" s="7" t="s">
        <v>163</v>
      </c>
      <c r="C1467" s="7" t="s">
        <v>1046</v>
      </c>
      <c r="D1467" s="7" t="n">
        <v>0</v>
      </c>
      <c r="E1467" s="7" t="n">
        <v>0</v>
      </c>
      <c r="F1467" s="7" t="n">
        <v>3</v>
      </c>
      <c r="G1467" s="7" t="n">
        <v>228.54</v>
      </c>
    </row>
    <row r="1468" customFormat="false" ht="15" hidden="false" customHeight="false" outlineLevel="0" collapsed="false">
      <c r="A1468" s="7" t="s">
        <v>24</v>
      </c>
      <c r="B1468" s="7" t="s">
        <v>163</v>
      </c>
      <c r="C1468" s="7" t="s">
        <v>1046</v>
      </c>
      <c r="D1468" s="7" t="n">
        <v>0</v>
      </c>
      <c r="E1468" s="7" t="n">
        <v>0</v>
      </c>
      <c r="F1468" s="7" t="n">
        <v>4</v>
      </c>
      <c r="G1468" s="7" t="n">
        <v>297.14</v>
      </c>
    </row>
    <row r="1469" customFormat="false" ht="15" hidden="false" customHeight="false" outlineLevel="0" collapsed="false">
      <c r="A1469" s="7" t="s">
        <v>24</v>
      </c>
      <c r="B1469" s="7" t="s">
        <v>163</v>
      </c>
      <c r="C1469" s="7" t="s">
        <v>1046</v>
      </c>
      <c r="D1469" s="7" t="n">
        <v>0</v>
      </c>
      <c r="E1469" s="7" t="n">
        <v>0</v>
      </c>
      <c r="F1469" s="7" t="n">
        <v>1</v>
      </c>
      <c r="G1469" s="7" t="n">
        <v>64.77</v>
      </c>
    </row>
    <row r="1470" customFormat="false" ht="15" hidden="false" customHeight="false" outlineLevel="0" collapsed="false">
      <c r="A1470" s="7" t="s">
        <v>24</v>
      </c>
      <c r="B1470" s="7" t="s">
        <v>163</v>
      </c>
      <c r="C1470" s="7" t="s">
        <v>1046</v>
      </c>
      <c r="D1470" s="7" t="n">
        <v>0</v>
      </c>
      <c r="E1470" s="7" t="n">
        <v>0</v>
      </c>
      <c r="F1470" s="7" t="n">
        <v>3</v>
      </c>
      <c r="G1470" s="7" t="n">
        <v>228.57</v>
      </c>
    </row>
    <row r="1471" customFormat="false" ht="15" hidden="false" customHeight="false" outlineLevel="0" collapsed="false">
      <c r="A1471" s="7" t="s">
        <v>24</v>
      </c>
      <c r="B1471" s="7" t="s">
        <v>163</v>
      </c>
      <c r="C1471" s="7" t="s">
        <v>1046</v>
      </c>
      <c r="D1471" s="7" t="n">
        <v>0</v>
      </c>
      <c r="E1471" s="7" t="n">
        <v>0</v>
      </c>
      <c r="F1471" s="7" t="n">
        <v>2</v>
      </c>
      <c r="G1471" s="7" t="n">
        <v>152.38</v>
      </c>
    </row>
    <row r="1472" customFormat="false" ht="15" hidden="false" customHeight="false" outlineLevel="0" collapsed="false">
      <c r="A1472" s="7" t="s">
        <v>24</v>
      </c>
      <c r="B1472" s="7" t="s">
        <v>163</v>
      </c>
      <c r="C1472" s="7" t="s">
        <v>1046</v>
      </c>
      <c r="D1472" s="7" t="n">
        <v>0</v>
      </c>
      <c r="E1472" s="7" t="n">
        <v>0</v>
      </c>
      <c r="F1472" s="7" t="n">
        <v>1</v>
      </c>
      <c r="G1472" s="7" t="n">
        <v>76.19</v>
      </c>
    </row>
    <row r="1473" customFormat="false" ht="15" hidden="false" customHeight="false" outlineLevel="0" collapsed="false">
      <c r="A1473" s="7" t="s">
        <v>24</v>
      </c>
      <c r="B1473" s="7" t="s">
        <v>163</v>
      </c>
      <c r="C1473" s="7" t="s">
        <v>1046</v>
      </c>
      <c r="D1473" s="7" t="n">
        <v>0</v>
      </c>
      <c r="E1473" s="7" t="n">
        <v>0</v>
      </c>
      <c r="F1473" s="7" t="n">
        <v>1</v>
      </c>
      <c r="G1473" s="7" t="n">
        <v>76.19</v>
      </c>
    </row>
    <row r="1474" customFormat="false" ht="15" hidden="false" customHeight="false" outlineLevel="0" collapsed="false">
      <c r="A1474" s="7" t="s">
        <v>24</v>
      </c>
      <c r="B1474" s="7" t="s">
        <v>163</v>
      </c>
      <c r="C1474" s="7" t="s">
        <v>1046</v>
      </c>
      <c r="D1474" s="7" t="n">
        <v>0</v>
      </c>
      <c r="E1474" s="7" t="n">
        <v>0</v>
      </c>
      <c r="F1474" s="7" t="n">
        <v>2</v>
      </c>
      <c r="G1474" s="7" t="n">
        <v>140.94</v>
      </c>
    </row>
    <row r="1475" customFormat="false" ht="15" hidden="false" customHeight="false" outlineLevel="0" collapsed="false">
      <c r="A1475" s="7" t="s">
        <v>24</v>
      </c>
      <c r="B1475" s="7" t="s">
        <v>163</v>
      </c>
      <c r="C1475" s="7" t="s">
        <v>1046</v>
      </c>
      <c r="D1475" s="7" t="n">
        <v>0</v>
      </c>
      <c r="E1475" s="7" t="n">
        <v>0</v>
      </c>
      <c r="F1475" s="7" t="n">
        <v>1</v>
      </c>
      <c r="G1475" s="7" t="n">
        <v>68.57</v>
      </c>
    </row>
    <row r="1476" customFormat="false" ht="15" hidden="false" customHeight="false" outlineLevel="0" collapsed="false">
      <c r="A1476" s="7" t="s">
        <v>24</v>
      </c>
      <c r="B1476" s="7" t="s">
        <v>163</v>
      </c>
      <c r="C1476" s="7" t="s">
        <v>1046</v>
      </c>
      <c r="D1476" s="7" t="n">
        <v>0</v>
      </c>
      <c r="E1476" s="7" t="n">
        <v>0</v>
      </c>
      <c r="F1476" s="7" t="n">
        <v>3</v>
      </c>
      <c r="G1476" s="7" t="n">
        <v>228.57</v>
      </c>
    </row>
    <row r="1477" customFormat="false" ht="15" hidden="false" customHeight="false" outlineLevel="0" collapsed="false">
      <c r="A1477" s="7" t="s">
        <v>24</v>
      </c>
      <c r="B1477" s="7" t="s">
        <v>163</v>
      </c>
      <c r="C1477" s="7" t="s">
        <v>1046</v>
      </c>
      <c r="D1477" s="7" t="n">
        <v>0</v>
      </c>
      <c r="E1477" s="7" t="n">
        <v>0</v>
      </c>
      <c r="F1477" s="7" t="n">
        <v>1</v>
      </c>
      <c r="G1477" s="7" t="n">
        <v>76.18</v>
      </c>
    </row>
    <row r="1478" customFormat="false" ht="15" hidden="false" customHeight="false" outlineLevel="0" collapsed="false">
      <c r="A1478" s="7" t="s">
        <v>24</v>
      </c>
      <c r="B1478" s="7" t="s">
        <v>316</v>
      </c>
      <c r="C1478" s="7" t="s">
        <v>1047</v>
      </c>
      <c r="D1478" s="7" t="n">
        <v>1</v>
      </c>
      <c r="E1478" s="7" t="n">
        <v>171.1</v>
      </c>
      <c r="F1478" s="7" t="n">
        <v>0</v>
      </c>
      <c r="G1478" s="7" t="n">
        <v>0</v>
      </c>
    </row>
    <row r="1479" customFormat="false" ht="15" hidden="false" customHeight="false" outlineLevel="0" collapsed="false">
      <c r="A1479" s="7" t="s">
        <v>24</v>
      </c>
      <c r="B1479" s="7" t="s">
        <v>316</v>
      </c>
      <c r="C1479" s="7" t="s">
        <v>1047</v>
      </c>
      <c r="D1479" s="7" t="n">
        <v>7</v>
      </c>
      <c r="E1479" s="7" t="n">
        <v>1202.03</v>
      </c>
      <c r="F1479" s="7" t="n">
        <v>2</v>
      </c>
      <c r="G1479" s="7" t="n">
        <v>372.72</v>
      </c>
    </row>
    <row r="1480" customFormat="false" ht="15" hidden="false" customHeight="false" outlineLevel="0" collapsed="false">
      <c r="A1480" s="7" t="s">
        <v>24</v>
      </c>
      <c r="B1480" s="7" t="s">
        <v>316</v>
      </c>
      <c r="C1480" s="7" t="s">
        <v>1047</v>
      </c>
      <c r="D1480" s="7" t="n">
        <v>0</v>
      </c>
      <c r="E1480" s="7" t="n">
        <v>0</v>
      </c>
      <c r="F1480" s="7" t="n">
        <v>1</v>
      </c>
      <c r="G1480" s="7" t="n">
        <v>186.35</v>
      </c>
    </row>
    <row r="1481" customFormat="false" ht="15" hidden="false" customHeight="false" outlineLevel="0" collapsed="false">
      <c r="A1481" s="7" t="s">
        <v>24</v>
      </c>
      <c r="B1481" s="7" t="s">
        <v>202</v>
      </c>
      <c r="C1481" s="7" t="s">
        <v>1047</v>
      </c>
      <c r="D1481" s="7" t="n">
        <v>12</v>
      </c>
      <c r="E1481" s="7" t="n">
        <v>2180.41</v>
      </c>
      <c r="F1481" s="7" t="n">
        <v>4</v>
      </c>
      <c r="G1481" s="7" t="n">
        <v>726.8</v>
      </c>
    </row>
    <row r="1482" customFormat="false" ht="15" hidden="false" customHeight="false" outlineLevel="0" collapsed="false">
      <c r="A1482" s="7" t="s">
        <v>24</v>
      </c>
      <c r="B1482" s="7" t="s">
        <v>202</v>
      </c>
      <c r="C1482" s="7" t="s">
        <v>1047</v>
      </c>
      <c r="D1482" s="7" t="n">
        <v>3</v>
      </c>
      <c r="E1482" s="7" t="n">
        <v>513.3</v>
      </c>
      <c r="F1482" s="7" t="n">
        <v>0</v>
      </c>
      <c r="G1482" s="7" t="n">
        <v>0</v>
      </c>
    </row>
    <row r="1483" customFormat="false" ht="15" hidden="false" customHeight="false" outlineLevel="0" collapsed="false">
      <c r="A1483" s="7" t="s">
        <v>24</v>
      </c>
      <c r="B1483" s="7" t="s">
        <v>202</v>
      </c>
      <c r="C1483" s="7" t="s">
        <v>1047</v>
      </c>
      <c r="D1483" s="7" t="n">
        <v>0</v>
      </c>
      <c r="E1483" s="7" t="n">
        <v>0</v>
      </c>
      <c r="F1483" s="7" t="n">
        <v>1</v>
      </c>
      <c r="G1483" s="7" t="n">
        <v>186.36</v>
      </c>
    </row>
    <row r="1484" customFormat="false" ht="15" hidden="false" customHeight="false" outlineLevel="0" collapsed="false">
      <c r="A1484" s="7" t="s">
        <v>24</v>
      </c>
      <c r="B1484" s="7" t="s">
        <v>353</v>
      </c>
      <c r="C1484" s="7" t="s">
        <v>1047</v>
      </c>
      <c r="D1484" s="7" t="n">
        <v>6</v>
      </c>
      <c r="E1484" s="7" t="n">
        <v>1034.3</v>
      </c>
      <c r="F1484" s="7" t="n">
        <v>0</v>
      </c>
      <c r="G1484" s="7" t="n">
        <v>0</v>
      </c>
    </row>
    <row r="1485" customFormat="false" ht="15" hidden="false" customHeight="false" outlineLevel="0" collapsed="false">
      <c r="A1485" s="7" t="s">
        <v>24</v>
      </c>
      <c r="B1485" s="7" t="s">
        <v>353</v>
      </c>
      <c r="C1485" s="7" t="s">
        <v>1047</v>
      </c>
      <c r="D1485" s="7" t="n">
        <v>0</v>
      </c>
      <c r="E1485" s="7" t="n">
        <v>0</v>
      </c>
      <c r="F1485" s="7" t="n">
        <v>1</v>
      </c>
      <c r="G1485" s="7" t="n">
        <v>186.36</v>
      </c>
    </row>
    <row r="1486" customFormat="false" ht="15" hidden="false" customHeight="false" outlineLevel="0" collapsed="false">
      <c r="A1486" s="7" t="s">
        <v>24</v>
      </c>
      <c r="B1486" s="7" t="s">
        <v>353</v>
      </c>
      <c r="C1486" s="7" t="s">
        <v>1047</v>
      </c>
      <c r="D1486" s="7" t="n">
        <v>1</v>
      </c>
      <c r="E1486" s="7" t="n">
        <v>171.1</v>
      </c>
      <c r="F1486" s="7" t="n">
        <v>0</v>
      </c>
      <c r="G1486" s="7" t="n">
        <v>0</v>
      </c>
    </row>
    <row r="1487" customFormat="false" ht="15" hidden="false" customHeight="false" outlineLevel="0" collapsed="false">
      <c r="A1487" s="7" t="s">
        <v>24</v>
      </c>
      <c r="B1487" s="7" t="s">
        <v>353</v>
      </c>
      <c r="C1487" s="7" t="s">
        <v>1047</v>
      </c>
      <c r="D1487" s="7" t="n">
        <v>0</v>
      </c>
      <c r="E1487" s="7" t="n">
        <v>0</v>
      </c>
      <c r="F1487" s="7" t="n">
        <v>1</v>
      </c>
      <c r="G1487" s="7" t="n">
        <v>186.36</v>
      </c>
    </row>
    <row r="1488" customFormat="false" ht="15" hidden="false" customHeight="false" outlineLevel="0" collapsed="false">
      <c r="A1488" s="7" t="s">
        <v>24</v>
      </c>
      <c r="B1488" s="7" t="s">
        <v>353</v>
      </c>
      <c r="C1488" s="7" t="s">
        <v>1047</v>
      </c>
      <c r="D1488" s="7" t="n">
        <v>0</v>
      </c>
      <c r="E1488" s="7" t="n">
        <v>0</v>
      </c>
      <c r="F1488" s="7" t="n">
        <v>1</v>
      </c>
      <c r="G1488" s="7" t="n">
        <v>186.36</v>
      </c>
    </row>
    <row r="1489" customFormat="false" ht="15" hidden="false" customHeight="false" outlineLevel="0" collapsed="false">
      <c r="A1489" s="7" t="s">
        <v>24</v>
      </c>
      <c r="B1489" s="7" t="s">
        <v>485</v>
      </c>
      <c r="C1489" s="7" t="s">
        <v>1047</v>
      </c>
      <c r="D1489" s="7" t="n">
        <v>2</v>
      </c>
      <c r="E1489" s="7" t="n">
        <v>344.77</v>
      </c>
      <c r="F1489" s="7" t="n">
        <v>0</v>
      </c>
      <c r="G1489" s="7" t="n">
        <v>0</v>
      </c>
    </row>
    <row r="1490" customFormat="false" ht="15" hidden="false" customHeight="false" outlineLevel="0" collapsed="false">
      <c r="A1490" s="7" t="s">
        <v>24</v>
      </c>
      <c r="B1490" s="7" t="s">
        <v>393</v>
      </c>
      <c r="C1490" s="7" t="s">
        <v>1047</v>
      </c>
      <c r="D1490" s="7" t="n">
        <v>0</v>
      </c>
      <c r="E1490" s="7" t="n">
        <v>0</v>
      </c>
      <c r="F1490" s="7" t="n">
        <v>1</v>
      </c>
      <c r="G1490" s="7" t="n">
        <v>167.72</v>
      </c>
    </row>
    <row r="1491" customFormat="false" ht="15" hidden="false" customHeight="false" outlineLevel="0" collapsed="false">
      <c r="A1491" s="7" t="s">
        <v>24</v>
      </c>
      <c r="B1491" s="7" t="s">
        <v>393</v>
      </c>
      <c r="C1491" s="7" t="s">
        <v>1047</v>
      </c>
      <c r="D1491" s="7" t="n">
        <v>0</v>
      </c>
      <c r="E1491" s="7" t="n">
        <v>0</v>
      </c>
      <c r="F1491" s="7" t="n">
        <v>3</v>
      </c>
      <c r="G1491" s="7" t="n">
        <v>559.08</v>
      </c>
    </row>
    <row r="1492" customFormat="false" ht="15" hidden="false" customHeight="false" outlineLevel="0" collapsed="false">
      <c r="A1492" s="7" t="s">
        <v>24</v>
      </c>
      <c r="B1492" s="7" t="s">
        <v>393</v>
      </c>
      <c r="C1492" s="7" t="s">
        <v>1047</v>
      </c>
      <c r="D1492" s="7" t="n">
        <v>1</v>
      </c>
      <c r="E1492" s="7" t="n">
        <v>171.1</v>
      </c>
      <c r="F1492" s="7" t="n">
        <v>0</v>
      </c>
      <c r="G1492" s="7" t="n">
        <v>0</v>
      </c>
    </row>
    <row r="1493" customFormat="false" ht="15" hidden="false" customHeight="false" outlineLevel="0" collapsed="false">
      <c r="A1493" s="7" t="s">
        <v>24</v>
      </c>
      <c r="B1493" s="7" t="s">
        <v>476</v>
      </c>
      <c r="C1493" s="7" t="s">
        <v>1047</v>
      </c>
      <c r="D1493" s="7" t="n">
        <v>1</v>
      </c>
      <c r="E1493" s="7" t="n">
        <v>158.41</v>
      </c>
      <c r="F1493" s="7" t="n">
        <v>2</v>
      </c>
      <c r="G1493" s="7" t="n">
        <v>354.08</v>
      </c>
    </row>
    <row r="1494" customFormat="false" ht="15" hidden="false" customHeight="false" outlineLevel="0" collapsed="false">
      <c r="A1494" s="7" t="s">
        <v>24</v>
      </c>
      <c r="B1494" s="7" t="s">
        <v>476</v>
      </c>
      <c r="C1494" s="7" t="s">
        <v>1047</v>
      </c>
      <c r="D1494" s="7" t="n">
        <v>0</v>
      </c>
      <c r="E1494" s="7" t="n">
        <v>0</v>
      </c>
      <c r="F1494" s="7" t="n">
        <v>1</v>
      </c>
      <c r="G1494" s="7" t="n">
        <v>162</v>
      </c>
    </row>
    <row r="1495" customFormat="false" ht="15" hidden="false" customHeight="false" outlineLevel="0" collapsed="false">
      <c r="A1495" s="7" t="s">
        <v>24</v>
      </c>
      <c r="B1495" s="7" t="s">
        <v>143</v>
      </c>
      <c r="C1495" s="7" t="s">
        <v>1047</v>
      </c>
      <c r="D1495" s="7" t="n">
        <v>0</v>
      </c>
      <c r="E1495" s="7" t="n">
        <v>0</v>
      </c>
      <c r="F1495" s="7" t="n">
        <v>1</v>
      </c>
      <c r="G1495" s="7" t="n">
        <v>143.98</v>
      </c>
    </row>
    <row r="1496" customFormat="false" ht="15" hidden="false" customHeight="false" outlineLevel="0" collapsed="false">
      <c r="A1496" s="7" t="s">
        <v>24</v>
      </c>
      <c r="B1496" s="7" t="s">
        <v>143</v>
      </c>
      <c r="C1496" s="7" t="s">
        <v>1047</v>
      </c>
      <c r="D1496" s="7" t="n">
        <v>0</v>
      </c>
      <c r="E1496" s="7" t="n">
        <v>0</v>
      </c>
      <c r="F1496" s="7" t="n">
        <v>1</v>
      </c>
      <c r="G1496" s="7" t="n">
        <v>129.59</v>
      </c>
    </row>
    <row r="1497" customFormat="false" ht="15" hidden="false" customHeight="false" outlineLevel="0" collapsed="false">
      <c r="A1497" s="7" t="s">
        <v>24</v>
      </c>
      <c r="B1497" s="7" t="s">
        <v>143</v>
      </c>
      <c r="C1497" s="7" t="s">
        <v>1047</v>
      </c>
      <c r="D1497" s="7" t="n">
        <v>0</v>
      </c>
      <c r="E1497" s="7" t="n">
        <v>0</v>
      </c>
      <c r="F1497" s="7" t="n">
        <v>1</v>
      </c>
      <c r="G1497" s="7" t="n">
        <v>143.99</v>
      </c>
    </row>
    <row r="1498" customFormat="false" ht="15" hidden="false" customHeight="false" outlineLevel="0" collapsed="false">
      <c r="A1498" s="7" t="s">
        <v>24</v>
      </c>
      <c r="B1498" s="7" t="s">
        <v>143</v>
      </c>
      <c r="C1498" s="7" t="s">
        <v>1047</v>
      </c>
      <c r="D1498" s="7" t="n">
        <v>0</v>
      </c>
      <c r="E1498" s="7" t="n">
        <v>0</v>
      </c>
      <c r="F1498" s="7" t="n">
        <v>2</v>
      </c>
      <c r="G1498" s="7" t="n">
        <v>287.98</v>
      </c>
    </row>
    <row r="1499" customFormat="false" ht="15" hidden="false" customHeight="false" outlineLevel="0" collapsed="false">
      <c r="A1499" s="7" t="s">
        <v>24</v>
      </c>
      <c r="B1499" s="7" t="s">
        <v>143</v>
      </c>
      <c r="C1499" s="7" t="s">
        <v>1047</v>
      </c>
      <c r="D1499" s="7" t="n">
        <v>0</v>
      </c>
      <c r="E1499" s="7" t="n">
        <v>0</v>
      </c>
      <c r="F1499" s="7" t="n">
        <v>1</v>
      </c>
      <c r="G1499" s="7" t="n">
        <v>129.58</v>
      </c>
    </row>
    <row r="1500" customFormat="false" ht="15" hidden="false" customHeight="false" outlineLevel="0" collapsed="false">
      <c r="A1500" s="7" t="s">
        <v>24</v>
      </c>
      <c r="B1500" s="7" t="s">
        <v>143</v>
      </c>
      <c r="C1500" s="7" t="s">
        <v>1047</v>
      </c>
      <c r="D1500" s="7" t="n">
        <v>0</v>
      </c>
      <c r="E1500" s="7" t="n">
        <v>0</v>
      </c>
      <c r="F1500" s="7" t="n">
        <v>1</v>
      </c>
      <c r="G1500" s="7" t="n">
        <v>122.39</v>
      </c>
    </row>
    <row r="1501" customFormat="false" ht="15" hidden="false" customHeight="false" outlineLevel="0" collapsed="false">
      <c r="A1501" s="7" t="s">
        <v>24</v>
      </c>
      <c r="B1501" s="7" t="s">
        <v>143</v>
      </c>
      <c r="C1501" s="7" t="s">
        <v>1047</v>
      </c>
      <c r="D1501" s="7" t="n">
        <v>0</v>
      </c>
      <c r="E1501" s="7" t="n">
        <v>0</v>
      </c>
      <c r="F1501" s="7" t="n">
        <v>1</v>
      </c>
      <c r="G1501" s="7" t="n">
        <v>143.99</v>
      </c>
    </row>
    <row r="1502" customFormat="false" ht="15" hidden="false" customHeight="false" outlineLevel="0" collapsed="false">
      <c r="A1502" s="7" t="s">
        <v>24</v>
      </c>
      <c r="B1502" s="7" t="s">
        <v>143</v>
      </c>
      <c r="C1502" s="7" t="s">
        <v>1047</v>
      </c>
      <c r="D1502" s="7" t="n">
        <v>0</v>
      </c>
      <c r="E1502" s="7" t="n">
        <v>0</v>
      </c>
      <c r="F1502" s="7" t="n">
        <v>1</v>
      </c>
      <c r="G1502" s="7" t="n">
        <v>143.99</v>
      </c>
    </row>
    <row r="1503" customFormat="false" ht="15" hidden="false" customHeight="false" outlineLevel="0" collapsed="false">
      <c r="A1503" s="7" t="s">
        <v>24</v>
      </c>
      <c r="B1503" s="7" t="s">
        <v>143</v>
      </c>
      <c r="C1503" s="7" t="s">
        <v>1047</v>
      </c>
      <c r="D1503" s="7" t="n">
        <v>0</v>
      </c>
      <c r="E1503" s="7" t="n">
        <v>0</v>
      </c>
      <c r="F1503" s="7" t="n">
        <v>1</v>
      </c>
      <c r="G1503" s="7" t="n">
        <v>143.99</v>
      </c>
    </row>
    <row r="1504" customFormat="false" ht="15" hidden="false" customHeight="false" outlineLevel="0" collapsed="false">
      <c r="A1504" s="7" t="s">
        <v>24</v>
      </c>
      <c r="B1504" s="7" t="s">
        <v>143</v>
      </c>
      <c r="C1504" s="7" t="s">
        <v>1047</v>
      </c>
      <c r="D1504" s="7" t="n">
        <v>0</v>
      </c>
      <c r="E1504" s="7" t="n">
        <v>0</v>
      </c>
      <c r="F1504" s="7" t="n">
        <v>1</v>
      </c>
      <c r="G1504" s="7" t="n">
        <v>143.99</v>
      </c>
    </row>
    <row r="1505" customFormat="false" ht="15" hidden="false" customHeight="false" outlineLevel="0" collapsed="false">
      <c r="A1505" s="7" t="s">
        <v>24</v>
      </c>
      <c r="B1505" s="7" t="s">
        <v>143</v>
      </c>
      <c r="C1505" s="7" t="s">
        <v>1047</v>
      </c>
      <c r="D1505" s="7" t="n">
        <v>0</v>
      </c>
      <c r="E1505" s="7" t="n">
        <v>0</v>
      </c>
      <c r="F1505" s="7" t="n">
        <v>1</v>
      </c>
      <c r="G1505" s="7" t="n">
        <v>143.98</v>
      </c>
    </row>
    <row r="1506" customFormat="false" ht="15" hidden="false" customHeight="false" outlineLevel="0" collapsed="false">
      <c r="A1506" s="7" t="s">
        <v>24</v>
      </c>
      <c r="B1506" s="7" t="s">
        <v>143</v>
      </c>
      <c r="C1506" s="7" t="s">
        <v>1047</v>
      </c>
      <c r="D1506" s="7" t="n">
        <v>0</v>
      </c>
      <c r="E1506" s="7" t="n">
        <v>0</v>
      </c>
      <c r="F1506" s="7" t="n">
        <v>1</v>
      </c>
      <c r="G1506" s="7" t="n">
        <v>143.99</v>
      </c>
    </row>
    <row r="1507" customFormat="false" ht="15" hidden="false" customHeight="false" outlineLevel="0" collapsed="false">
      <c r="A1507" s="7" t="s">
        <v>24</v>
      </c>
      <c r="B1507" s="7" t="s">
        <v>143</v>
      </c>
      <c r="C1507" s="7" t="s">
        <v>1047</v>
      </c>
      <c r="D1507" s="7" t="n">
        <v>0</v>
      </c>
      <c r="E1507" s="7" t="n">
        <v>0</v>
      </c>
      <c r="F1507" s="7" t="n">
        <v>1</v>
      </c>
      <c r="G1507" s="7" t="n">
        <v>143.99</v>
      </c>
    </row>
    <row r="1508" customFormat="false" ht="15" hidden="false" customHeight="false" outlineLevel="0" collapsed="false">
      <c r="A1508" s="7" t="s">
        <v>24</v>
      </c>
      <c r="B1508" s="7" t="s">
        <v>143</v>
      </c>
      <c r="C1508" s="7" t="s">
        <v>1047</v>
      </c>
      <c r="D1508" s="7" t="n">
        <v>0</v>
      </c>
      <c r="E1508" s="7" t="n">
        <v>0</v>
      </c>
      <c r="F1508" s="7" t="n">
        <v>1</v>
      </c>
      <c r="G1508" s="7" t="n">
        <v>129.59</v>
      </c>
    </row>
    <row r="1509" customFormat="false" ht="15" hidden="false" customHeight="false" outlineLevel="0" collapsed="false">
      <c r="A1509" s="7" t="s">
        <v>24</v>
      </c>
      <c r="B1509" s="7" t="s">
        <v>143</v>
      </c>
      <c r="C1509" s="7" t="s">
        <v>1047</v>
      </c>
      <c r="D1509" s="7" t="n">
        <v>0</v>
      </c>
      <c r="E1509" s="7" t="n">
        <v>0</v>
      </c>
      <c r="F1509" s="7" t="n">
        <v>1</v>
      </c>
      <c r="G1509" s="7" t="n">
        <v>129.58</v>
      </c>
    </row>
    <row r="1510" customFormat="false" ht="15" hidden="false" customHeight="false" outlineLevel="0" collapsed="false">
      <c r="A1510" s="7" t="s">
        <v>24</v>
      </c>
      <c r="B1510" s="7" t="s">
        <v>143</v>
      </c>
      <c r="C1510" s="7" t="s">
        <v>1047</v>
      </c>
      <c r="D1510" s="7" t="n">
        <v>0</v>
      </c>
      <c r="E1510" s="7" t="n">
        <v>0</v>
      </c>
      <c r="F1510" s="7" t="n">
        <v>1</v>
      </c>
      <c r="G1510" s="7" t="n">
        <v>129.59</v>
      </c>
    </row>
    <row r="1511" customFormat="false" ht="15" hidden="false" customHeight="false" outlineLevel="0" collapsed="false">
      <c r="A1511" s="7" t="s">
        <v>24</v>
      </c>
      <c r="B1511" s="7" t="s">
        <v>143</v>
      </c>
      <c r="C1511" s="7" t="s">
        <v>1047</v>
      </c>
      <c r="D1511" s="7" t="n">
        <v>0</v>
      </c>
      <c r="E1511" s="7" t="n">
        <v>0</v>
      </c>
      <c r="F1511" s="7" t="n">
        <v>1</v>
      </c>
      <c r="G1511" s="7" t="n">
        <v>143.98</v>
      </c>
    </row>
    <row r="1512" customFormat="false" ht="15" hidden="false" customHeight="false" outlineLevel="0" collapsed="false">
      <c r="A1512" s="7" t="s">
        <v>24</v>
      </c>
      <c r="B1512" s="7" t="s">
        <v>143</v>
      </c>
      <c r="C1512" s="7" t="s">
        <v>1047</v>
      </c>
      <c r="D1512" s="7" t="n">
        <v>0</v>
      </c>
      <c r="E1512" s="7" t="n">
        <v>0</v>
      </c>
      <c r="F1512" s="7" t="n">
        <v>1</v>
      </c>
      <c r="G1512" s="7" t="n">
        <v>129.58</v>
      </c>
    </row>
    <row r="1513" customFormat="false" ht="15" hidden="false" customHeight="false" outlineLevel="0" collapsed="false">
      <c r="A1513" s="7" t="s">
        <v>24</v>
      </c>
      <c r="B1513" s="7" t="s">
        <v>143</v>
      </c>
      <c r="C1513" s="7" t="s">
        <v>1047</v>
      </c>
      <c r="D1513" s="7" t="n">
        <v>0</v>
      </c>
      <c r="E1513" s="7" t="n">
        <v>0</v>
      </c>
      <c r="F1513" s="7" t="n">
        <v>1</v>
      </c>
      <c r="G1513" s="7" t="n">
        <v>143.99</v>
      </c>
    </row>
    <row r="1514" customFormat="false" ht="15" hidden="false" customHeight="false" outlineLevel="0" collapsed="false">
      <c r="A1514" s="7" t="s">
        <v>24</v>
      </c>
      <c r="B1514" s="7" t="s">
        <v>143</v>
      </c>
      <c r="C1514" s="7" t="s">
        <v>1047</v>
      </c>
      <c r="D1514" s="7" t="n">
        <v>0</v>
      </c>
      <c r="E1514" s="7" t="n">
        <v>0</v>
      </c>
      <c r="F1514" s="7" t="n">
        <v>1</v>
      </c>
      <c r="G1514" s="7" t="n">
        <v>143.98</v>
      </c>
    </row>
    <row r="1515" customFormat="false" ht="15" hidden="false" customHeight="false" outlineLevel="0" collapsed="false">
      <c r="A1515" s="7" t="s">
        <v>24</v>
      </c>
      <c r="B1515" s="7" t="s">
        <v>143</v>
      </c>
      <c r="C1515" s="7" t="s">
        <v>1047</v>
      </c>
      <c r="D1515" s="7" t="n">
        <v>0</v>
      </c>
      <c r="E1515" s="7" t="n">
        <v>0</v>
      </c>
      <c r="F1515" s="7" t="n">
        <v>2</v>
      </c>
      <c r="G1515" s="7" t="n">
        <v>287.98</v>
      </c>
    </row>
    <row r="1516" customFormat="false" ht="15" hidden="false" customHeight="false" outlineLevel="0" collapsed="false">
      <c r="A1516" s="7" t="s">
        <v>24</v>
      </c>
      <c r="B1516" s="7" t="s">
        <v>143</v>
      </c>
      <c r="C1516" s="7" t="s">
        <v>1047</v>
      </c>
      <c r="D1516" s="7" t="n">
        <v>0</v>
      </c>
      <c r="E1516" s="7" t="n">
        <v>0</v>
      </c>
      <c r="F1516" s="7" t="n">
        <v>1</v>
      </c>
      <c r="G1516" s="7" t="n">
        <v>129.59</v>
      </c>
    </row>
    <row r="1517" customFormat="false" ht="15" hidden="false" customHeight="false" outlineLevel="0" collapsed="false">
      <c r="A1517" s="7" t="s">
        <v>24</v>
      </c>
      <c r="B1517" s="7" t="s">
        <v>143</v>
      </c>
      <c r="C1517" s="7" t="s">
        <v>1047</v>
      </c>
      <c r="D1517" s="7" t="n">
        <v>0</v>
      </c>
      <c r="E1517" s="7" t="n">
        <v>0</v>
      </c>
      <c r="F1517" s="7" t="n">
        <v>1</v>
      </c>
      <c r="G1517" s="7" t="n">
        <v>143.99</v>
      </c>
    </row>
    <row r="1518" customFormat="false" ht="15" hidden="false" customHeight="false" outlineLevel="0" collapsed="false">
      <c r="A1518" s="7" t="s">
        <v>24</v>
      </c>
      <c r="B1518" s="7" t="s">
        <v>143</v>
      </c>
      <c r="C1518" s="7" t="s">
        <v>1047</v>
      </c>
      <c r="D1518" s="7" t="n">
        <v>0</v>
      </c>
      <c r="E1518" s="7" t="n">
        <v>0</v>
      </c>
      <c r="F1518" s="7" t="n">
        <v>1</v>
      </c>
      <c r="G1518" s="7" t="n">
        <v>129.59</v>
      </c>
    </row>
    <row r="1519" customFormat="false" ht="15" hidden="false" customHeight="false" outlineLevel="0" collapsed="false">
      <c r="A1519" s="7" t="s">
        <v>24</v>
      </c>
      <c r="B1519" s="7" t="s">
        <v>143</v>
      </c>
      <c r="C1519" s="7" t="s">
        <v>1047</v>
      </c>
      <c r="D1519" s="7" t="n">
        <v>0</v>
      </c>
      <c r="E1519" s="7" t="n">
        <v>0</v>
      </c>
      <c r="F1519" s="7" t="n">
        <v>1</v>
      </c>
      <c r="G1519" s="7" t="n">
        <v>143.99</v>
      </c>
    </row>
    <row r="1520" customFormat="false" ht="15" hidden="false" customHeight="false" outlineLevel="0" collapsed="false">
      <c r="A1520" s="7" t="s">
        <v>24</v>
      </c>
      <c r="B1520" s="7" t="s">
        <v>143</v>
      </c>
      <c r="C1520" s="7" t="s">
        <v>1047</v>
      </c>
      <c r="D1520" s="7" t="n">
        <v>0</v>
      </c>
      <c r="E1520" s="7" t="n">
        <v>0</v>
      </c>
      <c r="F1520" s="7" t="n">
        <v>1</v>
      </c>
      <c r="G1520" s="7" t="n">
        <v>143.98</v>
      </c>
    </row>
    <row r="1521" customFormat="false" ht="15" hidden="false" customHeight="false" outlineLevel="0" collapsed="false">
      <c r="A1521" s="7" t="s">
        <v>24</v>
      </c>
      <c r="B1521" s="7" t="s">
        <v>143</v>
      </c>
      <c r="C1521" s="7" t="s">
        <v>1047</v>
      </c>
      <c r="D1521" s="7" t="n">
        <v>15</v>
      </c>
      <c r="E1521" s="7" t="n">
        <v>2036.72</v>
      </c>
      <c r="F1521" s="7" t="n">
        <v>0</v>
      </c>
      <c r="G1521" s="7" t="n">
        <v>0</v>
      </c>
    </row>
    <row r="1522" customFormat="false" ht="15" hidden="false" customHeight="false" outlineLevel="0" collapsed="false">
      <c r="A1522" s="7" t="s">
        <v>24</v>
      </c>
      <c r="B1522" s="7" t="s">
        <v>143</v>
      </c>
      <c r="C1522" s="7" t="s">
        <v>1047</v>
      </c>
      <c r="D1522" s="7" t="n">
        <v>96</v>
      </c>
      <c r="E1522" s="7" t="n">
        <v>13022.91</v>
      </c>
      <c r="F1522" s="7" t="n">
        <v>42</v>
      </c>
      <c r="G1522" s="7" t="n">
        <v>5787.97</v>
      </c>
    </row>
    <row r="1523" customFormat="false" ht="15" hidden="false" customHeight="false" outlineLevel="0" collapsed="false">
      <c r="A1523" s="7" t="s">
        <v>24</v>
      </c>
      <c r="B1523" s="7" t="s">
        <v>143</v>
      </c>
      <c r="C1523" s="7" t="s">
        <v>1047</v>
      </c>
      <c r="D1523" s="7" t="n">
        <v>0</v>
      </c>
      <c r="E1523" s="7" t="n">
        <v>0</v>
      </c>
      <c r="F1523" s="7" t="n">
        <v>1</v>
      </c>
      <c r="G1523" s="7" t="n">
        <v>143.98</v>
      </c>
    </row>
    <row r="1524" customFormat="false" ht="15" hidden="false" customHeight="false" outlineLevel="0" collapsed="false">
      <c r="A1524" s="7" t="s">
        <v>24</v>
      </c>
      <c r="B1524" s="7" t="s">
        <v>143</v>
      </c>
      <c r="C1524" s="7" t="s">
        <v>1047</v>
      </c>
      <c r="D1524" s="7" t="n">
        <v>0</v>
      </c>
      <c r="E1524" s="7" t="n">
        <v>0</v>
      </c>
      <c r="F1524" s="7" t="n">
        <v>1</v>
      </c>
      <c r="G1524" s="7" t="n">
        <v>122.39</v>
      </c>
    </row>
    <row r="1525" customFormat="false" ht="15" hidden="false" customHeight="false" outlineLevel="0" collapsed="false">
      <c r="A1525" s="7" t="s">
        <v>24</v>
      </c>
      <c r="B1525" s="7" t="s">
        <v>143</v>
      </c>
      <c r="C1525" s="7" t="s">
        <v>1047</v>
      </c>
      <c r="D1525" s="7" t="n">
        <v>0</v>
      </c>
      <c r="E1525" s="7" t="n">
        <v>0</v>
      </c>
      <c r="F1525" s="7" t="n">
        <v>1</v>
      </c>
      <c r="G1525" s="7" t="n">
        <v>129.58</v>
      </c>
    </row>
    <row r="1526" customFormat="false" ht="15" hidden="false" customHeight="false" outlineLevel="0" collapsed="false">
      <c r="A1526" s="7" t="s">
        <v>24</v>
      </c>
      <c r="B1526" s="7" t="s">
        <v>143</v>
      </c>
      <c r="C1526" s="7" t="s">
        <v>1047</v>
      </c>
      <c r="D1526" s="7" t="n">
        <v>0</v>
      </c>
      <c r="E1526" s="7" t="n">
        <v>0</v>
      </c>
      <c r="F1526" s="7" t="n">
        <v>1</v>
      </c>
      <c r="G1526" s="7" t="n">
        <v>129.59</v>
      </c>
    </row>
    <row r="1527" customFormat="false" ht="15" hidden="false" customHeight="false" outlineLevel="0" collapsed="false">
      <c r="A1527" s="7" t="s">
        <v>24</v>
      </c>
      <c r="B1527" s="7" t="s">
        <v>143</v>
      </c>
      <c r="C1527" s="7" t="s">
        <v>1047</v>
      </c>
      <c r="D1527" s="7" t="n">
        <v>0</v>
      </c>
      <c r="E1527" s="7" t="n">
        <v>0</v>
      </c>
      <c r="F1527" s="7" t="n">
        <v>1</v>
      </c>
      <c r="G1527" s="7" t="n">
        <v>143.99</v>
      </c>
    </row>
    <row r="1528" customFormat="false" ht="15" hidden="false" customHeight="false" outlineLevel="0" collapsed="false">
      <c r="A1528" s="7" t="s">
        <v>24</v>
      </c>
      <c r="B1528" s="7" t="s">
        <v>143</v>
      </c>
      <c r="C1528" s="7" t="s">
        <v>1047</v>
      </c>
      <c r="D1528" s="7" t="n">
        <v>0</v>
      </c>
      <c r="E1528" s="7" t="n">
        <v>0</v>
      </c>
      <c r="F1528" s="7" t="n">
        <v>1</v>
      </c>
      <c r="G1528" s="7" t="n">
        <v>143.98</v>
      </c>
    </row>
    <row r="1529" customFormat="false" ht="15" hidden="false" customHeight="false" outlineLevel="0" collapsed="false">
      <c r="A1529" s="7" t="s">
        <v>24</v>
      </c>
      <c r="B1529" s="7" t="s">
        <v>143</v>
      </c>
      <c r="C1529" s="7" t="s">
        <v>1047</v>
      </c>
      <c r="D1529" s="7" t="n">
        <v>0</v>
      </c>
      <c r="E1529" s="7" t="n">
        <v>0</v>
      </c>
      <c r="F1529" s="7" t="n">
        <v>1</v>
      </c>
      <c r="G1529" s="7" t="n">
        <v>143.99</v>
      </c>
    </row>
    <row r="1530" customFormat="false" ht="15" hidden="false" customHeight="false" outlineLevel="0" collapsed="false">
      <c r="A1530" s="7" t="s">
        <v>24</v>
      </c>
      <c r="B1530" s="7" t="s">
        <v>143</v>
      </c>
      <c r="C1530" s="7" t="s">
        <v>1047</v>
      </c>
      <c r="D1530" s="7" t="n">
        <v>0</v>
      </c>
      <c r="E1530" s="7" t="n">
        <v>0</v>
      </c>
      <c r="F1530" s="7" t="n">
        <v>2</v>
      </c>
      <c r="G1530" s="7" t="n">
        <v>287.98</v>
      </c>
    </row>
    <row r="1531" customFormat="false" ht="15" hidden="false" customHeight="false" outlineLevel="0" collapsed="false">
      <c r="A1531" s="7" t="s">
        <v>24</v>
      </c>
      <c r="B1531" s="7" t="s">
        <v>143</v>
      </c>
      <c r="C1531" s="7" t="s">
        <v>1047</v>
      </c>
      <c r="D1531" s="7" t="n">
        <v>0</v>
      </c>
      <c r="E1531" s="7" t="n">
        <v>0</v>
      </c>
      <c r="F1531" s="7" t="n">
        <v>1</v>
      </c>
      <c r="G1531" s="7" t="n">
        <v>129.58</v>
      </c>
    </row>
    <row r="1532" customFormat="false" ht="15" hidden="false" customHeight="false" outlineLevel="0" collapsed="false">
      <c r="A1532" s="7" t="s">
        <v>24</v>
      </c>
      <c r="B1532" s="7" t="s">
        <v>143</v>
      </c>
      <c r="C1532" s="7" t="s">
        <v>1047</v>
      </c>
      <c r="D1532" s="7" t="n">
        <v>0</v>
      </c>
      <c r="E1532" s="7" t="n">
        <v>0</v>
      </c>
      <c r="F1532" s="7" t="n">
        <v>1</v>
      </c>
      <c r="G1532" s="7" t="n">
        <v>129.58</v>
      </c>
    </row>
    <row r="1533" customFormat="false" ht="15" hidden="false" customHeight="false" outlineLevel="0" collapsed="false">
      <c r="A1533" s="7" t="s">
        <v>24</v>
      </c>
      <c r="B1533" s="7" t="s">
        <v>143</v>
      </c>
      <c r="C1533" s="7" t="s">
        <v>1047</v>
      </c>
      <c r="D1533" s="7" t="n">
        <v>0</v>
      </c>
      <c r="E1533" s="7" t="n">
        <v>0</v>
      </c>
      <c r="F1533" s="7" t="n">
        <v>1</v>
      </c>
      <c r="G1533" s="7" t="n">
        <v>143.99</v>
      </c>
    </row>
    <row r="1534" customFormat="false" ht="15" hidden="false" customHeight="false" outlineLevel="0" collapsed="false">
      <c r="A1534" s="7" t="s">
        <v>24</v>
      </c>
      <c r="B1534" s="7" t="s">
        <v>673</v>
      </c>
      <c r="C1534" s="7" t="s">
        <v>1206</v>
      </c>
      <c r="D1534" s="7" t="n">
        <v>1</v>
      </c>
      <c r="E1534" s="7" t="n">
        <v>196.53</v>
      </c>
      <c r="F1534" s="7" t="n">
        <v>2</v>
      </c>
      <c r="G1534" s="7" t="n">
        <v>323.56</v>
      </c>
    </row>
    <row r="1535" customFormat="false" ht="15" hidden="false" customHeight="false" outlineLevel="0" collapsed="false">
      <c r="A1535" s="7" t="s">
        <v>24</v>
      </c>
      <c r="B1535" s="7" t="s">
        <v>591</v>
      </c>
      <c r="C1535" s="7" t="s">
        <v>1206</v>
      </c>
      <c r="D1535" s="7" t="n">
        <v>0</v>
      </c>
      <c r="E1535" s="7" t="n">
        <v>0</v>
      </c>
      <c r="F1535" s="7" t="n">
        <v>1</v>
      </c>
      <c r="G1535" s="7" t="n">
        <v>196.53</v>
      </c>
    </row>
    <row r="1536" customFormat="false" ht="15" hidden="false" customHeight="false" outlineLevel="0" collapsed="false">
      <c r="A1536" s="7" t="s">
        <v>24</v>
      </c>
      <c r="B1536" s="7" t="s">
        <v>591</v>
      </c>
      <c r="C1536" s="7" t="s">
        <v>1206</v>
      </c>
      <c r="D1536" s="7" t="n">
        <v>1</v>
      </c>
      <c r="E1536" s="7" t="n">
        <v>167.05</v>
      </c>
      <c r="F1536" s="7" t="n">
        <v>1</v>
      </c>
      <c r="G1536" s="7" t="n">
        <v>176.88</v>
      </c>
    </row>
    <row r="1537" customFormat="false" ht="15" hidden="false" customHeight="false" outlineLevel="0" collapsed="false">
      <c r="A1537" s="7" t="s">
        <v>24</v>
      </c>
      <c r="B1537" s="7" t="s">
        <v>672</v>
      </c>
      <c r="C1537" s="7" t="s">
        <v>1207</v>
      </c>
      <c r="D1537" s="7" t="n">
        <v>0</v>
      </c>
      <c r="E1537" s="7" t="n">
        <v>0</v>
      </c>
      <c r="F1537" s="7" t="n">
        <v>1</v>
      </c>
      <c r="G1537" s="7" t="n">
        <v>127.03</v>
      </c>
    </row>
    <row r="1538" customFormat="false" ht="15" hidden="false" customHeight="false" outlineLevel="0" collapsed="false">
      <c r="A1538" s="7" t="s">
        <v>24</v>
      </c>
      <c r="B1538" s="7" t="s">
        <v>410</v>
      </c>
      <c r="C1538" s="7" t="s">
        <v>1207</v>
      </c>
      <c r="D1538" s="7" t="n">
        <v>3</v>
      </c>
      <c r="E1538" s="7" t="n">
        <v>501.15</v>
      </c>
      <c r="F1538" s="7" t="n">
        <v>0</v>
      </c>
      <c r="G1538" s="7" t="n">
        <v>0</v>
      </c>
    </row>
    <row r="1539" customFormat="false" ht="15" hidden="false" customHeight="false" outlineLevel="0" collapsed="false">
      <c r="A1539" s="7" t="s">
        <v>24</v>
      </c>
      <c r="B1539" s="7" t="s">
        <v>769</v>
      </c>
      <c r="C1539" s="7" t="s">
        <v>1207</v>
      </c>
      <c r="D1539" s="7" t="n">
        <v>1</v>
      </c>
      <c r="E1539" s="7" t="n">
        <v>167.05</v>
      </c>
      <c r="F1539" s="7" t="n">
        <v>1</v>
      </c>
      <c r="G1539" s="7" t="n">
        <v>196.53</v>
      </c>
    </row>
    <row r="1540" customFormat="false" ht="15" hidden="false" customHeight="false" outlineLevel="0" collapsed="false">
      <c r="A1540" s="7" t="s">
        <v>24</v>
      </c>
      <c r="B1540" s="7" t="s">
        <v>604</v>
      </c>
      <c r="C1540" s="7" t="s">
        <v>1208</v>
      </c>
      <c r="D1540" s="7" t="n">
        <v>0</v>
      </c>
      <c r="E1540" s="7" t="n">
        <v>0</v>
      </c>
      <c r="F1540" s="7" t="n">
        <v>1</v>
      </c>
      <c r="G1540" s="7" t="n">
        <v>196.52</v>
      </c>
    </row>
    <row r="1541" customFormat="false" ht="15" hidden="false" customHeight="false" outlineLevel="0" collapsed="false">
      <c r="A1541" s="7" t="s">
        <v>24</v>
      </c>
      <c r="B1541" s="7" t="s">
        <v>523</v>
      </c>
      <c r="C1541" s="7" t="s">
        <v>1209</v>
      </c>
      <c r="D1541" s="7" t="n">
        <v>0</v>
      </c>
      <c r="E1541" s="7" t="n">
        <v>0</v>
      </c>
      <c r="F1541" s="7" t="n">
        <v>1</v>
      </c>
      <c r="G1541" s="7" t="n">
        <v>176.87</v>
      </c>
    </row>
    <row r="1542" customFormat="false" ht="15" hidden="false" customHeight="false" outlineLevel="0" collapsed="false">
      <c r="A1542" s="7" t="s">
        <v>24</v>
      </c>
      <c r="B1542" s="7" t="s">
        <v>523</v>
      </c>
      <c r="C1542" s="7" t="s">
        <v>1209</v>
      </c>
      <c r="D1542" s="7" t="n">
        <v>0</v>
      </c>
      <c r="E1542" s="7" t="n">
        <v>0</v>
      </c>
      <c r="F1542" s="7" t="n">
        <v>1</v>
      </c>
      <c r="G1542" s="7" t="n">
        <v>127.03</v>
      </c>
    </row>
    <row r="1543" customFormat="false" ht="15" hidden="false" customHeight="false" outlineLevel="0" collapsed="false">
      <c r="A1543" s="7" t="s">
        <v>24</v>
      </c>
      <c r="B1543" s="7" t="s">
        <v>371</v>
      </c>
      <c r="C1543" s="7" t="s">
        <v>1210</v>
      </c>
      <c r="D1543" s="7" t="n">
        <v>0</v>
      </c>
      <c r="E1543" s="7" t="n">
        <v>0</v>
      </c>
      <c r="F1543" s="7" t="n">
        <v>1</v>
      </c>
      <c r="G1543" s="7" t="n">
        <v>196.53</v>
      </c>
    </row>
    <row r="1544" customFormat="false" ht="15" hidden="false" customHeight="false" outlineLevel="0" collapsed="false">
      <c r="A1544" s="7" t="s">
        <v>24</v>
      </c>
      <c r="B1544" s="7" t="s">
        <v>371</v>
      </c>
      <c r="C1544" s="7" t="s">
        <v>1210</v>
      </c>
      <c r="D1544" s="7" t="n">
        <v>0</v>
      </c>
      <c r="E1544" s="7" t="n">
        <v>0</v>
      </c>
      <c r="F1544" s="7" t="n">
        <v>1</v>
      </c>
      <c r="G1544" s="7" t="n">
        <v>196.53</v>
      </c>
    </row>
    <row r="1545" customFormat="false" ht="15" hidden="false" customHeight="false" outlineLevel="0" collapsed="false">
      <c r="A1545" s="7" t="s">
        <v>24</v>
      </c>
      <c r="B1545" s="7" t="s">
        <v>371</v>
      </c>
      <c r="C1545" s="7" t="s">
        <v>1210</v>
      </c>
      <c r="D1545" s="7" t="n">
        <v>0</v>
      </c>
      <c r="E1545" s="7" t="n">
        <v>0</v>
      </c>
      <c r="F1545" s="7" t="n">
        <v>1</v>
      </c>
      <c r="G1545" s="7" t="n">
        <v>196.52</v>
      </c>
    </row>
    <row r="1546" customFormat="false" ht="15" hidden="false" customHeight="false" outlineLevel="0" collapsed="false">
      <c r="A1546" s="7" t="s">
        <v>24</v>
      </c>
      <c r="B1546" s="7" t="s">
        <v>636</v>
      </c>
      <c r="C1546" s="7" t="s">
        <v>1211</v>
      </c>
      <c r="D1546" s="7" t="n">
        <v>1</v>
      </c>
      <c r="E1546" s="7" t="n">
        <v>167.05</v>
      </c>
      <c r="F1546" s="7" t="n">
        <v>0</v>
      </c>
      <c r="G1546" s="7" t="n">
        <v>0</v>
      </c>
    </row>
    <row r="1547" customFormat="false" ht="15" hidden="false" customHeight="false" outlineLevel="0" collapsed="false">
      <c r="A1547" s="7" t="s">
        <v>24</v>
      </c>
      <c r="B1547" s="7" t="s">
        <v>659</v>
      </c>
      <c r="C1547" s="7" t="s">
        <v>1211</v>
      </c>
      <c r="D1547" s="7" t="n">
        <v>0</v>
      </c>
      <c r="E1547" s="7" t="n">
        <v>0</v>
      </c>
      <c r="F1547" s="7" t="n">
        <v>1</v>
      </c>
      <c r="G1547" s="7" t="n">
        <v>127.03</v>
      </c>
    </row>
    <row r="1548" customFormat="false" ht="15" hidden="false" customHeight="false" outlineLevel="0" collapsed="false">
      <c r="A1548" s="7" t="s">
        <v>24</v>
      </c>
      <c r="B1548" s="7" t="s">
        <v>659</v>
      </c>
      <c r="C1548" s="7" t="s">
        <v>1211</v>
      </c>
      <c r="D1548" s="7" t="n">
        <v>1</v>
      </c>
      <c r="E1548" s="7" t="n">
        <v>167.05</v>
      </c>
      <c r="F1548" s="7" t="n">
        <v>1</v>
      </c>
      <c r="G1548" s="7" t="n">
        <v>176.88</v>
      </c>
    </row>
    <row r="1549" customFormat="false" ht="15" hidden="false" customHeight="false" outlineLevel="0" collapsed="false">
      <c r="A1549" s="7" t="s">
        <v>24</v>
      </c>
      <c r="B1549" s="7" t="s">
        <v>161</v>
      </c>
      <c r="C1549" s="7" t="s">
        <v>1048</v>
      </c>
      <c r="D1549" s="7" t="n">
        <v>0</v>
      </c>
      <c r="E1549" s="7" t="n">
        <v>0</v>
      </c>
      <c r="F1549" s="7" t="n">
        <v>1</v>
      </c>
      <c r="G1549" s="7" t="n">
        <v>194.41</v>
      </c>
    </row>
    <row r="1550" customFormat="false" ht="15" hidden="false" customHeight="false" outlineLevel="0" collapsed="false">
      <c r="A1550" s="7" t="s">
        <v>24</v>
      </c>
      <c r="B1550" s="7" t="s">
        <v>161</v>
      </c>
      <c r="C1550" s="7" t="s">
        <v>1048</v>
      </c>
      <c r="D1550" s="7" t="n">
        <v>0</v>
      </c>
      <c r="E1550" s="7" t="n">
        <v>0</v>
      </c>
      <c r="F1550" s="7" t="n">
        <v>1</v>
      </c>
      <c r="G1550" s="7" t="n">
        <v>194.41</v>
      </c>
    </row>
    <row r="1551" customFormat="false" ht="15" hidden="false" customHeight="false" outlineLevel="0" collapsed="false">
      <c r="A1551" s="7" t="s">
        <v>24</v>
      </c>
      <c r="B1551" s="7" t="s">
        <v>161</v>
      </c>
      <c r="C1551" s="7" t="s">
        <v>1048</v>
      </c>
      <c r="D1551" s="7" t="n">
        <v>0</v>
      </c>
      <c r="E1551" s="7" t="n">
        <v>0</v>
      </c>
      <c r="F1551" s="7" t="n">
        <v>1</v>
      </c>
      <c r="G1551" s="7" t="n">
        <v>183.62</v>
      </c>
    </row>
    <row r="1552" customFormat="false" ht="15" hidden="false" customHeight="false" outlineLevel="0" collapsed="false">
      <c r="A1552" s="7" t="s">
        <v>24</v>
      </c>
      <c r="B1552" s="7" t="s">
        <v>161</v>
      </c>
      <c r="C1552" s="7" t="s">
        <v>1048</v>
      </c>
      <c r="D1552" s="7" t="n">
        <v>0</v>
      </c>
      <c r="E1552" s="7" t="n">
        <v>0</v>
      </c>
      <c r="F1552" s="7" t="n">
        <v>2</v>
      </c>
      <c r="G1552" s="7" t="n">
        <v>432.02</v>
      </c>
    </row>
    <row r="1553" customFormat="false" ht="15" hidden="false" customHeight="false" outlineLevel="0" collapsed="false">
      <c r="A1553" s="7" t="s">
        <v>24</v>
      </c>
      <c r="B1553" s="7" t="s">
        <v>161</v>
      </c>
      <c r="C1553" s="7" t="s">
        <v>1048</v>
      </c>
      <c r="D1553" s="7" t="n">
        <v>0</v>
      </c>
      <c r="E1553" s="7" t="n">
        <v>0</v>
      </c>
      <c r="F1553" s="7" t="n">
        <v>1</v>
      </c>
      <c r="G1553" s="7" t="n">
        <v>216.02</v>
      </c>
    </row>
    <row r="1554" customFormat="false" ht="15" hidden="false" customHeight="false" outlineLevel="0" collapsed="false">
      <c r="A1554" s="7" t="s">
        <v>24</v>
      </c>
      <c r="B1554" s="7" t="s">
        <v>161</v>
      </c>
      <c r="C1554" s="7" t="s">
        <v>1048</v>
      </c>
      <c r="D1554" s="7" t="n">
        <v>0</v>
      </c>
      <c r="E1554" s="7" t="n">
        <v>0</v>
      </c>
      <c r="F1554" s="7" t="n">
        <v>1</v>
      </c>
      <c r="G1554" s="7" t="n">
        <v>216.01</v>
      </c>
    </row>
    <row r="1555" customFormat="false" ht="15" hidden="false" customHeight="false" outlineLevel="0" collapsed="false">
      <c r="A1555" s="7" t="s">
        <v>24</v>
      </c>
      <c r="B1555" s="7" t="s">
        <v>161</v>
      </c>
      <c r="C1555" s="7" t="s">
        <v>1048</v>
      </c>
      <c r="D1555" s="7" t="n">
        <v>0</v>
      </c>
      <c r="E1555" s="7" t="n">
        <v>0</v>
      </c>
      <c r="F1555" s="7" t="n">
        <v>2</v>
      </c>
      <c r="G1555" s="7" t="n">
        <v>432.03</v>
      </c>
    </row>
    <row r="1556" customFormat="false" ht="15" hidden="false" customHeight="false" outlineLevel="0" collapsed="false">
      <c r="A1556" s="7" t="s">
        <v>24</v>
      </c>
      <c r="B1556" s="7" t="s">
        <v>161</v>
      </c>
      <c r="C1556" s="7" t="s">
        <v>1048</v>
      </c>
      <c r="D1556" s="7" t="n">
        <v>0</v>
      </c>
      <c r="E1556" s="7" t="n">
        <v>0</v>
      </c>
      <c r="F1556" s="7" t="n">
        <v>1</v>
      </c>
      <c r="G1556" s="7" t="n">
        <v>194.41</v>
      </c>
    </row>
    <row r="1557" customFormat="false" ht="15" hidden="false" customHeight="false" outlineLevel="0" collapsed="false">
      <c r="A1557" s="7" t="s">
        <v>24</v>
      </c>
      <c r="B1557" s="7" t="s">
        <v>161</v>
      </c>
      <c r="C1557" s="7" t="s">
        <v>1048</v>
      </c>
      <c r="D1557" s="7" t="n">
        <v>0</v>
      </c>
      <c r="E1557" s="7" t="n">
        <v>0</v>
      </c>
      <c r="F1557" s="7" t="n">
        <v>1</v>
      </c>
      <c r="G1557" s="7" t="n">
        <v>216.01</v>
      </c>
    </row>
    <row r="1558" customFormat="false" ht="15" hidden="false" customHeight="false" outlineLevel="0" collapsed="false">
      <c r="A1558" s="7" t="s">
        <v>24</v>
      </c>
      <c r="B1558" s="7" t="s">
        <v>161</v>
      </c>
      <c r="C1558" s="7" t="s">
        <v>1048</v>
      </c>
      <c r="D1558" s="7" t="n">
        <v>0</v>
      </c>
      <c r="E1558" s="7" t="n">
        <v>0</v>
      </c>
      <c r="F1558" s="7" t="n">
        <v>1</v>
      </c>
      <c r="G1558" s="7" t="n">
        <v>216.02</v>
      </c>
    </row>
    <row r="1559" customFormat="false" ht="15" hidden="false" customHeight="false" outlineLevel="0" collapsed="false">
      <c r="A1559" s="7" t="s">
        <v>24</v>
      </c>
      <c r="B1559" s="7" t="s">
        <v>161</v>
      </c>
      <c r="C1559" s="7" t="s">
        <v>1048</v>
      </c>
      <c r="D1559" s="7" t="n">
        <v>0</v>
      </c>
      <c r="E1559" s="7" t="n">
        <v>0</v>
      </c>
      <c r="F1559" s="7" t="n">
        <v>1</v>
      </c>
      <c r="G1559" s="7" t="n">
        <v>216.01</v>
      </c>
    </row>
    <row r="1560" customFormat="false" ht="15" hidden="false" customHeight="false" outlineLevel="0" collapsed="false">
      <c r="A1560" s="7" t="s">
        <v>24</v>
      </c>
      <c r="B1560" s="7" t="s">
        <v>161</v>
      </c>
      <c r="C1560" s="7" t="s">
        <v>1048</v>
      </c>
      <c r="D1560" s="7" t="n">
        <v>0</v>
      </c>
      <c r="E1560" s="7" t="n">
        <v>0</v>
      </c>
      <c r="F1560" s="7" t="n">
        <v>1</v>
      </c>
      <c r="G1560" s="7" t="n">
        <v>216.02</v>
      </c>
    </row>
    <row r="1561" customFormat="false" ht="15" hidden="false" customHeight="false" outlineLevel="0" collapsed="false">
      <c r="A1561" s="7" t="s">
        <v>24</v>
      </c>
      <c r="B1561" s="7" t="s">
        <v>161</v>
      </c>
      <c r="C1561" s="7" t="s">
        <v>1048</v>
      </c>
      <c r="D1561" s="7" t="n">
        <v>0</v>
      </c>
      <c r="E1561" s="7" t="n">
        <v>0</v>
      </c>
      <c r="F1561" s="7" t="n">
        <v>1</v>
      </c>
      <c r="G1561" s="7" t="n">
        <v>194.42</v>
      </c>
    </row>
    <row r="1562" customFormat="false" ht="15" hidden="false" customHeight="false" outlineLevel="0" collapsed="false">
      <c r="A1562" s="7" t="s">
        <v>24</v>
      </c>
      <c r="B1562" s="7" t="s">
        <v>161</v>
      </c>
      <c r="C1562" s="7" t="s">
        <v>1048</v>
      </c>
      <c r="D1562" s="7" t="n">
        <v>0</v>
      </c>
      <c r="E1562" s="7" t="n">
        <v>0</v>
      </c>
      <c r="F1562" s="7" t="n">
        <v>1</v>
      </c>
      <c r="G1562" s="7" t="n">
        <v>216.02</v>
      </c>
    </row>
    <row r="1563" customFormat="false" ht="15" hidden="false" customHeight="false" outlineLevel="0" collapsed="false">
      <c r="A1563" s="7" t="s">
        <v>24</v>
      </c>
      <c r="B1563" s="7" t="s">
        <v>161</v>
      </c>
      <c r="C1563" s="7" t="s">
        <v>1048</v>
      </c>
      <c r="D1563" s="7" t="n">
        <v>0</v>
      </c>
      <c r="E1563" s="7" t="n">
        <v>0</v>
      </c>
      <c r="F1563" s="7" t="n">
        <v>1</v>
      </c>
      <c r="G1563" s="7" t="n">
        <v>216.02</v>
      </c>
    </row>
    <row r="1564" customFormat="false" ht="15" hidden="false" customHeight="false" outlineLevel="0" collapsed="false">
      <c r="A1564" s="7" t="s">
        <v>24</v>
      </c>
      <c r="B1564" s="7" t="s">
        <v>161</v>
      </c>
      <c r="C1564" s="7" t="s">
        <v>1048</v>
      </c>
      <c r="D1564" s="7" t="n">
        <v>0</v>
      </c>
      <c r="E1564" s="7" t="n">
        <v>0</v>
      </c>
      <c r="F1564" s="7" t="n">
        <v>1</v>
      </c>
      <c r="G1564" s="7" t="n">
        <v>194.41</v>
      </c>
    </row>
    <row r="1565" customFormat="false" ht="15" hidden="false" customHeight="false" outlineLevel="0" collapsed="false">
      <c r="A1565" s="7" t="s">
        <v>24</v>
      </c>
      <c r="B1565" s="7" t="s">
        <v>161</v>
      </c>
      <c r="C1565" s="7" t="s">
        <v>1048</v>
      </c>
      <c r="D1565" s="7" t="n">
        <v>0</v>
      </c>
      <c r="E1565" s="7" t="n">
        <v>0</v>
      </c>
      <c r="F1565" s="7" t="n">
        <v>1</v>
      </c>
      <c r="G1565" s="7" t="n">
        <v>216.02</v>
      </c>
    </row>
    <row r="1566" customFormat="false" ht="15" hidden="false" customHeight="false" outlineLevel="0" collapsed="false">
      <c r="A1566" s="7" t="s">
        <v>24</v>
      </c>
      <c r="B1566" s="7" t="s">
        <v>161</v>
      </c>
      <c r="C1566" s="7" t="s">
        <v>1048</v>
      </c>
      <c r="D1566" s="7" t="n">
        <v>32</v>
      </c>
      <c r="E1566" s="7" t="n">
        <v>6318.61</v>
      </c>
      <c r="F1566" s="7" t="n">
        <v>23</v>
      </c>
      <c r="G1566" s="7" t="n">
        <v>4784.86</v>
      </c>
    </row>
    <row r="1567" customFormat="false" ht="15" hidden="false" customHeight="false" outlineLevel="0" collapsed="false">
      <c r="A1567" s="7" t="s">
        <v>24</v>
      </c>
      <c r="B1567" s="7" t="s">
        <v>161</v>
      </c>
      <c r="C1567" s="7" t="s">
        <v>1048</v>
      </c>
      <c r="D1567" s="7" t="n">
        <v>0</v>
      </c>
      <c r="E1567" s="7" t="n">
        <v>0</v>
      </c>
      <c r="F1567" s="7" t="n">
        <v>1</v>
      </c>
      <c r="G1567" s="7" t="n">
        <v>194.42</v>
      </c>
    </row>
    <row r="1568" customFormat="false" ht="15" hidden="false" customHeight="false" outlineLevel="0" collapsed="false">
      <c r="A1568" s="7" t="s">
        <v>24</v>
      </c>
      <c r="B1568" s="7" t="s">
        <v>161</v>
      </c>
      <c r="C1568" s="7" t="s">
        <v>1048</v>
      </c>
      <c r="D1568" s="7" t="n">
        <v>0</v>
      </c>
      <c r="E1568" s="7" t="n">
        <v>0</v>
      </c>
      <c r="F1568" s="7" t="n">
        <v>1</v>
      </c>
      <c r="G1568" s="7" t="n">
        <v>183.62</v>
      </c>
    </row>
    <row r="1569" customFormat="false" ht="15" hidden="false" customHeight="false" outlineLevel="0" collapsed="false">
      <c r="A1569" s="7" t="s">
        <v>24</v>
      </c>
      <c r="B1569" s="7" t="s">
        <v>161</v>
      </c>
      <c r="C1569" s="7" t="s">
        <v>1048</v>
      </c>
      <c r="D1569" s="7" t="n">
        <v>0</v>
      </c>
      <c r="E1569" s="7" t="n">
        <v>0</v>
      </c>
      <c r="F1569" s="7" t="n">
        <v>1</v>
      </c>
      <c r="G1569" s="7" t="n">
        <v>216.01</v>
      </c>
    </row>
    <row r="1570" customFormat="false" ht="15" hidden="false" customHeight="false" outlineLevel="0" collapsed="false">
      <c r="A1570" s="7" t="s">
        <v>24</v>
      </c>
      <c r="B1570" s="7" t="s">
        <v>161</v>
      </c>
      <c r="C1570" s="7" t="s">
        <v>1048</v>
      </c>
      <c r="D1570" s="7" t="n">
        <v>0</v>
      </c>
      <c r="E1570" s="7" t="n">
        <v>0</v>
      </c>
      <c r="F1570" s="7" t="n">
        <v>2</v>
      </c>
      <c r="G1570" s="7" t="n">
        <v>432.02</v>
      </c>
    </row>
    <row r="1571" customFormat="false" ht="15" hidden="false" customHeight="false" outlineLevel="0" collapsed="false">
      <c r="A1571" s="7" t="s">
        <v>24</v>
      </c>
      <c r="B1571" s="7" t="s">
        <v>161</v>
      </c>
      <c r="C1571" s="7" t="s">
        <v>1048</v>
      </c>
      <c r="D1571" s="7" t="n">
        <v>0</v>
      </c>
      <c r="E1571" s="7" t="n">
        <v>0</v>
      </c>
      <c r="F1571" s="7" t="n">
        <v>1</v>
      </c>
      <c r="G1571" s="7" t="n">
        <v>216.01</v>
      </c>
    </row>
    <row r="1572" customFormat="false" ht="15" hidden="false" customHeight="false" outlineLevel="0" collapsed="false">
      <c r="A1572" s="7" t="s">
        <v>24</v>
      </c>
      <c r="B1572" s="7" t="s">
        <v>161</v>
      </c>
      <c r="C1572" s="7" t="s">
        <v>1048</v>
      </c>
      <c r="D1572" s="7" t="n">
        <v>5</v>
      </c>
      <c r="E1572" s="7" t="n">
        <v>878.7</v>
      </c>
      <c r="F1572" s="7" t="n">
        <v>0</v>
      </c>
      <c r="G1572" s="7" t="n">
        <v>0</v>
      </c>
    </row>
    <row r="1573" customFormat="false" ht="15" hidden="false" customHeight="false" outlineLevel="0" collapsed="false">
      <c r="A1573" s="7" t="s">
        <v>24</v>
      </c>
      <c r="B1573" s="7" t="s">
        <v>792</v>
      </c>
      <c r="C1573" s="7" t="s">
        <v>1142</v>
      </c>
      <c r="D1573" s="7" t="n">
        <v>1</v>
      </c>
      <c r="E1573" s="7" t="n">
        <v>171.1</v>
      </c>
      <c r="F1573" s="7" t="n">
        <v>0</v>
      </c>
      <c r="G1573" s="7" t="n">
        <v>0</v>
      </c>
    </row>
    <row r="1574" customFormat="false" ht="15" hidden="false" customHeight="false" outlineLevel="0" collapsed="false">
      <c r="A1574" s="7" t="s">
        <v>24</v>
      </c>
      <c r="B1574" s="7" t="s">
        <v>792</v>
      </c>
      <c r="C1574" s="7" t="s">
        <v>1142</v>
      </c>
      <c r="D1574" s="7" t="n">
        <v>0</v>
      </c>
      <c r="E1574" s="7" t="n">
        <v>0</v>
      </c>
      <c r="F1574" s="7" t="n">
        <v>1</v>
      </c>
      <c r="G1574" s="7" t="n">
        <v>186.36</v>
      </c>
    </row>
    <row r="1575" customFormat="false" ht="15" hidden="false" customHeight="false" outlineLevel="0" collapsed="false">
      <c r="A1575" s="7" t="s">
        <v>24</v>
      </c>
      <c r="B1575" s="7" t="s">
        <v>614</v>
      </c>
      <c r="C1575" s="7" t="s">
        <v>1142</v>
      </c>
      <c r="D1575" s="7" t="n">
        <v>6</v>
      </c>
      <c r="E1575" s="7" t="n">
        <v>1118.16</v>
      </c>
      <c r="F1575" s="7" t="n">
        <v>4</v>
      </c>
      <c r="G1575" s="7" t="n">
        <v>726.8</v>
      </c>
    </row>
    <row r="1576" customFormat="false" ht="15" hidden="false" customHeight="false" outlineLevel="0" collapsed="false">
      <c r="A1576" s="7" t="s">
        <v>24</v>
      </c>
      <c r="B1576" s="7" t="s">
        <v>614</v>
      </c>
      <c r="C1576" s="7" t="s">
        <v>1142</v>
      </c>
      <c r="D1576" s="7" t="n">
        <v>1</v>
      </c>
      <c r="E1576" s="7" t="n">
        <v>171.1</v>
      </c>
      <c r="F1576" s="7" t="n">
        <v>0</v>
      </c>
      <c r="G1576" s="7" t="n">
        <v>0</v>
      </c>
    </row>
    <row r="1577" customFormat="false" ht="15" hidden="false" customHeight="false" outlineLevel="0" collapsed="false">
      <c r="A1577" s="7" t="s">
        <v>24</v>
      </c>
      <c r="B1577" s="7" t="s">
        <v>614</v>
      </c>
      <c r="C1577" s="7" t="s">
        <v>1142</v>
      </c>
      <c r="D1577" s="7" t="n">
        <v>0</v>
      </c>
      <c r="E1577" s="7" t="n">
        <v>0</v>
      </c>
      <c r="F1577" s="7" t="n">
        <v>2</v>
      </c>
      <c r="G1577" s="7" t="n">
        <v>372.71</v>
      </c>
    </row>
    <row r="1578" customFormat="false" ht="15" hidden="false" customHeight="false" outlineLevel="0" collapsed="false">
      <c r="A1578" s="7" t="s">
        <v>24</v>
      </c>
      <c r="B1578" s="7" t="s">
        <v>429</v>
      </c>
      <c r="C1578" s="7" t="s">
        <v>1142</v>
      </c>
      <c r="D1578" s="7" t="n">
        <v>0</v>
      </c>
      <c r="E1578" s="7" t="n">
        <v>0</v>
      </c>
      <c r="F1578" s="7" t="n">
        <v>1</v>
      </c>
      <c r="G1578" s="7" t="n">
        <v>186.35</v>
      </c>
    </row>
    <row r="1579" customFormat="false" ht="15" hidden="false" customHeight="false" outlineLevel="0" collapsed="false">
      <c r="A1579" s="7" t="s">
        <v>24</v>
      </c>
      <c r="B1579" s="7" t="s">
        <v>429</v>
      </c>
      <c r="C1579" s="7" t="s">
        <v>1142</v>
      </c>
      <c r="D1579" s="7" t="n">
        <v>0</v>
      </c>
      <c r="E1579" s="7" t="n">
        <v>0</v>
      </c>
      <c r="F1579" s="7" t="n">
        <v>1</v>
      </c>
      <c r="G1579" s="7" t="n">
        <v>186.36</v>
      </c>
    </row>
    <row r="1580" customFormat="false" ht="15" hidden="false" customHeight="false" outlineLevel="0" collapsed="false">
      <c r="A1580" s="7" t="s">
        <v>24</v>
      </c>
      <c r="B1580" s="7" t="s">
        <v>429</v>
      </c>
      <c r="C1580" s="7" t="s">
        <v>1142</v>
      </c>
      <c r="D1580" s="7" t="n">
        <v>6</v>
      </c>
      <c r="E1580" s="7" t="n">
        <v>1062.25</v>
      </c>
      <c r="F1580" s="7" t="n">
        <v>2</v>
      </c>
      <c r="G1580" s="7" t="n">
        <v>372.72</v>
      </c>
    </row>
    <row r="1581" customFormat="false" ht="15" hidden="false" customHeight="false" outlineLevel="0" collapsed="false">
      <c r="A1581" s="7" t="s">
        <v>24</v>
      </c>
      <c r="B1581" s="7" t="s">
        <v>429</v>
      </c>
      <c r="C1581" s="7" t="s">
        <v>1142</v>
      </c>
      <c r="D1581" s="7" t="n">
        <v>0</v>
      </c>
      <c r="E1581" s="7" t="n">
        <v>0</v>
      </c>
      <c r="F1581" s="7" t="n">
        <v>1</v>
      </c>
      <c r="G1581" s="7" t="n">
        <v>186.35</v>
      </c>
    </row>
    <row r="1582" customFormat="false" ht="15" hidden="false" customHeight="false" outlineLevel="0" collapsed="false">
      <c r="A1582" s="7" t="s">
        <v>24</v>
      </c>
      <c r="B1582" s="7" t="s">
        <v>429</v>
      </c>
      <c r="C1582" s="7" t="s">
        <v>1142</v>
      </c>
      <c r="D1582" s="7" t="n">
        <v>2</v>
      </c>
      <c r="E1582" s="7" t="n">
        <v>342.2</v>
      </c>
      <c r="F1582" s="7" t="n">
        <v>0</v>
      </c>
      <c r="G1582" s="7" t="n">
        <v>0</v>
      </c>
    </row>
    <row r="1583" customFormat="false" ht="15" hidden="false" customHeight="false" outlineLevel="0" collapsed="false">
      <c r="A1583" s="7" t="s">
        <v>24</v>
      </c>
      <c r="B1583" s="7" t="s">
        <v>477</v>
      </c>
      <c r="C1583" s="7" t="s">
        <v>1142</v>
      </c>
      <c r="D1583" s="7" t="n">
        <v>1</v>
      </c>
      <c r="E1583" s="7" t="n">
        <v>171.1</v>
      </c>
      <c r="F1583" s="7" t="n">
        <v>0</v>
      </c>
      <c r="G1583" s="7" t="n">
        <v>0</v>
      </c>
    </row>
    <row r="1584" customFormat="false" ht="15" hidden="false" customHeight="false" outlineLevel="0" collapsed="false">
      <c r="A1584" s="7" t="s">
        <v>24</v>
      </c>
      <c r="B1584" s="7" t="s">
        <v>477</v>
      </c>
      <c r="C1584" s="7" t="s">
        <v>1142</v>
      </c>
      <c r="D1584" s="7" t="n">
        <v>0</v>
      </c>
      <c r="E1584" s="7" t="n">
        <v>0</v>
      </c>
      <c r="F1584" s="7" t="n">
        <v>1</v>
      </c>
      <c r="G1584" s="7" t="n">
        <v>186.35</v>
      </c>
    </row>
    <row r="1585" customFormat="false" ht="15" hidden="false" customHeight="false" outlineLevel="0" collapsed="false">
      <c r="A1585" s="7" t="s">
        <v>24</v>
      </c>
      <c r="B1585" s="7" t="s">
        <v>477</v>
      </c>
      <c r="C1585" s="7" t="s">
        <v>1142</v>
      </c>
      <c r="D1585" s="7" t="n">
        <v>2</v>
      </c>
      <c r="E1585" s="7" t="n">
        <v>372.72</v>
      </c>
      <c r="F1585" s="7" t="n">
        <v>0</v>
      </c>
      <c r="G1585" s="7" t="n">
        <v>0</v>
      </c>
    </row>
    <row r="1586" customFormat="false" ht="15" hidden="false" customHeight="false" outlineLevel="0" collapsed="false">
      <c r="A1586" s="7" t="s">
        <v>24</v>
      </c>
      <c r="B1586" s="7" t="s">
        <v>644</v>
      </c>
      <c r="C1586" s="7" t="s">
        <v>1142</v>
      </c>
      <c r="D1586" s="7" t="n">
        <v>1</v>
      </c>
      <c r="E1586" s="7" t="n">
        <v>158.41</v>
      </c>
      <c r="F1586" s="7" t="n">
        <v>0</v>
      </c>
      <c r="G1586" s="7" t="n">
        <v>0</v>
      </c>
    </row>
    <row r="1587" customFormat="false" ht="15" hidden="false" customHeight="false" outlineLevel="0" collapsed="false">
      <c r="A1587" s="7" t="s">
        <v>24</v>
      </c>
      <c r="B1587" s="7" t="s">
        <v>615</v>
      </c>
      <c r="C1587" s="7" t="s">
        <v>1212</v>
      </c>
      <c r="D1587" s="7" t="n">
        <v>0</v>
      </c>
      <c r="E1587" s="7" t="n">
        <v>0</v>
      </c>
      <c r="F1587" s="7" t="n">
        <v>1</v>
      </c>
      <c r="G1587" s="7" t="n">
        <v>120.26</v>
      </c>
    </row>
    <row r="1588" customFormat="false" ht="15" hidden="false" customHeight="false" outlineLevel="0" collapsed="false">
      <c r="A1588" s="7" t="s">
        <v>24</v>
      </c>
      <c r="B1588" s="7" t="s">
        <v>615</v>
      </c>
      <c r="C1588" s="7" t="s">
        <v>1212</v>
      </c>
      <c r="D1588" s="7" t="n">
        <v>4</v>
      </c>
      <c r="E1588" s="7" t="n">
        <v>426.88</v>
      </c>
      <c r="F1588" s="7" t="n">
        <v>0</v>
      </c>
      <c r="G1588" s="7" t="n">
        <v>0</v>
      </c>
    </row>
    <row r="1589" customFormat="false" ht="15" hidden="false" customHeight="false" outlineLevel="0" collapsed="false">
      <c r="A1589" s="7" t="s">
        <v>24</v>
      </c>
      <c r="B1589" s="7" t="s">
        <v>615</v>
      </c>
      <c r="C1589" s="7" t="s">
        <v>1212</v>
      </c>
      <c r="D1589" s="7" t="n">
        <v>0</v>
      </c>
      <c r="E1589" s="7" t="n">
        <v>0</v>
      </c>
      <c r="F1589" s="7" t="n">
        <v>1</v>
      </c>
      <c r="G1589" s="7" t="n">
        <v>120.26</v>
      </c>
    </row>
    <row r="1590" customFormat="false" ht="15" hidden="false" customHeight="false" outlineLevel="0" collapsed="false">
      <c r="A1590" s="7" t="s">
        <v>24</v>
      </c>
      <c r="B1590" s="7" t="s">
        <v>450</v>
      </c>
      <c r="C1590" s="7" t="s">
        <v>1212</v>
      </c>
      <c r="D1590" s="7" t="n">
        <v>0</v>
      </c>
      <c r="E1590" s="7" t="n">
        <v>0</v>
      </c>
      <c r="F1590" s="7" t="n">
        <v>1</v>
      </c>
      <c r="G1590" s="7" t="n">
        <v>108.23</v>
      </c>
    </row>
    <row r="1591" customFormat="false" ht="15" hidden="false" customHeight="false" outlineLevel="0" collapsed="false">
      <c r="A1591" s="7" t="s">
        <v>24</v>
      </c>
      <c r="B1591" s="7" t="s">
        <v>450</v>
      </c>
      <c r="C1591" s="7" t="s">
        <v>1212</v>
      </c>
      <c r="D1591" s="7" t="n">
        <v>1</v>
      </c>
      <c r="E1591" s="7" t="n">
        <v>120.25</v>
      </c>
      <c r="F1591" s="7" t="n">
        <v>2</v>
      </c>
      <c r="G1591" s="7" t="n">
        <v>228.47</v>
      </c>
    </row>
    <row r="1592" customFormat="false" ht="15" hidden="false" customHeight="false" outlineLevel="0" collapsed="false">
      <c r="A1592" s="7" t="s">
        <v>24</v>
      </c>
      <c r="B1592" s="7" t="s">
        <v>450</v>
      </c>
      <c r="C1592" s="7" t="s">
        <v>1212</v>
      </c>
      <c r="D1592" s="7" t="n">
        <v>0</v>
      </c>
      <c r="E1592" s="7" t="n">
        <v>0</v>
      </c>
      <c r="F1592" s="7" t="n">
        <v>1</v>
      </c>
      <c r="G1592" s="7" t="n">
        <v>108.23</v>
      </c>
    </row>
    <row r="1593" customFormat="false" ht="15" hidden="false" customHeight="false" outlineLevel="0" collapsed="false">
      <c r="A1593" s="7" t="s">
        <v>24</v>
      </c>
      <c r="B1593" s="7" t="s">
        <v>450</v>
      </c>
      <c r="C1593" s="7" t="s">
        <v>1212</v>
      </c>
      <c r="D1593" s="7" t="n">
        <v>0</v>
      </c>
      <c r="E1593" s="7" t="n">
        <v>0</v>
      </c>
      <c r="F1593" s="7" t="n">
        <v>1</v>
      </c>
      <c r="G1593" s="7" t="n">
        <v>108.23</v>
      </c>
    </row>
    <row r="1594" customFormat="false" ht="15" hidden="false" customHeight="false" outlineLevel="0" collapsed="false">
      <c r="A1594" s="7" t="s">
        <v>24</v>
      </c>
      <c r="B1594" s="7" t="s">
        <v>434</v>
      </c>
      <c r="C1594" s="7" t="s">
        <v>1212</v>
      </c>
      <c r="D1594" s="7" t="n">
        <v>4</v>
      </c>
      <c r="E1594" s="7" t="n">
        <v>462.96</v>
      </c>
      <c r="F1594" s="7" t="n">
        <v>0</v>
      </c>
      <c r="G1594" s="7" t="n">
        <v>0</v>
      </c>
    </row>
    <row r="1595" customFormat="false" ht="15" hidden="false" customHeight="false" outlineLevel="0" collapsed="false">
      <c r="A1595" s="7" t="s">
        <v>24</v>
      </c>
      <c r="B1595" s="7" t="s">
        <v>490</v>
      </c>
      <c r="C1595" s="7" t="s">
        <v>1212</v>
      </c>
      <c r="D1595" s="7" t="n">
        <v>0</v>
      </c>
      <c r="E1595" s="7" t="n">
        <v>0</v>
      </c>
      <c r="F1595" s="7" t="n">
        <v>2</v>
      </c>
      <c r="G1595" s="7" t="n">
        <v>228.47</v>
      </c>
    </row>
    <row r="1596" customFormat="false" ht="15" hidden="false" customHeight="false" outlineLevel="0" collapsed="false">
      <c r="A1596" s="7" t="s">
        <v>24</v>
      </c>
      <c r="B1596" s="7" t="s">
        <v>490</v>
      </c>
      <c r="C1596" s="7" t="s">
        <v>1212</v>
      </c>
      <c r="D1596" s="7" t="n">
        <v>0</v>
      </c>
      <c r="E1596" s="7" t="n">
        <v>0</v>
      </c>
      <c r="F1596" s="7" t="n">
        <v>1</v>
      </c>
      <c r="G1596" s="7" t="n">
        <v>108.23</v>
      </c>
    </row>
    <row r="1597" customFormat="false" ht="15" hidden="false" customHeight="false" outlineLevel="0" collapsed="false">
      <c r="A1597" s="7" t="s">
        <v>24</v>
      </c>
      <c r="B1597" s="7" t="s">
        <v>810</v>
      </c>
      <c r="C1597" s="7" t="s">
        <v>1213</v>
      </c>
      <c r="D1597" s="7" t="n">
        <v>0</v>
      </c>
      <c r="E1597" s="7" t="n">
        <v>0</v>
      </c>
      <c r="F1597" s="7" t="n">
        <v>1</v>
      </c>
      <c r="G1597" s="7" t="n">
        <v>0</v>
      </c>
    </row>
    <row r="1598" customFormat="false" ht="15" hidden="false" customHeight="false" outlineLevel="0" collapsed="false">
      <c r="A1598" s="7" t="s">
        <v>24</v>
      </c>
      <c r="B1598" s="7" t="s">
        <v>810</v>
      </c>
      <c r="C1598" s="7" t="s">
        <v>1213</v>
      </c>
      <c r="D1598" s="7" t="n">
        <v>0</v>
      </c>
      <c r="E1598" s="7" t="n">
        <v>0</v>
      </c>
      <c r="F1598" s="7" t="n">
        <v>1</v>
      </c>
      <c r="G1598" s="7" t="n">
        <v>0</v>
      </c>
    </row>
    <row r="1599" customFormat="false" ht="15" hidden="false" customHeight="false" outlineLevel="0" collapsed="false">
      <c r="A1599" s="7" t="s">
        <v>24</v>
      </c>
      <c r="B1599" s="7" t="s">
        <v>810</v>
      </c>
      <c r="C1599" s="7" t="s">
        <v>1213</v>
      </c>
      <c r="D1599" s="7" t="n">
        <v>0</v>
      </c>
      <c r="E1599" s="7" t="n">
        <v>0</v>
      </c>
      <c r="F1599" s="7" t="n">
        <v>1</v>
      </c>
      <c r="G1599" s="7" t="n">
        <v>0</v>
      </c>
    </row>
    <row r="1600" customFormat="false" ht="15" hidden="false" customHeight="false" outlineLevel="0" collapsed="false">
      <c r="A1600" s="7" t="s">
        <v>24</v>
      </c>
      <c r="B1600" s="7" t="s">
        <v>810</v>
      </c>
      <c r="C1600" s="7" t="s">
        <v>1213</v>
      </c>
      <c r="D1600" s="7" t="n">
        <v>0</v>
      </c>
      <c r="E1600" s="7" t="n">
        <v>0</v>
      </c>
      <c r="F1600" s="7" t="n">
        <v>4</v>
      </c>
      <c r="G1600" s="7" t="n">
        <v>0</v>
      </c>
    </row>
    <row r="1601" customFormat="false" ht="15" hidden="false" customHeight="false" outlineLevel="0" collapsed="false">
      <c r="A1601" s="7" t="s">
        <v>24</v>
      </c>
      <c r="B1601" s="7" t="s">
        <v>810</v>
      </c>
      <c r="C1601" s="7" t="s">
        <v>1213</v>
      </c>
      <c r="D1601" s="7" t="n">
        <v>0</v>
      </c>
      <c r="E1601" s="7" t="n">
        <v>0</v>
      </c>
      <c r="F1601" s="7" t="n">
        <v>1</v>
      </c>
      <c r="G1601" s="7" t="n">
        <v>0</v>
      </c>
    </row>
    <row r="1602" customFormat="false" ht="15" hidden="false" customHeight="false" outlineLevel="0" collapsed="false">
      <c r="A1602" s="7" t="s">
        <v>24</v>
      </c>
      <c r="B1602" s="7" t="s">
        <v>810</v>
      </c>
      <c r="C1602" s="7" t="s">
        <v>1213</v>
      </c>
      <c r="D1602" s="7" t="n">
        <v>0</v>
      </c>
      <c r="E1602" s="7" t="n">
        <v>0</v>
      </c>
      <c r="F1602" s="7" t="n">
        <v>1</v>
      </c>
      <c r="G1602" s="7" t="n">
        <v>0</v>
      </c>
    </row>
    <row r="1603" customFormat="false" ht="15" hidden="false" customHeight="false" outlineLevel="0" collapsed="false">
      <c r="A1603" s="7" t="s">
        <v>24</v>
      </c>
      <c r="B1603" s="7" t="s">
        <v>810</v>
      </c>
      <c r="C1603" s="7" t="s">
        <v>1213</v>
      </c>
      <c r="D1603" s="7" t="n">
        <v>0</v>
      </c>
      <c r="E1603" s="7" t="n">
        <v>0</v>
      </c>
      <c r="F1603" s="7" t="n">
        <v>1</v>
      </c>
      <c r="G1603" s="7" t="n">
        <v>0</v>
      </c>
    </row>
    <row r="1604" customFormat="false" ht="15" hidden="false" customHeight="false" outlineLevel="0" collapsed="false">
      <c r="A1604" s="7" t="s">
        <v>24</v>
      </c>
      <c r="B1604" s="7" t="s">
        <v>810</v>
      </c>
      <c r="C1604" s="7" t="s">
        <v>1213</v>
      </c>
      <c r="D1604" s="7" t="n">
        <v>0</v>
      </c>
      <c r="E1604" s="7" t="n">
        <v>0</v>
      </c>
      <c r="F1604" s="7" t="n">
        <v>1</v>
      </c>
      <c r="G1604" s="7" t="n">
        <v>0</v>
      </c>
    </row>
    <row r="1605" customFormat="false" ht="15" hidden="false" customHeight="false" outlineLevel="0" collapsed="false">
      <c r="A1605" s="7" t="s">
        <v>24</v>
      </c>
      <c r="B1605" s="7" t="s">
        <v>810</v>
      </c>
      <c r="C1605" s="7" t="s">
        <v>1213</v>
      </c>
      <c r="D1605" s="7" t="n">
        <v>0</v>
      </c>
      <c r="E1605" s="7" t="n">
        <v>0</v>
      </c>
      <c r="F1605" s="7" t="n">
        <v>1</v>
      </c>
      <c r="G1605" s="7" t="n">
        <v>0</v>
      </c>
    </row>
    <row r="1606" customFormat="false" ht="15" hidden="false" customHeight="false" outlineLevel="0" collapsed="false">
      <c r="A1606" s="7" t="s">
        <v>24</v>
      </c>
      <c r="B1606" s="7" t="s">
        <v>810</v>
      </c>
      <c r="C1606" s="7" t="s">
        <v>1213</v>
      </c>
      <c r="D1606" s="7" t="n">
        <v>0</v>
      </c>
      <c r="E1606" s="7" t="n">
        <v>0</v>
      </c>
      <c r="F1606" s="7" t="n">
        <v>1</v>
      </c>
      <c r="G1606" s="7" t="n">
        <v>0</v>
      </c>
    </row>
    <row r="1607" customFormat="false" ht="15" hidden="false" customHeight="false" outlineLevel="0" collapsed="false">
      <c r="A1607" s="7" t="s">
        <v>24</v>
      </c>
      <c r="B1607" s="7" t="s">
        <v>810</v>
      </c>
      <c r="C1607" s="7" t="s">
        <v>1213</v>
      </c>
      <c r="D1607" s="7" t="n">
        <v>0</v>
      </c>
      <c r="E1607" s="7" t="n">
        <v>0</v>
      </c>
      <c r="F1607" s="7" t="n">
        <v>1</v>
      </c>
      <c r="G1607" s="7" t="n">
        <v>0</v>
      </c>
    </row>
    <row r="1608" customFormat="false" ht="15" hidden="false" customHeight="false" outlineLevel="0" collapsed="false">
      <c r="A1608" s="7" t="s">
        <v>24</v>
      </c>
      <c r="B1608" s="7" t="s">
        <v>810</v>
      </c>
      <c r="C1608" s="7" t="s">
        <v>1213</v>
      </c>
      <c r="D1608" s="7" t="n">
        <v>0</v>
      </c>
      <c r="E1608" s="7" t="n">
        <v>0</v>
      </c>
      <c r="F1608" s="7" t="n">
        <v>2</v>
      </c>
      <c r="G1608" s="7" t="n">
        <v>0</v>
      </c>
    </row>
    <row r="1609" customFormat="false" ht="15" hidden="false" customHeight="false" outlineLevel="0" collapsed="false">
      <c r="A1609" s="7" t="s">
        <v>24</v>
      </c>
      <c r="B1609" s="7" t="s">
        <v>810</v>
      </c>
      <c r="C1609" s="7" t="s">
        <v>1213</v>
      </c>
      <c r="D1609" s="7" t="n">
        <v>0</v>
      </c>
      <c r="E1609" s="7" t="n">
        <v>0</v>
      </c>
      <c r="F1609" s="7" t="n">
        <v>1</v>
      </c>
      <c r="G1609" s="7" t="n">
        <v>0</v>
      </c>
    </row>
    <row r="1610" customFormat="false" ht="15" hidden="false" customHeight="false" outlineLevel="0" collapsed="false">
      <c r="A1610" s="7" t="s">
        <v>24</v>
      </c>
      <c r="B1610" s="7" t="s">
        <v>810</v>
      </c>
      <c r="C1610" s="7" t="s">
        <v>1213</v>
      </c>
      <c r="D1610" s="7" t="n">
        <v>0</v>
      </c>
      <c r="E1610" s="7" t="n">
        <v>0</v>
      </c>
      <c r="F1610" s="7" t="n">
        <v>1</v>
      </c>
      <c r="G1610" s="7" t="n">
        <v>0</v>
      </c>
    </row>
    <row r="1611" customFormat="false" ht="15" hidden="false" customHeight="false" outlineLevel="0" collapsed="false">
      <c r="A1611" s="7" t="s">
        <v>24</v>
      </c>
      <c r="B1611" s="7" t="s">
        <v>810</v>
      </c>
      <c r="C1611" s="7" t="s">
        <v>1213</v>
      </c>
      <c r="D1611" s="7" t="n">
        <v>0</v>
      </c>
      <c r="E1611" s="7" t="n">
        <v>0</v>
      </c>
      <c r="F1611" s="7" t="n">
        <v>2</v>
      </c>
      <c r="G1611" s="7" t="n">
        <v>0</v>
      </c>
    </row>
    <row r="1612" customFormat="false" ht="15" hidden="false" customHeight="false" outlineLevel="0" collapsed="false">
      <c r="A1612" s="7" t="s">
        <v>24</v>
      </c>
      <c r="B1612" s="7" t="s">
        <v>816</v>
      </c>
      <c r="C1612" s="7" t="s">
        <v>1214</v>
      </c>
      <c r="D1612" s="7" t="n">
        <v>0</v>
      </c>
      <c r="E1612" s="7" t="n">
        <v>0</v>
      </c>
      <c r="F1612" s="7" t="n">
        <v>2</v>
      </c>
      <c r="G1612" s="7" t="n">
        <v>0</v>
      </c>
    </row>
    <row r="1613" customFormat="false" ht="15" hidden="false" customHeight="false" outlineLevel="0" collapsed="false">
      <c r="A1613" s="7" t="s">
        <v>24</v>
      </c>
      <c r="B1613" s="7" t="s">
        <v>816</v>
      </c>
      <c r="C1613" s="7" t="s">
        <v>1214</v>
      </c>
      <c r="D1613" s="7" t="n">
        <v>0</v>
      </c>
      <c r="E1613" s="7" t="n">
        <v>0</v>
      </c>
      <c r="F1613" s="7" t="n">
        <v>1</v>
      </c>
      <c r="G1613" s="7" t="n">
        <v>0</v>
      </c>
    </row>
    <row r="1614" customFormat="false" ht="15" hidden="false" customHeight="false" outlineLevel="0" collapsed="false">
      <c r="A1614" s="7" t="s">
        <v>24</v>
      </c>
      <c r="B1614" s="7" t="s">
        <v>816</v>
      </c>
      <c r="C1614" s="7" t="s">
        <v>1214</v>
      </c>
      <c r="D1614" s="7" t="n">
        <v>0</v>
      </c>
      <c r="E1614" s="7" t="n">
        <v>0</v>
      </c>
      <c r="F1614" s="7" t="n">
        <v>2</v>
      </c>
      <c r="G1614" s="7" t="n">
        <v>0</v>
      </c>
    </row>
    <row r="1615" customFormat="false" ht="15" hidden="false" customHeight="false" outlineLevel="0" collapsed="false">
      <c r="A1615" s="7" t="s">
        <v>24</v>
      </c>
      <c r="B1615" s="7" t="s">
        <v>816</v>
      </c>
      <c r="C1615" s="7" t="s">
        <v>1214</v>
      </c>
      <c r="D1615" s="7" t="n">
        <v>0</v>
      </c>
      <c r="E1615" s="7" t="n">
        <v>0</v>
      </c>
      <c r="F1615" s="7" t="n">
        <v>2</v>
      </c>
      <c r="G1615" s="7" t="n">
        <v>0</v>
      </c>
    </row>
    <row r="1616" customFormat="false" ht="15" hidden="false" customHeight="false" outlineLevel="0" collapsed="false">
      <c r="A1616" s="7" t="s">
        <v>24</v>
      </c>
      <c r="B1616" s="7" t="s">
        <v>816</v>
      </c>
      <c r="C1616" s="7" t="s">
        <v>1214</v>
      </c>
      <c r="D1616" s="7" t="n">
        <v>0</v>
      </c>
      <c r="E1616" s="7" t="n">
        <v>0</v>
      </c>
      <c r="F1616" s="7" t="n">
        <v>2</v>
      </c>
      <c r="G1616" s="7" t="n">
        <v>0</v>
      </c>
    </row>
    <row r="1617" customFormat="false" ht="15" hidden="false" customHeight="false" outlineLevel="0" collapsed="false">
      <c r="A1617" s="7" t="s">
        <v>24</v>
      </c>
      <c r="B1617" s="7" t="s">
        <v>816</v>
      </c>
      <c r="C1617" s="7" t="s">
        <v>1214</v>
      </c>
      <c r="D1617" s="7" t="n">
        <v>0</v>
      </c>
      <c r="E1617" s="7" t="n">
        <v>0</v>
      </c>
      <c r="F1617" s="7" t="n">
        <v>2</v>
      </c>
      <c r="G1617" s="7" t="n">
        <v>0</v>
      </c>
    </row>
    <row r="1618" customFormat="false" ht="15" hidden="false" customHeight="false" outlineLevel="0" collapsed="false">
      <c r="A1618" s="7" t="s">
        <v>24</v>
      </c>
      <c r="B1618" s="7" t="s">
        <v>816</v>
      </c>
      <c r="C1618" s="7" t="s">
        <v>1214</v>
      </c>
      <c r="D1618" s="7" t="n">
        <v>0</v>
      </c>
      <c r="E1618" s="7" t="n">
        <v>0</v>
      </c>
      <c r="F1618" s="7" t="n">
        <v>4</v>
      </c>
      <c r="G1618" s="7" t="n">
        <v>0</v>
      </c>
    </row>
    <row r="1619" customFormat="false" ht="15" hidden="false" customHeight="false" outlineLevel="0" collapsed="false">
      <c r="A1619" s="7" t="s">
        <v>24</v>
      </c>
      <c r="B1619" s="7" t="s">
        <v>816</v>
      </c>
      <c r="C1619" s="7" t="s">
        <v>1214</v>
      </c>
      <c r="D1619" s="7" t="n">
        <v>0</v>
      </c>
      <c r="E1619" s="7" t="n">
        <v>0</v>
      </c>
      <c r="F1619" s="7" t="n">
        <v>1</v>
      </c>
      <c r="G1619" s="7" t="n">
        <v>0</v>
      </c>
    </row>
    <row r="1620" customFormat="false" ht="15" hidden="false" customHeight="false" outlineLevel="0" collapsed="false">
      <c r="A1620" s="7" t="s">
        <v>24</v>
      </c>
      <c r="B1620" s="7" t="s">
        <v>816</v>
      </c>
      <c r="C1620" s="7" t="s">
        <v>1214</v>
      </c>
      <c r="D1620" s="7" t="n">
        <v>0</v>
      </c>
      <c r="E1620" s="7" t="n">
        <v>0</v>
      </c>
      <c r="F1620" s="7" t="n">
        <v>23</v>
      </c>
      <c r="G1620" s="7" t="n">
        <v>0</v>
      </c>
    </row>
    <row r="1621" customFormat="false" ht="15" hidden="false" customHeight="false" outlineLevel="0" collapsed="false">
      <c r="A1621" s="7" t="s">
        <v>24</v>
      </c>
      <c r="B1621" s="7" t="s">
        <v>816</v>
      </c>
      <c r="C1621" s="7" t="s">
        <v>1214</v>
      </c>
      <c r="D1621" s="7" t="n">
        <v>0</v>
      </c>
      <c r="E1621" s="7" t="n">
        <v>0</v>
      </c>
      <c r="F1621" s="7" t="n">
        <v>1</v>
      </c>
      <c r="G1621" s="7" t="n">
        <v>0</v>
      </c>
    </row>
    <row r="1622" customFormat="false" ht="15" hidden="false" customHeight="false" outlineLevel="0" collapsed="false">
      <c r="A1622" s="7" t="s">
        <v>24</v>
      </c>
      <c r="B1622" s="7" t="s">
        <v>816</v>
      </c>
      <c r="C1622" s="7" t="s">
        <v>1214</v>
      </c>
      <c r="D1622" s="7" t="n">
        <v>0</v>
      </c>
      <c r="E1622" s="7" t="n">
        <v>0</v>
      </c>
      <c r="F1622" s="7" t="n">
        <v>4</v>
      </c>
      <c r="G1622" s="7" t="n">
        <v>0</v>
      </c>
    </row>
    <row r="1623" customFormat="false" ht="15" hidden="false" customHeight="false" outlineLevel="0" collapsed="false">
      <c r="A1623" s="7" t="s">
        <v>24</v>
      </c>
      <c r="B1623" s="7" t="s">
        <v>816</v>
      </c>
      <c r="C1623" s="7" t="s">
        <v>1214</v>
      </c>
      <c r="D1623" s="7" t="n">
        <v>0</v>
      </c>
      <c r="E1623" s="7" t="n">
        <v>0</v>
      </c>
      <c r="F1623" s="7" t="n">
        <v>2</v>
      </c>
      <c r="G1623" s="7" t="n">
        <v>0</v>
      </c>
    </row>
    <row r="1624" customFormat="false" ht="15" hidden="false" customHeight="false" outlineLevel="0" collapsed="false">
      <c r="A1624" s="7" t="s">
        <v>24</v>
      </c>
      <c r="B1624" s="7" t="s">
        <v>816</v>
      </c>
      <c r="C1624" s="7" t="s">
        <v>1214</v>
      </c>
      <c r="D1624" s="7" t="n">
        <v>0</v>
      </c>
      <c r="E1624" s="7" t="n">
        <v>0</v>
      </c>
      <c r="F1624" s="7" t="n">
        <v>1</v>
      </c>
      <c r="G1624" s="7" t="n">
        <v>0</v>
      </c>
    </row>
    <row r="1625" customFormat="false" ht="15" hidden="false" customHeight="false" outlineLevel="0" collapsed="false">
      <c r="A1625" s="7" t="s">
        <v>24</v>
      </c>
      <c r="B1625" s="7" t="s">
        <v>816</v>
      </c>
      <c r="C1625" s="7" t="s">
        <v>1214</v>
      </c>
      <c r="D1625" s="7" t="n">
        <v>0</v>
      </c>
      <c r="E1625" s="7" t="n">
        <v>0</v>
      </c>
      <c r="F1625" s="7" t="n">
        <v>1</v>
      </c>
      <c r="G1625" s="7" t="n">
        <v>0</v>
      </c>
    </row>
    <row r="1626" customFormat="false" ht="15" hidden="false" customHeight="false" outlineLevel="0" collapsed="false">
      <c r="A1626" s="7" t="s">
        <v>24</v>
      </c>
      <c r="B1626" s="7" t="s">
        <v>816</v>
      </c>
      <c r="C1626" s="7" t="s">
        <v>1214</v>
      </c>
      <c r="D1626" s="7" t="n">
        <v>0</v>
      </c>
      <c r="E1626" s="7" t="n">
        <v>0</v>
      </c>
      <c r="F1626" s="7" t="n">
        <v>15</v>
      </c>
      <c r="G1626" s="7" t="n">
        <v>0</v>
      </c>
    </row>
    <row r="1627" customFormat="false" ht="15" hidden="false" customHeight="false" outlineLevel="0" collapsed="false">
      <c r="A1627" s="7" t="s">
        <v>24</v>
      </c>
      <c r="B1627" s="7" t="s">
        <v>816</v>
      </c>
      <c r="C1627" s="7" t="s">
        <v>1214</v>
      </c>
      <c r="D1627" s="7" t="n">
        <v>0</v>
      </c>
      <c r="E1627" s="7" t="n">
        <v>0</v>
      </c>
      <c r="F1627" s="7" t="n">
        <v>1</v>
      </c>
      <c r="G1627" s="7" t="n">
        <v>0</v>
      </c>
    </row>
    <row r="1628" customFormat="false" ht="15" hidden="false" customHeight="false" outlineLevel="0" collapsed="false">
      <c r="A1628" s="7" t="s">
        <v>24</v>
      </c>
      <c r="B1628" s="7" t="s">
        <v>816</v>
      </c>
      <c r="C1628" s="7" t="s">
        <v>1214</v>
      </c>
      <c r="D1628" s="7" t="n">
        <v>0</v>
      </c>
      <c r="E1628" s="7" t="n">
        <v>0</v>
      </c>
      <c r="F1628" s="7" t="n">
        <v>1</v>
      </c>
      <c r="G1628" s="7" t="n">
        <v>0</v>
      </c>
    </row>
    <row r="1629" customFormat="false" ht="15" hidden="false" customHeight="false" outlineLevel="0" collapsed="false">
      <c r="A1629" s="7" t="s">
        <v>24</v>
      </c>
      <c r="B1629" s="7" t="s">
        <v>816</v>
      </c>
      <c r="C1629" s="7" t="s">
        <v>1214</v>
      </c>
      <c r="D1629" s="7" t="n">
        <v>0</v>
      </c>
      <c r="E1629" s="7" t="n">
        <v>0</v>
      </c>
      <c r="F1629" s="7" t="n">
        <v>1</v>
      </c>
      <c r="G1629" s="7" t="n">
        <v>0</v>
      </c>
    </row>
    <row r="1630" customFormat="false" ht="15" hidden="false" customHeight="false" outlineLevel="0" collapsed="false">
      <c r="A1630" s="7" t="s">
        <v>24</v>
      </c>
      <c r="B1630" s="7" t="s">
        <v>816</v>
      </c>
      <c r="C1630" s="7" t="s">
        <v>1214</v>
      </c>
      <c r="D1630" s="7" t="n">
        <v>0</v>
      </c>
      <c r="E1630" s="7" t="n">
        <v>0</v>
      </c>
      <c r="F1630" s="7" t="n">
        <v>1</v>
      </c>
      <c r="G1630" s="7" t="n">
        <v>0</v>
      </c>
    </row>
    <row r="1631" customFormat="false" ht="15" hidden="false" customHeight="false" outlineLevel="0" collapsed="false">
      <c r="A1631" s="7" t="s">
        <v>24</v>
      </c>
      <c r="B1631" s="7" t="s">
        <v>816</v>
      </c>
      <c r="C1631" s="7" t="s">
        <v>1214</v>
      </c>
      <c r="D1631" s="7" t="n">
        <v>0</v>
      </c>
      <c r="E1631" s="7" t="n">
        <v>0</v>
      </c>
      <c r="F1631" s="7" t="n">
        <v>2</v>
      </c>
      <c r="G1631" s="7" t="n">
        <v>0</v>
      </c>
    </row>
    <row r="1632" customFormat="false" ht="15" hidden="false" customHeight="false" outlineLevel="0" collapsed="false">
      <c r="A1632" s="7" t="s">
        <v>24</v>
      </c>
      <c r="B1632" s="7" t="s">
        <v>816</v>
      </c>
      <c r="C1632" s="7" t="s">
        <v>1214</v>
      </c>
      <c r="D1632" s="7" t="n">
        <v>0</v>
      </c>
      <c r="E1632" s="7" t="n">
        <v>0</v>
      </c>
      <c r="F1632" s="7" t="n">
        <v>9</v>
      </c>
      <c r="G1632" s="7" t="n">
        <v>0</v>
      </c>
    </row>
    <row r="1633" customFormat="false" ht="15" hidden="false" customHeight="false" outlineLevel="0" collapsed="false">
      <c r="A1633" s="7" t="s">
        <v>24</v>
      </c>
      <c r="B1633" s="7" t="s">
        <v>816</v>
      </c>
      <c r="C1633" s="7" t="s">
        <v>1214</v>
      </c>
      <c r="D1633" s="7" t="n">
        <v>0</v>
      </c>
      <c r="E1633" s="7" t="n">
        <v>0</v>
      </c>
      <c r="F1633" s="7" t="n">
        <v>37</v>
      </c>
      <c r="G1633" s="7" t="n">
        <v>0</v>
      </c>
    </row>
    <row r="1634" customFormat="false" ht="15" hidden="false" customHeight="false" outlineLevel="0" collapsed="false">
      <c r="A1634" s="7" t="s">
        <v>24</v>
      </c>
      <c r="B1634" s="7" t="s">
        <v>816</v>
      </c>
      <c r="C1634" s="7" t="s">
        <v>1214</v>
      </c>
      <c r="D1634" s="7" t="n">
        <v>0</v>
      </c>
      <c r="E1634" s="7" t="n">
        <v>0</v>
      </c>
      <c r="F1634" s="7" t="n">
        <v>2</v>
      </c>
      <c r="G1634" s="7" t="n">
        <v>0</v>
      </c>
    </row>
    <row r="1635" customFormat="false" ht="15" hidden="false" customHeight="false" outlineLevel="0" collapsed="false">
      <c r="A1635" s="7" t="s">
        <v>24</v>
      </c>
      <c r="B1635" s="7" t="s">
        <v>816</v>
      </c>
      <c r="C1635" s="7" t="s">
        <v>1214</v>
      </c>
      <c r="D1635" s="7" t="n">
        <v>0</v>
      </c>
      <c r="E1635" s="7" t="n">
        <v>0</v>
      </c>
      <c r="F1635" s="7" t="n">
        <v>1</v>
      </c>
      <c r="G1635" s="7" t="n">
        <v>0</v>
      </c>
    </row>
    <row r="1636" customFormat="false" ht="15" hidden="false" customHeight="false" outlineLevel="0" collapsed="false">
      <c r="A1636" s="7" t="s">
        <v>24</v>
      </c>
      <c r="B1636" s="7" t="s">
        <v>816</v>
      </c>
      <c r="C1636" s="7" t="s">
        <v>1214</v>
      </c>
      <c r="D1636" s="7" t="n">
        <v>0</v>
      </c>
      <c r="E1636" s="7" t="n">
        <v>0</v>
      </c>
      <c r="F1636" s="7" t="n">
        <v>13</v>
      </c>
      <c r="G1636" s="7" t="n">
        <v>0</v>
      </c>
    </row>
    <row r="1637" customFormat="false" ht="15" hidden="false" customHeight="false" outlineLevel="0" collapsed="false">
      <c r="A1637" s="7" t="s">
        <v>24</v>
      </c>
      <c r="B1637" s="7" t="s">
        <v>816</v>
      </c>
      <c r="C1637" s="7" t="s">
        <v>1214</v>
      </c>
      <c r="D1637" s="7" t="n">
        <v>0</v>
      </c>
      <c r="E1637" s="7" t="n">
        <v>0</v>
      </c>
      <c r="F1637" s="7" t="n">
        <v>1</v>
      </c>
      <c r="G1637" s="7" t="n">
        <v>0</v>
      </c>
    </row>
    <row r="1638" customFormat="false" ht="15" hidden="false" customHeight="false" outlineLevel="0" collapsed="false">
      <c r="A1638" s="7" t="s">
        <v>24</v>
      </c>
      <c r="B1638" s="7" t="s">
        <v>816</v>
      </c>
      <c r="C1638" s="7" t="s">
        <v>1214</v>
      </c>
      <c r="D1638" s="7" t="n">
        <v>0</v>
      </c>
      <c r="E1638" s="7" t="n">
        <v>0</v>
      </c>
      <c r="F1638" s="7" t="n">
        <v>5</v>
      </c>
      <c r="G1638" s="7" t="n">
        <v>0</v>
      </c>
    </row>
    <row r="1639" customFormat="false" ht="15" hidden="false" customHeight="false" outlineLevel="0" collapsed="false">
      <c r="A1639" s="7" t="s">
        <v>24</v>
      </c>
      <c r="B1639" s="7" t="s">
        <v>816</v>
      </c>
      <c r="C1639" s="7" t="s">
        <v>1214</v>
      </c>
      <c r="D1639" s="7" t="n">
        <v>0</v>
      </c>
      <c r="E1639" s="7" t="n">
        <v>0</v>
      </c>
      <c r="F1639" s="7" t="n">
        <v>1</v>
      </c>
      <c r="G1639" s="7" t="n">
        <v>0</v>
      </c>
    </row>
    <row r="1640" customFormat="false" ht="15" hidden="false" customHeight="false" outlineLevel="0" collapsed="false">
      <c r="A1640" s="7" t="s">
        <v>24</v>
      </c>
      <c r="B1640" s="7" t="s">
        <v>816</v>
      </c>
      <c r="C1640" s="7" t="s">
        <v>1214</v>
      </c>
      <c r="D1640" s="7" t="n">
        <v>0</v>
      </c>
      <c r="E1640" s="7" t="n">
        <v>0</v>
      </c>
      <c r="F1640" s="7" t="n">
        <v>1</v>
      </c>
      <c r="G1640" s="7" t="n">
        <v>0</v>
      </c>
    </row>
    <row r="1641" customFormat="false" ht="15" hidden="false" customHeight="false" outlineLevel="0" collapsed="false">
      <c r="A1641" s="7" t="s">
        <v>24</v>
      </c>
      <c r="B1641" s="7" t="s">
        <v>816</v>
      </c>
      <c r="C1641" s="7" t="s">
        <v>1214</v>
      </c>
      <c r="D1641" s="7" t="n">
        <v>0</v>
      </c>
      <c r="E1641" s="7" t="n">
        <v>0</v>
      </c>
      <c r="F1641" s="7" t="n">
        <v>1</v>
      </c>
      <c r="G1641" s="7" t="n">
        <v>0</v>
      </c>
    </row>
    <row r="1642" customFormat="false" ht="15" hidden="false" customHeight="false" outlineLevel="0" collapsed="false">
      <c r="A1642" s="7" t="s">
        <v>24</v>
      </c>
      <c r="B1642" s="7" t="s">
        <v>816</v>
      </c>
      <c r="C1642" s="7" t="s">
        <v>1214</v>
      </c>
      <c r="D1642" s="7" t="n">
        <v>0</v>
      </c>
      <c r="E1642" s="7" t="n">
        <v>0</v>
      </c>
      <c r="F1642" s="7" t="n">
        <v>2</v>
      </c>
      <c r="G1642" s="7" t="n">
        <v>0</v>
      </c>
    </row>
    <row r="1643" customFormat="false" ht="15" hidden="false" customHeight="false" outlineLevel="0" collapsed="false">
      <c r="A1643" s="7" t="s">
        <v>24</v>
      </c>
      <c r="B1643" s="7" t="s">
        <v>816</v>
      </c>
      <c r="C1643" s="7" t="s">
        <v>1214</v>
      </c>
      <c r="D1643" s="7" t="n">
        <v>0</v>
      </c>
      <c r="E1643" s="7" t="n">
        <v>0</v>
      </c>
      <c r="F1643" s="7" t="n">
        <v>1</v>
      </c>
      <c r="G1643" s="7" t="n">
        <v>0</v>
      </c>
    </row>
    <row r="1644" customFormat="false" ht="15" hidden="false" customHeight="false" outlineLevel="0" collapsed="false">
      <c r="A1644" s="7" t="s">
        <v>24</v>
      </c>
      <c r="B1644" s="7" t="s">
        <v>816</v>
      </c>
      <c r="C1644" s="7" t="s">
        <v>1214</v>
      </c>
      <c r="D1644" s="7" t="n">
        <v>0</v>
      </c>
      <c r="E1644" s="7" t="n">
        <v>0</v>
      </c>
      <c r="F1644" s="7" t="n">
        <v>1</v>
      </c>
      <c r="G1644" s="7" t="n">
        <v>0</v>
      </c>
    </row>
    <row r="1645" customFormat="false" ht="15" hidden="false" customHeight="false" outlineLevel="0" collapsed="false">
      <c r="A1645" s="7" t="s">
        <v>24</v>
      </c>
      <c r="B1645" s="7" t="s">
        <v>816</v>
      </c>
      <c r="C1645" s="7" t="s">
        <v>1214</v>
      </c>
      <c r="D1645" s="7" t="n">
        <v>0</v>
      </c>
      <c r="E1645" s="7" t="n">
        <v>0</v>
      </c>
      <c r="F1645" s="7" t="n">
        <v>1</v>
      </c>
      <c r="G1645" s="7" t="n">
        <v>0</v>
      </c>
    </row>
    <row r="1646" customFormat="false" ht="15" hidden="false" customHeight="false" outlineLevel="0" collapsed="false">
      <c r="A1646" s="7" t="s">
        <v>24</v>
      </c>
      <c r="B1646" s="7" t="s">
        <v>816</v>
      </c>
      <c r="C1646" s="7" t="s">
        <v>1214</v>
      </c>
      <c r="D1646" s="7" t="n">
        <v>0</v>
      </c>
      <c r="E1646" s="7" t="n">
        <v>0</v>
      </c>
      <c r="F1646" s="7" t="n">
        <v>1</v>
      </c>
      <c r="G1646" s="7" t="n">
        <v>0</v>
      </c>
    </row>
    <row r="1647" customFormat="false" ht="15" hidden="false" customHeight="false" outlineLevel="0" collapsed="false">
      <c r="A1647" s="7" t="s">
        <v>24</v>
      </c>
      <c r="B1647" s="7" t="s">
        <v>816</v>
      </c>
      <c r="C1647" s="7" t="s">
        <v>1214</v>
      </c>
      <c r="D1647" s="7" t="n">
        <v>0</v>
      </c>
      <c r="E1647" s="7" t="n">
        <v>0</v>
      </c>
      <c r="F1647" s="7" t="n">
        <v>2</v>
      </c>
      <c r="G1647" s="7" t="n">
        <v>0</v>
      </c>
    </row>
    <row r="1648" customFormat="false" ht="15" hidden="false" customHeight="false" outlineLevel="0" collapsed="false">
      <c r="A1648" s="7" t="s">
        <v>24</v>
      </c>
      <c r="B1648" s="7" t="s">
        <v>816</v>
      </c>
      <c r="C1648" s="7" t="s">
        <v>1214</v>
      </c>
      <c r="D1648" s="7" t="n">
        <v>0</v>
      </c>
      <c r="E1648" s="7" t="n">
        <v>0</v>
      </c>
      <c r="F1648" s="7" t="n">
        <v>1</v>
      </c>
      <c r="G1648" s="7" t="n">
        <v>0</v>
      </c>
    </row>
    <row r="1649" customFormat="false" ht="15" hidden="false" customHeight="false" outlineLevel="0" collapsed="false">
      <c r="A1649" s="7" t="s">
        <v>24</v>
      </c>
      <c r="B1649" s="7" t="s">
        <v>816</v>
      </c>
      <c r="C1649" s="7" t="s">
        <v>1214</v>
      </c>
      <c r="D1649" s="7" t="n">
        <v>0</v>
      </c>
      <c r="E1649" s="7" t="n">
        <v>0</v>
      </c>
      <c r="F1649" s="7" t="n">
        <v>1</v>
      </c>
      <c r="G1649" s="7" t="n">
        <v>0</v>
      </c>
    </row>
    <row r="1650" customFormat="false" ht="15" hidden="false" customHeight="false" outlineLevel="0" collapsed="false">
      <c r="A1650" s="7" t="s">
        <v>24</v>
      </c>
      <c r="B1650" s="7" t="s">
        <v>816</v>
      </c>
      <c r="C1650" s="7" t="s">
        <v>1214</v>
      </c>
      <c r="D1650" s="7" t="n">
        <v>0</v>
      </c>
      <c r="E1650" s="7" t="n">
        <v>0</v>
      </c>
      <c r="F1650" s="7" t="n">
        <v>1</v>
      </c>
      <c r="G1650" s="7" t="n">
        <v>0</v>
      </c>
    </row>
    <row r="1651" customFormat="false" ht="15" hidden="false" customHeight="false" outlineLevel="0" collapsed="false">
      <c r="A1651" s="7" t="s">
        <v>24</v>
      </c>
      <c r="B1651" s="7" t="s">
        <v>816</v>
      </c>
      <c r="C1651" s="7" t="s">
        <v>1214</v>
      </c>
      <c r="D1651" s="7" t="n">
        <v>0</v>
      </c>
      <c r="E1651" s="7" t="n">
        <v>0</v>
      </c>
      <c r="F1651" s="7" t="n">
        <v>1</v>
      </c>
      <c r="G1651" s="7" t="n">
        <v>0</v>
      </c>
    </row>
    <row r="1652" customFormat="false" ht="15" hidden="false" customHeight="false" outlineLevel="0" collapsed="false">
      <c r="A1652" s="7" t="s">
        <v>24</v>
      </c>
      <c r="B1652" s="7" t="s">
        <v>816</v>
      </c>
      <c r="C1652" s="7" t="s">
        <v>1214</v>
      </c>
      <c r="D1652" s="7" t="n">
        <v>0</v>
      </c>
      <c r="E1652" s="7" t="n">
        <v>0</v>
      </c>
      <c r="F1652" s="7" t="n">
        <v>1</v>
      </c>
      <c r="G1652" s="7" t="n">
        <v>0</v>
      </c>
    </row>
    <row r="1653" customFormat="false" ht="15" hidden="false" customHeight="false" outlineLevel="0" collapsed="false">
      <c r="A1653" s="7" t="s">
        <v>24</v>
      </c>
      <c r="B1653" s="7" t="s">
        <v>816</v>
      </c>
      <c r="C1653" s="7" t="s">
        <v>1214</v>
      </c>
      <c r="D1653" s="7" t="n">
        <v>0</v>
      </c>
      <c r="E1653" s="7" t="n">
        <v>0</v>
      </c>
      <c r="F1653" s="7" t="n">
        <v>1</v>
      </c>
      <c r="G1653" s="7" t="n">
        <v>0</v>
      </c>
    </row>
    <row r="1654" customFormat="false" ht="15" hidden="false" customHeight="false" outlineLevel="0" collapsed="false">
      <c r="A1654" s="7" t="s">
        <v>24</v>
      </c>
      <c r="B1654" s="7" t="s">
        <v>816</v>
      </c>
      <c r="C1654" s="7" t="s">
        <v>1214</v>
      </c>
      <c r="D1654" s="7" t="n">
        <v>0</v>
      </c>
      <c r="E1654" s="7" t="n">
        <v>0</v>
      </c>
      <c r="F1654" s="7" t="n">
        <v>4</v>
      </c>
      <c r="G1654" s="7" t="n">
        <v>0</v>
      </c>
    </row>
    <row r="1655" customFormat="false" ht="15" hidden="false" customHeight="false" outlineLevel="0" collapsed="false">
      <c r="A1655" s="7" t="s">
        <v>24</v>
      </c>
      <c r="B1655" s="7" t="s">
        <v>816</v>
      </c>
      <c r="C1655" s="7" t="s">
        <v>1214</v>
      </c>
      <c r="D1655" s="7" t="n">
        <v>0</v>
      </c>
      <c r="E1655" s="7" t="n">
        <v>0</v>
      </c>
      <c r="F1655" s="7" t="n">
        <v>4</v>
      </c>
      <c r="G1655" s="7" t="n">
        <v>0</v>
      </c>
    </row>
    <row r="1656" customFormat="false" ht="15" hidden="false" customHeight="false" outlineLevel="0" collapsed="false">
      <c r="A1656" s="7" t="s">
        <v>24</v>
      </c>
      <c r="B1656" s="7" t="s">
        <v>816</v>
      </c>
      <c r="C1656" s="7" t="s">
        <v>1214</v>
      </c>
      <c r="D1656" s="7" t="n">
        <v>0</v>
      </c>
      <c r="E1656" s="7" t="n">
        <v>0</v>
      </c>
      <c r="F1656" s="7" t="n">
        <v>2</v>
      </c>
      <c r="G1656" s="7" t="n">
        <v>0</v>
      </c>
    </row>
    <row r="1657" customFormat="false" ht="15" hidden="false" customHeight="false" outlineLevel="0" collapsed="false">
      <c r="A1657" s="7" t="s">
        <v>24</v>
      </c>
      <c r="B1657" s="7" t="s">
        <v>816</v>
      </c>
      <c r="C1657" s="7" t="s">
        <v>1214</v>
      </c>
      <c r="D1657" s="7" t="n">
        <v>0</v>
      </c>
      <c r="E1657" s="7" t="n">
        <v>0</v>
      </c>
      <c r="F1657" s="7" t="n">
        <v>2</v>
      </c>
      <c r="G1657" s="7" t="n">
        <v>0</v>
      </c>
    </row>
    <row r="1658" customFormat="false" ht="15" hidden="false" customHeight="false" outlineLevel="0" collapsed="false">
      <c r="A1658" s="7" t="s">
        <v>24</v>
      </c>
      <c r="B1658" s="7" t="s">
        <v>816</v>
      </c>
      <c r="C1658" s="7" t="s">
        <v>1214</v>
      </c>
      <c r="D1658" s="7" t="n">
        <v>0</v>
      </c>
      <c r="E1658" s="7" t="n">
        <v>0</v>
      </c>
      <c r="F1658" s="7" t="n">
        <v>1</v>
      </c>
      <c r="G1658" s="7" t="n">
        <v>0</v>
      </c>
    </row>
    <row r="1659" customFormat="false" ht="15" hidden="false" customHeight="false" outlineLevel="0" collapsed="false">
      <c r="A1659" s="7" t="s">
        <v>24</v>
      </c>
      <c r="B1659" s="7" t="s">
        <v>816</v>
      </c>
      <c r="C1659" s="7" t="s">
        <v>1214</v>
      </c>
      <c r="D1659" s="7" t="n">
        <v>0</v>
      </c>
      <c r="E1659" s="7" t="n">
        <v>0</v>
      </c>
      <c r="F1659" s="7" t="n">
        <v>1</v>
      </c>
      <c r="G1659" s="7" t="n">
        <v>0</v>
      </c>
    </row>
    <row r="1660" customFormat="false" ht="15" hidden="false" customHeight="false" outlineLevel="0" collapsed="false">
      <c r="A1660" s="7" t="s">
        <v>24</v>
      </c>
      <c r="B1660" s="7" t="s">
        <v>816</v>
      </c>
      <c r="C1660" s="7" t="s">
        <v>1214</v>
      </c>
      <c r="D1660" s="7" t="n">
        <v>0</v>
      </c>
      <c r="E1660" s="7" t="n">
        <v>0</v>
      </c>
      <c r="F1660" s="7" t="n">
        <v>1</v>
      </c>
      <c r="G1660" s="7" t="n">
        <v>0</v>
      </c>
    </row>
    <row r="1661" customFormat="false" ht="15" hidden="false" customHeight="false" outlineLevel="0" collapsed="false">
      <c r="A1661" s="7" t="s">
        <v>24</v>
      </c>
      <c r="B1661" s="7" t="s">
        <v>816</v>
      </c>
      <c r="C1661" s="7" t="s">
        <v>1214</v>
      </c>
      <c r="D1661" s="7" t="n">
        <v>0</v>
      </c>
      <c r="E1661" s="7" t="n">
        <v>0</v>
      </c>
      <c r="F1661" s="7" t="n">
        <v>3</v>
      </c>
      <c r="G1661" s="7" t="n">
        <v>0</v>
      </c>
    </row>
    <row r="1662" customFormat="false" ht="15" hidden="false" customHeight="false" outlineLevel="0" collapsed="false">
      <c r="A1662" s="7" t="s">
        <v>24</v>
      </c>
      <c r="B1662" s="7" t="s">
        <v>816</v>
      </c>
      <c r="C1662" s="7" t="s">
        <v>1214</v>
      </c>
      <c r="D1662" s="7" t="n">
        <v>0</v>
      </c>
      <c r="E1662" s="7" t="n">
        <v>0</v>
      </c>
      <c r="F1662" s="7" t="n">
        <v>1</v>
      </c>
      <c r="G1662" s="7" t="n">
        <v>0</v>
      </c>
    </row>
    <row r="1663" customFormat="false" ht="15" hidden="false" customHeight="false" outlineLevel="0" collapsed="false">
      <c r="A1663" s="7" t="s">
        <v>24</v>
      </c>
      <c r="B1663" s="7" t="s">
        <v>816</v>
      </c>
      <c r="C1663" s="7" t="s">
        <v>1214</v>
      </c>
      <c r="D1663" s="7" t="n">
        <v>0</v>
      </c>
      <c r="E1663" s="7" t="n">
        <v>0</v>
      </c>
      <c r="F1663" s="7" t="n">
        <v>2</v>
      </c>
      <c r="G1663" s="7" t="n">
        <v>0</v>
      </c>
    </row>
    <row r="1664" customFormat="false" ht="15" hidden="false" customHeight="false" outlineLevel="0" collapsed="false">
      <c r="A1664" s="7" t="s">
        <v>24</v>
      </c>
      <c r="B1664" s="7" t="s">
        <v>816</v>
      </c>
      <c r="C1664" s="7" t="s">
        <v>1214</v>
      </c>
      <c r="D1664" s="7" t="n">
        <v>0</v>
      </c>
      <c r="E1664" s="7" t="n">
        <v>0</v>
      </c>
      <c r="F1664" s="7" t="n">
        <v>1</v>
      </c>
      <c r="G1664" s="7" t="n">
        <v>0</v>
      </c>
    </row>
    <row r="1665" customFormat="false" ht="15" hidden="false" customHeight="false" outlineLevel="0" collapsed="false">
      <c r="A1665" s="7" t="s">
        <v>24</v>
      </c>
      <c r="B1665" s="7" t="s">
        <v>816</v>
      </c>
      <c r="C1665" s="7" t="s">
        <v>1214</v>
      </c>
      <c r="D1665" s="7" t="n">
        <v>0</v>
      </c>
      <c r="E1665" s="7" t="n">
        <v>0</v>
      </c>
      <c r="F1665" s="7" t="n">
        <v>6</v>
      </c>
      <c r="G1665" s="7" t="n">
        <v>0</v>
      </c>
    </row>
    <row r="1666" customFormat="false" ht="15" hidden="false" customHeight="false" outlineLevel="0" collapsed="false">
      <c r="A1666" s="7" t="s">
        <v>24</v>
      </c>
      <c r="B1666" s="7" t="s">
        <v>816</v>
      </c>
      <c r="C1666" s="7" t="s">
        <v>1214</v>
      </c>
      <c r="D1666" s="7" t="n">
        <v>0</v>
      </c>
      <c r="E1666" s="7" t="n">
        <v>0</v>
      </c>
      <c r="F1666" s="7" t="n">
        <v>2</v>
      </c>
      <c r="G1666" s="7" t="n">
        <v>0</v>
      </c>
    </row>
    <row r="1667" customFormat="false" ht="15" hidden="false" customHeight="false" outlineLevel="0" collapsed="false">
      <c r="A1667" s="7" t="s">
        <v>24</v>
      </c>
      <c r="B1667" s="7" t="s">
        <v>816</v>
      </c>
      <c r="C1667" s="7" t="s">
        <v>1214</v>
      </c>
      <c r="D1667" s="7" t="n">
        <v>0</v>
      </c>
      <c r="E1667" s="7" t="n">
        <v>0</v>
      </c>
      <c r="F1667" s="7" t="n">
        <v>5</v>
      </c>
      <c r="G1667" s="7" t="n">
        <v>0</v>
      </c>
    </row>
    <row r="1668" customFormat="false" ht="15" hidden="false" customHeight="false" outlineLevel="0" collapsed="false">
      <c r="A1668" s="7" t="s">
        <v>24</v>
      </c>
      <c r="B1668" s="7" t="s">
        <v>816</v>
      </c>
      <c r="C1668" s="7" t="s">
        <v>1214</v>
      </c>
      <c r="D1668" s="7" t="n">
        <v>0</v>
      </c>
      <c r="E1668" s="7" t="n">
        <v>0</v>
      </c>
      <c r="F1668" s="7" t="n">
        <v>17</v>
      </c>
      <c r="G1668" s="7" t="n">
        <v>0</v>
      </c>
    </row>
    <row r="1669" customFormat="false" ht="15" hidden="false" customHeight="false" outlineLevel="0" collapsed="false">
      <c r="A1669" s="7" t="s">
        <v>24</v>
      </c>
      <c r="B1669" s="7" t="s">
        <v>816</v>
      </c>
      <c r="C1669" s="7" t="s">
        <v>1214</v>
      </c>
      <c r="D1669" s="7" t="n">
        <v>0</v>
      </c>
      <c r="E1669" s="7" t="n">
        <v>0</v>
      </c>
      <c r="F1669" s="7" t="n">
        <v>1</v>
      </c>
      <c r="G1669" s="7" t="n">
        <v>0</v>
      </c>
    </row>
    <row r="1670" customFormat="false" ht="15" hidden="false" customHeight="false" outlineLevel="0" collapsed="false">
      <c r="A1670" s="7" t="s">
        <v>24</v>
      </c>
      <c r="B1670" s="7" t="s">
        <v>816</v>
      </c>
      <c r="C1670" s="7" t="s">
        <v>1214</v>
      </c>
      <c r="D1670" s="7" t="n">
        <v>0</v>
      </c>
      <c r="E1670" s="7" t="n">
        <v>0</v>
      </c>
      <c r="F1670" s="7" t="n">
        <v>1</v>
      </c>
      <c r="G1670" s="7" t="n">
        <v>0</v>
      </c>
    </row>
    <row r="1671" customFormat="false" ht="15" hidden="false" customHeight="false" outlineLevel="0" collapsed="false">
      <c r="A1671" s="7" t="s">
        <v>24</v>
      </c>
      <c r="B1671" s="7" t="s">
        <v>816</v>
      </c>
      <c r="C1671" s="7" t="s">
        <v>1214</v>
      </c>
      <c r="D1671" s="7" t="n">
        <v>0</v>
      </c>
      <c r="E1671" s="7" t="n">
        <v>0</v>
      </c>
      <c r="F1671" s="7" t="n">
        <v>1</v>
      </c>
      <c r="G1671" s="7" t="n">
        <v>0</v>
      </c>
    </row>
    <row r="1672" customFormat="false" ht="15" hidden="false" customHeight="false" outlineLevel="0" collapsed="false">
      <c r="A1672" s="7" t="s">
        <v>24</v>
      </c>
      <c r="B1672" s="7" t="s">
        <v>816</v>
      </c>
      <c r="C1672" s="7" t="s">
        <v>1214</v>
      </c>
      <c r="D1672" s="7" t="n">
        <v>0</v>
      </c>
      <c r="E1672" s="7" t="n">
        <v>0</v>
      </c>
      <c r="F1672" s="7" t="n">
        <v>4</v>
      </c>
      <c r="G1672" s="7" t="n">
        <v>0</v>
      </c>
    </row>
    <row r="1673" customFormat="false" ht="15" hidden="false" customHeight="false" outlineLevel="0" collapsed="false">
      <c r="A1673" s="7" t="s">
        <v>24</v>
      </c>
      <c r="B1673" s="7" t="s">
        <v>816</v>
      </c>
      <c r="C1673" s="7" t="s">
        <v>1214</v>
      </c>
      <c r="D1673" s="7" t="n">
        <v>0</v>
      </c>
      <c r="E1673" s="7" t="n">
        <v>0</v>
      </c>
      <c r="F1673" s="7" t="n">
        <v>3</v>
      </c>
      <c r="G1673" s="7" t="n">
        <v>0</v>
      </c>
    </row>
    <row r="1674" customFormat="false" ht="15" hidden="false" customHeight="false" outlineLevel="0" collapsed="false">
      <c r="A1674" s="7" t="s">
        <v>24</v>
      </c>
      <c r="B1674" s="7" t="s">
        <v>816</v>
      </c>
      <c r="C1674" s="7" t="s">
        <v>1214</v>
      </c>
      <c r="D1674" s="7" t="n">
        <v>0</v>
      </c>
      <c r="E1674" s="7" t="n">
        <v>0</v>
      </c>
      <c r="F1674" s="7" t="n">
        <v>20</v>
      </c>
      <c r="G1674" s="7" t="n">
        <v>0</v>
      </c>
    </row>
    <row r="1675" customFormat="false" ht="15" hidden="false" customHeight="false" outlineLevel="0" collapsed="false">
      <c r="A1675" s="7" t="s">
        <v>24</v>
      </c>
      <c r="B1675" s="7" t="s">
        <v>816</v>
      </c>
      <c r="C1675" s="7" t="s">
        <v>1214</v>
      </c>
      <c r="D1675" s="7" t="n">
        <v>0</v>
      </c>
      <c r="E1675" s="7" t="n">
        <v>0</v>
      </c>
      <c r="F1675" s="7" t="n">
        <v>1</v>
      </c>
      <c r="G1675" s="7" t="n">
        <v>0</v>
      </c>
    </row>
    <row r="1676" customFormat="false" ht="15" hidden="false" customHeight="false" outlineLevel="0" collapsed="false">
      <c r="A1676" s="7" t="s">
        <v>24</v>
      </c>
      <c r="B1676" s="7" t="s">
        <v>816</v>
      </c>
      <c r="C1676" s="7" t="s">
        <v>1214</v>
      </c>
      <c r="D1676" s="7" t="n">
        <v>0</v>
      </c>
      <c r="E1676" s="7" t="n">
        <v>0</v>
      </c>
      <c r="F1676" s="7" t="n">
        <v>1</v>
      </c>
      <c r="G1676" s="7" t="n">
        <v>0</v>
      </c>
    </row>
    <row r="1677" customFormat="false" ht="15" hidden="false" customHeight="false" outlineLevel="0" collapsed="false">
      <c r="A1677" s="7" t="s">
        <v>24</v>
      </c>
      <c r="B1677" s="7" t="s">
        <v>816</v>
      </c>
      <c r="C1677" s="7" t="s">
        <v>1214</v>
      </c>
      <c r="D1677" s="7" t="n">
        <v>0</v>
      </c>
      <c r="E1677" s="7" t="n">
        <v>0</v>
      </c>
      <c r="F1677" s="7" t="n">
        <v>78</v>
      </c>
      <c r="G1677" s="7" t="n">
        <v>0</v>
      </c>
    </row>
    <row r="1678" customFormat="false" ht="15" hidden="false" customHeight="false" outlineLevel="0" collapsed="false">
      <c r="A1678" s="7" t="s">
        <v>24</v>
      </c>
      <c r="B1678" s="7" t="s">
        <v>816</v>
      </c>
      <c r="C1678" s="7" t="s">
        <v>1214</v>
      </c>
      <c r="D1678" s="7" t="n">
        <v>0</v>
      </c>
      <c r="E1678" s="7" t="n">
        <v>0</v>
      </c>
      <c r="F1678" s="7" t="n">
        <v>1</v>
      </c>
      <c r="G1678" s="7" t="n">
        <v>0</v>
      </c>
    </row>
    <row r="1679" customFormat="false" ht="15" hidden="false" customHeight="false" outlineLevel="0" collapsed="false">
      <c r="A1679" s="7" t="s">
        <v>24</v>
      </c>
      <c r="B1679" s="7" t="s">
        <v>816</v>
      </c>
      <c r="C1679" s="7" t="s">
        <v>1214</v>
      </c>
      <c r="D1679" s="7" t="n">
        <v>0</v>
      </c>
      <c r="E1679" s="7" t="n">
        <v>0</v>
      </c>
      <c r="F1679" s="7" t="n">
        <v>4</v>
      </c>
      <c r="G1679" s="7" t="n">
        <v>0</v>
      </c>
    </row>
    <row r="1680" customFormat="false" ht="15" hidden="false" customHeight="false" outlineLevel="0" collapsed="false">
      <c r="A1680" s="7" t="s">
        <v>24</v>
      </c>
      <c r="B1680" s="7" t="s">
        <v>816</v>
      </c>
      <c r="C1680" s="7" t="s">
        <v>1214</v>
      </c>
      <c r="D1680" s="7" t="n">
        <v>0</v>
      </c>
      <c r="E1680" s="7" t="n">
        <v>0</v>
      </c>
      <c r="F1680" s="7" t="n">
        <v>1</v>
      </c>
      <c r="G1680" s="7" t="n">
        <v>0</v>
      </c>
    </row>
    <row r="1681" customFormat="false" ht="15" hidden="false" customHeight="false" outlineLevel="0" collapsed="false">
      <c r="A1681" s="7" t="s">
        <v>24</v>
      </c>
      <c r="B1681" s="7" t="s">
        <v>816</v>
      </c>
      <c r="C1681" s="7" t="s">
        <v>1214</v>
      </c>
      <c r="D1681" s="7" t="n">
        <v>0</v>
      </c>
      <c r="E1681" s="7" t="n">
        <v>0</v>
      </c>
      <c r="F1681" s="7" t="n">
        <v>1</v>
      </c>
      <c r="G1681" s="7" t="n">
        <v>0</v>
      </c>
    </row>
    <row r="1682" customFormat="false" ht="15" hidden="false" customHeight="false" outlineLevel="0" collapsed="false">
      <c r="A1682" s="7" t="s">
        <v>24</v>
      </c>
      <c r="B1682" s="7" t="s">
        <v>816</v>
      </c>
      <c r="C1682" s="7" t="s">
        <v>1214</v>
      </c>
      <c r="D1682" s="7" t="n">
        <v>0</v>
      </c>
      <c r="E1682" s="7" t="n">
        <v>0</v>
      </c>
      <c r="F1682" s="7" t="n">
        <v>1</v>
      </c>
      <c r="G1682" s="7" t="n">
        <v>0</v>
      </c>
    </row>
    <row r="1683" customFormat="false" ht="15" hidden="false" customHeight="false" outlineLevel="0" collapsed="false">
      <c r="A1683" s="7" t="s">
        <v>24</v>
      </c>
      <c r="B1683" s="7" t="s">
        <v>816</v>
      </c>
      <c r="C1683" s="7" t="s">
        <v>1214</v>
      </c>
      <c r="D1683" s="7" t="n">
        <v>0</v>
      </c>
      <c r="E1683" s="7" t="n">
        <v>0</v>
      </c>
      <c r="F1683" s="7" t="n">
        <v>2</v>
      </c>
      <c r="G1683" s="7" t="n">
        <v>0</v>
      </c>
    </row>
    <row r="1684" customFormat="false" ht="15" hidden="false" customHeight="false" outlineLevel="0" collapsed="false">
      <c r="A1684" s="7" t="s">
        <v>24</v>
      </c>
      <c r="B1684" s="7" t="s">
        <v>816</v>
      </c>
      <c r="C1684" s="7" t="s">
        <v>1214</v>
      </c>
      <c r="D1684" s="7" t="n">
        <v>0</v>
      </c>
      <c r="E1684" s="7" t="n">
        <v>0</v>
      </c>
      <c r="F1684" s="7" t="n">
        <v>2</v>
      </c>
      <c r="G1684" s="7" t="n">
        <v>0</v>
      </c>
    </row>
    <row r="1685" customFormat="false" ht="15" hidden="false" customHeight="false" outlineLevel="0" collapsed="false">
      <c r="A1685" s="7" t="s">
        <v>24</v>
      </c>
      <c r="B1685" s="7" t="s">
        <v>816</v>
      </c>
      <c r="C1685" s="7" t="s">
        <v>1214</v>
      </c>
      <c r="D1685" s="7" t="n">
        <v>0</v>
      </c>
      <c r="E1685" s="7" t="n">
        <v>0</v>
      </c>
      <c r="F1685" s="7" t="n">
        <v>6</v>
      </c>
      <c r="G1685" s="7" t="n">
        <v>0</v>
      </c>
    </row>
    <row r="1686" customFormat="false" ht="15" hidden="false" customHeight="false" outlineLevel="0" collapsed="false">
      <c r="A1686" s="7" t="s">
        <v>24</v>
      </c>
      <c r="B1686" s="7" t="s">
        <v>816</v>
      </c>
      <c r="C1686" s="7" t="s">
        <v>1214</v>
      </c>
      <c r="D1686" s="7" t="n">
        <v>0</v>
      </c>
      <c r="E1686" s="7" t="n">
        <v>0</v>
      </c>
      <c r="F1686" s="7" t="n">
        <v>30</v>
      </c>
      <c r="G1686" s="7" t="n">
        <v>0</v>
      </c>
    </row>
    <row r="1687" customFormat="false" ht="15" hidden="false" customHeight="false" outlineLevel="0" collapsed="false">
      <c r="A1687" s="7" t="s">
        <v>24</v>
      </c>
      <c r="B1687" s="7" t="s">
        <v>816</v>
      </c>
      <c r="C1687" s="7" t="s">
        <v>1214</v>
      </c>
      <c r="D1687" s="7" t="n">
        <v>0</v>
      </c>
      <c r="E1687" s="7" t="n">
        <v>0</v>
      </c>
      <c r="F1687" s="7" t="n">
        <v>1</v>
      </c>
      <c r="G1687" s="7" t="n">
        <v>0</v>
      </c>
    </row>
    <row r="1688" customFormat="false" ht="15" hidden="false" customHeight="false" outlineLevel="0" collapsed="false">
      <c r="A1688" s="7" t="s">
        <v>24</v>
      </c>
      <c r="B1688" s="7" t="s">
        <v>816</v>
      </c>
      <c r="C1688" s="7" t="s">
        <v>1214</v>
      </c>
      <c r="D1688" s="7" t="n">
        <v>0</v>
      </c>
      <c r="E1688" s="7" t="n">
        <v>0</v>
      </c>
      <c r="F1688" s="7" t="n">
        <v>2</v>
      </c>
      <c r="G1688" s="7" t="n">
        <v>0</v>
      </c>
    </row>
    <row r="1689" customFormat="false" ht="15" hidden="false" customHeight="false" outlineLevel="0" collapsed="false">
      <c r="A1689" s="7" t="s">
        <v>24</v>
      </c>
      <c r="B1689" s="7" t="s">
        <v>816</v>
      </c>
      <c r="C1689" s="7" t="s">
        <v>1214</v>
      </c>
      <c r="D1689" s="7" t="n">
        <v>0</v>
      </c>
      <c r="E1689" s="7" t="n">
        <v>0</v>
      </c>
      <c r="F1689" s="7" t="n">
        <v>24</v>
      </c>
      <c r="G1689" s="7" t="n">
        <v>0</v>
      </c>
    </row>
    <row r="1690" customFormat="false" ht="15" hidden="false" customHeight="false" outlineLevel="0" collapsed="false">
      <c r="A1690" s="7" t="s">
        <v>24</v>
      </c>
      <c r="B1690" s="7" t="s">
        <v>816</v>
      </c>
      <c r="C1690" s="7" t="s">
        <v>1214</v>
      </c>
      <c r="D1690" s="7" t="n">
        <v>0</v>
      </c>
      <c r="E1690" s="7" t="n">
        <v>0</v>
      </c>
      <c r="F1690" s="7" t="n">
        <v>1</v>
      </c>
      <c r="G1690" s="7" t="n">
        <v>0</v>
      </c>
    </row>
    <row r="1691" customFormat="false" ht="15" hidden="false" customHeight="false" outlineLevel="0" collapsed="false">
      <c r="A1691" s="7" t="s">
        <v>24</v>
      </c>
      <c r="B1691" s="7" t="s">
        <v>816</v>
      </c>
      <c r="C1691" s="7" t="s">
        <v>1214</v>
      </c>
      <c r="D1691" s="7" t="n">
        <v>0</v>
      </c>
      <c r="E1691" s="7" t="n">
        <v>0</v>
      </c>
      <c r="F1691" s="7" t="n">
        <v>1</v>
      </c>
      <c r="G1691" s="7" t="n">
        <v>0</v>
      </c>
    </row>
    <row r="1692" customFormat="false" ht="15" hidden="false" customHeight="false" outlineLevel="0" collapsed="false">
      <c r="A1692" s="7" t="s">
        <v>24</v>
      </c>
      <c r="B1692" s="7" t="s">
        <v>816</v>
      </c>
      <c r="C1692" s="7" t="s">
        <v>1214</v>
      </c>
      <c r="D1692" s="7" t="n">
        <v>0</v>
      </c>
      <c r="E1692" s="7" t="n">
        <v>0</v>
      </c>
      <c r="F1692" s="7" t="n">
        <v>1</v>
      </c>
      <c r="G1692" s="7" t="n">
        <v>0</v>
      </c>
    </row>
    <row r="1693" customFormat="false" ht="15" hidden="false" customHeight="false" outlineLevel="0" collapsed="false">
      <c r="A1693" s="7" t="s">
        <v>24</v>
      </c>
      <c r="B1693" s="7" t="s">
        <v>816</v>
      </c>
      <c r="C1693" s="7" t="s">
        <v>1214</v>
      </c>
      <c r="D1693" s="7" t="n">
        <v>0</v>
      </c>
      <c r="E1693" s="7" t="n">
        <v>0</v>
      </c>
      <c r="F1693" s="7" t="n">
        <v>1</v>
      </c>
      <c r="G1693" s="7" t="n">
        <v>0</v>
      </c>
    </row>
    <row r="1694" customFormat="false" ht="15" hidden="false" customHeight="false" outlineLevel="0" collapsed="false">
      <c r="A1694" s="7" t="s">
        <v>24</v>
      </c>
      <c r="B1694" s="7" t="s">
        <v>816</v>
      </c>
      <c r="C1694" s="7" t="s">
        <v>1214</v>
      </c>
      <c r="D1694" s="7" t="n">
        <v>0</v>
      </c>
      <c r="E1694" s="7" t="n">
        <v>0</v>
      </c>
      <c r="F1694" s="7" t="n">
        <v>8</v>
      </c>
      <c r="G1694" s="7" t="n">
        <v>0</v>
      </c>
    </row>
    <row r="1695" customFormat="false" ht="15" hidden="false" customHeight="false" outlineLevel="0" collapsed="false">
      <c r="A1695" s="7" t="s">
        <v>24</v>
      </c>
      <c r="B1695" s="7" t="s">
        <v>816</v>
      </c>
      <c r="C1695" s="7" t="s">
        <v>1214</v>
      </c>
      <c r="D1695" s="7" t="n">
        <v>0</v>
      </c>
      <c r="E1695" s="7" t="n">
        <v>0</v>
      </c>
      <c r="F1695" s="7" t="n">
        <v>7</v>
      </c>
      <c r="G1695" s="7" t="n">
        <v>0</v>
      </c>
    </row>
    <row r="1696" customFormat="false" ht="15" hidden="false" customHeight="false" outlineLevel="0" collapsed="false">
      <c r="A1696" s="7" t="s">
        <v>24</v>
      </c>
      <c r="B1696" s="7" t="s">
        <v>816</v>
      </c>
      <c r="C1696" s="7" t="s">
        <v>1214</v>
      </c>
      <c r="D1696" s="7" t="n">
        <v>0</v>
      </c>
      <c r="E1696" s="7" t="n">
        <v>0</v>
      </c>
      <c r="F1696" s="7" t="n">
        <v>1</v>
      </c>
      <c r="G1696" s="7" t="n">
        <v>0</v>
      </c>
    </row>
    <row r="1697" customFormat="false" ht="15" hidden="false" customHeight="false" outlineLevel="0" collapsed="false">
      <c r="A1697" s="7" t="s">
        <v>24</v>
      </c>
      <c r="B1697" s="7" t="s">
        <v>816</v>
      </c>
      <c r="C1697" s="7" t="s">
        <v>1214</v>
      </c>
      <c r="D1697" s="7" t="n">
        <v>0</v>
      </c>
      <c r="E1697" s="7" t="n">
        <v>0</v>
      </c>
      <c r="F1697" s="7" t="n">
        <v>1</v>
      </c>
      <c r="G1697" s="7" t="n">
        <v>0</v>
      </c>
    </row>
    <row r="1698" customFormat="false" ht="15" hidden="false" customHeight="false" outlineLevel="0" collapsed="false">
      <c r="A1698" s="7" t="s">
        <v>24</v>
      </c>
      <c r="B1698" s="7" t="s">
        <v>816</v>
      </c>
      <c r="C1698" s="7" t="s">
        <v>1214</v>
      </c>
      <c r="D1698" s="7" t="n">
        <v>0</v>
      </c>
      <c r="E1698" s="7" t="n">
        <v>0</v>
      </c>
      <c r="F1698" s="7" t="n">
        <v>2</v>
      </c>
      <c r="G1698" s="7" t="n">
        <v>0</v>
      </c>
    </row>
    <row r="1699" customFormat="false" ht="15" hidden="false" customHeight="false" outlineLevel="0" collapsed="false">
      <c r="A1699" s="7" t="s">
        <v>24</v>
      </c>
      <c r="B1699" s="7" t="s">
        <v>816</v>
      </c>
      <c r="C1699" s="7" t="s">
        <v>1214</v>
      </c>
      <c r="D1699" s="7" t="n">
        <v>0</v>
      </c>
      <c r="E1699" s="7" t="n">
        <v>0</v>
      </c>
      <c r="F1699" s="7" t="n">
        <v>1</v>
      </c>
      <c r="G1699" s="7" t="n">
        <v>0</v>
      </c>
    </row>
    <row r="1700" customFormat="false" ht="15" hidden="false" customHeight="false" outlineLevel="0" collapsed="false">
      <c r="A1700" s="7" t="s">
        <v>24</v>
      </c>
      <c r="B1700" s="7" t="s">
        <v>816</v>
      </c>
      <c r="C1700" s="7" t="s">
        <v>1214</v>
      </c>
      <c r="D1700" s="7" t="n">
        <v>0</v>
      </c>
      <c r="E1700" s="7" t="n">
        <v>0</v>
      </c>
      <c r="F1700" s="7" t="n">
        <v>1</v>
      </c>
      <c r="G1700" s="7" t="n">
        <v>0</v>
      </c>
    </row>
    <row r="1701" customFormat="false" ht="15" hidden="false" customHeight="false" outlineLevel="0" collapsed="false">
      <c r="A1701" s="7" t="s">
        <v>24</v>
      </c>
      <c r="B1701" s="7" t="s">
        <v>816</v>
      </c>
      <c r="C1701" s="7" t="s">
        <v>1214</v>
      </c>
      <c r="D1701" s="7" t="n">
        <v>0</v>
      </c>
      <c r="E1701" s="7" t="n">
        <v>0</v>
      </c>
      <c r="F1701" s="7" t="n">
        <v>1</v>
      </c>
      <c r="G1701" s="7" t="n">
        <v>0</v>
      </c>
    </row>
    <row r="1702" customFormat="false" ht="15" hidden="false" customHeight="false" outlineLevel="0" collapsed="false">
      <c r="A1702" s="7" t="s">
        <v>24</v>
      </c>
      <c r="B1702" s="7" t="s">
        <v>816</v>
      </c>
      <c r="C1702" s="7" t="s">
        <v>1214</v>
      </c>
      <c r="D1702" s="7" t="n">
        <v>0</v>
      </c>
      <c r="E1702" s="7" t="n">
        <v>0</v>
      </c>
      <c r="F1702" s="7" t="n">
        <v>1</v>
      </c>
      <c r="G1702" s="7" t="n">
        <v>0</v>
      </c>
    </row>
    <row r="1703" customFormat="false" ht="15" hidden="false" customHeight="false" outlineLevel="0" collapsed="false">
      <c r="A1703" s="7" t="s">
        <v>24</v>
      </c>
      <c r="B1703" s="7" t="s">
        <v>816</v>
      </c>
      <c r="C1703" s="7" t="s">
        <v>1214</v>
      </c>
      <c r="D1703" s="7" t="n">
        <v>0</v>
      </c>
      <c r="E1703" s="7" t="n">
        <v>0</v>
      </c>
      <c r="F1703" s="7" t="n">
        <v>24</v>
      </c>
      <c r="G1703" s="7" t="n">
        <v>0</v>
      </c>
    </row>
    <row r="1704" customFormat="false" ht="15" hidden="false" customHeight="false" outlineLevel="0" collapsed="false">
      <c r="A1704" s="7" t="s">
        <v>24</v>
      </c>
      <c r="B1704" s="7" t="s">
        <v>816</v>
      </c>
      <c r="C1704" s="7" t="s">
        <v>1214</v>
      </c>
      <c r="D1704" s="7" t="n">
        <v>0</v>
      </c>
      <c r="E1704" s="7" t="n">
        <v>0</v>
      </c>
      <c r="F1704" s="7" t="n">
        <v>1</v>
      </c>
      <c r="G1704" s="7" t="n">
        <v>0</v>
      </c>
    </row>
    <row r="1705" customFormat="false" ht="15" hidden="false" customHeight="false" outlineLevel="0" collapsed="false">
      <c r="A1705" s="7" t="s">
        <v>24</v>
      </c>
      <c r="B1705" s="7" t="s">
        <v>816</v>
      </c>
      <c r="C1705" s="7" t="s">
        <v>1214</v>
      </c>
      <c r="D1705" s="7" t="n">
        <v>0</v>
      </c>
      <c r="E1705" s="7" t="n">
        <v>0</v>
      </c>
      <c r="F1705" s="7" t="n">
        <v>1</v>
      </c>
      <c r="G1705" s="7" t="n">
        <v>0</v>
      </c>
    </row>
    <row r="1706" customFormat="false" ht="15" hidden="false" customHeight="false" outlineLevel="0" collapsed="false">
      <c r="A1706" s="7" t="s">
        <v>24</v>
      </c>
      <c r="B1706" s="7" t="s">
        <v>816</v>
      </c>
      <c r="C1706" s="7" t="s">
        <v>1214</v>
      </c>
      <c r="D1706" s="7" t="n">
        <v>0</v>
      </c>
      <c r="E1706" s="7" t="n">
        <v>0</v>
      </c>
      <c r="F1706" s="7" t="n">
        <v>1</v>
      </c>
      <c r="G1706" s="7" t="n">
        <v>0</v>
      </c>
    </row>
    <row r="1707" customFormat="false" ht="15" hidden="false" customHeight="false" outlineLevel="0" collapsed="false">
      <c r="A1707" s="7" t="s">
        <v>24</v>
      </c>
      <c r="B1707" s="7" t="s">
        <v>816</v>
      </c>
      <c r="C1707" s="7" t="s">
        <v>1214</v>
      </c>
      <c r="D1707" s="7" t="n">
        <v>0</v>
      </c>
      <c r="E1707" s="7" t="n">
        <v>0</v>
      </c>
      <c r="F1707" s="7" t="n">
        <v>1</v>
      </c>
      <c r="G1707" s="7" t="n">
        <v>0</v>
      </c>
    </row>
    <row r="1708" customFormat="false" ht="15" hidden="false" customHeight="false" outlineLevel="0" collapsed="false">
      <c r="A1708" s="7" t="s">
        <v>24</v>
      </c>
      <c r="B1708" s="7" t="s">
        <v>816</v>
      </c>
      <c r="C1708" s="7" t="s">
        <v>1214</v>
      </c>
      <c r="D1708" s="7" t="n">
        <v>0</v>
      </c>
      <c r="E1708" s="7" t="n">
        <v>0</v>
      </c>
      <c r="F1708" s="7" t="n">
        <v>2</v>
      </c>
      <c r="G1708" s="7" t="n">
        <v>0</v>
      </c>
    </row>
    <row r="1709" customFormat="false" ht="15" hidden="false" customHeight="false" outlineLevel="0" collapsed="false">
      <c r="A1709" s="7" t="s">
        <v>24</v>
      </c>
      <c r="B1709" s="7" t="s">
        <v>816</v>
      </c>
      <c r="C1709" s="7" t="s">
        <v>1214</v>
      </c>
      <c r="D1709" s="7" t="n">
        <v>0</v>
      </c>
      <c r="E1709" s="7" t="n">
        <v>0</v>
      </c>
      <c r="F1709" s="7" t="n">
        <v>1</v>
      </c>
      <c r="G1709" s="7" t="n">
        <v>0</v>
      </c>
    </row>
    <row r="1710" customFormat="false" ht="15" hidden="false" customHeight="false" outlineLevel="0" collapsed="false">
      <c r="A1710" s="7" t="s">
        <v>24</v>
      </c>
      <c r="B1710" s="7" t="s">
        <v>816</v>
      </c>
      <c r="C1710" s="7" t="s">
        <v>1214</v>
      </c>
      <c r="D1710" s="7" t="n">
        <v>0</v>
      </c>
      <c r="E1710" s="7" t="n">
        <v>0</v>
      </c>
      <c r="F1710" s="7" t="n">
        <v>1</v>
      </c>
      <c r="G1710" s="7" t="n">
        <v>0</v>
      </c>
    </row>
    <row r="1711" customFormat="false" ht="15" hidden="false" customHeight="false" outlineLevel="0" collapsed="false">
      <c r="A1711" s="7" t="s">
        <v>24</v>
      </c>
      <c r="B1711" s="7" t="s">
        <v>816</v>
      </c>
      <c r="C1711" s="7" t="s">
        <v>1214</v>
      </c>
      <c r="D1711" s="7" t="n">
        <v>0</v>
      </c>
      <c r="E1711" s="7" t="n">
        <v>0</v>
      </c>
      <c r="F1711" s="7" t="n">
        <v>3</v>
      </c>
      <c r="G1711" s="7" t="n">
        <v>0</v>
      </c>
    </row>
    <row r="1712" customFormat="false" ht="15" hidden="false" customHeight="false" outlineLevel="0" collapsed="false">
      <c r="A1712" s="7" t="s">
        <v>24</v>
      </c>
      <c r="B1712" s="7" t="s">
        <v>816</v>
      </c>
      <c r="C1712" s="7" t="s">
        <v>1214</v>
      </c>
      <c r="D1712" s="7" t="n">
        <v>0</v>
      </c>
      <c r="E1712" s="7" t="n">
        <v>0</v>
      </c>
      <c r="F1712" s="7" t="n">
        <v>2</v>
      </c>
      <c r="G1712" s="7" t="n">
        <v>0</v>
      </c>
    </row>
    <row r="1713" customFormat="false" ht="15" hidden="false" customHeight="false" outlineLevel="0" collapsed="false">
      <c r="A1713" s="7" t="s">
        <v>24</v>
      </c>
      <c r="B1713" s="7" t="s">
        <v>816</v>
      </c>
      <c r="C1713" s="7" t="s">
        <v>1214</v>
      </c>
      <c r="D1713" s="7" t="n">
        <v>0</v>
      </c>
      <c r="E1713" s="7" t="n">
        <v>0</v>
      </c>
      <c r="F1713" s="7" t="n">
        <v>1</v>
      </c>
      <c r="G1713" s="7" t="n">
        <v>0</v>
      </c>
    </row>
    <row r="1714" customFormat="false" ht="15" hidden="false" customHeight="false" outlineLevel="0" collapsed="false">
      <c r="A1714" s="7" t="s">
        <v>24</v>
      </c>
      <c r="B1714" s="7" t="s">
        <v>816</v>
      </c>
      <c r="C1714" s="7" t="s">
        <v>1214</v>
      </c>
      <c r="D1714" s="7" t="n">
        <v>0</v>
      </c>
      <c r="E1714" s="7" t="n">
        <v>0</v>
      </c>
      <c r="F1714" s="7" t="n">
        <v>2</v>
      </c>
      <c r="G1714" s="7" t="n">
        <v>0</v>
      </c>
    </row>
    <row r="1715" customFormat="false" ht="15" hidden="false" customHeight="false" outlineLevel="0" collapsed="false">
      <c r="A1715" s="7" t="s">
        <v>24</v>
      </c>
      <c r="B1715" s="7" t="s">
        <v>816</v>
      </c>
      <c r="C1715" s="7" t="s">
        <v>1214</v>
      </c>
      <c r="D1715" s="7" t="n">
        <v>0</v>
      </c>
      <c r="E1715" s="7" t="n">
        <v>0</v>
      </c>
      <c r="F1715" s="7" t="n">
        <v>2</v>
      </c>
      <c r="G1715" s="7" t="n">
        <v>0</v>
      </c>
    </row>
    <row r="1716" customFormat="false" ht="15" hidden="false" customHeight="false" outlineLevel="0" collapsed="false">
      <c r="A1716" s="7" t="s">
        <v>24</v>
      </c>
      <c r="B1716" s="7" t="s">
        <v>816</v>
      </c>
      <c r="C1716" s="7" t="s">
        <v>1214</v>
      </c>
      <c r="D1716" s="7" t="n">
        <v>0</v>
      </c>
      <c r="E1716" s="7" t="n">
        <v>0</v>
      </c>
      <c r="F1716" s="7" t="n">
        <v>1</v>
      </c>
      <c r="G1716" s="7" t="n">
        <v>0</v>
      </c>
    </row>
    <row r="1717" customFormat="false" ht="15" hidden="false" customHeight="false" outlineLevel="0" collapsed="false">
      <c r="A1717" s="7" t="s">
        <v>24</v>
      </c>
      <c r="B1717" s="7" t="s">
        <v>816</v>
      </c>
      <c r="C1717" s="7" t="s">
        <v>1214</v>
      </c>
      <c r="D1717" s="7" t="n">
        <v>0</v>
      </c>
      <c r="E1717" s="7" t="n">
        <v>0</v>
      </c>
      <c r="F1717" s="7" t="n">
        <v>4</v>
      </c>
      <c r="G1717" s="7" t="n">
        <v>0</v>
      </c>
    </row>
    <row r="1718" customFormat="false" ht="15" hidden="false" customHeight="false" outlineLevel="0" collapsed="false">
      <c r="A1718" s="7" t="s">
        <v>24</v>
      </c>
      <c r="B1718" s="7" t="s">
        <v>816</v>
      </c>
      <c r="C1718" s="7" t="s">
        <v>1214</v>
      </c>
      <c r="D1718" s="7" t="n">
        <v>0</v>
      </c>
      <c r="E1718" s="7" t="n">
        <v>0</v>
      </c>
      <c r="F1718" s="7" t="n">
        <v>1</v>
      </c>
      <c r="G1718" s="7" t="n">
        <v>0</v>
      </c>
    </row>
    <row r="1719" customFormat="false" ht="15" hidden="false" customHeight="false" outlineLevel="0" collapsed="false">
      <c r="A1719" s="7" t="s">
        <v>24</v>
      </c>
      <c r="B1719" s="7" t="s">
        <v>816</v>
      </c>
      <c r="C1719" s="7" t="s">
        <v>1214</v>
      </c>
      <c r="D1719" s="7" t="n">
        <v>0</v>
      </c>
      <c r="E1719" s="7" t="n">
        <v>0</v>
      </c>
      <c r="F1719" s="7" t="n">
        <v>3</v>
      </c>
      <c r="G1719" s="7" t="n">
        <v>0</v>
      </c>
    </row>
    <row r="1720" customFormat="false" ht="15" hidden="false" customHeight="false" outlineLevel="0" collapsed="false">
      <c r="A1720" s="7" t="s">
        <v>24</v>
      </c>
      <c r="B1720" s="7" t="s">
        <v>816</v>
      </c>
      <c r="C1720" s="7" t="s">
        <v>1214</v>
      </c>
      <c r="D1720" s="7" t="n">
        <v>0</v>
      </c>
      <c r="E1720" s="7" t="n">
        <v>0</v>
      </c>
      <c r="F1720" s="7" t="n">
        <v>34</v>
      </c>
      <c r="G1720" s="7" t="n">
        <v>0</v>
      </c>
    </row>
    <row r="1721" customFormat="false" ht="15" hidden="false" customHeight="false" outlineLevel="0" collapsed="false">
      <c r="A1721" s="7" t="s">
        <v>24</v>
      </c>
      <c r="B1721" s="7" t="s">
        <v>816</v>
      </c>
      <c r="C1721" s="7" t="s">
        <v>1214</v>
      </c>
      <c r="D1721" s="7" t="n">
        <v>0</v>
      </c>
      <c r="E1721" s="7" t="n">
        <v>0</v>
      </c>
      <c r="F1721" s="7" t="n">
        <v>1</v>
      </c>
      <c r="G1721" s="7" t="n">
        <v>0</v>
      </c>
    </row>
    <row r="1722" customFormat="false" ht="15" hidden="false" customHeight="false" outlineLevel="0" collapsed="false">
      <c r="A1722" s="7" t="s">
        <v>24</v>
      </c>
      <c r="B1722" s="7" t="s">
        <v>816</v>
      </c>
      <c r="C1722" s="7" t="s">
        <v>1214</v>
      </c>
      <c r="D1722" s="7" t="n">
        <v>0</v>
      </c>
      <c r="E1722" s="7" t="n">
        <v>0</v>
      </c>
      <c r="F1722" s="7" t="n">
        <v>1</v>
      </c>
      <c r="G1722" s="7" t="n">
        <v>0</v>
      </c>
    </row>
    <row r="1723" customFormat="false" ht="15" hidden="false" customHeight="false" outlineLevel="0" collapsed="false">
      <c r="A1723" s="7" t="s">
        <v>24</v>
      </c>
      <c r="B1723" s="7" t="s">
        <v>816</v>
      </c>
      <c r="C1723" s="7" t="s">
        <v>1214</v>
      </c>
      <c r="D1723" s="7" t="n">
        <v>0</v>
      </c>
      <c r="E1723" s="7" t="n">
        <v>0</v>
      </c>
      <c r="F1723" s="7" t="n">
        <v>1</v>
      </c>
      <c r="G1723" s="7" t="n">
        <v>0</v>
      </c>
    </row>
    <row r="1724" customFormat="false" ht="15" hidden="false" customHeight="false" outlineLevel="0" collapsed="false">
      <c r="A1724" s="7" t="s">
        <v>24</v>
      </c>
      <c r="B1724" s="7" t="s">
        <v>816</v>
      </c>
      <c r="C1724" s="7" t="s">
        <v>1214</v>
      </c>
      <c r="D1724" s="7" t="n">
        <v>0</v>
      </c>
      <c r="E1724" s="7" t="n">
        <v>0</v>
      </c>
      <c r="F1724" s="7" t="n">
        <v>1</v>
      </c>
      <c r="G1724" s="7" t="n">
        <v>0</v>
      </c>
    </row>
    <row r="1725" customFormat="false" ht="15" hidden="false" customHeight="false" outlineLevel="0" collapsed="false">
      <c r="A1725" s="7" t="s">
        <v>24</v>
      </c>
      <c r="B1725" s="7" t="s">
        <v>816</v>
      </c>
      <c r="C1725" s="7" t="s">
        <v>1214</v>
      </c>
      <c r="D1725" s="7" t="n">
        <v>0</v>
      </c>
      <c r="E1725" s="7" t="n">
        <v>0</v>
      </c>
      <c r="F1725" s="7" t="n">
        <v>6</v>
      </c>
      <c r="G1725" s="7" t="n">
        <v>0</v>
      </c>
    </row>
    <row r="1726" customFormat="false" ht="15" hidden="false" customHeight="false" outlineLevel="0" collapsed="false">
      <c r="A1726" s="7" t="s">
        <v>24</v>
      </c>
      <c r="B1726" s="7" t="s">
        <v>816</v>
      </c>
      <c r="C1726" s="7" t="s">
        <v>1214</v>
      </c>
      <c r="D1726" s="7" t="n">
        <v>0</v>
      </c>
      <c r="E1726" s="7" t="n">
        <v>0</v>
      </c>
      <c r="F1726" s="7" t="n">
        <v>12</v>
      </c>
      <c r="G1726" s="7" t="n">
        <v>0</v>
      </c>
    </row>
    <row r="1727" customFormat="false" ht="15" hidden="false" customHeight="false" outlineLevel="0" collapsed="false">
      <c r="A1727" s="7" t="s">
        <v>24</v>
      </c>
      <c r="B1727" s="7" t="s">
        <v>816</v>
      </c>
      <c r="C1727" s="7" t="s">
        <v>1214</v>
      </c>
      <c r="D1727" s="7" t="n">
        <v>0</v>
      </c>
      <c r="E1727" s="7" t="n">
        <v>0</v>
      </c>
      <c r="F1727" s="7" t="n">
        <v>1</v>
      </c>
      <c r="G1727" s="7" t="n">
        <v>0</v>
      </c>
    </row>
    <row r="1728" customFormat="false" ht="15" hidden="false" customHeight="false" outlineLevel="0" collapsed="false">
      <c r="A1728" s="7" t="s">
        <v>24</v>
      </c>
      <c r="B1728" s="7" t="s">
        <v>816</v>
      </c>
      <c r="C1728" s="7" t="s">
        <v>1214</v>
      </c>
      <c r="D1728" s="7" t="n">
        <v>0</v>
      </c>
      <c r="E1728" s="7" t="n">
        <v>0</v>
      </c>
      <c r="F1728" s="7" t="n">
        <v>2</v>
      </c>
      <c r="G1728" s="7" t="n">
        <v>0</v>
      </c>
    </row>
    <row r="1729" customFormat="false" ht="15" hidden="false" customHeight="false" outlineLevel="0" collapsed="false">
      <c r="A1729" s="7" t="s">
        <v>24</v>
      </c>
      <c r="B1729" s="7" t="s">
        <v>816</v>
      </c>
      <c r="C1729" s="7" t="s">
        <v>1214</v>
      </c>
      <c r="D1729" s="7" t="n">
        <v>0</v>
      </c>
      <c r="E1729" s="7" t="n">
        <v>0</v>
      </c>
      <c r="F1729" s="7" t="n">
        <v>1</v>
      </c>
      <c r="G1729" s="7" t="n">
        <v>0</v>
      </c>
    </row>
    <row r="1730" customFormat="false" ht="15" hidden="false" customHeight="false" outlineLevel="0" collapsed="false">
      <c r="A1730" s="7" t="s">
        <v>24</v>
      </c>
      <c r="B1730" s="7" t="s">
        <v>816</v>
      </c>
      <c r="C1730" s="7" t="s">
        <v>1214</v>
      </c>
      <c r="D1730" s="7" t="n">
        <v>0</v>
      </c>
      <c r="E1730" s="7" t="n">
        <v>0</v>
      </c>
      <c r="F1730" s="7" t="n">
        <v>28</v>
      </c>
      <c r="G1730" s="7" t="n">
        <v>0</v>
      </c>
    </row>
    <row r="1731" customFormat="false" ht="15" hidden="false" customHeight="false" outlineLevel="0" collapsed="false">
      <c r="A1731" s="7" t="s">
        <v>24</v>
      </c>
      <c r="B1731" s="7" t="s">
        <v>816</v>
      </c>
      <c r="C1731" s="7" t="s">
        <v>1214</v>
      </c>
      <c r="D1731" s="7" t="n">
        <v>0</v>
      </c>
      <c r="E1731" s="7" t="n">
        <v>0</v>
      </c>
      <c r="F1731" s="7" t="n">
        <v>1</v>
      </c>
      <c r="G1731" s="7" t="n">
        <v>0</v>
      </c>
    </row>
    <row r="1732" customFormat="false" ht="15" hidden="false" customHeight="false" outlineLevel="0" collapsed="false">
      <c r="A1732" s="7" t="s">
        <v>24</v>
      </c>
      <c r="B1732" s="7" t="s">
        <v>816</v>
      </c>
      <c r="C1732" s="7" t="s">
        <v>1214</v>
      </c>
      <c r="D1732" s="7" t="n">
        <v>0</v>
      </c>
      <c r="E1732" s="7" t="n">
        <v>0</v>
      </c>
      <c r="F1732" s="7" t="n">
        <v>1</v>
      </c>
      <c r="G1732" s="7" t="n">
        <v>0</v>
      </c>
    </row>
    <row r="1733" customFormat="false" ht="15" hidden="false" customHeight="false" outlineLevel="0" collapsed="false">
      <c r="A1733" s="7" t="s">
        <v>24</v>
      </c>
      <c r="B1733" s="7" t="s">
        <v>816</v>
      </c>
      <c r="C1733" s="7" t="s">
        <v>1214</v>
      </c>
      <c r="D1733" s="7" t="n">
        <v>0</v>
      </c>
      <c r="E1733" s="7" t="n">
        <v>0</v>
      </c>
      <c r="F1733" s="7" t="n">
        <v>1</v>
      </c>
      <c r="G1733" s="7" t="n">
        <v>0</v>
      </c>
    </row>
    <row r="1734" customFormat="false" ht="15" hidden="false" customHeight="false" outlineLevel="0" collapsed="false">
      <c r="A1734" s="7" t="s">
        <v>24</v>
      </c>
      <c r="B1734" s="7" t="s">
        <v>816</v>
      </c>
      <c r="C1734" s="7" t="s">
        <v>1214</v>
      </c>
      <c r="D1734" s="7" t="n">
        <v>0</v>
      </c>
      <c r="E1734" s="7" t="n">
        <v>0</v>
      </c>
      <c r="F1734" s="7" t="n">
        <v>1</v>
      </c>
      <c r="G1734" s="7" t="n">
        <v>0</v>
      </c>
    </row>
    <row r="1735" customFormat="false" ht="15" hidden="false" customHeight="false" outlineLevel="0" collapsed="false">
      <c r="A1735" s="7" t="s">
        <v>24</v>
      </c>
      <c r="B1735" s="7" t="s">
        <v>816</v>
      </c>
      <c r="C1735" s="7" t="s">
        <v>1214</v>
      </c>
      <c r="D1735" s="7" t="n">
        <v>0</v>
      </c>
      <c r="E1735" s="7" t="n">
        <v>0</v>
      </c>
      <c r="F1735" s="7" t="n">
        <v>1</v>
      </c>
      <c r="G1735" s="7" t="n">
        <v>0</v>
      </c>
    </row>
    <row r="1736" customFormat="false" ht="15" hidden="false" customHeight="false" outlineLevel="0" collapsed="false">
      <c r="A1736" s="7" t="s">
        <v>24</v>
      </c>
      <c r="B1736" s="7" t="s">
        <v>816</v>
      </c>
      <c r="C1736" s="7" t="s">
        <v>1214</v>
      </c>
      <c r="D1736" s="7" t="n">
        <v>0</v>
      </c>
      <c r="E1736" s="7" t="n">
        <v>0</v>
      </c>
      <c r="F1736" s="7" t="n">
        <v>2</v>
      </c>
      <c r="G1736" s="7" t="n">
        <v>0</v>
      </c>
    </row>
    <row r="1737" customFormat="false" ht="15" hidden="false" customHeight="false" outlineLevel="0" collapsed="false">
      <c r="A1737" s="7" t="s">
        <v>24</v>
      </c>
      <c r="B1737" s="7" t="s">
        <v>816</v>
      </c>
      <c r="C1737" s="7" t="s">
        <v>1214</v>
      </c>
      <c r="D1737" s="7" t="n">
        <v>0</v>
      </c>
      <c r="E1737" s="7" t="n">
        <v>0</v>
      </c>
      <c r="F1737" s="7" t="n">
        <v>7</v>
      </c>
      <c r="G1737" s="7" t="n">
        <v>0</v>
      </c>
    </row>
    <row r="1738" customFormat="false" ht="15" hidden="false" customHeight="false" outlineLevel="0" collapsed="false">
      <c r="A1738" s="7" t="s">
        <v>24</v>
      </c>
      <c r="B1738" s="7" t="s">
        <v>816</v>
      </c>
      <c r="C1738" s="7" t="s">
        <v>1214</v>
      </c>
      <c r="D1738" s="7" t="n">
        <v>0</v>
      </c>
      <c r="E1738" s="7" t="n">
        <v>0</v>
      </c>
      <c r="F1738" s="7" t="n">
        <v>1</v>
      </c>
      <c r="G1738" s="7" t="n">
        <v>0</v>
      </c>
    </row>
    <row r="1739" customFormat="false" ht="15" hidden="false" customHeight="false" outlineLevel="0" collapsed="false">
      <c r="A1739" s="7" t="s">
        <v>24</v>
      </c>
      <c r="B1739" s="7" t="s">
        <v>816</v>
      </c>
      <c r="C1739" s="7" t="s">
        <v>1214</v>
      </c>
      <c r="D1739" s="7" t="n">
        <v>0</v>
      </c>
      <c r="E1739" s="7" t="n">
        <v>0</v>
      </c>
      <c r="F1739" s="7" t="n">
        <v>3</v>
      </c>
      <c r="G1739" s="7" t="n">
        <v>0</v>
      </c>
    </row>
    <row r="1740" customFormat="false" ht="15" hidden="false" customHeight="false" outlineLevel="0" collapsed="false">
      <c r="A1740" s="7" t="s">
        <v>24</v>
      </c>
      <c r="B1740" s="7" t="s">
        <v>816</v>
      </c>
      <c r="C1740" s="7" t="s">
        <v>1214</v>
      </c>
      <c r="D1740" s="7" t="n">
        <v>0</v>
      </c>
      <c r="E1740" s="7" t="n">
        <v>0</v>
      </c>
      <c r="F1740" s="7" t="n">
        <v>1</v>
      </c>
      <c r="G1740" s="7" t="n">
        <v>0</v>
      </c>
    </row>
    <row r="1741" customFormat="false" ht="15" hidden="false" customHeight="false" outlineLevel="0" collapsed="false">
      <c r="A1741" s="7" t="s">
        <v>24</v>
      </c>
      <c r="B1741" s="7" t="s">
        <v>816</v>
      </c>
      <c r="C1741" s="7" t="s">
        <v>1214</v>
      </c>
      <c r="D1741" s="7" t="n">
        <v>0</v>
      </c>
      <c r="E1741" s="7" t="n">
        <v>0</v>
      </c>
      <c r="F1741" s="7" t="n">
        <v>2</v>
      </c>
      <c r="G1741" s="7" t="n">
        <v>0</v>
      </c>
    </row>
    <row r="1742" customFormat="false" ht="15" hidden="false" customHeight="false" outlineLevel="0" collapsed="false">
      <c r="A1742" s="7" t="s">
        <v>24</v>
      </c>
      <c r="B1742" s="7" t="s">
        <v>816</v>
      </c>
      <c r="C1742" s="7" t="s">
        <v>1214</v>
      </c>
      <c r="D1742" s="7" t="n">
        <v>0</v>
      </c>
      <c r="E1742" s="7" t="n">
        <v>0</v>
      </c>
      <c r="F1742" s="7" t="n">
        <v>3</v>
      </c>
      <c r="G1742" s="7" t="n">
        <v>0</v>
      </c>
    </row>
    <row r="1743" customFormat="false" ht="15" hidden="false" customHeight="false" outlineLevel="0" collapsed="false">
      <c r="A1743" s="7" t="s">
        <v>24</v>
      </c>
      <c r="B1743" s="7" t="s">
        <v>816</v>
      </c>
      <c r="C1743" s="7" t="s">
        <v>1214</v>
      </c>
      <c r="D1743" s="7" t="n">
        <v>0</v>
      </c>
      <c r="E1743" s="7" t="n">
        <v>0</v>
      </c>
      <c r="F1743" s="7" t="n">
        <v>1</v>
      </c>
      <c r="G1743" s="7" t="n">
        <v>0</v>
      </c>
    </row>
    <row r="1744" customFormat="false" ht="15" hidden="false" customHeight="false" outlineLevel="0" collapsed="false">
      <c r="A1744" s="7" t="s">
        <v>24</v>
      </c>
      <c r="B1744" s="7" t="s">
        <v>816</v>
      </c>
      <c r="C1744" s="7" t="s">
        <v>1214</v>
      </c>
      <c r="D1744" s="7" t="n">
        <v>0</v>
      </c>
      <c r="E1744" s="7" t="n">
        <v>0</v>
      </c>
      <c r="F1744" s="7" t="n">
        <v>1</v>
      </c>
      <c r="G1744" s="7" t="n">
        <v>0</v>
      </c>
    </row>
    <row r="1745" customFormat="false" ht="15" hidden="false" customHeight="false" outlineLevel="0" collapsed="false">
      <c r="A1745" s="7" t="s">
        <v>24</v>
      </c>
      <c r="B1745" s="7" t="s">
        <v>816</v>
      </c>
      <c r="C1745" s="7" t="s">
        <v>1214</v>
      </c>
      <c r="D1745" s="7" t="n">
        <v>0</v>
      </c>
      <c r="E1745" s="7" t="n">
        <v>0</v>
      </c>
      <c r="F1745" s="7" t="n">
        <v>1</v>
      </c>
      <c r="G1745" s="7" t="n">
        <v>0</v>
      </c>
    </row>
    <row r="1746" customFormat="false" ht="15" hidden="false" customHeight="false" outlineLevel="0" collapsed="false">
      <c r="A1746" s="7" t="s">
        <v>24</v>
      </c>
      <c r="B1746" s="7" t="s">
        <v>816</v>
      </c>
      <c r="C1746" s="7" t="s">
        <v>1214</v>
      </c>
      <c r="D1746" s="7" t="n">
        <v>0</v>
      </c>
      <c r="E1746" s="7" t="n">
        <v>0</v>
      </c>
      <c r="F1746" s="7" t="n">
        <v>1</v>
      </c>
      <c r="G1746" s="7" t="n">
        <v>0</v>
      </c>
    </row>
    <row r="1747" customFormat="false" ht="15" hidden="false" customHeight="false" outlineLevel="0" collapsed="false">
      <c r="A1747" s="7" t="s">
        <v>24</v>
      </c>
      <c r="B1747" s="7" t="s">
        <v>816</v>
      </c>
      <c r="C1747" s="7" t="s">
        <v>1214</v>
      </c>
      <c r="D1747" s="7" t="n">
        <v>0</v>
      </c>
      <c r="E1747" s="7" t="n">
        <v>0</v>
      </c>
      <c r="F1747" s="7" t="n">
        <v>1</v>
      </c>
      <c r="G1747" s="7" t="n">
        <v>0</v>
      </c>
    </row>
    <row r="1748" customFormat="false" ht="15" hidden="false" customHeight="false" outlineLevel="0" collapsed="false">
      <c r="A1748" s="7" t="s">
        <v>24</v>
      </c>
      <c r="B1748" s="7" t="s">
        <v>816</v>
      </c>
      <c r="C1748" s="7" t="s">
        <v>1214</v>
      </c>
      <c r="D1748" s="7" t="n">
        <v>0</v>
      </c>
      <c r="E1748" s="7" t="n">
        <v>0</v>
      </c>
      <c r="F1748" s="7" t="n">
        <v>1</v>
      </c>
      <c r="G1748" s="7" t="n">
        <v>0</v>
      </c>
    </row>
    <row r="1749" customFormat="false" ht="15" hidden="false" customHeight="false" outlineLevel="0" collapsed="false">
      <c r="A1749" s="7" t="s">
        <v>24</v>
      </c>
      <c r="B1749" s="7" t="s">
        <v>816</v>
      </c>
      <c r="C1749" s="7" t="s">
        <v>1214</v>
      </c>
      <c r="D1749" s="7" t="n">
        <v>0</v>
      </c>
      <c r="E1749" s="7" t="n">
        <v>0</v>
      </c>
      <c r="F1749" s="7" t="n">
        <v>1</v>
      </c>
      <c r="G1749" s="7" t="n">
        <v>0</v>
      </c>
    </row>
    <row r="1750" customFormat="false" ht="15" hidden="false" customHeight="false" outlineLevel="0" collapsed="false">
      <c r="A1750" s="7" t="s">
        <v>24</v>
      </c>
      <c r="B1750" s="7" t="s">
        <v>816</v>
      </c>
      <c r="C1750" s="7" t="s">
        <v>1214</v>
      </c>
      <c r="D1750" s="7" t="n">
        <v>0</v>
      </c>
      <c r="E1750" s="7" t="n">
        <v>0</v>
      </c>
      <c r="F1750" s="7" t="n">
        <v>1</v>
      </c>
      <c r="G1750" s="7" t="n">
        <v>0</v>
      </c>
    </row>
    <row r="1751" customFormat="false" ht="15" hidden="false" customHeight="false" outlineLevel="0" collapsed="false">
      <c r="A1751" s="7" t="s">
        <v>24</v>
      </c>
      <c r="B1751" s="7" t="s">
        <v>816</v>
      </c>
      <c r="C1751" s="7" t="s">
        <v>1214</v>
      </c>
      <c r="D1751" s="7" t="n">
        <v>0</v>
      </c>
      <c r="E1751" s="7" t="n">
        <v>0</v>
      </c>
      <c r="F1751" s="7" t="n">
        <v>1</v>
      </c>
      <c r="G1751" s="7" t="n">
        <v>0</v>
      </c>
    </row>
    <row r="1752" customFormat="false" ht="15" hidden="false" customHeight="false" outlineLevel="0" collapsed="false">
      <c r="A1752" s="7" t="s">
        <v>24</v>
      </c>
      <c r="B1752" s="7" t="s">
        <v>816</v>
      </c>
      <c r="C1752" s="7" t="s">
        <v>1214</v>
      </c>
      <c r="D1752" s="7" t="n">
        <v>0</v>
      </c>
      <c r="E1752" s="7" t="n">
        <v>0</v>
      </c>
      <c r="F1752" s="7" t="n">
        <v>8</v>
      </c>
      <c r="G1752" s="7" t="n">
        <v>0</v>
      </c>
    </row>
    <row r="1753" customFormat="false" ht="15" hidden="false" customHeight="false" outlineLevel="0" collapsed="false">
      <c r="A1753" s="7" t="s">
        <v>24</v>
      </c>
      <c r="B1753" s="7" t="s">
        <v>816</v>
      </c>
      <c r="C1753" s="7" t="s">
        <v>1214</v>
      </c>
      <c r="D1753" s="7" t="n">
        <v>0</v>
      </c>
      <c r="E1753" s="7" t="n">
        <v>0</v>
      </c>
      <c r="F1753" s="7" t="n">
        <v>1</v>
      </c>
      <c r="G1753" s="7" t="n">
        <v>0</v>
      </c>
    </row>
    <row r="1754" customFormat="false" ht="15" hidden="false" customHeight="false" outlineLevel="0" collapsed="false">
      <c r="A1754" s="7" t="s">
        <v>24</v>
      </c>
      <c r="B1754" s="7" t="s">
        <v>816</v>
      </c>
      <c r="C1754" s="7" t="s">
        <v>1214</v>
      </c>
      <c r="D1754" s="7" t="n">
        <v>0</v>
      </c>
      <c r="E1754" s="7" t="n">
        <v>0</v>
      </c>
      <c r="F1754" s="7" t="n">
        <v>1</v>
      </c>
      <c r="G1754" s="7" t="n">
        <v>0</v>
      </c>
    </row>
    <row r="1755" customFormat="false" ht="15" hidden="false" customHeight="false" outlineLevel="0" collapsed="false">
      <c r="A1755" s="7" t="s">
        <v>24</v>
      </c>
      <c r="B1755" s="7" t="s">
        <v>816</v>
      </c>
      <c r="C1755" s="7" t="s">
        <v>1214</v>
      </c>
      <c r="D1755" s="7" t="n">
        <v>0</v>
      </c>
      <c r="E1755" s="7" t="n">
        <v>0</v>
      </c>
      <c r="F1755" s="7" t="n">
        <v>1</v>
      </c>
      <c r="G1755" s="7" t="n">
        <v>0</v>
      </c>
    </row>
    <row r="1756" customFormat="false" ht="15" hidden="false" customHeight="false" outlineLevel="0" collapsed="false">
      <c r="A1756" s="7" t="s">
        <v>24</v>
      </c>
      <c r="B1756" s="7" t="s">
        <v>816</v>
      </c>
      <c r="C1756" s="7" t="s">
        <v>1214</v>
      </c>
      <c r="D1756" s="7" t="n">
        <v>0</v>
      </c>
      <c r="E1756" s="7" t="n">
        <v>0</v>
      </c>
      <c r="F1756" s="7" t="n">
        <v>1</v>
      </c>
      <c r="G1756" s="7" t="n">
        <v>0</v>
      </c>
    </row>
    <row r="1757" customFormat="false" ht="15" hidden="false" customHeight="false" outlineLevel="0" collapsed="false">
      <c r="A1757" s="7" t="s">
        <v>24</v>
      </c>
      <c r="B1757" s="7" t="s">
        <v>816</v>
      </c>
      <c r="C1757" s="7" t="s">
        <v>1214</v>
      </c>
      <c r="D1757" s="7" t="n">
        <v>0</v>
      </c>
      <c r="E1757" s="7" t="n">
        <v>0</v>
      </c>
      <c r="F1757" s="7" t="n">
        <v>1</v>
      </c>
      <c r="G1757" s="7" t="n">
        <v>0</v>
      </c>
    </row>
    <row r="1758" customFormat="false" ht="15" hidden="false" customHeight="false" outlineLevel="0" collapsed="false">
      <c r="A1758" s="7" t="s">
        <v>24</v>
      </c>
      <c r="B1758" s="7" t="s">
        <v>816</v>
      </c>
      <c r="C1758" s="7" t="s">
        <v>1214</v>
      </c>
      <c r="D1758" s="7" t="n">
        <v>0</v>
      </c>
      <c r="E1758" s="7" t="n">
        <v>0</v>
      </c>
      <c r="F1758" s="7" t="n">
        <v>1</v>
      </c>
      <c r="G1758" s="7" t="n">
        <v>0</v>
      </c>
    </row>
    <row r="1759" customFormat="false" ht="15" hidden="false" customHeight="false" outlineLevel="0" collapsed="false">
      <c r="A1759" s="7" t="s">
        <v>24</v>
      </c>
      <c r="B1759" s="7" t="s">
        <v>816</v>
      </c>
      <c r="C1759" s="7" t="s">
        <v>1214</v>
      </c>
      <c r="D1759" s="7" t="n">
        <v>0</v>
      </c>
      <c r="E1759" s="7" t="n">
        <v>0</v>
      </c>
      <c r="F1759" s="7" t="n">
        <v>1</v>
      </c>
      <c r="G1759" s="7" t="n">
        <v>0</v>
      </c>
    </row>
    <row r="1760" customFormat="false" ht="15" hidden="false" customHeight="false" outlineLevel="0" collapsed="false">
      <c r="A1760" s="7" t="s">
        <v>24</v>
      </c>
      <c r="B1760" s="7" t="s">
        <v>816</v>
      </c>
      <c r="C1760" s="7" t="s">
        <v>1214</v>
      </c>
      <c r="D1760" s="7" t="n">
        <v>0</v>
      </c>
      <c r="E1760" s="7" t="n">
        <v>0</v>
      </c>
      <c r="F1760" s="7" t="n">
        <v>40</v>
      </c>
      <c r="G1760" s="7" t="n">
        <v>0</v>
      </c>
    </row>
    <row r="1761" customFormat="false" ht="15" hidden="false" customHeight="false" outlineLevel="0" collapsed="false">
      <c r="A1761" s="7" t="s">
        <v>24</v>
      </c>
      <c r="B1761" s="7" t="s">
        <v>816</v>
      </c>
      <c r="C1761" s="7" t="s">
        <v>1214</v>
      </c>
      <c r="D1761" s="7" t="n">
        <v>0</v>
      </c>
      <c r="E1761" s="7" t="n">
        <v>0</v>
      </c>
      <c r="F1761" s="7" t="n">
        <v>6</v>
      </c>
      <c r="G1761" s="7" t="n">
        <v>0</v>
      </c>
    </row>
    <row r="1762" customFormat="false" ht="15" hidden="false" customHeight="false" outlineLevel="0" collapsed="false">
      <c r="A1762" s="7" t="s">
        <v>24</v>
      </c>
      <c r="B1762" s="7" t="s">
        <v>816</v>
      </c>
      <c r="C1762" s="7" t="s">
        <v>1214</v>
      </c>
      <c r="D1762" s="7" t="n">
        <v>0</v>
      </c>
      <c r="E1762" s="7" t="n">
        <v>0</v>
      </c>
      <c r="F1762" s="7" t="n">
        <v>1</v>
      </c>
      <c r="G1762" s="7" t="n">
        <v>0</v>
      </c>
    </row>
    <row r="1763" customFormat="false" ht="15" hidden="false" customHeight="false" outlineLevel="0" collapsed="false">
      <c r="A1763" s="7" t="s">
        <v>24</v>
      </c>
      <c r="B1763" s="7" t="s">
        <v>816</v>
      </c>
      <c r="C1763" s="7" t="s">
        <v>1214</v>
      </c>
      <c r="D1763" s="7" t="n">
        <v>0</v>
      </c>
      <c r="E1763" s="7" t="n">
        <v>0</v>
      </c>
      <c r="F1763" s="7" t="n">
        <v>1</v>
      </c>
      <c r="G1763" s="7" t="n">
        <v>0</v>
      </c>
    </row>
    <row r="1764" customFormat="false" ht="15" hidden="false" customHeight="false" outlineLevel="0" collapsed="false">
      <c r="A1764" s="7" t="s">
        <v>24</v>
      </c>
      <c r="B1764" s="7" t="s">
        <v>816</v>
      </c>
      <c r="C1764" s="7" t="s">
        <v>1214</v>
      </c>
      <c r="D1764" s="7" t="n">
        <v>0</v>
      </c>
      <c r="E1764" s="7" t="n">
        <v>0</v>
      </c>
      <c r="F1764" s="7" t="n">
        <v>12</v>
      </c>
      <c r="G1764" s="7" t="n">
        <v>0</v>
      </c>
    </row>
    <row r="1765" customFormat="false" ht="15" hidden="false" customHeight="false" outlineLevel="0" collapsed="false">
      <c r="A1765" s="7" t="s">
        <v>24</v>
      </c>
      <c r="B1765" s="7" t="s">
        <v>816</v>
      </c>
      <c r="C1765" s="7" t="s">
        <v>1214</v>
      </c>
      <c r="D1765" s="7" t="n">
        <v>0</v>
      </c>
      <c r="E1765" s="7" t="n">
        <v>0</v>
      </c>
      <c r="F1765" s="7" t="n">
        <v>1</v>
      </c>
      <c r="G1765" s="7" t="n">
        <v>0</v>
      </c>
    </row>
    <row r="1766" customFormat="false" ht="15" hidden="false" customHeight="false" outlineLevel="0" collapsed="false">
      <c r="A1766" s="7" t="s">
        <v>24</v>
      </c>
      <c r="B1766" s="7" t="s">
        <v>816</v>
      </c>
      <c r="C1766" s="7" t="s">
        <v>1214</v>
      </c>
      <c r="D1766" s="7" t="n">
        <v>0</v>
      </c>
      <c r="E1766" s="7" t="n">
        <v>0</v>
      </c>
      <c r="F1766" s="7" t="n">
        <v>1</v>
      </c>
      <c r="G1766" s="7" t="n">
        <v>0</v>
      </c>
    </row>
    <row r="1767" customFormat="false" ht="15" hidden="false" customHeight="false" outlineLevel="0" collapsed="false">
      <c r="A1767" s="7" t="s">
        <v>24</v>
      </c>
      <c r="B1767" s="7" t="s">
        <v>816</v>
      </c>
      <c r="C1767" s="7" t="s">
        <v>1214</v>
      </c>
      <c r="D1767" s="7" t="n">
        <v>0</v>
      </c>
      <c r="E1767" s="7" t="n">
        <v>0</v>
      </c>
      <c r="F1767" s="7" t="n">
        <v>2</v>
      </c>
      <c r="G1767" s="7" t="n">
        <v>0</v>
      </c>
    </row>
    <row r="1768" customFormat="false" ht="15" hidden="false" customHeight="false" outlineLevel="0" collapsed="false">
      <c r="A1768" s="7" t="s">
        <v>24</v>
      </c>
      <c r="B1768" s="7" t="s">
        <v>816</v>
      </c>
      <c r="C1768" s="7" t="s">
        <v>1214</v>
      </c>
      <c r="D1768" s="7" t="n">
        <v>0</v>
      </c>
      <c r="E1768" s="7" t="n">
        <v>0</v>
      </c>
      <c r="F1768" s="7" t="n">
        <v>2</v>
      </c>
      <c r="G1768" s="7" t="n">
        <v>0</v>
      </c>
    </row>
    <row r="1769" customFormat="false" ht="15" hidden="false" customHeight="false" outlineLevel="0" collapsed="false">
      <c r="A1769" s="7" t="s">
        <v>24</v>
      </c>
      <c r="B1769" s="7" t="s">
        <v>816</v>
      </c>
      <c r="C1769" s="7" t="s">
        <v>1214</v>
      </c>
      <c r="D1769" s="7" t="n">
        <v>0</v>
      </c>
      <c r="E1769" s="7" t="n">
        <v>0</v>
      </c>
      <c r="F1769" s="7" t="n">
        <v>7</v>
      </c>
      <c r="G1769" s="7" t="n">
        <v>0</v>
      </c>
    </row>
    <row r="1770" customFormat="false" ht="15" hidden="false" customHeight="false" outlineLevel="0" collapsed="false">
      <c r="A1770" s="7" t="s">
        <v>24</v>
      </c>
      <c r="B1770" s="7" t="s">
        <v>816</v>
      </c>
      <c r="C1770" s="7" t="s">
        <v>1214</v>
      </c>
      <c r="D1770" s="7" t="n">
        <v>0</v>
      </c>
      <c r="E1770" s="7" t="n">
        <v>0</v>
      </c>
      <c r="F1770" s="7" t="n">
        <v>1</v>
      </c>
      <c r="G1770" s="7" t="n">
        <v>0</v>
      </c>
    </row>
    <row r="1771" customFormat="false" ht="15" hidden="false" customHeight="false" outlineLevel="0" collapsed="false">
      <c r="A1771" s="7" t="s">
        <v>24</v>
      </c>
      <c r="B1771" s="7" t="s">
        <v>816</v>
      </c>
      <c r="C1771" s="7" t="s">
        <v>1214</v>
      </c>
      <c r="D1771" s="7" t="n">
        <v>0</v>
      </c>
      <c r="E1771" s="7" t="n">
        <v>0</v>
      </c>
      <c r="F1771" s="7" t="n">
        <v>1</v>
      </c>
      <c r="G1771" s="7" t="n">
        <v>0</v>
      </c>
    </row>
    <row r="1772" customFormat="false" ht="15" hidden="false" customHeight="false" outlineLevel="0" collapsed="false">
      <c r="A1772" s="7" t="s">
        <v>24</v>
      </c>
      <c r="B1772" s="7" t="s">
        <v>816</v>
      </c>
      <c r="C1772" s="7" t="s">
        <v>1214</v>
      </c>
      <c r="D1772" s="7" t="n">
        <v>0</v>
      </c>
      <c r="E1772" s="7" t="n">
        <v>0</v>
      </c>
      <c r="F1772" s="7" t="n">
        <v>1</v>
      </c>
      <c r="G1772" s="7" t="n">
        <v>0</v>
      </c>
    </row>
    <row r="1773" customFormat="false" ht="15" hidden="false" customHeight="false" outlineLevel="0" collapsed="false">
      <c r="A1773" s="7" t="s">
        <v>24</v>
      </c>
      <c r="B1773" s="7" t="s">
        <v>816</v>
      </c>
      <c r="C1773" s="7" t="s">
        <v>1214</v>
      </c>
      <c r="D1773" s="7" t="n">
        <v>0</v>
      </c>
      <c r="E1773" s="7" t="n">
        <v>0</v>
      </c>
      <c r="F1773" s="7" t="n">
        <v>1</v>
      </c>
      <c r="G1773" s="7" t="n">
        <v>0</v>
      </c>
    </row>
    <row r="1774" customFormat="false" ht="15" hidden="false" customHeight="false" outlineLevel="0" collapsed="false">
      <c r="A1774" s="7" t="s">
        <v>24</v>
      </c>
      <c r="B1774" s="7" t="s">
        <v>816</v>
      </c>
      <c r="C1774" s="7" t="s">
        <v>1214</v>
      </c>
      <c r="D1774" s="7" t="n">
        <v>0</v>
      </c>
      <c r="E1774" s="7" t="n">
        <v>0</v>
      </c>
      <c r="F1774" s="7" t="n">
        <v>6</v>
      </c>
      <c r="G1774" s="7" t="n">
        <v>0</v>
      </c>
    </row>
    <row r="1775" customFormat="false" ht="15" hidden="false" customHeight="false" outlineLevel="0" collapsed="false">
      <c r="A1775" s="7" t="s">
        <v>24</v>
      </c>
      <c r="B1775" s="7" t="s">
        <v>816</v>
      </c>
      <c r="C1775" s="7" t="s">
        <v>1214</v>
      </c>
      <c r="D1775" s="7" t="n">
        <v>0</v>
      </c>
      <c r="E1775" s="7" t="n">
        <v>0</v>
      </c>
      <c r="F1775" s="7" t="n">
        <v>1</v>
      </c>
      <c r="G1775" s="7" t="n">
        <v>0</v>
      </c>
    </row>
    <row r="1776" customFormat="false" ht="15" hidden="false" customHeight="false" outlineLevel="0" collapsed="false">
      <c r="A1776" s="7" t="s">
        <v>24</v>
      </c>
      <c r="B1776" s="7" t="s">
        <v>816</v>
      </c>
      <c r="C1776" s="7" t="s">
        <v>1214</v>
      </c>
      <c r="D1776" s="7" t="n">
        <v>0</v>
      </c>
      <c r="E1776" s="7" t="n">
        <v>0</v>
      </c>
      <c r="F1776" s="7" t="n">
        <v>1</v>
      </c>
      <c r="G1776" s="7" t="n">
        <v>0</v>
      </c>
    </row>
    <row r="1777" customFormat="false" ht="15" hidden="false" customHeight="false" outlineLevel="0" collapsed="false">
      <c r="A1777" s="7" t="s">
        <v>24</v>
      </c>
      <c r="B1777" s="7" t="s">
        <v>816</v>
      </c>
      <c r="C1777" s="7" t="s">
        <v>1214</v>
      </c>
      <c r="D1777" s="7" t="n">
        <v>0</v>
      </c>
      <c r="E1777" s="7" t="n">
        <v>0</v>
      </c>
      <c r="F1777" s="7" t="n">
        <v>1</v>
      </c>
      <c r="G1777" s="7" t="n">
        <v>0</v>
      </c>
    </row>
    <row r="1778" customFormat="false" ht="15" hidden="false" customHeight="false" outlineLevel="0" collapsed="false">
      <c r="A1778" s="7" t="s">
        <v>24</v>
      </c>
      <c r="B1778" s="7" t="s">
        <v>816</v>
      </c>
      <c r="C1778" s="7" t="s">
        <v>1214</v>
      </c>
      <c r="D1778" s="7" t="n">
        <v>0</v>
      </c>
      <c r="E1778" s="7" t="n">
        <v>0</v>
      </c>
      <c r="F1778" s="7" t="n">
        <v>1</v>
      </c>
      <c r="G1778" s="7" t="n">
        <v>0</v>
      </c>
    </row>
    <row r="1779" customFormat="false" ht="15" hidden="false" customHeight="false" outlineLevel="0" collapsed="false">
      <c r="A1779" s="7" t="s">
        <v>24</v>
      </c>
      <c r="B1779" s="7" t="s">
        <v>816</v>
      </c>
      <c r="C1779" s="7" t="s">
        <v>1214</v>
      </c>
      <c r="D1779" s="7" t="n">
        <v>0</v>
      </c>
      <c r="E1779" s="7" t="n">
        <v>0</v>
      </c>
      <c r="F1779" s="7" t="n">
        <v>2</v>
      </c>
      <c r="G1779" s="7" t="n">
        <v>0</v>
      </c>
    </row>
    <row r="1780" customFormat="false" ht="15" hidden="false" customHeight="false" outlineLevel="0" collapsed="false">
      <c r="A1780" s="7" t="s">
        <v>24</v>
      </c>
      <c r="B1780" s="7" t="s">
        <v>816</v>
      </c>
      <c r="C1780" s="7" t="s">
        <v>1214</v>
      </c>
      <c r="D1780" s="7" t="n">
        <v>0</v>
      </c>
      <c r="E1780" s="7" t="n">
        <v>0</v>
      </c>
      <c r="F1780" s="7" t="n">
        <v>1</v>
      </c>
      <c r="G1780" s="7" t="n">
        <v>0</v>
      </c>
    </row>
    <row r="1781" customFormat="false" ht="15" hidden="false" customHeight="false" outlineLevel="0" collapsed="false">
      <c r="A1781" s="7" t="s">
        <v>24</v>
      </c>
      <c r="B1781" s="7" t="s">
        <v>816</v>
      </c>
      <c r="C1781" s="7" t="s">
        <v>1214</v>
      </c>
      <c r="D1781" s="7" t="n">
        <v>0</v>
      </c>
      <c r="E1781" s="7" t="n">
        <v>0</v>
      </c>
      <c r="F1781" s="7" t="n">
        <v>1</v>
      </c>
      <c r="G1781" s="7" t="n">
        <v>0</v>
      </c>
    </row>
    <row r="1782" customFormat="false" ht="15" hidden="false" customHeight="false" outlineLevel="0" collapsed="false">
      <c r="A1782" s="7" t="s">
        <v>24</v>
      </c>
      <c r="B1782" s="7" t="s">
        <v>816</v>
      </c>
      <c r="C1782" s="7" t="s">
        <v>1214</v>
      </c>
      <c r="D1782" s="7" t="n">
        <v>0</v>
      </c>
      <c r="E1782" s="7" t="n">
        <v>0</v>
      </c>
      <c r="F1782" s="7" t="n">
        <v>1</v>
      </c>
      <c r="G1782" s="7" t="n">
        <v>0</v>
      </c>
    </row>
    <row r="1783" customFormat="false" ht="15" hidden="false" customHeight="false" outlineLevel="0" collapsed="false">
      <c r="A1783" s="7" t="s">
        <v>24</v>
      </c>
      <c r="B1783" s="7" t="s">
        <v>816</v>
      </c>
      <c r="C1783" s="7" t="s">
        <v>1214</v>
      </c>
      <c r="D1783" s="7" t="n">
        <v>0</v>
      </c>
      <c r="E1783" s="7" t="n">
        <v>0</v>
      </c>
      <c r="F1783" s="7" t="n">
        <v>3</v>
      </c>
      <c r="G1783" s="7" t="n">
        <v>0</v>
      </c>
    </row>
    <row r="1784" customFormat="false" ht="15" hidden="false" customHeight="false" outlineLevel="0" collapsed="false">
      <c r="A1784" s="7" t="s">
        <v>24</v>
      </c>
      <c r="B1784" s="7" t="s">
        <v>816</v>
      </c>
      <c r="C1784" s="7" t="s">
        <v>1214</v>
      </c>
      <c r="D1784" s="7" t="n">
        <v>0</v>
      </c>
      <c r="E1784" s="7" t="n">
        <v>0</v>
      </c>
      <c r="F1784" s="7" t="n">
        <v>1</v>
      </c>
      <c r="G1784" s="7" t="n">
        <v>0</v>
      </c>
    </row>
    <row r="1785" customFormat="false" ht="15" hidden="false" customHeight="false" outlineLevel="0" collapsed="false">
      <c r="A1785" s="7" t="s">
        <v>24</v>
      </c>
      <c r="B1785" s="7" t="s">
        <v>816</v>
      </c>
      <c r="C1785" s="7" t="s">
        <v>1214</v>
      </c>
      <c r="D1785" s="7" t="n">
        <v>0</v>
      </c>
      <c r="E1785" s="7" t="n">
        <v>0</v>
      </c>
      <c r="F1785" s="7" t="n">
        <v>1</v>
      </c>
      <c r="G1785" s="7" t="n">
        <v>0</v>
      </c>
    </row>
    <row r="1786" customFormat="false" ht="15" hidden="false" customHeight="false" outlineLevel="0" collapsed="false">
      <c r="A1786" s="7" t="s">
        <v>24</v>
      </c>
      <c r="B1786" s="7" t="s">
        <v>816</v>
      </c>
      <c r="C1786" s="7" t="s">
        <v>1214</v>
      </c>
      <c r="D1786" s="7" t="n">
        <v>0</v>
      </c>
      <c r="E1786" s="7" t="n">
        <v>0</v>
      </c>
      <c r="F1786" s="7" t="n">
        <v>2</v>
      </c>
      <c r="G1786" s="7" t="n">
        <v>0</v>
      </c>
    </row>
    <row r="1787" customFormat="false" ht="15" hidden="false" customHeight="false" outlineLevel="0" collapsed="false">
      <c r="A1787" s="7" t="s">
        <v>24</v>
      </c>
      <c r="B1787" s="7" t="s">
        <v>816</v>
      </c>
      <c r="C1787" s="7" t="s">
        <v>1214</v>
      </c>
      <c r="D1787" s="7" t="n">
        <v>0</v>
      </c>
      <c r="E1787" s="7" t="n">
        <v>0</v>
      </c>
      <c r="F1787" s="7" t="n">
        <v>7</v>
      </c>
      <c r="G1787" s="7" t="n">
        <v>0</v>
      </c>
    </row>
    <row r="1788" customFormat="false" ht="15" hidden="false" customHeight="false" outlineLevel="0" collapsed="false">
      <c r="A1788" s="7" t="s">
        <v>24</v>
      </c>
      <c r="B1788" s="7" t="s">
        <v>816</v>
      </c>
      <c r="C1788" s="7" t="s">
        <v>1214</v>
      </c>
      <c r="D1788" s="7" t="n">
        <v>0</v>
      </c>
      <c r="E1788" s="7" t="n">
        <v>0</v>
      </c>
      <c r="F1788" s="7" t="n">
        <v>2</v>
      </c>
      <c r="G1788" s="7" t="n">
        <v>0</v>
      </c>
    </row>
    <row r="1789" customFormat="false" ht="15" hidden="false" customHeight="false" outlineLevel="0" collapsed="false">
      <c r="A1789" s="7" t="s">
        <v>24</v>
      </c>
      <c r="B1789" s="7" t="s">
        <v>816</v>
      </c>
      <c r="C1789" s="7" t="s">
        <v>1214</v>
      </c>
      <c r="D1789" s="7" t="n">
        <v>0</v>
      </c>
      <c r="E1789" s="7" t="n">
        <v>0</v>
      </c>
      <c r="F1789" s="7" t="n">
        <v>4</v>
      </c>
      <c r="G1789" s="7" t="n">
        <v>0</v>
      </c>
    </row>
    <row r="1790" customFormat="false" ht="15" hidden="false" customHeight="false" outlineLevel="0" collapsed="false">
      <c r="A1790" s="7" t="s">
        <v>24</v>
      </c>
      <c r="B1790" s="7" t="s">
        <v>816</v>
      </c>
      <c r="C1790" s="7" t="s">
        <v>1214</v>
      </c>
      <c r="D1790" s="7" t="n">
        <v>0</v>
      </c>
      <c r="E1790" s="7" t="n">
        <v>0</v>
      </c>
      <c r="F1790" s="7" t="n">
        <v>13</v>
      </c>
      <c r="G1790" s="7" t="n">
        <v>0</v>
      </c>
    </row>
    <row r="1791" customFormat="false" ht="15" hidden="false" customHeight="false" outlineLevel="0" collapsed="false">
      <c r="A1791" s="7" t="s">
        <v>24</v>
      </c>
      <c r="B1791" s="7" t="s">
        <v>816</v>
      </c>
      <c r="C1791" s="7" t="s">
        <v>1214</v>
      </c>
      <c r="D1791" s="7" t="n">
        <v>0</v>
      </c>
      <c r="E1791" s="7" t="n">
        <v>0</v>
      </c>
      <c r="F1791" s="7" t="n">
        <v>2</v>
      </c>
      <c r="G1791" s="7" t="n">
        <v>0</v>
      </c>
    </row>
    <row r="1792" customFormat="false" ht="15" hidden="false" customHeight="false" outlineLevel="0" collapsed="false">
      <c r="A1792" s="7" t="s">
        <v>24</v>
      </c>
      <c r="B1792" s="7" t="s">
        <v>816</v>
      </c>
      <c r="C1792" s="7" t="s">
        <v>1214</v>
      </c>
      <c r="D1792" s="7" t="n">
        <v>0</v>
      </c>
      <c r="E1792" s="7" t="n">
        <v>0</v>
      </c>
      <c r="F1792" s="7" t="n">
        <v>1</v>
      </c>
      <c r="G1792" s="7" t="n">
        <v>0</v>
      </c>
    </row>
    <row r="1793" customFormat="false" ht="15" hidden="false" customHeight="false" outlineLevel="0" collapsed="false">
      <c r="A1793" s="7" t="s">
        <v>24</v>
      </c>
      <c r="B1793" s="7" t="s">
        <v>816</v>
      </c>
      <c r="C1793" s="7" t="s">
        <v>1214</v>
      </c>
      <c r="D1793" s="7" t="n">
        <v>0</v>
      </c>
      <c r="E1793" s="7" t="n">
        <v>0</v>
      </c>
      <c r="F1793" s="7" t="n">
        <v>1</v>
      </c>
      <c r="G1793" s="7" t="n">
        <v>0</v>
      </c>
    </row>
    <row r="1794" customFormat="false" ht="15" hidden="false" customHeight="false" outlineLevel="0" collapsed="false">
      <c r="A1794" s="7" t="s">
        <v>24</v>
      </c>
      <c r="B1794" s="7" t="s">
        <v>816</v>
      </c>
      <c r="C1794" s="7" t="s">
        <v>1214</v>
      </c>
      <c r="D1794" s="7" t="n">
        <v>0</v>
      </c>
      <c r="E1794" s="7" t="n">
        <v>0</v>
      </c>
      <c r="F1794" s="7" t="n">
        <v>1</v>
      </c>
      <c r="G1794" s="7" t="n">
        <v>0</v>
      </c>
    </row>
    <row r="1795" customFormat="false" ht="15" hidden="false" customHeight="false" outlineLevel="0" collapsed="false">
      <c r="A1795" s="7" t="s">
        <v>24</v>
      </c>
      <c r="B1795" s="7" t="s">
        <v>816</v>
      </c>
      <c r="C1795" s="7" t="s">
        <v>1214</v>
      </c>
      <c r="D1795" s="7" t="n">
        <v>0</v>
      </c>
      <c r="E1795" s="7" t="n">
        <v>0</v>
      </c>
      <c r="F1795" s="7" t="n">
        <v>1</v>
      </c>
      <c r="G1795" s="7" t="n">
        <v>0</v>
      </c>
    </row>
    <row r="1796" customFormat="false" ht="15" hidden="false" customHeight="false" outlineLevel="0" collapsed="false">
      <c r="A1796" s="7" t="s">
        <v>24</v>
      </c>
      <c r="B1796" s="7" t="s">
        <v>816</v>
      </c>
      <c r="C1796" s="7" t="s">
        <v>1214</v>
      </c>
      <c r="D1796" s="7" t="n">
        <v>0</v>
      </c>
      <c r="E1796" s="7" t="n">
        <v>0</v>
      </c>
      <c r="F1796" s="7" t="n">
        <v>16</v>
      </c>
      <c r="G1796" s="7" t="n">
        <v>0</v>
      </c>
    </row>
    <row r="1797" customFormat="false" ht="15" hidden="false" customHeight="false" outlineLevel="0" collapsed="false">
      <c r="A1797" s="7" t="s">
        <v>24</v>
      </c>
      <c r="B1797" s="7" t="s">
        <v>816</v>
      </c>
      <c r="C1797" s="7" t="s">
        <v>1214</v>
      </c>
      <c r="D1797" s="7" t="n">
        <v>0</v>
      </c>
      <c r="E1797" s="7" t="n">
        <v>0</v>
      </c>
      <c r="F1797" s="7" t="n">
        <v>4</v>
      </c>
      <c r="G1797" s="7" t="n">
        <v>0</v>
      </c>
    </row>
    <row r="1798" customFormat="false" ht="15" hidden="false" customHeight="false" outlineLevel="0" collapsed="false">
      <c r="A1798" s="7" t="s">
        <v>24</v>
      </c>
      <c r="B1798" s="7" t="s">
        <v>816</v>
      </c>
      <c r="C1798" s="7" t="s">
        <v>1214</v>
      </c>
      <c r="D1798" s="7" t="n">
        <v>0</v>
      </c>
      <c r="E1798" s="7" t="n">
        <v>0</v>
      </c>
      <c r="F1798" s="7" t="n">
        <v>1</v>
      </c>
      <c r="G1798" s="7" t="n">
        <v>0</v>
      </c>
    </row>
    <row r="1799" customFormat="false" ht="15" hidden="false" customHeight="false" outlineLevel="0" collapsed="false">
      <c r="A1799" s="7" t="s">
        <v>24</v>
      </c>
      <c r="B1799" s="7" t="s">
        <v>816</v>
      </c>
      <c r="C1799" s="7" t="s">
        <v>1214</v>
      </c>
      <c r="D1799" s="7" t="n">
        <v>0</v>
      </c>
      <c r="E1799" s="7" t="n">
        <v>0</v>
      </c>
      <c r="F1799" s="7" t="n">
        <v>1</v>
      </c>
      <c r="G1799" s="7" t="n">
        <v>0</v>
      </c>
    </row>
    <row r="1800" customFormat="false" ht="15" hidden="false" customHeight="false" outlineLevel="0" collapsed="false">
      <c r="A1800" s="7" t="s">
        <v>24</v>
      </c>
      <c r="B1800" s="7" t="s">
        <v>816</v>
      </c>
      <c r="C1800" s="7" t="s">
        <v>1214</v>
      </c>
      <c r="D1800" s="7" t="n">
        <v>0</v>
      </c>
      <c r="E1800" s="7" t="n">
        <v>0</v>
      </c>
      <c r="F1800" s="7" t="n">
        <v>3</v>
      </c>
      <c r="G1800" s="7" t="n">
        <v>0</v>
      </c>
    </row>
    <row r="1801" customFormat="false" ht="15" hidden="false" customHeight="false" outlineLevel="0" collapsed="false">
      <c r="A1801" s="7" t="s">
        <v>24</v>
      </c>
      <c r="B1801" s="7" t="s">
        <v>816</v>
      </c>
      <c r="C1801" s="7" t="s">
        <v>1214</v>
      </c>
      <c r="D1801" s="7" t="n">
        <v>0</v>
      </c>
      <c r="E1801" s="7" t="n">
        <v>0</v>
      </c>
      <c r="F1801" s="7" t="n">
        <v>1</v>
      </c>
      <c r="G1801" s="7" t="n">
        <v>0</v>
      </c>
    </row>
    <row r="1802" customFormat="false" ht="15" hidden="false" customHeight="false" outlineLevel="0" collapsed="false">
      <c r="A1802" s="7" t="s">
        <v>24</v>
      </c>
      <c r="B1802" s="7" t="s">
        <v>816</v>
      </c>
      <c r="C1802" s="7" t="s">
        <v>1214</v>
      </c>
      <c r="D1802" s="7" t="n">
        <v>0</v>
      </c>
      <c r="E1802" s="7" t="n">
        <v>0</v>
      </c>
      <c r="F1802" s="7" t="n">
        <v>1</v>
      </c>
      <c r="G1802" s="7" t="n">
        <v>0</v>
      </c>
    </row>
    <row r="1803" customFormat="false" ht="15" hidden="false" customHeight="false" outlineLevel="0" collapsed="false">
      <c r="A1803" s="7" t="s">
        <v>24</v>
      </c>
      <c r="B1803" s="7" t="s">
        <v>816</v>
      </c>
      <c r="C1803" s="7" t="s">
        <v>1214</v>
      </c>
      <c r="D1803" s="7" t="n">
        <v>0</v>
      </c>
      <c r="E1803" s="7" t="n">
        <v>0</v>
      </c>
      <c r="F1803" s="7" t="n">
        <v>4</v>
      </c>
      <c r="G1803" s="7" t="n">
        <v>0</v>
      </c>
    </row>
    <row r="1804" customFormat="false" ht="15" hidden="false" customHeight="false" outlineLevel="0" collapsed="false">
      <c r="A1804" s="7" t="s">
        <v>24</v>
      </c>
      <c r="B1804" s="7" t="s">
        <v>816</v>
      </c>
      <c r="C1804" s="7" t="s">
        <v>1214</v>
      </c>
      <c r="D1804" s="7" t="n">
        <v>0</v>
      </c>
      <c r="E1804" s="7" t="n">
        <v>0</v>
      </c>
      <c r="F1804" s="7" t="n">
        <v>1</v>
      </c>
      <c r="G1804" s="7" t="n">
        <v>0</v>
      </c>
    </row>
    <row r="1805" customFormat="false" ht="15" hidden="false" customHeight="false" outlineLevel="0" collapsed="false">
      <c r="A1805" s="7" t="s">
        <v>24</v>
      </c>
      <c r="B1805" s="7" t="s">
        <v>816</v>
      </c>
      <c r="C1805" s="7" t="s">
        <v>1214</v>
      </c>
      <c r="D1805" s="7" t="n">
        <v>0</v>
      </c>
      <c r="E1805" s="7" t="n">
        <v>0</v>
      </c>
      <c r="F1805" s="7" t="n">
        <v>1</v>
      </c>
      <c r="G1805" s="7" t="n">
        <v>0</v>
      </c>
    </row>
    <row r="1806" customFormat="false" ht="15" hidden="false" customHeight="false" outlineLevel="0" collapsed="false">
      <c r="A1806" s="7" t="s">
        <v>24</v>
      </c>
      <c r="B1806" s="7" t="s">
        <v>816</v>
      </c>
      <c r="C1806" s="7" t="s">
        <v>1214</v>
      </c>
      <c r="D1806" s="7" t="n">
        <v>0</v>
      </c>
      <c r="E1806" s="7" t="n">
        <v>0</v>
      </c>
      <c r="F1806" s="7" t="n">
        <v>1</v>
      </c>
      <c r="G1806" s="7" t="n">
        <v>0</v>
      </c>
    </row>
    <row r="1807" customFormat="false" ht="15" hidden="false" customHeight="false" outlineLevel="0" collapsed="false">
      <c r="A1807" s="7" t="s">
        <v>24</v>
      </c>
      <c r="B1807" s="7" t="s">
        <v>816</v>
      </c>
      <c r="C1807" s="7" t="s">
        <v>1214</v>
      </c>
      <c r="D1807" s="7" t="n">
        <v>0</v>
      </c>
      <c r="E1807" s="7" t="n">
        <v>0</v>
      </c>
      <c r="F1807" s="7" t="n">
        <v>1</v>
      </c>
      <c r="G1807" s="7" t="n">
        <v>0</v>
      </c>
    </row>
    <row r="1808" customFormat="false" ht="15" hidden="false" customHeight="false" outlineLevel="0" collapsed="false">
      <c r="A1808" s="7" t="s">
        <v>24</v>
      </c>
      <c r="B1808" s="7" t="s">
        <v>816</v>
      </c>
      <c r="C1808" s="7" t="s">
        <v>1214</v>
      </c>
      <c r="D1808" s="7" t="n">
        <v>0</v>
      </c>
      <c r="E1808" s="7" t="n">
        <v>0</v>
      </c>
      <c r="F1808" s="7" t="n">
        <v>8</v>
      </c>
      <c r="G1808" s="7" t="n">
        <v>0</v>
      </c>
    </row>
    <row r="1809" customFormat="false" ht="15" hidden="false" customHeight="false" outlineLevel="0" collapsed="false">
      <c r="A1809" s="7" t="s">
        <v>24</v>
      </c>
      <c r="B1809" s="7" t="s">
        <v>816</v>
      </c>
      <c r="C1809" s="7" t="s">
        <v>1214</v>
      </c>
      <c r="D1809" s="7" t="n">
        <v>0</v>
      </c>
      <c r="E1809" s="7" t="n">
        <v>0</v>
      </c>
      <c r="F1809" s="7" t="n">
        <v>1</v>
      </c>
      <c r="G1809" s="7" t="n">
        <v>0</v>
      </c>
    </row>
    <row r="1810" customFormat="false" ht="15" hidden="false" customHeight="false" outlineLevel="0" collapsed="false">
      <c r="A1810" s="7" t="s">
        <v>24</v>
      </c>
      <c r="B1810" s="7" t="s">
        <v>816</v>
      </c>
      <c r="C1810" s="7" t="s">
        <v>1214</v>
      </c>
      <c r="D1810" s="7" t="n">
        <v>0</v>
      </c>
      <c r="E1810" s="7" t="n">
        <v>0</v>
      </c>
      <c r="F1810" s="7" t="n">
        <v>1</v>
      </c>
      <c r="G1810" s="7" t="n">
        <v>0</v>
      </c>
    </row>
    <row r="1811" customFormat="false" ht="15" hidden="false" customHeight="false" outlineLevel="0" collapsed="false">
      <c r="A1811" s="7" t="s">
        <v>24</v>
      </c>
      <c r="B1811" s="7" t="s">
        <v>816</v>
      </c>
      <c r="C1811" s="7" t="s">
        <v>1214</v>
      </c>
      <c r="D1811" s="7" t="n">
        <v>0</v>
      </c>
      <c r="E1811" s="7" t="n">
        <v>0</v>
      </c>
      <c r="F1811" s="7" t="n">
        <v>1</v>
      </c>
      <c r="G1811" s="7" t="n">
        <v>0</v>
      </c>
    </row>
    <row r="1812" customFormat="false" ht="15" hidden="false" customHeight="false" outlineLevel="0" collapsed="false">
      <c r="A1812" s="7" t="s">
        <v>24</v>
      </c>
      <c r="B1812" s="7" t="s">
        <v>816</v>
      </c>
      <c r="C1812" s="7" t="s">
        <v>1214</v>
      </c>
      <c r="D1812" s="7" t="n">
        <v>0</v>
      </c>
      <c r="E1812" s="7" t="n">
        <v>0</v>
      </c>
      <c r="F1812" s="7" t="n">
        <v>16</v>
      </c>
      <c r="G1812" s="7" t="n">
        <v>0</v>
      </c>
    </row>
    <row r="1813" customFormat="false" ht="15" hidden="false" customHeight="false" outlineLevel="0" collapsed="false">
      <c r="A1813" s="7" t="s">
        <v>24</v>
      </c>
      <c r="B1813" s="7" t="s">
        <v>816</v>
      </c>
      <c r="C1813" s="7" t="s">
        <v>1214</v>
      </c>
      <c r="D1813" s="7" t="n">
        <v>0</v>
      </c>
      <c r="E1813" s="7" t="n">
        <v>0</v>
      </c>
      <c r="F1813" s="7" t="n">
        <v>1</v>
      </c>
      <c r="G1813" s="7" t="n">
        <v>0</v>
      </c>
    </row>
    <row r="1814" customFormat="false" ht="15" hidden="false" customHeight="false" outlineLevel="0" collapsed="false">
      <c r="A1814" s="7" t="s">
        <v>24</v>
      </c>
      <c r="B1814" s="7" t="s">
        <v>816</v>
      </c>
      <c r="C1814" s="7" t="s">
        <v>1214</v>
      </c>
      <c r="D1814" s="7" t="n">
        <v>0</v>
      </c>
      <c r="E1814" s="7" t="n">
        <v>0</v>
      </c>
      <c r="F1814" s="7" t="n">
        <v>5</v>
      </c>
      <c r="G1814" s="7" t="n">
        <v>0</v>
      </c>
    </row>
    <row r="1815" customFormat="false" ht="15" hidden="false" customHeight="false" outlineLevel="0" collapsed="false">
      <c r="A1815" s="7" t="s">
        <v>24</v>
      </c>
      <c r="B1815" s="7" t="s">
        <v>816</v>
      </c>
      <c r="C1815" s="7" t="s">
        <v>1214</v>
      </c>
      <c r="D1815" s="7" t="n">
        <v>0</v>
      </c>
      <c r="E1815" s="7" t="n">
        <v>0</v>
      </c>
      <c r="F1815" s="7" t="n">
        <v>52</v>
      </c>
      <c r="G1815" s="7" t="n">
        <v>0</v>
      </c>
    </row>
    <row r="1816" customFormat="false" ht="15" hidden="false" customHeight="false" outlineLevel="0" collapsed="false">
      <c r="A1816" s="7" t="s">
        <v>24</v>
      </c>
      <c r="B1816" s="7" t="s">
        <v>816</v>
      </c>
      <c r="C1816" s="7" t="s">
        <v>1214</v>
      </c>
      <c r="D1816" s="7" t="n">
        <v>0</v>
      </c>
      <c r="E1816" s="7" t="n">
        <v>0</v>
      </c>
      <c r="F1816" s="7" t="n">
        <v>4</v>
      </c>
      <c r="G1816" s="7" t="n">
        <v>0</v>
      </c>
    </row>
    <row r="1817" customFormat="false" ht="15" hidden="false" customHeight="false" outlineLevel="0" collapsed="false">
      <c r="A1817" s="7" t="s">
        <v>24</v>
      </c>
      <c r="B1817" s="7" t="s">
        <v>816</v>
      </c>
      <c r="C1817" s="7" t="s">
        <v>1214</v>
      </c>
      <c r="D1817" s="7" t="n">
        <v>0</v>
      </c>
      <c r="E1817" s="7" t="n">
        <v>0</v>
      </c>
      <c r="F1817" s="7" t="n">
        <v>1</v>
      </c>
      <c r="G1817" s="7" t="n">
        <v>0</v>
      </c>
    </row>
    <row r="1818" customFormat="false" ht="15" hidden="false" customHeight="false" outlineLevel="0" collapsed="false">
      <c r="A1818" s="7" t="s">
        <v>24</v>
      </c>
      <c r="B1818" s="7" t="s">
        <v>816</v>
      </c>
      <c r="C1818" s="7" t="s">
        <v>1214</v>
      </c>
      <c r="D1818" s="7" t="n">
        <v>0</v>
      </c>
      <c r="E1818" s="7" t="n">
        <v>0</v>
      </c>
      <c r="F1818" s="7" t="n">
        <v>3</v>
      </c>
      <c r="G1818" s="7" t="n">
        <v>0</v>
      </c>
    </row>
    <row r="1819" customFormat="false" ht="15" hidden="false" customHeight="false" outlineLevel="0" collapsed="false">
      <c r="A1819" s="7" t="s">
        <v>24</v>
      </c>
      <c r="B1819" s="7" t="s">
        <v>816</v>
      </c>
      <c r="C1819" s="7" t="s">
        <v>1214</v>
      </c>
      <c r="D1819" s="7" t="n">
        <v>0</v>
      </c>
      <c r="E1819" s="7" t="n">
        <v>0</v>
      </c>
      <c r="F1819" s="7" t="n">
        <v>1</v>
      </c>
      <c r="G1819" s="7" t="n">
        <v>0</v>
      </c>
    </row>
    <row r="1820" customFormat="false" ht="15" hidden="false" customHeight="false" outlineLevel="0" collapsed="false">
      <c r="A1820" s="7" t="s">
        <v>24</v>
      </c>
      <c r="B1820" s="7" t="s">
        <v>816</v>
      </c>
      <c r="C1820" s="7" t="s">
        <v>1214</v>
      </c>
      <c r="D1820" s="7" t="n">
        <v>0</v>
      </c>
      <c r="E1820" s="7" t="n">
        <v>0</v>
      </c>
      <c r="F1820" s="7" t="n">
        <v>6</v>
      </c>
      <c r="G1820" s="7" t="n">
        <v>0</v>
      </c>
    </row>
    <row r="1821" customFormat="false" ht="15" hidden="false" customHeight="false" outlineLevel="0" collapsed="false">
      <c r="A1821" s="7" t="s">
        <v>24</v>
      </c>
      <c r="B1821" s="7" t="s">
        <v>816</v>
      </c>
      <c r="C1821" s="7" t="s">
        <v>1214</v>
      </c>
      <c r="D1821" s="7" t="n">
        <v>0</v>
      </c>
      <c r="E1821" s="7" t="n">
        <v>0</v>
      </c>
      <c r="F1821" s="7" t="n">
        <v>1</v>
      </c>
      <c r="G1821" s="7" t="n">
        <v>0</v>
      </c>
    </row>
    <row r="1822" customFormat="false" ht="15" hidden="false" customHeight="false" outlineLevel="0" collapsed="false">
      <c r="A1822" s="7" t="s">
        <v>24</v>
      </c>
      <c r="B1822" s="7" t="s">
        <v>816</v>
      </c>
      <c r="C1822" s="7" t="s">
        <v>1214</v>
      </c>
      <c r="D1822" s="7" t="n">
        <v>0</v>
      </c>
      <c r="E1822" s="7" t="n">
        <v>0</v>
      </c>
      <c r="F1822" s="7" t="n">
        <v>1</v>
      </c>
      <c r="G1822" s="7" t="n">
        <v>0</v>
      </c>
    </row>
    <row r="1823" customFormat="false" ht="15" hidden="false" customHeight="false" outlineLevel="0" collapsed="false">
      <c r="A1823" s="7" t="s">
        <v>24</v>
      </c>
      <c r="B1823" s="7" t="s">
        <v>816</v>
      </c>
      <c r="C1823" s="7" t="s">
        <v>1214</v>
      </c>
      <c r="D1823" s="7" t="n">
        <v>0</v>
      </c>
      <c r="E1823" s="7" t="n">
        <v>0</v>
      </c>
      <c r="F1823" s="7" t="n">
        <v>1</v>
      </c>
      <c r="G1823" s="7" t="n">
        <v>0</v>
      </c>
    </row>
    <row r="1824" customFormat="false" ht="15" hidden="false" customHeight="false" outlineLevel="0" collapsed="false">
      <c r="A1824" s="7" t="s">
        <v>24</v>
      </c>
      <c r="B1824" s="7" t="s">
        <v>816</v>
      </c>
      <c r="C1824" s="7" t="s">
        <v>1214</v>
      </c>
      <c r="D1824" s="7" t="n">
        <v>0</v>
      </c>
      <c r="E1824" s="7" t="n">
        <v>0</v>
      </c>
      <c r="F1824" s="7" t="n">
        <v>1</v>
      </c>
      <c r="G1824" s="7" t="n">
        <v>0</v>
      </c>
    </row>
    <row r="1825" customFormat="false" ht="15" hidden="false" customHeight="false" outlineLevel="0" collapsed="false">
      <c r="A1825" s="7" t="s">
        <v>24</v>
      </c>
      <c r="B1825" s="7" t="s">
        <v>816</v>
      </c>
      <c r="C1825" s="7" t="s">
        <v>1214</v>
      </c>
      <c r="D1825" s="7" t="n">
        <v>0</v>
      </c>
      <c r="E1825" s="7" t="n">
        <v>0</v>
      </c>
      <c r="F1825" s="7" t="n">
        <v>1</v>
      </c>
      <c r="G1825" s="7" t="n">
        <v>0</v>
      </c>
    </row>
    <row r="1826" customFormat="false" ht="15" hidden="false" customHeight="false" outlineLevel="0" collapsed="false">
      <c r="A1826" s="7" t="s">
        <v>24</v>
      </c>
      <c r="B1826" s="7" t="s">
        <v>816</v>
      </c>
      <c r="C1826" s="7" t="s">
        <v>1214</v>
      </c>
      <c r="D1826" s="7" t="n">
        <v>0</v>
      </c>
      <c r="E1826" s="7" t="n">
        <v>0</v>
      </c>
      <c r="F1826" s="7" t="n">
        <v>3</v>
      </c>
      <c r="G1826" s="7" t="n">
        <v>0</v>
      </c>
    </row>
    <row r="1827" customFormat="false" ht="15" hidden="false" customHeight="false" outlineLevel="0" collapsed="false">
      <c r="A1827" s="7" t="s">
        <v>24</v>
      </c>
      <c r="B1827" s="7" t="s">
        <v>816</v>
      </c>
      <c r="C1827" s="7" t="s">
        <v>1214</v>
      </c>
      <c r="D1827" s="7" t="n">
        <v>0</v>
      </c>
      <c r="E1827" s="7" t="n">
        <v>0</v>
      </c>
      <c r="F1827" s="7" t="n">
        <v>41</v>
      </c>
      <c r="G1827" s="7" t="n">
        <v>0</v>
      </c>
    </row>
    <row r="1828" customFormat="false" ht="15" hidden="false" customHeight="false" outlineLevel="0" collapsed="false">
      <c r="A1828" s="7" t="s">
        <v>24</v>
      </c>
      <c r="B1828" s="7" t="s">
        <v>816</v>
      </c>
      <c r="C1828" s="7" t="s">
        <v>1214</v>
      </c>
      <c r="D1828" s="7" t="n">
        <v>0</v>
      </c>
      <c r="E1828" s="7" t="n">
        <v>0</v>
      </c>
      <c r="F1828" s="7" t="n">
        <v>2</v>
      </c>
      <c r="G1828" s="7" t="n">
        <v>0</v>
      </c>
    </row>
    <row r="1829" customFormat="false" ht="15" hidden="false" customHeight="false" outlineLevel="0" collapsed="false">
      <c r="A1829" s="7" t="s">
        <v>24</v>
      </c>
      <c r="B1829" s="7" t="s">
        <v>816</v>
      </c>
      <c r="C1829" s="7" t="s">
        <v>1214</v>
      </c>
      <c r="D1829" s="7" t="n">
        <v>0</v>
      </c>
      <c r="E1829" s="7" t="n">
        <v>0</v>
      </c>
      <c r="F1829" s="7" t="n">
        <v>1</v>
      </c>
      <c r="G1829" s="7" t="n">
        <v>0</v>
      </c>
    </row>
    <row r="1830" customFormat="false" ht="15" hidden="false" customHeight="false" outlineLevel="0" collapsed="false">
      <c r="A1830" s="7" t="s">
        <v>24</v>
      </c>
      <c r="B1830" s="7" t="s">
        <v>816</v>
      </c>
      <c r="C1830" s="7" t="s">
        <v>1214</v>
      </c>
      <c r="D1830" s="7" t="n">
        <v>0</v>
      </c>
      <c r="E1830" s="7" t="n">
        <v>0</v>
      </c>
      <c r="F1830" s="7" t="n">
        <v>1</v>
      </c>
      <c r="G1830" s="7" t="n">
        <v>0</v>
      </c>
    </row>
    <row r="1831" customFormat="false" ht="15" hidden="false" customHeight="false" outlineLevel="0" collapsed="false">
      <c r="A1831" s="7" t="s">
        <v>24</v>
      </c>
      <c r="B1831" s="7" t="s">
        <v>816</v>
      </c>
      <c r="C1831" s="7" t="s">
        <v>1214</v>
      </c>
      <c r="D1831" s="7" t="n">
        <v>0</v>
      </c>
      <c r="E1831" s="7" t="n">
        <v>0</v>
      </c>
      <c r="F1831" s="7" t="n">
        <v>16</v>
      </c>
      <c r="G1831" s="7" t="n">
        <v>0</v>
      </c>
    </row>
    <row r="1832" customFormat="false" ht="15" hidden="false" customHeight="false" outlineLevel="0" collapsed="false">
      <c r="A1832" s="7" t="s">
        <v>24</v>
      </c>
      <c r="B1832" s="7" t="s">
        <v>816</v>
      </c>
      <c r="C1832" s="7" t="s">
        <v>1214</v>
      </c>
      <c r="D1832" s="7" t="n">
        <v>0</v>
      </c>
      <c r="E1832" s="7" t="n">
        <v>0</v>
      </c>
      <c r="F1832" s="7" t="n">
        <v>1</v>
      </c>
      <c r="G1832" s="7" t="n">
        <v>0</v>
      </c>
    </row>
    <row r="1833" customFormat="false" ht="15" hidden="false" customHeight="false" outlineLevel="0" collapsed="false">
      <c r="A1833" s="7" t="s">
        <v>24</v>
      </c>
      <c r="B1833" s="7" t="s">
        <v>816</v>
      </c>
      <c r="C1833" s="7" t="s">
        <v>1214</v>
      </c>
      <c r="D1833" s="7" t="n">
        <v>0</v>
      </c>
      <c r="E1833" s="7" t="n">
        <v>0</v>
      </c>
      <c r="F1833" s="7" t="n">
        <v>1</v>
      </c>
      <c r="G1833" s="7" t="n">
        <v>0</v>
      </c>
    </row>
    <row r="1834" customFormat="false" ht="15" hidden="false" customHeight="false" outlineLevel="0" collapsed="false">
      <c r="A1834" s="7" t="s">
        <v>24</v>
      </c>
      <c r="B1834" s="7" t="s">
        <v>816</v>
      </c>
      <c r="C1834" s="7" t="s">
        <v>1214</v>
      </c>
      <c r="D1834" s="7" t="n">
        <v>0</v>
      </c>
      <c r="E1834" s="7" t="n">
        <v>0</v>
      </c>
      <c r="F1834" s="7" t="n">
        <v>1</v>
      </c>
      <c r="G1834" s="7" t="n">
        <v>0</v>
      </c>
    </row>
    <row r="1835" customFormat="false" ht="15" hidden="false" customHeight="false" outlineLevel="0" collapsed="false">
      <c r="A1835" s="7" t="s">
        <v>24</v>
      </c>
      <c r="B1835" s="7" t="s">
        <v>816</v>
      </c>
      <c r="C1835" s="7" t="s">
        <v>1214</v>
      </c>
      <c r="D1835" s="7" t="n">
        <v>0</v>
      </c>
      <c r="E1835" s="7" t="n">
        <v>0</v>
      </c>
      <c r="F1835" s="7" t="n">
        <v>2</v>
      </c>
      <c r="G1835" s="7" t="n">
        <v>0</v>
      </c>
    </row>
    <row r="1836" customFormat="false" ht="15" hidden="false" customHeight="false" outlineLevel="0" collapsed="false">
      <c r="A1836" s="7" t="s">
        <v>24</v>
      </c>
      <c r="B1836" s="7" t="s">
        <v>816</v>
      </c>
      <c r="C1836" s="7" t="s">
        <v>1214</v>
      </c>
      <c r="D1836" s="7" t="n">
        <v>0</v>
      </c>
      <c r="E1836" s="7" t="n">
        <v>0</v>
      </c>
      <c r="F1836" s="7" t="n">
        <v>12</v>
      </c>
      <c r="G1836" s="7" t="n">
        <v>0</v>
      </c>
    </row>
    <row r="1837" customFormat="false" ht="15" hidden="false" customHeight="false" outlineLevel="0" collapsed="false">
      <c r="A1837" s="7" t="s">
        <v>24</v>
      </c>
      <c r="B1837" s="7" t="s">
        <v>816</v>
      </c>
      <c r="C1837" s="7" t="s">
        <v>1214</v>
      </c>
      <c r="D1837" s="7" t="n">
        <v>0</v>
      </c>
      <c r="E1837" s="7" t="n">
        <v>0</v>
      </c>
      <c r="F1837" s="7" t="n">
        <v>13</v>
      </c>
      <c r="G1837" s="7" t="n">
        <v>0</v>
      </c>
    </row>
    <row r="1838" customFormat="false" ht="15" hidden="false" customHeight="false" outlineLevel="0" collapsed="false">
      <c r="A1838" s="7" t="s">
        <v>24</v>
      </c>
      <c r="B1838" s="7" t="s">
        <v>816</v>
      </c>
      <c r="C1838" s="7" t="s">
        <v>1214</v>
      </c>
      <c r="D1838" s="7" t="n">
        <v>0</v>
      </c>
      <c r="E1838" s="7" t="n">
        <v>0</v>
      </c>
      <c r="F1838" s="7" t="n">
        <v>4</v>
      </c>
      <c r="G1838" s="7" t="n">
        <v>0</v>
      </c>
    </row>
    <row r="1839" customFormat="false" ht="15" hidden="false" customHeight="false" outlineLevel="0" collapsed="false">
      <c r="A1839" s="7" t="s">
        <v>24</v>
      </c>
      <c r="B1839" s="7" t="s">
        <v>816</v>
      </c>
      <c r="C1839" s="7" t="s">
        <v>1214</v>
      </c>
      <c r="D1839" s="7" t="n">
        <v>0</v>
      </c>
      <c r="E1839" s="7" t="n">
        <v>0</v>
      </c>
      <c r="F1839" s="7" t="n">
        <v>1</v>
      </c>
      <c r="G1839" s="7" t="n">
        <v>0</v>
      </c>
    </row>
    <row r="1840" customFormat="false" ht="15" hidden="false" customHeight="false" outlineLevel="0" collapsed="false">
      <c r="A1840" s="7" t="s">
        <v>24</v>
      </c>
      <c r="B1840" s="7" t="s">
        <v>816</v>
      </c>
      <c r="C1840" s="7" t="s">
        <v>1214</v>
      </c>
      <c r="D1840" s="7" t="n">
        <v>0</v>
      </c>
      <c r="E1840" s="7" t="n">
        <v>0</v>
      </c>
      <c r="F1840" s="7" t="n">
        <v>1</v>
      </c>
      <c r="G1840" s="7" t="n">
        <v>0</v>
      </c>
    </row>
    <row r="1841" customFormat="false" ht="15" hidden="false" customHeight="false" outlineLevel="0" collapsed="false">
      <c r="A1841" s="7" t="s">
        <v>24</v>
      </c>
      <c r="B1841" s="7" t="s">
        <v>816</v>
      </c>
      <c r="C1841" s="7" t="s">
        <v>1214</v>
      </c>
      <c r="D1841" s="7" t="n">
        <v>0</v>
      </c>
      <c r="E1841" s="7" t="n">
        <v>0</v>
      </c>
      <c r="F1841" s="7" t="n">
        <v>1</v>
      </c>
      <c r="G1841" s="7" t="n">
        <v>0</v>
      </c>
    </row>
    <row r="1842" customFormat="false" ht="15" hidden="false" customHeight="false" outlineLevel="0" collapsed="false">
      <c r="A1842" s="7" t="s">
        <v>24</v>
      </c>
      <c r="B1842" s="7" t="s">
        <v>816</v>
      </c>
      <c r="C1842" s="7" t="s">
        <v>1214</v>
      </c>
      <c r="D1842" s="7" t="n">
        <v>0</v>
      </c>
      <c r="E1842" s="7" t="n">
        <v>0</v>
      </c>
      <c r="F1842" s="7" t="n">
        <v>1</v>
      </c>
      <c r="G1842" s="7" t="n">
        <v>0</v>
      </c>
    </row>
    <row r="1843" customFormat="false" ht="15" hidden="false" customHeight="false" outlineLevel="0" collapsed="false">
      <c r="A1843" s="7" t="s">
        <v>24</v>
      </c>
      <c r="B1843" s="7" t="s">
        <v>816</v>
      </c>
      <c r="C1843" s="7" t="s">
        <v>1214</v>
      </c>
      <c r="D1843" s="7" t="n">
        <v>0</v>
      </c>
      <c r="E1843" s="7" t="n">
        <v>0</v>
      </c>
      <c r="F1843" s="7" t="n">
        <v>1</v>
      </c>
      <c r="G1843" s="7" t="n">
        <v>0</v>
      </c>
    </row>
    <row r="1844" customFormat="false" ht="15" hidden="false" customHeight="false" outlineLevel="0" collapsed="false">
      <c r="A1844" s="7" t="s">
        <v>24</v>
      </c>
      <c r="B1844" s="7" t="s">
        <v>816</v>
      </c>
      <c r="C1844" s="7" t="s">
        <v>1214</v>
      </c>
      <c r="D1844" s="7" t="n">
        <v>0</v>
      </c>
      <c r="E1844" s="7" t="n">
        <v>0</v>
      </c>
      <c r="F1844" s="7" t="n">
        <v>16</v>
      </c>
      <c r="G1844" s="7" t="n">
        <v>0</v>
      </c>
    </row>
    <row r="1845" customFormat="false" ht="15" hidden="false" customHeight="false" outlineLevel="0" collapsed="false">
      <c r="A1845" s="7" t="s">
        <v>24</v>
      </c>
      <c r="B1845" s="7" t="s">
        <v>816</v>
      </c>
      <c r="C1845" s="7" t="s">
        <v>1214</v>
      </c>
      <c r="D1845" s="7" t="n">
        <v>0</v>
      </c>
      <c r="E1845" s="7" t="n">
        <v>0</v>
      </c>
      <c r="F1845" s="7" t="n">
        <v>1</v>
      </c>
      <c r="G1845" s="7" t="n">
        <v>0</v>
      </c>
    </row>
    <row r="1846" customFormat="false" ht="15" hidden="false" customHeight="false" outlineLevel="0" collapsed="false">
      <c r="A1846" s="7" t="s">
        <v>24</v>
      </c>
      <c r="B1846" s="7" t="s">
        <v>816</v>
      </c>
      <c r="C1846" s="7" t="s">
        <v>1214</v>
      </c>
      <c r="D1846" s="7" t="n">
        <v>0</v>
      </c>
      <c r="E1846" s="7" t="n">
        <v>0</v>
      </c>
      <c r="F1846" s="7" t="n">
        <v>2</v>
      </c>
      <c r="G1846" s="7" t="n">
        <v>0</v>
      </c>
    </row>
    <row r="1847" customFormat="false" ht="15" hidden="false" customHeight="false" outlineLevel="0" collapsed="false">
      <c r="A1847" s="7" t="s">
        <v>24</v>
      </c>
      <c r="B1847" s="7" t="s">
        <v>816</v>
      </c>
      <c r="C1847" s="7" t="s">
        <v>1214</v>
      </c>
      <c r="D1847" s="7" t="n">
        <v>0</v>
      </c>
      <c r="E1847" s="7" t="n">
        <v>0</v>
      </c>
      <c r="F1847" s="7" t="n">
        <v>16</v>
      </c>
      <c r="G1847" s="7" t="n">
        <v>0</v>
      </c>
    </row>
    <row r="1848" customFormat="false" ht="15" hidden="false" customHeight="false" outlineLevel="0" collapsed="false">
      <c r="A1848" s="7" t="s">
        <v>24</v>
      </c>
      <c r="B1848" s="7" t="s">
        <v>816</v>
      </c>
      <c r="C1848" s="7" t="s">
        <v>1214</v>
      </c>
      <c r="D1848" s="7" t="n">
        <v>0</v>
      </c>
      <c r="E1848" s="7" t="n">
        <v>0</v>
      </c>
      <c r="F1848" s="7" t="n">
        <v>20</v>
      </c>
      <c r="G1848" s="7" t="n">
        <v>0</v>
      </c>
    </row>
    <row r="1849" customFormat="false" ht="15" hidden="false" customHeight="false" outlineLevel="0" collapsed="false">
      <c r="A1849" s="7" t="s">
        <v>24</v>
      </c>
      <c r="B1849" s="7" t="s">
        <v>816</v>
      </c>
      <c r="C1849" s="7" t="s">
        <v>1214</v>
      </c>
      <c r="D1849" s="7" t="n">
        <v>0</v>
      </c>
      <c r="E1849" s="7" t="n">
        <v>0</v>
      </c>
      <c r="F1849" s="7" t="n">
        <v>1</v>
      </c>
      <c r="G1849" s="7" t="n">
        <v>0</v>
      </c>
    </row>
    <row r="1850" customFormat="false" ht="15" hidden="false" customHeight="false" outlineLevel="0" collapsed="false">
      <c r="A1850" s="7" t="s">
        <v>24</v>
      </c>
      <c r="B1850" s="7" t="s">
        <v>816</v>
      </c>
      <c r="C1850" s="7" t="s">
        <v>1214</v>
      </c>
      <c r="D1850" s="7" t="n">
        <v>0</v>
      </c>
      <c r="E1850" s="7" t="n">
        <v>0</v>
      </c>
      <c r="F1850" s="7" t="n">
        <v>3</v>
      </c>
      <c r="G1850" s="7" t="n">
        <v>0</v>
      </c>
    </row>
    <row r="1851" customFormat="false" ht="15" hidden="false" customHeight="false" outlineLevel="0" collapsed="false">
      <c r="A1851" s="7" t="s">
        <v>24</v>
      </c>
      <c r="B1851" s="7" t="s">
        <v>816</v>
      </c>
      <c r="C1851" s="7" t="s">
        <v>1214</v>
      </c>
      <c r="D1851" s="7" t="n">
        <v>0</v>
      </c>
      <c r="E1851" s="7" t="n">
        <v>0</v>
      </c>
      <c r="F1851" s="7" t="n">
        <v>7</v>
      </c>
      <c r="G1851" s="7" t="n">
        <v>0</v>
      </c>
    </row>
    <row r="1852" customFormat="false" ht="15" hidden="false" customHeight="false" outlineLevel="0" collapsed="false">
      <c r="A1852" s="7" t="s">
        <v>24</v>
      </c>
      <c r="B1852" s="7" t="s">
        <v>816</v>
      </c>
      <c r="C1852" s="7" t="s">
        <v>1214</v>
      </c>
      <c r="D1852" s="7" t="n">
        <v>0</v>
      </c>
      <c r="E1852" s="7" t="n">
        <v>0</v>
      </c>
      <c r="F1852" s="7" t="n">
        <v>1</v>
      </c>
      <c r="G1852" s="7" t="n">
        <v>0</v>
      </c>
    </row>
    <row r="1853" customFormat="false" ht="15" hidden="false" customHeight="false" outlineLevel="0" collapsed="false">
      <c r="A1853" s="7" t="s">
        <v>24</v>
      </c>
      <c r="B1853" s="7" t="s">
        <v>816</v>
      </c>
      <c r="C1853" s="7" t="s">
        <v>1214</v>
      </c>
      <c r="D1853" s="7" t="n">
        <v>0</v>
      </c>
      <c r="E1853" s="7" t="n">
        <v>0</v>
      </c>
      <c r="F1853" s="7" t="n">
        <v>1</v>
      </c>
      <c r="G1853" s="7" t="n">
        <v>0</v>
      </c>
    </row>
    <row r="1854" customFormat="false" ht="15" hidden="false" customHeight="false" outlineLevel="0" collapsed="false">
      <c r="A1854" s="7" t="s">
        <v>24</v>
      </c>
      <c r="B1854" s="7" t="s">
        <v>816</v>
      </c>
      <c r="C1854" s="7" t="s">
        <v>1214</v>
      </c>
      <c r="D1854" s="7" t="n">
        <v>0</v>
      </c>
      <c r="E1854" s="7" t="n">
        <v>0</v>
      </c>
      <c r="F1854" s="7" t="n">
        <v>7</v>
      </c>
      <c r="G1854" s="7" t="n">
        <v>0</v>
      </c>
    </row>
    <row r="1855" customFormat="false" ht="15" hidden="false" customHeight="false" outlineLevel="0" collapsed="false">
      <c r="A1855" s="7" t="s">
        <v>24</v>
      </c>
      <c r="B1855" s="7" t="s">
        <v>816</v>
      </c>
      <c r="C1855" s="7" t="s">
        <v>1214</v>
      </c>
      <c r="D1855" s="7" t="n">
        <v>0</v>
      </c>
      <c r="E1855" s="7" t="n">
        <v>0</v>
      </c>
      <c r="F1855" s="7" t="n">
        <v>2</v>
      </c>
      <c r="G1855" s="7" t="n">
        <v>0</v>
      </c>
    </row>
    <row r="1856" customFormat="false" ht="15" hidden="false" customHeight="false" outlineLevel="0" collapsed="false">
      <c r="A1856" s="7" t="s">
        <v>24</v>
      </c>
      <c r="B1856" s="7" t="s">
        <v>816</v>
      </c>
      <c r="C1856" s="7" t="s">
        <v>1214</v>
      </c>
      <c r="D1856" s="7" t="n">
        <v>0</v>
      </c>
      <c r="E1856" s="7" t="n">
        <v>0</v>
      </c>
      <c r="F1856" s="7" t="n">
        <v>1</v>
      </c>
      <c r="G1856" s="7" t="n">
        <v>0</v>
      </c>
    </row>
    <row r="1857" customFormat="false" ht="15" hidden="false" customHeight="false" outlineLevel="0" collapsed="false">
      <c r="A1857" s="7" t="s">
        <v>24</v>
      </c>
      <c r="B1857" s="7" t="s">
        <v>816</v>
      </c>
      <c r="C1857" s="7" t="s">
        <v>1214</v>
      </c>
      <c r="D1857" s="7" t="n">
        <v>0</v>
      </c>
      <c r="E1857" s="7" t="n">
        <v>0</v>
      </c>
      <c r="F1857" s="7" t="n">
        <v>1</v>
      </c>
      <c r="G1857" s="7" t="n">
        <v>0</v>
      </c>
    </row>
    <row r="1858" customFormat="false" ht="15" hidden="false" customHeight="false" outlineLevel="0" collapsed="false">
      <c r="A1858" s="7" t="s">
        <v>24</v>
      </c>
      <c r="B1858" s="7" t="s">
        <v>816</v>
      </c>
      <c r="C1858" s="7" t="s">
        <v>1214</v>
      </c>
      <c r="D1858" s="7" t="n">
        <v>0</v>
      </c>
      <c r="E1858" s="7" t="n">
        <v>0</v>
      </c>
      <c r="F1858" s="7" t="n">
        <v>2</v>
      </c>
      <c r="G1858" s="7" t="n">
        <v>0</v>
      </c>
    </row>
    <row r="1859" customFormat="false" ht="15" hidden="false" customHeight="false" outlineLevel="0" collapsed="false">
      <c r="A1859" s="7" t="s">
        <v>24</v>
      </c>
      <c r="B1859" s="7" t="s">
        <v>816</v>
      </c>
      <c r="C1859" s="7" t="s">
        <v>1214</v>
      </c>
      <c r="D1859" s="7" t="n">
        <v>0</v>
      </c>
      <c r="E1859" s="7" t="n">
        <v>0</v>
      </c>
      <c r="F1859" s="7" t="n">
        <v>5</v>
      </c>
      <c r="G1859" s="7" t="n">
        <v>0</v>
      </c>
    </row>
    <row r="1860" customFormat="false" ht="15" hidden="false" customHeight="false" outlineLevel="0" collapsed="false">
      <c r="A1860" s="7" t="s">
        <v>24</v>
      </c>
      <c r="B1860" s="7" t="s">
        <v>816</v>
      </c>
      <c r="C1860" s="7" t="s">
        <v>1214</v>
      </c>
      <c r="D1860" s="7" t="n">
        <v>0</v>
      </c>
      <c r="E1860" s="7" t="n">
        <v>0</v>
      </c>
      <c r="F1860" s="7" t="n">
        <v>2</v>
      </c>
      <c r="G1860" s="7" t="n">
        <v>0</v>
      </c>
    </row>
    <row r="1861" customFormat="false" ht="15" hidden="false" customHeight="false" outlineLevel="0" collapsed="false">
      <c r="A1861" s="7" t="s">
        <v>24</v>
      </c>
      <c r="B1861" s="7" t="s">
        <v>816</v>
      </c>
      <c r="C1861" s="7" t="s">
        <v>1214</v>
      </c>
      <c r="D1861" s="7" t="n">
        <v>0</v>
      </c>
      <c r="E1861" s="7" t="n">
        <v>0</v>
      </c>
      <c r="F1861" s="7" t="n">
        <v>1</v>
      </c>
      <c r="G1861" s="7" t="n">
        <v>0</v>
      </c>
    </row>
    <row r="1862" customFormat="false" ht="15" hidden="false" customHeight="false" outlineLevel="0" collapsed="false">
      <c r="A1862" s="7" t="s">
        <v>24</v>
      </c>
      <c r="B1862" s="7" t="s">
        <v>816</v>
      </c>
      <c r="C1862" s="7" t="s">
        <v>1214</v>
      </c>
      <c r="D1862" s="7" t="n">
        <v>0</v>
      </c>
      <c r="E1862" s="7" t="n">
        <v>0</v>
      </c>
      <c r="F1862" s="7" t="n">
        <v>1</v>
      </c>
      <c r="G1862" s="7" t="n">
        <v>0</v>
      </c>
    </row>
    <row r="1863" customFormat="false" ht="15" hidden="false" customHeight="false" outlineLevel="0" collapsed="false">
      <c r="A1863" s="7" t="s">
        <v>24</v>
      </c>
      <c r="B1863" s="7" t="s">
        <v>816</v>
      </c>
      <c r="C1863" s="7" t="s">
        <v>1214</v>
      </c>
      <c r="D1863" s="7" t="n">
        <v>0</v>
      </c>
      <c r="E1863" s="7" t="n">
        <v>0</v>
      </c>
      <c r="F1863" s="7" t="n">
        <v>2</v>
      </c>
      <c r="G1863" s="7" t="n">
        <v>0</v>
      </c>
    </row>
    <row r="1864" customFormat="false" ht="15" hidden="false" customHeight="false" outlineLevel="0" collapsed="false">
      <c r="A1864" s="7" t="s">
        <v>24</v>
      </c>
      <c r="B1864" s="7" t="s">
        <v>816</v>
      </c>
      <c r="C1864" s="7" t="s">
        <v>1214</v>
      </c>
      <c r="D1864" s="7" t="n">
        <v>0</v>
      </c>
      <c r="E1864" s="7" t="n">
        <v>0</v>
      </c>
      <c r="F1864" s="7" t="n">
        <v>5</v>
      </c>
      <c r="G1864" s="7" t="n">
        <v>0</v>
      </c>
    </row>
    <row r="1865" customFormat="false" ht="15" hidden="false" customHeight="false" outlineLevel="0" collapsed="false">
      <c r="A1865" s="7" t="s">
        <v>24</v>
      </c>
      <c r="B1865" s="7" t="s">
        <v>816</v>
      </c>
      <c r="C1865" s="7" t="s">
        <v>1214</v>
      </c>
      <c r="D1865" s="7" t="n">
        <v>0</v>
      </c>
      <c r="E1865" s="7" t="n">
        <v>0</v>
      </c>
      <c r="F1865" s="7" t="n">
        <v>1</v>
      </c>
      <c r="G1865" s="7" t="n">
        <v>0</v>
      </c>
    </row>
    <row r="1866" customFormat="false" ht="15" hidden="false" customHeight="false" outlineLevel="0" collapsed="false">
      <c r="A1866" s="7" t="s">
        <v>24</v>
      </c>
      <c r="B1866" s="7" t="s">
        <v>816</v>
      </c>
      <c r="C1866" s="7" t="s">
        <v>1214</v>
      </c>
      <c r="D1866" s="7" t="n">
        <v>0</v>
      </c>
      <c r="E1866" s="7" t="n">
        <v>0</v>
      </c>
      <c r="F1866" s="7" t="n">
        <v>1</v>
      </c>
      <c r="G1866" s="7" t="n">
        <v>0</v>
      </c>
    </row>
    <row r="1867" customFormat="false" ht="15" hidden="false" customHeight="false" outlineLevel="0" collapsed="false">
      <c r="A1867" s="7" t="s">
        <v>24</v>
      </c>
      <c r="B1867" s="7" t="s">
        <v>816</v>
      </c>
      <c r="C1867" s="7" t="s">
        <v>1214</v>
      </c>
      <c r="D1867" s="7" t="n">
        <v>0</v>
      </c>
      <c r="E1867" s="7" t="n">
        <v>0</v>
      </c>
      <c r="F1867" s="7" t="n">
        <v>2</v>
      </c>
      <c r="G1867" s="7" t="n">
        <v>0</v>
      </c>
    </row>
    <row r="1868" customFormat="false" ht="15" hidden="false" customHeight="false" outlineLevel="0" collapsed="false">
      <c r="A1868" s="7" t="s">
        <v>24</v>
      </c>
      <c r="B1868" s="7" t="s">
        <v>816</v>
      </c>
      <c r="C1868" s="7" t="s">
        <v>1214</v>
      </c>
      <c r="D1868" s="7" t="n">
        <v>0</v>
      </c>
      <c r="E1868" s="7" t="n">
        <v>0</v>
      </c>
      <c r="F1868" s="7" t="n">
        <v>1</v>
      </c>
      <c r="G1868" s="7" t="n">
        <v>0</v>
      </c>
    </row>
    <row r="1869" customFormat="false" ht="15" hidden="false" customHeight="false" outlineLevel="0" collapsed="false">
      <c r="A1869" s="7" t="s">
        <v>24</v>
      </c>
      <c r="B1869" s="7" t="s">
        <v>816</v>
      </c>
      <c r="C1869" s="7" t="s">
        <v>1214</v>
      </c>
      <c r="D1869" s="7" t="n">
        <v>0</v>
      </c>
      <c r="E1869" s="7" t="n">
        <v>0</v>
      </c>
      <c r="F1869" s="7" t="n">
        <v>1</v>
      </c>
      <c r="G1869" s="7" t="n">
        <v>0</v>
      </c>
    </row>
    <row r="1870" customFormat="false" ht="15" hidden="false" customHeight="false" outlineLevel="0" collapsed="false">
      <c r="A1870" s="7" t="s">
        <v>24</v>
      </c>
      <c r="B1870" s="7" t="s">
        <v>816</v>
      </c>
      <c r="C1870" s="7" t="s">
        <v>1214</v>
      </c>
      <c r="D1870" s="7" t="n">
        <v>0</v>
      </c>
      <c r="E1870" s="7" t="n">
        <v>0</v>
      </c>
      <c r="F1870" s="7" t="n">
        <v>1</v>
      </c>
      <c r="G1870" s="7" t="n">
        <v>0</v>
      </c>
    </row>
    <row r="1871" customFormat="false" ht="15" hidden="false" customHeight="false" outlineLevel="0" collapsed="false">
      <c r="A1871" s="7" t="s">
        <v>24</v>
      </c>
      <c r="B1871" s="7" t="s">
        <v>816</v>
      </c>
      <c r="C1871" s="7" t="s">
        <v>1214</v>
      </c>
      <c r="D1871" s="7" t="n">
        <v>0</v>
      </c>
      <c r="E1871" s="7" t="n">
        <v>0</v>
      </c>
      <c r="F1871" s="7" t="n">
        <v>16</v>
      </c>
      <c r="G1871" s="7" t="n">
        <v>0</v>
      </c>
    </row>
    <row r="1872" customFormat="false" ht="15" hidden="false" customHeight="false" outlineLevel="0" collapsed="false">
      <c r="A1872" s="7" t="s">
        <v>24</v>
      </c>
      <c r="B1872" s="7" t="s">
        <v>816</v>
      </c>
      <c r="C1872" s="7" t="s">
        <v>1214</v>
      </c>
      <c r="D1872" s="7" t="n">
        <v>0</v>
      </c>
      <c r="E1872" s="7" t="n">
        <v>0</v>
      </c>
      <c r="F1872" s="7" t="n">
        <v>1</v>
      </c>
      <c r="G1872" s="7" t="n">
        <v>0</v>
      </c>
    </row>
    <row r="1873" customFormat="false" ht="15" hidden="false" customHeight="false" outlineLevel="0" collapsed="false">
      <c r="A1873" s="7" t="s">
        <v>24</v>
      </c>
      <c r="B1873" s="7" t="s">
        <v>816</v>
      </c>
      <c r="C1873" s="7" t="s">
        <v>1214</v>
      </c>
      <c r="D1873" s="7" t="n">
        <v>0</v>
      </c>
      <c r="E1873" s="7" t="n">
        <v>0</v>
      </c>
      <c r="F1873" s="7" t="n">
        <v>1</v>
      </c>
      <c r="G1873" s="7" t="n">
        <v>0</v>
      </c>
    </row>
    <row r="1874" customFormat="false" ht="15" hidden="false" customHeight="false" outlineLevel="0" collapsed="false">
      <c r="A1874" s="7" t="s">
        <v>24</v>
      </c>
      <c r="B1874" s="7" t="s">
        <v>816</v>
      </c>
      <c r="C1874" s="7" t="s">
        <v>1214</v>
      </c>
      <c r="D1874" s="7" t="n">
        <v>0</v>
      </c>
      <c r="E1874" s="7" t="n">
        <v>0</v>
      </c>
      <c r="F1874" s="7" t="n">
        <v>1</v>
      </c>
      <c r="G1874" s="7" t="n">
        <v>0</v>
      </c>
    </row>
    <row r="1875" customFormat="false" ht="15" hidden="false" customHeight="false" outlineLevel="0" collapsed="false">
      <c r="A1875" s="7" t="s">
        <v>24</v>
      </c>
      <c r="B1875" s="7" t="s">
        <v>816</v>
      </c>
      <c r="C1875" s="7" t="s">
        <v>1214</v>
      </c>
      <c r="D1875" s="7" t="n">
        <v>0</v>
      </c>
      <c r="E1875" s="7" t="n">
        <v>0</v>
      </c>
      <c r="F1875" s="7" t="n">
        <v>1</v>
      </c>
      <c r="G1875" s="7" t="n">
        <v>0</v>
      </c>
    </row>
    <row r="1876" customFormat="false" ht="15" hidden="false" customHeight="false" outlineLevel="0" collapsed="false">
      <c r="A1876" s="7" t="s">
        <v>24</v>
      </c>
      <c r="B1876" s="7" t="s">
        <v>816</v>
      </c>
      <c r="C1876" s="7" t="s">
        <v>1214</v>
      </c>
      <c r="D1876" s="7" t="n">
        <v>0</v>
      </c>
      <c r="E1876" s="7" t="n">
        <v>0</v>
      </c>
      <c r="F1876" s="7" t="n">
        <v>1</v>
      </c>
      <c r="G1876" s="7" t="n">
        <v>0</v>
      </c>
    </row>
    <row r="1877" customFormat="false" ht="15" hidden="false" customHeight="false" outlineLevel="0" collapsed="false">
      <c r="A1877" s="7" t="s">
        <v>24</v>
      </c>
      <c r="B1877" s="7" t="s">
        <v>816</v>
      </c>
      <c r="C1877" s="7" t="s">
        <v>1214</v>
      </c>
      <c r="D1877" s="7" t="n">
        <v>0</v>
      </c>
      <c r="E1877" s="7" t="n">
        <v>0</v>
      </c>
      <c r="F1877" s="7" t="n">
        <v>9</v>
      </c>
      <c r="G1877" s="7" t="n">
        <v>0</v>
      </c>
    </row>
    <row r="1878" customFormat="false" ht="15" hidden="false" customHeight="false" outlineLevel="0" collapsed="false">
      <c r="A1878" s="7" t="s">
        <v>24</v>
      </c>
      <c r="B1878" s="7" t="s">
        <v>816</v>
      </c>
      <c r="C1878" s="7" t="s">
        <v>1214</v>
      </c>
      <c r="D1878" s="7" t="n">
        <v>0</v>
      </c>
      <c r="E1878" s="7" t="n">
        <v>0</v>
      </c>
      <c r="F1878" s="7" t="n">
        <v>1</v>
      </c>
      <c r="G1878" s="7" t="n">
        <v>0</v>
      </c>
    </row>
    <row r="1879" customFormat="false" ht="15" hidden="false" customHeight="false" outlineLevel="0" collapsed="false">
      <c r="A1879" s="7" t="s">
        <v>24</v>
      </c>
      <c r="B1879" s="7" t="s">
        <v>816</v>
      </c>
      <c r="C1879" s="7" t="s">
        <v>1214</v>
      </c>
      <c r="D1879" s="7" t="n">
        <v>0</v>
      </c>
      <c r="E1879" s="7" t="n">
        <v>0</v>
      </c>
      <c r="F1879" s="7" t="n">
        <v>2</v>
      </c>
      <c r="G1879" s="7" t="n">
        <v>0</v>
      </c>
    </row>
    <row r="1880" customFormat="false" ht="15" hidden="false" customHeight="false" outlineLevel="0" collapsed="false">
      <c r="A1880" s="7" t="s">
        <v>24</v>
      </c>
      <c r="B1880" s="7" t="s">
        <v>816</v>
      </c>
      <c r="C1880" s="7" t="s">
        <v>1214</v>
      </c>
      <c r="D1880" s="7" t="n">
        <v>0</v>
      </c>
      <c r="E1880" s="7" t="n">
        <v>0</v>
      </c>
      <c r="F1880" s="7" t="n">
        <v>1</v>
      </c>
      <c r="G1880" s="7" t="n">
        <v>0</v>
      </c>
    </row>
    <row r="1881" customFormat="false" ht="15" hidden="false" customHeight="false" outlineLevel="0" collapsed="false">
      <c r="A1881" s="7" t="s">
        <v>24</v>
      </c>
      <c r="B1881" s="7" t="s">
        <v>816</v>
      </c>
      <c r="C1881" s="7" t="s">
        <v>1214</v>
      </c>
      <c r="D1881" s="7" t="n">
        <v>0</v>
      </c>
      <c r="E1881" s="7" t="n">
        <v>0</v>
      </c>
      <c r="F1881" s="7" t="n">
        <v>9</v>
      </c>
      <c r="G1881" s="7" t="n">
        <v>0</v>
      </c>
    </row>
    <row r="1882" customFormat="false" ht="15" hidden="false" customHeight="false" outlineLevel="0" collapsed="false">
      <c r="A1882" s="7" t="s">
        <v>24</v>
      </c>
      <c r="B1882" s="7" t="s">
        <v>816</v>
      </c>
      <c r="C1882" s="7" t="s">
        <v>1214</v>
      </c>
      <c r="D1882" s="7" t="n">
        <v>0</v>
      </c>
      <c r="E1882" s="7" t="n">
        <v>0</v>
      </c>
      <c r="F1882" s="7" t="n">
        <v>8</v>
      </c>
      <c r="G1882" s="7" t="n">
        <v>0</v>
      </c>
    </row>
    <row r="1883" customFormat="false" ht="15" hidden="false" customHeight="false" outlineLevel="0" collapsed="false">
      <c r="A1883" s="7" t="s">
        <v>24</v>
      </c>
      <c r="B1883" s="7" t="s">
        <v>816</v>
      </c>
      <c r="C1883" s="7" t="s">
        <v>1214</v>
      </c>
      <c r="D1883" s="7" t="n">
        <v>0</v>
      </c>
      <c r="E1883" s="7" t="n">
        <v>0</v>
      </c>
      <c r="F1883" s="7" t="n">
        <v>2</v>
      </c>
      <c r="G1883" s="7" t="n">
        <v>0</v>
      </c>
    </row>
    <row r="1884" customFormat="false" ht="15" hidden="false" customHeight="false" outlineLevel="0" collapsed="false">
      <c r="A1884" s="7" t="s">
        <v>24</v>
      </c>
      <c r="B1884" s="7" t="s">
        <v>816</v>
      </c>
      <c r="C1884" s="7" t="s">
        <v>1214</v>
      </c>
      <c r="D1884" s="7" t="n">
        <v>0</v>
      </c>
      <c r="E1884" s="7" t="n">
        <v>0</v>
      </c>
      <c r="F1884" s="7" t="n">
        <v>1</v>
      </c>
      <c r="G1884" s="7" t="n">
        <v>0</v>
      </c>
    </row>
    <row r="1885" customFormat="false" ht="15" hidden="false" customHeight="false" outlineLevel="0" collapsed="false">
      <c r="A1885" s="7" t="s">
        <v>24</v>
      </c>
      <c r="B1885" s="7" t="s">
        <v>816</v>
      </c>
      <c r="C1885" s="7" t="s">
        <v>1214</v>
      </c>
      <c r="D1885" s="7" t="n">
        <v>0</v>
      </c>
      <c r="E1885" s="7" t="n">
        <v>0</v>
      </c>
      <c r="F1885" s="7" t="n">
        <v>2</v>
      </c>
      <c r="G1885" s="7" t="n">
        <v>0</v>
      </c>
    </row>
    <row r="1886" customFormat="false" ht="15" hidden="false" customHeight="false" outlineLevel="0" collapsed="false">
      <c r="A1886" s="7" t="s">
        <v>24</v>
      </c>
      <c r="B1886" s="7" t="s">
        <v>816</v>
      </c>
      <c r="C1886" s="7" t="s">
        <v>1214</v>
      </c>
      <c r="D1886" s="7" t="n">
        <v>0</v>
      </c>
      <c r="E1886" s="7" t="n">
        <v>0</v>
      </c>
      <c r="F1886" s="7" t="n">
        <v>1</v>
      </c>
      <c r="G1886" s="7" t="n">
        <v>0</v>
      </c>
    </row>
    <row r="1887" customFormat="false" ht="15" hidden="false" customHeight="false" outlineLevel="0" collapsed="false">
      <c r="A1887" s="7" t="s">
        <v>24</v>
      </c>
      <c r="B1887" s="7" t="s">
        <v>816</v>
      </c>
      <c r="C1887" s="7" t="s">
        <v>1214</v>
      </c>
      <c r="D1887" s="7" t="n">
        <v>0</v>
      </c>
      <c r="E1887" s="7" t="n">
        <v>0</v>
      </c>
      <c r="F1887" s="7" t="n">
        <v>1</v>
      </c>
      <c r="G1887" s="7" t="n">
        <v>0</v>
      </c>
    </row>
    <row r="1888" customFormat="false" ht="15" hidden="false" customHeight="false" outlineLevel="0" collapsed="false">
      <c r="A1888" s="7" t="s">
        <v>24</v>
      </c>
      <c r="B1888" s="7" t="s">
        <v>816</v>
      </c>
      <c r="C1888" s="7" t="s">
        <v>1214</v>
      </c>
      <c r="D1888" s="7" t="n">
        <v>0</v>
      </c>
      <c r="E1888" s="7" t="n">
        <v>0</v>
      </c>
      <c r="F1888" s="7" t="n">
        <v>2</v>
      </c>
      <c r="G1888" s="7" t="n">
        <v>0</v>
      </c>
    </row>
    <row r="1889" customFormat="false" ht="15" hidden="false" customHeight="false" outlineLevel="0" collapsed="false">
      <c r="A1889" s="7" t="s">
        <v>24</v>
      </c>
      <c r="B1889" s="7" t="s">
        <v>816</v>
      </c>
      <c r="C1889" s="7" t="s">
        <v>1214</v>
      </c>
      <c r="D1889" s="7" t="n">
        <v>0</v>
      </c>
      <c r="E1889" s="7" t="n">
        <v>0</v>
      </c>
      <c r="F1889" s="7" t="n">
        <v>1</v>
      </c>
      <c r="G1889" s="7" t="n">
        <v>0</v>
      </c>
    </row>
    <row r="1890" customFormat="false" ht="15" hidden="false" customHeight="false" outlineLevel="0" collapsed="false">
      <c r="A1890" s="7" t="s">
        <v>24</v>
      </c>
      <c r="B1890" s="7" t="s">
        <v>816</v>
      </c>
      <c r="C1890" s="7" t="s">
        <v>1214</v>
      </c>
      <c r="D1890" s="7" t="n">
        <v>0</v>
      </c>
      <c r="E1890" s="7" t="n">
        <v>0</v>
      </c>
      <c r="F1890" s="7" t="n">
        <v>1</v>
      </c>
      <c r="G1890" s="7" t="n">
        <v>0</v>
      </c>
    </row>
    <row r="1891" customFormat="false" ht="15" hidden="false" customHeight="false" outlineLevel="0" collapsed="false">
      <c r="A1891" s="7" t="s">
        <v>24</v>
      </c>
      <c r="B1891" s="7" t="s">
        <v>816</v>
      </c>
      <c r="C1891" s="7" t="s">
        <v>1214</v>
      </c>
      <c r="D1891" s="7" t="n">
        <v>0</v>
      </c>
      <c r="E1891" s="7" t="n">
        <v>0</v>
      </c>
      <c r="F1891" s="7" t="n">
        <v>1</v>
      </c>
      <c r="G1891" s="7" t="n">
        <v>0</v>
      </c>
    </row>
    <row r="1892" customFormat="false" ht="15" hidden="false" customHeight="false" outlineLevel="0" collapsed="false">
      <c r="A1892" s="7" t="s">
        <v>24</v>
      </c>
      <c r="B1892" s="7" t="s">
        <v>816</v>
      </c>
      <c r="C1892" s="7" t="s">
        <v>1214</v>
      </c>
      <c r="D1892" s="7" t="n">
        <v>0</v>
      </c>
      <c r="E1892" s="7" t="n">
        <v>0</v>
      </c>
      <c r="F1892" s="7" t="n">
        <v>13</v>
      </c>
      <c r="G1892" s="7" t="n">
        <v>0</v>
      </c>
    </row>
    <row r="1893" customFormat="false" ht="15" hidden="false" customHeight="false" outlineLevel="0" collapsed="false">
      <c r="A1893" s="7" t="s">
        <v>24</v>
      </c>
      <c r="B1893" s="7" t="s">
        <v>816</v>
      </c>
      <c r="C1893" s="7" t="s">
        <v>1214</v>
      </c>
      <c r="D1893" s="7" t="n">
        <v>0</v>
      </c>
      <c r="E1893" s="7" t="n">
        <v>0</v>
      </c>
      <c r="F1893" s="7" t="n">
        <v>15</v>
      </c>
      <c r="G1893" s="7" t="n">
        <v>0</v>
      </c>
    </row>
    <row r="1894" customFormat="false" ht="15" hidden="false" customHeight="false" outlineLevel="0" collapsed="false">
      <c r="A1894" s="7" t="s">
        <v>24</v>
      </c>
      <c r="B1894" s="7" t="s">
        <v>816</v>
      </c>
      <c r="C1894" s="7" t="s">
        <v>1214</v>
      </c>
      <c r="D1894" s="7" t="n">
        <v>0</v>
      </c>
      <c r="E1894" s="7" t="n">
        <v>0</v>
      </c>
      <c r="F1894" s="7" t="n">
        <v>1</v>
      </c>
      <c r="G1894" s="7" t="n">
        <v>0</v>
      </c>
    </row>
    <row r="1895" customFormat="false" ht="15" hidden="false" customHeight="false" outlineLevel="0" collapsed="false">
      <c r="A1895" s="7" t="s">
        <v>24</v>
      </c>
      <c r="B1895" s="7" t="s">
        <v>816</v>
      </c>
      <c r="C1895" s="7" t="s">
        <v>1214</v>
      </c>
      <c r="D1895" s="7" t="n">
        <v>0</v>
      </c>
      <c r="E1895" s="7" t="n">
        <v>0</v>
      </c>
      <c r="F1895" s="7" t="n">
        <v>1</v>
      </c>
      <c r="G1895" s="7" t="n">
        <v>0</v>
      </c>
    </row>
    <row r="1896" customFormat="false" ht="15" hidden="false" customHeight="false" outlineLevel="0" collapsed="false">
      <c r="A1896" s="7" t="s">
        <v>24</v>
      </c>
      <c r="B1896" s="7" t="s">
        <v>816</v>
      </c>
      <c r="C1896" s="7" t="s">
        <v>1214</v>
      </c>
      <c r="D1896" s="7" t="n">
        <v>0</v>
      </c>
      <c r="E1896" s="7" t="n">
        <v>0</v>
      </c>
      <c r="F1896" s="7" t="n">
        <v>10</v>
      </c>
      <c r="G1896" s="7" t="n">
        <v>0</v>
      </c>
    </row>
    <row r="1897" customFormat="false" ht="15" hidden="false" customHeight="false" outlineLevel="0" collapsed="false">
      <c r="A1897" s="7" t="s">
        <v>24</v>
      </c>
      <c r="B1897" s="7" t="s">
        <v>816</v>
      </c>
      <c r="C1897" s="7" t="s">
        <v>1214</v>
      </c>
      <c r="D1897" s="7" t="n">
        <v>0</v>
      </c>
      <c r="E1897" s="7" t="n">
        <v>0</v>
      </c>
      <c r="F1897" s="7" t="n">
        <v>2</v>
      </c>
      <c r="G1897" s="7" t="n">
        <v>0</v>
      </c>
    </row>
    <row r="1898" customFormat="false" ht="15" hidden="false" customHeight="false" outlineLevel="0" collapsed="false">
      <c r="A1898" s="7" t="s">
        <v>24</v>
      </c>
      <c r="B1898" s="7" t="s">
        <v>816</v>
      </c>
      <c r="C1898" s="7" t="s">
        <v>1214</v>
      </c>
      <c r="D1898" s="7" t="n">
        <v>0</v>
      </c>
      <c r="E1898" s="7" t="n">
        <v>0</v>
      </c>
      <c r="F1898" s="7" t="n">
        <v>4</v>
      </c>
      <c r="G1898" s="7" t="n">
        <v>0</v>
      </c>
    </row>
    <row r="1899" customFormat="false" ht="15" hidden="false" customHeight="false" outlineLevel="0" collapsed="false">
      <c r="A1899" s="7" t="s">
        <v>24</v>
      </c>
      <c r="B1899" s="7" t="s">
        <v>816</v>
      </c>
      <c r="C1899" s="7" t="s">
        <v>1214</v>
      </c>
      <c r="D1899" s="7" t="n">
        <v>0</v>
      </c>
      <c r="E1899" s="7" t="n">
        <v>0</v>
      </c>
      <c r="F1899" s="7" t="n">
        <v>1</v>
      </c>
      <c r="G1899" s="7" t="n">
        <v>0</v>
      </c>
    </row>
    <row r="1900" customFormat="false" ht="15" hidden="false" customHeight="false" outlineLevel="0" collapsed="false">
      <c r="A1900" s="7" t="s">
        <v>24</v>
      </c>
      <c r="B1900" s="7" t="s">
        <v>816</v>
      </c>
      <c r="C1900" s="7" t="s">
        <v>1214</v>
      </c>
      <c r="D1900" s="7" t="n">
        <v>0</v>
      </c>
      <c r="E1900" s="7" t="n">
        <v>0</v>
      </c>
      <c r="F1900" s="7" t="n">
        <v>2</v>
      </c>
      <c r="G1900" s="7" t="n">
        <v>0</v>
      </c>
    </row>
    <row r="1901" customFormat="false" ht="15" hidden="false" customHeight="false" outlineLevel="0" collapsed="false">
      <c r="A1901" s="7" t="s">
        <v>24</v>
      </c>
      <c r="B1901" s="7" t="s">
        <v>816</v>
      </c>
      <c r="C1901" s="7" t="s">
        <v>1214</v>
      </c>
      <c r="D1901" s="7" t="n">
        <v>0</v>
      </c>
      <c r="E1901" s="7" t="n">
        <v>0</v>
      </c>
      <c r="F1901" s="7" t="n">
        <v>1</v>
      </c>
      <c r="G1901" s="7" t="n">
        <v>0</v>
      </c>
    </row>
    <row r="1902" customFormat="false" ht="15" hidden="false" customHeight="false" outlineLevel="0" collapsed="false">
      <c r="A1902" s="7" t="s">
        <v>24</v>
      </c>
      <c r="B1902" s="7" t="s">
        <v>816</v>
      </c>
      <c r="C1902" s="7" t="s">
        <v>1214</v>
      </c>
      <c r="D1902" s="7" t="n">
        <v>0</v>
      </c>
      <c r="E1902" s="7" t="n">
        <v>0</v>
      </c>
      <c r="F1902" s="7" t="n">
        <v>4</v>
      </c>
      <c r="G1902" s="7" t="n">
        <v>0</v>
      </c>
    </row>
    <row r="1903" customFormat="false" ht="15" hidden="false" customHeight="false" outlineLevel="0" collapsed="false">
      <c r="A1903" s="7" t="s">
        <v>24</v>
      </c>
      <c r="B1903" s="7" t="s">
        <v>816</v>
      </c>
      <c r="C1903" s="7" t="s">
        <v>1214</v>
      </c>
      <c r="D1903" s="7" t="n">
        <v>0</v>
      </c>
      <c r="E1903" s="7" t="n">
        <v>0</v>
      </c>
      <c r="F1903" s="7" t="n">
        <v>1</v>
      </c>
      <c r="G1903" s="7" t="n">
        <v>0</v>
      </c>
    </row>
    <row r="1904" customFormat="false" ht="15" hidden="false" customHeight="false" outlineLevel="0" collapsed="false">
      <c r="A1904" s="7" t="s">
        <v>24</v>
      </c>
      <c r="B1904" s="7" t="s">
        <v>816</v>
      </c>
      <c r="C1904" s="7" t="s">
        <v>1214</v>
      </c>
      <c r="D1904" s="7" t="n">
        <v>0</v>
      </c>
      <c r="E1904" s="7" t="n">
        <v>0</v>
      </c>
      <c r="F1904" s="7" t="n">
        <v>1</v>
      </c>
      <c r="G1904" s="7" t="n">
        <v>0</v>
      </c>
    </row>
    <row r="1905" customFormat="false" ht="15" hidden="false" customHeight="false" outlineLevel="0" collapsed="false">
      <c r="A1905" s="7" t="s">
        <v>24</v>
      </c>
      <c r="B1905" s="7" t="s">
        <v>816</v>
      </c>
      <c r="C1905" s="7" t="s">
        <v>1214</v>
      </c>
      <c r="D1905" s="7" t="n">
        <v>0</v>
      </c>
      <c r="E1905" s="7" t="n">
        <v>0</v>
      </c>
      <c r="F1905" s="7" t="n">
        <v>1</v>
      </c>
      <c r="G1905" s="7" t="n">
        <v>0</v>
      </c>
    </row>
    <row r="1906" customFormat="false" ht="15" hidden="false" customHeight="false" outlineLevel="0" collapsed="false">
      <c r="A1906" s="7" t="s">
        <v>24</v>
      </c>
      <c r="B1906" s="7" t="s">
        <v>816</v>
      </c>
      <c r="C1906" s="7" t="s">
        <v>1214</v>
      </c>
      <c r="D1906" s="7" t="n">
        <v>0</v>
      </c>
      <c r="E1906" s="7" t="n">
        <v>0</v>
      </c>
      <c r="F1906" s="7" t="n">
        <v>2</v>
      </c>
      <c r="G1906" s="7" t="n">
        <v>0</v>
      </c>
    </row>
    <row r="1907" customFormat="false" ht="15" hidden="false" customHeight="false" outlineLevel="0" collapsed="false">
      <c r="A1907" s="7" t="s">
        <v>24</v>
      </c>
      <c r="B1907" s="7" t="s">
        <v>816</v>
      </c>
      <c r="C1907" s="7" t="s">
        <v>1214</v>
      </c>
      <c r="D1907" s="7" t="n">
        <v>0</v>
      </c>
      <c r="E1907" s="7" t="n">
        <v>0</v>
      </c>
      <c r="F1907" s="7" t="n">
        <v>1</v>
      </c>
      <c r="G1907" s="7" t="n">
        <v>0</v>
      </c>
    </row>
    <row r="1908" customFormat="false" ht="15" hidden="false" customHeight="false" outlineLevel="0" collapsed="false">
      <c r="A1908" s="7" t="s">
        <v>24</v>
      </c>
      <c r="B1908" s="7" t="s">
        <v>816</v>
      </c>
      <c r="C1908" s="7" t="s">
        <v>1214</v>
      </c>
      <c r="D1908" s="7" t="n">
        <v>0</v>
      </c>
      <c r="E1908" s="7" t="n">
        <v>0</v>
      </c>
      <c r="F1908" s="7" t="n">
        <v>1</v>
      </c>
      <c r="G1908" s="7" t="n">
        <v>0</v>
      </c>
    </row>
    <row r="1909" customFormat="false" ht="15" hidden="false" customHeight="false" outlineLevel="0" collapsed="false">
      <c r="A1909" s="7" t="s">
        <v>24</v>
      </c>
      <c r="B1909" s="7" t="s">
        <v>816</v>
      </c>
      <c r="C1909" s="7" t="s">
        <v>1214</v>
      </c>
      <c r="D1909" s="7" t="n">
        <v>0</v>
      </c>
      <c r="E1909" s="7" t="n">
        <v>0</v>
      </c>
      <c r="F1909" s="7" t="n">
        <v>4</v>
      </c>
      <c r="G1909" s="7" t="n">
        <v>0</v>
      </c>
    </row>
    <row r="1910" customFormat="false" ht="15" hidden="false" customHeight="false" outlineLevel="0" collapsed="false">
      <c r="A1910" s="7" t="s">
        <v>24</v>
      </c>
      <c r="B1910" s="7" t="s">
        <v>816</v>
      </c>
      <c r="C1910" s="7" t="s">
        <v>1214</v>
      </c>
      <c r="D1910" s="7" t="n">
        <v>0</v>
      </c>
      <c r="E1910" s="7" t="n">
        <v>0</v>
      </c>
      <c r="F1910" s="7" t="n">
        <v>13</v>
      </c>
      <c r="G1910" s="7" t="n">
        <v>0</v>
      </c>
    </row>
    <row r="1911" customFormat="false" ht="15" hidden="false" customHeight="false" outlineLevel="0" collapsed="false">
      <c r="A1911" s="7" t="s">
        <v>24</v>
      </c>
      <c r="B1911" s="7" t="s">
        <v>816</v>
      </c>
      <c r="C1911" s="7" t="s">
        <v>1214</v>
      </c>
      <c r="D1911" s="7" t="n">
        <v>0</v>
      </c>
      <c r="E1911" s="7" t="n">
        <v>0</v>
      </c>
      <c r="F1911" s="7" t="n">
        <v>2</v>
      </c>
      <c r="G1911" s="7" t="n">
        <v>0</v>
      </c>
    </row>
    <row r="1912" customFormat="false" ht="15" hidden="false" customHeight="false" outlineLevel="0" collapsed="false">
      <c r="A1912" s="7" t="s">
        <v>24</v>
      </c>
      <c r="B1912" s="7" t="s">
        <v>816</v>
      </c>
      <c r="C1912" s="7" t="s">
        <v>1214</v>
      </c>
      <c r="D1912" s="7" t="n">
        <v>0</v>
      </c>
      <c r="E1912" s="7" t="n">
        <v>0</v>
      </c>
      <c r="F1912" s="7" t="n">
        <v>1</v>
      </c>
      <c r="G1912" s="7" t="n">
        <v>0</v>
      </c>
    </row>
    <row r="1913" customFormat="false" ht="15" hidden="false" customHeight="false" outlineLevel="0" collapsed="false">
      <c r="A1913" s="7" t="s">
        <v>24</v>
      </c>
      <c r="B1913" s="7" t="s">
        <v>816</v>
      </c>
      <c r="C1913" s="7" t="s">
        <v>1214</v>
      </c>
      <c r="D1913" s="7" t="n">
        <v>0</v>
      </c>
      <c r="E1913" s="7" t="n">
        <v>0</v>
      </c>
      <c r="F1913" s="7" t="n">
        <v>52</v>
      </c>
      <c r="G1913" s="7" t="n">
        <v>0</v>
      </c>
    </row>
    <row r="1914" customFormat="false" ht="15" hidden="false" customHeight="false" outlineLevel="0" collapsed="false">
      <c r="A1914" s="7" t="s">
        <v>24</v>
      </c>
      <c r="B1914" s="7" t="s">
        <v>816</v>
      </c>
      <c r="C1914" s="7" t="s">
        <v>1214</v>
      </c>
      <c r="D1914" s="7" t="n">
        <v>0</v>
      </c>
      <c r="E1914" s="7" t="n">
        <v>0</v>
      </c>
      <c r="F1914" s="7" t="n">
        <v>1</v>
      </c>
      <c r="G1914" s="7" t="n">
        <v>0</v>
      </c>
    </row>
    <row r="1915" customFormat="false" ht="15" hidden="false" customHeight="false" outlineLevel="0" collapsed="false">
      <c r="A1915" s="7" t="s">
        <v>24</v>
      </c>
      <c r="B1915" s="7" t="s">
        <v>816</v>
      </c>
      <c r="C1915" s="7" t="s">
        <v>1214</v>
      </c>
      <c r="D1915" s="7" t="n">
        <v>0</v>
      </c>
      <c r="E1915" s="7" t="n">
        <v>0</v>
      </c>
      <c r="F1915" s="7" t="n">
        <v>1</v>
      </c>
      <c r="G1915" s="7" t="n">
        <v>0</v>
      </c>
    </row>
    <row r="1916" customFormat="false" ht="15" hidden="false" customHeight="false" outlineLevel="0" collapsed="false">
      <c r="A1916" s="7" t="s">
        <v>24</v>
      </c>
      <c r="B1916" s="7" t="s">
        <v>816</v>
      </c>
      <c r="C1916" s="7" t="s">
        <v>1214</v>
      </c>
      <c r="D1916" s="7" t="n">
        <v>0</v>
      </c>
      <c r="E1916" s="7" t="n">
        <v>0</v>
      </c>
      <c r="F1916" s="7" t="n">
        <v>1</v>
      </c>
      <c r="G1916" s="7" t="n">
        <v>0</v>
      </c>
    </row>
    <row r="1917" customFormat="false" ht="15" hidden="false" customHeight="false" outlineLevel="0" collapsed="false">
      <c r="A1917" s="7" t="s">
        <v>24</v>
      </c>
      <c r="B1917" s="7" t="s">
        <v>816</v>
      </c>
      <c r="C1917" s="7" t="s">
        <v>1214</v>
      </c>
      <c r="D1917" s="7" t="n">
        <v>0</v>
      </c>
      <c r="E1917" s="7" t="n">
        <v>0</v>
      </c>
      <c r="F1917" s="7" t="n">
        <v>3</v>
      </c>
      <c r="G1917" s="7" t="n">
        <v>0</v>
      </c>
    </row>
    <row r="1918" customFormat="false" ht="15" hidden="false" customHeight="false" outlineLevel="0" collapsed="false">
      <c r="A1918" s="7" t="s">
        <v>24</v>
      </c>
      <c r="B1918" s="7" t="s">
        <v>816</v>
      </c>
      <c r="C1918" s="7" t="s">
        <v>1214</v>
      </c>
      <c r="D1918" s="7" t="n">
        <v>0</v>
      </c>
      <c r="E1918" s="7" t="n">
        <v>0</v>
      </c>
      <c r="F1918" s="7" t="n">
        <v>2</v>
      </c>
      <c r="G1918" s="7" t="n">
        <v>0</v>
      </c>
    </row>
    <row r="1919" customFormat="false" ht="15" hidden="false" customHeight="false" outlineLevel="0" collapsed="false">
      <c r="A1919" s="7" t="s">
        <v>24</v>
      </c>
      <c r="B1919" s="7" t="s">
        <v>816</v>
      </c>
      <c r="C1919" s="7" t="s">
        <v>1214</v>
      </c>
      <c r="D1919" s="7" t="n">
        <v>0</v>
      </c>
      <c r="E1919" s="7" t="n">
        <v>0</v>
      </c>
      <c r="F1919" s="7" t="n">
        <v>1</v>
      </c>
      <c r="G1919" s="7" t="n">
        <v>0</v>
      </c>
    </row>
    <row r="1920" customFormat="false" ht="15" hidden="false" customHeight="false" outlineLevel="0" collapsed="false">
      <c r="A1920" s="7" t="s">
        <v>24</v>
      </c>
      <c r="B1920" s="7" t="s">
        <v>222</v>
      </c>
      <c r="C1920" s="7" t="s">
        <v>1215</v>
      </c>
      <c r="D1920" s="7" t="n">
        <v>13</v>
      </c>
      <c r="E1920" s="7" t="n">
        <v>1557.63</v>
      </c>
      <c r="F1920" s="7" t="n">
        <v>0</v>
      </c>
      <c r="G1920" s="7" t="n">
        <v>0</v>
      </c>
    </row>
    <row r="1921" customFormat="false" ht="15" hidden="false" customHeight="false" outlineLevel="0" collapsed="false">
      <c r="A1921" s="7" t="s">
        <v>24</v>
      </c>
      <c r="B1921" s="7" t="s">
        <v>773</v>
      </c>
      <c r="C1921" s="7" t="s">
        <v>1215</v>
      </c>
      <c r="D1921" s="7" t="n">
        <v>4</v>
      </c>
      <c r="E1921" s="7" t="n">
        <v>476.3</v>
      </c>
      <c r="F1921" s="7" t="n">
        <v>2</v>
      </c>
      <c r="G1921" s="7" t="n">
        <v>244.59</v>
      </c>
    </row>
    <row r="1922" customFormat="false" ht="15" hidden="false" customHeight="false" outlineLevel="0" collapsed="false">
      <c r="A1922" s="7" t="s">
        <v>24</v>
      </c>
      <c r="B1922" s="7" t="s">
        <v>773</v>
      </c>
      <c r="C1922" s="7" t="s">
        <v>1215</v>
      </c>
      <c r="D1922" s="7" t="n">
        <v>0</v>
      </c>
      <c r="E1922" s="7" t="n">
        <v>0</v>
      </c>
      <c r="F1922" s="7" t="n">
        <v>1</v>
      </c>
      <c r="G1922" s="7" t="n">
        <v>0</v>
      </c>
    </row>
    <row r="1923" customFormat="false" ht="15" hidden="false" customHeight="false" outlineLevel="0" collapsed="false">
      <c r="A1923" s="7" t="s">
        <v>24</v>
      </c>
      <c r="B1923" s="7" t="s">
        <v>773</v>
      </c>
      <c r="C1923" s="7" t="s">
        <v>1215</v>
      </c>
      <c r="D1923" s="7" t="n">
        <v>0</v>
      </c>
      <c r="E1923" s="7" t="n">
        <v>0</v>
      </c>
      <c r="F1923" s="7" t="n">
        <v>1</v>
      </c>
      <c r="G1923" s="7" t="n">
        <v>0</v>
      </c>
    </row>
    <row r="1924" customFormat="false" ht="15" hidden="false" customHeight="false" outlineLevel="0" collapsed="false">
      <c r="A1924" s="7" t="s">
        <v>24</v>
      </c>
      <c r="B1924" s="7" t="s">
        <v>773</v>
      </c>
      <c r="C1924" s="7" t="s">
        <v>1215</v>
      </c>
      <c r="D1924" s="7" t="n">
        <v>0</v>
      </c>
      <c r="E1924" s="7" t="n">
        <v>0</v>
      </c>
      <c r="F1924" s="7" t="n">
        <v>1</v>
      </c>
      <c r="G1924" s="7" t="n">
        <v>128.73</v>
      </c>
    </row>
    <row r="1925" customFormat="false" ht="15" hidden="false" customHeight="false" outlineLevel="0" collapsed="false">
      <c r="A1925" s="7" t="s">
        <v>24</v>
      </c>
      <c r="B1925" s="7" t="s">
        <v>773</v>
      </c>
      <c r="C1925" s="7" t="s">
        <v>1215</v>
      </c>
      <c r="D1925" s="7" t="n">
        <v>0</v>
      </c>
      <c r="E1925" s="7" t="n">
        <v>0</v>
      </c>
      <c r="F1925" s="7" t="n">
        <v>1</v>
      </c>
      <c r="G1925" s="7" t="n">
        <v>128.73</v>
      </c>
    </row>
    <row r="1926" customFormat="false" ht="15" hidden="false" customHeight="false" outlineLevel="0" collapsed="false">
      <c r="A1926" s="7" t="s">
        <v>24</v>
      </c>
      <c r="B1926" s="7" t="s">
        <v>691</v>
      </c>
      <c r="C1926" s="7" t="s">
        <v>1216</v>
      </c>
      <c r="D1926" s="7" t="n">
        <v>1</v>
      </c>
      <c r="E1926" s="7" t="n">
        <v>102.98</v>
      </c>
      <c r="F1926" s="7" t="n">
        <v>0</v>
      </c>
      <c r="G1926" s="7" t="n">
        <v>0</v>
      </c>
    </row>
    <row r="1927" customFormat="false" ht="15" hidden="false" customHeight="false" outlineLevel="0" collapsed="false">
      <c r="A1927" s="7" t="s">
        <v>24</v>
      </c>
      <c r="B1927" s="7" t="s">
        <v>668</v>
      </c>
      <c r="C1927" s="7" t="s">
        <v>1217</v>
      </c>
      <c r="D1927" s="7" t="n">
        <v>1</v>
      </c>
      <c r="E1927" s="7" t="n">
        <v>128.73</v>
      </c>
      <c r="F1927" s="7" t="n">
        <v>1</v>
      </c>
      <c r="G1927" s="7" t="n">
        <v>128.73</v>
      </c>
    </row>
    <row r="1928" customFormat="false" ht="15" hidden="false" customHeight="false" outlineLevel="0" collapsed="false">
      <c r="A1928" s="7" t="s">
        <v>24</v>
      </c>
      <c r="B1928" s="7" t="s">
        <v>668</v>
      </c>
      <c r="C1928" s="7" t="s">
        <v>1217</v>
      </c>
      <c r="D1928" s="7" t="n">
        <v>0</v>
      </c>
      <c r="E1928" s="7" t="n">
        <v>0</v>
      </c>
      <c r="F1928" s="7" t="n">
        <v>1</v>
      </c>
      <c r="G1928" s="7" t="n">
        <v>0.01</v>
      </c>
    </row>
    <row r="1929" customFormat="false" ht="15" hidden="false" customHeight="false" outlineLevel="0" collapsed="false">
      <c r="A1929" s="7" t="s">
        <v>24</v>
      </c>
      <c r="B1929" s="7" t="s">
        <v>668</v>
      </c>
      <c r="C1929" s="7" t="s">
        <v>1217</v>
      </c>
      <c r="D1929" s="7" t="n">
        <v>0</v>
      </c>
      <c r="E1929" s="7" t="n">
        <v>0</v>
      </c>
      <c r="F1929" s="7" t="n">
        <v>1</v>
      </c>
      <c r="G1929" s="7" t="n">
        <v>0</v>
      </c>
    </row>
    <row r="1930" customFormat="false" ht="15" hidden="false" customHeight="false" outlineLevel="0" collapsed="false">
      <c r="A1930" s="7" t="s">
        <v>24</v>
      </c>
      <c r="B1930" s="7" t="s">
        <v>668</v>
      </c>
      <c r="C1930" s="7" t="s">
        <v>1217</v>
      </c>
      <c r="D1930" s="7" t="n">
        <v>0</v>
      </c>
      <c r="E1930" s="7" t="n">
        <v>0</v>
      </c>
      <c r="F1930" s="7" t="n">
        <v>1</v>
      </c>
      <c r="G1930" s="7" t="n">
        <v>128.73</v>
      </c>
    </row>
    <row r="1931" customFormat="false" ht="15" hidden="false" customHeight="false" outlineLevel="0" collapsed="false">
      <c r="A1931" s="7" t="s">
        <v>24</v>
      </c>
      <c r="B1931" s="7" t="s">
        <v>469</v>
      </c>
      <c r="C1931" s="7" t="s">
        <v>1143</v>
      </c>
      <c r="D1931" s="7" t="n">
        <v>0</v>
      </c>
      <c r="E1931" s="7" t="n">
        <v>0</v>
      </c>
      <c r="F1931" s="7" t="n">
        <v>1</v>
      </c>
      <c r="G1931" s="7" t="n">
        <v>115.86</v>
      </c>
    </row>
    <row r="1932" customFormat="false" ht="15" hidden="false" customHeight="false" outlineLevel="0" collapsed="false">
      <c r="A1932" s="7" t="s">
        <v>24</v>
      </c>
      <c r="B1932" s="7" t="s">
        <v>469</v>
      </c>
      <c r="C1932" s="7" t="s">
        <v>1143</v>
      </c>
      <c r="D1932" s="7" t="n">
        <v>0</v>
      </c>
      <c r="E1932" s="7" t="n">
        <v>0</v>
      </c>
      <c r="F1932" s="7" t="n">
        <v>1</v>
      </c>
      <c r="G1932" s="7" t="n">
        <v>128.73</v>
      </c>
    </row>
    <row r="1933" customFormat="false" ht="15" hidden="false" customHeight="false" outlineLevel="0" collapsed="false">
      <c r="A1933" s="7" t="s">
        <v>24</v>
      </c>
      <c r="B1933" s="7" t="s">
        <v>469</v>
      </c>
      <c r="C1933" s="7" t="s">
        <v>1143</v>
      </c>
      <c r="D1933" s="7" t="n">
        <v>0</v>
      </c>
      <c r="E1933" s="7" t="n">
        <v>0</v>
      </c>
      <c r="F1933" s="7" t="n">
        <v>1</v>
      </c>
      <c r="G1933" s="7" t="n">
        <v>128.73</v>
      </c>
    </row>
    <row r="1934" customFormat="false" ht="15" hidden="false" customHeight="false" outlineLevel="0" collapsed="false">
      <c r="A1934" s="7" t="s">
        <v>24</v>
      </c>
      <c r="B1934" s="7" t="s">
        <v>469</v>
      </c>
      <c r="C1934" s="7" t="s">
        <v>1143</v>
      </c>
      <c r="D1934" s="7" t="n">
        <v>0</v>
      </c>
      <c r="E1934" s="7" t="n">
        <v>0</v>
      </c>
      <c r="F1934" s="7" t="n">
        <v>1</v>
      </c>
      <c r="G1934" s="7" t="n">
        <v>102.98</v>
      </c>
    </row>
    <row r="1935" customFormat="false" ht="15" hidden="false" customHeight="false" outlineLevel="0" collapsed="false">
      <c r="A1935" s="7" t="s">
        <v>24</v>
      </c>
      <c r="B1935" s="7" t="s">
        <v>469</v>
      </c>
      <c r="C1935" s="7" t="s">
        <v>1143</v>
      </c>
      <c r="D1935" s="7" t="n">
        <v>13</v>
      </c>
      <c r="E1935" s="7" t="n">
        <v>1570.5</v>
      </c>
      <c r="F1935" s="7" t="n">
        <v>6</v>
      </c>
      <c r="G1935" s="7" t="n">
        <v>759.51</v>
      </c>
    </row>
    <row r="1936" customFormat="false" ht="15" hidden="false" customHeight="false" outlineLevel="0" collapsed="false">
      <c r="A1936" s="7" t="s">
        <v>24</v>
      </c>
      <c r="B1936" s="7" t="s">
        <v>469</v>
      </c>
      <c r="C1936" s="7" t="s">
        <v>1143</v>
      </c>
      <c r="D1936" s="7" t="n">
        <v>0</v>
      </c>
      <c r="E1936" s="7" t="n">
        <v>0</v>
      </c>
      <c r="F1936" s="7" t="n">
        <v>1</v>
      </c>
      <c r="G1936" s="7" t="n">
        <v>115.85</v>
      </c>
    </row>
    <row r="1937" customFormat="false" ht="15" hidden="false" customHeight="false" outlineLevel="0" collapsed="false">
      <c r="A1937" s="7" t="s">
        <v>24</v>
      </c>
      <c r="B1937" s="7" t="s">
        <v>469</v>
      </c>
      <c r="C1937" s="7" t="s">
        <v>1143</v>
      </c>
      <c r="D1937" s="7" t="n">
        <v>0</v>
      </c>
      <c r="E1937" s="7" t="n">
        <v>0</v>
      </c>
      <c r="F1937" s="7" t="n">
        <v>1</v>
      </c>
      <c r="G1937" s="7" t="n">
        <v>115.85</v>
      </c>
    </row>
    <row r="1938" customFormat="false" ht="15" hidden="false" customHeight="false" outlineLevel="0" collapsed="false">
      <c r="A1938" s="7" t="s">
        <v>24</v>
      </c>
      <c r="B1938" s="7" t="s">
        <v>469</v>
      </c>
      <c r="C1938" s="7" t="s">
        <v>1143</v>
      </c>
      <c r="D1938" s="7" t="n">
        <v>0</v>
      </c>
      <c r="E1938" s="7" t="n">
        <v>0</v>
      </c>
      <c r="F1938" s="7" t="n">
        <v>1</v>
      </c>
      <c r="G1938" s="7" t="n">
        <v>128.73</v>
      </c>
    </row>
    <row r="1939" customFormat="false" ht="15" hidden="false" customHeight="false" outlineLevel="0" collapsed="false">
      <c r="A1939" s="7" t="s">
        <v>24</v>
      </c>
      <c r="B1939" s="7" t="s">
        <v>469</v>
      </c>
      <c r="C1939" s="7" t="s">
        <v>1143</v>
      </c>
      <c r="D1939" s="7" t="n">
        <v>0</v>
      </c>
      <c r="E1939" s="7" t="n">
        <v>0</v>
      </c>
      <c r="F1939" s="7" t="n">
        <v>1</v>
      </c>
      <c r="G1939" s="7" t="n">
        <v>128.72</v>
      </c>
    </row>
    <row r="1940" customFormat="false" ht="15" hidden="false" customHeight="false" outlineLevel="0" collapsed="false">
      <c r="A1940" s="7" t="s">
        <v>24</v>
      </c>
      <c r="B1940" s="7" t="s">
        <v>469</v>
      </c>
      <c r="C1940" s="7" t="s">
        <v>1143</v>
      </c>
      <c r="D1940" s="7" t="n">
        <v>0</v>
      </c>
      <c r="E1940" s="7" t="n">
        <v>0</v>
      </c>
      <c r="F1940" s="7" t="n">
        <v>1</v>
      </c>
      <c r="G1940" s="7" t="n">
        <v>115.85</v>
      </c>
    </row>
    <row r="1941" customFormat="false" ht="15" hidden="false" customHeight="false" outlineLevel="0" collapsed="false">
      <c r="A1941" s="7" t="s">
        <v>24</v>
      </c>
      <c r="B1941" s="7" t="s">
        <v>469</v>
      </c>
      <c r="C1941" s="7" t="s">
        <v>1143</v>
      </c>
      <c r="D1941" s="7" t="n">
        <v>0</v>
      </c>
      <c r="E1941" s="7" t="n">
        <v>0</v>
      </c>
      <c r="F1941" s="7" t="n">
        <v>1</v>
      </c>
      <c r="G1941" s="7" t="n">
        <v>102.99</v>
      </c>
    </row>
    <row r="1942" customFormat="false" ht="15" hidden="false" customHeight="false" outlineLevel="0" collapsed="false">
      <c r="A1942" s="7" t="s">
        <v>24</v>
      </c>
      <c r="B1942" s="7" t="s">
        <v>342</v>
      </c>
      <c r="C1942" s="7" t="s">
        <v>1143</v>
      </c>
      <c r="D1942" s="7" t="n">
        <v>1</v>
      </c>
      <c r="E1942" s="7" t="n">
        <v>109.65</v>
      </c>
      <c r="F1942" s="7" t="n">
        <v>0</v>
      </c>
      <c r="G1942" s="7" t="n">
        <v>0</v>
      </c>
    </row>
    <row r="1943" customFormat="false" ht="15" hidden="false" customHeight="false" outlineLevel="0" collapsed="false">
      <c r="A1943" s="7" t="s">
        <v>24</v>
      </c>
      <c r="B1943" s="7" t="s">
        <v>342</v>
      </c>
      <c r="C1943" s="7" t="s">
        <v>1143</v>
      </c>
      <c r="D1943" s="7" t="n">
        <v>0</v>
      </c>
      <c r="E1943" s="7" t="n">
        <v>0</v>
      </c>
      <c r="F1943" s="7" t="n">
        <v>1</v>
      </c>
      <c r="G1943" s="7" t="n">
        <v>128.73</v>
      </c>
    </row>
    <row r="1944" customFormat="false" ht="15" hidden="false" customHeight="false" outlineLevel="0" collapsed="false">
      <c r="A1944" s="7" t="s">
        <v>24</v>
      </c>
      <c r="B1944" s="7" t="s">
        <v>342</v>
      </c>
      <c r="C1944" s="7" t="s">
        <v>1143</v>
      </c>
      <c r="D1944" s="7" t="n">
        <v>0</v>
      </c>
      <c r="E1944" s="7" t="n">
        <v>0</v>
      </c>
      <c r="F1944" s="7" t="n">
        <v>1</v>
      </c>
      <c r="G1944" s="7" t="n">
        <v>115.85</v>
      </c>
    </row>
    <row r="1945" customFormat="false" ht="15" hidden="false" customHeight="false" outlineLevel="0" collapsed="false">
      <c r="A1945" s="7" t="s">
        <v>24</v>
      </c>
      <c r="B1945" s="7" t="s">
        <v>342</v>
      </c>
      <c r="C1945" s="7" t="s">
        <v>1143</v>
      </c>
      <c r="D1945" s="7" t="n">
        <v>0</v>
      </c>
      <c r="E1945" s="7" t="n">
        <v>0</v>
      </c>
      <c r="F1945" s="7" t="n">
        <v>1</v>
      </c>
      <c r="G1945" s="7" t="n">
        <v>128.73</v>
      </c>
    </row>
    <row r="1946" customFormat="false" ht="15" hidden="false" customHeight="false" outlineLevel="0" collapsed="false">
      <c r="A1946" s="7" t="s">
        <v>24</v>
      </c>
      <c r="B1946" s="7" t="s">
        <v>342</v>
      </c>
      <c r="C1946" s="7" t="s">
        <v>1143</v>
      </c>
      <c r="D1946" s="7" t="n">
        <v>0</v>
      </c>
      <c r="E1946" s="7" t="n">
        <v>0</v>
      </c>
      <c r="F1946" s="7" t="n">
        <v>2</v>
      </c>
      <c r="G1946" s="7" t="n">
        <v>231.72</v>
      </c>
    </row>
    <row r="1947" customFormat="false" ht="15" hidden="false" customHeight="false" outlineLevel="0" collapsed="false">
      <c r="A1947" s="7" t="s">
        <v>24</v>
      </c>
      <c r="B1947" s="7" t="s">
        <v>342</v>
      </c>
      <c r="C1947" s="7" t="s">
        <v>1143</v>
      </c>
      <c r="D1947" s="7" t="n">
        <v>0</v>
      </c>
      <c r="E1947" s="7" t="n">
        <v>0</v>
      </c>
      <c r="F1947" s="7" t="n">
        <v>1</v>
      </c>
      <c r="G1947" s="7" t="n">
        <v>115.86</v>
      </c>
    </row>
    <row r="1948" customFormat="false" ht="15" hidden="false" customHeight="false" outlineLevel="0" collapsed="false">
      <c r="A1948" s="7" t="s">
        <v>24</v>
      </c>
      <c r="B1948" s="7" t="s">
        <v>342</v>
      </c>
      <c r="C1948" s="7" t="s">
        <v>1143</v>
      </c>
      <c r="D1948" s="7" t="n">
        <v>0</v>
      </c>
      <c r="E1948" s="7" t="n">
        <v>0</v>
      </c>
      <c r="F1948" s="7" t="n">
        <v>1</v>
      </c>
      <c r="G1948" s="7" t="n">
        <v>115.86</v>
      </c>
    </row>
    <row r="1949" customFormat="false" ht="15" hidden="false" customHeight="false" outlineLevel="0" collapsed="false">
      <c r="A1949" s="7" t="s">
        <v>24</v>
      </c>
      <c r="B1949" s="7" t="s">
        <v>342</v>
      </c>
      <c r="C1949" s="7" t="s">
        <v>1143</v>
      </c>
      <c r="D1949" s="7" t="n">
        <v>2</v>
      </c>
      <c r="E1949" s="7" t="n">
        <v>257.46</v>
      </c>
      <c r="F1949" s="7" t="n">
        <v>2</v>
      </c>
      <c r="G1949" s="7" t="n">
        <v>218.84</v>
      </c>
    </row>
    <row r="1950" customFormat="false" ht="15" hidden="false" customHeight="false" outlineLevel="0" collapsed="false">
      <c r="A1950" s="7" t="s">
        <v>24</v>
      </c>
      <c r="B1950" s="7" t="s">
        <v>620</v>
      </c>
      <c r="C1950" s="7" t="s">
        <v>1218</v>
      </c>
      <c r="D1950" s="7" t="n">
        <v>1</v>
      </c>
      <c r="E1950" s="7" t="n">
        <v>182.17</v>
      </c>
      <c r="F1950" s="7" t="n">
        <v>0</v>
      </c>
      <c r="G1950" s="7" t="n">
        <v>0</v>
      </c>
    </row>
    <row r="1951" customFormat="false" ht="15" hidden="false" customHeight="false" outlineLevel="0" collapsed="false">
      <c r="A1951" s="7" t="s">
        <v>24</v>
      </c>
      <c r="B1951" s="7" t="s">
        <v>569</v>
      </c>
      <c r="C1951" s="7" t="s">
        <v>1218</v>
      </c>
      <c r="D1951" s="7" t="n">
        <v>2</v>
      </c>
      <c r="E1951" s="7" t="n">
        <v>428.64</v>
      </c>
      <c r="F1951" s="7" t="n">
        <v>1</v>
      </c>
      <c r="G1951" s="7" t="n">
        <v>192.89</v>
      </c>
    </row>
    <row r="1952" customFormat="false" ht="15" hidden="false" customHeight="false" outlineLevel="0" collapsed="false">
      <c r="A1952" s="7" t="s">
        <v>24</v>
      </c>
      <c r="B1952" s="7" t="s">
        <v>630</v>
      </c>
      <c r="C1952" s="7" t="s">
        <v>1218</v>
      </c>
      <c r="D1952" s="7" t="n">
        <v>0</v>
      </c>
      <c r="E1952" s="7" t="n">
        <v>0</v>
      </c>
      <c r="F1952" s="7" t="n">
        <v>1</v>
      </c>
      <c r="G1952" s="7" t="n">
        <v>192.89</v>
      </c>
    </row>
    <row r="1953" customFormat="false" ht="15" hidden="false" customHeight="false" outlineLevel="0" collapsed="false">
      <c r="A1953" s="7" t="s">
        <v>24</v>
      </c>
      <c r="B1953" s="7" t="s">
        <v>630</v>
      </c>
      <c r="C1953" s="7" t="s">
        <v>1218</v>
      </c>
      <c r="D1953" s="7" t="n">
        <v>2</v>
      </c>
      <c r="E1953" s="7" t="n">
        <v>428.64</v>
      </c>
      <c r="F1953" s="7" t="n">
        <v>2</v>
      </c>
      <c r="G1953" s="7" t="n">
        <v>407.2</v>
      </c>
    </row>
    <row r="1954" customFormat="false" ht="15" hidden="false" customHeight="false" outlineLevel="0" collapsed="false">
      <c r="A1954" s="7" t="s">
        <v>24</v>
      </c>
      <c r="B1954" s="7" t="s">
        <v>492</v>
      </c>
      <c r="C1954" s="7" t="s">
        <v>1218</v>
      </c>
      <c r="D1954" s="7" t="n">
        <v>0</v>
      </c>
      <c r="E1954" s="7" t="n">
        <v>0</v>
      </c>
      <c r="F1954" s="7" t="n">
        <v>1</v>
      </c>
      <c r="G1954" s="7" t="n">
        <v>127.4</v>
      </c>
    </row>
    <row r="1955" customFormat="false" ht="15" hidden="false" customHeight="false" outlineLevel="0" collapsed="false">
      <c r="A1955" s="7" t="s">
        <v>24</v>
      </c>
      <c r="B1955" s="7" t="s">
        <v>492</v>
      </c>
      <c r="C1955" s="7" t="s">
        <v>1218</v>
      </c>
      <c r="D1955" s="7" t="n">
        <v>4</v>
      </c>
      <c r="E1955" s="7" t="n">
        <v>782.27</v>
      </c>
      <c r="F1955" s="7" t="n">
        <v>1</v>
      </c>
      <c r="G1955" s="7" t="n">
        <v>192.89</v>
      </c>
    </row>
    <row r="1956" customFormat="false" ht="15" hidden="false" customHeight="false" outlineLevel="0" collapsed="false">
      <c r="A1956" s="7" t="s">
        <v>24</v>
      </c>
      <c r="B1956" s="7" t="s">
        <v>492</v>
      </c>
      <c r="C1956" s="7" t="s">
        <v>1218</v>
      </c>
      <c r="D1956" s="7" t="n">
        <v>0</v>
      </c>
      <c r="E1956" s="7" t="n">
        <v>0</v>
      </c>
      <c r="F1956" s="7" t="n">
        <v>1</v>
      </c>
      <c r="G1956" s="7" t="n">
        <v>127.03</v>
      </c>
    </row>
    <row r="1957" customFormat="false" ht="15" hidden="false" customHeight="false" outlineLevel="0" collapsed="false">
      <c r="A1957" s="7" t="s">
        <v>24</v>
      </c>
      <c r="B1957" s="7" t="s">
        <v>432</v>
      </c>
      <c r="C1957" s="7" t="s">
        <v>1218</v>
      </c>
      <c r="D1957" s="7" t="n">
        <v>4</v>
      </c>
      <c r="E1957" s="7" t="n">
        <v>814.42</v>
      </c>
      <c r="F1957" s="7" t="n">
        <v>4</v>
      </c>
      <c r="G1957" s="7" t="n">
        <v>727.13</v>
      </c>
    </row>
    <row r="1958" customFormat="false" ht="15" hidden="false" customHeight="false" outlineLevel="0" collapsed="false">
      <c r="A1958" s="7" t="s">
        <v>24</v>
      </c>
      <c r="B1958" s="7" t="s">
        <v>432</v>
      </c>
      <c r="C1958" s="7" t="s">
        <v>1218</v>
      </c>
      <c r="D1958" s="7" t="n">
        <v>0</v>
      </c>
      <c r="E1958" s="7" t="n">
        <v>0</v>
      </c>
      <c r="F1958" s="7" t="n">
        <v>1</v>
      </c>
      <c r="G1958" s="7" t="n">
        <v>214.32</v>
      </c>
    </row>
    <row r="1959" customFormat="false" ht="15" hidden="false" customHeight="false" outlineLevel="0" collapsed="false">
      <c r="A1959" s="7" t="s">
        <v>24</v>
      </c>
      <c r="B1959" s="7" t="s">
        <v>432</v>
      </c>
      <c r="C1959" s="7" t="s">
        <v>1218</v>
      </c>
      <c r="D1959" s="7" t="n">
        <v>0</v>
      </c>
      <c r="E1959" s="7" t="n">
        <v>0</v>
      </c>
      <c r="F1959" s="7" t="n">
        <v>1</v>
      </c>
      <c r="G1959" s="7" t="n">
        <v>127.03</v>
      </c>
    </row>
    <row r="1960" customFormat="false" ht="15" hidden="false" customHeight="false" outlineLevel="0" collapsed="false">
      <c r="A1960" s="7" t="s">
        <v>24</v>
      </c>
      <c r="B1960" s="7" t="s">
        <v>432</v>
      </c>
      <c r="C1960" s="7" t="s">
        <v>1218</v>
      </c>
      <c r="D1960" s="7" t="n">
        <v>0</v>
      </c>
      <c r="E1960" s="7" t="n">
        <v>0</v>
      </c>
      <c r="F1960" s="7" t="n">
        <v>1</v>
      </c>
      <c r="G1960" s="7" t="n">
        <v>214.33</v>
      </c>
    </row>
    <row r="1961" customFormat="false" ht="15" hidden="false" customHeight="false" outlineLevel="0" collapsed="false">
      <c r="A1961" s="7" t="s">
        <v>24</v>
      </c>
      <c r="B1961" s="7" t="s">
        <v>361</v>
      </c>
      <c r="C1961" s="7" t="s">
        <v>1083</v>
      </c>
      <c r="D1961" s="7" t="n">
        <v>0</v>
      </c>
      <c r="E1961" s="7" t="n">
        <v>0</v>
      </c>
      <c r="F1961" s="7" t="n">
        <v>1</v>
      </c>
      <c r="G1961" s="7" t="n">
        <v>144</v>
      </c>
    </row>
    <row r="1962" customFormat="false" ht="15" hidden="false" customHeight="false" outlineLevel="0" collapsed="false">
      <c r="A1962" s="7" t="s">
        <v>24</v>
      </c>
      <c r="B1962" s="7" t="s">
        <v>361</v>
      </c>
      <c r="C1962" s="7" t="s">
        <v>1083</v>
      </c>
      <c r="D1962" s="7" t="n">
        <v>0</v>
      </c>
      <c r="E1962" s="7" t="n">
        <v>0</v>
      </c>
      <c r="F1962" s="7" t="n">
        <v>2</v>
      </c>
      <c r="G1962" s="7" t="n">
        <v>304.93</v>
      </c>
    </row>
    <row r="1963" customFormat="false" ht="15" hidden="false" customHeight="false" outlineLevel="0" collapsed="false">
      <c r="A1963" s="7" t="s">
        <v>24</v>
      </c>
      <c r="B1963" s="7" t="s">
        <v>361</v>
      </c>
      <c r="C1963" s="7" t="s">
        <v>1083</v>
      </c>
      <c r="D1963" s="7" t="n">
        <v>0</v>
      </c>
      <c r="E1963" s="7" t="n">
        <v>0</v>
      </c>
      <c r="F1963" s="7" t="n">
        <v>1</v>
      </c>
      <c r="G1963" s="7" t="n">
        <v>169.4</v>
      </c>
    </row>
    <row r="1964" customFormat="false" ht="15" hidden="false" customHeight="false" outlineLevel="0" collapsed="false">
      <c r="A1964" s="7" t="s">
        <v>24</v>
      </c>
      <c r="B1964" s="7" t="s">
        <v>319</v>
      </c>
      <c r="C1964" s="7" t="s">
        <v>1083</v>
      </c>
      <c r="D1964" s="7" t="n">
        <v>0</v>
      </c>
      <c r="E1964" s="7" t="n">
        <v>0</v>
      </c>
      <c r="F1964" s="7" t="n">
        <v>1</v>
      </c>
      <c r="G1964" s="7" t="n">
        <v>169.4</v>
      </c>
    </row>
    <row r="1965" customFormat="false" ht="15" hidden="false" customHeight="false" outlineLevel="0" collapsed="false">
      <c r="A1965" s="7" t="s">
        <v>24</v>
      </c>
      <c r="B1965" s="7" t="s">
        <v>319</v>
      </c>
      <c r="C1965" s="7" t="s">
        <v>1083</v>
      </c>
      <c r="D1965" s="7" t="n">
        <v>0</v>
      </c>
      <c r="E1965" s="7" t="n">
        <v>0</v>
      </c>
      <c r="F1965" s="7" t="n">
        <v>1</v>
      </c>
      <c r="G1965" s="7" t="n">
        <v>169.41</v>
      </c>
    </row>
    <row r="1966" customFormat="false" ht="15" hidden="false" customHeight="false" outlineLevel="0" collapsed="false">
      <c r="A1966" s="7" t="s">
        <v>24</v>
      </c>
      <c r="B1966" s="7" t="s">
        <v>319</v>
      </c>
      <c r="C1966" s="7" t="s">
        <v>1083</v>
      </c>
      <c r="D1966" s="7" t="n">
        <v>0</v>
      </c>
      <c r="E1966" s="7" t="n">
        <v>0</v>
      </c>
      <c r="F1966" s="7" t="n">
        <v>1</v>
      </c>
      <c r="G1966" s="7" t="n">
        <v>169.41</v>
      </c>
    </row>
    <row r="1967" customFormat="false" ht="15" hidden="false" customHeight="false" outlineLevel="0" collapsed="false">
      <c r="A1967" s="7" t="s">
        <v>24</v>
      </c>
      <c r="B1967" s="7" t="s">
        <v>319</v>
      </c>
      <c r="C1967" s="7" t="s">
        <v>1083</v>
      </c>
      <c r="D1967" s="7" t="n">
        <v>0</v>
      </c>
      <c r="E1967" s="7" t="n">
        <v>0</v>
      </c>
      <c r="F1967" s="7" t="n">
        <v>1</v>
      </c>
      <c r="G1967" s="7" t="n">
        <v>152.46</v>
      </c>
    </row>
    <row r="1968" customFormat="false" ht="15" hidden="false" customHeight="false" outlineLevel="0" collapsed="false">
      <c r="A1968" s="7" t="s">
        <v>24</v>
      </c>
      <c r="B1968" s="7" t="s">
        <v>319</v>
      </c>
      <c r="C1968" s="7" t="s">
        <v>1083</v>
      </c>
      <c r="D1968" s="7" t="n">
        <v>0</v>
      </c>
      <c r="E1968" s="7" t="n">
        <v>0</v>
      </c>
      <c r="F1968" s="7" t="n">
        <v>1</v>
      </c>
      <c r="G1968" s="7" t="n">
        <v>135.53</v>
      </c>
    </row>
    <row r="1969" customFormat="false" ht="15" hidden="false" customHeight="false" outlineLevel="0" collapsed="false">
      <c r="A1969" s="7" t="s">
        <v>24</v>
      </c>
      <c r="B1969" s="7" t="s">
        <v>208</v>
      </c>
      <c r="C1969" s="7" t="s">
        <v>1083</v>
      </c>
      <c r="D1969" s="7" t="n">
        <v>0</v>
      </c>
      <c r="E1969" s="7" t="n">
        <v>0</v>
      </c>
      <c r="F1969" s="7" t="n">
        <v>1</v>
      </c>
      <c r="G1969" s="7" t="n">
        <v>169.41</v>
      </c>
    </row>
    <row r="1970" customFormat="false" ht="15" hidden="false" customHeight="false" outlineLevel="0" collapsed="false">
      <c r="A1970" s="7" t="s">
        <v>24</v>
      </c>
      <c r="B1970" s="7" t="s">
        <v>208</v>
      </c>
      <c r="C1970" s="7" t="s">
        <v>1083</v>
      </c>
      <c r="D1970" s="7" t="n">
        <v>0</v>
      </c>
      <c r="E1970" s="7" t="n">
        <v>0</v>
      </c>
      <c r="F1970" s="7" t="n">
        <v>1</v>
      </c>
      <c r="G1970" s="7" t="n">
        <v>169.4</v>
      </c>
    </row>
    <row r="1971" customFormat="false" ht="15" hidden="false" customHeight="false" outlineLevel="0" collapsed="false">
      <c r="A1971" s="7" t="s">
        <v>24</v>
      </c>
      <c r="B1971" s="7" t="s">
        <v>208</v>
      </c>
      <c r="C1971" s="7" t="s">
        <v>1083</v>
      </c>
      <c r="D1971" s="7" t="n">
        <v>0</v>
      </c>
      <c r="E1971" s="7" t="n">
        <v>0</v>
      </c>
      <c r="F1971" s="7" t="n">
        <v>1</v>
      </c>
      <c r="G1971" s="7" t="n">
        <v>152.46</v>
      </c>
    </row>
    <row r="1972" customFormat="false" ht="15" hidden="false" customHeight="false" outlineLevel="0" collapsed="false">
      <c r="A1972" s="7" t="s">
        <v>24</v>
      </c>
      <c r="B1972" s="7" t="s">
        <v>208</v>
      </c>
      <c r="C1972" s="7" t="s">
        <v>1083</v>
      </c>
      <c r="D1972" s="7" t="n">
        <v>0</v>
      </c>
      <c r="E1972" s="7" t="n">
        <v>0</v>
      </c>
      <c r="F1972" s="7" t="n">
        <v>1</v>
      </c>
      <c r="G1972" s="7" t="n">
        <v>152.47</v>
      </c>
    </row>
    <row r="1973" customFormat="false" ht="15" hidden="false" customHeight="false" outlineLevel="0" collapsed="false">
      <c r="A1973" s="7" t="s">
        <v>24</v>
      </c>
      <c r="B1973" s="7" t="s">
        <v>208</v>
      </c>
      <c r="C1973" s="7" t="s">
        <v>1083</v>
      </c>
      <c r="D1973" s="7" t="n">
        <v>0</v>
      </c>
      <c r="E1973" s="7" t="n">
        <v>0</v>
      </c>
      <c r="F1973" s="7" t="n">
        <v>1</v>
      </c>
      <c r="G1973" s="7" t="n">
        <v>169.4</v>
      </c>
    </row>
    <row r="1974" customFormat="false" ht="15" hidden="false" customHeight="false" outlineLevel="0" collapsed="false">
      <c r="A1974" s="7" t="s">
        <v>24</v>
      </c>
      <c r="B1974" s="7" t="s">
        <v>208</v>
      </c>
      <c r="C1974" s="7" t="s">
        <v>1083</v>
      </c>
      <c r="D1974" s="7" t="n">
        <v>0</v>
      </c>
      <c r="E1974" s="7" t="n">
        <v>0</v>
      </c>
      <c r="F1974" s="7" t="n">
        <v>1</v>
      </c>
      <c r="G1974" s="7" t="n">
        <v>169.41</v>
      </c>
    </row>
    <row r="1975" customFormat="false" ht="15" hidden="false" customHeight="false" outlineLevel="0" collapsed="false">
      <c r="A1975" s="7" t="s">
        <v>24</v>
      </c>
      <c r="B1975" s="7" t="s">
        <v>208</v>
      </c>
      <c r="C1975" s="7" t="s">
        <v>1083</v>
      </c>
      <c r="D1975" s="7" t="n">
        <v>0</v>
      </c>
      <c r="E1975" s="7" t="n">
        <v>0</v>
      </c>
      <c r="F1975" s="7" t="n">
        <v>1</v>
      </c>
      <c r="G1975" s="7" t="n">
        <v>169.41</v>
      </c>
    </row>
    <row r="1976" customFormat="false" ht="15" hidden="false" customHeight="false" outlineLevel="0" collapsed="false">
      <c r="A1976" s="7" t="s">
        <v>24</v>
      </c>
      <c r="B1976" s="7" t="s">
        <v>208</v>
      </c>
      <c r="C1976" s="7" t="s">
        <v>1083</v>
      </c>
      <c r="D1976" s="7" t="n">
        <v>0</v>
      </c>
      <c r="E1976" s="7" t="n">
        <v>0</v>
      </c>
      <c r="F1976" s="7" t="n">
        <v>2</v>
      </c>
      <c r="G1976" s="7" t="n">
        <v>338.81</v>
      </c>
    </row>
    <row r="1977" customFormat="false" ht="15" hidden="false" customHeight="false" outlineLevel="0" collapsed="false">
      <c r="A1977" s="7" t="s">
        <v>24</v>
      </c>
      <c r="B1977" s="7" t="s">
        <v>208</v>
      </c>
      <c r="C1977" s="7" t="s">
        <v>1083</v>
      </c>
      <c r="D1977" s="7" t="n">
        <v>0</v>
      </c>
      <c r="E1977" s="7" t="n">
        <v>0</v>
      </c>
      <c r="F1977" s="7" t="n">
        <v>1</v>
      </c>
      <c r="G1977" s="7" t="n">
        <v>169.41</v>
      </c>
    </row>
    <row r="1978" customFormat="false" ht="15" hidden="false" customHeight="false" outlineLevel="0" collapsed="false">
      <c r="A1978" s="7" t="s">
        <v>24</v>
      </c>
      <c r="B1978" s="7" t="s">
        <v>162</v>
      </c>
      <c r="C1978" s="7" t="s">
        <v>1083</v>
      </c>
      <c r="D1978" s="7" t="n">
        <v>0</v>
      </c>
      <c r="E1978" s="7" t="n">
        <v>0</v>
      </c>
      <c r="F1978" s="7" t="n">
        <v>1</v>
      </c>
      <c r="G1978" s="7" t="n">
        <v>169.41</v>
      </c>
    </row>
    <row r="1979" customFormat="false" ht="15" hidden="false" customHeight="false" outlineLevel="0" collapsed="false">
      <c r="A1979" s="7" t="s">
        <v>24</v>
      </c>
      <c r="B1979" s="7" t="s">
        <v>162</v>
      </c>
      <c r="C1979" s="7" t="s">
        <v>1083</v>
      </c>
      <c r="D1979" s="7" t="n">
        <v>0</v>
      </c>
      <c r="E1979" s="7" t="n">
        <v>0</v>
      </c>
      <c r="F1979" s="7" t="n">
        <v>1</v>
      </c>
      <c r="G1979" s="7" t="n">
        <v>169.4</v>
      </c>
    </row>
    <row r="1980" customFormat="false" ht="15" hidden="false" customHeight="false" outlineLevel="0" collapsed="false">
      <c r="A1980" s="7" t="s">
        <v>24</v>
      </c>
      <c r="B1980" s="7" t="s">
        <v>162</v>
      </c>
      <c r="C1980" s="7" t="s">
        <v>1083</v>
      </c>
      <c r="D1980" s="7" t="n">
        <v>0</v>
      </c>
      <c r="E1980" s="7" t="n">
        <v>0</v>
      </c>
      <c r="F1980" s="7" t="n">
        <v>1</v>
      </c>
      <c r="G1980" s="7" t="n">
        <v>144</v>
      </c>
    </row>
    <row r="1981" customFormat="false" ht="15" hidden="false" customHeight="false" outlineLevel="0" collapsed="false">
      <c r="A1981" s="7" t="s">
        <v>24</v>
      </c>
      <c r="B1981" s="7" t="s">
        <v>162</v>
      </c>
      <c r="C1981" s="7" t="s">
        <v>1083</v>
      </c>
      <c r="D1981" s="7" t="n">
        <v>0</v>
      </c>
      <c r="E1981" s="7" t="n">
        <v>0</v>
      </c>
      <c r="F1981" s="7" t="n">
        <v>1</v>
      </c>
      <c r="G1981" s="7" t="n">
        <v>152.47</v>
      </c>
    </row>
    <row r="1982" customFormat="false" ht="15" hidden="false" customHeight="false" outlineLevel="0" collapsed="false">
      <c r="A1982" s="7" t="s">
        <v>24</v>
      </c>
      <c r="B1982" s="7" t="s">
        <v>162</v>
      </c>
      <c r="C1982" s="7" t="s">
        <v>1083</v>
      </c>
      <c r="D1982" s="7" t="n">
        <v>0</v>
      </c>
      <c r="E1982" s="7" t="n">
        <v>0</v>
      </c>
      <c r="F1982" s="7" t="n">
        <v>1</v>
      </c>
      <c r="G1982" s="7" t="n">
        <v>169.41</v>
      </c>
    </row>
    <row r="1983" customFormat="false" ht="15" hidden="false" customHeight="false" outlineLevel="0" collapsed="false">
      <c r="A1983" s="7" t="s">
        <v>24</v>
      </c>
      <c r="B1983" s="7" t="s">
        <v>162</v>
      </c>
      <c r="C1983" s="7" t="s">
        <v>1083</v>
      </c>
      <c r="D1983" s="7" t="n">
        <v>0</v>
      </c>
      <c r="E1983" s="7" t="n">
        <v>0</v>
      </c>
      <c r="F1983" s="7" t="n">
        <v>1</v>
      </c>
      <c r="G1983" s="7" t="n">
        <v>152.47</v>
      </c>
    </row>
    <row r="1984" customFormat="false" ht="15" hidden="false" customHeight="false" outlineLevel="0" collapsed="false">
      <c r="A1984" s="7" t="s">
        <v>24</v>
      </c>
      <c r="B1984" s="7" t="s">
        <v>162</v>
      </c>
      <c r="C1984" s="7" t="s">
        <v>1083</v>
      </c>
      <c r="D1984" s="7" t="n">
        <v>0</v>
      </c>
      <c r="E1984" s="7" t="n">
        <v>0</v>
      </c>
      <c r="F1984" s="7" t="n">
        <v>1</v>
      </c>
      <c r="G1984" s="7" t="n">
        <v>169.41</v>
      </c>
    </row>
    <row r="1985" customFormat="false" ht="15" hidden="false" customHeight="false" outlineLevel="0" collapsed="false">
      <c r="A1985" s="7" t="s">
        <v>24</v>
      </c>
      <c r="B1985" s="7" t="s">
        <v>162</v>
      </c>
      <c r="C1985" s="7" t="s">
        <v>1083</v>
      </c>
      <c r="D1985" s="7" t="n">
        <v>0</v>
      </c>
      <c r="E1985" s="7" t="n">
        <v>0</v>
      </c>
      <c r="F1985" s="7" t="n">
        <v>1</v>
      </c>
      <c r="G1985" s="7" t="n">
        <v>152.47</v>
      </c>
    </row>
    <row r="1986" customFormat="false" ht="15" hidden="false" customHeight="false" outlineLevel="0" collapsed="false">
      <c r="A1986" s="7" t="s">
        <v>24</v>
      </c>
      <c r="B1986" s="7" t="s">
        <v>162</v>
      </c>
      <c r="C1986" s="7" t="s">
        <v>1083</v>
      </c>
      <c r="D1986" s="7" t="n">
        <v>0</v>
      </c>
      <c r="E1986" s="7" t="n">
        <v>0</v>
      </c>
      <c r="F1986" s="7" t="n">
        <v>2</v>
      </c>
      <c r="G1986" s="7" t="n">
        <v>313.41</v>
      </c>
    </row>
    <row r="1987" customFormat="false" ht="15" hidden="false" customHeight="false" outlineLevel="0" collapsed="false">
      <c r="A1987" s="7" t="s">
        <v>24</v>
      </c>
      <c r="B1987" s="7" t="s">
        <v>162</v>
      </c>
      <c r="C1987" s="7" t="s">
        <v>1083</v>
      </c>
      <c r="D1987" s="7" t="n">
        <v>0</v>
      </c>
      <c r="E1987" s="7" t="n">
        <v>0</v>
      </c>
      <c r="F1987" s="7" t="n">
        <v>1</v>
      </c>
      <c r="G1987" s="7" t="n">
        <v>144</v>
      </c>
    </row>
    <row r="1988" customFormat="false" ht="15" hidden="false" customHeight="false" outlineLevel="0" collapsed="false">
      <c r="A1988" s="7" t="s">
        <v>24</v>
      </c>
      <c r="B1988" s="7" t="s">
        <v>162</v>
      </c>
      <c r="C1988" s="7" t="s">
        <v>1083</v>
      </c>
      <c r="D1988" s="7" t="n">
        <v>0</v>
      </c>
      <c r="E1988" s="7" t="n">
        <v>0</v>
      </c>
      <c r="F1988" s="7" t="n">
        <v>1</v>
      </c>
      <c r="G1988" s="7" t="n">
        <v>169.41</v>
      </c>
    </row>
    <row r="1989" customFormat="false" ht="15" hidden="false" customHeight="false" outlineLevel="0" collapsed="false">
      <c r="A1989" s="7" t="s">
        <v>24</v>
      </c>
      <c r="B1989" s="7" t="s">
        <v>162</v>
      </c>
      <c r="C1989" s="7" t="s">
        <v>1083</v>
      </c>
      <c r="D1989" s="7" t="n">
        <v>0</v>
      </c>
      <c r="E1989" s="7" t="n">
        <v>0</v>
      </c>
      <c r="F1989" s="7" t="n">
        <v>2</v>
      </c>
      <c r="G1989" s="7" t="n">
        <v>338.82</v>
      </c>
    </row>
    <row r="1990" customFormat="false" ht="15" hidden="false" customHeight="false" outlineLevel="0" collapsed="false">
      <c r="A1990" s="7" t="s">
        <v>24</v>
      </c>
      <c r="B1990" s="7" t="s">
        <v>162</v>
      </c>
      <c r="C1990" s="7" t="s">
        <v>1083</v>
      </c>
      <c r="D1990" s="7" t="n">
        <v>0</v>
      </c>
      <c r="E1990" s="7" t="n">
        <v>0</v>
      </c>
      <c r="F1990" s="7" t="n">
        <v>2</v>
      </c>
      <c r="G1990" s="7" t="n">
        <v>338.81</v>
      </c>
    </row>
    <row r="1991" customFormat="false" ht="15" hidden="false" customHeight="false" outlineLevel="0" collapsed="false">
      <c r="A1991" s="7" t="s">
        <v>24</v>
      </c>
      <c r="B1991" s="7" t="s">
        <v>162</v>
      </c>
      <c r="C1991" s="7" t="s">
        <v>1083</v>
      </c>
      <c r="D1991" s="7" t="n">
        <v>0</v>
      </c>
      <c r="E1991" s="7" t="n">
        <v>0</v>
      </c>
      <c r="F1991" s="7" t="n">
        <v>1</v>
      </c>
      <c r="G1991" s="7" t="n">
        <v>169.4</v>
      </c>
    </row>
    <row r="1992" customFormat="false" ht="15" hidden="false" customHeight="false" outlineLevel="0" collapsed="false">
      <c r="A1992" s="7" t="s">
        <v>24</v>
      </c>
      <c r="B1992" s="7" t="s">
        <v>171</v>
      </c>
      <c r="C1992" s="7" t="s">
        <v>1083</v>
      </c>
      <c r="D1992" s="7" t="n">
        <v>0</v>
      </c>
      <c r="E1992" s="7" t="n">
        <v>0</v>
      </c>
      <c r="F1992" s="7" t="n">
        <v>1</v>
      </c>
      <c r="G1992" s="7" t="n">
        <v>169.4</v>
      </c>
    </row>
    <row r="1993" customFormat="false" ht="15" hidden="false" customHeight="false" outlineLevel="0" collapsed="false">
      <c r="A1993" s="7" t="s">
        <v>24</v>
      </c>
      <c r="B1993" s="7" t="s">
        <v>171</v>
      </c>
      <c r="C1993" s="7" t="s">
        <v>1083</v>
      </c>
      <c r="D1993" s="7" t="n">
        <v>0</v>
      </c>
      <c r="E1993" s="7" t="n">
        <v>0</v>
      </c>
      <c r="F1993" s="7" t="n">
        <v>2</v>
      </c>
      <c r="G1993" s="7" t="n">
        <v>304.92</v>
      </c>
    </row>
    <row r="1994" customFormat="false" ht="15" hidden="false" customHeight="false" outlineLevel="0" collapsed="false">
      <c r="A1994" s="7" t="s">
        <v>24</v>
      </c>
      <c r="B1994" s="7" t="s">
        <v>171</v>
      </c>
      <c r="C1994" s="7" t="s">
        <v>1083</v>
      </c>
      <c r="D1994" s="7" t="n">
        <v>0</v>
      </c>
      <c r="E1994" s="7" t="n">
        <v>0</v>
      </c>
      <c r="F1994" s="7" t="n">
        <v>1</v>
      </c>
      <c r="G1994" s="7" t="n">
        <v>169.41</v>
      </c>
    </row>
    <row r="1995" customFormat="false" ht="15" hidden="false" customHeight="false" outlineLevel="0" collapsed="false">
      <c r="A1995" s="7" t="s">
        <v>24</v>
      </c>
      <c r="B1995" s="7" t="s">
        <v>171</v>
      </c>
      <c r="C1995" s="7" t="s">
        <v>1083</v>
      </c>
      <c r="D1995" s="7" t="n">
        <v>0</v>
      </c>
      <c r="E1995" s="7" t="n">
        <v>0</v>
      </c>
      <c r="F1995" s="7" t="n">
        <v>1</v>
      </c>
      <c r="G1995" s="7" t="n">
        <v>169.41</v>
      </c>
    </row>
    <row r="1996" customFormat="false" ht="15" hidden="false" customHeight="false" outlineLevel="0" collapsed="false">
      <c r="A1996" s="7" t="s">
        <v>24</v>
      </c>
      <c r="B1996" s="7" t="s">
        <v>171</v>
      </c>
      <c r="C1996" s="7" t="s">
        <v>1083</v>
      </c>
      <c r="D1996" s="7" t="n">
        <v>0</v>
      </c>
      <c r="E1996" s="7" t="n">
        <v>0</v>
      </c>
      <c r="F1996" s="7" t="n">
        <v>2</v>
      </c>
      <c r="G1996" s="7" t="n">
        <v>271.05</v>
      </c>
    </row>
    <row r="1997" customFormat="false" ht="15" hidden="false" customHeight="false" outlineLevel="0" collapsed="false">
      <c r="A1997" s="7" t="s">
        <v>24</v>
      </c>
      <c r="B1997" s="7" t="s">
        <v>171</v>
      </c>
      <c r="C1997" s="7" t="s">
        <v>1083</v>
      </c>
      <c r="D1997" s="7" t="n">
        <v>0</v>
      </c>
      <c r="E1997" s="7" t="n">
        <v>0</v>
      </c>
      <c r="F1997" s="7" t="n">
        <v>1</v>
      </c>
      <c r="G1997" s="7" t="n">
        <v>152.47</v>
      </c>
    </row>
    <row r="1998" customFormat="false" ht="15" hidden="false" customHeight="false" outlineLevel="0" collapsed="false">
      <c r="A1998" s="7" t="s">
        <v>24</v>
      </c>
      <c r="B1998" s="7" t="s">
        <v>171</v>
      </c>
      <c r="C1998" s="7" t="s">
        <v>1083</v>
      </c>
      <c r="D1998" s="7" t="n">
        <v>0</v>
      </c>
      <c r="E1998" s="7" t="n">
        <v>0</v>
      </c>
      <c r="F1998" s="7" t="n">
        <v>1</v>
      </c>
      <c r="G1998" s="7" t="n">
        <v>152.47</v>
      </c>
    </row>
    <row r="1999" customFormat="false" ht="15" hidden="false" customHeight="false" outlineLevel="0" collapsed="false">
      <c r="A1999" s="7" t="s">
        <v>24</v>
      </c>
      <c r="B1999" s="7" t="s">
        <v>171</v>
      </c>
      <c r="C1999" s="7" t="s">
        <v>1083</v>
      </c>
      <c r="D1999" s="7" t="n">
        <v>0</v>
      </c>
      <c r="E1999" s="7" t="n">
        <v>0</v>
      </c>
      <c r="F1999" s="7" t="n">
        <v>2</v>
      </c>
      <c r="G1999" s="7" t="n">
        <v>338.81</v>
      </c>
    </row>
    <row r="2000" customFormat="false" ht="15" hidden="false" customHeight="false" outlineLevel="0" collapsed="false">
      <c r="A2000" s="7" t="s">
        <v>24</v>
      </c>
      <c r="B2000" s="7" t="s">
        <v>171</v>
      </c>
      <c r="C2000" s="7" t="s">
        <v>1083</v>
      </c>
      <c r="D2000" s="7" t="n">
        <v>0</v>
      </c>
      <c r="E2000" s="7" t="n">
        <v>0</v>
      </c>
      <c r="F2000" s="7" t="n">
        <v>1</v>
      </c>
      <c r="G2000" s="7" t="n">
        <v>169.41</v>
      </c>
    </row>
    <row r="2001" customFormat="false" ht="15" hidden="false" customHeight="false" outlineLevel="0" collapsed="false">
      <c r="A2001" s="7" t="s">
        <v>24</v>
      </c>
      <c r="B2001" s="7" t="s">
        <v>171</v>
      </c>
      <c r="C2001" s="7" t="s">
        <v>1083</v>
      </c>
      <c r="D2001" s="7" t="n">
        <v>0</v>
      </c>
      <c r="E2001" s="7" t="n">
        <v>0</v>
      </c>
      <c r="F2001" s="7" t="n">
        <v>1</v>
      </c>
      <c r="G2001" s="7" t="n">
        <v>152.47</v>
      </c>
    </row>
    <row r="2002" customFormat="false" ht="15" hidden="false" customHeight="false" outlineLevel="0" collapsed="false">
      <c r="A2002" s="7" t="s">
        <v>24</v>
      </c>
      <c r="B2002" s="7" t="s">
        <v>171</v>
      </c>
      <c r="C2002" s="7" t="s">
        <v>1083</v>
      </c>
      <c r="D2002" s="7" t="n">
        <v>0</v>
      </c>
      <c r="E2002" s="7" t="n">
        <v>0</v>
      </c>
      <c r="F2002" s="7" t="n">
        <v>1</v>
      </c>
      <c r="G2002" s="7" t="n">
        <v>169.4</v>
      </c>
    </row>
    <row r="2003" customFormat="false" ht="15" hidden="false" customHeight="false" outlineLevel="0" collapsed="false">
      <c r="A2003" s="7" t="s">
        <v>24</v>
      </c>
      <c r="B2003" s="7" t="s">
        <v>171</v>
      </c>
      <c r="C2003" s="7" t="s">
        <v>1083</v>
      </c>
      <c r="D2003" s="7" t="n">
        <v>0</v>
      </c>
      <c r="E2003" s="7" t="n">
        <v>0</v>
      </c>
      <c r="F2003" s="7" t="n">
        <v>1</v>
      </c>
      <c r="G2003" s="7" t="n">
        <v>135.53</v>
      </c>
    </row>
    <row r="2004" customFormat="false" ht="15" hidden="false" customHeight="false" outlineLevel="0" collapsed="false">
      <c r="A2004" s="7" t="s">
        <v>24</v>
      </c>
      <c r="B2004" s="7" t="s">
        <v>171</v>
      </c>
      <c r="C2004" s="7" t="s">
        <v>1083</v>
      </c>
      <c r="D2004" s="7" t="n">
        <v>0</v>
      </c>
      <c r="E2004" s="7" t="n">
        <v>0</v>
      </c>
      <c r="F2004" s="7" t="n">
        <v>1</v>
      </c>
      <c r="G2004" s="7" t="n">
        <v>169.41</v>
      </c>
    </row>
    <row r="2005" customFormat="false" ht="15" hidden="false" customHeight="false" outlineLevel="0" collapsed="false">
      <c r="A2005" s="7" t="s">
        <v>24</v>
      </c>
      <c r="B2005" s="7" t="s">
        <v>329</v>
      </c>
      <c r="C2005" s="7" t="s">
        <v>1083</v>
      </c>
      <c r="D2005" s="7" t="n">
        <v>0</v>
      </c>
      <c r="E2005" s="7" t="n">
        <v>0</v>
      </c>
      <c r="F2005" s="7" t="n">
        <v>1</v>
      </c>
      <c r="G2005" s="7" t="n">
        <v>169.4</v>
      </c>
    </row>
    <row r="2006" customFormat="false" ht="15" hidden="false" customHeight="false" outlineLevel="0" collapsed="false">
      <c r="A2006" s="7" t="s">
        <v>24</v>
      </c>
      <c r="B2006" s="7" t="s">
        <v>329</v>
      </c>
      <c r="C2006" s="7" t="s">
        <v>1083</v>
      </c>
      <c r="D2006" s="7" t="n">
        <v>0</v>
      </c>
      <c r="E2006" s="7" t="n">
        <v>0</v>
      </c>
      <c r="F2006" s="7" t="n">
        <v>1</v>
      </c>
      <c r="G2006" s="7" t="n">
        <v>135.53</v>
      </c>
    </row>
    <row r="2007" customFormat="false" ht="15" hidden="false" customHeight="false" outlineLevel="0" collapsed="false">
      <c r="A2007" s="7" t="s">
        <v>24</v>
      </c>
      <c r="B2007" s="7" t="s">
        <v>329</v>
      </c>
      <c r="C2007" s="7" t="s">
        <v>1083</v>
      </c>
      <c r="D2007" s="7" t="n">
        <v>0</v>
      </c>
      <c r="E2007" s="7" t="n">
        <v>0</v>
      </c>
      <c r="F2007" s="7" t="n">
        <v>1</v>
      </c>
      <c r="G2007" s="7" t="n">
        <v>169.4</v>
      </c>
    </row>
    <row r="2008" customFormat="false" ht="15" hidden="false" customHeight="false" outlineLevel="0" collapsed="false">
      <c r="A2008" s="7" t="s">
        <v>24</v>
      </c>
      <c r="B2008" s="7" t="s">
        <v>329</v>
      </c>
      <c r="C2008" s="7" t="s">
        <v>1083</v>
      </c>
      <c r="D2008" s="7" t="n">
        <v>0</v>
      </c>
      <c r="E2008" s="7" t="n">
        <v>0</v>
      </c>
      <c r="F2008" s="7" t="n">
        <v>1</v>
      </c>
      <c r="G2008" s="7" t="n">
        <v>135.53</v>
      </c>
    </row>
    <row r="2009" customFormat="false" ht="15" hidden="false" customHeight="false" outlineLevel="0" collapsed="false">
      <c r="A2009" s="7" t="s">
        <v>24</v>
      </c>
      <c r="B2009" s="7" t="s">
        <v>329</v>
      </c>
      <c r="C2009" s="7" t="s">
        <v>1083</v>
      </c>
      <c r="D2009" s="7" t="n">
        <v>0</v>
      </c>
      <c r="E2009" s="7" t="n">
        <v>0</v>
      </c>
      <c r="F2009" s="7" t="n">
        <v>1</v>
      </c>
      <c r="G2009" s="7" t="n">
        <v>136.81</v>
      </c>
    </row>
    <row r="2010" customFormat="false" ht="15" hidden="false" customHeight="false" outlineLevel="0" collapsed="false">
      <c r="A2010" s="7" t="s">
        <v>24</v>
      </c>
      <c r="B2010" s="7" t="s">
        <v>366</v>
      </c>
      <c r="C2010" s="7" t="s">
        <v>1084</v>
      </c>
      <c r="D2010" s="7" t="n">
        <v>1</v>
      </c>
      <c r="E2010" s="7" t="n">
        <v>169.41</v>
      </c>
      <c r="F2010" s="7" t="n">
        <v>5</v>
      </c>
      <c r="G2010" s="7" t="n">
        <v>770.8</v>
      </c>
    </row>
    <row r="2011" customFormat="false" ht="15" hidden="false" customHeight="false" outlineLevel="0" collapsed="false">
      <c r="A2011" s="7" t="s">
        <v>24</v>
      </c>
      <c r="B2011" s="7" t="s">
        <v>302</v>
      </c>
      <c r="C2011" s="7" t="s">
        <v>1084</v>
      </c>
      <c r="D2011" s="7" t="n">
        <v>10</v>
      </c>
      <c r="E2011" s="7" t="n">
        <v>1558.57</v>
      </c>
      <c r="F2011" s="7" t="n">
        <v>4</v>
      </c>
      <c r="G2011" s="7" t="n">
        <v>660.7</v>
      </c>
    </row>
    <row r="2012" customFormat="false" ht="15" hidden="false" customHeight="false" outlineLevel="0" collapsed="false">
      <c r="A2012" s="7" t="s">
        <v>24</v>
      </c>
      <c r="B2012" s="7" t="s">
        <v>389</v>
      </c>
      <c r="C2012" s="7" t="s">
        <v>1084</v>
      </c>
      <c r="D2012" s="7" t="n">
        <v>13</v>
      </c>
      <c r="E2012" s="7" t="n">
        <v>1939.76</v>
      </c>
      <c r="F2012" s="7" t="n">
        <v>9</v>
      </c>
      <c r="G2012" s="7" t="n">
        <v>1377.27</v>
      </c>
    </row>
    <row r="2013" customFormat="false" ht="15" hidden="false" customHeight="false" outlineLevel="0" collapsed="false">
      <c r="A2013" s="7" t="s">
        <v>24</v>
      </c>
      <c r="B2013" s="7" t="s">
        <v>193</v>
      </c>
      <c r="C2013" s="7" t="s">
        <v>1084</v>
      </c>
      <c r="D2013" s="7" t="n">
        <v>20</v>
      </c>
      <c r="E2013" s="7" t="n">
        <v>3142.56</v>
      </c>
      <c r="F2013" s="7" t="n">
        <v>11</v>
      </c>
      <c r="G2013" s="7" t="n">
        <v>1753.37</v>
      </c>
    </row>
    <row r="2014" customFormat="false" ht="15" hidden="false" customHeight="false" outlineLevel="0" collapsed="false">
      <c r="A2014" s="7" t="s">
        <v>24</v>
      </c>
      <c r="B2014" s="7" t="s">
        <v>193</v>
      </c>
      <c r="C2014" s="7" t="s">
        <v>1084</v>
      </c>
      <c r="D2014" s="7" t="n">
        <v>3</v>
      </c>
      <c r="E2014" s="7" t="n">
        <v>475.55</v>
      </c>
      <c r="F2014" s="7" t="n">
        <v>0</v>
      </c>
      <c r="G2014" s="7" t="n">
        <v>0</v>
      </c>
    </row>
    <row r="2015" customFormat="false" ht="15" hidden="false" customHeight="false" outlineLevel="0" collapsed="false">
      <c r="A2015" s="7" t="s">
        <v>24</v>
      </c>
      <c r="B2015" s="7" t="s">
        <v>168</v>
      </c>
      <c r="C2015" s="7" t="s">
        <v>1084</v>
      </c>
      <c r="D2015" s="7" t="n">
        <v>2</v>
      </c>
      <c r="E2015" s="7" t="n">
        <v>283.66</v>
      </c>
      <c r="F2015" s="7" t="n">
        <v>0</v>
      </c>
      <c r="G2015" s="7" t="n">
        <v>0</v>
      </c>
    </row>
    <row r="2016" customFormat="false" ht="15" hidden="false" customHeight="false" outlineLevel="0" collapsed="false">
      <c r="A2016" s="7" t="s">
        <v>24</v>
      </c>
      <c r="B2016" s="7" t="s">
        <v>168</v>
      </c>
      <c r="C2016" s="7" t="s">
        <v>1084</v>
      </c>
      <c r="D2016" s="7" t="n">
        <v>30</v>
      </c>
      <c r="E2016" s="7" t="n">
        <v>4633.38</v>
      </c>
      <c r="F2016" s="7" t="n">
        <v>15</v>
      </c>
      <c r="G2016" s="7" t="n">
        <v>2312.44</v>
      </c>
    </row>
    <row r="2017" customFormat="false" ht="15" hidden="false" customHeight="false" outlineLevel="0" collapsed="false">
      <c r="A2017" s="7" t="s">
        <v>24</v>
      </c>
      <c r="B2017" s="7" t="s">
        <v>298</v>
      </c>
      <c r="C2017" s="7" t="s">
        <v>1084</v>
      </c>
      <c r="D2017" s="7" t="n">
        <v>19</v>
      </c>
      <c r="E2017" s="7" t="n">
        <v>2981.61</v>
      </c>
      <c r="F2017" s="7" t="n">
        <v>18</v>
      </c>
      <c r="G2017" s="7" t="n">
        <v>2854.56</v>
      </c>
    </row>
    <row r="2018" customFormat="false" ht="15" hidden="false" customHeight="false" outlineLevel="0" collapsed="false">
      <c r="A2018" s="7" t="s">
        <v>24</v>
      </c>
      <c r="B2018" s="7" t="s">
        <v>298</v>
      </c>
      <c r="C2018" s="7" t="s">
        <v>1084</v>
      </c>
      <c r="D2018" s="7" t="n">
        <v>5</v>
      </c>
      <c r="E2018" s="7" t="n">
        <v>784.24</v>
      </c>
      <c r="F2018" s="7" t="n">
        <v>0</v>
      </c>
      <c r="G2018" s="7" t="n">
        <v>0</v>
      </c>
    </row>
    <row r="2019" customFormat="false" ht="15" hidden="false" customHeight="false" outlineLevel="0" collapsed="false">
      <c r="A2019" s="7" t="s">
        <v>24</v>
      </c>
      <c r="B2019" s="7" t="s">
        <v>483</v>
      </c>
      <c r="C2019" s="7" t="s">
        <v>1144</v>
      </c>
      <c r="D2019" s="7" t="n">
        <v>0</v>
      </c>
      <c r="E2019" s="7" t="n">
        <v>0</v>
      </c>
      <c r="F2019" s="7" t="n">
        <v>1</v>
      </c>
      <c r="G2019" s="7" t="n">
        <v>166.86</v>
      </c>
    </row>
    <row r="2020" customFormat="false" ht="15" hidden="false" customHeight="false" outlineLevel="0" collapsed="false">
      <c r="A2020" s="7" t="s">
        <v>24</v>
      </c>
      <c r="B2020" s="7" t="s">
        <v>483</v>
      </c>
      <c r="C2020" s="7" t="s">
        <v>1144</v>
      </c>
      <c r="D2020" s="7" t="n">
        <v>12</v>
      </c>
      <c r="E2020" s="7" t="n">
        <v>1927.23</v>
      </c>
      <c r="F2020" s="7" t="n">
        <v>5</v>
      </c>
      <c r="G2020" s="7" t="n">
        <v>834.3</v>
      </c>
    </row>
    <row r="2021" customFormat="false" ht="15" hidden="false" customHeight="false" outlineLevel="0" collapsed="false">
      <c r="A2021" s="7" t="s">
        <v>24</v>
      </c>
      <c r="B2021" s="7" t="s">
        <v>483</v>
      </c>
      <c r="C2021" s="7" t="s">
        <v>1144</v>
      </c>
      <c r="D2021" s="7" t="n">
        <v>0</v>
      </c>
      <c r="E2021" s="7" t="n">
        <v>0</v>
      </c>
      <c r="F2021" s="7" t="n">
        <v>1</v>
      </c>
      <c r="G2021" s="7" t="n">
        <v>166.87</v>
      </c>
    </row>
    <row r="2022" customFormat="false" ht="15" hidden="false" customHeight="false" outlineLevel="0" collapsed="false">
      <c r="A2022" s="7" t="s">
        <v>24</v>
      </c>
      <c r="B2022" s="7" t="s">
        <v>483</v>
      </c>
      <c r="C2022" s="7" t="s">
        <v>1144</v>
      </c>
      <c r="D2022" s="7" t="n">
        <v>0</v>
      </c>
      <c r="E2022" s="7" t="n">
        <v>0</v>
      </c>
      <c r="F2022" s="7" t="n">
        <v>1</v>
      </c>
      <c r="G2022" s="7" t="n">
        <v>166.86</v>
      </c>
    </row>
    <row r="2023" customFormat="false" ht="15" hidden="false" customHeight="false" outlineLevel="0" collapsed="false">
      <c r="A2023" s="7" t="s">
        <v>24</v>
      </c>
      <c r="B2023" s="7" t="s">
        <v>483</v>
      </c>
      <c r="C2023" s="7" t="s">
        <v>1144</v>
      </c>
      <c r="D2023" s="7" t="n">
        <v>0</v>
      </c>
      <c r="E2023" s="7" t="n">
        <v>0</v>
      </c>
      <c r="F2023" s="7" t="n">
        <v>1</v>
      </c>
      <c r="G2023" s="7" t="n">
        <v>150.18</v>
      </c>
    </row>
    <row r="2024" customFormat="false" ht="15" hidden="false" customHeight="false" outlineLevel="0" collapsed="false">
      <c r="A2024" s="7" t="s">
        <v>24</v>
      </c>
      <c r="B2024" s="7" t="s">
        <v>483</v>
      </c>
      <c r="C2024" s="7" t="s">
        <v>1144</v>
      </c>
      <c r="D2024" s="7" t="n">
        <v>0</v>
      </c>
      <c r="E2024" s="7" t="n">
        <v>0</v>
      </c>
      <c r="F2024" s="7" t="n">
        <v>1</v>
      </c>
      <c r="G2024" s="7" t="n">
        <v>150.18</v>
      </c>
    </row>
    <row r="2025" customFormat="false" ht="15" hidden="false" customHeight="false" outlineLevel="0" collapsed="false">
      <c r="A2025" s="7" t="s">
        <v>24</v>
      </c>
      <c r="B2025" s="7" t="s">
        <v>483</v>
      </c>
      <c r="C2025" s="7" t="s">
        <v>1144</v>
      </c>
      <c r="D2025" s="7" t="n">
        <v>0</v>
      </c>
      <c r="E2025" s="7" t="n">
        <v>0</v>
      </c>
      <c r="F2025" s="7" t="n">
        <v>1</v>
      </c>
      <c r="G2025" s="7" t="n">
        <v>166.87</v>
      </c>
    </row>
    <row r="2026" customFormat="false" ht="15" hidden="false" customHeight="false" outlineLevel="0" collapsed="false">
      <c r="A2026" s="7" t="s">
        <v>24</v>
      </c>
      <c r="B2026" s="7" t="s">
        <v>483</v>
      </c>
      <c r="C2026" s="7" t="s">
        <v>1144</v>
      </c>
      <c r="D2026" s="7" t="n">
        <v>0</v>
      </c>
      <c r="E2026" s="7" t="n">
        <v>0</v>
      </c>
      <c r="F2026" s="7" t="n">
        <v>1</v>
      </c>
      <c r="G2026" s="7" t="n">
        <v>141.84</v>
      </c>
    </row>
    <row r="2027" customFormat="false" ht="15" hidden="false" customHeight="false" outlineLevel="0" collapsed="false">
      <c r="A2027" s="7" t="s">
        <v>24</v>
      </c>
      <c r="B2027" s="7" t="s">
        <v>483</v>
      </c>
      <c r="C2027" s="7" t="s">
        <v>1144</v>
      </c>
      <c r="D2027" s="7" t="n">
        <v>0</v>
      </c>
      <c r="E2027" s="7" t="n">
        <v>0</v>
      </c>
      <c r="F2027" s="7" t="n">
        <v>1</v>
      </c>
      <c r="G2027" s="7" t="n">
        <v>166.87</v>
      </c>
    </row>
    <row r="2028" customFormat="false" ht="15" hidden="false" customHeight="false" outlineLevel="0" collapsed="false">
      <c r="A2028" s="7" t="s">
        <v>24</v>
      </c>
      <c r="B2028" s="7" t="s">
        <v>483</v>
      </c>
      <c r="C2028" s="7" t="s">
        <v>1144</v>
      </c>
      <c r="D2028" s="7" t="n">
        <v>0</v>
      </c>
      <c r="E2028" s="7" t="n">
        <v>0</v>
      </c>
      <c r="F2028" s="7" t="n">
        <v>1</v>
      </c>
      <c r="G2028" s="7" t="n">
        <v>166.87</v>
      </c>
    </row>
    <row r="2029" customFormat="false" ht="15" hidden="false" customHeight="false" outlineLevel="0" collapsed="false">
      <c r="A2029" s="7" t="s">
        <v>24</v>
      </c>
      <c r="B2029" s="7" t="s">
        <v>649</v>
      </c>
      <c r="C2029" s="7" t="s">
        <v>1144</v>
      </c>
      <c r="D2029" s="7" t="n">
        <v>17</v>
      </c>
      <c r="E2029" s="7" t="n">
        <v>2561.29</v>
      </c>
      <c r="F2029" s="7" t="n">
        <v>7</v>
      </c>
      <c r="G2029" s="7" t="n">
        <v>1134.64</v>
      </c>
    </row>
    <row r="2030" customFormat="false" ht="15" hidden="false" customHeight="false" outlineLevel="0" collapsed="false">
      <c r="A2030" s="7" t="s">
        <v>24</v>
      </c>
      <c r="B2030" s="7" t="s">
        <v>649</v>
      </c>
      <c r="C2030" s="7" t="s">
        <v>1144</v>
      </c>
      <c r="D2030" s="7" t="n">
        <v>0</v>
      </c>
      <c r="E2030" s="7" t="n">
        <v>0</v>
      </c>
      <c r="F2030" s="7" t="n">
        <v>1</v>
      </c>
      <c r="G2030" s="7" t="n">
        <v>150.18</v>
      </c>
    </row>
    <row r="2031" customFormat="false" ht="15" hidden="false" customHeight="false" outlineLevel="0" collapsed="false">
      <c r="A2031" s="7" t="s">
        <v>24</v>
      </c>
      <c r="B2031" s="7" t="s">
        <v>649</v>
      </c>
      <c r="C2031" s="7" t="s">
        <v>1144</v>
      </c>
      <c r="D2031" s="7" t="n">
        <v>0</v>
      </c>
      <c r="E2031" s="7" t="n">
        <v>0</v>
      </c>
      <c r="F2031" s="7" t="n">
        <v>1</v>
      </c>
      <c r="G2031" s="7" t="n">
        <v>150.18</v>
      </c>
    </row>
    <row r="2032" customFormat="false" ht="15" hidden="false" customHeight="false" outlineLevel="0" collapsed="false">
      <c r="A2032" s="7" t="s">
        <v>24</v>
      </c>
      <c r="B2032" s="7" t="s">
        <v>649</v>
      </c>
      <c r="C2032" s="7" t="s">
        <v>1144</v>
      </c>
      <c r="D2032" s="7" t="n">
        <v>0</v>
      </c>
      <c r="E2032" s="7" t="n">
        <v>0</v>
      </c>
      <c r="F2032" s="7" t="n">
        <v>2</v>
      </c>
      <c r="G2032" s="7" t="n">
        <v>333.72</v>
      </c>
    </row>
    <row r="2033" customFormat="false" ht="15" hidden="false" customHeight="false" outlineLevel="0" collapsed="false">
      <c r="A2033" s="7" t="s">
        <v>24</v>
      </c>
      <c r="B2033" s="7" t="s">
        <v>649</v>
      </c>
      <c r="C2033" s="7" t="s">
        <v>1144</v>
      </c>
      <c r="D2033" s="7" t="n">
        <v>0</v>
      </c>
      <c r="E2033" s="7" t="n">
        <v>0</v>
      </c>
      <c r="F2033" s="7" t="n">
        <v>1</v>
      </c>
      <c r="G2033" s="7" t="n">
        <v>166.87</v>
      </c>
    </row>
    <row r="2034" customFormat="false" ht="15" hidden="false" customHeight="false" outlineLevel="0" collapsed="false">
      <c r="A2034" s="7" t="s">
        <v>24</v>
      </c>
      <c r="B2034" s="7" t="s">
        <v>649</v>
      </c>
      <c r="C2034" s="7" t="s">
        <v>1144</v>
      </c>
      <c r="D2034" s="7" t="n">
        <v>0</v>
      </c>
      <c r="E2034" s="7" t="n">
        <v>0</v>
      </c>
      <c r="F2034" s="7" t="n">
        <v>1</v>
      </c>
      <c r="G2034" s="7" t="n">
        <v>166.87</v>
      </c>
    </row>
    <row r="2035" customFormat="false" ht="15" hidden="false" customHeight="false" outlineLevel="0" collapsed="false">
      <c r="A2035" s="7" t="s">
        <v>24</v>
      </c>
      <c r="B2035" s="7" t="s">
        <v>649</v>
      </c>
      <c r="C2035" s="7" t="s">
        <v>1144</v>
      </c>
      <c r="D2035" s="7" t="n">
        <v>0</v>
      </c>
      <c r="E2035" s="7" t="n">
        <v>0</v>
      </c>
      <c r="F2035" s="7" t="n">
        <v>1</v>
      </c>
      <c r="G2035" s="7" t="n">
        <v>166.87</v>
      </c>
    </row>
    <row r="2036" customFormat="false" ht="15" hidden="false" customHeight="false" outlineLevel="0" collapsed="false">
      <c r="A2036" s="7" t="s">
        <v>24</v>
      </c>
      <c r="B2036" s="7" t="s">
        <v>649</v>
      </c>
      <c r="C2036" s="7" t="s">
        <v>1144</v>
      </c>
      <c r="D2036" s="7" t="n">
        <v>0</v>
      </c>
      <c r="E2036" s="7" t="n">
        <v>0</v>
      </c>
      <c r="F2036" s="7" t="n">
        <v>1</v>
      </c>
      <c r="G2036" s="7" t="n">
        <v>141.84</v>
      </c>
    </row>
    <row r="2037" customFormat="false" ht="15" hidden="false" customHeight="false" outlineLevel="0" collapsed="false">
      <c r="A2037" s="7" t="s">
        <v>24</v>
      </c>
      <c r="B2037" s="7" t="s">
        <v>643</v>
      </c>
      <c r="C2037" s="7" t="s">
        <v>1144</v>
      </c>
      <c r="D2037" s="7" t="n">
        <v>3</v>
      </c>
      <c r="E2037" s="7" t="n">
        <v>475.55</v>
      </c>
      <c r="F2037" s="7" t="n">
        <v>0</v>
      </c>
      <c r="G2037" s="7" t="n">
        <v>0</v>
      </c>
    </row>
    <row r="2038" customFormat="false" ht="15" hidden="false" customHeight="false" outlineLevel="0" collapsed="false">
      <c r="A2038" s="7" t="s">
        <v>24</v>
      </c>
      <c r="B2038" s="7" t="s">
        <v>643</v>
      </c>
      <c r="C2038" s="7" t="s">
        <v>1144</v>
      </c>
      <c r="D2038" s="7" t="n">
        <v>0</v>
      </c>
      <c r="E2038" s="7" t="n">
        <v>0</v>
      </c>
      <c r="F2038" s="7" t="n">
        <v>1</v>
      </c>
      <c r="G2038" s="7" t="n">
        <v>166.87</v>
      </c>
    </row>
    <row r="2039" customFormat="false" ht="15" hidden="false" customHeight="false" outlineLevel="0" collapsed="false">
      <c r="A2039" s="7" t="s">
        <v>24</v>
      </c>
      <c r="B2039" s="7" t="s">
        <v>643</v>
      </c>
      <c r="C2039" s="7" t="s">
        <v>1144</v>
      </c>
      <c r="D2039" s="7" t="n">
        <v>0</v>
      </c>
      <c r="E2039" s="7" t="n">
        <v>0</v>
      </c>
      <c r="F2039" s="7" t="n">
        <v>1</v>
      </c>
      <c r="G2039" s="7" t="n">
        <v>150.18</v>
      </c>
    </row>
    <row r="2040" customFormat="false" ht="15" hidden="false" customHeight="false" outlineLevel="0" collapsed="false">
      <c r="A2040" s="7" t="s">
        <v>24</v>
      </c>
      <c r="B2040" s="7" t="s">
        <v>227</v>
      </c>
      <c r="C2040" s="7" t="s">
        <v>1144</v>
      </c>
      <c r="D2040" s="7" t="n">
        <v>9</v>
      </c>
      <c r="E2040" s="7" t="n">
        <v>1451.68</v>
      </c>
      <c r="F2040" s="7" t="n">
        <v>4</v>
      </c>
      <c r="G2040" s="7" t="n">
        <v>634.06</v>
      </c>
    </row>
    <row r="2041" customFormat="false" ht="15" hidden="false" customHeight="false" outlineLevel="0" collapsed="false">
      <c r="A2041" s="7" t="s">
        <v>24</v>
      </c>
      <c r="B2041" s="7" t="s">
        <v>227</v>
      </c>
      <c r="C2041" s="7" t="s">
        <v>1144</v>
      </c>
      <c r="D2041" s="7" t="n">
        <v>0</v>
      </c>
      <c r="E2041" s="7" t="n">
        <v>0</v>
      </c>
      <c r="F2041" s="7" t="n">
        <v>1</v>
      </c>
      <c r="G2041" s="7" t="n">
        <v>150.18</v>
      </c>
    </row>
    <row r="2042" customFormat="false" ht="15" hidden="false" customHeight="false" outlineLevel="0" collapsed="false">
      <c r="A2042" s="7" t="s">
        <v>24</v>
      </c>
      <c r="B2042" s="7" t="s">
        <v>227</v>
      </c>
      <c r="C2042" s="7" t="s">
        <v>1144</v>
      </c>
      <c r="D2042" s="7" t="n">
        <v>0</v>
      </c>
      <c r="E2042" s="7" t="n">
        <v>0</v>
      </c>
      <c r="F2042" s="7" t="n">
        <v>1</v>
      </c>
      <c r="G2042" s="7" t="n">
        <v>166.86</v>
      </c>
    </row>
    <row r="2043" customFormat="false" ht="15" hidden="false" customHeight="false" outlineLevel="0" collapsed="false">
      <c r="A2043" s="7" t="s">
        <v>24</v>
      </c>
      <c r="B2043" s="7" t="s">
        <v>227</v>
      </c>
      <c r="C2043" s="7" t="s">
        <v>1144</v>
      </c>
      <c r="D2043" s="7" t="n">
        <v>0</v>
      </c>
      <c r="E2043" s="7" t="n">
        <v>0</v>
      </c>
      <c r="F2043" s="7" t="n">
        <v>1</v>
      </c>
      <c r="G2043" s="7" t="n">
        <v>166.87</v>
      </c>
    </row>
    <row r="2044" customFormat="false" ht="15" hidden="false" customHeight="false" outlineLevel="0" collapsed="false">
      <c r="A2044" s="7" t="s">
        <v>24</v>
      </c>
      <c r="B2044" s="7" t="s">
        <v>227</v>
      </c>
      <c r="C2044" s="7" t="s">
        <v>1144</v>
      </c>
      <c r="D2044" s="7" t="n">
        <v>0</v>
      </c>
      <c r="E2044" s="7" t="n">
        <v>0</v>
      </c>
      <c r="F2044" s="7" t="n">
        <v>1</v>
      </c>
      <c r="G2044" s="7" t="n">
        <v>166.87</v>
      </c>
    </row>
    <row r="2045" customFormat="false" ht="15" hidden="false" customHeight="false" outlineLevel="0" collapsed="false">
      <c r="A2045" s="7" t="s">
        <v>24</v>
      </c>
      <c r="B2045" s="7" t="s">
        <v>227</v>
      </c>
      <c r="C2045" s="7" t="s">
        <v>1144</v>
      </c>
      <c r="D2045" s="7" t="n">
        <v>0</v>
      </c>
      <c r="E2045" s="7" t="n">
        <v>0</v>
      </c>
      <c r="F2045" s="7" t="n">
        <v>2</v>
      </c>
      <c r="G2045" s="7" t="n">
        <v>317.05</v>
      </c>
    </row>
    <row r="2046" customFormat="false" ht="15" hidden="false" customHeight="false" outlineLevel="0" collapsed="false">
      <c r="A2046" s="7" t="s">
        <v>24</v>
      </c>
      <c r="B2046" s="7" t="s">
        <v>227</v>
      </c>
      <c r="C2046" s="7" t="s">
        <v>1144</v>
      </c>
      <c r="D2046" s="7" t="n">
        <v>0</v>
      </c>
      <c r="E2046" s="7" t="n">
        <v>0</v>
      </c>
      <c r="F2046" s="7" t="n">
        <v>1</v>
      </c>
      <c r="G2046" s="7" t="n">
        <v>141.84</v>
      </c>
    </row>
    <row r="2047" customFormat="false" ht="15" hidden="false" customHeight="false" outlineLevel="0" collapsed="false">
      <c r="A2047" s="7" t="s">
        <v>24</v>
      </c>
      <c r="B2047" s="7" t="s">
        <v>227</v>
      </c>
      <c r="C2047" s="7" t="s">
        <v>1144</v>
      </c>
      <c r="D2047" s="7" t="n">
        <v>0</v>
      </c>
      <c r="E2047" s="7" t="n">
        <v>0</v>
      </c>
      <c r="F2047" s="7" t="n">
        <v>1</v>
      </c>
      <c r="G2047" s="7" t="n">
        <v>133.49</v>
      </c>
    </row>
    <row r="2048" customFormat="false" ht="15" hidden="false" customHeight="false" outlineLevel="0" collapsed="false">
      <c r="A2048" s="7" t="s">
        <v>24</v>
      </c>
      <c r="B2048" s="7" t="s">
        <v>227</v>
      </c>
      <c r="C2048" s="7" t="s">
        <v>1144</v>
      </c>
      <c r="D2048" s="7" t="n">
        <v>0</v>
      </c>
      <c r="E2048" s="7" t="n">
        <v>0</v>
      </c>
      <c r="F2048" s="7" t="n">
        <v>1</v>
      </c>
      <c r="G2048" s="7" t="n">
        <v>166.86</v>
      </c>
    </row>
    <row r="2049" customFormat="false" ht="15" hidden="false" customHeight="false" outlineLevel="0" collapsed="false">
      <c r="A2049" s="7" t="s">
        <v>24</v>
      </c>
      <c r="B2049" s="7" t="s">
        <v>227</v>
      </c>
      <c r="C2049" s="7" t="s">
        <v>1144</v>
      </c>
      <c r="D2049" s="7" t="n">
        <v>0</v>
      </c>
      <c r="E2049" s="7" t="n">
        <v>0</v>
      </c>
      <c r="F2049" s="7" t="n">
        <v>1</v>
      </c>
      <c r="G2049" s="7" t="n">
        <v>133.49</v>
      </c>
    </row>
    <row r="2050" customFormat="false" ht="15" hidden="false" customHeight="false" outlineLevel="0" collapsed="false">
      <c r="A2050" s="7" t="s">
        <v>24</v>
      </c>
      <c r="B2050" s="7" t="s">
        <v>227</v>
      </c>
      <c r="C2050" s="7" t="s">
        <v>1144</v>
      </c>
      <c r="D2050" s="7" t="n">
        <v>0</v>
      </c>
      <c r="E2050" s="7" t="n">
        <v>0</v>
      </c>
      <c r="F2050" s="7" t="n">
        <v>1</v>
      </c>
      <c r="G2050" s="7" t="n">
        <v>133.5</v>
      </c>
    </row>
    <row r="2051" customFormat="false" ht="15" hidden="false" customHeight="false" outlineLevel="0" collapsed="false">
      <c r="A2051" s="7" t="s">
        <v>24</v>
      </c>
      <c r="B2051" s="7" t="s">
        <v>227</v>
      </c>
      <c r="C2051" s="7" t="s">
        <v>1144</v>
      </c>
      <c r="D2051" s="7" t="n">
        <v>0</v>
      </c>
      <c r="E2051" s="7" t="n">
        <v>0</v>
      </c>
      <c r="F2051" s="7" t="n">
        <v>4</v>
      </c>
      <c r="G2051" s="7" t="n">
        <v>667.46</v>
      </c>
    </row>
    <row r="2052" customFormat="false" ht="15" hidden="false" customHeight="false" outlineLevel="0" collapsed="false">
      <c r="A2052" s="7" t="s">
        <v>24</v>
      </c>
      <c r="B2052" s="7" t="s">
        <v>689</v>
      </c>
      <c r="C2052" s="7" t="s">
        <v>1168</v>
      </c>
      <c r="D2052" s="7" t="n">
        <v>0</v>
      </c>
      <c r="E2052" s="7" t="n">
        <v>0</v>
      </c>
      <c r="F2052" s="7" t="n">
        <v>1</v>
      </c>
      <c r="G2052" s="7" t="n">
        <v>110.08</v>
      </c>
    </row>
    <row r="2053" customFormat="false" ht="15" hidden="false" customHeight="false" outlineLevel="0" collapsed="false">
      <c r="A2053" s="7" t="s">
        <v>24</v>
      </c>
      <c r="B2053" s="7" t="s">
        <v>689</v>
      </c>
      <c r="C2053" s="7" t="s">
        <v>1168</v>
      </c>
      <c r="D2053" s="7" t="n">
        <v>0</v>
      </c>
      <c r="E2053" s="7" t="n">
        <v>0</v>
      </c>
      <c r="F2053" s="7" t="n">
        <v>2</v>
      </c>
      <c r="G2053" s="7" t="n">
        <v>198.16</v>
      </c>
    </row>
    <row r="2054" customFormat="false" ht="15" hidden="false" customHeight="false" outlineLevel="0" collapsed="false">
      <c r="A2054" s="7" t="s">
        <v>24</v>
      </c>
      <c r="B2054" s="7" t="s">
        <v>689</v>
      </c>
      <c r="C2054" s="7" t="s">
        <v>1168</v>
      </c>
      <c r="D2054" s="7" t="n">
        <v>0</v>
      </c>
      <c r="E2054" s="7" t="n">
        <v>0</v>
      </c>
      <c r="F2054" s="7" t="n">
        <v>1</v>
      </c>
      <c r="G2054" s="7" t="n">
        <v>110.09</v>
      </c>
    </row>
    <row r="2055" customFormat="false" ht="15" hidden="false" customHeight="false" outlineLevel="0" collapsed="false">
      <c r="A2055" s="7" t="s">
        <v>24</v>
      </c>
      <c r="B2055" s="7" t="s">
        <v>689</v>
      </c>
      <c r="C2055" s="7" t="s">
        <v>1168</v>
      </c>
      <c r="D2055" s="7" t="n">
        <v>0</v>
      </c>
      <c r="E2055" s="7" t="n">
        <v>0</v>
      </c>
      <c r="F2055" s="7" t="n">
        <v>1</v>
      </c>
      <c r="G2055" s="7" t="n">
        <v>110.08</v>
      </c>
    </row>
    <row r="2056" customFormat="false" ht="15" hidden="false" customHeight="false" outlineLevel="0" collapsed="false">
      <c r="A2056" s="7" t="s">
        <v>24</v>
      </c>
      <c r="B2056" s="7" t="s">
        <v>689</v>
      </c>
      <c r="C2056" s="7" t="s">
        <v>1168</v>
      </c>
      <c r="D2056" s="7" t="n">
        <v>0</v>
      </c>
      <c r="E2056" s="7" t="n">
        <v>0</v>
      </c>
      <c r="F2056" s="7" t="n">
        <v>1</v>
      </c>
      <c r="G2056" s="7" t="n">
        <v>110.08</v>
      </c>
    </row>
    <row r="2057" customFormat="false" ht="15" hidden="false" customHeight="false" outlineLevel="0" collapsed="false">
      <c r="A2057" s="7" t="s">
        <v>24</v>
      </c>
      <c r="B2057" s="7" t="s">
        <v>689</v>
      </c>
      <c r="C2057" s="7" t="s">
        <v>1168</v>
      </c>
      <c r="D2057" s="7" t="n">
        <v>8</v>
      </c>
      <c r="E2057" s="7" t="n">
        <v>770.57</v>
      </c>
      <c r="F2057" s="7" t="n">
        <v>3</v>
      </c>
      <c r="G2057" s="7" t="n">
        <v>330.24</v>
      </c>
    </row>
    <row r="2058" customFormat="false" ht="15" hidden="false" customHeight="false" outlineLevel="0" collapsed="false">
      <c r="A2058" s="7" t="s">
        <v>24</v>
      </c>
      <c r="B2058" s="7" t="s">
        <v>689</v>
      </c>
      <c r="C2058" s="7" t="s">
        <v>1168</v>
      </c>
      <c r="D2058" s="7" t="n">
        <v>0</v>
      </c>
      <c r="E2058" s="7" t="n">
        <v>0</v>
      </c>
      <c r="F2058" s="7" t="n">
        <v>1</v>
      </c>
      <c r="G2058" s="7" t="n">
        <v>99.08</v>
      </c>
    </row>
    <row r="2059" customFormat="false" ht="15" hidden="false" customHeight="false" outlineLevel="0" collapsed="false">
      <c r="A2059" s="7" t="s">
        <v>24</v>
      </c>
      <c r="B2059" s="7" t="s">
        <v>689</v>
      </c>
      <c r="C2059" s="7" t="s">
        <v>1168</v>
      </c>
      <c r="D2059" s="7" t="n">
        <v>0</v>
      </c>
      <c r="E2059" s="7" t="n">
        <v>0</v>
      </c>
      <c r="F2059" s="7" t="n">
        <v>1</v>
      </c>
      <c r="G2059" s="7" t="n">
        <v>110.08</v>
      </c>
    </row>
    <row r="2060" customFormat="false" ht="15" hidden="false" customHeight="false" outlineLevel="0" collapsed="false">
      <c r="A2060" s="7" t="s">
        <v>24</v>
      </c>
      <c r="B2060" s="7" t="s">
        <v>689</v>
      </c>
      <c r="C2060" s="7" t="s">
        <v>1168</v>
      </c>
      <c r="D2060" s="7" t="n">
        <v>3</v>
      </c>
      <c r="E2060" s="7" t="n">
        <v>301.67</v>
      </c>
      <c r="F2060" s="7" t="n">
        <v>0</v>
      </c>
      <c r="G2060" s="7" t="n">
        <v>0</v>
      </c>
    </row>
    <row r="2061" customFormat="false" ht="15" hidden="false" customHeight="false" outlineLevel="0" collapsed="false">
      <c r="A2061" s="7" t="s">
        <v>24</v>
      </c>
      <c r="B2061" s="7" t="s">
        <v>741</v>
      </c>
      <c r="C2061" s="7" t="s">
        <v>1168</v>
      </c>
      <c r="D2061" s="7" t="n">
        <v>5</v>
      </c>
      <c r="E2061" s="7" t="n">
        <v>500.87</v>
      </c>
      <c r="F2061" s="7" t="n">
        <v>2</v>
      </c>
      <c r="G2061" s="7" t="n">
        <v>220.16</v>
      </c>
    </row>
    <row r="2062" customFormat="false" ht="15" hidden="false" customHeight="false" outlineLevel="0" collapsed="false">
      <c r="A2062" s="7" t="s">
        <v>24</v>
      </c>
      <c r="B2062" s="7" t="s">
        <v>741</v>
      </c>
      <c r="C2062" s="7" t="s">
        <v>1168</v>
      </c>
      <c r="D2062" s="7" t="n">
        <v>0</v>
      </c>
      <c r="E2062" s="7" t="n">
        <v>0</v>
      </c>
      <c r="F2062" s="7" t="n">
        <v>1</v>
      </c>
      <c r="G2062" s="7" t="n">
        <v>110.09</v>
      </c>
    </row>
    <row r="2063" customFormat="false" ht="15" hidden="false" customHeight="false" outlineLevel="0" collapsed="false">
      <c r="A2063" s="7" t="s">
        <v>24</v>
      </c>
      <c r="B2063" s="7" t="s">
        <v>741</v>
      </c>
      <c r="C2063" s="7" t="s">
        <v>1168</v>
      </c>
      <c r="D2063" s="7" t="n">
        <v>2</v>
      </c>
      <c r="E2063" s="7" t="n">
        <v>195.82</v>
      </c>
      <c r="F2063" s="7" t="n">
        <v>0</v>
      </c>
      <c r="G2063" s="7" t="n">
        <v>0</v>
      </c>
    </row>
    <row r="2064" customFormat="false" ht="15" hidden="false" customHeight="false" outlineLevel="0" collapsed="false">
      <c r="A2064" s="7" t="s">
        <v>24</v>
      </c>
      <c r="B2064" s="7" t="s">
        <v>741</v>
      </c>
      <c r="C2064" s="7" t="s">
        <v>1168</v>
      </c>
      <c r="D2064" s="7" t="n">
        <v>0</v>
      </c>
      <c r="E2064" s="7" t="n">
        <v>0</v>
      </c>
      <c r="F2064" s="7" t="n">
        <v>1</v>
      </c>
      <c r="G2064" s="7" t="n">
        <v>110.09</v>
      </c>
    </row>
    <row r="2065" customFormat="false" ht="15" hidden="false" customHeight="false" outlineLevel="0" collapsed="false">
      <c r="A2065" s="7" t="s">
        <v>24</v>
      </c>
      <c r="B2065" s="7" t="s">
        <v>741</v>
      </c>
      <c r="C2065" s="7" t="s">
        <v>1168</v>
      </c>
      <c r="D2065" s="7" t="n">
        <v>0</v>
      </c>
      <c r="E2065" s="7" t="n">
        <v>0</v>
      </c>
      <c r="F2065" s="7" t="n">
        <v>1</v>
      </c>
      <c r="G2065" s="7" t="n">
        <v>110.08</v>
      </c>
    </row>
    <row r="2066" customFormat="false" ht="15" hidden="false" customHeight="false" outlineLevel="0" collapsed="false">
      <c r="A2066" s="7" t="s">
        <v>24</v>
      </c>
      <c r="B2066" s="7" t="s">
        <v>741</v>
      </c>
      <c r="C2066" s="7" t="s">
        <v>1168</v>
      </c>
      <c r="D2066" s="7" t="n">
        <v>0</v>
      </c>
      <c r="E2066" s="7" t="n">
        <v>0</v>
      </c>
      <c r="F2066" s="7" t="n">
        <v>1</v>
      </c>
      <c r="G2066" s="7" t="n">
        <v>99.07</v>
      </c>
    </row>
    <row r="2067" customFormat="false" ht="15" hidden="false" customHeight="false" outlineLevel="0" collapsed="false">
      <c r="A2067" s="7" t="s">
        <v>24</v>
      </c>
      <c r="B2067" s="7" t="s">
        <v>741</v>
      </c>
      <c r="C2067" s="7" t="s">
        <v>1168</v>
      </c>
      <c r="D2067" s="7" t="n">
        <v>0</v>
      </c>
      <c r="E2067" s="7" t="n">
        <v>0</v>
      </c>
      <c r="F2067" s="7" t="n">
        <v>1</v>
      </c>
      <c r="G2067" s="7" t="n">
        <v>110.09</v>
      </c>
    </row>
    <row r="2068" customFormat="false" ht="15" hidden="false" customHeight="false" outlineLevel="0" collapsed="false">
      <c r="A2068" s="7" t="s">
        <v>24</v>
      </c>
      <c r="B2068" s="7" t="s">
        <v>798</v>
      </c>
      <c r="C2068" s="7" t="s">
        <v>1219</v>
      </c>
      <c r="D2068" s="7" t="n">
        <v>1</v>
      </c>
      <c r="E2068" s="7" t="n">
        <v>22.98</v>
      </c>
      <c r="F2068" s="7" t="n">
        <v>0</v>
      </c>
      <c r="G2068" s="7" t="n">
        <v>0</v>
      </c>
    </row>
    <row r="2069" customFormat="false" ht="15" hidden="false" customHeight="false" outlineLevel="0" collapsed="false">
      <c r="A2069" s="7" t="s">
        <v>24</v>
      </c>
      <c r="B2069" s="7" t="s">
        <v>798</v>
      </c>
      <c r="C2069" s="7" t="s">
        <v>1219</v>
      </c>
      <c r="D2069" s="7" t="n">
        <v>0</v>
      </c>
      <c r="E2069" s="7" t="n">
        <v>0</v>
      </c>
      <c r="F2069" s="7" t="n">
        <v>5</v>
      </c>
      <c r="G2069" s="7" t="n">
        <v>143.73</v>
      </c>
    </row>
    <row r="2070" customFormat="false" ht="15" hidden="false" customHeight="false" outlineLevel="0" collapsed="false">
      <c r="A2070" s="7" t="s">
        <v>24</v>
      </c>
      <c r="B2070" s="7" t="s">
        <v>798</v>
      </c>
      <c r="C2070" s="7" t="s">
        <v>1219</v>
      </c>
      <c r="D2070" s="7" t="n">
        <v>15</v>
      </c>
      <c r="E2070" s="7" t="n">
        <v>441.25</v>
      </c>
      <c r="F2070" s="7" t="n">
        <v>7</v>
      </c>
      <c r="G2070" s="7" t="n">
        <v>262.03</v>
      </c>
    </row>
    <row r="2071" customFormat="false" ht="15" hidden="false" customHeight="false" outlineLevel="0" collapsed="false">
      <c r="A2071" s="7" t="s">
        <v>24</v>
      </c>
      <c r="B2071" s="7" t="s">
        <v>798</v>
      </c>
      <c r="C2071" s="7" t="s">
        <v>1219</v>
      </c>
      <c r="D2071" s="7" t="n">
        <v>0</v>
      </c>
      <c r="E2071" s="7" t="n">
        <v>0</v>
      </c>
      <c r="F2071" s="7" t="n">
        <v>2</v>
      </c>
      <c r="G2071" s="7" t="n">
        <v>67.63</v>
      </c>
    </row>
    <row r="2072" customFormat="false" ht="15" hidden="false" customHeight="false" outlineLevel="0" collapsed="false">
      <c r="A2072" s="7" t="s">
        <v>24</v>
      </c>
      <c r="B2072" s="7" t="s">
        <v>478</v>
      </c>
      <c r="C2072" s="7" t="s">
        <v>1220</v>
      </c>
      <c r="D2072" s="7" t="n">
        <v>0</v>
      </c>
      <c r="E2072" s="7" t="n">
        <v>0</v>
      </c>
      <c r="F2072" s="7" t="n">
        <v>1</v>
      </c>
      <c r="G2072" s="7" t="n">
        <v>39.74</v>
      </c>
    </row>
    <row r="2073" customFormat="false" ht="15" hidden="false" customHeight="false" outlineLevel="0" collapsed="false">
      <c r="A2073" s="7" t="s">
        <v>24</v>
      </c>
      <c r="B2073" s="7" t="s">
        <v>478</v>
      </c>
      <c r="C2073" s="7" t="s">
        <v>1220</v>
      </c>
      <c r="D2073" s="7" t="n">
        <v>0</v>
      </c>
      <c r="E2073" s="7" t="n">
        <v>0</v>
      </c>
      <c r="F2073" s="7" t="n">
        <v>1</v>
      </c>
      <c r="G2073" s="7" t="n">
        <v>39.75</v>
      </c>
    </row>
    <row r="2074" customFormat="false" ht="15" hidden="false" customHeight="false" outlineLevel="0" collapsed="false">
      <c r="A2074" s="7" t="s">
        <v>24</v>
      </c>
      <c r="B2074" s="7" t="s">
        <v>478</v>
      </c>
      <c r="C2074" s="7" t="s">
        <v>1220</v>
      </c>
      <c r="D2074" s="7" t="n">
        <v>0</v>
      </c>
      <c r="E2074" s="7" t="n">
        <v>0</v>
      </c>
      <c r="F2074" s="7" t="n">
        <v>1</v>
      </c>
      <c r="G2074" s="7" t="n">
        <v>39.75</v>
      </c>
    </row>
    <row r="2075" customFormat="false" ht="15" hidden="false" customHeight="false" outlineLevel="0" collapsed="false">
      <c r="A2075" s="7" t="s">
        <v>24</v>
      </c>
      <c r="B2075" s="7" t="s">
        <v>478</v>
      </c>
      <c r="C2075" s="7" t="s">
        <v>1220</v>
      </c>
      <c r="D2075" s="7" t="n">
        <v>14</v>
      </c>
      <c r="E2075" s="7" t="n">
        <v>486.25</v>
      </c>
      <c r="F2075" s="7" t="n">
        <v>0</v>
      </c>
      <c r="G2075" s="7" t="n">
        <v>0</v>
      </c>
    </row>
    <row r="2076" customFormat="false" ht="15" hidden="false" customHeight="false" outlineLevel="0" collapsed="false">
      <c r="A2076" s="7" t="s">
        <v>24</v>
      </c>
      <c r="B2076" s="7" t="s">
        <v>478</v>
      </c>
      <c r="C2076" s="7" t="s">
        <v>1220</v>
      </c>
      <c r="D2076" s="7" t="n">
        <v>33</v>
      </c>
      <c r="E2076" s="7" t="n">
        <v>1285.91</v>
      </c>
      <c r="F2076" s="7" t="n">
        <v>13</v>
      </c>
      <c r="G2076" s="7" t="n">
        <v>524.7</v>
      </c>
    </row>
    <row r="2077" customFormat="false" ht="15" hidden="false" customHeight="false" outlineLevel="0" collapsed="false">
      <c r="A2077" s="7" t="s">
        <v>24</v>
      </c>
      <c r="B2077" s="7" t="s">
        <v>478</v>
      </c>
      <c r="C2077" s="7" t="s">
        <v>1220</v>
      </c>
      <c r="D2077" s="7" t="n">
        <v>0</v>
      </c>
      <c r="E2077" s="7" t="n">
        <v>0</v>
      </c>
      <c r="F2077" s="7" t="n">
        <v>2</v>
      </c>
      <c r="G2077" s="7" t="n">
        <v>73.52</v>
      </c>
    </row>
    <row r="2078" customFormat="false" ht="15" hidden="false" customHeight="false" outlineLevel="0" collapsed="false">
      <c r="A2078" s="7" t="s">
        <v>24</v>
      </c>
      <c r="B2078" s="7" t="s">
        <v>478</v>
      </c>
      <c r="C2078" s="7" t="s">
        <v>1220</v>
      </c>
      <c r="D2078" s="7" t="n">
        <v>0</v>
      </c>
      <c r="E2078" s="7" t="n">
        <v>0</v>
      </c>
      <c r="F2078" s="7" t="n">
        <v>1</v>
      </c>
      <c r="G2078" s="7" t="n">
        <v>39.75</v>
      </c>
    </row>
    <row r="2079" customFormat="false" ht="15" hidden="false" customHeight="false" outlineLevel="0" collapsed="false">
      <c r="A2079" s="7" t="s">
        <v>24</v>
      </c>
      <c r="B2079" s="7" t="s">
        <v>478</v>
      </c>
      <c r="C2079" s="7" t="s">
        <v>1220</v>
      </c>
      <c r="D2079" s="7" t="n">
        <v>0</v>
      </c>
      <c r="E2079" s="7" t="n">
        <v>0</v>
      </c>
      <c r="F2079" s="7" t="n">
        <v>1</v>
      </c>
      <c r="G2079" s="7" t="n">
        <v>39.75</v>
      </c>
    </row>
    <row r="2080" customFormat="false" ht="15" hidden="false" customHeight="false" outlineLevel="0" collapsed="false">
      <c r="A2080" s="7" t="s">
        <v>24</v>
      </c>
      <c r="B2080" s="7" t="s">
        <v>478</v>
      </c>
      <c r="C2080" s="7" t="s">
        <v>1220</v>
      </c>
      <c r="D2080" s="7" t="n">
        <v>0</v>
      </c>
      <c r="E2080" s="7" t="n">
        <v>0</v>
      </c>
      <c r="F2080" s="7" t="n">
        <v>1</v>
      </c>
      <c r="G2080" s="7" t="n">
        <v>33.79</v>
      </c>
    </row>
    <row r="2081" customFormat="false" ht="15" hidden="false" customHeight="false" outlineLevel="0" collapsed="false">
      <c r="A2081" s="7" t="s">
        <v>24</v>
      </c>
      <c r="B2081" s="7" t="s">
        <v>478</v>
      </c>
      <c r="C2081" s="7" t="s">
        <v>1220</v>
      </c>
      <c r="D2081" s="7" t="n">
        <v>0</v>
      </c>
      <c r="E2081" s="7" t="n">
        <v>0</v>
      </c>
      <c r="F2081" s="7" t="n">
        <v>10</v>
      </c>
      <c r="G2081" s="7" t="n">
        <v>397.46</v>
      </c>
    </row>
    <row r="2082" customFormat="false" ht="15" hidden="false" customHeight="false" outlineLevel="0" collapsed="false">
      <c r="A2082" s="7" t="s">
        <v>24</v>
      </c>
      <c r="B2082" s="7" t="s">
        <v>478</v>
      </c>
      <c r="C2082" s="7" t="s">
        <v>1220</v>
      </c>
      <c r="D2082" s="7" t="n">
        <v>0</v>
      </c>
      <c r="E2082" s="7" t="n">
        <v>0</v>
      </c>
      <c r="F2082" s="7" t="n">
        <v>1</v>
      </c>
      <c r="G2082" s="7" t="n">
        <v>39.74</v>
      </c>
    </row>
    <row r="2083" customFormat="false" ht="15" hidden="false" customHeight="false" outlineLevel="0" collapsed="false">
      <c r="A2083" s="7" t="s">
        <v>24</v>
      </c>
      <c r="B2083" s="7" t="s">
        <v>478</v>
      </c>
      <c r="C2083" s="7" t="s">
        <v>1220</v>
      </c>
      <c r="D2083" s="7" t="n">
        <v>0</v>
      </c>
      <c r="E2083" s="7" t="n">
        <v>0</v>
      </c>
      <c r="F2083" s="7" t="n">
        <v>1</v>
      </c>
      <c r="G2083" s="7" t="n">
        <v>39.75</v>
      </c>
    </row>
    <row r="2084" customFormat="false" ht="15" hidden="false" customHeight="false" outlineLevel="0" collapsed="false">
      <c r="A2084" s="7" t="s">
        <v>24</v>
      </c>
      <c r="B2084" s="7" t="s">
        <v>478</v>
      </c>
      <c r="C2084" s="7" t="s">
        <v>1220</v>
      </c>
      <c r="D2084" s="7" t="n">
        <v>0</v>
      </c>
      <c r="E2084" s="7" t="n">
        <v>0</v>
      </c>
      <c r="F2084" s="7" t="n">
        <v>2</v>
      </c>
      <c r="G2084" s="7" t="n">
        <v>71.54</v>
      </c>
    </row>
    <row r="2085" customFormat="false" ht="15" hidden="false" customHeight="false" outlineLevel="0" collapsed="false">
      <c r="A2085" s="7" t="s">
        <v>24</v>
      </c>
      <c r="B2085" s="7" t="s">
        <v>478</v>
      </c>
      <c r="C2085" s="7" t="s">
        <v>1220</v>
      </c>
      <c r="D2085" s="7" t="n">
        <v>0</v>
      </c>
      <c r="E2085" s="7" t="n">
        <v>0</v>
      </c>
      <c r="F2085" s="7" t="n">
        <v>1</v>
      </c>
      <c r="G2085" s="7" t="n">
        <v>35.77</v>
      </c>
    </row>
    <row r="2086" customFormat="false" ht="15" hidden="false" customHeight="false" outlineLevel="0" collapsed="false">
      <c r="A2086" s="7" t="s">
        <v>24</v>
      </c>
      <c r="B2086" s="7" t="s">
        <v>418</v>
      </c>
      <c r="C2086" s="7" t="s">
        <v>1169</v>
      </c>
      <c r="D2086" s="7" t="n">
        <v>20</v>
      </c>
      <c r="E2086" s="7" t="n">
        <v>791.62</v>
      </c>
      <c r="F2086" s="7" t="n">
        <v>16</v>
      </c>
      <c r="G2086" s="7" t="n">
        <v>659.39</v>
      </c>
    </row>
    <row r="2087" customFormat="false" ht="15" hidden="false" customHeight="false" outlineLevel="0" collapsed="false">
      <c r="A2087" s="7" t="s">
        <v>24</v>
      </c>
      <c r="B2087" s="7" t="s">
        <v>418</v>
      </c>
      <c r="C2087" s="7" t="s">
        <v>1169</v>
      </c>
      <c r="D2087" s="7" t="n">
        <v>0</v>
      </c>
      <c r="E2087" s="7" t="n">
        <v>0</v>
      </c>
      <c r="F2087" s="7" t="n">
        <v>1</v>
      </c>
      <c r="G2087" s="7" t="n">
        <v>43.14</v>
      </c>
    </row>
    <row r="2088" customFormat="false" ht="15" hidden="false" customHeight="false" outlineLevel="0" collapsed="false">
      <c r="A2088" s="7" t="s">
        <v>24</v>
      </c>
      <c r="B2088" s="7" t="s">
        <v>418</v>
      </c>
      <c r="C2088" s="7" t="s">
        <v>1169</v>
      </c>
      <c r="D2088" s="7" t="n">
        <v>0</v>
      </c>
      <c r="E2088" s="7" t="n">
        <v>0</v>
      </c>
      <c r="F2088" s="7" t="n">
        <v>1</v>
      </c>
      <c r="G2088" s="7" t="n">
        <v>38.82</v>
      </c>
    </row>
    <row r="2089" customFormat="false" ht="15" hidden="false" customHeight="false" outlineLevel="0" collapsed="false">
      <c r="A2089" s="7" t="s">
        <v>24</v>
      </c>
      <c r="B2089" s="7" t="s">
        <v>418</v>
      </c>
      <c r="C2089" s="7" t="s">
        <v>1169</v>
      </c>
      <c r="D2089" s="7" t="n">
        <v>0</v>
      </c>
      <c r="E2089" s="7" t="n">
        <v>0</v>
      </c>
      <c r="F2089" s="7" t="n">
        <v>1</v>
      </c>
      <c r="G2089" s="7" t="n">
        <v>43.14</v>
      </c>
    </row>
    <row r="2090" customFormat="false" ht="15" hidden="false" customHeight="false" outlineLevel="0" collapsed="false">
      <c r="A2090" s="7" t="s">
        <v>24</v>
      </c>
      <c r="B2090" s="7" t="s">
        <v>418</v>
      </c>
      <c r="C2090" s="7" t="s">
        <v>1169</v>
      </c>
      <c r="D2090" s="7" t="n">
        <v>0</v>
      </c>
      <c r="E2090" s="7" t="n">
        <v>0</v>
      </c>
      <c r="F2090" s="7" t="n">
        <v>1</v>
      </c>
      <c r="G2090" s="7" t="n">
        <v>38.82</v>
      </c>
    </row>
    <row r="2091" customFormat="false" ht="15" hidden="false" customHeight="false" outlineLevel="0" collapsed="false">
      <c r="A2091" s="7" t="s">
        <v>24</v>
      </c>
      <c r="B2091" s="7" t="s">
        <v>418</v>
      </c>
      <c r="C2091" s="7" t="s">
        <v>1169</v>
      </c>
      <c r="D2091" s="7" t="n">
        <v>0</v>
      </c>
      <c r="E2091" s="7" t="n">
        <v>0</v>
      </c>
      <c r="F2091" s="7" t="n">
        <v>1</v>
      </c>
      <c r="G2091" s="7" t="n">
        <v>43.13</v>
      </c>
    </row>
    <row r="2092" customFormat="false" ht="15" hidden="false" customHeight="false" outlineLevel="0" collapsed="false">
      <c r="A2092" s="7" t="s">
        <v>24</v>
      </c>
      <c r="B2092" s="7" t="s">
        <v>418</v>
      </c>
      <c r="C2092" s="7" t="s">
        <v>1169</v>
      </c>
      <c r="D2092" s="7" t="n">
        <v>0</v>
      </c>
      <c r="E2092" s="7" t="n">
        <v>0</v>
      </c>
      <c r="F2092" s="7" t="n">
        <v>1</v>
      </c>
      <c r="G2092" s="7" t="n">
        <v>43.14</v>
      </c>
    </row>
    <row r="2093" customFormat="false" ht="15" hidden="false" customHeight="false" outlineLevel="0" collapsed="false">
      <c r="A2093" s="7" t="s">
        <v>24</v>
      </c>
      <c r="B2093" s="7" t="s">
        <v>418</v>
      </c>
      <c r="C2093" s="7" t="s">
        <v>1169</v>
      </c>
      <c r="D2093" s="7" t="n">
        <v>0</v>
      </c>
      <c r="E2093" s="7" t="n">
        <v>0</v>
      </c>
      <c r="F2093" s="7" t="n">
        <v>2</v>
      </c>
      <c r="G2093" s="7" t="n">
        <v>86.28</v>
      </c>
    </row>
    <row r="2094" customFormat="false" ht="15" hidden="false" customHeight="false" outlineLevel="0" collapsed="false">
      <c r="A2094" s="7" t="s">
        <v>24</v>
      </c>
      <c r="B2094" s="7" t="s">
        <v>418</v>
      </c>
      <c r="C2094" s="7" t="s">
        <v>1169</v>
      </c>
      <c r="D2094" s="7" t="n">
        <v>0</v>
      </c>
      <c r="E2094" s="7" t="n">
        <v>0</v>
      </c>
      <c r="F2094" s="7" t="n">
        <v>1</v>
      </c>
      <c r="G2094" s="7" t="n">
        <v>43.14</v>
      </c>
    </row>
    <row r="2095" customFormat="false" ht="15" hidden="false" customHeight="false" outlineLevel="0" collapsed="false">
      <c r="A2095" s="7" t="s">
        <v>24</v>
      </c>
      <c r="B2095" s="7" t="s">
        <v>418</v>
      </c>
      <c r="C2095" s="7" t="s">
        <v>1169</v>
      </c>
      <c r="D2095" s="7" t="n">
        <v>0</v>
      </c>
      <c r="E2095" s="7" t="n">
        <v>0</v>
      </c>
      <c r="F2095" s="7" t="n">
        <v>1</v>
      </c>
      <c r="G2095" s="7" t="n">
        <v>43.14</v>
      </c>
    </row>
    <row r="2096" customFormat="false" ht="15" hidden="false" customHeight="false" outlineLevel="0" collapsed="false">
      <c r="A2096" s="7" t="s">
        <v>24</v>
      </c>
      <c r="B2096" s="7" t="s">
        <v>418</v>
      </c>
      <c r="C2096" s="7" t="s">
        <v>1169</v>
      </c>
      <c r="D2096" s="7" t="n">
        <v>0</v>
      </c>
      <c r="E2096" s="7" t="n">
        <v>0</v>
      </c>
      <c r="F2096" s="7" t="n">
        <v>1</v>
      </c>
      <c r="G2096" s="7" t="n">
        <v>38.83</v>
      </c>
    </row>
    <row r="2097" customFormat="false" ht="15" hidden="false" customHeight="false" outlineLevel="0" collapsed="false">
      <c r="A2097" s="7" t="s">
        <v>24</v>
      </c>
      <c r="B2097" s="7" t="s">
        <v>418</v>
      </c>
      <c r="C2097" s="7" t="s">
        <v>1169</v>
      </c>
      <c r="D2097" s="7" t="n">
        <v>0</v>
      </c>
      <c r="E2097" s="7" t="n">
        <v>0</v>
      </c>
      <c r="F2097" s="7" t="n">
        <v>3</v>
      </c>
      <c r="G2097" s="7" t="n">
        <v>114.33</v>
      </c>
    </row>
    <row r="2098" customFormat="false" ht="15" hidden="false" customHeight="false" outlineLevel="0" collapsed="false">
      <c r="A2098" s="7" t="s">
        <v>24</v>
      </c>
      <c r="B2098" s="7" t="s">
        <v>418</v>
      </c>
      <c r="C2098" s="7" t="s">
        <v>1169</v>
      </c>
      <c r="D2098" s="7" t="n">
        <v>0</v>
      </c>
      <c r="E2098" s="7" t="n">
        <v>0</v>
      </c>
      <c r="F2098" s="7" t="n">
        <v>1</v>
      </c>
      <c r="G2098" s="7" t="n">
        <v>43.13</v>
      </c>
    </row>
    <row r="2099" customFormat="false" ht="15" hidden="false" customHeight="false" outlineLevel="0" collapsed="false">
      <c r="A2099" s="7" t="s">
        <v>24</v>
      </c>
      <c r="B2099" s="7" t="s">
        <v>411</v>
      </c>
      <c r="C2099" s="7" t="s">
        <v>1221</v>
      </c>
      <c r="D2099" s="7" t="n">
        <v>0</v>
      </c>
      <c r="E2099" s="7" t="n">
        <v>0</v>
      </c>
      <c r="F2099" s="7" t="n">
        <v>1</v>
      </c>
      <c r="G2099" s="7" t="n">
        <v>346.19</v>
      </c>
    </row>
    <row r="2100" customFormat="false" ht="15" hidden="false" customHeight="false" outlineLevel="0" collapsed="false">
      <c r="A2100" s="7" t="s">
        <v>24</v>
      </c>
      <c r="B2100" s="7" t="s">
        <v>411</v>
      </c>
      <c r="C2100" s="7" t="s">
        <v>1221</v>
      </c>
      <c r="D2100" s="7" t="n">
        <v>0</v>
      </c>
      <c r="E2100" s="7" t="n">
        <v>0</v>
      </c>
      <c r="F2100" s="7" t="n">
        <v>1</v>
      </c>
      <c r="G2100" s="7" t="n">
        <v>326.96</v>
      </c>
    </row>
    <row r="2101" customFormat="false" ht="15" hidden="false" customHeight="false" outlineLevel="0" collapsed="false">
      <c r="A2101" s="7" t="s">
        <v>24</v>
      </c>
      <c r="B2101" s="7" t="s">
        <v>411</v>
      </c>
      <c r="C2101" s="7" t="s">
        <v>1221</v>
      </c>
      <c r="D2101" s="7" t="n">
        <v>0</v>
      </c>
      <c r="E2101" s="7" t="n">
        <v>0</v>
      </c>
      <c r="F2101" s="7" t="n">
        <v>1</v>
      </c>
      <c r="G2101" s="7" t="n">
        <v>326.97</v>
      </c>
    </row>
    <row r="2102" customFormat="false" ht="15" hidden="false" customHeight="false" outlineLevel="0" collapsed="false">
      <c r="A2102" s="7" t="s">
        <v>24</v>
      </c>
      <c r="B2102" s="7" t="s">
        <v>411</v>
      </c>
      <c r="C2102" s="7" t="s">
        <v>1221</v>
      </c>
      <c r="D2102" s="7" t="n">
        <v>0</v>
      </c>
      <c r="E2102" s="7" t="n">
        <v>0</v>
      </c>
      <c r="F2102" s="7" t="n">
        <v>2</v>
      </c>
      <c r="G2102" s="7" t="n">
        <v>769.32</v>
      </c>
    </row>
    <row r="2103" customFormat="false" ht="15" hidden="false" customHeight="false" outlineLevel="0" collapsed="false">
      <c r="A2103" s="7" t="s">
        <v>24</v>
      </c>
      <c r="B2103" s="7" t="s">
        <v>411</v>
      </c>
      <c r="C2103" s="7" t="s">
        <v>1221</v>
      </c>
      <c r="D2103" s="7" t="n">
        <v>6</v>
      </c>
      <c r="E2103" s="7" t="n">
        <v>1884.83</v>
      </c>
      <c r="F2103" s="7" t="n">
        <v>-1</v>
      </c>
      <c r="G2103" s="7" t="n">
        <v>-384.66</v>
      </c>
    </row>
    <row r="2104" customFormat="false" ht="15" hidden="false" customHeight="false" outlineLevel="0" collapsed="false">
      <c r="A2104" s="7" t="s">
        <v>24</v>
      </c>
      <c r="B2104" s="7" t="s">
        <v>662</v>
      </c>
      <c r="C2104" s="7" t="s">
        <v>1221</v>
      </c>
      <c r="D2104" s="7" t="n">
        <v>0</v>
      </c>
      <c r="E2104" s="7" t="n">
        <v>0</v>
      </c>
      <c r="F2104" s="7" t="n">
        <v>1</v>
      </c>
      <c r="G2104" s="7" t="n">
        <v>384.66</v>
      </c>
    </row>
    <row r="2105" customFormat="false" ht="15" hidden="false" customHeight="false" outlineLevel="0" collapsed="false">
      <c r="A2105" s="7" t="s">
        <v>24</v>
      </c>
      <c r="B2105" s="7" t="s">
        <v>662</v>
      </c>
      <c r="C2105" s="7" t="s">
        <v>1221</v>
      </c>
      <c r="D2105" s="7" t="n">
        <v>2</v>
      </c>
      <c r="E2105" s="7" t="n">
        <v>634.68</v>
      </c>
      <c r="F2105" s="7" t="n">
        <v>0</v>
      </c>
      <c r="G2105" s="7" t="n">
        <v>0</v>
      </c>
    </row>
    <row r="2106" customFormat="false" ht="15" hidden="false" customHeight="false" outlineLevel="0" collapsed="false">
      <c r="A2106" s="7" t="s">
        <v>24</v>
      </c>
      <c r="B2106" s="7" t="s">
        <v>662</v>
      </c>
      <c r="C2106" s="7" t="s">
        <v>1221</v>
      </c>
      <c r="D2106" s="7" t="n">
        <v>0</v>
      </c>
      <c r="E2106" s="7" t="n">
        <v>0</v>
      </c>
      <c r="F2106" s="7" t="n">
        <v>1</v>
      </c>
      <c r="G2106" s="7" t="n">
        <v>384.66</v>
      </c>
    </row>
    <row r="2107" customFormat="false" ht="15" hidden="false" customHeight="false" outlineLevel="0" collapsed="false">
      <c r="A2107" s="7" t="s">
        <v>24</v>
      </c>
      <c r="B2107" s="7" t="s">
        <v>224</v>
      </c>
      <c r="C2107" s="7" t="s">
        <v>1221</v>
      </c>
      <c r="D2107" s="7" t="n">
        <v>0</v>
      </c>
      <c r="E2107" s="7" t="n">
        <v>0</v>
      </c>
      <c r="F2107" s="7" t="n">
        <v>3</v>
      </c>
      <c r="G2107" s="7" t="n">
        <v>1153.98</v>
      </c>
    </row>
    <row r="2108" customFormat="false" ht="15" hidden="false" customHeight="false" outlineLevel="0" collapsed="false">
      <c r="A2108" s="7" t="s">
        <v>24</v>
      </c>
      <c r="B2108" s="7" t="s">
        <v>224</v>
      </c>
      <c r="C2108" s="7" t="s">
        <v>1221</v>
      </c>
      <c r="D2108" s="7" t="n">
        <v>0</v>
      </c>
      <c r="E2108" s="7" t="n">
        <v>0</v>
      </c>
      <c r="F2108" s="7" t="n">
        <v>1</v>
      </c>
      <c r="G2108" s="7" t="n">
        <v>384.66</v>
      </c>
    </row>
    <row r="2109" customFormat="false" ht="15" hidden="false" customHeight="false" outlineLevel="0" collapsed="false">
      <c r="A2109" s="7" t="s">
        <v>24</v>
      </c>
      <c r="B2109" s="7" t="s">
        <v>484</v>
      </c>
      <c r="C2109" s="7" t="s">
        <v>1221</v>
      </c>
      <c r="D2109" s="7" t="n">
        <v>1</v>
      </c>
      <c r="E2109" s="7" t="n">
        <v>346.19</v>
      </c>
      <c r="F2109" s="7" t="n">
        <v>0</v>
      </c>
      <c r="G2109" s="7" t="n">
        <v>0</v>
      </c>
    </row>
    <row r="2110" customFormat="false" ht="15" hidden="false" customHeight="false" outlineLevel="0" collapsed="false">
      <c r="A2110" s="7" t="s">
        <v>24</v>
      </c>
      <c r="B2110" s="7" t="s">
        <v>725</v>
      </c>
      <c r="C2110" s="7" t="s">
        <v>1222</v>
      </c>
      <c r="D2110" s="7" t="n">
        <v>28</v>
      </c>
      <c r="E2110" s="7" t="n">
        <v>898.41</v>
      </c>
      <c r="F2110" s="7" t="n">
        <v>17</v>
      </c>
      <c r="G2110" s="7" t="n">
        <v>589.45</v>
      </c>
    </row>
    <row r="2111" customFormat="false" ht="15" hidden="false" customHeight="false" outlineLevel="0" collapsed="false">
      <c r="A2111" s="7" t="s">
        <v>24</v>
      </c>
      <c r="B2111" s="7" t="s">
        <v>725</v>
      </c>
      <c r="C2111" s="7" t="s">
        <v>1222</v>
      </c>
      <c r="D2111" s="7" t="n">
        <v>0</v>
      </c>
      <c r="E2111" s="7" t="n">
        <v>0</v>
      </c>
      <c r="F2111" s="7" t="n">
        <v>1</v>
      </c>
      <c r="G2111" s="7" t="n">
        <v>35.52</v>
      </c>
    </row>
    <row r="2112" customFormat="false" ht="15" hidden="false" customHeight="false" outlineLevel="0" collapsed="false">
      <c r="A2112" s="7" t="s">
        <v>24</v>
      </c>
      <c r="B2112" s="7" t="s">
        <v>725</v>
      </c>
      <c r="C2112" s="7" t="s">
        <v>1222</v>
      </c>
      <c r="D2112" s="7" t="n">
        <v>0</v>
      </c>
      <c r="E2112" s="7" t="n">
        <v>0</v>
      </c>
      <c r="F2112" s="7" t="n">
        <v>1</v>
      </c>
      <c r="G2112" s="7" t="n">
        <v>35.51</v>
      </c>
    </row>
    <row r="2113" customFormat="false" ht="15" hidden="false" customHeight="false" outlineLevel="0" collapsed="false">
      <c r="A2113" s="7" t="s">
        <v>24</v>
      </c>
      <c r="B2113" s="7" t="s">
        <v>725</v>
      </c>
      <c r="C2113" s="7" t="s">
        <v>1222</v>
      </c>
      <c r="D2113" s="7" t="n">
        <v>0</v>
      </c>
      <c r="E2113" s="7" t="n">
        <v>0</v>
      </c>
      <c r="F2113" s="7" t="n">
        <v>2</v>
      </c>
      <c r="G2113" s="7" t="n">
        <v>71.01</v>
      </c>
    </row>
    <row r="2114" customFormat="false" ht="15" hidden="false" customHeight="false" outlineLevel="0" collapsed="false">
      <c r="A2114" s="7" t="s">
        <v>24</v>
      </c>
      <c r="B2114" s="7" t="s">
        <v>725</v>
      </c>
      <c r="C2114" s="7" t="s">
        <v>1222</v>
      </c>
      <c r="D2114" s="7" t="n">
        <v>0</v>
      </c>
      <c r="E2114" s="7" t="n">
        <v>0</v>
      </c>
      <c r="F2114" s="7" t="n">
        <v>2</v>
      </c>
      <c r="G2114" s="7" t="n">
        <v>71.02</v>
      </c>
    </row>
    <row r="2115" customFormat="false" ht="15" hidden="false" customHeight="false" outlineLevel="0" collapsed="false">
      <c r="A2115" s="7" t="s">
        <v>24</v>
      </c>
      <c r="B2115" s="7" t="s">
        <v>725</v>
      </c>
      <c r="C2115" s="7" t="s">
        <v>1222</v>
      </c>
      <c r="D2115" s="7" t="n">
        <v>0</v>
      </c>
      <c r="E2115" s="7" t="n">
        <v>0</v>
      </c>
      <c r="F2115" s="7" t="n">
        <v>1</v>
      </c>
      <c r="G2115" s="7" t="n">
        <v>35.51</v>
      </c>
    </row>
    <row r="2116" customFormat="false" ht="15" hidden="false" customHeight="false" outlineLevel="0" collapsed="false">
      <c r="A2116" s="7" t="s">
        <v>24</v>
      </c>
      <c r="B2116" s="7" t="s">
        <v>725</v>
      </c>
      <c r="C2116" s="7" t="s">
        <v>1222</v>
      </c>
      <c r="D2116" s="7" t="n">
        <v>0</v>
      </c>
      <c r="E2116" s="7" t="n">
        <v>0</v>
      </c>
      <c r="F2116" s="7" t="n">
        <v>1</v>
      </c>
      <c r="G2116" s="7" t="n">
        <v>35.51</v>
      </c>
    </row>
    <row r="2117" customFormat="false" ht="15" hidden="false" customHeight="false" outlineLevel="0" collapsed="false">
      <c r="A2117" s="7" t="s">
        <v>24</v>
      </c>
      <c r="B2117" s="7" t="s">
        <v>725</v>
      </c>
      <c r="C2117" s="7" t="s">
        <v>1222</v>
      </c>
      <c r="D2117" s="7" t="n">
        <v>0</v>
      </c>
      <c r="E2117" s="7" t="n">
        <v>0</v>
      </c>
      <c r="F2117" s="7" t="n">
        <v>1</v>
      </c>
      <c r="G2117" s="7" t="n">
        <v>30.19</v>
      </c>
    </row>
    <row r="2118" customFormat="false" ht="15" hidden="false" customHeight="false" outlineLevel="0" collapsed="false">
      <c r="A2118" s="7" t="s">
        <v>24</v>
      </c>
      <c r="B2118" s="7" t="s">
        <v>725</v>
      </c>
      <c r="C2118" s="7" t="s">
        <v>1222</v>
      </c>
      <c r="D2118" s="7" t="n">
        <v>0</v>
      </c>
      <c r="E2118" s="7" t="n">
        <v>0</v>
      </c>
      <c r="F2118" s="7" t="n">
        <v>1</v>
      </c>
      <c r="G2118" s="7" t="n">
        <v>35.51</v>
      </c>
    </row>
    <row r="2119" customFormat="false" ht="15" hidden="false" customHeight="false" outlineLevel="0" collapsed="false">
      <c r="A2119" s="7" t="s">
        <v>24</v>
      </c>
      <c r="B2119" s="7" t="s">
        <v>725</v>
      </c>
      <c r="C2119" s="7" t="s">
        <v>1222</v>
      </c>
      <c r="D2119" s="7" t="n">
        <v>0</v>
      </c>
      <c r="E2119" s="7" t="n">
        <v>0</v>
      </c>
      <c r="F2119" s="7" t="n">
        <v>1</v>
      </c>
      <c r="G2119" s="7" t="n">
        <v>35.51</v>
      </c>
    </row>
    <row r="2120" customFormat="false" ht="15" hidden="false" customHeight="false" outlineLevel="0" collapsed="false">
      <c r="A2120" s="7" t="s">
        <v>24</v>
      </c>
      <c r="B2120" s="7" t="s">
        <v>579</v>
      </c>
      <c r="C2120" s="7" t="s">
        <v>1147</v>
      </c>
      <c r="D2120" s="7" t="n">
        <v>1</v>
      </c>
      <c r="E2120" s="7" t="n">
        <v>222.8</v>
      </c>
      <c r="F2120" s="7" t="n">
        <v>0</v>
      </c>
      <c r="G2120" s="7" t="n">
        <v>0</v>
      </c>
    </row>
    <row r="2121" customFormat="false" ht="15" hidden="false" customHeight="false" outlineLevel="0" collapsed="false">
      <c r="A2121" s="7" t="s">
        <v>24</v>
      </c>
      <c r="B2121" s="7" t="s">
        <v>294</v>
      </c>
      <c r="C2121" s="7" t="s">
        <v>1223</v>
      </c>
      <c r="D2121" s="7" t="n">
        <v>4</v>
      </c>
      <c r="E2121" s="7" t="n">
        <v>936.92</v>
      </c>
      <c r="F2121" s="7" t="n">
        <v>0</v>
      </c>
      <c r="G2121" s="7" t="n">
        <v>0</v>
      </c>
    </row>
    <row r="2122" customFormat="false" ht="15" hidden="false" customHeight="false" outlineLevel="0" collapsed="false">
      <c r="A2122" s="7" t="s">
        <v>24</v>
      </c>
      <c r="B2122" s="7" t="s">
        <v>503</v>
      </c>
      <c r="C2122" s="7" t="s">
        <v>1050</v>
      </c>
      <c r="D2122" s="7" t="n">
        <v>13</v>
      </c>
      <c r="E2122" s="7" t="n">
        <v>977.82</v>
      </c>
      <c r="F2122" s="7" t="n">
        <v>6</v>
      </c>
      <c r="G2122" s="7" t="n">
        <v>507.96</v>
      </c>
    </row>
    <row r="2123" customFormat="false" ht="15" hidden="false" customHeight="false" outlineLevel="0" collapsed="false">
      <c r="A2123" s="7" t="s">
        <v>24</v>
      </c>
      <c r="B2123" s="7" t="s">
        <v>503</v>
      </c>
      <c r="C2123" s="7" t="s">
        <v>1050</v>
      </c>
      <c r="D2123" s="7" t="n">
        <v>0</v>
      </c>
      <c r="E2123" s="7" t="n">
        <v>0</v>
      </c>
      <c r="F2123" s="7" t="n">
        <v>1</v>
      </c>
      <c r="G2123" s="7" t="n">
        <v>84.67</v>
      </c>
    </row>
    <row r="2124" customFormat="false" ht="15" hidden="false" customHeight="false" outlineLevel="0" collapsed="false">
      <c r="A2124" s="7" t="s">
        <v>24</v>
      </c>
      <c r="B2124" s="7" t="s">
        <v>503</v>
      </c>
      <c r="C2124" s="7" t="s">
        <v>1050</v>
      </c>
      <c r="D2124" s="7" t="n">
        <v>0</v>
      </c>
      <c r="E2124" s="7" t="n">
        <v>0</v>
      </c>
      <c r="F2124" s="7" t="n">
        <v>1</v>
      </c>
      <c r="G2124" s="7" t="n">
        <v>76.19</v>
      </c>
    </row>
    <row r="2125" customFormat="false" ht="15" hidden="false" customHeight="false" outlineLevel="0" collapsed="false">
      <c r="A2125" s="7" t="s">
        <v>24</v>
      </c>
      <c r="B2125" s="7" t="s">
        <v>503</v>
      </c>
      <c r="C2125" s="7" t="s">
        <v>1050</v>
      </c>
      <c r="D2125" s="7" t="n">
        <v>5</v>
      </c>
      <c r="E2125" s="7" t="n">
        <v>350.49</v>
      </c>
      <c r="F2125" s="7" t="n">
        <v>0</v>
      </c>
      <c r="G2125" s="7" t="n">
        <v>0</v>
      </c>
    </row>
    <row r="2126" customFormat="false" ht="15" hidden="false" customHeight="false" outlineLevel="0" collapsed="false">
      <c r="A2126" s="7" t="s">
        <v>24</v>
      </c>
      <c r="B2126" s="7" t="s">
        <v>503</v>
      </c>
      <c r="C2126" s="7" t="s">
        <v>1050</v>
      </c>
      <c r="D2126" s="7" t="n">
        <v>0</v>
      </c>
      <c r="E2126" s="7" t="n">
        <v>0</v>
      </c>
      <c r="F2126" s="7" t="n">
        <v>2</v>
      </c>
      <c r="G2126" s="7" t="n">
        <v>169.33</v>
      </c>
    </row>
    <row r="2127" customFormat="false" ht="15" hidden="false" customHeight="false" outlineLevel="0" collapsed="false">
      <c r="A2127" s="7" t="s">
        <v>24</v>
      </c>
      <c r="B2127" s="7" t="s">
        <v>503</v>
      </c>
      <c r="C2127" s="7" t="s">
        <v>1050</v>
      </c>
      <c r="D2127" s="7" t="n">
        <v>0</v>
      </c>
      <c r="E2127" s="7" t="n">
        <v>0</v>
      </c>
      <c r="F2127" s="7" t="n">
        <v>2</v>
      </c>
      <c r="G2127" s="7" t="n">
        <v>169.33</v>
      </c>
    </row>
    <row r="2128" customFormat="false" ht="15" hidden="false" customHeight="false" outlineLevel="0" collapsed="false">
      <c r="A2128" s="7" t="s">
        <v>24</v>
      </c>
      <c r="B2128" s="7" t="s">
        <v>597</v>
      </c>
      <c r="C2128" s="7" t="s">
        <v>1050</v>
      </c>
      <c r="D2128" s="7" t="n">
        <v>6</v>
      </c>
      <c r="E2128" s="7" t="n">
        <v>452.93</v>
      </c>
      <c r="F2128" s="7" t="n">
        <v>2</v>
      </c>
      <c r="G2128" s="7" t="n">
        <v>160.85</v>
      </c>
    </row>
    <row r="2129" customFormat="false" ht="15" hidden="false" customHeight="false" outlineLevel="0" collapsed="false">
      <c r="A2129" s="7" t="s">
        <v>24</v>
      </c>
      <c r="B2129" s="7" t="s">
        <v>597</v>
      </c>
      <c r="C2129" s="7" t="s">
        <v>1050</v>
      </c>
      <c r="D2129" s="7" t="n">
        <v>1</v>
      </c>
      <c r="E2129" s="7" t="n">
        <v>65.48</v>
      </c>
      <c r="F2129" s="7" t="n">
        <v>0</v>
      </c>
      <c r="G2129" s="7" t="n">
        <v>0</v>
      </c>
    </row>
    <row r="2130" customFormat="false" ht="15" hidden="false" customHeight="false" outlineLevel="0" collapsed="false">
      <c r="A2130" s="7" t="s">
        <v>24</v>
      </c>
      <c r="B2130" s="7" t="s">
        <v>597</v>
      </c>
      <c r="C2130" s="7" t="s">
        <v>1050</v>
      </c>
      <c r="D2130" s="7" t="n">
        <v>0</v>
      </c>
      <c r="E2130" s="7" t="n">
        <v>0</v>
      </c>
      <c r="F2130" s="7" t="n">
        <v>1</v>
      </c>
      <c r="G2130" s="7" t="n">
        <v>84.66</v>
      </c>
    </row>
    <row r="2131" customFormat="false" ht="15" hidden="false" customHeight="false" outlineLevel="0" collapsed="false">
      <c r="A2131" s="7" t="s">
        <v>24</v>
      </c>
      <c r="B2131" s="7" t="s">
        <v>597</v>
      </c>
      <c r="C2131" s="7" t="s">
        <v>1050</v>
      </c>
      <c r="D2131" s="7" t="n">
        <v>0</v>
      </c>
      <c r="E2131" s="7" t="n">
        <v>0</v>
      </c>
      <c r="F2131" s="7" t="n">
        <v>1</v>
      </c>
      <c r="G2131" s="7" t="n">
        <v>71.97</v>
      </c>
    </row>
    <row r="2132" customFormat="false" ht="15" hidden="false" customHeight="false" outlineLevel="0" collapsed="false">
      <c r="A2132" s="7" t="s">
        <v>24</v>
      </c>
      <c r="B2132" s="7" t="s">
        <v>544</v>
      </c>
      <c r="C2132" s="7" t="s">
        <v>1050</v>
      </c>
      <c r="D2132" s="7" t="n">
        <v>5</v>
      </c>
      <c r="E2132" s="7" t="n">
        <v>359.81</v>
      </c>
      <c r="F2132" s="7" t="n">
        <v>1</v>
      </c>
      <c r="G2132" s="7" t="n">
        <v>84.66</v>
      </c>
    </row>
    <row r="2133" customFormat="false" ht="15" hidden="false" customHeight="false" outlineLevel="0" collapsed="false">
      <c r="A2133" s="7" t="s">
        <v>24</v>
      </c>
      <c r="B2133" s="7" t="s">
        <v>616</v>
      </c>
      <c r="C2133" s="7" t="s">
        <v>1050</v>
      </c>
      <c r="D2133" s="7" t="n">
        <v>6</v>
      </c>
      <c r="E2133" s="7" t="n">
        <v>469.86</v>
      </c>
      <c r="F2133" s="7" t="n">
        <v>4</v>
      </c>
      <c r="G2133" s="7" t="n">
        <v>330.17</v>
      </c>
    </row>
    <row r="2134" customFormat="false" ht="15" hidden="false" customHeight="false" outlineLevel="0" collapsed="false">
      <c r="A2134" s="7" t="s">
        <v>24</v>
      </c>
      <c r="B2134" s="7" t="s">
        <v>616</v>
      </c>
      <c r="C2134" s="7" t="s">
        <v>1050</v>
      </c>
      <c r="D2134" s="7" t="n">
        <v>0</v>
      </c>
      <c r="E2134" s="7" t="n">
        <v>0</v>
      </c>
      <c r="F2134" s="7" t="n">
        <v>1</v>
      </c>
      <c r="G2134" s="7" t="n">
        <v>84.66</v>
      </c>
    </row>
    <row r="2135" customFormat="false" ht="15" hidden="false" customHeight="false" outlineLevel="0" collapsed="false">
      <c r="A2135" s="7" t="s">
        <v>24</v>
      </c>
      <c r="B2135" s="7" t="s">
        <v>616</v>
      </c>
      <c r="C2135" s="7" t="s">
        <v>1050</v>
      </c>
      <c r="D2135" s="7" t="n">
        <v>0</v>
      </c>
      <c r="E2135" s="7" t="n">
        <v>0</v>
      </c>
      <c r="F2135" s="7" t="n">
        <v>1</v>
      </c>
      <c r="G2135" s="7" t="n">
        <v>84.66</v>
      </c>
    </row>
    <row r="2136" customFormat="false" ht="15" hidden="false" customHeight="false" outlineLevel="0" collapsed="false">
      <c r="A2136" s="7" t="s">
        <v>24</v>
      </c>
      <c r="B2136" s="7" t="s">
        <v>616</v>
      </c>
      <c r="C2136" s="7" t="s">
        <v>1050</v>
      </c>
      <c r="D2136" s="7" t="n">
        <v>0</v>
      </c>
      <c r="E2136" s="7" t="n">
        <v>0</v>
      </c>
      <c r="F2136" s="7" t="n">
        <v>1</v>
      </c>
      <c r="G2136" s="7" t="n">
        <v>84.66</v>
      </c>
    </row>
    <row r="2137" customFormat="false" ht="15" hidden="false" customHeight="false" outlineLevel="0" collapsed="false">
      <c r="A2137" s="7" t="s">
        <v>24</v>
      </c>
      <c r="B2137" s="7" t="s">
        <v>616</v>
      </c>
      <c r="C2137" s="7" t="s">
        <v>1050</v>
      </c>
      <c r="D2137" s="7" t="n">
        <v>0</v>
      </c>
      <c r="E2137" s="7" t="n">
        <v>0</v>
      </c>
      <c r="F2137" s="7" t="n">
        <v>1</v>
      </c>
      <c r="G2137" s="7" t="n">
        <v>71.96</v>
      </c>
    </row>
    <row r="2138" customFormat="false" ht="15" hidden="false" customHeight="false" outlineLevel="0" collapsed="false">
      <c r="A2138" s="7" t="s">
        <v>24</v>
      </c>
      <c r="B2138" s="7" t="s">
        <v>726</v>
      </c>
      <c r="C2138" s="7" t="s">
        <v>1050</v>
      </c>
      <c r="D2138" s="7" t="n">
        <v>0</v>
      </c>
      <c r="E2138" s="7" t="n">
        <v>0</v>
      </c>
      <c r="F2138" s="7" t="n">
        <v>1</v>
      </c>
      <c r="G2138" s="7" t="n">
        <v>76.2</v>
      </c>
    </row>
    <row r="2139" customFormat="false" ht="15" hidden="false" customHeight="false" outlineLevel="0" collapsed="false">
      <c r="A2139" s="7" t="s">
        <v>24</v>
      </c>
      <c r="B2139" s="7" t="s">
        <v>341</v>
      </c>
      <c r="C2139" s="7" t="s">
        <v>1050</v>
      </c>
      <c r="D2139" s="7" t="n">
        <v>0</v>
      </c>
      <c r="E2139" s="7" t="n">
        <v>0</v>
      </c>
      <c r="F2139" s="7" t="n">
        <v>2</v>
      </c>
      <c r="G2139" s="7" t="n">
        <v>169.32</v>
      </c>
    </row>
    <row r="2140" customFormat="false" ht="15" hidden="false" customHeight="false" outlineLevel="0" collapsed="false">
      <c r="A2140" s="7" t="s">
        <v>24</v>
      </c>
      <c r="B2140" s="7" t="s">
        <v>341</v>
      </c>
      <c r="C2140" s="7" t="s">
        <v>1050</v>
      </c>
      <c r="D2140" s="7" t="n">
        <v>0</v>
      </c>
      <c r="E2140" s="7" t="n">
        <v>0</v>
      </c>
      <c r="F2140" s="7" t="n">
        <v>6</v>
      </c>
      <c r="G2140" s="7" t="n">
        <v>507.96</v>
      </c>
    </row>
    <row r="2141" customFormat="false" ht="15" hidden="false" customHeight="false" outlineLevel="0" collapsed="false">
      <c r="A2141" s="7" t="s">
        <v>24</v>
      </c>
      <c r="B2141" s="7" t="s">
        <v>341</v>
      </c>
      <c r="C2141" s="7" t="s">
        <v>1050</v>
      </c>
      <c r="D2141" s="7" t="n">
        <v>0</v>
      </c>
      <c r="E2141" s="7" t="n">
        <v>0</v>
      </c>
      <c r="F2141" s="7" t="n">
        <v>1</v>
      </c>
      <c r="G2141" s="7" t="n">
        <v>84.66</v>
      </c>
    </row>
    <row r="2142" customFormat="false" ht="15" hidden="false" customHeight="false" outlineLevel="0" collapsed="false">
      <c r="A2142" s="7" t="s">
        <v>24</v>
      </c>
      <c r="B2142" s="7" t="s">
        <v>341</v>
      </c>
      <c r="C2142" s="7" t="s">
        <v>1050</v>
      </c>
      <c r="D2142" s="7" t="n">
        <v>11</v>
      </c>
      <c r="E2142" s="7" t="n">
        <v>863.53</v>
      </c>
      <c r="F2142" s="7" t="n">
        <v>4</v>
      </c>
      <c r="G2142" s="7" t="n">
        <v>313.24</v>
      </c>
    </row>
    <row r="2143" customFormat="false" ht="15" hidden="false" customHeight="false" outlineLevel="0" collapsed="false">
      <c r="A2143" s="7" t="s">
        <v>24</v>
      </c>
      <c r="B2143" s="7" t="s">
        <v>341</v>
      </c>
      <c r="C2143" s="7" t="s">
        <v>1050</v>
      </c>
      <c r="D2143" s="7" t="n">
        <v>0</v>
      </c>
      <c r="E2143" s="7" t="n">
        <v>0</v>
      </c>
      <c r="F2143" s="7" t="n">
        <v>1</v>
      </c>
      <c r="G2143" s="7" t="n">
        <v>84.65</v>
      </c>
    </row>
    <row r="2144" customFormat="false" ht="15" hidden="false" customHeight="false" outlineLevel="0" collapsed="false">
      <c r="A2144" s="7" t="s">
        <v>24</v>
      </c>
      <c r="B2144" s="7" t="s">
        <v>341</v>
      </c>
      <c r="C2144" s="7" t="s">
        <v>1050</v>
      </c>
      <c r="D2144" s="7" t="n">
        <v>0</v>
      </c>
      <c r="E2144" s="7" t="n">
        <v>0</v>
      </c>
      <c r="F2144" s="7" t="n">
        <v>1</v>
      </c>
      <c r="G2144" s="7" t="n">
        <v>84.66</v>
      </c>
    </row>
    <row r="2145" customFormat="false" ht="15" hidden="false" customHeight="false" outlineLevel="0" collapsed="false">
      <c r="A2145" s="7" t="s">
        <v>24</v>
      </c>
      <c r="B2145" s="7" t="s">
        <v>341</v>
      </c>
      <c r="C2145" s="7" t="s">
        <v>1050</v>
      </c>
      <c r="D2145" s="7" t="n">
        <v>0</v>
      </c>
      <c r="E2145" s="7" t="n">
        <v>0</v>
      </c>
      <c r="F2145" s="7" t="n">
        <v>2</v>
      </c>
      <c r="G2145" s="7" t="n">
        <v>143.93</v>
      </c>
    </row>
    <row r="2146" customFormat="false" ht="15" hidden="false" customHeight="false" outlineLevel="0" collapsed="false">
      <c r="A2146" s="7" t="s">
        <v>24</v>
      </c>
      <c r="B2146" s="7" t="s">
        <v>341</v>
      </c>
      <c r="C2146" s="7" t="s">
        <v>1050</v>
      </c>
      <c r="D2146" s="7" t="n">
        <v>0</v>
      </c>
      <c r="E2146" s="7" t="n">
        <v>0</v>
      </c>
      <c r="F2146" s="7" t="n">
        <v>2</v>
      </c>
      <c r="G2146" s="7" t="n">
        <v>169.33</v>
      </c>
    </row>
    <row r="2147" customFormat="false" ht="15" hidden="false" customHeight="false" outlineLevel="0" collapsed="false">
      <c r="A2147" s="7" t="s">
        <v>24</v>
      </c>
      <c r="B2147" s="7" t="s">
        <v>181</v>
      </c>
      <c r="C2147" s="7" t="s">
        <v>1149</v>
      </c>
      <c r="D2147" s="7" t="n">
        <v>2</v>
      </c>
      <c r="E2147" s="7" t="n">
        <v>206.79</v>
      </c>
      <c r="F2147" s="7" t="n">
        <v>0</v>
      </c>
      <c r="G2147" s="7" t="n">
        <v>0</v>
      </c>
    </row>
    <row r="2148" customFormat="false" ht="15" hidden="false" customHeight="false" outlineLevel="0" collapsed="false">
      <c r="A2148" s="7" t="s">
        <v>24</v>
      </c>
      <c r="B2148" s="7" t="s">
        <v>181</v>
      </c>
      <c r="C2148" s="7" t="s">
        <v>1149</v>
      </c>
      <c r="D2148" s="7" t="n">
        <v>0</v>
      </c>
      <c r="E2148" s="7" t="n">
        <v>0</v>
      </c>
      <c r="F2148" s="7" t="n">
        <v>1</v>
      </c>
      <c r="G2148" s="7" t="n">
        <v>127.04</v>
      </c>
    </row>
    <row r="2149" customFormat="false" ht="15" hidden="false" customHeight="false" outlineLevel="0" collapsed="false">
      <c r="A2149" s="7" t="s">
        <v>24</v>
      </c>
      <c r="B2149" s="7" t="s">
        <v>181</v>
      </c>
      <c r="C2149" s="7" t="s">
        <v>1149</v>
      </c>
      <c r="D2149" s="7" t="n">
        <v>0</v>
      </c>
      <c r="E2149" s="7" t="n">
        <v>0</v>
      </c>
      <c r="F2149" s="7" t="n">
        <v>1</v>
      </c>
      <c r="G2149" s="7" t="n">
        <v>127.03</v>
      </c>
    </row>
    <row r="2150" customFormat="false" ht="15" hidden="false" customHeight="false" outlineLevel="0" collapsed="false">
      <c r="A2150" s="7" t="s">
        <v>24</v>
      </c>
      <c r="B2150" s="7" t="s">
        <v>181</v>
      </c>
      <c r="C2150" s="7" t="s">
        <v>1149</v>
      </c>
      <c r="D2150" s="7" t="n">
        <v>0</v>
      </c>
      <c r="E2150" s="7" t="n">
        <v>0</v>
      </c>
      <c r="F2150" s="7" t="n">
        <v>1</v>
      </c>
      <c r="G2150" s="7" t="n">
        <v>127.03</v>
      </c>
    </row>
    <row r="2151" customFormat="false" ht="15" hidden="false" customHeight="false" outlineLevel="0" collapsed="false">
      <c r="A2151" s="7" t="s">
        <v>24</v>
      </c>
      <c r="B2151" s="7" t="s">
        <v>181</v>
      </c>
      <c r="C2151" s="7" t="s">
        <v>1149</v>
      </c>
      <c r="D2151" s="7" t="n">
        <v>0</v>
      </c>
      <c r="E2151" s="7" t="n">
        <v>0</v>
      </c>
      <c r="F2151" s="7" t="n">
        <v>1</v>
      </c>
      <c r="G2151" s="7" t="n">
        <v>114.33</v>
      </c>
    </row>
    <row r="2152" customFormat="false" ht="15" hidden="false" customHeight="false" outlineLevel="0" collapsed="false">
      <c r="A2152" s="7" t="s">
        <v>24</v>
      </c>
      <c r="B2152" s="7" t="s">
        <v>181</v>
      </c>
      <c r="C2152" s="7" t="s">
        <v>1149</v>
      </c>
      <c r="D2152" s="7" t="n">
        <v>0</v>
      </c>
      <c r="E2152" s="7" t="n">
        <v>0</v>
      </c>
      <c r="F2152" s="7" t="n">
        <v>2</v>
      </c>
      <c r="G2152" s="7" t="n">
        <v>228.66</v>
      </c>
    </row>
    <row r="2153" customFormat="false" ht="15" hidden="false" customHeight="false" outlineLevel="0" collapsed="false">
      <c r="A2153" s="7" t="s">
        <v>24</v>
      </c>
      <c r="B2153" s="7" t="s">
        <v>181</v>
      </c>
      <c r="C2153" s="7" t="s">
        <v>1149</v>
      </c>
      <c r="D2153" s="7" t="n">
        <v>0</v>
      </c>
      <c r="E2153" s="7" t="n">
        <v>0</v>
      </c>
      <c r="F2153" s="7" t="n">
        <v>1</v>
      </c>
      <c r="G2153" s="7" t="n">
        <v>127.04</v>
      </c>
    </row>
    <row r="2154" customFormat="false" ht="15" hidden="false" customHeight="false" outlineLevel="0" collapsed="false">
      <c r="A2154" s="7" t="s">
        <v>24</v>
      </c>
      <c r="B2154" s="7" t="s">
        <v>181</v>
      </c>
      <c r="C2154" s="7" t="s">
        <v>1149</v>
      </c>
      <c r="D2154" s="7" t="n">
        <v>0</v>
      </c>
      <c r="E2154" s="7" t="n">
        <v>0</v>
      </c>
      <c r="F2154" s="7" t="n">
        <v>1</v>
      </c>
      <c r="G2154" s="7" t="n">
        <v>114.33</v>
      </c>
    </row>
    <row r="2155" customFormat="false" ht="15" hidden="false" customHeight="false" outlineLevel="0" collapsed="false">
      <c r="A2155" s="7" t="s">
        <v>24</v>
      </c>
      <c r="B2155" s="7" t="s">
        <v>181</v>
      </c>
      <c r="C2155" s="7" t="s">
        <v>1149</v>
      </c>
      <c r="D2155" s="7" t="n">
        <v>0</v>
      </c>
      <c r="E2155" s="7" t="n">
        <v>0</v>
      </c>
      <c r="F2155" s="7" t="n">
        <v>1</v>
      </c>
      <c r="G2155" s="7" t="n">
        <v>127.03</v>
      </c>
    </row>
    <row r="2156" customFormat="false" ht="15" hidden="false" customHeight="false" outlineLevel="0" collapsed="false">
      <c r="A2156" s="7" t="s">
        <v>24</v>
      </c>
      <c r="B2156" s="7" t="s">
        <v>181</v>
      </c>
      <c r="C2156" s="7" t="s">
        <v>1149</v>
      </c>
      <c r="D2156" s="7" t="n">
        <v>0</v>
      </c>
      <c r="E2156" s="7" t="n">
        <v>0</v>
      </c>
      <c r="F2156" s="7" t="n">
        <v>1</v>
      </c>
      <c r="G2156" s="7" t="n">
        <v>127.03</v>
      </c>
    </row>
    <row r="2157" customFormat="false" ht="15" hidden="false" customHeight="false" outlineLevel="0" collapsed="false">
      <c r="A2157" s="7" t="s">
        <v>24</v>
      </c>
      <c r="B2157" s="7" t="s">
        <v>181</v>
      </c>
      <c r="C2157" s="7" t="s">
        <v>1149</v>
      </c>
      <c r="D2157" s="7" t="n">
        <v>8</v>
      </c>
      <c r="E2157" s="7" t="n">
        <v>959.09</v>
      </c>
      <c r="F2157" s="7" t="n">
        <v>12</v>
      </c>
      <c r="G2157" s="7" t="n">
        <v>1473.56</v>
      </c>
    </row>
    <row r="2158" customFormat="false" ht="15" hidden="false" customHeight="false" outlineLevel="0" collapsed="false">
      <c r="A2158" s="7" t="s">
        <v>24</v>
      </c>
      <c r="B2158" s="7" t="s">
        <v>181</v>
      </c>
      <c r="C2158" s="7" t="s">
        <v>1149</v>
      </c>
      <c r="D2158" s="7" t="n">
        <v>0</v>
      </c>
      <c r="E2158" s="7" t="n">
        <v>0</v>
      </c>
      <c r="F2158" s="7" t="n">
        <v>1</v>
      </c>
      <c r="G2158" s="7" t="n">
        <v>127.04</v>
      </c>
    </row>
    <row r="2159" customFormat="false" ht="15" hidden="false" customHeight="false" outlineLevel="0" collapsed="false">
      <c r="A2159" s="7" t="s">
        <v>24</v>
      </c>
      <c r="B2159" s="7" t="s">
        <v>181</v>
      </c>
      <c r="C2159" s="7" t="s">
        <v>1149</v>
      </c>
      <c r="D2159" s="7" t="n">
        <v>0</v>
      </c>
      <c r="E2159" s="7" t="n">
        <v>0</v>
      </c>
      <c r="F2159" s="7" t="n">
        <v>1</v>
      </c>
      <c r="G2159" s="7" t="n">
        <v>114.33</v>
      </c>
    </row>
    <row r="2160" customFormat="false" ht="15" hidden="false" customHeight="false" outlineLevel="0" collapsed="false">
      <c r="A2160" s="7" t="s">
        <v>24</v>
      </c>
      <c r="B2160" s="7" t="s">
        <v>181</v>
      </c>
      <c r="C2160" s="7" t="s">
        <v>1149</v>
      </c>
      <c r="D2160" s="7" t="n">
        <v>0</v>
      </c>
      <c r="E2160" s="7" t="n">
        <v>0</v>
      </c>
      <c r="F2160" s="7" t="n">
        <v>2</v>
      </c>
      <c r="G2160" s="7" t="n">
        <v>254.08</v>
      </c>
    </row>
    <row r="2161" customFormat="false" ht="15" hidden="false" customHeight="false" outlineLevel="0" collapsed="false">
      <c r="A2161" s="7" t="s">
        <v>24</v>
      </c>
      <c r="B2161" s="7" t="s">
        <v>181</v>
      </c>
      <c r="C2161" s="7" t="s">
        <v>1149</v>
      </c>
      <c r="D2161" s="7" t="n">
        <v>0</v>
      </c>
      <c r="E2161" s="7" t="n">
        <v>0</v>
      </c>
      <c r="F2161" s="7" t="n">
        <v>1</v>
      </c>
      <c r="G2161" s="7" t="n">
        <v>107.99</v>
      </c>
    </row>
    <row r="2162" customFormat="false" ht="15" hidden="false" customHeight="false" outlineLevel="0" collapsed="false">
      <c r="A2162" s="7" t="s">
        <v>24</v>
      </c>
      <c r="B2162" s="7" t="s">
        <v>181</v>
      </c>
      <c r="C2162" s="7" t="s">
        <v>1149</v>
      </c>
      <c r="D2162" s="7" t="n">
        <v>0</v>
      </c>
      <c r="E2162" s="7" t="n">
        <v>0</v>
      </c>
      <c r="F2162" s="7" t="n">
        <v>1</v>
      </c>
      <c r="G2162" s="7" t="n">
        <v>114.33</v>
      </c>
    </row>
    <row r="2163" customFormat="false" ht="15" hidden="false" customHeight="false" outlineLevel="0" collapsed="false">
      <c r="A2163" s="7" t="s">
        <v>24</v>
      </c>
      <c r="B2163" s="7" t="s">
        <v>394</v>
      </c>
      <c r="C2163" s="7" t="s">
        <v>1149</v>
      </c>
      <c r="D2163" s="7" t="n">
        <v>0</v>
      </c>
      <c r="E2163" s="7" t="n">
        <v>0</v>
      </c>
      <c r="F2163" s="7" t="n">
        <v>1</v>
      </c>
      <c r="G2163" s="7" t="n">
        <v>114.33</v>
      </c>
    </row>
    <row r="2164" customFormat="false" ht="15" hidden="false" customHeight="false" outlineLevel="0" collapsed="false">
      <c r="A2164" s="7" t="s">
        <v>24</v>
      </c>
      <c r="B2164" s="7" t="s">
        <v>394</v>
      </c>
      <c r="C2164" s="7" t="s">
        <v>1149</v>
      </c>
      <c r="D2164" s="7" t="n">
        <v>0</v>
      </c>
      <c r="E2164" s="7" t="n">
        <v>0</v>
      </c>
      <c r="F2164" s="7" t="n">
        <v>2</v>
      </c>
      <c r="G2164" s="7" t="n">
        <v>254.07</v>
      </c>
    </row>
    <row r="2165" customFormat="false" ht="15" hidden="false" customHeight="false" outlineLevel="0" collapsed="false">
      <c r="A2165" s="7" t="s">
        <v>24</v>
      </c>
      <c r="B2165" s="7" t="s">
        <v>394</v>
      </c>
      <c r="C2165" s="7" t="s">
        <v>1149</v>
      </c>
      <c r="D2165" s="7" t="n">
        <v>15</v>
      </c>
      <c r="E2165" s="7" t="n">
        <v>1721.24</v>
      </c>
      <c r="F2165" s="7" t="n">
        <v>5</v>
      </c>
      <c r="G2165" s="7" t="n">
        <v>609.74</v>
      </c>
    </row>
    <row r="2166" customFormat="false" ht="15" hidden="false" customHeight="false" outlineLevel="0" collapsed="false">
      <c r="A2166" s="7" t="s">
        <v>24</v>
      </c>
      <c r="B2166" s="7" t="s">
        <v>394</v>
      </c>
      <c r="C2166" s="7" t="s">
        <v>1149</v>
      </c>
      <c r="D2166" s="7" t="n">
        <v>0</v>
      </c>
      <c r="E2166" s="7" t="n">
        <v>0</v>
      </c>
      <c r="F2166" s="7" t="n">
        <v>1</v>
      </c>
      <c r="G2166" s="7" t="n">
        <v>127.03</v>
      </c>
    </row>
    <row r="2167" customFormat="false" ht="15" hidden="false" customHeight="false" outlineLevel="0" collapsed="false">
      <c r="A2167" s="7" t="s">
        <v>24</v>
      </c>
      <c r="B2167" s="7" t="s">
        <v>394</v>
      </c>
      <c r="C2167" s="7" t="s">
        <v>1149</v>
      </c>
      <c r="D2167" s="7" t="n">
        <v>1</v>
      </c>
      <c r="E2167" s="7" t="n">
        <v>102.4</v>
      </c>
      <c r="F2167" s="7" t="n">
        <v>0</v>
      </c>
      <c r="G2167" s="7" t="n">
        <v>0</v>
      </c>
    </row>
    <row r="2168" customFormat="false" ht="15" hidden="false" customHeight="false" outlineLevel="0" collapsed="false">
      <c r="A2168" s="7" t="s">
        <v>24</v>
      </c>
      <c r="B2168" s="7" t="s">
        <v>394</v>
      </c>
      <c r="C2168" s="7" t="s">
        <v>1149</v>
      </c>
      <c r="D2168" s="7" t="n">
        <v>2</v>
      </c>
      <c r="E2168" s="7" t="n">
        <v>190.03</v>
      </c>
      <c r="F2168" s="7" t="n">
        <v>0</v>
      </c>
      <c r="G2168" s="7" t="n">
        <v>0</v>
      </c>
    </row>
    <row r="2169" customFormat="false" ht="15" hidden="false" customHeight="false" outlineLevel="0" collapsed="false">
      <c r="A2169" s="7" t="s">
        <v>24</v>
      </c>
      <c r="B2169" s="7" t="s">
        <v>394</v>
      </c>
      <c r="C2169" s="7" t="s">
        <v>1149</v>
      </c>
      <c r="D2169" s="7" t="n">
        <v>0</v>
      </c>
      <c r="E2169" s="7" t="n">
        <v>0</v>
      </c>
      <c r="F2169" s="7" t="n">
        <v>1</v>
      </c>
      <c r="G2169" s="7" t="n">
        <v>127.03</v>
      </c>
    </row>
    <row r="2170" customFormat="false" ht="15" hidden="false" customHeight="false" outlineLevel="0" collapsed="false">
      <c r="A2170" s="7" t="s">
        <v>24</v>
      </c>
      <c r="B2170" s="7" t="s">
        <v>394</v>
      </c>
      <c r="C2170" s="7" t="s">
        <v>1149</v>
      </c>
      <c r="D2170" s="7" t="n">
        <v>0</v>
      </c>
      <c r="E2170" s="7" t="n">
        <v>0</v>
      </c>
      <c r="F2170" s="7" t="n">
        <v>2</v>
      </c>
      <c r="G2170" s="7" t="n">
        <v>228.66</v>
      </c>
    </row>
    <row r="2171" customFormat="false" ht="15" hidden="false" customHeight="false" outlineLevel="0" collapsed="false">
      <c r="A2171" s="7" t="s">
        <v>24</v>
      </c>
      <c r="B2171" s="7" t="s">
        <v>758</v>
      </c>
      <c r="C2171" s="7" t="s">
        <v>1149</v>
      </c>
      <c r="D2171" s="7" t="n">
        <v>0</v>
      </c>
      <c r="E2171" s="7" t="n">
        <v>0</v>
      </c>
      <c r="F2171" s="7" t="n">
        <v>1</v>
      </c>
      <c r="G2171" s="7" t="n">
        <v>127.04</v>
      </c>
    </row>
    <row r="2172" customFormat="false" ht="15" hidden="false" customHeight="false" outlineLevel="0" collapsed="false">
      <c r="A2172" s="7" t="s">
        <v>24</v>
      </c>
      <c r="B2172" s="7" t="s">
        <v>758</v>
      </c>
      <c r="C2172" s="7" t="s">
        <v>1149</v>
      </c>
      <c r="D2172" s="7" t="n">
        <v>2</v>
      </c>
      <c r="E2172" s="7" t="n">
        <v>223.56</v>
      </c>
      <c r="F2172" s="7" t="n">
        <v>0</v>
      </c>
      <c r="G2172" s="7" t="n">
        <v>0</v>
      </c>
    </row>
    <row r="2173" customFormat="false" ht="15" hidden="false" customHeight="false" outlineLevel="0" collapsed="false">
      <c r="A2173" s="7" t="s">
        <v>24</v>
      </c>
      <c r="B2173" s="7" t="s">
        <v>758</v>
      </c>
      <c r="C2173" s="7" t="s">
        <v>1149</v>
      </c>
      <c r="D2173" s="7" t="n">
        <v>0</v>
      </c>
      <c r="E2173" s="7" t="n">
        <v>0</v>
      </c>
      <c r="F2173" s="7" t="n">
        <v>1</v>
      </c>
      <c r="G2173" s="7" t="n">
        <v>127.04</v>
      </c>
    </row>
    <row r="2174" customFormat="false" ht="15" hidden="false" customHeight="false" outlineLevel="0" collapsed="false">
      <c r="A2174" s="7" t="s">
        <v>24</v>
      </c>
      <c r="B2174" s="7" t="s">
        <v>758</v>
      </c>
      <c r="C2174" s="7" t="s">
        <v>1149</v>
      </c>
      <c r="D2174" s="7" t="n">
        <v>0</v>
      </c>
      <c r="E2174" s="7" t="n">
        <v>0</v>
      </c>
      <c r="F2174" s="7" t="n">
        <v>1</v>
      </c>
      <c r="G2174" s="7" t="n">
        <v>127.04</v>
      </c>
    </row>
    <row r="2175" customFormat="false" ht="15" hidden="false" customHeight="false" outlineLevel="0" collapsed="false">
      <c r="A2175" s="7" t="s">
        <v>24</v>
      </c>
      <c r="B2175" s="7" t="s">
        <v>758</v>
      </c>
      <c r="C2175" s="7" t="s">
        <v>1149</v>
      </c>
      <c r="D2175" s="7" t="n">
        <v>4</v>
      </c>
      <c r="E2175" s="7" t="n">
        <v>470.02</v>
      </c>
      <c r="F2175" s="7" t="n">
        <v>3</v>
      </c>
      <c r="G2175" s="7" t="n">
        <v>355.69</v>
      </c>
    </row>
    <row r="2176" customFormat="false" ht="15" hidden="false" customHeight="false" outlineLevel="0" collapsed="false">
      <c r="A2176" s="7" t="s">
        <v>24</v>
      </c>
      <c r="B2176" s="7" t="s">
        <v>382</v>
      </c>
      <c r="C2176" s="7" t="s">
        <v>1149</v>
      </c>
      <c r="D2176" s="7" t="n">
        <v>0</v>
      </c>
      <c r="E2176" s="7" t="n">
        <v>0</v>
      </c>
      <c r="F2176" s="7" t="n">
        <v>1</v>
      </c>
      <c r="G2176" s="7" t="n">
        <v>127.03</v>
      </c>
    </row>
    <row r="2177" customFormat="false" ht="15" hidden="false" customHeight="false" outlineLevel="0" collapsed="false">
      <c r="A2177" s="7" t="s">
        <v>24</v>
      </c>
      <c r="B2177" s="7" t="s">
        <v>382</v>
      </c>
      <c r="C2177" s="7" t="s">
        <v>1149</v>
      </c>
      <c r="D2177" s="7" t="n">
        <v>0</v>
      </c>
      <c r="E2177" s="7" t="n">
        <v>0</v>
      </c>
      <c r="F2177" s="7" t="n">
        <v>1</v>
      </c>
      <c r="G2177" s="7" t="n">
        <v>127.03</v>
      </c>
    </row>
    <row r="2178" customFormat="false" ht="15" hidden="false" customHeight="false" outlineLevel="0" collapsed="false">
      <c r="A2178" s="7" t="s">
        <v>24</v>
      </c>
      <c r="B2178" s="7" t="s">
        <v>382</v>
      </c>
      <c r="C2178" s="7" t="s">
        <v>1149</v>
      </c>
      <c r="D2178" s="7" t="n">
        <v>10</v>
      </c>
      <c r="E2178" s="7" t="n">
        <v>1181.38</v>
      </c>
      <c r="F2178" s="7" t="n">
        <v>2</v>
      </c>
      <c r="G2178" s="7" t="n">
        <v>241.35</v>
      </c>
    </row>
    <row r="2179" customFormat="false" ht="15" hidden="false" customHeight="false" outlineLevel="0" collapsed="false">
      <c r="A2179" s="7" t="s">
        <v>24</v>
      </c>
      <c r="B2179" s="7" t="s">
        <v>382</v>
      </c>
      <c r="C2179" s="7" t="s">
        <v>1149</v>
      </c>
      <c r="D2179" s="7" t="n">
        <v>0</v>
      </c>
      <c r="E2179" s="7" t="n">
        <v>0</v>
      </c>
      <c r="F2179" s="7" t="n">
        <v>1</v>
      </c>
      <c r="G2179" s="7" t="n">
        <v>114.33</v>
      </c>
    </row>
    <row r="2180" customFormat="false" ht="15" hidden="false" customHeight="false" outlineLevel="0" collapsed="false">
      <c r="A2180" s="7" t="s">
        <v>24</v>
      </c>
      <c r="B2180" s="7" t="s">
        <v>457</v>
      </c>
      <c r="C2180" s="7" t="s">
        <v>1149</v>
      </c>
      <c r="D2180" s="7" t="n">
        <v>0</v>
      </c>
      <c r="E2180" s="7" t="n">
        <v>0</v>
      </c>
      <c r="F2180" s="7" t="n">
        <v>2</v>
      </c>
      <c r="G2180" s="7" t="n">
        <v>254.07</v>
      </c>
    </row>
    <row r="2181" customFormat="false" ht="15" hidden="false" customHeight="false" outlineLevel="0" collapsed="false">
      <c r="A2181" s="7" t="s">
        <v>24</v>
      </c>
      <c r="B2181" s="7" t="s">
        <v>457</v>
      </c>
      <c r="C2181" s="7" t="s">
        <v>1149</v>
      </c>
      <c r="D2181" s="7" t="n">
        <v>1</v>
      </c>
      <c r="E2181" s="7" t="n">
        <v>127.03</v>
      </c>
      <c r="F2181" s="7" t="n">
        <v>1</v>
      </c>
      <c r="G2181" s="7" t="n">
        <v>127.03</v>
      </c>
    </row>
    <row r="2182" customFormat="false" ht="15" hidden="false" customHeight="false" outlineLevel="0" collapsed="false">
      <c r="A2182" s="7" t="s">
        <v>24</v>
      </c>
      <c r="B2182" s="7" t="s">
        <v>457</v>
      </c>
      <c r="C2182" s="7" t="s">
        <v>1149</v>
      </c>
      <c r="D2182" s="7" t="n">
        <v>1</v>
      </c>
      <c r="E2182" s="7" t="n">
        <v>95.01</v>
      </c>
      <c r="F2182" s="7" t="n">
        <v>0</v>
      </c>
      <c r="G2182" s="7" t="n">
        <v>0</v>
      </c>
    </row>
    <row r="2183" customFormat="false" ht="15" hidden="false" customHeight="false" outlineLevel="0" collapsed="false">
      <c r="A2183" s="7" t="s">
        <v>24</v>
      </c>
      <c r="B2183" s="7" t="s">
        <v>457</v>
      </c>
      <c r="C2183" s="7" t="s">
        <v>1149</v>
      </c>
      <c r="D2183" s="7" t="n">
        <v>0</v>
      </c>
      <c r="E2183" s="7" t="n">
        <v>0</v>
      </c>
      <c r="F2183" s="7" t="n">
        <v>1</v>
      </c>
      <c r="G2183" s="7" t="n">
        <v>127.03</v>
      </c>
    </row>
    <row r="2184" customFormat="false" ht="15" hidden="false" customHeight="false" outlineLevel="0" collapsed="false">
      <c r="A2184" s="7" t="s">
        <v>24</v>
      </c>
      <c r="B2184" s="7" t="s">
        <v>457</v>
      </c>
      <c r="C2184" s="7" t="s">
        <v>1149</v>
      </c>
      <c r="D2184" s="7" t="n">
        <v>0</v>
      </c>
      <c r="E2184" s="7" t="n">
        <v>0</v>
      </c>
      <c r="F2184" s="7" t="n">
        <v>1</v>
      </c>
      <c r="G2184" s="7" t="n">
        <v>114.33</v>
      </c>
    </row>
    <row r="2185" customFormat="false" ht="15" hidden="false" customHeight="false" outlineLevel="0" collapsed="false">
      <c r="A2185" s="7" t="s">
        <v>24</v>
      </c>
      <c r="B2185" s="7" t="s">
        <v>535</v>
      </c>
      <c r="C2185" s="7" t="s">
        <v>1149</v>
      </c>
      <c r="D2185" s="7" t="n">
        <v>0</v>
      </c>
      <c r="E2185" s="7" t="n">
        <v>0</v>
      </c>
      <c r="F2185" s="7" t="n">
        <v>1</v>
      </c>
      <c r="G2185" s="7" t="n">
        <v>127.04</v>
      </c>
    </row>
    <row r="2186" customFormat="false" ht="15" hidden="false" customHeight="false" outlineLevel="0" collapsed="false">
      <c r="A2186" s="7" t="s">
        <v>24</v>
      </c>
      <c r="B2186" s="7" t="s">
        <v>535</v>
      </c>
      <c r="C2186" s="7" t="s">
        <v>1149</v>
      </c>
      <c r="D2186" s="7" t="n">
        <v>0</v>
      </c>
      <c r="E2186" s="7" t="n">
        <v>0</v>
      </c>
      <c r="F2186" s="7" t="n">
        <v>1</v>
      </c>
      <c r="G2186" s="7" t="n">
        <v>127.04</v>
      </c>
    </row>
    <row r="2187" customFormat="false" ht="15" hidden="false" customHeight="false" outlineLevel="0" collapsed="false">
      <c r="A2187" s="7" t="s">
        <v>24</v>
      </c>
      <c r="B2187" s="7" t="s">
        <v>535</v>
      </c>
      <c r="C2187" s="7" t="s">
        <v>1149</v>
      </c>
      <c r="D2187" s="7" t="n">
        <v>0</v>
      </c>
      <c r="E2187" s="7" t="n">
        <v>0</v>
      </c>
      <c r="F2187" s="7" t="n">
        <v>1</v>
      </c>
      <c r="G2187" s="7" t="n">
        <v>127.04</v>
      </c>
    </row>
    <row r="2188" customFormat="false" ht="15" hidden="false" customHeight="false" outlineLevel="0" collapsed="false">
      <c r="A2188" s="7" t="s">
        <v>24</v>
      </c>
      <c r="B2188" s="7" t="s">
        <v>535</v>
      </c>
      <c r="C2188" s="7" t="s">
        <v>1149</v>
      </c>
      <c r="D2188" s="7" t="n">
        <v>6</v>
      </c>
      <c r="E2188" s="7" t="n">
        <v>711.37</v>
      </c>
      <c r="F2188" s="7" t="n">
        <v>6</v>
      </c>
      <c r="G2188" s="7" t="n">
        <v>724.08</v>
      </c>
    </row>
    <row r="2189" customFormat="false" ht="15" hidden="false" customHeight="false" outlineLevel="0" collapsed="false">
      <c r="A2189" s="7" t="s">
        <v>24</v>
      </c>
      <c r="B2189" s="7" t="s">
        <v>535</v>
      </c>
      <c r="C2189" s="7" t="s">
        <v>1149</v>
      </c>
      <c r="D2189" s="7" t="n">
        <v>1</v>
      </c>
      <c r="E2189" s="7" t="n">
        <v>102.4</v>
      </c>
      <c r="F2189" s="7" t="n">
        <v>0</v>
      </c>
      <c r="G2189" s="7" t="n">
        <v>0</v>
      </c>
    </row>
    <row r="2190" customFormat="false" ht="15" hidden="false" customHeight="false" outlineLevel="0" collapsed="false">
      <c r="A2190" s="7" t="s">
        <v>24</v>
      </c>
      <c r="B2190" s="7" t="s">
        <v>251</v>
      </c>
      <c r="C2190" s="7" t="s">
        <v>1085</v>
      </c>
      <c r="D2190" s="7" t="n">
        <v>0</v>
      </c>
      <c r="E2190" s="7" t="n">
        <v>0</v>
      </c>
      <c r="F2190" s="7" t="n">
        <v>2</v>
      </c>
      <c r="G2190" s="7" t="n">
        <v>115.12</v>
      </c>
    </row>
    <row r="2191" customFormat="false" ht="15" hidden="false" customHeight="false" outlineLevel="0" collapsed="false">
      <c r="A2191" s="7" t="s">
        <v>24</v>
      </c>
      <c r="B2191" s="7" t="s">
        <v>251</v>
      </c>
      <c r="C2191" s="7" t="s">
        <v>1085</v>
      </c>
      <c r="D2191" s="7" t="n">
        <v>0</v>
      </c>
      <c r="E2191" s="7" t="n">
        <v>0</v>
      </c>
      <c r="F2191" s="7" t="n">
        <v>1</v>
      </c>
      <c r="G2191" s="7" t="n">
        <v>67.72</v>
      </c>
    </row>
    <row r="2192" customFormat="false" ht="15" hidden="false" customHeight="false" outlineLevel="0" collapsed="false">
      <c r="A2192" s="7" t="s">
        <v>24</v>
      </c>
      <c r="B2192" s="7" t="s">
        <v>251</v>
      </c>
      <c r="C2192" s="7" t="s">
        <v>1085</v>
      </c>
      <c r="D2192" s="7" t="n">
        <v>17</v>
      </c>
      <c r="E2192" s="7" t="n">
        <v>1083.19</v>
      </c>
      <c r="F2192" s="7" t="n">
        <v>18</v>
      </c>
      <c r="G2192" s="7" t="n">
        <v>1188.15</v>
      </c>
    </row>
    <row r="2193" customFormat="false" ht="15" hidden="false" customHeight="false" outlineLevel="0" collapsed="false">
      <c r="A2193" s="7" t="s">
        <v>24</v>
      </c>
      <c r="B2193" s="7" t="s">
        <v>251</v>
      </c>
      <c r="C2193" s="7" t="s">
        <v>1085</v>
      </c>
      <c r="D2193" s="7" t="n">
        <v>0</v>
      </c>
      <c r="E2193" s="7" t="n">
        <v>0</v>
      </c>
      <c r="F2193" s="7" t="n">
        <v>2</v>
      </c>
      <c r="G2193" s="7" t="n">
        <v>135.42</v>
      </c>
    </row>
    <row r="2194" customFormat="false" ht="15" hidden="false" customHeight="false" outlineLevel="0" collapsed="false">
      <c r="A2194" s="7" t="s">
        <v>24</v>
      </c>
      <c r="B2194" s="7" t="s">
        <v>251</v>
      </c>
      <c r="C2194" s="7" t="s">
        <v>1085</v>
      </c>
      <c r="D2194" s="7" t="n">
        <v>0</v>
      </c>
      <c r="E2194" s="7" t="n">
        <v>0</v>
      </c>
      <c r="F2194" s="7" t="n">
        <v>1</v>
      </c>
      <c r="G2194" s="7" t="n">
        <v>67.72</v>
      </c>
    </row>
    <row r="2195" customFormat="false" ht="15" hidden="false" customHeight="false" outlineLevel="0" collapsed="false">
      <c r="A2195" s="7" t="s">
        <v>24</v>
      </c>
      <c r="B2195" s="7" t="s">
        <v>251</v>
      </c>
      <c r="C2195" s="7" t="s">
        <v>1085</v>
      </c>
      <c r="D2195" s="7" t="n">
        <v>0</v>
      </c>
      <c r="E2195" s="7" t="n">
        <v>0</v>
      </c>
      <c r="F2195" s="7" t="n">
        <v>1</v>
      </c>
      <c r="G2195" s="7" t="n">
        <v>67.71</v>
      </c>
    </row>
    <row r="2196" customFormat="false" ht="15" hidden="false" customHeight="false" outlineLevel="0" collapsed="false">
      <c r="A2196" s="7" t="s">
        <v>24</v>
      </c>
      <c r="B2196" s="7" t="s">
        <v>251</v>
      </c>
      <c r="C2196" s="7" t="s">
        <v>1085</v>
      </c>
      <c r="D2196" s="7" t="n">
        <v>0</v>
      </c>
      <c r="E2196" s="7" t="n">
        <v>0</v>
      </c>
      <c r="F2196" s="7" t="n">
        <v>2</v>
      </c>
      <c r="G2196" s="7" t="n">
        <v>121.89</v>
      </c>
    </row>
    <row r="2197" customFormat="false" ht="15" hidden="false" customHeight="false" outlineLevel="0" collapsed="false">
      <c r="A2197" s="7" t="s">
        <v>24</v>
      </c>
      <c r="B2197" s="7" t="s">
        <v>251</v>
      </c>
      <c r="C2197" s="7" t="s">
        <v>1085</v>
      </c>
      <c r="D2197" s="7" t="n">
        <v>0</v>
      </c>
      <c r="E2197" s="7" t="n">
        <v>0</v>
      </c>
      <c r="F2197" s="7" t="n">
        <v>1</v>
      </c>
      <c r="G2197" s="7" t="n">
        <v>67.72</v>
      </c>
    </row>
    <row r="2198" customFormat="false" ht="15" hidden="false" customHeight="false" outlineLevel="0" collapsed="false">
      <c r="A2198" s="7" t="s">
        <v>24</v>
      </c>
      <c r="B2198" s="7" t="s">
        <v>251</v>
      </c>
      <c r="C2198" s="7" t="s">
        <v>1085</v>
      </c>
      <c r="D2198" s="7" t="n">
        <v>0</v>
      </c>
      <c r="E2198" s="7" t="n">
        <v>0</v>
      </c>
      <c r="F2198" s="7" t="n">
        <v>1</v>
      </c>
      <c r="G2198" s="7" t="n">
        <v>67.72</v>
      </c>
    </row>
    <row r="2199" customFormat="false" ht="15" hidden="false" customHeight="false" outlineLevel="0" collapsed="false">
      <c r="A2199" s="7" t="s">
        <v>24</v>
      </c>
      <c r="B2199" s="7" t="s">
        <v>251</v>
      </c>
      <c r="C2199" s="7" t="s">
        <v>1085</v>
      </c>
      <c r="D2199" s="7" t="n">
        <v>0</v>
      </c>
      <c r="E2199" s="7" t="n">
        <v>0</v>
      </c>
      <c r="F2199" s="7" t="n">
        <v>1</v>
      </c>
      <c r="G2199" s="7" t="n">
        <v>67.72</v>
      </c>
    </row>
    <row r="2200" customFormat="false" ht="15" hidden="false" customHeight="false" outlineLevel="0" collapsed="false">
      <c r="A2200" s="7" t="s">
        <v>24</v>
      </c>
      <c r="B2200" s="7" t="s">
        <v>251</v>
      </c>
      <c r="C2200" s="7" t="s">
        <v>1085</v>
      </c>
      <c r="D2200" s="7" t="n">
        <v>0</v>
      </c>
      <c r="E2200" s="7" t="n">
        <v>0</v>
      </c>
      <c r="F2200" s="7" t="n">
        <v>2</v>
      </c>
      <c r="G2200" s="7" t="n">
        <v>135.42</v>
      </c>
    </row>
    <row r="2201" customFormat="false" ht="15" hidden="false" customHeight="false" outlineLevel="0" collapsed="false">
      <c r="A2201" s="7" t="s">
        <v>24</v>
      </c>
      <c r="B2201" s="7" t="s">
        <v>251</v>
      </c>
      <c r="C2201" s="7" t="s">
        <v>1085</v>
      </c>
      <c r="D2201" s="7" t="n">
        <v>0</v>
      </c>
      <c r="E2201" s="7" t="n">
        <v>0</v>
      </c>
      <c r="F2201" s="7" t="n">
        <v>1</v>
      </c>
      <c r="G2201" s="7" t="n">
        <v>67.72</v>
      </c>
    </row>
    <row r="2202" customFormat="false" ht="15" hidden="false" customHeight="false" outlineLevel="0" collapsed="false">
      <c r="A2202" s="7" t="s">
        <v>24</v>
      </c>
      <c r="B2202" s="7" t="s">
        <v>251</v>
      </c>
      <c r="C2202" s="7" t="s">
        <v>1085</v>
      </c>
      <c r="D2202" s="7" t="n">
        <v>0</v>
      </c>
      <c r="E2202" s="7" t="n">
        <v>0</v>
      </c>
      <c r="F2202" s="7" t="n">
        <v>1</v>
      </c>
      <c r="G2202" s="7" t="n">
        <v>67.71</v>
      </c>
    </row>
    <row r="2203" customFormat="false" ht="15" hidden="false" customHeight="false" outlineLevel="0" collapsed="false">
      <c r="A2203" s="7" t="s">
        <v>24</v>
      </c>
      <c r="B2203" s="7" t="s">
        <v>251</v>
      </c>
      <c r="C2203" s="7" t="s">
        <v>1085</v>
      </c>
      <c r="D2203" s="7" t="n">
        <v>0</v>
      </c>
      <c r="E2203" s="7" t="n">
        <v>0</v>
      </c>
      <c r="F2203" s="7" t="n">
        <v>1</v>
      </c>
      <c r="G2203" s="7" t="n">
        <v>67.71</v>
      </c>
    </row>
    <row r="2204" customFormat="false" ht="15" hidden="false" customHeight="false" outlineLevel="0" collapsed="false">
      <c r="A2204" s="7" t="s">
        <v>24</v>
      </c>
      <c r="B2204" s="7" t="s">
        <v>563</v>
      </c>
      <c r="C2204" s="7" t="s">
        <v>1150</v>
      </c>
      <c r="D2204" s="7" t="n">
        <v>7</v>
      </c>
      <c r="E2204" s="7" t="n">
        <v>357.44</v>
      </c>
      <c r="F2204" s="7" t="n">
        <v>4</v>
      </c>
      <c r="G2204" s="7" t="n">
        <v>212.23</v>
      </c>
    </row>
    <row r="2205" customFormat="false" ht="15" hidden="false" customHeight="false" outlineLevel="0" collapsed="false">
      <c r="A2205" s="7" t="s">
        <v>24</v>
      </c>
      <c r="B2205" s="7" t="s">
        <v>563</v>
      </c>
      <c r="C2205" s="7" t="s">
        <v>1150</v>
      </c>
      <c r="D2205" s="7" t="n">
        <v>0</v>
      </c>
      <c r="E2205" s="7" t="n">
        <v>0</v>
      </c>
      <c r="F2205" s="7" t="n">
        <v>1</v>
      </c>
      <c r="G2205" s="7" t="n">
        <v>55.85</v>
      </c>
    </row>
    <row r="2206" customFormat="false" ht="15" hidden="false" customHeight="false" outlineLevel="0" collapsed="false">
      <c r="A2206" s="7" t="s">
        <v>24</v>
      </c>
      <c r="B2206" s="7" t="s">
        <v>563</v>
      </c>
      <c r="C2206" s="7" t="s">
        <v>1150</v>
      </c>
      <c r="D2206" s="7" t="n">
        <v>0</v>
      </c>
      <c r="E2206" s="7" t="n">
        <v>0</v>
      </c>
      <c r="F2206" s="7" t="n">
        <v>2</v>
      </c>
      <c r="G2206" s="7" t="n">
        <v>111.7</v>
      </c>
    </row>
    <row r="2207" customFormat="false" ht="15" hidden="false" customHeight="false" outlineLevel="0" collapsed="false">
      <c r="A2207" s="7" t="s">
        <v>24</v>
      </c>
      <c r="B2207" s="7" t="s">
        <v>563</v>
      </c>
      <c r="C2207" s="7" t="s">
        <v>1150</v>
      </c>
      <c r="D2207" s="7" t="n">
        <v>0</v>
      </c>
      <c r="E2207" s="7" t="n">
        <v>0</v>
      </c>
      <c r="F2207" s="7" t="n">
        <v>2</v>
      </c>
      <c r="G2207" s="7" t="n">
        <v>111.7</v>
      </c>
    </row>
    <row r="2208" customFormat="false" ht="15" hidden="false" customHeight="false" outlineLevel="0" collapsed="false">
      <c r="A2208" s="7" t="s">
        <v>24</v>
      </c>
      <c r="B2208" s="7" t="s">
        <v>563</v>
      </c>
      <c r="C2208" s="7" t="s">
        <v>1150</v>
      </c>
      <c r="D2208" s="7" t="n">
        <v>0</v>
      </c>
      <c r="E2208" s="7" t="n">
        <v>0</v>
      </c>
      <c r="F2208" s="7" t="n">
        <v>1</v>
      </c>
      <c r="G2208" s="7" t="n">
        <v>55.85</v>
      </c>
    </row>
    <row r="2209" customFormat="false" ht="15" hidden="false" customHeight="false" outlineLevel="0" collapsed="false">
      <c r="A2209" s="7" t="s">
        <v>24</v>
      </c>
      <c r="B2209" s="7" t="s">
        <v>563</v>
      </c>
      <c r="C2209" s="7" t="s">
        <v>1150</v>
      </c>
      <c r="D2209" s="7" t="n">
        <v>3</v>
      </c>
      <c r="E2209" s="7" t="n">
        <v>146.2</v>
      </c>
      <c r="F2209" s="7" t="n">
        <v>0</v>
      </c>
      <c r="G2209" s="7" t="n">
        <v>0</v>
      </c>
    </row>
    <row r="2210" customFormat="false" ht="15" hidden="false" customHeight="false" outlineLevel="0" collapsed="false">
      <c r="A2210" s="7" t="s">
        <v>24</v>
      </c>
      <c r="B2210" s="7" t="s">
        <v>563</v>
      </c>
      <c r="C2210" s="7" t="s">
        <v>1150</v>
      </c>
      <c r="D2210" s="7" t="n">
        <v>0</v>
      </c>
      <c r="E2210" s="7" t="n">
        <v>0</v>
      </c>
      <c r="F2210" s="7" t="n">
        <v>1</v>
      </c>
      <c r="G2210" s="7" t="n">
        <v>50.26</v>
      </c>
    </row>
    <row r="2211" customFormat="false" ht="15" hidden="false" customHeight="false" outlineLevel="0" collapsed="false">
      <c r="A2211" s="7" t="s">
        <v>24</v>
      </c>
      <c r="B2211" s="7" t="s">
        <v>563</v>
      </c>
      <c r="C2211" s="7" t="s">
        <v>1150</v>
      </c>
      <c r="D2211" s="7" t="n">
        <v>0</v>
      </c>
      <c r="E2211" s="7" t="n">
        <v>0</v>
      </c>
      <c r="F2211" s="7" t="n">
        <v>1</v>
      </c>
      <c r="G2211" s="7" t="n">
        <v>47.48</v>
      </c>
    </row>
    <row r="2212" customFormat="false" ht="15" hidden="false" customHeight="false" outlineLevel="0" collapsed="false">
      <c r="A2212" s="7" t="s">
        <v>24</v>
      </c>
      <c r="B2212" s="7" t="s">
        <v>563</v>
      </c>
      <c r="C2212" s="7" t="s">
        <v>1150</v>
      </c>
      <c r="D2212" s="7" t="n">
        <v>0</v>
      </c>
      <c r="E2212" s="7" t="n">
        <v>0</v>
      </c>
      <c r="F2212" s="7" t="n">
        <v>1</v>
      </c>
      <c r="G2212" s="7" t="n">
        <v>47.47</v>
      </c>
    </row>
    <row r="2213" customFormat="false" ht="15" hidden="false" customHeight="false" outlineLevel="0" collapsed="false">
      <c r="A2213" s="7" t="s">
        <v>24</v>
      </c>
      <c r="B2213" s="7" t="s">
        <v>563</v>
      </c>
      <c r="C2213" s="7" t="s">
        <v>1150</v>
      </c>
      <c r="D2213" s="7" t="n">
        <v>0</v>
      </c>
      <c r="E2213" s="7" t="n">
        <v>0</v>
      </c>
      <c r="F2213" s="7" t="n">
        <v>1</v>
      </c>
      <c r="G2213" s="7" t="n">
        <v>55.85</v>
      </c>
    </row>
    <row r="2214" customFormat="false" ht="15" hidden="false" customHeight="false" outlineLevel="0" collapsed="false">
      <c r="A2214" s="7" t="s">
        <v>24</v>
      </c>
      <c r="B2214" s="7" t="s">
        <v>522</v>
      </c>
      <c r="C2214" s="7" t="s">
        <v>1150</v>
      </c>
      <c r="D2214" s="7" t="n">
        <v>0</v>
      </c>
      <c r="E2214" s="7" t="n">
        <v>0</v>
      </c>
      <c r="F2214" s="7" t="n">
        <v>2</v>
      </c>
      <c r="G2214" s="7" t="n">
        <v>111.69</v>
      </c>
    </row>
    <row r="2215" customFormat="false" ht="15" hidden="false" customHeight="false" outlineLevel="0" collapsed="false">
      <c r="A2215" s="7" t="s">
        <v>24</v>
      </c>
      <c r="B2215" s="7" t="s">
        <v>522</v>
      </c>
      <c r="C2215" s="7" t="s">
        <v>1150</v>
      </c>
      <c r="D2215" s="7" t="n">
        <v>0</v>
      </c>
      <c r="E2215" s="7" t="n">
        <v>0</v>
      </c>
      <c r="F2215" s="7" t="n">
        <v>1</v>
      </c>
      <c r="G2215" s="7" t="n">
        <v>55.85</v>
      </c>
    </row>
    <row r="2216" customFormat="false" ht="15" hidden="false" customHeight="false" outlineLevel="0" collapsed="false">
      <c r="A2216" s="7" t="s">
        <v>24</v>
      </c>
      <c r="B2216" s="7" t="s">
        <v>522</v>
      </c>
      <c r="C2216" s="7" t="s">
        <v>1150</v>
      </c>
      <c r="D2216" s="7" t="n">
        <v>7</v>
      </c>
      <c r="E2216" s="7" t="n">
        <v>349.06</v>
      </c>
      <c r="F2216" s="7" t="n">
        <v>5</v>
      </c>
      <c r="G2216" s="7" t="n">
        <v>279.24</v>
      </c>
    </row>
    <row r="2217" customFormat="false" ht="15" hidden="false" customHeight="false" outlineLevel="0" collapsed="false">
      <c r="A2217" s="7" t="s">
        <v>24</v>
      </c>
      <c r="B2217" s="7" t="s">
        <v>522</v>
      </c>
      <c r="C2217" s="7" t="s">
        <v>1150</v>
      </c>
      <c r="D2217" s="7" t="n">
        <v>0</v>
      </c>
      <c r="E2217" s="7" t="n">
        <v>0</v>
      </c>
      <c r="F2217" s="7" t="n">
        <v>1</v>
      </c>
      <c r="G2217" s="7" t="n">
        <v>50.26</v>
      </c>
    </row>
    <row r="2218" customFormat="false" ht="15" hidden="false" customHeight="false" outlineLevel="0" collapsed="false">
      <c r="A2218" s="7" t="s">
        <v>24</v>
      </c>
      <c r="B2218" s="7" t="s">
        <v>522</v>
      </c>
      <c r="C2218" s="7" t="s">
        <v>1150</v>
      </c>
      <c r="D2218" s="7" t="n">
        <v>0</v>
      </c>
      <c r="E2218" s="7" t="n">
        <v>0</v>
      </c>
      <c r="F2218" s="7" t="n">
        <v>1</v>
      </c>
      <c r="G2218" s="7" t="n">
        <v>50.26</v>
      </c>
    </row>
    <row r="2219" customFormat="false" ht="15" hidden="false" customHeight="false" outlineLevel="0" collapsed="false">
      <c r="A2219" s="7" t="s">
        <v>24</v>
      </c>
      <c r="B2219" s="7" t="s">
        <v>522</v>
      </c>
      <c r="C2219" s="7" t="s">
        <v>1150</v>
      </c>
      <c r="D2219" s="7" t="n">
        <v>0</v>
      </c>
      <c r="E2219" s="7" t="n">
        <v>0</v>
      </c>
      <c r="F2219" s="7" t="n">
        <v>1</v>
      </c>
      <c r="G2219" s="7" t="n">
        <v>50.27</v>
      </c>
    </row>
    <row r="2220" customFormat="false" ht="15" hidden="false" customHeight="false" outlineLevel="0" collapsed="false">
      <c r="A2220" s="7" t="s">
        <v>24</v>
      </c>
      <c r="B2220" s="7" t="s">
        <v>522</v>
      </c>
      <c r="C2220" s="7" t="s">
        <v>1150</v>
      </c>
      <c r="D2220" s="7" t="n">
        <v>0</v>
      </c>
      <c r="E2220" s="7" t="n">
        <v>0</v>
      </c>
      <c r="F2220" s="7" t="n">
        <v>1</v>
      </c>
      <c r="G2220" s="7" t="n">
        <v>55.85</v>
      </c>
    </row>
    <row r="2221" customFormat="false" ht="15" hidden="false" customHeight="false" outlineLevel="0" collapsed="false">
      <c r="A2221" s="7" t="s">
        <v>24</v>
      </c>
      <c r="B2221" s="7" t="s">
        <v>512</v>
      </c>
      <c r="C2221" s="7" t="s">
        <v>1150</v>
      </c>
      <c r="D2221" s="7" t="n">
        <v>2</v>
      </c>
      <c r="E2221" s="7" t="n">
        <v>111.7</v>
      </c>
      <c r="F2221" s="7" t="n">
        <v>5</v>
      </c>
      <c r="G2221" s="7" t="n">
        <v>268.07</v>
      </c>
    </row>
    <row r="2222" customFormat="false" ht="15" hidden="false" customHeight="false" outlineLevel="0" collapsed="false">
      <c r="A2222" s="7" t="s">
        <v>24</v>
      </c>
      <c r="B2222" s="7" t="s">
        <v>512</v>
      </c>
      <c r="C2222" s="7" t="s">
        <v>1150</v>
      </c>
      <c r="D2222" s="7" t="n">
        <v>0</v>
      </c>
      <c r="E2222" s="7" t="n">
        <v>0</v>
      </c>
      <c r="F2222" s="7" t="n">
        <v>1</v>
      </c>
      <c r="G2222" s="7" t="n">
        <v>55.85</v>
      </c>
    </row>
    <row r="2223" customFormat="false" ht="15" hidden="false" customHeight="false" outlineLevel="0" collapsed="false">
      <c r="A2223" s="7" t="s">
        <v>24</v>
      </c>
      <c r="B2223" s="7" t="s">
        <v>512</v>
      </c>
      <c r="C2223" s="7" t="s">
        <v>1150</v>
      </c>
      <c r="D2223" s="7" t="n">
        <v>0</v>
      </c>
      <c r="E2223" s="7" t="n">
        <v>0</v>
      </c>
      <c r="F2223" s="7" t="n">
        <v>1</v>
      </c>
      <c r="G2223" s="7" t="n">
        <v>47.47</v>
      </c>
    </row>
    <row r="2224" customFormat="false" ht="15" hidden="false" customHeight="false" outlineLevel="0" collapsed="false">
      <c r="A2224" s="7" t="s">
        <v>24</v>
      </c>
      <c r="B2224" s="7" t="s">
        <v>512</v>
      </c>
      <c r="C2224" s="7" t="s">
        <v>1150</v>
      </c>
      <c r="D2224" s="7" t="n">
        <v>0</v>
      </c>
      <c r="E2224" s="7" t="n">
        <v>0</v>
      </c>
      <c r="F2224" s="7" t="n">
        <v>1</v>
      </c>
      <c r="G2224" s="7" t="n">
        <v>50.26</v>
      </c>
    </row>
    <row r="2225" customFormat="false" ht="15" hidden="false" customHeight="false" outlineLevel="0" collapsed="false">
      <c r="A2225" s="7" t="s">
        <v>24</v>
      </c>
      <c r="B2225" s="7" t="s">
        <v>401</v>
      </c>
      <c r="C2225" s="7" t="s">
        <v>1150</v>
      </c>
      <c r="D2225" s="7" t="n">
        <v>0</v>
      </c>
      <c r="E2225" s="7" t="n">
        <v>0</v>
      </c>
      <c r="F2225" s="7" t="n">
        <v>1</v>
      </c>
      <c r="G2225" s="7" t="n">
        <v>55.85</v>
      </c>
    </row>
    <row r="2226" customFormat="false" ht="15" hidden="false" customHeight="false" outlineLevel="0" collapsed="false">
      <c r="A2226" s="7" t="s">
        <v>24</v>
      </c>
      <c r="B2226" s="7" t="s">
        <v>401</v>
      </c>
      <c r="C2226" s="7" t="s">
        <v>1150</v>
      </c>
      <c r="D2226" s="7" t="n">
        <v>0</v>
      </c>
      <c r="E2226" s="7" t="n">
        <v>0</v>
      </c>
      <c r="F2226" s="7" t="n">
        <v>1</v>
      </c>
      <c r="G2226" s="7" t="n">
        <v>55.85</v>
      </c>
    </row>
    <row r="2227" customFormat="false" ht="15" hidden="false" customHeight="false" outlineLevel="0" collapsed="false">
      <c r="A2227" s="7" t="s">
        <v>24</v>
      </c>
      <c r="B2227" s="7" t="s">
        <v>401</v>
      </c>
      <c r="C2227" s="7" t="s">
        <v>1150</v>
      </c>
      <c r="D2227" s="7" t="n">
        <v>0</v>
      </c>
      <c r="E2227" s="7" t="n">
        <v>0</v>
      </c>
      <c r="F2227" s="7" t="n">
        <v>1</v>
      </c>
      <c r="G2227" s="7" t="n">
        <v>50.26</v>
      </c>
    </row>
    <row r="2228" customFormat="false" ht="15" hidden="false" customHeight="false" outlineLevel="0" collapsed="false">
      <c r="A2228" s="7" t="s">
        <v>24</v>
      </c>
      <c r="B2228" s="7" t="s">
        <v>401</v>
      </c>
      <c r="C2228" s="7" t="s">
        <v>1150</v>
      </c>
      <c r="D2228" s="7" t="n">
        <v>0</v>
      </c>
      <c r="E2228" s="7" t="n">
        <v>0</v>
      </c>
      <c r="F2228" s="7" t="n">
        <v>2</v>
      </c>
      <c r="G2228" s="7" t="n">
        <v>100.53</v>
      </c>
    </row>
    <row r="2229" customFormat="false" ht="15" hidden="false" customHeight="false" outlineLevel="0" collapsed="false">
      <c r="A2229" s="7" t="s">
        <v>24</v>
      </c>
      <c r="B2229" s="7" t="s">
        <v>401</v>
      </c>
      <c r="C2229" s="7" t="s">
        <v>1150</v>
      </c>
      <c r="D2229" s="7" t="n">
        <v>1</v>
      </c>
      <c r="E2229" s="7" t="n">
        <v>47.47</v>
      </c>
      <c r="F2229" s="7" t="n">
        <v>0</v>
      </c>
      <c r="G2229" s="7" t="n">
        <v>0</v>
      </c>
    </row>
    <row r="2230" customFormat="false" ht="15" hidden="false" customHeight="false" outlineLevel="0" collapsed="false">
      <c r="A2230" s="7" t="s">
        <v>24</v>
      </c>
      <c r="B2230" s="7" t="s">
        <v>401</v>
      </c>
      <c r="C2230" s="7" t="s">
        <v>1150</v>
      </c>
      <c r="D2230" s="7" t="n">
        <v>0</v>
      </c>
      <c r="E2230" s="7" t="n">
        <v>0</v>
      </c>
      <c r="F2230" s="7" t="n">
        <v>1</v>
      </c>
      <c r="G2230" s="7" t="n">
        <v>55.85</v>
      </c>
    </row>
    <row r="2231" customFormat="false" ht="15" hidden="false" customHeight="false" outlineLevel="0" collapsed="false">
      <c r="A2231" s="7" t="s">
        <v>24</v>
      </c>
      <c r="B2231" s="7" t="s">
        <v>401</v>
      </c>
      <c r="C2231" s="7" t="s">
        <v>1150</v>
      </c>
      <c r="D2231" s="7" t="n">
        <v>0</v>
      </c>
      <c r="E2231" s="7" t="n">
        <v>0</v>
      </c>
      <c r="F2231" s="7" t="n">
        <v>3</v>
      </c>
      <c r="G2231" s="7" t="n">
        <v>161.59</v>
      </c>
    </row>
    <row r="2232" customFormat="false" ht="15" hidden="false" customHeight="false" outlineLevel="0" collapsed="false">
      <c r="A2232" s="7" t="s">
        <v>24</v>
      </c>
      <c r="B2232" s="7" t="s">
        <v>401</v>
      </c>
      <c r="C2232" s="7" t="s">
        <v>1150</v>
      </c>
      <c r="D2232" s="7" t="n">
        <v>0</v>
      </c>
      <c r="E2232" s="7" t="n">
        <v>0</v>
      </c>
      <c r="F2232" s="7" t="n">
        <v>1</v>
      </c>
      <c r="G2232" s="7" t="n">
        <v>55.85</v>
      </c>
    </row>
    <row r="2233" customFormat="false" ht="15" hidden="false" customHeight="false" outlineLevel="0" collapsed="false">
      <c r="A2233" s="7" t="s">
        <v>24</v>
      </c>
      <c r="B2233" s="7" t="s">
        <v>401</v>
      </c>
      <c r="C2233" s="7" t="s">
        <v>1150</v>
      </c>
      <c r="D2233" s="7" t="n">
        <v>0</v>
      </c>
      <c r="E2233" s="7" t="n">
        <v>0</v>
      </c>
      <c r="F2233" s="7" t="n">
        <v>1</v>
      </c>
      <c r="G2233" s="7" t="n">
        <v>55.85</v>
      </c>
    </row>
    <row r="2234" customFormat="false" ht="15" hidden="false" customHeight="false" outlineLevel="0" collapsed="false">
      <c r="A2234" s="7" t="s">
        <v>24</v>
      </c>
      <c r="B2234" s="7" t="s">
        <v>694</v>
      </c>
      <c r="C2234" s="7" t="s">
        <v>1150</v>
      </c>
      <c r="D2234" s="7" t="n">
        <v>1</v>
      </c>
      <c r="E2234" s="7" t="n">
        <v>54.15</v>
      </c>
      <c r="F2234" s="7" t="n">
        <v>0</v>
      </c>
      <c r="G2234" s="7" t="n">
        <v>0</v>
      </c>
    </row>
    <row r="2235" customFormat="false" ht="15" hidden="false" customHeight="false" outlineLevel="0" collapsed="false">
      <c r="A2235" s="7" t="s">
        <v>24</v>
      </c>
      <c r="B2235" s="7" t="s">
        <v>694</v>
      </c>
      <c r="C2235" s="7" t="s">
        <v>1150</v>
      </c>
      <c r="D2235" s="7" t="n">
        <v>0</v>
      </c>
      <c r="E2235" s="7" t="n">
        <v>0</v>
      </c>
      <c r="F2235" s="7" t="n">
        <v>2</v>
      </c>
      <c r="G2235" s="7" t="n">
        <v>100.53</v>
      </c>
    </row>
    <row r="2236" customFormat="false" ht="15" hidden="false" customHeight="false" outlineLevel="0" collapsed="false">
      <c r="A2236" s="7" t="s">
        <v>24</v>
      </c>
      <c r="B2236" s="7" t="s">
        <v>694</v>
      </c>
      <c r="C2236" s="7" t="s">
        <v>1150</v>
      </c>
      <c r="D2236" s="7" t="n">
        <v>0</v>
      </c>
      <c r="E2236" s="7" t="n">
        <v>0</v>
      </c>
      <c r="F2236" s="7" t="n">
        <v>1</v>
      </c>
      <c r="G2236" s="7" t="n">
        <v>55.85</v>
      </c>
    </row>
    <row r="2237" customFormat="false" ht="15" hidden="false" customHeight="false" outlineLevel="0" collapsed="false">
      <c r="A2237" s="7" t="s">
        <v>24</v>
      </c>
      <c r="B2237" s="7" t="s">
        <v>694</v>
      </c>
      <c r="C2237" s="7" t="s">
        <v>1150</v>
      </c>
      <c r="D2237" s="7" t="n">
        <v>1</v>
      </c>
      <c r="E2237" s="7" t="n">
        <v>55.85</v>
      </c>
      <c r="F2237" s="7" t="n">
        <v>1</v>
      </c>
      <c r="G2237" s="7" t="n">
        <v>55.85</v>
      </c>
    </row>
    <row r="2238" customFormat="false" ht="15" hidden="false" customHeight="false" outlineLevel="0" collapsed="false">
      <c r="A2238" s="7" t="s">
        <v>24</v>
      </c>
      <c r="B2238" s="7" t="s">
        <v>497</v>
      </c>
      <c r="C2238" s="7" t="s">
        <v>1150</v>
      </c>
      <c r="D2238" s="7" t="n">
        <v>14</v>
      </c>
      <c r="E2238" s="7" t="n">
        <v>714.88</v>
      </c>
      <c r="F2238" s="7" t="n">
        <v>3</v>
      </c>
      <c r="G2238" s="7" t="n">
        <v>167.55</v>
      </c>
    </row>
    <row r="2239" customFormat="false" ht="15" hidden="false" customHeight="false" outlineLevel="0" collapsed="false">
      <c r="A2239" s="7" t="s">
        <v>24</v>
      </c>
      <c r="B2239" s="7" t="s">
        <v>497</v>
      </c>
      <c r="C2239" s="7" t="s">
        <v>1150</v>
      </c>
      <c r="D2239" s="7" t="n">
        <v>0</v>
      </c>
      <c r="E2239" s="7" t="n">
        <v>0</v>
      </c>
      <c r="F2239" s="7" t="n">
        <v>1</v>
      </c>
      <c r="G2239" s="7" t="n">
        <v>55.85</v>
      </c>
    </row>
    <row r="2240" customFormat="false" ht="15" hidden="false" customHeight="false" outlineLevel="0" collapsed="false">
      <c r="A2240" s="7" t="s">
        <v>24</v>
      </c>
      <c r="B2240" s="7" t="s">
        <v>497</v>
      </c>
      <c r="C2240" s="7" t="s">
        <v>1150</v>
      </c>
      <c r="D2240" s="7" t="n">
        <v>0</v>
      </c>
      <c r="E2240" s="7" t="n">
        <v>0</v>
      </c>
      <c r="F2240" s="7" t="n">
        <v>2</v>
      </c>
      <c r="G2240" s="7" t="n">
        <v>111.7</v>
      </c>
    </row>
    <row r="2241" customFormat="false" ht="15" hidden="false" customHeight="false" outlineLevel="0" collapsed="false">
      <c r="A2241" s="7" t="s">
        <v>24</v>
      </c>
      <c r="B2241" s="7" t="s">
        <v>497</v>
      </c>
      <c r="C2241" s="7" t="s">
        <v>1150</v>
      </c>
      <c r="D2241" s="7" t="n">
        <v>0</v>
      </c>
      <c r="E2241" s="7" t="n">
        <v>0</v>
      </c>
      <c r="F2241" s="7" t="n">
        <v>1</v>
      </c>
      <c r="G2241" s="7" t="n">
        <v>47.48</v>
      </c>
    </row>
    <row r="2242" customFormat="false" ht="15" hidden="false" customHeight="false" outlineLevel="0" collapsed="false">
      <c r="A2242" s="7" t="s">
        <v>24</v>
      </c>
      <c r="B2242" s="7" t="s">
        <v>497</v>
      </c>
      <c r="C2242" s="7" t="s">
        <v>1150</v>
      </c>
      <c r="D2242" s="7" t="n">
        <v>0</v>
      </c>
      <c r="E2242" s="7" t="n">
        <v>0</v>
      </c>
      <c r="F2242" s="7" t="n">
        <v>1</v>
      </c>
      <c r="G2242" s="7" t="n">
        <v>55.85</v>
      </c>
    </row>
    <row r="2243" customFormat="false" ht="15" hidden="false" customHeight="false" outlineLevel="0" collapsed="false">
      <c r="A2243" s="7" t="s">
        <v>24</v>
      </c>
      <c r="B2243" s="7" t="s">
        <v>497</v>
      </c>
      <c r="C2243" s="7" t="s">
        <v>1150</v>
      </c>
      <c r="D2243" s="7" t="n">
        <v>0</v>
      </c>
      <c r="E2243" s="7" t="n">
        <v>0</v>
      </c>
      <c r="F2243" s="7" t="n">
        <v>1</v>
      </c>
      <c r="G2243" s="7" t="n">
        <v>55.84</v>
      </c>
    </row>
    <row r="2244" customFormat="false" ht="15" hidden="false" customHeight="false" outlineLevel="0" collapsed="false">
      <c r="A2244" s="7" t="s">
        <v>24</v>
      </c>
      <c r="B2244" s="7" t="s">
        <v>497</v>
      </c>
      <c r="C2244" s="7" t="s">
        <v>1150</v>
      </c>
      <c r="D2244" s="7" t="n">
        <v>2</v>
      </c>
      <c r="E2244" s="7" t="n">
        <v>108.3</v>
      </c>
      <c r="F2244" s="7" t="n">
        <v>0</v>
      </c>
      <c r="G2244" s="7" t="n">
        <v>0</v>
      </c>
    </row>
    <row r="2245" customFormat="false" ht="15" hidden="false" customHeight="false" outlineLevel="0" collapsed="false">
      <c r="A2245" s="7" t="s">
        <v>24</v>
      </c>
      <c r="B2245" s="7" t="s">
        <v>343</v>
      </c>
      <c r="C2245" s="7" t="s">
        <v>1151</v>
      </c>
      <c r="D2245" s="7" t="n">
        <v>0</v>
      </c>
      <c r="E2245" s="7" t="n">
        <v>0</v>
      </c>
      <c r="F2245" s="7" t="n">
        <v>1</v>
      </c>
      <c r="G2245" s="7" t="n">
        <v>47.47</v>
      </c>
    </row>
    <row r="2246" customFormat="false" ht="15" hidden="false" customHeight="false" outlineLevel="0" collapsed="false">
      <c r="A2246" s="7" t="s">
        <v>24</v>
      </c>
      <c r="B2246" s="7" t="s">
        <v>343</v>
      </c>
      <c r="C2246" s="7" t="s">
        <v>1151</v>
      </c>
      <c r="D2246" s="7" t="n">
        <v>0</v>
      </c>
      <c r="E2246" s="7" t="n">
        <v>0</v>
      </c>
      <c r="F2246" s="7" t="n">
        <v>2</v>
      </c>
      <c r="G2246" s="7" t="n">
        <v>111.7</v>
      </c>
    </row>
    <row r="2247" customFormat="false" ht="15" hidden="false" customHeight="false" outlineLevel="0" collapsed="false">
      <c r="A2247" s="7" t="s">
        <v>24</v>
      </c>
      <c r="B2247" s="7" t="s">
        <v>343</v>
      </c>
      <c r="C2247" s="7" t="s">
        <v>1151</v>
      </c>
      <c r="D2247" s="7" t="n">
        <v>5</v>
      </c>
      <c r="E2247" s="7" t="n">
        <v>240.15</v>
      </c>
      <c r="F2247" s="7" t="n">
        <v>9</v>
      </c>
      <c r="G2247" s="7" t="n">
        <v>491.46</v>
      </c>
    </row>
    <row r="2248" customFormat="false" ht="15" hidden="false" customHeight="false" outlineLevel="0" collapsed="false">
      <c r="A2248" s="7" t="s">
        <v>24</v>
      </c>
      <c r="B2248" s="7" t="s">
        <v>343</v>
      </c>
      <c r="C2248" s="7" t="s">
        <v>1151</v>
      </c>
      <c r="D2248" s="7" t="n">
        <v>0</v>
      </c>
      <c r="E2248" s="7" t="n">
        <v>0</v>
      </c>
      <c r="F2248" s="7" t="n">
        <v>1</v>
      </c>
      <c r="G2248" s="7" t="n">
        <v>55.85</v>
      </c>
    </row>
    <row r="2249" customFormat="false" ht="15" hidden="false" customHeight="false" outlineLevel="0" collapsed="false">
      <c r="A2249" s="7" t="s">
        <v>24</v>
      </c>
      <c r="B2249" s="7" t="s">
        <v>343</v>
      </c>
      <c r="C2249" s="7" t="s">
        <v>1151</v>
      </c>
      <c r="D2249" s="7" t="n">
        <v>0</v>
      </c>
      <c r="E2249" s="7" t="n">
        <v>0</v>
      </c>
      <c r="F2249" s="7" t="n">
        <v>1</v>
      </c>
      <c r="G2249" s="7" t="n">
        <v>50.26</v>
      </c>
    </row>
    <row r="2250" customFormat="false" ht="15" hidden="false" customHeight="false" outlineLevel="0" collapsed="false">
      <c r="A2250" s="7" t="s">
        <v>24</v>
      </c>
      <c r="B2250" s="7" t="s">
        <v>343</v>
      </c>
      <c r="C2250" s="7" t="s">
        <v>1151</v>
      </c>
      <c r="D2250" s="7" t="n">
        <v>0</v>
      </c>
      <c r="E2250" s="7" t="n">
        <v>0</v>
      </c>
      <c r="F2250" s="7" t="n">
        <v>1</v>
      </c>
      <c r="G2250" s="7" t="n">
        <v>55.85</v>
      </c>
    </row>
    <row r="2251" customFormat="false" ht="15" hidden="false" customHeight="false" outlineLevel="0" collapsed="false">
      <c r="A2251" s="7" t="s">
        <v>24</v>
      </c>
      <c r="B2251" s="7" t="s">
        <v>343</v>
      </c>
      <c r="C2251" s="7" t="s">
        <v>1151</v>
      </c>
      <c r="D2251" s="7" t="n">
        <v>0</v>
      </c>
      <c r="E2251" s="7" t="n">
        <v>0</v>
      </c>
      <c r="F2251" s="7" t="n">
        <v>2</v>
      </c>
      <c r="G2251" s="7" t="n">
        <v>111.7</v>
      </c>
    </row>
    <row r="2252" customFormat="false" ht="15" hidden="false" customHeight="false" outlineLevel="0" collapsed="false">
      <c r="A2252" s="7" t="s">
        <v>24</v>
      </c>
      <c r="B2252" s="7" t="s">
        <v>802</v>
      </c>
      <c r="C2252" s="7" t="s">
        <v>1151</v>
      </c>
      <c r="D2252" s="7" t="n">
        <v>10</v>
      </c>
      <c r="E2252" s="7" t="n">
        <v>505.44</v>
      </c>
      <c r="F2252" s="7" t="n">
        <v>5</v>
      </c>
      <c r="G2252" s="7" t="n">
        <v>279.25</v>
      </c>
    </row>
    <row r="2253" customFormat="false" ht="15" hidden="false" customHeight="false" outlineLevel="0" collapsed="false">
      <c r="A2253" s="7" t="s">
        <v>24</v>
      </c>
      <c r="B2253" s="7" t="s">
        <v>802</v>
      </c>
      <c r="C2253" s="7" t="s">
        <v>1151</v>
      </c>
      <c r="D2253" s="7" t="n">
        <v>0</v>
      </c>
      <c r="E2253" s="7" t="n">
        <v>0</v>
      </c>
      <c r="F2253" s="7" t="n">
        <v>1</v>
      </c>
      <c r="G2253" s="7" t="n">
        <v>55.85</v>
      </c>
    </row>
    <row r="2254" customFormat="false" ht="15" hidden="false" customHeight="false" outlineLevel="0" collapsed="false">
      <c r="A2254" s="7" t="s">
        <v>24</v>
      </c>
      <c r="B2254" s="7" t="s">
        <v>802</v>
      </c>
      <c r="C2254" s="7" t="s">
        <v>1151</v>
      </c>
      <c r="D2254" s="7" t="n">
        <v>0</v>
      </c>
      <c r="E2254" s="7" t="n">
        <v>0</v>
      </c>
      <c r="F2254" s="7" t="n">
        <v>1</v>
      </c>
      <c r="G2254" s="7" t="n">
        <v>55.85</v>
      </c>
    </row>
    <row r="2255" customFormat="false" ht="15" hidden="false" customHeight="false" outlineLevel="0" collapsed="false">
      <c r="A2255" s="7" t="s">
        <v>24</v>
      </c>
      <c r="B2255" s="7" t="s">
        <v>802</v>
      </c>
      <c r="C2255" s="7" t="s">
        <v>1151</v>
      </c>
      <c r="D2255" s="7" t="n">
        <v>0</v>
      </c>
      <c r="E2255" s="7" t="n">
        <v>0</v>
      </c>
      <c r="F2255" s="7" t="n">
        <v>2</v>
      </c>
      <c r="G2255" s="7" t="n">
        <v>111.7</v>
      </c>
    </row>
    <row r="2256" customFormat="false" ht="15" hidden="false" customHeight="false" outlineLevel="0" collapsed="false">
      <c r="A2256" s="7" t="s">
        <v>24</v>
      </c>
      <c r="B2256" s="7" t="s">
        <v>704</v>
      </c>
      <c r="C2256" s="7" t="s">
        <v>1151</v>
      </c>
      <c r="D2256" s="7" t="n">
        <v>6</v>
      </c>
      <c r="E2256" s="7" t="n">
        <v>312.76</v>
      </c>
      <c r="F2256" s="7" t="n">
        <v>4</v>
      </c>
      <c r="G2256" s="7" t="n">
        <v>223.4</v>
      </c>
    </row>
    <row r="2257" customFormat="false" ht="15" hidden="false" customHeight="false" outlineLevel="0" collapsed="false">
      <c r="A2257" s="7" t="s">
        <v>24</v>
      </c>
      <c r="B2257" s="7" t="s">
        <v>710</v>
      </c>
      <c r="C2257" s="7" t="s">
        <v>1151</v>
      </c>
      <c r="D2257" s="7" t="n">
        <v>0</v>
      </c>
      <c r="E2257" s="7" t="n">
        <v>0</v>
      </c>
      <c r="F2257" s="7" t="n">
        <v>4</v>
      </c>
      <c r="G2257" s="7" t="n">
        <v>223.4</v>
      </c>
    </row>
    <row r="2258" customFormat="false" ht="15" hidden="false" customHeight="false" outlineLevel="0" collapsed="false">
      <c r="A2258" s="7" t="s">
        <v>24</v>
      </c>
      <c r="B2258" s="7" t="s">
        <v>710</v>
      </c>
      <c r="C2258" s="7" t="s">
        <v>1151</v>
      </c>
      <c r="D2258" s="7" t="n">
        <v>6</v>
      </c>
      <c r="E2258" s="7" t="n">
        <v>304.38</v>
      </c>
      <c r="F2258" s="7" t="n">
        <v>3</v>
      </c>
      <c r="G2258" s="7" t="n">
        <v>167.55</v>
      </c>
    </row>
    <row r="2259" customFormat="false" ht="15" hidden="false" customHeight="false" outlineLevel="0" collapsed="false">
      <c r="A2259" s="7" t="s">
        <v>24</v>
      </c>
      <c r="B2259" s="7" t="s">
        <v>464</v>
      </c>
      <c r="C2259" s="7" t="s">
        <v>1151</v>
      </c>
      <c r="D2259" s="7" t="n">
        <v>9</v>
      </c>
      <c r="E2259" s="7" t="n">
        <v>485.89</v>
      </c>
      <c r="F2259" s="7" t="n">
        <v>1</v>
      </c>
      <c r="G2259" s="7" t="n">
        <v>55.85</v>
      </c>
    </row>
    <row r="2260" customFormat="false" ht="15" hidden="false" customHeight="false" outlineLevel="0" collapsed="false">
      <c r="A2260" s="7" t="s">
        <v>24</v>
      </c>
      <c r="B2260" s="7" t="s">
        <v>464</v>
      </c>
      <c r="C2260" s="7" t="s">
        <v>1151</v>
      </c>
      <c r="D2260" s="7" t="n">
        <v>0</v>
      </c>
      <c r="E2260" s="7" t="n">
        <v>0</v>
      </c>
      <c r="F2260" s="7" t="n">
        <v>1</v>
      </c>
      <c r="G2260" s="7" t="n">
        <v>47.48</v>
      </c>
    </row>
    <row r="2261" customFormat="false" ht="15" hidden="false" customHeight="false" outlineLevel="0" collapsed="false">
      <c r="A2261" s="7" t="s">
        <v>24</v>
      </c>
      <c r="B2261" s="7" t="s">
        <v>605</v>
      </c>
      <c r="C2261" s="7" t="s">
        <v>1152</v>
      </c>
      <c r="D2261" s="7" t="n">
        <v>0</v>
      </c>
      <c r="E2261" s="7" t="n">
        <v>0</v>
      </c>
      <c r="F2261" s="7" t="n">
        <v>1</v>
      </c>
      <c r="G2261" s="7" t="n">
        <v>55.85</v>
      </c>
    </row>
    <row r="2262" customFormat="false" ht="15" hidden="false" customHeight="false" outlineLevel="0" collapsed="false">
      <c r="A2262" s="7" t="s">
        <v>24</v>
      </c>
      <c r="B2262" s="7" t="s">
        <v>605</v>
      </c>
      <c r="C2262" s="7" t="s">
        <v>1152</v>
      </c>
      <c r="D2262" s="7" t="n">
        <v>0</v>
      </c>
      <c r="E2262" s="7" t="n">
        <v>0</v>
      </c>
      <c r="F2262" s="7" t="n">
        <v>2</v>
      </c>
      <c r="G2262" s="7" t="n">
        <v>111.7</v>
      </c>
    </row>
    <row r="2263" customFormat="false" ht="15" hidden="false" customHeight="false" outlineLevel="0" collapsed="false">
      <c r="A2263" s="7" t="s">
        <v>24</v>
      </c>
      <c r="B2263" s="7" t="s">
        <v>605</v>
      </c>
      <c r="C2263" s="7" t="s">
        <v>1152</v>
      </c>
      <c r="D2263" s="7" t="n">
        <v>0</v>
      </c>
      <c r="E2263" s="7" t="n">
        <v>0</v>
      </c>
      <c r="F2263" s="7" t="n">
        <v>1</v>
      </c>
      <c r="G2263" s="7" t="n">
        <v>0.01</v>
      </c>
    </row>
    <row r="2264" customFormat="false" ht="15" hidden="false" customHeight="false" outlineLevel="0" collapsed="false">
      <c r="A2264" s="7" t="s">
        <v>24</v>
      </c>
      <c r="B2264" s="7" t="s">
        <v>605</v>
      </c>
      <c r="C2264" s="7" t="s">
        <v>1152</v>
      </c>
      <c r="D2264" s="7" t="n">
        <v>13</v>
      </c>
      <c r="E2264" s="7" t="n">
        <v>636.69</v>
      </c>
      <c r="F2264" s="7" t="n">
        <v>5</v>
      </c>
      <c r="G2264" s="7" t="n">
        <v>273.66</v>
      </c>
    </row>
    <row r="2265" customFormat="false" ht="15" hidden="false" customHeight="false" outlineLevel="0" collapsed="false">
      <c r="A2265" s="7" t="s">
        <v>24</v>
      </c>
      <c r="B2265" s="7" t="s">
        <v>618</v>
      </c>
      <c r="C2265" s="7" t="s">
        <v>1152</v>
      </c>
      <c r="D2265" s="7" t="n">
        <v>5</v>
      </c>
      <c r="E2265" s="7" t="n">
        <v>240.15</v>
      </c>
      <c r="F2265" s="7" t="n">
        <v>1</v>
      </c>
      <c r="G2265" s="7" t="n">
        <v>55.84</v>
      </c>
    </row>
    <row r="2266" customFormat="false" ht="15" hidden="false" customHeight="false" outlineLevel="0" collapsed="false">
      <c r="A2266" s="7" t="s">
        <v>24</v>
      </c>
      <c r="B2266" s="7" t="s">
        <v>702</v>
      </c>
      <c r="C2266" s="7" t="s">
        <v>1152</v>
      </c>
      <c r="D2266" s="7" t="n">
        <v>0</v>
      </c>
      <c r="E2266" s="7" t="n">
        <v>0</v>
      </c>
      <c r="F2266" s="7" t="n">
        <v>1</v>
      </c>
      <c r="G2266" s="7" t="n">
        <v>55.85</v>
      </c>
    </row>
    <row r="2267" customFormat="false" ht="15" hidden="false" customHeight="false" outlineLevel="0" collapsed="false">
      <c r="A2267" s="7" t="s">
        <v>24</v>
      </c>
      <c r="B2267" s="7" t="s">
        <v>702</v>
      </c>
      <c r="C2267" s="7" t="s">
        <v>1152</v>
      </c>
      <c r="D2267" s="7" t="n">
        <v>0</v>
      </c>
      <c r="E2267" s="7" t="n">
        <v>0</v>
      </c>
      <c r="F2267" s="7" t="n">
        <v>4</v>
      </c>
      <c r="G2267" s="7" t="n">
        <v>201.05</v>
      </c>
    </row>
    <row r="2268" customFormat="false" ht="15" hidden="false" customHeight="false" outlineLevel="0" collapsed="false">
      <c r="A2268" s="7" t="s">
        <v>24</v>
      </c>
      <c r="B2268" s="7" t="s">
        <v>702</v>
      </c>
      <c r="C2268" s="7" t="s">
        <v>1152</v>
      </c>
      <c r="D2268" s="7" t="n">
        <v>0</v>
      </c>
      <c r="E2268" s="7" t="n">
        <v>0</v>
      </c>
      <c r="F2268" s="7" t="n">
        <v>1</v>
      </c>
      <c r="G2268" s="7" t="n">
        <v>50.26</v>
      </c>
    </row>
    <row r="2269" customFormat="false" ht="15" hidden="false" customHeight="false" outlineLevel="0" collapsed="false">
      <c r="A2269" s="7" t="s">
        <v>24</v>
      </c>
      <c r="B2269" s="7" t="s">
        <v>702</v>
      </c>
      <c r="C2269" s="7" t="s">
        <v>1152</v>
      </c>
      <c r="D2269" s="7" t="n">
        <v>1</v>
      </c>
      <c r="E2269" s="7" t="n">
        <v>54.15</v>
      </c>
      <c r="F2269" s="7" t="n">
        <v>0</v>
      </c>
      <c r="G2269" s="7" t="n">
        <v>0</v>
      </c>
    </row>
    <row r="2270" customFormat="false" ht="15" hidden="false" customHeight="false" outlineLevel="0" collapsed="false">
      <c r="A2270" s="7" t="s">
        <v>24</v>
      </c>
      <c r="B2270" s="7" t="s">
        <v>702</v>
      </c>
      <c r="C2270" s="7" t="s">
        <v>1152</v>
      </c>
      <c r="D2270" s="7" t="n">
        <v>10</v>
      </c>
      <c r="E2270" s="7" t="n">
        <v>511.02</v>
      </c>
      <c r="F2270" s="7" t="n">
        <v>2</v>
      </c>
      <c r="G2270" s="7" t="n">
        <v>111.7</v>
      </c>
    </row>
    <row r="2271" customFormat="false" ht="15" hidden="false" customHeight="false" outlineLevel="0" collapsed="false">
      <c r="A2271" s="7" t="s">
        <v>24</v>
      </c>
      <c r="B2271" s="7" t="s">
        <v>702</v>
      </c>
      <c r="C2271" s="7" t="s">
        <v>1152</v>
      </c>
      <c r="D2271" s="7" t="n">
        <v>0</v>
      </c>
      <c r="E2271" s="7" t="n">
        <v>0</v>
      </c>
      <c r="F2271" s="7" t="n">
        <v>1</v>
      </c>
      <c r="G2271" s="7" t="n">
        <v>55.85</v>
      </c>
    </row>
    <row r="2272" customFormat="false" ht="15" hidden="false" customHeight="false" outlineLevel="0" collapsed="false">
      <c r="A2272" s="7" t="s">
        <v>24</v>
      </c>
      <c r="B2272" s="7" t="s">
        <v>635</v>
      </c>
      <c r="C2272" s="7" t="s">
        <v>1152</v>
      </c>
      <c r="D2272" s="7" t="n">
        <v>1</v>
      </c>
      <c r="E2272" s="7" t="n">
        <v>55.85</v>
      </c>
      <c r="F2272" s="7" t="n">
        <v>4</v>
      </c>
      <c r="G2272" s="7" t="n">
        <v>223.4</v>
      </c>
    </row>
    <row r="2273" customFormat="false" ht="15" hidden="false" customHeight="false" outlineLevel="0" collapsed="false">
      <c r="A2273" s="7" t="s">
        <v>24</v>
      </c>
      <c r="B2273" s="7" t="s">
        <v>793</v>
      </c>
      <c r="C2273" s="7" t="s">
        <v>1152</v>
      </c>
      <c r="D2273" s="7" t="n">
        <v>2</v>
      </c>
      <c r="E2273" s="7" t="n">
        <v>108.3</v>
      </c>
      <c r="F2273" s="7" t="n">
        <v>0</v>
      </c>
      <c r="G2273" s="7" t="n">
        <v>0</v>
      </c>
    </row>
    <row r="2274" customFormat="false" ht="15" hidden="false" customHeight="false" outlineLevel="0" collapsed="false">
      <c r="A2274" s="7" t="s">
        <v>24</v>
      </c>
      <c r="B2274" s="7" t="s">
        <v>793</v>
      </c>
      <c r="C2274" s="7" t="s">
        <v>1152</v>
      </c>
      <c r="D2274" s="7" t="n">
        <v>4</v>
      </c>
      <c r="E2274" s="7" t="n">
        <v>206.64</v>
      </c>
      <c r="F2274" s="7" t="n">
        <v>5</v>
      </c>
      <c r="G2274" s="7" t="n">
        <v>273.66</v>
      </c>
    </row>
    <row r="2275" customFormat="false" ht="15" hidden="false" customHeight="false" outlineLevel="0" collapsed="false">
      <c r="A2275" s="7" t="s">
        <v>24</v>
      </c>
      <c r="B2275" s="7" t="s">
        <v>793</v>
      </c>
      <c r="C2275" s="7" t="s">
        <v>1152</v>
      </c>
      <c r="D2275" s="7" t="n">
        <v>0</v>
      </c>
      <c r="E2275" s="7" t="n">
        <v>0</v>
      </c>
      <c r="F2275" s="7" t="n">
        <v>1</v>
      </c>
      <c r="G2275" s="7" t="n">
        <v>55.84</v>
      </c>
    </row>
    <row r="2276" customFormat="false" ht="15" hidden="false" customHeight="false" outlineLevel="0" collapsed="false">
      <c r="A2276" s="7" t="s">
        <v>24</v>
      </c>
      <c r="B2276" s="7" t="s">
        <v>613</v>
      </c>
      <c r="C2276" s="7" t="s">
        <v>1152</v>
      </c>
      <c r="D2276" s="7" t="n">
        <v>7</v>
      </c>
      <c r="E2276" s="7" t="n">
        <v>368.61</v>
      </c>
      <c r="F2276" s="7" t="n">
        <v>4</v>
      </c>
      <c r="G2276" s="7" t="n">
        <v>223.4</v>
      </c>
    </row>
    <row r="2277" customFormat="false" ht="15" hidden="false" customHeight="false" outlineLevel="0" collapsed="false">
      <c r="A2277" s="7" t="s">
        <v>24</v>
      </c>
      <c r="B2277" s="7" t="s">
        <v>613</v>
      </c>
      <c r="C2277" s="7" t="s">
        <v>1152</v>
      </c>
      <c r="D2277" s="7" t="n">
        <v>1</v>
      </c>
      <c r="E2277" s="7" t="n">
        <v>44.88</v>
      </c>
      <c r="F2277" s="7" t="n">
        <v>0</v>
      </c>
      <c r="G2277" s="7" t="n">
        <v>0</v>
      </c>
    </row>
    <row r="2278" customFormat="false" ht="15" hidden="false" customHeight="false" outlineLevel="0" collapsed="false">
      <c r="A2278" s="7" t="s">
        <v>24</v>
      </c>
      <c r="B2278" s="7" t="s">
        <v>216</v>
      </c>
      <c r="C2278" s="7" t="s">
        <v>1051</v>
      </c>
      <c r="D2278" s="7" t="n">
        <v>0</v>
      </c>
      <c r="E2278" s="7" t="n">
        <v>0</v>
      </c>
      <c r="F2278" s="7" t="n">
        <v>1</v>
      </c>
      <c r="G2278" s="7" t="n">
        <v>73.14</v>
      </c>
    </row>
    <row r="2279" customFormat="false" ht="15" hidden="false" customHeight="false" outlineLevel="0" collapsed="false">
      <c r="A2279" s="7" t="s">
        <v>24</v>
      </c>
      <c r="B2279" s="7" t="s">
        <v>216</v>
      </c>
      <c r="C2279" s="7" t="s">
        <v>1051</v>
      </c>
      <c r="D2279" s="7" t="n">
        <v>0</v>
      </c>
      <c r="E2279" s="7" t="n">
        <v>0</v>
      </c>
      <c r="F2279" s="7" t="n">
        <v>2</v>
      </c>
      <c r="G2279" s="7" t="n">
        <v>162.54</v>
      </c>
    </row>
    <row r="2280" customFormat="false" ht="15" hidden="false" customHeight="false" outlineLevel="0" collapsed="false">
      <c r="A2280" s="7" t="s">
        <v>24</v>
      </c>
      <c r="B2280" s="7" t="s">
        <v>216</v>
      </c>
      <c r="C2280" s="7" t="s">
        <v>1051</v>
      </c>
      <c r="D2280" s="7" t="n">
        <v>0</v>
      </c>
      <c r="E2280" s="7" t="n">
        <v>0</v>
      </c>
      <c r="F2280" s="7" t="n">
        <v>1</v>
      </c>
      <c r="G2280" s="7" t="n">
        <v>73.14</v>
      </c>
    </row>
    <row r="2281" customFormat="false" ht="15" hidden="false" customHeight="false" outlineLevel="0" collapsed="false">
      <c r="A2281" s="7" t="s">
        <v>24</v>
      </c>
      <c r="B2281" s="7" t="s">
        <v>216</v>
      </c>
      <c r="C2281" s="7" t="s">
        <v>1051</v>
      </c>
      <c r="D2281" s="7" t="n">
        <v>0</v>
      </c>
      <c r="E2281" s="7" t="n">
        <v>0</v>
      </c>
      <c r="F2281" s="7" t="n">
        <v>1</v>
      </c>
      <c r="G2281" s="7" t="n">
        <v>81.27</v>
      </c>
    </row>
    <row r="2282" customFormat="false" ht="15" hidden="false" customHeight="false" outlineLevel="0" collapsed="false">
      <c r="A2282" s="7" t="s">
        <v>24</v>
      </c>
      <c r="B2282" s="7" t="s">
        <v>216</v>
      </c>
      <c r="C2282" s="7" t="s">
        <v>1051</v>
      </c>
      <c r="D2282" s="7" t="n">
        <v>0</v>
      </c>
      <c r="E2282" s="7" t="n">
        <v>0</v>
      </c>
      <c r="F2282" s="7" t="n">
        <v>2</v>
      </c>
      <c r="G2282" s="7" t="n">
        <v>162.54</v>
      </c>
    </row>
    <row r="2283" customFormat="false" ht="15" hidden="false" customHeight="false" outlineLevel="0" collapsed="false">
      <c r="A2283" s="7" t="s">
        <v>24</v>
      </c>
      <c r="B2283" s="7" t="s">
        <v>216</v>
      </c>
      <c r="C2283" s="7" t="s">
        <v>1051</v>
      </c>
      <c r="D2283" s="7" t="n">
        <v>0</v>
      </c>
      <c r="E2283" s="7" t="n">
        <v>0</v>
      </c>
      <c r="F2283" s="7" t="n">
        <v>1</v>
      </c>
      <c r="G2283" s="7" t="n">
        <v>69.09</v>
      </c>
    </row>
    <row r="2284" customFormat="false" ht="15" hidden="false" customHeight="false" outlineLevel="0" collapsed="false">
      <c r="A2284" s="7" t="s">
        <v>24</v>
      </c>
      <c r="B2284" s="7" t="s">
        <v>216</v>
      </c>
      <c r="C2284" s="7" t="s">
        <v>1051</v>
      </c>
      <c r="D2284" s="7" t="n">
        <v>0</v>
      </c>
      <c r="E2284" s="7" t="n">
        <v>0</v>
      </c>
      <c r="F2284" s="7" t="n">
        <v>1</v>
      </c>
      <c r="G2284" s="7" t="n">
        <v>81.27</v>
      </c>
    </row>
    <row r="2285" customFormat="false" ht="15" hidden="false" customHeight="false" outlineLevel="0" collapsed="false">
      <c r="A2285" s="7" t="s">
        <v>24</v>
      </c>
      <c r="B2285" s="7" t="s">
        <v>216</v>
      </c>
      <c r="C2285" s="7" t="s">
        <v>1051</v>
      </c>
      <c r="D2285" s="7" t="n">
        <v>0</v>
      </c>
      <c r="E2285" s="7" t="n">
        <v>0</v>
      </c>
      <c r="F2285" s="7" t="n">
        <v>1</v>
      </c>
      <c r="G2285" s="7" t="n">
        <v>81.28</v>
      </c>
    </row>
    <row r="2286" customFormat="false" ht="15" hidden="false" customHeight="false" outlineLevel="0" collapsed="false">
      <c r="A2286" s="7" t="s">
        <v>24</v>
      </c>
      <c r="B2286" s="7" t="s">
        <v>216</v>
      </c>
      <c r="C2286" s="7" t="s">
        <v>1051</v>
      </c>
      <c r="D2286" s="7" t="n">
        <v>0</v>
      </c>
      <c r="E2286" s="7" t="n">
        <v>0</v>
      </c>
      <c r="F2286" s="7" t="n">
        <v>1</v>
      </c>
      <c r="G2286" s="7" t="n">
        <v>81.27</v>
      </c>
    </row>
    <row r="2287" customFormat="false" ht="15" hidden="false" customHeight="false" outlineLevel="0" collapsed="false">
      <c r="A2287" s="7" t="s">
        <v>24</v>
      </c>
      <c r="B2287" s="7" t="s">
        <v>216</v>
      </c>
      <c r="C2287" s="7" t="s">
        <v>1051</v>
      </c>
      <c r="D2287" s="7" t="n">
        <v>0</v>
      </c>
      <c r="E2287" s="7" t="n">
        <v>0</v>
      </c>
      <c r="F2287" s="7" t="n">
        <v>1</v>
      </c>
      <c r="G2287" s="7" t="n">
        <v>81.28</v>
      </c>
    </row>
    <row r="2288" customFormat="false" ht="15" hidden="false" customHeight="false" outlineLevel="0" collapsed="false">
      <c r="A2288" s="7" t="s">
        <v>24</v>
      </c>
      <c r="B2288" s="7" t="s">
        <v>216</v>
      </c>
      <c r="C2288" s="7" t="s">
        <v>1051</v>
      </c>
      <c r="D2288" s="7" t="n">
        <v>0</v>
      </c>
      <c r="E2288" s="7" t="n">
        <v>0</v>
      </c>
      <c r="F2288" s="7" t="n">
        <v>2</v>
      </c>
      <c r="G2288" s="7" t="n">
        <v>162.55</v>
      </c>
    </row>
    <row r="2289" customFormat="false" ht="15" hidden="false" customHeight="false" outlineLevel="0" collapsed="false">
      <c r="A2289" s="7" t="s">
        <v>24</v>
      </c>
      <c r="B2289" s="7" t="s">
        <v>216</v>
      </c>
      <c r="C2289" s="7" t="s">
        <v>1051</v>
      </c>
      <c r="D2289" s="7" t="n">
        <v>0</v>
      </c>
      <c r="E2289" s="7" t="n">
        <v>0</v>
      </c>
      <c r="F2289" s="7" t="n">
        <v>1</v>
      </c>
      <c r="G2289" s="7" t="n">
        <v>73.14</v>
      </c>
    </row>
    <row r="2290" customFormat="false" ht="15" hidden="false" customHeight="false" outlineLevel="0" collapsed="false">
      <c r="A2290" s="7" t="s">
        <v>24</v>
      </c>
      <c r="B2290" s="7" t="s">
        <v>216</v>
      </c>
      <c r="C2290" s="7" t="s">
        <v>1051</v>
      </c>
      <c r="D2290" s="7" t="n">
        <v>0</v>
      </c>
      <c r="E2290" s="7" t="n">
        <v>0</v>
      </c>
      <c r="F2290" s="7" t="n">
        <v>1</v>
      </c>
      <c r="G2290" s="7" t="n">
        <v>73.15</v>
      </c>
    </row>
    <row r="2291" customFormat="false" ht="15" hidden="false" customHeight="false" outlineLevel="0" collapsed="false">
      <c r="A2291" s="7" t="s">
        <v>24</v>
      </c>
      <c r="B2291" s="7" t="s">
        <v>216</v>
      </c>
      <c r="C2291" s="7" t="s">
        <v>1051</v>
      </c>
      <c r="D2291" s="7" t="n">
        <v>48</v>
      </c>
      <c r="E2291" s="7" t="n">
        <v>3730.29</v>
      </c>
      <c r="F2291" s="7" t="n">
        <v>27</v>
      </c>
      <c r="G2291" s="7" t="n">
        <v>2129.25</v>
      </c>
    </row>
    <row r="2292" customFormat="false" ht="15" hidden="false" customHeight="false" outlineLevel="0" collapsed="false">
      <c r="A2292" s="7" t="s">
        <v>24</v>
      </c>
      <c r="B2292" s="7" t="s">
        <v>216</v>
      </c>
      <c r="C2292" s="7" t="s">
        <v>1051</v>
      </c>
      <c r="D2292" s="7" t="n">
        <v>0</v>
      </c>
      <c r="E2292" s="7" t="n">
        <v>0</v>
      </c>
      <c r="F2292" s="7" t="n">
        <v>2</v>
      </c>
      <c r="G2292" s="7" t="n">
        <v>138.16</v>
      </c>
    </row>
    <row r="2293" customFormat="false" ht="15" hidden="false" customHeight="false" outlineLevel="0" collapsed="false">
      <c r="A2293" s="7" t="s">
        <v>24</v>
      </c>
      <c r="B2293" s="7" t="s">
        <v>216</v>
      </c>
      <c r="C2293" s="7" t="s">
        <v>1051</v>
      </c>
      <c r="D2293" s="7" t="n">
        <v>0</v>
      </c>
      <c r="E2293" s="7" t="n">
        <v>0</v>
      </c>
      <c r="F2293" s="7" t="n">
        <v>2</v>
      </c>
      <c r="G2293" s="7" t="n">
        <v>162.55</v>
      </c>
    </row>
    <row r="2294" customFormat="false" ht="15" hidden="false" customHeight="false" outlineLevel="0" collapsed="false">
      <c r="A2294" s="7" t="s">
        <v>24</v>
      </c>
      <c r="B2294" s="7" t="s">
        <v>216</v>
      </c>
      <c r="C2294" s="7" t="s">
        <v>1051</v>
      </c>
      <c r="D2294" s="7" t="n">
        <v>0</v>
      </c>
      <c r="E2294" s="7" t="n">
        <v>0</v>
      </c>
      <c r="F2294" s="7" t="n">
        <v>1</v>
      </c>
      <c r="G2294" s="7" t="n">
        <v>81.28</v>
      </c>
    </row>
    <row r="2295" customFormat="false" ht="15" hidden="false" customHeight="false" outlineLevel="0" collapsed="false">
      <c r="A2295" s="7" t="s">
        <v>24</v>
      </c>
      <c r="B2295" s="7" t="s">
        <v>216</v>
      </c>
      <c r="C2295" s="7" t="s">
        <v>1051</v>
      </c>
      <c r="D2295" s="7" t="n">
        <v>0</v>
      </c>
      <c r="E2295" s="7" t="n">
        <v>0</v>
      </c>
      <c r="F2295" s="7" t="n">
        <v>1</v>
      </c>
      <c r="G2295" s="7" t="n">
        <v>81.27</v>
      </c>
    </row>
    <row r="2296" customFormat="false" ht="15" hidden="false" customHeight="false" outlineLevel="0" collapsed="false">
      <c r="A2296" s="7" t="s">
        <v>24</v>
      </c>
      <c r="B2296" s="7" t="s">
        <v>216</v>
      </c>
      <c r="C2296" s="7" t="s">
        <v>1051</v>
      </c>
      <c r="D2296" s="7" t="n">
        <v>0</v>
      </c>
      <c r="E2296" s="7" t="n">
        <v>0</v>
      </c>
      <c r="F2296" s="7" t="n">
        <v>1</v>
      </c>
      <c r="G2296" s="7" t="n">
        <v>81.27</v>
      </c>
    </row>
    <row r="2297" customFormat="false" ht="15" hidden="false" customHeight="false" outlineLevel="0" collapsed="false">
      <c r="A2297" s="7" t="s">
        <v>24</v>
      </c>
      <c r="B2297" s="7" t="s">
        <v>216</v>
      </c>
      <c r="C2297" s="7" t="s">
        <v>1051</v>
      </c>
      <c r="D2297" s="7" t="n">
        <v>0</v>
      </c>
      <c r="E2297" s="7" t="n">
        <v>0</v>
      </c>
      <c r="F2297" s="7" t="n">
        <v>1</v>
      </c>
      <c r="G2297" s="7" t="n">
        <v>81.28</v>
      </c>
    </row>
    <row r="2298" customFormat="false" ht="15" hidden="false" customHeight="false" outlineLevel="0" collapsed="false">
      <c r="A2298" s="7" t="s">
        <v>24</v>
      </c>
      <c r="B2298" s="7" t="s">
        <v>216</v>
      </c>
      <c r="C2298" s="7" t="s">
        <v>1051</v>
      </c>
      <c r="D2298" s="7" t="n">
        <v>0</v>
      </c>
      <c r="E2298" s="7" t="n">
        <v>0</v>
      </c>
      <c r="F2298" s="7" t="n">
        <v>1</v>
      </c>
      <c r="G2298" s="7" t="n">
        <v>73.15</v>
      </c>
    </row>
    <row r="2299" customFormat="false" ht="15" hidden="false" customHeight="false" outlineLevel="0" collapsed="false">
      <c r="A2299" s="7" t="s">
        <v>24</v>
      </c>
      <c r="B2299" s="7" t="s">
        <v>216</v>
      </c>
      <c r="C2299" s="7" t="s">
        <v>1051</v>
      </c>
      <c r="D2299" s="7" t="n">
        <v>0</v>
      </c>
      <c r="E2299" s="7" t="n">
        <v>0</v>
      </c>
      <c r="F2299" s="7" t="n">
        <v>2</v>
      </c>
      <c r="G2299" s="7" t="n">
        <v>154.43</v>
      </c>
    </row>
    <row r="2300" customFormat="false" ht="15" hidden="false" customHeight="false" outlineLevel="0" collapsed="false">
      <c r="A2300" s="7" t="s">
        <v>24</v>
      </c>
      <c r="B2300" s="7" t="s">
        <v>216</v>
      </c>
      <c r="C2300" s="7" t="s">
        <v>1051</v>
      </c>
      <c r="D2300" s="7" t="n">
        <v>0</v>
      </c>
      <c r="E2300" s="7" t="n">
        <v>0</v>
      </c>
      <c r="F2300" s="7" t="n">
        <v>1</v>
      </c>
      <c r="G2300" s="7" t="n">
        <v>81.27</v>
      </c>
    </row>
    <row r="2301" customFormat="false" ht="15" hidden="false" customHeight="false" outlineLevel="0" collapsed="false">
      <c r="A2301" s="7" t="s">
        <v>24</v>
      </c>
      <c r="B2301" s="7" t="s">
        <v>216</v>
      </c>
      <c r="C2301" s="7" t="s">
        <v>1051</v>
      </c>
      <c r="D2301" s="7" t="n">
        <v>0</v>
      </c>
      <c r="E2301" s="7" t="n">
        <v>0</v>
      </c>
      <c r="F2301" s="7" t="n">
        <v>1</v>
      </c>
      <c r="G2301" s="7" t="n">
        <v>81.27</v>
      </c>
    </row>
    <row r="2302" customFormat="false" ht="15" hidden="false" customHeight="false" outlineLevel="0" collapsed="false">
      <c r="A2302" s="7" t="s">
        <v>24</v>
      </c>
      <c r="B2302" s="7" t="s">
        <v>216</v>
      </c>
      <c r="C2302" s="7" t="s">
        <v>1051</v>
      </c>
      <c r="D2302" s="7" t="n">
        <v>0</v>
      </c>
      <c r="E2302" s="7" t="n">
        <v>0</v>
      </c>
      <c r="F2302" s="7" t="n">
        <v>1</v>
      </c>
      <c r="G2302" s="7" t="n">
        <v>81.28</v>
      </c>
    </row>
    <row r="2303" customFormat="false" ht="15" hidden="false" customHeight="false" outlineLevel="0" collapsed="false">
      <c r="A2303" s="7" t="s">
        <v>24</v>
      </c>
      <c r="B2303" s="7" t="s">
        <v>216</v>
      </c>
      <c r="C2303" s="7" t="s">
        <v>1051</v>
      </c>
      <c r="D2303" s="7" t="n">
        <v>0</v>
      </c>
      <c r="E2303" s="7" t="n">
        <v>0</v>
      </c>
      <c r="F2303" s="7" t="n">
        <v>3</v>
      </c>
      <c r="G2303" s="7" t="n">
        <v>219.43</v>
      </c>
    </row>
    <row r="2304" customFormat="false" ht="15" hidden="false" customHeight="false" outlineLevel="0" collapsed="false">
      <c r="A2304" s="7" t="s">
        <v>24</v>
      </c>
      <c r="B2304" s="7" t="s">
        <v>216</v>
      </c>
      <c r="C2304" s="7" t="s">
        <v>1051</v>
      </c>
      <c r="D2304" s="7" t="n">
        <v>11</v>
      </c>
      <c r="E2304" s="7" t="n">
        <v>812.68</v>
      </c>
      <c r="F2304" s="7" t="n">
        <v>0</v>
      </c>
      <c r="G2304" s="7" t="n">
        <v>0</v>
      </c>
    </row>
    <row r="2305" customFormat="false" ht="15" hidden="false" customHeight="false" outlineLevel="0" collapsed="false">
      <c r="A2305" s="7" t="s">
        <v>24</v>
      </c>
      <c r="B2305" s="7" t="s">
        <v>216</v>
      </c>
      <c r="C2305" s="7" t="s">
        <v>1051</v>
      </c>
      <c r="D2305" s="7" t="n">
        <v>0</v>
      </c>
      <c r="E2305" s="7" t="n">
        <v>0</v>
      </c>
      <c r="F2305" s="7" t="n">
        <v>2</v>
      </c>
      <c r="G2305" s="7" t="n">
        <v>162.55</v>
      </c>
    </row>
    <row r="2306" customFormat="false" ht="15" hidden="false" customHeight="false" outlineLevel="0" collapsed="false">
      <c r="A2306" s="7" t="s">
        <v>24</v>
      </c>
      <c r="B2306" s="7" t="s">
        <v>216</v>
      </c>
      <c r="C2306" s="7" t="s">
        <v>1051</v>
      </c>
      <c r="D2306" s="7" t="n">
        <v>0</v>
      </c>
      <c r="E2306" s="7" t="n">
        <v>0</v>
      </c>
      <c r="F2306" s="7" t="n">
        <v>1</v>
      </c>
      <c r="G2306" s="7" t="n">
        <v>81.28</v>
      </c>
    </row>
    <row r="2307" customFormat="false" ht="15" hidden="false" customHeight="false" outlineLevel="0" collapsed="false">
      <c r="A2307" s="7" t="s">
        <v>24</v>
      </c>
      <c r="B2307" s="7" t="s">
        <v>216</v>
      </c>
      <c r="C2307" s="7" t="s">
        <v>1051</v>
      </c>
      <c r="D2307" s="7" t="n">
        <v>0</v>
      </c>
      <c r="E2307" s="7" t="n">
        <v>0</v>
      </c>
      <c r="F2307" s="7" t="n">
        <v>1</v>
      </c>
      <c r="G2307" s="7" t="n">
        <v>69.08</v>
      </c>
    </row>
    <row r="2308" customFormat="false" ht="15" hidden="false" customHeight="false" outlineLevel="0" collapsed="false">
      <c r="A2308" s="7" t="s">
        <v>24</v>
      </c>
      <c r="B2308" s="7" t="s">
        <v>216</v>
      </c>
      <c r="C2308" s="7" t="s">
        <v>1051</v>
      </c>
      <c r="D2308" s="7" t="n">
        <v>0</v>
      </c>
      <c r="E2308" s="7" t="n">
        <v>0</v>
      </c>
      <c r="F2308" s="7" t="n">
        <v>3</v>
      </c>
      <c r="G2308" s="7" t="n">
        <v>243.81</v>
      </c>
    </row>
    <row r="2309" customFormat="false" ht="15" hidden="false" customHeight="false" outlineLevel="0" collapsed="false">
      <c r="A2309" s="7" t="s">
        <v>24</v>
      </c>
      <c r="B2309" s="7" t="s">
        <v>216</v>
      </c>
      <c r="C2309" s="7" t="s">
        <v>1051</v>
      </c>
      <c r="D2309" s="7" t="n">
        <v>0</v>
      </c>
      <c r="E2309" s="7" t="n">
        <v>0</v>
      </c>
      <c r="F2309" s="7" t="n">
        <v>2</v>
      </c>
      <c r="G2309" s="7" t="n">
        <v>146.29</v>
      </c>
    </row>
    <row r="2310" customFormat="false" ht="15" hidden="false" customHeight="false" outlineLevel="0" collapsed="false">
      <c r="A2310" s="7" t="s">
        <v>24</v>
      </c>
      <c r="B2310" s="7" t="s">
        <v>216</v>
      </c>
      <c r="C2310" s="7" t="s">
        <v>1051</v>
      </c>
      <c r="D2310" s="7" t="n">
        <v>0</v>
      </c>
      <c r="E2310" s="7" t="n">
        <v>0</v>
      </c>
      <c r="F2310" s="7" t="n">
        <v>2</v>
      </c>
      <c r="G2310" s="7" t="n">
        <v>162.54</v>
      </c>
    </row>
    <row r="2311" customFormat="false" ht="15" hidden="false" customHeight="false" outlineLevel="0" collapsed="false">
      <c r="A2311" s="7" t="s">
        <v>24</v>
      </c>
      <c r="B2311" s="7" t="s">
        <v>216</v>
      </c>
      <c r="C2311" s="7" t="s">
        <v>1051</v>
      </c>
      <c r="D2311" s="7" t="n">
        <v>0</v>
      </c>
      <c r="E2311" s="7" t="n">
        <v>0</v>
      </c>
      <c r="F2311" s="7" t="n">
        <v>1</v>
      </c>
      <c r="G2311" s="7" t="n">
        <v>81.27</v>
      </c>
    </row>
    <row r="2312" customFormat="false" ht="15" hidden="false" customHeight="false" outlineLevel="0" collapsed="false">
      <c r="A2312" s="7" t="s">
        <v>24</v>
      </c>
      <c r="B2312" s="7" t="s">
        <v>216</v>
      </c>
      <c r="C2312" s="7" t="s">
        <v>1051</v>
      </c>
      <c r="D2312" s="7" t="n">
        <v>0</v>
      </c>
      <c r="E2312" s="7" t="n">
        <v>0</v>
      </c>
      <c r="F2312" s="7" t="n">
        <v>1</v>
      </c>
      <c r="G2312" s="7" t="n">
        <v>81.27</v>
      </c>
    </row>
    <row r="2313" customFormat="false" ht="15" hidden="false" customHeight="false" outlineLevel="0" collapsed="false">
      <c r="A2313" s="7" t="s">
        <v>24</v>
      </c>
      <c r="B2313" s="7" t="s">
        <v>216</v>
      </c>
      <c r="C2313" s="7" t="s">
        <v>1051</v>
      </c>
      <c r="D2313" s="7" t="n">
        <v>0</v>
      </c>
      <c r="E2313" s="7" t="n">
        <v>0</v>
      </c>
      <c r="F2313" s="7" t="n">
        <v>1</v>
      </c>
      <c r="G2313" s="7" t="n">
        <v>81.27</v>
      </c>
    </row>
    <row r="2314" customFormat="false" ht="15" hidden="false" customHeight="false" outlineLevel="0" collapsed="false">
      <c r="A2314" s="7" t="s">
        <v>24</v>
      </c>
      <c r="B2314" s="7" t="s">
        <v>216</v>
      </c>
      <c r="C2314" s="7" t="s">
        <v>1051</v>
      </c>
      <c r="D2314" s="7" t="n">
        <v>0</v>
      </c>
      <c r="E2314" s="7" t="n">
        <v>0</v>
      </c>
      <c r="F2314" s="7" t="n">
        <v>1</v>
      </c>
      <c r="G2314" s="7" t="n">
        <v>81.27</v>
      </c>
    </row>
    <row r="2315" customFormat="false" ht="15" hidden="false" customHeight="false" outlineLevel="0" collapsed="false">
      <c r="A2315" s="7" t="s">
        <v>24</v>
      </c>
      <c r="B2315" s="7" t="s">
        <v>216</v>
      </c>
      <c r="C2315" s="7" t="s">
        <v>1051</v>
      </c>
      <c r="D2315" s="7" t="n">
        <v>0</v>
      </c>
      <c r="E2315" s="7" t="n">
        <v>0</v>
      </c>
      <c r="F2315" s="7" t="n">
        <v>2</v>
      </c>
      <c r="G2315" s="7" t="n">
        <v>162.54</v>
      </c>
    </row>
    <row r="2316" customFormat="false" ht="15" hidden="false" customHeight="false" outlineLevel="0" collapsed="false">
      <c r="A2316" s="7" t="s">
        <v>24</v>
      </c>
      <c r="B2316" s="7" t="s">
        <v>216</v>
      </c>
      <c r="C2316" s="7" t="s">
        <v>1051</v>
      </c>
      <c r="D2316" s="7" t="n">
        <v>0</v>
      </c>
      <c r="E2316" s="7" t="n">
        <v>0</v>
      </c>
      <c r="F2316" s="7" t="n">
        <v>1</v>
      </c>
      <c r="G2316" s="7" t="n">
        <v>73.15</v>
      </c>
    </row>
    <row r="2317" customFormat="false" ht="15" hidden="false" customHeight="false" outlineLevel="0" collapsed="false">
      <c r="A2317" s="7" t="s">
        <v>24</v>
      </c>
      <c r="B2317" s="7" t="s">
        <v>125</v>
      </c>
      <c r="C2317" s="7" t="s">
        <v>1052</v>
      </c>
      <c r="D2317" s="7" t="n">
        <v>0</v>
      </c>
      <c r="E2317" s="7" t="n">
        <v>0</v>
      </c>
      <c r="F2317" s="7" t="n">
        <v>1</v>
      </c>
      <c r="G2317" s="7" t="n">
        <v>71.96</v>
      </c>
    </row>
    <row r="2318" customFormat="false" ht="15" hidden="false" customHeight="false" outlineLevel="0" collapsed="false">
      <c r="A2318" s="7" t="s">
        <v>24</v>
      </c>
      <c r="B2318" s="7" t="s">
        <v>125</v>
      </c>
      <c r="C2318" s="7" t="s">
        <v>1052</v>
      </c>
      <c r="D2318" s="7" t="n">
        <v>0</v>
      </c>
      <c r="E2318" s="7" t="n">
        <v>0</v>
      </c>
      <c r="F2318" s="7" t="n">
        <v>2</v>
      </c>
      <c r="G2318" s="7" t="n">
        <v>169.32</v>
      </c>
    </row>
    <row r="2319" customFormat="false" ht="15" hidden="false" customHeight="false" outlineLevel="0" collapsed="false">
      <c r="A2319" s="7" t="s">
        <v>24</v>
      </c>
      <c r="B2319" s="7" t="s">
        <v>125</v>
      </c>
      <c r="C2319" s="7" t="s">
        <v>1052</v>
      </c>
      <c r="D2319" s="7" t="n">
        <v>0</v>
      </c>
      <c r="E2319" s="7" t="n">
        <v>0</v>
      </c>
      <c r="F2319" s="7" t="n">
        <v>1</v>
      </c>
      <c r="G2319" s="7" t="n">
        <v>84.66</v>
      </c>
    </row>
    <row r="2320" customFormat="false" ht="15" hidden="false" customHeight="false" outlineLevel="0" collapsed="false">
      <c r="A2320" s="7" t="s">
        <v>24</v>
      </c>
      <c r="B2320" s="7" t="s">
        <v>125</v>
      </c>
      <c r="C2320" s="7" t="s">
        <v>1052</v>
      </c>
      <c r="D2320" s="7" t="n">
        <v>0</v>
      </c>
      <c r="E2320" s="7" t="n">
        <v>0</v>
      </c>
      <c r="F2320" s="7" t="n">
        <v>1</v>
      </c>
      <c r="G2320" s="7" t="n">
        <v>84.66</v>
      </c>
    </row>
    <row r="2321" customFormat="false" ht="15" hidden="false" customHeight="false" outlineLevel="0" collapsed="false">
      <c r="A2321" s="7" t="s">
        <v>24</v>
      </c>
      <c r="B2321" s="7" t="s">
        <v>125</v>
      </c>
      <c r="C2321" s="7" t="s">
        <v>1052</v>
      </c>
      <c r="D2321" s="7" t="n">
        <v>0</v>
      </c>
      <c r="E2321" s="7" t="n">
        <v>0</v>
      </c>
      <c r="F2321" s="7" t="n">
        <v>2</v>
      </c>
      <c r="G2321" s="7" t="n">
        <v>160.85</v>
      </c>
    </row>
    <row r="2322" customFormat="false" ht="15" hidden="false" customHeight="false" outlineLevel="0" collapsed="false">
      <c r="A2322" s="7" t="s">
        <v>24</v>
      </c>
      <c r="B2322" s="7" t="s">
        <v>125</v>
      </c>
      <c r="C2322" s="7" t="s">
        <v>1052</v>
      </c>
      <c r="D2322" s="7" t="n">
        <v>0</v>
      </c>
      <c r="E2322" s="7" t="n">
        <v>0</v>
      </c>
      <c r="F2322" s="7" t="n">
        <v>1</v>
      </c>
      <c r="G2322" s="7" t="n">
        <v>76.2</v>
      </c>
    </row>
    <row r="2323" customFormat="false" ht="15" hidden="false" customHeight="false" outlineLevel="0" collapsed="false">
      <c r="A2323" s="7" t="s">
        <v>24</v>
      </c>
      <c r="B2323" s="7" t="s">
        <v>125</v>
      </c>
      <c r="C2323" s="7" t="s">
        <v>1052</v>
      </c>
      <c r="D2323" s="7" t="n">
        <v>0</v>
      </c>
      <c r="E2323" s="7" t="n">
        <v>0</v>
      </c>
      <c r="F2323" s="7" t="n">
        <v>1</v>
      </c>
      <c r="G2323" s="7" t="n">
        <v>76.2</v>
      </c>
    </row>
    <row r="2324" customFormat="false" ht="15" hidden="false" customHeight="false" outlineLevel="0" collapsed="false">
      <c r="A2324" s="7" t="s">
        <v>24</v>
      </c>
      <c r="B2324" s="7" t="s">
        <v>125</v>
      </c>
      <c r="C2324" s="7" t="s">
        <v>1052</v>
      </c>
      <c r="D2324" s="7" t="n">
        <v>0</v>
      </c>
      <c r="E2324" s="7" t="n">
        <v>0</v>
      </c>
      <c r="F2324" s="7" t="n">
        <v>1</v>
      </c>
      <c r="G2324" s="7" t="n">
        <v>76.2</v>
      </c>
    </row>
    <row r="2325" customFormat="false" ht="15" hidden="false" customHeight="false" outlineLevel="0" collapsed="false">
      <c r="A2325" s="7" t="s">
        <v>24</v>
      </c>
      <c r="B2325" s="7" t="s">
        <v>125</v>
      </c>
      <c r="C2325" s="7" t="s">
        <v>1052</v>
      </c>
      <c r="D2325" s="7" t="n">
        <v>0</v>
      </c>
      <c r="E2325" s="7" t="n">
        <v>0</v>
      </c>
      <c r="F2325" s="7" t="n">
        <v>1</v>
      </c>
      <c r="G2325" s="7" t="n">
        <v>76.19</v>
      </c>
    </row>
    <row r="2326" customFormat="false" ht="15" hidden="false" customHeight="false" outlineLevel="0" collapsed="false">
      <c r="A2326" s="7" t="s">
        <v>24</v>
      </c>
      <c r="B2326" s="7" t="s">
        <v>125</v>
      </c>
      <c r="C2326" s="7" t="s">
        <v>1052</v>
      </c>
      <c r="D2326" s="7" t="n">
        <v>0</v>
      </c>
      <c r="E2326" s="7" t="n">
        <v>0</v>
      </c>
      <c r="F2326" s="7" t="n">
        <v>1</v>
      </c>
      <c r="G2326" s="7" t="n">
        <v>71.97</v>
      </c>
    </row>
    <row r="2327" customFormat="false" ht="15" hidden="false" customHeight="false" outlineLevel="0" collapsed="false">
      <c r="A2327" s="7" t="s">
        <v>24</v>
      </c>
      <c r="B2327" s="7" t="s">
        <v>125</v>
      </c>
      <c r="C2327" s="7" t="s">
        <v>1052</v>
      </c>
      <c r="D2327" s="7" t="n">
        <v>0</v>
      </c>
      <c r="E2327" s="7" t="n">
        <v>0</v>
      </c>
      <c r="F2327" s="7" t="n">
        <v>1</v>
      </c>
      <c r="G2327" s="7" t="n">
        <v>84.66</v>
      </c>
    </row>
    <row r="2328" customFormat="false" ht="15" hidden="false" customHeight="false" outlineLevel="0" collapsed="false">
      <c r="A2328" s="7" t="s">
        <v>24</v>
      </c>
      <c r="B2328" s="7" t="s">
        <v>125</v>
      </c>
      <c r="C2328" s="7" t="s">
        <v>1052</v>
      </c>
      <c r="D2328" s="7" t="n">
        <v>0</v>
      </c>
      <c r="E2328" s="7" t="n">
        <v>0</v>
      </c>
      <c r="F2328" s="7" t="n">
        <v>1</v>
      </c>
      <c r="G2328" s="7" t="n">
        <v>84.66</v>
      </c>
    </row>
    <row r="2329" customFormat="false" ht="15" hidden="false" customHeight="false" outlineLevel="0" collapsed="false">
      <c r="A2329" s="7" t="s">
        <v>24</v>
      </c>
      <c r="B2329" s="7" t="s">
        <v>125</v>
      </c>
      <c r="C2329" s="7" t="s">
        <v>1052</v>
      </c>
      <c r="D2329" s="7" t="n">
        <v>0</v>
      </c>
      <c r="E2329" s="7" t="n">
        <v>0</v>
      </c>
      <c r="F2329" s="7" t="n">
        <v>1</v>
      </c>
      <c r="G2329" s="7" t="n">
        <v>84.66</v>
      </c>
    </row>
    <row r="2330" customFormat="false" ht="15" hidden="false" customHeight="false" outlineLevel="0" collapsed="false">
      <c r="A2330" s="7" t="s">
        <v>24</v>
      </c>
      <c r="B2330" s="7" t="s">
        <v>125</v>
      </c>
      <c r="C2330" s="7" t="s">
        <v>1052</v>
      </c>
      <c r="D2330" s="7" t="n">
        <v>23</v>
      </c>
      <c r="E2330" s="7" t="n">
        <v>1849.82</v>
      </c>
      <c r="F2330" s="7" t="n">
        <v>34</v>
      </c>
      <c r="G2330" s="7" t="n">
        <v>2819.16</v>
      </c>
    </row>
    <row r="2331" customFormat="false" ht="15" hidden="false" customHeight="false" outlineLevel="0" collapsed="false">
      <c r="A2331" s="7" t="s">
        <v>24</v>
      </c>
      <c r="B2331" s="7" t="s">
        <v>125</v>
      </c>
      <c r="C2331" s="7" t="s">
        <v>1052</v>
      </c>
      <c r="D2331" s="7" t="n">
        <v>0</v>
      </c>
      <c r="E2331" s="7" t="n">
        <v>0</v>
      </c>
      <c r="F2331" s="7" t="n">
        <v>2</v>
      </c>
      <c r="G2331" s="7" t="n">
        <v>143.94</v>
      </c>
    </row>
    <row r="2332" customFormat="false" ht="15" hidden="false" customHeight="false" outlineLevel="0" collapsed="false">
      <c r="A2332" s="7" t="s">
        <v>24</v>
      </c>
      <c r="B2332" s="7" t="s">
        <v>125</v>
      </c>
      <c r="C2332" s="7" t="s">
        <v>1052</v>
      </c>
      <c r="D2332" s="7" t="n">
        <v>0</v>
      </c>
      <c r="E2332" s="7" t="n">
        <v>0</v>
      </c>
      <c r="F2332" s="7" t="n">
        <v>1</v>
      </c>
      <c r="G2332" s="7" t="n">
        <v>84.66</v>
      </c>
    </row>
    <row r="2333" customFormat="false" ht="15" hidden="false" customHeight="false" outlineLevel="0" collapsed="false">
      <c r="A2333" s="7" t="s">
        <v>24</v>
      </c>
      <c r="B2333" s="7" t="s">
        <v>125</v>
      </c>
      <c r="C2333" s="7" t="s">
        <v>1052</v>
      </c>
      <c r="D2333" s="7" t="n">
        <v>0</v>
      </c>
      <c r="E2333" s="7" t="n">
        <v>0</v>
      </c>
      <c r="F2333" s="7" t="n">
        <v>2</v>
      </c>
      <c r="G2333" s="7" t="n">
        <v>152.39</v>
      </c>
    </row>
    <row r="2334" customFormat="false" ht="15" hidden="false" customHeight="false" outlineLevel="0" collapsed="false">
      <c r="A2334" s="7" t="s">
        <v>24</v>
      </c>
      <c r="B2334" s="7" t="s">
        <v>125</v>
      </c>
      <c r="C2334" s="7" t="s">
        <v>1052</v>
      </c>
      <c r="D2334" s="7" t="n">
        <v>0</v>
      </c>
      <c r="E2334" s="7" t="n">
        <v>0</v>
      </c>
      <c r="F2334" s="7" t="n">
        <v>3</v>
      </c>
      <c r="G2334" s="7" t="n">
        <v>253.98</v>
      </c>
    </row>
    <row r="2335" customFormat="false" ht="15" hidden="false" customHeight="false" outlineLevel="0" collapsed="false">
      <c r="A2335" s="7" t="s">
        <v>24</v>
      </c>
      <c r="B2335" s="7" t="s">
        <v>125</v>
      </c>
      <c r="C2335" s="7" t="s">
        <v>1052</v>
      </c>
      <c r="D2335" s="7" t="n">
        <v>0</v>
      </c>
      <c r="E2335" s="7" t="n">
        <v>0</v>
      </c>
      <c r="F2335" s="7" t="n">
        <v>1</v>
      </c>
      <c r="G2335" s="7" t="n">
        <v>76.2</v>
      </c>
    </row>
    <row r="2336" customFormat="false" ht="15" hidden="false" customHeight="false" outlineLevel="0" collapsed="false">
      <c r="A2336" s="7" t="s">
        <v>24</v>
      </c>
      <c r="B2336" s="7" t="s">
        <v>125</v>
      </c>
      <c r="C2336" s="7" t="s">
        <v>1052</v>
      </c>
      <c r="D2336" s="7" t="n">
        <v>0</v>
      </c>
      <c r="E2336" s="7" t="n">
        <v>0</v>
      </c>
      <c r="F2336" s="7" t="n">
        <v>1</v>
      </c>
      <c r="G2336" s="7" t="n">
        <v>84.66</v>
      </c>
    </row>
    <row r="2337" customFormat="false" ht="15" hidden="false" customHeight="false" outlineLevel="0" collapsed="false">
      <c r="A2337" s="7" t="s">
        <v>24</v>
      </c>
      <c r="B2337" s="7" t="s">
        <v>125</v>
      </c>
      <c r="C2337" s="7" t="s">
        <v>1052</v>
      </c>
      <c r="D2337" s="7" t="n">
        <v>0</v>
      </c>
      <c r="E2337" s="7" t="n">
        <v>0</v>
      </c>
      <c r="F2337" s="7" t="n">
        <v>1</v>
      </c>
      <c r="G2337" s="7" t="n">
        <v>76.2</v>
      </c>
    </row>
    <row r="2338" customFormat="false" ht="15" hidden="false" customHeight="false" outlineLevel="0" collapsed="false">
      <c r="A2338" s="7" t="s">
        <v>24</v>
      </c>
      <c r="B2338" s="7" t="s">
        <v>125</v>
      </c>
      <c r="C2338" s="7" t="s">
        <v>1052</v>
      </c>
      <c r="D2338" s="7" t="n">
        <v>0</v>
      </c>
      <c r="E2338" s="7" t="n">
        <v>0</v>
      </c>
      <c r="F2338" s="7" t="n">
        <v>1</v>
      </c>
      <c r="G2338" s="7" t="n">
        <v>84.66</v>
      </c>
    </row>
    <row r="2339" customFormat="false" ht="15" hidden="false" customHeight="false" outlineLevel="0" collapsed="false">
      <c r="A2339" s="7" t="s">
        <v>24</v>
      </c>
      <c r="B2339" s="7" t="s">
        <v>125</v>
      </c>
      <c r="C2339" s="7" t="s">
        <v>1052</v>
      </c>
      <c r="D2339" s="7" t="n">
        <v>0</v>
      </c>
      <c r="E2339" s="7" t="n">
        <v>0</v>
      </c>
      <c r="F2339" s="7" t="n">
        <v>2</v>
      </c>
      <c r="G2339" s="7" t="n">
        <v>169.32</v>
      </c>
    </row>
    <row r="2340" customFormat="false" ht="15" hidden="false" customHeight="false" outlineLevel="0" collapsed="false">
      <c r="A2340" s="7" t="s">
        <v>24</v>
      </c>
      <c r="B2340" s="7" t="s">
        <v>125</v>
      </c>
      <c r="C2340" s="7" t="s">
        <v>1052</v>
      </c>
      <c r="D2340" s="7" t="n">
        <v>0</v>
      </c>
      <c r="E2340" s="7" t="n">
        <v>0</v>
      </c>
      <c r="F2340" s="7" t="n">
        <v>1</v>
      </c>
      <c r="G2340" s="7" t="n">
        <v>84.66</v>
      </c>
    </row>
    <row r="2341" customFormat="false" ht="15" hidden="false" customHeight="false" outlineLevel="0" collapsed="false">
      <c r="A2341" s="7" t="s">
        <v>24</v>
      </c>
      <c r="B2341" s="7" t="s">
        <v>125</v>
      </c>
      <c r="C2341" s="7" t="s">
        <v>1052</v>
      </c>
      <c r="D2341" s="7" t="n">
        <v>6</v>
      </c>
      <c r="E2341" s="7" t="n">
        <v>451.05</v>
      </c>
      <c r="F2341" s="7" t="n">
        <v>0</v>
      </c>
      <c r="G2341" s="7" t="n">
        <v>0</v>
      </c>
    </row>
    <row r="2342" customFormat="false" ht="15" hidden="false" customHeight="false" outlineLevel="0" collapsed="false">
      <c r="A2342" s="7" t="s">
        <v>24</v>
      </c>
      <c r="B2342" s="7" t="s">
        <v>125</v>
      </c>
      <c r="C2342" s="7" t="s">
        <v>1052</v>
      </c>
      <c r="D2342" s="7" t="n">
        <v>0</v>
      </c>
      <c r="E2342" s="7" t="n">
        <v>0</v>
      </c>
      <c r="F2342" s="7" t="n">
        <v>1</v>
      </c>
      <c r="G2342" s="7" t="n">
        <v>84.66</v>
      </c>
    </row>
    <row r="2343" customFormat="false" ht="15" hidden="false" customHeight="false" outlineLevel="0" collapsed="false">
      <c r="A2343" s="7" t="s">
        <v>24</v>
      </c>
      <c r="B2343" s="7" t="s">
        <v>125</v>
      </c>
      <c r="C2343" s="7" t="s">
        <v>1052</v>
      </c>
      <c r="D2343" s="7" t="n">
        <v>0</v>
      </c>
      <c r="E2343" s="7" t="n">
        <v>0</v>
      </c>
      <c r="F2343" s="7" t="n">
        <v>3</v>
      </c>
      <c r="G2343" s="7" t="n">
        <v>253.98</v>
      </c>
    </row>
    <row r="2344" customFormat="false" ht="15" hidden="false" customHeight="false" outlineLevel="0" collapsed="false">
      <c r="A2344" s="7" t="s">
        <v>24</v>
      </c>
      <c r="B2344" s="7" t="s">
        <v>125</v>
      </c>
      <c r="C2344" s="7" t="s">
        <v>1052</v>
      </c>
      <c r="D2344" s="7" t="n">
        <v>0</v>
      </c>
      <c r="E2344" s="7" t="n">
        <v>0</v>
      </c>
      <c r="F2344" s="7" t="n">
        <v>4</v>
      </c>
      <c r="G2344" s="7" t="n">
        <v>338.64</v>
      </c>
    </row>
    <row r="2345" customFormat="false" ht="15" hidden="false" customHeight="false" outlineLevel="0" collapsed="false">
      <c r="A2345" s="7" t="s">
        <v>24</v>
      </c>
      <c r="B2345" s="7" t="s">
        <v>125</v>
      </c>
      <c r="C2345" s="7" t="s">
        <v>1052</v>
      </c>
      <c r="D2345" s="7" t="n">
        <v>0</v>
      </c>
      <c r="E2345" s="7" t="n">
        <v>0</v>
      </c>
      <c r="F2345" s="7" t="n">
        <v>1</v>
      </c>
      <c r="G2345" s="7" t="n">
        <v>84.66</v>
      </c>
    </row>
    <row r="2346" customFormat="false" ht="15" hidden="false" customHeight="false" outlineLevel="0" collapsed="false">
      <c r="A2346" s="7" t="s">
        <v>24</v>
      </c>
      <c r="B2346" s="7" t="s">
        <v>125</v>
      </c>
      <c r="C2346" s="7" t="s">
        <v>1052</v>
      </c>
      <c r="D2346" s="7" t="n">
        <v>0</v>
      </c>
      <c r="E2346" s="7" t="n">
        <v>0</v>
      </c>
      <c r="F2346" s="7" t="n">
        <v>1</v>
      </c>
      <c r="G2346" s="7" t="n">
        <v>84.66</v>
      </c>
    </row>
    <row r="2347" customFormat="false" ht="15" hidden="false" customHeight="false" outlineLevel="0" collapsed="false">
      <c r="A2347" s="7" t="s">
        <v>24</v>
      </c>
      <c r="B2347" s="7" t="s">
        <v>125</v>
      </c>
      <c r="C2347" s="7" t="s">
        <v>1052</v>
      </c>
      <c r="D2347" s="7" t="n">
        <v>0</v>
      </c>
      <c r="E2347" s="7" t="n">
        <v>0</v>
      </c>
      <c r="F2347" s="7" t="n">
        <v>1</v>
      </c>
      <c r="G2347" s="7" t="n">
        <v>84.66</v>
      </c>
    </row>
    <row r="2348" customFormat="false" ht="15" hidden="false" customHeight="false" outlineLevel="0" collapsed="false">
      <c r="A2348" s="7" t="s">
        <v>24</v>
      </c>
      <c r="B2348" s="7" t="s">
        <v>125</v>
      </c>
      <c r="C2348" s="7" t="s">
        <v>1052</v>
      </c>
      <c r="D2348" s="7" t="n">
        <v>0</v>
      </c>
      <c r="E2348" s="7" t="n">
        <v>0</v>
      </c>
      <c r="F2348" s="7" t="n">
        <v>2</v>
      </c>
      <c r="G2348" s="7" t="n">
        <v>169.32</v>
      </c>
    </row>
    <row r="2349" customFormat="false" ht="15" hidden="false" customHeight="false" outlineLevel="0" collapsed="false">
      <c r="A2349" s="7" t="s">
        <v>24</v>
      </c>
      <c r="B2349" s="7" t="s">
        <v>125</v>
      </c>
      <c r="C2349" s="7" t="s">
        <v>1052</v>
      </c>
      <c r="D2349" s="7" t="n">
        <v>0</v>
      </c>
      <c r="E2349" s="7" t="n">
        <v>0</v>
      </c>
      <c r="F2349" s="7" t="n">
        <v>2</v>
      </c>
      <c r="G2349" s="7" t="n">
        <v>169.32</v>
      </c>
    </row>
    <row r="2350" customFormat="false" ht="15" hidden="false" customHeight="false" outlineLevel="0" collapsed="false">
      <c r="A2350" s="7" t="s">
        <v>24</v>
      </c>
      <c r="B2350" s="7" t="s">
        <v>125</v>
      </c>
      <c r="C2350" s="7" t="s">
        <v>1052</v>
      </c>
      <c r="D2350" s="7" t="n">
        <v>0</v>
      </c>
      <c r="E2350" s="7" t="n">
        <v>0</v>
      </c>
      <c r="F2350" s="7" t="n">
        <v>1</v>
      </c>
      <c r="G2350" s="7" t="n">
        <v>84.65</v>
      </c>
    </row>
    <row r="2351" customFormat="false" ht="15" hidden="false" customHeight="false" outlineLevel="0" collapsed="false">
      <c r="A2351" s="7" t="s">
        <v>24</v>
      </c>
      <c r="B2351" s="7" t="s">
        <v>125</v>
      </c>
      <c r="C2351" s="7" t="s">
        <v>1052</v>
      </c>
      <c r="D2351" s="7" t="n">
        <v>0</v>
      </c>
      <c r="E2351" s="7" t="n">
        <v>0</v>
      </c>
      <c r="F2351" s="7" t="n">
        <v>1</v>
      </c>
      <c r="G2351" s="7" t="n">
        <v>84.66</v>
      </c>
    </row>
    <row r="2352" customFormat="false" ht="15" hidden="false" customHeight="false" outlineLevel="0" collapsed="false">
      <c r="A2352" s="7" t="s">
        <v>24</v>
      </c>
      <c r="B2352" s="7" t="s">
        <v>125</v>
      </c>
      <c r="C2352" s="7" t="s">
        <v>1052</v>
      </c>
      <c r="D2352" s="7" t="n">
        <v>0</v>
      </c>
      <c r="E2352" s="7" t="n">
        <v>0</v>
      </c>
      <c r="F2352" s="7" t="n">
        <v>1</v>
      </c>
      <c r="G2352" s="7" t="n">
        <v>71.96</v>
      </c>
    </row>
    <row r="2353" customFormat="false" ht="15" hidden="false" customHeight="false" outlineLevel="0" collapsed="false">
      <c r="A2353" s="7" t="s">
        <v>24</v>
      </c>
      <c r="B2353" s="7" t="s">
        <v>125</v>
      </c>
      <c r="C2353" s="7" t="s">
        <v>1052</v>
      </c>
      <c r="D2353" s="7" t="n">
        <v>0</v>
      </c>
      <c r="E2353" s="7" t="n">
        <v>0</v>
      </c>
      <c r="F2353" s="7" t="n">
        <v>2</v>
      </c>
      <c r="G2353" s="7" t="n">
        <v>169.32</v>
      </c>
    </row>
    <row r="2354" customFormat="false" ht="15" hidden="false" customHeight="false" outlineLevel="0" collapsed="false">
      <c r="A2354" s="7" t="s">
        <v>24</v>
      </c>
      <c r="B2354" s="7" t="s">
        <v>125</v>
      </c>
      <c r="C2354" s="7" t="s">
        <v>1052</v>
      </c>
      <c r="D2354" s="7" t="n">
        <v>0</v>
      </c>
      <c r="E2354" s="7" t="n">
        <v>0</v>
      </c>
      <c r="F2354" s="7" t="n">
        <v>4</v>
      </c>
      <c r="G2354" s="7" t="n">
        <v>330.17</v>
      </c>
    </row>
    <row r="2355" customFormat="false" ht="15" hidden="false" customHeight="false" outlineLevel="0" collapsed="false">
      <c r="A2355" s="7" t="s">
        <v>24</v>
      </c>
      <c r="B2355" s="7" t="s">
        <v>125</v>
      </c>
      <c r="C2355" s="7" t="s">
        <v>1052</v>
      </c>
      <c r="D2355" s="7" t="n">
        <v>0</v>
      </c>
      <c r="E2355" s="7" t="n">
        <v>0</v>
      </c>
      <c r="F2355" s="7" t="n">
        <v>1</v>
      </c>
      <c r="G2355" s="7" t="n">
        <v>76.2</v>
      </c>
    </row>
    <row r="2356" customFormat="false" ht="15" hidden="false" customHeight="false" outlineLevel="0" collapsed="false">
      <c r="A2356" s="7" t="s">
        <v>24</v>
      </c>
      <c r="B2356" s="7" t="s">
        <v>125</v>
      </c>
      <c r="C2356" s="7" t="s">
        <v>1052</v>
      </c>
      <c r="D2356" s="7" t="n">
        <v>0</v>
      </c>
      <c r="E2356" s="7" t="n">
        <v>0</v>
      </c>
      <c r="F2356" s="7" t="n">
        <v>2</v>
      </c>
      <c r="G2356" s="7" t="n">
        <v>169.32</v>
      </c>
    </row>
    <row r="2357" customFormat="false" ht="15" hidden="false" customHeight="false" outlineLevel="0" collapsed="false">
      <c r="A2357" s="7" t="s">
        <v>24</v>
      </c>
      <c r="B2357" s="7" t="s">
        <v>125</v>
      </c>
      <c r="C2357" s="7" t="s">
        <v>1052</v>
      </c>
      <c r="D2357" s="7" t="n">
        <v>0</v>
      </c>
      <c r="E2357" s="7" t="n">
        <v>0</v>
      </c>
      <c r="F2357" s="7" t="n">
        <v>1</v>
      </c>
      <c r="G2357" s="7" t="n">
        <v>84.66</v>
      </c>
    </row>
    <row r="2358" customFormat="false" ht="15" hidden="false" customHeight="false" outlineLevel="0" collapsed="false">
      <c r="A2358" s="7" t="s">
        <v>24</v>
      </c>
      <c r="B2358" s="7" t="s">
        <v>125</v>
      </c>
      <c r="C2358" s="7" t="s">
        <v>1052</v>
      </c>
      <c r="D2358" s="7" t="n">
        <v>0</v>
      </c>
      <c r="E2358" s="7" t="n">
        <v>0</v>
      </c>
      <c r="F2358" s="7" t="n">
        <v>2</v>
      </c>
      <c r="G2358" s="7" t="n">
        <v>169.32</v>
      </c>
    </row>
    <row r="2359" customFormat="false" ht="15" hidden="false" customHeight="false" outlineLevel="0" collapsed="false">
      <c r="A2359" s="7" t="s">
        <v>24</v>
      </c>
      <c r="B2359" s="7" t="s">
        <v>125</v>
      </c>
      <c r="C2359" s="7" t="s">
        <v>1052</v>
      </c>
      <c r="D2359" s="7" t="n">
        <v>0</v>
      </c>
      <c r="E2359" s="7" t="n">
        <v>0</v>
      </c>
      <c r="F2359" s="7" t="n">
        <v>1</v>
      </c>
      <c r="G2359" s="7" t="n">
        <v>84.66</v>
      </c>
    </row>
    <row r="2360" customFormat="false" ht="15" hidden="false" customHeight="false" outlineLevel="0" collapsed="false">
      <c r="A2360" s="7" t="s">
        <v>24</v>
      </c>
      <c r="B2360" s="7" t="s">
        <v>125</v>
      </c>
      <c r="C2360" s="7" t="s">
        <v>1052</v>
      </c>
      <c r="D2360" s="7" t="n">
        <v>0</v>
      </c>
      <c r="E2360" s="7" t="n">
        <v>0</v>
      </c>
      <c r="F2360" s="7" t="n">
        <v>2</v>
      </c>
      <c r="G2360" s="7" t="n">
        <v>143.94</v>
      </c>
    </row>
    <row r="2361" customFormat="false" ht="15" hidden="false" customHeight="false" outlineLevel="0" collapsed="false">
      <c r="A2361" s="7" t="s">
        <v>24</v>
      </c>
      <c r="B2361" s="7" t="s">
        <v>125</v>
      </c>
      <c r="C2361" s="7" t="s">
        <v>1052</v>
      </c>
      <c r="D2361" s="7" t="n">
        <v>0</v>
      </c>
      <c r="E2361" s="7" t="n">
        <v>0</v>
      </c>
      <c r="F2361" s="7" t="n">
        <v>1</v>
      </c>
      <c r="G2361" s="7" t="n">
        <v>84.66</v>
      </c>
    </row>
    <row r="2362" customFormat="false" ht="15" hidden="false" customHeight="false" outlineLevel="0" collapsed="false">
      <c r="A2362" s="7" t="s">
        <v>24</v>
      </c>
      <c r="B2362" s="7" t="s">
        <v>125</v>
      </c>
      <c r="C2362" s="7" t="s">
        <v>1052</v>
      </c>
      <c r="D2362" s="7" t="n">
        <v>0</v>
      </c>
      <c r="E2362" s="7" t="n">
        <v>0</v>
      </c>
      <c r="F2362" s="7" t="n">
        <v>1</v>
      </c>
      <c r="G2362" s="7" t="n">
        <v>84.66</v>
      </c>
    </row>
    <row r="2363" customFormat="false" ht="15" hidden="false" customHeight="false" outlineLevel="0" collapsed="false">
      <c r="A2363" s="7" t="s">
        <v>24</v>
      </c>
      <c r="B2363" s="7" t="s">
        <v>125</v>
      </c>
      <c r="C2363" s="7" t="s">
        <v>1052</v>
      </c>
      <c r="D2363" s="7" t="n">
        <v>0</v>
      </c>
      <c r="E2363" s="7" t="n">
        <v>0</v>
      </c>
      <c r="F2363" s="7" t="n">
        <v>3</v>
      </c>
      <c r="G2363" s="7" t="n">
        <v>253.99</v>
      </c>
    </row>
    <row r="2364" customFormat="false" ht="15" hidden="false" customHeight="false" outlineLevel="0" collapsed="false">
      <c r="A2364" s="7" t="s">
        <v>24</v>
      </c>
      <c r="B2364" s="7" t="s">
        <v>125</v>
      </c>
      <c r="C2364" s="7" t="s">
        <v>1052</v>
      </c>
      <c r="D2364" s="7" t="n">
        <v>0</v>
      </c>
      <c r="E2364" s="7" t="n">
        <v>0</v>
      </c>
      <c r="F2364" s="7" t="n">
        <v>1</v>
      </c>
      <c r="G2364" s="7" t="n">
        <v>84.66</v>
      </c>
    </row>
    <row r="2365" customFormat="false" ht="15" hidden="false" customHeight="false" outlineLevel="0" collapsed="false">
      <c r="A2365" s="7" t="s">
        <v>24</v>
      </c>
      <c r="B2365" s="7" t="s">
        <v>125</v>
      </c>
      <c r="C2365" s="7" t="s">
        <v>1052</v>
      </c>
      <c r="D2365" s="7" t="n">
        <v>0</v>
      </c>
      <c r="E2365" s="7" t="n">
        <v>0</v>
      </c>
      <c r="F2365" s="7" t="n">
        <v>1</v>
      </c>
      <c r="G2365" s="7" t="n">
        <v>84.66</v>
      </c>
    </row>
    <row r="2366" customFormat="false" ht="15" hidden="false" customHeight="false" outlineLevel="0" collapsed="false">
      <c r="A2366" s="7" t="s">
        <v>24</v>
      </c>
      <c r="B2366" s="7" t="s">
        <v>125</v>
      </c>
      <c r="C2366" s="7" t="s">
        <v>1052</v>
      </c>
      <c r="D2366" s="7" t="n">
        <v>0</v>
      </c>
      <c r="E2366" s="7" t="n">
        <v>0</v>
      </c>
      <c r="F2366" s="7" t="n">
        <v>1</v>
      </c>
      <c r="G2366" s="7" t="n">
        <v>84.66</v>
      </c>
    </row>
    <row r="2367" customFormat="false" ht="15" hidden="false" customHeight="false" outlineLevel="0" collapsed="false">
      <c r="A2367" s="7" t="s">
        <v>24</v>
      </c>
      <c r="B2367" s="7" t="s">
        <v>125</v>
      </c>
      <c r="C2367" s="7" t="s">
        <v>1052</v>
      </c>
      <c r="D2367" s="7" t="n">
        <v>0</v>
      </c>
      <c r="E2367" s="7" t="n">
        <v>0</v>
      </c>
      <c r="F2367" s="7" t="n">
        <v>1</v>
      </c>
      <c r="G2367" s="7" t="n">
        <v>84.66</v>
      </c>
    </row>
    <row r="2368" customFormat="false" ht="15" hidden="false" customHeight="false" outlineLevel="0" collapsed="false">
      <c r="A2368" s="7" t="s">
        <v>24</v>
      </c>
      <c r="B2368" s="7" t="s">
        <v>125</v>
      </c>
      <c r="C2368" s="7" t="s">
        <v>1052</v>
      </c>
      <c r="D2368" s="7" t="n">
        <v>0</v>
      </c>
      <c r="E2368" s="7" t="n">
        <v>0</v>
      </c>
      <c r="F2368" s="7" t="n">
        <v>3</v>
      </c>
      <c r="G2368" s="7" t="n">
        <v>253.98</v>
      </c>
    </row>
    <row r="2369" customFormat="false" ht="15" hidden="false" customHeight="false" outlineLevel="0" collapsed="false">
      <c r="A2369" s="7" t="s">
        <v>24</v>
      </c>
      <c r="B2369" s="7" t="s">
        <v>639</v>
      </c>
      <c r="C2369" s="7" t="s">
        <v>1224</v>
      </c>
      <c r="D2369" s="7" t="n">
        <v>18</v>
      </c>
      <c r="E2369" s="7" t="n">
        <v>1926.4</v>
      </c>
      <c r="F2369" s="7" t="n">
        <v>12</v>
      </c>
      <c r="G2369" s="7" t="n">
        <v>1309.95</v>
      </c>
    </row>
    <row r="2370" customFormat="false" ht="15" hidden="false" customHeight="false" outlineLevel="0" collapsed="false">
      <c r="A2370" s="7" t="s">
        <v>24</v>
      </c>
      <c r="B2370" s="7" t="s">
        <v>639</v>
      </c>
      <c r="C2370" s="7" t="s">
        <v>1224</v>
      </c>
      <c r="D2370" s="7" t="n">
        <v>0</v>
      </c>
      <c r="E2370" s="7" t="n">
        <v>0</v>
      </c>
      <c r="F2370" s="7" t="n">
        <v>2</v>
      </c>
      <c r="G2370" s="7" t="n">
        <v>220.17</v>
      </c>
    </row>
    <row r="2371" customFormat="false" ht="15" hidden="false" customHeight="false" outlineLevel="0" collapsed="false">
      <c r="A2371" s="7" t="s">
        <v>24</v>
      </c>
      <c r="B2371" s="7" t="s">
        <v>639</v>
      </c>
      <c r="C2371" s="7" t="s">
        <v>1224</v>
      </c>
      <c r="D2371" s="7" t="n">
        <v>0</v>
      </c>
      <c r="E2371" s="7" t="n">
        <v>0</v>
      </c>
      <c r="F2371" s="7" t="n">
        <v>1</v>
      </c>
      <c r="G2371" s="7" t="n">
        <v>110.09</v>
      </c>
    </row>
    <row r="2372" customFormat="false" ht="15" hidden="false" customHeight="false" outlineLevel="0" collapsed="false">
      <c r="A2372" s="7" t="s">
        <v>24</v>
      </c>
      <c r="B2372" s="7" t="s">
        <v>639</v>
      </c>
      <c r="C2372" s="7" t="s">
        <v>1224</v>
      </c>
      <c r="D2372" s="7" t="n">
        <v>0</v>
      </c>
      <c r="E2372" s="7" t="n">
        <v>0</v>
      </c>
      <c r="F2372" s="7" t="n">
        <v>2</v>
      </c>
      <c r="G2372" s="7" t="n">
        <v>203.65</v>
      </c>
    </row>
    <row r="2373" customFormat="false" ht="15" hidden="false" customHeight="false" outlineLevel="0" collapsed="false">
      <c r="A2373" s="7" t="s">
        <v>24</v>
      </c>
      <c r="B2373" s="7" t="s">
        <v>639</v>
      </c>
      <c r="C2373" s="7" t="s">
        <v>1224</v>
      </c>
      <c r="D2373" s="7" t="n">
        <v>5</v>
      </c>
      <c r="E2373" s="7" t="n">
        <v>493.17</v>
      </c>
      <c r="F2373" s="7" t="n">
        <v>0</v>
      </c>
      <c r="G2373" s="7" t="n">
        <v>0</v>
      </c>
    </row>
    <row r="2374" customFormat="false" ht="15" hidden="false" customHeight="false" outlineLevel="0" collapsed="false">
      <c r="A2374" s="7" t="s">
        <v>24</v>
      </c>
      <c r="B2374" s="7" t="s">
        <v>639</v>
      </c>
      <c r="C2374" s="7" t="s">
        <v>1224</v>
      </c>
      <c r="D2374" s="7" t="n">
        <v>0</v>
      </c>
      <c r="E2374" s="7" t="n">
        <v>0</v>
      </c>
      <c r="F2374" s="7" t="n">
        <v>1</v>
      </c>
      <c r="G2374" s="7" t="n">
        <v>99.07</v>
      </c>
    </row>
    <row r="2375" customFormat="false" ht="15" hidden="false" customHeight="false" outlineLevel="0" collapsed="false">
      <c r="A2375" s="7" t="s">
        <v>24</v>
      </c>
      <c r="B2375" s="7" t="s">
        <v>639</v>
      </c>
      <c r="C2375" s="7" t="s">
        <v>1224</v>
      </c>
      <c r="D2375" s="7" t="n">
        <v>0</v>
      </c>
      <c r="E2375" s="7" t="n">
        <v>0</v>
      </c>
      <c r="F2375" s="7" t="n">
        <v>1</v>
      </c>
      <c r="G2375" s="7" t="n">
        <v>99.08</v>
      </c>
    </row>
    <row r="2376" customFormat="false" ht="15" hidden="false" customHeight="false" outlineLevel="0" collapsed="false">
      <c r="A2376" s="7" t="s">
        <v>24</v>
      </c>
      <c r="B2376" s="7" t="s">
        <v>639</v>
      </c>
      <c r="C2376" s="7" t="s">
        <v>1224</v>
      </c>
      <c r="D2376" s="7" t="n">
        <v>0</v>
      </c>
      <c r="E2376" s="7" t="n">
        <v>0</v>
      </c>
      <c r="F2376" s="7" t="n">
        <v>1</v>
      </c>
      <c r="G2376" s="7" t="n">
        <v>99.08</v>
      </c>
    </row>
    <row r="2377" customFormat="false" ht="15" hidden="false" customHeight="false" outlineLevel="0" collapsed="false">
      <c r="A2377" s="7" t="s">
        <v>24</v>
      </c>
      <c r="B2377" s="7" t="s">
        <v>639</v>
      </c>
      <c r="C2377" s="7" t="s">
        <v>1224</v>
      </c>
      <c r="D2377" s="7" t="n">
        <v>0</v>
      </c>
      <c r="E2377" s="7" t="n">
        <v>0</v>
      </c>
      <c r="F2377" s="7" t="n">
        <v>1</v>
      </c>
      <c r="G2377" s="7" t="n">
        <v>110.09</v>
      </c>
    </row>
    <row r="2378" customFormat="false" ht="15" hidden="false" customHeight="false" outlineLevel="0" collapsed="false">
      <c r="A2378" s="7" t="s">
        <v>24</v>
      </c>
      <c r="B2378" s="7" t="s">
        <v>639</v>
      </c>
      <c r="C2378" s="7" t="s">
        <v>1224</v>
      </c>
      <c r="D2378" s="7" t="n">
        <v>0</v>
      </c>
      <c r="E2378" s="7" t="n">
        <v>0</v>
      </c>
      <c r="F2378" s="7" t="n">
        <v>1</v>
      </c>
      <c r="G2378" s="7" t="n">
        <v>110.08</v>
      </c>
    </row>
    <row r="2379" customFormat="false" ht="15" hidden="false" customHeight="false" outlineLevel="0" collapsed="false">
      <c r="A2379" s="7" t="s">
        <v>24</v>
      </c>
      <c r="B2379" s="7" t="s">
        <v>639</v>
      </c>
      <c r="C2379" s="7" t="s">
        <v>1224</v>
      </c>
      <c r="D2379" s="7" t="n">
        <v>0</v>
      </c>
      <c r="E2379" s="7" t="n">
        <v>0</v>
      </c>
      <c r="F2379" s="7" t="n">
        <v>1</v>
      </c>
      <c r="G2379" s="7" t="n">
        <v>110.09</v>
      </c>
    </row>
    <row r="2380" customFormat="false" ht="15" hidden="false" customHeight="false" outlineLevel="0" collapsed="false">
      <c r="A2380" s="7" t="s">
        <v>24</v>
      </c>
      <c r="B2380" s="7" t="s">
        <v>639</v>
      </c>
      <c r="C2380" s="7" t="s">
        <v>1224</v>
      </c>
      <c r="D2380" s="7" t="n">
        <v>0</v>
      </c>
      <c r="E2380" s="7" t="n">
        <v>0</v>
      </c>
      <c r="F2380" s="7" t="n">
        <v>1</v>
      </c>
      <c r="G2380" s="7" t="n">
        <v>110.09</v>
      </c>
    </row>
    <row r="2381" customFormat="false" ht="15" hidden="false" customHeight="false" outlineLevel="0" collapsed="false">
      <c r="A2381" s="7" t="s">
        <v>24</v>
      </c>
      <c r="B2381" s="7" t="s">
        <v>159</v>
      </c>
      <c r="C2381" s="7" t="s">
        <v>1087</v>
      </c>
      <c r="D2381" s="7" t="n">
        <v>0</v>
      </c>
      <c r="E2381" s="7" t="n">
        <v>0</v>
      </c>
      <c r="F2381" s="7" t="n">
        <v>1</v>
      </c>
      <c r="G2381" s="7" t="n">
        <v>49.5</v>
      </c>
    </row>
    <row r="2382" customFormat="false" ht="15" hidden="false" customHeight="false" outlineLevel="0" collapsed="false">
      <c r="A2382" s="7" t="s">
        <v>24</v>
      </c>
      <c r="B2382" s="7" t="s">
        <v>159</v>
      </c>
      <c r="C2382" s="7" t="s">
        <v>1087</v>
      </c>
      <c r="D2382" s="7" t="n">
        <v>0</v>
      </c>
      <c r="E2382" s="7" t="n">
        <v>0</v>
      </c>
      <c r="F2382" s="7" t="n">
        <v>1</v>
      </c>
      <c r="G2382" s="7" t="n">
        <v>49.5</v>
      </c>
    </row>
    <row r="2383" customFormat="false" ht="15" hidden="false" customHeight="false" outlineLevel="0" collapsed="false">
      <c r="A2383" s="7" t="s">
        <v>24</v>
      </c>
      <c r="B2383" s="7" t="s">
        <v>159</v>
      </c>
      <c r="C2383" s="7" t="s">
        <v>1087</v>
      </c>
      <c r="D2383" s="7" t="n">
        <v>0</v>
      </c>
      <c r="E2383" s="7" t="n">
        <v>0</v>
      </c>
      <c r="F2383" s="7" t="n">
        <v>1</v>
      </c>
      <c r="G2383" s="7" t="n">
        <v>49.5</v>
      </c>
    </row>
    <row r="2384" customFormat="false" ht="15" hidden="false" customHeight="false" outlineLevel="0" collapsed="false">
      <c r="A2384" s="7" t="s">
        <v>24</v>
      </c>
      <c r="B2384" s="7" t="s">
        <v>159</v>
      </c>
      <c r="C2384" s="7" t="s">
        <v>1087</v>
      </c>
      <c r="D2384" s="7" t="n">
        <v>0</v>
      </c>
      <c r="E2384" s="7" t="n">
        <v>0</v>
      </c>
      <c r="F2384" s="7" t="n">
        <v>1</v>
      </c>
      <c r="G2384" s="7" t="n">
        <v>55.01</v>
      </c>
    </row>
    <row r="2385" customFormat="false" ht="15" hidden="false" customHeight="false" outlineLevel="0" collapsed="false">
      <c r="A2385" s="7" t="s">
        <v>24</v>
      </c>
      <c r="B2385" s="7" t="s">
        <v>159</v>
      </c>
      <c r="C2385" s="7" t="s">
        <v>1087</v>
      </c>
      <c r="D2385" s="7" t="n">
        <v>0</v>
      </c>
      <c r="E2385" s="7" t="n">
        <v>0</v>
      </c>
      <c r="F2385" s="7" t="n">
        <v>1</v>
      </c>
      <c r="G2385" s="7" t="n">
        <v>55</v>
      </c>
    </row>
    <row r="2386" customFormat="false" ht="15" hidden="false" customHeight="false" outlineLevel="0" collapsed="false">
      <c r="A2386" s="7" t="s">
        <v>24</v>
      </c>
      <c r="B2386" s="7" t="s">
        <v>159</v>
      </c>
      <c r="C2386" s="7" t="s">
        <v>1087</v>
      </c>
      <c r="D2386" s="7" t="n">
        <v>0</v>
      </c>
      <c r="E2386" s="7" t="n">
        <v>0</v>
      </c>
      <c r="F2386" s="7" t="n">
        <v>2</v>
      </c>
      <c r="G2386" s="7" t="n">
        <v>110</v>
      </c>
    </row>
    <row r="2387" customFormat="false" ht="15" hidden="false" customHeight="false" outlineLevel="0" collapsed="false">
      <c r="A2387" s="7" t="s">
        <v>24</v>
      </c>
      <c r="B2387" s="7" t="s">
        <v>159</v>
      </c>
      <c r="C2387" s="7" t="s">
        <v>1087</v>
      </c>
      <c r="D2387" s="7" t="n">
        <v>0</v>
      </c>
      <c r="E2387" s="7" t="n">
        <v>0</v>
      </c>
      <c r="F2387" s="7" t="n">
        <v>1</v>
      </c>
      <c r="G2387" s="7" t="n">
        <v>55</v>
      </c>
    </row>
    <row r="2388" customFormat="false" ht="15" hidden="false" customHeight="false" outlineLevel="0" collapsed="false">
      <c r="A2388" s="7" t="s">
        <v>24</v>
      </c>
      <c r="B2388" s="7" t="s">
        <v>159</v>
      </c>
      <c r="C2388" s="7" t="s">
        <v>1087</v>
      </c>
      <c r="D2388" s="7" t="n">
        <v>0</v>
      </c>
      <c r="E2388" s="7" t="n">
        <v>0</v>
      </c>
      <c r="F2388" s="7" t="n">
        <v>1</v>
      </c>
      <c r="G2388" s="7" t="n">
        <v>46.75</v>
      </c>
    </row>
    <row r="2389" customFormat="false" ht="15" hidden="false" customHeight="false" outlineLevel="0" collapsed="false">
      <c r="A2389" s="7" t="s">
        <v>24</v>
      </c>
      <c r="B2389" s="7" t="s">
        <v>159</v>
      </c>
      <c r="C2389" s="7" t="s">
        <v>1087</v>
      </c>
      <c r="D2389" s="7" t="n">
        <v>0</v>
      </c>
      <c r="E2389" s="7" t="n">
        <v>0</v>
      </c>
      <c r="F2389" s="7" t="n">
        <v>1</v>
      </c>
      <c r="G2389" s="7" t="n">
        <v>55</v>
      </c>
    </row>
    <row r="2390" customFormat="false" ht="15" hidden="false" customHeight="false" outlineLevel="0" collapsed="false">
      <c r="A2390" s="7" t="s">
        <v>24</v>
      </c>
      <c r="B2390" s="7" t="s">
        <v>159</v>
      </c>
      <c r="C2390" s="7" t="s">
        <v>1087</v>
      </c>
      <c r="D2390" s="7" t="n">
        <v>0</v>
      </c>
      <c r="E2390" s="7" t="n">
        <v>0</v>
      </c>
      <c r="F2390" s="7" t="n">
        <v>1</v>
      </c>
      <c r="G2390" s="7" t="n">
        <v>46.75</v>
      </c>
    </row>
    <row r="2391" customFormat="false" ht="15" hidden="false" customHeight="false" outlineLevel="0" collapsed="false">
      <c r="A2391" s="7" t="s">
        <v>24</v>
      </c>
      <c r="B2391" s="7" t="s">
        <v>159</v>
      </c>
      <c r="C2391" s="7" t="s">
        <v>1087</v>
      </c>
      <c r="D2391" s="7" t="n">
        <v>0</v>
      </c>
      <c r="E2391" s="7" t="n">
        <v>0</v>
      </c>
      <c r="F2391" s="7" t="n">
        <v>1</v>
      </c>
      <c r="G2391" s="7" t="n">
        <v>54.99</v>
      </c>
    </row>
    <row r="2392" customFormat="false" ht="15" hidden="false" customHeight="false" outlineLevel="0" collapsed="false">
      <c r="A2392" s="7" t="s">
        <v>24</v>
      </c>
      <c r="B2392" s="7" t="s">
        <v>159</v>
      </c>
      <c r="C2392" s="7" t="s">
        <v>1087</v>
      </c>
      <c r="D2392" s="7" t="n">
        <v>0</v>
      </c>
      <c r="E2392" s="7" t="n">
        <v>0</v>
      </c>
      <c r="F2392" s="7" t="n">
        <v>1</v>
      </c>
      <c r="G2392" s="7" t="n">
        <v>46.76</v>
      </c>
    </row>
    <row r="2393" customFormat="false" ht="15" hidden="false" customHeight="false" outlineLevel="0" collapsed="false">
      <c r="A2393" s="7" t="s">
        <v>24</v>
      </c>
      <c r="B2393" s="7" t="s">
        <v>159</v>
      </c>
      <c r="C2393" s="7" t="s">
        <v>1087</v>
      </c>
      <c r="D2393" s="7" t="n">
        <v>0</v>
      </c>
      <c r="E2393" s="7" t="n">
        <v>0</v>
      </c>
      <c r="F2393" s="7" t="n">
        <v>10</v>
      </c>
      <c r="G2393" s="7" t="n">
        <v>511.51</v>
      </c>
    </row>
    <row r="2394" customFormat="false" ht="15" hidden="false" customHeight="false" outlineLevel="0" collapsed="false">
      <c r="A2394" s="7" t="s">
        <v>24</v>
      </c>
      <c r="B2394" s="7" t="s">
        <v>159</v>
      </c>
      <c r="C2394" s="7" t="s">
        <v>1087</v>
      </c>
      <c r="D2394" s="7" t="n">
        <v>0</v>
      </c>
      <c r="E2394" s="7" t="n">
        <v>0</v>
      </c>
      <c r="F2394" s="7" t="n">
        <v>2</v>
      </c>
      <c r="G2394" s="7" t="n">
        <v>110</v>
      </c>
    </row>
    <row r="2395" customFormat="false" ht="15" hidden="false" customHeight="false" outlineLevel="0" collapsed="false">
      <c r="A2395" s="7" t="s">
        <v>24</v>
      </c>
      <c r="B2395" s="7" t="s">
        <v>159</v>
      </c>
      <c r="C2395" s="7" t="s">
        <v>1087</v>
      </c>
      <c r="D2395" s="7" t="n">
        <v>0</v>
      </c>
      <c r="E2395" s="7" t="n">
        <v>0</v>
      </c>
      <c r="F2395" s="7" t="n">
        <v>1</v>
      </c>
      <c r="G2395" s="7" t="n">
        <v>55</v>
      </c>
    </row>
    <row r="2396" customFormat="false" ht="15" hidden="false" customHeight="false" outlineLevel="0" collapsed="false">
      <c r="A2396" s="7" t="s">
        <v>24</v>
      </c>
      <c r="B2396" s="7" t="s">
        <v>159</v>
      </c>
      <c r="C2396" s="7" t="s">
        <v>1087</v>
      </c>
      <c r="D2396" s="7" t="n">
        <v>43</v>
      </c>
      <c r="E2396" s="7" t="n">
        <v>2106.5</v>
      </c>
      <c r="F2396" s="7" t="n">
        <v>45</v>
      </c>
      <c r="G2396" s="7" t="n">
        <v>2408.99</v>
      </c>
    </row>
    <row r="2397" customFormat="false" ht="15" hidden="false" customHeight="false" outlineLevel="0" collapsed="false">
      <c r="A2397" s="7" t="s">
        <v>24</v>
      </c>
      <c r="B2397" s="7" t="s">
        <v>159</v>
      </c>
      <c r="C2397" s="7" t="s">
        <v>1087</v>
      </c>
      <c r="D2397" s="7" t="n">
        <v>0</v>
      </c>
      <c r="E2397" s="7" t="n">
        <v>0</v>
      </c>
      <c r="F2397" s="7" t="n">
        <v>1</v>
      </c>
      <c r="G2397" s="7" t="n">
        <v>54.99</v>
      </c>
    </row>
    <row r="2398" customFormat="false" ht="15" hidden="false" customHeight="false" outlineLevel="0" collapsed="false">
      <c r="A2398" s="7" t="s">
        <v>24</v>
      </c>
      <c r="B2398" s="7" t="s">
        <v>159</v>
      </c>
      <c r="C2398" s="7" t="s">
        <v>1087</v>
      </c>
      <c r="D2398" s="7" t="n">
        <v>0</v>
      </c>
      <c r="E2398" s="7" t="n">
        <v>0</v>
      </c>
      <c r="F2398" s="7" t="n">
        <v>4</v>
      </c>
      <c r="G2398" s="7" t="n">
        <v>220</v>
      </c>
    </row>
    <row r="2399" customFormat="false" ht="15" hidden="false" customHeight="false" outlineLevel="0" collapsed="false">
      <c r="A2399" s="7" t="s">
        <v>24</v>
      </c>
      <c r="B2399" s="7" t="s">
        <v>159</v>
      </c>
      <c r="C2399" s="7" t="s">
        <v>1087</v>
      </c>
      <c r="D2399" s="7" t="n">
        <v>0</v>
      </c>
      <c r="E2399" s="7" t="n">
        <v>0</v>
      </c>
      <c r="F2399" s="7" t="n">
        <v>1</v>
      </c>
      <c r="G2399" s="7" t="n">
        <v>49.5</v>
      </c>
    </row>
    <row r="2400" customFormat="false" ht="15" hidden="false" customHeight="false" outlineLevel="0" collapsed="false">
      <c r="A2400" s="7" t="s">
        <v>24</v>
      </c>
      <c r="B2400" s="7" t="s">
        <v>159</v>
      </c>
      <c r="C2400" s="7" t="s">
        <v>1087</v>
      </c>
      <c r="D2400" s="7" t="n">
        <v>10</v>
      </c>
      <c r="E2400" s="7" t="n">
        <v>446.54</v>
      </c>
      <c r="F2400" s="7" t="n">
        <v>0</v>
      </c>
      <c r="G2400" s="7" t="n">
        <v>0</v>
      </c>
    </row>
    <row r="2401" customFormat="false" ht="15" hidden="false" customHeight="false" outlineLevel="0" collapsed="false">
      <c r="A2401" s="7" t="s">
        <v>24</v>
      </c>
      <c r="B2401" s="7" t="s">
        <v>159</v>
      </c>
      <c r="C2401" s="7" t="s">
        <v>1087</v>
      </c>
      <c r="D2401" s="7" t="n">
        <v>0</v>
      </c>
      <c r="E2401" s="7" t="n">
        <v>0</v>
      </c>
      <c r="F2401" s="7" t="n">
        <v>2</v>
      </c>
      <c r="G2401" s="7" t="n">
        <v>110</v>
      </c>
    </row>
    <row r="2402" customFormat="false" ht="15" hidden="false" customHeight="false" outlineLevel="0" collapsed="false">
      <c r="A2402" s="7" t="s">
        <v>24</v>
      </c>
      <c r="B2402" s="7" t="s">
        <v>159</v>
      </c>
      <c r="C2402" s="7" t="s">
        <v>1087</v>
      </c>
      <c r="D2402" s="7" t="n">
        <v>0</v>
      </c>
      <c r="E2402" s="7" t="n">
        <v>0</v>
      </c>
      <c r="F2402" s="7" t="n">
        <v>2</v>
      </c>
      <c r="G2402" s="7" t="n">
        <v>110</v>
      </c>
    </row>
    <row r="2403" customFormat="false" ht="15" hidden="false" customHeight="false" outlineLevel="0" collapsed="false">
      <c r="A2403" s="7" t="s">
        <v>24</v>
      </c>
      <c r="B2403" s="7" t="s">
        <v>159</v>
      </c>
      <c r="C2403" s="7" t="s">
        <v>1087</v>
      </c>
      <c r="D2403" s="7" t="n">
        <v>0</v>
      </c>
      <c r="E2403" s="7" t="n">
        <v>0</v>
      </c>
      <c r="F2403" s="7" t="n">
        <v>1</v>
      </c>
      <c r="G2403" s="7" t="n">
        <v>55</v>
      </c>
    </row>
    <row r="2404" customFormat="false" ht="15" hidden="false" customHeight="false" outlineLevel="0" collapsed="false">
      <c r="A2404" s="7" t="s">
        <v>24</v>
      </c>
      <c r="B2404" s="7" t="s">
        <v>159</v>
      </c>
      <c r="C2404" s="7" t="s">
        <v>1087</v>
      </c>
      <c r="D2404" s="7" t="n">
        <v>0</v>
      </c>
      <c r="E2404" s="7" t="n">
        <v>0</v>
      </c>
      <c r="F2404" s="7" t="n">
        <v>1</v>
      </c>
      <c r="G2404" s="7" t="n">
        <v>55</v>
      </c>
    </row>
    <row r="2405" customFormat="false" ht="15" hidden="false" customHeight="false" outlineLevel="0" collapsed="false">
      <c r="A2405" s="7" t="s">
        <v>24</v>
      </c>
      <c r="B2405" s="7" t="s">
        <v>159</v>
      </c>
      <c r="C2405" s="7" t="s">
        <v>1087</v>
      </c>
      <c r="D2405" s="7" t="n">
        <v>0</v>
      </c>
      <c r="E2405" s="7" t="n">
        <v>0</v>
      </c>
      <c r="F2405" s="7" t="n">
        <v>1</v>
      </c>
      <c r="G2405" s="7" t="n">
        <v>46.75</v>
      </c>
    </row>
    <row r="2406" customFormat="false" ht="15" hidden="false" customHeight="false" outlineLevel="0" collapsed="false">
      <c r="A2406" s="7" t="s">
        <v>24</v>
      </c>
      <c r="B2406" s="7" t="s">
        <v>159</v>
      </c>
      <c r="C2406" s="7" t="s">
        <v>1087</v>
      </c>
      <c r="D2406" s="7" t="n">
        <v>0</v>
      </c>
      <c r="E2406" s="7" t="n">
        <v>0</v>
      </c>
      <c r="F2406" s="7" t="n">
        <v>3</v>
      </c>
      <c r="G2406" s="7" t="n">
        <v>165</v>
      </c>
    </row>
    <row r="2407" customFormat="false" ht="15" hidden="false" customHeight="false" outlineLevel="0" collapsed="false">
      <c r="A2407" s="7" t="s">
        <v>24</v>
      </c>
      <c r="B2407" s="7" t="s">
        <v>159</v>
      </c>
      <c r="C2407" s="7" t="s">
        <v>1087</v>
      </c>
      <c r="D2407" s="7" t="n">
        <v>0</v>
      </c>
      <c r="E2407" s="7" t="n">
        <v>0</v>
      </c>
      <c r="F2407" s="7" t="n">
        <v>2</v>
      </c>
      <c r="G2407" s="7" t="n">
        <v>110</v>
      </c>
    </row>
    <row r="2408" customFormat="false" ht="15" hidden="false" customHeight="false" outlineLevel="0" collapsed="false">
      <c r="A2408" s="7" t="s">
        <v>24</v>
      </c>
      <c r="B2408" s="7" t="s">
        <v>159</v>
      </c>
      <c r="C2408" s="7" t="s">
        <v>1087</v>
      </c>
      <c r="D2408" s="7" t="n">
        <v>0</v>
      </c>
      <c r="E2408" s="7" t="n">
        <v>0</v>
      </c>
      <c r="F2408" s="7" t="n">
        <v>1</v>
      </c>
      <c r="G2408" s="7" t="n">
        <v>49.5</v>
      </c>
    </row>
    <row r="2409" customFormat="false" ht="15" hidden="false" customHeight="false" outlineLevel="0" collapsed="false">
      <c r="A2409" s="7" t="s">
        <v>24</v>
      </c>
      <c r="B2409" s="7" t="s">
        <v>159</v>
      </c>
      <c r="C2409" s="7" t="s">
        <v>1087</v>
      </c>
      <c r="D2409" s="7" t="n">
        <v>0</v>
      </c>
      <c r="E2409" s="7" t="n">
        <v>0</v>
      </c>
      <c r="F2409" s="7" t="n">
        <v>1</v>
      </c>
      <c r="G2409" s="7" t="n">
        <v>49.5</v>
      </c>
    </row>
    <row r="2410" customFormat="false" ht="15" hidden="false" customHeight="false" outlineLevel="0" collapsed="false">
      <c r="A2410" s="7" t="s">
        <v>24</v>
      </c>
      <c r="B2410" s="7" t="s">
        <v>159</v>
      </c>
      <c r="C2410" s="7" t="s">
        <v>1087</v>
      </c>
      <c r="D2410" s="7" t="n">
        <v>0</v>
      </c>
      <c r="E2410" s="7" t="n">
        <v>0</v>
      </c>
      <c r="F2410" s="7" t="n">
        <v>1</v>
      </c>
      <c r="G2410" s="7" t="n">
        <v>55</v>
      </c>
    </row>
    <row r="2411" customFormat="false" ht="15" hidden="false" customHeight="false" outlineLevel="0" collapsed="false">
      <c r="A2411" s="7" t="s">
        <v>24</v>
      </c>
      <c r="B2411" s="7" t="s">
        <v>159</v>
      </c>
      <c r="C2411" s="7" t="s">
        <v>1087</v>
      </c>
      <c r="D2411" s="7" t="n">
        <v>0</v>
      </c>
      <c r="E2411" s="7" t="n">
        <v>0</v>
      </c>
      <c r="F2411" s="7" t="n">
        <v>1</v>
      </c>
      <c r="G2411" s="7" t="n">
        <v>49.5</v>
      </c>
    </row>
    <row r="2412" customFormat="false" ht="15" hidden="false" customHeight="false" outlineLevel="0" collapsed="false">
      <c r="A2412" s="7" t="s">
        <v>24</v>
      </c>
      <c r="B2412" s="7" t="s">
        <v>159</v>
      </c>
      <c r="C2412" s="7" t="s">
        <v>1087</v>
      </c>
      <c r="D2412" s="7" t="n">
        <v>0</v>
      </c>
      <c r="E2412" s="7" t="n">
        <v>0</v>
      </c>
      <c r="F2412" s="7" t="n">
        <v>1</v>
      </c>
      <c r="G2412" s="7" t="n">
        <v>49.5</v>
      </c>
    </row>
    <row r="2413" customFormat="false" ht="15" hidden="false" customHeight="false" outlineLevel="0" collapsed="false">
      <c r="A2413" s="7" t="s">
        <v>24</v>
      </c>
      <c r="B2413" s="7" t="s">
        <v>159</v>
      </c>
      <c r="C2413" s="7" t="s">
        <v>1087</v>
      </c>
      <c r="D2413" s="7" t="n">
        <v>0</v>
      </c>
      <c r="E2413" s="7" t="n">
        <v>0</v>
      </c>
      <c r="F2413" s="7" t="n">
        <v>2</v>
      </c>
      <c r="G2413" s="7" t="n">
        <v>110</v>
      </c>
    </row>
    <row r="2414" customFormat="false" ht="15" hidden="false" customHeight="false" outlineLevel="0" collapsed="false">
      <c r="A2414" s="7" t="s">
        <v>24</v>
      </c>
      <c r="B2414" s="7" t="s">
        <v>159</v>
      </c>
      <c r="C2414" s="7" t="s">
        <v>1087</v>
      </c>
      <c r="D2414" s="7" t="n">
        <v>0</v>
      </c>
      <c r="E2414" s="7" t="n">
        <v>0</v>
      </c>
      <c r="F2414" s="7" t="n">
        <v>1</v>
      </c>
      <c r="G2414" s="7" t="n">
        <v>54.99</v>
      </c>
    </row>
    <row r="2415" customFormat="false" ht="15" hidden="false" customHeight="false" outlineLevel="0" collapsed="false">
      <c r="A2415" s="7" t="s">
        <v>24</v>
      </c>
      <c r="B2415" s="7" t="s">
        <v>159</v>
      </c>
      <c r="C2415" s="7" t="s">
        <v>1087</v>
      </c>
      <c r="D2415" s="7" t="n">
        <v>0</v>
      </c>
      <c r="E2415" s="7" t="n">
        <v>0</v>
      </c>
      <c r="F2415" s="7" t="n">
        <v>1</v>
      </c>
      <c r="G2415" s="7" t="n">
        <v>55</v>
      </c>
    </row>
    <row r="2416" customFormat="false" ht="15" hidden="false" customHeight="false" outlineLevel="0" collapsed="false">
      <c r="A2416" s="7" t="s">
        <v>24</v>
      </c>
      <c r="B2416" s="7" t="s">
        <v>159</v>
      </c>
      <c r="C2416" s="7" t="s">
        <v>1087</v>
      </c>
      <c r="D2416" s="7" t="n">
        <v>0</v>
      </c>
      <c r="E2416" s="7" t="n">
        <v>0</v>
      </c>
      <c r="F2416" s="7" t="n">
        <v>2</v>
      </c>
      <c r="G2416" s="7" t="n">
        <v>110</v>
      </c>
    </row>
    <row r="2417" customFormat="false" ht="15" hidden="false" customHeight="false" outlineLevel="0" collapsed="false">
      <c r="A2417" s="7" t="s">
        <v>24</v>
      </c>
      <c r="B2417" s="7" t="s">
        <v>159</v>
      </c>
      <c r="C2417" s="7" t="s">
        <v>1087</v>
      </c>
      <c r="D2417" s="7" t="n">
        <v>0</v>
      </c>
      <c r="E2417" s="7" t="n">
        <v>0</v>
      </c>
      <c r="F2417" s="7" t="n">
        <v>1</v>
      </c>
      <c r="G2417" s="7" t="n">
        <v>55</v>
      </c>
    </row>
    <row r="2418" customFormat="false" ht="15" hidden="false" customHeight="false" outlineLevel="0" collapsed="false">
      <c r="A2418" s="7" t="s">
        <v>24</v>
      </c>
      <c r="B2418" s="7" t="s">
        <v>377</v>
      </c>
      <c r="C2418" s="7" t="s">
        <v>1225</v>
      </c>
      <c r="D2418" s="7" t="n">
        <v>0</v>
      </c>
      <c r="E2418" s="7" t="n">
        <v>0</v>
      </c>
      <c r="F2418" s="7" t="n">
        <v>3</v>
      </c>
      <c r="G2418" s="7" t="n">
        <v>159.96</v>
      </c>
    </row>
    <row r="2419" customFormat="false" ht="15" hidden="false" customHeight="false" outlineLevel="0" collapsed="false">
      <c r="A2419" s="7" t="s">
        <v>24</v>
      </c>
      <c r="B2419" s="7" t="s">
        <v>377</v>
      </c>
      <c r="C2419" s="7" t="s">
        <v>1225</v>
      </c>
      <c r="D2419" s="7" t="n">
        <v>0</v>
      </c>
      <c r="E2419" s="7" t="n">
        <v>0</v>
      </c>
      <c r="F2419" s="7" t="n">
        <v>5</v>
      </c>
      <c r="G2419" s="7" t="n">
        <v>266.57</v>
      </c>
    </row>
    <row r="2420" customFormat="false" ht="15" hidden="false" customHeight="false" outlineLevel="0" collapsed="false">
      <c r="A2420" s="7" t="s">
        <v>24</v>
      </c>
      <c r="B2420" s="7" t="s">
        <v>377</v>
      </c>
      <c r="C2420" s="7" t="s">
        <v>1225</v>
      </c>
      <c r="D2420" s="7" t="n">
        <v>0</v>
      </c>
      <c r="E2420" s="7" t="n">
        <v>0</v>
      </c>
      <c r="F2420" s="7" t="n">
        <v>1</v>
      </c>
      <c r="G2420" s="7" t="n">
        <v>59.24</v>
      </c>
    </row>
    <row r="2421" customFormat="false" ht="15" hidden="false" customHeight="false" outlineLevel="0" collapsed="false">
      <c r="A2421" s="7" t="s">
        <v>24</v>
      </c>
      <c r="B2421" s="7" t="s">
        <v>377</v>
      </c>
      <c r="C2421" s="7" t="s">
        <v>1225</v>
      </c>
      <c r="D2421" s="7" t="n">
        <v>0</v>
      </c>
      <c r="E2421" s="7" t="n">
        <v>0</v>
      </c>
      <c r="F2421" s="7" t="n">
        <v>1</v>
      </c>
      <c r="G2421" s="7" t="n">
        <v>59.24</v>
      </c>
    </row>
    <row r="2422" customFormat="false" ht="15" hidden="false" customHeight="false" outlineLevel="0" collapsed="false">
      <c r="A2422" s="7" t="s">
        <v>24</v>
      </c>
      <c r="B2422" s="7" t="s">
        <v>377</v>
      </c>
      <c r="C2422" s="7" t="s">
        <v>1225</v>
      </c>
      <c r="D2422" s="7" t="n">
        <v>4</v>
      </c>
      <c r="E2422" s="7" t="n">
        <v>226.76</v>
      </c>
      <c r="F2422" s="7" t="n">
        <v>0</v>
      </c>
      <c r="G2422" s="7" t="n">
        <v>0</v>
      </c>
    </row>
    <row r="2423" customFormat="false" ht="15" hidden="false" customHeight="false" outlineLevel="0" collapsed="false">
      <c r="A2423" s="7" t="s">
        <v>24</v>
      </c>
      <c r="B2423" s="7" t="s">
        <v>377</v>
      </c>
      <c r="C2423" s="7" t="s">
        <v>1225</v>
      </c>
      <c r="D2423" s="7" t="n">
        <v>0</v>
      </c>
      <c r="E2423" s="7" t="n">
        <v>0</v>
      </c>
      <c r="F2423" s="7" t="n">
        <v>2</v>
      </c>
      <c r="G2423" s="7" t="n">
        <v>118.47</v>
      </c>
    </row>
    <row r="2424" customFormat="false" ht="15" hidden="false" customHeight="false" outlineLevel="0" collapsed="false">
      <c r="A2424" s="7" t="s">
        <v>24</v>
      </c>
      <c r="B2424" s="7" t="s">
        <v>377</v>
      </c>
      <c r="C2424" s="7" t="s">
        <v>1225</v>
      </c>
      <c r="D2424" s="7" t="n">
        <v>17</v>
      </c>
      <c r="E2424" s="7" t="n">
        <v>995.23</v>
      </c>
      <c r="F2424" s="7" t="n">
        <v>15</v>
      </c>
      <c r="G2424" s="7" t="n">
        <v>858.97</v>
      </c>
    </row>
    <row r="2425" customFormat="false" ht="15" hidden="false" customHeight="false" outlineLevel="0" collapsed="false">
      <c r="A2425" s="7" t="s">
        <v>24</v>
      </c>
      <c r="B2425" s="7" t="s">
        <v>377</v>
      </c>
      <c r="C2425" s="7" t="s">
        <v>1225</v>
      </c>
      <c r="D2425" s="7" t="n">
        <v>0</v>
      </c>
      <c r="E2425" s="7" t="n">
        <v>0</v>
      </c>
      <c r="F2425" s="7" t="n">
        <v>1</v>
      </c>
      <c r="G2425" s="7" t="n">
        <v>53.32</v>
      </c>
    </row>
    <row r="2426" customFormat="false" ht="15" hidden="false" customHeight="false" outlineLevel="0" collapsed="false">
      <c r="A2426" s="7" t="s">
        <v>24</v>
      </c>
      <c r="B2426" s="7" t="s">
        <v>377</v>
      </c>
      <c r="C2426" s="7" t="s">
        <v>1225</v>
      </c>
      <c r="D2426" s="7" t="n">
        <v>0</v>
      </c>
      <c r="E2426" s="7" t="n">
        <v>0</v>
      </c>
      <c r="F2426" s="7" t="n">
        <v>2</v>
      </c>
      <c r="G2426" s="7" t="n">
        <v>106.62</v>
      </c>
    </row>
    <row r="2427" customFormat="false" ht="15" hidden="false" customHeight="false" outlineLevel="0" collapsed="false">
      <c r="A2427" s="7" t="s">
        <v>24</v>
      </c>
      <c r="B2427" s="7" t="s">
        <v>377</v>
      </c>
      <c r="C2427" s="7" t="s">
        <v>1225</v>
      </c>
      <c r="D2427" s="7" t="n">
        <v>0</v>
      </c>
      <c r="E2427" s="7" t="n">
        <v>0</v>
      </c>
      <c r="F2427" s="7" t="n">
        <v>1</v>
      </c>
      <c r="G2427" s="7" t="n">
        <v>59.24</v>
      </c>
    </row>
    <row r="2428" customFormat="false" ht="15" hidden="false" customHeight="false" outlineLevel="0" collapsed="false">
      <c r="A2428" s="7" t="s">
        <v>24</v>
      </c>
      <c r="B2428" s="7" t="s">
        <v>377</v>
      </c>
      <c r="C2428" s="7" t="s">
        <v>1225</v>
      </c>
      <c r="D2428" s="7" t="n">
        <v>0</v>
      </c>
      <c r="E2428" s="7" t="n">
        <v>0</v>
      </c>
      <c r="F2428" s="7" t="n">
        <v>1</v>
      </c>
      <c r="G2428" s="7" t="n">
        <v>59.24</v>
      </c>
    </row>
    <row r="2429" customFormat="false" ht="15" hidden="false" customHeight="false" outlineLevel="0" collapsed="false">
      <c r="A2429" s="7" t="s">
        <v>24</v>
      </c>
      <c r="B2429" s="7" t="s">
        <v>185</v>
      </c>
      <c r="C2429" s="7" t="s">
        <v>1053</v>
      </c>
      <c r="D2429" s="7" t="n">
        <v>0</v>
      </c>
      <c r="E2429" s="7" t="n">
        <v>0</v>
      </c>
      <c r="F2429" s="7" t="n">
        <v>1</v>
      </c>
      <c r="G2429" s="7" t="n">
        <v>51.61</v>
      </c>
    </row>
    <row r="2430" customFormat="false" ht="15" hidden="false" customHeight="false" outlineLevel="0" collapsed="false">
      <c r="A2430" s="7" t="s">
        <v>24</v>
      </c>
      <c r="B2430" s="7" t="s">
        <v>185</v>
      </c>
      <c r="C2430" s="7" t="s">
        <v>1053</v>
      </c>
      <c r="D2430" s="7" t="n">
        <v>0</v>
      </c>
      <c r="E2430" s="7" t="n">
        <v>0</v>
      </c>
      <c r="F2430" s="7" t="n">
        <v>1</v>
      </c>
      <c r="G2430" s="7" t="n">
        <v>49.03</v>
      </c>
    </row>
    <row r="2431" customFormat="false" ht="15" hidden="false" customHeight="false" outlineLevel="0" collapsed="false">
      <c r="A2431" s="7" t="s">
        <v>24</v>
      </c>
      <c r="B2431" s="7" t="s">
        <v>185</v>
      </c>
      <c r="C2431" s="7" t="s">
        <v>1053</v>
      </c>
      <c r="D2431" s="7" t="n">
        <v>0</v>
      </c>
      <c r="E2431" s="7" t="n">
        <v>0</v>
      </c>
      <c r="F2431" s="7" t="n">
        <v>2</v>
      </c>
      <c r="G2431" s="7" t="n">
        <v>103.22</v>
      </c>
    </row>
    <row r="2432" customFormat="false" ht="15" hidden="false" customHeight="false" outlineLevel="0" collapsed="false">
      <c r="A2432" s="7" t="s">
        <v>24</v>
      </c>
      <c r="B2432" s="7" t="s">
        <v>185</v>
      </c>
      <c r="C2432" s="7" t="s">
        <v>1053</v>
      </c>
      <c r="D2432" s="7" t="n">
        <v>0</v>
      </c>
      <c r="E2432" s="7" t="n">
        <v>0</v>
      </c>
      <c r="F2432" s="7" t="n">
        <v>1</v>
      </c>
      <c r="G2432" s="7" t="n">
        <v>46.45</v>
      </c>
    </row>
    <row r="2433" customFormat="false" ht="15" hidden="false" customHeight="false" outlineLevel="0" collapsed="false">
      <c r="A2433" s="7" t="s">
        <v>24</v>
      </c>
      <c r="B2433" s="7" t="s">
        <v>185</v>
      </c>
      <c r="C2433" s="7" t="s">
        <v>1053</v>
      </c>
      <c r="D2433" s="7" t="n">
        <v>0</v>
      </c>
      <c r="E2433" s="7" t="n">
        <v>0</v>
      </c>
      <c r="F2433" s="7" t="n">
        <v>1</v>
      </c>
      <c r="G2433" s="7" t="n">
        <v>43.87</v>
      </c>
    </row>
    <row r="2434" customFormat="false" ht="15" hidden="false" customHeight="false" outlineLevel="0" collapsed="false">
      <c r="A2434" s="7" t="s">
        <v>24</v>
      </c>
      <c r="B2434" s="7" t="s">
        <v>185</v>
      </c>
      <c r="C2434" s="7" t="s">
        <v>1053</v>
      </c>
      <c r="D2434" s="7" t="n">
        <v>0</v>
      </c>
      <c r="E2434" s="7" t="n">
        <v>0</v>
      </c>
      <c r="F2434" s="7" t="n">
        <v>1</v>
      </c>
      <c r="G2434" s="7" t="n">
        <v>43.87</v>
      </c>
    </row>
    <row r="2435" customFormat="false" ht="15" hidden="false" customHeight="false" outlineLevel="0" collapsed="false">
      <c r="A2435" s="7" t="s">
        <v>24</v>
      </c>
      <c r="B2435" s="7" t="s">
        <v>185</v>
      </c>
      <c r="C2435" s="7" t="s">
        <v>1053</v>
      </c>
      <c r="D2435" s="7" t="n">
        <v>0</v>
      </c>
      <c r="E2435" s="7" t="n">
        <v>0</v>
      </c>
      <c r="F2435" s="7" t="n">
        <v>3</v>
      </c>
      <c r="G2435" s="7" t="n">
        <v>139.36</v>
      </c>
    </row>
    <row r="2436" customFormat="false" ht="15" hidden="false" customHeight="false" outlineLevel="0" collapsed="false">
      <c r="A2436" s="7" t="s">
        <v>24</v>
      </c>
      <c r="B2436" s="7" t="s">
        <v>185</v>
      </c>
      <c r="C2436" s="7" t="s">
        <v>1053</v>
      </c>
      <c r="D2436" s="7" t="n">
        <v>0</v>
      </c>
      <c r="E2436" s="7" t="n">
        <v>0</v>
      </c>
      <c r="F2436" s="7" t="n">
        <v>2</v>
      </c>
      <c r="G2436" s="7" t="n">
        <v>103.22</v>
      </c>
    </row>
    <row r="2437" customFormat="false" ht="15" hidden="false" customHeight="false" outlineLevel="0" collapsed="false">
      <c r="A2437" s="7" t="s">
        <v>24</v>
      </c>
      <c r="B2437" s="7" t="s">
        <v>185</v>
      </c>
      <c r="C2437" s="7" t="s">
        <v>1053</v>
      </c>
      <c r="D2437" s="7" t="n">
        <v>52</v>
      </c>
      <c r="E2437" s="7" t="n">
        <v>2526.33</v>
      </c>
      <c r="F2437" s="7" t="n">
        <v>41</v>
      </c>
      <c r="G2437" s="7" t="n">
        <v>2074.73</v>
      </c>
    </row>
    <row r="2438" customFormat="false" ht="15" hidden="false" customHeight="false" outlineLevel="0" collapsed="false">
      <c r="A2438" s="7" t="s">
        <v>24</v>
      </c>
      <c r="B2438" s="7" t="s">
        <v>185</v>
      </c>
      <c r="C2438" s="7" t="s">
        <v>1053</v>
      </c>
      <c r="D2438" s="7" t="n">
        <v>0</v>
      </c>
      <c r="E2438" s="7" t="n">
        <v>0</v>
      </c>
      <c r="F2438" s="7" t="n">
        <v>1</v>
      </c>
      <c r="G2438" s="7" t="n">
        <v>46.45</v>
      </c>
    </row>
    <row r="2439" customFormat="false" ht="15" hidden="false" customHeight="false" outlineLevel="0" collapsed="false">
      <c r="A2439" s="7" t="s">
        <v>24</v>
      </c>
      <c r="B2439" s="7" t="s">
        <v>185</v>
      </c>
      <c r="C2439" s="7" t="s">
        <v>1053</v>
      </c>
      <c r="D2439" s="7" t="n">
        <v>0</v>
      </c>
      <c r="E2439" s="7" t="n">
        <v>0</v>
      </c>
      <c r="F2439" s="7" t="n">
        <v>2</v>
      </c>
      <c r="G2439" s="7" t="n">
        <v>90.32</v>
      </c>
    </row>
    <row r="2440" customFormat="false" ht="15" hidden="false" customHeight="false" outlineLevel="0" collapsed="false">
      <c r="A2440" s="7" t="s">
        <v>24</v>
      </c>
      <c r="B2440" s="7" t="s">
        <v>185</v>
      </c>
      <c r="C2440" s="7" t="s">
        <v>1053</v>
      </c>
      <c r="D2440" s="7" t="n">
        <v>0</v>
      </c>
      <c r="E2440" s="7" t="n">
        <v>0</v>
      </c>
      <c r="F2440" s="7" t="n">
        <v>1</v>
      </c>
      <c r="G2440" s="7" t="n">
        <v>46.45</v>
      </c>
    </row>
    <row r="2441" customFormat="false" ht="15" hidden="false" customHeight="false" outlineLevel="0" collapsed="false">
      <c r="A2441" s="7" t="s">
        <v>24</v>
      </c>
      <c r="B2441" s="7" t="s">
        <v>185</v>
      </c>
      <c r="C2441" s="7" t="s">
        <v>1053</v>
      </c>
      <c r="D2441" s="7" t="n">
        <v>0</v>
      </c>
      <c r="E2441" s="7" t="n">
        <v>0</v>
      </c>
      <c r="F2441" s="7" t="n">
        <v>2</v>
      </c>
      <c r="G2441" s="7" t="n">
        <v>92.89</v>
      </c>
    </row>
    <row r="2442" customFormat="false" ht="15" hidden="false" customHeight="false" outlineLevel="0" collapsed="false">
      <c r="A2442" s="7" t="s">
        <v>24</v>
      </c>
      <c r="B2442" s="7" t="s">
        <v>185</v>
      </c>
      <c r="C2442" s="7" t="s">
        <v>1053</v>
      </c>
      <c r="D2442" s="7" t="n">
        <v>0</v>
      </c>
      <c r="E2442" s="7" t="n">
        <v>0</v>
      </c>
      <c r="F2442" s="7" t="n">
        <v>7</v>
      </c>
      <c r="G2442" s="7" t="n">
        <v>350.95</v>
      </c>
    </row>
    <row r="2443" customFormat="false" ht="15" hidden="false" customHeight="false" outlineLevel="0" collapsed="false">
      <c r="A2443" s="7" t="s">
        <v>24</v>
      </c>
      <c r="B2443" s="7" t="s">
        <v>185</v>
      </c>
      <c r="C2443" s="7" t="s">
        <v>1053</v>
      </c>
      <c r="D2443" s="7" t="n">
        <v>0</v>
      </c>
      <c r="E2443" s="7" t="n">
        <v>0</v>
      </c>
      <c r="F2443" s="7" t="n">
        <v>1</v>
      </c>
      <c r="G2443" s="7" t="n">
        <v>51.62</v>
      </c>
    </row>
    <row r="2444" customFormat="false" ht="15" hidden="false" customHeight="false" outlineLevel="0" collapsed="false">
      <c r="A2444" s="7" t="s">
        <v>24</v>
      </c>
      <c r="B2444" s="7" t="s">
        <v>185</v>
      </c>
      <c r="C2444" s="7" t="s">
        <v>1053</v>
      </c>
      <c r="D2444" s="7" t="n">
        <v>0</v>
      </c>
      <c r="E2444" s="7" t="n">
        <v>0</v>
      </c>
      <c r="F2444" s="7" t="n">
        <v>1</v>
      </c>
      <c r="G2444" s="7" t="n">
        <v>51.61</v>
      </c>
    </row>
    <row r="2445" customFormat="false" ht="15" hidden="false" customHeight="false" outlineLevel="0" collapsed="false">
      <c r="A2445" s="7" t="s">
        <v>24</v>
      </c>
      <c r="B2445" s="7" t="s">
        <v>185</v>
      </c>
      <c r="C2445" s="7" t="s">
        <v>1053</v>
      </c>
      <c r="D2445" s="7" t="n">
        <v>0</v>
      </c>
      <c r="E2445" s="7" t="n">
        <v>0</v>
      </c>
      <c r="F2445" s="7" t="n">
        <v>1</v>
      </c>
      <c r="G2445" s="7" t="n">
        <v>46.45</v>
      </c>
    </row>
    <row r="2446" customFormat="false" ht="15" hidden="false" customHeight="false" outlineLevel="0" collapsed="false">
      <c r="A2446" s="7" t="s">
        <v>24</v>
      </c>
      <c r="B2446" s="7" t="s">
        <v>185</v>
      </c>
      <c r="C2446" s="7" t="s">
        <v>1053</v>
      </c>
      <c r="D2446" s="7" t="n">
        <v>0</v>
      </c>
      <c r="E2446" s="7" t="n">
        <v>0</v>
      </c>
      <c r="F2446" s="7" t="n">
        <v>2</v>
      </c>
      <c r="G2446" s="7" t="n">
        <v>103.22</v>
      </c>
    </row>
    <row r="2447" customFormat="false" ht="15" hidden="false" customHeight="false" outlineLevel="0" collapsed="false">
      <c r="A2447" s="7" t="s">
        <v>24</v>
      </c>
      <c r="B2447" s="7" t="s">
        <v>185</v>
      </c>
      <c r="C2447" s="7" t="s">
        <v>1053</v>
      </c>
      <c r="D2447" s="7" t="n">
        <v>0</v>
      </c>
      <c r="E2447" s="7" t="n">
        <v>0</v>
      </c>
      <c r="F2447" s="7" t="n">
        <v>2</v>
      </c>
      <c r="G2447" s="7" t="n">
        <v>103.22</v>
      </c>
    </row>
    <row r="2448" customFormat="false" ht="15" hidden="false" customHeight="false" outlineLevel="0" collapsed="false">
      <c r="A2448" s="7" t="s">
        <v>24</v>
      </c>
      <c r="B2448" s="7" t="s">
        <v>185</v>
      </c>
      <c r="C2448" s="7" t="s">
        <v>1053</v>
      </c>
      <c r="D2448" s="7" t="n">
        <v>0</v>
      </c>
      <c r="E2448" s="7" t="n">
        <v>0</v>
      </c>
      <c r="F2448" s="7" t="n">
        <v>3</v>
      </c>
      <c r="G2448" s="7" t="n">
        <v>154.83</v>
      </c>
    </row>
    <row r="2449" customFormat="false" ht="15" hidden="false" customHeight="false" outlineLevel="0" collapsed="false">
      <c r="A2449" s="7" t="s">
        <v>24</v>
      </c>
      <c r="B2449" s="7" t="s">
        <v>185</v>
      </c>
      <c r="C2449" s="7" t="s">
        <v>1053</v>
      </c>
      <c r="D2449" s="7" t="n">
        <v>0</v>
      </c>
      <c r="E2449" s="7" t="n">
        <v>0</v>
      </c>
      <c r="F2449" s="7" t="n">
        <v>3</v>
      </c>
      <c r="G2449" s="7" t="n">
        <v>139.35</v>
      </c>
    </row>
    <row r="2450" customFormat="false" ht="15" hidden="false" customHeight="false" outlineLevel="0" collapsed="false">
      <c r="A2450" s="7" t="s">
        <v>24</v>
      </c>
      <c r="B2450" s="7" t="s">
        <v>185</v>
      </c>
      <c r="C2450" s="7" t="s">
        <v>1053</v>
      </c>
      <c r="D2450" s="7" t="n">
        <v>0</v>
      </c>
      <c r="E2450" s="7" t="n">
        <v>0</v>
      </c>
      <c r="F2450" s="7" t="n">
        <v>4</v>
      </c>
      <c r="G2450" s="7" t="n">
        <v>190.96</v>
      </c>
    </row>
    <row r="2451" customFormat="false" ht="15" hidden="false" customHeight="false" outlineLevel="0" collapsed="false">
      <c r="A2451" s="7" t="s">
        <v>24</v>
      </c>
      <c r="B2451" s="7" t="s">
        <v>185</v>
      </c>
      <c r="C2451" s="7" t="s">
        <v>1053</v>
      </c>
      <c r="D2451" s="7" t="n">
        <v>0</v>
      </c>
      <c r="E2451" s="7" t="n">
        <v>0</v>
      </c>
      <c r="F2451" s="7" t="n">
        <v>1</v>
      </c>
      <c r="G2451" s="7" t="n">
        <v>51.61</v>
      </c>
    </row>
    <row r="2452" customFormat="false" ht="15" hidden="false" customHeight="false" outlineLevel="0" collapsed="false">
      <c r="A2452" s="7" t="s">
        <v>24</v>
      </c>
      <c r="B2452" s="7" t="s">
        <v>185</v>
      </c>
      <c r="C2452" s="7" t="s">
        <v>1053</v>
      </c>
      <c r="D2452" s="7" t="n">
        <v>0</v>
      </c>
      <c r="E2452" s="7" t="n">
        <v>0</v>
      </c>
      <c r="F2452" s="7" t="n">
        <v>2</v>
      </c>
      <c r="G2452" s="7" t="n">
        <v>103.22</v>
      </c>
    </row>
    <row r="2453" customFormat="false" ht="15" hidden="false" customHeight="false" outlineLevel="0" collapsed="false">
      <c r="A2453" s="7" t="s">
        <v>24</v>
      </c>
      <c r="B2453" s="7" t="s">
        <v>185</v>
      </c>
      <c r="C2453" s="7" t="s">
        <v>1053</v>
      </c>
      <c r="D2453" s="7" t="n">
        <v>0</v>
      </c>
      <c r="E2453" s="7" t="n">
        <v>0</v>
      </c>
      <c r="F2453" s="7" t="n">
        <v>1</v>
      </c>
      <c r="G2453" s="7" t="n">
        <v>46.45</v>
      </c>
    </row>
    <row r="2454" customFormat="false" ht="15" hidden="false" customHeight="false" outlineLevel="0" collapsed="false">
      <c r="A2454" s="7" t="s">
        <v>24</v>
      </c>
      <c r="B2454" s="7" t="s">
        <v>185</v>
      </c>
      <c r="C2454" s="7" t="s">
        <v>1053</v>
      </c>
      <c r="D2454" s="7" t="n">
        <v>0</v>
      </c>
      <c r="E2454" s="7" t="n">
        <v>0</v>
      </c>
      <c r="F2454" s="7" t="n">
        <v>1</v>
      </c>
      <c r="G2454" s="7" t="n">
        <v>51.61</v>
      </c>
    </row>
    <row r="2455" customFormat="false" ht="15" hidden="false" customHeight="false" outlineLevel="0" collapsed="false">
      <c r="A2455" s="7" t="s">
        <v>24</v>
      </c>
      <c r="B2455" s="7" t="s">
        <v>185</v>
      </c>
      <c r="C2455" s="7" t="s">
        <v>1053</v>
      </c>
      <c r="D2455" s="7" t="n">
        <v>0</v>
      </c>
      <c r="E2455" s="7" t="n">
        <v>0</v>
      </c>
      <c r="F2455" s="7" t="n">
        <v>1</v>
      </c>
      <c r="G2455" s="7" t="n">
        <v>46.45</v>
      </c>
    </row>
    <row r="2456" customFormat="false" ht="15" hidden="false" customHeight="false" outlineLevel="0" collapsed="false">
      <c r="A2456" s="7" t="s">
        <v>24</v>
      </c>
      <c r="B2456" s="7" t="s">
        <v>185</v>
      </c>
      <c r="C2456" s="7" t="s">
        <v>1053</v>
      </c>
      <c r="D2456" s="7" t="n">
        <v>0</v>
      </c>
      <c r="E2456" s="7" t="n">
        <v>0</v>
      </c>
      <c r="F2456" s="7" t="n">
        <v>1</v>
      </c>
      <c r="G2456" s="7" t="n">
        <v>46.45</v>
      </c>
    </row>
    <row r="2457" customFormat="false" ht="15" hidden="false" customHeight="false" outlineLevel="0" collapsed="false">
      <c r="A2457" s="7" t="s">
        <v>24</v>
      </c>
      <c r="B2457" s="7" t="s">
        <v>185</v>
      </c>
      <c r="C2457" s="7" t="s">
        <v>1053</v>
      </c>
      <c r="D2457" s="7" t="n">
        <v>0</v>
      </c>
      <c r="E2457" s="7" t="n">
        <v>0</v>
      </c>
      <c r="F2457" s="7" t="n">
        <v>2</v>
      </c>
      <c r="G2457" s="7" t="n">
        <v>98.06</v>
      </c>
    </row>
    <row r="2458" customFormat="false" ht="15" hidden="false" customHeight="false" outlineLevel="0" collapsed="false">
      <c r="A2458" s="7" t="s">
        <v>24</v>
      </c>
      <c r="B2458" s="7" t="s">
        <v>494</v>
      </c>
      <c r="C2458" s="7" t="s">
        <v>1054</v>
      </c>
      <c r="D2458" s="7" t="n">
        <v>0</v>
      </c>
      <c r="E2458" s="7" t="n">
        <v>0</v>
      </c>
      <c r="F2458" s="7" t="n">
        <v>1</v>
      </c>
      <c r="G2458" s="7" t="n">
        <v>45.68</v>
      </c>
    </row>
    <row r="2459" customFormat="false" ht="15" hidden="false" customHeight="false" outlineLevel="0" collapsed="false">
      <c r="A2459" s="7" t="s">
        <v>24</v>
      </c>
      <c r="B2459" s="7" t="s">
        <v>494</v>
      </c>
      <c r="C2459" s="7" t="s">
        <v>1054</v>
      </c>
      <c r="D2459" s="7" t="n">
        <v>0</v>
      </c>
      <c r="E2459" s="7" t="n">
        <v>0</v>
      </c>
      <c r="F2459" s="7" t="n">
        <v>1</v>
      </c>
      <c r="G2459" s="7" t="n">
        <v>50.76</v>
      </c>
    </row>
    <row r="2460" customFormat="false" ht="15" hidden="false" customHeight="false" outlineLevel="0" collapsed="false">
      <c r="A2460" s="7" t="s">
        <v>24</v>
      </c>
      <c r="B2460" s="7" t="s">
        <v>494</v>
      </c>
      <c r="C2460" s="7" t="s">
        <v>1054</v>
      </c>
      <c r="D2460" s="7" t="n">
        <v>0</v>
      </c>
      <c r="E2460" s="7" t="n">
        <v>0</v>
      </c>
      <c r="F2460" s="7" t="n">
        <v>1</v>
      </c>
      <c r="G2460" s="7" t="n">
        <v>50.77</v>
      </c>
    </row>
    <row r="2461" customFormat="false" ht="15" hidden="false" customHeight="false" outlineLevel="0" collapsed="false">
      <c r="A2461" s="7" t="s">
        <v>24</v>
      </c>
      <c r="B2461" s="7" t="s">
        <v>494</v>
      </c>
      <c r="C2461" s="7" t="s">
        <v>1054</v>
      </c>
      <c r="D2461" s="7" t="n">
        <v>0</v>
      </c>
      <c r="E2461" s="7" t="n">
        <v>0</v>
      </c>
      <c r="F2461" s="7" t="n">
        <v>1</v>
      </c>
      <c r="G2461" s="7" t="n">
        <v>45.69</v>
      </c>
    </row>
    <row r="2462" customFormat="false" ht="15" hidden="false" customHeight="false" outlineLevel="0" collapsed="false">
      <c r="A2462" s="7" t="s">
        <v>24</v>
      </c>
      <c r="B2462" s="7" t="s">
        <v>494</v>
      </c>
      <c r="C2462" s="7" t="s">
        <v>1054</v>
      </c>
      <c r="D2462" s="7" t="n">
        <v>0</v>
      </c>
      <c r="E2462" s="7" t="n">
        <v>0</v>
      </c>
      <c r="F2462" s="7" t="n">
        <v>1</v>
      </c>
      <c r="G2462" s="7" t="n">
        <v>50.76</v>
      </c>
    </row>
    <row r="2463" customFormat="false" ht="15" hidden="false" customHeight="false" outlineLevel="0" collapsed="false">
      <c r="A2463" s="7" t="s">
        <v>24</v>
      </c>
      <c r="B2463" s="7" t="s">
        <v>494</v>
      </c>
      <c r="C2463" s="7" t="s">
        <v>1054</v>
      </c>
      <c r="D2463" s="7" t="n">
        <v>0</v>
      </c>
      <c r="E2463" s="7" t="n">
        <v>0</v>
      </c>
      <c r="F2463" s="7" t="n">
        <v>1</v>
      </c>
      <c r="G2463" s="7" t="n">
        <v>50.77</v>
      </c>
    </row>
    <row r="2464" customFormat="false" ht="15" hidden="false" customHeight="false" outlineLevel="0" collapsed="false">
      <c r="A2464" s="7" t="s">
        <v>24</v>
      </c>
      <c r="B2464" s="7" t="s">
        <v>494</v>
      </c>
      <c r="C2464" s="7" t="s">
        <v>1054</v>
      </c>
      <c r="D2464" s="7" t="n">
        <v>0</v>
      </c>
      <c r="E2464" s="7" t="n">
        <v>0</v>
      </c>
      <c r="F2464" s="7" t="n">
        <v>1</v>
      </c>
      <c r="G2464" s="7" t="n">
        <v>43.15</v>
      </c>
    </row>
    <row r="2465" customFormat="false" ht="15" hidden="false" customHeight="false" outlineLevel="0" collapsed="false">
      <c r="A2465" s="7" t="s">
        <v>24</v>
      </c>
      <c r="B2465" s="7" t="s">
        <v>494</v>
      </c>
      <c r="C2465" s="7" t="s">
        <v>1054</v>
      </c>
      <c r="D2465" s="7" t="n">
        <v>5</v>
      </c>
      <c r="E2465" s="7" t="n">
        <v>229.74</v>
      </c>
      <c r="F2465" s="7" t="n">
        <v>0</v>
      </c>
      <c r="G2465" s="7" t="n">
        <v>0</v>
      </c>
    </row>
    <row r="2466" customFormat="false" ht="15" hidden="false" customHeight="false" outlineLevel="0" collapsed="false">
      <c r="A2466" s="7" t="s">
        <v>24</v>
      </c>
      <c r="B2466" s="7" t="s">
        <v>494</v>
      </c>
      <c r="C2466" s="7" t="s">
        <v>1054</v>
      </c>
      <c r="D2466" s="7" t="n">
        <v>0</v>
      </c>
      <c r="E2466" s="7" t="n">
        <v>0</v>
      </c>
      <c r="F2466" s="7" t="n">
        <v>2</v>
      </c>
      <c r="G2466" s="7" t="n">
        <v>101.52</v>
      </c>
    </row>
    <row r="2467" customFormat="false" ht="15" hidden="false" customHeight="false" outlineLevel="0" collapsed="false">
      <c r="A2467" s="7" t="s">
        <v>24</v>
      </c>
      <c r="B2467" s="7" t="s">
        <v>494</v>
      </c>
      <c r="C2467" s="7" t="s">
        <v>1054</v>
      </c>
      <c r="D2467" s="7" t="n">
        <v>0</v>
      </c>
      <c r="E2467" s="7" t="n">
        <v>0</v>
      </c>
      <c r="F2467" s="7" t="n">
        <v>2</v>
      </c>
      <c r="G2467" s="7" t="n">
        <v>96.46</v>
      </c>
    </row>
    <row r="2468" customFormat="false" ht="15" hidden="false" customHeight="false" outlineLevel="0" collapsed="false">
      <c r="A2468" s="7" t="s">
        <v>24</v>
      </c>
      <c r="B2468" s="7" t="s">
        <v>494</v>
      </c>
      <c r="C2468" s="7" t="s">
        <v>1054</v>
      </c>
      <c r="D2468" s="7" t="n">
        <v>0</v>
      </c>
      <c r="E2468" s="7" t="n">
        <v>0</v>
      </c>
      <c r="F2468" s="7" t="n">
        <v>1</v>
      </c>
      <c r="G2468" s="7" t="n">
        <v>50.77</v>
      </c>
    </row>
    <row r="2469" customFormat="false" ht="15" hidden="false" customHeight="false" outlineLevel="0" collapsed="false">
      <c r="A2469" s="7" t="s">
        <v>24</v>
      </c>
      <c r="B2469" s="7" t="s">
        <v>494</v>
      </c>
      <c r="C2469" s="7" t="s">
        <v>1054</v>
      </c>
      <c r="D2469" s="7" t="n">
        <v>0</v>
      </c>
      <c r="E2469" s="7" t="n">
        <v>0</v>
      </c>
      <c r="F2469" s="7" t="n">
        <v>1</v>
      </c>
      <c r="G2469" s="7" t="n">
        <v>45.69</v>
      </c>
    </row>
    <row r="2470" customFormat="false" ht="15" hidden="false" customHeight="false" outlineLevel="0" collapsed="false">
      <c r="A2470" s="7" t="s">
        <v>24</v>
      </c>
      <c r="B2470" s="7" t="s">
        <v>494</v>
      </c>
      <c r="C2470" s="7" t="s">
        <v>1054</v>
      </c>
      <c r="D2470" s="7" t="n">
        <v>0</v>
      </c>
      <c r="E2470" s="7" t="n">
        <v>0</v>
      </c>
      <c r="F2470" s="7" t="n">
        <v>1</v>
      </c>
      <c r="G2470" s="7" t="n">
        <v>45.69</v>
      </c>
    </row>
    <row r="2471" customFormat="false" ht="15" hidden="false" customHeight="false" outlineLevel="0" collapsed="false">
      <c r="A2471" s="7" t="s">
        <v>24</v>
      </c>
      <c r="B2471" s="7" t="s">
        <v>494</v>
      </c>
      <c r="C2471" s="7" t="s">
        <v>1054</v>
      </c>
      <c r="D2471" s="7" t="n">
        <v>22</v>
      </c>
      <c r="E2471" s="7" t="n">
        <v>1068.51</v>
      </c>
      <c r="F2471" s="7" t="n">
        <v>8</v>
      </c>
      <c r="G2471" s="7" t="n">
        <v>401</v>
      </c>
    </row>
    <row r="2472" customFormat="false" ht="15" hidden="false" customHeight="false" outlineLevel="0" collapsed="false">
      <c r="A2472" s="7" t="s">
        <v>24</v>
      </c>
      <c r="B2472" s="7" t="s">
        <v>494</v>
      </c>
      <c r="C2472" s="7" t="s">
        <v>1054</v>
      </c>
      <c r="D2472" s="7" t="n">
        <v>0</v>
      </c>
      <c r="E2472" s="7" t="n">
        <v>0</v>
      </c>
      <c r="F2472" s="7" t="n">
        <v>1</v>
      </c>
      <c r="G2472" s="7" t="n">
        <v>50.76</v>
      </c>
    </row>
    <row r="2473" customFormat="false" ht="15" hidden="false" customHeight="false" outlineLevel="0" collapsed="false">
      <c r="A2473" s="7" t="s">
        <v>24</v>
      </c>
      <c r="B2473" s="7" t="s">
        <v>494</v>
      </c>
      <c r="C2473" s="7" t="s">
        <v>1054</v>
      </c>
      <c r="D2473" s="7" t="n">
        <v>0</v>
      </c>
      <c r="E2473" s="7" t="n">
        <v>0</v>
      </c>
      <c r="F2473" s="7" t="n">
        <v>2</v>
      </c>
      <c r="G2473" s="7" t="n">
        <v>101.53</v>
      </c>
    </row>
    <row r="2474" customFormat="false" ht="15" hidden="false" customHeight="false" outlineLevel="0" collapsed="false">
      <c r="A2474" s="7" t="s">
        <v>24</v>
      </c>
      <c r="B2474" s="7" t="s">
        <v>494</v>
      </c>
      <c r="C2474" s="7" t="s">
        <v>1054</v>
      </c>
      <c r="D2474" s="7" t="n">
        <v>0</v>
      </c>
      <c r="E2474" s="7" t="n">
        <v>0</v>
      </c>
      <c r="F2474" s="7" t="n">
        <v>1</v>
      </c>
      <c r="G2474" s="7" t="n">
        <v>50.76</v>
      </c>
    </row>
    <row r="2475" customFormat="false" ht="15" hidden="false" customHeight="false" outlineLevel="0" collapsed="false">
      <c r="A2475" s="7" t="s">
        <v>24</v>
      </c>
      <c r="B2475" s="7" t="s">
        <v>494</v>
      </c>
      <c r="C2475" s="7" t="s">
        <v>1054</v>
      </c>
      <c r="D2475" s="7" t="n">
        <v>0</v>
      </c>
      <c r="E2475" s="7" t="n">
        <v>0</v>
      </c>
      <c r="F2475" s="7" t="n">
        <v>1</v>
      </c>
      <c r="G2475" s="7" t="n">
        <v>50.77</v>
      </c>
    </row>
    <row r="2476" customFormat="false" ht="15" hidden="false" customHeight="false" outlineLevel="0" collapsed="false">
      <c r="A2476" s="7" t="s">
        <v>24</v>
      </c>
      <c r="B2476" s="7" t="s">
        <v>494</v>
      </c>
      <c r="C2476" s="7" t="s">
        <v>1054</v>
      </c>
      <c r="D2476" s="7" t="n">
        <v>0</v>
      </c>
      <c r="E2476" s="7" t="n">
        <v>0</v>
      </c>
      <c r="F2476" s="7" t="n">
        <v>1</v>
      </c>
      <c r="G2476" s="7" t="n">
        <v>50.76</v>
      </c>
    </row>
    <row r="2477" customFormat="false" ht="15" hidden="false" customHeight="false" outlineLevel="0" collapsed="false">
      <c r="A2477" s="7" t="s">
        <v>24</v>
      </c>
      <c r="B2477" s="7" t="s">
        <v>494</v>
      </c>
      <c r="C2477" s="7" t="s">
        <v>1054</v>
      </c>
      <c r="D2477" s="7" t="n">
        <v>0</v>
      </c>
      <c r="E2477" s="7" t="n">
        <v>0</v>
      </c>
      <c r="F2477" s="7" t="n">
        <v>1</v>
      </c>
      <c r="G2477" s="7" t="n">
        <v>45.68</v>
      </c>
    </row>
    <row r="2478" customFormat="false" ht="15" hidden="false" customHeight="false" outlineLevel="0" collapsed="false">
      <c r="A2478" s="7" t="s">
        <v>24</v>
      </c>
      <c r="B2478" s="7" t="s">
        <v>494</v>
      </c>
      <c r="C2478" s="7" t="s">
        <v>1054</v>
      </c>
      <c r="D2478" s="7" t="n">
        <v>0</v>
      </c>
      <c r="E2478" s="7" t="n">
        <v>0</v>
      </c>
      <c r="F2478" s="7" t="n">
        <v>2</v>
      </c>
      <c r="G2478" s="7" t="n">
        <v>101.52</v>
      </c>
    </row>
    <row r="2479" customFormat="false" ht="15" hidden="false" customHeight="false" outlineLevel="0" collapsed="false">
      <c r="A2479" s="7" t="s">
        <v>24</v>
      </c>
      <c r="B2479" s="7" t="s">
        <v>494</v>
      </c>
      <c r="C2479" s="7" t="s">
        <v>1054</v>
      </c>
      <c r="D2479" s="7" t="n">
        <v>0</v>
      </c>
      <c r="E2479" s="7" t="n">
        <v>0</v>
      </c>
      <c r="F2479" s="7" t="n">
        <v>2</v>
      </c>
      <c r="G2479" s="7" t="n">
        <v>101.52</v>
      </c>
    </row>
    <row r="2480" customFormat="false" ht="15" hidden="false" customHeight="false" outlineLevel="0" collapsed="false">
      <c r="A2480" s="7" t="s">
        <v>24</v>
      </c>
      <c r="B2480" s="7" t="s">
        <v>571</v>
      </c>
      <c r="C2480" s="7" t="s">
        <v>1088</v>
      </c>
      <c r="D2480" s="7" t="n">
        <v>0</v>
      </c>
      <c r="E2480" s="7" t="n">
        <v>0</v>
      </c>
      <c r="F2480" s="7" t="n">
        <v>1</v>
      </c>
      <c r="G2480" s="7" t="n">
        <v>23.57</v>
      </c>
    </row>
    <row r="2481" customFormat="false" ht="15" hidden="false" customHeight="false" outlineLevel="0" collapsed="false">
      <c r="A2481" s="7" t="s">
        <v>24</v>
      </c>
      <c r="B2481" s="7" t="s">
        <v>571</v>
      </c>
      <c r="C2481" s="7" t="s">
        <v>1088</v>
      </c>
      <c r="D2481" s="7" t="n">
        <v>0</v>
      </c>
      <c r="E2481" s="7" t="n">
        <v>0</v>
      </c>
      <c r="F2481" s="7" t="n">
        <v>1</v>
      </c>
      <c r="G2481" s="7" t="n">
        <v>26.19</v>
      </c>
    </row>
    <row r="2482" customFormat="false" ht="15" hidden="false" customHeight="false" outlineLevel="0" collapsed="false">
      <c r="A2482" s="7" t="s">
        <v>24</v>
      </c>
      <c r="B2482" s="7" t="s">
        <v>571</v>
      </c>
      <c r="C2482" s="7" t="s">
        <v>1088</v>
      </c>
      <c r="D2482" s="7" t="n">
        <v>0</v>
      </c>
      <c r="E2482" s="7" t="n">
        <v>0</v>
      </c>
      <c r="F2482" s="7" t="n">
        <v>2</v>
      </c>
      <c r="G2482" s="7" t="n">
        <v>52.38</v>
      </c>
    </row>
    <row r="2483" customFormat="false" ht="15" hidden="false" customHeight="false" outlineLevel="0" collapsed="false">
      <c r="A2483" s="7" t="s">
        <v>24</v>
      </c>
      <c r="B2483" s="7" t="s">
        <v>571</v>
      </c>
      <c r="C2483" s="7" t="s">
        <v>1088</v>
      </c>
      <c r="D2483" s="7" t="n">
        <v>0</v>
      </c>
      <c r="E2483" s="7" t="n">
        <v>0</v>
      </c>
      <c r="F2483" s="7" t="n">
        <v>1</v>
      </c>
      <c r="G2483" s="7" t="n">
        <v>23.57</v>
      </c>
    </row>
    <row r="2484" customFormat="false" ht="15" hidden="false" customHeight="false" outlineLevel="0" collapsed="false">
      <c r="A2484" s="7" t="s">
        <v>24</v>
      </c>
      <c r="B2484" s="7" t="s">
        <v>571</v>
      </c>
      <c r="C2484" s="7" t="s">
        <v>1088</v>
      </c>
      <c r="D2484" s="7" t="n">
        <v>0</v>
      </c>
      <c r="E2484" s="7" t="n">
        <v>0</v>
      </c>
      <c r="F2484" s="7" t="n">
        <v>2</v>
      </c>
      <c r="G2484" s="7" t="n">
        <v>52.38</v>
      </c>
    </row>
    <row r="2485" customFormat="false" ht="15" hidden="false" customHeight="false" outlineLevel="0" collapsed="false">
      <c r="A2485" s="7" t="s">
        <v>24</v>
      </c>
      <c r="B2485" s="7" t="s">
        <v>571</v>
      </c>
      <c r="C2485" s="7" t="s">
        <v>1088</v>
      </c>
      <c r="D2485" s="7" t="n">
        <v>0</v>
      </c>
      <c r="E2485" s="7" t="n">
        <v>0</v>
      </c>
      <c r="F2485" s="7" t="n">
        <v>2</v>
      </c>
      <c r="G2485" s="7" t="n">
        <v>52.38</v>
      </c>
    </row>
    <row r="2486" customFormat="false" ht="15" hidden="false" customHeight="false" outlineLevel="0" collapsed="false">
      <c r="A2486" s="7" t="s">
        <v>24</v>
      </c>
      <c r="B2486" s="7" t="s">
        <v>650</v>
      </c>
      <c r="C2486" s="7" t="s">
        <v>1088</v>
      </c>
      <c r="D2486" s="7" t="n">
        <v>47</v>
      </c>
      <c r="E2486" s="7" t="n">
        <v>1124.83</v>
      </c>
      <c r="F2486" s="7" t="n">
        <v>38</v>
      </c>
      <c r="G2486" s="7" t="n">
        <v>976.87</v>
      </c>
    </row>
    <row r="2487" customFormat="false" ht="15" hidden="false" customHeight="false" outlineLevel="0" collapsed="false">
      <c r="A2487" s="7" t="s">
        <v>24</v>
      </c>
      <c r="B2487" s="7" t="s">
        <v>779</v>
      </c>
      <c r="C2487" s="7" t="s">
        <v>1089</v>
      </c>
      <c r="D2487" s="7" t="n">
        <v>0</v>
      </c>
      <c r="E2487" s="7" t="n">
        <v>0</v>
      </c>
      <c r="F2487" s="7" t="n">
        <v>1</v>
      </c>
      <c r="G2487" s="7" t="n">
        <v>26.19</v>
      </c>
    </row>
    <row r="2488" customFormat="false" ht="15" hidden="false" customHeight="false" outlineLevel="0" collapsed="false">
      <c r="A2488" s="7" t="s">
        <v>24</v>
      </c>
      <c r="B2488" s="7" t="s">
        <v>779</v>
      </c>
      <c r="C2488" s="7" t="s">
        <v>1089</v>
      </c>
      <c r="D2488" s="7" t="n">
        <v>20</v>
      </c>
      <c r="E2488" s="7" t="n">
        <v>501.53</v>
      </c>
      <c r="F2488" s="7" t="n">
        <v>2</v>
      </c>
      <c r="G2488" s="7" t="n">
        <v>49.76</v>
      </c>
    </row>
    <row r="2489" customFormat="false" ht="15" hidden="false" customHeight="false" outlineLevel="0" collapsed="false">
      <c r="A2489" s="7" t="s">
        <v>24</v>
      </c>
      <c r="B2489" s="7" t="s">
        <v>779</v>
      </c>
      <c r="C2489" s="7" t="s">
        <v>1089</v>
      </c>
      <c r="D2489" s="7" t="n">
        <v>0</v>
      </c>
      <c r="E2489" s="7" t="n">
        <v>0</v>
      </c>
      <c r="F2489" s="7" t="n">
        <v>2</v>
      </c>
      <c r="G2489" s="7" t="n">
        <v>52.37</v>
      </c>
    </row>
    <row r="2490" customFormat="false" ht="15" hidden="false" customHeight="false" outlineLevel="0" collapsed="false">
      <c r="A2490" s="7" t="s">
        <v>24</v>
      </c>
      <c r="B2490" s="7" t="s">
        <v>779</v>
      </c>
      <c r="C2490" s="7" t="s">
        <v>1089</v>
      </c>
      <c r="D2490" s="7" t="n">
        <v>0</v>
      </c>
      <c r="E2490" s="7" t="n">
        <v>0</v>
      </c>
      <c r="F2490" s="7" t="n">
        <v>2</v>
      </c>
      <c r="G2490" s="7" t="n">
        <v>47.14</v>
      </c>
    </row>
    <row r="2491" customFormat="false" ht="15" hidden="false" customHeight="false" outlineLevel="0" collapsed="false">
      <c r="A2491" s="7" t="s">
        <v>24</v>
      </c>
      <c r="B2491" s="7" t="s">
        <v>779</v>
      </c>
      <c r="C2491" s="7" t="s">
        <v>1089</v>
      </c>
      <c r="D2491" s="7" t="n">
        <v>0</v>
      </c>
      <c r="E2491" s="7" t="n">
        <v>0</v>
      </c>
      <c r="F2491" s="7" t="n">
        <v>1</v>
      </c>
      <c r="G2491" s="7" t="n">
        <v>26.18</v>
      </c>
    </row>
    <row r="2492" customFormat="false" ht="15" hidden="false" customHeight="false" outlineLevel="0" collapsed="false">
      <c r="A2492" s="7" t="s">
        <v>24</v>
      </c>
      <c r="B2492" s="7" t="s">
        <v>779</v>
      </c>
      <c r="C2492" s="7" t="s">
        <v>1089</v>
      </c>
      <c r="D2492" s="7" t="n">
        <v>0</v>
      </c>
      <c r="E2492" s="7" t="n">
        <v>0</v>
      </c>
      <c r="F2492" s="7" t="n">
        <v>1</v>
      </c>
      <c r="G2492" s="7" t="n">
        <v>22.27</v>
      </c>
    </row>
    <row r="2493" customFormat="false" ht="15" hidden="false" customHeight="false" outlineLevel="0" collapsed="false">
      <c r="A2493" s="7" t="s">
        <v>24</v>
      </c>
      <c r="B2493" s="7" t="s">
        <v>779</v>
      </c>
      <c r="C2493" s="7" t="s">
        <v>1089</v>
      </c>
      <c r="D2493" s="7" t="n">
        <v>0</v>
      </c>
      <c r="E2493" s="7" t="n">
        <v>0</v>
      </c>
      <c r="F2493" s="7" t="n">
        <v>1</v>
      </c>
      <c r="G2493" s="7" t="n">
        <v>23.57</v>
      </c>
    </row>
    <row r="2494" customFormat="false" ht="15" hidden="false" customHeight="false" outlineLevel="0" collapsed="false">
      <c r="A2494" s="7" t="s">
        <v>24</v>
      </c>
      <c r="B2494" s="7" t="s">
        <v>779</v>
      </c>
      <c r="C2494" s="7" t="s">
        <v>1089</v>
      </c>
      <c r="D2494" s="7" t="n">
        <v>0</v>
      </c>
      <c r="E2494" s="7" t="n">
        <v>0</v>
      </c>
      <c r="F2494" s="7" t="n">
        <v>1</v>
      </c>
      <c r="G2494" s="7" t="n">
        <v>26.19</v>
      </c>
    </row>
    <row r="2495" customFormat="false" ht="15" hidden="false" customHeight="false" outlineLevel="0" collapsed="false">
      <c r="A2495" s="7" t="s">
        <v>24</v>
      </c>
      <c r="B2495" s="7" t="s">
        <v>779</v>
      </c>
      <c r="C2495" s="7" t="s">
        <v>1089</v>
      </c>
      <c r="D2495" s="7" t="n">
        <v>0</v>
      </c>
      <c r="E2495" s="7" t="n">
        <v>0</v>
      </c>
      <c r="F2495" s="7" t="n">
        <v>1</v>
      </c>
      <c r="G2495" s="7" t="n">
        <v>26.19</v>
      </c>
    </row>
    <row r="2496" customFormat="false" ht="15" hidden="false" customHeight="false" outlineLevel="0" collapsed="false">
      <c r="A2496" s="7" t="s">
        <v>24</v>
      </c>
      <c r="B2496" s="7" t="s">
        <v>779</v>
      </c>
      <c r="C2496" s="7" t="s">
        <v>1089</v>
      </c>
      <c r="D2496" s="7" t="n">
        <v>0</v>
      </c>
      <c r="E2496" s="7" t="n">
        <v>0</v>
      </c>
      <c r="F2496" s="7" t="n">
        <v>2</v>
      </c>
      <c r="G2496" s="7" t="n">
        <v>52.37</v>
      </c>
    </row>
    <row r="2497" customFormat="false" ht="15" hidden="false" customHeight="false" outlineLevel="0" collapsed="false">
      <c r="A2497" s="7" t="s">
        <v>24</v>
      </c>
      <c r="B2497" s="7" t="s">
        <v>779</v>
      </c>
      <c r="C2497" s="7" t="s">
        <v>1089</v>
      </c>
      <c r="D2497" s="7" t="n">
        <v>0</v>
      </c>
      <c r="E2497" s="7" t="n">
        <v>0</v>
      </c>
      <c r="F2497" s="7" t="n">
        <v>2</v>
      </c>
      <c r="G2497" s="7" t="n">
        <v>52.38</v>
      </c>
    </row>
    <row r="2498" customFormat="false" ht="15" hidden="false" customHeight="false" outlineLevel="0" collapsed="false">
      <c r="A2498" s="7" t="s">
        <v>24</v>
      </c>
      <c r="B2498" s="7" t="s">
        <v>779</v>
      </c>
      <c r="C2498" s="7" t="s">
        <v>1089</v>
      </c>
      <c r="D2498" s="7" t="n">
        <v>0</v>
      </c>
      <c r="E2498" s="7" t="n">
        <v>0</v>
      </c>
      <c r="F2498" s="7" t="n">
        <v>1</v>
      </c>
      <c r="G2498" s="7" t="n">
        <v>23.56</v>
      </c>
    </row>
    <row r="2499" customFormat="false" ht="15" hidden="false" customHeight="false" outlineLevel="0" collapsed="false">
      <c r="A2499" s="7" t="s">
        <v>24</v>
      </c>
      <c r="B2499" s="7" t="s">
        <v>779</v>
      </c>
      <c r="C2499" s="7" t="s">
        <v>1089</v>
      </c>
      <c r="D2499" s="7" t="n">
        <v>0</v>
      </c>
      <c r="E2499" s="7" t="n">
        <v>0</v>
      </c>
      <c r="F2499" s="7" t="n">
        <v>1</v>
      </c>
      <c r="G2499" s="7" t="n">
        <v>26.19</v>
      </c>
    </row>
    <row r="2500" customFormat="false" ht="15" hidden="false" customHeight="false" outlineLevel="0" collapsed="false">
      <c r="A2500" s="7" t="s">
        <v>24</v>
      </c>
      <c r="B2500" s="7" t="s">
        <v>779</v>
      </c>
      <c r="C2500" s="7" t="s">
        <v>1089</v>
      </c>
      <c r="D2500" s="7" t="n">
        <v>0</v>
      </c>
      <c r="E2500" s="7" t="n">
        <v>0</v>
      </c>
      <c r="F2500" s="7" t="n">
        <v>2</v>
      </c>
      <c r="G2500" s="7" t="n">
        <v>47.14</v>
      </c>
    </row>
    <row r="2501" customFormat="false" ht="15" hidden="false" customHeight="false" outlineLevel="0" collapsed="false">
      <c r="A2501" s="7" t="s">
        <v>24</v>
      </c>
      <c r="B2501" s="7" t="s">
        <v>779</v>
      </c>
      <c r="C2501" s="7" t="s">
        <v>1089</v>
      </c>
      <c r="D2501" s="7" t="n">
        <v>0</v>
      </c>
      <c r="E2501" s="7" t="n">
        <v>0</v>
      </c>
      <c r="F2501" s="7" t="n">
        <v>1</v>
      </c>
      <c r="G2501" s="7" t="n">
        <v>23.58</v>
      </c>
    </row>
    <row r="2502" customFormat="false" ht="15" hidden="false" customHeight="false" outlineLevel="0" collapsed="false">
      <c r="A2502" s="7" t="s">
        <v>24</v>
      </c>
      <c r="B2502" s="7" t="s">
        <v>502</v>
      </c>
      <c r="C2502" s="7" t="s">
        <v>1090</v>
      </c>
      <c r="D2502" s="7" t="n">
        <v>9</v>
      </c>
      <c r="E2502" s="7" t="n">
        <v>321.52</v>
      </c>
      <c r="F2502" s="7" t="n">
        <v>0</v>
      </c>
      <c r="G2502" s="7" t="n">
        <v>0</v>
      </c>
    </row>
    <row r="2503" customFormat="false" ht="15" hidden="false" customHeight="false" outlineLevel="0" collapsed="false">
      <c r="A2503" s="7" t="s">
        <v>24</v>
      </c>
      <c r="B2503" s="7" t="s">
        <v>282</v>
      </c>
      <c r="C2503" s="7" t="s">
        <v>1171</v>
      </c>
      <c r="D2503" s="7" t="n">
        <v>0</v>
      </c>
      <c r="E2503" s="7" t="n">
        <v>0</v>
      </c>
      <c r="F2503" s="7" t="n">
        <v>3</v>
      </c>
      <c r="G2503" s="7" t="n">
        <v>78.56</v>
      </c>
    </row>
    <row r="2504" customFormat="false" ht="15" hidden="false" customHeight="false" outlineLevel="0" collapsed="false">
      <c r="A2504" s="7" t="s">
        <v>24</v>
      </c>
      <c r="B2504" s="7" t="s">
        <v>282</v>
      </c>
      <c r="C2504" s="7" t="s">
        <v>1171</v>
      </c>
      <c r="D2504" s="7" t="n">
        <v>0</v>
      </c>
      <c r="E2504" s="7" t="n">
        <v>0</v>
      </c>
      <c r="F2504" s="7" t="n">
        <v>1</v>
      </c>
      <c r="G2504" s="7" t="n">
        <v>26.19</v>
      </c>
    </row>
    <row r="2505" customFormat="false" ht="15" hidden="false" customHeight="false" outlineLevel="0" collapsed="false">
      <c r="A2505" s="7" t="s">
        <v>24</v>
      </c>
      <c r="B2505" s="7" t="s">
        <v>282</v>
      </c>
      <c r="C2505" s="7" t="s">
        <v>1171</v>
      </c>
      <c r="D2505" s="7" t="n">
        <v>0</v>
      </c>
      <c r="E2505" s="7" t="n">
        <v>0</v>
      </c>
      <c r="F2505" s="7" t="n">
        <v>2</v>
      </c>
      <c r="G2505" s="7" t="n">
        <v>44.54</v>
      </c>
    </row>
    <row r="2506" customFormat="false" ht="15" hidden="false" customHeight="false" outlineLevel="0" collapsed="false">
      <c r="A2506" s="7" t="s">
        <v>24</v>
      </c>
      <c r="B2506" s="7" t="s">
        <v>282</v>
      </c>
      <c r="C2506" s="7" t="s">
        <v>1171</v>
      </c>
      <c r="D2506" s="7" t="n">
        <v>0</v>
      </c>
      <c r="E2506" s="7" t="n">
        <v>0</v>
      </c>
      <c r="F2506" s="7" t="n">
        <v>2</v>
      </c>
      <c r="G2506" s="7" t="n">
        <v>52.37</v>
      </c>
    </row>
    <row r="2507" customFormat="false" ht="15" hidden="false" customHeight="false" outlineLevel="0" collapsed="false">
      <c r="A2507" s="7" t="s">
        <v>24</v>
      </c>
      <c r="B2507" s="7" t="s">
        <v>282</v>
      </c>
      <c r="C2507" s="7" t="s">
        <v>1171</v>
      </c>
      <c r="D2507" s="7" t="n">
        <v>0</v>
      </c>
      <c r="E2507" s="7" t="n">
        <v>0</v>
      </c>
      <c r="F2507" s="7" t="n">
        <v>1</v>
      </c>
      <c r="G2507" s="7" t="n">
        <v>26.19</v>
      </c>
    </row>
    <row r="2508" customFormat="false" ht="15" hidden="false" customHeight="false" outlineLevel="0" collapsed="false">
      <c r="A2508" s="7" t="s">
        <v>24</v>
      </c>
      <c r="B2508" s="7" t="s">
        <v>282</v>
      </c>
      <c r="C2508" s="7" t="s">
        <v>1171</v>
      </c>
      <c r="D2508" s="7" t="n">
        <v>0</v>
      </c>
      <c r="E2508" s="7" t="n">
        <v>0</v>
      </c>
      <c r="F2508" s="7" t="n">
        <v>2</v>
      </c>
      <c r="G2508" s="7" t="n">
        <v>44.53</v>
      </c>
    </row>
    <row r="2509" customFormat="false" ht="15" hidden="false" customHeight="false" outlineLevel="0" collapsed="false">
      <c r="A2509" s="7" t="s">
        <v>24</v>
      </c>
      <c r="B2509" s="7" t="s">
        <v>282</v>
      </c>
      <c r="C2509" s="7" t="s">
        <v>1171</v>
      </c>
      <c r="D2509" s="7" t="n">
        <v>0</v>
      </c>
      <c r="E2509" s="7" t="n">
        <v>0</v>
      </c>
      <c r="F2509" s="7" t="n">
        <v>2</v>
      </c>
      <c r="G2509" s="7" t="n">
        <v>52.37</v>
      </c>
    </row>
    <row r="2510" customFormat="false" ht="15" hidden="false" customHeight="false" outlineLevel="0" collapsed="false">
      <c r="A2510" s="7" t="s">
        <v>24</v>
      </c>
      <c r="B2510" s="7" t="s">
        <v>282</v>
      </c>
      <c r="C2510" s="7" t="s">
        <v>1171</v>
      </c>
      <c r="D2510" s="7" t="n">
        <v>0</v>
      </c>
      <c r="E2510" s="7" t="n">
        <v>0</v>
      </c>
      <c r="F2510" s="7" t="n">
        <v>10</v>
      </c>
      <c r="G2510" s="7" t="n">
        <v>235.68</v>
      </c>
    </row>
    <row r="2511" customFormat="false" ht="15" hidden="false" customHeight="false" outlineLevel="0" collapsed="false">
      <c r="A2511" s="7" t="s">
        <v>24</v>
      </c>
      <c r="B2511" s="7" t="s">
        <v>282</v>
      </c>
      <c r="C2511" s="7" t="s">
        <v>1171</v>
      </c>
      <c r="D2511" s="7" t="n">
        <v>0</v>
      </c>
      <c r="E2511" s="7" t="n">
        <v>0</v>
      </c>
      <c r="F2511" s="7" t="n">
        <v>1</v>
      </c>
      <c r="G2511" s="7" t="n">
        <v>26.19</v>
      </c>
    </row>
    <row r="2512" customFormat="false" ht="15" hidden="false" customHeight="false" outlineLevel="0" collapsed="false">
      <c r="A2512" s="7" t="s">
        <v>24</v>
      </c>
      <c r="B2512" s="7" t="s">
        <v>282</v>
      </c>
      <c r="C2512" s="7" t="s">
        <v>1171</v>
      </c>
      <c r="D2512" s="7" t="n">
        <v>0</v>
      </c>
      <c r="E2512" s="7" t="n">
        <v>0</v>
      </c>
      <c r="F2512" s="7" t="n">
        <v>1</v>
      </c>
      <c r="G2512" s="7" t="n">
        <v>22.27</v>
      </c>
    </row>
    <row r="2513" customFormat="false" ht="15" hidden="false" customHeight="false" outlineLevel="0" collapsed="false">
      <c r="A2513" s="7" t="s">
        <v>24</v>
      </c>
      <c r="B2513" s="7" t="s">
        <v>282</v>
      </c>
      <c r="C2513" s="7" t="s">
        <v>1171</v>
      </c>
      <c r="D2513" s="7" t="n">
        <v>0</v>
      </c>
      <c r="E2513" s="7" t="n">
        <v>0</v>
      </c>
      <c r="F2513" s="7" t="n">
        <v>2</v>
      </c>
      <c r="G2513" s="7" t="n">
        <v>52.38</v>
      </c>
    </row>
    <row r="2514" customFormat="false" ht="15" hidden="false" customHeight="false" outlineLevel="0" collapsed="false">
      <c r="A2514" s="7" t="s">
        <v>24</v>
      </c>
      <c r="B2514" s="7" t="s">
        <v>282</v>
      </c>
      <c r="C2514" s="7" t="s">
        <v>1171</v>
      </c>
      <c r="D2514" s="7" t="n">
        <v>0</v>
      </c>
      <c r="E2514" s="7" t="n">
        <v>0</v>
      </c>
      <c r="F2514" s="7" t="n">
        <v>1</v>
      </c>
      <c r="G2514" s="7" t="n">
        <v>24.88</v>
      </c>
    </row>
    <row r="2515" customFormat="false" ht="15" hidden="false" customHeight="false" outlineLevel="0" collapsed="false">
      <c r="A2515" s="7" t="s">
        <v>24</v>
      </c>
      <c r="B2515" s="7" t="s">
        <v>282</v>
      </c>
      <c r="C2515" s="7" t="s">
        <v>1171</v>
      </c>
      <c r="D2515" s="7" t="n">
        <v>0</v>
      </c>
      <c r="E2515" s="7" t="n">
        <v>0</v>
      </c>
      <c r="F2515" s="7" t="n">
        <v>1</v>
      </c>
      <c r="G2515" s="7" t="n">
        <v>26.18</v>
      </c>
    </row>
    <row r="2516" customFormat="false" ht="15" hidden="false" customHeight="false" outlineLevel="0" collapsed="false">
      <c r="A2516" s="7" t="s">
        <v>24</v>
      </c>
      <c r="B2516" s="7" t="s">
        <v>282</v>
      </c>
      <c r="C2516" s="7" t="s">
        <v>1171</v>
      </c>
      <c r="D2516" s="7" t="n">
        <v>0</v>
      </c>
      <c r="E2516" s="7" t="n">
        <v>0</v>
      </c>
      <c r="F2516" s="7" t="n">
        <v>1</v>
      </c>
      <c r="G2516" s="7" t="n">
        <v>26.18</v>
      </c>
    </row>
    <row r="2517" customFormat="false" ht="15" hidden="false" customHeight="false" outlineLevel="0" collapsed="false">
      <c r="A2517" s="7" t="s">
        <v>24</v>
      </c>
      <c r="B2517" s="7" t="s">
        <v>282</v>
      </c>
      <c r="C2517" s="7" t="s">
        <v>1171</v>
      </c>
      <c r="D2517" s="7" t="n">
        <v>0</v>
      </c>
      <c r="E2517" s="7" t="n">
        <v>0</v>
      </c>
      <c r="F2517" s="7" t="n">
        <v>1</v>
      </c>
      <c r="G2517" s="7" t="n">
        <v>26.19</v>
      </c>
    </row>
    <row r="2518" customFormat="false" ht="15" hidden="false" customHeight="false" outlineLevel="0" collapsed="false">
      <c r="A2518" s="7" t="s">
        <v>24</v>
      </c>
      <c r="B2518" s="7" t="s">
        <v>282</v>
      </c>
      <c r="C2518" s="7" t="s">
        <v>1171</v>
      </c>
      <c r="D2518" s="7" t="n">
        <v>0</v>
      </c>
      <c r="E2518" s="7" t="n">
        <v>0</v>
      </c>
      <c r="F2518" s="7" t="n">
        <v>2</v>
      </c>
      <c r="G2518" s="7" t="n">
        <v>47.14</v>
      </c>
    </row>
    <row r="2519" customFormat="false" ht="15" hidden="false" customHeight="false" outlineLevel="0" collapsed="false">
      <c r="A2519" s="7" t="s">
        <v>24</v>
      </c>
      <c r="B2519" s="7" t="s">
        <v>282</v>
      </c>
      <c r="C2519" s="7" t="s">
        <v>1171</v>
      </c>
      <c r="D2519" s="7" t="n">
        <v>0</v>
      </c>
      <c r="E2519" s="7" t="n">
        <v>0</v>
      </c>
      <c r="F2519" s="7" t="n">
        <v>1</v>
      </c>
      <c r="G2519" s="7" t="n">
        <v>26.19</v>
      </c>
    </row>
    <row r="2520" customFormat="false" ht="15" hidden="false" customHeight="false" outlineLevel="0" collapsed="false">
      <c r="A2520" s="7" t="s">
        <v>24</v>
      </c>
      <c r="B2520" s="7" t="s">
        <v>282</v>
      </c>
      <c r="C2520" s="7" t="s">
        <v>1171</v>
      </c>
      <c r="D2520" s="7" t="n">
        <v>0</v>
      </c>
      <c r="E2520" s="7" t="n">
        <v>0</v>
      </c>
      <c r="F2520" s="7" t="n">
        <v>3</v>
      </c>
      <c r="G2520" s="7" t="n">
        <v>78.56</v>
      </c>
    </row>
    <row r="2521" customFormat="false" ht="15" hidden="false" customHeight="false" outlineLevel="0" collapsed="false">
      <c r="A2521" s="7" t="s">
        <v>24</v>
      </c>
      <c r="B2521" s="7" t="s">
        <v>282</v>
      </c>
      <c r="C2521" s="7" t="s">
        <v>1171</v>
      </c>
      <c r="D2521" s="7" t="n">
        <v>0</v>
      </c>
      <c r="E2521" s="7" t="n">
        <v>0</v>
      </c>
      <c r="F2521" s="7" t="n">
        <v>1</v>
      </c>
      <c r="G2521" s="7" t="n">
        <v>23.57</v>
      </c>
    </row>
    <row r="2522" customFormat="false" ht="15" hidden="false" customHeight="false" outlineLevel="0" collapsed="false">
      <c r="A2522" s="7" t="s">
        <v>24</v>
      </c>
      <c r="B2522" s="7" t="s">
        <v>282</v>
      </c>
      <c r="C2522" s="7" t="s">
        <v>1171</v>
      </c>
      <c r="D2522" s="7" t="n">
        <v>0</v>
      </c>
      <c r="E2522" s="7" t="n">
        <v>0</v>
      </c>
      <c r="F2522" s="7" t="n">
        <v>2</v>
      </c>
      <c r="G2522" s="7" t="n">
        <v>52.38</v>
      </c>
    </row>
    <row r="2523" customFormat="false" ht="15" hidden="false" customHeight="false" outlineLevel="0" collapsed="false">
      <c r="A2523" s="7" t="s">
        <v>24</v>
      </c>
      <c r="B2523" s="7" t="s">
        <v>516</v>
      </c>
      <c r="C2523" s="7" t="s">
        <v>1171</v>
      </c>
      <c r="D2523" s="7" t="n">
        <v>33</v>
      </c>
      <c r="E2523" s="7" t="n">
        <v>791.32</v>
      </c>
      <c r="F2523" s="7" t="n">
        <v>19</v>
      </c>
      <c r="G2523" s="7" t="n">
        <v>484.5</v>
      </c>
    </row>
    <row r="2524" customFormat="false" ht="15" hidden="false" customHeight="false" outlineLevel="0" collapsed="false">
      <c r="A2524" s="7" t="s">
        <v>24</v>
      </c>
      <c r="B2524" s="7" t="s">
        <v>699</v>
      </c>
      <c r="C2524" s="7"/>
      <c r="D2524" s="7" t="n">
        <v>0</v>
      </c>
      <c r="E2524" s="7" t="n">
        <v>0</v>
      </c>
      <c r="F2524" s="7" t="n">
        <v>2</v>
      </c>
      <c r="G2524" s="7" t="n">
        <v>50.68</v>
      </c>
    </row>
    <row r="2525" customFormat="false" ht="15" hidden="false" customHeight="false" outlineLevel="0" collapsed="false">
      <c r="A2525" s="7" t="s">
        <v>24</v>
      </c>
      <c r="B2525" s="7" t="s">
        <v>699</v>
      </c>
      <c r="C2525" s="7"/>
      <c r="D2525" s="7" t="n">
        <v>0</v>
      </c>
      <c r="E2525" s="7" t="n">
        <v>0</v>
      </c>
      <c r="F2525" s="7" t="n">
        <v>1</v>
      </c>
      <c r="G2525" s="7" t="n">
        <v>22.8</v>
      </c>
    </row>
    <row r="2526" customFormat="false" ht="15" hidden="false" customHeight="false" outlineLevel="0" collapsed="false">
      <c r="A2526" s="7" t="s">
        <v>24</v>
      </c>
      <c r="B2526" s="7" t="s">
        <v>699</v>
      </c>
      <c r="C2526" s="7"/>
      <c r="D2526" s="7" t="n">
        <v>0</v>
      </c>
      <c r="E2526" s="7" t="n">
        <v>0</v>
      </c>
      <c r="F2526" s="7" t="n">
        <v>1</v>
      </c>
      <c r="G2526" s="7" t="n">
        <v>22.8</v>
      </c>
    </row>
    <row r="2527" customFormat="false" ht="15" hidden="false" customHeight="false" outlineLevel="0" collapsed="false">
      <c r="A2527" s="7" t="s">
        <v>24</v>
      </c>
      <c r="B2527" s="7" t="s">
        <v>515</v>
      </c>
      <c r="C2527" s="7" t="s">
        <v>1226</v>
      </c>
      <c r="D2527" s="7" t="n">
        <v>19</v>
      </c>
      <c r="E2527" s="7" t="n">
        <v>477.66</v>
      </c>
      <c r="F2527" s="7" t="n">
        <v>7</v>
      </c>
      <c r="G2527" s="7" t="n">
        <v>169.78</v>
      </c>
    </row>
    <row r="2528" customFormat="false" ht="15" hidden="false" customHeight="false" outlineLevel="0" collapsed="false">
      <c r="A2528" s="7" t="s">
        <v>24</v>
      </c>
      <c r="B2528" s="7" t="s">
        <v>225</v>
      </c>
      <c r="C2528" s="7" t="s">
        <v>1091</v>
      </c>
      <c r="D2528" s="7" t="n">
        <v>0</v>
      </c>
      <c r="E2528" s="7" t="n">
        <v>0</v>
      </c>
      <c r="F2528" s="7" t="n">
        <v>4</v>
      </c>
      <c r="G2528" s="7" t="n">
        <v>135.25</v>
      </c>
    </row>
    <row r="2529" customFormat="false" ht="15" hidden="false" customHeight="false" outlineLevel="0" collapsed="false">
      <c r="A2529" s="7" t="s">
        <v>24</v>
      </c>
      <c r="B2529" s="7" t="s">
        <v>225</v>
      </c>
      <c r="C2529" s="7" t="s">
        <v>1091</v>
      </c>
      <c r="D2529" s="7" t="n">
        <v>0</v>
      </c>
      <c r="E2529" s="7" t="n">
        <v>0</v>
      </c>
      <c r="F2529" s="7" t="n">
        <v>1</v>
      </c>
      <c r="G2529" s="7" t="n">
        <v>33.81</v>
      </c>
    </row>
    <row r="2530" customFormat="false" ht="15" hidden="false" customHeight="false" outlineLevel="0" collapsed="false">
      <c r="A2530" s="7" t="s">
        <v>24</v>
      </c>
      <c r="B2530" s="7" t="s">
        <v>225</v>
      </c>
      <c r="C2530" s="7" t="s">
        <v>1091</v>
      </c>
      <c r="D2530" s="7" t="n">
        <v>0</v>
      </c>
      <c r="E2530" s="7" t="n">
        <v>0</v>
      </c>
      <c r="F2530" s="7" t="n">
        <v>4</v>
      </c>
      <c r="G2530" s="7" t="n">
        <v>135.26</v>
      </c>
    </row>
    <row r="2531" customFormat="false" ht="15" hidden="false" customHeight="false" outlineLevel="0" collapsed="false">
      <c r="A2531" s="7" t="s">
        <v>24</v>
      </c>
      <c r="B2531" s="7" t="s">
        <v>225</v>
      </c>
      <c r="C2531" s="7" t="s">
        <v>1091</v>
      </c>
      <c r="D2531" s="7" t="n">
        <v>0</v>
      </c>
      <c r="E2531" s="7" t="n">
        <v>0</v>
      </c>
      <c r="F2531" s="7" t="n">
        <v>2</v>
      </c>
      <c r="G2531" s="7" t="n">
        <v>67.63</v>
      </c>
    </row>
    <row r="2532" customFormat="false" ht="15" hidden="false" customHeight="false" outlineLevel="0" collapsed="false">
      <c r="A2532" s="7" t="s">
        <v>24</v>
      </c>
      <c r="B2532" s="7" t="s">
        <v>225</v>
      </c>
      <c r="C2532" s="7" t="s">
        <v>1091</v>
      </c>
      <c r="D2532" s="7" t="n">
        <v>0</v>
      </c>
      <c r="E2532" s="7" t="n">
        <v>0</v>
      </c>
      <c r="F2532" s="7" t="n">
        <v>1</v>
      </c>
      <c r="G2532" s="7" t="n">
        <v>33.81</v>
      </c>
    </row>
    <row r="2533" customFormat="false" ht="15" hidden="false" customHeight="false" outlineLevel="0" collapsed="false">
      <c r="A2533" s="7" t="s">
        <v>24</v>
      </c>
      <c r="B2533" s="7" t="s">
        <v>225</v>
      </c>
      <c r="C2533" s="7" t="s">
        <v>1091</v>
      </c>
      <c r="D2533" s="7" t="n">
        <v>0</v>
      </c>
      <c r="E2533" s="7" t="n">
        <v>0</v>
      </c>
      <c r="F2533" s="7" t="n">
        <v>10</v>
      </c>
      <c r="G2533" s="7" t="n">
        <v>338.14</v>
      </c>
    </row>
    <row r="2534" customFormat="false" ht="15" hidden="false" customHeight="false" outlineLevel="0" collapsed="false">
      <c r="A2534" s="7" t="s">
        <v>24</v>
      </c>
      <c r="B2534" s="7" t="s">
        <v>225</v>
      </c>
      <c r="C2534" s="7" t="s">
        <v>1091</v>
      </c>
      <c r="D2534" s="7" t="n">
        <v>0</v>
      </c>
      <c r="E2534" s="7" t="n">
        <v>0</v>
      </c>
      <c r="F2534" s="7" t="n">
        <v>1</v>
      </c>
      <c r="G2534" s="7" t="n">
        <v>33.82</v>
      </c>
    </row>
    <row r="2535" customFormat="false" ht="15" hidden="false" customHeight="false" outlineLevel="0" collapsed="false">
      <c r="A2535" s="7" t="s">
        <v>24</v>
      </c>
      <c r="B2535" s="7" t="s">
        <v>225</v>
      </c>
      <c r="C2535" s="7" t="s">
        <v>1091</v>
      </c>
      <c r="D2535" s="7" t="n">
        <v>0</v>
      </c>
      <c r="E2535" s="7" t="n">
        <v>0</v>
      </c>
      <c r="F2535" s="7" t="n">
        <v>4</v>
      </c>
      <c r="G2535" s="7" t="n">
        <v>114.98</v>
      </c>
    </row>
    <row r="2536" customFormat="false" ht="15" hidden="false" customHeight="false" outlineLevel="0" collapsed="false">
      <c r="A2536" s="7" t="s">
        <v>24</v>
      </c>
      <c r="B2536" s="7" t="s">
        <v>225</v>
      </c>
      <c r="C2536" s="7" t="s">
        <v>1091</v>
      </c>
      <c r="D2536" s="7" t="n">
        <v>0</v>
      </c>
      <c r="E2536" s="7" t="n">
        <v>0</v>
      </c>
      <c r="F2536" s="7" t="n">
        <v>1</v>
      </c>
      <c r="G2536" s="7" t="n">
        <v>28.74</v>
      </c>
    </row>
    <row r="2537" customFormat="false" ht="15" hidden="false" customHeight="false" outlineLevel="0" collapsed="false">
      <c r="A2537" s="7" t="s">
        <v>24</v>
      </c>
      <c r="B2537" s="7" t="s">
        <v>225</v>
      </c>
      <c r="C2537" s="7" t="s">
        <v>1091</v>
      </c>
      <c r="D2537" s="7" t="n">
        <v>0</v>
      </c>
      <c r="E2537" s="7" t="n">
        <v>0</v>
      </c>
      <c r="F2537" s="7" t="n">
        <v>1</v>
      </c>
      <c r="G2537" s="7" t="n">
        <v>33.81</v>
      </c>
    </row>
    <row r="2538" customFormat="false" ht="15" hidden="false" customHeight="false" outlineLevel="0" collapsed="false">
      <c r="A2538" s="7" t="s">
        <v>24</v>
      </c>
      <c r="B2538" s="7" t="s">
        <v>225</v>
      </c>
      <c r="C2538" s="7" t="s">
        <v>1091</v>
      </c>
      <c r="D2538" s="7" t="n">
        <v>14</v>
      </c>
      <c r="E2538" s="7" t="n">
        <v>461.58</v>
      </c>
      <c r="F2538" s="7" t="n">
        <v>0</v>
      </c>
      <c r="G2538" s="7" t="n">
        <v>0</v>
      </c>
    </row>
    <row r="2539" customFormat="false" ht="15" hidden="false" customHeight="false" outlineLevel="0" collapsed="false">
      <c r="A2539" s="7" t="s">
        <v>24</v>
      </c>
      <c r="B2539" s="7" t="s">
        <v>225</v>
      </c>
      <c r="C2539" s="7" t="s">
        <v>1091</v>
      </c>
      <c r="D2539" s="7" t="n">
        <v>0</v>
      </c>
      <c r="E2539" s="7" t="n">
        <v>0</v>
      </c>
      <c r="F2539" s="7" t="n">
        <v>2</v>
      </c>
      <c r="G2539" s="7" t="n">
        <v>57.49</v>
      </c>
    </row>
    <row r="2540" customFormat="false" ht="15" hidden="false" customHeight="false" outlineLevel="0" collapsed="false">
      <c r="A2540" s="7" t="s">
        <v>24</v>
      </c>
      <c r="B2540" s="7" t="s">
        <v>225</v>
      </c>
      <c r="C2540" s="7" t="s">
        <v>1091</v>
      </c>
      <c r="D2540" s="7" t="n">
        <v>0</v>
      </c>
      <c r="E2540" s="7" t="n">
        <v>0</v>
      </c>
      <c r="F2540" s="7" t="n">
        <v>2</v>
      </c>
      <c r="G2540" s="7" t="n">
        <v>60.86</v>
      </c>
    </row>
    <row r="2541" customFormat="false" ht="15" hidden="false" customHeight="false" outlineLevel="0" collapsed="false">
      <c r="A2541" s="7" t="s">
        <v>24</v>
      </c>
      <c r="B2541" s="7" t="s">
        <v>225</v>
      </c>
      <c r="C2541" s="7" t="s">
        <v>1091</v>
      </c>
      <c r="D2541" s="7" t="n">
        <v>0</v>
      </c>
      <c r="E2541" s="7" t="n">
        <v>0</v>
      </c>
      <c r="F2541" s="7" t="n">
        <v>1</v>
      </c>
      <c r="G2541" s="7" t="n">
        <v>33.82</v>
      </c>
    </row>
    <row r="2542" customFormat="false" ht="15" hidden="false" customHeight="false" outlineLevel="0" collapsed="false">
      <c r="A2542" s="7" t="s">
        <v>24</v>
      </c>
      <c r="B2542" s="7" t="s">
        <v>225</v>
      </c>
      <c r="C2542" s="7" t="s">
        <v>1091</v>
      </c>
      <c r="D2542" s="7" t="n">
        <v>0</v>
      </c>
      <c r="E2542" s="7" t="n">
        <v>0</v>
      </c>
      <c r="F2542" s="7" t="n">
        <v>1</v>
      </c>
      <c r="G2542" s="7" t="n">
        <v>28.75</v>
      </c>
    </row>
    <row r="2543" customFormat="false" ht="15" hidden="false" customHeight="false" outlineLevel="0" collapsed="false">
      <c r="A2543" s="7" t="s">
        <v>24</v>
      </c>
      <c r="B2543" s="7" t="s">
        <v>225</v>
      </c>
      <c r="C2543" s="7" t="s">
        <v>1091</v>
      </c>
      <c r="D2543" s="7" t="n">
        <v>0</v>
      </c>
      <c r="E2543" s="7" t="n">
        <v>0</v>
      </c>
      <c r="F2543" s="7" t="n">
        <v>1</v>
      </c>
      <c r="G2543" s="7" t="n">
        <v>33.81</v>
      </c>
    </row>
    <row r="2544" customFormat="false" ht="15" hidden="false" customHeight="false" outlineLevel="0" collapsed="false">
      <c r="A2544" s="7" t="s">
        <v>24</v>
      </c>
      <c r="B2544" s="7" t="s">
        <v>225</v>
      </c>
      <c r="C2544" s="7" t="s">
        <v>1091</v>
      </c>
      <c r="D2544" s="7" t="n">
        <v>37</v>
      </c>
      <c r="E2544" s="7" t="n">
        <v>1156.31</v>
      </c>
      <c r="F2544" s="7" t="n">
        <v>43</v>
      </c>
      <c r="G2544" s="7" t="n">
        <v>1350.71</v>
      </c>
    </row>
    <row r="2545" customFormat="false" ht="15" hidden="false" customHeight="false" outlineLevel="0" collapsed="false">
      <c r="A2545" s="7" t="s">
        <v>24</v>
      </c>
      <c r="B2545" s="7" t="s">
        <v>225</v>
      </c>
      <c r="C2545" s="7" t="s">
        <v>1091</v>
      </c>
      <c r="D2545" s="7" t="n">
        <v>0</v>
      </c>
      <c r="E2545" s="7" t="n">
        <v>0</v>
      </c>
      <c r="F2545" s="7" t="n">
        <v>2</v>
      </c>
      <c r="G2545" s="7" t="n">
        <v>67.62</v>
      </c>
    </row>
    <row r="2546" customFormat="false" ht="15" hidden="false" customHeight="false" outlineLevel="0" collapsed="false">
      <c r="A2546" s="7" t="s">
        <v>24</v>
      </c>
      <c r="B2546" s="7" t="s">
        <v>225</v>
      </c>
      <c r="C2546" s="7" t="s">
        <v>1091</v>
      </c>
      <c r="D2546" s="7" t="n">
        <v>0</v>
      </c>
      <c r="E2546" s="7" t="n">
        <v>0</v>
      </c>
      <c r="F2546" s="7" t="n">
        <v>1</v>
      </c>
      <c r="G2546" s="7" t="n">
        <v>30.43</v>
      </c>
    </row>
    <row r="2547" customFormat="false" ht="15" hidden="false" customHeight="false" outlineLevel="0" collapsed="false">
      <c r="A2547" s="7" t="s">
        <v>24</v>
      </c>
      <c r="B2547" s="7" t="s">
        <v>225</v>
      </c>
      <c r="C2547" s="7" t="s">
        <v>1091</v>
      </c>
      <c r="D2547" s="7" t="n">
        <v>0</v>
      </c>
      <c r="E2547" s="7" t="n">
        <v>0</v>
      </c>
      <c r="F2547" s="7" t="n">
        <v>3</v>
      </c>
      <c r="G2547" s="7" t="n">
        <v>101.45</v>
      </c>
    </row>
    <row r="2548" customFormat="false" ht="15" hidden="false" customHeight="false" outlineLevel="0" collapsed="false">
      <c r="A2548" s="7" t="s">
        <v>24</v>
      </c>
      <c r="B2548" s="7" t="s">
        <v>225</v>
      </c>
      <c r="C2548" s="7" t="s">
        <v>1091</v>
      </c>
      <c r="D2548" s="7" t="n">
        <v>0</v>
      </c>
      <c r="E2548" s="7" t="n">
        <v>0</v>
      </c>
      <c r="F2548" s="7" t="n">
        <v>1</v>
      </c>
      <c r="G2548" s="7" t="n">
        <v>33.81</v>
      </c>
    </row>
    <row r="2549" customFormat="false" ht="15" hidden="false" customHeight="false" outlineLevel="0" collapsed="false">
      <c r="A2549" s="7" t="s">
        <v>24</v>
      </c>
      <c r="B2549" s="7" t="s">
        <v>225</v>
      </c>
      <c r="C2549" s="7" t="s">
        <v>1091</v>
      </c>
      <c r="D2549" s="7" t="n">
        <v>0</v>
      </c>
      <c r="E2549" s="7" t="n">
        <v>0</v>
      </c>
      <c r="F2549" s="7" t="n">
        <v>1</v>
      </c>
      <c r="G2549" s="7" t="n">
        <v>33.81</v>
      </c>
    </row>
    <row r="2550" customFormat="false" ht="15" hidden="false" customHeight="false" outlineLevel="0" collapsed="false">
      <c r="A2550" s="7" t="s">
        <v>24</v>
      </c>
      <c r="B2550" s="7" t="s">
        <v>225</v>
      </c>
      <c r="C2550" s="7" t="s">
        <v>1091</v>
      </c>
      <c r="D2550" s="7" t="n">
        <v>0</v>
      </c>
      <c r="E2550" s="7" t="n">
        <v>0</v>
      </c>
      <c r="F2550" s="7" t="n">
        <v>1</v>
      </c>
      <c r="G2550" s="7" t="n">
        <v>33.81</v>
      </c>
    </row>
    <row r="2551" customFormat="false" ht="15" hidden="false" customHeight="false" outlineLevel="0" collapsed="false">
      <c r="A2551" s="7" t="s">
        <v>24</v>
      </c>
      <c r="B2551" s="7" t="s">
        <v>225</v>
      </c>
      <c r="C2551" s="7" t="s">
        <v>1091</v>
      </c>
      <c r="D2551" s="7" t="n">
        <v>0</v>
      </c>
      <c r="E2551" s="7" t="n">
        <v>0</v>
      </c>
      <c r="F2551" s="7" t="n">
        <v>1</v>
      </c>
      <c r="G2551" s="7" t="n">
        <v>33.82</v>
      </c>
    </row>
    <row r="2552" customFormat="false" ht="15" hidden="false" customHeight="false" outlineLevel="0" collapsed="false">
      <c r="A2552" s="7" t="s">
        <v>24</v>
      </c>
      <c r="B2552" s="7" t="s">
        <v>225</v>
      </c>
      <c r="C2552" s="7" t="s">
        <v>1091</v>
      </c>
      <c r="D2552" s="7" t="n">
        <v>0</v>
      </c>
      <c r="E2552" s="7" t="n">
        <v>0</v>
      </c>
      <c r="F2552" s="7" t="n">
        <v>1</v>
      </c>
      <c r="G2552" s="7" t="n">
        <v>30.43</v>
      </c>
    </row>
    <row r="2553" customFormat="false" ht="15" hidden="false" customHeight="false" outlineLevel="0" collapsed="false">
      <c r="A2553" s="7" t="s">
        <v>24</v>
      </c>
      <c r="B2553" s="7" t="s">
        <v>225</v>
      </c>
      <c r="C2553" s="7" t="s">
        <v>1091</v>
      </c>
      <c r="D2553" s="7" t="n">
        <v>0</v>
      </c>
      <c r="E2553" s="7" t="n">
        <v>0</v>
      </c>
      <c r="F2553" s="7" t="n">
        <v>2</v>
      </c>
      <c r="G2553" s="7" t="n">
        <v>67.63</v>
      </c>
    </row>
    <row r="2554" customFormat="false" ht="15" hidden="false" customHeight="false" outlineLevel="0" collapsed="false">
      <c r="A2554" s="7" t="s">
        <v>24</v>
      </c>
      <c r="B2554" s="7" t="s">
        <v>225</v>
      </c>
      <c r="C2554" s="7" t="s">
        <v>1091</v>
      </c>
      <c r="D2554" s="7" t="n">
        <v>0</v>
      </c>
      <c r="E2554" s="7" t="n">
        <v>0</v>
      </c>
      <c r="F2554" s="7" t="n">
        <v>1</v>
      </c>
      <c r="G2554" s="7" t="n">
        <v>33.81</v>
      </c>
    </row>
    <row r="2555" customFormat="false" ht="15" hidden="false" customHeight="false" outlineLevel="0" collapsed="false">
      <c r="A2555" s="7" t="s">
        <v>24</v>
      </c>
      <c r="B2555" s="7" t="s">
        <v>225</v>
      </c>
      <c r="C2555" s="7" t="s">
        <v>1091</v>
      </c>
      <c r="D2555" s="7" t="n">
        <v>0</v>
      </c>
      <c r="E2555" s="7" t="n">
        <v>0</v>
      </c>
      <c r="F2555" s="7" t="n">
        <v>2</v>
      </c>
      <c r="G2555" s="7" t="n">
        <v>67.63</v>
      </c>
    </row>
    <row r="2556" customFormat="false" ht="15" hidden="false" customHeight="false" outlineLevel="0" collapsed="false">
      <c r="A2556" s="7" t="s">
        <v>24</v>
      </c>
      <c r="B2556" s="7" t="s">
        <v>225</v>
      </c>
      <c r="C2556" s="7" t="s">
        <v>1091</v>
      </c>
      <c r="D2556" s="7" t="n">
        <v>0</v>
      </c>
      <c r="E2556" s="7" t="n">
        <v>0</v>
      </c>
      <c r="F2556" s="7" t="n">
        <v>3</v>
      </c>
      <c r="G2556" s="7" t="n">
        <v>101.44</v>
      </c>
    </row>
    <row r="2557" customFormat="false" ht="15" hidden="false" customHeight="false" outlineLevel="0" collapsed="false">
      <c r="A2557" s="7" t="s">
        <v>24</v>
      </c>
      <c r="B2557" s="7" t="s">
        <v>337</v>
      </c>
      <c r="C2557" s="7" t="s">
        <v>1227</v>
      </c>
      <c r="D2557" s="7" t="n">
        <v>5</v>
      </c>
      <c r="E2557" s="7" t="n">
        <v>577.2</v>
      </c>
      <c r="F2557" s="7" t="n">
        <v>4</v>
      </c>
      <c r="G2557" s="7" t="n">
        <v>468.97</v>
      </c>
    </row>
    <row r="2558" customFormat="false" ht="15" hidden="false" customHeight="false" outlineLevel="0" collapsed="false">
      <c r="A2558" s="7" t="s">
        <v>24</v>
      </c>
      <c r="B2558" s="7" t="s">
        <v>337</v>
      </c>
      <c r="C2558" s="7" t="s">
        <v>1227</v>
      </c>
      <c r="D2558" s="7" t="n">
        <v>0</v>
      </c>
      <c r="E2558" s="7" t="n">
        <v>0</v>
      </c>
      <c r="F2558" s="7" t="n">
        <v>1</v>
      </c>
      <c r="G2558" s="7" t="n">
        <v>120.25</v>
      </c>
    </row>
    <row r="2559" customFormat="false" ht="15" hidden="false" customHeight="false" outlineLevel="0" collapsed="false">
      <c r="A2559" s="7" t="s">
        <v>24</v>
      </c>
      <c r="B2559" s="7" t="s">
        <v>337</v>
      </c>
      <c r="C2559" s="7" t="s">
        <v>1227</v>
      </c>
      <c r="D2559" s="7" t="n">
        <v>0</v>
      </c>
      <c r="E2559" s="7" t="n">
        <v>0</v>
      </c>
      <c r="F2559" s="7" t="n">
        <v>2</v>
      </c>
      <c r="G2559" s="7" t="n">
        <v>240.5</v>
      </c>
    </row>
    <row r="2560" customFormat="false" ht="15" hidden="false" customHeight="false" outlineLevel="0" collapsed="false">
      <c r="A2560" s="7" t="s">
        <v>24</v>
      </c>
      <c r="B2560" s="7" t="s">
        <v>337</v>
      </c>
      <c r="C2560" s="7" t="s">
        <v>1227</v>
      </c>
      <c r="D2560" s="7" t="n">
        <v>0</v>
      </c>
      <c r="E2560" s="7" t="n">
        <v>0</v>
      </c>
      <c r="F2560" s="7" t="n">
        <v>1</v>
      </c>
      <c r="G2560" s="7" t="n">
        <v>108.23</v>
      </c>
    </row>
    <row r="2561" customFormat="false" ht="15" hidden="false" customHeight="false" outlineLevel="0" collapsed="false">
      <c r="A2561" s="7" t="s">
        <v>24</v>
      </c>
      <c r="B2561" s="7" t="s">
        <v>337</v>
      </c>
      <c r="C2561" s="7" t="s">
        <v>1227</v>
      </c>
      <c r="D2561" s="7" t="n">
        <v>0</v>
      </c>
      <c r="E2561" s="7" t="n">
        <v>0</v>
      </c>
      <c r="F2561" s="7" t="n">
        <v>1</v>
      </c>
      <c r="G2561" s="7" t="n">
        <v>102.22</v>
      </c>
    </row>
    <row r="2562" customFormat="false" ht="15" hidden="false" customHeight="false" outlineLevel="0" collapsed="false">
      <c r="A2562" s="7" t="s">
        <v>24</v>
      </c>
      <c r="B2562" s="7" t="s">
        <v>337</v>
      </c>
      <c r="C2562" s="7" t="s">
        <v>1227</v>
      </c>
      <c r="D2562" s="7" t="n">
        <v>0</v>
      </c>
      <c r="E2562" s="7" t="n">
        <v>0</v>
      </c>
      <c r="F2562" s="7" t="n">
        <v>1</v>
      </c>
      <c r="G2562" s="7" t="n">
        <v>120.25</v>
      </c>
    </row>
    <row r="2563" customFormat="false" ht="15" hidden="false" customHeight="false" outlineLevel="0" collapsed="false">
      <c r="A2563" s="7" t="s">
        <v>24</v>
      </c>
      <c r="B2563" s="7" t="s">
        <v>337</v>
      </c>
      <c r="C2563" s="7" t="s">
        <v>1227</v>
      </c>
      <c r="D2563" s="7" t="n">
        <v>0</v>
      </c>
      <c r="E2563" s="7" t="n">
        <v>0</v>
      </c>
      <c r="F2563" s="7" t="n">
        <v>1</v>
      </c>
      <c r="G2563" s="7" t="n">
        <v>120.25</v>
      </c>
    </row>
    <row r="2564" customFormat="false" ht="15" hidden="false" customHeight="false" outlineLevel="0" collapsed="false">
      <c r="A2564" s="7" t="s">
        <v>24</v>
      </c>
      <c r="B2564" s="7" t="s">
        <v>419</v>
      </c>
      <c r="C2564" s="7" t="s">
        <v>1228</v>
      </c>
      <c r="D2564" s="7" t="n">
        <v>0</v>
      </c>
      <c r="E2564" s="7" t="n">
        <v>0</v>
      </c>
      <c r="F2564" s="7" t="n">
        <v>1</v>
      </c>
      <c r="G2564" s="7" t="n">
        <v>59.23</v>
      </c>
    </row>
    <row r="2565" customFormat="false" ht="15" hidden="false" customHeight="false" outlineLevel="0" collapsed="false">
      <c r="A2565" s="7" t="s">
        <v>24</v>
      </c>
      <c r="B2565" s="7" t="s">
        <v>419</v>
      </c>
      <c r="C2565" s="7" t="s">
        <v>1228</v>
      </c>
      <c r="D2565" s="7" t="n">
        <v>0</v>
      </c>
      <c r="E2565" s="7" t="n">
        <v>0</v>
      </c>
      <c r="F2565" s="7" t="n">
        <v>1</v>
      </c>
      <c r="G2565" s="7" t="n">
        <v>53.31</v>
      </c>
    </row>
    <row r="2566" customFormat="false" ht="15" hidden="false" customHeight="false" outlineLevel="0" collapsed="false">
      <c r="A2566" s="7" t="s">
        <v>24</v>
      </c>
      <c r="B2566" s="7" t="s">
        <v>419</v>
      </c>
      <c r="C2566" s="7" t="s">
        <v>1228</v>
      </c>
      <c r="D2566" s="7" t="n">
        <v>0</v>
      </c>
      <c r="E2566" s="7" t="n">
        <v>0</v>
      </c>
      <c r="F2566" s="7" t="n">
        <v>1</v>
      </c>
      <c r="G2566" s="7" t="n">
        <v>59.24</v>
      </c>
    </row>
    <row r="2567" customFormat="false" ht="15" hidden="false" customHeight="false" outlineLevel="0" collapsed="false">
      <c r="A2567" s="7" t="s">
        <v>24</v>
      </c>
      <c r="B2567" s="7" t="s">
        <v>419</v>
      </c>
      <c r="C2567" s="7" t="s">
        <v>1228</v>
      </c>
      <c r="D2567" s="7" t="n">
        <v>2</v>
      </c>
      <c r="E2567" s="7" t="n">
        <v>111.7</v>
      </c>
      <c r="F2567" s="7" t="n">
        <v>0</v>
      </c>
      <c r="G2567" s="7" t="n">
        <v>0</v>
      </c>
    </row>
    <row r="2568" customFormat="false" ht="15" hidden="false" customHeight="false" outlineLevel="0" collapsed="false">
      <c r="A2568" s="7" t="s">
        <v>24</v>
      </c>
      <c r="B2568" s="7" t="s">
        <v>419</v>
      </c>
      <c r="C2568" s="7" t="s">
        <v>1228</v>
      </c>
      <c r="D2568" s="7" t="n">
        <v>19</v>
      </c>
      <c r="E2568" s="7" t="n">
        <v>1060.39</v>
      </c>
      <c r="F2568" s="7" t="n">
        <v>5</v>
      </c>
      <c r="G2568" s="7" t="n">
        <v>278.42</v>
      </c>
    </row>
    <row r="2569" customFormat="false" ht="15" hidden="false" customHeight="false" outlineLevel="0" collapsed="false">
      <c r="A2569" s="7" t="s">
        <v>24</v>
      </c>
      <c r="B2569" s="7" t="s">
        <v>419</v>
      </c>
      <c r="C2569" s="7" t="s">
        <v>1228</v>
      </c>
      <c r="D2569" s="7" t="n">
        <v>0</v>
      </c>
      <c r="E2569" s="7" t="n">
        <v>0</v>
      </c>
      <c r="F2569" s="7" t="n">
        <v>2</v>
      </c>
      <c r="G2569" s="7" t="n">
        <v>118.47</v>
      </c>
    </row>
    <row r="2570" customFormat="false" ht="15" hidden="false" customHeight="false" outlineLevel="0" collapsed="false">
      <c r="A2570" s="7" t="s">
        <v>24</v>
      </c>
      <c r="B2570" s="7" t="s">
        <v>419</v>
      </c>
      <c r="C2570" s="7" t="s">
        <v>1228</v>
      </c>
      <c r="D2570" s="7" t="n">
        <v>0</v>
      </c>
      <c r="E2570" s="7" t="n">
        <v>0</v>
      </c>
      <c r="F2570" s="7" t="n">
        <v>1</v>
      </c>
      <c r="G2570" s="7" t="n">
        <v>59.24</v>
      </c>
    </row>
    <row r="2571" customFormat="false" ht="15" hidden="false" customHeight="false" outlineLevel="0" collapsed="false">
      <c r="A2571" s="7" t="s">
        <v>24</v>
      </c>
      <c r="B2571" s="7" t="s">
        <v>419</v>
      </c>
      <c r="C2571" s="7" t="s">
        <v>1228</v>
      </c>
      <c r="D2571" s="7" t="n">
        <v>0</v>
      </c>
      <c r="E2571" s="7" t="n">
        <v>0</v>
      </c>
      <c r="F2571" s="7" t="n">
        <v>1</v>
      </c>
      <c r="G2571" s="7" t="n">
        <v>59.23</v>
      </c>
    </row>
    <row r="2572" customFormat="false" ht="15" hidden="false" customHeight="false" outlineLevel="0" collapsed="false">
      <c r="A2572" s="7" t="s">
        <v>24</v>
      </c>
      <c r="B2572" s="7" t="s">
        <v>504</v>
      </c>
      <c r="C2572" s="7" t="s">
        <v>1172</v>
      </c>
      <c r="D2572" s="7" t="n">
        <v>5</v>
      </c>
      <c r="E2572" s="7" t="n">
        <v>152.1</v>
      </c>
      <c r="F2572" s="7" t="n">
        <v>9</v>
      </c>
      <c r="G2572" s="7" t="n">
        <v>257.06</v>
      </c>
    </row>
    <row r="2573" customFormat="false" ht="15" hidden="false" customHeight="false" outlineLevel="0" collapsed="false">
      <c r="A2573" s="7" t="s">
        <v>24</v>
      </c>
      <c r="B2573" s="7" t="s">
        <v>504</v>
      </c>
      <c r="C2573" s="7" t="s">
        <v>1172</v>
      </c>
      <c r="D2573" s="7" t="n">
        <v>0</v>
      </c>
      <c r="E2573" s="7" t="n">
        <v>0</v>
      </c>
      <c r="F2573" s="7" t="n">
        <v>2</v>
      </c>
      <c r="G2573" s="7" t="n">
        <v>60.85</v>
      </c>
    </row>
    <row r="2574" customFormat="false" ht="15" hidden="false" customHeight="false" outlineLevel="0" collapsed="false">
      <c r="A2574" s="7" t="s">
        <v>24</v>
      </c>
      <c r="B2574" s="7" t="s">
        <v>504</v>
      </c>
      <c r="C2574" s="7" t="s">
        <v>1172</v>
      </c>
      <c r="D2574" s="7" t="n">
        <v>0</v>
      </c>
      <c r="E2574" s="7" t="n">
        <v>0</v>
      </c>
      <c r="F2574" s="7" t="n">
        <v>4</v>
      </c>
      <c r="G2574" s="7" t="n">
        <v>121.69</v>
      </c>
    </row>
    <row r="2575" customFormat="false" ht="15" hidden="false" customHeight="false" outlineLevel="0" collapsed="false">
      <c r="A2575" s="7" t="s">
        <v>24</v>
      </c>
      <c r="B2575" s="7" t="s">
        <v>504</v>
      </c>
      <c r="C2575" s="7" t="s">
        <v>1172</v>
      </c>
      <c r="D2575" s="7" t="n">
        <v>0</v>
      </c>
      <c r="E2575" s="7" t="n">
        <v>0</v>
      </c>
      <c r="F2575" s="7" t="n">
        <v>1</v>
      </c>
      <c r="G2575" s="7" t="n">
        <v>30.42</v>
      </c>
    </row>
    <row r="2576" customFormat="false" ht="15" hidden="false" customHeight="false" outlineLevel="0" collapsed="false">
      <c r="A2576" s="7" t="s">
        <v>24</v>
      </c>
      <c r="B2576" s="7" t="s">
        <v>286</v>
      </c>
      <c r="C2576" s="7" t="s">
        <v>1092</v>
      </c>
      <c r="D2576" s="7" t="n">
        <v>0</v>
      </c>
      <c r="E2576" s="7" t="n">
        <v>0</v>
      </c>
      <c r="F2576" s="7" t="n">
        <v>2</v>
      </c>
      <c r="G2576" s="7" t="n">
        <v>135.42</v>
      </c>
    </row>
    <row r="2577" customFormat="false" ht="15" hidden="false" customHeight="false" outlineLevel="0" collapsed="false">
      <c r="A2577" s="7" t="s">
        <v>24</v>
      </c>
      <c r="B2577" s="7" t="s">
        <v>286</v>
      </c>
      <c r="C2577" s="7" t="s">
        <v>1092</v>
      </c>
      <c r="D2577" s="7" t="n">
        <v>0</v>
      </c>
      <c r="E2577" s="7" t="n">
        <v>0</v>
      </c>
      <c r="F2577" s="7" t="n">
        <v>2</v>
      </c>
      <c r="G2577" s="7" t="n">
        <v>135.42</v>
      </c>
    </row>
    <row r="2578" customFormat="false" ht="15" hidden="false" customHeight="false" outlineLevel="0" collapsed="false">
      <c r="A2578" s="7" t="s">
        <v>24</v>
      </c>
      <c r="B2578" s="7" t="s">
        <v>286</v>
      </c>
      <c r="C2578" s="7" t="s">
        <v>1092</v>
      </c>
      <c r="D2578" s="7" t="n">
        <v>0</v>
      </c>
      <c r="E2578" s="7" t="n">
        <v>0</v>
      </c>
      <c r="F2578" s="7" t="n">
        <v>1</v>
      </c>
      <c r="G2578" s="7" t="n">
        <v>67.72</v>
      </c>
    </row>
    <row r="2579" customFormat="false" ht="15" hidden="false" customHeight="false" outlineLevel="0" collapsed="false">
      <c r="A2579" s="7" t="s">
        <v>24</v>
      </c>
      <c r="B2579" s="7" t="s">
        <v>286</v>
      </c>
      <c r="C2579" s="7" t="s">
        <v>1092</v>
      </c>
      <c r="D2579" s="7" t="n">
        <v>0</v>
      </c>
      <c r="E2579" s="7" t="n">
        <v>0</v>
      </c>
      <c r="F2579" s="7" t="n">
        <v>2</v>
      </c>
      <c r="G2579" s="7" t="n">
        <v>135.42</v>
      </c>
    </row>
    <row r="2580" customFormat="false" ht="15" hidden="false" customHeight="false" outlineLevel="0" collapsed="false">
      <c r="A2580" s="7" t="s">
        <v>24</v>
      </c>
      <c r="B2580" s="7" t="s">
        <v>286</v>
      </c>
      <c r="C2580" s="7" t="s">
        <v>1092</v>
      </c>
      <c r="D2580" s="7" t="n">
        <v>0</v>
      </c>
      <c r="E2580" s="7" t="n">
        <v>0</v>
      </c>
      <c r="F2580" s="7" t="n">
        <v>1</v>
      </c>
      <c r="G2580" s="7" t="n">
        <v>67.71</v>
      </c>
    </row>
    <row r="2581" customFormat="false" ht="15" hidden="false" customHeight="false" outlineLevel="0" collapsed="false">
      <c r="A2581" s="7" t="s">
        <v>24</v>
      </c>
      <c r="B2581" s="7" t="s">
        <v>286</v>
      </c>
      <c r="C2581" s="7" t="s">
        <v>1092</v>
      </c>
      <c r="D2581" s="7" t="n">
        <v>0</v>
      </c>
      <c r="E2581" s="7" t="n">
        <v>0</v>
      </c>
      <c r="F2581" s="7" t="n">
        <v>2</v>
      </c>
      <c r="G2581" s="7" t="n">
        <v>135.42</v>
      </c>
    </row>
    <row r="2582" customFormat="false" ht="15" hidden="false" customHeight="false" outlineLevel="0" collapsed="false">
      <c r="A2582" s="7" t="s">
        <v>24</v>
      </c>
      <c r="B2582" s="7" t="s">
        <v>286</v>
      </c>
      <c r="C2582" s="7" t="s">
        <v>1092</v>
      </c>
      <c r="D2582" s="7" t="n">
        <v>0</v>
      </c>
      <c r="E2582" s="7" t="n">
        <v>0</v>
      </c>
      <c r="F2582" s="7" t="n">
        <v>1</v>
      </c>
      <c r="G2582" s="7" t="n">
        <v>67.71</v>
      </c>
    </row>
    <row r="2583" customFormat="false" ht="15" hidden="false" customHeight="false" outlineLevel="0" collapsed="false">
      <c r="A2583" s="7" t="s">
        <v>24</v>
      </c>
      <c r="B2583" s="7" t="s">
        <v>286</v>
      </c>
      <c r="C2583" s="7" t="s">
        <v>1092</v>
      </c>
      <c r="D2583" s="7" t="n">
        <v>0</v>
      </c>
      <c r="E2583" s="7" t="n">
        <v>0</v>
      </c>
      <c r="F2583" s="7" t="n">
        <v>2</v>
      </c>
      <c r="G2583" s="7" t="n">
        <v>135.43</v>
      </c>
    </row>
    <row r="2584" customFormat="false" ht="15" hidden="false" customHeight="false" outlineLevel="0" collapsed="false">
      <c r="A2584" s="7" t="s">
        <v>24</v>
      </c>
      <c r="B2584" s="7" t="s">
        <v>286</v>
      </c>
      <c r="C2584" s="7" t="s">
        <v>1092</v>
      </c>
      <c r="D2584" s="7" t="n">
        <v>0</v>
      </c>
      <c r="E2584" s="7" t="n">
        <v>0</v>
      </c>
      <c r="F2584" s="7" t="n">
        <v>2</v>
      </c>
      <c r="G2584" s="7" t="n">
        <v>135.42</v>
      </c>
    </row>
    <row r="2585" customFormat="false" ht="15" hidden="false" customHeight="false" outlineLevel="0" collapsed="false">
      <c r="A2585" s="7" t="s">
        <v>24</v>
      </c>
      <c r="B2585" s="7" t="s">
        <v>286</v>
      </c>
      <c r="C2585" s="7" t="s">
        <v>1092</v>
      </c>
      <c r="D2585" s="7" t="n">
        <v>0</v>
      </c>
      <c r="E2585" s="7" t="n">
        <v>0</v>
      </c>
      <c r="F2585" s="7" t="n">
        <v>1</v>
      </c>
      <c r="G2585" s="7" t="n">
        <v>67.7</v>
      </c>
    </row>
    <row r="2586" customFormat="false" ht="15" hidden="false" customHeight="false" outlineLevel="0" collapsed="false">
      <c r="A2586" s="7" t="s">
        <v>24</v>
      </c>
      <c r="B2586" s="7" t="s">
        <v>286</v>
      </c>
      <c r="C2586" s="7" t="s">
        <v>1092</v>
      </c>
      <c r="D2586" s="7" t="n">
        <v>1</v>
      </c>
      <c r="E2586" s="7" t="n">
        <v>51.07</v>
      </c>
      <c r="F2586" s="7" t="n">
        <v>0</v>
      </c>
      <c r="G2586" s="7" t="n">
        <v>0</v>
      </c>
    </row>
    <row r="2587" customFormat="false" ht="15" hidden="false" customHeight="false" outlineLevel="0" collapsed="false">
      <c r="A2587" s="7" t="s">
        <v>24</v>
      </c>
      <c r="B2587" s="7" t="s">
        <v>286</v>
      </c>
      <c r="C2587" s="7" t="s">
        <v>1092</v>
      </c>
      <c r="D2587" s="7" t="n">
        <v>0</v>
      </c>
      <c r="E2587" s="7" t="n">
        <v>0</v>
      </c>
      <c r="F2587" s="7" t="n">
        <v>4</v>
      </c>
      <c r="G2587" s="7" t="n">
        <v>257.3</v>
      </c>
    </row>
    <row r="2588" customFormat="false" ht="15" hidden="false" customHeight="false" outlineLevel="0" collapsed="false">
      <c r="A2588" s="7" t="s">
        <v>24</v>
      </c>
      <c r="B2588" s="7" t="s">
        <v>286</v>
      </c>
      <c r="C2588" s="7" t="s">
        <v>1092</v>
      </c>
      <c r="D2588" s="7" t="n">
        <v>0</v>
      </c>
      <c r="E2588" s="7" t="n">
        <v>0</v>
      </c>
      <c r="F2588" s="7" t="n">
        <v>2</v>
      </c>
      <c r="G2588" s="7" t="n">
        <v>135.42</v>
      </c>
    </row>
    <row r="2589" customFormat="false" ht="15" hidden="false" customHeight="false" outlineLevel="0" collapsed="false">
      <c r="A2589" s="7" t="s">
        <v>24</v>
      </c>
      <c r="B2589" s="7" t="s">
        <v>286</v>
      </c>
      <c r="C2589" s="7" t="s">
        <v>1092</v>
      </c>
      <c r="D2589" s="7" t="n">
        <v>28</v>
      </c>
      <c r="E2589" s="7" t="n">
        <v>1726.61</v>
      </c>
      <c r="F2589" s="7" t="n">
        <v>19</v>
      </c>
      <c r="G2589" s="7" t="n">
        <v>1272.95</v>
      </c>
    </row>
    <row r="2590" customFormat="false" ht="15" hidden="false" customHeight="false" outlineLevel="0" collapsed="false">
      <c r="A2590" s="7" t="s">
        <v>24</v>
      </c>
      <c r="B2590" s="7" t="s">
        <v>134</v>
      </c>
      <c r="C2590" s="7" t="s">
        <v>1093</v>
      </c>
      <c r="D2590" s="7" t="n">
        <v>0</v>
      </c>
      <c r="E2590" s="7" t="n">
        <v>0</v>
      </c>
      <c r="F2590" s="7" t="n">
        <v>1</v>
      </c>
      <c r="G2590" s="7" t="n">
        <v>72.79</v>
      </c>
    </row>
    <row r="2591" customFormat="false" ht="15" hidden="false" customHeight="false" outlineLevel="0" collapsed="false">
      <c r="A2591" s="7" t="s">
        <v>24</v>
      </c>
      <c r="B2591" s="7" t="s">
        <v>134</v>
      </c>
      <c r="C2591" s="7" t="s">
        <v>1093</v>
      </c>
      <c r="D2591" s="7" t="n">
        <v>0</v>
      </c>
      <c r="E2591" s="7" t="n">
        <v>0</v>
      </c>
      <c r="F2591" s="7" t="n">
        <v>1</v>
      </c>
      <c r="G2591" s="7" t="n">
        <v>65.52</v>
      </c>
    </row>
    <row r="2592" customFormat="false" ht="15" hidden="false" customHeight="false" outlineLevel="0" collapsed="false">
      <c r="A2592" s="7" t="s">
        <v>24</v>
      </c>
      <c r="B2592" s="7" t="s">
        <v>134</v>
      </c>
      <c r="C2592" s="7" t="s">
        <v>1093</v>
      </c>
      <c r="D2592" s="7" t="n">
        <v>0</v>
      </c>
      <c r="E2592" s="7" t="n">
        <v>0</v>
      </c>
      <c r="F2592" s="7" t="n">
        <v>2</v>
      </c>
      <c r="G2592" s="7" t="n">
        <v>145.6</v>
      </c>
    </row>
    <row r="2593" customFormat="false" ht="15" hidden="false" customHeight="false" outlineLevel="0" collapsed="false">
      <c r="A2593" s="7" t="s">
        <v>24</v>
      </c>
      <c r="B2593" s="7" t="s">
        <v>134</v>
      </c>
      <c r="C2593" s="7" t="s">
        <v>1093</v>
      </c>
      <c r="D2593" s="7" t="n">
        <v>0</v>
      </c>
      <c r="E2593" s="7" t="n">
        <v>0</v>
      </c>
      <c r="F2593" s="7" t="n">
        <v>1</v>
      </c>
      <c r="G2593" s="7" t="n">
        <v>65.52</v>
      </c>
    </row>
    <row r="2594" customFormat="false" ht="15" hidden="false" customHeight="false" outlineLevel="0" collapsed="false">
      <c r="A2594" s="7" t="s">
        <v>24</v>
      </c>
      <c r="B2594" s="7" t="s">
        <v>134</v>
      </c>
      <c r="C2594" s="7" t="s">
        <v>1093</v>
      </c>
      <c r="D2594" s="7" t="n">
        <v>0</v>
      </c>
      <c r="E2594" s="7" t="n">
        <v>0</v>
      </c>
      <c r="F2594" s="7" t="n">
        <v>2</v>
      </c>
      <c r="G2594" s="7" t="n">
        <v>145.59</v>
      </c>
    </row>
    <row r="2595" customFormat="false" ht="15" hidden="false" customHeight="false" outlineLevel="0" collapsed="false">
      <c r="A2595" s="7" t="s">
        <v>24</v>
      </c>
      <c r="B2595" s="7" t="s">
        <v>134</v>
      </c>
      <c r="C2595" s="7" t="s">
        <v>1093</v>
      </c>
      <c r="D2595" s="7" t="n">
        <v>0</v>
      </c>
      <c r="E2595" s="7" t="n">
        <v>0</v>
      </c>
      <c r="F2595" s="7" t="n">
        <v>1</v>
      </c>
      <c r="G2595" s="7" t="n">
        <v>65.52</v>
      </c>
    </row>
    <row r="2596" customFormat="false" ht="15" hidden="false" customHeight="false" outlineLevel="0" collapsed="false">
      <c r="A2596" s="7" t="s">
        <v>24</v>
      </c>
      <c r="B2596" s="7" t="s">
        <v>134</v>
      </c>
      <c r="C2596" s="7" t="s">
        <v>1093</v>
      </c>
      <c r="D2596" s="7" t="n">
        <v>0</v>
      </c>
      <c r="E2596" s="7" t="n">
        <v>0</v>
      </c>
      <c r="F2596" s="7" t="n">
        <v>4</v>
      </c>
      <c r="G2596" s="7" t="n">
        <v>276.62</v>
      </c>
    </row>
    <row r="2597" customFormat="false" ht="15" hidden="false" customHeight="false" outlineLevel="0" collapsed="false">
      <c r="A2597" s="7" t="s">
        <v>24</v>
      </c>
      <c r="B2597" s="7" t="s">
        <v>134</v>
      </c>
      <c r="C2597" s="7" t="s">
        <v>1093</v>
      </c>
      <c r="D2597" s="7" t="n">
        <v>0</v>
      </c>
      <c r="E2597" s="7" t="n">
        <v>0</v>
      </c>
      <c r="F2597" s="7" t="n">
        <v>1</v>
      </c>
      <c r="G2597" s="7" t="n">
        <v>72.79</v>
      </c>
    </row>
    <row r="2598" customFormat="false" ht="15" hidden="false" customHeight="false" outlineLevel="0" collapsed="false">
      <c r="A2598" s="7" t="s">
        <v>24</v>
      </c>
      <c r="B2598" s="7" t="s">
        <v>134</v>
      </c>
      <c r="C2598" s="7" t="s">
        <v>1093</v>
      </c>
      <c r="D2598" s="7" t="n">
        <v>0</v>
      </c>
      <c r="E2598" s="7" t="n">
        <v>0</v>
      </c>
      <c r="F2598" s="7" t="n">
        <v>1</v>
      </c>
      <c r="G2598" s="7" t="n">
        <v>61.89</v>
      </c>
    </row>
    <row r="2599" customFormat="false" ht="15" hidden="false" customHeight="false" outlineLevel="0" collapsed="false">
      <c r="A2599" s="7" t="s">
        <v>24</v>
      </c>
      <c r="B2599" s="7" t="s">
        <v>134</v>
      </c>
      <c r="C2599" s="7" t="s">
        <v>1093</v>
      </c>
      <c r="D2599" s="7" t="n">
        <v>0</v>
      </c>
      <c r="E2599" s="7" t="n">
        <v>0</v>
      </c>
      <c r="F2599" s="7" t="n">
        <v>2</v>
      </c>
      <c r="G2599" s="7" t="n">
        <v>131.03</v>
      </c>
    </row>
    <row r="2600" customFormat="false" ht="15" hidden="false" customHeight="false" outlineLevel="0" collapsed="false">
      <c r="A2600" s="7" t="s">
        <v>24</v>
      </c>
      <c r="B2600" s="7" t="s">
        <v>134</v>
      </c>
      <c r="C2600" s="7" t="s">
        <v>1093</v>
      </c>
      <c r="D2600" s="7" t="n">
        <v>0</v>
      </c>
      <c r="E2600" s="7" t="n">
        <v>0</v>
      </c>
      <c r="F2600" s="7" t="n">
        <v>2</v>
      </c>
      <c r="G2600" s="7" t="n">
        <v>145.59</v>
      </c>
    </row>
    <row r="2601" customFormat="false" ht="15" hidden="false" customHeight="false" outlineLevel="0" collapsed="false">
      <c r="A2601" s="7" t="s">
        <v>24</v>
      </c>
      <c r="B2601" s="7" t="s">
        <v>134</v>
      </c>
      <c r="C2601" s="7" t="s">
        <v>1093</v>
      </c>
      <c r="D2601" s="7" t="n">
        <v>0</v>
      </c>
      <c r="E2601" s="7" t="n">
        <v>0</v>
      </c>
      <c r="F2601" s="7" t="n">
        <v>1</v>
      </c>
      <c r="G2601" s="7" t="n">
        <v>72.79</v>
      </c>
    </row>
    <row r="2602" customFormat="false" ht="15" hidden="false" customHeight="false" outlineLevel="0" collapsed="false">
      <c r="A2602" s="7" t="s">
        <v>24</v>
      </c>
      <c r="B2602" s="7" t="s">
        <v>134</v>
      </c>
      <c r="C2602" s="7" t="s">
        <v>1093</v>
      </c>
      <c r="D2602" s="7" t="n">
        <v>0</v>
      </c>
      <c r="E2602" s="7" t="n">
        <v>0</v>
      </c>
      <c r="F2602" s="7" t="n">
        <v>1</v>
      </c>
      <c r="G2602" s="7" t="n">
        <v>72.8</v>
      </c>
    </row>
    <row r="2603" customFormat="false" ht="15" hidden="false" customHeight="false" outlineLevel="0" collapsed="false">
      <c r="A2603" s="7" t="s">
        <v>24</v>
      </c>
      <c r="B2603" s="7" t="s">
        <v>134</v>
      </c>
      <c r="C2603" s="7" t="s">
        <v>1093</v>
      </c>
      <c r="D2603" s="7" t="n">
        <v>0</v>
      </c>
      <c r="E2603" s="7" t="n">
        <v>0</v>
      </c>
      <c r="F2603" s="7" t="n">
        <v>2</v>
      </c>
      <c r="G2603" s="7" t="n">
        <v>138.32</v>
      </c>
    </row>
    <row r="2604" customFormat="false" ht="15" hidden="false" customHeight="false" outlineLevel="0" collapsed="false">
      <c r="A2604" s="7" t="s">
        <v>24</v>
      </c>
      <c r="B2604" s="7" t="s">
        <v>134</v>
      </c>
      <c r="C2604" s="7" t="s">
        <v>1093</v>
      </c>
      <c r="D2604" s="7" t="n">
        <v>0</v>
      </c>
      <c r="E2604" s="7" t="n">
        <v>0</v>
      </c>
      <c r="F2604" s="7" t="n">
        <v>2</v>
      </c>
      <c r="G2604" s="7" t="n">
        <v>131.03</v>
      </c>
    </row>
    <row r="2605" customFormat="false" ht="15" hidden="false" customHeight="false" outlineLevel="0" collapsed="false">
      <c r="A2605" s="7" t="s">
        <v>24</v>
      </c>
      <c r="B2605" s="7" t="s">
        <v>134</v>
      </c>
      <c r="C2605" s="7" t="s">
        <v>1093</v>
      </c>
      <c r="D2605" s="7" t="n">
        <v>0</v>
      </c>
      <c r="E2605" s="7" t="n">
        <v>0</v>
      </c>
      <c r="F2605" s="7" t="n">
        <v>2</v>
      </c>
      <c r="G2605" s="7" t="n">
        <v>138.32</v>
      </c>
    </row>
    <row r="2606" customFormat="false" ht="15" hidden="false" customHeight="false" outlineLevel="0" collapsed="false">
      <c r="A2606" s="7" t="s">
        <v>24</v>
      </c>
      <c r="B2606" s="7" t="s">
        <v>134</v>
      </c>
      <c r="C2606" s="7" t="s">
        <v>1093</v>
      </c>
      <c r="D2606" s="7" t="n">
        <v>0</v>
      </c>
      <c r="E2606" s="7" t="n">
        <v>0</v>
      </c>
      <c r="F2606" s="7" t="n">
        <v>1</v>
      </c>
      <c r="G2606" s="7" t="n">
        <v>65.52</v>
      </c>
    </row>
    <row r="2607" customFormat="false" ht="15" hidden="false" customHeight="false" outlineLevel="0" collapsed="false">
      <c r="A2607" s="7" t="s">
        <v>24</v>
      </c>
      <c r="B2607" s="7" t="s">
        <v>134</v>
      </c>
      <c r="C2607" s="7" t="s">
        <v>1093</v>
      </c>
      <c r="D2607" s="7" t="n">
        <v>0</v>
      </c>
      <c r="E2607" s="7" t="n">
        <v>0</v>
      </c>
      <c r="F2607" s="7" t="n">
        <v>1</v>
      </c>
      <c r="G2607" s="7" t="n">
        <v>72.8</v>
      </c>
    </row>
    <row r="2608" customFormat="false" ht="15" hidden="false" customHeight="false" outlineLevel="0" collapsed="false">
      <c r="A2608" s="7" t="s">
        <v>24</v>
      </c>
      <c r="B2608" s="7" t="s">
        <v>134</v>
      </c>
      <c r="C2608" s="7" t="s">
        <v>1093</v>
      </c>
      <c r="D2608" s="7" t="n">
        <v>95</v>
      </c>
      <c r="E2608" s="7" t="n">
        <v>6399.11</v>
      </c>
      <c r="F2608" s="7" t="n">
        <v>81</v>
      </c>
      <c r="G2608" s="7" t="n">
        <v>5658.39</v>
      </c>
    </row>
    <row r="2609" customFormat="false" ht="15" hidden="false" customHeight="false" outlineLevel="0" collapsed="false">
      <c r="A2609" s="7" t="s">
        <v>24</v>
      </c>
      <c r="B2609" s="7" t="s">
        <v>134</v>
      </c>
      <c r="C2609" s="7" t="s">
        <v>1093</v>
      </c>
      <c r="D2609" s="7" t="n">
        <v>0</v>
      </c>
      <c r="E2609" s="7" t="n">
        <v>0</v>
      </c>
      <c r="F2609" s="7" t="n">
        <v>1</v>
      </c>
      <c r="G2609" s="7" t="n">
        <v>72.8</v>
      </c>
    </row>
    <row r="2610" customFormat="false" ht="15" hidden="false" customHeight="false" outlineLevel="0" collapsed="false">
      <c r="A2610" s="7" t="s">
        <v>24</v>
      </c>
      <c r="B2610" s="7" t="s">
        <v>134</v>
      </c>
      <c r="C2610" s="7" t="s">
        <v>1093</v>
      </c>
      <c r="D2610" s="7" t="n">
        <v>0</v>
      </c>
      <c r="E2610" s="7" t="n">
        <v>0</v>
      </c>
      <c r="F2610" s="7" t="n">
        <v>1</v>
      </c>
      <c r="G2610" s="7" t="n">
        <v>61.89</v>
      </c>
    </row>
    <row r="2611" customFormat="false" ht="15" hidden="false" customHeight="false" outlineLevel="0" collapsed="false">
      <c r="A2611" s="7" t="s">
        <v>24</v>
      </c>
      <c r="B2611" s="7" t="s">
        <v>134</v>
      </c>
      <c r="C2611" s="7" t="s">
        <v>1093</v>
      </c>
      <c r="D2611" s="7" t="n">
        <v>0</v>
      </c>
      <c r="E2611" s="7" t="n">
        <v>0</v>
      </c>
      <c r="F2611" s="7" t="n">
        <v>1</v>
      </c>
      <c r="G2611" s="7" t="n">
        <v>72.8</v>
      </c>
    </row>
    <row r="2612" customFormat="false" ht="15" hidden="false" customHeight="false" outlineLevel="0" collapsed="false">
      <c r="A2612" s="7" t="s">
        <v>24</v>
      </c>
      <c r="B2612" s="7" t="s">
        <v>134</v>
      </c>
      <c r="C2612" s="7" t="s">
        <v>1093</v>
      </c>
      <c r="D2612" s="7" t="n">
        <v>0</v>
      </c>
      <c r="E2612" s="7" t="n">
        <v>0</v>
      </c>
      <c r="F2612" s="7" t="n">
        <v>2</v>
      </c>
      <c r="G2612" s="7" t="n">
        <v>145.6</v>
      </c>
    </row>
    <row r="2613" customFormat="false" ht="15" hidden="false" customHeight="false" outlineLevel="0" collapsed="false">
      <c r="A2613" s="7" t="s">
        <v>24</v>
      </c>
      <c r="B2613" s="7" t="s">
        <v>134</v>
      </c>
      <c r="C2613" s="7" t="s">
        <v>1093</v>
      </c>
      <c r="D2613" s="7" t="n">
        <v>0</v>
      </c>
      <c r="E2613" s="7" t="n">
        <v>0</v>
      </c>
      <c r="F2613" s="7" t="n">
        <v>2</v>
      </c>
      <c r="G2613" s="7" t="n">
        <v>145.6</v>
      </c>
    </row>
    <row r="2614" customFormat="false" ht="15" hidden="false" customHeight="false" outlineLevel="0" collapsed="false">
      <c r="A2614" s="7" t="s">
        <v>24</v>
      </c>
      <c r="B2614" s="7" t="s">
        <v>134</v>
      </c>
      <c r="C2614" s="7" t="s">
        <v>1093</v>
      </c>
      <c r="D2614" s="7" t="n">
        <v>0</v>
      </c>
      <c r="E2614" s="7" t="n">
        <v>0</v>
      </c>
      <c r="F2614" s="7" t="n">
        <v>2</v>
      </c>
      <c r="G2614" s="7" t="n">
        <v>145.59</v>
      </c>
    </row>
    <row r="2615" customFormat="false" ht="15" hidden="false" customHeight="false" outlineLevel="0" collapsed="false">
      <c r="A2615" s="7" t="s">
        <v>24</v>
      </c>
      <c r="B2615" s="7" t="s">
        <v>134</v>
      </c>
      <c r="C2615" s="7" t="s">
        <v>1093</v>
      </c>
      <c r="D2615" s="7" t="n">
        <v>0</v>
      </c>
      <c r="E2615" s="7" t="n">
        <v>0</v>
      </c>
      <c r="F2615" s="7" t="n">
        <v>1</v>
      </c>
      <c r="G2615" s="7" t="n">
        <v>65.52</v>
      </c>
    </row>
    <row r="2616" customFormat="false" ht="15" hidden="false" customHeight="false" outlineLevel="0" collapsed="false">
      <c r="A2616" s="7" t="s">
        <v>24</v>
      </c>
      <c r="B2616" s="7" t="s">
        <v>134</v>
      </c>
      <c r="C2616" s="7" t="s">
        <v>1093</v>
      </c>
      <c r="D2616" s="7" t="n">
        <v>0</v>
      </c>
      <c r="E2616" s="7" t="n">
        <v>0</v>
      </c>
      <c r="F2616" s="7" t="n">
        <v>1</v>
      </c>
      <c r="G2616" s="7" t="n">
        <v>72.79</v>
      </c>
    </row>
    <row r="2617" customFormat="false" ht="15" hidden="false" customHeight="false" outlineLevel="0" collapsed="false">
      <c r="A2617" s="7" t="s">
        <v>24</v>
      </c>
      <c r="B2617" s="7" t="s">
        <v>134</v>
      </c>
      <c r="C2617" s="7" t="s">
        <v>1093</v>
      </c>
      <c r="D2617" s="7" t="n">
        <v>0</v>
      </c>
      <c r="E2617" s="7" t="n">
        <v>0</v>
      </c>
      <c r="F2617" s="7" t="n">
        <v>2</v>
      </c>
      <c r="G2617" s="7" t="n">
        <v>145.6</v>
      </c>
    </row>
    <row r="2618" customFormat="false" ht="15" hidden="false" customHeight="false" outlineLevel="0" collapsed="false">
      <c r="A2618" s="7" t="s">
        <v>24</v>
      </c>
      <c r="B2618" s="7" t="s">
        <v>134</v>
      </c>
      <c r="C2618" s="7" t="s">
        <v>1093</v>
      </c>
      <c r="D2618" s="7" t="n">
        <v>1</v>
      </c>
      <c r="E2618" s="7" t="n">
        <v>0.01</v>
      </c>
      <c r="F2618" s="7" t="n">
        <v>0</v>
      </c>
      <c r="G2618" s="7" t="n">
        <v>0</v>
      </c>
    </row>
    <row r="2619" customFormat="false" ht="15" hidden="false" customHeight="false" outlineLevel="0" collapsed="false">
      <c r="A2619" s="7" t="s">
        <v>24</v>
      </c>
      <c r="B2619" s="7" t="s">
        <v>134</v>
      </c>
      <c r="C2619" s="7" t="s">
        <v>1093</v>
      </c>
      <c r="D2619" s="7" t="n">
        <v>0</v>
      </c>
      <c r="E2619" s="7" t="n">
        <v>0</v>
      </c>
      <c r="F2619" s="7" t="n">
        <v>1</v>
      </c>
      <c r="G2619" s="7" t="n">
        <v>72.79</v>
      </c>
    </row>
    <row r="2620" customFormat="false" ht="15" hidden="false" customHeight="false" outlineLevel="0" collapsed="false">
      <c r="A2620" s="7" t="s">
        <v>24</v>
      </c>
      <c r="B2620" s="7" t="s">
        <v>134</v>
      </c>
      <c r="C2620" s="7" t="s">
        <v>1093</v>
      </c>
      <c r="D2620" s="7" t="n">
        <v>0</v>
      </c>
      <c r="E2620" s="7" t="n">
        <v>0</v>
      </c>
      <c r="F2620" s="7" t="n">
        <v>3</v>
      </c>
      <c r="G2620" s="7" t="n">
        <v>218.4</v>
      </c>
    </row>
    <row r="2621" customFormat="false" ht="15" hidden="false" customHeight="false" outlineLevel="0" collapsed="false">
      <c r="A2621" s="7" t="s">
        <v>24</v>
      </c>
      <c r="B2621" s="7" t="s">
        <v>134</v>
      </c>
      <c r="C2621" s="7" t="s">
        <v>1093</v>
      </c>
      <c r="D2621" s="7" t="n">
        <v>0</v>
      </c>
      <c r="E2621" s="7" t="n">
        <v>0</v>
      </c>
      <c r="F2621" s="7" t="n">
        <v>1</v>
      </c>
      <c r="G2621" s="7" t="n">
        <v>61.89</v>
      </c>
    </row>
    <row r="2622" customFormat="false" ht="15" hidden="false" customHeight="false" outlineLevel="0" collapsed="false">
      <c r="A2622" s="7" t="s">
        <v>24</v>
      </c>
      <c r="B2622" s="7" t="s">
        <v>134</v>
      </c>
      <c r="C2622" s="7" t="s">
        <v>1093</v>
      </c>
      <c r="D2622" s="7" t="n">
        <v>0</v>
      </c>
      <c r="E2622" s="7" t="n">
        <v>0</v>
      </c>
      <c r="F2622" s="7" t="n">
        <v>1</v>
      </c>
      <c r="G2622" s="7" t="n">
        <v>72.8</v>
      </c>
    </row>
    <row r="2623" customFormat="false" ht="15" hidden="false" customHeight="false" outlineLevel="0" collapsed="false">
      <c r="A2623" s="7" t="s">
        <v>24</v>
      </c>
      <c r="B2623" s="7" t="s">
        <v>134</v>
      </c>
      <c r="C2623" s="7" t="s">
        <v>1093</v>
      </c>
      <c r="D2623" s="7" t="n">
        <v>0</v>
      </c>
      <c r="E2623" s="7" t="n">
        <v>0</v>
      </c>
      <c r="F2623" s="7" t="n">
        <v>1</v>
      </c>
      <c r="G2623" s="7" t="n">
        <v>65.52</v>
      </c>
    </row>
    <row r="2624" customFormat="false" ht="15" hidden="false" customHeight="false" outlineLevel="0" collapsed="false">
      <c r="A2624" s="7" t="s">
        <v>24</v>
      </c>
      <c r="B2624" s="7" t="s">
        <v>134</v>
      </c>
      <c r="C2624" s="7" t="s">
        <v>1093</v>
      </c>
      <c r="D2624" s="7" t="n">
        <v>0</v>
      </c>
      <c r="E2624" s="7" t="n">
        <v>0</v>
      </c>
      <c r="F2624" s="7" t="n">
        <v>1</v>
      </c>
      <c r="G2624" s="7" t="n">
        <v>65.52</v>
      </c>
    </row>
    <row r="2625" customFormat="false" ht="15" hidden="false" customHeight="false" outlineLevel="0" collapsed="false">
      <c r="A2625" s="7" t="s">
        <v>24</v>
      </c>
      <c r="B2625" s="7" t="s">
        <v>134</v>
      </c>
      <c r="C2625" s="7" t="s">
        <v>1093</v>
      </c>
      <c r="D2625" s="7" t="n">
        <v>0</v>
      </c>
      <c r="E2625" s="7" t="n">
        <v>0</v>
      </c>
      <c r="F2625" s="7" t="n">
        <v>1</v>
      </c>
      <c r="G2625" s="7" t="n">
        <v>61.89</v>
      </c>
    </row>
    <row r="2626" customFormat="false" ht="15" hidden="false" customHeight="false" outlineLevel="0" collapsed="false">
      <c r="A2626" s="7" t="s">
        <v>24</v>
      </c>
      <c r="B2626" s="7" t="s">
        <v>134</v>
      </c>
      <c r="C2626" s="7" t="s">
        <v>1093</v>
      </c>
      <c r="D2626" s="7" t="n">
        <v>0</v>
      </c>
      <c r="E2626" s="7" t="n">
        <v>0</v>
      </c>
      <c r="F2626" s="7" t="n">
        <v>1</v>
      </c>
      <c r="G2626" s="7" t="n">
        <v>11.23</v>
      </c>
    </row>
    <row r="2627" customFormat="false" ht="15" hidden="false" customHeight="false" outlineLevel="0" collapsed="false">
      <c r="A2627" s="7" t="s">
        <v>24</v>
      </c>
      <c r="B2627" s="7" t="s">
        <v>134</v>
      </c>
      <c r="C2627" s="7" t="s">
        <v>1093</v>
      </c>
      <c r="D2627" s="7" t="n">
        <v>0</v>
      </c>
      <c r="E2627" s="7" t="n">
        <v>0</v>
      </c>
      <c r="F2627" s="7" t="n">
        <v>1</v>
      </c>
      <c r="G2627" s="7" t="n">
        <v>72.8</v>
      </c>
    </row>
    <row r="2628" customFormat="false" ht="15" hidden="false" customHeight="false" outlineLevel="0" collapsed="false">
      <c r="A2628" s="7" t="s">
        <v>24</v>
      </c>
      <c r="B2628" s="7" t="s">
        <v>134</v>
      </c>
      <c r="C2628" s="7" t="s">
        <v>1093</v>
      </c>
      <c r="D2628" s="7" t="n">
        <v>0</v>
      </c>
      <c r="E2628" s="7" t="n">
        <v>0</v>
      </c>
      <c r="F2628" s="7" t="n">
        <v>2</v>
      </c>
      <c r="G2628" s="7" t="n">
        <v>123.76</v>
      </c>
    </row>
    <row r="2629" customFormat="false" ht="15" hidden="false" customHeight="false" outlineLevel="0" collapsed="false">
      <c r="A2629" s="7" t="s">
        <v>24</v>
      </c>
      <c r="B2629" s="7" t="s">
        <v>134</v>
      </c>
      <c r="C2629" s="7" t="s">
        <v>1093</v>
      </c>
      <c r="D2629" s="7" t="n">
        <v>0</v>
      </c>
      <c r="E2629" s="7" t="n">
        <v>0</v>
      </c>
      <c r="F2629" s="7" t="n">
        <v>1</v>
      </c>
      <c r="G2629" s="7" t="n">
        <v>61.88</v>
      </c>
    </row>
    <row r="2630" customFormat="false" ht="15" hidden="false" customHeight="false" outlineLevel="0" collapsed="false">
      <c r="A2630" s="7" t="s">
        <v>24</v>
      </c>
      <c r="B2630" s="7" t="s">
        <v>134</v>
      </c>
      <c r="C2630" s="7" t="s">
        <v>1093</v>
      </c>
      <c r="D2630" s="7" t="n">
        <v>0</v>
      </c>
      <c r="E2630" s="7" t="n">
        <v>0</v>
      </c>
      <c r="F2630" s="7" t="n">
        <v>1</v>
      </c>
      <c r="G2630" s="7" t="n">
        <v>72.79</v>
      </c>
    </row>
    <row r="2631" customFormat="false" ht="15" hidden="false" customHeight="false" outlineLevel="0" collapsed="false">
      <c r="A2631" s="7" t="s">
        <v>24</v>
      </c>
      <c r="B2631" s="7" t="s">
        <v>134</v>
      </c>
      <c r="C2631" s="7" t="s">
        <v>1093</v>
      </c>
      <c r="D2631" s="7" t="n">
        <v>0</v>
      </c>
      <c r="E2631" s="7" t="n">
        <v>0</v>
      </c>
      <c r="F2631" s="7" t="n">
        <v>3</v>
      </c>
      <c r="G2631" s="7" t="n">
        <v>218.4</v>
      </c>
    </row>
    <row r="2632" customFormat="false" ht="15" hidden="false" customHeight="false" outlineLevel="0" collapsed="false">
      <c r="A2632" s="7" t="s">
        <v>24</v>
      </c>
      <c r="B2632" s="7" t="s">
        <v>134</v>
      </c>
      <c r="C2632" s="7" t="s">
        <v>1093</v>
      </c>
      <c r="D2632" s="7" t="n">
        <v>0</v>
      </c>
      <c r="E2632" s="7" t="n">
        <v>0</v>
      </c>
      <c r="F2632" s="7" t="n">
        <v>2</v>
      </c>
      <c r="G2632" s="7" t="n">
        <v>145.6</v>
      </c>
    </row>
    <row r="2633" customFormat="false" ht="15" hidden="false" customHeight="false" outlineLevel="0" collapsed="false">
      <c r="A2633" s="7" t="s">
        <v>24</v>
      </c>
      <c r="B2633" s="7" t="s">
        <v>134</v>
      </c>
      <c r="C2633" s="7" t="s">
        <v>1093</v>
      </c>
      <c r="D2633" s="7" t="n">
        <v>0</v>
      </c>
      <c r="E2633" s="7" t="n">
        <v>0</v>
      </c>
      <c r="F2633" s="7" t="n">
        <v>3</v>
      </c>
      <c r="G2633" s="7" t="n">
        <v>211.12</v>
      </c>
    </row>
    <row r="2634" customFormat="false" ht="15" hidden="false" customHeight="false" outlineLevel="0" collapsed="false">
      <c r="A2634" s="7" t="s">
        <v>24</v>
      </c>
      <c r="B2634" s="7" t="s">
        <v>134</v>
      </c>
      <c r="C2634" s="7" t="s">
        <v>1093</v>
      </c>
      <c r="D2634" s="7" t="n">
        <v>0</v>
      </c>
      <c r="E2634" s="7" t="n">
        <v>0</v>
      </c>
      <c r="F2634" s="7" t="n">
        <v>1</v>
      </c>
      <c r="G2634" s="7" t="n">
        <v>72.8</v>
      </c>
    </row>
    <row r="2635" customFormat="false" ht="15" hidden="false" customHeight="false" outlineLevel="0" collapsed="false">
      <c r="A2635" s="7" t="s">
        <v>24</v>
      </c>
      <c r="B2635" s="7" t="s">
        <v>134</v>
      </c>
      <c r="C2635" s="7" t="s">
        <v>1093</v>
      </c>
      <c r="D2635" s="7" t="n">
        <v>0</v>
      </c>
      <c r="E2635" s="7" t="n">
        <v>0</v>
      </c>
      <c r="F2635" s="7" t="n">
        <v>2</v>
      </c>
      <c r="G2635" s="7" t="n">
        <v>131.04</v>
      </c>
    </row>
    <row r="2636" customFormat="false" ht="15" hidden="false" customHeight="false" outlineLevel="0" collapsed="false">
      <c r="A2636" s="7" t="s">
        <v>24</v>
      </c>
      <c r="B2636" s="7" t="s">
        <v>134</v>
      </c>
      <c r="C2636" s="7" t="s">
        <v>1093</v>
      </c>
      <c r="D2636" s="7" t="n">
        <v>0</v>
      </c>
      <c r="E2636" s="7" t="n">
        <v>0</v>
      </c>
      <c r="F2636" s="7" t="n">
        <v>1</v>
      </c>
      <c r="G2636" s="7" t="n">
        <v>65.52</v>
      </c>
    </row>
    <row r="2637" customFormat="false" ht="15" hidden="false" customHeight="false" outlineLevel="0" collapsed="false">
      <c r="A2637" s="7" t="s">
        <v>24</v>
      </c>
      <c r="B2637" s="7" t="s">
        <v>134</v>
      </c>
      <c r="C2637" s="7" t="s">
        <v>1093</v>
      </c>
      <c r="D2637" s="7" t="n">
        <v>0</v>
      </c>
      <c r="E2637" s="7" t="n">
        <v>0</v>
      </c>
      <c r="F2637" s="7" t="n">
        <v>1</v>
      </c>
      <c r="G2637" s="7" t="n">
        <v>65.52</v>
      </c>
    </row>
    <row r="2638" customFormat="false" ht="15" hidden="false" customHeight="false" outlineLevel="0" collapsed="false">
      <c r="A2638" s="7" t="s">
        <v>24</v>
      </c>
      <c r="B2638" s="7" t="s">
        <v>134</v>
      </c>
      <c r="C2638" s="7" t="s">
        <v>1093</v>
      </c>
      <c r="D2638" s="7" t="n">
        <v>0</v>
      </c>
      <c r="E2638" s="7" t="n">
        <v>0</v>
      </c>
      <c r="F2638" s="7" t="n">
        <v>2</v>
      </c>
      <c r="G2638" s="7" t="n">
        <v>145.6</v>
      </c>
    </row>
    <row r="2639" customFormat="false" ht="15" hidden="false" customHeight="false" outlineLevel="0" collapsed="false">
      <c r="A2639" s="7" t="s">
        <v>24</v>
      </c>
      <c r="B2639" s="7" t="s">
        <v>134</v>
      </c>
      <c r="C2639" s="7" t="s">
        <v>1093</v>
      </c>
      <c r="D2639" s="7" t="n">
        <v>0</v>
      </c>
      <c r="E2639" s="7" t="n">
        <v>0</v>
      </c>
      <c r="F2639" s="7" t="n">
        <v>2</v>
      </c>
      <c r="G2639" s="7" t="n">
        <v>145.59</v>
      </c>
    </row>
    <row r="2640" customFormat="false" ht="15" hidden="false" customHeight="false" outlineLevel="0" collapsed="false">
      <c r="A2640" s="7" t="s">
        <v>24</v>
      </c>
      <c r="B2640" s="7" t="s">
        <v>134</v>
      </c>
      <c r="C2640" s="7" t="s">
        <v>1093</v>
      </c>
      <c r="D2640" s="7" t="n">
        <v>0</v>
      </c>
      <c r="E2640" s="7" t="n">
        <v>0</v>
      </c>
      <c r="F2640" s="7" t="n">
        <v>1</v>
      </c>
      <c r="G2640" s="7" t="n">
        <v>72.79</v>
      </c>
    </row>
    <row r="2641" customFormat="false" ht="15" hidden="false" customHeight="false" outlineLevel="0" collapsed="false">
      <c r="A2641" s="7" t="s">
        <v>24</v>
      </c>
      <c r="B2641" s="7" t="s">
        <v>134</v>
      </c>
      <c r="C2641" s="7" t="s">
        <v>1093</v>
      </c>
      <c r="D2641" s="7" t="n">
        <v>0</v>
      </c>
      <c r="E2641" s="7" t="n">
        <v>0</v>
      </c>
      <c r="F2641" s="7" t="n">
        <v>1</v>
      </c>
      <c r="G2641" s="7" t="n">
        <v>72.8</v>
      </c>
    </row>
    <row r="2642" customFormat="false" ht="15" hidden="false" customHeight="false" outlineLevel="0" collapsed="false">
      <c r="A2642" s="7" t="s">
        <v>24</v>
      </c>
      <c r="B2642" s="7" t="s">
        <v>134</v>
      </c>
      <c r="C2642" s="7" t="s">
        <v>1093</v>
      </c>
      <c r="D2642" s="7" t="n">
        <v>0</v>
      </c>
      <c r="E2642" s="7" t="n">
        <v>0</v>
      </c>
      <c r="F2642" s="7" t="n">
        <v>1</v>
      </c>
      <c r="G2642" s="7" t="n">
        <v>65.52</v>
      </c>
    </row>
    <row r="2643" customFormat="false" ht="15" hidden="false" customHeight="false" outlineLevel="0" collapsed="false">
      <c r="A2643" s="7" t="s">
        <v>24</v>
      </c>
      <c r="B2643" s="7" t="s">
        <v>217</v>
      </c>
      <c r="C2643" s="7" t="s">
        <v>1094</v>
      </c>
      <c r="D2643" s="7" t="n">
        <v>0</v>
      </c>
      <c r="E2643" s="7" t="n">
        <v>0</v>
      </c>
      <c r="F2643" s="7" t="n">
        <v>1</v>
      </c>
      <c r="G2643" s="7" t="n">
        <v>55</v>
      </c>
    </row>
    <row r="2644" customFormat="false" ht="15" hidden="false" customHeight="false" outlineLevel="0" collapsed="false">
      <c r="A2644" s="7" t="s">
        <v>24</v>
      </c>
      <c r="B2644" s="7" t="s">
        <v>217</v>
      </c>
      <c r="C2644" s="7" t="s">
        <v>1094</v>
      </c>
      <c r="D2644" s="7" t="n">
        <v>0</v>
      </c>
      <c r="E2644" s="7" t="n">
        <v>0</v>
      </c>
      <c r="F2644" s="7" t="n">
        <v>1</v>
      </c>
      <c r="G2644" s="7" t="n">
        <v>55</v>
      </c>
    </row>
    <row r="2645" customFormat="false" ht="15" hidden="false" customHeight="false" outlineLevel="0" collapsed="false">
      <c r="A2645" s="7" t="s">
        <v>24</v>
      </c>
      <c r="B2645" s="7" t="s">
        <v>217</v>
      </c>
      <c r="C2645" s="7" t="s">
        <v>1094</v>
      </c>
      <c r="D2645" s="7" t="n">
        <v>0</v>
      </c>
      <c r="E2645" s="7" t="n">
        <v>0</v>
      </c>
      <c r="F2645" s="7" t="n">
        <v>2</v>
      </c>
      <c r="G2645" s="7" t="n">
        <v>109.99</v>
      </c>
    </row>
    <row r="2646" customFormat="false" ht="15" hidden="false" customHeight="false" outlineLevel="0" collapsed="false">
      <c r="A2646" s="7" t="s">
        <v>24</v>
      </c>
      <c r="B2646" s="7" t="s">
        <v>217</v>
      </c>
      <c r="C2646" s="7" t="s">
        <v>1094</v>
      </c>
      <c r="D2646" s="7" t="n">
        <v>11</v>
      </c>
      <c r="E2646" s="7" t="n">
        <v>572</v>
      </c>
      <c r="F2646" s="7" t="n">
        <v>28</v>
      </c>
      <c r="G2646" s="7" t="n">
        <v>1515.25</v>
      </c>
    </row>
    <row r="2647" customFormat="false" ht="15" hidden="false" customHeight="false" outlineLevel="0" collapsed="false">
      <c r="A2647" s="7" t="s">
        <v>24</v>
      </c>
      <c r="B2647" s="7" t="s">
        <v>217</v>
      </c>
      <c r="C2647" s="7" t="s">
        <v>1094</v>
      </c>
      <c r="D2647" s="7" t="n">
        <v>0</v>
      </c>
      <c r="E2647" s="7" t="n">
        <v>0</v>
      </c>
      <c r="F2647" s="7" t="n">
        <v>1</v>
      </c>
      <c r="G2647" s="7" t="n">
        <v>55</v>
      </c>
    </row>
    <row r="2648" customFormat="false" ht="15" hidden="false" customHeight="false" outlineLevel="0" collapsed="false">
      <c r="A2648" s="7" t="s">
        <v>24</v>
      </c>
      <c r="B2648" s="7" t="s">
        <v>217</v>
      </c>
      <c r="C2648" s="7" t="s">
        <v>1094</v>
      </c>
      <c r="D2648" s="7" t="n">
        <v>0</v>
      </c>
      <c r="E2648" s="7" t="n">
        <v>0</v>
      </c>
      <c r="F2648" s="7" t="n">
        <v>4</v>
      </c>
      <c r="G2648" s="7" t="n">
        <v>198</v>
      </c>
    </row>
    <row r="2649" customFormat="false" ht="15" hidden="false" customHeight="false" outlineLevel="0" collapsed="false">
      <c r="A2649" s="7" t="s">
        <v>24</v>
      </c>
      <c r="B2649" s="7" t="s">
        <v>217</v>
      </c>
      <c r="C2649" s="7" t="s">
        <v>1094</v>
      </c>
      <c r="D2649" s="7" t="n">
        <v>0</v>
      </c>
      <c r="E2649" s="7" t="n">
        <v>0</v>
      </c>
      <c r="F2649" s="7" t="n">
        <v>1</v>
      </c>
      <c r="G2649" s="7" t="n">
        <v>42.09</v>
      </c>
    </row>
    <row r="2650" customFormat="false" ht="15" hidden="false" customHeight="false" outlineLevel="0" collapsed="false">
      <c r="A2650" s="7" t="s">
        <v>24</v>
      </c>
      <c r="B2650" s="7" t="s">
        <v>217</v>
      </c>
      <c r="C2650" s="7" t="s">
        <v>1094</v>
      </c>
      <c r="D2650" s="7" t="n">
        <v>0</v>
      </c>
      <c r="E2650" s="7" t="n">
        <v>0</v>
      </c>
      <c r="F2650" s="7" t="n">
        <v>2</v>
      </c>
      <c r="G2650" s="7" t="n">
        <v>99</v>
      </c>
    </row>
    <row r="2651" customFormat="false" ht="15" hidden="false" customHeight="false" outlineLevel="0" collapsed="false">
      <c r="A2651" s="7" t="s">
        <v>24</v>
      </c>
      <c r="B2651" s="7" t="s">
        <v>217</v>
      </c>
      <c r="C2651" s="7" t="s">
        <v>1094</v>
      </c>
      <c r="D2651" s="7" t="n">
        <v>0</v>
      </c>
      <c r="E2651" s="7" t="n">
        <v>0</v>
      </c>
      <c r="F2651" s="7" t="n">
        <v>1</v>
      </c>
      <c r="G2651" s="7" t="n">
        <v>55</v>
      </c>
    </row>
    <row r="2652" customFormat="false" ht="15" hidden="false" customHeight="false" outlineLevel="0" collapsed="false">
      <c r="A2652" s="7" t="s">
        <v>24</v>
      </c>
      <c r="B2652" s="7" t="s">
        <v>217</v>
      </c>
      <c r="C2652" s="7" t="s">
        <v>1094</v>
      </c>
      <c r="D2652" s="7" t="n">
        <v>0</v>
      </c>
      <c r="E2652" s="7" t="n">
        <v>0</v>
      </c>
      <c r="F2652" s="7" t="n">
        <v>1</v>
      </c>
      <c r="G2652" s="7" t="n">
        <v>55</v>
      </c>
    </row>
    <row r="2653" customFormat="false" ht="15" hidden="false" customHeight="false" outlineLevel="0" collapsed="false">
      <c r="A2653" s="7" t="s">
        <v>24</v>
      </c>
      <c r="B2653" s="7" t="s">
        <v>217</v>
      </c>
      <c r="C2653" s="7" t="s">
        <v>1094</v>
      </c>
      <c r="D2653" s="7" t="n">
        <v>0</v>
      </c>
      <c r="E2653" s="7" t="n">
        <v>0</v>
      </c>
      <c r="F2653" s="7" t="n">
        <v>1</v>
      </c>
      <c r="G2653" s="7" t="n">
        <v>55</v>
      </c>
    </row>
    <row r="2654" customFormat="false" ht="15" hidden="false" customHeight="false" outlineLevel="0" collapsed="false">
      <c r="A2654" s="7" t="s">
        <v>24</v>
      </c>
      <c r="B2654" s="7" t="s">
        <v>217</v>
      </c>
      <c r="C2654" s="7" t="s">
        <v>1094</v>
      </c>
      <c r="D2654" s="7" t="n">
        <v>0</v>
      </c>
      <c r="E2654" s="7" t="n">
        <v>0</v>
      </c>
      <c r="F2654" s="7" t="n">
        <v>1</v>
      </c>
      <c r="G2654" s="7" t="n">
        <v>55</v>
      </c>
    </row>
    <row r="2655" customFormat="false" ht="15" hidden="false" customHeight="false" outlineLevel="0" collapsed="false">
      <c r="A2655" s="7" t="s">
        <v>24</v>
      </c>
      <c r="B2655" s="7" t="s">
        <v>217</v>
      </c>
      <c r="C2655" s="7" t="s">
        <v>1094</v>
      </c>
      <c r="D2655" s="7" t="n">
        <v>10</v>
      </c>
      <c r="E2655" s="7" t="n">
        <v>525.25</v>
      </c>
      <c r="F2655" s="7" t="n">
        <v>0</v>
      </c>
      <c r="G2655" s="7" t="n">
        <v>0</v>
      </c>
    </row>
    <row r="2656" customFormat="false" ht="15" hidden="false" customHeight="false" outlineLevel="0" collapsed="false">
      <c r="A2656" s="7" t="s">
        <v>24</v>
      </c>
      <c r="B2656" s="7" t="s">
        <v>217</v>
      </c>
      <c r="C2656" s="7" t="s">
        <v>1094</v>
      </c>
      <c r="D2656" s="7" t="n">
        <v>0</v>
      </c>
      <c r="E2656" s="7" t="n">
        <v>0</v>
      </c>
      <c r="F2656" s="7" t="n">
        <v>2</v>
      </c>
      <c r="G2656" s="7" t="n">
        <v>110</v>
      </c>
    </row>
    <row r="2657" customFormat="false" ht="15" hidden="false" customHeight="false" outlineLevel="0" collapsed="false">
      <c r="A2657" s="7" t="s">
        <v>24</v>
      </c>
      <c r="B2657" s="7" t="s">
        <v>217</v>
      </c>
      <c r="C2657" s="7" t="s">
        <v>1094</v>
      </c>
      <c r="D2657" s="7" t="n">
        <v>0</v>
      </c>
      <c r="E2657" s="7" t="n">
        <v>0</v>
      </c>
      <c r="F2657" s="7" t="n">
        <v>1</v>
      </c>
      <c r="G2657" s="7" t="n">
        <v>55</v>
      </c>
    </row>
    <row r="2658" customFormat="false" ht="15" hidden="false" customHeight="false" outlineLevel="0" collapsed="false">
      <c r="A2658" s="7" t="s">
        <v>24</v>
      </c>
      <c r="B2658" s="7" t="s">
        <v>217</v>
      </c>
      <c r="C2658" s="7" t="s">
        <v>1094</v>
      </c>
      <c r="D2658" s="7" t="n">
        <v>0</v>
      </c>
      <c r="E2658" s="7" t="n">
        <v>0</v>
      </c>
      <c r="F2658" s="7" t="n">
        <v>1</v>
      </c>
      <c r="G2658" s="7" t="n">
        <v>55.01</v>
      </c>
    </row>
    <row r="2659" customFormat="false" ht="15" hidden="false" customHeight="false" outlineLevel="0" collapsed="false">
      <c r="A2659" s="7" t="s">
        <v>24</v>
      </c>
      <c r="B2659" s="7" t="s">
        <v>217</v>
      </c>
      <c r="C2659" s="7" t="s">
        <v>1094</v>
      </c>
      <c r="D2659" s="7" t="n">
        <v>0</v>
      </c>
      <c r="E2659" s="7" t="n">
        <v>0</v>
      </c>
      <c r="F2659" s="7" t="n">
        <v>1</v>
      </c>
      <c r="G2659" s="7" t="n">
        <v>55</v>
      </c>
    </row>
    <row r="2660" customFormat="false" ht="15" hidden="false" customHeight="false" outlineLevel="0" collapsed="false">
      <c r="A2660" s="7" t="s">
        <v>24</v>
      </c>
      <c r="B2660" s="7" t="s">
        <v>217</v>
      </c>
      <c r="C2660" s="7" t="s">
        <v>1094</v>
      </c>
      <c r="D2660" s="7" t="n">
        <v>0</v>
      </c>
      <c r="E2660" s="7" t="n">
        <v>0</v>
      </c>
      <c r="F2660" s="7" t="n">
        <v>1</v>
      </c>
      <c r="G2660" s="7" t="n">
        <v>55</v>
      </c>
    </row>
    <row r="2661" customFormat="false" ht="15" hidden="false" customHeight="false" outlineLevel="0" collapsed="false">
      <c r="A2661" s="7" t="s">
        <v>24</v>
      </c>
      <c r="B2661" s="7" t="s">
        <v>740</v>
      </c>
      <c r="C2661" s="7" t="s">
        <v>1173</v>
      </c>
      <c r="D2661" s="7" t="n">
        <v>0</v>
      </c>
      <c r="E2661" s="7" t="n">
        <v>0</v>
      </c>
      <c r="F2661" s="7" t="n">
        <v>4</v>
      </c>
      <c r="G2661" s="7" t="n">
        <v>148.82</v>
      </c>
    </row>
    <row r="2662" customFormat="false" ht="15" hidden="false" customHeight="false" outlineLevel="0" collapsed="false">
      <c r="A2662" s="7" t="s">
        <v>24</v>
      </c>
      <c r="B2662" s="7" t="s">
        <v>740</v>
      </c>
      <c r="C2662" s="7" t="s">
        <v>1173</v>
      </c>
      <c r="D2662" s="7" t="n">
        <v>17</v>
      </c>
      <c r="E2662" s="7" t="n">
        <v>546.84</v>
      </c>
      <c r="F2662" s="7" t="n">
        <v>9</v>
      </c>
      <c r="G2662" s="7" t="n">
        <v>334.8</v>
      </c>
    </row>
    <row r="2663" customFormat="false" ht="15" hidden="false" customHeight="false" outlineLevel="0" collapsed="false">
      <c r="A2663" s="7" t="s">
        <v>24</v>
      </c>
      <c r="B2663" s="7" t="s">
        <v>475</v>
      </c>
      <c r="C2663" s="7" t="s">
        <v>1095</v>
      </c>
      <c r="D2663" s="7" t="n">
        <v>0</v>
      </c>
      <c r="E2663" s="7" t="n">
        <v>0</v>
      </c>
      <c r="F2663" s="7" t="n">
        <v>1</v>
      </c>
      <c r="G2663" s="7" t="n">
        <v>43.14</v>
      </c>
    </row>
    <row r="2664" customFormat="false" ht="15" hidden="false" customHeight="false" outlineLevel="0" collapsed="false">
      <c r="A2664" s="7" t="s">
        <v>24</v>
      </c>
      <c r="B2664" s="7" t="s">
        <v>475</v>
      </c>
      <c r="C2664" s="7" t="s">
        <v>1095</v>
      </c>
      <c r="D2664" s="7" t="n">
        <v>0</v>
      </c>
      <c r="E2664" s="7" t="n">
        <v>0</v>
      </c>
      <c r="F2664" s="7" t="n">
        <v>1</v>
      </c>
      <c r="G2664" s="7" t="n">
        <v>43.13</v>
      </c>
    </row>
    <row r="2665" customFormat="false" ht="15" hidden="false" customHeight="false" outlineLevel="0" collapsed="false">
      <c r="A2665" s="7" t="s">
        <v>24</v>
      </c>
      <c r="B2665" s="7" t="s">
        <v>475</v>
      </c>
      <c r="C2665" s="7" t="s">
        <v>1095</v>
      </c>
      <c r="D2665" s="7" t="n">
        <v>0</v>
      </c>
      <c r="E2665" s="7" t="n">
        <v>0</v>
      </c>
      <c r="F2665" s="7" t="n">
        <v>2</v>
      </c>
      <c r="G2665" s="7" t="n">
        <v>79.82</v>
      </c>
    </row>
    <row r="2666" customFormat="false" ht="15" hidden="false" customHeight="false" outlineLevel="0" collapsed="false">
      <c r="A2666" s="7" t="s">
        <v>24</v>
      </c>
      <c r="B2666" s="7" t="s">
        <v>475</v>
      </c>
      <c r="C2666" s="7" t="s">
        <v>1095</v>
      </c>
      <c r="D2666" s="7" t="n">
        <v>0</v>
      </c>
      <c r="E2666" s="7" t="n">
        <v>0</v>
      </c>
      <c r="F2666" s="7" t="n">
        <v>2</v>
      </c>
      <c r="G2666" s="7" t="n">
        <v>73.34</v>
      </c>
    </row>
    <row r="2667" customFormat="false" ht="15" hidden="false" customHeight="false" outlineLevel="0" collapsed="false">
      <c r="A2667" s="7" t="s">
        <v>24</v>
      </c>
      <c r="B2667" s="7" t="s">
        <v>475</v>
      </c>
      <c r="C2667" s="7" t="s">
        <v>1095</v>
      </c>
      <c r="D2667" s="7" t="n">
        <v>0</v>
      </c>
      <c r="E2667" s="7" t="n">
        <v>0</v>
      </c>
      <c r="F2667" s="7" t="n">
        <v>2</v>
      </c>
      <c r="G2667" s="7" t="n">
        <v>79.81</v>
      </c>
    </row>
    <row r="2668" customFormat="false" ht="15" hidden="false" customHeight="false" outlineLevel="0" collapsed="false">
      <c r="A2668" s="7" t="s">
        <v>24</v>
      </c>
      <c r="B2668" s="7" t="s">
        <v>475</v>
      </c>
      <c r="C2668" s="7" t="s">
        <v>1095</v>
      </c>
      <c r="D2668" s="7" t="n">
        <v>0</v>
      </c>
      <c r="E2668" s="7" t="n">
        <v>0</v>
      </c>
      <c r="F2668" s="7" t="n">
        <v>1</v>
      </c>
      <c r="G2668" s="7" t="n">
        <v>38.83</v>
      </c>
    </row>
    <row r="2669" customFormat="false" ht="15" hidden="false" customHeight="false" outlineLevel="0" collapsed="false">
      <c r="A2669" s="7" t="s">
        <v>24</v>
      </c>
      <c r="B2669" s="7" t="s">
        <v>387</v>
      </c>
      <c r="C2669" s="7" t="s">
        <v>1095</v>
      </c>
      <c r="D2669" s="7" t="n">
        <v>22</v>
      </c>
      <c r="E2669" s="7" t="n">
        <v>884.38</v>
      </c>
      <c r="F2669" s="7" t="n">
        <v>8</v>
      </c>
      <c r="G2669" s="7" t="n">
        <v>319.24</v>
      </c>
    </row>
    <row r="2670" customFormat="false" ht="15" hidden="false" customHeight="false" outlineLevel="0" collapsed="false">
      <c r="A2670" s="7" t="s">
        <v>24</v>
      </c>
      <c r="B2670" s="7" t="s">
        <v>348</v>
      </c>
      <c r="C2670" s="7" t="s">
        <v>1095</v>
      </c>
      <c r="D2670" s="7" t="n">
        <v>0</v>
      </c>
      <c r="E2670" s="7" t="n">
        <v>0</v>
      </c>
      <c r="F2670" s="7" t="n">
        <v>1</v>
      </c>
      <c r="G2670" s="7" t="n">
        <v>47.38</v>
      </c>
    </row>
    <row r="2671" customFormat="false" ht="15" hidden="false" customHeight="false" outlineLevel="0" collapsed="false">
      <c r="A2671" s="7" t="s">
        <v>24</v>
      </c>
      <c r="B2671" s="7" t="s">
        <v>348</v>
      </c>
      <c r="C2671" s="7" t="s">
        <v>1095</v>
      </c>
      <c r="D2671" s="7" t="n">
        <v>0</v>
      </c>
      <c r="E2671" s="7" t="n">
        <v>0</v>
      </c>
      <c r="F2671" s="7" t="n">
        <v>2</v>
      </c>
      <c r="G2671" s="7" t="n">
        <v>87.64</v>
      </c>
    </row>
    <row r="2672" customFormat="false" ht="15" hidden="false" customHeight="false" outlineLevel="0" collapsed="false">
      <c r="A2672" s="7" t="s">
        <v>24</v>
      </c>
      <c r="B2672" s="7" t="s">
        <v>348</v>
      </c>
      <c r="C2672" s="7" t="s">
        <v>1095</v>
      </c>
      <c r="D2672" s="7" t="n">
        <v>0</v>
      </c>
      <c r="E2672" s="7" t="n">
        <v>0</v>
      </c>
      <c r="F2672" s="7" t="n">
        <v>1</v>
      </c>
      <c r="G2672" s="7" t="n">
        <v>47.37</v>
      </c>
    </row>
    <row r="2673" customFormat="false" ht="15" hidden="false" customHeight="false" outlineLevel="0" collapsed="false">
      <c r="A2673" s="7" t="s">
        <v>24</v>
      </c>
      <c r="B2673" s="7" t="s">
        <v>348</v>
      </c>
      <c r="C2673" s="7" t="s">
        <v>1095</v>
      </c>
      <c r="D2673" s="7" t="n">
        <v>0</v>
      </c>
      <c r="E2673" s="7" t="n">
        <v>0</v>
      </c>
      <c r="F2673" s="7" t="n">
        <v>2</v>
      </c>
      <c r="G2673" s="7" t="n">
        <v>87.64</v>
      </c>
    </row>
    <row r="2674" customFormat="false" ht="15" hidden="false" customHeight="false" outlineLevel="0" collapsed="false">
      <c r="A2674" s="7" t="s">
        <v>24</v>
      </c>
      <c r="B2674" s="7" t="s">
        <v>348</v>
      </c>
      <c r="C2674" s="7" t="s">
        <v>1095</v>
      </c>
      <c r="D2674" s="7" t="n">
        <v>0</v>
      </c>
      <c r="E2674" s="7" t="n">
        <v>0</v>
      </c>
      <c r="F2674" s="7" t="n">
        <v>2</v>
      </c>
      <c r="G2674" s="7" t="n">
        <v>87.64</v>
      </c>
    </row>
    <row r="2675" customFormat="false" ht="15" hidden="false" customHeight="false" outlineLevel="0" collapsed="false">
      <c r="A2675" s="7" t="s">
        <v>24</v>
      </c>
      <c r="B2675" s="7" t="s">
        <v>348</v>
      </c>
      <c r="C2675" s="7" t="s">
        <v>1095</v>
      </c>
      <c r="D2675" s="7" t="n">
        <v>0</v>
      </c>
      <c r="E2675" s="7" t="n">
        <v>0</v>
      </c>
      <c r="F2675" s="7" t="n">
        <v>1</v>
      </c>
      <c r="G2675" s="7" t="n">
        <v>47.37</v>
      </c>
    </row>
    <row r="2676" customFormat="false" ht="15" hidden="false" customHeight="false" outlineLevel="0" collapsed="false">
      <c r="A2676" s="7" t="s">
        <v>24</v>
      </c>
      <c r="B2676" s="7" t="s">
        <v>348</v>
      </c>
      <c r="C2676" s="7" t="s">
        <v>1095</v>
      </c>
      <c r="D2676" s="7" t="n">
        <v>0</v>
      </c>
      <c r="E2676" s="7" t="n">
        <v>0</v>
      </c>
      <c r="F2676" s="7" t="n">
        <v>2</v>
      </c>
      <c r="G2676" s="7" t="n">
        <v>87.65</v>
      </c>
    </row>
    <row r="2677" customFormat="false" ht="15" hidden="false" customHeight="false" outlineLevel="0" collapsed="false">
      <c r="A2677" s="7" t="s">
        <v>24</v>
      </c>
      <c r="B2677" s="7" t="s">
        <v>348</v>
      </c>
      <c r="C2677" s="7" t="s">
        <v>1095</v>
      </c>
      <c r="D2677" s="7" t="n">
        <v>0</v>
      </c>
      <c r="E2677" s="7" t="n">
        <v>0</v>
      </c>
      <c r="F2677" s="7" t="n">
        <v>2</v>
      </c>
      <c r="G2677" s="7" t="n">
        <v>87.64</v>
      </c>
    </row>
    <row r="2678" customFormat="false" ht="15" hidden="false" customHeight="false" outlineLevel="0" collapsed="false">
      <c r="A2678" s="7" t="s">
        <v>24</v>
      </c>
      <c r="B2678" s="7" t="s">
        <v>348</v>
      </c>
      <c r="C2678" s="7" t="s">
        <v>1095</v>
      </c>
      <c r="D2678" s="7" t="n">
        <v>0</v>
      </c>
      <c r="E2678" s="7" t="n">
        <v>0</v>
      </c>
      <c r="F2678" s="7" t="n">
        <v>2</v>
      </c>
      <c r="G2678" s="7" t="n">
        <v>87.65</v>
      </c>
    </row>
    <row r="2679" customFormat="false" ht="15" hidden="false" customHeight="false" outlineLevel="0" collapsed="false">
      <c r="A2679" s="7" t="s">
        <v>24</v>
      </c>
      <c r="B2679" s="7" t="s">
        <v>367</v>
      </c>
      <c r="C2679" s="7" t="s">
        <v>1095</v>
      </c>
      <c r="D2679" s="7" t="n">
        <v>21</v>
      </c>
      <c r="E2679" s="7" t="n">
        <v>916.59</v>
      </c>
      <c r="F2679" s="7" t="n">
        <v>3</v>
      </c>
      <c r="G2679" s="7" t="n">
        <v>142.11</v>
      </c>
    </row>
    <row r="2680" customFormat="false" ht="15" hidden="false" customHeight="false" outlineLevel="0" collapsed="false">
      <c r="A2680" s="7" t="s">
        <v>24</v>
      </c>
      <c r="B2680" s="7" t="s">
        <v>367</v>
      </c>
      <c r="C2680" s="7" t="s">
        <v>1095</v>
      </c>
      <c r="D2680" s="7" t="n">
        <v>0</v>
      </c>
      <c r="E2680" s="7" t="n">
        <v>0</v>
      </c>
      <c r="F2680" s="7" t="n">
        <v>2</v>
      </c>
      <c r="G2680" s="7" t="n">
        <v>87.64</v>
      </c>
    </row>
    <row r="2681" customFormat="false" ht="15" hidden="false" customHeight="false" outlineLevel="0" collapsed="false">
      <c r="A2681" s="7" t="s">
        <v>24</v>
      </c>
      <c r="B2681" s="7" t="s">
        <v>367</v>
      </c>
      <c r="C2681" s="7" t="s">
        <v>1095</v>
      </c>
      <c r="D2681" s="7" t="n">
        <v>0</v>
      </c>
      <c r="E2681" s="7" t="n">
        <v>0</v>
      </c>
      <c r="F2681" s="7" t="n">
        <v>2</v>
      </c>
      <c r="G2681" s="7" t="n">
        <v>87.64</v>
      </c>
    </row>
    <row r="2682" customFormat="false" ht="15" hidden="false" customHeight="false" outlineLevel="0" collapsed="false">
      <c r="A2682" s="7" t="s">
        <v>24</v>
      </c>
      <c r="B2682" s="7" t="s">
        <v>661</v>
      </c>
      <c r="C2682" s="7" t="s">
        <v>1096</v>
      </c>
      <c r="D2682" s="7" t="n">
        <v>0</v>
      </c>
      <c r="E2682" s="7" t="n">
        <v>0</v>
      </c>
      <c r="F2682" s="7" t="n">
        <v>1</v>
      </c>
      <c r="G2682" s="7" t="n">
        <v>23.65</v>
      </c>
    </row>
    <row r="2683" customFormat="false" ht="15" hidden="false" customHeight="false" outlineLevel="0" collapsed="false">
      <c r="A2683" s="7" t="s">
        <v>24</v>
      </c>
      <c r="B2683" s="7" t="s">
        <v>661</v>
      </c>
      <c r="C2683" s="7" t="s">
        <v>1096</v>
      </c>
      <c r="D2683" s="7" t="n">
        <v>0</v>
      </c>
      <c r="E2683" s="7" t="n">
        <v>0</v>
      </c>
      <c r="F2683" s="7" t="n">
        <v>1</v>
      </c>
      <c r="G2683" s="7" t="n">
        <v>20.11</v>
      </c>
    </row>
    <row r="2684" customFormat="false" ht="15" hidden="false" customHeight="false" outlineLevel="0" collapsed="false">
      <c r="A2684" s="7" t="s">
        <v>24</v>
      </c>
      <c r="B2684" s="7" t="s">
        <v>661</v>
      </c>
      <c r="C2684" s="7" t="s">
        <v>1096</v>
      </c>
      <c r="D2684" s="7" t="n">
        <v>0</v>
      </c>
      <c r="E2684" s="7" t="n">
        <v>0</v>
      </c>
      <c r="F2684" s="7" t="n">
        <v>2</v>
      </c>
      <c r="G2684" s="7" t="n">
        <v>47.29</v>
      </c>
    </row>
    <row r="2685" customFormat="false" ht="15" hidden="false" customHeight="false" outlineLevel="0" collapsed="false">
      <c r="A2685" s="7" t="s">
        <v>24</v>
      </c>
      <c r="B2685" s="7" t="s">
        <v>661</v>
      </c>
      <c r="C2685" s="7" t="s">
        <v>1096</v>
      </c>
      <c r="D2685" s="7" t="n">
        <v>0</v>
      </c>
      <c r="E2685" s="7" t="n">
        <v>0</v>
      </c>
      <c r="F2685" s="7" t="n">
        <v>2</v>
      </c>
      <c r="G2685" s="7" t="n">
        <v>47.29</v>
      </c>
    </row>
    <row r="2686" customFormat="false" ht="15" hidden="false" customHeight="false" outlineLevel="0" collapsed="false">
      <c r="A2686" s="7" t="s">
        <v>24</v>
      </c>
      <c r="B2686" s="7" t="s">
        <v>661</v>
      </c>
      <c r="C2686" s="7" t="s">
        <v>1096</v>
      </c>
      <c r="D2686" s="7" t="n">
        <v>21</v>
      </c>
      <c r="E2686" s="7" t="n">
        <v>486.98</v>
      </c>
      <c r="F2686" s="7" t="n">
        <v>7</v>
      </c>
      <c r="G2686" s="7" t="n">
        <v>165.48</v>
      </c>
    </row>
    <row r="2687" customFormat="false" ht="15" hidden="false" customHeight="false" outlineLevel="0" collapsed="false">
      <c r="A2687" s="7" t="s">
        <v>24</v>
      </c>
      <c r="B2687" s="7" t="s">
        <v>661</v>
      </c>
      <c r="C2687" s="7" t="s">
        <v>1096</v>
      </c>
      <c r="D2687" s="7" t="n">
        <v>0</v>
      </c>
      <c r="E2687" s="7" t="n">
        <v>0</v>
      </c>
      <c r="F2687" s="7" t="n">
        <v>1</v>
      </c>
      <c r="G2687" s="7" t="n">
        <v>23.65</v>
      </c>
    </row>
    <row r="2688" customFormat="false" ht="15" hidden="false" customHeight="false" outlineLevel="0" collapsed="false">
      <c r="A2688" s="7" t="s">
        <v>24</v>
      </c>
      <c r="B2688" s="7" t="s">
        <v>661</v>
      </c>
      <c r="C2688" s="7" t="s">
        <v>1096</v>
      </c>
      <c r="D2688" s="7" t="n">
        <v>0</v>
      </c>
      <c r="E2688" s="7" t="n">
        <v>0</v>
      </c>
      <c r="F2688" s="7" t="n">
        <v>1</v>
      </c>
      <c r="G2688" s="7" t="n">
        <v>23.65</v>
      </c>
    </row>
    <row r="2689" customFormat="false" ht="15" hidden="false" customHeight="false" outlineLevel="0" collapsed="false">
      <c r="A2689" s="7" t="s">
        <v>24</v>
      </c>
      <c r="B2689" s="7" t="s">
        <v>606</v>
      </c>
      <c r="C2689" s="7" t="s">
        <v>1229</v>
      </c>
      <c r="D2689" s="7" t="n">
        <v>0</v>
      </c>
      <c r="E2689" s="7" t="n">
        <v>0</v>
      </c>
      <c r="F2689" s="7" t="n">
        <v>2</v>
      </c>
      <c r="G2689" s="7" t="n">
        <v>47.29</v>
      </c>
    </row>
    <row r="2690" customFormat="false" ht="15" hidden="false" customHeight="false" outlineLevel="0" collapsed="false">
      <c r="A2690" s="7" t="s">
        <v>24</v>
      </c>
      <c r="B2690" s="7" t="s">
        <v>606</v>
      </c>
      <c r="C2690" s="7" t="s">
        <v>1229</v>
      </c>
      <c r="D2690" s="7" t="n">
        <v>0</v>
      </c>
      <c r="E2690" s="7" t="n">
        <v>0</v>
      </c>
      <c r="F2690" s="7" t="n">
        <v>2</v>
      </c>
      <c r="G2690" s="7" t="n">
        <v>47.29</v>
      </c>
    </row>
    <row r="2691" customFormat="false" ht="15" hidden="false" customHeight="false" outlineLevel="0" collapsed="false">
      <c r="A2691" s="7" t="s">
        <v>24</v>
      </c>
      <c r="B2691" s="7" t="s">
        <v>606</v>
      </c>
      <c r="C2691" s="7" t="s">
        <v>1229</v>
      </c>
      <c r="D2691" s="7" t="n">
        <v>11</v>
      </c>
      <c r="E2691" s="7" t="n">
        <v>238.76</v>
      </c>
      <c r="F2691" s="7" t="n">
        <v>10</v>
      </c>
      <c r="G2691" s="7" t="n">
        <v>236.4</v>
      </c>
    </row>
    <row r="2692" customFormat="false" ht="15" hidden="false" customHeight="false" outlineLevel="0" collapsed="false">
      <c r="A2692" s="7" t="s">
        <v>24</v>
      </c>
      <c r="B2692" s="7" t="s">
        <v>606</v>
      </c>
      <c r="C2692" s="7" t="s">
        <v>1229</v>
      </c>
      <c r="D2692" s="7" t="n">
        <v>0</v>
      </c>
      <c r="E2692" s="7" t="n">
        <v>0</v>
      </c>
      <c r="F2692" s="7" t="n">
        <v>1</v>
      </c>
      <c r="G2692" s="7" t="n">
        <v>8.39</v>
      </c>
    </row>
    <row r="2693" customFormat="false" ht="15" hidden="false" customHeight="false" outlineLevel="0" collapsed="false">
      <c r="A2693" s="7" t="s">
        <v>24</v>
      </c>
      <c r="B2693" s="7" t="s">
        <v>606</v>
      </c>
      <c r="C2693" s="7" t="s">
        <v>1229</v>
      </c>
      <c r="D2693" s="7" t="n">
        <v>0</v>
      </c>
      <c r="E2693" s="7" t="n">
        <v>0</v>
      </c>
      <c r="F2693" s="7" t="n">
        <v>3</v>
      </c>
      <c r="G2693" s="7" t="n">
        <v>0.03</v>
      </c>
    </row>
    <row r="2694" customFormat="false" ht="15" hidden="false" customHeight="false" outlineLevel="0" collapsed="false">
      <c r="A2694" s="7" t="s">
        <v>24</v>
      </c>
      <c r="B2694" s="7" t="s">
        <v>606</v>
      </c>
      <c r="C2694" s="7" t="s">
        <v>1229</v>
      </c>
      <c r="D2694" s="7" t="n">
        <v>0</v>
      </c>
      <c r="E2694" s="7" t="n">
        <v>0</v>
      </c>
      <c r="F2694" s="7" t="n">
        <v>2</v>
      </c>
      <c r="G2694" s="7" t="n">
        <v>47.29</v>
      </c>
    </row>
    <row r="2695" customFormat="false" ht="15" hidden="false" customHeight="false" outlineLevel="0" collapsed="false">
      <c r="A2695" s="7" t="s">
        <v>24</v>
      </c>
      <c r="B2695" s="7" t="s">
        <v>606</v>
      </c>
      <c r="C2695" s="7" t="s">
        <v>1229</v>
      </c>
      <c r="D2695" s="7" t="n">
        <v>0</v>
      </c>
      <c r="E2695" s="7" t="n">
        <v>0</v>
      </c>
      <c r="F2695" s="7" t="n">
        <v>1</v>
      </c>
      <c r="G2695" s="7" t="n">
        <v>23.64</v>
      </c>
    </row>
    <row r="2696" customFormat="false" ht="15" hidden="false" customHeight="false" outlineLevel="0" collapsed="false">
      <c r="A2696" s="7" t="s">
        <v>24</v>
      </c>
      <c r="B2696" s="7" t="s">
        <v>606</v>
      </c>
      <c r="C2696" s="7" t="s">
        <v>1229</v>
      </c>
      <c r="D2696" s="7" t="n">
        <v>0</v>
      </c>
      <c r="E2696" s="7" t="n">
        <v>0</v>
      </c>
      <c r="F2696" s="7" t="n">
        <v>2</v>
      </c>
      <c r="G2696" s="7" t="n">
        <v>0</v>
      </c>
    </row>
    <row r="2697" customFormat="false" ht="15" hidden="false" customHeight="false" outlineLevel="0" collapsed="false">
      <c r="A2697" s="7" t="s">
        <v>24</v>
      </c>
      <c r="B2697" s="7" t="s">
        <v>606</v>
      </c>
      <c r="C2697" s="7" t="s">
        <v>1229</v>
      </c>
      <c r="D2697" s="7" t="n">
        <v>0</v>
      </c>
      <c r="E2697" s="7" t="n">
        <v>0</v>
      </c>
      <c r="F2697" s="7" t="n">
        <v>2</v>
      </c>
      <c r="G2697" s="7" t="n">
        <v>0</v>
      </c>
    </row>
    <row r="2698" customFormat="false" ht="15" hidden="false" customHeight="false" outlineLevel="0" collapsed="false">
      <c r="A2698" s="7" t="s">
        <v>24</v>
      </c>
      <c r="B2698" s="7" t="s">
        <v>606</v>
      </c>
      <c r="C2698" s="7" t="s">
        <v>1229</v>
      </c>
      <c r="D2698" s="7" t="n">
        <v>0</v>
      </c>
      <c r="E2698" s="7" t="n">
        <v>0</v>
      </c>
      <c r="F2698" s="7" t="n">
        <v>1</v>
      </c>
      <c r="G2698" s="7" t="n">
        <v>23.64</v>
      </c>
    </row>
    <row r="2699" customFormat="false" ht="15" hidden="false" customHeight="false" outlineLevel="0" collapsed="false">
      <c r="A2699" s="7" t="s">
        <v>24</v>
      </c>
      <c r="B2699" s="7" t="s">
        <v>566</v>
      </c>
      <c r="C2699" s="7" t="s">
        <v>1230</v>
      </c>
      <c r="D2699" s="7" t="n">
        <v>0</v>
      </c>
      <c r="E2699" s="7" t="n">
        <v>0</v>
      </c>
      <c r="F2699" s="7" t="n">
        <v>1</v>
      </c>
      <c r="G2699" s="7" t="n">
        <v>21.95</v>
      </c>
    </row>
    <row r="2700" customFormat="false" ht="15" hidden="false" customHeight="false" outlineLevel="0" collapsed="false">
      <c r="A2700" s="7" t="s">
        <v>24</v>
      </c>
      <c r="B2700" s="7" t="s">
        <v>566</v>
      </c>
      <c r="C2700" s="7" t="s">
        <v>1230</v>
      </c>
      <c r="D2700" s="7" t="n">
        <v>0</v>
      </c>
      <c r="E2700" s="7" t="n">
        <v>0</v>
      </c>
      <c r="F2700" s="7" t="n">
        <v>1</v>
      </c>
      <c r="G2700" s="7" t="n">
        <v>0</v>
      </c>
    </row>
    <row r="2701" customFormat="false" ht="15" hidden="false" customHeight="false" outlineLevel="0" collapsed="false">
      <c r="A2701" s="7" t="s">
        <v>24</v>
      </c>
      <c r="B2701" s="7" t="s">
        <v>566</v>
      </c>
      <c r="C2701" s="7" t="s">
        <v>1230</v>
      </c>
      <c r="D2701" s="7" t="n">
        <v>5</v>
      </c>
      <c r="E2701" s="7" t="n">
        <v>110.88</v>
      </c>
      <c r="F2701" s="7" t="n">
        <v>1</v>
      </c>
      <c r="G2701" s="7" t="n">
        <v>25.2</v>
      </c>
    </row>
    <row r="2702" customFormat="false" ht="15" hidden="false" customHeight="false" outlineLevel="0" collapsed="false">
      <c r="A2702" s="7" t="s">
        <v>24</v>
      </c>
      <c r="B2702" s="7" t="s">
        <v>566</v>
      </c>
      <c r="C2702" s="7" t="s">
        <v>1230</v>
      </c>
      <c r="D2702" s="7" t="n">
        <v>4</v>
      </c>
      <c r="E2702" s="7" t="n">
        <v>101.4</v>
      </c>
      <c r="F2702" s="7" t="n">
        <v>0</v>
      </c>
      <c r="G2702" s="7" t="n">
        <v>0</v>
      </c>
    </row>
    <row r="2703" customFormat="false" ht="15" hidden="false" customHeight="false" outlineLevel="0" collapsed="false">
      <c r="A2703" s="7" t="s">
        <v>24</v>
      </c>
      <c r="B2703" s="7" t="s">
        <v>566</v>
      </c>
      <c r="C2703" s="7" t="s">
        <v>1230</v>
      </c>
      <c r="D2703" s="7" t="n">
        <v>0</v>
      </c>
      <c r="E2703" s="7" t="n">
        <v>0</v>
      </c>
      <c r="F2703" s="7" t="n">
        <v>1</v>
      </c>
      <c r="G2703" s="7" t="n">
        <v>21.94</v>
      </c>
    </row>
    <row r="2704" customFormat="false" ht="15" hidden="false" customHeight="false" outlineLevel="0" collapsed="false">
      <c r="A2704" s="7" t="s">
        <v>24</v>
      </c>
      <c r="B2704" s="7" t="s">
        <v>566</v>
      </c>
      <c r="C2704" s="7" t="s">
        <v>1230</v>
      </c>
      <c r="D2704" s="7" t="n">
        <v>0</v>
      </c>
      <c r="E2704" s="7" t="n">
        <v>0</v>
      </c>
      <c r="F2704" s="7" t="n">
        <v>1</v>
      </c>
      <c r="G2704" s="7" t="n">
        <v>21.94</v>
      </c>
    </row>
    <row r="2705" customFormat="false" ht="15" hidden="false" customHeight="false" outlineLevel="0" collapsed="false">
      <c r="A2705" s="7" t="s">
        <v>24</v>
      </c>
      <c r="B2705" s="7" t="s">
        <v>566</v>
      </c>
      <c r="C2705" s="7" t="s">
        <v>1230</v>
      </c>
      <c r="D2705" s="7" t="n">
        <v>5</v>
      </c>
      <c r="E2705" s="7" t="n">
        <v>111.32</v>
      </c>
      <c r="F2705" s="7" t="n">
        <v>0</v>
      </c>
      <c r="G2705" s="7" t="n">
        <v>0</v>
      </c>
    </row>
    <row r="2706" customFormat="false" ht="15" hidden="false" customHeight="false" outlineLevel="0" collapsed="false">
      <c r="A2706" s="7" t="s">
        <v>24</v>
      </c>
      <c r="B2706" s="7" t="s">
        <v>566</v>
      </c>
      <c r="C2706" s="7" t="s">
        <v>1230</v>
      </c>
      <c r="D2706" s="7" t="n">
        <v>0</v>
      </c>
      <c r="E2706" s="7" t="n">
        <v>0</v>
      </c>
      <c r="F2706" s="7" t="n">
        <v>1</v>
      </c>
      <c r="G2706" s="7" t="n">
        <v>21.95</v>
      </c>
    </row>
    <row r="2707" customFormat="false" ht="15" hidden="false" customHeight="false" outlineLevel="0" collapsed="false">
      <c r="A2707" s="7" t="s">
        <v>24</v>
      </c>
      <c r="B2707" s="7" t="s">
        <v>566</v>
      </c>
      <c r="C2707" s="7" t="s">
        <v>1230</v>
      </c>
      <c r="D2707" s="7" t="n">
        <v>7</v>
      </c>
      <c r="E2707" s="7" t="n">
        <v>136.09</v>
      </c>
      <c r="F2707" s="7" t="n">
        <v>0</v>
      </c>
      <c r="G2707" s="7" t="n">
        <v>0</v>
      </c>
    </row>
    <row r="2708" customFormat="false" ht="15" hidden="false" customHeight="false" outlineLevel="0" collapsed="false">
      <c r="A2708" s="7" t="s">
        <v>24</v>
      </c>
      <c r="B2708" s="7" t="s">
        <v>566</v>
      </c>
      <c r="C2708" s="7" t="s">
        <v>1230</v>
      </c>
      <c r="D2708" s="7" t="n">
        <v>0</v>
      </c>
      <c r="E2708" s="7" t="n">
        <v>0</v>
      </c>
      <c r="F2708" s="7" t="n">
        <v>3</v>
      </c>
      <c r="G2708" s="7" t="n">
        <v>0</v>
      </c>
    </row>
    <row r="2709" customFormat="false" ht="15" hidden="false" customHeight="false" outlineLevel="0" collapsed="false">
      <c r="A2709" s="7" t="s">
        <v>24</v>
      </c>
      <c r="B2709" s="7" t="s">
        <v>566</v>
      </c>
      <c r="C2709" s="7" t="s">
        <v>1230</v>
      </c>
      <c r="D2709" s="7" t="n">
        <v>0</v>
      </c>
      <c r="E2709" s="7" t="n">
        <v>0</v>
      </c>
      <c r="F2709" s="7" t="n">
        <v>1</v>
      </c>
      <c r="G2709" s="7" t="n">
        <v>0</v>
      </c>
    </row>
    <row r="2710" customFormat="false" ht="15" hidden="false" customHeight="false" outlineLevel="0" collapsed="false">
      <c r="A2710" s="7" t="s">
        <v>24</v>
      </c>
      <c r="B2710" s="7" t="s">
        <v>566</v>
      </c>
      <c r="C2710" s="7" t="s">
        <v>1230</v>
      </c>
      <c r="D2710" s="7" t="n">
        <v>0</v>
      </c>
      <c r="E2710" s="7" t="n">
        <v>0</v>
      </c>
      <c r="F2710" s="7" t="n">
        <v>3</v>
      </c>
      <c r="G2710" s="7" t="n">
        <v>76.2</v>
      </c>
    </row>
    <row r="2711" customFormat="false" ht="15" hidden="false" customHeight="false" outlineLevel="0" collapsed="false">
      <c r="A2711" s="7" t="s">
        <v>24</v>
      </c>
      <c r="B2711" s="7" t="s">
        <v>566</v>
      </c>
      <c r="C2711" s="7" t="s">
        <v>1230</v>
      </c>
      <c r="D2711" s="7" t="n">
        <v>0</v>
      </c>
      <c r="E2711" s="7" t="n">
        <v>0</v>
      </c>
      <c r="F2711" s="7" t="n">
        <v>1</v>
      </c>
      <c r="G2711" s="7" t="n">
        <v>0</v>
      </c>
    </row>
    <row r="2712" customFormat="false" ht="15" hidden="false" customHeight="false" outlineLevel="0" collapsed="false">
      <c r="A2712" s="7" t="s">
        <v>24</v>
      </c>
      <c r="B2712" s="7" t="s">
        <v>566</v>
      </c>
      <c r="C2712" s="7" t="s">
        <v>1230</v>
      </c>
      <c r="D2712" s="7" t="n">
        <v>0</v>
      </c>
      <c r="E2712" s="7" t="n">
        <v>0</v>
      </c>
      <c r="F2712" s="7" t="n">
        <v>3</v>
      </c>
      <c r="G2712" s="7" t="n">
        <v>0</v>
      </c>
    </row>
    <row r="2713" customFormat="false" ht="15" hidden="false" customHeight="false" outlineLevel="0" collapsed="false">
      <c r="A2713" s="7" t="s">
        <v>24</v>
      </c>
      <c r="B2713" s="7" t="s">
        <v>566</v>
      </c>
      <c r="C2713" s="7" t="s">
        <v>1230</v>
      </c>
      <c r="D2713" s="7" t="n">
        <v>0</v>
      </c>
      <c r="E2713" s="7" t="n">
        <v>0</v>
      </c>
      <c r="F2713" s="7" t="n">
        <v>3</v>
      </c>
      <c r="G2713" s="7" t="n">
        <v>65.85</v>
      </c>
    </row>
    <row r="2714" customFormat="false" ht="15" hidden="false" customHeight="false" outlineLevel="0" collapsed="false">
      <c r="A2714" s="7" t="s">
        <v>24</v>
      </c>
      <c r="B2714" s="7" t="s">
        <v>566</v>
      </c>
      <c r="C2714" s="7" t="s">
        <v>1230</v>
      </c>
      <c r="D2714" s="7" t="n">
        <v>4</v>
      </c>
      <c r="E2714" s="7" t="n">
        <v>100.6</v>
      </c>
      <c r="F2714" s="7" t="n">
        <v>0</v>
      </c>
      <c r="G2714" s="7" t="n">
        <v>0</v>
      </c>
    </row>
    <row r="2715" customFormat="false" ht="15" hidden="false" customHeight="false" outlineLevel="0" collapsed="false">
      <c r="A2715" s="7" t="s">
        <v>24</v>
      </c>
      <c r="B2715" s="7" t="s">
        <v>566</v>
      </c>
      <c r="C2715" s="7" t="s">
        <v>1230</v>
      </c>
      <c r="D2715" s="7" t="n">
        <v>0</v>
      </c>
      <c r="E2715" s="7" t="n">
        <v>0</v>
      </c>
      <c r="F2715" s="7" t="n">
        <v>3</v>
      </c>
      <c r="G2715" s="7" t="n">
        <v>65.85</v>
      </c>
    </row>
    <row r="2716" customFormat="false" ht="15" hidden="false" customHeight="false" outlineLevel="0" collapsed="false">
      <c r="A2716" s="7" t="s">
        <v>24</v>
      </c>
      <c r="B2716" s="7" t="s">
        <v>590</v>
      </c>
      <c r="C2716" s="7" t="s">
        <v>1097</v>
      </c>
      <c r="D2716" s="7" t="n">
        <v>0</v>
      </c>
      <c r="E2716" s="7" t="n">
        <v>0</v>
      </c>
      <c r="F2716" s="7" t="n">
        <v>4</v>
      </c>
      <c r="G2716" s="7" t="n">
        <v>100.37</v>
      </c>
    </row>
    <row r="2717" customFormat="false" ht="15" hidden="false" customHeight="false" outlineLevel="0" collapsed="false">
      <c r="A2717" s="7" t="s">
        <v>24</v>
      </c>
      <c r="B2717" s="7" t="s">
        <v>590</v>
      </c>
      <c r="C2717" s="7" t="s">
        <v>1097</v>
      </c>
      <c r="D2717" s="7" t="n">
        <v>5</v>
      </c>
      <c r="E2717" s="7" t="n">
        <v>122.99</v>
      </c>
      <c r="F2717" s="7" t="n">
        <v>0</v>
      </c>
      <c r="G2717" s="7" t="n">
        <v>0</v>
      </c>
    </row>
    <row r="2718" customFormat="false" ht="15" hidden="false" customHeight="false" outlineLevel="0" collapsed="false">
      <c r="A2718" s="7" t="s">
        <v>24</v>
      </c>
      <c r="B2718" s="7" t="s">
        <v>590</v>
      </c>
      <c r="C2718" s="7" t="s">
        <v>1097</v>
      </c>
      <c r="D2718" s="7" t="n">
        <v>0</v>
      </c>
      <c r="E2718" s="7" t="n">
        <v>0</v>
      </c>
      <c r="F2718" s="7" t="n">
        <v>8</v>
      </c>
      <c r="G2718" s="7" t="n">
        <v>223.05</v>
      </c>
    </row>
    <row r="2719" customFormat="false" ht="15" hidden="false" customHeight="false" outlineLevel="0" collapsed="false">
      <c r="A2719" s="7" t="s">
        <v>24</v>
      </c>
      <c r="B2719" s="7" t="s">
        <v>590</v>
      </c>
      <c r="C2719" s="7" t="s">
        <v>1097</v>
      </c>
      <c r="D2719" s="7" t="n">
        <v>0</v>
      </c>
      <c r="E2719" s="7" t="n">
        <v>0</v>
      </c>
      <c r="F2719" s="7" t="n">
        <v>1</v>
      </c>
      <c r="G2719" s="7" t="n">
        <v>23.7</v>
      </c>
    </row>
    <row r="2720" customFormat="false" ht="15" hidden="false" customHeight="false" outlineLevel="0" collapsed="false">
      <c r="A2720" s="7" t="s">
        <v>24</v>
      </c>
      <c r="B2720" s="7" t="s">
        <v>590</v>
      </c>
      <c r="C2720" s="7" t="s">
        <v>1097</v>
      </c>
      <c r="D2720" s="7" t="n">
        <v>0</v>
      </c>
      <c r="E2720" s="7" t="n">
        <v>0</v>
      </c>
      <c r="F2720" s="7" t="n">
        <v>1</v>
      </c>
      <c r="G2720" s="7" t="n">
        <v>22.31</v>
      </c>
    </row>
    <row r="2721" customFormat="false" ht="15" hidden="false" customHeight="false" outlineLevel="0" collapsed="false">
      <c r="A2721" s="7" t="s">
        <v>24</v>
      </c>
      <c r="B2721" s="7" t="s">
        <v>590</v>
      </c>
      <c r="C2721" s="7" t="s">
        <v>1097</v>
      </c>
      <c r="D2721" s="7" t="n">
        <v>0</v>
      </c>
      <c r="E2721" s="7" t="n">
        <v>0</v>
      </c>
      <c r="F2721" s="7" t="n">
        <v>2</v>
      </c>
      <c r="G2721" s="7" t="n">
        <v>55.76</v>
      </c>
    </row>
    <row r="2722" customFormat="false" ht="15" hidden="false" customHeight="false" outlineLevel="0" collapsed="false">
      <c r="A2722" s="7" t="s">
        <v>24</v>
      </c>
      <c r="B2722" s="7" t="s">
        <v>590</v>
      </c>
      <c r="C2722" s="7" t="s">
        <v>1097</v>
      </c>
      <c r="D2722" s="7" t="n">
        <v>13</v>
      </c>
      <c r="E2722" s="7" t="n">
        <v>345.72</v>
      </c>
      <c r="F2722" s="7" t="n">
        <v>7</v>
      </c>
      <c r="G2722" s="7" t="n">
        <v>195.16</v>
      </c>
    </row>
    <row r="2723" customFormat="false" ht="15" hidden="false" customHeight="false" outlineLevel="0" collapsed="false">
      <c r="A2723" s="7" t="s">
        <v>24</v>
      </c>
      <c r="B2723" s="7" t="s">
        <v>590</v>
      </c>
      <c r="C2723" s="7" t="s">
        <v>1097</v>
      </c>
      <c r="D2723" s="7" t="n">
        <v>0</v>
      </c>
      <c r="E2723" s="7" t="n">
        <v>0</v>
      </c>
      <c r="F2723" s="7" t="n">
        <v>2</v>
      </c>
      <c r="G2723" s="7" t="n">
        <v>55.77</v>
      </c>
    </row>
    <row r="2724" customFormat="false" ht="15" hidden="false" customHeight="false" outlineLevel="0" collapsed="false">
      <c r="A2724" s="7" t="s">
        <v>24</v>
      </c>
      <c r="B2724" s="7" t="s">
        <v>735</v>
      </c>
      <c r="C2724" s="7" t="s">
        <v>1098</v>
      </c>
      <c r="D2724" s="7" t="n">
        <v>15</v>
      </c>
      <c r="E2724" s="7" t="n">
        <v>370.8</v>
      </c>
      <c r="F2724" s="7" t="n">
        <v>11</v>
      </c>
      <c r="G2724" s="7" t="n">
        <v>298.31</v>
      </c>
    </row>
    <row r="2725" customFormat="false" ht="15" hidden="false" customHeight="false" outlineLevel="0" collapsed="false">
      <c r="A2725" s="7" t="s">
        <v>24</v>
      </c>
      <c r="B2725" s="7" t="s">
        <v>735</v>
      </c>
      <c r="C2725" s="7" t="s">
        <v>1098</v>
      </c>
      <c r="D2725" s="7" t="n">
        <v>0</v>
      </c>
      <c r="E2725" s="7" t="n">
        <v>0</v>
      </c>
      <c r="F2725" s="7" t="n">
        <v>1</v>
      </c>
      <c r="G2725" s="7" t="n">
        <v>27.88</v>
      </c>
    </row>
    <row r="2726" customFormat="false" ht="15" hidden="false" customHeight="false" outlineLevel="0" collapsed="false">
      <c r="A2726" s="7" t="s">
        <v>24</v>
      </c>
      <c r="B2726" s="7" t="s">
        <v>735</v>
      </c>
      <c r="C2726" s="7" t="s">
        <v>1098</v>
      </c>
      <c r="D2726" s="7" t="n">
        <v>0</v>
      </c>
      <c r="E2726" s="7" t="n">
        <v>0</v>
      </c>
      <c r="F2726" s="7" t="n">
        <v>1</v>
      </c>
      <c r="G2726" s="7" t="n">
        <v>27.88</v>
      </c>
    </row>
    <row r="2727" customFormat="false" ht="15" hidden="false" customHeight="false" outlineLevel="0" collapsed="false">
      <c r="A2727" s="7" t="s">
        <v>24</v>
      </c>
      <c r="B2727" s="7" t="s">
        <v>735</v>
      </c>
      <c r="C2727" s="7" t="s">
        <v>1098</v>
      </c>
      <c r="D2727" s="7" t="n">
        <v>0</v>
      </c>
      <c r="E2727" s="7" t="n">
        <v>0</v>
      </c>
      <c r="F2727" s="7" t="n">
        <v>1</v>
      </c>
      <c r="G2727" s="7" t="n">
        <v>25.1</v>
      </c>
    </row>
    <row r="2728" customFormat="false" ht="15" hidden="false" customHeight="false" outlineLevel="0" collapsed="false">
      <c r="A2728" s="7" t="s">
        <v>24</v>
      </c>
      <c r="B2728" s="7" t="s">
        <v>735</v>
      </c>
      <c r="C2728" s="7" t="s">
        <v>1098</v>
      </c>
      <c r="D2728" s="7" t="n">
        <v>0</v>
      </c>
      <c r="E2728" s="7" t="n">
        <v>0</v>
      </c>
      <c r="F2728" s="7" t="n">
        <v>2</v>
      </c>
      <c r="G2728" s="7" t="n">
        <v>50.19</v>
      </c>
    </row>
    <row r="2729" customFormat="false" ht="15" hidden="false" customHeight="false" outlineLevel="0" collapsed="false">
      <c r="A2729" s="7" t="s">
        <v>24</v>
      </c>
      <c r="B2729" s="7" t="s">
        <v>735</v>
      </c>
      <c r="C2729" s="7" t="s">
        <v>1098</v>
      </c>
      <c r="D2729" s="7" t="n">
        <v>0</v>
      </c>
      <c r="E2729" s="7" t="n">
        <v>0</v>
      </c>
      <c r="F2729" s="7" t="n">
        <v>1</v>
      </c>
      <c r="G2729" s="7" t="n">
        <v>27.89</v>
      </c>
    </row>
    <row r="2730" customFormat="false" ht="15" hidden="false" customHeight="false" outlineLevel="0" collapsed="false">
      <c r="A2730" s="7" t="s">
        <v>24</v>
      </c>
      <c r="B2730" s="7" t="s">
        <v>735</v>
      </c>
      <c r="C2730" s="7" t="s">
        <v>1098</v>
      </c>
      <c r="D2730" s="7" t="n">
        <v>0</v>
      </c>
      <c r="E2730" s="7" t="n">
        <v>0</v>
      </c>
      <c r="F2730" s="7" t="n">
        <v>1</v>
      </c>
      <c r="G2730" s="7" t="n">
        <v>27.88</v>
      </c>
    </row>
    <row r="2731" customFormat="false" ht="15" hidden="false" customHeight="false" outlineLevel="0" collapsed="false">
      <c r="A2731" s="7" t="s">
        <v>24</v>
      </c>
      <c r="B2731" s="7" t="s">
        <v>735</v>
      </c>
      <c r="C2731" s="7" t="s">
        <v>1098</v>
      </c>
      <c r="D2731" s="7" t="n">
        <v>3</v>
      </c>
      <c r="E2731" s="7" t="n">
        <v>72.98</v>
      </c>
      <c r="F2731" s="7" t="n">
        <v>0</v>
      </c>
      <c r="G2731" s="7" t="n">
        <v>0</v>
      </c>
    </row>
    <row r="2732" customFormat="false" ht="15" hidden="false" customHeight="false" outlineLevel="0" collapsed="false">
      <c r="A2732" s="7" t="s">
        <v>24</v>
      </c>
      <c r="B2732" s="7" t="s">
        <v>735</v>
      </c>
      <c r="C2732" s="7" t="s">
        <v>1098</v>
      </c>
      <c r="D2732" s="7" t="n">
        <v>0</v>
      </c>
      <c r="E2732" s="7" t="n">
        <v>0</v>
      </c>
      <c r="F2732" s="7" t="n">
        <v>1</v>
      </c>
      <c r="G2732" s="7" t="n">
        <v>25.09</v>
      </c>
    </row>
    <row r="2733" customFormat="false" ht="15" hidden="false" customHeight="false" outlineLevel="0" collapsed="false">
      <c r="A2733" s="7" t="s">
        <v>24</v>
      </c>
      <c r="B2733" s="7" t="s">
        <v>642</v>
      </c>
      <c r="C2733" s="7" t="s">
        <v>1231</v>
      </c>
      <c r="D2733" s="7" t="n">
        <v>2</v>
      </c>
      <c r="E2733" s="7" t="n">
        <v>111.15</v>
      </c>
      <c r="F2733" s="7" t="n">
        <v>0</v>
      </c>
      <c r="G2733" s="7" t="n">
        <v>0</v>
      </c>
    </row>
    <row r="2734" customFormat="false" ht="15" hidden="false" customHeight="false" outlineLevel="0" collapsed="false">
      <c r="A2734" s="7" t="s">
        <v>24</v>
      </c>
      <c r="B2734" s="7" t="s">
        <v>642</v>
      </c>
      <c r="C2734" s="7" t="s">
        <v>1231</v>
      </c>
      <c r="D2734" s="7" t="n">
        <v>3</v>
      </c>
      <c r="E2734" s="7" t="n">
        <v>168.2</v>
      </c>
      <c r="F2734" s="7" t="n">
        <v>1</v>
      </c>
      <c r="G2734" s="7" t="n">
        <v>63.47</v>
      </c>
    </row>
    <row r="2735" customFormat="false" ht="15" hidden="false" customHeight="false" outlineLevel="0" collapsed="false">
      <c r="A2735" s="7" t="s">
        <v>24</v>
      </c>
      <c r="B2735" s="7" t="s">
        <v>642</v>
      </c>
      <c r="C2735" s="7" t="s">
        <v>1231</v>
      </c>
      <c r="D2735" s="7" t="n">
        <v>0</v>
      </c>
      <c r="E2735" s="7" t="n">
        <v>0</v>
      </c>
      <c r="F2735" s="7" t="n">
        <v>1</v>
      </c>
      <c r="G2735" s="7" t="n">
        <v>57.13</v>
      </c>
    </row>
    <row r="2736" customFormat="false" ht="15" hidden="false" customHeight="false" outlineLevel="0" collapsed="false">
      <c r="A2736" s="7" t="s">
        <v>24</v>
      </c>
      <c r="B2736" s="7" t="s">
        <v>570</v>
      </c>
      <c r="C2736" s="7" t="s">
        <v>1231</v>
      </c>
      <c r="D2736" s="7" t="n">
        <v>5</v>
      </c>
      <c r="E2736" s="7" t="n">
        <v>282.45</v>
      </c>
      <c r="F2736" s="7" t="n">
        <v>8</v>
      </c>
      <c r="G2736" s="7" t="n">
        <v>495.07</v>
      </c>
    </row>
    <row r="2737" customFormat="false" ht="15" hidden="false" customHeight="false" outlineLevel="0" collapsed="false">
      <c r="A2737" s="7" t="s">
        <v>24</v>
      </c>
      <c r="B2737" s="7" t="s">
        <v>570</v>
      </c>
      <c r="C2737" s="7" t="s">
        <v>1231</v>
      </c>
      <c r="D2737" s="7" t="n">
        <v>4</v>
      </c>
      <c r="E2737" s="7" t="n">
        <v>213.29</v>
      </c>
      <c r="F2737" s="7" t="n">
        <v>0</v>
      </c>
      <c r="G2737" s="7" t="n">
        <v>0</v>
      </c>
    </row>
    <row r="2738" customFormat="false" ht="15" hidden="false" customHeight="false" outlineLevel="0" collapsed="false">
      <c r="A2738" s="7" t="s">
        <v>24</v>
      </c>
      <c r="B2738" s="7" t="s">
        <v>570</v>
      </c>
      <c r="C2738" s="7" t="s">
        <v>1231</v>
      </c>
      <c r="D2738" s="7" t="n">
        <v>0</v>
      </c>
      <c r="E2738" s="7" t="n">
        <v>0</v>
      </c>
      <c r="F2738" s="7" t="n">
        <v>1</v>
      </c>
      <c r="G2738" s="7" t="n">
        <v>63.48</v>
      </c>
    </row>
    <row r="2739" customFormat="false" ht="15" hidden="false" customHeight="false" outlineLevel="0" collapsed="false">
      <c r="A2739" s="7" t="s">
        <v>24</v>
      </c>
      <c r="B2739" s="7" t="s">
        <v>570</v>
      </c>
      <c r="C2739" s="7" t="s">
        <v>1231</v>
      </c>
      <c r="D2739" s="7" t="n">
        <v>0</v>
      </c>
      <c r="E2739" s="7" t="n">
        <v>0</v>
      </c>
      <c r="F2739" s="7" t="n">
        <v>1</v>
      </c>
      <c r="G2739" s="7" t="n">
        <v>63.48</v>
      </c>
    </row>
    <row r="2740" customFormat="false" ht="15" hidden="false" customHeight="false" outlineLevel="0" collapsed="false">
      <c r="A2740" s="7" t="s">
        <v>24</v>
      </c>
      <c r="B2740" s="7" t="s">
        <v>570</v>
      </c>
      <c r="C2740" s="7" t="s">
        <v>1231</v>
      </c>
      <c r="D2740" s="7" t="n">
        <v>0</v>
      </c>
      <c r="E2740" s="7" t="n">
        <v>0</v>
      </c>
      <c r="F2740" s="7" t="n">
        <v>1</v>
      </c>
      <c r="G2740" s="7" t="n">
        <v>50.78</v>
      </c>
    </row>
    <row r="2741" customFormat="false" ht="15" hidden="false" customHeight="false" outlineLevel="0" collapsed="false">
      <c r="A2741" s="7" t="s">
        <v>24</v>
      </c>
      <c r="B2741" s="7" t="s">
        <v>570</v>
      </c>
      <c r="C2741" s="7" t="s">
        <v>1231</v>
      </c>
      <c r="D2741" s="7" t="n">
        <v>0</v>
      </c>
      <c r="E2741" s="7" t="n">
        <v>0</v>
      </c>
      <c r="F2741" s="7" t="n">
        <v>1</v>
      </c>
      <c r="G2741" s="7" t="n">
        <v>57.13</v>
      </c>
    </row>
    <row r="2742" customFormat="false" ht="15" hidden="false" customHeight="false" outlineLevel="0" collapsed="false">
      <c r="A2742" s="7" t="s">
        <v>24</v>
      </c>
      <c r="B2742" s="7" t="s">
        <v>317</v>
      </c>
      <c r="C2742" s="7" t="s">
        <v>1231</v>
      </c>
      <c r="D2742" s="7" t="n">
        <v>0</v>
      </c>
      <c r="E2742" s="7" t="n">
        <v>0</v>
      </c>
      <c r="F2742" s="7" t="n">
        <v>1</v>
      </c>
      <c r="G2742" s="7" t="n">
        <v>63.48</v>
      </c>
    </row>
    <row r="2743" customFormat="false" ht="15" hidden="false" customHeight="false" outlineLevel="0" collapsed="false">
      <c r="A2743" s="7" t="s">
        <v>24</v>
      </c>
      <c r="B2743" s="7" t="s">
        <v>317</v>
      </c>
      <c r="C2743" s="7" t="s">
        <v>1231</v>
      </c>
      <c r="D2743" s="7" t="n">
        <v>0</v>
      </c>
      <c r="E2743" s="7" t="n">
        <v>0</v>
      </c>
      <c r="F2743" s="7" t="n">
        <v>1</v>
      </c>
      <c r="G2743" s="7" t="n">
        <v>52.5</v>
      </c>
    </row>
    <row r="2744" customFormat="false" ht="15" hidden="false" customHeight="false" outlineLevel="0" collapsed="false">
      <c r="A2744" s="7" t="s">
        <v>24</v>
      </c>
      <c r="B2744" s="7" t="s">
        <v>317</v>
      </c>
      <c r="C2744" s="7" t="s">
        <v>1231</v>
      </c>
      <c r="D2744" s="7" t="n">
        <v>12</v>
      </c>
      <c r="E2744" s="7" t="n">
        <v>717.21</v>
      </c>
      <c r="F2744" s="7" t="n">
        <v>16</v>
      </c>
      <c r="G2744" s="7" t="n">
        <v>977.44</v>
      </c>
    </row>
    <row r="2745" customFormat="false" ht="15" hidden="false" customHeight="false" outlineLevel="0" collapsed="false">
      <c r="A2745" s="7" t="s">
        <v>24</v>
      </c>
      <c r="B2745" s="7" t="s">
        <v>317</v>
      </c>
      <c r="C2745" s="7" t="s">
        <v>1231</v>
      </c>
      <c r="D2745" s="7" t="n">
        <v>0</v>
      </c>
      <c r="E2745" s="7" t="n">
        <v>0</v>
      </c>
      <c r="F2745" s="7" t="n">
        <v>1</v>
      </c>
      <c r="G2745" s="7" t="n">
        <v>57.13</v>
      </c>
    </row>
    <row r="2746" customFormat="false" ht="15" hidden="false" customHeight="false" outlineLevel="0" collapsed="false">
      <c r="A2746" s="7" t="s">
        <v>24</v>
      </c>
      <c r="B2746" s="7" t="s">
        <v>317</v>
      </c>
      <c r="C2746" s="7" t="s">
        <v>1231</v>
      </c>
      <c r="D2746" s="7" t="n">
        <v>0</v>
      </c>
      <c r="E2746" s="7" t="n">
        <v>0</v>
      </c>
      <c r="F2746" s="7" t="n">
        <v>1</v>
      </c>
      <c r="G2746" s="7" t="n">
        <v>63.47</v>
      </c>
    </row>
    <row r="2747" customFormat="false" ht="15" hidden="false" customHeight="false" outlineLevel="0" collapsed="false">
      <c r="A2747" s="7" t="s">
        <v>24</v>
      </c>
      <c r="B2747" s="7" t="s">
        <v>317</v>
      </c>
      <c r="C2747" s="7" t="s">
        <v>1231</v>
      </c>
      <c r="D2747" s="7" t="n">
        <v>0</v>
      </c>
      <c r="E2747" s="7" t="n">
        <v>0</v>
      </c>
      <c r="F2747" s="7" t="n">
        <v>1</v>
      </c>
      <c r="G2747" s="7" t="n">
        <v>63.48</v>
      </c>
    </row>
    <row r="2748" customFormat="false" ht="15" hidden="false" customHeight="false" outlineLevel="0" collapsed="false">
      <c r="A2748" s="7" t="s">
        <v>24</v>
      </c>
      <c r="B2748" s="7" t="s">
        <v>317</v>
      </c>
      <c r="C2748" s="7" t="s">
        <v>1231</v>
      </c>
      <c r="D2748" s="7" t="n">
        <v>0</v>
      </c>
      <c r="E2748" s="7" t="n">
        <v>0</v>
      </c>
      <c r="F2748" s="7" t="n">
        <v>1</v>
      </c>
      <c r="G2748" s="7" t="n">
        <v>57.13</v>
      </c>
    </row>
    <row r="2749" customFormat="false" ht="15" hidden="false" customHeight="false" outlineLevel="0" collapsed="false">
      <c r="A2749" s="7" t="s">
        <v>24</v>
      </c>
      <c r="B2749" s="7" t="s">
        <v>317</v>
      </c>
      <c r="C2749" s="7" t="s">
        <v>1231</v>
      </c>
      <c r="D2749" s="7" t="n">
        <v>0</v>
      </c>
      <c r="E2749" s="7" t="n">
        <v>0</v>
      </c>
      <c r="F2749" s="7" t="n">
        <v>2</v>
      </c>
      <c r="G2749" s="7" t="n">
        <v>126.95</v>
      </c>
    </row>
    <row r="2750" customFormat="false" ht="15" hidden="false" customHeight="false" outlineLevel="0" collapsed="false">
      <c r="A2750" s="7" t="s">
        <v>24</v>
      </c>
      <c r="B2750" s="7" t="s">
        <v>317</v>
      </c>
      <c r="C2750" s="7" t="s">
        <v>1231</v>
      </c>
      <c r="D2750" s="7" t="n">
        <v>0</v>
      </c>
      <c r="E2750" s="7" t="n">
        <v>0</v>
      </c>
      <c r="F2750" s="7" t="n">
        <v>1</v>
      </c>
      <c r="G2750" s="7" t="n">
        <v>63.48</v>
      </c>
    </row>
    <row r="2751" customFormat="false" ht="15" hidden="false" customHeight="false" outlineLevel="0" collapsed="false">
      <c r="A2751" s="7" t="s">
        <v>24</v>
      </c>
      <c r="B2751" s="7" t="s">
        <v>409</v>
      </c>
      <c r="C2751" s="7" t="s">
        <v>1231</v>
      </c>
      <c r="D2751" s="7" t="n">
        <v>0</v>
      </c>
      <c r="E2751" s="7" t="n">
        <v>0</v>
      </c>
      <c r="F2751" s="7" t="n">
        <v>1</v>
      </c>
      <c r="G2751" s="7" t="n">
        <v>63.47</v>
      </c>
    </row>
    <row r="2752" customFormat="false" ht="15" hidden="false" customHeight="false" outlineLevel="0" collapsed="false">
      <c r="A2752" s="7" t="s">
        <v>24</v>
      </c>
      <c r="B2752" s="7" t="s">
        <v>409</v>
      </c>
      <c r="C2752" s="7" t="s">
        <v>1231</v>
      </c>
      <c r="D2752" s="7" t="n">
        <v>0</v>
      </c>
      <c r="E2752" s="7" t="n">
        <v>0</v>
      </c>
      <c r="F2752" s="7" t="n">
        <v>3</v>
      </c>
      <c r="G2752" s="7" t="n">
        <v>190.42</v>
      </c>
    </row>
    <row r="2753" customFormat="false" ht="15" hidden="false" customHeight="false" outlineLevel="0" collapsed="false">
      <c r="A2753" s="7" t="s">
        <v>24</v>
      </c>
      <c r="B2753" s="7" t="s">
        <v>409</v>
      </c>
      <c r="C2753" s="7" t="s">
        <v>1231</v>
      </c>
      <c r="D2753" s="7" t="n">
        <v>0</v>
      </c>
      <c r="E2753" s="7" t="n">
        <v>0</v>
      </c>
      <c r="F2753" s="7" t="n">
        <v>2</v>
      </c>
      <c r="G2753" s="7" t="n">
        <v>126.95</v>
      </c>
    </row>
    <row r="2754" customFormat="false" ht="15" hidden="false" customHeight="false" outlineLevel="0" collapsed="false">
      <c r="A2754" s="7" t="s">
        <v>24</v>
      </c>
      <c r="B2754" s="7" t="s">
        <v>409</v>
      </c>
      <c r="C2754" s="7" t="s">
        <v>1231</v>
      </c>
      <c r="D2754" s="7" t="n">
        <v>3</v>
      </c>
      <c r="E2754" s="7" t="n">
        <v>171.23</v>
      </c>
      <c r="F2754" s="7" t="n">
        <v>0</v>
      </c>
      <c r="G2754" s="7" t="n">
        <v>0</v>
      </c>
    </row>
    <row r="2755" customFormat="false" ht="15" hidden="false" customHeight="false" outlineLevel="0" collapsed="false">
      <c r="A2755" s="7" t="s">
        <v>24</v>
      </c>
      <c r="B2755" s="7" t="s">
        <v>409</v>
      </c>
      <c r="C2755" s="7" t="s">
        <v>1231</v>
      </c>
      <c r="D2755" s="7" t="n">
        <v>0</v>
      </c>
      <c r="E2755" s="7" t="n">
        <v>0</v>
      </c>
      <c r="F2755" s="7" t="n">
        <v>1</v>
      </c>
      <c r="G2755" s="7" t="n">
        <v>63.48</v>
      </c>
    </row>
    <row r="2756" customFormat="false" ht="15" hidden="false" customHeight="false" outlineLevel="0" collapsed="false">
      <c r="A2756" s="7" t="s">
        <v>24</v>
      </c>
      <c r="B2756" s="7" t="s">
        <v>409</v>
      </c>
      <c r="C2756" s="7" t="s">
        <v>1231</v>
      </c>
      <c r="D2756" s="7" t="n">
        <v>0</v>
      </c>
      <c r="E2756" s="7" t="n">
        <v>0</v>
      </c>
      <c r="F2756" s="7" t="n">
        <v>2</v>
      </c>
      <c r="G2756" s="7" t="n">
        <v>114.26</v>
      </c>
    </row>
    <row r="2757" customFormat="false" ht="15" hidden="false" customHeight="false" outlineLevel="0" collapsed="false">
      <c r="A2757" s="7" t="s">
        <v>24</v>
      </c>
      <c r="B2757" s="7" t="s">
        <v>409</v>
      </c>
      <c r="C2757" s="7" t="s">
        <v>1231</v>
      </c>
      <c r="D2757" s="7" t="n">
        <v>11</v>
      </c>
      <c r="E2757" s="7" t="n">
        <v>641.05</v>
      </c>
      <c r="F2757" s="7" t="n">
        <v>11</v>
      </c>
      <c r="G2757" s="7" t="n">
        <v>691.82</v>
      </c>
    </row>
    <row r="2758" customFormat="false" ht="15" hidden="false" customHeight="false" outlineLevel="0" collapsed="false">
      <c r="A2758" s="7" t="s">
        <v>24</v>
      </c>
      <c r="B2758" s="7" t="s">
        <v>409</v>
      </c>
      <c r="C2758" s="7" t="s">
        <v>1231</v>
      </c>
      <c r="D2758" s="7" t="n">
        <v>0</v>
      </c>
      <c r="E2758" s="7" t="n">
        <v>0</v>
      </c>
      <c r="F2758" s="7" t="n">
        <v>1</v>
      </c>
      <c r="G2758" s="7" t="n">
        <v>63.48</v>
      </c>
    </row>
    <row r="2759" customFormat="false" ht="15" hidden="false" customHeight="false" outlineLevel="0" collapsed="false">
      <c r="A2759" s="7" t="s">
        <v>24</v>
      </c>
      <c r="B2759" s="7" t="s">
        <v>660</v>
      </c>
      <c r="C2759" s="7" t="s">
        <v>1231</v>
      </c>
      <c r="D2759" s="7" t="n">
        <v>5</v>
      </c>
      <c r="E2759" s="7" t="n">
        <v>298.31</v>
      </c>
      <c r="F2759" s="7" t="n">
        <v>5</v>
      </c>
      <c r="G2759" s="7" t="n">
        <v>317.35</v>
      </c>
    </row>
    <row r="2760" customFormat="false" ht="15" hidden="false" customHeight="false" outlineLevel="0" collapsed="false">
      <c r="A2760" s="7" t="s">
        <v>24</v>
      </c>
      <c r="B2760" s="7" t="s">
        <v>660</v>
      </c>
      <c r="C2760" s="7" t="s">
        <v>1231</v>
      </c>
      <c r="D2760" s="7" t="n">
        <v>0</v>
      </c>
      <c r="E2760" s="7" t="n">
        <v>0</v>
      </c>
      <c r="F2760" s="7" t="n">
        <v>1</v>
      </c>
      <c r="G2760" s="7" t="n">
        <v>63.48</v>
      </c>
    </row>
    <row r="2761" customFormat="false" ht="15" hidden="false" customHeight="false" outlineLevel="0" collapsed="false">
      <c r="A2761" s="7" t="s">
        <v>24</v>
      </c>
      <c r="B2761" s="7" t="s">
        <v>660</v>
      </c>
      <c r="C2761" s="7" t="s">
        <v>1231</v>
      </c>
      <c r="D2761" s="7" t="n">
        <v>0</v>
      </c>
      <c r="E2761" s="7" t="n">
        <v>0</v>
      </c>
      <c r="F2761" s="7" t="n">
        <v>1</v>
      </c>
      <c r="G2761" s="7" t="n">
        <v>53.96</v>
      </c>
    </row>
    <row r="2762" customFormat="false" ht="15" hidden="false" customHeight="false" outlineLevel="0" collapsed="false">
      <c r="A2762" s="7" t="s">
        <v>24</v>
      </c>
      <c r="B2762" s="7" t="s">
        <v>182</v>
      </c>
      <c r="C2762" s="7" t="s">
        <v>1232</v>
      </c>
      <c r="D2762" s="7" t="n">
        <v>19</v>
      </c>
      <c r="E2762" s="7" t="n">
        <v>3386.25</v>
      </c>
      <c r="F2762" s="7" t="n">
        <v>3</v>
      </c>
      <c r="G2762" s="7" t="n">
        <v>557.23</v>
      </c>
    </row>
    <row r="2763" customFormat="false" ht="15" hidden="false" customHeight="false" outlineLevel="0" collapsed="false">
      <c r="A2763" s="7" t="s">
        <v>24</v>
      </c>
      <c r="B2763" s="7" t="s">
        <v>182</v>
      </c>
      <c r="C2763" s="7" t="s">
        <v>1232</v>
      </c>
      <c r="D2763" s="7" t="n">
        <v>0</v>
      </c>
      <c r="E2763" s="7" t="n">
        <v>0</v>
      </c>
      <c r="F2763" s="7" t="n">
        <v>1</v>
      </c>
      <c r="G2763" s="7" t="n">
        <v>214.32</v>
      </c>
    </row>
    <row r="2764" customFormat="false" ht="15" hidden="false" customHeight="false" outlineLevel="0" collapsed="false">
      <c r="A2764" s="7" t="s">
        <v>24</v>
      </c>
      <c r="B2764" s="7" t="s">
        <v>182</v>
      </c>
      <c r="C2764" s="7" t="s">
        <v>1232</v>
      </c>
      <c r="D2764" s="7" t="n">
        <v>0</v>
      </c>
      <c r="E2764" s="7" t="n">
        <v>0</v>
      </c>
      <c r="F2764" s="7" t="n">
        <v>2</v>
      </c>
      <c r="G2764" s="7" t="n">
        <v>385.78</v>
      </c>
    </row>
    <row r="2765" customFormat="false" ht="15" hidden="false" customHeight="false" outlineLevel="0" collapsed="false">
      <c r="A2765" s="7" t="s">
        <v>24</v>
      </c>
      <c r="B2765" s="7" t="s">
        <v>306</v>
      </c>
      <c r="C2765" s="7" t="s">
        <v>1232</v>
      </c>
      <c r="D2765" s="7" t="n">
        <v>0</v>
      </c>
      <c r="E2765" s="7" t="n">
        <v>0</v>
      </c>
      <c r="F2765" s="7" t="n">
        <v>1</v>
      </c>
      <c r="G2765" s="7" t="n">
        <v>192.89</v>
      </c>
    </row>
    <row r="2766" customFormat="false" ht="15" hidden="false" customHeight="false" outlineLevel="0" collapsed="false">
      <c r="A2766" s="7" t="s">
        <v>24</v>
      </c>
      <c r="B2766" s="7" t="s">
        <v>306</v>
      </c>
      <c r="C2766" s="7" t="s">
        <v>1232</v>
      </c>
      <c r="D2766" s="7" t="n">
        <v>0</v>
      </c>
      <c r="E2766" s="7" t="n">
        <v>0</v>
      </c>
      <c r="F2766" s="7" t="n">
        <v>1</v>
      </c>
      <c r="G2766" s="7" t="n">
        <v>214.31</v>
      </c>
    </row>
    <row r="2767" customFormat="false" ht="15" hidden="false" customHeight="false" outlineLevel="0" collapsed="false">
      <c r="A2767" s="7" t="s">
        <v>24</v>
      </c>
      <c r="B2767" s="7" t="s">
        <v>306</v>
      </c>
      <c r="C2767" s="7" t="s">
        <v>1232</v>
      </c>
      <c r="D2767" s="7" t="n">
        <v>0</v>
      </c>
      <c r="E2767" s="7" t="n">
        <v>0</v>
      </c>
      <c r="F2767" s="7" t="n">
        <v>2</v>
      </c>
      <c r="G2767" s="7" t="n">
        <v>342.92</v>
      </c>
    </row>
    <row r="2768" customFormat="false" ht="15" hidden="false" customHeight="false" outlineLevel="0" collapsed="false">
      <c r="A2768" s="7" t="s">
        <v>24</v>
      </c>
      <c r="B2768" s="7" t="s">
        <v>306</v>
      </c>
      <c r="C2768" s="7" t="s">
        <v>1232</v>
      </c>
      <c r="D2768" s="7" t="n">
        <v>0</v>
      </c>
      <c r="E2768" s="7" t="n">
        <v>0</v>
      </c>
      <c r="F2768" s="7" t="n">
        <v>1</v>
      </c>
      <c r="G2768" s="7" t="n">
        <v>214.32</v>
      </c>
    </row>
    <row r="2769" customFormat="false" ht="15" hidden="false" customHeight="false" outlineLevel="0" collapsed="false">
      <c r="A2769" s="7" t="s">
        <v>24</v>
      </c>
      <c r="B2769" s="7" t="s">
        <v>306</v>
      </c>
      <c r="C2769" s="7" t="s">
        <v>1232</v>
      </c>
      <c r="D2769" s="7" t="n">
        <v>0</v>
      </c>
      <c r="E2769" s="7" t="n">
        <v>0</v>
      </c>
      <c r="F2769" s="7" t="n">
        <v>1</v>
      </c>
      <c r="G2769" s="7" t="n">
        <v>192.89</v>
      </c>
    </row>
    <row r="2770" customFormat="false" ht="15" hidden="false" customHeight="false" outlineLevel="0" collapsed="false">
      <c r="A2770" s="7" t="s">
        <v>24</v>
      </c>
      <c r="B2770" s="7" t="s">
        <v>306</v>
      </c>
      <c r="C2770" s="7" t="s">
        <v>1232</v>
      </c>
      <c r="D2770" s="7" t="n">
        <v>15</v>
      </c>
      <c r="E2770" s="7" t="n">
        <v>2957.61</v>
      </c>
      <c r="F2770" s="7" t="n">
        <v>8</v>
      </c>
      <c r="G2770" s="7" t="n">
        <v>1693.13</v>
      </c>
    </row>
    <row r="2771" customFormat="false" ht="15" hidden="false" customHeight="false" outlineLevel="0" collapsed="false">
      <c r="A2771" s="7" t="s">
        <v>24</v>
      </c>
      <c r="B2771" s="7" t="s">
        <v>306</v>
      </c>
      <c r="C2771" s="7" t="s">
        <v>1232</v>
      </c>
      <c r="D2771" s="7" t="n">
        <v>0</v>
      </c>
      <c r="E2771" s="7" t="n">
        <v>0</v>
      </c>
      <c r="F2771" s="7" t="n">
        <v>1</v>
      </c>
      <c r="G2771" s="7" t="n">
        <v>192.89</v>
      </c>
    </row>
    <row r="2772" customFormat="false" ht="15" hidden="false" customHeight="false" outlineLevel="0" collapsed="false">
      <c r="A2772" s="7" t="s">
        <v>24</v>
      </c>
      <c r="B2772" s="7" t="s">
        <v>306</v>
      </c>
      <c r="C2772" s="7" t="s">
        <v>1232</v>
      </c>
      <c r="D2772" s="7" t="n">
        <v>0</v>
      </c>
      <c r="E2772" s="7" t="n">
        <v>0</v>
      </c>
      <c r="F2772" s="7" t="n">
        <v>1</v>
      </c>
      <c r="G2772" s="7" t="n">
        <v>214.32</v>
      </c>
    </row>
    <row r="2773" customFormat="false" ht="15" hidden="false" customHeight="false" outlineLevel="0" collapsed="false">
      <c r="A2773" s="7" t="s">
        <v>24</v>
      </c>
      <c r="B2773" s="7" t="s">
        <v>306</v>
      </c>
      <c r="C2773" s="7" t="s">
        <v>1232</v>
      </c>
      <c r="D2773" s="7" t="n">
        <v>0</v>
      </c>
      <c r="E2773" s="7" t="n">
        <v>0</v>
      </c>
      <c r="F2773" s="7" t="n">
        <v>2</v>
      </c>
      <c r="G2773" s="7" t="n">
        <v>385.78</v>
      </c>
    </row>
    <row r="2774" customFormat="false" ht="15" hidden="false" customHeight="false" outlineLevel="0" collapsed="false">
      <c r="A2774" s="7" t="s">
        <v>24</v>
      </c>
      <c r="B2774" s="7" t="s">
        <v>306</v>
      </c>
      <c r="C2774" s="7" t="s">
        <v>1232</v>
      </c>
      <c r="D2774" s="7" t="n">
        <v>0</v>
      </c>
      <c r="E2774" s="7" t="n">
        <v>0</v>
      </c>
      <c r="F2774" s="7" t="n">
        <v>1</v>
      </c>
      <c r="G2774" s="7" t="n">
        <v>182.18</v>
      </c>
    </row>
    <row r="2775" customFormat="false" ht="15" hidden="false" customHeight="false" outlineLevel="0" collapsed="false">
      <c r="A2775" s="7" t="s">
        <v>24</v>
      </c>
      <c r="B2775" s="7" t="s">
        <v>191</v>
      </c>
      <c r="C2775" s="7" t="s">
        <v>1232</v>
      </c>
      <c r="D2775" s="7" t="n">
        <v>21</v>
      </c>
      <c r="E2775" s="7" t="n">
        <v>3932.8</v>
      </c>
      <c r="F2775" s="7" t="n">
        <v>5</v>
      </c>
      <c r="G2775" s="7" t="n">
        <v>994.53</v>
      </c>
    </row>
    <row r="2776" customFormat="false" ht="15" hidden="false" customHeight="false" outlineLevel="0" collapsed="false">
      <c r="A2776" s="7" t="s">
        <v>24</v>
      </c>
      <c r="B2776" s="7" t="s">
        <v>191</v>
      </c>
      <c r="C2776" s="7" t="s">
        <v>1232</v>
      </c>
      <c r="D2776" s="7" t="n">
        <v>0</v>
      </c>
      <c r="E2776" s="7" t="n">
        <v>0</v>
      </c>
      <c r="F2776" s="7" t="n">
        <v>1</v>
      </c>
      <c r="G2776" s="7" t="n">
        <v>214.32</v>
      </c>
    </row>
    <row r="2777" customFormat="false" ht="15" hidden="false" customHeight="false" outlineLevel="0" collapsed="false">
      <c r="A2777" s="7" t="s">
        <v>24</v>
      </c>
      <c r="B2777" s="7" t="s">
        <v>191</v>
      </c>
      <c r="C2777" s="7" t="s">
        <v>1232</v>
      </c>
      <c r="D2777" s="7" t="n">
        <v>0</v>
      </c>
      <c r="E2777" s="7" t="n">
        <v>0</v>
      </c>
      <c r="F2777" s="7" t="n">
        <v>2</v>
      </c>
      <c r="G2777" s="7" t="n">
        <v>428.64</v>
      </c>
    </row>
    <row r="2778" customFormat="false" ht="15" hidden="false" customHeight="false" outlineLevel="0" collapsed="false">
      <c r="A2778" s="7" t="s">
        <v>24</v>
      </c>
      <c r="B2778" s="7" t="s">
        <v>191</v>
      </c>
      <c r="C2778" s="7" t="s">
        <v>1232</v>
      </c>
      <c r="D2778" s="7" t="n">
        <v>0</v>
      </c>
      <c r="E2778" s="7" t="n">
        <v>0</v>
      </c>
      <c r="F2778" s="7" t="n">
        <v>1</v>
      </c>
      <c r="G2778" s="7" t="n">
        <v>171.46</v>
      </c>
    </row>
    <row r="2779" customFormat="false" ht="15" hidden="false" customHeight="false" outlineLevel="0" collapsed="false">
      <c r="A2779" s="7" t="s">
        <v>24</v>
      </c>
      <c r="B2779" s="7" t="s">
        <v>191</v>
      </c>
      <c r="C2779" s="7" t="s">
        <v>1232</v>
      </c>
      <c r="D2779" s="7" t="n">
        <v>0</v>
      </c>
      <c r="E2779" s="7" t="n">
        <v>0</v>
      </c>
      <c r="F2779" s="7" t="n">
        <v>1</v>
      </c>
      <c r="G2779" s="7" t="n">
        <v>214.32</v>
      </c>
    </row>
    <row r="2780" customFormat="false" ht="15" hidden="false" customHeight="false" outlineLevel="0" collapsed="false">
      <c r="A2780" s="7" t="s">
        <v>24</v>
      </c>
      <c r="B2780" s="7" t="s">
        <v>461</v>
      </c>
      <c r="C2780" s="7" t="s">
        <v>1233</v>
      </c>
      <c r="D2780" s="7" t="n">
        <v>2</v>
      </c>
      <c r="E2780" s="7" t="n">
        <v>385.77</v>
      </c>
      <c r="F2780" s="7" t="n">
        <v>0</v>
      </c>
      <c r="G2780" s="7" t="n">
        <v>0</v>
      </c>
    </row>
    <row r="2781" customFormat="false" ht="15" hidden="false" customHeight="false" outlineLevel="0" collapsed="false">
      <c r="A2781" s="7" t="s">
        <v>24</v>
      </c>
      <c r="B2781" s="7" t="s">
        <v>230</v>
      </c>
      <c r="C2781" s="7" t="s">
        <v>1233</v>
      </c>
      <c r="D2781" s="7" t="n">
        <v>0</v>
      </c>
      <c r="E2781" s="7" t="n">
        <v>0</v>
      </c>
      <c r="F2781" s="7" t="n">
        <v>1</v>
      </c>
      <c r="G2781" s="7" t="n">
        <v>171.46</v>
      </c>
    </row>
    <row r="2782" customFormat="false" ht="15" hidden="false" customHeight="false" outlineLevel="0" collapsed="false">
      <c r="A2782" s="7" t="s">
        <v>24</v>
      </c>
      <c r="B2782" s="7" t="s">
        <v>230</v>
      </c>
      <c r="C2782" s="7" t="s">
        <v>1233</v>
      </c>
      <c r="D2782" s="7" t="n">
        <v>0</v>
      </c>
      <c r="E2782" s="7" t="n">
        <v>0</v>
      </c>
      <c r="F2782" s="7" t="n">
        <v>1</v>
      </c>
      <c r="G2782" s="7" t="n">
        <v>171.46</v>
      </c>
    </row>
    <row r="2783" customFormat="false" ht="15" hidden="false" customHeight="false" outlineLevel="0" collapsed="false">
      <c r="A2783" s="7" t="s">
        <v>24</v>
      </c>
      <c r="B2783" s="7" t="s">
        <v>230</v>
      </c>
      <c r="C2783" s="7" t="s">
        <v>1233</v>
      </c>
      <c r="D2783" s="7" t="n">
        <v>0</v>
      </c>
      <c r="E2783" s="7" t="n">
        <v>0</v>
      </c>
      <c r="F2783" s="7" t="n">
        <v>1</v>
      </c>
      <c r="G2783" s="7" t="n">
        <v>214.32</v>
      </c>
    </row>
    <row r="2784" customFormat="false" ht="15" hidden="false" customHeight="false" outlineLevel="0" collapsed="false">
      <c r="A2784" s="7" t="s">
        <v>24</v>
      </c>
      <c r="B2784" s="7" t="s">
        <v>230</v>
      </c>
      <c r="C2784" s="7" t="s">
        <v>1233</v>
      </c>
      <c r="D2784" s="7" t="n">
        <v>0</v>
      </c>
      <c r="E2784" s="7" t="n">
        <v>0</v>
      </c>
      <c r="F2784" s="7" t="n">
        <v>1</v>
      </c>
      <c r="G2784" s="7" t="n">
        <v>214.33</v>
      </c>
    </row>
    <row r="2785" customFormat="false" ht="15" hidden="false" customHeight="false" outlineLevel="0" collapsed="false">
      <c r="A2785" s="7" t="s">
        <v>24</v>
      </c>
      <c r="B2785" s="7" t="s">
        <v>230</v>
      </c>
      <c r="C2785" s="7" t="s">
        <v>1233</v>
      </c>
      <c r="D2785" s="7" t="n">
        <v>0</v>
      </c>
      <c r="E2785" s="7" t="n">
        <v>0</v>
      </c>
      <c r="F2785" s="7" t="n">
        <v>1</v>
      </c>
      <c r="G2785" s="7" t="n">
        <v>214.32</v>
      </c>
    </row>
    <row r="2786" customFormat="false" ht="15" hidden="false" customHeight="false" outlineLevel="0" collapsed="false">
      <c r="A2786" s="7" t="s">
        <v>24</v>
      </c>
      <c r="B2786" s="7" t="s">
        <v>230</v>
      </c>
      <c r="C2786" s="7" t="s">
        <v>1233</v>
      </c>
      <c r="D2786" s="7" t="n">
        <v>7</v>
      </c>
      <c r="E2786" s="7" t="n">
        <v>1382.35</v>
      </c>
      <c r="F2786" s="7" t="n">
        <v>8</v>
      </c>
      <c r="G2786" s="7" t="n">
        <v>1714.56</v>
      </c>
    </row>
    <row r="2787" customFormat="false" ht="15" hidden="false" customHeight="false" outlineLevel="0" collapsed="false">
      <c r="A2787" s="7" t="s">
        <v>24</v>
      </c>
      <c r="B2787" s="7" t="s">
        <v>230</v>
      </c>
      <c r="C2787" s="7" t="s">
        <v>1233</v>
      </c>
      <c r="D2787" s="7" t="n">
        <v>0</v>
      </c>
      <c r="E2787" s="7" t="n">
        <v>0</v>
      </c>
      <c r="F2787" s="7" t="n">
        <v>1</v>
      </c>
      <c r="G2787" s="7" t="n">
        <v>192.89</v>
      </c>
    </row>
    <row r="2788" customFormat="false" ht="15" hidden="false" customHeight="false" outlineLevel="0" collapsed="false">
      <c r="A2788" s="7" t="s">
        <v>24</v>
      </c>
      <c r="B2788" s="7" t="s">
        <v>328</v>
      </c>
      <c r="C2788" s="7" t="s">
        <v>1233</v>
      </c>
      <c r="D2788" s="7" t="n">
        <v>0</v>
      </c>
      <c r="E2788" s="7" t="n">
        <v>0</v>
      </c>
      <c r="F2788" s="7" t="n">
        <v>1</v>
      </c>
      <c r="G2788" s="7" t="n">
        <v>182.18</v>
      </c>
    </row>
    <row r="2789" customFormat="false" ht="15" hidden="false" customHeight="false" outlineLevel="0" collapsed="false">
      <c r="A2789" s="7" t="s">
        <v>24</v>
      </c>
      <c r="B2789" s="7" t="s">
        <v>328</v>
      </c>
      <c r="C2789" s="7" t="s">
        <v>1233</v>
      </c>
      <c r="D2789" s="7" t="n">
        <v>19</v>
      </c>
      <c r="E2789" s="7" t="n">
        <v>3707.74</v>
      </c>
      <c r="F2789" s="7" t="n">
        <v>7</v>
      </c>
      <c r="G2789" s="7" t="n">
        <v>1358.9</v>
      </c>
    </row>
    <row r="2790" customFormat="false" ht="15" hidden="false" customHeight="false" outlineLevel="0" collapsed="false">
      <c r="A2790" s="7" t="s">
        <v>24</v>
      </c>
      <c r="B2790" s="7" t="s">
        <v>328</v>
      </c>
      <c r="C2790" s="7" t="s">
        <v>1233</v>
      </c>
      <c r="D2790" s="7" t="n">
        <v>0</v>
      </c>
      <c r="E2790" s="7" t="n">
        <v>0</v>
      </c>
      <c r="F2790" s="7" t="n">
        <v>1</v>
      </c>
      <c r="G2790" s="7" t="n">
        <v>182.16</v>
      </c>
    </row>
    <row r="2791" customFormat="false" ht="15" hidden="false" customHeight="false" outlineLevel="0" collapsed="false">
      <c r="A2791" s="7" t="s">
        <v>24</v>
      </c>
      <c r="B2791" s="7" t="s">
        <v>328</v>
      </c>
      <c r="C2791" s="7" t="s">
        <v>1233</v>
      </c>
      <c r="D2791" s="7" t="n">
        <v>0</v>
      </c>
      <c r="E2791" s="7" t="n">
        <v>0</v>
      </c>
      <c r="F2791" s="7" t="n">
        <v>1</v>
      </c>
      <c r="G2791" s="7" t="n">
        <v>214.32</v>
      </c>
    </row>
    <row r="2792" customFormat="false" ht="15" hidden="false" customHeight="false" outlineLevel="0" collapsed="false">
      <c r="A2792" s="7" t="s">
        <v>24</v>
      </c>
      <c r="B2792" s="7" t="s">
        <v>328</v>
      </c>
      <c r="C2792" s="7" t="s">
        <v>1233</v>
      </c>
      <c r="D2792" s="7" t="n">
        <v>0</v>
      </c>
      <c r="E2792" s="7" t="n">
        <v>0</v>
      </c>
      <c r="F2792" s="7" t="n">
        <v>1</v>
      </c>
      <c r="G2792" s="7" t="n">
        <v>214.32</v>
      </c>
    </row>
    <row r="2793" customFormat="false" ht="15" hidden="false" customHeight="false" outlineLevel="0" collapsed="false">
      <c r="A2793" s="7" t="s">
        <v>24</v>
      </c>
      <c r="B2793" s="7" t="s">
        <v>328</v>
      </c>
      <c r="C2793" s="7" t="s">
        <v>1233</v>
      </c>
      <c r="D2793" s="7" t="n">
        <v>0</v>
      </c>
      <c r="E2793" s="7" t="n">
        <v>0</v>
      </c>
      <c r="F2793" s="7" t="n">
        <v>3</v>
      </c>
      <c r="G2793" s="7" t="n">
        <v>621.53</v>
      </c>
    </row>
    <row r="2794" customFormat="false" ht="15" hidden="false" customHeight="false" outlineLevel="0" collapsed="false">
      <c r="A2794" s="7" t="s">
        <v>24</v>
      </c>
      <c r="B2794" s="7" t="s">
        <v>328</v>
      </c>
      <c r="C2794" s="7" t="s">
        <v>1233</v>
      </c>
      <c r="D2794" s="7" t="n">
        <v>0</v>
      </c>
      <c r="E2794" s="7" t="n">
        <v>0</v>
      </c>
      <c r="F2794" s="7" t="n">
        <v>1</v>
      </c>
      <c r="G2794" s="7" t="n">
        <v>182.18</v>
      </c>
    </row>
    <row r="2795" customFormat="false" ht="15" hidden="false" customHeight="false" outlineLevel="0" collapsed="false">
      <c r="A2795" s="7" t="s">
        <v>24</v>
      </c>
      <c r="B2795" s="7" t="s">
        <v>495</v>
      </c>
      <c r="C2795" s="7" t="s">
        <v>1234</v>
      </c>
      <c r="D2795" s="7" t="n">
        <v>5</v>
      </c>
      <c r="E2795" s="7" t="n">
        <v>953.72</v>
      </c>
      <c r="F2795" s="7" t="n">
        <v>1</v>
      </c>
      <c r="G2795" s="7" t="n">
        <v>214.32</v>
      </c>
    </row>
    <row r="2796" customFormat="false" ht="15" hidden="false" customHeight="false" outlineLevel="0" collapsed="false">
      <c r="A2796" s="7" t="s">
        <v>24</v>
      </c>
      <c r="B2796" s="7" t="s">
        <v>495</v>
      </c>
      <c r="C2796" s="7" t="s">
        <v>1234</v>
      </c>
      <c r="D2796" s="7" t="n">
        <v>0</v>
      </c>
      <c r="E2796" s="7" t="n">
        <v>0</v>
      </c>
      <c r="F2796" s="7" t="n">
        <v>1</v>
      </c>
      <c r="G2796" s="7" t="n">
        <v>192.89</v>
      </c>
    </row>
    <row r="2797" customFormat="false" ht="15" hidden="false" customHeight="false" outlineLevel="0" collapsed="false">
      <c r="A2797" s="7" t="s">
        <v>24</v>
      </c>
      <c r="B2797" s="7" t="s">
        <v>495</v>
      </c>
      <c r="C2797" s="7" t="s">
        <v>1234</v>
      </c>
      <c r="D2797" s="7" t="n">
        <v>0</v>
      </c>
      <c r="E2797" s="7" t="n">
        <v>0</v>
      </c>
      <c r="F2797" s="7" t="n">
        <v>1</v>
      </c>
      <c r="G2797" s="7" t="n">
        <v>214.33</v>
      </c>
    </row>
    <row r="2798" customFormat="false" ht="15" hidden="false" customHeight="false" outlineLevel="0" collapsed="false">
      <c r="A2798" s="7" t="s">
        <v>24</v>
      </c>
      <c r="B2798" s="7" t="s">
        <v>250</v>
      </c>
      <c r="C2798" s="7" t="s">
        <v>1234</v>
      </c>
      <c r="D2798" s="7" t="n">
        <v>0</v>
      </c>
      <c r="E2798" s="7" t="n">
        <v>0</v>
      </c>
      <c r="F2798" s="7" t="n">
        <v>1</v>
      </c>
      <c r="G2798" s="7" t="n">
        <v>214.32</v>
      </c>
    </row>
    <row r="2799" customFormat="false" ht="15" hidden="false" customHeight="false" outlineLevel="0" collapsed="false">
      <c r="A2799" s="7" t="s">
        <v>24</v>
      </c>
      <c r="B2799" s="7" t="s">
        <v>250</v>
      </c>
      <c r="C2799" s="7" t="s">
        <v>1234</v>
      </c>
      <c r="D2799" s="7" t="n">
        <v>0</v>
      </c>
      <c r="E2799" s="7" t="n">
        <v>0</v>
      </c>
      <c r="F2799" s="7" t="n">
        <v>1</v>
      </c>
      <c r="G2799" s="7" t="n">
        <v>192.89</v>
      </c>
    </row>
    <row r="2800" customFormat="false" ht="15" hidden="false" customHeight="false" outlineLevel="0" collapsed="false">
      <c r="A2800" s="7" t="s">
        <v>24</v>
      </c>
      <c r="B2800" s="7" t="s">
        <v>250</v>
      </c>
      <c r="C2800" s="7" t="s">
        <v>1234</v>
      </c>
      <c r="D2800" s="7" t="n">
        <v>0</v>
      </c>
      <c r="E2800" s="7" t="n">
        <v>0</v>
      </c>
      <c r="F2800" s="7" t="n">
        <v>1</v>
      </c>
      <c r="G2800" s="7" t="n">
        <v>182.18</v>
      </c>
    </row>
    <row r="2801" customFormat="false" ht="15" hidden="false" customHeight="false" outlineLevel="0" collapsed="false">
      <c r="A2801" s="7" t="s">
        <v>24</v>
      </c>
      <c r="B2801" s="7" t="s">
        <v>250</v>
      </c>
      <c r="C2801" s="7" t="s">
        <v>1234</v>
      </c>
      <c r="D2801" s="7" t="n">
        <v>0</v>
      </c>
      <c r="E2801" s="7" t="n">
        <v>0</v>
      </c>
      <c r="F2801" s="7" t="n">
        <v>1</v>
      </c>
      <c r="G2801" s="7" t="n">
        <v>171.46</v>
      </c>
    </row>
    <row r="2802" customFormat="false" ht="15" hidden="false" customHeight="false" outlineLevel="0" collapsed="false">
      <c r="A2802" s="7" t="s">
        <v>24</v>
      </c>
      <c r="B2802" s="7" t="s">
        <v>250</v>
      </c>
      <c r="C2802" s="7" t="s">
        <v>1234</v>
      </c>
      <c r="D2802" s="7" t="n">
        <v>17</v>
      </c>
      <c r="E2802" s="7" t="n">
        <v>3236.36</v>
      </c>
      <c r="F2802" s="7" t="n">
        <v>3</v>
      </c>
      <c r="G2802" s="7" t="n">
        <v>600.1</v>
      </c>
    </row>
    <row r="2803" customFormat="false" ht="15" hidden="false" customHeight="false" outlineLevel="0" collapsed="false">
      <c r="A2803" s="7" t="s">
        <v>24</v>
      </c>
      <c r="B2803" s="7" t="s">
        <v>250</v>
      </c>
      <c r="C2803" s="7" t="s">
        <v>1234</v>
      </c>
      <c r="D2803" s="7" t="n">
        <v>0</v>
      </c>
      <c r="E2803" s="7" t="n">
        <v>0</v>
      </c>
      <c r="F2803" s="7" t="n">
        <v>1</v>
      </c>
      <c r="G2803" s="7" t="n">
        <v>214.32</v>
      </c>
    </row>
    <row r="2804" customFormat="false" ht="15" hidden="false" customHeight="false" outlineLevel="0" collapsed="false">
      <c r="A2804" s="7" t="s">
        <v>24</v>
      </c>
      <c r="B2804" s="7" t="s">
        <v>250</v>
      </c>
      <c r="C2804" s="7" t="s">
        <v>1234</v>
      </c>
      <c r="D2804" s="7" t="n">
        <v>0</v>
      </c>
      <c r="E2804" s="7" t="n">
        <v>0</v>
      </c>
      <c r="F2804" s="7" t="n">
        <v>1</v>
      </c>
      <c r="G2804" s="7" t="n">
        <v>214.32</v>
      </c>
    </row>
    <row r="2805" customFormat="false" ht="15" hidden="false" customHeight="false" outlineLevel="0" collapsed="false">
      <c r="A2805" s="7" t="s">
        <v>24</v>
      </c>
      <c r="B2805" s="7" t="s">
        <v>250</v>
      </c>
      <c r="C2805" s="7" t="s">
        <v>1234</v>
      </c>
      <c r="D2805" s="7" t="n">
        <v>0</v>
      </c>
      <c r="E2805" s="7" t="n">
        <v>0</v>
      </c>
      <c r="F2805" s="7" t="n">
        <v>1</v>
      </c>
      <c r="G2805" s="7" t="n">
        <v>214.33</v>
      </c>
    </row>
    <row r="2806" customFormat="false" ht="15" hidden="false" customHeight="false" outlineLevel="0" collapsed="false">
      <c r="A2806" s="7" t="s">
        <v>24</v>
      </c>
      <c r="B2806" s="7" t="s">
        <v>172</v>
      </c>
      <c r="C2806" s="7" t="s">
        <v>1234</v>
      </c>
      <c r="D2806" s="7" t="n">
        <v>0</v>
      </c>
      <c r="E2806" s="7" t="n">
        <v>0</v>
      </c>
      <c r="F2806" s="7" t="n">
        <v>1</v>
      </c>
      <c r="G2806" s="7" t="n">
        <v>214.33</v>
      </c>
    </row>
    <row r="2807" customFormat="false" ht="15" hidden="false" customHeight="false" outlineLevel="0" collapsed="false">
      <c r="A2807" s="7" t="s">
        <v>24</v>
      </c>
      <c r="B2807" s="7" t="s">
        <v>172</v>
      </c>
      <c r="C2807" s="7" t="s">
        <v>1234</v>
      </c>
      <c r="D2807" s="7" t="n">
        <v>0</v>
      </c>
      <c r="E2807" s="7" t="n">
        <v>0</v>
      </c>
      <c r="F2807" s="7" t="n">
        <v>1</v>
      </c>
      <c r="G2807" s="7" t="n">
        <v>182.18</v>
      </c>
    </row>
    <row r="2808" customFormat="false" ht="15" hidden="false" customHeight="false" outlineLevel="0" collapsed="false">
      <c r="A2808" s="7" t="s">
        <v>24</v>
      </c>
      <c r="B2808" s="7" t="s">
        <v>172</v>
      </c>
      <c r="C2808" s="7" t="s">
        <v>1234</v>
      </c>
      <c r="D2808" s="7" t="n">
        <v>0</v>
      </c>
      <c r="E2808" s="7" t="n">
        <v>0</v>
      </c>
      <c r="F2808" s="7" t="n">
        <v>2</v>
      </c>
      <c r="G2808" s="7" t="n">
        <v>364.36</v>
      </c>
    </row>
    <row r="2809" customFormat="false" ht="15" hidden="false" customHeight="false" outlineLevel="0" collapsed="false">
      <c r="A2809" s="7" t="s">
        <v>24</v>
      </c>
      <c r="B2809" s="7" t="s">
        <v>172</v>
      </c>
      <c r="C2809" s="7" t="s">
        <v>1234</v>
      </c>
      <c r="D2809" s="7" t="n">
        <v>0</v>
      </c>
      <c r="E2809" s="7" t="n">
        <v>0</v>
      </c>
      <c r="F2809" s="7" t="n">
        <v>1</v>
      </c>
      <c r="G2809" s="7" t="n">
        <v>192.89</v>
      </c>
    </row>
    <row r="2810" customFormat="false" ht="15" hidden="false" customHeight="false" outlineLevel="0" collapsed="false">
      <c r="A2810" s="7" t="s">
        <v>24</v>
      </c>
      <c r="B2810" s="7" t="s">
        <v>172</v>
      </c>
      <c r="C2810" s="7" t="s">
        <v>1234</v>
      </c>
      <c r="D2810" s="7" t="n">
        <v>0</v>
      </c>
      <c r="E2810" s="7" t="n">
        <v>0</v>
      </c>
      <c r="F2810" s="7" t="n">
        <v>-1</v>
      </c>
      <c r="G2810" s="7" t="n">
        <v>-214.32</v>
      </c>
    </row>
    <row r="2811" customFormat="false" ht="15" hidden="false" customHeight="false" outlineLevel="0" collapsed="false">
      <c r="A2811" s="7" t="s">
        <v>24</v>
      </c>
      <c r="B2811" s="7" t="s">
        <v>172</v>
      </c>
      <c r="C2811" s="7" t="s">
        <v>1234</v>
      </c>
      <c r="D2811" s="7" t="n">
        <v>0</v>
      </c>
      <c r="E2811" s="7" t="n">
        <v>0</v>
      </c>
      <c r="F2811" s="7" t="n">
        <v>2</v>
      </c>
      <c r="G2811" s="7" t="n">
        <v>428.64</v>
      </c>
    </row>
    <row r="2812" customFormat="false" ht="15" hidden="false" customHeight="false" outlineLevel="0" collapsed="false">
      <c r="A2812" s="7" t="s">
        <v>24</v>
      </c>
      <c r="B2812" s="7" t="s">
        <v>172</v>
      </c>
      <c r="C2812" s="7" t="s">
        <v>1234</v>
      </c>
      <c r="D2812" s="7" t="n">
        <v>38</v>
      </c>
      <c r="E2812" s="7" t="n">
        <v>7404.9</v>
      </c>
      <c r="F2812" s="7" t="n">
        <v>11</v>
      </c>
      <c r="G2812" s="7" t="n">
        <v>2201.51</v>
      </c>
    </row>
    <row r="2813" customFormat="false" ht="15" hidden="false" customHeight="false" outlineLevel="0" collapsed="false">
      <c r="A2813" s="7" t="s">
        <v>24</v>
      </c>
      <c r="B2813" s="7" t="s">
        <v>172</v>
      </c>
      <c r="C2813" s="7" t="s">
        <v>1234</v>
      </c>
      <c r="D2813" s="7" t="n">
        <v>0</v>
      </c>
      <c r="E2813" s="7" t="n">
        <v>0</v>
      </c>
      <c r="F2813" s="7" t="n">
        <v>1</v>
      </c>
      <c r="G2813" s="7" t="n">
        <v>214.32</v>
      </c>
    </row>
    <row r="2814" customFormat="false" ht="15" hidden="false" customHeight="false" outlineLevel="0" collapsed="false">
      <c r="A2814" s="7" t="s">
        <v>24</v>
      </c>
      <c r="B2814" s="7" t="s">
        <v>172</v>
      </c>
      <c r="C2814" s="7" t="s">
        <v>1234</v>
      </c>
      <c r="D2814" s="7" t="n">
        <v>0</v>
      </c>
      <c r="E2814" s="7" t="n">
        <v>0</v>
      </c>
      <c r="F2814" s="7" t="n">
        <v>1</v>
      </c>
      <c r="G2814" s="7" t="n">
        <v>192.89</v>
      </c>
    </row>
    <row r="2815" customFormat="false" ht="15" hidden="false" customHeight="false" outlineLevel="0" collapsed="false">
      <c r="A2815" s="7" t="s">
        <v>24</v>
      </c>
      <c r="B2815" s="7" t="s">
        <v>172</v>
      </c>
      <c r="C2815" s="7" t="s">
        <v>1234</v>
      </c>
      <c r="D2815" s="7" t="n">
        <v>0</v>
      </c>
      <c r="E2815" s="7" t="n">
        <v>0</v>
      </c>
      <c r="F2815" s="7" t="n">
        <v>1</v>
      </c>
      <c r="G2815" s="7" t="n">
        <v>214.32</v>
      </c>
    </row>
    <row r="2816" customFormat="false" ht="15" hidden="false" customHeight="false" outlineLevel="0" collapsed="false">
      <c r="A2816" s="7" t="s">
        <v>24</v>
      </c>
      <c r="B2816" s="7" t="s">
        <v>172</v>
      </c>
      <c r="C2816" s="7" t="s">
        <v>1234</v>
      </c>
      <c r="D2816" s="7" t="n">
        <v>0</v>
      </c>
      <c r="E2816" s="7" t="n">
        <v>0</v>
      </c>
      <c r="F2816" s="7" t="n">
        <v>1</v>
      </c>
      <c r="G2816" s="7" t="n">
        <v>171.46</v>
      </c>
    </row>
    <row r="2817" customFormat="false" ht="15" hidden="false" customHeight="false" outlineLevel="0" collapsed="false">
      <c r="A2817" s="7" t="s">
        <v>24</v>
      </c>
      <c r="B2817" s="7" t="s">
        <v>172</v>
      </c>
      <c r="C2817" s="7" t="s">
        <v>1234</v>
      </c>
      <c r="D2817" s="7" t="n">
        <v>0</v>
      </c>
      <c r="E2817" s="7" t="n">
        <v>0</v>
      </c>
      <c r="F2817" s="7" t="n">
        <v>1</v>
      </c>
      <c r="G2817" s="7" t="n">
        <v>182.18</v>
      </c>
    </row>
    <row r="2818" customFormat="false" ht="15" hidden="false" customHeight="false" outlineLevel="0" collapsed="false">
      <c r="A2818" s="7" t="s">
        <v>24</v>
      </c>
      <c r="B2818" s="7" t="s">
        <v>172</v>
      </c>
      <c r="C2818" s="7" t="s">
        <v>1234</v>
      </c>
      <c r="D2818" s="7" t="n">
        <v>0</v>
      </c>
      <c r="E2818" s="7" t="n">
        <v>0</v>
      </c>
      <c r="F2818" s="7" t="n">
        <v>1</v>
      </c>
      <c r="G2818" s="7" t="n">
        <v>192.89</v>
      </c>
    </row>
    <row r="2819" customFormat="false" ht="15" hidden="false" customHeight="false" outlineLevel="0" collapsed="false">
      <c r="A2819" s="7" t="s">
        <v>24</v>
      </c>
      <c r="B2819" s="7" t="s">
        <v>172</v>
      </c>
      <c r="C2819" s="7" t="s">
        <v>1234</v>
      </c>
      <c r="D2819" s="7" t="n">
        <v>0</v>
      </c>
      <c r="E2819" s="7" t="n">
        <v>0</v>
      </c>
      <c r="F2819" s="7" t="n">
        <v>1</v>
      </c>
      <c r="G2819" s="7" t="n">
        <v>182.18</v>
      </c>
    </row>
    <row r="2820" customFormat="false" ht="15" hidden="false" customHeight="false" outlineLevel="0" collapsed="false">
      <c r="A2820" s="7" t="s">
        <v>24</v>
      </c>
      <c r="B2820" s="7" t="s">
        <v>172</v>
      </c>
      <c r="C2820" s="7" t="s">
        <v>1234</v>
      </c>
      <c r="D2820" s="7" t="n">
        <v>0</v>
      </c>
      <c r="E2820" s="7" t="n">
        <v>0</v>
      </c>
      <c r="F2820" s="7" t="n">
        <v>1</v>
      </c>
      <c r="G2820" s="7" t="n">
        <v>212</v>
      </c>
    </row>
    <row r="2821" customFormat="false" ht="15" hidden="false" customHeight="false" outlineLevel="0" collapsed="false">
      <c r="A2821" s="7" t="s">
        <v>24</v>
      </c>
      <c r="B2821" s="7" t="s">
        <v>229</v>
      </c>
      <c r="C2821" s="7" t="s">
        <v>1099</v>
      </c>
      <c r="D2821" s="7" t="n">
        <v>0</v>
      </c>
      <c r="E2821" s="7" t="n">
        <v>0</v>
      </c>
      <c r="F2821" s="7" t="n">
        <v>1</v>
      </c>
      <c r="G2821" s="7" t="n">
        <v>160.94</v>
      </c>
    </row>
    <row r="2822" customFormat="false" ht="15" hidden="false" customHeight="false" outlineLevel="0" collapsed="false">
      <c r="A2822" s="7" t="s">
        <v>24</v>
      </c>
      <c r="B2822" s="7" t="s">
        <v>229</v>
      </c>
      <c r="C2822" s="7" t="s">
        <v>1099</v>
      </c>
      <c r="D2822" s="7" t="n">
        <v>0</v>
      </c>
      <c r="E2822" s="7" t="n">
        <v>0</v>
      </c>
      <c r="F2822" s="7" t="n">
        <v>1</v>
      </c>
      <c r="G2822" s="7" t="n">
        <v>160.94</v>
      </c>
    </row>
    <row r="2823" customFormat="false" ht="15" hidden="false" customHeight="false" outlineLevel="0" collapsed="false">
      <c r="A2823" s="7" t="s">
        <v>24</v>
      </c>
      <c r="B2823" s="7" t="s">
        <v>229</v>
      </c>
      <c r="C2823" s="7" t="s">
        <v>1099</v>
      </c>
      <c r="D2823" s="7" t="n">
        <v>1</v>
      </c>
      <c r="E2823" s="7" t="n">
        <v>129.6</v>
      </c>
      <c r="F2823" s="7" t="n">
        <v>0</v>
      </c>
      <c r="G2823" s="7" t="n">
        <v>0</v>
      </c>
    </row>
    <row r="2824" customFormat="false" ht="15" hidden="false" customHeight="false" outlineLevel="0" collapsed="false">
      <c r="A2824" s="7" t="s">
        <v>24</v>
      </c>
      <c r="B2824" s="7" t="s">
        <v>229</v>
      </c>
      <c r="C2824" s="7" t="s">
        <v>1099</v>
      </c>
      <c r="D2824" s="7" t="n">
        <v>13</v>
      </c>
      <c r="E2824" s="7" t="n">
        <v>2019.67</v>
      </c>
      <c r="F2824" s="7" t="n">
        <v>2</v>
      </c>
      <c r="G2824" s="7" t="n">
        <v>305.77</v>
      </c>
    </row>
    <row r="2825" customFormat="false" ht="15" hidden="false" customHeight="false" outlineLevel="0" collapsed="false">
      <c r="A2825" s="7" t="s">
        <v>24</v>
      </c>
      <c r="B2825" s="7" t="s">
        <v>119</v>
      </c>
      <c r="C2825" s="7" t="s">
        <v>1100</v>
      </c>
      <c r="D2825" s="7" t="n">
        <v>0</v>
      </c>
      <c r="E2825" s="7" t="n">
        <v>0</v>
      </c>
      <c r="F2825" s="7" t="n">
        <v>1</v>
      </c>
      <c r="G2825" s="7" t="n">
        <v>85.51</v>
      </c>
    </row>
    <row r="2826" customFormat="false" ht="15" hidden="false" customHeight="false" outlineLevel="0" collapsed="false">
      <c r="A2826" s="7" t="s">
        <v>24</v>
      </c>
      <c r="B2826" s="7" t="s">
        <v>119</v>
      </c>
      <c r="C2826" s="7" t="s">
        <v>1100</v>
      </c>
      <c r="D2826" s="7" t="n">
        <v>0</v>
      </c>
      <c r="E2826" s="7" t="n">
        <v>0</v>
      </c>
      <c r="F2826" s="7" t="n">
        <v>1</v>
      </c>
      <c r="G2826" s="7" t="n">
        <v>76.96</v>
      </c>
    </row>
    <row r="2827" customFormat="false" ht="15" hidden="false" customHeight="false" outlineLevel="0" collapsed="false">
      <c r="A2827" s="7" t="s">
        <v>24</v>
      </c>
      <c r="B2827" s="7" t="s">
        <v>119</v>
      </c>
      <c r="C2827" s="7" t="s">
        <v>1100</v>
      </c>
      <c r="D2827" s="7" t="n">
        <v>58</v>
      </c>
      <c r="E2827" s="7" t="n">
        <v>4549.11</v>
      </c>
      <c r="F2827" s="7" t="n">
        <v>73</v>
      </c>
      <c r="G2827" s="7" t="n">
        <v>5952.51</v>
      </c>
    </row>
    <row r="2828" customFormat="false" ht="15" hidden="false" customHeight="false" outlineLevel="0" collapsed="false">
      <c r="A2828" s="7" t="s">
        <v>24</v>
      </c>
      <c r="B2828" s="7" t="s">
        <v>119</v>
      </c>
      <c r="C2828" s="7" t="s">
        <v>1100</v>
      </c>
      <c r="D2828" s="7" t="n">
        <v>0</v>
      </c>
      <c r="E2828" s="7" t="n">
        <v>0</v>
      </c>
      <c r="F2828" s="7" t="n">
        <v>1</v>
      </c>
      <c r="G2828" s="7" t="n">
        <v>85.5</v>
      </c>
    </row>
    <row r="2829" customFormat="false" ht="15" hidden="false" customHeight="false" outlineLevel="0" collapsed="false">
      <c r="A2829" s="7" t="s">
        <v>24</v>
      </c>
      <c r="B2829" s="7" t="s">
        <v>119</v>
      </c>
      <c r="C2829" s="7" t="s">
        <v>1100</v>
      </c>
      <c r="D2829" s="7" t="n">
        <v>0</v>
      </c>
      <c r="E2829" s="7" t="n">
        <v>0</v>
      </c>
      <c r="F2829" s="7" t="n">
        <v>1</v>
      </c>
      <c r="G2829" s="7" t="n">
        <v>85.51</v>
      </c>
    </row>
    <row r="2830" customFormat="false" ht="15" hidden="false" customHeight="false" outlineLevel="0" collapsed="false">
      <c r="A2830" s="7" t="s">
        <v>24</v>
      </c>
      <c r="B2830" s="7" t="s">
        <v>119</v>
      </c>
      <c r="C2830" s="7" t="s">
        <v>1100</v>
      </c>
      <c r="D2830" s="7" t="n">
        <v>0</v>
      </c>
      <c r="E2830" s="7" t="n">
        <v>0</v>
      </c>
      <c r="F2830" s="7" t="n">
        <v>3</v>
      </c>
      <c r="G2830" s="7" t="n">
        <v>243.71</v>
      </c>
    </row>
    <row r="2831" customFormat="false" ht="15" hidden="false" customHeight="false" outlineLevel="0" collapsed="false">
      <c r="A2831" s="7" t="s">
        <v>24</v>
      </c>
      <c r="B2831" s="7" t="s">
        <v>119</v>
      </c>
      <c r="C2831" s="7" t="s">
        <v>1100</v>
      </c>
      <c r="D2831" s="7" t="n">
        <v>0</v>
      </c>
      <c r="E2831" s="7" t="n">
        <v>0</v>
      </c>
      <c r="F2831" s="7" t="n">
        <v>2</v>
      </c>
      <c r="G2831" s="7" t="n">
        <v>153.92</v>
      </c>
    </row>
    <row r="2832" customFormat="false" ht="15" hidden="false" customHeight="false" outlineLevel="0" collapsed="false">
      <c r="A2832" s="7" t="s">
        <v>24</v>
      </c>
      <c r="B2832" s="7" t="s">
        <v>119</v>
      </c>
      <c r="C2832" s="7" t="s">
        <v>1100</v>
      </c>
      <c r="D2832" s="7" t="n">
        <v>0</v>
      </c>
      <c r="E2832" s="7" t="n">
        <v>0</v>
      </c>
      <c r="F2832" s="7" t="n">
        <v>2</v>
      </c>
      <c r="G2832" s="7" t="n">
        <v>171.01</v>
      </c>
    </row>
    <row r="2833" customFormat="false" ht="15" hidden="false" customHeight="false" outlineLevel="0" collapsed="false">
      <c r="A2833" s="7" t="s">
        <v>24</v>
      </c>
      <c r="B2833" s="7" t="s">
        <v>119</v>
      </c>
      <c r="C2833" s="7" t="s">
        <v>1100</v>
      </c>
      <c r="D2833" s="7" t="n">
        <v>0</v>
      </c>
      <c r="E2833" s="7" t="n">
        <v>0</v>
      </c>
      <c r="F2833" s="7" t="n">
        <v>2</v>
      </c>
      <c r="G2833" s="7" t="n">
        <v>145.37</v>
      </c>
    </row>
    <row r="2834" customFormat="false" ht="15" hidden="false" customHeight="false" outlineLevel="0" collapsed="false">
      <c r="A2834" s="7" t="s">
        <v>24</v>
      </c>
      <c r="B2834" s="7" t="s">
        <v>119</v>
      </c>
      <c r="C2834" s="7" t="s">
        <v>1100</v>
      </c>
      <c r="D2834" s="7" t="n">
        <v>0</v>
      </c>
      <c r="E2834" s="7" t="n">
        <v>0</v>
      </c>
      <c r="F2834" s="7" t="n">
        <v>1</v>
      </c>
      <c r="G2834" s="7" t="n">
        <v>76.96</v>
      </c>
    </row>
    <row r="2835" customFormat="false" ht="15" hidden="false" customHeight="false" outlineLevel="0" collapsed="false">
      <c r="A2835" s="7" t="s">
        <v>24</v>
      </c>
      <c r="B2835" s="7" t="s">
        <v>119</v>
      </c>
      <c r="C2835" s="7" t="s">
        <v>1100</v>
      </c>
      <c r="D2835" s="7" t="n">
        <v>0</v>
      </c>
      <c r="E2835" s="7" t="n">
        <v>0</v>
      </c>
      <c r="F2835" s="7" t="n">
        <v>1</v>
      </c>
      <c r="G2835" s="7" t="n">
        <v>85.51</v>
      </c>
    </row>
    <row r="2836" customFormat="false" ht="15" hidden="false" customHeight="false" outlineLevel="0" collapsed="false">
      <c r="A2836" s="7" t="s">
        <v>24</v>
      </c>
      <c r="B2836" s="7" t="s">
        <v>119</v>
      </c>
      <c r="C2836" s="7" t="s">
        <v>1100</v>
      </c>
      <c r="D2836" s="7" t="n">
        <v>0</v>
      </c>
      <c r="E2836" s="7" t="n">
        <v>0</v>
      </c>
      <c r="F2836" s="7" t="n">
        <v>2</v>
      </c>
      <c r="G2836" s="7" t="n">
        <v>171.01</v>
      </c>
    </row>
    <row r="2837" customFormat="false" ht="15" hidden="false" customHeight="false" outlineLevel="0" collapsed="false">
      <c r="A2837" s="7" t="s">
        <v>24</v>
      </c>
      <c r="B2837" s="7" t="s">
        <v>119</v>
      </c>
      <c r="C2837" s="7" t="s">
        <v>1100</v>
      </c>
      <c r="D2837" s="7" t="n">
        <v>0</v>
      </c>
      <c r="E2837" s="7" t="n">
        <v>0</v>
      </c>
      <c r="F2837" s="7" t="n">
        <v>5</v>
      </c>
      <c r="G2837" s="7" t="n">
        <v>419</v>
      </c>
    </row>
    <row r="2838" customFormat="false" ht="15" hidden="false" customHeight="false" outlineLevel="0" collapsed="false">
      <c r="A2838" s="7" t="s">
        <v>24</v>
      </c>
      <c r="B2838" s="7" t="s">
        <v>119</v>
      </c>
      <c r="C2838" s="7" t="s">
        <v>1100</v>
      </c>
      <c r="D2838" s="7" t="n">
        <v>0</v>
      </c>
      <c r="E2838" s="7" t="n">
        <v>0</v>
      </c>
      <c r="F2838" s="7" t="n">
        <v>1</v>
      </c>
      <c r="G2838" s="7" t="n">
        <v>85.51</v>
      </c>
    </row>
    <row r="2839" customFormat="false" ht="15" hidden="false" customHeight="false" outlineLevel="0" collapsed="false">
      <c r="A2839" s="7" t="s">
        <v>24</v>
      </c>
      <c r="B2839" s="7" t="s">
        <v>119</v>
      </c>
      <c r="C2839" s="7" t="s">
        <v>1100</v>
      </c>
      <c r="D2839" s="7" t="n">
        <v>0</v>
      </c>
      <c r="E2839" s="7" t="n">
        <v>0</v>
      </c>
      <c r="F2839" s="7" t="n">
        <v>1</v>
      </c>
      <c r="G2839" s="7" t="n">
        <v>85.51</v>
      </c>
    </row>
    <row r="2840" customFormat="false" ht="15" hidden="false" customHeight="false" outlineLevel="0" collapsed="false">
      <c r="A2840" s="7" t="s">
        <v>24</v>
      </c>
      <c r="B2840" s="7" t="s">
        <v>119</v>
      </c>
      <c r="C2840" s="7" t="s">
        <v>1100</v>
      </c>
      <c r="D2840" s="7" t="n">
        <v>0</v>
      </c>
      <c r="E2840" s="7" t="n">
        <v>0</v>
      </c>
      <c r="F2840" s="7" t="n">
        <v>1</v>
      </c>
      <c r="G2840" s="7" t="n">
        <v>85.51</v>
      </c>
    </row>
    <row r="2841" customFormat="false" ht="15" hidden="false" customHeight="false" outlineLevel="0" collapsed="false">
      <c r="A2841" s="7" t="s">
        <v>24</v>
      </c>
      <c r="B2841" s="7" t="s">
        <v>119</v>
      </c>
      <c r="C2841" s="7" t="s">
        <v>1100</v>
      </c>
      <c r="D2841" s="7" t="n">
        <v>0</v>
      </c>
      <c r="E2841" s="7" t="n">
        <v>0</v>
      </c>
      <c r="F2841" s="7" t="n">
        <v>1</v>
      </c>
      <c r="G2841" s="7" t="n">
        <v>76.96</v>
      </c>
    </row>
    <row r="2842" customFormat="false" ht="15" hidden="false" customHeight="false" outlineLevel="0" collapsed="false">
      <c r="A2842" s="7" t="s">
        <v>24</v>
      </c>
      <c r="B2842" s="7" t="s">
        <v>119</v>
      </c>
      <c r="C2842" s="7" t="s">
        <v>1100</v>
      </c>
      <c r="D2842" s="7" t="n">
        <v>0</v>
      </c>
      <c r="E2842" s="7" t="n">
        <v>0</v>
      </c>
      <c r="F2842" s="7" t="n">
        <v>1</v>
      </c>
      <c r="G2842" s="7" t="n">
        <v>85.51</v>
      </c>
    </row>
    <row r="2843" customFormat="false" ht="15" hidden="false" customHeight="false" outlineLevel="0" collapsed="false">
      <c r="A2843" s="7" t="s">
        <v>24</v>
      </c>
      <c r="B2843" s="7" t="s">
        <v>119</v>
      </c>
      <c r="C2843" s="7" t="s">
        <v>1100</v>
      </c>
      <c r="D2843" s="7" t="n">
        <v>0</v>
      </c>
      <c r="E2843" s="7" t="n">
        <v>0</v>
      </c>
      <c r="F2843" s="7" t="n">
        <v>2</v>
      </c>
      <c r="G2843" s="7" t="n">
        <v>149.65</v>
      </c>
    </row>
    <row r="2844" customFormat="false" ht="15" hidden="false" customHeight="false" outlineLevel="0" collapsed="false">
      <c r="A2844" s="7" t="s">
        <v>24</v>
      </c>
      <c r="B2844" s="7" t="s">
        <v>119</v>
      </c>
      <c r="C2844" s="7" t="s">
        <v>1100</v>
      </c>
      <c r="D2844" s="7" t="n">
        <v>0</v>
      </c>
      <c r="E2844" s="7" t="n">
        <v>0</v>
      </c>
      <c r="F2844" s="7" t="n">
        <v>1</v>
      </c>
      <c r="G2844" s="7" t="n">
        <v>85.51</v>
      </c>
    </row>
    <row r="2845" customFormat="false" ht="15" hidden="false" customHeight="false" outlineLevel="0" collapsed="false">
      <c r="A2845" s="7" t="s">
        <v>24</v>
      </c>
      <c r="B2845" s="7" t="s">
        <v>119</v>
      </c>
      <c r="C2845" s="7" t="s">
        <v>1100</v>
      </c>
      <c r="D2845" s="7" t="n">
        <v>0</v>
      </c>
      <c r="E2845" s="7" t="n">
        <v>0</v>
      </c>
      <c r="F2845" s="7" t="n">
        <v>1</v>
      </c>
      <c r="G2845" s="7" t="n">
        <v>72.69</v>
      </c>
    </row>
    <row r="2846" customFormat="false" ht="15" hidden="false" customHeight="false" outlineLevel="0" collapsed="false">
      <c r="A2846" s="7" t="s">
        <v>24</v>
      </c>
      <c r="B2846" s="7" t="s">
        <v>119</v>
      </c>
      <c r="C2846" s="7" t="s">
        <v>1100</v>
      </c>
      <c r="D2846" s="7" t="n">
        <v>0</v>
      </c>
      <c r="E2846" s="7" t="n">
        <v>0</v>
      </c>
      <c r="F2846" s="7" t="n">
        <v>1</v>
      </c>
      <c r="G2846" s="7" t="n">
        <v>85.51</v>
      </c>
    </row>
    <row r="2847" customFormat="false" ht="15" hidden="false" customHeight="false" outlineLevel="0" collapsed="false">
      <c r="A2847" s="7" t="s">
        <v>24</v>
      </c>
      <c r="B2847" s="7" t="s">
        <v>119</v>
      </c>
      <c r="C2847" s="7" t="s">
        <v>1100</v>
      </c>
      <c r="D2847" s="7" t="n">
        <v>0</v>
      </c>
      <c r="E2847" s="7" t="n">
        <v>0</v>
      </c>
      <c r="F2847" s="7" t="n">
        <v>1</v>
      </c>
      <c r="G2847" s="7" t="n">
        <v>72.69</v>
      </c>
    </row>
    <row r="2848" customFormat="false" ht="15" hidden="false" customHeight="false" outlineLevel="0" collapsed="false">
      <c r="A2848" s="7" t="s">
        <v>24</v>
      </c>
      <c r="B2848" s="7" t="s">
        <v>119</v>
      </c>
      <c r="C2848" s="7" t="s">
        <v>1100</v>
      </c>
      <c r="D2848" s="7" t="n">
        <v>0</v>
      </c>
      <c r="E2848" s="7" t="n">
        <v>0</v>
      </c>
      <c r="F2848" s="7" t="n">
        <v>2</v>
      </c>
      <c r="G2848" s="7" t="n">
        <v>145.38</v>
      </c>
    </row>
    <row r="2849" customFormat="false" ht="15" hidden="false" customHeight="false" outlineLevel="0" collapsed="false">
      <c r="A2849" s="7" t="s">
        <v>24</v>
      </c>
      <c r="B2849" s="7" t="s">
        <v>119</v>
      </c>
      <c r="C2849" s="7" t="s">
        <v>1100</v>
      </c>
      <c r="D2849" s="7" t="n">
        <v>0</v>
      </c>
      <c r="E2849" s="7" t="n">
        <v>0</v>
      </c>
      <c r="F2849" s="7" t="n">
        <v>1</v>
      </c>
      <c r="G2849" s="7" t="n">
        <v>85.51</v>
      </c>
    </row>
    <row r="2850" customFormat="false" ht="15" hidden="false" customHeight="false" outlineLevel="0" collapsed="false">
      <c r="A2850" s="7" t="s">
        <v>24</v>
      </c>
      <c r="B2850" s="7" t="s">
        <v>119</v>
      </c>
      <c r="C2850" s="7" t="s">
        <v>1100</v>
      </c>
      <c r="D2850" s="7" t="n">
        <v>0</v>
      </c>
      <c r="E2850" s="7" t="n">
        <v>0</v>
      </c>
      <c r="F2850" s="7" t="n">
        <v>2</v>
      </c>
      <c r="G2850" s="7" t="n">
        <v>152.1</v>
      </c>
    </row>
    <row r="2851" customFormat="false" ht="15" hidden="false" customHeight="false" outlineLevel="0" collapsed="false">
      <c r="A2851" s="7" t="s">
        <v>24</v>
      </c>
      <c r="B2851" s="7" t="s">
        <v>119</v>
      </c>
      <c r="C2851" s="7" t="s">
        <v>1100</v>
      </c>
      <c r="D2851" s="7" t="n">
        <v>0</v>
      </c>
      <c r="E2851" s="7" t="n">
        <v>0</v>
      </c>
      <c r="F2851" s="7" t="n">
        <v>2</v>
      </c>
      <c r="G2851" s="7" t="n">
        <v>171.01</v>
      </c>
    </row>
    <row r="2852" customFormat="false" ht="15" hidden="false" customHeight="false" outlineLevel="0" collapsed="false">
      <c r="A2852" s="7" t="s">
        <v>24</v>
      </c>
      <c r="B2852" s="7" t="s">
        <v>119</v>
      </c>
      <c r="C2852" s="7" t="s">
        <v>1100</v>
      </c>
      <c r="D2852" s="7" t="n">
        <v>0</v>
      </c>
      <c r="E2852" s="7" t="n">
        <v>0</v>
      </c>
      <c r="F2852" s="7" t="n">
        <v>3</v>
      </c>
      <c r="G2852" s="7" t="n">
        <v>239.43</v>
      </c>
    </row>
    <row r="2853" customFormat="false" ht="15" hidden="false" customHeight="false" outlineLevel="0" collapsed="false">
      <c r="A2853" s="7" t="s">
        <v>24</v>
      </c>
      <c r="B2853" s="7" t="s">
        <v>119</v>
      </c>
      <c r="C2853" s="7" t="s">
        <v>1100</v>
      </c>
      <c r="D2853" s="7" t="n">
        <v>0</v>
      </c>
      <c r="E2853" s="7" t="n">
        <v>0</v>
      </c>
      <c r="F2853" s="7" t="n">
        <v>1</v>
      </c>
      <c r="G2853" s="7" t="n">
        <v>85.51</v>
      </c>
    </row>
    <row r="2854" customFormat="false" ht="15" hidden="false" customHeight="false" outlineLevel="0" collapsed="false">
      <c r="A2854" s="7" t="s">
        <v>24</v>
      </c>
      <c r="B2854" s="7" t="s">
        <v>119</v>
      </c>
      <c r="C2854" s="7" t="s">
        <v>1100</v>
      </c>
      <c r="D2854" s="7" t="n">
        <v>0</v>
      </c>
      <c r="E2854" s="7" t="n">
        <v>0</v>
      </c>
      <c r="F2854" s="7" t="n">
        <v>2</v>
      </c>
      <c r="G2854" s="7" t="n">
        <v>153.92</v>
      </c>
    </row>
    <row r="2855" customFormat="false" ht="15" hidden="false" customHeight="false" outlineLevel="0" collapsed="false">
      <c r="A2855" s="7" t="s">
        <v>24</v>
      </c>
      <c r="B2855" s="7" t="s">
        <v>119</v>
      </c>
      <c r="C2855" s="7" t="s">
        <v>1100</v>
      </c>
      <c r="D2855" s="7" t="n">
        <v>0</v>
      </c>
      <c r="E2855" s="7" t="n">
        <v>0</v>
      </c>
      <c r="F2855" s="7" t="n">
        <v>1</v>
      </c>
      <c r="G2855" s="7" t="n">
        <v>85.51</v>
      </c>
    </row>
    <row r="2856" customFormat="false" ht="15" hidden="false" customHeight="false" outlineLevel="0" collapsed="false">
      <c r="A2856" s="7" t="s">
        <v>24</v>
      </c>
      <c r="B2856" s="7" t="s">
        <v>119</v>
      </c>
      <c r="C2856" s="7" t="s">
        <v>1100</v>
      </c>
      <c r="D2856" s="7" t="n">
        <v>0</v>
      </c>
      <c r="E2856" s="7" t="n">
        <v>0</v>
      </c>
      <c r="F2856" s="7" t="n">
        <v>1</v>
      </c>
      <c r="G2856" s="7" t="n">
        <v>85.51</v>
      </c>
    </row>
    <row r="2857" customFormat="false" ht="15" hidden="false" customHeight="false" outlineLevel="0" collapsed="false">
      <c r="A2857" s="7" t="s">
        <v>24</v>
      </c>
      <c r="B2857" s="7" t="s">
        <v>119</v>
      </c>
      <c r="C2857" s="7" t="s">
        <v>1100</v>
      </c>
      <c r="D2857" s="7" t="n">
        <v>0</v>
      </c>
      <c r="E2857" s="7" t="n">
        <v>0</v>
      </c>
      <c r="F2857" s="7" t="n">
        <v>2</v>
      </c>
      <c r="G2857" s="7" t="n">
        <v>171.02</v>
      </c>
    </row>
    <row r="2858" customFormat="false" ht="15" hidden="false" customHeight="false" outlineLevel="0" collapsed="false">
      <c r="A2858" s="7" t="s">
        <v>24</v>
      </c>
      <c r="B2858" s="7" t="s">
        <v>119</v>
      </c>
      <c r="C2858" s="7" t="s">
        <v>1100</v>
      </c>
      <c r="D2858" s="7" t="n">
        <v>0</v>
      </c>
      <c r="E2858" s="7" t="n">
        <v>0</v>
      </c>
      <c r="F2858" s="7" t="n">
        <v>1</v>
      </c>
      <c r="G2858" s="7" t="n">
        <v>72.69</v>
      </c>
    </row>
    <row r="2859" customFormat="false" ht="15" hidden="false" customHeight="false" outlineLevel="0" collapsed="false">
      <c r="A2859" s="7" t="s">
        <v>24</v>
      </c>
      <c r="B2859" s="7" t="s">
        <v>119</v>
      </c>
      <c r="C2859" s="7" t="s">
        <v>1100</v>
      </c>
      <c r="D2859" s="7" t="n">
        <v>0</v>
      </c>
      <c r="E2859" s="7" t="n">
        <v>0</v>
      </c>
      <c r="F2859" s="7" t="n">
        <v>2</v>
      </c>
      <c r="G2859" s="7" t="n">
        <v>153.92</v>
      </c>
    </row>
    <row r="2860" customFormat="false" ht="15" hidden="false" customHeight="false" outlineLevel="0" collapsed="false">
      <c r="A2860" s="7" t="s">
        <v>24</v>
      </c>
      <c r="B2860" s="7" t="s">
        <v>119</v>
      </c>
      <c r="C2860" s="7" t="s">
        <v>1100</v>
      </c>
      <c r="D2860" s="7" t="n">
        <v>0</v>
      </c>
      <c r="E2860" s="7" t="n">
        <v>0</v>
      </c>
      <c r="F2860" s="7" t="n">
        <v>1</v>
      </c>
      <c r="G2860" s="7" t="n">
        <v>85.51</v>
      </c>
    </row>
    <row r="2861" customFormat="false" ht="15" hidden="false" customHeight="false" outlineLevel="0" collapsed="false">
      <c r="A2861" s="7" t="s">
        <v>24</v>
      </c>
      <c r="B2861" s="7" t="s">
        <v>119</v>
      </c>
      <c r="C2861" s="7" t="s">
        <v>1100</v>
      </c>
      <c r="D2861" s="7" t="n">
        <v>0</v>
      </c>
      <c r="E2861" s="7" t="n">
        <v>0</v>
      </c>
      <c r="F2861" s="7" t="n">
        <v>1</v>
      </c>
      <c r="G2861" s="7" t="n">
        <v>85.51</v>
      </c>
    </row>
    <row r="2862" customFormat="false" ht="15" hidden="false" customHeight="false" outlineLevel="0" collapsed="false">
      <c r="A2862" s="7" t="s">
        <v>24</v>
      </c>
      <c r="B2862" s="7" t="s">
        <v>119</v>
      </c>
      <c r="C2862" s="7" t="s">
        <v>1100</v>
      </c>
      <c r="D2862" s="7" t="n">
        <v>0</v>
      </c>
      <c r="E2862" s="7" t="n">
        <v>0</v>
      </c>
      <c r="F2862" s="7" t="n">
        <v>1</v>
      </c>
      <c r="G2862" s="7" t="n">
        <v>76.95</v>
      </c>
    </row>
    <row r="2863" customFormat="false" ht="15" hidden="false" customHeight="false" outlineLevel="0" collapsed="false">
      <c r="A2863" s="7" t="s">
        <v>24</v>
      </c>
      <c r="B2863" s="7" t="s">
        <v>119</v>
      </c>
      <c r="C2863" s="7" t="s">
        <v>1100</v>
      </c>
      <c r="D2863" s="7" t="n">
        <v>0</v>
      </c>
      <c r="E2863" s="7" t="n">
        <v>0</v>
      </c>
      <c r="F2863" s="7" t="n">
        <v>2</v>
      </c>
      <c r="G2863" s="7" t="n">
        <v>171.02</v>
      </c>
    </row>
    <row r="2864" customFormat="false" ht="15" hidden="false" customHeight="false" outlineLevel="0" collapsed="false">
      <c r="A2864" s="7" t="s">
        <v>24</v>
      </c>
      <c r="B2864" s="7" t="s">
        <v>119</v>
      </c>
      <c r="C2864" s="7" t="s">
        <v>1100</v>
      </c>
      <c r="D2864" s="7" t="n">
        <v>0</v>
      </c>
      <c r="E2864" s="7" t="n">
        <v>0</v>
      </c>
      <c r="F2864" s="7" t="n">
        <v>2</v>
      </c>
      <c r="G2864" s="7" t="n">
        <v>162.47</v>
      </c>
    </row>
    <row r="2865" customFormat="false" ht="15" hidden="false" customHeight="false" outlineLevel="0" collapsed="false">
      <c r="A2865" s="7" t="s">
        <v>24</v>
      </c>
      <c r="B2865" s="7" t="s">
        <v>119</v>
      </c>
      <c r="C2865" s="7" t="s">
        <v>1100</v>
      </c>
      <c r="D2865" s="7" t="n">
        <v>0</v>
      </c>
      <c r="E2865" s="7" t="n">
        <v>0</v>
      </c>
      <c r="F2865" s="7" t="n">
        <v>1</v>
      </c>
      <c r="G2865" s="7" t="n">
        <v>85.51</v>
      </c>
    </row>
    <row r="2866" customFormat="false" ht="15" hidden="false" customHeight="false" outlineLevel="0" collapsed="false">
      <c r="A2866" s="7" t="s">
        <v>24</v>
      </c>
      <c r="B2866" s="7" t="s">
        <v>119</v>
      </c>
      <c r="C2866" s="7" t="s">
        <v>1100</v>
      </c>
      <c r="D2866" s="7" t="n">
        <v>0</v>
      </c>
      <c r="E2866" s="7" t="n">
        <v>0</v>
      </c>
      <c r="F2866" s="7" t="n">
        <v>3</v>
      </c>
      <c r="G2866" s="7" t="n">
        <v>256.53</v>
      </c>
    </row>
    <row r="2867" customFormat="false" ht="15" hidden="false" customHeight="false" outlineLevel="0" collapsed="false">
      <c r="A2867" s="7" t="s">
        <v>24</v>
      </c>
      <c r="B2867" s="7" t="s">
        <v>119</v>
      </c>
      <c r="C2867" s="7" t="s">
        <v>1100</v>
      </c>
      <c r="D2867" s="7" t="n">
        <v>0</v>
      </c>
      <c r="E2867" s="7" t="n">
        <v>0</v>
      </c>
      <c r="F2867" s="7" t="n">
        <v>1</v>
      </c>
      <c r="G2867" s="7" t="n">
        <v>85.51</v>
      </c>
    </row>
    <row r="2868" customFormat="false" ht="15" hidden="false" customHeight="false" outlineLevel="0" collapsed="false">
      <c r="A2868" s="7" t="s">
        <v>24</v>
      </c>
      <c r="B2868" s="7" t="s">
        <v>119</v>
      </c>
      <c r="C2868" s="7" t="s">
        <v>1100</v>
      </c>
      <c r="D2868" s="7" t="n">
        <v>0</v>
      </c>
      <c r="E2868" s="7" t="n">
        <v>0</v>
      </c>
      <c r="F2868" s="7" t="n">
        <v>1</v>
      </c>
      <c r="G2868" s="7" t="n">
        <v>85.51</v>
      </c>
    </row>
    <row r="2869" customFormat="false" ht="15" hidden="false" customHeight="false" outlineLevel="0" collapsed="false">
      <c r="A2869" s="7" t="s">
        <v>24</v>
      </c>
      <c r="B2869" s="7" t="s">
        <v>119</v>
      </c>
      <c r="C2869" s="7" t="s">
        <v>1100</v>
      </c>
      <c r="D2869" s="7" t="n">
        <v>0</v>
      </c>
      <c r="E2869" s="7" t="n">
        <v>0</v>
      </c>
      <c r="F2869" s="7" t="n">
        <v>2</v>
      </c>
      <c r="G2869" s="7" t="n">
        <v>145.37</v>
      </c>
    </row>
    <row r="2870" customFormat="false" ht="15" hidden="false" customHeight="false" outlineLevel="0" collapsed="false">
      <c r="A2870" s="7" t="s">
        <v>24</v>
      </c>
      <c r="B2870" s="7" t="s">
        <v>119</v>
      </c>
      <c r="C2870" s="7" t="s">
        <v>1100</v>
      </c>
      <c r="D2870" s="7" t="n">
        <v>0</v>
      </c>
      <c r="E2870" s="7" t="n">
        <v>0</v>
      </c>
      <c r="F2870" s="7" t="n">
        <v>2</v>
      </c>
      <c r="G2870" s="7" t="n">
        <v>171.02</v>
      </c>
    </row>
    <row r="2871" customFormat="false" ht="15" hidden="false" customHeight="false" outlineLevel="0" collapsed="false">
      <c r="A2871" s="7" t="s">
        <v>24</v>
      </c>
      <c r="B2871" s="7" t="s">
        <v>119</v>
      </c>
      <c r="C2871" s="7" t="s">
        <v>1100</v>
      </c>
      <c r="D2871" s="7" t="n">
        <v>0</v>
      </c>
      <c r="E2871" s="7" t="n">
        <v>0</v>
      </c>
      <c r="F2871" s="7" t="n">
        <v>3</v>
      </c>
      <c r="G2871" s="7" t="n">
        <v>226.61</v>
      </c>
    </row>
    <row r="2872" customFormat="false" ht="15" hidden="false" customHeight="false" outlineLevel="0" collapsed="false">
      <c r="A2872" s="7" t="s">
        <v>24</v>
      </c>
      <c r="B2872" s="7" t="s">
        <v>119</v>
      </c>
      <c r="C2872" s="7" t="s">
        <v>1100</v>
      </c>
      <c r="D2872" s="7" t="n">
        <v>0</v>
      </c>
      <c r="E2872" s="7" t="n">
        <v>0</v>
      </c>
      <c r="F2872" s="7" t="n">
        <v>1</v>
      </c>
      <c r="G2872" s="7" t="n">
        <v>85.51</v>
      </c>
    </row>
    <row r="2873" customFormat="false" ht="15" hidden="false" customHeight="false" outlineLevel="0" collapsed="false">
      <c r="A2873" s="7" t="s">
        <v>24</v>
      </c>
      <c r="B2873" s="7" t="s">
        <v>119</v>
      </c>
      <c r="C2873" s="7" t="s">
        <v>1100</v>
      </c>
      <c r="D2873" s="7" t="n">
        <v>0</v>
      </c>
      <c r="E2873" s="7" t="n">
        <v>0</v>
      </c>
      <c r="F2873" s="7" t="n">
        <v>2</v>
      </c>
      <c r="G2873" s="7" t="n">
        <v>153.92</v>
      </c>
    </row>
    <row r="2874" customFormat="false" ht="15" hidden="false" customHeight="false" outlineLevel="0" collapsed="false">
      <c r="A2874" s="7" t="s">
        <v>24</v>
      </c>
      <c r="B2874" s="7" t="s">
        <v>119</v>
      </c>
      <c r="C2874" s="7" t="s">
        <v>1100</v>
      </c>
      <c r="D2874" s="7" t="n">
        <v>0</v>
      </c>
      <c r="E2874" s="7" t="n">
        <v>0</v>
      </c>
      <c r="F2874" s="7" t="n">
        <v>1</v>
      </c>
      <c r="G2874" s="7" t="n">
        <v>85.51</v>
      </c>
    </row>
    <row r="2875" customFormat="false" ht="15" hidden="false" customHeight="false" outlineLevel="0" collapsed="false">
      <c r="A2875" s="7" t="s">
        <v>24</v>
      </c>
      <c r="B2875" s="7" t="s">
        <v>119</v>
      </c>
      <c r="C2875" s="7" t="s">
        <v>1100</v>
      </c>
      <c r="D2875" s="7" t="n">
        <v>0</v>
      </c>
      <c r="E2875" s="7" t="n">
        <v>0</v>
      </c>
      <c r="F2875" s="7" t="n">
        <v>2</v>
      </c>
      <c r="G2875" s="7" t="n">
        <v>153.92</v>
      </c>
    </row>
    <row r="2876" customFormat="false" ht="15" hidden="false" customHeight="false" outlineLevel="0" collapsed="false">
      <c r="A2876" s="7" t="s">
        <v>24</v>
      </c>
      <c r="B2876" s="7" t="s">
        <v>119</v>
      </c>
      <c r="C2876" s="7" t="s">
        <v>1100</v>
      </c>
      <c r="D2876" s="7" t="n">
        <v>0</v>
      </c>
      <c r="E2876" s="7" t="n">
        <v>0</v>
      </c>
      <c r="F2876" s="7" t="n">
        <v>1</v>
      </c>
      <c r="G2876" s="7" t="n">
        <v>76.96</v>
      </c>
    </row>
    <row r="2877" customFormat="false" ht="15" hidden="false" customHeight="false" outlineLevel="0" collapsed="false">
      <c r="A2877" s="7" t="s">
        <v>24</v>
      </c>
      <c r="B2877" s="7" t="s">
        <v>119</v>
      </c>
      <c r="C2877" s="7" t="s">
        <v>1100</v>
      </c>
      <c r="D2877" s="7" t="n">
        <v>0</v>
      </c>
      <c r="E2877" s="7" t="n">
        <v>0</v>
      </c>
      <c r="F2877" s="7" t="n">
        <v>1</v>
      </c>
      <c r="G2877" s="7" t="n">
        <v>85.51</v>
      </c>
    </row>
    <row r="2878" customFormat="false" ht="15" hidden="false" customHeight="false" outlineLevel="0" collapsed="false">
      <c r="A2878" s="7" t="s">
        <v>24</v>
      </c>
      <c r="B2878" s="7" t="s">
        <v>119</v>
      </c>
      <c r="C2878" s="7" t="s">
        <v>1100</v>
      </c>
      <c r="D2878" s="7" t="n">
        <v>0</v>
      </c>
      <c r="E2878" s="7" t="n">
        <v>0</v>
      </c>
      <c r="F2878" s="7" t="n">
        <v>3</v>
      </c>
      <c r="G2878" s="7" t="n">
        <v>256.53</v>
      </c>
    </row>
    <row r="2879" customFormat="false" ht="15" hidden="false" customHeight="false" outlineLevel="0" collapsed="false">
      <c r="A2879" s="7" t="s">
        <v>24</v>
      </c>
      <c r="B2879" s="7" t="s">
        <v>119</v>
      </c>
      <c r="C2879" s="7" t="s">
        <v>1100</v>
      </c>
      <c r="D2879" s="7" t="n">
        <v>0</v>
      </c>
      <c r="E2879" s="7" t="n">
        <v>0</v>
      </c>
      <c r="F2879" s="7" t="n">
        <v>1</v>
      </c>
      <c r="G2879" s="7" t="n">
        <v>85.51</v>
      </c>
    </row>
    <row r="2880" customFormat="false" ht="15" hidden="false" customHeight="false" outlineLevel="0" collapsed="false">
      <c r="A2880" s="7" t="s">
        <v>24</v>
      </c>
      <c r="B2880" s="7" t="s">
        <v>517</v>
      </c>
      <c r="C2880" s="7" t="s">
        <v>1101</v>
      </c>
      <c r="D2880" s="7" t="n">
        <v>0</v>
      </c>
      <c r="E2880" s="7" t="n">
        <v>0</v>
      </c>
      <c r="F2880" s="7" t="n">
        <v>1</v>
      </c>
      <c r="G2880" s="7" t="n">
        <v>132.96</v>
      </c>
    </row>
    <row r="2881" customFormat="false" ht="15" hidden="false" customHeight="false" outlineLevel="0" collapsed="false">
      <c r="A2881" s="7" t="s">
        <v>24</v>
      </c>
      <c r="B2881" s="7" t="s">
        <v>517</v>
      </c>
      <c r="C2881" s="7" t="s">
        <v>1101</v>
      </c>
      <c r="D2881" s="7" t="n">
        <v>0</v>
      </c>
      <c r="E2881" s="7" t="n">
        <v>0</v>
      </c>
      <c r="F2881" s="7" t="n">
        <v>3</v>
      </c>
      <c r="G2881" s="7" t="n">
        <v>372.31</v>
      </c>
    </row>
    <row r="2882" customFormat="false" ht="15" hidden="false" customHeight="false" outlineLevel="0" collapsed="false">
      <c r="A2882" s="7" t="s">
        <v>24</v>
      </c>
      <c r="B2882" s="7" t="s">
        <v>517</v>
      </c>
      <c r="C2882" s="7" t="s">
        <v>1101</v>
      </c>
      <c r="D2882" s="7" t="n">
        <v>29</v>
      </c>
      <c r="E2882" s="7" t="n">
        <v>3537.02</v>
      </c>
      <c r="F2882" s="7" t="n">
        <v>12</v>
      </c>
      <c r="G2882" s="7" t="n">
        <v>1489.24</v>
      </c>
    </row>
    <row r="2883" customFormat="false" ht="15" hidden="false" customHeight="false" outlineLevel="0" collapsed="false">
      <c r="A2883" s="7" t="s">
        <v>24</v>
      </c>
      <c r="B2883" s="7" t="s">
        <v>517</v>
      </c>
      <c r="C2883" s="7" t="s">
        <v>1101</v>
      </c>
      <c r="D2883" s="7" t="n">
        <v>0</v>
      </c>
      <c r="E2883" s="7" t="n">
        <v>0</v>
      </c>
      <c r="F2883" s="7" t="n">
        <v>1</v>
      </c>
      <c r="G2883" s="7" t="n">
        <v>119.67</v>
      </c>
    </row>
    <row r="2884" customFormat="false" ht="15" hidden="false" customHeight="false" outlineLevel="0" collapsed="false">
      <c r="A2884" s="7" t="s">
        <v>24</v>
      </c>
      <c r="B2884" s="7" t="s">
        <v>517</v>
      </c>
      <c r="C2884" s="7" t="s">
        <v>1101</v>
      </c>
      <c r="D2884" s="7" t="n">
        <v>0</v>
      </c>
      <c r="E2884" s="7" t="n">
        <v>0</v>
      </c>
      <c r="F2884" s="7" t="n">
        <v>1</v>
      </c>
      <c r="G2884" s="7" t="n">
        <v>113.03</v>
      </c>
    </row>
    <row r="2885" customFormat="false" ht="15" hidden="false" customHeight="false" outlineLevel="0" collapsed="false">
      <c r="A2885" s="7" t="s">
        <v>24</v>
      </c>
      <c r="B2885" s="7" t="s">
        <v>517</v>
      </c>
      <c r="C2885" s="7" t="s">
        <v>1101</v>
      </c>
      <c r="D2885" s="7" t="n">
        <v>0</v>
      </c>
      <c r="E2885" s="7" t="n">
        <v>0</v>
      </c>
      <c r="F2885" s="7" t="n">
        <v>1</v>
      </c>
      <c r="G2885" s="7" t="n">
        <v>132.96</v>
      </c>
    </row>
    <row r="2886" customFormat="false" ht="15" hidden="false" customHeight="false" outlineLevel="0" collapsed="false">
      <c r="A2886" s="7" t="s">
        <v>24</v>
      </c>
      <c r="B2886" s="7" t="s">
        <v>517</v>
      </c>
      <c r="C2886" s="7" t="s">
        <v>1101</v>
      </c>
      <c r="D2886" s="7" t="n">
        <v>0</v>
      </c>
      <c r="E2886" s="7" t="n">
        <v>0</v>
      </c>
      <c r="F2886" s="7" t="n">
        <v>1</v>
      </c>
      <c r="G2886" s="7" t="n">
        <v>132.96</v>
      </c>
    </row>
    <row r="2887" customFormat="false" ht="15" hidden="false" customHeight="false" outlineLevel="0" collapsed="false">
      <c r="A2887" s="7" t="s">
        <v>24</v>
      </c>
      <c r="B2887" s="7" t="s">
        <v>517</v>
      </c>
      <c r="C2887" s="7" t="s">
        <v>1101</v>
      </c>
      <c r="D2887" s="7" t="n">
        <v>0</v>
      </c>
      <c r="E2887" s="7" t="n">
        <v>0</v>
      </c>
      <c r="F2887" s="7" t="n">
        <v>1</v>
      </c>
      <c r="G2887" s="7" t="n">
        <v>119.67</v>
      </c>
    </row>
    <row r="2888" customFormat="false" ht="15" hidden="false" customHeight="false" outlineLevel="0" collapsed="false">
      <c r="A2888" s="7" t="s">
        <v>24</v>
      </c>
      <c r="B2888" s="7" t="s">
        <v>517</v>
      </c>
      <c r="C2888" s="7" t="s">
        <v>1101</v>
      </c>
      <c r="D2888" s="7" t="n">
        <v>0</v>
      </c>
      <c r="E2888" s="7" t="n">
        <v>0</v>
      </c>
      <c r="F2888" s="7" t="n">
        <v>1</v>
      </c>
      <c r="G2888" s="7" t="n">
        <v>119.67</v>
      </c>
    </row>
    <row r="2889" customFormat="false" ht="15" hidden="false" customHeight="false" outlineLevel="0" collapsed="false">
      <c r="A2889" s="7" t="s">
        <v>24</v>
      </c>
      <c r="B2889" s="7" t="s">
        <v>517</v>
      </c>
      <c r="C2889" s="7" t="s">
        <v>1101</v>
      </c>
      <c r="D2889" s="7" t="n">
        <v>0</v>
      </c>
      <c r="E2889" s="7" t="n">
        <v>0</v>
      </c>
      <c r="F2889" s="7" t="n">
        <v>1</v>
      </c>
      <c r="G2889" s="7" t="n">
        <v>113.03</v>
      </c>
    </row>
    <row r="2890" customFormat="false" ht="15" hidden="false" customHeight="false" outlineLevel="0" collapsed="false">
      <c r="A2890" s="7" t="s">
        <v>24</v>
      </c>
      <c r="B2890" s="7" t="s">
        <v>517</v>
      </c>
      <c r="C2890" s="7" t="s">
        <v>1101</v>
      </c>
      <c r="D2890" s="7" t="n">
        <v>0</v>
      </c>
      <c r="E2890" s="7" t="n">
        <v>0</v>
      </c>
      <c r="F2890" s="7" t="n">
        <v>1</v>
      </c>
      <c r="G2890" s="7" t="n">
        <v>132.96</v>
      </c>
    </row>
    <row r="2891" customFormat="false" ht="15" hidden="false" customHeight="false" outlineLevel="0" collapsed="false">
      <c r="A2891" s="7" t="s">
        <v>24</v>
      </c>
      <c r="B2891" s="7" t="s">
        <v>517</v>
      </c>
      <c r="C2891" s="7" t="s">
        <v>1101</v>
      </c>
      <c r="D2891" s="7" t="n">
        <v>0</v>
      </c>
      <c r="E2891" s="7" t="n">
        <v>0</v>
      </c>
      <c r="F2891" s="7" t="n">
        <v>1</v>
      </c>
      <c r="G2891" s="7" t="n">
        <v>132.96</v>
      </c>
    </row>
    <row r="2892" customFormat="false" ht="15" hidden="false" customHeight="false" outlineLevel="0" collapsed="false">
      <c r="A2892" s="7" t="s">
        <v>24</v>
      </c>
      <c r="B2892" s="7" t="s">
        <v>517</v>
      </c>
      <c r="C2892" s="7" t="s">
        <v>1101</v>
      </c>
      <c r="D2892" s="7" t="n">
        <v>0</v>
      </c>
      <c r="E2892" s="7" t="n">
        <v>0</v>
      </c>
      <c r="F2892" s="7" t="n">
        <v>1</v>
      </c>
      <c r="G2892" s="7" t="n">
        <v>119.67</v>
      </c>
    </row>
    <row r="2893" customFormat="false" ht="15" hidden="false" customHeight="false" outlineLevel="0" collapsed="false">
      <c r="A2893" s="7" t="s">
        <v>24</v>
      </c>
      <c r="B2893" s="7" t="s">
        <v>334</v>
      </c>
      <c r="C2893" s="7" t="s">
        <v>1101</v>
      </c>
      <c r="D2893" s="7" t="n">
        <v>0</v>
      </c>
      <c r="E2893" s="7" t="n">
        <v>0</v>
      </c>
      <c r="F2893" s="7" t="n">
        <v>1</v>
      </c>
      <c r="G2893" s="7" t="n">
        <v>132.97</v>
      </c>
    </row>
    <row r="2894" customFormat="false" ht="15" hidden="false" customHeight="false" outlineLevel="0" collapsed="false">
      <c r="A2894" s="7" t="s">
        <v>24</v>
      </c>
      <c r="B2894" s="7" t="s">
        <v>334</v>
      </c>
      <c r="C2894" s="7" t="s">
        <v>1101</v>
      </c>
      <c r="D2894" s="7" t="n">
        <v>0</v>
      </c>
      <c r="E2894" s="7" t="n">
        <v>0</v>
      </c>
      <c r="F2894" s="7" t="n">
        <v>1</v>
      </c>
      <c r="G2894" s="7" t="n">
        <v>132.97</v>
      </c>
    </row>
    <row r="2895" customFormat="false" ht="15" hidden="false" customHeight="false" outlineLevel="0" collapsed="false">
      <c r="A2895" s="7" t="s">
        <v>24</v>
      </c>
      <c r="B2895" s="7" t="s">
        <v>334</v>
      </c>
      <c r="C2895" s="7" t="s">
        <v>1101</v>
      </c>
      <c r="D2895" s="7" t="n">
        <v>0</v>
      </c>
      <c r="E2895" s="7" t="n">
        <v>0</v>
      </c>
      <c r="F2895" s="7" t="n">
        <v>1</v>
      </c>
      <c r="G2895" s="7" t="n">
        <v>132.97</v>
      </c>
    </row>
    <row r="2896" customFormat="false" ht="15" hidden="false" customHeight="false" outlineLevel="0" collapsed="false">
      <c r="A2896" s="7" t="s">
        <v>24</v>
      </c>
      <c r="B2896" s="7" t="s">
        <v>334</v>
      </c>
      <c r="C2896" s="7" t="s">
        <v>1101</v>
      </c>
      <c r="D2896" s="7" t="n">
        <v>0</v>
      </c>
      <c r="E2896" s="7" t="n">
        <v>0</v>
      </c>
      <c r="F2896" s="7" t="n">
        <v>1</v>
      </c>
      <c r="G2896" s="7" t="n">
        <v>132.96</v>
      </c>
    </row>
    <row r="2897" customFormat="false" ht="15" hidden="false" customHeight="false" outlineLevel="0" collapsed="false">
      <c r="A2897" s="7" t="s">
        <v>24</v>
      </c>
      <c r="B2897" s="7" t="s">
        <v>334</v>
      </c>
      <c r="C2897" s="7" t="s">
        <v>1101</v>
      </c>
      <c r="D2897" s="7" t="n">
        <v>32</v>
      </c>
      <c r="E2897" s="7" t="n">
        <v>3896.02</v>
      </c>
      <c r="F2897" s="7" t="n">
        <v>14</v>
      </c>
      <c r="G2897" s="7" t="n">
        <v>1735.24</v>
      </c>
    </row>
    <row r="2898" customFormat="false" ht="15" hidden="false" customHeight="false" outlineLevel="0" collapsed="false">
      <c r="A2898" s="7" t="s">
        <v>24</v>
      </c>
      <c r="B2898" s="7" t="s">
        <v>334</v>
      </c>
      <c r="C2898" s="7" t="s">
        <v>1101</v>
      </c>
      <c r="D2898" s="7" t="n">
        <v>0</v>
      </c>
      <c r="E2898" s="7" t="n">
        <v>0</v>
      </c>
      <c r="F2898" s="7" t="n">
        <v>1</v>
      </c>
      <c r="G2898" s="7" t="n">
        <v>132.96</v>
      </c>
    </row>
    <row r="2899" customFormat="false" ht="15" hidden="false" customHeight="false" outlineLevel="0" collapsed="false">
      <c r="A2899" s="7" t="s">
        <v>24</v>
      </c>
      <c r="B2899" s="7" t="s">
        <v>334</v>
      </c>
      <c r="C2899" s="7" t="s">
        <v>1101</v>
      </c>
      <c r="D2899" s="7" t="n">
        <v>0</v>
      </c>
      <c r="E2899" s="7" t="n">
        <v>0</v>
      </c>
      <c r="F2899" s="7" t="n">
        <v>1</v>
      </c>
      <c r="G2899" s="7" t="n">
        <v>113.02</v>
      </c>
    </row>
    <row r="2900" customFormat="false" ht="15" hidden="false" customHeight="false" outlineLevel="0" collapsed="false">
      <c r="A2900" s="7" t="s">
        <v>24</v>
      </c>
      <c r="B2900" s="7" t="s">
        <v>334</v>
      </c>
      <c r="C2900" s="7" t="s">
        <v>1101</v>
      </c>
      <c r="D2900" s="7" t="n">
        <v>0</v>
      </c>
      <c r="E2900" s="7" t="n">
        <v>0</v>
      </c>
      <c r="F2900" s="7" t="n">
        <v>1</v>
      </c>
      <c r="G2900" s="7" t="n">
        <v>132.97</v>
      </c>
    </row>
    <row r="2901" customFormat="false" ht="15" hidden="false" customHeight="false" outlineLevel="0" collapsed="false">
      <c r="A2901" s="7" t="s">
        <v>24</v>
      </c>
      <c r="B2901" s="7" t="s">
        <v>334</v>
      </c>
      <c r="C2901" s="7" t="s">
        <v>1101</v>
      </c>
      <c r="D2901" s="7" t="n">
        <v>0</v>
      </c>
      <c r="E2901" s="7" t="n">
        <v>0</v>
      </c>
      <c r="F2901" s="7" t="n">
        <v>1</v>
      </c>
      <c r="G2901" s="7" t="n">
        <v>132.97</v>
      </c>
    </row>
    <row r="2902" customFormat="false" ht="15" hidden="false" customHeight="false" outlineLevel="0" collapsed="false">
      <c r="A2902" s="7" t="s">
        <v>24</v>
      </c>
      <c r="B2902" s="7" t="s">
        <v>334</v>
      </c>
      <c r="C2902" s="7" t="s">
        <v>1101</v>
      </c>
      <c r="D2902" s="7" t="n">
        <v>0</v>
      </c>
      <c r="E2902" s="7" t="n">
        <v>0</v>
      </c>
      <c r="F2902" s="7" t="n">
        <v>1</v>
      </c>
      <c r="G2902" s="7" t="n">
        <v>132.97</v>
      </c>
    </row>
    <row r="2903" customFormat="false" ht="15" hidden="false" customHeight="false" outlineLevel="0" collapsed="false">
      <c r="A2903" s="7" t="s">
        <v>24</v>
      </c>
      <c r="B2903" s="7" t="s">
        <v>334</v>
      </c>
      <c r="C2903" s="7" t="s">
        <v>1101</v>
      </c>
      <c r="D2903" s="7" t="n">
        <v>0</v>
      </c>
      <c r="E2903" s="7" t="n">
        <v>0</v>
      </c>
      <c r="F2903" s="7" t="n">
        <v>1</v>
      </c>
      <c r="G2903" s="7" t="n">
        <v>119.67</v>
      </c>
    </row>
    <row r="2904" customFormat="false" ht="15" hidden="false" customHeight="false" outlineLevel="0" collapsed="false">
      <c r="A2904" s="7" t="s">
        <v>24</v>
      </c>
      <c r="B2904" s="7" t="s">
        <v>334</v>
      </c>
      <c r="C2904" s="7" t="s">
        <v>1101</v>
      </c>
      <c r="D2904" s="7" t="n">
        <v>0</v>
      </c>
      <c r="E2904" s="7" t="n">
        <v>0</v>
      </c>
      <c r="F2904" s="7" t="n">
        <v>1</v>
      </c>
      <c r="G2904" s="7" t="n">
        <v>132.97</v>
      </c>
    </row>
    <row r="2905" customFormat="false" ht="15" hidden="false" customHeight="false" outlineLevel="0" collapsed="false">
      <c r="A2905" s="7" t="s">
        <v>24</v>
      </c>
      <c r="B2905" s="7" t="s">
        <v>528</v>
      </c>
      <c r="C2905" s="7" t="s">
        <v>1235</v>
      </c>
      <c r="D2905" s="7" t="n">
        <v>3</v>
      </c>
      <c r="E2905" s="7" t="n">
        <v>139.01</v>
      </c>
      <c r="F2905" s="7" t="n">
        <v>0</v>
      </c>
      <c r="G2905" s="7" t="n">
        <v>0</v>
      </c>
    </row>
    <row r="2906" customFormat="false" ht="15" hidden="false" customHeight="false" outlineLevel="0" collapsed="false">
      <c r="A2906" s="7" t="s">
        <v>24</v>
      </c>
      <c r="B2906" s="7" t="s">
        <v>528</v>
      </c>
      <c r="C2906" s="7" t="s">
        <v>1235</v>
      </c>
      <c r="D2906" s="7" t="n">
        <v>3</v>
      </c>
      <c r="E2906" s="7" t="n">
        <v>158.68</v>
      </c>
      <c r="F2906" s="7" t="n">
        <v>0</v>
      </c>
      <c r="G2906" s="7" t="n">
        <v>0</v>
      </c>
    </row>
    <row r="2907" customFormat="false" ht="15" hidden="false" customHeight="false" outlineLevel="0" collapsed="false">
      <c r="A2907" s="7" t="s">
        <v>24</v>
      </c>
      <c r="B2907" s="7" t="s">
        <v>470</v>
      </c>
      <c r="C2907" s="7" t="s">
        <v>1235</v>
      </c>
      <c r="D2907" s="7" t="n">
        <v>9</v>
      </c>
      <c r="E2907" s="7" t="n">
        <v>482.37</v>
      </c>
      <c r="F2907" s="7" t="n">
        <v>15</v>
      </c>
      <c r="G2907" s="7" t="n">
        <v>844.18</v>
      </c>
    </row>
    <row r="2908" customFormat="false" ht="15" hidden="false" customHeight="false" outlineLevel="0" collapsed="false">
      <c r="A2908" s="7" t="s">
        <v>24</v>
      </c>
      <c r="B2908" s="7" t="s">
        <v>470</v>
      </c>
      <c r="C2908" s="7" t="s">
        <v>1235</v>
      </c>
      <c r="D2908" s="7" t="n">
        <v>0</v>
      </c>
      <c r="E2908" s="7" t="n">
        <v>0</v>
      </c>
      <c r="F2908" s="7" t="n">
        <v>3</v>
      </c>
      <c r="G2908" s="7" t="n">
        <v>114</v>
      </c>
    </row>
    <row r="2909" customFormat="false" ht="15" hidden="false" customHeight="false" outlineLevel="0" collapsed="false">
      <c r="A2909" s="7" t="s">
        <v>24</v>
      </c>
      <c r="B2909" s="7" t="s">
        <v>470</v>
      </c>
      <c r="C2909" s="7" t="s">
        <v>1235</v>
      </c>
      <c r="D2909" s="7" t="n">
        <v>2</v>
      </c>
      <c r="E2909" s="7" t="n">
        <v>105.02</v>
      </c>
      <c r="F2909" s="7" t="n">
        <v>0</v>
      </c>
      <c r="G2909" s="7" t="n">
        <v>0</v>
      </c>
    </row>
    <row r="2910" customFormat="false" ht="15" hidden="false" customHeight="false" outlineLevel="0" collapsed="false">
      <c r="A2910" s="7" t="s">
        <v>24</v>
      </c>
      <c r="B2910" s="7" t="s">
        <v>173</v>
      </c>
      <c r="C2910" s="7" t="s">
        <v>1235</v>
      </c>
      <c r="D2910" s="7" t="n">
        <v>44</v>
      </c>
      <c r="E2910" s="7" t="n">
        <v>2069.59</v>
      </c>
      <c r="F2910" s="7" t="n">
        <v>0</v>
      </c>
      <c r="G2910" s="7" t="n">
        <v>0</v>
      </c>
    </row>
    <row r="2911" customFormat="false" ht="15" hidden="false" customHeight="false" outlineLevel="0" collapsed="false">
      <c r="A2911" s="7" t="s">
        <v>24</v>
      </c>
      <c r="B2911" s="7" t="s">
        <v>173</v>
      </c>
      <c r="C2911" s="7" t="s">
        <v>1235</v>
      </c>
      <c r="D2911" s="7" t="n">
        <v>5</v>
      </c>
      <c r="E2911" s="7" t="n">
        <v>279.27</v>
      </c>
      <c r="F2911" s="7" t="n">
        <v>0</v>
      </c>
      <c r="G2911" s="7" t="n">
        <v>0</v>
      </c>
    </row>
    <row r="2912" customFormat="false" ht="15" hidden="false" customHeight="false" outlineLevel="0" collapsed="false">
      <c r="A2912" s="7" t="s">
        <v>24</v>
      </c>
      <c r="B2912" s="7" t="s">
        <v>498</v>
      </c>
      <c r="C2912" s="7" t="s">
        <v>1236</v>
      </c>
      <c r="D2912" s="7" t="n">
        <v>4</v>
      </c>
      <c r="E2912" s="7" t="n">
        <v>228.49</v>
      </c>
      <c r="F2912" s="7" t="n">
        <v>0</v>
      </c>
      <c r="G2912" s="7" t="n">
        <v>0</v>
      </c>
    </row>
    <row r="2913" customFormat="false" ht="15" hidden="false" customHeight="false" outlineLevel="0" collapsed="false">
      <c r="A2913" s="7" t="s">
        <v>24</v>
      </c>
      <c r="B2913" s="7" t="s">
        <v>498</v>
      </c>
      <c r="C2913" s="7" t="s">
        <v>1236</v>
      </c>
      <c r="D2913" s="7" t="n">
        <v>2</v>
      </c>
      <c r="E2913" s="7" t="n">
        <v>98.84</v>
      </c>
      <c r="F2913" s="7" t="n">
        <v>0</v>
      </c>
      <c r="G2913" s="7" t="n">
        <v>0</v>
      </c>
    </row>
    <row r="2914" customFormat="false" ht="15" hidden="false" customHeight="false" outlineLevel="0" collapsed="false">
      <c r="A2914" s="7" t="s">
        <v>24</v>
      </c>
      <c r="B2914" s="7" t="s">
        <v>468</v>
      </c>
      <c r="C2914" s="7" t="s">
        <v>1236</v>
      </c>
      <c r="D2914" s="7" t="n">
        <v>6</v>
      </c>
      <c r="E2914" s="7" t="n">
        <v>288.79</v>
      </c>
      <c r="F2914" s="7" t="n">
        <v>4</v>
      </c>
      <c r="G2914" s="7" t="n">
        <v>228.49</v>
      </c>
    </row>
    <row r="2915" customFormat="false" ht="15" hidden="false" customHeight="false" outlineLevel="0" collapsed="false">
      <c r="A2915" s="7" t="s">
        <v>24</v>
      </c>
      <c r="B2915" s="7" t="s">
        <v>468</v>
      </c>
      <c r="C2915" s="7" t="s">
        <v>1236</v>
      </c>
      <c r="D2915" s="7" t="n">
        <v>6</v>
      </c>
      <c r="E2915" s="7" t="n">
        <v>315.08</v>
      </c>
      <c r="F2915" s="7" t="n">
        <v>0</v>
      </c>
      <c r="G2915" s="7" t="n">
        <v>0</v>
      </c>
    </row>
    <row r="2916" customFormat="false" ht="15" hidden="false" customHeight="false" outlineLevel="0" collapsed="false">
      <c r="A2916" s="7" t="s">
        <v>24</v>
      </c>
      <c r="B2916" s="7" t="s">
        <v>226</v>
      </c>
      <c r="C2916" s="7" t="s">
        <v>1236</v>
      </c>
      <c r="D2916" s="7" t="n">
        <v>10</v>
      </c>
      <c r="E2916" s="7" t="n">
        <v>469.52</v>
      </c>
      <c r="F2916" s="7" t="n">
        <v>0</v>
      </c>
      <c r="G2916" s="7" t="n">
        <v>0</v>
      </c>
    </row>
    <row r="2917" customFormat="false" ht="15" hidden="false" customHeight="false" outlineLevel="0" collapsed="false">
      <c r="A2917" s="7" t="s">
        <v>24</v>
      </c>
      <c r="B2917" s="7" t="s">
        <v>226</v>
      </c>
      <c r="C2917" s="7" t="s">
        <v>1236</v>
      </c>
      <c r="D2917" s="7" t="n">
        <v>33</v>
      </c>
      <c r="E2917" s="7" t="n">
        <v>1659.72</v>
      </c>
      <c r="F2917" s="7" t="n">
        <v>12</v>
      </c>
      <c r="G2917" s="7" t="n">
        <v>596.68</v>
      </c>
    </row>
    <row r="2918" customFormat="false" ht="15" hidden="false" customHeight="false" outlineLevel="0" collapsed="false">
      <c r="A2918" s="7" t="s">
        <v>24</v>
      </c>
      <c r="B2918" s="7" t="s">
        <v>415</v>
      </c>
      <c r="C2918" s="7" t="s">
        <v>1237</v>
      </c>
      <c r="D2918" s="7" t="n">
        <v>5</v>
      </c>
      <c r="E2918" s="7" t="n">
        <v>231.68</v>
      </c>
      <c r="F2918" s="7" t="n">
        <v>0</v>
      </c>
      <c r="G2918" s="7" t="n">
        <v>0</v>
      </c>
    </row>
    <row r="2919" customFormat="false" ht="15" hidden="false" customHeight="false" outlineLevel="0" collapsed="false">
      <c r="A2919" s="7" t="s">
        <v>24</v>
      </c>
      <c r="B2919" s="7" t="s">
        <v>415</v>
      </c>
      <c r="C2919" s="7" t="s">
        <v>1237</v>
      </c>
      <c r="D2919" s="7" t="n">
        <v>5</v>
      </c>
      <c r="E2919" s="7" t="n">
        <v>263.4</v>
      </c>
      <c r="F2919" s="7" t="n">
        <v>0</v>
      </c>
      <c r="G2919" s="7" t="n">
        <v>0</v>
      </c>
    </row>
    <row r="2920" customFormat="false" ht="15" hidden="false" customHeight="false" outlineLevel="0" collapsed="false">
      <c r="A2920" s="7" t="s">
        <v>24</v>
      </c>
      <c r="B2920" s="7" t="s">
        <v>406</v>
      </c>
      <c r="C2920" s="7" t="s">
        <v>1237</v>
      </c>
      <c r="D2920" s="7" t="n">
        <v>13</v>
      </c>
      <c r="E2920" s="7" t="n">
        <v>672.79</v>
      </c>
      <c r="F2920" s="7" t="n">
        <v>4</v>
      </c>
      <c r="G2920" s="7" t="n">
        <v>203.12</v>
      </c>
    </row>
    <row r="2921" customFormat="false" ht="15" hidden="false" customHeight="false" outlineLevel="0" collapsed="false">
      <c r="A2921" s="7" t="s">
        <v>24</v>
      </c>
      <c r="B2921" s="7" t="s">
        <v>406</v>
      </c>
      <c r="C2921" s="7" t="s">
        <v>1237</v>
      </c>
      <c r="D2921" s="7" t="n">
        <v>1</v>
      </c>
      <c r="E2921" s="7" t="n">
        <v>52.51</v>
      </c>
      <c r="F2921" s="7" t="n">
        <v>0</v>
      </c>
      <c r="G2921" s="7" t="n">
        <v>0</v>
      </c>
    </row>
    <row r="2922" customFormat="false" ht="15" hidden="false" customHeight="false" outlineLevel="0" collapsed="false">
      <c r="A2922" s="7" t="s">
        <v>24</v>
      </c>
      <c r="B2922" s="7" t="s">
        <v>183</v>
      </c>
      <c r="C2922" s="7" t="s">
        <v>1237</v>
      </c>
      <c r="D2922" s="7" t="n">
        <v>2</v>
      </c>
      <c r="E2922" s="7" t="n">
        <v>0.02</v>
      </c>
      <c r="F2922" s="7" t="n">
        <v>0</v>
      </c>
      <c r="G2922" s="7" t="n">
        <v>0</v>
      </c>
    </row>
    <row r="2923" customFormat="false" ht="15" hidden="false" customHeight="false" outlineLevel="0" collapsed="false">
      <c r="A2923" s="7" t="s">
        <v>24</v>
      </c>
      <c r="B2923" s="7" t="s">
        <v>183</v>
      </c>
      <c r="C2923" s="7" t="s">
        <v>1237</v>
      </c>
      <c r="D2923" s="7" t="n">
        <v>51</v>
      </c>
      <c r="E2923" s="7" t="n">
        <v>2541.94</v>
      </c>
      <c r="F2923" s="7" t="n">
        <v>12</v>
      </c>
      <c r="G2923" s="7" t="n">
        <v>637.89</v>
      </c>
    </row>
    <row r="2924" customFormat="false" ht="15" hidden="false" customHeight="false" outlineLevel="0" collapsed="false">
      <c r="A2924" s="7" t="s">
        <v>24</v>
      </c>
      <c r="B2924" s="7" t="s">
        <v>183</v>
      </c>
      <c r="C2924" s="7" t="s">
        <v>1237</v>
      </c>
      <c r="D2924" s="7" t="n">
        <v>7</v>
      </c>
      <c r="E2924" s="7" t="n">
        <v>324.34</v>
      </c>
      <c r="F2924" s="7" t="n">
        <v>0</v>
      </c>
      <c r="G2924" s="7" t="n">
        <v>0</v>
      </c>
    </row>
    <row r="2925" customFormat="false" ht="15" hidden="false" customHeight="false" outlineLevel="0" collapsed="false">
      <c r="A2925" s="7" t="s">
        <v>24</v>
      </c>
      <c r="B2925" s="7" t="s">
        <v>456</v>
      </c>
      <c r="C2925" s="7" t="s">
        <v>1238</v>
      </c>
      <c r="D2925" s="7" t="n">
        <v>0</v>
      </c>
      <c r="E2925" s="7" t="n">
        <v>0</v>
      </c>
      <c r="F2925" s="7" t="n">
        <v>2</v>
      </c>
      <c r="G2925" s="7" t="n">
        <v>98.39</v>
      </c>
    </row>
    <row r="2926" customFormat="false" ht="15" hidden="false" customHeight="false" outlineLevel="0" collapsed="false">
      <c r="A2926" s="7" t="s">
        <v>24</v>
      </c>
      <c r="B2926" s="7" t="s">
        <v>456</v>
      </c>
      <c r="C2926" s="7" t="s">
        <v>1238</v>
      </c>
      <c r="D2926" s="7" t="n">
        <v>0</v>
      </c>
      <c r="E2926" s="7" t="n">
        <v>0</v>
      </c>
      <c r="F2926" s="7" t="n">
        <v>4</v>
      </c>
      <c r="G2926" s="7" t="n">
        <v>190.44</v>
      </c>
    </row>
    <row r="2927" customFormat="false" ht="15" hidden="false" customHeight="false" outlineLevel="0" collapsed="false">
      <c r="A2927" s="7" t="s">
        <v>24</v>
      </c>
      <c r="B2927" s="7" t="s">
        <v>456</v>
      </c>
      <c r="C2927" s="7" t="s">
        <v>1238</v>
      </c>
      <c r="D2927" s="7" t="n">
        <v>0</v>
      </c>
      <c r="E2927" s="7" t="n">
        <v>0</v>
      </c>
      <c r="F2927" s="7" t="n">
        <v>1</v>
      </c>
      <c r="G2927" s="7" t="n">
        <v>53.95</v>
      </c>
    </row>
    <row r="2928" customFormat="false" ht="15" hidden="false" customHeight="false" outlineLevel="0" collapsed="false">
      <c r="A2928" s="7" t="s">
        <v>24</v>
      </c>
      <c r="B2928" s="7" t="s">
        <v>456</v>
      </c>
      <c r="C2928" s="7" t="s">
        <v>1238</v>
      </c>
      <c r="D2928" s="7" t="n">
        <v>0</v>
      </c>
      <c r="E2928" s="7" t="n">
        <v>0</v>
      </c>
      <c r="F2928" s="7" t="n">
        <v>1</v>
      </c>
      <c r="G2928" s="7" t="n">
        <v>63.47</v>
      </c>
    </row>
    <row r="2929" customFormat="false" ht="15" hidden="false" customHeight="false" outlineLevel="0" collapsed="false">
      <c r="A2929" s="7" t="s">
        <v>24</v>
      </c>
      <c r="B2929" s="7" t="s">
        <v>255</v>
      </c>
      <c r="C2929" s="7" t="s">
        <v>1238</v>
      </c>
      <c r="D2929" s="7" t="n">
        <v>0</v>
      </c>
      <c r="E2929" s="7" t="n">
        <v>0</v>
      </c>
      <c r="F2929" s="7" t="n">
        <v>2</v>
      </c>
      <c r="G2929" s="7" t="n">
        <v>101.56</v>
      </c>
    </row>
    <row r="2930" customFormat="false" ht="15" hidden="false" customHeight="false" outlineLevel="0" collapsed="false">
      <c r="A2930" s="7" t="s">
        <v>24</v>
      </c>
      <c r="B2930" s="7" t="s">
        <v>255</v>
      </c>
      <c r="C2930" s="7" t="s">
        <v>1238</v>
      </c>
      <c r="D2930" s="7" t="n">
        <v>0</v>
      </c>
      <c r="E2930" s="7" t="n">
        <v>0</v>
      </c>
      <c r="F2930" s="7" t="n">
        <v>1</v>
      </c>
      <c r="G2930" s="7" t="n">
        <v>53.96</v>
      </c>
    </row>
    <row r="2931" customFormat="false" ht="15" hidden="false" customHeight="false" outlineLevel="0" collapsed="false">
      <c r="A2931" s="7" t="s">
        <v>24</v>
      </c>
      <c r="B2931" s="7" t="s">
        <v>255</v>
      </c>
      <c r="C2931" s="7" t="s">
        <v>1238</v>
      </c>
      <c r="D2931" s="7" t="n">
        <v>0</v>
      </c>
      <c r="E2931" s="7" t="n">
        <v>0</v>
      </c>
      <c r="F2931" s="7" t="n">
        <v>2</v>
      </c>
      <c r="G2931" s="7" t="n">
        <v>107.92</v>
      </c>
    </row>
    <row r="2932" customFormat="false" ht="15" hidden="false" customHeight="false" outlineLevel="0" collapsed="false">
      <c r="A2932" s="7" t="s">
        <v>24</v>
      </c>
      <c r="B2932" s="7" t="s">
        <v>255</v>
      </c>
      <c r="C2932" s="7" t="s">
        <v>1238</v>
      </c>
      <c r="D2932" s="7" t="n">
        <v>0</v>
      </c>
      <c r="E2932" s="7" t="n">
        <v>0</v>
      </c>
      <c r="F2932" s="7" t="n">
        <v>2</v>
      </c>
      <c r="G2932" s="7" t="n">
        <v>95.22</v>
      </c>
    </row>
    <row r="2933" customFormat="false" ht="15" hidden="false" customHeight="false" outlineLevel="0" collapsed="false">
      <c r="A2933" s="7" t="s">
        <v>24</v>
      </c>
      <c r="B2933" s="7" t="s">
        <v>255</v>
      </c>
      <c r="C2933" s="7" t="s">
        <v>1238</v>
      </c>
      <c r="D2933" s="7" t="n">
        <v>0</v>
      </c>
      <c r="E2933" s="7" t="n">
        <v>0</v>
      </c>
      <c r="F2933" s="7" t="n">
        <v>3</v>
      </c>
      <c r="G2933" s="7" t="n">
        <v>190.42</v>
      </c>
    </row>
    <row r="2934" customFormat="false" ht="15" hidden="false" customHeight="false" outlineLevel="0" collapsed="false">
      <c r="A2934" s="7" t="s">
        <v>24</v>
      </c>
      <c r="B2934" s="7" t="s">
        <v>255</v>
      </c>
      <c r="C2934" s="7" t="s">
        <v>1238</v>
      </c>
      <c r="D2934" s="7" t="n">
        <v>0</v>
      </c>
      <c r="E2934" s="7" t="n">
        <v>0</v>
      </c>
      <c r="F2934" s="7" t="n">
        <v>9</v>
      </c>
      <c r="G2934" s="7" t="n">
        <v>491.89</v>
      </c>
    </row>
    <row r="2935" customFormat="false" ht="15" hidden="false" customHeight="false" outlineLevel="0" collapsed="false">
      <c r="A2935" s="7" t="s">
        <v>24</v>
      </c>
      <c r="B2935" s="7" t="s">
        <v>255</v>
      </c>
      <c r="C2935" s="7" t="s">
        <v>1238</v>
      </c>
      <c r="D2935" s="7" t="n">
        <v>0</v>
      </c>
      <c r="E2935" s="7" t="n">
        <v>0</v>
      </c>
      <c r="F2935" s="7" t="n">
        <v>1</v>
      </c>
      <c r="G2935" s="7" t="n">
        <v>47.61</v>
      </c>
    </row>
    <row r="2936" customFormat="false" ht="15" hidden="false" customHeight="false" outlineLevel="0" collapsed="false">
      <c r="A2936" s="7" t="s">
        <v>24</v>
      </c>
      <c r="B2936" s="7" t="s">
        <v>255</v>
      </c>
      <c r="C2936" s="7" t="s">
        <v>1238</v>
      </c>
      <c r="D2936" s="7" t="n">
        <v>0</v>
      </c>
      <c r="E2936" s="7" t="n">
        <v>0</v>
      </c>
      <c r="F2936" s="7" t="n">
        <v>1</v>
      </c>
      <c r="G2936" s="7" t="n">
        <v>63.47</v>
      </c>
    </row>
    <row r="2937" customFormat="false" ht="15" hidden="false" customHeight="false" outlineLevel="0" collapsed="false">
      <c r="A2937" s="7" t="s">
        <v>24</v>
      </c>
      <c r="B2937" s="7" t="s">
        <v>255</v>
      </c>
      <c r="C2937" s="7" t="s">
        <v>1238</v>
      </c>
      <c r="D2937" s="7" t="n">
        <v>0</v>
      </c>
      <c r="E2937" s="7" t="n">
        <v>0</v>
      </c>
      <c r="F2937" s="7" t="n">
        <v>1</v>
      </c>
      <c r="G2937" s="7" t="n">
        <v>53.96</v>
      </c>
    </row>
    <row r="2938" customFormat="false" ht="15" hidden="false" customHeight="false" outlineLevel="0" collapsed="false">
      <c r="A2938" s="7" t="s">
        <v>24</v>
      </c>
      <c r="B2938" s="7" t="s">
        <v>141</v>
      </c>
      <c r="C2938" s="7" t="s">
        <v>1238</v>
      </c>
      <c r="D2938" s="7" t="n">
        <v>0</v>
      </c>
      <c r="E2938" s="7" t="n">
        <v>0</v>
      </c>
      <c r="F2938" s="7" t="n">
        <v>1</v>
      </c>
      <c r="G2938" s="7" t="n">
        <v>63.47</v>
      </c>
    </row>
    <row r="2939" customFormat="false" ht="15" hidden="false" customHeight="false" outlineLevel="0" collapsed="false">
      <c r="A2939" s="7" t="s">
        <v>24</v>
      </c>
      <c r="B2939" s="7" t="s">
        <v>141</v>
      </c>
      <c r="C2939" s="7" t="s">
        <v>1238</v>
      </c>
      <c r="D2939" s="7" t="n">
        <v>0</v>
      </c>
      <c r="E2939" s="7" t="n">
        <v>0</v>
      </c>
      <c r="F2939" s="7" t="n">
        <v>1</v>
      </c>
      <c r="G2939" s="7" t="n">
        <v>57.13</v>
      </c>
    </row>
    <row r="2940" customFormat="false" ht="15" hidden="false" customHeight="false" outlineLevel="0" collapsed="false">
      <c r="A2940" s="7" t="s">
        <v>24</v>
      </c>
      <c r="B2940" s="7" t="s">
        <v>141</v>
      </c>
      <c r="C2940" s="7" t="s">
        <v>1238</v>
      </c>
      <c r="D2940" s="7" t="n">
        <v>0</v>
      </c>
      <c r="E2940" s="7" t="n">
        <v>0</v>
      </c>
      <c r="F2940" s="7" t="n">
        <v>8</v>
      </c>
      <c r="G2940" s="7" t="n">
        <v>380.88</v>
      </c>
    </row>
    <row r="2941" customFormat="false" ht="15" hidden="false" customHeight="false" outlineLevel="0" collapsed="false">
      <c r="A2941" s="7" t="s">
        <v>24</v>
      </c>
      <c r="B2941" s="7" t="s">
        <v>141</v>
      </c>
      <c r="C2941" s="7" t="s">
        <v>1238</v>
      </c>
      <c r="D2941" s="7" t="n">
        <v>0</v>
      </c>
      <c r="E2941" s="7" t="n">
        <v>0</v>
      </c>
      <c r="F2941" s="7" t="n">
        <v>2</v>
      </c>
      <c r="G2941" s="7" t="n">
        <v>107.92</v>
      </c>
    </row>
    <row r="2942" customFormat="false" ht="15" hidden="false" customHeight="false" outlineLevel="0" collapsed="false">
      <c r="A2942" s="7" t="s">
        <v>24</v>
      </c>
      <c r="B2942" s="7" t="s">
        <v>141</v>
      </c>
      <c r="C2942" s="7" t="s">
        <v>1238</v>
      </c>
      <c r="D2942" s="7" t="n">
        <v>0</v>
      </c>
      <c r="E2942" s="7" t="n">
        <v>0</v>
      </c>
      <c r="F2942" s="7" t="n">
        <v>1</v>
      </c>
      <c r="G2942" s="7" t="n">
        <v>53.96</v>
      </c>
    </row>
    <row r="2943" customFormat="false" ht="15" hidden="false" customHeight="false" outlineLevel="0" collapsed="false">
      <c r="A2943" s="7" t="s">
        <v>24</v>
      </c>
      <c r="B2943" s="7" t="s">
        <v>141</v>
      </c>
      <c r="C2943" s="7" t="s">
        <v>1238</v>
      </c>
      <c r="D2943" s="7" t="n">
        <v>0</v>
      </c>
      <c r="E2943" s="7" t="n">
        <v>0</v>
      </c>
      <c r="F2943" s="7" t="n">
        <v>1</v>
      </c>
      <c r="G2943" s="7" t="n">
        <v>63.47</v>
      </c>
    </row>
    <row r="2944" customFormat="false" ht="15" hidden="false" customHeight="false" outlineLevel="0" collapsed="false">
      <c r="A2944" s="7" t="s">
        <v>24</v>
      </c>
      <c r="B2944" s="7" t="s">
        <v>141</v>
      </c>
      <c r="C2944" s="7" t="s">
        <v>1238</v>
      </c>
      <c r="D2944" s="7" t="n">
        <v>0</v>
      </c>
      <c r="E2944" s="7" t="n">
        <v>0</v>
      </c>
      <c r="F2944" s="7" t="n">
        <v>34</v>
      </c>
      <c r="G2944" s="7" t="n">
        <v>1727.41</v>
      </c>
    </row>
    <row r="2945" customFormat="false" ht="15" hidden="false" customHeight="false" outlineLevel="0" collapsed="false">
      <c r="A2945" s="7" t="s">
        <v>24</v>
      </c>
      <c r="B2945" s="7" t="s">
        <v>141</v>
      </c>
      <c r="C2945" s="7" t="s">
        <v>1238</v>
      </c>
      <c r="D2945" s="7" t="n">
        <v>0</v>
      </c>
      <c r="E2945" s="7" t="n">
        <v>0</v>
      </c>
      <c r="F2945" s="7" t="n">
        <v>1</v>
      </c>
      <c r="G2945" s="7" t="n">
        <v>47.61</v>
      </c>
    </row>
    <row r="2946" customFormat="false" ht="15" hidden="false" customHeight="false" outlineLevel="0" collapsed="false">
      <c r="A2946" s="7" t="s">
        <v>24</v>
      </c>
      <c r="B2946" s="7" t="s">
        <v>141</v>
      </c>
      <c r="C2946" s="7" t="s">
        <v>1238</v>
      </c>
      <c r="D2946" s="7" t="n">
        <v>0</v>
      </c>
      <c r="E2946" s="7" t="n">
        <v>0</v>
      </c>
      <c r="F2946" s="7" t="n">
        <v>5</v>
      </c>
      <c r="G2946" s="7" t="n">
        <v>317.37</v>
      </c>
    </row>
    <row r="2947" customFormat="false" ht="15" hidden="false" customHeight="false" outlineLevel="0" collapsed="false">
      <c r="A2947" s="7" t="s">
        <v>24</v>
      </c>
      <c r="B2947" s="7" t="s">
        <v>141</v>
      </c>
      <c r="C2947" s="7" t="s">
        <v>1238</v>
      </c>
      <c r="D2947" s="7" t="n">
        <v>0</v>
      </c>
      <c r="E2947" s="7" t="n">
        <v>0</v>
      </c>
      <c r="F2947" s="7" t="n">
        <v>4</v>
      </c>
      <c r="G2947" s="7" t="n">
        <v>190.44</v>
      </c>
    </row>
    <row r="2948" customFormat="false" ht="15" hidden="false" customHeight="false" outlineLevel="0" collapsed="false">
      <c r="A2948" s="7" t="s">
        <v>24</v>
      </c>
      <c r="B2948" s="7" t="s">
        <v>141</v>
      </c>
      <c r="C2948" s="7" t="s">
        <v>1238</v>
      </c>
      <c r="D2948" s="7" t="n">
        <v>0</v>
      </c>
      <c r="E2948" s="7" t="n">
        <v>0</v>
      </c>
      <c r="F2948" s="7" t="n">
        <v>1</v>
      </c>
      <c r="G2948" s="7" t="n">
        <v>47.61</v>
      </c>
    </row>
    <row r="2949" customFormat="false" ht="15" hidden="false" customHeight="false" outlineLevel="0" collapsed="false">
      <c r="A2949" s="7" t="s">
        <v>24</v>
      </c>
      <c r="B2949" s="7" t="s">
        <v>141</v>
      </c>
      <c r="C2949" s="7" t="s">
        <v>1238</v>
      </c>
      <c r="D2949" s="7" t="n">
        <v>0</v>
      </c>
      <c r="E2949" s="7" t="n">
        <v>0</v>
      </c>
      <c r="F2949" s="7" t="n">
        <v>12</v>
      </c>
      <c r="G2949" s="7" t="n">
        <v>571.32</v>
      </c>
    </row>
    <row r="2950" customFormat="false" ht="15" hidden="false" customHeight="false" outlineLevel="0" collapsed="false">
      <c r="A2950" s="7" t="s">
        <v>24</v>
      </c>
      <c r="B2950" s="7" t="s">
        <v>141</v>
      </c>
      <c r="C2950" s="7" t="s">
        <v>1238</v>
      </c>
      <c r="D2950" s="7" t="n">
        <v>0</v>
      </c>
      <c r="E2950" s="7" t="n">
        <v>0</v>
      </c>
      <c r="F2950" s="7" t="n">
        <v>1</v>
      </c>
      <c r="G2950" s="7" t="n">
        <v>53.96</v>
      </c>
    </row>
    <row r="2951" customFormat="false" ht="15" hidden="false" customHeight="false" outlineLevel="0" collapsed="false">
      <c r="A2951" s="7" t="s">
        <v>24</v>
      </c>
      <c r="B2951" s="7" t="s">
        <v>141</v>
      </c>
      <c r="C2951" s="7" t="s">
        <v>1238</v>
      </c>
      <c r="D2951" s="7" t="n">
        <v>0</v>
      </c>
      <c r="E2951" s="7" t="n">
        <v>0</v>
      </c>
      <c r="F2951" s="7" t="n">
        <v>1</v>
      </c>
      <c r="G2951" s="7" t="n">
        <v>63.48</v>
      </c>
    </row>
    <row r="2952" customFormat="false" ht="15" hidden="false" customHeight="false" outlineLevel="0" collapsed="false">
      <c r="A2952" s="7" t="s">
        <v>24</v>
      </c>
      <c r="B2952" s="7" t="s">
        <v>141</v>
      </c>
      <c r="C2952" s="7" t="s">
        <v>1238</v>
      </c>
      <c r="D2952" s="7" t="n">
        <v>0</v>
      </c>
      <c r="E2952" s="7" t="n">
        <v>0</v>
      </c>
      <c r="F2952" s="7" t="n">
        <v>1</v>
      </c>
      <c r="G2952" s="7" t="n">
        <v>47.61</v>
      </c>
    </row>
    <row r="2953" customFormat="false" ht="15" hidden="false" customHeight="false" outlineLevel="0" collapsed="false">
      <c r="A2953" s="7" t="s">
        <v>24</v>
      </c>
      <c r="B2953" s="7" t="s">
        <v>141</v>
      </c>
      <c r="C2953" s="7" t="s">
        <v>1238</v>
      </c>
      <c r="D2953" s="7" t="n">
        <v>0</v>
      </c>
      <c r="E2953" s="7" t="n">
        <v>0</v>
      </c>
      <c r="F2953" s="7" t="n">
        <v>1</v>
      </c>
      <c r="G2953" s="7" t="n">
        <v>50.78</v>
      </c>
    </row>
    <row r="2954" customFormat="false" ht="15" hidden="false" customHeight="false" outlineLevel="0" collapsed="false">
      <c r="A2954" s="7" t="s">
        <v>24</v>
      </c>
      <c r="B2954" s="7" t="s">
        <v>583</v>
      </c>
      <c r="C2954" s="7" t="s">
        <v>1239</v>
      </c>
      <c r="D2954" s="7" t="n">
        <v>0</v>
      </c>
      <c r="E2954" s="7" t="n">
        <v>0</v>
      </c>
      <c r="F2954" s="7" t="n">
        <v>4</v>
      </c>
      <c r="G2954" s="7" t="n">
        <v>218.97</v>
      </c>
    </row>
    <row r="2955" customFormat="false" ht="15" hidden="false" customHeight="false" outlineLevel="0" collapsed="false">
      <c r="A2955" s="7" t="s">
        <v>24</v>
      </c>
      <c r="B2955" s="7" t="s">
        <v>738</v>
      </c>
      <c r="C2955" s="7" t="s">
        <v>1239</v>
      </c>
      <c r="D2955" s="7" t="n">
        <v>0</v>
      </c>
      <c r="E2955" s="7" t="n">
        <v>0</v>
      </c>
      <c r="F2955" s="7" t="n">
        <v>1</v>
      </c>
      <c r="G2955" s="7" t="n">
        <v>63.47</v>
      </c>
    </row>
    <row r="2956" customFormat="false" ht="15" hidden="false" customHeight="false" outlineLevel="0" collapsed="false">
      <c r="A2956" s="7" t="s">
        <v>24</v>
      </c>
      <c r="B2956" s="7" t="s">
        <v>254</v>
      </c>
      <c r="C2956" s="7" t="s">
        <v>1239</v>
      </c>
      <c r="D2956" s="7" t="n">
        <v>0</v>
      </c>
      <c r="E2956" s="7" t="n">
        <v>0</v>
      </c>
      <c r="F2956" s="7" t="n">
        <v>2</v>
      </c>
      <c r="G2956" s="7" t="n">
        <v>95.22</v>
      </c>
    </row>
    <row r="2957" customFormat="false" ht="15" hidden="false" customHeight="false" outlineLevel="0" collapsed="false">
      <c r="A2957" s="7" t="s">
        <v>24</v>
      </c>
      <c r="B2957" s="7" t="s">
        <v>254</v>
      </c>
      <c r="C2957" s="7" t="s">
        <v>1239</v>
      </c>
      <c r="D2957" s="7" t="n">
        <v>0</v>
      </c>
      <c r="E2957" s="7" t="n">
        <v>0</v>
      </c>
      <c r="F2957" s="7" t="n">
        <v>1</v>
      </c>
      <c r="G2957" s="7" t="n">
        <v>53.96</v>
      </c>
    </row>
    <row r="2958" customFormat="false" ht="15" hidden="false" customHeight="false" outlineLevel="0" collapsed="false">
      <c r="A2958" s="7" t="s">
        <v>24</v>
      </c>
      <c r="B2958" s="7" t="s">
        <v>254</v>
      </c>
      <c r="C2958" s="7" t="s">
        <v>1239</v>
      </c>
      <c r="D2958" s="7" t="n">
        <v>0</v>
      </c>
      <c r="E2958" s="7" t="n">
        <v>0</v>
      </c>
      <c r="F2958" s="7" t="n">
        <v>1</v>
      </c>
      <c r="G2958" s="7" t="n">
        <v>63.47</v>
      </c>
    </row>
    <row r="2959" customFormat="false" ht="15" hidden="false" customHeight="false" outlineLevel="0" collapsed="false">
      <c r="A2959" s="7" t="s">
        <v>24</v>
      </c>
      <c r="B2959" s="7" t="s">
        <v>254</v>
      </c>
      <c r="C2959" s="7" t="s">
        <v>1239</v>
      </c>
      <c r="D2959" s="7" t="n">
        <v>0</v>
      </c>
      <c r="E2959" s="7" t="n">
        <v>0</v>
      </c>
      <c r="F2959" s="7" t="n">
        <v>1</v>
      </c>
      <c r="G2959" s="7" t="n">
        <v>50.78</v>
      </c>
    </row>
    <row r="2960" customFormat="false" ht="15" hidden="false" customHeight="false" outlineLevel="0" collapsed="false">
      <c r="A2960" s="7" t="s">
        <v>24</v>
      </c>
      <c r="B2960" s="7" t="s">
        <v>254</v>
      </c>
      <c r="C2960" s="7" t="s">
        <v>1239</v>
      </c>
      <c r="D2960" s="7" t="n">
        <v>0</v>
      </c>
      <c r="E2960" s="7" t="n">
        <v>0</v>
      </c>
      <c r="F2960" s="7" t="n">
        <v>1</v>
      </c>
      <c r="G2960" s="7" t="n">
        <v>50.78</v>
      </c>
    </row>
    <row r="2961" customFormat="false" ht="15" hidden="false" customHeight="false" outlineLevel="0" collapsed="false">
      <c r="A2961" s="7" t="s">
        <v>24</v>
      </c>
      <c r="B2961" s="7" t="s">
        <v>254</v>
      </c>
      <c r="C2961" s="7" t="s">
        <v>1239</v>
      </c>
      <c r="D2961" s="7" t="n">
        <v>0</v>
      </c>
      <c r="E2961" s="7" t="n">
        <v>0</v>
      </c>
      <c r="F2961" s="7" t="n">
        <v>1</v>
      </c>
      <c r="G2961" s="7" t="n">
        <v>53.96</v>
      </c>
    </row>
    <row r="2962" customFormat="false" ht="15" hidden="false" customHeight="false" outlineLevel="0" collapsed="false">
      <c r="A2962" s="7" t="s">
        <v>24</v>
      </c>
      <c r="B2962" s="7" t="s">
        <v>254</v>
      </c>
      <c r="C2962" s="7" t="s">
        <v>1239</v>
      </c>
      <c r="D2962" s="7" t="n">
        <v>0</v>
      </c>
      <c r="E2962" s="7" t="n">
        <v>0</v>
      </c>
      <c r="F2962" s="7" t="n">
        <v>1</v>
      </c>
      <c r="G2962" s="7" t="n">
        <v>53.96</v>
      </c>
    </row>
    <row r="2963" customFormat="false" ht="15" hidden="false" customHeight="false" outlineLevel="0" collapsed="false">
      <c r="A2963" s="7" t="s">
        <v>24</v>
      </c>
      <c r="B2963" s="7" t="s">
        <v>254</v>
      </c>
      <c r="C2963" s="7" t="s">
        <v>1239</v>
      </c>
      <c r="D2963" s="7" t="n">
        <v>0</v>
      </c>
      <c r="E2963" s="7" t="n">
        <v>0</v>
      </c>
      <c r="F2963" s="7" t="n">
        <v>1</v>
      </c>
      <c r="G2963" s="7" t="n">
        <v>57.13</v>
      </c>
    </row>
    <row r="2964" customFormat="false" ht="15" hidden="false" customHeight="false" outlineLevel="0" collapsed="false">
      <c r="A2964" s="7" t="s">
        <v>24</v>
      </c>
      <c r="B2964" s="7" t="s">
        <v>254</v>
      </c>
      <c r="C2964" s="7" t="s">
        <v>1239</v>
      </c>
      <c r="D2964" s="7" t="n">
        <v>0</v>
      </c>
      <c r="E2964" s="7" t="n">
        <v>0</v>
      </c>
      <c r="F2964" s="7" t="n">
        <v>2</v>
      </c>
      <c r="G2964" s="7" t="n">
        <v>107.92</v>
      </c>
    </row>
    <row r="2965" customFormat="false" ht="15" hidden="false" customHeight="false" outlineLevel="0" collapsed="false">
      <c r="A2965" s="7" t="s">
        <v>24</v>
      </c>
      <c r="B2965" s="7" t="s">
        <v>254</v>
      </c>
      <c r="C2965" s="7" t="s">
        <v>1239</v>
      </c>
      <c r="D2965" s="7" t="n">
        <v>0</v>
      </c>
      <c r="E2965" s="7" t="n">
        <v>0</v>
      </c>
      <c r="F2965" s="7" t="n">
        <v>12</v>
      </c>
      <c r="G2965" s="7" t="n">
        <v>628.35</v>
      </c>
    </row>
    <row r="2966" customFormat="false" ht="15" hidden="false" customHeight="false" outlineLevel="0" collapsed="false">
      <c r="A2966" s="7" t="s">
        <v>24</v>
      </c>
      <c r="B2966" s="7" t="s">
        <v>509</v>
      </c>
      <c r="C2966" s="7" t="s">
        <v>1102</v>
      </c>
      <c r="D2966" s="7" t="n">
        <v>8</v>
      </c>
      <c r="E2966" s="7" t="n">
        <v>383.24</v>
      </c>
      <c r="F2966" s="7" t="n">
        <v>4</v>
      </c>
      <c r="G2966" s="7" t="n">
        <v>164.97</v>
      </c>
    </row>
    <row r="2967" customFormat="false" ht="15" hidden="false" customHeight="false" outlineLevel="0" collapsed="false">
      <c r="A2967" s="7" t="s">
        <v>24</v>
      </c>
      <c r="B2967" s="7" t="s">
        <v>509</v>
      </c>
      <c r="C2967" s="7" t="s">
        <v>1102</v>
      </c>
      <c r="D2967" s="7" t="n">
        <v>2</v>
      </c>
      <c r="E2967" s="7" t="n">
        <v>94.74</v>
      </c>
      <c r="F2967" s="7" t="n">
        <v>0</v>
      </c>
      <c r="G2967" s="7" t="n">
        <v>0</v>
      </c>
    </row>
    <row r="2968" customFormat="false" ht="15" hidden="false" customHeight="false" outlineLevel="0" collapsed="false">
      <c r="A2968" s="7" t="s">
        <v>24</v>
      </c>
      <c r="B2968" s="7" t="s">
        <v>188</v>
      </c>
      <c r="C2968" s="7" t="s">
        <v>1102</v>
      </c>
      <c r="D2968" s="7" t="n">
        <v>32</v>
      </c>
      <c r="E2968" s="7" t="n">
        <v>1309.61</v>
      </c>
      <c r="F2968" s="7" t="n">
        <v>0</v>
      </c>
      <c r="G2968" s="7" t="n">
        <v>0</v>
      </c>
    </row>
    <row r="2969" customFormat="false" ht="15" hidden="false" customHeight="false" outlineLevel="0" collapsed="false">
      <c r="A2969" s="7" t="s">
        <v>24</v>
      </c>
      <c r="B2969" s="7" t="s">
        <v>188</v>
      </c>
      <c r="C2969" s="7" t="s">
        <v>1102</v>
      </c>
      <c r="D2969" s="7" t="n">
        <v>18</v>
      </c>
      <c r="E2969" s="7" t="n">
        <v>658.44</v>
      </c>
      <c r="F2969" s="7" t="n">
        <v>0</v>
      </c>
      <c r="G2969" s="7" t="n">
        <v>0</v>
      </c>
    </row>
    <row r="2970" customFormat="false" ht="15" hidden="false" customHeight="false" outlineLevel="0" collapsed="false">
      <c r="A2970" s="7" t="s">
        <v>24</v>
      </c>
      <c r="B2970" s="7" t="s">
        <v>124</v>
      </c>
      <c r="C2970" s="7" t="s">
        <v>1102</v>
      </c>
      <c r="D2970" s="7" t="n">
        <v>168</v>
      </c>
      <c r="E2970" s="7" t="n">
        <v>6845</v>
      </c>
      <c r="F2970" s="7" t="n">
        <v>11</v>
      </c>
      <c r="G2970" s="7" t="n">
        <v>446.7</v>
      </c>
    </row>
    <row r="2971" customFormat="false" ht="15" hidden="false" customHeight="false" outlineLevel="0" collapsed="false">
      <c r="A2971" s="7" t="s">
        <v>24</v>
      </c>
      <c r="B2971" s="7" t="s">
        <v>124</v>
      </c>
      <c r="C2971" s="7" t="s">
        <v>1102</v>
      </c>
      <c r="D2971" s="7" t="n">
        <v>0</v>
      </c>
      <c r="E2971" s="7" t="n">
        <v>0</v>
      </c>
      <c r="F2971" s="7" t="n">
        <v>10</v>
      </c>
      <c r="G2971" s="7" t="n">
        <v>381</v>
      </c>
    </row>
    <row r="2972" customFormat="false" ht="15" hidden="false" customHeight="false" outlineLevel="0" collapsed="false">
      <c r="A2972" s="7" t="s">
        <v>24</v>
      </c>
      <c r="B2972" s="7" t="s">
        <v>124</v>
      </c>
      <c r="C2972" s="7" t="s">
        <v>1102</v>
      </c>
      <c r="D2972" s="7" t="n">
        <v>46</v>
      </c>
      <c r="E2972" s="7" t="n">
        <v>1660.31</v>
      </c>
      <c r="F2972" s="7" t="n">
        <v>0</v>
      </c>
      <c r="G2972" s="7" t="n">
        <v>0</v>
      </c>
    </row>
    <row r="2973" customFormat="false" ht="15" hidden="false" customHeight="false" outlineLevel="0" collapsed="false">
      <c r="A2973" s="7" t="s">
        <v>24</v>
      </c>
      <c r="B2973" s="7" t="s">
        <v>293</v>
      </c>
      <c r="C2973" s="7" t="s">
        <v>1240</v>
      </c>
      <c r="D2973" s="7" t="n">
        <v>3</v>
      </c>
      <c r="E2973" s="7" t="n">
        <v>116.05</v>
      </c>
      <c r="F2973" s="7" t="n">
        <v>0</v>
      </c>
      <c r="G2973" s="7" t="n">
        <v>0</v>
      </c>
    </row>
    <row r="2974" customFormat="false" ht="15" hidden="false" customHeight="false" outlineLevel="0" collapsed="false">
      <c r="A2974" s="7" t="s">
        <v>24</v>
      </c>
      <c r="B2974" s="7" t="s">
        <v>293</v>
      </c>
      <c r="C2974" s="7" t="s">
        <v>1240</v>
      </c>
      <c r="D2974" s="7" t="n">
        <v>22</v>
      </c>
      <c r="E2974" s="7" t="n">
        <v>901</v>
      </c>
      <c r="F2974" s="7" t="n">
        <v>2</v>
      </c>
      <c r="G2974" s="7" t="n">
        <v>76.14</v>
      </c>
    </row>
    <row r="2975" customFormat="false" ht="15" hidden="false" customHeight="false" outlineLevel="0" collapsed="false">
      <c r="A2975" s="7" t="s">
        <v>24</v>
      </c>
      <c r="B2975" s="7" t="s">
        <v>315</v>
      </c>
      <c r="C2975" s="7" t="s">
        <v>1240</v>
      </c>
      <c r="D2975" s="7" t="n">
        <v>30</v>
      </c>
      <c r="E2975" s="7" t="n">
        <v>1251.26</v>
      </c>
      <c r="F2975" s="7" t="n">
        <v>17</v>
      </c>
      <c r="G2975" s="7" t="n">
        <v>713.2</v>
      </c>
    </row>
    <row r="2976" customFormat="false" ht="15" hidden="false" customHeight="false" outlineLevel="0" collapsed="false">
      <c r="A2976" s="7" t="s">
        <v>24</v>
      </c>
      <c r="B2976" s="7" t="s">
        <v>315</v>
      </c>
      <c r="C2976" s="7" t="s">
        <v>1240</v>
      </c>
      <c r="D2976" s="7" t="n">
        <v>2</v>
      </c>
      <c r="E2976" s="7" t="n">
        <v>82.88</v>
      </c>
      <c r="F2976" s="7" t="n">
        <v>0</v>
      </c>
      <c r="G2976" s="7" t="n">
        <v>0</v>
      </c>
    </row>
    <row r="2977" customFormat="false" ht="15" hidden="false" customHeight="false" outlineLevel="0" collapsed="false">
      <c r="A2977" s="7" t="s">
        <v>24</v>
      </c>
      <c r="B2977" s="7" t="s">
        <v>315</v>
      </c>
      <c r="C2977" s="7" t="s">
        <v>1240</v>
      </c>
      <c r="D2977" s="7" t="n">
        <v>5</v>
      </c>
      <c r="E2977" s="7" t="n">
        <v>208.42</v>
      </c>
      <c r="F2977" s="7" t="n">
        <v>0</v>
      </c>
      <c r="G2977" s="7" t="n">
        <v>0</v>
      </c>
    </row>
    <row r="2978" customFormat="false" ht="15" hidden="false" customHeight="false" outlineLevel="0" collapsed="false">
      <c r="A2978" s="7" t="s">
        <v>24</v>
      </c>
      <c r="B2978" s="7" t="s">
        <v>355</v>
      </c>
      <c r="C2978" s="7" t="s">
        <v>1240</v>
      </c>
      <c r="D2978" s="7" t="n">
        <v>18</v>
      </c>
      <c r="E2978" s="7" t="n">
        <v>665.54</v>
      </c>
      <c r="F2978" s="7" t="n">
        <v>0</v>
      </c>
      <c r="G2978" s="7" t="n">
        <v>0</v>
      </c>
    </row>
    <row r="2979" customFormat="false" ht="15" hidden="false" customHeight="false" outlineLevel="0" collapsed="false">
      <c r="A2979" s="7" t="s">
        <v>24</v>
      </c>
      <c r="B2979" s="7" t="s">
        <v>355</v>
      </c>
      <c r="C2979" s="7" t="s">
        <v>1240</v>
      </c>
      <c r="D2979" s="7" t="n">
        <v>5</v>
      </c>
      <c r="E2979" s="7" t="n">
        <v>228.42</v>
      </c>
      <c r="F2979" s="7" t="n">
        <v>5</v>
      </c>
      <c r="G2979" s="7" t="n">
        <v>253.8</v>
      </c>
    </row>
    <row r="2980" customFormat="false" ht="15" hidden="false" customHeight="false" outlineLevel="0" collapsed="false">
      <c r="A2980" s="7" t="s">
        <v>24</v>
      </c>
      <c r="B2980" s="7" t="s">
        <v>525</v>
      </c>
      <c r="C2980" s="7" t="s">
        <v>1103</v>
      </c>
      <c r="D2980" s="7" t="n">
        <v>5</v>
      </c>
      <c r="E2980" s="7" t="n">
        <v>190.35</v>
      </c>
      <c r="F2980" s="7" t="n">
        <v>0</v>
      </c>
      <c r="G2980" s="7" t="n">
        <v>0</v>
      </c>
    </row>
    <row r="2981" customFormat="false" ht="15" hidden="false" customHeight="false" outlineLevel="0" collapsed="false">
      <c r="A2981" s="7" t="s">
        <v>24</v>
      </c>
      <c r="B2981" s="7" t="s">
        <v>525</v>
      </c>
      <c r="C2981" s="7" t="s">
        <v>1103</v>
      </c>
      <c r="D2981" s="7" t="n">
        <v>3</v>
      </c>
      <c r="E2981" s="7" t="n">
        <v>111.32</v>
      </c>
      <c r="F2981" s="7" t="n">
        <v>0</v>
      </c>
      <c r="G2981" s="7" t="n">
        <v>0</v>
      </c>
    </row>
    <row r="2982" customFormat="false" ht="15" hidden="false" customHeight="false" outlineLevel="0" collapsed="false">
      <c r="A2982" s="7" t="s">
        <v>24</v>
      </c>
      <c r="B2982" s="7" t="s">
        <v>178</v>
      </c>
      <c r="C2982" s="7" t="s">
        <v>1103</v>
      </c>
      <c r="D2982" s="7" t="n">
        <v>60</v>
      </c>
      <c r="E2982" s="7" t="n">
        <v>2439.04</v>
      </c>
      <c r="F2982" s="7" t="n">
        <v>11</v>
      </c>
      <c r="G2982" s="7" t="n">
        <v>525.39</v>
      </c>
    </row>
    <row r="2983" customFormat="false" ht="15" hidden="false" customHeight="false" outlineLevel="0" collapsed="false">
      <c r="A2983" s="7" t="s">
        <v>24</v>
      </c>
      <c r="B2983" s="7" t="s">
        <v>178</v>
      </c>
      <c r="C2983" s="7" t="s">
        <v>1103</v>
      </c>
      <c r="D2983" s="7" t="n">
        <v>10</v>
      </c>
      <c r="E2983" s="7" t="n">
        <v>357.65</v>
      </c>
      <c r="F2983" s="7" t="n">
        <v>0</v>
      </c>
      <c r="G2983" s="7" t="n">
        <v>0</v>
      </c>
    </row>
    <row r="2984" customFormat="false" ht="15" hidden="false" customHeight="false" outlineLevel="0" collapsed="false">
      <c r="A2984" s="7" t="s">
        <v>24</v>
      </c>
      <c r="B2984" s="7" t="s">
        <v>166</v>
      </c>
      <c r="C2984" s="7" t="s">
        <v>1103</v>
      </c>
      <c r="D2984" s="7" t="n">
        <v>97</v>
      </c>
      <c r="E2984" s="7" t="n">
        <v>3961.84</v>
      </c>
      <c r="F2984" s="7" t="n">
        <v>41</v>
      </c>
      <c r="G2984" s="7" t="n">
        <v>1642.18</v>
      </c>
    </row>
    <row r="2985" customFormat="false" ht="15" hidden="false" customHeight="false" outlineLevel="0" collapsed="false">
      <c r="A2985" s="7" t="s">
        <v>24</v>
      </c>
      <c r="B2985" s="7" t="s">
        <v>166</v>
      </c>
      <c r="C2985" s="7" t="s">
        <v>1103</v>
      </c>
      <c r="D2985" s="7" t="n">
        <v>9</v>
      </c>
      <c r="E2985" s="7" t="n">
        <v>326.85</v>
      </c>
      <c r="F2985" s="7" t="n">
        <v>0</v>
      </c>
      <c r="G2985" s="7" t="n">
        <v>0</v>
      </c>
    </row>
    <row r="2986" customFormat="false" ht="15" hidden="false" customHeight="false" outlineLevel="0" collapsed="false">
      <c r="A2986" s="7" t="s">
        <v>24</v>
      </c>
      <c r="B2986" s="7" t="s">
        <v>299</v>
      </c>
      <c r="C2986" s="7" t="s">
        <v>1104</v>
      </c>
      <c r="D2986" s="7" t="n">
        <v>0</v>
      </c>
      <c r="E2986" s="7" t="n">
        <v>0</v>
      </c>
      <c r="F2986" s="7" t="n">
        <v>1</v>
      </c>
      <c r="G2986" s="7" t="n">
        <v>46.76</v>
      </c>
    </row>
    <row r="2987" customFormat="false" ht="15" hidden="false" customHeight="false" outlineLevel="0" collapsed="false">
      <c r="A2987" s="7" t="s">
        <v>24</v>
      </c>
      <c r="B2987" s="7" t="s">
        <v>299</v>
      </c>
      <c r="C2987" s="7" t="s">
        <v>1104</v>
      </c>
      <c r="D2987" s="7" t="n">
        <v>0</v>
      </c>
      <c r="E2987" s="7" t="n">
        <v>0</v>
      </c>
      <c r="F2987" s="7" t="n">
        <v>1</v>
      </c>
      <c r="G2987" s="7" t="n">
        <v>46.75</v>
      </c>
    </row>
    <row r="2988" customFormat="false" ht="15" hidden="false" customHeight="false" outlineLevel="0" collapsed="false">
      <c r="A2988" s="7" t="s">
        <v>24</v>
      </c>
      <c r="B2988" s="7" t="s">
        <v>299</v>
      </c>
      <c r="C2988" s="7" t="s">
        <v>1104</v>
      </c>
      <c r="D2988" s="7" t="n">
        <v>0</v>
      </c>
      <c r="E2988" s="7" t="n">
        <v>0</v>
      </c>
      <c r="F2988" s="7" t="n">
        <v>1</v>
      </c>
      <c r="G2988" s="7" t="n">
        <v>41.25</v>
      </c>
    </row>
    <row r="2989" customFormat="false" ht="15" hidden="false" customHeight="false" outlineLevel="0" collapsed="false">
      <c r="A2989" s="7" t="s">
        <v>24</v>
      </c>
      <c r="B2989" s="7" t="s">
        <v>299</v>
      </c>
      <c r="C2989" s="7" t="s">
        <v>1104</v>
      </c>
      <c r="D2989" s="7" t="n">
        <v>0</v>
      </c>
      <c r="E2989" s="7" t="n">
        <v>0</v>
      </c>
      <c r="F2989" s="7" t="n">
        <v>2</v>
      </c>
      <c r="G2989" s="7" t="n">
        <v>93.51</v>
      </c>
    </row>
    <row r="2990" customFormat="false" ht="15" hidden="false" customHeight="false" outlineLevel="0" collapsed="false">
      <c r="A2990" s="7" t="s">
        <v>24</v>
      </c>
      <c r="B2990" s="7" t="s">
        <v>299</v>
      </c>
      <c r="C2990" s="7" t="s">
        <v>1104</v>
      </c>
      <c r="D2990" s="7" t="n">
        <v>0</v>
      </c>
      <c r="E2990" s="7" t="n">
        <v>0</v>
      </c>
      <c r="F2990" s="7" t="n">
        <v>1</v>
      </c>
      <c r="G2990" s="7" t="n">
        <v>55</v>
      </c>
    </row>
    <row r="2991" customFormat="false" ht="15" hidden="false" customHeight="false" outlineLevel="0" collapsed="false">
      <c r="A2991" s="7" t="s">
        <v>24</v>
      </c>
      <c r="B2991" s="7" t="s">
        <v>299</v>
      </c>
      <c r="C2991" s="7" t="s">
        <v>1104</v>
      </c>
      <c r="D2991" s="7" t="n">
        <v>0</v>
      </c>
      <c r="E2991" s="7" t="n">
        <v>0</v>
      </c>
      <c r="F2991" s="7" t="n">
        <v>4</v>
      </c>
      <c r="G2991" s="7" t="n">
        <v>220.01</v>
      </c>
    </row>
    <row r="2992" customFormat="false" ht="15" hidden="false" customHeight="false" outlineLevel="0" collapsed="false">
      <c r="A2992" s="7" t="s">
        <v>24</v>
      </c>
      <c r="B2992" s="7" t="s">
        <v>299</v>
      </c>
      <c r="C2992" s="7" t="s">
        <v>1104</v>
      </c>
      <c r="D2992" s="7" t="n">
        <v>0</v>
      </c>
      <c r="E2992" s="7" t="n">
        <v>0</v>
      </c>
      <c r="F2992" s="7" t="n">
        <v>1</v>
      </c>
      <c r="G2992" s="7" t="n">
        <v>55</v>
      </c>
    </row>
    <row r="2993" customFormat="false" ht="15" hidden="false" customHeight="false" outlineLevel="0" collapsed="false">
      <c r="A2993" s="7" t="s">
        <v>24</v>
      </c>
      <c r="B2993" s="7" t="s">
        <v>299</v>
      </c>
      <c r="C2993" s="7" t="s">
        <v>1104</v>
      </c>
      <c r="D2993" s="7" t="n">
        <v>0</v>
      </c>
      <c r="E2993" s="7" t="n">
        <v>0</v>
      </c>
      <c r="F2993" s="7" t="n">
        <v>1</v>
      </c>
      <c r="G2993" s="7" t="n">
        <v>41.25</v>
      </c>
    </row>
    <row r="2994" customFormat="false" ht="15" hidden="false" customHeight="false" outlineLevel="0" collapsed="false">
      <c r="A2994" s="7" t="s">
        <v>24</v>
      </c>
      <c r="B2994" s="7" t="s">
        <v>299</v>
      </c>
      <c r="C2994" s="7" t="s">
        <v>1104</v>
      </c>
      <c r="D2994" s="7" t="n">
        <v>0</v>
      </c>
      <c r="E2994" s="7" t="n">
        <v>0</v>
      </c>
      <c r="F2994" s="7" t="n">
        <v>1</v>
      </c>
      <c r="G2994" s="7" t="n">
        <v>44</v>
      </c>
    </row>
    <row r="2995" customFormat="false" ht="15" hidden="false" customHeight="false" outlineLevel="0" collapsed="false">
      <c r="A2995" s="7" t="s">
        <v>24</v>
      </c>
      <c r="B2995" s="7" t="s">
        <v>299</v>
      </c>
      <c r="C2995" s="7" t="s">
        <v>1104</v>
      </c>
      <c r="D2995" s="7" t="n">
        <v>0</v>
      </c>
      <c r="E2995" s="7" t="n">
        <v>0</v>
      </c>
      <c r="F2995" s="7" t="n">
        <v>4</v>
      </c>
      <c r="G2995" s="7" t="n">
        <v>176</v>
      </c>
    </row>
    <row r="2996" customFormat="false" ht="15" hidden="false" customHeight="false" outlineLevel="0" collapsed="false">
      <c r="A2996" s="7" t="s">
        <v>24</v>
      </c>
      <c r="B2996" s="7" t="s">
        <v>299</v>
      </c>
      <c r="C2996" s="7" t="s">
        <v>1104</v>
      </c>
      <c r="D2996" s="7" t="n">
        <v>0</v>
      </c>
      <c r="E2996" s="7" t="n">
        <v>0</v>
      </c>
      <c r="F2996" s="7" t="n">
        <v>1</v>
      </c>
      <c r="G2996" s="7" t="n">
        <v>49.5</v>
      </c>
    </row>
    <row r="2997" customFormat="false" ht="15" hidden="false" customHeight="false" outlineLevel="0" collapsed="false">
      <c r="A2997" s="7" t="s">
        <v>24</v>
      </c>
      <c r="B2997" s="7" t="s">
        <v>299</v>
      </c>
      <c r="C2997" s="7" t="s">
        <v>1104</v>
      </c>
      <c r="D2997" s="7" t="n">
        <v>0</v>
      </c>
      <c r="E2997" s="7" t="n">
        <v>0</v>
      </c>
      <c r="F2997" s="7" t="n">
        <v>1</v>
      </c>
      <c r="G2997" s="7" t="n">
        <v>41.25</v>
      </c>
    </row>
    <row r="2998" customFormat="false" ht="15" hidden="false" customHeight="false" outlineLevel="0" collapsed="false">
      <c r="A2998" s="7" t="s">
        <v>24</v>
      </c>
      <c r="B2998" s="7" t="s">
        <v>153</v>
      </c>
      <c r="C2998" s="7" t="s">
        <v>1104</v>
      </c>
      <c r="D2998" s="7" t="n">
        <v>0</v>
      </c>
      <c r="E2998" s="7" t="n">
        <v>0</v>
      </c>
      <c r="F2998" s="7" t="n">
        <v>1</v>
      </c>
      <c r="G2998" s="7" t="n">
        <v>46.75</v>
      </c>
    </row>
    <row r="2999" customFormat="false" ht="15" hidden="false" customHeight="false" outlineLevel="0" collapsed="false">
      <c r="A2999" s="7" t="s">
        <v>24</v>
      </c>
      <c r="B2999" s="7" t="s">
        <v>153</v>
      </c>
      <c r="C2999" s="7" t="s">
        <v>1104</v>
      </c>
      <c r="D2999" s="7" t="n">
        <v>0</v>
      </c>
      <c r="E2999" s="7" t="n">
        <v>0</v>
      </c>
      <c r="F2999" s="7" t="n">
        <v>1</v>
      </c>
      <c r="G2999" s="7" t="n">
        <v>55</v>
      </c>
    </row>
    <row r="3000" customFormat="false" ht="15" hidden="false" customHeight="false" outlineLevel="0" collapsed="false">
      <c r="A3000" s="7" t="s">
        <v>24</v>
      </c>
      <c r="B3000" s="7" t="s">
        <v>153</v>
      </c>
      <c r="C3000" s="7" t="s">
        <v>1104</v>
      </c>
      <c r="D3000" s="7" t="n">
        <v>0</v>
      </c>
      <c r="E3000" s="7" t="n">
        <v>0</v>
      </c>
      <c r="F3000" s="7" t="n">
        <v>5</v>
      </c>
      <c r="G3000" s="7" t="n">
        <v>206.27</v>
      </c>
    </row>
    <row r="3001" customFormat="false" ht="15" hidden="false" customHeight="false" outlineLevel="0" collapsed="false">
      <c r="A3001" s="7" t="s">
        <v>24</v>
      </c>
      <c r="B3001" s="7" t="s">
        <v>153</v>
      </c>
      <c r="C3001" s="7" t="s">
        <v>1104</v>
      </c>
      <c r="D3001" s="7" t="n">
        <v>0</v>
      </c>
      <c r="E3001" s="7" t="n">
        <v>0</v>
      </c>
      <c r="F3001" s="7" t="n">
        <v>5</v>
      </c>
      <c r="G3001" s="7" t="n">
        <v>275</v>
      </c>
    </row>
    <row r="3002" customFormat="false" ht="15" hidden="false" customHeight="false" outlineLevel="0" collapsed="false">
      <c r="A3002" s="7" t="s">
        <v>24</v>
      </c>
      <c r="B3002" s="7" t="s">
        <v>153</v>
      </c>
      <c r="C3002" s="7" t="s">
        <v>1104</v>
      </c>
      <c r="D3002" s="7" t="n">
        <v>0</v>
      </c>
      <c r="E3002" s="7" t="n">
        <v>0</v>
      </c>
      <c r="F3002" s="7" t="n">
        <v>4</v>
      </c>
      <c r="G3002" s="7" t="n">
        <v>187.02</v>
      </c>
    </row>
    <row r="3003" customFormat="false" ht="15" hidden="false" customHeight="false" outlineLevel="0" collapsed="false">
      <c r="A3003" s="7" t="s">
        <v>24</v>
      </c>
      <c r="B3003" s="7" t="s">
        <v>153</v>
      </c>
      <c r="C3003" s="7" t="s">
        <v>1104</v>
      </c>
      <c r="D3003" s="7" t="n">
        <v>0</v>
      </c>
      <c r="E3003" s="7" t="n">
        <v>0</v>
      </c>
      <c r="F3003" s="7" t="n">
        <v>2</v>
      </c>
      <c r="G3003" s="7" t="n">
        <v>98.99</v>
      </c>
    </row>
    <row r="3004" customFormat="false" ht="15" hidden="false" customHeight="false" outlineLevel="0" collapsed="false">
      <c r="A3004" s="7" t="s">
        <v>24</v>
      </c>
      <c r="B3004" s="7" t="s">
        <v>153</v>
      </c>
      <c r="C3004" s="7" t="s">
        <v>1104</v>
      </c>
      <c r="D3004" s="7" t="n">
        <v>0</v>
      </c>
      <c r="E3004" s="7" t="n">
        <v>0</v>
      </c>
      <c r="F3004" s="7" t="n">
        <v>2</v>
      </c>
      <c r="G3004" s="7" t="n">
        <v>93.51</v>
      </c>
    </row>
    <row r="3005" customFormat="false" ht="15" hidden="false" customHeight="false" outlineLevel="0" collapsed="false">
      <c r="A3005" s="7" t="s">
        <v>24</v>
      </c>
      <c r="B3005" s="7" t="s">
        <v>153</v>
      </c>
      <c r="C3005" s="7" t="s">
        <v>1104</v>
      </c>
      <c r="D3005" s="7" t="n">
        <v>0</v>
      </c>
      <c r="E3005" s="7" t="n">
        <v>0</v>
      </c>
      <c r="F3005" s="7" t="n">
        <v>5</v>
      </c>
      <c r="G3005" s="7" t="n">
        <v>206.27</v>
      </c>
    </row>
    <row r="3006" customFormat="false" ht="15" hidden="false" customHeight="false" outlineLevel="0" collapsed="false">
      <c r="A3006" s="7" t="s">
        <v>24</v>
      </c>
      <c r="B3006" s="7" t="s">
        <v>153</v>
      </c>
      <c r="C3006" s="7" t="s">
        <v>1104</v>
      </c>
      <c r="D3006" s="7" t="n">
        <v>0</v>
      </c>
      <c r="E3006" s="7" t="n">
        <v>0</v>
      </c>
      <c r="F3006" s="7" t="n">
        <v>5</v>
      </c>
      <c r="G3006" s="7" t="n">
        <v>206.27</v>
      </c>
    </row>
    <row r="3007" customFormat="false" ht="15" hidden="false" customHeight="false" outlineLevel="0" collapsed="false">
      <c r="A3007" s="7" t="s">
        <v>24</v>
      </c>
      <c r="B3007" s="7" t="s">
        <v>153</v>
      </c>
      <c r="C3007" s="7" t="s">
        <v>1104</v>
      </c>
      <c r="D3007" s="7" t="n">
        <v>0</v>
      </c>
      <c r="E3007" s="7" t="n">
        <v>0</v>
      </c>
      <c r="F3007" s="7" t="n">
        <v>1</v>
      </c>
      <c r="G3007" s="7" t="n">
        <v>46.76</v>
      </c>
    </row>
    <row r="3008" customFormat="false" ht="15" hidden="false" customHeight="false" outlineLevel="0" collapsed="false">
      <c r="A3008" s="7" t="s">
        <v>24</v>
      </c>
      <c r="B3008" s="7" t="s">
        <v>153</v>
      </c>
      <c r="C3008" s="7" t="s">
        <v>1104</v>
      </c>
      <c r="D3008" s="7" t="n">
        <v>0</v>
      </c>
      <c r="E3008" s="7" t="n">
        <v>0</v>
      </c>
      <c r="F3008" s="7" t="n">
        <v>1</v>
      </c>
      <c r="G3008" s="7" t="n">
        <v>46.75</v>
      </c>
    </row>
    <row r="3009" customFormat="false" ht="15" hidden="false" customHeight="false" outlineLevel="0" collapsed="false">
      <c r="A3009" s="7" t="s">
        <v>24</v>
      </c>
      <c r="B3009" s="7" t="s">
        <v>153</v>
      </c>
      <c r="C3009" s="7" t="s">
        <v>1104</v>
      </c>
      <c r="D3009" s="7" t="n">
        <v>0</v>
      </c>
      <c r="E3009" s="7" t="n">
        <v>0</v>
      </c>
      <c r="F3009" s="7" t="n">
        <v>1</v>
      </c>
      <c r="G3009" s="7" t="n">
        <v>46.76</v>
      </c>
    </row>
    <row r="3010" customFormat="false" ht="15" hidden="false" customHeight="false" outlineLevel="0" collapsed="false">
      <c r="A3010" s="7" t="s">
        <v>24</v>
      </c>
      <c r="B3010" s="7" t="s">
        <v>153</v>
      </c>
      <c r="C3010" s="7" t="s">
        <v>1104</v>
      </c>
      <c r="D3010" s="7" t="n">
        <v>0</v>
      </c>
      <c r="E3010" s="7" t="n">
        <v>0</v>
      </c>
      <c r="F3010" s="7" t="n">
        <v>3</v>
      </c>
      <c r="G3010" s="7" t="n">
        <v>165</v>
      </c>
    </row>
    <row r="3011" customFormat="false" ht="15" hidden="false" customHeight="false" outlineLevel="0" collapsed="false">
      <c r="A3011" s="7" t="s">
        <v>24</v>
      </c>
      <c r="B3011" s="7" t="s">
        <v>153</v>
      </c>
      <c r="C3011" s="7" t="s">
        <v>1104</v>
      </c>
      <c r="D3011" s="7" t="n">
        <v>0</v>
      </c>
      <c r="E3011" s="7" t="n">
        <v>0</v>
      </c>
      <c r="F3011" s="7" t="n">
        <v>1</v>
      </c>
      <c r="G3011" s="7" t="n">
        <v>55</v>
      </c>
    </row>
    <row r="3012" customFormat="false" ht="15" hidden="false" customHeight="false" outlineLevel="0" collapsed="false">
      <c r="A3012" s="7" t="s">
        <v>24</v>
      </c>
      <c r="B3012" s="7" t="s">
        <v>153</v>
      </c>
      <c r="C3012" s="7" t="s">
        <v>1104</v>
      </c>
      <c r="D3012" s="7" t="n">
        <v>0</v>
      </c>
      <c r="E3012" s="7" t="n">
        <v>0</v>
      </c>
      <c r="F3012" s="7" t="n">
        <v>2</v>
      </c>
      <c r="G3012" s="7" t="n">
        <v>93.5</v>
      </c>
    </row>
    <row r="3013" customFormat="false" ht="15" hidden="false" customHeight="false" outlineLevel="0" collapsed="false">
      <c r="A3013" s="7" t="s">
        <v>24</v>
      </c>
      <c r="B3013" s="7" t="s">
        <v>153</v>
      </c>
      <c r="C3013" s="7" t="s">
        <v>1104</v>
      </c>
      <c r="D3013" s="7" t="n">
        <v>0</v>
      </c>
      <c r="E3013" s="7" t="n">
        <v>0</v>
      </c>
      <c r="F3013" s="7" t="n">
        <v>1</v>
      </c>
      <c r="G3013" s="7" t="n">
        <v>49.5</v>
      </c>
    </row>
    <row r="3014" customFormat="false" ht="15" hidden="false" customHeight="false" outlineLevel="0" collapsed="false">
      <c r="A3014" s="7" t="s">
        <v>24</v>
      </c>
      <c r="B3014" s="7" t="s">
        <v>153</v>
      </c>
      <c r="C3014" s="7" t="s">
        <v>1104</v>
      </c>
      <c r="D3014" s="7" t="n">
        <v>0</v>
      </c>
      <c r="E3014" s="7" t="n">
        <v>0</v>
      </c>
      <c r="F3014" s="7" t="n">
        <v>2</v>
      </c>
      <c r="G3014" s="7" t="n">
        <v>101.6</v>
      </c>
    </row>
    <row r="3015" customFormat="false" ht="15" hidden="false" customHeight="false" outlineLevel="0" collapsed="false">
      <c r="A3015" s="7" t="s">
        <v>24</v>
      </c>
      <c r="B3015" s="7" t="s">
        <v>153</v>
      </c>
      <c r="C3015" s="7" t="s">
        <v>1104</v>
      </c>
      <c r="D3015" s="7" t="n">
        <v>0</v>
      </c>
      <c r="E3015" s="7" t="n">
        <v>0</v>
      </c>
      <c r="F3015" s="7" t="n">
        <v>1</v>
      </c>
      <c r="G3015" s="7" t="n">
        <v>49.5</v>
      </c>
    </row>
    <row r="3016" customFormat="false" ht="15" hidden="false" customHeight="false" outlineLevel="0" collapsed="false">
      <c r="A3016" s="7" t="s">
        <v>24</v>
      </c>
      <c r="B3016" s="7" t="s">
        <v>153</v>
      </c>
      <c r="C3016" s="7" t="s">
        <v>1104</v>
      </c>
      <c r="D3016" s="7" t="n">
        <v>0</v>
      </c>
      <c r="E3016" s="7" t="n">
        <v>0</v>
      </c>
      <c r="F3016" s="7" t="n">
        <v>3</v>
      </c>
      <c r="G3016" s="7" t="n">
        <v>165</v>
      </c>
    </row>
    <row r="3017" customFormat="false" ht="15" hidden="false" customHeight="false" outlineLevel="0" collapsed="false">
      <c r="A3017" s="7" t="s">
        <v>24</v>
      </c>
      <c r="B3017" s="7" t="s">
        <v>153</v>
      </c>
      <c r="C3017" s="7" t="s">
        <v>1104</v>
      </c>
      <c r="D3017" s="7" t="n">
        <v>0</v>
      </c>
      <c r="E3017" s="7" t="n">
        <v>0</v>
      </c>
      <c r="F3017" s="7" t="n">
        <v>6</v>
      </c>
      <c r="G3017" s="7" t="n">
        <v>247.52</v>
      </c>
    </row>
    <row r="3018" customFormat="false" ht="15" hidden="false" customHeight="false" outlineLevel="0" collapsed="false">
      <c r="A3018" s="7" t="s">
        <v>24</v>
      </c>
      <c r="B3018" s="7" t="s">
        <v>153</v>
      </c>
      <c r="C3018" s="7" t="s">
        <v>1104</v>
      </c>
      <c r="D3018" s="7" t="n">
        <v>0</v>
      </c>
      <c r="E3018" s="7" t="n">
        <v>0</v>
      </c>
      <c r="F3018" s="7" t="n">
        <v>3</v>
      </c>
      <c r="G3018" s="7" t="n">
        <v>140.27</v>
      </c>
    </row>
    <row r="3019" customFormat="false" ht="15" hidden="false" customHeight="false" outlineLevel="0" collapsed="false">
      <c r="A3019" s="7" t="s">
        <v>24</v>
      </c>
      <c r="B3019" s="7" t="s">
        <v>153</v>
      </c>
      <c r="C3019" s="7" t="s">
        <v>1104</v>
      </c>
      <c r="D3019" s="7" t="n">
        <v>0</v>
      </c>
      <c r="E3019" s="7" t="n">
        <v>0</v>
      </c>
      <c r="F3019" s="7" t="n">
        <v>1</v>
      </c>
      <c r="G3019" s="7" t="n">
        <v>46.75</v>
      </c>
    </row>
    <row r="3020" customFormat="false" ht="15" hidden="false" customHeight="false" outlineLevel="0" collapsed="false">
      <c r="A3020" s="7" t="s">
        <v>24</v>
      </c>
      <c r="B3020" s="7" t="s">
        <v>153</v>
      </c>
      <c r="C3020" s="7" t="s">
        <v>1104</v>
      </c>
      <c r="D3020" s="7" t="n">
        <v>0</v>
      </c>
      <c r="E3020" s="7" t="n">
        <v>0</v>
      </c>
      <c r="F3020" s="7" t="n">
        <v>1</v>
      </c>
      <c r="G3020" s="7" t="n">
        <v>46.75</v>
      </c>
    </row>
    <row r="3021" customFormat="false" ht="15" hidden="false" customHeight="false" outlineLevel="0" collapsed="false">
      <c r="A3021" s="7" t="s">
        <v>24</v>
      </c>
      <c r="B3021" s="7" t="s">
        <v>153</v>
      </c>
      <c r="C3021" s="7" t="s">
        <v>1104</v>
      </c>
      <c r="D3021" s="7" t="n">
        <v>0</v>
      </c>
      <c r="E3021" s="7" t="n">
        <v>0</v>
      </c>
      <c r="F3021" s="7" t="n">
        <v>10</v>
      </c>
      <c r="G3021" s="7" t="n">
        <v>504.83</v>
      </c>
    </row>
    <row r="3022" customFormat="false" ht="15" hidden="false" customHeight="false" outlineLevel="0" collapsed="false">
      <c r="A3022" s="7" t="s">
        <v>24</v>
      </c>
      <c r="B3022" s="7" t="s">
        <v>153</v>
      </c>
      <c r="C3022" s="7" t="s">
        <v>1104</v>
      </c>
      <c r="D3022" s="7" t="n">
        <v>0</v>
      </c>
      <c r="E3022" s="7" t="n">
        <v>0</v>
      </c>
      <c r="F3022" s="7" t="n">
        <v>2</v>
      </c>
      <c r="G3022" s="7" t="n">
        <v>88</v>
      </c>
    </row>
    <row r="3023" customFormat="false" ht="15" hidden="false" customHeight="false" outlineLevel="0" collapsed="false">
      <c r="A3023" s="7" t="s">
        <v>24</v>
      </c>
      <c r="B3023" s="7" t="s">
        <v>118</v>
      </c>
      <c r="C3023" s="7" t="s">
        <v>1104</v>
      </c>
      <c r="D3023" s="7" t="n">
        <v>0</v>
      </c>
      <c r="E3023" s="7" t="n">
        <v>0</v>
      </c>
      <c r="F3023" s="7" t="n">
        <v>1</v>
      </c>
      <c r="G3023" s="7" t="n">
        <v>46.76</v>
      </c>
    </row>
    <row r="3024" customFormat="false" ht="15" hidden="false" customHeight="false" outlineLevel="0" collapsed="false">
      <c r="A3024" s="7" t="s">
        <v>24</v>
      </c>
      <c r="B3024" s="7" t="s">
        <v>118</v>
      </c>
      <c r="C3024" s="7" t="s">
        <v>1104</v>
      </c>
      <c r="D3024" s="7" t="n">
        <v>0</v>
      </c>
      <c r="E3024" s="7" t="n">
        <v>0</v>
      </c>
      <c r="F3024" s="7" t="n">
        <v>6</v>
      </c>
      <c r="G3024" s="7" t="n">
        <v>261.27</v>
      </c>
    </row>
    <row r="3025" customFormat="false" ht="15" hidden="false" customHeight="false" outlineLevel="0" collapsed="false">
      <c r="A3025" s="7" t="s">
        <v>24</v>
      </c>
      <c r="B3025" s="7" t="s">
        <v>118</v>
      </c>
      <c r="C3025" s="7" t="s">
        <v>1104</v>
      </c>
      <c r="D3025" s="7" t="n">
        <v>0</v>
      </c>
      <c r="E3025" s="7" t="n">
        <v>0</v>
      </c>
      <c r="F3025" s="7" t="n">
        <v>2</v>
      </c>
      <c r="G3025" s="7" t="n">
        <v>99</v>
      </c>
    </row>
    <row r="3026" customFormat="false" ht="15" hidden="false" customHeight="false" outlineLevel="0" collapsed="false">
      <c r="A3026" s="7" t="s">
        <v>24</v>
      </c>
      <c r="B3026" s="7" t="s">
        <v>118</v>
      </c>
      <c r="C3026" s="7" t="s">
        <v>1104</v>
      </c>
      <c r="D3026" s="7" t="n">
        <v>0</v>
      </c>
      <c r="E3026" s="7" t="n">
        <v>0</v>
      </c>
      <c r="F3026" s="7" t="n">
        <v>10</v>
      </c>
      <c r="G3026" s="7" t="n">
        <v>412.54</v>
      </c>
    </row>
    <row r="3027" customFormat="false" ht="15" hidden="false" customHeight="false" outlineLevel="0" collapsed="false">
      <c r="A3027" s="7" t="s">
        <v>24</v>
      </c>
      <c r="B3027" s="7" t="s">
        <v>118</v>
      </c>
      <c r="C3027" s="7" t="s">
        <v>1104</v>
      </c>
      <c r="D3027" s="7" t="n">
        <v>0</v>
      </c>
      <c r="E3027" s="7" t="n">
        <v>0</v>
      </c>
      <c r="F3027" s="7" t="n">
        <v>4</v>
      </c>
      <c r="G3027" s="7" t="n">
        <v>220</v>
      </c>
    </row>
    <row r="3028" customFormat="false" ht="15" hidden="false" customHeight="false" outlineLevel="0" collapsed="false">
      <c r="A3028" s="7" t="s">
        <v>24</v>
      </c>
      <c r="B3028" s="7" t="s">
        <v>118</v>
      </c>
      <c r="C3028" s="7" t="s">
        <v>1104</v>
      </c>
      <c r="D3028" s="7" t="n">
        <v>0</v>
      </c>
      <c r="E3028" s="7" t="n">
        <v>0</v>
      </c>
      <c r="F3028" s="7" t="n">
        <v>1</v>
      </c>
      <c r="G3028" s="7" t="n">
        <v>55</v>
      </c>
    </row>
    <row r="3029" customFormat="false" ht="15" hidden="false" customHeight="false" outlineLevel="0" collapsed="false">
      <c r="A3029" s="7" t="s">
        <v>24</v>
      </c>
      <c r="B3029" s="7" t="s">
        <v>118</v>
      </c>
      <c r="C3029" s="7" t="s">
        <v>1104</v>
      </c>
      <c r="D3029" s="7" t="n">
        <v>0</v>
      </c>
      <c r="E3029" s="7" t="n">
        <v>0</v>
      </c>
      <c r="F3029" s="7" t="n">
        <v>3</v>
      </c>
      <c r="G3029" s="7" t="n">
        <v>140.26</v>
      </c>
    </row>
    <row r="3030" customFormat="false" ht="15" hidden="false" customHeight="false" outlineLevel="0" collapsed="false">
      <c r="A3030" s="7" t="s">
        <v>24</v>
      </c>
      <c r="B3030" s="7" t="s">
        <v>118</v>
      </c>
      <c r="C3030" s="7" t="s">
        <v>1104</v>
      </c>
      <c r="D3030" s="7" t="n">
        <v>0</v>
      </c>
      <c r="E3030" s="7" t="n">
        <v>0</v>
      </c>
      <c r="F3030" s="7" t="n">
        <v>3</v>
      </c>
      <c r="G3030" s="7" t="n">
        <v>140.27</v>
      </c>
    </row>
    <row r="3031" customFormat="false" ht="15" hidden="false" customHeight="false" outlineLevel="0" collapsed="false">
      <c r="A3031" s="7" t="s">
        <v>24</v>
      </c>
      <c r="B3031" s="7" t="s">
        <v>118</v>
      </c>
      <c r="C3031" s="7" t="s">
        <v>1104</v>
      </c>
      <c r="D3031" s="7" t="n">
        <v>0</v>
      </c>
      <c r="E3031" s="7" t="n">
        <v>0</v>
      </c>
      <c r="F3031" s="7" t="n">
        <v>3</v>
      </c>
      <c r="G3031" s="7" t="n">
        <v>148.49</v>
      </c>
    </row>
    <row r="3032" customFormat="false" ht="15" hidden="false" customHeight="false" outlineLevel="0" collapsed="false">
      <c r="A3032" s="7" t="s">
        <v>24</v>
      </c>
      <c r="B3032" s="7" t="s">
        <v>118</v>
      </c>
      <c r="C3032" s="7" t="s">
        <v>1104</v>
      </c>
      <c r="D3032" s="7" t="n">
        <v>0</v>
      </c>
      <c r="E3032" s="7" t="n">
        <v>0</v>
      </c>
      <c r="F3032" s="7" t="n">
        <v>3</v>
      </c>
      <c r="G3032" s="7" t="n">
        <v>140.26</v>
      </c>
    </row>
    <row r="3033" customFormat="false" ht="15" hidden="false" customHeight="false" outlineLevel="0" collapsed="false">
      <c r="A3033" s="7" t="s">
        <v>24</v>
      </c>
      <c r="B3033" s="7" t="s">
        <v>118</v>
      </c>
      <c r="C3033" s="7" t="s">
        <v>1104</v>
      </c>
      <c r="D3033" s="7" t="n">
        <v>0</v>
      </c>
      <c r="E3033" s="7" t="n">
        <v>0</v>
      </c>
      <c r="F3033" s="7" t="n">
        <v>69</v>
      </c>
      <c r="G3033" s="7" t="n">
        <v>3342.15</v>
      </c>
    </row>
    <row r="3034" customFormat="false" ht="15" hidden="false" customHeight="false" outlineLevel="0" collapsed="false">
      <c r="A3034" s="7" t="s">
        <v>24</v>
      </c>
      <c r="B3034" s="7" t="s">
        <v>118</v>
      </c>
      <c r="C3034" s="7" t="s">
        <v>1104</v>
      </c>
      <c r="D3034" s="7" t="n">
        <v>0</v>
      </c>
      <c r="E3034" s="7" t="n">
        <v>0</v>
      </c>
      <c r="F3034" s="7" t="n">
        <v>5</v>
      </c>
      <c r="G3034" s="7" t="n">
        <v>206.27</v>
      </c>
    </row>
    <row r="3035" customFormat="false" ht="15" hidden="false" customHeight="false" outlineLevel="0" collapsed="false">
      <c r="A3035" s="7" t="s">
        <v>24</v>
      </c>
      <c r="B3035" s="7" t="s">
        <v>118</v>
      </c>
      <c r="C3035" s="7" t="s">
        <v>1104</v>
      </c>
      <c r="D3035" s="7" t="n">
        <v>0</v>
      </c>
      <c r="E3035" s="7" t="n">
        <v>0</v>
      </c>
      <c r="F3035" s="7" t="n">
        <v>1</v>
      </c>
      <c r="G3035" s="7" t="n">
        <v>41.26</v>
      </c>
    </row>
    <row r="3036" customFormat="false" ht="15" hidden="false" customHeight="false" outlineLevel="0" collapsed="false">
      <c r="A3036" s="7" t="s">
        <v>24</v>
      </c>
      <c r="B3036" s="7" t="s">
        <v>118</v>
      </c>
      <c r="C3036" s="7" t="s">
        <v>1104</v>
      </c>
      <c r="D3036" s="7" t="n">
        <v>0</v>
      </c>
      <c r="E3036" s="7" t="n">
        <v>0</v>
      </c>
      <c r="F3036" s="7" t="n">
        <v>3</v>
      </c>
      <c r="G3036" s="7" t="n">
        <v>140.26</v>
      </c>
    </row>
    <row r="3037" customFormat="false" ht="15" hidden="false" customHeight="false" outlineLevel="0" collapsed="false">
      <c r="A3037" s="7" t="s">
        <v>24</v>
      </c>
      <c r="B3037" s="7" t="s">
        <v>118</v>
      </c>
      <c r="C3037" s="7" t="s">
        <v>1104</v>
      </c>
      <c r="D3037" s="7" t="n">
        <v>0</v>
      </c>
      <c r="E3037" s="7" t="n">
        <v>0</v>
      </c>
      <c r="F3037" s="7" t="n">
        <v>13</v>
      </c>
      <c r="G3037" s="7" t="n">
        <v>550.04</v>
      </c>
    </row>
    <row r="3038" customFormat="false" ht="15" hidden="false" customHeight="false" outlineLevel="0" collapsed="false">
      <c r="A3038" s="7" t="s">
        <v>24</v>
      </c>
      <c r="B3038" s="7" t="s">
        <v>118</v>
      </c>
      <c r="C3038" s="7" t="s">
        <v>1104</v>
      </c>
      <c r="D3038" s="7" t="n">
        <v>0</v>
      </c>
      <c r="E3038" s="7" t="n">
        <v>0</v>
      </c>
      <c r="F3038" s="7" t="n">
        <v>7</v>
      </c>
      <c r="G3038" s="7" t="n">
        <v>330.01</v>
      </c>
    </row>
    <row r="3039" customFormat="false" ht="15" hidden="false" customHeight="false" outlineLevel="0" collapsed="false">
      <c r="A3039" s="7" t="s">
        <v>24</v>
      </c>
      <c r="B3039" s="7" t="s">
        <v>118</v>
      </c>
      <c r="C3039" s="7" t="s">
        <v>1104</v>
      </c>
      <c r="D3039" s="7" t="n">
        <v>0</v>
      </c>
      <c r="E3039" s="7" t="n">
        <v>0</v>
      </c>
      <c r="F3039" s="7" t="n">
        <v>2</v>
      </c>
      <c r="G3039" s="7" t="n">
        <v>101.6</v>
      </c>
    </row>
    <row r="3040" customFormat="false" ht="15" hidden="false" customHeight="false" outlineLevel="0" collapsed="false">
      <c r="A3040" s="7" t="s">
        <v>24</v>
      </c>
      <c r="B3040" s="7" t="s">
        <v>118</v>
      </c>
      <c r="C3040" s="7" t="s">
        <v>1104</v>
      </c>
      <c r="D3040" s="7" t="n">
        <v>0</v>
      </c>
      <c r="E3040" s="7" t="n">
        <v>0</v>
      </c>
      <c r="F3040" s="7" t="n">
        <v>3</v>
      </c>
      <c r="G3040" s="7" t="n">
        <v>123.76</v>
      </c>
    </row>
    <row r="3041" customFormat="false" ht="15" hidden="false" customHeight="false" outlineLevel="0" collapsed="false">
      <c r="A3041" s="7" t="s">
        <v>24</v>
      </c>
      <c r="B3041" s="7" t="s">
        <v>118</v>
      </c>
      <c r="C3041" s="7" t="s">
        <v>1104</v>
      </c>
      <c r="D3041" s="7" t="n">
        <v>0</v>
      </c>
      <c r="E3041" s="7" t="n">
        <v>0</v>
      </c>
      <c r="F3041" s="7" t="n">
        <v>5</v>
      </c>
      <c r="G3041" s="7" t="n">
        <v>206.27</v>
      </c>
    </row>
    <row r="3042" customFormat="false" ht="15" hidden="false" customHeight="false" outlineLevel="0" collapsed="false">
      <c r="A3042" s="7" t="s">
        <v>24</v>
      </c>
      <c r="B3042" s="7" t="s">
        <v>118</v>
      </c>
      <c r="C3042" s="7" t="s">
        <v>1104</v>
      </c>
      <c r="D3042" s="7" t="n">
        <v>0</v>
      </c>
      <c r="E3042" s="7" t="n">
        <v>0</v>
      </c>
      <c r="F3042" s="7" t="n">
        <v>4</v>
      </c>
      <c r="G3042" s="7" t="n">
        <v>178.76</v>
      </c>
    </row>
    <row r="3043" customFormat="false" ht="15" hidden="false" customHeight="false" outlineLevel="0" collapsed="false">
      <c r="A3043" s="7" t="s">
        <v>24</v>
      </c>
      <c r="B3043" s="7" t="s">
        <v>118</v>
      </c>
      <c r="C3043" s="7" t="s">
        <v>1104</v>
      </c>
      <c r="D3043" s="7" t="n">
        <v>0</v>
      </c>
      <c r="E3043" s="7" t="n">
        <v>0</v>
      </c>
      <c r="F3043" s="7" t="n">
        <v>1</v>
      </c>
      <c r="G3043" s="7" t="n">
        <v>46.75</v>
      </c>
    </row>
    <row r="3044" customFormat="false" ht="15" hidden="false" customHeight="false" outlineLevel="0" collapsed="false">
      <c r="A3044" s="7" t="s">
        <v>24</v>
      </c>
      <c r="B3044" s="7" t="s">
        <v>118</v>
      </c>
      <c r="C3044" s="7" t="s">
        <v>1104</v>
      </c>
      <c r="D3044" s="7" t="n">
        <v>0</v>
      </c>
      <c r="E3044" s="7" t="n">
        <v>0</v>
      </c>
      <c r="F3044" s="7" t="n">
        <v>1</v>
      </c>
      <c r="G3044" s="7" t="n">
        <v>44</v>
      </c>
    </row>
    <row r="3045" customFormat="false" ht="15" hidden="false" customHeight="false" outlineLevel="0" collapsed="false">
      <c r="A3045" s="7" t="s">
        <v>24</v>
      </c>
      <c r="B3045" s="7" t="s">
        <v>118</v>
      </c>
      <c r="C3045" s="7" t="s">
        <v>1104</v>
      </c>
      <c r="D3045" s="7" t="n">
        <v>0</v>
      </c>
      <c r="E3045" s="7" t="n">
        <v>0</v>
      </c>
      <c r="F3045" s="7" t="n">
        <v>1</v>
      </c>
      <c r="G3045" s="7" t="n">
        <v>46.75</v>
      </c>
    </row>
    <row r="3046" customFormat="false" ht="15" hidden="false" customHeight="false" outlineLevel="0" collapsed="false">
      <c r="A3046" s="7" t="s">
        <v>24</v>
      </c>
      <c r="B3046" s="7" t="s">
        <v>118</v>
      </c>
      <c r="C3046" s="7" t="s">
        <v>1104</v>
      </c>
      <c r="D3046" s="7" t="n">
        <v>0</v>
      </c>
      <c r="E3046" s="7" t="n">
        <v>0</v>
      </c>
      <c r="F3046" s="7" t="n">
        <v>5</v>
      </c>
      <c r="G3046" s="7" t="n">
        <v>206.27</v>
      </c>
    </row>
    <row r="3047" customFormat="false" ht="15" hidden="false" customHeight="false" outlineLevel="0" collapsed="false">
      <c r="A3047" s="7" t="s">
        <v>24</v>
      </c>
      <c r="B3047" s="7" t="s">
        <v>118</v>
      </c>
      <c r="C3047" s="7" t="s">
        <v>1104</v>
      </c>
      <c r="D3047" s="7" t="n">
        <v>0</v>
      </c>
      <c r="E3047" s="7" t="n">
        <v>0</v>
      </c>
      <c r="F3047" s="7" t="n">
        <v>5</v>
      </c>
      <c r="G3047" s="7" t="n">
        <v>247.51</v>
      </c>
    </row>
    <row r="3048" customFormat="false" ht="15" hidden="false" customHeight="false" outlineLevel="0" collapsed="false">
      <c r="A3048" s="7" t="s">
        <v>24</v>
      </c>
      <c r="B3048" s="7" t="s">
        <v>118</v>
      </c>
      <c r="C3048" s="7" t="s">
        <v>1104</v>
      </c>
      <c r="D3048" s="7" t="n">
        <v>0</v>
      </c>
      <c r="E3048" s="7" t="n">
        <v>0</v>
      </c>
      <c r="F3048" s="7" t="n">
        <v>13</v>
      </c>
      <c r="G3048" s="7" t="n">
        <v>541.8</v>
      </c>
    </row>
    <row r="3049" customFormat="false" ht="15" hidden="false" customHeight="false" outlineLevel="0" collapsed="false">
      <c r="A3049" s="7" t="s">
        <v>24</v>
      </c>
      <c r="B3049" s="7" t="s">
        <v>118</v>
      </c>
      <c r="C3049" s="7" t="s">
        <v>1104</v>
      </c>
      <c r="D3049" s="7" t="n">
        <v>0</v>
      </c>
      <c r="E3049" s="7" t="n">
        <v>0</v>
      </c>
      <c r="F3049" s="7" t="n">
        <v>1</v>
      </c>
      <c r="G3049" s="7" t="n">
        <v>55</v>
      </c>
    </row>
    <row r="3050" customFormat="false" ht="15" hidden="false" customHeight="false" outlineLevel="0" collapsed="false">
      <c r="A3050" s="7" t="s">
        <v>24</v>
      </c>
      <c r="B3050" s="7" t="s">
        <v>118</v>
      </c>
      <c r="C3050" s="7" t="s">
        <v>1104</v>
      </c>
      <c r="D3050" s="7" t="n">
        <v>0</v>
      </c>
      <c r="E3050" s="7" t="n">
        <v>0</v>
      </c>
      <c r="F3050" s="7" t="n">
        <v>9</v>
      </c>
      <c r="G3050" s="7" t="n">
        <v>415.27</v>
      </c>
    </row>
    <row r="3051" customFormat="false" ht="15" hidden="false" customHeight="false" outlineLevel="0" collapsed="false">
      <c r="A3051" s="7" t="s">
        <v>24</v>
      </c>
      <c r="B3051" s="7" t="s">
        <v>118</v>
      </c>
      <c r="C3051" s="7" t="s">
        <v>1104</v>
      </c>
      <c r="D3051" s="7" t="n">
        <v>0</v>
      </c>
      <c r="E3051" s="7" t="n">
        <v>0</v>
      </c>
      <c r="F3051" s="7" t="n">
        <v>1</v>
      </c>
      <c r="G3051" s="7" t="n">
        <v>50.4</v>
      </c>
    </row>
    <row r="3052" customFormat="false" ht="15" hidden="false" customHeight="false" outlineLevel="0" collapsed="false">
      <c r="A3052" s="7" t="s">
        <v>24</v>
      </c>
      <c r="B3052" s="7" t="s">
        <v>165</v>
      </c>
      <c r="C3052" s="7" t="s">
        <v>1241</v>
      </c>
      <c r="D3052" s="7" t="n">
        <v>0</v>
      </c>
      <c r="E3052" s="7" t="n">
        <v>0</v>
      </c>
      <c r="F3052" s="7" t="n">
        <v>3</v>
      </c>
      <c r="G3052" s="7" t="n">
        <v>123.76</v>
      </c>
    </row>
    <row r="3053" customFormat="false" ht="15" hidden="false" customHeight="false" outlineLevel="0" collapsed="false">
      <c r="A3053" s="7" t="s">
        <v>24</v>
      </c>
      <c r="B3053" s="7" t="s">
        <v>165</v>
      </c>
      <c r="C3053" s="7" t="s">
        <v>1241</v>
      </c>
      <c r="D3053" s="7" t="n">
        <v>0</v>
      </c>
      <c r="E3053" s="7" t="n">
        <v>0</v>
      </c>
      <c r="F3053" s="7" t="n">
        <v>2</v>
      </c>
      <c r="G3053" s="7" t="n">
        <v>110</v>
      </c>
    </row>
    <row r="3054" customFormat="false" ht="15" hidden="false" customHeight="false" outlineLevel="0" collapsed="false">
      <c r="A3054" s="7" t="s">
        <v>24</v>
      </c>
      <c r="B3054" s="7" t="s">
        <v>165</v>
      </c>
      <c r="C3054" s="7" t="s">
        <v>1241</v>
      </c>
      <c r="D3054" s="7" t="n">
        <v>0</v>
      </c>
      <c r="E3054" s="7" t="n">
        <v>0</v>
      </c>
      <c r="F3054" s="7" t="n">
        <v>2</v>
      </c>
      <c r="G3054" s="7" t="n">
        <v>93.51</v>
      </c>
    </row>
    <row r="3055" customFormat="false" ht="15" hidden="false" customHeight="false" outlineLevel="0" collapsed="false">
      <c r="A3055" s="7" t="s">
        <v>24</v>
      </c>
      <c r="B3055" s="7" t="s">
        <v>165</v>
      </c>
      <c r="C3055" s="7" t="s">
        <v>1241</v>
      </c>
      <c r="D3055" s="7" t="n">
        <v>0</v>
      </c>
      <c r="E3055" s="7" t="n">
        <v>0</v>
      </c>
      <c r="F3055" s="7" t="n">
        <v>18</v>
      </c>
      <c r="G3055" s="7" t="n">
        <v>827.75</v>
      </c>
    </row>
    <row r="3056" customFormat="false" ht="15" hidden="false" customHeight="false" outlineLevel="0" collapsed="false">
      <c r="A3056" s="7" t="s">
        <v>24</v>
      </c>
      <c r="B3056" s="7" t="s">
        <v>165</v>
      </c>
      <c r="C3056" s="7" t="s">
        <v>1241</v>
      </c>
      <c r="D3056" s="7" t="n">
        <v>0</v>
      </c>
      <c r="E3056" s="7" t="n">
        <v>0</v>
      </c>
      <c r="F3056" s="7" t="n">
        <v>2</v>
      </c>
      <c r="G3056" s="7" t="n">
        <v>93.51</v>
      </c>
    </row>
    <row r="3057" customFormat="false" ht="15" hidden="false" customHeight="false" outlineLevel="0" collapsed="false">
      <c r="A3057" s="7" t="s">
        <v>24</v>
      </c>
      <c r="B3057" s="7" t="s">
        <v>165</v>
      </c>
      <c r="C3057" s="7" t="s">
        <v>1241</v>
      </c>
      <c r="D3057" s="7" t="n">
        <v>0</v>
      </c>
      <c r="E3057" s="7" t="n">
        <v>0</v>
      </c>
      <c r="F3057" s="7" t="n">
        <v>4</v>
      </c>
      <c r="G3057" s="7" t="n">
        <v>162.24</v>
      </c>
    </row>
    <row r="3058" customFormat="false" ht="15" hidden="false" customHeight="false" outlineLevel="0" collapsed="false">
      <c r="A3058" s="7" t="s">
        <v>24</v>
      </c>
      <c r="B3058" s="7" t="s">
        <v>165</v>
      </c>
      <c r="C3058" s="7" t="s">
        <v>1241</v>
      </c>
      <c r="D3058" s="7" t="n">
        <v>0</v>
      </c>
      <c r="E3058" s="7" t="n">
        <v>0</v>
      </c>
      <c r="F3058" s="7" t="n">
        <v>1</v>
      </c>
      <c r="G3058" s="7" t="n">
        <v>55</v>
      </c>
    </row>
    <row r="3059" customFormat="false" ht="15" hidden="false" customHeight="false" outlineLevel="0" collapsed="false">
      <c r="A3059" s="7" t="s">
        <v>24</v>
      </c>
      <c r="B3059" s="7" t="s">
        <v>165</v>
      </c>
      <c r="C3059" s="7" t="s">
        <v>1241</v>
      </c>
      <c r="D3059" s="7" t="n">
        <v>0</v>
      </c>
      <c r="E3059" s="7" t="n">
        <v>0</v>
      </c>
      <c r="F3059" s="7" t="n">
        <v>3</v>
      </c>
      <c r="G3059" s="7" t="n">
        <v>140.26</v>
      </c>
    </row>
    <row r="3060" customFormat="false" ht="15" hidden="false" customHeight="false" outlineLevel="0" collapsed="false">
      <c r="A3060" s="7" t="s">
        <v>24</v>
      </c>
      <c r="B3060" s="7" t="s">
        <v>165</v>
      </c>
      <c r="C3060" s="7" t="s">
        <v>1241</v>
      </c>
      <c r="D3060" s="7" t="n">
        <v>0</v>
      </c>
      <c r="E3060" s="7" t="n">
        <v>0</v>
      </c>
      <c r="F3060" s="7" t="n">
        <v>3</v>
      </c>
      <c r="G3060" s="7" t="n">
        <v>140.25</v>
      </c>
    </row>
    <row r="3061" customFormat="false" ht="15" hidden="false" customHeight="false" outlineLevel="0" collapsed="false">
      <c r="A3061" s="7" t="s">
        <v>24</v>
      </c>
      <c r="B3061" s="7" t="s">
        <v>165</v>
      </c>
      <c r="C3061" s="7" t="s">
        <v>1241</v>
      </c>
      <c r="D3061" s="7" t="n">
        <v>0</v>
      </c>
      <c r="E3061" s="7" t="n">
        <v>0</v>
      </c>
      <c r="F3061" s="7" t="n">
        <v>3</v>
      </c>
      <c r="G3061" s="7" t="n">
        <v>165</v>
      </c>
    </row>
    <row r="3062" customFormat="false" ht="15" hidden="false" customHeight="false" outlineLevel="0" collapsed="false">
      <c r="A3062" s="7" t="s">
        <v>24</v>
      </c>
      <c r="B3062" s="7" t="s">
        <v>165</v>
      </c>
      <c r="C3062" s="7" t="s">
        <v>1241</v>
      </c>
      <c r="D3062" s="7" t="n">
        <v>0</v>
      </c>
      <c r="E3062" s="7" t="n">
        <v>0</v>
      </c>
      <c r="F3062" s="7" t="n">
        <v>2</v>
      </c>
      <c r="G3062" s="7" t="n">
        <v>93.5</v>
      </c>
    </row>
    <row r="3063" customFormat="false" ht="15" hidden="false" customHeight="false" outlineLevel="0" collapsed="false">
      <c r="A3063" s="7" t="s">
        <v>24</v>
      </c>
      <c r="B3063" s="7" t="s">
        <v>165</v>
      </c>
      <c r="C3063" s="7" t="s">
        <v>1241</v>
      </c>
      <c r="D3063" s="7" t="n">
        <v>0</v>
      </c>
      <c r="E3063" s="7" t="n">
        <v>0</v>
      </c>
      <c r="F3063" s="7" t="n">
        <v>3</v>
      </c>
      <c r="G3063" s="7" t="n">
        <v>154</v>
      </c>
    </row>
    <row r="3064" customFormat="false" ht="15" hidden="false" customHeight="false" outlineLevel="0" collapsed="false">
      <c r="A3064" s="7" t="s">
        <v>24</v>
      </c>
      <c r="B3064" s="7" t="s">
        <v>165</v>
      </c>
      <c r="C3064" s="7" t="s">
        <v>1241</v>
      </c>
      <c r="D3064" s="7" t="n">
        <v>0</v>
      </c>
      <c r="E3064" s="7" t="n">
        <v>0</v>
      </c>
      <c r="F3064" s="7" t="n">
        <v>2</v>
      </c>
      <c r="G3064" s="7" t="n">
        <v>110</v>
      </c>
    </row>
    <row r="3065" customFormat="false" ht="15" hidden="false" customHeight="false" outlineLevel="0" collapsed="false">
      <c r="A3065" s="7" t="s">
        <v>24</v>
      </c>
      <c r="B3065" s="7" t="s">
        <v>165</v>
      </c>
      <c r="C3065" s="7" t="s">
        <v>1241</v>
      </c>
      <c r="D3065" s="7" t="n">
        <v>0</v>
      </c>
      <c r="E3065" s="7" t="n">
        <v>0</v>
      </c>
      <c r="F3065" s="7" t="n">
        <v>1</v>
      </c>
      <c r="G3065" s="7" t="n">
        <v>41.26</v>
      </c>
    </row>
    <row r="3066" customFormat="false" ht="15" hidden="false" customHeight="false" outlineLevel="0" collapsed="false">
      <c r="A3066" s="7" t="s">
        <v>24</v>
      </c>
      <c r="B3066" s="7" t="s">
        <v>165</v>
      </c>
      <c r="C3066" s="7" t="s">
        <v>1241</v>
      </c>
      <c r="D3066" s="7" t="n">
        <v>0</v>
      </c>
      <c r="E3066" s="7" t="n">
        <v>0</v>
      </c>
      <c r="F3066" s="7" t="n">
        <v>2</v>
      </c>
      <c r="G3066" s="7" t="n">
        <v>86.27</v>
      </c>
    </row>
    <row r="3067" customFormat="false" ht="15" hidden="false" customHeight="false" outlineLevel="0" collapsed="false">
      <c r="A3067" s="7" t="s">
        <v>24</v>
      </c>
      <c r="B3067" s="7" t="s">
        <v>165</v>
      </c>
      <c r="C3067" s="7" t="s">
        <v>1241</v>
      </c>
      <c r="D3067" s="7" t="n">
        <v>0</v>
      </c>
      <c r="E3067" s="7" t="n">
        <v>0</v>
      </c>
      <c r="F3067" s="7" t="n">
        <v>6</v>
      </c>
      <c r="G3067" s="7" t="n">
        <v>250.27</v>
      </c>
    </row>
    <row r="3068" customFormat="false" ht="15" hidden="false" customHeight="false" outlineLevel="0" collapsed="false">
      <c r="A3068" s="7" t="s">
        <v>24</v>
      </c>
      <c r="B3068" s="7" t="s">
        <v>137</v>
      </c>
      <c r="C3068" s="7" t="s">
        <v>1241</v>
      </c>
      <c r="D3068" s="7" t="n">
        <v>0</v>
      </c>
      <c r="E3068" s="7" t="n">
        <v>0</v>
      </c>
      <c r="F3068" s="7" t="n">
        <v>1</v>
      </c>
      <c r="G3068" s="7" t="n">
        <v>46.76</v>
      </c>
    </row>
    <row r="3069" customFormat="false" ht="15" hidden="false" customHeight="false" outlineLevel="0" collapsed="false">
      <c r="A3069" s="7" t="s">
        <v>24</v>
      </c>
      <c r="B3069" s="7" t="s">
        <v>137</v>
      </c>
      <c r="C3069" s="7" t="s">
        <v>1241</v>
      </c>
      <c r="D3069" s="7" t="n">
        <v>0</v>
      </c>
      <c r="E3069" s="7" t="n">
        <v>0</v>
      </c>
      <c r="F3069" s="7" t="n">
        <v>3</v>
      </c>
      <c r="G3069" s="7" t="n">
        <v>152.28</v>
      </c>
    </row>
    <row r="3070" customFormat="false" ht="15" hidden="false" customHeight="false" outlineLevel="0" collapsed="false">
      <c r="A3070" s="7" t="s">
        <v>24</v>
      </c>
      <c r="B3070" s="7" t="s">
        <v>137</v>
      </c>
      <c r="C3070" s="7" t="s">
        <v>1241</v>
      </c>
      <c r="D3070" s="7" t="n">
        <v>0</v>
      </c>
      <c r="E3070" s="7" t="n">
        <v>0</v>
      </c>
      <c r="F3070" s="7" t="n">
        <v>1</v>
      </c>
      <c r="G3070" s="7" t="n">
        <v>49.5</v>
      </c>
    </row>
    <row r="3071" customFormat="false" ht="15" hidden="false" customHeight="false" outlineLevel="0" collapsed="false">
      <c r="A3071" s="7" t="s">
        <v>24</v>
      </c>
      <c r="B3071" s="7" t="s">
        <v>137</v>
      </c>
      <c r="C3071" s="7" t="s">
        <v>1241</v>
      </c>
      <c r="D3071" s="7" t="n">
        <v>0</v>
      </c>
      <c r="E3071" s="7" t="n">
        <v>0</v>
      </c>
      <c r="F3071" s="7" t="n">
        <v>4</v>
      </c>
      <c r="G3071" s="7" t="n">
        <v>220</v>
      </c>
    </row>
    <row r="3072" customFormat="false" ht="15" hidden="false" customHeight="false" outlineLevel="0" collapsed="false">
      <c r="A3072" s="7" t="s">
        <v>24</v>
      </c>
      <c r="B3072" s="7" t="s">
        <v>137</v>
      </c>
      <c r="C3072" s="7" t="s">
        <v>1241</v>
      </c>
      <c r="D3072" s="7" t="n">
        <v>0</v>
      </c>
      <c r="E3072" s="7" t="n">
        <v>0</v>
      </c>
      <c r="F3072" s="7" t="n">
        <v>1</v>
      </c>
      <c r="G3072" s="7" t="n">
        <v>46.75</v>
      </c>
    </row>
    <row r="3073" customFormat="false" ht="15" hidden="false" customHeight="false" outlineLevel="0" collapsed="false">
      <c r="A3073" s="7" t="s">
        <v>24</v>
      </c>
      <c r="B3073" s="7" t="s">
        <v>137</v>
      </c>
      <c r="C3073" s="7" t="s">
        <v>1241</v>
      </c>
      <c r="D3073" s="7" t="n">
        <v>0</v>
      </c>
      <c r="E3073" s="7" t="n">
        <v>0</v>
      </c>
      <c r="F3073" s="7" t="n">
        <v>1</v>
      </c>
      <c r="G3073" s="7" t="n">
        <v>46.76</v>
      </c>
    </row>
    <row r="3074" customFormat="false" ht="15" hidden="false" customHeight="false" outlineLevel="0" collapsed="false">
      <c r="A3074" s="7" t="s">
        <v>24</v>
      </c>
      <c r="B3074" s="7" t="s">
        <v>137</v>
      </c>
      <c r="C3074" s="7" t="s">
        <v>1241</v>
      </c>
      <c r="D3074" s="7" t="n">
        <v>0</v>
      </c>
      <c r="E3074" s="7" t="n">
        <v>0</v>
      </c>
      <c r="F3074" s="7" t="n">
        <v>5</v>
      </c>
      <c r="G3074" s="7" t="n">
        <v>254</v>
      </c>
    </row>
    <row r="3075" customFormat="false" ht="15" hidden="false" customHeight="false" outlineLevel="0" collapsed="false">
      <c r="A3075" s="7" t="s">
        <v>24</v>
      </c>
      <c r="B3075" s="7" t="s">
        <v>137</v>
      </c>
      <c r="C3075" s="7" t="s">
        <v>1241</v>
      </c>
      <c r="D3075" s="7" t="n">
        <v>0</v>
      </c>
      <c r="E3075" s="7" t="n">
        <v>0</v>
      </c>
      <c r="F3075" s="7" t="n">
        <v>2</v>
      </c>
      <c r="G3075" s="7" t="n">
        <v>93.52</v>
      </c>
    </row>
    <row r="3076" customFormat="false" ht="15" hidden="false" customHeight="false" outlineLevel="0" collapsed="false">
      <c r="A3076" s="7" t="s">
        <v>24</v>
      </c>
      <c r="B3076" s="7" t="s">
        <v>137</v>
      </c>
      <c r="C3076" s="7" t="s">
        <v>1241</v>
      </c>
      <c r="D3076" s="7" t="n">
        <v>0</v>
      </c>
      <c r="E3076" s="7" t="n">
        <v>0</v>
      </c>
      <c r="F3076" s="7" t="n">
        <v>5</v>
      </c>
      <c r="G3076" s="7" t="n">
        <v>206.27</v>
      </c>
    </row>
    <row r="3077" customFormat="false" ht="15" hidden="false" customHeight="false" outlineLevel="0" collapsed="false">
      <c r="A3077" s="7" t="s">
        <v>24</v>
      </c>
      <c r="B3077" s="7" t="s">
        <v>137</v>
      </c>
      <c r="C3077" s="7" t="s">
        <v>1241</v>
      </c>
      <c r="D3077" s="7" t="n">
        <v>0</v>
      </c>
      <c r="E3077" s="7" t="n">
        <v>0</v>
      </c>
      <c r="F3077" s="7" t="n">
        <v>5</v>
      </c>
      <c r="G3077" s="7" t="n">
        <v>206.27</v>
      </c>
    </row>
    <row r="3078" customFormat="false" ht="15" hidden="false" customHeight="false" outlineLevel="0" collapsed="false">
      <c r="A3078" s="7" t="s">
        <v>24</v>
      </c>
      <c r="B3078" s="7" t="s">
        <v>137</v>
      </c>
      <c r="C3078" s="7" t="s">
        <v>1241</v>
      </c>
      <c r="D3078" s="7" t="n">
        <v>0</v>
      </c>
      <c r="E3078" s="7" t="n">
        <v>0</v>
      </c>
      <c r="F3078" s="7" t="n">
        <v>3</v>
      </c>
      <c r="G3078" s="7" t="n">
        <v>134.76</v>
      </c>
    </row>
    <row r="3079" customFormat="false" ht="15" hidden="false" customHeight="false" outlineLevel="0" collapsed="false">
      <c r="A3079" s="7" t="s">
        <v>24</v>
      </c>
      <c r="B3079" s="7" t="s">
        <v>137</v>
      </c>
      <c r="C3079" s="7" t="s">
        <v>1241</v>
      </c>
      <c r="D3079" s="7" t="n">
        <v>0</v>
      </c>
      <c r="E3079" s="7" t="n">
        <v>0</v>
      </c>
      <c r="F3079" s="7" t="n">
        <v>20</v>
      </c>
      <c r="G3079" s="7" t="n">
        <v>926.75</v>
      </c>
    </row>
    <row r="3080" customFormat="false" ht="15" hidden="false" customHeight="false" outlineLevel="0" collapsed="false">
      <c r="A3080" s="7" t="s">
        <v>24</v>
      </c>
      <c r="B3080" s="7" t="s">
        <v>137</v>
      </c>
      <c r="C3080" s="7" t="s">
        <v>1241</v>
      </c>
      <c r="D3080" s="7" t="n">
        <v>0</v>
      </c>
      <c r="E3080" s="7" t="n">
        <v>0</v>
      </c>
      <c r="F3080" s="7" t="n">
        <v>1</v>
      </c>
      <c r="G3080" s="7" t="n">
        <v>55</v>
      </c>
    </row>
    <row r="3081" customFormat="false" ht="15" hidden="false" customHeight="false" outlineLevel="0" collapsed="false">
      <c r="A3081" s="7" t="s">
        <v>24</v>
      </c>
      <c r="B3081" s="7" t="s">
        <v>137</v>
      </c>
      <c r="C3081" s="7" t="s">
        <v>1241</v>
      </c>
      <c r="D3081" s="7" t="n">
        <v>0</v>
      </c>
      <c r="E3081" s="7" t="n">
        <v>0</v>
      </c>
      <c r="F3081" s="7" t="n">
        <v>1</v>
      </c>
      <c r="G3081" s="7" t="n">
        <v>49.5</v>
      </c>
    </row>
    <row r="3082" customFormat="false" ht="15" hidden="false" customHeight="false" outlineLevel="0" collapsed="false">
      <c r="A3082" s="7" t="s">
        <v>24</v>
      </c>
      <c r="B3082" s="7" t="s">
        <v>137</v>
      </c>
      <c r="C3082" s="7" t="s">
        <v>1241</v>
      </c>
      <c r="D3082" s="7" t="n">
        <v>0</v>
      </c>
      <c r="E3082" s="7" t="n">
        <v>0</v>
      </c>
      <c r="F3082" s="7" t="n">
        <v>3</v>
      </c>
      <c r="G3082" s="7" t="n">
        <v>165</v>
      </c>
    </row>
    <row r="3083" customFormat="false" ht="15" hidden="false" customHeight="false" outlineLevel="0" collapsed="false">
      <c r="A3083" s="7" t="s">
        <v>24</v>
      </c>
      <c r="B3083" s="7" t="s">
        <v>137</v>
      </c>
      <c r="C3083" s="7" t="s">
        <v>1241</v>
      </c>
      <c r="D3083" s="7" t="n">
        <v>0</v>
      </c>
      <c r="E3083" s="7" t="n">
        <v>0</v>
      </c>
      <c r="F3083" s="7" t="n">
        <v>1</v>
      </c>
      <c r="G3083" s="7" t="n">
        <v>48.6</v>
      </c>
    </row>
    <row r="3084" customFormat="false" ht="15" hidden="false" customHeight="false" outlineLevel="0" collapsed="false">
      <c r="A3084" s="7" t="s">
        <v>24</v>
      </c>
      <c r="B3084" s="7" t="s">
        <v>137</v>
      </c>
      <c r="C3084" s="7" t="s">
        <v>1241</v>
      </c>
      <c r="D3084" s="7" t="n">
        <v>0</v>
      </c>
      <c r="E3084" s="7" t="n">
        <v>0</v>
      </c>
      <c r="F3084" s="7" t="n">
        <v>6</v>
      </c>
      <c r="G3084" s="7" t="n">
        <v>247.52</v>
      </c>
    </row>
    <row r="3085" customFormat="false" ht="15" hidden="false" customHeight="false" outlineLevel="0" collapsed="false">
      <c r="A3085" s="7" t="s">
        <v>24</v>
      </c>
      <c r="B3085" s="7" t="s">
        <v>137</v>
      </c>
      <c r="C3085" s="7" t="s">
        <v>1241</v>
      </c>
      <c r="D3085" s="7" t="n">
        <v>0</v>
      </c>
      <c r="E3085" s="7" t="n">
        <v>0</v>
      </c>
      <c r="F3085" s="7" t="n">
        <v>1</v>
      </c>
      <c r="G3085" s="7" t="n">
        <v>55</v>
      </c>
    </row>
    <row r="3086" customFormat="false" ht="15" hidden="false" customHeight="false" outlineLevel="0" collapsed="false">
      <c r="A3086" s="7" t="s">
        <v>24</v>
      </c>
      <c r="B3086" s="7" t="s">
        <v>137</v>
      </c>
      <c r="C3086" s="7" t="s">
        <v>1241</v>
      </c>
      <c r="D3086" s="7" t="n">
        <v>0</v>
      </c>
      <c r="E3086" s="7" t="n">
        <v>0</v>
      </c>
      <c r="F3086" s="7" t="n">
        <v>1</v>
      </c>
      <c r="G3086" s="7" t="n">
        <v>46.76</v>
      </c>
    </row>
    <row r="3087" customFormat="false" ht="15" hidden="false" customHeight="false" outlineLevel="0" collapsed="false">
      <c r="A3087" s="7" t="s">
        <v>24</v>
      </c>
      <c r="B3087" s="7" t="s">
        <v>137</v>
      </c>
      <c r="C3087" s="7" t="s">
        <v>1241</v>
      </c>
      <c r="D3087" s="7" t="n">
        <v>0</v>
      </c>
      <c r="E3087" s="7" t="n">
        <v>0</v>
      </c>
      <c r="F3087" s="7" t="n">
        <v>1</v>
      </c>
      <c r="G3087" s="7" t="n">
        <v>46.76</v>
      </c>
    </row>
    <row r="3088" customFormat="false" ht="15" hidden="false" customHeight="false" outlineLevel="0" collapsed="false">
      <c r="A3088" s="7" t="s">
        <v>24</v>
      </c>
      <c r="B3088" s="7" t="s">
        <v>137</v>
      </c>
      <c r="C3088" s="7" t="s">
        <v>1241</v>
      </c>
      <c r="D3088" s="7" t="n">
        <v>0</v>
      </c>
      <c r="E3088" s="7" t="n">
        <v>0</v>
      </c>
      <c r="F3088" s="7" t="n">
        <v>10</v>
      </c>
      <c r="G3088" s="7" t="n">
        <v>412.54</v>
      </c>
    </row>
    <row r="3089" customFormat="false" ht="15" hidden="false" customHeight="false" outlineLevel="0" collapsed="false">
      <c r="A3089" s="7" t="s">
        <v>24</v>
      </c>
      <c r="B3089" s="7" t="s">
        <v>137</v>
      </c>
      <c r="C3089" s="7" t="s">
        <v>1241</v>
      </c>
      <c r="D3089" s="7" t="n">
        <v>0</v>
      </c>
      <c r="E3089" s="7" t="n">
        <v>0</v>
      </c>
      <c r="F3089" s="7" t="n">
        <v>4</v>
      </c>
      <c r="G3089" s="7" t="n">
        <v>220</v>
      </c>
    </row>
    <row r="3090" customFormat="false" ht="15" hidden="false" customHeight="false" outlineLevel="0" collapsed="false">
      <c r="A3090" s="7" t="s">
        <v>24</v>
      </c>
      <c r="B3090" s="7" t="s">
        <v>137</v>
      </c>
      <c r="C3090" s="7" t="s">
        <v>1241</v>
      </c>
      <c r="D3090" s="7" t="n">
        <v>0</v>
      </c>
      <c r="E3090" s="7" t="n">
        <v>0</v>
      </c>
      <c r="F3090" s="7" t="n">
        <v>4</v>
      </c>
      <c r="G3090" s="7" t="n">
        <v>170.51</v>
      </c>
    </row>
    <row r="3091" customFormat="false" ht="15" hidden="false" customHeight="false" outlineLevel="0" collapsed="false">
      <c r="A3091" s="7" t="s">
        <v>24</v>
      </c>
      <c r="B3091" s="7" t="s">
        <v>137</v>
      </c>
      <c r="C3091" s="7" t="s">
        <v>1241</v>
      </c>
      <c r="D3091" s="7" t="n">
        <v>0</v>
      </c>
      <c r="E3091" s="7" t="n">
        <v>0</v>
      </c>
      <c r="F3091" s="7" t="n">
        <v>1</v>
      </c>
      <c r="G3091" s="7" t="n">
        <v>46.75</v>
      </c>
    </row>
    <row r="3092" customFormat="false" ht="15" hidden="false" customHeight="false" outlineLevel="0" collapsed="false">
      <c r="A3092" s="7" t="s">
        <v>24</v>
      </c>
      <c r="B3092" s="7" t="s">
        <v>137</v>
      </c>
      <c r="C3092" s="7" t="s">
        <v>1241</v>
      </c>
      <c r="D3092" s="7" t="n">
        <v>0</v>
      </c>
      <c r="E3092" s="7" t="n">
        <v>0</v>
      </c>
      <c r="F3092" s="7" t="n">
        <v>3</v>
      </c>
      <c r="G3092" s="7" t="n">
        <v>156.75</v>
      </c>
    </row>
    <row r="3093" customFormat="false" ht="15" hidden="false" customHeight="false" outlineLevel="0" collapsed="false">
      <c r="A3093" s="7" t="s">
        <v>24</v>
      </c>
      <c r="B3093" s="7" t="s">
        <v>137</v>
      </c>
      <c r="C3093" s="7" t="s">
        <v>1241</v>
      </c>
      <c r="D3093" s="7" t="n">
        <v>0</v>
      </c>
      <c r="E3093" s="7" t="n">
        <v>0</v>
      </c>
      <c r="F3093" s="7" t="n">
        <v>2</v>
      </c>
      <c r="G3093" s="7" t="n">
        <v>93.5</v>
      </c>
    </row>
    <row r="3094" customFormat="false" ht="15" hidden="false" customHeight="false" outlineLevel="0" collapsed="false">
      <c r="A3094" s="7" t="s">
        <v>24</v>
      </c>
      <c r="B3094" s="7" t="s">
        <v>137</v>
      </c>
      <c r="C3094" s="7" t="s">
        <v>1241</v>
      </c>
      <c r="D3094" s="7" t="n">
        <v>0</v>
      </c>
      <c r="E3094" s="7" t="n">
        <v>0</v>
      </c>
      <c r="F3094" s="7" t="n">
        <v>1</v>
      </c>
      <c r="G3094" s="7" t="n">
        <v>46.75</v>
      </c>
    </row>
    <row r="3095" customFormat="false" ht="15" hidden="false" customHeight="false" outlineLevel="0" collapsed="false">
      <c r="A3095" s="7" t="s">
        <v>24</v>
      </c>
      <c r="B3095" s="7" t="s">
        <v>137</v>
      </c>
      <c r="C3095" s="7" t="s">
        <v>1241</v>
      </c>
      <c r="D3095" s="7" t="n">
        <v>0</v>
      </c>
      <c r="E3095" s="7" t="n">
        <v>0</v>
      </c>
      <c r="F3095" s="7" t="n">
        <v>2</v>
      </c>
      <c r="G3095" s="7" t="n">
        <v>88.02</v>
      </c>
    </row>
    <row r="3096" customFormat="false" ht="15" hidden="false" customHeight="false" outlineLevel="0" collapsed="false">
      <c r="A3096" s="7" t="s">
        <v>24</v>
      </c>
      <c r="B3096" s="7" t="s">
        <v>127</v>
      </c>
      <c r="C3096" s="7" t="s">
        <v>1241</v>
      </c>
      <c r="D3096" s="7" t="n">
        <v>0</v>
      </c>
      <c r="E3096" s="7" t="n">
        <v>0</v>
      </c>
      <c r="F3096" s="7" t="n">
        <v>1</v>
      </c>
      <c r="G3096" s="7" t="n">
        <v>50.4</v>
      </c>
    </row>
    <row r="3097" customFormat="false" ht="15" hidden="false" customHeight="false" outlineLevel="0" collapsed="false">
      <c r="A3097" s="7" t="s">
        <v>24</v>
      </c>
      <c r="B3097" s="7" t="s">
        <v>127</v>
      </c>
      <c r="C3097" s="7" t="s">
        <v>1241</v>
      </c>
      <c r="D3097" s="7" t="n">
        <v>0</v>
      </c>
      <c r="E3097" s="7" t="n">
        <v>0</v>
      </c>
      <c r="F3097" s="7" t="n">
        <v>1</v>
      </c>
      <c r="G3097" s="7" t="n">
        <v>49.5</v>
      </c>
    </row>
    <row r="3098" customFormat="false" ht="15" hidden="false" customHeight="false" outlineLevel="0" collapsed="false">
      <c r="A3098" s="7" t="s">
        <v>24</v>
      </c>
      <c r="B3098" s="7" t="s">
        <v>127</v>
      </c>
      <c r="C3098" s="7" t="s">
        <v>1241</v>
      </c>
      <c r="D3098" s="7" t="n">
        <v>0</v>
      </c>
      <c r="E3098" s="7" t="n">
        <v>0</v>
      </c>
      <c r="F3098" s="7" t="n">
        <v>1</v>
      </c>
      <c r="G3098" s="7" t="n">
        <v>46.75</v>
      </c>
    </row>
    <row r="3099" customFormat="false" ht="15" hidden="false" customHeight="false" outlineLevel="0" collapsed="false">
      <c r="A3099" s="7" t="s">
        <v>24</v>
      </c>
      <c r="B3099" s="7" t="s">
        <v>127</v>
      </c>
      <c r="C3099" s="7" t="s">
        <v>1241</v>
      </c>
      <c r="D3099" s="7" t="n">
        <v>0</v>
      </c>
      <c r="E3099" s="7" t="n">
        <v>0</v>
      </c>
      <c r="F3099" s="7" t="n">
        <v>16</v>
      </c>
      <c r="G3099" s="7" t="n">
        <v>701.3</v>
      </c>
    </row>
    <row r="3100" customFormat="false" ht="15" hidden="false" customHeight="false" outlineLevel="0" collapsed="false">
      <c r="A3100" s="7" t="s">
        <v>24</v>
      </c>
      <c r="B3100" s="7" t="s">
        <v>127</v>
      </c>
      <c r="C3100" s="7" t="s">
        <v>1241</v>
      </c>
      <c r="D3100" s="7" t="n">
        <v>0</v>
      </c>
      <c r="E3100" s="7" t="n">
        <v>0</v>
      </c>
      <c r="F3100" s="7" t="n">
        <v>5</v>
      </c>
      <c r="G3100" s="7" t="n">
        <v>206.27</v>
      </c>
    </row>
    <row r="3101" customFormat="false" ht="15" hidden="false" customHeight="false" outlineLevel="0" collapsed="false">
      <c r="A3101" s="7" t="s">
        <v>24</v>
      </c>
      <c r="B3101" s="7" t="s">
        <v>127</v>
      </c>
      <c r="C3101" s="7" t="s">
        <v>1241</v>
      </c>
      <c r="D3101" s="7" t="n">
        <v>0</v>
      </c>
      <c r="E3101" s="7" t="n">
        <v>0</v>
      </c>
      <c r="F3101" s="7" t="n">
        <v>1</v>
      </c>
      <c r="G3101" s="7" t="n">
        <v>44.01</v>
      </c>
    </row>
    <row r="3102" customFormat="false" ht="15" hidden="false" customHeight="false" outlineLevel="0" collapsed="false">
      <c r="A3102" s="7" t="s">
        <v>24</v>
      </c>
      <c r="B3102" s="7" t="s">
        <v>127</v>
      </c>
      <c r="C3102" s="7" t="s">
        <v>1241</v>
      </c>
      <c r="D3102" s="7" t="n">
        <v>0</v>
      </c>
      <c r="E3102" s="7" t="n">
        <v>0</v>
      </c>
      <c r="F3102" s="7" t="n">
        <v>1</v>
      </c>
      <c r="G3102" s="7" t="n">
        <v>55</v>
      </c>
    </row>
    <row r="3103" customFormat="false" ht="15" hidden="false" customHeight="false" outlineLevel="0" collapsed="false">
      <c r="A3103" s="7" t="s">
        <v>24</v>
      </c>
      <c r="B3103" s="7" t="s">
        <v>127</v>
      </c>
      <c r="C3103" s="7" t="s">
        <v>1241</v>
      </c>
      <c r="D3103" s="7" t="n">
        <v>0</v>
      </c>
      <c r="E3103" s="7" t="n">
        <v>0</v>
      </c>
      <c r="F3103" s="7" t="n">
        <v>1</v>
      </c>
      <c r="G3103" s="7" t="n">
        <v>41.26</v>
      </c>
    </row>
    <row r="3104" customFormat="false" ht="15" hidden="false" customHeight="false" outlineLevel="0" collapsed="false">
      <c r="A3104" s="7" t="s">
        <v>24</v>
      </c>
      <c r="B3104" s="7" t="s">
        <v>127</v>
      </c>
      <c r="C3104" s="7" t="s">
        <v>1241</v>
      </c>
      <c r="D3104" s="7" t="n">
        <v>0</v>
      </c>
      <c r="E3104" s="7" t="n">
        <v>0</v>
      </c>
      <c r="F3104" s="7" t="n">
        <v>5</v>
      </c>
      <c r="G3104" s="7" t="n">
        <v>190.5</v>
      </c>
    </row>
    <row r="3105" customFormat="false" ht="15" hidden="false" customHeight="false" outlineLevel="0" collapsed="false">
      <c r="A3105" s="7" t="s">
        <v>24</v>
      </c>
      <c r="B3105" s="7" t="s">
        <v>127</v>
      </c>
      <c r="C3105" s="7" t="s">
        <v>1241</v>
      </c>
      <c r="D3105" s="7" t="n">
        <v>0</v>
      </c>
      <c r="E3105" s="7" t="n">
        <v>0</v>
      </c>
      <c r="F3105" s="7" t="n">
        <v>3</v>
      </c>
      <c r="G3105" s="7" t="n">
        <v>148.5</v>
      </c>
    </row>
    <row r="3106" customFormat="false" ht="15" hidden="false" customHeight="false" outlineLevel="0" collapsed="false">
      <c r="A3106" s="7" t="s">
        <v>24</v>
      </c>
      <c r="B3106" s="7" t="s">
        <v>127</v>
      </c>
      <c r="C3106" s="7" t="s">
        <v>1241</v>
      </c>
      <c r="D3106" s="7" t="n">
        <v>0</v>
      </c>
      <c r="E3106" s="7" t="n">
        <v>0</v>
      </c>
      <c r="F3106" s="7" t="n">
        <v>1</v>
      </c>
      <c r="G3106" s="7" t="n">
        <v>46.76</v>
      </c>
    </row>
    <row r="3107" customFormat="false" ht="15" hidden="false" customHeight="false" outlineLevel="0" collapsed="false">
      <c r="A3107" s="7" t="s">
        <v>24</v>
      </c>
      <c r="B3107" s="7" t="s">
        <v>127</v>
      </c>
      <c r="C3107" s="7" t="s">
        <v>1241</v>
      </c>
      <c r="D3107" s="7" t="n">
        <v>0</v>
      </c>
      <c r="E3107" s="7" t="n">
        <v>0</v>
      </c>
      <c r="F3107" s="7" t="n">
        <v>2</v>
      </c>
      <c r="G3107" s="7" t="n">
        <v>93.51</v>
      </c>
    </row>
    <row r="3108" customFormat="false" ht="15" hidden="false" customHeight="false" outlineLevel="0" collapsed="false">
      <c r="A3108" s="7" t="s">
        <v>24</v>
      </c>
      <c r="B3108" s="7" t="s">
        <v>127</v>
      </c>
      <c r="C3108" s="7" t="s">
        <v>1241</v>
      </c>
      <c r="D3108" s="7" t="n">
        <v>0</v>
      </c>
      <c r="E3108" s="7" t="n">
        <v>0</v>
      </c>
      <c r="F3108" s="7" t="n">
        <v>1</v>
      </c>
      <c r="G3108" s="7" t="n">
        <v>46.76</v>
      </c>
    </row>
    <row r="3109" customFormat="false" ht="15" hidden="false" customHeight="false" outlineLevel="0" collapsed="false">
      <c r="A3109" s="7" t="s">
        <v>24</v>
      </c>
      <c r="B3109" s="7" t="s">
        <v>127</v>
      </c>
      <c r="C3109" s="7" t="s">
        <v>1241</v>
      </c>
      <c r="D3109" s="7" t="n">
        <v>0</v>
      </c>
      <c r="E3109" s="7" t="n">
        <v>0</v>
      </c>
      <c r="F3109" s="7" t="n">
        <v>1</v>
      </c>
      <c r="G3109" s="7" t="n">
        <v>55.01</v>
      </c>
    </row>
    <row r="3110" customFormat="false" ht="15" hidden="false" customHeight="false" outlineLevel="0" collapsed="false">
      <c r="A3110" s="7" t="s">
        <v>24</v>
      </c>
      <c r="B3110" s="7" t="s">
        <v>127</v>
      </c>
      <c r="C3110" s="7" t="s">
        <v>1241</v>
      </c>
      <c r="D3110" s="7" t="n">
        <v>0</v>
      </c>
      <c r="E3110" s="7" t="n">
        <v>0</v>
      </c>
      <c r="F3110" s="7" t="n">
        <v>8</v>
      </c>
      <c r="G3110" s="7" t="n">
        <v>360.32</v>
      </c>
    </row>
    <row r="3111" customFormat="false" ht="15" hidden="false" customHeight="false" outlineLevel="0" collapsed="false">
      <c r="A3111" s="7" t="s">
        <v>24</v>
      </c>
      <c r="B3111" s="7" t="s">
        <v>127</v>
      </c>
      <c r="C3111" s="7" t="s">
        <v>1241</v>
      </c>
      <c r="D3111" s="7" t="n">
        <v>0</v>
      </c>
      <c r="E3111" s="7" t="n">
        <v>0</v>
      </c>
      <c r="F3111" s="7" t="n">
        <v>11</v>
      </c>
      <c r="G3111" s="7" t="n">
        <v>525.27</v>
      </c>
    </row>
    <row r="3112" customFormat="false" ht="15" hidden="false" customHeight="false" outlineLevel="0" collapsed="false">
      <c r="A3112" s="7" t="s">
        <v>24</v>
      </c>
      <c r="B3112" s="7" t="s">
        <v>127</v>
      </c>
      <c r="C3112" s="7" t="s">
        <v>1241</v>
      </c>
      <c r="D3112" s="7" t="n">
        <v>0</v>
      </c>
      <c r="E3112" s="7" t="n">
        <v>0</v>
      </c>
      <c r="F3112" s="7" t="n">
        <v>1</v>
      </c>
      <c r="G3112" s="7" t="n">
        <v>44</v>
      </c>
    </row>
    <row r="3113" customFormat="false" ht="15" hidden="false" customHeight="false" outlineLevel="0" collapsed="false">
      <c r="A3113" s="7" t="s">
        <v>24</v>
      </c>
      <c r="B3113" s="7" t="s">
        <v>127</v>
      </c>
      <c r="C3113" s="7" t="s">
        <v>1241</v>
      </c>
      <c r="D3113" s="7" t="n">
        <v>0</v>
      </c>
      <c r="E3113" s="7" t="n">
        <v>0</v>
      </c>
      <c r="F3113" s="7" t="n">
        <v>1</v>
      </c>
      <c r="G3113" s="7" t="n">
        <v>46.75</v>
      </c>
    </row>
    <row r="3114" customFormat="false" ht="15" hidden="false" customHeight="false" outlineLevel="0" collapsed="false">
      <c r="A3114" s="7" t="s">
        <v>24</v>
      </c>
      <c r="B3114" s="7" t="s">
        <v>127</v>
      </c>
      <c r="C3114" s="7" t="s">
        <v>1241</v>
      </c>
      <c r="D3114" s="7" t="n">
        <v>0</v>
      </c>
      <c r="E3114" s="7" t="n">
        <v>0</v>
      </c>
      <c r="F3114" s="7" t="n">
        <v>1</v>
      </c>
      <c r="G3114" s="7" t="n">
        <v>41.25</v>
      </c>
    </row>
    <row r="3115" customFormat="false" ht="15" hidden="false" customHeight="false" outlineLevel="0" collapsed="false">
      <c r="A3115" s="7" t="s">
        <v>24</v>
      </c>
      <c r="B3115" s="7" t="s">
        <v>127</v>
      </c>
      <c r="C3115" s="7" t="s">
        <v>1241</v>
      </c>
      <c r="D3115" s="7" t="n">
        <v>0</v>
      </c>
      <c r="E3115" s="7" t="n">
        <v>0</v>
      </c>
      <c r="F3115" s="7" t="n">
        <v>1</v>
      </c>
      <c r="G3115" s="7" t="n">
        <v>46.75</v>
      </c>
    </row>
    <row r="3116" customFormat="false" ht="15" hidden="false" customHeight="false" outlineLevel="0" collapsed="false">
      <c r="A3116" s="7" t="s">
        <v>24</v>
      </c>
      <c r="B3116" s="7" t="s">
        <v>127</v>
      </c>
      <c r="C3116" s="7" t="s">
        <v>1241</v>
      </c>
      <c r="D3116" s="7" t="n">
        <v>0</v>
      </c>
      <c r="E3116" s="7" t="n">
        <v>0</v>
      </c>
      <c r="F3116" s="7" t="n">
        <v>2</v>
      </c>
      <c r="G3116" s="7" t="n">
        <v>99</v>
      </c>
    </row>
    <row r="3117" customFormat="false" ht="15" hidden="false" customHeight="false" outlineLevel="0" collapsed="false">
      <c r="A3117" s="7" t="s">
        <v>24</v>
      </c>
      <c r="B3117" s="7" t="s">
        <v>127</v>
      </c>
      <c r="C3117" s="7" t="s">
        <v>1241</v>
      </c>
      <c r="D3117" s="7" t="n">
        <v>0</v>
      </c>
      <c r="E3117" s="7" t="n">
        <v>0</v>
      </c>
      <c r="F3117" s="7" t="n">
        <v>35</v>
      </c>
      <c r="G3117" s="7" t="n">
        <v>1677.5</v>
      </c>
    </row>
    <row r="3118" customFormat="false" ht="15" hidden="false" customHeight="false" outlineLevel="0" collapsed="false">
      <c r="A3118" s="7" t="s">
        <v>24</v>
      </c>
      <c r="B3118" s="7" t="s">
        <v>127</v>
      </c>
      <c r="C3118" s="7" t="s">
        <v>1241</v>
      </c>
      <c r="D3118" s="7" t="n">
        <v>0</v>
      </c>
      <c r="E3118" s="7" t="n">
        <v>0</v>
      </c>
      <c r="F3118" s="7" t="n">
        <v>2</v>
      </c>
      <c r="G3118" s="7" t="n">
        <v>82.51</v>
      </c>
    </row>
    <row r="3119" customFormat="false" ht="15" hidden="false" customHeight="false" outlineLevel="0" collapsed="false">
      <c r="A3119" s="7" t="s">
        <v>24</v>
      </c>
      <c r="B3119" s="7" t="s">
        <v>127</v>
      </c>
      <c r="C3119" s="7" t="s">
        <v>1241</v>
      </c>
      <c r="D3119" s="7" t="n">
        <v>0</v>
      </c>
      <c r="E3119" s="7" t="n">
        <v>0</v>
      </c>
      <c r="F3119" s="7" t="n">
        <v>5</v>
      </c>
      <c r="G3119" s="7" t="n">
        <v>253.8</v>
      </c>
    </row>
    <row r="3120" customFormat="false" ht="15" hidden="false" customHeight="false" outlineLevel="0" collapsed="false">
      <c r="A3120" s="7" t="s">
        <v>24</v>
      </c>
      <c r="B3120" s="7" t="s">
        <v>127</v>
      </c>
      <c r="C3120" s="7" t="s">
        <v>1241</v>
      </c>
      <c r="D3120" s="7" t="n">
        <v>0</v>
      </c>
      <c r="E3120" s="7" t="n">
        <v>0</v>
      </c>
      <c r="F3120" s="7" t="n">
        <v>3</v>
      </c>
      <c r="G3120" s="7" t="n">
        <v>165</v>
      </c>
    </row>
    <row r="3121" customFormat="false" ht="15" hidden="false" customHeight="false" outlineLevel="0" collapsed="false">
      <c r="A3121" s="7" t="s">
        <v>24</v>
      </c>
      <c r="B3121" s="7" t="s">
        <v>127</v>
      </c>
      <c r="C3121" s="7" t="s">
        <v>1241</v>
      </c>
      <c r="D3121" s="7" t="n">
        <v>0</v>
      </c>
      <c r="E3121" s="7" t="n">
        <v>0</v>
      </c>
      <c r="F3121" s="7" t="n">
        <v>4</v>
      </c>
      <c r="G3121" s="7" t="n">
        <v>198</v>
      </c>
    </row>
    <row r="3122" customFormat="false" ht="15" hidden="false" customHeight="false" outlineLevel="0" collapsed="false">
      <c r="A3122" s="7" t="s">
        <v>24</v>
      </c>
      <c r="B3122" s="7" t="s">
        <v>127</v>
      </c>
      <c r="C3122" s="7" t="s">
        <v>1241</v>
      </c>
      <c r="D3122" s="7" t="n">
        <v>0</v>
      </c>
      <c r="E3122" s="7" t="n">
        <v>0</v>
      </c>
      <c r="F3122" s="7" t="n">
        <v>1</v>
      </c>
      <c r="G3122" s="7" t="n">
        <v>49.5</v>
      </c>
    </row>
    <row r="3123" customFormat="false" ht="15" hidden="false" customHeight="false" outlineLevel="0" collapsed="false">
      <c r="A3123" s="7" t="s">
        <v>24</v>
      </c>
      <c r="B3123" s="7" t="s">
        <v>127</v>
      </c>
      <c r="C3123" s="7" t="s">
        <v>1241</v>
      </c>
      <c r="D3123" s="7" t="n">
        <v>0</v>
      </c>
      <c r="E3123" s="7" t="n">
        <v>0</v>
      </c>
      <c r="F3123" s="7" t="n">
        <v>1</v>
      </c>
      <c r="G3123" s="7" t="n">
        <v>55</v>
      </c>
    </row>
    <row r="3124" customFormat="false" ht="15" hidden="false" customHeight="false" outlineLevel="0" collapsed="false">
      <c r="A3124" s="7" t="s">
        <v>24</v>
      </c>
      <c r="B3124" s="7" t="s">
        <v>127</v>
      </c>
      <c r="C3124" s="7" t="s">
        <v>1241</v>
      </c>
      <c r="D3124" s="7" t="n">
        <v>0</v>
      </c>
      <c r="E3124" s="7" t="n">
        <v>0</v>
      </c>
      <c r="F3124" s="7" t="n">
        <v>1</v>
      </c>
      <c r="G3124" s="7" t="n">
        <v>46.76</v>
      </c>
    </row>
    <row r="3125" customFormat="false" ht="15" hidden="false" customHeight="false" outlineLevel="0" collapsed="false">
      <c r="A3125" s="7" t="s">
        <v>24</v>
      </c>
      <c r="B3125" s="7" t="s">
        <v>127</v>
      </c>
      <c r="C3125" s="7" t="s">
        <v>1241</v>
      </c>
      <c r="D3125" s="7" t="n">
        <v>0</v>
      </c>
      <c r="E3125" s="7" t="n">
        <v>0</v>
      </c>
      <c r="F3125" s="7" t="n">
        <v>2</v>
      </c>
      <c r="G3125" s="7" t="n">
        <v>93.51</v>
      </c>
    </row>
    <row r="3126" customFormat="false" ht="15" hidden="false" customHeight="false" outlineLevel="0" collapsed="false">
      <c r="A3126" s="7" t="s">
        <v>24</v>
      </c>
      <c r="B3126" s="7" t="s">
        <v>127</v>
      </c>
      <c r="C3126" s="7" t="s">
        <v>1241</v>
      </c>
      <c r="D3126" s="7" t="n">
        <v>0</v>
      </c>
      <c r="E3126" s="7" t="n">
        <v>0</v>
      </c>
      <c r="F3126" s="7" t="n">
        <v>5</v>
      </c>
      <c r="G3126" s="7" t="n">
        <v>275</v>
      </c>
    </row>
    <row r="3127" customFormat="false" ht="15" hidden="false" customHeight="false" outlineLevel="0" collapsed="false">
      <c r="A3127" s="7" t="s">
        <v>24</v>
      </c>
      <c r="B3127" s="7" t="s">
        <v>117</v>
      </c>
      <c r="C3127" s="7" t="s">
        <v>1055</v>
      </c>
      <c r="D3127" s="7" t="n">
        <v>76</v>
      </c>
      <c r="E3127" s="7" t="n">
        <v>7779.49</v>
      </c>
      <c r="F3127" s="7" t="n">
        <v>0</v>
      </c>
      <c r="G3127" s="7" t="n">
        <v>0</v>
      </c>
    </row>
    <row r="3128" customFormat="false" ht="15" hidden="false" customHeight="false" outlineLevel="0" collapsed="false">
      <c r="A3128" s="7" t="s">
        <v>24</v>
      </c>
      <c r="B3128" s="7" t="s">
        <v>117</v>
      </c>
      <c r="C3128" s="7" t="s">
        <v>1055</v>
      </c>
      <c r="D3128" s="7" t="n">
        <v>9</v>
      </c>
      <c r="E3128" s="7" t="n">
        <v>998.37</v>
      </c>
      <c r="F3128" s="7" t="n">
        <v>0</v>
      </c>
      <c r="G3128" s="7" t="n">
        <v>0</v>
      </c>
    </row>
    <row r="3129" customFormat="false" ht="15" hidden="false" customHeight="false" outlineLevel="0" collapsed="false">
      <c r="A3129" s="7" t="s">
        <v>24</v>
      </c>
      <c r="B3129" s="7" t="s">
        <v>111</v>
      </c>
      <c r="C3129" s="7" t="s">
        <v>1055</v>
      </c>
      <c r="D3129" s="7" t="n">
        <v>1</v>
      </c>
      <c r="E3129" s="7" t="n">
        <v>0.01</v>
      </c>
      <c r="F3129" s="7" t="n">
        <v>0</v>
      </c>
      <c r="G3129" s="7" t="n">
        <v>0</v>
      </c>
    </row>
    <row r="3130" customFormat="false" ht="15" hidden="false" customHeight="false" outlineLevel="0" collapsed="false">
      <c r="A3130" s="7" t="s">
        <v>24</v>
      </c>
      <c r="B3130" s="7" t="s">
        <v>111</v>
      </c>
      <c r="C3130" s="7" t="s">
        <v>1055</v>
      </c>
      <c r="D3130" s="7" t="n">
        <v>151</v>
      </c>
      <c r="E3130" s="7" t="n">
        <v>15158.84</v>
      </c>
      <c r="F3130" s="7" t="n">
        <v>1</v>
      </c>
      <c r="G3130" s="7" t="n">
        <v>97.17</v>
      </c>
    </row>
    <row r="3131" customFormat="false" ht="15" hidden="false" customHeight="false" outlineLevel="0" collapsed="false">
      <c r="A3131" s="7" t="s">
        <v>24</v>
      </c>
      <c r="B3131" s="7" t="s">
        <v>111</v>
      </c>
      <c r="C3131" s="7" t="s">
        <v>1055</v>
      </c>
      <c r="D3131" s="7" t="n">
        <v>22</v>
      </c>
      <c r="E3131" s="7" t="n">
        <v>2102.12</v>
      </c>
      <c r="F3131" s="7" t="n">
        <v>0</v>
      </c>
      <c r="G3131" s="7" t="n">
        <v>0</v>
      </c>
    </row>
    <row r="3132" customFormat="false" ht="15" hidden="false" customHeight="false" outlineLevel="0" collapsed="false">
      <c r="A3132" s="7" t="s">
        <v>24</v>
      </c>
      <c r="B3132" s="7" t="s">
        <v>113</v>
      </c>
      <c r="C3132" s="7" t="s">
        <v>1055</v>
      </c>
      <c r="D3132" s="7" t="n">
        <v>9</v>
      </c>
      <c r="E3132" s="7" t="n">
        <v>948.45</v>
      </c>
      <c r="F3132" s="7" t="n">
        <v>0</v>
      </c>
      <c r="G3132" s="7" t="n">
        <v>0</v>
      </c>
    </row>
    <row r="3133" customFormat="false" ht="15" hidden="false" customHeight="false" outlineLevel="0" collapsed="false">
      <c r="A3133" s="7" t="s">
        <v>24</v>
      </c>
      <c r="B3133" s="7" t="s">
        <v>113</v>
      </c>
      <c r="C3133" s="7" t="s">
        <v>1055</v>
      </c>
      <c r="D3133" s="7" t="n">
        <v>163</v>
      </c>
      <c r="E3133" s="7" t="n">
        <v>15507.54</v>
      </c>
      <c r="F3133" s="7" t="n">
        <v>0</v>
      </c>
      <c r="G3133" s="7" t="n">
        <v>0</v>
      </c>
    </row>
    <row r="3134" customFormat="false" ht="15" hidden="false" customHeight="false" outlineLevel="0" collapsed="false">
      <c r="A3134" s="7" t="s">
        <v>24</v>
      </c>
      <c r="B3134" s="7" t="s">
        <v>110</v>
      </c>
      <c r="C3134" s="7" t="s">
        <v>1105</v>
      </c>
      <c r="D3134" s="7" t="n">
        <v>12</v>
      </c>
      <c r="E3134" s="7" t="n">
        <v>1234.64</v>
      </c>
      <c r="F3134" s="7" t="n">
        <v>54</v>
      </c>
      <c r="G3134" s="7" t="n">
        <v>5513.68</v>
      </c>
    </row>
    <row r="3135" customFormat="false" ht="15" hidden="false" customHeight="false" outlineLevel="0" collapsed="false">
      <c r="A3135" s="7" t="s">
        <v>24</v>
      </c>
      <c r="B3135" s="7" t="s">
        <v>110</v>
      </c>
      <c r="C3135" s="7" t="s">
        <v>1105</v>
      </c>
      <c r="D3135" s="7" t="n">
        <v>0</v>
      </c>
      <c r="E3135" s="7" t="n">
        <v>0</v>
      </c>
      <c r="F3135" s="7" t="n">
        <v>1</v>
      </c>
      <c r="G3135" s="7" t="n">
        <v>102.89</v>
      </c>
    </row>
    <row r="3136" customFormat="false" ht="15" hidden="false" customHeight="false" outlineLevel="0" collapsed="false">
      <c r="A3136" s="7" t="s">
        <v>24</v>
      </c>
      <c r="B3136" s="7" t="s">
        <v>110</v>
      </c>
      <c r="C3136" s="7" t="s">
        <v>1105</v>
      </c>
      <c r="D3136" s="7" t="n">
        <v>0</v>
      </c>
      <c r="E3136" s="7" t="n">
        <v>0</v>
      </c>
      <c r="F3136" s="7" t="n">
        <v>1</v>
      </c>
      <c r="G3136" s="7" t="n">
        <v>114.32</v>
      </c>
    </row>
    <row r="3137" customFormat="false" ht="15" hidden="false" customHeight="false" outlineLevel="0" collapsed="false">
      <c r="A3137" s="7" t="s">
        <v>24</v>
      </c>
      <c r="B3137" s="7" t="s">
        <v>110</v>
      </c>
      <c r="C3137" s="7" t="s">
        <v>1105</v>
      </c>
      <c r="D3137" s="7" t="n">
        <v>0</v>
      </c>
      <c r="E3137" s="7" t="n">
        <v>0</v>
      </c>
      <c r="F3137" s="7" t="n">
        <v>1</v>
      </c>
      <c r="G3137" s="7" t="n">
        <v>114.33</v>
      </c>
    </row>
    <row r="3138" customFormat="false" ht="15" hidden="false" customHeight="false" outlineLevel="0" collapsed="false">
      <c r="A3138" s="7" t="s">
        <v>24</v>
      </c>
      <c r="B3138" s="7" t="s">
        <v>110</v>
      </c>
      <c r="C3138" s="7" t="s">
        <v>1105</v>
      </c>
      <c r="D3138" s="7" t="n">
        <v>0</v>
      </c>
      <c r="E3138" s="7" t="n">
        <v>0</v>
      </c>
      <c r="F3138" s="7" t="n">
        <v>3</v>
      </c>
      <c r="G3138" s="7" t="n">
        <v>331.53</v>
      </c>
    </row>
    <row r="3139" customFormat="false" ht="15" hidden="false" customHeight="false" outlineLevel="0" collapsed="false">
      <c r="A3139" s="7" t="s">
        <v>24</v>
      </c>
      <c r="B3139" s="7" t="s">
        <v>110</v>
      </c>
      <c r="C3139" s="7" t="s">
        <v>1105</v>
      </c>
      <c r="D3139" s="7" t="n">
        <v>0</v>
      </c>
      <c r="E3139" s="7" t="n">
        <v>0</v>
      </c>
      <c r="F3139" s="7" t="n">
        <v>4</v>
      </c>
      <c r="G3139" s="7" t="n">
        <v>382.96</v>
      </c>
    </row>
    <row r="3140" customFormat="false" ht="15" hidden="false" customHeight="false" outlineLevel="0" collapsed="false">
      <c r="A3140" s="7" t="s">
        <v>24</v>
      </c>
      <c r="B3140" s="7" t="s">
        <v>110</v>
      </c>
      <c r="C3140" s="7" t="s">
        <v>1105</v>
      </c>
      <c r="D3140" s="7" t="n">
        <v>0</v>
      </c>
      <c r="E3140" s="7" t="n">
        <v>0</v>
      </c>
      <c r="F3140" s="7" t="n">
        <v>1</v>
      </c>
      <c r="G3140" s="7" t="n">
        <v>114.32</v>
      </c>
    </row>
    <row r="3141" customFormat="false" ht="15" hidden="false" customHeight="false" outlineLevel="0" collapsed="false">
      <c r="A3141" s="7" t="s">
        <v>24</v>
      </c>
      <c r="B3141" s="7" t="s">
        <v>110</v>
      </c>
      <c r="C3141" s="7" t="s">
        <v>1105</v>
      </c>
      <c r="D3141" s="7" t="n">
        <v>0</v>
      </c>
      <c r="E3141" s="7" t="n">
        <v>0</v>
      </c>
      <c r="F3141" s="7" t="n">
        <v>1</v>
      </c>
      <c r="G3141" s="7" t="n">
        <v>97.18</v>
      </c>
    </row>
    <row r="3142" customFormat="false" ht="15" hidden="false" customHeight="false" outlineLevel="0" collapsed="false">
      <c r="A3142" s="7" t="s">
        <v>24</v>
      </c>
      <c r="B3142" s="7" t="s">
        <v>110</v>
      </c>
      <c r="C3142" s="7" t="s">
        <v>1105</v>
      </c>
      <c r="D3142" s="7" t="n">
        <v>0</v>
      </c>
      <c r="E3142" s="7" t="n">
        <v>0</v>
      </c>
      <c r="F3142" s="7" t="n">
        <v>1</v>
      </c>
      <c r="G3142" s="7" t="n">
        <v>114.33</v>
      </c>
    </row>
    <row r="3143" customFormat="false" ht="15" hidden="false" customHeight="false" outlineLevel="0" collapsed="false">
      <c r="A3143" s="7" t="s">
        <v>24</v>
      </c>
      <c r="B3143" s="7" t="s">
        <v>110</v>
      </c>
      <c r="C3143" s="7" t="s">
        <v>1105</v>
      </c>
      <c r="D3143" s="7" t="n">
        <v>0</v>
      </c>
      <c r="E3143" s="7" t="n">
        <v>0</v>
      </c>
      <c r="F3143" s="7" t="n">
        <v>2</v>
      </c>
      <c r="G3143" s="7" t="n">
        <v>211.5</v>
      </c>
    </row>
    <row r="3144" customFormat="false" ht="15" hidden="false" customHeight="false" outlineLevel="0" collapsed="false">
      <c r="A3144" s="7" t="s">
        <v>24</v>
      </c>
      <c r="B3144" s="7" t="s">
        <v>110</v>
      </c>
      <c r="C3144" s="7" t="s">
        <v>1105</v>
      </c>
      <c r="D3144" s="7" t="n">
        <v>0</v>
      </c>
      <c r="E3144" s="7" t="n">
        <v>0</v>
      </c>
      <c r="F3144" s="7" t="n">
        <v>6</v>
      </c>
      <c r="G3144" s="7" t="n">
        <v>617.37</v>
      </c>
    </row>
    <row r="3145" customFormat="false" ht="15" hidden="false" customHeight="false" outlineLevel="0" collapsed="false">
      <c r="A3145" s="7" t="s">
        <v>24</v>
      </c>
      <c r="B3145" s="7" t="s">
        <v>110</v>
      </c>
      <c r="C3145" s="7" t="s">
        <v>1105</v>
      </c>
      <c r="D3145" s="7" t="n">
        <v>0</v>
      </c>
      <c r="E3145" s="7" t="n">
        <v>0</v>
      </c>
      <c r="F3145" s="7" t="n">
        <v>6</v>
      </c>
      <c r="G3145" s="7" t="n">
        <v>594.49</v>
      </c>
    </row>
    <row r="3146" customFormat="false" ht="15" hidden="false" customHeight="false" outlineLevel="0" collapsed="false">
      <c r="A3146" s="7" t="s">
        <v>24</v>
      </c>
      <c r="B3146" s="7" t="s">
        <v>110</v>
      </c>
      <c r="C3146" s="7" t="s">
        <v>1105</v>
      </c>
      <c r="D3146" s="7" t="n">
        <v>0</v>
      </c>
      <c r="E3146" s="7" t="n">
        <v>0</v>
      </c>
      <c r="F3146" s="7" t="n">
        <v>1</v>
      </c>
      <c r="G3146" s="7" t="n">
        <v>114.32</v>
      </c>
    </row>
    <row r="3147" customFormat="false" ht="15" hidden="false" customHeight="false" outlineLevel="0" collapsed="false">
      <c r="A3147" s="7" t="s">
        <v>24</v>
      </c>
      <c r="B3147" s="7" t="s">
        <v>110</v>
      </c>
      <c r="C3147" s="7" t="s">
        <v>1105</v>
      </c>
      <c r="D3147" s="7" t="n">
        <v>0</v>
      </c>
      <c r="E3147" s="7" t="n">
        <v>0</v>
      </c>
      <c r="F3147" s="7" t="n">
        <v>1</v>
      </c>
      <c r="G3147" s="7" t="n">
        <v>114.32</v>
      </c>
    </row>
    <row r="3148" customFormat="false" ht="15" hidden="false" customHeight="false" outlineLevel="0" collapsed="false">
      <c r="A3148" s="7" t="s">
        <v>24</v>
      </c>
      <c r="B3148" s="7" t="s">
        <v>110</v>
      </c>
      <c r="C3148" s="7" t="s">
        <v>1105</v>
      </c>
      <c r="D3148" s="7" t="n">
        <v>0</v>
      </c>
      <c r="E3148" s="7" t="n">
        <v>0</v>
      </c>
      <c r="F3148" s="7" t="n">
        <v>1</v>
      </c>
      <c r="G3148" s="7" t="n">
        <v>97.17</v>
      </c>
    </row>
    <row r="3149" customFormat="false" ht="15" hidden="false" customHeight="false" outlineLevel="0" collapsed="false">
      <c r="A3149" s="7" t="s">
        <v>24</v>
      </c>
      <c r="B3149" s="7" t="s">
        <v>110</v>
      </c>
      <c r="C3149" s="7" t="s">
        <v>1105</v>
      </c>
      <c r="D3149" s="7" t="n">
        <v>0</v>
      </c>
      <c r="E3149" s="7" t="n">
        <v>0</v>
      </c>
      <c r="F3149" s="7" t="n">
        <v>3</v>
      </c>
      <c r="G3149" s="7" t="n">
        <v>320.1</v>
      </c>
    </row>
    <row r="3150" customFormat="false" ht="15" hidden="false" customHeight="false" outlineLevel="0" collapsed="false">
      <c r="A3150" s="7" t="s">
        <v>24</v>
      </c>
      <c r="B3150" s="7" t="s">
        <v>110</v>
      </c>
      <c r="C3150" s="7" t="s">
        <v>1105</v>
      </c>
      <c r="D3150" s="7" t="n">
        <v>0</v>
      </c>
      <c r="E3150" s="7" t="n">
        <v>0</v>
      </c>
      <c r="F3150" s="7" t="n">
        <v>1</v>
      </c>
      <c r="G3150" s="7" t="n">
        <v>114.33</v>
      </c>
    </row>
    <row r="3151" customFormat="false" ht="15" hidden="false" customHeight="false" outlineLevel="0" collapsed="false">
      <c r="A3151" s="7" t="s">
        <v>24</v>
      </c>
      <c r="B3151" s="7" t="s">
        <v>110</v>
      </c>
      <c r="C3151" s="7" t="s">
        <v>1105</v>
      </c>
      <c r="D3151" s="7" t="n">
        <v>0</v>
      </c>
      <c r="E3151" s="7" t="n">
        <v>0</v>
      </c>
      <c r="F3151" s="7" t="n">
        <v>1</v>
      </c>
      <c r="G3151" s="7" t="n">
        <v>114.33</v>
      </c>
    </row>
    <row r="3152" customFormat="false" ht="15" hidden="false" customHeight="false" outlineLevel="0" collapsed="false">
      <c r="A3152" s="7" t="s">
        <v>24</v>
      </c>
      <c r="B3152" s="7" t="s">
        <v>110</v>
      </c>
      <c r="C3152" s="7" t="s">
        <v>1105</v>
      </c>
      <c r="D3152" s="7" t="n">
        <v>0</v>
      </c>
      <c r="E3152" s="7" t="n">
        <v>0</v>
      </c>
      <c r="F3152" s="7" t="n">
        <v>1</v>
      </c>
      <c r="G3152" s="7" t="n">
        <v>102.89</v>
      </c>
    </row>
    <row r="3153" customFormat="false" ht="15" hidden="false" customHeight="false" outlineLevel="0" collapsed="false">
      <c r="A3153" s="7" t="s">
        <v>24</v>
      </c>
      <c r="B3153" s="7" t="s">
        <v>110</v>
      </c>
      <c r="C3153" s="7" t="s">
        <v>1105</v>
      </c>
      <c r="D3153" s="7" t="n">
        <v>0</v>
      </c>
      <c r="E3153" s="7" t="n">
        <v>0</v>
      </c>
      <c r="F3153" s="7" t="n">
        <v>1</v>
      </c>
      <c r="G3153" s="7" t="n">
        <v>114.33</v>
      </c>
    </row>
    <row r="3154" customFormat="false" ht="15" hidden="false" customHeight="false" outlineLevel="0" collapsed="false">
      <c r="A3154" s="7" t="s">
        <v>24</v>
      </c>
      <c r="B3154" s="7" t="s">
        <v>110</v>
      </c>
      <c r="C3154" s="7" t="s">
        <v>1105</v>
      </c>
      <c r="D3154" s="7" t="n">
        <v>0</v>
      </c>
      <c r="E3154" s="7" t="n">
        <v>0</v>
      </c>
      <c r="F3154" s="7" t="n">
        <v>2</v>
      </c>
      <c r="G3154" s="7" t="n">
        <v>194.36</v>
      </c>
    </row>
    <row r="3155" customFormat="false" ht="15" hidden="false" customHeight="false" outlineLevel="0" collapsed="false">
      <c r="A3155" s="7" t="s">
        <v>24</v>
      </c>
      <c r="B3155" s="7" t="s">
        <v>110</v>
      </c>
      <c r="C3155" s="7" t="s">
        <v>1105</v>
      </c>
      <c r="D3155" s="7" t="n">
        <v>0</v>
      </c>
      <c r="E3155" s="7" t="n">
        <v>0</v>
      </c>
      <c r="F3155" s="7" t="n">
        <v>1</v>
      </c>
      <c r="G3155" s="7" t="n">
        <v>114.33</v>
      </c>
    </row>
    <row r="3156" customFormat="false" ht="15" hidden="false" customHeight="false" outlineLevel="0" collapsed="false">
      <c r="A3156" s="7" t="s">
        <v>24</v>
      </c>
      <c r="B3156" s="7" t="s">
        <v>110</v>
      </c>
      <c r="C3156" s="7" t="s">
        <v>1105</v>
      </c>
      <c r="D3156" s="7" t="n">
        <v>0</v>
      </c>
      <c r="E3156" s="7" t="n">
        <v>0</v>
      </c>
      <c r="F3156" s="7" t="n">
        <v>1</v>
      </c>
      <c r="G3156" s="7" t="n">
        <v>102.89</v>
      </c>
    </row>
    <row r="3157" customFormat="false" ht="15" hidden="false" customHeight="false" outlineLevel="0" collapsed="false">
      <c r="A3157" s="7" t="s">
        <v>24</v>
      </c>
      <c r="B3157" s="7" t="s">
        <v>110</v>
      </c>
      <c r="C3157" s="7" t="s">
        <v>1105</v>
      </c>
      <c r="D3157" s="7" t="n">
        <v>0</v>
      </c>
      <c r="E3157" s="7" t="n">
        <v>0</v>
      </c>
      <c r="F3157" s="7" t="n">
        <v>1</v>
      </c>
      <c r="G3157" s="7" t="n">
        <v>114.32</v>
      </c>
    </row>
    <row r="3158" customFormat="false" ht="15" hidden="false" customHeight="false" outlineLevel="0" collapsed="false">
      <c r="A3158" s="7" t="s">
        <v>24</v>
      </c>
      <c r="B3158" s="7" t="s">
        <v>110</v>
      </c>
      <c r="C3158" s="7" t="s">
        <v>1105</v>
      </c>
      <c r="D3158" s="7" t="n">
        <v>0</v>
      </c>
      <c r="E3158" s="7" t="n">
        <v>0</v>
      </c>
      <c r="F3158" s="7" t="n">
        <v>1</v>
      </c>
      <c r="G3158" s="7" t="n">
        <v>114.33</v>
      </c>
    </row>
    <row r="3159" customFormat="false" ht="15" hidden="false" customHeight="false" outlineLevel="0" collapsed="false">
      <c r="A3159" s="7" t="s">
        <v>24</v>
      </c>
      <c r="B3159" s="7" t="s">
        <v>110</v>
      </c>
      <c r="C3159" s="7" t="s">
        <v>1105</v>
      </c>
      <c r="D3159" s="7" t="n">
        <v>0</v>
      </c>
      <c r="E3159" s="7" t="n">
        <v>0</v>
      </c>
      <c r="F3159" s="7" t="n">
        <v>1</v>
      </c>
      <c r="G3159" s="7" t="n">
        <v>97.17</v>
      </c>
    </row>
    <row r="3160" customFormat="false" ht="15" hidden="false" customHeight="false" outlineLevel="0" collapsed="false">
      <c r="A3160" s="7" t="s">
        <v>24</v>
      </c>
      <c r="B3160" s="7" t="s">
        <v>110</v>
      </c>
      <c r="C3160" s="7" t="s">
        <v>1105</v>
      </c>
      <c r="D3160" s="7" t="n">
        <v>0</v>
      </c>
      <c r="E3160" s="7" t="n">
        <v>0</v>
      </c>
      <c r="F3160" s="7" t="n">
        <v>1</v>
      </c>
      <c r="G3160" s="7" t="n">
        <v>97.17</v>
      </c>
    </row>
    <row r="3161" customFormat="false" ht="15" hidden="false" customHeight="false" outlineLevel="0" collapsed="false">
      <c r="A3161" s="7" t="s">
        <v>24</v>
      </c>
      <c r="B3161" s="7" t="s">
        <v>110</v>
      </c>
      <c r="C3161" s="7" t="s">
        <v>1105</v>
      </c>
      <c r="D3161" s="7" t="n">
        <v>0</v>
      </c>
      <c r="E3161" s="7" t="n">
        <v>0</v>
      </c>
      <c r="F3161" s="7" t="n">
        <v>1</v>
      </c>
      <c r="G3161" s="7" t="n">
        <v>114.33</v>
      </c>
    </row>
    <row r="3162" customFormat="false" ht="15" hidden="false" customHeight="false" outlineLevel="0" collapsed="false">
      <c r="A3162" s="7" t="s">
        <v>24</v>
      </c>
      <c r="B3162" s="7" t="s">
        <v>110</v>
      </c>
      <c r="C3162" s="7" t="s">
        <v>1105</v>
      </c>
      <c r="D3162" s="7" t="n">
        <v>0</v>
      </c>
      <c r="E3162" s="7" t="n">
        <v>0</v>
      </c>
      <c r="F3162" s="7" t="n">
        <v>1</v>
      </c>
      <c r="G3162" s="7" t="n">
        <v>114.32</v>
      </c>
    </row>
    <row r="3163" customFormat="false" ht="15" hidden="false" customHeight="false" outlineLevel="0" collapsed="false">
      <c r="A3163" s="7" t="s">
        <v>24</v>
      </c>
      <c r="B3163" s="7" t="s">
        <v>110</v>
      </c>
      <c r="C3163" s="7" t="s">
        <v>1105</v>
      </c>
      <c r="D3163" s="7" t="n">
        <v>0</v>
      </c>
      <c r="E3163" s="7" t="n">
        <v>0</v>
      </c>
      <c r="F3163" s="7" t="n">
        <v>4</v>
      </c>
      <c r="G3163" s="7" t="n">
        <v>417.28</v>
      </c>
    </row>
    <row r="3164" customFormat="false" ht="15" hidden="false" customHeight="false" outlineLevel="0" collapsed="false">
      <c r="A3164" s="7" t="s">
        <v>24</v>
      </c>
      <c r="B3164" s="7" t="s">
        <v>110</v>
      </c>
      <c r="C3164" s="7" t="s">
        <v>1105</v>
      </c>
      <c r="D3164" s="7" t="n">
        <v>0</v>
      </c>
      <c r="E3164" s="7" t="n">
        <v>0</v>
      </c>
      <c r="F3164" s="7" t="n">
        <v>2</v>
      </c>
      <c r="G3164" s="7" t="n">
        <v>194.36</v>
      </c>
    </row>
    <row r="3165" customFormat="false" ht="15" hidden="false" customHeight="false" outlineLevel="0" collapsed="false">
      <c r="A3165" s="7" t="s">
        <v>24</v>
      </c>
      <c r="B3165" s="7" t="s">
        <v>110</v>
      </c>
      <c r="C3165" s="7" t="s">
        <v>1105</v>
      </c>
      <c r="D3165" s="7" t="n">
        <v>0</v>
      </c>
      <c r="E3165" s="7" t="n">
        <v>0</v>
      </c>
      <c r="F3165" s="7" t="n">
        <v>1</v>
      </c>
      <c r="G3165" s="7" t="n">
        <v>114.33</v>
      </c>
    </row>
    <row r="3166" customFormat="false" ht="15" hidden="false" customHeight="false" outlineLevel="0" collapsed="false">
      <c r="A3166" s="7" t="s">
        <v>24</v>
      </c>
      <c r="B3166" s="7" t="s">
        <v>110</v>
      </c>
      <c r="C3166" s="7" t="s">
        <v>1105</v>
      </c>
      <c r="D3166" s="7" t="n">
        <v>0</v>
      </c>
      <c r="E3166" s="7" t="n">
        <v>0</v>
      </c>
      <c r="F3166" s="7" t="n">
        <v>1</v>
      </c>
      <c r="G3166" s="7" t="n">
        <v>97.17</v>
      </c>
    </row>
    <row r="3167" customFormat="false" ht="15" hidden="false" customHeight="false" outlineLevel="0" collapsed="false">
      <c r="A3167" s="7" t="s">
        <v>24</v>
      </c>
      <c r="B3167" s="7" t="s">
        <v>110</v>
      </c>
      <c r="C3167" s="7" t="s">
        <v>1105</v>
      </c>
      <c r="D3167" s="7" t="n">
        <v>0</v>
      </c>
      <c r="E3167" s="7" t="n">
        <v>0</v>
      </c>
      <c r="F3167" s="7" t="n">
        <v>3</v>
      </c>
      <c r="G3167" s="7" t="n">
        <v>342.96</v>
      </c>
    </row>
    <row r="3168" customFormat="false" ht="15" hidden="false" customHeight="false" outlineLevel="0" collapsed="false">
      <c r="A3168" s="7" t="s">
        <v>24</v>
      </c>
      <c r="B3168" s="7" t="s">
        <v>110</v>
      </c>
      <c r="C3168" s="7" t="s">
        <v>1105</v>
      </c>
      <c r="D3168" s="7" t="n">
        <v>0</v>
      </c>
      <c r="E3168" s="7" t="n">
        <v>0</v>
      </c>
      <c r="F3168" s="7" t="n">
        <v>3</v>
      </c>
      <c r="G3168" s="7" t="n">
        <v>291.53</v>
      </c>
    </row>
    <row r="3169" customFormat="false" ht="15" hidden="false" customHeight="false" outlineLevel="0" collapsed="false">
      <c r="A3169" s="7" t="s">
        <v>24</v>
      </c>
      <c r="B3169" s="7" t="s">
        <v>110</v>
      </c>
      <c r="C3169" s="7" t="s">
        <v>1105</v>
      </c>
      <c r="D3169" s="7" t="n">
        <v>0</v>
      </c>
      <c r="E3169" s="7" t="n">
        <v>0</v>
      </c>
      <c r="F3169" s="7" t="n">
        <v>1</v>
      </c>
      <c r="G3169" s="7" t="n">
        <v>102.89</v>
      </c>
    </row>
    <row r="3170" customFormat="false" ht="15" hidden="false" customHeight="false" outlineLevel="0" collapsed="false">
      <c r="A3170" s="7" t="s">
        <v>24</v>
      </c>
      <c r="B3170" s="7" t="s">
        <v>110</v>
      </c>
      <c r="C3170" s="7" t="s">
        <v>1105</v>
      </c>
      <c r="D3170" s="7" t="n">
        <v>0</v>
      </c>
      <c r="E3170" s="7" t="n">
        <v>0</v>
      </c>
      <c r="F3170" s="7" t="n">
        <v>2</v>
      </c>
      <c r="G3170" s="7" t="n">
        <v>228.66</v>
      </c>
    </row>
    <row r="3171" customFormat="false" ht="15" hidden="false" customHeight="false" outlineLevel="0" collapsed="false">
      <c r="A3171" s="7" t="s">
        <v>24</v>
      </c>
      <c r="B3171" s="7" t="s">
        <v>110</v>
      </c>
      <c r="C3171" s="7" t="s">
        <v>1105</v>
      </c>
      <c r="D3171" s="7" t="n">
        <v>0</v>
      </c>
      <c r="E3171" s="7" t="n">
        <v>0</v>
      </c>
      <c r="F3171" s="7" t="n">
        <v>1</v>
      </c>
      <c r="G3171" s="7" t="n">
        <v>114.32</v>
      </c>
    </row>
    <row r="3172" customFormat="false" ht="15" hidden="false" customHeight="false" outlineLevel="0" collapsed="false">
      <c r="A3172" s="7" t="s">
        <v>24</v>
      </c>
      <c r="B3172" s="7" t="s">
        <v>110</v>
      </c>
      <c r="C3172" s="7" t="s">
        <v>1105</v>
      </c>
      <c r="D3172" s="7" t="n">
        <v>0</v>
      </c>
      <c r="E3172" s="7" t="n">
        <v>0</v>
      </c>
      <c r="F3172" s="7" t="n">
        <v>2</v>
      </c>
      <c r="G3172" s="7" t="n">
        <v>217.21</v>
      </c>
    </row>
    <row r="3173" customFormat="false" ht="15" hidden="false" customHeight="false" outlineLevel="0" collapsed="false">
      <c r="A3173" s="7" t="s">
        <v>24</v>
      </c>
      <c r="B3173" s="7" t="s">
        <v>110</v>
      </c>
      <c r="C3173" s="7" t="s">
        <v>1105</v>
      </c>
      <c r="D3173" s="7" t="n">
        <v>0</v>
      </c>
      <c r="E3173" s="7" t="n">
        <v>0</v>
      </c>
      <c r="F3173" s="7" t="n">
        <v>1</v>
      </c>
      <c r="G3173" s="7" t="n">
        <v>102.89</v>
      </c>
    </row>
    <row r="3174" customFormat="false" ht="15" hidden="false" customHeight="false" outlineLevel="0" collapsed="false">
      <c r="A3174" s="7" t="s">
        <v>24</v>
      </c>
      <c r="B3174" s="7" t="s">
        <v>110</v>
      </c>
      <c r="C3174" s="7" t="s">
        <v>1105</v>
      </c>
      <c r="D3174" s="7" t="n">
        <v>0</v>
      </c>
      <c r="E3174" s="7" t="n">
        <v>0</v>
      </c>
      <c r="F3174" s="7" t="n">
        <v>1</v>
      </c>
      <c r="G3174" s="7" t="n">
        <v>102.89</v>
      </c>
    </row>
    <row r="3175" customFormat="false" ht="15" hidden="false" customHeight="false" outlineLevel="0" collapsed="false">
      <c r="A3175" s="7" t="s">
        <v>24</v>
      </c>
      <c r="B3175" s="7" t="s">
        <v>110</v>
      </c>
      <c r="C3175" s="7" t="s">
        <v>1105</v>
      </c>
      <c r="D3175" s="7" t="n">
        <v>0</v>
      </c>
      <c r="E3175" s="7" t="n">
        <v>0</v>
      </c>
      <c r="F3175" s="7" t="n">
        <v>1</v>
      </c>
      <c r="G3175" s="7" t="n">
        <v>114.32</v>
      </c>
    </row>
    <row r="3176" customFormat="false" ht="15" hidden="false" customHeight="false" outlineLevel="0" collapsed="false">
      <c r="A3176" s="7" t="s">
        <v>24</v>
      </c>
      <c r="B3176" s="7" t="s">
        <v>110</v>
      </c>
      <c r="C3176" s="7" t="s">
        <v>1105</v>
      </c>
      <c r="D3176" s="7" t="n">
        <v>0</v>
      </c>
      <c r="E3176" s="7" t="n">
        <v>0</v>
      </c>
      <c r="F3176" s="7" t="n">
        <v>1</v>
      </c>
      <c r="G3176" s="7" t="n">
        <v>114.33</v>
      </c>
    </row>
    <row r="3177" customFormat="false" ht="15" hidden="false" customHeight="false" outlineLevel="0" collapsed="false">
      <c r="A3177" s="7" t="s">
        <v>24</v>
      </c>
      <c r="B3177" s="7" t="s">
        <v>110</v>
      </c>
      <c r="C3177" s="7" t="s">
        <v>1105</v>
      </c>
      <c r="D3177" s="7" t="n">
        <v>0</v>
      </c>
      <c r="E3177" s="7" t="n">
        <v>0</v>
      </c>
      <c r="F3177" s="7" t="n">
        <v>2</v>
      </c>
      <c r="G3177" s="7" t="n">
        <v>194.36</v>
      </c>
    </row>
    <row r="3178" customFormat="false" ht="15" hidden="false" customHeight="false" outlineLevel="0" collapsed="false">
      <c r="A3178" s="7" t="s">
        <v>24</v>
      </c>
      <c r="B3178" s="7" t="s">
        <v>110</v>
      </c>
      <c r="C3178" s="7" t="s">
        <v>1105</v>
      </c>
      <c r="D3178" s="7" t="n">
        <v>0</v>
      </c>
      <c r="E3178" s="7" t="n">
        <v>0</v>
      </c>
      <c r="F3178" s="7" t="n">
        <v>2</v>
      </c>
      <c r="G3178" s="7" t="n">
        <v>228.65</v>
      </c>
    </row>
    <row r="3179" customFormat="false" ht="15" hidden="false" customHeight="false" outlineLevel="0" collapsed="false">
      <c r="A3179" s="7" t="s">
        <v>24</v>
      </c>
      <c r="B3179" s="7" t="s">
        <v>110</v>
      </c>
      <c r="C3179" s="7" t="s">
        <v>1105</v>
      </c>
      <c r="D3179" s="7" t="n">
        <v>0</v>
      </c>
      <c r="E3179" s="7" t="n">
        <v>0</v>
      </c>
      <c r="F3179" s="7" t="n">
        <v>1</v>
      </c>
      <c r="G3179" s="7" t="n">
        <v>97.17</v>
      </c>
    </row>
    <row r="3180" customFormat="false" ht="15" hidden="false" customHeight="false" outlineLevel="0" collapsed="false">
      <c r="A3180" s="7" t="s">
        <v>24</v>
      </c>
      <c r="B3180" s="7" t="s">
        <v>110</v>
      </c>
      <c r="C3180" s="7" t="s">
        <v>1105</v>
      </c>
      <c r="D3180" s="7" t="n">
        <v>0</v>
      </c>
      <c r="E3180" s="7" t="n">
        <v>0</v>
      </c>
      <c r="F3180" s="7" t="n">
        <v>1</v>
      </c>
      <c r="G3180" s="7" t="n">
        <v>91.46</v>
      </c>
    </row>
    <row r="3181" customFormat="false" ht="15" hidden="false" customHeight="false" outlineLevel="0" collapsed="false">
      <c r="A3181" s="7" t="s">
        <v>24</v>
      </c>
      <c r="B3181" s="7" t="s">
        <v>110</v>
      </c>
      <c r="C3181" s="7" t="s">
        <v>1105</v>
      </c>
      <c r="D3181" s="7" t="n">
        <v>0</v>
      </c>
      <c r="E3181" s="7" t="n">
        <v>0</v>
      </c>
      <c r="F3181" s="7" t="n">
        <v>2</v>
      </c>
      <c r="G3181" s="7" t="n">
        <v>194.36</v>
      </c>
    </row>
    <row r="3182" customFormat="false" ht="15" hidden="false" customHeight="false" outlineLevel="0" collapsed="false">
      <c r="A3182" s="7" t="s">
        <v>24</v>
      </c>
      <c r="B3182" s="7" t="s">
        <v>110</v>
      </c>
      <c r="C3182" s="7" t="s">
        <v>1105</v>
      </c>
      <c r="D3182" s="7" t="n">
        <v>0</v>
      </c>
      <c r="E3182" s="7" t="n">
        <v>0</v>
      </c>
      <c r="F3182" s="7" t="n">
        <v>1</v>
      </c>
      <c r="G3182" s="7" t="n">
        <v>114.33</v>
      </c>
    </row>
    <row r="3183" customFormat="false" ht="15" hidden="false" customHeight="false" outlineLevel="0" collapsed="false">
      <c r="A3183" s="7" t="s">
        <v>24</v>
      </c>
      <c r="B3183" s="7" t="s">
        <v>110</v>
      </c>
      <c r="C3183" s="7" t="s">
        <v>1105</v>
      </c>
      <c r="D3183" s="7" t="n">
        <v>0</v>
      </c>
      <c r="E3183" s="7" t="n">
        <v>0</v>
      </c>
      <c r="F3183" s="7" t="n">
        <v>1</v>
      </c>
      <c r="G3183" s="7" t="n">
        <v>97.17</v>
      </c>
    </row>
    <row r="3184" customFormat="false" ht="15" hidden="false" customHeight="false" outlineLevel="0" collapsed="false">
      <c r="A3184" s="7" t="s">
        <v>24</v>
      </c>
      <c r="B3184" s="7" t="s">
        <v>110</v>
      </c>
      <c r="C3184" s="7" t="s">
        <v>1105</v>
      </c>
      <c r="D3184" s="7" t="n">
        <v>0</v>
      </c>
      <c r="E3184" s="7" t="n">
        <v>0</v>
      </c>
      <c r="F3184" s="7" t="n">
        <v>1</v>
      </c>
      <c r="G3184" s="7" t="n">
        <v>114.33</v>
      </c>
    </row>
    <row r="3185" customFormat="false" ht="15" hidden="false" customHeight="false" outlineLevel="0" collapsed="false">
      <c r="A3185" s="7" t="s">
        <v>24</v>
      </c>
      <c r="B3185" s="7" t="s">
        <v>110</v>
      </c>
      <c r="C3185" s="7" t="s">
        <v>1105</v>
      </c>
      <c r="D3185" s="7" t="n">
        <v>0</v>
      </c>
      <c r="E3185" s="7" t="n">
        <v>0</v>
      </c>
      <c r="F3185" s="7" t="n">
        <v>4</v>
      </c>
      <c r="G3185" s="7" t="n">
        <v>440.14</v>
      </c>
    </row>
    <row r="3186" customFormat="false" ht="15" hidden="false" customHeight="false" outlineLevel="0" collapsed="false">
      <c r="A3186" s="7" t="s">
        <v>24</v>
      </c>
      <c r="B3186" s="7" t="s">
        <v>110</v>
      </c>
      <c r="C3186" s="7" t="s">
        <v>1105</v>
      </c>
      <c r="D3186" s="7" t="n">
        <v>0</v>
      </c>
      <c r="E3186" s="7" t="n">
        <v>0</v>
      </c>
      <c r="F3186" s="7" t="n">
        <v>1</v>
      </c>
      <c r="G3186" s="7" t="n">
        <v>0</v>
      </c>
    </row>
    <row r="3187" customFormat="false" ht="15" hidden="false" customHeight="false" outlineLevel="0" collapsed="false">
      <c r="A3187" s="7" t="s">
        <v>24</v>
      </c>
      <c r="B3187" s="7" t="s">
        <v>110</v>
      </c>
      <c r="C3187" s="7" t="s">
        <v>1105</v>
      </c>
      <c r="D3187" s="7" t="n">
        <v>0</v>
      </c>
      <c r="E3187" s="7" t="n">
        <v>0</v>
      </c>
      <c r="F3187" s="7" t="n">
        <v>2</v>
      </c>
      <c r="G3187" s="7" t="n">
        <v>217.21</v>
      </c>
    </row>
    <row r="3188" customFormat="false" ht="15" hidden="false" customHeight="false" outlineLevel="0" collapsed="false">
      <c r="A3188" s="7" t="s">
        <v>24</v>
      </c>
      <c r="B3188" s="7" t="s">
        <v>110</v>
      </c>
      <c r="C3188" s="7" t="s">
        <v>1105</v>
      </c>
      <c r="D3188" s="7" t="n">
        <v>0</v>
      </c>
      <c r="E3188" s="7" t="n">
        <v>0</v>
      </c>
      <c r="F3188" s="7" t="n">
        <v>1</v>
      </c>
      <c r="G3188" s="7" t="n">
        <v>97.17</v>
      </c>
    </row>
    <row r="3189" customFormat="false" ht="15" hidden="false" customHeight="false" outlineLevel="0" collapsed="false">
      <c r="A3189" s="7" t="s">
        <v>24</v>
      </c>
      <c r="B3189" s="7" t="s">
        <v>110</v>
      </c>
      <c r="C3189" s="7" t="s">
        <v>1105</v>
      </c>
      <c r="D3189" s="7" t="n">
        <v>0</v>
      </c>
      <c r="E3189" s="7" t="n">
        <v>0</v>
      </c>
      <c r="F3189" s="7" t="n">
        <v>6</v>
      </c>
      <c r="G3189" s="7" t="n">
        <v>651.63</v>
      </c>
    </row>
    <row r="3190" customFormat="false" ht="15" hidden="false" customHeight="false" outlineLevel="0" collapsed="false">
      <c r="A3190" s="7" t="s">
        <v>24</v>
      </c>
      <c r="B3190" s="7" t="s">
        <v>110</v>
      </c>
      <c r="C3190" s="7" t="s">
        <v>1105</v>
      </c>
      <c r="D3190" s="7" t="n">
        <v>0</v>
      </c>
      <c r="E3190" s="7" t="n">
        <v>0</v>
      </c>
      <c r="F3190" s="7" t="n">
        <v>2</v>
      </c>
      <c r="G3190" s="7" t="n">
        <v>194.36</v>
      </c>
    </row>
    <row r="3191" customFormat="false" ht="15" hidden="false" customHeight="false" outlineLevel="0" collapsed="false">
      <c r="A3191" s="7" t="s">
        <v>24</v>
      </c>
      <c r="B3191" s="7" t="s">
        <v>110</v>
      </c>
      <c r="C3191" s="7" t="s">
        <v>1105</v>
      </c>
      <c r="D3191" s="7" t="n">
        <v>0</v>
      </c>
      <c r="E3191" s="7" t="n">
        <v>0</v>
      </c>
      <c r="F3191" s="7" t="n">
        <v>2</v>
      </c>
      <c r="G3191" s="7" t="n">
        <v>205.78</v>
      </c>
    </row>
    <row r="3192" customFormat="false" ht="15" hidden="false" customHeight="false" outlineLevel="0" collapsed="false">
      <c r="A3192" s="7" t="s">
        <v>24</v>
      </c>
      <c r="B3192" s="7" t="s">
        <v>110</v>
      </c>
      <c r="C3192" s="7" t="s">
        <v>1105</v>
      </c>
      <c r="D3192" s="7" t="n">
        <v>0</v>
      </c>
      <c r="E3192" s="7" t="n">
        <v>0</v>
      </c>
      <c r="F3192" s="7" t="n">
        <v>2</v>
      </c>
      <c r="G3192" s="7" t="n">
        <v>194.36</v>
      </c>
    </row>
    <row r="3193" customFormat="false" ht="15" hidden="false" customHeight="false" outlineLevel="0" collapsed="false">
      <c r="A3193" s="7" t="s">
        <v>24</v>
      </c>
      <c r="B3193" s="7" t="s">
        <v>110</v>
      </c>
      <c r="C3193" s="7" t="s">
        <v>1105</v>
      </c>
      <c r="D3193" s="7" t="n">
        <v>0</v>
      </c>
      <c r="E3193" s="7" t="n">
        <v>0</v>
      </c>
      <c r="F3193" s="7" t="n">
        <v>1</v>
      </c>
      <c r="G3193" s="7" t="n">
        <v>97.17</v>
      </c>
    </row>
    <row r="3194" customFormat="false" ht="15" hidden="false" customHeight="false" outlineLevel="0" collapsed="false">
      <c r="A3194" s="7" t="s">
        <v>24</v>
      </c>
      <c r="B3194" s="7" t="s">
        <v>110</v>
      </c>
      <c r="C3194" s="7" t="s">
        <v>1105</v>
      </c>
      <c r="D3194" s="7" t="n">
        <v>0</v>
      </c>
      <c r="E3194" s="7" t="n">
        <v>0</v>
      </c>
      <c r="F3194" s="7" t="n">
        <v>1</v>
      </c>
      <c r="G3194" s="7" t="n">
        <v>114.32</v>
      </c>
    </row>
    <row r="3195" customFormat="false" ht="15" hidden="false" customHeight="false" outlineLevel="0" collapsed="false">
      <c r="A3195" s="7" t="s">
        <v>24</v>
      </c>
      <c r="B3195" s="7" t="s">
        <v>110</v>
      </c>
      <c r="C3195" s="7" t="s">
        <v>1105</v>
      </c>
      <c r="D3195" s="7" t="n">
        <v>0</v>
      </c>
      <c r="E3195" s="7" t="n">
        <v>0</v>
      </c>
      <c r="F3195" s="7" t="n">
        <v>1</v>
      </c>
      <c r="G3195" s="7" t="n">
        <v>102.89</v>
      </c>
    </row>
    <row r="3196" customFormat="false" ht="15" hidden="false" customHeight="false" outlineLevel="0" collapsed="false">
      <c r="A3196" s="7" t="s">
        <v>24</v>
      </c>
      <c r="B3196" s="7" t="s">
        <v>110</v>
      </c>
      <c r="C3196" s="7" t="s">
        <v>1105</v>
      </c>
      <c r="D3196" s="7" t="n">
        <v>0</v>
      </c>
      <c r="E3196" s="7" t="n">
        <v>0</v>
      </c>
      <c r="F3196" s="7" t="n">
        <v>2</v>
      </c>
      <c r="G3196" s="7" t="n">
        <v>194.36</v>
      </c>
    </row>
    <row r="3197" customFormat="false" ht="15" hidden="false" customHeight="false" outlineLevel="0" collapsed="false">
      <c r="A3197" s="7" t="s">
        <v>24</v>
      </c>
      <c r="B3197" s="7" t="s">
        <v>110</v>
      </c>
      <c r="C3197" s="7" t="s">
        <v>1105</v>
      </c>
      <c r="D3197" s="7" t="n">
        <v>0</v>
      </c>
      <c r="E3197" s="7" t="n">
        <v>0</v>
      </c>
      <c r="F3197" s="7" t="n">
        <v>1</v>
      </c>
      <c r="G3197" s="7" t="n">
        <v>114.33</v>
      </c>
    </row>
    <row r="3198" customFormat="false" ht="15" hidden="false" customHeight="false" outlineLevel="0" collapsed="false">
      <c r="A3198" s="7" t="s">
        <v>24</v>
      </c>
      <c r="B3198" s="7" t="s">
        <v>110</v>
      </c>
      <c r="C3198" s="7" t="s">
        <v>1105</v>
      </c>
      <c r="D3198" s="7" t="n">
        <v>0</v>
      </c>
      <c r="E3198" s="7" t="n">
        <v>0</v>
      </c>
      <c r="F3198" s="7" t="n">
        <v>2</v>
      </c>
      <c r="G3198" s="7" t="n">
        <v>228.66</v>
      </c>
    </row>
    <row r="3199" customFormat="false" ht="15" hidden="false" customHeight="false" outlineLevel="0" collapsed="false">
      <c r="A3199" s="7" t="s">
        <v>24</v>
      </c>
      <c r="B3199" s="7" t="s">
        <v>110</v>
      </c>
      <c r="C3199" s="7" t="s">
        <v>1105</v>
      </c>
      <c r="D3199" s="7" t="n">
        <v>0</v>
      </c>
      <c r="E3199" s="7" t="n">
        <v>0</v>
      </c>
      <c r="F3199" s="7" t="n">
        <v>2</v>
      </c>
      <c r="G3199" s="7" t="n">
        <v>217.21</v>
      </c>
    </row>
    <row r="3200" customFormat="false" ht="15" hidden="false" customHeight="false" outlineLevel="0" collapsed="false">
      <c r="A3200" s="7" t="s">
        <v>24</v>
      </c>
      <c r="B3200" s="7" t="s">
        <v>110</v>
      </c>
      <c r="C3200" s="7" t="s">
        <v>1105</v>
      </c>
      <c r="D3200" s="7" t="n">
        <v>0</v>
      </c>
      <c r="E3200" s="7" t="n">
        <v>0</v>
      </c>
      <c r="F3200" s="7" t="n">
        <v>1</v>
      </c>
      <c r="G3200" s="7" t="n">
        <v>97.18</v>
      </c>
    </row>
    <row r="3201" customFormat="false" ht="15" hidden="false" customHeight="false" outlineLevel="0" collapsed="false">
      <c r="A3201" s="7" t="s">
        <v>24</v>
      </c>
      <c r="B3201" s="7" t="s">
        <v>110</v>
      </c>
      <c r="C3201" s="7" t="s">
        <v>1105</v>
      </c>
      <c r="D3201" s="7" t="n">
        <v>0</v>
      </c>
      <c r="E3201" s="7" t="n">
        <v>0</v>
      </c>
      <c r="F3201" s="7" t="n">
        <v>1</v>
      </c>
      <c r="G3201" s="7" t="n">
        <v>114.32</v>
      </c>
    </row>
    <row r="3202" customFormat="false" ht="15" hidden="false" customHeight="false" outlineLevel="0" collapsed="false">
      <c r="A3202" s="7" t="s">
        <v>24</v>
      </c>
      <c r="B3202" s="7" t="s">
        <v>110</v>
      </c>
      <c r="C3202" s="7" t="s">
        <v>1105</v>
      </c>
      <c r="D3202" s="7" t="n">
        <v>0</v>
      </c>
      <c r="E3202" s="7" t="n">
        <v>0</v>
      </c>
      <c r="F3202" s="7" t="n">
        <v>1</v>
      </c>
      <c r="G3202" s="7" t="n">
        <v>114.32</v>
      </c>
    </row>
    <row r="3203" customFormat="false" ht="15" hidden="false" customHeight="false" outlineLevel="0" collapsed="false">
      <c r="A3203" s="7" t="s">
        <v>24</v>
      </c>
      <c r="B3203" s="7" t="s">
        <v>110</v>
      </c>
      <c r="C3203" s="7" t="s">
        <v>1105</v>
      </c>
      <c r="D3203" s="7" t="n">
        <v>0</v>
      </c>
      <c r="E3203" s="7" t="n">
        <v>0</v>
      </c>
      <c r="F3203" s="7" t="n">
        <v>1</v>
      </c>
      <c r="G3203" s="7" t="n">
        <v>114.32</v>
      </c>
    </row>
    <row r="3204" customFormat="false" ht="15" hidden="false" customHeight="false" outlineLevel="0" collapsed="false">
      <c r="A3204" s="7" t="s">
        <v>24</v>
      </c>
      <c r="B3204" s="7" t="s">
        <v>110</v>
      </c>
      <c r="C3204" s="7" t="s">
        <v>1105</v>
      </c>
      <c r="D3204" s="7" t="n">
        <v>0</v>
      </c>
      <c r="E3204" s="7" t="n">
        <v>0</v>
      </c>
      <c r="F3204" s="7" t="n">
        <v>1</v>
      </c>
      <c r="G3204" s="7" t="n">
        <v>97.18</v>
      </c>
    </row>
    <row r="3205" customFormat="false" ht="15" hidden="false" customHeight="false" outlineLevel="0" collapsed="false">
      <c r="A3205" s="7" t="s">
        <v>24</v>
      </c>
      <c r="B3205" s="7" t="s">
        <v>110</v>
      </c>
      <c r="C3205" s="7" t="s">
        <v>1105</v>
      </c>
      <c r="D3205" s="7" t="n">
        <v>0</v>
      </c>
      <c r="E3205" s="7" t="n">
        <v>0</v>
      </c>
      <c r="F3205" s="7" t="n">
        <v>1</v>
      </c>
      <c r="G3205" s="7" t="n">
        <v>114.32</v>
      </c>
    </row>
    <row r="3206" customFormat="false" ht="15" hidden="false" customHeight="false" outlineLevel="0" collapsed="false">
      <c r="A3206" s="7" t="s">
        <v>24</v>
      </c>
      <c r="B3206" s="7" t="s">
        <v>110</v>
      </c>
      <c r="C3206" s="7" t="s">
        <v>1105</v>
      </c>
      <c r="D3206" s="7" t="n">
        <v>0</v>
      </c>
      <c r="E3206" s="7" t="n">
        <v>0</v>
      </c>
      <c r="F3206" s="7" t="n">
        <v>1</v>
      </c>
      <c r="G3206" s="7" t="n">
        <v>102.89</v>
      </c>
    </row>
    <row r="3207" customFormat="false" ht="15" hidden="false" customHeight="false" outlineLevel="0" collapsed="false">
      <c r="A3207" s="7" t="s">
        <v>24</v>
      </c>
      <c r="B3207" s="7" t="s">
        <v>110</v>
      </c>
      <c r="C3207" s="7" t="s">
        <v>1105</v>
      </c>
      <c r="D3207" s="7" t="n">
        <v>0</v>
      </c>
      <c r="E3207" s="7" t="n">
        <v>0</v>
      </c>
      <c r="F3207" s="7" t="n">
        <v>1</v>
      </c>
      <c r="G3207" s="7" t="n">
        <v>97.18</v>
      </c>
    </row>
    <row r="3208" customFormat="false" ht="15" hidden="false" customHeight="false" outlineLevel="0" collapsed="false">
      <c r="A3208" s="7" t="s">
        <v>24</v>
      </c>
      <c r="B3208" s="7" t="s">
        <v>110</v>
      </c>
      <c r="C3208" s="7" t="s">
        <v>1105</v>
      </c>
      <c r="D3208" s="7" t="n">
        <v>0</v>
      </c>
      <c r="E3208" s="7" t="n">
        <v>0</v>
      </c>
      <c r="F3208" s="7" t="n">
        <v>2</v>
      </c>
      <c r="G3208" s="7" t="n">
        <v>205.78</v>
      </c>
    </row>
    <row r="3209" customFormat="false" ht="15" hidden="false" customHeight="false" outlineLevel="0" collapsed="false">
      <c r="A3209" s="7" t="s">
        <v>24</v>
      </c>
      <c r="B3209" s="7" t="s">
        <v>110</v>
      </c>
      <c r="C3209" s="7" t="s">
        <v>1105</v>
      </c>
      <c r="D3209" s="7" t="n">
        <v>0</v>
      </c>
      <c r="E3209" s="7" t="n">
        <v>0</v>
      </c>
      <c r="F3209" s="7" t="n">
        <v>3</v>
      </c>
      <c r="G3209" s="7" t="n">
        <v>342.99</v>
      </c>
    </row>
    <row r="3210" customFormat="false" ht="15" hidden="false" customHeight="false" outlineLevel="0" collapsed="false">
      <c r="A3210" s="7" t="s">
        <v>24</v>
      </c>
      <c r="B3210" s="7" t="s">
        <v>110</v>
      </c>
      <c r="C3210" s="7" t="s">
        <v>1105</v>
      </c>
      <c r="D3210" s="7" t="n">
        <v>0</v>
      </c>
      <c r="E3210" s="7" t="n">
        <v>0</v>
      </c>
      <c r="F3210" s="7" t="n">
        <v>1</v>
      </c>
      <c r="G3210" s="7" t="n">
        <v>102.89</v>
      </c>
    </row>
    <row r="3211" customFormat="false" ht="15" hidden="false" customHeight="false" outlineLevel="0" collapsed="false">
      <c r="A3211" s="7" t="s">
        <v>24</v>
      </c>
      <c r="B3211" s="7" t="s">
        <v>110</v>
      </c>
      <c r="C3211" s="7" t="s">
        <v>1105</v>
      </c>
      <c r="D3211" s="7" t="n">
        <v>0</v>
      </c>
      <c r="E3211" s="7" t="n">
        <v>0</v>
      </c>
      <c r="F3211" s="7" t="n">
        <v>1</v>
      </c>
      <c r="G3211" s="7" t="n">
        <v>114.32</v>
      </c>
    </row>
    <row r="3212" customFormat="false" ht="15" hidden="false" customHeight="false" outlineLevel="0" collapsed="false">
      <c r="A3212" s="7" t="s">
        <v>24</v>
      </c>
      <c r="B3212" s="7" t="s">
        <v>110</v>
      </c>
      <c r="C3212" s="7" t="s">
        <v>1105</v>
      </c>
      <c r="D3212" s="7" t="n">
        <v>0</v>
      </c>
      <c r="E3212" s="7" t="n">
        <v>0</v>
      </c>
      <c r="F3212" s="7" t="n">
        <v>3</v>
      </c>
      <c r="G3212" s="7" t="n">
        <v>308.68</v>
      </c>
    </row>
    <row r="3213" customFormat="false" ht="15" hidden="false" customHeight="false" outlineLevel="0" collapsed="false">
      <c r="A3213" s="7" t="s">
        <v>24</v>
      </c>
      <c r="B3213" s="7" t="s">
        <v>110</v>
      </c>
      <c r="C3213" s="7" t="s">
        <v>1105</v>
      </c>
      <c r="D3213" s="7" t="n">
        <v>0</v>
      </c>
      <c r="E3213" s="7" t="n">
        <v>0</v>
      </c>
      <c r="F3213" s="7" t="n">
        <v>1</v>
      </c>
      <c r="G3213" s="7" t="n">
        <v>102.89</v>
      </c>
    </row>
    <row r="3214" customFormat="false" ht="15" hidden="false" customHeight="false" outlineLevel="0" collapsed="false">
      <c r="A3214" s="7" t="s">
        <v>24</v>
      </c>
      <c r="B3214" s="7" t="s">
        <v>110</v>
      </c>
      <c r="C3214" s="7" t="s">
        <v>1105</v>
      </c>
      <c r="D3214" s="7" t="n">
        <v>0</v>
      </c>
      <c r="E3214" s="7" t="n">
        <v>0</v>
      </c>
      <c r="F3214" s="7" t="n">
        <v>1</v>
      </c>
      <c r="G3214" s="7" t="n">
        <v>114.33</v>
      </c>
    </row>
    <row r="3215" customFormat="false" ht="15" hidden="false" customHeight="false" outlineLevel="0" collapsed="false">
      <c r="A3215" s="7" t="s">
        <v>24</v>
      </c>
      <c r="B3215" s="7" t="s">
        <v>110</v>
      </c>
      <c r="C3215" s="7" t="s">
        <v>1105</v>
      </c>
      <c r="D3215" s="7" t="n">
        <v>0</v>
      </c>
      <c r="E3215" s="7" t="n">
        <v>0</v>
      </c>
      <c r="F3215" s="7" t="n">
        <v>1</v>
      </c>
      <c r="G3215" s="7" t="n">
        <v>114.33</v>
      </c>
    </row>
    <row r="3216" customFormat="false" ht="15" hidden="false" customHeight="false" outlineLevel="0" collapsed="false">
      <c r="A3216" s="7" t="s">
        <v>24</v>
      </c>
      <c r="B3216" s="7" t="s">
        <v>110</v>
      </c>
      <c r="C3216" s="7" t="s">
        <v>1105</v>
      </c>
      <c r="D3216" s="7" t="n">
        <v>0</v>
      </c>
      <c r="E3216" s="7" t="n">
        <v>0</v>
      </c>
      <c r="F3216" s="7" t="n">
        <v>2</v>
      </c>
      <c r="G3216" s="7" t="n">
        <v>228.64</v>
      </c>
    </row>
    <row r="3217" customFormat="false" ht="15" hidden="false" customHeight="false" outlineLevel="0" collapsed="false">
      <c r="A3217" s="7" t="s">
        <v>24</v>
      </c>
      <c r="B3217" s="7" t="s">
        <v>110</v>
      </c>
      <c r="C3217" s="7" t="s">
        <v>1105</v>
      </c>
      <c r="D3217" s="7" t="n">
        <v>0</v>
      </c>
      <c r="E3217" s="7" t="n">
        <v>0</v>
      </c>
      <c r="F3217" s="7" t="n">
        <v>5</v>
      </c>
      <c r="G3217" s="7" t="n">
        <v>537.31</v>
      </c>
    </row>
    <row r="3218" customFormat="false" ht="15" hidden="false" customHeight="false" outlineLevel="0" collapsed="false">
      <c r="A3218" s="7" t="s">
        <v>24</v>
      </c>
      <c r="B3218" s="7" t="s">
        <v>110</v>
      </c>
      <c r="C3218" s="7" t="s">
        <v>1105</v>
      </c>
      <c r="D3218" s="7" t="n">
        <v>0</v>
      </c>
      <c r="E3218" s="7" t="n">
        <v>0</v>
      </c>
      <c r="F3218" s="7" t="n">
        <v>1</v>
      </c>
      <c r="G3218" s="7" t="n">
        <v>97.18</v>
      </c>
    </row>
    <row r="3219" customFormat="false" ht="15" hidden="false" customHeight="false" outlineLevel="0" collapsed="false">
      <c r="A3219" s="7" t="s">
        <v>24</v>
      </c>
      <c r="B3219" s="7" t="s">
        <v>110</v>
      </c>
      <c r="C3219" s="7" t="s">
        <v>1105</v>
      </c>
      <c r="D3219" s="7" t="n">
        <v>0</v>
      </c>
      <c r="E3219" s="7" t="n">
        <v>0</v>
      </c>
      <c r="F3219" s="7" t="n">
        <v>3</v>
      </c>
      <c r="G3219" s="7" t="n">
        <v>325.82</v>
      </c>
    </row>
    <row r="3220" customFormat="false" ht="15" hidden="false" customHeight="false" outlineLevel="0" collapsed="false">
      <c r="A3220" s="7" t="s">
        <v>24</v>
      </c>
      <c r="B3220" s="7" t="s">
        <v>110</v>
      </c>
      <c r="C3220" s="7" t="s">
        <v>1105</v>
      </c>
      <c r="D3220" s="7" t="n">
        <v>0</v>
      </c>
      <c r="E3220" s="7" t="n">
        <v>0</v>
      </c>
      <c r="F3220" s="7" t="n">
        <v>2</v>
      </c>
      <c r="G3220" s="7" t="n">
        <v>194.36</v>
      </c>
    </row>
    <row r="3221" customFormat="false" ht="15" hidden="false" customHeight="false" outlineLevel="0" collapsed="false">
      <c r="A3221" s="7" t="s">
        <v>24</v>
      </c>
      <c r="B3221" s="7" t="s">
        <v>110</v>
      </c>
      <c r="C3221" s="7" t="s">
        <v>1105</v>
      </c>
      <c r="D3221" s="7" t="n">
        <v>0</v>
      </c>
      <c r="E3221" s="7" t="n">
        <v>0</v>
      </c>
      <c r="F3221" s="7" t="n">
        <v>1</v>
      </c>
      <c r="G3221" s="7" t="n">
        <v>97.17</v>
      </c>
    </row>
    <row r="3222" customFormat="false" ht="15" hidden="false" customHeight="false" outlineLevel="0" collapsed="false">
      <c r="A3222" s="7" t="s">
        <v>24</v>
      </c>
      <c r="B3222" s="7" t="s">
        <v>110</v>
      </c>
      <c r="C3222" s="7" t="s">
        <v>1105</v>
      </c>
      <c r="D3222" s="7" t="n">
        <v>0</v>
      </c>
      <c r="E3222" s="7" t="n">
        <v>0</v>
      </c>
      <c r="F3222" s="7" t="n">
        <v>1</v>
      </c>
      <c r="G3222" s="7" t="n">
        <v>102.89</v>
      </c>
    </row>
    <row r="3223" customFormat="false" ht="15" hidden="false" customHeight="false" outlineLevel="0" collapsed="false">
      <c r="A3223" s="7" t="s">
        <v>24</v>
      </c>
      <c r="B3223" s="7" t="s">
        <v>110</v>
      </c>
      <c r="C3223" s="7" t="s">
        <v>1105</v>
      </c>
      <c r="D3223" s="7" t="n">
        <v>0</v>
      </c>
      <c r="E3223" s="7" t="n">
        <v>0</v>
      </c>
      <c r="F3223" s="7" t="n">
        <v>1</v>
      </c>
      <c r="G3223" s="7" t="n">
        <v>97.18</v>
      </c>
    </row>
    <row r="3224" customFormat="false" ht="15" hidden="false" customHeight="false" outlineLevel="0" collapsed="false">
      <c r="A3224" s="7" t="s">
        <v>24</v>
      </c>
      <c r="B3224" s="7" t="s">
        <v>110</v>
      </c>
      <c r="C3224" s="7" t="s">
        <v>1105</v>
      </c>
      <c r="D3224" s="7" t="n">
        <v>0</v>
      </c>
      <c r="E3224" s="7" t="n">
        <v>0</v>
      </c>
      <c r="F3224" s="7" t="n">
        <v>1</v>
      </c>
      <c r="G3224" s="7" t="n">
        <v>102.89</v>
      </c>
    </row>
    <row r="3225" customFormat="false" ht="15" hidden="false" customHeight="false" outlineLevel="0" collapsed="false">
      <c r="A3225" s="7" t="s">
        <v>24</v>
      </c>
      <c r="B3225" s="7" t="s">
        <v>110</v>
      </c>
      <c r="C3225" s="7" t="s">
        <v>1105</v>
      </c>
      <c r="D3225" s="7" t="n">
        <v>0</v>
      </c>
      <c r="E3225" s="7" t="n">
        <v>0</v>
      </c>
      <c r="F3225" s="7" t="n">
        <v>1</v>
      </c>
      <c r="G3225" s="7" t="n">
        <v>114.33</v>
      </c>
    </row>
    <row r="3226" customFormat="false" ht="15" hidden="false" customHeight="false" outlineLevel="0" collapsed="false">
      <c r="A3226" s="7" t="s">
        <v>24</v>
      </c>
      <c r="B3226" s="7" t="s">
        <v>110</v>
      </c>
      <c r="C3226" s="7" t="s">
        <v>1105</v>
      </c>
      <c r="D3226" s="7" t="n">
        <v>0</v>
      </c>
      <c r="E3226" s="7" t="n">
        <v>0</v>
      </c>
      <c r="F3226" s="7" t="n">
        <v>2</v>
      </c>
      <c r="G3226" s="7" t="n">
        <v>194.36</v>
      </c>
    </row>
    <row r="3227" customFormat="false" ht="15" hidden="false" customHeight="false" outlineLevel="0" collapsed="false">
      <c r="A3227" s="7" t="s">
        <v>24</v>
      </c>
      <c r="B3227" s="7" t="s">
        <v>110</v>
      </c>
      <c r="C3227" s="7" t="s">
        <v>1105</v>
      </c>
      <c r="D3227" s="7" t="n">
        <v>0</v>
      </c>
      <c r="E3227" s="7" t="n">
        <v>0</v>
      </c>
      <c r="F3227" s="7" t="n">
        <v>2</v>
      </c>
      <c r="G3227" s="7" t="n">
        <v>228.64</v>
      </c>
    </row>
    <row r="3228" customFormat="false" ht="15" hidden="false" customHeight="false" outlineLevel="0" collapsed="false">
      <c r="A3228" s="7" t="s">
        <v>24</v>
      </c>
      <c r="B3228" s="7" t="s">
        <v>110</v>
      </c>
      <c r="C3228" s="7" t="s">
        <v>1105</v>
      </c>
      <c r="D3228" s="7" t="n">
        <v>0</v>
      </c>
      <c r="E3228" s="7" t="n">
        <v>0</v>
      </c>
      <c r="F3228" s="7" t="n">
        <v>2</v>
      </c>
      <c r="G3228" s="7" t="n">
        <v>228.66</v>
      </c>
    </row>
    <row r="3229" customFormat="false" ht="15" hidden="false" customHeight="false" outlineLevel="0" collapsed="false">
      <c r="A3229" s="7" t="s">
        <v>24</v>
      </c>
      <c r="B3229" s="7" t="s">
        <v>110</v>
      </c>
      <c r="C3229" s="7" t="s">
        <v>1105</v>
      </c>
      <c r="D3229" s="7" t="n">
        <v>0</v>
      </c>
      <c r="E3229" s="7" t="n">
        <v>0</v>
      </c>
      <c r="F3229" s="7" t="n">
        <v>1</v>
      </c>
      <c r="G3229" s="7" t="n">
        <v>114.32</v>
      </c>
    </row>
    <row r="3230" customFormat="false" ht="15" hidden="false" customHeight="false" outlineLevel="0" collapsed="false">
      <c r="A3230" s="7" t="s">
        <v>24</v>
      </c>
      <c r="B3230" s="7" t="s">
        <v>110</v>
      </c>
      <c r="C3230" s="7" t="s">
        <v>1105</v>
      </c>
      <c r="D3230" s="7" t="n">
        <v>0</v>
      </c>
      <c r="E3230" s="7" t="n">
        <v>0</v>
      </c>
      <c r="F3230" s="7" t="n">
        <v>1</v>
      </c>
      <c r="G3230" s="7" t="n">
        <v>114.33</v>
      </c>
    </row>
    <row r="3231" customFormat="false" ht="15" hidden="false" customHeight="false" outlineLevel="0" collapsed="false">
      <c r="A3231" s="7" t="s">
        <v>24</v>
      </c>
      <c r="B3231" s="7" t="s">
        <v>110</v>
      </c>
      <c r="C3231" s="7" t="s">
        <v>1105</v>
      </c>
      <c r="D3231" s="7" t="n">
        <v>0</v>
      </c>
      <c r="E3231" s="7" t="n">
        <v>0</v>
      </c>
      <c r="F3231" s="7" t="n">
        <v>1</v>
      </c>
      <c r="G3231" s="7" t="n">
        <v>114.32</v>
      </c>
    </row>
    <row r="3232" customFormat="false" ht="15" hidden="false" customHeight="false" outlineLevel="0" collapsed="false">
      <c r="A3232" s="7" t="s">
        <v>24</v>
      </c>
      <c r="B3232" s="7" t="s">
        <v>110</v>
      </c>
      <c r="C3232" s="7" t="s">
        <v>1105</v>
      </c>
      <c r="D3232" s="7" t="n">
        <v>0</v>
      </c>
      <c r="E3232" s="7" t="n">
        <v>0</v>
      </c>
      <c r="F3232" s="7" t="n">
        <v>1</v>
      </c>
      <c r="G3232" s="7" t="n">
        <v>114.32</v>
      </c>
    </row>
    <row r="3233" customFormat="false" ht="15" hidden="false" customHeight="false" outlineLevel="0" collapsed="false">
      <c r="A3233" s="7" t="s">
        <v>24</v>
      </c>
      <c r="B3233" s="7" t="s">
        <v>110</v>
      </c>
      <c r="C3233" s="7" t="s">
        <v>1105</v>
      </c>
      <c r="D3233" s="7" t="n">
        <v>0</v>
      </c>
      <c r="E3233" s="7" t="n">
        <v>0</v>
      </c>
      <c r="F3233" s="7" t="n">
        <v>1</v>
      </c>
      <c r="G3233" s="7" t="n">
        <v>102.89</v>
      </c>
    </row>
    <row r="3234" customFormat="false" ht="15" hidden="false" customHeight="false" outlineLevel="0" collapsed="false">
      <c r="A3234" s="7" t="s">
        <v>24</v>
      </c>
      <c r="B3234" s="7" t="s">
        <v>104</v>
      </c>
      <c r="C3234" s="7" t="s">
        <v>1105</v>
      </c>
      <c r="D3234" s="7" t="n">
        <v>0</v>
      </c>
      <c r="E3234" s="7" t="n">
        <v>0</v>
      </c>
      <c r="F3234" s="7" t="n">
        <v>2</v>
      </c>
      <c r="G3234" s="7" t="n">
        <v>194.36</v>
      </c>
    </row>
    <row r="3235" customFormat="false" ht="15" hidden="false" customHeight="false" outlineLevel="0" collapsed="false">
      <c r="A3235" s="7" t="s">
        <v>24</v>
      </c>
      <c r="B3235" s="7" t="s">
        <v>104</v>
      </c>
      <c r="C3235" s="7" t="s">
        <v>1105</v>
      </c>
      <c r="D3235" s="7" t="n">
        <v>0</v>
      </c>
      <c r="E3235" s="7" t="n">
        <v>0</v>
      </c>
      <c r="F3235" s="7" t="n">
        <v>1</v>
      </c>
      <c r="G3235" s="7" t="n">
        <v>114.33</v>
      </c>
    </row>
    <row r="3236" customFormat="false" ht="15" hidden="false" customHeight="false" outlineLevel="0" collapsed="false">
      <c r="A3236" s="7" t="s">
        <v>24</v>
      </c>
      <c r="B3236" s="7" t="s">
        <v>104</v>
      </c>
      <c r="C3236" s="7" t="s">
        <v>1105</v>
      </c>
      <c r="D3236" s="7" t="n">
        <v>0</v>
      </c>
      <c r="E3236" s="7" t="n">
        <v>0</v>
      </c>
      <c r="F3236" s="7" t="n">
        <v>1</v>
      </c>
      <c r="G3236" s="7" t="n">
        <v>114.33</v>
      </c>
    </row>
    <row r="3237" customFormat="false" ht="15" hidden="false" customHeight="false" outlineLevel="0" collapsed="false">
      <c r="A3237" s="7" t="s">
        <v>24</v>
      </c>
      <c r="B3237" s="7" t="s">
        <v>104</v>
      </c>
      <c r="C3237" s="7" t="s">
        <v>1105</v>
      </c>
      <c r="D3237" s="7" t="n">
        <v>0</v>
      </c>
      <c r="E3237" s="7" t="n">
        <v>0</v>
      </c>
      <c r="F3237" s="7" t="n">
        <v>3</v>
      </c>
      <c r="G3237" s="7" t="n">
        <v>320.1</v>
      </c>
    </row>
    <row r="3238" customFormat="false" ht="15" hidden="false" customHeight="false" outlineLevel="0" collapsed="false">
      <c r="A3238" s="7" t="s">
        <v>24</v>
      </c>
      <c r="B3238" s="7" t="s">
        <v>104</v>
      </c>
      <c r="C3238" s="7" t="s">
        <v>1105</v>
      </c>
      <c r="D3238" s="7" t="n">
        <v>0</v>
      </c>
      <c r="E3238" s="7" t="n">
        <v>0</v>
      </c>
      <c r="F3238" s="7" t="n">
        <v>1</v>
      </c>
      <c r="G3238" s="7" t="n">
        <v>114.32</v>
      </c>
    </row>
    <row r="3239" customFormat="false" ht="15" hidden="false" customHeight="false" outlineLevel="0" collapsed="false">
      <c r="A3239" s="7" t="s">
        <v>24</v>
      </c>
      <c r="B3239" s="7" t="s">
        <v>104</v>
      </c>
      <c r="C3239" s="7" t="s">
        <v>1105</v>
      </c>
      <c r="D3239" s="7" t="n">
        <v>0</v>
      </c>
      <c r="E3239" s="7" t="n">
        <v>0</v>
      </c>
      <c r="F3239" s="7" t="n">
        <v>1</v>
      </c>
      <c r="G3239" s="7" t="n">
        <v>114.33</v>
      </c>
    </row>
    <row r="3240" customFormat="false" ht="15" hidden="false" customHeight="false" outlineLevel="0" collapsed="false">
      <c r="A3240" s="7" t="s">
        <v>24</v>
      </c>
      <c r="B3240" s="7" t="s">
        <v>104</v>
      </c>
      <c r="C3240" s="7" t="s">
        <v>1105</v>
      </c>
      <c r="D3240" s="7" t="n">
        <v>0</v>
      </c>
      <c r="E3240" s="7" t="n">
        <v>0</v>
      </c>
      <c r="F3240" s="7" t="n">
        <v>1</v>
      </c>
      <c r="G3240" s="7" t="n">
        <v>102.89</v>
      </c>
    </row>
    <row r="3241" customFormat="false" ht="15" hidden="false" customHeight="false" outlineLevel="0" collapsed="false">
      <c r="A3241" s="7" t="s">
        <v>24</v>
      </c>
      <c r="B3241" s="7" t="s">
        <v>104</v>
      </c>
      <c r="C3241" s="7" t="s">
        <v>1105</v>
      </c>
      <c r="D3241" s="7" t="n">
        <v>0</v>
      </c>
      <c r="E3241" s="7" t="n">
        <v>0</v>
      </c>
      <c r="F3241" s="7" t="n">
        <v>2</v>
      </c>
      <c r="G3241" s="7" t="n">
        <v>228.65</v>
      </c>
    </row>
    <row r="3242" customFormat="false" ht="15" hidden="false" customHeight="false" outlineLevel="0" collapsed="false">
      <c r="A3242" s="7" t="s">
        <v>24</v>
      </c>
      <c r="B3242" s="7" t="s">
        <v>104</v>
      </c>
      <c r="C3242" s="7" t="s">
        <v>1105</v>
      </c>
      <c r="D3242" s="7" t="n">
        <v>0</v>
      </c>
      <c r="E3242" s="7" t="n">
        <v>0</v>
      </c>
      <c r="F3242" s="7" t="n">
        <v>1</v>
      </c>
      <c r="G3242" s="7" t="n">
        <v>114.32</v>
      </c>
    </row>
    <row r="3243" customFormat="false" ht="15" hidden="false" customHeight="false" outlineLevel="0" collapsed="false">
      <c r="A3243" s="7" t="s">
        <v>24</v>
      </c>
      <c r="B3243" s="7" t="s">
        <v>104</v>
      </c>
      <c r="C3243" s="7" t="s">
        <v>1105</v>
      </c>
      <c r="D3243" s="7" t="n">
        <v>0</v>
      </c>
      <c r="E3243" s="7" t="n">
        <v>0</v>
      </c>
      <c r="F3243" s="7" t="n">
        <v>1</v>
      </c>
      <c r="G3243" s="7" t="n">
        <v>114.32</v>
      </c>
    </row>
    <row r="3244" customFormat="false" ht="15" hidden="false" customHeight="false" outlineLevel="0" collapsed="false">
      <c r="A3244" s="7" t="s">
        <v>24</v>
      </c>
      <c r="B3244" s="7" t="s">
        <v>104</v>
      </c>
      <c r="C3244" s="7" t="s">
        <v>1105</v>
      </c>
      <c r="D3244" s="7" t="n">
        <v>0</v>
      </c>
      <c r="E3244" s="7" t="n">
        <v>0</v>
      </c>
      <c r="F3244" s="7" t="n">
        <v>2</v>
      </c>
      <c r="G3244" s="7" t="n">
        <v>228.65</v>
      </c>
    </row>
    <row r="3245" customFormat="false" ht="15" hidden="false" customHeight="false" outlineLevel="0" collapsed="false">
      <c r="A3245" s="7" t="s">
        <v>24</v>
      </c>
      <c r="B3245" s="7" t="s">
        <v>104</v>
      </c>
      <c r="C3245" s="7" t="s">
        <v>1105</v>
      </c>
      <c r="D3245" s="7" t="n">
        <v>0</v>
      </c>
      <c r="E3245" s="7" t="n">
        <v>0</v>
      </c>
      <c r="F3245" s="7" t="n">
        <v>13</v>
      </c>
      <c r="G3245" s="7" t="n">
        <v>1326.16</v>
      </c>
    </row>
    <row r="3246" customFormat="false" ht="15" hidden="false" customHeight="false" outlineLevel="0" collapsed="false">
      <c r="A3246" s="7" t="s">
        <v>24</v>
      </c>
      <c r="B3246" s="7" t="s">
        <v>104</v>
      </c>
      <c r="C3246" s="7" t="s">
        <v>1105</v>
      </c>
      <c r="D3246" s="7" t="n">
        <v>0</v>
      </c>
      <c r="E3246" s="7" t="n">
        <v>0</v>
      </c>
      <c r="F3246" s="7" t="n">
        <v>1</v>
      </c>
      <c r="G3246" s="7" t="n">
        <v>102.89</v>
      </c>
    </row>
    <row r="3247" customFormat="false" ht="15" hidden="false" customHeight="false" outlineLevel="0" collapsed="false">
      <c r="A3247" s="7" t="s">
        <v>24</v>
      </c>
      <c r="B3247" s="7" t="s">
        <v>104</v>
      </c>
      <c r="C3247" s="7" t="s">
        <v>1105</v>
      </c>
      <c r="D3247" s="7" t="n">
        <v>0</v>
      </c>
      <c r="E3247" s="7" t="n">
        <v>0</v>
      </c>
      <c r="F3247" s="7" t="n">
        <v>1</v>
      </c>
      <c r="G3247" s="7" t="n">
        <v>102.89</v>
      </c>
    </row>
    <row r="3248" customFormat="false" ht="15" hidden="false" customHeight="false" outlineLevel="0" collapsed="false">
      <c r="A3248" s="7" t="s">
        <v>24</v>
      </c>
      <c r="B3248" s="7" t="s">
        <v>104</v>
      </c>
      <c r="C3248" s="7" t="s">
        <v>1105</v>
      </c>
      <c r="D3248" s="7" t="n">
        <v>0</v>
      </c>
      <c r="E3248" s="7" t="n">
        <v>0</v>
      </c>
      <c r="F3248" s="7" t="n">
        <v>1</v>
      </c>
      <c r="G3248" s="7" t="n">
        <v>102.89</v>
      </c>
    </row>
    <row r="3249" customFormat="false" ht="15" hidden="false" customHeight="false" outlineLevel="0" collapsed="false">
      <c r="A3249" s="7" t="s">
        <v>24</v>
      </c>
      <c r="B3249" s="7" t="s">
        <v>104</v>
      </c>
      <c r="C3249" s="7" t="s">
        <v>1105</v>
      </c>
      <c r="D3249" s="7" t="n">
        <v>0</v>
      </c>
      <c r="E3249" s="7" t="n">
        <v>0</v>
      </c>
      <c r="F3249" s="7" t="n">
        <v>1</v>
      </c>
      <c r="G3249" s="7" t="n">
        <v>114.33</v>
      </c>
    </row>
    <row r="3250" customFormat="false" ht="15" hidden="false" customHeight="false" outlineLevel="0" collapsed="false">
      <c r="A3250" s="7" t="s">
        <v>24</v>
      </c>
      <c r="B3250" s="7" t="s">
        <v>104</v>
      </c>
      <c r="C3250" s="7" t="s">
        <v>1105</v>
      </c>
      <c r="D3250" s="7" t="n">
        <v>0</v>
      </c>
      <c r="E3250" s="7" t="n">
        <v>0</v>
      </c>
      <c r="F3250" s="7" t="n">
        <v>4</v>
      </c>
      <c r="G3250" s="7" t="n">
        <v>365.83</v>
      </c>
    </row>
    <row r="3251" customFormat="false" ht="15" hidden="false" customHeight="false" outlineLevel="0" collapsed="false">
      <c r="A3251" s="7" t="s">
        <v>24</v>
      </c>
      <c r="B3251" s="7" t="s">
        <v>104</v>
      </c>
      <c r="C3251" s="7" t="s">
        <v>1105</v>
      </c>
      <c r="D3251" s="7" t="n">
        <v>0</v>
      </c>
      <c r="E3251" s="7" t="n">
        <v>0</v>
      </c>
      <c r="F3251" s="7" t="n">
        <v>1</v>
      </c>
      <c r="G3251" s="7" t="n">
        <v>97.17</v>
      </c>
    </row>
    <row r="3252" customFormat="false" ht="15" hidden="false" customHeight="false" outlineLevel="0" collapsed="false">
      <c r="A3252" s="7" t="s">
        <v>24</v>
      </c>
      <c r="B3252" s="7" t="s">
        <v>104</v>
      </c>
      <c r="C3252" s="7" t="s">
        <v>1105</v>
      </c>
      <c r="D3252" s="7" t="n">
        <v>0</v>
      </c>
      <c r="E3252" s="7" t="n">
        <v>0</v>
      </c>
      <c r="F3252" s="7" t="n">
        <v>1</v>
      </c>
      <c r="G3252" s="7" t="n">
        <v>114.33</v>
      </c>
    </row>
    <row r="3253" customFormat="false" ht="15" hidden="false" customHeight="false" outlineLevel="0" collapsed="false">
      <c r="A3253" s="7" t="s">
        <v>24</v>
      </c>
      <c r="B3253" s="7" t="s">
        <v>104</v>
      </c>
      <c r="C3253" s="7" t="s">
        <v>1105</v>
      </c>
      <c r="D3253" s="7" t="n">
        <v>0</v>
      </c>
      <c r="E3253" s="7" t="n">
        <v>0</v>
      </c>
      <c r="F3253" s="7" t="n">
        <v>1</v>
      </c>
      <c r="G3253" s="7" t="n">
        <v>114.32</v>
      </c>
    </row>
    <row r="3254" customFormat="false" ht="15" hidden="false" customHeight="false" outlineLevel="0" collapsed="false">
      <c r="A3254" s="7" t="s">
        <v>24</v>
      </c>
      <c r="B3254" s="7" t="s">
        <v>104</v>
      </c>
      <c r="C3254" s="7" t="s">
        <v>1105</v>
      </c>
      <c r="D3254" s="7" t="n">
        <v>0</v>
      </c>
      <c r="E3254" s="7" t="n">
        <v>0</v>
      </c>
      <c r="F3254" s="7" t="n">
        <v>1</v>
      </c>
      <c r="G3254" s="7" t="n">
        <v>97.18</v>
      </c>
    </row>
    <row r="3255" customFormat="false" ht="15" hidden="false" customHeight="false" outlineLevel="0" collapsed="false">
      <c r="A3255" s="7" t="s">
        <v>24</v>
      </c>
      <c r="B3255" s="7" t="s">
        <v>104</v>
      </c>
      <c r="C3255" s="7" t="s">
        <v>1105</v>
      </c>
      <c r="D3255" s="7" t="n">
        <v>0</v>
      </c>
      <c r="E3255" s="7" t="n">
        <v>0</v>
      </c>
      <c r="F3255" s="7" t="n">
        <v>1</v>
      </c>
      <c r="G3255" s="7" t="n">
        <v>102.89</v>
      </c>
    </row>
    <row r="3256" customFormat="false" ht="15" hidden="false" customHeight="false" outlineLevel="0" collapsed="false">
      <c r="A3256" s="7" t="s">
        <v>24</v>
      </c>
      <c r="B3256" s="7" t="s">
        <v>104</v>
      </c>
      <c r="C3256" s="7" t="s">
        <v>1105</v>
      </c>
      <c r="D3256" s="7" t="n">
        <v>0</v>
      </c>
      <c r="E3256" s="7" t="n">
        <v>0</v>
      </c>
      <c r="F3256" s="7" t="n">
        <v>2</v>
      </c>
      <c r="G3256" s="7" t="n">
        <v>228.66</v>
      </c>
    </row>
    <row r="3257" customFormat="false" ht="15" hidden="false" customHeight="false" outlineLevel="0" collapsed="false">
      <c r="A3257" s="7" t="s">
        <v>24</v>
      </c>
      <c r="B3257" s="7" t="s">
        <v>104</v>
      </c>
      <c r="C3257" s="7" t="s">
        <v>1105</v>
      </c>
      <c r="D3257" s="7" t="n">
        <v>0</v>
      </c>
      <c r="E3257" s="7" t="n">
        <v>0</v>
      </c>
      <c r="F3257" s="7" t="n">
        <v>1</v>
      </c>
      <c r="G3257" s="7" t="n">
        <v>85.75</v>
      </c>
    </row>
    <row r="3258" customFormat="false" ht="15" hidden="false" customHeight="false" outlineLevel="0" collapsed="false">
      <c r="A3258" s="7" t="s">
        <v>24</v>
      </c>
      <c r="B3258" s="7" t="s">
        <v>104</v>
      </c>
      <c r="C3258" s="7" t="s">
        <v>1105</v>
      </c>
      <c r="D3258" s="7" t="n">
        <v>0</v>
      </c>
      <c r="E3258" s="7" t="n">
        <v>0</v>
      </c>
      <c r="F3258" s="7" t="n">
        <v>1</v>
      </c>
      <c r="G3258" s="7" t="n">
        <v>85.75</v>
      </c>
    </row>
    <row r="3259" customFormat="false" ht="15" hidden="false" customHeight="false" outlineLevel="0" collapsed="false">
      <c r="A3259" s="7" t="s">
        <v>24</v>
      </c>
      <c r="B3259" s="7" t="s">
        <v>104</v>
      </c>
      <c r="C3259" s="7" t="s">
        <v>1105</v>
      </c>
      <c r="D3259" s="7" t="n">
        <v>0</v>
      </c>
      <c r="E3259" s="7" t="n">
        <v>0</v>
      </c>
      <c r="F3259" s="7" t="n">
        <v>8</v>
      </c>
      <c r="G3259" s="7" t="n">
        <v>868.84</v>
      </c>
    </row>
    <row r="3260" customFormat="false" ht="15" hidden="false" customHeight="false" outlineLevel="0" collapsed="false">
      <c r="A3260" s="7" t="s">
        <v>24</v>
      </c>
      <c r="B3260" s="7" t="s">
        <v>104</v>
      </c>
      <c r="C3260" s="7" t="s">
        <v>1105</v>
      </c>
      <c r="D3260" s="7" t="n">
        <v>0</v>
      </c>
      <c r="E3260" s="7" t="n">
        <v>0</v>
      </c>
      <c r="F3260" s="7" t="n">
        <v>2</v>
      </c>
      <c r="G3260" s="7" t="n">
        <v>228.64</v>
      </c>
    </row>
    <row r="3261" customFormat="false" ht="15" hidden="false" customHeight="false" outlineLevel="0" collapsed="false">
      <c r="A3261" s="7" t="s">
        <v>24</v>
      </c>
      <c r="B3261" s="7" t="s">
        <v>104</v>
      </c>
      <c r="C3261" s="7" t="s">
        <v>1105</v>
      </c>
      <c r="D3261" s="7" t="n">
        <v>0</v>
      </c>
      <c r="E3261" s="7" t="n">
        <v>0</v>
      </c>
      <c r="F3261" s="7" t="n">
        <v>2</v>
      </c>
      <c r="G3261" s="7" t="n">
        <v>194.36</v>
      </c>
    </row>
    <row r="3262" customFormat="false" ht="15" hidden="false" customHeight="false" outlineLevel="0" collapsed="false">
      <c r="A3262" s="7" t="s">
        <v>24</v>
      </c>
      <c r="B3262" s="7" t="s">
        <v>104</v>
      </c>
      <c r="C3262" s="7" t="s">
        <v>1105</v>
      </c>
      <c r="D3262" s="7" t="n">
        <v>0</v>
      </c>
      <c r="E3262" s="7" t="n">
        <v>0</v>
      </c>
      <c r="F3262" s="7" t="n">
        <v>1</v>
      </c>
      <c r="G3262" s="7" t="n">
        <v>97.18</v>
      </c>
    </row>
    <row r="3263" customFormat="false" ht="15" hidden="false" customHeight="false" outlineLevel="0" collapsed="false">
      <c r="A3263" s="7" t="s">
        <v>24</v>
      </c>
      <c r="B3263" s="7" t="s">
        <v>104</v>
      </c>
      <c r="C3263" s="7" t="s">
        <v>1105</v>
      </c>
      <c r="D3263" s="7" t="n">
        <v>0</v>
      </c>
      <c r="E3263" s="7" t="n">
        <v>0</v>
      </c>
      <c r="F3263" s="7" t="n">
        <v>1</v>
      </c>
      <c r="G3263" s="7" t="n">
        <v>97.17</v>
      </c>
    </row>
    <row r="3264" customFormat="false" ht="15" hidden="false" customHeight="false" outlineLevel="0" collapsed="false">
      <c r="A3264" s="7" t="s">
        <v>24</v>
      </c>
      <c r="B3264" s="7" t="s">
        <v>104</v>
      </c>
      <c r="C3264" s="7" t="s">
        <v>1105</v>
      </c>
      <c r="D3264" s="7" t="n">
        <v>0</v>
      </c>
      <c r="E3264" s="7" t="n">
        <v>0</v>
      </c>
      <c r="F3264" s="7" t="n">
        <v>1</v>
      </c>
      <c r="G3264" s="7" t="n">
        <v>114.33</v>
      </c>
    </row>
    <row r="3265" customFormat="false" ht="15" hidden="false" customHeight="false" outlineLevel="0" collapsed="false">
      <c r="A3265" s="7" t="s">
        <v>24</v>
      </c>
      <c r="B3265" s="7" t="s">
        <v>104</v>
      </c>
      <c r="C3265" s="7" t="s">
        <v>1105</v>
      </c>
      <c r="D3265" s="7" t="n">
        <v>0</v>
      </c>
      <c r="E3265" s="7" t="n">
        <v>0</v>
      </c>
      <c r="F3265" s="7" t="n">
        <v>1</v>
      </c>
      <c r="G3265" s="7" t="n">
        <v>114.33</v>
      </c>
    </row>
    <row r="3266" customFormat="false" ht="15" hidden="false" customHeight="false" outlineLevel="0" collapsed="false">
      <c r="A3266" s="7" t="s">
        <v>24</v>
      </c>
      <c r="B3266" s="7" t="s">
        <v>104</v>
      </c>
      <c r="C3266" s="7" t="s">
        <v>1105</v>
      </c>
      <c r="D3266" s="7" t="n">
        <v>0</v>
      </c>
      <c r="E3266" s="7" t="n">
        <v>0</v>
      </c>
      <c r="F3266" s="7" t="n">
        <v>1</v>
      </c>
      <c r="G3266" s="7" t="n">
        <v>114.32</v>
      </c>
    </row>
    <row r="3267" customFormat="false" ht="15" hidden="false" customHeight="false" outlineLevel="0" collapsed="false">
      <c r="A3267" s="7" t="s">
        <v>24</v>
      </c>
      <c r="B3267" s="7" t="s">
        <v>104</v>
      </c>
      <c r="C3267" s="7" t="s">
        <v>1105</v>
      </c>
      <c r="D3267" s="7" t="n">
        <v>0</v>
      </c>
      <c r="E3267" s="7" t="n">
        <v>0</v>
      </c>
      <c r="F3267" s="7" t="n">
        <v>1</v>
      </c>
      <c r="G3267" s="7" t="n">
        <v>97.18</v>
      </c>
    </row>
    <row r="3268" customFormat="false" ht="15" hidden="false" customHeight="false" outlineLevel="0" collapsed="false">
      <c r="A3268" s="7" t="s">
        <v>24</v>
      </c>
      <c r="B3268" s="7" t="s">
        <v>104</v>
      </c>
      <c r="C3268" s="7" t="s">
        <v>1105</v>
      </c>
      <c r="D3268" s="7" t="n">
        <v>0</v>
      </c>
      <c r="E3268" s="7" t="n">
        <v>0</v>
      </c>
      <c r="F3268" s="7" t="n">
        <v>2</v>
      </c>
      <c r="G3268" s="7" t="n">
        <v>194.36</v>
      </c>
    </row>
    <row r="3269" customFormat="false" ht="15" hidden="false" customHeight="false" outlineLevel="0" collapsed="false">
      <c r="A3269" s="7" t="s">
        <v>24</v>
      </c>
      <c r="B3269" s="7" t="s">
        <v>104</v>
      </c>
      <c r="C3269" s="7" t="s">
        <v>1105</v>
      </c>
      <c r="D3269" s="7" t="n">
        <v>0</v>
      </c>
      <c r="E3269" s="7" t="n">
        <v>0</v>
      </c>
      <c r="F3269" s="7" t="n">
        <v>1</v>
      </c>
      <c r="G3269" s="7" t="n">
        <v>114.33</v>
      </c>
    </row>
    <row r="3270" customFormat="false" ht="15" hidden="false" customHeight="false" outlineLevel="0" collapsed="false">
      <c r="A3270" s="7" t="s">
        <v>24</v>
      </c>
      <c r="B3270" s="7" t="s">
        <v>104</v>
      </c>
      <c r="C3270" s="7" t="s">
        <v>1105</v>
      </c>
      <c r="D3270" s="7" t="n">
        <v>0</v>
      </c>
      <c r="E3270" s="7" t="n">
        <v>0</v>
      </c>
      <c r="F3270" s="7" t="n">
        <v>1</v>
      </c>
      <c r="G3270" s="7" t="n">
        <v>114.33</v>
      </c>
    </row>
    <row r="3271" customFormat="false" ht="15" hidden="false" customHeight="false" outlineLevel="0" collapsed="false">
      <c r="A3271" s="7" t="s">
        <v>24</v>
      </c>
      <c r="B3271" s="7" t="s">
        <v>104</v>
      </c>
      <c r="C3271" s="7" t="s">
        <v>1105</v>
      </c>
      <c r="D3271" s="7" t="n">
        <v>0</v>
      </c>
      <c r="E3271" s="7" t="n">
        <v>0</v>
      </c>
      <c r="F3271" s="7" t="n">
        <v>1</v>
      </c>
      <c r="G3271" s="7" t="n">
        <v>114.33</v>
      </c>
    </row>
    <row r="3272" customFormat="false" ht="15" hidden="false" customHeight="false" outlineLevel="0" collapsed="false">
      <c r="A3272" s="7" t="s">
        <v>24</v>
      </c>
      <c r="B3272" s="7" t="s">
        <v>104</v>
      </c>
      <c r="C3272" s="7" t="s">
        <v>1105</v>
      </c>
      <c r="D3272" s="7" t="n">
        <v>0</v>
      </c>
      <c r="E3272" s="7" t="n">
        <v>0</v>
      </c>
      <c r="F3272" s="7" t="n">
        <v>3</v>
      </c>
      <c r="G3272" s="7" t="n">
        <v>291.51</v>
      </c>
    </row>
    <row r="3273" customFormat="false" ht="15" hidden="false" customHeight="false" outlineLevel="0" collapsed="false">
      <c r="A3273" s="7" t="s">
        <v>24</v>
      </c>
      <c r="B3273" s="7" t="s">
        <v>104</v>
      </c>
      <c r="C3273" s="7" t="s">
        <v>1105</v>
      </c>
      <c r="D3273" s="7" t="n">
        <v>0</v>
      </c>
      <c r="E3273" s="7" t="n">
        <v>0</v>
      </c>
      <c r="F3273" s="7" t="n">
        <v>1</v>
      </c>
      <c r="G3273" s="7" t="n">
        <v>114.32</v>
      </c>
    </row>
    <row r="3274" customFormat="false" ht="15" hidden="false" customHeight="false" outlineLevel="0" collapsed="false">
      <c r="A3274" s="7" t="s">
        <v>24</v>
      </c>
      <c r="B3274" s="7" t="s">
        <v>104</v>
      </c>
      <c r="C3274" s="7" t="s">
        <v>1105</v>
      </c>
      <c r="D3274" s="7" t="n">
        <v>0</v>
      </c>
      <c r="E3274" s="7" t="n">
        <v>0</v>
      </c>
      <c r="F3274" s="7" t="n">
        <v>1</v>
      </c>
      <c r="G3274" s="7" t="n">
        <v>114.33</v>
      </c>
    </row>
    <row r="3275" customFormat="false" ht="15" hidden="false" customHeight="false" outlineLevel="0" collapsed="false">
      <c r="A3275" s="7" t="s">
        <v>24</v>
      </c>
      <c r="B3275" s="7" t="s">
        <v>104</v>
      </c>
      <c r="C3275" s="7" t="s">
        <v>1105</v>
      </c>
      <c r="D3275" s="7" t="n">
        <v>0</v>
      </c>
      <c r="E3275" s="7" t="n">
        <v>0</v>
      </c>
      <c r="F3275" s="7" t="n">
        <v>2</v>
      </c>
      <c r="G3275" s="7" t="n">
        <v>228.66</v>
      </c>
    </row>
    <row r="3276" customFormat="false" ht="15" hidden="false" customHeight="false" outlineLevel="0" collapsed="false">
      <c r="A3276" s="7" t="s">
        <v>24</v>
      </c>
      <c r="B3276" s="7" t="s">
        <v>104</v>
      </c>
      <c r="C3276" s="7" t="s">
        <v>1105</v>
      </c>
      <c r="D3276" s="7" t="n">
        <v>0</v>
      </c>
      <c r="E3276" s="7" t="n">
        <v>0</v>
      </c>
      <c r="F3276" s="7" t="n">
        <v>3</v>
      </c>
      <c r="G3276" s="7" t="n">
        <v>342.99</v>
      </c>
    </row>
    <row r="3277" customFormat="false" ht="15" hidden="false" customHeight="false" outlineLevel="0" collapsed="false">
      <c r="A3277" s="7" t="s">
        <v>24</v>
      </c>
      <c r="B3277" s="7" t="s">
        <v>104</v>
      </c>
      <c r="C3277" s="7" t="s">
        <v>1105</v>
      </c>
      <c r="D3277" s="7" t="n">
        <v>0</v>
      </c>
      <c r="E3277" s="7" t="n">
        <v>0</v>
      </c>
      <c r="F3277" s="7" t="n">
        <v>1</v>
      </c>
      <c r="G3277" s="7" t="n">
        <v>114.32</v>
      </c>
    </row>
    <row r="3278" customFormat="false" ht="15" hidden="false" customHeight="false" outlineLevel="0" collapsed="false">
      <c r="A3278" s="7" t="s">
        <v>24</v>
      </c>
      <c r="B3278" s="7" t="s">
        <v>104</v>
      </c>
      <c r="C3278" s="7" t="s">
        <v>1105</v>
      </c>
      <c r="D3278" s="7" t="n">
        <v>0</v>
      </c>
      <c r="E3278" s="7" t="n">
        <v>0</v>
      </c>
      <c r="F3278" s="7" t="n">
        <v>19</v>
      </c>
      <c r="G3278" s="7" t="n">
        <v>1926.34</v>
      </c>
    </row>
    <row r="3279" customFormat="false" ht="15" hidden="false" customHeight="false" outlineLevel="0" collapsed="false">
      <c r="A3279" s="7" t="s">
        <v>24</v>
      </c>
      <c r="B3279" s="7" t="s">
        <v>104</v>
      </c>
      <c r="C3279" s="7" t="s">
        <v>1105</v>
      </c>
      <c r="D3279" s="7" t="n">
        <v>0</v>
      </c>
      <c r="E3279" s="7" t="n">
        <v>0</v>
      </c>
      <c r="F3279" s="7" t="n">
        <v>1</v>
      </c>
      <c r="G3279" s="7" t="n">
        <v>97.17</v>
      </c>
    </row>
    <row r="3280" customFormat="false" ht="15" hidden="false" customHeight="false" outlineLevel="0" collapsed="false">
      <c r="A3280" s="7" t="s">
        <v>24</v>
      </c>
      <c r="B3280" s="7" t="s">
        <v>104</v>
      </c>
      <c r="C3280" s="7" t="s">
        <v>1105</v>
      </c>
      <c r="D3280" s="7" t="n">
        <v>0</v>
      </c>
      <c r="E3280" s="7" t="n">
        <v>0</v>
      </c>
      <c r="F3280" s="7" t="n">
        <v>2</v>
      </c>
      <c r="G3280" s="7" t="n">
        <v>228.66</v>
      </c>
    </row>
    <row r="3281" customFormat="false" ht="15" hidden="false" customHeight="false" outlineLevel="0" collapsed="false">
      <c r="A3281" s="7" t="s">
        <v>24</v>
      </c>
      <c r="B3281" s="7" t="s">
        <v>104</v>
      </c>
      <c r="C3281" s="7" t="s">
        <v>1105</v>
      </c>
      <c r="D3281" s="7" t="n">
        <v>0</v>
      </c>
      <c r="E3281" s="7" t="n">
        <v>0</v>
      </c>
      <c r="F3281" s="7" t="n">
        <v>1</v>
      </c>
      <c r="G3281" s="7" t="n">
        <v>97.17</v>
      </c>
    </row>
    <row r="3282" customFormat="false" ht="15" hidden="false" customHeight="false" outlineLevel="0" collapsed="false">
      <c r="A3282" s="7" t="s">
        <v>24</v>
      </c>
      <c r="B3282" s="7" t="s">
        <v>104</v>
      </c>
      <c r="C3282" s="7" t="s">
        <v>1105</v>
      </c>
      <c r="D3282" s="7" t="n">
        <v>0</v>
      </c>
      <c r="E3282" s="7" t="n">
        <v>0</v>
      </c>
      <c r="F3282" s="7" t="n">
        <v>1</v>
      </c>
      <c r="G3282" s="7" t="n">
        <v>102.89</v>
      </c>
    </row>
    <row r="3283" customFormat="false" ht="15" hidden="false" customHeight="false" outlineLevel="0" collapsed="false">
      <c r="A3283" s="7" t="s">
        <v>24</v>
      </c>
      <c r="B3283" s="7" t="s">
        <v>104</v>
      </c>
      <c r="C3283" s="7" t="s">
        <v>1105</v>
      </c>
      <c r="D3283" s="7" t="n">
        <v>0</v>
      </c>
      <c r="E3283" s="7" t="n">
        <v>0</v>
      </c>
      <c r="F3283" s="7" t="n">
        <v>12</v>
      </c>
      <c r="G3283" s="7" t="n">
        <v>1280.42</v>
      </c>
    </row>
    <row r="3284" customFormat="false" ht="15" hidden="false" customHeight="false" outlineLevel="0" collapsed="false">
      <c r="A3284" s="7" t="s">
        <v>24</v>
      </c>
      <c r="B3284" s="7" t="s">
        <v>104</v>
      </c>
      <c r="C3284" s="7" t="s">
        <v>1105</v>
      </c>
      <c r="D3284" s="7" t="n">
        <v>0</v>
      </c>
      <c r="E3284" s="7" t="n">
        <v>0</v>
      </c>
      <c r="F3284" s="7" t="n">
        <v>2</v>
      </c>
      <c r="G3284" s="7" t="n">
        <v>194.36</v>
      </c>
    </row>
    <row r="3285" customFormat="false" ht="15" hidden="false" customHeight="false" outlineLevel="0" collapsed="false">
      <c r="A3285" s="7" t="s">
        <v>24</v>
      </c>
      <c r="B3285" s="7" t="s">
        <v>104</v>
      </c>
      <c r="C3285" s="7" t="s">
        <v>1105</v>
      </c>
      <c r="D3285" s="7" t="n">
        <v>0</v>
      </c>
      <c r="E3285" s="7" t="n">
        <v>0</v>
      </c>
      <c r="F3285" s="7" t="n">
        <v>2</v>
      </c>
      <c r="G3285" s="7" t="n">
        <v>228.66</v>
      </c>
    </row>
    <row r="3286" customFormat="false" ht="15" hidden="false" customHeight="false" outlineLevel="0" collapsed="false">
      <c r="A3286" s="7" t="s">
        <v>24</v>
      </c>
      <c r="B3286" s="7" t="s">
        <v>104</v>
      </c>
      <c r="C3286" s="7" t="s">
        <v>1105</v>
      </c>
      <c r="D3286" s="7" t="n">
        <v>0</v>
      </c>
      <c r="E3286" s="7" t="n">
        <v>0</v>
      </c>
      <c r="F3286" s="7" t="n">
        <v>3</v>
      </c>
      <c r="G3286" s="7" t="n">
        <v>320.1</v>
      </c>
    </row>
    <row r="3287" customFormat="false" ht="15" hidden="false" customHeight="false" outlineLevel="0" collapsed="false">
      <c r="A3287" s="7" t="s">
        <v>24</v>
      </c>
      <c r="B3287" s="7" t="s">
        <v>104</v>
      </c>
      <c r="C3287" s="7" t="s">
        <v>1105</v>
      </c>
      <c r="D3287" s="7" t="n">
        <v>0</v>
      </c>
      <c r="E3287" s="7" t="n">
        <v>0</v>
      </c>
      <c r="F3287" s="7" t="n">
        <v>2</v>
      </c>
      <c r="G3287" s="7" t="n">
        <v>228.64</v>
      </c>
    </row>
    <row r="3288" customFormat="false" ht="15" hidden="false" customHeight="false" outlineLevel="0" collapsed="false">
      <c r="A3288" s="7" t="s">
        <v>24</v>
      </c>
      <c r="B3288" s="7" t="s">
        <v>104</v>
      </c>
      <c r="C3288" s="7" t="s">
        <v>1105</v>
      </c>
      <c r="D3288" s="7" t="n">
        <v>0</v>
      </c>
      <c r="E3288" s="7" t="n">
        <v>0</v>
      </c>
      <c r="F3288" s="7" t="n">
        <v>1</v>
      </c>
      <c r="G3288" s="7" t="n">
        <v>114.33</v>
      </c>
    </row>
    <row r="3289" customFormat="false" ht="15" hidden="false" customHeight="false" outlineLevel="0" collapsed="false">
      <c r="A3289" s="7" t="s">
        <v>24</v>
      </c>
      <c r="B3289" s="7" t="s">
        <v>104</v>
      </c>
      <c r="C3289" s="7" t="s">
        <v>1105</v>
      </c>
      <c r="D3289" s="7" t="n">
        <v>0</v>
      </c>
      <c r="E3289" s="7" t="n">
        <v>0</v>
      </c>
      <c r="F3289" s="7" t="n">
        <v>1</v>
      </c>
      <c r="G3289" s="7" t="n">
        <v>114.33</v>
      </c>
    </row>
    <row r="3290" customFormat="false" ht="15" hidden="false" customHeight="false" outlineLevel="0" collapsed="false">
      <c r="A3290" s="7" t="s">
        <v>24</v>
      </c>
      <c r="B3290" s="7" t="s">
        <v>104</v>
      </c>
      <c r="C3290" s="7" t="s">
        <v>1105</v>
      </c>
      <c r="D3290" s="7" t="n">
        <v>0</v>
      </c>
      <c r="E3290" s="7" t="n">
        <v>0</v>
      </c>
      <c r="F3290" s="7" t="n">
        <v>5</v>
      </c>
      <c r="G3290" s="7" t="n">
        <v>468.72</v>
      </c>
    </row>
    <row r="3291" customFormat="false" ht="15" hidden="false" customHeight="false" outlineLevel="0" collapsed="false">
      <c r="A3291" s="7" t="s">
        <v>24</v>
      </c>
      <c r="B3291" s="7" t="s">
        <v>104</v>
      </c>
      <c r="C3291" s="7" t="s">
        <v>1105</v>
      </c>
      <c r="D3291" s="7" t="n">
        <v>0</v>
      </c>
      <c r="E3291" s="7" t="n">
        <v>0</v>
      </c>
      <c r="F3291" s="7" t="n">
        <v>1</v>
      </c>
      <c r="G3291" s="7" t="n">
        <v>114.33</v>
      </c>
    </row>
    <row r="3292" customFormat="false" ht="15" hidden="false" customHeight="false" outlineLevel="0" collapsed="false">
      <c r="A3292" s="7" t="s">
        <v>24</v>
      </c>
      <c r="B3292" s="7" t="s">
        <v>104</v>
      </c>
      <c r="C3292" s="7" t="s">
        <v>1105</v>
      </c>
      <c r="D3292" s="7" t="n">
        <v>0</v>
      </c>
      <c r="E3292" s="7" t="n">
        <v>0</v>
      </c>
      <c r="F3292" s="7" t="n">
        <v>2</v>
      </c>
      <c r="G3292" s="7" t="n">
        <v>194.36</v>
      </c>
    </row>
    <row r="3293" customFormat="false" ht="15" hidden="false" customHeight="false" outlineLevel="0" collapsed="false">
      <c r="A3293" s="7" t="s">
        <v>24</v>
      </c>
      <c r="B3293" s="7" t="s">
        <v>104</v>
      </c>
      <c r="C3293" s="7" t="s">
        <v>1105</v>
      </c>
      <c r="D3293" s="7" t="n">
        <v>0</v>
      </c>
      <c r="E3293" s="7" t="n">
        <v>0</v>
      </c>
      <c r="F3293" s="7" t="n">
        <v>5</v>
      </c>
      <c r="G3293" s="7" t="n">
        <v>571.65</v>
      </c>
    </row>
    <row r="3294" customFormat="false" ht="15" hidden="false" customHeight="false" outlineLevel="0" collapsed="false">
      <c r="A3294" s="7" t="s">
        <v>24</v>
      </c>
      <c r="B3294" s="7" t="s">
        <v>104</v>
      </c>
      <c r="C3294" s="7" t="s">
        <v>1105</v>
      </c>
      <c r="D3294" s="7" t="n">
        <v>0</v>
      </c>
      <c r="E3294" s="7" t="n">
        <v>0</v>
      </c>
      <c r="F3294" s="7" t="n">
        <v>1</v>
      </c>
      <c r="G3294" s="7" t="n">
        <v>114.33</v>
      </c>
    </row>
    <row r="3295" customFormat="false" ht="15" hidden="false" customHeight="false" outlineLevel="0" collapsed="false">
      <c r="A3295" s="7" t="s">
        <v>24</v>
      </c>
      <c r="B3295" s="7" t="s">
        <v>104</v>
      </c>
      <c r="C3295" s="7" t="s">
        <v>1105</v>
      </c>
      <c r="D3295" s="7" t="n">
        <v>0</v>
      </c>
      <c r="E3295" s="7" t="n">
        <v>0</v>
      </c>
      <c r="F3295" s="7" t="n">
        <v>3</v>
      </c>
      <c r="G3295" s="7" t="n">
        <v>320.1</v>
      </c>
    </row>
    <row r="3296" customFormat="false" ht="15" hidden="false" customHeight="false" outlineLevel="0" collapsed="false">
      <c r="A3296" s="7" t="s">
        <v>24</v>
      </c>
      <c r="B3296" s="7" t="s">
        <v>104</v>
      </c>
      <c r="C3296" s="7" t="s">
        <v>1105</v>
      </c>
      <c r="D3296" s="7" t="n">
        <v>0</v>
      </c>
      <c r="E3296" s="7" t="n">
        <v>0</v>
      </c>
      <c r="F3296" s="7" t="n">
        <v>1</v>
      </c>
      <c r="G3296" s="7" t="n">
        <v>97.17</v>
      </c>
    </row>
    <row r="3297" customFormat="false" ht="15" hidden="false" customHeight="false" outlineLevel="0" collapsed="false">
      <c r="A3297" s="7" t="s">
        <v>24</v>
      </c>
      <c r="B3297" s="7" t="s">
        <v>104</v>
      </c>
      <c r="C3297" s="7" t="s">
        <v>1105</v>
      </c>
      <c r="D3297" s="7" t="n">
        <v>0</v>
      </c>
      <c r="E3297" s="7" t="n">
        <v>0</v>
      </c>
      <c r="F3297" s="7" t="n">
        <v>4</v>
      </c>
      <c r="G3297" s="7" t="n">
        <v>423.01</v>
      </c>
    </row>
    <row r="3298" customFormat="false" ht="15" hidden="false" customHeight="false" outlineLevel="0" collapsed="false">
      <c r="A3298" s="7" t="s">
        <v>24</v>
      </c>
      <c r="B3298" s="7" t="s">
        <v>104</v>
      </c>
      <c r="C3298" s="7" t="s">
        <v>1105</v>
      </c>
      <c r="D3298" s="7" t="n">
        <v>0</v>
      </c>
      <c r="E3298" s="7" t="n">
        <v>0</v>
      </c>
      <c r="F3298" s="7" t="n">
        <v>2</v>
      </c>
      <c r="G3298" s="7" t="n">
        <v>194.36</v>
      </c>
    </row>
    <row r="3299" customFormat="false" ht="15" hidden="false" customHeight="false" outlineLevel="0" collapsed="false">
      <c r="A3299" s="7" t="s">
        <v>24</v>
      </c>
      <c r="B3299" s="7" t="s">
        <v>104</v>
      </c>
      <c r="C3299" s="7" t="s">
        <v>1105</v>
      </c>
      <c r="D3299" s="7" t="n">
        <v>0</v>
      </c>
      <c r="E3299" s="7" t="n">
        <v>0</v>
      </c>
      <c r="F3299" s="7" t="n">
        <v>3</v>
      </c>
      <c r="G3299" s="7" t="n">
        <v>314.39</v>
      </c>
    </row>
    <row r="3300" customFormat="false" ht="15" hidden="false" customHeight="false" outlineLevel="0" collapsed="false">
      <c r="A3300" s="7" t="s">
        <v>24</v>
      </c>
      <c r="B3300" s="7" t="s">
        <v>104</v>
      </c>
      <c r="C3300" s="7" t="s">
        <v>1105</v>
      </c>
      <c r="D3300" s="7" t="n">
        <v>0</v>
      </c>
      <c r="E3300" s="7" t="n">
        <v>0</v>
      </c>
      <c r="F3300" s="7" t="n">
        <v>1</v>
      </c>
      <c r="G3300" s="7" t="n">
        <v>97.18</v>
      </c>
    </row>
    <row r="3301" customFormat="false" ht="15" hidden="false" customHeight="false" outlineLevel="0" collapsed="false">
      <c r="A3301" s="7" t="s">
        <v>24</v>
      </c>
      <c r="B3301" s="7" t="s">
        <v>104</v>
      </c>
      <c r="C3301" s="7" t="s">
        <v>1105</v>
      </c>
      <c r="D3301" s="7" t="n">
        <v>0</v>
      </c>
      <c r="E3301" s="7" t="n">
        <v>0</v>
      </c>
      <c r="F3301" s="7" t="n">
        <v>1</v>
      </c>
      <c r="G3301" s="7" t="n">
        <v>114.33</v>
      </c>
    </row>
    <row r="3302" customFormat="false" ht="15" hidden="false" customHeight="false" outlineLevel="0" collapsed="false">
      <c r="A3302" s="7" t="s">
        <v>24</v>
      </c>
      <c r="B3302" s="7" t="s">
        <v>104</v>
      </c>
      <c r="C3302" s="7" t="s">
        <v>1105</v>
      </c>
      <c r="D3302" s="7" t="n">
        <v>0</v>
      </c>
      <c r="E3302" s="7" t="n">
        <v>0</v>
      </c>
      <c r="F3302" s="7" t="n">
        <v>5</v>
      </c>
      <c r="G3302" s="7" t="n">
        <v>531.6</v>
      </c>
    </row>
    <row r="3303" customFormat="false" ht="15" hidden="false" customHeight="false" outlineLevel="0" collapsed="false">
      <c r="A3303" s="7" t="s">
        <v>24</v>
      </c>
      <c r="B3303" s="7" t="s">
        <v>104</v>
      </c>
      <c r="C3303" s="7" t="s">
        <v>1105</v>
      </c>
      <c r="D3303" s="7" t="n">
        <v>0</v>
      </c>
      <c r="E3303" s="7" t="n">
        <v>0</v>
      </c>
      <c r="F3303" s="7" t="n">
        <v>1</v>
      </c>
      <c r="G3303" s="7" t="n">
        <v>0</v>
      </c>
    </row>
    <row r="3304" customFormat="false" ht="15" hidden="false" customHeight="false" outlineLevel="0" collapsed="false">
      <c r="A3304" s="7" t="s">
        <v>24</v>
      </c>
      <c r="B3304" s="7" t="s">
        <v>104</v>
      </c>
      <c r="C3304" s="7" t="s">
        <v>1105</v>
      </c>
      <c r="D3304" s="7" t="n">
        <v>0</v>
      </c>
      <c r="E3304" s="7" t="n">
        <v>0</v>
      </c>
      <c r="F3304" s="7" t="n">
        <v>2</v>
      </c>
      <c r="G3304" s="7" t="n">
        <v>194.36</v>
      </c>
    </row>
    <row r="3305" customFormat="false" ht="15" hidden="false" customHeight="false" outlineLevel="0" collapsed="false">
      <c r="A3305" s="7" t="s">
        <v>24</v>
      </c>
      <c r="B3305" s="7" t="s">
        <v>104</v>
      </c>
      <c r="C3305" s="7" t="s">
        <v>1105</v>
      </c>
      <c r="D3305" s="7" t="n">
        <v>0</v>
      </c>
      <c r="E3305" s="7" t="n">
        <v>0</v>
      </c>
      <c r="F3305" s="7" t="n">
        <v>1</v>
      </c>
      <c r="G3305" s="7" t="n">
        <v>101.7</v>
      </c>
    </row>
    <row r="3306" customFormat="false" ht="15" hidden="false" customHeight="false" outlineLevel="0" collapsed="false">
      <c r="A3306" s="7" t="s">
        <v>24</v>
      </c>
      <c r="B3306" s="7" t="s">
        <v>104</v>
      </c>
      <c r="C3306" s="7" t="s">
        <v>1105</v>
      </c>
      <c r="D3306" s="7" t="n">
        <v>0</v>
      </c>
      <c r="E3306" s="7" t="n">
        <v>0</v>
      </c>
      <c r="F3306" s="7" t="n">
        <v>1</v>
      </c>
      <c r="G3306" s="7" t="n">
        <v>114.33</v>
      </c>
    </row>
    <row r="3307" customFormat="false" ht="15" hidden="false" customHeight="false" outlineLevel="0" collapsed="false">
      <c r="A3307" s="7" t="s">
        <v>24</v>
      </c>
      <c r="B3307" s="7" t="s">
        <v>104</v>
      </c>
      <c r="C3307" s="7" t="s">
        <v>1105</v>
      </c>
      <c r="D3307" s="7" t="n">
        <v>0</v>
      </c>
      <c r="E3307" s="7" t="n">
        <v>0</v>
      </c>
      <c r="F3307" s="7" t="n">
        <v>1</v>
      </c>
      <c r="G3307" s="7" t="n">
        <v>114.33</v>
      </c>
    </row>
    <row r="3308" customFormat="false" ht="15" hidden="false" customHeight="false" outlineLevel="0" collapsed="false">
      <c r="A3308" s="7" t="s">
        <v>24</v>
      </c>
      <c r="B3308" s="7" t="s">
        <v>104</v>
      </c>
      <c r="C3308" s="7" t="s">
        <v>1105</v>
      </c>
      <c r="D3308" s="7" t="n">
        <v>0</v>
      </c>
      <c r="E3308" s="7" t="n">
        <v>0</v>
      </c>
      <c r="F3308" s="7" t="n">
        <v>1</v>
      </c>
      <c r="G3308" s="7" t="n">
        <v>97.18</v>
      </c>
    </row>
    <row r="3309" customFormat="false" ht="15" hidden="false" customHeight="false" outlineLevel="0" collapsed="false">
      <c r="A3309" s="7" t="s">
        <v>24</v>
      </c>
      <c r="B3309" s="7" t="s">
        <v>104</v>
      </c>
      <c r="C3309" s="7" t="s">
        <v>1105</v>
      </c>
      <c r="D3309" s="7" t="n">
        <v>0</v>
      </c>
      <c r="E3309" s="7" t="n">
        <v>0</v>
      </c>
      <c r="F3309" s="7" t="n">
        <v>1</v>
      </c>
      <c r="G3309" s="7" t="n">
        <v>114.33</v>
      </c>
    </row>
    <row r="3310" customFormat="false" ht="15" hidden="false" customHeight="false" outlineLevel="0" collapsed="false">
      <c r="A3310" s="7" t="s">
        <v>24</v>
      </c>
      <c r="B3310" s="7" t="s">
        <v>104</v>
      </c>
      <c r="C3310" s="7" t="s">
        <v>1105</v>
      </c>
      <c r="D3310" s="7" t="n">
        <v>0</v>
      </c>
      <c r="E3310" s="7" t="n">
        <v>0</v>
      </c>
      <c r="F3310" s="7" t="n">
        <v>4</v>
      </c>
      <c r="G3310" s="7" t="n">
        <v>365.83</v>
      </c>
    </row>
    <row r="3311" customFormat="false" ht="15" hidden="false" customHeight="false" outlineLevel="0" collapsed="false">
      <c r="A3311" s="7" t="s">
        <v>24</v>
      </c>
      <c r="B3311" s="7" t="s">
        <v>104</v>
      </c>
      <c r="C3311" s="7" t="s">
        <v>1105</v>
      </c>
      <c r="D3311" s="7" t="n">
        <v>0</v>
      </c>
      <c r="E3311" s="7" t="n">
        <v>0</v>
      </c>
      <c r="F3311" s="7" t="n">
        <v>2</v>
      </c>
      <c r="G3311" s="7" t="n">
        <v>228.64</v>
      </c>
    </row>
    <row r="3312" customFormat="false" ht="15" hidden="false" customHeight="false" outlineLevel="0" collapsed="false">
      <c r="A3312" s="7" t="s">
        <v>24</v>
      </c>
      <c r="B3312" s="7" t="s">
        <v>104</v>
      </c>
      <c r="C3312" s="7" t="s">
        <v>1105</v>
      </c>
      <c r="D3312" s="7" t="n">
        <v>0</v>
      </c>
      <c r="E3312" s="7" t="n">
        <v>0</v>
      </c>
      <c r="F3312" s="7" t="n">
        <v>2</v>
      </c>
      <c r="G3312" s="7" t="n">
        <v>228.66</v>
      </c>
    </row>
    <row r="3313" customFormat="false" ht="15" hidden="false" customHeight="false" outlineLevel="0" collapsed="false">
      <c r="A3313" s="7" t="s">
        <v>24</v>
      </c>
      <c r="B3313" s="7" t="s">
        <v>104</v>
      </c>
      <c r="C3313" s="7" t="s">
        <v>1105</v>
      </c>
      <c r="D3313" s="7" t="n">
        <v>0</v>
      </c>
      <c r="E3313" s="7" t="n">
        <v>0</v>
      </c>
      <c r="F3313" s="7" t="n">
        <v>1</v>
      </c>
      <c r="G3313" s="7" t="n">
        <v>114.32</v>
      </c>
    </row>
    <row r="3314" customFormat="false" ht="15" hidden="false" customHeight="false" outlineLevel="0" collapsed="false">
      <c r="A3314" s="7" t="s">
        <v>24</v>
      </c>
      <c r="B3314" s="7" t="s">
        <v>104</v>
      </c>
      <c r="C3314" s="7" t="s">
        <v>1105</v>
      </c>
      <c r="D3314" s="7" t="n">
        <v>21</v>
      </c>
      <c r="E3314" s="7" t="n">
        <v>2194.94</v>
      </c>
      <c r="F3314" s="7" t="n">
        <v>114</v>
      </c>
      <c r="G3314" s="7" t="n">
        <v>12118.01</v>
      </c>
    </row>
    <row r="3315" customFormat="false" ht="15" hidden="false" customHeight="false" outlineLevel="0" collapsed="false">
      <c r="A3315" s="7" t="s">
        <v>24</v>
      </c>
      <c r="B3315" s="7" t="s">
        <v>104</v>
      </c>
      <c r="C3315" s="7" t="s">
        <v>1105</v>
      </c>
      <c r="D3315" s="7" t="n">
        <v>0</v>
      </c>
      <c r="E3315" s="7" t="n">
        <v>0</v>
      </c>
      <c r="F3315" s="7" t="n">
        <v>1</v>
      </c>
      <c r="G3315" s="7" t="n">
        <v>114.32</v>
      </c>
    </row>
    <row r="3316" customFormat="false" ht="15" hidden="false" customHeight="false" outlineLevel="0" collapsed="false">
      <c r="A3316" s="7" t="s">
        <v>24</v>
      </c>
      <c r="B3316" s="7" t="s">
        <v>104</v>
      </c>
      <c r="C3316" s="7" t="s">
        <v>1105</v>
      </c>
      <c r="D3316" s="7" t="n">
        <v>0</v>
      </c>
      <c r="E3316" s="7" t="n">
        <v>0</v>
      </c>
      <c r="F3316" s="7" t="n">
        <v>1</v>
      </c>
      <c r="G3316" s="7" t="n">
        <v>114.33</v>
      </c>
    </row>
    <row r="3317" customFormat="false" ht="15" hidden="false" customHeight="false" outlineLevel="0" collapsed="false">
      <c r="A3317" s="7" t="s">
        <v>24</v>
      </c>
      <c r="B3317" s="7" t="s">
        <v>104</v>
      </c>
      <c r="C3317" s="7" t="s">
        <v>1105</v>
      </c>
      <c r="D3317" s="7" t="n">
        <v>0</v>
      </c>
      <c r="E3317" s="7" t="n">
        <v>0</v>
      </c>
      <c r="F3317" s="7" t="n">
        <v>2</v>
      </c>
      <c r="G3317" s="7" t="n">
        <v>205.78</v>
      </c>
    </row>
    <row r="3318" customFormat="false" ht="15" hidden="false" customHeight="false" outlineLevel="0" collapsed="false">
      <c r="A3318" s="7" t="s">
        <v>24</v>
      </c>
      <c r="B3318" s="7" t="s">
        <v>104</v>
      </c>
      <c r="C3318" s="7" t="s">
        <v>1105</v>
      </c>
      <c r="D3318" s="7" t="n">
        <v>0</v>
      </c>
      <c r="E3318" s="7" t="n">
        <v>0</v>
      </c>
      <c r="F3318" s="7" t="n">
        <v>1</v>
      </c>
      <c r="G3318" s="7" t="n">
        <v>97.17</v>
      </c>
    </row>
    <row r="3319" customFormat="false" ht="15" hidden="false" customHeight="false" outlineLevel="0" collapsed="false">
      <c r="A3319" s="7" t="s">
        <v>24</v>
      </c>
      <c r="B3319" s="7" t="s">
        <v>104</v>
      </c>
      <c r="C3319" s="7" t="s">
        <v>1105</v>
      </c>
      <c r="D3319" s="7" t="n">
        <v>0</v>
      </c>
      <c r="E3319" s="7" t="n">
        <v>0</v>
      </c>
      <c r="F3319" s="7" t="n">
        <v>1</v>
      </c>
      <c r="G3319" s="7" t="n">
        <v>114.32</v>
      </c>
    </row>
    <row r="3320" customFormat="false" ht="15" hidden="false" customHeight="false" outlineLevel="0" collapsed="false">
      <c r="A3320" s="7" t="s">
        <v>24</v>
      </c>
      <c r="B3320" s="7" t="s">
        <v>104</v>
      </c>
      <c r="C3320" s="7" t="s">
        <v>1105</v>
      </c>
      <c r="D3320" s="7" t="n">
        <v>0</v>
      </c>
      <c r="E3320" s="7" t="n">
        <v>0</v>
      </c>
      <c r="F3320" s="7" t="n">
        <v>1</v>
      </c>
      <c r="G3320" s="7" t="n">
        <v>97.18</v>
      </c>
    </row>
    <row r="3321" customFormat="false" ht="15" hidden="false" customHeight="false" outlineLevel="0" collapsed="false">
      <c r="A3321" s="7" t="s">
        <v>24</v>
      </c>
      <c r="B3321" s="7" t="s">
        <v>104</v>
      </c>
      <c r="C3321" s="7" t="s">
        <v>1105</v>
      </c>
      <c r="D3321" s="7" t="n">
        <v>0</v>
      </c>
      <c r="E3321" s="7" t="n">
        <v>0</v>
      </c>
      <c r="F3321" s="7" t="n">
        <v>2</v>
      </c>
      <c r="G3321" s="7" t="n">
        <v>211.5</v>
      </c>
    </row>
    <row r="3322" customFormat="false" ht="15" hidden="false" customHeight="false" outlineLevel="0" collapsed="false">
      <c r="A3322" s="7" t="s">
        <v>24</v>
      </c>
      <c r="B3322" s="7" t="s">
        <v>104</v>
      </c>
      <c r="C3322" s="7" t="s">
        <v>1105</v>
      </c>
      <c r="D3322" s="7" t="n">
        <v>0</v>
      </c>
      <c r="E3322" s="7" t="n">
        <v>0</v>
      </c>
      <c r="F3322" s="7" t="n">
        <v>2</v>
      </c>
      <c r="G3322" s="7" t="n">
        <v>194.36</v>
      </c>
    </row>
    <row r="3323" customFormat="false" ht="15" hidden="false" customHeight="false" outlineLevel="0" collapsed="false">
      <c r="A3323" s="7" t="s">
        <v>24</v>
      </c>
      <c r="B3323" s="7" t="s">
        <v>104</v>
      </c>
      <c r="C3323" s="7" t="s">
        <v>1105</v>
      </c>
      <c r="D3323" s="7" t="n">
        <v>0</v>
      </c>
      <c r="E3323" s="7" t="n">
        <v>0</v>
      </c>
      <c r="F3323" s="7" t="n">
        <v>4</v>
      </c>
      <c r="G3323" s="7" t="n">
        <v>457.3</v>
      </c>
    </row>
    <row r="3324" customFormat="false" ht="15" hidden="false" customHeight="false" outlineLevel="0" collapsed="false">
      <c r="A3324" s="7" t="s">
        <v>24</v>
      </c>
      <c r="B3324" s="7" t="s">
        <v>104</v>
      </c>
      <c r="C3324" s="7" t="s">
        <v>1105</v>
      </c>
      <c r="D3324" s="7" t="n">
        <v>0</v>
      </c>
      <c r="E3324" s="7" t="n">
        <v>0</v>
      </c>
      <c r="F3324" s="7" t="n">
        <v>1</v>
      </c>
      <c r="G3324" s="7" t="n">
        <v>114.32</v>
      </c>
    </row>
    <row r="3325" customFormat="false" ht="15" hidden="false" customHeight="false" outlineLevel="0" collapsed="false">
      <c r="A3325" s="7" t="s">
        <v>24</v>
      </c>
      <c r="B3325" s="7" t="s">
        <v>104</v>
      </c>
      <c r="C3325" s="7" t="s">
        <v>1105</v>
      </c>
      <c r="D3325" s="7" t="n">
        <v>0</v>
      </c>
      <c r="E3325" s="7" t="n">
        <v>0</v>
      </c>
      <c r="F3325" s="7" t="n">
        <v>1</v>
      </c>
      <c r="G3325" s="7" t="n">
        <v>114.32</v>
      </c>
    </row>
    <row r="3326" customFormat="false" ht="15" hidden="false" customHeight="false" outlineLevel="0" collapsed="false">
      <c r="A3326" s="7" t="s">
        <v>24</v>
      </c>
      <c r="B3326" s="7" t="s">
        <v>104</v>
      </c>
      <c r="C3326" s="7" t="s">
        <v>1105</v>
      </c>
      <c r="D3326" s="7" t="n">
        <v>0</v>
      </c>
      <c r="E3326" s="7" t="n">
        <v>0</v>
      </c>
      <c r="F3326" s="7" t="n">
        <v>2</v>
      </c>
      <c r="G3326" s="7" t="n">
        <v>194.36</v>
      </c>
    </row>
    <row r="3327" customFormat="false" ht="15" hidden="false" customHeight="false" outlineLevel="0" collapsed="false">
      <c r="A3327" s="7" t="s">
        <v>24</v>
      </c>
      <c r="B3327" s="7" t="s">
        <v>104</v>
      </c>
      <c r="C3327" s="7" t="s">
        <v>1105</v>
      </c>
      <c r="D3327" s="7" t="n">
        <v>0</v>
      </c>
      <c r="E3327" s="7" t="n">
        <v>0</v>
      </c>
      <c r="F3327" s="7" t="n">
        <v>1</v>
      </c>
      <c r="G3327" s="7" t="n">
        <v>102.89</v>
      </c>
    </row>
    <row r="3328" customFormat="false" ht="15" hidden="false" customHeight="false" outlineLevel="0" collapsed="false">
      <c r="A3328" s="7" t="s">
        <v>24</v>
      </c>
      <c r="B3328" s="7" t="s">
        <v>104</v>
      </c>
      <c r="C3328" s="7" t="s">
        <v>1105</v>
      </c>
      <c r="D3328" s="7" t="n">
        <v>0</v>
      </c>
      <c r="E3328" s="7" t="n">
        <v>0</v>
      </c>
      <c r="F3328" s="7" t="n">
        <v>1</v>
      </c>
      <c r="G3328" s="7" t="n">
        <v>97.17</v>
      </c>
    </row>
    <row r="3329" customFormat="false" ht="15" hidden="false" customHeight="false" outlineLevel="0" collapsed="false">
      <c r="A3329" s="7" t="s">
        <v>24</v>
      </c>
      <c r="B3329" s="7" t="s">
        <v>104</v>
      </c>
      <c r="C3329" s="7" t="s">
        <v>1105</v>
      </c>
      <c r="D3329" s="7" t="n">
        <v>0</v>
      </c>
      <c r="E3329" s="7" t="n">
        <v>0</v>
      </c>
      <c r="F3329" s="7" t="n">
        <v>2</v>
      </c>
      <c r="G3329" s="7" t="n">
        <v>194.36</v>
      </c>
    </row>
    <row r="3330" customFormat="false" ht="15" hidden="false" customHeight="false" outlineLevel="0" collapsed="false">
      <c r="A3330" s="7" t="s">
        <v>24</v>
      </c>
      <c r="B3330" s="7" t="s">
        <v>104</v>
      </c>
      <c r="C3330" s="7" t="s">
        <v>1105</v>
      </c>
      <c r="D3330" s="7" t="n">
        <v>0</v>
      </c>
      <c r="E3330" s="7" t="n">
        <v>0</v>
      </c>
      <c r="F3330" s="7" t="n">
        <v>1</v>
      </c>
      <c r="G3330" s="7" t="n">
        <v>114.33</v>
      </c>
    </row>
    <row r="3331" customFormat="false" ht="15" hidden="false" customHeight="false" outlineLevel="0" collapsed="false">
      <c r="A3331" s="7" t="s">
        <v>24</v>
      </c>
      <c r="B3331" s="7" t="s">
        <v>104</v>
      </c>
      <c r="C3331" s="7" t="s">
        <v>1105</v>
      </c>
      <c r="D3331" s="7" t="n">
        <v>0</v>
      </c>
      <c r="E3331" s="7" t="n">
        <v>0</v>
      </c>
      <c r="F3331" s="7" t="n">
        <v>1</v>
      </c>
      <c r="G3331" s="7" t="n">
        <v>97.18</v>
      </c>
    </row>
    <row r="3332" customFormat="false" ht="15" hidden="false" customHeight="false" outlineLevel="0" collapsed="false">
      <c r="A3332" s="7" t="s">
        <v>24</v>
      </c>
      <c r="B3332" s="7" t="s">
        <v>104</v>
      </c>
      <c r="C3332" s="7" t="s">
        <v>1105</v>
      </c>
      <c r="D3332" s="7" t="n">
        <v>0</v>
      </c>
      <c r="E3332" s="7" t="n">
        <v>0</v>
      </c>
      <c r="F3332" s="7" t="n">
        <v>1</v>
      </c>
      <c r="G3332" s="7" t="n">
        <v>114.33</v>
      </c>
    </row>
    <row r="3333" customFormat="false" ht="15" hidden="false" customHeight="false" outlineLevel="0" collapsed="false">
      <c r="A3333" s="7" t="s">
        <v>24</v>
      </c>
      <c r="B3333" s="7" t="s">
        <v>104</v>
      </c>
      <c r="C3333" s="7" t="s">
        <v>1105</v>
      </c>
      <c r="D3333" s="7" t="n">
        <v>0</v>
      </c>
      <c r="E3333" s="7" t="n">
        <v>0</v>
      </c>
      <c r="F3333" s="7" t="n">
        <v>1</v>
      </c>
      <c r="G3333" s="7" t="n">
        <v>97.17</v>
      </c>
    </row>
    <row r="3334" customFormat="false" ht="15" hidden="false" customHeight="false" outlineLevel="0" collapsed="false">
      <c r="A3334" s="7" t="s">
        <v>24</v>
      </c>
      <c r="B3334" s="7" t="s">
        <v>104</v>
      </c>
      <c r="C3334" s="7" t="s">
        <v>1105</v>
      </c>
      <c r="D3334" s="7" t="n">
        <v>0</v>
      </c>
      <c r="E3334" s="7" t="n">
        <v>0</v>
      </c>
      <c r="F3334" s="7" t="n">
        <v>2</v>
      </c>
      <c r="G3334" s="7" t="n">
        <v>188.64</v>
      </c>
    </row>
    <row r="3335" customFormat="false" ht="15" hidden="false" customHeight="false" outlineLevel="0" collapsed="false">
      <c r="A3335" s="7" t="s">
        <v>24</v>
      </c>
      <c r="B3335" s="7" t="s">
        <v>104</v>
      </c>
      <c r="C3335" s="7" t="s">
        <v>1105</v>
      </c>
      <c r="D3335" s="7" t="n">
        <v>0</v>
      </c>
      <c r="E3335" s="7" t="n">
        <v>0</v>
      </c>
      <c r="F3335" s="7" t="n">
        <v>1</v>
      </c>
      <c r="G3335" s="7" t="n">
        <v>102.89</v>
      </c>
    </row>
    <row r="3336" customFormat="false" ht="15" hidden="false" customHeight="false" outlineLevel="0" collapsed="false">
      <c r="A3336" s="7" t="s">
        <v>24</v>
      </c>
      <c r="B3336" s="7" t="s">
        <v>104</v>
      </c>
      <c r="C3336" s="7" t="s">
        <v>1105</v>
      </c>
      <c r="D3336" s="7" t="n">
        <v>0</v>
      </c>
      <c r="E3336" s="7" t="n">
        <v>0</v>
      </c>
      <c r="F3336" s="7" t="n">
        <v>2</v>
      </c>
      <c r="G3336" s="7" t="n">
        <v>194.36</v>
      </c>
    </row>
    <row r="3337" customFormat="false" ht="15" hidden="false" customHeight="false" outlineLevel="0" collapsed="false">
      <c r="A3337" s="7" t="s">
        <v>24</v>
      </c>
      <c r="B3337" s="7" t="s">
        <v>104</v>
      </c>
      <c r="C3337" s="7" t="s">
        <v>1105</v>
      </c>
      <c r="D3337" s="7" t="n">
        <v>0</v>
      </c>
      <c r="E3337" s="7" t="n">
        <v>0</v>
      </c>
      <c r="F3337" s="7" t="n">
        <v>1</v>
      </c>
      <c r="G3337" s="7" t="n">
        <v>114.33</v>
      </c>
    </row>
    <row r="3338" customFormat="false" ht="15" hidden="false" customHeight="false" outlineLevel="0" collapsed="false">
      <c r="A3338" s="7" t="s">
        <v>24</v>
      </c>
      <c r="B3338" s="7" t="s">
        <v>104</v>
      </c>
      <c r="C3338" s="7" t="s">
        <v>1105</v>
      </c>
      <c r="D3338" s="7" t="n">
        <v>0</v>
      </c>
      <c r="E3338" s="7" t="n">
        <v>0</v>
      </c>
      <c r="F3338" s="7" t="n">
        <v>3</v>
      </c>
      <c r="G3338" s="7" t="n">
        <v>342.96</v>
      </c>
    </row>
    <row r="3339" customFormat="false" ht="15" hidden="false" customHeight="false" outlineLevel="0" collapsed="false">
      <c r="A3339" s="7" t="s">
        <v>24</v>
      </c>
      <c r="B3339" s="7" t="s">
        <v>104</v>
      </c>
      <c r="C3339" s="7" t="s">
        <v>1105</v>
      </c>
      <c r="D3339" s="7" t="n">
        <v>0</v>
      </c>
      <c r="E3339" s="7" t="n">
        <v>0</v>
      </c>
      <c r="F3339" s="7" t="n">
        <v>1</v>
      </c>
      <c r="G3339" s="7" t="n">
        <v>97.17</v>
      </c>
    </row>
    <row r="3340" customFormat="false" ht="15" hidden="false" customHeight="false" outlineLevel="0" collapsed="false">
      <c r="A3340" s="7" t="s">
        <v>24</v>
      </c>
      <c r="B3340" s="7" t="s">
        <v>104</v>
      </c>
      <c r="C3340" s="7" t="s">
        <v>1105</v>
      </c>
      <c r="D3340" s="7" t="n">
        <v>0</v>
      </c>
      <c r="E3340" s="7" t="n">
        <v>0</v>
      </c>
      <c r="F3340" s="7" t="n">
        <v>1</v>
      </c>
      <c r="G3340" s="7" t="n">
        <v>114.32</v>
      </c>
    </row>
    <row r="3341" customFormat="false" ht="15" hidden="false" customHeight="false" outlineLevel="0" collapsed="false">
      <c r="A3341" s="7" t="s">
        <v>24</v>
      </c>
      <c r="B3341" s="7" t="s">
        <v>104</v>
      </c>
      <c r="C3341" s="7" t="s">
        <v>1105</v>
      </c>
      <c r="D3341" s="7" t="n">
        <v>0</v>
      </c>
      <c r="E3341" s="7" t="n">
        <v>0</v>
      </c>
      <c r="F3341" s="7" t="n">
        <v>1</v>
      </c>
      <c r="G3341" s="7" t="n">
        <v>102.89</v>
      </c>
    </row>
    <row r="3342" customFormat="false" ht="15" hidden="false" customHeight="false" outlineLevel="0" collapsed="false">
      <c r="A3342" s="7" t="s">
        <v>24</v>
      </c>
      <c r="B3342" s="7" t="s">
        <v>104</v>
      </c>
      <c r="C3342" s="7" t="s">
        <v>1105</v>
      </c>
      <c r="D3342" s="7" t="n">
        <v>0</v>
      </c>
      <c r="E3342" s="7" t="n">
        <v>0</v>
      </c>
      <c r="F3342" s="7" t="n">
        <v>4</v>
      </c>
      <c r="G3342" s="7" t="n">
        <v>422.99</v>
      </c>
    </row>
    <row r="3343" customFormat="false" ht="15" hidden="false" customHeight="false" outlineLevel="0" collapsed="false">
      <c r="A3343" s="7" t="s">
        <v>24</v>
      </c>
      <c r="B3343" s="7" t="s">
        <v>104</v>
      </c>
      <c r="C3343" s="7" t="s">
        <v>1105</v>
      </c>
      <c r="D3343" s="7" t="n">
        <v>0</v>
      </c>
      <c r="E3343" s="7" t="n">
        <v>0</v>
      </c>
      <c r="F3343" s="7" t="n">
        <v>2</v>
      </c>
      <c r="G3343" s="7" t="n">
        <v>228.64</v>
      </c>
    </row>
    <row r="3344" customFormat="false" ht="15" hidden="false" customHeight="false" outlineLevel="0" collapsed="false">
      <c r="A3344" s="7" t="s">
        <v>24</v>
      </c>
      <c r="B3344" s="7" t="s">
        <v>104</v>
      </c>
      <c r="C3344" s="7" t="s">
        <v>1105</v>
      </c>
      <c r="D3344" s="7" t="n">
        <v>0</v>
      </c>
      <c r="E3344" s="7" t="n">
        <v>0</v>
      </c>
      <c r="F3344" s="7" t="n">
        <v>2</v>
      </c>
      <c r="G3344" s="7" t="n">
        <v>211.5</v>
      </c>
    </row>
    <row r="3345" customFormat="false" ht="15" hidden="false" customHeight="false" outlineLevel="0" collapsed="false">
      <c r="A3345" s="7" t="s">
        <v>24</v>
      </c>
      <c r="B3345" s="7" t="s">
        <v>104</v>
      </c>
      <c r="C3345" s="7" t="s">
        <v>1105</v>
      </c>
      <c r="D3345" s="7" t="n">
        <v>0</v>
      </c>
      <c r="E3345" s="7" t="n">
        <v>0</v>
      </c>
      <c r="F3345" s="7" t="n">
        <v>1</v>
      </c>
      <c r="G3345" s="7" t="n">
        <v>97.18</v>
      </c>
    </row>
    <row r="3346" customFormat="false" ht="15" hidden="false" customHeight="false" outlineLevel="0" collapsed="false">
      <c r="A3346" s="7" t="s">
        <v>24</v>
      </c>
      <c r="B3346" s="7" t="s">
        <v>104</v>
      </c>
      <c r="C3346" s="7" t="s">
        <v>1105</v>
      </c>
      <c r="D3346" s="7" t="n">
        <v>0</v>
      </c>
      <c r="E3346" s="7" t="n">
        <v>0</v>
      </c>
      <c r="F3346" s="7" t="n">
        <v>2</v>
      </c>
      <c r="G3346" s="7" t="n">
        <v>194.36</v>
      </c>
    </row>
    <row r="3347" customFormat="false" ht="15" hidden="false" customHeight="false" outlineLevel="0" collapsed="false">
      <c r="A3347" s="7" t="s">
        <v>24</v>
      </c>
      <c r="B3347" s="7" t="s">
        <v>104</v>
      </c>
      <c r="C3347" s="7" t="s">
        <v>1105</v>
      </c>
      <c r="D3347" s="7" t="n">
        <v>0</v>
      </c>
      <c r="E3347" s="7" t="n">
        <v>0</v>
      </c>
      <c r="F3347" s="7" t="n">
        <v>1</v>
      </c>
      <c r="G3347" s="7" t="n">
        <v>114.32</v>
      </c>
    </row>
    <row r="3348" customFormat="false" ht="15" hidden="false" customHeight="false" outlineLevel="0" collapsed="false">
      <c r="A3348" s="7" t="s">
        <v>24</v>
      </c>
      <c r="B3348" s="7" t="s">
        <v>104</v>
      </c>
      <c r="C3348" s="7" t="s">
        <v>1105</v>
      </c>
      <c r="D3348" s="7" t="n">
        <v>0</v>
      </c>
      <c r="E3348" s="7" t="n">
        <v>0</v>
      </c>
      <c r="F3348" s="7" t="n">
        <v>1</v>
      </c>
      <c r="G3348" s="7" t="n">
        <v>97.17</v>
      </c>
    </row>
    <row r="3349" customFormat="false" ht="15" hidden="false" customHeight="false" outlineLevel="0" collapsed="false">
      <c r="A3349" s="7" t="s">
        <v>24</v>
      </c>
      <c r="B3349" s="7" t="s">
        <v>104</v>
      </c>
      <c r="C3349" s="7" t="s">
        <v>1105</v>
      </c>
      <c r="D3349" s="7" t="n">
        <v>0</v>
      </c>
      <c r="E3349" s="7" t="n">
        <v>0</v>
      </c>
      <c r="F3349" s="7" t="n">
        <v>1</v>
      </c>
      <c r="G3349" s="7" t="n">
        <v>114.32</v>
      </c>
    </row>
    <row r="3350" customFormat="false" ht="15" hidden="false" customHeight="false" outlineLevel="0" collapsed="false">
      <c r="A3350" s="7" t="s">
        <v>24</v>
      </c>
      <c r="B3350" s="7" t="s">
        <v>104</v>
      </c>
      <c r="C3350" s="7" t="s">
        <v>1105</v>
      </c>
      <c r="D3350" s="7" t="n">
        <v>0</v>
      </c>
      <c r="E3350" s="7" t="n">
        <v>0</v>
      </c>
      <c r="F3350" s="7" t="n">
        <v>5</v>
      </c>
      <c r="G3350" s="7" t="n">
        <v>485.89</v>
      </c>
    </row>
    <row r="3351" customFormat="false" ht="15" hidden="false" customHeight="false" outlineLevel="0" collapsed="false">
      <c r="A3351" s="7" t="s">
        <v>24</v>
      </c>
      <c r="B3351" s="7" t="s">
        <v>104</v>
      </c>
      <c r="C3351" s="7" t="s">
        <v>1105</v>
      </c>
      <c r="D3351" s="7" t="n">
        <v>0</v>
      </c>
      <c r="E3351" s="7" t="n">
        <v>0</v>
      </c>
      <c r="F3351" s="7" t="n">
        <v>1</v>
      </c>
      <c r="G3351" s="7" t="n">
        <v>97.17</v>
      </c>
    </row>
    <row r="3352" customFormat="false" ht="15" hidden="false" customHeight="false" outlineLevel="0" collapsed="false">
      <c r="A3352" s="7" t="s">
        <v>24</v>
      </c>
      <c r="B3352" s="7" t="s">
        <v>104</v>
      </c>
      <c r="C3352" s="7" t="s">
        <v>1105</v>
      </c>
      <c r="D3352" s="7" t="n">
        <v>0</v>
      </c>
      <c r="E3352" s="7" t="n">
        <v>0</v>
      </c>
      <c r="F3352" s="7" t="n">
        <v>1</v>
      </c>
      <c r="G3352" s="7" t="n">
        <v>114.32</v>
      </c>
    </row>
    <row r="3353" customFormat="false" ht="15" hidden="false" customHeight="false" outlineLevel="0" collapsed="false">
      <c r="A3353" s="7" t="s">
        <v>24</v>
      </c>
      <c r="B3353" s="7" t="s">
        <v>104</v>
      </c>
      <c r="C3353" s="7" t="s">
        <v>1105</v>
      </c>
      <c r="D3353" s="7" t="n">
        <v>0</v>
      </c>
      <c r="E3353" s="7" t="n">
        <v>0</v>
      </c>
      <c r="F3353" s="7" t="n">
        <v>2</v>
      </c>
      <c r="G3353" s="7" t="n">
        <v>194.36</v>
      </c>
    </row>
    <row r="3354" customFormat="false" ht="15" hidden="false" customHeight="false" outlineLevel="0" collapsed="false">
      <c r="A3354" s="7" t="s">
        <v>24</v>
      </c>
      <c r="B3354" s="7" t="s">
        <v>104</v>
      </c>
      <c r="C3354" s="7" t="s">
        <v>1105</v>
      </c>
      <c r="D3354" s="7" t="n">
        <v>0</v>
      </c>
      <c r="E3354" s="7" t="n">
        <v>0</v>
      </c>
      <c r="F3354" s="7" t="n">
        <v>6</v>
      </c>
      <c r="G3354" s="7" t="n">
        <v>583.08</v>
      </c>
    </row>
    <row r="3355" customFormat="false" ht="15" hidden="false" customHeight="false" outlineLevel="0" collapsed="false">
      <c r="A3355" s="7" t="s">
        <v>24</v>
      </c>
      <c r="B3355" s="7" t="s">
        <v>104</v>
      </c>
      <c r="C3355" s="7" t="s">
        <v>1105</v>
      </c>
      <c r="D3355" s="7" t="n">
        <v>0</v>
      </c>
      <c r="E3355" s="7" t="n">
        <v>0</v>
      </c>
      <c r="F3355" s="7" t="n">
        <v>1</v>
      </c>
      <c r="G3355" s="7" t="n">
        <v>114.32</v>
      </c>
    </row>
    <row r="3356" customFormat="false" ht="15" hidden="false" customHeight="false" outlineLevel="0" collapsed="false">
      <c r="A3356" s="7" t="s">
        <v>24</v>
      </c>
      <c r="B3356" s="7" t="s">
        <v>104</v>
      </c>
      <c r="C3356" s="7" t="s">
        <v>1105</v>
      </c>
      <c r="D3356" s="7" t="n">
        <v>0</v>
      </c>
      <c r="E3356" s="7" t="n">
        <v>0</v>
      </c>
      <c r="F3356" s="7" t="n">
        <v>1</v>
      </c>
      <c r="G3356" s="7" t="n">
        <v>97.18</v>
      </c>
    </row>
    <row r="3357" customFormat="false" ht="15" hidden="false" customHeight="false" outlineLevel="0" collapsed="false">
      <c r="A3357" s="7" t="s">
        <v>24</v>
      </c>
      <c r="B3357" s="7" t="s">
        <v>104</v>
      </c>
      <c r="C3357" s="7" t="s">
        <v>1105</v>
      </c>
      <c r="D3357" s="7" t="n">
        <v>0</v>
      </c>
      <c r="E3357" s="7" t="n">
        <v>0</v>
      </c>
      <c r="F3357" s="7" t="n">
        <v>2</v>
      </c>
      <c r="G3357" s="7" t="n">
        <v>217.21</v>
      </c>
    </row>
    <row r="3358" customFormat="false" ht="15" hidden="false" customHeight="false" outlineLevel="0" collapsed="false">
      <c r="A3358" s="7" t="s">
        <v>24</v>
      </c>
      <c r="B3358" s="7" t="s">
        <v>104</v>
      </c>
      <c r="C3358" s="7" t="s">
        <v>1105</v>
      </c>
      <c r="D3358" s="7" t="n">
        <v>0</v>
      </c>
      <c r="E3358" s="7" t="n">
        <v>0</v>
      </c>
      <c r="F3358" s="7" t="n">
        <v>2</v>
      </c>
      <c r="G3358" s="7" t="n">
        <v>194.36</v>
      </c>
    </row>
    <row r="3359" customFormat="false" ht="15" hidden="false" customHeight="false" outlineLevel="0" collapsed="false">
      <c r="A3359" s="7" t="s">
        <v>24</v>
      </c>
      <c r="B3359" s="7" t="s">
        <v>104</v>
      </c>
      <c r="C3359" s="7" t="s">
        <v>1105</v>
      </c>
      <c r="D3359" s="7" t="n">
        <v>0</v>
      </c>
      <c r="E3359" s="7" t="n">
        <v>0</v>
      </c>
      <c r="F3359" s="7" t="n">
        <v>1</v>
      </c>
      <c r="G3359" s="7" t="n">
        <v>85.75</v>
      </c>
    </row>
    <row r="3360" customFormat="false" ht="15" hidden="false" customHeight="false" outlineLevel="0" collapsed="false">
      <c r="A3360" s="7" t="s">
        <v>24</v>
      </c>
      <c r="B3360" s="7" t="s">
        <v>104</v>
      </c>
      <c r="C3360" s="7" t="s">
        <v>1105</v>
      </c>
      <c r="D3360" s="7" t="n">
        <v>0</v>
      </c>
      <c r="E3360" s="7" t="n">
        <v>0</v>
      </c>
      <c r="F3360" s="7" t="n">
        <v>1</v>
      </c>
      <c r="G3360" s="7" t="n">
        <v>102.89</v>
      </c>
    </row>
    <row r="3361" customFormat="false" ht="15" hidden="false" customHeight="false" outlineLevel="0" collapsed="false">
      <c r="A3361" s="7" t="s">
        <v>24</v>
      </c>
      <c r="B3361" s="7" t="s">
        <v>104</v>
      </c>
      <c r="C3361" s="7" t="s">
        <v>1105</v>
      </c>
      <c r="D3361" s="7" t="n">
        <v>0</v>
      </c>
      <c r="E3361" s="7" t="n">
        <v>0</v>
      </c>
      <c r="F3361" s="7" t="n">
        <v>1</v>
      </c>
      <c r="G3361" s="7" t="n">
        <v>114.32</v>
      </c>
    </row>
    <row r="3362" customFormat="false" ht="15" hidden="false" customHeight="false" outlineLevel="0" collapsed="false">
      <c r="A3362" s="7" t="s">
        <v>24</v>
      </c>
      <c r="B3362" s="7" t="s">
        <v>104</v>
      </c>
      <c r="C3362" s="7" t="s">
        <v>1105</v>
      </c>
      <c r="D3362" s="7" t="n">
        <v>0</v>
      </c>
      <c r="E3362" s="7" t="n">
        <v>0</v>
      </c>
      <c r="F3362" s="7" t="n">
        <v>1</v>
      </c>
      <c r="G3362" s="7" t="n">
        <v>114.33</v>
      </c>
    </row>
    <row r="3363" customFormat="false" ht="15" hidden="false" customHeight="false" outlineLevel="0" collapsed="false">
      <c r="A3363" s="7" t="s">
        <v>24</v>
      </c>
      <c r="B3363" s="7" t="s">
        <v>104</v>
      </c>
      <c r="C3363" s="7" t="s">
        <v>1105</v>
      </c>
      <c r="D3363" s="7" t="n">
        <v>0</v>
      </c>
      <c r="E3363" s="7" t="n">
        <v>0</v>
      </c>
      <c r="F3363" s="7" t="n">
        <v>1</v>
      </c>
      <c r="G3363" s="7" t="n">
        <v>97.17</v>
      </c>
    </row>
    <row r="3364" customFormat="false" ht="15" hidden="false" customHeight="false" outlineLevel="0" collapsed="false">
      <c r="A3364" s="7" t="s">
        <v>24</v>
      </c>
      <c r="B3364" s="7" t="s">
        <v>104</v>
      </c>
      <c r="C3364" s="7" t="s">
        <v>1105</v>
      </c>
      <c r="D3364" s="7" t="n">
        <v>0</v>
      </c>
      <c r="E3364" s="7" t="n">
        <v>0</v>
      </c>
      <c r="F3364" s="7" t="n">
        <v>3</v>
      </c>
      <c r="G3364" s="7" t="n">
        <v>308.68</v>
      </c>
    </row>
    <row r="3365" customFormat="false" ht="15" hidden="false" customHeight="false" outlineLevel="0" collapsed="false">
      <c r="A3365" s="7" t="s">
        <v>24</v>
      </c>
      <c r="B3365" s="7" t="s">
        <v>104</v>
      </c>
      <c r="C3365" s="7" t="s">
        <v>1105</v>
      </c>
      <c r="D3365" s="7" t="n">
        <v>0</v>
      </c>
      <c r="E3365" s="7" t="n">
        <v>0</v>
      </c>
      <c r="F3365" s="7" t="n">
        <v>1</v>
      </c>
      <c r="G3365" s="7" t="n">
        <v>102.89</v>
      </c>
    </row>
    <row r="3366" customFormat="false" ht="15" hidden="false" customHeight="false" outlineLevel="0" collapsed="false">
      <c r="A3366" s="7" t="s">
        <v>24</v>
      </c>
      <c r="B3366" s="7" t="s">
        <v>104</v>
      </c>
      <c r="C3366" s="7" t="s">
        <v>1105</v>
      </c>
      <c r="D3366" s="7" t="n">
        <v>0</v>
      </c>
      <c r="E3366" s="7" t="n">
        <v>0</v>
      </c>
      <c r="F3366" s="7" t="n">
        <v>1</v>
      </c>
      <c r="G3366" s="7" t="n">
        <v>114.32</v>
      </c>
    </row>
    <row r="3367" customFormat="false" ht="15" hidden="false" customHeight="false" outlineLevel="0" collapsed="false">
      <c r="A3367" s="7" t="s">
        <v>24</v>
      </c>
      <c r="B3367" s="7" t="s">
        <v>104</v>
      </c>
      <c r="C3367" s="7" t="s">
        <v>1105</v>
      </c>
      <c r="D3367" s="7" t="n">
        <v>0</v>
      </c>
      <c r="E3367" s="7" t="n">
        <v>0</v>
      </c>
      <c r="F3367" s="7" t="n">
        <v>1</v>
      </c>
      <c r="G3367" s="7" t="n">
        <v>102.89</v>
      </c>
    </row>
    <row r="3368" customFormat="false" ht="15" hidden="false" customHeight="false" outlineLevel="0" collapsed="false">
      <c r="A3368" s="7" t="s">
        <v>24</v>
      </c>
      <c r="B3368" s="7" t="s">
        <v>104</v>
      </c>
      <c r="C3368" s="7" t="s">
        <v>1105</v>
      </c>
      <c r="D3368" s="7" t="n">
        <v>0</v>
      </c>
      <c r="E3368" s="7" t="n">
        <v>0</v>
      </c>
      <c r="F3368" s="7" t="n">
        <v>4</v>
      </c>
      <c r="G3368" s="7" t="n">
        <v>342.98</v>
      </c>
    </row>
    <row r="3369" customFormat="false" ht="15" hidden="false" customHeight="false" outlineLevel="0" collapsed="false">
      <c r="A3369" s="7" t="s">
        <v>24</v>
      </c>
      <c r="B3369" s="7" t="s">
        <v>104</v>
      </c>
      <c r="C3369" s="7" t="s">
        <v>1105</v>
      </c>
      <c r="D3369" s="7" t="n">
        <v>0</v>
      </c>
      <c r="E3369" s="7" t="n">
        <v>0</v>
      </c>
      <c r="F3369" s="7" t="n">
        <v>1</v>
      </c>
      <c r="G3369" s="7" t="n">
        <v>97.17</v>
      </c>
    </row>
    <row r="3370" customFormat="false" ht="15" hidden="false" customHeight="false" outlineLevel="0" collapsed="false">
      <c r="A3370" s="7" t="s">
        <v>24</v>
      </c>
      <c r="B3370" s="7" t="s">
        <v>104</v>
      </c>
      <c r="C3370" s="7" t="s">
        <v>1105</v>
      </c>
      <c r="D3370" s="7" t="n">
        <v>0</v>
      </c>
      <c r="E3370" s="7" t="n">
        <v>0</v>
      </c>
      <c r="F3370" s="7" t="n">
        <v>3</v>
      </c>
      <c r="G3370" s="7" t="n">
        <v>342.99</v>
      </c>
    </row>
    <row r="3371" customFormat="false" ht="15" hidden="false" customHeight="false" outlineLevel="0" collapsed="false">
      <c r="A3371" s="7" t="s">
        <v>24</v>
      </c>
      <c r="B3371" s="7" t="s">
        <v>104</v>
      </c>
      <c r="C3371" s="7" t="s">
        <v>1105</v>
      </c>
      <c r="D3371" s="7" t="n">
        <v>0</v>
      </c>
      <c r="E3371" s="7" t="n">
        <v>0</v>
      </c>
      <c r="F3371" s="7" t="n">
        <v>1</v>
      </c>
      <c r="G3371" s="7" t="n">
        <v>114.32</v>
      </c>
    </row>
    <row r="3372" customFormat="false" ht="15" hidden="false" customHeight="false" outlineLevel="0" collapsed="false">
      <c r="A3372" s="7" t="s">
        <v>24</v>
      </c>
      <c r="B3372" s="7" t="s">
        <v>104</v>
      </c>
      <c r="C3372" s="7" t="s">
        <v>1105</v>
      </c>
      <c r="D3372" s="7" t="n">
        <v>0</v>
      </c>
      <c r="E3372" s="7" t="n">
        <v>0</v>
      </c>
      <c r="F3372" s="7" t="n">
        <v>1</v>
      </c>
      <c r="G3372" s="7" t="n">
        <v>97.17</v>
      </c>
    </row>
    <row r="3373" customFormat="false" ht="15" hidden="false" customHeight="false" outlineLevel="0" collapsed="false">
      <c r="A3373" s="7" t="s">
        <v>24</v>
      </c>
      <c r="B3373" s="7" t="s">
        <v>104</v>
      </c>
      <c r="C3373" s="7" t="s">
        <v>1105</v>
      </c>
      <c r="D3373" s="7" t="n">
        <v>0</v>
      </c>
      <c r="E3373" s="7" t="n">
        <v>0</v>
      </c>
      <c r="F3373" s="7" t="n">
        <v>1</v>
      </c>
      <c r="G3373" s="7" t="n">
        <v>114.33</v>
      </c>
    </row>
    <row r="3374" customFormat="false" ht="15" hidden="false" customHeight="false" outlineLevel="0" collapsed="false">
      <c r="A3374" s="7" t="s">
        <v>24</v>
      </c>
      <c r="B3374" s="7" t="s">
        <v>104</v>
      </c>
      <c r="C3374" s="7" t="s">
        <v>1105</v>
      </c>
      <c r="D3374" s="7" t="n">
        <v>0</v>
      </c>
      <c r="E3374" s="7" t="n">
        <v>0</v>
      </c>
      <c r="F3374" s="7" t="n">
        <v>1</v>
      </c>
      <c r="G3374" s="7" t="n">
        <v>97.17</v>
      </c>
    </row>
    <row r="3375" customFormat="false" ht="15" hidden="false" customHeight="false" outlineLevel="0" collapsed="false">
      <c r="A3375" s="7" t="s">
        <v>24</v>
      </c>
      <c r="B3375" s="7" t="s">
        <v>104</v>
      </c>
      <c r="C3375" s="7" t="s">
        <v>1105</v>
      </c>
      <c r="D3375" s="7" t="n">
        <v>0</v>
      </c>
      <c r="E3375" s="7" t="n">
        <v>0</v>
      </c>
      <c r="F3375" s="7" t="n">
        <v>1</v>
      </c>
      <c r="G3375" s="7" t="n">
        <v>114.33</v>
      </c>
    </row>
    <row r="3376" customFormat="false" ht="15" hidden="false" customHeight="false" outlineLevel="0" collapsed="false">
      <c r="A3376" s="7" t="s">
        <v>24</v>
      </c>
      <c r="B3376" s="7" t="s">
        <v>104</v>
      </c>
      <c r="C3376" s="7" t="s">
        <v>1105</v>
      </c>
      <c r="D3376" s="7" t="n">
        <v>0</v>
      </c>
      <c r="E3376" s="7" t="n">
        <v>0</v>
      </c>
      <c r="F3376" s="7" t="n">
        <v>2</v>
      </c>
      <c r="G3376" s="7" t="n">
        <v>228.64</v>
      </c>
    </row>
    <row r="3377" customFormat="false" ht="15" hidden="false" customHeight="false" outlineLevel="0" collapsed="false">
      <c r="A3377" s="7" t="s">
        <v>24</v>
      </c>
      <c r="B3377" s="7" t="s">
        <v>104</v>
      </c>
      <c r="C3377" s="7" t="s">
        <v>1105</v>
      </c>
      <c r="D3377" s="7" t="n">
        <v>0</v>
      </c>
      <c r="E3377" s="7" t="n">
        <v>0</v>
      </c>
      <c r="F3377" s="7" t="n">
        <v>1</v>
      </c>
      <c r="G3377" s="7" t="n">
        <v>114.32</v>
      </c>
    </row>
    <row r="3378" customFormat="false" ht="15" hidden="false" customHeight="false" outlineLevel="0" collapsed="false">
      <c r="A3378" s="7" t="s">
        <v>24</v>
      </c>
      <c r="B3378" s="7" t="s">
        <v>104</v>
      </c>
      <c r="C3378" s="7" t="s">
        <v>1105</v>
      </c>
      <c r="D3378" s="7" t="n">
        <v>0</v>
      </c>
      <c r="E3378" s="7" t="n">
        <v>0</v>
      </c>
      <c r="F3378" s="7" t="n">
        <v>1</v>
      </c>
      <c r="G3378" s="7" t="n">
        <v>102.89</v>
      </c>
    </row>
    <row r="3379" customFormat="false" ht="15" hidden="false" customHeight="false" outlineLevel="0" collapsed="false">
      <c r="A3379" s="7" t="s">
        <v>24</v>
      </c>
      <c r="B3379" s="7" t="s">
        <v>104</v>
      </c>
      <c r="C3379" s="7" t="s">
        <v>1105</v>
      </c>
      <c r="D3379" s="7" t="n">
        <v>0</v>
      </c>
      <c r="E3379" s="7" t="n">
        <v>0</v>
      </c>
      <c r="F3379" s="7" t="n">
        <v>1</v>
      </c>
      <c r="G3379" s="7" t="n">
        <v>97.17</v>
      </c>
    </row>
    <row r="3380" customFormat="false" ht="15" hidden="false" customHeight="false" outlineLevel="0" collapsed="false">
      <c r="A3380" s="7" t="s">
        <v>24</v>
      </c>
      <c r="B3380" s="7" t="s">
        <v>104</v>
      </c>
      <c r="C3380" s="7" t="s">
        <v>1105</v>
      </c>
      <c r="D3380" s="7" t="n">
        <v>0</v>
      </c>
      <c r="E3380" s="7" t="n">
        <v>0</v>
      </c>
      <c r="F3380" s="7" t="n">
        <v>2</v>
      </c>
      <c r="G3380" s="7" t="n">
        <v>194.35</v>
      </c>
    </row>
    <row r="3381" customFormat="false" ht="15" hidden="false" customHeight="false" outlineLevel="0" collapsed="false">
      <c r="A3381" s="7" t="s">
        <v>24</v>
      </c>
      <c r="B3381" s="7" t="s">
        <v>104</v>
      </c>
      <c r="C3381" s="7" t="s">
        <v>1105</v>
      </c>
      <c r="D3381" s="7" t="n">
        <v>0</v>
      </c>
      <c r="E3381" s="7" t="n">
        <v>0</v>
      </c>
      <c r="F3381" s="7" t="n">
        <v>1</v>
      </c>
      <c r="G3381" s="7" t="n">
        <v>85.75</v>
      </c>
    </row>
    <row r="3382" customFormat="false" ht="15" hidden="false" customHeight="false" outlineLevel="0" collapsed="false">
      <c r="A3382" s="7" t="s">
        <v>24</v>
      </c>
      <c r="B3382" s="7" t="s">
        <v>104</v>
      </c>
      <c r="C3382" s="7" t="s">
        <v>1105</v>
      </c>
      <c r="D3382" s="7" t="n">
        <v>0</v>
      </c>
      <c r="E3382" s="7" t="n">
        <v>0</v>
      </c>
      <c r="F3382" s="7" t="n">
        <v>2</v>
      </c>
      <c r="G3382" s="7" t="n">
        <v>194.36</v>
      </c>
    </row>
    <row r="3383" customFormat="false" ht="15" hidden="false" customHeight="false" outlineLevel="0" collapsed="false">
      <c r="A3383" s="7" t="s">
        <v>24</v>
      </c>
      <c r="B3383" s="7" t="s">
        <v>104</v>
      </c>
      <c r="C3383" s="7" t="s">
        <v>1105</v>
      </c>
      <c r="D3383" s="7" t="n">
        <v>0</v>
      </c>
      <c r="E3383" s="7" t="n">
        <v>0</v>
      </c>
      <c r="F3383" s="7" t="n">
        <v>1</v>
      </c>
      <c r="G3383" s="7" t="n">
        <v>114.32</v>
      </c>
    </row>
    <row r="3384" customFormat="false" ht="15" hidden="false" customHeight="false" outlineLevel="0" collapsed="false">
      <c r="A3384" s="7" t="s">
        <v>24</v>
      </c>
      <c r="B3384" s="7" t="s">
        <v>104</v>
      </c>
      <c r="C3384" s="7" t="s">
        <v>1105</v>
      </c>
      <c r="D3384" s="7" t="n">
        <v>0</v>
      </c>
      <c r="E3384" s="7" t="n">
        <v>0</v>
      </c>
      <c r="F3384" s="7" t="n">
        <v>1</v>
      </c>
      <c r="G3384" s="7" t="n">
        <v>97.17</v>
      </c>
    </row>
    <row r="3385" customFormat="false" ht="15" hidden="false" customHeight="false" outlineLevel="0" collapsed="false">
      <c r="A3385" s="7" t="s">
        <v>24</v>
      </c>
      <c r="B3385" s="7" t="s">
        <v>104</v>
      </c>
      <c r="C3385" s="7" t="s">
        <v>1105</v>
      </c>
      <c r="D3385" s="7" t="n">
        <v>0</v>
      </c>
      <c r="E3385" s="7" t="n">
        <v>0</v>
      </c>
      <c r="F3385" s="7" t="n">
        <v>2</v>
      </c>
      <c r="G3385" s="7" t="n">
        <v>194.36</v>
      </c>
    </row>
    <row r="3386" customFormat="false" ht="15" hidden="false" customHeight="false" outlineLevel="0" collapsed="false">
      <c r="A3386" s="7" t="s">
        <v>24</v>
      </c>
      <c r="B3386" s="7" t="s">
        <v>104</v>
      </c>
      <c r="C3386" s="7" t="s">
        <v>1105</v>
      </c>
      <c r="D3386" s="7" t="n">
        <v>0</v>
      </c>
      <c r="E3386" s="7" t="n">
        <v>0</v>
      </c>
      <c r="F3386" s="7" t="n">
        <v>4</v>
      </c>
      <c r="G3386" s="7" t="n">
        <v>422.99</v>
      </c>
    </row>
    <row r="3387" customFormat="false" ht="15" hidden="false" customHeight="false" outlineLevel="0" collapsed="false">
      <c r="A3387" s="7" t="s">
        <v>24</v>
      </c>
      <c r="B3387" s="7" t="s">
        <v>104</v>
      </c>
      <c r="C3387" s="7" t="s">
        <v>1105</v>
      </c>
      <c r="D3387" s="7" t="n">
        <v>0</v>
      </c>
      <c r="E3387" s="7" t="n">
        <v>0</v>
      </c>
      <c r="F3387" s="7" t="n">
        <v>2</v>
      </c>
      <c r="G3387" s="7" t="n">
        <v>194.36</v>
      </c>
    </row>
    <row r="3388" customFormat="false" ht="15" hidden="false" customHeight="false" outlineLevel="0" collapsed="false">
      <c r="A3388" s="7" t="s">
        <v>24</v>
      </c>
      <c r="B3388" s="7" t="s">
        <v>104</v>
      </c>
      <c r="C3388" s="7" t="s">
        <v>1105</v>
      </c>
      <c r="D3388" s="7" t="n">
        <v>0</v>
      </c>
      <c r="E3388" s="7" t="n">
        <v>0</v>
      </c>
      <c r="F3388" s="7" t="n">
        <v>1</v>
      </c>
      <c r="G3388" s="7" t="n">
        <v>97.17</v>
      </c>
    </row>
    <row r="3389" customFormat="false" ht="15" hidden="false" customHeight="false" outlineLevel="0" collapsed="false">
      <c r="A3389" s="7" t="s">
        <v>24</v>
      </c>
      <c r="B3389" s="7" t="s">
        <v>104</v>
      </c>
      <c r="C3389" s="7" t="s">
        <v>1105</v>
      </c>
      <c r="D3389" s="7" t="n">
        <v>0</v>
      </c>
      <c r="E3389" s="7" t="n">
        <v>0</v>
      </c>
      <c r="F3389" s="7" t="n">
        <v>1</v>
      </c>
      <c r="G3389" s="7" t="n">
        <v>102.89</v>
      </c>
    </row>
    <row r="3390" customFormat="false" ht="15" hidden="false" customHeight="false" outlineLevel="0" collapsed="false">
      <c r="A3390" s="7" t="s">
        <v>24</v>
      </c>
      <c r="B3390" s="7" t="s">
        <v>104</v>
      </c>
      <c r="C3390" s="7" t="s">
        <v>1105</v>
      </c>
      <c r="D3390" s="7" t="n">
        <v>0</v>
      </c>
      <c r="E3390" s="7" t="n">
        <v>0</v>
      </c>
      <c r="F3390" s="7" t="n">
        <v>1</v>
      </c>
      <c r="G3390" s="7" t="n">
        <v>102.89</v>
      </c>
    </row>
    <row r="3391" customFormat="false" ht="15" hidden="false" customHeight="false" outlineLevel="0" collapsed="false">
      <c r="A3391" s="7" t="s">
        <v>24</v>
      </c>
      <c r="B3391" s="7" t="s">
        <v>104</v>
      </c>
      <c r="C3391" s="7" t="s">
        <v>1105</v>
      </c>
      <c r="D3391" s="7" t="n">
        <v>0</v>
      </c>
      <c r="E3391" s="7" t="n">
        <v>0</v>
      </c>
      <c r="F3391" s="7" t="n">
        <v>5</v>
      </c>
      <c r="G3391" s="7" t="n">
        <v>514.45</v>
      </c>
    </row>
    <row r="3392" customFormat="false" ht="15" hidden="false" customHeight="false" outlineLevel="0" collapsed="false">
      <c r="A3392" s="7" t="s">
        <v>24</v>
      </c>
      <c r="B3392" s="7" t="s">
        <v>104</v>
      </c>
      <c r="C3392" s="7" t="s">
        <v>1105</v>
      </c>
      <c r="D3392" s="7" t="n">
        <v>0</v>
      </c>
      <c r="E3392" s="7" t="n">
        <v>0</v>
      </c>
      <c r="F3392" s="7" t="n">
        <v>1</v>
      </c>
      <c r="G3392" s="7" t="n">
        <v>97.17</v>
      </c>
    </row>
    <row r="3393" customFormat="false" ht="15" hidden="false" customHeight="false" outlineLevel="0" collapsed="false">
      <c r="A3393" s="7" t="s">
        <v>24</v>
      </c>
      <c r="B3393" s="7" t="s">
        <v>104</v>
      </c>
      <c r="C3393" s="7" t="s">
        <v>1105</v>
      </c>
      <c r="D3393" s="7" t="n">
        <v>0</v>
      </c>
      <c r="E3393" s="7" t="n">
        <v>0</v>
      </c>
      <c r="F3393" s="7" t="n">
        <v>1</v>
      </c>
      <c r="G3393" s="7" t="n">
        <v>102.89</v>
      </c>
    </row>
    <row r="3394" customFormat="false" ht="15" hidden="false" customHeight="false" outlineLevel="0" collapsed="false">
      <c r="A3394" s="7" t="s">
        <v>24</v>
      </c>
      <c r="B3394" s="7" t="s">
        <v>104</v>
      </c>
      <c r="C3394" s="7" t="s">
        <v>1105</v>
      </c>
      <c r="D3394" s="7" t="n">
        <v>0</v>
      </c>
      <c r="E3394" s="7" t="n">
        <v>0</v>
      </c>
      <c r="F3394" s="7" t="n">
        <v>1</v>
      </c>
      <c r="G3394" s="7" t="n">
        <v>114.33</v>
      </c>
    </row>
    <row r="3395" customFormat="false" ht="15" hidden="false" customHeight="false" outlineLevel="0" collapsed="false">
      <c r="A3395" s="7" t="s">
        <v>24</v>
      </c>
      <c r="B3395" s="7" t="s">
        <v>104</v>
      </c>
      <c r="C3395" s="7" t="s">
        <v>1105</v>
      </c>
      <c r="D3395" s="7" t="n">
        <v>0</v>
      </c>
      <c r="E3395" s="7" t="n">
        <v>0</v>
      </c>
      <c r="F3395" s="7" t="n">
        <v>2</v>
      </c>
      <c r="G3395" s="7" t="n">
        <v>194.36</v>
      </c>
    </row>
    <row r="3396" customFormat="false" ht="15" hidden="false" customHeight="false" outlineLevel="0" collapsed="false">
      <c r="A3396" s="7" t="s">
        <v>24</v>
      </c>
      <c r="B3396" s="7" t="s">
        <v>104</v>
      </c>
      <c r="C3396" s="7" t="s">
        <v>1105</v>
      </c>
      <c r="D3396" s="7" t="n">
        <v>0</v>
      </c>
      <c r="E3396" s="7" t="n">
        <v>0</v>
      </c>
      <c r="F3396" s="7" t="n">
        <v>1</v>
      </c>
      <c r="G3396" s="7" t="n">
        <v>97.17</v>
      </c>
    </row>
    <row r="3397" customFormat="false" ht="15" hidden="false" customHeight="false" outlineLevel="0" collapsed="false">
      <c r="A3397" s="7" t="s">
        <v>24</v>
      </c>
      <c r="B3397" s="7" t="s">
        <v>104</v>
      </c>
      <c r="C3397" s="7" t="s">
        <v>1105</v>
      </c>
      <c r="D3397" s="7" t="n">
        <v>0</v>
      </c>
      <c r="E3397" s="7" t="n">
        <v>0</v>
      </c>
      <c r="F3397" s="7" t="n">
        <v>2</v>
      </c>
      <c r="G3397" s="7" t="n">
        <v>194.36</v>
      </c>
    </row>
    <row r="3398" customFormat="false" ht="15" hidden="false" customHeight="false" outlineLevel="0" collapsed="false">
      <c r="A3398" s="7" t="s">
        <v>24</v>
      </c>
      <c r="B3398" s="7" t="s">
        <v>104</v>
      </c>
      <c r="C3398" s="7" t="s">
        <v>1105</v>
      </c>
      <c r="D3398" s="7" t="n">
        <v>0</v>
      </c>
      <c r="E3398" s="7" t="n">
        <v>0</v>
      </c>
      <c r="F3398" s="7" t="n">
        <v>1</v>
      </c>
      <c r="G3398" s="7" t="n">
        <v>114.32</v>
      </c>
    </row>
    <row r="3399" customFormat="false" ht="15" hidden="false" customHeight="false" outlineLevel="0" collapsed="false">
      <c r="A3399" s="7" t="s">
        <v>24</v>
      </c>
      <c r="B3399" s="7" t="s">
        <v>104</v>
      </c>
      <c r="C3399" s="7" t="s">
        <v>1105</v>
      </c>
      <c r="D3399" s="7" t="n">
        <v>0</v>
      </c>
      <c r="E3399" s="7" t="n">
        <v>0</v>
      </c>
      <c r="F3399" s="7" t="n">
        <v>1</v>
      </c>
      <c r="G3399" s="7" t="n">
        <v>97.18</v>
      </c>
    </row>
    <row r="3400" customFormat="false" ht="15" hidden="false" customHeight="false" outlineLevel="0" collapsed="false">
      <c r="A3400" s="7" t="s">
        <v>24</v>
      </c>
      <c r="B3400" s="7" t="s">
        <v>104</v>
      </c>
      <c r="C3400" s="7" t="s">
        <v>1105</v>
      </c>
      <c r="D3400" s="7" t="n">
        <v>0</v>
      </c>
      <c r="E3400" s="7" t="n">
        <v>0</v>
      </c>
      <c r="F3400" s="7" t="n">
        <v>1</v>
      </c>
      <c r="G3400" s="7" t="n">
        <v>114.33</v>
      </c>
    </row>
    <row r="3401" customFormat="false" ht="15" hidden="false" customHeight="false" outlineLevel="0" collapsed="false">
      <c r="A3401" s="7" t="s">
        <v>24</v>
      </c>
      <c r="B3401" s="7" t="s">
        <v>104</v>
      </c>
      <c r="C3401" s="7" t="s">
        <v>1105</v>
      </c>
      <c r="D3401" s="7" t="n">
        <v>0</v>
      </c>
      <c r="E3401" s="7" t="n">
        <v>0</v>
      </c>
      <c r="F3401" s="7" t="n">
        <v>2</v>
      </c>
      <c r="G3401" s="7" t="n">
        <v>203.4</v>
      </c>
    </row>
    <row r="3402" customFormat="false" ht="15" hidden="false" customHeight="false" outlineLevel="0" collapsed="false">
      <c r="A3402" s="7" t="s">
        <v>24</v>
      </c>
      <c r="B3402" s="7" t="s">
        <v>104</v>
      </c>
      <c r="C3402" s="7" t="s">
        <v>1105</v>
      </c>
      <c r="D3402" s="7" t="n">
        <v>0</v>
      </c>
      <c r="E3402" s="7" t="n">
        <v>0</v>
      </c>
      <c r="F3402" s="7" t="n">
        <v>2</v>
      </c>
      <c r="G3402" s="7" t="n">
        <v>205.78</v>
      </c>
    </row>
    <row r="3403" customFormat="false" ht="15" hidden="false" customHeight="false" outlineLevel="0" collapsed="false">
      <c r="A3403" s="7" t="s">
        <v>24</v>
      </c>
      <c r="B3403" s="7" t="s">
        <v>104</v>
      </c>
      <c r="C3403" s="7" t="s">
        <v>1105</v>
      </c>
      <c r="D3403" s="7" t="n">
        <v>0</v>
      </c>
      <c r="E3403" s="7" t="n">
        <v>0</v>
      </c>
      <c r="F3403" s="7" t="n">
        <v>2</v>
      </c>
      <c r="G3403" s="7" t="n">
        <v>194.34</v>
      </c>
    </row>
    <row r="3404" customFormat="false" ht="15" hidden="false" customHeight="false" outlineLevel="0" collapsed="false">
      <c r="A3404" s="7" t="s">
        <v>24</v>
      </c>
      <c r="B3404" s="7" t="s">
        <v>104</v>
      </c>
      <c r="C3404" s="7" t="s">
        <v>1105</v>
      </c>
      <c r="D3404" s="7" t="n">
        <v>0</v>
      </c>
      <c r="E3404" s="7" t="n">
        <v>0</v>
      </c>
      <c r="F3404" s="7" t="n">
        <v>1</v>
      </c>
      <c r="G3404" s="7" t="n">
        <v>97.18</v>
      </c>
    </row>
    <row r="3405" customFormat="false" ht="15" hidden="false" customHeight="false" outlineLevel="0" collapsed="false">
      <c r="A3405" s="7" t="s">
        <v>24</v>
      </c>
      <c r="B3405" s="7" t="s">
        <v>104</v>
      </c>
      <c r="C3405" s="7" t="s">
        <v>1105</v>
      </c>
      <c r="D3405" s="7" t="n">
        <v>0</v>
      </c>
      <c r="E3405" s="7" t="n">
        <v>0</v>
      </c>
      <c r="F3405" s="7" t="n">
        <v>4</v>
      </c>
      <c r="G3405" s="7" t="n">
        <v>388.71</v>
      </c>
    </row>
    <row r="3406" customFormat="false" ht="15" hidden="false" customHeight="false" outlineLevel="0" collapsed="false">
      <c r="A3406" s="7" t="s">
        <v>24</v>
      </c>
      <c r="B3406" s="7" t="s">
        <v>104</v>
      </c>
      <c r="C3406" s="7" t="s">
        <v>1105</v>
      </c>
      <c r="D3406" s="7" t="n">
        <v>0</v>
      </c>
      <c r="E3406" s="7" t="n">
        <v>0</v>
      </c>
      <c r="F3406" s="7" t="n">
        <v>1</v>
      </c>
      <c r="G3406" s="7" t="n">
        <v>114.33</v>
      </c>
    </row>
    <row r="3407" customFormat="false" ht="15" hidden="false" customHeight="false" outlineLevel="0" collapsed="false">
      <c r="A3407" s="7" t="s">
        <v>24</v>
      </c>
      <c r="B3407" s="7" t="s">
        <v>104</v>
      </c>
      <c r="C3407" s="7" t="s">
        <v>1105</v>
      </c>
      <c r="D3407" s="7" t="n">
        <v>0</v>
      </c>
      <c r="E3407" s="7" t="n">
        <v>0</v>
      </c>
      <c r="F3407" s="7" t="n">
        <v>1</v>
      </c>
      <c r="G3407" s="7" t="n">
        <v>102.89</v>
      </c>
    </row>
    <row r="3408" customFormat="false" ht="15" hidden="false" customHeight="false" outlineLevel="0" collapsed="false">
      <c r="A3408" s="7" t="s">
        <v>24</v>
      </c>
      <c r="B3408" s="7" t="s">
        <v>104</v>
      </c>
      <c r="C3408" s="7" t="s">
        <v>1105</v>
      </c>
      <c r="D3408" s="7" t="n">
        <v>0</v>
      </c>
      <c r="E3408" s="7" t="n">
        <v>0</v>
      </c>
      <c r="F3408" s="7" t="n">
        <v>2</v>
      </c>
      <c r="G3408" s="7" t="n">
        <v>200.07</v>
      </c>
    </row>
    <row r="3409" customFormat="false" ht="15" hidden="false" customHeight="false" outlineLevel="0" collapsed="false">
      <c r="A3409" s="7" t="s">
        <v>24</v>
      </c>
      <c r="B3409" s="7" t="s">
        <v>104</v>
      </c>
      <c r="C3409" s="7" t="s">
        <v>1105</v>
      </c>
      <c r="D3409" s="7" t="n">
        <v>0</v>
      </c>
      <c r="E3409" s="7" t="n">
        <v>0</v>
      </c>
      <c r="F3409" s="7" t="n">
        <v>1</v>
      </c>
      <c r="G3409" s="7" t="n">
        <v>97.18</v>
      </c>
    </row>
    <row r="3410" customFormat="false" ht="15" hidden="false" customHeight="false" outlineLevel="0" collapsed="false">
      <c r="A3410" s="7" t="s">
        <v>24</v>
      </c>
      <c r="B3410" s="7" t="s">
        <v>104</v>
      </c>
      <c r="C3410" s="7" t="s">
        <v>1105</v>
      </c>
      <c r="D3410" s="7" t="n">
        <v>0</v>
      </c>
      <c r="E3410" s="7" t="n">
        <v>0</v>
      </c>
      <c r="F3410" s="7" t="n">
        <v>1</v>
      </c>
      <c r="G3410" s="7" t="n">
        <v>114.33</v>
      </c>
    </row>
    <row r="3411" customFormat="false" ht="15" hidden="false" customHeight="false" outlineLevel="0" collapsed="false">
      <c r="A3411" s="7" t="s">
        <v>24</v>
      </c>
      <c r="B3411" s="7" t="s">
        <v>104</v>
      </c>
      <c r="C3411" s="7" t="s">
        <v>1105</v>
      </c>
      <c r="D3411" s="7" t="n">
        <v>0</v>
      </c>
      <c r="E3411" s="7" t="n">
        <v>0</v>
      </c>
      <c r="F3411" s="7" t="n">
        <v>1</v>
      </c>
      <c r="G3411" s="7" t="n">
        <v>114.32</v>
      </c>
    </row>
    <row r="3412" customFormat="false" ht="15" hidden="false" customHeight="false" outlineLevel="0" collapsed="false">
      <c r="A3412" s="7" t="s">
        <v>24</v>
      </c>
      <c r="B3412" s="7" t="s">
        <v>104</v>
      </c>
      <c r="C3412" s="7" t="s">
        <v>1105</v>
      </c>
      <c r="D3412" s="7" t="n">
        <v>0</v>
      </c>
      <c r="E3412" s="7" t="n">
        <v>0</v>
      </c>
      <c r="F3412" s="7" t="n">
        <v>2</v>
      </c>
      <c r="G3412" s="7" t="n">
        <v>194.36</v>
      </c>
    </row>
    <row r="3413" customFormat="false" ht="15" hidden="false" customHeight="false" outlineLevel="0" collapsed="false">
      <c r="A3413" s="7" t="s">
        <v>24</v>
      </c>
      <c r="B3413" s="7" t="s">
        <v>104</v>
      </c>
      <c r="C3413" s="7" t="s">
        <v>1105</v>
      </c>
      <c r="D3413" s="7" t="n">
        <v>0</v>
      </c>
      <c r="E3413" s="7" t="n">
        <v>0</v>
      </c>
      <c r="F3413" s="7" t="n">
        <v>1</v>
      </c>
      <c r="G3413" s="7" t="n">
        <v>102.89</v>
      </c>
    </row>
    <row r="3414" customFormat="false" ht="15" hidden="false" customHeight="false" outlineLevel="0" collapsed="false">
      <c r="A3414" s="7" t="s">
        <v>24</v>
      </c>
      <c r="B3414" s="7" t="s">
        <v>104</v>
      </c>
      <c r="C3414" s="7" t="s">
        <v>1105</v>
      </c>
      <c r="D3414" s="7" t="n">
        <v>0</v>
      </c>
      <c r="E3414" s="7" t="n">
        <v>0</v>
      </c>
      <c r="F3414" s="7" t="n">
        <v>7</v>
      </c>
      <c r="G3414" s="7" t="n">
        <v>674.51</v>
      </c>
    </row>
    <row r="3415" customFormat="false" ht="15" hidden="false" customHeight="false" outlineLevel="0" collapsed="false">
      <c r="A3415" s="7" t="s">
        <v>24</v>
      </c>
      <c r="B3415" s="7" t="s">
        <v>104</v>
      </c>
      <c r="C3415" s="7" t="s">
        <v>1105</v>
      </c>
      <c r="D3415" s="7" t="n">
        <v>0</v>
      </c>
      <c r="E3415" s="7" t="n">
        <v>0</v>
      </c>
      <c r="F3415" s="7" t="n">
        <v>1</v>
      </c>
      <c r="G3415" s="7" t="n">
        <v>114.33</v>
      </c>
    </row>
    <row r="3416" customFormat="false" ht="15" hidden="false" customHeight="false" outlineLevel="0" collapsed="false">
      <c r="A3416" s="7" t="s">
        <v>24</v>
      </c>
      <c r="B3416" s="7" t="s">
        <v>104</v>
      </c>
      <c r="C3416" s="7" t="s">
        <v>1105</v>
      </c>
      <c r="D3416" s="7" t="n">
        <v>0</v>
      </c>
      <c r="E3416" s="7" t="n">
        <v>0</v>
      </c>
      <c r="F3416" s="7" t="n">
        <v>1</v>
      </c>
      <c r="G3416" s="7" t="n">
        <v>102.89</v>
      </c>
    </row>
    <row r="3417" customFormat="false" ht="15" hidden="false" customHeight="false" outlineLevel="0" collapsed="false">
      <c r="A3417" s="7" t="s">
        <v>24</v>
      </c>
      <c r="B3417" s="7" t="s">
        <v>104</v>
      </c>
      <c r="C3417" s="7" t="s">
        <v>1105</v>
      </c>
      <c r="D3417" s="7" t="n">
        <v>0</v>
      </c>
      <c r="E3417" s="7" t="n">
        <v>0</v>
      </c>
      <c r="F3417" s="7" t="n">
        <v>3</v>
      </c>
      <c r="G3417" s="7" t="n">
        <v>308.67</v>
      </c>
    </row>
    <row r="3418" customFormat="false" ht="15" hidden="false" customHeight="false" outlineLevel="0" collapsed="false">
      <c r="A3418" s="7" t="s">
        <v>24</v>
      </c>
      <c r="B3418" s="7" t="s">
        <v>104</v>
      </c>
      <c r="C3418" s="7" t="s">
        <v>1105</v>
      </c>
      <c r="D3418" s="7" t="n">
        <v>0</v>
      </c>
      <c r="E3418" s="7" t="n">
        <v>0</v>
      </c>
      <c r="F3418" s="7" t="n">
        <v>1</v>
      </c>
      <c r="G3418" s="7" t="n">
        <v>97.18</v>
      </c>
    </row>
    <row r="3419" customFormat="false" ht="15" hidden="false" customHeight="false" outlineLevel="0" collapsed="false">
      <c r="A3419" s="7" t="s">
        <v>24</v>
      </c>
      <c r="B3419" s="7" t="s">
        <v>104</v>
      </c>
      <c r="C3419" s="7" t="s">
        <v>1105</v>
      </c>
      <c r="D3419" s="7" t="n">
        <v>0</v>
      </c>
      <c r="E3419" s="7" t="n">
        <v>0</v>
      </c>
      <c r="F3419" s="7" t="n">
        <v>1</v>
      </c>
      <c r="G3419" s="7" t="n">
        <v>97.18</v>
      </c>
    </row>
    <row r="3420" customFormat="false" ht="15" hidden="false" customHeight="false" outlineLevel="0" collapsed="false">
      <c r="A3420" s="7" t="s">
        <v>24</v>
      </c>
      <c r="B3420" s="7" t="s">
        <v>104</v>
      </c>
      <c r="C3420" s="7" t="s">
        <v>1105</v>
      </c>
      <c r="D3420" s="7" t="n">
        <v>0</v>
      </c>
      <c r="E3420" s="7" t="n">
        <v>0</v>
      </c>
      <c r="F3420" s="7" t="n">
        <v>1</v>
      </c>
      <c r="G3420" s="7" t="n">
        <v>114.32</v>
      </c>
    </row>
    <row r="3421" customFormat="false" ht="15" hidden="false" customHeight="false" outlineLevel="0" collapsed="false">
      <c r="A3421" s="7" t="s">
        <v>24</v>
      </c>
      <c r="B3421" s="7" t="s">
        <v>104</v>
      </c>
      <c r="C3421" s="7" t="s">
        <v>1105</v>
      </c>
      <c r="D3421" s="7" t="n">
        <v>0</v>
      </c>
      <c r="E3421" s="7" t="n">
        <v>0</v>
      </c>
      <c r="F3421" s="7" t="n">
        <v>1</v>
      </c>
      <c r="G3421" s="7" t="n">
        <v>102.89</v>
      </c>
    </row>
    <row r="3422" customFormat="false" ht="15" hidden="false" customHeight="false" outlineLevel="0" collapsed="false">
      <c r="A3422" s="7" t="s">
        <v>24</v>
      </c>
      <c r="B3422" s="7" t="s">
        <v>104</v>
      </c>
      <c r="C3422" s="7" t="s">
        <v>1105</v>
      </c>
      <c r="D3422" s="7" t="n">
        <v>0</v>
      </c>
      <c r="E3422" s="7" t="n">
        <v>0</v>
      </c>
      <c r="F3422" s="7" t="n">
        <v>1</v>
      </c>
      <c r="G3422" s="7" t="n">
        <v>97.17</v>
      </c>
    </row>
    <row r="3423" customFormat="false" ht="15" hidden="false" customHeight="false" outlineLevel="0" collapsed="false">
      <c r="A3423" s="7" t="s">
        <v>24</v>
      </c>
      <c r="B3423" s="7" t="s">
        <v>104</v>
      </c>
      <c r="C3423" s="7" t="s">
        <v>1105</v>
      </c>
      <c r="D3423" s="7" t="n">
        <v>0</v>
      </c>
      <c r="E3423" s="7" t="n">
        <v>0</v>
      </c>
      <c r="F3423" s="7" t="n">
        <v>4</v>
      </c>
      <c r="G3423" s="7" t="n">
        <v>388.71</v>
      </c>
    </row>
    <row r="3424" customFormat="false" ht="15" hidden="false" customHeight="false" outlineLevel="0" collapsed="false">
      <c r="A3424" s="7" t="s">
        <v>24</v>
      </c>
      <c r="B3424" s="7" t="s">
        <v>104</v>
      </c>
      <c r="C3424" s="7" t="s">
        <v>1105</v>
      </c>
      <c r="D3424" s="7" t="n">
        <v>0</v>
      </c>
      <c r="E3424" s="7" t="n">
        <v>0</v>
      </c>
      <c r="F3424" s="7" t="n">
        <v>1</v>
      </c>
      <c r="G3424" s="7" t="n">
        <v>102.89</v>
      </c>
    </row>
    <row r="3425" customFormat="false" ht="15" hidden="false" customHeight="false" outlineLevel="0" collapsed="false">
      <c r="A3425" s="7" t="s">
        <v>24</v>
      </c>
      <c r="B3425" s="7" t="s">
        <v>104</v>
      </c>
      <c r="C3425" s="7" t="s">
        <v>1105</v>
      </c>
      <c r="D3425" s="7" t="n">
        <v>0</v>
      </c>
      <c r="E3425" s="7" t="n">
        <v>0</v>
      </c>
      <c r="F3425" s="7" t="n">
        <v>1</v>
      </c>
      <c r="G3425" s="7" t="n">
        <v>114.33</v>
      </c>
    </row>
    <row r="3426" customFormat="false" ht="15" hidden="false" customHeight="false" outlineLevel="0" collapsed="false">
      <c r="A3426" s="7" t="s">
        <v>24</v>
      </c>
      <c r="B3426" s="7" t="s">
        <v>104</v>
      </c>
      <c r="C3426" s="7" t="s">
        <v>1105</v>
      </c>
      <c r="D3426" s="7" t="n">
        <v>0</v>
      </c>
      <c r="E3426" s="7" t="n">
        <v>0</v>
      </c>
      <c r="F3426" s="7" t="n">
        <v>2</v>
      </c>
      <c r="G3426" s="7" t="n">
        <v>194.36</v>
      </c>
    </row>
    <row r="3427" customFormat="false" ht="15" hidden="false" customHeight="false" outlineLevel="0" collapsed="false">
      <c r="A3427" s="7" t="s">
        <v>24</v>
      </c>
      <c r="B3427" s="7" t="s">
        <v>104</v>
      </c>
      <c r="C3427" s="7" t="s">
        <v>1105</v>
      </c>
      <c r="D3427" s="7" t="n">
        <v>0</v>
      </c>
      <c r="E3427" s="7" t="n">
        <v>0</v>
      </c>
      <c r="F3427" s="7" t="n">
        <v>3</v>
      </c>
      <c r="G3427" s="7" t="n">
        <v>308.68</v>
      </c>
    </row>
    <row r="3428" customFormat="false" ht="15" hidden="false" customHeight="false" outlineLevel="0" collapsed="false">
      <c r="A3428" s="7" t="s">
        <v>24</v>
      </c>
      <c r="B3428" s="7" t="s">
        <v>104</v>
      </c>
      <c r="C3428" s="7" t="s">
        <v>1105</v>
      </c>
      <c r="D3428" s="7" t="n">
        <v>0</v>
      </c>
      <c r="E3428" s="7" t="n">
        <v>0</v>
      </c>
      <c r="F3428" s="7" t="n">
        <v>1</v>
      </c>
      <c r="G3428" s="7" t="n">
        <v>102.89</v>
      </c>
    </row>
    <row r="3429" customFormat="false" ht="15" hidden="false" customHeight="false" outlineLevel="0" collapsed="false">
      <c r="A3429" s="7" t="s">
        <v>24</v>
      </c>
      <c r="B3429" s="7" t="s">
        <v>104</v>
      </c>
      <c r="C3429" s="7" t="s">
        <v>1105</v>
      </c>
      <c r="D3429" s="7" t="n">
        <v>0</v>
      </c>
      <c r="E3429" s="7" t="n">
        <v>0</v>
      </c>
      <c r="F3429" s="7" t="n">
        <v>2</v>
      </c>
      <c r="G3429" s="7" t="n">
        <v>217.21</v>
      </c>
    </row>
    <row r="3430" customFormat="false" ht="15" hidden="false" customHeight="false" outlineLevel="0" collapsed="false">
      <c r="A3430" s="7" t="s">
        <v>24</v>
      </c>
      <c r="B3430" s="7" t="s">
        <v>104</v>
      </c>
      <c r="C3430" s="7" t="s">
        <v>1105</v>
      </c>
      <c r="D3430" s="7" t="n">
        <v>0</v>
      </c>
      <c r="E3430" s="7" t="n">
        <v>0</v>
      </c>
      <c r="F3430" s="7" t="n">
        <v>2</v>
      </c>
      <c r="G3430" s="7" t="n">
        <v>217.21</v>
      </c>
    </row>
    <row r="3431" customFormat="false" ht="15" hidden="false" customHeight="false" outlineLevel="0" collapsed="false">
      <c r="A3431" s="7" t="s">
        <v>24</v>
      </c>
      <c r="B3431" s="7" t="s">
        <v>104</v>
      </c>
      <c r="C3431" s="7" t="s">
        <v>1105</v>
      </c>
      <c r="D3431" s="7" t="n">
        <v>0</v>
      </c>
      <c r="E3431" s="7" t="n">
        <v>0</v>
      </c>
      <c r="F3431" s="7" t="n">
        <v>1</v>
      </c>
      <c r="G3431" s="7" t="n">
        <v>102.89</v>
      </c>
    </row>
    <row r="3432" customFormat="false" ht="15" hidden="false" customHeight="false" outlineLevel="0" collapsed="false">
      <c r="A3432" s="7" t="s">
        <v>24</v>
      </c>
      <c r="B3432" s="7" t="s">
        <v>104</v>
      </c>
      <c r="C3432" s="7" t="s">
        <v>1105</v>
      </c>
      <c r="D3432" s="7" t="n">
        <v>0</v>
      </c>
      <c r="E3432" s="7" t="n">
        <v>0</v>
      </c>
      <c r="F3432" s="7" t="n">
        <v>4</v>
      </c>
      <c r="G3432" s="7" t="n">
        <v>388.68</v>
      </c>
    </row>
    <row r="3433" customFormat="false" ht="15" hidden="false" customHeight="false" outlineLevel="0" collapsed="false">
      <c r="A3433" s="7" t="s">
        <v>24</v>
      </c>
      <c r="B3433" s="7" t="s">
        <v>106</v>
      </c>
      <c r="C3433" s="7" t="s">
        <v>1105</v>
      </c>
      <c r="D3433" s="7" t="n">
        <v>0</v>
      </c>
      <c r="E3433" s="7" t="n">
        <v>0</v>
      </c>
      <c r="F3433" s="7" t="n">
        <v>1</v>
      </c>
      <c r="G3433" s="7" t="n">
        <v>114.33</v>
      </c>
    </row>
    <row r="3434" customFormat="false" ht="15" hidden="false" customHeight="false" outlineLevel="0" collapsed="false">
      <c r="A3434" s="7" t="s">
        <v>24</v>
      </c>
      <c r="B3434" s="7" t="s">
        <v>106</v>
      </c>
      <c r="C3434" s="7" t="s">
        <v>1105</v>
      </c>
      <c r="D3434" s="7" t="n">
        <v>0</v>
      </c>
      <c r="E3434" s="7" t="n">
        <v>0</v>
      </c>
      <c r="F3434" s="7" t="n">
        <v>1</v>
      </c>
      <c r="G3434" s="7" t="n">
        <v>97.17</v>
      </c>
    </row>
    <row r="3435" customFormat="false" ht="15" hidden="false" customHeight="false" outlineLevel="0" collapsed="false">
      <c r="A3435" s="7" t="s">
        <v>24</v>
      </c>
      <c r="B3435" s="7" t="s">
        <v>106</v>
      </c>
      <c r="C3435" s="7" t="s">
        <v>1105</v>
      </c>
      <c r="D3435" s="7" t="n">
        <v>0</v>
      </c>
      <c r="E3435" s="7" t="n">
        <v>0</v>
      </c>
      <c r="F3435" s="7" t="n">
        <v>1</v>
      </c>
      <c r="G3435" s="7" t="n">
        <v>85.75</v>
      </c>
    </row>
    <row r="3436" customFormat="false" ht="15" hidden="false" customHeight="false" outlineLevel="0" collapsed="false">
      <c r="A3436" s="7" t="s">
        <v>24</v>
      </c>
      <c r="B3436" s="7" t="s">
        <v>106</v>
      </c>
      <c r="C3436" s="7" t="s">
        <v>1105</v>
      </c>
      <c r="D3436" s="7" t="n">
        <v>0</v>
      </c>
      <c r="E3436" s="7" t="n">
        <v>0</v>
      </c>
      <c r="F3436" s="7" t="n">
        <v>1</v>
      </c>
      <c r="G3436" s="7" t="n">
        <v>114.32</v>
      </c>
    </row>
    <row r="3437" customFormat="false" ht="15" hidden="false" customHeight="false" outlineLevel="0" collapsed="false">
      <c r="A3437" s="7" t="s">
        <v>24</v>
      </c>
      <c r="B3437" s="7" t="s">
        <v>106</v>
      </c>
      <c r="C3437" s="7" t="s">
        <v>1105</v>
      </c>
      <c r="D3437" s="7" t="n">
        <v>0</v>
      </c>
      <c r="E3437" s="7" t="n">
        <v>0</v>
      </c>
      <c r="F3437" s="7" t="n">
        <v>2</v>
      </c>
      <c r="G3437" s="7" t="n">
        <v>228.64</v>
      </c>
    </row>
    <row r="3438" customFormat="false" ht="15" hidden="false" customHeight="false" outlineLevel="0" collapsed="false">
      <c r="A3438" s="7" t="s">
        <v>24</v>
      </c>
      <c r="B3438" s="7" t="s">
        <v>106</v>
      </c>
      <c r="C3438" s="7" t="s">
        <v>1105</v>
      </c>
      <c r="D3438" s="7" t="n">
        <v>0</v>
      </c>
      <c r="E3438" s="7" t="n">
        <v>0</v>
      </c>
      <c r="F3438" s="7" t="n">
        <v>1</v>
      </c>
      <c r="G3438" s="7" t="n">
        <v>114.32</v>
      </c>
    </row>
    <row r="3439" customFormat="false" ht="15" hidden="false" customHeight="false" outlineLevel="0" collapsed="false">
      <c r="A3439" s="7" t="s">
        <v>24</v>
      </c>
      <c r="B3439" s="7" t="s">
        <v>106</v>
      </c>
      <c r="C3439" s="7" t="s">
        <v>1105</v>
      </c>
      <c r="D3439" s="7" t="n">
        <v>0</v>
      </c>
      <c r="E3439" s="7" t="n">
        <v>0</v>
      </c>
      <c r="F3439" s="7" t="n">
        <v>2</v>
      </c>
      <c r="G3439" s="7" t="n">
        <v>194.34</v>
      </c>
    </row>
    <row r="3440" customFormat="false" ht="15" hidden="false" customHeight="false" outlineLevel="0" collapsed="false">
      <c r="A3440" s="7" t="s">
        <v>24</v>
      </c>
      <c r="B3440" s="7" t="s">
        <v>106</v>
      </c>
      <c r="C3440" s="7" t="s">
        <v>1105</v>
      </c>
      <c r="D3440" s="7" t="n">
        <v>0</v>
      </c>
      <c r="E3440" s="7" t="n">
        <v>0</v>
      </c>
      <c r="F3440" s="7" t="n">
        <v>2</v>
      </c>
      <c r="G3440" s="7" t="n">
        <v>194.36</v>
      </c>
    </row>
    <row r="3441" customFormat="false" ht="15" hidden="false" customHeight="false" outlineLevel="0" collapsed="false">
      <c r="A3441" s="7" t="s">
        <v>24</v>
      </c>
      <c r="B3441" s="7" t="s">
        <v>106</v>
      </c>
      <c r="C3441" s="7" t="s">
        <v>1105</v>
      </c>
      <c r="D3441" s="7" t="n">
        <v>0</v>
      </c>
      <c r="E3441" s="7" t="n">
        <v>0</v>
      </c>
      <c r="F3441" s="7" t="n">
        <v>1</v>
      </c>
      <c r="G3441" s="7" t="n">
        <v>97.17</v>
      </c>
    </row>
    <row r="3442" customFormat="false" ht="15" hidden="false" customHeight="false" outlineLevel="0" collapsed="false">
      <c r="A3442" s="7" t="s">
        <v>24</v>
      </c>
      <c r="B3442" s="7" t="s">
        <v>106</v>
      </c>
      <c r="C3442" s="7" t="s">
        <v>1105</v>
      </c>
      <c r="D3442" s="7" t="n">
        <v>0</v>
      </c>
      <c r="E3442" s="7" t="n">
        <v>0</v>
      </c>
      <c r="F3442" s="7" t="n">
        <v>1</v>
      </c>
      <c r="G3442" s="7" t="n">
        <v>114.32</v>
      </c>
    </row>
    <row r="3443" customFormat="false" ht="15" hidden="false" customHeight="false" outlineLevel="0" collapsed="false">
      <c r="A3443" s="7" t="s">
        <v>24</v>
      </c>
      <c r="B3443" s="7" t="s">
        <v>106</v>
      </c>
      <c r="C3443" s="7" t="s">
        <v>1105</v>
      </c>
      <c r="D3443" s="7" t="n">
        <v>0</v>
      </c>
      <c r="E3443" s="7" t="n">
        <v>0</v>
      </c>
      <c r="F3443" s="7" t="n">
        <v>2</v>
      </c>
      <c r="G3443" s="7" t="n">
        <v>194.35</v>
      </c>
    </row>
    <row r="3444" customFormat="false" ht="15" hidden="false" customHeight="false" outlineLevel="0" collapsed="false">
      <c r="A3444" s="7" t="s">
        <v>24</v>
      </c>
      <c r="B3444" s="7" t="s">
        <v>106</v>
      </c>
      <c r="C3444" s="7" t="s">
        <v>1105</v>
      </c>
      <c r="D3444" s="7" t="n">
        <v>0</v>
      </c>
      <c r="E3444" s="7" t="n">
        <v>0</v>
      </c>
      <c r="F3444" s="7" t="n">
        <v>2</v>
      </c>
      <c r="G3444" s="7" t="n">
        <v>194.36</v>
      </c>
    </row>
    <row r="3445" customFormat="false" ht="15" hidden="false" customHeight="false" outlineLevel="0" collapsed="false">
      <c r="A3445" s="7" t="s">
        <v>24</v>
      </c>
      <c r="B3445" s="7" t="s">
        <v>106</v>
      </c>
      <c r="C3445" s="7" t="s">
        <v>1105</v>
      </c>
      <c r="D3445" s="7" t="n">
        <v>0</v>
      </c>
      <c r="E3445" s="7" t="n">
        <v>0</v>
      </c>
      <c r="F3445" s="7" t="n">
        <v>1</v>
      </c>
      <c r="G3445" s="7" t="n">
        <v>114.33</v>
      </c>
    </row>
    <row r="3446" customFormat="false" ht="15" hidden="false" customHeight="false" outlineLevel="0" collapsed="false">
      <c r="A3446" s="7" t="s">
        <v>24</v>
      </c>
      <c r="B3446" s="7" t="s">
        <v>106</v>
      </c>
      <c r="C3446" s="7" t="s">
        <v>1105</v>
      </c>
      <c r="D3446" s="7" t="n">
        <v>0</v>
      </c>
      <c r="E3446" s="7" t="n">
        <v>0</v>
      </c>
      <c r="F3446" s="7" t="n">
        <v>1</v>
      </c>
      <c r="G3446" s="7" t="n">
        <v>114.33</v>
      </c>
    </row>
    <row r="3447" customFormat="false" ht="15" hidden="false" customHeight="false" outlineLevel="0" collapsed="false">
      <c r="A3447" s="7" t="s">
        <v>24</v>
      </c>
      <c r="B3447" s="7" t="s">
        <v>106</v>
      </c>
      <c r="C3447" s="7" t="s">
        <v>1105</v>
      </c>
      <c r="D3447" s="7" t="n">
        <v>0</v>
      </c>
      <c r="E3447" s="7" t="n">
        <v>0</v>
      </c>
      <c r="F3447" s="7" t="n">
        <v>2</v>
      </c>
      <c r="G3447" s="7" t="n">
        <v>228.66</v>
      </c>
    </row>
    <row r="3448" customFormat="false" ht="15" hidden="false" customHeight="false" outlineLevel="0" collapsed="false">
      <c r="A3448" s="7" t="s">
        <v>24</v>
      </c>
      <c r="B3448" s="7" t="s">
        <v>106</v>
      </c>
      <c r="C3448" s="7" t="s">
        <v>1105</v>
      </c>
      <c r="D3448" s="7" t="n">
        <v>0</v>
      </c>
      <c r="E3448" s="7" t="n">
        <v>0</v>
      </c>
      <c r="F3448" s="7" t="n">
        <v>1</v>
      </c>
      <c r="G3448" s="7" t="n">
        <v>114.33</v>
      </c>
    </row>
    <row r="3449" customFormat="false" ht="15" hidden="false" customHeight="false" outlineLevel="0" collapsed="false">
      <c r="A3449" s="7" t="s">
        <v>24</v>
      </c>
      <c r="B3449" s="7" t="s">
        <v>106</v>
      </c>
      <c r="C3449" s="7" t="s">
        <v>1105</v>
      </c>
      <c r="D3449" s="7" t="n">
        <v>0</v>
      </c>
      <c r="E3449" s="7" t="n">
        <v>0</v>
      </c>
      <c r="F3449" s="7" t="n">
        <v>1</v>
      </c>
      <c r="G3449" s="7" t="n">
        <v>102.89</v>
      </c>
    </row>
    <row r="3450" customFormat="false" ht="15" hidden="false" customHeight="false" outlineLevel="0" collapsed="false">
      <c r="A3450" s="7" t="s">
        <v>24</v>
      </c>
      <c r="B3450" s="7" t="s">
        <v>106</v>
      </c>
      <c r="C3450" s="7" t="s">
        <v>1105</v>
      </c>
      <c r="D3450" s="7" t="n">
        <v>0</v>
      </c>
      <c r="E3450" s="7" t="n">
        <v>0</v>
      </c>
      <c r="F3450" s="7" t="n">
        <v>2</v>
      </c>
      <c r="G3450" s="7" t="n">
        <v>217.21</v>
      </c>
    </row>
    <row r="3451" customFormat="false" ht="15" hidden="false" customHeight="false" outlineLevel="0" collapsed="false">
      <c r="A3451" s="7" t="s">
        <v>24</v>
      </c>
      <c r="B3451" s="7" t="s">
        <v>106</v>
      </c>
      <c r="C3451" s="7" t="s">
        <v>1105</v>
      </c>
      <c r="D3451" s="7" t="n">
        <v>0</v>
      </c>
      <c r="E3451" s="7" t="n">
        <v>0</v>
      </c>
      <c r="F3451" s="7" t="n">
        <v>2</v>
      </c>
      <c r="G3451" s="7" t="n">
        <v>194.36</v>
      </c>
    </row>
    <row r="3452" customFormat="false" ht="15" hidden="false" customHeight="false" outlineLevel="0" collapsed="false">
      <c r="A3452" s="7" t="s">
        <v>24</v>
      </c>
      <c r="B3452" s="7" t="s">
        <v>106</v>
      </c>
      <c r="C3452" s="7" t="s">
        <v>1105</v>
      </c>
      <c r="D3452" s="7" t="n">
        <v>0</v>
      </c>
      <c r="E3452" s="7" t="n">
        <v>0</v>
      </c>
      <c r="F3452" s="7" t="n">
        <v>1</v>
      </c>
      <c r="G3452" s="7" t="n">
        <v>97.18</v>
      </c>
    </row>
    <row r="3453" customFormat="false" ht="15" hidden="false" customHeight="false" outlineLevel="0" collapsed="false">
      <c r="A3453" s="7" t="s">
        <v>24</v>
      </c>
      <c r="B3453" s="7" t="s">
        <v>106</v>
      </c>
      <c r="C3453" s="7" t="s">
        <v>1105</v>
      </c>
      <c r="D3453" s="7" t="n">
        <v>0</v>
      </c>
      <c r="E3453" s="7" t="n">
        <v>0</v>
      </c>
      <c r="F3453" s="7" t="n">
        <v>1</v>
      </c>
      <c r="G3453" s="7" t="n">
        <v>114.32</v>
      </c>
    </row>
    <row r="3454" customFormat="false" ht="15" hidden="false" customHeight="false" outlineLevel="0" collapsed="false">
      <c r="A3454" s="7" t="s">
        <v>24</v>
      </c>
      <c r="B3454" s="7" t="s">
        <v>106</v>
      </c>
      <c r="C3454" s="7" t="s">
        <v>1105</v>
      </c>
      <c r="D3454" s="7" t="n">
        <v>0</v>
      </c>
      <c r="E3454" s="7" t="n">
        <v>0</v>
      </c>
      <c r="F3454" s="7" t="n">
        <v>1</v>
      </c>
      <c r="G3454" s="7" t="n">
        <v>114.33</v>
      </c>
    </row>
    <row r="3455" customFormat="false" ht="15" hidden="false" customHeight="false" outlineLevel="0" collapsed="false">
      <c r="A3455" s="7" t="s">
        <v>24</v>
      </c>
      <c r="B3455" s="7" t="s">
        <v>106</v>
      </c>
      <c r="C3455" s="7" t="s">
        <v>1105</v>
      </c>
      <c r="D3455" s="7" t="n">
        <v>0</v>
      </c>
      <c r="E3455" s="7" t="n">
        <v>0</v>
      </c>
      <c r="F3455" s="7" t="n">
        <v>1</v>
      </c>
      <c r="G3455" s="7" t="n">
        <v>97.17</v>
      </c>
    </row>
    <row r="3456" customFormat="false" ht="15" hidden="false" customHeight="false" outlineLevel="0" collapsed="false">
      <c r="A3456" s="7" t="s">
        <v>24</v>
      </c>
      <c r="B3456" s="7" t="s">
        <v>106</v>
      </c>
      <c r="C3456" s="7" t="s">
        <v>1105</v>
      </c>
      <c r="D3456" s="7" t="n">
        <v>0</v>
      </c>
      <c r="E3456" s="7" t="n">
        <v>0</v>
      </c>
      <c r="F3456" s="7" t="n">
        <v>2</v>
      </c>
      <c r="G3456" s="7" t="n">
        <v>217.21</v>
      </c>
    </row>
    <row r="3457" customFormat="false" ht="15" hidden="false" customHeight="false" outlineLevel="0" collapsed="false">
      <c r="A3457" s="7" t="s">
        <v>24</v>
      </c>
      <c r="B3457" s="7" t="s">
        <v>106</v>
      </c>
      <c r="C3457" s="7" t="s">
        <v>1105</v>
      </c>
      <c r="D3457" s="7" t="n">
        <v>0</v>
      </c>
      <c r="E3457" s="7" t="n">
        <v>0</v>
      </c>
      <c r="F3457" s="7" t="n">
        <v>4</v>
      </c>
      <c r="G3457" s="7" t="n">
        <v>365.83</v>
      </c>
    </row>
    <row r="3458" customFormat="false" ht="15" hidden="false" customHeight="false" outlineLevel="0" collapsed="false">
      <c r="A3458" s="7" t="s">
        <v>24</v>
      </c>
      <c r="B3458" s="7" t="s">
        <v>106</v>
      </c>
      <c r="C3458" s="7" t="s">
        <v>1105</v>
      </c>
      <c r="D3458" s="7" t="n">
        <v>0</v>
      </c>
      <c r="E3458" s="7" t="n">
        <v>0</v>
      </c>
      <c r="F3458" s="7" t="n">
        <v>1</v>
      </c>
      <c r="G3458" s="7" t="n">
        <v>114.33</v>
      </c>
    </row>
    <row r="3459" customFormat="false" ht="15" hidden="false" customHeight="false" outlineLevel="0" collapsed="false">
      <c r="A3459" s="7" t="s">
        <v>24</v>
      </c>
      <c r="B3459" s="7" t="s">
        <v>106</v>
      </c>
      <c r="C3459" s="7" t="s">
        <v>1105</v>
      </c>
      <c r="D3459" s="7" t="n">
        <v>0</v>
      </c>
      <c r="E3459" s="7" t="n">
        <v>0</v>
      </c>
      <c r="F3459" s="7" t="n">
        <v>1</v>
      </c>
      <c r="G3459" s="7" t="n">
        <v>102.89</v>
      </c>
    </row>
    <row r="3460" customFormat="false" ht="15" hidden="false" customHeight="false" outlineLevel="0" collapsed="false">
      <c r="A3460" s="7" t="s">
        <v>24</v>
      </c>
      <c r="B3460" s="7" t="s">
        <v>106</v>
      </c>
      <c r="C3460" s="7" t="s">
        <v>1105</v>
      </c>
      <c r="D3460" s="7" t="n">
        <v>0</v>
      </c>
      <c r="E3460" s="7" t="n">
        <v>0</v>
      </c>
      <c r="F3460" s="7" t="n">
        <v>2</v>
      </c>
      <c r="G3460" s="7" t="n">
        <v>194.34</v>
      </c>
    </row>
    <row r="3461" customFormat="false" ht="15" hidden="false" customHeight="false" outlineLevel="0" collapsed="false">
      <c r="A3461" s="7" t="s">
        <v>24</v>
      </c>
      <c r="B3461" s="7" t="s">
        <v>106</v>
      </c>
      <c r="C3461" s="7" t="s">
        <v>1105</v>
      </c>
      <c r="D3461" s="7" t="n">
        <v>0</v>
      </c>
      <c r="E3461" s="7" t="n">
        <v>0</v>
      </c>
      <c r="F3461" s="7" t="n">
        <v>1</v>
      </c>
      <c r="G3461" s="7" t="n">
        <v>114.32</v>
      </c>
    </row>
    <row r="3462" customFormat="false" ht="15" hidden="false" customHeight="false" outlineLevel="0" collapsed="false">
      <c r="A3462" s="7" t="s">
        <v>24</v>
      </c>
      <c r="B3462" s="7" t="s">
        <v>106</v>
      </c>
      <c r="C3462" s="7" t="s">
        <v>1105</v>
      </c>
      <c r="D3462" s="7" t="n">
        <v>0</v>
      </c>
      <c r="E3462" s="7" t="n">
        <v>0</v>
      </c>
      <c r="F3462" s="7" t="n">
        <v>1</v>
      </c>
      <c r="G3462" s="7" t="n">
        <v>97.17</v>
      </c>
    </row>
    <row r="3463" customFormat="false" ht="15" hidden="false" customHeight="false" outlineLevel="0" collapsed="false">
      <c r="A3463" s="7" t="s">
        <v>24</v>
      </c>
      <c r="B3463" s="7" t="s">
        <v>106</v>
      </c>
      <c r="C3463" s="7" t="s">
        <v>1105</v>
      </c>
      <c r="D3463" s="7" t="n">
        <v>0</v>
      </c>
      <c r="E3463" s="7" t="n">
        <v>0</v>
      </c>
      <c r="F3463" s="7" t="n">
        <v>2</v>
      </c>
      <c r="G3463" s="7" t="n">
        <v>194.35</v>
      </c>
    </row>
    <row r="3464" customFormat="false" ht="15" hidden="false" customHeight="false" outlineLevel="0" collapsed="false">
      <c r="A3464" s="7" t="s">
        <v>24</v>
      </c>
      <c r="B3464" s="7" t="s">
        <v>106</v>
      </c>
      <c r="C3464" s="7" t="s">
        <v>1105</v>
      </c>
      <c r="D3464" s="7" t="n">
        <v>0</v>
      </c>
      <c r="E3464" s="7" t="n">
        <v>0</v>
      </c>
      <c r="F3464" s="7" t="n">
        <v>1</v>
      </c>
      <c r="G3464" s="7" t="n">
        <v>102.89</v>
      </c>
    </row>
    <row r="3465" customFormat="false" ht="15" hidden="false" customHeight="false" outlineLevel="0" collapsed="false">
      <c r="A3465" s="7" t="s">
        <v>24</v>
      </c>
      <c r="B3465" s="7" t="s">
        <v>106</v>
      </c>
      <c r="C3465" s="7" t="s">
        <v>1105</v>
      </c>
      <c r="D3465" s="7" t="n">
        <v>0</v>
      </c>
      <c r="E3465" s="7" t="n">
        <v>0</v>
      </c>
      <c r="F3465" s="7" t="n">
        <v>4</v>
      </c>
      <c r="G3465" s="7" t="n">
        <v>388.72</v>
      </c>
    </row>
    <row r="3466" customFormat="false" ht="15" hidden="false" customHeight="false" outlineLevel="0" collapsed="false">
      <c r="A3466" s="7" t="s">
        <v>24</v>
      </c>
      <c r="B3466" s="7" t="s">
        <v>106</v>
      </c>
      <c r="C3466" s="7" t="s">
        <v>1105</v>
      </c>
      <c r="D3466" s="7" t="n">
        <v>0</v>
      </c>
      <c r="E3466" s="7" t="n">
        <v>0</v>
      </c>
      <c r="F3466" s="7" t="n">
        <v>1</v>
      </c>
      <c r="G3466" s="7" t="n">
        <v>97.17</v>
      </c>
    </row>
    <row r="3467" customFormat="false" ht="15" hidden="false" customHeight="false" outlineLevel="0" collapsed="false">
      <c r="A3467" s="7" t="s">
        <v>24</v>
      </c>
      <c r="B3467" s="7" t="s">
        <v>106</v>
      </c>
      <c r="C3467" s="7" t="s">
        <v>1105</v>
      </c>
      <c r="D3467" s="7" t="n">
        <v>0</v>
      </c>
      <c r="E3467" s="7" t="n">
        <v>0</v>
      </c>
      <c r="F3467" s="7" t="n">
        <v>2</v>
      </c>
      <c r="G3467" s="7" t="n">
        <v>194.36</v>
      </c>
    </row>
    <row r="3468" customFormat="false" ht="15" hidden="false" customHeight="false" outlineLevel="0" collapsed="false">
      <c r="A3468" s="7" t="s">
        <v>24</v>
      </c>
      <c r="B3468" s="7" t="s">
        <v>106</v>
      </c>
      <c r="C3468" s="7" t="s">
        <v>1105</v>
      </c>
      <c r="D3468" s="7" t="n">
        <v>0</v>
      </c>
      <c r="E3468" s="7" t="n">
        <v>0</v>
      </c>
      <c r="F3468" s="7" t="n">
        <v>1</v>
      </c>
      <c r="G3468" s="7" t="n">
        <v>114.33</v>
      </c>
    </row>
    <row r="3469" customFormat="false" ht="15" hidden="false" customHeight="false" outlineLevel="0" collapsed="false">
      <c r="A3469" s="7" t="s">
        <v>24</v>
      </c>
      <c r="B3469" s="7" t="s">
        <v>106</v>
      </c>
      <c r="C3469" s="7" t="s">
        <v>1105</v>
      </c>
      <c r="D3469" s="7" t="n">
        <v>0</v>
      </c>
      <c r="E3469" s="7" t="n">
        <v>0</v>
      </c>
      <c r="F3469" s="7" t="n">
        <v>5</v>
      </c>
      <c r="G3469" s="7" t="n">
        <v>548.74</v>
      </c>
    </row>
    <row r="3470" customFormat="false" ht="15" hidden="false" customHeight="false" outlineLevel="0" collapsed="false">
      <c r="A3470" s="7" t="s">
        <v>24</v>
      </c>
      <c r="B3470" s="7" t="s">
        <v>106</v>
      </c>
      <c r="C3470" s="7" t="s">
        <v>1105</v>
      </c>
      <c r="D3470" s="7" t="n">
        <v>15</v>
      </c>
      <c r="E3470" s="7" t="n">
        <v>1497.59</v>
      </c>
      <c r="F3470" s="7" t="n">
        <v>114</v>
      </c>
      <c r="G3470" s="7" t="n">
        <v>11703.66</v>
      </c>
    </row>
    <row r="3471" customFormat="false" ht="15" hidden="false" customHeight="false" outlineLevel="0" collapsed="false">
      <c r="A3471" s="7" t="s">
        <v>24</v>
      </c>
      <c r="B3471" s="7" t="s">
        <v>106</v>
      </c>
      <c r="C3471" s="7" t="s">
        <v>1105</v>
      </c>
      <c r="D3471" s="7" t="n">
        <v>0</v>
      </c>
      <c r="E3471" s="7" t="n">
        <v>0</v>
      </c>
      <c r="F3471" s="7" t="n">
        <v>1</v>
      </c>
      <c r="G3471" s="7" t="n">
        <v>97.17</v>
      </c>
    </row>
    <row r="3472" customFormat="false" ht="15" hidden="false" customHeight="false" outlineLevel="0" collapsed="false">
      <c r="A3472" s="7" t="s">
        <v>24</v>
      </c>
      <c r="B3472" s="7" t="s">
        <v>106</v>
      </c>
      <c r="C3472" s="7" t="s">
        <v>1105</v>
      </c>
      <c r="D3472" s="7" t="n">
        <v>0</v>
      </c>
      <c r="E3472" s="7" t="n">
        <v>0</v>
      </c>
      <c r="F3472" s="7" t="n">
        <v>1</v>
      </c>
      <c r="G3472" s="7" t="n">
        <v>97.17</v>
      </c>
    </row>
    <row r="3473" customFormat="false" ht="15" hidden="false" customHeight="false" outlineLevel="0" collapsed="false">
      <c r="A3473" s="7" t="s">
        <v>24</v>
      </c>
      <c r="B3473" s="7" t="s">
        <v>106</v>
      </c>
      <c r="C3473" s="7" t="s">
        <v>1105</v>
      </c>
      <c r="D3473" s="7" t="n">
        <v>0</v>
      </c>
      <c r="E3473" s="7" t="n">
        <v>0</v>
      </c>
      <c r="F3473" s="7" t="n">
        <v>1</v>
      </c>
      <c r="G3473" s="7" t="n">
        <v>114.33</v>
      </c>
    </row>
    <row r="3474" customFormat="false" ht="15" hidden="false" customHeight="false" outlineLevel="0" collapsed="false">
      <c r="A3474" s="7" t="s">
        <v>24</v>
      </c>
      <c r="B3474" s="7" t="s">
        <v>106</v>
      </c>
      <c r="C3474" s="7" t="s">
        <v>1105</v>
      </c>
      <c r="D3474" s="7" t="n">
        <v>0</v>
      </c>
      <c r="E3474" s="7" t="n">
        <v>0</v>
      </c>
      <c r="F3474" s="7" t="n">
        <v>1</v>
      </c>
      <c r="G3474" s="7" t="n">
        <v>97.17</v>
      </c>
    </row>
    <row r="3475" customFormat="false" ht="15" hidden="false" customHeight="false" outlineLevel="0" collapsed="false">
      <c r="A3475" s="7" t="s">
        <v>24</v>
      </c>
      <c r="B3475" s="7" t="s">
        <v>106</v>
      </c>
      <c r="C3475" s="7" t="s">
        <v>1105</v>
      </c>
      <c r="D3475" s="7" t="n">
        <v>0</v>
      </c>
      <c r="E3475" s="7" t="n">
        <v>0</v>
      </c>
      <c r="F3475" s="7" t="n">
        <v>1</v>
      </c>
      <c r="G3475" s="7" t="n">
        <v>102.89</v>
      </c>
    </row>
    <row r="3476" customFormat="false" ht="15" hidden="false" customHeight="false" outlineLevel="0" collapsed="false">
      <c r="A3476" s="7" t="s">
        <v>24</v>
      </c>
      <c r="B3476" s="7" t="s">
        <v>106</v>
      </c>
      <c r="C3476" s="7" t="s">
        <v>1105</v>
      </c>
      <c r="D3476" s="7" t="n">
        <v>0</v>
      </c>
      <c r="E3476" s="7" t="n">
        <v>0</v>
      </c>
      <c r="F3476" s="7" t="n">
        <v>1</v>
      </c>
      <c r="G3476" s="7" t="n">
        <v>97.17</v>
      </c>
    </row>
    <row r="3477" customFormat="false" ht="15" hidden="false" customHeight="false" outlineLevel="0" collapsed="false">
      <c r="A3477" s="7" t="s">
        <v>24</v>
      </c>
      <c r="B3477" s="7" t="s">
        <v>106</v>
      </c>
      <c r="C3477" s="7" t="s">
        <v>1105</v>
      </c>
      <c r="D3477" s="7" t="n">
        <v>0</v>
      </c>
      <c r="E3477" s="7" t="n">
        <v>0</v>
      </c>
      <c r="F3477" s="7" t="n">
        <v>5</v>
      </c>
      <c r="G3477" s="7" t="n">
        <v>525.88</v>
      </c>
    </row>
    <row r="3478" customFormat="false" ht="15" hidden="false" customHeight="false" outlineLevel="0" collapsed="false">
      <c r="A3478" s="7" t="s">
        <v>24</v>
      </c>
      <c r="B3478" s="7" t="s">
        <v>106</v>
      </c>
      <c r="C3478" s="7" t="s">
        <v>1105</v>
      </c>
      <c r="D3478" s="7" t="n">
        <v>0</v>
      </c>
      <c r="E3478" s="7" t="n">
        <v>0</v>
      </c>
      <c r="F3478" s="7" t="n">
        <v>1</v>
      </c>
      <c r="G3478" s="7" t="n">
        <v>114.32</v>
      </c>
    </row>
    <row r="3479" customFormat="false" ht="15" hidden="false" customHeight="false" outlineLevel="0" collapsed="false">
      <c r="A3479" s="7" t="s">
        <v>24</v>
      </c>
      <c r="B3479" s="7" t="s">
        <v>106</v>
      </c>
      <c r="C3479" s="7" t="s">
        <v>1105</v>
      </c>
      <c r="D3479" s="7" t="n">
        <v>0</v>
      </c>
      <c r="E3479" s="7" t="n">
        <v>0</v>
      </c>
      <c r="F3479" s="7" t="n">
        <v>1</v>
      </c>
      <c r="G3479" s="7" t="n">
        <v>97.18</v>
      </c>
    </row>
    <row r="3480" customFormat="false" ht="15" hidden="false" customHeight="false" outlineLevel="0" collapsed="false">
      <c r="A3480" s="7" t="s">
        <v>24</v>
      </c>
      <c r="B3480" s="7" t="s">
        <v>106</v>
      </c>
      <c r="C3480" s="7" t="s">
        <v>1105</v>
      </c>
      <c r="D3480" s="7" t="n">
        <v>0</v>
      </c>
      <c r="E3480" s="7" t="n">
        <v>0</v>
      </c>
      <c r="F3480" s="7" t="n">
        <v>1</v>
      </c>
      <c r="G3480" s="7" t="n">
        <v>97.18</v>
      </c>
    </row>
    <row r="3481" customFormat="false" ht="15" hidden="false" customHeight="false" outlineLevel="0" collapsed="false">
      <c r="A3481" s="7" t="s">
        <v>24</v>
      </c>
      <c r="B3481" s="7" t="s">
        <v>106</v>
      </c>
      <c r="C3481" s="7" t="s">
        <v>1105</v>
      </c>
      <c r="D3481" s="7" t="n">
        <v>0</v>
      </c>
      <c r="E3481" s="7" t="n">
        <v>0</v>
      </c>
      <c r="F3481" s="7" t="n">
        <v>1</v>
      </c>
      <c r="G3481" s="7" t="n">
        <v>114.32</v>
      </c>
    </row>
    <row r="3482" customFormat="false" ht="15" hidden="false" customHeight="false" outlineLevel="0" collapsed="false">
      <c r="A3482" s="7" t="s">
        <v>24</v>
      </c>
      <c r="B3482" s="7" t="s">
        <v>106</v>
      </c>
      <c r="C3482" s="7" t="s">
        <v>1105</v>
      </c>
      <c r="D3482" s="7" t="n">
        <v>0</v>
      </c>
      <c r="E3482" s="7" t="n">
        <v>0</v>
      </c>
      <c r="F3482" s="7" t="n">
        <v>1</v>
      </c>
      <c r="G3482" s="7" t="n">
        <v>114.32</v>
      </c>
    </row>
    <row r="3483" customFormat="false" ht="15" hidden="false" customHeight="false" outlineLevel="0" collapsed="false">
      <c r="A3483" s="7" t="s">
        <v>24</v>
      </c>
      <c r="B3483" s="7" t="s">
        <v>106</v>
      </c>
      <c r="C3483" s="7" t="s">
        <v>1105</v>
      </c>
      <c r="D3483" s="7" t="n">
        <v>0</v>
      </c>
      <c r="E3483" s="7" t="n">
        <v>0</v>
      </c>
      <c r="F3483" s="7" t="n">
        <v>3</v>
      </c>
      <c r="G3483" s="7" t="n">
        <v>342.97</v>
      </c>
    </row>
    <row r="3484" customFormat="false" ht="15" hidden="false" customHeight="false" outlineLevel="0" collapsed="false">
      <c r="A3484" s="7" t="s">
        <v>24</v>
      </c>
      <c r="B3484" s="7" t="s">
        <v>106</v>
      </c>
      <c r="C3484" s="7" t="s">
        <v>1105</v>
      </c>
      <c r="D3484" s="7" t="n">
        <v>0</v>
      </c>
      <c r="E3484" s="7" t="n">
        <v>0</v>
      </c>
      <c r="F3484" s="7" t="n">
        <v>1</v>
      </c>
      <c r="G3484" s="7" t="n">
        <v>114.33</v>
      </c>
    </row>
    <row r="3485" customFormat="false" ht="15" hidden="false" customHeight="false" outlineLevel="0" collapsed="false">
      <c r="A3485" s="7" t="s">
        <v>24</v>
      </c>
      <c r="B3485" s="7" t="s">
        <v>106</v>
      </c>
      <c r="C3485" s="7" t="s">
        <v>1105</v>
      </c>
      <c r="D3485" s="7" t="n">
        <v>0</v>
      </c>
      <c r="E3485" s="7" t="n">
        <v>0</v>
      </c>
      <c r="F3485" s="7" t="n">
        <v>1</v>
      </c>
      <c r="G3485" s="7" t="n">
        <v>114.32</v>
      </c>
    </row>
    <row r="3486" customFormat="false" ht="15" hidden="false" customHeight="false" outlineLevel="0" collapsed="false">
      <c r="A3486" s="7" t="s">
        <v>24</v>
      </c>
      <c r="B3486" s="7" t="s">
        <v>106</v>
      </c>
      <c r="C3486" s="7" t="s">
        <v>1105</v>
      </c>
      <c r="D3486" s="7" t="n">
        <v>0</v>
      </c>
      <c r="E3486" s="7" t="n">
        <v>0</v>
      </c>
      <c r="F3486" s="7" t="n">
        <v>2</v>
      </c>
      <c r="G3486" s="7" t="n">
        <v>228.66</v>
      </c>
    </row>
    <row r="3487" customFormat="false" ht="15" hidden="false" customHeight="false" outlineLevel="0" collapsed="false">
      <c r="A3487" s="7" t="s">
        <v>24</v>
      </c>
      <c r="B3487" s="7" t="s">
        <v>106</v>
      </c>
      <c r="C3487" s="7" t="s">
        <v>1105</v>
      </c>
      <c r="D3487" s="7" t="n">
        <v>0</v>
      </c>
      <c r="E3487" s="7" t="n">
        <v>0</v>
      </c>
      <c r="F3487" s="7" t="n">
        <v>1</v>
      </c>
      <c r="G3487" s="7" t="n">
        <v>97.17</v>
      </c>
    </row>
    <row r="3488" customFormat="false" ht="15" hidden="false" customHeight="false" outlineLevel="0" collapsed="false">
      <c r="A3488" s="7" t="s">
        <v>24</v>
      </c>
      <c r="B3488" s="7" t="s">
        <v>106</v>
      </c>
      <c r="C3488" s="7" t="s">
        <v>1105</v>
      </c>
      <c r="D3488" s="7" t="n">
        <v>0</v>
      </c>
      <c r="E3488" s="7" t="n">
        <v>0</v>
      </c>
      <c r="F3488" s="7" t="n">
        <v>1</v>
      </c>
      <c r="G3488" s="7" t="n">
        <v>114.32</v>
      </c>
    </row>
    <row r="3489" customFormat="false" ht="15" hidden="false" customHeight="false" outlineLevel="0" collapsed="false">
      <c r="A3489" s="7" t="s">
        <v>24</v>
      </c>
      <c r="B3489" s="7" t="s">
        <v>106</v>
      </c>
      <c r="C3489" s="7" t="s">
        <v>1105</v>
      </c>
      <c r="D3489" s="7" t="n">
        <v>0</v>
      </c>
      <c r="E3489" s="7" t="n">
        <v>0</v>
      </c>
      <c r="F3489" s="7" t="n">
        <v>3</v>
      </c>
      <c r="G3489" s="7" t="n">
        <v>297.25</v>
      </c>
    </row>
    <row r="3490" customFormat="false" ht="15" hidden="false" customHeight="false" outlineLevel="0" collapsed="false">
      <c r="A3490" s="7" t="s">
        <v>24</v>
      </c>
      <c r="B3490" s="7" t="s">
        <v>106</v>
      </c>
      <c r="C3490" s="7" t="s">
        <v>1105</v>
      </c>
      <c r="D3490" s="7" t="n">
        <v>0</v>
      </c>
      <c r="E3490" s="7" t="n">
        <v>0</v>
      </c>
      <c r="F3490" s="7" t="n">
        <v>2</v>
      </c>
      <c r="G3490" s="7" t="n">
        <v>228.64</v>
      </c>
    </row>
    <row r="3491" customFormat="false" ht="15" hidden="false" customHeight="false" outlineLevel="0" collapsed="false">
      <c r="A3491" s="7" t="s">
        <v>24</v>
      </c>
      <c r="B3491" s="7" t="s">
        <v>106</v>
      </c>
      <c r="C3491" s="7" t="s">
        <v>1105</v>
      </c>
      <c r="D3491" s="7" t="n">
        <v>0</v>
      </c>
      <c r="E3491" s="7" t="n">
        <v>0</v>
      </c>
      <c r="F3491" s="7" t="n">
        <v>1</v>
      </c>
      <c r="G3491" s="7" t="n">
        <v>114.33</v>
      </c>
    </row>
    <row r="3492" customFormat="false" ht="15" hidden="false" customHeight="false" outlineLevel="0" collapsed="false">
      <c r="A3492" s="7" t="s">
        <v>24</v>
      </c>
      <c r="B3492" s="7" t="s">
        <v>106</v>
      </c>
      <c r="C3492" s="7" t="s">
        <v>1105</v>
      </c>
      <c r="D3492" s="7" t="n">
        <v>0</v>
      </c>
      <c r="E3492" s="7" t="n">
        <v>0</v>
      </c>
      <c r="F3492" s="7" t="n">
        <v>1</v>
      </c>
      <c r="G3492" s="7" t="n">
        <v>97.17</v>
      </c>
    </row>
    <row r="3493" customFormat="false" ht="15" hidden="false" customHeight="false" outlineLevel="0" collapsed="false">
      <c r="A3493" s="7" t="s">
        <v>24</v>
      </c>
      <c r="B3493" s="7" t="s">
        <v>106</v>
      </c>
      <c r="C3493" s="7" t="s">
        <v>1105</v>
      </c>
      <c r="D3493" s="7" t="n">
        <v>0</v>
      </c>
      <c r="E3493" s="7" t="n">
        <v>0</v>
      </c>
      <c r="F3493" s="7" t="n">
        <v>1</v>
      </c>
      <c r="G3493" s="7" t="n">
        <v>114.33</v>
      </c>
    </row>
    <row r="3494" customFormat="false" ht="15" hidden="false" customHeight="false" outlineLevel="0" collapsed="false">
      <c r="A3494" s="7" t="s">
        <v>24</v>
      </c>
      <c r="B3494" s="7" t="s">
        <v>106</v>
      </c>
      <c r="C3494" s="7" t="s">
        <v>1105</v>
      </c>
      <c r="D3494" s="7" t="n">
        <v>0</v>
      </c>
      <c r="E3494" s="7" t="n">
        <v>0</v>
      </c>
      <c r="F3494" s="7" t="n">
        <v>1</v>
      </c>
      <c r="G3494" s="7" t="n">
        <v>97.18</v>
      </c>
    </row>
    <row r="3495" customFormat="false" ht="15" hidden="false" customHeight="false" outlineLevel="0" collapsed="false">
      <c r="A3495" s="7" t="s">
        <v>24</v>
      </c>
      <c r="B3495" s="7" t="s">
        <v>106</v>
      </c>
      <c r="C3495" s="7" t="s">
        <v>1105</v>
      </c>
      <c r="D3495" s="7" t="n">
        <v>0</v>
      </c>
      <c r="E3495" s="7" t="n">
        <v>0</v>
      </c>
      <c r="F3495" s="7" t="n">
        <v>1</v>
      </c>
      <c r="G3495" s="7" t="n">
        <v>114.33</v>
      </c>
    </row>
    <row r="3496" customFormat="false" ht="15" hidden="false" customHeight="false" outlineLevel="0" collapsed="false">
      <c r="A3496" s="7" t="s">
        <v>24</v>
      </c>
      <c r="B3496" s="7" t="s">
        <v>106</v>
      </c>
      <c r="C3496" s="7" t="s">
        <v>1105</v>
      </c>
      <c r="D3496" s="7" t="n">
        <v>0</v>
      </c>
      <c r="E3496" s="7" t="n">
        <v>0</v>
      </c>
      <c r="F3496" s="7" t="n">
        <v>2</v>
      </c>
      <c r="G3496" s="7" t="n">
        <v>194.36</v>
      </c>
    </row>
    <row r="3497" customFormat="false" ht="15" hidden="false" customHeight="false" outlineLevel="0" collapsed="false">
      <c r="A3497" s="7" t="s">
        <v>24</v>
      </c>
      <c r="B3497" s="7" t="s">
        <v>106</v>
      </c>
      <c r="C3497" s="7" t="s">
        <v>1105</v>
      </c>
      <c r="D3497" s="7" t="n">
        <v>0</v>
      </c>
      <c r="E3497" s="7" t="n">
        <v>0</v>
      </c>
      <c r="F3497" s="7" t="n">
        <v>6</v>
      </c>
      <c r="G3497" s="7" t="n">
        <v>645.92</v>
      </c>
    </row>
    <row r="3498" customFormat="false" ht="15" hidden="false" customHeight="false" outlineLevel="0" collapsed="false">
      <c r="A3498" s="7" t="s">
        <v>24</v>
      </c>
      <c r="B3498" s="7" t="s">
        <v>106</v>
      </c>
      <c r="C3498" s="7" t="s">
        <v>1105</v>
      </c>
      <c r="D3498" s="7" t="n">
        <v>0</v>
      </c>
      <c r="E3498" s="7" t="n">
        <v>0</v>
      </c>
      <c r="F3498" s="7" t="n">
        <v>1</v>
      </c>
      <c r="G3498" s="7" t="n">
        <v>114.32</v>
      </c>
    </row>
    <row r="3499" customFormat="false" ht="15" hidden="false" customHeight="false" outlineLevel="0" collapsed="false">
      <c r="A3499" s="7" t="s">
        <v>24</v>
      </c>
      <c r="B3499" s="7" t="s">
        <v>106</v>
      </c>
      <c r="C3499" s="7" t="s">
        <v>1105</v>
      </c>
      <c r="D3499" s="7" t="n">
        <v>0</v>
      </c>
      <c r="E3499" s="7" t="n">
        <v>0</v>
      </c>
      <c r="F3499" s="7" t="n">
        <v>1</v>
      </c>
      <c r="G3499" s="7" t="n">
        <v>114.33</v>
      </c>
    </row>
    <row r="3500" customFormat="false" ht="15" hidden="false" customHeight="false" outlineLevel="0" collapsed="false">
      <c r="A3500" s="7" t="s">
        <v>24</v>
      </c>
      <c r="B3500" s="7" t="s">
        <v>106</v>
      </c>
      <c r="C3500" s="7" t="s">
        <v>1105</v>
      </c>
      <c r="D3500" s="7" t="n">
        <v>0</v>
      </c>
      <c r="E3500" s="7" t="n">
        <v>0</v>
      </c>
      <c r="F3500" s="7" t="n">
        <v>1</v>
      </c>
      <c r="G3500" s="7" t="n">
        <v>114.32</v>
      </c>
    </row>
    <row r="3501" customFormat="false" ht="15" hidden="false" customHeight="false" outlineLevel="0" collapsed="false">
      <c r="A3501" s="7" t="s">
        <v>24</v>
      </c>
      <c r="B3501" s="7" t="s">
        <v>106</v>
      </c>
      <c r="C3501" s="7" t="s">
        <v>1105</v>
      </c>
      <c r="D3501" s="7" t="n">
        <v>0</v>
      </c>
      <c r="E3501" s="7" t="n">
        <v>0</v>
      </c>
      <c r="F3501" s="7" t="n">
        <v>1</v>
      </c>
      <c r="G3501" s="7" t="n">
        <v>114.32</v>
      </c>
    </row>
    <row r="3502" customFormat="false" ht="15" hidden="false" customHeight="false" outlineLevel="0" collapsed="false">
      <c r="A3502" s="7" t="s">
        <v>24</v>
      </c>
      <c r="B3502" s="7" t="s">
        <v>106</v>
      </c>
      <c r="C3502" s="7" t="s">
        <v>1105</v>
      </c>
      <c r="D3502" s="7" t="n">
        <v>0</v>
      </c>
      <c r="E3502" s="7" t="n">
        <v>0</v>
      </c>
      <c r="F3502" s="7" t="n">
        <v>4</v>
      </c>
      <c r="G3502" s="7" t="n">
        <v>445.85</v>
      </c>
    </row>
    <row r="3503" customFormat="false" ht="15" hidden="false" customHeight="false" outlineLevel="0" collapsed="false">
      <c r="A3503" s="7" t="s">
        <v>24</v>
      </c>
      <c r="B3503" s="7" t="s">
        <v>106</v>
      </c>
      <c r="C3503" s="7" t="s">
        <v>1105</v>
      </c>
      <c r="D3503" s="7" t="n">
        <v>0</v>
      </c>
      <c r="E3503" s="7" t="n">
        <v>0</v>
      </c>
      <c r="F3503" s="7" t="n">
        <v>4</v>
      </c>
      <c r="G3503" s="7" t="n">
        <v>457.32</v>
      </c>
    </row>
    <row r="3504" customFormat="false" ht="15" hidden="false" customHeight="false" outlineLevel="0" collapsed="false">
      <c r="A3504" s="7" t="s">
        <v>24</v>
      </c>
      <c r="B3504" s="7" t="s">
        <v>106</v>
      </c>
      <c r="C3504" s="7" t="s">
        <v>1105</v>
      </c>
      <c r="D3504" s="7" t="n">
        <v>0</v>
      </c>
      <c r="E3504" s="7" t="n">
        <v>0</v>
      </c>
      <c r="F3504" s="7" t="n">
        <v>1</v>
      </c>
      <c r="G3504" s="7" t="n">
        <v>102.89</v>
      </c>
    </row>
    <row r="3505" customFormat="false" ht="15" hidden="false" customHeight="false" outlineLevel="0" collapsed="false">
      <c r="A3505" s="7" t="s">
        <v>24</v>
      </c>
      <c r="B3505" s="7" t="s">
        <v>106</v>
      </c>
      <c r="C3505" s="7" t="s">
        <v>1105</v>
      </c>
      <c r="D3505" s="7" t="n">
        <v>0</v>
      </c>
      <c r="E3505" s="7" t="n">
        <v>0</v>
      </c>
      <c r="F3505" s="7" t="n">
        <v>2</v>
      </c>
      <c r="G3505" s="7" t="n">
        <v>205.78</v>
      </c>
    </row>
    <row r="3506" customFormat="false" ht="15" hidden="false" customHeight="false" outlineLevel="0" collapsed="false">
      <c r="A3506" s="7" t="s">
        <v>24</v>
      </c>
      <c r="B3506" s="7" t="s">
        <v>106</v>
      </c>
      <c r="C3506" s="7" t="s">
        <v>1105</v>
      </c>
      <c r="D3506" s="7" t="n">
        <v>0</v>
      </c>
      <c r="E3506" s="7" t="n">
        <v>0</v>
      </c>
      <c r="F3506" s="7" t="n">
        <v>1</v>
      </c>
      <c r="G3506" s="7" t="n">
        <v>114.32</v>
      </c>
    </row>
    <row r="3507" customFormat="false" ht="15" hidden="false" customHeight="false" outlineLevel="0" collapsed="false">
      <c r="A3507" s="7" t="s">
        <v>24</v>
      </c>
      <c r="B3507" s="7" t="s">
        <v>106</v>
      </c>
      <c r="C3507" s="7" t="s">
        <v>1105</v>
      </c>
      <c r="D3507" s="7" t="n">
        <v>0</v>
      </c>
      <c r="E3507" s="7" t="n">
        <v>0</v>
      </c>
      <c r="F3507" s="7" t="n">
        <v>1</v>
      </c>
      <c r="G3507" s="7" t="n">
        <v>114.33</v>
      </c>
    </row>
    <row r="3508" customFormat="false" ht="15" hidden="false" customHeight="false" outlineLevel="0" collapsed="false">
      <c r="A3508" s="7" t="s">
        <v>24</v>
      </c>
      <c r="B3508" s="7" t="s">
        <v>106</v>
      </c>
      <c r="C3508" s="7" t="s">
        <v>1105</v>
      </c>
      <c r="D3508" s="7" t="n">
        <v>0</v>
      </c>
      <c r="E3508" s="7" t="n">
        <v>0</v>
      </c>
      <c r="F3508" s="7" t="n">
        <v>1</v>
      </c>
      <c r="G3508" s="7" t="n">
        <v>114.32</v>
      </c>
    </row>
    <row r="3509" customFormat="false" ht="15" hidden="false" customHeight="false" outlineLevel="0" collapsed="false">
      <c r="A3509" s="7" t="s">
        <v>24</v>
      </c>
      <c r="B3509" s="7" t="s">
        <v>106</v>
      </c>
      <c r="C3509" s="7" t="s">
        <v>1105</v>
      </c>
      <c r="D3509" s="7" t="n">
        <v>0</v>
      </c>
      <c r="E3509" s="7" t="n">
        <v>0</v>
      </c>
      <c r="F3509" s="7" t="n">
        <v>1</v>
      </c>
      <c r="G3509" s="7" t="n">
        <v>102.89</v>
      </c>
    </row>
    <row r="3510" customFormat="false" ht="15" hidden="false" customHeight="false" outlineLevel="0" collapsed="false">
      <c r="A3510" s="7" t="s">
        <v>24</v>
      </c>
      <c r="B3510" s="7" t="s">
        <v>106</v>
      </c>
      <c r="C3510" s="7" t="s">
        <v>1105</v>
      </c>
      <c r="D3510" s="7" t="n">
        <v>0</v>
      </c>
      <c r="E3510" s="7" t="n">
        <v>0</v>
      </c>
      <c r="F3510" s="7" t="n">
        <v>1</v>
      </c>
      <c r="G3510" s="7" t="n">
        <v>102.89</v>
      </c>
    </row>
    <row r="3511" customFormat="false" ht="15" hidden="false" customHeight="false" outlineLevel="0" collapsed="false">
      <c r="A3511" s="7" t="s">
        <v>24</v>
      </c>
      <c r="B3511" s="7" t="s">
        <v>106</v>
      </c>
      <c r="C3511" s="7" t="s">
        <v>1105</v>
      </c>
      <c r="D3511" s="7" t="n">
        <v>0</v>
      </c>
      <c r="E3511" s="7" t="n">
        <v>0</v>
      </c>
      <c r="F3511" s="7" t="n">
        <v>4</v>
      </c>
      <c r="G3511" s="7" t="n">
        <v>388.72</v>
      </c>
    </row>
    <row r="3512" customFormat="false" ht="15" hidden="false" customHeight="false" outlineLevel="0" collapsed="false">
      <c r="A3512" s="7" t="s">
        <v>24</v>
      </c>
      <c r="B3512" s="7" t="s">
        <v>106</v>
      </c>
      <c r="C3512" s="7" t="s">
        <v>1105</v>
      </c>
      <c r="D3512" s="7" t="n">
        <v>0</v>
      </c>
      <c r="E3512" s="7" t="n">
        <v>0</v>
      </c>
      <c r="F3512" s="7" t="n">
        <v>1</v>
      </c>
      <c r="G3512" s="7" t="n">
        <v>97.18</v>
      </c>
    </row>
    <row r="3513" customFormat="false" ht="15" hidden="false" customHeight="false" outlineLevel="0" collapsed="false">
      <c r="A3513" s="7" t="s">
        <v>24</v>
      </c>
      <c r="B3513" s="7" t="s">
        <v>106</v>
      </c>
      <c r="C3513" s="7" t="s">
        <v>1105</v>
      </c>
      <c r="D3513" s="7" t="n">
        <v>0</v>
      </c>
      <c r="E3513" s="7" t="n">
        <v>0</v>
      </c>
      <c r="F3513" s="7" t="n">
        <v>1</v>
      </c>
      <c r="G3513" s="7" t="n">
        <v>114.33</v>
      </c>
    </row>
    <row r="3514" customFormat="false" ht="15" hidden="false" customHeight="false" outlineLevel="0" collapsed="false">
      <c r="A3514" s="7" t="s">
        <v>24</v>
      </c>
      <c r="B3514" s="7" t="s">
        <v>106</v>
      </c>
      <c r="C3514" s="7" t="s">
        <v>1105</v>
      </c>
      <c r="D3514" s="7" t="n">
        <v>0</v>
      </c>
      <c r="E3514" s="7" t="n">
        <v>0</v>
      </c>
      <c r="F3514" s="7" t="n">
        <v>1</v>
      </c>
      <c r="G3514" s="7" t="n">
        <v>114.33</v>
      </c>
    </row>
    <row r="3515" customFormat="false" ht="15" hidden="false" customHeight="false" outlineLevel="0" collapsed="false">
      <c r="A3515" s="7" t="s">
        <v>24</v>
      </c>
      <c r="B3515" s="7" t="s">
        <v>106</v>
      </c>
      <c r="C3515" s="7" t="s">
        <v>1105</v>
      </c>
      <c r="D3515" s="7" t="n">
        <v>0</v>
      </c>
      <c r="E3515" s="7" t="n">
        <v>0</v>
      </c>
      <c r="F3515" s="7" t="n">
        <v>2</v>
      </c>
      <c r="G3515" s="7" t="n">
        <v>194.36</v>
      </c>
    </row>
    <row r="3516" customFormat="false" ht="15" hidden="false" customHeight="false" outlineLevel="0" collapsed="false">
      <c r="A3516" s="7" t="s">
        <v>24</v>
      </c>
      <c r="B3516" s="7" t="s">
        <v>106</v>
      </c>
      <c r="C3516" s="7" t="s">
        <v>1105</v>
      </c>
      <c r="D3516" s="7" t="n">
        <v>0</v>
      </c>
      <c r="E3516" s="7" t="n">
        <v>0</v>
      </c>
      <c r="F3516" s="7" t="n">
        <v>3</v>
      </c>
      <c r="G3516" s="7" t="n">
        <v>226.43</v>
      </c>
    </row>
    <row r="3517" customFormat="false" ht="15" hidden="false" customHeight="false" outlineLevel="0" collapsed="false">
      <c r="A3517" s="7" t="s">
        <v>24</v>
      </c>
      <c r="B3517" s="7" t="s">
        <v>106</v>
      </c>
      <c r="C3517" s="7" t="s">
        <v>1105</v>
      </c>
      <c r="D3517" s="7" t="n">
        <v>0</v>
      </c>
      <c r="E3517" s="7" t="n">
        <v>0</v>
      </c>
      <c r="F3517" s="7" t="n">
        <v>5</v>
      </c>
      <c r="G3517" s="7" t="n">
        <v>531.6</v>
      </c>
    </row>
    <row r="3518" customFormat="false" ht="15" hidden="false" customHeight="false" outlineLevel="0" collapsed="false">
      <c r="A3518" s="7" t="s">
        <v>24</v>
      </c>
      <c r="B3518" s="7" t="s">
        <v>106</v>
      </c>
      <c r="C3518" s="7" t="s">
        <v>1105</v>
      </c>
      <c r="D3518" s="7" t="n">
        <v>0</v>
      </c>
      <c r="E3518" s="7" t="n">
        <v>0</v>
      </c>
      <c r="F3518" s="7" t="n">
        <v>4</v>
      </c>
      <c r="G3518" s="7" t="n">
        <v>417.28</v>
      </c>
    </row>
    <row r="3519" customFormat="false" ht="15" hidden="false" customHeight="false" outlineLevel="0" collapsed="false">
      <c r="A3519" s="7" t="s">
        <v>24</v>
      </c>
      <c r="B3519" s="7" t="s">
        <v>106</v>
      </c>
      <c r="C3519" s="7" t="s">
        <v>1105</v>
      </c>
      <c r="D3519" s="7" t="n">
        <v>0</v>
      </c>
      <c r="E3519" s="7" t="n">
        <v>0</v>
      </c>
      <c r="F3519" s="7" t="n">
        <v>2</v>
      </c>
      <c r="G3519" s="7" t="n">
        <v>194.36</v>
      </c>
    </row>
    <row r="3520" customFormat="false" ht="15" hidden="false" customHeight="false" outlineLevel="0" collapsed="false">
      <c r="A3520" s="7" t="s">
        <v>24</v>
      </c>
      <c r="B3520" s="7" t="s">
        <v>106</v>
      </c>
      <c r="C3520" s="7" t="s">
        <v>1105</v>
      </c>
      <c r="D3520" s="7" t="n">
        <v>0</v>
      </c>
      <c r="E3520" s="7" t="n">
        <v>0</v>
      </c>
      <c r="F3520" s="7" t="n">
        <v>3</v>
      </c>
      <c r="G3520" s="7" t="n">
        <v>291.53</v>
      </c>
    </row>
    <row r="3521" customFormat="false" ht="15" hidden="false" customHeight="false" outlineLevel="0" collapsed="false">
      <c r="A3521" s="7" t="s">
        <v>24</v>
      </c>
      <c r="B3521" s="7" t="s">
        <v>106</v>
      </c>
      <c r="C3521" s="7" t="s">
        <v>1105</v>
      </c>
      <c r="D3521" s="7" t="n">
        <v>0</v>
      </c>
      <c r="E3521" s="7" t="n">
        <v>0</v>
      </c>
      <c r="F3521" s="7" t="n">
        <v>1</v>
      </c>
      <c r="G3521" s="7" t="n">
        <v>114.33</v>
      </c>
    </row>
    <row r="3522" customFormat="false" ht="15" hidden="false" customHeight="false" outlineLevel="0" collapsed="false">
      <c r="A3522" s="7" t="s">
        <v>24</v>
      </c>
      <c r="B3522" s="7" t="s">
        <v>106</v>
      </c>
      <c r="C3522" s="7" t="s">
        <v>1105</v>
      </c>
      <c r="D3522" s="7" t="n">
        <v>0</v>
      </c>
      <c r="E3522" s="7" t="n">
        <v>0</v>
      </c>
      <c r="F3522" s="7" t="n">
        <v>6</v>
      </c>
      <c r="G3522" s="7" t="n">
        <v>548.76</v>
      </c>
    </row>
    <row r="3523" customFormat="false" ht="15" hidden="false" customHeight="false" outlineLevel="0" collapsed="false">
      <c r="A3523" s="7" t="s">
        <v>24</v>
      </c>
      <c r="B3523" s="7" t="s">
        <v>106</v>
      </c>
      <c r="C3523" s="7" t="s">
        <v>1105</v>
      </c>
      <c r="D3523" s="7" t="n">
        <v>0</v>
      </c>
      <c r="E3523" s="7" t="n">
        <v>0</v>
      </c>
      <c r="F3523" s="7" t="n">
        <v>4</v>
      </c>
      <c r="G3523" s="7" t="n">
        <v>342.98</v>
      </c>
    </row>
    <row r="3524" customFormat="false" ht="15" hidden="false" customHeight="false" outlineLevel="0" collapsed="false">
      <c r="A3524" s="7" t="s">
        <v>24</v>
      </c>
      <c r="B3524" s="7" t="s">
        <v>106</v>
      </c>
      <c r="C3524" s="7" t="s">
        <v>1105</v>
      </c>
      <c r="D3524" s="7" t="n">
        <v>0</v>
      </c>
      <c r="E3524" s="7" t="n">
        <v>0</v>
      </c>
      <c r="F3524" s="7" t="n">
        <v>4</v>
      </c>
      <c r="G3524" s="7" t="n">
        <v>457.29</v>
      </c>
    </row>
    <row r="3525" customFormat="false" ht="15" hidden="false" customHeight="false" outlineLevel="0" collapsed="false">
      <c r="A3525" s="7" t="s">
        <v>24</v>
      </c>
      <c r="B3525" s="7" t="s">
        <v>106</v>
      </c>
      <c r="C3525" s="7" t="s">
        <v>1105</v>
      </c>
      <c r="D3525" s="7" t="n">
        <v>0</v>
      </c>
      <c r="E3525" s="7" t="n">
        <v>0</v>
      </c>
      <c r="F3525" s="7" t="n">
        <v>2</v>
      </c>
      <c r="G3525" s="7" t="n">
        <v>194.36</v>
      </c>
    </row>
    <row r="3526" customFormat="false" ht="15" hidden="false" customHeight="false" outlineLevel="0" collapsed="false">
      <c r="A3526" s="7" t="s">
        <v>24</v>
      </c>
      <c r="B3526" s="7" t="s">
        <v>106</v>
      </c>
      <c r="C3526" s="7" t="s">
        <v>1105</v>
      </c>
      <c r="D3526" s="7" t="n">
        <v>0</v>
      </c>
      <c r="E3526" s="7" t="n">
        <v>0</v>
      </c>
      <c r="F3526" s="7" t="n">
        <v>2</v>
      </c>
      <c r="G3526" s="7" t="n">
        <v>194.36</v>
      </c>
    </row>
    <row r="3527" customFormat="false" ht="15" hidden="false" customHeight="false" outlineLevel="0" collapsed="false">
      <c r="A3527" s="7" t="s">
        <v>24</v>
      </c>
      <c r="B3527" s="7" t="s">
        <v>106</v>
      </c>
      <c r="C3527" s="7" t="s">
        <v>1105</v>
      </c>
      <c r="D3527" s="7" t="n">
        <v>0</v>
      </c>
      <c r="E3527" s="7" t="n">
        <v>0</v>
      </c>
      <c r="F3527" s="7" t="n">
        <v>1</v>
      </c>
      <c r="G3527" s="7" t="n">
        <v>114.33</v>
      </c>
    </row>
    <row r="3528" customFormat="false" ht="15" hidden="false" customHeight="false" outlineLevel="0" collapsed="false">
      <c r="A3528" s="7" t="s">
        <v>24</v>
      </c>
      <c r="B3528" s="7" t="s">
        <v>106</v>
      </c>
      <c r="C3528" s="7" t="s">
        <v>1105</v>
      </c>
      <c r="D3528" s="7" t="n">
        <v>0</v>
      </c>
      <c r="E3528" s="7" t="n">
        <v>0</v>
      </c>
      <c r="F3528" s="7" t="n">
        <v>1</v>
      </c>
      <c r="G3528" s="7" t="n">
        <v>102.89</v>
      </c>
    </row>
    <row r="3529" customFormat="false" ht="15" hidden="false" customHeight="false" outlineLevel="0" collapsed="false">
      <c r="A3529" s="7" t="s">
        <v>24</v>
      </c>
      <c r="B3529" s="7" t="s">
        <v>106</v>
      </c>
      <c r="C3529" s="7" t="s">
        <v>1105</v>
      </c>
      <c r="D3529" s="7" t="n">
        <v>0</v>
      </c>
      <c r="E3529" s="7" t="n">
        <v>0</v>
      </c>
      <c r="F3529" s="7" t="n">
        <v>4</v>
      </c>
      <c r="G3529" s="7" t="n">
        <v>365.83</v>
      </c>
    </row>
    <row r="3530" customFormat="false" ht="15" hidden="false" customHeight="false" outlineLevel="0" collapsed="false">
      <c r="A3530" s="7" t="s">
        <v>24</v>
      </c>
      <c r="B3530" s="7" t="s">
        <v>106</v>
      </c>
      <c r="C3530" s="7" t="s">
        <v>1105</v>
      </c>
      <c r="D3530" s="7" t="n">
        <v>0</v>
      </c>
      <c r="E3530" s="7" t="n">
        <v>0</v>
      </c>
      <c r="F3530" s="7" t="n">
        <v>1</v>
      </c>
      <c r="G3530" s="7" t="n">
        <v>114.33</v>
      </c>
    </row>
    <row r="3531" customFormat="false" ht="15" hidden="false" customHeight="false" outlineLevel="0" collapsed="false">
      <c r="A3531" s="7" t="s">
        <v>24</v>
      </c>
      <c r="B3531" s="7" t="s">
        <v>106</v>
      </c>
      <c r="C3531" s="7" t="s">
        <v>1105</v>
      </c>
      <c r="D3531" s="7" t="n">
        <v>0</v>
      </c>
      <c r="E3531" s="7" t="n">
        <v>0</v>
      </c>
      <c r="F3531" s="7" t="n">
        <v>1</v>
      </c>
      <c r="G3531" s="7" t="n">
        <v>114.32</v>
      </c>
    </row>
    <row r="3532" customFormat="false" ht="15" hidden="false" customHeight="false" outlineLevel="0" collapsed="false">
      <c r="A3532" s="7" t="s">
        <v>24</v>
      </c>
      <c r="B3532" s="7" t="s">
        <v>106</v>
      </c>
      <c r="C3532" s="7" t="s">
        <v>1105</v>
      </c>
      <c r="D3532" s="7" t="n">
        <v>0</v>
      </c>
      <c r="E3532" s="7" t="n">
        <v>0</v>
      </c>
      <c r="F3532" s="7" t="n">
        <v>1</v>
      </c>
      <c r="G3532" s="7" t="n">
        <v>97.17</v>
      </c>
    </row>
    <row r="3533" customFormat="false" ht="15" hidden="false" customHeight="false" outlineLevel="0" collapsed="false">
      <c r="A3533" s="7" t="s">
        <v>24</v>
      </c>
      <c r="B3533" s="7" t="s">
        <v>106</v>
      </c>
      <c r="C3533" s="7" t="s">
        <v>1105</v>
      </c>
      <c r="D3533" s="7" t="n">
        <v>0</v>
      </c>
      <c r="E3533" s="7" t="n">
        <v>0</v>
      </c>
      <c r="F3533" s="7" t="n">
        <v>1</v>
      </c>
      <c r="G3533" s="7" t="n">
        <v>97.18</v>
      </c>
    </row>
    <row r="3534" customFormat="false" ht="15" hidden="false" customHeight="false" outlineLevel="0" collapsed="false">
      <c r="A3534" s="7" t="s">
        <v>24</v>
      </c>
      <c r="B3534" s="7" t="s">
        <v>106</v>
      </c>
      <c r="C3534" s="7" t="s">
        <v>1105</v>
      </c>
      <c r="D3534" s="7" t="n">
        <v>0</v>
      </c>
      <c r="E3534" s="7" t="n">
        <v>0</v>
      </c>
      <c r="F3534" s="7" t="n">
        <v>1</v>
      </c>
      <c r="G3534" s="7" t="n">
        <v>85.75</v>
      </c>
    </row>
    <row r="3535" customFormat="false" ht="15" hidden="false" customHeight="false" outlineLevel="0" collapsed="false">
      <c r="A3535" s="7" t="s">
        <v>24</v>
      </c>
      <c r="B3535" s="7" t="s">
        <v>106</v>
      </c>
      <c r="C3535" s="7" t="s">
        <v>1105</v>
      </c>
      <c r="D3535" s="7" t="n">
        <v>0</v>
      </c>
      <c r="E3535" s="7" t="n">
        <v>0</v>
      </c>
      <c r="F3535" s="7" t="n">
        <v>1</v>
      </c>
      <c r="G3535" s="7" t="n">
        <v>85.75</v>
      </c>
    </row>
    <row r="3536" customFormat="false" ht="15" hidden="false" customHeight="false" outlineLevel="0" collapsed="false">
      <c r="A3536" s="7" t="s">
        <v>24</v>
      </c>
      <c r="B3536" s="7" t="s">
        <v>106</v>
      </c>
      <c r="C3536" s="7" t="s">
        <v>1105</v>
      </c>
      <c r="D3536" s="7" t="n">
        <v>0</v>
      </c>
      <c r="E3536" s="7" t="n">
        <v>0</v>
      </c>
      <c r="F3536" s="7" t="n">
        <v>1</v>
      </c>
      <c r="G3536" s="7" t="n">
        <v>97.17</v>
      </c>
    </row>
    <row r="3537" customFormat="false" ht="15" hidden="false" customHeight="false" outlineLevel="0" collapsed="false">
      <c r="A3537" s="7" t="s">
        <v>24</v>
      </c>
      <c r="B3537" s="7" t="s">
        <v>106</v>
      </c>
      <c r="C3537" s="7" t="s">
        <v>1105</v>
      </c>
      <c r="D3537" s="7" t="n">
        <v>0</v>
      </c>
      <c r="E3537" s="7" t="n">
        <v>0</v>
      </c>
      <c r="F3537" s="7" t="n">
        <v>4</v>
      </c>
      <c r="G3537" s="7" t="n">
        <v>394.42</v>
      </c>
    </row>
    <row r="3538" customFormat="false" ht="15" hidden="false" customHeight="false" outlineLevel="0" collapsed="false">
      <c r="A3538" s="7" t="s">
        <v>24</v>
      </c>
      <c r="B3538" s="7" t="s">
        <v>106</v>
      </c>
      <c r="C3538" s="7" t="s">
        <v>1105</v>
      </c>
      <c r="D3538" s="7" t="n">
        <v>0</v>
      </c>
      <c r="E3538" s="7" t="n">
        <v>0</v>
      </c>
      <c r="F3538" s="7" t="n">
        <v>1</v>
      </c>
      <c r="G3538" s="7" t="n">
        <v>114.33</v>
      </c>
    </row>
    <row r="3539" customFormat="false" ht="15" hidden="false" customHeight="false" outlineLevel="0" collapsed="false">
      <c r="A3539" s="7" t="s">
        <v>24</v>
      </c>
      <c r="B3539" s="7" t="s">
        <v>106</v>
      </c>
      <c r="C3539" s="7" t="s">
        <v>1105</v>
      </c>
      <c r="D3539" s="7" t="n">
        <v>0</v>
      </c>
      <c r="E3539" s="7" t="n">
        <v>0</v>
      </c>
      <c r="F3539" s="7" t="n">
        <v>3</v>
      </c>
      <c r="G3539" s="7" t="n">
        <v>291.53</v>
      </c>
    </row>
    <row r="3540" customFormat="false" ht="15" hidden="false" customHeight="false" outlineLevel="0" collapsed="false">
      <c r="A3540" s="7" t="s">
        <v>24</v>
      </c>
      <c r="B3540" s="7" t="s">
        <v>106</v>
      </c>
      <c r="C3540" s="7" t="s">
        <v>1105</v>
      </c>
      <c r="D3540" s="7" t="n">
        <v>0</v>
      </c>
      <c r="E3540" s="7" t="n">
        <v>0</v>
      </c>
      <c r="F3540" s="7" t="n">
        <v>1</v>
      </c>
      <c r="G3540" s="7" t="n">
        <v>114.33</v>
      </c>
    </row>
    <row r="3541" customFormat="false" ht="15" hidden="false" customHeight="false" outlineLevel="0" collapsed="false">
      <c r="A3541" s="7" t="s">
        <v>24</v>
      </c>
      <c r="B3541" s="7" t="s">
        <v>106</v>
      </c>
      <c r="C3541" s="7" t="s">
        <v>1105</v>
      </c>
      <c r="D3541" s="7" t="n">
        <v>0</v>
      </c>
      <c r="E3541" s="7" t="n">
        <v>0</v>
      </c>
      <c r="F3541" s="7" t="n">
        <v>4</v>
      </c>
      <c r="G3541" s="7" t="n">
        <v>377.28</v>
      </c>
    </row>
    <row r="3542" customFormat="false" ht="15" hidden="false" customHeight="false" outlineLevel="0" collapsed="false">
      <c r="A3542" s="7" t="s">
        <v>24</v>
      </c>
      <c r="B3542" s="7" t="s">
        <v>106</v>
      </c>
      <c r="C3542" s="7" t="s">
        <v>1105</v>
      </c>
      <c r="D3542" s="7" t="n">
        <v>0</v>
      </c>
      <c r="E3542" s="7" t="n">
        <v>0</v>
      </c>
      <c r="F3542" s="7" t="n">
        <v>1</v>
      </c>
      <c r="G3542" s="7" t="n">
        <v>97.18</v>
      </c>
    </row>
    <row r="3543" customFormat="false" ht="15" hidden="false" customHeight="false" outlineLevel="0" collapsed="false">
      <c r="A3543" s="7" t="s">
        <v>24</v>
      </c>
      <c r="B3543" s="7" t="s">
        <v>106</v>
      </c>
      <c r="C3543" s="7" t="s">
        <v>1105</v>
      </c>
      <c r="D3543" s="7" t="n">
        <v>0</v>
      </c>
      <c r="E3543" s="7" t="n">
        <v>0</v>
      </c>
      <c r="F3543" s="7" t="n">
        <v>4</v>
      </c>
      <c r="G3543" s="7" t="n">
        <v>411.57</v>
      </c>
    </row>
    <row r="3544" customFormat="false" ht="15" hidden="false" customHeight="false" outlineLevel="0" collapsed="false">
      <c r="A3544" s="7" t="s">
        <v>24</v>
      </c>
      <c r="B3544" s="7" t="s">
        <v>106</v>
      </c>
      <c r="C3544" s="7" t="s">
        <v>1105</v>
      </c>
      <c r="D3544" s="7" t="n">
        <v>0</v>
      </c>
      <c r="E3544" s="7" t="n">
        <v>0</v>
      </c>
      <c r="F3544" s="7" t="n">
        <v>1</v>
      </c>
      <c r="G3544" s="7" t="n">
        <v>114.33</v>
      </c>
    </row>
    <row r="3545" customFormat="false" ht="15" hidden="false" customHeight="false" outlineLevel="0" collapsed="false">
      <c r="A3545" s="7" t="s">
        <v>24</v>
      </c>
      <c r="B3545" s="7" t="s">
        <v>106</v>
      </c>
      <c r="C3545" s="7" t="s">
        <v>1105</v>
      </c>
      <c r="D3545" s="7" t="n">
        <v>0</v>
      </c>
      <c r="E3545" s="7" t="n">
        <v>0</v>
      </c>
      <c r="F3545" s="7" t="n">
        <v>2</v>
      </c>
      <c r="G3545" s="7" t="n">
        <v>228.66</v>
      </c>
    </row>
    <row r="3546" customFormat="false" ht="15" hidden="false" customHeight="false" outlineLevel="0" collapsed="false">
      <c r="A3546" s="7" t="s">
        <v>24</v>
      </c>
      <c r="B3546" s="7" t="s">
        <v>106</v>
      </c>
      <c r="C3546" s="7" t="s">
        <v>1105</v>
      </c>
      <c r="D3546" s="7" t="n">
        <v>0</v>
      </c>
      <c r="E3546" s="7" t="n">
        <v>0</v>
      </c>
      <c r="F3546" s="7" t="n">
        <v>1</v>
      </c>
      <c r="G3546" s="7" t="n">
        <v>114.33</v>
      </c>
    </row>
    <row r="3547" customFormat="false" ht="15" hidden="false" customHeight="false" outlineLevel="0" collapsed="false">
      <c r="A3547" s="7" t="s">
        <v>24</v>
      </c>
      <c r="B3547" s="7" t="s">
        <v>106</v>
      </c>
      <c r="C3547" s="7" t="s">
        <v>1105</v>
      </c>
      <c r="D3547" s="7" t="n">
        <v>0</v>
      </c>
      <c r="E3547" s="7" t="n">
        <v>0</v>
      </c>
      <c r="F3547" s="7" t="n">
        <v>2</v>
      </c>
      <c r="G3547" s="7" t="n">
        <v>194.36</v>
      </c>
    </row>
    <row r="3548" customFormat="false" ht="15" hidden="false" customHeight="false" outlineLevel="0" collapsed="false">
      <c r="A3548" s="7" t="s">
        <v>24</v>
      </c>
      <c r="B3548" s="7" t="s">
        <v>106</v>
      </c>
      <c r="C3548" s="7" t="s">
        <v>1105</v>
      </c>
      <c r="D3548" s="7" t="n">
        <v>0</v>
      </c>
      <c r="E3548" s="7" t="n">
        <v>0</v>
      </c>
      <c r="F3548" s="7" t="n">
        <v>1</v>
      </c>
      <c r="G3548" s="7" t="n">
        <v>97.17</v>
      </c>
    </row>
    <row r="3549" customFormat="false" ht="15" hidden="false" customHeight="false" outlineLevel="0" collapsed="false">
      <c r="A3549" s="7" t="s">
        <v>24</v>
      </c>
      <c r="B3549" s="7" t="s">
        <v>106</v>
      </c>
      <c r="C3549" s="7" t="s">
        <v>1105</v>
      </c>
      <c r="D3549" s="7" t="n">
        <v>0</v>
      </c>
      <c r="E3549" s="7" t="n">
        <v>0</v>
      </c>
      <c r="F3549" s="7" t="n">
        <v>1</v>
      </c>
      <c r="G3549" s="7" t="n">
        <v>114.33</v>
      </c>
    </row>
    <row r="3550" customFormat="false" ht="15" hidden="false" customHeight="false" outlineLevel="0" collapsed="false">
      <c r="A3550" s="7" t="s">
        <v>24</v>
      </c>
      <c r="B3550" s="7" t="s">
        <v>106</v>
      </c>
      <c r="C3550" s="7" t="s">
        <v>1105</v>
      </c>
      <c r="D3550" s="7" t="n">
        <v>0</v>
      </c>
      <c r="E3550" s="7" t="n">
        <v>0</v>
      </c>
      <c r="F3550" s="7" t="n">
        <v>4</v>
      </c>
      <c r="G3550" s="7" t="n">
        <v>417.28</v>
      </c>
    </row>
    <row r="3551" customFormat="false" ht="15" hidden="false" customHeight="false" outlineLevel="0" collapsed="false">
      <c r="A3551" s="7" t="s">
        <v>24</v>
      </c>
      <c r="B3551" s="7" t="s">
        <v>106</v>
      </c>
      <c r="C3551" s="7" t="s">
        <v>1105</v>
      </c>
      <c r="D3551" s="7" t="n">
        <v>0</v>
      </c>
      <c r="E3551" s="7" t="n">
        <v>0</v>
      </c>
      <c r="F3551" s="7" t="n">
        <v>4</v>
      </c>
      <c r="G3551" s="7" t="n">
        <v>411.57</v>
      </c>
    </row>
    <row r="3552" customFormat="false" ht="15" hidden="false" customHeight="false" outlineLevel="0" collapsed="false">
      <c r="A3552" s="7" t="s">
        <v>24</v>
      </c>
      <c r="B3552" s="7" t="s">
        <v>106</v>
      </c>
      <c r="C3552" s="7" t="s">
        <v>1105</v>
      </c>
      <c r="D3552" s="7" t="n">
        <v>0</v>
      </c>
      <c r="E3552" s="7" t="n">
        <v>0</v>
      </c>
      <c r="F3552" s="7" t="n">
        <v>1</v>
      </c>
      <c r="G3552" s="7" t="n">
        <v>97.18</v>
      </c>
    </row>
    <row r="3553" customFormat="false" ht="15" hidden="false" customHeight="false" outlineLevel="0" collapsed="false">
      <c r="A3553" s="7" t="s">
        <v>24</v>
      </c>
      <c r="B3553" s="7" t="s">
        <v>106</v>
      </c>
      <c r="C3553" s="7" t="s">
        <v>1105</v>
      </c>
      <c r="D3553" s="7" t="n">
        <v>0</v>
      </c>
      <c r="E3553" s="7" t="n">
        <v>0</v>
      </c>
      <c r="F3553" s="7" t="n">
        <v>1</v>
      </c>
      <c r="G3553" s="7" t="n">
        <v>114.33</v>
      </c>
    </row>
    <row r="3554" customFormat="false" ht="15" hidden="false" customHeight="false" outlineLevel="0" collapsed="false">
      <c r="A3554" s="7" t="s">
        <v>24</v>
      </c>
      <c r="B3554" s="7" t="s">
        <v>106</v>
      </c>
      <c r="C3554" s="7" t="s">
        <v>1105</v>
      </c>
      <c r="D3554" s="7" t="n">
        <v>0</v>
      </c>
      <c r="E3554" s="7" t="n">
        <v>0</v>
      </c>
      <c r="F3554" s="7" t="n">
        <v>1</v>
      </c>
      <c r="G3554" s="7" t="n">
        <v>102.89</v>
      </c>
    </row>
    <row r="3555" customFormat="false" ht="15" hidden="false" customHeight="false" outlineLevel="0" collapsed="false">
      <c r="A3555" s="7" t="s">
        <v>24</v>
      </c>
      <c r="B3555" s="7" t="s">
        <v>106</v>
      </c>
      <c r="C3555" s="7" t="s">
        <v>1105</v>
      </c>
      <c r="D3555" s="7" t="n">
        <v>0</v>
      </c>
      <c r="E3555" s="7" t="n">
        <v>0</v>
      </c>
      <c r="F3555" s="7" t="n">
        <v>2</v>
      </c>
      <c r="G3555" s="7" t="n">
        <v>194.36</v>
      </c>
    </row>
    <row r="3556" customFormat="false" ht="15" hidden="false" customHeight="false" outlineLevel="0" collapsed="false">
      <c r="A3556" s="7" t="s">
        <v>24</v>
      </c>
      <c r="B3556" s="7" t="s">
        <v>106</v>
      </c>
      <c r="C3556" s="7" t="s">
        <v>1105</v>
      </c>
      <c r="D3556" s="7" t="n">
        <v>0</v>
      </c>
      <c r="E3556" s="7" t="n">
        <v>0</v>
      </c>
      <c r="F3556" s="7" t="n">
        <v>6</v>
      </c>
      <c r="G3556" s="7" t="n">
        <v>560.19</v>
      </c>
    </row>
    <row r="3557" customFormat="false" ht="15" hidden="false" customHeight="false" outlineLevel="0" collapsed="false">
      <c r="A3557" s="7" t="s">
        <v>24</v>
      </c>
      <c r="B3557" s="7" t="s">
        <v>106</v>
      </c>
      <c r="C3557" s="7" t="s">
        <v>1105</v>
      </c>
      <c r="D3557" s="7" t="n">
        <v>0</v>
      </c>
      <c r="E3557" s="7" t="n">
        <v>0</v>
      </c>
      <c r="F3557" s="7" t="n">
        <v>1</v>
      </c>
      <c r="G3557" s="7" t="n">
        <v>114.33</v>
      </c>
    </row>
    <row r="3558" customFormat="false" ht="15" hidden="false" customHeight="false" outlineLevel="0" collapsed="false">
      <c r="A3558" s="7" t="s">
        <v>24</v>
      </c>
      <c r="B3558" s="7" t="s">
        <v>106</v>
      </c>
      <c r="C3558" s="7" t="s">
        <v>1105</v>
      </c>
      <c r="D3558" s="7" t="n">
        <v>0</v>
      </c>
      <c r="E3558" s="7" t="n">
        <v>0</v>
      </c>
      <c r="F3558" s="7" t="n">
        <v>2</v>
      </c>
      <c r="G3558" s="7" t="n">
        <v>205.78</v>
      </c>
    </row>
    <row r="3559" customFormat="false" ht="15" hidden="false" customHeight="false" outlineLevel="0" collapsed="false">
      <c r="A3559" s="7" t="s">
        <v>24</v>
      </c>
      <c r="B3559" s="7" t="s">
        <v>106</v>
      </c>
      <c r="C3559" s="7" t="s">
        <v>1105</v>
      </c>
      <c r="D3559" s="7" t="n">
        <v>0</v>
      </c>
      <c r="E3559" s="7" t="n">
        <v>0</v>
      </c>
      <c r="F3559" s="7" t="n">
        <v>1</v>
      </c>
      <c r="G3559" s="7" t="n">
        <v>114.33</v>
      </c>
    </row>
    <row r="3560" customFormat="false" ht="15" hidden="false" customHeight="false" outlineLevel="0" collapsed="false">
      <c r="A3560" s="7" t="s">
        <v>24</v>
      </c>
      <c r="B3560" s="7" t="s">
        <v>106</v>
      </c>
      <c r="C3560" s="7" t="s">
        <v>1105</v>
      </c>
      <c r="D3560" s="7" t="n">
        <v>0</v>
      </c>
      <c r="E3560" s="7" t="n">
        <v>0</v>
      </c>
      <c r="F3560" s="7" t="n">
        <v>1</v>
      </c>
      <c r="G3560" s="7" t="n">
        <v>114.33</v>
      </c>
    </row>
    <row r="3561" customFormat="false" ht="15" hidden="false" customHeight="false" outlineLevel="0" collapsed="false">
      <c r="A3561" s="7" t="s">
        <v>24</v>
      </c>
      <c r="B3561" s="7" t="s">
        <v>106</v>
      </c>
      <c r="C3561" s="7" t="s">
        <v>1105</v>
      </c>
      <c r="D3561" s="7" t="n">
        <v>0</v>
      </c>
      <c r="E3561" s="7" t="n">
        <v>0</v>
      </c>
      <c r="F3561" s="7" t="n">
        <v>2</v>
      </c>
      <c r="G3561" s="7" t="n">
        <v>228.66</v>
      </c>
    </row>
    <row r="3562" customFormat="false" ht="15" hidden="false" customHeight="false" outlineLevel="0" collapsed="false">
      <c r="A3562" s="7" t="s">
        <v>24</v>
      </c>
      <c r="B3562" s="7" t="s">
        <v>106</v>
      </c>
      <c r="C3562" s="7" t="s">
        <v>1105</v>
      </c>
      <c r="D3562" s="7" t="n">
        <v>0</v>
      </c>
      <c r="E3562" s="7" t="n">
        <v>0</v>
      </c>
      <c r="F3562" s="7" t="n">
        <v>2</v>
      </c>
      <c r="G3562" s="7" t="n">
        <v>228.64</v>
      </c>
    </row>
    <row r="3563" customFormat="false" ht="15" hidden="false" customHeight="false" outlineLevel="0" collapsed="false">
      <c r="A3563" s="7" t="s">
        <v>24</v>
      </c>
      <c r="B3563" s="7" t="s">
        <v>242</v>
      </c>
      <c r="C3563" s="7" t="s">
        <v>1153</v>
      </c>
      <c r="D3563" s="7" t="n">
        <v>20</v>
      </c>
      <c r="E3563" s="7" t="n">
        <v>1809.11</v>
      </c>
      <c r="F3563" s="7" t="n">
        <v>-1</v>
      </c>
      <c r="G3563" s="7" t="n">
        <v>-93.98</v>
      </c>
    </row>
    <row r="3564" customFormat="false" ht="15" hidden="false" customHeight="false" outlineLevel="0" collapsed="false">
      <c r="A3564" s="7" t="s">
        <v>24</v>
      </c>
      <c r="B3564" s="7" t="s">
        <v>242</v>
      </c>
      <c r="C3564" s="7" t="s">
        <v>1153</v>
      </c>
      <c r="D3564" s="7" t="n">
        <v>0</v>
      </c>
      <c r="E3564" s="7" t="n">
        <v>0</v>
      </c>
      <c r="F3564" s="7" t="n">
        <v>1</v>
      </c>
      <c r="G3564" s="7" t="n">
        <v>79.89</v>
      </c>
    </row>
    <row r="3565" customFormat="false" ht="15" hidden="false" customHeight="false" outlineLevel="0" collapsed="false">
      <c r="A3565" s="7" t="s">
        <v>24</v>
      </c>
      <c r="B3565" s="7" t="s">
        <v>242</v>
      </c>
      <c r="C3565" s="7" t="s">
        <v>1153</v>
      </c>
      <c r="D3565" s="7" t="n">
        <v>0</v>
      </c>
      <c r="E3565" s="7" t="n">
        <v>0</v>
      </c>
      <c r="F3565" s="7" t="n">
        <v>1</v>
      </c>
      <c r="G3565" s="7" t="n">
        <v>79.89</v>
      </c>
    </row>
    <row r="3566" customFormat="false" ht="15" hidden="false" customHeight="false" outlineLevel="0" collapsed="false">
      <c r="A3566" s="7" t="s">
        <v>24</v>
      </c>
      <c r="B3566" s="7" t="s">
        <v>242</v>
      </c>
      <c r="C3566" s="7" t="s">
        <v>1153</v>
      </c>
      <c r="D3566" s="7" t="n">
        <v>0</v>
      </c>
      <c r="E3566" s="7" t="n">
        <v>0</v>
      </c>
      <c r="F3566" s="7" t="n">
        <v>1</v>
      </c>
      <c r="G3566" s="7" t="n">
        <v>93.99</v>
      </c>
    </row>
    <row r="3567" customFormat="false" ht="15" hidden="false" customHeight="false" outlineLevel="0" collapsed="false">
      <c r="A3567" s="7" t="s">
        <v>24</v>
      </c>
      <c r="B3567" s="7" t="s">
        <v>242</v>
      </c>
      <c r="C3567" s="7" t="s">
        <v>1153</v>
      </c>
      <c r="D3567" s="7" t="n">
        <v>0</v>
      </c>
      <c r="E3567" s="7" t="n">
        <v>0</v>
      </c>
      <c r="F3567" s="7" t="n">
        <v>1</v>
      </c>
      <c r="G3567" s="7" t="n">
        <v>93.98</v>
      </c>
    </row>
    <row r="3568" customFormat="false" ht="15" hidden="false" customHeight="false" outlineLevel="0" collapsed="false">
      <c r="A3568" s="7" t="s">
        <v>24</v>
      </c>
      <c r="B3568" s="7" t="s">
        <v>242</v>
      </c>
      <c r="C3568" s="7" t="s">
        <v>1153</v>
      </c>
      <c r="D3568" s="7" t="n">
        <v>0</v>
      </c>
      <c r="E3568" s="7" t="n">
        <v>0</v>
      </c>
      <c r="F3568" s="7" t="n">
        <v>1</v>
      </c>
      <c r="G3568" s="7" t="n">
        <v>93.98</v>
      </c>
    </row>
    <row r="3569" customFormat="false" ht="15" hidden="false" customHeight="false" outlineLevel="0" collapsed="false">
      <c r="A3569" s="7" t="s">
        <v>24</v>
      </c>
      <c r="B3569" s="7" t="s">
        <v>242</v>
      </c>
      <c r="C3569" s="7" t="s">
        <v>1153</v>
      </c>
      <c r="D3569" s="7" t="n">
        <v>0</v>
      </c>
      <c r="E3569" s="7" t="n">
        <v>0</v>
      </c>
      <c r="F3569" s="7" t="n">
        <v>1</v>
      </c>
      <c r="G3569" s="7" t="n">
        <v>93.98</v>
      </c>
    </row>
    <row r="3570" customFormat="false" ht="15" hidden="false" customHeight="false" outlineLevel="0" collapsed="false">
      <c r="A3570" s="7" t="s">
        <v>24</v>
      </c>
      <c r="B3570" s="7" t="s">
        <v>242</v>
      </c>
      <c r="C3570" s="7" t="s">
        <v>1153</v>
      </c>
      <c r="D3570" s="7" t="n">
        <v>0</v>
      </c>
      <c r="E3570" s="7" t="n">
        <v>0</v>
      </c>
      <c r="F3570" s="7" t="n">
        <v>2</v>
      </c>
      <c r="G3570" s="7" t="n">
        <v>187.97</v>
      </c>
    </row>
    <row r="3571" customFormat="false" ht="15" hidden="false" customHeight="false" outlineLevel="0" collapsed="false">
      <c r="A3571" s="7" t="s">
        <v>24</v>
      </c>
      <c r="B3571" s="7" t="s">
        <v>242</v>
      </c>
      <c r="C3571" s="7" t="s">
        <v>1153</v>
      </c>
      <c r="D3571" s="7" t="n">
        <v>0</v>
      </c>
      <c r="E3571" s="7" t="n">
        <v>0</v>
      </c>
      <c r="F3571" s="7" t="n">
        <v>1</v>
      </c>
      <c r="G3571" s="7" t="n">
        <v>93.99</v>
      </c>
    </row>
    <row r="3572" customFormat="false" ht="15" hidden="false" customHeight="false" outlineLevel="0" collapsed="false">
      <c r="A3572" s="7" t="s">
        <v>24</v>
      </c>
      <c r="B3572" s="7" t="s">
        <v>242</v>
      </c>
      <c r="C3572" s="7" t="s">
        <v>1153</v>
      </c>
      <c r="D3572" s="7" t="n">
        <v>0</v>
      </c>
      <c r="E3572" s="7" t="n">
        <v>0</v>
      </c>
      <c r="F3572" s="7" t="n">
        <v>1</v>
      </c>
      <c r="G3572" s="7" t="n">
        <v>93.99</v>
      </c>
    </row>
    <row r="3573" customFormat="false" ht="15" hidden="false" customHeight="false" outlineLevel="0" collapsed="false">
      <c r="A3573" s="7" t="s">
        <v>24</v>
      </c>
      <c r="B3573" s="7" t="s">
        <v>242</v>
      </c>
      <c r="C3573" s="7" t="s">
        <v>1153</v>
      </c>
      <c r="D3573" s="7" t="n">
        <v>0</v>
      </c>
      <c r="E3573" s="7" t="n">
        <v>0</v>
      </c>
      <c r="F3573" s="7" t="n">
        <v>2</v>
      </c>
      <c r="G3573" s="7" t="n">
        <v>187.96</v>
      </c>
    </row>
    <row r="3574" customFormat="false" ht="15" hidden="false" customHeight="false" outlineLevel="0" collapsed="false">
      <c r="A3574" s="7" t="s">
        <v>24</v>
      </c>
      <c r="B3574" s="7" t="s">
        <v>242</v>
      </c>
      <c r="C3574" s="7" t="s">
        <v>1153</v>
      </c>
      <c r="D3574" s="7" t="n">
        <v>0</v>
      </c>
      <c r="E3574" s="7" t="n">
        <v>0</v>
      </c>
      <c r="F3574" s="7" t="n">
        <v>1</v>
      </c>
      <c r="G3574" s="7" t="n">
        <v>93.98</v>
      </c>
    </row>
    <row r="3575" customFormat="false" ht="15" hidden="false" customHeight="false" outlineLevel="0" collapsed="false">
      <c r="A3575" s="7" t="s">
        <v>24</v>
      </c>
      <c r="B3575" s="7" t="s">
        <v>242</v>
      </c>
      <c r="C3575" s="7" t="s">
        <v>1153</v>
      </c>
      <c r="D3575" s="7" t="n">
        <v>0</v>
      </c>
      <c r="E3575" s="7" t="n">
        <v>0</v>
      </c>
      <c r="F3575" s="7" t="n">
        <v>1</v>
      </c>
      <c r="G3575" s="7" t="n">
        <v>84.59</v>
      </c>
    </row>
    <row r="3576" customFormat="false" ht="15" hidden="false" customHeight="false" outlineLevel="0" collapsed="false">
      <c r="A3576" s="7" t="s">
        <v>24</v>
      </c>
      <c r="B3576" s="7" t="s">
        <v>242</v>
      </c>
      <c r="C3576" s="7" t="s">
        <v>1153</v>
      </c>
      <c r="D3576" s="7" t="n">
        <v>0</v>
      </c>
      <c r="E3576" s="7" t="n">
        <v>0</v>
      </c>
      <c r="F3576" s="7" t="n">
        <v>1</v>
      </c>
      <c r="G3576" s="7" t="n">
        <v>93.99</v>
      </c>
    </row>
    <row r="3577" customFormat="false" ht="15" hidden="false" customHeight="false" outlineLevel="0" collapsed="false">
      <c r="A3577" s="7" t="s">
        <v>24</v>
      </c>
      <c r="B3577" s="7" t="s">
        <v>242</v>
      </c>
      <c r="C3577" s="7" t="s">
        <v>1153</v>
      </c>
      <c r="D3577" s="7" t="n">
        <v>0</v>
      </c>
      <c r="E3577" s="7" t="n">
        <v>0</v>
      </c>
      <c r="F3577" s="7" t="n">
        <v>2</v>
      </c>
      <c r="G3577" s="7" t="n">
        <v>187.98</v>
      </c>
    </row>
    <row r="3578" customFormat="false" ht="15" hidden="false" customHeight="false" outlineLevel="0" collapsed="false">
      <c r="A3578" s="7" t="s">
        <v>24</v>
      </c>
      <c r="B3578" s="7" t="s">
        <v>242</v>
      </c>
      <c r="C3578" s="7" t="s">
        <v>1153</v>
      </c>
      <c r="D3578" s="7" t="n">
        <v>0</v>
      </c>
      <c r="E3578" s="7" t="n">
        <v>0</v>
      </c>
      <c r="F3578" s="7" t="n">
        <v>2</v>
      </c>
      <c r="G3578" s="7" t="n">
        <v>187.98</v>
      </c>
    </row>
    <row r="3579" customFormat="false" ht="15" hidden="false" customHeight="false" outlineLevel="0" collapsed="false">
      <c r="A3579" s="7" t="s">
        <v>24</v>
      </c>
      <c r="B3579" s="7" t="s">
        <v>242</v>
      </c>
      <c r="C3579" s="7" t="s">
        <v>1153</v>
      </c>
      <c r="D3579" s="7" t="n">
        <v>0</v>
      </c>
      <c r="E3579" s="7" t="n">
        <v>0</v>
      </c>
      <c r="F3579" s="7" t="n">
        <v>1</v>
      </c>
      <c r="G3579" s="7" t="n">
        <v>93.98</v>
      </c>
    </row>
    <row r="3580" customFormat="false" ht="15" hidden="false" customHeight="false" outlineLevel="0" collapsed="false">
      <c r="A3580" s="7" t="s">
        <v>24</v>
      </c>
      <c r="B3580" s="7" t="s">
        <v>242</v>
      </c>
      <c r="C3580" s="7" t="s">
        <v>1153</v>
      </c>
      <c r="D3580" s="7" t="n">
        <v>0</v>
      </c>
      <c r="E3580" s="7" t="n">
        <v>0</v>
      </c>
      <c r="F3580" s="7" t="n">
        <v>1</v>
      </c>
      <c r="G3580" s="7" t="n">
        <v>93.99</v>
      </c>
    </row>
    <row r="3581" customFormat="false" ht="15" hidden="false" customHeight="false" outlineLevel="0" collapsed="false">
      <c r="A3581" s="7" t="s">
        <v>24</v>
      </c>
      <c r="B3581" s="7" t="s">
        <v>242</v>
      </c>
      <c r="C3581" s="7" t="s">
        <v>1153</v>
      </c>
      <c r="D3581" s="7" t="n">
        <v>0</v>
      </c>
      <c r="E3581" s="7" t="n">
        <v>0</v>
      </c>
      <c r="F3581" s="7" t="n">
        <v>1</v>
      </c>
      <c r="G3581" s="7" t="n">
        <v>93.99</v>
      </c>
    </row>
    <row r="3582" customFormat="false" ht="15" hidden="false" customHeight="false" outlineLevel="0" collapsed="false">
      <c r="A3582" s="7" t="s">
        <v>24</v>
      </c>
      <c r="B3582" s="7" t="s">
        <v>242</v>
      </c>
      <c r="C3582" s="7" t="s">
        <v>1153</v>
      </c>
      <c r="D3582" s="7" t="n">
        <v>0</v>
      </c>
      <c r="E3582" s="7" t="n">
        <v>0</v>
      </c>
      <c r="F3582" s="7" t="n">
        <v>1</v>
      </c>
      <c r="G3582" s="7" t="n">
        <v>93.98</v>
      </c>
    </row>
    <row r="3583" customFormat="false" ht="15" hidden="false" customHeight="false" outlineLevel="0" collapsed="false">
      <c r="A3583" s="7" t="s">
        <v>24</v>
      </c>
      <c r="B3583" s="7" t="s">
        <v>242</v>
      </c>
      <c r="C3583" s="7" t="s">
        <v>1153</v>
      </c>
      <c r="D3583" s="7" t="n">
        <v>0</v>
      </c>
      <c r="E3583" s="7" t="n">
        <v>0</v>
      </c>
      <c r="F3583" s="7" t="n">
        <v>1</v>
      </c>
      <c r="G3583" s="7" t="n">
        <v>93.99</v>
      </c>
    </row>
    <row r="3584" customFormat="false" ht="15" hidden="false" customHeight="false" outlineLevel="0" collapsed="false">
      <c r="A3584" s="7" t="s">
        <v>24</v>
      </c>
      <c r="B3584" s="7" t="s">
        <v>242</v>
      </c>
      <c r="C3584" s="7" t="s">
        <v>1153</v>
      </c>
      <c r="D3584" s="7" t="n">
        <v>0</v>
      </c>
      <c r="E3584" s="7" t="n">
        <v>0</v>
      </c>
      <c r="F3584" s="7" t="n">
        <v>3</v>
      </c>
      <c r="G3584" s="7" t="n">
        <v>281.94</v>
      </c>
    </row>
    <row r="3585" customFormat="false" ht="15" hidden="false" customHeight="false" outlineLevel="0" collapsed="false">
      <c r="A3585" s="7" t="s">
        <v>24</v>
      </c>
      <c r="B3585" s="7" t="s">
        <v>242</v>
      </c>
      <c r="C3585" s="7" t="s">
        <v>1153</v>
      </c>
      <c r="D3585" s="7" t="n">
        <v>0</v>
      </c>
      <c r="E3585" s="7" t="n">
        <v>0</v>
      </c>
      <c r="F3585" s="7" t="n">
        <v>2</v>
      </c>
      <c r="G3585" s="7" t="n">
        <v>169.17</v>
      </c>
    </row>
    <row r="3586" customFormat="false" ht="15" hidden="false" customHeight="false" outlineLevel="0" collapsed="false">
      <c r="A3586" s="7" t="s">
        <v>24</v>
      </c>
      <c r="B3586" s="7" t="s">
        <v>242</v>
      </c>
      <c r="C3586" s="7" t="s">
        <v>1153</v>
      </c>
      <c r="D3586" s="7" t="n">
        <v>0</v>
      </c>
      <c r="E3586" s="7" t="n">
        <v>0</v>
      </c>
      <c r="F3586" s="7" t="n">
        <v>1</v>
      </c>
      <c r="G3586" s="7" t="n">
        <v>93.99</v>
      </c>
    </row>
    <row r="3587" customFormat="false" ht="15" hidden="false" customHeight="false" outlineLevel="0" collapsed="false">
      <c r="A3587" s="7" t="s">
        <v>24</v>
      </c>
      <c r="B3587" s="7" t="s">
        <v>242</v>
      </c>
      <c r="C3587" s="7" t="s">
        <v>1153</v>
      </c>
      <c r="D3587" s="7" t="n">
        <v>0</v>
      </c>
      <c r="E3587" s="7" t="n">
        <v>0</v>
      </c>
      <c r="F3587" s="7" t="n">
        <v>1</v>
      </c>
      <c r="G3587" s="7" t="n">
        <v>93.98</v>
      </c>
    </row>
    <row r="3588" customFormat="false" ht="15" hidden="false" customHeight="false" outlineLevel="0" collapsed="false">
      <c r="A3588" s="7" t="s">
        <v>24</v>
      </c>
      <c r="B3588" s="7" t="s">
        <v>242</v>
      </c>
      <c r="C3588" s="7" t="s">
        <v>1153</v>
      </c>
      <c r="D3588" s="7" t="n">
        <v>0</v>
      </c>
      <c r="E3588" s="7" t="n">
        <v>0</v>
      </c>
      <c r="F3588" s="7" t="n">
        <v>1</v>
      </c>
      <c r="G3588" s="7" t="n">
        <v>93.99</v>
      </c>
    </row>
    <row r="3589" customFormat="false" ht="15" hidden="false" customHeight="false" outlineLevel="0" collapsed="false">
      <c r="A3589" s="7" t="s">
        <v>24</v>
      </c>
      <c r="B3589" s="7" t="s">
        <v>242</v>
      </c>
      <c r="C3589" s="7" t="s">
        <v>1153</v>
      </c>
      <c r="D3589" s="7" t="n">
        <v>0</v>
      </c>
      <c r="E3589" s="7" t="n">
        <v>0</v>
      </c>
      <c r="F3589" s="7" t="n">
        <v>1</v>
      </c>
      <c r="G3589" s="7" t="n">
        <v>93.99</v>
      </c>
    </row>
    <row r="3590" customFormat="false" ht="15" hidden="false" customHeight="false" outlineLevel="0" collapsed="false">
      <c r="A3590" s="7" t="s">
        <v>24</v>
      </c>
      <c r="B3590" s="7" t="s">
        <v>242</v>
      </c>
      <c r="C3590" s="7" t="s">
        <v>1153</v>
      </c>
      <c r="D3590" s="7" t="n">
        <v>0</v>
      </c>
      <c r="E3590" s="7" t="n">
        <v>0</v>
      </c>
      <c r="F3590" s="7" t="n">
        <v>1</v>
      </c>
      <c r="G3590" s="7" t="n">
        <v>93.99</v>
      </c>
    </row>
    <row r="3591" customFormat="false" ht="15" hidden="false" customHeight="false" outlineLevel="0" collapsed="false">
      <c r="A3591" s="7" t="s">
        <v>24</v>
      </c>
      <c r="B3591" s="7" t="s">
        <v>242</v>
      </c>
      <c r="C3591" s="7" t="s">
        <v>1153</v>
      </c>
      <c r="D3591" s="7" t="n">
        <v>0</v>
      </c>
      <c r="E3591" s="7" t="n">
        <v>0</v>
      </c>
      <c r="F3591" s="7" t="n">
        <v>1</v>
      </c>
      <c r="G3591" s="7" t="n">
        <v>93.98</v>
      </c>
    </row>
    <row r="3592" customFormat="false" ht="15" hidden="false" customHeight="false" outlineLevel="0" collapsed="false">
      <c r="A3592" s="7" t="s">
        <v>24</v>
      </c>
      <c r="B3592" s="7" t="s">
        <v>129</v>
      </c>
      <c r="C3592" s="7" t="s">
        <v>1154</v>
      </c>
      <c r="D3592" s="7" t="n">
        <v>0</v>
      </c>
      <c r="E3592" s="7" t="n">
        <v>0</v>
      </c>
      <c r="F3592" s="7" t="n">
        <v>1</v>
      </c>
      <c r="G3592" s="7" t="n">
        <v>171.1</v>
      </c>
    </row>
    <row r="3593" customFormat="false" ht="15" hidden="false" customHeight="false" outlineLevel="0" collapsed="false">
      <c r="A3593" s="7" t="s">
        <v>24</v>
      </c>
      <c r="B3593" s="7" t="s">
        <v>129</v>
      </c>
      <c r="C3593" s="7" t="s">
        <v>1154</v>
      </c>
      <c r="D3593" s="7" t="n">
        <v>0</v>
      </c>
      <c r="E3593" s="7" t="n">
        <v>0</v>
      </c>
      <c r="F3593" s="7" t="n">
        <v>1</v>
      </c>
      <c r="G3593" s="7" t="n">
        <v>171.1</v>
      </c>
    </row>
    <row r="3594" customFormat="false" ht="15" hidden="false" customHeight="false" outlineLevel="0" collapsed="false">
      <c r="A3594" s="7" t="s">
        <v>24</v>
      </c>
      <c r="B3594" s="7" t="s">
        <v>129</v>
      </c>
      <c r="C3594" s="7" t="s">
        <v>1154</v>
      </c>
      <c r="D3594" s="7" t="n">
        <v>0</v>
      </c>
      <c r="E3594" s="7" t="n">
        <v>0</v>
      </c>
      <c r="F3594" s="7" t="n">
        <v>1</v>
      </c>
      <c r="G3594" s="7" t="n">
        <v>171.1</v>
      </c>
    </row>
    <row r="3595" customFormat="false" ht="15" hidden="false" customHeight="false" outlineLevel="0" collapsed="false">
      <c r="A3595" s="7" t="s">
        <v>24</v>
      </c>
      <c r="B3595" s="7" t="s">
        <v>129</v>
      </c>
      <c r="C3595" s="7" t="s">
        <v>1154</v>
      </c>
      <c r="D3595" s="7" t="n">
        <v>0</v>
      </c>
      <c r="E3595" s="7" t="n">
        <v>0</v>
      </c>
      <c r="F3595" s="7" t="n">
        <v>1</v>
      </c>
      <c r="G3595" s="7" t="n">
        <v>154</v>
      </c>
    </row>
    <row r="3596" customFormat="false" ht="15" hidden="false" customHeight="false" outlineLevel="0" collapsed="false">
      <c r="A3596" s="7" t="s">
        <v>24</v>
      </c>
      <c r="B3596" s="7" t="s">
        <v>129</v>
      </c>
      <c r="C3596" s="7" t="s">
        <v>1154</v>
      </c>
      <c r="D3596" s="7" t="n">
        <v>0</v>
      </c>
      <c r="E3596" s="7" t="n">
        <v>0</v>
      </c>
      <c r="F3596" s="7" t="n">
        <v>1</v>
      </c>
      <c r="G3596" s="7" t="n">
        <v>171.11</v>
      </c>
    </row>
    <row r="3597" customFormat="false" ht="15" hidden="false" customHeight="false" outlineLevel="0" collapsed="false">
      <c r="A3597" s="7" t="s">
        <v>24</v>
      </c>
      <c r="B3597" s="7" t="s">
        <v>129</v>
      </c>
      <c r="C3597" s="7" t="s">
        <v>1154</v>
      </c>
      <c r="D3597" s="7" t="n">
        <v>0</v>
      </c>
      <c r="E3597" s="7" t="n">
        <v>0</v>
      </c>
      <c r="F3597" s="7" t="n">
        <v>1</v>
      </c>
      <c r="G3597" s="7" t="n">
        <v>171.11</v>
      </c>
    </row>
    <row r="3598" customFormat="false" ht="15" hidden="false" customHeight="false" outlineLevel="0" collapsed="false">
      <c r="A3598" s="7" t="s">
        <v>24</v>
      </c>
      <c r="B3598" s="7" t="s">
        <v>129</v>
      </c>
      <c r="C3598" s="7" t="s">
        <v>1154</v>
      </c>
      <c r="D3598" s="7" t="n">
        <v>0</v>
      </c>
      <c r="E3598" s="7" t="n">
        <v>0</v>
      </c>
      <c r="F3598" s="7" t="n">
        <v>1</v>
      </c>
      <c r="G3598" s="7" t="n">
        <v>171.1</v>
      </c>
    </row>
    <row r="3599" customFormat="false" ht="15" hidden="false" customHeight="false" outlineLevel="0" collapsed="false">
      <c r="A3599" s="7" t="s">
        <v>24</v>
      </c>
      <c r="B3599" s="7" t="s">
        <v>129</v>
      </c>
      <c r="C3599" s="7" t="s">
        <v>1154</v>
      </c>
      <c r="D3599" s="7" t="n">
        <v>0</v>
      </c>
      <c r="E3599" s="7" t="n">
        <v>0</v>
      </c>
      <c r="F3599" s="7" t="n">
        <v>2</v>
      </c>
      <c r="G3599" s="7" t="n">
        <v>307.98</v>
      </c>
    </row>
    <row r="3600" customFormat="false" ht="15" hidden="false" customHeight="false" outlineLevel="0" collapsed="false">
      <c r="A3600" s="7" t="s">
        <v>24</v>
      </c>
      <c r="B3600" s="7" t="s">
        <v>129</v>
      </c>
      <c r="C3600" s="7" t="s">
        <v>1154</v>
      </c>
      <c r="D3600" s="7" t="n">
        <v>0</v>
      </c>
      <c r="E3600" s="7" t="n">
        <v>0</v>
      </c>
      <c r="F3600" s="7" t="n">
        <v>1</v>
      </c>
      <c r="G3600" s="7" t="n">
        <v>154</v>
      </c>
    </row>
    <row r="3601" customFormat="false" ht="15" hidden="false" customHeight="false" outlineLevel="0" collapsed="false">
      <c r="A3601" s="7" t="s">
        <v>24</v>
      </c>
      <c r="B3601" s="7" t="s">
        <v>129</v>
      </c>
      <c r="C3601" s="7" t="s">
        <v>1154</v>
      </c>
      <c r="D3601" s="7" t="n">
        <v>18</v>
      </c>
      <c r="E3601" s="7" t="n">
        <v>2925.79</v>
      </c>
      <c r="F3601" s="7" t="n">
        <v>21</v>
      </c>
      <c r="G3601" s="7" t="n">
        <v>3439.11</v>
      </c>
    </row>
    <row r="3602" customFormat="false" ht="15" hidden="false" customHeight="false" outlineLevel="0" collapsed="false">
      <c r="A3602" s="7" t="s">
        <v>24</v>
      </c>
      <c r="B3602" s="7" t="s">
        <v>129</v>
      </c>
      <c r="C3602" s="7" t="s">
        <v>1154</v>
      </c>
      <c r="D3602" s="7" t="n">
        <v>0</v>
      </c>
      <c r="E3602" s="7" t="n">
        <v>0</v>
      </c>
      <c r="F3602" s="7" t="n">
        <v>2</v>
      </c>
      <c r="G3602" s="7" t="n">
        <v>342.2</v>
      </c>
    </row>
    <row r="3603" customFormat="false" ht="15" hidden="false" customHeight="false" outlineLevel="0" collapsed="false">
      <c r="A3603" s="7" t="s">
        <v>24</v>
      </c>
      <c r="B3603" s="7" t="s">
        <v>129</v>
      </c>
      <c r="C3603" s="7" t="s">
        <v>1154</v>
      </c>
      <c r="D3603" s="7" t="n">
        <v>0</v>
      </c>
      <c r="E3603" s="7" t="n">
        <v>0</v>
      </c>
      <c r="F3603" s="7" t="n">
        <v>1</v>
      </c>
      <c r="G3603" s="7" t="n">
        <v>153.99</v>
      </c>
    </row>
    <row r="3604" customFormat="false" ht="15" hidden="false" customHeight="false" outlineLevel="0" collapsed="false">
      <c r="A3604" s="7" t="s">
        <v>24</v>
      </c>
      <c r="B3604" s="7" t="s">
        <v>129</v>
      </c>
      <c r="C3604" s="7" t="s">
        <v>1154</v>
      </c>
      <c r="D3604" s="7" t="n">
        <v>0</v>
      </c>
      <c r="E3604" s="7" t="n">
        <v>0</v>
      </c>
      <c r="F3604" s="7" t="n">
        <v>1</v>
      </c>
      <c r="G3604" s="7" t="n">
        <v>153.99</v>
      </c>
    </row>
    <row r="3605" customFormat="false" ht="15" hidden="false" customHeight="false" outlineLevel="0" collapsed="false">
      <c r="A3605" s="7" t="s">
        <v>24</v>
      </c>
      <c r="B3605" s="7" t="s">
        <v>129</v>
      </c>
      <c r="C3605" s="7" t="s">
        <v>1154</v>
      </c>
      <c r="D3605" s="7" t="n">
        <v>0</v>
      </c>
      <c r="E3605" s="7" t="n">
        <v>0</v>
      </c>
      <c r="F3605" s="7" t="n">
        <v>1</v>
      </c>
      <c r="G3605" s="7" t="n">
        <v>154</v>
      </c>
    </row>
    <row r="3606" customFormat="false" ht="15" hidden="false" customHeight="false" outlineLevel="0" collapsed="false">
      <c r="A3606" s="7" t="s">
        <v>24</v>
      </c>
      <c r="B3606" s="7" t="s">
        <v>129</v>
      </c>
      <c r="C3606" s="7" t="s">
        <v>1154</v>
      </c>
      <c r="D3606" s="7" t="n">
        <v>0</v>
      </c>
      <c r="E3606" s="7" t="n">
        <v>0</v>
      </c>
      <c r="F3606" s="7" t="n">
        <v>1</v>
      </c>
      <c r="G3606" s="7" t="n">
        <v>153.99</v>
      </c>
    </row>
    <row r="3607" customFormat="false" ht="15" hidden="false" customHeight="false" outlineLevel="0" collapsed="false">
      <c r="A3607" s="7" t="s">
        <v>24</v>
      </c>
      <c r="B3607" s="7" t="s">
        <v>129</v>
      </c>
      <c r="C3607" s="7" t="s">
        <v>1154</v>
      </c>
      <c r="D3607" s="7" t="n">
        <v>0</v>
      </c>
      <c r="E3607" s="7" t="n">
        <v>0</v>
      </c>
      <c r="F3607" s="7" t="n">
        <v>1</v>
      </c>
      <c r="G3607" s="7" t="n">
        <v>171.1</v>
      </c>
    </row>
    <row r="3608" customFormat="false" ht="15" hidden="false" customHeight="false" outlineLevel="0" collapsed="false">
      <c r="A3608" s="7" t="s">
        <v>24</v>
      </c>
      <c r="B3608" s="7" t="s">
        <v>129</v>
      </c>
      <c r="C3608" s="7" t="s">
        <v>1154</v>
      </c>
      <c r="D3608" s="7" t="n">
        <v>0</v>
      </c>
      <c r="E3608" s="7" t="n">
        <v>0</v>
      </c>
      <c r="F3608" s="7" t="n">
        <v>1</v>
      </c>
      <c r="G3608" s="7" t="n">
        <v>171.11</v>
      </c>
    </row>
    <row r="3609" customFormat="false" ht="15" hidden="false" customHeight="false" outlineLevel="0" collapsed="false">
      <c r="A3609" s="7" t="s">
        <v>24</v>
      </c>
      <c r="B3609" s="7" t="s">
        <v>129</v>
      </c>
      <c r="C3609" s="7" t="s">
        <v>1154</v>
      </c>
      <c r="D3609" s="7" t="n">
        <v>0</v>
      </c>
      <c r="E3609" s="7" t="n">
        <v>0</v>
      </c>
      <c r="F3609" s="7" t="n">
        <v>1</v>
      </c>
      <c r="G3609" s="7" t="n">
        <v>153.99</v>
      </c>
    </row>
    <row r="3610" customFormat="false" ht="15" hidden="false" customHeight="false" outlineLevel="0" collapsed="false">
      <c r="A3610" s="7" t="s">
        <v>24</v>
      </c>
      <c r="B3610" s="7" t="s">
        <v>129</v>
      </c>
      <c r="C3610" s="7" t="s">
        <v>1154</v>
      </c>
      <c r="D3610" s="7" t="n">
        <v>0</v>
      </c>
      <c r="E3610" s="7" t="n">
        <v>0</v>
      </c>
      <c r="F3610" s="7" t="n">
        <v>1</v>
      </c>
      <c r="G3610" s="7" t="n">
        <v>171.1</v>
      </c>
    </row>
    <row r="3611" customFormat="false" ht="15" hidden="false" customHeight="false" outlineLevel="0" collapsed="false">
      <c r="A3611" s="7" t="s">
        <v>24</v>
      </c>
      <c r="B3611" s="7" t="s">
        <v>129</v>
      </c>
      <c r="C3611" s="7" t="s">
        <v>1154</v>
      </c>
      <c r="D3611" s="7" t="n">
        <v>0</v>
      </c>
      <c r="E3611" s="7" t="n">
        <v>0</v>
      </c>
      <c r="F3611" s="7" t="n">
        <v>1</v>
      </c>
      <c r="G3611" s="7" t="n">
        <v>171.11</v>
      </c>
    </row>
    <row r="3612" customFormat="false" ht="15" hidden="false" customHeight="false" outlineLevel="0" collapsed="false">
      <c r="A3612" s="7" t="s">
        <v>24</v>
      </c>
      <c r="B3612" s="7" t="s">
        <v>129</v>
      </c>
      <c r="C3612" s="7" t="s">
        <v>1154</v>
      </c>
      <c r="D3612" s="7" t="n">
        <v>0</v>
      </c>
      <c r="E3612" s="7" t="n">
        <v>0</v>
      </c>
      <c r="F3612" s="7" t="n">
        <v>1</v>
      </c>
      <c r="G3612" s="7" t="n">
        <v>153.99</v>
      </c>
    </row>
    <row r="3613" customFormat="false" ht="15" hidden="false" customHeight="false" outlineLevel="0" collapsed="false">
      <c r="A3613" s="7" t="s">
        <v>24</v>
      </c>
      <c r="B3613" s="7" t="s">
        <v>129</v>
      </c>
      <c r="C3613" s="7" t="s">
        <v>1154</v>
      </c>
      <c r="D3613" s="7" t="n">
        <v>0</v>
      </c>
      <c r="E3613" s="7" t="n">
        <v>0</v>
      </c>
      <c r="F3613" s="7" t="n">
        <v>2</v>
      </c>
      <c r="G3613" s="7" t="n">
        <v>342.2</v>
      </c>
    </row>
    <row r="3614" customFormat="false" ht="15" hidden="false" customHeight="false" outlineLevel="0" collapsed="false">
      <c r="A3614" s="7" t="s">
        <v>24</v>
      </c>
      <c r="B3614" s="7" t="s">
        <v>129</v>
      </c>
      <c r="C3614" s="7" t="s">
        <v>1154</v>
      </c>
      <c r="D3614" s="7" t="n">
        <v>0</v>
      </c>
      <c r="E3614" s="7" t="n">
        <v>0</v>
      </c>
      <c r="F3614" s="7" t="n">
        <v>3</v>
      </c>
      <c r="G3614" s="7" t="n">
        <v>479.08</v>
      </c>
    </row>
    <row r="3615" customFormat="false" ht="15" hidden="false" customHeight="false" outlineLevel="0" collapsed="false">
      <c r="A3615" s="7" t="s">
        <v>24</v>
      </c>
      <c r="B3615" s="7" t="s">
        <v>129</v>
      </c>
      <c r="C3615" s="7" t="s">
        <v>1154</v>
      </c>
      <c r="D3615" s="7" t="n">
        <v>0</v>
      </c>
      <c r="E3615" s="7" t="n">
        <v>0</v>
      </c>
      <c r="F3615" s="7" t="n">
        <v>1</v>
      </c>
      <c r="G3615" s="7" t="n">
        <v>171.11</v>
      </c>
    </row>
    <row r="3616" customFormat="false" ht="15" hidden="false" customHeight="false" outlineLevel="0" collapsed="false">
      <c r="A3616" s="7" t="s">
        <v>24</v>
      </c>
      <c r="B3616" s="7" t="s">
        <v>339</v>
      </c>
      <c r="C3616" s="7" t="s">
        <v>1155</v>
      </c>
      <c r="D3616" s="7" t="n">
        <v>5</v>
      </c>
      <c r="E3616" s="7" t="n">
        <v>1109.34</v>
      </c>
      <c r="F3616" s="7" t="n">
        <v>1</v>
      </c>
      <c r="G3616" s="7" t="n">
        <v>205.85</v>
      </c>
    </row>
    <row r="3617" customFormat="false" ht="15" hidden="false" customHeight="false" outlineLevel="0" collapsed="false">
      <c r="A3617" s="7" t="s">
        <v>24</v>
      </c>
      <c r="B3617" s="7" t="s">
        <v>339</v>
      </c>
      <c r="C3617" s="7" t="s">
        <v>1155</v>
      </c>
      <c r="D3617" s="7" t="n">
        <v>0</v>
      </c>
      <c r="E3617" s="7" t="n">
        <v>0</v>
      </c>
      <c r="F3617" s="7" t="n">
        <v>1</v>
      </c>
      <c r="G3617" s="7" t="n">
        <v>205.86</v>
      </c>
    </row>
    <row r="3618" customFormat="false" ht="15" hidden="false" customHeight="false" outlineLevel="0" collapsed="false">
      <c r="A3618" s="7" t="s">
        <v>24</v>
      </c>
      <c r="B3618" s="7" t="s">
        <v>780</v>
      </c>
      <c r="C3618" s="7" t="s">
        <v>1155</v>
      </c>
      <c r="D3618" s="7" t="n">
        <v>4</v>
      </c>
      <c r="E3618" s="7" t="n">
        <v>846.3</v>
      </c>
      <c r="F3618" s="7" t="n">
        <v>2</v>
      </c>
      <c r="G3618" s="7" t="n">
        <v>434.59</v>
      </c>
    </row>
    <row r="3619" customFormat="false" ht="15" hidden="false" customHeight="false" outlineLevel="0" collapsed="false">
      <c r="A3619" s="7" t="s">
        <v>24</v>
      </c>
      <c r="B3619" s="7" t="s">
        <v>780</v>
      </c>
      <c r="C3619" s="7" t="s">
        <v>1155</v>
      </c>
      <c r="D3619" s="7" t="n">
        <v>0</v>
      </c>
      <c r="E3619" s="7" t="n">
        <v>0</v>
      </c>
      <c r="F3619" s="7" t="n">
        <v>1</v>
      </c>
      <c r="G3619" s="7" t="n">
        <v>205.85</v>
      </c>
    </row>
    <row r="3620" customFormat="false" ht="15" hidden="false" customHeight="false" outlineLevel="0" collapsed="false">
      <c r="A3620" s="7" t="s">
        <v>24</v>
      </c>
      <c r="B3620" s="7" t="s">
        <v>780</v>
      </c>
      <c r="C3620" s="7" t="s">
        <v>1155</v>
      </c>
      <c r="D3620" s="7" t="n">
        <v>0</v>
      </c>
      <c r="E3620" s="7" t="n">
        <v>0</v>
      </c>
      <c r="F3620" s="7" t="n">
        <v>1</v>
      </c>
      <c r="G3620" s="7" t="n">
        <v>228.73</v>
      </c>
    </row>
    <row r="3621" customFormat="false" ht="15" hidden="false" customHeight="false" outlineLevel="0" collapsed="false">
      <c r="A3621" s="7" t="s">
        <v>24</v>
      </c>
      <c r="B3621" s="7" t="s">
        <v>593</v>
      </c>
      <c r="C3621" s="7" t="s">
        <v>1155</v>
      </c>
      <c r="D3621" s="7" t="n">
        <v>0</v>
      </c>
      <c r="E3621" s="7" t="n">
        <v>0</v>
      </c>
      <c r="F3621" s="7" t="n">
        <v>1</v>
      </c>
      <c r="G3621" s="7" t="n">
        <v>205.86</v>
      </c>
    </row>
    <row r="3622" customFormat="false" ht="15" hidden="false" customHeight="false" outlineLevel="0" collapsed="false">
      <c r="A3622" s="7" t="s">
        <v>24</v>
      </c>
      <c r="B3622" s="7" t="s">
        <v>276</v>
      </c>
      <c r="C3622" s="7" t="s">
        <v>1155</v>
      </c>
      <c r="D3622" s="7" t="n">
        <v>5</v>
      </c>
      <c r="E3622" s="7" t="n">
        <v>1052.16</v>
      </c>
      <c r="F3622" s="7" t="n">
        <v>0</v>
      </c>
      <c r="G3622" s="7" t="n">
        <v>0</v>
      </c>
    </row>
    <row r="3623" customFormat="false" ht="15" hidden="false" customHeight="false" outlineLevel="0" collapsed="false">
      <c r="A3623" s="7" t="s">
        <v>24</v>
      </c>
      <c r="B3623" s="7" t="s">
        <v>592</v>
      </c>
      <c r="C3623" s="7" t="s">
        <v>1155</v>
      </c>
      <c r="D3623" s="7" t="n">
        <v>0</v>
      </c>
      <c r="E3623" s="7" t="n">
        <v>0</v>
      </c>
      <c r="F3623" s="7" t="n">
        <v>1</v>
      </c>
      <c r="G3623" s="7" t="n">
        <v>205.86</v>
      </c>
    </row>
    <row r="3624" customFormat="false" ht="15" hidden="false" customHeight="false" outlineLevel="0" collapsed="false">
      <c r="A3624" s="7" t="s">
        <v>24</v>
      </c>
      <c r="B3624" s="7" t="s">
        <v>288</v>
      </c>
      <c r="C3624" s="7" t="s">
        <v>1155</v>
      </c>
      <c r="D3624" s="7" t="n">
        <v>2</v>
      </c>
      <c r="E3624" s="7" t="n">
        <v>367.2</v>
      </c>
      <c r="F3624" s="7" t="n">
        <v>0</v>
      </c>
      <c r="G3624" s="7" t="n">
        <v>0</v>
      </c>
    </row>
    <row r="3625" customFormat="false" ht="15" hidden="false" customHeight="false" outlineLevel="0" collapsed="false">
      <c r="A3625" s="7" t="s">
        <v>24</v>
      </c>
      <c r="B3625" s="7" t="s">
        <v>288</v>
      </c>
      <c r="C3625" s="7" t="s">
        <v>1155</v>
      </c>
      <c r="D3625" s="7" t="n">
        <v>3</v>
      </c>
      <c r="E3625" s="7" t="n">
        <v>594.7</v>
      </c>
      <c r="F3625" s="7" t="n">
        <v>0</v>
      </c>
      <c r="G3625" s="7" t="n">
        <v>0</v>
      </c>
    </row>
    <row r="3626" customFormat="false" ht="15" hidden="false" customHeight="false" outlineLevel="0" collapsed="false">
      <c r="A3626" s="7" t="s">
        <v>24</v>
      </c>
      <c r="B3626" s="7" t="s">
        <v>310</v>
      </c>
      <c r="C3626" s="7" t="s">
        <v>1242</v>
      </c>
      <c r="D3626" s="7" t="n">
        <v>0</v>
      </c>
      <c r="E3626" s="7" t="n">
        <v>0</v>
      </c>
      <c r="F3626" s="7" t="n">
        <v>1</v>
      </c>
      <c r="G3626" s="7" t="n">
        <v>221.11</v>
      </c>
    </row>
    <row r="3627" customFormat="false" ht="15" hidden="false" customHeight="false" outlineLevel="0" collapsed="false">
      <c r="A3627" s="7" t="s">
        <v>24</v>
      </c>
      <c r="B3627" s="7" t="s">
        <v>310</v>
      </c>
      <c r="C3627" s="7" t="s">
        <v>1242</v>
      </c>
      <c r="D3627" s="7" t="n">
        <v>0</v>
      </c>
      <c r="E3627" s="7" t="n">
        <v>0</v>
      </c>
      <c r="F3627" s="7" t="n">
        <v>2</v>
      </c>
      <c r="G3627" s="7" t="n">
        <v>417.66</v>
      </c>
    </row>
    <row r="3628" customFormat="false" ht="15" hidden="false" customHeight="false" outlineLevel="0" collapsed="false">
      <c r="A3628" s="7" t="s">
        <v>24</v>
      </c>
      <c r="B3628" s="7" t="s">
        <v>310</v>
      </c>
      <c r="C3628" s="7" t="s">
        <v>1242</v>
      </c>
      <c r="D3628" s="7" t="n">
        <v>1</v>
      </c>
      <c r="E3628" s="7" t="n">
        <v>245.68</v>
      </c>
      <c r="F3628" s="7" t="n">
        <v>1</v>
      </c>
      <c r="G3628" s="7" t="n">
        <v>245.68</v>
      </c>
    </row>
    <row r="3629" customFormat="false" ht="15" hidden="false" customHeight="false" outlineLevel="0" collapsed="false">
      <c r="A3629" s="7" t="s">
        <v>24</v>
      </c>
      <c r="B3629" s="7" t="s">
        <v>310</v>
      </c>
      <c r="C3629" s="7" t="s">
        <v>1242</v>
      </c>
      <c r="D3629" s="7" t="n">
        <v>0</v>
      </c>
      <c r="E3629" s="7" t="n">
        <v>0</v>
      </c>
      <c r="F3629" s="7" t="n">
        <v>1</v>
      </c>
      <c r="G3629" s="7" t="n">
        <v>208.83</v>
      </c>
    </row>
    <row r="3630" customFormat="false" ht="15" hidden="false" customHeight="false" outlineLevel="0" collapsed="false">
      <c r="A3630" s="7" t="s">
        <v>24</v>
      </c>
      <c r="B3630" s="7" t="s">
        <v>417</v>
      </c>
      <c r="C3630" s="7" t="s">
        <v>1242</v>
      </c>
      <c r="D3630" s="7" t="n">
        <v>0</v>
      </c>
      <c r="E3630" s="7" t="n">
        <v>0</v>
      </c>
      <c r="F3630" s="7" t="n">
        <v>1</v>
      </c>
      <c r="G3630" s="7" t="n">
        <v>245.68</v>
      </c>
    </row>
    <row r="3631" customFormat="false" ht="15" hidden="false" customHeight="false" outlineLevel="0" collapsed="false">
      <c r="A3631" s="7" t="s">
        <v>24</v>
      </c>
      <c r="B3631" s="7" t="s">
        <v>417</v>
      </c>
      <c r="C3631" s="7" t="s">
        <v>1242</v>
      </c>
      <c r="D3631" s="7" t="n">
        <v>0</v>
      </c>
      <c r="E3631" s="7" t="n">
        <v>0</v>
      </c>
      <c r="F3631" s="7" t="n">
        <v>1</v>
      </c>
      <c r="G3631" s="7" t="n">
        <v>245.68</v>
      </c>
    </row>
    <row r="3632" customFormat="false" ht="15" hidden="false" customHeight="false" outlineLevel="0" collapsed="false">
      <c r="A3632" s="7" t="s">
        <v>24</v>
      </c>
      <c r="B3632" s="7" t="s">
        <v>562</v>
      </c>
      <c r="C3632" s="7" t="s">
        <v>1242</v>
      </c>
      <c r="D3632" s="7" t="n">
        <v>1</v>
      </c>
      <c r="E3632" s="7" t="n">
        <v>245.68</v>
      </c>
      <c r="F3632" s="7" t="n">
        <v>0</v>
      </c>
      <c r="G3632" s="7" t="n">
        <v>0</v>
      </c>
    </row>
    <row r="3633" customFormat="false" ht="15" hidden="false" customHeight="false" outlineLevel="0" collapsed="false">
      <c r="A3633" s="7" t="s">
        <v>24</v>
      </c>
      <c r="B3633" s="7" t="s">
        <v>561</v>
      </c>
      <c r="C3633" s="7" t="s">
        <v>1242</v>
      </c>
      <c r="D3633" s="7" t="n">
        <v>1</v>
      </c>
      <c r="E3633" s="7" t="n">
        <v>245.68</v>
      </c>
      <c r="F3633" s="7" t="n">
        <v>2</v>
      </c>
      <c r="G3633" s="7" t="n">
        <v>491.36</v>
      </c>
    </row>
    <row r="3634" customFormat="false" ht="15" hidden="false" customHeight="false" outlineLevel="0" collapsed="false">
      <c r="A3634" s="7" t="s">
        <v>24</v>
      </c>
      <c r="B3634" s="7" t="s">
        <v>546</v>
      </c>
      <c r="C3634" s="7" t="s">
        <v>1106</v>
      </c>
      <c r="D3634" s="7" t="n">
        <v>1</v>
      </c>
      <c r="E3634" s="7" t="n">
        <v>269.33</v>
      </c>
      <c r="F3634" s="7" t="n">
        <v>0</v>
      </c>
      <c r="G3634" s="7" t="n">
        <v>0</v>
      </c>
    </row>
    <row r="3635" customFormat="false" ht="15" hidden="false" customHeight="false" outlineLevel="0" collapsed="false">
      <c r="A3635" s="7" t="s">
        <v>24</v>
      </c>
      <c r="B3635" s="7" t="s">
        <v>612</v>
      </c>
      <c r="C3635" s="7" t="s">
        <v>1158</v>
      </c>
      <c r="D3635" s="7" t="n">
        <v>0</v>
      </c>
      <c r="E3635" s="7" t="n">
        <v>0</v>
      </c>
      <c r="F3635" s="7" t="n">
        <v>1</v>
      </c>
      <c r="G3635" s="7" t="n">
        <v>190.6</v>
      </c>
    </row>
    <row r="3636" customFormat="false" ht="15" hidden="false" customHeight="false" outlineLevel="0" collapsed="false">
      <c r="A3636" s="7" t="s">
        <v>24</v>
      </c>
      <c r="B3636" s="7" t="s">
        <v>586</v>
      </c>
      <c r="C3636" s="7" t="s">
        <v>1158</v>
      </c>
      <c r="D3636" s="7" t="n">
        <v>0</v>
      </c>
      <c r="E3636" s="7" t="n">
        <v>0</v>
      </c>
      <c r="F3636" s="7" t="n">
        <v>1</v>
      </c>
      <c r="G3636" s="7" t="n">
        <v>211.78</v>
      </c>
    </row>
    <row r="3637" customFormat="false" ht="15" hidden="false" customHeight="false" outlineLevel="0" collapsed="false">
      <c r="A3637" s="7" t="s">
        <v>24</v>
      </c>
      <c r="B3637" s="7" t="s">
        <v>243</v>
      </c>
      <c r="C3637" s="7" t="s">
        <v>1243</v>
      </c>
      <c r="D3637" s="7" t="n">
        <v>0</v>
      </c>
      <c r="E3637" s="7" t="n">
        <v>0</v>
      </c>
      <c r="F3637" s="7" t="n">
        <v>1</v>
      </c>
      <c r="G3637" s="7" t="n">
        <v>211.78</v>
      </c>
    </row>
    <row r="3638" customFormat="false" ht="15" hidden="false" customHeight="false" outlineLevel="0" collapsed="false">
      <c r="A3638" s="7" t="s">
        <v>24</v>
      </c>
      <c r="B3638" s="7" t="s">
        <v>243</v>
      </c>
      <c r="C3638" s="7" t="s">
        <v>1243</v>
      </c>
      <c r="D3638" s="7" t="n">
        <v>9</v>
      </c>
      <c r="E3638" s="7" t="n">
        <v>2960.06</v>
      </c>
      <c r="F3638" s="7" t="n">
        <v>2</v>
      </c>
      <c r="G3638" s="7" t="n">
        <v>579.48</v>
      </c>
    </row>
    <row r="3639" customFormat="false" ht="15" hidden="false" customHeight="false" outlineLevel="0" collapsed="false">
      <c r="A3639" s="7" t="s">
        <v>24</v>
      </c>
      <c r="B3639" s="7" t="s">
        <v>243</v>
      </c>
      <c r="C3639" s="7" t="s">
        <v>1243</v>
      </c>
      <c r="D3639" s="7" t="n">
        <v>0</v>
      </c>
      <c r="E3639" s="7" t="n">
        <v>0</v>
      </c>
      <c r="F3639" s="7" t="n">
        <v>1</v>
      </c>
      <c r="G3639" s="7" t="n">
        <v>211.78</v>
      </c>
    </row>
    <row r="3640" customFormat="false" ht="15" hidden="false" customHeight="false" outlineLevel="0" collapsed="false">
      <c r="A3640" s="7" t="s">
        <v>24</v>
      </c>
      <c r="B3640" s="7" t="s">
        <v>243</v>
      </c>
      <c r="C3640" s="7" t="s">
        <v>1243</v>
      </c>
      <c r="D3640" s="7" t="n">
        <v>0</v>
      </c>
      <c r="E3640" s="7" t="n">
        <v>0</v>
      </c>
      <c r="F3640" s="7" t="n">
        <v>2</v>
      </c>
      <c r="G3640" s="7" t="n">
        <v>423.56</v>
      </c>
    </row>
    <row r="3641" customFormat="false" ht="15" hidden="false" customHeight="false" outlineLevel="0" collapsed="false">
      <c r="A3641" s="7" t="s">
        <v>24</v>
      </c>
      <c r="B3641" s="7" t="s">
        <v>243</v>
      </c>
      <c r="C3641" s="7" t="s">
        <v>1243</v>
      </c>
      <c r="D3641" s="7" t="n">
        <v>0</v>
      </c>
      <c r="E3641" s="7" t="n">
        <v>0</v>
      </c>
      <c r="F3641" s="7" t="n">
        <v>1</v>
      </c>
      <c r="G3641" s="7" t="n">
        <v>211.78</v>
      </c>
    </row>
    <row r="3642" customFormat="false" ht="15" hidden="false" customHeight="false" outlineLevel="0" collapsed="false">
      <c r="A3642" s="7" t="s">
        <v>24</v>
      </c>
      <c r="B3642" s="7" t="s">
        <v>431</v>
      </c>
      <c r="C3642" s="7" t="s">
        <v>1243</v>
      </c>
      <c r="D3642" s="7" t="n">
        <v>3</v>
      </c>
      <c r="E3642" s="7" t="n">
        <v>992.81</v>
      </c>
      <c r="F3642" s="7" t="n">
        <v>0</v>
      </c>
      <c r="G3642" s="7" t="n">
        <v>0</v>
      </c>
    </row>
    <row r="3643" customFormat="false" ht="15" hidden="false" customHeight="false" outlineLevel="0" collapsed="false">
      <c r="A3643" s="7" t="s">
        <v>24</v>
      </c>
      <c r="B3643" s="7" t="s">
        <v>431</v>
      </c>
      <c r="C3643" s="7" t="s">
        <v>1243</v>
      </c>
      <c r="D3643" s="7" t="n">
        <v>0</v>
      </c>
      <c r="E3643" s="7" t="n">
        <v>0</v>
      </c>
      <c r="F3643" s="7" t="n">
        <v>1</v>
      </c>
      <c r="G3643" s="7" t="n">
        <v>211.78</v>
      </c>
    </row>
    <row r="3644" customFormat="false" ht="15" hidden="false" customHeight="false" outlineLevel="0" collapsed="false">
      <c r="A3644" s="7" t="s">
        <v>24</v>
      </c>
      <c r="B3644" s="7" t="s">
        <v>431</v>
      </c>
      <c r="C3644" s="7" t="s">
        <v>1243</v>
      </c>
      <c r="D3644" s="7" t="n">
        <v>0</v>
      </c>
      <c r="E3644" s="7" t="n">
        <v>0</v>
      </c>
      <c r="F3644" s="7" t="n">
        <v>1</v>
      </c>
      <c r="G3644" s="7" t="n">
        <v>211.78</v>
      </c>
    </row>
    <row r="3645" customFormat="false" ht="15" hidden="false" customHeight="false" outlineLevel="0" collapsed="false">
      <c r="A3645" s="7" t="s">
        <v>24</v>
      </c>
      <c r="B3645" s="7" t="s">
        <v>431</v>
      </c>
      <c r="C3645" s="7" t="s">
        <v>1243</v>
      </c>
      <c r="D3645" s="7" t="n">
        <v>0</v>
      </c>
      <c r="E3645" s="7" t="n">
        <v>0</v>
      </c>
      <c r="F3645" s="7" t="n">
        <v>1</v>
      </c>
      <c r="G3645" s="7" t="n">
        <v>211.78</v>
      </c>
    </row>
    <row r="3646" customFormat="false" ht="15" hidden="false" customHeight="false" outlineLevel="0" collapsed="false">
      <c r="A3646" s="7" t="s">
        <v>24</v>
      </c>
      <c r="B3646" s="7" t="s">
        <v>431</v>
      </c>
      <c r="C3646" s="7" t="s">
        <v>1243</v>
      </c>
      <c r="D3646" s="7" t="n">
        <v>0</v>
      </c>
      <c r="E3646" s="7" t="n">
        <v>0</v>
      </c>
      <c r="F3646" s="7" t="n">
        <v>3</v>
      </c>
      <c r="G3646" s="7" t="n">
        <v>635.34</v>
      </c>
    </row>
    <row r="3647" customFormat="false" ht="15" hidden="false" customHeight="false" outlineLevel="0" collapsed="false">
      <c r="A3647" s="7" t="s">
        <v>24</v>
      </c>
      <c r="B3647" s="7" t="s">
        <v>431</v>
      </c>
      <c r="C3647" s="7" t="s">
        <v>1243</v>
      </c>
      <c r="D3647" s="7" t="n">
        <v>0</v>
      </c>
      <c r="E3647" s="7" t="n">
        <v>0</v>
      </c>
      <c r="F3647" s="7" t="n">
        <v>1</v>
      </c>
      <c r="G3647" s="7" t="n">
        <v>190.61</v>
      </c>
    </row>
    <row r="3648" customFormat="false" ht="15" hidden="false" customHeight="false" outlineLevel="0" collapsed="false">
      <c r="A3648" s="7" t="s">
        <v>24</v>
      </c>
      <c r="B3648" s="7" t="s">
        <v>817</v>
      </c>
      <c r="C3648" s="7" t="s">
        <v>1243</v>
      </c>
      <c r="D3648" s="7" t="n">
        <v>0</v>
      </c>
      <c r="E3648" s="7" t="n">
        <v>0</v>
      </c>
      <c r="F3648" s="7" t="n">
        <v>1</v>
      </c>
      <c r="G3648" s="7" t="n">
        <v>367.71</v>
      </c>
    </row>
    <row r="3649" customFormat="false" ht="15" hidden="false" customHeight="false" outlineLevel="0" collapsed="false">
      <c r="A3649" s="7" t="s">
        <v>24</v>
      </c>
      <c r="B3649" s="7" t="s">
        <v>817</v>
      </c>
      <c r="C3649" s="7" t="s">
        <v>1243</v>
      </c>
      <c r="D3649" s="7" t="n">
        <v>1</v>
      </c>
      <c r="E3649" s="7" t="n">
        <v>367.71</v>
      </c>
      <c r="F3649" s="7" t="n">
        <v>0</v>
      </c>
      <c r="G3649" s="7" t="n">
        <v>0</v>
      </c>
    </row>
    <row r="3650" customFormat="false" ht="15" hidden="false" customHeight="false" outlineLevel="0" collapsed="false">
      <c r="A3650" s="7" t="s">
        <v>24</v>
      </c>
      <c r="B3650" s="7" t="s">
        <v>510</v>
      </c>
      <c r="C3650" s="7" t="s">
        <v>1243</v>
      </c>
      <c r="D3650" s="7" t="n">
        <v>1</v>
      </c>
      <c r="E3650" s="7" t="n">
        <v>312.55</v>
      </c>
      <c r="F3650" s="7" t="n">
        <v>0</v>
      </c>
      <c r="G3650" s="7" t="n">
        <v>0</v>
      </c>
    </row>
    <row r="3651" customFormat="false" ht="15" hidden="false" customHeight="false" outlineLevel="0" collapsed="false">
      <c r="A3651" s="7" t="s">
        <v>24</v>
      </c>
      <c r="B3651" s="7" t="s">
        <v>368</v>
      </c>
      <c r="C3651" s="7" t="s">
        <v>1244</v>
      </c>
      <c r="D3651" s="7" t="n">
        <v>1</v>
      </c>
      <c r="E3651" s="7" t="n">
        <v>325.34</v>
      </c>
      <c r="F3651" s="7" t="n">
        <v>0</v>
      </c>
      <c r="G3651" s="7" t="n">
        <v>0</v>
      </c>
    </row>
    <row r="3652" customFormat="false" ht="15" hidden="false" customHeight="false" outlineLevel="0" collapsed="false">
      <c r="A3652" s="7" t="s">
        <v>24</v>
      </c>
      <c r="B3652" s="7" t="s">
        <v>368</v>
      </c>
      <c r="C3652" s="7" t="s">
        <v>1244</v>
      </c>
      <c r="D3652" s="7" t="n">
        <v>1</v>
      </c>
      <c r="E3652" s="7" t="n">
        <v>271.12</v>
      </c>
      <c r="F3652" s="7" t="n">
        <v>0</v>
      </c>
      <c r="G3652" s="7" t="n">
        <v>0</v>
      </c>
    </row>
    <row r="3653" customFormat="false" ht="15" hidden="false" customHeight="false" outlineLevel="0" collapsed="false">
      <c r="A3653" s="7" t="s">
        <v>24</v>
      </c>
      <c r="B3653" s="7" t="s">
        <v>500</v>
      </c>
      <c r="C3653" s="7" t="s">
        <v>1245</v>
      </c>
      <c r="D3653" s="7" t="n">
        <v>1</v>
      </c>
      <c r="E3653" s="7" t="n">
        <v>324.07</v>
      </c>
      <c r="F3653" s="7" t="n">
        <v>0</v>
      </c>
      <c r="G3653" s="7" t="n">
        <v>0</v>
      </c>
    </row>
    <row r="3654" customFormat="false" ht="15" hidden="false" customHeight="false" outlineLevel="0" collapsed="false">
      <c r="A3654" s="7" t="s">
        <v>24</v>
      </c>
      <c r="B3654" s="7" t="s">
        <v>499</v>
      </c>
      <c r="C3654" s="7" t="s">
        <v>1245</v>
      </c>
      <c r="D3654" s="7" t="n">
        <v>1</v>
      </c>
      <c r="E3654" s="7" t="n">
        <v>324.08</v>
      </c>
      <c r="F3654" s="7" t="n">
        <v>0</v>
      </c>
      <c r="G3654" s="7" t="n">
        <v>0</v>
      </c>
    </row>
    <row r="3655" customFormat="false" ht="15" hidden="false" customHeight="false" outlineLevel="0" collapsed="false">
      <c r="A3655" s="7" t="s">
        <v>24</v>
      </c>
      <c r="B3655" s="7" t="s">
        <v>518</v>
      </c>
      <c r="C3655" s="7" t="s">
        <v>1245</v>
      </c>
      <c r="D3655" s="7" t="n">
        <v>1</v>
      </c>
      <c r="E3655" s="7" t="n">
        <v>305.01</v>
      </c>
      <c r="F3655" s="7" t="n">
        <v>0</v>
      </c>
      <c r="G3655" s="7" t="n">
        <v>0</v>
      </c>
    </row>
    <row r="3656" customFormat="false" ht="15" hidden="false" customHeight="false" outlineLevel="0" collapsed="false">
      <c r="A3656" s="7" t="s">
        <v>24</v>
      </c>
      <c r="B3656" s="7" t="s">
        <v>556</v>
      </c>
      <c r="C3656" s="7" t="s">
        <v>1079</v>
      </c>
      <c r="D3656" s="7" t="n">
        <v>0</v>
      </c>
      <c r="E3656" s="7" t="n">
        <v>0</v>
      </c>
      <c r="F3656" s="7" t="n">
        <v>1</v>
      </c>
      <c r="G3656" s="7" t="n">
        <v>55.85</v>
      </c>
    </row>
    <row r="3657" customFormat="false" ht="15" hidden="false" customHeight="false" outlineLevel="0" collapsed="false">
      <c r="A3657" s="7" t="s">
        <v>24</v>
      </c>
      <c r="B3657" s="7" t="s">
        <v>556</v>
      </c>
      <c r="C3657" s="7" t="s">
        <v>1079</v>
      </c>
      <c r="D3657" s="7" t="n">
        <v>15</v>
      </c>
      <c r="E3657" s="7" t="n">
        <v>801.44</v>
      </c>
      <c r="F3657" s="7" t="n">
        <v>2</v>
      </c>
      <c r="G3657" s="7" t="n">
        <v>106.12</v>
      </c>
    </row>
    <row r="3658" customFormat="false" ht="15" hidden="false" customHeight="false" outlineLevel="0" collapsed="false">
      <c r="A3658" s="7" t="s">
        <v>24</v>
      </c>
      <c r="B3658" s="7" t="s">
        <v>556</v>
      </c>
      <c r="C3658" s="7" t="s">
        <v>1079</v>
      </c>
      <c r="D3658" s="7" t="n">
        <v>0</v>
      </c>
      <c r="E3658" s="7" t="n">
        <v>0</v>
      </c>
      <c r="F3658" s="7" t="n">
        <v>2</v>
      </c>
      <c r="G3658" s="7" t="n">
        <v>111.7</v>
      </c>
    </row>
    <row r="3659" customFormat="false" ht="15" hidden="false" customHeight="false" outlineLevel="0" collapsed="false">
      <c r="A3659" s="7" t="s">
        <v>24</v>
      </c>
      <c r="B3659" s="7" t="s">
        <v>556</v>
      </c>
      <c r="C3659" s="7" t="s">
        <v>1079</v>
      </c>
      <c r="D3659" s="7" t="n">
        <v>0</v>
      </c>
      <c r="E3659" s="7" t="n">
        <v>0</v>
      </c>
      <c r="F3659" s="7" t="n">
        <v>1</v>
      </c>
      <c r="G3659" s="7" t="n">
        <v>55.85</v>
      </c>
    </row>
    <row r="3660" customFormat="false" ht="15" hidden="false" customHeight="false" outlineLevel="0" collapsed="false">
      <c r="A3660" s="7" t="s">
        <v>24</v>
      </c>
      <c r="B3660" s="7" t="s">
        <v>556</v>
      </c>
      <c r="C3660" s="7" t="s">
        <v>1079</v>
      </c>
      <c r="D3660" s="7" t="n">
        <v>0</v>
      </c>
      <c r="E3660" s="7" t="n">
        <v>0</v>
      </c>
      <c r="F3660" s="7" t="n">
        <v>2</v>
      </c>
      <c r="G3660" s="7" t="n">
        <v>111.7</v>
      </c>
    </row>
    <row r="3661" customFormat="false" ht="15" hidden="false" customHeight="false" outlineLevel="0" collapsed="false">
      <c r="A3661" s="7" t="s">
        <v>24</v>
      </c>
      <c r="B3661" s="7" t="s">
        <v>556</v>
      </c>
      <c r="C3661" s="7" t="s">
        <v>1079</v>
      </c>
      <c r="D3661" s="7" t="n">
        <v>0</v>
      </c>
      <c r="E3661" s="7" t="n">
        <v>0</v>
      </c>
      <c r="F3661" s="7" t="n">
        <v>2</v>
      </c>
      <c r="G3661" s="7" t="n">
        <v>111.69</v>
      </c>
    </row>
    <row r="3662" customFormat="false" ht="15" hidden="false" customHeight="false" outlineLevel="0" collapsed="false">
      <c r="A3662" s="7" t="s">
        <v>24</v>
      </c>
      <c r="B3662" s="7" t="s">
        <v>580</v>
      </c>
      <c r="C3662" s="7" t="s">
        <v>1079</v>
      </c>
      <c r="D3662" s="7" t="n">
        <v>0</v>
      </c>
      <c r="E3662" s="7" t="n">
        <v>0</v>
      </c>
      <c r="F3662" s="7" t="n">
        <v>1</v>
      </c>
      <c r="G3662" s="7" t="n">
        <v>55.85</v>
      </c>
    </row>
    <row r="3663" customFormat="false" ht="15" hidden="false" customHeight="false" outlineLevel="0" collapsed="false">
      <c r="A3663" s="7" t="s">
        <v>24</v>
      </c>
      <c r="B3663" s="7" t="s">
        <v>580</v>
      </c>
      <c r="C3663" s="7" t="s">
        <v>1079</v>
      </c>
      <c r="D3663" s="7" t="n">
        <v>6</v>
      </c>
      <c r="E3663" s="7" t="n">
        <v>279.25</v>
      </c>
      <c r="F3663" s="7" t="n">
        <v>0</v>
      </c>
      <c r="G3663" s="7" t="n">
        <v>0</v>
      </c>
    </row>
    <row r="3664" customFormat="false" ht="15" hidden="false" customHeight="false" outlineLevel="0" collapsed="false">
      <c r="A3664" s="7" t="s">
        <v>24</v>
      </c>
      <c r="B3664" s="7" t="s">
        <v>580</v>
      </c>
      <c r="C3664" s="7" t="s">
        <v>1079</v>
      </c>
      <c r="D3664" s="7" t="n">
        <v>0</v>
      </c>
      <c r="E3664" s="7" t="n">
        <v>0</v>
      </c>
      <c r="F3664" s="7" t="n">
        <v>1</v>
      </c>
      <c r="G3664" s="7" t="n">
        <v>55.85</v>
      </c>
    </row>
    <row r="3665" customFormat="false" ht="15" hidden="false" customHeight="false" outlineLevel="0" collapsed="false">
      <c r="A3665" s="7" t="s">
        <v>24</v>
      </c>
      <c r="B3665" s="7" t="s">
        <v>580</v>
      </c>
      <c r="C3665" s="7" t="s">
        <v>1079</v>
      </c>
      <c r="D3665" s="7" t="n">
        <v>1</v>
      </c>
      <c r="E3665" s="7" t="n">
        <v>54.15</v>
      </c>
      <c r="F3665" s="7" t="n">
        <v>0</v>
      </c>
      <c r="G3665" s="7" t="n">
        <v>0</v>
      </c>
    </row>
    <row r="3666" customFormat="false" ht="15" hidden="false" customHeight="false" outlineLevel="0" collapsed="false">
      <c r="A3666" s="7" t="s">
        <v>24</v>
      </c>
      <c r="B3666" s="7" t="s">
        <v>572</v>
      </c>
      <c r="C3666" s="7" t="s">
        <v>1079</v>
      </c>
      <c r="D3666" s="7" t="n">
        <v>5</v>
      </c>
      <c r="E3666" s="7" t="n">
        <v>240.15</v>
      </c>
      <c r="F3666" s="7" t="n">
        <v>1</v>
      </c>
      <c r="G3666" s="7" t="n">
        <v>55.86</v>
      </c>
    </row>
    <row r="3667" customFormat="false" ht="15" hidden="false" customHeight="false" outlineLevel="0" collapsed="false">
      <c r="A3667" s="7" t="s">
        <v>24</v>
      </c>
      <c r="B3667" s="7" t="s">
        <v>572</v>
      </c>
      <c r="C3667" s="7" t="s">
        <v>1079</v>
      </c>
      <c r="D3667" s="7" t="n">
        <v>1</v>
      </c>
      <c r="E3667" s="7" t="n">
        <v>46.03</v>
      </c>
      <c r="F3667" s="7" t="n">
        <v>0</v>
      </c>
      <c r="G3667" s="7" t="n">
        <v>0</v>
      </c>
    </row>
    <row r="3668" customFormat="false" ht="15" hidden="false" customHeight="false" outlineLevel="0" collapsed="false">
      <c r="A3668" s="7" t="s">
        <v>24</v>
      </c>
      <c r="B3668" s="7" t="s">
        <v>578</v>
      </c>
      <c r="C3668" s="7" t="s">
        <v>1079</v>
      </c>
      <c r="D3668" s="7" t="n">
        <v>4</v>
      </c>
      <c r="E3668" s="7" t="n">
        <v>223.4</v>
      </c>
      <c r="F3668" s="7" t="n">
        <v>0</v>
      </c>
      <c r="G3668" s="7" t="n">
        <v>0</v>
      </c>
    </row>
    <row r="3669" customFormat="false" ht="15" hidden="false" customHeight="false" outlineLevel="0" collapsed="false">
      <c r="A3669" s="7" t="s">
        <v>24</v>
      </c>
      <c r="B3669" s="7" t="s">
        <v>717</v>
      </c>
      <c r="C3669" s="7" t="s">
        <v>1079</v>
      </c>
      <c r="D3669" s="7" t="n">
        <v>0</v>
      </c>
      <c r="E3669" s="7" t="n">
        <v>0</v>
      </c>
      <c r="F3669" s="7" t="n">
        <v>1</v>
      </c>
      <c r="G3669" s="7" t="n">
        <v>55.85</v>
      </c>
    </row>
    <row r="3670" customFormat="false" ht="15" hidden="false" customHeight="false" outlineLevel="0" collapsed="false">
      <c r="A3670" s="7" t="s">
        <v>24</v>
      </c>
      <c r="B3670" s="7" t="s">
        <v>717</v>
      </c>
      <c r="C3670" s="7" t="s">
        <v>1079</v>
      </c>
      <c r="D3670" s="7" t="n">
        <v>2</v>
      </c>
      <c r="E3670" s="7" t="n">
        <v>94.94</v>
      </c>
      <c r="F3670" s="7" t="n">
        <v>2</v>
      </c>
      <c r="G3670" s="7" t="n">
        <v>111.7</v>
      </c>
    </row>
    <row r="3671" customFormat="false" ht="15" hidden="false" customHeight="false" outlineLevel="0" collapsed="false">
      <c r="A3671" s="7" t="s">
        <v>24</v>
      </c>
      <c r="B3671" s="7" t="s">
        <v>717</v>
      </c>
      <c r="C3671" s="7" t="s">
        <v>1079</v>
      </c>
      <c r="D3671" s="7" t="n">
        <v>1</v>
      </c>
      <c r="E3671" s="7" t="n">
        <v>46.03</v>
      </c>
      <c r="F3671" s="7" t="n">
        <v>0</v>
      </c>
      <c r="G3671" s="7" t="n">
        <v>0</v>
      </c>
    </row>
    <row r="3672" customFormat="false" ht="15" hidden="false" customHeight="false" outlineLevel="0" collapsed="false">
      <c r="A3672" s="7" t="s">
        <v>24</v>
      </c>
      <c r="B3672" s="7" t="s">
        <v>717</v>
      </c>
      <c r="C3672" s="7" t="s">
        <v>1079</v>
      </c>
      <c r="D3672" s="7" t="n">
        <v>0</v>
      </c>
      <c r="E3672" s="7" t="n">
        <v>0</v>
      </c>
      <c r="F3672" s="7" t="n">
        <v>1</v>
      </c>
      <c r="G3672" s="7" t="n">
        <v>55.85</v>
      </c>
    </row>
    <row r="3673" customFormat="false" ht="15" hidden="false" customHeight="false" outlineLevel="0" collapsed="false">
      <c r="A3673" s="7" t="s">
        <v>24</v>
      </c>
      <c r="B3673" s="7" t="s">
        <v>641</v>
      </c>
      <c r="C3673" s="7" t="s">
        <v>1079</v>
      </c>
      <c r="D3673" s="7" t="n">
        <v>0</v>
      </c>
      <c r="E3673" s="7" t="n">
        <v>0</v>
      </c>
      <c r="F3673" s="7" t="n">
        <v>1</v>
      </c>
      <c r="G3673" s="7" t="n">
        <v>55.85</v>
      </c>
    </row>
    <row r="3674" customFormat="false" ht="15" hidden="false" customHeight="false" outlineLevel="0" collapsed="false">
      <c r="A3674" s="7" t="s">
        <v>24</v>
      </c>
      <c r="B3674" s="7" t="s">
        <v>641</v>
      </c>
      <c r="C3674" s="7" t="s">
        <v>1079</v>
      </c>
      <c r="D3674" s="7" t="n">
        <v>0</v>
      </c>
      <c r="E3674" s="7" t="n">
        <v>0</v>
      </c>
      <c r="F3674" s="7" t="n">
        <v>1</v>
      </c>
      <c r="G3674" s="7" t="n">
        <v>47.47</v>
      </c>
    </row>
    <row r="3675" customFormat="false" ht="15" hidden="false" customHeight="false" outlineLevel="0" collapsed="false">
      <c r="A3675" s="7" t="s">
        <v>24</v>
      </c>
      <c r="B3675" s="7" t="s">
        <v>641</v>
      </c>
      <c r="C3675" s="7" t="s">
        <v>1079</v>
      </c>
      <c r="D3675" s="7" t="n">
        <v>5</v>
      </c>
      <c r="E3675" s="7" t="n">
        <v>270.87</v>
      </c>
      <c r="F3675" s="7" t="n">
        <v>3</v>
      </c>
      <c r="G3675" s="7" t="n">
        <v>167.55</v>
      </c>
    </row>
    <row r="3676" customFormat="false" ht="15" hidden="false" customHeight="false" outlineLevel="0" collapsed="false">
      <c r="A3676" s="7" t="s">
        <v>24</v>
      </c>
      <c r="B3676" s="7" t="s">
        <v>641</v>
      </c>
      <c r="C3676" s="7" t="s">
        <v>1079</v>
      </c>
      <c r="D3676" s="7" t="n">
        <v>0</v>
      </c>
      <c r="E3676" s="7" t="n">
        <v>0</v>
      </c>
      <c r="F3676" s="7" t="n">
        <v>1</v>
      </c>
      <c r="G3676" s="7" t="n">
        <v>47.48</v>
      </c>
    </row>
    <row r="3677" customFormat="false" ht="15" hidden="false" customHeight="false" outlineLevel="0" collapsed="false">
      <c r="A3677" s="7" t="s">
        <v>24</v>
      </c>
      <c r="B3677" s="7" t="s">
        <v>641</v>
      </c>
      <c r="C3677" s="7" t="s">
        <v>1079</v>
      </c>
      <c r="D3677" s="7" t="n">
        <v>0</v>
      </c>
      <c r="E3677" s="7" t="n">
        <v>0</v>
      </c>
      <c r="F3677" s="7" t="n">
        <v>1</v>
      </c>
      <c r="G3677" s="7" t="n">
        <v>55.85</v>
      </c>
    </row>
    <row r="3678" customFormat="false" ht="15" hidden="false" customHeight="false" outlineLevel="0" collapsed="false">
      <c r="A3678" s="7" t="s">
        <v>24</v>
      </c>
      <c r="B3678" s="7" t="s">
        <v>641</v>
      </c>
      <c r="C3678" s="7" t="s">
        <v>1079</v>
      </c>
      <c r="D3678" s="7" t="n">
        <v>0</v>
      </c>
      <c r="E3678" s="7" t="n">
        <v>0</v>
      </c>
      <c r="F3678" s="7" t="n">
        <v>1</v>
      </c>
      <c r="G3678" s="7" t="n">
        <v>55.85</v>
      </c>
    </row>
    <row r="3679" customFormat="false" ht="15" hidden="false" customHeight="false" outlineLevel="0" collapsed="false">
      <c r="A3679" s="7" t="s">
        <v>24</v>
      </c>
      <c r="B3679" s="7" t="s">
        <v>369</v>
      </c>
      <c r="C3679" s="7" t="s">
        <v>1246</v>
      </c>
      <c r="D3679" s="7" t="n">
        <v>26</v>
      </c>
      <c r="E3679" s="7" t="n">
        <v>1421.37</v>
      </c>
      <c r="F3679" s="7" t="n">
        <v>12</v>
      </c>
      <c r="G3679" s="7" t="n">
        <v>642.26</v>
      </c>
    </row>
    <row r="3680" customFormat="false" ht="15" hidden="false" customHeight="false" outlineLevel="0" collapsed="false">
      <c r="A3680" s="7" t="s">
        <v>24</v>
      </c>
      <c r="B3680" s="7" t="s">
        <v>369</v>
      </c>
      <c r="C3680" s="7" t="s">
        <v>1246</v>
      </c>
      <c r="D3680" s="7" t="n">
        <v>0</v>
      </c>
      <c r="E3680" s="7" t="n">
        <v>0</v>
      </c>
      <c r="F3680" s="7" t="n">
        <v>1</v>
      </c>
      <c r="G3680" s="7" t="n">
        <v>55.85</v>
      </c>
    </row>
    <row r="3681" customFormat="false" ht="15" hidden="false" customHeight="false" outlineLevel="0" collapsed="false">
      <c r="A3681" s="7" t="s">
        <v>24</v>
      </c>
      <c r="B3681" s="7" t="s">
        <v>369</v>
      </c>
      <c r="C3681" s="7" t="s">
        <v>1246</v>
      </c>
      <c r="D3681" s="7" t="n">
        <v>3</v>
      </c>
      <c r="E3681" s="7" t="n">
        <v>146.2</v>
      </c>
      <c r="F3681" s="7" t="n">
        <v>0</v>
      </c>
      <c r="G3681" s="7" t="n">
        <v>0</v>
      </c>
    </row>
    <row r="3682" customFormat="false" ht="15" hidden="false" customHeight="false" outlineLevel="0" collapsed="false">
      <c r="A3682" s="7" t="s">
        <v>24</v>
      </c>
      <c r="B3682" s="7" t="s">
        <v>369</v>
      </c>
      <c r="C3682" s="7" t="s">
        <v>1246</v>
      </c>
      <c r="D3682" s="7" t="n">
        <v>0</v>
      </c>
      <c r="E3682" s="7" t="n">
        <v>0</v>
      </c>
      <c r="F3682" s="7" t="n">
        <v>1</v>
      </c>
      <c r="G3682" s="7" t="n">
        <v>55.85</v>
      </c>
    </row>
    <row r="3683" customFormat="false" ht="15" hidden="false" customHeight="false" outlineLevel="0" collapsed="false">
      <c r="A3683" s="7" t="s">
        <v>24</v>
      </c>
      <c r="B3683" s="7" t="s">
        <v>369</v>
      </c>
      <c r="C3683" s="7" t="s">
        <v>1246</v>
      </c>
      <c r="D3683" s="7" t="n">
        <v>0</v>
      </c>
      <c r="E3683" s="7" t="n">
        <v>0</v>
      </c>
      <c r="F3683" s="7" t="n">
        <v>3</v>
      </c>
      <c r="G3683" s="7" t="n">
        <v>167.54</v>
      </c>
    </row>
    <row r="3684" customFormat="false" ht="15" hidden="false" customHeight="false" outlineLevel="0" collapsed="false">
      <c r="A3684" s="7" t="s">
        <v>24</v>
      </c>
      <c r="B3684" s="7" t="s">
        <v>369</v>
      </c>
      <c r="C3684" s="7" t="s">
        <v>1246</v>
      </c>
      <c r="D3684" s="7" t="n">
        <v>0</v>
      </c>
      <c r="E3684" s="7" t="n">
        <v>0</v>
      </c>
      <c r="F3684" s="7" t="n">
        <v>1</v>
      </c>
      <c r="G3684" s="7" t="n">
        <v>50.27</v>
      </c>
    </row>
    <row r="3685" customFormat="false" ht="15" hidden="false" customHeight="false" outlineLevel="0" collapsed="false">
      <c r="A3685" s="7" t="s">
        <v>24</v>
      </c>
      <c r="B3685" s="7" t="s">
        <v>435</v>
      </c>
      <c r="C3685" s="7" t="s">
        <v>1246</v>
      </c>
      <c r="D3685" s="7" t="n">
        <v>13</v>
      </c>
      <c r="E3685" s="7" t="n">
        <v>659.01</v>
      </c>
      <c r="F3685" s="7" t="n">
        <v>8</v>
      </c>
      <c r="G3685" s="7" t="n">
        <v>441.21</v>
      </c>
    </row>
    <row r="3686" customFormat="false" ht="15" hidden="false" customHeight="false" outlineLevel="0" collapsed="false">
      <c r="A3686" s="7" t="s">
        <v>24</v>
      </c>
      <c r="B3686" s="7" t="s">
        <v>435</v>
      </c>
      <c r="C3686" s="7" t="s">
        <v>1246</v>
      </c>
      <c r="D3686" s="7" t="n">
        <v>0</v>
      </c>
      <c r="E3686" s="7" t="n">
        <v>0</v>
      </c>
      <c r="F3686" s="7" t="n">
        <v>1</v>
      </c>
      <c r="G3686" s="7" t="n">
        <v>55.85</v>
      </c>
    </row>
    <row r="3687" customFormat="false" ht="15" hidden="false" customHeight="false" outlineLevel="0" collapsed="false">
      <c r="A3687" s="7" t="s">
        <v>24</v>
      </c>
      <c r="B3687" s="7" t="s">
        <v>435</v>
      </c>
      <c r="C3687" s="7" t="s">
        <v>1246</v>
      </c>
      <c r="D3687" s="7" t="n">
        <v>4</v>
      </c>
      <c r="E3687" s="7" t="n">
        <v>216.6</v>
      </c>
      <c r="F3687" s="7" t="n">
        <v>0</v>
      </c>
      <c r="G3687" s="7" t="n">
        <v>0</v>
      </c>
    </row>
    <row r="3688" customFormat="false" ht="15" hidden="false" customHeight="false" outlineLevel="0" collapsed="false">
      <c r="A3688" s="7" t="s">
        <v>24</v>
      </c>
      <c r="B3688" s="7" t="s">
        <v>435</v>
      </c>
      <c r="C3688" s="7" t="s">
        <v>1246</v>
      </c>
      <c r="D3688" s="7" t="n">
        <v>0</v>
      </c>
      <c r="E3688" s="7" t="n">
        <v>0</v>
      </c>
      <c r="F3688" s="7" t="n">
        <v>1</v>
      </c>
      <c r="G3688" s="7" t="n">
        <v>55.85</v>
      </c>
    </row>
    <row r="3689" customFormat="false" ht="15" hidden="false" customHeight="false" outlineLevel="0" collapsed="false">
      <c r="A3689" s="7" t="s">
        <v>24</v>
      </c>
      <c r="B3689" s="7" t="s">
        <v>435</v>
      </c>
      <c r="C3689" s="7" t="s">
        <v>1246</v>
      </c>
      <c r="D3689" s="7" t="n">
        <v>0</v>
      </c>
      <c r="E3689" s="7" t="n">
        <v>0</v>
      </c>
      <c r="F3689" s="7" t="n">
        <v>12</v>
      </c>
      <c r="G3689" s="7" t="n">
        <v>670.17</v>
      </c>
    </row>
    <row r="3690" customFormat="false" ht="15" hidden="false" customHeight="false" outlineLevel="0" collapsed="false">
      <c r="A3690" s="7" t="s">
        <v>24</v>
      </c>
      <c r="B3690" s="7" t="s">
        <v>435</v>
      </c>
      <c r="C3690" s="7" t="s">
        <v>1246</v>
      </c>
      <c r="D3690" s="7" t="n">
        <v>0</v>
      </c>
      <c r="E3690" s="7" t="n">
        <v>0</v>
      </c>
      <c r="F3690" s="7" t="n">
        <v>1</v>
      </c>
      <c r="G3690" s="7" t="n">
        <v>55.85</v>
      </c>
    </row>
    <row r="3691" customFormat="false" ht="15" hidden="false" customHeight="false" outlineLevel="0" collapsed="false">
      <c r="A3691" s="7" t="s">
        <v>24</v>
      </c>
      <c r="B3691" s="7" t="s">
        <v>435</v>
      </c>
      <c r="C3691" s="7" t="s">
        <v>1246</v>
      </c>
      <c r="D3691" s="7" t="n">
        <v>0</v>
      </c>
      <c r="E3691" s="7" t="n">
        <v>0</v>
      </c>
      <c r="F3691" s="7" t="n">
        <v>1</v>
      </c>
      <c r="G3691" s="7" t="n">
        <v>55.85</v>
      </c>
    </row>
    <row r="3692" customFormat="false" ht="15" hidden="false" customHeight="false" outlineLevel="0" collapsed="false">
      <c r="A3692" s="7" t="s">
        <v>24</v>
      </c>
      <c r="B3692" s="7" t="s">
        <v>560</v>
      </c>
      <c r="C3692" s="7" t="s">
        <v>1246</v>
      </c>
      <c r="D3692" s="7" t="n">
        <v>9</v>
      </c>
      <c r="E3692" s="7" t="n">
        <v>457.96</v>
      </c>
      <c r="F3692" s="7" t="n">
        <v>1</v>
      </c>
      <c r="G3692" s="7" t="n">
        <v>55.85</v>
      </c>
    </row>
    <row r="3693" customFormat="false" ht="15" hidden="false" customHeight="false" outlineLevel="0" collapsed="false">
      <c r="A3693" s="7" t="s">
        <v>24</v>
      </c>
      <c r="B3693" s="7" t="s">
        <v>560</v>
      </c>
      <c r="C3693" s="7" t="s">
        <v>1246</v>
      </c>
      <c r="D3693" s="7" t="n">
        <v>0</v>
      </c>
      <c r="E3693" s="7" t="n">
        <v>0</v>
      </c>
      <c r="F3693" s="7" t="n">
        <v>2</v>
      </c>
      <c r="G3693" s="7" t="n">
        <v>100.53</v>
      </c>
    </row>
    <row r="3694" customFormat="false" ht="15" hidden="false" customHeight="false" outlineLevel="0" collapsed="false">
      <c r="A3694" s="7" t="s">
        <v>24</v>
      </c>
      <c r="B3694" s="7" t="s">
        <v>560</v>
      </c>
      <c r="C3694" s="7" t="s">
        <v>1246</v>
      </c>
      <c r="D3694" s="7" t="n">
        <v>0</v>
      </c>
      <c r="E3694" s="7" t="n">
        <v>0</v>
      </c>
      <c r="F3694" s="7" t="n">
        <v>1</v>
      </c>
      <c r="G3694" s="7" t="n">
        <v>55.85</v>
      </c>
    </row>
    <row r="3695" customFormat="false" ht="15" hidden="false" customHeight="false" outlineLevel="0" collapsed="false">
      <c r="A3695" s="7" t="s">
        <v>24</v>
      </c>
      <c r="B3695" s="7" t="s">
        <v>676</v>
      </c>
      <c r="C3695" s="7" t="s">
        <v>1246</v>
      </c>
      <c r="D3695" s="7" t="n">
        <v>10</v>
      </c>
      <c r="E3695" s="7" t="n">
        <v>505.43</v>
      </c>
      <c r="F3695" s="7" t="n">
        <v>2</v>
      </c>
      <c r="G3695" s="7" t="n">
        <v>111.7</v>
      </c>
    </row>
    <row r="3696" customFormat="false" ht="15" hidden="false" customHeight="false" outlineLevel="0" collapsed="false">
      <c r="A3696" s="7" t="s">
        <v>24</v>
      </c>
      <c r="B3696" s="7" t="s">
        <v>676</v>
      </c>
      <c r="C3696" s="7" t="s">
        <v>1246</v>
      </c>
      <c r="D3696" s="7" t="n">
        <v>0</v>
      </c>
      <c r="E3696" s="7" t="n">
        <v>0</v>
      </c>
      <c r="F3696" s="7" t="n">
        <v>1</v>
      </c>
      <c r="G3696" s="7" t="n">
        <v>55.85</v>
      </c>
    </row>
    <row r="3697" customFormat="false" ht="15" hidden="false" customHeight="false" outlineLevel="0" collapsed="false">
      <c r="A3697" s="7" t="s">
        <v>24</v>
      </c>
      <c r="B3697" s="7" t="s">
        <v>676</v>
      </c>
      <c r="C3697" s="7" t="s">
        <v>1246</v>
      </c>
      <c r="D3697" s="7" t="n">
        <v>0</v>
      </c>
      <c r="E3697" s="7" t="n">
        <v>0</v>
      </c>
      <c r="F3697" s="7" t="n">
        <v>1</v>
      </c>
      <c r="G3697" s="7" t="n">
        <v>55.85</v>
      </c>
    </row>
    <row r="3698" customFormat="false" ht="15" hidden="false" customHeight="false" outlineLevel="0" collapsed="false">
      <c r="A3698" s="7" t="s">
        <v>24</v>
      </c>
      <c r="B3698" s="7" t="s">
        <v>676</v>
      </c>
      <c r="C3698" s="7" t="s">
        <v>1246</v>
      </c>
      <c r="D3698" s="7" t="n">
        <v>0</v>
      </c>
      <c r="E3698" s="7" t="n">
        <v>0</v>
      </c>
      <c r="F3698" s="7" t="n">
        <v>1</v>
      </c>
      <c r="G3698" s="7" t="n">
        <v>55.85</v>
      </c>
    </row>
    <row r="3699" customFormat="false" ht="15" hidden="false" customHeight="false" outlineLevel="0" collapsed="false">
      <c r="A3699" s="7" t="s">
        <v>24</v>
      </c>
      <c r="B3699" s="7" t="s">
        <v>676</v>
      </c>
      <c r="C3699" s="7" t="s">
        <v>1246</v>
      </c>
      <c r="D3699" s="7" t="n">
        <v>0</v>
      </c>
      <c r="E3699" s="7" t="n">
        <v>0</v>
      </c>
      <c r="F3699" s="7" t="n">
        <v>2</v>
      </c>
      <c r="G3699" s="7" t="n">
        <v>100.52</v>
      </c>
    </row>
    <row r="3700" customFormat="false" ht="15" hidden="false" customHeight="false" outlineLevel="0" collapsed="false">
      <c r="A3700" s="7" t="s">
        <v>24</v>
      </c>
      <c r="B3700" s="7" t="s">
        <v>782</v>
      </c>
      <c r="C3700" s="7" t="s">
        <v>1246</v>
      </c>
      <c r="D3700" s="7" t="n">
        <v>12</v>
      </c>
      <c r="E3700" s="7" t="n">
        <v>608.76</v>
      </c>
      <c r="F3700" s="7" t="n">
        <v>7</v>
      </c>
      <c r="G3700" s="7" t="n">
        <v>379.77</v>
      </c>
    </row>
    <row r="3701" customFormat="false" ht="15" hidden="false" customHeight="false" outlineLevel="0" collapsed="false">
      <c r="A3701" s="7" t="s">
        <v>24</v>
      </c>
      <c r="B3701" s="7" t="s">
        <v>782</v>
      </c>
      <c r="C3701" s="7" t="s">
        <v>1246</v>
      </c>
      <c r="D3701" s="7" t="n">
        <v>0</v>
      </c>
      <c r="E3701" s="7" t="n">
        <v>0</v>
      </c>
      <c r="F3701" s="7" t="n">
        <v>2</v>
      </c>
      <c r="G3701" s="7" t="n">
        <v>94.95</v>
      </c>
    </row>
    <row r="3702" customFormat="false" ht="15" hidden="false" customHeight="false" outlineLevel="0" collapsed="false">
      <c r="A3702" s="7" t="s">
        <v>24</v>
      </c>
      <c r="B3702" s="7" t="s">
        <v>782</v>
      </c>
      <c r="C3702" s="7" t="s">
        <v>1246</v>
      </c>
      <c r="D3702" s="7" t="n">
        <v>0</v>
      </c>
      <c r="E3702" s="7" t="n">
        <v>0</v>
      </c>
      <c r="F3702" s="7" t="n">
        <v>1</v>
      </c>
      <c r="G3702" s="7" t="n">
        <v>55.85</v>
      </c>
    </row>
    <row r="3703" customFormat="false" ht="15" hidden="false" customHeight="false" outlineLevel="0" collapsed="false">
      <c r="A3703" s="7" t="s">
        <v>24</v>
      </c>
      <c r="B3703" s="7" t="s">
        <v>782</v>
      </c>
      <c r="C3703" s="7" t="s">
        <v>1246</v>
      </c>
      <c r="D3703" s="7" t="n">
        <v>0</v>
      </c>
      <c r="E3703" s="7" t="n">
        <v>0</v>
      </c>
      <c r="F3703" s="7" t="n">
        <v>1</v>
      </c>
      <c r="G3703" s="7" t="n">
        <v>55.85</v>
      </c>
    </row>
    <row r="3704" customFormat="false" ht="15" hidden="false" customHeight="false" outlineLevel="0" collapsed="false">
      <c r="A3704" s="7" t="s">
        <v>24</v>
      </c>
      <c r="B3704" s="7" t="s">
        <v>698</v>
      </c>
      <c r="C3704" s="7" t="s">
        <v>1056</v>
      </c>
      <c r="D3704" s="7" t="n">
        <v>9</v>
      </c>
      <c r="E3704" s="7" t="n">
        <v>485.89</v>
      </c>
      <c r="F3704" s="7" t="n">
        <v>5</v>
      </c>
      <c r="G3704" s="7" t="n">
        <v>273.66</v>
      </c>
    </row>
    <row r="3705" customFormat="false" ht="15" hidden="false" customHeight="false" outlineLevel="0" collapsed="false">
      <c r="A3705" s="7" t="s">
        <v>24</v>
      </c>
      <c r="B3705" s="7" t="s">
        <v>698</v>
      </c>
      <c r="C3705" s="7" t="s">
        <v>1056</v>
      </c>
      <c r="D3705" s="7" t="n">
        <v>0</v>
      </c>
      <c r="E3705" s="7" t="n">
        <v>0</v>
      </c>
      <c r="F3705" s="7" t="n">
        <v>1</v>
      </c>
      <c r="G3705" s="7" t="n">
        <v>55.85</v>
      </c>
    </row>
    <row r="3706" customFormat="false" ht="15" hidden="false" customHeight="false" outlineLevel="0" collapsed="false">
      <c r="A3706" s="7" t="s">
        <v>24</v>
      </c>
      <c r="B3706" s="7" t="s">
        <v>698</v>
      </c>
      <c r="C3706" s="7" t="s">
        <v>1056</v>
      </c>
      <c r="D3706" s="7" t="n">
        <v>0</v>
      </c>
      <c r="E3706" s="7" t="n">
        <v>0</v>
      </c>
      <c r="F3706" s="7" t="n">
        <v>1</v>
      </c>
      <c r="G3706" s="7" t="n">
        <v>50.26</v>
      </c>
    </row>
    <row r="3707" customFormat="false" ht="15" hidden="false" customHeight="false" outlineLevel="0" collapsed="false">
      <c r="A3707" s="7" t="s">
        <v>24</v>
      </c>
      <c r="B3707" s="7" t="s">
        <v>698</v>
      </c>
      <c r="C3707" s="7" t="s">
        <v>1056</v>
      </c>
      <c r="D3707" s="7" t="n">
        <v>1</v>
      </c>
      <c r="E3707" s="7" t="n">
        <v>46.03</v>
      </c>
      <c r="F3707" s="7" t="n">
        <v>0</v>
      </c>
      <c r="G3707" s="7" t="n">
        <v>0</v>
      </c>
    </row>
    <row r="3708" customFormat="false" ht="15" hidden="false" customHeight="false" outlineLevel="0" collapsed="false">
      <c r="A3708" s="7" t="s">
        <v>24</v>
      </c>
      <c r="B3708" s="7" t="s">
        <v>698</v>
      </c>
      <c r="C3708" s="7" t="s">
        <v>1056</v>
      </c>
      <c r="D3708" s="7" t="n">
        <v>0</v>
      </c>
      <c r="E3708" s="7" t="n">
        <v>0</v>
      </c>
      <c r="F3708" s="7" t="n">
        <v>1</v>
      </c>
      <c r="G3708" s="7" t="n">
        <v>55.85</v>
      </c>
    </row>
    <row r="3709" customFormat="false" ht="15" hidden="false" customHeight="false" outlineLevel="0" collapsed="false">
      <c r="A3709" s="7" t="s">
        <v>24</v>
      </c>
      <c r="B3709" s="7" t="s">
        <v>505</v>
      </c>
      <c r="C3709" s="7" t="s">
        <v>1056</v>
      </c>
      <c r="D3709" s="7" t="n">
        <v>1</v>
      </c>
      <c r="E3709" s="7" t="n">
        <v>47.47</v>
      </c>
      <c r="F3709" s="7" t="n">
        <v>3</v>
      </c>
      <c r="G3709" s="7" t="n">
        <v>167.55</v>
      </c>
    </row>
    <row r="3710" customFormat="false" ht="15" hidden="false" customHeight="false" outlineLevel="0" collapsed="false">
      <c r="A3710" s="7" t="s">
        <v>24</v>
      </c>
      <c r="B3710" s="7" t="s">
        <v>505</v>
      </c>
      <c r="C3710" s="7" t="s">
        <v>1056</v>
      </c>
      <c r="D3710" s="7" t="n">
        <v>0</v>
      </c>
      <c r="E3710" s="7" t="n">
        <v>0</v>
      </c>
      <c r="F3710" s="7" t="n">
        <v>2</v>
      </c>
      <c r="G3710" s="7" t="n">
        <v>100.52</v>
      </c>
    </row>
    <row r="3711" customFormat="false" ht="15" hidden="false" customHeight="false" outlineLevel="0" collapsed="false">
      <c r="A3711" s="7" t="s">
        <v>24</v>
      </c>
      <c r="B3711" s="7" t="s">
        <v>505</v>
      </c>
      <c r="C3711" s="7" t="s">
        <v>1056</v>
      </c>
      <c r="D3711" s="7" t="n">
        <v>0</v>
      </c>
      <c r="E3711" s="7" t="n">
        <v>0</v>
      </c>
      <c r="F3711" s="7" t="n">
        <v>1</v>
      </c>
      <c r="G3711" s="7" t="n">
        <v>50.27</v>
      </c>
    </row>
    <row r="3712" customFormat="false" ht="15" hidden="false" customHeight="false" outlineLevel="0" collapsed="false">
      <c r="A3712" s="7" t="s">
        <v>24</v>
      </c>
      <c r="B3712" s="7" t="s">
        <v>505</v>
      </c>
      <c r="C3712" s="7" t="s">
        <v>1056</v>
      </c>
      <c r="D3712" s="7" t="n">
        <v>1</v>
      </c>
      <c r="E3712" s="7" t="n">
        <v>54.15</v>
      </c>
      <c r="F3712" s="7" t="n">
        <v>0</v>
      </c>
      <c r="G3712" s="7" t="n">
        <v>0</v>
      </c>
    </row>
    <row r="3713" customFormat="false" ht="15" hidden="false" customHeight="false" outlineLevel="0" collapsed="false">
      <c r="A3713" s="7" t="s">
        <v>24</v>
      </c>
      <c r="B3713" s="7" t="s">
        <v>505</v>
      </c>
      <c r="C3713" s="7" t="s">
        <v>1056</v>
      </c>
      <c r="D3713" s="7" t="n">
        <v>0</v>
      </c>
      <c r="E3713" s="7" t="n">
        <v>0</v>
      </c>
      <c r="F3713" s="7" t="n">
        <v>2</v>
      </c>
      <c r="G3713" s="7" t="n">
        <v>100.53</v>
      </c>
    </row>
    <row r="3714" customFormat="false" ht="15" hidden="false" customHeight="false" outlineLevel="0" collapsed="false">
      <c r="A3714" s="7" t="s">
        <v>24</v>
      </c>
      <c r="B3714" s="7" t="s">
        <v>777</v>
      </c>
      <c r="C3714" s="7" t="s">
        <v>1056</v>
      </c>
      <c r="D3714" s="7" t="n">
        <v>4</v>
      </c>
      <c r="E3714" s="7" t="n">
        <v>192.68</v>
      </c>
      <c r="F3714" s="7" t="n">
        <v>2</v>
      </c>
      <c r="G3714" s="7" t="n">
        <v>106.11</v>
      </c>
    </row>
    <row r="3715" customFormat="false" ht="15" hidden="false" customHeight="false" outlineLevel="0" collapsed="false">
      <c r="A3715" s="7" t="s">
        <v>24</v>
      </c>
      <c r="B3715" s="7" t="s">
        <v>777</v>
      </c>
      <c r="C3715" s="7" t="s">
        <v>1056</v>
      </c>
      <c r="D3715" s="7" t="n">
        <v>0</v>
      </c>
      <c r="E3715" s="7" t="n">
        <v>0</v>
      </c>
      <c r="F3715" s="7" t="n">
        <v>2</v>
      </c>
      <c r="G3715" s="7" t="n">
        <v>111.7</v>
      </c>
    </row>
    <row r="3716" customFormat="false" ht="15" hidden="false" customHeight="false" outlineLevel="0" collapsed="false">
      <c r="A3716" s="7" t="s">
        <v>24</v>
      </c>
      <c r="B3716" s="7" t="s">
        <v>805</v>
      </c>
      <c r="C3716" s="7" t="s">
        <v>1056</v>
      </c>
      <c r="D3716" s="7" t="n">
        <v>2</v>
      </c>
      <c r="E3716" s="7" t="n">
        <v>111.7</v>
      </c>
      <c r="F3716" s="7" t="n">
        <v>1</v>
      </c>
      <c r="G3716" s="7" t="n">
        <v>55.85</v>
      </c>
    </row>
    <row r="3717" customFormat="false" ht="15" hidden="false" customHeight="false" outlineLevel="0" collapsed="false">
      <c r="A3717" s="7" t="s">
        <v>24</v>
      </c>
      <c r="B3717" s="7" t="s">
        <v>805</v>
      </c>
      <c r="C3717" s="7" t="s">
        <v>1056</v>
      </c>
      <c r="D3717" s="7" t="n">
        <v>0</v>
      </c>
      <c r="E3717" s="7" t="n">
        <v>0</v>
      </c>
      <c r="F3717" s="7" t="n">
        <v>1</v>
      </c>
      <c r="G3717" s="7" t="n">
        <v>55.84</v>
      </c>
    </row>
    <row r="3718" customFormat="false" ht="15" hidden="false" customHeight="false" outlineLevel="0" collapsed="false">
      <c r="A3718" s="7" t="s">
        <v>24</v>
      </c>
      <c r="B3718" s="7" t="s">
        <v>764</v>
      </c>
      <c r="C3718" s="7" t="s">
        <v>1056</v>
      </c>
      <c r="D3718" s="7" t="n">
        <v>3</v>
      </c>
      <c r="E3718" s="7" t="n">
        <v>139.63</v>
      </c>
      <c r="F3718" s="7" t="n">
        <v>0</v>
      </c>
      <c r="G3718" s="7" t="n">
        <v>0</v>
      </c>
    </row>
    <row r="3719" customFormat="false" ht="15" hidden="false" customHeight="false" outlineLevel="0" collapsed="false">
      <c r="A3719" s="7" t="s">
        <v>24</v>
      </c>
      <c r="B3719" s="7" t="s">
        <v>764</v>
      </c>
      <c r="C3719" s="7" t="s">
        <v>1056</v>
      </c>
      <c r="D3719" s="7" t="n">
        <v>0</v>
      </c>
      <c r="E3719" s="7" t="n">
        <v>0</v>
      </c>
      <c r="F3719" s="7" t="n">
        <v>1</v>
      </c>
      <c r="G3719" s="7" t="n">
        <v>50.26</v>
      </c>
    </row>
    <row r="3720" customFormat="false" ht="15" hidden="false" customHeight="false" outlineLevel="0" collapsed="false">
      <c r="A3720" s="7" t="s">
        <v>24</v>
      </c>
      <c r="B3720" s="7" t="s">
        <v>764</v>
      </c>
      <c r="C3720" s="7" t="s">
        <v>1056</v>
      </c>
      <c r="D3720" s="7" t="n">
        <v>0</v>
      </c>
      <c r="E3720" s="7" t="n">
        <v>0</v>
      </c>
      <c r="F3720" s="7" t="n">
        <v>1</v>
      </c>
      <c r="G3720" s="7" t="n">
        <v>55.85</v>
      </c>
    </row>
    <row r="3721" customFormat="false" ht="15" hidden="false" customHeight="false" outlineLevel="0" collapsed="false">
      <c r="A3721" s="7" t="s">
        <v>24</v>
      </c>
      <c r="B3721" s="7" t="s">
        <v>657</v>
      </c>
      <c r="C3721" s="7" t="s">
        <v>1056</v>
      </c>
      <c r="D3721" s="7" t="n">
        <v>0</v>
      </c>
      <c r="E3721" s="7" t="n">
        <v>0</v>
      </c>
      <c r="F3721" s="7" t="n">
        <v>1</v>
      </c>
      <c r="G3721" s="7" t="n">
        <v>55.85</v>
      </c>
    </row>
    <row r="3722" customFormat="false" ht="15" hidden="false" customHeight="false" outlineLevel="0" collapsed="false">
      <c r="A3722" s="7" t="s">
        <v>24</v>
      </c>
      <c r="B3722" s="7" t="s">
        <v>657</v>
      </c>
      <c r="C3722" s="7" t="s">
        <v>1056</v>
      </c>
      <c r="D3722" s="7" t="n">
        <v>0</v>
      </c>
      <c r="E3722" s="7" t="n">
        <v>0</v>
      </c>
      <c r="F3722" s="7" t="n">
        <v>2</v>
      </c>
      <c r="G3722" s="7" t="n">
        <v>111.69</v>
      </c>
    </row>
    <row r="3723" customFormat="false" ht="15" hidden="false" customHeight="false" outlineLevel="0" collapsed="false">
      <c r="A3723" s="7" t="s">
        <v>24</v>
      </c>
      <c r="B3723" s="7" t="s">
        <v>657</v>
      </c>
      <c r="C3723" s="7" t="s">
        <v>1056</v>
      </c>
      <c r="D3723" s="7" t="n">
        <v>0</v>
      </c>
      <c r="E3723" s="7" t="n">
        <v>0</v>
      </c>
      <c r="F3723" s="7" t="n">
        <v>1</v>
      </c>
      <c r="G3723" s="7" t="n">
        <v>55.85</v>
      </c>
    </row>
    <row r="3724" customFormat="false" ht="15" hidden="false" customHeight="false" outlineLevel="0" collapsed="false">
      <c r="A3724" s="7" t="s">
        <v>24</v>
      </c>
      <c r="B3724" s="7" t="s">
        <v>657</v>
      </c>
      <c r="C3724" s="7" t="s">
        <v>1056</v>
      </c>
      <c r="D3724" s="7" t="n">
        <v>1</v>
      </c>
      <c r="E3724" s="7" t="n">
        <v>54.15</v>
      </c>
      <c r="F3724" s="7" t="n">
        <v>0</v>
      </c>
      <c r="G3724" s="7" t="n">
        <v>0</v>
      </c>
    </row>
    <row r="3725" customFormat="false" ht="15" hidden="false" customHeight="false" outlineLevel="0" collapsed="false">
      <c r="A3725" s="7" t="s">
        <v>24</v>
      </c>
      <c r="B3725" s="7" t="s">
        <v>657</v>
      </c>
      <c r="C3725" s="7" t="s">
        <v>1056</v>
      </c>
      <c r="D3725" s="7" t="n">
        <v>0</v>
      </c>
      <c r="E3725" s="7" t="n">
        <v>0</v>
      </c>
      <c r="F3725" s="7" t="n">
        <v>1</v>
      </c>
      <c r="G3725" s="7" t="n">
        <v>55.85</v>
      </c>
    </row>
    <row r="3726" customFormat="false" ht="15" hidden="false" customHeight="false" outlineLevel="0" collapsed="false">
      <c r="A3726" s="7" t="s">
        <v>24</v>
      </c>
      <c r="B3726" s="7" t="s">
        <v>657</v>
      </c>
      <c r="C3726" s="7" t="s">
        <v>1056</v>
      </c>
      <c r="D3726" s="7" t="n">
        <v>13</v>
      </c>
      <c r="E3726" s="7" t="n">
        <v>639.47</v>
      </c>
      <c r="F3726" s="7" t="n">
        <v>8</v>
      </c>
      <c r="G3726" s="7" t="n">
        <v>446.8</v>
      </c>
    </row>
    <row r="3727" customFormat="false" ht="15" hidden="false" customHeight="false" outlineLevel="0" collapsed="false">
      <c r="A3727" s="7" t="s">
        <v>24</v>
      </c>
      <c r="B3727" s="7" t="s">
        <v>657</v>
      </c>
      <c r="C3727" s="7" t="s">
        <v>1056</v>
      </c>
      <c r="D3727" s="7" t="n">
        <v>0</v>
      </c>
      <c r="E3727" s="7" t="n">
        <v>0</v>
      </c>
      <c r="F3727" s="7" t="n">
        <v>1</v>
      </c>
      <c r="G3727" s="7" t="n">
        <v>50.26</v>
      </c>
    </row>
    <row r="3728" customFormat="false" ht="15" hidden="false" customHeight="false" outlineLevel="0" collapsed="false">
      <c r="A3728" s="7" t="s">
        <v>24</v>
      </c>
      <c r="B3728" s="7" t="s">
        <v>657</v>
      </c>
      <c r="C3728" s="7" t="s">
        <v>1056</v>
      </c>
      <c r="D3728" s="7" t="n">
        <v>0</v>
      </c>
      <c r="E3728" s="7" t="n">
        <v>0</v>
      </c>
      <c r="F3728" s="7" t="n">
        <v>1</v>
      </c>
      <c r="G3728" s="7" t="n">
        <v>55.85</v>
      </c>
    </row>
    <row r="3729" customFormat="false" ht="15" hidden="false" customHeight="false" outlineLevel="0" collapsed="false">
      <c r="A3729" s="7" t="s">
        <v>24</v>
      </c>
      <c r="B3729" s="7" t="s">
        <v>677</v>
      </c>
      <c r="C3729" s="7" t="s">
        <v>1159</v>
      </c>
      <c r="D3729" s="7" t="n">
        <v>0</v>
      </c>
      <c r="E3729" s="7" t="n">
        <v>0</v>
      </c>
      <c r="F3729" s="7" t="n">
        <v>2</v>
      </c>
      <c r="G3729" s="7" t="n">
        <v>135.42</v>
      </c>
    </row>
    <row r="3730" customFormat="false" ht="15" hidden="false" customHeight="false" outlineLevel="0" collapsed="false">
      <c r="A3730" s="7" t="s">
        <v>24</v>
      </c>
      <c r="B3730" s="7" t="s">
        <v>677</v>
      </c>
      <c r="C3730" s="7" t="s">
        <v>1159</v>
      </c>
      <c r="D3730" s="7" t="n">
        <v>8</v>
      </c>
      <c r="E3730" s="7" t="n">
        <v>521.37</v>
      </c>
      <c r="F3730" s="7" t="n">
        <v>2</v>
      </c>
      <c r="G3730" s="7" t="n">
        <v>135.42</v>
      </c>
    </row>
    <row r="3731" customFormat="false" ht="15" hidden="false" customHeight="false" outlineLevel="0" collapsed="false">
      <c r="A3731" s="7" t="s">
        <v>24</v>
      </c>
      <c r="B3731" s="7" t="s">
        <v>677</v>
      </c>
      <c r="C3731" s="7" t="s">
        <v>1159</v>
      </c>
      <c r="D3731" s="7" t="n">
        <v>0</v>
      </c>
      <c r="E3731" s="7" t="n">
        <v>0</v>
      </c>
      <c r="F3731" s="7" t="n">
        <v>1</v>
      </c>
      <c r="G3731" s="7" t="n">
        <v>67.72</v>
      </c>
    </row>
    <row r="3732" customFormat="false" ht="15" hidden="false" customHeight="false" outlineLevel="0" collapsed="false">
      <c r="A3732" s="7" t="s">
        <v>24</v>
      </c>
      <c r="B3732" s="7" t="s">
        <v>677</v>
      </c>
      <c r="C3732" s="7" t="s">
        <v>1159</v>
      </c>
      <c r="D3732" s="7" t="n">
        <v>0</v>
      </c>
      <c r="E3732" s="7" t="n">
        <v>0</v>
      </c>
      <c r="F3732" s="7" t="n">
        <v>1</v>
      </c>
      <c r="G3732" s="7" t="n">
        <v>57.56</v>
      </c>
    </row>
    <row r="3733" customFormat="false" ht="15" hidden="false" customHeight="false" outlineLevel="0" collapsed="false">
      <c r="A3733" s="7" t="s">
        <v>24</v>
      </c>
      <c r="B3733" s="7" t="s">
        <v>688</v>
      </c>
      <c r="C3733" s="7" t="s">
        <v>1159</v>
      </c>
      <c r="D3733" s="7" t="n">
        <v>2</v>
      </c>
      <c r="E3733" s="7" t="n">
        <v>111.72</v>
      </c>
      <c r="F3733" s="7" t="n">
        <v>0</v>
      </c>
      <c r="G3733" s="7" t="n">
        <v>0</v>
      </c>
    </row>
    <row r="3734" customFormat="false" ht="15" hidden="false" customHeight="false" outlineLevel="0" collapsed="false">
      <c r="A3734" s="7" t="s">
        <v>24</v>
      </c>
      <c r="B3734" s="7" t="s">
        <v>688</v>
      </c>
      <c r="C3734" s="7" t="s">
        <v>1159</v>
      </c>
      <c r="D3734" s="7" t="n">
        <v>1</v>
      </c>
      <c r="E3734" s="7" t="n">
        <v>54.97</v>
      </c>
      <c r="F3734" s="7" t="n">
        <v>0</v>
      </c>
      <c r="G3734" s="7" t="n">
        <v>0</v>
      </c>
    </row>
    <row r="3735" customFormat="false" ht="15" hidden="false" customHeight="false" outlineLevel="0" collapsed="false">
      <c r="A3735" s="7" t="s">
        <v>24</v>
      </c>
      <c r="B3735" s="7" t="s">
        <v>688</v>
      </c>
      <c r="C3735" s="7" t="s">
        <v>1159</v>
      </c>
      <c r="D3735" s="7" t="n">
        <v>0</v>
      </c>
      <c r="E3735" s="7" t="n">
        <v>0</v>
      </c>
      <c r="F3735" s="7" t="n">
        <v>1</v>
      </c>
      <c r="G3735" s="7" t="n">
        <v>60.95</v>
      </c>
    </row>
    <row r="3736" customFormat="false" ht="15" hidden="false" customHeight="false" outlineLevel="0" collapsed="false">
      <c r="A3736" s="7" t="s">
        <v>24</v>
      </c>
      <c r="B3736" s="7" t="s">
        <v>707</v>
      </c>
      <c r="C3736" s="7" t="s">
        <v>1159</v>
      </c>
      <c r="D3736" s="7" t="n">
        <v>2</v>
      </c>
      <c r="E3736" s="7" t="n">
        <v>108.34</v>
      </c>
      <c r="F3736" s="7" t="n">
        <v>3</v>
      </c>
      <c r="G3736" s="7" t="n">
        <v>196.36</v>
      </c>
    </row>
    <row r="3737" customFormat="false" ht="15" hidden="false" customHeight="false" outlineLevel="0" collapsed="false">
      <c r="A3737" s="7" t="s">
        <v>24</v>
      </c>
      <c r="B3737" s="7" t="s">
        <v>766</v>
      </c>
      <c r="C3737" s="7" t="s">
        <v>1159</v>
      </c>
      <c r="D3737" s="7" t="n">
        <v>0</v>
      </c>
      <c r="E3737" s="7" t="n">
        <v>0</v>
      </c>
      <c r="F3737" s="7" t="n">
        <v>1</v>
      </c>
      <c r="G3737" s="7" t="n">
        <v>67.71</v>
      </c>
    </row>
    <row r="3738" customFormat="false" ht="15" hidden="false" customHeight="false" outlineLevel="0" collapsed="false">
      <c r="A3738" s="7" t="s">
        <v>24</v>
      </c>
      <c r="B3738" s="7" t="s">
        <v>766</v>
      </c>
      <c r="C3738" s="7" t="s">
        <v>1159</v>
      </c>
      <c r="D3738" s="7" t="n">
        <v>1</v>
      </c>
      <c r="E3738" s="7" t="n">
        <v>65.17</v>
      </c>
      <c r="F3738" s="7" t="n">
        <v>0</v>
      </c>
      <c r="G3738" s="7" t="n">
        <v>0</v>
      </c>
    </row>
    <row r="3739" customFormat="false" ht="15" hidden="false" customHeight="false" outlineLevel="0" collapsed="false">
      <c r="A3739" s="7" t="s">
        <v>24</v>
      </c>
      <c r="B3739" s="7" t="s">
        <v>766</v>
      </c>
      <c r="C3739" s="7" t="s">
        <v>1159</v>
      </c>
      <c r="D3739" s="7" t="n">
        <v>5</v>
      </c>
      <c r="E3739" s="7" t="n">
        <v>297.93</v>
      </c>
      <c r="F3739" s="7" t="n">
        <v>4</v>
      </c>
      <c r="G3739" s="7" t="n">
        <v>264.07</v>
      </c>
    </row>
    <row r="3740" customFormat="false" ht="15" hidden="false" customHeight="false" outlineLevel="0" collapsed="false">
      <c r="A3740" s="7" t="s">
        <v>24</v>
      </c>
      <c r="B3740" s="7" t="s">
        <v>628</v>
      </c>
      <c r="C3740" s="7" t="s">
        <v>1159</v>
      </c>
      <c r="D3740" s="7" t="n">
        <v>8</v>
      </c>
      <c r="E3740" s="7" t="n">
        <v>487.52</v>
      </c>
      <c r="F3740" s="7" t="n">
        <v>9</v>
      </c>
      <c r="G3740" s="7" t="n">
        <v>609.4</v>
      </c>
    </row>
    <row r="3741" customFormat="false" ht="15" hidden="false" customHeight="false" outlineLevel="0" collapsed="false">
      <c r="A3741" s="7" t="s">
        <v>24</v>
      </c>
      <c r="B3741" s="7" t="s">
        <v>628</v>
      </c>
      <c r="C3741" s="7" t="s">
        <v>1159</v>
      </c>
      <c r="D3741" s="7" t="n">
        <v>0</v>
      </c>
      <c r="E3741" s="7" t="n">
        <v>0</v>
      </c>
      <c r="F3741" s="7" t="n">
        <v>1</v>
      </c>
      <c r="G3741" s="7" t="n">
        <v>60.94</v>
      </c>
    </row>
    <row r="3742" customFormat="false" ht="15" hidden="false" customHeight="false" outlineLevel="0" collapsed="false">
      <c r="A3742" s="7" t="s">
        <v>24</v>
      </c>
      <c r="B3742" s="7" t="s">
        <v>628</v>
      </c>
      <c r="C3742" s="7" t="s">
        <v>1159</v>
      </c>
      <c r="D3742" s="7" t="n">
        <v>3</v>
      </c>
      <c r="E3742" s="7" t="n">
        <v>195.51</v>
      </c>
      <c r="F3742" s="7" t="n">
        <v>0</v>
      </c>
      <c r="G3742" s="7" t="n">
        <v>0</v>
      </c>
    </row>
    <row r="3743" customFormat="false" ht="15" hidden="false" customHeight="false" outlineLevel="0" collapsed="false">
      <c r="A3743" s="7" t="s">
        <v>24</v>
      </c>
      <c r="B3743" s="7" t="s">
        <v>628</v>
      </c>
      <c r="C3743" s="7" t="s">
        <v>1159</v>
      </c>
      <c r="D3743" s="7" t="n">
        <v>0</v>
      </c>
      <c r="E3743" s="7" t="n">
        <v>0</v>
      </c>
      <c r="F3743" s="7" t="n">
        <v>1</v>
      </c>
      <c r="G3743" s="7" t="n">
        <v>67.71</v>
      </c>
    </row>
    <row r="3744" customFormat="false" ht="15" hidden="false" customHeight="false" outlineLevel="0" collapsed="false">
      <c r="A3744" s="7" t="s">
        <v>24</v>
      </c>
      <c r="B3744" s="7" t="s">
        <v>628</v>
      </c>
      <c r="C3744" s="7" t="s">
        <v>1159</v>
      </c>
      <c r="D3744" s="7" t="n">
        <v>0</v>
      </c>
      <c r="E3744" s="7" t="n">
        <v>0</v>
      </c>
      <c r="F3744" s="7" t="n">
        <v>1</v>
      </c>
      <c r="G3744" s="7" t="n">
        <v>57.56</v>
      </c>
    </row>
    <row r="3745" customFormat="false" ht="15" hidden="false" customHeight="false" outlineLevel="0" collapsed="false">
      <c r="A3745" s="7" t="s">
        <v>24</v>
      </c>
      <c r="B3745" s="7" t="s">
        <v>628</v>
      </c>
      <c r="C3745" s="7" t="s">
        <v>1159</v>
      </c>
      <c r="D3745" s="7" t="n">
        <v>0</v>
      </c>
      <c r="E3745" s="7" t="n">
        <v>0</v>
      </c>
      <c r="F3745" s="7" t="n">
        <v>1</v>
      </c>
      <c r="G3745" s="7" t="n">
        <v>60.94</v>
      </c>
    </row>
    <row r="3746" customFormat="false" ht="15" hidden="false" customHeight="false" outlineLevel="0" collapsed="false">
      <c r="A3746" s="7" t="s">
        <v>24</v>
      </c>
      <c r="B3746" s="7" t="s">
        <v>455</v>
      </c>
      <c r="C3746" s="7" t="s">
        <v>1247</v>
      </c>
      <c r="D3746" s="7" t="n">
        <v>1</v>
      </c>
      <c r="E3746" s="7" t="n">
        <v>54.17</v>
      </c>
      <c r="F3746" s="7" t="n">
        <v>1</v>
      </c>
      <c r="G3746" s="7" t="n">
        <v>67.71</v>
      </c>
    </row>
    <row r="3747" customFormat="false" ht="15" hidden="false" customHeight="false" outlineLevel="0" collapsed="false">
      <c r="A3747" s="7" t="s">
        <v>24</v>
      </c>
      <c r="B3747" s="7" t="s">
        <v>455</v>
      </c>
      <c r="C3747" s="7" t="s">
        <v>1247</v>
      </c>
      <c r="D3747" s="7" t="n">
        <v>0</v>
      </c>
      <c r="E3747" s="7" t="n">
        <v>0</v>
      </c>
      <c r="F3747" s="7" t="n">
        <v>1</v>
      </c>
      <c r="G3747" s="7" t="n">
        <v>67.71</v>
      </c>
    </row>
    <row r="3748" customFormat="false" ht="15" hidden="false" customHeight="false" outlineLevel="0" collapsed="false">
      <c r="A3748" s="7" t="s">
        <v>24</v>
      </c>
      <c r="B3748" s="7" t="s">
        <v>455</v>
      </c>
      <c r="C3748" s="7" t="s">
        <v>1247</v>
      </c>
      <c r="D3748" s="7" t="n">
        <v>0</v>
      </c>
      <c r="E3748" s="7" t="n">
        <v>0</v>
      </c>
      <c r="F3748" s="7" t="n">
        <v>1</v>
      </c>
      <c r="G3748" s="7" t="n">
        <v>67.71</v>
      </c>
    </row>
    <row r="3749" customFormat="false" ht="15" hidden="false" customHeight="false" outlineLevel="0" collapsed="false">
      <c r="A3749" s="7" t="s">
        <v>24</v>
      </c>
      <c r="B3749" s="7" t="s">
        <v>455</v>
      </c>
      <c r="C3749" s="7" t="s">
        <v>1247</v>
      </c>
      <c r="D3749" s="7" t="n">
        <v>0</v>
      </c>
      <c r="E3749" s="7" t="n">
        <v>0</v>
      </c>
      <c r="F3749" s="7" t="n">
        <v>2</v>
      </c>
      <c r="G3749" s="7" t="n">
        <v>121.88</v>
      </c>
    </row>
    <row r="3750" customFormat="false" ht="15" hidden="false" customHeight="false" outlineLevel="0" collapsed="false">
      <c r="A3750" s="7" t="s">
        <v>24</v>
      </c>
      <c r="B3750" s="7" t="s">
        <v>455</v>
      </c>
      <c r="C3750" s="7" t="s">
        <v>1247</v>
      </c>
      <c r="D3750" s="7" t="n">
        <v>0</v>
      </c>
      <c r="E3750" s="7" t="n">
        <v>0</v>
      </c>
      <c r="F3750" s="7" t="n">
        <v>2</v>
      </c>
      <c r="G3750" s="7" t="n">
        <v>135.42</v>
      </c>
    </row>
    <row r="3751" customFormat="false" ht="15" hidden="false" customHeight="false" outlineLevel="0" collapsed="false">
      <c r="A3751" s="7" t="s">
        <v>24</v>
      </c>
      <c r="B3751" s="7" t="s">
        <v>496</v>
      </c>
      <c r="C3751" s="7" t="s">
        <v>1247</v>
      </c>
      <c r="D3751" s="7" t="n">
        <v>0</v>
      </c>
      <c r="E3751" s="7" t="n">
        <v>0</v>
      </c>
      <c r="F3751" s="7" t="n">
        <v>1</v>
      </c>
      <c r="G3751" s="7" t="n">
        <v>60.94</v>
      </c>
    </row>
    <row r="3752" customFormat="false" ht="15" hidden="false" customHeight="false" outlineLevel="0" collapsed="false">
      <c r="A3752" s="7" t="s">
        <v>24</v>
      </c>
      <c r="B3752" s="7" t="s">
        <v>496</v>
      </c>
      <c r="C3752" s="7" t="s">
        <v>1247</v>
      </c>
      <c r="D3752" s="7" t="n">
        <v>9</v>
      </c>
      <c r="E3752" s="7" t="n">
        <v>582.31</v>
      </c>
      <c r="F3752" s="7" t="n">
        <v>7</v>
      </c>
      <c r="G3752" s="7" t="n">
        <v>453.66</v>
      </c>
    </row>
    <row r="3753" customFormat="false" ht="15" hidden="false" customHeight="false" outlineLevel="0" collapsed="false">
      <c r="A3753" s="7" t="s">
        <v>24</v>
      </c>
      <c r="B3753" s="7" t="s">
        <v>496</v>
      </c>
      <c r="C3753" s="7" t="s">
        <v>1247</v>
      </c>
      <c r="D3753" s="7" t="n">
        <v>0</v>
      </c>
      <c r="E3753" s="7" t="n">
        <v>0</v>
      </c>
      <c r="F3753" s="7" t="n">
        <v>1</v>
      </c>
      <c r="G3753" s="7" t="n">
        <v>67.71</v>
      </c>
    </row>
    <row r="3754" customFormat="false" ht="15" hidden="false" customHeight="false" outlineLevel="0" collapsed="false">
      <c r="A3754" s="7" t="s">
        <v>24</v>
      </c>
      <c r="B3754" s="7" t="s">
        <v>496</v>
      </c>
      <c r="C3754" s="7" t="s">
        <v>1247</v>
      </c>
      <c r="D3754" s="7" t="n">
        <v>0</v>
      </c>
      <c r="E3754" s="7" t="n">
        <v>0</v>
      </c>
      <c r="F3754" s="7" t="n">
        <v>1</v>
      </c>
      <c r="G3754" s="7" t="n">
        <v>60.94</v>
      </c>
    </row>
    <row r="3755" customFormat="false" ht="15" hidden="false" customHeight="false" outlineLevel="0" collapsed="false">
      <c r="A3755" s="7" t="s">
        <v>24</v>
      </c>
      <c r="B3755" s="7" t="s">
        <v>496</v>
      </c>
      <c r="C3755" s="7" t="s">
        <v>1247</v>
      </c>
      <c r="D3755" s="7" t="n">
        <v>0</v>
      </c>
      <c r="E3755" s="7" t="n">
        <v>0</v>
      </c>
      <c r="F3755" s="7" t="n">
        <v>1</v>
      </c>
      <c r="G3755" s="7" t="n">
        <v>67.72</v>
      </c>
    </row>
    <row r="3756" customFormat="false" ht="15" hidden="false" customHeight="false" outlineLevel="0" collapsed="false">
      <c r="A3756" s="7" t="s">
        <v>24</v>
      </c>
      <c r="B3756" s="7" t="s">
        <v>496</v>
      </c>
      <c r="C3756" s="7" t="s">
        <v>1247</v>
      </c>
      <c r="D3756" s="7" t="n">
        <v>0</v>
      </c>
      <c r="E3756" s="7" t="n">
        <v>0</v>
      </c>
      <c r="F3756" s="7" t="n">
        <v>1</v>
      </c>
      <c r="G3756" s="7" t="n">
        <v>67.71</v>
      </c>
    </row>
    <row r="3757" customFormat="false" ht="15" hidden="false" customHeight="false" outlineLevel="0" collapsed="false">
      <c r="A3757" s="7" t="s">
        <v>24</v>
      </c>
      <c r="B3757" s="7" t="s">
        <v>496</v>
      </c>
      <c r="C3757" s="7" t="s">
        <v>1247</v>
      </c>
      <c r="D3757" s="7" t="n">
        <v>0</v>
      </c>
      <c r="E3757" s="7" t="n">
        <v>0</v>
      </c>
      <c r="F3757" s="7" t="n">
        <v>2</v>
      </c>
      <c r="G3757" s="7" t="n">
        <v>135.42</v>
      </c>
    </row>
    <row r="3758" customFormat="false" ht="15" hidden="false" customHeight="false" outlineLevel="0" collapsed="false">
      <c r="A3758" s="7" t="s">
        <v>24</v>
      </c>
      <c r="B3758" s="7" t="s">
        <v>729</v>
      </c>
      <c r="C3758" s="7" t="s">
        <v>1247</v>
      </c>
      <c r="D3758" s="7" t="n">
        <v>2</v>
      </c>
      <c r="E3758" s="7" t="n">
        <v>135.42</v>
      </c>
      <c r="F3758" s="7" t="n">
        <v>1</v>
      </c>
      <c r="G3758" s="7" t="n">
        <v>60.94</v>
      </c>
    </row>
    <row r="3759" customFormat="false" ht="15" hidden="false" customHeight="false" outlineLevel="0" collapsed="false">
      <c r="A3759" s="7" t="s">
        <v>24</v>
      </c>
      <c r="B3759" s="7" t="s">
        <v>669</v>
      </c>
      <c r="C3759" s="7" t="s">
        <v>1247</v>
      </c>
      <c r="D3759" s="7" t="n">
        <v>0</v>
      </c>
      <c r="E3759" s="7" t="n">
        <v>0</v>
      </c>
      <c r="F3759" s="7" t="n">
        <v>1</v>
      </c>
      <c r="G3759" s="7" t="n">
        <v>67.71</v>
      </c>
    </row>
    <row r="3760" customFormat="false" ht="15" hidden="false" customHeight="false" outlineLevel="0" collapsed="false">
      <c r="A3760" s="7" t="s">
        <v>24</v>
      </c>
      <c r="B3760" s="7" t="s">
        <v>669</v>
      </c>
      <c r="C3760" s="7" t="s">
        <v>1247</v>
      </c>
      <c r="D3760" s="7" t="n">
        <v>0</v>
      </c>
      <c r="E3760" s="7" t="n">
        <v>0</v>
      </c>
      <c r="F3760" s="7" t="n">
        <v>1</v>
      </c>
      <c r="G3760" s="7" t="n">
        <v>60.94</v>
      </c>
    </row>
    <row r="3761" customFormat="false" ht="15" hidden="false" customHeight="false" outlineLevel="0" collapsed="false">
      <c r="A3761" s="7" t="s">
        <v>24</v>
      </c>
      <c r="B3761" s="7" t="s">
        <v>666</v>
      </c>
      <c r="C3761" s="7" t="s">
        <v>1247</v>
      </c>
      <c r="D3761" s="7" t="n">
        <v>0</v>
      </c>
      <c r="E3761" s="7" t="n">
        <v>0</v>
      </c>
      <c r="F3761" s="7" t="n">
        <v>1</v>
      </c>
      <c r="G3761" s="7" t="n">
        <v>60.94</v>
      </c>
    </row>
    <row r="3762" customFormat="false" ht="15" hidden="false" customHeight="false" outlineLevel="0" collapsed="false">
      <c r="A3762" s="7" t="s">
        <v>24</v>
      </c>
      <c r="B3762" s="7" t="s">
        <v>666</v>
      </c>
      <c r="C3762" s="7" t="s">
        <v>1247</v>
      </c>
      <c r="D3762" s="7" t="n">
        <v>8</v>
      </c>
      <c r="E3762" s="7" t="n">
        <v>463.82</v>
      </c>
      <c r="F3762" s="7" t="n">
        <v>4</v>
      </c>
      <c r="G3762" s="7" t="n">
        <v>270.84</v>
      </c>
    </row>
    <row r="3763" customFormat="false" ht="15" hidden="false" customHeight="false" outlineLevel="0" collapsed="false">
      <c r="A3763" s="7" t="s">
        <v>24</v>
      </c>
      <c r="B3763" s="7" t="s">
        <v>666</v>
      </c>
      <c r="C3763" s="7" t="s">
        <v>1247</v>
      </c>
      <c r="D3763" s="7" t="n">
        <v>0</v>
      </c>
      <c r="E3763" s="7" t="n">
        <v>0</v>
      </c>
      <c r="F3763" s="7" t="n">
        <v>1</v>
      </c>
      <c r="G3763" s="7" t="n">
        <v>67.71</v>
      </c>
    </row>
    <row r="3764" customFormat="false" ht="15" hidden="false" customHeight="false" outlineLevel="0" collapsed="false">
      <c r="A3764" s="7" t="s">
        <v>24</v>
      </c>
      <c r="B3764" s="7" t="s">
        <v>666</v>
      </c>
      <c r="C3764" s="7" t="s">
        <v>1247</v>
      </c>
      <c r="D3764" s="7" t="n">
        <v>0</v>
      </c>
      <c r="E3764" s="7" t="n">
        <v>0</v>
      </c>
      <c r="F3764" s="7" t="n">
        <v>1</v>
      </c>
      <c r="G3764" s="7" t="n">
        <v>67.71</v>
      </c>
    </row>
    <row r="3765" customFormat="false" ht="15" hidden="false" customHeight="false" outlineLevel="0" collapsed="false">
      <c r="A3765" s="7" t="s">
        <v>24</v>
      </c>
      <c r="B3765" s="7" t="s">
        <v>666</v>
      </c>
      <c r="C3765" s="7" t="s">
        <v>1247</v>
      </c>
      <c r="D3765" s="7" t="n">
        <v>0</v>
      </c>
      <c r="E3765" s="7" t="n">
        <v>0</v>
      </c>
      <c r="F3765" s="7" t="n">
        <v>2</v>
      </c>
      <c r="G3765" s="7" t="n">
        <v>121.89</v>
      </c>
    </row>
    <row r="3766" customFormat="false" ht="15" hidden="false" customHeight="false" outlineLevel="0" collapsed="false">
      <c r="A3766" s="7" t="s">
        <v>24</v>
      </c>
      <c r="B3766" s="7" t="s">
        <v>666</v>
      </c>
      <c r="C3766" s="7" t="s">
        <v>1247</v>
      </c>
      <c r="D3766" s="7" t="n">
        <v>0</v>
      </c>
      <c r="E3766" s="7" t="n">
        <v>0</v>
      </c>
      <c r="F3766" s="7" t="n">
        <v>2</v>
      </c>
      <c r="G3766" s="7" t="n">
        <v>135.43</v>
      </c>
    </row>
    <row r="3767" customFormat="false" ht="15" hidden="false" customHeight="false" outlineLevel="0" collapsed="false">
      <c r="A3767" s="7" t="s">
        <v>24</v>
      </c>
      <c r="B3767" s="7" t="s">
        <v>666</v>
      </c>
      <c r="C3767" s="7" t="s">
        <v>1247</v>
      </c>
      <c r="D3767" s="7" t="n">
        <v>2</v>
      </c>
      <c r="E3767" s="7" t="n">
        <v>130.34</v>
      </c>
      <c r="F3767" s="7" t="n">
        <v>0</v>
      </c>
      <c r="G3767" s="7" t="n">
        <v>0</v>
      </c>
    </row>
    <row r="3768" customFormat="false" ht="15" hidden="false" customHeight="false" outlineLevel="0" collapsed="false">
      <c r="A3768" s="7" t="s">
        <v>24</v>
      </c>
      <c r="B3768" s="7" t="s">
        <v>598</v>
      </c>
      <c r="C3768" s="7" t="s">
        <v>1248</v>
      </c>
      <c r="D3768" s="7" t="n">
        <v>2</v>
      </c>
      <c r="E3768" s="7" t="n">
        <v>189.55</v>
      </c>
      <c r="F3768" s="7" t="n">
        <v>0</v>
      </c>
      <c r="G3768" s="7" t="n">
        <v>-10.25</v>
      </c>
    </row>
    <row r="3769" customFormat="false" ht="15" hidden="false" customHeight="false" outlineLevel="0" collapsed="false">
      <c r="A3769" s="7" t="s">
        <v>24</v>
      </c>
      <c r="B3769" s="7" t="s">
        <v>594</v>
      </c>
      <c r="C3769" s="7" t="s">
        <v>1248</v>
      </c>
      <c r="D3769" s="7" t="n">
        <v>0</v>
      </c>
      <c r="E3769" s="7" t="n">
        <v>0</v>
      </c>
      <c r="F3769" s="7" t="n">
        <v>2</v>
      </c>
      <c r="G3769" s="7" t="n">
        <v>204.92</v>
      </c>
    </row>
    <row r="3770" customFormat="false" ht="15" hidden="false" customHeight="false" outlineLevel="0" collapsed="false">
      <c r="A3770" s="7" t="s">
        <v>24</v>
      </c>
      <c r="B3770" s="7" t="s">
        <v>532</v>
      </c>
      <c r="C3770" s="7" t="s">
        <v>1248</v>
      </c>
      <c r="D3770" s="7" t="n">
        <v>0</v>
      </c>
      <c r="E3770" s="7" t="n">
        <v>0</v>
      </c>
      <c r="F3770" s="7" t="n">
        <v>1</v>
      </c>
      <c r="G3770" s="7" t="n">
        <v>102.46</v>
      </c>
    </row>
    <row r="3771" customFormat="false" ht="15" hidden="false" customHeight="false" outlineLevel="0" collapsed="false">
      <c r="A3771" s="7" t="s">
        <v>24</v>
      </c>
      <c r="B3771" s="7" t="s">
        <v>532</v>
      </c>
      <c r="C3771" s="7" t="s">
        <v>1248</v>
      </c>
      <c r="D3771" s="7" t="n">
        <v>4</v>
      </c>
      <c r="E3771" s="7" t="n">
        <v>394.47</v>
      </c>
      <c r="F3771" s="7" t="n">
        <v>0</v>
      </c>
      <c r="G3771" s="7" t="n">
        <v>0</v>
      </c>
    </row>
    <row r="3772" customFormat="false" ht="15" hidden="false" customHeight="false" outlineLevel="0" collapsed="false">
      <c r="A3772" s="7" t="s">
        <v>24</v>
      </c>
      <c r="B3772" s="7" t="s">
        <v>709</v>
      </c>
      <c r="C3772" s="7" t="s">
        <v>1248</v>
      </c>
      <c r="D3772" s="7" t="n">
        <v>1</v>
      </c>
      <c r="E3772" s="7" t="n">
        <v>87.09</v>
      </c>
      <c r="F3772" s="7" t="n">
        <v>0</v>
      </c>
      <c r="G3772" s="7" t="n">
        <v>0</v>
      </c>
    </row>
    <row r="3773" customFormat="false" ht="15" hidden="false" customHeight="false" outlineLevel="0" collapsed="false">
      <c r="A3773" s="7" t="s">
        <v>24</v>
      </c>
      <c r="B3773" s="7" t="s">
        <v>796</v>
      </c>
      <c r="C3773" s="7" t="s">
        <v>1248</v>
      </c>
      <c r="D3773" s="7" t="n">
        <v>4</v>
      </c>
      <c r="E3773" s="7" t="n">
        <v>409.84</v>
      </c>
      <c r="F3773" s="7" t="n">
        <v>1</v>
      </c>
      <c r="G3773" s="7" t="n">
        <v>92.21</v>
      </c>
    </row>
    <row r="3774" customFormat="false" ht="15" hidden="false" customHeight="false" outlineLevel="0" collapsed="false">
      <c r="A3774" s="7" t="s">
        <v>24</v>
      </c>
      <c r="B3774" s="7" t="s">
        <v>796</v>
      </c>
      <c r="C3774" s="7" t="s">
        <v>1248</v>
      </c>
      <c r="D3774" s="7" t="n">
        <v>0</v>
      </c>
      <c r="E3774" s="7" t="n">
        <v>0</v>
      </c>
      <c r="F3774" s="7" t="n">
        <v>2</v>
      </c>
      <c r="G3774" s="7" t="n">
        <v>204.91</v>
      </c>
    </row>
    <row r="3775" customFormat="false" ht="15" hidden="false" customHeight="false" outlineLevel="0" collapsed="false">
      <c r="A3775" s="7" t="s">
        <v>24</v>
      </c>
      <c r="B3775" s="7" t="s">
        <v>796</v>
      </c>
      <c r="C3775" s="7" t="s">
        <v>1248</v>
      </c>
      <c r="D3775" s="7" t="n">
        <v>0</v>
      </c>
      <c r="E3775" s="7" t="n">
        <v>0</v>
      </c>
      <c r="F3775" s="7" t="n">
        <v>1</v>
      </c>
      <c r="G3775" s="7" t="n">
        <v>102.46</v>
      </c>
    </row>
    <row r="3776" customFormat="false" ht="15" hidden="false" customHeight="false" outlineLevel="0" collapsed="false">
      <c r="A3776" s="7" t="s">
        <v>24</v>
      </c>
      <c r="B3776" s="7" t="s">
        <v>711</v>
      </c>
      <c r="C3776" s="7" t="s">
        <v>1249</v>
      </c>
      <c r="D3776" s="7" t="n">
        <v>6</v>
      </c>
      <c r="E3776" s="7" t="n">
        <v>345.92</v>
      </c>
      <c r="F3776" s="7" t="n">
        <v>2</v>
      </c>
      <c r="G3776" s="7" t="n">
        <v>120.59</v>
      </c>
    </row>
    <row r="3777" customFormat="false" ht="15" hidden="false" customHeight="false" outlineLevel="0" collapsed="false">
      <c r="A3777" s="7" t="s">
        <v>24</v>
      </c>
      <c r="B3777" s="7" t="s">
        <v>711</v>
      </c>
      <c r="C3777" s="7" t="s">
        <v>1249</v>
      </c>
      <c r="D3777" s="7" t="n">
        <v>0</v>
      </c>
      <c r="E3777" s="7" t="n">
        <v>0</v>
      </c>
      <c r="F3777" s="7" t="n">
        <v>2</v>
      </c>
      <c r="G3777" s="7" t="n">
        <v>126.94</v>
      </c>
    </row>
    <row r="3778" customFormat="false" ht="15" hidden="false" customHeight="false" outlineLevel="0" collapsed="false">
      <c r="A3778" s="7" t="s">
        <v>24</v>
      </c>
      <c r="B3778" s="7" t="s">
        <v>711</v>
      </c>
      <c r="C3778" s="7" t="s">
        <v>1249</v>
      </c>
      <c r="D3778" s="7" t="n">
        <v>1</v>
      </c>
      <c r="E3778" s="7" t="n">
        <v>51.07</v>
      </c>
      <c r="F3778" s="7" t="n">
        <v>0</v>
      </c>
      <c r="G3778" s="7" t="n">
        <v>0</v>
      </c>
    </row>
    <row r="3779" customFormat="false" ht="15" hidden="false" customHeight="false" outlineLevel="0" collapsed="false">
      <c r="A3779" s="7" t="s">
        <v>24</v>
      </c>
      <c r="B3779" s="7" t="s">
        <v>711</v>
      </c>
      <c r="C3779" s="7" t="s">
        <v>1249</v>
      </c>
      <c r="D3779" s="7" t="n">
        <v>0</v>
      </c>
      <c r="E3779" s="7" t="n">
        <v>0</v>
      </c>
      <c r="F3779" s="7" t="n">
        <v>1</v>
      </c>
      <c r="G3779" s="7" t="n">
        <v>63.48</v>
      </c>
    </row>
    <row r="3780" customFormat="false" ht="15" hidden="false" customHeight="false" outlineLevel="0" collapsed="false">
      <c r="A3780" s="7" t="s">
        <v>24</v>
      </c>
      <c r="B3780" s="7" t="s">
        <v>449</v>
      </c>
      <c r="C3780" s="7" t="s">
        <v>1249</v>
      </c>
      <c r="D3780" s="7" t="n">
        <v>10</v>
      </c>
      <c r="E3780" s="7" t="n">
        <v>615.66</v>
      </c>
      <c r="F3780" s="7" t="n">
        <v>2</v>
      </c>
      <c r="G3780" s="7" t="n">
        <v>126.94</v>
      </c>
    </row>
    <row r="3781" customFormat="false" ht="15" hidden="false" customHeight="false" outlineLevel="0" collapsed="false">
      <c r="A3781" s="7" t="s">
        <v>24</v>
      </c>
      <c r="B3781" s="7" t="s">
        <v>449</v>
      </c>
      <c r="C3781" s="7" t="s">
        <v>1249</v>
      </c>
      <c r="D3781" s="7" t="n">
        <v>0</v>
      </c>
      <c r="E3781" s="7" t="n">
        <v>0</v>
      </c>
      <c r="F3781" s="7" t="n">
        <v>1</v>
      </c>
      <c r="G3781" s="7" t="n">
        <v>53.96</v>
      </c>
    </row>
    <row r="3782" customFormat="false" ht="15" hidden="false" customHeight="false" outlineLevel="0" collapsed="false">
      <c r="A3782" s="7" t="s">
        <v>24</v>
      </c>
      <c r="B3782" s="7" t="s">
        <v>449</v>
      </c>
      <c r="C3782" s="7" t="s">
        <v>1249</v>
      </c>
      <c r="D3782" s="7" t="n">
        <v>0</v>
      </c>
      <c r="E3782" s="7" t="n">
        <v>0</v>
      </c>
      <c r="F3782" s="7" t="n">
        <v>1</v>
      </c>
      <c r="G3782" s="7" t="n">
        <v>57.13</v>
      </c>
    </row>
    <row r="3783" customFormat="false" ht="15" hidden="false" customHeight="false" outlineLevel="0" collapsed="false">
      <c r="A3783" s="7" t="s">
        <v>24</v>
      </c>
      <c r="B3783" s="7" t="s">
        <v>449</v>
      </c>
      <c r="C3783" s="7" t="s">
        <v>1249</v>
      </c>
      <c r="D3783" s="7" t="n">
        <v>1</v>
      </c>
      <c r="E3783" s="7" t="n">
        <v>60.08</v>
      </c>
      <c r="F3783" s="7" t="n">
        <v>0</v>
      </c>
      <c r="G3783" s="7" t="n">
        <v>0</v>
      </c>
    </row>
    <row r="3784" customFormat="false" ht="15" hidden="false" customHeight="false" outlineLevel="0" collapsed="false">
      <c r="A3784" s="7" t="s">
        <v>24</v>
      </c>
      <c r="B3784" s="7" t="s">
        <v>748</v>
      </c>
      <c r="C3784" s="7" t="s">
        <v>1249</v>
      </c>
      <c r="D3784" s="7" t="n">
        <v>2</v>
      </c>
      <c r="E3784" s="7" t="n">
        <v>120.16</v>
      </c>
      <c r="F3784" s="7" t="n">
        <v>0</v>
      </c>
      <c r="G3784" s="7" t="n">
        <v>0</v>
      </c>
    </row>
    <row r="3785" customFormat="false" ht="15" hidden="false" customHeight="false" outlineLevel="0" collapsed="false">
      <c r="A3785" s="7" t="s">
        <v>24</v>
      </c>
      <c r="B3785" s="7" t="s">
        <v>748</v>
      </c>
      <c r="C3785" s="7" t="s">
        <v>1249</v>
      </c>
      <c r="D3785" s="7" t="n">
        <v>1</v>
      </c>
      <c r="E3785" s="7" t="n">
        <v>63.47</v>
      </c>
      <c r="F3785" s="7" t="n">
        <v>0</v>
      </c>
      <c r="G3785" s="7" t="n">
        <v>0</v>
      </c>
    </row>
    <row r="3786" customFormat="false" ht="15" hidden="false" customHeight="false" outlineLevel="0" collapsed="false">
      <c r="A3786" s="7" t="s">
        <v>24</v>
      </c>
      <c r="B3786" s="7" t="s">
        <v>748</v>
      </c>
      <c r="C3786" s="7" t="s">
        <v>1249</v>
      </c>
      <c r="D3786" s="7" t="n">
        <v>0</v>
      </c>
      <c r="E3786" s="7" t="n">
        <v>0</v>
      </c>
      <c r="F3786" s="7" t="n">
        <v>2</v>
      </c>
      <c r="G3786" s="7" t="n">
        <v>126.95</v>
      </c>
    </row>
    <row r="3787" customFormat="false" ht="15" hidden="false" customHeight="false" outlineLevel="0" collapsed="false">
      <c r="A3787" s="7" t="s">
        <v>24</v>
      </c>
      <c r="B3787" s="7" t="s">
        <v>682</v>
      </c>
      <c r="C3787" s="7" t="s">
        <v>1249</v>
      </c>
      <c r="D3787" s="7" t="n">
        <v>5</v>
      </c>
      <c r="E3787" s="7" t="n">
        <v>307.83</v>
      </c>
      <c r="F3787" s="7" t="n">
        <v>1</v>
      </c>
      <c r="G3787" s="7" t="n">
        <v>63.47</v>
      </c>
    </row>
    <row r="3788" customFormat="false" ht="15" hidden="false" customHeight="false" outlineLevel="0" collapsed="false">
      <c r="A3788" s="7" t="s">
        <v>24</v>
      </c>
      <c r="B3788" s="7" t="s">
        <v>682</v>
      </c>
      <c r="C3788" s="7" t="s">
        <v>1249</v>
      </c>
      <c r="D3788" s="7" t="n">
        <v>0</v>
      </c>
      <c r="E3788" s="7" t="n">
        <v>0</v>
      </c>
      <c r="F3788" s="7" t="n">
        <v>1</v>
      </c>
      <c r="G3788" s="7" t="n">
        <v>63.47</v>
      </c>
    </row>
    <row r="3789" customFormat="false" ht="15" hidden="false" customHeight="false" outlineLevel="0" collapsed="false">
      <c r="A3789" s="7" t="s">
        <v>24</v>
      </c>
      <c r="B3789" s="7" t="s">
        <v>682</v>
      </c>
      <c r="C3789" s="7" t="s">
        <v>1249</v>
      </c>
      <c r="D3789" s="7" t="n">
        <v>1</v>
      </c>
      <c r="E3789" s="7" t="n">
        <v>60.08</v>
      </c>
      <c r="F3789" s="7" t="n">
        <v>0</v>
      </c>
      <c r="G3789" s="7" t="n">
        <v>0</v>
      </c>
    </row>
    <row r="3790" customFormat="false" ht="15" hidden="false" customHeight="false" outlineLevel="0" collapsed="false">
      <c r="A3790" s="7" t="s">
        <v>24</v>
      </c>
      <c r="B3790" s="7" t="s">
        <v>682</v>
      </c>
      <c r="C3790" s="7" t="s">
        <v>1249</v>
      </c>
      <c r="D3790" s="7" t="n">
        <v>0</v>
      </c>
      <c r="E3790" s="7" t="n">
        <v>0</v>
      </c>
      <c r="F3790" s="7" t="n">
        <v>1</v>
      </c>
      <c r="G3790" s="7" t="n">
        <v>63.47</v>
      </c>
    </row>
    <row r="3791" customFormat="false" ht="15" hidden="false" customHeight="false" outlineLevel="0" collapsed="false">
      <c r="A3791" s="7" t="s">
        <v>24</v>
      </c>
      <c r="B3791" s="7" t="s">
        <v>682</v>
      </c>
      <c r="C3791" s="7" t="s">
        <v>1249</v>
      </c>
      <c r="D3791" s="7" t="n">
        <v>0</v>
      </c>
      <c r="E3791" s="7" t="n">
        <v>0</v>
      </c>
      <c r="F3791" s="7" t="n">
        <v>1</v>
      </c>
      <c r="G3791" s="7" t="n">
        <v>63.47</v>
      </c>
    </row>
    <row r="3792" customFormat="false" ht="15" hidden="false" customHeight="false" outlineLevel="0" collapsed="false">
      <c r="A3792" s="7" t="s">
        <v>24</v>
      </c>
      <c r="B3792" s="7" t="s">
        <v>690</v>
      </c>
      <c r="C3792" s="7" t="s">
        <v>1249</v>
      </c>
      <c r="D3792" s="7" t="n">
        <v>6</v>
      </c>
      <c r="E3792" s="7" t="n">
        <v>358.61</v>
      </c>
      <c r="F3792" s="7" t="n">
        <v>4</v>
      </c>
      <c r="G3792" s="7" t="n">
        <v>253.89</v>
      </c>
    </row>
    <row r="3793" customFormat="false" ht="15" hidden="false" customHeight="false" outlineLevel="0" collapsed="false">
      <c r="A3793" s="7" t="s">
        <v>24</v>
      </c>
      <c r="B3793" s="7" t="s">
        <v>338</v>
      </c>
      <c r="C3793" s="7" t="s">
        <v>1250</v>
      </c>
      <c r="D3793" s="7" t="n">
        <v>0</v>
      </c>
      <c r="E3793" s="7" t="n">
        <v>36.22</v>
      </c>
      <c r="F3793" s="7" t="n">
        <v>3</v>
      </c>
      <c r="G3793" s="7" t="n">
        <v>724.32</v>
      </c>
    </row>
    <row r="3794" customFormat="false" ht="15" hidden="false" customHeight="false" outlineLevel="0" collapsed="false">
      <c r="A3794" s="7" t="s">
        <v>24</v>
      </c>
      <c r="B3794" s="7" t="s">
        <v>338</v>
      </c>
      <c r="C3794" s="7" t="s">
        <v>1250</v>
      </c>
      <c r="D3794" s="7" t="n">
        <v>1</v>
      </c>
      <c r="E3794" s="7" t="n">
        <v>203.78</v>
      </c>
      <c r="F3794" s="7" t="n">
        <v>0</v>
      </c>
      <c r="G3794" s="7" t="n">
        <v>0</v>
      </c>
    </row>
    <row r="3795" customFormat="false" ht="15" hidden="false" customHeight="false" outlineLevel="0" collapsed="false">
      <c r="A3795" s="7" t="s">
        <v>24</v>
      </c>
      <c r="B3795" s="7" t="s">
        <v>338</v>
      </c>
      <c r="C3795" s="7" t="s">
        <v>1250</v>
      </c>
      <c r="D3795" s="7" t="n">
        <v>0</v>
      </c>
      <c r="E3795" s="7" t="n">
        <v>0</v>
      </c>
      <c r="F3795" s="7" t="n">
        <v>1</v>
      </c>
      <c r="G3795" s="7" t="n">
        <v>217.3</v>
      </c>
    </row>
    <row r="3796" customFormat="false" ht="15" hidden="false" customHeight="false" outlineLevel="0" collapsed="false">
      <c r="A3796" s="7" t="s">
        <v>24</v>
      </c>
      <c r="B3796" s="7" t="s">
        <v>420</v>
      </c>
      <c r="C3796" s="7" t="s">
        <v>1250</v>
      </c>
      <c r="D3796" s="7" t="n">
        <v>1</v>
      </c>
      <c r="E3796" s="7" t="n">
        <v>241.44</v>
      </c>
      <c r="F3796" s="7" t="n">
        <v>2</v>
      </c>
      <c r="G3796" s="7" t="n">
        <v>482.88</v>
      </c>
    </row>
    <row r="3797" customFormat="false" ht="15" hidden="false" customHeight="false" outlineLevel="0" collapsed="false">
      <c r="A3797" s="7" t="s">
        <v>24</v>
      </c>
      <c r="B3797" s="7" t="s">
        <v>420</v>
      </c>
      <c r="C3797" s="7" t="s">
        <v>1250</v>
      </c>
      <c r="D3797" s="7" t="n">
        <v>0</v>
      </c>
      <c r="E3797" s="7" t="n">
        <v>0</v>
      </c>
      <c r="F3797" s="7" t="n">
        <v>1</v>
      </c>
      <c r="G3797" s="7" t="n">
        <v>241.44</v>
      </c>
    </row>
    <row r="3798" customFormat="false" ht="15" hidden="false" customHeight="false" outlineLevel="0" collapsed="false">
      <c r="A3798" s="7" t="s">
        <v>24</v>
      </c>
      <c r="B3798" s="7" t="s">
        <v>564</v>
      </c>
      <c r="C3798" s="7" t="s">
        <v>1250</v>
      </c>
      <c r="D3798" s="7" t="n">
        <v>1</v>
      </c>
      <c r="E3798" s="7" t="n">
        <v>241.44</v>
      </c>
      <c r="F3798" s="7" t="n">
        <v>0</v>
      </c>
      <c r="G3798" s="7" t="n">
        <v>0</v>
      </c>
    </row>
    <row r="3799" customFormat="false" ht="15" hidden="false" customHeight="false" outlineLevel="0" collapsed="false">
      <c r="A3799" s="7" t="s">
        <v>24</v>
      </c>
      <c r="B3799" s="7" t="s">
        <v>423</v>
      </c>
      <c r="C3799" s="7" t="s">
        <v>1250</v>
      </c>
      <c r="D3799" s="7" t="n">
        <v>0</v>
      </c>
      <c r="E3799" s="7" t="n">
        <v>0</v>
      </c>
      <c r="F3799" s="7" t="n">
        <v>1</v>
      </c>
      <c r="G3799" s="7" t="n">
        <v>241.44</v>
      </c>
    </row>
    <row r="3800" customFormat="false" ht="15" hidden="false" customHeight="false" outlineLevel="0" collapsed="false">
      <c r="A3800" s="7" t="s">
        <v>24</v>
      </c>
      <c r="B3800" s="7" t="s">
        <v>423</v>
      </c>
      <c r="C3800" s="7" t="s">
        <v>1250</v>
      </c>
      <c r="D3800" s="7" t="n">
        <v>1</v>
      </c>
      <c r="E3800" s="7" t="n">
        <v>239.75</v>
      </c>
      <c r="F3800" s="7" t="n">
        <v>0</v>
      </c>
      <c r="G3800" s="7" t="n">
        <v>0</v>
      </c>
    </row>
    <row r="3801" customFormat="false" ht="15" hidden="false" customHeight="false" outlineLevel="0" collapsed="false">
      <c r="A3801" s="7" t="s">
        <v>24</v>
      </c>
      <c r="B3801" s="7" t="s">
        <v>423</v>
      </c>
      <c r="C3801" s="7" t="s">
        <v>1250</v>
      </c>
      <c r="D3801" s="7" t="n">
        <v>2</v>
      </c>
      <c r="E3801" s="7" t="n">
        <v>482.88</v>
      </c>
      <c r="F3801" s="7" t="n">
        <v>0</v>
      </c>
      <c r="G3801" s="7" t="n">
        <v>0</v>
      </c>
    </row>
    <row r="3802" customFormat="false" ht="15" hidden="false" customHeight="false" outlineLevel="0" collapsed="false">
      <c r="A3802" s="7" t="s">
        <v>24</v>
      </c>
      <c r="B3802" s="7" t="s">
        <v>785</v>
      </c>
      <c r="C3802" s="7" t="s">
        <v>1057</v>
      </c>
      <c r="D3802" s="7" t="n">
        <v>6</v>
      </c>
      <c r="E3802" s="7" t="n">
        <v>1114.22</v>
      </c>
      <c r="F3802" s="7" t="n">
        <v>2</v>
      </c>
      <c r="G3802" s="7" t="n">
        <v>381.44</v>
      </c>
    </row>
    <row r="3803" customFormat="false" ht="15" hidden="false" customHeight="false" outlineLevel="0" collapsed="false">
      <c r="A3803" s="7" t="s">
        <v>24</v>
      </c>
      <c r="B3803" s="7" t="s">
        <v>785</v>
      </c>
      <c r="C3803" s="7" t="s">
        <v>1057</v>
      </c>
      <c r="D3803" s="7" t="n">
        <v>0</v>
      </c>
      <c r="E3803" s="7" t="n">
        <v>0</v>
      </c>
      <c r="F3803" s="7" t="n">
        <v>1</v>
      </c>
      <c r="G3803" s="7" t="n">
        <v>200.76</v>
      </c>
    </row>
    <row r="3804" customFormat="false" ht="15" hidden="false" customHeight="false" outlineLevel="0" collapsed="false">
      <c r="A3804" s="7" t="s">
        <v>24</v>
      </c>
      <c r="B3804" s="7" t="s">
        <v>785</v>
      </c>
      <c r="C3804" s="7" t="s">
        <v>1057</v>
      </c>
      <c r="D3804" s="7" t="n">
        <v>0</v>
      </c>
      <c r="E3804" s="7" t="n">
        <v>0</v>
      </c>
      <c r="F3804" s="7" t="n">
        <v>1</v>
      </c>
      <c r="G3804" s="7" t="n">
        <v>180.69</v>
      </c>
    </row>
    <row r="3805" customFormat="false" ht="15" hidden="false" customHeight="false" outlineLevel="0" collapsed="false">
      <c r="A3805" s="7" t="s">
        <v>24</v>
      </c>
      <c r="B3805" s="7" t="s">
        <v>785</v>
      </c>
      <c r="C3805" s="7" t="s">
        <v>1057</v>
      </c>
      <c r="D3805" s="7" t="n">
        <v>0</v>
      </c>
      <c r="E3805" s="7" t="n">
        <v>0</v>
      </c>
      <c r="F3805" s="7" t="n">
        <v>1</v>
      </c>
      <c r="G3805" s="7" t="n">
        <v>170.66</v>
      </c>
    </row>
    <row r="3806" customFormat="false" ht="15" hidden="false" customHeight="false" outlineLevel="0" collapsed="false">
      <c r="A3806" s="7" t="s">
        <v>24</v>
      </c>
      <c r="B3806" s="7" t="s">
        <v>785</v>
      </c>
      <c r="C3806" s="7" t="s">
        <v>1057</v>
      </c>
      <c r="D3806" s="7" t="n">
        <v>0</v>
      </c>
      <c r="E3806" s="7" t="n">
        <v>0</v>
      </c>
      <c r="F3806" s="7" t="n">
        <v>1</v>
      </c>
      <c r="G3806" s="7" t="n">
        <v>200.76</v>
      </c>
    </row>
    <row r="3807" customFormat="false" ht="15" hidden="false" customHeight="false" outlineLevel="0" collapsed="false">
      <c r="A3807" s="7" t="s">
        <v>24</v>
      </c>
      <c r="B3807" s="7" t="s">
        <v>581</v>
      </c>
      <c r="C3807" s="7" t="s">
        <v>1057</v>
      </c>
      <c r="D3807" s="7" t="n">
        <v>8</v>
      </c>
      <c r="E3807" s="7" t="n">
        <v>1575.97</v>
      </c>
      <c r="F3807" s="7" t="n">
        <v>1</v>
      </c>
      <c r="G3807" s="7" t="n">
        <v>200.76</v>
      </c>
    </row>
    <row r="3808" customFormat="false" ht="15" hidden="false" customHeight="false" outlineLevel="0" collapsed="false">
      <c r="A3808" s="7" t="s">
        <v>24</v>
      </c>
      <c r="B3808" s="7" t="s">
        <v>581</v>
      </c>
      <c r="C3808" s="7" t="s">
        <v>1057</v>
      </c>
      <c r="D3808" s="7" t="n">
        <v>0</v>
      </c>
      <c r="E3808" s="7" t="n">
        <v>0</v>
      </c>
      <c r="F3808" s="7" t="n">
        <v>1</v>
      </c>
      <c r="G3808" s="7" t="n">
        <v>180.69</v>
      </c>
    </row>
    <row r="3809" customFormat="false" ht="15" hidden="false" customHeight="false" outlineLevel="0" collapsed="false">
      <c r="A3809" s="7" t="s">
        <v>24</v>
      </c>
      <c r="B3809" s="7" t="s">
        <v>581</v>
      </c>
      <c r="C3809" s="7" t="s">
        <v>1057</v>
      </c>
      <c r="D3809" s="7" t="n">
        <v>0</v>
      </c>
      <c r="E3809" s="7" t="n">
        <v>0</v>
      </c>
      <c r="F3809" s="7" t="n">
        <v>1</v>
      </c>
      <c r="G3809" s="7" t="n">
        <v>170.65</v>
      </c>
    </row>
    <row r="3810" customFormat="false" ht="15" hidden="false" customHeight="false" outlineLevel="0" collapsed="false">
      <c r="A3810" s="7" t="s">
        <v>24</v>
      </c>
      <c r="B3810" s="7" t="s">
        <v>581</v>
      </c>
      <c r="C3810" s="7" t="s">
        <v>1057</v>
      </c>
      <c r="D3810" s="7" t="n">
        <v>0</v>
      </c>
      <c r="E3810" s="7" t="n">
        <v>0</v>
      </c>
      <c r="F3810" s="7" t="n">
        <v>4</v>
      </c>
      <c r="G3810" s="7" t="n">
        <v>803.05</v>
      </c>
    </row>
    <row r="3811" customFormat="false" ht="15" hidden="false" customHeight="false" outlineLevel="0" collapsed="false">
      <c r="A3811" s="7" t="s">
        <v>24</v>
      </c>
      <c r="B3811" s="7" t="s">
        <v>610</v>
      </c>
      <c r="C3811" s="7" t="s">
        <v>1057</v>
      </c>
      <c r="D3811" s="7" t="n">
        <v>2</v>
      </c>
      <c r="E3811" s="7" t="n">
        <v>371.41</v>
      </c>
      <c r="F3811" s="7" t="n">
        <v>1</v>
      </c>
      <c r="G3811" s="7" t="n">
        <v>180.68</v>
      </c>
    </row>
    <row r="3812" customFormat="false" ht="15" hidden="false" customHeight="false" outlineLevel="0" collapsed="false">
      <c r="A3812" s="7" t="s">
        <v>24</v>
      </c>
      <c r="B3812" s="7" t="s">
        <v>784</v>
      </c>
      <c r="C3812" s="7" t="s">
        <v>1057</v>
      </c>
      <c r="D3812" s="7" t="n">
        <v>0</v>
      </c>
      <c r="E3812" s="7" t="n">
        <v>0</v>
      </c>
      <c r="F3812" s="7" t="n">
        <v>1</v>
      </c>
      <c r="G3812" s="7" t="n">
        <v>200.76</v>
      </c>
    </row>
    <row r="3813" customFormat="false" ht="15" hidden="false" customHeight="false" outlineLevel="0" collapsed="false">
      <c r="A3813" s="7" t="s">
        <v>24</v>
      </c>
      <c r="B3813" s="7" t="s">
        <v>784</v>
      </c>
      <c r="C3813" s="7" t="s">
        <v>1057</v>
      </c>
      <c r="D3813" s="7" t="n">
        <v>0</v>
      </c>
      <c r="E3813" s="7" t="n">
        <v>0</v>
      </c>
      <c r="F3813" s="7" t="n">
        <v>1</v>
      </c>
      <c r="G3813" s="7" t="n">
        <v>200.76</v>
      </c>
    </row>
    <row r="3814" customFormat="false" ht="15" hidden="false" customHeight="false" outlineLevel="0" collapsed="false">
      <c r="A3814" s="7" t="s">
        <v>24</v>
      </c>
      <c r="B3814" s="7" t="s">
        <v>784</v>
      </c>
      <c r="C3814" s="7" t="s">
        <v>1057</v>
      </c>
      <c r="D3814" s="7" t="n">
        <v>0</v>
      </c>
      <c r="E3814" s="7" t="n">
        <v>0</v>
      </c>
      <c r="F3814" s="7" t="n">
        <v>1</v>
      </c>
      <c r="G3814" s="7" t="n">
        <v>200.76</v>
      </c>
    </row>
    <row r="3815" customFormat="false" ht="15" hidden="false" customHeight="false" outlineLevel="0" collapsed="false">
      <c r="A3815" s="7" t="s">
        <v>24</v>
      </c>
      <c r="B3815" s="7" t="s">
        <v>784</v>
      </c>
      <c r="C3815" s="7" t="s">
        <v>1057</v>
      </c>
      <c r="D3815" s="7" t="n">
        <v>0</v>
      </c>
      <c r="E3815" s="7" t="n">
        <v>0</v>
      </c>
      <c r="F3815" s="7" t="n">
        <v>2</v>
      </c>
      <c r="G3815" s="7" t="n">
        <v>371.43</v>
      </c>
    </row>
    <row r="3816" customFormat="false" ht="15" hidden="false" customHeight="false" outlineLevel="0" collapsed="false">
      <c r="A3816" s="7" t="s">
        <v>24</v>
      </c>
      <c r="B3816" s="7" t="s">
        <v>784</v>
      </c>
      <c r="C3816" s="7" t="s">
        <v>1057</v>
      </c>
      <c r="D3816" s="7" t="n">
        <v>0</v>
      </c>
      <c r="E3816" s="7" t="n">
        <v>0</v>
      </c>
      <c r="F3816" s="7" t="n">
        <v>1</v>
      </c>
      <c r="G3816" s="7" t="n">
        <v>200.77</v>
      </c>
    </row>
    <row r="3817" customFormat="false" ht="15" hidden="false" customHeight="false" outlineLevel="0" collapsed="false">
      <c r="A3817" s="7" t="s">
        <v>24</v>
      </c>
      <c r="B3817" s="7" t="s">
        <v>784</v>
      </c>
      <c r="C3817" s="7" t="s">
        <v>1057</v>
      </c>
      <c r="D3817" s="7" t="n">
        <v>7</v>
      </c>
      <c r="E3817" s="7" t="n">
        <v>1355.13</v>
      </c>
      <c r="F3817" s="7" t="n">
        <v>0</v>
      </c>
      <c r="G3817" s="7" t="n">
        <v>0</v>
      </c>
    </row>
    <row r="3818" customFormat="false" ht="15" hidden="false" customHeight="false" outlineLevel="0" collapsed="false">
      <c r="A3818" s="7" t="s">
        <v>24</v>
      </c>
      <c r="B3818" s="7" t="s">
        <v>784</v>
      </c>
      <c r="C3818" s="7" t="s">
        <v>1057</v>
      </c>
      <c r="D3818" s="7" t="n">
        <v>0</v>
      </c>
      <c r="E3818" s="7" t="n">
        <v>0</v>
      </c>
      <c r="F3818" s="7" t="n">
        <v>1</v>
      </c>
      <c r="G3818" s="7" t="n">
        <v>200.76</v>
      </c>
    </row>
    <row r="3819" customFormat="false" ht="15" hidden="false" customHeight="false" outlineLevel="0" collapsed="false">
      <c r="A3819" s="7" t="s">
        <v>24</v>
      </c>
      <c r="B3819" s="7" t="s">
        <v>787</v>
      </c>
      <c r="C3819" s="7" t="s">
        <v>1057</v>
      </c>
      <c r="D3819" s="7" t="n">
        <v>1</v>
      </c>
      <c r="E3819" s="7" t="n">
        <v>200.76</v>
      </c>
      <c r="F3819" s="7" t="n">
        <v>0</v>
      </c>
      <c r="G3819" s="7" t="n">
        <v>0</v>
      </c>
    </row>
    <row r="3820" customFormat="false" ht="15" hidden="false" customHeight="false" outlineLevel="0" collapsed="false">
      <c r="A3820" s="7" t="s">
        <v>24</v>
      </c>
      <c r="B3820" s="7" t="s">
        <v>787</v>
      </c>
      <c r="C3820" s="7" t="s">
        <v>1057</v>
      </c>
      <c r="D3820" s="7" t="n">
        <v>0</v>
      </c>
      <c r="E3820" s="7" t="n">
        <v>0</v>
      </c>
      <c r="F3820" s="7" t="n">
        <v>1</v>
      </c>
      <c r="G3820" s="7" t="n">
        <v>180.69</v>
      </c>
    </row>
    <row r="3821" customFormat="false" ht="15" hidden="false" customHeight="false" outlineLevel="0" collapsed="false">
      <c r="A3821" s="7" t="s">
        <v>24</v>
      </c>
      <c r="B3821" s="7" t="s">
        <v>786</v>
      </c>
      <c r="C3821" s="7" t="s">
        <v>1057</v>
      </c>
      <c r="D3821" s="7" t="n">
        <v>2</v>
      </c>
      <c r="E3821" s="7" t="n">
        <v>401.52</v>
      </c>
      <c r="F3821" s="7" t="n">
        <v>0</v>
      </c>
      <c r="G3821" s="7" t="n">
        <v>-20.08</v>
      </c>
    </row>
    <row r="3822" customFormat="false" ht="15" hidden="false" customHeight="false" outlineLevel="0" collapsed="false">
      <c r="A3822" s="7" t="s">
        <v>24</v>
      </c>
      <c r="B3822" s="7" t="s">
        <v>786</v>
      </c>
      <c r="C3822" s="7" t="s">
        <v>1057</v>
      </c>
      <c r="D3822" s="7" t="n">
        <v>0</v>
      </c>
      <c r="E3822" s="7" t="n">
        <v>0</v>
      </c>
      <c r="F3822" s="7" t="n">
        <v>1</v>
      </c>
      <c r="G3822" s="7" t="n">
        <v>200.76</v>
      </c>
    </row>
    <row r="3823" customFormat="false" ht="15" hidden="false" customHeight="false" outlineLevel="0" collapsed="false">
      <c r="A3823" s="7" t="s">
        <v>24</v>
      </c>
      <c r="B3823" s="7" t="s">
        <v>786</v>
      </c>
      <c r="C3823" s="7" t="s">
        <v>1057</v>
      </c>
      <c r="D3823" s="7" t="n">
        <v>0</v>
      </c>
      <c r="E3823" s="7" t="n">
        <v>0</v>
      </c>
      <c r="F3823" s="7" t="n">
        <v>1</v>
      </c>
      <c r="G3823" s="7" t="n">
        <v>200.76</v>
      </c>
    </row>
    <row r="3824" customFormat="false" ht="15" hidden="false" customHeight="false" outlineLevel="0" collapsed="false">
      <c r="A3824" s="7" t="s">
        <v>24</v>
      </c>
      <c r="B3824" s="7" t="s">
        <v>536</v>
      </c>
      <c r="C3824" s="7" t="s">
        <v>1251</v>
      </c>
      <c r="D3824" s="7" t="n">
        <v>0</v>
      </c>
      <c r="E3824" s="7" t="n">
        <v>0</v>
      </c>
      <c r="F3824" s="7" t="n">
        <v>1</v>
      </c>
      <c r="G3824" s="7" t="n">
        <v>152.46</v>
      </c>
    </row>
    <row r="3825" customFormat="false" ht="15" hidden="false" customHeight="false" outlineLevel="0" collapsed="false">
      <c r="A3825" s="7" t="s">
        <v>24</v>
      </c>
      <c r="B3825" s="7" t="s">
        <v>536</v>
      </c>
      <c r="C3825" s="7" t="s">
        <v>1251</v>
      </c>
      <c r="D3825" s="7" t="n">
        <v>4</v>
      </c>
      <c r="E3825" s="7" t="n">
        <v>594.59</v>
      </c>
      <c r="F3825" s="7" t="n">
        <v>0</v>
      </c>
      <c r="G3825" s="7" t="n">
        <v>0</v>
      </c>
    </row>
    <row r="3826" customFormat="false" ht="15" hidden="false" customHeight="false" outlineLevel="0" collapsed="false">
      <c r="A3826" s="7" t="s">
        <v>24</v>
      </c>
      <c r="B3826" s="7" t="s">
        <v>536</v>
      </c>
      <c r="C3826" s="7" t="s">
        <v>1251</v>
      </c>
      <c r="D3826" s="7" t="n">
        <v>0</v>
      </c>
      <c r="E3826" s="7" t="n">
        <v>0</v>
      </c>
      <c r="F3826" s="7" t="n">
        <v>1</v>
      </c>
      <c r="G3826" s="7" t="n">
        <v>152.46</v>
      </c>
    </row>
    <row r="3827" customFormat="false" ht="15" hidden="false" customHeight="false" outlineLevel="0" collapsed="false">
      <c r="A3827" s="7" t="s">
        <v>24</v>
      </c>
      <c r="B3827" s="7" t="s">
        <v>446</v>
      </c>
      <c r="C3827" s="7" t="s">
        <v>1251</v>
      </c>
      <c r="D3827" s="7" t="n">
        <v>0</v>
      </c>
      <c r="E3827" s="7" t="n">
        <v>0</v>
      </c>
      <c r="F3827" s="7" t="n">
        <v>1</v>
      </c>
      <c r="G3827" s="7" t="n">
        <v>152.46</v>
      </c>
    </row>
    <row r="3828" customFormat="false" ht="15" hidden="false" customHeight="false" outlineLevel="0" collapsed="false">
      <c r="A3828" s="7" t="s">
        <v>24</v>
      </c>
      <c r="B3828" s="7" t="s">
        <v>446</v>
      </c>
      <c r="C3828" s="7" t="s">
        <v>1251</v>
      </c>
      <c r="D3828" s="7" t="n">
        <v>0</v>
      </c>
      <c r="E3828" s="7" t="n">
        <v>0</v>
      </c>
      <c r="F3828" s="7" t="n">
        <v>1</v>
      </c>
      <c r="G3828" s="7" t="n">
        <v>152.46</v>
      </c>
    </row>
    <row r="3829" customFormat="false" ht="15" hidden="false" customHeight="false" outlineLevel="0" collapsed="false">
      <c r="A3829" s="7" t="s">
        <v>24</v>
      </c>
      <c r="B3829" s="7" t="s">
        <v>446</v>
      </c>
      <c r="C3829" s="7" t="s">
        <v>1251</v>
      </c>
      <c r="D3829" s="7" t="n">
        <v>0</v>
      </c>
      <c r="E3829" s="7" t="n">
        <v>0</v>
      </c>
      <c r="F3829" s="7" t="n">
        <v>1</v>
      </c>
      <c r="G3829" s="7" t="n">
        <v>137.21</v>
      </c>
    </row>
    <row r="3830" customFormat="false" ht="15" hidden="false" customHeight="false" outlineLevel="0" collapsed="false">
      <c r="A3830" s="7" t="s">
        <v>24</v>
      </c>
      <c r="B3830" s="7" t="s">
        <v>521</v>
      </c>
      <c r="C3830" s="7" t="s">
        <v>1251</v>
      </c>
      <c r="D3830" s="7" t="n">
        <v>0</v>
      </c>
      <c r="E3830" s="7" t="n">
        <v>0</v>
      </c>
      <c r="F3830" s="7" t="n">
        <v>1</v>
      </c>
      <c r="G3830" s="7" t="n">
        <v>152.46</v>
      </c>
    </row>
    <row r="3831" customFormat="false" ht="15" hidden="false" customHeight="false" outlineLevel="0" collapsed="false">
      <c r="A3831" s="7" t="s">
        <v>24</v>
      </c>
      <c r="B3831" s="7" t="s">
        <v>521</v>
      </c>
      <c r="C3831" s="7" t="s">
        <v>1251</v>
      </c>
      <c r="D3831" s="7" t="n">
        <v>2</v>
      </c>
      <c r="E3831" s="7" t="n">
        <v>274.43</v>
      </c>
      <c r="F3831" s="7" t="n">
        <v>1</v>
      </c>
      <c r="G3831" s="7" t="n">
        <v>152.46</v>
      </c>
    </row>
    <row r="3832" customFormat="false" ht="15" hidden="false" customHeight="false" outlineLevel="0" collapsed="false">
      <c r="A3832" s="7" t="s">
        <v>24</v>
      </c>
      <c r="B3832" s="7" t="s">
        <v>521</v>
      </c>
      <c r="C3832" s="7" t="s">
        <v>1251</v>
      </c>
      <c r="D3832" s="7" t="n">
        <v>0</v>
      </c>
      <c r="E3832" s="7" t="n">
        <v>0</v>
      </c>
      <c r="F3832" s="7" t="n">
        <v>1</v>
      </c>
      <c r="G3832" s="7" t="n">
        <v>152.46</v>
      </c>
    </row>
    <row r="3833" customFormat="false" ht="15" hidden="false" customHeight="false" outlineLevel="0" collapsed="false">
      <c r="A3833" s="7" t="s">
        <v>24</v>
      </c>
      <c r="B3833" s="7" t="s">
        <v>521</v>
      </c>
      <c r="C3833" s="7" t="s">
        <v>1251</v>
      </c>
      <c r="D3833" s="7" t="n">
        <v>2</v>
      </c>
      <c r="E3833" s="7" t="n">
        <v>487.88</v>
      </c>
      <c r="F3833" s="7" t="n">
        <v>0</v>
      </c>
      <c r="G3833" s="7" t="n">
        <v>0</v>
      </c>
    </row>
    <row r="3834" customFormat="false" ht="15" hidden="false" customHeight="false" outlineLevel="0" collapsed="false">
      <c r="A3834" s="7" t="s">
        <v>24</v>
      </c>
      <c r="B3834" s="7" t="s">
        <v>667</v>
      </c>
      <c r="C3834" s="7" t="s">
        <v>1252</v>
      </c>
      <c r="D3834" s="7" t="n">
        <v>0</v>
      </c>
      <c r="E3834" s="7" t="n">
        <v>0</v>
      </c>
      <c r="F3834" s="7" t="n">
        <v>1</v>
      </c>
      <c r="G3834" s="7" t="n">
        <v>129.59</v>
      </c>
    </row>
    <row r="3835" customFormat="false" ht="15" hidden="false" customHeight="false" outlineLevel="0" collapsed="false">
      <c r="A3835" s="7" t="s">
        <v>24</v>
      </c>
      <c r="B3835" s="7" t="s">
        <v>403</v>
      </c>
      <c r="C3835" s="7" t="s">
        <v>1058</v>
      </c>
      <c r="D3835" s="7" t="n">
        <v>2</v>
      </c>
      <c r="E3835" s="7" t="n">
        <v>1135.42</v>
      </c>
      <c r="F3835" s="7" t="n">
        <v>1</v>
      </c>
      <c r="G3835" s="7" t="n">
        <v>567.71</v>
      </c>
    </row>
    <row r="3836" customFormat="false" ht="15" hidden="false" customHeight="false" outlineLevel="0" collapsed="false">
      <c r="A3836" s="7" t="s">
        <v>24</v>
      </c>
      <c r="B3836" s="7" t="s">
        <v>403</v>
      </c>
      <c r="C3836" s="7" t="s">
        <v>1058</v>
      </c>
      <c r="D3836" s="7" t="n">
        <v>0</v>
      </c>
      <c r="E3836" s="7" t="n">
        <v>0</v>
      </c>
      <c r="F3836" s="7" t="n">
        <v>1</v>
      </c>
      <c r="G3836" s="7" t="n">
        <v>510.94</v>
      </c>
    </row>
    <row r="3837" customFormat="false" ht="15" hidden="false" customHeight="false" outlineLevel="0" collapsed="false">
      <c r="A3837" s="7" t="s">
        <v>24</v>
      </c>
      <c r="B3837" s="7" t="s">
        <v>403</v>
      </c>
      <c r="C3837" s="7" t="s">
        <v>1058</v>
      </c>
      <c r="D3837" s="7" t="n">
        <v>1</v>
      </c>
      <c r="E3837" s="7" t="n">
        <v>479.67</v>
      </c>
      <c r="F3837" s="7" t="n">
        <v>0</v>
      </c>
      <c r="G3837" s="7" t="n">
        <v>0</v>
      </c>
    </row>
    <row r="3838" customFormat="false" ht="15" hidden="false" customHeight="false" outlineLevel="0" collapsed="false">
      <c r="A3838" s="7" t="s">
        <v>24</v>
      </c>
      <c r="B3838" s="7" t="s">
        <v>169</v>
      </c>
      <c r="C3838" s="7" t="s">
        <v>1058</v>
      </c>
      <c r="D3838" s="7" t="n">
        <v>9</v>
      </c>
      <c r="E3838" s="7" t="n">
        <v>4740.37</v>
      </c>
      <c r="F3838" s="7" t="n">
        <v>3</v>
      </c>
      <c r="G3838" s="7" t="n">
        <v>1646.36</v>
      </c>
    </row>
    <row r="3839" customFormat="false" ht="15" hidden="false" customHeight="false" outlineLevel="0" collapsed="false">
      <c r="A3839" s="7" t="s">
        <v>24</v>
      </c>
      <c r="B3839" s="7" t="s">
        <v>169</v>
      </c>
      <c r="C3839" s="7" t="s">
        <v>1058</v>
      </c>
      <c r="D3839" s="7" t="n">
        <v>1</v>
      </c>
      <c r="E3839" s="7" t="n">
        <v>479.67</v>
      </c>
      <c r="F3839" s="7" t="n">
        <v>0</v>
      </c>
      <c r="G3839" s="7" t="n">
        <v>0</v>
      </c>
    </row>
    <row r="3840" customFormat="false" ht="15" hidden="false" customHeight="false" outlineLevel="0" collapsed="false">
      <c r="A3840" s="7" t="s">
        <v>24</v>
      </c>
      <c r="B3840" s="7" t="s">
        <v>169</v>
      </c>
      <c r="C3840" s="7" t="s">
        <v>1058</v>
      </c>
      <c r="D3840" s="7" t="n">
        <v>0</v>
      </c>
      <c r="E3840" s="7" t="n">
        <v>0</v>
      </c>
      <c r="F3840" s="7" t="n">
        <v>2</v>
      </c>
      <c r="G3840" s="7" t="n">
        <v>1021.88</v>
      </c>
    </row>
    <row r="3841" customFormat="false" ht="15" hidden="false" customHeight="false" outlineLevel="0" collapsed="false">
      <c r="A3841" s="7" t="s">
        <v>24</v>
      </c>
      <c r="B3841" s="7" t="s">
        <v>385</v>
      </c>
      <c r="C3841" s="7" t="s">
        <v>1058</v>
      </c>
      <c r="D3841" s="7" t="n">
        <v>1</v>
      </c>
      <c r="E3841" s="7" t="n">
        <v>567.71</v>
      </c>
      <c r="F3841" s="7" t="n">
        <v>0</v>
      </c>
      <c r="G3841" s="7" t="n">
        <v>0</v>
      </c>
    </row>
    <row r="3842" customFormat="false" ht="15" hidden="false" customHeight="false" outlineLevel="0" collapsed="false">
      <c r="A3842" s="7" t="s">
        <v>24</v>
      </c>
      <c r="B3842" s="7" t="s">
        <v>407</v>
      </c>
      <c r="C3842" s="7" t="s">
        <v>1058</v>
      </c>
      <c r="D3842" s="7" t="n">
        <v>0</v>
      </c>
      <c r="E3842" s="7" t="n">
        <v>0</v>
      </c>
      <c r="F3842" s="7" t="n">
        <v>1</v>
      </c>
      <c r="G3842" s="7" t="n">
        <v>567.71</v>
      </c>
    </row>
    <row r="3843" customFormat="false" ht="15" hidden="false" customHeight="false" outlineLevel="0" collapsed="false">
      <c r="A3843" s="7" t="s">
        <v>24</v>
      </c>
      <c r="B3843" s="7" t="s">
        <v>407</v>
      </c>
      <c r="C3843" s="7" t="s">
        <v>1058</v>
      </c>
      <c r="D3843" s="7" t="n">
        <v>1</v>
      </c>
      <c r="E3843" s="7" t="n">
        <v>567.71</v>
      </c>
      <c r="F3843" s="7" t="n">
        <v>1</v>
      </c>
      <c r="G3843" s="7" t="n">
        <v>510.94</v>
      </c>
    </row>
    <row r="3844" customFormat="false" ht="15" hidden="false" customHeight="false" outlineLevel="0" collapsed="false">
      <c r="A3844" s="7" t="s">
        <v>24</v>
      </c>
      <c r="B3844" s="7" t="s">
        <v>314</v>
      </c>
      <c r="C3844" s="7" t="s">
        <v>1059</v>
      </c>
      <c r="D3844" s="7" t="n">
        <v>0</v>
      </c>
      <c r="E3844" s="7" t="n">
        <v>0</v>
      </c>
      <c r="F3844" s="7" t="n">
        <v>1</v>
      </c>
      <c r="G3844" s="7" t="n">
        <v>338.9</v>
      </c>
    </row>
    <row r="3845" customFormat="false" ht="15" hidden="false" customHeight="false" outlineLevel="0" collapsed="false">
      <c r="A3845" s="7" t="s">
        <v>24</v>
      </c>
      <c r="B3845" s="7" t="s">
        <v>314</v>
      </c>
      <c r="C3845" s="7" t="s">
        <v>1059</v>
      </c>
      <c r="D3845" s="7" t="n">
        <v>0</v>
      </c>
      <c r="E3845" s="7" t="n">
        <v>0</v>
      </c>
      <c r="F3845" s="7" t="n">
        <v>1</v>
      </c>
      <c r="G3845" s="7" t="n">
        <v>338.9</v>
      </c>
    </row>
    <row r="3846" customFormat="false" ht="15" hidden="false" customHeight="false" outlineLevel="0" collapsed="false">
      <c r="A3846" s="7" t="s">
        <v>24</v>
      </c>
      <c r="B3846" s="7" t="s">
        <v>314</v>
      </c>
      <c r="C3846" s="7" t="s">
        <v>1059</v>
      </c>
      <c r="D3846" s="7" t="n">
        <v>5</v>
      </c>
      <c r="E3846" s="7" t="n">
        <v>1575.89</v>
      </c>
      <c r="F3846" s="7" t="n">
        <v>2</v>
      </c>
      <c r="G3846" s="7" t="n">
        <v>677.8</v>
      </c>
    </row>
    <row r="3847" customFormat="false" ht="15" hidden="false" customHeight="false" outlineLevel="0" collapsed="false">
      <c r="A3847" s="7" t="s">
        <v>24</v>
      </c>
      <c r="B3847" s="7" t="s">
        <v>314</v>
      </c>
      <c r="C3847" s="7" t="s">
        <v>1059</v>
      </c>
      <c r="D3847" s="7" t="n">
        <v>2</v>
      </c>
      <c r="E3847" s="7" t="n">
        <v>617.55</v>
      </c>
      <c r="F3847" s="7" t="n">
        <v>0</v>
      </c>
      <c r="G3847" s="7" t="n">
        <v>0</v>
      </c>
    </row>
    <row r="3848" customFormat="false" ht="15" hidden="false" customHeight="false" outlineLevel="0" collapsed="false">
      <c r="A3848" s="7" t="s">
        <v>24</v>
      </c>
      <c r="B3848" s="7" t="s">
        <v>145</v>
      </c>
      <c r="C3848" s="7" t="s">
        <v>1059</v>
      </c>
      <c r="D3848" s="7" t="n">
        <v>16</v>
      </c>
      <c r="E3848" s="7" t="n">
        <v>5320.72</v>
      </c>
      <c r="F3848" s="7" t="n">
        <v>5</v>
      </c>
      <c r="G3848" s="7" t="n">
        <v>1660.61</v>
      </c>
    </row>
    <row r="3849" customFormat="false" ht="15" hidden="false" customHeight="false" outlineLevel="0" collapsed="false">
      <c r="A3849" s="7" t="s">
        <v>24</v>
      </c>
      <c r="B3849" s="7" t="s">
        <v>145</v>
      </c>
      <c r="C3849" s="7" t="s">
        <v>1059</v>
      </c>
      <c r="D3849" s="7" t="n">
        <v>0</v>
      </c>
      <c r="E3849" s="7" t="n">
        <v>0</v>
      </c>
      <c r="F3849" s="7" t="n">
        <v>1</v>
      </c>
      <c r="G3849" s="7" t="n">
        <v>338.9</v>
      </c>
    </row>
    <row r="3850" customFormat="false" ht="15" hidden="false" customHeight="false" outlineLevel="0" collapsed="false">
      <c r="A3850" s="7" t="s">
        <v>24</v>
      </c>
      <c r="B3850" s="7" t="s">
        <v>145</v>
      </c>
      <c r="C3850" s="7" t="s">
        <v>1059</v>
      </c>
      <c r="D3850" s="7" t="n">
        <v>0</v>
      </c>
      <c r="E3850" s="7" t="n">
        <v>0</v>
      </c>
      <c r="F3850" s="7" t="n">
        <v>1</v>
      </c>
      <c r="G3850" s="7" t="n">
        <v>305.01</v>
      </c>
    </row>
    <row r="3851" customFormat="false" ht="15" hidden="false" customHeight="false" outlineLevel="0" collapsed="false">
      <c r="A3851" s="7" t="s">
        <v>24</v>
      </c>
      <c r="B3851" s="7" t="s">
        <v>145</v>
      </c>
      <c r="C3851" s="7" t="s">
        <v>1059</v>
      </c>
      <c r="D3851" s="7" t="n">
        <v>2</v>
      </c>
      <c r="E3851" s="7" t="n">
        <v>567.48</v>
      </c>
      <c r="F3851" s="7" t="n">
        <v>0</v>
      </c>
      <c r="G3851" s="7" t="n">
        <v>0</v>
      </c>
    </row>
    <row r="3852" customFormat="false" ht="15" hidden="false" customHeight="false" outlineLevel="0" collapsed="false">
      <c r="A3852" s="7" t="s">
        <v>24</v>
      </c>
      <c r="B3852" s="7" t="s">
        <v>145</v>
      </c>
      <c r="C3852" s="7" t="s">
        <v>1059</v>
      </c>
      <c r="D3852" s="7" t="n">
        <v>0</v>
      </c>
      <c r="E3852" s="7" t="n">
        <v>0</v>
      </c>
      <c r="F3852" s="7" t="n">
        <v>1</v>
      </c>
      <c r="G3852" s="7" t="n">
        <v>338.9</v>
      </c>
    </row>
    <row r="3853" customFormat="false" ht="15" hidden="false" customHeight="false" outlineLevel="0" collapsed="false">
      <c r="A3853" s="7" t="s">
        <v>24</v>
      </c>
      <c r="B3853" s="7" t="s">
        <v>145</v>
      </c>
      <c r="C3853" s="7" t="s">
        <v>1059</v>
      </c>
      <c r="D3853" s="7" t="n">
        <v>1</v>
      </c>
      <c r="E3853" s="7" t="n">
        <v>271.84</v>
      </c>
      <c r="F3853" s="7" t="n">
        <v>0</v>
      </c>
      <c r="G3853" s="7" t="n">
        <v>0</v>
      </c>
    </row>
    <row r="3854" customFormat="false" ht="15" hidden="false" customHeight="false" outlineLevel="0" collapsed="false">
      <c r="A3854" s="7" t="s">
        <v>24</v>
      </c>
      <c r="B3854" s="7" t="s">
        <v>249</v>
      </c>
      <c r="C3854" s="7" t="s">
        <v>1059</v>
      </c>
      <c r="D3854" s="7" t="n">
        <v>5</v>
      </c>
      <c r="E3854" s="7" t="n">
        <v>1575.88</v>
      </c>
      <c r="F3854" s="7" t="n">
        <v>0</v>
      </c>
      <c r="G3854" s="7" t="n">
        <v>0</v>
      </c>
    </row>
    <row r="3855" customFormat="false" ht="15" hidden="false" customHeight="false" outlineLevel="0" collapsed="false">
      <c r="A3855" s="7" t="s">
        <v>24</v>
      </c>
      <c r="B3855" s="7" t="s">
        <v>249</v>
      </c>
      <c r="C3855" s="7" t="s">
        <v>1059</v>
      </c>
      <c r="D3855" s="7" t="n">
        <v>0</v>
      </c>
      <c r="E3855" s="7" t="n">
        <v>0</v>
      </c>
      <c r="F3855" s="7" t="n">
        <v>1</v>
      </c>
      <c r="G3855" s="7" t="n">
        <v>305.01</v>
      </c>
    </row>
    <row r="3856" customFormat="false" ht="15" hidden="false" customHeight="false" outlineLevel="0" collapsed="false">
      <c r="A3856" s="7" t="s">
        <v>24</v>
      </c>
      <c r="B3856" s="7" t="s">
        <v>360</v>
      </c>
      <c r="C3856" s="7" t="s">
        <v>1059</v>
      </c>
      <c r="D3856" s="7" t="n">
        <v>1</v>
      </c>
      <c r="E3856" s="7" t="n">
        <v>288.06</v>
      </c>
      <c r="F3856" s="7" t="n">
        <v>1</v>
      </c>
      <c r="G3856" s="7" t="n">
        <v>305.01</v>
      </c>
    </row>
    <row r="3857" customFormat="false" ht="15" hidden="false" customHeight="false" outlineLevel="0" collapsed="false">
      <c r="A3857" s="7" t="s">
        <v>24</v>
      </c>
      <c r="B3857" s="7" t="s">
        <v>360</v>
      </c>
      <c r="C3857" s="7" t="s">
        <v>1059</v>
      </c>
      <c r="D3857" s="7" t="n">
        <v>0</v>
      </c>
      <c r="E3857" s="7" t="n">
        <v>0</v>
      </c>
      <c r="F3857" s="7" t="n">
        <v>1</v>
      </c>
      <c r="G3857" s="7" t="n">
        <v>305.01</v>
      </c>
    </row>
    <row r="3858" customFormat="false" ht="15" hidden="false" customHeight="false" outlineLevel="0" collapsed="false">
      <c r="A3858" s="7" t="s">
        <v>24</v>
      </c>
      <c r="B3858" s="7" t="s">
        <v>360</v>
      </c>
      <c r="C3858" s="7" t="s">
        <v>1059</v>
      </c>
      <c r="D3858" s="7" t="n">
        <v>0</v>
      </c>
      <c r="E3858" s="7" t="n">
        <v>0</v>
      </c>
      <c r="F3858" s="7" t="n">
        <v>1</v>
      </c>
      <c r="G3858" s="7" t="n">
        <v>305.01</v>
      </c>
    </row>
    <row r="3859" customFormat="false" ht="15" hidden="false" customHeight="false" outlineLevel="0" collapsed="false">
      <c r="A3859" s="7" t="s">
        <v>24</v>
      </c>
      <c r="B3859" s="7" t="s">
        <v>184</v>
      </c>
      <c r="C3859" s="7" t="s">
        <v>1060</v>
      </c>
      <c r="D3859" s="7" t="n">
        <v>0</v>
      </c>
      <c r="E3859" s="7" t="n">
        <v>0</v>
      </c>
      <c r="F3859" s="7" t="n">
        <v>1</v>
      </c>
      <c r="G3859" s="7" t="n">
        <v>288.07</v>
      </c>
    </row>
    <row r="3860" customFormat="false" ht="15" hidden="false" customHeight="false" outlineLevel="0" collapsed="false">
      <c r="A3860" s="7" t="s">
        <v>24</v>
      </c>
      <c r="B3860" s="7" t="s">
        <v>184</v>
      </c>
      <c r="C3860" s="7" t="s">
        <v>1060</v>
      </c>
      <c r="D3860" s="7" t="n">
        <v>12</v>
      </c>
      <c r="E3860" s="7" t="n">
        <v>3710.93</v>
      </c>
      <c r="F3860" s="7" t="n">
        <v>1</v>
      </c>
      <c r="G3860" s="7" t="n">
        <v>338.9</v>
      </c>
    </row>
    <row r="3861" customFormat="false" ht="15" hidden="false" customHeight="false" outlineLevel="0" collapsed="false">
      <c r="A3861" s="7" t="s">
        <v>24</v>
      </c>
      <c r="B3861" s="7" t="s">
        <v>184</v>
      </c>
      <c r="C3861" s="7" t="s">
        <v>1060</v>
      </c>
      <c r="D3861" s="7" t="n">
        <v>0</v>
      </c>
      <c r="E3861" s="7" t="n">
        <v>0</v>
      </c>
      <c r="F3861" s="7" t="n">
        <v>1</v>
      </c>
      <c r="G3861" s="7" t="n">
        <v>305.01</v>
      </c>
    </row>
    <row r="3862" customFormat="false" ht="15" hidden="false" customHeight="false" outlineLevel="0" collapsed="false">
      <c r="A3862" s="7" t="s">
        <v>24</v>
      </c>
      <c r="B3862" s="7" t="s">
        <v>184</v>
      </c>
      <c r="C3862" s="7" t="s">
        <v>1060</v>
      </c>
      <c r="D3862" s="7" t="n">
        <v>1</v>
      </c>
      <c r="E3862" s="7" t="n">
        <v>333.81</v>
      </c>
      <c r="F3862" s="7" t="n">
        <v>0</v>
      </c>
      <c r="G3862" s="7" t="n">
        <v>0</v>
      </c>
    </row>
    <row r="3863" customFormat="false" ht="15" hidden="false" customHeight="false" outlineLevel="0" collapsed="false">
      <c r="A3863" s="7" t="s">
        <v>24</v>
      </c>
      <c r="B3863" s="7" t="s">
        <v>184</v>
      </c>
      <c r="C3863" s="7" t="s">
        <v>1060</v>
      </c>
      <c r="D3863" s="7" t="n">
        <v>0</v>
      </c>
      <c r="E3863" s="7" t="n">
        <v>0</v>
      </c>
      <c r="F3863" s="7" t="n">
        <v>1</v>
      </c>
      <c r="G3863" s="7" t="n">
        <v>338.9</v>
      </c>
    </row>
    <row r="3864" customFormat="false" ht="15" hidden="false" customHeight="false" outlineLevel="0" collapsed="false">
      <c r="A3864" s="7" t="s">
        <v>24</v>
      </c>
      <c r="B3864" s="7" t="s">
        <v>184</v>
      </c>
      <c r="C3864" s="7" t="s">
        <v>1060</v>
      </c>
      <c r="D3864" s="7" t="n">
        <v>-1</v>
      </c>
      <c r="E3864" s="7" t="n">
        <v>-280.84</v>
      </c>
      <c r="F3864" s="7" t="n">
        <v>0</v>
      </c>
      <c r="G3864" s="7" t="n">
        <v>0</v>
      </c>
    </row>
    <row r="3865" customFormat="false" ht="15" hidden="false" customHeight="false" outlineLevel="0" collapsed="false">
      <c r="A3865" s="7" t="s">
        <v>24</v>
      </c>
      <c r="B3865" s="7" t="s">
        <v>184</v>
      </c>
      <c r="C3865" s="7" t="s">
        <v>1060</v>
      </c>
      <c r="D3865" s="7" t="n">
        <v>0</v>
      </c>
      <c r="E3865" s="7" t="n">
        <v>0</v>
      </c>
      <c r="F3865" s="7" t="n">
        <v>1</v>
      </c>
      <c r="G3865" s="7" t="n">
        <v>338.9</v>
      </c>
    </row>
    <row r="3866" customFormat="false" ht="15" hidden="false" customHeight="false" outlineLevel="0" collapsed="false">
      <c r="A3866" s="7" t="s">
        <v>24</v>
      </c>
      <c r="B3866" s="7" t="s">
        <v>130</v>
      </c>
      <c r="C3866" s="7" t="s">
        <v>1060</v>
      </c>
      <c r="D3866" s="7" t="n">
        <v>0</v>
      </c>
      <c r="E3866" s="7" t="n">
        <v>0</v>
      </c>
      <c r="F3866" s="7" t="n">
        <v>1</v>
      </c>
      <c r="G3866" s="7" t="n">
        <v>338.9</v>
      </c>
    </row>
    <row r="3867" customFormat="false" ht="15" hidden="false" customHeight="false" outlineLevel="0" collapsed="false">
      <c r="A3867" s="7" t="s">
        <v>24</v>
      </c>
      <c r="B3867" s="7" t="s">
        <v>130</v>
      </c>
      <c r="C3867" s="7" t="s">
        <v>1060</v>
      </c>
      <c r="D3867" s="7" t="n">
        <v>3</v>
      </c>
      <c r="E3867" s="7" t="n">
        <v>901.29</v>
      </c>
      <c r="F3867" s="7" t="n">
        <v>0</v>
      </c>
      <c r="G3867" s="7" t="n">
        <v>0</v>
      </c>
    </row>
    <row r="3868" customFormat="false" ht="15" hidden="false" customHeight="false" outlineLevel="0" collapsed="false">
      <c r="A3868" s="7" t="s">
        <v>24</v>
      </c>
      <c r="B3868" s="7" t="s">
        <v>130</v>
      </c>
      <c r="C3868" s="7" t="s">
        <v>1060</v>
      </c>
      <c r="D3868" s="7" t="n">
        <v>19</v>
      </c>
      <c r="E3868" s="7" t="n">
        <v>5930.71</v>
      </c>
      <c r="F3868" s="7" t="n">
        <v>4</v>
      </c>
      <c r="G3868" s="7" t="n">
        <v>1355.6</v>
      </c>
    </row>
    <row r="3869" customFormat="false" ht="15" hidden="false" customHeight="false" outlineLevel="0" collapsed="false">
      <c r="A3869" s="7" t="s">
        <v>24</v>
      </c>
      <c r="B3869" s="7" t="s">
        <v>130</v>
      </c>
      <c r="C3869" s="7" t="s">
        <v>1060</v>
      </c>
      <c r="D3869" s="7" t="n">
        <v>0</v>
      </c>
      <c r="E3869" s="7" t="n">
        <v>0</v>
      </c>
      <c r="F3869" s="7" t="n">
        <v>1</v>
      </c>
      <c r="G3869" s="7" t="n">
        <v>338.9</v>
      </c>
    </row>
    <row r="3870" customFormat="false" ht="15" hidden="false" customHeight="false" outlineLevel="0" collapsed="false">
      <c r="A3870" s="7" t="s">
        <v>24</v>
      </c>
      <c r="B3870" s="7" t="s">
        <v>436</v>
      </c>
      <c r="C3870" s="7" t="s">
        <v>1060</v>
      </c>
      <c r="D3870" s="7" t="n">
        <v>7</v>
      </c>
      <c r="E3870" s="7" t="n">
        <v>2118.1</v>
      </c>
      <c r="F3870" s="7" t="n">
        <v>4</v>
      </c>
      <c r="G3870" s="7" t="n">
        <v>1321.71</v>
      </c>
    </row>
    <row r="3871" customFormat="false" ht="15" hidden="false" customHeight="false" outlineLevel="0" collapsed="false">
      <c r="A3871" s="7" t="s">
        <v>24</v>
      </c>
      <c r="B3871" s="7" t="s">
        <v>436</v>
      </c>
      <c r="C3871" s="7" t="s">
        <v>1060</v>
      </c>
      <c r="D3871" s="7" t="n">
        <v>0</v>
      </c>
      <c r="E3871" s="7" t="n">
        <v>0</v>
      </c>
      <c r="F3871" s="7" t="n">
        <v>1</v>
      </c>
      <c r="G3871" s="7" t="n">
        <v>338.9</v>
      </c>
    </row>
    <row r="3872" customFormat="false" ht="15" hidden="false" customHeight="false" outlineLevel="0" collapsed="false">
      <c r="A3872" s="7" t="s">
        <v>24</v>
      </c>
      <c r="B3872" s="7" t="s">
        <v>287</v>
      </c>
      <c r="C3872" s="7" t="s">
        <v>1060</v>
      </c>
      <c r="D3872" s="7" t="n">
        <v>5</v>
      </c>
      <c r="E3872" s="7" t="n">
        <v>1643.66</v>
      </c>
      <c r="F3872" s="7" t="n">
        <v>1</v>
      </c>
      <c r="G3872" s="7" t="n">
        <v>338.9</v>
      </c>
    </row>
    <row r="3873" customFormat="false" ht="15" hidden="false" customHeight="false" outlineLevel="0" collapsed="false">
      <c r="A3873" s="7" t="s">
        <v>24</v>
      </c>
      <c r="B3873" s="7" t="s">
        <v>287</v>
      </c>
      <c r="C3873" s="7" t="s">
        <v>1060</v>
      </c>
      <c r="D3873" s="7" t="n">
        <v>0</v>
      </c>
      <c r="E3873" s="7" t="n">
        <v>0</v>
      </c>
      <c r="F3873" s="7" t="n">
        <v>1</v>
      </c>
      <c r="G3873" s="7" t="n">
        <v>338.9</v>
      </c>
    </row>
    <row r="3874" customFormat="false" ht="15" hidden="false" customHeight="false" outlineLevel="0" collapsed="false">
      <c r="A3874" s="7" t="s">
        <v>24</v>
      </c>
      <c r="B3874" s="7" t="s">
        <v>271</v>
      </c>
      <c r="C3874" s="7" t="s">
        <v>1253</v>
      </c>
      <c r="D3874" s="7" t="n">
        <v>0</v>
      </c>
      <c r="E3874" s="7" t="n">
        <v>0</v>
      </c>
      <c r="F3874" s="7" t="n">
        <v>1</v>
      </c>
      <c r="G3874" s="7" t="n">
        <v>567.71</v>
      </c>
    </row>
    <row r="3875" customFormat="false" ht="15" hidden="false" customHeight="false" outlineLevel="0" collapsed="false">
      <c r="A3875" s="7" t="s">
        <v>24</v>
      </c>
      <c r="B3875" s="7" t="s">
        <v>271</v>
      </c>
      <c r="C3875" s="7" t="s">
        <v>1253</v>
      </c>
      <c r="D3875" s="7" t="n">
        <v>0</v>
      </c>
      <c r="E3875" s="7" t="n">
        <v>0</v>
      </c>
      <c r="F3875" s="7" t="n">
        <v>1</v>
      </c>
      <c r="G3875" s="7" t="n">
        <v>510.94</v>
      </c>
    </row>
    <row r="3876" customFormat="false" ht="15" hidden="false" customHeight="false" outlineLevel="0" collapsed="false">
      <c r="A3876" s="7" t="s">
        <v>24</v>
      </c>
      <c r="B3876" s="7" t="s">
        <v>281</v>
      </c>
      <c r="C3876" s="7" t="s">
        <v>1253</v>
      </c>
      <c r="D3876" s="7" t="n">
        <v>0</v>
      </c>
      <c r="E3876" s="7" t="n">
        <v>0</v>
      </c>
      <c r="F3876" s="7" t="n">
        <v>1</v>
      </c>
      <c r="G3876" s="7" t="n">
        <v>510.94</v>
      </c>
    </row>
    <row r="3877" customFormat="false" ht="15" hidden="false" customHeight="false" outlineLevel="0" collapsed="false">
      <c r="A3877" s="7" t="s">
        <v>24</v>
      </c>
      <c r="B3877" s="7" t="s">
        <v>281</v>
      </c>
      <c r="C3877" s="7" t="s">
        <v>1253</v>
      </c>
      <c r="D3877" s="7" t="n">
        <v>0</v>
      </c>
      <c r="E3877" s="7" t="n">
        <v>0</v>
      </c>
      <c r="F3877" s="7" t="n">
        <v>1</v>
      </c>
      <c r="G3877" s="7" t="n">
        <v>482.56</v>
      </c>
    </row>
    <row r="3878" customFormat="false" ht="15" hidden="false" customHeight="false" outlineLevel="0" collapsed="false">
      <c r="A3878" s="7" t="s">
        <v>24</v>
      </c>
      <c r="B3878" s="7" t="s">
        <v>384</v>
      </c>
      <c r="C3878" s="7" t="s">
        <v>1253</v>
      </c>
      <c r="D3878" s="7" t="n">
        <v>0</v>
      </c>
      <c r="E3878" s="7" t="n">
        <v>0</v>
      </c>
      <c r="F3878" s="7" t="n">
        <v>1</v>
      </c>
      <c r="G3878" s="7" t="n">
        <v>567.71</v>
      </c>
    </row>
    <row r="3879" customFormat="false" ht="15" hidden="false" customHeight="false" outlineLevel="0" collapsed="false">
      <c r="A3879" s="7" t="s">
        <v>24</v>
      </c>
      <c r="B3879" s="7" t="s">
        <v>421</v>
      </c>
      <c r="C3879" s="7" t="s">
        <v>1253</v>
      </c>
      <c r="D3879" s="7" t="n">
        <v>1</v>
      </c>
      <c r="E3879" s="7" t="n">
        <v>482.55</v>
      </c>
      <c r="F3879" s="7" t="n">
        <v>0</v>
      </c>
      <c r="G3879" s="7" t="n">
        <v>0</v>
      </c>
    </row>
    <row r="3880" customFormat="false" ht="15" hidden="false" customHeight="false" outlineLevel="0" collapsed="false">
      <c r="A3880" s="7" t="s">
        <v>24</v>
      </c>
      <c r="B3880" s="7" t="s">
        <v>519</v>
      </c>
      <c r="C3880" s="7" t="s">
        <v>1253</v>
      </c>
      <c r="D3880" s="7" t="n">
        <v>4</v>
      </c>
      <c r="E3880" s="7" t="n">
        <v>1270.87</v>
      </c>
      <c r="F3880" s="7" t="n">
        <v>2</v>
      </c>
      <c r="G3880" s="7" t="n">
        <v>677.8</v>
      </c>
    </row>
    <row r="3881" customFormat="false" ht="15" hidden="false" customHeight="false" outlineLevel="0" collapsed="false">
      <c r="A3881" s="7" t="s">
        <v>24</v>
      </c>
      <c r="B3881" s="7" t="s">
        <v>519</v>
      </c>
      <c r="C3881" s="7" t="s">
        <v>1253</v>
      </c>
      <c r="D3881" s="7" t="n">
        <v>0</v>
      </c>
      <c r="E3881" s="7" t="n">
        <v>0</v>
      </c>
      <c r="F3881" s="7" t="n">
        <v>1</v>
      </c>
      <c r="G3881" s="7" t="n">
        <v>288.07</v>
      </c>
    </row>
    <row r="3882" customFormat="false" ht="15" hidden="false" customHeight="false" outlineLevel="0" collapsed="false">
      <c r="A3882" s="7" t="s">
        <v>24</v>
      </c>
      <c r="B3882" s="7" t="s">
        <v>207</v>
      </c>
      <c r="C3882" s="7" t="s">
        <v>1253</v>
      </c>
      <c r="D3882" s="7" t="n">
        <v>0</v>
      </c>
      <c r="E3882" s="7" t="n">
        <v>0</v>
      </c>
      <c r="F3882" s="7" t="n">
        <v>1</v>
      </c>
      <c r="G3882" s="7" t="n">
        <v>338.9</v>
      </c>
    </row>
    <row r="3883" customFormat="false" ht="15" hidden="false" customHeight="false" outlineLevel="0" collapsed="false">
      <c r="A3883" s="7" t="s">
        <v>24</v>
      </c>
      <c r="B3883" s="7" t="s">
        <v>207</v>
      </c>
      <c r="C3883" s="7" t="s">
        <v>1253</v>
      </c>
      <c r="D3883" s="7" t="n">
        <v>0</v>
      </c>
      <c r="E3883" s="7" t="n">
        <v>0</v>
      </c>
      <c r="F3883" s="7" t="n">
        <v>1</v>
      </c>
      <c r="G3883" s="7" t="n">
        <v>338.9</v>
      </c>
    </row>
    <row r="3884" customFormat="false" ht="15" hidden="false" customHeight="false" outlineLevel="0" collapsed="false">
      <c r="A3884" s="7" t="s">
        <v>24</v>
      </c>
      <c r="B3884" s="7" t="s">
        <v>207</v>
      </c>
      <c r="C3884" s="7" t="s">
        <v>1253</v>
      </c>
      <c r="D3884" s="7" t="n">
        <v>0</v>
      </c>
      <c r="E3884" s="7" t="n">
        <v>0</v>
      </c>
      <c r="F3884" s="7" t="n">
        <v>1</v>
      </c>
      <c r="G3884" s="7" t="n">
        <v>305.01</v>
      </c>
    </row>
    <row r="3885" customFormat="false" ht="15" hidden="false" customHeight="false" outlineLevel="0" collapsed="false">
      <c r="A3885" s="7" t="s">
        <v>24</v>
      </c>
      <c r="B3885" s="7" t="s">
        <v>207</v>
      </c>
      <c r="C3885" s="7" t="s">
        <v>1253</v>
      </c>
      <c r="D3885" s="7" t="n">
        <v>0</v>
      </c>
      <c r="E3885" s="7" t="n">
        <v>0</v>
      </c>
      <c r="F3885" s="7" t="n">
        <v>1</v>
      </c>
      <c r="G3885" s="7" t="n">
        <v>338.9</v>
      </c>
    </row>
    <row r="3886" customFormat="false" ht="15" hidden="false" customHeight="false" outlineLevel="0" collapsed="false">
      <c r="A3886" s="7" t="s">
        <v>24</v>
      </c>
      <c r="B3886" s="7" t="s">
        <v>207</v>
      </c>
      <c r="C3886" s="7" t="s">
        <v>1253</v>
      </c>
      <c r="D3886" s="7" t="n">
        <v>0</v>
      </c>
      <c r="E3886" s="7" t="n">
        <v>0</v>
      </c>
      <c r="F3886" s="7" t="n">
        <v>1</v>
      </c>
      <c r="G3886" s="7" t="n">
        <v>338.9</v>
      </c>
    </row>
    <row r="3887" customFormat="false" ht="15" hidden="false" customHeight="false" outlineLevel="0" collapsed="false">
      <c r="A3887" s="7" t="s">
        <v>24</v>
      </c>
      <c r="B3887" s="7" t="s">
        <v>336</v>
      </c>
      <c r="C3887" s="7" t="s">
        <v>1253</v>
      </c>
      <c r="D3887" s="7" t="n">
        <v>0</v>
      </c>
      <c r="E3887" s="7" t="n">
        <v>0</v>
      </c>
      <c r="F3887" s="7" t="n">
        <v>1</v>
      </c>
      <c r="G3887" s="7" t="n">
        <v>338.9</v>
      </c>
    </row>
    <row r="3888" customFormat="false" ht="15" hidden="false" customHeight="false" outlineLevel="0" collapsed="false">
      <c r="A3888" s="7" t="s">
        <v>24</v>
      </c>
      <c r="B3888" s="7" t="s">
        <v>336</v>
      </c>
      <c r="C3888" s="7" t="s">
        <v>1253</v>
      </c>
      <c r="D3888" s="7" t="n">
        <v>0</v>
      </c>
      <c r="E3888" s="7" t="n">
        <v>0</v>
      </c>
      <c r="F3888" s="7" t="n">
        <v>1</v>
      </c>
      <c r="G3888" s="7" t="n">
        <v>305.01</v>
      </c>
    </row>
    <row r="3889" customFormat="false" ht="15" hidden="false" customHeight="false" outlineLevel="0" collapsed="false">
      <c r="A3889" s="7" t="s">
        <v>24</v>
      </c>
      <c r="B3889" s="7" t="s">
        <v>336</v>
      </c>
      <c r="C3889" s="7" t="s">
        <v>1253</v>
      </c>
      <c r="D3889" s="7" t="n">
        <v>3</v>
      </c>
      <c r="E3889" s="7" t="n">
        <v>915.03</v>
      </c>
      <c r="F3889" s="7" t="n">
        <v>2</v>
      </c>
      <c r="G3889" s="7" t="n">
        <v>677.8</v>
      </c>
    </row>
    <row r="3890" customFormat="false" ht="15" hidden="false" customHeight="false" outlineLevel="0" collapsed="false">
      <c r="A3890" s="7" t="s">
        <v>24</v>
      </c>
      <c r="B3890" s="7" t="s">
        <v>336</v>
      </c>
      <c r="C3890" s="7" t="s">
        <v>1253</v>
      </c>
      <c r="D3890" s="7" t="n">
        <v>0</v>
      </c>
      <c r="E3890" s="7" t="n">
        <v>0</v>
      </c>
      <c r="F3890" s="7" t="n">
        <v>1</v>
      </c>
      <c r="G3890" s="7" t="n">
        <v>305.01</v>
      </c>
    </row>
    <row r="3891" customFormat="false" ht="15" hidden="false" customHeight="false" outlineLevel="0" collapsed="false">
      <c r="A3891" s="7" t="s">
        <v>24</v>
      </c>
      <c r="B3891" s="7" t="s">
        <v>215</v>
      </c>
      <c r="C3891" s="7" t="s">
        <v>1253</v>
      </c>
      <c r="D3891" s="7" t="n">
        <v>0</v>
      </c>
      <c r="E3891" s="7" t="n">
        <v>0</v>
      </c>
      <c r="F3891" s="7" t="n">
        <v>1</v>
      </c>
      <c r="G3891" s="7" t="n">
        <v>333.81</v>
      </c>
    </row>
    <row r="3892" customFormat="false" ht="15" hidden="false" customHeight="false" outlineLevel="0" collapsed="false">
      <c r="A3892" s="7" t="s">
        <v>24</v>
      </c>
      <c r="B3892" s="7" t="s">
        <v>215</v>
      </c>
      <c r="C3892" s="7" t="s">
        <v>1253</v>
      </c>
      <c r="D3892" s="7" t="n">
        <v>0</v>
      </c>
      <c r="E3892" s="7" t="n">
        <v>0</v>
      </c>
      <c r="F3892" s="7" t="n">
        <v>1</v>
      </c>
      <c r="G3892" s="7" t="n">
        <v>300.43</v>
      </c>
    </row>
    <row r="3893" customFormat="false" ht="15" hidden="false" customHeight="false" outlineLevel="0" collapsed="false">
      <c r="A3893" s="7" t="s">
        <v>24</v>
      </c>
      <c r="B3893" s="7" t="s">
        <v>215</v>
      </c>
      <c r="C3893" s="7" t="s">
        <v>1253</v>
      </c>
      <c r="D3893" s="7" t="n">
        <v>0</v>
      </c>
      <c r="E3893" s="7" t="n">
        <v>0</v>
      </c>
      <c r="F3893" s="7" t="n">
        <v>1</v>
      </c>
      <c r="G3893" s="7" t="n">
        <v>333.81</v>
      </c>
    </row>
    <row r="3894" customFormat="false" ht="15" hidden="false" customHeight="false" outlineLevel="0" collapsed="false">
      <c r="A3894" s="7" t="s">
        <v>24</v>
      </c>
      <c r="B3894" s="7" t="s">
        <v>215</v>
      </c>
      <c r="C3894" s="7" t="s">
        <v>1253</v>
      </c>
      <c r="D3894" s="7" t="n">
        <v>0</v>
      </c>
      <c r="E3894" s="7" t="n">
        <v>0</v>
      </c>
      <c r="F3894" s="7" t="n">
        <v>1</v>
      </c>
      <c r="G3894" s="7" t="n">
        <v>317.13</v>
      </c>
    </row>
    <row r="3895" customFormat="false" ht="15" hidden="false" customHeight="false" outlineLevel="0" collapsed="false">
      <c r="A3895" s="7" t="s">
        <v>24</v>
      </c>
      <c r="B3895" s="7" t="s">
        <v>215</v>
      </c>
      <c r="C3895" s="7" t="s">
        <v>1253</v>
      </c>
      <c r="D3895" s="7" t="n">
        <v>0</v>
      </c>
      <c r="E3895" s="7" t="n">
        <v>0</v>
      </c>
      <c r="F3895" s="7" t="n">
        <v>1</v>
      </c>
      <c r="G3895" s="7" t="n">
        <v>300.43</v>
      </c>
    </row>
    <row r="3896" customFormat="false" ht="15" hidden="false" customHeight="false" outlineLevel="0" collapsed="false">
      <c r="A3896" s="7" t="s">
        <v>24</v>
      </c>
      <c r="B3896" s="7" t="s">
        <v>959</v>
      </c>
      <c r="C3896" s="7" t="s">
        <v>1253</v>
      </c>
      <c r="D3896" s="7" t="n">
        <v>0</v>
      </c>
      <c r="E3896" s="7" t="n">
        <v>0</v>
      </c>
      <c r="F3896" s="7" t="n">
        <v>-1</v>
      </c>
      <c r="G3896" s="7" t="n">
        <v>-338.9</v>
      </c>
    </row>
    <row r="3897" customFormat="false" ht="15" hidden="false" customHeight="false" outlineLevel="0" collapsed="false">
      <c r="A3897" s="7" t="s">
        <v>24</v>
      </c>
      <c r="B3897" s="7" t="s">
        <v>959</v>
      </c>
      <c r="C3897" s="7" t="s">
        <v>1253</v>
      </c>
      <c r="D3897" s="7" t="n">
        <v>0</v>
      </c>
      <c r="E3897" s="7" t="n">
        <v>0</v>
      </c>
      <c r="F3897" s="7" t="n">
        <v>1</v>
      </c>
      <c r="G3897" s="7" t="n">
        <v>338.9</v>
      </c>
    </row>
    <row r="3898" customFormat="false" ht="15" hidden="false" customHeight="false" outlineLevel="0" collapsed="false">
      <c r="A3898" s="7" t="s">
        <v>24</v>
      </c>
      <c r="B3898" s="7" t="s">
        <v>489</v>
      </c>
      <c r="C3898" s="7" t="s">
        <v>1253</v>
      </c>
      <c r="D3898" s="7" t="n">
        <v>0</v>
      </c>
      <c r="E3898" s="7" t="n">
        <v>0</v>
      </c>
      <c r="F3898" s="7" t="n">
        <v>1</v>
      </c>
      <c r="G3898" s="7" t="n">
        <v>338.9</v>
      </c>
    </row>
    <row r="3899" customFormat="false" ht="15" hidden="false" customHeight="false" outlineLevel="0" collapsed="false">
      <c r="A3899" s="7" t="s">
        <v>24</v>
      </c>
      <c r="B3899" s="7" t="s">
        <v>489</v>
      </c>
      <c r="C3899" s="7" t="s">
        <v>1253</v>
      </c>
      <c r="D3899" s="7" t="n">
        <v>0</v>
      </c>
      <c r="E3899" s="7" t="n">
        <v>0</v>
      </c>
      <c r="F3899" s="7" t="n">
        <v>1</v>
      </c>
      <c r="G3899" s="7" t="n">
        <v>338.9</v>
      </c>
    </row>
    <row r="3900" customFormat="false" ht="15" hidden="false" customHeight="false" outlineLevel="0" collapsed="false">
      <c r="A3900" s="7" t="s">
        <v>24</v>
      </c>
      <c r="B3900" s="7" t="s">
        <v>489</v>
      </c>
      <c r="C3900" s="7" t="s">
        <v>1253</v>
      </c>
      <c r="D3900" s="7" t="n">
        <v>0</v>
      </c>
      <c r="E3900" s="7" t="n">
        <v>0</v>
      </c>
      <c r="F3900" s="7" t="n">
        <v>-1</v>
      </c>
      <c r="G3900" s="7" t="n">
        <v>-338.9</v>
      </c>
    </row>
    <row r="3901" customFormat="false" ht="15" hidden="false" customHeight="false" outlineLevel="0" collapsed="false">
      <c r="A3901" s="7" t="s">
        <v>24</v>
      </c>
      <c r="B3901" s="7" t="s">
        <v>538</v>
      </c>
      <c r="C3901" s="7" t="s">
        <v>1253</v>
      </c>
      <c r="D3901" s="7" t="n">
        <v>0</v>
      </c>
      <c r="E3901" s="7" t="n">
        <v>0</v>
      </c>
      <c r="F3901" s="7" t="n">
        <v>1</v>
      </c>
      <c r="G3901" s="7" t="n">
        <v>288.07</v>
      </c>
    </row>
    <row r="3902" customFormat="false" ht="15" hidden="false" customHeight="false" outlineLevel="0" collapsed="false">
      <c r="A3902" s="7" t="s">
        <v>24</v>
      </c>
      <c r="B3902" s="7" t="s">
        <v>465</v>
      </c>
      <c r="C3902" s="7" t="s">
        <v>1107</v>
      </c>
      <c r="D3902" s="7" t="n">
        <v>7</v>
      </c>
      <c r="E3902" s="7" t="n">
        <v>592.35</v>
      </c>
      <c r="F3902" s="7" t="n">
        <v>5</v>
      </c>
      <c r="G3902" s="7" t="n">
        <v>448.75</v>
      </c>
    </row>
    <row r="3903" customFormat="false" ht="15" hidden="false" customHeight="false" outlineLevel="0" collapsed="false">
      <c r="A3903" s="7" t="s">
        <v>24</v>
      </c>
      <c r="B3903" s="7" t="s">
        <v>465</v>
      </c>
      <c r="C3903" s="7" t="s">
        <v>1107</v>
      </c>
      <c r="D3903" s="7" t="n">
        <v>0</v>
      </c>
      <c r="E3903" s="7" t="n">
        <v>0</v>
      </c>
      <c r="F3903" s="7" t="n">
        <v>1</v>
      </c>
      <c r="G3903" s="7" t="n">
        <v>89.74</v>
      </c>
    </row>
    <row r="3904" customFormat="false" ht="15" hidden="false" customHeight="false" outlineLevel="0" collapsed="false">
      <c r="A3904" s="7" t="s">
        <v>24</v>
      </c>
      <c r="B3904" s="7" t="s">
        <v>465</v>
      </c>
      <c r="C3904" s="7" t="s">
        <v>1107</v>
      </c>
      <c r="D3904" s="7" t="n">
        <v>0</v>
      </c>
      <c r="E3904" s="7" t="n">
        <v>0</v>
      </c>
      <c r="F3904" s="7" t="n">
        <v>1</v>
      </c>
      <c r="G3904" s="7" t="n">
        <v>89.75</v>
      </c>
    </row>
    <row r="3905" customFormat="false" ht="15" hidden="false" customHeight="false" outlineLevel="0" collapsed="false">
      <c r="A3905" s="7" t="s">
        <v>24</v>
      </c>
      <c r="B3905" s="7" t="s">
        <v>465</v>
      </c>
      <c r="C3905" s="7" t="s">
        <v>1107</v>
      </c>
      <c r="D3905" s="7" t="n">
        <v>0</v>
      </c>
      <c r="E3905" s="7" t="n">
        <v>0</v>
      </c>
      <c r="F3905" s="7" t="n">
        <v>1</v>
      </c>
      <c r="G3905" s="7" t="n">
        <v>89.74</v>
      </c>
    </row>
    <row r="3906" customFormat="false" ht="15" hidden="false" customHeight="false" outlineLevel="0" collapsed="false">
      <c r="A3906" s="7" t="s">
        <v>24</v>
      </c>
      <c r="B3906" s="7" t="s">
        <v>465</v>
      </c>
      <c r="C3906" s="7" t="s">
        <v>1107</v>
      </c>
      <c r="D3906" s="7" t="n">
        <v>0</v>
      </c>
      <c r="E3906" s="7" t="n">
        <v>0</v>
      </c>
      <c r="F3906" s="7" t="n">
        <v>1</v>
      </c>
      <c r="G3906" s="7" t="n">
        <v>80.78</v>
      </c>
    </row>
    <row r="3907" customFormat="false" ht="15" hidden="false" customHeight="false" outlineLevel="0" collapsed="false">
      <c r="A3907" s="7" t="s">
        <v>24</v>
      </c>
      <c r="B3907" s="7" t="s">
        <v>465</v>
      </c>
      <c r="C3907" s="7" t="s">
        <v>1107</v>
      </c>
      <c r="D3907" s="7" t="n">
        <v>0</v>
      </c>
      <c r="E3907" s="7" t="n">
        <v>0</v>
      </c>
      <c r="F3907" s="7" t="n">
        <v>1</v>
      </c>
      <c r="G3907" s="7" t="n">
        <v>85.4</v>
      </c>
    </row>
    <row r="3908" customFormat="false" ht="15" hidden="false" customHeight="false" outlineLevel="0" collapsed="false">
      <c r="A3908" s="7" t="s">
        <v>24</v>
      </c>
      <c r="B3908" s="7" t="s">
        <v>465</v>
      </c>
      <c r="C3908" s="7" t="s">
        <v>1107</v>
      </c>
      <c r="D3908" s="7" t="n">
        <v>0</v>
      </c>
      <c r="E3908" s="7" t="n">
        <v>0</v>
      </c>
      <c r="F3908" s="7" t="n">
        <v>1</v>
      </c>
      <c r="G3908" s="7" t="n">
        <v>89.74</v>
      </c>
    </row>
    <row r="3909" customFormat="false" ht="15" hidden="false" customHeight="false" outlineLevel="0" collapsed="false">
      <c r="A3909" s="7" t="s">
        <v>24</v>
      </c>
      <c r="B3909" s="7" t="s">
        <v>262</v>
      </c>
      <c r="C3909" s="7" t="s">
        <v>1107</v>
      </c>
      <c r="D3909" s="7" t="n">
        <v>7</v>
      </c>
      <c r="E3909" s="7" t="n">
        <v>592.35</v>
      </c>
      <c r="F3909" s="7" t="n">
        <v>10</v>
      </c>
      <c r="G3909" s="7" t="n">
        <v>852.61</v>
      </c>
    </row>
    <row r="3910" customFormat="false" ht="15" hidden="false" customHeight="false" outlineLevel="0" collapsed="false">
      <c r="A3910" s="7" t="s">
        <v>24</v>
      </c>
      <c r="B3910" s="7" t="s">
        <v>262</v>
      </c>
      <c r="C3910" s="7" t="s">
        <v>1107</v>
      </c>
      <c r="D3910" s="7" t="n">
        <v>0</v>
      </c>
      <c r="E3910" s="7" t="n">
        <v>0</v>
      </c>
      <c r="F3910" s="7" t="n">
        <v>1</v>
      </c>
      <c r="G3910" s="7" t="n">
        <v>89.74</v>
      </c>
    </row>
    <row r="3911" customFormat="false" ht="15" hidden="false" customHeight="false" outlineLevel="0" collapsed="false">
      <c r="A3911" s="7" t="s">
        <v>24</v>
      </c>
      <c r="B3911" s="7" t="s">
        <v>262</v>
      </c>
      <c r="C3911" s="7" t="s">
        <v>1107</v>
      </c>
      <c r="D3911" s="7" t="n">
        <v>0</v>
      </c>
      <c r="E3911" s="7" t="n">
        <v>0</v>
      </c>
      <c r="F3911" s="7" t="n">
        <v>1</v>
      </c>
      <c r="G3911" s="7" t="n">
        <v>89.74</v>
      </c>
    </row>
    <row r="3912" customFormat="false" ht="15" hidden="false" customHeight="false" outlineLevel="0" collapsed="false">
      <c r="A3912" s="7" t="s">
        <v>24</v>
      </c>
      <c r="B3912" s="7" t="s">
        <v>262</v>
      </c>
      <c r="C3912" s="7" t="s">
        <v>1107</v>
      </c>
      <c r="D3912" s="7" t="n">
        <v>0</v>
      </c>
      <c r="E3912" s="7" t="n">
        <v>0</v>
      </c>
      <c r="F3912" s="7" t="n">
        <v>1</v>
      </c>
      <c r="G3912" s="7" t="n">
        <v>80.77</v>
      </c>
    </row>
    <row r="3913" customFormat="false" ht="15" hidden="false" customHeight="false" outlineLevel="0" collapsed="false">
      <c r="A3913" s="7" t="s">
        <v>24</v>
      </c>
      <c r="B3913" s="7" t="s">
        <v>262</v>
      </c>
      <c r="C3913" s="7" t="s">
        <v>1107</v>
      </c>
      <c r="D3913" s="7" t="n">
        <v>0</v>
      </c>
      <c r="E3913" s="7" t="n">
        <v>0</v>
      </c>
      <c r="F3913" s="7" t="n">
        <v>1</v>
      </c>
      <c r="G3913" s="7" t="n">
        <v>89.75</v>
      </c>
    </row>
    <row r="3914" customFormat="false" ht="15" hidden="false" customHeight="false" outlineLevel="0" collapsed="false">
      <c r="A3914" s="7" t="s">
        <v>24</v>
      </c>
      <c r="B3914" s="7" t="s">
        <v>262</v>
      </c>
      <c r="C3914" s="7" t="s">
        <v>1107</v>
      </c>
      <c r="D3914" s="7" t="n">
        <v>0</v>
      </c>
      <c r="E3914" s="7" t="n">
        <v>0</v>
      </c>
      <c r="F3914" s="7" t="n">
        <v>3</v>
      </c>
      <c r="G3914" s="7" t="n">
        <v>269.24</v>
      </c>
    </row>
    <row r="3915" customFormat="false" ht="15" hidden="false" customHeight="false" outlineLevel="0" collapsed="false">
      <c r="A3915" s="7" t="s">
        <v>24</v>
      </c>
      <c r="B3915" s="7" t="s">
        <v>262</v>
      </c>
      <c r="C3915" s="7" t="s">
        <v>1107</v>
      </c>
      <c r="D3915" s="7" t="n">
        <v>0</v>
      </c>
      <c r="E3915" s="7" t="n">
        <v>0</v>
      </c>
      <c r="F3915" s="7" t="n">
        <v>2</v>
      </c>
      <c r="G3915" s="7" t="n">
        <v>170.51</v>
      </c>
    </row>
    <row r="3916" customFormat="false" ht="15" hidden="false" customHeight="false" outlineLevel="0" collapsed="false">
      <c r="A3916" s="7" t="s">
        <v>24</v>
      </c>
      <c r="B3916" s="7" t="s">
        <v>262</v>
      </c>
      <c r="C3916" s="7" t="s">
        <v>1107</v>
      </c>
      <c r="D3916" s="7" t="n">
        <v>0</v>
      </c>
      <c r="E3916" s="7" t="n">
        <v>0</v>
      </c>
      <c r="F3916" s="7" t="n">
        <v>1</v>
      </c>
      <c r="G3916" s="7" t="n">
        <v>89.74</v>
      </c>
    </row>
    <row r="3917" customFormat="false" ht="15" hidden="false" customHeight="false" outlineLevel="0" collapsed="false">
      <c r="A3917" s="7" t="s">
        <v>24</v>
      </c>
      <c r="B3917" s="7" t="s">
        <v>596</v>
      </c>
      <c r="C3917" s="7" t="s">
        <v>1107</v>
      </c>
      <c r="D3917" s="7" t="n">
        <v>0</v>
      </c>
      <c r="E3917" s="7" t="n">
        <v>0</v>
      </c>
      <c r="F3917" s="7" t="n">
        <v>2</v>
      </c>
      <c r="G3917" s="7" t="n">
        <v>179.5</v>
      </c>
    </row>
    <row r="3918" customFormat="false" ht="15" hidden="false" customHeight="false" outlineLevel="0" collapsed="false">
      <c r="A3918" s="7" t="s">
        <v>24</v>
      </c>
      <c r="B3918" s="7" t="s">
        <v>596</v>
      </c>
      <c r="C3918" s="7" t="s">
        <v>1107</v>
      </c>
      <c r="D3918" s="7" t="n">
        <v>8</v>
      </c>
      <c r="E3918" s="7" t="n">
        <v>686.59</v>
      </c>
      <c r="F3918" s="7" t="n">
        <v>4</v>
      </c>
      <c r="G3918" s="7" t="n">
        <v>359</v>
      </c>
    </row>
    <row r="3919" customFormat="false" ht="15" hidden="false" customHeight="false" outlineLevel="0" collapsed="false">
      <c r="A3919" s="7" t="s">
        <v>24</v>
      </c>
      <c r="B3919" s="7" t="s">
        <v>596</v>
      </c>
      <c r="C3919" s="7" t="s">
        <v>1107</v>
      </c>
      <c r="D3919" s="7" t="n">
        <v>0</v>
      </c>
      <c r="E3919" s="7" t="n">
        <v>0</v>
      </c>
      <c r="F3919" s="7" t="n">
        <v>1</v>
      </c>
      <c r="G3919" s="7" t="n">
        <v>80.77</v>
      </c>
    </row>
    <row r="3920" customFormat="false" ht="15" hidden="false" customHeight="false" outlineLevel="0" collapsed="false">
      <c r="A3920" s="7" t="s">
        <v>24</v>
      </c>
      <c r="B3920" s="7" t="s">
        <v>596</v>
      </c>
      <c r="C3920" s="7" t="s">
        <v>1107</v>
      </c>
      <c r="D3920" s="7" t="n">
        <v>0</v>
      </c>
      <c r="E3920" s="7" t="n">
        <v>0</v>
      </c>
      <c r="F3920" s="7" t="n">
        <v>1</v>
      </c>
      <c r="G3920" s="7" t="n">
        <v>89.75</v>
      </c>
    </row>
    <row r="3921" customFormat="false" ht="15" hidden="false" customHeight="false" outlineLevel="0" collapsed="false">
      <c r="A3921" s="7" t="s">
        <v>24</v>
      </c>
      <c r="B3921" s="7" t="s">
        <v>596</v>
      </c>
      <c r="C3921" s="7" t="s">
        <v>1107</v>
      </c>
      <c r="D3921" s="7" t="n">
        <v>0</v>
      </c>
      <c r="E3921" s="7" t="n">
        <v>0</v>
      </c>
      <c r="F3921" s="7" t="n">
        <v>1</v>
      </c>
      <c r="G3921" s="7" t="n">
        <v>89.74</v>
      </c>
    </row>
    <row r="3922" customFormat="false" ht="15" hidden="false" customHeight="false" outlineLevel="0" collapsed="false">
      <c r="A3922" s="7" t="s">
        <v>24</v>
      </c>
      <c r="B3922" s="7" t="s">
        <v>596</v>
      </c>
      <c r="C3922" s="7" t="s">
        <v>1107</v>
      </c>
      <c r="D3922" s="7" t="n">
        <v>0</v>
      </c>
      <c r="E3922" s="7" t="n">
        <v>0</v>
      </c>
      <c r="F3922" s="7" t="n">
        <v>1</v>
      </c>
      <c r="G3922" s="7" t="n">
        <v>89.75</v>
      </c>
    </row>
    <row r="3923" customFormat="false" ht="15" hidden="false" customHeight="false" outlineLevel="0" collapsed="false">
      <c r="A3923" s="7" t="s">
        <v>24</v>
      </c>
      <c r="B3923" s="7" t="s">
        <v>551</v>
      </c>
      <c r="C3923" s="7" t="s">
        <v>1107</v>
      </c>
      <c r="D3923" s="7" t="n">
        <v>2</v>
      </c>
      <c r="E3923" s="7" t="n">
        <v>166.04</v>
      </c>
      <c r="F3923" s="7" t="n">
        <v>2</v>
      </c>
      <c r="G3923" s="7" t="n">
        <v>170.52</v>
      </c>
    </row>
    <row r="3924" customFormat="false" ht="15" hidden="false" customHeight="false" outlineLevel="0" collapsed="false">
      <c r="A3924" s="7" t="s">
        <v>24</v>
      </c>
      <c r="B3924" s="7" t="s">
        <v>551</v>
      </c>
      <c r="C3924" s="7" t="s">
        <v>1107</v>
      </c>
      <c r="D3924" s="7" t="n">
        <v>0</v>
      </c>
      <c r="E3924" s="7" t="n">
        <v>0</v>
      </c>
      <c r="F3924" s="7" t="n">
        <v>1</v>
      </c>
      <c r="G3924" s="7" t="n">
        <v>89.74</v>
      </c>
    </row>
    <row r="3925" customFormat="false" ht="15" hidden="false" customHeight="false" outlineLevel="0" collapsed="false">
      <c r="A3925" s="7" t="s">
        <v>24</v>
      </c>
      <c r="B3925" s="7" t="s">
        <v>551</v>
      </c>
      <c r="C3925" s="7" t="s">
        <v>1107</v>
      </c>
      <c r="D3925" s="7" t="n">
        <v>0</v>
      </c>
      <c r="E3925" s="7" t="n">
        <v>0</v>
      </c>
      <c r="F3925" s="7" t="n">
        <v>1</v>
      </c>
      <c r="G3925" s="7" t="n">
        <v>76.29</v>
      </c>
    </row>
    <row r="3926" customFormat="false" ht="15" hidden="false" customHeight="false" outlineLevel="0" collapsed="false">
      <c r="A3926" s="7" t="s">
        <v>24</v>
      </c>
      <c r="B3926" s="7" t="s">
        <v>551</v>
      </c>
      <c r="C3926" s="7" t="s">
        <v>1107</v>
      </c>
      <c r="D3926" s="7" t="n">
        <v>0</v>
      </c>
      <c r="E3926" s="7" t="n">
        <v>0</v>
      </c>
      <c r="F3926" s="7" t="n">
        <v>1</v>
      </c>
      <c r="G3926" s="7" t="n">
        <v>89.75</v>
      </c>
    </row>
    <row r="3927" customFormat="false" ht="15" hidden="false" customHeight="false" outlineLevel="0" collapsed="false">
      <c r="A3927" s="7" t="s">
        <v>24</v>
      </c>
      <c r="B3927" s="7" t="s">
        <v>460</v>
      </c>
      <c r="C3927" s="7" t="s">
        <v>1107</v>
      </c>
      <c r="D3927" s="7" t="n">
        <v>5</v>
      </c>
      <c r="E3927" s="7" t="n">
        <v>394.9</v>
      </c>
      <c r="F3927" s="7" t="n">
        <v>0</v>
      </c>
      <c r="G3927" s="7" t="n">
        <v>0</v>
      </c>
    </row>
    <row r="3928" customFormat="false" ht="15" hidden="false" customHeight="false" outlineLevel="0" collapsed="false">
      <c r="A3928" s="7" t="s">
        <v>24</v>
      </c>
      <c r="B3928" s="7" t="s">
        <v>720</v>
      </c>
      <c r="C3928" s="7" t="s">
        <v>1107</v>
      </c>
      <c r="D3928" s="7" t="n">
        <v>1</v>
      </c>
      <c r="E3928" s="7" t="n">
        <v>89.75</v>
      </c>
      <c r="F3928" s="7" t="n">
        <v>0</v>
      </c>
      <c r="G3928" s="7" t="n">
        <v>0</v>
      </c>
    </row>
    <row r="3929" customFormat="false" ht="15" hidden="false" customHeight="false" outlineLevel="0" collapsed="false">
      <c r="A3929" s="7" t="s">
        <v>24</v>
      </c>
      <c r="B3929" s="7" t="s">
        <v>720</v>
      </c>
      <c r="C3929" s="7" t="s">
        <v>1107</v>
      </c>
      <c r="D3929" s="7" t="n">
        <v>0</v>
      </c>
      <c r="E3929" s="7" t="n">
        <v>0</v>
      </c>
      <c r="F3929" s="7" t="n">
        <v>1</v>
      </c>
      <c r="G3929" s="7" t="n">
        <v>80.78</v>
      </c>
    </row>
    <row r="3930" customFormat="false" ht="15" hidden="false" customHeight="false" outlineLevel="0" collapsed="false">
      <c r="A3930" s="7" t="s">
        <v>24</v>
      </c>
      <c r="B3930" s="7" t="s">
        <v>720</v>
      </c>
      <c r="C3930" s="7" t="s">
        <v>1107</v>
      </c>
      <c r="D3930" s="7" t="n">
        <v>0</v>
      </c>
      <c r="E3930" s="7" t="n">
        <v>0</v>
      </c>
      <c r="F3930" s="7" t="n">
        <v>1</v>
      </c>
      <c r="G3930" s="7" t="n">
        <v>89.74</v>
      </c>
    </row>
    <row r="3931" customFormat="false" ht="15" hidden="false" customHeight="false" outlineLevel="0" collapsed="false">
      <c r="A3931" s="7" t="s">
        <v>24</v>
      </c>
      <c r="B3931" s="7" t="s">
        <v>541</v>
      </c>
      <c r="C3931" s="7" t="s">
        <v>1254</v>
      </c>
      <c r="D3931" s="7" t="n">
        <v>3</v>
      </c>
      <c r="E3931" s="7" t="n">
        <v>255.79</v>
      </c>
      <c r="F3931" s="7" t="n">
        <v>4</v>
      </c>
      <c r="G3931" s="7" t="n">
        <v>359</v>
      </c>
    </row>
    <row r="3932" customFormat="false" ht="15" hidden="false" customHeight="false" outlineLevel="0" collapsed="false">
      <c r="A3932" s="7" t="s">
        <v>24</v>
      </c>
      <c r="B3932" s="7" t="s">
        <v>541</v>
      </c>
      <c r="C3932" s="7" t="s">
        <v>1254</v>
      </c>
      <c r="D3932" s="7" t="n">
        <v>0</v>
      </c>
      <c r="E3932" s="7" t="n">
        <v>0</v>
      </c>
      <c r="F3932" s="7" t="n">
        <v>1</v>
      </c>
      <c r="G3932" s="7" t="n">
        <v>89.75</v>
      </c>
    </row>
    <row r="3933" customFormat="false" ht="15" hidden="false" customHeight="false" outlineLevel="0" collapsed="false">
      <c r="A3933" s="7" t="s">
        <v>24</v>
      </c>
      <c r="B3933" s="7" t="s">
        <v>541</v>
      </c>
      <c r="C3933" s="7" t="s">
        <v>1254</v>
      </c>
      <c r="D3933" s="7" t="n">
        <v>0</v>
      </c>
      <c r="E3933" s="7" t="n">
        <v>0</v>
      </c>
      <c r="F3933" s="7" t="n">
        <v>1</v>
      </c>
      <c r="G3933" s="7" t="n">
        <v>89.74</v>
      </c>
    </row>
    <row r="3934" customFormat="false" ht="15" hidden="false" customHeight="false" outlineLevel="0" collapsed="false">
      <c r="A3934" s="7" t="s">
        <v>24</v>
      </c>
      <c r="B3934" s="7" t="s">
        <v>313</v>
      </c>
      <c r="C3934" s="7" t="s">
        <v>1254</v>
      </c>
      <c r="D3934" s="7" t="n">
        <v>0</v>
      </c>
      <c r="E3934" s="7" t="n">
        <v>0</v>
      </c>
      <c r="F3934" s="7" t="n">
        <v>1</v>
      </c>
      <c r="G3934" s="7" t="n">
        <v>89.74</v>
      </c>
    </row>
    <row r="3935" customFormat="false" ht="15" hidden="false" customHeight="false" outlineLevel="0" collapsed="false">
      <c r="A3935" s="7" t="s">
        <v>24</v>
      </c>
      <c r="B3935" s="7" t="s">
        <v>313</v>
      </c>
      <c r="C3935" s="7" t="s">
        <v>1254</v>
      </c>
      <c r="D3935" s="7" t="n">
        <v>0</v>
      </c>
      <c r="E3935" s="7" t="n">
        <v>0</v>
      </c>
      <c r="F3935" s="7" t="n">
        <v>1</v>
      </c>
      <c r="G3935" s="7" t="n">
        <v>89.75</v>
      </c>
    </row>
    <row r="3936" customFormat="false" ht="15" hidden="false" customHeight="false" outlineLevel="0" collapsed="false">
      <c r="A3936" s="7" t="s">
        <v>24</v>
      </c>
      <c r="B3936" s="7" t="s">
        <v>313</v>
      </c>
      <c r="C3936" s="7" t="s">
        <v>1254</v>
      </c>
      <c r="D3936" s="7" t="n">
        <v>0</v>
      </c>
      <c r="E3936" s="7" t="n">
        <v>0</v>
      </c>
      <c r="F3936" s="7" t="n">
        <v>1</v>
      </c>
      <c r="G3936" s="7" t="n">
        <v>89.75</v>
      </c>
    </row>
    <row r="3937" customFormat="false" ht="15" hidden="false" customHeight="false" outlineLevel="0" collapsed="false">
      <c r="A3937" s="7" t="s">
        <v>24</v>
      </c>
      <c r="B3937" s="7" t="s">
        <v>313</v>
      </c>
      <c r="C3937" s="7" t="s">
        <v>1254</v>
      </c>
      <c r="D3937" s="7" t="n">
        <v>7</v>
      </c>
      <c r="E3937" s="7" t="n">
        <v>569.92</v>
      </c>
      <c r="F3937" s="7" t="n">
        <v>3</v>
      </c>
      <c r="G3937" s="7" t="n">
        <v>251.29</v>
      </c>
    </row>
    <row r="3938" customFormat="false" ht="15" hidden="false" customHeight="false" outlineLevel="0" collapsed="false">
      <c r="A3938" s="7" t="s">
        <v>24</v>
      </c>
      <c r="B3938" s="7" t="s">
        <v>313</v>
      </c>
      <c r="C3938" s="7" t="s">
        <v>1254</v>
      </c>
      <c r="D3938" s="7" t="n">
        <v>0</v>
      </c>
      <c r="E3938" s="7" t="n">
        <v>0</v>
      </c>
      <c r="F3938" s="7" t="n">
        <v>1</v>
      </c>
      <c r="G3938" s="7" t="n">
        <v>89.75</v>
      </c>
    </row>
    <row r="3939" customFormat="false" ht="15" hidden="false" customHeight="false" outlineLevel="0" collapsed="false">
      <c r="A3939" s="7" t="s">
        <v>24</v>
      </c>
      <c r="B3939" s="7" t="s">
        <v>313</v>
      </c>
      <c r="C3939" s="7" t="s">
        <v>1254</v>
      </c>
      <c r="D3939" s="7" t="n">
        <v>0</v>
      </c>
      <c r="E3939" s="7" t="n">
        <v>0</v>
      </c>
      <c r="F3939" s="7" t="n">
        <v>2</v>
      </c>
      <c r="G3939" s="7" t="n">
        <v>179.5</v>
      </c>
    </row>
    <row r="3940" customFormat="false" ht="15" hidden="false" customHeight="false" outlineLevel="0" collapsed="false">
      <c r="A3940" s="7" t="s">
        <v>24</v>
      </c>
      <c r="B3940" s="7" t="s">
        <v>313</v>
      </c>
      <c r="C3940" s="7" t="s">
        <v>1254</v>
      </c>
      <c r="D3940" s="7" t="n">
        <v>0</v>
      </c>
      <c r="E3940" s="7" t="n">
        <v>0</v>
      </c>
      <c r="F3940" s="7" t="n">
        <v>1</v>
      </c>
      <c r="G3940" s="7" t="n">
        <v>80.77</v>
      </c>
    </row>
    <row r="3941" customFormat="false" ht="15" hidden="false" customHeight="false" outlineLevel="0" collapsed="false">
      <c r="A3941" s="7" t="s">
        <v>24</v>
      </c>
      <c r="B3941" s="7" t="s">
        <v>313</v>
      </c>
      <c r="C3941" s="7" t="s">
        <v>1254</v>
      </c>
      <c r="D3941" s="7" t="n">
        <v>0</v>
      </c>
      <c r="E3941" s="7" t="n">
        <v>0</v>
      </c>
      <c r="F3941" s="7" t="n">
        <v>1</v>
      </c>
      <c r="G3941" s="7" t="n">
        <v>89.75</v>
      </c>
    </row>
    <row r="3942" customFormat="false" ht="15" hidden="false" customHeight="false" outlineLevel="0" collapsed="false">
      <c r="A3942" s="7" t="s">
        <v>24</v>
      </c>
      <c r="B3942" s="7" t="s">
        <v>313</v>
      </c>
      <c r="C3942" s="7" t="s">
        <v>1254</v>
      </c>
      <c r="D3942" s="7" t="n">
        <v>0</v>
      </c>
      <c r="E3942" s="7" t="n">
        <v>0</v>
      </c>
      <c r="F3942" s="7" t="n">
        <v>2</v>
      </c>
      <c r="G3942" s="7" t="n">
        <v>179.48</v>
      </c>
    </row>
    <row r="3943" customFormat="false" ht="15" hidden="false" customHeight="false" outlineLevel="0" collapsed="false">
      <c r="A3943" s="7" t="s">
        <v>24</v>
      </c>
      <c r="B3943" s="7" t="s">
        <v>313</v>
      </c>
      <c r="C3943" s="7" t="s">
        <v>1254</v>
      </c>
      <c r="D3943" s="7" t="n">
        <v>0</v>
      </c>
      <c r="E3943" s="7" t="n">
        <v>0</v>
      </c>
      <c r="F3943" s="7" t="n">
        <v>1</v>
      </c>
      <c r="G3943" s="7" t="n">
        <v>89.74</v>
      </c>
    </row>
    <row r="3944" customFormat="false" ht="15" hidden="false" customHeight="false" outlineLevel="0" collapsed="false">
      <c r="A3944" s="7" t="s">
        <v>24</v>
      </c>
      <c r="B3944" s="7" t="s">
        <v>313</v>
      </c>
      <c r="C3944" s="7" t="s">
        <v>1254</v>
      </c>
      <c r="D3944" s="7" t="n">
        <v>0</v>
      </c>
      <c r="E3944" s="7" t="n">
        <v>0</v>
      </c>
      <c r="F3944" s="7" t="n">
        <v>1</v>
      </c>
      <c r="G3944" s="7" t="n">
        <v>89.74</v>
      </c>
    </row>
    <row r="3945" customFormat="false" ht="15" hidden="false" customHeight="false" outlineLevel="0" collapsed="false">
      <c r="A3945" s="7" t="s">
        <v>24</v>
      </c>
      <c r="B3945" s="7" t="s">
        <v>313</v>
      </c>
      <c r="C3945" s="7" t="s">
        <v>1254</v>
      </c>
      <c r="D3945" s="7" t="n">
        <v>0</v>
      </c>
      <c r="E3945" s="7" t="n">
        <v>0</v>
      </c>
      <c r="F3945" s="7" t="n">
        <v>1</v>
      </c>
      <c r="G3945" s="7" t="n">
        <v>89.74</v>
      </c>
    </row>
    <row r="3946" customFormat="false" ht="15" hidden="false" customHeight="false" outlineLevel="0" collapsed="false">
      <c r="A3946" s="7" t="s">
        <v>24</v>
      </c>
      <c r="B3946" s="7" t="s">
        <v>558</v>
      </c>
      <c r="C3946" s="7" t="s">
        <v>1254</v>
      </c>
      <c r="D3946" s="7" t="n">
        <v>0</v>
      </c>
      <c r="E3946" s="7" t="n">
        <v>0</v>
      </c>
      <c r="F3946" s="7" t="n">
        <v>1</v>
      </c>
      <c r="G3946" s="7" t="n">
        <v>80.77</v>
      </c>
    </row>
    <row r="3947" customFormat="false" ht="15" hidden="false" customHeight="false" outlineLevel="0" collapsed="false">
      <c r="A3947" s="7" t="s">
        <v>24</v>
      </c>
      <c r="B3947" s="7" t="s">
        <v>558</v>
      </c>
      <c r="C3947" s="7" t="s">
        <v>1254</v>
      </c>
      <c r="D3947" s="7" t="n">
        <v>9</v>
      </c>
      <c r="E3947" s="7" t="n">
        <v>776.34</v>
      </c>
      <c r="F3947" s="7" t="n">
        <v>4</v>
      </c>
      <c r="G3947" s="7" t="n">
        <v>359</v>
      </c>
    </row>
    <row r="3948" customFormat="false" ht="15" hidden="false" customHeight="false" outlineLevel="0" collapsed="false">
      <c r="A3948" s="7" t="s">
        <v>24</v>
      </c>
      <c r="B3948" s="7" t="s">
        <v>558</v>
      </c>
      <c r="C3948" s="7" t="s">
        <v>1254</v>
      </c>
      <c r="D3948" s="7" t="n">
        <v>0</v>
      </c>
      <c r="E3948" s="7" t="n">
        <v>0</v>
      </c>
      <c r="F3948" s="7" t="n">
        <v>1</v>
      </c>
      <c r="G3948" s="7" t="n">
        <v>89.74</v>
      </c>
    </row>
    <row r="3949" customFormat="false" ht="15" hidden="false" customHeight="false" outlineLevel="0" collapsed="false">
      <c r="A3949" s="7" t="s">
        <v>24</v>
      </c>
      <c r="B3949" s="7" t="s">
        <v>550</v>
      </c>
      <c r="C3949" s="7" t="s">
        <v>1254</v>
      </c>
      <c r="D3949" s="7" t="n">
        <v>0</v>
      </c>
      <c r="E3949" s="7" t="n">
        <v>0</v>
      </c>
      <c r="F3949" s="7" t="n">
        <v>2</v>
      </c>
      <c r="G3949" s="7" t="n">
        <v>179.5</v>
      </c>
    </row>
    <row r="3950" customFormat="false" ht="15" hidden="false" customHeight="false" outlineLevel="0" collapsed="false">
      <c r="A3950" s="7" t="s">
        <v>24</v>
      </c>
      <c r="B3950" s="7" t="s">
        <v>550</v>
      </c>
      <c r="C3950" s="7" t="s">
        <v>1254</v>
      </c>
      <c r="D3950" s="7" t="n">
        <v>0</v>
      </c>
      <c r="E3950" s="7" t="n">
        <v>0</v>
      </c>
      <c r="F3950" s="7" t="n">
        <v>1</v>
      </c>
      <c r="G3950" s="7" t="n">
        <v>80.77</v>
      </c>
    </row>
    <row r="3951" customFormat="false" ht="15" hidden="false" customHeight="false" outlineLevel="0" collapsed="false">
      <c r="A3951" s="7" t="s">
        <v>24</v>
      </c>
      <c r="B3951" s="7" t="s">
        <v>623</v>
      </c>
      <c r="C3951" s="7" t="s">
        <v>1107</v>
      </c>
      <c r="D3951" s="7" t="n">
        <v>3</v>
      </c>
      <c r="E3951" s="7" t="n">
        <v>269.25</v>
      </c>
      <c r="F3951" s="7" t="n">
        <v>1</v>
      </c>
      <c r="G3951" s="7" t="n">
        <v>89.75</v>
      </c>
    </row>
    <row r="3952" customFormat="false" ht="15" hidden="false" customHeight="false" outlineLevel="0" collapsed="false">
      <c r="A3952" s="7" t="s">
        <v>24</v>
      </c>
      <c r="B3952" s="7" t="s">
        <v>719</v>
      </c>
      <c r="C3952" s="7" t="s">
        <v>1254</v>
      </c>
      <c r="D3952" s="7" t="n">
        <v>0</v>
      </c>
      <c r="E3952" s="7" t="n">
        <v>0</v>
      </c>
      <c r="F3952" s="7" t="n">
        <v>1</v>
      </c>
      <c r="G3952" s="7" t="n">
        <v>80.77</v>
      </c>
    </row>
    <row r="3953" customFormat="false" ht="15" hidden="false" customHeight="false" outlineLevel="0" collapsed="false">
      <c r="A3953" s="7" t="s">
        <v>24</v>
      </c>
      <c r="B3953" s="7" t="s">
        <v>695</v>
      </c>
      <c r="C3953" s="7" t="s">
        <v>1062</v>
      </c>
      <c r="D3953" s="7" t="n">
        <v>0</v>
      </c>
      <c r="E3953" s="7" t="n">
        <v>0</v>
      </c>
      <c r="F3953" s="7" t="n">
        <v>1</v>
      </c>
      <c r="G3953" s="7" t="n">
        <v>120.25</v>
      </c>
    </row>
    <row r="3954" customFormat="false" ht="15" hidden="false" customHeight="false" outlineLevel="0" collapsed="false">
      <c r="A3954" s="7" t="s">
        <v>24</v>
      </c>
      <c r="B3954" s="7" t="s">
        <v>695</v>
      </c>
      <c r="C3954" s="7" t="s">
        <v>1062</v>
      </c>
      <c r="D3954" s="7" t="n">
        <v>5</v>
      </c>
      <c r="E3954" s="7" t="n">
        <v>559.16</v>
      </c>
      <c r="F3954" s="7" t="n">
        <v>3</v>
      </c>
      <c r="G3954" s="7" t="n">
        <v>336.71</v>
      </c>
    </row>
    <row r="3955" customFormat="false" ht="15" hidden="false" customHeight="false" outlineLevel="0" collapsed="false">
      <c r="A3955" s="7" t="s">
        <v>24</v>
      </c>
      <c r="B3955" s="7" t="s">
        <v>290</v>
      </c>
      <c r="C3955" s="7" t="s">
        <v>1062</v>
      </c>
      <c r="D3955" s="7" t="n">
        <v>13</v>
      </c>
      <c r="E3955" s="7" t="n">
        <v>1521.16</v>
      </c>
      <c r="F3955" s="7" t="n">
        <v>4</v>
      </c>
      <c r="G3955" s="7" t="n">
        <v>456.94</v>
      </c>
    </row>
    <row r="3956" customFormat="false" ht="15" hidden="false" customHeight="false" outlineLevel="0" collapsed="false">
      <c r="A3956" s="7" t="s">
        <v>24</v>
      </c>
      <c r="B3956" s="7" t="s">
        <v>290</v>
      </c>
      <c r="C3956" s="7" t="s">
        <v>1062</v>
      </c>
      <c r="D3956" s="7" t="n">
        <v>0</v>
      </c>
      <c r="E3956" s="7" t="n">
        <v>0</v>
      </c>
      <c r="F3956" s="7" t="n">
        <v>1</v>
      </c>
      <c r="G3956" s="7" t="n">
        <v>108.23</v>
      </c>
    </row>
    <row r="3957" customFormat="false" ht="15" hidden="false" customHeight="false" outlineLevel="0" collapsed="false">
      <c r="A3957" s="7" t="s">
        <v>24</v>
      </c>
      <c r="B3957" s="7" t="s">
        <v>472</v>
      </c>
      <c r="C3957" s="7" t="s">
        <v>1062</v>
      </c>
      <c r="D3957" s="7" t="n">
        <v>7</v>
      </c>
      <c r="E3957" s="7" t="n">
        <v>805.67</v>
      </c>
      <c r="F3957" s="7" t="n">
        <v>0</v>
      </c>
      <c r="G3957" s="7" t="n">
        <v>0</v>
      </c>
    </row>
    <row r="3958" customFormat="false" ht="15" hidden="false" customHeight="false" outlineLevel="0" collapsed="false">
      <c r="A3958" s="7" t="s">
        <v>24</v>
      </c>
      <c r="B3958" s="7" t="s">
        <v>472</v>
      </c>
      <c r="C3958" s="7" t="s">
        <v>1062</v>
      </c>
      <c r="D3958" s="7" t="n">
        <v>0</v>
      </c>
      <c r="E3958" s="7" t="n">
        <v>0</v>
      </c>
      <c r="F3958" s="7" t="n">
        <v>1</v>
      </c>
      <c r="G3958" s="7" t="n">
        <v>102.22</v>
      </c>
    </row>
    <row r="3959" customFormat="false" ht="15" hidden="false" customHeight="false" outlineLevel="0" collapsed="false">
      <c r="A3959" s="7" t="s">
        <v>24</v>
      </c>
      <c r="B3959" s="7" t="s">
        <v>472</v>
      </c>
      <c r="C3959" s="7" t="s">
        <v>1062</v>
      </c>
      <c r="D3959" s="7" t="n">
        <v>0</v>
      </c>
      <c r="E3959" s="7" t="n">
        <v>0</v>
      </c>
      <c r="F3959" s="7" t="n">
        <v>1</v>
      </c>
      <c r="G3959" s="7" t="n">
        <v>108.23</v>
      </c>
    </row>
    <row r="3960" customFormat="false" ht="15" hidden="false" customHeight="false" outlineLevel="0" collapsed="false">
      <c r="A3960" s="7" t="s">
        <v>24</v>
      </c>
      <c r="B3960" s="7" t="s">
        <v>472</v>
      </c>
      <c r="C3960" s="7" t="s">
        <v>1062</v>
      </c>
      <c r="D3960" s="7" t="n">
        <v>0</v>
      </c>
      <c r="E3960" s="7" t="n">
        <v>0</v>
      </c>
      <c r="F3960" s="7" t="n">
        <v>1</v>
      </c>
      <c r="G3960" s="7" t="n">
        <v>120.25</v>
      </c>
    </row>
    <row r="3961" customFormat="false" ht="15" hidden="false" customHeight="false" outlineLevel="0" collapsed="false">
      <c r="A3961" s="7" t="s">
        <v>24</v>
      </c>
      <c r="B3961" s="7" t="s">
        <v>472</v>
      </c>
      <c r="C3961" s="7" t="s">
        <v>1062</v>
      </c>
      <c r="D3961" s="7" t="n">
        <v>0</v>
      </c>
      <c r="E3961" s="7" t="n">
        <v>0</v>
      </c>
      <c r="F3961" s="7" t="n">
        <v>1</v>
      </c>
      <c r="G3961" s="7" t="n">
        <v>108.23</v>
      </c>
    </row>
    <row r="3962" customFormat="false" ht="15" hidden="false" customHeight="false" outlineLevel="0" collapsed="false">
      <c r="A3962" s="7" t="s">
        <v>24</v>
      </c>
      <c r="B3962" s="7" t="s">
        <v>100</v>
      </c>
      <c r="C3962" s="7" t="s">
        <v>1160</v>
      </c>
      <c r="D3962" s="7" t="n">
        <v>1</v>
      </c>
      <c r="E3962" s="7" t="n">
        <v>211.61</v>
      </c>
      <c r="F3962" s="7" t="n">
        <v>6</v>
      </c>
      <c r="G3962" s="7" t="n">
        <v>1300.89</v>
      </c>
    </row>
    <row r="3963" customFormat="false" ht="15" hidden="false" customHeight="false" outlineLevel="0" collapsed="false">
      <c r="A3963" s="7" t="s">
        <v>24</v>
      </c>
      <c r="B3963" s="7" t="s">
        <v>100</v>
      </c>
      <c r="C3963" s="7" t="s">
        <v>1160</v>
      </c>
      <c r="D3963" s="7" t="n">
        <v>0</v>
      </c>
      <c r="E3963" s="7" t="n">
        <v>0</v>
      </c>
      <c r="F3963" s="7" t="n">
        <v>1</v>
      </c>
      <c r="G3963" s="7" t="n">
        <v>240.24</v>
      </c>
    </row>
    <row r="3964" customFormat="false" ht="15" hidden="false" customHeight="false" outlineLevel="0" collapsed="false">
      <c r="A3964" s="7" t="s">
        <v>24</v>
      </c>
      <c r="B3964" s="7" t="s">
        <v>100</v>
      </c>
      <c r="C3964" s="7" t="s">
        <v>1160</v>
      </c>
      <c r="D3964" s="7" t="n">
        <v>0</v>
      </c>
      <c r="E3964" s="7" t="n">
        <v>0</v>
      </c>
      <c r="F3964" s="7" t="n">
        <v>1</v>
      </c>
      <c r="G3964" s="7" t="n">
        <v>266.87</v>
      </c>
    </row>
    <row r="3965" customFormat="false" ht="15" hidden="false" customHeight="false" outlineLevel="0" collapsed="false">
      <c r="A3965" s="7" t="s">
        <v>24</v>
      </c>
      <c r="B3965" s="7" t="s">
        <v>100</v>
      </c>
      <c r="C3965" s="7" t="s">
        <v>1160</v>
      </c>
      <c r="D3965" s="7" t="n">
        <v>0</v>
      </c>
      <c r="E3965" s="7" t="n">
        <v>0</v>
      </c>
      <c r="F3965" s="7" t="n">
        <v>2</v>
      </c>
      <c r="G3965" s="7" t="n">
        <v>533.75</v>
      </c>
    </row>
    <row r="3966" customFormat="false" ht="15" hidden="false" customHeight="false" outlineLevel="0" collapsed="false">
      <c r="A3966" s="7" t="s">
        <v>24</v>
      </c>
      <c r="B3966" s="7" t="s">
        <v>100</v>
      </c>
      <c r="C3966" s="7" t="s">
        <v>1160</v>
      </c>
      <c r="D3966" s="7" t="n">
        <v>0</v>
      </c>
      <c r="E3966" s="7" t="n">
        <v>0</v>
      </c>
      <c r="F3966" s="7" t="n">
        <v>2</v>
      </c>
      <c r="G3966" s="7" t="n">
        <v>504.1</v>
      </c>
    </row>
    <row r="3967" customFormat="false" ht="15" hidden="false" customHeight="false" outlineLevel="0" collapsed="false">
      <c r="A3967" s="7" t="s">
        <v>24</v>
      </c>
      <c r="B3967" s="7" t="s">
        <v>100</v>
      </c>
      <c r="C3967" s="7" t="s">
        <v>1160</v>
      </c>
      <c r="D3967" s="7" t="n">
        <v>0</v>
      </c>
      <c r="E3967" s="7" t="n">
        <v>0</v>
      </c>
      <c r="F3967" s="7" t="n">
        <v>1</v>
      </c>
      <c r="G3967" s="7" t="n">
        <v>266.87</v>
      </c>
    </row>
    <row r="3968" customFormat="false" ht="15" hidden="false" customHeight="false" outlineLevel="0" collapsed="false">
      <c r="A3968" s="7" t="s">
        <v>24</v>
      </c>
      <c r="B3968" s="7" t="s">
        <v>100</v>
      </c>
      <c r="C3968" s="7" t="s">
        <v>1160</v>
      </c>
      <c r="D3968" s="7" t="n">
        <v>0</v>
      </c>
      <c r="E3968" s="7" t="n">
        <v>0</v>
      </c>
      <c r="F3968" s="7" t="n">
        <v>1</v>
      </c>
      <c r="G3968" s="7" t="n">
        <v>266.87</v>
      </c>
    </row>
    <row r="3969" customFormat="false" ht="15" hidden="false" customHeight="false" outlineLevel="0" collapsed="false">
      <c r="A3969" s="7" t="s">
        <v>24</v>
      </c>
      <c r="B3969" s="7" t="s">
        <v>100</v>
      </c>
      <c r="C3969" s="7" t="s">
        <v>1160</v>
      </c>
      <c r="D3969" s="7" t="n">
        <v>0</v>
      </c>
      <c r="E3969" s="7" t="n">
        <v>0</v>
      </c>
      <c r="F3969" s="7" t="n">
        <v>2</v>
      </c>
      <c r="G3969" s="7" t="n">
        <v>593.06</v>
      </c>
    </row>
    <row r="3970" customFormat="false" ht="15" hidden="false" customHeight="false" outlineLevel="0" collapsed="false">
      <c r="A3970" s="7" t="s">
        <v>24</v>
      </c>
      <c r="B3970" s="7" t="s">
        <v>100</v>
      </c>
      <c r="C3970" s="7" t="s">
        <v>1160</v>
      </c>
      <c r="D3970" s="7" t="n">
        <v>0</v>
      </c>
      <c r="E3970" s="7" t="n">
        <v>0</v>
      </c>
      <c r="F3970" s="7" t="n">
        <v>1</v>
      </c>
      <c r="G3970" s="7" t="n">
        <v>266.87</v>
      </c>
    </row>
    <row r="3971" customFormat="false" ht="15" hidden="false" customHeight="false" outlineLevel="0" collapsed="false">
      <c r="A3971" s="7" t="s">
        <v>24</v>
      </c>
      <c r="B3971" s="7" t="s">
        <v>100</v>
      </c>
      <c r="C3971" s="7" t="s">
        <v>1160</v>
      </c>
      <c r="D3971" s="7" t="n">
        <v>0</v>
      </c>
      <c r="E3971" s="7" t="n">
        <v>0</v>
      </c>
      <c r="F3971" s="7" t="n">
        <v>1</v>
      </c>
      <c r="G3971" s="7" t="n">
        <v>296.53</v>
      </c>
    </row>
    <row r="3972" customFormat="false" ht="15" hidden="false" customHeight="false" outlineLevel="0" collapsed="false">
      <c r="A3972" s="7" t="s">
        <v>24</v>
      </c>
      <c r="B3972" s="7" t="s">
        <v>100</v>
      </c>
      <c r="C3972" s="7" t="s">
        <v>1160</v>
      </c>
      <c r="D3972" s="7" t="n">
        <v>0</v>
      </c>
      <c r="E3972" s="7" t="n">
        <v>0</v>
      </c>
      <c r="F3972" s="7" t="n">
        <v>4</v>
      </c>
      <c r="G3972" s="7" t="n">
        <v>1052.66</v>
      </c>
    </row>
    <row r="3973" customFormat="false" ht="15" hidden="false" customHeight="false" outlineLevel="0" collapsed="false">
      <c r="A3973" s="7" t="s">
        <v>24</v>
      </c>
      <c r="B3973" s="7" t="s">
        <v>100</v>
      </c>
      <c r="C3973" s="7" t="s">
        <v>1160</v>
      </c>
      <c r="D3973" s="7" t="n">
        <v>0</v>
      </c>
      <c r="E3973" s="7" t="n">
        <v>0</v>
      </c>
      <c r="F3973" s="7" t="n">
        <v>1</v>
      </c>
      <c r="G3973" s="7" t="n">
        <v>212</v>
      </c>
    </row>
    <row r="3974" customFormat="false" ht="15" hidden="false" customHeight="false" outlineLevel="0" collapsed="false">
      <c r="A3974" s="7" t="s">
        <v>24</v>
      </c>
      <c r="B3974" s="7" t="s">
        <v>100</v>
      </c>
      <c r="C3974" s="7" t="s">
        <v>1160</v>
      </c>
      <c r="D3974" s="7" t="n">
        <v>0</v>
      </c>
      <c r="E3974" s="7" t="n">
        <v>0</v>
      </c>
      <c r="F3974" s="7" t="n">
        <v>16</v>
      </c>
      <c r="G3974" s="7" t="n">
        <v>4541.11</v>
      </c>
    </row>
    <row r="3975" customFormat="false" ht="15" hidden="false" customHeight="false" outlineLevel="0" collapsed="false">
      <c r="A3975" s="7" t="s">
        <v>24</v>
      </c>
      <c r="B3975" s="7" t="s">
        <v>100</v>
      </c>
      <c r="C3975" s="7" t="s">
        <v>1160</v>
      </c>
      <c r="D3975" s="7" t="n">
        <v>0</v>
      </c>
      <c r="E3975" s="7" t="n">
        <v>0</v>
      </c>
      <c r="F3975" s="7" t="n">
        <v>1</v>
      </c>
      <c r="G3975" s="7" t="n">
        <v>266.87</v>
      </c>
    </row>
    <row r="3976" customFormat="false" ht="15" hidden="false" customHeight="false" outlineLevel="0" collapsed="false">
      <c r="A3976" s="7" t="s">
        <v>24</v>
      </c>
      <c r="B3976" s="7" t="s">
        <v>100</v>
      </c>
      <c r="C3976" s="7" t="s">
        <v>1160</v>
      </c>
      <c r="D3976" s="7" t="n">
        <v>0</v>
      </c>
      <c r="E3976" s="7" t="n">
        <v>0</v>
      </c>
      <c r="F3976" s="7" t="n">
        <v>14</v>
      </c>
      <c r="G3976" s="7" t="n">
        <v>3855.24</v>
      </c>
    </row>
    <row r="3977" customFormat="false" ht="15" hidden="false" customHeight="false" outlineLevel="0" collapsed="false">
      <c r="A3977" s="7" t="s">
        <v>24</v>
      </c>
      <c r="B3977" s="7" t="s">
        <v>100</v>
      </c>
      <c r="C3977" s="7" t="s">
        <v>1160</v>
      </c>
      <c r="D3977" s="7" t="n">
        <v>0</v>
      </c>
      <c r="E3977" s="7" t="n">
        <v>0</v>
      </c>
      <c r="F3977" s="7" t="n">
        <v>2</v>
      </c>
      <c r="G3977" s="7" t="n">
        <v>423.58</v>
      </c>
    </row>
    <row r="3978" customFormat="false" ht="15" hidden="false" customHeight="false" outlineLevel="0" collapsed="false">
      <c r="A3978" s="7" t="s">
        <v>24</v>
      </c>
      <c r="B3978" s="7" t="s">
        <v>100</v>
      </c>
      <c r="C3978" s="7" t="s">
        <v>1160</v>
      </c>
      <c r="D3978" s="7" t="n">
        <v>0</v>
      </c>
      <c r="E3978" s="7" t="n">
        <v>0</v>
      </c>
      <c r="F3978" s="7" t="n">
        <v>2</v>
      </c>
      <c r="G3978" s="7" t="n">
        <v>593.05</v>
      </c>
    </row>
    <row r="3979" customFormat="false" ht="15" hidden="false" customHeight="false" outlineLevel="0" collapsed="false">
      <c r="A3979" s="7" t="s">
        <v>24</v>
      </c>
      <c r="B3979" s="7" t="s">
        <v>100</v>
      </c>
      <c r="C3979" s="7" t="s">
        <v>1160</v>
      </c>
      <c r="D3979" s="7" t="n">
        <v>0</v>
      </c>
      <c r="E3979" s="7" t="n">
        <v>0</v>
      </c>
      <c r="F3979" s="7" t="n">
        <v>1</v>
      </c>
      <c r="G3979" s="7" t="n">
        <v>296.53</v>
      </c>
    </row>
    <row r="3980" customFormat="false" ht="15" hidden="false" customHeight="false" outlineLevel="0" collapsed="false">
      <c r="A3980" s="7" t="s">
        <v>24</v>
      </c>
      <c r="B3980" s="7" t="s">
        <v>100</v>
      </c>
      <c r="C3980" s="7" t="s">
        <v>1160</v>
      </c>
      <c r="D3980" s="7" t="n">
        <v>0</v>
      </c>
      <c r="E3980" s="7" t="n">
        <v>0</v>
      </c>
      <c r="F3980" s="7" t="n">
        <v>2</v>
      </c>
      <c r="G3980" s="7" t="n">
        <v>550.76</v>
      </c>
    </row>
    <row r="3981" customFormat="false" ht="15" hidden="false" customHeight="false" outlineLevel="0" collapsed="false">
      <c r="A3981" s="7" t="s">
        <v>24</v>
      </c>
      <c r="B3981" s="7" t="s">
        <v>100</v>
      </c>
      <c r="C3981" s="7" t="s">
        <v>1160</v>
      </c>
      <c r="D3981" s="7" t="n">
        <v>0</v>
      </c>
      <c r="E3981" s="7" t="n">
        <v>0</v>
      </c>
      <c r="F3981" s="7" t="n">
        <v>2</v>
      </c>
      <c r="G3981" s="7" t="n">
        <v>533.75</v>
      </c>
    </row>
    <row r="3982" customFormat="false" ht="15" hidden="false" customHeight="false" outlineLevel="0" collapsed="false">
      <c r="A3982" s="7" t="s">
        <v>24</v>
      </c>
      <c r="B3982" s="7" t="s">
        <v>100</v>
      </c>
      <c r="C3982" s="7" t="s">
        <v>1160</v>
      </c>
      <c r="D3982" s="7" t="n">
        <v>0</v>
      </c>
      <c r="E3982" s="7" t="n">
        <v>0</v>
      </c>
      <c r="F3982" s="7" t="n">
        <v>5</v>
      </c>
      <c r="G3982" s="7" t="n">
        <v>1334.35</v>
      </c>
    </row>
    <row r="3983" customFormat="false" ht="15" hidden="false" customHeight="false" outlineLevel="0" collapsed="false">
      <c r="A3983" s="7" t="s">
        <v>24</v>
      </c>
      <c r="B3983" s="7" t="s">
        <v>100</v>
      </c>
      <c r="C3983" s="7" t="s">
        <v>1160</v>
      </c>
      <c r="D3983" s="7" t="n">
        <v>0</v>
      </c>
      <c r="E3983" s="7" t="n">
        <v>0</v>
      </c>
      <c r="F3983" s="7" t="n">
        <v>10</v>
      </c>
      <c r="G3983" s="7" t="n">
        <v>2796.01</v>
      </c>
    </row>
    <row r="3984" customFormat="false" ht="15" hidden="false" customHeight="false" outlineLevel="0" collapsed="false">
      <c r="A3984" s="7" t="s">
        <v>24</v>
      </c>
      <c r="B3984" s="7" t="s">
        <v>100</v>
      </c>
      <c r="C3984" s="7" t="s">
        <v>1160</v>
      </c>
      <c r="D3984" s="7" t="n">
        <v>0</v>
      </c>
      <c r="E3984" s="7" t="n">
        <v>0</v>
      </c>
      <c r="F3984" s="7" t="n">
        <v>1</v>
      </c>
      <c r="G3984" s="7" t="n">
        <v>191.2</v>
      </c>
    </row>
    <row r="3985" customFormat="false" ht="15" hidden="false" customHeight="false" outlineLevel="0" collapsed="false">
      <c r="A3985" s="7" t="s">
        <v>24</v>
      </c>
      <c r="B3985" s="7" t="s">
        <v>100</v>
      </c>
      <c r="C3985" s="7" t="s">
        <v>1160</v>
      </c>
      <c r="D3985" s="7" t="n">
        <v>0</v>
      </c>
      <c r="E3985" s="7" t="n">
        <v>0</v>
      </c>
      <c r="F3985" s="7" t="n">
        <v>19</v>
      </c>
      <c r="G3985" s="7" t="n">
        <v>5261.2</v>
      </c>
    </row>
    <row r="3986" customFormat="false" ht="15" hidden="false" customHeight="false" outlineLevel="0" collapsed="false">
      <c r="A3986" s="7" t="s">
        <v>24</v>
      </c>
      <c r="B3986" s="7" t="s">
        <v>100</v>
      </c>
      <c r="C3986" s="7" t="s">
        <v>1160</v>
      </c>
      <c r="D3986" s="7" t="n">
        <v>0</v>
      </c>
      <c r="E3986" s="7" t="n">
        <v>0</v>
      </c>
      <c r="F3986" s="7" t="n">
        <v>10</v>
      </c>
      <c r="G3986" s="7" t="n">
        <v>2796.09</v>
      </c>
    </row>
    <row r="3987" customFormat="false" ht="15" hidden="false" customHeight="false" outlineLevel="0" collapsed="false">
      <c r="A3987" s="7" t="s">
        <v>24</v>
      </c>
      <c r="B3987" s="7" t="s">
        <v>100</v>
      </c>
      <c r="C3987" s="7" t="s">
        <v>1160</v>
      </c>
      <c r="D3987" s="7" t="n">
        <v>0</v>
      </c>
      <c r="E3987" s="7" t="n">
        <v>0</v>
      </c>
      <c r="F3987" s="7" t="n">
        <v>1</v>
      </c>
      <c r="G3987" s="7" t="n">
        <v>266.87</v>
      </c>
    </row>
    <row r="3988" customFormat="false" ht="15" hidden="false" customHeight="false" outlineLevel="0" collapsed="false">
      <c r="A3988" s="7" t="s">
        <v>24</v>
      </c>
      <c r="B3988" s="7" t="s">
        <v>100</v>
      </c>
      <c r="C3988" s="7" t="s">
        <v>1160</v>
      </c>
      <c r="D3988" s="7" t="n">
        <v>0</v>
      </c>
      <c r="E3988" s="7" t="n">
        <v>0</v>
      </c>
      <c r="F3988" s="7" t="n">
        <v>4</v>
      </c>
      <c r="G3988" s="7" t="n">
        <v>1126.81</v>
      </c>
    </row>
    <row r="3989" customFormat="false" ht="15" hidden="false" customHeight="false" outlineLevel="0" collapsed="false">
      <c r="A3989" s="7" t="s">
        <v>24</v>
      </c>
      <c r="B3989" s="7" t="s">
        <v>100</v>
      </c>
      <c r="C3989" s="7" t="s">
        <v>1160</v>
      </c>
      <c r="D3989" s="7" t="n">
        <v>0</v>
      </c>
      <c r="E3989" s="7" t="n">
        <v>0</v>
      </c>
      <c r="F3989" s="7" t="n">
        <v>9</v>
      </c>
      <c r="G3989" s="7" t="n">
        <v>2431.53</v>
      </c>
    </row>
    <row r="3990" customFormat="false" ht="15" hidden="false" customHeight="false" outlineLevel="0" collapsed="false">
      <c r="A3990" s="7" t="s">
        <v>24</v>
      </c>
      <c r="B3990" s="7" t="s">
        <v>100</v>
      </c>
      <c r="C3990" s="7" t="s">
        <v>1160</v>
      </c>
      <c r="D3990" s="7" t="n">
        <v>3</v>
      </c>
      <c r="E3990" s="7" t="n">
        <v>635.04</v>
      </c>
      <c r="F3990" s="7" t="n">
        <v>0</v>
      </c>
      <c r="G3990" s="7" t="n">
        <v>0</v>
      </c>
    </row>
    <row r="3991" customFormat="false" ht="15" hidden="false" customHeight="false" outlineLevel="0" collapsed="false">
      <c r="A3991" s="7" t="s">
        <v>24</v>
      </c>
      <c r="B3991" s="7" t="s">
        <v>100</v>
      </c>
      <c r="C3991" s="7" t="s">
        <v>1160</v>
      </c>
      <c r="D3991" s="7" t="n">
        <v>0</v>
      </c>
      <c r="E3991" s="7" t="n">
        <v>0</v>
      </c>
      <c r="F3991" s="7" t="n">
        <v>1</v>
      </c>
      <c r="G3991" s="7" t="n">
        <v>296.53</v>
      </c>
    </row>
    <row r="3992" customFormat="false" ht="15" hidden="false" customHeight="false" outlineLevel="0" collapsed="false">
      <c r="A3992" s="7" t="s">
        <v>24</v>
      </c>
      <c r="B3992" s="7" t="s">
        <v>100</v>
      </c>
      <c r="C3992" s="7" t="s">
        <v>1160</v>
      </c>
      <c r="D3992" s="7" t="n">
        <v>0</v>
      </c>
      <c r="E3992" s="7" t="n">
        <v>0</v>
      </c>
      <c r="F3992" s="7" t="n">
        <v>1</v>
      </c>
      <c r="G3992" s="7" t="n">
        <v>266.87</v>
      </c>
    </row>
    <row r="3993" customFormat="false" ht="15" hidden="false" customHeight="false" outlineLevel="0" collapsed="false">
      <c r="A3993" s="7" t="s">
        <v>24</v>
      </c>
      <c r="B3993" s="7" t="s">
        <v>100</v>
      </c>
      <c r="C3993" s="7" t="s">
        <v>1160</v>
      </c>
      <c r="D3993" s="7" t="n">
        <v>0</v>
      </c>
      <c r="E3993" s="7" t="n">
        <v>0</v>
      </c>
      <c r="F3993" s="7" t="n">
        <v>1</v>
      </c>
      <c r="G3993" s="7" t="n">
        <v>296.53</v>
      </c>
    </row>
    <row r="3994" customFormat="false" ht="15" hidden="false" customHeight="false" outlineLevel="0" collapsed="false">
      <c r="A3994" s="7" t="s">
        <v>24</v>
      </c>
      <c r="B3994" s="7" t="s">
        <v>100</v>
      </c>
      <c r="C3994" s="7" t="s">
        <v>1160</v>
      </c>
      <c r="D3994" s="7" t="n">
        <v>0</v>
      </c>
      <c r="E3994" s="7" t="n">
        <v>0</v>
      </c>
      <c r="F3994" s="7" t="n">
        <v>2</v>
      </c>
      <c r="G3994" s="7" t="n">
        <v>504</v>
      </c>
    </row>
    <row r="3995" customFormat="false" ht="15" hidden="false" customHeight="false" outlineLevel="0" collapsed="false">
      <c r="A3995" s="7" t="s">
        <v>24</v>
      </c>
      <c r="B3995" s="7" t="s">
        <v>100</v>
      </c>
      <c r="C3995" s="7" t="s">
        <v>1160</v>
      </c>
      <c r="D3995" s="7" t="n">
        <v>0</v>
      </c>
      <c r="E3995" s="7" t="n">
        <v>0</v>
      </c>
      <c r="F3995" s="7" t="n">
        <v>2</v>
      </c>
      <c r="G3995" s="7" t="n">
        <v>593.06</v>
      </c>
    </row>
    <row r="3996" customFormat="false" ht="15" hidden="false" customHeight="false" outlineLevel="0" collapsed="false">
      <c r="A3996" s="7" t="s">
        <v>24</v>
      </c>
      <c r="B3996" s="7" t="s">
        <v>100</v>
      </c>
      <c r="C3996" s="7" t="s">
        <v>1160</v>
      </c>
      <c r="D3996" s="7" t="n">
        <v>0</v>
      </c>
      <c r="E3996" s="7" t="n">
        <v>0</v>
      </c>
      <c r="F3996" s="7" t="n">
        <v>11</v>
      </c>
      <c r="G3996" s="7" t="n">
        <v>2922.85</v>
      </c>
    </row>
    <row r="3997" customFormat="false" ht="15" hidden="false" customHeight="false" outlineLevel="0" collapsed="false">
      <c r="A3997" s="7" t="s">
        <v>24</v>
      </c>
      <c r="B3997" s="7" t="s">
        <v>100</v>
      </c>
      <c r="C3997" s="7" t="s">
        <v>1160</v>
      </c>
      <c r="D3997" s="7" t="n">
        <v>0</v>
      </c>
      <c r="E3997" s="7" t="n">
        <v>0</v>
      </c>
      <c r="F3997" s="7" t="n">
        <v>1</v>
      </c>
      <c r="G3997" s="7" t="n">
        <v>211.75</v>
      </c>
    </row>
    <row r="3998" customFormat="false" ht="15" hidden="false" customHeight="false" outlineLevel="0" collapsed="false">
      <c r="A3998" s="7" t="s">
        <v>24</v>
      </c>
      <c r="B3998" s="7" t="s">
        <v>100</v>
      </c>
      <c r="C3998" s="7" t="s">
        <v>1160</v>
      </c>
      <c r="D3998" s="7" t="n">
        <v>0</v>
      </c>
      <c r="E3998" s="7" t="n">
        <v>0</v>
      </c>
      <c r="F3998" s="7" t="n">
        <v>1</v>
      </c>
      <c r="G3998" s="7" t="n">
        <v>266.87</v>
      </c>
    </row>
    <row r="3999" customFormat="false" ht="15" hidden="false" customHeight="false" outlineLevel="0" collapsed="false">
      <c r="A3999" s="7" t="s">
        <v>24</v>
      </c>
      <c r="B3999" s="7" t="s">
        <v>100</v>
      </c>
      <c r="C3999" s="7" t="s">
        <v>1160</v>
      </c>
      <c r="D3999" s="7" t="n">
        <v>0</v>
      </c>
      <c r="E3999" s="7" t="n">
        <v>0</v>
      </c>
      <c r="F3999" s="7" t="n">
        <v>1</v>
      </c>
      <c r="G3999" s="7" t="n">
        <v>266.87</v>
      </c>
    </row>
    <row r="4000" customFormat="false" ht="15" hidden="false" customHeight="false" outlineLevel="0" collapsed="false">
      <c r="A4000" s="7" t="s">
        <v>24</v>
      </c>
      <c r="B4000" s="7" t="s">
        <v>100</v>
      </c>
      <c r="C4000" s="7" t="s">
        <v>1160</v>
      </c>
      <c r="D4000" s="7" t="n">
        <v>0</v>
      </c>
      <c r="E4000" s="7" t="n">
        <v>0</v>
      </c>
      <c r="F4000" s="7" t="n">
        <v>1</v>
      </c>
      <c r="G4000" s="7" t="n">
        <v>254.15</v>
      </c>
    </row>
    <row r="4001" customFormat="false" ht="15" hidden="false" customHeight="false" outlineLevel="0" collapsed="false">
      <c r="A4001" s="7" t="s">
        <v>24</v>
      </c>
      <c r="B4001" s="7" t="s">
        <v>100</v>
      </c>
      <c r="C4001" s="7" t="s">
        <v>1160</v>
      </c>
      <c r="D4001" s="7" t="n">
        <v>0</v>
      </c>
      <c r="E4001" s="7" t="n">
        <v>0</v>
      </c>
      <c r="F4001" s="7" t="n">
        <v>2</v>
      </c>
      <c r="G4001" s="7" t="n">
        <v>593.05</v>
      </c>
    </row>
    <row r="4002" customFormat="false" ht="15" hidden="false" customHeight="false" outlineLevel="0" collapsed="false">
      <c r="A4002" s="7" t="s">
        <v>24</v>
      </c>
      <c r="B4002" s="7" t="s">
        <v>100</v>
      </c>
      <c r="C4002" s="7" t="s">
        <v>1160</v>
      </c>
      <c r="D4002" s="7" t="n">
        <v>0</v>
      </c>
      <c r="E4002" s="7" t="n">
        <v>0</v>
      </c>
      <c r="F4002" s="7" t="n">
        <v>3</v>
      </c>
      <c r="G4002" s="7" t="n">
        <v>804.84</v>
      </c>
    </row>
    <row r="4003" customFormat="false" ht="15" hidden="false" customHeight="false" outlineLevel="0" collapsed="false">
      <c r="A4003" s="7" t="s">
        <v>24</v>
      </c>
      <c r="B4003" s="7" t="s">
        <v>100</v>
      </c>
      <c r="C4003" s="7" t="s">
        <v>1160</v>
      </c>
      <c r="D4003" s="7" t="n">
        <v>0</v>
      </c>
      <c r="E4003" s="7" t="n">
        <v>0</v>
      </c>
      <c r="F4003" s="7" t="n">
        <v>4</v>
      </c>
      <c r="G4003" s="7" t="n">
        <v>1067.49</v>
      </c>
    </row>
    <row r="4004" customFormat="false" ht="15" hidden="false" customHeight="false" outlineLevel="0" collapsed="false">
      <c r="A4004" s="7" t="s">
        <v>24</v>
      </c>
      <c r="B4004" s="7" t="s">
        <v>100</v>
      </c>
      <c r="C4004" s="7" t="s">
        <v>1160</v>
      </c>
      <c r="D4004" s="7" t="n">
        <v>0</v>
      </c>
      <c r="E4004" s="7" t="n">
        <v>0</v>
      </c>
      <c r="F4004" s="7" t="n">
        <v>2</v>
      </c>
      <c r="G4004" s="7" t="n">
        <v>533.74</v>
      </c>
    </row>
    <row r="4005" customFormat="false" ht="15" hidden="false" customHeight="false" outlineLevel="0" collapsed="false">
      <c r="A4005" s="7" t="s">
        <v>24</v>
      </c>
      <c r="B4005" s="7" t="s">
        <v>100</v>
      </c>
      <c r="C4005" s="7" t="s">
        <v>1160</v>
      </c>
      <c r="D4005" s="7" t="n">
        <v>0</v>
      </c>
      <c r="E4005" s="7" t="n">
        <v>0</v>
      </c>
      <c r="F4005" s="7" t="n">
        <v>5</v>
      </c>
      <c r="G4005" s="7" t="n">
        <v>1334.38</v>
      </c>
    </row>
    <row r="4006" customFormat="false" ht="15" hidden="false" customHeight="false" outlineLevel="0" collapsed="false">
      <c r="A4006" s="7" t="s">
        <v>24</v>
      </c>
      <c r="B4006" s="7" t="s">
        <v>100</v>
      </c>
      <c r="C4006" s="7" t="s">
        <v>1160</v>
      </c>
      <c r="D4006" s="7" t="n">
        <v>0</v>
      </c>
      <c r="E4006" s="7" t="n">
        <v>0</v>
      </c>
      <c r="F4006" s="7" t="n">
        <v>1</v>
      </c>
      <c r="G4006" s="7" t="n">
        <v>266.87</v>
      </c>
    </row>
    <row r="4007" customFormat="false" ht="15" hidden="false" customHeight="false" outlineLevel="0" collapsed="false">
      <c r="A4007" s="7" t="s">
        <v>24</v>
      </c>
      <c r="B4007" s="7" t="s">
        <v>100</v>
      </c>
      <c r="C4007" s="7" t="s">
        <v>1160</v>
      </c>
      <c r="D4007" s="7" t="n">
        <v>0</v>
      </c>
      <c r="E4007" s="7" t="n">
        <v>0</v>
      </c>
      <c r="F4007" s="7" t="n">
        <v>1</v>
      </c>
      <c r="G4007" s="7" t="n">
        <v>296.53</v>
      </c>
    </row>
    <row r="4008" customFormat="false" ht="15" hidden="false" customHeight="false" outlineLevel="0" collapsed="false">
      <c r="A4008" s="7" t="s">
        <v>24</v>
      </c>
      <c r="B4008" s="7" t="s">
        <v>100</v>
      </c>
      <c r="C4008" s="7" t="s">
        <v>1160</v>
      </c>
      <c r="D4008" s="7" t="n">
        <v>0</v>
      </c>
      <c r="E4008" s="7" t="n">
        <v>0</v>
      </c>
      <c r="F4008" s="7" t="n">
        <v>9</v>
      </c>
      <c r="G4008" s="7" t="n">
        <v>2524.71</v>
      </c>
    </row>
    <row r="4009" customFormat="false" ht="15" hidden="false" customHeight="false" outlineLevel="0" collapsed="false">
      <c r="A4009" s="7" t="s">
        <v>24</v>
      </c>
      <c r="B4009" s="7" t="s">
        <v>100</v>
      </c>
      <c r="C4009" s="7" t="s">
        <v>1160</v>
      </c>
      <c r="D4009" s="7" t="n">
        <v>0</v>
      </c>
      <c r="E4009" s="7" t="n">
        <v>0</v>
      </c>
      <c r="F4009" s="7" t="n">
        <v>6</v>
      </c>
      <c r="G4009" s="7" t="n">
        <v>1652.2</v>
      </c>
    </row>
    <row r="4010" customFormat="false" ht="15" hidden="false" customHeight="false" outlineLevel="0" collapsed="false">
      <c r="A4010" s="7" t="s">
        <v>24</v>
      </c>
      <c r="B4010" s="7" t="s">
        <v>100</v>
      </c>
      <c r="C4010" s="7" t="s">
        <v>1160</v>
      </c>
      <c r="D4010" s="7" t="n">
        <v>0</v>
      </c>
      <c r="E4010" s="7" t="n">
        <v>0</v>
      </c>
      <c r="F4010" s="7" t="n">
        <v>8</v>
      </c>
      <c r="G4010" s="7" t="n">
        <v>2135</v>
      </c>
    </row>
    <row r="4011" customFormat="false" ht="15" hidden="false" customHeight="false" outlineLevel="0" collapsed="false">
      <c r="A4011" s="7" t="s">
        <v>24</v>
      </c>
      <c r="B4011" s="7" t="s">
        <v>100</v>
      </c>
      <c r="C4011" s="7" t="s">
        <v>1160</v>
      </c>
      <c r="D4011" s="7" t="n">
        <v>0</v>
      </c>
      <c r="E4011" s="7" t="n">
        <v>0</v>
      </c>
      <c r="F4011" s="7" t="n">
        <v>1</v>
      </c>
      <c r="G4011" s="7" t="n">
        <v>266.87</v>
      </c>
    </row>
    <row r="4012" customFormat="false" ht="15" hidden="false" customHeight="false" outlineLevel="0" collapsed="false">
      <c r="A4012" s="7" t="s">
        <v>24</v>
      </c>
      <c r="B4012" s="7" t="s">
        <v>100</v>
      </c>
      <c r="C4012" s="7" t="s">
        <v>1160</v>
      </c>
      <c r="D4012" s="7" t="n">
        <v>0</v>
      </c>
      <c r="E4012" s="7" t="n">
        <v>0</v>
      </c>
      <c r="F4012" s="7" t="n">
        <v>1</v>
      </c>
      <c r="G4012" s="7" t="n">
        <v>0.01</v>
      </c>
    </row>
    <row r="4013" customFormat="false" ht="15" hidden="false" customHeight="false" outlineLevel="0" collapsed="false">
      <c r="A4013" s="7" t="s">
        <v>24</v>
      </c>
      <c r="B4013" s="7" t="s">
        <v>100</v>
      </c>
      <c r="C4013" s="7" t="s">
        <v>1160</v>
      </c>
      <c r="D4013" s="7" t="n">
        <v>0</v>
      </c>
      <c r="E4013" s="7" t="n">
        <v>0</v>
      </c>
      <c r="F4013" s="7" t="n">
        <v>2</v>
      </c>
      <c r="G4013" s="7" t="n">
        <v>533.75</v>
      </c>
    </row>
    <row r="4014" customFormat="false" ht="15" hidden="false" customHeight="false" outlineLevel="0" collapsed="false">
      <c r="A4014" s="7" t="s">
        <v>24</v>
      </c>
      <c r="B4014" s="7" t="s">
        <v>100</v>
      </c>
      <c r="C4014" s="7" t="s">
        <v>1160</v>
      </c>
      <c r="D4014" s="7" t="n">
        <v>0</v>
      </c>
      <c r="E4014" s="7" t="n">
        <v>0</v>
      </c>
      <c r="F4014" s="7" t="n">
        <v>4</v>
      </c>
      <c r="G4014" s="7" t="n">
        <v>1097.16</v>
      </c>
    </row>
    <row r="4015" customFormat="false" ht="15" hidden="false" customHeight="false" outlineLevel="0" collapsed="false">
      <c r="A4015" s="7" t="s">
        <v>24</v>
      </c>
      <c r="B4015" s="7" t="s">
        <v>100</v>
      </c>
      <c r="C4015" s="7" t="s">
        <v>1160</v>
      </c>
      <c r="D4015" s="7" t="n">
        <v>0</v>
      </c>
      <c r="E4015" s="7" t="n">
        <v>0</v>
      </c>
      <c r="F4015" s="7" t="n">
        <v>1</v>
      </c>
      <c r="G4015" s="7" t="n">
        <v>296.53</v>
      </c>
    </row>
    <row r="4016" customFormat="false" ht="15" hidden="false" customHeight="false" outlineLevel="0" collapsed="false">
      <c r="A4016" s="7" t="s">
        <v>24</v>
      </c>
      <c r="B4016" s="7" t="s">
        <v>100</v>
      </c>
      <c r="C4016" s="7" t="s">
        <v>1160</v>
      </c>
      <c r="D4016" s="7" t="n">
        <v>0</v>
      </c>
      <c r="E4016" s="7" t="n">
        <v>0</v>
      </c>
      <c r="F4016" s="7" t="n">
        <v>2</v>
      </c>
      <c r="G4016" s="7" t="n">
        <v>533.74</v>
      </c>
    </row>
    <row r="4017" customFormat="false" ht="15" hidden="false" customHeight="false" outlineLevel="0" collapsed="false">
      <c r="A4017" s="7" t="s">
        <v>24</v>
      </c>
      <c r="B4017" s="7" t="s">
        <v>100</v>
      </c>
      <c r="C4017" s="7" t="s">
        <v>1160</v>
      </c>
      <c r="D4017" s="7" t="n">
        <v>0</v>
      </c>
      <c r="E4017" s="7" t="n">
        <v>0</v>
      </c>
      <c r="F4017" s="7" t="n">
        <v>1</v>
      </c>
      <c r="G4017" s="7" t="n">
        <v>266.87</v>
      </c>
    </row>
    <row r="4018" customFormat="false" ht="15" hidden="false" customHeight="false" outlineLevel="0" collapsed="false">
      <c r="A4018" s="7" t="s">
        <v>24</v>
      </c>
      <c r="B4018" s="7" t="s">
        <v>100</v>
      </c>
      <c r="C4018" s="7" t="s">
        <v>1160</v>
      </c>
      <c r="D4018" s="7" t="n">
        <v>0</v>
      </c>
      <c r="E4018" s="7" t="n">
        <v>0</v>
      </c>
      <c r="F4018" s="7" t="n">
        <v>11</v>
      </c>
      <c r="G4018" s="7" t="n">
        <v>3024.59</v>
      </c>
    </row>
    <row r="4019" customFormat="false" ht="15" hidden="false" customHeight="false" outlineLevel="0" collapsed="false">
      <c r="A4019" s="7" t="s">
        <v>24</v>
      </c>
      <c r="B4019" s="7" t="s">
        <v>100</v>
      </c>
      <c r="C4019" s="7" t="s">
        <v>1160</v>
      </c>
      <c r="D4019" s="7" t="n">
        <v>0</v>
      </c>
      <c r="E4019" s="7" t="n">
        <v>0</v>
      </c>
      <c r="F4019" s="7" t="n">
        <v>1</v>
      </c>
      <c r="G4019" s="7" t="n">
        <v>296.52</v>
      </c>
    </row>
    <row r="4020" customFormat="false" ht="15" hidden="false" customHeight="false" outlineLevel="0" collapsed="false">
      <c r="A4020" s="7" t="s">
        <v>24</v>
      </c>
      <c r="B4020" s="7" t="s">
        <v>100</v>
      </c>
      <c r="C4020" s="7" t="s">
        <v>1160</v>
      </c>
      <c r="D4020" s="7" t="n">
        <v>0</v>
      </c>
      <c r="E4020" s="7" t="n">
        <v>0</v>
      </c>
      <c r="F4020" s="7" t="n">
        <v>12</v>
      </c>
      <c r="G4020" s="7" t="n">
        <v>3306.23</v>
      </c>
    </row>
    <row r="4021" customFormat="false" ht="15" hidden="false" customHeight="false" outlineLevel="0" collapsed="false">
      <c r="A4021" s="7" t="s">
        <v>24</v>
      </c>
      <c r="B4021" s="7" t="s">
        <v>100</v>
      </c>
      <c r="C4021" s="7" t="s">
        <v>1160</v>
      </c>
      <c r="D4021" s="7" t="n">
        <v>0</v>
      </c>
      <c r="E4021" s="7" t="n">
        <v>0</v>
      </c>
      <c r="F4021" s="7" t="n">
        <v>9</v>
      </c>
      <c r="G4021" s="7" t="n">
        <v>2446.31</v>
      </c>
    </row>
    <row r="4022" customFormat="false" ht="15" hidden="false" customHeight="false" outlineLevel="0" collapsed="false">
      <c r="A4022" s="7" t="s">
        <v>24</v>
      </c>
      <c r="B4022" s="7" t="s">
        <v>100</v>
      </c>
      <c r="C4022" s="7" t="s">
        <v>1160</v>
      </c>
      <c r="D4022" s="7" t="n">
        <v>5</v>
      </c>
      <c r="E4022" s="7" t="n">
        <v>1202.8</v>
      </c>
      <c r="F4022" s="7" t="n">
        <v>3</v>
      </c>
      <c r="G4022" s="7" t="n">
        <v>721.68</v>
      </c>
    </row>
    <row r="4023" customFormat="false" ht="15" hidden="false" customHeight="false" outlineLevel="0" collapsed="false">
      <c r="A4023" s="7" t="s">
        <v>24</v>
      </c>
      <c r="B4023" s="7" t="s">
        <v>100</v>
      </c>
      <c r="C4023" s="7" t="s">
        <v>1160</v>
      </c>
      <c r="D4023" s="7" t="n">
        <v>0</v>
      </c>
      <c r="E4023" s="7" t="n">
        <v>0</v>
      </c>
      <c r="F4023" s="7" t="n">
        <v>2</v>
      </c>
      <c r="G4023" s="7" t="n">
        <v>508.47</v>
      </c>
    </row>
    <row r="4024" customFormat="false" ht="15" hidden="false" customHeight="false" outlineLevel="0" collapsed="false">
      <c r="A4024" s="7" t="s">
        <v>24</v>
      </c>
      <c r="B4024" s="7" t="s">
        <v>100</v>
      </c>
      <c r="C4024" s="7" t="s">
        <v>1160</v>
      </c>
      <c r="D4024" s="7" t="n">
        <v>0</v>
      </c>
      <c r="E4024" s="7" t="n">
        <v>0</v>
      </c>
      <c r="F4024" s="7" t="n">
        <v>1</v>
      </c>
      <c r="G4024" s="7" t="n">
        <v>296.53</v>
      </c>
    </row>
    <row r="4025" customFormat="false" ht="15" hidden="false" customHeight="false" outlineLevel="0" collapsed="false">
      <c r="A4025" s="7" t="s">
        <v>24</v>
      </c>
      <c r="B4025" s="7" t="s">
        <v>100</v>
      </c>
      <c r="C4025" s="7" t="s">
        <v>1160</v>
      </c>
      <c r="D4025" s="7" t="n">
        <v>0</v>
      </c>
      <c r="E4025" s="7" t="n">
        <v>0</v>
      </c>
      <c r="F4025" s="7" t="n">
        <v>1</v>
      </c>
      <c r="G4025" s="7" t="n">
        <v>296.53</v>
      </c>
    </row>
    <row r="4026" customFormat="false" ht="15" hidden="false" customHeight="false" outlineLevel="0" collapsed="false">
      <c r="A4026" s="7" t="s">
        <v>24</v>
      </c>
      <c r="B4026" s="7" t="s">
        <v>100</v>
      </c>
      <c r="C4026" s="7" t="s">
        <v>1160</v>
      </c>
      <c r="D4026" s="7" t="n">
        <v>0</v>
      </c>
      <c r="E4026" s="7" t="n">
        <v>0</v>
      </c>
      <c r="F4026" s="7" t="n">
        <v>1</v>
      </c>
      <c r="G4026" s="7" t="n">
        <v>296.53</v>
      </c>
    </row>
    <row r="4027" customFormat="false" ht="15" hidden="false" customHeight="false" outlineLevel="0" collapsed="false">
      <c r="A4027" s="7" t="s">
        <v>24</v>
      </c>
      <c r="B4027" s="7" t="s">
        <v>100</v>
      </c>
      <c r="C4027" s="7" t="s">
        <v>1160</v>
      </c>
      <c r="D4027" s="7" t="n">
        <v>0</v>
      </c>
      <c r="E4027" s="7" t="n">
        <v>0</v>
      </c>
      <c r="F4027" s="7" t="n">
        <v>1</v>
      </c>
      <c r="G4027" s="7" t="n">
        <v>266.87</v>
      </c>
    </row>
    <row r="4028" customFormat="false" ht="15" hidden="false" customHeight="false" outlineLevel="0" collapsed="false">
      <c r="A4028" s="7" t="s">
        <v>24</v>
      </c>
      <c r="B4028" s="7" t="s">
        <v>100</v>
      </c>
      <c r="C4028" s="7" t="s">
        <v>1160</v>
      </c>
      <c r="D4028" s="7" t="n">
        <v>0</v>
      </c>
      <c r="E4028" s="7" t="n">
        <v>0</v>
      </c>
      <c r="F4028" s="7" t="n">
        <v>7</v>
      </c>
      <c r="G4028" s="7" t="n">
        <v>1868.1</v>
      </c>
    </row>
    <row r="4029" customFormat="false" ht="15" hidden="false" customHeight="false" outlineLevel="0" collapsed="false">
      <c r="A4029" s="7" t="s">
        <v>24</v>
      </c>
      <c r="B4029" s="7" t="s">
        <v>100</v>
      </c>
      <c r="C4029" s="7" t="s">
        <v>1160</v>
      </c>
      <c r="D4029" s="7" t="n">
        <v>0</v>
      </c>
      <c r="E4029" s="7" t="n">
        <v>0</v>
      </c>
      <c r="F4029" s="7" t="n">
        <v>1</v>
      </c>
      <c r="G4029" s="7" t="n">
        <v>266.87</v>
      </c>
    </row>
    <row r="4030" customFormat="false" ht="15" hidden="false" customHeight="false" outlineLevel="0" collapsed="false">
      <c r="A4030" s="7" t="s">
        <v>24</v>
      </c>
      <c r="B4030" s="7" t="s">
        <v>100</v>
      </c>
      <c r="C4030" s="7" t="s">
        <v>1160</v>
      </c>
      <c r="D4030" s="7" t="n">
        <v>0</v>
      </c>
      <c r="E4030" s="7" t="n">
        <v>0</v>
      </c>
      <c r="F4030" s="7" t="n">
        <v>1</v>
      </c>
      <c r="G4030" s="7" t="n">
        <v>296.52</v>
      </c>
    </row>
    <row r="4031" customFormat="false" ht="15" hidden="false" customHeight="false" outlineLevel="0" collapsed="false">
      <c r="A4031" s="7" t="s">
        <v>24</v>
      </c>
      <c r="B4031" s="7" t="s">
        <v>100</v>
      </c>
      <c r="C4031" s="7" t="s">
        <v>1160</v>
      </c>
      <c r="D4031" s="7" t="n">
        <v>0</v>
      </c>
      <c r="E4031" s="7" t="n">
        <v>0</v>
      </c>
      <c r="F4031" s="7" t="n">
        <v>1</v>
      </c>
      <c r="G4031" s="7" t="n">
        <v>254.15</v>
      </c>
    </row>
    <row r="4032" customFormat="false" ht="15" hidden="false" customHeight="false" outlineLevel="0" collapsed="false">
      <c r="A4032" s="7" t="s">
        <v>24</v>
      </c>
      <c r="B4032" s="7" t="s">
        <v>100</v>
      </c>
      <c r="C4032" s="7" t="s">
        <v>1160</v>
      </c>
      <c r="D4032" s="7" t="n">
        <v>0</v>
      </c>
      <c r="E4032" s="7" t="n">
        <v>0</v>
      </c>
      <c r="F4032" s="7" t="n">
        <v>1</v>
      </c>
      <c r="G4032" s="7" t="n">
        <v>296.53</v>
      </c>
    </row>
    <row r="4033" customFormat="false" ht="15" hidden="false" customHeight="false" outlineLevel="0" collapsed="false">
      <c r="A4033" s="7" t="s">
        <v>24</v>
      </c>
      <c r="B4033" s="7" t="s">
        <v>100</v>
      </c>
      <c r="C4033" s="7" t="s">
        <v>1160</v>
      </c>
      <c r="D4033" s="7" t="n">
        <v>0</v>
      </c>
      <c r="E4033" s="7" t="n">
        <v>0</v>
      </c>
      <c r="F4033" s="7" t="n">
        <v>3</v>
      </c>
      <c r="G4033" s="7" t="n">
        <v>830.28</v>
      </c>
    </row>
    <row r="4034" customFormat="false" ht="15" hidden="false" customHeight="false" outlineLevel="0" collapsed="false">
      <c r="A4034" s="7" t="s">
        <v>24</v>
      </c>
      <c r="B4034" s="7" t="s">
        <v>100</v>
      </c>
      <c r="C4034" s="7" t="s">
        <v>1160</v>
      </c>
      <c r="D4034" s="7" t="n">
        <v>0</v>
      </c>
      <c r="E4034" s="7" t="n">
        <v>0</v>
      </c>
      <c r="F4034" s="7" t="n">
        <v>1</v>
      </c>
      <c r="G4034" s="7" t="n">
        <v>296.53</v>
      </c>
    </row>
    <row r="4035" customFormat="false" ht="15" hidden="false" customHeight="false" outlineLevel="0" collapsed="false">
      <c r="A4035" s="7" t="s">
        <v>24</v>
      </c>
      <c r="B4035" s="7" t="s">
        <v>100</v>
      </c>
      <c r="C4035" s="7" t="s">
        <v>1160</v>
      </c>
      <c r="D4035" s="7" t="n">
        <v>0</v>
      </c>
      <c r="E4035" s="7" t="n">
        <v>0</v>
      </c>
      <c r="F4035" s="7" t="n">
        <v>1</v>
      </c>
      <c r="G4035" s="7" t="n">
        <v>266.87</v>
      </c>
    </row>
    <row r="4036" customFormat="false" ht="15" hidden="false" customHeight="false" outlineLevel="0" collapsed="false">
      <c r="A4036" s="7" t="s">
        <v>24</v>
      </c>
      <c r="B4036" s="7" t="s">
        <v>100</v>
      </c>
      <c r="C4036" s="7" t="s">
        <v>1160</v>
      </c>
      <c r="D4036" s="7" t="n">
        <v>0</v>
      </c>
      <c r="E4036" s="7" t="n">
        <v>0</v>
      </c>
      <c r="F4036" s="7" t="n">
        <v>2</v>
      </c>
      <c r="G4036" s="7" t="n">
        <v>550.76</v>
      </c>
    </row>
    <row r="4037" customFormat="false" ht="15" hidden="false" customHeight="false" outlineLevel="0" collapsed="false">
      <c r="A4037" s="7" t="s">
        <v>24</v>
      </c>
      <c r="B4037" s="7" t="s">
        <v>100</v>
      </c>
      <c r="C4037" s="7" t="s">
        <v>1160</v>
      </c>
      <c r="D4037" s="7" t="n">
        <v>0</v>
      </c>
      <c r="E4037" s="7" t="n">
        <v>0</v>
      </c>
      <c r="F4037" s="7" t="n">
        <v>2</v>
      </c>
      <c r="G4037" s="7" t="n">
        <v>504.1</v>
      </c>
    </row>
    <row r="4038" customFormat="false" ht="15" hidden="false" customHeight="false" outlineLevel="0" collapsed="false">
      <c r="A4038" s="7" t="s">
        <v>24</v>
      </c>
      <c r="B4038" s="7" t="s">
        <v>100</v>
      </c>
      <c r="C4038" s="7" t="s">
        <v>1160</v>
      </c>
      <c r="D4038" s="7" t="n">
        <v>0</v>
      </c>
      <c r="E4038" s="7" t="n">
        <v>0</v>
      </c>
      <c r="F4038" s="7" t="n">
        <v>2</v>
      </c>
      <c r="G4038" s="7" t="n">
        <v>533.75</v>
      </c>
    </row>
    <row r="4039" customFormat="false" ht="15" hidden="false" customHeight="false" outlineLevel="0" collapsed="false">
      <c r="A4039" s="7" t="s">
        <v>24</v>
      </c>
      <c r="B4039" s="7" t="s">
        <v>100</v>
      </c>
      <c r="C4039" s="7" t="s">
        <v>1160</v>
      </c>
      <c r="D4039" s="7" t="n">
        <v>-1</v>
      </c>
      <c r="E4039" s="7" t="n">
        <v>-211.8</v>
      </c>
      <c r="F4039" s="7" t="n">
        <v>9</v>
      </c>
      <c r="G4039" s="7" t="n">
        <v>1906.2</v>
      </c>
    </row>
    <row r="4040" customFormat="false" ht="15" hidden="false" customHeight="false" outlineLevel="0" collapsed="false">
      <c r="A4040" s="7" t="s">
        <v>24</v>
      </c>
      <c r="B4040" s="7" t="s">
        <v>100</v>
      </c>
      <c r="C4040" s="7" t="s">
        <v>1160</v>
      </c>
      <c r="D4040" s="7" t="n">
        <v>0</v>
      </c>
      <c r="E4040" s="7" t="n">
        <v>0</v>
      </c>
      <c r="F4040" s="7" t="n">
        <v>1</v>
      </c>
      <c r="G4040" s="7" t="n">
        <v>296.53</v>
      </c>
    </row>
    <row r="4041" customFormat="false" ht="15" hidden="false" customHeight="false" outlineLevel="0" collapsed="false">
      <c r="A4041" s="7" t="s">
        <v>24</v>
      </c>
      <c r="B4041" s="7" t="s">
        <v>100</v>
      </c>
      <c r="C4041" s="7" t="s">
        <v>1160</v>
      </c>
      <c r="D4041" s="7" t="n">
        <v>0</v>
      </c>
      <c r="E4041" s="7" t="n">
        <v>0</v>
      </c>
      <c r="F4041" s="7" t="n">
        <v>1</v>
      </c>
      <c r="G4041" s="7" t="n">
        <v>296.53</v>
      </c>
    </row>
    <row r="4042" customFormat="false" ht="15" hidden="false" customHeight="false" outlineLevel="0" collapsed="false">
      <c r="A4042" s="7" t="s">
        <v>24</v>
      </c>
      <c r="B4042" s="7" t="s">
        <v>100</v>
      </c>
      <c r="C4042" s="7" t="s">
        <v>1160</v>
      </c>
      <c r="D4042" s="7" t="n">
        <v>0</v>
      </c>
      <c r="E4042" s="7" t="n">
        <v>0</v>
      </c>
      <c r="F4042" s="7" t="n">
        <v>2</v>
      </c>
      <c r="G4042" s="7" t="n">
        <v>550.76</v>
      </c>
    </row>
    <row r="4043" customFormat="false" ht="15" hidden="false" customHeight="false" outlineLevel="0" collapsed="false">
      <c r="A4043" s="7" t="s">
        <v>24</v>
      </c>
      <c r="B4043" s="7" t="s">
        <v>100</v>
      </c>
      <c r="C4043" s="7" t="s">
        <v>1160</v>
      </c>
      <c r="D4043" s="7" t="n">
        <v>0</v>
      </c>
      <c r="E4043" s="7" t="n">
        <v>0</v>
      </c>
      <c r="F4043" s="7" t="n">
        <v>1</v>
      </c>
      <c r="G4043" s="7" t="n">
        <v>266.87</v>
      </c>
    </row>
    <row r="4044" customFormat="false" ht="15" hidden="false" customHeight="false" outlineLevel="0" collapsed="false">
      <c r="A4044" s="7" t="s">
        <v>24</v>
      </c>
      <c r="B4044" s="7" t="s">
        <v>100</v>
      </c>
      <c r="C4044" s="7" t="s">
        <v>1160</v>
      </c>
      <c r="D4044" s="7" t="n">
        <v>0</v>
      </c>
      <c r="E4044" s="7" t="n">
        <v>0</v>
      </c>
      <c r="F4044" s="7" t="n">
        <v>2</v>
      </c>
      <c r="G4044" s="7" t="n">
        <v>550.76</v>
      </c>
    </row>
    <row r="4045" customFormat="false" ht="15" hidden="false" customHeight="false" outlineLevel="0" collapsed="false">
      <c r="A4045" s="7" t="s">
        <v>24</v>
      </c>
      <c r="B4045" s="7" t="s">
        <v>100</v>
      </c>
      <c r="C4045" s="7" t="s">
        <v>1160</v>
      </c>
      <c r="D4045" s="7" t="n">
        <v>0</v>
      </c>
      <c r="E4045" s="7" t="n">
        <v>0</v>
      </c>
      <c r="F4045" s="7" t="n">
        <v>2</v>
      </c>
      <c r="G4045" s="7" t="n">
        <v>550.76</v>
      </c>
    </row>
    <row r="4046" customFormat="false" ht="15" hidden="false" customHeight="false" outlineLevel="0" collapsed="false">
      <c r="A4046" s="7" t="s">
        <v>24</v>
      </c>
      <c r="B4046" s="7" t="s">
        <v>100</v>
      </c>
      <c r="C4046" s="7" t="s">
        <v>1160</v>
      </c>
      <c r="D4046" s="7" t="n">
        <v>0</v>
      </c>
      <c r="E4046" s="7" t="n">
        <v>0</v>
      </c>
      <c r="F4046" s="7" t="n">
        <v>1</v>
      </c>
      <c r="G4046" s="7" t="n">
        <v>266.87</v>
      </c>
    </row>
    <row r="4047" customFormat="false" ht="15" hidden="false" customHeight="false" outlineLevel="0" collapsed="false">
      <c r="A4047" s="7" t="s">
        <v>24</v>
      </c>
      <c r="B4047" s="7" t="s">
        <v>100</v>
      </c>
      <c r="C4047" s="7" t="s">
        <v>1160</v>
      </c>
      <c r="D4047" s="7" t="n">
        <v>0</v>
      </c>
      <c r="E4047" s="7" t="n">
        <v>0</v>
      </c>
      <c r="F4047" s="7" t="n">
        <v>1</v>
      </c>
      <c r="G4047" s="7" t="n">
        <v>252.05</v>
      </c>
    </row>
    <row r="4048" customFormat="false" ht="15" hidden="false" customHeight="false" outlineLevel="0" collapsed="false">
      <c r="A4048" s="7" t="s">
        <v>24</v>
      </c>
      <c r="B4048" s="7" t="s">
        <v>100</v>
      </c>
      <c r="C4048" s="7" t="s">
        <v>1160</v>
      </c>
      <c r="D4048" s="7" t="n">
        <v>0</v>
      </c>
      <c r="E4048" s="7" t="n">
        <v>0</v>
      </c>
      <c r="F4048" s="7" t="n">
        <v>3</v>
      </c>
      <c r="G4048" s="7" t="n">
        <v>804.84</v>
      </c>
    </row>
    <row r="4049" customFormat="false" ht="15" hidden="false" customHeight="false" outlineLevel="0" collapsed="false">
      <c r="A4049" s="7" t="s">
        <v>24</v>
      </c>
      <c r="B4049" s="7" t="s">
        <v>100</v>
      </c>
      <c r="C4049" s="7" t="s">
        <v>1160</v>
      </c>
      <c r="D4049" s="7" t="n">
        <v>0</v>
      </c>
      <c r="E4049" s="7" t="n">
        <v>0</v>
      </c>
      <c r="F4049" s="7" t="n">
        <v>19</v>
      </c>
      <c r="G4049" s="7" t="n">
        <v>5341.74</v>
      </c>
    </row>
    <row r="4050" customFormat="false" ht="15" hidden="false" customHeight="false" outlineLevel="0" collapsed="false">
      <c r="A4050" s="7" t="s">
        <v>24</v>
      </c>
      <c r="B4050" s="7" t="s">
        <v>100</v>
      </c>
      <c r="C4050" s="7" t="s">
        <v>1160</v>
      </c>
      <c r="D4050" s="7" t="n">
        <v>0</v>
      </c>
      <c r="E4050" s="7" t="n">
        <v>0</v>
      </c>
      <c r="F4050" s="7" t="n">
        <v>13</v>
      </c>
      <c r="G4050" s="7" t="n">
        <v>3471.43</v>
      </c>
    </row>
    <row r="4051" customFormat="false" ht="15" hidden="false" customHeight="false" outlineLevel="0" collapsed="false">
      <c r="A4051" s="7" t="s">
        <v>24</v>
      </c>
      <c r="B4051" s="7" t="s">
        <v>100</v>
      </c>
      <c r="C4051" s="7" t="s">
        <v>1160</v>
      </c>
      <c r="D4051" s="7" t="n">
        <v>0</v>
      </c>
      <c r="E4051" s="7" t="n">
        <v>0</v>
      </c>
      <c r="F4051" s="7" t="n">
        <v>20</v>
      </c>
      <c r="G4051" s="7" t="n">
        <v>5373.38</v>
      </c>
    </row>
    <row r="4052" customFormat="false" ht="15" hidden="false" customHeight="false" outlineLevel="0" collapsed="false">
      <c r="A4052" s="7" t="s">
        <v>24</v>
      </c>
      <c r="B4052" s="7" t="s">
        <v>100</v>
      </c>
      <c r="C4052" s="7" t="s">
        <v>1160</v>
      </c>
      <c r="D4052" s="7" t="n">
        <v>0</v>
      </c>
      <c r="E4052" s="7" t="n">
        <v>0</v>
      </c>
      <c r="F4052" s="7" t="n">
        <v>1</v>
      </c>
      <c r="G4052" s="7" t="n">
        <v>296.53</v>
      </c>
    </row>
    <row r="4053" customFormat="false" ht="15" hidden="false" customHeight="false" outlineLevel="0" collapsed="false">
      <c r="A4053" s="7" t="s">
        <v>24</v>
      </c>
      <c r="B4053" s="7" t="s">
        <v>100</v>
      </c>
      <c r="C4053" s="7" t="s">
        <v>1160</v>
      </c>
      <c r="D4053" s="7" t="n">
        <v>0</v>
      </c>
      <c r="E4053" s="7" t="n">
        <v>0</v>
      </c>
      <c r="F4053" s="7" t="n">
        <v>2</v>
      </c>
      <c r="G4053" s="7" t="n">
        <v>550.76</v>
      </c>
    </row>
    <row r="4054" customFormat="false" ht="15" hidden="false" customHeight="false" outlineLevel="0" collapsed="false">
      <c r="A4054" s="7" t="s">
        <v>24</v>
      </c>
      <c r="B4054" s="7" t="s">
        <v>100</v>
      </c>
      <c r="C4054" s="7" t="s">
        <v>1160</v>
      </c>
      <c r="D4054" s="7" t="n">
        <v>2</v>
      </c>
      <c r="E4054" s="7" t="n">
        <v>423.5</v>
      </c>
      <c r="F4054" s="7" t="n">
        <v>2</v>
      </c>
      <c r="G4054" s="7" t="n">
        <v>453.75</v>
      </c>
    </row>
    <row r="4055" customFormat="false" ht="15" hidden="false" customHeight="false" outlineLevel="0" collapsed="false">
      <c r="A4055" s="7" t="s">
        <v>24</v>
      </c>
      <c r="B4055" s="7" t="s">
        <v>100</v>
      </c>
      <c r="C4055" s="7" t="s">
        <v>1160</v>
      </c>
      <c r="D4055" s="7" t="n">
        <v>0</v>
      </c>
      <c r="E4055" s="7" t="n">
        <v>0</v>
      </c>
      <c r="F4055" s="7" t="n">
        <v>2</v>
      </c>
      <c r="G4055" s="7" t="n">
        <v>533.75</v>
      </c>
    </row>
    <row r="4056" customFormat="false" ht="15" hidden="false" customHeight="false" outlineLevel="0" collapsed="false">
      <c r="A4056" s="7" t="s">
        <v>24</v>
      </c>
      <c r="B4056" s="7" t="s">
        <v>100</v>
      </c>
      <c r="C4056" s="7" t="s">
        <v>1160</v>
      </c>
      <c r="D4056" s="7" t="n">
        <v>0</v>
      </c>
      <c r="E4056" s="7" t="n">
        <v>0</v>
      </c>
      <c r="F4056" s="7" t="n">
        <v>2</v>
      </c>
      <c r="G4056" s="7" t="n">
        <v>455.94</v>
      </c>
    </row>
    <row r="4057" customFormat="false" ht="15" hidden="false" customHeight="false" outlineLevel="0" collapsed="false">
      <c r="A4057" s="7" t="s">
        <v>24</v>
      </c>
      <c r="B4057" s="7" t="s">
        <v>100</v>
      </c>
      <c r="C4057" s="7" t="s">
        <v>1160</v>
      </c>
      <c r="D4057" s="7" t="n">
        <v>0</v>
      </c>
      <c r="E4057" s="7" t="n">
        <v>0</v>
      </c>
      <c r="F4057" s="7" t="n">
        <v>7</v>
      </c>
      <c r="G4057" s="7" t="n">
        <v>1897.78</v>
      </c>
    </row>
    <row r="4058" customFormat="false" ht="15" hidden="false" customHeight="false" outlineLevel="0" collapsed="false">
      <c r="A4058" s="7" t="s">
        <v>24</v>
      </c>
      <c r="B4058" s="7" t="s">
        <v>100</v>
      </c>
      <c r="C4058" s="7" t="s">
        <v>1160</v>
      </c>
      <c r="D4058" s="7" t="n">
        <v>0</v>
      </c>
      <c r="E4058" s="7" t="n">
        <v>0</v>
      </c>
      <c r="F4058" s="7" t="n">
        <v>3</v>
      </c>
      <c r="G4058" s="7" t="n">
        <v>770.97</v>
      </c>
    </row>
    <row r="4059" customFormat="false" ht="15" hidden="false" customHeight="false" outlineLevel="0" collapsed="false">
      <c r="A4059" s="7" t="s">
        <v>24</v>
      </c>
      <c r="B4059" s="7" t="s">
        <v>100</v>
      </c>
      <c r="C4059" s="7" t="s">
        <v>1160</v>
      </c>
      <c r="D4059" s="7" t="n">
        <v>0</v>
      </c>
      <c r="E4059" s="7" t="n">
        <v>0</v>
      </c>
      <c r="F4059" s="7" t="n">
        <v>1</v>
      </c>
      <c r="G4059" s="7" t="n">
        <v>266.87</v>
      </c>
    </row>
    <row r="4060" customFormat="false" ht="15" hidden="false" customHeight="false" outlineLevel="0" collapsed="false">
      <c r="A4060" s="7" t="s">
        <v>24</v>
      </c>
      <c r="B4060" s="7" t="s">
        <v>100</v>
      </c>
      <c r="C4060" s="7" t="s">
        <v>1160</v>
      </c>
      <c r="D4060" s="7" t="n">
        <v>0</v>
      </c>
      <c r="E4060" s="7" t="n">
        <v>0</v>
      </c>
      <c r="F4060" s="7" t="n">
        <v>3</v>
      </c>
      <c r="G4060" s="7" t="n">
        <v>800.61</v>
      </c>
    </row>
    <row r="4061" customFormat="false" ht="15" hidden="false" customHeight="false" outlineLevel="0" collapsed="false">
      <c r="A4061" s="7" t="s">
        <v>24</v>
      </c>
      <c r="B4061" s="7" t="s">
        <v>100</v>
      </c>
      <c r="C4061" s="7" t="s">
        <v>1160</v>
      </c>
      <c r="D4061" s="7" t="n">
        <v>0</v>
      </c>
      <c r="E4061" s="7" t="n">
        <v>0</v>
      </c>
      <c r="F4061" s="7" t="n">
        <v>10</v>
      </c>
      <c r="G4061" s="7" t="n">
        <v>2706.98</v>
      </c>
    </row>
    <row r="4062" customFormat="false" ht="15" hidden="false" customHeight="false" outlineLevel="0" collapsed="false">
      <c r="A4062" s="7" t="s">
        <v>24</v>
      </c>
      <c r="B4062" s="7" t="s">
        <v>100</v>
      </c>
      <c r="C4062" s="7" t="s">
        <v>1160</v>
      </c>
      <c r="D4062" s="7" t="n">
        <v>0</v>
      </c>
      <c r="E4062" s="7" t="n">
        <v>0</v>
      </c>
      <c r="F4062" s="7" t="n">
        <v>126</v>
      </c>
      <c r="G4062" s="7" t="n">
        <v>32371.6</v>
      </c>
    </row>
    <row r="4063" customFormat="false" ht="15" hidden="false" customHeight="false" outlineLevel="0" collapsed="false">
      <c r="A4063" s="7" t="s">
        <v>24</v>
      </c>
      <c r="B4063" s="7" t="s">
        <v>100</v>
      </c>
      <c r="C4063" s="7" t="s">
        <v>1160</v>
      </c>
      <c r="D4063" s="7" t="n">
        <v>0</v>
      </c>
      <c r="E4063" s="7" t="n">
        <v>0</v>
      </c>
      <c r="F4063" s="7" t="n">
        <v>1</v>
      </c>
      <c r="G4063" s="7" t="n">
        <v>266.87</v>
      </c>
    </row>
    <row r="4064" customFormat="false" ht="15" hidden="false" customHeight="false" outlineLevel="0" collapsed="false">
      <c r="A4064" s="7" t="s">
        <v>24</v>
      </c>
      <c r="B4064" s="7" t="s">
        <v>100</v>
      </c>
      <c r="C4064" s="7" t="s">
        <v>1160</v>
      </c>
      <c r="D4064" s="7" t="n">
        <v>0</v>
      </c>
      <c r="E4064" s="7" t="n">
        <v>0</v>
      </c>
      <c r="F4064" s="7" t="n">
        <v>2</v>
      </c>
      <c r="G4064" s="7" t="n">
        <v>533.75</v>
      </c>
    </row>
    <row r="4065" customFormat="false" ht="15" hidden="false" customHeight="false" outlineLevel="0" collapsed="false">
      <c r="A4065" s="7" t="s">
        <v>24</v>
      </c>
      <c r="B4065" s="7" t="s">
        <v>100</v>
      </c>
      <c r="C4065" s="7" t="s">
        <v>1160</v>
      </c>
      <c r="D4065" s="7" t="n">
        <v>0</v>
      </c>
      <c r="E4065" s="7" t="n">
        <v>0</v>
      </c>
      <c r="F4065" s="7" t="n">
        <v>1</v>
      </c>
      <c r="G4065" s="7" t="n">
        <v>296.53</v>
      </c>
    </row>
    <row r="4066" customFormat="false" ht="15" hidden="false" customHeight="false" outlineLevel="0" collapsed="false">
      <c r="A4066" s="7" t="s">
        <v>24</v>
      </c>
      <c r="B4066" s="7" t="s">
        <v>100</v>
      </c>
      <c r="C4066" s="7" t="s">
        <v>1160</v>
      </c>
      <c r="D4066" s="7" t="n">
        <v>0</v>
      </c>
      <c r="E4066" s="7" t="n">
        <v>0</v>
      </c>
      <c r="F4066" s="7" t="n">
        <v>1</v>
      </c>
      <c r="G4066" s="7" t="n">
        <v>266.87</v>
      </c>
    </row>
    <row r="4067" customFormat="false" ht="15" hidden="false" customHeight="false" outlineLevel="0" collapsed="false">
      <c r="A4067" s="7" t="s">
        <v>24</v>
      </c>
      <c r="B4067" s="7" t="s">
        <v>100</v>
      </c>
      <c r="C4067" s="7" t="s">
        <v>1160</v>
      </c>
      <c r="D4067" s="7" t="n">
        <v>0</v>
      </c>
      <c r="E4067" s="7" t="n">
        <v>0</v>
      </c>
      <c r="F4067" s="7" t="n">
        <v>1</v>
      </c>
      <c r="G4067" s="7" t="n">
        <v>296.53</v>
      </c>
    </row>
    <row r="4068" customFormat="false" ht="15" hidden="false" customHeight="false" outlineLevel="0" collapsed="false">
      <c r="A4068" s="7" t="s">
        <v>24</v>
      </c>
      <c r="B4068" s="7" t="s">
        <v>100</v>
      </c>
      <c r="C4068" s="7" t="s">
        <v>1160</v>
      </c>
      <c r="D4068" s="7" t="n">
        <v>0</v>
      </c>
      <c r="E4068" s="7" t="n">
        <v>0</v>
      </c>
      <c r="F4068" s="7" t="n">
        <v>4</v>
      </c>
      <c r="G4068" s="7" t="n">
        <v>1126.81</v>
      </c>
    </row>
    <row r="4069" customFormat="false" ht="15" hidden="false" customHeight="false" outlineLevel="0" collapsed="false">
      <c r="A4069" s="7" t="s">
        <v>24</v>
      </c>
      <c r="B4069" s="7" t="s">
        <v>100</v>
      </c>
      <c r="C4069" s="7" t="s">
        <v>1160</v>
      </c>
      <c r="D4069" s="7" t="n">
        <v>0</v>
      </c>
      <c r="E4069" s="7" t="n">
        <v>0</v>
      </c>
      <c r="F4069" s="7" t="n">
        <v>2</v>
      </c>
      <c r="G4069" s="7" t="n">
        <v>533.75</v>
      </c>
    </row>
    <row r="4070" customFormat="false" ht="15" hidden="false" customHeight="false" outlineLevel="0" collapsed="false">
      <c r="A4070" s="7" t="s">
        <v>24</v>
      </c>
      <c r="B4070" s="7" t="s">
        <v>100</v>
      </c>
      <c r="C4070" s="7" t="s">
        <v>1160</v>
      </c>
      <c r="D4070" s="7" t="n">
        <v>0</v>
      </c>
      <c r="E4070" s="7" t="n">
        <v>0</v>
      </c>
      <c r="F4070" s="7" t="n">
        <v>1</v>
      </c>
      <c r="G4070" s="7" t="n">
        <v>266.87</v>
      </c>
    </row>
    <row r="4071" customFormat="false" ht="15" hidden="false" customHeight="false" outlineLevel="0" collapsed="false">
      <c r="A4071" s="7" t="s">
        <v>24</v>
      </c>
      <c r="B4071" s="7" t="s">
        <v>100</v>
      </c>
      <c r="C4071" s="7" t="s">
        <v>1160</v>
      </c>
      <c r="D4071" s="7" t="n">
        <v>0</v>
      </c>
      <c r="E4071" s="7" t="n">
        <v>0</v>
      </c>
      <c r="F4071" s="7" t="n">
        <v>3</v>
      </c>
      <c r="G4071" s="7" t="n">
        <v>800.61</v>
      </c>
    </row>
    <row r="4072" customFormat="false" ht="15" hidden="false" customHeight="false" outlineLevel="0" collapsed="false">
      <c r="A4072" s="7" t="s">
        <v>24</v>
      </c>
      <c r="B4072" s="7" t="s">
        <v>100</v>
      </c>
      <c r="C4072" s="7" t="s">
        <v>1160</v>
      </c>
      <c r="D4072" s="7" t="n">
        <v>0</v>
      </c>
      <c r="E4072" s="7" t="n">
        <v>0</v>
      </c>
      <c r="F4072" s="7" t="n">
        <v>2</v>
      </c>
      <c r="G4072" s="7" t="n">
        <v>550.76</v>
      </c>
    </row>
    <row r="4073" customFormat="false" ht="15" hidden="false" customHeight="false" outlineLevel="0" collapsed="false">
      <c r="A4073" s="7" t="s">
        <v>24</v>
      </c>
      <c r="B4073" s="7" t="s">
        <v>100</v>
      </c>
      <c r="C4073" s="7" t="s">
        <v>1160</v>
      </c>
      <c r="D4073" s="7" t="n">
        <v>0</v>
      </c>
      <c r="E4073" s="7" t="n">
        <v>0</v>
      </c>
      <c r="F4073" s="7" t="n">
        <v>4</v>
      </c>
      <c r="G4073" s="7" t="n">
        <v>1097.13</v>
      </c>
    </row>
    <row r="4074" customFormat="false" ht="15" hidden="false" customHeight="false" outlineLevel="0" collapsed="false">
      <c r="A4074" s="7" t="s">
        <v>24</v>
      </c>
      <c r="B4074" s="7" t="s">
        <v>100</v>
      </c>
      <c r="C4074" s="7" t="s">
        <v>1160</v>
      </c>
      <c r="D4074" s="7" t="n">
        <v>0</v>
      </c>
      <c r="E4074" s="7" t="n">
        <v>0</v>
      </c>
      <c r="F4074" s="7" t="n">
        <v>4</v>
      </c>
      <c r="G4074" s="7" t="n">
        <v>1126.78</v>
      </c>
    </row>
    <row r="4075" customFormat="false" ht="15" hidden="false" customHeight="false" outlineLevel="0" collapsed="false">
      <c r="A4075" s="7" t="s">
        <v>24</v>
      </c>
      <c r="B4075" s="7" t="s">
        <v>100</v>
      </c>
      <c r="C4075" s="7" t="s">
        <v>1160</v>
      </c>
      <c r="D4075" s="7" t="n">
        <v>0</v>
      </c>
      <c r="E4075" s="7" t="n">
        <v>0</v>
      </c>
      <c r="F4075" s="7" t="n">
        <v>1</v>
      </c>
      <c r="G4075" s="7" t="n">
        <v>0</v>
      </c>
    </row>
    <row r="4076" customFormat="false" ht="15" hidden="false" customHeight="false" outlineLevel="0" collapsed="false">
      <c r="A4076" s="7" t="s">
        <v>24</v>
      </c>
      <c r="B4076" s="7" t="s">
        <v>100</v>
      </c>
      <c r="C4076" s="7" t="s">
        <v>1160</v>
      </c>
      <c r="D4076" s="7" t="n">
        <v>0</v>
      </c>
      <c r="E4076" s="7" t="n">
        <v>0</v>
      </c>
      <c r="F4076" s="7" t="n">
        <v>40</v>
      </c>
      <c r="G4076" s="7" t="n">
        <v>10854.84</v>
      </c>
    </row>
    <row r="4077" customFormat="false" ht="15" hidden="false" customHeight="false" outlineLevel="0" collapsed="false">
      <c r="A4077" s="7" t="s">
        <v>24</v>
      </c>
      <c r="B4077" s="7" t="s">
        <v>100</v>
      </c>
      <c r="C4077" s="7" t="s">
        <v>1160</v>
      </c>
      <c r="D4077" s="7" t="n">
        <v>0</v>
      </c>
      <c r="E4077" s="7" t="n">
        <v>0</v>
      </c>
      <c r="F4077" s="7" t="n">
        <v>1</v>
      </c>
      <c r="G4077" s="7" t="n">
        <v>296.53</v>
      </c>
    </row>
    <row r="4078" customFormat="false" ht="15" hidden="false" customHeight="false" outlineLevel="0" collapsed="false">
      <c r="A4078" s="7" t="s">
        <v>24</v>
      </c>
      <c r="B4078" s="7" t="s">
        <v>100</v>
      </c>
      <c r="C4078" s="7" t="s">
        <v>1160</v>
      </c>
      <c r="D4078" s="7" t="n">
        <v>0</v>
      </c>
      <c r="E4078" s="7" t="n">
        <v>0</v>
      </c>
      <c r="F4078" s="7" t="n">
        <v>2</v>
      </c>
      <c r="G4078" s="7" t="n">
        <v>533.75</v>
      </c>
    </row>
    <row r="4079" customFormat="false" ht="15" hidden="false" customHeight="false" outlineLevel="0" collapsed="false">
      <c r="A4079" s="7" t="s">
        <v>24</v>
      </c>
      <c r="B4079" s="7" t="s">
        <v>100</v>
      </c>
      <c r="C4079" s="7" t="s">
        <v>1160</v>
      </c>
      <c r="D4079" s="7" t="n">
        <v>0</v>
      </c>
      <c r="E4079" s="7" t="n">
        <v>0</v>
      </c>
      <c r="F4079" s="7" t="n">
        <v>1</v>
      </c>
      <c r="G4079" s="7" t="n">
        <v>296.53</v>
      </c>
    </row>
    <row r="4080" customFormat="false" ht="15" hidden="false" customHeight="false" outlineLevel="0" collapsed="false">
      <c r="A4080" s="7" t="s">
        <v>24</v>
      </c>
      <c r="B4080" s="7" t="s">
        <v>100</v>
      </c>
      <c r="C4080" s="7" t="s">
        <v>1160</v>
      </c>
      <c r="D4080" s="7" t="n">
        <v>0</v>
      </c>
      <c r="E4080" s="7" t="n">
        <v>0</v>
      </c>
      <c r="F4080" s="7" t="n">
        <v>1</v>
      </c>
      <c r="G4080" s="7" t="n">
        <v>296.53</v>
      </c>
    </row>
    <row r="4081" customFormat="false" ht="15" hidden="false" customHeight="false" outlineLevel="0" collapsed="false">
      <c r="A4081" s="7" t="s">
        <v>24</v>
      </c>
      <c r="B4081" s="7" t="s">
        <v>100</v>
      </c>
      <c r="C4081" s="7" t="s">
        <v>1160</v>
      </c>
      <c r="D4081" s="7" t="n">
        <v>0</v>
      </c>
      <c r="E4081" s="7" t="n">
        <v>0</v>
      </c>
      <c r="F4081" s="7" t="n">
        <v>1</v>
      </c>
      <c r="G4081" s="7" t="n">
        <v>296.53</v>
      </c>
    </row>
    <row r="4082" customFormat="false" ht="15" hidden="false" customHeight="false" outlineLevel="0" collapsed="false">
      <c r="A4082" s="7" t="s">
        <v>24</v>
      </c>
      <c r="B4082" s="7" t="s">
        <v>100</v>
      </c>
      <c r="C4082" s="7" t="s">
        <v>1160</v>
      </c>
      <c r="D4082" s="7" t="n">
        <v>0</v>
      </c>
      <c r="E4082" s="7" t="n">
        <v>0</v>
      </c>
      <c r="F4082" s="7" t="n">
        <v>2</v>
      </c>
      <c r="G4082" s="7" t="n">
        <v>521.02</v>
      </c>
    </row>
    <row r="4083" customFormat="false" ht="15" hidden="false" customHeight="false" outlineLevel="0" collapsed="false">
      <c r="A4083" s="7" t="s">
        <v>24</v>
      </c>
      <c r="B4083" s="7" t="s">
        <v>100</v>
      </c>
      <c r="C4083" s="7" t="s">
        <v>1160</v>
      </c>
      <c r="D4083" s="7" t="n">
        <v>0</v>
      </c>
      <c r="E4083" s="7" t="n">
        <v>0</v>
      </c>
      <c r="F4083" s="7" t="n">
        <v>1</v>
      </c>
      <c r="G4083" s="7" t="n">
        <v>296.53</v>
      </c>
    </row>
    <row r="4084" customFormat="false" ht="15" hidden="false" customHeight="false" outlineLevel="0" collapsed="false">
      <c r="A4084" s="7" t="s">
        <v>24</v>
      </c>
      <c r="B4084" s="7" t="s">
        <v>100</v>
      </c>
      <c r="C4084" s="7" t="s">
        <v>1160</v>
      </c>
      <c r="D4084" s="7" t="n">
        <v>0</v>
      </c>
      <c r="E4084" s="7" t="n">
        <v>0</v>
      </c>
      <c r="F4084" s="7" t="n">
        <v>2</v>
      </c>
      <c r="G4084" s="7" t="n">
        <v>533.75</v>
      </c>
    </row>
    <row r="4085" customFormat="false" ht="15" hidden="false" customHeight="false" outlineLevel="0" collapsed="false">
      <c r="A4085" s="7" t="s">
        <v>24</v>
      </c>
      <c r="B4085" s="7" t="s">
        <v>100</v>
      </c>
      <c r="C4085" s="7" t="s">
        <v>1160</v>
      </c>
      <c r="D4085" s="7" t="n">
        <v>0</v>
      </c>
      <c r="E4085" s="7" t="n">
        <v>0</v>
      </c>
      <c r="F4085" s="7" t="n">
        <v>2</v>
      </c>
      <c r="G4085" s="7" t="n">
        <v>533.74</v>
      </c>
    </row>
    <row r="4086" customFormat="false" ht="15" hidden="false" customHeight="false" outlineLevel="0" collapsed="false">
      <c r="A4086" s="7" t="s">
        <v>24</v>
      </c>
      <c r="B4086" s="7" t="s">
        <v>100</v>
      </c>
      <c r="C4086" s="7" t="s">
        <v>1160</v>
      </c>
      <c r="D4086" s="7" t="n">
        <v>0</v>
      </c>
      <c r="E4086" s="7" t="n">
        <v>0</v>
      </c>
      <c r="F4086" s="7" t="n">
        <v>2</v>
      </c>
      <c r="G4086" s="7" t="n">
        <v>533.74</v>
      </c>
    </row>
    <row r="4087" customFormat="false" ht="15" hidden="false" customHeight="false" outlineLevel="0" collapsed="false">
      <c r="A4087" s="7" t="s">
        <v>24</v>
      </c>
      <c r="B4087" s="7" t="s">
        <v>100</v>
      </c>
      <c r="C4087" s="7" t="s">
        <v>1160</v>
      </c>
      <c r="D4087" s="7" t="n">
        <v>0</v>
      </c>
      <c r="E4087" s="7" t="n">
        <v>0</v>
      </c>
      <c r="F4087" s="7" t="n">
        <v>3</v>
      </c>
      <c r="G4087" s="7" t="n">
        <v>804.82</v>
      </c>
    </row>
    <row r="4088" customFormat="false" ht="15" hidden="false" customHeight="false" outlineLevel="0" collapsed="false">
      <c r="A4088" s="7" t="s">
        <v>24</v>
      </c>
      <c r="B4088" s="7" t="s">
        <v>100</v>
      </c>
      <c r="C4088" s="7" t="s">
        <v>1160</v>
      </c>
      <c r="D4088" s="7" t="n">
        <v>0</v>
      </c>
      <c r="E4088" s="7" t="n">
        <v>0</v>
      </c>
      <c r="F4088" s="7" t="n">
        <v>17</v>
      </c>
      <c r="G4088" s="7" t="n">
        <v>4513.47</v>
      </c>
    </row>
    <row r="4089" customFormat="false" ht="15" hidden="false" customHeight="false" outlineLevel="0" collapsed="false">
      <c r="A4089" s="7" t="s">
        <v>24</v>
      </c>
      <c r="B4089" s="7" t="s">
        <v>100</v>
      </c>
      <c r="C4089" s="7" t="s">
        <v>1160</v>
      </c>
      <c r="D4089" s="7" t="n">
        <v>0</v>
      </c>
      <c r="E4089" s="7" t="n">
        <v>0</v>
      </c>
      <c r="F4089" s="7" t="n">
        <v>2</v>
      </c>
      <c r="G4089" s="7" t="n">
        <v>550.76</v>
      </c>
    </row>
    <row r="4090" customFormat="false" ht="15" hidden="false" customHeight="false" outlineLevel="0" collapsed="false">
      <c r="A4090" s="7" t="s">
        <v>24</v>
      </c>
      <c r="B4090" s="7" t="s">
        <v>100</v>
      </c>
      <c r="C4090" s="7" t="s">
        <v>1160</v>
      </c>
      <c r="D4090" s="7" t="n">
        <v>0</v>
      </c>
      <c r="E4090" s="7" t="n">
        <v>0</v>
      </c>
      <c r="F4090" s="7" t="n">
        <v>1</v>
      </c>
      <c r="G4090" s="7" t="n">
        <v>296.52</v>
      </c>
    </row>
    <row r="4091" customFormat="false" ht="15" hidden="false" customHeight="false" outlineLevel="0" collapsed="false">
      <c r="A4091" s="7" t="s">
        <v>24</v>
      </c>
      <c r="B4091" s="7" t="s">
        <v>100</v>
      </c>
      <c r="C4091" s="7" t="s">
        <v>1160</v>
      </c>
      <c r="D4091" s="7" t="n">
        <v>0</v>
      </c>
      <c r="E4091" s="7" t="n">
        <v>0</v>
      </c>
      <c r="F4091" s="7" t="n">
        <v>2</v>
      </c>
      <c r="G4091" s="7" t="n">
        <v>533.74</v>
      </c>
    </row>
    <row r="4092" customFormat="false" ht="15" hidden="false" customHeight="false" outlineLevel="0" collapsed="false">
      <c r="A4092" s="7" t="s">
        <v>24</v>
      </c>
      <c r="B4092" s="7" t="s">
        <v>100</v>
      </c>
      <c r="C4092" s="7" t="s">
        <v>1160</v>
      </c>
      <c r="D4092" s="7" t="n">
        <v>0</v>
      </c>
      <c r="E4092" s="7" t="n">
        <v>0</v>
      </c>
      <c r="F4092" s="7" t="n">
        <v>2</v>
      </c>
      <c r="G4092" s="7" t="n">
        <v>504.1</v>
      </c>
    </row>
    <row r="4093" customFormat="false" ht="15" hidden="false" customHeight="false" outlineLevel="0" collapsed="false">
      <c r="A4093" s="7" t="s">
        <v>24</v>
      </c>
      <c r="B4093" s="7" t="s">
        <v>100</v>
      </c>
      <c r="C4093" s="7" t="s">
        <v>1160</v>
      </c>
      <c r="D4093" s="7" t="n">
        <v>0</v>
      </c>
      <c r="E4093" s="7" t="n">
        <v>0</v>
      </c>
      <c r="F4093" s="7" t="n">
        <v>2</v>
      </c>
      <c r="G4093" s="7" t="n">
        <v>533.74</v>
      </c>
    </row>
    <row r="4094" customFormat="false" ht="15" hidden="false" customHeight="false" outlineLevel="0" collapsed="false">
      <c r="A4094" s="7" t="s">
        <v>24</v>
      </c>
      <c r="B4094" s="7" t="s">
        <v>100</v>
      </c>
      <c r="C4094" s="7" t="s">
        <v>1160</v>
      </c>
      <c r="D4094" s="7" t="n">
        <v>0</v>
      </c>
      <c r="E4094" s="7" t="n">
        <v>0</v>
      </c>
      <c r="F4094" s="7" t="n">
        <v>1</v>
      </c>
      <c r="G4094" s="7" t="n">
        <v>266.87</v>
      </c>
    </row>
    <row r="4095" customFormat="false" ht="15" hidden="false" customHeight="false" outlineLevel="0" collapsed="false">
      <c r="A4095" s="7" t="s">
        <v>24</v>
      </c>
      <c r="B4095" s="7" t="s">
        <v>100</v>
      </c>
      <c r="C4095" s="7" t="s">
        <v>1160</v>
      </c>
      <c r="D4095" s="7" t="n">
        <v>0</v>
      </c>
      <c r="E4095" s="7" t="n">
        <v>0</v>
      </c>
      <c r="F4095" s="7" t="n">
        <v>1</v>
      </c>
      <c r="G4095" s="7" t="n">
        <v>296.52</v>
      </c>
    </row>
    <row r="4096" customFormat="false" ht="15" hidden="false" customHeight="false" outlineLevel="0" collapsed="false">
      <c r="A4096" s="7" t="s">
        <v>24</v>
      </c>
      <c r="B4096" s="7" t="s">
        <v>100</v>
      </c>
      <c r="C4096" s="7" t="s">
        <v>1160</v>
      </c>
      <c r="D4096" s="7" t="n">
        <v>0</v>
      </c>
      <c r="E4096" s="7" t="n">
        <v>0</v>
      </c>
      <c r="F4096" s="7" t="n">
        <v>1</v>
      </c>
      <c r="G4096" s="7" t="n">
        <v>296.53</v>
      </c>
    </row>
    <row r="4097" customFormat="false" ht="15" hidden="false" customHeight="false" outlineLevel="0" collapsed="false">
      <c r="A4097" s="7" t="s">
        <v>24</v>
      </c>
      <c r="B4097" s="7" t="s">
        <v>100</v>
      </c>
      <c r="C4097" s="7" t="s">
        <v>1160</v>
      </c>
      <c r="D4097" s="7" t="n">
        <v>0</v>
      </c>
      <c r="E4097" s="7" t="n">
        <v>0</v>
      </c>
      <c r="F4097" s="7" t="n">
        <v>26</v>
      </c>
      <c r="G4097" s="7" t="n">
        <v>7118.63</v>
      </c>
    </row>
    <row r="4098" customFormat="false" ht="15" hidden="false" customHeight="false" outlineLevel="0" collapsed="false">
      <c r="A4098" s="7" t="s">
        <v>24</v>
      </c>
      <c r="B4098" s="7" t="s">
        <v>100</v>
      </c>
      <c r="C4098" s="7" t="s">
        <v>1160</v>
      </c>
      <c r="D4098" s="7" t="n">
        <v>0</v>
      </c>
      <c r="E4098" s="7" t="n">
        <v>0</v>
      </c>
      <c r="F4098" s="7" t="n">
        <v>2</v>
      </c>
      <c r="G4098" s="7" t="n">
        <v>533.54</v>
      </c>
    </row>
    <row r="4099" customFormat="false" ht="15" hidden="false" customHeight="false" outlineLevel="0" collapsed="false">
      <c r="A4099" s="7" t="s">
        <v>24</v>
      </c>
      <c r="B4099" s="7" t="s">
        <v>100</v>
      </c>
      <c r="C4099" s="7" t="s">
        <v>1160</v>
      </c>
      <c r="D4099" s="7" t="n">
        <v>0</v>
      </c>
      <c r="E4099" s="7" t="n">
        <v>0</v>
      </c>
      <c r="F4099" s="7" t="n">
        <v>1</v>
      </c>
      <c r="G4099" s="7" t="n">
        <v>296.53</v>
      </c>
    </row>
    <row r="4100" customFormat="false" ht="15" hidden="false" customHeight="false" outlineLevel="0" collapsed="false">
      <c r="A4100" s="7" t="s">
        <v>24</v>
      </c>
      <c r="B4100" s="7" t="s">
        <v>100</v>
      </c>
      <c r="C4100" s="7" t="s">
        <v>1160</v>
      </c>
      <c r="D4100" s="7" t="n">
        <v>0</v>
      </c>
      <c r="E4100" s="7" t="n">
        <v>0</v>
      </c>
      <c r="F4100" s="7" t="n">
        <v>1</v>
      </c>
      <c r="G4100" s="7" t="n">
        <v>296.53</v>
      </c>
    </row>
    <row r="4101" customFormat="false" ht="15" hidden="false" customHeight="false" outlineLevel="0" collapsed="false">
      <c r="A4101" s="7" t="s">
        <v>24</v>
      </c>
      <c r="B4101" s="7" t="s">
        <v>100</v>
      </c>
      <c r="C4101" s="7" t="s">
        <v>1160</v>
      </c>
      <c r="D4101" s="7" t="n">
        <v>0</v>
      </c>
      <c r="E4101" s="7" t="n">
        <v>0</v>
      </c>
      <c r="F4101" s="7" t="n">
        <v>1</v>
      </c>
      <c r="G4101" s="7" t="n">
        <v>296.53</v>
      </c>
    </row>
    <row r="4102" customFormat="false" ht="15" hidden="false" customHeight="false" outlineLevel="0" collapsed="false">
      <c r="A4102" s="7" t="s">
        <v>24</v>
      </c>
      <c r="B4102" s="7" t="s">
        <v>100</v>
      </c>
      <c r="C4102" s="7" t="s">
        <v>1160</v>
      </c>
      <c r="D4102" s="7" t="n">
        <v>0</v>
      </c>
      <c r="E4102" s="7" t="n">
        <v>0</v>
      </c>
      <c r="F4102" s="7" t="n">
        <v>3</v>
      </c>
      <c r="G4102" s="7" t="n">
        <v>830.28</v>
      </c>
    </row>
    <row r="4103" customFormat="false" ht="15" hidden="false" customHeight="false" outlineLevel="0" collapsed="false">
      <c r="A4103" s="7" t="s">
        <v>24</v>
      </c>
      <c r="B4103" s="7" t="s">
        <v>100</v>
      </c>
      <c r="C4103" s="7" t="s">
        <v>1160</v>
      </c>
      <c r="D4103" s="7" t="n">
        <v>0</v>
      </c>
      <c r="E4103" s="7" t="n">
        <v>0</v>
      </c>
      <c r="F4103" s="7" t="n">
        <v>2</v>
      </c>
      <c r="G4103" s="7" t="n">
        <v>533.75</v>
      </c>
    </row>
    <row r="4104" customFormat="false" ht="15" hidden="false" customHeight="false" outlineLevel="0" collapsed="false">
      <c r="A4104" s="7" t="s">
        <v>24</v>
      </c>
      <c r="B4104" s="7" t="s">
        <v>100</v>
      </c>
      <c r="C4104" s="7" t="s">
        <v>1160</v>
      </c>
      <c r="D4104" s="7" t="n">
        <v>0</v>
      </c>
      <c r="E4104" s="7" t="n">
        <v>0</v>
      </c>
      <c r="F4104" s="7" t="n">
        <v>2</v>
      </c>
      <c r="G4104" s="7" t="n">
        <v>550.76</v>
      </c>
    </row>
    <row r="4105" customFormat="false" ht="15" hidden="false" customHeight="false" outlineLevel="0" collapsed="false">
      <c r="A4105" s="7" t="s">
        <v>24</v>
      </c>
      <c r="B4105" s="7" t="s">
        <v>100</v>
      </c>
      <c r="C4105" s="7" t="s">
        <v>1160</v>
      </c>
      <c r="D4105" s="7" t="n">
        <v>0</v>
      </c>
      <c r="E4105" s="7" t="n">
        <v>0</v>
      </c>
      <c r="F4105" s="7" t="n">
        <v>1</v>
      </c>
      <c r="G4105" s="7" t="n">
        <v>296.53</v>
      </c>
    </row>
    <row r="4106" customFormat="false" ht="15" hidden="false" customHeight="false" outlineLevel="0" collapsed="false">
      <c r="A4106" s="7" t="s">
        <v>24</v>
      </c>
      <c r="B4106" s="7" t="s">
        <v>100</v>
      </c>
      <c r="C4106" s="7" t="s">
        <v>1160</v>
      </c>
      <c r="D4106" s="7" t="n">
        <v>0</v>
      </c>
      <c r="E4106" s="7" t="n">
        <v>0</v>
      </c>
      <c r="F4106" s="7" t="n">
        <v>1</v>
      </c>
      <c r="G4106" s="7" t="n">
        <v>266.87</v>
      </c>
    </row>
    <row r="4107" customFormat="false" ht="15" hidden="false" customHeight="false" outlineLevel="0" collapsed="false">
      <c r="A4107" s="7" t="s">
        <v>24</v>
      </c>
      <c r="B4107" s="7" t="s">
        <v>100</v>
      </c>
      <c r="C4107" s="7" t="s">
        <v>1160</v>
      </c>
      <c r="D4107" s="7" t="n">
        <v>0</v>
      </c>
      <c r="E4107" s="7" t="n">
        <v>0</v>
      </c>
      <c r="F4107" s="7" t="n">
        <v>1</v>
      </c>
      <c r="G4107" s="7" t="n">
        <v>296.52</v>
      </c>
    </row>
    <row r="4108" customFormat="false" ht="15" hidden="false" customHeight="false" outlineLevel="0" collapsed="false">
      <c r="A4108" s="7" t="s">
        <v>24</v>
      </c>
      <c r="B4108" s="7" t="s">
        <v>100</v>
      </c>
      <c r="C4108" s="7" t="s">
        <v>1160</v>
      </c>
      <c r="D4108" s="7" t="n">
        <v>0</v>
      </c>
      <c r="E4108" s="7" t="n">
        <v>0</v>
      </c>
      <c r="F4108" s="7" t="n">
        <v>14</v>
      </c>
      <c r="G4108" s="7" t="n">
        <v>3753.59</v>
      </c>
    </row>
    <row r="4109" customFormat="false" ht="15" hidden="false" customHeight="false" outlineLevel="0" collapsed="false">
      <c r="A4109" s="7" t="s">
        <v>24</v>
      </c>
      <c r="B4109" s="7" t="s">
        <v>100</v>
      </c>
      <c r="C4109" s="7" t="s">
        <v>1160</v>
      </c>
      <c r="D4109" s="7" t="n">
        <v>0</v>
      </c>
      <c r="E4109" s="7" t="n">
        <v>0</v>
      </c>
      <c r="F4109" s="7" t="n">
        <v>2</v>
      </c>
      <c r="G4109" s="7" t="n">
        <v>550.76</v>
      </c>
    </row>
    <row r="4110" customFormat="false" ht="15" hidden="false" customHeight="false" outlineLevel="0" collapsed="false">
      <c r="A4110" s="7" t="s">
        <v>24</v>
      </c>
      <c r="B4110" s="7" t="s">
        <v>100</v>
      </c>
      <c r="C4110" s="7" t="s">
        <v>1160</v>
      </c>
      <c r="D4110" s="7" t="n">
        <v>0</v>
      </c>
      <c r="E4110" s="7" t="n">
        <v>0</v>
      </c>
      <c r="F4110" s="7" t="n">
        <v>1</v>
      </c>
      <c r="G4110" s="7" t="n">
        <v>254.15</v>
      </c>
    </row>
    <row r="4111" customFormat="false" ht="15" hidden="false" customHeight="false" outlineLevel="0" collapsed="false">
      <c r="A4111" s="7" t="s">
        <v>24</v>
      </c>
      <c r="B4111" s="7" t="s">
        <v>100</v>
      </c>
      <c r="C4111" s="7" t="s">
        <v>1160</v>
      </c>
      <c r="D4111" s="7" t="n">
        <v>0</v>
      </c>
      <c r="E4111" s="7" t="n">
        <v>0</v>
      </c>
      <c r="F4111" s="7" t="n">
        <v>6</v>
      </c>
      <c r="G4111" s="7" t="n">
        <v>1652.28</v>
      </c>
    </row>
    <row r="4112" customFormat="false" ht="15" hidden="false" customHeight="false" outlineLevel="0" collapsed="false">
      <c r="A4112" s="7" t="s">
        <v>24</v>
      </c>
      <c r="B4112" s="7" t="s">
        <v>100</v>
      </c>
      <c r="C4112" s="7" t="s">
        <v>1160</v>
      </c>
      <c r="D4112" s="7" t="n">
        <v>0</v>
      </c>
      <c r="E4112" s="7" t="n">
        <v>0</v>
      </c>
      <c r="F4112" s="7" t="n">
        <v>5</v>
      </c>
      <c r="G4112" s="7" t="n">
        <v>1393.65</v>
      </c>
    </row>
    <row r="4113" customFormat="false" ht="15" hidden="false" customHeight="false" outlineLevel="0" collapsed="false">
      <c r="A4113" s="7" t="s">
        <v>24</v>
      </c>
      <c r="B4113" s="7" t="s">
        <v>100</v>
      </c>
      <c r="C4113" s="7" t="s">
        <v>1160</v>
      </c>
      <c r="D4113" s="7" t="n">
        <v>0</v>
      </c>
      <c r="E4113" s="7" t="n">
        <v>0</v>
      </c>
      <c r="F4113" s="7" t="n">
        <v>2</v>
      </c>
      <c r="G4113" s="7" t="n">
        <v>550.76</v>
      </c>
    </row>
    <row r="4114" customFormat="false" ht="15" hidden="false" customHeight="false" outlineLevel="0" collapsed="false">
      <c r="A4114" s="7" t="s">
        <v>24</v>
      </c>
      <c r="B4114" s="7" t="s">
        <v>100</v>
      </c>
      <c r="C4114" s="7" t="s">
        <v>1160</v>
      </c>
      <c r="D4114" s="7" t="n">
        <v>0</v>
      </c>
      <c r="E4114" s="7" t="n">
        <v>0</v>
      </c>
      <c r="F4114" s="7" t="n">
        <v>2</v>
      </c>
      <c r="G4114" s="7" t="n">
        <v>563.39</v>
      </c>
    </row>
    <row r="4115" customFormat="false" ht="15" hidden="false" customHeight="false" outlineLevel="0" collapsed="false">
      <c r="A4115" s="7" t="s">
        <v>24</v>
      </c>
      <c r="B4115" s="7" t="s">
        <v>100</v>
      </c>
      <c r="C4115" s="7" t="s">
        <v>1160</v>
      </c>
      <c r="D4115" s="7" t="n">
        <v>0</v>
      </c>
      <c r="E4115" s="7" t="n">
        <v>0</v>
      </c>
      <c r="F4115" s="7" t="n">
        <v>1</v>
      </c>
      <c r="G4115" s="7" t="n">
        <v>296.53</v>
      </c>
    </row>
    <row r="4116" customFormat="false" ht="15" hidden="false" customHeight="false" outlineLevel="0" collapsed="false">
      <c r="A4116" s="7" t="s">
        <v>24</v>
      </c>
      <c r="B4116" s="7" t="s">
        <v>100</v>
      </c>
      <c r="C4116" s="7" t="s">
        <v>1160</v>
      </c>
      <c r="D4116" s="7" t="n">
        <v>0</v>
      </c>
      <c r="E4116" s="7" t="n">
        <v>0</v>
      </c>
      <c r="F4116" s="7" t="n">
        <v>1</v>
      </c>
      <c r="G4116" s="7" t="n">
        <v>296.53</v>
      </c>
    </row>
    <row r="4117" customFormat="false" ht="15" hidden="false" customHeight="false" outlineLevel="0" collapsed="false">
      <c r="A4117" s="7" t="s">
        <v>24</v>
      </c>
      <c r="B4117" s="7" t="s">
        <v>100</v>
      </c>
      <c r="C4117" s="7" t="s">
        <v>1160</v>
      </c>
      <c r="D4117" s="7" t="n">
        <v>0</v>
      </c>
      <c r="E4117" s="7" t="n">
        <v>0</v>
      </c>
      <c r="F4117" s="7" t="n">
        <v>1</v>
      </c>
      <c r="G4117" s="7" t="n">
        <v>252.05</v>
      </c>
    </row>
    <row r="4118" customFormat="false" ht="15" hidden="false" customHeight="false" outlineLevel="0" collapsed="false">
      <c r="A4118" s="7" t="s">
        <v>24</v>
      </c>
      <c r="B4118" s="7" t="s">
        <v>100</v>
      </c>
      <c r="C4118" s="7" t="s">
        <v>1160</v>
      </c>
      <c r="D4118" s="7" t="n">
        <v>0</v>
      </c>
      <c r="E4118" s="7" t="n">
        <v>0</v>
      </c>
      <c r="F4118" s="7" t="n">
        <v>1</v>
      </c>
      <c r="G4118" s="7" t="n">
        <v>266.88</v>
      </c>
    </row>
    <row r="4119" customFormat="false" ht="15" hidden="false" customHeight="false" outlineLevel="0" collapsed="false">
      <c r="A4119" s="7" t="s">
        <v>24</v>
      </c>
      <c r="B4119" s="7" t="s">
        <v>100</v>
      </c>
      <c r="C4119" s="7" t="s">
        <v>1160</v>
      </c>
      <c r="D4119" s="7" t="n">
        <v>0</v>
      </c>
      <c r="E4119" s="7" t="n">
        <v>0</v>
      </c>
      <c r="F4119" s="7" t="n">
        <v>1</v>
      </c>
      <c r="G4119" s="7" t="n">
        <v>0</v>
      </c>
    </row>
    <row r="4120" customFormat="false" ht="15" hidden="false" customHeight="false" outlineLevel="0" collapsed="false">
      <c r="A4120" s="7" t="s">
        <v>24</v>
      </c>
      <c r="B4120" s="7" t="s">
        <v>100</v>
      </c>
      <c r="C4120" s="7" t="s">
        <v>1160</v>
      </c>
      <c r="D4120" s="7" t="n">
        <v>0</v>
      </c>
      <c r="E4120" s="7" t="n">
        <v>0</v>
      </c>
      <c r="F4120" s="7" t="n">
        <v>1</v>
      </c>
      <c r="G4120" s="7" t="n">
        <v>296.53</v>
      </c>
    </row>
    <row r="4121" customFormat="false" ht="15" hidden="false" customHeight="false" outlineLevel="0" collapsed="false">
      <c r="A4121" s="7" t="s">
        <v>24</v>
      </c>
      <c r="B4121" s="7" t="s">
        <v>100</v>
      </c>
      <c r="C4121" s="7" t="s">
        <v>1160</v>
      </c>
      <c r="D4121" s="7" t="n">
        <v>0</v>
      </c>
      <c r="E4121" s="7" t="n">
        <v>0</v>
      </c>
      <c r="F4121" s="7" t="n">
        <v>1</v>
      </c>
      <c r="G4121" s="7" t="n">
        <v>296.53</v>
      </c>
    </row>
    <row r="4122" customFormat="false" ht="15" hidden="false" customHeight="false" outlineLevel="0" collapsed="false">
      <c r="A4122" s="7" t="s">
        <v>24</v>
      </c>
      <c r="B4122" s="7" t="s">
        <v>100</v>
      </c>
      <c r="C4122" s="7" t="s">
        <v>1160</v>
      </c>
      <c r="D4122" s="7" t="n">
        <v>0</v>
      </c>
      <c r="E4122" s="7" t="n">
        <v>0</v>
      </c>
      <c r="F4122" s="7" t="n">
        <v>2</v>
      </c>
      <c r="G4122" s="7" t="n">
        <v>550.76</v>
      </c>
    </row>
    <row r="4123" customFormat="false" ht="15" hidden="false" customHeight="false" outlineLevel="0" collapsed="false">
      <c r="A4123" s="7" t="s">
        <v>24</v>
      </c>
      <c r="B4123" s="7" t="s">
        <v>100</v>
      </c>
      <c r="C4123" s="7" t="s">
        <v>1160</v>
      </c>
      <c r="D4123" s="7" t="n">
        <v>0</v>
      </c>
      <c r="E4123" s="7" t="n">
        <v>0</v>
      </c>
      <c r="F4123" s="7" t="n">
        <v>1</v>
      </c>
      <c r="G4123" s="7" t="n">
        <v>296.53</v>
      </c>
    </row>
    <row r="4124" customFormat="false" ht="15" hidden="false" customHeight="false" outlineLevel="0" collapsed="false">
      <c r="A4124" s="7" t="s">
        <v>24</v>
      </c>
      <c r="B4124" s="7" t="s">
        <v>100</v>
      </c>
      <c r="C4124" s="7" t="s">
        <v>1160</v>
      </c>
      <c r="D4124" s="7" t="n">
        <v>0</v>
      </c>
      <c r="E4124" s="7" t="n">
        <v>0</v>
      </c>
      <c r="F4124" s="7" t="n">
        <v>4</v>
      </c>
      <c r="G4124" s="7" t="n">
        <v>1101.52</v>
      </c>
    </row>
    <row r="4125" customFormat="false" ht="15" hidden="false" customHeight="false" outlineLevel="0" collapsed="false">
      <c r="A4125" s="7" t="s">
        <v>24</v>
      </c>
      <c r="B4125" s="7" t="s">
        <v>100</v>
      </c>
      <c r="C4125" s="7" t="s">
        <v>1160</v>
      </c>
      <c r="D4125" s="7" t="n">
        <v>0</v>
      </c>
      <c r="E4125" s="7" t="n">
        <v>0</v>
      </c>
      <c r="F4125" s="7" t="n">
        <v>2</v>
      </c>
      <c r="G4125" s="7" t="n">
        <v>593.06</v>
      </c>
    </row>
    <row r="4126" customFormat="false" ht="15" hidden="false" customHeight="false" outlineLevel="0" collapsed="false">
      <c r="A4126" s="7" t="s">
        <v>24</v>
      </c>
      <c r="B4126" s="7" t="s">
        <v>100</v>
      </c>
      <c r="C4126" s="7" t="s">
        <v>1160</v>
      </c>
      <c r="D4126" s="7" t="n">
        <v>0</v>
      </c>
      <c r="E4126" s="7" t="n">
        <v>0</v>
      </c>
      <c r="F4126" s="7" t="n">
        <v>21</v>
      </c>
      <c r="G4126" s="7" t="n">
        <v>5960.24</v>
      </c>
    </row>
    <row r="4127" customFormat="false" ht="15" hidden="false" customHeight="false" outlineLevel="0" collapsed="false">
      <c r="A4127" s="7" t="s">
        <v>24</v>
      </c>
      <c r="B4127" s="7" t="s">
        <v>100</v>
      </c>
      <c r="C4127" s="7" t="s">
        <v>1160</v>
      </c>
      <c r="D4127" s="7" t="n">
        <v>0</v>
      </c>
      <c r="E4127" s="7" t="n">
        <v>0</v>
      </c>
      <c r="F4127" s="7" t="n">
        <v>1</v>
      </c>
      <c r="G4127" s="7" t="n">
        <v>266.87</v>
      </c>
    </row>
    <row r="4128" customFormat="false" ht="15" hidden="false" customHeight="false" outlineLevel="0" collapsed="false">
      <c r="A4128" s="7" t="s">
        <v>24</v>
      </c>
      <c r="B4128" s="7" t="s">
        <v>100</v>
      </c>
      <c r="C4128" s="7" t="s">
        <v>1160</v>
      </c>
      <c r="D4128" s="7" t="n">
        <v>0</v>
      </c>
      <c r="E4128" s="7" t="n">
        <v>0</v>
      </c>
      <c r="F4128" s="7" t="n">
        <v>16</v>
      </c>
      <c r="G4128" s="7" t="n">
        <v>4469.09</v>
      </c>
    </row>
    <row r="4129" customFormat="false" ht="15" hidden="false" customHeight="false" outlineLevel="0" collapsed="false">
      <c r="A4129" s="7" t="s">
        <v>24</v>
      </c>
      <c r="B4129" s="7" t="s">
        <v>100</v>
      </c>
      <c r="C4129" s="7" t="s">
        <v>1160</v>
      </c>
      <c r="D4129" s="7" t="n">
        <v>0</v>
      </c>
      <c r="E4129" s="7" t="n">
        <v>0</v>
      </c>
      <c r="F4129" s="7" t="n">
        <v>2</v>
      </c>
      <c r="G4129" s="7" t="n">
        <v>593.06</v>
      </c>
    </row>
    <row r="4130" customFormat="false" ht="15" hidden="false" customHeight="false" outlineLevel="0" collapsed="false">
      <c r="A4130" s="7" t="s">
        <v>24</v>
      </c>
      <c r="B4130" s="7" t="s">
        <v>100</v>
      </c>
      <c r="C4130" s="7" t="s">
        <v>1160</v>
      </c>
      <c r="D4130" s="7" t="n">
        <v>0</v>
      </c>
      <c r="E4130" s="7" t="n">
        <v>0</v>
      </c>
      <c r="F4130" s="7" t="n">
        <v>1</v>
      </c>
      <c r="G4130" s="7" t="n">
        <v>296.53</v>
      </c>
    </row>
    <row r="4131" customFormat="false" ht="15" hidden="false" customHeight="false" outlineLevel="0" collapsed="false">
      <c r="A4131" s="7" t="s">
        <v>24</v>
      </c>
      <c r="B4131" s="7" t="s">
        <v>100</v>
      </c>
      <c r="C4131" s="7" t="s">
        <v>1160</v>
      </c>
      <c r="D4131" s="7" t="n">
        <v>0</v>
      </c>
      <c r="E4131" s="7" t="n">
        <v>0</v>
      </c>
      <c r="F4131" s="7" t="n">
        <v>1</v>
      </c>
      <c r="G4131" s="7" t="n">
        <v>252.05</v>
      </c>
    </row>
    <row r="4132" customFormat="false" ht="15" hidden="false" customHeight="false" outlineLevel="0" collapsed="false">
      <c r="A4132" s="7" t="s">
        <v>24</v>
      </c>
      <c r="B4132" s="7" t="s">
        <v>100</v>
      </c>
      <c r="C4132" s="7" t="s">
        <v>1160</v>
      </c>
      <c r="D4132" s="7" t="n">
        <v>0</v>
      </c>
      <c r="E4132" s="7" t="n">
        <v>0</v>
      </c>
      <c r="F4132" s="7" t="n">
        <v>1</v>
      </c>
      <c r="G4132" s="7" t="n">
        <v>266.87</v>
      </c>
    </row>
    <row r="4133" customFormat="false" ht="15" hidden="false" customHeight="false" outlineLevel="0" collapsed="false">
      <c r="A4133" s="7" t="s">
        <v>24</v>
      </c>
      <c r="B4133" s="7" t="s">
        <v>100</v>
      </c>
      <c r="C4133" s="7" t="s">
        <v>1160</v>
      </c>
      <c r="D4133" s="7" t="n">
        <v>0</v>
      </c>
      <c r="E4133" s="7" t="n">
        <v>0</v>
      </c>
      <c r="F4133" s="7" t="n">
        <v>2</v>
      </c>
      <c r="G4133" s="7" t="n">
        <v>550.76</v>
      </c>
    </row>
    <row r="4134" customFormat="false" ht="15" hidden="false" customHeight="false" outlineLevel="0" collapsed="false">
      <c r="A4134" s="7" t="s">
        <v>24</v>
      </c>
      <c r="B4134" s="7" t="s">
        <v>100</v>
      </c>
      <c r="C4134" s="7" t="s">
        <v>1160</v>
      </c>
      <c r="D4134" s="7" t="n">
        <v>0</v>
      </c>
      <c r="E4134" s="7" t="n">
        <v>0</v>
      </c>
      <c r="F4134" s="7" t="n">
        <v>1</v>
      </c>
      <c r="G4134" s="7" t="n">
        <v>266.87</v>
      </c>
    </row>
    <row r="4135" customFormat="false" ht="15" hidden="false" customHeight="false" outlineLevel="0" collapsed="false">
      <c r="A4135" s="7" t="s">
        <v>24</v>
      </c>
      <c r="B4135" s="7" t="s">
        <v>100</v>
      </c>
      <c r="C4135" s="7" t="s">
        <v>1160</v>
      </c>
      <c r="D4135" s="7" t="n">
        <v>0</v>
      </c>
      <c r="E4135" s="7" t="n">
        <v>0</v>
      </c>
      <c r="F4135" s="7" t="n">
        <v>2</v>
      </c>
      <c r="G4135" s="7" t="n">
        <v>550.76</v>
      </c>
    </row>
    <row r="4136" customFormat="false" ht="15" hidden="false" customHeight="false" outlineLevel="0" collapsed="false">
      <c r="A4136" s="7" t="s">
        <v>24</v>
      </c>
      <c r="B4136" s="7" t="s">
        <v>100</v>
      </c>
      <c r="C4136" s="7" t="s">
        <v>1160</v>
      </c>
      <c r="D4136" s="7" t="n">
        <v>0</v>
      </c>
      <c r="E4136" s="7" t="n">
        <v>0</v>
      </c>
      <c r="F4136" s="7" t="n">
        <v>11</v>
      </c>
      <c r="G4136" s="7" t="n">
        <v>2952.5</v>
      </c>
    </row>
    <row r="4137" customFormat="false" ht="15" hidden="false" customHeight="false" outlineLevel="0" collapsed="false">
      <c r="A4137" s="7" t="s">
        <v>24</v>
      </c>
      <c r="B4137" s="7" t="s">
        <v>100</v>
      </c>
      <c r="C4137" s="7" t="s">
        <v>1160</v>
      </c>
      <c r="D4137" s="7" t="n">
        <v>0</v>
      </c>
      <c r="E4137" s="7" t="n">
        <v>0</v>
      </c>
      <c r="F4137" s="7" t="n">
        <v>3</v>
      </c>
      <c r="G4137" s="7" t="n">
        <v>815.44</v>
      </c>
    </row>
    <row r="4138" customFormat="false" ht="15" hidden="false" customHeight="false" outlineLevel="0" collapsed="false">
      <c r="A4138" s="7" t="s">
        <v>24</v>
      </c>
      <c r="B4138" s="7" t="s">
        <v>100</v>
      </c>
      <c r="C4138" s="7" t="s">
        <v>1160</v>
      </c>
      <c r="D4138" s="7" t="n">
        <v>0</v>
      </c>
      <c r="E4138" s="7" t="n">
        <v>0</v>
      </c>
      <c r="F4138" s="7" t="n">
        <v>5</v>
      </c>
      <c r="G4138" s="7" t="n">
        <v>1423.34</v>
      </c>
    </row>
    <row r="4139" customFormat="false" ht="15" hidden="false" customHeight="false" outlineLevel="0" collapsed="false">
      <c r="A4139" s="7" t="s">
        <v>24</v>
      </c>
      <c r="B4139" s="7" t="s">
        <v>100</v>
      </c>
      <c r="C4139" s="7" t="s">
        <v>1160</v>
      </c>
      <c r="D4139" s="7" t="n">
        <v>2</v>
      </c>
      <c r="E4139" s="7" t="n">
        <v>510.85</v>
      </c>
      <c r="F4139" s="7" t="n">
        <v>0</v>
      </c>
      <c r="G4139" s="7" t="n">
        <v>0</v>
      </c>
    </row>
    <row r="4140" customFormat="false" ht="15" hidden="false" customHeight="false" outlineLevel="0" collapsed="false">
      <c r="A4140" s="7" t="s">
        <v>24</v>
      </c>
      <c r="B4140" s="7" t="s">
        <v>100</v>
      </c>
      <c r="C4140" s="7" t="s">
        <v>1160</v>
      </c>
      <c r="D4140" s="7" t="n">
        <v>0</v>
      </c>
      <c r="E4140" s="7" t="n">
        <v>0</v>
      </c>
      <c r="F4140" s="7" t="n">
        <v>1</v>
      </c>
      <c r="G4140" s="7" t="n">
        <v>296.53</v>
      </c>
    </row>
    <row r="4141" customFormat="false" ht="15" hidden="false" customHeight="false" outlineLevel="0" collapsed="false">
      <c r="A4141" s="7" t="s">
        <v>24</v>
      </c>
      <c r="B4141" s="7" t="s">
        <v>100</v>
      </c>
      <c r="C4141" s="7" t="s">
        <v>1160</v>
      </c>
      <c r="D4141" s="7" t="n">
        <v>0</v>
      </c>
      <c r="E4141" s="7" t="n">
        <v>0</v>
      </c>
      <c r="F4141" s="7" t="n">
        <v>1</v>
      </c>
      <c r="G4141" s="7" t="n">
        <v>266.87</v>
      </c>
    </row>
    <row r="4142" customFormat="false" ht="15" hidden="false" customHeight="false" outlineLevel="0" collapsed="false">
      <c r="A4142" s="7" t="s">
        <v>24</v>
      </c>
      <c r="B4142" s="7" t="s">
        <v>100</v>
      </c>
      <c r="C4142" s="7" t="s">
        <v>1160</v>
      </c>
      <c r="D4142" s="7" t="n">
        <v>0</v>
      </c>
      <c r="E4142" s="7" t="n">
        <v>0</v>
      </c>
      <c r="F4142" s="7" t="n">
        <v>1</v>
      </c>
      <c r="G4142" s="7" t="n">
        <v>296.53</v>
      </c>
    </row>
    <row r="4143" customFormat="false" ht="15" hidden="false" customHeight="false" outlineLevel="0" collapsed="false">
      <c r="A4143" s="7" t="s">
        <v>24</v>
      </c>
      <c r="B4143" s="7" t="s">
        <v>100</v>
      </c>
      <c r="C4143" s="7" t="s">
        <v>1160</v>
      </c>
      <c r="D4143" s="7" t="n">
        <v>0</v>
      </c>
      <c r="E4143" s="7" t="n">
        <v>0</v>
      </c>
      <c r="F4143" s="7" t="n">
        <v>8</v>
      </c>
      <c r="G4143" s="7" t="n">
        <v>2203.04</v>
      </c>
    </row>
    <row r="4144" customFormat="false" ht="15" hidden="false" customHeight="false" outlineLevel="0" collapsed="false">
      <c r="A4144" s="7" t="s">
        <v>24</v>
      </c>
      <c r="B4144" s="7" t="s">
        <v>100</v>
      </c>
      <c r="C4144" s="7" t="s">
        <v>1160</v>
      </c>
      <c r="D4144" s="7" t="n">
        <v>0</v>
      </c>
      <c r="E4144" s="7" t="n">
        <v>0</v>
      </c>
      <c r="F4144" s="7" t="n">
        <v>8</v>
      </c>
      <c r="G4144" s="7" t="n">
        <v>2202.96</v>
      </c>
    </row>
    <row r="4145" customFormat="false" ht="15" hidden="false" customHeight="false" outlineLevel="0" collapsed="false">
      <c r="A4145" s="7" t="s">
        <v>24</v>
      </c>
      <c r="B4145" s="7" t="s">
        <v>100</v>
      </c>
      <c r="C4145" s="7" t="s">
        <v>1160</v>
      </c>
      <c r="D4145" s="7" t="n">
        <v>0</v>
      </c>
      <c r="E4145" s="7" t="n">
        <v>0</v>
      </c>
      <c r="F4145" s="7" t="n">
        <v>9</v>
      </c>
      <c r="G4145" s="7" t="n">
        <v>2550.15</v>
      </c>
    </row>
    <row r="4146" customFormat="false" ht="15" hidden="false" customHeight="false" outlineLevel="0" collapsed="false">
      <c r="A4146" s="7" t="s">
        <v>24</v>
      </c>
      <c r="B4146" s="7" t="s">
        <v>100</v>
      </c>
      <c r="C4146" s="7" t="s">
        <v>1160</v>
      </c>
      <c r="D4146" s="7" t="n">
        <v>0</v>
      </c>
      <c r="E4146" s="7" t="n">
        <v>0</v>
      </c>
      <c r="F4146" s="7" t="n">
        <v>2</v>
      </c>
      <c r="G4146" s="7" t="n">
        <v>518.92</v>
      </c>
    </row>
    <row r="4147" customFormat="false" ht="15" hidden="false" customHeight="false" outlineLevel="0" collapsed="false">
      <c r="A4147" s="7" t="s">
        <v>24</v>
      </c>
      <c r="B4147" s="7" t="s">
        <v>100</v>
      </c>
      <c r="C4147" s="7" t="s">
        <v>1160</v>
      </c>
      <c r="D4147" s="7" t="n">
        <v>0</v>
      </c>
      <c r="E4147" s="7" t="n">
        <v>0</v>
      </c>
      <c r="F4147" s="7" t="n">
        <v>34</v>
      </c>
      <c r="G4147" s="7" t="n">
        <v>9115.88</v>
      </c>
    </row>
    <row r="4148" customFormat="false" ht="15" hidden="false" customHeight="false" outlineLevel="0" collapsed="false">
      <c r="A4148" s="7" t="s">
        <v>24</v>
      </c>
      <c r="B4148" s="7" t="s">
        <v>100</v>
      </c>
      <c r="C4148" s="7" t="s">
        <v>1160</v>
      </c>
      <c r="D4148" s="7" t="n">
        <v>0</v>
      </c>
      <c r="E4148" s="7" t="n">
        <v>0</v>
      </c>
      <c r="F4148" s="7" t="n">
        <v>1</v>
      </c>
      <c r="G4148" s="7" t="n">
        <v>266.87</v>
      </c>
    </row>
    <row r="4149" customFormat="false" ht="15" hidden="false" customHeight="false" outlineLevel="0" collapsed="false">
      <c r="A4149" s="7" t="s">
        <v>24</v>
      </c>
      <c r="B4149" s="7" t="s">
        <v>100</v>
      </c>
      <c r="C4149" s="7" t="s">
        <v>1160</v>
      </c>
      <c r="D4149" s="7" t="n">
        <v>0</v>
      </c>
      <c r="E4149" s="7" t="n">
        <v>0</v>
      </c>
      <c r="F4149" s="7" t="n">
        <v>1</v>
      </c>
      <c r="G4149" s="7" t="n">
        <v>296.53</v>
      </c>
    </row>
    <row r="4150" customFormat="false" ht="15" hidden="false" customHeight="false" outlineLevel="0" collapsed="false">
      <c r="A4150" s="7" t="s">
        <v>24</v>
      </c>
      <c r="B4150" s="7" t="s">
        <v>100</v>
      </c>
      <c r="C4150" s="7" t="s">
        <v>1160</v>
      </c>
      <c r="D4150" s="7" t="n">
        <v>0</v>
      </c>
      <c r="E4150" s="7" t="n">
        <v>0</v>
      </c>
      <c r="F4150" s="7" t="n">
        <v>1</v>
      </c>
      <c r="G4150" s="7" t="n">
        <v>296.53</v>
      </c>
    </row>
    <row r="4151" customFormat="false" ht="15" hidden="false" customHeight="false" outlineLevel="0" collapsed="false">
      <c r="A4151" s="7" t="s">
        <v>24</v>
      </c>
      <c r="B4151" s="7" t="s">
        <v>100</v>
      </c>
      <c r="C4151" s="7" t="s">
        <v>1160</v>
      </c>
      <c r="D4151" s="7" t="n">
        <v>0</v>
      </c>
      <c r="E4151" s="7" t="n">
        <v>0</v>
      </c>
      <c r="F4151" s="7" t="n">
        <v>1</v>
      </c>
      <c r="G4151" s="7" t="n">
        <v>296.53</v>
      </c>
    </row>
    <row r="4152" customFormat="false" ht="15" hidden="false" customHeight="false" outlineLevel="0" collapsed="false">
      <c r="A4152" s="7" t="s">
        <v>24</v>
      </c>
      <c r="B4152" s="7" t="s">
        <v>100</v>
      </c>
      <c r="C4152" s="7" t="s">
        <v>1160</v>
      </c>
      <c r="D4152" s="7" t="n">
        <v>0</v>
      </c>
      <c r="E4152" s="7" t="n">
        <v>0</v>
      </c>
      <c r="F4152" s="7" t="n">
        <v>2</v>
      </c>
      <c r="G4152" s="7" t="n">
        <v>533.74</v>
      </c>
    </row>
    <row r="4153" customFormat="false" ht="15" hidden="false" customHeight="false" outlineLevel="0" collapsed="false">
      <c r="A4153" s="7" t="s">
        <v>24</v>
      </c>
      <c r="B4153" s="7" t="s">
        <v>100</v>
      </c>
      <c r="C4153" s="7" t="s">
        <v>1160</v>
      </c>
      <c r="D4153" s="7" t="n">
        <v>0</v>
      </c>
      <c r="E4153" s="7" t="n">
        <v>0</v>
      </c>
      <c r="F4153" s="7" t="n">
        <v>2</v>
      </c>
      <c r="G4153" s="7" t="n">
        <v>550.76</v>
      </c>
    </row>
    <row r="4154" customFormat="false" ht="15" hidden="false" customHeight="false" outlineLevel="0" collapsed="false">
      <c r="A4154" s="7" t="s">
        <v>24</v>
      </c>
      <c r="B4154" s="7" t="s">
        <v>100</v>
      </c>
      <c r="C4154" s="7" t="s">
        <v>1160</v>
      </c>
      <c r="D4154" s="7" t="n">
        <v>0</v>
      </c>
      <c r="E4154" s="7" t="n">
        <v>0</v>
      </c>
      <c r="F4154" s="7" t="n">
        <v>1</v>
      </c>
      <c r="G4154" s="7" t="n">
        <v>254.15</v>
      </c>
    </row>
    <row r="4155" customFormat="false" ht="15" hidden="false" customHeight="false" outlineLevel="0" collapsed="false">
      <c r="A4155" s="7" t="s">
        <v>24</v>
      </c>
      <c r="B4155" s="7" t="s">
        <v>100</v>
      </c>
      <c r="C4155" s="7" t="s">
        <v>1160</v>
      </c>
      <c r="D4155" s="7" t="n">
        <v>0</v>
      </c>
      <c r="E4155" s="7" t="n">
        <v>0</v>
      </c>
      <c r="F4155" s="7" t="n">
        <v>2</v>
      </c>
      <c r="G4155" s="7" t="n">
        <v>550.76</v>
      </c>
    </row>
    <row r="4156" customFormat="false" ht="15" hidden="false" customHeight="false" outlineLevel="0" collapsed="false">
      <c r="A4156" s="7" t="s">
        <v>24</v>
      </c>
      <c r="B4156" s="7" t="s">
        <v>100</v>
      </c>
      <c r="C4156" s="7" t="s">
        <v>1160</v>
      </c>
      <c r="D4156" s="7" t="n">
        <v>0</v>
      </c>
      <c r="E4156" s="7" t="n">
        <v>0</v>
      </c>
      <c r="F4156" s="7" t="n">
        <v>1</v>
      </c>
      <c r="G4156" s="7" t="n">
        <v>296.53</v>
      </c>
    </row>
    <row r="4157" customFormat="false" ht="15" hidden="false" customHeight="false" outlineLevel="0" collapsed="false">
      <c r="A4157" s="7" t="s">
        <v>24</v>
      </c>
      <c r="B4157" s="7" t="s">
        <v>100</v>
      </c>
      <c r="C4157" s="7" t="s">
        <v>1160</v>
      </c>
      <c r="D4157" s="7" t="n">
        <v>0</v>
      </c>
      <c r="E4157" s="7" t="n">
        <v>0</v>
      </c>
      <c r="F4157" s="7" t="n">
        <v>2</v>
      </c>
      <c r="G4157" s="7" t="n">
        <v>518.92</v>
      </c>
    </row>
    <row r="4158" customFormat="false" ht="15" hidden="false" customHeight="false" outlineLevel="0" collapsed="false">
      <c r="A4158" s="7" t="s">
        <v>24</v>
      </c>
      <c r="B4158" s="7" t="s">
        <v>100</v>
      </c>
      <c r="C4158" s="7" t="s">
        <v>1160</v>
      </c>
      <c r="D4158" s="7" t="n">
        <v>0</v>
      </c>
      <c r="E4158" s="7" t="n">
        <v>0</v>
      </c>
      <c r="F4158" s="7" t="n">
        <v>2</v>
      </c>
      <c r="G4158" s="7" t="n">
        <v>533.75</v>
      </c>
    </row>
    <row r="4159" customFormat="false" ht="15" hidden="false" customHeight="false" outlineLevel="0" collapsed="false">
      <c r="A4159" s="7" t="s">
        <v>24</v>
      </c>
      <c r="B4159" s="7" t="s">
        <v>100</v>
      </c>
      <c r="C4159" s="7" t="s">
        <v>1160</v>
      </c>
      <c r="D4159" s="7" t="n">
        <v>0</v>
      </c>
      <c r="E4159" s="7" t="n">
        <v>0</v>
      </c>
      <c r="F4159" s="7" t="n">
        <v>921</v>
      </c>
      <c r="G4159" s="7" t="n">
        <v>254311.35</v>
      </c>
    </row>
    <row r="4160" customFormat="false" ht="15" hidden="false" customHeight="false" outlineLevel="0" collapsed="false">
      <c r="A4160" s="7" t="s">
        <v>24</v>
      </c>
      <c r="B4160" s="7" t="s">
        <v>100</v>
      </c>
      <c r="C4160" s="7" t="s">
        <v>1160</v>
      </c>
      <c r="D4160" s="7" t="n">
        <v>0</v>
      </c>
      <c r="E4160" s="7" t="n">
        <v>0</v>
      </c>
      <c r="F4160" s="7" t="n">
        <v>2</v>
      </c>
      <c r="G4160" s="7" t="n">
        <v>550.76</v>
      </c>
    </row>
    <row r="4161" customFormat="false" ht="15" hidden="false" customHeight="false" outlineLevel="0" collapsed="false">
      <c r="A4161" s="7" t="s">
        <v>24</v>
      </c>
      <c r="B4161" s="7" t="s">
        <v>100</v>
      </c>
      <c r="C4161" s="7" t="s">
        <v>1160</v>
      </c>
      <c r="D4161" s="7" t="n">
        <v>0</v>
      </c>
      <c r="E4161" s="7" t="n">
        <v>0</v>
      </c>
      <c r="F4161" s="7" t="n">
        <v>1</v>
      </c>
      <c r="G4161" s="7" t="n">
        <v>296.52</v>
      </c>
    </row>
    <row r="4162" customFormat="false" ht="15" hidden="false" customHeight="false" outlineLevel="0" collapsed="false">
      <c r="A4162" s="7" t="s">
        <v>24</v>
      </c>
      <c r="B4162" s="7" t="s">
        <v>100</v>
      </c>
      <c r="C4162" s="7" t="s">
        <v>1160</v>
      </c>
      <c r="D4162" s="7" t="n">
        <v>0</v>
      </c>
      <c r="E4162" s="7" t="n">
        <v>0</v>
      </c>
      <c r="F4162" s="7" t="n">
        <v>1</v>
      </c>
      <c r="G4162" s="7" t="n">
        <v>296.53</v>
      </c>
    </row>
    <row r="4163" customFormat="false" ht="15" hidden="false" customHeight="false" outlineLevel="0" collapsed="false">
      <c r="A4163" s="7" t="s">
        <v>24</v>
      </c>
      <c r="B4163" s="7" t="s">
        <v>100</v>
      </c>
      <c r="C4163" s="7" t="s">
        <v>1160</v>
      </c>
      <c r="D4163" s="7" t="n">
        <v>0</v>
      </c>
      <c r="E4163" s="7" t="n">
        <v>0</v>
      </c>
      <c r="F4163" s="7" t="n">
        <v>4</v>
      </c>
      <c r="G4163" s="7" t="n">
        <v>1143.83</v>
      </c>
    </row>
    <row r="4164" customFormat="false" ht="15" hidden="false" customHeight="false" outlineLevel="0" collapsed="false">
      <c r="A4164" s="7" t="s">
        <v>24</v>
      </c>
      <c r="B4164" s="7" t="s">
        <v>100</v>
      </c>
      <c r="C4164" s="7" t="s">
        <v>1160</v>
      </c>
      <c r="D4164" s="7" t="n">
        <v>0</v>
      </c>
      <c r="E4164" s="7" t="n">
        <v>0</v>
      </c>
      <c r="F4164" s="7" t="n">
        <v>2</v>
      </c>
      <c r="G4164" s="7" t="n">
        <v>533.75</v>
      </c>
    </row>
    <row r="4165" customFormat="false" ht="15" hidden="false" customHeight="false" outlineLevel="0" collapsed="false">
      <c r="A4165" s="7" t="s">
        <v>24</v>
      </c>
      <c r="B4165" s="7" t="s">
        <v>100</v>
      </c>
      <c r="C4165" s="7" t="s">
        <v>1160</v>
      </c>
      <c r="D4165" s="7" t="n">
        <v>0</v>
      </c>
      <c r="E4165" s="7" t="n">
        <v>0</v>
      </c>
      <c r="F4165" s="7" t="n">
        <v>1</v>
      </c>
      <c r="G4165" s="7" t="n">
        <v>296.53</v>
      </c>
    </row>
    <row r="4166" customFormat="false" ht="15" hidden="false" customHeight="false" outlineLevel="0" collapsed="false">
      <c r="A4166" s="7" t="s">
        <v>24</v>
      </c>
      <c r="B4166" s="7" t="s">
        <v>100</v>
      </c>
      <c r="C4166" s="7" t="s">
        <v>1160</v>
      </c>
      <c r="D4166" s="7" t="n">
        <v>0</v>
      </c>
      <c r="E4166" s="7" t="n">
        <v>0</v>
      </c>
      <c r="F4166" s="7" t="n">
        <v>5</v>
      </c>
      <c r="G4166" s="7" t="n">
        <v>1364</v>
      </c>
    </row>
    <row r="4167" customFormat="false" ht="15" hidden="false" customHeight="false" outlineLevel="0" collapsed="false">
      <c r="A4167" s="7" t="s">
        <v>24</v>
      </c>
      <c r="B4167" s="7" t="s">
        <v>100</v>
      </c>
      <c r="C4167" s="7" t="s">
        <v>1160</v>
      </c>
      <c r="D4167" s="7" t="n">
        <v>0</v>
      </c>
      <c r="E4167" s="7" t="n">
        <v>0</v>
      </c>
      <c r="F4167" s="7" t="n">
        <v>3</v>
      </c>
      <c r="G4167" s="7" t="n">
        <v>830.28</v>
      </c>
    </row>
    <row r="4168" customFormat="false" ht="15" hidden="false" customHeight="false" outlineLevel="0" collapsed="false">
      <c r="A4168" s="7" t="s">
        <v>24</v>
      </c>
      <c r="B4168" s="7" t="s">
        <v>100</v>
      </c>
      <c r="C4168" s="7" t="s">
        <v>1160</v>
      </c>
      <c r="D4168" s="7" t="n">
        <v>0</v>
      </c>
      <c r="E4168" s="7" t="n">
        <v>0</v>
      </c>
      <c r="F4168" s="7" t="n">
        <v>20</v>
      </c>
      <c r="G4168" s="7" t="n">
        <v>5369.17</v>
      </c>
    </row>
    <row r="4169" customFormat="false" ht="15" hidden="false" customHeight="false" outlineLevel="0" collapsed="false">
      <c r="A4169" s="7" t="s">
        <v>24</v>
      </c>
      <c r="B4169" s="7" t="s">
        <v>100</v>
      </c>
      <c r="C4169" s="7" t="s">
        <v>1160</v>
      </c>
      <c r="D4169" s="7" t="n">
        <v>0</v>
      </c>
      <c r="E4169" s="7" t="n">
        <v>0</v>
      </c>
      <c r="F4169" s="7" t="n">
        <v>12</v>
      </c>
      <c r="G4169" s="7" t="n">
        <v>3291.7</v>
      </c>
    </row>
    <row r="4170" customFormat="false" ht="15" hidden="false" customHeight="false" outlineLevel="0" collapsed="false">
      <c r="A4170" s="7" t="s">
        <v>24</v>
      </c>
      <c r="B4170" s="7" t="s">
        <v>100</v>
      </c>
      <c r="C4170" s="7" t="s">
        <v>1160</v>
      </c>
      <c r="D4170" s="7" t="n">
        <v>0</v>
      </c>
      <c r="E4170" s="7" t="n">
        <v>0</v>
      </c>
      <c r="F4170" s="7" t="n">
        <v>23</v>
      </c>
      <c r="G4170" s="7" t="n">
        <v>6527.86</v>
      </c>
    </row>
    <row r="4171" customFormat="false" ht="15" hidden="false" customHeight="false" outlineLevel="0" collapsed="false">
      <c r="A4171" s="7" t="s">
        <v>24</v>
      </c>
      <c r="B4171" s="7" t="s">
        <v>100</v>
      </c>
      <c r="C4171" s="7" t="s">
        <v>1160</v>
      </c>
      <c r="D4171" s="7" t="n">
        <v>0</v>
      </c>
      <c r="E4171" s="7" t="n">
        <v>0</v>
      </c>
      <c r="F4171" s="7" t="n">
        <v>4</v>
      </c>
      <c r="G4171" s="7" t="n">
        <v>1126.81</v>
      </c>
    </row>
    <row r="4172" customFormat="false" ht="15" hidden="false" customHeight="false" outlineLevel="0" collapsed="false">
      <c r="A4172" s="7" t="s">
        <v>24</v>
      </c>
      <c r="B4172" s="7" t="s">
        <v>100</v>
      </c>
      <c r="C4172" s="7" t="s">
        <v>1160</v>
      </c>
      <c r="D4172" s="7" t="n">
        <v>0</v>
      </c>
      <c r="E4172" s="7" t="n">
        <v>0</v>
      </c>
      <c r="F4172" s="7" t="n">
        <v>2</v>
      </c>
      <c r="G4172" s="7" t="n">
        <v>533.75</v>
      </c>
    </row>
    <row r="4173" customFormat="false" ht="15" hidden="false" customHeight="false" outlineLevel="0" collapsed="false">
      <c r="A4173" s="7" t="s">
        <v>24</v>
      </c>
      <c r="B4173" s="7" t="s">
        <v>100</v>
      </c>
      <c r="C4173" s="7" t="s">
        <v>1160</v>
      </c>
      <c r="D4173" s="7" t="n">
        <v>0</v>
      </c>
      <c r="E4173" s="7" t="n">
        <v>0</v>
      </c>
      <c r="F4173" s="7" t="n">
        <v>1</v>
      </c>
      <c r="G4173" s="7" t="n">
        <v>266.87</v>
      </c>
    </row>
    <row r="4174" customFormat="false" ht="15" hidden="false" customHeight="false" outlineLevel="0" collapsed="false">
      <c r="A4174" s="7" t="s">
        <v>24</v>
      </c>
      <c r="B4174" s="7" t="s">
        <v>100</v>
      </c>
      <c r="C4174" s="7" t="s">
        <v>1160</v>
      </c>
      <c r="D4174" s="7" t="n">
        <v>0</v>
      </c>
      <c r="E4174" s="7" t="n">
        <v>0</v>
      </c>
      <c r="F4174" s="7" t="n">
        <v>1</v>
      </c>
      <c r="G4174" s="7" t="n">
        <v>266.87</v>
      </c>
    </row>
    <row r="4175" customFormat="false" ht="15" hidden="false" customHeight="false" outlineLevel="0" collapsed="false">
      <c r="A4175" s="7" t="s">
        <v>24</v>
      </c>
      <c r="B4175" s="7" t="s">
        <v>100</v>
      </c>
      <c r="C4175" s="7" t="s">
        <v>1160</v>
      </c>
      <c r="D4175" s="7" t="n">
        <v>0</v>
      </c>
      <c r="E4175" s="7" t="n">
        <v>0</v>
      </c>
      <c r="F4175" s="7" t="n">
        <v>1</v>
      </c>
      <c r="G4175" s="7" t="n">
        <v>296.53</v>
      </c>
    </row>
    <row r="4176" customFormat="false" ht="15" hidden="false" customHeight="false" outlineLevel="0" collapsed="false">
      <c r="A4176" s="7" t="s">
        <v>24</v>
      </c>
      <c r="B4176" s="7" t="s">
        <v>100</v>
      </c>
      <c r="C4176" s="7" t="s">
        <v>1160</v>
      </c>
      <c r="D4176" s="7" t="n">
        <v>0</v>
      </c>
      <c r="E4176" s="7" t="n">
        <v>0</v>
      </c>
      <c r="F4176" s="7" t="n">
        <v>3</v>
      </c>
      <c r="G4176" s="7" t="n">
        <v>634.8</v>
      </c>
    </row>
    <row r="4177" customFormat="false" ht="15" hidden="false" customHeight="false" outlineLevel="0" collapsed="false">
      <c r="A4177" s="7" t="s">
        <v>24</v>
      </c>
      <c r="B4177" s="7" t="s">
        <v>100</v>
      </c>
      <c r="C4177" s="7" t="s">
        <v>1160</v>
      </c>
      <c r="D4177" s="7" t="n">
        <v>2</v>
      </c>
      <c r="E4177" s="7" t="n">
        <v>466.66</v>
      </c>
      <c r="F4177" s="7" t="n">
        <v>0</v>
      </c>
      <c r="G4177" s="7" t="n">
        <v>0</v>
      </c>
    </row>
    <row r="4178" customFormat="false" ht="15" hidden="false" customHeight="false" outlineLevel="0" collapsed="false">
      <c r="A4178" s="7" t="s">
        <v>24</v>
      </c>
      <c r="B4178" s="7" t="s">
        <v>100</v>
      </c>
      <c r="C4178" s="7" t="s">
        <v>1160</v>
      </c>
      <c r="D4178" s="7" t="n">
        <v>0</v>
      </c>
      <c r="E4178" s="7" t="n">
        <v>0</v>
      </c>
      <c r="F4178" s="7" t="n">
        <v>10</v>
      </c>
      <c r="G4178" s="7" t="n">
        <v>2717.39</v>
      </c>
    </row>
    <row r="4179" customFormat="false" ht="15" hidden="false" customHeight="false" outlineLevel="0" collapsed="false">
      <c r="A4179" s="7" t="s">
        <v>24</v>
      </c>
      <c r="B4179" s="7" t="s">
        <v>100</v>
      </c>
      <c r="C4179" s="7" t="s">
        <v>1160</v>
      </c>
      <c r="D4179" s="7" t="n">
        <v>0</v>
      </c>
      <c r="E4179" s="7" t="n">
        <v>0</v>
      </c>
      <c r="F4179" s="7" t="n">
        <v>1</v>
      </c>
      <c r="G4179" s="7" t="n">
        <v>252.05</v>
      </c>
    </row>
    <row r="4180" customFormat="false" ht="15" hidden="false" customHeight="false" outlineLevel="0" collapsed="false">
      <c r="A4180" s="7" t="s">
        <v>24</v>
      </c>
      <c r="B4180" s="7" t="s">
        <v>100</v>
      </c>
      <c r="C4180" s="7" t="s">
        <v>1160</v>
      </c>
      <c r="D4180" s="7" t="n">
        <v>0</v>
      </c>
      <c r="E4180" s="7" t="n">
        <v>0</v>
      </c>
      <c r="F4180" s="7" t="n">
        <v>1</v>
      </c>
      <c r="G4180" s="7" t="n">
        <v>296.52</v>
      </c>
    </row>
    <row r="4181" customFormat="false" ht="15" hidden="false" customHeight="false" outlineLevel="0" collapsed="false">
      <c r="A4181" s="7" t="s">
        <v>24</v>
      </c>
      <c r="B4181" s="7" t="s">
        <v>100</v>
      </c>
      <c r="C4181" s="7" t="s">
        <v>1160</v>
      </c>
      <c r="D4181" s="7" t="n">
        <v>0</v>
      </c>
      <c r="E4181" s="7" t="n">
        <v>0</v>
      </c>
      <c r="F4181" s="7" t="n">
        <v>2</v>
      </c>
      <c r="G4181" s="7" t="n">
        <v>533.75</v>
      </c>
    </row>
    <row r="4182" customFormat="false" ht="15" hidden="false" customHeight="false" outlineLevel="0" collapsed="false">
      <c r="A4182" s="7" t="s">
        <v>24</v>
      </c>
      <c r="B4182" s="7" t="s">
        <v>100</v>
      </c>
      <c r="C4182" s="7" t="s">
        <v>1160</v>
      </c>
      <c r="D4182" s="7" t="n">
        <v>0</v>
      </c>
      <c r="E4182" s="7" t="n">
        <v>0</v>
      </c>
      <c r="F4182" s="7" t="n">
        <v>2</v>
      </c>
      <c r="G4182" s="7" t="n">
        <v>593.06</v>
      </c>
    </row>
    <row r="4183" customFormat="false" ht="15" hidden="false" customHeight="false" outlineLevel="0" collapsed="false">
      <c r="A4183" s="7" t="s">
        <v>24</v>
      </c>
      <c r="B4183" s="7" t="s">
        <v>100</v>
      </c>
      <c r="C4183" s="7" t="s">
        <v>1160</v>
      </c>
      <c r="D4183" s="7" t="n">
        <v>0</v>
      </c>
      <c r="E4183" s="7" t="n">
        <v>0</v>
      </c>
      <c r="F4183" s="7" t="n">
        <v>4</v>
      </c>
      <c r="G4183" s="7" t="n">
        <v>1143.81</v>
      </c>
    </row>
    <row r="4184" customFormat="false" ht="15" hidden="false" customHeight="false" outlineLevel="0" collapsed="false">
      <c r="A4184" s="7" t="s">
        <v>24</v>
      </c>
      <c r="B4184" s="7" t="s">
        <v>100</v>
      </c>
      <c r="C4184" s="7" t="s">
        <v>1160</v>
      </c>
      <c r="D4184" s="7" t="n">
        <v>0</v>
      </c>
      <c r="E4184" s="7" t="n">
        <v>0</v>
      </c>
      <c r="F4184" s="7" t="n">
        <v>1</v>
      </c>
      <c r="G4184" s="7" t="n">
        <v>296.52</v>
      </c>
    </row>
    <row r="4185" customFormat="false" ht="15" hidden="false" customHeight="false" outlineLevel="0" collapsed="false">
      <c r="A4185" s="7" t="s">
        <v>24</v>
      </c>
      <c r="B4185" s="7" t="s">
        <v>100</v>
      </c>
      <c r="C4185" s="7" t="s">
        <v>1160</v>
      </c>
      <c r="D4185" s="7" t="n">
        <v>0</v>
      </c>
      <c r="E4185" s="7" t="n">
        <v>0</v>
      </c>
      <c r="F4185" s="7" t="n">
        <v>1</v>
      </c>
      <c r="G4185" s="7" t="n">
        <v>266.87</v>
      </c>
    </row>
    <row r="4186" customFormat="false" ht="15" hidden="false" customHeight="false" outlineLevel="0" collapsed="false">
      <c r="A4186" s="7" t="s">
        <v>24</v>
      </c>
      <c r="B4186" s="7" t="s">
        <v>100</v>
      </c>
      <c r="C4186" s="7" t="s">
        <v>1160</v>
      </c>
      <c r="D4186" s="7" t="n">
        <v>0</v>
      </c>
      <c r="E4186" s="7" t="n">
        <v>0</v>
      </c>
      <c r="F4186" s="7" t="n">
        <v>2</v>
      </c>
      <c r="G4186" s="7" t="n">
        <v>423.75</v>
      </c>
    </row>
    <row r="4187" customFormat="false" ht="15" hidden="false" customHeight="false" outlineLevel="0" collapsed="false">
      <c r="A4187" s="7" t="s">
        <v>24</v>
      </c>
      <c r="B4187" s="7" t="s">
        <v>100</v>
      </c>
      <c r="C4187" s="7" t="s">
        <v>1160</v>
      </c>
      <c r="D4187" s="7" t="n">
        <v>0</v>
      </c>
      <c r="E4187" s="7" t="n">
        <v>0</v>
      </c>
      <c r="F4187" s="7" t="n">
        <v>6</v>
      </c>
      <c r="G4187" s="7" t="n">
        <v>1616.05</v>
      </c>
    </row>
    <row r="4188" customFormat="false" ht="15" hidden="false" customHeight="false" outlineLevel="0" collapsed="false">
      <c r="A4188" s="7" t="s">
        <v>24</v>
      </c>
      <c r="B4188" s="7" t="s">
        <v>100</v>
      </c>
      <c r="C4188" s="7" t="s">
        <v>1160</v>
      </c>
      <c r="D4188" s="7" t="n">
        <v>0</v>
      </c>
      <c r="E4188" s="7" t="n">
        <v>0</v>
      </c>
      <c r="F4188" s="7" t="n">
        <v>8</v>
      </c>
      <c r="G4188" s="7" t="n">
        <v>2137.06</v>
      </c>
    </row>
    <row r="4189" customFormat="false" ht="15" hidden="false" customHeight="false" outlineLevel="0" collapsed="false">
      <c r="A4189" s="7" t="s">
        <v>24</v>
      </c>
      <c r="B4189" s="7" t="s">
        <v>100</v>
      </c>
      <c r="C4189" s="7" t="s">
        <v>1160</v>
      </c>
      <c r="D4189" s="7" t="n">
        <v>201</v>
      </c>
      <c r="E4189" s="7" t="n">
        <v>52262.55</v>
      </c>
      <c r="F4189" s="7" t="n">
        <v>138</v>
      </c>
      <c r="G4189" s="7" t="n">
        <v>36730.72</v>
      </c>
    </row>
    <row r="4190" customFormat="false" ht="15" hidden="false" customHeight="false" outlineLevel="0" collapsed="false">
      <c r="A4190" s="7" t="s">
        <v>24</v>
      </c>
      <c r="B4190" s="7" t="s">
        <v>100</v>
      </c>
      <c r="C4190" s="7" t="s">
        <v>1160</v>
      </c>
      <c r="D4190" s="7" t="n">
        <v>0</v>
      </c>
      <c r="E4190" s="7" t="n">
        <v>0</v>
      </c>
      <c r="F4190" s="7" t="n">
        <v>2</v>
      </c>
      <c r="G4190" s="7" t="n">
        <v>504.1</v>
      </c>
    </row>
    <row r="4191" customFormat="false" ht="15" hidden="false" customHeight="false" outlineLevel="0" collapsed="false">
      <c r="A4191" s="7" t="s">
        <v>24</v>
      </c>
      <c r="B4191" s="7" t="s">
        <v>100</v>
      </c>
      <c r="C4191" s="7" t="s">
        <v>1160</v>
      </c>
      <c r="D4191" s="7" t="n">
        <v>0</v>
      </c>
      <c r="E4191" s="7" t="n">
        <v>0</v>
      </c>
      <c r="F4191" s="7" t="n">
        <v>1</v>
      </c>
      <c r="G4191" s="7" t="n">
        <v>296.53</v>
      </c>
    </row>
    <row r="4192" customFormat="false" ht="15" hidden="false" customHeight="false" outlineLevel="0" collapsed="false">
      <c r="A4192" s="7" t="s">
        <v>24</v>
      </c>
      <c r="B4192" s="7" t="s">
        <v>100</v>
      </c>
      <c r="C4192" s="7" t="s">
        <v>1160</v>
      </c>
      <c r="D4192" s="7" t="n">
        <v>0</v>
      </c>
      <c r="E4192" s="7" t="n">
        <v>0</v>
      </c>
      <c r="F4192" s="7" t="n">
        <v>2</v>
      </c>
      <c r="G4192" s="7" t="n">
        <v>453.69</v>
      </c>
    </row>
    <row r="4193" customFormat="false" ht="15" hidden="false" customHeight="false" outlineLevel="0" collapsed="false">
      <c r="A4193" s="7" t="s">
        <v>24</v>
      </c>
      <c r="B4193" s="7" t="s">
        <v>100</v>
      </c>
      <c r="C4193" s="7" t="s">
        <v>1160</v>
      </c>
      <c r="D4193" s="7" t="n">
        <v>0</v>
      </c>
      <c r="E4193" s="7" t="n">
        <v>0</v>
      </c>
      <c r="F4193" s="7" t="n">
        <v>2</v>
      </c>
      <c r="G4193" s="7" t="n">
        <v>593.06</v>
      </c>
    </row>
    <row r="4194" customFormat="false" ht="15" hidden="false" customHeight="false" outlineLevel="0" collapsed="false">
      <c r="A4194" s="7" t="s">
        <v>24</v>
      </c>
      <c r="B4194" s="7" t="s">
        <v>100</v>
      </c>
      <c r="C4194" s="7" t="s">
        <v>1160</v>
      </c>
      <c r="D4194" s="7" t="n">
        <v>0</v>
      </c>
      <c r="E4194" s="7" t="n">
        <v>0</v>
      </c>
      <c r="F4194" s="7" t="n">
        <v>5</v>
      </c>
      <c r="G4194" s="7" t="n">
        <v>1423.34</v>
      </c>
    </row>
    <row r="4195" customFormat="false" ht="15" hidden="false" customHeight="false" outlineLevel="0" collapsed="false">
      <c r="A4195" s="7" t="s">
        <v>24</v>
      </c>
      <c r="B4195" s="7" t="s">
        <v>100</v>
      </c>
      <c r="C4195" s="7" t="s">
        <v>1160</v>
      </c>
      <c r="D4195" s="7" t="n">
        <v>0</v>
      </c>
      <c r="E4195" s="7" t="n">
        <v>0</v>
      </c>
      <c r="F4195" s="7" t="n">
        <v>2</v>
      </c>
      <c r="G4195" s="7" t="n">
        <v>550.76</v>
      </c>
    </row>
    <row r="4196" customFormat="false" ht="15" hidden="false" customHeight="false" outlineLevel="0" collapsed="false">
      <c r="A4196" s="7" t="s">
        <v>24</v>
      </c>
      <c r="B4196" s="7" t="s">
        <v>100</v>
      </c>
      <c r="C4196" s="7" t="s">
        <v>1160</v>
      </c>
      <c r="D4196" s="7" t="n">
        <v>0</v>
      </c>
      <c r="E4196" s="7" t="n">
        <v>0</v>
      </c>
      <c r="F4196" s="7" t="n">
        <v>1</v>
      </c>
      <c r="G4196" s="7" t="n">
        <v>252.05</v>
      </c>
    </row>
    <row r="4197" customFormat="false" ht="15" hidden="false" customHeight="false" outlineLevel="0" collapsed="false">
      <c r="A4197" s="7" t="s">
        <v>24</v>
      </c>
      <c r="B4197" s="7" t="s">
        <v>100</v>
      </c>
      <c r="C4197" s="7" t="s">
        <v>1160</v>
      </c>
      <c r="D4197" s="7" t="n">
        <v>0</v>
      </c>
      <c r="E4197" s="7" t="n">
        <v>0</v>
      </c>
      <c r="F4197" s="7" t="n">
        <v>2</v>
      </c>
      <c r="G4197" s="7" t="n">
        <v>533.75</v>
      </c>
    </row>
    <row r="4198" customFormat="false" ht="15" hidden="false" customHeight="false" outlineLevel="0" collapsed="false">
      <c r="A4198" s="7" t="s">
        <v>24</v>
      </c>
      <c r="B4198" s="7" t="s">
        <v>100</v>
      </c>
      <c r="C4198" s="7" t="s">
        <v>1160</v>
      </c>
      <c r="D4198" s="7" t="n">
        <v>0</v>
      </c>
      <c r="E4198" s="7" t="n">
        <v>0</v>
      </c>
      <c r="F4198" s="7" t="n">
        <v>2</v>
      </c>
      <c r="G4198" s="7" t="n">
        <v>550.76</v>
      </c>
    </row>
    <row r="4199" customFormat="false" ht="15" hidden="false" customHeight="false" outlineLevel="0" collapsed="false">
      <c r="A4199" s="7" t="s">
        <v>24</v>
      </c>
      <c r="B4199" s="7" t="s">
        <v>100</v>
      </c>
      <c r="C4199" s="7" t="s">
        <v>1160</v>
      </c>
      <c r="D4199" s="7" t="n">
        <v>0</v>
      </c>
      <c r="E4199" s="7" t="n">
        <v>0</v>
      </c>
      <c r="F4199" s="7" t="n">
        <v>1</v>
      </c>
      <c r="G4199" s="7" t="n">
        <v>296.53</v>
      </c>
    </row>
    <row r="4200" customFormat="false" ht="15" hidden="false" customHeight="false" outlineLevel="0" collapsed="false">
      <c r="A4200" s="7" t="s">
        <v>24</v>
      </c>
      <c r="B4200" s="7" t="s">
        <v>100</v>
      </c>
      <c r="C4200" s="7" t="s">
        <v>1160</v>
      </c>
      <c r="D4200" s="7" t="n">
        <v>0</v>
      </c>
      <c r="E4200" s="7" t="n">
        <v>0</v>
      </c>
      <c r="F4200" s="7" t="n">
        <v>1</v>
      </c>
      <c r="G4200" s="7" t="n">
        <v>296.53</v>
      </c>
    </row>
    <row r="4201" customFormat="false" ht="15" hidden="false" customHeight="false" outlineLevel="0" collapsed="false">
      <c r="A4201" s="7" t="s">
        <v>24</v>
      </c>
      <c r="B4201" s="7" t="s">
        <v>100</v>
      </c>
      <c r="C4201" s="7" t="s">
        <v>1160</v>
      </c>
      <c r="D4201" s="7" t="n">
        <v>0</v>
      </c>
      <c r="E4201" s="7" t="n">
        <v>0</v>
      </c>
      <c r="F4201" s="7" t="n">
        <v>1</v>
      </c>
      <c r="G4201" s="7" t="n">
        <v>296.53</v>
      </c>
    </row>
    <row r="4202" customFormat="false" ht="15" hidden="false" customHeight="false" outlineLevel="0" collapsed="false">
      <c r="A4202" s="7" t="s">
        <v>24</v>
      </c>
      <c r="B4202" s="7" t="s">
        <v>100</v>
      </c>
      <c r="C4202" s="7" t="s">
        <v>1160</v>
      </c>
      <c r="D4202" s="7" t="n">
        <v>0</v>
      </c>
      <c r="E4202" s="7" t="n">
        <v>0</v>
      </c>
      <c r="F4202" s="7" t="n">
        <v>2</v>
      </c>
      <c r="G4202" s="7" t="n">
        <v>563.39</v>
      </c>
    </row>
    <row r="4203" customFormat="false" ht="15" hidden="false" customHeight="false" outlineLevel="0" collapsed="false">
      <c r="A4203" s="7" t="s">
        <v>24</v>
      </c>
      <c r="B4203" s="7" t="s">
        <v>100</v>
      </c>
      <c r="C4203" s="7" t="s">
        <v>1160</v>
      </c>
      <c r="D4203" s="7" t="n">
        <v>0</v>
      </c>
      <c r="E4203" s="7" t="n">
        <v>0</v>
      </c>
      <c r="F4203" s="7" t="n">
        <v>2</v>
      </c>
      <c r="G4203" s="7" t="n">
        <v>550.76</v>
      </c>
    </row>
    <row r="4204" customFormat="false" ht="15" hidden="false" customHeight="false" outlineLevel="0" collapsed="false">
      <c r="A4204" s="7" t="s">
        <v>24</v>
      </c>
      <c r="B4204" s="7" t="s">
        <v>100</v>
      </c>
      <c r="C4204" s="7" t="s">
        <v>1160</v>
      </c>
      <c r="D4204" s="7" t="n">
        <v>0</v>
      </c>
      <c r="E4204" s="7" t="n">
        <v>0</v>
      </c>
      <c r="F4204" s="7" t="n">
        <v>2</v>
      </c>
      <c r="G4204" s="7" t="n">
        <v>550.76</v>
      </c>
    </row>
    <row r="4205" customFormat="false" ht="15" hidden="false" customHeight="false" outlineLevel="0" collapsed="false">
      <c r="A4205" s="7" t="s">
        <v>24</v>
      </c>
      <c r="B4205" s="7" t="s">
        <v>100</v>
      </c>
      <c r="C4205" s="7" t="s">
        <v>1160</v>
      </c>
      <c r="D4205" s="7" t="n">
        <v>0</v>
      </c>
      <c r="E4205" s="7" t="n">
        <v>0</v>
      </c>
      <c r="F4205" s="7" t="n">
        <v>1</v>
      </c>
      <c r="G4205" s="7" t="n">
        <v>266.87</v>
      </c>
    </row>
    <row r="4206" customFormat="false" ht="15" hidden="false" customHeight="false" outlineLevel="0" collapsed="false">
      <c r="A4206" s="7" t="s">
        <v>24</v>
      </c>
      <c r="B4206" s="7" t="s">
        <v>100</v>
      </c>
      <c r="C4206" s="7" t="s">
        <v>1160</v>
      </c>
      <c r="D4206" s="7" t="n">
        <v>0</v>
      </c>
      <c r="E4206" s="7" t="n">
        <v>0</v>
      </c>
      <c r="F4206" s="7" t="n">
        <v>1</v>
      </c>
      <c r="G4206" s="7" t="n">
        <v>296.53</v>
      </c>
    </row>
    <row r="4207" customFormat="false" ht="15" hidden="false" customHeight="false" outlineLevel="0" collapsed="false">
      <c r="A4207" s="7" t="s">
        <v>24</v>
      </c>
      <c r="B4207" s="7" t="s">
        <v>100</v>
      </c>
      <c r="C4207" s="7" t="s">
        <v>1160</v>
      </c>
      <c r="D4207" s="7" t="n">
        <v>0</v>
      </c>
      <c r="E4207" s="7" t="n">
        <v>0</v>
      </c>
      <c r="F4207" s="7" t="n">
        <v>1</v>
      </c>
      <c r="G4207" s="7" t="n">
        <v>252.05</v>
      </c>
    </row>
    <row r="4208" customFormat="false" ht="15" hidden="false" customHeight="false" outlineLevel="0" collapsed="false">
      <c r="A4208" s="7" t="s">
        <v>24</v>
      </c>
      <c r="B4208" s="7" t="s">
        <v>100</v>
      </c>
      <c r="C4208" s="7" t="s">
        <v>1160</v>
      </c>
      <c r="D4208" s="7" t="n">
        <v>0</v>
      </c>
      <c r="E4208" s="7" t="n">
        <v>0</v>
      </c>
      <c r="F4208" s="7" t="n">
        <v>8</v>
      </c>
      <c r="G4208" s="7" t="n">
        <v>2120.14</v>
      </c>
    </row>
    <row r="4209" customFormat="false" ht="15" hidden="false" customHeight="false" outlineLevel="0" collapsed="false">
      <c r="A4209" s="7" t="s">
        <v>24</v>
      </c>
      <c r="B4209" s="7" t="s">
        <v>100</v>
      </c>
      <c r="C4209" s="7" t="s">
        <v>1160</v>
      </c>
      <c r="D4209" s="7" t="n">
        <v>0</v>
      </c>
      <c r="E4209" s="7" t="n">
        <v>0</v>
      </c>
      <c r="F4209" s="7" t="n">
        <v>3</v>
      </c>
      <c r="G4209" s="7" t="n">
        <v>785.79</v>
      </c>
    </row>
    <row r="4210" customFormat="false" ht="15" hidden="false" customHeight="false" outlineLevel="0" collapsed="false">
      <c r="A4210" s="7" t="s">
        <v>24</v>
      </c>
      <c r="B4210" s="7" t="s">
        <v>100</v>
      </c>
      <c r="C4210" s="7" t="s">
        <v>1160</v>
      </c>
      <c r="D4210" s="7" t="n">
        <v>0</v>
      </c>
      <c r="E4210" s="7" t="n">
        <v>0</v>
      </c>
      <c r="F4210" s="7" t="n">
        <v>22</v>
      </c>
      <c r="G4210" s="7" t="n">
        <v>5956.55</v>
      </c>
    </row>
    <row r="4211" customFormat="false" ht="15" hidden="false" customHeight="false" outlineLevel="0" collapsed="false">
      <c r="A4211" s="7" t="s">
        <v>24</v>
      </c>
      <c r="B4211" s="7" t="s">
        <v>100</v>
      </c>
      <c r="C4211" s="7" t="s">
        <v>1160</v>
      </c>
      <c r="D4211" s="7" t="n">
        <v>0</v>
      </c>
      <c r="E4211" s="7" t="n">
        <v>0</v>
      </c>
      <c r="F4211" s="7" t="n">
        <v>4</v>
      </c>
      <c r="G4211" s="7" t="n">
        <v>1126.81</v>
      </c>
    </row>
    <row r="4212" customFormat="false" ht="15" hidden="false" customHeight="false" outlineLevel="0" collapsed="false">
      <c r="A4212" s="7" t="s">
        <v>24</v>
      </c>
      <c r="B4212" s="7" t="s">
        <v>100</v>
      </c>
      <c r="C4212" s="7" t="s">
        <v>1160</v>
      </c>
      <c r="D4212" s="7" t="n">
        <v>0</v>
      </c>
      <c r="E4212" s="7" t="n">
        <v>0</v>
      </c>
      <c r="F4212" s="7" t="n">
        <v>8</v>
      </c>
      <c r="G4212" s="7" t="n">
        <v>1694.8</v>
      </c>
    </row>
    <row r="4213" customFormat="false" ht="15" hidden="false" customHeight="false" outlineLevel="0" collapsed="false">
      <c r="A4213" s="7" t="s">
        <v>24</v>
      </c>
      <c r="B4213" s="7" t="s">
        <v>100</v>
      </c>
      <c r="C4213" s="7" t="s">
        <v>1160</v>
      </c>
      <c r="D4213" s="7" t="n">
        <v>0</v>
      </c>
      <c r="E4213" s="7" t="n">
        <v>0</v>
      </c>
      <c r="F4213" s="7" t="n">
        <v>1</v>
      </c>
      <c r="G4213" s="7" t="n">
        <v>252.05</v>
      </c>
    </row>
    <row r="4214" customFormat="false" ht="15" hidden="false" customHeight="false" outlineLevel="0" collapsed="false">
      <c r="A4214" s="7" t="s">
        <v>24</v>
      </c>
      <c r="B4214" s="7" t="s">
        <v>100</v>
      </c>
      <c r="C4214" s="7" t="s">
        <v>1160</v>
      </c>
      <c r="D4214" s="7" t="n">
        <v>0</v>
      </c>
      <c r="E4214" s="7" t="n">
        <v>0</v>
      </c>
      <c r="F4214" s="7" t="n">
        <v>1</v>
      </c>
      <c r="G4214" s="7" t="n">
        <v>296.52</v>
      </c>
    </row>
    <row r="4215" customFormat="false" ht="15" hidden="false" customHeight="false" outlineLevel="0" collapsed="false">
      <c r="A4215" s="7" t="s">
        <v>24</v>
      </c>
      <c r="B4215" s="7" t="s">
        <v>100</v>
      </c>
      <c r="C4215" s="7" t="s">
        <v>1160</v>
      </c>
      <c r="D4215" s="7" t="n">
        <v>0</v>
      </c>
      <c r="E4215" s="7" t="n">
        <v>0</v>
      </c>
      <c r="F4215" s="7" t="n">
        <v>3</v>
      </c>
      <c r="G4215" s="7" t="n">
        <v>800.61</v>
      </c>
    </row>
    <row r="4216" customFormat="false" ht="15" hidden="false" customHeight="false" outlineLevel="0" collapsed="false">
      <c r="A4216" s="7" t="s">
        <v>24</v>
      </c>
      <c r="B4216" s="7" t="s">
        <v>100</v>
      </c>
      <c r="C4216" s="7" t="s">
        <v>1160</v>
      </c>
      <c r="D4216" s="7" t="n">
        <v>0</v>
      </c>
      <c r="E4216" s="7" t="n">
        <v>0</v>
      </c>
      <c r="F4216" s="7" t="n">
        <v>11</v>
      </c>
      <c r="G4216" s="7" t="n">
        <v>2965.28</v>
      </c>
    </row>
    <row r="4217" customFormat="false" ht="15" hidden="false" customHeight="false" outlineLevel="0" collapsed="false">
      <c r="A4217" s="7" t="s">
        <v>24</v>
      </c>
      <c r="B4217" s="7" t="s">
        <v>100</v>
      </c>
      <c r="C4217" s="7" t="s">
        <v>1160</v>
      </c>
      <c r="D4217" s="7" t="n">
        <v>0</v>
      </c>
      <c r="E4217" s="7" t="n">
        <v>0</v>
      </c>
      <c r="F4217" s="7" t="n">
        <v>3</v>
      </c>
      <c r="G4217" s="7" t="n">
        <v>800.61</v>
      </c>
    </row>
    <row r="4218" customFormat="false" ht="15" hidden="false" customHeight="false" outlineLevel="0" collapsed="false">
      <c r="A4218" s="7" t="s">
        <v>24</v>
      </c>
      <c r="B4218" s="7" t="s">
        <v>100</v>
      </c>
      <c r="C4218" s="7" t="s">
        <v>1160</v>
      </c>
      <c r="D4218" s="7" t="n">
        <v>0</v>
      </c>
      <c r="E4218" s="7" t="n">
        <v>0</v>
      </c>
      <c r="F4218" s="7" t="n">
        <v>1</v>
      </c>
      <c r="G4218" s="7" t="n">
        <v>266.87</v>
      </c>
    </row>
    <row r="4219" customFormat="false" ht="15" hidden="false" customHeight="false" outlineLevel="0" collapsed="false">
      <c r="A4219" s="7" t="s">
        <v>24</v>
      </c>
      <c r="B4219" s="7" t="s">
        <v>100</v>
      </c>
      <c r="C4219" s="7" t="s">
        <v>1160</v>
      </c>
      <c r="D4219" s="7" t="n">
        <v>0</v>
      </c>
      <c r="E4219" s="7" t="n">
        <v>0</v>
      </c>
      <c r="F4219" s="7" t="n">
        <v>1</v>
      </c>
      <c r="G4219" s="7" t="n">
        <v>266.87</v>
      </c>
    </row>
    <row r="4220" customFormat="false" ht="15" hidden="false" customHeight="false" outlineLevel="0" collapsed="false">
      <c r="A4220" s="7" t="s">
        <v>24</v>
      </c>
      <c r="B4220" s="7" t="s">
        <v>100</v>
      </c>
      <c r="C4220" s="7" t="s">
        <v>1160</v>
      </c>
      <c r="D4220" s="7" t="n">
        <v>0</v>
      </c>
      <c r="E4220" s="7" t="n">
        <v>0</v>
      </c>
      <c r="F4220" s="7" t="n">
        <v>1</v>
      </c>
      <c r="G4220" s="7" t="n">
        <v>296.52</v>
      </c>
    </row>
    <row r="4221" customFormat="false" ht="15" hidden="false" customHeight="false" outlineLevel="0" collapsed="false">
      <c r="A4221" s="7" t="s">
        <v>24</v>
      </c>
      <c r="B4221" s="7" t="s">
        <v>100</v>
      </c>
      <c r="C4221" s="7" t="s">
        <v>1160</v>
      </c>
      <c r="D4221" s="7" t="n">
        <v>0</v>
      </c>
      <c r="E4221" s="7" t="n">
        <v>0</v>
      </c>
      <c r="F4221" s="7" t="n">
        <v>3</v>
      </c>
      <c r="G4221" s="7" t="n">
        <v>830.28</v>
      </c>
    </row>
    <row r="4222" customFormat="false" ht="15" hidden="false" customHeight="false" outlineLevel="0" collapsed="false">
      <c r="A4222" s="7" t="s">
        <v>24</v>
      </c>
      <c r="B4222" s="7" t="s">
        <v>100</v>
      </c>
      <c r="C4222" s="7" t="s">
        <v>1160</v>
      </c>
      <c r="D4222" s="7" t="n">
        <v>0</v>
      </c>
      <c r="E4222" s="7" t="n">
        <v>0</v>
      </c>
      <c r="F4222" s="7" t="n">
        <v>1</v>
      </c>
      <c r="G4222" s="7" t="n">
        <v>211.78</v>
      </c>
    </row>
    <row r="4223" customFormat="false" ht="15" hidden="false" customHeight="false" outlineLevel="0" collapsed="false">
      <c r="A4223" s="7" t="s">
        <v>24</v>
      </c>
      <c r="B4223" s="7" t="s">
        <v>100</v>
      </c>
      <c r="C4223" s="7" t="s">
        <v>1160</v>
      </c>
      <c r="D4223" s="7" t="n">
        <v>0</v>
      </c>
      <c r="E4223" s="7" t="n">
        <v>0</v>
      </c>
      <c r="F4223" s="7" t="n">
        <v>2</v>
      </c>
      <c r="G4223" s="7" t="n">
        <v>593.06</v>
      </c>
    </row>
    <row r="4224" customFormat="false" ht="15" hidden="false" customHeight="false" outlineLevel="0" collapsed="false">
      <c r="A4224" s="7" t="s">
        <v>24</v>
      </c>
      <c r="B4224" s="7" t="s">
        <v>100</v>
      </c>
      <c r="C4224" s="7" t="s">
        <v>1160</v>
      </c>
      <c r="D4224" s="7" t="n">
        <v>0</v>
      </c>
      <c r="E4224" s="7" t="n">
        <v>0</v>
      </c>
      <c r="F4224" s="7" t="n">
        <v>4</v>
      </c>
      <c r="G4224" s="7" t="n">
        <v>761.4</v>
      </c>
    </row>
    <row r="4225" customFormat="false" ht="15" hidden="false" customHeight="false" outlineLevel="0" collapsed="false">
      <c r="A4225" s="7" t="s">
        <v>24</v>
      </c>
      <c r="B4225" s="7" t="s">
        <v>100</v>
      </c>
      <c r="C4225" s="7" t="s">
        <v>1160</v>
      </c>
      <c r="D4225" s="7" t="n">
        <v>1</v>
      </c>
      <c r="E4225" s="7" t="n">
        <v>211.78</v>
      </c>
      <c r="F4225" s="7" t="n">
        <v>10</v>
      </c>
      <c r="G4225" s="7" t="n">
        <v>2117.8</v>
      </c>
    </row>
    <row r="4226" customFormat="false" ht="15" hidden="false" customHeight="false" outlineLevel="0" collapsed="false">
      <c r="A4226" s="7" t="s">
        <v>24</v>
      </c>
      <c r="B4226" s="7" t="s">
        <v>100</v>
      </c>
      <c r="C4226" s="7" t="s">
        <v>1160</v>
      </c>
      <c r="D4226" s="7" t="n">
        <v>0</v>
      </c>
      <c r="E4226" s="7" t="n">
        <v>0</v>
      </c>
      <c r="F4226" s="7" t="n">
        <v>1</v>
      </c>
      <c r="G4226" s="7" t="n">
        <v>0</v>
      </c>
    </row>
    <row r="4227" customFormat="false" ht="15" hidden="false" customHeight="false" outlineLevel="0" collapsed="false">
      <c r="A4227" s="7" t="s">
        <v>24</v>
      </c>
      <c r="B4227" s="7" t="s">
        <v>100</v>
      </c>
      <c r="C4227" s="7" t="s">
        <v>1160</v>
      </c>
      <c r="D4227" s="7" t="n">
        <v>0</v>
      </c>
      <c r="E4227" s="7" t="n">
        <v>0</v>
      </c>
      <c r="F4227" s="7" t="n">
        <v>1</v>
      </c>
      <c r="G4227" s="7" t="n">
        <v>252.05</v>
      </c>
    </row>
    <row r="4228" customFormat="false" ht="15" hidden="false" customHeight="false" outlineLevel="0" collapsed="false">
      <c r="A4228" s="7" t="s">
        <v>24</v>
      </c>
      <c r="B4228" s="7" t="s">
        <v>100</v>
      </c>
      <c r="C4228" s="7" t="s">
        <v>1160</v>
      </c>
      <c r="D4228" s="7" t="n">
        <v>0</v>
      </c>
      <c r="E4228" s="7" t="n">
        <v>0</v>
      </c>
      <c r="F4228" s="7" t="n">
        <v>1</v>
      </c>
      <c r="G4228" s="7" t="n">
        <v>296.52</v>
      </c>
    </row>
    <row r="4229" customFormat="false" ht="15" hidden="false" customHeight="false" outlineLevel="0" collapsed="false">
      <c r="A4229" s="7" t="s">
        <v>24</v>
      </c>
      <c r="B4229" s="7" t="s">
        <v>100</v>
      </c>
      <c r="C4229" s="7" t="s">
        <v>1160</v>
      </c>
      <c r="D4229" s="7" t="n">
        <v>0</v>
      </c>
      <c r="E4229" s="7" t="n">
        <v>0</v>
      </c>
      <c r="F4229" s="7" t="n">
        <v>3</v>
      </c>
      <c r="G4229" s="7" t="n">
        <v>785.79</v>
      </c>
    </row>
    <row r="4230" customFormat="false" ht="15" hidden="false" customHeight="false" outlineLevel="0" collapsed="false">
      <c r="A4230" s="7" t="s">
        <v>24</v>
      </c>
      <c r="B4230" s="7" t="s">
        <v>100</v>
      </c>
      <c r="C4230" s="7" t="s">
        <v>1160</v>
      </c>
      <c r="D4230" s="7" t="n">
        <v>0</v>
      </c>
      <c r="E4230" s="7" t="n">
        <v>0</v>
      </c>
      <c r="F4230" s="7" t="n">
        <v>1</v>
      </c>
      <c r="G4230" s="7" t="n">
        <v>266.87</v>
      </c>
    </row>
    <row r="4231" customFormat="false" ht="15" hidden="false" customHeight="false" outlineLevel="0" collapsed="false">
      <c r="A4231" s="7" t="s">
        <v>24</v>
      </c>
      <c r="B4231" s="7" t="s">
        <v>100</v>
      </c>
      <c r="C4231" s="7" t="s">
        <v>1160</v>
      </c>
      <c r="D4231" s="7" t="n">
        <v>0</v>
      </c>
      <c r="E4231" s="7" t="n">
        <v>0</v>
      </c>
      <c r="F4231" s="7" t="n">
        <v>2</v>
      </c>
      <c r="G4231" s="7" t="n">
        <v>533.74</v>
      </c>
    </row>
    <row r="4232" customFormat="false" ht="15" hidden="false" customHeight="false" outlineLevel="0" collapsed="false">
      <c r="A4232" s="7" t="s">
        <v>24</v>
      </c>
      <c r="B4232" s="7" t="s">
        <v>100</v>
      </c>
      <c r="C4232" s="7" t="s">
        <v>1160</v>
      </c>
      <c r="D4232" s="7" t="n">
        <v>0</v>
      </c>
      <c r="E4232" s="7" t="n">
        <v>0</v>
      </c>
      <c r="F4232" s="7" t="n">
        <v>1</v>
      </c>
      <c r="G4232" s="7" t="n">
        <v>266.87</v>
      </c>
    </row>
    <row r="4233" customFormat="false" ht="15" hidden="false" customHeight="false" outlineLevel="0" collapsed="false">
      <c r="A4233" s="7" t="s">
        <v>24</v>
      </c>
      <c r="B4233" s="7" t="s">
        <v>100</v>
      </c>
      <c r="C4233" s="7" t="s">
        <v>1160</v>
      </c>
      <c r="D4233" s="7" t="n">
        <v>0</v>
      </c>
      <c r="E4233" s="7" t="n">
        <v>0</v>
      </c>
      <c r="F4233" s="7" t="n">
        <v>2</v>
      </c>
      <c r="G4233" s="7" t="n">
        <v>550.76</v>
      </c>
    </row>
    <row r="4234" customFormat="false" ht="15" hidden="false" customHeight="false" outlineLevel="0" collapsed="false">
      <c r="A4234" s="7" t="s">
        <v>24</v>
      </c>
      <c r="B4234" s="7" t="s">
        <v>100</v>
      </c>
      <c r="C4234" s="7" t="s">
        <v>1160</v>
      </c>
      <c r="D4234" s="7" t="n">
        <v>0</v>
      </c>
      <c r="E4234" s="7" t="n">
        <v>0</v>
      </c>
      <c r="F4234" s="7" t="n">
        <v>13</v>
      </c>
      <c r="G4234" s="7" t="n">
        <v>3617.65</v>
      </c>
    </row>
    <row r="4235" customFormat="false" ht="15" hidden="false" customHeight="false" outlineLevel="0" collapsed="false">
      <c r="A4235" s="7" t="s">
        <v>24</v>
      </c>
      <c r="B4235" s="7" t="s">
        <v>100</v>
      </c>
      <c r="C4235" s="7" t="s">
        <v>1160</v>
      </c>
      <c r="D4235" s="7" t="n">
        <v>8</v>
      </c>
      <c r="E4235" s="7" t="n">
        <v>1925.12</v>
      </c>
      <c r="F4235" s="7" t="n">
        <v>1</v>
      </c>
      <c r="G4235" s="7" t="n">
        <v>240.64</v>
      </c>
    </row>
    <row r="4236" customFormat="false" ht="15" hidden="false" customHeight="false" outlineLevel="0" collapsed="false">
      <c r="A4236" s="7" t="s">
        <v>24</v>
      </c>
      <c r="B4236" s="7" t="s">
        <v>100</v>
      </c>
      <c r="C4236" s="7" t="s">
        <v>1160</v>
      </c>
      <c r="D4236" s="7" t="n">
        <v>0</v>
      </c>
      <c r="E4236" s="7" t="n">
        <v>0</v>
      </c>
      <c r="F4236" s="7" t="n">
        <v>1</v>
      </c>
      <c r="G4236" s="7" t="n">
        <v>296.52</v>
      </c>
    </row>
    <row r="4237" customFormat="false" ht="15" hidden="false" customHeight="false" outlineLevel="0" collapsed="false">
      <c r="A4237" s="7" t="s">
        <v>24</v>
      </c>
      <c r="B4237" s="7" t="s">
        <v>100</v>
      </c>
      <c r="C4237" s="7" t="s">
        <v>1160</v>
      </c>
      <c r="D4237" s="7" t="n">
        <v>0</v>
      </c>
      <c r="E4237" s="7" t="n">
        <v>0</v>
      </c>
      <c r="F4237" s="7" t="n">
        <v>1</v>
      </c>
      <c r="G4237" s="7" t="n">
        <v>266.87</v>
      </c>
    </row>
    <row r="4238" customFormat="false" ht="15" hidden="false" customHeight="false" outlineLevel="0" collapsed="false">
      <c r="A4238" s="7" t="s">
        <v>24</v>
      </c>
      <c r="B4238" s="7" t="s">
        <v>100</v>
      </c>
      <c r="C4238" s="7" t="s">
        <v>1160</v>
      </c>
      <c r="D4238" s="7" t="n">
        <v>0</v>
      </c>
      <c r="E4238" s="7" t="n">
        <v>0</v>
      </c>
      <c r="F4238" s="7" t="n">
        <v>1</v>
      </c>
      <c r="G4238" s="7" t="n">
        <v>211.75</v>
      </c>
    </row>
    <row r="4239" customFormat="false" ht="15" hidden="false" customHeight="false" outlineLevel="0" collapsed="false">
      <c r="A4239" s="7" t="s">
        <v>24</v>
      </c>
      <c r="B4239" s="7" t="s">
        <v>100</v>
      </c>
      <c r="C4239" s="7" t="s">
        <v>1160</v>
      </c>
      <c r="D4239" s="7" t="n">
        <v>0</v>
      </c>
      <c r="E4239" s="7" t="n">
        <v>0</v>
      </c>
      <c r="F4239" s="7" t="n">
        <v>1</v>
      </c>
      <c r="G4239" s="7" t="n">
        <v>296.53</v>
      </c>
    </row>
    <row r="4240" customFormat="false" ht="15" hidden="false" customHeight="false" outlineLevel="0" collapsed="false">
      <c r="A4240" s="7" t="s">
        <v>24</v>
      </c>
      <c r="B4240" s="7" t="s">
        <v>100</v>
      </c>
      <c r="C4240" s="7" t="s">
        <v>1160</v>
      </c>
      <c r="D4240" s="7" t="n">
        <v>0</v>
      </c>
      <c r="E4240" s="7" t="n">
        <v>0</v>
      </c>
      <c r="F4240" s="7" t="n">
        <v>2</v>
      </c>
      <c r="G4240" s="7" t="n">
        <v>533.74</v>
      </c>
    </row>
    <row r="4241" customFormat="false" ht="15" hidden="false" customHeight="false" outlineLevel="0" collapsed="false">
      <c r="A4241" s="7" t="s">
        <v>24</v>
      </c>
      <c r="B4241" s="7" t="s">
        <v>100</v>
      </c>
      <c r="C4241" s="7" t="s">
        <v>1160</v>
      </c>
      <c r="D4241" s="7" t="n">
        <v>0</v>
      </c>
      <c r="E4241" s="7" t="n">
        <v>0</v>
      </c>
      <c r="F4241" s="7" t="n">
        <v>1</v>
      </c>
      <c r="G4241" s="7" t="n">
        <v>296.52</v>
      </c>
    </row>
    <row r="4242" customFormat="false" ht="15" hidden="false" customHeight="false" outlineLevel="0" collapsed="false">
      <c r="A4242" s="7" t="s">
        <v>24</v>
      </c>
      <c r="B4242" s="7" t="s">
        <v>100</v>
      </c>
      <c r="C4242" s="7" t="s">
        <v>1160</v>
      </c>
      <c r="D4242" s="7" t="n">
        <v>0</v>
      </c>
      <c r="E4242" s="7" t="n">
        <v>0</v>
      </c>
      <c r="F4242" s="7" t="n">
        <v>1</v>
      </c>
      <c r="G4242" s="7" t="n">
        <v>266.87</v>
      </c>
    </row>
    <row r="4243" customFormat="false" ht="15" hidden="false" customHeight="false" outlineLevel="0" collapsed="false">
      <c r="A4243" s="7" t="s">
        <v>24</v>
      </c>
      <c r="B4243" s="7" t="s">
        <v>100</v>
      </c>
      <c r="C4243" s="7" t="s">
        <v>1160</v>
      </c>
      <c r="D4243" s="7" t="n">
        <v>0</v>
      </c>
      <c r="E4243" s="7" t="n">
        <v>0</v>
      </c>
      <c r="F4243" s="7" t="n">
        <v>1</v>
      </c>
      <c r="G4243" s="7" t="n">
        <v>296.53</v>
      </c>
    </row>
    <row r="4244" customFormat="false" ht="15" hidden="false" customHeight="false" outlineLevel="0" collapsed="false">
      <c r="A4244" s="7" t="s">
        <v>24</v>
      </c>
      <c r="B4244" s="7" t="s">
        <v>100</v>
      </c>
      <c r="C4244" s="7" t="s">
        <v>1160</v>
      </c>
      <c r="D4244" s="7" t="n">
        <v>0</v>
      </c>
      <c r="E4244" s="7" t="n">
        <v>0</v>
      </c>
      <c r="F4244" s="7" t="n">
        <v>1</v>
      </c>
      <c r="G4244" s="7" t="n">
        <v>254.15</v>
      </c>
    </row>
    <row r="4245" customFormat="false" ht="15" hidden="false" customHeight="false" outlineLevel="0" collapsed="false">
      <c r="A4245" s="7" t="s">
        <v>24</v>
      </c>
      <c r="B4245" s="7" t="s">
        <v>100</v>
      </c>
      <c r="C4245" s="7" t="s">
        <v>1160</v>
      </c>
      <c r="D4245" s="7" t="n">
        <v>0</v>
      </c>
      <c r="E4245" s="7" t="n">
        <v>0</v>
      </c>
      <c r="F4245" s="7" t="n">
        <v>1</v>
      </c>
      <c r="G4245" s="7" t="n">
        <v>266.87</v>
      </c>
    </row>
    <row r="4246" customFormat="false" ht="15" hidden="false" customHeight="false" outlineLevel="0" collapsed="false">
      <c r="A4246" s="7" t="s">
        <v>24</v>
      </c>
      <c r="B4246" s="7" t="s">
        <v>100</v>
      </c>
      <c r="C4246" s="7" t="s">
        <v>1160</v>
      </c>
      <c r="D4246" s="7" t="n">
        <v>0</v>
      </c>
      <c r="E4246" s="7" t="n">
        <v>0</v>
      </c>
      <c r="F4246" s="7" t="n">
        <v>1</v>
      </c>
      <c r="G4246" s="7" t="n">
        <v>266.87</v>
      </c>
    </row>
    <row r="4247" customFormat="false" ht="15" hidden="false" customHeight="false" outlineLevel="0" collapsed="false">
      <c r="A4247" s="7" t="s">
        <v>24</v>
      </c>
      <c r="B4247" s="7" t="s">
        <v>100</v>
      </c>
      <c r="C4247" s="7" t="s">
        <v>1160</v>
      </c>
      <c r="D4247" s="7" t="n">
        <v>0</v>
      </c>
      <c r="E4247" s="7" t="n">
        <v>0</v>
      </c>
      <c r="F4247" s="7" t="n">
        <v>1</v>
      </c>
      <c r="G4247" s="7" t="n">
        <v>296.53</v>
      </c>
    </row>
    <row r="4248" customFormat="false" ht="15" hidden="false" customHeight="false" outlineLevel="0" collapsed="false">
      <c r="A4248" s="7" t="s">
        <v>24</v>
      </c>
      <c r="B4248" s="7" t="s">
        <v>100</v>
      </c>
      <c r="C4248" s="7" t="s">
        <v>1160</v>
      </c>
      <c r="D4248" s="7" t="n">
        <v>0</v>
      </c>
      <c r="E4248" s="7" t="n">
        <v>0</v>
      </c>
      <c r="F4248" s="7" t="n">
        <v>3</v>
      </c>
      <c r="G4248" s="7" t="n">
        <v>889.59</v>
      </c>
    </row>
    <row r="4249" customFormat="false" ht="15" hidden="false" customHeight="false" outlineLevel="0" collapsed="false">
      <c r="A4249" s="7" t="s">
        <v>24</v>
      </c>
      <c r="B4249" s="7" t="s">
        <v>100</v>
      </c>
      <c r="C4249" s="7" t="s">
        <v>1160</v>
      </c>
      <c r="D4249" s="7" t="n">
        <v>0</v>
      </c>
      <c r="E4249" s="7" t="n">
        <v>0</v>
      </c>
      <c r="F4249" s="7" t="n">
        <v>2</v>
      </c>
      <c r="G4249" s="7" t="n">
        <v>593.05</v>
      </c>
    </row>
    <row r="4250" customFormat="false" ht="15" hidden="false" customHeight="false" outlineLevel="0" collapsed="false">
      <c r="A4250" s="7" t="s">
        <v>24</v>
      </c>
      <c r="B4250" s="7" t="s">
        <v>100</v>
      </c>
      <c r="C4250" s="7" t="s">
        <v>1160</v>
      </c>
      <c r="D4250" s="7" t="n">
        <v>0</v>
      </c>
      <c r="E4250" s="7" t="n">
        <v>0</v>
      </c>
      <c r="F4250" s="7" t="n">
        <v>12</v>
      </c>
      <c r="G4250" s="7" t="n">
        <v>3321.12</v>
      </c>
    </row>
    <row r="4251" customFormat="false" ht="15" hidden="false" customHeight="false" outlineLevel="0" collapsed="false">
      <c r="A4251" s="7" t="s">
        <v>24</v>
      </c>
      <c r="B4251" s="7" t="s">
        <v>100</v>
      </c>
      <c r="C4251" s="7" t="s">
        <v>1160</v>
      </c>
      <c r="D4251" s="7" t="n">
        <v>0</v>
      </c>
      <c r="E4251" s="7" t="n">
        <v>0</v>
      </c>
      <c r="F4251" s="7" t="n">
        <v>1</v>
      </c>
      <c r="G4251" s="7" t="n">
        <v>296.52</v>
      </c>
    </row>
    <row r="4252" customFormat="false" ht="15" hidden="false" customHeight="false" outlineLevel="0" collapsed="false">
      <c r="A4252" s="7" t="s">
        <v>24</v>
      </c>
      <c r="B4252" s="7" t="s">
        <v>100</v>
      </c>
      <c r="C4252" s="7" t="s">
        <v>1160</v>
      </c>
      <c r="D4252" s="7" t="n">
        <v>0</v>
      </c>
      <c r="E4252" s="7" t="n">
        <v>0</v>
      </c>
      <c r="F4252" s="7" t="n">
        <v>27</v>
      </c>
      <c r="G4252" s="7" t="n">
        <v>5887.1</v>
      </c>
    </row>
    <row r="4253" customFormat="false" ht="15" hidden="false" customHeight="false" outlineLevel="0" collapsed="false">
      <c r="A4253" s="7" t="s">
        <v>24</v>
      </c>
      <c r="B4253" s="7" t="s">
        <v>100</v>
      </c>
      <c r="C4253" s="7" t="s">
        <v>1160</v>
      </c>
      <c r="D4253" s="7" t="n">
        <v>0</v>
      </c>
      <c r="E4253" s="7" t="n">
        <v>0</v>
      </c>
      <c r="F4253" s="7" t="n">
        <v>2</v>
      </c>
      <c r="G4253" s="7" t="n">
        <v>550.76</v>
      </c>
    </row>
    <row r="4254" customFormat="false" ht="15" hidden="false" customHeight="false" outlineLevel="0" collapsed="false">
      <c r="A4254" s="7" t="s">
        <v>24</v>
      </c>
      <c r="B4254" s="7" t="s">
        <v>100</v>
      </c>
      <c r="C4254" s="7" t="s">
        <v>1160</v>
      </c>
      <c r="D4254" s="7" t="n">
        <v>0</v>
      </c>
      <c r="E4254" s="7" t="n">
        <v>0</v>
      </c>
      <c r="F4254" s="7" t="n">
        <v>1</v>
      </c>
      <c r="G4254" s="7" t="n">
        <v>266.87</v>
      </c>
    </row>
    <row r="4255" customFormat="false" ht="15" hidden="false" customHeight="false" outlineLevel="0" collapsed="false">
      <c r="A4255" s="7" t="s">
        <v>24</v>
      </c>
      <c r="B4255" s="7" t="s">
        <v>100</v>
      </c>
      <c r="C4255" s="7" t="s">
        <v>1160</v>
      </c>
      <c r="D4255" s="7" t="n">
        <v>0</v>
      </c>
      <c r="E4255" s="7" t="n">
        <v>0</v>
      </c>
      <c r="F4255" s="7" t="n">
        <v>1</v>
      </c>
      <c r="G4255" s="7" t="n">
        <v>266.87</v>
      </c>
    </row>
    <row r="4256" customFormat="false" ht="15" hidden="false" customHeight="false" outlineLevel="0" collapsed="false">
      <c r="A4256" s="7" t="s">
        <v>24</v>
      </c>
      <c r="B4256" s="7" t="s">
        <v>100</v>
      </c>
      <c r="C4256" s="7" t="s">
        <v>1160</v>
      </c>
      <c r="D4256" s="7" t="n">
        <v>0</v>
      </c>
      <c r="E4256" s="7" t="n">
        <v>0</v>
      </c>
      <c r="F4256" s="7" t="n">
        <v>1</v>
      </c>
      <c r="G4256" s="7" t="n">
        <v>266.87</v>
      </c>
    </row>
    <row r="4257" customFormat="false" ht="15" hidden="false" customHeight="false" outlineLevel="0" collapsed="false">
      <c r="A4257" s="7" t="s">
        <v>24</v>
      </c>
      <c r="B4257" s="7" t="s">
        <v>100</v>
      </c>
      <c r="C4257" s="7" t="s">
        <v>1160</v>
      </c>
      <c r="D4257" s="7" t="n">
        <v>0</v>
      </c>
      <c r="E4257" s="7" t="n">
        <v>0</v>
      </c>
      <c r="F4257" s="7" t="n">
        <v>1</v>
      </c>
      <c r="G4257" s="7" t="n">
        <v>296.52</v>
      </c>
    </row>
    <row r="4258" customFormat="false" ht="15" hidden="false" customHeight="false" outlineLevel="0" collapsed="false">
      <c r="A4258" s="7" t="s">
        <v>24</v>
      </c>
      <c r="B4258" s="7" t="s">
        <v>100</v>
      </c>
      <c r="C4258" s="7" t="s">
        <v>1160</v>
      </c>
      <c r="D4258" s="7" t="n">
        <v>0</v>
      </c>
      <c r="E4258" s="7" t="n">
        <v>0</v>
      </c>
      <c r="F4258" s="7" t="n">
        <v>2</v>
      </c>
      <c r="G4258" s="7" t="n">
        <v>533.75</v>
      </c>
    </row>
    <row r="4259" customFormat="false" ht="15" hidden="false" customHeight="false" outlineLevel="0" collapsed="false">
      <c r="A4259" s="7" t="s">
        <v>24</v>
      </c>
      <c r="B4259" s="7" t="s">
        <v>100</v>
      </c>
      <c r="C4259" s="7" t="s">
        <v>1160</v>
      </c>
      <c r="D4259" s="7" t="n">
        <v>0</v>
      </c>
      <c r="E4259" s="7" t="n">
        <v>0</v>
      </c>
      <c r="F4259" s="7" t="n">
        <v>1</v>
      </c>
      <c r="G4259" s="7" t="n">
        <v>266.87</v>
      </c>
    </row>
    <row r="4260" customFormat="false" ht="15" hidden="false" customHeight="false" outlineLevel="0" collapsed="false">
      <c r="A4260" s="7" t="s">
        <v>24</v>
      </c>
      <c r="B4260" s="7" t="s">
        <v>100</v>
      </c>
      <c r="C4260" s="7" t="s">
        <v>1160</v>
      </c>
      <c r="D4260" s="7" t="n">
        <v>0</v>
      </c>
      <c r="E4260" s="7" t="n">
        <v>0</v>
      </c>
      <c r="F4260" s="7" t="n">
        <v>11</v>
      </c>
      <c r="G4260" s="7" t="n">
        <v>3054.25</v>
      </c>
    </row>
    <row r="4261" customFormat="false" ht="15" hidden="false" customHeight="false" outlineLevel="0" collapsed="false">
      <c r="A4261" s="7" t="s">
        <v>24</v>
      </c>
      <c r="B4261" s="7" t="s">
        <v>100</v>
      </c>
      <c r="C4261" s="7" t="s">
        <v>1160</v>
      </c>
      <c r="D4261" s="7" t="n">
        <v>0</v>
      </c>
      <c r="E4261" s="7" t="n">
        <v>0</v>
      </c>
      <c r="F4261" s="7" t="n">
        <v>2</v>
      </c>
      <c r="G4261" s="7" t="n">
        <v>504.1</v>
      </c>
    </row>
    <row r="4262" customFormat="false" ht="15" hidden="false" customHeight="false" outlineLevel="0" collapsed="false">
      <c r="A4262" s="7" t="s">
        <v>24</v>
      </c>
      <c r="B4262" s="7" t="s">
        <v>100</v>
      </c>
      <c r="C4262" s="7" t="s">
        <v>1160</v>
      </c>
      <c r="D4262" s="7" t="n">
        <v>0</v>
      </c>
      <c r="E4262" s="7" t="n">
        <v>0</v>
      </c>
      <c r="F4262" s="7" t="n">
        <v>2</v>
      </c>
      <c r="G4262" s="7" t="n">
        <v>550.68</v>
      </c>
    </row>
    <row r="4263" customFormat="false" ht="15" hidden="false" customHeight="false" outlineLevel="0" collapsed="false">
      <c r="A4263" s="7" t="s">
        <v>24</v>
      </c>
      <c r="B4263" s="7" t="s">
        <v>100</v>
      </c>
      <c r="C4263" s="7" t="s">
        <v>1160</v>
      </c>
      <c r="D4263" s="7" t="n">
        <v>0</v>
      </c>
      <c r="E4263" s="7" t="n">
        <v>0</v>
      </c>
      <c r="F4263" s="7" t="n">
        <v>1</v>
      </c>
      <c r="G4263" s="7" t="n">
        <v>296.53</v>
      </c>
    </row>
    <row r="4264" customFormat="false" ht="15" hidden="false" customHeight="false" outlineLevel="0" collapsed="false">
      <c r="A4264" s="7" t="s">
        <v>24</v>
      </c>
      <c r="B4264" s="7" t="s">
        <v>100</v>
      </c>
      <c r="C4264" s="7" t="s">
        <v>1160</v>
      </c>
      <c r="D4264" s="7" t="n">
        <v>0</v>
      </c>
      <c r="E4264" s="7" t="n">
        <v>0</v>
      </c>
      <c r="F4264" s="7" t="n">
        <v>12</v>
      </c>
      <c r="G4264" s="7" t="n">
        <v>3179.12</v>
      </c>
    </row>
    <row r="4265" customFormat="false" ht="15" hidden="false" customHeight="false" outlineLevel="0" collapsed="false">
      <c r="A4265" s="7" t="s">
        <v>24</v>
      </c>
      <c r="B4265" s="7" t="s">
        <v>100</v>
      </c>
      <c r="C4265" s="7" t="s">
        <v>1160</v>
      </c>
      <c r="D4265" s="7" t="n">
        <v>0</v>
      </c>
      <c r="E4265" s="7" t="n">
        <v>0</v>
      </c>
      <c r="F4265" s="7" t="n">
        <v>7</v>
      </c>
      <c r="G4265" s="7" t="n">
        <v>1838.45</v>
      </c>
    </row>
    <row r="4266" customFormat="false" ht="15" hidden="false" customHeight="false" outlineLevel="0" collapsed="false">
      <c r="A4266" s="7" t="s">
        <v>24</v>
      </c>
      <c r="B4266" s="7" t="s">
        <v>100</v>
      </c>
      <c r="C4266" s="7" t="s">
        <v>1160</v>
      </c>
      <c r="D4266" s="7" t="n">
        <v>0</v>
      </c>
      <c r="E4266" s="7" t="n">
        <v>0</v>
      </c>
      <c r="F4266" s="7" t="n">
        <v>1</v>
      </c>
      <c r="G4266" s="7" t="n">
        <v>266.87</v>
      </c>
    </row>
    <row r="4267" customFormat="false" ht="15" hidden="false" customHeight="false" outlineLevel="0" collapsed="false">
      <c r="A4267" s="7" t="s">
        <v>24</v>
      </c>
      <c r="B4267" s="7" t="s">
        <v>100</v>
      </c>
      <c r="C4267" s="7" t="s">
        <v>1160</v>
      </c>
      <c r="D4267" s="7" t="n">
        <v>0</v>
      </c>
      <c r="E4267" s="7" t="n">
        <v>0</v>
      </c>
      <c r="F4267" s="7" t="n">
        <v>2</v>
      </c>
      <c r="G4267" s="7" t="n">
        <v>550.76</v>
      </c>
    </row>
    <row r="4268" customFormat="false" ht="15" hidden="false" customHeight="false" outlineLevel="0" collapsed="false">
      <c r="A4268" s="7" t="s">
        <v>24</v>
      </c>
      <c r="B4268" s="7" t="s">
        <v>100</v>
      </c>
      <c r="C4268" s="7" t="s">
        <v>1160</v>
      </c>
      <c r="D4268" s="7" t="n">
        <v>0</v>
      </c>
      <c r="E4268" s="7" t="n">
        <v>0</v>
      </c>
      <c r="F4268" s="7" t="n">
        <v>10</v>
      </c>
      <c r="G4268" s="7" t="n">
        <v>2753.64</v>
      </c>
    </row>
    <row r="4269" customFormat="false" ht="15" hidden="false" customHeight="false" outlineLevel="0" collapsed="false">
      <c r="A4269" s="7" t="s">
        <v>24</v>
      </c>
      <c r="B4269" s="7" t="s">
        <v>100</v>
      </c>
      <c r="C4269" s="7" t="s">
        <v>1160</v>
      </c>
      <c r="D4269" s="7" t="n">
        <v>0</v>
      </c>
      <c r="E4269" s="7" t="n">
        <v>0</v>
      </c>
      <c r="F4269" s="7" t="n">
        <v>2</v>
      </c>
      <c r="G4269" s="7" t="n">
        <v>550.76</v>
      </c>
    </row>
    <row r="4270" customFormat="false" ht="15" hidden="false" customHeight="false" outlineLevel="0" collapsed="false">
      <c r="A4270" s="7" t="s">
        <v>24</v>
      </c>
      <c r="B4270" s="7" t="s">
        <v>100</v>
      </c>
      <c r="C4270" s="7" t="s">
        <v>1160</v>
      </c>
      <c r="D4270" s="7" t="n">
        <v>0</v>
      </c>
      <c r="E4270" s="7" t="n">
        <v>0</v>
      </c>
      <c r="F4270" s="7" t="n">
        <v>2</v>
      </c>
      <c r="G4270" s="7" t="n">
        <v>550.76</v>
      </c>
    </row>
    <row r="4271" customFormat="false" ht="15" hidden="false" customHeight="false" outlineLevel="0" collapsed="false">
      <c r="A4271" s="7" t="s">
        <v>24</v>
      </c>
      <c r="B4271" s="7" t="s">
        <v>100</v>
      </c>
      <c r="C4271" s="7" t="s">
        <v>1160</v>
      </c>
      <c r="D4271" s="7" t="n">
        <v>0</v>
      </c>
      <c r="E4271" s="7" t="n">
        <v>0</v>
      </c>
      <c r="F4271" s="7" t="n">
        <v>6</v>
      </c>
      <c r="G4271" s="7" t="n">
        <v>1647.83</v>
      </c>
    </row>
    <row r="4272" customFormat="false" ht="15" hidden="false" customHeight="false" outlineLevel="0" collapsed="false">
      <c r="A4272" s="7" t="s">
        <v>24</v>
      </c>
      <c r="B4272" s="7" t="s">
        <v>100</v>
      </c>
      <c r="C4272" s="7" t="s">
        <v>1160</v>
      </c>
      <c r="D4272" s="7" t="n">
        <v>0</v>
      </c>
      <c r="E4272" s="7" t="n">
        <v>0</v>
      </c>
      <c r="F4272" s="7" t="n">
        <v>6</v>
      </c>
      <c r="G4272" s="7" t="n">
        <v>1660.56</v>
      </c>
    </row>
    <row r="4273" customFormat="false" ht="15" hidden="false" customHeight="false" outlineLevel="0" collapsed="false">
      <c r="A4273" s="7" t="s">
        <v>24</v>
      </c>
      <c r="B4273" s="7" t="s">
        <v>100</v>
      </c>
      <c r="C4273" s="7" t="s">
        <v>1160</v>
      </c>
      <c r="D4273" s="7" t="n">
        <v>0</v>
      </c>
      <c r="E4273" s="7" t="n">
        <v>0</v>
      </c>
      <c r="F4273" s="7" t="n">
        <v>1</v>
      </c>
      <c r="G4273" s="7" t="n">
        <v>266.87</v>
      </c>
    </row>
    <row r="4274" customFormat="false" ht="15" hidden="false" customHeight="false" outlineLevel="0" collapsed="false">
      <c r="A4274" s="7" t="s">
        <v>24</v>
      </c>
      <c r="B4274" s="7" t="s">
        <v>100</v>
      </c>
      <c r="C4274" s="7" t="s">
        <v>1160</v>
      </c>
      <c r="D4274" s="7" t="n">
        <v>0</v>
      </c>
      <c r="E4274" s="7" t="n">
        <v>0</v>
      </c>
      <c r="F4274" s="7" t="n">
        <v>10</v>
      </c>
      <c r="G4274" s="7" t="n">
        <v>2713.19</v>
      </c>
    </row>
    <row r="4275" customFormat="false" ht="15" hidden="false" customHeight="false" outlineLevel="0" collapsed="false">
      <c r="A4275" s="7" t="s">
        <v>24</v>
      </c>
      <c r="B4275" s="7" t="s">
        <v>100</v>
      </c>
      <c r="C4275" s="7" t="s">
        <v>1160</v>
      </c>
      <c r="D4275" s="7" t="n">
        <v>0</v>
      </c>
      <c r="E4275" s="7" t="n">
        <v>0</v>
      </c>
      <c r="F4275" s="7" t="n">
        <v>29</v>
      </c>
      <c r="G4275" s="7" t="n">
        <v>7747.67</v>
      </c>
    </row>
    <row r="4276" customFormat="false" ht="15" hidden="false" customHeight="false" outlineLevel="0" collapsed="false">
      <c r="A4276" s="7" t="s">
        <v>24</v>
      </c>
      <c r="B4276" s="7" t="s">
        <v>100</v>
      </c>
      <c r="C4276" s="7" t="s">
        <v>1160</v>
      </c>
      <c r="D4276" s="7" t="n">
        <v>0</v>
      </c>
      <c r="E4276" s="7" t="n">
        <v>0</v>
      </c>
      <c r="F4276" s="7" t="n">
        <v>4</v>
      </c>
      <c r="G4276" s="7" t="n">
        <v>1186.12</v>
      </c>
    </row>
    <row r="4277" customFormat="false" ht="15" hidden="false" customHeight="false" outlineLevel="0" collapsed="false">
      <c r="A4277" s="7" t="s">
        <v>24</v>
      </c>
      <c r="B4277" s="7" t="s">
        <v>100</v>
      </c>
      <c r="C4277" s="7" t="s">
        <v>1160</v>
      </c>
      <c r="D4277" s="7" t="n">
        <v>0</v>
      </c>
      <c r="E4277" s="7" t="n">
        <v>0</v>
      </c>
      <c r="F4277" s="7" t="n">
        <v>12</v>
      </c>
      <c r="G4277" s="7" t="n">
        <v>3346.85</v>
      </c>
    </row>
    <row r="4278" customFormat="false" ht="15" hidden="false" customHeight="false" outlineLevel="0" collapsed="false">
      <c r="A4278" s="7" t="s">
        <v>24</v>
      </c>
      <c r="B4278" s="7" t="s">
        <v>100</v>
      </c>
      <c r="C4278" s="7" t="s">
        <v>1160</v>
      </c>
      <c r="D4278" s="7" t="n">
        <v>0</v>
      </c>
      <c r="E4278" s="7" t="n">
        <v>0</v>
      </c>
      <c r="F4278" s="7" t="n">
        <v>1</v>
      </c>
      <c r="G4278" s="7" t="n">
        <v>296.52</v>
      </c>
    </row>
    <row r="4279" customFormat="false" ht="15" hidden="false" customHeight="false" outlineLevel="0" collapsed="false">
      <c r="A4279" s="7" t="s">
        <v>24</v>
      </c>
      <c r="B4279" s="7" t="s">
        <v>100</v>
      </c>
      <c r="C4279" s="7" t="s">
        <v>1160</v>
      </c>
      <c r="D4279" s="7" t="n">
        <v>0</v>
      </c>
      <c r="E4279" s="7" t="n">
        <v>0</v>
      </c>
      <c r="F4279" s="7" t="n">
        <v>1</v>
      </c>
      <c r="G4279" s="7" t="n">
        <v>252.05</v>
      </c>
    </row>
    <row r="4280" customFormat="false" ht="15" hidden="false" customHeight="false" outlineLevel="0" collapsed="false">
      <c r="A4280" s="7" t="s">
        <v>24</v>
      </c>
      <c r="B4280" s="7" t="s">
        <v>100</v>
      </c>
      <c r="C4280" s="7" t="s">
        <v>1160</v>
      </c>
      <c r="D4280" s="7" t="n">
        <v>0</v>
      </c>
      <c r="E4280" s="7" t="n">
        <v>0</v>
      </c>
      <c r="F4280" s="7" t="n">
        <v>1</v>
      </c>
      <c r="G4280" s="7" t="n">
        <v>252.05</v>
      </c>
    </row>
    <row r="4281" customFormat="false" ht="15" hidden="false" customHeight="false" outlineLevel="0" collapsed="false">
      <c r="A4281" s="7" t="s">
        <v>24</v>
      </c>
      <c r="B4281" s="7" t="s">
        <v>100</v>
      </c>
      <c r="C4281" s="7" t="s">
        <v>1160</v>
      </c>
      <c r="D4281" s="7" t="n">
        <v>0</v>
      </c>
      <c r="E4281" s="7" t="n">
        <v>0</v>
      </c>
      <c r="F4281" s="7" t="n">
        <v>2</v>
      </c>
      <c r="G4281" s="7" t="n">
        <v>506.19</v>
      </c>
    </row>
    <row r="4282" customFormat="false" ht="15" hidden="false" customHeight="false" outlineLevel="0" collapsed="false">
      <c r="A4282" s="7" t="s">
        <v>24</v>
      </c>
      <c r="B4282" s="7" t="s">
        <v>100</v>
      </c>
      <c r="C4282" s="7" t="s">
        <v>1160</v>
      </c>
      <c r="D4282" s="7" t="n">
        <v>0</v>
      </c>
      <c r="E4282" s="7" t="n">
        <v>0</v>
      </c>
      <c r="F4282" s="7" t="n">
        <v>3</v>
      </c>
      <c r="G4282" s="7" t="n">
        <v>800.61</v>
      </c>
    </row>
    <row r="4283" customFormat="false" ht="15" hidden="false" customHeight="false" outlineLevel="0" collapsed="false">
      <c r="A4283" s="7" t="s">
        <v>24</v>
      </c>
      <c r="B4283" s="7" t="s">
        <v>100</v>
      </c>
      <c r="C4283" s="7" t="s">
        <v>1160</v>
      </c>
      <c r="D4283" s="7" t="n">
        <v>0</v>
      </c>
      <c r="E4283" s="7" t="n">
        <v>0</v>
      </c>
      <c r="F4283" s="7" t="n">
        <v>1</v>
      </c>
      <c r="G4283" s="7" t="n">
        <v>296.52</v>
      </c>
    </row>
    <row r="4284" customFormat="false" ht="15" hidden="false" customHeight="false" outlineLevel="0" collapsed="false">
      <c r="A4284" s="7" t="s">
        <v>24</v>
      </c>
      <c r="B4284" s="7" t="s">
        <v>100</v>
      </c>
      <c r="C4284" s="7" t="s">
        <v>1160</v>
      </c>
      <c r="D4284" s="7" t="n">
        <v>0</v>
      </c>
      <c r="E4284" s="7" t="n">
        <v>0</v>
      </c>
      <c r="F4284" s="7" t="n">
        <v>2</v>
      </c>
      <c r="G4284" s="7" t="n">
        <v>533.75</v>
      </c>
    </row>
    <row r="4285" customFormat="false" ht="15" hidden="false" customHeight="false" outlineLevel="0" collapsed="false">
      <c r="A4285" s="7" t="s">
        <v>24</v>
      </c>
      <c r="B4285" s="7" t="s">
        <v>100</v>
      </c>
      <c r="C4285" s="7" t="s">
        <v>1160</v>
      </c>
      <c r="D4285" s="7" t="n">
        <v>0</v>
      </c>
      <c r="E4285" s="7" t="n">
        <v>0</v>
      </c>
      <c r="F4285" s="7" t="n">
        <v>2</v>
      </c>
      <c r="G4285" s="7" t="n">
        <v>550.68</v>
      </c>
    </row>
    <row r="4286" customFormat="false" ht="15" hidden="false" customHeight="false" outlineLevel="0" collapsed="false">
      <c r="A4286" s="7" t="s">
        <v>24</v>
      </c>
      <c r="B4286" s="7" t="s">
        <v>100</v>
      </c>
      <c r="C4286" s="7" t="s">
        <v>1160</v>
      </c>
      <c r="D4286" s="7" t="n">
        <v>0</v>
      </c>
      <c r="E4286" s="7" t="n">
        <v>0</v>
      </c>
      <c r="F4286" s="7" t="n">
        <v>6</v>
      </c>
      <c r="G4286" s="7" t="n">
        <v>1647.9</v>
      </c>
    </row>
    <row r="4287" customFormat="false" ht="15" hidden="false" customHeight="false" outlineLevel="0" collapsed="false">
      <c r="A4287" s="7" t="s">
        <v>24</v>
      </c>
      <c r="B4287" s="7" t="s">
        <v>100</v>
      </c>
      <c r="C4287" s="7" t="s">
        <v>1160</v>
      </c>
      <c r="D4287" s="7" t="n">
        <v>0</v>
      </c>
      <c r="E4287" s="7" t="n">
        <v>0</v>
      </c>
      <c r="F4287" s="7" t="n">
        <v>2</v>
      </c>
      <c r="G4287" s="7" t="n">
        <v>593.06</v>
      </c>
    </row>
    <row r="4288" customFormat="false" ht="15" hidden="false" customHeight="false" outlineLevel="0" collapsed="false">
      <c r="A4288" s="7" t="s">
        <v>24</v>
      </c>
      <c r="B4288" s="7" t="s">
        <v>100</v>
      </c>
      <c r="C4288" s="7" t="s">
        <v>1160</v>
      </c>
      <c r="D4288" s="7" t="n">
        <v>0</v>
      </c>
      <c r="E4288" s="7" t="n">
        <v>0</v>
      </c>
      <c r="F4288" s="7" t="n">
        <v>1</v>
      </c>
      <c r="G4288" s="7" t="n">
        <v>296.52</v>
      </c>
    </row>
    <row r="4289" customFormat="false" ht="15" hidden="false" customHeight="false" outlineLevel="0" collapsed="false">
      <c r="A4289" s="7" t="s">
        <v>24</v>
      </c>
      <c r="B4289" s="7" t="s">
        <v>100</v>
      </c>
      <c r="C4289" s="7" t="s">
        <v>1160</v>
      </c>
      <c r="D4289" s="7" t="n">
        <v>2</v>
      </c>
      <c r="E4289" s="7" t="n">
        <v>422.8</v>
      </c>
      <c r="F4289" s="7" t="n">
        <v>2</v>
      </c>
      <c r="G4289" s="7" t="n">
        <v>453</v>
      </c>
    </row>
    <row r="4290" customFormat="false" ht="15" hidden="false" customHeight="false" outlineLevel="0" collapsed="false">
      <c r="A4290" s="7" t="s">
        <v>24</v>
      </c>
      <c r="B4290" s="7" t="s">
        <v>100</v>
      </c>
      <c r="C4290" s="7" t="s">
        <v>1160</v>
      </c>
      <c r="D4290" s="7" t="n">
        <v>0</v>
      </c>
      <c r="E4290" s="7" t="n">
        <v>0</v>
      </c>
      <c r="F4290" s="7" t="n">
        <v>1</v>
      </c>
      <c r="G4290" s="7" t="n">
        <v>266.87</v>
      </c>
    </row>
    <row r="4291" customFormat="false" ht="15" hidden="false" customHeight="false" outlineLevel="0" collapsed="false">
      <c r="A4291" s="7" t="s">
        <v>24</v>
      </c>
      <c r="B4291" s="7" t="s">
        <v>100</v>
      </c>
      <c r="C4291" s="7" t="s">
        <v>1160</v>
      </c>
      <c r="D4291" s="7" t="n">
        <v>0</v>
      </c>
      <c r="E4291" s="7" t="n">
        <v>0</v>
      </c>
      <c r="F4291" s="7" t="n">
        <v>2</v>
      </c>
      <c r="G4291" s="7" t="n">
        <v>550.76</v>
      </c>
    </row>
    <row r="4292" customFormat="false" ht="15" hidden="false" customHeight="false" outlineLevel="0" collapsed="false">
      <c r="A4292" s="7" t="s">
        <v>24</v>
      </c>
      <c r="B4292" s="7" t="s">
        <v>100</v>
      </c>
      <c r="C4292" s="7" t="s">
        <v>1160</v>
      </c>
      <c r="D4292" s="7" t="n">
        <v>0</v>
      </c>
      <c r="E4292" s="7" t="n">
        <v>0</v>
      </c>
      <c r="F4292" s="7" t="n">
        <v>3</v>
      </c>
      <c r="G4292" s="7" t="n">
        <v>800.61</v>
      </c>
    </row>
    <row r="4293" customFormat="false" ht="15" hidden="false" customHeight="false" outlineLevel="0" collapsed="false">
      <c r="A4293" s="7" t="s">
        <v>24</v>
      </c>
      <c r="B4293" s="7" t="s">
        <v>100</v>
      </c>
      <c r="C4293" s="7" t="s">
        <v>1160</v>
      </c>
      <c r="D4293" s="7" t="n">
        <v>0</v>
      </c>
      <c r="E4293" s="7" t="n">
        <v>0</v>
      </c>
      <c r="F4293" s="7" t="n">
        <v>1</v>
      </c>
      <c r="G4293" s="7" t="n">
        <v>0</v>
      </c>
    </row>
    <row r="4294" customFormat="false" ht="15" hidden="false" customHeight="false" outlineLevel="0" collapsed="false">
      <c r="A4294" s="7" t="s">
        <v>24</v>
      </c>
      <c r="B4294" s="7" t="s">
        <v>100</v>
      </c>
      <c r="C4294" s="7" t="s">
        <v>1160</v>
      </c>
      <c r="D4294" s="7" t="n">
        <v>0</v>
      </c>
      <c r="E4294" s="7" t="n">
        <v>0</v>
      </c>
      <c r="F4294" s="7" t="n">
        <v>2</v>
      </c>
      <c r="G4294" s="7" t="n">
        <v>474.44</v>
      </c>
    </row>
    <row r="4295" customFormat="false" ht="15" hidden="false" customHeight="false" outlineLevel="0" collapsed="false">
      <c r="A4295" s="7" t="s">
        <v>24</v>
      </c>
      <c r="B4295" s="7" t="s">
        <v>100</v>
      </c>
      <c r="C4295" s="7" t="s">
        <v>1160</v>
      </c>
      <c r="D4295" s="7" t="n">
        <v>0</v>
      </c>
      <c r="E4295" s="7" t="n">
        <v>0</v>
      </c>
      <c r="F4295" s="7" t="n">
        <v>3</v>
      </c>
      <c r="G4295" s="7" t="n">
        <v>830.28</v>
      </c>
    </row>
    <row r="4296" customFormat="false" ht="15" hidden="false" customHeight="false" outlineLevel="0" collapsed="false">
      <c r="A4296" s="7" t="s">
        <v>24</v>
      </c>
      <c r="B4296" s="7" t="s">
        <v>100</v>
      </c>
      <c r="C4296" s="7" t="s">
        <v>1160</v>
      </c>
      <c r="D4296" s="7" t="n">
        <v>0</v>
      </c>
      <c r="E4296" s="7" t="n">
        <v>0</v>
      </c>
      <c r="F4296" s="7" t="n">
        <v>1</v>
      </c>
      <c r="G4296" s="7" t="n">
        <v>266.87</v>
      </c>
    </row>
    <row r="4297" customFormat="false" ht="15" hidden="false" customHeight="false" outlineLevel="0" collapsed="false">
      <c r="A4297" s="7" t="s">
        <v>24</v>
      </c>
      <c r="B4297" s="7" t="s">
        <v>100</v>
      </c>
      <c r="C4297" s="7" t="s">
        <v>1160</v>
      </c>
      <c r="D4297" s="7" t="n">
        <v>0</v>
      </c>
      <c r="E4297" s="7" t="n">
        <v>0</v>
      </c>
      <c r="F4297" s="7" t="n">
        <v>2</v>
      </c>
      <c r="G4297" s="7" t="n">
        <v>550.76</v>
      </c>
    </row>
    <row r="4298" customFormat="false" ht="15" hidden="false" customHeight="false" outlineLevel="0" collapsed="false">
      <c r="A4298" s="7" t="s">
        <v>24</v>
      </c>
      <c r="B4298" s="7" t="s">
        <v>100</v>
      </c>
      <c r="C4298" s="7" t="s">
        <v>1160</v>
      </c>
      <c r="D4298" s="7" t="n">
        <v>0</v>
      </c>
      <c r="E4298" s="7" t="n">
        <v>0</v>
      </c>
      <c r="F4298" s="7" t="n">
        <v>3</v>
      </c>
      <c r="G4298" s="7" t="n">
        <v>785.79</v>
      </c>
    </row>
    <row r="4299" customFormat="false" ht="15" hidden="false" customHeight="false" outlineLevel="0" collapsed="false">
      <c r="A4299" s="7" t="s">
        <v>24</v>
      </c>
      <c r="B4299" s="7" t="s">
        <v>100</v>
      </c>
      <c r="C4299" s="7" t="s">
        <v>1160</v>
      </c>
      <c r="D4299" s="7" t="n">
        <v>0</v>
      </c>
      <c r="E4299" s="7" t="n">
        <v>0</v>
      </c>
      <c r="F4299" s="7" t="n">
        <v>1</v>
      </c>
      <c r="G4299" s="7" t="n">
        <v>0</v>
      </c>
    </row>
    <row r="4300" customFormat="false" ht="15" hidden="false" customHeight="false" outlineLevel="0" collapsed="false">
      <c r="A4300" s="7" t="s">
        <v>24</v>
      </c>
      <c r="B4300" s="7" t="s">
        <v>100</v>
      </c>
      <c r="C4300" s="7" t="s">
        <v>1160</v>
      </c>
      <c r="D4300" s="7" t="n">
        <v>0</v>
      </c>
      <c r="E4300" s="7" t="n">
        <v>0</v>
      </c>
      <c r="F4300" s="7" t="n">
        <v>2</v>
      </c>
      <c r="G4300" s="7" t="n">
        <v>550.68</v>
      </c>
    </row>
    <row r="4301" customFormat="false" ht="15" hidden="false" customHeight="false" outlineLevel="0" collapsed="false">
      <c r="A4301" s="7" t="s">
        <v>24</v>
      </c>
      <c r="B4301" s="7" t="s">
        <v>100</v>
      </c>
      <c r="C4301" s="7" t="s">
        <v>1160</v>
      </c>
      <c r="D4301" s="7" t="n">
        <v>0</v>
      </c>
      <c r="E4301" s="7" t="n">
        <v>0</v>
      </c>
      <c r="F4301" s="7" t="n">
        <v>4</v>
      </c>
      <c r="G4301" s="7" t="n">
        <v>1101.52</v>
      </c>
    </row>
    <row r="4302" customFormat="false" ht="15" hidden="false" customHeight="false" outlineLevel="0" collapsed="false">
      <c r="A4302" s="7" t="s">
        <v>24</v>
      </c>
      <c r="B4302" s="7" t="s">
        <v>100</v>
      </c>
      <c r="C4302" s="7" t="s">
        <v>1160</v>
      </c>
      <c r="D4302" s="7" t="n">
        <v>0</v>
      </c>
      <c r="E4302" s="7" t="n">
        <v>0</v>
      </c>
      <c r="F4302" s="7" t="n">
        <v>4</v>
      </c>
      <c r="G4302" s="7" t="n">
        <v>1067.48</v>
      </c>
    </row>
    <row r="4303" customFormat="false" ht="15" hidden="false" customHeight="false" outlineLevel="0" collapsed="false">
      <c r="A4303" s="7" t="s">
        <v>24</v>
      </c>
      <c r="B4303" s="7" t="s">
        <v>100</v>
      </c>
      <c r="C4303" s="7" t="s">
        <v>1160</v>
      </c>
      <c r="D4303" s="7" t="n">
        <v>0</v>
      </c>
      <c r="E4303" s="7" t="n">
        <v>0</v>
      </c>
      <c r="F4303" s="7" t="n">
        <v>1</v>
      </c>
      <c r="G4303" s="7" t="n">
        <v>296.53</v>
      </c>
    </row>
    <row r="4304" customFormat="false" ht="15" hidden="false" customHeight="false" outlineLevel="0" collapsed="false">
      <c r="A4304" s="7" t="s">
        <v>24</v>
      </c>
      <c r="B4304" s="7" t="s">
        <v>100</v>
      </c>
      <c r="C4304" s="7" t="s">
        <v>1160</v>
      </c>
      <c r="D4304" s="7" t="n">
        <v>0</v>
      </c>
      <c r="E4304" s="7" t="n">
        <v>0</v>
      </c>
      <c r="F4304" s="7" t="n">
        <v>4</v>
      </c>
      <c r="G4304" s="7" t="n">
        <v>1101.44</v>
      </c>
    </row>
    <row r="4305" customFormat="false" ht="15" hidden="false" customHeight="false" outlineLevel="0" collapsed="false">
      <c r="A4305" s="7" t="s">
        <v>24</v>
      </c>
      <c r="B4305" s="7" t="s">
        <v>100</v>
      </c>
      <c r="C4305" s="7" t="s">
        <v>1160</v>
      </c>
      <c r="D4305" s="7" t="n">
        <v>0</v>
      </c>
      <c r="E4305" s="7" t="n">
        <v>0</v>
      </c>
      <c r="F4305" s="7" t="n">
        <v>4</v>
      </c>
      <c r="G4305" s="7" t="n">
        <v>1054.86</v>
      </c>
    </row>
    <row r="4306" customFormat="false" ht="15" hidden="false" customHeight="false" outlineLevel="0" collapsed="false">
      <c r="A4306" s="7" t="s">
        <v>24</v>
      </c>
      <c r="B4306" s="7" t="s">
        <v>100</v>
      </c>
      <c r="C4306" s="7" t="s">
        <v>1160</v>
      </c>
      <c r="D4306" s="7" t="n">
        <v>0</v>
      </c>
      <c r="E4306" s="7" t="n">
        <v>0</v>
      </c>
      <c r="F4306" s="7" t="n">
        <v>1</v>
      </c>
      <c r="G4306" s="7" t="n">
        <v>296.53</v>
      </c>
    </row>
    <row r="4307" customFormat="false" ht="15" hidden="false" customHeight="false" outlineLevel="0" collapsed="false">
      <c r="A4307" s="7" t="s">
        <v>24</v>
      </c>
      <c r="B4307" s="7" t="s">
        <v>100</v>
      </c>
      <c r="C4307" s="7" t="s">
        <v>1160</v>
      </c>
      <c r="D4307" s="7" t="n">
        <v>0</v>
      </c>
      <c r="E4307" s="7" t="n">
        <v>0</v>
      </c>
      <c r="F4307" s="7" t="n">
        <v>1</v>
      </c>
      <c r="G4307" s="7" t="n">
        <v>296.53</v>
      </c>
    </row>
    <row r="4308" customFormat="false" ht="15" hidden="false" customHeight="false" outlineLevel="0" collapsed="false">
      <c r="A4308" s="7" t="s">
        <v>24</v>
      </c>
      <c r="B4308" s="7" t="s">
        <v>100</v>
      </c>
      <c r="C4308" s="7" t="s">
        <v>1160</v>
      </c>
      <c r="D4308" s="7" t="n">
        <v>0</v>
      </c>
      <c r="E4308" s="7" t="n">
        <v>0</v>
      </c>
      <c r="F4308" s="7" t="n">
        <v>1</v>
      </c>
      <c r="G4308" s="7" t="n">
        <v>296.53</v>
      </c>
    </row>
    <row r="4309" customFormat="false" ht="15" hidden="false" customHeight="false" outlineLevel="0" collapsed="false">
      <c r="A4309" s="7" t="s">
        <v>24</v>
      </c>
      <c r="B4309" s="7" t="s">
        <v>100</v>
      </c>
      <c r="C4309" s="7" t="s">
        <v>1160</v>
      </c>
      <c r="D4309" s="7" t="n">
        <v>0</v>
      </c>
      <c r="E4309" s="7" t="n">
        <v>0</v>
      </c>
      <c r="F4309" s="7" t="n">
        <v>2</v>
      </c>
      <c r="G4309" s="7" t="n">
        <v>533.75</v>
      </c>
    </row>
    <row r="4310" customFormat="false" ht="15" hidden="false" customHeight="false" outlineLevel="0" collapsed="false">
      <c r="A4310" s="7" t="s">
        <v>24</v>
      </c>
      <c r="B4310" s="7" t="s">
        <v>100</v>
      </c>
      <c r="C4310" s="7" t="s">
        <v>1160</v>
      </c>
      <c r="D4310" s="7" t="n">
        <v>0</v>
      </c>
      <c r="E4310" s="7" t="n">
        <v>0</v>
      </c>
      <c r="F4310" s="7" t="n">
        <v>2</v>
      </c>
      <c r="G4310" s="7" t="n">
        <v>533.75</v>
      </c>
    </row>
    <row r="4311" customFormat="false" ht="15" hidden="false" customHeight="false" outlineLevel="0" collapsed="false">
      <c r="A4311" s="7" t="s">
        <v>24</v>
      </c>
      <c r="B4311" s="7" t="s">
        <v>100</v>
      </c>
      <c r="C4311" s="7" t="s">
        <v>1160</v>
      </c>
      <c r="D4311" s="7" t="n">
        <v>0</v>
      </c>
      <c r="E4311" s="7" t="n">
        <v>0</v>
      </c>
      <c r="F4311" s="7" t="n">
        <v>8</v>
      </c>
      <c r="G4311" s="7" t="n">
        <v>2130.96</v>
      </c>
    </row>
    <row r="4312" customFormat="false" ht="15" hidden="false" customHeight="false" outlineLevel="0" collapsed="false">
      <c r="A4312" s="7" t="s">
        <v>24</v>
      </c>
      <c r="B4312" s="7" t="s">
        <v>100</v>
      </c>
      <c r="C4312" s="7" t="s">
        <v>1160</v>
      </c>
      <c r="D4312" s="7" t="n">
        <v>0</v>
      </c>
      <c r="E4312" s="7" t="n">
        <v>0</v>
      </c>
      <c r="F4312" s="7" t="n">
        <v>4</v>
      </c>
      <c r="G4312" s="7" t="n">
        <v>1101.37</v>
      </c>
    </row>
    <row r="4313" customFormat="false" ht="15" hidden="false" customHeight="false" outlineLevel="0" collapsed="false">
      <c r="A4313" s="7" t="s">
        <v>24</v>
      </c>
      <c r="B4313" s="7" t="s">
        <v>100</v>
      </c>
      <c r="C4313" s="7" t="s">
        <v>1160</v>
      </c>
      <c r="D4313" s="7" t="n">
        <v>0</v>
      </c>
      <c r="E4313" s="7" t="n">
        <v>0</v>
      </c>
      <c r="F4313" s="7" t="n">
        <v>2</v>
      </c>
      <c r="G4313" s="7" t="n">
        <v>0</v>
      </c>
    </row>
    <row r="4314" customFormat="false" ht="15" hidden="false" customHeight="false" outlineLevel="0" collapsed="false">
      <c r="A4314" s="7" t="s">
        <v>24</v>
      </c>
      <c r="B4314" s="7" t="s">
        <v>100</v>
      </c>
      <c r="C4314" s="7" t="s">
        <v>1160</v>
      </c>
      <c r="D4314" s="7" t="n">
        <v>0</v>
      </c>
      <c r="E4314" s="7" t="n">
        <v>0</v>
      </c>
      <c r="F4314" s="7" t="n">
        <v>2</v>
      </c>
      <c r="G4314" s="7" t="n">
        <v>550.76</v>
      </c>
    </row>
    <row r="4315" customFormat="false" ht="15" hidden="false" customHeight="false" outlineLevel="0" collapsed="false">
      <c r="A4315" s="7" t="s">
        <v>24</v>
      </c>
      <c r="B4315" s="7" t="s">
        <v>100</v>
      </c>
      <c r="C4315" s="7" t="s">
        <v>1160</v>
      </c>
      <c r="D4315" s="7" t="n">
        <v>0</v>
      </c>
      <c r="E4315" s="7" t="n">
        <v>0</v>
      </c>
      <c r="F4315" s="7" t="n">
        <v>1</v>
      </c>
      <c r="G4315" s="7" t="n">
        <v>296.52</v>
      </c>
    </row>
    <row r="4316" customFormat="false" ht="15" hidden="false" customHeight="false" outlineLevel="0" collapsed="false">
      <c r="A4316" s="7" t="s">
        <v>24</v>
      </c>
      <c r="B4316" s="7" t="s">
        <v>100</v>
      </c>
      <c r="C4316" s="7" t="s">
        <v>1160</v>
      </c>
      <c r="D4316" s="7" t="n">
        <v>0</v>
      </c>
      <c r="E4316" s="7" t="n">
        <v>0</v>
      </c>
      <c r="F4316" s="7" t="n">
        <v>3</v>
      </c>
      <c r="G4316" s="7" t="n">
        <v>830.26</v>
      </c>
    </row>
    <row r="4317" customFormat="false" ht="15" hidden="false" customHeight="false" outlineLevel="0" collapsed="false">
      <c r="A4317" s="7" t="s">
        <v>24</v>
      </c>
      <c r="B4317" s="7" t="s">
        <v>100</v>
      </c>
      <c r="C4317" s="7" t="s">
        <v>1160</v>
      </c>
      <c r="D4317" s="7" t="n">
        <v>0</v>
      </c>
      <c r="E4317" s="7" t="n">
        <v>0</v>
      </c>
      <c r="F4317" s="7" t="n">
        <v>6</v>
      </c>
      <c r="G4317" s="7" t="n">
        <v>1694.57</v>
      </c>
    </row>
    <row r="4318" customFormat="false" ht="15" hidden="false" customHeight="false" outlineLevel="0" collapsed="false">
      <c r="A4318" s="7" t="s">
        <v>24</v>
      </c>
      <c r="B4318" s="7" t="s">
        <v>100</v>
      </c>
      <c r="C4318" s="7" t="s">
        <v>1160</v>
      </c>
      <c r="D4318" s="7" t="n">
        <v>0</v>
      </c>
      <c r="E4318" s="7" t="n">
        <v>0</v>
      </c>
      <c r="F4318" s="7" t="n">
        <v>2</v>
      </c>
      <c r="G4318" s="7" t="n">
        <v>550.76</v>
      </c>
    </row>
    <row r="4319" customFormat="false" ht="15" hidden="false" customHeight="false" outlineLevel="0" collapsed="false">
      <c r="A4319" s="7" t="s">
        <v>24</v>
      </c>
      <c r="B4319" s="7" t="s">
        <v>100</v>
      </c>
      <c r="C4319" s="7" t="s">
        <v>1160</v>
      </c>
      <c r="D4319" s="7" t="n">
        <v>0</v>
      </c>
      <c r="E4319" s="7" t="n">
        <v>0</v>
      </c>
      <c r="F4319" s="7" t="n">
        <v>6</v>
      </c>
      <c r="G4319" s="7" t="n">
        <v>1719.87</v>
      </c>
    </row>
    <row r="4320" customFormat="false" ht="15" hidden="false" customHeight="false" outlineLevel="0" collapsed="false">
      <c r="A4320" s="7" t="s">
        <v>24</v>
      </c>
      <c r="B4320" s="7" t="s">
        <v>100</v>
      </c>
      <c r="C4320" s="7" t="s">
        <v>1160</v>
      </c>
      <c r="D4320" s="7" t="n">
        <v>0</v>
      </c>
      <c r="E4320" s="7" t="n">
        <v>0</v>
      </c>
      <c r="F4320" s="7" t="n">
        <v>2</v>
      </c>
      <c r="G4320" s="7" t="n">
        <v>508.3</v>
      </c>
    </row>
    <row r="4321" customFormat="false" ht="15" hidden="false" customHeight="false" outlineLevel="0" collapsed="false">
      <c r="A4321" s="7" t="s">
        <v>24</v>
      </c>
      <c r="B4321" s="7" t="s">
        <v>100</v>
      </c>
      <c r="C4321" s="7" t="s">
        <v>1160</v>
      </c>
      <c r="D4321" s="7" t="n">
        <v>0</v>
      </c>
      <c r="E4321" s="7" t="n">
        <v>0</v>
      </c>
      <c r="F4321" s="7" t="n">
        <v>1</v>
      </c>
      <c r="G4321" s="7" t="n">
        <v>266.87</v>
      </c>
    </row>
    <row r="4322" customFormat="false" ht="15" hidden="false" customHeight="false" outlineLevel="0" collapsed="false">
      <c r="A4322" s="7" t="s">
        <v>24</v>
      </c>
      <c r="B4322" s="7" t="s">
        <v>100</v>
      </c>
      <c r="C4322" s="7" t="s">
        <v>1160</v>
      </c>
      <c r="D4322" s="7" t="n">
        <v>0</v>
      </c>
      <c r="E4322" s="7" t="n">
        <v>0</v>
      </c>
      <c r="F4322" s="7" t="n">
        <v>2</v>
      </c>
      <c r="G4322" s="7" t="n">
        <v>533.75</v>
      </c>
    </row>
    <row r="4323" customFormat="false" ht="15" hidden="false" customHeight="false" outlineLevel="0" collapsed="false">
      <c r="A4323" s="7" t="s">
        <v>24</v>
      </c>
      <c r="B4323" s="7" t="s">
        <v>100</v>
      </c>
      <c r="C4323" s="7" t="s">
        <v>1160</v>
      </c>
      <c r="D4323" s="7" t="n">
        <v>0</v>
      </c>
      <c r="E4323" s="7" t="n">
        <v>0</v>
      </c>
      <c r="F4323" s="7" t="n">
        <v>1</v>
      </c>
      <c r="G4323" s="7" t="n">
        <v>266.87</v>
      </c>
    </row>
    <row r="4324" customFormat="false" ht="15" hidden="false" customHeight="false" outlineLevel="0" collapsed="false">
      <c r="A4324" s="7" t="s">
        <v>24</v>
      </c>
      <c r="B4324" s="7" t="s">
        <v>100</v>
      </c>
      <c r="C4324" s="7" t="s">
        <v>1160</v>
      </c>
      <c r="D4324" s="7" t="n">
        <v>0</v>
      </c>
      <c r="E4324" s="7" t="n">
        <v>0</v>
      </c>
      <c r="F4324" s="7" t="n">
        <v>1</v>
      </c>
      <c r="G4324" s="7" t="n">
        <v>266.87</v>
      </c>
    </row>
    <row r="4325" customFormat="false" ht="15" hidden="false" customHeight="false" outlineLevel="0" collapsed="false">
      <c r="A4325" s="7" t="s">
        <v>24</v>
      </c>
      <c r="B4325" s="7" t="s">
        <v>100</v>
      </c>
      <c r="C4325" s="7" t="s">
        <v>1160</v>
      </c>
      <c r="D4325" s="7" t="n">
        <v>0</v>
      </c>
      <c r="E4325" s="7" t="n">
        <v>0</v>
      </c>
      <c r="F4325" s="7" t="n">
        <v>1</v>
      </c>
      <c r="G4325" s="7" t="n">
        <v>252.05</v>
      </c>
    </row>
    <row r="4326" customFormat="false" ht="15" hidden="false" customHeight="false" outlineLevel="0" collapsed="false">
      <c r="A4326" s="7" t="s">
        <v>24</v>
      </c>
      <c r="B4326" s="7" t="s">
        <v>100</v>
      </c>
      <c r="C4326" s="7" t="s">
        <v>1160</v>
      </c>
      <c r="D4326" s="7" t="n">
        <v>0</v>
      </c>
      <c r="E4326" s="7" t="n">
        <v>0</v>
      </c>
      <c r="F4326" s="7" t="n">
        <v>1</v>
      </c>
      <c r="G4326" s="7" t="n">
        <v>266.87</v>
      </c>
    </row>
    <row r="4327" customFormat="false" ht="15" hidden="false" customHeight="false" outlineLevel="0" collapsed="false">
      <c r="A4327" s="7" t="s">
        <v>24</v>
      </c>
      <c r="B4327" s="7" t="s">
        <v>100</v>
      </c>
      <c r="C4327" s="7" t="s">
        <v>1160</v>
      </c>
      <c r="D4327" s="7" t="n">
        <v>0</v>
      </c>
      <c r="E4327" s="7" t="n">
        <v>0</v>
      </c>
      <c r="F4327" s="7" t="n">
        <v>2</v>
      </c>
      <c r="G4327" s="7" t="n">
        <v>550.76</v>
      </c>
    </row>
    <row r="4328" customFormat="false" ht="15" hidden="false" customHeight="false" outlineLevel="0" collapsed="false">
      <c r="A4328" s="7" t="s">
        <v>24</v>
      </c>
      <c r="B4328" s="7" t="s">
        <v>100</v>
      </c>
      <c r="C4328" s="7" t="s">
        <v>1160</v>
      </c>
      <c r="D4328" s="7" t="n">
        <v>0</v>
      </c>
      <c r="E4328" s="7" t="n">
        <v>0</v>
      </c>
      <c r="F4328" s="7" t="n">
        <v>5</v>
      </c>
      <c r="G4328" s="7" t="n">
        <v>1482.65</v>
      </c>
    </row>
    <row r="4329" customFormat="false" ht="15" hidden="false" customHeight="false" outlineLevel="0" collapsed="false">
      <c r="A4329" s="7" t="s">
        <v>24</v>
      </c>
      <c r="B4329" s="7" t="s">
        <v>100</v>
      </c>
      <c r="C4329" s="7" t="s">
        <v>1160</v>
      </c>
      <c r="D4329" s="7" t="n">
        <v>0</v>
      </c>
      <c r="E4329" s="7" t="n">
        <v>0</v>
      </c>
      <c r="F4329" s="7" t="n">
        <v>1</v>
      </c>
      <c r="G4329" s="7" t="n">
        <v>266.87</v>
      </c>
    </row>
    <row r="4330" customFormat="false" ht="15" hidden="false" customHeight="false" outlineLevel="0" collapsed="false">
      <c r="A4330" s="7" t="s">
        <v>24</v>
      </c>
      <c r="B4330" s="7" t="s">
        <v>100</v>
      </c>
      <c r="C4330" s="7" t="s">
        <v>1160</v>
      </c>
      <c r="D4330" s="7" t="n">
        <v>0</v>
      </c>
      <c r="E4330" s="7" t="n">
        <v>0</v>
      </c>
      <c r="F4330" s="7" t="n">
        <v>1</v>
      </c>
      <c r="G4330" s="7" t="n">
        <v>266.87</v>
      </c>
    </row>
    <row r="4331" customFormat="false" ht="15" hidden="false" customHeight="false" outlineLevel="0" collapsed="false">
      <c r="A4331" s="7" t="s">
        <v>24</v>
      </c>
      <c r="B4331" s="7" t="s">
        <v>100</v>
      </c>
      <c r="C4331" s="7" t="s">
        <v>1160</v>
      </c>
      <c r="D4331" s="7" t="n">
        <v>0</v>
      </c>
      <c r="E4331" s="7" t="n">
        <v>0</v>
      </c>
      <c r="F4331" s="7" t="n">
        <v>1</v>
      </c>
      <c r="G4331" s="7" t="n">
        <v>296.53</v>
      </c>
    </row>
    <row r="4332" customFormat="false" ht="15" hidden="false" customHeight="false" outlineLevel="0" collapsed="false">
      <c r="A4332" s="7" t="s">
        <v>24</v>
      </c>
      <c r="B4332" s="7" t="s">
        <v>100</v>
      </c>
      <c r="C4332" s="7" t="s">
        <v>1160</v>
      </c>
      <c r="D4332" s="7" t="n">
        <v>0</v>
      </c>
      <c r="E4332" s="7" t="n">
        <v>0</v>
      </c>
      <c r="F4332" s="7" t="n">
        <v>4</v>
      </c>
      <c r="G4332" s="7" t="n">
        <v>1101.52</v>
      </c>
    </row>
    <row r="4333" customFormat="false" ht="15" hidden="false" customHeight="false" outlineLevel="0" collapsed="false">
      <c r="A4333" s="7" t="s">
        <v>24</v>
      </c>
      <c r="B4333" s="7" t="s">
        <v>100</v>
      </c>
      <c r="C4333" s="7" t="s">
        <v>1160</v>
      </c>
      <c r="D4333" s="7" t="n">
        <v>0</v>
      </c>
      <c r="E4333" s="7" t="n">
        <v>0</v>
      </c>
      <c r="F4333" s="7" t="n">
        <v>1</v>
      </c>
      <c r="G4333" s="7" t="n">
        <v>296.52</v>
      </c>
    </row>
    <row r="4334" customFormat="false" ht="15" hidden="false" customHeight="false" outlineLevel="0" collapsed="false">
      <c r="A4334" s="7" t="s">
        <v>24</v>
      </c>
      <c r="B4334" s="7" t="s">
        <v>100</v>
      </c>
      <c r="C4334" s="7" t="s">
        <v>1160</v>
      </c>
      <c r="D4334" s="7" t="n">
        <v>0</v>
      </c>
      <c r="E4334" s="7" t="n">
        <v>0</v>
      </c>
      <c r="F4334" s="7" t="n">
        <v>1</v>
      </c>
      <c r="G4334" s="7" t="n">
        <v>296.53</v>
      </c>
    </row>
    <row r="4335" customFormat="false" ht="15" hidden="false" customHeight="false" outlineLevel="0" collapsed="false">
      <c r="A4335" s="7" t="s">
        <v>24</v>
      </c>
      <c r="B4335" s="7" t="s">
        <v>100</v>
      </c>
      <c r="C4335" s="7" t="s">
        <v>1160</v>
      </c>
      <c r="D4335" s="7" t="n">
        <v>0</v>
      </c>
      <c r="E4335" s="7" t="n">
        <v>0</v>
      </c>
      <c r="F4335" s="7" t="n">
        <v>2</v>
      </c>
      <c r="G4335" s="7" t="n">
        <v>533.75</v>
      </c>
    </row>
    <row r="4336" customFormat="false" ht="15" hidden="false" customHeight="false" outlineLevel="0" collapsed="false">
      <c r="A4336" s="7" t="s">
        <v>24</v>
      </c>
      <c r="B4336" s="7" t="s">
        <v>100</v>
      </c>
      <c r="C4336" s="7" t="s">
        <v>1160</v>
      </c>
      <c r="D4336" s="7" t="n">
        <v>0</v>
      </c>
      <c r="E4336" s="7" t="n">
        <v>0</v>
      </c>
      <c r="F4336" s="7" t="n">
        <v>2</v>
      </c>
      <c r="G4336" s="7" t="n">
        <v>533.75</v>
      </c>
    </row>
    <row r="4337" customFormat="false" ht="15" hidden="false" customHeight="false" outlineLevel="0" collapsed="false">
      <c r="A4337" s="7" t="s">
        <v>24</v>
      </c>
      <c r="B4337" s="7" t="s">
        <v>100</v>
      </c>
      <c r="C4337" s="7" t="s">
        <v>1160</v>
      </c>
      <c r="D4337" s="7" t="n">
        <v>0</v>
      </c>
      <c r="E4337" s="7" t="n">
        <v>0</v>
      </c>
      <c r="F4337" s="7" t="n">
        <v>3</v>
      </c>
      <c r="G4337" s="7" t="n">
        <v>889.59</v>
      </c>
    </row>
    <row r="4338" customFormat="false" ht="15" hidden="false" customHeight="false" outlineLevel="0" collapsed="false">
      <c r="A4338" s="7" t="s">
        <v>24</v>
      </c>
      <c r="B4338" s="7" t="s">
        <v>100</v>
      </c>
      <c r="C4338" s="7" t="s">
        <v>1160</v>
      </c>
      <c r="D4338" s="7" t="n">
        <v>0</v>
      </c>
      <c r="E4338" s="7" t="n">
        <v>0</v>
      </c>
      <c r="F4338" s="7" t="n">
        <v>7</v>
      </c>
      <c r="G4338" s="7" t="n">
        <v>1912.57</v>
      </c>
    </row>
    <row r="4339" customFormat="false" ht="15" hidden="false" customHeight="false" outlineLevel="0" collapsed="false">
      <c r="A4339" s="7" t="s">
        <v>24</v>
      </c>
      <c r="B4339" s="7" t="s">
        <v>100</v>
      </c>
      <c r="C4339" s="7" t="s">
        <v>1160</v>
      </c>
      <c r="D4339" s="7" t="n">
        <v>0</v>
      </c>
      <c r="E4339" s="7" t="n">
        <v>0</v>
      </c>
      <c r="F4339" s="7" t="n">
        <v>1</v>
      </c>
      <c r="G4339" s="7" t="n">
        <v>296.53</v>
      </c>
    </row>
    <row r="4340" customFormat="false" ht="15" hidden="false" customHeight="false" outlineLevel="0" collapsed="false">
      <c r="A4340" s="7" t="s">
        <v>24</v>
      </c>
      <c r="B4340" s="7" t="s">
        <v>100</v>
      </c>
      <c r="C4340" s="7" t="s">
        <v>1160</v>
      </c>
      <c r="D4340" s="7" t="n">
        <v>0</v>
      </c>
      <c r="E4340" s="7" t="n">
        <v>0</v>
      </c>
      <c r="F4340" s="7" t="n">
        <v>2</v>
      </c>
      <c r="G4340" s="7" t="n">
        <v>533.75</v>
      </c>
    </row>
    <row r="4341" customFormat="false" ht="15" hidden="false" customHeight="false" outlineLevel="0" collapsed="false">
      <c r="A4341" s="7" t="s">
        <v>24</v>
      </c>
      <c r="B4341" s="7" t="s">
        <v>100</v>
      </c>
      <c r="C4341" s="7" t="s">
        <v>1160</v>
      </c>
      <c r="D4341" s="7" t="n">
        <v>0</v>
      </c>
      <c r="E4341" s="7" t="n">
        <v>0</v>
      </c>
      <c r="F4341" s="7" t="n">
        <v>1</v>
      </c>
      <c r="G4341" s="7" t="n">
        <v>266.87</v>
      </c>
    </row>
    <row r="4342" customFormat="false" ht="15" hidden="false" customHeight="false" outlineLevel="0" collapsed="false">
      <c r="A4342" s="7" t="s">
        <v>24</v>
      </c>
      <c r="B4342" s="7" t="s">
        <v>100</v>
      </c>
      <c r="C4342" s="7" t="s">
        <v>1160</v>
      </c>
      <c r="D4342" s="7" t="n">
        <v>0</v>
      </c>
      <c r="E4342" s="7" t="n">
        <v>0</v>
      </c>
      <c r="F4342" s="7" t="n">
        <v>1</v>
      </c>
      <c r="G4342" s="7" t="n">
        <v>266.87</v>
      </c>
    </row>
    <row r="4343" customFormat="false" ht="15" hidden="false" customHeight="false" outlineLevel="0" collapsed="false">
      <c r="A4343" s="7" t="s">
        <v>24</v>
      </c>
      <c r="B4343" s="7" t="s">
        <v>100</v>
      </c>
      <c r="C4343" s="7" t="s">
        <v>1160</v>
      </c>
      <c r="D4343" s="7" t="n">
        <v>0</v>
      </c>
      <c r="E4343" s="7" t="n">
        <v>0</v>
      </c>
      <c r="F4343" s="7" t="n">
        <v>1</v>
      </c>
      <c r="G4343" s="7" t="n">
        <v>266.87</v>
      </c>
    </row>
    <row r="4344" customFormat="false" ht="15" hidden="false" customHeight="false" outlineLevel="0" collapsed="false">
      <c r="A4344" s="7" t="s">
        <v>24</v>
      </c>
      <c r="B4344" s="7" t="s">
        <v>100</v>
      </c>
      <c r="C4344" s="7" t="s">
        <v>1160</v>
      </c>
      <c r="D4344" s="7" t="n">
        <v>0</v>
      </c>
      <c r="E4344" s="7" t="n">
        <v>0</v>
      </c>
      <c r="F4344" s="7" t="n">
        <v>4</v>
      </c>
      <c r="G4344" s="7" t="n">
        <v>1054.86</v>
      </c>
    </row>
    <row r="4345" customFormat="false" ht="15" hidden="false" customHeight="false" outlineLevel="0" collapsed="false">
      <c r="A4345" s="7" t="s">
        <v>24</v>
      </c>
      <c r="B4345" s="7" t="s">
        <v>100</v>
      </c>
      <c r="C4345" s="7" t="s">
        <v>1160</v>
      </c>
      <c r="D4345" s="7" t="n">
        <v>0</v>
      </c>
      <c r="E4345" s="7" t="n">
        <v>0</v>
      </c>
      <c r="F4345" s="7" t="n">
        <v>3</v>
      </c>
      <c r="G4345" s="7" t="n">
        <v>889.59</v>
      </c>
    </row>
    <row r="4346" customFormat="false" ht="15" hidden="false" customHeight="false" outlineLevel="0" collapsed="false">
      <c r="A4346" s="7" t="s">
        <v>24</v>
      </c>
      <c r="B4346" s="7" t="s">
        <v>100</v>
      </c>
      <c r="C4346" s="7" t="s">
        <v>1160</v>
      </c>
      <c r="D4346" s="7" t="n">
        <v>0</v>
      </c>
      <c r="E4346" s="7" t="n">
        <v>0</v>
      </c>
      <c r="F4346" s="7" t="n">
        <v>2</v>
      </c>
      <c r="G4346" s="7" t="n">
        <v>504.1</v>
      </c>
    </row>
    <row r="4347" customFormat="false" ht="15" hidden="false" customHeight="false" outlineLevel="0" collapsed="false">
      <c r="A4347" s="7" t="s">
        <v>24</v>
      </c>
      <c r="B4347" s="7" t="s">
        <v>100</v>
      </c>
      <c r="C4347" s="7" t="s">
        <v>1160</v>
      </c>
      <c r="D4347" s="7" t="n">
        <v>0</v>
      </c>
      <c r="E4347" s="7" t="n">
        <v>0</v>
      </c>
      <c r="F4347" s="7" t="n">
        <v>9</v>
      </c>
      <c r="G4347" s="7" t="n">
        <v>2609.46</v>
      </c>
    </row>
    <row r="4348" customFormat="false" ht="15" hidden="false" customHeight="false" outlineLevel="0" collapsed="false">
      <c r="A4348" s="7" t="s">
        <v>24</v>
      </c>
      <c r="B4348" s="7" t="s">
        <v>100</v>
      </c>
      <c r="C4348" s="7" t="s">
        <v>1160</v>
      </c>
      <c r="D4348" s="7" t="n">
        <v>0</v>
      </c>
      <c r="E4348" s="7" t="n">
        <v>0</v>
      </c>
      <c r="F4348" s="7" t="n">
        <v>3</v>
      </c>
      <c r="G4348" s="7" t="n">
        <v>785.79</v>
      </c>
    </row>
    <row r="4349" customFormat="false" ht="15" hidden="false" customHeight="false" outlineLevel="0" collapsed="false">
      <c r="A4349" s="7" t="s">
        <v>24</v>
      </c>
      <c r="B4349" s="7" t="s">
        <v>100</v>
      </c>
      <c r="C4349" s="7" t="s">
        <v>1160</v>
      </c>
      <c r="D4349" s="7" t="n">
        <v>0</v>
      </c>
      <c r="E4349" s="7" t="n">
        <v>0</v>
      </c>
      <c r="F4349" s="7" t="n">
        <v>17</v>
      </c>
      <c r="G4349" s="7" t="n">
        <v>4744.41</v>
      </c>
    </row>
    <row r="4350" customFormat="false" ht="15" hidden="false" customHeight="false" outlineLevel="0" collapsed="false">
      <c r="A4350" s="7" t="s">
        <v>24</v>
      </c>
      <c r="B4350" s="7" t="s">
        <v>100</v>
      </c>
      <c r="C4350" s="7" t="s">
        <v>1160</v>
      </c>
      <c r="D4350" s="7" t="n">
        <v>0</v>
      </c>
      <c r="E4350" s="7" t="n">
        <v>0</v>
      </c>
      <c r="F4350" s="7" t="n">
        <v>2</v>
      </c>
      <c r="G4350" s="7" t="n">
        <v>533.75</v>
      </c>
    </row>
    <row r="4351" customFormat="false" ht="15" hidden="false" customHeight="false" outlineLevel="0" collapsed="false">
      <c r="A4351" s="7" t="s">
        <v>24</v>
      </c>
      <c r="B4351" s="7" t="s">
        <v>100</v>
      </c>
      <c r="C4351" s="7" t="s">
        <v>1160</v>
      </c>
      <c r="D4351" s="7" t="n">
        <v>0</v>
      </c>
      <c r="E4351" s="7" t="n">
        <v>0</v>
      </c>
      <c r="F4351" s="7" t="n">
        <v>2</v>
      </c>
      <c r="G4351" s="7" t="n">
        <v>533.75</v>
      </c>
    </row>
    <row r="4352" customFormat="false" ht="15" hidden="false" customHeight="false" outlineLevel="0" collapsed="false">
      <c r="A4352" s="7" t="s">
        <v>24</v>
      </c>
      <c r="B4352" s="7" t="s">
        <v>100</v>
      </c>
      <c r="C4352" s="7" t="s">
        <v>1160</v>
      </c>
      <c r="D4352" s="7" t="n">
        <v>0</v>
      </c>
      <c r="E4352" s="7" t="n">
        <v>0</v>
      </c>
      <c r="F4352" s="7" t="n">
        <v>1</v>
      </c>
      <c r="G4352" s="7" t="n">
        <v>266.87</v>
      </c>
    </row>
    <row r="4353" customFormat="false" ht="15" hidden="false" customHeight="false" outlineLevel="0" collapsed="false">
      <c r="A4353" s="7" t="s">
        <v>24</v>
      </c>
      <c r="B4353" s="7" t="s">
        <v>100</v>
      </c>
      <c r="C4353" s="7" t="s">
        <v>1160</v>
      </c>
      <c r="D4353" s="7" t="n">
        <v>0</v>
      </c>
      <c r="E4353" s="7" t="n">
        <v>0</v>
      </c>
      <c r="F4353" s="7" t="n">
        <v>3</v>
      </c>
      <c r="G4353" s="7" t="n">
        <v>745.53</v>
      </c>
    </row>
    <row r="4354" customFormat="false" ht="15" hidden="false" customHeight="false" outlineLevel="0" collapsed="false">
      <c r="A4354" s="7" t="s">
        <v>24</v>
      </c>
      <c r="B4354" s="7" t="s">
        <v>100</v>
      </c>
      <c r="C4354" s="7" t="s">
        <v>1160</v>
      </c>
      <c r="D4354" s="7" t="n">
        <v>0</v>
      </c>
      <c r="E4354" s="7" t="n">
        <v>0</v>
      </c>
      <c r="F4354" s="7" t="n">
        <v>1</v>
      </c>
      <c r="G4354" s="7" t="n">
        <v>296.53</v>
      </c>
    </row>
    <row r="4355" customFormat="false" ht="15" hidden="false" customHeight="false" outlineLevel="0" collapsed="false">
      <c r="A4355" s="7" t="s">
        <v>24</v>
      </c>
      <c r="B4355" s="7" t="s">
        <v>100</v>
      </c>
      <c r="C4355" s="7" t="s">
        <v>1160</v>
      </c>
      <c r="D4355" s="7" t="n">
        <v>0</v>
      </c>
      <c r="E4355" s="7" t="n">
        <v>0</v>
      </c>
      <c r="F4355" s="7" t="n">
        <v>1</v>
      </c>
      <c r="G4355" s="7" t="n">
        <v>296.53</v>
      </c>
    </row>
    <row r="4356" customFormat="false" ht="15" hidden="false" customHeight="false" outlineLevel="0" collapsed="false">
      <c r="A4356" s="7" t="s">
        <v>24</v>
      </c>
      <c r="B4356" s="7" t="s">
        <v>100</v>
      </c>
      <c r="C4356" s="7" t="s">
        <v>1160</v>
      </c>
      <c r="D4356" s="7" t="n">
        <v>1</v>
      </c>
      <c r="E4356" s="7" t="n">
        <v>240</v>
      </c>
      <c r="F4356" s="7" t="n">
        <v>2</v>
      </c>
      <c r="G4356" s="7" t="n">
        <v>480</v>
      </c>
    </row>
    <row r="4357" customFormat="false" ht="15" hidden="false" customHeight="false" outlineLevel="0" collapsed="false">
      <c r="A4357" s="7" t="s">
        <v>24</v>
      </c>
      <c r="B4357" s="7" t="s">
        <v>100</v>
      </c>
      <c r="C4357" s="7" t="s">
        <v>1160</v>
      </c>
      <c r="D4357" s="7" t="n">
        <v>0</v>
      </c>
      <c r="E4357" s="7" t="n">
        <v>0</v>
      </c>
      <c r="F4357" s="7" t="n">
        <v>2</v>
      </c>
      <c r="G4357" s="7" t="n">
        <v>518.92</v>
      </c>
    </row>
    <row r="4358" customFormat="false" ht="15" hidden="false" customHeight="false" outlineLevel="0" collapsed="false">
      <c r="A4358" s="7" t="s">
        <v>24</v>
      </c>
      <c r="B4358" s="7" t="s">
        <v>100</v>
      </c>
      <c r="C4358" s="7" t="s">
        <v>1160</v>
      </c>
      <c r="D4358" s="7" t="n">
        <v>0</v>
      </c>
      <c r="E4358" s="7" t="n">
        <v>0</v>
      </c>
      <c r="F4358" s="7" t="n">
        <v>1</v>
      </c>
      <c r="G4358" s="7" t="n">
        <v>296.53</v>
      </c>
    </row>
    <row r="4359" customFormat="false" ht="15" hidden="false" customHeight="false" outlineLevel="0" collapsed="false">
      <c r="A4359" s="7" t="s">
        <v>24</v>
      </c>
      <c r="B4359" s="7" t="s">
        <v>100</v>
      </c>
      <c r="C4359" s="7" t="s">
        <v>1160</v>
      </c>
      <c r="D4359" s="7" t="n">
        <v>0</v>
      </c>
      <c r="E4359" s="7" t="n">
        <v>0</v>
      </c>
      <c r="F4359" s="7" t="n">
        <v>2</v>
      </c>
      <c r="G4359" s="7" t="n">
        <v>518.92</v>
      </c>
    </row>
    <row r="4360" customFormat="false" ht="15" hidden="false" customHeight="false" outlineLevel="0" collapsed="false">
      <c r="A4360" s="7" t="s">
        <v>24</v>
      </c>
      <c r="B4360" s="7" t="s">
        <v>100</v>
      </c>
      <c r="C4360" s="7" t="s">
        <v>1160</v>
      </c>
      <c r="D4360" s="7" t="n">
        <v>0</v>
      </c>
      <c r="E4360" s="7" t="n">
        <v>0</v>
      </c>
      <c r="F4360" s="7" t="n">
        <v>4</v>
      </c>
      <c r="G4360" s="7" t="n">
        <v>1052.66</v>
      </c>
    </row>
    <row r="4361" customFormat="false" ht="15" hidden="false" customHeight="false" outlineLevel="0" collapsed="false">
      <c r="A4361" s="7" t="s">
        <v>24</v>
      </c>
      <c r="B4361" s="7" t="s">
        <v>100</v>
      </c>
      <c r="C4361" s="7" t="s">
        <v>1160</v>
      </c>
      <c r="D4361" s="7" t="n">
        <v>0</v>
      </c>
      <c r="E4361" s="7" t="n">
        <v>0</v>
      </c>
      <c r="F4361" s="7" t="n">
        <v>5</v>
      </c>
      <c r="G4361" s="7" t="n">
        <v>1334.35</v>
      </c>
    </row>
    <row r="4362" customFormat="false" ht="15" hidden="false" customHeight="false" outlineLevel="0" collapsed="false">
      <c r="A4362" s="7" t="s">
        <v>24</v>
      </c>
      <c r="B4362" s="7" t="s">
        <v>100</v>
      </c>
      <c r="C4362" s="7" t="s">
        <v>1160</v>
      </c>
      <c r="D4362" s="7" t="n">
        <v>0</v>
      </c>
      <c r="E4362" s="7" t="n">
        <v>0</v>
      </c>
      <c r="F4362" s="7" t="n">
        <v>1</v>
      </c>
      <c r="G4362" s="7" t="n">
        <v>296.53</v>
      </c>
    </row>
    <row r="4363" customFormat="false" ht="15" hidden="false" customHeight="false" outlineLevel="0" collapsed="false">
      <c r="A4363" s="7" t="s">
        <v>24</v>
      </c>
      <c r="B4363" s="7" t="s">
        <v>100</v>
      </c>
      <c r="C4363" s="7" t="s">
        <v>1160</v>
      </c>
      <c r="D4363" s="7" t="n">
        <v>0</v>
      </c>
      <c r="E4363" s="7" t="n">
        <v>0</v>
      </c>
      <c r="F4363" s="7" t="n">
        <v>1</v>
      </c>
      <c r="G4363" s="7" t="n">
        <v>266.87</v>
      </c>
    </row>
    <row r="4364" customFormat="false" ht="15" hidden="false" customHeight="false" outlineLevel="0" collapsed="false">
      <c r="A4364" s="7" t="s">
        <v>24</v>
      </c>
      <c r="B4364" s="7" t="s">
        <v>100</v>
      </c>
      <c r="C4364" s="7" t="s">
        <v>1160</v>
      </c>
      <c r="D4364" s="7" t="n">
        <v>0</v>
      </c>
      <c r="E4364" s="7" t="n">
        <v>0</v>
      </c>
      <c r="F4364" s="7" t="n">
        <v>2</v>
      </c>
      <c r="G4364" s="7" t="n">
        <v>593.06</v>
      </c>
    </row>
    <row r="4365" customFormat="false" ht="15" hidden="false" customHeight="false" outlineLevel="0" collapsed="false">
      <c r="A4365" s="7" t="s">
        <v>24</v>
      </c>
      <c r="B4365" s="7" t="s">
        <v>100</v>
      </c>
      <c r="C4365" s="7" t="s">
        <v>1160</v>
      </c>
      <c r="D4365" s="7" t="n">
        <v>0</v>
      </c>
      <c r="E4365" s="7" t="n">
        <v>0</v>
      </c>
      <c r="F4365" s="7" t="n">
        <v>1</v>
      </c>
      <c r="G4365" s="7" t="n">
        <v>252.05</v>
      </c>
    </row>
    <row r="4366" customFormat="false" ht="15" hidden="false" customHeight="false" outlineLevel="0" collapsed="false">
      <c r="A4366" s="7" t="s">
        <v>24</v>
      </c>
      <c r="B4366" s="7" t="s">
        <v>100</v>
      </c>
      <c r="C4366" s="7" t="s">
        <v>1160</v>
      </c>
      <c r="D4366" s="7" t="n">
        <v>0</v>
      </c>
      <c r="E4366" s="7" t="n">
        <v>0</v>
      </c>
      <c r="F4366" s="7" t="n">
        <v>9</v>
      </c>
      <c r="G4366" s="7" t="n">
        <v>2401.83</v>
      </c>
    </row>
    <row r="4367" customFormat="false" ht="15" hidden="false" customHeight="false" outlineLevel="0" collapsed="false">
      <c r="A4367" s="7" t="s">
        <v>24</v>
      </c>
      <c r="B4367" s="7" t="s">
        <v>100</v>
      </c>
      <c r="C4367" s="7" t="s">
        <v>1160</v>
      </c>
      <c r="D4367" s="7" t="n">
        <v>3</v>
      </c>
      <c r="E4367" s="7" t="n">
        <v>634.97</v>
      </c>
      <c r="F4367" s="7" t="n">
        <v>0</v>
      </c>
      <c r="G4367" s="7" t="n">
        <v>0</v>
      </c>
    </row>
    <row r="4368" customFormat="false" ht="15" hidden="false" customHeight="false" outlineLevel="0" collapsed="false">
      <c r="A4368" s="7" t="s">
        <v>24</v>
      </c>
      <c r="B4368" s="7" t="s">
        <v>100</v>
      </c>
      <c r="C4368" s="7" t="s">
        <v>1160</v>
      </c>
      <c r="D4368" s="7" t="n">
        <v>0</v>
      </c>
      <c r="E4368" s="7" t="n">
        <v>0</v>
      </c>
      <c r="F4368" s="7" t="n">
        <v>5</v>
      </c>
      <c r="G4368" s="7" t="n">
        <v>1452.95</v>
      </c>
    </row>
    <row r="4369" customFormat="false" ht="15" hidden="false" customHeight="false" outlineLevel="0" collapsed="false">
      <c r="A4369" s="7" t="s">
        <v>24</v>
      </c>
      <c r="B4369" s="7" t="s">
        <v>100</v>
      </c>
      <c r="C4369" s="7" t="s">
        <v>1160</v>
      </c>
      <c r="D4369" s="7" t="n">
        <v>0</v>
      </c>
      <c r="E4369" s="7" t="n">
        <v>0</v>
      </c>
      <c r="F4369" s="7" t="n">
        <v>1</v>
      </c>
      <c r="G4369" s="7" t="n">
        <v>296.53</v>
      </c>
    </row>
    <row r="4370" customFormat="false" ht="15" hidden="false" customHeight="false" outlineLevel="0" collapsed="false">
      <c r="A4370" s="7" t="s">
        <v>24</v>
      </c>
      <c r="B4370" s="7" t="s">
        <v>100</v>
      </c>
      <c r="C4370" s="7" t="s">
        <v>1160</v>
      </c>
      <c r="D4370" s="7" t="n">
        <v>0</v>
      </c>
      <c r="E4370" s="7" t="n">
        <v>0</v>
      </c>
      <c r="F4370" s="7" t="n">
        <v>1</v>
      </c>
      <c r="G4370" s="7" t="n">
        <v>0</v>
      </c>
    </row>
    <row r="4371" customFormat="false" ht="15" hidden="false" customHeight="false" outlineLevel="0" collapsed="false">
      <c r="A4371" s="7" t="s">
        <v>24</v>
      </c>
      <c r="B4371" s="7" t="s">
        <v>100</v>
      </c>
      <c r="C4371" s="7" t="s">
        <v>1160</v>
      </c>
      <c r="D4371" s="7" t="n">
        <v>0</v>
      </c>
      <c r="E4371" s="7" t="n">
        <v>0</v>
      </c>
      <c r="F4371" s="7" t="n">
        <v>1</v>
      </c>
      <c r="G4371" s="7" t="n">
        <v>252.05</v>
      </c>
    </row>
    <row r="4372" customFormat="false" ht="15" hidden="false" customHeight="false" outlineLevel="0" collapsed="false">
      <c r="A4372" s="7" t="s">
        <v>24</v>
      </c>
      <c r="B4372" s="7" t="s">
        <v>100</v>
      </c>
      <c r="C4372" s="7" t="s">
        <v>1160</v>
      </c>
      <c r="D4372" s="7" t="n">
        <v>0</v>
      </c>
      <c r="E4372" s="7" t="n">
        <v>0</v>
      </c>
      <c r="F4372" s="7" t="n">
        <v>2</v>
      </c>
      <c r="G4372" s="7" t="n">
        <v>550.68</v>
      </c>
    </row>
    <row r="4373" customFormat="false" ht="15" hidden="false" customHeight="false" outlineLevel="0" collapsed="false">
      <c r="A4373" s="7" t="s">
        <v>24</v>
      </c>
      <c r="B4373" s="7" t="s">
        <v>100</v>
      </c>
      <c r="C4373" s="7" t="s">
        <v>1160</v>
      </c>
      <c r="D4373" s="7" t="n">
        <v>0</v>
      </c>
      <c r="E4373" s="7" t="n">
        <v>0</v>
      </c>
      <c r="F4373" s="7" t="n">
        <v>2</v>
      </c>
      <c r="G4373" s="7" t="n">
        <v>550.76</v>
      </c>
    </row>
    <row r="4374" customFormat="false" ht="15" hidden="false" customHeight="false" outlineLevel="0" collapsed="false">
      <c r="A4374" s="7" t="s">
        <v>24</v>
      </c>
      <c r="B4374" s="7" t="s">
        <v>100</v>
      </c>
      <c r="C4374" s="7" t="s">
        <v>1160</v>
      </c>
      <c r="D4374" s="7" t="n">
        <v>0</v>
      </c>
      <c r="E4374" s="7" t="n">
        <v>0</v>
      </c>
      <c r="F4374" s="7" t="n">
        <v>1</v>
      </c>
      <c r="G4374" s="7" t="n">
        <v>296.53</v>
      </c>
    </row>
    <row r="4375" customFormat="false" ht="15" hidden="false" customHeight="false" outlineLevel="0" collapsed="false">
      <c r="A4375" s="7" t="s">
        <v>24</v>
      </c>
      <c r="B4375" s="7" t="s">
        <v>100</v>
      </c>
      <c r="C4375" s="7" t="s">
        <v>1160</v>
      </c>
      <c r="D4375" s="7" t="n">
        <v>0</v>
      </c>
      <c r="E4375" s="7" t="n">
        <v>0</v>
      </c>
      <c r="F4375" s="7" t="n">
        <v>3</v>
      </c>
      <c r="G4375" s="7" t="n">
        <v>830.28</v>
      </c>
    </row>
    <row r="4376" customFormat="false" ht="15" hidden="false" customHeight="false" outlineLevel="0" collapsed="false">
      <c r="A4376" s="7" t="s">
        <v>24</v>
      </c>
      <c r="B4376" s="7" t="s">
        <v>100</v>
      </c>
      <c r="C4376" s="7" t="s">
        <v>1160</v>
      </c>
      <c r="D4376" s="7" t="n">
        <v>0</v>
      </c>
      <c r="E4376" s="7" t="n">
        <v>0</v>
      </c>
      <c r="F4376" s="7" t="n">
        <v>1</v>
      </c>
      <c r="G4376" s="7" t="n">
        <v>296.53</v>
      </c>
    </row>
    <row r="4377" customFormat="false" ht="15" hidden="false" customHeight="false" outlineLevel="0" collapsed="false">
      <c r="A4377" s="7" t="s">
        <v>24</v>
      </c>
      <c r="B4377" s="7" t="s">
        <v>100</v>
      </c>
      <c r="C4377" s="7" t="s">
        <v>1160</v>
      </c>
      <c r="D4377" s="7" t="n">
        <v>0</v>
      </c>
      <c r="E4377" s="7" t="n">
        <v>0</v>
      </c>
      <c r="F4377" s="7" t="n">
        <v>17</v>
      </c>
      <c r="G4377" s="7" t="n">
        <v>4644.78</v>
      </c>
    </row>
    <row r="4378" customFormat="false" ht="15" hidden="false" customHeight="false" outlineLevel="0" collapsed="false">
      <c r="A4378" s="7" t="s">
        <v>24</v>
      </c>
      <c r="B4378" s="7" t="s">
        <v>100</v>
      </c>
      <c r="C4378" s="7" t="s">
        <v>1160</v>
      </c>
      <c r="D4378" s="7" t="n">
        <v>0</v>
      </c>
      <c r="E4378" s="7" t="n">
        <v>0</v>
      </c>
      <c r="F4378" s="7" t="n">
        <v>1</v>
      </c>
      <c r="G4378" s="7" t="n">
        <v>296.53</v>
      </c>
    </row>
    <row r="4379" customFormat="false" ht="15" hidden="false" customHeight="false" outlineLevel="0" collapsed="false">
      <c r="A4379" s="7" t="s">
        <v>24</v>
      </c>
      <c r="B4379" s="7" t="s">
        <v>100</v>
      </c>
      <c r="C4379" s="7" t="s">
        <v>1160</v>
      </c>
      <c r="D4379" s="7" t="n">
        <v>0</v>
      </c>
      <c r="E4379" s="7" t="n">
        <v>0</v>
      </c>
      <c r="F4379" s="7" t="n">
        <v>11</v>
      </c>
      <c r="G4379" s="7" t="n">
        <v>2994.87</v>
      </c>
    </row>
    <row r="4380" customFormat="false" ht="15" hidden="false" customHeight="false" outlineLevel="0" collapsed="false">
      <c r="A4380" s="7" t="s">
        <v>24</v>
      </c>
      <c r="B4380" s="7" t="s">
        <v>100</v>
      </c>
      <c r="C4380" s="7" t="s">
        <v>1160</v>
      </c>
      <c r="D4380" s="7" t="n">
        <v>0</v>
      </c>
      <c r="E4380" s="7" t="n">
        <v>0</v>
      </c>
      <c r="F4380" s="7" t="n">
        <v>4</v>
      </c>
      <c r="G4380" s="7" t="n">
        <v>847.48</v>
      </c>
    </row>
    <row r="4381" customFormat="false" ht="15" hidden="false" customHeight="false" outlineLevel="0" collapsed="false">
      <c r="A4381" s="7" t="s">
        <v>24</v>
      </c>
      <c r="B4381" s="7" t="s">
        <v>100</v>
      </c>
      <c r="C4381" s="7" t="s">
        <v>1160</v>
      </c>
      <c r="D4381" s="7" t="n">
        <v>0</v>
      </c>
      <c r="E4381" s="7" t="n">
        <v>0</v>
      </c>
      <c r="F4381" s="7" t="n">
        <v>1</v>
      </c>
      <c r="G4381" s="7" t="n">
        <v>266.87</v>
      </c>
    </row>
    <row r="4382" customFormat="false" ht="15" hidden="false" customHeight="false" outlineLevel="0" collapsed="false">
      <c r="A4382" s="7" t="s">
        <v>24</v>
      </c>
      <c r="B4382" s="7" t="s">
        <v>100</v>
      </c>
      <c r="C4382" s="7" t="s">
        <v>1160</v>
      </c>
      <c r="D4382" s="7" t="n">
        <v>0</v>
      </c>
      <c r="E4382" s="7" t="n">
        <v>0</v>
      </c>
      <c r="F4382" s="7" t="n">
        <v>1</v>
      </c>
      <c r="G4382" s="7" t="n">
        <v>296.53</v>
      </c>
    </row>
    <row r="4383" customFormat="false" ht="15" hidden="false" customHeight="false" outlineLevel="0" collapsed="false">
      <c r="A4383" s="7" t="s">
        <v>24</v>
      </c>
      <c r="B4383" s="7" t="s">
        <v>100</v>
      </c>
      <c r="C4383" s="7" t="s">
        <v>1160</v>
      </c>
      <c r="D4383" s="7" t="n">
        <v>0</v>
      </c>
      <c r="E4383" s="7" t="n">
        <v>0</v>
      </c>
      <c r="F4383" s="7" t="n">
        <v>2</v>
      </c>
      <c r="G4383" s="7" t="n">
        <v>533.75</v>
      </c>
    </row>
    <row r="4384" customFormat="false" ht="15" hidden="false" customHeight="false" outlineLevel="0" collapsed="false">
      <c r="A4384" s="7" t="s">
        <v>24</v>
      </c>
      <c r="B4384" s="7" t="s">
        <v>100</v>
      </c>
      <c r="C4384" s="7" t="s">
        <v>1160</v>
      </c>
      <c r="D4384" s="7" t="n">
        <v>0</v>
      </c>
      <c r="E4384" s="7" t="n">
        <v>0</v>
      </c>
      <c r="F4384" s="7" t="n">
        <v>1</v>
      </c>
      <c r="G4384" s="7" t="n">
        <v>266.87</v>
      </c>
    </row>
    <row r="4385" customFormat="false" ht="15" hidden="false" customHeight="false" outlineLevel="0" collapsed="false">
      <c r="A4385" s="7" t="s">
        <v>24</v>
      </c>
      <c r="B4385" s="7" t="s">
        <v>100</v>
      </c>
      <c r="C4385" s="7" t="s">
        <v>1160</v>
      </c>
      <c r="D4385" s="7" t="n">
        <v>0</v>
      </c>
      <c r="E4385" s="7" t="n">
        <v>0</v>
      </c>
      <c r="F4385" s="7" t="n">
        <v>1</v>
      </c>
      <c r="G4385" s="7" t="n">
        <v>296.53</v>
      </c>
    </row>
    <row r="4386" customFormat="false" ht="15" hidden="false" customHeight="false" outlineLevel="0" collapsed="false">
      <c r="A4386" s="7" t="s">
        <v>24</v>
      </c>
      <c r="B4386" s="7" t="s">
        <v>100</v>
      </c>
      <c r="C4386" s="7" t="s">
        <v>1160</v>
      </c>
      <c r="D4386" s="7" t="n">
        <v>0</v>
      </c>
      <c r="E4386" s="7" t="n">
        <v>0</v>
      </c>
      <c r="F4386" s="7" t="n">
        <v>11</v>
      </c>
      <c r="G4386" s="7" t="n">
        <v>2980.06</v>
      </c>
    </row>
    <row r="4387" customFormat="false" ht="15" hidden="false" customHeight="false" outlineLevel="0" collapsed="false">
      <c r="A4387" s="7" t="s">
        <v>24</v>
      </c>
      <c r="B4387" s="7" t="s">
        <v>100</v>
      </c>
      <c r="C4387" s="7" t="s">
        <v>1160</v>
      </c>
      <c r="D4387" s="7" t="n">
        <v>0</v>
      </c>
      <c r="E4387" s="7" t="n">
        <v>0</v>
      </c>
      <c r="F4387" s="7" t="n">
        <v>3</v>
      </c>
      <c r="G4387" s="7" t="n">
        <v>800.61</v>
      </c>
    </row>
    <row r="4388" customFormat="false" ht="15" hidden="false" customHeight="false" outlineLevel="0" collapsed="false">
      <c r="A4388" s="7" t="s">
        <v>24</v>
      </c>
      <c r="B4388" s="7" t="s">
        <v>100</v>
      </c>
      <c r="C4388" s="7" t="s">
        <v>1160</v>
      </c>
      <c r="D4388" s="7" t="n">
        <v>0</v>
      </c>
      <c r="E4388" s="7" t="n">
        <v>0</v>
      </c>
      <c r="F4388" s="7" t="n">
        <v>1</v>
      </c>
      <c r="G4388" s="7" t="n">
        <v>266.87</v>
      </c>
    </row>
    <row r="4389" customFormat="false" ht="15" hidden="false" customHeight="false" outlineLevel="0" collapsed="false">
      <c r="A4389" s="7" t="s">
        <v>24</v>
      </c>
      <c r="B4389" s="7" t="s">
        <v>100</v>
      </c>
      <c r="C4389" s="7" t="s">
        <v>1160</v>
      </c>
      <c r="D4389" s="7" t="n">
        <v>0</v>
      </c>
      <c r="E4389" s="7" t="n">
        <v>0</v>
      </c>
      <c r="F4389" s="7" t="n">
        <v>1</v>
      </c>
      <c r="G4389" s="7" t="n">
        <v>296.53</v>
      </c>
    </row>
    <row r="4390" customFormat="false" ht="15" hidden="false" customHeight="false" outlineLevel="0" collapsed="false">
      <c r="A4390" s="7" t="s">
        <v>24</v>
      </c>
      <c r="B4390" s="7" t="s">
        <v>100</v>
      </c>
      <c r="C4390" s="7" t="s">
        <v>1160</v>
      </c>
      <c r="D4390" s="7" t="n">
        <v>0</v>
      </c>
      <c r="E4390" s="7" t="n">
        <v>0</v>
      </c>
      <c r="F4390" s="7" t="n">
        <v>3</v>
      </c>
      <c r="G4390" s="7" t="n">
        <v>830.28</v>
      </c>
    </row>
    <row r="4391" customFormat="false" ht="15" hidden="false" customHeight="false" outlineLevel="0" collapsed="false">
      <c r="A4391" s="7" t="s">
        <v>24</v>
      </c>
      <c r="B4391" s="7" t="s">
        <v>100</v>
      </c>
      <c r="C4391" s="7" t="s">
        <v>1160</v>
      </c>
      <c r="D4391" s="7" t="n">
        <v>0</v>
      </c>
      <c r="E4391" s="7" t="n">
        <v>0</v>
      </c>
      <c r="F4391" s="7" t="n">
        <v>2</v>
      </c>
      <c r="G4391" s="7" t="n">
        <v>593.06</v>
      </c>
    </row>
    <row r="4392" customFormat="false" ht="15" hidden="false" customHeight="false" outlineLevel="0" collapsed="false">
      <c r="A4392" s="7" t="s">
        <v>24</v>
      </c>
      <c r="B4392" s="7" t="s">
        <v>100</v>
      </c>
      <c r="C4392" s="7" t="s">
        <v>1160</v>
      </c>
      <c r="D4392" s="7" t="n">
        <v>0</v>
      </c>
      <c r="E4392" s="7" t="n">
        <v>0</v>
      </c>
      <c r="F4392" s="7" t="n">
        <v>2</v>
      </c>
      <c r="G4392" s="7" t="n">
        <v>533.75</v>
      </c>
    </row>
    <row r="4393" customFormat="false" ht="15" hidden="false" customHeight="false" outlineLevel="0" collapsed="false">
      <c r="A4393" s="7" t="s">
        <v>24</v>
      </c>
      <c r="B4393" s="7" t="s">
        <v>100</v>
      </c>
      <c r="C4393" s="7" t="s">
        <v>1160</v>
      </c>
      <c r="D4393" s="7" t="n">
        <v>0</v>
      </c>
      <c r="E4393" s="7" t="n">
        <v>0</v>
      </c>
      <c r="F4393" s="7" t="n">
        <v>1</v>
      </c>
      <c r="G4393" s="7" t="n">
        <v>296.53</v>
      </c>
    </row>
    <row r="4394" customFormat="false" ht="15" hidden="false" customHeight="false" outlineLevel="0" collapsed="false">
      <c r="A4394" s="7" t="s">
        <v>24</v>
      </c>
      <c r="B4394" s="7" t="s">
        <v>100</v>
      </c>
      <c r="C4394" s="7" t="s">
        <v>1160</v>
      </c>
      <c r="D4394" s="7" t="n">
        <v>0</v>
      </c>
      <c r="E4394" s="7" t="n">
        <v>0</v>
      </c>
      <c r="F4394" s="7" t="n">
        <v>1</v>
      </c>
      <c r="G4394" s="7" t="n">
        <v>211.78</v>
      </c>
    </row>
    <row r="4395" customFormat="false" ht="15" hidden="false" customHeight="false" outlineLevel="0" collapsed="false">
      <c r="A4395" s="7" t="s">
        <v>24</v>
      </c>
      <c r="B4395" s="7" t="s">
        <v>100</v>
      </c>
      <c r="C4395" s="7" t="s">
        <v>1160</v>
      </c>
      <c r="D4395" s="7" t="n">
        <v>0</v>
      </c>
      <c r="E4395" s="7" t="n">
        <v>0</v>
      </c>
      <c r="F4395" s="7" t="n">
        <v>5</v>
      </c>
      <c r="G4395" s="7" t="n">
        <v>1349.18</v>
      </c>
    </row>
    <row r="4396" customFormat="false" ht="15" hidden="false" customHeight="false" outlineLevel="0" collapsed="false">
      <c r="A4396" s="7" t="s">
        <v>24</v>
      </c>
      <c r="B4396" s="7" t="s">
        <v>100</v>
      </c>
      <c r="C4396" s="7" t="s">
        <v>1160</v>
      </c>
      <c r="D4396" s="7" t="n">
        <v>0</v>
      </c>
      <c r="E4396" s="7" t="n">
        <v>0</v>
      </c>
      <c r="F4396" s="7" t="n">
        <v>3</v>
      </c>
      <c r="G4396" s="7" t="n">
        <v>830.26</v>
      </c>
    </row>
    <row r="4397" customFormat="false" ht="15" hidden="false" customHeight="false" outlineLevel="0" collapsed="false">
      <c r="A4397" s="7" t="s">
        <v>24</v>
      </c>
      <c r="B4397" s="7" t="s">
        <v>100</v>
      </c>
      <c r="C4397" s="7" t="s">
        <v>1160</v>
      </c>
      <c r="D4397" s="7" t="n">
        <v>0</v>
      </c>
      <c r="E4397" s="7" t="n">
        <v>0</v>
      </c>
      <c r="F4397" s="7" t="n">
        <v>4</v>
      </c>
      <c r="G4397" s="7" t="n">
        <v>1067.48</v>
      </c>
    </row>
    <row r="4398" customFormat="false" ht="15" hidden="false" customHeight="false" outlineLevel="0" collapsed="false">
      <c r="A4398" s="7" t="s">
        <v>24</v>
      </c>
      <c r="B4398" s="7" t="s">
        <v>100</v>
      </c>
      <c r="C4398" s="7" t="s">
        <v>1160</v>
      </c>
      <c r="D4398" s="7" t="n">
        <v>0</v>
      </c>
      <c r="E4398" s="7" t="n">
        <v>0</v>
      </c>
      <c r="F4398" s="7" t="n">
        <v>3</v>
      </c>
      <c r="G4398" s="7" t="n">
        <v>830.26</v>
      </c>
    </row>
    <row r="4399" customFormat="false" ht="15" hidden="false" customHeight="false" outlineLevel="0" collapsed="false">
      <c r="A4399" s="7" t="s">
        <v>24</v>
      </c>
      <c r="B4399" s="7" t="s">
        <v>100</v>
      </c>
      <c r="C4399" s="7" t="s">
        <v>1160</v>
      </c>
      <c r="D4399" s="7" t="n">
        <v>0</v>
      </c>
      <c r="E4399" s="7" t="n">
        <v>0</v>
      </c>
      <c r="F4399" s="7" t="n">
        <v>1</v>
      </c>
      <c r="G4399" s="7" t="n">
        <v>266.87</v>
      </c>
    </row>
    <row r="4400" customFormat="false" ht="15" hidden="false" customHeight="false" outlineLevel="0" collapsed="false">
      <c r="A4400" s="7" t="s">
        <v>24</v>
      </c>
      <c r="B4400" s="7" t="s">
        <v>100</v>
      </c>
      <c r="C4400" s="7" t="s">
        <v>1160</v>
      </c>
      <c r="D4400" s="7" t="n">
        <v>0</v>
      </c>
      <c r="E4400" s="7" t="n">
        <v>0</v>
      </c>
      <c r="F4400" s="7" t="n">
        <v>1</v>
      </c>
      <c r="G4400" s="7" t="n">
        <v>296.53</v>
      </c>
    </row>
    <row r="4401" customFormat="false" ht="15" hidden="false" customHeight="false" outlineLevel="0" collapsed="false">
      <c r="A4401" s="7" t="s">
        <v>24</v>
      </c>
      <c r="B4401" s="7" t="s">
        <v>100</v>
      </c>
      <c r="C4401" s="7" t="s">
        <v>1160</v>
      </c>
      <c r="D4401" s="7" t="n">
        <v>0</v>
      </c>
      <c r="E4401" s="7" t="n">
        <v>0</v>
      </c>
      <c r="F4401" s="7" t="n">
        <v>1</v>
      </c>
      <c r="G4401" s="7" t="n">
        <v>252.05</v>
      </c>
    </row>
    <row r="4402" customFormat="false" ht="15" hidden="false" customHeight="false" outlineLevel="0" collapsed="false">
      <c r="A4402" s="7" t="s">
        <v>24</v>
      </c>
      <c r="B4402" s="7" t="s">
        <v>100</v>
      </c>
      <c r="C4402" s="7" t="s">
        <v>1160</v>
      </c>
      <c r="D4402" s="7" t="n">
        <v>0</v>
      </c>
      <c r="E4402" s="7" t="n">
        <v>0</v>
      </c>
      <c r="F4402" s="7" t="n">
        <v>1</v>
      </c>
      <c r="G4402" s="7" t="n">
        <v>252.05</v>
      </c>
    </row>
    <row r="4403" customFormat="false" ht="15" hidden="false" customHeight="false" outlineLevel="0" collapsed="false">
      <c r="A4403" s="7" t="s">
        <v>24</v>
      </c>
      <c r="B4403" s="7" t="s">
        <v>100</v>
      </c>
      <c r="C4403" s="7" t="s">
        <v>1160</v>
      </c>
      <c r="D4403" s="7" t="n">
        <v>1</v>
      </c>
      <c r="E4403" s="7" t="n">
        <v>211.54</v>
      </c>
      <c r="F4403" s="7" t="n">
        <v>0</v>
      </c>
      <c r="G4403" s="7" t="n">
        <v>0</v>
      </c>
    </row>
    <row r="4404" customFormat="false" ht="15" hidden="false" customHeight="false" outlineLevel="0" collapsed="false">
      <c r="A4404" s="7" t="s">
        <v>24</v>
      </c>
      <c r="B4404" s="7" t="s">
        <v>100</v>
      </c>
      <c r="C4404" s="7" t="s">
        <v>1160</v>
      </c>
      <c r="D4404" s="7" t="n">
        <v>0</v>
      </c>
      <c r="E4404" s="7" t="n">
        <v>0</v>
      </c>
      <c r="F4404" s="7" t="n">
        <v>1</v>
      </c>
      <c r="G4404" s="7" t="n">
        <v>252.05</v>
      </c>
    </row>
    <row r="4405" customFormat="false" ht="15" hidden="false" customHeight="false" outlineLevel="0" collapsed="false">
      <c r="A4405" s="7" t="s">
        <v>24</v>
      </c>
      <c r="B4405" s="7" t="s">
        <v>100</v>
      </c>
      <c r="C4405" s="7" t="s">
        <v>1160</v>
      </c>
      <c r="D4405" s="7" t="n">
        <v>0</v>
      </c>
      <c r="E4405" s="7" t="n">
        <v>0</v>
      </c>
      <c r="F4405" s="7" t="n">
        <v>2</v>
      </c>
      <c r="G4405" s="7" t="n">
        <v>563.39</v>
      </c>
    </row>
    <row r="4406" customFormat="false" ht="15" hidden="false" customHeight="false" outlineLevel="0" collapsed="false">
      <c r="A4406" s="7" t="s">
        <v>24</v>
      </c>
      <c r="B4406" s="7" t="s">
        <v>100</v>
      </c>
      <c r="C4406" s="7" t="s">
        <v>1160</v>
      </c>
      <c r="D4406" s="7" t="n">
        <v>0</v>
      </c>
      <c r="E4406" s="7" t="n">
        <v>0</v>
      </c>
      <c r="F4406" s="7" t="n">
        <v>6</v>
      </c>
      <c r="G4406" s="7" t="n">
        <v>1694.43</v>
      </c>
    </row>
    <row r="4407" customFormat="false" ht="15" hidden="false" customHeight="false" outlineLevel="0" collapsed="false">
      <c r="A4407" s="7" t="s">
        <v>24</v>
      </c>
      <c r="B4407" s="7" t="s">
        <v>100</v>
      </c>
      <c r="C4407" s="7" t="s">
        <v>1160</v>
      </c>
      <c r="D4407" s="7" t="n">
        <v>0</v>
      </c>
      <c r="E4407" s="7" t="n">
        <v>0</v>
      </c>
      <c r="F4407" s="7" t="n">
        <v>25</v>
      </c>
      <c r="G4407" s="7" t="n">
        <v>6964.22</v>
      </c>
    </row>
    <row r="4408" customFormat="false" ht="15" hidden="false" customHeight="false" outlineLevel="0" collapsed="false">
      <c r="A4408" s="7" t="s">
        <v>24</v>
      </c>
      <c r="B4408" s="7" t="s">
        <v>100</v>
      </c>
      <c r="C4408" s="7" t="s">
        <v>1160</v>
      </c>
      <c r="D4408" s="7" t="n">
        <v>0</v>
      </c>
      <c r="E4408" s="7" t="n">
        <v>0</v>
      </c>
      <c r="F4408" s="7" t="n">
        <v>2</v>
      </c>
      <c r="G4408" s="7" t="n">
        <v>548.57</v>
      </c>
    </row>
    <row r="4409" customFormat="false" ht="15" hidden="false" customHeight="false" outlineLevel="0" collapsed="false">
      <c r="A4409" s="7" t="s">
        <v>24</v>
      </c>
      <c r="B4409" s="7" t="s">
        <v>100</v>
      </c>
      <c r="C4409" s="7" t="s">
        <v>1160</v>
      </c>
      <c r="D4409" s="7" t="n">
        <v>0</v>
      </c>
      <c r="E4409" s="7" t="n">
        <v>0</v>
      </c>
      <c r="F4409" s="7" t="n">
        <v>1</v>
      </c>
      <c r="G4409" s="7" t="n">
        <v>296.53</v>
      </c>
    </row>
    <row r="4410" customFormat="false" ht="15" hidden="false" customHeight="false" outlineLevel="0" collapsed="false">
      <c r="A4410" s="7" t="s">
        <v>24</v>
      </c>
      <c r="B4410" s="7" t="s">
        <v>100</v>
      </c>
      <c r="C4410" s="7" t="s">
        <v>1160</v>
      </c>
      <c r="D4410" s="7" t="n">
        <v>0</v>
      </c>
      <c r="E4410" s="7" t="n">
        <v>0</v>
      </c>
      <c r="F4410" s="7" t="n">
        <v>1</v>
      </c>
      <c r="G4410" s="7" t="n">
        <v>296.53</v>
      </c>
    </row>
    <row r="4411" customFormat="false" ht="15" hidden="false" customHeight="false" outlineLevel="0" collapsed="false">
      <c r="A4411" s="7" t="s">
        <v>24</v>
      </c>
      <c r="B4411" s="7" t="s">
        <v>100</v>
      </c>
      <c r="C4411" s="7" t="s">
        <v>1160</v>
      </c>
      <c r="D4411" s="7" t="n">
        <v>0</v>
      </c>
      <c r="E4411" s="7" t="n">
        <v>0</v>
      </c>
      <c r="F4411" s="7" t="n">
        <v>1</v>
      </c>
      <c r="G4411" s="7" t="n">
        <v>266.87</v>
      </c>
    </row>
    <row r="4412" customFormat="false" ht="15" hidden="false" customHeight="false" outlineLevel="0" collapsed="false">
      <c r="A4412" s="7" t="s">
        <v>24</v>
      </c>
      <c r="B4412" s="7" t="s">
        <v>100</v>
      </c>
      <c r="C4412" s="7" t="s">
        <v>1160</v>
      </c>
      <c r="D4412" s="7" t="n">
        <v>0</v>
      </c>
      <c r="E4412" s="7" t="n">
        <v>0</v>
      </c>
      <c r="F4412" s="7" t="n">
        <v>1</v>
      </c>
      <c r="G4412" s="7" t="n">
        <v>211.78</v>
      </c>
    </row>
    <row r="4413" customFormat="false" ht="15" hidden="false" customHeight="false" outlineLevel="0" collapsed="false">
      <c r="A4413" s="7" t="s">
        <v>24</v>
      </c>
      <c r="B4413" s="7" t="s">
        <v>100</v>
      </c>
      <c r="C4413" s="7" t="s">
        <v>1160</v>
      </c>
      <c r="D4413" s="7" t="n">
        <v>0</v>
      </c>
      <c r="E4413" s="7" t="n">
        <v>0</v>
      </c>
      <c r="F4413" s="7" t="n">
        <v>8</v>
      </c>
      <c r="G4413" s="7" t="n">
        <v>2094.7</v>
      </c>
    </row>
    <row r="4414" customFormat="false" ht="15" hidden="false" customHeight="false" outlineLevel="0" collapsed="false">
      <c r="A4414" s="7" t="s">
        <v>24</v>
      </c>
      <c r="B4414" s="7" t="s">
        <v>100</v>
      </c>
      <c r="C4414" s="7" t="s">
        <v>1160</v>
      </c>
      <c r="D4414" s="7" t="n">
        <v>0</v>
      </c>
      <c r="E4414" s="7" t="n">
        <v>0</v>
      </c>
      <c r="F4414" s="7" t="n">
        <v>26</v>
      </c>
      <c r="G4414" s="7" t="n">
        <v>7131.36</v>
      </c>
    </row>
    <row r="4415" customFormat="false" ht="15" hidden="false" customHeight="false" outlineLevel="0" collapsed="false">
      <c r="A4415" s="7" t="s">
        <v>24</v>
      </c>
      <c r="B4415" s="7" t="s">
        <v>100</v>
      </c>
      <c r="C4415" s="7" t="s">
        <v>1160</v>
      </c>
      <c r="D4415" s="7" t="n">
        <v>0</v>
      </c>
      <c r="E4415" s="7" t="n">
        <v>0</v>
      </c>
      <c r="F4415" s="7" t="n">
        <v>1</v>
      </c>
      <c r="G4415" s="7" t="n">
        <v>266.87</v>
      </c>
    </row>
    <row r="4416" customFormat="false" ht="15" hidden="false" customHeight="false" outlineLevel="0" collapsed="false">
      <c r="A4416" s="7" t="s">
        <v>24</v>
      </c>
      <c r="B4416" s="7" t="s">
        <v>100</v>
      </c>
      <c r="C4416" s="7" t="s">
        <v>1160</v>
      </c>
      <c r="D4416" s="7" t="n">
        <v>0</v>
      </c>
      <c r="E4416" s="7" t="n">
        <v>0</v>
      </c>
      <c r="F4416" s="7" t="n">
        <v>2</v>
      </c>
      <c r="G4416" s="7" t="n">
        <v>550.76</v>
      </c>
    </row>
    <row r="4417" customFormat="false" ht="15" hidden="false" customHeight="false" outlineLevel="0" collapsed="false">
      <c r="A4417" s="7" t="s">
        <v>24</v>
      </c>
      <c r="B4417" s="7" t="s">
        <v>100</v>
      </c>
      <c r="C4417" s="7" t="s">
        <v>1160</v>
      </c>
      <c r="D4417" s="7" t="n">
        <v>0</v>
      </c>
      <c r="E4417" s="7" t="n">
        <v>0</v>
      </c>
      <c r="F4417" s="7" t="n">
        <v>1</v>
      </c>
      <c r="G4417" s="7" t="n">
        <v>296.53</v>
      </c>
    </row>
    <row r="4418" customFormat="false" ht="15" hidden="false" customHeight="false" outlineLevel="0" collapsed="false">
      <c r="A4418" s="7" t="s">
        <v>24</v>
      </c>
      <c r="B4418" s="7" t="s">
        <v>100</v>
      </c>
      <c r="C4418" s="7" t="s">
        <v>1160</v>
      </c>
      <c r="D4418" s="7" t="n">
        <v>0</v>
      </c>
      <c r="E4418" s="7" t="n">
        <v>0</v>
      </c>
      <c r="F4418" s="7" t="n">
        <v>2</v>
      </c>
      <c r="G4418" s="7" t="n">
        <v>550.76</v>
      </c>
    </row>
    <row r="4419" customFormat="false" ht="15" hidden="false" customHeight="false" outlineLevel="0" collapsed="false">
      <c r="A4419" s="7" t="s">
        <v>24</v>
      </c>
      <c r="B4419" s="7" t="s">
        <v>100</v>
      </c>
      <c r="C4419" s="7" t="s">
        <v>1160</v>
      </c>
      <c r="D4419" s="7" t="n">
        <v>0</v>
      </c>
      <c r="E4419" s="7" t="n">
        <v>0</v>
      </c>
      <c r="F4419" s="7" t="n">
        <v>2</v>
      </c>
      <c r="G4419" s="7" t="n">
        <v>550.76</v>
      </c>
    </row>
    <row r="4420" customFormat="false" ht="15" hidden="false" customHeight="false" outlineLevel="0" collapsed="false">
      <c r="A4420" s="7" t="s">
        <v>24</v>
      </c>
      <c r="B4420" s="7" t="s">
        <v>100</v>
      </c>
      <c r="C4420" s="7" t="s">
        <v>1160</v>
      </c>
      <c r="D4420" s="7" t="n">
        <v>0</v>
      </c>
      <c r="E4420" s="7" t="n">
        <v>0</v>
      </c>
      <c r="F4420" s="7" t="n">
        <v>4</v>
      </c>
      <c r="G4420" s="7" t="n">
        <v>1186.12</v>
      </c>
    </row>
    <row r="4421" customFormat="false" ht="15" hidden="false" customHeight="false" outlineLevel="0" collapsed="false">
      <c r="A4421" s="7" t="s">
        <v>24</v>
      </c>
      <c r="B4421" s="7" t="s">
        <v>100</v>
      </c>
      <c r="C4421" s="7" t="s">
        <v>1160</v>
      </c>
      <c r="D4421" s="7" t="n">
        <v>0</v>
      </c>
      <c r="E4421" s="7" t="n">
        <v>0</v>
      </c>
      <c r="F4421" s="7" t="n">
        <v>1</v>
      </c>
      <c r="G4421" s="7" t="n">
        <v>266.87</v>
      </c>
    </row>
    <row r="4422" customFormat="false" ht="15" hidden="false" customHeight="false" outlineLevel="0" collapsed="false">
      <c r="A4422" s="7" t="s">
        <v>24</v>
      </c>
      <c r="B4422" s="7" t="s">
        <v>100</v>
      </c>
      <c r="C4422" s="7" t="s">
        <v>1160</v>
      </c>
      <c r="D4422" s="7" t="n">
        <v>0</v>
      </c>
      <c r="E4422" s="7" t="n">
        <v>0</v>
      </c>
      <c r="F4422" s="7" t="n">
        <v>2</v>
      </c>
      <c r="G4422" s="7" t="n">
        <v>550.76</v>
      </c>
    </row>
    <row r="4423" customFormat="false" ht="15" hidden="false" customHeight="false" outlineLevel="0" collapsed="false">
      <c r="A4423" s="7" t="s">
        <v>24</v>
      </c>
      <c r="B4423" s="7" t="s">
        <v>100</v>
      </c>
      <c r="C4423" s="7" t="s">
        <v>1160</v>
      </c>
      <c r="D4423" s="7" t="n">
        <v>0</v>
      </c>
      <c r="E4423" s="7" t="n">
        <v>0</v>
      </c>
      <c r="F4423" s="7" t="n">
        <v>1</v>
      </c>
      <c r="G4423" s="7" t="n">
        <v>266.87</v>
      </c>
    </row>
    <row r="4424" customFormat="false" ht="15" hidden="false" customHeight="false" outlineLevel="0" collapsed="false">
      <c r="A4424" s="7" t="s">
        <v>24</v>
      </c>
      <c r="B4424" s="7" t="s">
        <v>100</v>
      </c>
      <c r="C4424" s="7" t="s">
        <v>1160</v>
      </c>
      <c r="D4424" s="7" t="n">
        <v>0</v>
      </c>
      <c r="E4424" s="7" t="n">
        <v>0</v>
      </c>
      <c r="F4424" s="7" t="n">
        <v>7</v>
      </c>
      <c r="G4424" s="7" t="n">
        <v>2016.4</v>
      </c>
    </row>
    <row r="4425" customFormat="false" ht="15" hidden="false" customHeight="false" outlineLevel="0" collapsed="false">
      <c r="A4425" s="7" t="s">
        <v>24</v>
      </c>
      <c r="B4425" s="7" t="s">
        <v>100</v>
      </c>
      <c r="C4425" s="7" t="s">
        <v>1160</v>
      </c>
      <c r="D4425" s="7" t="n">
        <v>0</v>
      </c>
      <c r="E4425" s="7" t="n">
        <v>0</v>
      </c>
      <c r="F4425" s="7" t="n">
        <v>2</v>
      </c>
      <c r="G4425" s="7" t="n">
        <v>533.75</v>
      </c>
    </row>
    <row r="4426" customFormat="false" ht="15" hidden="false" customHeight="false" outlineLevel="0" collapsed="false">
      <c r="A4426" s="7" t="s">
        <v>24</v>
      </c>
      <c r="B4426" s="7" t="s">
        <v>100</v>
      </c>
      <c r="C4426" s="7" t="s">
        <v>1160</v>
      </c>
      <c r="D4426" s="7" t="n">
        <v>0</v>
      </c>
      <c r="E4426" s="7" t="n">
        <v>0</v>
      </c>
      <c r="F4426" s="7" t="n">
        <v>4</v>
      </c>
      <c r="G4426" s="7" t="n">
        <v>1156.47</v>
      </c>
    </row>
    <row r="4427" customFormat="false" ht="15" hidden="false" customHeight="false" outlineLevel="0" collapsed="false">
      <c r="A4427" s="7" t="s">
        <v>24</v>
      </c>
      <c r="B4427" s="7" t="s">
        <v>100</v>
      </c>
      <c r="C4427" s="7" t="s">
        <v>1160</v>
      </c>
      <c r="D4427" s="7" t="n">
        <v>0</v>
      </c>
      <c r="E4427" s="7" t="n">
        <v>0</v>
      </c>
      <c r="F4427" s="7" t="n">
        <v>2</v>
      </c>
      <c r="G4427" s="7" t="n">
        <v>550.76</v>
      </c>
    </row>
    <row r="4428" customFormat="false" ht="15" hidden="false" customHeight="false" outlineLevel="0" collapsed="false">
      <c r="A4428" s="7" t="s">
        <v>24</v>
      </c>
      <c r="B4428" s="7" t="s">
        <v>100</v>
      </c>
      <c r="C4428" s="7" t="s">
        <v>1160</v>
      </c>
      <c r="D4428" s="7" t="n">
        <v>0</v>
      </c>
      <c r="E4428" s="7" t="n">
        <v>0</v>
      </c>
      <c r="F4428" s="7" t="n">
        <v>2</v>
      </c>
      <c r="G4428" s="7" t="n">
        <v>533.75</v>
      </c>
    </row>
    <row r="4429" customFormat="false" ht="15" hidden="false" customHeight="false" outlineLevel="0" collapsed="false">
      <c r="A4429" s="7" t="s">
        <v>24</v>
      </c>
      <c r="B4429" s="7" t="s">
        <v>100</v>
      </c>
      <c r="C4429" s="7" t="s">
        <v>1160</v>
      </c>
      <c r="D4429" s="7" t="n">
        <v>0</v>
      </c>
      <c r="E4429" s="7" t="n">
        <v>0</v>
      </c>
      <c r="F4429" s="7" t="n">
        <v>1</v>
      </c>
      <c r="G4429" s="7" t="n">
        <v>254.15</v>
      </c>
    </row>
    <row r="4430" customFormat="false" ht="15" hidden="false" customHeight="false" outlineLevel="0" collapsed="false">
      <c r="A4430" s="7" t="s">
        <v>24</v>
      </c>
      <c r="B4430" s="7" t="s">
        <v>100</v>
      </c>
      <c r="C4430" s="7" t="s">
        <v>1160</v>
      </c>
      <c r="D4430" s="7" t="n">
        <v>0</v>
      </c>
      <c r="E4430" s="7" t="n">
        <v>0</v>
      </c>
      <c r="F4430" s="7" t="n">
        <v>2</v>
      </c>
      <c r="G4430" s="7" t="n">
        <v>518.92</v>
      </c>
    </row>
    <row r="4431" customFormat="false" ht="15" hidden="false" customHeight="false" outlineLevel="0" collapsed="false">
      <c r="A4431" s="7" t="s">
        <v>24</v>
      </c>
      <c r="B4431" s="7" t="s">
        <v>100</v>
      </c>
      <c r="C4431" s="7" t="s">
        <v>1160</v>
      </c>
      <c r="D4431" s="7" t="n">
        <v>0</v>
      </c>
      <c r="E4431" s="7" t="n">
        <v>0</v>
      </c>
      <c r="F4431" s="7" t="n">
        <v>2</v>
      </c>
      <c r="G4431" s="7" t="n">
        <v>533.75</v>
      </c>
    </row>
    <row r="4432" customFormat="false" ht="15" hidden="false" customHeight="false" outlineLevel="0" collapsed="false">
      <c r="A4432" s="7" t="s">
        <v>24</v>
      </c>
      <c r="B4432" s="7" t="s">
        <v>100</v>
      </c>
      <c r="C4432" s="7" t="s">
        <v>1160</v>
      </c>
      <c r="D4432" s="7" t="n">
        <v>0</v>
      </c>
      <c r="E4432" s="7" t="n">
        <v>0</v>
      </c>
      <c r="F4432" s="7" t="n">
        <v>5</v>
      </c>
      <c r="G4432" s="7" t="n">
        <v>1338.56</v>
      </c>
    </row>
    <row r="4433" customFormat="false" ht="15" hidden="false" customHeight="false" outlineLevel="0" collapsed="false">
      <c r="A4433" s="7" t="s">
        <v>24</v>
      </c>
      <c r="B4433" s="7" t="s">
        <v>100</v>
      </c>
      <c r="C4433" s="7" t="s">
        <v>1160</v>
      </c>
      <c r="D4433" s="7" t="n">
        <v>0</v>
      </c>
      <c r="E4433" s="7" t="n">
        <v>0</v>
      </c>
      <c r="F4433" s="7" t="n">
        <v>3</v>
      </c>
      <c r="G4433" s="7" t="n">
        <v>773.07</v>
      </c>
    </row>
    <row r="4434" customFormat="false" ht="15" hidden="false" customHeight="false" outlineLevel="0" collapsed="false">
      <c r="A4434" s="7" t="s">
        <v>24</v>
      </c>
      <c r="B4434" s="7" t="s">
        <v>100</v>
      </c>
      <c r="C4434" s="7" t="s">
        <v>1160</v>
      </c>
      <c r="D4434" s="7" t="n">
        <v>0</v>
      </c>
      <c r="E4434" s="7" t="n">
        <v>0</v>
      </c>
      <c r="F4434" s="7" t="n">
        <v>1</v>
      </c>
      <c r="G4434" s="7" t="n">
        <v>296.53</v>
      </c>
    </row>
    <row r="4435" customFormat="false" ht="15" hidden="false" customHeight="false" outlineLevel="0" collapsed="false">
      <c r="A4435" s="7" t="s">
        <v>24</v>
      </c>
      <c r="B4435" s="7" t="s">
        <v>100</v>
      </c>
      <c r="C4435" s="7" t="s">
        <v>1160</v>
      </c>
      <c r="D4435" s="7" t="n">
        <v>0</v>
      </c>
      <c r="E4435" s="7" t="n">
        <v>0</v>
      </c>
      <c r="F4435" s="7" t="n">
        <v>1</v>
      </c>
      <c r="G4435" s="7" t="n">
        <v>296.52</v>
      </c>
    </row>
    <row r="4436" customFormat="false" ht="15" hidden="false" customHeight="false" outlineLevel="0" collapsed="false">
      <c r="A4436" s="7" t="s">
        <v>24</v>
      </c>
      <c r="B4436" s="7" t="s">
        <v>100</v>
      </c>
      <c r="C4436" s="7" t="s">
        <v>1160</v>
      </c>
      <c r="D4436" s="7" t="n">
        <v>0</v>
      </c>
      <c r="E4436" s="7" t="n">
        <v>0</v>
      </c>
      <c r="F4436" s="7" t="n">
        <v>1</v>
      </c>
      <c r="G4436" s="7" t="n">
        <v>266.87</v>
      </c>
    </row>
    <row r="4437" customFormat="false" ht="15" hidden="false" customHeight="false" outlineLevel="0" collapsed="false">
      <c r="A4437" s="7" t="s">
        <v>24</v>
      </c>
      <c r="B4437" s="7" t="s">
        <v>100</v>
      </c>
      <c r="C4437" s="7" t="s">
        <v>1160</v>
      </c>
      <c r="D4437" s="7" t="n">
        <v>0</v>
      </c>
      <c r="E4437" s="7" t="n">
        <v>0</v>
      </c>
      <c r="F4437" s="7" t="n">
        <v>10</v>
      </c>
      <c r="G4437" s="7" t="n">
        <v>2698.65</v>
      </c>
    </row>
    <row r="4438" customFormat="false" ht="15" hidden="false" customHeight="false" outlineLevel="0" collapsed="false">
      <c r="A4438" s="7" t="s">
        <v>24</v>
      </c>
      <c r="B4438" s="7" t="s">
        <v>100</v>
      </c>
      <c r="C4438" s="7" t="s">
        <v>1160</v>
      </c>
      <c r="D4438" s="7" t="n">
        <v>0</v>
      </c>
      <c r="E4438" s="7" t="n">
        <v>0</v>
      </c>
      <c r="F4438" s="7" t="n">
        <v>1</v>
      </c>
      <c r="G4438" s="7" t="n">
        <v>266.87</v>
      </c>
    </row>
    <row r="4439" customFormat="false" ht="15" hidden="false" customHeight="false" outlineLevel="0" collapsed="false">
      <c r="A4439" s="7" t="s">
        <v>24</v>
      </c>
      <c r="B4439" s="7" t="s">
        <v>100</v>
      </c>
      <c r="C4439" s="7" t="s">
        <v>1160</v>
      </c>
      <c r="D4439" s="7" t="n">
        <v>0</v>
      </c>
      <c r="E4439" s="7" t="n">
        <v>0</v>
      </c>
      <c r="F4439" s="7" t="n">
        <v>1</v>
      </c>
      <c r="G4439" s="7" t="n">
        <v>296.53</v>
      </c>
    </row>
    <row r="4440" customFormat="false" ht="15" hidden="false" customHeight="false" outlineLevel="0" collapsed="false">
      <c r="A4440" s="7" t="s">
        <v>24</v>
      </c>
      <c r="B4440" s="7" t="s">
        <v>100</v>
      </c>
      <c r="C4440" s="7" t="s">
        <v>1160</v>
      </c>
      <c r="D4440" s="7" t="n">
        <v>0</v>
      </c>
      <c r="E4440" s="7" t="n">
        <v>0</v>
      </c>
      <c r="F4440" s="7" t="n">
        <v>1</v>
      </c>
      <c r="G4440" s="7" t="n">
        <v>296.52</v>
      </c>
    </row>
    <row r="4441" customFormat="false" ht="15" hidden="false" customHeight="false" outlineLevel="0" collapsed="false">
      <c r="A4441" s="7" t="s">
        <v>24</v>
      </c>
      <c r="B4441" s="7" t="s">
        <v>100</v>
      </c>
      <c r="C4441" s="7" t="s">
        <v>1160</v>
      </c>
      <c r="D4441" s="7" t="n">
        <v>0</v>
      </c>
      <c r="E4441" s="7" t="n">
        <v>0</v>
      </c>
      <c r="F4441" s="7" t="n">
        <v>1</v>
      </c>
      <c r="G4441" s="7" t="n">
        <v>266.87</v>
      </c>
    </row>
    <row r="4442" customFormat="false" ht="15" hidden="false" customHeight="false" outlineLevel="0" collapsed="false">
      <c r="A4442" s="7" t="s">
        <v>24</v>
      </c>
      <c r="B4442" s="7" t="s">
        <v>100</v>
      </c>
      <c r="C4442" s="7" t="s">
        <v>1160</v>
      </c>
      <c r="D4442" s="7" t="n">
        <v>0</v>
      </c>
      <c r="E4442" s="7" t="n">
        <v>0</v>
      </c>
      <c r="F4442" s="7" t="n">
        <v>2</v>
      </c>
      <c r="G4442" s="7" t="n">
        <v>533.75</v>
      </c>
    </row>
    <row r="4443" customFormat="false" ht="15" hidden="false" customHeight="false" outlineLevel="0" collapsed="false">
      <c r="A4443" s="7" t="s">
        <v>24</v>
      </c>
      <c r="B4443" s="7" t="s">
        <v>100</v>
      </c>
      <c r="C4443" s="7" t="s">
        <v>1160</v>
      </c>
      <c r="D4443" s="7" t="n">
        <v>0</v>
      </c>
      <c r="E4443" s="7" t="n">
        <v>0</v>
      </c>
      <c r="F4443" s="7" t="n">
        <v>1</v>
      </c>
      <c r="G4443" s="7" t="n">
        <v>296.53</v>
      </c>
    </row>
    <row r="4444" customFormat="false" ht="15" hidden="false" customHeight="false" outlineLevel="0" collapsed="false">
      <c r="A4444" s="7" t="s">
        <v>24</v>
      </c>
      <c r="B4444" s="7" t="s">
        <v>100</v>
      </c>
      <c r="C4444" s="7" t="s">
        <v>1160</v>
      </c>
      <c r="D4444" s="7" t="n">
        <v>0</v>
      </c>
      <c r="E4444" s="7" t="n">
        <v>0</v>
      </c>
      <c r="F4444" s="7" t="n">
        <v>1</v>
      </c>
      <c r="G4444" s="7" t="n">
        <v>296.53</v>
      </c>
    </row>
    <row r="4445" customFormat="false" ht="15" hidden="false" customHeight="false" outlineLevel="0" collapsed="false">
      <c r="A4445" s="7" t="s">
        <v>24</v>
      </c>
      <c r="B4445" s="7" t="s">
        <v>100</v>
      </c>
      <c r="C4445" s="7" t="s">
        <v>1160</v>
      </c>
      <c r="D4445" s="7" t="n">
        <v>0</v>
      </c>
      <c r="E4445" s="7" t="n">
        <v>0</v>
      </c>
      <c r="F4445" s="7" t="n">
        <v>2</v>
      </c>
      <c r="G4445" s="7" t="n">
        <v>550.68</v>
      </c>
    </row>
    <row r="4446" customFormat="false" ht="15" hidden="false" customHeight="false" outlineLevel="0" collapsed="false">
      <c r="A4446" s="7" t="s">
        <v>24</v>
      </c>
      <c r="B4446" s="7" t="s">
        <v>100</v>
      </c>
      <c r="C4446" s="7" t="s">
        <v>1160</v>
      </c>
      <c r="D4446" s="7" t="n">
        <v>0</v>
      </c>
      <c r="E4446" s="7" t="n">
        <v>0</v>
      </c>
      <c r="F4446" s="7" t="n">
        <v>2</v>
      </c>
      <c r="G4446" s="7" t="n">
        <v>593.06</v>
      </c>
    </row>
    <row r="4447" customFormat="false" ht="15" hidden="false" customHeight="false" outlineLevel="0" collapsed="false">
      <c r="A4447" s="7" t="s">
        <v>24</v>
      </c>
      <c r="B4447" s="7" t="s">
        <v>100</v>
      </c>
      <c r="C4447" s="7" t="s">
        <v>1160</v>
      </c>
      <c r="D4447" s="7" t="n">
        <v>0</v>
      </c>
      <c r="E4447" s="7" t="n">
        <v>0</v>
      </c>
      <c r="F4447" s="7" t="n">
        <v>1</v>
      </c>
      <c r="G4447" s="7" t="n">
        <v>296.53</v>
      </c>
    </row>
    <row r="4448" customFormat="false" ht="15" hidden="false" customHeight="false" outlineLevel="0" collapsed="false">
      <c r="A4448" s="7" t="s">
        <v>24</v>
      </c>
      <c r="B4448" s="7" t="s">
        <v>100</v>
      </c>
      <c r="C4448" s="7" t="s">
        <v>1160</v>
      </c>
      <c r="D4448" s="7" t="n">
        <v>0</v>
      </c>
      <c r="E4448" s="7" t="n">
        <v>0</v>
      </c>
      <c r="F4448" s="7" t="n">
        <v>2</v>
      </c>
      <c r="G4448" s="7" t="n">
        <v>593.06</v>
      </c>
    </row>
    <row r="4449" customFormat="false" ht="15" hidden="false" customHeight="false" outlineLevel="0" collapsed="false">
      <c r="A4449" s="7" t="s">
        <v>24</v>
      </c>
      <c r="B4449" s="7" t="s">
        <v>100</v>
      </c>
      <c r="C4449" s="7" t="s">
        <v>1160</v>
      </c>
      <c r="D4449" s="7" t="n">
        <v>0</v>
      </c>
      <c r="E4449" s="7" t="n">
        <v>0</v>
      </c>
      <c r="F4449" s="7" t="n">
        <v>3</v>
      </c>
      <c r="G4449" s="7" t="n">
        <v>821.8</v>
      </c>
    </row>
    <row r="4450" customFormat="false" ht="15" hidden="false" customHeight="false" outlineLevel="0" collapsed="false">
      <c r="A4450" s="7" t="s">
        <v>24</v>
      </c>
      <c r="B4450" s="7" t="s">
        <v>100</v>
      </c>
      <c r="C4450" s="7" t="s">
        <v>1160</v>
      </c>
      <c r="D4450" s="7" t="n">
        <v>0</v>
      </c>
      <c r="E4450" s="7" t="n">
        <v>0</v>
      </c>
      <c r="F4450" s="7" t="n">
        <v>1</v>
      </c>
      <c r="G4450" s="7" t="n">
        <v>296.52</v>
      </c>
    </row>
    <row r="4451" customFormat="false" ht="15" hidden="false" customHeight="false" outlineLevel="0" collapsed="false">
      <c r="A4451" s="7" t="s">
        <v>24</v>
      </c>
      <c r="B4451" s="7" t="s">
        <v>100</v>
      </c>
      <c r="C4451" s="7" t="s">
        <v>1160</v>
      </c>
      <c r="D4451" s="7" t="n">
        <v>0</v>
      </c>
      <c r="E4451" s="7" t="n">
        <v>0</v>
      </c>
      <c r="F4451" s="7" t="n">
        <v>21</v>
      </c>
      <c r="G4451" s="7" t="n">
        <v>5606.39</v>
      </c>
    </row>
    <row r="4452" customFormat="false" ht="15" hidden="false" customHeight="false" outlineLevel="0" collapsed="false">
      <c r="A4452" s="7" t="s">
        <v>24</v>
      </c>
      <c r="B4452" s="7" t="s">
        <v>100</v>
      </c>
      <c r="C4452" s="7" t="s">
        <v>1160</v>
      </c>
      <c r="D4452" s="7" t="n">
        <v>0</v>
      </c>
      <c r="E4452" s="7" t="n">
        <v>0</v>
      </c>
      <c r="F4452" s="7" t="n">
        <v>1</v>
      </c>
      <c r="G4452" s="7" t="n">
        <v>243.36</v>
      </c>
    </row>
    <row r="4453" customFormat="false" ht="15" hidden="false" customHeight="false" outlineLevel="0" collapsed="false">
      <c r="A4453" s="7" t="s">
        <v>24</v>
      </c>
      <c r="B4453" s="7" t="s">
        <v>100</v>
      </c>
      <c r="C4453" s="7" t="s">
        <v>1160</v>
      </c>
      <c r="D4453" s="7" t="n">
        <v>0</v>
      </c>
      <c r="E4453" s="7" t="n">
        <v>0</v>
      </c>
      <c r="F4453" s="7" t="n">
        <v>1</v>
      </c>
      <c r="G4453" s="7" t="n">
        <v>252.05</v>
      </c>
    </row>
    <row r="4454" customFormat="false" ht="15" hidden="false" customHeight="false" outlineLevel="0" collapsed="false">
      <c r="A4454" s="7" t="s">
        <v>24</v>
      </c>
      <c r="B4454" s="7" t="s">
        <v>100</v>
      </c>
      <c r="C4454" s="7" t="s">
        <v>1160</v>
      </c>
      <c r="D4454" s="7" t="n">
        <v>0</v>
      </c>
      <c r="E4454" s="7" t="n">
        <v>0</v>
      </c>
      <c r="F4454" s="7" t="n">
        <v>2</v>
      </c>
      <c r="G4454" s="7" t="n">
        <v>533.75</v>
      </c>
    </row>
    <row r="4455" customFormat="false" ht="15" hidden="false" customHeight="false" outlineLevel="0" collapsed="false">
      <c r="A4455" s="7" t="s">
        <v>24</v>
      </c>
      <c r="B4455" s="7" t="s">
        <v>100</v>
      </c>
      <c r="C4455" s="7" t="s">
        <v>1160</v>
      </c>
      <c r="D4455" s="7" t="n">
        <v>0</v>
      </c>
      <c r="E4455" s="7" t="n">
        <v>0</v>
      </c>
      <c r="F4455" s="7" t="n">
        <v>1</v>
      </c>
      <c r="G4455" s="7" t="n">
        <v>296.53</v>
      </c>
    </row>
    <row r="4456" customFormat="false" ht="15" hidden="false" customHeight="false" outlineLevel="0" collapsed="false">
      <c r="A4456" s="7" t="s">
        <v>24</v>
      </c>
      <c r="B4456" s="7" t="s">
        <v>100</v>
      </c>
      <c r="C4456" s="7" t="s">
        <v>1160</v>
      </c>
      <c r="D4456" s="7" t="n">
        <v>0</v>
      </c>
      <c r="E4456" s="7" t="n">
        <v>0</v>
      </c>
      <c r="F4456" s="7" t="n">
        <v>1</v>
      </c>
      <c r="G4456" s="7" t="n">
        <v>266.87</v>
      </c>
    </row>
    <row r="4457" customFormat="false" ht="15" hidden="false" customHeight="false" outlineLevel="0" collapsed="false">
      <c r="A4457" s="7" t="s">
        <v>24</v>
      </c>
      <c r="B4457" s="7" t="s">
        <v>100</v>
      </c>
      <c r="C4457" s="7" t="s">
        <v>1160</v>
      </c>
      <c r="D4457" s="7" t="n">
        <v>0</v>
      </c>
      <c r="E4457" s="7" t="n">
        <v>0</v>
      </c>
      <c r="F4457" s="7" t="n">
        <v>2</v>
      </c>
      <c r="G4457" s="7" t="n">
        <v>521.02</v>
      </c>
    </row>
    <row r="4458" customFormat="false" ht="15" hidden="false" customHeight="false" outlineLevel="0" collapsed="false">
      <c r="A4458" s="7" t="s">
        <v>24</v>
      </c>
      <c r="B4458" s="7" t="s">
        <v>100</v>
      </c>
      <c r="C4458" s="7" t="s">
        <v>1160</v>
      </c>
      <c r="D4458" s="7" t="n">
        <v>0</v>
      </c>
      <c r="E4458" s="7" t="n">
        <v>0</v>
      </c>
      <c r="F4458" s="7" t="n">
        <v>1</v>
      </c>
      <c r="G4458" s="7" t="n">
        <v>296.53</v>
      </c>
    </row>
    <row r="4459" customFormat="false" ht="15" hidden="false" customHeight="false" outlineLevel="0" collapsed="false">
      <c r="A4459" s="7" t="s">
        <v>24</v>
      </c>
      <c r="B4459" s="7" t="s">
        <v>100</v>
      </c>
      <c r="C4459" s="7" t="s">
        <v>1160</v>
      </c>
      <c r="D4459" s="7" t="n">
        <v>0</v>
      </c>
      <c r="E4459" s="7" t="n">
        <v>0</v>
      </c>
      <c r="F4459" s="7" t="n">
        <v>1</v>
      </c>
      <c r="G4459" s="7" t="n">
        <v>266.87</v>
      </c>
    </row>
    <row r="4460" customFormat="false" ht="15" hidden="false" customHeight="false" outlineLevel="0" collapsed="false">
      <c r="A4460" s="7" t="s">
        <v>24</v>
      </c>
      <c r="B4460" s="7" t="s">
        <v>100</v>
      </c>
      <c r="C4460" s="7" t="s">
        <v>1160</v>
      </c>
      <c r="D4460" s="7" t="n">
        <v>0</v>
      </c>
      <c r="E4460" s="7" t="n">
        <v>0</v>
      </c>
      <c r="F4460" s="7" t="n">
        <v>2</v>
      </c>
      <c r="G4460" s="7" t="n">
        <v>550.68</v>
      </c>
    </row>
    <row r="4461" customFormat="false" ht="15" hidden="false" customHeight="false" outlineLevel="0" collapsed="false">
      <c r="A4461" s="7" t="s">
        <v>24</v>
      </c>
      <c r="B4461" s="7" t="s">
        <v>100</v>
      </c>
      <c r="C4461" s="7" t="s">
        <v>1160</v>
      </c>
      <c r="D4461" s="7" t="n">
        <v>0</v>
      </c>
      <c r="E4461" s="7" t="n">
        <v>0</v>
      </c>
      <c r="F4461" s="7" t="n">
        <v>1</v>
      </c>
      <c r="G4461" s="7" t="n">
        <v>266.87</v>
      </c>
    </row>
    <row r="4462" customFormat="false" ht="15" hidden="false" customHeight="false" outlineLevel="0" collapsed="false">
      <c r="A4462" s="7" t="s">
        <v>24</v>
      </c>
      <c r="B4462" s="7" t="s">
        <v>100</v>
      </c>
      <c r="C4462" s="7" t="s">
        <v>1160</v>
      </c>
      <c r="D4462" s="7" t="n">
        <v>0</v>
      </c>
      <c r="E4462" s="7" t="n">
        <v>0</v>
      </c>
      <c r="F4462" s="7" t="n">
        <v>6</v>
      </c>
      <c r="G4462" s="7" t="n">
        <v>1616.05</v>
      </c>
    </row>
    <row r="4463" customFormat="false" ht="15" hidden="false" customHeight="false" outlineLevel="0" collapsed="false">
      <c r="A4463" s="7" t="s">
        <v>24</v>
      </c>
      <c r="B4463" s="7" t="s">
        <v>100</v>
      </c>
      <c r="C4463" s="7" t="s">
        <v>1160</v>
      </c>
      <c r="D4463" s="7" t="n">
        <v>0</v>
      </c>
      <c r="E4463" s="7" t="n">
        <v>0</v>
      </c>
      <c r="F4463" s="7" t="n">
        <v>12</v>
      </c>
      <c r="G4463" s="7" t="n">
        <v>3174.91</v>
      </c>
    </row>
    <row r="4464" customFormat="false" ht="15" hidden="false" customHeight="false" outlineLevel="0" collapsed="false">
      <c r="A4464" s="7" t="s">
        <v>24</v>
      </c>
      <c r="B4464" s="7" t="s">
        <v>100</v>
      </c>
      <c r="C4464" s="7" t="s">
        <v>1160</v>
      </c>
      <c r="D4464" s="7" t="n">
        <v>0</v>
      </c>
      <c r="E4464" s="7" t="n">
        <v>0</v>
      </c>
      <c r="F4464" s="7" t="n">
        <v>2</v>
      </c>
      <c r="G4464" s="7" t="n">
        <v>550.76</v>
      </c>
    </row>
    <row r="4465" customFormat="false" ht="15" hidden="false" customHeight="false" outlineLevel="0" collapsed="false">
      <c r="A4465" s="7" t="s">
        <v>24</v>
      </c>
      <c r="B4465" s="7" t="s">
        <v>100</v>
      </c>
      <c r="C4465" s="7" t="s">
        <v>1160</v>
      </c>
      <c r="D4465" s="7" t="n">
        <v>0</v>
      </c>
      <c r="E4465" s="7" t="n">
        <v>0</v>
      </c>
      <c r="F4465" s="7" t="n">
        <v>1</v>
      </c>
      <c r="G4465" s="7" t="n">
        <v>296.53</v>
      </c>
    </row>
    <row r="4466" customFormat="false" ht="15" hidden="false" customHeight="false" outlineLevel="0" collapsed="false">
      <c r="A4466" s="7" t="s">
        <v>24</v>
      </c>
      <c r="B4466" s="7" t="s">
        <v>100</v>
      </c>
      <c r="C4466" s="7" t="s">
        <v>1160</v>
      </c>
      <c r="D4466" s="7" t="n">
        <v>0</v>
      </c>
      <c r="E4466" s="7" t="n">
        <v>0</v>
      </c>
      <c r="F4466" s="7" t="n">
        <v>1</v>
      </c>
      <c r="G4466" s="7" t="n">
        <v>266.87</v>
      </c>
    </row>
    <row r="4467" customFormat="false" ht="15" hidden="false" customHeight="false" outlineLevel="0" collapsed="false">
      <c r="A4467" s="7" t="s">
        <v>24</v>
      </c>
      <c r="B4467" s="7" t="s">
        <v>100</v>
      </c>
      <c r="C4467" s="7" t="s">
        <v>1160</v>
      </c>
      <c r="D4467" s="7" t="n">
        <v>0</v>
      </c>
      <c r="E4467" s="7" t="n">
        <v>0</v>
      </c>
      <c r="F4467" s="7" t="n">
        <v>4</v>
      </c>
      <c r="G4467" s="7" t="n">
        <v>1082.31</v>
      </c>
    </row>
    <row r="4468" customFormat="false" ht="15" hidden="false" customHeight="false" outlineLevel="0" collapsed="false">
      <c r="A4468" s="7" t="s">
        <v>24</v>
      </c>
      <c r="B4468" s="7" t="s">
        <v>100</v>
      </c>
      <c r="C4468" s="7" t="s">
        <v>1160</v>
      </c>
      <c r="D4468" s="7" t="n">
        <v>0</v>
      </c>
      <c r="E4468" s="7" t="n">
        <v>0</v>
      </c>
      <c r="F4468" s="7" t="n">
        <v>1</v>
      </c>
      <c r="G4468" s="7" t="n">
        <v>296.53</v>
      </c>
    </row>
    <row r="4469" customFormat="false" ht="15" hidden="false" customHeight="false" outlineLevel="0" collapsed="false">
      <c r="A4469" s="7" t="s">
        <v>24</v>
      </c>
      <c r="B4469" s="7" t="s">
        <v>100</v>
      </c>
      <c r="C4469" s="7" t="s">
        <v>1160</v>
      </c>
      <c r="D4469" s="7" t="n">
        <v>0</v>
      </c>
      <c r="E4469" s="7" t="n">
        <v>0</v>
      </c>
      <c r="F4469" s="7" t="n">
        <v>1</v>
      </c>
      <c r="G4469" s="7" t="n">
        <v>252.05</v>
      </c>
    </row>
    <row r="4470" customFormat="false" ht="15" hidden="false" customHeight="false" outlineLevel="0" collapsed="false">
      <c r="A4470" s="7" t="s">
        <v>24</v>
      </c>
      <c r="B4470" s="7" t="s">
        <v>100</v>
      </c>
      <c r="C4470" s="7" t="s">
        <v>1160</v>
      </c>
      <c r="D4470" s="7" t="n">
        <v>0</v>
      </c>
      <c r="E4470" s="7" t="n">
        <v>0</v>
      </c>
      <c r="F4470" s="7" t="n">
        <v>2</v>
      </c>
      <c r="G4470" s="7" t="n">
        <v>533.75</v>
      </c>
    </row>
    <row r="4471" customFormat="false" ht="15" hidden="false" customHeight="false" outlineLevel="0" collapsed="false">
      <c r="A4471" s="7" t="s">
        <v>24</v>
      </c>
      <c r="B4471" s="7" t="s">
        <v>100</v>
      </c>
      <c r="C4471" s="7" t="s">
        <v>1160</v>
      </c>
      <c r="D4471" s="7" t="n">
        <v>0</v>
      </c>
      <c r="E4471" s="7" t="n">
        <v>0</v>
      </c>
      <c r="F4471" s="7" t="n">
        <v>4</v>
      </c>
      <c r="G4471" s="7" t="n">
        <v>1143.81</v>
      </c>
    </row>
    <row r="4472" customFormat="false" ht="15" hidden="false" customHeight="false" outlineLevel="0" collapsed="false">
      <c r="A4472" s="7" t="s">
        <v>24</v>
      </c>
      <c r="B4472" s="7" t="s">
        <v>100</v>
      </c>
      <c r="C4472" s="7" t="s">
        <v>1160</v>
      </c>
      <c r="D4472" s="7" t="n">
        <v>0</v>
      </c>
      <c r="E4472" s="7" t="n">
        <v>0</v>
      </c>
      <c r="F4472" s="7" t="n">
        <v>2</v>
      </c>
      <c r="G4472" s="7" t="n">
        <v>533.74</v>
      </c>
    </row>
    <row r="4473" customFormat="false" ht="15" hidden="false" customHeight="false" outlineLevel="0" collapsed="false">
      <c r="A4473" s="7" t="s">
        <v>24</v>
      </c>
      <c r="B4473" s="7" t="s">
        <v>100</v>
      </c>
      <c r="C4473" s="7" t="s">
        <v>1160</v>
      </c>
      <c r="D4473" s="7" t="n">
        <v>0</v>
      </c>
      <c r="E4473" s="7" t="n">
        <v>0</v>
      </c>
      <c r="F4473" s="7" t="n">
        <v>9</v>
      </c>
      <c r="G4473" s="7" t="n">
        <v>2609.46</v>
      </c>
    </row>
    <row r="4474" customFormat="false" ht="15" hidden="false" customHeight="false" outlineLevel="0" collapsed="false">
      <c r="A4474" s="7" t="s">
        <v>24</v>
      </c>
      <c r="B4474" s="7" t="s">
        <v>100</v>
      </c>
      <c r="C4474" s="7" t="s">
        <v>1160</v>
      </c>
      <c r="D4474" s="7" t="n">
        <v>0</v>
      </c>
      <c r="E4474" s="7" t="n">
        <v>0</v>
      </c>
      <c r="F4474" s="7" t="n">
        <v>3</v>
      </c>
      <c r="G4474" s="7" t="n">
        <v>635.18</v>
      </c>
    </row>
    <row r="4475" customFormat="false" ht="15" hidden="false" customHeight="false" outlineLevel="0" collapsed="false">
      <c r="A4475" s="7" t="s">
        <v>24</v>
      </c>
      <c r="B4475" s="7" t="s">
        <v>100</v>
      </c>
      <c r="C4475" s="7" t="s">
        <v>1160</v>
      </c>
      <c r="D4475" s="7" t="n">
        <v>0</v>
      </c>
      <c r="E4475" s="7" t="n">
        <v>0</v>
      </c>
      <c r="F4475" s="7" t="n">
        <v>1</v>
      </c>
      <c r="G4475" s="7" t="n">
        <v>296.53</v>
      </c>
    </row>
    <row r="4476" customFormat="false" ht="15" hidden="false" customHeight="false" outlineLevel="0" collapsed="false">
      <c r="A4476" s="7" t="s">
        <v>24</v>
      </c>
      <c r="B4476" s="7" t="s">
        <v>100</v>
      </c>
      <c r="C4476" s="7" t="s">
        <v>1160</v>
      </c>
      <c r="D4476" s="7" t="n">
        <v>0</v>
      </c>
      <c r="E4476" s="7" t="n">
        <v>0</v>
      </c>
      <c r="F4476" s="7" t="n">
        <v>1</v>
      </c>
      <c r="G4476" s="7" t="n">
        <v>296.53</v>
      </c>
    </row>
    <row r="4477" customFormat="false" ht="15" hidden="false" customHeight="false" outlineLevel="0" collapsed="false">
      <c r="A4477" s="7" t="s">
        <v>24</v>
      </c>
      <c r="B4477" s="7" t="s">
        <v>100</v>
      </c>
      <c r="C4477" s="7" t="s">
        <v>1160</v>
      </c>
      <c r="D4477" s="7" t="n">
        <v>0</v>
      </c>
      <c r="E4477" s="7" t="n">
        <v>0</v>
      </c>
      <c r="F4477" s="7" t="n">
        <v>1</v>
      </c>
      <c r="G4477" s="7" t="n">
        <v>266.87</v>
      </c>
    </row>
    <row r="4478" customFormat="false" ht="15" hidden="false" customHeight="false" outlineLevel="0" collapsed="false">
      <c r="A4478" s="7" t="s">
        <v>24</v>
      </c>
      <c r="B4478" s="7" t="s">
        <v>100</v>
      </c>
      <c r="C4478" s="7" t="s">
        <v>1160</v>
      </c>
      <c r="D4478" s="7" t="n">
        <v>0</v>
      </c>
      <c r="E4478" s="7" t="n">
        <v>0</v>
      </c>
      <c r="F4478" s="7" t="n">
        <v>1</v>
      </c>
      <c r="G4478" s="7" t="n">
        <v>254.15</v>
      </c>
    </row>
    <row r="4479" customFormat="false" ht="15" hidden="false" customHeight="false" outlineLevel="0" collapsed="false">
      <c r="A4479" s="7" t="s">
        <v>24</v>
      </c>
      <c r="B4479" s="7" t="s">
        <v>100</v>
      </c>
      <c r="C4479" s="7" t="s">
        <v>1160</v>
      </c>
      <c r="D4479" s="7" t="n">
        <v>0</v>
      </c>
      <c r="E4479" s="7" t="n">
        <v>0</v>
      </c>
      <c r="F4479" s="7" t="n">
        <v>5</v>
      </c>
      <c r="G4479" s="7" t="n">
        <v>1304.71</v>
      </c>
    </row>
    <row r="4480" customFormat="false" ht="15" hidden="false" customHeight="false" outlineLevel="0" collapsed="false">
      <c r="A4480" s="7" t="s">
        <v>24</v>
      </c>
      <c r="B4480" s="7" t="s">
        <v>100</v>
      </c>
      <c r="C4480" s="7" t="s">
        <v>1160</v>
      </c>
      <c r="D4480" s="7" t="n">
        <v>0</v>
      </c>
      <c r="E4480" s="7" t="n">
        <v>0</v>
      </c>
      <c r="F4480" s="7" t="n">
        <v>2</v>
      </c>
      <c r="G4480" s="7" t="n">
        <v>593.06</v>
      </c>
    </row>
    <row r="4481" customFormat="false" ht="15" hidden="false" customHeight="false" outlineLevel="0" collapsed="false">
      <c r="A4481" s="7" t="s">
        <v>24</v>
      </c>
      <c r="B4481" s="7" t="s">
        <v>100</v>
      </c>
      <c r="C4481" s="7" t="s">
        <v>1160</v>
      </c>
      <c r="D4481" s="7" t="n">
        <v>0</v>
      </c>
      <c r="E4481" s="7" t="n">
        <v>0</v>
      </c>
      <c r="F4481" s="7" t="n">
        <v>1</v>
      </c>
      <c r="G4481" s="7" t="n">
        <v>296.53</v>
      </c>
    </row>
    <row r="4482" customFormat="false" ht="15" hidden="false" customHeight="false" outlineLevel="0" collapsed="false">
      <c r="A4482" s="7" t="s">
        <v>24</v>
      </c>
      <c r="B4482" s="7" t="s">
        <v>100</v>
      </c>
      <c r="C4482" s="7" t="s">
        <v>1160</v>
      </c>
      <c r="D4482" s="7" t="n">
        <v>0</v>
      </c>
      <c r="E4482" s="7" t="n">
        <v>0</v>
      </c>
      <c r="F4482" s="7" t="n">
        <v>4</v>
      </c>
      <c r="G4482" s="7" t="n">
        <v>1037.84</v>
      </c>
    </row>
    <row r="4483" customFormat="false" ht="15" hidden="false" customHeight="false" outlineLevel="0" collapsed="false">
      <c r="A4483" s="7" t="s">
        <v>24</v>
      </c>
      <c r="B4483" s="7" t="s">
        <v>100</v>
      </c>
      <c r="C4483" s="7" t="s">
        <v>1160</v>
      </c>
      <c r="D4483" s="7" t="n">
        <v>0</v>
      </c>
      <c r="E4483" s="7" t="n">
        <v>0</v>
      </c>
      <c r="F4483" s="7" t="n">
        <v>2</v>
      </c>
      <c r="G4483" s="7" t="n">
        <v>533.74</v>
      </c>
    </row>
    <row r="4484" customFormat="false" ht="15" hidden="false" customHeight="false" outlineLevel="0" collapsed="false">
      <c r="A4484" s="7" t="s">
        <v>24</v>
      </c>
      <c r="B4484" s="7" t="s">
        <v>100</v>
      </c>
      <c r="C4484" s="7" t="s">
        <v>1160</v>
      </c>
      <c r="D4484" s="7" t="n">
        <v>0</v>
      </c>
      <c r="E4484" s="7" t="n">
        <v>0</v>
      </c>
      <c r="F4484" s="7" t="n">
        <v>1</v>
      </c>
      <c r="G4484" s="7" t="n">
        <v>296.53</v>
      </c>
    </row>
    <row r="4485" customFormat="false" ht="15" hidden="false" customHeight="false" outlineLevel="0" collapsed="false">
      <c r="A4485" s="7" t="s">
        <v>24</v>
      </c>
      <c r="B4485" s="7" t="s">
        <v>100</v>
      </c>
      <c r="C4485" s="7" t="s">
        <v>1160</v>
      </c>
      <c r="D4485" s="7" t="n">
        <v>0</v>
      </c>
      <c r="E4485" s="7" t="n">
        <v>0</v>
      </c>
      <c r="F4485" s="7" t="n">
        <v>1</v>
      </c>
      <c r="G4485" s="7" t="n">
        <v>296.52</v>
      </c>
    </row>
    <row r="4486" customFormat="false" ht="15" hidden="false" customHeight="false" outlineLevel="0" collapsed="false">
      <c r="A4486" s="7" t="s">
        <v>24</v>
      </c>
      <c r="B4486" s="7" t="s">
        <v>100</v>
      </c>
      <c r="C4486" s="7" t="s">
        <v>1160</v>
      </c>
      <c r="D4486" s="7" t="n">
        <v>0</v>
      </c>
      <c r="E4486" s="7" t="n">
        <v>0</v>
      </c>
      <c r="F4486" s="7" t="n">
        <v>1</v>
      </c>
      <c r="G4486" s="7" t="n">
        <v>266.87</v>
      </c>
    </row>
    <row r="4487" customFormat="false" ht="15" hidden="false" customHeight="false" outlineLevel="0" collapsed="false">
      <c r="A4487" s="7" t="s">
        <v>24</v>
      </c>
      <c r="B4487" s="7" t="s">
        <v>100</v>
      </c>
      <c r="C4487" s="7" t="s">
        <v>1160</v>
      </c>
      <c r="D4487" s="7" t="n">
        <v>0</v>
      </c>
      <c r="E4487" s="7" t="n">
        <v>0</v>
      </c>
      <c r="F4487" s="7" t="n">
        <v>2</v>
      </c>
      <c r="G4487" s="7" t="n">
        <v>550.76</v>
      </c>
    </row>
    <row r="4488" customFormat="false" ht="15" hidden="false" customHeight="false" outlineLevel="0" collapsed="false">
      <c r="A4488" s="7" t="s">
        <v>24</v>
      </c>
      <c r="B4488" s="7" t="s">
        <v>100</v>
      </c>
      <c r="C4488" s="7" t="s">
        <v>1160</v>
      </c>
      <c r="D4488" s="7" t="n">
        <v>0</v>
      </c>
      <c r="E4488" s="7" t="n">
        <v>0</v>
      </c>
      <c r="F4488" s="7" t="n">
        <v>4</v>
      </c>
      <c r="G4488" s="7" t="n">
        <v>1067.5</v>
      </c>
    </row>
    <row r="4489" customFormat="false" ht="15" hidden="false" customHeight="false" outlineLevel="0" collapsed="false">
      <c r="A4489" s="7" t="s">
        <v>24</v>
      </c>
      <c r="B4489" s="7" t="s">
        <v>100</v>
      </c>
      <c r="C4489" s="7" t="s">
        <v>1160</v>
      </c>
      <c r="D4489" s="7" t="n">
        <v>0</v>
      </c>
      <c r="E4489" s="7" t="n">
        <v>0</v>
      </c>
      <c r="F4489" s="7" t="n">
        <v>1</v>
      </c>
      <c r="G4489" s="7" t="n">
        <v>266.87</v>
      </c>
    </row>
    <row r="4490" customFormat="false" ht="15" hidden="false" customHeight="false" outlineLevel="0" collapsed="false">
      <c r="A4490" s="7" t="s">
        <v>24</v>
      </c>
      <c r="B4490" s="7" t="s">
        <v>100</v>
      </c>
      <c r="C4490" s="7" t="s">
        <v>1160</v>
      </c>
      <c r="D4490" s="7" t="n">
        <v>0</v>
      </c>
      <c r="E4490" s="7" t="n">
        <v>0</v>
      </c>
      <c r="F4490" s="7" t="n">
        <v>4</v>
      </c>
      <c r="G4490" s="7" t="n">
        <v>1054.86</v>
      </c>
    </row>
    <row r="4491" customFormat="false" ht="15" hidden="false" customHeight="false" outlineLevel="0" collapsed="false">
      <c r="A4491" s="7" t="s">
        <v>24</v>
      </c>
      <c r="B4491" s="7" t="s">
        <v>100</v>
      </c>
      <c r="C4491" s="7" t="s">
        <v>1160</v>
      </c>
      <c r="D4491" s="7" t="n">
        <v>0</v>
      </c>
      <c r="E4491" s="7" t="n">
        <v>0</v>
      </c>
      <c r="F4491" s="7" t="n">
        <v>27</v>
      </c>
      <c r="G4491" s="7" t="n">
        <v>7315.6</v>
      </c>
    </row>
    <row r="4492" customFormat="false" ht="15" hidden="false" customHeight="false" outlineLevel="0" collapsed="false">
      <c r="A4492" s="7" t="s">
        <v>24</v>
      </c>
      <c r="B4492" s="7" t="s">
        <v>100</v>
      </c>
      <c r="C4492" s="7" t="s">
        <v>1160</v>
      </c>
      <c r="D4492" s="7" t="n">
        <v>0</v>
      </c>
      <c r="E4492" s="7" t="n">
        <v>0</v>
      </c>
      <c r="F4492" s="7" t="n">
        <v>1</v>
      </c>
      <c r="G4492" s="7" t="n">
        <v>296.53</v>
      </c>
    </row>
    <row r="4493" customFormat="false" ht="15" hidden="false" customHeight="false" outlineLevel="0" collapsed="false">
      <c r="A4493" s="7" t="s">
        <v>24</v>
      </c>
      <c r="B4493" s="7" t="s">
        <v>100</v>
      </c>
      <c r="C4493" s="7" t="s">
        <v>1160</v>
      </c>
      <c r="D4493" s="7" t="n">
        <v>0</v>
      </c>
      <c r="E4493" s="7" t="n">
        <v>0</v>
      </c>
      <c r="F4493" s="7" t="n">
        <v>2</v>
      </c>
      <c r="G4493" s="7" t="n">
        <v>550.68</v>
      </c>
    </row>
    <row r="4494" customFormat="false" ht="15" hidden="false" customHeight="false" outlineLevel="0" collapsed="false">
      <c r="A4494" s="7" t="s">
        <v>24</v>
      </c>
      <c r="B4494" s="7" t="s">
        <v>100</v>
      </c>
      <c r="C4494" s="7" t="s">
        <v>1160</v>
      </c>
      <c r="D4494" s="7" t="n">
        <v>0</v>
      </c>
      <c r="E4494" s="7" t="n">
        <v>0</v>
      </c>
      <c r="F4494" s="7" t="n">
        <v>2</v>
      </c>
      <c r="G4494" s="7" t="n">
        <v>508.47</v>
      </c>
    </row>
    <row r="4495" customFormat="false" ht="15" hidden="false" customHeight="false" outlineLevel="0" collapsed="false">
      <c r="A4495" s="7" t="s">
        <v>24</v>
      </c>
      <c r="B4495" s="7" t="s">
        <v>100</v>
      </c>
      <c r="C4495" s="7" t="s">
        <v>1160</v>
      </c>
      <c r="D4495" s="7" t="n">
        <v>0</v>
      </c>
      <c r="E4495" s="7" t="n">
        <v>0</v>
      </c>
      <c r="F4495" s="7" t="n">
        <v>2</v>
      </c>
      <c r="G4495" s="7" t="n">
        <v>550.76</v>
      </c>
    </row>
    <row r="4496" customFormat="false" ht="15" hidden="false" customHeight="false" outlineLevel="0" collapsed="false">
      <c r="A4496" s="7" t="s">
        <v>24</v>
      </c>
      <c r="B4496" s="7" t="s">
        <v>100</v>
      </c>
      <c r="C4496" s="7" t="s">
        <v>1160</v>
      </c>
      <c r="D4496" s="7" t="n">
        <v>0</v>
      </c>
      <c r="E4496" s="7" t="n">
        <v>0</v>
      </c>
      <c r="F4496" s="7" t="n">
        <v>1</v>
      </c>
      <c r="G4496" s="7" t="n">
        <v>266.87</v>
      </c>
    </row>
    <row r="4497" customFormat="false" ht="15" hidden="false" customHeight="false" outlineLevel="0" collapsed="false">
      <c r="A4497" s="7" t="s">
        <v>24</v>
      </c>
      <c r="B4497" s="7" t="s">
        <v>100</v>
      </c>
      <c r="C4497" s="7" t="s">
        <v>1160</v>
      </c>
      <c r="D4497" s="7" t="n">
        <v>0</v>
      </c>
      <c r="E4497" s="7" t="n">
        <v>0</v>
      </c>
      <c r="F4497" s="7" t="n">
        <v>3</v>
      </c>
      <c r="G4497" s="7" t="n">
        <v>859.91</v>
      </c>
    </row>
    <row r="4498" customFormat="false" ht="15" hidden="false" customHeight="false" outlineLevel="0" collapsed="false">
      <c r="A4498" s="7" t="s">
        <v>24</v>
      </c>
      <c r="B4498" s="7" t="s">
        <v>100</v>
      </c>
      <c r="C4498" s="7" t="s">
        <v>1160</v>
      </c>
      <c r="D4498" s="7" t="n">
        <v>0</v>
      </c>
      <c r="E4498" s="7" t="n">
        <v>0</v>
      </c>
      <c r="F4498" s="7" t="n">
        <v>2</v>
      </c>
      <c r="G4498" s="7" t="n">
        <v>533.75</v>
      </c>
    </row>
    <row r="4499" customFormat="false" ht="15" hidden="false" customHeight="false" outlineLevel="0" collapsed="false">
      <c r="A4499" s="7" t="s">
        <v>24</v>
      </c>
      <c r="B4499" s="7" t="s">
        <v>100</v>
      </c>
      <c r="C4499" s="7" t="s">
        <v>1160</v>
      </c>
      <c r="D4499" s="7" t="n">
        <v>0</v>
      </c>
      <c r="E4499" s="7" t="n">
        <v>0</v>
      </c>
      <c r="F4499" s="7" t="n">
        <v>2</v>
      </c>
      <c r="G4499" s="7" t="n">
        <v>550.76</v>
      </c>
    </row>
    <row r="4500" customFormat="false" ht="15" hidden="false" customHeight="false" outlineLevel="0" collapsed="false">
      <c r="A4500" s="7" t="s">
        <v>24</v>
      </c>
      <c r="B4500" s="7" t="s">
        <v>100</v>
      </c>
      <c r="C4500" s="7" t="s">
        <v>1160</v>
      </c>
      <c r="D4500" s="7" t="n">
        <v>0</v>
      </c>
      <c r="E4500" s="7" t="n">
        <v>0</v>
      </c>
      <c r="F4500" s="7" t="n">
        <v>2</v>
      </c>
      <c r="G4500" s="7" t="n">
        <v>533.75</v>
      </c>
    </row>
    <row r="4501" customFormat="false" ht="15" hidden="false" customHeight="false" outlineLevel="0" collapsed="false">
      <c r="A4501" s="7" t="s">
        <v>24</v>
      </c>
      <c r="B4501" s="7" t="s">
        <v>100</v>
      </c>
      <c r="C4501" s="7" t="s">
        <v>1160</v>
      </c>
      <c r="D4501" s="7" t="n">
        <v>0</v>
      </c>
      <c r="E4501" s="7" t="n">
        <v>0</v>
      </c>
      <c r="F4501" s="7" t="n">
        <v>1</v>
      </c>
      <c r="G4501" s="7" t="n">
        <v>296.52</v>
      </c>
    </row>
    <row r="4502" customFormat="false" ht="15" hidden="false" customHeight="false" outlineLevel="0" collapsed="false">
      <c r="A4502" s="7" t="s">
        <v>24</v>
      </c>
      <c r="B4502" s="7" t="s">
        <v>100</v>
      </c>
      <c r="C4502" s="7" t="s">
        <v>1160</v>
      </c>
      <c r="D4502" s="7" t="n">
        <v>0</v>
      </c>
      <c r="E4502" s="7" t="n">
        <v>0</v>
      </c>
      <c r="F4502" s="7" t="n">
        <v>1</v>
      </c>
      <c r="G4502" s="7" t="n">
        <v>296.53</v>
      </c>
    </row>
    <row r="4503" customFormat="false" ht="15" hidden="false" customHeight="false" outlineLevel="0" collapsed="false">
      <c r="A4503" s="7" t="s">
        <v>24</v>
      </c>
      <c r="B4503" s="7" t="s">
        <v>100</v>
      </c>
      <c r="C4503" s="7" t="s">
        <v>1160</v>
      </c>
      <c r="D4503" s="7" t="n">
        <v>0</v>
      </c>
      <c r="E4503" s="7" t="n">
        <v>0</v>
      </c>
      <c r="F4503" s="7" t="n">
        <v>1</v>
      </c>
      <c r="G4503" s="7" t="n">
        <v>254.15</v>
      </c>
    </row>
    <row r="4504" customFormat="false" ht="15" hidden="false" customHeight="false" outlineLevel="0" collapsed="false">
      <c r="A4504" s="7" t="s">
        <v>24</v>
      </c>
      <c r="B4504" s="7" t="s">
        <v>100</v>
      </c>
      <c r="C4504" s="7" t="s">
        <v>1160</v>
      </c>
      <c r="D4504" s="7" t="n">
        <v>0</v>
      </c>
      <c r="E4504" s="7" t="n">
        <v>0</v>
      </c>
      <c r="F4504" s="7" t="n">
        <v>1</v>
      </c>
      <c r="G4504" s="7" t="n">
        <v>266.87</v>
      </c>
    </row>
    <row r="4505" customFormat="false" ht="15" hidden="false" customHeight="false" outlineLevel="0" collapsed="false">
      <c r="A4505" s="7" t="s">
        <v>24</v>
      </c>
      <c r="B4505" s="7" t="s">
        <v>100</v>
      </c>
      <c r="C4505" s="7" t="s">
        <v>1160</v>
      </c>
      <c r="D4505" s="7" t="n">
        <v>0</v>
      </c>
      <c r="E4505" s="7" t="n">
        <v>0</v>
      </c>
      <c r="F4505" s="7" t="n">
        <v>2</v>
      </c>
      <c r="G4505" s="7" t="n">
        <v>518.92</v>
      </c>
    </row>
    <row r="4506" customFormat="false" ht="15" hidden="false" customHeight="false" outlineLevel="0" collapsed="false">
      <c r="A4506" s="7" t="s">
        <v>24</v>
      </c>
      <c r="B4506" s="7" t="s">
        <v>100</v>
      </c>
      <c r="C4506" s="7" t="s">
        <v>1160</v>
      </c>
      <c r="D4506" s="7" t="n">
        <v>0</v>
      </c>
      <c r="E4506" s="7" t="n">
        <v>0</v>
      </c>
      <c r="F4506" s="7" t="n">
        <v>2</v>
      </c>
      <c r="G4506" s="7" t="n">
        <v>550.76</v>
      </c>
    </row>
    <row r="4507" customFormat="false" ht="15" hidden="false" customHeight="false" outlineLevel="0" collapsed="false">
      <c r="A4507" s="7" t="s">
        <v>24</v>
      </c>
      <c r="B4507" s="7" t="s">
        <v>100</v>
      </c>
      <c r="C4507" s="7" t="s">
        <v>1160</v>
      </c>
      <c r="D4507" s="7" t="n">
        <v>0</v>
      </c>
      <c r="E4507" s="7" t="n">
        <v>0</v>
      </c>
      <c r="F4507" s="7" t="n">
        <v>4</v>
      </c>
      <c r="G4507" s="7" t="n">
        <v>1126.81</v>
      </c>
    </row>
    <row r="4508" customFormat="false" ht="15" hidden="false" customHeight="false" outlineLevel="0" collapsed="false">
      <c r="A4508" s="7" t="s">
        <v>24</v>
      </c>
      <c r="B4508" s="7" t="s">
        <v>100</v>
      </c>
      <c r="C4508" s="7" t="s">
        <v>1160</v>
      </c>
      <c r="D4508" s="7" t="n">
        <v>0</v>
      </c>
      <c r="E4508" s="7" t="n">
        <v>0</v>
      </c>
      <c r="F4508" s="7" t="n">
        <v>19</v>
      </c>
      <c r="G4508" s="7" t="n">
        <v>5193.46</v>
      </c>
    </row>
    <row r="4509" customFormat="false" ht="15" hidden="false" customHeight="false" outlineLevel="0" collapsed="false">
      <c r="A4509" s="7" t="s">
        <v>24</v>
      </c>
      <c r="B4509" s="7" t="s">
        <v>100</v>
      </c>
      <c r="C4509" s="7" t="s">
        <v>1160</v>
      </c>
      <c r="D4509" s="7" t="n">
        <v>0</v>
      </c>
      <c r="E4509" s="7" t="n">
        <v>0</v>
      </c>
      <c r="F4509" s="7" t="n">
        <v>1</v>
      </c>
      <c r="G4509" s="7" t="n">
        <v>296.52</v>
      </c>
    </row>
    <row r="4510" customFormat="false" ht="15" hidden="false" customHeight="false" outlineLevel="0" collapsed="false">
      <c r="A4510" s="7" t="s">
        <v>24</v>
      </c>
      <c r="B4510" s="7" t="s">
        <v>100</v>
      </c>
      <c r="C4510" s="7" t="s">
        <v>1160</v>
      </c>
      <c r="D4510" s="7" t="n">
        <v>0</v>
      </c>
      <c r="E4510" s="7" t="n">
        <v>0</v>
      </c>
      <c r="F4510" s="7" t="n">
        <v>1</v>
      </c>
      <c r="G4510" s="7" t="n">
        <v>296.53</v>
      </c>
    </row>
    <row r="4511" customFormat="false" ht="15" hidden="false" customHeight="false" outlineLevel="0" collapsed="false">
      <c r="A4511" s="7" t="s">
        <v>24</v>
      </c>
      <c r="B4511" s="7" t="s">
        <v>100</v>
      </c>
      <c r="C4511" s="7" t="s">
        <v>1160</v>
      </c>
      <c r="D4511" s="7" t="n">
        <v>0</v>
      </c>
      <c r="E4511" s="7" t="n">
        <v>0</v>
      </c>
      <c r="F4511" s="7" t="n">
        <v>1</v>
      </c>
      <c r="G4511" s="7" t="n">
        <v>266.87</v>
      </c>
    </row>
    <row r="4512" customFormat="false" ht="15" hidden="false" customHeight="false" outlineLevel="0" collapsed="false">
      <c r="A4512" s="7" t="s">
        <v>24</v>
      </c>
      <c r="B4512" s="7" t="s">
        <v>100</v>
      </c>
      <c r="C4512" s="7" t="s">
        <v>1160</v>
      </c>
      <c r="D4512" s="7" t="n">
        <v>0</v>
      </c>
      <c r="E4512" s="7" t="n">
        <v>0</v>
      </c>
      <c r="F4512" s="7" t="n">
        <v>2</v>
      </c>
      <c r="G4512" s="7" t="n">
        <v>550.76</v>
      </c>
    </row>
    <row r="4513" customFormat="false" ht="15" hidden="false" customHeight="false" outlineLevel="0" collapsed="false">
      <c r="A4513" s="7" t="s">
        <v>24</v>
      </c>
      <c r="B4513" s="7" t="s">
        <v>100</v>
      </c>
      <c r="C4513" s="7" t="s">
        <v>1160</v>
      </c>
      <c r="D4513" s="7" t="n">
        <v>0</v>
      </c>
      <c r="E4513" s="7" t="n">
        <v>0</v>
      </c>
      <c r="F4513" s="7" t="n">
        <v>1</v>
      </c>
      <c r="G4513" s="7" t="n">
        <v>296.53</v>
      </c>
    </row>
    <row r="4514" customFormat="false" ht="15" hidden="false" customHeight="false" outlineLevel="0" collapsed="false">
      <c r="A4514" s="7" t="s">
        <v>24</v>
      </c>
      <c r="B4514" s="7" t="s">
        <v>100</v>
      </c>
      <c r="C4514" s="7" t="s">
        <v>1160</v>
      </c>
      <c r="D4514" s="7" t="n">
        <v>0</v>
      </c>
      <c r="E4514" s="7" t="n">
        <v>0</v>
      </c>
      <c r="F4514" s="7" t="n">
        <v>2</v>
      </c>
      <c r="G4514" s="7" t="n">
        <v>533.74</v>
      </c>
    </row>
    <row r="4515" customFormat="false" ht="15" hidden="false" customHeight="false" outlineLevel="0" collapsed="false">
      <c r="A4515" s="7" t="s">
        <v>24</v>
      </c>
      <c r="B4515" s="7" t="s">
        <v>100</v>
      </c>
      <c r="C4515" s="7" t="s">
        <v>1160</v>
      </c>
      <c r="D4515" s="7" t="n">
        <v>0</v>
      </c>
      <c r="E4515" s="7" t="n">
        <v>0</v>
      </c>
      <c r="F4515" s="7" t="n">
        <v>2</v>
      </c>
      <c r="G4515" s="7" t="n">
        <v>563.39</v>
      </c>
    </row>
    <row r="4516" customFormat="false" ht="15" hidden="false" customHeight="false" outlineLevel="0" collapsed="false">
      <c r="A4516" s="7" t="s">
        <v>24</v>
      </c>
      <c r="B4516" s="7" t="s">
        <v>100</v>
      </c>
      <c r="C4516" s="7" t="s">
        <v>1160</v>
      </c>
      <c r="D4516" s="7" t="n">
        <v>0</v>
      </c>
      <c r="E4516" s="7" t="n">
        <v>0</v>
      </c>
      <c r="F4516" s="7" t="n">
        <v>2</v>
      </c>
      <c r="G4516" s="7" t="n">
        <v>533.74</v>
      </c>
    </row>
    <row r="4517" customFormat="false" ht="15" hidden="false" customHeight="false" outlineLevel="0" collapsed="false">
      <c r="A4517" s="7" t="s">
        <v>24</v>
      </c>
      <c r="B4517" s="7" t="s">
        <v>100</v>
      </c>
      <c r="C4517" s="7" t="s">
        <v>1160</v>
      </c>
      <c r="D4517" s="7" t="n">
        <v>0</v>
      </c>
      <c r="E4517" s="7" t="n">
        <v>0</v>
      </c>
      <c r="F4517" s="7" t="n">
        <v>2</v>
      </c>
      <c r="G4517" s="7" t="n">
        <v>533.74</v>
      </c>
    </row>
    <row r="4518" customFormat="false" ht="15" hidden="false" customHeight="false" outlineLevel="0" collapsed="false">
      <c r="A4518" s="7" t="s">
        <v>24</v>
      </c>
      <c r="B4518" s="7" t="s">
        <v>100</v>
      </c>
      <c r="C4518" s="7" t="s">
        <v>1160</v>
      </c>
      <c r="D4518" s="7" t="n">
        <v>0</v>
      </c>
      <c r="E4518" s="7" t="n">
        <v>0</v>
      </c>
      <c r="F4518" s="7" t="n">
        <v>1</v>
      </c>
      <c r="G4518" s="7" t="n">
        <v>252.05</v>
      </c>
    </row>
    <row r="4519" customFormat="false" ht="15" hidden="false" customHeight="false" outlineLevel="0" collapsed="false">
      <c r="A4519" s="7" t="s">
        <v>24</v>
      </c>
      <c r="B4519" s="7" t="s">
        <v>100</v>
      </c>
      <c r="C4519" s="7" t="s">
        <v>1160</v>
      </c>
      <c r="D4519" s="7" t="n">
        <v>0</v>
      </c>
      <c r="E4519" s="7" t="n">
        <v>0</v>
      </c>
      <c r="F4519" s="7" t="n">
        <v>3</v>
      </c>
      <c r="G4519" s="7" t="n">
        <v>785.79</v>
      </c>
    </row>
    <row r="4520" customFormat="false" ht="15" hidden="false" customHeight="false" outlineLevel="0" collapsed="false">
      <c r="A4520" s="7" t="s">
        <v>24</v>
      </c>
      <c r="B4520" s="7" t="s">
        <v>100</v>
      </c>
      <c r="C4520" s="7" t="s">
        <v>1160</v>
      </c>
      <c r="D4520" s="7" t="n">
        <v>0</v>
      </c>
      <c r="E4520" s="7" t="n">
        <v>0</v>
      </c>
      <c r="F4520" s="7" t="n">
        <v>30</v>
      </c>
      <c r="G4520" s="7" t="n">
        <v>8395.98</v>
      </c>
    </row>
    <row r="4521" customFormat="false" ht="15" hidden="false" customHeight="false" outlineLevel="0" collapsed="false">
      <c r="A4521" s="7" t="s">
        <v>24</v>
      </c>
      <c r="B4521" s="7" t="s">
        <v>100</v>
      </c>
      <c r="C4521" s="7" t="s">
        <v>1160</v>
      </c>
      <c r="D4521" s="7" t="n">
        <v>0</v>
      </c>
      <c r="E4521" s="7" t="n">
        <v>0</v>
      </c>
      <c r="F4521" s="7" t="n">
        <v>1</v>
      </c>
      <c r="G4521" s="7" t="n">
        <v>296.53</v>
      </c>
    </row>
    <row r="4522" customFormat="false" ht="15" hidden="false" customHeight="false" outlineLevel="0" collapsed="false">
      <c r="A4522" s="7" t="s">
        <v>24</v>
      </c>
      <c r="B4522" s="7" t="s">
        <v>100</v>
      </c>
      <c r="C4522" s="7" t="s">
        <v>1160</v>
      </c>
      <c r="D4522" s="7" t="n">
        <v>0</v>
      </c>
      <c r="E4522" s="7" t="n">
        <v>0</v>
      </c>
      <c r="F4522" s="7" t="n">
        <v>1</v>
      </c>
      <c r="G4522" s="7" t="n">
        <v>266.87</v>
      </c>
    </row>
    <row r="4523" customFormat="false" ht="15" hidden="false" customHeight="false" outlineLevel="0" collapsed="false">
      <c r="A4523" s="7" t="s">
        <v>24</v>
      </c>
      <c r="B4523" s="7" t="s">
        <v>100</v>
      </c>
      <c r="C4523" s="7" t="s">
        <v>1160</v>
      </c>
      <c r="D4523" s="7" t="n">
        <v>0</v>
      </c>
      <c r="E4523" s="7" t="n">
        <v>0</v>
      </c>
      <c r="F4523" s="7" t="n">
        <v>2</v>
      </c>
      <c r="G4523" s="7" t="n">
        <v>550.76</v>
      </c>
    </row>
    <row r="4524" customFormat="false" ht="15" hidden="false" customHeight="false" outlineLevel="0" collapsed="false">
      <c r="A4524" s="7" t="s">
        <v>24</v>
      </c>
      <c r="B4524" s="7" t="s">
        <v>100</v>
      </c>
      <c r="C4524" s="7" t="s">
        <v>1160</v>
      </c>
      <c r="D4524" s="7" t="n">
        <v>0</v>
      </c>
      <c r="E4524" s="7" t="n">
        <v>0</v>
      </c>
      <c r="F4524" s="7" t="n">
        <v>1</v>
      </c>
      <c r="G4524" s="7" t="n">
        <v>296.53</v>
      </c>
    </row>
    <row r="4525" customFormat="false" ht="15" hidden="false" customHeight="false" outlineLevel="0" collapsed="false">
      <c r="A4525" s="7" t="s">
        <v>24</v>
      </c>
      <c r="B4525" s="7" t="s">
        <v>100</v>
      </c>
      <c r="C4525" s="7" t="s">
        <v>1160</v>
      </c>
      <c r="D4525" s="7" t="n">
        <v>0</v>
      </c>
      <c r="E4525" s="7" t="n">
        <v>0</v>
      </c>
      <c r="F4525" s="7" t="n">
        <v>2</v>
      </c>
      <c r="G4525" s="7" t="n">
        <v>550.76</v>
      </c>
    </row>
    <row r="4526" customFormat="false" ht="15" hidden="false" customHeight="false" outlineLevel="0" collapsed="false">
      <c r="A4526" s="7" t="s">
        <v>24</v>
      </c>
      <c r="B4526" s="7" t="s">
        <v>100</v>
      </c>
      <c r="C4526" s="7" t="s">
        <v>1160</v>
      </c>
      <c r="D4526" s="7" t="n">
        <v>0</v>
      </c>
      <c r="E4526" s="7" t="n">
        <v>0</v>
      </c>
      <c r="F4526" s="7" t="n">
        <v>1</v>
      </c>
      <c r="G4526" s="7" t="n">
        <v>214.25</v>
      </c>
    </row>
    <row r="4527" customFormat="false" ht="15" hidden="false" customHeight="false" outlineLevel="0" collapsed="false">
      <c r="A4527" s="7" t="s">
        <v>24</v>
      </c>
      <c r="B4527" s="7" t="s">
        <v>100</v>
      </c>
      <c r="C4527" s="7" t="s">
        <v>1160</v>
      </c>
      <c r="D4527" s="7" t="n">
        <v>0</v>
      </c>
      <c r="E4527" s="7" t="n">
        <v>0</v>
      </c>
      <c r="F4527" s="7" t="n">
        <v>2</v>
      </c>
      <c r="G4527" s="7" t="n">
        <v>550.76</v>
      </c>
    </row>
    <row r="4528" customFormat="false" ht="15" hidden="false" customHeight="false" outlineLevel="0" collapsed="false">
      <c r="A4528" s="7" t="s">
        <v>24</v>
      </c>
      <c r="B4528" s="7" t="s">
        <v>100</v>
      </c>
      <c r="C4528" s="7" t="s">
        <v>1160</v>
      </c>
      <c r="D4528" s="7" t="n">
        <v>0</v>
      </c>
      <c r="E4528" s="7" t="n">
        <v>0</v>
      </c>
      <c r="F4528" s="7" t="n">
        <v>2</v>
      </c>
      <c r="G4528" s="7" t="n">
        <v>550.76</v>
      </c>
    </row>
    <row r="4529" customFormat="false" ht="15" hidden="false" customHeight="false" outlineLevel="0" collapsed="false">
      <c r="A4529" s="7" t="s">
        <v>24</v>
      </c>
      <c r="B4529" s="7" t="s">
        <v>100</v>
      </c>
      <c r="C4529" s="7" t="s">
        <v>1160</v>
      </c>
      <c r="D4529" s="7" t="n">
        <v>0</v>
      </c>
      <c r="E4529" s="7" t="n">
        <v>0</v>
      </c>
      <c r="F4529" s="7" t="n">
        <v>6</v>
      </c>
      <c r="G4529" s="7" t="n">
        <v>1719.87</v>
      </c>
    </row>
    <row r="4530" customFormat="false" ht="15" hidden="false" customHeight="false" outlineLevel="0" collapsed="false">
      <c r="A4530" s="7" t="s">
        <v>24</v>
      </c>
      <c r="B4530" s="7" t="s">
        <v>100</v>
      </c>
      <c r="C4530" s="7" t="s">
        <v>1160</v>
      </c>
      <c r="D4530" s="7" t="n">
        <v>0</v>
      </c>
      <c r="E4530" s="7" t="n">
        <v>0</v>
      </c>
      <c r="F4530" s="7" t="n">
        <v>1</v>
      </c>
      <c r="G4530" s="7" t="n">
        <v>266.87</v>
      </c>
    </row>
    <row r="4531" customFormat="false" ht="15" hidden="false" customHeight="false" outlineLevel="0" collapsed="false">
      <c r="A4531" s="7" t="s">
        <v>24</v>
      </c>
      <c r="B4531" s="7" t="s">
        <v>100</v>
      </c>
      <c r="C4531" s="7" t="s">
        <v>1160</v>
      </c>
      <c r="D4531" s="7" t="n">
        <v>0</v>
      </c>
      <c r="E4531" s="7" t="n">
        <v>0</v>
      </c>
      <c r="F4531" s="7" t="n">
        <v>1</v>
      </c>
      <c r="G4531" s="7" t="n">
        <v>266.87</v>
      </c>
    </row>
    <row r="4532" customFormat="false" ht="15" hidden="false" customHeight="false" outlineLevel="0" collapsed="false">
      <c r="A4532" s="7" t="s">
        <v>24</v>
      </c>
      <c r="B4532" s="7" t="s">
        <v>100</v>
      </c>
      <c r="C4532" s="7" t="s">
        <v>1160</v>
      </c>
      <c r="D4532" s="7" t="n">
        <v>0</v>
      </c>
      <c r="E4532" s="7" t="n">
        <v>0</v>
      </c>
      <c r="F4532" s="7" t="n">
        <v>4</v>
      </c>
      <c r="G4532" s="7" t="n">
        <v>1014.5</v>
      </c>
    </row>
    <row r="4533" customFormat="false" ht="15" hidden="false" customHeight="false" outlineLevel="0" collapsed="false">
      <c r="A4533" s="7" t="s">
        <v>24</v>
      </c>
      <c r="B4533" s="7" t="s">
        <v>100</v>
      </c>
      <c r="C4533" s="7" t="s">
        <v>1160</v>
      </c>
      <c r="D4533" s="7" t="n">
        <v>0</v>
      </c>
      <c r="E4533" s="7" t="n">
        <v>0</v>
      </c>
      <c r="F4533" s="7" t="n">
        <v>1</v>
      </c>
      <c r="G4533" s="7" t="n">
        <v>296.52</v>
      </c>
    </row>
    <row r="4534" customFormat="false" ht="15" hidden="false" customHeight="false" outlineLevel="0" collapsed="false">
      <c r="A4534" s="7" t="s">
        <v>24</v>
      </c>
      <c r="B4534" s="7" t="s">
        <v>100</v>
      </c>
      <c r="C4534" s="7" t="s">
        <v>1160</v>
      </c>
      <c r="D4534" s="7" t="n">
        <v>0</v>
      </c>
      <c r="E4534" s="7" t="n">
        <v>0</v>
      </c>
      <c r="F4534" s="7" t="n">
        <v>8</v>
      </c>
      <c r="G4534" s="7" t="n">
        <v>2372.24</v>
      </c>
    </row>
    <row r="4535" customFormat="false" ht="15" hidden="false" customHeight="false" outlineLevel="0" collapsed="false">
      <c r="A4535" s="7" t="s">
        <v>24</v>
      </c>
      <c r="B4535" s="7" t="s">
        <v>100</v>
      </c>
      <c r="C4535" s="7" t="s">
        <v>1160</v>
      </c>
      <c r="D4535" s="7" t="n">
        <v>0</v>
      </c>
      <c r="E4535" s="7" t="n">
        <v>0</v>
      </c>
      <c r="F4535" s="7" t="n">
        <v>2</v>
      </c>
      <c r="G4535" s="7" t="n">
        <v>593.05</v>
      </c>
    </row>
    <row r="4536" customFormat="false" ht="15" hidden="false" customHeight="false" outlineLevel="0" collapsed="false">
      <c r="A4536" s="7" t="s">
        <v>24</v>
      </c>
      <c r="B4536" s="7" t="s">
        <v>100</v>
      </c>
      <c r="C4536" s="7" t="s">
        <v>1160</v>
      </c>
      <c r="D4536" s="7" t="n">
        <v>0</v>
      </c>
      <c r="E4536" s="7" t="n">
        <v>0</v>
      </c>
      <c r="F4536" s="7" t="n">
        <v>2</v>
      </c>
      <c r="G4536" s="7" t="n">
        <v>533.75</v>
      </c>
    </row>
    <row r="4537" customFormat="false" ht="15" hidden="false" customHeight="false" outlineLevel="0" collapsed="false">
      <c r="A4537" s="7" t="s">
        <v>24</v>
      </c>
      <c r="B4537" s="7" t="s">
        <v>100</v>
      </c>
      <c r="C4537" s="7" t="s">
        <v>1160</v>
      </c>
      <c r="D4537" s="7" t="n">
        <v>0</v>
      </c>
      <c r="E4537" s="7" t="n">
        <v>0</v>
      </c>
      <c r="F4537" s="7" t="n">
        <v>2</v>
      </c>
      <c r="G4537" s="7" t="n">
        <v>504.1</v>
      </c>
    </row>
    <row r="4538" customFormat="false" ht="15" hidden="false" customHeight="false" outlineLevel="0" collapsed="false">
      <c r="A4538" s="7" t="s">
        <v>24</v>
      </c>
      <c r="B4538" s="7" t="s">
        <v>100</v>
      </c>
      <c r="C4538" s="7" t="s">
        <v>1160</v>
      </c>
      <c r="D4538" s="7" t="n">
        <v>0</v>
      </c>
      <c r="E4538" s="7" t="n">
        <v>0</v>
      </c>
      <c r="F4538" s="7" t="n">
        <v>2</v>
      </c>
      <c r="G4538" s="7" t="n">
        <v>550.67</v>
      </c>
    </row>
    <row r="4539" customFormat="false" ht="15" hidden="false" customHeight="false" outlineLevel="0" collapsed="false">
      <c r="A4539" s="7" t="s">
        <v>24</v>
      </c>
      <c r="B4539" s="7" t="s">
        <v>100</v>
      </c>
      <c r="C4539" s="7" t="s">
        <v>1160</v>
      </c>
      <c r="D4539" s="7" t="n">
        <v>0</v>
      </c>
      <c r="E4539" s="7" t="n">
        <v>0</v>
      </c>
      <c r="F4539" s="7" t="n">
        <v>2</v>
      </c>
      <c r="G4539" s="7" t="n">
        <v>508.47</v>
      </c>
    </row>
    <row r="4540" customFormat="false" ht="15" hidden="false" customHeight="false" outlineLevel="0" collapsed="false">
      <c r="A4540" s="7" t="s">
        <v>24</v>
      </c>
      <c r="B4540" s="7" t="s">
        <v>100</v>
      </c>
      <c r="C4540" s="7" t="s">
        <v>1160</v>
      </c>
      <c r="D4540" s="7" t="n">
        <v>0</v>
      </c>
      <c r="E4540" s="7" t="n">
        <v>0</v>
      </c>
      <c r="F4540" s="7" t="n">
        <v>1</v>
      </c>
      <c r="G4540" s="7" t="n">
        <v>266.87</v>
      </c>
    </row>
    <row r="4541" customFormat="false" ht="15" hidden="false" customHeight="false" outlineLevel="0" collapsed="false">
      <c r="A4541" s="7" t="s">
        <v>24</v>
      </c>
      <c r="B4541" s="7" t="s">
        <v>100</v>
      </c>
      <c r="C4541" s="7" t="s">
        <v>1160</v>
      </c>
      <c r="D4541" s="7" t="n">
        <v>0</v>
      </c>
      <c r="E4541" s="7" t="n">
        <v>0</v>
      </c>
      <c r="F4541" s="7" t="n">
        <v>2</v>
      </c>
      <c r="G4541" s="7" t="n">
        <v>550.68</v>
      </c>
    </row>
    <row r="4542" customFormat="false" ht="15" hidden="false" customHeight="false" outlineLevel="0" collapsed="false">
      <c r="A4542" s="7" t="s">
        <v>24</v>
      </c>
      <c r="B4542" s="7" t="s">
        <v>100</v>
      </c>
      <c r="C4542" s="7" t="s">
        <v>1160</v>
      </c>
      <c r="D4542" s="7" t="n">
        <v>0</v>
      </c>
      <c r="E4542" s="7" t="n">
        <v>0</v>
      </c>
      <c r="F4542" s="7" t="n">
        <v>4</v>
      </c>
      <c r="G4542" s="7" t="n">
        <v>1101.44</v>
      </c>
    </row>
    <row r="4543" customFormat="false" ht="15" hidden="false" customHeight="false" outlineLevel="0" collapsed="false">
      <c r="A4543" s="7" t="s">
        <v>24</v>
      </c>
      <c r="B4543" s="7" t="s">
        <v>100</v>
      </c>
      <c r="C4543" s="7" t="s">
        <v>1160</v>
      </c>
      <c r="D4543" s="7" t="n">
        <v>0</v>
      </c>
      <c r="E4543" s="7" t="n">
        <v>0</v>
      </c>
      <c r="F4543" s="7" t="n">
        <v>1</v>
      </c>
      <c r="G4543" s="7" t="n">
        <v>266.87</v>
      </c>
    </row>
    <row r="4544" customFormat="false" ht="15" hidden="false" customHeight="false" outlineLevel="0" collapsed="false">
      <c r="A4544" s="7" t="s">
        <v>24</v>
      </c>
      <c r="B4544" s="7" t="s">
        <v>100</v>
      </c>
      <c r="C4544" s="7" t="s">
        <v>1160</v>
      </c>
      <c r="D4544" s="7" t="n">
        <v>0</v>
      </c>
      <c r="E4544" s="7" t="n">
        <v>0</v>
      </c>
      <c r="F4544" s="7" t="n">
        <v>2</v>
      </c>
      <c r="G4544" s="7" t="n">
        <v>533.75</v>
      </c>
    </row>
    <row r="4545" customFormat="false" ht="15" hidden="false" customHeight="false" outlineLevel="0" collapsed="false">
      <c r="A4545" s="7" t="s">
        <v>24</v>
      </c>
      <c r="B4545" s="7" t="s">
        <v>100</v>
      </c>
      <c r="C4545" s="7" t="s">
        <v>1160</v>
      </c>
      <c r="D4545" s="7" t="n">
        <v>0</v>
      </c>
      <c r="E4545" s="7" t="n">
        <v>0</v>
      </c>
      <c r="F4545" s="7" t="n">
        <v>1</v>
      </c>
      <c r="G4545" s="7" t="n">
        <v>266.87</v>
      </c>
    </row>
    <row r="4546" customFormat="false" ht="15" hidden="false" customHeight="false" outlineLevel="0" collapsed="false">
      <c r="A4546" s="7" t="s">
        <v>24</v>
      </c>
      <c r="B4546" s="7" t="s">
        <v>100</v>
      </c>
      <c r="C4546" s="7" t="s">
        <v>1160</v>
      </c>
      <c r="D4546" s="7" t="n">
        <v>0</v>
      </c>
      <c r="E4546" s="7" t="n">
        <v>0</v>
      </c>
      <c r="F4546" s="7" t="n">
        <v>4</v>
      </c>
      <c r="G4546" s="7" t="n">
        <v>1101.52</v>
      </c>
    </row>
    <row r="4547" customFormat="false" ht="15" hidden="false" customHeight="false" outlineLevel="0" collapsed="false">
      <c r="A4547" s="7" t="s">
        <v>24</v>
      </c>
      <c r="B4547" s="7" t="s">
        <v>100</v>
      </c>
      <c r="C4547" s="7" t="s">
        <v>1160</v>
      </c>
      <c r="D4547" s="7" t="n">
        <v>0</v>
      </c>
      <c r="E4547" s="7" t="n">
        <v>0</v>
      </c>
      <c r="F4547" s="7" t="n">
        <v>1</v>
      </c>
      <c r="G4547" s="7" t="n">
        <v>266.87</v>
      </c>
    </row>
    <row r="4548" customFormat="false" ht="15" hidden="false" customHeight="false" outlineLevel="0" collapsed="false">
      <c r="A4548" s="7" t="s">
        <v>24</v>
      </c>
      <c r="B4548" s="7" t="s">
        <v>100</v>
      </c>
      <c r="C4548" s="7" t="s">
        <v>1160</v>
      </c>
      <c r="D4548" s="7" t="n">
        <v>0</v>
      </c>
      <c r="E4548" s="7" t="n">
        <v>0</v>
      </c>
      <c r="F4548" s="7" t="n">
        <v>2</v>
      </c>
      <c r="G4548" s="7" t="n">
        <v>533.74</v>
      </c>
    </row>
    <row r="4549" customFormat="false" ht="15" hidden="false" customHeight="false" outlineLevel="0" collapsed="false">
      <c r="A4549" s="7" t="s">
        <v>24</v>
      </c>
      <c r="B4549" s="7" t="s">
        <v>100</v>
      </c>
      <c r="C4549" s="7" t="s">
        <v>1160</v>
      </c>
      <c r="D4549" s="7" t="n">
        <v>0</v>
      </c>
      <c r="E4549" s="7" t="n">
        <v>0</v>
      </c>
      <c r="F4549" s="7" t="n">
        <v>1</v>
      </c>
      <c r="G4549" s="7" t="n">
        <v>254.15</v>
      </c>
    </row>
    <row r="4550" customFormat="false" ht="15" hidden="false" customHeight="false" outlineLevel="0" collapsed="false">
      <c r="A4550" s="7" t="s">
        <v>24</v>
      </c>
      <c r="B4550" s="7" t="s">
        <v>100</v>
      </c>
      <c r="C4550" s="7" t="s">
        <v>1160</v>
      </c>
      <c r="D4550" s="7" t="n">
        <v>0</v>
      </c>
      <c r="E4550" s="7" t="n">
        <v>0</v>
      </c>
      <c r="F4550" s="7" t="n">
        <v>1</v>
      </c>
      <c r="G4550" s="7" t="n">
        <v>254.15</v>
      </c>
    </row>
    <row r="4551" customFormat="false" ht="15" hidden="false" customHeight="false" outlineLevel="0" collapsed="false">
      <c r="A4551" s="7" t="s">
        <v>24</v>
      </c>
      <c r="B4551" s="7" t="s">
        <v>100</v>
      </c>
      <c r="C4551" s="7" t="s">
        <v>1160</v>
      </c>
      <c r="D4551" s="7" t="n">
        <v>0</v>
      </c>
      <c r="E4551" s="7" t="n">
        <v>0</v>
      </c>
      <c r="F4551" s="7" t="n">
        <v>1</v>
      </c>
      <c r="G4551" s="7" t="n">
        <v>252.05</v>
      </c>
    </row>
    <row r="4552" customFormat="false" ht="15" hidden="false" customHeight="false" outlineLevel="0" collapsed="false">
      <c r="A4552" s="7" t="s">
        <v>24</v>
      </c>
      <c r="B4552" s="7" t="s">
        <v>100</v>
      </c>
      <c r="C4552" s="7" t="s">
        <v>1160</v>
      </c>
      <c r="D4552" s="7" t="n">
        <v>0</v>
      </c>
      <c r="E4552" s="7" t="n">
        <v>0</v>
      </c>
      <c r="F4552" s="7" t="n">
        <v>2</v>
      </c>
      <c r="G4552" s="7" t="n">
        <v>563.39</v>
      </c>
    </row>
    <row r="4553" customFormat="false" ht="15" hidden="false" customHeight="false" outlineLevel="0" collapsed="false">
      <c r="A4553" s="7" t="s">
        <v>24</v>
      </c>
      <c r="B4553" s="7" t="s">
        <v>100</v>
      </c>
      <c r="C4553" s="7" t="s">
        <v>1160</v>
      </c>
      <c r="D4553" s="7" t="n">
        <v>0</v>
      </c>
      <c r="E4553" s="7" t="n">
        <v>0</v>
      </c>
      <c r="F4553" s="7" t="n">
        <v>2</v>
      </c>
      <c r="G4553" s="7" t="n">
        <v>550.76</v>
      </c>
    </row>
    <row r="4554" customFormat="false" ht="15" hidden="false" customHeight="false" outlineLevel="0" collapsed="false">
      <c r="A4554" s="7" t="s">
        <v>24</v>
      </c>
      <c r="B4554" s="7" t="s">
        <v>100</v>
      </c>
      <c r="C4554" s="7" t="s">
        <v>1160</v>
      </c>
      <c r="D4554" s="7" t="n">
        <v>0</v>
      </c>
      <c r="E4554" s="7" t="n">
        <v>0</v>
      </c>
      <c r="F4554" s="7" t="n">
        <v>1</v>
      </c>
      <c r="G4554" s="7" t="n">
        <v>266.87</v>
      </c>
    </row>
    <row r="4555" customFormat="false" ht="15" hidden="false" customHeight="false" outlineLevel="0" collapsed="false">
      <c r="A4555" s="7" t="s">
        <v>24</v>
      </c>
      <c r="B4555" s="7" t="s">
        <v>100</v>
      </c>
      <c r="C4555" s="7" t="s">
        <v>1160</v>
      </c>
      <c r="D4555" s="7" t="n">
        <v>0</v>
      </c>
      <c r="E4555" s="7" t="n">
        <v>0</v>
      </c>
      <c r="F4555" s="7" t="n">
        <v>1</v>
      </c>
      <c r="G4555" s="7" t="n">
        <v>296.52</v>
      </c>
    </row>
    <row r="4556" customFormat="false" ht="15" hidden="false" customHeight="false" outlineLevel="0" collapsed="false">
      <c r="A4556" s="7" t="s">
        <v>24</v>
      </c>
      <c r="B4556" s="7" t="s">
        <v>100</v>
      </c>
      <c r="C4556" s="7" t="s">
        <v>1160</v>
      </c>
      <c r="D4556" s="7" t="n">
        <v>0</v>
      </c>
      <c r="E4556" s="7" t="n">
        <v>0</v>
      </c>
      <c r="F4556" s="7" t="n">
        <v>3</v>
      </c>
      <c r="G4556" s="7" t="n">
        <v>785.79</v>
      </c>
    </row>
    <row r="4557" customFormat="false" ht="15" hidden="false" customHeight="false" outlineLevel="0" collapsed="false">
      <c r="A4557" s="7" t="s">
        <v>24</v>
      </c>
      <c r="B4557" s="7" t="s">
        <v>100</v>
      </c>
      <c r="C4557" s="7" t="s">
        <v>1160</v>
      </c>
      <c r="D4557" s="7" t="n">
        <v>0</v>
      </c>
      <c r="E4557" s="7" t="n">
        <v>0</v>
      </c>
      <c r="F4557" s="7" t="n">
        <v>1</v>
      </c>
      <c r="G4557" s="7" t="n">
        <v>296.52</v>
      </c>
    </row>
    <row r="4558" customFormat="false" ht="15" hidden="false" customHeight="false" outlineLevel="0" collapsed="false">
      <c r="A4558" s="7" t="s">
        <v>24</v>
      </c>
      <c r="B4558" s="7" t="s">
        <v>100</v>
      </c>
      <c r="C4558" s="7" t="s">
        <v>1160</v>
      </c>
      <c r="D4558" s="7" t="n">
        <v>0</v>
      </c>
      <c r="E4558" s="7" t="n">
        <v>0</v>
      </c>
      <c r="F4558" s="7" t="n">
        <v>1</v>
      </c>
      <c r="G4558" s="7" t="n">
        <v>0</v>
      </c>
    </row>
    <row r="4559" customFormat="false" ht="15" hidden="false" customHeight="false" outlineLevel="0" collapsed="false">
      <c r="A4559" s="7" t="s">
        <v>24</v>
      </c>
      <c r="B4559" s="7" t="s">
        <v>100</v>
      </c>
      <c r="C4559" s="7" t="s">
        <v>1160</v>
      </c>
      <c r="D4559" s="7" t="n">
        <v>0</v>
      </c>
      <c r="E4559" s="7" t="n">
        <v>0</v>
      </c>
      <c r="F4559" s="7" t="n">
        <v>2</v>
      </c>
      <c r="G4559" s="7" t="n">
        <v>504.1</v>
      </c>
    </row>
    <row r="4560" customFormat="false" ht="15" hidden="false" customHeight="false" outlineLevel="0" collapsed="false">
      <c r="A4560" s="7" t="s">
        <v>24</v>
      </c>
      <c r="B4560" s="7" t="s">
        <v>100</v>
      </c>
      <c r="C4560" s="7" t="s">
        <v>1160</v>
      </c>
      <c r="D4560" s="7" t="n">
        <v>0</v>
      </c>
      <c r="E4560" s="7" t="n">
        <v>0</v>
      </c>
      <c r="F4560" s="7" t="n">
        <v>1</v>
      </c>
      <c r="G4560" s="7" t="n">
        <v>266.87</v>
      </c>
    </row>
    <row r="4561" customFormat="false" ht="15" hidden="false" customHeight="false" outlineLevel="0" collapsed="false">
      <c r="A4561" s="7" t="s">
        <v>24</v>
      </c>
      <c r="B4561" s="7" t="s">
        <v>100</v>
      </c>
      <c r="C4561" s="7" t="s">
        <v>1160</v>
      </c>
      <c r="D4561" s="7" t="n">
        <v>0</v>
      </c>
      <c r="E4561" s="7" t="n">
        <v>0</v>
      </c>
      <c r="F4561" s="7" t="n">
        <v>6</v>
      </c>
      <c r="G4561" s="7" t="n">
        <v>1645.7</v>
      </c>
    </row>
    <row r="4562" customFormat="false" ht="15" hidden="false" customHeight="false" outlineLevel="0" collapsed="false">
      <c r="A4562" s="7" t="s">
        <v>24</v>
      </c>
      <c r="B4562" s="7" t="s">
        <v>100</v>
      </c>
      <c r="C4562" s="7" t="s">
        <v>1160</v>
      </c>
      <c r="D4562" s="7" t="n">
        <v>0</v>
      </c>
      <c r="E4562" s="7" t="n">
        <v>0</v>
      </c>
      <c r="F4562" s="7" t="n">
        <v>1</v>
      </c>
      <c r="G4562" s="7" t="n">
        <v>296.52</v>
      </c>
    </row>
    <row r="4563" customFormat="false" ht="15" hidden="false" customHeight="false" outlineLevel="0" collapsed="false">
      <c r="A4563" s="7" t="s">
        <v>24</v>
      </c>
      <c r="B4563" s="7" t="s">
        <v>100</v>
      </c>
      <c r="C4563" s="7" t="s">
        <v>1160</v>
      </c>
      <c r="D4563" s="7" t="n">
        <v>0</v>
      </c>
      <c r="E4563" s="7" t="n">
        <v>0</v>
      </c>
      <c r="F4563" s="7" t="n">
        <v>3</v>
      </c>
      <c r="G4563" s="7" t="n">
        <v>830.28</v>
      </c>
    </row>
    <row r="4564" customFormat="false" ht="15" hidden="false" customHeight="false" outlineLevel="0" collapsed="false">
      <c r="A4564" s="7" t="s">
        <v>24</v>
      </c>
      <c r="B4564" s="7" t="s">
        <v>100</v>
      </c>
      <c r="C4564" s="7" t="s">
        <v>1160</v>
      </c>
      <c r="D4564" s="7" t="n">
        <v>0</v>
      </c>
      <c r="E4564" s="7" t="n">
        <v>0</v>
      </c>
      <c r="F4564" s="7" t="n">
        <v>11</v>
      </c>
      <c r="G4564" s="7" t="n">
        <v>3202.52</v>
      </c>
    </row>
    <row r="4565" customFormat="false" ht="15" hidden="false" customHeight="false" outlineLevel="0" collapsed="false">
      <c r="A4565" s="7" t="s">
        <v>24</v>
      </c>
      <c r="B4565" s="7" t="s">
        <v>100</v>
      </c>
      <c r="C4565" s="7" t="s">
        <v>1160</v>
      </c>
      <c r="D4565" s="7" t="n">
        <v>0</v>
      </c>
      <c r="E4565" s="7" t="n">
        <v>0</v>
      </c>
      <c r="F4565" s="7" t="n">
        <v>10</v>
      </c>
      <c r="G4565" s="7" t="n">
        <v>2905.99</v>
      </c>
    </row>
    <row r="4566" customFormat="false" ht="15" hidden="false" customHeight="false" outlineLevel="0" collapsed="false">
      <c r="A4566" s="7" t="s">
        <v>24</v>
      </c>
      <c r="B4566" s="7" t="s">
        <v>100</v>
      </c>
      <c r="C4566" s="7" t="s">
        <v>1160</v>
      </c>
      <c r="D4566" s="7" t="n">
        <v>0</v>
      </c>
      <c r="E4566" s="7" t="n">
        <v>0</v>
      </c>
      <c r="F4566" s="7" t="n">
        <v>1</v>
      </c>
      <c r="G4566" s="7" t="n">
        <v>296.53</v>
      </c>
    </row>
    <row r="4567" customFormat="false" ht="15" hidden="false" customHeight="false" outlineLevel="0" collapsed="false">
      <c r="A4567" s="7" t="s">
        <v>24</v>
      </c>
      <c r="B4567" s="7" t="s">
        <v>100</v>
      </c>
      <c r="C4567" s="7" t="s">
        <v>1160</v>
      </c>
      <c r="D4567" s="7" t="n">
        <v>0</v>
      </c>
      <c r="E4567" s="7" t="n">
        <v>0</v>
      </c>
      <c r="F4567" s="7" t="n">
        <v>1</v>
      </c>
      <c r="G4567" s="7" t="n">
        <v>252.05</v>
      </c>
    </row>
    <row r="4568" customFormat="false" ht="15" hidden="false" customHeight="false" outlineLevel="0" collapsed="false">
      <c r="A4568" s="7" t="s">
        <v>24</v>
      </c>
      <c r="B4568" s="7" t="s">
        <v>100</v>
      </c>
      <c r="C4568" s="7" t="s">
        <v>1160</v>
      </c>
      <c r="D4568" s="7" t="n">
        <v>0</v>
      </c>
      <c r="E4568" s="7" t="n">
        <v>0</v>
      </c>
      <c r="F4568" s="7" t="n">
        <v>1</v>
      </c>
      <c r="G4568" s="7" t="n">
        <v>296.52</v>
      </c>
    </row>
    <row r="4569" customFormat="false" ht="15" hidden="false" customHeight="false" outlineLevel="0" collapsed="false">
      <c r="A4569" s="7" t="s">
        <v>24</v>
      </c>
      <c r="B4569" s="7" t="s">
        <v>100</v>
      </c>
      <c r="C4569" s="7" t="s">
        <v>1160</v>
      </c>
      <c r="D4569" s="7" t="n">
        <v>0</v>
      </c>
      <c r="E4569" s="7" t="n">
        <v>0</v>
      </c>
      <c r="F4569" s="7" t="n">
        <v>0</v>
      </c>
      <c r="G4569" s="7" t="n">
        <v>85.6</v>
      </c>
    </row>
    <row r="4570" customFormat="false" ht="15" hidden="false" customHeight="false" outlineLevel="0" collapsed="false">
      <c r="A4570" s="7" t="s">
        <v>24</v>
      </c>
      <c r="B4570" s="7" t="s">
        <v>100</v>
      </c>
      <c r="C4570" s="7" t="s">
        <v>1160</v>
      </c>
      <c r="D4570" s="7" t="n">
        <v>0</v>
      </c>
      <c r="E4570" s="7" t="n">
        <v>0</v>
      </c>
      <c r="F4570" s="7" t="n">
        <v>3</v>
      </c>
      <c r="G4570" s="7" t="n">
        <v>756.15</v>
      </c>
    </row>
    <row r="4571" customFormat="false" ht="15" hidden="false" customHeight="false" outlineLevel="0" collapsed="false">
      <c r="A4571" s="7" t="s">
        <v>24</v>
      </c>
      <c r="B4571" s="7" t="s">
        <v>100</v>
      </c>
      <c r="C4571" s="7" t="s">
        <v>1160</v>
      </c>
      <c r="D4571" s="7" t="n">
        <v>0</v>
      </c>
      <c r="E4571" s="7" t="n">
        <v>0</v>
      </c>
      <c r="F4571" s="7" t="n">
        <v>4</v>
      </c>
      <c r="G4571" s="7" t="n">
        <v>1126.81</v>
      </c>
    </row>
    <row r="4572" customFormat="false" ht="15" hidden="false" customHeight="false" outlineLevel="0" collapsed="false">
      <c r="A4572" s="7" t="s">
        <v>24</v>
      </c>
      <c r="B4572" s="7" t="s">
        <v>100</v>
      </c>
      <c r="C4572" s="7" t="s">
        <v>1160</v>
      </c>
      <c r="D4572" s="7" t="n">
        <v>0</v>
      </c>
      <c r="E4572" s="7" t="n">
        <v>0</v>
      </c>
      <c r="F4572" s="7" t="n">
        <v>11</v>
      </c>
      <c r="G4572" s="7" t="n">
        <v>3016.01</v>
      </c>
    </row>
    <row r="4573" customFormat="false" ht="15" hidden="false" customHeight="false" outlineLevel="0" collapsed="false">
      <c r="A4573" s="7" t="s">
        <v>24</v>
      </c>
      <c r="B4573" s="7" t="s">
        <v>100</v>
      </c>
      <c r="C4573" s="7" t="s">
        <v>1160</v>
      </c>
      <c r="D4573" s="7" t="n">
        <v>0</v>
      </c>
      <c r="E4573" s="7" t="n">
        <v>0</v>
      </c>
      <c r="F4573" s="7" t="n">
        <v>55</v>
      </c>
      <c r="G4573" s="7" t="n">
        <v>14779.1</v>
      </c>
    </row>
    <row r="4574" customFormat="false" ht="15" hidden="false" customHeight="false" outlineLevel="0" collapsed="false">
      <c r="A4574" s="7" t="s">
        <v>24</v>
      </c>
      <c r="B4574" s="7" t="s">
        <v>100</v>
      </c>
      <c r="C4574" s="7" t="s">
        <v>1160</v>
      </c>
      <c r="D4574" s="7" t="n">
        <v>0</v>
      </c>
      <c r="E4574" s="7" t="n">
        <v>0</v>
      </c>
      <c r="F4574" s="7" t="n">
        <v>2</v>
      </c>
      <c r="G4574" s="7" t="n">
        <v>533.75</v>
      </c>
    </row>
    <row r="4575" customFormat="false" ht="15" hidden="false" customHeight="false" outlineLevel="0" collapsed="false">
      <c r="A4575" s="7" t="s">
        <v>24</v>
      </c>
      <c r="B4575" s="7" t="s">
        <v>100</v>
      </c>
      <c r="C4575" s="7" t="s">
        <v>1160</v>
      </c>
      <c r="D4575" s="7" t="n">
        <v>0</v>
      </c>
      <c r="E4575" s="7" t="n">
        <v>0</v>
      </c>
      <c r="F4575" s="7" t="n">
        <v>1</v>
      </c>
      <c r="G4575" s="7" t="n">
        <v>266.87</v>
      </c>
    </row>
    <row r="4576" customFormat="false" ht="15" hidden="false" customHeight="false" outlineLevel="0" collapsed="false">
      <c r="A4576" s="7" t="s">
        <v>24</v>
      </c>
      <c r="B4576" s="7" t="s">
        <v>100</v>
      </c>
      <c r="C4576" s="7" t="s">
        <v>1160</v>
      </c>
      <c r="D4576" s="7" t="n">
        <v>0</v>
      </c>
      <c r="E4576" s="7" t="n">
        <v>0</v>
      </c>
      <c r="F4576" s="7" t="n">
        <v>2</v>
      </c>
      <c r="G4576" s="7" t="n">
        <v>533.75</v>
      </c>
    </row>
    <row r="4577" customFormat="false" ht="15" hidden="false" customHeight="false" outlineLevel="0" collapsed="false">
      <c r="A4577" s="7" t="s">
        <v>24</v>
      </c>
      <c r="B4577" s="7" t="s">
        <v>100</v>
      </c>
      <c r="C4577" s="7" t="s">
        <v>1160</v>
      </c>
      <c r="D4577" s="7" t="n">
        <v>0</v>
      </c>
      <c r="E4577" s="7" t="n">
        <v>0</v>
      </c>
      <c r="F4577" s="7" t="n">
        <v>1</v>
      </c>
      <c r="G4577" s="7" t="n">
        <v>296.53</v>
      </c>
    </row>
    <row r="4578" customFormat="false" ht="15" hidden="false" customHeight="false" outlineLevel="0" collapsed="false">
      <c r="A4578" s="7" t="s">
        <v>24</v>
      </c>
      <c r="B4578" s="7" t="s">
        <v>100</v>
      </c>
      <c r="C4578" s="7" t="s">
        <v>1160</v>
      </c>
      <c r="D4578" s="7" t="n">
        <v>0</v>
      </c>
      <c r="E4578" s="7" t="n">
        <v>0</v>
      </c>
      <c r="F4578" s="7" t="n">
        <v>1</v>
      </c>
      <c r="G4578" s="7" t="n">
        <v>266.87</v>
      </c>
    </row>
    <row r="4579" customFormat="false" ht="15" hidden="false" customHeight="false" outlineLevel="0" collapsed="false">
      <c r="A4579" s="7" t="s">
        <v>24</v>
      </c>
      <c r="B4579" s="7" t="s">
        <v>100</v>
      </c>
      <c r="C4579" s="7" t="s">
        <v>1160</v>
      </c>
      <c r="D4579" s="7" t="n">
        <v>0</v>
      </c>
      <c r="E4579" s="7" t="n">
        <v>0</v>
      </c>
      <c r="F4579" s="7" t="n">
        <v>2</v>
      </c>
      <c r="G4579" s="7" t="n">
        <v>533.75</v>
      </c>
    </row>
    <row r="4580" customFormat="false" ht="15" hidden="false" customHeight="false" outlineLevel="0" collapsed="false">
      <c r="A4580" s="7" t="s">
        <v>24</v>
      </c>
      <c r="B4580" s="7" t="s">
        <v>100</v>
      </c>
      <c r="C4580" s="7" t="s">
        <v>1160</v>
      </c>
      <c r="D4580" s="7" t="n">
        <v>0</v>
      </c>
      <c r="E4580" s="7" t="n">
        <v>0</v>
      </c>
      <c r="F4580" s="7" t="n">
        <v>3</v>
      </c>
      <c r="G4580" s="7" t="n">
        <v>830.28</v>
      </c>
    </row>
    <row r="4581" customFormat="false" ht="15" hidden="false" customHeight="false" outlineLevel="0" collapsed="false">
      <c r="A4581" s="7" t="s">
        <v>24</v>
      </c>
      <c r="B4581" s="7" t="s">
        <v>100</v>
      </c>
      <c r="C4581" s="7" t="s">
        <v>1160</v>
      </c>
      <c r="D4581" s="7" t="n">
        <v>0</v>
      </c>
      <c r="E4581" s="7" t="n">
        <v>0</v>
      </c>
      <c r="F4581" s="7" t="n">
        <v>4</v>
      </c>
      <c r="G4581" s="7" t="n">
        <v>1126.81</v>
      </c>
    </row>
    <row r="4582" customFormat="false" ht="15" hidden="false" customHeight="false" outlineLevel="0" collapsed="false">
      <c r="A4582" s="7" t="s">
        <v>24</v>
      </c>
      <c r="B4582" s="7" t="s">
        <v>100</v>
      </c>
      <c r="C4582" s="7" t="s">
        <v>1160</v>
      </c>
      <c r="D4582" s="7" t="n">
        <v>0</v>
      </c>
      <c r="E4582" s="7" t="n">
        <v>0</v>
      </c>
      <c r="F4582" s="7" t="n">
        <v>2</v>
      </c>
      <c r="G4582" s="7" t="n">
        <v>508.47</v>
      </c>
    </row>
    <row r="4583" customFormat="false" ht="15" hidden="false" customHeight="false" outlineLevel="0" collapsed="false">
      <c r="A4583" s="7" t="s">
        <v>24</v>
      </c>
      <c r="B4583" s="7" t="s">
        <v>100</v>
      </c>
      <c r="C4583" s="7" t="s">
        <v>1160</v>
      </c>
      <c r="D4583" s="7" t="n">
        <v>0</v>
      </c>
      <c r="E4583" s="7" t="n">
        <v>0</v>
      </c>
      <c r="F4583" s="7" t="n">
        <v>1</v>
      </c>
      <c r="G4583" s="7" t="n">
        <v>296.52</v>
      </c>
    </row>
    <row r="4584" customFormat="false" ht="15" hidden="false" customHeight="false" outlineLevel="0" collapsed="false">
      <c r="A4584" s="7" t="s">
        <v>24</v>
      </c>
      <c r="B4584" s="7" t="s">
        <v>100</v>
      </c>
      <c r="C4584" s="7" t="s">
        <v>1160</v>
      </c>
      <c r="D4584" s="7" t="n">
        <v>0</v>
      </c>
      <c r="E4584" s="7" t="n">
        <v>0</v>
      </c>
      <c r="F4584" s="7" t="n">
        <v>1</v>
      </c>
      <c r="G4584" s="7" t="n">
        <v>296.53</v>
      </c>
    </row>
    <row r="4585" customFormat="false" ht="15" hidden="false" customHeight="false" outlineLevel="0" collapsed="false">
      <c r="A4585" s="7" t="s">
        <v>24</v>
      </c>
      <c r="B4585" s="7" t="s">
        <v>100</v>
      </c>
      <c r="C4585" s="7" t="s">
        <v>1160</v>
      </c>
      <c r="D4585" s="7" t="n">
        <v>0</v>
      </c>
      <c r="E4585" s="7" t="n">
        <v>0</v>
      </c>
      <c r="F4585" s="7" t="n">
        <v>5</v>
      </c>
      <c r="G4585" s="7" t="n">
        <v>1482.65</v>
      </c>
    </row>
    <row r="4586" customFormat="false" ht="15" hidden="false" customHeight="false" outlineLevel="0" collapsed="false">
      <c r="A4586" s="7" t="s">
        <v>24</v>
      </c>
      <c r="B4586" s="7" t="s">
        <v>100</v>
      </c>
      <c r="C4586" s="7" t="s">
        <v>1160</v>
      </c>
      <c r="D4586" s="7" t="n">
        <v>0</v>
      </c>
      <c r="E4586" s="7" t="n">
        <v>0</v>
      </c>
      <c r="F4586" s="7" t="n">
        <v>2</v>
      </c>
      <c r="G4586" s="7" t="n">
        <v>550.76</v>
      </c>
    </row>
    <row r="4587" customFormat="false" ht="15" hidden="false" customHeight="false" outlineLevel="0" collapsed="false">
      <c r="A4587" s="7" t="s">
        <v>24</v>
      </c>
      <c r="B4587" s="7" t="s">
        <v>100</v>
      </c>
      <c r="C4587" s="7" t="s">
        <v>1160</v>
      </c>
      <c r="D4587" s="7" t="n">
        <v>0</v>
      </c>
      <c r="E4587" s="7" t="n">
        <v>0</v>
      </c>
      <c r="F4587" s="7" t="n">
        <v>8</v>
      </c>
      <c r="G4587" s="7" t="n">
        <v>2245.25</v>
      </c>
    </row>
    <row r="4588" customFormat="false" ht="15" hidden="false" customHeight="false" outlineLevel="0" collapsed="false">
      <c r="A4588" s="7" t="s">
        <v>24</v>
      </c>
      <c r="B4588" s="7" t="s">
        <v>100</v>
      </c>
      <c r="C4588" s="7" t="s">
        <v>1160</v>
      </c>
      <c r="D4588" s="7" t="n">
        <v>0</v>
      </c>
      <c r="E4588" s="7" t="n">
        <v>0</v>
      </c>
      <c r="F4588" s="7" t="n">
        <v>1</v>
      </c>
      <c r="G4588" s="7" t="n">
        <v>266.87</v>
      </c>
    </row>
    <row r="4589" customFormat="false" ht="15" hidden="false" customHeight="false" outlineLevel="0" collapsed="false">
      <c r="A4589" s="7" t="s">
        <v>24</v>
      </c>
      <c r="B4589" s="7" t="s">
        <v>100</v>
      </c>
      <c r="C4589" s="7" t="s">
        <v>1160</v>
      </c>
      <c r="D4589" s="7" t="n">
        <v>0</v>
      </c>
      <c r="E4589" s="7" t="n">
        <v>0</v>
      </c>
      <c r="F4589" s="7" t="n">
        <v>6</v>
      </c>
      <c r="G4589" s="7" t="n">
        <v>1525.14</v>
      </c>
    </row>
    <row r="4590" customFormat="false" ht="15" hidden="false" customHeight="false" outlineLevel="0" collapsed="false">
      <c r="A4590" s="7" t="s">
        <v>24</v>
      </c>
      <c r="B4590" s="7" t="s">
        <v>100</v>
      </c>
      <c r="C4590" s="7" t="s">
        <v>1160</v>
      </c>
      <c r="D4590" s="7" t="n">
        <v>0</v>
      </c>
      <c r="E4590" s="7" t="n">
        <v>0</v>
      </c>
      <c r="F4590" s="7" t="n">
        <v>1</v>
      </c>
      <c r="G4590" s="7" t="n">
        <v>266.87</v>
      </c>
    </row>
    <row r="4591" customFormat="false" ht="15" hidden="false" customHeight="false" outlineLevel="0" collapsed="false">
      <c r="A4591" s="7" t="s">
        <v>24</v>
      </c>
      <c r="B4591" s="7" t="s">
        <v>100</v>
      </c>
      <c r="C4591" s="7" t="s">
        <v>1160</v>
      </c>
      <c r="D4591" s="7" t="n">
        <v>0</v>
      </c>
      <c r="E4591" s="7" t="n">
        <v>0</v>
      </c>
      <c r="F4591" s="7" t="n">
        <v>2</v>
      </c>
      <c r="G4591" s="7" t="n">
        <v>550.76</v>
      </c>
    </row>
    <row r="4592" customFormat="false" ht="15" hidden="false" customHeight="false" outlineLevel="0" collapsed="false">
      <c r="A4592" s="7" t="s">
        <v>24</v>
      </c>
      <c r="B4592" s="7" t="s">
        <v>100</v>
      </c>
      <c r="C4592" s="7" t="s">
        <v>1160</v>
      </c>
      <c r="D4592" s="7" t="n">
        <v>0</v>
      </c>
      <c r="E4592" s="7" t="n">
        <v>0</v>
      </c>
      <c r="F4592" s="7" t="n">
        <v>2</v>
      </c>
      <c r="G4592" s="7" t="n">
        <v>508.4</v>
      </c>
    </row>
    <row r="4593" customFormat="false" ht="15" hidden="false" customHeight="false" outlineLevel="0" collapsed="false">
      <c r="A4593" s="7" t="s">
        <v>24</v>
      </c>
      <c r="B4593" s="7" t="s">
        <v>100</v>
      </c>
      <c r="C4593" s="7" t="s">
        <v>1160</v>
      </c>
      <c r="D4593" s="7" t="n">
        <v>0</v>
      </c>
      <c r="E4593" s="7" t="n">
        <v>0</v>
      </c>
      <c r="F4593" s="7" t="n">
        <v>3</v>
      </c>
      <c r="G4593" s="7" t="n">
        <v>830.28</v>
      </c>
    </row>
    <row r="4594" customFormat="false" ht="15" hidden="false" customHeight="false" outlineLevel="0" collapsed="false">
      <c r="A4594" s="7" t="s">
        <v>24</v>
      </c>
      <c r="B4594" s="7" t="s">
        <v>100</v>
      </c>
      <c r="C4594" s="7" t="s">
        <v>1160</v>
      </c>
      <c r="D4594" s="7" t="n">
        <v>0</v>
      </c>
      <c r="E4594" s="7" t="n">
        <v>0</v>
      </c>
      <c r="F4594" s="7" t="n">
        <v>1</v>
      </c>
      <c r="G4594" s="7" t="n">
        <v>296.52</v>
      </c>
    </row>
    <row r="4595" customFormat="false" ht="15" hidden="false" customHeight="false" outlineLevel="0" collapsed="false">
      <c r="A4595" s="7" t="s">
        <v>24</v>
      </c>
      <c r="B4595" s="7" t="s">
        <v>100</v>
      </c>
      <c r="C4595" s="7" t="s">
        <v>1160</v>
      </c>
      <c r="D4595" s="7" t="n">
        <v>0</v>
      </c>
      <c r="E4595" s="7" t="n">
        <v>0</v>
      </c>
      <c r="F4595" s="7" t="n">
        <v>2</v>
      </c>
      <c r="G4595" s="7" t="n">
        <v>495.69</v>
      </c>
    </row>
    <row r="4596" customFormat="false" ht="15" hidden="false" customHeight="false" outlineLevel="0" collapsed="false">
      <c r="A4596" s="7" t="s">
        <v>24</v>
      </c>
      <c r="B4596" s="7" t="s">
        <v>100</v>
      </c>
      <c r="C4596" s="7" t="s">
        <v>1160</v>
      </c>
      <c r="D4596" s="7" t="n">
        <v>0</v>
      </c>
      <c r="E4596" s="7" t="n">
        <v>0</v>
      </c>
      <c r="F4596" s="7" t="n">
        <v>1</v>
      </c>
      <c r="G4596" s="7" t="n">
        <v>296.53</v>
      </c>
    </row>
    <row r="4597" customFormat="false" ht="15" hidden="false" customHeight="false" outlineLevel="0" collapsed="false">
      <c r="A4597" s="7" t="s">
        <v>24</v>
      </c>
      <c r="B4597" s="7" t="s">
        <v>100</v>
      </c>
      <c r="C4597" s="7" t="s">
        <v>1160</v>
      </c>
      <c r="D4597" s="7" t="n">
        <v>0</v>
      </c>
      <c r="E4597" s="7" t="n">
        <v>0</v>
      </c>
      <c r="F4597" s="7" t="n">
        <v>5</v>
      </c>
      <c r="G4597" s="7" t="n">
        <v>1334.35</v>
      </c>
    </row>
    <row r="4598" customFormat="false" ht="15" hidden="false" customHeight="false" outlineLevel="0" collapsed="false">
      <c r="A4598" s="7" t="s">
        <v>24</v>
      </c>
      <c r="B4598" s="7" t="s">
        <v>100</v>
      </c>
      <c r="C4598" s="7" t="s">
        <v>1160</v>
      </c>
      <c r="D4598" s="7" t="n">
        <v>0</v>
      </c>
      <c r="E4598" s="7" t="n">
        <v>0</v>
      </c>
      <c r="F4598" s="7" t="n">
        <v>43</v>
      </c>
      <c r="G4598" s="7" t="n">
        <v>12157.69</v>
      </c>
    </row>
    <row r="4599" customFormat="false" ht="15" hidden="false" customHeight="false" outlineLevel="0" collapsed="false">
      <c r="A4599" s="7" t="s">
        <v>24</v>
      </c>
      <c r="B4599" s="7" t="s">
        <v>100</v>
      </c>
      <c r="C4599" s="7" t="s">
        <v>1160</v>
      </c>
      <c r="D4599" s="7" t="n">
        <v>0</v>
      </c>
      <c r="E4599" s="7" t="n">
        <v>0</v>
      </c>
      <c r="F4599" s="7" t="n">
        <v>1</v>
      </c>
      <c r="G4599" s="7" t="n">
        <v>296.53</v>
      </c>
    </row>
    <row r="4600" customFormat="false" ht="15" hidden="false" customHeight="false" outlineLevel="0" collapsed="false">
      <c r="A4600" s="7" t="s">
        <v>24</v>
      </c>
      <c r="B4600" s="7" t="s">
        <v>100</v>
      </c>
      <c r="C4600" s="7" t="s">
        <v>1160</v>
      </c>
      <c r="D4600" s="7" t="n">
        <v>0</v>
      </c>
      <c r="E4600" s="7" t="n">
        <v>0</v>
      </c>
      <c r="F4600" s="7" t="n">
        <v>1</v>
      </c>
      <c r="G4600" s="7" t="n">
        <v>296.53</v>
      </c>
    </row>
    <row r="4601" customFormat="false" ht="15" hidden="false" customHeight="false" outlineLevel="0" collapsed="false">
      <c r="A4601" s="7" t="s">
        <v>24</v>
      </c>
      <c r="B4601" s="7" t="s">
        <v>100</v>
      </c>
      <c r="C4601" s="7" t="s">
        <v>1160</v>
      </c>
      <c r="D4601" s="7" t="n">
        <v>0</v>
      </c>
      <c r="E4601" s="7" t="n">
        <v>0</v>
      </c>
      <c r="F4601" s="7" t="n">
        <v>1</v>
      </c>
      <c r="G4601" s="7" t="n">
        <v>266.87</v>
      </c>
    </row>
    <row r="4602" customFormat="false" ht="15" hidden="false" customHeight="false" outlineLevel="0" collapsed="false">
      <c r="A4602" s="7" t="s">
        <v>24</v>
      </c>
      <c r="B4602" s="7" t="s">
        <v>100</v>
      </c>
      <c r="C4602" s="7" t="s">
        <v>1160</v>
      </c>
      <c r="D4602" s="7" t="n">
        <v>0</v>
      </c>
      <c r="E4602" s="7" t="n">
        <v>0</v>
      </c>
      <c r="F4602" s="7" t="n">
        <v>1</v>
      </c>
      <c r="G4602" s="7" t="n">
        <v>254.15</v>
      </c>
    </row>
    <row r="4603" customFormat="false" ht="15" hidden="false" customHeight="false" outlineLevel="0" collapsed="false">
      <c r="A4603" s="7" t="s">
        <v>24</v>
      </c>
      <c r="B4603" s="7" t="s">
        <v>100</v>
      </c>
      <c r="C4603" s="7" t="s">
        <v>1160</v>
      </c>
      <c r="D4603" s="7" t="n">
        <v>0</v>
      </c>
      <c r="E4603" s="7" t="n">
        <v>0</v>
      </c>
      <c r="F4603" s="7" t="n">
        <v>1</v>
      </c>
      <c r="G4603" s="7" t="n">
        <v>266.87</v>
      </c>
    </row>
    <row r="4604" customFormat="false" ht="15" hidden="false" customHeight="false" outlineLevel="0" collapsed="false">
      <c r="A4604" s="7" t="s">
        <v>24</v>
      </c>
      <c r="B4604" s="7" t="s">
        <v>100</v>
      </c>
      <c r="C4604" s="7" t="s">
        <v>1160</v>
      </c>
      <c r="D4604" s="7" t="n">
        <v>0</v>
      </c>
      <c r="E4604" s="7" t="n">
        <v>0</v>
      </c>
      <c r="F4604" s="7" t="n">
        <v>1</v>
      </c>
      <c r="G4604" s="7" t="n">
        <v>266.87</v>
      </c>
    </row>
    <row r="4605" customFormat="false" ht="15" hidden="false" customHeight="false" outlineLevel="0" collapsed="false">
      <c r="A4605" s="7" t="s">
        <v>24</v>
      </c>
      <c r="B4605" s="7" t="s">
        <v>100</v>
      </c>
      <c r="C4605" s="7" t="s">
        <v>1160</v>
      </c>
      <c r="D4605" s="7" t="n">
        <v>0</v>
      </c>
      <c r="E4605" s="7" t="n">
        <v>0</v>
      </c>
      <c r="F4605" s="7" t="n">
        <v>1</v>
      </c>
      <c r="G4605" s="7" t="n">
        <v>296.53</v>
      </c>
    </row>
    <row r="4606" customFormat="false" ht="15" hidden="false" customHeight="false" outlineLevel="0" collapsed="false">
      <c r="A4606" s="7" t="s">
        <v>24</v>
      </c>
      <c r="B4606" s="7" t="s">
        <v>100</v>
      </c>
      <c r="C4606" s="7" t="s">
        <v>1160</v>
      </c>
      <c r="D4606" s="7" t="n">
        <v>0</v>
      </c>
      <c r="E4606" s="7" t="n">
        <v>0</v>
      </c>
      <c r="F4606" s="7" t="n">
        <v>3</v>
      </c>
      <c r="G4606" s="7" t="n">
        <v>889.59</v>
      </c>
    </row>
    <row r="4607" customFormat="false" ht="15" hidden="false" customHeight="false" outlineLevel="0" collapsed="false">
      <c r="A4607" s="7" t="s">
        <v>24</v>
      </c>
      <c r="B4607" s="7" t="s">
        <v>100</v>
      </c>
      <c r="C4607" s="7" t="s">
        <v>1160</v>
      </c>
      <c r="D4607" s="7" t="n">
        <v>0</v>
      </c>
      <c r="E4607" s="7" t="n">
        <v>0</v>
      </c>
      <c r="F4607" s="7" t="n">
        <v>1</v>
      </c>
      <c r="G4607" s="7" t="n">
        <v>266.87</v>
      </c>
    </row>
    <row r="4608" customFormat="false" ht="15" hidden="false" customHeight="false" outlineLevel="0" collapsed="false">
      <c r="A4608" s="7" t="s">
        <v>24</v>
      </c>
      <c r="B4608" s="7" t="s">
        <v>100</v>
      </c>
      <c r="C4608" s="7" t="s">
        <v>1160</v>
      </c>
      <c r="D4608" s="7" t="n">
        <v>0</v>
      </c>
      <c r="E4608" s="7" t="n">
        <v>0</v>
      </c>
      <c r="F4608" s="7" t="n">
        <v>1</v>
      </c>
      <c r="G4608" s="7" t="n">
        <v>266.87</v>
      </c>
    </row>
    <row r="4609" customFormat="false" ht="15" hidden="false" customHeight="false" outlineLevel="0" collapsed="false">
      <c r="A4609" s="7" t="s">
        <v>24</v>
      </c>
      <c r="B4609" s="7" t="s">
        <v>100</v>
      </c>
      <c r="C4609" s="7" t="s">
        <v>1160</v>
      </c>
      <c r="D4609" s="7" t="n">
        <v>0</v>
      </c>
      <c r="E4609" s="7" t="n">
        <v>0</v>
      </c>
      <c r="F4609" s="7" t="n">
        <v>5</v>
      </c>
      <c r="G4609" s="7" t="n">
        <v>1364.03</v>
      </c>
    </row>
    <row r="4610" customFormat="false" ht="15" hidden="false" customHeight="false" outlineLevel="0" collapsed="false">
      <c r="A4610" s="7" t="s">
        <v>24</v>
      </c>
      <c r="B4610" s="7" t="s">
        <v>100</v>
      </c>
      <c r="C4610" s="7" t="s">
        <v>1160</v>
      </c>
      <c r="D4610" s="7" t="n">
        <v>0</v>
      </c>
      <c r="E4610" s="7" t="n">
        <v>0</v>
      </c>
      <c r="F4610" s="7" t="n">
        <v>38</v>
      </c>
      <c r="G4610" s="7" t="n">
        <v>10113.55</v>
      </c>
    </row>
    <row r="4611" customFormat="false" ht="15" hidden="false" customHeight="false" outlineLevel="0" collapsed="false">
      <c r="A4611" s="7" t="s">
        <v>24</v>
      </c>
      <c r="B4611" s="7" t="s">
        <v>100</v>
      </c>
      <c r="C4611" s="7" t="s">
        <v>1160</v>
      </c>
      <c r="D4611" s="7" t="n">
        <v>0</v>
      </c>
      <c r="E4611" s="7" t="n">
        <v>0</v>
      </c>
      <c r="F4611" s="7" t="n">
        <v>4</v>
      </c>
      <c r="G4611" s="7" t="n">
        <v>1097.13</v>
      </c>
    </row>
    <row r="4612" customFormat="false" ht="15" hidden="false" customHeight="false" outlineLevel="0" collapsed="false">
      <c r="A4612" s="7" t="s">
        <v>24</v>
      </c>
      <c r="B4612" s="7" t="s">
        <v>100</v>
      </c>
      <c r="C4612" s="7" t="s">
        <v>1160</v>
      </c>
      <c r="D4612" s="7" t="n">
        <v>0</v>
      </c>
      <c r="E4612" s="7" t="n">
        <v>0</v>
      </c>
      <c r="F4612" s="7" t="n">
        <v>65</v>
      </c>
      <c r="G4612" s="7" t="n">
        <v>17560.47</v>
      </c>
    </row>
    <row r="4613" customFormat="false" ht="15" hidden="false" customHeight="false" outlineLevel="0" collapsed="false">
      <c r="A4613" s="7" t="s">
        <v>24</v>
      </c>
      <c r="B4613" s="7" t="s">
        <v>100</v>
      </c>
      <c r="C4613" s="7" t="s">
        <v>1160</v>
      </c>
      <c r="D4613" s="7" t="n">
        <v>0</v>
      </c>
      <c r="E4613" s="7" t="n">
        <v>0</v>
      </c>
      <c r="F4613" s="7" t="n">
        <v>1</v>
      </c>
      <c r="G4613" s="7" t="n">
        <v>296.53</v>
      </c>
    </row>
    <row r="4614" customFormat="false" ht="15" hidden="false" customHeight="false" outlineLevel="0" collapsed="false">
      <c r="A4614" s="7" t="s">
        <v>24</v>
      </c>
      <c r="B4614" s="7" t="s">
        <v>372</v>
      </c>
      <c r="C4614" s="7" t="s">
        <v>1064</v>
      </c>
      <c r="D4614" s="7" t="n">
        <v>0</v>
      </c>
      <c r="E4614" s="7" t="n">
        <v>0</v>
      </c>
      <c r="F4614" s="7" t="n">
        <v>1</v>
      </c>
      <c r="G4614" s="7" t="n">
        <v>584.66</v>
      </c>
    </row>
    <row r="4615" customFormat="false" ht="15" hidden="false" customHeight="false" outlineLevel="0" collapsed="false">
      <c r="A4615" s="7" t="s">
        <v>24</v>
      </c>
      <c r="B4615" s="7" t="s">
        <v>372</v>
      </c>
      <c r="C4615" s="7" t="s">
        <v>1064</v>
      </c>
      <c r="D4615" s="7" t="n">
        <v>1</v>
      </c>
      <c r="E4615" s="7" t="n">
        <v>581.27</v>
      </c>
      <c r="F4615" s="7" t="n">
        <v>0</v>
      </c>
      <c r="G4615" s="7" t="n">
        <v>0</v>
      </c>
    </row>
    <row r="4616" customFormat="false" ht="15" hidden="false" customHeight="false" outlineLevel="0" collapsed="false">
      <c r="A4616" s="7" t="s">
        <v>24</v>
      </c>
      <c r="B4616" s="7" t="s">
        <v>372</v>
      </c>
      <c r="C4616" s="7" t="s">
        <v>1064</v>
      </c>
      <c r="D4616" s="7" t="n">
        <v>0</v>
      </c>
      <c r="E4616" s="7" t="n">
        <v>0</v>
      </c>
      <c r="F4616" s="7" t="n">
        <v>1</v>
      </c>
      <c r="G4616" s="7" t="n">
        <v>584.66</v>
      </c>
    </row>
    <row r="4617" customFormat="false" ht="15" hidden="false" customHeight="false" outlineLevel="0" collapsed="false">
      <c r="A4617" s="7" t="s">
        <v>24</v>
      </c>
      <c r="B4617" s="7" t="s">
        <v>138</v>
      </c>
      <c r="C4617" s="7" t="s">
        <v>1064</v>
      </c>
      <c r="D4617" s="7" t="n">
        <v>0</v>
      </c>
      <c r="E4617" s="7" t="n">
        <v>0</v>
      </c>
      <c r="F4617" s="7" t="n">
        <v>1</v>
      </c>
      <c r="G4617" s="7" t="n">
        <v>584.66</v>
      </c>
    </row>
    <row r="4618" customFormat="false" ht="15" hidden="false" customHeight="false" outlineLevel="0" collapsed="false">
      <c r="A4618" s="7" t="s">
        <v>24</v>
      </c>
      <c r="B4618" s="7" t="s">
        <v>138</v>
      </c>
      <c r="C4618" s="7" t="s">
        <v>1064</v>
      </c>
      <c r="D4618" s="7" t="n">
        <v>1</v>
      </c>
      <c r="E4618" s="7" t="n">
        <v>467.73</v>
      </c>
      <c r="F4618" s="7" t="n">
        <v>1</v>
      </c>
      <c r="G4618" s="7" t="n">
        <v>584.66</v>
      </c>
    </row>
    <row r="4619" customFormat="false" ht="15" hidden="false" customHeight="false" outlineLevel="0" collapsed="false">
      <c r="A4619" s="7" t="s">
        <v>24</v>
      </c>
      <c r="B4619" s="7" t="s">
        <v>138</v>
      </c>
      <c r="C4619" s="7" t="s">
        <v>1064</v>
      </c>
      <c r="D4619" s="7" t="n">
        <v>0</v>
      </c>
      <c r="E4619" s="7" t="n">
        <v>0</v>
      </c>
      <c r="F4619" s="7" t="n">
        <v>1</v>
      </c>
      <c r="G4619" s="7" t="n">
        <v>584.66</v>
      </c>
    </row>
    <row r="4620" customFormat="false" ht="15" hidden="false" customHeight="false" outlineLevel="0" collapsed="false">
      <c r="A4620" s="7" t="s">
        <v>24</v>
      </c>
      <c r="B4620" s="7" t="s">
        <v>138</v>
      </c>
      <c r="C4620" s="7" t="s">
        <v>1064</v>
      </c>
      <c r="D4620" s="7" t="n">
        <v>0</v>
      </c>
      <c r="E4620" s="7" t="n">
        <v>0</v>
      </c>
      <c r="F4620" s="7" t="n">
        <v>1</v>
      </c>
      <c r="G4620" s="7" t="n">
        <v>584.66</v>
      </c>
    </row>
    <row r="4621" customFormat="false" ht="15" hidden="false" customHeight="false" outlineLevel="0" collapsed="false">
      <c r="A4621" s="7" t="s">
        <v>24</v>
      </c>
      <c r="B4621" s="7" t="s">
        <v>138</v>
      </c>
      <c r="C4621" s="7" t="s">
        <v>1064</v>
      </c>
      <c r="D4621" s="7" t="n">
        <v>0</v>
      </c>
      <c r="E4621" s="7" t="n">
        <v>0</v>
      </c>
      <c r="F4621" s="7" t="n">
        <v>1</v>
      </c>
      <c r="G4621" s="7" t="n">
        <v>584.66</v>
      </c>
    </row>
    <row r="4622" customFormat="false" ht="15" hidden="false" customHeight="false" outlineLevel="0" collapsed="false">
      <c r="A4622" s="7" t="s">
        <v>24</v>
      </c>
      <c r="B4622" s="7" t="s">
        <v>138</v>
      </c>
      <c r="C4622" s="7" t="s">
        <v>1064</v>
      </c>
      <c r="D4622" s="7" t="n">
        <v>0</v>
      </c>
      <c r="E4622" s="7" t="n">
        <v>0</v>
      </c>
      <c r="F4622" s="7" t="n">
        <v>1</v>
      </c>
      <c r="G4622" s="7" t="n">
        <v>584.66</v>
      </c>
    </row>
    <row r="4623" customFormat="false" ht="15" hidden="false" customHeight="false" outlineLevel="0" collapsed="false">
      <c r="A4623" s="7" t="s">
        <v>24</v>
      </c>
      <c r="B4623" s="7" t="s">
        <v>138</v>
      </c>
      <c r="C4623" s="7" t="s">
        <v>1064</v>
      </c>
      <c r="D4623" s="7" t="n">
        <v>0</v>
      </c>
      <c r="E4623" s="7" t="n">
        <v>0</v>
      </c>
      <c r="F4623" s="7" t="n">
        <v>2</v>
      </c>
      <c r="G4623" s="7" t="n">
        <v>1169.32</v>
      </c>
    </row>
    <row r="4624" customFormat="false" ht="15" hidden="false" customHeight="false" outlineLevel="0" collapsed="false">
      <c r="A4624" s="7" t="s">
        <v>24</v>
      </c>
      <c r="B4624" s="7" t="s">
        <v>200</v>
      </c>
      <c r="C4624" s="7" t="s">
        <v>1064</v>
      </c>
      <c r="D4624" s="7" t="n">
        <v>0</v>
      </c>
      <c r="E4624" s="7" t="n">
        <v>0</v>
      </c>
      <c r="F4624" s="7" t="n">
        <v>1</v>
      </c>
      <c r="G4624" s="7" t="n">
        <v>584.66</v>
      </c>
    </row>
    <row r="4625" customFormat="false" ht="15" hidden="false" customHeight="false" outlineLevel="0" collapsed="false">
      <c r="A4625" s="7" t="s">
        <v>24</v>
      </c>
      <c r="B4625" s="7" t="s">
        <v>200</v>
      </c>
      <c r="C4625" s="7" t="s">
        <v>1064</v>
      </c>
      <c r="D4625" s="7" t="n">
        <v>0</v>
      </c>
      <c r="E4625" s="7" t="n">
        <v>0</v>
      </c>
      <c r="F4625" s="7" t="n">
        <v>1</v>
      </c>
      <c r="G4625" s="7" t="n">
        <v>526.19</v>
      </c>
    </row>
    <row r="4626" customFormat="false" ht="15" hidden="false" customHeight="false" outlineLevel="0" collapsed="false">
      <c r="A4626" s="7" t="s">
        <v>24</v>
      </c>
      <c r="B4626" s="7" t="s">
        <v>200</v>
      </c>
      <c r="C4626" s="7" t="s">
        <v>1064</v>
      </c>
      <c r="D4626" s="7" t="n">
        <v>3</v>
      </c>
      <c r="E4626" s="7" t="n">
        <v>1520.1</v>
      </c>
      <c r="F4626" s="7" t="n">
        <v>2</v>
      </c>
      <c r="G4626" s="7" t="n">
        <v>1052.38</v>
      </c>
    </row>
    <row r="4627" customFormat="false" ht="15" hidden="false" customHeight="false" outlineLevel="0" collapsed="false">
      <c r="A4627" s="7" t="s">
        <v>24</v>
      </c>
      <c r="B4627" s="7" t="s">
        <v>200</v>
      </c>
      <c r="C4627" s="7" t="s">
        <v>1064</v>
      </c>
      <c r="D4627" s="7" t="n">
        <v>0</v>
      </c>
      <c r="E4627" s="7" t="n">
        <v>0</v>
      </c>
      <c r="F4627" s="7" t="n">
        <v>1</v>
      </c>
      <c r="G4627" s="7" t="n">
        <v>584.66</v>
      </c>
    </row>
    <row r="4628" customFormat="false" ht="15" hidden="false" customHeight="false" outlineLevel="0" collapsed="false">
      <c r="A4628" s="7" t="s">
        <v>24</v>
      </c>
      <c r="B4628" s="7" t="s">
        <v>200</v>
      </c>
      <c r="C4628" s="7" t="s">
        <v>1064</v>
      </c>
      <c r="D4628" s="7" t="n">
        <v>0</v>
      </c>
      <c r="E4628" s="7" t="n">
        <v>0</v>
      </c>
      <c r="F4628" s="7" t="n">
        <v>1</v>
      </c>
      <c r="G4628" s="7" t="n">
        <v>584.66</v>
      </c>
    </row>
    <row r="4629" customFormat="false" ht="15" hidden="false" customHeight="false" outlineLevel="0" collapsed="false">
      <c r="A4629" s="7" t="s">
        <v>24</v>
      </c>
      <c r="B4629" s="7" t="s">
        <v>507</v>
      </c>
      <c r="C4629" s="7" t="s">
        <v>1108</v>
      </c>
      <c r="D4629" s="7" t="n">
        <v>0</v>
      </c>
      <c r="E4629" s="7" t="n">
        <v>0</v>
      </c>
      <c r="F4629" s="7" t="n">
        <v>1</v>
      </c>
      <c r="G4629" s="7" t="n">
        <v>316.45</v>
      </c>
    </row>
    <row r="4630" customFormat="false" ht="15" hidden="false" customHeight="false" outlineLevel="0" collapsed="false">
      <c r="A4630" s="7" t="s">
        <v>24</v>
      </c>
      <c r="B4630" s="7" t="s">
        <v>277</v>
      </c>
      <c r="C4630" s="7" t="s">
        <v>1108</v>
      </c>
      <c r="D4630" s="7" t="n">
        <v>1</v>
      </c>
      <c r="E4630" s="7" t="n">
        <v>342.29</v>
      </c>
      <c r="F4630" s="7" t="n">
        <v>0</v>
      </c>
      <c r="G4630" s="7" t="n">
        <v>0</v>
      </c>
    </row>
    <row r="4631" customFormat="false" ht="15" hidden="false" customHeight="false" outlineLevel="0" collapsed="false">
      <c r="A4631" s="7" t="s">
        <v>24</v>
      </c>
      <c r="B4631" s="7" t="s">
        <v>277</v>
      </c>
      <c r="C4631" s="7" t="s">
        <v>1108</v>
      </c>
      <c r="D4631" s="7" t="n">
        <v>2</v>
      </c>
      <c r="E4631" s="7" t="n">
        <v>703.22</v>
      </c>
      <c r="F4631" s="7" t="n">
        <v>0</v>
      </c>
      <c r="G4631" s="7" t="n">
        <v>0</v>
      </c>
    </row>
    <row r="4632" customFormat="false" ht="15" hidden="false" customHeight="false" outlineLevel="0" collapsed="false">
      <c r="A4632" s="7" t="s">
        <v>24</v>
      </c>
      <c r="B4632" s="7" t="s">
        <v>708</v>
      </c>
      <c r="C4632" s="7" t="s">
        <v>1108</v>
      </c>
      <c r="D4632" s="7" t="n">
        <v>3</v>
      </c>
      <c r="E4632" s="7" t="n">
        <v>931.76</v>
      </c>
      <c r="F4632" s="7" t="n">
        <v>1</v>
      </c>
      <c r="G4632" s="7" t="n">
        <v>351.61</v>
      </c>
    </row>
    <row r="4633" customFormat="false" ht="15" hidden="false" customHeight="false" outlineLevel="0" collapsed="false">
      <c r="A4633" s="7" t="s">
        <v>24</v>
      </c>
      <c r="B4633" s="7" t="s">
        <v>708</v>
      </c>
      <c r="C4633" s="7" t="s">
        <v>1108</v>
      </c>
      <c r="D4633" s="7" t="n">
        <v>0</v>
      </c>
      <c r="E4633" s="7" t="n">
        <v>0</v>
      </c>
      <c r="F4633" s="7" t="n">
        <v>1</v>
      </c>
      <c r="G4633" s="7" t="n">
        <v>316.45</v>
      </c>
    </row>
    <row r="4634" customFormat="false" ht="15" hidden="false" customHeight="false" outlineLevel="0" collapsed="false">
      <c r="A4634" s="7" t="s">
        <v>24</v>
      </c>
      <c r="B4634" s="7" t="s">
        <v>708</v>
      </c>
      <c r="C4634" s="7" t="s">
        <v>1108</v>
      </c>
      <c r="D4634" s="7" t="n">
        <v>0</v>
      </c>
      <c r="E4634" s="7" t="n">
        <v>0</v>
      </c>
      <c r="F4634" s="7" t="n">
        <v>1</v>
      </c>
      <c r="G4634" s="7" t="n">
        <v>351.61</v>
      </c>
    </row>
    <row r="4635" customFormat="false" ht="15" hidden="false" customHeight="false" outlineLevel="0" collapsed="false">
      <c r="A4635" s="7" t="s">
        <v>24</v>
      </c>
      <c r="B4635" s="7" t="s">
        <v>589</v>
      </c>
      <c r="C4635" s="7" t="s">
        <v>1109</v>
      </c>
      <c r="D4635" s="7" t="n">
        <v>1</v>
      </c>
      <c r="E4635" s="7" t="n">
        <v>0.01</v>
      </c>
      <c r="F4635" s="7" t="n">
        <v>0</v>
      </c>
      <c r="G4635" s="7" t="n">
        <v>0</v>
      </c>
    </row>
    <row r="4636" customFormat="false" ht="15" hidden="false" customHeight="false" outlineLevel="0" collapsed="false">
      <c r="A4636" s="7" t="s">
        <v>24</v>
      </c>
      <c r="B4636" s="7" t="s">
        <v>589</v>
      </c>
      <c r="C4636" s="7" t="s">
        <v>1109</v>
      </c>
      <c r="D4636" s="7" t="n">
        <v>9</v>
      </c>
      <c r="E4636" s="7" t="n">
        <v>2446.36</v>
      </c>
      <c r="F4636" s="7" t="n">
        <v>4</v>
      </c>
      <c r="G4636" s="7" t="n">
        <v>1126.82</v>
      </c>
    </row>
    <row r="4637" customFormat="false" ht="15" hidden="false" customHeight="false" outlineLevel="0" collapsed="false">
      <c r="A4637" s="7" t="s">
        <v>24</v>
      </c>
      <c r="B4637" s="7" t="s">
        <v>589</v>
      </c>
      <c r="C4637" s="7" t="s">
        <v>1109</v>
      </c>
      <c r="D4637" s="7" t="n">
        <v>0</v>
      </c>
      <c r="E4637" s="7" t="n">
        <v>0</v>
      </c>
      <c r="F4637" s="7" t="n">
        <v>1</v>
      </c>
      <c r="G4637" s="7" t="n">
        <v>266.87</v>
      </c>
    </row>
    <row r="4638" customFormat="false" ht="15" hidden="false" customHeight="false" outlineLevel="0" collapsed="false">
      <c r="A4638" s="7" t="s">
        <v>24</v>
      </c>
      <c r="B4638" s="7" t="s">
        <v>589</v>
      </c>
      <c r="C4638" s="7" t="s">
        <v>1109</v>
      </c>
      <c r="D4638" s="7" t="n">
        <v>0</v>
      </c>
      <c r="E4638" s="7" t="n">
        <v>0</v>
      </c>
      <c r="F4638" s="7" t="n">
        <v>1</v>
      </c>
      <c r="G4638" s="7" t="n">
        <v>296.53</v>
      </c>
    </row>
    <row r="4639" customFormat="false" ht="15" hidden="false" customHeight="false" outlineLevel="0" collapsed="false">
      <c r="A4639" s="7" t="s">
        <v>24</v>
      </c>
      <c r="B4639" s="7" t="s">
        <v>589</v>
      </c>
      <c r="C4639" s="7" t="s">
        <v>1109</v>
      </c>
      <c r="D4639" s="7" t="n">
        <v>0</v>
      </c>
      <c r="E4639" s="7" t="n">
        <v>0</v>
      </c>
      <c r="F4639" s="7" t="n">
        <v>1</v>
      </c>
      <c r="G4639" s="7" t="n">
        <v>252.05</v>
      </c>
    </row>
    <row r="4640" customFormat="false" ht="15" hidden="false" customHeight="false" outlineLevel="0" collapsed="false">
      <c r="A4640" s="7" t="s">
        <v>24</v>
      </c>
      <c r="B4640" s="7" t="s">
        <v>589</v>
      </c>
      <c r="C4640" s="7" t="s">
        <v>1109</v>
      </c>
      <c r="D4640" s="7" t="n">
        <v>0</v>
      </c>
      <c r="E4640" s="7" t="n">
        <v>0</v>
      </c>
      <c r="F4640" s="7" t="n">
        <v>1</v>
      </c>
      <c r="G4640" s="7" t="n">
        <v>296.53</v>
      </c>
    </row>
    <row r="4641" customFormat="false" ht="15" hidden="false" customHeight="false" outlineLevel="0" collapsed="false">
      <c r="A4641" s="7" t="s">
        <v>24</v>
      </c>
      <c r="B4641" s="7" t="s">
        <v>203</v>
      </c>
      <c r="C4641" s="7" t="s">
        <v>1109</v>
      </c>
      <c r="D4641" s="7" t="n">
        <v>0</v>
      </c>
      <c r="E4641" s="7" t="n">
        <v>0</v>
      </c>
      <c r="F4641" s="7" t="n">
        <v>1</v>
      </c>
      <c r="G4641" s="7" t="n">
        <v>252.05</v>
      </c>
    </row>
    <row r="4642" customFormat="false" ht="15" hidden="false" customHeight="false" outlineLevel="0" collapsed="false">
      <c r="A4642" s="7" t="s">
        <v>24</v>
      </c>
      <c r="B4642" s="7" t="s">
        <v>203</v>
      </c>
      <c r="C4642" s="7" t="s">
        <v>1109</v>
      </c>
      <c r="D4642" s="7" t="n">
        <v>0</v>
      </c>
      <c r="E4642" s="7" t="n">
        <v>0</v>
      </c>
      <c r="F4642" s="7" t="n">
        <v>1</v>
      </c>
      <c r="G4642" s="7" t="n">
        <v>296.53</v>
      </c>
    </row>
    <row r="4643" customFormat="false" ht="15" hidden="false" customHeight="false" outlineLevel="0" collapsed="false">
      <c r="A4643" s="7" t="s">
        <v>24</v>
      </c>
      <c r="B4643" s="7" t="s">
        <v>203</v>
      </c>
      <c r="C4643" s="7" t="s">
        <v>1109</v>
      </c>
      <c r="D4643" s="7" t="n">
        <v>0</v>
      </c>
      <c r="E4643" s="7" t="n">
        <v>0</v>
      </c>
      <c r="F4643" s="7" t="n">
        <v>1</v>
      </c>
      <c r="G4643" s="7" t="n">
        <v>296.53</v>
      </c>
    </row>
    <row r="4644" customFormat="false" ht="15" hidden="false" customHeight="false" outlineLevel="0" collapsed="false">
      <c r="A4644" s="7" t="s">
        <v>24</v>
      </c>
      <c r="B4644" s="7" t="s">
        <v>203</v>
      </c>
      <c r="C4644" s="7" t="s">
        <v>1109</v>
      </c>
      <c r="D4644" s="7" t="n">
        <v>0</v>
      </c>
      <c r="E4644" s="7" t="n">
        <v>0</v>
      </c>
      <c r="F4644" s="7" t="n">
        <v>1</v>
      </c>
      <c r="G4644" s="7" t="n">
        <v>252.05</v>
      </c>
    </row>
    <row r="4645" customFormat="false" ht="15" hidden="false" customHeight="false" outlineLevel="0" collapsed="false">
      <c r="A4645" s="7" t="s">
        <v>24</v>
      </c>
      <c r="B4645" s="7" t="s">
        <v>203</v>
      </c>
      <c r="C4645" s="7" t="s">
        <v>1109</v>
      </c>
      <c r="D4645" s="7" t="n">
        <v>0</v>
      </c>
      <c r="E4645" s="7" t="n">
        <v>0</v>
      </c>
      <c r="F4645" s="7" t="n">
        <v>1</v>
      </c>
      <c r="G4645" s="7" t="n">
        <v>296.53</v>
      </c>
    </row>
    <row r="4646" customFormat="false" ht="15" hidden="false" customHeight="false" outlineLevel="0" collapsed="false">
      <c r="A4646" s="7" t="s">
        <v>24</v>
      </c>
      <c r="B4646" s="7" t="s">
        <v>203</v>
      </c>
      <c r="C4646" s="7" t="s">
        <v>1109</v>
      </c>
      <c r="D4646" s="7" t="n">
        <v>6</v>
      </c>
      <c r="E4646" s="7" t="n">
        <v>1645.74</v>
      </c>
      <c r="F4646" s="7" t="n">
        <v>6</v>
      </c>
      <c r="G4646" s="7" t="n">
        <v>1719.88</v>
      </c>
    </row>
    <row r="4647" customFormat="false" ht="15" hidden="false" customHeight="false" outlineLevel="0" collapsed="false">
      <c r="A4647" s="7" t="s">
        <v>24</v>
      </c>
      <c r="B4647" s="7" t="s">
        <v>203</v>
      </c>
      <c r="C4647" s="7" t="s">
        <v>1109</v>
      </c>
      <c r="D4647" s="7" t="n">
        <v>0</v>
      </c>
      <c r="E4647" s="7" t="n">
        <v>0</v>
      </c>
      <c r="F4647" s="7" t="n">
        <v>1</v>
      </c>
      <c r="G4647" s="7" t="n">
        <v>266.87</v>
      </c>
    </row>
    <row r="4648" customFormat="false" ht="15" hidden="false" customHeight="false" outlineLevel="0" collapsed="false">
      <c r="A4648" s="7" t="s">
        <v>24</v>
      </c>
      <c r="B4648" s="7" t="s">
        <v>543</v>
      </c>
      <c r="C4648" s="7" t="s">
        <v>1109</v>
      </c>
      <c r="D4648" s="7" t="n">
        <v>4</v>
      </c>
      <c r="E4648" s="7" t="n">
        <v>1126.81</v>
      </c>
      <c r="F4648" s="7" t="n">
        <v>1</v>
      </c>
      <c r="G4648" s="7" t="n">
        <v>252.05</v>
      </c>
    </row>
    <row r="4649" customFormat="false" ht="15" hidden="false" customHeight="false" outlineLevel="0" collapsed="false">
      <c r="A4649" s="7" t="s">
        <v>24</v>
      </c>
      <c r="B4649" s="7" t="s">
        <v>543</v>
      </c>
      <c r="C4649" s="7" t="s">
        <v>1109</v>
      </c>
      <c r="D4649" s="7" t="n">
        <v>0</v>
      </c>
      <c r="E4649" s="7" t="n">
        <v>0</v>
      </c>
      <c r="F4649" s="7" t="n">
        <v>1</v>
      </c>
      <c r="G4649" s="7" t="n">
        <v>296.53</v>
      </c>
    </row>
    <row r="4650" customFormat="false" ht="15" hidden="false" customHeight="false" outlineLevel="0" collapsed="false">
      <c r="A4650" s="7" t="s">
        <v>24</v>
      </c>
      <c r="B4650" s="7" t="s">
        <v>543</v>
      </c>
      <c r="C4650" s="7" t="s">
        <v>1109</v>
      </c>
      <c r="D4650" s="7" t="n">
        <v>0</v>
      </c>
      <c r="E4650" s="7" t="n">
        <v>0</v>
      </c>
      <c r="F4650" s="7" t="n">
        <v>1</v>
      </c>
      <c r="G4650" s="7" t="n">
        <v>296.52</v>
      </c>
    </row>
    <row r="4651" customFormat="false" ht="15" hidden="false" customHeight="false" outlineLevel="0" collapsed="false">
      <c r="A4651" s="7" t="s">
        <v>24</v>
      </c>
      <c r="B4651" s="7" t="s">
        <v>399</v>
      </c>
      <c r="C4651" s="7" t="s">
        <v>1109</v>
      </c>
      <c r="D4651" s="7" t="n">
        <v>0</v>
      </c>
      <c r="E4651" s="7" t="n">
        <v>0</v>
      </c>
      <c r="F4651" s="7" t="n">
        <v>1</v>
      </c>
      <c r="G4651" s="7" t="n">
        <v>252.05</v>
      </c>
    </row>
    <row r="4652" customFormat="false" ht="15" hidden="false" customHeight="false" outlineLevel="0" collapsed="false">
      <c r="A4652" s="7" t="s">
        <v>24</v>
      </c>
      <c r="B4652" s="7" t="s">
        <v>399</v>
      </c>
      <c r="C4652" s="7" t="s">
        <v>1109</v>
      </c>
      <c r="D4652" s="7" t="n">
        <v>7</v>
      </c>
      <c r="E4652" s="7" t="n">
        <v>1912.61</v>
      </c>
      <c r="F4652" s="7" t="n">
        <v>3</v>
      </c>
      <c r="G4652" s="7" t="n">
        <v>845.1</v>
      </c>
    </row>
    <row r="4653" customFormat="false" ht="15" hidden="false" customHeight="false" outlineLevel="0" collapsed="false">
      <c r="A4653" s="7" t="s">
        <v>24</v>
      </c>
      <c r="B4653" s="7" t="s">
        <v>399</v>
      </c>
      <c r="C4653" s="7" t="s">
        <v>1109</v>
      </c>
      <c r="D4653" s="7" t="n">
        <v>0</v>
      </c>
      <c r="E4653" s="7" t="n">
        <v>0</v>
      </c>
      <c r="F4653" s="7" t="n">
        <v>1</v>
      </c>
      <c r="G4653" s="7" t="n">
        <v>266.87</v>
      </c>
    </row>
    <row r="4654" customFormat="false" ht="15" hidden="false" customHeight="false" outlineLevel="0" collapsed="false">
      <c r="A4654" s="7" t="s">
        <v>24</v>
      </c>
      <c r="B4654" s="7" t="s">
        <v>768</v>
      </c>
      <c r="C4654" s="7" t="s">
        <v>1109</v>
      </c>
      <c r="D4654" s="7" t="n">
        <v>3</v>
      </c>
      <c r="E4654" s="7" t="n">
        <v>800.63</v>
      </c>
      <c r="F4654" s="7" t="n">
        <v>2</v>
      </c>
      <c r="G4654" s="7" t="n">
        <v>563.41</v>
      </c>
    </row>
    <row r="4655" customFormat="false" ht="15" hidden="false" customHeight="false" outlineLevel="0" collapsed="false">
      <c r="A4655" s="7" t="s">
        <v>24</v>
      </c>
      <c r="B4655" s="7" t="s">
        <v>768</v>
      </c>
      <c r="C4655" s="7" t="s">
        <v>1109</v>
      </c>
      <c r="D4655" s="7" t="n">
        <v>0</v>
      </c>
      <c r="E4655" s="7" t="n">
        <v>0</v>
      </c>
      <c r="F4655" s="7" t="n">
        <v>1</v>
      </c>
      <c r="G4655" s="7" t="n">
        <v>266.87</v>
      </c>
    </row>
    <row r="4656" customFormat="false" ht="15" hidden="false" customHeight="false" outlineLevel="0" collapsed="false">
      <c r="A4656" s="7" t="s">
        <v>24</v>
      </c>
      <c r="B4656" s="7" t="s">
        <v>768</v>
      </c>
      <c r="C4656" s="7" t="s">
        <v>1109</v>
      </c>
      <c r="D4656" s="7" t="n">
        <v>-1</v>
      </c>
      <c r="E4656" s="7" t="n">
        <v>-0.01</v>
      </c>
      <c r="F4656" s="7" t="n">
        <v>0</v>
      </c>
      <c r="G4656" s="7" t="n">
        <v>0</v>
      </c>
    </row>
    <row r="4657" customFormat="false" ht="15" hidden="false" customHeight="false" outlineLevel="0" collapsed="false">
      <c r="A4657" s="7" t="s">
        <v>24</v>
      </c>
      <c r="B4657" s="7" t="s">
        <v>234</v>
      </c>
      <c r="C4657" s="7" t="s">
        <v>1109</v>
      </c>
      <c r="D4657" s="7" t="n">
        <v>0</v>
      </c>
      <c r="E4657" s="7" t="n">
        <v>0</v>
      </c>
      <c r="F4657" s="7" t="n">
        <v>1</v>
      </c>
      <c r="G4657" s="7" t="n">
        <v>296.52</v>
      </c>
    </row>
    <row r="4658" customFormat="false" ht="15" hidden="false" customHeight="false" outlineLevel="0" collapsed="false">
      <c r="A4658" s="7" t="s">
        <v>24</v>
      </c>
      <c r="B4658" s="7" t="s">
        <v>234</v>
      </c>
      <c r="C4658" s="7" t="s">
        <v>1109</v>
      </c>
      <c r="D4658" s="7" t="n">
        <v>0</v>
      </c>
      <c r="E4658" s="7" t="n">
        <v>0</v>
      </c>
      <c r="F4658" s="7" t="n">
        <v>1</v>
      </c>
      <c r="G4658" s="7" t="n">
        <v>252.05</v>
      </c>
    </row>
    <row r="4659" customFormat="false" ht="15" hidden="false" customHeight="false" outlineLevel="0" collapsed="false">
      <c r="A4659" s="7" t="s">
        <v>24</v>
      </c>
      <c r="B4659" s="7" t="s">
        <v>234</v>
      </c>
      <c r="C4659" s="7" t="s">
        <v>1109</v>
      </c>
      <c r="D4659" s="7" t="n">
        <v>0</v>
      </c>
      <c r="E4659" s="7" t="n">
        <v>0</v>
      </c>
      <c r="F4659" s="7" t="n">
        <v>1</v>
      </c>
      <c r="G4659" s="7" t="n">
        <v>266.87</v>
      </c>
    </row>
    <row r="4660" customFormat="false" ht="15" hidden="false" customHeight="false" outlineLevel="0" collapsed="false">
      <c r="A4660" s="7" t="s">
        <v>24</v>
      </c>
      <c r="B4660" s="7" t="s">
        <v>234</v>
      </c>
      <c r="C4660" s="7" t="s">
        <v>1109</v>
      </c>
      <c r="D4660" s="7" t="n">
        <v>0</v>
      </c>
      <c r="E4660" s="7" t="n">
        <v>0</v>
      </c>
      <c r="F4660" s="7" t="n">
        <v>1</v>
      </c>
      <c r="G4660" s="7" t="n">
        <v>296.52</v>
      </c>
    </row>
    <row r="4661" customFormat="false" ht="15" hidden="false" customHeight="false" outlineLevel="0" collapsed="false">
      <c r="A4661" s="7" t="s">
        <v>24</v>
      </c>
      <c r="B4661" s="7" t="s">
        <v>234</v>
      </c>
      <c r="C4661" s="7" t="s">
        <v>1109</v>
      </c>
      <c r="D4661" s="7" t="n">
        <v>0</v>
      </c>
      <c r="E4661" s="7" t="n">
        <v>0</v>
      </c>
      <c r="F4661" s="7" t="n">
        <v>1</v>
      </c>
      <c r="G4661" s="7" t="n">
        <v>266.87</v>
      </c>
    </row>
    <row r="4662" customFormat="false" ht="15" hidden="false" customHeight="false" outlineLevel="0" collapsed="false">
      <c r="A4662" s="7" t="s">
        <v>24</v>
      </c>
      <c r="B4662" s="7" t="s">
        <v>234</v>
      </c>
      <c r="C4662" s="7" t="s">
        <v>1109</v>
      </c>
      <c r="D4662" s="7" t="n">
        <v>0</v>
      </c>
      <c r="E4662" s="7" t="n">
        <v>0</v>
      </c>
      <c r="F4662" s="7" t="n">
        <v>1</v>
      </c>
      <c r="G4662" s="7" t="n">
        <v>296.52</v>
      </c>
    </row>
    <row r="4663" customFormat="false" ht="15" hidden="false" customHeight="false" outlineLevel="0" collapsed="false">
      <c r="A4663" s="7" t="s">
        <v>24</v>
      </c>
      <c r="B4663" s="7" t="s">
        <v>234</v>
      </c>
      <c r="C4663" s="7" t="s">
        <v>1109</v>
      </c>
      <c r="D4663" s="7" t="n">
        <v>4</v>
      </c>
      <c r="E4663" s="7" t="n">
        <v>1082.33</v>
      </c>
      <c r="F4663" s="7" t="n">
        <v>2</v>
      </c>
      <c r="G4663" s="7" t="n">
        <v>563.41</v>
      </c>
    </row>
    <row r="4664" customFormat="false" ht="15" hidden="false" customHeight="false" outlineLevel="0" collapsed="false">
      <c r="A4664" s="7" t="s">
        <v>24</v>
      </c>
      <c r="B4664" s="7" t="s">
        <v>234</v>
      </c>
      <c r="C4664" s="7" t="s">
        <v>1109</v>
      </c>
      <c r="D4664" s="7" t="n">
        <v>0</v>
      </c>
      <c r="E4664" s="7" t="n">
        <v>0</v>
      </c>
      <c r="F4664" s="7" t="n">
        <v>1</v>
      </c>
      <c r="G4664" s="7" t="n">
        <v>296.53</v>
      </c>
    </row>
    <row r="4665" customFormat="false" ht="15" hidden="false" customHeight="false" outlineLevel="0" collapsed="false">
      <c r="A4665" s="7" t="s">
        <v>24</v>
      </c>
      <c r="B4665" s="7" t="s">
        <v>223</v>
      </c>
      <c r="C4665" s="7" t="s">
        <v>1065</v>
      </c>
      <c r="D4665" s="7" t="n">
        <v>17</v>
      </c>
      <c r="E4665" s="7" t="n">
        <v>5909.67</v>
      </c>
      <c r="F4665" s="7" t="n">
        <v>6</v>
      </c>
      <c r="G4665" s="7" t="n">
        <v>2173.23</v>
      </c>
    </row>
    <row r="4666" customFormat="false" ht="15" hidden="false" customHeight="false" outlineLevel="0" collapsed="false">
      <c r="A4666" s="7" t="s">
        <v>24</v>
      </c>
      <c r="B4666" s="7" t="s">
        <v>223</v>
      </c>
      <c r="C4666" s="7" t="s">
        <v>1065</v>
      </c>
      <c r="D4666" s="7" t="n">
        <v>0</v>
      </c>
      <c r="E4666" s="7" t="n">
        <v>0</v>
      </c>
      <c r="F4666" s="7" t="n">
        <v>1</v>
      </c>
      <c r="G4666" s="7" t="n">
        <v>381.27</v>
      </c>
    </row>
    <row r="4667" customFormat="false" ht="15" hidden="false" customHeight="false" outlineLevel="0" collapsed="false">
      <c r="A4667" s="7" t="s">
        <v>24</v>
      </c>
      <c r="B4667" s="7" t="s">
        <v>223</v>
      </c>
      <c r="C4667" s="7" t="s">
        <v>1065</v>
      </c>
      <c r="D4667" s="7" t="n">
        <v>0</v>
      </c>
      <c r="E4667" s="7" t="n">
        <v>0</v>
      </c>
      <c r="F4667" s="7" t="n">
        <v>1</v>
      </c>
      <c r="G4667" s="7" t="n">
        <v>343.14</v>
      </c>
    </row>
    <row r="4668" customFormat="false" ht="15" hidden="false" customHeight="false" outlineLevel="0" collapsed="false">
      <c r="A4668" s="7" t="s">
        <v>24</v>
      </c>
      <c r="B4668" s="7" t="s">
        <v>223</v>
      </c>
      <c r="C4668" s="7" t="s">
        <v>1065</v>
      </c>
      <c r="D4668" s="7" t="n">
        <v>0</v>
      </c>
      <c r="E4668" s="7" t="n">
        <v>0</v>
      </c>
      <c r="F4668" s="7" t="n">
        <v>1</v>
      </c>
      <c r="G4668" s="7" t="n">
        <v>381.27</v>
      </c>
    </row>
    <row r="4669" customFormat="false" ht="15" hidden="false" customHeight="false" outlineLevel="0" collapsed="false">
      <c r="A4669" s="7" t="s">
        <v>24</v>
      </c>
      <c r="B4669" s="7" t="s">
        <v>223</v>
      </c>
      <c r="C4669" s="7" t="s">
        <v>1065</v>
      </c>
      <c r="D4669" s="7" t="n">
        <v>0</v>
      </c>
      <c r="E4669" s="7" t="n">
        <v>0</v>
      </c>
      <c r="F4669" s="7" t="n">
        <v>1</v>
      </c>
      <c r="G4669" s="7" t="n">
        <v>343.14</v>
      </c>
    </row>
    <row r="4670" customFormat="false" ht="15" hidden="false" customHeight="false" outlineLevel="0" collapsed="false">
      <c r="A4670" s="7" t="s">
        <v>24</v>
      </c>
      <c r="B4670" s="7" t="s">
        <v>223</v>
      </c>
      <c r="C4670" s="7" t="s">
        <v>1065</v>
      </c>
      <c r="D4670" s="7" t="n">
        <v>1</v>
      </c>
      <c r="E4670" s="7" t="n">
        <v>359.24</v>
      </c>
      <c r="F4670" s="7" t="n">
        <v>0</v>
      </c>
      <c r="G4670" s="7" t="n">
        <v>0</v>
      </c>
    </row>
    <row r="4671" customFormat="false" ht="15" hidden="false" customHeight="false" outlineLevel="0" collapsed="false">
      <c r="A4671" s="7" t="s">
        <v>24</v>
      </c>
      <c r="B4671" s="7" t="s">
        <v>223</v>
      </c>
      <c r="C4671" s="7" t="s">
        <v>1065</v>
      </c>
      <c r="D4671" s="7" t="n">
        <v>0</v>
      </c>
      <c r="E4671" s="7" t="n">
        <v>0</v>
      </c>
      <c r="F4671" s="7" t="n">
        <v>1</v>
      </c>
      <c r="G4671" s="7" t="n">
        <v>381.27</v>
      </c>
    </row>
    <row r="4672" customFormat="false" ht="15" hidden="false" customHeight="false" outlineLevel="0" collapsed="false">
      <c r="A4672" s="7" t="s">
        <v>24</v>
      </c>
      <c r="B4672" s="7" t="s">
        <v>223</v>
      </c>
      <c r="C4672" s="7" t="s">
        <v>1065</v>
      </c>
      <c r="D4672" s="7" t="n">
        <v>0</v>
      </c>
      <c r="E4672" s="7" t="n">
        <v>0</v>
      </c>
      <c r="F4672" s="7" t="n">
        <v>1</v>
      </c>
      <c r="G4672" s="7" t="n">
        <v>343.14</v>
      </c>
    </row>
    <row r="4673" customFormat="false" ht="15" hidden="false" customHeight="false" outlineLevel="0" collapsed="false">
      <c r="A4673" s="7" t="s">
        <v>24</v>
      </c>
      <c r="B4673" s="7" t="s">
        <v>223</v>
      </c>
      <c r="C4673" s="7" t="s">
        <v>1065</v>
      </c>
      <c r="D4673" s="7" t="n">
        <v>0</v>
      </c>
      <c r="E4673" s="7" t="n">
        <v>0</v>
      </c>
      <c r="F4673" s="7" t="n">
        <v>1</v>
      </c>
      <c r="G4673" s="7" t="n">
        <v>381.27</v>
      </c>
    </row>
    <row r="4674" customFormat="false" ht="15" hidden="false" customHeight="false" outlineLevel="0" collapsed="false">
      <c r="A4674" s="7" t="s">
        <v>24</v>
      </c>
      <c r="B4674" s="7" t="s">
        <v>260</v>
      </c>
      <c r="C4674" s="7" t="s">
        <v>1065</v>
      </c>
      <c r="D4674" s="7" t="n">
        <v>1</v>
      </c>
      <c r="E4674" s="7" t="n">
        <v>0.01</v>
      </c>
      <c r="F4674" s="7" t="n">
        <v>0</v>
      </c>
      <c r="G4674" s="7" t="n">
        <v>0</v>
      </c>
    </row>
    <row r="4675" customFormat="false" ht="15" hidden="false" customHeight="false" outlineLevel="0" collapsed="false">
      <c r="A4675" s="7" t="s">
        <v>24</v>
      </c>
      <c r="B4675" s="7" t="s">
        <v>260</v>
      </c>
      <c r="C4675" s="7" t="s">
        <v>1065</v>
      </c>
      <c r="D4675" s="7" t="n">
        <v>1</v>
      </c>
      <c r="E4675" s="7" t="n">
        <v>305.84</v>
      </c>
      <c r="F4675" s="7" t="n">
        <v>0</v>
      </c>
      <c r="G4675" s="7" t="n">
        <v>0</v>
      </c>
    </row>
    <row r="4676" customFormat="false" ht="15" hidden="false" customHeight="false" outlineLevel="0" collapsed="false">
      <c r="A4676" s="7" t="s">
        <v>24</v>
      </c>
      <c r="B4676" s="7" t="s">
        <v>260</v>
      </c>
      <c r="C4676" s="7" t="s">
        <v>1065</v>
      </c>
      <c r="D4676" s="7" t="n">
        <v>0</v>
      </c>
      <c r="E4676" s="7" t="n">
        <v>0</v>
      </c>
      <c r="F4676" s="7" t="n">
        <v>1</v>
      </c>
      <c r="G4676" s="7" t="n">
        <v>381.27</v>
      </c>
    </row>
    <row r="4677" customFormat="false" ht="15" hidden="false" customHeight="false" outlineLevel="0" collapsed="false">
      <c r="A4677" s="7" t="s">
        <v>24</v>
      </c>
      <c r="B4677" s="7" t="s">
        <v>260</v>
      </c>
      <c r="C4677" s="7" t="s">
        <v>1065</v>
      </c>
      <c r="D4677" s="7" t="n">
        <v>17</v>
      </c>
      <c r="E4677" s="7" t="n">
        <v>6005</v>
      </c>
      <c r="F4677" s="7" t="n">
        <v>12</v>
      </c>
      <c r="G4677" s="7" t="n">
        <v>4441.79</v>
      </c>
    </row>
    <row r="4678" customFormat="false" ht="15" hidden="false" customHeight="false" outlineLevel="0" collapsed="false">
      <c r="A4678" s="7" t="s">
        <v>24</v>
      </c>
      <c r="B4678" s="7" t="s">
        <v>260</v>
      </c>
      <c r="C4678" s="7" t="s">
        <v>1065</v>
      </c>
      <c r="D4678" s="7" t="n">
        <v>0</v>
      </c>
      <c r="E4678" s="7" t="n">
        <v>0</v>
      </c>
      <c r="F4678" s="7" t="n">
        <v>1</v>
      </c>
      <c r="G4678" s="7" t="n">
        <v>343.15</v>
      </c>
    </row>
    <row r="4679" customFormat="false" ht="15" hidden="false" customHeight="false" outlineLevel="0" collapsed="false">
      <c r="A4679" s="7" t="s">
        <v>24</v>
      </c>
      <c r="B4679" s="7" t="s">
        <v>260</v>
      </c>
      <c r="C4679" s="7" t="s">
        <v>1065</v>
      </c>
      <c r="D4679" s="7" t="n">
        <v>0</v>
      </c>
      <c r="E4679" s="7" t="n">
        <v>0</v>
      </c>
      <c r="F4679" s="7" t="n">
        <v>1</v>
      </c>
      <c r="G4679" s="7" t="n">
        <v>343.14</v>
      </c>
    </row>
    <row r="4680" customFormat="false" ht="15" hidden="false" customHeight="false" outlineLevel="0" collapsed="false">
      <c r="A4680" s="7" t="s">
        <v>24</v>
      </c>
      <c r="B4680" s="7" t="s">
        <v>260</v>
      </c>
      <c r="C4680" s="7" t="s">
        <v>1065</v>
      </c>
      <c r="D4680" s="7" t="n">
        <v>0</v>
      </c>
      <c r="E4680" s="7" t="n">
        <v>0</v>
      </c>
      <c r="F4680" s="7" t="n">
        <v>1</v>
      </c>
      <c r="G4680" s="7" t="n">
        <v>381.27</v>
      </c>
    </row>
    <row r="4681" customFormat="false" ht="15" hidden="false" customHeight="false" outlineLevel="0" collapsed="false">
      <c r="A4681" s="7" t="s">
        <v>24</v>
      </c>
      <c r="B4681" s="7" t="s">
        <v>260</v>
      </c>
      <c r="C4681" s="7" t="s">
        <v>1065</v>
      </c>
      <c r="D4681" s="7" t="n">
        <v>0</v>
      </c>
      <c r="E4681" s="7" t="n">
        <v>0</v>
      </c>
      <c r="F4681" s="7" t="n">
        <v>1</v>
      </c>
      <c r="G4681" s="7" t="n">
        <v>343.14</v>
      </c>
    </row>
    <row r="4682" customFormat="false" ht="15" hidden="false" customHeight="false" outlineLevel="0" collapsed="false">
      <c r="A4682" s="7" t="s">
        <v>24</v>
      </c>
      <c r="B4682" s="7" t="s">
        <v>260</v>
      </c>
      <c r="C4682" s="7" t="s">
        <v>1065</v>
      </c>
      <c r="D4682" s="7" t="n">
        <v>0</v>
      </c>
      <c r="E4682" s="7" t="n">
        <v>0</v>
      </c>
      <c r="F4682" s="7" t="n">
        <v>1</v>
      </c>
      <c r="G4682" s="7" t="n">
        <v>381.27</v>
      </c>
    </row>
    <row r="4683" customFormat="false" ht="15" hidden="false" customHeight="false" outlineLevel="0" collapsed="false">
      <c r="A4683" s="7" t="s">
        <v>24</v>
      </c>
      <c r="B4683" s="7" t="s">
        <v>260</v>
      </c>
      <c r="C4683" s="7" t="s">
        <v>1065</v>
      </c>
      <c r="D4683" s="7" t="n">
        <v>0</v>
      </c>
      <c r="E4683" s="7" t="n">
        <v>0</v>
      </c>
      <c r="F4683" s="7" t="n">
        <v>3</v>
      </c>
      <c r="G4683" s="7" t="n">
        <v>1143.81</v>
      </c>
    </row>
    <row r="4684" customFormat="false" ht="15" hidden="false" customHeight="false" outlineLevel="0" collapsed="false">
      <c r="A4684" s="7" t="s">
        <v>24</v>
      </c>
      <c r="B4684" s="7" t="s">
        <v>260</v>
      </c>
      <c r="C4684" s="7" t="s">
        <v>1065</v>
      </c>
      <c r="D4684" s="7" t="n">
        <v>4</v>
      </c>
      <c r="E4684" s="7" t="n">
        <v>1329.18</v>
      </c>
      <c r="F4684" s="7" t="n">
        <v>0</v>
      </c>
      <c r="G4684" s="7" t="n">
        <v>0</v>
      </c>
    </row>
    <row r="4685" customFormat="false" ht="15" hidden="false" customHeight="false" outlineLevel="0" collapsed="false">
      <c r="A4685" s="7" t="s">
        <v>24</v>
      </c>
      <c r="B4685" s="7" t="s">
        <v>260</v>
      </c>
      <c r="C4685" s="7" t="s">
        <v>1065</v>
      </c>
      <c r="D4685" s="7" t="n">
        <v>0</v>
      </c>
      <c r="E4685" s="7" t="n">
        <v>0</v>
      </c>
      <c r="F4685" s="7" t="n">
        <v>1</v>
      </c>
      <c r="G4685" s="7" t="n">
        <v>343.14</v>
      </c>
    </row>
    <row r="4686" customFormat="false" ht="15" hidden="false" customHeight="false" outlineLevel="0" collapsed="false">
      <c r="A4686" s="7" t="s">
        <v>24</v>
      </c>
      <c r="B4686" s="7" t="s">
        <v>260</v>
      </c>
      <c r="C4686" s="7" t="s">
        <v>1065</v>
      </c>
      <c r="D4686" s="7" t="n">
        <v>0</v>
      </c>
      <c r="E4686" s="7" t="n">
        <v>0</v>
      </c>
      <c r="F4686" s="7" t="n">
        <v>2</v>
      </c>
      <c r="G4686" s="7" t="n">
        <v>686.29</v>
      </c>
    </row>
    <row r="4687" customFormat="false" ht="15" hidden="false" customHeight="false" outlineLevel="0" collapsed="false">
      <c r="A4687" s="7" t="s">
        <v>24</v>
      </c>
      <c r="B4687" s="7" t="s">
        <v>291</v>
      </c>
      <c r="C4687" s="7" t="s">
        <v>1065</v>
      </c>
      <c r="D4687" s="7" t="n">
        <v>0</v>
      </c>
      <c r="E4687" s="7" t="n">
        <v>0</v>
      </c>
      <c r="F4687" s="7" t="n">
        <v>1</v>
      </c>
      <c r="G4687" s="7" t="n">
        <v>381.27</v>
      </c>
    </row>
    <row r="4688" customFormat="false" ht="15" hidden="false" customHeight="false" outlineLevel="0" collapsed="false">
      <c r="A4688" s="7" t="s">
        <v>24</v>
      </c>
      <c r="B4688" s="7" t="s">
        <v>291</v>
      </c>
      <c r="C4688" s="7" t="s">
        <v>1065</v>
      </c>
      <c r="D4688" s="7" t="n">
        <v>0</v>
      </c>
      <c r="E4688" s="7" t="n">
        <v>0</v>
      </c>
      <c r="F4688" s="7" t="n">
        <v>1</v>
      </c>
      <c r="G4688" s="7" t="n">
        <v>381.27</v>
      </c>
    </row>
    <row r="4689" customFormat="false" ht="15" hidden="false" customHeight="false" outlineLevel="0" collapsed="false">
      <c r="A4689" s="7" t="s">
        <v>24</v>
      </c>
      <c r="B4689" s="7" t="s">
        <v>291</v>
      </c>
      <c r="C4689" s="7" t="s">
        <v>1065</v>
      </c>
      <c r="D4689" s="7" t="n">
        <v>0</v>
      </c>
      <c r="E4689" s="7" t="n">
        <v>0</v>
      </c>
      <c r="F4689" s="7" t="n">
        <v>1</v>
      </c>
      <c r="G4689" s="7" t="n">
        <v>324.08</v>
      </c>
    </row>
    <row r="4690" customFormat="false" ht="15" hidden="false" customHeight="false" outlineLevel="0" collapsed="false">
      <c r="A4690" s="7" t="s">
        <v>24</v>
      </c>
      <c r="B4690" s="7" t="s">
        <v>291</v>
      </c>
      <c r="C4690" s="7" t="s">
        <v>1065</v>
      </c>
      <c r="D4690" s="7" t="n">
        <v>7</v>
      </c>
      <c r="E4690" s="7" t="n">
        <v>2497.32</v>
      </c>
      <c r="F4690" s="7" t="n">
        <v>7</v>
      </c>
      <c r="G4690" s="7" t="n">
        <v>2592.63</v>
      </c>
    </row>
    <row r="4691" customFormat="false" ht="15" hidden="false" customHeight="false" outlineLevel="0" collapsed="false">
      <c r="A4691" s="7" t="s">
        <v>24</v>
      </c>
      <c r="B4691" s="7" t="s">
        <v>291</v>
      </c>
      <c r="C4691" s="7" t="s">
        <v>1065</v>
      </c>
      <c r="D4691" s="7" t="n">
        <v>0</v>
      </c>
      <c r="E4691" s="7" t="n">
        <v>0</v>
      </c>
      <c r="F4691" s="7" t="n">
        <v>1</v>
      </c>
      <c r="G4691" s="7" t="n">
        <v>381.27</v>
      </c>
    </row>
    <row r="4692" customFormat="false" ht="15" hidden="false" customHeight="false" outlineLevel="0" collapsed="false">
      <c r="A4692" s="7" t="s">
        <v>24</v>
      </c>
      <c r="B4692" s="7" t="s">
        <v>291</v>
      </c>
      <c r="C4692" s="7" t="s">
        <v>1065</v>
      </c>
      <c r="D4692" s="7" t="n">
        <v>2</v>
      </c>
      <c r="E4692" s="7" t="n">
        <v>610.7</v>
      </c>
      <c r="F4692" s="7" t="n">
        <v>0</v>
      </c>
      <c r="G4692" s="7" t="n">
        <v>0</v>
      </c>
    </row>
    <row r="4693" customFormat="false" ht="15" hidden="false" customHeight="false" outlineLevel="0" collapsed="false">
      <c r="A4693" s="7" t="s">
        <v>24</v>
      </c>
      <c r="B4693" s="7" t="s">
        <v>347</v>
      </c>
      <c r="C4693" s="7" t="s">
        <v>1065</v>
      </c>
      <c r="D4693" s="7" t="n">
        <v>0</v>
      </c>
      <c r="E4693" s="7" t="n">
        <v>0</v>
      </c>
      <c r="F4693" s="7" t="n">
        <v>1</v>
      </c>
      <c r="G4693" s="7" t="n">
        <v>381.27</v>
      </c>
    </row>
    <row r="4694" customFormat="false" ht="15" hidden="false" customHeight="false" outlineLevel="0" collapsed="false">
      <c r="A4694" s="7" t="s">
        <v>24</v>
      </c>
      <c r="B4694" s="7" t="s">
        <v>347</v>
      </c>
      <c r="C4694" s="7" t="s">
        <v>1065</v>
      </c>
      <c r="D4694" s="7" t="n">
        <v>0</v>
      </c>
      <c r="E4694" s="7" t="n">
        <v>0</v>
      </c>
      <c r="F4694" s="7" t="n">
        <v>1</v>
      </c>
      <c r="G4694" s="7" t="n">
        <v>343.14</v>
      </c>
    </row>
    <row r="4695" customFormat="false" ht="15" hidden="false" customHeight="false" outlineLevel="0" collapsed="false">
      <c r="A4695" s="7" t="s">
        <v>24</v>
      </c>
      <c r="B4695" s="7" t="s">
        <v>347</v>
      </c>
      <c r="C4695" s="7" t="s">
        <v>1065</v>
      </c>
      <c r="D4695" s="7" t="n">
        <v>0</v>
      </c>
      <c r="E4695" s="7" t="n">
        <v>0</v>
      </c>
      <c r="F4695" s="7" t="n">
        <v>0</v>
      </c>
      <c r="G4695" s="7" t="n">
        <v>-38.13</v>
      </c>
    </row>
    <row r="4696" customFormat="false" ht="15" hidden="false" customHeight="false" outlineLevel="0" collapsed="false">
      <c r="A4696" s="7" t="s">
        <v>24</v>
      </c>
      <c r="B4696" s="7" t="s">
        <v>347</v>
      </c>
      <c r="C4696" s="7" t="s">
        <v>1065</v>
      </c>
      <c r="D4696" s="7" t="n">
        <v>0</v>
      </c>
      <c r="E4696" s="7" t="n">
        <v>0</v>
      </c>
      <c r="F4696" s="7" t="n">
        <v>2</v>
      </c>
      <c r="G4696" s="7" t="n">
        <v>762.54</v>
      </c>
    </row>
    <row r="4697" customFormat="false" ht="15" hidden="false" customHeight="false" outlineLevel="0" collapsed="false">
      <c r="A4697" s="7" t="s">
        <v>24</v>
      </c>
      <c r="B4697" s="7" t="s">
        <v>347</v>
      </c>
      <c r="C4697" s="7" t="s">
        <v>1065</v>
      </c>
      <c r="D4697" s="7" t="n">
        <v>2</v>
      </c>
      <c r="E4697" s="7" t="n">
        <v>664.59</v>
      </c>
      <c r="F4697" s="7" t="n">
        <v>0</v>
      </c>
      <c r="G4697" s="7" t="n">
        <v>0</v>
      </c>
    </row>
    <row r="4698" customFormat="false" ht="15" hidden="false" customHeight="false" outlineLevel="0" collapsed="false">
      <c r="A4698" s="7" t="s">
        <v>24</v>
      </c>
      <c r="B4698" s="7" t="s">
        <v>347</v>
      </c>
      <c r="C4698" s="7" t="s">
        <v>1065</v>
      </c>
      <c r="D4698" s="7" t="n">
        <v>0</v>
      </c>
      <c r="E4698" s="7" t="n">
        <v>0</v>
      </c>
      <c r="F4698" s="7" t="n">
        <v>1</v>
      </c>
      <c r="G4698" s="7" t="n">
        <v>343.15</v>
      </c>
    </row>
    <row r="4699" customFormat="false" ht="15" hidden="false" customHeight="false" outlineLevel="0" collapsed="false">
      <c r="A4699" s="7" t="s">
        <v>24</v>
      </c>
      <c r="B4699" s="7" t="s">
        <v>347</v>
      </c>
      <c r="C4699" s="7" t="s">
        <v>1065</v>
      </c>
      <c r="D4699" s="7" t="n">
        <v>0</v>
      </c>
      <c r="E4699" s="7" t="n">
        <v>0</v>
      </c>
      <c r="F4699" s="7" t="n">
        <v>1</v>
      </c>
      <c r="G4699" s="7" t="n">
        <v>343.14</v>
      </c>
    </row>
    <row r="4700" customFormat="false" ht="15" hidden="false" customHeight="false" outlineLevel="0" collapsed="false">
      <c r="A4700" s="7" t="s">
        <v>24</v>
      </c>
      <c r="B4700" s="7" t="s">
        <v>347</v>
      </c>
      <c r="C4700" s="7" t="s">
        <v>1065</v>
      </c>
      <c r="D4700" s="7" t="n">
        <v>0</v>
      </c>
      <c r="E4700" s="7" t="n">
        <v>0</v>
      </c>
      <c r="F4700" s="7" t="n">
        <v>1</v>
      </c>
      <c r="G4700" s="7" t="n">
        <v>324.09</v>
      </c>
    </row>
    <row r="4701" customFormat="false" ht="15" hidden="false" customHeight="false" outlineLevel="0" collapsed="false">
      <c r="A4701" s="7" t="s">
        <v>24</v>
      </c>
      <c r="B4701" s="7" t="s">
        <v>347</v>
      </c>
      <c r="C4701" s="7" t="s">
        <v>1065</v>
      </c>
      <c r="D4701" s="7" t="n">
        <v>14</v>
      </c>
      <c r="E4701" s="7" t="n">
        <v>5089.95</v>
      </c>
      <c r="F4701" s="7" t="n">
        <v>7</v>
      </c>
      <c r="G4701" s="7" t="n">
        <v>2478.24</v>
      </c>
    </row>
    <row r="4702" customFormat="false" ht="15" hidden="false" customHeight="false" outlineLevel="0" collapsed="false">
      <c r="A4702" s="7" t="s">
        <v>24</v>
      </c>
      <c r="B4702" s="7" t="s">
        <v>347</v>
      </c>
      <c r="C4702" s="7" t="s">
        <v>1065</v>
      </c>
      <c r="D4702" s="7" t="n">
        <v>0</v>
      </c>
      <c r="E4702" s="7" t="n">
        <v>0</v>
      </c>
      <c r="F4702" s="7" t="n">
        <v>1</v>
      </c>
      <c r="G4702" s="7" t="n">
        <v>381.27</v>
      </c>
    </row>
    <row r="4703" customFormat="false" ht="15" hidden="false" customHeight="false" outlineLevel="0" collapsed="false">
      <c r="A4703" s="7" t="s">
        <v>24</v>
      </c>
      <c r="B4703" s="7" t="s">
        <v>347</v>
      </c>
      <c r="C4703" s="7" t="s">
        <v>1065</v>
      </c>
      <c r="D4703" s="7" t="n">
        <v>0</v>
      </c>
      <c r="E4703" s="7" t="n">
        <v>0</v>
      </c>
      <c r="F4703" s="7" t="n">
        <v>1</v>
      </c>
      <c r="G4703" s="7" t="n">
        <v>381.27</v>
      </c>
    </row>
    <row r="4704" customFormat="false" ht="15" hidden="false" customHeight="false" outlineLevel="0" collapsed="false">
      <c r="A4704" s="7" t="s">
        <v>24</v>
      </c>
      <c r="B4704" s="7" t="s">
        <v>347</v>
      </c>
      <c r="C4704" s="7" t="s">
        <v>1065</v>
      </c>
      <c r="D4704" s="7" t="n">
        <v>0</v>
      </c>
      <c r="E4704" s="7" t="n">
        <v>0</v>
      </c>
      <c r="F4704" s="7" t="n">
        <v>1</v>
      </c>
      <c r="G4704" s="7" t="n">
        <v>381.27</v>
      </c>
    </row>
    <row r="4705" customFormat="false" ht="15" hidden="false" customHeight="false" outlineLevel="0" collapsed="false">
      <c r="A4705" s="7" t="s">
        <v>24</v>
      </c>
      <c r="B4705" s="7" t="s">
        <v>347</v>
      </c>
      <c r="C4705" s="7" t="s">
        <v>1065</v>
      </c>
      <c r="D4705" s="7" t="n">
        <v>0</v>
      </c>
      <c r="E4705" s="7" t="n">
        <v>0</v>
      </c>
      <c r="F4705" s="7" t="n">
        <v>1</v>
      </c>
      <c r="G4705" s="7" t="n">
        <v>343.14</v>
      </c>
    </row>
    <row r="4706" customFormat="false" ht="15" hidden="false" customHeight="false" outlineLevel="0" collapsed="false">
      <c r="A4706" s="7" t="s">
        <v>24</v>
      </c>
      <c r="B4706" s="7" t="s">
        <v>195</v>
      </c>
      <c r="C4706" s="7" t="s">
        <v>1065</v>
      </c>
      <c r="D4706" s="7" t="n">
        <v>1</v>
      </c>
      <c r="E4706" s="7" t="n">
        <v>305.02</v>
      </c>
      <c r="F4706" s="7" t="n">
        <v>2</v>
      </c>
      <c r="G4706" s="7" t="n">
        <v>724.41</v>
      </c>
    </row>
    <row r="4707" customFormat="false" ht="15" hidden="false" customHeight="false" outlineLevel="0" collapsed="false">
      <c r="A4707" s="7" t="s">
        <v>24</v>
      </c>
      <c r="B4707" s="7" t="s">
        <v>195</v>
      </c>
      <c r="C4707" s="7" t="s">
        <v>1065</v>
      </c>
      <c r="D4707" s="7" t="n">
        <v>0</v>
      </c>
      <c r="E4707" s="7" t="n">
        <v>0</v>
      </c>
      <c r="F4707" s="7" t="n">
        <v>1</v>
      </c>
      <c r="G4707" s="7" t="n">
        <v>324.09</v>
      </c>
    </row>
    <row r="4708" customFormat="false" ht="15" hidden="false" customHeight="false" outlineLevel="0" collapsed="false">
      <c r="A4708" s="7" t="s">
        <v>24</v>
      </c>
      <c r="B4708" s="7" t="s">
        <v>195</v>
      </c>
      <c r="C4708" s="7" t="s">
        <v>1065</v>
      </c>
      <c r="D4708" s="7" t="n">
        <v>3</v>
      </c>
      <c r="E4708" s="7" t="n">
        <v>700.52</v>
      </c>
      <c r="F4708" s="7" t="n">
        <v>0</v>
      </c>
      <c r="G4708" s="7" t="n">
        <v>0</v>
      </c>
    </row>
    <row r="4709" customFormat="false" ht="15" hidden="false" customHeight="false" outlineLevel="0" collapsed="false">
      <c r="A4709" s="7" t="s">
        <v>24</v>
      </c>
      <c r="B4709" s="7" t="s">
        <v>195</v>
      </c>
      <c r="C4709" s="7" t="s">
        <v>1065</v>
      </c>
      <c r="D4709" s="7" t="n">
        <v>0</v>
      </c>
      <c r="E4709" s="7" t="n">
        <v>0</v>
      </c>
      <c r="F4709" s="7" t="n">
        <v>1</v>
      </c>
      <c r="G4709" s="7" t="n">
        <v>324.09</v>
      </c>
    </row>
    <row r="4710" customFormat="false" ht="15" hidden="false" customHeight="false" outlineLevel="0" collapsed="false">
      <c r="A4710" s="7" t="s">
        <v>24</v>
      </c>
      <c r="B4710" s="7" t="s">
        <v>195</v>
      </c>
      <c r="C4710" s="7" t="s">
        <v>1065</v>
      </c>
      <c r="D4710" s="7" t="n">
        <v>0</v>
      </c>
      <c r="E4710" s="7" t="n">
        <v>0</v>
      </c>
      <c r="F4710" s="7" t="n">
        <v>1</v>
      </c>
      <c r="G4710" s="7" t="n">
        <v>381.27</v>
      </c>
    </row>
    <row r="4711" customFormat="false" ht="15" hidden="false" customHeight="false" outlineLevel="0" collapsed="false">
      <c r="A4711" s="7" t="s">
        <v>24</v>
      </c>
      <c r="B4711" s="7" t="s">
        <v>195</v>
      </c>
      <c r="C4711" s="7" t="s">
        <v>1065</v>
      </c>
      <c r="D4711" s="7" t="n">
        <v>0</v>
      </c>
      <c r="E4711" s="7" t="n">
        <v>0</v>
      </c>
      <c r="F4711" s="7" t="n">
        <v>1</v>
      </c>
      <c r="G4711" s="7" t="n">
        <v>381.27</v>
      </c>
    </row>
    <row r="4712" customFormat="false" ht="15" hidden="false" customHeight="false" outlineLevel="0" collapsed="false">
      <c r="A4712" s="7" t="s">
        <v>24</v>
      </c>
      <c r="B4712" s="7" t="s">
        <v>195</v>
      </c>
      <c r="C4712" s="7" t="s">
        <v>1065</v>
      </c>
      <c r="D4712" s="7" t="n">
        <v>0</v>
      </c>
      <c r="E4712" s="7" t="n">
        <v>0</v>
      </c>
      <c r="F4712" s="7" t="n">
        <v>1</v>
      </c>
      <c r="G4712" s="7" t="n">
        <v>343.14</v>
      </c>
    </row>
    <row r="4713" customFormat="false" ht="15" hidden="false" customHeight="false" outlineLevel="0" collapsed="false">
      <c r="A4713" s="7" t="s">
        <v>24</v>
      </c>
      <c r="B4713" s="7" t="s">
        <v>195</v>
      </c>
      <c r="C4713" s="7" t="s">
        <v>1065</v>
      </c>
      <c r="D4713" s="7" t="n">
        <v>0</v>
      </c>
      <c r="E4713" s="7" t="n">
        <v>0</v>
      </c>
      <c r="F4713" s="7" t="n">
        <v>1</v>
      </c>
      <c r="G4713" s="7" t="n">
        <v>381.27</v>
      </c>
    </row>
    <row r="4714" customFormat="false" ht="15" hidden="false" customHeight="false" outlineLevel="0" collapsed="false">
      <c r="A4714" s="7" t="s">
        <v>24</v>
      </c>
      <c r="B4714" s="7" t="s">
        <v>383</v>
      </c>
      <c r="C4714" s="7" t="s">
        <v>1065</v>
      </c>
      <c r="D4714" s="7" t="n">
        <v>0</v>
      </c>
      <c r="E4714" s="7" t="n">
        <v>0</v>
      </c>
      <c r="F4714" s="7" t="n">
        <v>1</v>
      </c>
      <c r="G4714" s="7" t="n">
        <v>343.14</v>
      </c>
    </row>
    <row r="4715" customFormat="false" ht="15" hidden="false" customHeight="false" outlineLevel="0" collapsed="false">
      <c r="A4715" s="7" t="s">
        <v>24</v>
      </c>
      <c r="B4715" s="7" t="s">
        <v>383</v>
      </c>
      <c r="C4715" s="7" t="s">
        <v>1065</v>
      </c>
      <c r="D4715" s="7" t="n">
        <v>2</v>
      </c>
      <c r="E4715" s="7" t="n">
        <v>664.59</v>
      </c>
      <c r="F4715" s="7" t="n">
        <v>0</v>
      </c>
      <c r="G4715" s="7" t="n">
        <v>0</v>
      </c>
    </row>
    <row r="4716" customFormat="false" ht="15" hidden="false" customHeight="false" outlineLevel="0" collapsed="false">
      <c r="A4716" s="7" t="s">
        <v>24</v>
      </c>
      <c r="B4716" s="7" t="s">
        <v>383</v>
      </c>
      <c r="C4716" s="7" t="s">
        <v>1065</v>
      </c>
      <c r="D4716" s="7" t="n">
        <v>0</v>
      </c>
      <c r="E4716" s="7" t="n">
        <v>0</v>
      </c>
      <c r="F4716" s="7" t="n">
        <v>1</v>
      </c>
      <c r="G4716" s="7" t="n">
        <v>324.09</v>
      </c>
    </row>
    <row r="4717" customFormat="false" ht="15" hidden="false" customHeight="false" outlineLevel="0" collapsed="false">
      <c r="A4717" s="7" t="s">
        <v>24</v>
      </c>
      <c r="B4717" s="7" t="s">
        <v>383</v>
      </c>
      <c r="C4717" s="7" t="s">
        <v>1065</v>
      </c>
      <c r="D4717" s="7" t="n">
        <v>10</v>
      </c>
      <c r="E4717" s="7" t="n">
        <v>3545.81</v>
      </c>
      <c r="F4717" s="7" t="n">
        <v>4</v>
      </c>
      <c r="G4717" s="7" t="n">
        <v>1448.82</v>
      </c>
    </row>
    <row r="4718" customFormat="false" ht="15" hidden="false" customHeight="false" outlineLevel="0" collapsed="false">
      <c r="A4718" s="7" t="s">
        <v>24</v>
      </c>
      <c r="B4718" s="7" t="s">
        <v>383</v>
      </c>
      <c r="C4718" s="7" t="s">
        <v>1065</v>
      </c>
      <c r="D4718" s="7" t="n">
        <v>0</v>
      </c>
      <c r="E4718" s="7" t="n">
        <v>0</v>
      </c>
      <c r="F4718" s="7" t="n">
        <v>1</v>
      </c>
      <c r="G4718" s="7" t="n">
        <v>381.27</v>
      </c>
    </row>
    <row r="4719" customFormat="false" ht="15" hidden="false" customHeight="false" outlineLevel="0" collapsed="false">
      <c r="A4719" s="7" t="s">
        <v>24</v>
      </c>
      <c r="B4719" s="7" t="s">
        <v>383</v>
      </c>
      <c r="C4719" s="7" t="s">
        <v>1065</v>
      </c>
      <c r="D4719" s="7" t="n">
        <v>0</v>
      </c>
      <c r="E4719" s="7" t="n">
        <v>0</v>
      </c>
      <c r="F4719" s="7" t="n">
        <v>1</v>
      </c>
      <c r="G4719" s="7" t="n">
        <v>381.27</v>
      </c>
    </row>
    <row r="4720" customFormat="false" ht="15" hidden="false" customHeight="false" outlineLevel="0" collapsed="false">
      <c r="A4720" s="7" t="s">
        <v>24</v>
      </c>
      <c r="B4720" s="7" t="s">
        <v>383</v>
      </c>
      <c r="C4720" s="7" t="s">
        <v>1065</v>
      </c>
      <c r="D4720" s="7" t="n">
        <v>0</v>
      </c>
      <c r="E4720" s="7" t="n">
        <v>0</v>
      </c>
      <c r="F4720" s="7" t="n">
        <v>1</v>
      </c>
      <c r="G4720" s="7" t="n">
        <v>381.27</v>
      </c>
    </row>
    <row r="4721" customFormat="false" ht="15" hidden="false" customHeight="false" outlineLevel="0" collapsed="false">
      <c r="A4721" s="7" t="s">
        <v>24</v>
      </c>
      <c r="B4721" s="7" t="s">
        <v>383</v>
      </c>
      <c r="C4721" s="7" t="s">
        <v>1065</v>
      </c>
      <c r="D4721" s="7" t="n">
        <v>0</v>
      </c>
      <c r="E4721" s="7" t="n">
        <v>0</v>
      </c>
      <c r="F4721" s="7" t="n">
        <v>1</v>
      </c>
      <c r="G4721" s="7" t="n">
        <v>381.27</v>
      </c>
    </row>
    <row r="4722" customFormat="false" ht="15" hidden="false" customHeight="false" outlineLevel="0" collapsed="false">
      <c r="A4722" s="7" t="s">
        <v>24</v>
      </c>
      <c r="B4722" s="7" t="s">
        <v>144</v>
      </c>
      <c r="C4722" s="7" t="s">
        <v>1066</v>
      </c>
      <c r="D4722" s="7" t="n">
        <v>5</v>
      </c>
      <c r="E4722" s="7" t="n">
        <v>3676.5</v>
      </c>
      <c r="F4722" s="7" t="n">
        <v>0</v>
      </c>
      <c r="G4722" s="7" t="n">
        <v>0</v>
      </c>
    </row>
    <row r="4723" customFormat="false" ht="15" hidden="false" customHeight="false" outlineLevel="0" collapsed="false">
      <c r="A4723" s="7" t="s">
        <v>24</v>
      </c>
      <c r="B4723" s="7" t="s">
        <v>218</v>
      </c>
      <c r="C4723" s="7" t="s">
        <v>1066</v>
      </c>
      <c r="D4723" s="7" t="n">
        <v>2</v>
      </c>
      <c r="E4723" s="7" t="n">
        <v>1581.75</v>
      </c>
      <c r="F4723" s="7" t="n">
        <v>0</v>
      </c>
      <c r="G4723" s="7" t="n">
        <v>0</v>
      </c>
    </row>
    <row r="4724" customFormat="false" ht="15" hidden="false" customHeight="false" outlineLevel="0" collapsed="false">
      <c r="A4724" s="7" t="s">
        <v>24</v>
      </c>
      <c r="B4724" s="7" t="s">
        <v>180</v>
      </c>
      <c r="C4724" s="7" t="s">
        <v>1255</v>
      </c>
      <c r="D4724" s="7" t="n">
        <v>3</v>
      </c>
      <c r="E4724" s="7" t="n">
        <v>2265.75</v>
      </c>
      <c r="F4724" s="7" t="n">
        <v>0</v>
      </c>
      <c r="G4724" s="7" t="n">
        <v>0</v>
      </c>
    </row>
    <row r="4725" customFormat="false" ht="15" hidden="false" customHeight="false" outlineLevel="0" collapsed="false">
      <c r="A4725" s="7" t="s">
        <v>24</v>
      </c>
      <c r="B4725" s="7" t="s">
        <v>175</v>
      </c>
      <c r="C4725" s="7" t="s">
        <v>1066</v>
      </c>
      <c r="D4725" s="7" t="n">
        <v>3</v>
      </c>
      <c r="E4725" s="7" t="n">
        <v>2308.5</v>
      </c>
      <c r="F4725" s="7" t="n">
        <v>0</v>
      </c>
      <c r="G4725" s="7" t="n">
        <v>0</v>
      </c>
    </row>
    <row r="4726" customFormat="false" ht="15" hidden="false" customHeight="false" outlineLevel="0" collapsed="false">
      <c r="A4726" s="7" t="s">
        <v>24</v>
      </c>
      <c r="B4726" s="7" t="s">
        <v>665</v>
      </c>
      <c r="C4726" s="7" t="s">
        <v>1181</v>
      </c>
      <c r="D4726" s="7" t="n">
        <v>22</v>
      </c>
      <c r="E4726" s="7" t="n">
        <v>799.39</v>
      </c>
      <c r="F4726" s="7" t="n">
        <v>10</v>
      </c>
      <c r="G4726" s="7" t="n">
        <v>358.52</v>
      </c>
    </row>
    <row r="4727" customFormat="false" ht="15" hidden="false" customHeight="false" outlineLevel="0" collapsed="false">
      <c r="A4727" s="7" t="s">
        <v>24</v>
      </c>
      <c r="B4727" s="7" t="s">
        <v>665</v>
      </c>
      <c r="C4727" s="7" t="s">
        <v>1181</v>
      </c>
      <c r="D4727" s="7" t="n">
        <v>0</v>
      </c>
      <c r="E4727" s="7" t="n">
        <v>0</v>
      </c>
      <c r="F4727" s="7" t="n">
        <v>1</v>
      </c>
      <c r="G4727" s="7" t="n">
        <v>38.9</v>
      </c>
    </row>
    <row r="4728" customFormat="false" ht="15" hidden="false" customHeight="false" outlineLevel="0" collapsed="false">
      <c r="A4728" s="7" t="s">
        <v>24</v>
      </c>
      <c r="B4728" s="7" t="s">
        <v>665</v>
      </c>
      <c r="C4728" s="7" t="s">
        <v>1181</v>
      </c>
      <c r="D4728" s="7" t="n">
        <v>0</v>
      </c>
      <c r="E4728" s="7" t="n">
        <v>0</v>
      </c>
      <c r="F4728" s="7" t="n">
        <v>3</v>
      </c>
      <c r="G4728" s="7" t="n">
        <v>116.7</v>
      </c>
    </row>
    <row r="4729" customFormat="false" ht="15" hidden="false" customHeight="false" outlineLevel="0" collapsed="false">
      <c r="A4729" s="7" t="s">
        <v>24</v>
      </c>
      <c r="B4729" s="7" t="s">
        <v>665</v>
      </c>
      <c r="C4729" s="7" t="s">
        <v>1181</v>
      </c>
      <c r="D4729" s="7" t="n">
        <v>0</v>
      </c>
      <c r="E4729" s="7" t="n">
        <v>0</v>
      </c>
      <c r="F4729" s="7" t="n">
        <v>2</v>
      </c>
      <c r="G4729" s="7" t="n">
        <v>70.02</v>
      </c>
    </row>
    <row r="4730" customFormat="false" ht="15" hidden="false" customHeight="false" outlineLevel="0" collapsed="false">
      <c r="A4730" s="7" t="s">
        <v>24</v>
      </c>
      <c r="B4730" s="7" t="s">
        <v>665</v>
      </c>
      <c r="C4730" s="7" t="s">
        <v>1181</v>
      </c>
      <c r="D4730" s="7" t="n">
        <v>0</v>
      </c>
      <c r="E4730" s="7" t="n">
        <v>0</v>
      </c>
      <c r="F4730" s="7" t="n">
        <v>1</v>
      </c>
      <c r="G4730" s="7" t="n">
        <v>38.9</v>
      </c>
    </row>
    <row r="4731" customFormat="false" ht="15" hidden="false" customHeight="false" outlineLevel="0" collapsed="false">
      <c r="A4731" s="7" t="s">
        <v>24</v>
      </c>
      <c r="B4731" s="7" t="s">
        <v>665</v>
      </c>
      <c r="C4731" s="7" t="s">
        <v>1181</v>
      </c>
      <c r="D4731" s="7" t="n">
        <v>0</v>
      </c>
      <c r="E4731" s="7" t="n">
        <v>0</v>
      </c>
      <c r="F4731" s="7" t="n">
        <v>1</v>
      </c>
      <c r="G4731" s="7" t="n">
        <v>38.89</v>
      </c>
    </row>
    <row r="4732" customFormat="false" ht="15" hidden="false" customHeight="false" outlineLevel="0" collapsed="false">
      <c r="A4732" s="7" t="s">
        <v>24</v>
      </c>
      <c r="B4732" s="7" t="s">
        <v>665</v>
      </c>
      <c r="C4732" s="7" t="s">
        <v>1181</v>
      </c>
      <c r="D4732" s="7" t="n">
        <v>0</v>
      </c>
      <c r="E4732" s="7" t="n">
        <v>0</v>
      </c>
      <c r="F4732" s="7" t="n">
        <v>2</v>
      </c>
      <c r="G4732" s="7" t="n">
        <v>73.91</v>
      </c>
    </row>
    <row r="4733" customFormat="false" ht="15" hidden="false" customHeight="false" outlineLevel="0" collapsed="false">
      <c r="A4733" s="7" t="s">
        <v>24</v>
      </c>
      <c r="B4733" s="7" t="s">
        <v>665</v>
      </c>
      <c r="C4733" s="7" t="s">
        <v>1181</v>
      </c>
      <c r="D4733" s="7" t="n">
        <v>0</v>
      </c>
      <c r="E4733" s="7" t="n">
        <v>0</v>
      </c>
      <c r="F4733" s="7" t="n">
        <v>2</v>
      </c>
      <c r="G4733" s="7" t="n">
        <v>77.8</v>
      </c>
    </row>
    <row r="4734" customFormat="false" ht="15" hidden="false" customHeight="false" outlineLevel="0" collapsed="false">
      <c r="A4734" s="7" t="s">
        <v>24</v>
      </c>
      <c r="B4734" s="7" t="s">
        <v>665</v>
      </c>
      <c r="C4734" s="7" t="s">
        <v>1181</v>
      </c>
      <c r="D4734" s="7" t="n">
        <v>6</v>
      </c>
      <c r="E4734" s="7" t="n">
        <v>222.59</v>
      </c>
      <c r="F4734" s="7" t="n">
        <v>0</v>
      </c>
      <c r="G4734" s="7" t="n">
        <v>0</v>
      </c>
    </row>
    <row r="4735" customFormat="false" ht="15" hidden="false" customHeight="false" outlineLevel="0" collapsed="false">
      <c r="A4735" s="7" t="s">
        <v>24</v>
      </c>
      <c r="B4735" s="7" t="s">
        <v>665</v>
      </c>
      <c r="C4735" s="7" t="s">
        <v>1181</v>
      </c>
      <c r="D4735" s="7" t="n">
        <v>0</v>
      </c>
      <c r="E4735" s="7" t="n">
        <v>0</v>
      </c>
      <c r="F4735" s="7" t="n">
        <v>1</v>
      </c>
      <c r="G4735" s="7" t="n">
        <v>38.9</v>
      </c>
    </row>
    <row r="4736" customFormat="false" ht="15" hidden="false" customHeight="false" outlineLevel="0" collapsed="false">
      <c r="A4736" s="7" t="s">
        <v>24</v>
      </c>
      <c r="B4736" s="7" t="s">
        <v>665</v>
      </c>
      <c r="C4736" s="7" t="s">
        <v>1181</v>
      </c>
      <c r="D4736" s="7" t="n">
        <v>0</v>
      </c>
      <c r="E4736" s="7" t="n">
        <v>0</v>
      </c>
      <c r="F4736" s="7" t="n">
        <v>1</v>
      </c>
      <c r="G4736" s="7" t="n">
        <v>38.89</v>
      </c>
    </row>
    <row r="4737" customFormat="false" ht="15" hidden="false" customHeight="false" outlineLevel="0" collapsed="false">
      <c r="A4737" s="7" t="s">
        <v>24</v>
      </c>
      <c r="B4737" s="7" t="s">
        <v>199</v>
      </c>
      <c r="C4737" s="7" t="s">
        <v>1256</v>
      </c>
      <c r="D4737" s="7" t="n">
        <v>0</v>
      </c>
      <c r="E4737" s="7" t="n">
        <v>0</v>
      </c>
      <c r="F4737" s="7" t="n">
        <v>10</v>
      </c>
      <c r="G4737" s="7" t="n">
        <v>58.48</v>
      </c>
    </row>
    <row r="4738" customFormat="false" ht="15" hidden="false" customHeight="false" outlineLevel="0" collapsed="false">
      <c r="A4738" s="7" t="s">
        <v>24</v>
      </c>
      <c r="B4738" s="7" t="s">
        <v>199</v>
      </c>
      <c r="C4738" s="7" t="s">
        <v>1256</v>
      </c>
      <c r="D4738" s="7" t="n">
        <v>0</v>
      </c>
      <c r="E4738" s="7" t="n">
        <v>0</v>
      </c>
      <c r="F4738" s="7" t="n">
        <v>1</v>
      </c>
      <c r="G4738" s="7" t="n">
        <v>0</v>
      </c>
    </row>
    <row r="4739" customFormat="false" ht="15" hidden="false" customHeight="false" outlineLevel="0" collapsed="false">
      <c r="A4739" s="7" t="s">
        <v>24</v>
      </c>
      <c r="B4739" s="7" t="s">
        <v>199</v>
      </c>
      <c r="C4739" s="7" t="s">
        <v>1256</v>
      </c>
      <c r="D4739" s="7" t="n">
        <v>0</v>
      </c>
      <c r="E4739" s="7" t="n">
        <v>0</v>
      </c>
      <c r="F4739" s="7" t="n">
        <v>1</v>
      </c>
      <c r="G4739" s="7" t="n">
        <v>12.63</v>
      </c>
    </row>
    <row r="4740" customFormat="false" ht="15" hidden="false" customHeight="false" outlineLevel="0" collapsed="false">
      <c r="A4740" s="7" t="s">
        <v>24</v>
      </c>
      <c r="B4740" s="7" t="s">
        <v>199</v>
      </c>
      <c r="C4740" s="7" t="s">
        <v>1256</v>
      </c>
      <c r="D4740" s="7" t="n">
        <v>0</v>
      </c>
      <c r="E4740" s="7" t="n">
        <v>0</v>
      </c>
      <c r="F4740" s="7" t="n">
        <v>1</v>
      </c>
      <c r="G4740" s="7" t="n">
        <v>5.85</v>
      </c>
    </row>
    <row r="4741" customFormat="false" ht="15" hidden="false" customHeight="false" outlineLevel="0" collapsed="false">
      <c r="A4741" s="7" t="s">
        <v>24</v>
      </c>
      <c r="B4741" s="7" t="s">
        <v>199</v>
      </c>
      <c r="C4741" s="7" t="s">
        <v>1256</v>
      </c>
      <c r="D4741" s="7" t="n">
        <v>0</v>
      </c>
      <c r="E4741" s="7" t="n">
        <v>0</v>
      </c>
      <c r="F4741" s="7" t="n">
        <v>1</v>
      </c>
      <c r="G4741" s="7" t="n">
        <v>5.85</v>
      </c>
    </row>
    <row r="4742" customFormat="false" ht="15" hidden="false" customHeight="false" outlineLevel="0" collapsed="false">
      <c r="A4742" s="7" t="s">
        <v>24</v>
      </c>
      <c r="B4742" s="7" t="s">
        <v>199</v>
      </c>
      <c r="C4742" s="7" t="s">
        <v>1256</v>
      </c>
      <c r="D4742" s="7" t="n">
        <v>34</v>
      </c>
      <c r="E4742" s="7" t="n">
        <v>176.64</v>
      </c>
      <c r="F4742" s="7" t="n">
        <v>219</v>
      </c>
      <c r="G4742" s="7" t="n">
        <v>1128.82</v>
      </c>
    </row>
    <row r="4743" customFormat="false" ht="15" hidden="false" customHeight="false" outlineLevel="0" collapsed="false">
      <c r="A4743" s="7" t="s">
        <v>24</v>
      </c>
      <c r="B4743" s="7" t="s">
        <v>199</v>
      </c>
      <c r="C4743" s="7" t="s">
        <v>1256</v>
      </c>
      <c r="D4743" s="7" t="n">
        <v>0</v>
      </c>
      <c r="E4743" s="7" t="n">
        <v>0</v>
      </c>
      <c r="F4743" s="7" t="n">
        <v>2</v>
      </c>
      <c r="G4743" s="7" t="n">
        <v>10.53</v>
      </c>
    </row>
    <row r="4744" customFormat="false" ht="15" hidden="false" customHeight="false" outlineLevel="0" collapsed="false">
      <c r="A4744" s="7" t="s">
        <v>24</v>
      </c>
      <c r="B4744" s="7" t="s">
        <v>199</v>
      </c>
      <c r="C4744" s="7" t="s">
        <v>1256</v>
      </c>
      <c r="D4744" s="7" t="n">
        <v>0</v>
      </c>
      <c r="E4744" s="7" t="n">
        <v>0</v>
      </c>
      <c r="F4744" s="7" t="n">
        <v>1</v>
      </c>
      <c r="G4744" s="7" t="n">
        <v>5.85</v>
      </c>
    </row>
    <row r="4745" customFormat="false" ht="15" hidden="false" customHeight="false" outlineLevel="0" collapsed="false">
      <c r="A4745" s="7" t="s">
        <v>24</v>
      </c>
      <c r="B4745" s="7" t="s">
        <v>199</v>
      </c>
      <c r="C4745" s="7" t="s">
        <v>1256</v>
      </c>
      <c r="D4745" s="7" t="n">
        <v>0</v>
      </c>
      <c r="E4745" s="7" t="n">
        <v>0</v>
      </c>
      <c r="F4745" s="7" t="n">
        <v>1</v>
      </c>
      <c r="G4745" s="7" t="n">
        <v>0</v>
      </c>
    </row>
    <row r="4746" customFormat="false" ht="15" hidden="false" customHeight="false" outlineLevel="0" collapsed="false">
      <c r="A4746" s="7" t="s">
        <v>24</v>
      </c>
      <c r="B4746" s="7" t="s">
        <v>199</v>
      </c>
      <c r="C4746" s="7" t="s">
        <v>1256</v>
      </c>
      <c r="D4746" s="7" t="n">
        <v>0</v>
      </c>
      <c r="E4746" s="7" t="n">
        <v>0</v>
      </c>
      <c r="F4746" s="7" t="n">
        <v>1</v>
      </c>
      <c r="G4746" s="7" t="n">
        <v>12.63</v>
      </c>
    </row>
    <row r="4747" customFormat="false" ht="15" hidden="false" customHeight="false" outlineLevel="0" collapsed="false">
      <c r="A4747" s="7" t="s">
        <v>24</v>
      </c>
      <c r="B4747" s="7" t="s">
        <v>199</v>
      </c>
      <c r="C4747" s="7" t="s">
        <v>1256</v>
      </c>
      <c r="D4747" s="7" t="n">
        <v>0</v>
      </c>
      <c r="E4747" s="7" t="n">
        <v>0</v>
      </c>
      <c r="F4747" s="7" t="n">
        <v>2</v>
      </c>
      <c r="G4747" s="7" t="n">
        <v>11.69</v>
      </c>
    </row>
    <row r="4748" customFormat="false" ht="15" hidden="false" customHeight="false" outlineLevel="0" collapsed="false">
      <c r="A4748" s="7" t="s">
        <v>24</v>
      </c>
      <c r="B4748" s="7" t="s">
        <v>199</v>
      </c>
      <c r="C4748" s="7" t="s">
        <v>1256</v>
      </c>
      <c r="D4748" s="7" t="n">
        <v>0</v>
      </c>
      <c r="E4748" s="7" t="n">
        <v>0</v>
      </c>
      <c r="F4748" s="7" t="n">
        <v>1</v>
      </c>
      <c r="G4748" s="7" t="n">
        <v>11.36</v>
      </c>
    </row>
    <row r="4749" customFormat="false" ht="15" hidden="false" customHeight="false" outlineLevel="0" collapsed="false">
      <c r="A4749" s="7" t="s">
        <v>24</v>
      </c>
      <c r="B4749" s="7" t="s">
        <v>199</v>
      </c>
      <c r="C4749" s="7" t="s">
        <v>1256</v>
      </c>
      <c r="D4749" s="7" t="n">
        <v>0</v>
      </c>
      <c r="E4749" s="7" t="n">
        <v>0</v>
      </c>
      <c r="F4749" s="7" t="n">
        <v>1</v>
      </c>
      <c r="G4749" s="7" t="n">
        <v>5.85</v>
      </c>
    </row>
    <row r="4750" customFormat="false" ht="15" hidden="false" customHeight="false" outlineLevel="0" collapsed="false">
      <c r="A4750" s="7" t="s">
        <v>24</v>
      </c>
      <c r="B4750" s="7" t="s">
        <v>199</v>
      </c>
      <c r="C4750" s="7" t="s">
        <v>1256</v>
      </c>
      <c r="D4750" s="7" t="n">
        <v>0</v>
      </c>
      <c r="E4750" s="7" t="n">
        <v>0</v>
      </c>
      <c r="F4750" s="7" t="n">
        <v>2</v>
      </c>
      <c r="G4750" s="7" t="n">
        <v>11.69</v>
      </c>
    </row>
    <row r="4751" customFormat="false" ht="15" hidden="false" customHeight="false" outlineLevel="0" collapsed="false">
      <c r="A4751" s="7" t="s">
        <v>24</v>
      </c>
      <c r="B4751" s="7" t="s">
        <v>199</v>
      </c>
      <c r="C4751" s="7" t="s">
        <v>1256</v>
      </c>
      <c r="D4751" s="7" t="n">
        <v>0</v>
      </c>
      <c r="E4751" s="7" t="n">
        <v>0</v>
      </c>
      <c r="F4751" s="7" t="n">
        <v>2</v>
      </c>
      <c r="G4751" s="7" t="n">
        <v>25.25</v>
      </c>
    </row>
    <row r="4752" customFormat="false" ht="15" hidden="false" customHeight="false" outlineLevel="0" collapsed="false">
      <c r="A4752" s="7" t="s">
        <v>24</v>
      </c>
      <c r="B4752" s="7" t="s">
        <v>199</v>
      </c>
      <c r="C4752" s="7" t="s">
        <v>1256</v>
      </c>
      <c r="D4752" s="7" t="n">
        <v>0</v>
      </c>
      <c r="E4752" s="7" t="n">
        <v>0</v>
      </c>
      <c r="F4752" s="7" t="n">
        <v>10</v>
      </c>
      <c r="G4752" s="7" t="n">
        <v>58.48</v>
      </c>
    </row>
    <row r="4753" customFormat="false" ht="15" hidden="false" customHeight="false" outlineLevel="0" collapsed="false">
      <c r="A4753" s="7" t="s">
        <v>24</v>
      </c>
      <c r="B4753" s="7" t="s">
        <v>199</v>
      </c>
      <c r="C4753" s="7" t="s">
        <v>1256</v>
      </c>
      <c r="D4753" s="7" t="n">
        <v>0</v>
      </c>
      <c r="E4753" s="7" t="n">
        <v>0</v>
      </c>
      <c r="F4753" s="7" t="n">
        <v>1</v>
      </c>
      <c r="G4753" s="7" t="n">
        <v>5.26</v>
      </c>
    </row>
    <row r="4754" customFormat="false" ht="15" hidden="false" customHeight="false" outlineLevel="0" collapsed="false">
      <c r="A4754" s="7" t="s">
        <v>24</v>
      </c>
      <c r="B4754" s="7" t="s">
        <v>199</v>
      </c>
      <c r="C4754" s="7" t="s">
        <v>1256</v>
      </c>
      <c r="D4754" s="7" t="n">
        <v>0</v>
      </c>
      <c r="E4754" s="7" t="n">
        <v>0</v>
      </c>
      <c r="F4754" s="7" t="n">
        <v>1</v>
      </c>
      <c r="G4754" s="7" t="n">
        <v>0</v>
      </c>
    </row>
    <row r="4755" customFormat="false" ht="15" hidden="false" customHeight="false" outlineLevel="0" collapsed="false">
      <c r="A4755" s="7" t="s">
        <v>24</v>
      </c>
      <c r="B4755" s="7" t="s">
        <v>199</v>
      </c>
      <c r="C4755" s="7" t="s">
        <v>1256</v>
      </c>
      <c r="D4755" s="7" t="n">
        <v>0</v>
      </c>
      <c r="E4755" s="7" t="n">
        <v>0</v>
      </c>
      <c r="F4755" s="7" t="n">
        <v>1</v>
      </c>
      <c r="G4755" s="7" t="n">
        <v>5.27</v>
      </c>
    </row>
    <row r="4756" customFormat="false" ht="15" hidden="false" customHeight="false" outlineLevel="0" collapsed="false">
      <c r="A4756" s="7" t="s">
        <v>24</v>
      </c>
      <c r="B4756" s="7" t="s">
        <v>199</v>
      </c>
      <c r="C4756" s="7" t="s">
        <v>1256</v>
      </c>
      <c r="D4756" s="7" t="n">
        <v>0</v>
      </c>
      <c r="E4756" s="7" t="n">
        <v>0</v>
      </c>
      <c r="F4756" s="7" t="n">
        <v>1</v>
      </c>
      <c r="G4756" s="7" t="n">
        <v>5.85</v>
      </c>
    </row>
    <row r="4757" customFormat="false" ht="15" hidden="false" customHeight="false" outlineLevel="0" collapsed="false">
      <c r="A4757" s="7" t="s">
        <v>24</v>
      </c>
      <c r="B4757" s="7" t="s">
        <v>199</v>
      </c>
      <c r="C4757" s="7" t="s">
        <v>1256</v>
      </c>
      <c r="D4757" s="7" t="n">
        <v>0</v>
      </c>
      <c r="E4757" s="7" t="n">
        <v>0</v>
      </c>
      <c r="F4757" s="7" t="n">
        <v>2</v>
      </c>
      <c r="G4757" s="7" t="n">
        <v>11.69</v>
      </c>
    </row>
    <row r="4758" customFormat="false" ht="15" hidden="false" customHeight="false" outlineLevel="0" collapsed="false">
      <c r="A4758" s="7" t="s">
        <v>24</v>
      </c>
      <c r="B4758" s="7" t="s">
        <v>199</v>
      </c>
      <c r="C4758" s="7" t="s">
        <v>1256</v>
      </c>
      <c r="D4758" s="7" t="n">
        <v>0</v>
      </c>
      <c r="E4758" s="7" t="n">
        <v>0</v>
      </c>
      <c r="F4758" s="7" t="n">
        <v>1</v>
      </c>
      <c r="G4758" s="7" t="n">
        <v>12.63</v>
      </c>
    </row>
    <row r="4759" customFormat="false" ht="15" hidden="false" customHeight="false" outlineLevel="0" collapsed="false">
      <c r="A4759" s="7" t="s">
        <v>24</v>
      </c>
      <c r="B4759" s="7" t="s">
        <v>199</v>
      </c>
      <c r="C4759" s="7" t="s">
        <v>1256</v>
      </c>
      <c r="D4759" s="7" t="n">
        <v>0</v>
      </c>
      <c r="E4759" s="7" t="n">
        <v>0</v>
      </c>
      <c r="F4759" s="7" t="n">
        <v>2</v>
      </c>
      <c r="G4759" s="7" t="n">
        <v>25.26</v>
      </c>
    </row>
    <row r="4760" customFormat="false" ht="15" hidden="false" customHeight="false" outlineLevel="0" collapsed="false">
      <c r="A4760" s="7" t="s">
        <v>24</v>
      </c>
      <c r="B4760" s="7" t="s">
        <v>199</v>
      </c>
      <c r="C4760" s="7" t="s">
        <v>1256</v>
      </c>
      <c r="D4760" s="7" t="n">
        <v>0</v>
      </c>
      <c r="E4760" s="7" t="n">
        <v>0</v>
      </c>
      <c r="F4760" s="7" t="n">
        <v>1</v>
      </c>
      <c r="G4760" s="7" t="n">
        <v>5.26</v>
      </c>
    </row>
    <row r="4761" customFormat="false" ht="15" hidden="false" customHeight="false" outlineLevel="0" collapsed="false">
      <c r="A4761" s="7" t="s">
        <v>24</v>
      </c>
      <c r="B4761" s="7" t="s">
        <v>199</v>
      </c>
      <c r="C4761" s="7" t="s">
        <v>1256</v>
      </c>
      <c r="D4761" s="7" t="n">
        <v>0</v>
      </c>
      <c r="E4761" s="7" t="n">
        <v>0</v>
      </c>
      <c r="F4761" s="7" t="n">
        <v>2</v>
      </c>
      <c r="G4761" s="7" t="n">
        <v>10.53</v>
      </c>
    </row>
    <row r="4762" customFormat="false" ht="15" hidden="false" customHeight="false" outlineLevel="0" collapsed="false">
      <c r="A4762" s="7" t="s">
        <v>24</v>
      </c>
      <c r="B4762" s="7" t="s">
        <v>199</v>
      </c>
      <c r="C4762" s="7" t="s">
        <v>1256</v>
      </c>
      <c r="D4762" s="7" t="n">
        <v>0</v>
      </c>
      <c r="E4762" s="7" t="n">
        <v>0</v>
      </c>
      <c r="F4762" s="7" t="n">
        <v>1</v>
      </c>
      <c r="G4762" s="7" t="n">
        <v>4.98</v>
      </c>
    </row>
    <row r="4763" customFormat="false" ht="15" hidden="false" customHeight="false" outlineLevel="0" collapsed="false">
      <c r="A4763" s="7" t="s">
        <v>24</v>
      </c>
      <c r="B4763" s="7" t="s">
        <v>199</v>
      </c>
      <c r="C4763" s="7" t="s">
        <v>1256</v>
      </c>
      <c r="D4763" s="7" t="n">
        <v>0</v>
      </c>
      <c r="E4763" s="7" t="n">
        <v>0</v>
      </c>
      <c r="F4763" s="7" t="n">
        <v>1</v>
      </c>
      <c r="G4763" s="7" t="n">
        <v>5.85</v>
      </c>
    </row>
    <row r="4764" customFormat="false" ht="15" hidden="false" customHeight="false" outlineLevel="0" collapsed="false">
      <c r="A4764" s="7" t="s">
        <v>24</v>
      </c>
      <c r="B4764" s="7" t="s">
        <v>199</v>
      </c>
      <c r="C4764" s="7" t="s">
        <v>1256</v>
      </c>
      <c r="D4764" s="7" t="n">
        <v>0</v>
      </c>
      <c r="E4764" s="7" t="n">
        <v>0</v>
      </c>
      <c r="F4764" s="7" t="n">
        <v>1</v>
      </c>
      <c r="G4764" s="7" t="n">
        <v>4.98</v>
      </c>
    </row>
    <row r="4765" customFormat="false" ht="15" hidden="false" customHeight="false" outlineLevel="0" collapsed="false">
      <c r="A4765" s="7" t="s">
        <v>24</v>
      </c>
      <c r="B4765" s="7" t="s">
        <v>199</v>
      </c>
      <c r="C4765" s="7" t="s">
        <v>1256</v>
      </c>
      <c r="D4765" s="7" t="n">
        <v>0</v>
      </c>
      <c r="E4765" s="7" t="n">
        <v>0</v>
      </c>
      <c r="F4765" s="7" t="n">
        <v>1</v>
      </c>
      <c r="G4765" s="7" t="n">
        <v>12.64</v>
      </c>
    </row>
    <row r="4766" customFormat="false" ht="15" hidden="false" customHeight="false" outlineLevel="0" collapsed="false">
      <c r="A4766" s="7" t="s">
        <v>24</v>
      </c>
      <c r="B4766" s="7" t="s">
        <v>199</v>
      </c>
      <c r="C4766" s="7" t="s">
        <v>1256</v>
      </c>
      <c r="D4766" s="7" t="n">
        <v>0</v>
      </c>
      <c r="E4766" s="7" t="n">
        <v>0</v>
      </c>
      <c r="F4766" s="7" t="n">
        <v>1</v>
      </c>
      <c r="G4766" s="7" t="n">
        <v>12.62</v>
      </c>
    </row>
    <row r="4767" customFormat="false" ht="15" hidden="false" customHeight="false" outlineLevel="0" collapsed="false">
      <c r="A4767" s="7" t="s">
        <v>24</v>
      </c>
      <c r="B4767" s="7" t="s">
        <v>199</v>
      </c>
      <c r="C4767" s="7" t="s">
        <v>1256</v>
      </c>
      <c r="D4767" s="7" t="n">
        <v>0</v>
      </c>
      <c r="E4767" s="7" t="n">
        <v>0</v>
      </c>
      <c r="F4767" s="7" t="n">
        <v>1</v>
      </c>
      <c r="G4767" s="7" t="n">
        <v>5.26</v>
      </c>
    </row>
    <row r="4768" customFormat="false" ht="15" hidden="false" customHeight="false" outlineLevel="0" collapsed="false">
      <c r="A4768" s="7" t="s">
        <v>24</v>
      </c>
      <c r="B4768" s="7" t="s">
        <v>199</v>
      </c>
      <c r="C4768" s="7" t="s">
        <v>1256</v>
      </c>
      <c r="D4768" s="7" t="n">
        <v>0</v>
      </c>
      <c r="E4768" s="7" t="n">
        <v>0</v>
      </c>
      <c r="F4768" s="7" t="n">
        <v>8</v>
      </c>
      <c r="G4768" s="7" t="n">
        <v>46.78</v>
      </c>
    </row>
    <row r="4769" customFormat="false" ht="15" hidden="false" customHeight="false" outlineLevel="0" collapsed="false">
      <c r="A4769" s="7" t="s">
        <v>24</v>
      </c>
      <c r="B4769" s="7" t="s">
        <v>199</v>
      </c>
      <c r="C4769" s="7" t="s">
        <v>1256</v>
      </c>
      <c r="D4769" s="7" t="n">
        <v>0</v>
      </c>
      <c r="E4769" s="7" t="n">
        <v>0</v>
      </c>
      <c r="F4769" s="7" t="n">
        <v>1</v>
      </c>
      <c r="G4769" s="7" t="n">
        <v>5.85</v>
      </c>
    </row>
    <row r="4770" customFormat="false" ht="15" hidden="false" customHeight="false" outlineLevel="0" collapsed="false">
      <c r="A4770" s="7" t="s">
        <v>24</v>
      </c>
      <c r="B4770" s="7" t="s">
        <v>199</v>
      </c>
      <c r="C4770" s="7" t="s">
        <v>1256</v>
      </c>
      <c r="D4770" s="7" t="n">
        <v>0</v>
      </c>
      <c r="E4770" s="7" t="n">
        <v>0</v>
      </c>
      <c r="F4770" s="7" t="n">
        <v>1</v>
      </c>
      <c r="G4770" s="7" t="n">
        <v>5.85</v>
      </c>
    </row>
    <row r="4771" customFormat="false" ht="15" hidden="false" customHeight="false" outlineLevel="0" collapsed="false">
      <c r="A4771" s="7" t="s">
        <v>24</v>
      </c>
      <c r="B4771" s="7" t="s">
        <v>199</v>
      </c>
      <c r="C4771" s="7" t="s">
        <v>1256</v>
      </c>
      <c r="D4771" s="7" t="n">
        <v>0</v>
      </c>
      <c r="E4771" s="7" t="n">
        <v>0</v>
      </c>
      <c r="F4771" s="7" t="n">
        <v>2</v>
      </c>
      <c r="G4771" s="7" t="n">
        <v>10.53</v>
      </c>
    </row>
    <row r="4772" customFormat="false" ht="15" hidden="false" customHeight="false" outlineLevel="0" collapsed="false">
      <c r="A4772" s="7" t="s">
        <v>24</v>
      </c>
      <c r="B4772" s="7" t="s">
        <v>199</v>
      </c>
      <c r="C4772" s="7" t="s">
        <v>1256</v>
      </c>
      <c r="D4772" s="7" t="n">
        <v>0</v>
      </c>
      <c r="E4772" s="7" t="n">
        <v>0</v>
      </c>
      <c r="F4772" s="7" t="n">
        <v>1</v>
      </c>
      <c r="G4772" s="7" t="n">
        <v>5.85</v>
      </c>
    </row>
    <row r="4773" customFormat="false" ht="15" hidden="false" customHeight="false" outlineLevel="0" collapsed="false">
      <c r="A4773" s="7" t="s">
        <v>24</v>
      </c>
      <c r="B4773" s="7" t="s">
        <v>199</v>
      </c>
      <c r="C4773" s="7" t="s">
        <v>1256</v>
      </c>
      <c r="D4773" s="7" t="n">
        <v>0</v>
      </c>
      <c r="E4773" s="7" t="n">
        <v>0</v>
      </c>
      <c r="F4773" s="7" t="n">
        <v>7</v>
      </c>
      <c r="G4773" s="7" t="n">
        <v>39.2</v>
      </c>
    </row>
    <row r="4774" customFormat="false" ht="15" hidden="false" customHeight="false" outlineLevel="0" collapsed="false">
      <c r="A4774" s="7" t="s">
        <v>24</v>
      </c>
      <c r="B4774" s="7" t="s">
        <v>199</v>
      </c>
      <c r="C4774" s="7" t="s">
        <v>1256</v>
      </c>
      <c r="D4774" s="7" t="n">
        <v>0</v>
      </c>
      <c r="E4774" s="7" t="n">
        <v>0</v>
      </c>
      <c r="F4774" s="7" t="n">
        <v>1</v>
      </c>
      <c r="G4774" s="7" t="n">
        <v>11.37</v>
      </c>
    </row>
    <row r="4775" customFormat="false" ht="15" hidden="false" customHeight="false" outlineLevel="0" collapsed="false">
      <c r="A4775" s="7" t="s">
        <v>24</v>
      </c>
      <c r="B4775" s="7" t="s">
        <v>199</v>
      </c>
      <c r="C4775" s="7" t="s">
        <v>1256</v>
      </c>
      <c r="D4775" s="7" t="n">
        <v>0</v>
      </c>
      <c r="E4775" s="7" t="n">
        <v>0</v>
      </c>
      <c r="F4775" s="7" t="n">
        <v>1</v>
      </c>
      <c r="G4775" s="7" t="n">
        <v>12.63</v>
      </c>
    </row>
    <row r="4776" customFormat="false" ht="15" hidden="false" customHeight="false" outlineLevel="0" collapsed="false">
      <c r="A4776" s="7" t="s">
        <v>24</v>
      </c>
      <c r="B4776" s="7" t="s">
        <v>199</v>
      </c>
      <c r="C4776" s="7" t="s">
        <v>1256</v>
      </c>
      <c r="D4776" s="7" t="n">
        <v>0</v>
      </c>
      <c r="E4776" s="7" t="n">
        <v>0</v>
      </c>
      <c r="F4776" s="7" t="n">
        <v>1</v>
      </c>
      <c r="G4776" s="7" t="n">
        <v>0</v>
      </c>
    </row>
    <row r="4777" customFormat="false" ht="15" hidden="false" customHeight="false" outlineLevel="0" collapsed="false">
      <c r="A4777" s="7" t="s">
        <v>24</v>
      </c>
      <c r="B4777" s="7" t="s">
        <v>199</v>
      </c>
      <c r="C4777" s="7" t="s">
        <v>1256</v>
      </c>
      <c r="D4777" s="7" t="n">
        <v>0</v>
      </c>
      <c r="E4777" s="7" t="n">
        <v>0</v>
      </c>
      <c r="F4777" s="7" t="n">
        <v>1</v>
      </c>
      <c r="G4777" s="7" t="n">
        <v>12.63</v>
      </c>
    </row>
    <row r="4778" customFormat="false" ht="15" hidden="false" customHeight="false" outlineLevel="0" collapsed="false">
      <c r="A4778" s="7" t="s">
        <v>24</v>
      </c>
      <c r="B4778" s="7" t="s">
        <v>199</v>
      </c>
      <c r="C4778" s="7" t="s">
        <v>1256</v>
      </c>
      <c r="D4778" s="7" t="n">
        <v>0</v>
      </c>
      <c r="E4778" s="7" t="n">
        <v>0</v>
      </c>
      <c r="F4778" s="7" t="n">
        <v>5</v>
      </c>
      <c r="G4778" s="7" t="n">
        <v>29.23</v>
      </c>
    </row>
    <row r="4779" customFormat="false" ht="15" hidden="false" customHeight="false" outlineLevel="0" collapsed="false">
      <c r="A4779" s="7" t="s">
        <v>24</v>
      </c>
      <c r="B4779" s="7" t="s">
        <v>199</v>
      </c>
      <c r="C4779" s="7" t="s">
        <v>1256</v>
      </c>
      <c r="D4779" s="7" t="n">
        <v>0</v>
      </c>
      <c r="E4779" s="7" t="n">
        <v>0</v>
      </c>
      <c r="F4779" s="7" t="n">
        <v>1</v>
      </c>
      <c r="G4779" s="7" t="n">
        <v>12.63</v>
      </c>
    </row>
    <row r="4780" customFormat="false" ht="15" hidden="false" customHeight="false" outlineLevel="0" collapsed="false">
      <c r="A4780" s="7" t="s">
        <v>24</v>
      </c>
      <c r="B4780" s="7" t="s">
        <v>199</v>
      </c>
      <c r="C4780" s="7" t="s">
        <v>1256</v>
      </c>
      <c r="D4780" s="7" t="n">
        <v>0</v>
      </c>
      <c r="E4780" s="7" t="n">
        <v>0</v>
      </c>
      <c r="F4780" s="7" t="n">
        <v>1</v>
      </c>
      <c r="G4780" s="7" t="n">
        <v>4.97</v>
      </c>
    </row>
    <row r="4781" customFormat="false" ht="15" hidden="false" customHeight="false" outlineLevel="0" collapsed="false">
      <c r="A4781" s="7" t="s">
        <v>24</v>
      </c>
      <c r="B4781" s="7" t="s">
        <v>199</v>
      </c>
      <c r="C4781" s="7" t="s">
        <v>1256</v>
      </c>
      <c r="D4781" s="7" t="n">
        <v>0</v>
      </c>
      <c r="E4781" s="7" t="n">
        <v>0</v>
      </c>
      <c r="F4781" s="7" t="n">
        <v>1</v>
      </c>
      <c r="G4781" s="7" t="n">
        <v>12.63</v>
      </c>
    </row>
    <row r="4782" customFormat="false" ht="15" hidden="false" customHeight="false" outlineLevel="0" collapsed="false">
      <c r="A4782" s="7" t="s">
        <v>24</v>
      </c>
      <c r="B4782" s="7" t="s">
        <v>199</v>
      </c>
      <c r="C4782" s="7" t="s">
        <v>1256</v>
      </c>
      <c r="D4782" s="7" t="n">
        <v>0</v>
      </c>
      <c r="E4782" s="7" t="n">
        <v>0</v>
      </c>
      <c r="F4782" s="7" t="n">
        <v>3</v>
      </c>
      <c r="G4782" s="7" t="n">
        <v>35.37</v>
      </c>
    </row>
    <row r="4783" customFormat="false" ht="15" hidden="false" customHeight="false" outlineLevel="0" collapsed="false">
      <c r="A4783" s="7" t="s">
        <v>24</v>
      </c>
      <c r="B4783" s="7" t="s">
        <v>199</v>
      </c>
      <c r="C4783" s="7" t="s">
        <v>1256</v>
      </c>
      <c r="D4783" s="7" t="n">
        <v>0</v>
      </c>
      <c r="E4783" s="7" t="n">
        <v>0</v>
      </c>
      <c r="F4783" s="7" t="n">
        <v>3</v>
      </c>
      <c r="G4783" s="7" t="n">
        <v>15.79</v>
      </c>
    </row>
    <row r="4784" customFormat="false" ht="15" hidden="false" customHeight="false" outlineLevel="0" collapsed="false">
      <c r="A4784" s="7" t="s">
        <v>24</v>
      </c>
      <c r="B4784" s="7" t="s">
        <v>199</v>
      </c>
      <c r="C4784" s="7" t="s">
        <v>1256</v>
      </c>
      <c r="D4784" s="7" t="n">
        <v>0</v>
      </c>
      <c r="E4784" s="7" t="n">
        <v>0</v>
      </c>
      <c r="F4784" s="7" t="n">
        <v>3</v>
      </c>
      <c r="G4784" s="7" t="n">
        <v>14.92</v>
      </c>
    </row>
    <row r="4785" customFormat="false" ht="15" hidden="false" customHeight="false" outlineLevel="0" collapsed="false">
      <c r="A4785" s="7" t="s">
        <v>24</v>
      </c>
      <c r="B4785" s="7" t="s">
        <v>199</v>
      </c>
      <c r="C4785" s="7" t="s">
        <v>1256</v>
      </c>
      <c r="D4785" s="7" t="n">
        <v>0</v>
      </c>
      <c r="E4785" s="7" t="n">
        <v>0</v>
      </c>
      <c r="F4785" s="7" t="n">
        <v>1</v>
      </c>
      <c r="G4785" s="7" t="n">
        <v>5.26</v>
      </c>
    </row>
    <row r="4786" customFormat="false" ht="15" hidden="false" customHeight="false" outlineLevel="0" collapsed="false">
      <c r="A4786" s="7" t="s">
        <v>24</v>
      </c>
      <c r="B4786" s="7" t="s">
        <v>199</v>
      </c>
      <c r="C4786" s="7" t="s">
        <v>1256</v>
      </c>
      <c r="D4786" s="7" t="n">
        <v>0</v>
      </c>
      <c r="E4786" s="7" t="n">
        <v>0</v>
      </c>
      <c r="F4786" s="7" t="n">
        <v>4</v>
      </c>
      <c r="G4786" s="7" t="n">
        <v>22.21</v>
      </c>
    </row>
    <row r="4787" customFormat="false" ht="15" hidden="false" customHeight="false" outlineLevel="0" collapsed="false">
      <c r="A4787" s="7" t="s">
        <v>24</v>
      </c>
      <c r="B4787" s="7" t="s">
        <v>199</v>
      </c>
      <c r="C4787" s="7" t="s">
        <v>1256</v>
      </c>
      <c r="D4787" s="7" t="n">
        <v>0</v>
      </c>
      <c r="E4787" s="7" t="n">
        <v>0</v>
      </c>
      <c r="F4787" s="7" t="n">
        <v>2</v>
      </c>
      <c r="G4787" s="7" t="n">
        <v>0</v>
      </c>
    </row>
    <row r="4788" customFormat="false" ht="15" hidden="false" customHeight="false" outlineLevel="0" collapsed="false">
      <c r="A4788" s="7" t="s">
        <v>24</v>
      </c>
      <c r="B4788" s="7" t="s">
        <v>199</v>
      </c>
      <c r="C4788" s="7" t="s">
        <v>1256</v>
      </c>
      <c r="D4788" s="7" t="n">
        <v>0</v>
      </c>
      <c r="E4788" s="7" t="n">
        <v>0</v>
      </c>
      <c r="F4788" s="7" t="n">
        <v>1</v>
      </c>
      <c r="G4788" s="7" t="n">
        <v>5.26</v>
      </c>
    </row>
    <row r="4789" customFormat="false" ht="15" hidden="false" customHeight="false" outlineLevel="0" collapsed="false">
      <c r="A4789" s="7" t="s">
        <v>24</v>
      </c>
      <c r="B4789" s="7" t="s">
        <v>199</v>
      </c>
      <c r="C4789" s="7" t="s">
        <v>1256</v>
      </c>
      <c r="D4789" s="7" t="n">
        <v>0</v>
      </c>
      <c r="E4789" s="7" t="n">
        <v>0</v>
      </c>
      <c r="F4789" s="7" t="n">
        <v>1</v>
      </c>
      <c r="G4789" s="7" t="n">
        <v>5.85</v>
      </c>
    </row>
    <row r="4790" customFormat="false" ht="15" hidden="false" customHeight="false" outlineLevel="0" collapsed="false">
      <c r="A4790" s="7" t="s">
        <v>24</v>
      </c>
      <c r="B4790" s="7" t="s">
        <v>199</v>
      </c>
      <c r="C4790" s="7" t="s">
        <v>1256</v>
      </c>
      <c r="D4790" s="7" t="n">
        <v>0</v>
      </c>
      <c r="E4790" s="7" t="n">
        <v>0</v>
      </c>
      <c r="F4790" s="7" t="n">
        <v>1</v>
      </c>
      <c r="G4790" s="7" t="n">
        <v>12.62</v>
      </c>
    </row>
    <row r="4791" customFormat="false" ht="15" hidden="false" customHeight="false" outlineLevel="0" collapsed="false">
      <c r="A4791" s="7" t="s">
        <v>24</v>
      </c>
      <c r="B4791" s="7" t="s">
        <v>199</v>
      </c>
      <c r="C4791" s="7" t="s">
        <v>1256</v>
      </c>
      <c r="D4791" s="7" t="n">
        <v>0</v>
      </c>
      <c r="E4791" s="7" t="n">
        <v>0</v>
      </c>
      <c r="F4791" s="7" t="n">
        <v>2</v>
      </c>
      <c r="G4791" s="7" t="n">
        <v>11.7</v>
      </c>
    </row>
    <row r="4792" customFormat="false" ht="15" hidden="false" customHeight="false" outlineLevel="0" collapsed="false">
      <c r="A4792" s="7" t="s">
        <v>24</v>
      </c>
      <c r="B4792" s="7" t="s">
        <v>199</v>
      </c>
      <c r="C4792" s="7" t="s">
        <v>1256</v>
      </c>
      <c r="D4792" s="7" t="n">
        <v>0</v>
      </c>
      <c r="E4792" s="7" t="n">
        <v>0</v>
      </c>
      <c r="F4792" s="7" t="n">
        <v>1</v>
      </c>
      <c r="G4792" s="7" t="n">
        <v>5.85</v>
      </c>
    </row>
    <row r="4793" customFormat="false" ht="15" hidden="false" customHeight="false" outlineLevel="0" collapsed="false">
      <c r="A4793" s="7" t="s">
        <v>24</v>
      </c>
      <c r="B4793" s="7" t="s">
        <v>199</v>
      </c>
      <c r="C4793" s="7" t="s">
        <v>1256</v>
      </c>
      <c r="D4793" s="7" t="n">
        <v>0</v>
      </c>
      <c r="E4793" s="7" t="n">
        <v>0</v>
      </c>
      <c r="F4793" s="7" t="n">
        <v>2</v>
      </c>
      <c r="G4793" s="7" t="n">
        <v>10.54</v>
      </c>
    </row>
    <row r="4794" customFormat="false" ht="15" hidden="false" customHeight="false" outlineLevel="0" collapsed="false">
      <c r="A4794" s="7" t="s">
        <v>24</v>
      </c>
      <c r="B4794" s="7" t="s">
        <v>199</v>
      </c>
      <c r="C4794" s="7" t="s">
        <v>1256</v>
      </c>
      <c r="D4794" s="7" t="n">
        <v>0</v>
      </c>
      <c r="E4794" s="7" t="n">
        <v>0</v>
      </c>
      <c r="F4794" s="7" t="n">
        <v>1</v>
      </c>
      <c r="G4794" s="7" t="n">
        <v>5.26</v>
      </c>
    </row>
    <row r="4795" customFormat="false" ht="15" hidden="false" customHeight="false" outlineLevel="0" collapsed="false">
      <c r="A4795" s="7" t="s">
        <v>24</v>
      </c>
      <c r="B4795" s="7" t="s">
        <v>199</v>
      </c>
      <c r="C4795" s="7" t="s">
        <v>1256</v>
      </c>
      <c r="D4795" s="7" t="n">
        <v>0</v>
      </c>
      <c r="E4795" s="7" t="n">
        <v>0</v>
      </c>
      <c r="F4795" s="7" t="n">
        <v>20</v>
      </c>
      <c r="G4795" s="7" t="n">
        <v>116.95</v>
      </c>
    </row>
    <row r="4796" customFormat="false" ht="15" hidden="false" customHeight="false" outlineLevel="0" collapsed="false">
      <c r="A4796" s="7" t="s">
        <v>24</v>
      </c>
      <c r="B4796" s="7" t="s">
        <v>199</v>
      </c>
      <c r="C4796" s="7" t="s">
        <v>1256</v>
      </c>
      <c r="D4796" s="7" t="n">
        <v>0</v>
      </c>
      <c r="E4796" s="7" t="n">
        <v>0</v>
      </c>
      <c r="F4796" s="7" t="n">
        <v>1</v>
      </c>
      <c r="G4796" s="7" t="n">
        <v>10.73</v>
      </c>
    </row>
    <row r="4797" customFormat="false" ht="15" hidden="false" customHeight="false" outlineLevel="0" collapsed="false">
      <c r="A4797" s="7" t="s">
        <v>24</v>
      </c>
      <c r="B4797" s="7" t="s">
        <v>199</v>
      </c>
      <c r="C4797" s="7" t="s">
        <v>1256</v>
      </c>
      <c r="D4797" s="7" t="n">
        <v>0</v>
      </c>
      <c r="E4797" s="7" t="n">
        <v>0</v>
      </c>
      <c r="F4797" s="7" t="n">
        <v>1</v>
      </c>
      <c r="G4797" s="7" t="n">
        <v>12.63</v>
      </c>
    </row>
    <row r="4798" customFormat="false" ht="15" hidden="false" customHeight="false" outlineLevel="0" collapsed="false">
      <c r="A4798" s="7" t="s">
        <v>24</v>
      </c>
      <c r="B4798" s="7" t="s">
        <v>459</v>
      </c>
      <c r="C4798" s="7" t="s">
        <v>1257</v>
      </c>
      <c r="D4798" s="7" t="n">
        <v>20</v>
      </c>
      <c r="E4798" s="7" t="n">
        <v>547.24</v>
      </c>
      <c r="F4798" s="7" t="n">
        <v>14</v>
      </c>
      <c r="G4798" s="7" t="n">
        <v>358.04</v>
      </c>
    </row>
    <row r="4799" customFormat="false" ht="15" hidden="false" customHeight="false" outlineLevel="0" collapsed="false">
      <c r="A4799" s="7" t="s">
        <v>24</v>
      </c>
      <c r="B4799" s="7" t="s">
        <v>459</v>
      </c>
      <c r="C4799" s="7" t="s">
        <v>1257</v>
      </c>
      <c r="D4799" s="7" t="n">
        <v>0</v>
      </c>
      <c r="E4799" s="7" t="n">
        <v>0</v>
      </c>
      <c r="F4799" s="7" t="n">
        <v>7</v>
      </c>
      <c r="G4799" s="7" t="n">
        <v>172.02</v>
      </c>
    </row>
    <row r="4800" customFormat="false" ht="15" hidden="false" customHeight="false" outlineLevel="0" collapsed="false">
      <c r="A4800" s="7" t="s">
        <v>24</v>
      </c>
      <c r="B4800" s="7" t="s">
        <v>459</v>
      </c>
      <c r="C4800" s="7" t="s">
        <v>1257</v>
      </c>
      <c r="D4800" s="7" t="n">
        <v>0</v>
      </c>
      <c r="E4800" s="7" t="n">
        <v>0</v>
      </c>
      <c r="F4800" s="7" t="n">
        <v>1</v>
      </c>
      <c r="G4800" s="7" t="n">
        <v>23.45</v>
      </c>
    </row>
    <row r="4801" customFormat="false" ht="15" hidden="false" customHeight="false" outlineLevel="0" collapsed="false">
      <c r="A4801" s="7" t="s">
        <v>24</v>
      </c>
      <c r="B4801" s="7" t="s">
        <v>459</v>
      </c>
      <c r="C4801" s="7" t="s">
        <v>1257</v>
      </c>
      <c r="D4801" s="7" t="n">
        <v>0</v>
      </c>
      <c r="E4801" s="7" t="n">
        <v>0</v>
      </c>
      <c r="F4801" s="7" t="n">
        <v>1</v>
      </c>
      <c r="G4801" s="7" t="n">
        <v>28.14</v>
      </c>
    </row>
    <row r="4802" customFormat="false" ht="15" hidden="false" customHeight="false" outlineLevel="0" collapsed="false">
      <c r="A4802" s="7" t="s">
        <v>24</v>
      </c>
      <c r="B4802" s="7" t="s">
        <v>459</v>
      </c>
      <c r="C4802" s="7" t="s">
        <v>1257</v>
      </c>
      <c r="D4802" s="7" t="n">
        <v>0</v>
      </c>
      <c r="E4802" s="7" t="n">
        <v>0</v>
      </c>
      <c r="F4802" s="7" t="n">
        <v>1</v>
      </c>
      <c r="G4802" s="7" t="n">
        <v>26.59</v>
      </c>
    </row>
    <row r="4803" customFormat="false" ht="15" hidden="false" customHeight="false" outlineLevel="0" collapsed="false">
      <c r="A4803" s="7" t="s">
        <v>24</v>
      </c>
      <c r="B4803" s="7" t="s">
        <v>459</v>
      </c>
      <c r="C4803" s="7" t="s">
        <v>1257</v>
      </c>
      <c r="D4803" s="7" t="n">
        <v>0</v>
      </c>
      <c r="E4803" s="7" t="n">
        <v>0</v>
      </c>
      <c r="F4803" s="7" t="n">
        <v>1</v>
      </c>
      <c r="G4803" s="7" t="n">
        <v>26.59</v>
      </c>
    </row>
    <row r="4804" customFormat="false" ht="15" hidden="false" customHeight="false" outlineLevel="0" collapsed="false">
      <c r="A4804" s="7" t="s">
        <v>24</v>
      </c>
      <c r="B4804" s="7" t="s">
        <v>459</v>
      </c>
      <c r="C4804" s="7" t="s">
        <v>1257</v>
      </c>
      <c r="D4804" s="7" t="n">
        <v>0</v>
      </c>
      <c r="E4804" s="7" t="n">
        <v>0</v>
      </c>
      <c r="F4804" s="7" t="n">
        <v>2</v>
      </c>
      <c r="G4804" s="7" t="n">
        <v>53.17</v>
      </c>
    </row>
    <row r="4805" customFormat="false" ht="15" hidden="false" customHeight="false" outlineLevel="0" collapsed="false">
      <c r="A4805" s="7" t="s">
        <v>24</v>
      </c>
      <c r="B4805" s="7" t="s">
        <v>459</v>
      </c>
      <c r="C4805" s="7" t="s">
        <v>1257</v>
      </c>
      <c r="D4805" s="7" t="n">
        <v>0</v>
      </c>
      <c r="E4805" s="7" t="n">
        <v>0</v>
      </c>
      <c r="F4805" s="7" t="n">
        <v>1</v>
      </c>
      <c r="G4805" s="7" t="n">
        <v>26.59</v>
      </c>
    </row>
    <row r="4806" customFormat="false" ht="15" hidden="false" customHeight="false" outlineLevel="0" collapsed="false">
      <c r="A4806" s="7" t="s">
        <v>24</v>
      </c>
      <c r="B4806" s="7" t="s">
        <v>459</v>
      </c>
      <c r="C4806" s="7" t="s">
        <v>1257</v>
      </c>
      <c r="D4806" s="7" t="n">
        <v>0</v>
      </c>
      <c r="E4806" s="7" t="n">
        <v>0</v>
      </c>
      <c r="F4806" s="7" t="n">
        <v>8</v>
      </c>
      <c r="G4806" s="7" t="n">
        <v>187.66</v>
      </c>
    </row>
    <row r="4807" customFormat="false" ht="15" hidden="false" customHeight="false" outlineLevel="0" collapsed="false">
      <c r="A4807" s="7" t="s">
        <v>24</v>
      </c>
      <c r="B4807" s="7" t="s">
        <v>459</v>
      </c>
      <c r="C4807" s="7" t="s">
        <v>1257</v>
      </c>
      <c r="D4807" s="7" t="n">
        <v>0</v>
      </c>
      <c r="E4807" s="7" t="n">
        <v>0</v>
      </c>
      <c r="F4807" s="7" t="n">
        <v>1</v>
      </c>
      <c r="G4807" s="7" t="n">
        <v>23.46</v>
      </c>
    </row>
    <row r="4808" customFormat="false" ht="15" hidden="false" customHeight="false" outlineLevel="0" collapsed="false">
      <c r="A4808" s="7" t="s">
        <v>24</v>
      </c>
      <c r="B4808" s="7" t="s">
        <v>459</v>
      </c>
      <c r="C4808" s="7" t="s">
        <v>1257</v>
      </c>
      <c r="D4808" s="7" t="n">
        <v>0</v>
      </c>
      <c r="E4808" s="7" t="n">
        <v>0</v>
      </c>
      <c r="F4808" s="7" t="n">
        <v>1</v>
      </c>
      <c r="G4808" s="7" t="n">
        <v>26.59</v>
      </c>
    </row>
    <row r="4809" customFormat="false" ht="15" hidden="false" customHeight="false" outlineLevel="0" collapsed="false">
      <c r="A4809" s="7" t="s">
        <v>24</v>
      </c>
      <c r="B4809" s="7" t="s">
        <v>459</v>
      </c>
      <c r="C4809" s="7" t="s">
        <v>1257</v>
      </c>
      <c r="D4809" s="7" t="n">
        <v>0</v>
      </c>
      <c r="E4809" s="7" t="n">
        <v>0</v>
      </c>
      <c r="F4809" s="7" t="n">
        <v>1</v>
      </c>
      <c r="G4809" s="7" t="n">
        <v>23.46</v>
      </c>
    </row>
    <row r="4810" customFormat="false" ht="15" hidden="false" customHeight="false" outlineLevel="0" collapsed="false">
      <c r="A4810" s="7" t="s">
        <v>24</v>
      </c>
      <c r="B4810" s="7" t="s">
        <v>459</v>
      </c>
      <c r="C4810" s="7" t="s">
        <v>1257</v>
      </c>
      <c r="D4810" s="7" t="n">
        <v>1</v>
      </c>
      <c r="E4810" s="7" t="n">
        <v>30.42</v>
      </c>
      <c r="F4810" s="7" t="n">
        <v>0</v>
      </c>
      <c r="G4810" s="7" t="n">
        <v>0</v>
      </c>
    </row>
    <row r="4811" customFormat="false" ht="15" hidden="false" customHeight="false" outlineLevel="0" collapsed="false">
      <c r="A4811" s="7" t="s">
        <v>24</v>
      </c>
      <c r="B4811" s="7" t="s">
        <v>774</v>
      </c>
      <c r="C4811" s="7" t="s">
        <v>1258</v>
      </c>
      <c r="D4811" s="7" t="n">
        <v>0</v>
      </c>
      <c r="E4811" s="7" t="n">
        <v>0</v>
      </c>
      <c r="F4811" s="7" t="n">
        <v>1</v>
      </c>
      <c r="G4811" s="7" t="n">
        <v>26.59</v>
      </c>
    </row>
    <row r="4812" customFormat="false" ht="15" hidden="false" customHeight="false" outlineLevel="0" collapsed="false">
      <c r="A4812" s="7" t="s">
        <v>24</v>
      </c>
      <c r="B4812" s="7" t="s">
        <v>774</v>
      </c>
      <c r="C4812" s="7" t="s">
        <v>1258</v>
      </c>
      <c r="D4812" s="7" t="n">
        <v>0</v>
      </c>
      <c r="E4812" s="7" t="n">
        <v>0</v>
      </c>
      <c r="F4812" s="7" t="n">
        <v>1</v>
      </c>
      <c r="G4812" s="7" t="n">
        <v>31.28</v>
      </c>
    </row>
    <row r="4813" customFormat="false" ht="15" hidden="false" customHeight="false" outlineLevel="0" collapsed="false">
      <c r="A4813" s="7" t="s">
        <v>24</v>
      </c>
      <c r="B4813" s="7" t="s">
        <v>774</v>
      </c>
      <c r="C4813" s="7" t="s">
        <v>1258</v>
      </c>
      <c r="D4813" s="7" t="n">
        <v>0</v>
      </c>
      <c r="E4813" s="7" t="n">
        <v>0</v>
      </c>
      <c r="F4813" s="7" t="n">
        <v>1</v>
      </c>
      <c r="G4813" s="7" t="n">
        <v>31.27</v>
      </c>
    </row>
    <row r="4814" customFormat="false" ht="15" hidden="false" customHeight="false" outlineLevel="0" collapsed="false">
      <c r="A4814" s="7" t="s">
        <v>24</v>
      </c>
      <c r="B4814" s="7" t="s">
        <v>774</v>
      </c>
      <c r="C4814" s="7" t="s">
        <v>1258</v>
      </c>
      <c r="D4814" s="7" t="n">
        <v>0</v>
      </c>
      <c r="E4814" s="7" t="n">
        <v>0</v>
      </c>
      <c r="F4814" s="7" t="n">
        <v>1</v>
      </c>
      <c r="G4814" s="7" t="n">
        <v>31.27</v>
      </c>
    </row>
    <row r="4815" customFormat="false" ht="15" hidden="false" customHeight="false" outlineLevel="0" collapsed="false">
      <c r="A4815" s="7" t="s">
        <v>24</v>
      </c>
      <c r="B4815" s="7" t="s">
        <v>774</v>
      </c>
      <c r="C4815" s="7" t="s">
        <v>1258</v>
      </c>
      <c r="D4815" s="7" t="n">
        <v>0</v>
      </c>
      <c r="E4815" s="7" t="n">
        <v>0</v>
      </c>
      <c r="F4815" s="7" t="n">
        <v>1</v>
      </c>
      <c r="G4815" s="7" t="n">
        <v>31.27</v>
      </c>
    </row>
    <row r="4816" customFormat="false" ht="15" hidden="false" customHeight="false" outlineLevel="0" collapsed="false">
      <c r="A4816" s="7" t="s">
        <v>24</v>
      </c>
      <c r="B4816" s="7" t="s">
        <v>774</v>
      </c>
      <c r="C4816" s="7" t="s">
        <v>1258</v>
      </c>
      <c r="D4816" s="7" t="n">
        <v>26</v>
      </c>
      <c r="E4816" s="7" t="n">
        <v>708.26</v>
      </c>
      <c r="F4816" s="7" t="n">
        <v>11</v>
      </c>
      <c r="G4816" s="7" t="n">
        <v>301.75</v>
      </c>
    </row>
    <row r="4817" customFormat="false" ht="15" hidden="false" customHeight="false" outlineLevel="0" collapsed="false">
      <c r="A4817" s="7" t="s">
        <v>24</v>
      </c>
      <c r="B4817" s="7" t="s">
        <v>774</v>
      </c>
      <c r="C4817" s="7" t="s">
        <v>1258</v>
      </c>
      <c r="D4817" s="7" t="n">
        <v>0</v>
      </c>
      <c r="E4817" s="7" t="n">
        <v>0</v>
      </c>
      <c r="F4817" s="7" t="n">
        <v>5</v>
      </c>
      <c r="G4817" s="7" t="n">
        <v>117.29</v>
      </c>
    </row>
    <row r="4818" customFormat="false" ht="15" hidden="false" customHeight="false" outlineLevel="0" collapsed="false">
      <c r="A4818" s="7" t="s">
        <v>24</v>
      </c>
      <c r="B4818" s="7" t="s">
        <v>774</v>
      </c>
      <c r="C4818" s="7" t="s">
        <v>1258</v>
      </c>
      <c r="D4818" s="7" t="n">
        <v>0</v>
      </c>
      <c r="E4818" s="7" t="n">
        <v>0</v>
      </c>
      <c r="F4818" s="7" t="n">
        <v>1</v>
      </c>
      <c r="G4818" s="7" t="n">
        <v>26.59</v>
      </c>
    </row>
    <row r="4819" customFormat="false" ht="15" hidden="false" customHeight="false" outlineLevel="0" collapsed="false">
      <c r="A4819" s="7" t="s">
        <v>24</v>
      </c>
      <c r="B4819" s="7" t="s">
        <v>774</v>
      </c>
      <c r="C4819" s="7" t="s">
        <v>1258</v>
      </c>
      <c r="D4819" s="7" t="n">
        <v>0</v>
      </c>
      <c r="E4819" s="7" t="n">
        <v>0</v>
      </c>
      <c r="F4819" s="7" t="n">
        <v>1</v>
      </c>
      <c r="G4819" s="7" t="n">
        <v>31.27</v>
      </c>
    </row>
    <row r="4820" customFormat="false" ht="15" hidden="false" customHeight="false" outlineLevel="0" collapsed="false">
      <c r="A4820" s="7" t="s">
        <v>24</v>
      </c>
      <c r="B4820" s="7" t="s">
        <v>774</v>
      </c>
      <c r="C4820" s="7" t="s">
        <v>1258</v>
      </c>
      <c r="D4820" s="7" t="n">
        <v>0</v>
      </c>
      <c r="E4820" s="7" t="n">
        <v>0</v>
      </c>
      <c r="F4820" s="7" t="n">
        <v>1</v>
      </c>
      <c r="G4820" s="7" t="n">
        <v>25.02</v>
      </c>
    </row>
    <row r="4821" customFormat="false" ht="15" hidden="false" customHeight="false" outlineLevel="0" collapsed="false">
      <c r="A4821" s="7" t="s">
        <v>24</v>
      </c>
      <c r="B4821" s="7" t="s">
        <v>774</v>
      </c>
      <c r="C4821" s="7" t="s">
        <v>1258</v>
      </c>
      <c r="D4821" s="7" t="n">
        <v>5</v>
      </c>
      <c r="E4821" s="7" t="n">
        <v>142.98</v>
      </c>
      <c r="F4821" s="7" t="n">
        <v>0</v>
      </c>
      <c r="G4821" s="7" t="n">
        <v>0</v>
      </c>
    </row>
    <row r="4822" customFormat="false" ht="15" hidden="false" customHeight="false" outlineLevel="0" collapsed="false">
      <c r="A4822" s="7" t="s">
        <v>24</v>
      </c>
      <c r="B4822" s="7" t="s">
        <v>774</v>
      </c>
      <c r="C4822" s="7" t="s">
        <v>1258</v>
      </c>
      <c r="D4822" s="7" t="n">
        <v>0</v>
      </c>
      <c r="E4822" s="7" t="n">
        <v>0</v>
      </c>
      <c r="F4822" s="7" t="n">
        <v>2</v>
      </c>
      <c r="G4822" s="7" t="n">
        <v>53.16</v>
      </c>
    </row>
    <row r="4823" customFormat="false" ht="15" hidden="false" customHeight="false" outlineLevel="0" collapsed="false">
      <c r="A4823" s="7" t="s">
        <v>24</v>
      </c>
      <c r="B4823" s="7" t="s">
        <v>774</v>
      </c>
      <c r="C4823" s="7" t="s">
        <v>1258</v>
      </c>
      <c r="D4823" s="7" t="n">
        <v>0</v>
      </c>
      <c r="E4823" s="7" t="n">
        <v>0</v>
      </c>
      <c r="F4823" s="7" t="n">
        <v>1</v>
      </c>
      <c r="G4823" s="7" t="n">
        <v>31.26</v>
      </c>
    </row>
    <row r="4824" customFormat="false" ht="15" hidden="false" customHeight="false" outlineLevel="0" collapsed="false">
      <c r="A4824" s="7" t="s">
        <v>24</v>
      </c>
      <c r="B4824" s="7" t="s">
        <v>774</v>
      </c>
      <c r="C4824" s="7" t="s">
        <v>1258</v>
      </c>
      <c r="D4824" s="7" t="n">
        <v>0</v>
      </c>
      <c r="E4824" s="7" t="n">
        <v>0</v>
      </c>
      <c r="F4824" s="7" t="n">
        <v>1</v>
      </c>
      <c r="G4824" s="7" t="n">
        <v>28.15</v>
      </c>
    </row>
    <row r="4825" customFormat="false" ht="15" hidden="false" customHeight="false" outlineLevel="0" collapsed="false">
      <c r="A4825" s="7" t="s">
        <v>24</v>
      </c>
      <c r="B4825" s="7" t="s">
        <v>774</v>
      </c>
      <c r="C4825" s="7" t="s">
        <v>1258</v>
      </c>
      <c r="D4825" s="7" t="n">
        <v>0</v>
      </c>
      <c r="E4825" s="7" t="n">
        <v>0</v>
      </c>
      <c r="F4825" s="7" t="n">
        <v>1</v>
      </c>
      <c r="G4825" s="7" t="n">
        <v>28.14</v>
      </c>
    </row>
    <row r="4826" customFormat="false" ht="15" hidden="false" customHeight="false" outlineLevel="0" collapsed="false">
      <c r="A4826" s="7" t="s">
        <v>24</v>
      </c>
      <c r="B4826" s="7" t="s">
        <v>774</v>
      </c>
      <c r="C4826" s="7" t="s">
        <v>1258</v>
      </c>
      <c r="D4826" s="7" t="n">
        <v>0</v>
      </c>
      <c r="E4826" s="7" t="n">
        <v>0</v>
      </c>
      <c r="F4826" s="7" t="n">
        <v>1</v>
      </c>
      <c r="G4826" s="7" t="n">
        <v>31.26</v>
      </c>
    </row>
    <row r="4827" customFormat="false" ht="15" hidden="false" customHeight="false" outlineLevel="0" collapsed="false">
      <c r="A4827" s="7" t="s">
        <v>24</v>
      </c>
      <c r="B4827" s="7" t="s">
        <v>398</v>
      </c>
      <c r="C4827" s="7" t="s">
        <v>1259</v>
      </c>
      <c r="D4827" s="7" t="n">
        <v>0</v>
      </c>
      <c r="E4827" s="7" t="n">
        <v>0</v>
      </c>
      <c r="F4827" s="7" t="n">
        <v>1</v>
      </c>
      <c r="G4827" s="7" t="n">
        <v>28.14</v>
      </c>
    </row>
    <row r="4828" customFormat="false" ht="15" hidden="false" customHeight="false" outlineLevel="0" collapsed="false">
      <c r="A4828" s="7" t="s">
        <v>24</v>
      </c>
      <c r="B4828" s="7" t="s">
        <v>398</v>
      </c>
      <c r="C4828" s="7" t="s">
        <v>1259</v>
      </c>
      <c r="D4828" s="7" t="n">
        <v>0</v>
      </c>
      <c r="E4828" s="7" t="n">
        <v>0</v>
      </c>
      <c r="F4828" s="7" t="n">
        <v>1</v>
      </c>
      <c r="G4828" s="7" t="n">
        <v>26.58</v>
      </c>
    </row>
    <row r="4829" customFormat="false" ht="15" hidden="false" customHeight="false" outlineLevel="0" collapsed="false">
      <c r="A4829" s="7" t="s">
        <v>24</v>
      </c>
      <c r="B4829" s="7" t="s">
        <v>398</v>
      </c>
      <c r="C4829" s="7" t="s">
        <v>1259</v>
      </c>
      <c r="D4829" s="7" t="n">
        <v>0</v>
      </c>
      <c r="E4829" s="7" t="n">
        <v>0</v>
      </c>
      <c r="F4829" s="7" t="n">
        <v>1</v>
      </c>
      <c r="G4829" s="7" t="n">
        <v>23.46</v>
      </c>
    </row>
    <row r="4830" customFormat="false" ht="15" hidden="false" customHeight="false" outlineLevel="0" collapsed="false">
      <c r="A4830" s="7" t="s">
        <v>24</v>
      </c>
      <c r="B4830" s="7" t="s">
        <v>398</v>
      </c>
      <c r="C4830" s="7" t="s">
        <v>1259</v>
      </c>
      <c r="D4830" s="7" t="n">
        <v>25</v>
      </c>
      <c r="E4830" s="7" t="n">
        <v>625.4</v>
      </c>
      <c r="F4830" s="7" t="n">
        <v>31</v>
      </c>
      <c r="G4830" s="7" t="n">
        <v>875.56</v>
      </c>
    </row>
    <row r="4831" customFormat="false" ht="15" hidden="false" customHeight="false" outlineLevel="0" collapsed="false">
      <c r="A4831" s="7" t="s">
        <v>24</v>
      </c>
      <c r="B4831" s="7" t="s">
        <v>398</v>
      </c>
      <c r="C4831" s="7" t="s">
        <v>1259</v>
      </c>
      <c r="D4831" s="7" t="n">
        <v>0</v>
      </c>
      <c r="E4831" s="7" t="n">
        <v>0</v>
      </c>
      <c r="F4831" s="7" t="n">
        <v>1</v>
      </c>
      <c r="G4831" s="7" t="n">
        <v>26.59</v>
      </c>
    </row>
    <row r="4832" customFormat="false" ht="15" hidden="false" customHeight="false" outlineLevel="0" collapsed="false">
      <c r="A4832" s="7" t="s">
        <v>24</v>
      </c>
      <c r="B4832" s="7" t="s">
        <v>398</v>
      </c>
      <c r="C4832" s="7" t="s">
        <v>1259</v>
      </c>
      <c r="D4832" s="7" t="n">
        <v>0</v>
      </c>
      <c r="E4832" s="7" t="n">
        <v>0</v>
      </c>
      <c r="F4832" s="7" t="n">
        <v>2</v>
      </c>
      <c r="G4832" s="7" t="n">
        <v>53.17</v>
      </c>
    </row>
    <row r="4833" customFormat="false" ht="15" hidden="false" customHeight="false" outlineLevel="0" collapsed="false">
      <c r="A4833" s="7" t="s">
        <v>24</v>
      </c>
      <c r="B4833" s="7" t="s">
        <v>398</v>
      </c>
      <c r="C4833" s="7" t="s">
        <v>1259</v>
      </c>
      <c r="D4833" s="7" t="n">
        <v>0</v>
      </c>
      <c r="E4833" s="7" t="n">
        <v>0</v>
      </c>
      <c r="F4833" s="7" t="n">
        <v>1</v>
      </c>
      <c r="G4833" s="7" t="n">
        <v>31.27</v>
      </c>
    </row>
    <row r="4834" customFormat="false" ht="15" hidden="false" customHeight="false" outlineLevel="0" collapsed="false">
      <c r="A4834" s="7" t="s">
        <v>24</v>
      </c>
      <c r="B4834" s="7" t="s">
        <v>398</v>
      </c>
      <c r="C4834" s="7" t="s">
        <v>1259</v>
      </c>
      <c r="D4834" s="7" t="n">
        <v>0</v>
      </c>
      <c r="E4834" s="7" t="n">
        <v>0</v>
      </c>
      <c r="F4834" s="7" t="n">
        <v>2</v>
      </c>
      <c r="G4834" s="7" t="n">
        <v>62.54</v>
      </c>
    </row>
    <row r="4835" customFormat="false" ht="15" hidden="false" customHeight="false" outlineLevel="0" collapsed="false">
      <c r="A4835" s="7" t="s">
        <v>24</v>
      </c>
      <c r="B4835" s="7" t="s">
        <v>398</v>
      </c>
      <c r="C4835" s="7" t="s">
        <v>1259</v>
      </c>
      <c r="D4835" s="7" t="n">
        <v>0</v>
      </c>
      <c r="E4835" s="7" t="n">
        <v>0</v>
      </c>
      <c r="F4835" s="7" t="n">
        <v>1</v>
      </c>
      <c r="G4835" s="7" t="n">
        <v>28.14</v>
      </c>
    </row>
    <row r="4836" customFormat="false" ht="15" hidden="false" customHeight="false" outlineLevel="0" collapsed="false">
      <c r="A4836" s="7" t="s">
        <v>24</v>
      </c>
      <c r="B4836" s="7" t="s">
        <v>398</v>
      </c>
      <c r="C4836" s="7" t="s">
        <v>1259</v>
      </c>
      <c r="D4836" s="7" t="n">
        <v>0</v>
      </c>
      <c r="E4836" s="7" t="n">
        <v>0</v>
      </c>
      <c r="F4836" s="7" t="n">
        <v>2</v>
      </c>
      <c r="G4836" s="7" t="n">
        <v>46.92</v>
      </c>
    </row>
    <row r="4837" customFormat="false" ht="15" hidden="false" customHeight="false" outlineLevel="0" collapsed="false">
      <c r="A4837" s="7" t="s">
        <v>24</v>
      </c>
      <c r="B4837" s="7" t="s">
        <v>398</v>
      </c>
      <c r="C4837" s="7" t="s">
        <v>1259</v>
      </c>
      <c r="D4837" s="7" t="n">
        <v>0</v>
      </c>
      <c r="E4837" s="7" t="n">
        <v>0</v>
      </c>
      <c r="F4837" s="7" t="n">
        <v>1</v>
      </c>
      <c r="G4837" s="7" t="n">
        <v>31.28</v>
      </c>
    </row>
    <row r="4838" customFormat="false" ht="15" hidden="false" customHeight="false" outlineLevel="0" collapsed="false">
      <c r="A4838" s="7" t="s">
        <v>24</v>
      </c>
      <c r="B4838" s="7" t="s">
        <v>398</v>
      </c>
      <c r="C4838" s="7" t="s">
        <v>1259</v>
      </c>
      <c r="D4838" s="7" t="n">
        <v>0</v>
      </c>
      <c r="E4838" s="7" t="n">
        <v>0</v>
      </c>
      <c r="F4838" s="7" t="n">
        <v>1</v>
      </c>
      <c r="G4838" s="7" t="n">
        <v>31.27</v>
      </c>
    </row>
    <row r="4839" customFormat="false" ht="15" hidden="false" customHeight="false" outlineLevel="0" collapsed="false">
      <c r="A4839" s="7" t="s">
        <v>24</v>
      </c>
      <c r="B4839" s="7" t="s">
        <v>398</v>
      </c>
      <c r="C4839" s="7" t="s">
        <v>1259</v>
      </c>
      <c r="D4839" s="7" t="n">
        <v>4</v>
      </c>
      <c r="E4839" s="7" t="n">
        <v>117.12</v>
      </c>
      <c r="F4839" s="7" t="n">
        <v>0</v>
      </c>
      <c r="G4839" s="7" t="n">
        <v>0</v>
      </c>
    </row>
    <row r="4840" customFormat="false" ht="15" hidden="false" customHeight="false" outlineLevel="0" collapsed="false">
      <c r="A4840" s="7" t="s">
        <v>24</v>
      </c>
      <c r="B4840" s="7" t="s">
        <v>398</v>
      </c>
      <c r="C4840" s="7" t="s">
        <v>1259</v>
      </c>
      <c r="D4840" s="7" t="n">
        <v>0</v>
      </c>
      <c r="E4840" s="7" t="n">
        <v>0</v>
      </c>
      <c r="F4840" s="7" t="n">
        <v>1</v>
      </c>
      <c r="G4840" s="7" t="n">
        <v>28.14</v>
      </c>
    </row>
    <row r="4841" customFormat="false" ht="15" hidden="false" customHeight="false" outlineLevel="0" collapsed="false">
      <c r="A4841" s="7" t="s">
        <v>24</v>
      </c>
      <c r="B4841" s="7" t="s">
        <v>275</v>
      </c>
      <c r="C4841" s="7" t="s">
        <v>1260</v>
      </c>
      <c r="D4841" s="7" t="n">
        <v>0</v>
      </c>
      <c r="E4841" s="7" t="n">
        <v>0</v>
      </c>
      <c r="F4841" s="7" t="n">
        <v>1</v>
      </c>
      <c r="G4841" s="7" t="n">
        <v>26.59</v>
      </c>
    </row>
    <row r="4842" customFormat="false" ht="15" hidden="false" customHeight="false" outlineLevel="0" collapsed="false">
      <c r="A4842" s="7" t="s">
        <v>24</v>
      </c>
      <c r="B4842" s="7" t="s">
        <v>275</v>
      </c>
      <c r="C4842" s="7" t="s">
        <v>1260</v>
      </c>
      <c r="D4842" s="7" t="n">
        <v>0</v>
      </c>
      <c r="E4842" s="7" t="n">
        <v>0</v>
      </c>
      <c r="F4842" s="7" t="n">
        <v>11</v>
      </c>
      <c r="G4842" s="7" t="n">
        <v>258.03</v>
      </c>
    </row>
    <row r="4843" customFormat="false" ht="15" hidden="false" customHeight="false" outlineLevel="0" collapsed="false">
      <c r="A4843" s="7" t="s">
        <v>24</v>
      </c>
      <c r="B4843" s="7" t="s">
        <v>275</v>
      </c>
      <c r="C4843" s="7" t="s">
        <v>1260</v>
      </c>
      <c r="D4843" s="7" t="n">
        <v>0</v>
      </c>
      <c r="E4843" s="7" t="n">
        <v>0</v>
      </c>
      <c r="F4843" s="7" t="n">
        <v>2</v>
      </c>
      <c r="G4843" s="7" t="n">
        <v>54.74</v>
      </c>
    </row>
    <row r="4844" customFormat="false" ht="15" hidden="false" customHeight="false" outlineLevel="0" collapsed="false">
      <c r="A4844" s="7" t="s">
        <v>24</v>
      </c>
      <c r="B4844" s="7" t="s">
        <v>275</v>
      </c>
      <c r="C4844" s="7" t="s">
        <v>1260</v>
      </c>
      <c r="D4844" s="7" t="n">
        <v>4</v>
      </c>
      <c r="E4844" s="7" t="n">
        <v>121.68</v>
      </c>
      <c r="F4844" s="7" t="n">
        <v>0</v>
      </c>
      <c r="G4844" s="7" t="n">
        <v>0</v>
      </c>
    </row>
    <row r="4845" customFormat="false" ht="15" hidden="false" customHeight="false" outlineLevel="0" collapsed="false">
      <c r="A4845" s="7" t="s">
        <v>24</v>
      </c>
      <c r="B4845" s="7" t="s">
        <v>275</v>
      </c>
      <c r="C4845" s="7" t="s">
        <v>1260</v>
      </c>
      <c r="D4845" s="7" t="n">
        <v>17</v>
      </c>
      <c r="E4845" s="7" t="n">
        <v>437.78</v>
      </c>
      <c r="F4845" s="7" t="n">
        <v>16</v>
      </c>
      <c r="G4845" s="7" t="n">
        <v>392.44</v>
      </c>
    </row>
    <row r="4846" customFormat="false" ht="15" hidden="false" customHeight="false" outlineLevel="0" collapsed="false">
      <c r="A4846" s="7" t="s">
        <v>24</v>
      </c>
      <c r="B4846" s="7" t="s">
        <v>275</v>
      </c>
      <c r="C4846" s="7" t="s">
        <v>1260</v>
      </c>
      <c r="D4846" s="7" t="n">
        <v>0</v>
      </c>
      <c r="E4846" s="7" t="n">
        <v>0</v>
      </c>
      <c r="F4846" s="7" t="n">
        <v>1</v>
      </c>
      <c r="G4846" s="7" t="n">
        <v>28.15</v>
      </c>
    </row>
    <row r="4847" customFormat="false" ht="15" hidden="false" customHeight="false" outlineLevel="0" collapsed="false">
      <c r="A4847" s="7" t="s">
        <v>24</v>
      </c>
      <c r="B4847" s="7" t="s">
        <v>275</v>
      </c>
      <c r="C4847" s="7" t="s">
        <v>1260</v>
      </c>
      <c r="D4847" s="7" t="n">
        <v>0</v>
      </c>
      <c r="E4847" s="7" t="n">
        <v>0</v>
      </c>
      <c r="F4847" s="7" t="n">
        <v>3</v>
      </c>
      <c r="G4847" s="7" t="n">
        <v>70.38</v>
      </c>
    </row>
    <row r="4848" customFormat="false" ht="15" hidden="false" customHeight="false" outlineLevel="0" collapsed="false">
      <c r="A4848" s="7" t="s">
        <v>24</v>
      </c>
      <c r="B4848" s="7" t="s">
        <v>275</v>
      </c>
      <c r="C4848" s="7" t="s">
        <v>1260</v>
      </c>
      <c r="D4848" s="7" t="n">
        <v>0</v>
      </c>
      <c r="E4848" s="7" t="n">
        <v>0</v>
      </c>
      <c r="F4848" s="7" t="n">
        <v>2</v>
      </c>
      <c r="G4848" s="7" t="n">
        <v>53.17</v>
      </c>
    </row>
    <row r="4849" customFormat="false" ht="15" hidden="false" customHeight="false" outlineLevel="0" collapsed="false">
      <c r="A4849" s="7" t="s">
        <v>24</v>
      </c>
      <c r="B4849" s="7" t="s">
        <v>275</v>
      </c>
      <c r="C4849" s="7" t="s">
        <v>1260</v>
      </c>
      <c r="D4849" s="7" t="n">
        <v>0</v>
      </c>
      <c r="E4849" s="7" t="n">
        <v>0</v>
      </c>
      <c r="F4849" s="7" t="n">
        <v>1</v>
      </c>
      <c r="G4849" s="7" t="n">
        <v>31.28</v>
      </c>
    </row>
    <row r="4850" customFormat="false" ht="15" hidden="false" customHeight="false" outlineLevel="0" collapsed="false">
      <c r="A4850" s="7" t="s">
        <v>24</v>
      </c>
      <c r="B4850" s="7" t="s">
        <v>275</v>
      </c>
      <c r="C4850" s="7" t="s">
        <v>1260</v>
      </c>
      <c r="D4850" s="7" t="n">
        <v>0</v>
      </c>
      <c r="E4850" s="7" t="n">
        <v>0</v>
      </c>
      <c r="F4850" s="7" t="n">
        <v>18</v>
      </c>
      <c r="G4850" s="7" t="n">
        <v>562.88</v>
      </c>
    </row>
    <row r="4851" customFormat="false" ht="15" hidden="false" customHeight="false" outlineLevel="0" collapsed="false">
      <c r="A4851" s="7" t="s">
        <v>24</v>
      </c>
      <c r="B4851" s="7" t="s">
        <v>275</v>
      </c>
      <c r="C4851" s="7" t="s">
        <v>1260</v>
      </c>
      <c r="D4851" s="7" t="n">
        <v>0</v>
      </c>
      <c r="E4851" s="7" t="n">
        <v>0</v>
      </c>
      <c r="F4851" s="7" t="n">
        <v>2</v>
      </c>
      <c r="G4851" s="7" t="n">
        <v>46.91</v>
      </c>
    </row>
    <row r="4852" customFormat="false" ht="15" hidden="false" customHeight="false" outlineLevel="0" collapsed="false">
      <c r="A4852" s="7" t="s">
        <v>24</v>
      </c>
      <c r="B4852" s="7" t="s">
        <v>275</v>
      </c>
      <c r="C4852" s="7" t="s">
        <v>1260</v>
      </c>
      <c r="D4852" s="7" t="n">
        <v>0</v>
      </c>
      <c r="E4852" s="7" t="n">
        <v>0</v>
      </c>
      <c r="F4852" s="7" t="n">
        <v>4</v>
      </c>
      <c r="G4852" s="7" t="n">
        <v>93.83</v>
      </c>
    </row>
    <row r="4853" customFormat="false" ht="15" hidden="false" customHeight="false" outlineLevel="0" collapsed="false">
      <c r="A4853" s="7" t="s">
        <v>24</v>
      </c>
      <c r="B4853" s="7" t="s">
        <v>374</v>
      </c>
      <c r="C4853" s="7" t="s">
        <v>1261</v>
      </c>
      <c r="D4853" s="7" t="n">
        <v>0</v>
      </c>
      <c r="E4853" s="7" t="n">
        <v>0</v>
      </c>
      <c r="F4853" s="7" t="n">
        <v>3</v>
      </c>
      <c r="G4853" s="7" t="n">
        <v>79.75</v>
      </c>
    </row>
    <row r="4854" customFormat="false" ht="15" hidden="false" customHeight="false" outlineLevel="0" collapsed="false">
      <c r="A4854" s="7" t="s">
        <v>24</v>
      </c>
      <c r="B4854" s="7" t="s">
        <v>374</v>
      </c>
      <c r="C4854" s="7" t="s">
        <v>1261</v>
      </c>
      <c r="D4854" s="7" t="n">
        <v>0</v>
      </c>
      <c r="E4854" s="7" t="n">
        <v>0</v>
      </c>
      <c r="F4854" s="7" t="n">
        <v>1</v>
      </c>
      <c r="G4854" s="7" t="n">
        <v>28.15</v>
      </c>
    </row>
    <row r="4855" customFormat="false" ht="15" hidden="false" customHeight="false" outlineLevel="0" collapsed="false">
      <c r="A4855" s="7" t="s">
        <v>24</v>
      </c>
      <c r="B4855" s="7" t="s">
        <v>374</v>
      </c>
      <c r="C4855" s="7" t="s">
        <v>1261</v>
      </c>
      <c r="D4855" s="7" t="n">
        <v>0</v>
      </c>
      <c r="E4855" s="7" t="n">
        <v>0</v>
      </c>
      <c r="F4855" s="7" t="n">
        <v>1</v>
      </c>
      <c r="G4855" s="7" t="n">
        <v>26.59</v>
      </c>
    </row>
    <row r="4856" customFormat="false" ht="15" hidden="false" customHeight="false" outlineLevel="0" collapsed="false">
      <c r="A4856" s="7" t="s">
        <v>24</v>
      </c>
      <c r="B4856" s="7" t="s">
        <v>374</v>
      </c>
      <c r="C4856" s="7" t="s">
        <v>1261</v>
      </c>
      <c r="D4856" s="7" t="n">
        <v>3</v>
      </c>
      <c r="E4856" s="7" t="n">
        <v>77.57</v>
      </c>
      <c r="F4856" s="7" t="n">
        <v>0</v>
      </c>
      <c r="G4856" s="7" t="n">
        <v>0</v>
      </c>
    </row>
    <row r="4857" customFormat="false" ht="15" hidden="false" customHeight="false" outlineLevel="0" collapsed="false">
      <c r="A4857" s="7" t="s">
        <v>24</v>
      </c>
      <c r="B4857" s="7" t="s">
        <v>374</v>
      </c>
      <c r="C4857" s="7" t="s">
        <v>1261</v>
      </c>
      <c r="D4857" s="7" t="n">
        <v>0</v>
      </c>
      <c r="E4857" s="7" t="n">
        <v>0</v>
      </c>
      <c r="F4857" s="7" t="n">
        <v>1</v>
      </c>
      <c r="G4857" s="7" t="n">
        <v>31.27</v>
      </c>
    </row>
    <row r="4858" customFormat="false" ht="15" hidden="false" customHeight="false" outlineLevel="0" collapsed="false">
      <c r="A4858" s="7" t="s">
        <v>24</v>
      </c>
      <c r="B4858" s="7" t="s">
        <v>374</v>
      </c>
      <c r="C4858" s="7" t="s">
        <v>1261</v>
      </c>
      <c r="D4858" s="7" t="n">
        <v>0</v>
      </c>
      <c r="E4858" s="7" t="n">
        <v>0</v>
      </c>
      <c r="F4858" s="7" t="n">
        <v>1</v>
      </c>
      <c r="G4858" s="7" t="n">
        <v>31.27</v>
      </c>
    </row>
    <row r="4859" customFormat="false" ht="15" hidden="false" customHeight="false" outlineLevel="0" collapsed="false">
      <c r="A4859" s="7" t="s">
        <v>24</v>
      </c>
      <c r="B4859" s="7" t="s">
        <v>374</v>
      </c>
      <c r="C4859" s="7" t="s">
        <v>1261</v>
      </c>
      <c r="D4859" s="7" t="n">
        <v>0</v>
      </c>
      <c r="E4859" s="7" t="n">
        <v>0</v>
      </c>
      <c r="F4859" s="7" t="n">
        <v>1</v>
      </c>
      <c r="G4859" s="7" t="n">
        <v>25.02</v>
      </c>
    </row>
    <row r="4860" customFormat="false" ht="15" hidden="false" customHeight="false" outlineLevel="0" collapsed="false">
      <c r="A4860" s="7" t="s">
        <v>24</v>
      </c>
      <c r="B4860" s="7" t="s">
        <v>374</v>
      </c>
      <c r="C4860" s="7" t="s">
        <v>1261</v>
      </c>
      <c r="D4860" s="7" t="n">
        <v>0</v>
      </c>
      <c r="E4860" s="7" t="n">
        <v>0</v>
      </c>
      <c r="F4860" s="7" t="n">
        <v>2</v>
      </c>
      <c r="G4860" s="7" t="n">
        <v>56.29</v>
      </c>
    </row>
    <row r="4861" customFormat="false" ht="15" hidden="false" customHeight="false" outlineLevel="0" collapsed="false">
      <c r="A4861" s="7" t="s">
        <v>24</v>
      </c>
      <c r="B4861" s="7" t="s">
        <v>374</v>
      </c>
      <c r="C4861" s="7" t="s">
        <v>1261</v>
      </c>
      <c r="D4861" s="7" t="n">
        <v>0</v>
      </c>
      <c r="E4861" s="7" t="n">
        <v>0</v>
      </c>
      <c r="F4861" s="7" t="n">
        <v>1</v>
      </c>
      <c r="G4861" s="7" t="n">
        <v>28.14</v>
      </c>
    </row>
    <row r="4862" customFormat="false" ht="15" hidden="false" customHeight="false" outlineLevel="0" collapsed="false">
      <c r="A4862" s="7" t="s">
        <v>24</v>
      </c>
      <c r="B4862" s="7" t="s">
        <v>374</v>
      </c>
      <c r="C4862" s="7" t="s">
        <v>1261</v>
      </c>
      <c r="D4862" s="7" t="n">
        <v>0</v>
      </c>
      <c r="E4862" s="7" t="n">
        <v>0</v>
      </c>
      <c r="F4862" s="7" t="n">
        <v>2</v>
      </c>
      <c r="G4862" s="7" t="n">
        <v>46.91</v>
      </c>
    </row>
    <row r="4863" customFormat="false" ht="15" hidden="false" customHeight="false" outlineLevel="0" collapsed="false">
      <c r="A4863" s="7" t="s">
        <v>24</v>
      </c>
      <c r="B4863" s="7" t="s">
        <v>374</v>
      </c>
      <c r="C4863" s="7" t="s">
        <v>1261</v>
      </c>
      <c r="D4863" s="7" t="n">
        <v>0</v>
      </c>
      <c r="E4863" s="7" t="n">
        <v>0</v>
      </c>
      <c r="F4863" s="7" t="n">
        <v>1</v>
      </c>
      <c r="G4863" s="7" t="n">
        <v>31.27</v>
      </c>
    </row>
    <row r="4864" customFormat="false" ht="15" hidden="false" customHeight="false" outlineLevel="0" collapsed="false">
      <c r="A4864" s="7" t="s">
        <v>24</v>
      </c>
      <c r="B4864" s="7" t="s">
        <v>374</v>
      </c>
      <c r="C4864" s="7" t="s">
        <v>1261</v>
      </c>
      <c r="D4864" s="7" t="n">
        <v>19</v>
      </c>
      <c r="E4864" s="7" t="n">
        <v>500.32</v>
      </c>
      <c r="F4864" s="7" t="n">
        <v>22</v>
      </c>
      <c r="G4864" s="7" t="n">
        <v>644.15</v>
      </c>
    </row>
    <row r="4865" customFormat="false" ht="15" hidden="false" customHeight="false" outlineLevel="0" collapsed="false">
      <c r="A4865" s="7" t="s">
        <v>24</v>
      </c>
      <c r="B4865" s="7" t="s">
        <v>374</v>
      </c>
      <c r="C4865" s="7" t="s">
        <v>1261</v>
      </c>
      <c r="D4865" s="7" t="n">
        <v>0</v>
      </c>
      <c r="E4865" s="7" t="n">
        <v>0</v>
      </c>
      <c r="F4865" s="7" t="n">
        <v>1</v>
      </c>
      <c r="G4865" s="7" t="n">
        <v>26.59</v>
      </c>
    </row>
    <row r="4866" customFormat="false" ht="15" hidden="false" customHeight="false" outlineLevel="0" collapsed="false">
      <c r="A4866" s="7" t="s">
        <v>24</v>
      </c>
      <c r="B4866" s="7" t="s">
        <v>374</v>
      </c>
      <c r="C4866" s="7" t="s">
        <v>1261</v>
      </c>
      <c r="D4866" s="7" t="n">
        <v>0</v>
      </c>
      <c r="E4866" s="7" t="n">
        <v>0</v>
      </c>
      <c r="F4866" s="7" t="n">
        <v>1</v>
      </c>
      <c r="G4866" s="7" t="n">
        <v>31.27</v>
      </c>
    </row>
    <row r="4867" customFormat="false" ht="15" hidden="false" customHeight="false" outlineLevel="0" collapsed="false">
      <c r="A4867" s="7" t="s">
        <v>24</v>
      </c>
      <c r="B4867" s="7" t="s">
        <v>374</v>
      </c>
      <c r="C4867" s="7" t="s">
        <v>1261</v>
      </c>
      <c r="D4867" s="7" t="n">
        <v>0</v>
      </c>
      <c r="E4867" s="7" t="n">
        <v>0</v>
      </c>
      <c r="F4867" s="7" t="n">
        <v>2</v>
      </c>
      <c r="G4867" s="7" t="n">
        <v>53.17</v>
      </c>
    </row>
    <row r="4868" customFormat="false" ht="15" hidden="false" customHeight="false" outlineLevel="0" collapsed="false">
      <c r="A4868" s="7" t="s">
        <v>24</v>
      </c>
      <c r="B4868" s="7" t="s">
        <v>374</v>
      </c>
      <c r="C4868" s="7" t="s">
        <v>1261</v>
      </c>
      <c r="D4868" s="7" t="n">
        <v>0</v>
      </c>
      <c r="E4868" s="7" t="n">
        <v>0</v>
      </c>
      <c r="F4868" s="7" t="n">
        <v>1</v>
      </c>
      <c r="G4868" s="7" t="n">
        <v>25.02</v>
      </c>
    </row>
    <row r="4869" customFormat="false" ht="15" hidden="false" customHeight="false" outlineLevel="0" collapsed="false">
      <c r="A4869" s="7" t="s">
        <v>24</v>
      </c>
      <c r="B4869" s="7" t="s">
        <v>754</v>
      </c>
      <c r="C4869" s="7" t="s">
        <v>1261</v>
      </c>
      <c r="D4869" s="7" t="n">
        <v>0</v>
      </c>
      <c r="E4869" s="7" t="n">
        <v>0</v>
      </c>
      <c r="F4869" s="7" t="n">
        <v>1</v>
      </c>
      <c r="G4869" s="7" t="n">
        <v>26.59</v>
      </c>
    </row>
    <row r="4870" customFormat="false" ht="15" hidden="false" customHeight="false" outlineLevel="0" collapsed="false">
      <c r="A4870" s="7" t="s">
        <v>24</v>
      </c>
      <c r="B4870" s="7" t="s">
        <v>754</v>
      </c>
      <c r="C4870" s="7" t="s">
        <v>1261</v>
      </c>
      <c r="D4870" s="7" t="n">
        <v>5</v>
      </c>
      <c r="E4870" s="7" t="n">
        <v>129.77</v>
      </c>
      <c r="F4870" s="7" t="n">
        <v>2</v>
      </c>
      <c r="G4870" s="7" t="n">
        <v>54.72</v>
      </c>
    </row>
    <row r="4871" customFormat="false" ht="15" hidden="false" customHeight="false" outlineLevel="0" collapsed="false">
      <c r="A4871" s="7" t="s">
        <v>24</v>
      </c>
      <c r="B4871" s="7" t="s">
        <v>754</v>
      </c>
      <c r="C4871" s="7" t="s">
        <v>1261</v>
      </c>
      <c r="D4871" s="7" t="n">
        <v>1</v>
      </c>
      <c r="E4871" s="7" t="n">
        <v>28.73</v>
      </c>
      <c r="F4871" s="7" t="n">
        <v>0</v>
      </c>
      <c r="G4871" s="7" t="n">
        <v>0</v>
      </c>
    </row>
    <row r="4872" customFormat="false" ht="15" hidden="false" customHeight="false" outlineLevel="0" collapsed="false">
      <c r="A4872" s="7" t="s">
        <v>24</v>
      </c>
      <c r="B4872" s="7" t="s">
        <v>754</v>
      </c>
      <c r="C4872" s="7" t="s">
        <v>1261</v>
      </c>
      <c r="D4872" s="7" t="n">
        <v>0</v>
      </c>
      <c r="E4872" s="7" t="n">
        <v>0</v>
      </c>
      <c r="F4872" s="7" t="n">
        <v>1</v>
      </c>
      <c r="G4872" s="7" t="n">
        <v>26.59</v>
      </c>
    </row>
    <row r="4873" customFormat="false" ht="15" hidden="false" customHeight="false" outlineLevel="0" collapsed="false">
      <c r="A4873" s="7" t="s">
        <v>24</v>
      </c>
      <c r="B4873" s="7" t="s">
        <v>703</v>
      </c>
      <c r="C4873" s="7" t="s">
        <v>1261</v>
      </c>
      <c r="D4873" s="7" t="n">
        <v>13</v>
      </c>
      <c r="E4873" s="7" t="n">
        <v>350.22</v>
      </c>
      <c r="F4873" s="7" t="n">
        <v>3</v>
      </c>
      <c r="G4873" s="7" t="n">
        <v>93.81</v>
      </c>
    </row>
    <row r="4874" customFormat="false" ht="15" hidden="false" customHeight="false" outlineLevel="0" collapsed="false">
      <c r="A4874" s="7" t="s">
        <v>24</v>
      </c>
      <c r="B4874" s="7" t="s">
        <v>703</v>
      </c>
      <c r="C4874" s="7" t="s">
        <v>1261</v>
      </c>
      <c r="D4874" s="7" t="n">
        <v>0</v>
      </c>
      <c r="E4874" s="7" t="n">
        <v>0</v>
      </c>
      <c r="F4874" s="7" t="n">
        <v>3</v>
      </c>
      <c r="G4874" s="7" t="n">
        <v>93.81</v>
      </c>
    </row>
    <row r="4875" customFormat="false" ht="15" hidden="false" customHeight="false" outlineLevel="0" collapsed="false">
      <c r="A4875" s="7" t="s">
        <v>24</v>
      </c>
      <c r="B4875" s="7" t="s">
        <v>703</v>
      </c>
      <c r="C4875" s="7" t="s">
        <v>1261</v>
      </c>
      <c r="D4875" s="7" t="n">
        <v>0</v>
      </c>
      <c r="E4875" s="7" t="n">
        <v>0</v>
      </c>
      <c r="F4875" s="7" t="n">
        <v>1</v>
      </c>
      <c r="G4875" s="7" t="n">
        <v>28.14</v>
      </c>
    </row>
    <row r="4876" customFormat="false" ht="15" hidden="false" customHeight="false" outlineLevel="0" collapsed="false">
      <c r="A4876" s="7" t="s">
        <v>24</v>
      </c>
      <c r="B4876" s="7" t="s">
        <v>703</v>
      </c>
      <c r="C4876" s="7" t="s">
        <v>1261</v>
      </c>
      <c r="D4876" s="7" t="n">
        <v>0</v>
      </c>
      <c r="E4876" s="7" t="n">
        <v>0</v>
      </c>
      <c r="F4876" s="7" t="n">
        <v>2</v>
      </c>
      <c r="G4876" s="7" t="n">
        <v>46.91</v>
      </c>
    </row>
    <row r="4877" customFormat="false" ht="15" hidden="false" customHeight="false" outlineLevel="0" collapsed="false">
      <c r="A4877" s="7" t="s">
        <v>24</v>
      </c>
      <c r="B4877" s="7" t="s">
        <v>703</v>
      </c>
      <c r="C4877" s="7" t="s">
        <v>1261</v>
      </c>
      <c r="D4877" s="7" t="n">
        <v>0</v>
      </c>
      <c r="E4877" s="7" t="n">
        <v>0</v>
      </c>
      <c r="F4877" s="7" t="n">
        <v>1</v>
      </c>
      <c r="G4877" s="7" t="n">
        <v>26.58</v>
      </c>
    </row>
    <row r="4878" customFormat="false" ht="15" hidden="false" customHeight="false" outlineLevel="0" collapsed="false">
      <c r="A4878" s="7" t="s">
        <v>24</v>
      </c>
      <c r="B4878" s="7" t="s">
        <v>703</v>
      </c>
      <c r="C4878" s="7" t="s">
        <v>1261</v>
      </c>
      <c r="D4878" s="7" t="n">
        <v>1</v>
      </c>
      <c r="E4878" s="7" t="n">
        <v>28.73</v>
      </c>
      <c r="F4878" s="7" t="n">
        <v>0</v>
      </c>
      <c r="G4878" s="7" t="n">
        <v>0</v>
      </c>
    </row>
    <row r="4879" customFormat="false" ht="15" hidden="false" customHeight="false" outlineLevel="0" collapsed="false">
      <c r="A4879" s="7" t="s">
        <v>24</v>
      </c>
      <c r="B4879" s="7" t="s">
        <v>772</v>
      </c>
      <c r="C4879" s="7" t="s">
        <v>1261</v>
      </c>
      <c r="D4879" s="7" t="n">
        <v>2</v>
      </c>
      <c r="E4879" s="7" t="n">
        <v>57.46</v>
      </c>
      <c r="F4879" s="7" t="n">
        <v>0</v>
      </c>
      <c r="G4879" s="7" t="n">
        <v>0</v>
      </c>
    </row>
    <row r="4880" customFormat="false" ht="15" hidden="false" customHeight="false" outlineLevel="0" collapsed="false">
      <c r="A4880" s="7" t="s">
        <v>24</v>
      </c>
      <c r="B4880" s="7" t="s">
        <v>772</v>
      </c>
      <c r="C4880" s="7" t="s">
        <v>1261</v>
      </c>
      <c r="D4880" s="7" t="n">
        <v>10</v>
      </c>
      <c r="E4880" s="7" t="n">
        <v>261.1</v>
      </c>
      <c r="F4880" s="7" t="n">
        <v>7</v>
      </c>
      <c r="G4880" s="7" t="n">
        <v>201.69</v>
      </c>
    </row>
    <row r="4881" customFormat="false" ht="15" hidden="false" customHeight="false" outlineLevel="0" collapsed="false">
      <c r="A4881" s="7" t="s">
        <v>24</v>
      </c>
      <c r="B4881" s="7" t="s">
        <v>772</v>
      </c>
      <c r="C4881" s="7" t="s">
        <v>1261</v>
      </c>
      <c r="D4881" s="7" t="n">
        <v>0</v>
      </c>
      <c r="E4881" s="7" t="n">
        <v>0</v>
      </c>
      <c r="F4881" s="7" t="n">
        <v>1</v>
      </c>
      <c r="G4881" s="7" t="n">
        <v>26.58</v>
      </c>
    </row>
    <row r="4882" customFormat="false" ht="15" hidden="false" customHeight="false" outlineLevel="0" collapsed="false">
      <c r="A4882" s="7" t="s">
        <v>24</v>
      </c>
      <c r="B4882" s="7" t="s">
        <v>772</v>
      </c>
      <c r="C4882" s="7" t="s">
        <v>1261</v>
      </c>
      <c r="D4882" s="7" t="n">
        <v>0</v>
      </c>
      <c r="E4882" s="7" t="n">
        <v>0</v>
      </c>
      <c r="F4882" s="7" t="n">
        <v>5</v>
      </c>
      <c r="G4882" s="7" t="n">
        <v>117.29</v>
      </c>
    </row>
    <row r="4883" customFormat="false" ht="15" hidden="false" customHeight="false" outlineLevel="0" collapsed="false">
      <c r="A4883" s="7" t="s">
        <v>24</v>
      </c>
      <c r="B4883" s="7" t="s">
        <v>627</v>
      </c>
      <c r="C4883" s="7" t="s">
        <v>1110</v>
      </c>
      <c r="D4883" s="7" t="n">
        <v>0</v>
      </c>
      <c r="E4883" s="7" t="n">
        <v>0</v>
      </c>
      <c r="F4883" s="7" t="n">
        <v>1</v>
      </c>
      <c r="G4883" s="7" t="n">
        <v>20.51</v>
      </c>
    </row>
    <row r="4884" customFormat="false" ht="15" hidden="false" customHeight="false" outlineLevel="0" collapsed="false">
      <c r="A4884" s="7" t="s">
        <v>24</v>
      </c>
      <c r="B4884" s="7" t="s">
        <v>627</v>
      </c>
      <c r="C4884" s="7" t="s">
        <v>1110</v>
      </c>
      <c r="D4884" s="7" t="n">
        <v>0</v>
      </c>
      <c r="E4884" s="7" t="n">
        <v>0</v>
      </c>
      <c r="F4884" s="7" t="n">
        <v>4</v>
      </c>
      <c r="G4884" s="7" t="n">
        <v>68.41</v>
      </c>
    </row>
    <row r="4885" customFormat="false" ht="15" hidden="false" customHeight="false" outlineLevel="0" collapsed="false">
      <c r="A4885" s="7" t="s">
        <v>24</v>
      </c>
      <c r="B4885" s="7" t="s">
        <v>627</v>
      </c>
      <c r="C4885" s="7" t="s">
        <v>1110</v>
      </c>
      <c r="D4885" s="7" t="n">
        <v>47</v>
      </c>
      <c r="E4885" s="7" t="n">
        <v>930.23</v>
      </c>
      <c r="F4885" s="7" t="n">
        <v>52</v>
      </c>
      <c r="G4885" s="7" t="n">
        <v>984.97</v>
      </c>
    </row>
    <row r="4886" customFormat="false" ht="15" hidden="false" customHeight="false" outlineLevel="0" collapsed="false">
      <c r="A4886" s="7" t="s">
        <v>24</v>
      </c>
      <c r="B4886" s="7" t="s">
        <v>627</v>
      </c>
      <c r="C4886" s="7" t="s">
        <v>1110</v>
      </c>
      <c r="D4886" s="7" t="n">
        <v>0</v>
      </c>
      <c r="E4886" s="7" t="n">
        <v>0</v>
      </c>
      <c r="F4886" s="7" t="n">
        <v>1</v>
      </c>
      <c r="G4886" s="7" t="n">
        <v>22.8</v>
      </c>
    </row>
    <row r="4887" customFormat="false" ht="15" hidden="false" customHeight="false" outlineLevel="0" collapsed="false">
      <c r="A4887" s="7" t="s">
        <v>24</v>
      </c>
      <c r="B4887" s="7" t="s">
        <v>627</v>
      </c>
      <c r="C4887" s="7" t="s">
        <v>1110</v>
      </c>
      <c r="D4887" s="7" t="n">
        <v>0</v>
      </c>
      <c r="E4887" s="7" t="n">
        <v>0</v>
      </c>
      <c r="F4887" s="7" t="n">
        <v>1</v>
      </c>
      <c r="G4887" s="7" t="n">
        <v>22.8</v>
      </c>
    </row>
    <row r="4888" customFormat="false" ht="15" hidden="false" customHeight="false" outlineLevel="0" collapsed="false">
      <c r="A4888" s="7" t="s">
        <v>24</v>
      </c>
      <c r="B4888" s="7" t="s">
        <v>627</v>
      </c>
      <c r="C4888" s="7" t="s">
        <v>1110</v>
      </c>
      <c r="D4888" s="7" t="n">
        <v>0</v>
      </c>
      <c r="E4888" s="7" t="n">
        <v>0</v>
      </c>
      <c r="F4888" s="7" t="n">
        <v>1</v>
      </c>
      <c r="G4888" s="7" t="n">
        <v>17.1</v>
      </c>
    </row>
    <row r="4889" customFormat="false" ht="15" hidden="false" customHeight="false" outlineLevel="0" collapsed="false">
      <c r="A4889" s="7" t="s">
        <v>24</v>
      </c>
      <c r="B4889" s="7" t="s">
        <v>627</v>
      </c>
      <c r="C4889" s="7" t="s">
        <v>1110</v>
      </c>
      <c r="D4889" s="7" t="n">
        <v>0</v>
      </c>
      <c r="E4889" s="7" t="n">
        <v>0</v>
      </c>
      <c r="F4889" s="7" t="n">
        <v>1</v>
      </c>
      <c r="G4889" s="7" t="n">
        <v>18.24</v>
      </c>
    </row>
    <row r="4890" customFormat="false" ht="15" hidden="false" customHeight="false" outlineLevel="0" collapsed="false">
      <c r="A4890" s="7" t="s">
        <v>24</v>
      </c>
      <c r="B4890" s="7" t="s">
        <v>627</v>
      </c>
      <c r="C4890" s="7" t="s">
        <v>1110</v>
      </c>
      <c r="D4890" s="7" t="n">
        <v>0</v>
      </c>
      <c r="E4890" s="7" t="n">
        <v>0</v>
      </c>
      <c r="F4890" s="7" t="n">
        <v>1</v>
      </c>
      <c r="G4890" s="7" t="n">
        <v>17.1</v>
      </c>
    </row>
    <row r="4891" customFormat="false" ht="15" hidden="false" customHeight="false" outlineLevel="0" collapsed="false">
      <c r="A4891" s="7" t="s">
        <v>24</v>
      </c>
      <c r="B4891" s="7" t="s">
        <v>627</v>
      </c>
      <c r="C4891" s="7" t="s">
        <v>1110</v>
      </c>
      <c r="D4891" s="7" t="n">
        <v>0</v>
      </c>
      <c r="E4891" s="7" t="n">
        <v>0</v>
      </c>
      <c r="F4891" s="7" t="n">
        <v>1</v>
      </c>
      <c r="G4891" s="7" t="n">
        <v>17.1</v>
      </c>
    </row>
    <row r="4892" customFormat="false" ht="15" hidden="false" customHeight="false" outlineLevel="0" collapsed="false">
      <c r="A4892" s="7" t="s">
        <v>24</v>
      </c>
      <c r="B4892" s="7" t="s">
        <v>627</v>
      </c>
      <c r="C4892" s="7" t="s">
        <v>1110</v>
      </c>
      <c r="D4892" s="7" t="n">
        <v>0</v>
      </c>
      <c r="E4892" s="7" t="n">
        <v>0</v>
      </c>
      <c r="F4892" s="7" t="n">
        <v>1</v>
      </c>
      <c r="G4892" s="7" t="n">
        <v>19.38</v>
      </c>
    </row>
    <row r="4893" customFormat="false" ht="15" hidden="false" customHeight="false" outlineLevel="0" collapsed="false">
      <c r="A4893" s="7" t="s">
        <v>24</v>
      </c>
      <c r="B4893" s="7" t="s">
        <v>627</v>
      </c>
      <c r="C4893" s="7" t="s">
        <v>1110</v>
      </c>
      <c r="D4893" s="7" t="n">
        <v>9</v>
      </c>
      <c r="E4893" s="7" t="n">
        <v>197.55</v>
      </c>
      <c r="F4893" s="7" t="n">
        <v>0</v>
      </c>
      <c r="G4893" s="7" t="n">
        <v>0</v>
      </c>
    </row>
    <row r="4894" customFormat="false" ht="15" hidden="false" customHeight="false" outlineLevel="0" collapsed="false">
      <c r="A4894" s="7" t="s">
        <v>24</v>
      </c>
      <c r="B4894" s="7" t="s">
        <v>627</v>
      </c>
      <c r="C4894" s="7" t="s">
        <v>1110</v>
      </c>
      <c r="D4894" s="7" t="n">
        <v>0</v>
      </c>
      <c r="E4894" s="7" t="n">
        <v>0</v>
      </c>
      <c r="F4894" s="7" t="n">
        <v>1</v>
      </c>
      <c r="G4894" s="7" t="n">
        <v>17.11</v>
      </c>
    </row>
    <row r="4895" customFormat="false" ht="15" hidden="false" customHeight="false" outlineLevel="0" collapsed="false">
      <c r="A4895" s="7" t="s">
        <v>24</v>
      </c>
      <c r="B4895" s="7" t="s">
        <v>627</v>
      </c>
      <c r="C4895" s="7" t="s">
        <v>1110</v>
      </c>
      <c r="D4895" s="7" t="n">
        <v>0</v>
      </c>
      <c r="E4895" s="7" t="n">
        <v>0</v>
      </c>
      <c r="F4895" s="7" t="n">
        <v>1</v>
      </c>
      <c r="G4895" s="7" t="n">
        <v>22.8</v>
      </c>
    </row>
    <row r="4896" customFormat="false" ht="15" hidden="false" customHeight="false" outlineLevel="0" collapsed="false">
      <c r="A4896" s="7" t="s">
        <v>24</v>
      </c>
      <c r="B4896" s="7" t="s">
        <v>627</v>
      </c>
      <c r="C4896" s="7" t="s">
        <v>1110</v>
      </c>
      <c r="D4896" s="7" t="n">
        <v>0</v>
      </c>
      <c r="E4896" s="7" t="n">
        <v>0</v>
      </c>
      <c r="F4896" s="7" t="n">
        <v>1</v>
      </c>
      <c r="G4896" s="7" t="n">
        <v>19.38</v>
      </c>
    </row>
    <row r="4897" customFormat="false" ht="15" hidden="false" customHeight="false" outlineLevel="0" collapsed="false">
      <c r="A4897" s="7" t="s">
        <v>24</v>
      </c>
      <c r="B4897" s="7" t="s">
        <v>627</v>
      </c>
      <c r="C4897" s="7" t="s">
        <v>1110</v>
      </c>
      <c r="D4897" s="7" t="n">
        <v>0</v>
      </c>
      <c r="E4897" s="7" t="n">
        <v>0</v>
      </c>
      <c r="F4897" s="7" t="n">
        <v>2</v>
      </c>
      <c r="G4897" s="7" t="n">
        <v>34.2</v>
      </c>
    </row>
    <row r="4898" customFormat="false" ht="15" hidden="false" customHeight="false" outlineLevel="0" collapsed="false">
      <c r="A4898" s="7" t="s">
        <v>24</v>
      </c>
      <c r="B4898" s="7" t="s">
        <v>617</v>
      </c>
      <c r="C4898" s="7" t="s">
        <v>1111</v>
      </c>
      <c r="D4898" s="7" t="n">
        <v>49</v>
      </c>
      <c r="E4898" s="7" t="n">
        <v>922.26</v>
      </c>
      <c r="F4898" s="7" t="n">
        <v>20</v>
      </c>
      <c r="G4898" s="7" t="n">
        <v>397.08</v>
      </c>
    </row>
    <row r="4899" customFormat="false" ht="15" hidden="false" customHeight="false" outlineLevel="0" collapsed="false">
      <c r="A4899" s="7" t="s">
        <v>24</v>
      </c>
      <c r="B4899" s="7" t="s">
        <v>617</v>
      </c>
      <c r="C4899" s="7" t="s">
        <v>1111</v>
      </c>
      <c r="D4899" s="7" t="n">
        <v>0</v>
      </c>
      <c r="E4899" s="7" t="n">
        <v>0</v>
      </c>
      <c r="F4899" s="7" t="n">
        <v>1</v>
      </c>
      <c r="G4899" s="7" t="n">
        <v>20.52</v>
      </c>
    </row>
    <row r="4900" customFormat="false" ht="15" hidden="false" customHeight="false" outlineLevel="0" collapsed="false">
      <c r="A4900" s="7" t="s">
        <v>24</v>
      </c>
      <c r="B4900" s="7" t="s">
        <v>617</v>
      </c>
      <c r="C4900" s="7" t="s">
        <v>1111</v>
      </c>
      <c r="D4900" s="7" t="n">
        <v>0</v>
      </c>
      <c r="E4900" s="7" t="n">
        <v>0</v>
      </c>
      <c r="F4900" s="7" t="n">
        <v>1</v>
      </c>
      <c r="G4900" s="7" t="n">
        <v>17.1</v>
      </c>
    </row>
    <row r="4901" customFormat="false" ht="15" hidden="false" customHeight="false" outlineLevel="0" collapsed="false">
      <c r="A4901" s="7" t="s">
        <v>24</v>
      </c>
      <c r="B4901" s="7" t="s">
        <v>617</v>
      </c>
      <c r="C4901" s="7" t="s">
        <v>1111</v>
      </c>
      <c r="D4901" s="7" t="n">
        <v>0</v>
      </c>
      <c r="E4901" s="7" t="n">
        <v>0</v>
      </c>
      <c r="F4901" s="7" t="n">
        <v>4</v>
      </c>
      <c r="G4901" s="7" t="n">
        <v>91.18</v>
      </c>
    </row>
    <row r="4902" customFormat="false" ht="15" hidden="false" customHeight="false" outlineLevel="0" collapsed="false">
      <c r="A4902" s="7" t="s">
        <v>24</v>
      </c>
      <c r="B4902" s="7" t="s">
        <v>617</v>
      </c>
      <c r="C4902" s="7" t="s">
        <v>1111</v>
      </c>
      <c r="D4902" s="7" t="n">
        <v>0</v>
      </c>
      <c r="E4902" s="7" t="n">
        <v>0</v>
      </c>
      <c r="F4902" s="7" t="n">
        <v>3</v>
      </c>
      <c r="G4902" s="7" t="n">
        <v>68.39</v>
      </c>
    </row>
    <row r="4903" customFormat="false" ht="15" hidden="false" customHeight="false" outlineLevel="0" collapsed="false">
      <c r="A4903" s="7" t="s">
        <v>24</v>
      </c>
      <c r="B4903" s="7" t="s">
        <v>617</v>
      </c>
      <c r="C4903" s="7" t="s">
        <v>1111</v>
      </c>
      <c r="D4903" s="7" t="n">
        <v>0</v>
      </c>
      <c r="E4903" s="7" t="n">
        <v>0</v>
      </c>
      <c r="F4903" s="7" t="n">
        <v>4</v>
      </c>
      <c r="G4903" s="7" t="n">
        <v>68.41</v>
      </c>
    </row>
    <row r="4904" customFormat="false" ht="15" hidden="false" customHeight="false" outlineLevel="0" collapsed="false">
      <c r="A4904" s="7" t="s">
        <v>24</v>
      </c>
      <c r="B4904" s="7" t="s">
        <v>617</v>
      </c>
      <c r="C4904" s="7" t="s">
        <v>1111</v>
      </c>
      <c r="D4904" s="7" t="n">
        <v>0</v>
      </c>
      <c r="E4904" s="7" t="n">
        <v>0</v>
      </c>
      <c r="F4904" s="7" t="n">
        <v>2</v>
      </c>
      <c r="G4904" s="7" t="n">
        <v>34.2</v>
      </c>
    </row>
    <row r="4905" customFormat="false" ht="15" hidden="false" customHeight="false" outlineLevel="0" collapsed="false">
      <c r="A4905" s="7" t="s">
        <v>24</v>
      </c>
      <c r="B4905" s="7" t="s">
        <v>617</v>
      </c>
      <c r="C4905" s="7" t="s">
        <v>1111</v>
      </c>
      <c r="D4905" s="7" t="n">
        <v>0</v>
      </c>
      <c r="E4905" s="7" t="n">
        <v>0</v>
      </c>
      <c r="F4905" s="7" t="n">
        <v>1</v>
      </c>
      <c r="G4905" s="7" t="n">
        <v>22.79</v>
      </c>
    </row>
    <row r="4906" customFormat="false" ht="15" hidden="false" customHeight="false" outlineLevel="0" collapsed="false">
      <c r="A4906" s="7" t="s">
        <v>24</v>
      </c>
      <c r="B4906" s="7" t="s">
        <v>617</v>
      </c>
      <c r="C4906" s="7" t="s">
        <v>1111</v>
      </c>
      <c r="D4906" s="7" t="n">
        <v>0</v>
      </c>
      <c r="E4906" s="7" t="n">
        <v>0</v>
      </c>
      <c r="F4906" s="7" t="n">
        <v>10</v>
      </c>
      <c r="G4906" s="7" t="n">
        <v>175.5</v>
      </c>
    </row>
    <row r="4907" customFormat="false" ht="15" hidden="false" customHeight="false" outlineLevel="0" collapsed="false">
      <c r="A4907" s="7" t="s">
        <v>24</v>
      </c>
      <c r="B4907" s="7" t="s">
        <v>617</v>
      </c>
      <c r="C4907" s="7" t="s">
        <v>1111</v>
      </c>
      <c r="D4907" s="7" t="n">
        <v>10</v>
      </c>
      <c r="E4907" s="7" t="n">
        <v>219.5</v>
      </c>
      <c r="F4907" s="7" t="n">
        <v>0</v>
      </c>
      <c r="G4907" s="7" t="n">
        <v>0</v>
      </c>
    </row>
    <row r="4908" customFormat="false" ht="15" hidden="false" customHeight="false" outlineLevel="0" collapsed="false">
      <c r="A4908" s="7" t="s">
        <v>24</v>
      </c>
      <c r="B4908" s="7" t="s">
        <v>617</v>
      </c>
      <c r="C4908" s="7" t="s">
        <v>1111</v>
      </c>
      <c r="D4908" s="7" t="n">
        <v>0</v>
      </c>
      <c r="E4908" s="7" t="n">
        <v>0</v>
      </c>
      <c r="F4908" s="7" t="n">
        <v>1</v>
      </c>
      <c r="G4908" s="7" t="n">
        <v>22.8</v>
      </c>
    </row>
    <row r="4909" customFormat="false" ht="15" hidden="false" customHeight="false" outlineLevel="0" collapsed="false">
      <c r="A4909" s="7" t="s">
        <v>24</v>
      </c>
      <c r="B4909" s="7" t="s">
        <v>617</v>
      </c>
      <c r="C4909" s="7" t="s">
        <v>1111</v>
      </c>
      <c r="D4909" s="7" t="n">
        <v>0</v>
      </c>
      <c r="E4909" s="7" t="n">
        <v>0</v>
      </c>
      <c r="F4909" s="7" t="n">
        <v>1</v>
      </c>
      <c r="G4909" s="7" t="n">
        <v>20.52</v>
      </c>
    </row>
    <row r="4910" customFormat="false" ht="15" hidden="false" customHeight="false" outlineLevel="0" collapsed="false">
      <c r="A4910" s="7" t="s">
        <v>24</v>
      </c>
      <c r="B4910" s="7" t="s">
        <v>617</v>
      </c>
      <c r="C4910" s="7" t="s">
        <v>1111</v>
      </c>
      <c r="D4910" s="7" t="n">
        <v>0</v>
      </c>
      <c r="E4910" s="7" t="n">
        <v>0</v>
      </c>
      <c r="F4910" s="7" t="n">
        <v>1</v>
      </c>
      <c r="G4910" s="7" t="n">
        <v>17.1</v>
      </c>
    </row>
    <row r="4911" customFormat="false" ht="15" hidden="false" customHeight="false" outlineLevel="0" collapsed="false">
      <c r="A4911" s="7" t="s">
        <v>24</v>
      </c>
      <c r="B4911" s="7" t="s">
        <v>701</v>
      </c>
      <c r="C4911" s="7" t="s">
        <v>1112</v>
      </c>
      <c r="D4911" s="7" t="n">
        <v>13</v>
      </c>
      <c r="E4911" s="7" t="n">
        <v>240.54</v>
      </c>
      <c r="F4911" s="7" t="n">
        <v>3</v>
      </c>
      <c r="G4911" s="7" t="n">
        <v>62.7</v>
      </c>
    </row>
    <row r="4912" customFormat="false" ht="15" hidden="false" customHeight="false" outlineLevel="0" collapsed="false">
      <c r="A4912" s="7" t="s">
        <v>24</v>
      </c>
      <c r="B4912" s="7" t="s">
        <v>701</v>
      </c>
      <c r="C4912" s="7" t="s">
        <v>1112</v>
      </c>
      <c r="D4912" s="7" t="n">
        <v>0</v>
      </c>
      <c r="E4912" s="7" t="n">
        <v>0</v>
      </c>
      <c r="F4912" s="7" t="n">
        <v>1</v>
      </c>
      <c r="G4912" s="7" t="n">
        <v>19.38</v>
      </c>
    </row>
    <row r="4913" customFormat="false" ht="15" hidden="false" customHeight="false" outlineLevel="0" collapsed="false">
      <c r="A4913" s="7" t="s">
        <v>24</v>
      </c>
      <c r="B4913" s="7" t="s">
        <v>701</v>
      </c>
      <c r="C4913" s="7" t="s">
        <v>1112</v>
      </c>
      <c r="D4913" s="7" t="n">
        <v>0</v>
      </c>
      <c r="E4913" s="7" t="n">
        <v>0</v>
      </c>
      <c r="F4913" s="7" t="n">
        <v>1</v>
      </c>
      <c r="G4913" s="7" t="n">
        <v>20.52</v>
      </c>
    </row>
    <row r="4914" customFormat="false" ht="15" hidden="false" customHeight="false" outlineLevel="0" collapsed="false">
      <c r="A4914" s="7" t="s">
        <v>24</v>
      </c>
      <c r="B4914" s="7" t="s">
        <v>701</v>
      </c>
      <c r="C4914" s="7" t="s">
        <v>1112</v>
      </c>
      <c r="D4914" s="7" t="n">
        <v>0</v>
      </c>
      <c r="E4914" s="7" t="n">
        <v>0</v>
      </c>
      <c r="F4914" s="7" t="n">
        <v>2</v>
      </c>
      <c r="G4914" s="7" t="n">
        <v>45.59</v>
      </c>
    </row>
    <row r="4915" customFormat="false" ht="15" hidden="false" customHeight="false" outlineLevel="0" collapsed="false">
      <c r="A4915" s="7" t="s">
        <v>24</v>
      </c>
      <c r="B4915" s="7" t="s">
        <v>761</v>
      </c>
      <c r="C4915" s="7" t="s">
        <v>1113</v>
      </c>
      <c r="D4915" s="7" t="n">
        <v>0</v>
      </c>
      <c r="E4915" s="7" t="n">
        <v>0</v>
      </c>
      <c r="F4915" s="7" t="n">
        <v>1</v>
      </c>
      <c r="G4915" s="7" t="n">
        <v>20.52</v>
      </c>
    </row>
    <row r="4916" customFormat="false" ht="15" hidden="false" customHeight="false" outlineLevel="0" collapsed="false">
      <c r="A4916" s="7" t="s">
        <v>24</v>
      </c>
      <c r="B4916" s="7" t="s">
        <v>761</v>
      </c>
      <c r="C4916" s="7" t="s">
        <v>1113</v>
      </c>
      <c r="D4916" s="7" t="n">
        <v>0</v>
      </c>
      <c r="E4916" s="7" t="n">
        <v>0</v>
      </c>
      <c r="F4916" s="7" t="n">
        <v>1</v>
      </c>
      <c r="G4916" s="7" t="n">
        <v>17.1</v>
      </c>
    </row>
    <row r="4917" customFormat="false" ht="15" hidden="false" customHeight="false" outlineLevel="0" collapsed="false">
      <c r="A4917" s="7" t="s">
        <v>24</v>
      </c>
      <c r="B4917" s="7" t="s">
        <v>761</v>
      </c>
      <c r="C4917" s="7" t="s">
        <v>1113</v>
      </c>
      <c r="D4917" s="7" t="n">
        <v>3</v>
      </c>
      <c r="E4917" s="7" t="n">
        <v>59.28</v>
      </c>
      <c r="F4917" s="7" t="n">
        <v>3</v>
      </c>
      <c r="G4917" s="7" t="n">
        <v>62.7</v>
      </c>
    </row>
    <row r="4918" customFormat="false" ht="15" hidden="false" customHeight="false" outlineLevel="0" collapsed="false">
      <c r="A4918" s="7" t="s">
        <v>24</v>
      </c>
      <c r="B4918" s="7" t="s">
        <v>375</v>
      </c>
      <c r="C4918" s="7" t="s">
        <v>1114</v>
      </c>
      <c r="D4918" s="7" t="n">
        <v>0</v>
      </c>
      <c r="E4918" s="7" t="n">
        <v>0</v>
      </c>
      <c r="F4918" s="7" t="n">
        <v>2</v>
      </c>
      <c r="G4918" s="7" t="n">
        <v>38.76</v>
      </c>
    </row>
    <row r="4919" customFormat="false" ht="15" hidden="false" customHeight="false" outlineLevel="0" collapsed="false">
      <c r="A4919" s="7" t="s">
        <v>24</v>
      </c>
      <c r="B4919" s="7" t="s">
        <v>375</v>
      </c>
      <c r="C4919" s="7" t="s">
        <v>1114</v>
      </c>
      <c r="D4919" s="7" t="n">
        <v>0</v>
      </c>
      <c r="E4919" s="7" t="n">
        <v>0</v>
      </c>
      <c r="F4919" s="7" t="n">
        <v>1</v>
      </c>
      <c r="G4919" s="7" t="n">
        <v>17.1</v>
      </c>
    </row>
    <row r="4920" customFormat="false" ht="15" hidden="false" customHeight="false" outlineLevel="0" collapsed="false">
      <c r="A4920" s="7" t="s">
        <v>24</v>
      </c>
      <c r="B4920" s="7" t="s">
        <v>375</v>
      </c>
      <c r="C4920" s="7" t="s">
        <v>1114</v>
      </c>
      <c r="D4920" s="7" t="n">
        <v>7</v>
      </c>
      <c r="E4920" s="7" t="n">
        <v>140.22</v>
      </c>
      <c r="F4920" s="7" t="n">
        <v>18</v>
      </c>
      <c r="G4920" s="7" t="n">
        <v>362.52</v>
      </c>
    </row>
    <row r="4921" customFormat="false" ht="15" hidden="false" customHeight="false" outlineLevel="0" collapsed="false">
      <c r="A4921" s="7" t="s">
        <v>24</v>
      </c>
      <c r="B4921" s="7" t="s">
        <v>375</v>
      </c>
      <c r="C4921" s="7" t="s">
        <v>1114</v>
      </c>
      <c r="D4921" s="7" t="n">
        <v>0</v>
      </c>
      <c r="E4921" s="7" t="n">
        <v>0</v>
      </c>
      <c r="F4921" s="7" t="n">
        <v>1</v>
      </c>
      <c r="G4921" s="7" t="n">
        <v>19.38</v>
      </c>
    </row>
    <row r="4922" customFormat="false" ht="15" hidden="false" customHeight="false" outlineLevel="0" collapsed="false">
      <c r="A4922" s="7" t="s">
        <v>24</v>
      </c>
      <c r="B4922" s="7" t="s">
        <v>375</v>
      </c>
      <c r="C4922" s="7" t="s">
        <v>1114</v>
      </c>
      <c r="D4922" s="7" t="n">
        <v>0</v>
      </c>
      <c r="E4922" s="7" t="n">
        <v>0</v>
      </c>
      <c r="F4922" s="7" t="n">
        <v>1</v>
      </c>
      <c r="G4922" s="7" t="n">
        <v>19.38</v>
      </c>
    </row>
    <row r="4923" customFormat="false" ht="15" hidden="false" customHeight="false" outlineLevel="0" collapsed="false">
      <c r="A4923" s="7" t="s">
        <v>24</v>
      </c>
      <c r="B4923" s="7" t="s">
        <v>375</v>
      </c>
      <c r="C4923" s="7" t="s">
        <v>1114</v>
      </c>
      <c r="D4923" s="7" t="n">
        <v>0</v>
      </c>
      <c r="E4923" s="7" t="n">
        <v>0</v>
      </c>
      <c r="F4923" s="7" t="n">
        <v>1</v>
      </c>
      <c r="G4923" s="7" t="n">
        <v>17.1</v>
      </c>
    </row>
    <row r="4924" customFormat="false" ht="15" hidden="false" customHeight="false" outlineLevel="0" collapsed="false">
      <c r="A4924" s="7" t="s">
        <v>24</v>
      </c>
      <c r="B4924" s="7" t="s">
        <v>375</v>
      </c>
      <c r="C4924" s="7" t="s">
        <v>1114</v>
      </c>
      <c r="D4924" s="7" t="n">
        <v>0</v>
      </c>
      <c r="E4924" s="7" t="n">
        <v>0</v>
      </c>
      <c r="F4924" s="7" t="n">
        <v>4</v>
      </c>
      <c r="G4924" s="7" t="n">
        <v>68.41</v>
      </c>
    </row>
    <row r="4925" customFormat="false" ht="15" hidden="false" customHeight="false" outlineLevel="0" collapsed="false">
      <c r="A4925" s="7" t="s">
        <v>24</v>
      </c>
      <c r="B4925" s="7" t="s">
        <v>375</v>
      </c>
      <c r="C4925" s="7" t="s">
        <v>1114</v>
      </c>
      <c r="D4925" s="7" t="n">
        <v>0</v>
      </c>
      <c r="E4925" s="7" t="n">
        <v>0</v>
      </c>
      <c r="F4925" s="7" t="n">
        <v>2</v>
      </c>
      <c r="G4925" s="7" t="n">
        <v>38.76</v>
      </c>
    </row>
    <row r="4926" customFormat="false" ht="15" hidden="false" customHeight="false" outlineLevel="0" collapsed="false">
      <c r="A4926" s="7" t="s">
        <v>24</v>
      </c>
      <c r="B4926" s="7" t="s">
        <v>375</v>
      </c>
      <c r="C4926" s="7" t="s">
        <v>1114</v>
      </c>
      <c r="D4926" s="7" t="n">
        <v>0</v>
      </c>
      <c r="E4926" s="7" t="n">
        <v>0</v>
      </c>
      <c r="F4926" s="7" t="n">
        <v>1</v>
      </c>
      <c r="G4926" s="7" t="n">
        <v>19.38</v>
      </c>
    </row>
    <row r="4927" customFormat="false" ht="15" hidden="false" customHeight="false" outlineLevel="0" collapsed="false">
      <c r="A4927" s="7" t="s">
        <v>24</v>
      </c>
      <c r="B4927" s="7" t="s">
        <v>375</v>
      </c>
      <c r="C4927" s="7" t="s">
        <v>1114</v>
      </c>
      <c r="D4927" s="7" t="n">
        <v>0</v>
      </c>
      <c r="E4927" s="7" t="n">
        <v>0</v>
      </c>
      <c r="F4927" s="7" t="n">
        <v>1</v>
      </c>
      <c r="G4927" s="7" t="n">
        <v>19.39</v>
      </c>
    </row>
    <row r="4928" customFormat="false" ht="15" hidden="false" customHeight="false" outlineLevel="0" collapsed="false">
      <c r="A4928" s="7" t="s">
        <v>24</v>
      </c>
      <c r="B4928" s="7" t="s">
        <v>375</v>
      </c>
      <c r="C4928" s="7" t="s">
        <v>1114</v>
      </c>
      <c r="D4928" s="7" t="n">
        <v>0</v>
      </c>
      <c r="E4928" s="7" t="n">
        <v>0</v>
      </c>
      <c r="F4928" s="7" t="n">
        <v>1</v>
      </c>
      <c r="G4928" s="7" t="n">
        <v>19.38</v>
      </c>
    </row>
    <row r="4929" customFormat="false" ht="15" hidden="false" customHeight="false" outlineLevel="0" collapsed="false">
      <c r="A4929" s="7" t="s">
        <v>24</v>
      </c>
      <c r="B4929" s="7" t="s">
        <v>375</v>
      </c>
      <c r="C4929" s="7" t="s">
        <v>1114</v>
      </c>
      <c r="D4929" s="7" t="n">
        <v>0</v>
      </c>
      <c r="E4929" s="7" t="n">
        <v>0</v>
      </c>
      <c r="F4929" s="7" t="n">
        <v>4</v>
      </c>
      <c r="G4929" s="7" t="n">
        <v>68.41</v>
      </c>
    </row>
    <row r="4930" customFormat="false" ht="15" hidden="false" customHeight="false" outlineLevel="0" collapsed="false">
      <c r="A4930" s="7" t="s">
        <v>24</v>
      </c>
      <c r="B4930" s="7" t="s">
        <v>375</v>
      </c>
      <c r="C4930" s="7" t="s">
        <v>1114</v>
      </c>
      <c r="D4930" s="7" t="n">
        <v>0</v>
      </c>
      <c r="E4930" s="7" t="n">
        <v>0</v>
      </c>
      <c r="F4930" s="7" t="n">
        <v>1</v>
      </c>
      <c r="G4930" s="7" t="n">
        <v>18.23</v>
      </c>
    </row>
    <row r="4931" customFormat="false" ht="15" hidden="false" customHeight="false" outlineLevel="0" collapsed="false">
      <c r="A4931" s="7" t="s">
        <v>24</v>
      </c>
      <c r="B4931" s="7" t="s">
        <v>663</v>
      </c>
      <c r="C4931" s="7" t="s">
        <v>1115</v>
      </c>
      <c r="D4931" s="7" t="n">
        <v>0</v>
      </c>
      <c r="E4931" s="7" t="n">
        <v>0</v>
      </c>
      <c r="F4931" s="7" t="n">
        <v>1</v>
      </c>
      <c r="G4931" s="7" t="n">
        <v>19.38</v>
      </c>
    </row>
    <row r="4932" customFormat="false" ht="15" hidden="false" customHeight="false" outlineLevel="0" collapsed="false">
      <c r="A4932" s="7" t="s">
        <v>24</v>
      </c>
      <c r="B4932" s="7" t="s">
        <v>663</v>
      </c>
      <c r="C4932" s="7" t="s">
        <v>1115</v>
      </c>
      <c r="D4932" s="7" t="n">
        <v>3</v>
      </c>
      <c r="E4932" s="7" t="n">
        <v>59.27</v>
      </c>
      <c r="F4932" s="7" t="n">
        <v>0</v>
      </c>
      <c r="G4932" s="7" t="n">
        <v>0</v>
      </c>
    </row>
    <row r="4933" customFormat="false" ht="15" hidden="false" customHeight="false" outlineLevel="0" collapsed="false">
      <c r="A4933" s="7" t="s">
        <v>24</v>
      </c>
      <c r="B4933" s="7" t="s">
        <v>663</v>
      </c>
      <c r="C4933" s="7" t="s">
        <v>1115</v>
      </c>
      <c r="D4933" s="7" t="n">
        <v>3</v>
      </c>
      <c r="E4933" s="7" t="n">
        <v>58.14</v>
      </c>
      <c r="F4933" s="7" t="n">
        <v>2</v>
      </c>
      <c r="G4933" s="7" t="n">
        <v>38.76</v>
      </c>
    </row>
    <row r="4934" customFormat="false" ht="15" hidden="false" customHeight="false" outlineLevel="0" collapsed="false">
      <c r="A4934" s="7" t="s">
        <v>24</v>
      </c>
      <c r="B4934" s="7" t="s">
        <v>663</v>
      </c>
      <c r="C4934" s="7" t="s">
        <v>1115</v>
      </c>
      <c r="D4934" s="7" t="n">
        <v>0</v>
      </c>
      <c r="E4934" s="7" t="n">
        <v>0</v>
      </c>
      <c r="F4934" s="7" t="n">
        <v>1</v>
      </c>
      <c r="G4934" s="7" t="n">
        <v>18.24</v>
      </c>
    </row>
    <row r="4935" customFormat="false" ht="15" hidden="false" customHeight="false" outlineLevel="0" collapsed="false">
      <c r="A4935" s="7" t="s">
        <v>24</v>
      </c>
      <c r="B4935" s="7" t="s">
        <v>663</v>
      </c>
      <c r="C4935" s="7" t="s">
        <v>1115</v>
      </c>
      <c r="D4935" s="7" t="n">
        <v>0</v>
      </c>
      <c r="E4935" s="7" t="n">
        <v>0</v>
      </c>
      <c r="F4935" s="7" t="n">
        <v>1</v>
      </c>
      <c r="G4935" s="7" t="n">
        <v>22.79</v>
      </c>
    </row>
    <row r="4936" customFormat="false" ht="15" hidden="false" customHeight="false" outlineLevel="0" collapsed="false">
      <c r="A4936" s="7" t="s">
        <v>24</v>
      </c>
      <c r="B4936" s="7" t="s">
        <v>663</v>
      </c>
      <c r="C4936" s="7" t="s">
        <v>1115</v>
      </c>
      <c r="D4936" s="7" t="n">
        <v>0</v>
      </c>
      <c r="E4936" s="7" t="n">
        <v>0</v>
      </c>
      <c r="F4936" s="7" t="n">
        <v>1</v>
      </c>
      <c r="G4936" s="7" t="n">
        <v>19.38</v>
      </c>
    </row>
    <row r="4937" customFormat="false" ht="15" hidden="false" customHeight="false" outlineLevel="0" collapsed="false">
      <c r="A4937" s="7" t="s">
        <v>24</v>
      </c>
      <c r="B4937" s="7" t="s">
        <v>663</v>
      </c>
      <c r="C4937" s="7" t="s">
        <v>1115</v>
      </c>
      <c r="D4937" s="7" t="n">
        <v>0</v>
      </c>
      <c r="E4937" s="7" t="n">
        <v>0</v>
      </c>
      <c r="F4937" s="7" t="n">
        <v>1</v>
      </c>
      <c r="G4937" s="7" t="n">
        <v>19.38</v>
      </c>
    </row>
    <row r="4938" customFormat="false" ht="15" hidden="false" customHeight="false" outlineLevel="0" collapsed="false">
      <c r="A4938" s="7" t="s">
        <v>24</v>
      </c>
      <c r="B4938" s="7" t="s">
        <v>663</v>
      </c>
      <c r="C4938" s="7" t="s">
        <v>1115</v>
      </c>
      <c r="D4938" s="7" t="n">
        <v>0</v>
      </c>
      <c r="E4938" s="7" t="n">
        <v>0</v>
      </c>
      <c r="F4938" s="7" t="n">
        <v>5</v>
      </c>
      <c r="G4938" s="7" t="n">
        <v>113.98</v>
      </c>
    </row>
    <row r="4939" customFormat="false" ht="15" hidden="false" customHeight="false" outlineLevel="0" collapsed="false">
      <c r="A4939" s="7" t="s">
        <v>24</v>
      </c>
      <c r="B4939" s="7" t="s">
        <v>537</v>
      </c>
      <c r="C4939" s="7" t="s">
        <v>1262</v>
      </c>
      <c r="D4939" s="7" t="n">
        <v>0</v>
      </c>
      <c r="E4939" s="7" t="n">
        <v>0</v>
      </c>
      <c r="F4939" s="7" t="n">
        <v>5</v>
      </c>
      <c r="G4939" s="7" t="n">
        <v>113.98</v>
      </c>
    </row>
    <row r="4940" customFormat="false" ht="15" hidden="false" customHeight="false" outlineLevel="0" collapsed="false">
      <c r="A4940" s="7" t="s">
        <v>24</v>
      </c>
      <c r="B4940" s="7" t="s">
        <v>537</v>
      </c>
      <c r="C4940" s="7" t="s">
        <v>1262</v>
      </c>
      <c r="D4940" s="7" t="n">
        <v>25</v>
      </c>
      <c r="E4940" s="7" t="n">
        <v>477.66</v>
      </c>
      <c r="F4940" s="7" t="n">
        <v>19</v>
      </c>
      <c r="G4940" s="7" t="n">
        <v>389.08</v>
      </c>
    </row>
    <row r="4941" customFormat="false" ht="15" hidden="false" customHeight="false" outlineLevel="0" collapsed="false">
      <c r="A4941" s="7" t="s">
        <v>24</v>
      </c>
      <c r="B4941" s="7" t="s">
        <v>537</v>
      </c>
      <c r="C4941" s="7" t="s">
        <v>1262</v>
      </c>
      <c r="D4941" s="7" t="n">
        <v>0</v>
      </c>
      <c r="E4941" s="7" t="n">
        <v>0</v>
      </c>
      <c r="F4941" s="7" t="n">
        <v>1</v>
      </c>
      <c r="G4941" s="7" t="n">
        <v>20.51</v>
      </c>
    </row>
    <row r="4942" customFormat="false" ht="15" hidden="false" customHeight="false" outlineLevel="0" collapsed="false">
      <c r="A4942" s="7" t="s">
        <v>24</v>
      </c>
      <c r="B4942" s="7" t="s">
        <v>537</v>
      </c>
      <c r="C4942" s="7" t="s">
        <v>1262</v>
      </c>
      <c r="D4942" s="7" t="n">
        <v>0</v>
      </c>
      <c r="E4942" s="7" t="n">
        <v>0</v>
      </c>
      <c r="F4942" s="7" t="n">
        <v>1</v>
      </c>
      <c r="G4942" s="7" t="n">
        <v>20.52</v>
      </c>
    </row>
    <row r="4943" customFormat="false" ht="15" hidden="false" customHeight="false" outlineLevel="0" collapsed="false">
      <c r="A4943" s="7" t="s">
        <v>24</v>
      </c>
      <c r="B4943" s="7" t="s">
        <v>537</v>
      </c>
      <c r="C4943" s="7" t="s">
        <v>1262</v>
      </c>
      <c r="D4943" s="7" t="n">
        <v>0</v>
      </c>
      <c r="E4943" s="7" t="n">
        <v>0</v>
      </c>
      <c r="F4943" s="7" t="n">
        <v>2</v>
      </c>
      <c r="G4943" s="7" t="n">
        <v>38.76</v>
      </c>
    </row>
    <row r="4944" customFormat="false" ht="15" hidden="false" customHeight="false" outlineLevel="0" collapsed="false">
      <c r="A4944" s="7" t="s">
        <v>24</v>
      </c>
      <c r="B4944" s="7" t="s">
        <v>537</v>
      </c>
      <c r="C4944" s="7" t="s">
        <v>1262</v>
      </c>
      <c r="D4944" s="7" t="n">
        <v>1</v>
      </c>
      <c r="E4944" s="7" t="n">
        <v>18.66</v>
      </c>
      <c r="F4944" s="7" t="n">
        <v>0</v>
      </c>
      <c r="G4944" s="7" t="n">
        <v>0</v>
      </c>
    </row>
    <row r="4945" customFormat="false" ht="15" hidden="false" customHeight="false" outlineLevel="0" collapsed="false">
      <c r="A4945" s="7" t="s">
        <v>24</v>
      </c>
      <c r="B4945" s="7" t="s">
        <v>537</v>
      </c>
      <c r="C4945" s="7" t="s">
        <v>1262</v>
      </c>
      <c r="D4945" s="7" t="n">
        <v>0</v>
      </c>
      <c r="E4945" s="7" t="n">
        <v>0</v>
      </c>
      <c r="F4945" s="7" t="n">
        <v>1</v>
      </c>
      <c r="G4945" s="7" t="n">
        <v>22.79</v>
      </c>
    </row>
    <row r="4946" customFormat="false" ht="15" hidden="false" customHeight="false" outlineLevel="0" collapsed="false">
      <c r="A4946" s="7" t="s">
        <v>24</v>
      </c>
      <c r="B4946" s="7" t="s">
        <v>537</v>
      </c>
      <c r="C4946" s="7" t="s">
        <v>1262</v>
      </c>
      <c r="D4946" s="7" t="n">
        <v>0</v>
      </c>
      <c r="E4946" s="7" t="n">
        <v>0</v>
      </c>
      <c r="F4946" s="7" t="n">
        <v>3</v>
      </c>
      <c r="G4946" s="7" t="n">
        <v>68.39</v>
      </c>
    </row>
    <row r="4947" customFormat="false" ht="15" hidden="false" customHeight="false" outlineLevel="0" collapsed="false">
      <c r="A4947" s="7" t="s">
        <v>24</v>
      </c>
      <c r="B4947" s="7" t="s">
        <v>537</v>
      </c>
      <c r="C4947" s="7" t="s">
        <v>1262</v>
      </c>
      <c r="D4947" s="7" t="n">
        <v>0</v>
      </c>
      <c r="E4947" s="7" t="n">
        <v>0</v>
      </c>
      <c r="F4947" s="7" t="n">
        <v>1</v>
      </c>
      <c r="G4947" s="7" t="n">
        <v>19.39</v>
      </c>
    </row>
    <row r="4948" customFormat="false" ht="15" hidden="false" customHeight="false" outlineLevel="0" collapsed="false">
      <c r="A4948" s="7" t="s">
        <v>24</v>
      </c>
      <c r="B4948" s="7" t="s">
        <v>537</v>
      </c>
      <c r="C4948" s="7" t="s">
        <v>1262</v>
      </c>
      <c r="D4948" s="7" t="n">
        <v>0</v>
      </c>
      <c r="E4948" s="7" t="n">
        <v>0</v>
      </c>
      <c r="F4948" s="7" t="n">
        <v>4</v>
      </c>
      <c r="G4948" s="7" t="n">
        <v>91.19</v>
      </c>
    </row>
    <row r="4949" customFormat="false" ht="15" hidden="false" customHeight="false" outlineLevel="0" collapsed="false">
      <c r="A4949" s="7" t="s">
        <v>24</v>
      </c>
      <c r="B4949" s="7" t="s">
        <v>412</v>
      </c>
      <c r="C4949" s="7" t="s">
        <v>1116</v>
      </c>
      <c r="D4949" s="7" t="n">
        <v>0</v>
      </c>
      <c r="E4949" s="7" t="n">
        <v>0</v>
      </c>
      <c r="F4949" s="7" t="n">
        <v>3</v>
      </c>
      <c r="G4949" s="7" t="n">
        <v>68.39</v>
      </c>
    </row>
    <row r="4950" customFormat="false" ht="15" hidden="false" customHeight="false" outlineLevel="0" collapsed="false">
      <c r="A4950" s="7" t="s">
        <v>24</v>
      </c>
      <c r="B4950" s="7" t="s">
        <v>412</v>
      </c>
      <c r="C4950" s="7" t="s">
        <v>1116</v>
      </c>
      <c r="D4950" s="7" t="n">
        <v>0</v>
      </c>
      <c r="E4950" s="7" t="n">
        <v>0</v>
      </c>
      <c r="F4950" s="7" t="n">
        <v>1</v>
      </c>
      <c r="G4950" s="7" t="n">
        <v>18.24</v>
      </c>
    </row>
    <row r="4951" customFormat="false" ht="15" hidden="false" customHeight="false" outlineLevel="0" collapsed="false">
      <c r="A4951" s="7" t="s">
        <v>24</v>
      </c>
      <c r="B4951" s="7" t="s">
        <v>412</v>
      </c>
      <c r="C4951" s="7" t="s">
        <v>1116</v>
      </c>
      <c r="D4951" s="7" t="n">
        <v>0</v>
      </c>
      <c r="E4951" s="7" t="n">
        <v>0</v>
      </c>
      <c r="F4951" s="7" t="n">
        <v>2</v>
      </c>
      <c r="G4951" s="7" t="n">
        <v>45.59</v>
      </c>
    </row>
    <row r="4952" customFormat="false" ht="15" hidden="false" customHeight="false" outlineLevel="0" collapsed="false">
      <c r="A4952" s="7" t="s">
        <v>24</v>
      </c>
      <c r="B4952" s="7" t="s">
        <v>412</v>
      </c>
      <c r="C4952" s="7" t="s">
        <v>1116</v>
      </c>
      <c r="D4952" s="7" t="n">
        <v>0</v>
      </c>
      <c r="E4952" s="7" t="n">
        <v>0</v>
      </c>
      <c r="F4952" s="7" t="n">
        <v>3</v>
      </c>
      <c r="G4952" s="7" t="n">
        <v>68.39</v>
      </c>
    </row>
    <row r="4953" customFormat="false" ht="15" hidden="false" customHeight="false" outlineLevel="0" collapsed="false">
      <c r="A4953" s="7" t="s">
        <v>24</v>
      </c>
      <c r="B4953" s="7" t="s">
        <v>412</v>
      </c>
      <c r="C4953" s="7" t="s">
        <v>1116</v>
      </c>
      <c r="D4953" s="7" t="n">
        <v>0</v>
      </c>
      <c r="E4953" s="7" t="n">
        <v>0</v>
      </c>
      <c r="F4953" s="7" t="n">
        <v>1</v>
      </c>
      <c r="G4953" s="7" t="n">
        <v>18.23</v>
      </c>
    </row>
    <row r="4954" customFormat="false" ht="15" hidden="false" customHeight="false" outlineLevel="0" collapsed="false">
      <c r="A4954" s="7" t="s">
        <v>24</v>
      </c>
      <c r="B4954" s="7" t="s">
        <v>412</v>
      </c>
      <c r="C4954" s="7" t="s">
        <v>1116</v>
      </c>
      <c r="D4954" s="7" t="n">
        <v>0</v>
      </c>
      <c r="E4954" s="7" t="n">
        <v>0</v>
      </c>
      <c r="F4954" s="7" t="n">
        <v>1</v>
      </c>
      <c r="G4954" s="7" t="n">
        <v>19.38</v>
      </c>
    </row>
    <row r="4955" customFormat="false" ht="15" hidden="false" customHeight="false" outlineLevel="0" collapsed="false">
      <c r="A4955" s="7" t="s">
        <v>24</v>
      </c>
      <c r="B4955" s="7" t="s">
        <v>412</v>
      </c>
      <c r="C4955" s="7" t="s">
        <v>1116</v>
      </c>
      <c r="D4955" s="7" t="n">
        <v>1</v>
      </c>
      <c r="E4955" s="7" t="n">
        <v>18.66</v>
      </c>
      <c r="F4955" s="7" t="n">
        <v>0</v>
      </c>
      <c r="G4955" s="7" t="n">
        <v>0</v>
      </c>
    </row>
    <row r="4956" customFormat="false" ht="15" hidden="false" customHeight="false" outlineLevel="0" collapsed="false">
      <c r="A4956" s="7" t="s">
        <v>24</v>
      </c>
      <c r="B4956" s="7" t="s">
        <v>412</v>
      </c>
      <c r="C4956" s="7" t="s">
        <v>1116</v>
      </c>
      <c r="D4956" s="7" t="n">
        <v>0</v>
      </c>
      <c r="E4956" s="7" t="n">
        <v>0</v>
      </c>
      <c r="F4956" s="7" t="n">
        <v>1</v>
      </c>
      <c r="G4956" s="7" t="n">
        <v>19.38</v>
      </c>
    </row>
    <row r="4957" customFormat="false" ht="15" hidden="false" customHeight="false" outlineLevel="0" collapsed="false">
      <c r="A4957" s="7" t="s">
        <v>24</v>
      </c>
      <c r="B4957" s="7" t="s">
        <v>412</v>
      </c>
      <c r="C4957" s="7" t="s">
        <v>1116</v>
      </c>
      <c r="D4957" s="7" t="n">
        <v>0</v>
      </c>
      <c r="E4957" s="7" t="n">
        <v>0</v>
      </c>
      <c r="F4957" s="7" t="n">
        <v>1</v>
      </c>
      <c r="G4957" s="7" t="n">
        <v>22.8</v>
      </c>
    </row>
    <row r="4958" customFormat="false" ht="15" hidden="false" customHeight="false" outlineLevel="0" collapsed="false">
      <c r="A4958" s="7" t="s">
        <v>24</v>
      </c>
      <c r="B4958" s="7" t="s">
        <v>412</v>
      </c>
      <c r="C4958" s="7" t="s">
        <v>1116</v>
      </c>
      <c r="D4958" s="7" t="n">
        <v>0</v>
      </c>
      <c r="E4958" s="7" t="n">
        <v>0</v>
      </c>
      <c r="F4958" s="7" t="n">
        <v>1</v>
      </c>
      <c r="G4958" s="7" t="n">
        <v>22.8</v>
      </c>
    </row>
    <row r="4959" customFormat="false" ht="15" hidden="false" customHeight="false" outlineLevel="0" collapsed="false">
      <c r="A4959" s="7" t="s">
        <v>24</v>
      </c>
      <c r="B4959" s="7" t="s">
        <v>412</v>
      </c>
      <c r="C4959" s="7" t="s">
        <v>1116</v>
      </c>
      <c r="D4959" s="7" t="n">
        <v>7</v>
      </c>
      <c r="E4959" s="7" t="n">
        <v>143.64</v>
      </c>
      <c r="F4959" s="7" t="n">
        <v>17</v>
      </c>
      <c r="G4959" s="7" t="n">
        <v>356.82</v>
      </c>
    </row>
    <row r="4960" customFormat="false" ht="15" hidden="false" customHeight="false" outlineLevel="0" collapsed="false">
      <c r="A4960" s="7" t="s">
        <v>24</v>
      </c>
      <c r="B4960" s="7" t="s">
        <v>603</v>
      </c>
      <c r="C4960" s="7" t="s">
        <v>1067</v>
      </c>
      <c r="D4960" s="7" t="n">
        <v>0</v>
      </c>
      <c r="E4960" s="7" t="n">
        <v>0</v>
      </c>
      <c r="F4960" s="7" t="n">
        <v>1</v>
      </c>
      <c r="G4960" s="7" t="n">
        <v>85.51</v>
      </c>
    </row>
    <row r="4961" customFormat="false" ht="15" hidden="false" customHeight="false" outlineLevel="0" collapsed="false">
      <c r="A4961" s="7" t="s">
        <v>24</v>
      </c>
      <c r="B4961" s="7" t="s">
        <v>603</v>
      </c>
      <c r="C4961" s="7" t="s">
        <v>1067</v>
      </c>
      <c r="D4961" s="7" t="n">
        <v>0</v>
      </c>
      <c r="E4961" s="7" t="n">
        <v>0</v>
      </c>
      <c r="F4961" s="7" t="n">
        <v>1</v>
      </c>
      <c r="G4961" s="7" t="n">
        <v>85.51</v>
      </c>
    </row>
    <row r="4962" customFormat="false" ht="15" hidden="false" customHeight="false" outlineLevel="0" collapsed="false">
      <c r="A4962" s="7" t="s">
        <v>24</v>
      </c>
      <c r="B4962" s="7" t="s">
        <v>603</v>
      </c>
      <c r="C4962" s="7" t="s">
        <v>1067</v>
      </c>
      <c r="D4962" s="7" t="n">
        <v>0</v>
      </c>
      <c r="E4962" s="7" t="n">
        <v>0</v>
      </c>
      <c r="F4962" s="7" t="n">
        <v>1</v>
      </c>
      <c r="G4962" s="7" t="n">
        <v>0</v>
      </c>
    </row>
    <row r="4963" customFormat="false" ht="15" hidden="false" customHeight="false" outlineLevel="0" collapsed="false">
      <c r="A4963" s="7" t="s">
        <v>24</v>
      </c>
      <c r="B4963" s="7" t="s">
        <v>603</v>
      </c>
      <c r="C4963" s="7" t="s">
        <v>1067</v>
      </c>
      <c r="D4963" s="7" t="n">
        <v>0</v>
      </c>
      <c r="E4963" s="7" t="n">
        <v>0</v>
      </c>
      <c r="F4963" s="7" t="n">
        <v>1</v>
      </c>
      <c r="G4963" s="7" t="n">
        <v>72.69</v>
      </c>
    </row>
    <row r="4964" customFormat="false" ht="15" hidden="false" customHeight="false" outlineLevel="0" collapsed="false">
      <c r="A4964" s="7" t="s">
        <v>24</v>
      </c>
      <c r="B4964" s="7" t="s">
        <v>603</v>
      </c>
      <c r="C4964" s="7" t="s">
        <v>1067</v>
      </c>
      <c r="D4964" s="7" t="n">
        <v>20</v>
      </c>
      <c r="E4964" s="7" t="n">
        <v>1479.33</v>
      </c>
      <c r="F4964" s="7" t="n">
        <v>11</v>
      </c>
      <c r="G4964" s="7" t="n">
        <v>829.45</v>
      </c>
    </row>
    <row r="4965" customFormat="false" ht="15" hidden="false" customHeight="false" outlineLevel="0" collapsed="false">
      <c r="A4965" s="7" t="s">
        <v>24</v>
      </c>
      <c r="B4965" s="7" t="s">
        <v>603</v>
      </c>
      <c r="C4965" s="7" t="s">
        <v>1067</v>
      </c>
      <c r="D4965" s="7" t="n">
        <v>0</v>
      </c>
      <c r="E4965" s="7" t="n">
        <v>0</v>
      </c>
      <c r="F4965" s="7" t="n">
        <v>1</v>
      </c>
      <c r="G4965" s="7" t="n">
        <v>64.14</v>
      </c>
    </row>
    <row r="4966" customFormat="false" ht="15" hidden="false" customHeight="false" outlineLevel="0" collapsed="false">
      <c r="A4966" s="7" t="s">
        <v>24</v>
      </c>
      <c r="B4966" s="7" t="s">
        <v>603</v>
      </c>
      <c r="C4966" s="7" t="s">
        <v>1067</v>
      </c>
      <c r="D4966" s="7" t="n">
        <v>0</v>
      </c>
      <c r="E4966" s="7" t="n">
        <v>0</v>
      </c>
      <c r="F4966" s="7" t="n">
        <v>1</v>
      </c>
      <c r="G4966" s="7" t="n">
        <v>72.69</v>
      </c>
    </row>
    <row r="4967" customFormat="false" ht="15" hidden="false" customHeight="false" outlineLevel="0" collapsed="false">
      <c r="A4967" s="7" t="s">
        <v>24</v>
      </c>
      <c r="B4967" s="7" t="s">
        <v>603</v>
      </c>
      <c r="C4967" s="7" t="s">
        <v>1067</v>
      </c>
      <c r="D4967" s="7" t="n">
        <v>0</v>
      </c>
      <c r="E4967" s="7" t="n">
        <v>0</v>
      </c>
      <c r="F4967" s="7" t="n">
        <v>1</v>
      </c>
      <c r="G4967" s="7" t="n">
        <v>72.68</v>
      </c>
    </row>
    <row r="4968" customFormat="false" ht="15" hidden="false" customHeight="false" outlineLevel="0" collapsed="false">
      <c r="A4968" s="7" t="s">
        <v>24</v>
      </c>
      <c r="B4968" s="7" t="s">
        <v>601</v>
      </c>
      <c r="C4968" s="7" t="s">
        <v>1067</v>
      </c>
      <c r="D4968" s="7" t="n">
        <v>5</v>
      </c>
      <c r="E4968" s="7" t="n">
        <v>359.14</v>
      </c>
      <c r="F4968" s="7" t="n">
        <v>3</v>
      </c>
      <c r="G4968" s="7" t="n">
        <v>222.32</v>
      </c>
    </row>
    <row r="4969" customFormat="false" ht="15" hidden="false" customHeight="false" outlineLevel="0" collapsed="false">
      <c r="A4969" s="7" t="s">
        <v>24</v>
      </c>
      <c r="B4969" s="7" t="s">
        <v>601</v>
      </c>
      <c r="C4969" s="7" t="s">
        <v>1067</v>
      </c>
      <c r="D4969" s="7" t="n">
        <v>0</v>
      </c>
      <c r="E4969" s="7" t="n">
        <v>0</v>
      </c>
      <c r="F4969" s="7" t="n">
        <v>1</v>
      </c>
      <c r="G4969" s="7" t="n">
        <v>72.69</v>
      </c>
    </row>
    <row r="4970" customFormat="false" ht="15" hidden="false" customHeight="false" outlineLevel="0" collapsed="false">
      <c r="A4970" s="7" t="s">
        <v>24</v>
      </c>
      <c r="B4970" s="7" t="s">
        <v>601</v>
      </c>
      <c r="C4970" s="7" t="s">
        <v>1067</v>
      </c>
      <c r="D4970" s="7" t="n">
        <v>0</v>
      </c>
      <c r="E4970" s="7" t="n">
        <v>0</v>
      </c>
      <c r="F4970" s="7" t="n">
        <v>1</v>
      </c>
      <c r="G4970" s="7" t="n">
        <v>0</v>
      </c>
    </row>
    <row r="4971" customFormat="false" ht="15" hidden="false" customHeight="false" outlineLevel="0" collapsed="false">
      <c r="A4971" s="7" t="s">
        <v>24</v>
      </c>
      <c r="B4971" s="7" t="s">
        <v>601</v>
      </c>
      <c r="C4971" s="7" t="s">
        <v>1067</v>
      </c>
      <c r="D4971" s="7" t="n">
        <v>0</v>
      </c>
      <c r="E4971" s="7" t="n">
        <v>0</v>
      </c>
      <c r="F4971" s="7" t="n">
        <v>2</v>
      </c>
      <c r="G4971" s="7" t="n">
        <v>26.36</v>
      </c>
    </row>
    <row r="4972" customFormat="false" ht="15" hidden="false" customHeight="false" outlineLevel="0" collapsed="false">
      <c r="A4972" s="7" t="s">
        <v>24</v>
      </c>
      <c r="B4972" s="7" t="s">
        <v>601</v>
      </c>
      <c r="C4972" s="7" t="s">
        <v>1067</v>
      </c>
      <c r="D4972" s="7" t="n">
        <v>0</v>
      </c>
      <c r="E4972" s="7" t="n">
        <v>0</v>
      </c>
      <c r="F4972" s="7" t="n">
        <v>2</v>
      </c>
      <c r="G4972" s="7" t="n">
        <v>162.47</v>
      </c>
    </row>
    <row r="4973" customFormat="false" ht="15" hidden="false" customHeight="false" outlineLevel="0" collapsed="false">
      <c r="A4973" s="7" t="s">
        <v>24</v>
      </c>
      <c r="B4973" s="7" t="s">
        <v>601</v>
      </c>
      <c r="C4973" s="7" t="s">
        <v>1067</v>
      </c>
      <c r="D4973" s="7" t="n">
        <v>0</v>
      </c>
      <c r="E4973" s="7" t="n">
        <v>0</v>
      </c>
      <c r="F4973" s="7" t="n">
        <v>1</v>
      </c>
      <c r="G4973" s="7" t="n">
        <v>72.69</v>
      </c>
    </row>
    <row r="4974" customFormat="false" ht="15" hidden="false" customHeight="false" outlineLevel="0" collapsed="false">
      <c r="A4974" s="7" t="s">
        <v>24</v>
      </c>
      <c r="B4974" s="7" t="s">
        <v>296</v>
      </c>
      <c r="C4974" s="7" t="s">
        <v>1067</v>
      </c>
      <c r="D4974" s="7" t="n">
        <v>0</v>
      </c>
      <c r="E4974" s="7" t="n">
        <v>0</v>
      </c>
      <c r="F4974" s="7" t="n">
        <v>2</v>
      </c>
      <c r="G4974" s="7" t="n">
        <v>153.92</v>
      </c>
    </row>
    <row r="4975" customFormat="false" ht="15" hidden="false" customHeight="false" outlineLevel="0" collapsed="false">
      <c r="A4975" s="7" t="s">
        <v>24</v>
      </c>
      <c r="B4975" s="7" t="s">
        <v>296</v>
      </c>
      <c r="C4975" s="7" t="s">
        <v>1067</v>
      </c>
      <c r="D4975" s="7" t="n">
        <v>0</v>
      </c>
      <c r="E4975" s="7" t="n">
        <v>0</v>
      </c>
      <c r="F4975" s="7" t="n">
        <v>1</v>
      </c>
      <c r="G4975" s="7" t="n">
        <v>76.96</v>
      </c>
    </row>
    <row r="4976" customFormat="false" ht="15" hidden="false" customHeight="false" outlineLevel="0" collapsed="false">
      <c r="A4976" s="7" t="s">
        <v>24</v>
      </c>
      <c r="B4976" s="7" t="s">
        <v>296</v>
      </c>
      <c r="C4976" s="7" t="s">
        <v>1067</v>
      </c>
      <c r="D4976" s="7" t="n">
        <v>0</v>
      </c>
      <c r="E4976" s="7" t="n">
        <v>0</v>
      </c>
      <c r="F4976" s="7" t="n">
        <v>1</v>
      </c>
      <c r="G4976" s="7" t="n">
        <v>85.51</v>
      </c>
    </row>
    <row r="4977" customFormat="false" ht="15" hidden="false" customHeight="false" outlineLevel="0" collapsed="false">
      <c r="A4977" s="7" t="s">
        <v>24</v>
      </c>
      <c r="B4977" s="7" t="s">
        <v>296</v>
      </c>
      <c r="C4977" s="7" t="s">
        <v>1067</v>
      </c>
      <c r="D4977" s="7" t="n">
        <v>0</v>
      </c>
      <c r="E4977" s="7" t="n">
        <v>0</v>
      </c>
      <c r="F4977" s="7" t="n">
        <v>1</v>
      </c>
      <c r="G4977" s="7" t="n">
        <v>85.51</v>
      </c>
    </row>
    <row r="4978" customFormat="false" ht="15" hidden="false" customHeight="false" outlineLevel="0" collapsed="false">
      <c r="A4978" s="7" t="s">
        <v>24</v>
      </c>
      <c r="B4978" s="7" t="s">
        <v>296</v>
      </c>
      <c r="C4978" s="7" t="s">
        <v>1067</v>
      </c>
      <c r="D4978" s="7" t="n">
        <v>0</v>
      </c>
      <c r="E4978" s="7" t="n">
        <v>0</v>
      </c>
      <c r="F4978" s="7" t="n">
        <v>1</v>
      </c>
      <c r="G4978" s="7" t="n">
        <v>85.5</v>
      </c>
    </row>
    <row r="4979" customFormat="false" ht="15" hidden="false" customHeight="false" outlineLevel="0" collapsed="false">
      <c r="A4979" s="7" t="s">
        <v>24</v>
      </c>
      <c r="B4979" s="7" t="s">
        <v>296</v>
      </c>
      <c r="C4979" s="7" t="s">
        <v>1067</v>
      </c>
      <c r="D4979" s="7" t="n">
        <v>0</v>
      </c>
      <c r="E4979" s="7" t="n">
        <v>0</v>
      </c>
      <c r="F4979" s="7" t="n">
        <v>1</v>
      </c>
      <c r="G4979" s="7" t="n">
        <v>72.69</v>
      </c>
    </row>
    <row r="4980" customFormat="false" ht="15" hidden="false" customHeight="false" outlineLevel="0" collapsed="false">
      <c r="A4980" s="7" t="s">
        <v>24</v>
      </c>
      <c r="B4980" s="7" t="s">
        <v>296</v>
      </c>
      <c r="C4980" s="7" t="s">
        <v>1067</v>
      </c>
      <c r="D4980" s="7" t="n">
        <v>0</v>
      </c>
      <c r="E4980" s="7" t="n">
        <v>0</v>
      </c>
      <c r="F4980" s="7" t="n">
        <v>1</v>
      </c>
      <c r="G4980" s="7" t="n">
        <v>72.69</v>
      </c>
    </row>
    <row r="4981" customFormat="false" ht="15" hidden="false" customHeight="false" outlineLevel="0" collapsed="false">
      <c r="A4981" s="7" t="s">
        <v>24</v>
      </c>
      <c r="B4981" s="7" t="s">
        <v>296</v>
      </c>
      <c r="C4981" s="7" t="s">
        <v>1067</v>
      </c>
      <c r="D4981" s="7" t="n">
        <v>0</v>
      </c>
      <c r="E4981" s="7" t="n">
        <v>0</v>
      </c>
      <c r="F4981" s="7" t="n">
        <v>1</v>
      </c>
      <c r="G4981" s="7" t="n">
        <v>72.69</v>
      </c>
    </row>
    <row r="4982" customFormat="false" ht="15" hidden="false" customHeight="false" outlineLevel="0" collapsed="false">
      <c r="A4982" s="7" t="s">
        <v>24</v>
      </c>
      <c r="B4982" s="7" t="s">
        <v>296</v>
      </c>
      <c r="C4982" s="7" t="s">
        <v>1067</v>
      </c>
      <c r="D4982" s="7" t="n">
        <v>0</v>
      </c>
      <c r="E4982" s="7" t="n">
        <v>0</v>
      </c>
      <c r="F4982" s="7" t="n">
        <v>2</v>
      </c>
      <c r="G4982" s="7" t="n">
        <v>145.37</v>
      </c>
    </row>
    <row r="4983" customFormat="false" ht="15" hidden="false" customHeight="false" outlineLevel="0" collapsed="false">
      <c r="A4983" s="7" t="s">
        <v>24</v>
      </c>
      <c r="B4983" s="7" t="s">
        <v>296</v>
      </c>
      <c r="C4983" s="7" t="s">
        <v>1067</v>
      </c>
      <c r="D4983" s="7" t="n">
        <v>0</v>
      </c>
      <c r="E4983" s="7" t="n">
        <v>0</v>
      </c>
      <c r="F4983" s="7" t="n">
        <v>1</v>
      </c>
      <c r="G4983" s="7" t="n">
        <v>13.18</v>
      </c>
    </row>
    <row r="4984" customFormat="false" ht="15" hidden="false" customHeight="false" outlineLevel="0" collapsed="false">
      <c r="A4984" s="7" t="s">
        <v>24</v>
      </c>
      <c r="B4984" s="7" t="s">
        <v>296</v>
      </c>
      <c r="C4984" s="7" t="s">
        <v>1067</v>
      </c>
      <c r="D4984" s="7" t="n">
        <v>39</v>
      </c>
      <c r="E4984" s="7" t="n">
        <v>2903.04</v>
      </c>
      <c r="F4984" s="7" t="n">
        <v>13</v>
      </c>
      <c r="G4984" s="7" t="n">
        <v>1038.93</v>
      </c>
    </row>
    <row r="4985" customFormat="false" ht="15" hidden="false" customHeight="false" outlineLevel="0" collapsed="false">
      <c r="A4985" s="7" t="s">
        <v>24</v>
      </c>
      <c r="B4985" s="7" t="s">
        <v>296</v>
      </c>
      <c r="C4985" s="7" t="s">
        <v>1067</v>
      </c>
      <c r="D4985" s="7" t="n">
        <v>0</v>
      </c>
      <c r="E4985" s="7" t="n">
        <v>0</v>
      </c>
      <c r="F4985" s="7" t="n">
        <v>1</v>
      </c>
      <c r="G4985" s="7" t="n">
        <v>64.14</v>
      </c>
    </row>
    <row r="4986" customFormat="false" ht="15" hidden="false" customHeight="false" outlineLevel="0" collapsed="false">
      <c r="A4986" s="7" t="s">
        <v>24</v>
      </c>
      <c r="B4986" s="7" t="s">
        <v>416</v>
      </c>
      <c r="C4986" s="7" t="s">
        <v>1067</v>
      </c>
      <c r="D4986" s="7" t="n">
        <v>0</v>
      </c>
      <c r="E4986" s="7" t="n">
        <v>0</v>
      </c>
      <c r="F4986" s="7" t="n">
        <v>4</v>
      </c>
      <c r="G4986" s="7" t="n">
        <v>256.54</v>
      </c>
    </row>
    <row r="4987" customFormat="false" ht="15" hidden="false" customHeight="false" outlineLevel="0" collapsed="false">
      <c r="A4987" s="7" t="s">
        <v>24</v>
      </c>
      <c r="B4987" s="7" t="s">
        <v>416</v>
      </c>
      <c r="C4987" s="7" t="s">
        <v>1067</v>
      </c>
      <c r="D4987" s="7" t="n">
        <v>10</v>
      </c>
      <c r="E4987" s="7" t="n">
        <v>705.46</v>
      </c>
      <c r="F4987" s="7" t="n">
        <v>7</v>
      </c>
      <c r="G4987" s="7" t="n">
        <v>487.43</v>
      </c>
    </row>
    <row r="4988" customFormat="false" ht="15" hidden="false" customHeight="false" outlineLevel="0" collapsed="false">
      <c r="A4988" s="7" t="s">
        <v>24</v>
      </c>
      <c r="B4988" s="7" t="s">
        <v>416</v>
      </c>
      <c r="C4988" s="7" t="s">
        <v>1067</v>
      </c>
      <c r="D4988" s="7" t="n">
        <v>0</v>
      </c>
      <c r="E4988" s="7" t="n">
        <v>0</v>
      </c>
      <c r="F4988" s="7" t="n">
        <v>1</v>
      </c>
      <c r="G4988" s="7" t="n">
        <v>64.14</v>
      </c>
    </row>
    <row r="4989" customFormat="false" ht="15" hidden="false" customHeight="false" outlineLevel="0" collapsed="false">
      <c r="A4989" s="7" t="s">
        <v>24</v>
      </c>
      <c r="B4989" s="7" t="s">
        <v>416</v>
      </c>
      <c r="C4989" s="7" t="s">
        <v>1067</v>
      </c>
      <c r="D4989" s="7" t="n">
        <v>0</v>
      </c>
      <c r="E4989" s="7" t="n">
        <v>0</v>
      </c>
      <c r="F4989" s="7" t="n">
        <v>1</v>
      </c>
      <c r="G4989" s="7" t="n">
        <v>72.68</v>
      </c>
    </row>
    <row r="4990" customFormat="false" ht="15" hidden="false" customHeight="false" outlineLevel="0" collapsed="false">
      <c r="A4990" s="7" t="s">
        <v>24</v>
      </c>
      <c r="B4990" s="7" t="s">
        <v>416</v>
      </c>
      <c r="C4990" s="7" t="s">
        <v>1067</v>
      </c>
      <c r="D4990" s="7" t="n">
        <v>0</v>
      </c>
      <c r="E4990" s="7" t="n">
        <v>0</v>
      </c>
      <c r="F4990" s="7" t="n">
        <v>1</v>
      </c>
      <c r="G4990" s="7" t="n">
        <v>85.51</v>
      </c>
    </row>
    <row r="4991" customFormat="false" ht="15" hidden="false" customHeight="false" outlineLevel="0" collapsed="false">
      <c r="A4991" s="7" t="s">
        <v>24</v>
      </c>
      <c r="B4991" s="7" t="s">
        <v>416</v>
      </c>
      <c r="C4991" s="7" t="s">
        <v>1067</v>
      </c>
      <c r="D4991" s="7" t="n">
        <v>0</v>
      </c>
      <c r="E4991" s="7" t="n">
        <v>0</v>
      </c>
      <c r="F4991" s="7" t="n">
        <v>1</v>
      </c>
      <c r="G4991" s="7" t="n">
        <v>72.68</v>
      </c>
    </row>
    <row r="4992" customFormat="false" ht="15" hidden="false" customHeight="false" outlineLevel="0" collapsed="false">
      <c r="A4992" s="7" t="s">
        <v>24</v>
      </c>
      <c r="B4992" s="7" t="s">
        <v>416</v>
      </c>
      <c r="C4992" s="7" t="s">
        <v>1067</v>
      </c>
      <c r="D4992" s="7" t="n">
        <v>0</v>
      </c>
      <c r="E4992" s="7" t="n">
        <v>0</v>
      </c>
      <c r="F4992" s="7" t="n">
        <v>1</v>
      </c>
      <c r="G4992" s="7" t="n">
        <v>85.51</v>
      </c>
    </row>
    <row r="4993" customFormat="false" ht="15" hidden="false" customHeight="false" outlineLevel="0" collapsed="false">
      <c r="A4993" s="7" t="s">
        <v>24</v>
      </c>
      <c r="B4993" s="7" t="s">
        <v>416</v>
      </c>
      <c r="C4993" s="7" t="s">
        <v>1067</v>
      </c>
      <c r="D4993" s="7" t="n">
        <v>0</v>
      </c>
      <c r="E4993" s="7" t="n">
        <v>0</v>
      </c>
      <c r="F4993" s="7" t="n">
        <v>1</v>
      </c>
      <c r="G4993" s="7" t="n">
        <v>0</v>
      </c>
    </row>
    <row r="4994" customFormat="false" ht="15" hidden="false" customHeight="false" outlineLevel="0" collapsed="false">
      <c r="A4994" s="7" t="s">
        <v>24</v>
      </c>
      <c r="B4994" s="7" t="s">
        <v>416</v>
      </c>
      <c r="C4994" s="7" t="s">
        <v>1067</v>
      </c>
      <c r="D4994" s="7" t="n">
        <v>0</v>
      </c>
      <c r="E4994" s="7" t="n">
        <v>0</v>
      </c>
      <c r="F4994" s="7" t="n">
        <v>1</v>
      </c>
      <c r="G4994" s="7" t="n">
        <v>72.69</v>
      </c>
    </row>
    <row r="4995" customFormat="false" ht="15" hidden="false" customHeight="false" outlineLevel="0" collapsed="false">
      <c r="A4995" s="7" t="s">
        <v>24</v>
      </c>
      <c r="B4995" s="7" t="s">
        <v>713</v>
      </c>
      <c r="C4995" s="7" t="s">
        <v>1067</v>
      </c>
      <c r="D4995" s="7" t="n">
        <v>1</v>
      </c>
      <c r="E4995" s="7" t="n">
        <v>85.51</v>
      </c>
      <c r="F4995" s="7" t="n">
        <v>0</v>
      </c>
      <c r="G4995" s="7" t="n">
        <v>0</v>
      </c>
    </row>
    <row r="4996" customFormat="false" ht="15" hidden="false" customHeight="false" outlineLevel="0" collapsed="false">
      <c r="A4996" s="7" t="s">
        <v>24</v>
      </c>
      <c r="B4996" s="7" t="s">
        <v>632</v>
      </c>
      <c r="C4996" s="7" t="s">
        <v>1067</v>
      </c>
      <c r="D4996" s="7" t="n">
        <v>3</v>
      </c>
      <c r="E4996" s="7" t="n">
        <v>243.7</v>
      </c>
      <c r="F4996" s="7" t="n">
        <v>1</v>
      </c>
      <c r="G4996" s="7" t="n">
        <v>72.68</v>
      </c>
    </row>
    <row r="4997" customFormat="false" ht="15" hidden="false" customHeight="false" outlineLevel="0" collapsed="false">
      <c r="A4997" s="7" t="s">
        <v>24</v>
      </c>
      <c r="B4997" s="7" t="s">
        <v>653</v>
      </c>
      <c r="C4997" s="7" t="s">
        <v>1067</v>
      </c>
      <c r="D4997" s="7" t="n">
        <v>2</v>
      </c>
      <c r="E4997" s="7" t="n">
        <v>141.09</v>
      </c>
      <c r="F4997" s="7" t="n">
        <v>0</v>
      </c>
      <c r="G4997" s="7" t="n">
        <v>0</v>
      </c>
    </row>
    <row r="4998" customFormat="false" ht="15" hidden="false" customHeight="false" outlineLevel="0" collapsed="false">
      <c r="A4998" s="7" t="s">
        <v>24</v>
      </c>
      <c r="B4998" s="7" t="s">
        <v>731</v>
      </c>
      <c r="C4998" s="7" t="s">
        <v>1067</v>
      </c>
      <c r="D4998" s="7" t="n">
        <v>0</v>
      </c>
      <c r="E4998" s="7" t="n">
        <v>0</v>
      </c>
      <c r="F4998" s="7" t="n">
        <v>1</v>
      </c>
      <c r="G4998" s="7" t="n">
        <v>72.68</v>
      </c>
    </row>
    <row r="4999" customFormat="false" ht="15" hidden="false" customHeight="false" outlineLevel="0" collapsed="false">
      <c r="A4999" s="7" t="s">
        <v>24</v>
      </c>
      <c r="B4999" s="7" t="s">
        <v>219</v>
      </c>
      <c r="C4999" s="7" t="s">
        <v>1263</v>
      </c>
      <c r="D4999" s="7" t="n">
        <v>0</v>
      </c>
      <c r="E4999" s="7" t="n">
        <v>0</v>
      </c>
      <c r="F4999" s="7" t="n">
        <v>1</v>
      </c>
      <c r="G4999" s="7" t="n">
        <v>76.96</v>
      </c>
    </row>
    <row r="5000" customFormat="false" ht="15" hidden="false" customHeight="false" outlineLevel="0" collapsed="false">
      <c r="A5000" s="7" t="s">
        <v>24</v>
      </c>
      <c r="B5000" s="7" t="s">
        <v>219</v>
      </c>
      <c r="C5000" s="7" t="s">
        <v>1263</v>
      </c>
      <c r="D5000" s="7" t="n">
        <v>0</v>
      </c>
      <c r="E5000" s="7" t="n">
        <v>0</v>
      </c>
      <c r="F5000" s="7" t="n">
        <v>1</v>
      </c>
      <c r="G5000" s="7" t="n">
        <v>85.51</v>
      </c>
    </row>
    <row r="5001" customFormat="false" ht="15" hidden="false" customHeight="false" outlineLevel="0" collapsed="false">
      <c r="A5001" s="7" t="s">
        <v>24</v>
      </c>
      <c r="B5001" s="7" t="s">
        <v>219</v>
      </c>
      <c r="C5001" s="7" t="s">
        <v>1263</v>
      </c>
      <c r="D5001" s="7" t="n">
        <v>0</v>
      </c>
      <c r="E5001" s="7" t="n">
        <v>0</v>
      </c>
      <c r="F5001" s="7" t="n">
        <v>1</v>
      </c>
      <c r="G5001" s="7" t="n">
        <v>76.95</v>
      </c>
    </row>
    <row r="5002" customFormat="false" ht="15" hidden="false" customHeight="false" outlineLevel="0" collapsed="false">
      <c r="A5002" s="7" t="s">
        <v>24</v>
      </c>
      <c r="B5002" s="7" t="s">
        <v>219</v>
      </c>
      <c r="C5002" s="7" t="s">
        <v>1263</v>
      </c>
      <c r="D5002" s="7" t="n">
        <v>0</v>
      </c>
      <c r="E5002" s="7" t="n">
        <v>0</v>
      </c>
      <c r="F5002" s="7" t="n">
        <v>1</v>
      </c>
      <c r="G5002" s="7" t="n">
        <v>85.51</v>
      </c>
    </row>
    <row r="5003" customFormat="false" ht="15" hidden="false" customHeight="false" outlineLevel="0" collapsed="false">
      <c r="A5003" s="7" t="s">
        <v>24</v>
      </c>
      <c r="B5003" s="7" t="s">
        <v>219</v>
      </c>
      <c r="C5003" s="7" t="s">
        <v>1263</v>
      </c>
      <c r="D5003" s="7" t="n">
        <v>0</v>
      </c>
      <c r="E5003" s="7" t="n">
        <v>0</v>
      </c>
      <c r="F5003" s="7" t="n">
        <v>1</v>
      </c>
      <c r="G5003" s="7" t="n">
        <v>85.5</v>
      </c>
    </row>
    <row r="5004" customFormat="false" ht="15" hidden="false" customHeight="false" outlineLevel="0" collapsed="false">
      <c r="A5004" s="7" t="s">
        <v>24</v>
      </c>
      <c r="B5004" s="7" t="s">
        <v>219</v>
      </c>
      <c r="C5004" s="7" t="s">
        <v>1263</v>
      </c>
      <c r="D5004" s="7" t="n">
        <v>0</v>
      </c>
      <c r="E5004" s="7" t="n">
        <v>0</v>
      </c>
      <c r="F5004" s="7" t="n">
        <v>1</v>
      </c>
      <c r="G5004" s="7" t="n">
        <v>76.96</v>
      </c>
    </row>
    <row r="5005" customFormat="false" ht="15" hidden="false" customHeight="false" outlineLevel="0" collapsed="false">
      <c r="A5005" s="7" t="s">
        <v>24</v>
      </c>
      <c r="B5005" s="7" t="s">
        <v>219</v>
      </c>
      <c r="C5005" s="7" t="s">
        <v>1263</v>
      </c>
      <c r="D5005" s="7" t="n">
        <v>0</v>
      </c>
      <c r="E5005" s="7" t="n">
        <v>0</v>
      </c>
      <c r="F5005" s="7" t="n">
        <v>1</v>
      </c>
      <c r="G5005" s="7" t="n">
        <v>76.96</v>
      </c>
    </row>
    <row r="5006" customFormat="false" ht="15" hidden="false" customHeight="false" outlineLevel="0" collapsed="false">
      <c r="A5006" s="7" t="s">
        <v>24</v>
      </c>
      <c r="B5006" s="7" t="s">
        <v>219</v>
      </c>
      <c r="C5006" s="7" t="s">
        <v>1263</v>
      </c>
      <c r="D5006" s="7" t="n">
        <v>18</v>
      </c>
      <c r="E5006" s="7" t="n">
        <v>1393.8</v>
      </c>
      <c r="F5006" s="7" t="n">
        <v>17</v>
      </c>
      <c r="G5006" s="7" t="n">
        <v>1402.37</v>
      </c>
    </row>
    <row r="5007" customFormat="false" ht="15" hidden="false" customHeight="false" outlineLevel="0" collapsed="false">
      <c r="A5007" s="7" t="s">
        <v>24</v>
      </c>
      <c r="B5007" s="7" t="s">
        <v>219</v>
      </c>
      <c r="C5007" s="7" t="s">
        <v>1263</v>
      </c>
      <c r="D5007" s="7" t="n">
        <v>0</v>
      </c>
      <c r="E5007" s="7" t="n">
        <v>0</v>
      </c>
      <c r="F5007" s="7" t="n">
        <v>2</v>
      </c>
      <c r="G5007" s="7" t="n">
        <v>153.92</v>
      </c>
    </row>
    <row r="5008" customFormat="false" ht="15" hidden="false" customHeight="false" outlineLevel="0" collapsed="false">
      <c r="A5008" s="7" t="s">
        <v>24</v>
      </c>
      <c r="B5008" s="7" t="s">
        <v>219</v>
      </c>
      <c r="C5008" s="7" t="s">
        <v>1263</v>
      </c>
      <c r="D5008" s="7" t="n">
        <v>0</v>
      </c>
      <c r="E5008" s="7" t="n">
        <v>0</v>
      </c>
      <c r="F5008" s="7" t="n">
        <v>2</v>
      </c>
      <c r="G5008" s="7" t="n">
        <v>171.01</v>
      </c>
    </row>
    <row r="5009" customFormat="false" ht="15" hidden="false" customHeight="false" outlineLevel="0" collapsed="false">
      <c r="A5009" s="7" t="s">
        <v>24</v>
      </c>
      <c r="B5009" s="7" t="s">
        <v>219</v>
      </c>
      <c r="C5009" s="7" t="s">
        <v>1263</v>
      </c>
      <c r="D5009" s="7" t="n">
        <v>0</v>
      </c>
      <c r="E5009" s="7" t="n">
        <v>0</v>
      </c>
      <c r="F5009" s="7" t="n">
        <v>1</v>
      </c>
      <c r="G5009" s="7" t="n">
        <v>85.51</v>
      </c>
    </row>
    <row r="5010" customFormat="false" ht="15" hidden="false" customHeight="false" outlineLevel="0" collapsed="false">
      <c r="A5010" s="7" t="s">
        <v>24</v>
      </c>
      <c r="B5010" s="7" t="s">
        <v>219</v>
      </c>
      <c r="C5010" s="7" t="s">
        <v>1263</v>
      </c>
      <c r="D5010" s="7" t="n">
        <v>0</v>
      </c>
      <c r="E5010" s="7" t="n">
        <v>0</v>
      </c>
      <c r="F5010" s="7" t="n">
        <v>2</v>
      </c>
      <c r="G5010" s="7" t="n">
        <v>171.02</v>
      </c>
    </row>
    <row r="5011" customFormat="false" ht="15" hidden="false" customHeight="false" outlineLevel="0" collapsed="false">
      <c r="A5011" s="7" t="s">
        <v>24</v>
      </c>
      <c r="B5011" s="7" t="s">
        <v>219</v>
      </c>
      <c r="C5011" s="7" t="s">
        <v>1263</v>
      </c>
      <c r="D5011" s="7" t="n">
        <v>0</v>
      </c>
      <c r="E5011" s="7" t="n">
        <v>0</v>
      </c>
      <c r="F5011" s="7" t="n">
        <v>1</v>
      </c>
      <c r="G5011" s="7" t="n">
        <v>76.96</v>
      </c>
    </row>
    <row r="5012" customFormat="false" ht="15" hidden="false" customHeight="false" outlineLevel="0" collapsed="false">
      <c r="A5012" s="7" t="s">
        <v>24</v>
      </c>
      <c r="B5012" s="7" t="s">
        <v>219</v>
      </c>
      <c r="C5012" s="7" t="s">
        <v>1263</v>
      </c>
      <c r="D5012" s="7" t="n">
        <v>0</v>
      </c>
      <c r="E5012" s="7" t="n">
        <v>0</v>
      </c>
      <c r="F5012" s="7" t="n">
        <v>1</v>
      </c>
      <c r="G5012" s="7" t="n">
        <v>85.51</v>
      </c>
    </row>
    <row r="5013" customFormat="false" ht="15" hidden="false" customHeight="false" outlineLevel="0" collapsed="false">
      <c r="A5013" s="7" t="s">
        <v>24</v>
      </c>
      <c r="B5013" s="7" t="s">
        <v>219</v>
      </c>
      <c r="C5013" s="7" t="s">
        <v>1263</v>
      </c>
      <c r="D5013" s="7" t="n">
        <v>0</v>
      </c>
      <c r="E5013" s="7" t="n">
        <v>0</v>
      </c>
      <c r="F5013" s="7" t="n">
        <v>1</v>
      </c>
      <c r="G5013" s="7" t="n">
        <v>85.51</v>
      </c>
    </row>
    <row r="5014" customFormat="false" ht="15" hidden="false" customHeight="false" outlineLevel="0" collapsed="false">
      <c r="A5014" s="7" t="s">
        <v>24</v>
      </c>
      <c r="B5014" s="7" t="s">
        <v>219</v>
      </c>
      <c r="C5014" s="7" t="s">
        <v>1263</v>
      </c>
      <c r="D5014" s="7" t="n">
        <v>1</v>
      </c>
      <c r="E5014" s="7" t="n">
        <v>69.6</v>
      </c>
      <c r="F5014" s="7" t="n">
        <v>0</v>
      </c>
      <c r="G5014" s="7" t="n">
        <v>0</v>
      </c>
    </row>
    <row r="5015" customFormat="false" ht="15" hidden="false" customHeight="false" outlineLevel="0" collapsed="false">
      <c r="A5015" s="7" t="s">
        <v>24</v>
      </c>
      <c r="B5015" s="7" t="s">
        <v>219</v>
      </c>
      <c r="C5015" s="7" t="s">
        <v>1263</v>
      </c>
      <c r="D5015" s="7" t="n">
        <v>0</v>
      </c>
      <c r="E5015" s="7" t="n">
        <v>0</v>
      </c>
      <c r="F5015" s="7" t="n">
        <v>1</v>
      </c>
      <c r="G5015" s="7" t="n">
        <v>85.51</v>
      </c>
    </row>
    <row r="5016" customFormat="false" ht="15" hidden="false" customHeight="false" outlineLevel="0" collapsed="false">
      <c r="A5016" s="7" t="s">
        <v>24</v>
      </c>
      <c r="B5016" s="7" t="s">
        <v>219</v>
      </c>
      <c r="C5016" s="7" t="s">
        <v>1263</v>
      </c>
      <c r="D5016" s="7" t="n">
        <v>0</v>
      </c>
      <c r="E5016" s="7" t="n">
        <v>0</v>
      </c>
      <c r="F5016" s="7" t="n">
        <v>1</v>
      </c>
      <c r="G5016" s="7" t="n">
        <v>85.51</v>
      </c>
    </row>
    <row r="5017" customFormat="false" ht="15" hidden="false" customHeight="false" outlineLevel="0" collapsed="false">
      <c r="A5017" s="7" t="s">
        <v>24</v>
      </c>
      <c r="B5017" s="7" t="s">
        <v>219</v>
      </c>
      <c r="C5017" s="7" t="s">
        <v>1263</v>
      </c>
      <c r="D5017" s="7" t="n">
        <v>0</v>
      </c>
      <c r="E5017" s="7" t="n">
        <v>0</v>
      </c>
      <c r="F5017" s="7" t="n">
        <v>1</v>
      </c>
      <c r="G5017" s="7" t="n">
        <v>76.95</v>
      </c>
    </row>
    <row r="5018" customFormat="false" ht="15" hidden="false" customHeight="false" outlineLevel="0" collapsed="false">
      <c r="A5018" s="7" t="s">
        <v>24</v>
      </c>
      <c r="B5018" s="7" t="s">
        <v>321</v>
      </c>
      <c r="C5018" s="7" t="s">
        <v>1068</v>
      </c>
      <c r="D5018" s="7" t="n">
        <v>0</v>
      </c>
      <c r="E5018" s="7" t="n">
        <v>0</v>
      </c>
      <c r="F5018" s="7" t="n">
        <v>1</v>
      </c>
      <c r="G5018" s="7" t="n">
        <v>254.15</v>
      </c>
    </row>
    <row r="5019" customFormat="false" ht="15" hidden="false" customHeight="false" outlineLevel="0" collapsed="false">
      <c r="A5019" s="7" t="s">
        <v>24</v>
      </c>
      <c r="B5019" s="7" t="s">
        <v>321</v>
      </c>
      <c r="C5019" s="7" t="s">
        <v>1068</v>
      </c>
      <c r="D5019" s="7" t="n">
        <v>0</v>
      </c>
      <c r="E5019" s="7" t="n">
        <v>0</v>
      </c>
      <c r="F5019" s="7" t="n">
        <v>1</v>
      </c>
      <c r="G5019" s="7" t="n">
        <v>254.15</v>
      </c>
    </row>
    <row r="5020" customFormat="false" ht="15" hidden="false" customHeight="false" outlineLevel="0" collapsed="false">
      <c r="A5020" s="7" t="s">
        <v>24</v>
      </c>
      <c r="B5020" s="7" t="s">
        <v>321</v>
      </c>
      <c r="C5020" s="7" t="s">
        <v>1068</v>
      </c>
      <c r="D5020" s="7" t="n">
        <v>0</v>
      </c>
      <c r="E5020" s="7" t="n">
        <v>0</v>
      </c>
      <c r="F5020" s="7" t="n">
        <v>1</v>
      </c>
      <c r="G5020" s="7" t="n">
        <v>228.74</v>
      </c>
    </row>
    <row r="5021" customFormat="false" ht="15" hidden="false" customHeight="false" outlineLevel="0" collapsed="false">
      <c r="A5021" s="7" t="s">
        <v>24</v>
      </c>
      <c r="B5021" s="7" t="s">
        <v>321</v>
      </c>
      <c r="C5021" s="7" t="s">
        <v>1068</v>
      </c>
      <c r="D5021" s="7" t="n">
        <v>0</v>
      </c>
      <c r="E5021" s="7" t="n">
        <v>0</v>
      </c>
      <c r="F5021" s="7" t="n">
        <v>1</v>
      </c>
      <c r="G5021" s="7" t="n">
        <v>254.15</v>
      </c>
    </row>
    <row r="5022" customFormat="false" ht="15" hidden="false" customHeight="false" outlineLevel="0" collapsed="false">
      <c r="A5022" s="7" t="s">
        <v>24</v>
      </c>
      <c r="B5022" s="7" t="s">
        <v>321</v>
      </c>
      <c r="C5022" s="7" t="s">
        <v>1068</v>
      </c>
      <c r="D5022" s="7" t="n">
        <v>0</v>
      </c>
      <c r="E5022" s="7" t="n">
        <v>0</v>
      </c>
      <c r="F5022" s="7" t="n">
        <v>1</v>
      </c>
      <c r="G5022" s="7" t="n">
        <v>254.15</v>
      </c>
    </row>
    <row r="5023" customFormat="false" ht="15" hidden="false" customHeight="false" outlineLevel="0" collapsed="false">
      <c r="A5023" s="7" t="s">
        <v>24</v>
      </c>
      <c r="B5023" s="7" t="s">
        <v>321</v>
      </c>
      <c r="C5023" s="7" t="s">
        <v>1068</v>
      </c>
      <c r="D5023" s="7" t="n">
        <v>0</v>
      </c>
      <c r="E5023" s="7" t="n">
        <v>0</v>
      </c>
      <c r="F5023" s="7" t="n">
        <v>2</v>
      </c>
      <c r="G5023" s="7" t="n">
        <v>508.3</v>
      </c>
    </row>
    <row r="5024" customFormat="false" ht="15" hidden="false" customHeight="false" outlineLevel="0" collapsed="false">
      <c r="A5024" s="7" t="s">
        <v>24</v>
      </c>
      <c r="B5024" s="7" t="s">
        <v>321</v>
      </c>
      <c r="C5024" s="7" t="s">
        <v>1068</v>
      </c>
      <c r="D5024" s="7" t="n">
        <v>0</v>
      </c>
      <c r="E5024" s="7" t="n">
        <v>0</v>
      </c>
      <c r="F5024" s="7" t="n">
        <v>1</v>
      </c>
      <c r="G5024" s="7" t="n">
        <v>216.04</v>
      </c>
    </row>
    <row r="5025" customFormat="false" ht="15" hidden="false" customHeight="false" outlineLevel="0" collapsed="false">
      <c r="A5025" s="7" t="s">
        <v>24</v>
      </c>
      <c r="B5025" s="7" t="s">
        <v>321</v>
      </c>
      <c r="C5025" s="7" t="s">
        <v>1068</v>
      </c>
      <c r="D5025" s="7" t="n">
        <v>32</v>
      </c>
      <c r="E5025" s="7" t="n">
        <v>7700.76</v>
      </c>
      <c r="F5025" s="7" t="n">
        <v>15</v>
      </c>
      <c r="G5025" s="7" t="n">
        <v>3583.48</v>
      </c>
    </row>
    <row r="5026" customFormat="false" ht="15" hidden="false" customHeight="false" outlineLevel="0" collapsed="false">
      <c r="A5026" s="7" t="s">
        <v>24</v>
      </c>
      <c r="B5026" s="7" t="s">
        <v>321</v>
      </c>
      <c r="C5026" s="7" t="s">
        <v>1068</v>
      </c>
      <c r="D5026" s="7" t="n">
        <v>0</v>
      </c>
      <c r="E5026" s="7" t="n">
        <v>0</v>
      </c>
      <c r="F5026" s="7" t="n">
        <v>1</v>
      </c>
      <c r="G5026" s="7" t="n">
        <v>228.73</v>
      </c>
    </row>
    <row r="5027" customFormat="false" ht="15" hidden="false" customHeight="false" outlineLevel="0" collapsed="false">
      <c r="A5027" s="7" t="s">
        <v>24</v>
      </c>
      <c r="B5027" s="7" t="s">
        <v>321</v>
      </c>
      <c r="C5027" s="7" t="s">
        <v>1068</v>
      </c>
      <c r="D5027" s="7" t="n">
        <v>0</v>
      </c>
      <c r="E5027" s="7" t="n">
        <v>0</v>
      </c>
      <c r="F5027" s="7" t="n">
        <v>1</v>
      </c>
      <c r="G5027" s="7" t="n">
        <v>254.15</v>
      </c>
    </row>
    <row r="5028" customFormat="false" ht="15" hidden="false" customHeight="false" outlineLevel="0" collapsed="false">
      <c r="A5028" s="7" t="s">
        <v>24</v>
      </c>
      <c r="B5028" s="7" t="s">
        <v>321</v>
      </c>
      <c r="C5028" s="7" t="s">
        <v>1068</v>
      </c>
      <c r="D5028" s="7" t="n">
        <v>0</v>
      </c>
      <c r="E5028" s="7" t="n">
        <v>0</v>
      </c>
      <c r="F5028" s="7" t="n">
        <v>1</v>
      </c>
      <c r="G5028" s="7" t="n">
        <v>254.15</v>
      </c>
    </row>
    <row r="5029" customFormat="false" ht="15" hidden="false" customHeight="false" outlineLevel="0" collapsed="false">
      <c r="A5029" s="7" t="s">
        <v>24</v>
      </c>
      <c r="B5029" s="7" t="s">
        <v>321</v>
      </c>
      <c r="C5029" s="7" t="s">
        <v>1068</v>
      </c>
      <c r="D5029" s="7" t="n">
        <v>1</v>
      </c>
      <c r="E5029" s="7" t="n">
        <v>0.01</v>
      </c>
      <c r="F5029" s="7" t="n">
        <v>0</v>
      </c>
      <c r="G5029" s="7" t="n">
        <v>0</v>
      </c>
    </row>
    <row r="5030" customFormat="false" ht="15" hidden="false" customHeight="false" outlineLevel="0" collapsed="false">
      <c r="A5030" s="7" t="s">
        <v>24</v>
      </c>
      <c r="B5030" s="7" t="s">
        <v>321</v>
      </c>
      <c r="C5030" s="7" t="s">
        <v>1068</v>
      </c>
      <c r="D5030" s="7" t="n">
        <v>4</v>
      </c>
      <c r="E5030" s="7" t="n">
        <v>971.97</v>
      </c>
      <c r="F5030" s="7" t="n">
        <v>0</v>
      </c>
      <c r="G5030" s="7" t="n">
        <v>0</v>
      </c>
    </row>
    <row r="5031" customFormat="false" ht="15" hidden="false" customHeight="false" outlineLevel="0" collapsed="false">
      <c r="A5031" s="7" t="s">
        <v>24</v>
      </c>
      <c r="B5031" s="7" t="s">
        <v>321</v>
      </c>
      <c r="C5031" s="7" t="s">
        <v>1068</v>
      </c>
      <c r="D5031" s="7" t="n">
        <v>0</v>
      </c>
      <c r="E5031" s="7" t="n">
        <v>0</v>
      </c>
      <c r="F5031" s="7" t="n">
        <v>2</v>
      </c>
      <c r="G5031" s="7" t="n">
        <v>482.89</v>
      </c>
    </row>
    <row r="5032" customFormat="false" ht="15" hidden="false" customHeight="false" outlineLevel="0" collapsed="false">
      <c r="A5032" s="7" t="s">
        <v>24</v>
      </c>
      <c r="B5032" s="7" t="s">
        <v>321</v>
      </c>
      <c r="C5032" s="7" t="s">
        <v>1068</v>
      </c>
      <c r="D5032" s="7" t="n">
        <v>0</v>
      </c>
      <c r="E5032" s="7" t="n">
        <v>0</v>
      </c>
      <c r="F5032" s="7" t="n">
        <v>1</v>
      </c>
      <c r="G5032" s="7" t="n">
        <v>228.74</v>
      </c>
    </row>
    <row r="5033" customFormat="false" ht="15" hidden="false" customHeight="false" outlineLevel="0" collapsed="false">
      <c r="A5033" s="7" t="s">
        <v>24</v>
      </c>
      <c r="B5033" s="7" t="s">
        <v>321</v>
      </c>
      <c r="C5033" s="7" t="s">
        <v>1068</v>
      </c>
      <c r="D5033" s="7" t="n">
        <v>0</v>
      </c>
      <c r="E5033" s="7" t="n">
        <v>0</v>
      </c>
      <c r="F5033" s="7" t="n">
        <v>1</v>
      </c>
      <c r="G5033" s="7" t="n">
        <v>254.16</v>
      </c>
    </row>
    <row r="5034" customFormat="false" ht="15" hidden="false" customHeight="false" outlineLevel="0" collapsed="false">
      <c r="A5034" s="7" t="s">
        <v>24</v>
      </c>
      <c r="B5034" s="7" t="s">
        <v>321</v>
      </c>
      <c r="C5034" s="7" t="s">
        <v>1068</v>
      </c>
      <c r="D5034" s="7" t="n">
        <v>0</v>
      </c>
      <c r="E5034" s="7" t="n">
        <v>0</v>
      </c>
      <c r="F5034" s="7" t="n">
        <v>1</v>
      </c>
      <c r="G5034" s="7" t="n">
        <v>254.15</v>
      </c>
    </row>
    <row r="5035" customFormat="false" ht="15" hidden="false" customHeight="false" outlineLevel="0" collapsed="false">
      <c r="A5035" s="7" t="s">
        <v>24</v>
      </c>
      <c r="B5035" s="7" t="s">
        <v>321</v>
      </c>
      <c r="C5035" s="7" t="s">
        <v>1068</v>
      </c>
      <c r="D5035" s="7" t="n">
        <v>0</v>
      </c>
      <c r="E5035" s="7" t="n">
        <v>0</v>
      </c>
      <c r="F5035" s="7" t="n">
        <v>1</v>
      </c>
      <c r="G5035" s="7" t="n">
        <v>228.74</v>
      </c>
    </row>
    <row r="5036" customFormat="false" ht="15" hidden="false" customHeight="false" outlineLevel="0" collapsed="false">
      <c r="A5036" s="7" t="s">
        <v>24</v>
      </c>
      <c r="B5036" s="7" t="s">
        <v>321</v>
      </c>
      <c r="C5036" s="7" t="s">
        <v>1068</v>
      </c>
      <c r="D5036" s="7" t="n">
        <v>0</v>
      </c>
      <c r="E5036" s="7" t="n">
        <v>0</v>
      </c>
      <c r="F5036" s="7" t="n">
        <v>1</v>
      </c>
      <c r="G5036" s="7" t="n">
        <v>254.15</v>
      </c>
    </row>
    <row r="5037" customFormat="false" ht="15" hidden="false" customHeight="false" outlineLevel="0" collapsed="false">
      <c r="A5037" s="7" t="s">
        <v>24</v>
      </c>
      <c r="B5037" s="7" t="s">
        <v>321</v>
      </c>
      <c r="C5037" s="7" t="s">
        <v>1068</v>
      </c>
      <c r="D5037" s="7" t="n">
        <v>0</v>
      </c>
      <c r="E5037" s="7" t="n">
        <v>0</v>
      </c>
      <c r="F5037" s="7" t="n">
        <v>1</v>
      </c>
      <c r="G5037" s="7" t="n">
        <v>228.74</v>
      </c>
    </row>
    <row r="5038" customFormat="false" ht="15" hidden="false" customHeight="false" outlineLevel="0" collapsed="false">
      <c r="A5038" s="7" t="s">
        <v>24</v>
      </c>
      <c r="B5038" s="7" t="s">
        <v>321</v>
      </c>
      <c r="C5038" s="7" t="s">
        <v>1068</v>
      </c>
      <c r="D5038" s="7" t="n">
        <v>0</v>
      </c>
      <c r="E5038" s="7" t="n">
        <v>0</v>
      </c>
      <c r="F5038" s="7" t="n">
        <v>2</v>
      </c>
      <c r="G5038" s="7" t="n">
        <v>508.3</v>
      </c>
    </row>
    <row r="5039" customFormat="false" ht="15" hidden="false" customHeight="false" outlineLevel="0" collapsed="false">
      <c r="A5039" s="7" t="s">
        <v>24</v>
      </c>
      <c r="B5039" s="7" t="s">
        <v>321</v>
      </c>
      <c r="C5039" s="7" t="s">
        <v>1068</v>
      </c>
      <c r="D5039" s="7" t="n">
        <v>0</v>
      </c>
      <c r="E5039" s="7" t="n">
        <v>0</v>
      </c>
      <c r="F5039" s="7" t="n">
        <v>1</v>
      </c>
      <c r="G5039" s="7" t="n">
        <v>228.74</v>
      </c>
    </row>
    <row r="5040" customFormat="false" ht="15" hidden="false" customHeight="false" outlineLevel="0" collapsed="false">
      <c r="A5040" s="7" t="s">
        <v>24</v>
      </c>
      <c r="B5040" s="7" t="s">
        <v>321</v>
      </c>
      <c r="C5040" s="7" t="s">
        <v>1068</v>
      </c>
      <c r="D5040" s="7" t="n">
        <v>0</v>
      </c>
      <c r="E5040" s="7" t="n">
        <v>0</v>
      </c>
      <c r="F5040" s="7" t="n">
        <v>1</v>
      </c>
      <c r="G5040" s="7" t="n">
        <v>254.16</v>
      </c>
    </row>
    <row r="5041" customFormat="false" ht="15" hidden="false" customHeight="false" outlineLevel="0" collapsed="false">
      <c r="A5041" s="7" t="s">
        <v>24</v>
      </c>
      <c r="B5041" s="7" t="s">
        <v>321</v>
      </c>
      <c r="C5041" s="7" t="s">
        <v>1068</v>
      </c>
      <c r="D5041" s="7" t="n">
        <v>0</v>
      </c>
      <c r="E5041" s="7" t="n">
        <v>0</v>
      </c>
      <c r="F5041" s="7" t="n">
        <v>1</v>
      </c>
      <c r="G5041" s="7" t="n">
        <v>254.15</v>
      </c>
    </row>
    <row r="5042" customFormat="false" ht="15" hidden="false" customHeight="false" outlineLevel="0" collapsed="false">
      <c r="A5042" s="7" t="s">
        <v>24</v>
      </c>
      <c r="B5042" s="7" t="s">
        <v>155</v>
      </c>
      <c r="C5042" s="7" t="s">
        <v>1068</v>
      </c>
      <c r="D5042" s="7" t="n">
        <v>0</v>
      </c>
      <c r="E5042" s="7" t="n">
        <v>0</v>
      </c>
      <c r="F5042" s="7" t="n">
        <v>1</v>
      </c>
      <c r="G5042" s="7" t="n">
        <v>254.15</v>
      </c>
    </row>
    <row r="5043" customFormat="false" ht="15" hidden="false" customHeight="false" outlineLevel="0" collapsed="false">
      <c r="A5043" s="7" t="s">
        <v>24</v>
      </c>
      <c r="B5043" s="7" t="s">
        <v>155</v>
      </c>
      <c r="C5043" s="7" t="s">
        <v>1068</v>
      </c>
      <c r="D5043" s="7" t="n">
        <v>58</v>
      </c>
      <c r="E5043" s="7" t="n">
        <v>14041.81</v>
      </c>
      <c r="F5043" s="7" t="n">
        <v>23</v>
      </c>
      <c r="G5043" s="7" t="n">
        <v>5731.08</v>
      </c>
    </row>
    <row r="5044" customFormat="false" ht="15" hidden="false" customHeight="false" outlineLevel="0" collapsed="false">
      <c r="A5044" s="7" t="s">
        <v>24</v>
      </c>
      <c r="B5044" s="7" t="s">
        <v>155</v>
      </c>
      <c r="C5044" s="7" t="s">
        <v>1068</v>
      </c>
      <c r="D5044" s="7" t="n">
        <v>0</v>
      </c>
      <c r="E5044" s="7" t="n">
        <v>0</v>
      </c>
      <c r="F5044" s="7" t="n">
        <v>1</v>
      </c>
      <c r="G5044" s="7" t="n">
        <v>254.15</v>
      </c>
    </row>
    <row r="5045" customFormat="false" ht="15" hidden="false" customHeight="false" outlineLevel="0" collapsed="false">
      <c r="A5045" s="7" t="s">
        <v>24</v>
      </c>
      <c r="B5045" s="7" t="s">
        <v>155</v>
      </c>
      <c r="C5045" s="7" t="s">
        <v>1068</v>
      </c>
      <c r="D5045" s="7" t="n">
        <v>0</v>
      </c>
      <c r="E5045" s="7" t="n">
        <v>0</v>
      </c>
      <c r="F5045" s="7" t="n">
        <v>1</v>
      </c>
      <c r="G5045" s="7" t="n">
        <v>254.15</v>
      </c>
    </row>
    <row r="5046" customFormat="false" ht="15" hidden="false" customHeight="false" outlineLevel="0" collapsed="false">
      <c r="A5046" s="7" t="s">
        <v>24</v>
      </c>
      <c r="B5046" s="7" t="s">
        <v>155</v>
      </c>
      <c r="C5046" s="7" t="s">
        <v>1068</v>
      </c>
      <c r="D5046" s="7" t="n">
        <v>0</v>
      </c>
      <c r="E5046" s="7" t="n">
        <v>0</v>
      </c>
      <c r="F5046" s="7" t="n">
        <v>1</v>
      </c>
      <c r="G5046" s="7" t="n">
        <v>254.16</v>
      </c>
    </row>
    <row r="5047" customFormat="false" ht="15" hidden="false" customHeight="false" outlineLevel="0" collapsed="false">
      <c r="A5047" s="7" t="s">
        <v>24</v>
      </c>
      <c r="B5047" s="7" t="s">
        <v>155</v>
      </c>
      <c r="C5047" s="7" t="s">
        <v>1068</v>
      </c>
      <c r="D5047" s="7" t="n">
        <v>0</v>
      </c>
      <c r="E5047" s="7" t="n">
        <v>0</v>
      </c>
      <c r="F5047" s="7" t="n">
        <v>1</v>
      </c>
      <c r="G5047" s="7" t="n">
        <v>254.15</v>
      </c>
    </row>
    <row r="5048" customFormat="false" ht="15" hidden="false" customHeight="false" outlineLevel="0" collapsed="false">
      <c r="A5048" s="7" t="s">
        <v>24</v>
      </c>
      <c r="B5048" s="7" t="s">
        <v>155</v>
      </c>
      <c r="C5048" s="7" t="s">
        <v>1068</v>
      </c>
      <c r="D5048" s="7" t="n">
        <v>0</v>
      </c>
      <c r="E5048" s="7" t="n">
        <v>0</v>
      </c>
      <c r="F5048" s="7" t="n">
        <v>2</v>
      </c>
      <c r="G5048" s="7" t="n">
        <v>482.88</v>
      </c>
    </row>
    <row r="5049" customFormat="false" ht="15" hidden="false" customHeight="false" outlineLevel="0" collapsed="false">
      <c r="A5049" s="7" t="s">
        <v>24</v>
      </c>
      <c r="B5049" s="7" t="s">
        <v>155</v>
      </c>
      <c r="C5049" s="7" t="s">
        <v>1068</v>
      </c>
      <c r="D5049" s="7" t="n">
        <v>0</v>
      </c>
      <c r="E5049" s="7" t="n">
        <v>0</v>
      </c>
      <c r="F5049" s="7" t="n">
        <v>1</v>
      </c>
      <c r="G5049" s="7" t="n">
        <v>228.73</v>
      </c>
    </row>
    <row r="5050" customFormat="false" ht="15" hidden="false" customHeight="false" outlineLevel="0" collapsed="false">
      <c r="A5050" s="7" t="s">
        <v>24</v>
      </c>
      <c r="B5050" s="7" t="s">
        <v>155</v>
      </c>
      <c r="C5050" s="7" t="s">
        <v>1068</v>
      </c>
      <c r="D5050" s="7" t="n">
        <v>0</v>
      </c>
      <c r="E5050" s="7" t="n">
        <v>0</v>
      </c>
      <c r="F5050" s="7" t="n">
        <v>1</v>
      </c>
      <c r="G5050" s="7" t="n">
        <v>254.15</v>
      </c>
    </row>
    <row r="5051" customFormat="false" ht="15" hidden="false" customHeight="false" outlineLevel="0" collapsed="false">
      <c r="A5051" s="7" t="s">
        <v>24</v>
      </c>
      <c r="B5051" s="7" t="s">
        <v>155</v>
      </c>
      <c r="C5051" s="7" t="s">
        <v>1068</v>
      </c>
      <c r="D5051" s="7" t="n">
        <v>13</v>
      </c>
      <c r="E5051" s="7" t="n">
        <v>3105.25</v>
      </c>
      <c r="F5051" s="7" t="n">
        <v>0</v>
      </c>
      <c r="G5051" s="7" t="n">
        <v>0</v>
      </c>
    </row>
    <row r="5052" customFormat="false" ht="15" hidden="false" customHeight="false" outlineLevel="0" collapsed="false">
      <c r="A5052" s="7" t="s">
        <v>24</v>
      </c>
      <c r="B5052" s="7" t="s">
        <v>155</v>
      </c>
      <c r="C5052" s="7" t="s">
        <v>1068</v>
      </c>
      <c r="D5052" s="7" t="n">
        <v>0</v>
      </c>
      <c r="E5052" s="7" t="n">
        <v>0</v>
      </c>
      <c r="F5052" s="7" t="n">
        <v>2</v>
      </c>
      <c r="G5052" s="7" t="n">
        <v>508.3</v>
      </c>
    </row>
    <row r="5053" customFormat="false" ht="15" hidden="false" customHeight="false" outlineLevel="0" collapsed="false">
      <c r="A5053" s="7" t="s">
        <v>24</v>
      </c>
      <c r="B5053" s="7" t="s">
        <v>155</v>
      </c>
      <c r="C5053" s="7" t="s">
        <v>1068</v>
      </c>
      <c r="D5053" s="7" t="n">
        <v>0</v>
      </c>
      <c r="E5053" s="7" t="n">
        <v>0</v>
      </c>
      <c r="F5053" s="7" t="n">
        <v>1</v>
      </c>
      <c r="G5053" s="7" t="n">
        <v>228.74</v>
      </c>
    </row>
    <row r="5054" customFormat="false" ht="15" hidden="false" customHeight="false" outlineLevel="0" collapsed="false">
      <c r="A5054" s="7" t="s">
        <v>24</v>
      </c>
      <c r="B5054" s="7" t="s">
        <v>155</v>
      </c>
      <c r="C5054" s="7" t="s">
        <v>1068</v>
      </c>
      <c r="D5054" s="7" t="n">
        <v>0</v>
      </c>
      <c r="E5054" s="7" t="n">
        <v>0</v>
      </c>
      <c r="F5054" s="7" t="n">
        <v>1</v>
      </c>
      <c r="G5054" s="7" t="n">
        <v>254.15</v>
      </c>
    </row>
    <row r="5055" customFormat="false" ht="15" hidden="false" customHeight="false" outlineLevel="0" collapsed="false">
      <c r="A5055" s="7" t="s">
        <v>24</v>
      </c>
      <c r="B5055" s="7" t="s">
        <v>155</v>
      </c>
      <c r="C5055" s="7" t="s">
        <v>1068</v>
      </c>
      <c r="D5055" s="7" t="n">
        <v>0</v>
      </c>
      <c r="E5055" s="7" t="n">
        <v>0</v>
      </c>
      <c r="F5055" s="7" t="n">
        <v>1</v>
      </c>
      <c r="G5055" s="7" t="n">
        <v>254.16</v>
      </c>
    </row>
    <row r="5056" customFormat="false" ht="15" hidden="false" customHeight="false" outlineLevel="0" collapsed="false">
      <c r="A5056" s="7" t="s">
        <v>24</v>
      </c>
      <c r="B5056" s="7" t="s">
        <v>155</v>
      </c>
      <c r="C5056" s="7" t="s">
        <v>1068</v>
      </c>
      <c r="D5056" s="7" t="n">
        <v>0</v>
      </c>
      <c r="E5056" s="7" t="n">
        <v>0</v>
      </c>
      <c r="F5056" s="7" t="n">
        <v>1</v>
      </c>
      <c r="G5056" s="7" t="n">
        <v>228.74</v>
      </c>
    </row>
    <row r="5057" customFormat="false" ht="15" hidden="false" customHeight="false" outlineLevel="0" collapsed="false">
      <c r="A5057" s="7" t="s">
        <v>24</v>
      </c>
      <c r="B5057" s="7" t="s">
        <v>155</v>
      </c>
      <c r="C5057" s="7" t="s">
        <v>1068</v>
      </c>
      <c r="D5057" s="7" t="n">
        <v>0</v>
      </c>
      <c r="E5057" s="7" t="n">
        <v>0</v>
      </c>
      <c r="F5057" s="7" t="n">
        <v>1</v>
      </c>
      <c r="G5057" s="7" t="n">
        <v>228.74</v>
      </c>
    </row>
    <row r="5058" customFormat="false" ht="15" hidden="false" customHeight="false" outlineLevel="0" collapsed="false">
      <c r="A5058" s="7" t="s">
        <v>24</v>
      </c>
      <c r="B5058" s="7" t="s">
        <v>155</v>
      </c>
      <c r="C5058" s="7" t="s">
        <v>1068</v>
      </c>
      <c r="D5058" s="7" t="n">
        <v>0</v>
      </c>
      <c r="E5058" s="7" t="n">
        <v>0</v>
      </c>
      <c r="F5058" s="7" t="n">
        <v>1</v>
      </c>
      <c r="G5058" s="7" t="n">
        <v>254.15</v>
      </c>
    </row>
    <row r="5059" customFormat="false" ht="15" hidden="false" customHeight="false" outlineLevel="0" collapsed="false">
      <c r="A5059" s="7" t="s">
        <v>24</v>
      </c>
      <c r="B5059" s="7" t="s">
        <v>155</v>
      </c>
      <c r="C5059" s="7" t="s">
        <v>1068</v>
      </c>
      <c r="D5059" s="7" t="n">
        <v>0</v>
      </c>
      <c r="E5059" s="7" t="n">
        <v>0</v>
      </c>
      <c r="F5059" s="7" t="n">
        <v>1</v>
      </c>
      <c r="G5059" s="7" t="n">
        <v>216.03</v>
      </c>
    </row>
    <row r="5060" customFormat="false" ht="15" hidden="false" customHeight="false" outlineLevel="0" collapsed="false">
      <c r="A5060" s="7" t="s">
        <v>24</v>
      </c>
      <c r="B5060" s="7" t="s">
        <v>155</v>
      </c>
      <c r="C5060" s="7" t="s">
        <v>1068</v>
      </c>
      <c r="D5060" s="7" t="n">
        <v>0</v>
      </c>
      <c r="E5060" s="7" t="n">
        <v>0</v>
      </c>
      <c r="F5060" s="7" t="n">
        <v>1</v>
      </c>
      <c r="G5060" s="7" t="n">
        <v>216.04</v>
      </c>
    </row>
    <row r="5061" customFormat="false" ht="15" hidden="false" customHeight="false" outlineLevel="0" collapsed="false">
      <c r="A5061" s="7" t="s">
        <v>24</v>
      </c>
      <c r="B5061" s="7" t="s">
        <v>155</v>
      </c>
      <c r="C5061" s="7" t="s">
        <v>1068</v>
      </c>
      <c r="D5061" s="7" t="n">
        <v>0</v>
      </c>
      <c r="E5061" s="7" t="n">
        <v>0</v>
      </c>
      <c r="F5061" s="7" t="n">
        <v>1</v>
      </c>
      <c r="G5061" s="7" t="n">
        <v>254.15</v>
      </c>
    </row>
    <row r="5062" customFormat="false" ht="15" hidden="false" customHeight="false" outlineLevel="0" collapsed="false">
      <c r="A5062" s="7" t="s">
        <v>24</v>
      </c>
      <c r="B5062" s="7" t="s">
        <v>155</v>
      </c>
      <c r="C5062" s="7" t="s">
        <v>1068</v>
      </c>
      <c r="D5062" s="7" t="n">
        <v>0</v>
      </c>
      <c r="E5062" s="7" t="n">
        <v>0</v>
      </c>
      <c r="F5062" s="7" t="n">
        <v>1</v>
      </c>
      <c r="G5062" s="7" t="n">
        <v>254.15</v>
      </c>
    </row>
    <row r="5063" customFormat="false" ht="15" hidden="false" customHeight="false" outlineLevel="0" collapsed="false">
      <c r="A5063" s="7" t="s">
        <v>24</v>
      </c>
      <c r="B5063" s="7" t="s">
        <v>155</v>
      </c>
      <c r="C5063" s="7" t="s">
        <v>1068</v>
      </c>
      <c r="D5063" s="7" t="n">
        <v>0</v>
      </c>
      <c r="E5063" s="7" t="n">
        <v>0</v>
      </c>
      <c r="F5063" s="7" t="n">
        <v>1</v>
      </c>
      <c r="G5063" s="7" t="n">
        <v>254.15</v>
      </c>
    </row>
    <row r="5064" customFormat="false" ht="15" hidden="false" customHeight="false" outlineLevel="0" collapsed="false">
      <c r="A5064" s="7" t="s">
        <v>24</v>
      </c>
      <c r="B5064" s="7" t="s">
        <v>155</v>
      </c>
      <c r="C5064" s="7" t="s">
        <v>1068</v>
      </c>
      <c r="D5064" s="7" t="n">
        <v>0</v>
      </c>
      <c r="E5064" s="7" t="n">
        <v>0</v>
      </c>
      <c r="F5064" s="7" t="n">
        <v>1</v>
      </c>
      <c r="G5064" s="7" t="n">
        <v>254.15</v>
      </c>
    </row>
    <row r="5065" customFormat="false" ht="15" hidden="false" customHeight="false" outlineLevel="0" collapsed="false">
      <c r="A5065" s="7" t="s">
        <v>24</v>
      </c>
      <c r="B5065" s="7" t="s">
        <v>155</v>
      </c>
      <c r="C5065" s="7" t="s">
        <v>1068</v>
      </c>
      <c r="D5065" s="7" t="n">
        <v>0</v>
      </c>
      <c r="E5065" s="7" t="n">
        <v>0</v>
      </c>
      <c r="F5065" s="7" t="n">
        <v>1</v>
      </c>
      <c r="G5065" s="7" t="n">
        <v>228.74</v>
      </c>
    </row>
    <row r="5066" customFormat="false" ht="15" hidden="false" customHeight="false" outlineLevel="0" collapsed="false">
      <c r="A5066" s="7" t="s">
        <v>24</v>
      </c>
      <c r="B5066" s="7" t="s">
        <v>155</v>
      </c>
      <c r="C5066" s="7" t="s">
        <v>1068</v>
      </c>
      <c r="D5066" s="7" t="n">
        <v>0</v>
      </c>
      <c r="E5066" s="7" t="n">
        <v>0</v>
      </c>
      <c r="F5066" s="7" t="n">
        <v>1</v>
      </c>
      <c r="G5066" s="7" t="n">
        <v>228.74</v>
      </c>
    </row>
    <row r="5067" customFormat="false" ht="15" hidden="false" customHeight="false" outlineLevel="0" collapsed="false">
      <c r="A5067" s="7" t="s">
        <v>24</v>
      </c>
      <c r="B5067" s="7" t="s">
        <v>155</v>
      </c>
      <c r="C5067" s="7" t="s">
        <v>1068</v>
      </c>
      <c r="D5067" s="7" t="n">
        <v>0</v>
      </c>
      <c r="E5067" s="7" t="n">
        <v>0</v>
      </c>
      <c r="F5067" s="7" t="n">
        <v>2</v>
      </c>
      <c r="G5067" s="7" t="n">
        <v>508.3</v>
      </c>
    </row>
    <row r="5068" customFormat="false" ht="15" hidden="false" customHeight="false" outlineLevel="0" collapsed="false">
      <c r="A5068" s="7" t="s">
        <v>24</v>
      </c>
      <c r="B5068" s="7" t="s">
        <v>155</v>
      </c>
      <c r="C5068" s="7" t="s">
        <v>1068</v>
      </c>
      <c r="D5068" s="7" t="n">
        <v>0</v>
      </c>
      <c r="E5068" s="7" t="n">
        <v>0</v>
      </c>
      <c r="F5068" s="7" t="n">
        <v>1</v>
      </c>
      <c r="G5068" s="7" t="n">
        <v>254.15</v>
      </c>
    </row>
    <row r="5069" customFormat="false" ht="15" hidden="false" customHeight="false" outlineLevel="0" collapsed="false">
      <c r="A5069" s="7" t="s">
        <v>24</v>
      </c>
      <c r="B5069" s="7" t="s">
        <v>155</v>
      </c>
      <c r="C5069" s="7" t="s">
        <v>1068</v>
      </c>
      <c r="D5069" s="7" t="n">
        <v>0</v>
      </c>
      <c r="E5069" s="7" t="n">
        <v>0</v>
      </c>
      <c r="F5069" s="7" t="n">
        <v>2</v>
      </c>
      <c r="G5069" s="7" t="n">
        <v>508.3</v>
      </c>
    </row>
    <row r="5070" customFormat="false" ht="15" hidden="false" customHeight="false" outlineLevel="0" collapsed="false">
      <c r="A5070" s="7" t="s">
        <v>24</v>
      </c>
      <c r="B5070" s="7" t="s">
        <v>155</v>
      </c>
      <c r="C5070" s="7" t="s">
        <v>1068</v>
      </c>
      <c r="D5070" s="7" t="n">
        <v>0</v>
      </c>
      <c r="E5070" s="7" t="n">
        <v>0</v>
      </c>
      <c r="F5070" s="7" t="n">
        <v>1</v>
      </c>
      <c r="G5070" s="7" t="n">
        <v>254.16</v>
      </c>
    </row>
    <row r="5071" customFormat="false" ht="15" hidden="false" customHeight="false" outlineLevel="0" collapsed="false">
      <c r="A5071" s="7" t="s">
        <v>24</v>
      </c>
      <c r="B5071" s="7" t="s">
        <v>155</v>
      </c>
      <c r="C5071" s="7" t="s">
        <v>1068</v>
      </c>
      <c r="D5071" s="7" t="n">
        <v>0</v>
      </c>
      <c r="E5071" s="7" t="n">
        <v>0</v>
      </c>
      <c r="F5071" s="7" t="n">
        <v>1</v>
      </c>
      <c r="G5071" s="7" t="n">
        <v>254.15</v>
      </c>
    </row>
    <row r="5072" customFormat="false" ht="15" hidden="false" customHeight="false" outlineLevel="0" collapsed="false">
      <c r="A5072" s="7" t="s">
        <v>24</v>
      </c>
      <c r="B5072" s="7" t="s">
        <v>155</v>
      </c>
      <c r="C5072" s="7" t="s">
        <v>1068</v>
      </c>
      <c r="D5072" s="7" t="n">
        <v>0</v>
      </c>
      <c r="E5072" s="7" t="n">
        <v>0</v>
      </c>
      <c r="F5072" s="7" t="n">
        <v>1</v>
      </c>
      <c r="G5072" s="7" t="n">
        <v>228.73</v>
      </c>
    </row>
    <row r="5073" customFormat="false" ht="15" hidden="false" customHeight="false" outlineLevel="0" collapsed="false">
      <c r="A5073" s="7" t="s">
        <v>24</v>
      </c>
      <c r="B5073" s="7" t="s">
        <v>155</v>
      </c>
      <c r="C5073" s="7" t="s">
        <v>1068</v>
      </c>
      <c r="D5073" s="7" t="n">
        <v>0</v>
      </c>
      <c r="E5073" s="7" t="n">
        <v>0</v>
      </c>
      <c r="F5073" s="7" t="n">
        <v>1</v>
      </c>
      <c r="G5073" s="7" t="n">
        <v>254.16</v>
      </c>
    </row>
    <row r="5074" customFormat="false" ht="15" hidden="false" customHeight="false" outlineLevel="0" collapsed="false">
      <c r="A5074" s="7" t="s">
        <v>24</v>
      </c>
      <c r="B5074" s="7" t="s">
        <v>244</v>
      </c>
      <c r="C5074" s="7" t="s">
        <v>1117</v>
      </c>
      <c r="D5074" s="7" t="n">
        <v>23</v>
      </c>
      <c r="E5074" s="7" t="n">
        <v>3618.72</v>
      </c>
      <c r="F5074" s="7" t="n">
        <v>9</v>
      </c>
      <c r="G5074" s="7" t="n">
        <v>1471.46</v>
      </c>
    </row>
    <row r="5075" customFormat="false" ht="15" hidden="false" customHeight="false" outlineLevel="0" collapsed="false">
      <c r="A5075" s="7" t="s">
        <v>24</v>
      </c>
      <c r="B5075" s="7" t="s">
        <v>244</v>
      </c>
      <c r="C5075" s="7" t="s">
        <v>1117</v>
      </c>
      <c r="D5075" s="7" t="n">
        <v>0</v>
      </c>
      <c r="E5075" s="7" t="n">
        <v>0</v>
      </c>
      <c r="F5075" s="7" t="n">
        <v>1</v>
      </c>
      <c r="G5075" s="7" t="n">
        <v>171.1</v>
      </c>
    </row>
    <row r="5076" customFormat="false" ht="15" hidden="false" customHeight="false" outlineLevel="0" collapsed="false">
      <c r="A5076" s="7" t="s">
        <v>24</v>
      </c>
      <c r="B5076" s="7" t="s">
        <v>244</v>
      </c>
      <c r="C5076" s="7" t="s">
        <v>1117</v>
      </c>
      <c r="D5076" s="7" t="n">
        <v>0</v>
      </c>
      <c r="E5076" s="7" t="n">
        <v>0</v>
      </c>
      <c r="F5076" s="7" t="n">
        <v>1</v>
      </c>
      <c r="G5076" s="7" t="n">
        <v>171.1</v>
      </c>
    </row>
    <row r="5077" customFormat="false" ht="15" hidden="false" customHeight="false" outlineLevel="0" collapsed="false">
      <c r="A5077" s="7" t="s">
        <v>24</v>
      </c>
      <c r="B5077" s="7" t="s">
        <v>244</v>
      </c>
      <c r="C5077" s="7" t="s">
        <v>1117</v>
      </c>
      <c r="D5077" s="7" t="n">
        <v>0</v>
      </c>
      <c r="E5077" s="7" t="n">
        <v>0</v>
      </c>
      <c r="F5077" s="7" t="n">
        <v>1</v>
      </c>
      <c r="G5077" s="7" t="n">
        <v>171.1</v>
      </c>
    </row>
    <row r="5078" customFormat="false" ht="15" hidden="false" customHeight="false" outlineLevel="0" collapsed="false">
      <c r="A5078" s="7" t="s">
        <v>24</v>
      </c>
      <c r="B5078" s="7" t="s">
        <v>244</v>
      </c>
      <c r="C5078" s="7" t="s">
        <v>1117</v>
      </c>
      <c r="D5078" s="7" t="n">
        <v>0</v>
      </c>
      <c r="E5078" s="7" t="n">
        <v>0</v>
      </c>
      <c r="F5078" s="7" t="n">
        <v>1</v>
      </c>
      <c r="G5078" s="7" t="n">
        <v>153.99</v>
      </c>
    </row>
    <row r="5079" customFormat="false" ht="15" hidden="false" customHeight="false" outlineLevel="0" collapsed="false">
      <c r="A5079" s="7" t="s">
        <v>24</v>
      </c>
      <c r="B5079" s="7" t="s">
        <v>244</v>
      </c>
      <c r="C5079" s="7" t="s">
        <v>1117</v>
      </c>
      <c r="D5079" s="7" t="n">
        <v>0</v>
      </c>
      <c r="E5079" s="7" t="n">
        <v>0</v>
      </c>
      <c r="F5079" s="7" t="n">
        <v>1</v>
      </c>
      <c r="G5079" s="7" t="n">
        <v>171.1</v>
      </c>
    </row>
    <row r="5080" customFormat="false" ht="15" hidden="false" customHeight="false" outlineLevel="0" collapsed="false">
      <c r="A5080" s="7" t="s">
        <v>24</v>
      </c>
      <c r="B5080" s="7" t="s">
        <v>189</v>
      </c>
      <c r="C5080" s="7" t="s">
        <v>1117</v>
      </c>
      <c r="D5080" s="7" t="n">
        <v>15</v>
      </c>
      <c r="E5080" s="7" t="n">
        <v>2455.27</v>
      </c>
      <c r="F5080" s="7" t="n">
        <v>1</v>
      </c>
      <c r="G5080" s="7" t="n">
        <v>171.1</v>
      </c>
    </row>
    <row r="5081" customFormat="false" ht="15" hidden="false" customHeight="false" outlineLevel="0" collapsed="false">
      <c r="A5081" s="7" t="s">
        <v>24</v>
      </c>
      <c r="B5081" s="7" t="s">
        <v>189</v>
      </c>
      <c r="C5081" s="7" t="s">
        <v>1117</v>
      </c>
      <c r="D5081" s="7" t="n">
        <v>0</v>
      </c>
      <c r="E5081" s="7" t="n">
        <v>0</v>
      </c>
      <c r="F5081" s="7" t="n">
        <v>1</v>
      </c>
      <c r="G5081" s="7" t="n">
        <v>171.1</v>
      </c>
    </row>
    <row r="5082" customFormat="false" ht="15" hidden="false" customHeight="false" outlineLevel="0" collapsed="false">
      <c r="A5082" s="7" t="s">
        <v>24</v>
      </c>
      <c r="B5082" s="7" t="s">
        <v>189</v>
      </c>
      <c r="C5082" s="7" t="s">
        <v>1117</v>
      </c>
      <c r="D5082" s="7" t="n">
        <v>0</v>
      </c>
      <c r="E5082" s="7" t="n">
        <v>0</v>
      </c>
      <c r="F5082" s="7" t="n">
        <v>1</v>
      </c>
      <c r="G5082" s="7" t="n">
        <v>154</v>
      </c>
    </row>
    <row r="5083" customFormat="false" ht="15" hidden="false" customHeight="false" outlineLevel="0" collapsed="false">
      <c r="A5083" s="7" t="s">
        <v>24</v>
      </c>
      <c r="B5083" s="7" t="s">
        <v>631</v>
      </c>
      <c r="C5083" s="7" t="s">
        <v>1117</v>
      </c>
      <c r="D5083" s="7" t="n">
        <v>2</v>
      </c>
      <c r="E5083" s="7" t="n">
        <v>342.2</v>
      </c>
      <c r="F5083" s="7" t="n">
        <v>1</v>
      </c>
      <c r="G5083" s="7" t="n">
        <v>171.1</v>
      </c>
    </row>
    <row r="5084" customFormat="false" ht="15" hidden="false" customHeight="false" outlineLevel="0" collapsed="false">
      <c r="A5084" s="7" t="s">
        <v>24</v>
      </c>
      <c r="B5084" s="7" t="s">
        <v>413</v>
      </c>
      <c r="C5084" s="7" t="s">
        <v>1117</v>
      </c>
      <c r="D5084" s="7" t="n">
        <v>0</v>
      </c>
      <c r="E5084" s="7" t="n">
        <v>0</v>
      </c>
      <c r="F5084" s="7" t="n">
        <v>1</v>
      </c>
      <c r="G5084" s="7" t="n">
        <v>154</v>
      </c>
    </row>
    <row r="5085" customFormat="false" ht="15" hidden="false" customHeight="false" outlineLevel="0" collapsed="false">
      <c r="A5085" s="7" t="s">
        <v>24</v>
      </c>
      <c r="B5085" s="7" t="s">
        <v>413</v>
      </c>
      <c r="C5085" s="7" t="s">
        <v>1117</v>
      </c>
      <c r="D5085" s="7" t="n">
        <v>0</v>
      </c>
      <c r="E5085" s="7" t="n">
        <v>0</v>
      </c>
      <c r="F5085" s="7" t="n">
        <v>1</v>
      </c>
      <c r="G5085" s="7" t="n">
        <v>153.99</v>
      </c>
    </row>
    <row r="5086" customFormat="false" ht="15" hidden="false" customHeight="false" outlineLevel="0" collapsed="false">
      <c r="A5086" s="7" t="s">
        <v>24</v>
      </c>
      <c r="B5086" s="7" t="s">
        <v>413</v>
      </c>
      <c r="C5086" s="7" t="s">
        <v>1117</v>
      </c>
      <c r="D5086" s="7" t="n">
        <v>9</v>
      </c>
      <c r="E5086" s="7" t="n">
        <v>1488.56</v>
      </c>
      <c r="F5086" s="7" t="n">
        <v>5</v>
      </c>
      <c r="G5086" s="7" t="n">
        <v>855.5</v>
      </c>
    </row>
    <row r="5087" customFormat="false" ht="15" hidden="false" customHeight="false" outlineLevel="0" collapsed="false">
      <c r="A5087" s="7" t="s">
        <v>24</v>
      </c>
      <c r="B5087" s="7" t="s">
        <v>413</v>
      </c>
      <c r="C5087" s="7" t="s">
        <v>1117</v>
      </c>
      <c r="D5087" s="7" t="n">
        <v>0</v>
      </c>
      <c r="E5087" s="7" t="n">
        <v>0</v>
      </c>
      <c r="F5087" s="7" t="n">
        <v>2</v>
      </c>
      <c r="G5087" s="7" t="n">
        <v>342.2</v>
      </c>
    </row>
    <row r="5088" customFormat="false" ht="15" hidden="false" customHeight="false" outlineLevel="0" collapsed="false">
      <c r="A5088" s="7" t="s">
        <v>24</v>
      </c>
      <c r="B5088" s="7" t="s">
        <v>413</v>
      </c>
      <c r="C5088" s="7" t="s">
        <v>1117</v>
      </c>
      <c r="D5088" s="7" t="n">
        <v>0</v>
      </c>
      <c r="E5088" s="7" t="n">
        <v>0</v>
      </c>
      <c r="F5088" s="7" t="n">
        <v>1</v>
      </c>
      <c r="G5088" s="7" t="n">
        <v>154</v>
      </c>
    </row>
    <row r="5089" customFormat="false" ht="15" hidden="false" customHeight="false" outlineLevel="0" collapsed="false">
      <c r="A5089" s="7" t="s">
        <v>24</v>
      </c>
      <c r="B5089" s="7" t="s">
        <v>413</v>
      </c>
      <c r="C5089" s="7" t="s">
        <v>1117</v>
      </c>
      <c r="D5089" s="7" t="n">
        <v>0</v>
      </c>
      <c r="E5089" s="7" t="n">
        <v>0</v>
      </c>
      <c r="F5089" s="7" t="n">
        <v>1</v>
      </c>
      <c r="G5089" s="7" t="n">
        <v>153.99</v>
      </c>
    </row>
    <row r="5090" customFormat="false" ht="15" hidden="false" customHeight="false" outlineLevel="0" collapsed="false">
      <c r="A5090" s="7" t="s">
        <v>24</v>
      </c>
      <c r="B5090" s="7" t="s">
        <v>413</v>
      </c>
      <c r="C5090" s="7" t="s">
        <v>1117</v>
      </c>
      <c r="D5090" s="7" t="n">
        <v>0</v>
      </c>
      <c r="E5090" s="7" t="n">
        <v>0</v>
      </c>
      <c r="F5090" s="7" t="n">
        <v>1</v>
      </c>
      <c r="G5090" s="7" t="n">
        <v>171.1</v>
      </c>
    </row>
    <row r="5091" customFormat="false" ht="15" hidden="false" customHeight="false" outlineLevel="0" collapsed="false">
      <c r="A5091" s="7" t="s">
        <v>24</v>
      </c>
      <c r="B5091" s="7" t="s">
        <v>595</v>
      </c>
      <c r="C5091" s="7" t="s">
        <v>1118</v>
      </c>
      <c r="D5091" s="7" t="n">
        <v>4</v>
      </c>
      <c r="E5091" s="7" t="n">
        <v>394.47</v>
      </c>
      <c r="F5091" s="7" t="n">
        <v>3</v>
      </c>
      <c r="G5091" s="7" t="n">
        <v>307.38</v>
      </c>
    </row>
    <row r="5092" customFormat="false" ht="15" hidden="false" customHeight="false" outlineLevel="0" collapsed="false">
      <c r="A5092" s="7" t="s">
        <v>24</v>
      </c>
      <c r="B5092" s="7" t="s">
        <v>595</v>
      </c>
      <c r="C5092" s="7" t="s">
        <v>1118</v>
      </c>
      <c r="D5092" s="7" t="n">
        <v>0</v>
      </c>
      <c r="E5092" s="7" t="n">
        <v>0</v>
      </c>
      <c r="F5092" s="7" t="n">
        <v>2</v>
      </c>
      <c r="G5092" s="7" t="n">
        <v>204.92</v>
      </c>
    </row>
    <row r="5093" customFormat="false" ht="15" hidden="false" customHeight="false" outlineLevel="0" collapsed="false">
      <c r="A5093" s="7" t="s">
        <v>24</v>
      </c>
      <c r="B5093" s="7" t="s">
        <v>595</v>
      </c>
      <c r="C5093" s="7" t="s">
        <v>1118</v>
      </c>
      <c r="D5093" s="7" t="n">
        <v>3</v>
      </c>
      <c r="E5093" s="7" t="n">
        <v>307.5</v>
      </c>
      <c r="F5093" s="7" t="n">
        <v>0</v>
      </c>
      <c r="G5093" s="7" t="n">
        <v>0</v>
      </c>
    </row>
    <row r="5094" customFormat="false" ht="15" hidden="false" customHeight="false" outlineLevel="0" collapsed="false">
      <c r="A5094" s="7" t="s">
        <v>24</v>
      </c>
      <c r="B5094" s="7" t="s">
        <v>595</v>
      </c>
      <c r="C5094" s="7" t="s">
        <v>1118</v>
      </c>
      <c r="D5094" s="7" t="n">
        <v>0</v>
      </c>
      <c r="E5094" s="7" t="n">
        <v>0</v>
      </c>
      <c r="F5094" s="7" t="n">
        <v>1</v>
      </c>
      <c r="G5094" s="7" t="n">
        <v>102.45</v>
      </c>
    </row>
    <row r="5095" customFormat="false" ht="15" hidden="false" customHeight="false" outlineLevel="0" collapsed="false">
      <c r="A5095" s="7" t="s">
        <v>24</v>
      </c>
      <c r="B5095" s="7" t="s">
        <v>595</v>
      </c>
      <c r="C5095" s="7" t="s">
        <v>1118</v>
      </c>
      <c r="D5095" s="7" t="n">
        <v>0</v>
      </c>
      <c r="E5095" s="7" t="n">
        <v>0</v>
      </c>
      <c r="F5095" s="7" t="n">
        <v>1</v>
      </c>
      <c r="G5095" s="7" t="n">
        <v>102.45</v>
      </c>
    </row>
    <row r="5096" customFormat="false" ht="15" hidden="false" customHeight="false" outlineLevel="0" collapsed="false">
      <c r="A5096" s="7" t="s">
        <v>24</v>
      </c>
      <c r="B5096" s="7" t="s">
        <v>595</v>
      </c>
      <c r="C5096" s="7" t="s">
        <v>1118</v>
      </c>
      <c r="D5096" s="7" t="n">
        <v>0</v>
      </c>
      <c r="E5096" s="7" t="n">
        <v>0</v>
      </c>
      <c r="F5096" s="7" t="n">
        <v>1</v>
      </c>
      <c r="G5096" s="7" t="n">
        <v>87.1</v>
      </c>
    </row>
    <row r="5097" customFormat="false" ht="15" hidden="false" customHeight="false" outlineLevel="0" collapsed="false">
      <c r="A5097" s="7" t="s">
        <v>24</v>
      </c>
      <c r="B5097" s="7" t="s">
        <v>595</v>
      </c>
      <c r="C5097" s="7" t="s">
        <v>1118</v>
      </c>
      <c r="D5097" s="7" t="n">
        <v>0</v>
      </c>
      <c r="E5097" s="7" t="n">
        <v>0</v>
      </c>
      <c r="F5097" s="7" t="n">
        <v>1</v>
      </c>
      <c r="G5097" s="7" t="n">
        <v>102.46</v>
      </c>
    </row>
    <row r="5098" customFormat="false" ht="15" hidden="false" customHeight="false" outlineLevel="0" collapsed="false">
      <c r="A5098" s="7" t="s">
        <v>24</v>
      </c>
      <c r="B5098" s="7" t="s">
        <v>693</v>
      </c>
      <c r="C5098" s="7" t="s">
        <v>1118</v>
      </c>
      <c r="D5098" s="7" t="n">
        <v>0</v>
      </c>
      <c r="E5098" s="7" t="n">
        <v>0</v>
      </c>
      <c r="F5098" s="7" t="n">
        <v>1</v>
      </c>
      <c r="G5098" s="7" t="n">
        <v>102.46</v>
      </c>
    </row>
    <row r="5099" customFormat="false" ht="15" hidden="false" customHeight="false" outlineLevel="0" collapsed="false">
      <c r="A5099" s="7" t="s">
        <v>24</v>
      </c>
      <c r="B5099" s="7" t="s">
        <v>693</v>
      </c>
      <c r="C5099" s="7" t="s">
        <v>1118</v>
      </c>
      <c r="D5099" s="7" t="n">
        <v>0</v>
      </c>
      <c r="E5099" s="7" t="n">
        <v>0</v>
      </c>
      <c r="F5099" s="7" t="n">
        <v>1</v>
      </c>
      <c r="G5099" s="7" t="n">
        <v>102.46</v>
      </c>
    </row>
    <row r="5100" customFormat="false" ht="15" hidden="false" customHeight="false" outlineLevel="0" collapsed="false">
      <c r="A5100" s="7" t="s">
        <v>24</v>
      </c>
      <c r="B5100" s="7" t="s">
        <v>693</v>
      </c>
      <c r="C5100" s="7" t="s">
        <v>1118</v>
      </c>
      <c r="D5100" s="7" t="n">
        <v>5</v>
      </c>
      <c r="E5100" s="7" t="n">
        <v>512.3</v>
      </c>
      <c r="F5100" s="7" t="n">
        <v>2</v>
      </c>
      <c r="G5100" s="7" t="n">
        <v>204.92</v>
      </c>
    </row>
    <row r="5101" customFormat="false" ht="15" hidden="false" customHeight="false" outlineLevel="0" collapsed="false">
      <c r="A5101" s="7" t="s">
        <v>24</v>
      </c>
      <c r="B5101" s="7" t="s">
        <v>693</v>
      </c>
      <c r="C5101" s="7" t="s">
        <v>1118</v>
      </c>
      <c r="D5101" s="7" t="n">
        <v>0</v>
      </c>
      <c r="E5101" s="7" t="n">
        <v>0</v>
      </c>
      <c r="F5101" s="7" t="n">
        <v>1</v>
      </c>
      <c r="G5101" s="7" t="n">
        <v>102.45</v>
      </c>
    </row>
    <row r="5102" customFormat="false" ht="15" hidden="false" customHeight="false" outlineLevel="0" collapsed="false">
      <c r="A5102" s="7" t="s">
        <v>24</v>
      </c>
      <c r="B5102" s="7" t="s">
        <v>693</v>
      </c>
      <c r="C5102" s="7" t="s">
        <v>1118</v>
      </c>
      <c r="D5102" s="7" t="n">
        <v>0</v>
      </c>
      <c r="E5102" s="7" t="n">
        <v>0</v>
      </c>
      <c r="F5102" s="7" t="n">
        <v>1</v>
      </c>
      <c r="G5102" s="7" t="n">
        <v>102.46</v>
      </c>
    </row>
    <row r="5103" customFormat="false" ht="15" hidden="false" customHeight="false" outlineLevel="0" collapsed="false">
      <c r="A5103" s="7" t="s">
        <v>24</v>
      </c>
      <c r="B5103" s="7" t="s">
        <v>692</v>
      </c>
      <c r="C5103" s="7" t="s">
        <v>1118</v>
      </c>
      <c r="D5103" s="7" t="n">
        <v>0</v>
      </c>
      <c r="E5103" s="7" t="n">
        <v>0</v>
      </c>
      <c r="F5103" s="7" t="n">
        <v>1</v>
      </c>
      <c r="G5103" s="7" t="n">
        <v>102.46</v>
      </c>
    </row>
    <row r="5104" customFormat="false" ht="15" hidden="false" customHeight="false" outlineLevel="0" collapsed="false">
      <c r="A5104" s="7" t="s">
        <v>24</v>
      </c>
      <c r="B5104" s="7" t="s">
        <v>692</v>
      </c>
      <c r="C5104" s="7" t="s">
        <v>1118</v>
      </c>
      <c r="D5104" s="7" t="n">
        <v>0</v>
      </c>
      <c r="E5104" s="7" t="n">
        <v>0</v>
      </c>
      <c r="F5104" s="7" t="n">
        <v>1</v>
      </c>
      <c r="G5104" s="7" t="n">
        <v>102.46</v>
      </c>
    </row>
    <row r="5105" customFormat="false" ht="15" hidden="false" customHeight="false" outlineLevel="0" collapsed="false">
      <c r="A5105" s="7" t="s">
        <v>24</v>
      </c>
      <c r="B5105" s="7" t="s">
        <v>692</v>
      </c>
      <c r="C5105" s="7" t="s">
        <v>1118</v>
      </c>
      <c r="D5105" s="7" t="n">
        <v>1</v>
      </c>
      <c r="E5105" s="7" t="n">
        <v>102.46</v>
      </c>
      <c r="F5105" s="7" t="n">
        <v>0</v>
      </c>
      <c r="G5105" s="7" t="n">
        <v>0</v>
      </c>
    </row>
    <row r="5106" customFormat="false" ht="15" hidden="false" customHeight="false" outlineLevel="0" collapsed="false">
      <c r="A5106" s="7" t="s">
        <v>24</v>
      </c>
      <c r="B5106" s="7" t="s">
        <v>533</v>
      </c>
      <c r="C5106" s="7" t="s">
        <v>1118</v>
      </c>
      <c r="D5106" s="7" t="n">
        <v>0</v>
      </c>
      <c r="E5106" s="7" t="n">
        <v>0</v>
      </c>
      <c r="F5106" s="7" t="n">
        <v>1</v>
      </c>
      <c r="G5106" s="7" t="n">
        <v>102.46</v>
      </c>
    </row>
    <row r="5107" customFormat="false" ht="15" hidden="false" customHeight="false" outlineLevel="0" collapsed="false">
      <c r="A5107" s="7" t="s">
        <v>24</v>
      </c>
      <c r="B5107" s="7" t="s">
        <v>533</v>
      </c>
      <c r="C5107" s="7" t="s">
        <v>1118</v>
      </c>
      <c r="D5107" s="7" t="n">
        <v>0</v>
      </c>
      <c r="E5107" s="7" t="n">
        <v>0</v>
      </c>
      <c r="F5107" s="7" t="n">
        <v>1</v>
      </c>
      <c r="G5107" s="7" t="n">
        <v>102.46</v>
      </c>
    </row>
    <row r="5108" customFormat="false" ht="15" hidden="false" customHeight="false" outlineLevel="0" collapsed="false">
      <c r="A5108" s="7" t="s">
        <v>24</v>
      </c>
      <c r="B5108" s="7" t="s">
        <v>533</v>
      </c>
      <c r="C5108" s="7" t="s">
        <v>1118</v>
      </c>
      <c r="D5108" s="7" t="n">
        <v>0</v>
      </c>
      <c r="E5108" s="7" t="n">
        <v>0</v>
      </c>
      <c r="F5108" s="7" t="n">
        <v>1</v>
      </c>
      <c r="G5108" s="7" t="n">
        <v>102.46</v>
      </c>
    </row>
    <row r="5109" customFormat="false" ht="15" hidden="false" customHeight="false" outlineLevel="0" collapsed="false">
      <c r="A5109" s="7" t="s">
        <v>24</v>
      </c>
      <c r="B5109" s="7" t="s">
        <v>533</v>
      </c>
      <c r="C5109" s="7" t="s">
        <v>1118</v>
      </c>
      <c r="D5109" s="7" t="n">
        <v>0</v>
      </c>
      <c r="E5109" s="7" t="n">
        <v>0</v>
      </c>
      <c r="F5109" s="7" t="n">
        <v>1</v>
      </c>
      <c r="G5109" s="7" t="n">
        <v>102.46</v>
      </c>
    </row>
    <row r="5110" customFormat="false" ht="15" hidden="false" customHeight="false" outlineLevel="0" collapsed="false">
      <c r="A5110" s="7" t="s">
        <v>24</v>
      </c>
      <c r="B5110" s="7" t="s">
        <v>533</v>
      </c>
      <c r="C5110" s="7" t="s">
        <v>1118</v>
      </c>
      <c r="D5110" s="7" t="n">
        <v>7</v>
      </c>
      <c r="E5110" s="7" t="n">
        <v>701.85</v>
      </c>
      <c r="F5110" s="7" t="n">
        <v>0</v>
      </c>
      <c r="G5110" s="7" t="n">
        <v>0</v>
      </c>
    </row>
    <row r="5111" customFormat="false" ht="15" hidden="false" customHeight="false" outlineLevel="0" collapsed="false">
      <c r="A5111" s="7" t="s">
        <v>24</v>
      </c>
      <c r="B5111" s="7" t="s">
        <v>284</v>
      </c>
      <c r="C5111" s="7" t="s">
        <v>1119</v>
      </c>
      <c r="D5111" s="7" t="n">
        <v>0</v>
      </c>
      <c r="E5111" s="7" t="n">
        <v>0</v>
      </c>
      <c r="F5111" s="7" t="n">
        <v>1</v>
      </c>
      <c r="G5111" s="7" t="n">
        <v>102.46</v>
      </c>
    </row>
    <row r="5112" customFormat="false" ht="15" hidden="false" customHeight="false" outlineLevel="0" collapsed="false">
      <c r="A5112" s="7" t="s">
        <v>24</v>
      </c>
      <c r="B5112" s="7" t="s">
        <v>284</v>
      </c>
      <c r="C5112" s="7" t="s">
        <v>1119</v>
      </c>
      <c r="D5112" s="7" t="n">
        <v>0</v>
      </c>
      <c r="E5112" s="7" t="n">
        <v>0</v>
      </c>
      <c r="F5112" s="7" t="n">
        <v>1</v>
      </c>
      <c r="G5112" s="7" t="n">
        <v>102.46</v>
      </c>
    </row>
    <row r="5113" customFormat="false" ht="15" hidden="false" customHeight="false" outlineLevel="0" collapsed="false">
      <c r="A5113" s="7" t="s">
        <v>24</v>
      </c>
      <c r="B5113" s="7" t="s">
        <v>284</v>
      </c>
      <c r="C5113" s="7" t="s">
        <v>1119</v>
      </c>
      <c r="D5113" s="7" t="n">
        <v>0</v>
      </c>
      <c r="E5113" s="7" t="n">
        <v>0</v>
      </c>
      <c r="F5113" s="7" t="n">
        <v>1</v>
      </c>
      <c r="G5113" s="7" t="n">
        <v>92.21</v>
      </c>
    </row>
    <row r="5114" customFormat="false" ht="15" hidden="false" customHeight="false" outlineLevel="0" collapsed="false">
      <c r="A5114" s="7" t="s">
        <v>24</v>
      </c>
      <c r="B5114" s="7" t="s">
        <v>284</v>
      </c>
      <c r="C5114" s="7" t="s">
        <v>1119</v>
      </c>
      <c r="D5114" s="7" t="n">
        <v>0</v>
      </c>
      <c r="E5114" s="7" t="n">
        <v>0</v>
      </c>
      <c r="F5114" s="7" t="n">
        <v>2</v>
      </c>
      <c r="G5114" s="7" t="n">
        <v>194.67</v>
      </c>
    </row>
    <row r="5115" customFormat="false" ht="15" hidden="false" customHeight="false" outlineLevel="0" collapsed="false">
      <c r="A5115" s="7" t="s">
        <v>24</v>
      </c>
      <c r="B5115" s="7" t="s">
        <v>284</v>
      </c>
      <c r="C5115" s="7" t="s">
        <v>1119</v>
      </c>
      <c r="D5115" s="7" t="n">
        <v>0</v>
      </c>
      <c r="E5115" s="7" t="n">
        <v>0</v>
      </c>
      <c r="F5115" s="7" t="n">
        <v>1</v>
      </c>
      <c r="G5115" s="7" t="n">
        <v>92.21</v>
      </c>
    </row>
    <row r="5116" customFormat="false" ht="15" hidden="false" customHeight="false" outlineLevel="0" collapsed="false">
      <c r="A5116" s="7" t="s">
        <v>24</v>
      </c>
      <c r="B5116" s="7" t="s">
        <v>284</v>
      </c>
      <c r="C5116" s="7" t="s">
        <v>1119</v>
      </c>
      <c r="D5116" s="7" t="n">
        <v>0</v>
      </c>
      <c r="E5116" s="7" t="n">
        <v>0</v>
      </c>
      <c r="F5116" s="7" t="n">
        <v>1</v>
      </c>
      <c r="G5116" s="7" t="n">
        <v>102.46</v>
      </c>
    </row>
    <row r="5117" customFormat="false" ht="15" hidden="false" customHeight="false" outlineLevel="0" collapsed="false">
      <c r="A5117" s="7" t="s">
        <v>24</v>
      </c>
      <c r="B5117" s="7" t="s">
        <v>284</v>
      </c>
      <c r="C5117" s="7" t="s">
        <v>1119</v>
      </c>
      <c r="D5117" s="7" t="n">
        <v>0</v>
      </c>
      <c r="E5117" s="7" t="n">
        <v>0</v>
      </c>
      <c r="F5117" s="7" t="n">
        <v>1</v>
      </c>
      <c r="G5117" s="7" t="n">
        <v>102.46</v>
      </c>
    </row>
    <row r="5118" customFormat="false" ht="15" hidden="false" customHeight="false" outlineLevel="0" collapsed="false">
      <c r="A5118" s="7" t="s">
        <v>24</v>
      </c>
      <c r="B5118" s="7" t="s">
        <v>284</v>
      </c>
      <c r="C5118" s="7" t="s">
        <v>1119</v>
      </c>
      <c r="D5118" s="7" t="n">
        <v>0</v>
      </c>
      <c r="E5118" s="7" t="n">
        <v>0</v>
      </c>
      <c r="F5118" s="7" t="n">
        <v>1</v>
      </c>
      <c r="G5118" s="7" t="n">
        <v>102.46</v>
      </c>
    </row>
    <row r="5119" customFormat="false" ht="15" hidden="false" customHeight="false" outlineLevel="0" collapsed="false">
      <c r="A5119" s="7" t="s">
        <v>24</v>
      </c>
      <c r="B5119" s="7" t="s">
        <v>284</v>
      </c>
      <c r="C5119" s="7" t="s">
        <v>1119</v>
      </c>
      <c r="D5119" s="7" t="n">
        <v>0</v>
      </c>
      <c r="E5119" s="7" t="n">
        <v>0</v>
      </c>
      <c r="F5119" s="7" t="n">
        <v>1</v>
      </c>
      <c r="G5119" s="7" t="n">
        <v>92.22</v>
      </c>
    </row>
    <row r="5120" customFormat="false" ht="15" hidden="false" customHeight="false" outlineLevel="0" collapsed="false">
      <c r="A5120" s="7" t="s">
        <v>24</v>
      </c>
      <c r="B5120" s="7" t="s">
        <v>284</v>
      </c>
      <c r="C5120" s="7" t="s">
        <v>1119</v>
      </c>
      <c r="D5120" s="7" t="n">
        <v>0</v>
      </c>
      <c r="E5120" s="7" t="n">
        <v>0</v>
      </c>
      <c r="F5120" s="7" t="n">
        <v>1</v>
      </c>
      <c r="G5120" s="7" t="n">
        <v>102.45</v>
      </c>
    </row>
    <row r="5121" customFormat="false" ht="15" hidden="false" customHeight="false" outlineLevel="0" collapsed="false">
      <c r="A5121" s="7" t="s">
        <v>24</v>
      </c>
      <c r="B5121" s="7" t="s">
        <v>284</v>
      </c>
      <c r="C5121" s="7" t="s">
        <v>1119</v>
      </c>
      <c r="D5121" s="7" t="n">
        <v>19</v>
      </c>
      <c r="E5121" s="7" t="n">
        <v>1900.63</v>
      </c>
      <c r="F5121" s="7" t="n">
        <v>12</v>
      </c>
      <c r="G5121" s="7" t="n">
        <v>1209.02</v>
      </c>
    </row>
    <row r="5122" customFormat="false" ht="15" hidden="false" customHeight="false" outlineLevel="0" collapsed="false">
      <c r="A5122" s="7" t="s">
        <v>24</v>
      </c>
      <c r="B5122" s="7" t="s">
        <v>284</v>
      </c>
      <c r="C5122" s="7" t="s">
        <v>1119</v>
      </c>
      <c r="D5122" s="7" t="n">
        <v>0</v>
      </c>
      <c r="E5122" s="7" t="n">
        <v>0</v>
      </c>
      <c r="F5122" s="7" t="n">
        <v>1</v>
      </c>
      <c r="G5122" s="7" t="n">
        <v>92.22</v>
      </c>
    </row>
    <row r="5123" customFormat="false" ht="15" hidden="false" customHeight="false" outlineLevel="0" collapsed="false">
      <c r="A5123" s="7" t="s">
        <v>24</v>
      </c>
      <c r="B5123" s="7" t="s">
        <v>284</v>
      </c>
      <c r="C5123" s="7" t="s">
        <v>1119</v>
      </c>
      <c r="D5123" s="7" t="n">
        <v>0</v>
      </c>
      <c r="E5123" s="7" t="n">
        <v>0</v>
      </c>
      <c r="F5123" s="7" t="n">
        <v>2</v>
      </c>
      <c r="G5123" s="7" t="n">
        <v>204.92</v>
      </c>
    </row>
    <row r="5124" customFormat="false" ht="15" hidden="false" customHeight="false" outlineLevel="0" collapsed="false">
      <c r="A5124" s="7" t="s">
        <v>24</v>
      </c>
      <c r="B5124" s="7" t="s">
        <v>284</v>
      </c>
      <c r="C5124" s="7" t="s">
        <v>1119</v>
      </c>
      <c r="D5124" s="7" t="n">
        <v>0</v>
      </c>
      <c r="E5124" s="7" t="n">
        <v>0</v>
      </c>
      <c r="F5124" s="7" t="n">
        <v>1</v>
      </c>
      <c r="G5124" s="7" t="n">
        <v>102.45</v>
      </c>
    </row>
    <row r="5125" customFormat="false" ht="15" hidden="false" customHeight="false" outlineLevel="0" collapsed="false">
      <c r="A5125" s="7" t="s">
        <v>24</v>
      </c>
      <c r="B5125" s="7" t="s">
        <v>284</v>
      </c>
      <c r="C5125" s="7" t="s">
        <v>1119</v>
      </c>
      <c r="D5125" s="7" t="n">
        <v>0</v>
      </c>
      <c r="E5125" s="7" t="n">
        <v>0</v>
      </c>
      <c r="F5125" s="7" t="n">
        <v>1</v>
      </c>
      <c r="G5125" s="7" t="n">
        <v>92.21</v>
      </c>
    </row>
    <row r="5126" customFormat="false" ht="15" hidden="false" customHeight="false" outlineLevel="0" collapsed="false">
      <c r="A5126" s="7" t="s">
        <v>24</v>
      </c>
      <c r="B5126" s="7" t="s">
        <v>284</v>
      </c>
      <c r="C5126" s="7" t="s">
        <v>1119</v>
      </c>
      <c r="D5126" s="7" t="n">
        <v>0</v>
      </c>
      <c r="E5126" s="7" t="n">
        <v>0</v>
      </c>
      <c r="F5126" s="7" t="n">
        <v>1</v>
      </c>
      <c r="G5126" s="7" t="n">
        <v>102.46</v>
      </c>
    </row>
    <row r="5127" customFormat="false" ht="15" hidden="false" customHeight="false" outlineLevel="0" collapsed="false">
      <c r="A5127" s="7" t="s">
        <v>24</v>
      </c>
      <c r="B5127" s="7" t="s">
        <v>267</v>
      </c>
      <c r="C5127" s="7" t="s">
        <v>1119</v>
      </c>
      <c r="D5127" s="7" t="n">
        <v>0</v>
      </c>
      <c r="E5127" s="7" t="n">
        <v>0</v>
      </c>
      <c r="F5127" s="7" t="n">
        <v>1</v>
      </c>
      <c r="G5127" s="7" t="n">
        <v>102.46</v>
      </c>
    </row>
    <row r="5128" customFormat="false" ht="15" hidden="false" customHeight="false" outlineLevel="0" collapsed="false">
      <c r="A5128" s="7" t="s">
        <v>24</v>
      </c>
      <c r="B5128" s="7" t="s">
        <v>267</v>
      </c>
      <c r="C5128" s="7" t="s">
        <v>1119</v>
      </c>
      <c r="D5128" s="7" t="n">
        <v>5</v>
      </c>
      <c r="E5128" s="7" t="n">
        <v>512.3</v>
      </c>
      <c r="F5128" s="7" t="n">
        <v>11</v>
      </c>
      <c r="G5128" s="7" t="n">
        <v>1116.81</v>
      </c>
    </row>
    <row r="5129" customFormat="false" ht="15" hidden="false" customHeight="false" outlineLevel="0" collapsed="false">
      <c r="A5129" s="7" t="s">
        <v>24</v>
      </c>
      <c r="B5129" s="7" t="s">
        <v>267</v>
      </c>
      <c r="C5129" s="7" t="s">
        <v>1119</v>
      </c>
      <c r="D5129" s="7" t="n">
        <v>0</v>
      </c>
      <c r="E5129" s="7" t="n">
        <v>0</v>
      </c>
      <c r="F5129" s="7" t="n">
        <v>1</v>
      </c>
      <c r="G5129" s="7" t="n">
        <v>102.46</v>
      </c>
    </row>
    <row r="5130" customFormat="false" ht="15" hidden="false" customHeight="false" outlineLevel="0" collapsed="false">
      <c r="A5130" s="7" t="s">
        <v>24</v>
      </c>
      <c r="B5130" s="7" t="s">
        <v>267</v>
      </c>
      <c r="C5130" s="7" t="s">
        <v>1119</v>
      </c>
      <c r="D5130" s="7" t="n">
        <v>0</v>
      </c>
      <c r="E5130" s="7" t="n">
        <v>0</v>
      </c>
      <c r="F5130" s="7" t="n">
        <v>1</v>
      </c>
      <c r="G5130" s="7" t="n">
        <v>102.46</v>
      </c>
    </row>
    <row r="5131" customFormat="false" ht="15" hidden="false" customHeight="false" outlineLevel="0" collapsed="false">
      <c r="A5131" s="7" t="s">
        <v>24</v>
      </c>
      <c r="B5131" s="7" t="s">
        <v>267</v>
      </c>
      <c r="C5131" s="7" t="s">
        <v>1119</v>
      </c>
      <c r="D5131" s="7" t="n">
        <v>0</v>
      </c>
      <c r="E5131" s="7" t="n">
        <v>0</v>
      </c>
      <c r="F5131" s="7" t="n">
        <v>1</v>
      </c>
      <c r="G5131" s="7" t="n">
        <v>102.46</v>
      </c>
    </row>
    <row r="5132" customFormat="false" ht="15" hidden="false" customHeight="false" outlineLevel="0" collapsed="false">
      <c r="A5132" s="7" t="s">
        <v>24</v>
      </c>
      <c r="B5132" s="7" t="s">
        <v>267</v>
      </c>
      <c r="C5132" s="7" t="s">
        <v>1119</v>
      </c>
      <c r="D5132" s="7" t="n">
        <v>0</v>
      </c>
      <c r="E5132" s="7" t="n">
        <v>0</v>
      </c>
      <c r="F5132" s="7" t="n">
        <v>1</v>
      </c>
      <c r="G5132" s="7" t="n">
        <v>92.21</v>
      </c>
    </row>
    <row r="5133" customFormat="false" ht="15" hidden="false" customHeight="false" outlineLevel="0" collapsed="false">
      <c r="A5133" s="7" t="s">
        <v>24</v>
      </c>
      <c r="B5133" s="7" t="s">
        <v>458</v>
      </c>
      <c r="C5133" s="7" t="s">
        <v>1119</v>
      </c>
      <c r="D5133" s="7" t="n">
        <v>0</v>
      </c>
      <c r="E5133" s="7" t="n">
        <v>0</v>
      </c>
      <c r="F5133" s="7" t="n">
        <v>1</v>
      </c>
      <c r="G5133" s="7" t="n">
        <v>102.46</v>
      </c>
    </row>
    <row r="5134" customFormat="false" ht="15" hidden="false" customHeight="false" outlineLevel="0" collapsed="false">
      <c r="A5134" s="7" t="s">
        <v>24</v>
      </c>
      <c r="B5134" s="7" t="s">
        <v>458</v>
      </c>
      <c r="C5134" s="7" t="s">
        <v>1119</v>
      </c>
      <c r="D5134" s="7" t="n">
        <v>2</v>
      </c>
      <c r="E5134" s="7" t="n">
        <v>204.92</v>
      </c>
      <c r="F5134" s="7" t="n">
        <v>2</v>
      </c>
      <c r="G5134" s="7" t="n">
        <v>194.67</v>
      </c>
    </row>
    <row r="5135" customFormat="false" ht="15" hidden="false" customHeight="false" outlineLevel="0" collapsed="false">
      <c r="A5135" s="7" t="s">
        <v>24</v>
      </c>
      <c r="B5135" s="7" t="s">
        <v>458</v>
      </c>
      <c r="C5135" s="7" t="s">
        <v>1119</v>
      </c>
      <c r="D5135" s="7" t="n">
        <v>0</v>
      </c>
      <c r="E5135" s="7" t="n">
        <v>0</v>
      </c>
      <c r="F5135" s="7" t="n">
        <v>1</v>
      </c>
      <c r="G5135" s="7" t="n">
        <v>102.46</v>
      </c>
    </row>
    <row r="5136" customFormat="false" ht="15" hidden="false" customHeight="false" outlineLevel="0" collapsed="false">
      <c r="A5136" s="7" t="s">
        <v>24</v>
      </c>
      <c r="B5136" s="7" t="s">
        <v>458</v>
      </c>
      <c r="C5136" s="7" t="s">
        <v>1119</v>
      </c>
      <c r="D5136" s="7" t="n">
        <v>0</v>
      </c>
      <c r="E5136" s="7" t="n">
        <v>0</v>
      </c>
      <c r="F5136" s="7" t="n">
        <v>1</v>
      </c>
      <c r="G5136" s="7" t="n">
        <v>102.46</v>
      </c>
    </row>
    <row r="5137" customFormat="false" ht="15" hidden="false" customHeight="false" outlineLevel="0" collapsed="false">
      <c r="A5137" s="7" t="s">
        <v>24</v>
      </c>
      <c r="B5137" s="7" t="s">
        <v>458</v>
      </c>
      <c r="C5137" s="7" t="s">
        <v>1119</v>
      </c>
      <c r="D5137" s="7" t="n">
        <v>0</v>
      </c>
      <c r="E5137" s="7" t="n">
        <v>0</v>
      </c>
      <c r="F5137" s="7" t="n">
        <v>1</v>
      </c>
      <c r="G5137" s="7" t="n">
        <v>102.46</v>
      </c>
    </row>
    <row r="5138" customFormat="false" ht="15" hidden="false" customHeight="false" outlineLevel="0" collapsed="false">
      <c r="A5138" s="7" t="s">
        <v>24</v>
      </c>
      <c r="B5138" s="7" t="s">
        <v>263</v>
      </c>
      <c r="C5138" s="7" t="s">
        <v>1119</v>
      </c>
      <c r="D5138" s="7" t="n">
        <v>0</v>
      </c>
      <c r="E5138" s="7" t="n">
        <v>0</v>
      </c>
      <c r="F5138" s="7" t="n">
        <v>1</v>
      </c>
      <c r="G5138" s="7" t="n">
        <v>102.46</v>
      </c>
    </row>
    <row r="5139" customFormat="false" ht="15" hidden="false" customHeight="false" outlineLevel="0" collapsed="false">
      <c r="A5139" s="7" t="s">
        <v>24</v>
      </c>
      <c r="B5139" s="7" t="s">
        <v>263</v>
      </c>
      <c r="C5139" s="7" t="s">
        <v>1119</v>
      </c>
      <c r="D5139" s="7" t="n">
        <v>0</v>
      </c>
      <c r="E5139" s="7" t="n">
        <v>0</v>
      </c>
      <c r="F5139" s="7" t="n">
        <v>1</v>
      </c>
      <c r="G5139" s="7" t="n">
        <v>102.46</v>
      </c>
    </row>
    <row r="5140" customFormat="false" ht="15" hidden="false" customHeight="false" outlineLevel="0" collapsed="false">
      <c r="A5140" s="7" t="s">
        <v>24</v>
      </c>
      <c r="B5140" s="7" t="s">
        <v>263</v>
      </c>
      <c r="C5140" s="7" t="s">
        <v>1119</v>
      </c>
      <c r="D5140" s="7" t="n">
        <v>0</v>
      </c>
      <c r="E5140" s="7" t="n">
        <v>0</v>
      </c>
      <c r="F5140" s="7" t="n">
        <v>1</v>
      </c>
      <c r="G5140" s="7" t="n">
        <v>102.46</v>
      </c>
    </row>
    <row r="5141" customFormat="false" ht="15" hidden="false" customHeight="false" outlineLevel="0" collapsed="false">
      <c r="A5141" s="7" t="s">
        <v>24</v>
      </c>
      <c r="B5141" s="7" t="s">
        <v>263</v>
      </c>
      <c r="C5141" s="7" t="s">
        <v>1119</v>
      </c>
      <c r="D5141" s="7" t="n">
        <v>0</v>
      </c>
      <c r="E5141" s="7" t="n">
        <v>0</v>
      </c>
      <c r="F5141" s="7" t="n">
        <v>1</v>
      </c>
      <c r="G5141" s="7" t="n">
        <v>92.22</v>
      </c>
    </row>
    <row r="5142" customFormat="false" ht="15" hidden="false" customHeight="false" outlineLevel="0" collapsed="false">
      <c r="A5142" s="7" t="s">
        <v>24</v>
      </c>
      <c r="B5142" s="7" t="s">
        <v>263</v>
      </c>
      <c r="C5142" s="7" t="s">
        <v>1119</v>
      </c>
      <c r="D5142" s="7" t="n">
        <v>0</v>
      </c>
      <c r="E5142" s="7" t="n">
        <v>0</v>
      </c>
      <c r="F5142" s="7" t="n">
        <v>1</v>
      </c>
      <c r="G5142" s="7" t="n">
        <v>102.46</v>
      </c>
    </row>
    <row r="5143" customFormat="false" ht="15" hidden="false" customHeight="false" outlineLevel="0" collapsed="false">
      <c r="A5143" s="7" t="s">
        <v>24</v>
      </c>
      <c r="B5143" s="7" t="s">
        <v>263</v>
      </c>
      <c r="C5143" s="7" t="s">
        <v>1119</v>
      </c>
      <c r="D5143" s="7" t="n">
        <v>0</v>
      </c>
      <c r="E5143" s="7" t="n">
        <v>0</v>
      </c>
      <c r="F5143" s="7" t="n">
        <v>1</v>
      </c>
      <c r="G5143" s="7" t="n">
        <v>102.46</v>
      </c>
    </row>
    <row r="5144" customFormat="false" ht="15" hidden="false" customHeight="false" outlineLevel="0" collapsed="false">
      <c r="A5144" s="7" t="s">
        <v>24</v>
      </c>
      <c r="B5144" s="7" t="s">
        <v>263</v>
      </c>
      <c r="C5144" s="7" t="s">
        <v>1119</v>
      </c>
      <c r="D5144" s="7" t="n">
        <v>0</v>
      </c>
      <c r="E5144" s="7" t="n">
        <v>0</v>
      </c>
      <c r="F5144" s="7" t="n">
        <v>1</v>
      </c>
      <c r="G5144" s="7" t="n">
        <v>102.46</v>
      </c>
    </row>
    <row r="5145" customFormat="false" ht="15" hidden="false" customHeight="false" outlineLevel="0" collapsed="false">
      <c r="A5145" s="7" t="s">
        <v>24</v>
      </c>
      <c r="B5145" s="7" t="s">
        <v>263</v>
      </c>
      <c r="C5145" s="7" t="s">
        <v>1119</v>
      </c>
      <c r="D5145" s="7" t="n">
        <v>0</v>
      </c>
      <c r="E5145" s="7" t="n">
        <v>0</v>
      </c>
      <c r="F5145" s="7" t="n">
        <v>1</v>
      </c>
      <c r="G5145" s="7" t="n">
        <v>102.46</v>
      </c>
    </row>
    <row r="5146" customFormat="false" ht="15" hidden="false" customHeight="false" outlineLevel="0" collapsed="false">
      <c r="A5146" s="7" t="s">
        <v>24</v>
      </c>
      <c r="B5146" s="7" t="s">
        <v>263</v>
      </c>
      <c r="C5146" s="7" t="s">
        <v>1119</v>
      </c>
      <c r="D5146" s="7" t="n">
        <v>0</v>
      </c>
      <c r="E5146" s="7" t="n">
        <v>0</v>
      </c>
      <c r="F5146" s="7" t="n">
        <v>1</v>
      </c>
      <c r="G5146" s="7" t="n">
        <v>102.46</v>
      </c>
    </row>
    <row r="5147" customFormat="false" ht="15" hidden="false" customHeight="false" outlineLevel="0" collapsed="false">
      <c r="A5147" s="7" t="s">
        <v>24</v>
      </c>
      <c r="B5147" s="7" t="s">
        <v>263</v>
      </c>
      <c r="C5147" s="7" t="s">
        <v>1119</v>
      </c>
      <c r="D5147" s="7" t="n">
        <v>9</v>
      </c>
      <c r="E5147" s="7" t="n">
        <v>891.4</v>
      </c>
      <c r="F5147" s="7" t="n">
        <v>8</v>
      </c>
      <c r="G5147" s="7" t="n">
        <v>809.43</v>
      </c>
    </row>
    <row r="5148" customFormat="false" ht="15" hidden="false" customHeight="false" outlineLevel="0" collapsed="false">
      <c r="A5148" s="7" t="s">
        <v>24</v>
      </c>
      <c r="B5148" s="7" t="s">
        <v>263</v>
      </c>
      <c r="C5148" s="7" t="s">
        <v>1119</v>
      </c>
      <c r="D5148" s="7" t="n">
        <v>0</v>
      </c>
      <c r="E5148" s="7" t="n">
        <v>0</v>
      </c>
      <c r="F5148" s="7" t="n">
        <v>1</v>
      </c>
      <c r="G5148" s="7" t="n">
        <v>102.46</v>
      </c>
    </row>
    <row r="5149" customFormat="false" ht="15" hidden="false" customHeight="false" outlineLevel="0" collapsed="false">
      <c r="A5149" s="7" t="s">
        <v>24</v>
      </c>
      <c r="B5149" s="7" t="s">
        <v>263</v>
      </c>
      <c r="C5149" s="7" t="s">
        <v>1119</v>
      </c>
      <c r="D5149" s="7" t="n">
        <v>0</v>
      </c>
      <c r="E5149" s="7" t="n">
        <v>0</v>
      </c>
      <c r="F5149" s="7" t="n">
        <v>1</v>
      </c>
      <c r="G5149" s="7" t="n">
        <v>102.46</v>
      </c>
    </row>
    <row r="5150" customFormat="false" ht="15" hidden="false" customHeight="false" outlineLevel="0" collapsed="false">
      <c r="A5150" s="7" t="s">
        <v>24</v>
      </c>
      <c r="B5150" s="7" t="s">
        <v>263</v>
      </c>
      <c r="C5150" s="7" t="s">
        <v>1119</v>
      </c>
      <c r="D5150" s="7" t="n">
        <v>0</v>
      </c>
      <c r="E5150" s="7" t="n">
        <v>0</v>
      </c>
      <c r="F5150" s="7" t="n">
        <v>1</v>
      </c>
      <c r="G5150" s="7" t="n">
        <v>102.46</v>
      </c>
    </row>
    <row r="5151" customFormat="false" ht="15" hidden="false" customHeight="false" outlineLevel="0" collapsed="false">
      <c r="A5151" s="7" t="s">
        <v>24</v>
      </c>
      <c r="B5151" s="7" t="s">
        <v>179</v>
      </c>
      <c r="C5151" s="7" t="s">
        <v>1120</v>
      </c>
      <c r="D5151" s="7" t="n">
        <v>0</v>
      </c>
      <c r="E5151" s="7" t="n">
        <v>0</v>
      </c>
      <c r="F5151" s="7" t="n">
        <v>1</v>
      </c>
      <c r="G5151" s="7" t="n">
        <v>93.99</v>
      </c>
    </row>
    <row r="5152" customFormat="false" ht="15" hidden="false" customHeight="false" outlineLevel="0" collapsed="false">
      <c r="A5152" s="7" t="s">
        <v>24</v>
      </c>
      <c r="B5152" s="7" t="s">
        <v>179</v>
      </c>
      <c r="C5152" s="7" t="s">
        <v>1120</v>
      </c>
      <c r="D5152" s="7" t="n">
        <v>0</v>
      </c>
      <c r="E5152" s="7" t="n">
        <v>0</v>
      </c>
      <c r="F5152" s="7" t="n">
        <v>1</v>
      </c>
      <c r="G5152" s="7" t="n">
        <v>93.98</v>
      </c>
    </row>
    <row r="5153" customFormat="false" ht="15" hidden="false" customHeight="false" outlineLevel="0" collapsed="false">
      <c r="A5153" s="7" t="s">
        <v>24</v>
      </c>
      <c r="B5153" s="7" t="s">
        <v>179</v>
      </c>
      <c r="C5153" s="7" t="s">
        <v>1120</v>
      </c>
      <c r="D5153" s="7" t="n">
        <v>0</v>
      </c>
      <c r="E5153" s="7" t="n">
        <v>0</v>
      </c>
      <c r="F5153" s="7" t="n">
        <v>1</v>
      </c>
      <c r="G5153" s="7" t="n">
        <v>93.98</v>
      </c>
    </row>
    <row r="5154" customFormat="false" ht="15" hidden="false" customHeight="false" outlineLevel="0" collapsed="false">
      <c r="A5154" s="7" t="s">
        <v>24</v>
      </c>
      <c r="B5154" s="7" t="s">
        <v>179</v>
      </c>
      <c r="C5154" s="7" t="s">
        <v>1120</v>
      </c>
      <c r="D5154" s="7" t="n">
        <v>0</v>
      </c>
      <c r="E5154" s="7" t="n">
        <v>0</v>
      </c>
      <c r="F5154" s="7" t="n">
        <v>1</v>
      </c>
      <c r="G5154" s="7" t="n">
        <v>93.99</v>
      </c>
    </row>
    <row r="5155" customFormat="false" ht="15" hidden="false" customHeight="false" outlineLevel="0" collapsed="false">
      <c r="A5155" s="7" t="s">
        <v>24</v>
      </c>
      <c r="B5155" s="7" t="s">
        <v>179</v>
      </c>
      <c r="C5155" s="7" t="s">
        <v>1120</v>
      </c>
      <c r="D5155" s="7" t="n">
        <v>0</v>
      </c>
      <c r="E5155" s="7" t="n">
        <v>0</v>
      </c>
      <c r="F5155" s="7" t="n">
        <v>1</v>
      </c>
      <c r="G5155" s="7" t="n">
        <v>93.99</v>
      </c>
    </row>
    <row r="5156" customFormat="false" ht="15" hidden="false" customHeight="false" outlineLevel="0" collapsed="false">
      <c r="A5156" s="7" t="s">
        <v>24</v>
      </c>
      <c r="B5156" s="7" t="s">
        <v>179</v>
      </c>
      <c r="C5156" s="7" t="s">
        <v>1120</v>
      </c>
      <c r="D5156" s="7" t="n">
        <v>0</v>
      </c>
      <c r="E5156" s="7" t="n">
        <v>0</v>
      </c>
      <c r="F5156" s="7" t="n">
        <v>1</v>
      </c>
      <c r="G5156" s="7" t="n">
        <v>93.98</v>
      </c>
    </row>
    <row r="5157" customFormat="false" ht="15" hidden="false" customHeight="false" outlineLevel="0" collapsed="false">
      <c r="A5157" s="7" t="s">
        <v>24</v>
      </c>
      <c r="B5157" s="7" t="s">
        <v>179</v>
      </c>
      <c r="C5157" s="7" t="s">
        <v>1120</v>
      </c>
      <c r="D5157" s="7" t="n">
        <v>0</v>
      </c>
      <c r="E5157" s="7" t="n">
        <v>0</v>
      </c>
      <c r="F5157" s="7" t="n">
        <v>1</v>
      </c>
      <c r="G5157" s="7" t="n">
        <v>93.98</v>
      </c>
    </row>
    <row r="5158" customFormat="false" ht="15" hidden="false" customHeight="false" outlineLevel="0" collapsed="false">
      <c r="A5158" s="7" t="s">
        <v>24</v>
      </c>
      <c r="B5158" s="7" t="s">
        <v>179</v>
      </c>
      <c r="C5158" s="7" t="s">
        <v>1120</v>
      </c>
      <c r="D5158" s="7" t="n">
        <v>0</v>
      </c>
      <c r="E5158" s="7" t="n">
        <v>0</v>
      </c>
      <c r="F5158" s="7" t="n">
        <v>1</v>
      </c>
      <c r="G5158" s="7" t="n">
        <v>93.99</v>
      </c>
    </row>
    <row r="5159" customFormat="false" ht="15" hidden="false" customHeight="false" outlineLevel="0" collapsed="false">
      <c r="A5159" s="7" t="s">
        <v>24</v>
      </c>
      <c r="B5159" s="7" t="s">
        <v>179</v>
      </c>
      <c r="C5159" s="7" t="s">
        <v>1120</v>
      </c>
      <c r="D5159" s="7" t="n">
        <v>0</v>
      </c>
      <c r="E5159" s="7" t="n">
        <v>0</v>
      </c>
      <c r="F5159" s="7" t="n">
        <v>1</v>
      </c>
      <c r="G5159" s="7" t="n">
        <v>84.59</v>
      </c>
    </row>
    <row r="5160" customFormat="false" ht="15" hidden="false" customHeight="false" outlineLevel="0" collapsed="false">
      <c r="A5160" s="7" t="s">
        <v>24</v>
      </c>
      <c r="B5160" s="7" t="s">
        <v>179</v>
      </c>
      <c r="C5160" s="7" t="s">
        <v>1120</v>
      </c>
      <c r="D5160" s="7" t="n">
        <v>0</v>
      </c>
      <c r="E5160" s="7" t="n">
        <v>0</v>
      </c>
      <c r="F5160" s="7" t="n">
        <v>1</v>
      </c>
      <c r="G5160" s="7" t="n">
        <v>84.58</v>
      </c>
    </row>
    <row r="5161" customFormat="false" ht="15" hidden="false" customHeight="false" outlineLevel="0" collapsed="false">
      <c r="A5161" s="7" t="s">
        <v>24</v>
      </c>
      <c r="B5161" s="7" t="s">
        <v>179</v>
      </c>
      <c r="C5161" s="7" t="s">
        <v>1120</v>
      </c>
      <c r="D5161" s="7" t="n">
        <v>0</v>
      </c>
      <c r="E5161" s="7" t="n">
        <v>0</v>
      </c>
      <c r="F5161" s="7" t="n">
        <v>1</v>
      </c>
      <c r="G5161" s="7" t="n">
        <v>93.99</v>
      </c>
    </row>
    <row r="5162" customFormat="false" ht="15" hidden="false" customHeight="false" outlineLevel="0" collapsed="false">
      <c r="A5162" s="7" t="s">
        <v>24</v>
      </c>
      <c r="B5162" s="7" t="s">
        <v>179</v>
      </c>
      <c r="C5162" s="7" t="s">
        <v>1120</v>
      </c>
      <c r="D5162" s="7" t="n">
        <v>63</v>
      </c>
      <c r="E5162" s="7" t="n">
        <v>5676.34</v>
      </c>
      <c r="F5162" s="7" t="n">
        <v>14</v>
      </c>
      <c r="G5162" s="7" t="n">
        <v>1264.03</v>
      </c>
    </row>
    <row r="5163" customFormat="false" ht="15" hidden="false" customHeight="false" outlineLevel="0" collapsed="false">
      <c r="A5163" s="7" t="s">
        <v>24</v>
      </c>
      <c r="B5163" s="7" t="s">
        <v>179</v>
      </c>
      <c r="C5163" s="7" t="s">
        <v>1120</v>
      </c>
      <c r="D5163" s="7" t="n">
        <v>0</v>
      </c>
      <c r="E5163" s="7" t="n">
        <v>0</v>
      </c>
      <c r="F5163" s="7" t="n">
        <v>2</v>
      </c>
      <c r="G5163" s="7" t="n">
        <v>187.96</v>
      </c>
    </row>
    <row r="5164" customFormat="false" ht="15" hidden="false" customHeight="false" outlineLevel="0" collapsed="false">
      <c r="A5164" s="7" t="s">
        <v>24</v>
      </c>
      <c r="B5164" s="7" t="s">
        <v>179</v>
      </c>
      <c r="C5164" s="7" t="s">
        <v>1120</v>
      </c>
      <c r="D5164" s="7" t="n">
        <v>0</v>
      </c>
      <c r="E5164" s="7" t="n">
        <v>0</v>
      </c>
      <c r="F5164" s="7" t="n">
        <v>1</v>
      </c>
      <c r="G5164" s="7" t="n">
        <v>93.99</v>
      </c>
    </row>
    <row r="5165" customFormat="false" ht="15" hidden="false" customHeight="false" outlineLevel="0" collapsed="false">
      <c r="A5165" s="7" t="s">
        <v>24</v>
      </c>
      <c r="B5165" s="7" t="s">
        <v>179</v>
      </c>
      <c r="C5165" s="7" t="s">
        <v>1120</v>
      </c>
      <c r="D5165" s="7" t="n">
        <v>0</v>
      </c>
      <c r="E5165" s="7" t="n">
        <v>0</v>
      </c>
      <c r="F5165" s="7" t="n">
        <v>1</v>
      </c>
      <c r="G5165" s="7" t="n">
        <v>93.98</v>
      </c>
    </row>
    <row r="5166" customFormat="false" ht="15" hidden="false" customHeight="false" outlineLevel="0" collapsed="false">
      <c r="A5166" s="7" t="s">
        <v>24</v>
      </c>
      <c r="B5166" s="7" t="s">
        <v>179</v>
      </c>
      <c r="C5166" s="7" t="s">
        <v>1120</v>
      </c>
      <c r="D5166" s="7" t="n">
        <v>0</v>
      </c>
      <c r="E5166" s="7" t="n">
        <v>0</v>
      </c>
      <c r="F5166" s="7" t="n">
        <v>2</v>
      </c>
      <c r="G5166" s="7" t="n">
        <v>187.96</v>
      </c>
    </row>
    <row r="5167" customFormat="false" ht="15" hidden="false" customHeight="false" outlineLevel="0" collapsed="false">
      <c r="A5167" s="7" t="s">
        <v>24</v>
      </c>
      <c r="B5167" s="7" t="s">
        <v>179</v>
      </c>
      <c r="C5167" s="7" t="s">
        <v>1120</v>
      </c>
      <c r="D5167" s="7" t="n">
        <v>0</v>
      </c>
      <c r="E5167" s="7" t="n">
        <v>0</v>
      </c>
      <c r="F5167" s="7" t="n">
        <v>1</v>
      </c>
      <c r="G5167" s="7" t="n">
        <v>93.98</v>
      </c>
    </row>
    <row r="5168" customFormat="false" ht="15" hidden="false" customHeight="false" outlineLevel="0" collapsed="false">
      <c r="A5168" s="7" t="s">
        <v>24</v>
      </c>
      <c r="B5168" s="7" t="s">
        <v>179</v>
      </c>
      <c r="C5168" s="7" t="s">
        <v>1120</v>
      </c>
      <c r="D5168" s="7" t="n">
        <v>0</v>
      </c>
      <c r="E5168" s="7" t="n">
        <v>0</v>
      </c>
      <c r="F5168" s="7" t="n">
        <v>1</v>
      </c>
      <c r="G5168" s="7" t="n">
        <v>93.98</v>
      </c>
    </row>
    <row r="5169" customFormat="false" ht="15" hidden="false" customHeight="false" outlineLevel="0" collapsed="false">
      <c r="A5169" s="7" t="s">
        <v>24</v>
      </c>
      <c r="B5169" s="7" t="s">
        <v>179</v>
      </c>
      <c r="C5169" s="7" t="s">
        <v>1120</v>
      </c>
      <c r="D5169" s="7" t="n">
        <v>0</v>
      </c>
      <c r="E5169" s="7" t="n">
        <v>0</v>
      </c>
      <c r="F5169" s="7" t="n">
        <v>1</v>
      </c>
      <c r="G5169" s="7" t="n">
        <v>93.98</v>
      </c>
    </row>
    <row r="5170" customFormat="false" ht="15" hidden="false" customHeight="false" outlineLevel="0" collapsed="false">
      <c r="A5170" s="7" t="s">
        <v>24</v>
      </c>
      <c r="B5170" s="7" t="s">
        <v>179</v>
      </c>
      <c r="C5170" s="7" t="s">
        <v>1120</v>
      </c>
      <c r="D5170" s="7" t="n">
        <v>0</v>
      </c>
      <c r="E5170" s="7" t="n">
        <v>0</v>
      </c>
      <c r="F5170" s="7" t="n">
        <v>1</v>
      </c>
      <c r="G5170" s="7" t="n">
        <v>93.98</v>
      </c>
    </row>
    <row r="5171" customFormat="false" ht="15" hidden="false" customHeight="false" outlineLevel="0" collapsed="false">
      <c r="A5171" s="7" t="s">
        <v>24</v>
      </c>
      <c r="B5171" s="7" t="s">
        <v>179</v>
      </c>
      <c r="C5171" s="7" t="s">
        <v>1120</v>
      </c>
      <c r="D5171" s="7" t="n">
        <v>0</v>
      </c>
      <c r="E5171" s="7" t="n">
        <v>0</v>
      </c>
      <c r="F5171" s="7" t="n">
        <v>1</v>
      </c>
      <c r="G5171" s="7" t="n">
        <v>93.98</v>
      </c>
    </row>
    <row r="5172" customFormat="false" ht="15" hidden="false" customHeight="false" outlineLevel="0" collapsed="false">
      <c r="A5172" s="7" t="s">
        <v>24</v>
      </c>
      <c r="B5172" s="7" t="s">
        <v>179</v>
      </c>
      <c r="C5172" s="7" t="s">
        <v>1120</v>
      </c>
      <c r="D5172" s="7" t="n">
        <v>0</v>
      </c>
      <c r="E5172" s="7" t="n">
        <v>0</v>
      </c>
      <c r="F5172" s="7" t="n">
        <v>1</v>
      </c>
      <c r="G5172" s="7" t="n">
        <v>93.98</v>
      </c>
    </row>
    <row r="5173" customFormat="false" ht="15" hidden="false" customHeight="false" outlineLevel="0" collapsed="false">
      <c r="A5173" s="7" t="s">
        <v>24</v>
      </c>
      <c r="B5173" s="7" t="s">
        <v>587</v>
      </c>
      <c r="C5173" s="7" t="s">
        <v>1264</v>
      </c>
      <c r="D5173" s="7" t="n">
        <v>1</v>
      </c>
      <c r="E5173" s="7" t="n">
        <v>211.78</v>
      </c>
      <c r="F5173" s="7" t="n">
        <v>0</v>
      </c>
      <c r="G5173" s="7" t="n">
        <v>0</v>
      </c>
    </row>
    <row r="5174" customFormat="false" ht="15" hidden="false" customHeight="false" outlineLevel="0" collapsed="false">
      <c r="A5174" s="7" t="s">
        <v>24</v>
      </c>
      <c r="B5174" s="7" t="s">
        <v>493</v>
      </c>
      <c r="C5174" s="7" t="s">
        <v>1264</v>
      </c>
      <c r="D5174" s="7" t="n">
        <v>1</v>
      </c>
      <c r="E5174" s="7" t="n">
        <v>154.1</v>
      </c>
      <c r="F5174" s="7" t="n">
        <v>0</v>
      </c>
      <c r="G5174" s="7" t="n">
        <v>0</v>
      </c>
    </row>
    <row r="5175" customFormat="false" ht="15" hidden="false" customHeight="false" outlineLevel="0" collapsed="false">
      <c r="A5175" s="7" t="s">
        <v>24</v>
      </c>
      <c r="B5175" s="7" t="s">
        <v>493</v>
      </c>
      <c r="C5175" s="7" t="s">
        <v>1264</v>
      </c>
      <c r="D5175" s="7" t="n">
        <v>1</v>
      </c>
      <c r="E5175" s="7" t="n">
        <v>180.01</v>
      </c>
      <c r="F5175" s="7" t="n">
        <v>0</v>
      </c>
      <c r="G5175" s="7" t="n">
        <v>0</v>
      </c>
    </row>
    <row r="5176" customFormat="false" ht="15" hidden="false" customHeight="false" outlineLevel="0" collapsed="false">
      <c r="A5176" s="7" t="s">
        <v>24</v>
      </c>
      <c r="B5176" s="7" t="s">
        <v>158</v>
      </c>
      <c r="C5176" s="7" t="s">
        <v>1068</v>
      </c>
      <c r="D5176" s="7" t="n">
        <v>0</v>
      </c>
      <c r="E5176" s="7" t="n">
        <v>0</v>
      </c>
      <c r="F5176" s="7" t="n">
        <v>1</v>
      </c>
      <c r="G5176" s="7" t="n">
        <v>364.32</v>
      </c>
    </row>
    <row r="5177" customFormat="false" ht="15" hidden="false" customHeight="false" outlineLevel="0" collapsed="false">
      <c r="A5177" s="7" t="s">
        <v>24</v>
      </c>
      <c r="B5177" s="7" t="s">
        <v>158</v>
      </c>
      <c r="C5177" s="7" t="s">
        <v>1068</v>
      </c>
      <c r="D5177" s="7" t="n">
        <v>0</v>
      </c>
      <c r="E5177" s="7" t="n">
        <v>0</v>
      </c>
      <c r="F5177" s="7" t="n">
        <v>1</v>
      </c>
      <c r="G5177" s="7" t="n">
        <v>327.89</v>
      </c>
    </row>
    <row r="5178" customFormat="false" ht="15" hidden="false" customHeight="false" outlineLevel="0" collapsed="false">
      <c r="A5178" s="7" t="s">
        <v>24</v>
      </c>
      <c r="B5178" s="7" t="s">
        <v>158</v>
      </c>
      <c r="C5178" s="7" t="s">
        <v>1068</v>
      </c>
      <c r="D5178" s="7" t="n">
        <v>0</v>
      </c>
      <c r="E5178" s="7" t="n">
        <v>0</v>
      </c>
      <c r="F5178" s="7" t="n">
        <v>1</v>
      </c>
      <c r="G5178" s="7" t="n">
        <v>364.32</v>
      </c>
    </row>
    <row r="5179" customFormat="false" ht="15" hidden="false" customHeight="false" outlineLevel="0" collapsed="false">
      <c r="A5179" s="7" t="s">
        <v>24</v>
      </c>
      <c r="B5179" s="7" t="s">
        <v>158</v>
      </c>
      <c r="C5179" s="7" t="s">
        <v>1068</v>
      </c>
      <c r="D5179" s="7" t="n">
        <v>0</v>
      </c>
      <c r="E5179" s="7" t="n">
        <v>0</v>
      </c>
      <c r="F5179" s="7" t="n">
        <v>1</v>
      </c>
      <c r="G5179" s="7" t="n">
        <v>327.89</v>
      </c>
    </row>
    <row r="5180" customFormat="false" ht="15" hidden="false" customHeight="false" outlineLevel="0" collapsed="false">
      <c r="A5180" s="7" t="s">
        <v>24</v>
      </c>
      <c r="B5180" s="7" t="s">
        <v>158</v>
      </c>
      <c r="C5180" s="7" t="s">
        <v>1068</v>
      </c>
      <c r="D5180" s="7" t="n">
        <v>0</v>
      </c>
      <c r="E5180" s="7" t="n">
        <v>0</v>
      </c>
      <c r="F5180" s="7" t="n">
        <v>1</v>
      </c>
      <c r="G5180" s="7" t="n">
        <v>309.68</v>
      </c>
    </row>
    <row r="5181" customFormat="false" ht="15" hidden="false" customHeight="false" outlineLevel="0" collapsed="false">
      <c r="A5181" s="7" t="s">
        <v>24</v>
      </c>
      <c r="B5181" s="7" t="s">
        <v>158</v>
      </c>
      <c r="C5181" s="7" t="s">
        <v>1068</v>
      </c>
      <c r="D5181" s="7" t="n">
        <v>6</v>
      </c>
      <c r="E5181" s="7" t="n">
        <v>2040.19</v>
      </c>
      <c r="F5181" s="7" t="n">
        <v>5</v>
      </c>
      <c r="G5181" s="7" t="n">
        <v>1785.16</v>
      </c>
    </row>
    <row r="5182" customFormat="false" ht="15" hidden="false" customHeight="false" outlineLevel="0" collapsed="false">
      <c r="A5182" s="7" t="s">
        <v>24</v>
      </c>
      <c r="B5182" s="7" t="s">
        <v>158</v>
      </c>
      <c r="C5182" s="7" t="s">
        <v>1068</v>
      </c>
      <c r="D5182" s="7" t="n">
        <v>0</v>
      </c>
      <c r="E5182" s="7" t="n">
        <v>0</v>
      </c>
      <c r="F5182" s="7" t="n">
        <v>1</v>
      </c>
      <c r="G5182" s="7" t="n">
        <v>364.32</v>
      </c>
    </row>
    <row r="5183" customFormat="false" ht="15" hidden="false" customHeight="false" outlineLevel="0" collapsed="false">
      <c r="A5183" s="7" t="s">
        <v>24</v>
      </c>
      <c r="B5183" s="7" t="s">
        <v>158</v>
      </c>
      <c r="C5183" s="7" t="s">
        <v>1068</v>
      </c>
      <c r="D5183" s="7" t="n">
        <v>0</v>
      </c>
      <c r="E5183" s="7" t="n">
        <v>0</v>
      </c>
      <c r="F5183" s="7" t="n">
        <v>1</v>
      </c>
      <c r="G5183" s="7" t="n">
        <v>327.89</v>
      </c>
    </row>
    <row r="5184" customFormat="false" ht="15" hidden="false" customHeight="false" outlineLevel="0" collapsed="false">
      <c r="A5184" s="7" t="s">
        <v>24</v>
      </c>
      <c r="B5184" s="7" t="s">
        <v>158</v>
      </c>
      <c r="C5184" s="7" t="s">
        <v>1068</v>
      </c>
      <c r="D5184" s="7" t="n">
        <v>0</v>
      </c>
      <c r="E5184" s="7" t="n">
        <v>0</v>
      </c>
      <c r="F5184" s="7" t="n">
        <v>1</v>
      </c>
      <c r="G5184" s="7" t="n">
        <v>327.89</v>
      </c>
    </row>
    <row r="5185" customFormat="false" ht="15" hidden="false" customHeight="false" outlineLevel="0" collapsed="false">
      <c r="A5185" s="7" t="s">
        <v>24</v>
      </c>
      <c r="B5185" s="7" t="s">
        <v>158</v>
      </c>
      <c r="C5185" s="7" t="s">
        <v>1068</v>
      </c>
      <c r="D5185" s="7" t="n">
        <v>0</v>
      </c>
      <c r="E5185" s="7" t="n">
        <v>0</v>
      </c>
      <c r="F5185" s="7" t="n">
        <v>1</v>
      </c>
      <c r="G5185" s="7" t="n">
        <v>364.32</v>
      </c>
    </row>
    <row r="5186" customFormat="false" ht="15" hidden="false" customHeight="false" outlineLevel="0" collapsed="false">
      <c r="A5186" s="7" t="s">
        <v>24</v>
      </c>
      <c r="B5186" s="7" t="s">
        <v>358</v>
      </c>
      <c r="C5186" s="7" t="s">
        <v>1068</v>
      </c>
      <c r="D5186" s="7" t="n">
        <v>5</v>
      </c>
      <c r="E5186" s="7" t="n">
        <v>1712.3</v>
      </c>
      <c r="F5186" s="7" t="n">
        <v>1</v>
      </c>
      <c r="G5186" s="7" t="n">
        <v>327.89</v>
      </c>
    </row>
    <row r="5187" customFormat="false" ht="15" hidden="false" customHeight="false" outlineLevel="0" collapsed="false">
      <c r="A5187" s="7" t="s">
        <v>24</v>
      </c>
      <c r="B5187" s="7" t="s">
        <v>358</v>
      </c>
      <c r="C5187" s="7" t="s">
        <v>1068</v>
      </c>
      <c r="D5187" s="7" t="n">
        <v>0</v>
      </c>
      <c r="E5187" s="7" t="n">
        <v>0</v>
      </c>
      <c r="F5187" s="7" t="n">
        <v>1</v>
      </c>
      <c r="G5187" s="7" t="n">
        <v>364.32</v>
      </c>
    </row>
    <row r="5188" customFormat="false" ht="15" hidden="false" customHeight="false" outlineLevel="0" collapsed="false">
      <c r="A5188" s="7" t="s">
        <v>24</v>
      </c>
      <c r="B5188" s="7" t="s">
        <v>358</v>
      </c>
      <c r="C5188" s="7" t="s">
        <v>1068</v>
      </c>
      <c r="D5188" s="7" t="n">
        <v>0</v>
      </c>
      <c r="E5188" s="7" t="n">
        <v>0</v>
      </c>
      <c r="F5188" s="7" t="n">
        <v>1</v>
      </c>
      <c r="G5188" s="7" t="n">
        <v>364.32</v>
      </c>
    </row>
    <row r="5189" customFormat="false" ht="15" hidden="false" customHeight="false" outlineLevel="0" collapsed="false">
      <c r="A5189" s="7" t="s">
        <v>24</v>
      </c>
      <c r="B5189" s="7" t="s">
        <v>358</v>
      </c>
      <c r="C5189" s="7" t="s">
        <v>1068</v>
      </c>
      <c r="D5189" s="7" t="n">
        <v>0</v>
      </c>
      <c r="E5189" s="7" t="n">
        <v>0</v>
      </c>
      <c r="F5189" s="7" t="n">
        <v>1</v>
      </c>
      <c r="G5189" s="7" t="n">
        <v>364.32</v>
      </c>
    </row>
    <row r="5190" customFormat="false" ht="15" hidden="false" customHeight="false" outlineLevel="0" collapsed="false">
      <c r="A5190" s="7" t="s">
        <v>24</v>
      </c>
      <c r="B5190" s="7" t="s">
        <v>358</v>
      </c>
      <c r="C5190" s="7" t="s">
        <v>1068</v>
      </c>
      <c r="D5190" s="7" t="n">
        <v>1</v>
      </c>
      <c r="E5190" s="7" t="n">
        <v>342.29</v>
      </c>
      <c r="F5190" s="7" t="n">
        <v>0</v>
      </c>
      <c r="G5190" s="7" t="n">
        <v>0</v>
      </c>
    </row>
    <row r="5191" customFormat="false" ht="15" hidden="false" customHeight="false" outlineLevel="0" collapsed="false">
      <c r="A5191" s="7" t="s">
        <v>24</v>
      </c>
      <c r="B5191" s="7" t="s">
        <v>278</v>
      </c>
      <c r="C5191" s="7" t="s">
        <v>1068</v>
      </c>
      <c r="D5191" s="7" t="n">
        <v>4</v>
      </c>
      <c r="E5191" s="7" t="n">
        <v>1347.98</v>
      </c>
      <c r="F5191" s="7" t="n">
        <v>0</v>
      </c>
      <c r="G5191" s="7" t="n">
        <v>0</v>
      </c>
    </row>
    <row r="5192" customFormat="false" ht="15" hidden="false" customHeight="false" outlineLevel="0" collapsed="false">
      <c r="A5192" s="7" t="s">
        <v>24</v>
      </c>
      <c r="B5192" s="7" t="s">
        <v>278</v>
      </c>
      <c r="C5192" s="7" t="s">
        <v>1068</v>
      </c>
      <c r="D5192" s="7" t="n">
        <v>0</v>
      </c>
      <c r="E5192" s="7" t="n">
        <v>0</v>
      </c>
      <c r="F5192" s="7" t="n">
        <v>1</v>
      </c>
      <c r="G5192" s="7" t="n">
        <v>309.68</v>
      </c>
    </row>
    <row r="5193" customFormat="false" ht="15" hidden="false" customHeight="false" outlineLevel="0" collapsed="false">
      <c r="A5193" s="7" t="s">
        <v>24</v>
      </c>
      <c r="B5193" s="7" t="s">
        <v>194</v>
      </c>
      <c r="C5193" s="7" t="s">
        <v>1068</v>
      </c>
      <c r="D5193" s="7" t="n">
        <v>0</v>
      </c>
      <c r="E5193" s="7" t="n">
        <v>0</v>
      </c>
      <c r="F5193" s="7" t="n">
        <v>1</v>
      </c>
      <c r="G5193" s="7" t="n">
        <v>364.32</v>
      </c>
    </row>
    <row r="5194" customFormat="false" ht="15" hidden="false" customHeight="false" outlineLevel="0" collapsed="false">
      <c r="A5194" s="7" t="s">
        <v>24</v>
      </c>
      <c r="B5194" s="7" t="s">
        <v>194</v>
      </c>
      <c r="C5194" s="7" t="s">
        <v>1068</v>
      </c>
      <c r="D5194" s="7" t="n">
        <v>0</v>
      </c>
      <c r="E5194" s="7" t="n">
        <v>0</v>
      </c>
      <c r="F5194" s="7" t="n">
        <v>1</v>
      </c>
      <c r="G5194" s="7" t="n">
        <v>364.32</v>
      </c>
    </row>
    <row r="5195" customFormat="false" ht="15" hidden="false" customHeight="false" outlineLevel="0" collapsed="false">
      <c r="A5195" s="7" t="s">
        <v>24</v>
      </c>
      <c r="B5195" s="7" t="s">
        <v>194</v>
      </c>
      <c r="C5195" s="7" t="s">
        <v>1068</v>
      </c>
      <c r="D5195" s="7" t="n">
        <v>0</v>
      </c>
      <c r="E5195" s="7" t="n">
        <v>0</v>
      </c>
      <c r="F5195" s="7" t="n">
        <v>1</v>
      </c>
      <c r="G5195" s="7" t="n">
        <v>364.32</v>
      </c>
    </row>
    <row r="5196" customFormat="false" ht="15" hidden="false" customHeight="false" outlineLevel="0" collapsed="false">
      <c r="A5196" s="7" t="s">
        <v>24</v>
      </c>
      <c r="B5196" s="7" t="s">
        <v>194</v>
      </c>
      <c r="C5196" s="7" t="s">
        <v>1068</v>
      </c>
      <c r="D5196" s="7" t="n">
        <v>8</v>
      </c>
      <c r="E5196" s="7" t="n">
        <v>2623.1</v>
      </c>
      <c r="F5196" s="7" t="n">
        <v>5</v>
      </c>
      <c r="G5196" s="7" t="n">
        <v>1712.29</v>
      </c>
    </row>
    <row r="5197" customFormat="false" ht="15" hidden="false" customHeight="false" outlineLevel="0" collapsed="false">
      <c r="A5197" s="7" t="s">
        <v>24</v>
      </c>
      <c r="B5197" s="7" t="s">
        <v>194</v>
      </c>
      <c r="C5197" s="7" t="s">
        <v>1068</v>
      </c>
      <c r="D5197" s="7" t="n">
        <v>0</v>
      </c>
      <c r="E5197" s="7" t="n">
        <v>0</v>
      </c>
      <c r="F5197" s="7" t="n">
        <v>1</v>
      </c>
      <c r="G5197" s="7" t="n">
        <v>364.32</v>
      </c>
    </row>
    <row r="5198" customFormat="false" ht="15" hidden="false" customHeight="false" outlineLevel="0" collapsed="false">
      <c r="A5198" s="7" t="s">
        <v>24</v>
      </c>
      <c r="B5198" s="7" t="s">
        <v>194</v>
      </c>
      <c r="C5198" s="7" t="s">
        <v>1068</v>
      </c>
      <c r="D5198" s="7" t="n">
        <v>0</v>
      </c>
      <c r="E5198" s="7" t="n">
        <v>0</v>
      </c>
      <c r="F5198" s="7" t="n">
        <v>1</v>
      </c>
      <c r="G5198" s="7" t="n">
        <v>278.25</v>
      </c>
    </row>
    <row r="5199" customFormat="false" ht="15" hidden="false" customHeight="false" outlineLevel="0" collapsed="false">
      <c r="A5199" s="7" t="s">
        <v>24</v>
      </c>
      <c r="B5199" s="7" t="s">
        <v>194</v>
      </c>
      <c r="C5199" s="7" t="s">
        <v>1068</v>
      </c>
      <c r="D5199" s="7" t="n">
        <v>0</v>
      </c>
      <c r="E5199" s="7" t="n">
        <v>0</v>
      </c>
      <c r="F5199" s="7" t="n">
        <v>1</v>
      </c>
      <c r="G5199" s="7" t="n">
        <v>309.68</v>
      </c>
    </row>
    <row r="5200" customFormat="false" ht="15" hidden="false" customHeight="false" outlineLevel="0" collapsed="false">
      <c r="A5200" s="7" t="s">
        <v>24</v>
      </c>
      <c r="B5200" s="7" t="s">
        <v>194</v>
      </c>
      <c r="C5200" s="7" t="s">
        <v>1068</v>
      </c>
      <c r="D5200" s="7" t="n">
        <v>0</v>
      </c>
      <c r="E5200" s="7" t="n">
        <v>0</v>
      </c>
      <c r="F5200" s="7" t="n">
        <v>2</v>
      </c>
      <c r="G5200" s="7" t="n">
        <v>728.64</v>
      </c>
    </row>
    <row r="5201" customFormat="false" ht="15" hidden="false" customHeight="false" outlineLevel="0" collapsed="false">
      <c r="A5201" s="7" t="s">
        <v>24</v>
      </c>
      <c r="B5201" s="7" t="s">
        <v>555</v>
      </c>
      <c r="C5201" s="7" t="s">
        <v>1068</v>
      </c>
      <c r="D5201" s="7" t="n">
        <v>0</v>
      </c>
      <c r="E5201" s="7" t="n">
        <v>0</v>
      </c>
      <c r="F5201" s="7" t="n">
        <v>1</v>
      </c>
      <c r="G5201" s="7" t="n">
        <v>327.89</v>
      </c>
    </row>
    <row r="5202" customFormat="false" ht="15" hidden="false" customHeight="false" outlineLevel="0" collapsed="false">
      <c r="A5202" s="7" t="s">
        <v>24</v>
      </c>
      <c r="B5202" s="7" t="s">
        <v>555</v>
      </c>
      <c r="C5202" s="7" t="s">
        <v>1068</v>
      </c>
      <c r="D5202" s="7" t="n">
        <v>0</v>
      </c>
      <c r="E5202" s="7" t="n">
        <v>0</v>
      </c>
      <c r="F5202" s="7" t="n">
        <v>1</v>
      </c>
      <c r="G5202" s="7" t="n">
        <v>364.32</v>
      </c>
    </row>
    <row r="5203" customFormat="false" ht="15" hidden="false" customHeight="false" outlineLevel="0" collapsed="false">
      <c r="A5203" s="7" t="s">
        <v>24</v>
      </c>
      <c r="B5203" s="7" t="s">
        <v>555</v>
      </c>
      <c r="C5203" s="7" t="s">
        <v>1068</v>
      </c>
      <c r="D5203" s="7" t="n">
        <v>0</v>
      </c>
      <c r="E5203" s="7" t="n">
        <v>0</v>
      </c>
      <c r="F5203" s="7" t="n">
        <v>1</v>
      </c>
      <c r="G5203" s="7" t="n">
        <v>582.91</v>
      </c>
    </row>
    <row r="5204" customFormat="false" ht="15" hidden="false" customHeight="false" outlineLevel="0" collapsed="false">
      <c r="A5204" s="7" t="s">
        <v>24</v>
      </c>
      <c r="B5204" s="7" t="s">
        <v>555</v>
      </c>
      <c r="C5204" s="7" t="s">
        <v>1068</v>
      </c>
      <c r="D5204" s="7" t="n">
        <v>10</v>
      </c>
      <c r="E5204" s="7" t="n">
        <v>3369.95</v>
      </c>
      <c r="F5204" s="7" t="n">
        <v>4</v>
      </c>
      <c r="G5204" s="7" t="n">
        <v>1347.99</v>
      </c>
    </row>
    <row r="5205" customFormat="false" ht="15" hidden="false" customHeight="false" outlineLevel="0" collapsed="false">
      <c r="A5205" s="7" t="s">
        <v>24</v>
      </c>
      <c r="B5205" s="7" t="s">
        <v>555</v>
      </c>
      <c r="C5205" s="7" t="s">
        <v>1068</v>
      </c>
      <c r="D5205" s="7" t="n">
        <v>0</v>
      </c>
      <c r="E5205" s="7" t="n">
        <v>0</v>
      </c>
      <c r="F5205" s="7" t="n">
        <v>1</v>
      </c>
      <c r="G5205" s="7" t="n">
        <v>364.32</v>
      </c>
    </row>
    <row r="5206" customFormat="false" ht="15" hidden="false" customHeight="false" outlineLevel="0" collapsed="false">
      <c r="A5206" s="7" t="s">
        <v>24</v>
      </c>
      <c r="B5206" s="7" t="s">
        <v>555</v>
      </c>
      <c r="C5206" s="7" t="s">
        <v>1068</v>
      </c>
      <c r="D5206" s="7" t="n">
        <v>0</v>
      </c>
      <c r="E5206" s="7" t="n">
        <v>0</v>
      </c>
      <c r="F5206" s="7" t="n">
        <v>1</v>
      </c>
      <c r="G5206" s="7" t="n">
        <v>364.32</v>
      </c>
    </row>
    <row r="5207" customFormat="false" ht="15" hidden="false" customHeight="false" outlineLevel="0" collapsed="false">
      <c r="A5207" s="7" t="s">
        <v>24</v>
      </c>
      <c r="B5207" s="7" t="s">
        <v>555</v>
      </c>
      <c r="C5207" s="7" t="s">
        <v>1068</v>
      </c>
      <c r="D5207" s="7" t="n">
        <v>0</v>
      </c>
      <c r="E5207" s="7" t="n">
        <v>0</v>
      </c>
      <c r="F5207" s="7" t="n">
        <v>1</v>
      </c>
      <c r="G5207" s="7" t="n">
        <v>327.89</v>
      </c>
    </row>
    <row r="5208" customFormat="false" ht="15" hidden="false" customHeight="false" outlineLevel="0" collapsed="false">
      <c r="A5208" s="7" t="s">
        <v>24</v>
      </c>
      <c r="B5208" s="7" t="s">
        <v>555</v>
      </c>
      <c r="C5208" s="7" t="s">
        <v>1068</v>
      </c>
      <c r="D5208" s="7" t="n">
        <v>0</v>
      </c>
      <c r="E5208" s="7" t="n">
        <v>0</v>
      </c>
      <c r="F5208" s="7" t="n">
        <v>1</v>
      </c>
      <c r="G5208" s="7" t="n">
        <v>364.32</v>
      </c>
    </row>
    <row r="5209" customFormat="false" ht="15" hidden="false" customHeight="false" outlineLevel="0" collapsed="false">
      <c r="A5209" s="7" t="s">
        <v>24</v>
      </c>
      <c r="B5209" s="7" t="s">
        <v>555</v>
      </c>
      <c r="C5209" s="7" t="s">
        <v>1068</v>
      </c>
      <c r="D5209" s="7" t="n">
        <v>3</v>
      </c>
      <c r="E5209" s="7" t="n">
        <v>924.19</v>
      </c>
      <c r="F5209" s="7" t="n">
        <v>0</v>
      </c>
      <c r="G5209" s="7" t="n">
        <v>0</v>
      </c>
    </row>
    <row r="5210" customFormat="false" ht="15" hidden="false" customHeight="false" outlineLevel="0" collapsed="false">
      <c r="A5210" s="7" t="s">
        <v>24</v>
      </c>
      <c r="B5210" s="7" t="s">
        <v>433</v>
      </c>
      <c r="C5210" s="7" t="s">
        <v>1265</v>
      </c>
      <c r="D5210" s="7" t="n">
        <v>1</v>
      </c>
      <c r="E5210" s="7" t="n">
        <v>468.15</v>
      </c>
      <c r="F5210" s="7" t="n">
        <v>0</v>
      </c>
      <c r="G5210" s="7" t="n">
        <v>0</v>
      </c>
    </row>
    <row r="5211" customFormat="false" ht="15" hidden="false" customHeight="false" outlineLevel="0" collapsed="false">
      <c r="A5211" s="7" t="s">
        <v>24</v>
      </c>
      <c r="B5211" s="7" t="s">
        <v>364</v>
      </c>
      <c r="C5211" s="7" t="s">
        <v>1265</v>
      </c>
      <c r="D5211" s="7" t="n">
        <v>2</v>
      </c>
      <c r="E5211" s="7" t="n">
        <v>1101.52</v>
      </c>
      <c r="F5211" s="7" t="n">
        <v>0</v>
      </c>
      <c r="G5211" s="7" t="n">
        <v>0</v>
      </c>
    </row>
    <row r="5212" customFormat="false" ht="15" hidden="false" customHeight="false" outlineLevel="0" collapsed="false">
      <c r="A5212" s="7" t="s">
        <v>24</v>
      </c>
      <c r="B5212" s="7" t="s">
        <v>364</v>
      </c>
      <c r="C5212" s="7" t="s">
        <v>1265</v>
      </c>
      <c r="D5212" s="7" t="n">
        <v>0</v>
      </c>
      <c r="E5212" s="7" t="n">
        <v>0</v>
      </c>
      <c r="F5212" s="7" t="n">
        <v>1</v>
      </c>
      <c r="G5212" s="7" t="n">
        <v>495.69</v>
      </c>
    </row>
    <row r="5213" customFormat="false" ht="15" hidden="false" customHeight="false" outlineLevel="0" collapsed="false">
      <c r="A5213" s="7" t="s">
        <v>24</v>
      </c>
      <c r="B5213" s="7" t="s">
        <v>397</v>
      </c>
      <c r="C5213" s="7" t="s">
        <v>1265</v>
      </c>
      <c r="D5213" s="7" t="n">
        <v>1</v>
      </c>
      <c r="E5213" s="7" t="n">
        <v>550.76</v>
      </c>
      <c r="F5213" s="7" t="n">
        <v>0</v>
      </c>
      <c r="G5213" s="7" t="n">
        <v>0</v>
      </c>
    </row>
    <row r="5214" customFormat="false" ht="15" hidden="false" customHeight="false" outlineLevel="0" collapsed="false">
      <c r="A5214" s="7" t="s">
        <v>24</v>
      </c>
      <c r="B5214" s="7" t="s">
        <v>396</v>
      </c>
      <c r="C5214" s="7" t="s">
        <v>1265</v>
      </c>
      <c r="D5214" s="7" t="n">
        <v>1</v>
      </c>
      <c r="E5214" s="7" t="n">
        <v>550.76</v>
      </c>
      <c r="F5214" s="7" t="n">
        <v>0</v>
      </c>
      <c r="G5214" s="7" t="n">
        <v>0</v>
      </c>
    </row>
    <row r="5215" customFormat="false" ht="15" hidden="false" customHeight="false" outlineLevel="0" collapsed="false">
      <c r="A5215" s="7" t="s">
        <v>24</v>
      </c>
      <c r="B5215" s="7" t="s">
        <v>273</v>
      </c>
      <c r="C5215" s="7" t="s">
        <v>1265</v>
      </c>
      <c r="D5215" s="7" t="n">
        <v>4</v>
      </c>
      <c r="E5215" s="7" t="n">
        <v>2010.28</v>
      </c>
      <c r="F5215" s="7" t="n">
        <v>2</v>
      </c>
      <c r="G5215" s="7" t="n">
        <v>991.36</v>
      </c>
    </row>
    <row r="5216" customFormat="false" ht="15" hidden="false" customHeight="false" outlineLevel="0" collapsed="false">
      <c r="A5216" s="7" t="s">
        <v>24</v>
      </c>
      <c r="B5216" s="7" t="s">
        <v>273</v>
      </c>
      <c r="C5216" s="7" t="s">
        <v>1265</v>
      </c>
      <c r="D5216" s="7" t="n">
        <v>1</v>
      </c>
      <c r="E5216" s="7" t="n">
        <v>547.37</v>
      </c>
      <c r="F5216" s="7" t="n">
        <v>0</v>
      </c>
      <c r="G5216" s="7" t="n">
        <v>0</v>
      </c>
    </row>
    <row r="5217" customFormat="false" ht="15" hidden="false" customHeight="false" outlineLevel="0" collapsed="false">
      <c r="A5217" s="7" t="s">
        <v>24</v>
      </c>
      <c r="B5217" s="7" t="s">
        <v>273</v>
      </c>
      <c r="C5217" s="7" t="s">
        <v>1265</v>
      </c>
      <c r="D5217" s="7" t="n">
        <v>0</v>
      </c>
      <c r="E5217" s="7" t="n">
        <v>0</v>
      </c>
      <c r="F5217" s="7" t="n">
        <v>1</v>
      </c>
      <c r="G5217" s="7" t="n">
        <v>495.69</v>
      </c>
    </row>
    <row r="5218" customFormat="false" ht="15" hidden="false" customHeight="false" outlineLevel="0" collapsed="false">
      <c r="A5218" s="7" t="s">
        <v>24</v>
      </c>
      <c r="B5218" s="7" t="s">
        <v>379</v>
      </c>
      <c r="C5218" s="7" t="s">
        <v>1265</v>
      </c>
      <c r="D5218" s="7" t="n">
        <v>1</v>
      </c>
      <c r="E5218" s="7" t="n">
        <v>468.15</v>
      </c>
      <c r="F5218" s="7" t="n">
        <v>1</v>
      </c>
      <c r="G5218" s="7" t="n">
        <v>550.76</v>
      </c>
    </row>
    <row r="5219" customFormat="false" ht="15" hidden="false" customHeight="false" outlineLevel="0" collapsed="false">
      <c r="A5219" s="7" t="s">
        <v>24</v>
      </c>
      <c r="B5219" s="7" t="s">
        <v>379</v>
      </c>
      <c r="C5219" s="7" t="s">
        <v>1265</v>
      </c>
      <c r="D5219" s="7" t="n">
        <v>0</v>
      </c>
      <c r="E5219" s="7" t="n">
        <v>0</v>
      </c>
      <c r="F5219" s="7" t="n">
        <v>1</v>
      </c>
      <c r="G5219" s="7" t="n">
        <v>495.69</v>
      </c>
    </row>
    <row r="5220" customFormat="false" ht="15" hidden="false" customHeight="false" outlineLevel="0" collapsed="false">
      <c r="A5220" s="7" t="s">
        <v>24</v>
      </c>
      <c r="B5220" s="7" t="s">
        <v>154</v>
      </c>
      <c r="C5220" s="7" t="s">
        <v>1162</v>
      </c>
      <c r="D5220" s="7" t="n">
        <v>0</v>
      </c>
      <c r="E5220" s="7" t="n">
        <v>0</v>
      </c>
      <c r="F5220" s="7" t="n">
        <v>3</v>
      </c>
      <c r="G5220" s="7" t="n">
        <v>426.88</v>
      </c>
    </row>
    <row r="5221" customFormat="false" ht="15" hidden="false" customHeight="false" outlineLevel="0" collapsed="false">
      <c r="A5221" s="7" t="s">
        <v>24</v>
      </c>
      <c r="B5221" s="7" t="s">
        <v>154</v>
      </c>
      <c r="C5221" s="7" t="s">
        <v>1162</v>
      </c>
      <c r="D5221" s="7" t="n">
        <v>0</v>
      </c>
      <c r="E5221" s="7" t="n">
        <v>0</v>
      </c>
      <c r="F5221" s="7" t="n">
        <v>1</v>
      </c>
      <c r="G5221" s="7" t="n">
        <v>152.46</v>
      </c>
    </row>
    <row r="5222" customFormat="false" ht="15" hidden="false" customHeight="false" outlineLevel="0" collapsed="false">
      <c r="A5222" s="7" t="s">
        <v>24</v>
      </c>
      <c r="B5222" s="7" t="s">
        <v>154</v>
      </c>
      <c r="C5222" s="7" t="s">
        <v>1162</v>
      </c>
      <c r="D5222" s="7" t="n">
        <v>0</v>
      </c>
      <c r="E5222" s="7" t="n">
        <v>0</v>
      </c>
      <c r="F5222" s="7" t="n">
        <v>1</v>
      </c>
      <c r="G5222" s="7" t="n">
        <v>0</v>
      </c>
    </row>
    <row r="5223" customFormat="false" ht="15" hidden="false" customHeight="false" outlineLevel="0" collapsed="false">
      <c r="A5223" s="7" t="s">
        <v>24</v>
      </c>
      <c r="B5223" s="7" t="s">
        <v>154</v>
      </c>
      <c r="C5223" s="7" t="s">
        <v>1162</v>
      </c>
      <c r="D5223" s="7" t="n">
        <v>0</v>
      </c>
      <c r="E5223" s="7" t="n">
        <v>0</v>
      </c>
      <c r="F5223" s="7" t="n">
        <v>1</v>
      </c>
      <c r="G5223" s="7" t="n">
        <v>152.46</v>
      </c>
    </row>
    <row r="5224" customFormat="false" ht="15" hidden="false" customHeight="false" outlineLevel="0" collapsed="false">
      <c r="A5224" s="7" t="s">
        <v>24</v>
      </c>
      <c r="B5224" s="7" t="s">
        <v>154</v>
      </c>
      <c r="C5224" s="7" t="s">
        <v>1162</v>
      </c>
      <c r="D5224" s="7" t="n">
        <v>1</v>
      </c>
      <c r="E5224" s="7" t="n">
        <v>122.77</v>
      </c>
      <c r="F5224" s="7" t="n">
        <v>0</v>
      </c>
      <c r="G5224" s="7" t="n">
        <v>0</v>
      </c>
    </row>
    <row r="5225" customFormat="false" ht="15" hidden="false" customHeight="false" outlineLevel="0" collapsed="false">
      <c r="A5225" s="7" t="s">
        <v>24</v>
      </c>
      <c r="B5225" s="7" t="s">
        <v>154</v>
      </c>
      <c r="C5225" s="7" t="s">
        <v>1162</v>
      </c>
      <c r="D5225" s="7" t="n">
        <v>0</v>
      </c>
      <c r="E5225" s="7" t="n">
        <v>0</v>
      </c>
      <c r="F5225" s="7" t="n">
        <v>1</v>
      </c>
      <c r="G5225" s="7" t="n">
        <v>152.46</v>
      </c>
    </row>
    <row r="5226" customFormat="false" ht="15" hidden="false" customHeight="false" outlineLevel="0" collapsed="false">
      <c r="A5226" s="7" t="s">
        <v>24</v>
      </c>
      <c r="B5226" s="7" t="s">
        <v>154</v>
      </c>
      <c r="C5226" s="7" t="s">
        <v>1162</v>
      </c>
      <c r="D5226" s="7" t="n">
        <v>82</v>
      </c>
      <c r="E5226" s="7" t="n">
        <v>11434.48</v>
      </c>
      <c r="F5226" s="7" t="n">
        <v>29</v>
      </c>
      <c r="G5226" s="7" t="n">
        <v>4146.87</v>
      </c>
    </row>
    <row r="5227" customFormat="false" ht="15" hidden="false" customHeight="false" outlineLevel="0" collapsed="false">
      <c r="A5227" s="7" t="s">
        <v>24</v>
      </c>
      <c r="B5227" s="7" t="s">
        <v>154</v>
      </c>
      <c r="C5227" s="7" t="s">
        <v>1162</v>
      </c>
      <c r="D5227" s="7" t="n">
        <v>0</v>
      </c>
      <c r="E5227" s="7" t="n">
        <v>0</v>
      </c>
      <c r="F5227" s="7" t="n">
        <v>1</v>
      </c>
      <c r="G5227" s="7" t="n">
        <v>137.21</v>
      </c>
    </row>
    <row r="5228" customFormat="false" ht="15" hidden="false" customHeight="false" outlineLevel="0" collapsed="false">
      <c r="A5228" s="7" t="s">
        <v>24</v>
      </c>
      <c r="B5228" s="7" t="s">
        <v>154</v>
      </c>
      <c r="C5228" s="7" t="s">
        <v>1162</v>
      </c>
      <c r="D5228" s="7" t="n">
        <v>0</v>
      </c>
      <c r="E5228" s="7" t="n">
        <v>0</v>
      </c>
      <c r="F5228" s="7" t="n">
        <v>2</v>
      </c>
      <c r="G5228" s="7" t="n">
        <v>304.91</v>
      </c>
    </row>
    <row r="5229" customFormat="false" ht="15" hidden="false" customHeight="false" outlineLevel="0" collapsed="false">
      <c r="A5229" s="7" t="s">
        <v>24</v>
      </c>
      <c r="B5229" s="7" t="s">
        <v>154</v>
      </c>
      <c r="C5229" s="7" t="s">
        <v>1162</v>
      </c>
      <c r="D5229" s="7" t="n">
        <v>0</v>
      </c>
      <c r="E5229" s="7" t="n">
        <v>0</v>
      </c>
      <c r="F5229" s="7" t="n">
        <v>1</v>
      </c>
      <c r="G5229" s="7" t="n">
        <v>137.21</v>
      </c>
    </row>
    <row r="5230" customFormat="false" ht="15" hidden="false" customHeight="false" outlineLevel="0" collapsed="false">
      <c r="A5230" s="7" t="s">
        <v>24</v>
      </c>
      <c r="B5230" s="7" t="s">
        <v>154</v>
      </c>
      <c r="C5230" s="7" t="s">
        <v>1162</v>
      </c>
      <c r="D5230" s="7" t="n">
        <v>0</v>
      </c>
      <c r="E5230" s="7" t="n">
        <v>0</v>
      </c>
      <c r="F5230" s="7" t="n">
        <v>1</v>
      </c>
      <c r="G5230" s="7" t="n">
        <v>152.46</v>
      </c>
    </row>
    <row r="5231" customFormat="false" ht="15" hidden="false" customHeight="false" outlineLevel="0" collapsed="false">
      <c r="A5231" s="7" t="s">
        <v>24</v>
      </c>
      <c r="B5231" s="7" t="s">
        <v>154</v>
      </c>
      <c r="C5231" s="7" t="s">
        <v>1162</v>
      </c>
      <c r="D5231" s="7" t="n">
        <v>0</v>
      </c>
      <c r="E5231" s="7" t="n">
        <v>0</v>
      </c>
      <c r="F5231" s="7" t="n">
        <v>1</v>
      </c>
      <c r="G5231" s="7" t="n">
        <v>152.46</v>
      </c>
    </row>
    <row r="5232" customFormat="false" ht="15" hidden="false" customHeight="false" outlineLevel="0" collapsed="false">
      <c r="A5232" s="7" t="s">
        <v>24</v>
      </c>
      <c r="B5232" s="7" t="s">
        <v>154</v>
      </c>
      <c r="C5232" s="7" t="s">
        <v>1162</v>
      </c>
      <c r="D5232" s="7" t="n">
        <v>0</v>
      </c>
      <c r="E5232" s="7" t="n">
        <v>0</v>
      </c>
      <c r="F5232" s="7" t="n">
        <v>1</v>
      </c>
      <c r="G5232" s="7" t="n">
        <v>137.22</v>
      </c>
    </row>
    <row r="5233" customFormat="false" ht="15" hidden="false" customHeight="false" outlineLevel="0" collapsed="false">
      <c r="A5233" s="7" t="s">
        <v>24</v>
      </c>
      <c r="B5233" s="7" t="s">
        <v>154</v>
      </c>
      <c r="C5233" s="7" t="s">
        <v>1162</v>
      </c>
      <c r="D5233" s="7" t="n">
        <v>0</v>
      </c>
      <c r="E5233" s="7" t="n">
        <v>0</v>
      </c>
      <c r="F5233" s="7" t="n">
        <v>1</v>
      </c>
      <c r="G5233" s="7" t="n">
        <v>137.21</v>
      </c>
    </row>
    <row r="5234" customFormat="false" ht="15" hidden="false" customHeight="false" outlineLevel="0" collapsed="false">
      <c r="A5234" s="7" t="s">
        <v>24</v>
      </c>
      <c r="B5234" s="7" t="s">
        <v>154</v>
      </c>
      <c r="C5234" s="7" t="s">
        <v>1162</v>
      </c>
      <c r="D5234" s="7" t="n">
        <v>0</v>
      </c>
      <c r="E5234" s="7" t="n">
        <v>0</v>
      </c>
      <c r="F5234" s="7" t="n">
        <v>1</v>
      </c>
      <c r="G5234" s="7" t="n">
        <v>152.46</v>
      </c>
    </row>
    <row r="5235" customFormat="false" ht="15" hidden="false" customHeight="false" outlineLevel="0" collapsed="false">
      <c r="A5235" s="7" t="s">
        <v>24</v>
      </c>
      <c r="B5235" s="7" t="s">
        <v>154</v>
      </c>
      <c r="C5235" s="7" t="s">
        <v>1162</v>
      </c>
      <c r="D5235" s="7" t="n">
        <v>0</v>
      </c>
      <c r="E5235" s="7" t="n">
        <v>0</v>
      </c>
      <c r="F5235" s="7" t="n">
        <v>1</v>
      </c>
      <c r="G5235" s="7" t="n">
        <v>152.46</v>
      </c>
    </row>
    <row r="5236" customFormat="false" ht="15" hidden="false" customHeight="false" outlineLevel="0" collapsed="false">
      <c r="A5236" s="7" t="s">
        <v>24</v>
      </c>
      <c r="B5236" s="7" t="s">
        <v>154</v>
      </c>
      <c r="C5236" s="7" t="s">
        <v>1162</v>
      </c>
      <c r="D5236" s="7" t="n">
        <v>0</v>
      </c>
      <c r="E5236" s="7" t="n">
        <v>0</v>
      </c>
      <c r="F5236" s="7" t="n">
        <v>1</v>
      </c>
      <c r="G5236" s="7" t="n">
        <v>137.21</v>
      </c>
    </row>
    <row r="5237" customFormat="false" ht="15" hidden="false" customHeight="false" outlineLevel="0" collapsed="false">
      <c r="A5237" s="7" t="s">
        <v>24</v>
      </c>
      <c r="B5237" s="7" t="s">
        <v>154</v>
      </c>
      <c r="C5237" s="7" t="s">
        <v>1162</v>
      </c>
      <c r="D5237" s="7" t="n">
        <v>0</v>
      </c>
      <c r="E5237" s="7" t="n">
        <v>0</v>
      </c>
      <c r="F5237" s="7" t="n">
        <v>2</v>
      </c>
      <c r="G5237" s="7" t="n">
        <v>304.92</v>
      </c>
    </row>
    <row r="5238" customFormat="false" ht="15" hidden="false" customHeight="false" outlineLevel="0" collapsed="false">
      <c r="A5238" s="7" t="s">
        <v>24</v>
      </c>
      <c r="B5238" s="7" t="s">
        <v>154</v>
      </c>
      <c r="C5238" s="7" t="s">
        <v>1162</v>
      </c>
      <c r="D5238" s="7" t="n">
        <v>0</v>
      </c>
      <c r="E5238" s="7" t="n">
        <v>0</v>
      </c>
      <c r="F5238" s="7" t="n">
        <v>1</v>
      </c>
      <c r="G5238" s="7" t="n">
        <v>129.59</v>
      </c>
    </row>
    <row r="5239" customFormat="false" ht="15" hidden="false" customHeight="false" outlineLevel="0" collapsed="false">
      <c r="A5239" s="7" t="s">
        <v>24</v>
      </c>
      <c r="B5239" s="7" t="s">
        <v>154</v>
      </c>
      <c r="C5239" s="7" t="s">
        <v>1162</v>
      </c>
      <c r="D5239" s="7" t="n">
        <v>0</v>
      </c>
      <c r="E5239" s="7" t="n">
        <v>0</v>
      </c>
      <c r="F5239" s="7" t="n">
        <v>1</v>
      </c>
      <c r="G5239" s="7" t="n">
        <v>152.46</v>
      </c>
    </row>
    <row r="5240" customFormat="false" ht="15" hidden="false" customHeight="false" outlineLevel="0" collapsed="false">
      <c r="A5240" s="7" t="s">
        <v>24</v>
      </c>
      <c r="B5240" s="7" t="s">
        <v>154</v>
      </c>
      <c r="C5240" s="7" t="s">
        <v>1162</v>
      </c>
      <c r="D5240" s="7" t="n">
        <v>0</v>
      </c>
      <c r="E5240" s="7" t="n">
        <v>0</v>
      </c>
      <c r="F5240" s="7" t="n">
        <v>2</v>
      </c>
      <c r="G5240" s="7" t="n">
        <v>274.44</v>
      </c>
    </row>
    <row r="5241" customFormat="false" ht="15" hidden="false" customHeight="false" outlineLevel="0" collapsed="false">
      <c r="A5241" s="7" t="s">
        <v>24</v>
      </c>
      <c r="B5241" s="7" t="s">
        <v>154</v>
      </c>
      <c r="C5241" s="7" t="s">
        <v>1162</v>
      </c>
      <c r="D5241" s="7" t="n">
        <v>6</v>
      </c>
      <c r="E5241" s="7" t="n">
        <v>808.53</v>
      </c>
      <c r="F5241" s="7" t="n">
        <v>0</v>
      </c>
      <c r="G5241" s="7" t="n">
        <v>0</v>
      </c>
    </row>
    <row r="5242" customFormat="false" ht="15" hidden="false" customHeight="false" outlineLevel="0" collapsed="false">
      <c r="A5242" s="7" t="s">
        <v>24</v>
      </c>
      <c r="B5242" s="7" t="s">
        <v>154</v>
      </c>
      <c r="C5242" s="7" t="s">
        <v>1162</v>
      </c>
      <c r="D5242" s="7" t="n">
        <v>0</v>
      </c>
      <c r="E5242" s="7" t="n">
        <v>0</v>
      </c>
      <c r="F5242" s="7" t="n">
        <v>1</v>
      </c>
      <c r="G5242" s="7" t="n">
        <v>137.22</v>
      </c>
    </row>
    <row r="5243" customFormat="false" ht="15" hidden="false" customHeight="false" outlineLevel="0" collapsed="false">
      <c r="A5243" s="7" t="s">
        <v>24</v>
      </c>
      <c r="B5243" s="7" t="s">
        <v>154</v>
      </c>
      <c r="C5243" s="7" t="s">
        <v>1162</v>
      </c>
      <c r="D5243" s="7" t="n">
        <v>0</v>
      </c>
      <c r="E5243" s="7" t="n">
        <v>0</v>
      </c>
      <c r="F5243" s="7" t="n">
        <v>2</v>
      </c>
      <c r="G5243" s="7" t="n">
        <v>304.92</v>
      </c>
    </row>
    <row r="5244" customFormat="false" ht="15" hidden="false" customHeight="false" outlineLevel="0" collapsed="false">
      <c r="A5244" s="7" t="s">
        <v>24</v>
      </c>
      <c r="B5244" s="7" t="s">
        <v>154</v>
      </c>
      <c r="C5244" s="7" t="s">
        <v>1162</v>
      </c>
      <c r="D5244" s="7" t="n">
        <v>0</v>
      </c>
      <c r="E5244" s="7" t="n">
        <v>0</v>
      </c>
      <c r="F5244" s="7" t="n">
        <v>1</v>
      </c>
      <c r="G5244" s="7" t="n">
        <v>152.46</v>
      </c>
    </row>
    <row r="5245" customFormat="false" ht="15" hidden="false" customHeight="false" outlineLevel="0" collapsed="false">
      <c r="A5245" s="7" t="s">
        <v>24</v>
      </c>
      <c r="B5245" s="7" t="s">
        <v>154</v>
      </c>
      <c r="C5245" s="7" t="s">
        <v>1162</v>
      </c>
      <c r="D5245" s="7" t="n">
        <v>0</v>
      </c>
      <c r="E5245" s="7" t="n">
        <v>0</v>
      </c>
      <c r="F5245" s="7" t="n">
        <v>1</v>
      </c>
      <c r="G5245" s="7" t="n">
        <v>137.22</v>
      </c>
    </row>
    <row r="5246" customFormat="false" ht="15" hidden="false" customHeight="false" outlineLevel="0" collapsed="false">
      <c r="A5246" s="7" t="s">
        <v>24</v>
      </c>
      <c r="B5246" s="7" t="s">
        <v>154</v>
      </c>
      <c r="C5246" s="7" t="s">
        <v>1162</v>
      </c>
      <c r="D5246" s="7" t="n">
        <v>0</v>
      </c>
      <c r="E5246" s="7" t="n">
        <v>0</v>
      </c>
      <c r="F5246" s="7" t="n">
        <v>1</v>
      </c>
      <c r="G5246" s="7" t="n">
        <v>152.46</v>
      </c>
    </row>
    <row r="5247" customFormat="false" ht="15" hidden="false" customHeight="false" outlineLevel="0" collapsed="false">
      <c r="A5247" s="7" t="s">
        <v>24</v>
      </c>
      <c r="B5247" s="7" t="s">
        <v>154</v>
      </c>
      <c r="C5247" s="7" t="s">
        <v>1162</v>
      </c>
      <c r="D5247" s="7" t="n">
        <v>0</v>
      </c>
      <c r="E5247" s="7" t="n">
        <v>0</v>
      </c>
      <c r="F5247" s="7" t="n">
        <v>2</v>
      </c>
      <c r="G5247" s="7" t="n">
        <v>304.92</v>
      </c>
    </row>
    <row r="5248" customFormat="false" ht="15" hidden="false" customHeight="false" outlineLevel="0" collapsed="false">
      <c r="A5248" s="7" t="s">
        <v>24</v>
      </c>
      <c r="B5248" s="7" t="s">
        <v>154</v>
      </c>
      <c r="C5248" s="7" t="s">
        <v>1162</v>
      </c>
      <c r="D5248" s="7" t="n">
        <v>0</v>
      </c>
      <c r="E5248" s="7" t="n">
        <v>0</v>
      </c>
      <c r="F5248" s="7" t="n">
        <v>1</v>
      </c>
      <c r="G5248" s="7" t="n">
        <v>152.46</v>
      </c>
    </row>
    <row r="5249" customFormat="false" ht="15" hidden="false" customHeight="false" outlineLevel="0" collapsed="false">
      <c r="A5249" s="7" t="s">
        <v>24</v>
      </c>
      <c r="B5249" s="7" t="s">
        <v>154</v>
      </c>
      <c r="C5249" s="7" t="s">
        <v>1162</v>
      </c>
      <c r="D5249" s="7" t="n">
        <v>0</v>
      </c>
      <c r="E5249" s="7" t="n">
        <v>0</v>
      </c>
      <c r="F5249" s="7" t="n">
        <v>1</v>
      </c>
      <c r="G5249" s="7" t="n">
        <v>152.46</v>
      </c>
    </row>
    <row r="5250" customFormat="false" ht="15" hidden="false" customHeight="false" outlineLevel="0" collapsed="false">
      <c r="A5250" s="7" t="s">
        <v>24</v>
      </c>
      <c r="B5250" s="7" t="s">
        <v>154</v>
      </c>
      <c r="C5250" s="7" t="s">
        <v>1162</v>
      </c>
      <c r="D5250" s="7" t="n">
        <v>0</v>
      </c>
      <c r="E5250" s="7" t="n">
        <v>0</v>
      </c>
      <c r="F5250" s="7" t="n">
        <v>1</v>
      </c>
      <c r="G5250" s="7" t="n">
        <v>137.21</v>
      </c>
    </row>
    <row r="5251" customFormat="false" ht="15" hidden="false" customHeight="false" outlineLevel="0" collapsed="false">
      <c r="A5251" s="7" t="s">
        <v>24</v>
      </c>
      <c r="B5251" s="7" t="s">
        <v>154</v>
      </c>
      <c r="C5251" s="7" t="s">
        <v>1162</v>
      </c>
      <c r="D5251" s="7" t="n">
        <v>0</v>
      </c>
      <c r="E5251" s="7" t="n">
        <v>0</v>
      </c>
      <c r="F5251" s="7" t="n">
        <v>1</v>
      </c>
      <c r="G5251" s="7" t="n">
        <v>137.22</v>
      </c>
    </row>
    <row r="5252" customFormat="false" ht="15" hidden="false" customHeight="false" outlineLevel="0" collapsed="false">
      <c r="A5252" s="7" t="s">
        <v>24</v>
      </c>
      <c r="B5252" s="7" t="s">
        <v>154</v>
      </c>
      <c r="C5252" s="7" t="s">
        <v>1162</v>
      </c>
      <c r="D5252" s="7" t="n">
        <v>0</v>
      </c>
      <c r="E5252" s="7" t="n">
        <v>0</v>
      </c>
      <c r="F5252" s="7" t="n">
        <v>2</v>
      </c>
      <c r="G5252" s="7" t="n">
        <v>304.91</v>
      </c>
    </row>
    <row r="5253" customFormat="false" ht="15" hidden="false" customHeight="false" outlineLevel="0" collapsed="false">
      <c r="A5253" s="7" t="s">
        <v>24</v>
      </c>
      <c r="B5253" s="7" t="s">
        <v>154</v>
      </c>
      <c r="C5253" s="7" t="s">
        <v>1162</v>
      </c>
      <c r="D5253" s="7" t="n">
        <v>0</v>
      </c>
      <c r="E5253" s="7" t="n">
        <v>0</v>
      </c>
      <c r="F5253" s="7" t="n">
        <v>1</v>
      </c>
      <c r="G5253" s="7" t="n">
        <v>137.22</v>
      </c>
    </row>
    <row r="5254" customFormat="false" ht="15" hidden="false" customHeight="false" outlineLevel="0" collapsed="false">
      <c r="A5254" s="7" t="s">
        <v>24</v>
      </c>
      <c r="B5254" s="7" t="s">
        <v>154</v>
      </c>
      <c r="C5254" s="7" t="s">
        <v>1162</v>
      </c>
      <c r="D5254" s="7" t="n">
        <v>0</v>
      </c>
      <c r="E5254" s="7" t="n">
        <v>0</v>
      </c>
      <c r="F5254" s="7" t="n">
        <v>1</v>
      </c>
      <c r="G5254" s="7" t="n">
        <v>152.46</v>
      </c>
    </row>
    <row r="5255" customFormat="false" ht="15" hidden="false" customHeight="false" outlineLevel="0" collapsed="false">
      <c r="A5255" s="7" t="s">
        <v>24</v>
      </c>
      <c r="B5255" s="7" t="s">
        <v>154</v>
      </c>
      <c r="C5255" s="7" t="s">
        <v>1162</v>
      </c>
      <c r="D5255" s="7" t="n">
        <v>0</v>
      </c>
      <c r="E5255" s="7" t="n">
        <v>0</v>
      </c>
      <c r="F5255" s="7" t="n">
        <v>1</v>
      </c>
      <c r="G5255" s="7" t="n">
        <v>137.21</v>
      </c>
    </row>
    <row r="5256" customFormat="false" ht="15" hidden="false" customHeight="false" outlineLevel="0" collapsed="false">
      <c r="A5256" s="7" t="s">
        <v>24</v>
      </c>
      <c r="B5256" s="7" t="s">
        <v>154</v>
      </c>
      <c r="C5256" s="7" t="s">
        <v>1162</v>
      </c>
      <c r="D5256" s="7" t="n">
        <v>0</v>
      </c>
      <c r="E5256" s="7" t="n">
        <v>0</v>
      </c>
      <c r="F5256" s="7" t="n">
        <v>2</v>
      </c>
      <c r="G5256" s="7" t="n">
        <v>289.67</v>
      </c>
    </row>
    <row r="5257" customFormat="false" ht="15" hidden="false" customHeight="false" outlineLevel="0" collapsed="false">
      <c r="A5257" s="7" t="s">
        <v>24</v>
      </c>
      <c r="B5257" s="7" t="s">
        <v>154</v>
      </c>
      <c r="C5257" s="7" t="s">
        <v>1162</v>
      </c>
      <c r="D5257" s="7" t="n">
        <v>0</v>
      </c>
      <c r="E5257" s="7" t="n">
        <v>0</v>
      </c>
      <c r="F5257" s="7" t="n">
        <v>1</v>
      </c>
      <c r="G5257" s="7" t="n">
        <v>152.46</v>
      </c>
    </row>
    <row r="5258" customFormat="false" ht="15" hidden="false" customHeight="false" outlineLevel="0" collapsed="false">
      <c r="A5258" s="7" t="s">
        <v>24</v>
      </c>
      <c r="B5258" s="7" t="s">
        <v>154</v>
      </c>
      <c r="C5258" s="7" t="s">
        <v>1162</v>
      </c>
      <c r="D5258" s="7" t="n">
        <v>0</v>
      </c>
      <c r="E5258" s="7" t="n">
        <v>0</v>
      </c>
      <c r="F5258" s="7" t="n">
        <v>1</v>
      </c>
      <c r="G5258" s="7" t="n">
        <v>152.46</v>
      </c>
    </row>
    <row r="5259" customFormat="false" ht="15" hidden="false" customHeight="false" outlineLevel="0" collapsed="false">
      <c r="A5259" s="7" t="s">
        <v>24</v>
      </c>
      <c r="B5259" s="7" t="s">
        <v>154</v>
      </c>
      <c r="C5259" s="7" t="s">
        <v>1162</v>
      </c>
      <c r="D5259" s="7" t="n">
        <v>0</v>
      </c>
      <c r="E5259" s="7" t="n">
        <v>0</v>
      </c>
      <c r="F5259" s="7" t="n">
        <v>2</v>
      </c>
      <c r="G5259" s="7" t="n">
        <v>274.42</v>
      </c>
    </row>
    <row r="5260" customFormat="false" ht="15" hidden="false" customHeight="false" outlineLevel="0" collapsed="false">
      <c r="A5260" s="7" t="s">
        <v>24</v>
      </c>
      <c r="B5260" s="7" t="s">
        <v>154</v>
      </c>
      <c r="C5260" s="7" t="s">
        <v>1162</v>
      </c>
      <c r="D5260" s="7" t="n">
        <v>0</v>
      </c>
      <c r="E5260" s="7" t="n">
        <v>0</v>
      </c>
      <c r="F5260" s="7" t="n">
        <v>1</v>
      </c>
      <c r="G5260" s="7" t="n">
        <v>137.22</v>
      </c>
    </row>
    <row r="5261" customFormat="false" ht="15" hidden="false" customHeight="false" outlineLevel="0" collapsed="false">
      <c r="A5261" s="7" t="s">
        <v>24</v>
      </c>
      <c r="B5261" s="7" t="s">
        <v>154</v>
      </c>
      <c r="C5261" s="7" t="s">
        <v>1162</v>
      </c>
      <c r="D5261" s="7" t="n">
        <v>0</v>
      </c>
      <c r="E5261" s="7" t="n">
        <v>0</v>
      </c>
      <c r="F5261" s="7" t="n">
        <v>1</v>
      </c>
      <c r="G5261" s="7" t="n">
        <v>137.22</v>
      </c>
    </row>
    <row r="5262" customFormat="false" ht="15" hidden="false" customHeight="false" outlineLevel="0" collapsed="false">
      <c r="A5262" s="7" t="s">
        <v>24</v>
      </c>
      <c r="B5262" s="7" t="s">
        <v>154</v>
      </c>
      <c r="C5262" s="7" t="s">
        <v>1162</v>
      </c>
      <c r="D5262" s="7" t="n">
        <v>0</v>
      </c>
      <c r="E5262" s="7" t="n">
        <v>0</v>
      </c>
      <c r="F5262" s="7" t="n">
        <v>2</v>
      </c>
      <c r="G5262" s="7" t="n">
        <v>304.91</v>
      </c>
    </row>
    <row r="5263" customFormat="false" ht="15" hidden="false" customHeight="false" outlineLevel="0" collapsed="false">
      <c r="A5263" s="7" t="s">
        <v>24</v>
      </c>
      <c r="B5263" s="7" t="s">
        <v>154</v>
      </c>
      <c r="C5263" s="7" t="s">
        <v>1162</v>
      </c>
      <c r="D5263" s="7" t="n">
        <v>0</v>
      </c>
      <c r="E5263" s="7" t="n">
        <v>0</v>
      </c>
      <c r="F5263" s="7" t="n">
        <v>1</v>
      </c>
      <c r="G5263" s="7" t="n">
        <v>137.21</v>
      </c>
    </row>
    <row r="5264" customFormat="false" ht="15" hidden="false" customHeight="false" outlineLevel="0" collapsed="false">
      <c r="A5264" s="7" t="s">
        <v>24</v>
      </c>
      <c r="B5264" s="7" t="s">
        <v>154</v>
      </c>
      <c r="C5264" s="7" t="s">
        <v>1162</v>
      </c>
      <c r="D5264" s="7" t="n">
        <v>0</v>
      </c>
      <c r="E5264" s="7" t="n">
        <v>0</v>
      </c>
      <c r="F5264" s="7" t="n">
        <v>1</v>
      </c>
      <c r="G5264" s="7" t="n">
        <v>152.45</v>
      </c>
    </row>
    <row r="5265" customFormat="false" ht="15" hidden="false" customHeight="false" outlineLevel="0" collapsed="false">
      <c r="A5265" s="7" t="s">
        <v>24</v>
      </c>
      <c r="B5265" s="7" t="s">
        <v>154</v>
      </c>
      <c r="C5265" s="7" t="s">
        <v>1162</v>
      </c>
      <c r="D5265" s="7" t="n">
        <v>0</v>
      </c>
      <c r="E5265" s="7" t="n">
        <v>0</v>
      </c>
      <c r="F5265" s="7" t="n">
        <v>1</v>
      </c>
      <c r="G5265" s="7" t="n">
        <v>137.22</v>
      </c>
    </row>
    <row r="5266" customFormat="false" ht="15" hidden="false" customHeight="false" outlineLevel="0" collapsed="false">
      <c r="A5266" s="7" t="s">
        <v>24</v>
      </c>
      <c r="B5266" s="7" t="s">
        <v>154</v>
      </c>
      <c r="C5266" s="7" t="s">
        <v>1162</v>
      </c>
      <c r="D5266" s="7" t="n">
        <v>0</v>
      </c>
      <c r="E5266" s="7" t="n">
        <v>0</v>
      </c>
      <c r="F5266" s="7" t="n">
        <v>1</v>
      </c>
      <c r="G5266" s="7" t="n">
        <v>137.22</v>
      </c>
    </row>
    <row r="5267" customFormat="false" ht="15" hidden="false" customHeight="false" outlineLevel="0" collapsed="false">
      <c r="A5267" s="7" t="s">
        <v>24</v>
      </c>
      <c r="B5267" s="7" t="s">
        <v>154</v>
      </c>
      <c r="C5267" s="7" t="s">
        <v>1162</v>
      </c>
      <c r="D5267" s="7" t="n">
        <v>0</v>
      </c>
      <c r="E5267" s="7" t="n">
        <v>0</v>
      </c>
      <c r="F5267" s="7" t="n">
        <v>1</v>
      </c>
      <c r="G5267" s="7" t="n">
        <v>137.21</v>
      </c>
    </row>
    <row r="5268" customFormat="false" ht="15" hidden="false" customHeight="false" outlineLevel="0" collapsed="false">
      <c r="A5268" s="7" t="s">
        <v>24</v>
      </c>
      <c r="B5268" s="7" t="s">
        <v>154</v>
      </c>
      <c r="C5268" s="7" t="s">
        <v>1162</v>
      </c>
      <c r="D5268" s="7" t="n">
        <v>0</v>
      </c>
      <c r="E5268" s="7" t="n">
        <v>0</v>
      </c>
      <c r="F5268" s="7" t="n">
        <v>6</v>
      </c>
      <c r="G5268" s="7" t="n">
        <v>914.76</v>
      </c>
    </row>
    <row r="5269" customFormat="false" ht="15" hidden="false" customHeight="false" outlineLevel="0" collapsed="false">
      <c r="A5269" s="7" t="s">
        <v>24</v>
      </c>
      <c r="B5269" s="7" t="s">
        <v>154</v>
      </c>
      <c r="C5269" s="7" t="s">
        <v>1162</v>
      </c>
      <c r="D5269" s="7" t="n">
        <v>0</v>
      </c>
      <c r="E5269" s="7" t="n">
        <v>0</v>
      </c>
      <c r="F5269" s="7" t="n">
        <v>1</v>
      </c>
      <c r="G5269" s="7" t="n">
        <v>152.46</v>
      </c>
    </row>
    <row r="5270" customFormat="false" ht="15" hidden="false" customHeight="false" outlineLevel="0" collapsed="false">
      <c r="A5270" s="7" t="s">
        <v>24</v>
      </c>
      <c r="B5270" s="7" t="s">
        <v>154</v>
      </c>
      <c r="C5270" s="7" t="s">
        <v>1162</v>
      </c>
      <c r="D5270" s="7" t="n">
        <v>0</v>
      </c>
      <c r="E5270" s="7" t="n">
        <v>0</v>
      </c>
      <c r="F5270" s="7" t="n">
        <v>1</v>
      </c>
      <c r="G5270" s="7" t="n">
        <v>137.21</v>
      </c>
    </row>
    <row r="5271" customFormat="false" ht="15" hidden="false" customHeight="false" outlineLevel="0" collapsed="false">
      <c r="A5271" s="7" t="s">
        <v>24</v>
      </c>
      <c r="B5271" s="7" t="s">
        <v>154</v>
      </c>
      <c r="C5271" s="7" t="s">
        <v>1162</v>
      </c>
      <c r="D5271" s="7" t="n">
        <v>0</v>
      </c>
      <c r="E5271" s="7" t="n">
        <v>0</v>
      </c>
      <c r="F5271" s="7" t="n">
        <v>2</v>
      </c>
      <c r="G5271" s="7" t="n">
        <v>304.92</v>
      </c>
    </row>
    <row r="5272" customFormat="false" ht="15" hidden="false" customHeight="false" outlineLevel="0" collapsed="false">
      <c r="A5272" s="7" t="s">
        <v>24</v>
      </c>
      <c r="B5272" s="7" t="s">
        <v>154</v>
      </c>
      <c r="C5272" s="7" t="s">
        <v>1162</v>
      </c>
      <c r="D5272" s="7" t="n">
        <v>0</v>
      </c>
      <c r="E5272" s="7" t="n">
        <v>0</v>
      </c>
      <c r="F5272" s="7" t="n">
        <v>1</v>
      </c>
      <c r="G5272" s="7" t="n">
        <v>152.46</v>
      </c>
    </row>
    <row r="5273" customFormat="false" ht="15" hidden="false" customHeight="false" outlineLevel="0" collapsed="false">
      <c r="A5273" s="7" t="s">
        <v>24</v>
      </c>
      <c r="B5273" s="7" t="s">
        <v>154</v>
      </c>
      <c r="C5273" s="7" t="s">
        <v>1162</v>
      </c>
      <c r="D5273" s="7" t="n">
        <v>0</v>
      </c>
      <c r="E5273" s="7" t="n">
        <v>0</v>
      </c>
      <c r="F5273" s="7" t="n">
        <v>3</v>
      </c>
      <c r="G5273" s="7" t="n">
        <v>442.13</v>
      </c>
    </row>
    <row r="5274" customFormat="false" ht="15" hidden="false" customHeight="false" outlineLevel="0" collapsed="false">
      <c r="A5274" s="7" t="s">
        <v>24</v>
      </c>
      <c r="B5274" s="7" t="s">
        <v>154</v>
      </c>
      <c r="C5274" s="7" t="s">
        <v>1162</v>
      </c>
      <c r="D5274" s="7" t="n">
        <v>0</v>
      </c>
      <c r="E5274" s="7" t="n">
        <v>0</v>
      </c>
      <c r="F5274" s="7" t="n">
        <v>1</v>
      </c>
      <c r="G5274" s="7" t="n">
        <v>152.46</v>
      </c>
    </row>
    <row r="5275" customFormat="false" ht="15" hidden="false" customHeight="false" outlineLevel="0" collapsed="false">
      <c r="A5275" s="7" t="s">
        <v>24</v>
      </c>
      <c r="B5275" s="7" t="s">
        <v>154</v>
      </c>
      <c r="C5275" s="7" t="s">
        <v>1162</v>
      </c>
      <c r="D5275" s="7" t="n">
        <v>1</v>
      </c>
      <c r="E5275" s="7" t="n">
        <v>122.8</v>
      </c>
      <c r="F5275" s="7" t="n">
        <v>0</v>
      </c>
      <c r="G5275" s="7" t="n">
        <v>0</v>
      </c>
    </row>
    <row r="5276" customFormat="false" ht="15" hidden="false" customHeight="false" outlineLevel="0" collapsed="false">
      <c r="A5276" s="7" t="s">
        <v>24</v>
      </c>
      <c r="B5276" s="7" t="s">
        <v>154</v>
      </c>
      <c r="C5276" s="7" t="s">
        <v>1162</v>
      </c>
      <c r="D5276" s="7" t="n">
        <v>0</v>
      </c>
      <c r="E5276" s="7" t="n">
        <v>0</v>
      </c>
      <c r="F5276" s="7" t="n">
        <v>1</v>
      </c>
      <c r="G5276" s="7" t="n">
        <v>137.22</v>
      </c>
    </row>
    <row r="5277" customFormat="false" ht="15" hidden="false" customHeight="false" outlineLevel="0" collapsed="false">
      <c r="A5277" s="7" t="s">
        <v>24</v>
      </c>
      <c r="B5277" s="7" t="s">
        <v>154</v>
      </c>
      <c r="C5277" s="7" t="s">
        <v>1162</v>
      </c>
      <c r="D5277" s="7" t="n">
        <v>0</v>
      </c>
      <c r="E5277" s="7" t="n">
        <v>0</v>
      </c>
      <c r="F5277" s="7" t="n">
        <v>3</v>
      </c>
      <c r="G5277" s="7" t="n">
        <v>457.38</v>
      </c>
    </row>
    <row r="5278" customFormat="false" ht="15" hidden="false" customHeight="false" outlineLevel="0" collapsed="false">
      <c r="A5278" s="7" t="s">
        <v>24</v>
      </c>
      <c r="B5278" s="7" t="s">
        <v>154</v>
      </c>
      <c r="C5278" s="7" t="s">
        <v>1162</v>
      </c>
      <c r="D5278" s="7" t="n">
        <v>0</v>
      </c>
      <c r="E5278" s="7" t="n">
        <v>0</v>
      </c>
      <c r="F5278" s="7" t="n">
        <v>1</v>
      </c>
      <c r="G5278" s="7" t="n">
        <v>152.46</v>
      </c>
    </row>
    <row r="5279" customFormat="false" ht="15" hidden="false" customHeight="false" outlineLevel="0" collapsed="false">
      <c r="A5279" s="7" t="s">
        <v>24</v>
      </c>
      <c r="B5279" s="7" t="s">
        <v>154</v>
      </c>
      <c r="C5279" s="7" t="s">
        <v>1162</v>
      </c>
      <c r="D5279" s="7" t="n">
        <v>0</v>
      </c>
      <c r="E5279" s="7" t="n">
        <v>0</v>
      </c>
      <c r="F5279" s="7" t="n">
        <v>3</v>
      </c>
      <c r="G5279" s="7" t="n">
        <v>426.89</v>
      </c>
    </row>
    <row r="5280" customFormat="false" ht="15" hidden="false" customHeight="false" outlineLevel="0" collapsed="false">
      <c r="A5280" s="7" t="s">
        <v>24</v>
      </c>
      <c r="B5280" s="7" t="s">
        <v>790</v>
      </c>
      <c r="C5280" s="7" t="s">
        <v>1163</v>
      </c>
      <c r="D5280" s="7" t="n">
        <v>0</v>
      </c>
      <c r="E5280" s="7" t="n">
        <v>0</v>
      </c>
      <c r="F5280" s="7" t="n">
        <v>1</v>
      </c>
      <c r="G5280" s="7" t="n">
        <v>128.35</v>
      </c>
    </row>
    <row r="5281" customFormat="false" ht="15" hidden="false" customHeight="false" outlineLevel="0" collapsed="false">
      <c r="A5281" s="7" t="s">
        <v>24</v>
      </c>
      <c r="B5281" s="7" t="s">
        <v>790</v>
      </c>
      <c r="C5281" s="7" t="s">
        <v>1163</v>
      </c>
      <c r="D5281" s="7" t="n">
        <v>0</v>
      </c>
      <c r="E5281" s="7" t="n">
        <v>0</v>
      </c>
      <c r="F5281" s="7" t="n">
        <v>1</v>
      </c>
      <c r="G5281" s="7" t="n">
        <v>128.35</v>
      </c>
    </row>
    <row r="5282" customFormat="false" ht="15" hidden="false" customHeight="false" outlineLevel="0" collapsed="false">
      <c r="A5282" s="7" t="s">
        <v>24</v>
      </c>
      <c r="B5282" s="7" t="s">
        <v>790</v>
      </c>
      <c r="C5282" s="7" t="s">
        <v>1163</v>
      </c>
      <c r="D5282" s="7" t="n">
        <v>0</v>
      </c>
      <c r="E5282" s="7" t="n">
        <v>0</v>
      </c>
      <c r="F5282" s="7" t="n">
        <v>1</v>
      </c>
      <c r="G5282" s="7" t="n">
        <v>128.35</v>
      </c>
    </row>
    <row r="5283" customFormat="false" ht="15" hidden="false" customHeight="false" outlineLevel="0" collapsed="false">
      <c r="A5283" s="7" t="s">
        <v>24</v>
      </c>
      <c r="B5283" s="7" t="s">
        <v>790</v>
      </c>
      <c r="C5283" s="7" t="s">
        <v>1163</v>
      </c>
      <c r="D5283" s="7" t="n">
        <v>0</v>
      </c>
      <c r="E5283" s="7" t="n">
        <v>0</v>
      </c>
      <c r="F5283" s="7" t="n">
        <v>1</v>
      </c>
      <c r="G5283" s="7" t="n">
        <v>72.06</v>
      </c>
    </row>
    <row r="5284" customFormat="false" ht="15" hidden="false" customHeight="false" outlineLevel="0" collapsed="false">
      <c r="A5284" s="7" t="s">
        <v>24</v>
      </c>
      <c r="B5284" s="7" t="s">
        <v>790</v>
      </c>
      <c r="C5284" s="7" t="s">
        <v>1163</v>
      </c>
      <c r="D5284" s="7" t="n">
        <v>0</v>
      </c>
      <c r="E5284" s="7" t="n">
        <v>0</v>
      </c>
      <c r="F5284" s="7" t="n">
        <v>1</v>
      </c>
      <c r="G5284" s="7" t="n">
        <v>128.35</v>
      </c>
    </row>
    <row r="5285" customFormat="false" ht="15" hidden="false" customHeight="false" outlineLevel="0" collapsed="false">
      <c r="A5285" s="7" t="s">
        <v>24</v>
      </c>
      <c r="B5285" s="7" t="s">
        <v>790</v>
      </c>
      <c r="C5285" s="7" t="s">
        <v>1163</v>
      </c>
      <c r="D5285" s="7" t="n">
        <v>7</v>
      </c>
      <c r="E5285" s="7" t="n">
        <v>1719.83</v>
      </c>
      <c r="F5285" s="7" t="n">
        <v>2</v>
      </c>
      <c r="G5285" s="7" t="n">
        <v>513.38</v>
      </c>
    </row>
    <row r="5286" customFormat="false" ht="15" hidden="false" customHeight="false" outlineLevel="0" collapsed="false">
      <c r="A5286" s="7" t="s">
        <v>24</v>
      </c>
      <c r="B5286" s="7" t="s">
        <v>790</v>
      </c>
      <c r="C5286" s="7" t="s">
        <v>1163</v>
      </c>
      <c r="D5286" s="7" t="n">
        <v>0</v>
      </c>
      <c r="E5286" s="7" t="n">
        <v>0</v>
      </c>
      <c r="F5286" s="7" t="n">
        <v>1</v>
      </c>
      <c r="G5286" s="7" t="n">
        <v>256.69</v>
      </c>
    </row>
    <row r="5287" customFormat="false" ht="15" hidden="false" customHeight="false" outlineLevel="0" collapsed="false">
      <c r="A5287" s="7" t="s">
        <v>24</v>
      </c>
      <c r="B5287" s="7" t="s">
        <v>790</v>
      </c>
      <c r="C5287" s="7" t="s">
        <v>1163</v>
      </c>
      <c r="D5287" s="7" t="n">
        <v>0</v>
      </c>
      <c r="E5287" s="7" t="n">
        <v>0</v>
      </c>
      <c r="F5287" s="7" t="n">
        <v>2</v>
      </c>
      <c r="G5287" s="7" t="n">
        <v>382.3</v>
      </c>
    </row>
    <row r="5288" customFormat="false" ht="15" hidden="false" customHeight="false" outlineLevel="0" collapsed="false">
      <c r="A5288" s="7" t="s">
        <v>24</v>
      </c>
      <c r="B5288" s="7" t="s">
        <v>542</v>
      </c>
      <c r="C5288" s="7" t="s">
        <v>1163</v>
      </c>
      <c r="D5288" s="7" t="n">
        <v>0</v>
      </c>
      <c r="E5288" s="7" t="n">
        <v>0</v>
      </c>
      <c r="F5288" s="7" t="n">
        <v>1</v>
      </c>
      <c r="G5288" s="7" t="n">
        <v>231.03</v>
      </c>
    </row>
    <row r="5289" customFormat="false" ht="15" hidden="false" customHeight="false" outlineLevel="0" collapsed="false">
      <c r="A5289" s="7" t="s">
        <v>24</v>
      </c>
      <c r="B5289" s="7" t="s">
        <v>542</v>
      </c>
      <c r="C5289" s="7" t="s">
        <v>1163</v>
      </c>
      <c r="D5289" s="7" t="n">
        <v>0</v>
      </c>
      <c r="E5289" s="7" t="n">
        <v>0</v>
      </c>
      <c r="F5289" s="7" t="n">
        <v>1</v>
      </c>
      <c r="G5289" s="7" t="n">
        <v>128.35</v>
      </c>
    </row>
    <row r="5290" customFormat="false" ht="15" hidden="false" customHeight="false" outlineLevel="0" collapsed="false">
      <c r="A5290" s="7" t="s">
        <v>24</v>
      </c>
      <c r="B5290" s="7" t="s">
        <v>542</v>
      </c>
      <c r="C5290" s="7" t="s">
        <v>1163</v>
      </c>
      <c r="D5290" s="7" t="n">
        <v>3</v>
      </c>
      <c r="E5290" s="7" t="n">
        <v>718.73</v>
      </c>
      <c r="F5290" s="7" t="n">
        <v>1</v>
      </c>
      <c r="G5290" s="7" t="n">
        <v>295.19</v>
      </c>
    </row>
    <row r="5291" customFormat="false" ht="15" hidden="false" customHeight="false" outlineLevel="0" collapsed="false">
      <c r="A5291" s="7" t="s">
        <v>24</v>
      </c>
      <c r="B5291" s="7" t="s">
        <v>542</v>
      </c>
      <c r="C5291" s="7" t="s">
        <v>1163</v>
      </c>
      <c r="D5291" s="7" t="n">
        <v>0</v>
      </c>
      <c r="E5291" s="7" t="n">
        <v>0</v>
      </c>
      <c r="F5291" s="7" t="n">
        <v>1</v>
      </c>
      <c r="G5291" s="7" t="n">
        <v>218.19</v>
      </c>
    </row>
    <row r="5292" customFormat="false" ht="15" hidden="false" customHeight="false" outlineLevel="0" collapsed="false">
      <c r="A5292" s="7" t="s">
        <v>24</v>
      </c>
      <c r="B5292" s="7" t="s">
        <v>542</v>
      </c>
      <c r="C5292" s="7" t="s">
        <v>1163</v>
      </c>
      <c r="D5292" s="7" t="n">
        <v>0</v>
      </c>
      <c r="E5292" s="7" t="n">
        <v>0</v>
      </c>
      <c r="F5292" s="7" t="n">
        <v>1</v>
      </c>
      <c r="G5292" s="7" t="n">
        <v>128.35</v>
      </c>
    </row>
    <row r="5293" customFormat="false" ht="15" hidden="false" customHeight="false" outlineLevel="0" collapsed="false">
      <c r="A5293" s="7" t="s">
        <v>24</v>
      </c>
      <c r="B5293" s="7" t="s">
        <v>670</v>
      </c>
      <c r="C5293" s="7" t="s">
        <v>1163</v>
      </c>
      <c r="D5293" s="7" t="n">
        <v>1</v>
      </c>
      <c r="E5293" s="7" t="n">
        <v>256.69</v>
      </c>
      <c r="F5293" s="7" t="n">
        <v>1</v>
      </c>
      <c r="G5293" s="7" t="n">
        <v>256.69</v>
      </c>
    </row>
    <row r="5294" customFormat="false" ht="15" hidden="false" customHeight="false" outlineLevel="0" collapsed="false">
      <c r="A5294" s="7" t="s">
        <v>24</v>
      </c>
      <c r="B5294" s="7" t="s">
        <v>670</v>
      </c>
      <c r="C5294" s="7" t="s">
        <v>1163</v>
      </c>
      <c r="D5294" s="7" t="n">
        <v>0</v>
      </c>
      <c r="E5294" s="7" t="n">
        <v>0</v>
      </c>
      <c r="F5294" s="7" t="n">
        <v>1</v>
      </c>
      <c r="G5294" s="7" t="n">
        <v>127.04</v>
      </c>
    </row>
    <row r="5295" customFormat="false" ht="15" hidden="false" customHeight="false" outlineLevel="0" collapsed="false">
      <c r="A5295" s="7" t="s">
        <v>24</v>
      </c>
      <c r="B5295" s="7" t="s">
        <v>585</v>
      </c>
      <c r="C5295" s="7" t="s">
        <v>1163</v>
      </c>
      <c r="D5295" s="7" t="n">
        <v>4</v>
      </c>
      <c r="E5295" s="7" t="n">
        <v>988.26</v>
      </c>
      <c r="F5295" s="7" t="n">
        <v>3</v>
      </c>
      <c r="G5295" s="7" t="n">
        <v>693.06</v>
      </c>
    </row>
    <row r="5296" customFormat="false" ht="15" hidden="false" customHeight="false" outlineLevel="0" collapsed="false">
      <c r="A5296" s="7" t="s">
        <v>24</v>
      </c>
      <c r="B5296" s="7" t="s">
        <v>585</v>
      </c>
      <c r="C5296" s="7" t="s">
        <v>1163</v>
      </c>
      <c r="D5296" s="7" t="n">
        <v>0</v>
      </c>
      <c r="E5296" s="7" t="n">
        <v>0</v>
      </c>
      <c r="F5296" s="7" t="n">
        <v>1</v>
      </c>
      <c r="G5296" s="7" t="n">
        <v>125.5</v>
      </c>
    </row>
    <row r="5297" customFormat="false" ht="15" hidden="false" customHeight="false" outlineLevel="0" collapsed="false">
      <c r="A5297" s="7" t="s">
        <v>24</v>
      </c>
      <c r="B5297" s="7" t="s">
        <v>585</v>
      </c>
      <c r="C5297" s="7" t="s">
        <v>1163</v>
      </c>
      <c r="D5297" s="7" t="n">
        <v>0</v>
      </c>
      <c r="E5297" s="7" t="n">
        <v>0</v>
      </c>
      <c r="F5297" s="7" t="n">
        <v>1</v>
      </c>
      <c r="G5297" s="7" t="n">
        <v>256.69</v>
      </c>
    </row>
    <row r="5298" customFormat="false" ht="15" hidden="false" customHeight="false" outlineLevel="0" collapsed="false">
      <c r="A5298" s="7" t="s">
        <v>24</v>
      </c>
      <c r="B5298" s="7" t="s">
        <v>585</v>
      </c>
      <c r="C5298" s="7" t="s">
        <v>1163</v>
      </c>
      <c r="D5298" s="7" t="n">
        <v>0</v>
      </c>
      <c r="E5298" s="7" t="n">
        <v>0</v>
      </c>
      <c r="F5298" s="7" t="n">
        <v>1</v>
      </c>
      <c r="G5298" s="7" t="n">
        <v>128.35</v>
      </c>
    </row>
    <row r="5299" customFormat="false" ht="15" hidden="false" customHeight="false" outlineLevel="0" collapsed="false">
      <c r="A5299" s="7" t="s">
        <v>24</v>
      </c>
      <c r="B5299" s="7" t="s">
        <v>330</v>
      </c>
      <c r="C5299" s="7" t="s">
        <v>1163</v>
      </c>
      <c r="D5299" s="7" t="n">
        <v>0</v>
      </c>
      <c r="E5299" s="7" t="n">
        <v>0</v>
      </c>
      <c r="F5299" s="7" t="n">
        <v>-1</v>
      </c>
      <c r="G5299" s="7" t="n">
        <v>-127.5</v>
      </c>
    </row>
    <row r="5300" customFormat="false" ht="15" hidden="false" customHeight="false" outlineLevel="0" collapsed="false">
      <c r="A5300" s="7" t="s">
        <v>24</v>
      </c>
      <c r="B5300" s="7" t="s">
        <v>330</v>
      </c>
      <c r="C5300" s="7" t="s">
        <v>1163</v>
      </c>
      <c r="D5300" s="7" t="n">
        <v>1</v>
      </c>
      <c r="E5300" s="7" t="n">
        <v>256.69</v>
      </c>
      <c r="F5300" s="7" t="n">
        <v>3</v>
      </c>
      <c r="G5300" s="7" t="n">
        <v>744.4</v>
      </c>
    </row>
    <row r="5301" customFormat="false" ht="15" hidden="false" customHeight="false" outlineLevel="0" collapsed="false">
      <c r="A5301" s="7" t="s">
        <v>24</v>
      </c>
      <c r="B5301" s="7" t="s">
        <v>330</v>
      </c>
      <c r="C5301" s="7" t="s">
        <v>1163</v>
      </c>
      <c r="D5301" s="7" t="n">
        <v>0</v>
      </c>
      <c r="E5301" s="7" t="n">
        <v>0</v>
      </c>
      <c r="F5301" s="7" t="n">
        <v>1</v>
      </c>
      <c r="G5301" s="7" t="n">
        <v>256.69</v>
      </c>
    </row>
    <row r="5302" customFormat="false" ht="15" hidden="false" customHeight="false" outlineLevel="0" collapsed="false">
      <c r="A5302" s="7" t="s">
        <v>24</v>
      </c>
      <c r="B5302" s="7" t="s">
        <v>330</v>
      </c>
      <c r="C5302" s="7" t="s">
        <v>1163</v>
      </c>
      <c r="D5302" s="7" t="n">
        <v>0</v>
      </c>
      <c r="E5302" s="7" t="n">
        <v>0</v>
      </c>
      <c r="F5302" s="7" t="n">
        <v>1</v>
      </c>
      <c r="G5302" s="7" t="n">
        <v>128.35</v>
      </c>
    </row>
    <row r="5303" customFormat="false" ht="15" hidden="false" customHeight="false" outlineLevel="0" collapsed="false">
      <c r="A5303" s="7" t="s">
        <v>24</v>
      </c>
      <c r="B5303" s="7" t="s">
        <v>801</v>
      </c>
      <c r="C5303" s="7" t="s">
        <v>1069</v>
      </c>
      <c r="D5303" s="7" t="n">
        <v>0</v>
      </c>
      <c r="E5303" s="7" t="n">
        <v>0</v>
      </c>
      <c r="F5303" s="7" t="n">
        <v>1</v>
      </c>
      <c r="G5303" s="7" t="n">
        <v>25.34</v>
      </c>
    </row>
    <row r="5304" customFormat="false" ht="15" hidden="false" customHeight="false" outlineLevel="0" collapsed="false">
      <c r="A5304" s="7" t="s">
        <v>24</v>
      </c>
      <c r="B5304" s="7" t="s">
        <v>801</v>
      </c>
      <c r="C5304" s="7" t="s">
        <v>1069</v>
      </c>
      <c r="D5304" s="7" t="n">
        <v>0</v>
      </c>
      <c r="E5304" s="7" t="n">
        <v>0</v>
      </c>
      <c r="F5304" s="7" t="n">
        <v>2</v>
      </c>
      <c r="G5304" s="7" t="n">
        <v>50.8</v>
      </c>
    </row>
    <row r="5305" customFormat="false" ht="15" hidden="false" customHeight="false" outlineLevel="0" collapsed="false">
      <c r="A5305" s="7" t="s">
        <v>24</v>
      </c>
      <c r="B5305" s="7" t="s">
        <v>801</v>
      </c>
      <c r="C5305" s="7" t="s">
        <v>1069</v>
      </c>
      <c r="D5305" s="7" t="n">
        <v>4</v>
      </c>
      <c r="E5305" s="7" t="n">
        <v>201.05</v>
      </c>
      <c r="F5305" s="7" t="n">
        <v>1</v>
      </c>
      <c r="G5305" s="7" t="n">
        <v>47.47</v>
      </c>
    </row>
    <row r="5306" customFormat="false" ht="15" hidden="false" customHeight="false" outlineLevel="0" collapsed="false">
      <c r="A5306" s="7" t="s">
        <v>24</v>
      </c>
      <c r="B5306" s="7" t="s">
        <v>801</v>
      </c>
      <c r="C5306" s="7" t="s">
        <v>1069</v>
      </c>
      <c r="D5306" s="7" t="n">
        <v>0</v>
      </c>
      <c r="E5306" s="7" t="n">
        <v>0</v>
      </c>
      <c r="F5306" s="7" t="n">
        <v>1</v>
      </c>
      <c r="G5306" s="7" t="n">
        <v>55.85</v>
      </c>
    </row>
    <row r="5307" customFormat="false" ht="15" hidden="false" customHeight="false" outlineLevel="0" collapsed="false">
      <c r="A5307" s="7" t="s">
        <v>24</v>
      </c>
      <c r="B5307" s="7" t="s">
        <v>801</v>
      </c>
      <c r="C5307" s="7" t="s">
        <v>1069</v>
      </c>
      <c r="D5307" s="7" t="n">
        <v>0</v>
      </c>
      <c r="E5307" s="7" t="n">
        <v>0</v>
      </c>
      <c r="F5307" s="7" t="n">
        <v>1</v>
      </c>
      <c r="G5307" s="7" t="n">
        <v>25.34</v>
      </c>
    </row>
    <row r="5308" customFormat="false" ht="15" hidden="false" customHeight="false" outlineLevel="0" collapsed="false">
      <c r="A5308" s="7" t="s">
        <v>24</v>
      </c>
      <c r="B5308" s="7" t="s">
        <v>714</v>
      </c>
      <c r="C5308" s="7" t="s">
        <v>1069</v>
      </c>
      <c r="D5308" s="7" t="n">
        <v>0</v>
      </c>
      <c r="E5308" s="7" t="n">
        <v>0</v>
      </c>
      <c r="F5308" s="7" t="n">
        <v>1</v>
      </c>
      <c r="G5308" s="7" t="n">
        <v>25.34</v>
      </c>
    </row>
    <row r="5309" customFormat="false" ht="15" hidden="false" customHeight="false" outlineLevel="0" collapsed="false">
      <c r="A5309" s="7" t="s">
        <v>24</v>
      </c>
      <c r="B5309" s="7" t="s">
        <v>714</v>
      </c>
      <c r="C5309" s="7" t="s">
        <v>1069</v>
      </c>
      <c r="D5309" s="7" t="n">
        <v>1</v>
      </c>
      <c r="E5309" s="7" t="n">
        <v>54.15</v>
      </c>
      <c r="F5309" s="7" t="n">
        <v>0</v>
      </c>
      <c r="G5309" s="7" t="n">
        <v>0</v>
      </c>
    </row>
    <row r="5310" customFormat="false" ht="15" hidden="false" customHeight="false" outlineLevel="0" collapsed="false">
      <c r="A5310" s="7" t="s">
        <v>24</v>
      </c>
      <c r="B5310" s="7" t="s">
        <v>714</v>
      </c>
      <c r="C5310" s="7" t="s">
        <v>1069</v>
      </c>
      <c r="D5310" s="7" t="n">
        <v>2</v>
      </c>
      <c r="E5310" s="7" t="n">
        <v>111.7</v>
      </c>
      <c r="F5310" s="7" t="n">
        <v>1</v>
      </c>
      <c r="G5310" s="7" t="n">
        <v>55.85</v>
      </c>
    </row>
    <row r="5311" customFormat="false" ht="15" hidden="false" customHeight="false" outlineLevel="0" collapsed="false">
      <c r="A5311" s="7" t="s">
        <v>24</v>
      </c>
      <c r="B5311" s="7" t="s">
        <v>799</v>
      </c>
      <c r="C5311" s="7" t="s">
        <v>1069</v>
      </c>
      <c r="D5311" s="7" t="n">
        <v>0</v>
      </c>
      <c r="E5311" s="7" t="n">
        <v>0</v>
      </c>
      <c r="F5311" s="7" t="n">
        <v>1</v>
      </c>
      <c r="G5311" s="7" t="n">
        <v>47.47</v>
      </c>
    </row>
    <row r="5312" customFormat="false" ht="15" hidden="false" customHeight="false" outlineLevel="0" collapsed="false">
      <c r="A5312" s="7" t="s">
        <v>24</v>
      </c>
      <c r="B5312" s="7" t="s">
        <v>799</v>
      </c>
      <c r="C5312" s="7" t="s">
        <v>1069</v>
      </c>
      <c r="D5312" s="7" t="n">
        <v>1</v>
      </c>
      <c r="E5312" s="7" t="n">
        <v>55.85</v>
      </c>
      <c r="F5312" s="7" t="n">
        <v>0</v>
      </c>
      <c r="G5312" s="7" t="n">
        <v>0</v>
      </c>
    </row>
    <row r="5313" customFormat="false" ht="15" hidden="false" customHeight="false" outlineLevel="0" collapsed="false">
      <c r="A5313" s="7" t="s">
        <v>24</v>
      </c>
      <c r="B5313" s="7" t="s">
        <v>775</v>
      </c>
      <c r="C5313" s="7" t="s">
        <v>1069</v>
      </c>
      <c r="D5313" s="7" t="n">
        <v>0</v>
      </c>
      <c r="E5313" s="7" t="n">
        <v>0</v>
      </c>
      <c r="F5313" s="7" t="n">
        <v>1</v>
      </c>
      <c r="G5313" s="7" t="n">
        <v>25.34</v>
      </c>
    </row>
    <row r="5314" customFormat="false" ht="15" hidden="false" customHeight="false" outlineLevel="0" collapsed="false">
      <c r="A5314" s="7" t="s">
        <v>24</v>
      </c>
      <c r="B5314" s="7" t="s">
        <v>749</v>
      </c>
      <c r="C5314" s="7" t="s">
        <v>1069</v>
      </c>
      <c r="D5314" s="7" t="n">
        <v>1</v>
      </c>
      <c r="E5314" s="7" t="n">
        <v>55.85</v>
      </c>
      <c r="F5314" s="7" t="n">
        <v>0</v>
      </c>
      <c r="G5314" s="7" t="n">
        <v>0</v>
      </c>
    </row>
    <row r="5315" customFormat="false" ht="15" hidden="false" customHeight="false" outlineLevel="0" collapsed="false">
      <c r="A5315" s="7" t="s">
        <v>24</v>
      </c>
      <c r="B5315" s="7" t="s">
        <v>727</v>
      </c>
      <c r="C5315" s="7" t="s">
        <v>1069</v>
      </c>
      <c r="D5315" s="7" t="n">
        <v>0</v>
      </c>
      <c r="E5315" s="7" t="n">
        <v>0</v>
      </c>
      <c r="F5315" s="7" t="n">
        <v>1</v>
      </c>
      <c r="G5315" s="7" t="n">
        <v>25.34</v>
      </c>
    </row>
    <row r="5316" customFormat="false" ht="15" hidden="false" customHeight="false" outlineLevel="0" collapsed="false">
      <c r="A5316" s="7" t="s">
        <v>24</v>
      </c>
      <c r="B5316" s="7" t="s">
        <v>727</v>
      </c>
      <c r="C5316" s="7" t="s">
        <v>1069</v>
      </c>
      <c r="D5316" s="7" t="n">
        <v>0</v>
      </c>
      <c r="E5316" s="7" t="n">
        <v>0</v>
      </c>
      <c r="F5316" s="7" t="n">
        <v>2</v>
      </c>
      <c r="G5316" s="7" t="n">
        <v>50.8</v>
      </c>
    </row>
    <row r="5317" customFormat="false" ht="15" hidden="false" customHeight="false" outlineLevel="0" collapsed="false">
      <c r="A5317" s="7" t="s">
        <v>24</v>
      </c>
      <c r="B5317" s="7" t="s">
        <v>473</v>
      </c>
      <c r="C5317" s="7" t="s">
        <v>1164</v>
      </c>
      <c r="D5317" s="7" t="n">
        <v>10</v>
      </c>
      <c r="E5317" s="7" t="n">
        <v>522.19</v>
      </c>
      <c r="F5317" s="7" t="n">
        <v>3</v>
      </c>
      <c r="G5317" s="7" t="n">
        <v>161.96</v>
      </c>
    </row>
    <row r="5318" customFormat="false" ht="15" hidden="false" customHeight="false" outlineLevel="0" collapsed="false">
      <c r="A5318" s="7" t="s">
        <v>24</v>
      </c>
      <c r="B5318" s="7" t="s">
        <v>473</v>
      </c>
      <c r="C5318" s="7" t="s">
        <v>1164</v>
      </c>
      <c r="D5318" s="7" t="n">
        <v>0</v>
      </c>
      <c r="E5318" s="7" t="n">
        <v>0</v>
      </c>
      <c r="F5318" s="7" t="n">
        <v>1</v>
      </c>
      <c r="G5318" s="7" t="n">
        <v>25.35</v>
      </c>
    </row>
    <row r="5319" customFormat="false" ht="15" hidden="false" customHeight="false" outlineLevel="0" collapsed="false">
      <c r="A5319" s="7" t="s">
        <v>24</v>
      </c>
      <c r="B5319" s="7" t="s">
        <v>473</v>
      </c>
      <c r="C5319" s="7" t="s">
        <v>1164</v>
      </c>
      <c r="D5319" s="7" t="n">
        <v>0</v>
      </c>
      <c r="E5319" s="7" t="n">
        <v>0</v>
      </c>
      <c r="F5319" s="7" t="n">
        <v>2</v>
      </c>
      <c r="G5319" s="7" t="n">
        <v>50.68</v>
      </c>
    </row>
    <row r="5320" customFormat="false" ht="15" hidden="false" customHeight="false" outlineLevel="0" collapsed="false">
      <c r="A5320" s="7" t="s">
        <v>24</v>
      </c>
      <c r="B5320" s="7" t="s">
        <v>473</v>
      </c>
      <c r="C5320" s="7" t="s">
        <v>1164</v>
      </c>
      <c r="D5320" s="7" t="n">
        <v>0</v>
      </c>
      <c r="E5320" s="7" t="n">
        <v>0</v>
      </c>
      <c r="F5320" s="7" t="n">
        <v>1</v>
      </c>
      <c r="G5320" s="7" t="n">
        <v>25.34</v>
      </c>
    </row>
    <row r="5321" customFormat="false" ht="15" hidden="false" customHeight="false" outlineLevel="0" collapsed="false">
      <c r="A5321" s="7" t="s">
        <v>24</v>
      </c>
      <c r="B5321" s="7" t="s">
        <v>473</v>
      </c>
      <c r="C5321" s="7" t="s">
        <v>1164</v>
      </c>
      <c r="D5321" s="7" t="n">
        <v>0</v>
      </c>
      <c r="E5321" s="7" t="n">
        <v>0</v>
      </c>
      <c r="F5321" s="7" t="n">
        <v>1</v>
      </c>
      <c r="G5321" s="7" t="n">
        <v>25.34</v>
      </c>
    </row>
    <row r="5322" customFormat="false" ht="15" hidden="false" customHeight="false" outlineLevel="0" collapsed="false">
      <c r="A5322" s="7" t="s">
        <v>24</v>
      </c>
      <c r="B5322" s="7" t="s">
        <v>473</v>
      </c>
      <c r="C5322" s="7" t="s">
        <v>1164</v>
      </c>
      <c r="D5322" s="7" t="n">
        <v>4</v>
      </c>
      <c r="E5322" s="7" t="n">
        <v>208.48</v>
      </c>
      <c r="F5322" s="7" t="n">
        <v>0</v>
      </c>
      <c r="G5322" s="7" t="n">
        <v>0</v>
      </c>
    </row>
    <row r="5323" customFormat="false" ht="15" hidden="false" customHeight="false" outlineLevel="0" collapsed="false">
      <c r="A5323" s="7" t="s">
        <v>24</v>
      </c>
      <c r="B5323" s="7" t="s">
        <v>473</v>
      </c>
      <c r="C5323" s="7" t="s">
        <v>1164</v>
      </c>
      <c r="D5323" s="7" t="n">
        <v>0</v>
      </c>
      <c r="E5323" s="7" t="n">
        <v>0</v>
      </c>
      <c r="F5323" s="7" t="n">
        <v>1</v>
      </c>
      <c r="G5323" s="7" t="n">
        <v>25.34</v>
      </c>
    </row>
    <row r="5324" customFormat="false" ht="15" hidden="false" customHeight="false" outlineLevel="0" collapsed="false">
      <c r="A5324" s="7" t="s">
        <v>24</v>
      </c>
      <c r="B5324" s="7" t="s">
        <v>473</v>
      </c>
      <c r="C5324" s="7" t="s">
        <v>1164</v>
      </c>
      <c r="D5324" s="7" t="n">
        <v>0</v>
      </c>
      <c r="E5324" s="7" t="n">
        <v>0</v>
      </c>
      <c r="F5324" s="7" t="n">
        <v>2</v>
      </c>
      <c r="G5324" s="7" t="n">
        <v>50.68</v>
      </c>
    </row>
    <row r="5325" customFormat="false" ht="15" hidden="false" customHeight="false" outlineLevel="0" collapsed="false">
      <c r="A5325" s="7" t="s">
        <v>24</v>
      </c>
      <c r="B5325" s="7" t="s">
        <v>684</v>
      </c>
      <c r="C5325" s="7" t="s">
        <v>1164</v>
      </c>
      <c r="D5325" s="7" t="n">
        <v>0</v>
      </c>
      <c r="E5325" s="7" t="n">
        <v>0</v>
      </c>
      <c r="F5325" s="7" t="n">
        <v>1</v>
      </c>
      <c r="G5325" s="7" t="n">
        <v>47.48</v>
      </c>
    </row>
    <row r="5326" customFormat="false" ht="15" hidden="false" customHeight="false" outlineLevel="0" collapsed="false">
      <c r="A5326" s="7" t="s">
        <v>24</v>
      </c>
      <c r="B5326" s="7" t="s">
        <v>684</v>
      </c>
      <c r="C5326" s="7" t="s">
        <v>1164</v>
      </c>
      <c r="D5326" s="7" t="n">
        <v>4</v>
      </c>
      <c r="E5326" s="7" t="n">
        <v>203.85</v>
      </c>
      <c r="F5326" s="7" t="n">
        <v>0</v>
      </c>
      <c r="G5326" s="7" t="n">
        <v>0</v>
      </c>
    </row>
    <row r="5327" customFormat="false" ht="15" hidden="false" customHeight="false" outlineLevel="0" collapsed="false">
      <c r="A5327" s="7" t="s">
        <v>24</v>
      </c>
      <c r="B5327" s="7" t="s">
        <v>684</v>
      </c>
      <c r="C5327" s="7" t="s">
        <v>1164</v>
      </c>
      <c r="D5327" s="7" t="n">
        <v>0</v>
      </c>
      <c r="E5327" s="7" t="n">
        <v>0</v>
      </c>
      <c r="F5327" s="7" t="n">
        <v>2</v>
      </c>
      <c r="G5327" s="7" t="n">
        <v>50.68</v>
      </c>
    </row>
    <row r="5328" customFormat="false" ht="15" hidden="false" customHeight="false" outlineLevel="0" collapsed="false">
      <c r="A5328" s="7" t="s">
        <v>24</v>
      </c>
      <c r="B5328" s="7" t="s">
        <v>684</v>
      </c>
      <c r="C5328" s="7" t="s">
        <v>1164</v>
      </c>
      <c r="D5328" s="7" t="n">
        <v>0</v>
      </c>
      <c r="E5328" s="7" t="n">
        <v>0</v>
      </c>
      <c r="F5328" s="7" t="n">
        <v>1</v>
      </c>
      <c r="G5328" s="7" t="n">
        <v>55.84</v>
      </c>
    </row>
    <row r="5329" customFormat="false" ht="15" hidden="false" customHeight="false" outlineLevel="0" collapsed="false">
      <c r="A5329" s="7" t="s">
        <v>24</v>
      </c>
      <c r="B5329" s="7" t="s">
        <v>684</v>
      </c>
      <c r="C5329" s="7" t="s">
        <v>1164</v>
      </c>
      <c r="D5329" s="7" t="n">
        <v>0</v>
      </c>
      <c r="E5329" s="7" t="n">
        <v>0</v>
      </c>
      <c r="F5329" s="7" t="n">
        <v>2</v>
      </c>
      <c r="G5329" s="7" t="n">
        <v>50.68</v>
      </c>
    </row>
    <row r="5330" customFormat="false" ht="15" hidden="false" customHeight="false" outlineLevel="0" collapsed="false">
      <c r="A5330" s="7" t="s">
        <v>24</v>
      </c>
      <c r="B5330" s="7" t="s">
        <v>684</v>
      </c>
      <c r="C5330" s="7" t="s">
        <v>1164</v>
      </c>
      <c r="D5330" s="7" t="n">
        <v>0</v>
      </c>
      <c r="E5330" s="7" t="n">
        <v>0</v>
      </c>
      <c r="F5330" s="7" t="n">
        <v>1</v>
      </c>
      <c r="G5330" s="7" t="n">
        <v>25.34</v>
      </c>
    </row>
    <row r="5331" customFormat="false" ht="15" hidden="false" customHeight="false" outlineLevel="0" collapsed="false">
      <c r="A5331" s="7" t="s">
        <v>24</v>
      </c>
      <c r="B5331" s="7" t="s">
        <v>684</v>
      </c>
      <c r="C5331" s="7" t="s">
        <v>1164</v>
      </c>
      <c r="D5331" s="7" t="n">
        <v>0</v>
      </c>
      <c r="E5331" s="7" t="n">
        <v>0</v>
      </c>
      <c r="F5331" s="7" t="n">
        <v>1</v>
      </c>
      <c r="G5331" s="7" t="n">
        <v>55.85</v>
      </c>
    </row>
    <row r="5332" customFormat="false" ht="15" hidden="false" customHeight="false" outlineLevel="0" collapsed="false">
      <c r="A5332" s="7" t="s">
        <v>24</v>
      </c>
      <c r="B5332" s="7" t="s">
        <v>684</v>
      </c>
      <c r="C5332" s="7" t="s">
        <v>1164</v>
      </c>
      <c r="D5332" s="7" t="n">
        <v>0</v>
      </c>
      <c r="E5332" s="7" t="n">
        <v>0</v>
      </c>
      <c r="F5332" s="7" t="n">
        <v>2</v>
      </c>
      <c r="G5332" s="7" t="n">
        <v>50.68</v>
      </c>
    </row>
    <row r="5333" customFormat="false" ht="15" hidden="false" customHeight="false" outlineLevel="0" collapsed="false">
      <c r="A5333" s="7" t="s">
        <v>24</v>
      </c>
      <c r="B5333" s="7" t="s">
        <v>684</v>
      </c>
      <c r="C5333" s="7" t="s">
        <v>1164</v>
      </c>
      <c r="D5333" s="7" t="n">
        <v>0</v>
      </c>
      <c r="E5333" s="7" t="n">
        <v>0</v>
      </c>
      <c r="F5333" s="7" t="n">
        <v>1</v>
      </c>
      <c r="G5333" s="7" t="n">
        <v>25.34</v>
      </c>
    </row>
    <row r="5334" customFormat="false" ht="15" hidden="false" customHeight="false" outlineLevel="0" collapsed="false">
      <c r="A5334" s="7" t="s">
        <v>24</v>
      </c>
      <c r="B5334" s="7" t="s">
        <v>684</v>
      </c>
      <c r="C5334" s="7" t="s">
        <v>1164</v>
      </c>
      <c r="D5334" s="7" t="n">
        <v>1</v>
      </c>
      <c r="E5334" s="7" t="n">
        <v>46.03</v>
      </c>
      <c r="F5334" s="7" t="n">
        <v>0</v>
      </c>
      <c r="G5334" s="7" t="n">
        <v>0</v>
      </c>
    </row>
    <row r="5335" customFormat="false" ht="15" hidden="false" customHeight="false" outlineLevel="0" collapsed="false">
      <c r="A5335" s="7" t="s">
        <v>24</v>
      </c>
      <c r="B5335" s="7" t="s">
        <v>686</v>
      </c>
      <c r="C5335" s="7" t="s">
        <v>1164</v>
      </c>
      <c r="D5335" s="7" t="n">
        <v>1</v>
      </c>
      <c r="E5335" s="7" t="n">
        <v>55.85</v>
      </c>
      <c r="F5335" s="7" t="n">
        <v>-2</v>
      </c>
      <c r="G5335" s="7" t="n">
        <v>-111.7</v>
      </c>
    </row>
    <row r="5336" customFormat="false" ht="15" hidden="false" customHeight="false" outlineLevel="0" collapsed="false">
      <c r="A5336" s="7" t="s">
        <v>24</v>
      </c>
      <c r="B5336" s="7" t="s">
        <v>686</v>
      </c>
      <c r="C5336" s="7" t="s">
        <v>1164</v>
      </c>
      <c r="D5336" s="7" t="n">
        <v>0</v>
      </c>
      <c r="E5336" s="7" t="n">
        <v>0</v>
      </c>
      <c r="F5336" s="7" t="n">
        <v>2</v>
      </c>
      <c r="G5336" s="7" t="n">
        <v>111.7</v>
      </c>
    </row>
    <row r="5337" customFormat="false" ht="15" hidden="false" customHeight="false" outlineLevel="0" collapsed="false">
      <c r="A5337" s="7" t="s">
        <v>24</v>
      </c>
      <c r="B5337" s="7" t="s">
        <v>686</v>
      </c>
      <c r="C5337" s="7" t="s">
        <v>1164</v>
      </c>
      <c r="D5337" s="7" t="n">
        <v>0</v>
      </c>
      <c r="E5337" s="7" t="n">
        <v>0</v>
      </c>
      <c r="F5337" s="7" t="n">
        <v>2</v>
      </c>
      <c r="G5337" s="7" t="n">
        <v>111.69</v>
      </c>
    </row>
    <row r="5338" customFormat="false" ht="15" hidden="false" customHeight="false" outlineLevel="0" collapsed="false">
      <c r="A5338" s="7" t="s">
        <v>24</v>
      </c>
      <c r="B5338" s="7" t="s">
        <v>686</v>
      </c>
      <c r="C5338" s="7" t="s">
        <v>1164</v>
      </c>
      <c r="D5338" s="7" t="n">
        <v>0</v>
      </c>
      <c r="E5338" s="7" t="n">
        <v>0</v>
      </c>
      <c r="F5338" s="7" t="n">
        <v>1</v>
      </c>
      <c r="G5338" s="7" t="n">
        <v>55.85</v>
      </c>
    </row>
    <row r="5339" customFormat="false" ht="15" hidden="false" customHeight="false" outlineLevel="0" collapsed="false">
      <c r="A5339" s="7" t="s">
        <v>24</v>
      </c>
      <c r="B5339" s="7" t="s">
        <v>681</v>
      </c>
      <c r="C5339" s="7" t="s">
        <v>1164</v>
      </c>
      <c r="D5339" s="7" t="n">
        <v>0</v>
      </c>
      <c r="E5339" s="7" t="n">
        <v>0</v>
      </c>
      <c r="F5339" s="7" t="n">
        <v>1</v>
      </c>
      <c r="G5339" s="7" t="n">
        <v>50.26</v>
      </c>
    </row>
    <row r="5340" customFormat="false" ht="15" hidden="false" customHeight="false" outlineLevel="0" collapsed="false">
      <c r="A5340" s="7" t="s">
        <v>24</v>
      </c>
      <c r="B5340" s="7" t="s">
        <v>681</v>
      </c>
      <c r="C5340" s="7" t="s">
        <v>1164</v>
      </c>
      <c r="D5340" s="7" t="n">
        <v>3</v>
      </c>
      <c r="E5340" s="7" t="n">
        <v>167.55</v>
      </c>
      <c r="F5340" s="7" t="n">
        <v>0</v>
      </c>
      <c r="G5340" s="7" t="n">
        <v>0</v>
      </c>
    </row>
    <row r="5341" customFormat="false" ht="15" hidden="false" customHeight="false" outlineLevel="0" collapsed="false">
      <c r="A5341" s="7" t="s">
        <v>24</v>
      </c>
      <c r="B5341" s="7" t="s">
        <v>648</v>
      </c>
      <c r="C5341" s="7" t="s">
        <v>1164</v>
      </c>
      <c r="D5341" s="7" t="n">
        <v>6</v>
      </c>
      <c r="E5341" s="7" t="n">
        <v>309.97</v>
      </c>
      <c r="F5341" s="7" t="n">
        <v>2</v>
      </c>
      <c r="G5341" s="7" t="n">
        <v>106.11</v>
      </c>
    </row>
    <row r="5342" customFormat="false" ht="15" hidden="false" customHeight="false" outlineLevel="0" collapsed="false">
      <c r="A5342" s="7" t="s">
        <v>24</v>
      </c>
      <c r="B5342" s="7" t="s">
        <v>648</v>
      </c>
      <c r="C5342" s="7" t="s">
        <v>1164</v>
      </c>
      <c r="D5342" s="7" t="n">
        <v>0</v>
      </c>
      <c r="E5342" s="7" t="n">
        <v>0</v>
      </c>
      <c r="F5342" s="7" t="n">
        <v>2</v>
      </c>
      <c r="G5342" s="7" t="n">
        <v>50.6</v>
      </c>
    </row>
    <row r="5343" customFormat="false" ht="15" hidden="false" customHeight="false" outlineLevel="0" collapsed="false">
      <c r="A5343" s="7" t="s">
        <v>24</v>
      </c>
      <c r="B5343" s="7" t="s">
        <v>811</v>
      </c>
      <c r="C5343" s="7" t="s">
        <v>1164</v>
      </c>
      <c r="D5343" s="7" t="n">
        <v>1</v>
      </c>
      <c r="E5343" s="7" t="n">
        <v>55.85</v>
      </c>
      <c r="F5343" s="7" t="n">
        <v>1</v>
      </c>
      <c r="G5343" s="7" t="n">
        <v>55.85</v>
      </c>
    </row>
    <row r="5344" customFormat="false" ht="15" hidden="false" customHeight="false" outlineLevel="0" collapsed="false">
      <c r="A5344" s="7" t="s">
        <v>24</v>
      </c>
      <c r="B5344" s="7" t="s">
        <v>767</v>
      </c>
      <c r="C5344" s="7" t="s">
        <v>1266</v>
      </c>
      <c r="D5344" s="7" t="n">
        <v>0</v>
      </c>
      <c r="E5344" s="7" t="n">
        <v>0</v>
      </c>
      <c r="F5344" s="7" t="n">
        <v>1</v>
      </c>
      <c r="G5344" s="7" t="n">
        <v>25.34</v>
      </c>
    </row>
    <row r="5345" customFormat="false" ht="15" hidden="false" customHeight="false" outlineLevel="0" collapsed="false">
      <c r="A5345" s="7" t="s">
        <v>24</v>
      </c>
      <c r="B5345" s="7" t="s">
        <v>767</v>
      </c>
      <c r="C5345" s="7" t="s">
        <v>1266</v>
      </c>
      <c r="D5345" s="7" t="n">
        <v>1</v>
      </c>
      <c r="E5345" s="7" t="n">
        <v>55.85</v>
      </c>
      <c r="F5345" s="7" t="n">
        <v>0</v>
      </c>
      <c r="G5345" s="7" t="n">
        <v>0</v>
      </c>
    </row>
    <row r="5346" customFormat="false" ht="15" hidden="false" customHeight="false" outlineLevel="0" collapsed="false">
      <c r="A5346" s="7" t="s">
        <v>24</v>
      </c>
      <c r="B5346" s="7" t="s">
        <v>776</v>
      </c>
      <c r="C5346" s="7" t="s">
        <v>1266</v>
      </c>
      <c r="D5346" s="7" t="n">
        <v>0</v>
      </c>
      <c r="E5346" s="7" t="n">
        <v>0</v>
      </c>
      <c r="F5346" s="7" t="n">
        <v>1</v>
      </c>
      <c r="G5346" s="7" t="n">
        <v>55.84</v>
      </c>
    </row>
    <row r="5347" customFormat="false" ht="15" hidden="false" customHeight="false" outlineLevel="0" collapsed="false">
      <c r="A5347" s="7" t="s">
        <v>24</v>
      </c>
      <c r="B5347" s="7" t="s">
        <v>776</v>
      </c>
      <c r="C5347" s="7" t="s">
        <v>1266</v>
      </c>
      <c r="D5347" s="7" t="n">
        <v>1</v>
      </c>
      <c r="E5347" s="7" t="n">
        <v>55.85</v>
      </c>
      <c r="F5347" s="7" t="n">
        <v>0</v>
      </c>
      <c r="G5347" s="7" t="n">
        <v>0</v>
      </c>
    </row>
    <row r="5348" customFormat="false" ht="15" hidden="false" customHeight="false" outlineLevel="0" collapsed="false">
      <c r="A5348" s="7" t="s">
        <v>24</v>
      </c>
      <c r="B5348" s="7" t="s">
        <v>776</v>
      </c>
      <c r="C5348" s="7" t="s">
        <v>1266</v>
      </c>
      <c r="D5348" s="7" t="n">
        <v>0</v>
      </c>
      <c r="E5348" s="7" t="n">
        <v>0</v>
      </c>
      <c r="F5348" s="7" t="n">
        <v>1</v>
      </c>
      <c r="G5348" s="7" t="n">
        <v>25.34</v>
      </c>
    </row>
    <row r="5349" customFormat="false" ht="15" hidden="false" customHeight="false" outlineLevel="0" collapsed="false">
      <c r="A5349" s="7" t="s">
        <v>24</v>
      </c>
      <c r="B5349" s="7" t="s">
        <v>658</v>
      </c>
      <c r="C5349" s="7" t="s">
        <v>1266</v>
      </c>
      <c r="D5349" s="7" t="n">
        <v>0</v>
      </c>
      <c r="E5349" s="7" t="n">
        <v>0</v>
      </c>
      <c r="F5349" s="7" t="n">
        <v>1</v>
      </c>
      <c r="G5349" s="7" t="n">
        <v>25.34</v>
      </c>
    </row>
    <row r="5350" customFormat="false" ht="15" hidden="false" customHeight="false" outlineLevel="0" collapsed="false">
      <c r="A5350" s="7" t="s">
        <v>24</v>
      </c>
      <c r="B5350" s="7" t="s">
        <v>658</v>
      </c>
      <c r="C5350" s="7" t="s">
        <v>1266</v>
      </c>
      <c r="D5350" s="7" t="n">
        <v>0</v>
      </c>
      <c r="E5350" s="7" t="n">
        <v>0</v>
      </c>
      <c r="F5350" s="7" t="n">
        <v>2</v>
      </c>
      <c r="G5350" s="7" t="n">
        <v>111.7</v>
      </c>
    </row>
    <row r="5351" customFormat="false" ht="15" hidden="false" customHeight="false" outlineLevel="0" collapsed="false">
      <c r="A5351" s="7" t="s">
        <v>24</v>
      </c>
      <c r="B5351" s="7" t="s">
        <v>751</v>
      </c>
      <c r="C5351" s="7" t="s">
        <v>1266</v>
      </c>
      <c r="D5351" s="7" t="n">
        <v>0</v>
      </c>
      <c r="E5351" s="7" t="n">
        <v>0</v>
      </c>
      <c r="F5351" s="7" t="n">
        <v>1</v>
      </c>
      <c r="G5351" s="7" t="n">
        <v>50.26</v>
      </c>
    </row>
    <row r="5352" customFormat="false" ht="15" hidden="false" customHeight="false" outlineLevel="0" collapsed="false">
      <c r="A5352" s="7" t="s">
        <v>24</v>
      </c>
      <c r="B5352" s="7" t="s">
        <v>751</v>
      </c>
      <c r="C5352" s="7" t="s">
        <v>1266</v>
      </c>
      <c r="D5352" s="7" t="n">
        <v>1</v>
      </c>
      <c r="E5352" s="7" t="n">
        <v>54.15</v>
      </c>
      <c r="F5352" s="7" t="n">
        <v>0</v>
      </c>
      <c r="G5352" s="7" t="n">
        <v>0</v>
      </c>
    </row>
    <row r="5353" customFormat="false" ht="15" hidden="false" customHeight="false" outlineLevel="0" collapsed="false">
      <c r="A5353" s="7" t="s">
        <v>24</v>
      </c>
      <c r="B5353" s="7" t="s">
        <v>751</v>
      </c>
      <c r="C5353" s="7" t="s">
        <v>1266</v>
      </c>
      <c r="D5353" s="7" t="n">
        <v>1</v>
      </c>
      <c r="E5353" s="7" t="n">
        <v>55.85</v>
      </c>
      <c r="F5353" s="7" t="n">
        <v>2</v>
      </c>
      <c r="G5353" s="7" t="n">
        <v>111.7</v>
      </c>
    </row>
    <row r="5354" customFormat="false" ht="15" hidden="false" customHeight="false" outlineLevel="0" collapsed="false">
      <c r="A5354" s="7" t="s">
        <v>24</v>
      </c>
      <c r="B5354" s="7" t="s">
        <v>685</v>
      </c>
      <c r="C5354" s="7" t="s">
        <v>1266</v>
      </c>
      <c r="D5354" s="7" t="n">
        <v>0</v>
      </c>
      <c r="E5354" s="7" t="n">
        <v>0</v>
      </c>
      <c r="F5354" s="7" t="n">
        <v>2</v>
      </c>
      <c r="G5354" s="7" t="n">
        <v>111.69</v>
      </c>
    </row>
    <row r="5355" customFormat="false" ht="15" hidden="false" customHeight="false" outlineLevel="0" collapsed="false">
      <c r="A5355" s="7" t="s">
        <v>24</v>
      </c>
      <c r="B5355" s="7" t="s">
        <v>756</v>
      </c>
      <c r="C5355" s="7" t="s">
        <v>1267</v>
      </c>
      <c r="D5355" s="7" t="n">
        <v>2</v>
      </c>
      <c r="E5355" s="7" t="n">
        <v>111.7</v>
      </c>
      <c r="F5355" s="7" t="n">
        <v>2</v>
      </c>
      <c r="G5355" s="7" t="n">
        <v>106.11</v>
      </c>
    </row>
    <row r="5356" customFormat="false" ht="15" hidden="false" customHeight="false" outlineLevel="0" collapsed="false">
      <c r="A5356" s="7" t="s">
        <v>24</v>
      </c>
      <c r="B5356" s="7" t="s">
        <v>756</v>
      </c>
      <c r="C5356" s="7" t="s">
        <v>1267</v>
      </c>
      <c r="D5356" s="7" t="n">
        <v>1</v>
      </c>
      <c r="E5356" s="7" t="n">
        <v>55.8</v>
      </c>
      <c r="F5356" s="7" t="n">
        <v>0</v>
      </c>
      <c r="G5356" s="7" t="n">
        <v>0</v>
      </c>
    </row>
    <row r="5357" customFormat="false" ht="15" hidden="false" customHeight="false" outlineLevel="0" collapsed="false">
      <c r="A5357" s="7" t="s">
        <v>24</v>
      </c>
      <c r="B5357" s="7" t="s">
        <v>756</v>
      </c>
      <c r="C5357" s="7" t="s">
        <v>1267</v>
      </c>
      <c r="D5357" s="7" t="n">
        <v>0</v>
      </c>
      <c r="E5357" s="7" t="n">
        <v>0</v>
      </c>
      <c r="F5357" s="7" t="n">
        <v>2</v>
      </c>
      <c r="G5357" s="7" t="n">
        <v>45.61</v>
      </c>
    </row>
    <row r="5358" customFormat="false" ht="15" hidden="false" customHeight="false" outlineLevel="0" collapsed="false">
      <c r="A5358" s="7" t="s">
        <v>24</v>
      </c>
      <c r="B5358" s="7" t="s">
        <v>756</v>
      </c>
      <c r="C5358" s="7" t="s">
        <v>1267</v>
      </c>
      <c r="D5358" s="7" t="n">
        <v>1</v>
      </c>
      <c r="E5358" s="7" t="n">
        <v>55.5</v>
      </c>
      <c r="F5358" s="7" t="n">
        <v>0</v>
      </c>
      <c r="G5358" s="7" t="n">
        <v>0</v>
      </c>
    </row>
    <row r="5359" customFormat="false" ht="15" hidden="false" customHeight="false" outlineLevel="0" collapsed="false">
      <c r="A5359" s="7" t="s">
        <v>24</v>
      </c>
      <c r="B5359" s="7" t="s">
        <v>756</v>
      </c>
      <c r="C5359" s="7" t="s">
        <v>1267</v>
      </c>
      <c r="D5359" s="7" t="n">
        <v>0</v>
      </c>
      <c r="E5359" s="7" t="n">
        <v>0</v>
      </c>
      <c r="F5359" s="7" t="n">
        <v>1</v>
      </c>
      <c r="G5359" s="7" t="n">
        <v>25.34</v>
      </c>
    </row>
    <row r="5360" customFormat="false" ht="15" hidden="false" customHeight="false" outlineLevel="0" collapsed="false">
      <c r="A5360" s="7" t="s">
        <v>24</v>
      </c>
      <c r="B5360" s="7" t="s">
        <v>783</v>
      </c>
      <c r="C5360" s="7" t="s">
        <v>1267</v>
      </c>
      <c r="D5360" s="7" t="n">
        <v>0</v>
      </c>
      <c r="E5360" s="7" t="n">
        <v>0</v>
      </c>
      <c r="F5360" s="7" t="n">
        <v>1</v>
      </c>
      <c r="G5360" s="7" t="n">
        <v>25.33</v>
      </c>
    </row>
    <row r="5361" customFormat="false" ht="15" hidden="false" customHeight="false" outlineLevel="0" collapsed="false">
      <c r="A5361" s="7" t="s">
        <v>24</v>
      </c>
      <c r="B5361" s="7" t="s">
        <v>783</v>
      </c>
      <c r="C5361" s="7" t="s">
        <v>1267</v>
      </c>
      <c r="D5361" s="7" t="n">
        <v>5</v>
      </c>
      <c r="E5361" s="7" t="n">
        <v>251.32</v>
      </c>
      <c r="F5361" s="7" t="n">
        <v>4</v>
      </c>
      <c r="G5361" s="7" t="n">
        <v>223.4</v>
      </c>
    </row>
    <row r="5362" customFormat="false" ht="15" hidden="false" customHeight="false" outlineLevel="0" collapsed="false">
      <c r="A5362" s="7" t="s">
        <v>24</v>
      </c>
      <c r="B5362" s="7" t="s">
        <v>783</v>
      </c>
      <c r="C5362" s="7" t="s">
        <v>1267</v>
      </c>
      <c r="D5362" s="7" t="n">
        <v>0</v>
      </c>
      <c r="E5362" s="7" t="n">
        <v>0</v>
      </c>
      <c r="F5362" s="7" t="n">
        <v>1</v>
      </c>
      <c r="G5362" s="7" t="n">
        <v>22.8</v>
      </c>
    </row>
    <row r="5363" customFormat="false" ht="15" hidden="false" customHeight="false" outlineLevel="0" collapsed="false">
      <c r="A5363" s="7" t="s">
        <v>24</v>
      </c>
      <c r="B5363" s="7" t="s">
        <v>718</v>
      </c>
      <c r="C5363" s="7" t="s">
        <v>1267</v>
      </c>
      <c r="D5363" s="7" t="n">
        <v>0</v>
      </c>
      <c r="E5363" s="7" t="n">
        <v>0</v>
      </c>
      <c r="F5363" s="7" t="n">
        <v>1</v>
      </c>
      <c r="G5363" s="7" t="n">
        <v>55.85</v>
      </c>
    </row>
    <row r="5364" customFormat="false" ht="15" hidden="false" customHeight="false" outlineLevel="0" collapsed="false">
      <c r="A5364" s="7" t="s">
        <v>24</v>
      </c>
      <c r="B5364" s="7" t="s">
        <v>718</v>
      </c>
      <c r="C5364" s="7" t="s">
        <v>1267</v>
      </c>
      <c r="D5364" s="7" t="n">
        <v>3</v>
      </c>
      <c r="E5364" s="7" t="n">
        <v>159.17</v>
      </c>
      <c r="F5364" s="7" t="n">
        <v>3</v>
      </c>
      <c r="G5364" s="7" t="n">
        <v>104.32</v>
      </c>
    </row>
    <row r="5365" customFormat="false" ht="15" hidden="false" customHeight="false" outlineLevel="0" collapsed="false">
      <c r="A5365" s="7" t="s">
        <v>24</v>
      </c>
      <c r="B5365" s="7" t="s">
        <v>718</v>
      </c>
      <c r="C5365" s="7" t="s">
        <v>1267</v>
      </c>
      <c r="D5365" s="7" t="n">
        <v>0</v>
      </c>
      <c r="E5365" s="7" t="n">
        <v>0</v>
      </c>
      <c r="F5365" s="7" t="n">
        <v>1</v>
      </c>
      <c r="G5365" s="7" t="n">
        <v>25.34</v>
      </c>
    </row>
    <row r="5366" customFormat="false" ht="15" hidden="false" customHeight="false" outlineLevel="0" collapsed="false">
      <c r="A5366" s="7" t="s">
        <v>24</v>
      </c>
      <c r="B5366" s="7" t="s">
        <v>718</v>
      </c>
      <c r="C5366" s="7" t="s">
        <v>1267</v>
      </c>
      <c r="D5366" s="7" t="n">
        <v>0</v>
      </c>
      <c r="E5366" s="7" t="n">
        <v>0</v>
      </c>
      <c r="F5366" s="7" t="n">
        <v>1</v>
      </c>
      <c r="G5366" s="7" t="n">
        <v>55.85</v>
      </c>
    </row>
    <row r="5367" customFormat="false" ht="15" hidden="false" customHeight="false" outlineLevel="0" collapsed="false">
      <c r="A5367" s="7" t="s">
        <v>24</v>
      </c>
      <c r="B5367" s="7" t="s">
        <v>722</v>
      </c>
      <c r="C5367" s="7" t="s">
        <v>1267</v>
      </c>
      <c r="D5367" s="7" t="n">
        <v>1</v>
      </c>
      <c r="E5367" s="7" t="n">
        <v>47.47</v>
      </c>
      <c r="F5367" s="7" t="n">
        <v>1</v>
      </c>
      <c r="G5367" s="7" t="n">
        <v>50.26</v>
      </c>
    </row>
    <row r="5368" customFormat="false" ht="15" hidden="false" customHeight="false" outlineLevel="0" collapsed="false">
      <c r="A5368" s="7" t="s">
        <v>24</v>
      </c>
      <c r="B5368" s="7" t="s">
        <v>722</v>
      </c>
      <c r="C5368" s="7" t="s">
        <v>1267</v>
      </c>
      <c r="D5368" s="7" t="n">
        <v>0</v>
      </c>
      <c r="E5368" s="7" t="n">
        <v>0</v>
      </c>
      <c r="F5368" s="7" t="n">
        <v>1</v>
      </c>
      <c r="G5368" s="7" t="n">
        <v>25.33</v>
      </c>
    </row>
    <row r="5369" customFormat="false" ht="15" hidden="false" customHeight="false" outlineLevel="0" collapsed="false">
      <c r="A5369" s="7" t="s">
        <v>24</v>
      </c>
      <c r="B5369" s="7" t="s">
        <v>722</v>
      </c>
      <c r="C5369" s="7" t="s">
        <v>1267</v>
      </c>
      <c r="D5369" s="7" t="n">
        <v>0</v>
      </c>
      <c r="E5369" s="7" t="n">
        <v>0</v>
      </c>
      <c r="F5369" s="7" t="n">
        <v>2</v>
      </c>
      <c r="G5369" s="7" t="n">
        <v>50.68</v>
      </c>
    </row>
    <row r="5370" customFormat="false" ht="15" hidden="false" customHeight="false" outlineLevel="0" collapsed="false">
      <c r="A5370" s="7" t="s">
        <v>24</v>
      </c>
      <c r="B5370" s="7" t="s">
        <v>437</v>
      </c>
      <c r="C5370" s="7" t="s">
        <v>1268</v>
      </c>
      <c r="D5370" s="7" t="n">
        <v>0</v>
      </c>
      <c r="E5370" s="7" t="n">
        <v>0</v>
      </c>
      <c r="F5370" s="7" t="n">
        <v>1</v>
      </c>
      <c r="G5370" s="7" t="n">
        <v>169.4</v>
      </c>
    </row>
    <row r="5371" customFormat="false" ht="15" hidden="false" customHeight="false" outlineLevel="0" collapsed="false">
      <c r="A5371" s="7" t="s">
        <v>24</v>
      </c>
      <c r="B5371" s="7" t="s">
        <v>437</v>
      </c>
      <c r="C5371" s="7" t="s">
        <v>1268</v>
      </c>
      <c r="D5371" s="7" t="n">
        <v>0</v>
      </c>
      <c r="E5371" s="7" t="n">
        <v>0</v>
      </c>
      <c r="F5371" s="7" t="n">
        <v>1</v>
      </c>
      <c r="G5371" s="7" t="n">
        <v>169.41</v>
      </c>
    </row>
    <row r="5372" customFormat="false" ht="15" hidden="false" customHeight="false" outlineLevel="0" collapsed="false">
      <c r="A5372" s="7" t="s">
        <v>24</v>
      </c>
      <c r="B5372" s="7" t="s">
        <v>437</v>
      </c>
      <c r="C5372" s="7" t="s">
        <v>1268</v>
      </c>
      <c r="D5372" s="7" t="n">
        <v>0</v>
      </c>
      <c r="E5372" s="7" t="n">
        <v>0</v>
      </c>
      <c r="F5372" s="7" t="n">
        <v>1</v>
      </c>
      <c r="G5372" s="7" t="n">
        <v>169.4</v>
      </c>
    </row>
    <row r="5373" customFormat="false" ht="15" hidden="false" customHeight="false" outlineLevel="0" collapsed="false">
      <c r="A5373" s="7" t="s">
        <v>24</v>
      </c>
      <c r="B5373" s="7" t="s">
        <v>437</v>
      </c>
      <c r="C5373" s="7" t="s">
        <v>1268</v>
      </c>
      <c r="D5373" s="7" t="n">
        <v>0</v>
      </c>
      <c r="E5373" s="7" t="n">
        <v>0</v>
      </c>
      <c r="F5373" s="7" t="n">
        <v>1</v>
      </c>
      <c r="G5373" s="7" t="n">
        <v>169.41</v>
      </c>
    </row>
    <row r="5374" customFormat="false" ht="15" hidden="false" customHeight="false" outlineLevel="0" collapsed="false">
      <c r="A5374" s="7" t="s">
        <v>24</v>
      </c>
      <c r="B5374" s="7" t="s">
        <v>437</v>
      </c>
      <c r="C5374" s="7" t="s">
        <v>1268</v>
      </c>
      <c r="D5374" s="7" t="n">
        <v>18</v>
      </c>
      <c r="E5374" s="7" t="n">
        <v>2871.51</v>
      </c>
      <c r="F5374" s="7" t="n">
        <v>6</v>
      </c>
      <c r="G5374" s="7" t="n">
        <v>965.64</v>
      </c>
    </row>
    <row r="5375" customFormat="false" ht="15" hidden="false" customHeight="false" outlineLevel="0" collapsed="false">
      <c r="A5375" s="7" t="s">
        <v>24</v>
      </c>
      <c r="B5375" s="7" t="s">
        <v>437</v>
      </c>
      <c r="C5375" s="7" t="s">
        <v>1268</v>
      </c>
      <c r="D5375" s="7" t="n">
        <v>0</v>
      </c>
      <c r="E5375" s="7" t="n">
        <v>0</v>
      </c>
      <c r="F5375" s="7" t="n">
        <v>1</v>
      </c>
      <c r="G5375" s="7" t="n">
        <v>152.46</v>
      </c>
    </row>
    <row r="5376" customFormat="false" ht="15" hidden="false" customHeight="false" outlineLevel="0" collapsed="false">
      <c r="A5376" s="7" t="s">
        <v>24</v>
      </c>
      <c r="B5376" s="7" t="s">
        <v>437</v>
      </c>
      <c r="C5376" s="7" t="s">
        <v>1268</v>
      </c>
      <c r="D5376" s="7" t="n">
        <v>0</v>
      </c>
      <c r="E5376" s="7" t="n">
        <v>0</v>
      </c>
      <c r="F5376" s="7" t="n">
        <v>1</v>
      </c>
      <c r="G5376" s="7" t="n">
        <v>152.46</v>
      </c>
    </row>
    <row r="5377" customFormat="false" ht="15" hidden="false" customHeight="false" outlineLevel="0" collapsed="false">
      <c r="A5377" s="7" t="s">
        <v>24</v>
      </c>
      <c r="B5377" s="7" t="s">
        <v>437</v>
      </c>
      <c r="C5377" s="7" t="s">
        <v>1268</v>
      </c>
      <c r="D5377" s="7" t="n">
        <v>0</v>
      </c>
      <c r="E5377" s="7" t="n">
        <v>0</v>
      </c>
      <c r="F5377" s="7" t="n">
        <v>1</v>
      </c>
      <c r="G5377" s="7" t="n">
        <v>144</v>
      </c>
    </row>
    <row r="5378" customFormat="false" ht="15" hidden="false" customHeight="false" outlineLevel="0" collapsed="false">
      <c r="A5378" s="7" t="s">
        <v>24</v>
      </c>
      <c r="B5378" s="7" t="s">
        <v>437</v>
      </c>
      <c r="C5378" s="7" t="s">
        <v>1268</v>
      </c>
      <c r="D5378" s="7" t="n">
        <v>0</v>
      </c>
      <c r="E5378" s="7" t="n">
        <v>0</v>
      </c>
      <c r="F5378" s="7" t="n">
        <v>1</v>
      </c>
      <c r="G5378" s="7" t="n">
        <v>152.47</v>
      </c>
    </row>
    <row r="5379" customFormat="false" ht="15" hidden="false" customHeight="false" outlineLevel="0" collapsed="false">
      <c r="A5379" s="7" t="s">
        <v>24</v>
      </c>
      <c r="B5379" s="7" t="s">
        <v>437</v>
      </c>
      <c r="C5379" s="7" t="s">
        <v>1268</v>
      </c>
      <c r="D5379" s="7" t="n">
        <v>0</v>
      </c>
      <c r="E5379" s="7" t="n">
        <v>0</v>
      </c>
      <c r="F5379" s="7" t="n">
        <v>1</v>
      </c>
      <c r="G5379" s="7" t="n">
        <v>169.4</v>
      </c>
    </row>
    <row r="5380" customFormat="false" ht="15" hidden="false" customHeight="false" outlineLevel="0" collapsed="false">
      <c r="A5380" s="7" t="s">
        <v>24</v>
      </c>
      <c r="B5380" s="7" t="s">
        <v>300</v>
      </c>
      <c r="C5380" s="7" t="s">
        <v>1182</v>
      </c>
      <c r="D5380" s="7" t="n">
        <v>0</v>
      </c>
      <c r="E5380" s="7" t="n">
        <v>0</v>
      </c>
      <c r="F5380" s="7" t="n">
        <v>1</v>
      </c>
      <c r="G5380" s="7" t="n">
        <v>132.97</v>
      </c>
    </row>
    <row r="5381" customFormat="false" ht="15" hidden="false" customHeight="false" outlineLevel="0" collapsed="false">
      <c r="A5381" s="7" t="s">
        <v>24</v>
      </c>
      <c r="B5381" s="7" t="s">
        <v>300</v>
      </c>
      <c r="C5381" s="7" t="s">
        <v>1182</v>
      </c>
      <c r="D5381" s="7" t="n">
        <v>0</v>
      </c>
      <c r="E5381" s="7" t="n">
        <v>0</v>
      </c>
      <c r="F5381" s="7" t="n">
        <v>1</v>
      </c>
      <c r="G5381" s="7" t="n">
        <v>119.67</v>
      </c>
    </row>
    <row r="5382" customFormat="false" ht="15" hidden="false" customHeight="false" outlineLevel="0" collapsed="false">
      <c r="A5382" s="7" t="s">
        <v>24</v>
      </c>
      <c r="B5382" s="7" t="s">
        <v>300</v>
      </c>
      <c r="C5382" s="7" t="s">
        <v>1182</v>
      </c>
      <c r="D5382" s="7" t="n">
        <v>1</v>
      </c>
      <c r="E5382" s="7" t="n">
        <v>132.97</v>
      </c>
      <c r="F5382" s="7" t="n">
        <v>4</v>
      </c>
      <c r="G5382" s="7" t="n">
        <v>518.57</v>
      </c>
    </row>
    <row r="5383" customFormat="false" ht="15" hidden="false" customHeight="false" outlineLevel="0" collapsed="false">
      <c r="A5383" s="7" t="s">
        <v>24</v>
      </c>
      <c r="B5383" s="7" t="s">
        <v>300</v>
      </c>
      <c r="C5383" s="7" t="s">
        <v>1182</v>
      </c>
      <c r="D5383" s="7" t="n">
        <v>0</v>
      </c>
      <c r="E5383" s="7" t="n">
        <v>0</v>
      </c>
      <c r="F5383" s="7" t="n">
        <v>1</v>
      </c>
      <c r="G5383" s="7" t="n">
        <v>132.97</v>
      </c>
    </row>
    <row r="5384" customFormat="false" ht="15" hidden="false" customHeight="false" outlineLevel="0" collapsed="false">
      <c r="A5384" s="7" t="s">
        <v>24</v>
      </c>
      <c r="B5384" s="7" t="s">
        <v>300</v>
      </c>
      <c r="C5384" s="7" t="s">
        <v>1182</v>
      </c>
      <c r="D5384" s="7" t="n">
        <v>0</v>
      </c>
      <c r="E5384" s="7" t="n">
        <v>0</v>
      </c>
      <c r="F5384" s="7" t="n">
        <v>1</v>
      </c>
      <c r="G5384" s="7" t="n">
        <v>132.96</v>
      </c>
    </row>
    <row r="5385" customFormat="false" ht="15" hidden="false" customHeight="false" outlineLevel="0" collapsed="false">
      <c r="A5385" s="7" t="s">
        <v>24</v>
      </c>
      <c r="B5385" s="7" t="s">
        <v>582</v>
      </c>
      <c r="C5385" s="7" t="s">
        <v>1269</v>
      </c>
      <c r="D5385" s="7" t="n">
        <v>3</v>
      </c>
      <c r="E5385" s="7" t="n">
        <v>150.79</v>
      </c>
      <c r="F5385" s="7" t="n">
        <v>0</v>
      </c>
      <c r="G5385" s="7" t="n">
        <v>0</v>
      </c>
    </row>
    <row r="5386" customFormat="false" ht="15" hidden="false" customHeight="false" outlineLevel="0" collapsed="false">
      <c r="A5386" s="7" t="s">
        <v>24</v>
      </c>
      <c r="B5386" s="7" t="s">
        <v>582</v>
      </c>
      <c r="C5386" s="7" t="s">
        <v>1269</v>
      </c>
      <c r="D5386" s="7" t="n">
        <v>0</v>
      </c>
      <c r="E5386" s="7" t="n">
        <v>0</v>
      </c>
      <c r="F5386" s="7" t="n">
        <v>2</v>
      </c>
      <c r="G5386" s="7" t="n">
        <v>135.42</v>
      </c>
    </row>
    <row r="5387" customFormat="false" ht="15" hidden="false" customHeight="false" outlineLevel="0" collapsed="false">
      <c r="A5387" s="7" t="s">
        <v>24</v>
      </c>
      <c r="B5387" s="7" t="s">
        <v>582</v>
      </c>
      <c r="C5387" s="7" t="s">
        <v>1269</v>
      </c>
      <c r="D5387" s="7" t="n">
        <v>0</v>
      </c>
      <c r="E5387" s="7" t="n">
        <v>0</v>
      </c>
      <c r="F5387" s="7" t="n">
        <v>2</v>
      </c>
      <c r="G5387" s="7" t="n">
        <v>121.88</v>
      </c>
    </row>
    <row r="5388" customFormat="false" ht="15" hidden="false" customHeight="false" outlineLevel="0" collapsed="false">
      <c r="A5388" s="7" t="s">
        <v>24</v>
      </c>
      <c r="B5388" s="7" t="s">
        <v>582</v>
      </c>
      <c r="C5388" s="7" t="s">
        <v>1269</v>
      </c>
      <c r="D5388" s="7" t="n">
        <v>-1</v>
      </c>
      <c r="E5388" s="7" t="n">
        <v>-47.15</v>
      </c>
      <c r="F5388" s="7" t="n">
        <v>0</v>
      </c>
      <c r="G5388" s="7" t="n">
        <v>0</v>
      </c>
    </row>
    <row r="5389" customFormat="false" ht="15" hidden="false" customHeight="false" outlineLevel="0" collapsed="false">
      <c r="A5389" s="7" t="s">
        <v>24</v>
      </c>
      <c r="B5389" s="7" t="s">
        <v>582</v>
      </c>
      <c r="C5389" s="7" t="s">
        <v>1269</v>
      </c>
      <c r="D5389" s="7" t="n">
        <v>0</v>
      </c>
      <c r="E5389" s="7" t="n">
        <v>0</v>
      </c>
      <c r="F5389" s="7" t="n">
        <v>1</v>
      </c>
      <c r="G5389" s="7" t="n">
        <v>60.94</v>
      </c>
    </row>
    <row r="5390" customFormat="false" ht="15" hidden="false" customHeight="false" outlineLevel="0" collapsed="false">
      <c r="A5390" s="7" t="s">
        <v>24</v>
      </c>
      <c r="B5390" s="7" t="s">
        <v>582</v>
      </c>
      <c r="C5390" s="7" t="s">
        <v>1269</v>
      </c>
      <c r="D5390" s="7" t="n">
        <v>0</v>
      </c>
      <c r="E5390" s="7" t="n">
        <v>0</v>
      </c>
      <c r="F5390" s="7" t="n">
        <v>1</v>
      </c>
      <c r="G5390" s="7" t="n">
        <v>67.72</v>
      </c>
    </row>
    <row r="5391" customFormat="false" ht="15" hidden="false" customHeight="false" outlineLevel="0" collapsed="false">
      <c r="A5391" s="7" t="s">
        <v>24</v>
      </c>
      <c r="B5391" s="7" t="s">
        <v>582</v>
      </c>
      <c r="C5391" s="7" t="s">
        <v>1269</v>
      </c>
      <c r="D5391" s="7" t="n">
        <v>2</v>
      </c>
      <c r="E5391" s="7" t="n">
        <v>111.6</v>
      </c>
      <c r="F5391" s="7" t="n">
        <v>0</v>
      </c>
      <c r="G5391" s="7" t="n">
        <v>0</v>
      </c>
    </row>
    <row r="5392" customFormat="false" ht="15" hidden="false" customHeight="false" outlineLevel="0" collapsed="false">
      <c r="A5392" s="7" t="s">
        <v>24</v>
      </c>
      <c r="B5392" s="7" t="s">
        <v>582</v>
      </c>
      <c r="C5392" s="7" t="s">
        <v>1269</v>
      </c>
      <c r="D5392" s="7" t="n">
        <v>0</v>
      </c>
      <c r="E5392" s="7" t="n">
        <v>0</v>
      </c>
      <c r="F5392" s="7" t="n">
        <v>1</v>
      </c>
      <c r="G5392" s="7" t="n">
        <v>67.72</v>
      </c>
    </row>
    <row r="5393" customFormat="false" ht="15" hidden="false" customHeight="false" outlineLevel="0" collapsed="false">
      <c r="A5393" s="7" t="s">
        <v>24</v>
      </c>
      <c r="B5393" s="7" t="s">
        <v>582</v>
      </c>
      <c r="C5393" s="7" t="s">
        <v>1269</v>
      </c>
      <c r="D5393" s="7" t="n">
        <v>20</v>
      </c>
      <c r="E5393" s="7" t="n">
        <v>1269.57</v>
      </c>
      <c r="F5393" s="7" t="n">
        <v>10</v>
      </c>
      <c r="G5393" s="7" t="n">
        <v>670.33</v>
      </c>
    </row>
    <row r="5394" customFormat="false" ht="15" hidden="false" customHeight="false" outlineLevel="0" collapsed="false">
      <c r="A5394" s="7" t="s">
        <v>24</v>
      </c>
      <c r="B5394" s="7" t="s">
        <v>582</v>
      </c>
      <c r="C5394" s="7" t="s">
        <v>1269</v>
      </c>
      <c r="D5394" s="7" t="n">
        <v>0</v>
      </c>
      <c r="E5394" s="7" t="n">
        <v>0</v>
      </c>
      <c r="F5394" s="7" t="n">
        <v>1</v>
      </c>
      <c r="G5394" s="7" t="n">
        <v>67.71</v>
      </c>
    </row>
    <row r="5395" customFormat="false" ht="15" hidden="false" customHeight="false" outlineLevel="0" collapsed="false">
      <c r="A5395" s="7" t="s">
        <v>24</v>
      </c>
      <c r="B5395" s="7" t="s">
        <v>582</v>
      </c>
      <c r="C5395" s="7" t="s">
        <v>1269</v>
      </c>
      <c r="D5395" s="7" t="n">
        <v>0</v>
      </c>
      <c r="E5395" s="7" t="n">
        <v>0</v>
      </c>
      <c r="F5395" s="7" t="n">
        <v>1</v>
      </c>
      <c r="G5395" s="7" t="n">
        <v>67.72</v>
      </c>
    </row>
    <row r="5396" customFormat="false" ht="15" hidden="false" customHeight="false" outlineLevel="0" collapsed="false">
      <c r="A5396" s="7" t="s">
        <v>24</v>
      </c>
      <c r="B5396" s="7" t="s">
        <v>582</v>
      </c>
      <c r="C5396" s="7" t="s">
        <v>1269</v>
      </c>
      <c r="D5396" s="7" t="n">
        <v>0</v>
      </c>
      <c r="E5396" s="7" t="n">
        <v>0</v>
      </c>
      <c r="F5396" s="7" t="n">
        <v>1</v>
      </c>
      <c r="G5396" s="7" t="n">
        <v>60.94</v>
      </c>
    </row>
    <row r="5397" customFormat="false" ht="15" hidden="false" customHeight="false" outlineLevel="0" collapsed="false">
      <c r="A5397" s="7" t="s">
        <v>24</v>
      </c>
      <c r="B5397" s="7" t="s">
        <v>582</v>
      </c>
      <c r="C5397" s="7" t="s">
        <v>1269</v>
      </c>
      <c r="D5397" s="7" t="n">
        <v>1</v>
      </c>
      <c r="E5397" s="7" t="n">
        <v>55.9</v>
      </c>
      <c r="F5397" s="7" t="n">
        <v>0</v>
      </c>
      <c r="G5397" s="7" t="n">
        <v>0</v>
      </c>
    </row>
    <row r="5398" customFormat="false" ht="15" hidden="false" customHeight="false" outlineLevel="0" collapsed="false">
      <c r="A5398" s="7" t="s">
        <v>24</v>
      </c>
      <c r="B5398" s="7" t="s">
        <v>174</v>
      </c>
      <c r="C5398" s="7" t="s">
        <v>1270</v>
      </c>
      <c r="D5398" s="7" t="n">
        <v>0</v>
      </c>
      <c r="E5398" s="7" t="n">
        <v>0</v>
      </c>
      <c r="F5398" s="7" t="n">
        <v>2</v>
      </c>
      <c r="G5398" s="7" t="n">
        <v>169.32</v>
      </c>
    </row>
    <row r="5399" customFormat="false" ht="15" hidden="false" customHeight="false" outlineLevel="0" collapsed="false">
      <c r="A5399" s="7" t="s">
        <v>24</v>
      </c>
      <c r="B5399" s="7" t="s">
        <v>174</v>
      </c>
      <c r="C5399" s="7" t="s">
        <v>1270</v>
      </c>
      <c r="D5399" s="7" t="n">
        <v>0</v>
      </c>
      <c r="E5399" s="7" t="n">
        <v>0</v>
      </c>
      <c r="F5399" s="7" t="n">
        <v>1</v>
      </c>
      <c r="G5399" s="7" t="n">
        <v>84.66</v>
      </c>
    </row>
    <row r="5400" customFormat="false" ht="15" hidden="false" customHeight="false" outlineLevel="0" collapsed="false">
      <c r="A5400" s="7" t="s">
        <v>24</v>
      </c>
      <c r="B5400" s="7" t="s">
        <v>174</v>
      </c>
      <c r="C5400" s="7" t="s">
        <v>1270</v>
      </c>
      <c r="D5400" s="7" t="n">
        <v>0</v>
      </c>
      <c r="E5400" s="7" t="n">
        <v>0</v>
      </c>
      <c r="F5400" s="7" t="n">
        <v>1</v>
      </c>
      <c r="G5400" s="7" t="n">
        <v>84.66</v>
      </c>
    </row>
    <row r="5401" customFormat="false" ht="15" hidden="false" customHeight="false" outlineLevel="0" collapsed="false">
      <c r="A5401" s="7" t="s">
        <v>24</v>
      </c>
      <c r="B5401" s="7" t="s">
        <v>174</v>
      </c>
      <c r="C5401" s="7" t="s">
        <v>1270</v>
      </c>
      <c r="D5401" s="7" t="n">
        <v>0</v>
      </c>
      <c r="E5401" s="7" t="n">
        <v>0</v>
      </c>
      <c r="F5401" s="7" t="n">
        <v>1</v>
      </c>
      <c r="G5401" s="7" t="n">
        <v>84.66</v>
      </c>
    </row>
    <row r="5402" customFormat="false" ht="15" hidden="false" customHeight="false" outlineLevel="0" collapsed="false">
      <c r="A5402" s="7" t="s">
        <v>24</v>
      </c>
      <c r="B5402" s="7" t="s">
        <v>174</v>
      </c>
      <c r="C5402" s="7" t="s">
        <v>1270</v>
      </c>
      <c r="D5402" s="7" t="n">
        <v>10</v>
      </c>
      <c r="E5402" s="7" t="n">
        <v>684.32</v>
      </c>
      <c r="F5402" s="7" t="n">
        <v>0</v>
      </c>
      <c r="G5402" s="7" t="n">
        <v>0</v>
      </c>
    </row>
    <row r="5403" customFormat="false" ht="15" hidden="false" customHeight="false" outlineLevel="0" collapsed="false">
      <c r="A5403" s="7" t="s">
        <v>24</v>
      </c>
      <c r="B5403" s="7" t="s">
        <v>174</v>
      </c>
      <c r="C5403" s="7" t="s">
        <v>1270</v>
      </c>
      <c r="D5403" s="7" t="n">
        <v>0</v>
      </c>
      <c r="E5403" s="7" t="n">
        <v>0</v>
      </c>
      <c r="F5403" s="7" t="n">
        <v>1</v>
      </c>
      <c r="G5403" s="7" t="n">
        <v>84.66</v>
      </c>
    </row>
    <row r="5404" customFormat="false" ht="15" hidden="false" customHeight="false" outlineLevel="0" collapsed="false">
      <c r="A5404" s="7" t="s">
        <v>24</v>
      </c>
      <c r="B5404" s="7" t="s">
        <v>174</v>
      </c>
      <c r="C5404" s="7" t="s">
        <v>1270</v>
      </c>
      <c r="D5404" s="7" t="n">
        <v>0</v>
      </c>
      <c r="E5404" s="7" t="n">
        <v>0</v>
      </c>
      <c r="F5404" s="7" t="n">
        <v>1</v>
      </c>
      <c r="G5404" s="7" t="n">
        <v>84.66</v>
      </c>
    </row>
    <row r="5405" customFormat="false" ht="15" hidden="false" customHeight="false" outlineLevel="0" collapsed="false">
      <c r="A5405" s="7" t="s">
        <v>24</v>
      </c>
      <c r="B5405" s="7" t="s">
        <v>174</v>
      </c>
      <c r="C5405" s="7" t="s">
        <v>1270</v>
      </c>
      <c r="D5405" s="7" t="n">
        <v>0</v>
      </c>
      <c r="E5405" s="7" t="n">
        <v>0</v>
      </c>
      <c r="F5405" s="7" t="n">
        <v>1</v>
      </c>
      <c r="G5405" s="7" t="n">
        <v>76.2</v>
      </c>
    </row>
    <row r="5406" customFormat="false" ht="15" hidden="false" customHeight="false" outlineLevel="0" collapsed="false">
      <c r="A5406" s="7" t="s">
        <v>24</v>
      </c>
      <c r="B5406" s="7" t="s">
        <v>174</v>
      </c>
      <c r="C5406" s="7" t="s">
        <v>1270</v>
      </c>
      <c r="D5406" s="7" t="n">
        <v>0</v>
      </c>
      <c r="E5406" s="7" t="n">
        <v>0</v>
      </c>
      <c r="F5406" s="7" t="n">
        <v>4</v>
      </c>
      <c r="G5406" s="7" t="n">
        <v>338.64</v>
      </c>
    </row>
    <row r="5407" customFormat="false" ht="15" hidden="false" customHeight="false" outlineLevel="0" collapsed="false">
      <c r="A5407" s="7" t="s">
        <v>24</v>
      </c>
      <c r="B5407" s="7" t="s">
        <v>174</v>
      </c>
      <c r="C5407" s="7" t="s">
        <v>1270</v>
      </c>
      <c r="D5407" s="7" t="n">
        <v>0</v>
      </c>
      <c r="E5407" s="7" t="n">
        <v>0</v>
      </c>
      <c r="F5407" s="7" t="n">
        <v>1</v>
      </c>
      <c r="G5407" s="7" t="n">
        <v>71.97</v>
      </c>
    </row>
    <row r="5408" customFormat="false" ht="15" hidden="false" customHeight="false" outlineLevel="0" collapsed="false">
      <c r="A5408" s="7" t="s">
        <v>24</v>
      </c>
      <c r="B5408" s="7" t="s">
        <v>174</v>
      </c>
      <c r="C5408" s="7" t="s">
        <v>1270</v>
      </c>
      <c r="D5408" s="7" t="n">
        <v>0</v>
      </c>
      <c r="E5408" s="7" t="n">
        <v>0</v>
      </c>
      <c r="F5408" s="7" t="n">
        <v>1</v>
      </c>
      <c r="G5408" s="7" t="n">
        <v>84.66</v>
      </c>
    </row>
    <row r="5409" customFormat="false" ht="15" hidden="false" customHeight="false" outlineLevel="0" collapsed="false">
      <c r="A5409" s="7" t="s">
        <v>24</v>
      </c>
      <c r="B5409" s="7" t="s">
        <v>174</v>
      </c>
      <c r="C5409" s="7" t="s">
        <v>1270</v>
      </c>
      <c r="D5409" s="7" t="n">
        <v>27</v>
      </c>
      <c r="E5409" s="7" t="n">
        <v>2150.36</v>
      </c>
      <c r="F5409" s="7" t="n">
        <v>26</v>
      </c>
      <c r="G5409" s="7" t="n">
        <v>2137.64</v>
      </c>
    </row>
    <row r="5410" customFormat="false" ht="15" hidden="false" customHeight="false" outlineLevel="0" collapsed="false">
      <c r="A5410" s="7" t="s">
        <v>24</v>
      </c>
      <c r="B5410" s="7" t="s">
        <v>174</v>
      </c>
      <c r="C5410" s="7" t="s">
        <v>1270</v>
      </c>
      <c r="D5410" s="7" t="n">
        <v>0</v>
      </c>
      <c r="E5410" s="7" t="n">
        <v>0</v>
      </c>
      <c r="F5410" s="7" t="n">
        <v>1</v>
      </c>
      <c r="G5410" s="7" t="n">
        <v>76.2</v>
      </c>
    </row>
    <row r="5411" customFormat="false" ht="15" hidden="false" customHeight="false" outlineLevel="0" collapsed="false">
      <c r="A5411" s="7" t="s">
        <v>24</v>
      </c>
      <c r="B5411" s="7" t="s">
        <v>174</v>
      </c>
      <c r="C5411" s="7" t="s">
        <v>1270</v>
      </c>
      <c r="D5411" s="7" t="n">
        <v>0</v>
      </c>
      <c r="E5411" s="7" t="n">
        <v>0</v>
      </c>
      <c r="F5411" s="7" t="n">
        <v>2</v>
      </c>
      <c r="G5411" s="7" t="n">
        <v>169.32</v>
      </c>
    </row>
    <row r="5412" customFormat="false" ht="15" hidden="false" customHeight="false" outlineLevel="0" collapsed="false">
      <c r="A5412" s="7" t="s">
        <v>24</v>
      </c>
      <c r="B5412" s="7" t="s">
        <v>174</v>
      </c>
      <c r="C5412" s="7" t="s">
        <v>1270</v>
      </c>
      <c r="D5412" s="7" t="n">
        <v>0</v>
      </c>
      <c r="E5412" s="7" t="n">
        <v>0</v>
      </c>
      <c r="F5412" s="7" t="n">
        <v>1</v>
      </c>
      <c r="G5412" s="7" t="n">
        <v>84.66</v>
      </c>
    </row>
    <row r="5413" customFormat="false" ht="15" hidden="false" customHeight="false" outlineLevel="0" collapsed="false">
      <c r="A5413" s="7" t="s">
        <v>24</v>
      </c>
      <c r="B5413" s="7" t="s">
        <v>174</v>
      </c>
      <c r="C5413" s="7" t="s">
        <v>1270</v>
      </c>
      <c r="D5413" s="7" t="n">
        <v>0</v>
      </c>
      <c r="E5413" s="7" t="n">
        <v>0</v>
      </c>
      <c r="F5413" s="7" t="n">
        <v>1</v>
      </c>
      <c r="G5413" s="7" t="n">
        <v>84.66</v>
      </c>
    </row>
    <row r="5414" customFormat="false" ht="15" hidden="false" customHeight="false" outlineLevel="0" collapsed="false">
      <c r="A5414" s="7" t="s">
        <v>24</v>
      </c>
      <c r="B5414" s="7" t="s">
        <v>174</v>
      </c>
      <c r="C5414" s="7" t="s">
        <v>1270</v>
      </c>
      <c r="D5414" s="7" t="n">
        <v>0</v>
      </c>
      <c r="E5414" s="7" t="n">
        <v>0</v>
      </c>
      <c r="F5414" s="7" t="n">
        <v>1</v>
      </c>
      <c r="G5414" s="7" t="n">
        <v>76.2</v>
      </c>
    </row>
    <row r="5415" customFormat="false" ht="15" hidden="false" customHeight="false" outlineLevel="0" collapsed="false">
      <c r="A5415" s="7" t="s">
        <v>24</v>
      </c>
      <c r="B5415" s="7" t="s">
        <v>174</v>
      </c>
      <c r="C5415" s="7" t="s">
        <v>1270</v>
      </c>
      <c r="D5415" s="7" t="n">
        <v>1</v>
      </c>
      <c r="E5415" s="7" t="n">
        <v>0.01</v>
      </c>
      <c r="F5415" s="7" t="n">
        <v>0</v>
      </c>
      <c r="G5415" s="7" t="n">
        <v>0</v>
      </c>
    </row>
    <row r="5416" customFormat="false" ht="15" hidden="false" customHeight="false" outlineLevel="0" collapsed="false">
      <c r="A5416" s="7" t="s">
        <v>24</v>
      </c>
      <c r="B5416" s="7" t="s">
        <v>174</v>
      </c>
      <c r="C5416" s="7" t="s">
        <v>1270</v>
      </c>
      <c r="D5416" s="7" t="n">
        <v>0</v>
      </c>
      <c r="E5416" s="7" t="n">
        <v>0</v>
      </c>
      <c r="F5416" s="7" t="n">
        <v>1</v>
      </c>
      <c r="G5416" s="7" t="n">
        <v>84.67</v>
      </c>
    </row>
    <row r="5417" customFormat="false" ht="15" hidden="false" customHeight="false" outlineLevel="0" collapsed="false">
      <c r="A5417" s="7" t="s">
        <v>24</v>
      </c>
      <c r="B5417" s="7" t="s">
        <v>174</v>
      </c>
      <c r="C5417" s="7" t="s">
        <v>1270</v>
      </c>
      <c r="D5417" s="7" t="n">
        <v>0</v>
      </c>
      <c r="E5417" s="7" t="n">
        <v>0</v>
      </c>
      <c r="F5417" s="7" t="n">
        <v>1</v>
      </c>
      <c r="G5417" s="7" t="n">
        <v>84.66</v>
      </c>
    </row>
    <row r="5418" customFormat="false" ht="15" hidden="false" customHeight="false" outlineLevel="0" collapsed="false">
      <c r="A5418" s="7" t="s">
        <v>24</v>
      </c>
      <c r="B5418" s="7" t="s">
        <v>174</v>
      </c>
      <c r="C5418" s="7" t="s">
        <v>1270</v>
      </c>
      <c r="D5418" s="7" t="n">
        <v>0</v>
      </c>
      <c r="E5418" s="7" t="n">
        <v>0</v>
      </c>
      <c r="F5418" s="7" t="n">
        <v>1</v>
      </c>
      <c r="G5418" s="7" t="n">
        <v>76.19</v>
      </c>
    </row>
    <row r="5419" customFormat="false" ht="15" hidden="false" customHeight="false" outlineLevel="0" collapsed="false">
      <c r="A5419" s="7" t="s">
        <v>24</v>
      </c>
      <c r="B5419" s="7" t="s">
        <v>174</v>
      </c>
      <c r="C5419" s="7" t="s">
        <v>1270</v>
      </c>
      <c r="D5419" s="7" t="n">
        <v>0</v>
      </c>
      <c r="E5419" s="7" t="n">
        <v>0</v>
      </c>
      <c r="F5419" s="7" t="n">
        <v>1</v>
      </c>
      <c r="G5419" s="7" t="n">
        <v>76.2</v>
      </c>
    </row>
    <row r="5420" customFormat="false" ht="15" hidden="false" customHeight="false" outlineLevel="0" collapsed="false">
      <c r="A5420" s="7" t="s">
        <v>24</v>
      </c>
      <c r="B5420" s="7" t="s">
        <v>174</v>
      </c>
      <c r="C5420" s="7" t="s">
        <v>1270</v>
      </c>
      <c r="D5420" s="7" t="n">
        <v>0</v>
      </c>
      <c r="E5420" s="7" t="n">
        <v>0</v>
      </c>
      <c r="F5420" s="7" t="n">
        <v>1</v>
      </c>
      <c r="G5420" s="7" t="n">
        <v>71.97</v>
      </c>
    </row>
    <row r="5421" customFormat="false" ht="15" hidden="false" customHeight="false" outlineLevel="0" collapsed="false">
      <c r="A5421" s="7" t="s">
        <v>24</v>
      </c>
      <c r="B5421" s="7" t="s">
        <v>174</v>
      </c>
      <c r="C5421" s="7" t="s">
        <v>1270</v>
      </c>
      <c r="D5421" s="7" t="n">
        <v>0</v>
      </c>
      <c r="E5421" s="7" t="n">
        <v>0</v>
      </c>
      <c r="F5421" s="7" t="n">
        <v>1</v>
      </c>
      <c r="G5421" s="7" t="n">
        <v>84.66</v>
      </c>
    </row>
    <row r="5422" customFormat="false" ht="15" hidden="false" customHeight="false" outlineLevel="0" collapsed="false">
      <c r="A5422" s="7" t="s">
        <v>24</v>
      </c>
      <c r="B5422" s="7" t="s">
        <v>174</v>
      </c>
      <c r="C5422" s="7" t="s">
        <v>1270</v>
      </c>
      <c r="D5422" s="7" t="n">
        <v>0</v>
      </c>
      <c r="E5422" s="7" t="n">
        <v>0</v>
      </c>
      <c r="F5422" s="7" t="n">
        <v>1</v>
      </c>
      <c r="G5422" s="7" t="n">
        <v>80.43</v>
      </c>
    </row>
    <row r="5423" customFormat="false" ht="15" hidden="false" customHeight="false" outlineLevel="0" collapsed="false">
      <c r="A5423" s="7" t="s">
        <v>24</v>
      </c>
      <c r="B5423" s="7" t="s">
        <v>174</v>
      </c>
      <c r="C5423" s="7" t="s">
        <v>1270</v>
      </c>
      <c r="D5423" s="7" t="n">
        <v>0</v>
      </c>
      <c r="E5423" s="7" t="n">
        <v>0</v>
      </c>
      <c r="F5423" s="7" t="n">
        <v>2</v>
      </c>
      <c r="G5423" s="7" t="n">
        <v>169.33</v>
      </c>
    </row>
    <row r="5424" customFormat="false" ht="15" hidden="false" customHeight="false" outlineLevel="0" collapsed="false">
      <c r="A5424" s="7" t="s">
        <v>24</v>
      </c>
      <c r="B5424" s="7" t="s">
        <v>174</v>
      </c>
      <c r="C5424" s="7" t="s">
        <v>1270</v>
      </c>
      <c r="D5424" s="7" t="n">
        <v>0</v>
      </c>
      <c r="E5424" s="7" t="n">
        <v>0</v>
      </c>
      <c r="F5424" s="7" t="n">
        <v>1</v>
      </c>
      <c r="G5424" s="7" t="n">
        <v>76.19</v>
      </c>
    </row>
    <row r="5425" customFormat="false" ht="15" hidden="false" customHeight="false" outlineLevel="0" collapsed="false">
      <c r="A5425" s="7" t="s">
        <v>24</v>
      </c>
      <c r="B5425" s="7" t="s">
        <v>174</v>
      </c>
      <c r="C5425" s="7" t="s">
        <v>1270</v>
      </c>
      <c r="D5425" s="7" t="n">
        <v>0</v>
      </c>
      <c r="E5425" s="7" t="n">
        <v>0</v>
      </c>
      <c r="F5425" s="7" t="n">
        <v>1</v>
      </c>
      <c r="G5425" s="7" t="n">
        <v>84.66</v>
      </c>
    </row>
    <row r="5426" customFormat="false" ht="15" hidden="false" customHeight="false" outlineLevel="0" collapsed="false">
      <c r="A5426" s="7" t="s">
        <v>24</v>
      </c>
      <c r="B5426" s="7" t="s">
        <v>174</v>
      </c>
      <c r="C5426" s="7" t="s">
        <v>1270</v>
      </c>
      <c r="D5426" s="7" t="n">
        <v>0</v>
      </c>
      <c r="E5426" s="7" t="n">
        <v>0</v>
      </c>
      <c r="F5426" s="7" t="n">
        <v>1</v>
      </c>
      <c r="G5426" s="7" t="n">
        <v>84.67</v>
      </c>
    </row>
    <row r="5427" customFormat="false" ht="15" hidden="false" customHeight="false" outlineLevel="0" collapsed="false">
      <c r="A5427" s="7" t="s">
        <v>24</v>
      </c>
      <c r="B5427" s="7" t="s">
        <v>174</v>
      </c>
      <c r="C5427" s="7" t="s">
        <v>1270</v>
      </c>
      <c r="D5427" s="7" t="n">
        <v>0</v>
      </c>
      <c r="E5427" s="7" t="n">
        <v>0</v>
      </c>
      <c r="F5427" s="7" t="n">
        <v>1</v>
      </c>
      <c r="G5427" s="7" t="n">
        <v>76.2</v>
      </c>
    </row>
    <row r="5428" customFormat="false" ht="15" hidden="false" customHeight="false" outlineLevel="0" collapsed="false">
      <c r="A5428" s="7" t="s">
        <v>24</v>
      </c>
      <c r="B5428" s="7" t="s">
        <v>174</v>
      </c>
      <c r="C5428" s="7" t="s">
        <v>1270</v>
      </c>
      <c r="D5428" s="7" t="n">
        <v>0</v>
      </c>
      <c r="E5428" s="7" t="n">
        <v>0</v>
      </c>
      <c r="F5428" s="7" t="n">
        <v>1</v>
      </c>
      <c r="G5428" s="7" t="n">
        <v>84.66</v>
      </c>
    </row>
    <row r="5429" customFormat="false" ht="15" hidden="false" customHeight="false" outlineLevel="0" collapsed="false">
      <c r="A5429" s="7" t="s">
        <v>24</v>
      </c>
      <c r="B5429" s="7" t="s">
        <v>174</v>
      </c>
      <c r="C5429" s="7" t="s">
        <v>1270</v>
      </c>
      <c r="D5429" s="7" t="n">
        <v>0</v>
      </c>
      <c r="E5429" s="7" t="n">
        <v>0</v>
      </c>
      <c r="F5429" s="7" t="n">
        <v>1</v>
      </c>
      <c r="G5429" s="7" t="n">
        <v>84.66</v>
      </c>
    </row>
    <row r="5430" customFormat="false" ht="15" hidden="false" customHeight="false" outlineLevel="0" collapsed="false">
      <c r="A5430" s="7" t="s">
        <v>24</v>
      </c>
      <c r="B5430" s="7" t="s">
        <v>174</v>
      </c>
      <c r="C5430" s="7" t="s">
        <v>1270</v>
      </c>
      <c r="D5430" s="7" t="n">
        <v>0</v>
      </c>
      <c r="E5430" s="7" t="n">
        <v>0</v>
      </c>
      <c r="F5430" s="7" t="n">
        <v>1</v>
      </c>
      <c r="G5430" s="7" t="n">
        <v>84.66</v>
      </c>
    </row>
    <row r="5431" customFormat="false" ht="15" hidden="false" customHeight="false" outlineLevel="0" collapsed="false">
      <c r="A5431" s="7" t="s">
        <v>24</v>
      </c>
      <c r="B5431" s="7" t="s">
        <v>174</v>
      </c>
      <c r="C5431" s="7" t="s">
        <v>1270</v>
      </c>
      <c r="D5431" s="7" t="n">
        <v>0</v>
      </c>
      <c r="E5431" s="7" t="n">
        <v>0</v>
      </c>
      <c r="F5431" s="7" t="n">
        <v>1</v>
      </c>
      <c r="G5431" s="7" t="n">
        <v>71.97</v>
      </c>
    </row>
    <row r="5432" customFormat="false" ht="15" hidden="false" customHeight="false" outlineLevel="0" collapsed="false">
      <c r="A5432" s="7" t="s">
        <v>24</v>
      </c>
      <c r="B5432" s="7" t="s">
        <v>156</v>
      </c>
      <c r="C5432" s="7" t="s">
        <v>1270</v>
      </c>
      <c r="D5432" s="7" t="n">
        <v>0</v>
      </c>
      <c r="E5432" s="7" t="n">
        <v>0</v>
      </c>
      <c r="F5432" s="7" t="n">
        <v>1</v>
      </c>
      <c r="G5432" s="7" t="n">
        <v>84.66</v>
      </c>
    </row>
    <row r="5433" customFormat="false" ht="15" hidden="false" customHeight="false" outlineLevel="0" collapsed="false">
      <c r="A5433" s="7" t="s">
        <v>24</v>
      </c>
      <c r="B5433" s="7" t="s">
        <v>156</v>
      </c>
      <c r="C5433" s="7" t="s">
        <v>1270</v>
      </c>
      <c r="D5433" s="7" t="n">
        <v>0</v>
      </c>
      <c r="E5433" s="7" t="n">
        <v>0</v>
      </c>
      <c r="F5433" s="7" t="n">
        <v>1</v>
      </c>
      <c r="G5433" s="7" t="n">
        <v>84.66</v>
      </c>
    </row>
    <row r="5434" customFormat="false" ht="15" hidden="false" customHeight="false" outlineLevel="0" collapsed="false">
      <c r="A5434" s="7" t="s">
        <v>24</v>
      </c>
      <c r="B5434" s="7" t="s">
        <v>156</v>
      </c>
      <c r="C5434" s="7" t="s">
        <v>1270</v>
      </c>
      <c r="D5434" s="7" t="n">
        <v>31</v>
      </c>
      <c r="E5434" s="7" t="n">
        <v>2489</v>
      </c>
      <c r="F5434" s="7" t="n">
        <v>30</v>
      </c>
      <c r="G5434" s="7" t="n">
        <v>2442.4</v>
      </c>
    </row>
    <row r="5435" customFormat="false" ht="15" hidden="false" customHeight="false" outlineLevel="0" collapsed="false">
      <c r="A5435" s="7" t="s">
        <v>24</v>
      </c>
      <c r="B5435" s="7" t="s">
        <v>156</v>
      </c>
      <c r="C5435" s="7" t="s">
        <v>1270</v>
      </c>
      <c r="D5435" s="7" t="n">
        <v>0</v>
      </c>
      <c r="E5435" s="7" t="n">
        <v>0</v>
      </c>
      <c r="F5435" s="7" t="n">
        <v>2</v>
      </c>
      <c r="G5435" s="7" t="n">
        <v>160.85</v>
      </c>
    </row>
    <row r="5436" customFormat="false" ht="15" hidden="false" customHeight="false" outlineLevel="0" collapsed="false">
      <c r="A5436" s="7" t="s">
        <v>24</v>
      </c>
      <c r="B5436" s="7" t="s">
        <v>156</v>
      </c>
      <c r="C5436" s="7" t="s">
        <v>1270</v>
      </c>
      <c r="D5436" s="7" t="n">
        <v>0</v>
      </c>
      <c r="E5436" s="7" t="n">
        <v>0</v>
      </c>
      <c r="F5436" s="7" t="n">
        <v>1</v>
      </c>
      <c r="G5436" s="7" t="n">
        <v>76.19</v>
      </c>
    </row>
    <row r="5437" customFormat="false" ht="15" hidden="false" customHeight="false" outlineLevel="0" collapsed="false">
      <c r="A5437" s="7" t="s">
        <v>24</v>
      </c>
      <c r="B5437" s="7" t="s">
        <v>156</v>
      </c>
      <c r="C5437" s="7" t="s">
        <v>1270</v>
      </c>
      <c r="D5437" s="7" t="n">
        <v>4</v>
      </c>
      <c r="E5437" s="7" t="n">
        <v>269.36</v>
      </c>
      <c r="F5437" s="7" t="n">
        <v>0</v>
      </c>
      <c r="G5437" s="7" t="n">
        <v>0</v>
      </c>
    </row>
    <row r="5438" customFormat="false" ht="15" hidden="false" customHeight="false" outlineLevel="0" collapsed="false">
      <c r="A5438" s="7" t="s">
        <v>24</v>
      </c>
      <c r="B5438" s="7" t="s">
        <v>156</v>
      </c>
      <c r="C5438" s="7" t="s">
        <v>1270</v>
      </c>
      <c r="D5438" s="7" t="n">
        <v>0</v>
      </c>
      <c r="E5438" s="7" t="n">
        <v>0</v>
      </c>
      <c r="F5438" s="7" t="n">
        <v>1</v>
      </c>
      <c r="G5438" s="7" t="n">
        <v>76.19</v>
      </c>
    </row>
    <row r="5439" customFormat="false" ht="15" hidden="false" customHeight="false" outlineLevel="0" collapsed="false">
      <c r="A5439" s="7" t="s">
        <v>24</v>
      </c>
      <c r="B5439" s="7" t="s">
        <v>156</v>
      </c>
      <c r="C5439" s="7" t="s">
        <v>1270</v>
      </c>
      <c r="D5439" s="7" t="n">
        <v>0</v>
      </c>
      <c r="E5439" s="7" t="n">
        <v>0</v>
      </c>
      <c r="F5439" s="7" t="n">
        <v>1</v>
      </c>
      <c r="G5439" s="7" t="n">
        <v>84.66</v>
      </c>
    </row>
    <row r="5440" customFormat="false" ht="15" hidden="false" customHeight="false" outlineLevel="0" collapsed="false">
      <c r="A5440" s="7" t="s">
        <v>24</v>
      </c>
      <c r="B5440" s="7" t="s">
        <v>156</v>
      </c>
      <c r="C5440" s="7" t="s">
        <v>1270</v>
      </c>
      <c r="D5440" s="7" t="n">
        <v>0</v>
      </c>
      <c r="E5440" s="7" t="n">
        <v>0</v>
      </c>
      <c r="F5440" s="7" t="n">
        <v>1</v>
      </c>
      <c r="G5440" s="7" t="n">
        <v>84.66</v>
      </c>
    </row>
    <row r="5441" customFormat="false" ht="15" hidden="false" customHeight="false" outlineLevel="0" collapsed="false">
      <c r="A5441" s="7" t="s">
        <v>24</v>
      </c>
      <c r="B5441" s="7" t="s">
        <v>156</v>
      </c>
      <c r="C5441" s="7" t="s">
        <v>1270</v>
      </c>
      <c r="D5441" s="7" t="n">
        <v>0</v>
      </c>
      <c r="E5441" s="7" t="n">
        <v>0</v>
      </c>
      <c r="F5441" s="7" t="n">
        <v>1</v>
      </c>
      <c r="G5441" s="7" t="n">
        <v>84.66</v>
      </c>
    </row>
    <row r="5442" customFormat="false" ht="15" hidden="false" customHeight="false" outlineLevel="0" collapsed="false">
      <c r="A5442" s="7" t="s">
        <v>24</v>
      </c>
      <c r="B5442" s="7" t="s">
        <v>156</v>
      </c>
      <c r="C5442" s="7" t="s">
        <v>1270</v>
      </c>
      <c r="D5442" s="7" t="n">
        <v>0</v>
      </c>
      <c r="E5442" s="7" t="n">
        <v>0</v>
      </c>
      <c r="F5442" s="7" t="n">
        <v>1</v>
      </c>
      <c r="G5442" s="7" t="n">
        <v>71.97</v>
      </c>
    </row>
    <row r="5443" customFormat="false" ht="15" hidden="false" customHeight="false" outlineLevel="0" collapsed="false">
      <c r="A5443" s="7" t="s">
        <v>24</v>
      </c>
      <c r="B5443" s="7" t="s">
        <v>156</v>
      </c>
      <c r="C5443" s="7" t="s">
        <v>1270</v>
      </c>
      <c r="D5443" s="7" t="n">
        <v>0</v>
      </c>
      <c r="E5443" s="7" t="n">
        <v>0</v>
      </c>
      <c r="F5443" s="7" t="n">
        <v>2</v>
      </c>
      <c r="G5443" s="7" t="n">
        <v>160.85</v>
      </c>
    </row>
    <row r="5444" customFormat="false" ht="15" hidden="false" customHeight="false" outlineLevel="0" collapsed="false">
      <c r="A5444" s="7" t="s">
        <v>24</v>
      </c>
      <c r="B5444" s="7" t="s">
        <v>156</v>
      </c>
      <c r="C5444" s="7" t="s">
        <v>1270</v>
      </c>
      <c r="D5444" s="7" t="n">
        <v>0</v>
      </c>
      <c r="E5444" s="7" t="n">
        <v>0</v>
      </c>
      <c r="F5444" s="7" t="n">
        <v>1</v>
      </c>
      <c r="G5444" s="7" t="n">
        <v>76.2</v>
      </c>
    </row>
    <row r="5445" customFormat="false" ht="15" hidden="false" customHeight="false" outlineLevel="0" collapsed="false">
      <c r="A5445" s="7" t="s">
        <v>24</v>
      </c>
      <c r="B5445" s="7" t="s">
        <v>156</v>
      </c>
      <c r="C5445" s="7" t="s">
        <v>1270</v>
      </c>
      <c r="D5445" s="7" t="n">
        <v>0</v>
      </c>
      <c r="E5445" s="7" t="n">
        <v>0</v>
      </c>
      <c r="F5445" s="7" t="n">
        <v>2</v>
      </c>
      <c r="G5445" s="7" t="n">
        <v>152.4</v>
      </c>
    </row>
    <row r="5446" customFormat="false" ht="15" hidden="false" customHeight="false" outlineLevel="0" collapsed="false">
      <c r="A5446" s="7" t="s">
        <v>24</v>
      </c>
      <c r="B5446" s="7" t="s">
        <v>156</v>
      </c>
      <c r="C5446" s="7" t="s">
        <v>1270</v>
      </c>
      <c r="D5446" s="7" t="n">
        <v>0</v>
      </c>
      <c r="E5446" s="7" t="n">
        <v>0</v>
      </c>
      <c r="F5446" s="7" t="n">
        <v>1</v>
      </c>
      <c r="G5446" s="7" t="n">
        <v>84.67</v>
      </c>
    </row>
    <row r="5447" customFormat="false" ht="15" hidden="false" customHeight="false" outlineLevel="0" collapsed="false">
      <c r="A5447" s="7" t="s">
        <v>24</v>
      </c>
      <c r="B5447" s="7" t="s">
        <v>156</v>
      </c>
      <c r="C5447" s="7" t="s">
        <v>1270</v>
      </c>
      <c r="D5447" s="7" t="n">
        <v>0</v>
      </c>
      <c r="E5447" s="7" t="n">
        <v>0</v>
      </c>
      <c r="F5447" s="7" t="n">
        <v>1</v>
      </c>
      <c r="G5447" s="7" t="n">
        <v>84.66</v>
      </c>
    </row>
    <row r="5448" customFormat="false" ht="15" hidden="false" customHeight="false" outlineLevel="0" collapsed="false">
      <c r="A5448" s="7" t="s">
        <v>24</v>
      </c>
      <c r="B5448" s="7" t="s">
        <v>156</v>
      </c>
      <c r="C5448" s="7" t="s">
        <v>1270</v>
      </c>
      <c r="D5448" s="7" t="n">
        <v>0</v>
      </c>
      <c r="E5448" s="7" t="n">
        <v>0</v>
      </c>
      <c r="F5448" s="7" t="n">
        <v>1</v>
      </c>
      <c r="G5448" s="7" t="n">
        <v>84.66</v>
      </c>
    </row>
    <row r="5449" customFormat="false" ht="15" hidden="false" customHeight="false" outlineLevel="0" collapsed="false">
      <c r="A5449" s="7" t="s">
        <v>24</v>
      </c>
      <c r="B5449" s="7" t="s">
        <v>156</v>
      </c>
      <c r="C5449" s="7" t="s">
        <v>1270</v>
      </c>
      <c r="D5449" s="7" t="n">
        <v>0</v>
      </c>
      <c r="E5449" s="7" t="n">
        <v>0</v>
      </c>
      <c r="F5449" s="7" t="n">
        <v>1</v>
      </c>
      <c r="G5449" s="7" t="n">
        <v>84.66</v>
      </c>
    </row>
    <row r="5450" customFormat="false" ht="15" hidden="false" customHeight="false" outlineLevel="0" collapsed="false">
      <c r="A5450" s="7" t="s">
        <v>24</v>
      </c>
      <c r="B5450" s="7" t="s">
        <v>156</v>
      </c>
      <c r="C5450" s="7" t="s">
        <v>1270</v>
      </c>
      <c r="D5450" s="7" t="n">
        <v>0</v>
      </c>
      <c r="E5450" s="7" t="n">
        <v>0</v>
      </c>
      <c r="F5450" s="7" t="n">
        <v>2</v>
      </c>
      <c r="G5450" s="7" t="n">
        <v>156.63</v>
      </c>
    </row>
    <row r="5451" customFormat="false" ht="15" hidden="false" customHeight="false" outlineLevel="0" collapsed="false">
      <c r="A5451" s="7" t="s">
        <v>24</v>
      </c>
      <c r="B5451" s="7" t="s">
        <v>156</v>
      </c>
      <c r="C5451" s="7" t="s">
        <v>1270</v>
      </c>
      <c r="D5451" s="7" t="n">
        <v>0</v>
      </c>
      <c r="E5451" s="7" t="n">
        <v>0</v>
      </c>
      <c r="F5451" s="7" t="n">
        <v>1</v>
      </c>
      <c r="G5451" s="7" t="n">
        <v>84.66</v>
      </c>
    </row>
    <row r="5452" customFormat="false" ht="15" hidden="false" customHeight="false" outlineLevel="0" collapsed="false">
      <c r="A5452" s="7" t="s">
        <v>24</v>
      </c>
      <c r="B5452" s="7" t="s">
        <v>156</v>
      </c>
      <c r="C5452" s="7" t="s">
        <v>1270</v>
      </c>
      <c r="D5452" s="7" t="n">
        <v>0</v>
      </c>
      <c r="E5452" s="7" t="n">
        <v>0</v>
      </c>
      <c r="F5452" s="7" t="n">
        <v>1</v>
      </c>
      <c r="G5452" s="7" t="n">
        <v>84.66</v>
      </c>
    </row>
    <row r="5453" customFormat="false" ht="15" hidden="false" customHeight="false" outlineLevel="0" collapsed="false">
      <c r="A5453" s="7" t="s">
        <v>24</v>
      </c>
      <c r="B5453" s="7" t="s">
        <v>156</v>
      </c>
      <c r="C5453" s="7" t="s">
        <v>1270</v>
      </c>
      <c r="D5453" s="7" t="n">
        <v>0</v>
      </c>
      <c r="E5453" s="7" t="n">
        <v>0</v>
      </c>
      <c r="F5453" s="7" t="n">
        <v>1</v>
      </c>
      <c r="G5453" s="7" t="n">
        <v>84.66</v>
      </c>
    </row>
    <row r="5454" customFormat="false" ht="15" hidden="false" customHeight="false" outlineLevel="0" collapsed="false">
      <c r="A5454" s="7" t="s">
        <v>24</v>
      </c>
      <c r="B5454" s="7" t="s">
        <v>156</v>
      </c>
      <c r="C5454" s="7" t="s">
        <v>1270</v>
      </c>
      <c r="D5454" s="7" t="n">
        <v>0</v>
      </c>
      <c r="E5454" s="7" t="n">
        <v>0</v>
      </c>
      <c r="F5454" s="7" t="n">
        <v>1</v>
      </c>
      <c r="G5454" s="7" t="n">
        <v>84.66</v>
      </c>
    </row>
    <row r="5455" customFormat="false" ht="15" hidden="false" customHeight="false" outlineLevel="0" collapsed="false">
      <c r="A5455" s="7" t="s">
        <v>24</v>
      </c>
      <c r="B5455" s="7" t="s">
        <v>156</v>
      </c>
      <c r="C5455" s="7" t="s">
        <v>1270</v>
      </c>
      <c r="D5455" s="7" t="n">
        <v>0</v>
      </c>
      <c r="E5455" s="7" t="n">
        <v>0</v>
      </c>
      <c r="F5455" s="7" t="n">
        <v>1</v>
      </c>
      <c r="G5455" s="7" t="n">
        <v>84.66</v>
      </c>
    </row>
    <row r="5456" customFormat="false" ht="15" hidden="false" customHeight="false" outlineLevel="0" collapsed="false">
      <c r="A5456" s="7" t="s">
        <v>24</v>
      </c>
      <c r="B5456" s="7" t="s">
        <v>156</v>
      </c>
      <c r="C5456" s="7" t="s">
        <v>1270</v>
      </c>
      <c r="D5456" s="7" t="n">
        <v>0</v>
      </c>
      <c r="E5456" s="7" t="n">
        <v>0</v>
      </c>
      <c r="F5456" s="7" t="n">
        <v>4</v>
      </c>
      <c r="G5456" s="7" t="n">
        <v>338.64</v>
      </c>
    </row>
    <row r="5457" customFormat="false" ht="15" hidden="false" customHeight="false" outlineLevel="0" collapsed="false">
      <c r="A5457" s="7" t="s">
        <v>24</v>
      </c>
      <c r="B5457" s="7" t="s">
        <v>156</v>
      </c>
      <c r="C5457" s="7" t="s">
        <v>1270</v>
      </c>
      <c r="D5457" s="7" t="n">
        <v>0</v>
      </c>
      <c r="E5457" s="7" t="n">
        <v>0</v>
      </c>
      <c r="F5457" s="7" t="n">
        <v>1</v>
      </c>
      <c r="G5457" s="7" t="n">
        <v>84.66</v>
      </c>
    </row>
    <row r="5458" customFormat="false" ht="15" hidden="false" customHeight="false" outlineLevel="0" collapsed="false">
      <c r="A5458" s="7" t="s">
        <v>24</v>
      </c>
      <c r="B5458" s="7" t="s">
        <v>156</v>
      </c>
      <c r="C5458" s="7" t="s">
        <v>1270</v>
      </c>
      <c r="D5458" s="7" t="n">
        <v>0</v>
      </c>
      <c r="E5458" s="7" t="n">
        <v>0</v>
      </c>
      <c r="F5458" s="7" t="n">
        <v>1</v>
      </c>
      <c r="G5458" s="7" t="n">
        <v>84.67</v>
      </c>
    </row>
    <row r="5459" customFormat="false" ht="15" hidden="false" customHeight="false" outlineLevel="0" collapsed="false">
      <c r="A5459" s="7" t="s">
        <v>24</v>
      </c>
      <c r="B5459" s="7" t="s">
        <v>156</v>
      </c>
      <c r="C5459" s="7" t="s">
        <v>1270</v>
      </c>
      <c r="D5459" s="7" t="n">
        <v>0</v>
      </c>
      <c r="E5459" s="7" t="n">
        <v>0</v>
      </c>
      <c r="F5459" s="7" t="n">
        <v>1</v>
      </c>
      <c r="G5459" s="7" t="n">
        <v>84.65</v>
      </c>
    </row>
    <row r="5460" customFormat="false" ht="15" hidden="false" customHeight="false" outlineLevel="0" collapsed="false">
      <c r="A5460" s="7" t="s">
        <v>24</v>
      </c>
      <c r="B5460" s="7" t="s">
        <v>156</v>
      </c>
      <c r="C5460" s="7" t="s">
        <v>1270</v>
      </c>
      <c r="D5460" s="7" t="n">
        <v>0</v>
      </c>
      <c r="E5460" s="7" t="n">
        <v>0</v>
      </c>
      <c r="F5460" s="7" t="n">
        <v>1</v>
      </c>
      <c r="G5460" s="7" t="n">
        <v>84.66</v>
      </c>
    </row>
    <row r="5461" customFormat="false" ht="15" hidden="false" customHeight="false" outlineLevel="0" collapsed="false">
      <c r="A5461" s="7" t="s">
        <v>24</v>
      </c>
      <c r="B5461" s="7" t="s">
        <v>156</v>
      </c>
      <c r="C5461" s="7" t="s">
        <v>1270</v>
      </c>
      <c r="D5461" s="7" t="n">
        <v>0</v>
      </c>
      <c r="E5461" s="7" t="n">
        <v>0</v>
      </c>
      <c r="F5461" s="7" t="n">
        <v>1</v>
      </c>
      <c r="G5461" s="7" t="n">
        <v>84.66</v>
      </c>
    </row>
    <row r="5462" customFormat="false" ht="15" hidden="false" customHeight="false" outlineLevel="0" collapsed="false">
      <c r="A5462" s="7" t="s">
        <v>24</v>
      </c>
      <c r="B5462" s="7" t="s">
        <v>156</v>
      </c>
      <c r="C5462" s="7" t="s">
        <v>1270</v>
      </c>
      <c r="D5462" s="7" t="n">
        <v>0</v>
      </c>
      <c r="E5462" s="7" t="n">
        <v>0</v>
      </c>
      <c r="F5462" s="7" t="n">
        <v>1</v>
      </c>
      <c r="G5462" s="7" t="n">
        <v>84.66</v>
      </c>
    </row>
    <row r="5463" customFormat="false" ht="15" hidden="false" customHeight="false" outlineLevel="0" collapsed="false">
      <c r="A5463" s="7" t="s">
        <v>24</v>
      </c>
      <c r="B5463" s="7" t="s">
        <v>156</v>
      </c>
      <c r="C5463" s="7" t="s">
        <v>1270</v>
      </c>
      <c r="D5463" s="7" t="n">
        <v>0</v>
      </c>
      <c r="E5463" s="7" t="n">
        <v>0</v>
      </c>
      <c r="F5463" s="7" t="n">
        <v>1</v>
      </c>
      <c r="G5463" s="7" t="n">
        <v>76.2</v>
      </c>
    </row>
    <row r="5464" customFormat="false" ht="15" hidden="false" customHeight="false" outlineLevel="0" collapsed="false">
      <c r="A5464" s="7" t="s">
        <v>24</v>
      </c>
      <c r="B5464" s="7" t="s">
        <v>156</v>
      </c>
      <c r="C5464" s="7" t="s">
        <v>1270</v>
      </c>
      <c r="D5464" s="7" t="n">
        <v>0</v>
      </c>
      <c r="E5464" s="7" t="n">
        <v>0</v>
      </c>
      <c r="F5464" s="7" t="n">
        <v>1</v>
      </c>
      <c r="G5464" s="7" t="n">
        <v>84.66</v>
      </c>
    </row>
    <row r="5465" customFormat="false" ht="15" hidden="false" customHeight="false" outlineLevel="0" collapsed="false">
      <c r="A5465" s="7" t="s">
        <v>24</v>
      </c>
      <c r="B5465" s="7" t="s">
        <v>156</v>
      </c>
      <c r="C5465" s="7" t="s">
        <v>1270</v>
      </c>
      <c r="D5465" s="7" t="n">
        <v>0</v>
      </c>
      <c r="E5465" s="7" t="n">
        <v>0</v>
      </c>
      <c r="F5465" s="7" t="n">
        <v>2</v>
      </c>
      <c r="G5465" s="7" t="n">
        <v>160.85</v>
      </c>
    </row>
    <row r="5466" customFormat="false" ht="15" hidden="false" customHeight="false" outlineLevel="0" collapsed="false">
      <c r="A5466" s="7" t="s">
        <v>24</v>
      </c>
      <c r="B5466" s="7" t="s">
        <v>156</v>
      </c>
      <c r="C5466" s="7" t="s">
        <v>1270</v>
      </c>
      <c r="D5466" s="7" t="n">
        <v>0</v>
      </c>
      <c r="E5466" s="7" t="n">
        <v>0</v>
      </c>
      <c r="F5466" s="7" t="n">
        <v>1</v>
      </c>
      <c r="G5466" s="7" t="n">
        <v>80.43</v>
      </c>
    </row>
    <row r="5467" customFormat="false" ht="15" hidden="false" customHeight="false" outlineLevel="0" collapsed="false">
      <c r="A5467" s="7" t="s">
        <v>24</v>
      </c>
      <c r="B5467" s="7" t="s">
        <v>253</v>
      </c>
      <c r="C5467" s="7" t="s">
        <v>1142</v>
      </c>
      <c r="D5467" s="7" t="n">
        <v>0</v>
      </c>
      <c r="E5467" s="7" t="n">
        <v>0</v>
      </c>
      <c r="F5467" s="7" t="n">
        <v>1</v>
      </c>
      <c r="G5467" s="7" t="n">
        <v>76.19</v>
      </c>
    </row>
    <row r="5468" customFormat="false" ht="15" hidden="false" customHeight="false" outlineLevel="0" collapsed="false">
      <c r="A5468" s="7" t="s">
        <v>24</v>
      </c>
      <c r="B5468" s="7" t="s">
        <v>253</v>
      </c>
      <c r="C5468" s="7" t="s">
        <v>1142</v>
      </c>
      <c r="D5468" s="7" t="n">
        <v>0</v>
      </c>
      <c r="E5468" s="7" t="n">
        <v>0</v>
      </c>
      <c r="F5468" s="7" t="n">
        <v>1</v>
      </c>
      <c r="G5468" s="7" t="n">
        <v>76.19</v>
      </c>
    </row>
    <row r="5469" customFormat="false" ht="15" hidden="false" customHeight="false" outlineLevel="0" collapsed="false">
      <c r="A5469" s="7" t="s">
        <v>24</v>
      </c>
      <c r="B5469" s="7" t="s">
        <v>253</v>
      </c>
      <c r="C5469" s="7" t="s">
        <v>1142</v>
      </c>
      <c r="D5469" s="7" t="n">
        <v>8</v>
      </c>
      <c r="E5469" s="7" t="n">
        <v>449.6</v>
      </c>
      <c r="F5469" s="7" t="n">
        <v>0</v>
      </c>
      <c r="G5469" s="7" t="n">
        <v>0</v>
      </c>
    </row>
    <row r="5470" customFormat="false" ht="15" hidden="false" customHeight="false" outlineLevel="0" collapsed="false">
      <c r="A5470" s="7" t="s">
        <v>24</v>
      </c>
      <c r="B5470" s="7" t="s">
        <v>253</v>
      </c>
      <c r="C5470" s="7" t="s">
        <v>1142</v>
      </c>
      <c r="D5470" s="7" t="n">
        <v>0</v>
      </c>
      <c r="E5470" s="7" t="n">
        <v>0</v>
      </c>
      <c r="F5470" s="7" t="n">
        <v>1</v>
      </c>
      <c r="G5470" s="7" t="n">
        <v>76.19</v>
      </c>
    </row>
    <row r="5471" customFormat="false" ht="15" hidden="false" customHeight="false" outlineLevel="0" collapsed="false">
      <c r="A5471" s="7" t="s">
        <v>24</v>
      </c>
      <c r="B5471" s="7" t="s">
        <v>253</v>
      </c>
      <c r="C5471" s="7" t="s">
        <v>1142</v>
      </c>
      <c r="D5471" s="7" t="n">
        <v>0</v>
      </c>
      <c r="E5471" s="7" t="n">
        <v>0</v>
      </c>
      <c r="F5471" s="7" t="n">
        <v>1</v>
      </c>
      <c r="G5471" s="7" t="n">
        <v>76.19</v>
      </c>
    </row>
    <row r="5472" customFormat="false" ht="15" hidden="false" customHeight="false" outlineLevel="0" collapsed="false">
      <c r="A5472" s="7" t="s">
        <v>24</v>
      </c>
      <c r="B5472" s="7" t="s">
        <v>253</v>
      </c>
      <c r="C5472" s="7" t="s">
        <v>1142</v>
      </c>
      <c r="D5472" s="7" t="n">
        <v>0</v>
      </c>
      <c r="E5472" s="7" t="n">
        <v>0</v>
      </c>
      <c r="F5472" s="7" t="n">
        <v>1</v>
      </c>
      <c r="G5472" s="7" t="n">
        <v>76.19</v>
      </c>
    </row>
    <row r="5473" customFormat="false" ht="15" hidden="false" customHeight="false" outlineLevel="0" collapsed="false">
      <c r="A5473" s="7" t="s">
        <v>24</v>
      </c>
      <c r="B5473" s="7" t="s">
        <v>253</v>
      </c>
      <c r="C5473" s="7" t="s">
        <v>1142</v>
      </c>
      <c r="D5473" s="7" t="n">
        <v>0</v>
      </c>
      <c r="E5473" s="7" t="n">
        <v>0</v>
      </c>
      <c r="F5473" s="7" t="n">
        <v>1</v>
      </c>
      <c r="G5473" s="7" t="n">
        <v>76.18</v>
      </c>
    </row>
    <row r="5474" customFormat="false" ht="15" hidden="false" customHeight="false" outlineLevel="0" collapsed="false">
      <c r="A5474" s="7" t="s">
        <v>24</v>
      </c>
      <c r="B5474" s="7" t="s">
        <v>253</v>
      </c>
      <c r="C5474" s="7" t="s">
        <v>1142</v>
      </c>
      <c r="D5474" s="7" t="n">
        <v>0</v>
      </c>
      <c r="E5474" s="7" t="n">
        <v>0</v>
      </c>
      <c r="F5474" s="7" t="n">
        <v>1</v>
      </c>
      <c r="G5474" s="7" t="n">
        <v>76.18</v>
      </c>
    </row>
    <row r="5475" customFormat="false" ht="15" hidden="false" customHeight="false" outlineLevel="0" collapsed="false">
      <c r="A5475" s="7" t="s">
        <v>24</v>
      </c>
      <c r="B5475" s="7" t="s">
        <v>253</v>
      </c>
      <c r="C5475" s="7" t="s">
        <v>1142</v>
      </c>
      <c r="D5475" s="7" t="n">
        <v>0</v>
      </c>
      <c r="E5475" s="7" t="n">
        <v>0</v>
      </c>
      <c r="F5475" s="7" t="n">
        <v>1</v>
      </c>
      <c r="G5475" s="7" t="n">
        <v>76.18</v>
      </c>
    </row>
    <row r="5476" customFormat="false" ht="15" hidden="false" customHeight="false" outlineLevel="0" collapsed="false">
      <c r="A5476" s="7" t="s">
        <v>24</v>
      </c>
      <c r="B5476" s="7" t="s">
        <v>253</v>
      </c>
      <c r="C5476" s="7" t="s">
        <v>1142</v>
      </c>
      <c r="D5476" s="7" t="n">
        <v>0</v>
      </c>
      <c r="E5476" s="7" t="n">
        <v>0</v>
      </c>
      <c r="F5476" s="7" t="n">
        <v>1</v>
      </c>
      <c r="G5476" s="7" t="n">
        <v>76.18</v>
      </c>
    </row>
    <row r="5477" customFormat="false" ht="15" hidden="false" customHeight="false" outlineLevel="0" collapsed="false">
      <c r="A5477" s="7" t="s">
        <v>24</v>
      </c>
      <c r="B5477" s="7" t="s">
        <v>253</v>
      </c>
      <c r="C5477" s="7" t="s">
        <v>1142</v>
      </c>
      <c r="D5477" s="7" t="n">
        <v>0</v>
      </c>
      <c r="E5477" s="7" t="n">
        <v>0</v>
      </c>
      <c r="F5477" s="7" t="n">
        <v>2</v>
      </c>
      <c r="G5477" s="7" t="n">
        <v>144.76</v>
      </c>
    </row>
    <row r="5478" customFormat="false" ht="15" hidden="false" customHeight="false" outlineLevel="0" collapsed="false">
      <c r="A5478" s="7" t="s">
        <v>24</v>
      </c>
      <c r="B5478" s="7" t="s">
        <v>253</v>
      </c>
      <c r="C5478" s="7" t="s">
        <v>1142</v>
      </c>
      <c r="D5478" s="7" t="n">
        <v>0</v>
      </c>
      <c r="E5478" s="7" t="n">
        <v>0</v>
      </c>
      <c r="F5478" s="7" t="n">
        <v>1</v>
      </c>
      <c r="G5478" s="7" t="n">
        <v>76.19</v>
      </c>
    </row>
    <row r="5479" customFormat="false" ht="15" hidden="false" customHeight="false" outlineLevel="0" collapsed="false">
      <c r="A5479" s="7" t="s">
        <v>24</v>
      </c>
      <c r="B5479" s="7" t="s">
        <v>253</v>
      </c>
      <c r="C5479" s="7" t="s">
        <v>1142</v>
      </c>
      <c r="D5479" s="7" t="n">
        <v>0</v>
      </c>
      <c r="E5479" s="7" t="n">
        <v>0</v>
      </c>
      <c r="F5479" s="7" t="n">
        <v>2</v>
      </c>
      <c r="G5479" s="7" t="n">
        <v>152.38</v>
      </c>
    </row>
    <row r="5480" customFormat="false" ht="15" hidden="false" customHeight="false" outlineLevel="0" collapsed="false">
      <c r="A5480" s="7" t="s">
        <v>24</v>
      </c>
      <c r="B5480" s="7" t="s">
        <v>253</v>
      </c>
      <c r="C5480" s="7" t="s">
        <v>1142</v>
      </c>
      <c r="D5480" s="7" t="n">
        <v>0</v>
      </c>
      <c r="E5480" s="7" t="n">
        <v>0</v>
      </c>
      <c r="F5480" s="7" t="n">
        <v>3</v>
      </c>
      <c r="G5480" s="7" t="n">
        <v>228.57</v>
      </c>
    </row>
    <row r="5481" customFormat="false" ht="15" hidden="false" customHeight="false" outlineLevel="0" collapsed="false">
      <c r="A5481" s="7" t="s">
        <v>24</v>
      </c>
      <c r="B5481" s="7" t="s">
        <v>253</v>
      </c>
      <c r="C5481" s="7" t="s">
        <v>1142</v>
      </c>
      <c r="D5481" s="7" t="n">
        <v>0</v>
      </c>
      <c r="E5481" s="7" t="n">
        <v>0</v>
      </c>
      <c r="F5481" s="7" t="n">
        <v>1</v>
      </c>
      <c r="G5481" s="7" t="n">
        <v>68.57</v>
      </c>
    </row>
    <row r="5482" customFormat="false" ht="15" hidden="false" customHeight="false" outlineLevel="0" collapsed="false">
      <c r="A5482" s="7" t="s">
        <v>24</v>
      </c>
      <c r="B5482" s="7" t="s">
        <v>253</v>
      </c>
      <c r="C5482" s="7" t="s">
        <v>1142</v>
      </c>
      <c r="D5482" s="7" t="n">
        <v>70</v>
      </c>
      <c r="E5482" s="7" t="n">
        <v>5036.12</v>
      </c>
      <c r="F5482" s="7" t="n">
        <v>46</v>
      </c>
      <c r="G5482" s="7" t="n">
        <v>3432.35</v>
      </c>
    </row>
    <row r="5483" customFormat="false" ht="15" hidden="false" customHeight="false" outlineLevel="0" collapsed="false">
      <c r="A5483" s="7" t="s">
        <v>24</v>
      </c>
      <c r="B5483" s="7" t="s">
        <v>253</v>
      </c>
      <c r="C5483" s="7" t="s">
        <v>1142</v>
      </c>
      <c r="D5483" s="7" t="n">
        <v>0</v>
      </c>
      <c r="E5483" s="7" t="n">
        <v>0</v>
      </c>
      <c r="F5483" s="7" t="n">
        <v>1</v>
      </c>
      <c r="G5483" s="7" t="n">
        <v>68.57</v>
      </c>
    </row>
    <row r="5484" customFormat="false" ht="15" hidden="false" customHeight="false" outlineLevel="0" collapsed="false">
      <c r="A5484" s="7" t="s">
        <v>24</v>
      </c>
      <c r="B5484" s="7" t="s">
        <v>253</v>
      </c>
      <c r="C5484" s="7" t="s">
        <v>1142</v>
      </c>
      <c r="D5484" s="7" t="n">
        <v>0</v>
      </c>
      <c r="E5484" s="7" t="n">
        <v>0</v>
      </c>
      <c r="F5484" s="7" t="n">
        <v>1</v>
      </c>
      <c r="G5484" s="7" t="n">
        <v>68.57</v>
      </c>
    </row>
    <row r="5485" customFormat="false" ht="15" hidden="false" customHeight="false" outlineLevel="0" collapsed="false">
      <c r="A5485" s="7" t="s">
        <v>24</v>
      </c>
      <c r="B5485" s="7" t="s">
        <v>253</v>
      </c>
      <c r="C5485" s="7" t="s">
        <v>1142</v>
      </c>
      <c r="D5485" s="7" t="n">
        <v>0</v>
      </c>
      <c r="E5485" s="7" t="n">
        <v>0</v>
      </c>
      <c r="F5485" s="7" t="n">
        <v>1</v>
      </c>
      <c r="G5485" s="7" t="n">
        <v>76.18</v>
      </c>
    </row>
    <row r="5486" customFormat="false" ht="15" hidden="false" customHeight="false" outlineLevel="0" collapsed="false">
      <c r="A5486" s="7" t="s">
        <v>24</v>
      </c>
      <c r="B5486" s="7" t="s">
        <v>253</v>
      </c>
      <c r="C5486" s="7" t="s">
        <v>1142</v>
      </c>
      <c r="D5486" s="7" t="n">
        <v>0</v>
      </c>
      <c r="E5486" s="7" t="n">
        <v>0</v>
      </c>
      <c r="F5486" s="7" t="n">
        <v>1</v>
      </c>
      <c r="G5486" s="7" t="n">
        <v>64.76</v>
      </c>
    </row>
    <row r="5487" customFormat="false" ht="15" hidden="false" customHeight="false" outlineLevel="0" collapsed="false">
      <c r="A5487" s="7" t="s">
        <v>24</v>
      </c>
      <c r="B5487" s="7" t="s">
        <v>253</v>
      </c>
      <c r="C5487" s="7" t="s">
        <v>1142</v>
      </c>
      <c r="D5487" s="7" t="n">
        <v>0</v>
      </c>
      <c r="E5487" s="7" t="n">
        <v>0</v>
      </c>
      <c r="F5487" s="7" t="n">
        <v>1</v>
      </c>
      <c r="G5487" s="7" t="n">
        <v>76.18</v>
      </c>
    </row>
    <row r="5488" customFormat="false" ht="15" hidden="false" customHeight="false" outlineLevel="0" collapsed="false">
      <c r="A5488" s="7" t="s">
        <v>24</v>
      </c>
      <c r="B5488" s="7" t="s">
        <v>253</v>
      </c>
      <c r="C5488" s="7" t="s">
        <v>1142</v>
      </c>
      <c r="D5488" s="7" t="n">
        <v>0</v>
      </c>
      <c r="E5488" s="7" t="n">
        <v>0</v>
      </c>
      <c r="F5488" s="7" t="n">
        <v>1</v>
      </c>
      <c r="G5488" s="7" t="n">
        <v>68.57</v>
      </c>
    </row>
    <row r="5489" customFormat="false" ht="15" hidden="false" customHeight="false" outlineLevel="0" collapsed="false">
      <c r="A5489" s="7" t="s">
        <v>24</v>
      </c>
      <c r="B5489" s="7" t="s">
        <v>253</v>
      </c>
      <c r="C5489" s="7" t="s">
        <v>1142</v>
      </c>
      <c r="D5489" s="7" t="n">
        <v>0</v>
      </c>
      <c r="E5489" s="7" t="n">
        <v>0</v>
      </c>
      <c r="F5489" s="7" t="n">
        <v>2</v>
      </c>
      <c r="G5489" s="7" t="n">
        <v>152.37</v>
      </c>
    </row>
    <row r="5490" customFormat="false" ht="15" hidden="false" customHeight="false" outlineLevel="0" collapsed="false">
      <c r="A5490" s="7" t="s">
        <v>24</v>
      </c>
      <c r="B5490" s="7" t="s">
        <v>253</v>
      </c>
      <c r="C5490" s="7" t="s">
        <v>1142</v>
      </c>
      <c r="D5490" s="7" t="n">
        <v>0</v>
      </c>
      <c r="E5490" s="7" t="n">
        <v>0</v>
      </c>
      <c r="F5490" s="7" t="n">
        <v>1</v>
      </c>
      <c r="G5490" s="7" t="n">
        <v>76.18</v>
      </c>
    </row>
    <row r="5491" customFormat="false" ht="15" hidden="false" customHeight="false" outlineLevel="0" collapsed="false">
      <c r="A5491" s="7" t="s">
        <v>24</v>
      </c>
      <c r="B5491" s="7" t="s">
        <v>253</v>
      </c>
      <c r="C5491" s="7" t="s">
        <v>1142</v>
      </c>
      <c r="D5491" s="7" t="n">
        <v>0</v>
      </c>
      <c r="E5491" s="7" t="n">
        <v>0</v>
      </c>
      <c r="F5491" s="7" t="n">
        <v>1</v>
      </c>
      <c r="G5491" s="7" t="n">
        <v>76.18</v>
      </c>
    </row>
    <row r="5492" customFormat="false" ht="15" hidden="false" customHeight="false" outlineLevel="0" collapsed="false">
      <c r="A5492" s="7" t="s">
        <v>24</v>
      </c>
      <c r="B5492" s="7" t="s">
        <v>253</v>
      </c>
      <c r="C5492" s="7" t="s">
        <v>1142</v>
      </c>
      <c r="D5492" s="7" t="n">
        <v>0</v>
      </c>
      <c r="E5492" s="7" t="n">
        <v>0</v>
      </c>
      <c r="F5492" s="7" t="n">
        <v>1</v>
      </c>
      <c r="G5492" s="7" t="n">
        <v>64.76</v>
      </c>
    </row>
    <row r="5493" customFormat="false" ht="15" hidden="false" customHeight="false" outlineLevel="0" collapsed="false">
      <c r="A5493" s="7" t="s">
        <v>24</v>
      </c>
      <c r="B5493" s="7" t="s">
        <v>253</v>
      </c>
      <c r="C5493" s="7" t="s">
        <v>1142</v>
      </c>
      <c r="D5493" s="7" t="n">
        <v>0</v>
      </c>
      <c r="E5493" s="7" t="n">
        <v>0</v>
      </c>
      <c r="F5493" s="7" t="n">
        <v>2</v>
      </c>
      <c r="G5493" s="7" t="n">
        <v>144.76</v>
      </c>
    </row>
    <row r="5494" customFormat="false" ht="15" hidden="false" customHeight="false" outlineLevel="0" collapsed="false">
      <c r="A5494" s="7" t="s">
        <v>24</v>
      </c>
      <c r="B5494" s="7" t="s">
        <v>253</v>
      </c>
      <c r="C5494" s="7" t="s">
        <v>1142</v>
      </c>
      <c r="D5494" s="7" t="n">
        <v>0</v>
      </c>
      <c r="E5494" s="7" t="n">
        <v>0</v>
      </c>
      <c r="F5494" s="7" t="n">
        <v>1</v>
      </c>
      <c r="G5494" s="7" t="n">
        <v>76.18</v>
      </c>
    </row>
    <row r="5495" customFormat="false" ht="15" hidden="false" customHeight="false" outlineLevel="0" collapsed="false">
      <c r="A5495" s="7" t="s">
        <v>24</v>
      </c>
      <c r="B5495" s="7" t="s">
        <v>253</v>
      </c>
      <c r="C5495" s="7" t="s">
        <v>1142</v>
      </c>
      <c r="D5495" s="7" t="n">
        <v>0</v>
      </c>
      <c r="E5495" s="7" t="n">
        <v>0</v>
      </c>
      <c r="F5495" s="7" t="n">
        <v>1</v>
      </c>
      <c r="G5495" s="7" t="n">
        <v>76.19</v>
      </c>
    </row>
    <row r="5496" customFormat="false" ht="15" hidden="false" customHeight="false" outlineLevel="0" collapsed="false">
      <c r="A5496" s="7" t="s">
        <v>24</v>
      </c>
      <c r="B5496" s="7" t="s">
        <v>253</v>
      </c>
      <c r="C5496" s="7" t="s">
        <v>1142</v>
      </c>
      <c r="D5496" s="7" t="n">
        <v>0</v>
      </c>
      <c r="E5496" s="7" t="n">
        <v>0</v>
      </c>
      <c r="F5496" s="7" t="n">
        <v>1</v>
      </c>
      <c r="G5496" s="7" t="n">
        <v>76.18</v>
      </c>
    </row>
    <row r="5497" customFormat="false" ht="15" hidden="false" customHeight="false" outlineLevel="0" collapsed="false">
      <c r="A5497" s="7" t="s">
        <v>24</v>
      </c>
      <c r="B5497" s="7" t="s">
        <v>253</v>
      </c>
      <c r="C5497" s="7" t="s">
        <v>1142</v>
      </c>
      <c r="D5497" s="7" t="n">
        <v>0</v>
      </c>
      <c r="E5497" s="7" t="n">
        <v>0</v>
      </c>
      <c r="F5497" s="7" t="n">
        <v>1</v>
      </c>
      <c r="G5497" s="7" t="n">
        <v>76.19</v>
      </c>
    </row>
    <row r="5498" customFormat="false" ht="15" hidden="false" customHeight="false" outlineLevel="0" collapsed="false">
      <c r="A5498" s="7" t="s">
        <v>24</v>
      </c>
      <c r="B5498" s="7" t="s">
        <v>253</v>
      </c>
      <c r="C5498" s="7" t="s">
        <v>1142</v>
      </c>
      <c r="D5498" s="7" t="n">
        <v>0</v>
      </c>
      <c r="E5498" s="7" t="n">
        <v>0</v>
      </c>
      <c r="F5498" s="7" t="n">
        <v>1</v>
      </c>
      <c r="G5498" s="7" t="n">
        <v>76.19</v>
      </c>
    </row>
    <row r="5499" customFormat="false" ht="15" hidden="false" customHeight="false" outlineLevel="0" collapsed="false">
      <c r="A5499" s="7" t="s">
        <v>24</v>
      </c>
      <c r="B5499" s="7" t="s">
        <v>253</v>
      </c>
      <c r="C5499" s="7" t="s">
        <v>1142</v>
      </c>
      <c r="D5499" s="7" t="n">
        <v>0</v>
      </c>
      <c r="E5499" s="7" t="n">
        <v>0</v>
      </c>
      <c r="F5499" s="7" t="n">
        <v>1</v>
      </c>
      <c r="G5499" s="7" t="n">
        <v>76.19</v>
      </c>
    </row>
    <row r="5500" customFormat="false" ht="15" hidden="false" customHeight="false" outlineLevel="0" collapsed="false">
      <c r="A5500" s="7" t="s">
        <v>24</v>
      </c>
      <c r="B5500" s="7" t="s">
        <v>253</v>
      </c>
      <c r="C5500" s="7" t="s">
        <v>1142</v>
      </c>
      <c r="D5500" s="7" t="n">
        <v>0</v>
      </c>
      <c r="E5500" s="7" t="n">
        <v>0</v>
      </c>
      <c r="F5500" s="7" t="n">
        <v>1</v>
      </c>
      <c r="G5500" s="7" t="n">
        <v>76.18</v>
      </c>
    </row>
    <row r="5501" customFormat="false" ht="15" hidden="false" customHeight="false" outlineLevel="0" collapsed="false">
      <c r="A5501" s="7" t="s">
        <v>24</v>
      </c>
      <c r="B5501" s="7" t="s">
        <v>253</v>
      </c>
      <c r="C5501" s="7" t="s">
        <v>1142</v>
      </c>
      <c r="D5501" s="7" t="n">
        <v>0</v>
      </c>
      <c r="E5501" s="7" t="n">
        <v>0</v>
      </c>
      <c r="F5501" s="7" t="n">
        <v>2</v>
      </c>
      <c r="G5501" s="7" t="n">
        <v>152.38</v>
      </c>
    </row>
    <row r="5502" customFormat="false" ht="15" hidden="false" customHeight="false" outlineLevel="0" collapsed="false">
      <c r="A5502" s="7" t="s">
        <v>24</v>
      </c>
      <c r="B5502" s="7" t="s">
        <v>253</v>
      </c>
      <c r="C5502" s="7" t="s">
        <v>1142</v>
      </c>
      <c r="D5502" s="7" t="n">
        <v>0</v>
      </c>
      <c r="E5502" s="7" t="n">
        <v>0</v>
      </c>
      <c r="F5502" s="7" t="n">
        <v>2</v>
      </c>
      <c r="G5502" s="7" t="n">
        <v>152.38</v>
      </c>
    </row>
    <row r="5503" customFormat="false" ht="15" hidden="false" customHeight="false" outlineLevel="0" collapsed="false">
      <c r="A5503" s="7" t="s">
        <v>24</v>
      </c>
      <c r="B5503" s="7" t="s">
        <v>253</v>
      </c>
      <c r="C5503" s="7" t="s">
        <v>1142</v>
      </c>
      <c r="D5503" s="7" t="n">
        <v>0</v>
      </c>
      <c r="E5503" s="7" t="n">
        <v>0</v>
      </c>
      <c r="F5503" s="7" t="n">
        <v>2</v>
      </c>
      <c r="G5503" s="7" t="n">
        <v>140.96</v>
      </c>
    </row>
    <row r="5504" customFormat="false" ht="15" hidden="false" customHeight="false" outlineLevel="0" collapsed="false">
      <c r="A5504" s="7" t="s">
        <v>24</v>
      </c>
      <c r="B5504" s="7" t="s">
        <v>441</v>
      </c>
      <c r="C5504" s="7" t="s">
        <v>1185</v>
      </c>
      <c r="D5504" s="7" t="n">
        <v>0</v>
      </c>
      <c r="E5504" s="7" t="n">
        <v>0</v>
      </c>
      <c r="F5504" s="7" t="n">
        <v>1</v>
      </c>
      <c r="G5504" s="7" t="n">
        <v>60.94</v>
      </c>
    </row>
    <row r="5505" customFormat="false" ht="15" hidden="false" customHeight="false" outlineLevel="0" collapsed="false">
      <c r="A5505" s="7" t="s">
        <v>24</v>
      </c>
      <c r="B5505" s="7" t="s">
        <v>441</v>
      </c>
      <c r="C5505" s="7" t="s">
        <v>1185</v>
      </c>
      <c r="D5505" s="7" t="n">
        <v>0</v>
      </c>
      <c r="E5505" s="7" t="n">
        <v>0</v>
      </c>
      <c r="F5505" s="7" t="n">
        <v>1</v>
      </c>
      <c r="G5505" s="7" t="n">
        <v>60.94</v>
      </c>
    </row>
    <row r="5506" customFormat="false" ht="15" hidden="false" customHeight="false" outlineLevel="0" collapsed="false">
      <c r="A5506" s="7" t="s">
        <v>24</v>
      </c>
      <c r="B5506" s="7" t="s">
        <v>441</v>
      </c>
      <c r="C5506" s="7" t="s">
        <v>1185</v>
      </c>
      <c r="D5506" s="7" t="n">
        <v>12</v>
      </c>
      <c r="E5506" s="7" t="n">
        <v>765.12</v>
      </c>
      <c r="F5506" s="7" t="n">
        <v>5</v>
      </c>
      <c r="G5506" s="7" t="n">
        <v>325.01</v>
      </c>
    </row>
    <row r="5507" customFormat="false" ht="15" hidden="false" customHeight="false" outlineLevel="0" collapsed="false">
      <c r="A5507" s="7" t="s">
        <v>24</v>
      </c>
      <c r="B5507" s="7" t="s">
        <v>441</v>
      </c>
      <c r="C5507" s="7" t="s">
        <v>1185</v>
      </c>
      <c r="D5507" s="7" t="n">
        <v>0</v>
      </c>
      <c r="E5507" s="7" t="n">
        <v>0</v>
      </c>
      <c r="F5507" s="7" t="n">
        <v>1</v>
      </c>
      <c r="G5507" s="7" t="n">
        <v>67.71</v>
      </c>
    </row>
    <row r="5508" customFormat="false" ht="15" hidden="false" customHeight="false" outlineLevel="0" collapsed="false">
      <c r="A5508" s="7" t="s">
        <v>24</v>
      </c>
      <c r="B5508" s="7" t="s">
        <v>441</v>
      </c>
      <c r="C5508" s="7" t="s">
        <v>1185</v>
      </c>
      <c r="D5508" s="7" t="n">
        <v>0</v>
      </c>
      <c r="E5508" s="7" t="n">
        <v>0</v>
      </c>
      <c r="F5508" s="7" t="n">
        <v>2</v>
      </c>
      <c r="G5508" s="7" t="n">
        <v>121.89</v>
      </c>
    </row>
    <row r="5509" customFormat="false" ht="15" hidden="false" customHeight="false" outlineLevel="0" collapsed="false">
      <c r="A5509" s="7" t="s">
        <v>24</v>
      </c>
      <c r="B5509" s="7" t="s">
        <v>441</v>
      </c>
      <c r="C5509" s="7" t="s">
        <v>1185</v>
      </c>
      <c r="D5509" s="7" t="n">
        <v>0</v>
      </c>
      <c r="E5509" s="7" t="n">
        <v>0</v>
      </c>
      <c r="F5509" s="7" t="n">
        <v>1</v>
      </c>
      <c r="G5509" s="7" t="n">
        <v>57.56</v>
      </c>
    </row>
    <row r="5510" customFormat="false" ht="15" hidden="false" customHeight="false" outlineLevel="0" collapsed="false">
      <c r="A5510" s="7" t="s">
        <v>24</v>
      </c>
      <c r="B5510" s="7" t="s">
        <v>441</v>
      </c>
      <c r="C5510" s="7" t="s">
        <v>1185</v>
      </c>
      <c r="D5510" s="7" t="n">
        <v>0</v>
      </c>
      <c r="E5510" s="7" t="n">
        <v>0</v>
      </c>
      <c r="F5510" s="7" t="n">
        <v>2</v>
      </c>
      <c r="G5510" s="7" t="n">
        <v>135.42</v>
      </c>
    </row>
    <row r="5511" customFormat="false" ht="15" hidden="false" customHeight="false" outlineLevel="0" collapsed="false">
      <c r="A5511" s="7" t="s">
        <v>24</v>
      </c>
      <c r="B5511" s="7" t="s">
        <v>441</v>
      </c>
      <c r="C5511" s="7" t="s">
        <v>1185</v>
      </c>
      <c r="D5511" s="7" t="n">
        <v>0</v>
      </c>
      <c r="E5511" s="7" t="n">
        <v>0</v>
      </c>
      <c r="F5511" s="7" t="n">
        <v>1</v>
      </c>
      <c r="G5511" s="7" t="n">
        <v>60.94</v>
      </c>
    </row>
    <row r="5512" customFormat="false" ht="15" hidden="false" customHeight="false" outlineLevel="0" collapsed="false">
      <c r="A5512" s="7" t="s">
        <v>24</v>
      </c>
      <c r="B5512" s="7" t="s">
        <v>441</v>
      </c>
      <c r="C5512" s="7" t="s">
        <v>1185</v>
      </c>
      <c r="D5512" s="7" t="n">
        <v>0</v>
      </c>
      <c r="E5512" s="7" t="n">
        <v>0</v>
      </c>
      <c r="F5512" s="7" t="n">
        <v>1</v>
      </c>
      <c r="G5512" s="7" t="n">
        <v>60.94</v>
      </c>
    </row>
    <row r="5513" customFormat="false" ht="15" hidden="false" customHeight="false" outlineLevel="0" collapsed="false">
      <c r="A5513" s="7" t="s">
        <v>24</v>
      </c>
      <c r="B5513" s="7" t="s">
        <v>441</v>
      </c>
      <c r="C5513" s="7" t="s">
        <v>1185</v>
      </c>
      <c r="D5513" s="7" t="n">
        <v>0</v>
      </c>
      <c r="E5513" s="7" t="n">
        <v>0</v>
      </c>
      <c r="F5513" s="7" t="n">
        <v>1</v>
      </c>
      <c r="G5513" s="7" t="n">
        <v>67.71</v>
      </c>
    </row>
    <row r="5514" customFormat="false" ht="15" hidden="false" customHeight="false" outlineLevel="0" collapsed="false">
      <c r="A5514" s="7" t="s">
        <v>24</v>
      </c>
      <c r="B5514" s="7" t="s">
        <v>441</v>
      </c>
      <c r="C5514" s="7" t="s">
        <v>1185</v>
      </c>
      <c r="D5514" s="7" t="n">
        <v>0</v>
      </c>
      <c r="E5514" s="7" t="n">
        <v>0</v>
      </c>
      <c r="F5514" s="7" t="n">
        <v>2</v>
      </c>
      <c r="G5514" s="7" t="n">
        <v>135.43</v>
      </c>
    </row>
    <row r="5515" customFormat="false" ht="15" hidden="false" customHeight="false" outlineLevel="0" collapsed="false">
      <c r="A5515" s="7" t="s">
        <v>24</v>
      </c>
      <c r="B5515" s="7" t="s">
        <v>441</v>
      </c>
      <c r="C5515" s="7" t="s">
        <v>1185</v>
      </c>
      <c r="D5515" s="7" t="n">
        <v>0</v>
      </c>
      <c r="E5515" s="7" t="n">
        <v>0</v>
      </c>
      <c r="F5515" s="7" t="n">
        <v>1</v>
      </c>
      <c r="G5515" s="7" t="n">
        <v>67.71</v>
      </c>
    </row>
    <row r="5516" customFormat="false" ht="15" hidden="false" customHeight="false" outlineLevel="0" collapsed="false">
      <c r="A5516" s="7" t="s">
        <v>24</v>
      </c>
      <c r="B5516" s="7" t="s">
        <v>441</v>
      </c>
      <c r="C5516" s="7" t="s">
        <v>1185</v>
      </c>
      <c r="D5516" s="7" t="n">
        <v>0</v>
      </c>
      <c r="E5516" s="7" t="n">
        <v>0</v>
      </c>
      <c r="F5516" s="7" t="n">
        <v>1</v>
      </c>
      <c r="G5516" s="7" t="n">
        <v>60.94</v>
      </c>
    </row>
    <row r="5517" customFormat="false" ht="15" hidden="false" customHeight="false" outlineLevel="0" collapsed="false">
      <c r="A5517" s="7" t="s">
        <v>24</v>
      </c>
      <c r="B5517" s="7" t="s">
        <v>441</v>
      </c>
      <c r="C5517" s="7" t="s">
        <v>1185</v>
      </c>
      <c r="D5517" s="7" t="n">
        <v>5</v>
      </c>
      <c r="E5517" s="7" t="n">
        <v>254.51</v>
      </c>
      <c r="F5517" s="7" t="n">
        <v>0</v>
      </c>
      <c r="G5517" s="7" t="n">
        <v>0</v>
      </c>
    </row>
    <row r="5518" customFormat="false" ht="15" hidden="false" customHeight="false" outlineLevel="0" collapsed="false">
      <c r="A5518" s="7" t="s">
        <v>24</v>
      </c>
      <c r="B5518" s="7" t="s">
        <v>441</v>
      </c>
      <c r="C5518" s="7" t="s">
        <v>1185</v>
      </c>
      <c r="D5518" s="7" t="n">
        <v>0</v>
      </c>
      <c r="E5518" s="7" t="n">
        <v>0</v>
      </c>
      <c r="F5518" s="7" t="n">
        <v>1</v>
      </c>
      <c r="G5518" s="7" t="n">
        <v>60.94</v>
      </c>
    </row>
    <row r="5519" customFormat="false" ht="15" hidden="false" customHeight="false" outlineLevel="0" collapsed="false">
      <c r="A5519" s="7" t="s">
        <v>24</v>
      </c>
      <c r="B5519" s="7" t="s">
        <v>441</v>
      </c>
      <c r="C5519" s="7" t="s">
        <v>1185</v>
      </c>
      <c r="D5519" s="7" t="n">
        <v>0</v>
      </c>
      <c r="E5519" s="7" t="n">
        <v>0</v>
      </c>
      <c r="F5519" s="7" t="n">
        <v>1</v>
      </c>
      <c r="G5519" s="7" t="n">
        <v>67.71</v>
      </c>
    </row>
    <row r="5520" customFormat="false" ht="15" hidden="false" customHeight="false" outlineLevel="0" collapsed="false">
      <c r="A5520" s="7" t="s">
        <v>24</v>
      </c>
      <c r="B5520" s="7" t="s">
        <v>441</v>
      </c>
      <c r="C5520" s="7" t="s">
        <v>1185</v>
      </c>
      <c r="D5520" s="7" t="n">
        <v>0</v>
      </c>
      <c r="E5520" s="7" t="n">
        <v>0</v>
      </c>
      <c r="F5520" s="7" t="n">
        <v>1</v>
      </c>
      <c r="G5520" s="7" t="n">
        <v>57.56</v>
      </c>
    </row>
    <row r="5521" customFormat="false" ht="15" hidden="false" customHeight="false" outlineLevel="0" collapsed="false">
      <c r="A5521" s="7" t="s">
        <v>24</v>
      </c>
      <c r="B5521" s="7" t="s">
        <v>209</v>
      </c>
      <c r="C5521" s="7" t="s">
        <v>1271</v>
      </c>
      <c r="D5521" s="7" t="n">
        <v>0</v>
      </c>
      <c r="E5521" s="7" t="n">
        <v>0</v>
      </c>
      <c r="F5521" s="7" t="n">
        <v>1</v>
      </c>
      <c r="G5521" s="7" t="n">
        <v>131.11</v>
      </c>
    </row>
    <row r="5522" customFormat="false" ht="15" hidden="false" customHeight="false" outlineLevel="0" collapsed="false">
      <c r="A5522" s="7" t="s">
        <v>24</v>
      </c>
      <c r="B5522" s="7" t="s">
        <v>209</v>
      </c>
      <c r="C5522" s="7" t="s">
        <v>1271</v>
      </c>
      <c r="D5522" s="7" t="n">
        <v>0</v>
      </c>
      <c r="E5522" s="7" t="n">
        <v>0</v>
      </c>
      <c r="F5522" s="7" t="n">
        <v>1</v>
      </c>
      <c r="G5522" s="7" t="n">
        <v>145.68</v>
      </c>
    </row>
    <row r="5523" customFormat="false" ht="15" hidden="false" customHeight="false" outlineLevel="0" collapsed="false">
      <c r="A5523" s="7" t="s">
        <v>24</v>
      </c>
      <c r="B5523" s="7" t="s">
        <v>209</v>
      </c>
      <c r="C5523" s="7" t="s">
        <v>1271</v>
      </c>
      <c r="D5523" s="7" t="n">
        <v>0</v>
      </c>
      <c r="E5523" s="7" t="n">
        <v>0</v>
      </c>
      <c r="F5523" s="7" t="n">
        <v>1</v>
      </c>
      <c r="G5523" s="7" t="n">
        <v>145.67</v>
      </c>
    </row>
    <row r="5524" customFormat="false" ht="15" hidden="false" customHeight="false" outlineLevel="0" collapsed="false">
      <c r="A5524" s="7" t="s">
        <v>24</v>
      </c>
      <c r="B5524" s="7" t="s">
        <v>209</v>
      </c>
      <c r="C5524" s="7" t="s">
        <v>1271</v>
      </c>
      <c r="D5524" s="7" t="n">
        <v>0</v>
      </c>
      <c r="E5524" s="7" t="n">
        <v>0</v>
      </c>
      <c r="F5524" s="7" t="n">
        <v>1</v>
      </c>
      <c r="G5524" s="7" t="n">
        <v>131.11</v>
      </c>
    </row>
    <row r="5525" customFormat="false" ht="15" hidden="false" customHeight="false" outlineLevel="0" collapsed="false">
      <c r="A5525" s="7" t="s">
        <v>24</v>
      </c>
      <c r="B5525" s="7" t="s">
        <v>209</v>
      </c>
      <c r="C5525" s="7" t="s">
        <v>1271</v>
      </c>
      <c r="D5525" s="7" t="n">
        <v>27</v>
      </c>
      <c r="E5525" s="7" t="n">
        <v>3649.3</v>
      </c>
      <c r="F5525" s="7" t="n">
        <v>19</v>
      </c>
      <c r="G5525" s="7" t="n">
        <v>2629.52</v>
      </c>
    </row>
    <row r="5526" customFormat="false" ht="15" hidden="false" customHeight="false" outlineLevel="0" collapsed="false">
      <c r="A5526" s="7" t="s">
        <v>24</v>
      </c>
      <c r="B5526" s="7" t="s">
        <v>209</v>
      </c>
      <c r="C5526" s="7" t="s">
        <v>1271</v>
      </c>
      <c r="D5526" s="7" t="n">
        <v>0</v>
      </c>
      <c r="E5526" s="7" t="n">
        <v>0</v>
      </c>
      <c r="F5526" s="7" t="n">
        <v>1</v>
      </c>
      <c r="G5526" s="7" t="n">
        <v>145.68</v>
      </c>
    </row>
    <row r="5527" customFormat="false" ht="15" hidden="false" customHeight="false" outlineLevel="0" collapsed="false">
      <c r="A5527" s="7" t="s">
        <v>24</v>
      </c>
      <c r="B5527" s="7" t="s">
        <v>209</v>
      </c>
      <c r="C5527" s="7" t="s">
        <v>1271</v>
      </c>
      <c r="D5527" s="7" t="n">
        <v>0</v>
      </c>
      <c r="E5527" s="7" t="n">
        <v>0</v>
      </c>
      <c r="F5527" s="7" t="n">
        <v>1</v>
      </c>
      <c r="G5527" s="7" t="n">
        <v>145.68</v>
      </c>
    </row>
    <row r="5528" customFormat="false" ht="15" hidden="false" customHeight="false" outlineLevel="0" collapsed="false">
      <c r="A5528" s="7" t="s">
        <v>24</v>
      </c>
      <c r="B5528" s="7" t="s">
        <v>209</v>
      </c>
      <c r="C5528" s="7" t="s">
        <v>1271</v>
      </c>
      <c r="D5528" s="7" t="n">
        <v>0</v>
      </c>
      <c r="E5528" s="7" t="n">
        <v>0</v>
      </c>
      <c r="F5528" s="7" t="n">
        <v>2</v>
      </c>
      <c r="G5528" s="7" t="n">
        <v>291.36</v>
      </c>
    </row>
    <row r="5529" customFormat="false" ht="15" hidden="false" customHeight="false" outlineLevel="0" collapsed="false">
      <c r="A5529" s="7" t="s">
        <v>24</v>
      </c>
      <c r="B5529" s="7" t="s">
        <v>209</v>
      </c>
      <c r="C5529" s="7" t="s">
        <v>1271</v>
      </c>
      <c r="D5529" s="7" t="n">
        <v>0</v>
      </c>
      <c r="E5529" s="7" t="n">
        <v>0</v>
      </c>
      <c r="F5529" s="7" t="n">
        <v>1</v>
      </c>
      <c r="G5529" s="7" t="n">
        <v>145.68</v>
      </c>
    </row>
    <row r="5530" customFormat="false" ht="15" hidden="false" customHeight="false" outlineLevel="0" collapsed="false">
      <c r="A5530" s="7" t="s">
        <v>24</v>
      </c>
      <c r="B5530" s="7" t="s">
        <v>209</v>
      </c>
      <c r="C5530" s="7" t="s">
        <v>1271</v>
      </c>
      <c r="D5530" s="7" t="n">
        <v>0</v>
      </c>
      <c r="E5530" s="7" t="n">
        <v>0</v>
      </c>
      <c r="F5530" s="7" t="n">
        <v>1</v>
      </c>
      <c r="G5530" s="7" t="n">
        <v>123.83</v>
      </c>
    </row>
    <row r="5531" customFormat="false" ht="15" hidden="false" customHeight="false" outlineLevel="0" collapsed="false">
      <c r="A5531" s="7" t="s">
        <v>24</v>
      </c>
      <c r="B5531" s="7" t="s">
        <v>209</v>
      </c>
      <c r="C5531" s="7" t="s">
        <v>1271</v>
      </c>
      <c r="D5531" s="7" t="n">
        <v>0</v>
      </c>
      <c r="E5531" s="7" t="n">
        <v>0</v>
      </c>
      <c r="F5531" s="7" t="n">
        <v>1</v>
      </c>
      <c r="G5531" s="7" t="n">
        <v>145.68</v>
      </c>
    </row>
    <row r="5532" customFormat="false" ht="15" hidden="false" customHeight="false" outlineLevel="0" collapsed="false">
      <c r="A5532" s="7" t="s">
        <v>24</v>
      </c>
      <c r="B5532" s="7" t="s">
        <v>209</v>
      </c>
      <c r="C5532" s="7" t="s">
        <v>1271</v>
      </c>
      <c r="D5532" s="7" t="n">
        <v>0</v>
      </c>
      <c r="E5532" s="7" t="n">
        <v>0</v>
      </c>
      <c r="F5532" s="7" t="n">
        <v>1</v>
      </c>
      <c r="G5532" s="7" t="n">
        <v>131.11</v>
      </c>
    </row>
    <row r="5533" customFormat="false" ht="15" hidden="false" customHeight="false" outlineLevel="0" collapsed="false">
      <c r="A5533" s="7" t="s">
        <v>24</v>
      </c>
      <c r="B5533" s="7" t="s">
        <v>209</v>
      </c>
      <c r="C5533" s="7" t="s">
        <v>1271</v>
      </c>
      <c r="D5533" s="7" t="n">
        <v>0</v>
      </c>
      <c r="E5533" s="7" t="n">
        <v>0</v>
      </c>
      <c r="F5533" s="7" t="n">
        <v>1</v>
      </c>
      <c r="G5533" s="7" t="n">
        <v>145.68</v>
      </c>
    </row>
    <row r="5534" customFormat="false" ht="15" hidden="false" customHeight="false" outlineLevel="0" collapsed="false">
      <c r="A5534" s="7" t="s">
        <v>24</v>
      </c>
      <c r="B5534" s="7" t="s">
        <v>209</v>
      </c>
      <c r="C5534" s="7" t="s">
        <v>1271</v>
      </c>
      <c r="D5534" s="7" t="n">
        <v>0</v>
      </c>
      <c r="E5534" s="7" t="n">
        <v>0</v>
      </c>
      <c r="F5534" s="7" t="n">
        <v>1</v>
      </c>
      <c r="G5534" s="7" t="n">
        <v>145.68</v>
      </c>
    </row>
    <row r="5535" customFormat="false" ht="15" hidden="false" customHeight="false" outlineLevel="0" collapsed="false">
      <c r="A5535" s="7" t="s">
        <v>24</v>
      </c>
      <c r="B5535" s="7" t="s">
        <v>209</v>
      </c>
      <c r="C5535" s="7" t="s">
        <v>1271</v>
      </c>
      <c r="D5535" s="7" t="n">
        <v>0</v>
      </c>
      <c r="E5535" s="7" t="n">
        <v>0</v>
      </c>
      <c r="F5535" s="7" t="n">
        <v>1</v>
      </c>
      <c r="G5535" s="7" t="n">
        <v>131.11</v>
      </c>
    </row>
    <row r="5536" customFormat="false" ht="15" hidden="false" customHeight="false" outlineLevel="0" collapsed="false">
      <c r="A5536" s="7" t="s">
        <v>24</v>
      </c>
      <c r="B5536" s="7" t="s">
        <v>209</v>
      </c>
      <c r="C5536" s="7" t="s">
        <v>1271</v>
      </c>
      <c r="D5536" s="7" t="n">
        <v>0</v>
      </c>
      <c r="E5536" s="7" t="n">
        <v>0</v>
      </c>
      <c r="F5536" s="7" t="n">
        <v>1</v>
      </c>
      <c r="G5536" s="7" t="n">
        <v>145.68</v>
      </c>
    </row>
    <row r="5537" customFormat="false" ht="15" hidden="false" customHeight="false" outlineLevel="0" collapsed="false">
      <c r="A5537" s="7" t="s">
        <v>24</v>
      </c>
      <c r="B5537" s="7" t="s">
        <v>209</v>
      </c>
      <c r="C5537" s="7" t="s">
        <v>1271</v>
      </c>
      <c r="D5537" s="7" t="n">
        <v>0</v>
      </c>
      <c r="E5537" s="7" t="n">
        <v>0</v>
      </c>
      <c r="F5537" s="7" t="n">
        <v>1</v>
      </c>
      <c r="G5537" s="7" t="n">
        <v>131.11</v>
      </c>
    </row>
    <row r="5538" customFormat="false" ht="15" hidden="false" customHeight="false" outlineLevel="0" collapsed="false">
      <c r="A5538" s="7" t="s">
        <v>24</v>
      </c>
      <c r="B5538" s="7" t="s">
        <v>209</v>
      </c>
      <c r="C5538" s="7" t="s">
        <v>1271</v>
      </c>
      <c r="D5538" s="7" t="n">
        <v>0</v>
      </c>
      <c r="E5538" s="7" t="n">
        <v>0</v>
      </c>
      <c r="F5538" s="7" t="n">
        <v>1</v>
      </c>
      <c r="G5538" s="7" t="n">
        <v>145.68</v>
      </c>
    </row>
    <row r="5539" customFormat="false" ht="15" hidden="false" customHeight="false" outlineLevel="0" collapsed="false">
      <c r="A5539" s="7" t="s">
        <v>24</v>
      </c>
      <c r="B5539" s="7" t="s">
        <v>209</v>
      </c>
      <c r="C5539" s="7" t="s">
        <v>1271</v>
      </c>
      <c r="D5539" s="7" t="n">
        <v>0</v>
      </c>
      <c r="E5539" s="7" t="n">
        <v>0</v>
      </c>
      <c r="F5539" s="7" t="n">
        <v>1</v>
      </c>
      <c r="G5539" s="7" t="n">
        <v>145.68</v>
      </c>
    </row>
    <row r="5540" customFormat="false" ht="15" hidden="false" customHeight="false" outlineLevel="0" collapsed="false">
      <c r="A5540" s="7" t="s">
        <v>24</v>
      </c>
      <c r="B5540" s="7" t="s">
        <v>311</v>
      </c>
      <c r="C5540" s="7" t="s">
        <v>1272</v>
      </c>
      <c r="D5540" s="7" t="n">
        <v>0</v>
      </c>
      <c r="E5540" s="7" t="n">
        <v>0</v>
      </c>
      <c r="F5540" s="7" t="n">
        <v>1</v>
      </c>
      <c r="G5540" s="7" t="n">
        <v>186.35</v>
      </c>
    </row>
    <row r="5541" customFormat="false" ht="15" hidden="false" customHeight="false" outlineLevel="0" collapsed="false">
      <c r="A5541" s="7" t="s">
        <v>24</v>
      </c>
      <c r="B5541" s="7" t="s">
        <v>311</v>
      </c>
      <c r="C5541" s="7" t="s">
        <v>1272</v>
      </c>
      <c r="D5541" s="7" t="n">
        <v>0</v>
      </c>
      <c r="E5541" s="7" t="n">
        <v>0</v>
      </c>
      <c r="F5541" s="7" t="n">
        <v>1</v>
      </c>
      <c r="G5541" s="7" t="n">
        <v>167.72</v>
      </c>
    </row>
    <row r="5542" customFormat="false" ht="15" hidden="false" customHeight="false" outlineLevel="0" collapsed="false">
      <c r="A5542" s="7" t="s">
        <v>24</v>
      </c>
      <c r="B5542" s="7" t="s">
        <v>311</v>
      </c>
      <c r="C5542" s="7" t="s">
        <v>1272</v>
      </c>
      <c r="D5542" s="7" t="n">
        <v>0</v>
      </c>
      <c r="E5542" s="7" t="n">
        <v>0</v>
      </c>
      <c r="F5542" s="7" t="n">
        <v>1</v>
      </c>
      <c r="G5542" s="7" t="n">
        <v>186.35</v>
      </c>
    </row>
    <row r="5543" customFormat="false" ht="15" hidden="false" customHeight="false" outlineLevel="0" collapsed="false">
      <c r="A5543" s="7" t="s">
        <v>24</v>
      </c>
      <c r="B5543" s="7" t="s">
        <v>311</v>
      </c>
      <c r="C5543" s="7" t="s">
        <v>1272</v>
      </c>
      <c r="D5543" s="7" t="n">
        <v>0</v>
      </c>
      <c r="E5543" s="7" t="n">
        <v>0</v>
      </c>
      <c r="F5543" s="7" t="n">
        <v>1</v>
      </c>
      <c r="G5543" s="7" t="n">
        <v>158.41</v>
      </c>
    </row>
    <row r="5544" customFormat="false" ht="15" hidden="false" customHeight="false" outlineLevel="0" collapsed="false">
      <c r="A5544" s="7" t="s">
        <v>24</v>
      </c>
      <c r="B5544" s="7" t="s">
        <v>311</v>
      </c>
      <c r="C5544" s="7" t="s">
        <v>1272</v>
      </c>
      <c r="D5544" s="7" t="n">
        <v>0</v>
      </c>
      <c r="E5544" s="7" t="n">
        <v>0</v>
      </c>
      <c r="F5544" s="7" t="n">
        <v>3</v>
      </c>
      <c r="G5544" s="7" t="n">
        <v>559.05</v>
      </c>
    </row>
    <row r="5545" customFormat="false" ht="15" hidden="false" customHeight="false" outlineLevel="0" collapsed="false">
      <c r="A5545" s="7" t="s">
        <v>24</v>
      </c>
      <c r="B5545" s="7" t="s">
        <v>311</v>
      </c>
      <c r="C5545" s="7" t="s">
        <v>1272</v>
      </c>
      <c r="D5545" s="7" t="n">
        <v>0</v>
      </c>
      <c r="E5545" s="7" t="n">
        <v>0</v>
      </c>
      <c r="F5545" s="7" t="n">
        <v>1</v>
      </c>
      <c r="G5545" s="7" t="n">
        <v>186.36</v>
      </c>
    </row>
    <row r="5546" customFormat="false" ht="15" hidden="false" customHeight="false" outlineLevel="0" collapsed="false">
      <c r="A5546" s="7" t="s">
        <v>24</v>
      </c>
      <c r="B5546" s="7" t="s">
        <v>311</v>
      </c>
      <c r="C5546" s="7" t="s">
        <v>1272</v>
      </c>
      <c r="D5546" s="7" t="n">
        <v>0</v>
      </c>
      <c r="E5546" s="7" t="n">
        <v>0</v>
      </c>
      <c r="F5546" s="7" t="n">
        <v>1</v>
      </c>
      <c r="G5546" s="7" t="n">
        <v>167.72</v>
      </c>
    </row>
    <row r="5547" customFormat="false" ht="15" hidden="false" customHeight="false" outlineLevel="0" collapsed="false">
      <c r="A5547" s="7" t="s">
        <v>24</v>
      </c>
      <c r="B5547" s="7" t="s">
        <v>311</v>
      </c>
      <c r="C5547" s="7" t="s">
        <v>1272</v>
      </c>
      <c r="D5547" s="7" t="n">
        <v>61</v>
      </c>
      <c r="E5547" s="7" t="n">
        <v>10613.25</v>
      </c>
      <c r="F5547" s="7" t="n">
        <v>42</v>
      </c>
      <c r="G5547" s="7" t="n">
        <v>7659.37</v>
      </c>
    </row>
    <row r="5548" customFormat="false" ht="15" hidden="false" customHeight="false" outlineLevel="0" collapsed="false">
      <c r="A5548" s="7" t="s">
        <v>24</v>
      </c>
      <c r="B5548" s="7" t="s">
        <v>311</v>
      </c>
      <c r="C5548" s="7" t="s">
        <v>1272</v>
      </c>
      <c r="D5548" s="7" t="n">
        <v>0</v>
      </c>
      <c r="E5548" s="7" t="n">
        <v>0</v>
      </c>
      <c r="F5548" s="7" t="n">
        <v>1</v>
      </c>
      <c r="G5548" s="7" t="n">
        <v>186.36</v>
      </c>
    </row>
    <row r="5549" customFormat="false" ht="15" hidden="false" customHeight="false" outlineLevel="0" collapsed="false">
      <c r="A5549" s="7" t="s">
        <v>24</v>
      </c>
      <c r="B5549" s="7" t="s">
        <v>311</v>
      </c>
      <c r="C5549" s="7" t="s">
        <v>1272</v>
      </c>
      <c r="D5549" s="7" t="n">
        <v>0</v>
      </c>
      <c r="E5549" s="7" t="n">
        <v>0</v>
      </c>
      <c r="F5549" s="7" t="n">
        <v>1</v>
      </c>
      <c r="G5549" s="7" t="n">
        <v>167.72</v>
      </c>
    </row>
    <row r="5550" customFormat="false" ht="15" hidden="false" customHeight="false" outlineLevel="0" collapsed="false">
      <c r="A5550" s="7" t="s">
        <v>24</v>
      </c>
      <c r="B5550" s="7" t="s">
        <v>311</v>
      </c>
      <c r="C5550" s="7" t="s">
        <v>1272</v>
      </c>
      <c r="D5550" s="7" t="n">
        <v>14</v>
      </c>
      <c r="E5550" s="7" t="n">
        <v>2190.05</v>
      </c>
      <c r="F5550" s="7" t="n">
        <v>0</v>
      </c>
      <c r="G5550" s="7" t="n">
        <v>0</v>
      </c>
    </row>
    <row r="5551" customFormat="false" ht="15" hidden="false" customHeight="false" outlineLevel="0" collapsed="false">
      <c r="A5551" s="7" t="s">
        <v>24</v>
      </c>
      <c r="B5551" s="7" t="s">
        <v>311</v>
      </c>
      <c r="C5551" s="7" t="s">
        <v>1272</v>
      </c>
      <c r="D5551" s="7" t="n">
        <v>0</v>
      </c>
      <c r="E5551" s="7" t="n">
        <v>0</v>
      </c>
      <c r="F5551" s="7" t="n">
        <v>1</v>
      </c>
      <c r="G5551" s="7" t="n">
        <v>167.72</v>
      </c>
    </row>
    <row r="5552" customFormat="false" ht="15" hidden="false" customHeight="false" outlineLevel="0" collapsed="false">
      <c r="A5552" s="7" t="s">
        <v>24</v>
      </c>
      <c r="B5552" s="7" t="s">
        <v>311</v>
      </c>
      <c r="C5552" s="7" t="s">
        <v>1272</v>
      </c>
      <c r="D5552" s="7" t="n">
        <v>0</v>
      </c>
      <c r="E5552" s="7" t="n">
        <v>0</v>
      </c>
      <c r="F5552" s="7" t="n">
        <v>2</v>
      </c>
      <c r="G5552" s="7" t="n">
        <v>372.71</v>
      </c>
    </row>
    <row r="5553" customFormat="false" ht="15" hidden="false" customHeight="false" outlineLevel="0" collapsed="false">
      <c r="A5553" s="7" t="s">
        <v>24</v>
      </c>
      <c r="B5553" s="7" t="s">
        <v>311</v>
      </c>
      <c r="C5553" s="7" t="s">
        <v>1272</v>
      </c>
      <c r="D5553" s="7" t="n">
        <v>0</v>
      </c>
      <c r="E5553" s="7" t="n">
        <v>0</v>
      </c>
      <c r="F5553" s="7" t="n">
        <v>1</v>
      </c>
      <c r="G5553" s="7" t="n">
        <v>167.72</v>
      </c>
    </row>
    <row r="5554" customFormat="false" ht="15" hidden="false" customHeight="false" outlineLevel="0" collapsed="false">
      <c r="A5554" s="7" t="s">
        <v>24</v>
      </c>
      <c r="B5554" s="7" t="s">
        <v>311</v>
      </c>
      <c r="C5554" s="7" t="s">
        <v>1272</v>
      </c>
      <c r="D5554" s="7" t="n">
        <v>0</v>
      </c>
      <c r="E5554" s="7" t="n">
        <v>0</v>
      </c>
      <c r="F5554" s="7" t="n">
        <v>1</v>
      </c>
      <c r="G5554" s="7" t="n">
        <v>186.36</v>
      </c>
    </row>
    <row r="5555" customFormat="false" ht="15" hidden="false" customHeight="false" outlineLevel="0" collapsed="false">
      <c r="A5555" s="7" t="s">
        <v>24</v>
      </c>
      <c r="B5555" s="7" t="s">
        <v>311</v>
      </c>
      <c r="C5555" s="7" t="s">
        <v>1272</v>
      </c>
      <c r="D5555" s="7" t="n">
        <v>0</v>
      </c>
      <c r="E5555" s="7" t="n">
        <v>0</v>
      </c>
      <c r="F5555" s="7" t="n">
        <v>1</v>
      </c>
      <c r="G5555" s="7" t="n">
        <v>186.36</v>
      </c>
    </row>
    <row r="5556" customFormat="false" ht="15" hidden="false" customHeight="false" outlineLevel="0" collapsed="false">
      <c r="A5556" s="7" t="s">
        <v>24</v>
      </c>
      <c r="B5556" s="7" t="s">
        <v>311</v>
      </c>
      <c r="C5556" s="7" t="s">
        <v>1272</v>
      </c>
      <c r="D5556" s="7" t="n">
        <v>0</v>
      </c>
      <c r="E5556" s="7" t="n">
        <v>0</v>
      </c>
      <c r="F5556" s="7" t="n">
        <v>1</v>
      </c>
      <c r="G5556" s="7" t="n">
        <v>186.35</v>
      </c>
    </row>
    <row r="5557" customFormat="false" ht="15" hidden="false" customHeight="false" outlineLevel="0" collapsed="false">
      <c r="A5557" s="7" t="s">
        <v>24</v>
      </c>
      <c r="B5557" s="7" t="s">
        <v>311</v>
      </c>
      <c r="C5557" s="7" t="s">
        <v>1272</v>
      </c>
      <c r="D5557" s="7" t="n">
        <v>0</v>
      </c>
      <c r="E5557" s="7" t="n">
        <v>0</v>
      </c>
      <c r="F5557" s="7" t="n">
        <v>1</v>
      </c>
      <c r="G5557" s="7" t="n">
        <v>186.35</v>
      </c>
    </row>
    <row r="5558" customFormat="false" ht="15" hidden="false" customHeight="false" outlineLevel="0" collapsed="false">
      <c r="A5558" s="7" t="s">
        <v>24</v>
      </c>
      <c r="B5558" s="7" t="s">
        <v>311</v>
      </c>
      <c r="C5558" s="7" t="s">
        <v>1272</v>
      </c>
      <c r="D5558" s="7" t="n">
        <v>0</v>
      </c>
      <c r="E5558" s="7" t="n">
        <v>0</v>
      </c>
      <c r="F5558" s="7" t="n">
        <v>1</v>
      </c>
      <c r="G5558" s="7" t="n">
        <v>186.35</v>
      </c>
    </row>
    <row r="5559" customFormat="false" ht="15" hidden="false" customHeight="false" outlineLevel="0" collapsed="false">
      <c r="A5559" s="7" t="s">
        <v>24</v>
      </c>
      <c r="B5559" s="7" t="s">
        <v>311</v>
      </c>
      <c r="C5559" s="7" t="s">
        <v>1272</v>
      </c>
      <c r="D5559" s="7" t="n">
        <v>0</v>
      </c>
      <c r="E5559" s="7" t="n">
        <v>0</v>
      </c>
      <c r="F5559" s="7" t="n">
        <v>1</v>
      </c>
      <c r="G5559" s="7" t="n">
        <v>186.36</v>
      </c>
    </row>
    <row r="5560" customFormat="false" ht="15" hidden="false" customHeight="false" outlineLevel="0" collapsed="false">
      <c r="A5560" s="7" t="s">
        <v>24</v>
      </c>
      <c r="B5560" s="7" t="s">
        <v>311</v>
      </c>
      <c r="C5560" s="7" t="s">
        <v>1272</v>
      </c>
      <c r="D5560" s="7" t="n">
        <v>0</v>
      </c>
      <c r="E5560" s="7" t="n">
        <v>0</v>
      </c>
      <c r="F5560" s="7" t="n">
        <v>1</v>
      </c>
      <c r="G5560" s="7" t="n">
        <v>167.72</v>
      </c>
    </row>
    <row r="5561" customFormat="false" ht="15" hidden="false" customHeight="false" outlineLevel="0" collapsed="false">
      <c r="A5561" s="7" t="s">
        <v>24</v>
      </c>
      <c r="B5561" s="7" t="s">
        <v>311</v>
      </c>
      <c r="C5561" s="7" t="s">
        <v>1272</v>
      </c>
      <c r="D5561" s="7" t="n">
        <v>0</v>
      </c>
      <c r="E5561" s="7" t="n">
        <v>0</v>
      </c>
      <c r="F5561" s="7" t="n">
        <v>2</v>
      </c>
      <c r="G5561" s="7" t="n">
        <v>372.72</v>
      </c>
    </row>
    <row r="5562" customFormat="false" ht="15" hidden="false" customHeight="false" outlineLevel="0" collapsed="false">
      <c r="A5562" s="7" t="s">
        <v>24</v>
      </c>
      <c r="B5562" s="7" t="s">
        <v>311</v>
      </c>
      <c r="C5562" s="7" t="s">
        <v>1272</v>
      </c>
      <c r="D5562" s="7" t="n">
        <v>0</v>
      </c>
      <c r="E5562" s="7" t="n">
        <v>0</v>
      </c>
      <c r="F5562" s="7" t="n">
        <v>1</v>
      </c>
      <c r="G5562" s="7" t="n">
        <v>186.36</v>
      </c>
    </row>
    <row r="5563" customFormat="false" ht="15" hidden="false" customHeight="false" outlineLevel="0" collapsed="false">
      <c r="A5563" s="7" t="s">
        <v>24</v>
      </c>
      <c r="B5563" s="7" t="s">
        <v>311</v>
      </c>
      <c r="C5563" s="7" t="s">
        <v>1272</v>
      </c>
      <c r="D5563" s="7" t="n">
        <v>0</v>
      </c>
      <c r="E5563" s="7" t="n">
        <v>0</v>
      </c>
      <c r="F5563" s="7" t="n">
        <v>1</v>
      </c>
      <c r="G5563" s="7" t="n">
        <v>186.36</v>
      </c>
    </row>
    <row r="5564" customFormat="false" ht="15" hidden="false" customHeight="false" outlineLevel="0" collapsed="false">
      <c r="A5564" s="7" t="s">
        <v>24</v>
      </c>
      <c r="B5564" s="7" t="s">
        <v>311</v>
      </c>
      <c r="C5564" s="7" t="s">
        <v>1272</v>
      </c>
      <c r="D5564" s="7" t="n">
        <v>0</v>
      </c>
      <c r="E5564" s="7" t="n">
        <v>0</v>
      </c>
      <c r="F5564" s="7" t="n">
        <v>1</v>
      </c>
      <c r="G5564" s="7" t="n">
        <v>186.36</v>
      </c>
    </row>
    <row r="5565" customFormat="false" ht="15" hidden="false" customHeight="false" outlineLevel="0" collapsed="false">
      <c r="A5565" s="7" t="s">
        <v>24</v>
      </c>
      <c r="B5565" s="7" t="s">
        <v>311</v>
      </c>
      <c r="C5565" s="7" t="s">
        <v>1272</v>
      </c>
      <c r="D5565" s="7" t="n">
        <v>0</v>
      </c>
      <c r="E5565" s="7" t="n">
        <v>0</v>
      </c>
      <c r="F5565" s="7" t="n">
        <v>1</v>
      </c>
      <c r="G5565" s="7" t="n">
        <v>167.72</v>
      </c>
    </row>
    <row r="5566" customFormat="false" ht="15" hidden="false" customHeight="false" outlineLevel="0" collapsed="false">
      <c r="A5566" s="7" t="s">
        <v>24</v>
      </c>
      <c r="B5566" s="7" t="s">
        <v>311</v>
      </c>
      <c r="C5566" s="7" t="s">
        <v>1272</v>
      </c>
      <c r="D5566" s="7" t="n">
        <v>0</v>
      </c>
      <c r="E5566" s="7" t="n">
        <v>0</v>
      </c>
      <c r="F5566" s="7" t="n">
        <v>1</v>
      </c>
      <c r="G5566" s="7" t="n">
        <v>186.35</v>
      </c>
    </row>
    <row r="5567" customFormat="false" ht="15" hidden="false" customHeight="false" outlineLevel="0" collapsed="false">
      <c r="A5567" s="7" t="s">
        <v>24</v>
      </c>
      <c r="B5567" s="7" t="s">
        <v>311</v>
      </c>
      <c r="C5567" s="7" t="s">
        <v>1272</v>
      </c>
      <c r="D5567" s="7" t="n">
        <v>0</v>
      </c>
      <c r="E5567" s="7" t="n">
        <v>0</v>
      </c>
      <c r="F5567" s="7" t="n">
        <v>1</v>
      </c>
      <c r="G5567" s="7" t="n">
        <v>186.36</v>
      </c>
    </row>
    <row r="5568" customFormat="false" ht="15" hidden="false" customHeight="false" outlineLevel="0" collapsed="false">
      <c r="A5568" s="7" t="s">
        <v>24</v>
      </c>
      <c r="B5568" s="7" t="s">
        <v>311</v>
      </c>
      <c r="C5568" s="7" t="s">
        <v>1272</v>
      </c>
      <c r="D5568" s="7" t="n">
        <v>0</v>
      </c>
      <c r="E5568" s="7" t="n">
        <v>0</v>
      </c>
      <c r="F5568" s="7" t="n">
        <v>2</v>
      </c>
      <c r="G5568" s="7" t="n">
        <v>372.72</v>
      </c>
    </row>
    <row r="5569" customFormat="false" ht="15" hidden="false" customHeight="false" outlineLevel="0" collapsed="false">
      <c r="A5569" s="7" t="s">
        <v>24</v>
      </c>
      <c r="B5569" s="7" t="s">
        <v>311</v>
      </c>
      <c r="C5569" s="7" t="s">
        <v>1272</v>
      </c>
      <c r="D5569" s="7" t="n">
        <v>0</v>
      </c>
      <c r="E5569" s="7" t="n">
        <v>0</v>
      </c>
      <c r="F5569" s="7" t="n">
        <v>1</v>
      </c>
      <c r="G5569" s="7" t="n">
        <v>186.36</v>
      </c>
    </row>
    <row r="5570" customFormat="false" ht="15" hidden="false" customHeight="false" outlineLevel="0" collapsed="false">
      <c r="A5570" s="7" t="s">
        <v>24</v>
      </c>
      <c r="B5570" s="7" t="s">
        <v>135</v>
      </c>
      <c r="C5570" s="7" t="s">
        <v>1273</v>
      </c>
      <c r="D5570" s="7" t="n">
        <v>0</v>
      </c>
      <c r="E5570" s="7" t="n">
        <v>0</v>
      </c>
      <c r="F5570" s="7" t="n">
        <v>1</v>
      </c>
      <c r="G5570" s="7" t="n">
        <v>135.51</v>
      </c>
    </row>
    <row r="5571" customFormat="false" ht="15" hidden="false" customHeight="false" outlineLevel="0" collapsed="false">
      <c r="A5571" s="7" t="s">
        <v>24</v>
      </c>
      <c r="B5571" s="7" t="s">
        <v>135</v>
      </c>
      <c r="C5571" s="7" t="s">
        <v>1273</v>
      </c>
      <c r="D5571" s="7" t="n">
        <v>0</v>
      </c>
      <c r="E5571" s="7" t="n">
        <v>0</v>
      </c>
      <c r="F5571" s="7" t="n">
        <v>1</v>
      </c>
      <c r="G5571" s="7" t="n">
        <v>135.51</v>
      </c>
    </row>
    <row r="5572" customFormat="false" ht="15" hidden="false" customHeight="false" outlineLevel="0" collapsed="false">
      <c r="A5572" s="7" t="s">
        <v>24</v>
      </c>
      <c r="B5572" s="7" t="s">
        <v>135</v>
      </c>
      <c r="C5572" s="7" t="s">
        <v>1273</v>
      </c>
      <c r="D5572" s="7" t="n">
        <v>0</v>
      </c>
      <c r="E5572" s="7" t="n">
        <v>0</v>
      </c>
      <c r="F5572" s="7" t="n">
        <v>4</v>
      </c>
      <c r="G5572" s="7" t="n">
        <v>542.03</v>
      </c>
    </row>
    <row r="5573" customFormat="false" ht="15" hidden="false" customHeight="false" outlineLevel="0" collapsed="false">
      <c r="A5573" s="7" t="s">
        <v>24</v>
      </c>
      <c r="B5573" s="7" t="s">
        <v>135</v>
      </c>
      <c r="C5573" s="7" t="s">
        <v>1273</v>
      </c>
      <c r="D5573" s="7" t="n">
        <v>90</v>
      </c>
      <c r="E5573" s="7" t="n">
        <v>11308.25</v>
      </c>
      <c r="F5573" s="7" t="n">
        <v>50</v>
      </c>
      <c r="G5573" s="7" t="n">
        <v>6673.88</v>
      </c>
    </row>
    <row r="5574" customFormat="false" ht="15" hidden="false" customHeight="false" outlineLevel="0" collapsed="false">
      <c r="A5574" s="7" t="s">
        <v>24</v>
      </c>
      <c r="B5574" s="7" t="s">
        <v>135</v>
      </c>
      <c r="C5574" s="7" t="s">
        <v>1273</v>
      </c>
      <c r="D5574" s="7" t="n">
        <v>0</v>
      </c>
      <c r="E5574" s="7" t="n">
        <v>0</v>
      </c>
      <c r="F5574" s="7" t="n">
        <v>1</v>
      </c>
      <c r="G5574" s="7" t="n">
        <v>115.19</v>
      </c>
    </row>
    <row r="5575" customFormat="false" ht="15" hidden="false" customHeight="false" outlineLevel="0" collapsed="false">
      <c r="A5575" s="7" t="s">
        <v>24</v>
      </c>
      <c r="B5575" s="7" t="s">
        <v>135</v>
      </c>
      <c r="C5575" s="7" t="s">
        <v>1273</v>
      </c>
      <c r="D5575" s="7" t="n">
        <v>0</v>
      </c>
      <c r="E5575" s="7" t="n">
        <v>0</v>
      </c>
      <c r="F5575" s="7" t="n">
        <v>1</v>
      </c>
      <c r="G5575" s="7" t="n">
        <v>135.51</v>
      </c>
    </row>
    <row r="5576" customFormat="false" ht="15" hidden="false" customHeight="false" outlineLevel="0" collapsed="false">
      <c r="A5576" s="7" t="s">
        <v>24</v>
      </c>
      <c r="B5576" s="7" t="s">
        <v>135</v>
      </c>
      <c r="C5576" s="7" t="s">
        <v>1273</v>
      </c>
      <c r="D5576" s="7" t="n">
        <v>0</v>
      </c>
      <c r="E5576" s="7" t="n">
        <v>0</v>
      </c>
      <c r="F5576" s="7" t="n">
        <v>1</v>
      </c>
      <c r="G5576" s="7" t="n">
        <v>135.51</v>
      </c>
    </row>
    <row r="5577" customFormat="false" ht="15" hidden="false" customHeight="false" outlineLevel="0" collapsed="false">
      <c r="A5577" s="7" t="s">
        <v>24</v>
      </c>
      <c r="B5577" s="7" t="s">
        <v>135</v>
      </c>
      <c r="C5577" s="7" t="s">
        <v>1273</v>
      </c>
      <c r="D5577" s="7" t="n">
        <v>0</v>
      </c>
      <c r="E5577" s="7" t="n">
        <v>0</v>
      </c>
      <c r="F5577" s="7" t="n">
        <v>2</v>
      </c>
      <c r="G5577" s="7" t="n">
        <v>243.92</v>
      </c>
    </row>
    <row r="5578" customFormat="false" ht="15" hidden="false" customHeight="false" outlineLevel="0" collapsed="false">
      <c r="A5578" s="7" t="s">
        <v>24</v>
      </c>
      <c r="B5578" s="7" t="s">
        <v>135</v>
      </c>
      <c r="C5578" s="7" t="s">
        <v>1273</v>
      </c>
      <c r="D5578" s="7" t="n">
        <v>0</v>
      </c>
      <c r="E5578" s="7" t="n">
        <v>0</v>
      </c>
      <c r="F5578" s="7" t="n">
        <v>1</v>
      </c>
      <c r="G5578" s="7" t="n">
        <v>135.51</v>
      </c>
    </row>
    <row r="5579" customFormat="false" ht="15" hidden="false" customHeight="false" outlineLevel="0" collapsed="false">
      <c r="A5579" s="7" t="s">
        <v>24</v>
      </c>
      <c r="B5579" s="7" t="s">
        <v>135</v>
      </c>
      <c r="C5579" s="7" t="s">
        <v>1273</v>
      </c>
      <c r="D5579" s="7" t="n">
        <v>0</v>
      </c>
      <c r="E5579" s="7" t="n">
        <v>0</v>
      </c>
      <c r="F5579" s="7" t="n">
        <v>1</v>
      </c>
      <c r="G5579" s="7" t="n">
        <v>135.51</v>
      </c>
    </row>
    <row r="5580" customFormat="false" ht="15" hidden="false" customHeight="false" outlineLevel="0" collapsed="false">
      <c r="A5580" s="7" t="s">
        <v>24</v>
      </c>
      <c r="B5580" s="7" t="s">
        <v>135</v>
      </c>
      <c r="C5580" s="7" t="s">
        <v>1273</v>
      </c>
      <c r="D5580" s="7" t="n">
        <v>0</v>
      </c>
      <c r="E5580" s="7" t="n">
        <v>0</v>
      </c>
      <c r="F5580" s="7" t="n">
        <v>1</v>
      </c>
      <c r="G5580" s="7" t="n">
        <v>135.51</v>
      </c>
    </row>
    <row r="5581" customFormat="false" ht="15" hidden="false" customHeight="false" outlineLevel="0" collapsed="false">
      <c r="A5581" s="7" t="s">
        <v>24</v>
      </c>
      <c r="B5581" s="7" t="s">
        <v>135</v>
      </c>
      <c r="C5581" s="7" t="s">
        <v>1273</v>
      </c>
      <c r="D5581" s="7" t="n">
        <v>0</v>
      </c>
      <c r="E5581" s="7" t="n">
        <v>0</v>
      </c>
      <c r="F5581" s="7" t="n">
        <v>1</v>
      </c>
      <c r="G5581" s="7" t="n">
        <v>135.51</v>
      </c>
    </row>
    <row r="5582" customFormat="false" ht="15" hidden="false" customHeight="false" outlineLevel="0" collapsed="false">
      <c r="A5582" s="7" t="s">
        <v>24</v>
      </c>
      <c r="B5582" s="7" t="s">
        <v>135</v>
      </c>
      <c r="C5582" s="7" t="s">
        <v>1273</v>
      </c>
      <c r="D5582" s="7" t="n">
        <v>0</v>
      </c>
      <c r="E5582" s="7" t="n">
        <v>0</v>
      </c>
      <c r="F5582" s="7" t="n">
        <v>1</v>
      </c>
      <c r="G5582" s="7" t="n">
        <v>135.51</v>
      </c>
    </row>
    <row r="5583" customFormat="false" ht="15" hidden="false" customHeight="false" outlineLevel="0" collapsed="false">
      <c r="A5583" s="7" t="s">
        <v>24</v>
      </c>
      <c r="B5583" s="7" t="s">
        <v>135</v>
      </c>
      <c r="C5583" s="7" t="s">
        <v>1273</v>
      </c>
      <c r="D5583" s="7" t="n">
        <v>0</v>
      </c>
      <c r="E5583" s="7" t="n">
        <v>0</v>
      </c>
      <c r="F5583" s="7" t="n">
        <v>1</v>
      </c>
      <c r="G5583" s="7" t="n">
        <v>121.96</v>
      </c>
    </row>
    <row r="5584" customFormat="false" ht="15" hidden="false" customHeight="false" outlineLevel="0" collapsed="false">
      <c r="A5584" s="7" t="s">
        <v>24</v>
      </c>
      <c r="B5584" s="7" t="s">
        <v>135</v>
      </c>
      <c r="C5584" s="7" t="s">
        <v>1273</v>
      </c>
      <c r="D5584" s="7" t="n">
        <v>0</v>
      </c>
      <c r="E5584" s="7" t="n">
        <v>0</v>
      </c>
      <c r="F5584" s="7" t="n">
        <v>1</v>
      </c>
      <c r="G5584" s="7" t="n">
        <v>135.51</v>
      </c>
    </row>
    <row r="5585" customFormat="false" ht="15" hidden="false" customHeight="false" outlineLevel="0" collapsed="false">
      <c r="A5585" s="7" t="s">
        <v>24</v>
      </c>
      <c r="B5585" s="7" t="s">
        <v>135</v>
      </c>
      <c r="C5585" s="7" t="s">
        <v>1273</v>
      </c>
      <c r="D5585" s="7" t="n">
        <v>17</v>
      </c>
      <c r="E5585" s="7" t="n">
        <v>2091.86</v>
      </c>
      <c r="F5585" s="7" t="n">
        <v>0</v>
      </c>
      <c r="G5585" s="7" t="n">
        <v>0</v>
      </c>
    </row>
    <row r="5586" customFormat="false" ht="15" hidden="false" customHeight="false" outlineLevel="0" collapsed="false">
      <c r="A5586" s="7" t="s">
        <v>24</v>
      </c>
      <c r="B5586" s="7" t="s">
        <v>135</v>
      </c>
      <c r="C5586" s="7" t="s">
        <v>1273</v>
      </c>
      <c r="D5586" s="7" t="n">
        <v>0</v>
      </c>
      <c r="E5586" s="7" t="n">
        <v>0</v>
      </c>
      <c r="F5586" s="7" t="n">
        <v>4</v>
      </c>
      <c r="G5586" s="7" t="n">
        <v>514.94</v>
      </c>
    </row>
    <row r="5587" customFormat="false" ht="15" hidden="false" customHeight="false" outlineLevel="0" collapsed="false">
      <c r="A5587" s="7" t="s">
        <v>24</v>
      </c>
      <c r="B5587" s="7" t="s">
        <v>135</v>
      </c>
      <c r="C5587" s="7" t="s">
        <v>1273</v>
      </c>
      <c r="D5587" s="7" t="n">
        <v>0</v>
      </c>
      <c r="E5587" s="7" t="n">
        <v>0</v>
      </c>
      <c r="F5587" s="7" t="n">
        <v>2</v>
      </c>
      <c r="G5587" s="7" t="n">
        <v>271.02</v>
      </c>
    </row>
    <row r="5588" customFormat="false" ht="15" hidden="false" customHeight="false" outlineLevel="0" collapsed="false">
      <c r="A5588" s="7" t="s">
        <v>24</v>
      </c>
      <c r="B5588" s="7" t="s">
        <v>135</v>
      </c>
      <c r="C5588" s="7" t="s">
        <v>1273</v>
      </c>
      <c r="D5588" s="7" t="n">
        <v>0</v>
      </c>
      <c r="E5588" s="7" t="n">
        <v>0</v>
      </c>
      <c r="F5588" s="7" t="n">
        <v>2</v>
      </c>
      <c r="G5588" s="7" t="n">
        <v>230.37</v>
      </c>
    </row>
    <row r="5589" customFormat="false" ht="15" hidden="false" customHeight="false" outlineLevel="0" collapsed="false">
      <c r="A5589" s="7" t="s">
        <v>24</v>
      </c>
      <c r="B5589" s="7" t="s">
        <v>135</v>
      </c>
      <c r="C5589" s="7" t="s">
        <v>1273</v>
      </c>
      <c r="D5589" s="7" t="n">
        <v>0</v>
      </c>
      <c r="E5589" s="7" t="n">
        <v>0</v>
      </c>
      <c r="F5589" s="7" t="n">
        <v>1</v>
      </c>
      <c r="G5589" s="7" t="n">
        <v>121.96</v>
      </c>
    </row>
    <row r="5590" customFormat="false" ht="15" hidden="false" customHeight="false" outlineLevel="0" collapsed="false">
      <c r="A5590" s="7" t="s">
        <v>24</v>
      </c>
      <c r="B5590" s="7" t="s">
        <v>135</v>
      </c>
      <c r="C5590" s="7" t="s">
        <v>1273</v>
      </c>
      <c r="D5590" s="7" t="n">
        <v>0</v>
      </c>
      <c r="E5590" s="7" t="n">
        <v>0</v>
      </c>
      <c r="F5590" s="7" t="n">
        <v>1</v>
      </c>
      <c r="G5590" s="7" t="n">
        <v>121.96</v>
      </c>
    </row>
    <row r="5591" customFormat="false" ht="15" hidden="false" customHeight="false" outlineLevel="0" collapsed="false">
      <c r="A5591" s="7" t="s">
        <v>24</v>
      </c>
      <c r="B5591" s="7" t="s">
        <v>135</v>
      </c>
      <c r="C5591" s="7" t="s">
        <v>1273</v>
      </c>
      <c r="D5591" s="7" t="n">
        <v>0</v>
      </c>
      <c r="E5591" s="7" t="n">
        <v>0</v>
      </c>
      <c r="F5591" s="7" t="n">
        <v>1</v>
      </c>
      <c r="G5591" s="7" t="n">
        <v>135.51</v>
      </c>
    </row>
    <row r="5592" customFormat="false" ht="15" hidden="false" customHeight="false" outlineLevel="0" collapsed="false">
      <c r="A5592" s="7" t="s">
        <v>24</v>
      </c>
      <c r="B5592" s="7" t="s">
        <v>135</v>
      </c>
      <c r="C5592" s="7" t="s">
        <v>1273</v>
      </c>
      <c r="D5592" s="7" t="n">
        <v>0</v>
      </c>
      <c r="E5592" s="7" t="n">
        <v>0</v>
      </c>
      <c r="F5592" s="7" t="n">
        <v>1</v>
      </c>
      <c r="G5592" s="7" t="n">
        <v>121.96</v>
      </c>
    </row>
    <row r="5593" customFormat="false" ht="15" hidden="false" customHeight="false" outlineLevel="0" collapsed="false">
      <c r="A5593" s="7" t="s">
        <v>24</v>
      </c>
      <c r="B5593" s="7" t="s">
        <v>135</v>
      </c>
      <c r="C5593" s="7" t="s">
        <v>1273</v>
      </c>
      <c r="D5593" s="7" t="n">
        <v>0</v>
      </c>
      <c r="E5593" s="7" t="n">
        <v>0</v>
      </c>
      <c r="F5593" s="7" t="n">
        <v>2</v>
      </c>
      <c r="G5593" s="7" t="n">
        <v>257.47</v>
      </c>
    </row>
    <row r="5594" customFormat="false" ht="15" hidden="false" customHeight="false" outlineLevel="0" collapsed="false">
      <c r="A5594" s="7" t="s">
        <v>24</v>
      </c>
      <c r="B5594" s="7" t="s">
        <v>135</v>
      </c>
      <c r="C5594" s="7" t="s">
        <v>1273</v>
      </c>
      <c r="D5594" s="7" t="n">
        <v>0</v>
      </c>
      <c r="E5594" s="7" t="n">
        <v>0</v>
      </c>
      <c r="F5594" s="7" t="n">
        <v>4</v>
      </c>
      <c r="G5594" s="7" t="n">
        <v>514.94</v>
      </c>
    </row>
    <row r="5595" customFormat="false" ht="15" hidden="false" customHeight="false" outlineLevel="0" collapsed="false">
      <c r="A5595" s="7" t="s">
        <v>24</v>
      </c>
      <c r="B5595" s="7" t="s">
        <v>135</v>
      </c>
      <c r="C5595" s="7" t="s">
        <v>1273</v>
      </c>
      <c r="D5595" s="7" t="n">
        <v>0</v>
      </c>
      <c r="E5595" s="7" t="n">
        <v>0</v>
      </c>
      <c r="F5595" s="7" t="n">
        <v>1</v>
      </c>
      <c r="G5595" s="7" t="n">
        <v>135.51</v>
      </c>
    </row>
    <row r="5596" customFormat="false" ht="15" hidden="false" customHeight="false" outlineLevel="0" collapsed="false">
      <c r="A5596" s="7" t="s">
        <v>24</v>
      </c>
      <c r="B5596" s="7" t="s">
        <v>135</v>
      </c>
      <c r="C5596" s="7" t="s">
        <v>1273</v>
      </c>
      <c r="D5596" s="7" t="n">
        <v>0</v>
      </c>
      <c r="E5596" s="7" t="n">
        <v>0</v>
      </c>
      <c r="F5596" s="7" t="n">
        <v>1</v>
      </c>
      <c r="G5596" s="7" t="n">
        <v>121.96</v>
      </c>
    </row>
    <row r="5597" customFormat="false" ht="15" hidden="false" customHeight="false" outlineLevel="0" collapsed="false">
      <c r="A5597" s="7" t="s">
        <v>24</v>
      </c>
      <c r="B5597" s="7" t="s">
        <v>135</v>
      </c>
      <c r="C5597" s="7" t="s">
        <v>1273</v>
      </c>
      <c r="D5597" s="7" t="n">
        <v>0</v>
      </c>
      <c r="E5597" s="7" t="n">
        <v>0</v>
      </c>
      <c r="F5597" s="7" t="n">
        <v>1</v>
      </c>
      <c r="G5597" s="7" t="n">
        <v>135.51</v>
      </c>
    </row>
    <row r="5598" customFormat="false" ht="15" hidden="false" customHeight="false" outlineLevel="0" collapsed="false">
      <c r="A5598" s="7" t="s">
        <v>24</v>
      </c>
      <c r="B5598" s="7" t="s">
        <v>135</v>
      </c>
      <c r="C5598" s="7" t="s">
        <v>1273</v>
      </c>
      <c r="D5598" s="7" t="n">
        <v>0</v>
      </c>
      <c r="E5598" s="7" t="n">
        <v>0</v>
      </c>
      <c r="F5598" s="7" t="n">
        <v>4</v>
      </c>
      <c r="G5598" s="7" t="n">
        <v>528.49</v>
      </c>
    </row>
    <row r="5599" customFormat="false" ht="15" hidden="false" customHeight="false" outlineLevel="0" collapsed="false">
      <c r="A5599" s="7" t="s">
        <v>24</v>
      </c>
      <c r="B5599" s="7" t="s">
        <v>135</v>
      </c>
      <c r="C5599" s="7" t="s">
        <v>1273</v>
      </c>
      <c r="D5599" s="7" t="n">
        <v>0</v>
      </c>
      <c r="E5599" s="7" t="n">
        <v>0</v>
      </c>
      <c r="F5599" s="7" t="n">
        <v>1</v>
      </c>
      <c r="G5599" s="7" t="n">
        <v>135.51</v>
      </c>
    </row>
    <row r="5600" customFormat="false" ht="15" hidden="false" customHeight="false" outlineLevel="0" collapsed="false">
      <c r="A5600" s="7" t="s">
        <v>24</v>
      </c>
      <c r="B5600" s="7" t="s">
        <v>135</v>
      </c>
      <c r="C5600" s="7" t="s">
        <v>1273</v>
      </c>
      <c r="D5600" s="7" t="n">
        <v>0</v>
      </c>
      <c r="E5600" s="7" t="n">
        <v>0</v>
      </c>
      <c r="F5600" s="7" t="n">
        <v>8</v>
      </c>
      <c r="G5600" s="7" t="n">
        <v>1056.98</v>
      </c>
    </row>
    <row r="5601" customFormat="false" ht="15" hidden="false" customHeight="false" outlineLevel="0" collapsed="false">
      <c r="A5601" s="7" t="s">
        <v>24</v>
      </c>
      <c r="B5601" s="7" t="s">
        <v>135</v>
      </c>
      <c r="C5601" s="7" t="s">
        <v>1273</v>
      </c>
      <c r="D5601" s="7" t="n">
        <v>0</v>
      </c>
      <c r="E5601" s="7" t="n">
        <v>0</v>
      </c>
      <c r="F5601" s="7" t="n">
        <v>1</v>
      </c>
      <c r="G5601" s="7" t="n">
        <v>121.96</v>
      </c>
    </row>
    <row r="5602" customFormat="false" ht="15" hidden="false" customHeight="false" outlineLevel="0" collapsed="false">
      <c r="A5602" s="7" t="s">
        <v>24</v>
      </c>
      <c r="B5602" s="7" t="s">
        <v>135</v>
      </c>
      <c r="C5602" s="7" t="s">
        <v>1273</v>
      </c>
      <c r="D5602" s="7" t="n">
        <v>0</v>
      </c>
      <c r="E5602" s="7" t="n">
        <v>0</v>
      </c>
      <c r="F5602" s="7" t="n">
        <v>5</v>
      </c>
      <c r="G5602" s="7" t="n">
        <v>650.45</v>
      </c>
    </row>
    <row r="5603" customFormat="false" ht="15" hidden="false" customHeight="false" outlineLevel="0" collapsed="false">
      <c r="A5603" s="7" t="s">
        <v>24</v>
      </c>
      <c r="B5603" s="7" t="s">
        <v>135</v>
      </c>
      <c r="C5603" s="7" t="s">
        <v>1273</v>
      </c>
      <c r="D5603" s="7" t="n">
        <v>0</v>
      </c>
      <c r="E5603" s="7" t="n">
        <v>0</v>
      </c>
      <c r="F5603" s="7" t="n">
        <v>2</v>
      </c>
      <c r="G5603" s="7" t="n">
        <v>271.02</v>
      </c>
    </row>
    <row r="5604" customFormat="false" ht="15" hidden="false" customHeight="false" outlineLevel="0" collapsed="false">
      <c r="A5604" s="7" t="s">
        <v>24</v>
      </c>
      <c r="B5604" s="7" t="s">
        <v>135</v>
      </c>
      <c r="C5604" s="7" t="s">
        <v>1273</v>
      </c>
      <c r="D5604" s="7" t="n">
        <v>0</v>
      </c>
      <c r="E5604" s="7" t="n">
        <v>0</v>
      </c>
      <c r="F5604" s="7" t="n">
        <v>2</v>
      </c>
      <c r="G5604" s="7" t="n">
        <v>271.02</v>
      </c>
    </row>
    <row r="5605" customFormat="false" ht="15" hidden="false" customHeight="false" outlineLevel="0" collapsed="false">
      <c r="A5605" s="7" t="s">
        <v>24</v>
      </c>
      <c r="B5605" s="7" t="s">
        <v>135</v>
      </c>
      <c r="C5605" s="7" t="s">
        <v>1273</v>
      </c>
      <c r="D5605" s="7" t="n">
        <v>0</v>
      </c>
      <c r="E5605" s="7" t="n">
        <v>0</v>
      </c>
      <c r="F5605" s="7" t="n">
        <v>1</v>
      </c>
      <c r="G5605" s="7" t="n">
        <v>121.96</v>
      </c>
    </row>
    <row r="5606" customFormat="false" ht="15" hidden="false" customHeight="false" outlineLevel="0" collapsed="false">
      <c r="A5606" s="7" t="s">
        <v>24</v>
      </c>
      <c r="B5606" s="7" t="s">
        <v>135</v>
      </c>
      <c r="C5606" s="7" t="s">
        <v>1273</v>
      </c>
      <c r="D5606" s="7" t="n">
        <v>0</v>
      </c>
      <c r="E5606" s="7" t="n">
        <v>0</v>
      </c>
      <c r="F5606" s="7" t="n">
        <v>4</v>
      </c>
      <c r="G5606" s="7" t="n">
        <v>542.04</v>
      </c>
    </row>
    <row r="5607" customFormat="false" ht="15" hidden="false" customHeight="false" outlineLevel="0" collapsed="false">
      <c r="A5607" s="7" t="s">
        <v>24</v>
      </c>
      <c r="B5607" s="7" t="s">
        <v>135</v>
      </c>
      <c r="C5607" s="7" t="s">
        <v>1273</v>
      </c>
      <c r="D5607" s="7" t="n">
        <v>0</v>
      </c>
      <c r="E5607" s="7" t="n">
        <v>0</v>
      </c>
      <c r="F5607" s="7" t="n">
        <v>2</v>
      </c>
      <c r="G5607" s="7" t="n">
        <v>271.02</v>
      </c>
    </row>
    <row r="5608" customFormat="false" ht="15" hidden="false" customHeight="false" outlineLevel="0" collapsed="false">
      <c r="A5608" s="7" t="s">
        <v>24</v>
      </c>
      <c r="B5608" s="7" t="s">
        <v>135</v>
      </c>
      <c r="C5608" s="7" t="s">
        <v>1273</v>
      </c>
      <c r="D5608" s="7" t="n">
        <v>0</v>
      </c>
      <c r="E5608" s="7" t="n">
        <v>0</v>
      </c>
      <c r="F5608" s="7" t="n">
        <v>1</v>
      </c>
      <c r="G5608" s="7" t="n">
        <v>135.51</v>
      </c>
    </row>
    <row r="5609" customFormat="false" ht="15" hidden="false" customHeight="false" outlineLevel="0" collapsed="false">
      <c r="A5609" s="7" t="s">
        <v>24</v>
      </c>
      <c r="B5609" s="7" t="s">
        <v>135</v>
      </c>
      <c r="C5609" s="7" t="s">
        <v>1273</v>
      </c>
      <c r="D5609" s="7" t="n">
        <v>0</v>
      </c>
      <c r="E5609" s="7" t="n">
        <v>0</v>
      </c>
      <c r="F5609" s="7" t="n">
        <v>1</v>
      </c>
      <c r="G5609" s="7" t="n">
        <v>135.51</v>
      </c>
    </row>
    <row r="5610" customFormat="false" ht="15" hidden="false" customHeight="false" outlineLevel="0" collapsed="false">
      <c r="A5610" s="7" t="s">
        <v>24</v>
      </c>
      <c r="B5610" s="7" t="s">
        <v>135</v>
      </c>
      <c r="C5610" s="7" t="s">
        <v>1273</v>
      </c>
      <c r="D5610" s="7" t="n">
        <v>0</v>
      </c>
      <c r="E5610" s="7" t="n">
        <v>0</v>
      </c>
      <c r="F5610" s="7" t="n">
        <v>1</v>
      </c>
      <c r="G5610" s="7" t="n">
        <v>135.51</v>
      </c>
    </row>
    <row r="5611" customFormat="false" ht="15" hidden="false" customHeight="false" outlineLevel="0" collapsed="false">
      <c r="A5611" s="7" t="s">
        <v>24</v>
      </c>
      <c r="B5611" s="7" t="s">
        <v>135</v>
      </c>
      <c r="C5611" s="7" t="s">
        <v>1273</v>
      </c>
      <c r="D5611" s="7" t="n">
        <v>0</v>
      </c>
      <c r="E5611" s="7" t="n">
        <v>0</v>
      </c>
      <c r="F5611" s="7" t="n">
        <v>1</v>
      </c>
      <c r="G5611" s="7" t="n">
        <v>135.51</v>
      </c>
    </row>
    <row r="5612" customFormat="false" ht="15" hidden="false" customHeight="false" outlineLevel="0" collapsed="false">
      <c r="A5612" s="7" t="s">
        <v>24</v>
      </c>
      <c r="B5612" s="7" t="s">
        <v>135</v>
      </c>
      <c r="C5612" s="7" t="s">
        <v>1273</v>
      </c>
      <c r="D5612" s="7" t="n">
        <v>0</v>
      </c>
      <c r="E5612" s="7" t="n">
        <v>0</v>
      </c>
      <c r="F5612" s="7" t="n">
        <v>1</v>
      </c>
      <c r="G5612" s="7" t="n">
        <v>121.96</v>
      </c>
    </row>
    <row r="5613" customFormat="false" ht="15" hidden="false" customHeight="false" outlineLevel="0" collapsed="false">
      <c r="A5613" s="7" t="s">
        <v>24</v>
      </c>
      <c r="B5613" s="7" t="s">
        <v>135</v>
      </c>
      <c r="C5613" s="7" t="s">
        <v>1273</v>
      </c>
      <c r="D5613" s="7" t="n">
        <v>0</v>
      </c>
      <c r="E5613" s="7" t="n">
        <v>0</v>
      </c>
      <c r="F5613" s="7" t="n">
        <v>1</v>
      </c>
      <c r="G5613" s="7" t="n">
        <v>121.96</v>
      </c>
    </row>
    <row r="5614" customFormat="false" ht="15" hidden="false" customHeight="false" outlineLevel="0" collapsed="false">
      <c r="A5614" s="7" t="s">
        <v>24</v>
      </c>
      <c r="B5614" s="7" t="s">
        <v>135</v>
      </c>
      <c r="C5614" s="7" t="s">
        <v>1273</v>
      </c>
      <c r="D5614" s="7" t="n">
        <v>0</v>
      </c>
      <c r="E5614" s="7" t="n">
        <v>0</v>
      </c>
      <c r="F5614" s="7" t="n">
        <v>1</v>
      </c>
      <c r="G5614" s="7" t="n">
        <v>115.19</v>
      </c>
    </row>
    <row r="5615" customFormat="false" ht="15" hidden="false" customHeight="false" outlineLevel="0" collapsed="false">
      <c r="A5615" s="7" t="s">
        <v>24</v>
      </c>
      <c r="B5615" s="7" t="s">
        <v>135</v>
      </c>
      <c r="C5615" s="7" t="s">
        <v>1273</v>
      </c>
      <c r="D5615" s="7" t="n">
        <v>0</v>
      </c>
      <c r="E5615" s="7" t="n">
        <v>0</v>
      </c>
      <c r="F5615" s="7" t="n">
        <v>1</v>
      </c>
      <c r="G5615" s="7" t="n">
        <v>121.96</v>
      </c>
    </row>
    <row r="5616" customFormat="false" ht="15" hidden="false" customHeight="false" outlineLevel="0" collapsed="false">
      <c r="A5616" s="7" t="s">
        <v>24</v>
      </c>
      <c r="B5616" s="7" t="s">
        <v>135</v>
      </c>
      <c r="C5616" s="7" t="s">
        <v>1273</v>
      </c>
      <c r="D5616" s="7" t="n">
        <v>0</v>
      </c>
      <c r="E5616" s="7" t="n">
        <v>0</v>
      </c>
      <c r="F5616" s="7" t="n">
        <v>1</v>
      </c>
      <c r="G5616" s="7" t="n">
        <v>135.51</v>
      </c>
    </row>
    <row r="5617" customFormat="false" ht="15" hidden="false" customHeight="false" outlineLevel="0" collapsed="false">
      <c r="A5617" s="7" t="s">
        <v>24</v>
      </c>
      <c r="B5617" s="7" t="s">
        <v>135</v>
      </c>
      <c r="C5617" s="7" t="s">
        <v>1273</v>
      </c>
      <c r="D5617" s="7" t="n">
        <v>0</v>
      </c>
      <c r="E5617" s="7" t="n">
        <v>0</v>
      </c>
      <c r="F5617" s="7" t="n">
        <v>1</v>
      </c>
      <c r="G5617" s="7" t="n">
        <v>135.51</v>
      </c>
    </row>
    <row r="5618" customFormat="false" ht="15" hidden="false" customHeight="false" outlineLevel="0" collapsed="false">
      <c r="A5618" s="7" t="s">
        <v>24</v>
      </c>
      <c r="B5618" s="7" t="s">
        <v>135</v>
      </c>
      <c r="C5618" s="7" t="s">
        <v>1273</v>
      </c>
      <c r="D5618" s="7" t="n">
        <v>0</v>
      </c>
      <c r="E5618" s="7" t="n">
        <v>0</v>
      </c>
      <c r="F5618" s="7" t="n">
        <v>1</v>
      </c>
      <c r="G5618" s="7" t="n">
        <v>121.96</v>
      </c>
    </row>
    <row r="5619" customFormat="false" ht="15" hidden="false" customHeight="false" outlineLevel="0" collapsed="false">
      <c r="A5619" s="7" t="s">
        <v>24</v>
      </c>
      <c r="B5619" s="7" t="s">
        <v>135</v>
      </c>
      <c r="C5619" s="7" t="s">
        <v>1273</v>
      </c>
      <c r="D5619" s="7" t="n">
        <v>0</v>
      </c>
      <c r="E5619" s="7" t="n">
        <v>0</v>
      </c>
      <c r="F5619" s="7" t="n">
        <v>1</v>
      </c>
      <c r="G5619" s="7" t="n">
        <v>121.96</v>
      </c>
    </row>
    <row r="5620" customFormat="false" ht="15" hidden="false" customHeight="false" outlineLevel="0" collapsed="false">
      <c r="A5620" s="7" t="s">
        <v>24</v>
      </c>
      <c r="B5620" s="7" t="s">
        <v>135</v>
      </c>
      <c r="C5620" s="7" t="s">
        <v>1273</v>
      </c>
      <c r="D5620" s="7" t="n">
        <v>0</v>
      </c>
      <c r="E5620" s="7" t="n">
        <v>0</v>
      </c>
      <c r="F5620" s="7" t="n">
        <v>1</v>
      </c>
      <c r="G5620" s="7" t="n">
        <v>121.96</v>
      </c>
    </row>
    <row r="5621" customFormat="false" ht="15" hidden="false" customHeight="false" outlineLevel="0" collapsed="false">
      <c r="A5621" s="7" t="s">
        <v>24</v>
      </c>
      <c r="B5621" s="7" t="s">
        <v>135</v>
      </c>
      <c r="C5621" s="7" t="s">
        <v>1273</v>
      </c>
      <c r="D5621" s="7" t="n">
        <v>0</v>
      </c>
      <c r="E5621" s="7" t="n">
        <v>0</v>
      </c>
      <c r="F5621" s="7" t="n">
        <v>1</v>
      </c>
      <c r="G5621" s="7" t="n">
        <v>135.51</v>
      </c>
    </row>
    <row r="5622" customFormat="false" ht="15" hidden="false" customHeight="false" outlineLevel="0" collapsed="false">
      <c r="A5622" s="7" t="s">
        <v>24</v>
      </c>
      <c r="B5622" s="7" t="s">
        <v>135</v>
      </c>
      <c r="C5622" s="7" t="s">
        <v>1273</v>
      </c>
      <c r="D5622" s="7" t="n">
        <v>0</v>
      </c>
      <c r="E5622" s="7" t="n">
        <v>0</v>
      </c>
      <c r="F5622" s="7" t="n">
        <v>2</v>
      </c>
      <c r="G5622" s="7" t="n">
        <v>230.37</v>
      </c>
    </row>
    <row r="5623" customFormat="false" ht="15" hidden="false" customHeight="false" outlineLevel="0" collapsed="false">
      <c r="A5623" s="7" t="s">
        <v>24</v>
      </c>
      <c r="B5623" s="7" t="s">
        <v>135</v>
      </c>
      <c r="C5623" s="7" t="s">
        <v>1273</v>
      </c>
      <c r="D5623" s="7" t="n">
        <v>0</v>
      </c>
      <c r="E5623" s="7" t="n">
        <v>0</v>
      </c>
      <c r="F5623" s="7" t="n">
        <v>1</v>
      </c>
      <c r="G5623" s="7" t="n">
        <v>135.51</v>
      </c>
    </row>
    <row r="5624" customFormat="false" ht="15" hidden="false" customHeight="false" outlineLevel="0" collapsed="false">
      <c r="A5624" s="7" t="s">
        <v>24</v>
      </c>
      <c r="B5624" s="7" t="s">
        <v>404</v>
      </c>
      <c r="C5624" s="7" t="s">
        <v>1249</v>
      </c>
      <c r="D5624" s="7" t="n">
        <v>0</v>
      </c>
      <c r="E5624" s="7" t="n">
        <v>0</v>
      </c>
      <c r="F5624" s="7" t="n">
        <v>1</v>
      </c>
      <c r="G5624" s="7" t="n">
        <v>111.78</v>
      </c>
    </row>
    <row r="5625" customFormat="false" ht="15" hidden="false" customHeight="false" outlineLevel="0" collapsed="false">
      <c r="A5625" s="7" t="s">
        <v>24</v>
      </c>
      <c r="B5625" s="7" t="s">
        <v>404</v>
      </c>
      <c r="C5625" s="7" t="s">
        <v>1249</v>
      </c>
      <c r="D5625" s="7" t="n">
        <v>0</v>
      </c>
      <c r="E5625" s="7" t="n">
        <v>0</v>
      </c>
      <c r="F5625" s="7" t="n">
        <v>1</v>
      </c>
      <c r="G5625" s="7" t="n">
        <v>95.01</v>
      </c>
    </row>
    <row r="5626" customFormat="false" ht="15" hidden="false" customHeight="false" outlineLevel="0" collapsed="false">
      <c r="A5626" s="7" t="s">
        <v>24</v>
      </c>
      <c r="B5626" s="7" t="s">
        <v>404</v>
      </c>
      <c r="C5626" s="7" t="s">
        <v>1249</v>
      </c>
      <c r="D5626" s="7" t="n">
        <v>0</v>
      </c>
      <c r="E5626" s="7" t="n">
        <v>0</v>
      </c>
      <c r="F5626" s="7" t="n">
        <v>1</v>
      </c>
      <c r="G5626" s="7" t="n">
        <v>100.6</v>
      </c>
    </row>
    <row r="5627" customFormat="false" ht="15" hidden="false" customHeight="false" outlineLevel="0" collapsed="false">
      <c r="A5627" s="7" t="s">
        <v>24</v>
      </c>
      <c r="B5627" s="7" t="s">
        <v>404</v>
      </c>
      <c r="C5627" s="7" t="s">
        <v>1249</v>
      </c>
      <c r="D5627" s="7" t="n">
        <v>0</v>
      </c>
      <c r="E5627" s="7" t="n">
        <v>0</v>
      </c>
      <c r="F5627" s="7" t="n">
        <v>1</v>
      </c>
      <c r="G5627" s="7" t="n">
        <v>111.78</v>
      </c>
    </row>
    <row r="5628" customFormat="false" ht="15" hidden="false" customHeight="false" outlineLevel="0" collapsed="false">
      <c r="A5628" s="7" t="s">
        <v>24</v>
      </c>
      <c r="B5628" s="7" t="s">
        <v>404</v>
      </c>
      <c r="C5628" s="7" t="s">
        <v>1249</v>
      </c>
      <c r="D5628" s="7" t="n">
        <v>0</v>
      </c>
      <c r="E5628" s="7" t="n">
        <v>0</v>
      </c>
      <c r="F5628" s="7" t="n">
        <v>1</v>
      </c>
      <c r="G5628" s="7" t="n">
        <v>111.78</v>
      </c>
    </row>
    <row r="5629" customFormat="false" ht="15" hidden="false" customHeight="false" outlineLevel="0" collapsed="false">
      <c r="A5629" s="7" t="s">
        <v>24</v>
      </c>
      <c r="B5629" s="7" t="s">
        <v>404</v>
      </c>
      <c r="C5629" s="7" t="s">
        <v>1249</v>
      </c>
      <c r="D5629" s="7" t="n">
        <v>0</v>
      </c>
      <c r="E5629" s="7" t="n">
        <v>0</v>
      </c>
      <c r="F5629" s="7" t="n">
        <v>2</v>
      </c>
      <c r="G5629" s="7" t="n">
        <v>223.56</v>
      </c>
    </row>
    <row r="5630" customFormat="false" ht="15" hidden="false" customHeight="false" outlineLevel="0" collapsed="false">
      <c r="A5630" s="7" t="s">
        <v>24</v>
      </c>
      <c r="B5630" s="7" t="s">
        <v>404</v>
      </c>
      <c r="C5630" s="7" t="s">
        <v>1249</v>
      </c>
      <c r="D5630" s="7" t="n">
        <v>33</v>
      </c>
      <c r="E5630" s="7" t="n">
        <v>3431.61</v>
      </c>
      <c r="F5630" s="7" t="n">
        <v>16</v>
      </c>
      <c r="G5630" s="7" t="n">
        <v>1732.58</v>
      </c>
    </row>
    <row r="5631" customFormat="false" ht="15" hidden="false" customHeight="false" outlineLevel="0" collapsed="false">
      <c r="A5631" s="7" t="s">
        <v>24</v>
      </c>
      <c r="B5631" s="7" t="s">
        <v>404</v>
      </c>
      <c r="C5631" s="7" t="s">
        <v>1249</v>
      </c>
      <c r="D5631" s="7" t="n">
        <v>0</v>
      </c>
      <c r="E5631" s="7" t="n">
        <v>0</v>
      </c>
      <c r="F5631" s="7" t="n">
        <v>1</v>
      </c>
      <c r="G5631" s="7" t="n">
        <v>100.6</v>
      </c>
    </row>
    <row r="5632" customFormat="false" ht="15" hidden="false" customHeight="false" outlineLevel="0" collapsed="false">
      <c r="A5632" s="7" t="s">
        <v>24</v>
      </c>
      <c r="B5632" s="7" t="s">
        <v>404</v>
      </c>
      <c r="C5632" s="7" t="s">
        <v>1249</v>
      </c>
      <c r="D5632" s="7" t="n">
        <v>0</v>
      </c>
      <c r="E5632" s="7" t="n">
        <v>0</v>
      </c>
      <c r="F5632" s="7" t="n">
        <v>1</v>
      </c>
      <c r="G5632" s="7" t="n">
        <v>100.61</v>
      </c>
    </row>
    <row r="5633" customFormat="false" ht="15" hidden="false" customHeight="false" outlineLevel="0" collapsed="false">
      <c r="A5633" s="7" t="s">
        <v>24</v>
      </c>
      <c r="B5633" s="7" t="s">
        <v>404</v>
      </c>
      <c r="C5633" s="7" t="s">
        <v>1249</v>
      </c>
      <c r="D5633" s="7" t="n">
        <v>0</v>
      </c>
      <c r="E5633" s="7" t="n">
        <v>0</v>
      </c>
      <c r="F5633" s="7" t="n">
        <v>2</v>
      </c>
      <c r="G5633" s="7" t="n">
        <v>190.03</v>
      </c>
    </row>
    <row r="5634" customFormat="false" ht="15" hidden="false" customHeight="false" outlineLevel="0" collapsed="false">
      <c r="A5634" s="7" t="s">
        <v>24</v>
      </c>
      <c r="B5634" s="7" t="s">
        <v>404</v>
      </c>
      <c r="C5634" s="7" t="s">
        <v>1249</v>
      </c>
      <c r="D5634" s="7" t="n">
        <v>0</v>
      </c>
      <c r="E5634" s="7" t="n">
        <v>0</v>
      </c>
      <c r="F5634" s="7" t="n">
        <v>1</v>
      </c>
      <c r="G5634" s="7" t="n">
        <v>111.78</v>
      </c>
    </row>
    <row r="5635" customFormat="false" ht="15" hidden="false" customHeight="false" outlineLevel="0" collapsed="false">
      <c r="A5635" s="7" t="s">
        <v>24</v>
      </c>
      <c r="B5635" s="7" t="s">
        <v>404</v>
      </c>
      <c r="C5635" s="7" t="s">
        <v>1249</v>
      </c>
      <c r="D5635" s="7" t="n">
        <v>0</v>
      </c>
      <c r="E5635" s="7" t="n">
        <v>0</v>
      </c>
      <c r="F5635" s="7" t="n">
        <v>1</v>
      </c>
      <c r="G5635" s="7" t="n">
        <v>111.78</v>
      </c>
    </row>
    <row r="5636" customFormat="false" ht="15" hidden="false" customHeight="false" outlineLevel="0" collapsed="false">
      <c r="A5636" s="7" t="s">
        <v>24</v>
      </c>
      <c r="B5636" s="7" t="s">
        <v>404</v>
      </c>
      <c r="C5636" s="7" t="s">
        <v>1249</v>
      </c>
      <c r="D5636" s="7" t="n">
        <v>0</v>
      </c>
      <c r="E5636" s="7" t="n">
        <v>0</v>
      </c>
      <c r="F5636" s="7" t="n">
        <v>1</v>
      </c>
      <c r="G5636" s="7" t="n">
        <v>111.78</v>
      </c>
    </row>
    <row r="5637" customFormat="false" ht="15" hidden="false" customHeight="false" outlineLevel="0" collapsed="false">
      <c r="A5637" s="7" t="s">
        <v>24</v>
      </c>
      <c r="B5637" s="7" t="s">
        <v>404</v>
      </c>
      <c r="C5637" s="7" t="s">
        <v>1249</v>
      </c>
      <c r="D5637" s="7" t="n">
        <v>0</v>
      </c>
      <c r="E5637" s="7" t="n">
        <v>0</v>
      </c>
      <c r="F5637" s="7" t="n">
        <v>3</v>
      </c>
      <c r="G5637" s="7" t="n">
        <v>312.98</v>
      </c>
    </row>
    <row r="5638" customFormat="false" ht="15" hidden="false" customHeight="false" outlineLevel="0" collapsed="false">
      <c r="A5638" s="7" t="s">
        <v>24</v>
      </c>
      <c r="B5638" s="7" t="s">
        <v>404</v>
      </c>
      <c r="C5638" s="7" t="s">
        <v>1249</v>
      </c>
      <c r="D5638" s="7" t="n">
        <v>0</v>
      </c>
      <c r="E5638" s="7" t="n">
        <v>0</v>
      </c>
      <c r="F5638" s="7" t="n">
        <v>1</v>
      </c>
      <c r="G5638" s="7" t="n">
        <v>111.78</v>
      </c>
    </row>
    <row r="5639" customFormat="false" ht="15" hidden="false" customHeight="false" outlineLevel="0" collapsed="false">
      <c r="A5639" s="7" t="s">
        <v>24</v>
      </c>
      <c r="B5639" s="7" t="s">
        <v>404</v>
      </c>
      <c r="C5639" s="7" t="s">
        <v>1249</v>
      </c>
      <c r="D5639" s="7" t="n">
        <v>0</v>
      </c>
      <c r="E5639" s="7" t="n">
        <v>0</v>
      </c>
      <c r="F5639" s="7" t="n">
        <v>1</v>
      </c>
      <c r="G5639" s="7" t="n">
        <v>111.78</v>
      </c>
    </row>
    <row r="5640" customFormat="false" ht="15" hidden="false" customHeight="false" outlineLevel="0" collapsed="false">
      <c r="A5640" s="7" t="s">
        <v>24</v>
      </c>
      <c r="B5640" s="7" t="s">
        <v>404</v>
      </c>
      <c r="C5640" s="7" t="s">
        <v>1249</v>
      </c>
      <c r="D5640" s="7" t="n">
        <v>0</v>
      </c>
      <c r="E5640" s="7" t="n">
        <v>0</v>
      </c>
      <c r="F5640" s="7" t="n">
        <v>1</v>
      </c>
      <c r="G5640" s="7" t="n">
        <v>111.78</v>
      </c>
    </row>
    <row r="5641" customFormat="false" ht="15" hidden="false" customHeight="false" outlineLevel="0" collapsed="false">
      <c r="A5641" s="7" t="s">
        <v>24</v>
      </c>
      <c r="B5641" s="7" t="s">
        <v>404</v>
      </c>
      <c r="C5641" s="7" t="s">
        <v>1249</v>
      </c>
      <c r="D5641" s="7" t="n">
        <v>0</v>
      </c>
      <c r="E5641" s="7" t="n">
        <v>0</v>
      </c>
      <c r="F5641" s="7" t="n">
        <v>1</v>
      </c>
      <c r="G5641" s="7" t="n">
        <v>100.61</v>
      </c>
    </row>
    <row r="5642" customFormat="false" ht="15" hidden="false" customHeight="false" outlineLevel="0" collapsed="false">
      <c r="A5642" s="7" t="s">
        <v>24</v>
      </c>
      <c r="B5642" s="7" t="s">
        <v>103</v>
      </c>
      <c r="C5642" s="7" t="s">
        <v>1121</v>
      </c>
      <c r="D5642" s="7" t="n">
        <v>0</v>
      </c>
      <c r="E5642" s="7" t="n">
        <v>0</v>
      </c>
      <c r="F5642" s="7" t="n">
        <v>1</v>
      </c>
      <c r="G5642" s="7" t="n">
        <v>129.58</v>
      </c>
    </row>
    <row r="5643" customFormat="false" ht="15" hidden="false" customHeight="false" outlineLevel="0" collapsed="false">
      <c r="A5643" s="7" t="s">
        <v>24</v>
      </c>
      <c r="B5643" s="7" t="s">
        <v>103</v>
      </c>
      <c r="C5643" s="7" t="s">
        <v>1121</v>
      </c>
      <c r="D5643" s="7" t="n">
        <v>0</v>
      </c>
      <c r="E5643" s="7" t="n">
        <v>0</v>
      </c>
      <c r="F5643" s="7" t="n">
        <v>1</v>
      </c>
      <c r="G5643" s="7" t="n">
        <v>129.58</v>
      </c>
    </row>
    <row r="5644" customFormat="false" ht="15" hidden="false" customHeight="false" outlineLevel="0" collapsed="false">
      <c r="A5644" s="7" t="s">
        <v>24</v>
      </c>
      <c r="B5644" s="7" t="s">
        <v>103</v>
      </c>
      <c r="C5644" s="7" t="s">
        <v>1121</v>
      </c>
      <c r="D5644" s="7" t="n">
        <v>0</v>
      </c>
      <c r="E5644" s="7" t="n">
        <v>0</v>
      </c>
      <c r="F5644" s="7" t="n">
        <v>1</v>
      </c>
      <c r="G5644" s="7" t="n">
        <v>115.18</v>
      </c>
    </row>
    <row r="5645" customFormat="false" ht="15" hidden="false" customHeight="false" outlineLevel="0" collapsed="false">
      <c r="A5645" s="7" t="s">
        <v>24</v>
      </c>
      <c r="B5645" s="7" t="s">
        <v>103</v>
      </c>
      <c r="C5645" s="7" t="s">
        <v>1121</v>
      </c>
      <c r="D5645" s="7" t="n">
        <v>0</v>
      </c>
      <c r="E5645" s="7" t="n">
        <v>0</v>
      </c>
      <c r="F5645" s="7" t="n">
        <v>10</v>
      </c>
      <c r="G5645" s="7" t="n">
        <v>1317.43</v>
      </c>
    </row>
    <row r="5646" customFormat="false" ht="15" hidden="false" customHeight="false" outlineLevel="0" collapsed="false">
      <c r="A5646" s="7" t="s">
        <v>24</v>
      </c>
      <c r="B5646" s="7" t="s">
        <v>103</v>
      </c>
      <c r="C5646" s="7" t="s">
        <v>1121</v>
      </c>
      <c r="D5646" s="7" t="n">
        <v>0</v>
      </c>
      <c r="E5646" s="7" t="n">
        <v>0</v>
      </c>
      <c r="F5646" s="7" t="n">
        <v>3</v>
      </c>
      <c r="G5646" s="7" t="n">
        <v>328.5</v>
      </c>
    </row>
    <row r="5647" customFormat="false" ht="15" hidden="false" customHeight="false" outlineLevel="0" collapsed="false">
      <c r="A5647" s="7" t="s">
        <v>24</v>
      </c>
      <c r="B5647" s="7" t="s">
        <v>103</v>
      </c>
      <c r="C5647" s="7" t="s">
        <v>1121</v>
      </c>
      <c r="D5647" s="7" t="n">
        <v>0</v>
      </c>
      <c r="E5647" s="7" t="n">
        <v>0</v>
      </c>
      <c r="F5647" s="7" t="n">
        <v>3</v>
      </c>
      <c r="G5647" s="7" t="n">
        <v>403.17</v>
      </c>
    </row>
    <row r="5648" customFormat="false" ht="15" hidden="false" customHeight="false" outlineLevel="0" collapsed="false">
      <c r="A5648" s="7" t="s">
        <v>24</v>
      </c>
      <c r="B5648" s="7" t="s">
        <v>103</v>
      </c>
      <c r="C5648" s="7" t="s">
        <v>1121</v>
      </c>
      <c r="D5648" s="7" t="n">
        <v>0</v>
      </c>
      <c r="E5648" s="7" t="n">
        <v>0</v>
      </c>
      <c r="F5648" s="7" t="n">
        <v>2</v>
      </c>
      <c r="G5648" s="7" t="n">
        <v>230.37</v>
      </c>
    </row>
    <row r="5649" customFormat="false" ht="15" hidden="false" customHeight="false" outlineLevel="0" collapsed="false">
      <c r="A5649" s="7" t="s">
        <v>24</v>
      </c>
      <c r="B5649" s="7" t="s">
        <v>103</v>
      </c>
      <c r="C5649" s="7" t="s">
        <v>1121</v>
      </c>
      <c r="D5649" s="7" t="n">
        <v>0</v>
      </c>
      <c r="E5649" s="7" t="n">
        <v>0</v>
      </c>
      <c r="F5649" s="7" t="n">
        <v>2</v>
      </c>
      <c r="G5649" s="7" t="n">
        <v>259.17</v>
      </c>
    </row>
    <row r="5650" customFormat="false" ht="15" hidden="false" customHeight="false" outlineLevel="0" collapsed="false">
      <c r="A5650" s="7" t="s">
        <v>24</v>
      </c>
      <c r="B5650" s="7" t="s">
        <v>103</v>
      </c>
      <c r="C5650" s="7" t="s">
        <v>1121</v>
      </c>
      <c r="D5650" s="7" t="n">
        <v>0</v>
      </c>
      <c r="E5650" s="7" t="n">
        <v>0</v>
      </c>
      <c r="F5650" s="7" t="n">
        <v>1</v>
      </c>
      <c r="G5650" s="7" t="n">
        <v>143.99</v>
      </c>
    </row>
    <row r="5651" customFormat="false" ht="15" hidden="false" customHeight="false" outlineLevel="0" collapsed="false">
      <c r="A5651" s="7" t="s">
        <v>24</v>
      </c>
      <c r="B5651" s="7" t="s">
        <v>103</v>
      </c>
      <c r="C5651" s="7" t="s">
        <v>1121</v>
      </c>
      <c r="D5651" s="7" t="n">
        <v>0</v>
      </c>
      <c r="E5651" s="7" t="n">
        <v>0</v>
      </c>
      <c r="F5651" s="7" t="n">
        <v>1</v>
      </c>
      <c r="G5651" s="7" t="n">
        <v>143.98</v>
      </c>
    </row>
    <row r="5652" customFormat="false" ht="15" hidden="false" customHeight="false" outlineLevel="0" collapsed="false">
      <c r="A5652" s="7" t="s">
        <v>24</v>
      </c>
      <c r="B5652" s="7" t="s">
        <v>103</v>
      </c>
      <c r="C5652" s="7" t="s">
        <v>1121</v>
      </c>
      <c r="D5652" s="7" t="n">
        <v>0</v>
      </c>
      <c r="E5652" s="7" t="n">
        <v>0</v>
      </c>
      <c r="F5652" s="7" t="n">
        <v>2</v>
      </c>
      <c r="G5652" s="7" t="n">
        <v>230.37</v>
      </c>
    </row>
    <row r="5653" customFormat="false" ht="15" hidden="false" customHeight="false" outlineLevel="0" collapsed="false">
      <c r="A5653" s="7" t="s">
        <v>24</v>
      </c>
      <c r="B5653" s="7" t="s">
        <v>103</v>
      </c>
      <c r="C5653" s="7" t="s">
        <v>1121</v>
      </c>
      <c r="D5653" s="7" t="n">
        <v>0</v>
      </c>
      <c r="E5653" s="7" t="n">
        <v>0</v>
      </c>
      <c r="F5653" s="7" t="n">
        <v>2</v>
      </c>
      <c r="G5653" s="7" t="n">
        <v>287.96</v>
      </c>
    </row>
    <row r="5654" customFormat="false" ht="15" hidden="false" customHeight="false" outlineLevel="0" collapsed="false">
      <c r="A5654" s="7" t="s">
        <v>24</v>
      </c>
      <c r="B5654" s="7" t="s">
        <v>103</v>
      </c>
      <c r="C5654" s="7" t="s">
        <v>1121</v>
      </c>
      <c r="D5654" s="7" t="n">
        <v>0</v>
      </c>
      <c r="E5654" s="7" t="n">
        <v>0</v>
      </c>
      <c r="F5654" s="7" t="n">
        <v>1</v>
      </c>
      <c r="G5654" s="7" t="n">
        <v>129.59</v>
      </c>
    </row>
    <row r="5655" customFormat="false" ht="15" hidden="false" customHeight="false" outlineLevel="0" collapsed="false">
      <c r="A5655" s="7" t="s">
        <v>24</v>
      </c>
      <c r="B5655" s="7" t="s">
        <v>103</v>
      </c>
      <c r="C5655" s="7" t="s">
        <v>1121</v>
      </c>
      <c r="D5655" s="7" t="n">
        <v>0</v>
      </c>
      <c r="E5655" s="7" t="n">
        <v>0</v>
      </c>
      <c r="F5655" s="7" t="n">
        <v>3</v>
      </c>
      <c r="G5655" s="7" t="n">
        <v>388.77</v>
      </c>
    </row>
    <row r="5656" customFormat="false" ht="15" hidden="false" customHeight="false" outlineLevel="0" collapsed="false">
      <c r="A5656" s="7" t="s">
        <v>24</v>
      </c>
      <c r="B5656" s="7" t="s">
        <v>103</v>
      </c>
      <c r="C5656" s="7" t="s">
        <v>1121</v>
      </c>
      <c r="D5656" s="7" t="n">
        <v>0</v>
      </c>
      <c r="E5656" s="7" t="n">
        <v>0</v>
      </c>
      <c r="F5656" s="7" t="n">
        <v>1</v>
      </c>
      <c r="G5656" s="7" t="n">
        <v>143.98</v>
      </c>
    </row>
    <row r="5657" customFormat="false" ht="15" hidden="false" customHeight="false" outlineLevel="0" collapsed="false">
      <c r="A5657" s="7" t="s">
        <v>24</v>
      </c>
      <c r="B5657" s="7" t="s">
        <v>103</v>
      </c>
      <c r="C5657" s="7" t="s">
        <v>1121</v>
      </c>
      <c r="D5657" s="7" t="n">
        <v>0</v>
      </c>
      <c r="E5657" s="7" t="n">
        <v>0</v>
      </c>
      <c r="F5657" s="7" t="n">
        <v>2</v>
      </c>
      <c r="G5657" s="7" t="n">
        <v>273.56</v>
      </c>
    </row>
    <row r="5658" customFormat="false" ht="15" hidden="false" customHeight="false" outlineLevel="0" collapsed="false">
      <c r="A5658" s="7" t="s">
        <v>24</v>
      </c>
      <c r="B5658" s="7" t="s">
        <v>103</v>
      </c>
      <c r="C5658" s="7" t="s">
        <v>1121</v>
      </c>
      <c r="D5658" s="7" t="n">
        <v>0</v>
      </c>
      <c r="E5658" s="7" t="n">
        <v>0</v>
      </c>
      <c r="F5658" s="7" t="n">
        <v>1</v>
      </c>
      <c r="G5658" s="7" t="n">
        <v>143.99</v>
      </c>
    </row>
    <row r="5659" customFormat="false" ht="15" hidden="false" customHeight="false" outlineLevel="0" collapsed="false">
      <c r="A5659" s="7" t="s">
        <v>24</v>
      </c>
      <c r="B5659" s="7" t="s">
        <v>103</v>
      </c>
      <c r="C5659" s="7" t="s">
        <v>1121</v>
      </c>
      <c r="D5659" s="7" t="n">
        <v>0</v>
      </c>
      <c r="E5659" s="7" t="n">
        <v>0</v>
      </c>
      <c r="F5659" s="7" t="n">
        <v>1</v>
      </c>
      <c r="G5659" s="7" t="n">
        <v>143.99</v>
      </c>
    </row>
    <row r="5660" customFormat="false" ht="15" hidden="false" customHeight="false" outlineLevel="0" collapsed="false">
      <c r="A5660" s="7" t="s">
        <v>24</v>
      </c>
      <c r="B5660" s="7" t="s">
        <v>103</v>
      </c>
      <c r="C5660" s="7" t="s">
        <v>1121</v>
      </c>
      <c r="D5660" s="7" t="n">
        <v>0</v>
      </c>
      <c r="E5660" s="7" t="n">
        <v>0</v>
      </c>
      <c r="F5660" s="7" t="n">
        <v>1</v>
      </c>
      <c r="G5660" s="7" t="n">
        <v>143.98</v>
      </c>
    </row>
    <row r="5661" customFormat="false" ht="15" hidden="false" customHeight="false" outlineLevel="0" collapsed="false">
      <c r="A5661" s="7" t="s">
        <v>24</v>
      </c>
      <c r="B5661" s="7" t="s">
        <v>103</v>
      </c>
      <c r="C5661" s="7" t="s">
        <v>1121</v>
      </c>
      <c r="D5661" s="7" t="n">
        <v>0</v>
      </c>
      <c r="E5661" s="7" t="n">
        <v>0</v>
      </c>
      <c r="F5661" s="7" t="n">
        <v>1</v>
      </c>
      <c r="G5661" s="7" t="n">
        <v>0.85</v>
      </c>
    </row>
    <row r="5662" customFormat="false" ht="15" hidden="false" customHeight="false" outlineLevel="0" collapsed="false">
      <c r="A5662" s="7" t="s">
        <v>24</v>
      </c>
      <c r="B5662" s="7" t="s">
        <v>103</v>
      </c>
      <c r="C5662" s="7" t="s">
        <v>1121</v>
      </c>
      <c r="D5662" s="7" t="n">
        <v>0</v>
      </c>
      <c r="E5662" s="7" t="n">
        <v>0</v>
      </c>
      <c r="F5662" s="7" t="n">
        <v>1</v>
      </c>
      <c r="G5662" s="7" t="n">
        <v>143.98</v>
      </c>
    </row>
    <row r="5663" customFormat="false" ht="15" hidden="false" customHeight="false" outlineLevel="0" collapsed="false">
      <c r="A5663" s="7" t="s">
        <v>24</v>
      </c>
      <c r="B5663" s="7" t="s">
        <v>103</v>
      </c>
      <c r="C5663" s="7" t="s">
        <v>1121</v>
      </c>
      <c r="D5663" s="7" t="n">
        <v>0</v>
      </c>
      <c r="E5663" s="7" t="n">
        <v>0</v>
      </c>
      <c r="F5663" s="7" t="n">
        <v>1</v>
      </c>
      <c r="G5663" s="7" t="n">
        <v>115.19</v>
      </c>
    </row>
    <row r="5664" customFormat="false" ht="15" hidden="false" customHeight="false" outlineLevel="0" collapsed="false">
      <c r="A5664" s="7" t="s">
        <v>24</v>
      </c>
      <c r="B5664" s="7" t="s">
        <v>103</v>
      </c>
      <c r="C5664" s="7" t="s">
        <v>1121</v>
      </c>
      <c r="D5664" s="7" t="n">
        <v>0</v>
      </c>
      <c r="E5664" s="7" t="n">
        <v>0</v>
      </c>
      <c r="F5664" s="7" t="n">
        <v>1</v>
      </c>
      <c r="G5664" s="7" t="n">
        <v>143.99</v>
      </c>
    </row>
    <row r="5665" customFormat="false" ht="15" hidden="false" customHeight="false" outlineLevel="0" collapsed="false">
      <c r="A5665" s="7" t="s">
        <v>24</v>
      </c>
      <c r="B5665" s="7" t="s">
        <v>103</v>
      </c>
      <c r="C5665" s="7" t="s">
        <v>1121</v>
      </c>
      <c r="D5665" s="7" t="n">
        <v>0</v>
      </c>
      <c r="E5665" s="7" t="n">
        <v>0</v>
      </c>
      <c r="F5665" s="7" t="n">
        <v>1</v>
      </c>
      <c r="G5665" s="7" t="n">
        <v>143.99</v>
      </c>
    </row>
    <row r="5666" customFormat="false" ht="15" hidden="false" customHeight="false" outlineLevel="0" collapsed="false">
      <c r="A5666" s="7" t="s">
        <v>24</v>
      </c>
      <c r="B5666" s="7" t="s">
        <v>103</v>
      </c>
      <c r="C5666" s="7" t="s">
        <v>1121</v>
      </c>
      <c r="D5666" s="7" t="n">
        <v>0</v>
      </c>
      <c r="E5666" s="7" t="n">
        <v>0</v>
      </c>
      <c r="F5666" s="7" t="n">
        <v>1</v>
      </c>
      <c r="G5666" s="7" t="n">
        <v>143.99</v>
      </c>
    </row>
    <row r="5667" customFormat="false" ht="15" hidden="false" customHeight="false" outlineLevel="0" collapsed="false">
      <c r="A5667" s="7" t="s">
        <v>24</v>
      </c>
      <c r="B5667" s="7" t="s">
        <v>103</v>
      </c>
      <c r="C5667" s="7" t="s">
        <v>1121</v>
      </c>
      <c r="D5667" s="7" t="n">
        <v>0</v>
      </c>
      <c r="E5667" s="7" t="n">
        <v>0</v>
      </c>
      <c r="F5667" s="7" t="n">
        <v>6</v>
      </c>
      <c r="G5667" s="7" t="n">
        <v>777.54</v>
      </c>
    </row>
    <row r="5668" customFormat="false" ht="15" hidden="false" customHeight="false" outlineLevel="0" collapsed="false">
      <c r="A5668" s="7" t="s">
        <v>24</v>
      </c>
      <c r="B5668" s="7" t="s">
        <v>103</v>
      </c>
      <c r="C5668" s="7" t="s">
        <v>1121</v>
      </c>
      <c r="D5668" s="7" t="n">
        <v>0</v>
      </c>
      <c r="E5668" s="7" t="n">
        <v>0</v>
      </c>
      <c r="F5668" s="7" t="n">
        <v>1</v>
      </c>
      <c r="G5668" s="7" t="n">
        <v>129.58</v>
      </c>
    </row>
    <row r="5669" customFormat="false" ht="15" hidden="false" customHeight="false" outlineLevel="0" collapsed="false">
      <c r="A5669" s="7" t="s">
        <v>24</v>
      </c>
      <c r="B5669" s="7" t="s">
        <v>103</v>
      </c>
      <c r="C5669" s="7" t="s">
        <v>1121</v>
      </c>
      <c r="D5669" s="7" t="n">
        <v>0</v>
      </c>
      <c r="E5669" s="7" t="n">
        <v>0</v>
      </c>
      <c r="F5669" s="7" t="n">
        <v>6</v>
      </c>
      <c r="G5669" s="7" t="n">
        <v>784.71</v>
      </c>
    </row>
    <row r="5670" customFormat="false" ht="15" hidden="false" customHeight="false" outlineLevel="0" collapsed="false">
      <c r="A5670" s="7" t="s">
        <v>24</v>
      </c>
      <c r="B5670" s="7" t="s">
        <v>103</v>
      </c>
      <c r="C5670" s="7" t="s">
        <v>1121</v>
      </c>
      <c r="D5670" s="7" t="n">
        <v>0</v>
      </c>
      <c r="E5670" s="7" t="n">
        <v>0</v>
      </c>
      <c r="F5670" s="7" t="n">
        <v>6</v>
      </c>
      <c r="G5670" s="7" t="n">
        <v>786.89</v>
      </c>
    </row>
    <row r="5671" customFormat="false" ht="15" hidden="false" customHeight="false" outlineLevel="0" collapsed="false">
      <c r="A5671" s="7" t="s">
        <v>24</v>
      </c>
      <c r="B5671" s="7" t="s">
        <v>103</v>
      </c>
      <c r="C5671" s="7" t="s">
        <v>1121</v>
      </c>
      <c r="D5671" s="7" t="n">
        <v>0</v>
      </c>
      <c r="E5671" s="7" t="n">
        <v>0</v>
      </c>
      <c r="F5671" s="7" t="n">
        <v>1</v>
      </c>
      <c r="G5671" s="7" t="n">
        <v>143.98</v>
      </c>
    </row>
    <row r="5672" customFormat="false" ht="15" hidden="false" customHeight="false" outlineLevel="0" collapsed="false">
      <c r="A5672" s="7" t="s">
        <v>24</v>
      </c>
      <c r="B5672" s="7" t="s">
        <v>103</v>
      </c>
      <c r="C5672" s="7" t="s">
        <v>1121</v>
      </c>
      <c r="D5672" s="7" t="n">
        <v>0</v>
      </c>
      <c r="E5672" s="7" t="n">
        <v>0</v>
      </c>
      <c r="F5672" s="7" t="n">
        <v>2</v>
      </c>
      <c r="G5672" s="7" t="n">
        <v>251.97</v>
      </c>
    </row>
    <row r="5673" customFormat="false" ht="15" hidden="false" customHeight="false" outlineLevel="0" collapsed="false">
      <c r="A5673" s="7" t="s">
        <v>24</v>
      </c>
      <c r="B5673" s="7" t="s">
        <v>103</v>
      </c>
      <c r="C5673" s="7" t="s">
        <v>1121</v>
      </c>
      <c r="D5673" s="7" t="n">
        <v>0</v>
      </c>
      <c r="E5673" s="7" t="n">
        <v>0</v>
      </c>
      <c r="F5673" s="7" t="n">
        <v>2</v>
      </c>
      <c r="G5673" s="7" t="n">
        <v>287.98</v>
      </c>
    </row>
    <row r="5674" customFormat="false" ht="15" hidden="false" customHeight="false" outlineLevel="0" collapsed="false">
      <c r="A5674" s="7" t="s">
        <v>24</v>
      </c>
      <c r="B5674" s="7" t="s">
        <v>103</v>
      </c>
      <c r="C5674" s="7" t="s">
        <v>1121</v>
      </c>
      <c r="D5674" s="7" t="n">
        <v>0</v>
      </c>
      <c r="E5674" s="7" t="n">
        <v>0</v>
      </c>
      <c r="F5674" s="7" t="n">
        <v>1</v>
      </c>
      <c r="G5674" s="7" t="n">
        <v>143.98</v>
      </c>
    </row>
    <row r="5675" customFormat="false" ht="15" hidden="false" customHeight="false" outlineLevel="0" collapsed="false">
      <c r="A5675" s="7" t="s">
        <v>24</v>
      </c>
      <c r="B5675" s="7" t="s">
        <v>103</v>
      </c>
      <c r="C5675" s="7" t="s">
        <v>1121</v>
      </c>
      <c r="D5675" s="7" t="n">
        <v>0</v>
      </c>
      <c r="E5675" s="7" t="n">
        <v>0</v>
      </c>
      <c r="F5675" s="7" t="n">
        <v>1</v>
      </c>
      <c r="G5675" s="7" t="n">
        <v>129.59</v>
      </c>
    </row>
    <row r="5676" customFormat="false" ht="15" hidden="false" customHeight="false" outlineLevel="0" collapsed="false">
      <c r="A5676" s="7" t="s">
        <v>24</v>
      </c>
      <c r="B5676" s="7" t="s">
        <v>103</v>
      </c>
      <c r="C5676" s="7" t="s">
        <v>1121</v>
      </c>
      <c r="D5676" s="7" t="n">
        <v>0</v>
      </c>
      <c r="E5676" s="7" t="n">
        <v>0</v>
      </c>
      <c r="F5676" s="7" t="n">
        <v>1</v>
      </c>
      <c r="G5676" s="7" t="n">
        <v>143.99</v>
      </c>
    </row>
    <row r="5677" customFormat="false" ht="15" hidden="false" customHeight="false" outlineLevel="0" collapsed="false">
      <c r="A5677" s="7" t="s">
        <v>24</v>
      </c>
      <c r="B5677" s="7" t="s">
        <v>103</v>
      </c>
      <c r="C5677" s="7" t="s">
        <v>1121</v>
      </c>
      <c r="D5677" s="7" t="n">
        <v>0</v>
      </c>
      <c r="E5677" s="7" t="n">
        <v>0</v>
      </c>
      <c r="F5677" s="7" t="n">
        <v>1</v>
      </c>
      <c r="G5677" s="7" t="n">
        <v>129.58</v>
      </c>
    </row>
    <row r="5678" customFormat="false" ht="15" hidden="false" customHeight="false" outlineLevel="0" collapsed="false">
      <c r="A5678" s="7" t="s">
        <v>24</v>
      </c>
      <c r="B5678" s="7" t="s">
        <v>103</v>
      </c>
      <c r="C5678" s="7" t="s">
        <v>1121</v>
      </c>
      <c r="D5678" s="7" t="n">
        <v>0</v>
      </c>
      <c r="E5678" s="7" t="n">
        <v>0</v>
      </c>
      <c r="F5678" s="7" t="n">
        <v>2</v>
      </c>
      <c r="G5678" s="7" t="n">
        <v>254.15</v>
      </c>
    </row>
    <row r="5679" customFormat="false" ht="15" hidden="false" customHeight="false" outlineLevel="0" collapsed="false">
      <c r="A5679" s="7" t="s">
        <v>24</v>
      </c>
      <c r="B5679" s="7" t="s">
        <v>103</v>
      </c>
      <c r="C5679" s="7" t="s">
        <v>1121</v>
      </c>
      <c r="D5679" s="7" t="n">
        <v>0</v>
      </c>
      <c r="E5679" s="7" t="n">
        <v>0</v>
      </c>
      <c r="F5679" s="7" t="n">
        <v>1</v>
      </c>
      <c r="G5679" s="7" t="n">
        <v>143.98</v>
      </c>
    </row>
    <row r="5680" customFormat="false" ht="15" hidden="false" customHeight="false" outlineLevel="0" collapsed="false">
      <c r="A5680" s="7" t="s">
        <v>24</v>
      </c>
      <c r="B5680" s="7" t="s">
        <v>103</v>
      </c>
      <c r="C5680" s="7" t="s">
        <v>1121</v>
      </c>
      <c r="D5680" s="7" t="n">
        <v>0</v>
      </c>
      <c r="E5680" s="7" t="n">
        <v>0</v>
      </c>
      <c r="F5680" s="7" t="n">
        <v>1</v>
      </c>
      <c r="G5680" s="7" t="n">
        <v>115.19</v>
      </c>
    </row>
    <row r="5681" customFormat="false" ht="15" hidden="false" customHeight="false" outlineLevel="0" collapsed="false">
      <c r="A5681" s="7" t="s">
        <v>24</v>
      </c>
      <c r="B5681" s="7" t="s">
        <v>103</v>
      </c>
      <c r="C5681" s="7" t="s">
        <v>1121</v>
      </c>
      <c r="D5681" s="7" t="n">
        <v>0</v>
      </c>
      <c r="E5681" s="7" t="n">
        <v>0</v>
      </c>
      <c r="F5681" s="7" t="n">
        <v>1</v>
      </c>
      <c r="G5681" s="7" t="n">
        <v>129.58</v>
      </c>
    </row>
    <row r="5682" customFormat="false" ht="15" hidden="false" customHeight="false" outlineLevel="0" collapsed="false">
      <c r="A5682" s="7" t="s">
        <v>24</v>
      </c>
      <c r="B5682" s="7" t="s">
        <v>103</v>
      </c>
      <c r="C5682" s="7" t="s">
        <v>1121</v>
      </c>
      <c r="D5682" s="7" t="n">
        <v>0</v>
      </c>
      <c r="E5682" s="7" t="n">
        <v>0</v>
      </c>
      <c r="F5682" s="7" t="n">
        <v>1</v>
      </c>
      <c r="G5682" s="7" t="n">
        <v>143.98</v>
      </c>
    </row>
    <row r="5683" customFormat="false" ht="15" hidden="false" customHeight="false" outlineLevel="0" collapsed="false">
      <c r="A5683" s="7" t="s">
        <v>24</v>
      </c>
      <c r="B5683" s="7" t="s">
        <v>103</v>
      </c>
      <c r="C5683" s="7" t="s">
        <v>1121</v>
      </c>
      <c r="D5683" s="7" t="n">
        <v>0</v>
      </c>
      <c r="E5683" s="7" t="n">
        <v>0</v>
      </c>
      <c r="F5683" s="7" t="n">
        <v>10</v>
      </c>
      <c r="G5683" s="7" t="n">
        <v>1295.9</v>
      </c>
    </row>
    <row r="5684" customFormat="false" ht="15" hidden="false" customHeight="false" outlineLevel="0" collapsed="false">
      <c r="A5684" s="7" t="s">
        <v>24</v>
      </c>
      <c r="B5684" s="7" t="s">
        <v>103</v>
      </c>
      <c r="C5684" s="7" t="s">
        <v>1121</v>
      </c>
      <c r="D5684" s="7" t="n">
        <v>0</v>
      </c>
      <c r="E5684" s="7" t="n">
        <v>0</v>
      </c>
      <c r="F5684" s="7" t="n">
        <v>1</v>
      </c>
      <c r="G5684" s="7" t="n">
        <v>143.99</v>
      </c>
    </row>
    <row r="5685" customFormat="false" ht="15" hidden="false" customHeight="false" outlineLevel="0" collapsed="false">
      <c r="A5685" s="7" t="s">
        <v>24</v>
      </c>
      <c r="B5685" s="7" t="s">
        <v>103</v>
      </c>
      <c r="C5685" s="7" t="s">
        <v>1121</v>
      </c>
      <c r="D5685" s="7" t="n">
        <v>0</v>
      </c>
      <c r="E5685" s="7" t="n">
        <v>0</v>
      </c>
      <c r="F5685" s="7" t="n">
        <v>2</v>
      </c>
      <c r="G5685" s="7" t="n">
        <v>259.18</v>
      </c>
    </row>
    <row r="5686" customFormat="false" ht="15" hidden="false" customHeight="false" outlineLevel="0" collapsed="false">
      <c r="A5686" s="7" t="s">
        <v>24</v>
      </c>
      <c r="B5686" s="7" t="s">
        <v>103</v>
      </c>
      <c r="C5686" s="7" t="s">
        <v>1121</v>
      </c>
      <c r="D5686" s="7" t="n">
        <v>0</v>
      </c>
      <c r="E5686" s="7" t="n">
        <v>0</v>
      </c>
      <c r="F5686" s="7" t="n">
        <v>2</v>
      </c>
      <c r="G5686" s="7" t="n">
        <v>287.96</v>
      </c>
    </row>
    <row r="5687" customFormat="false" ht="15" hidden="false" customHeight="false" outlineLevel="0" collapsed="false">
      <c r="A5687" s="7" t="s">
        <v>24</v>
      </c>
      <c r="B5687" s="7" t="s">
        <v>103</v>
      </c>
      <c r="C5687" s="7" t="s">
        <v>1121</v>
      </c>
      <c r="D5687" s="7" t="n">
        <v>0</v>
      </c>
      <c r="E5687" s="7" t="n">
        <v>0</v>
      </c>
      <c r="F5687" s="7" t="n">
        <v>2</v>
      </c>
      <c r="G5687" s="7" t="n">
        <v>287.96</v>
      </c>
    </row>
    <row r="5688" customFormat="false" ht="15" hidden="false" customHeight="false" outlineLevel="0" collapsed="false">
      <c r="A5688" s="7" t="s">
        <v>24</v>
      </c>
      <c r="B5688" s="7" t="s">
        <v>103</v>
      </c>
      <c r="C5688" s="7" t="s">
        <v>1121</v>
      </c>
      <c r="D5688" s="7" t="n">
        <v>0</v>
      </c>
      <c r="E5688" s="7" t="n">
        <v>0</v>
      </c>
      <c r="F5688" s="7" t="n">
        <v>2</v>
      </c>
      <c r="G5688" s="7" t="n">
        <v>259.18</v>
      </c>
    </row>
    <row r="5689" customFormat="false" ht="15" hidden="false" customHeight="false" outlineLevel="0" collapsed="false">
      <c r="A5689" s="7" t="s">
        <v>24</v>
      </c>
      <c r="B5689" s="7" t="s">
        <v>103</v>
      </c>
      <c r="C5689" s="7" t="s">
        <v>1121</v>
      </c>
      <c r="D5689" s="7" t="n">
        <v>0</v>
      </c>
      <c r="E5689" s="7" t="n">
        <v>0</v>
      </c>
      <c r="F5689" s="7" t="n">
        <v>4</v>
      </c>
      <c r="G5689" s="7" t="n">
        <v>532.76</v>
      </c>
    </row>
    <row r="5690" customFormat="false" ht="15" hidden="false" customHeight="false" outlineLevel="0" collapsed="false">
      <c r="A5690" s="7" t="s">
        <v>24</v>
      </c>
      <c r="B5690" s="7" t="s">
        <v>103</v>
      </c>
      <c r="C5690" s="7" t="s">
        <v>1121</v>
      </c>
      <c r="D5690" s="7" t="n">
        <v>0</v>
      </c>
      <c r="E5690" s="7" t="n">
        <v>0</v>
      </c>
      <c r="F5690" s="7" t="n">
        <v>4</v>
      </c>
      <c r="G5690" s="7" t="n">
        <v>503.95</v>
      </c>
    </row>
    <row r="5691" customFormat="false" ht="15" hidden="false" customHeight="false" outlineLevel="0" collapsed="false">
      <c r="A5691" s="7" t="s">
        <v>24</v>
      </c>
      <c r="B5691" s="7" t="s">
        <v>103</v>
      </c>
      <c r="C5691" s="7" t="s">
        <v>1121</v>
      </c>
      <c r="D5691" s="7" t="n">
        <v>0</v>
      </c>
      <c r="E5691" s="7" t="n">
        <v>0</v>
      </c>
      <c r="F5691" s="7" t="n">
        <v>1</v>
      </c>
      <c r="G5691" s="7" t="n">
        <v>143.99</v>
      </c>
    </row>
    <row r="5692" customFormat="false" ht="15" hidden="false" customHeight="false" outlineLevel="0" collapsed="false">
      <c r="A5692" s="7" t="s">
        <v>24</v>
      </c>
      <c r="B5692" s="7" t="s">
        <v>103</v>
      </c>
      <c r="C5692" s="7" t="s">
        <v>1121</v>
      </c>
      <c r="D5692" s="7" t="n">
        <v>0</v>
      </c>
      <c r="E5692" s="7" t="n">
        <v>0</v>
      </c>
      <c r="F5692" s="7" t="n">
        <v>6</v>
      </c>
      <c r="G5692" s="7" t="n">
        <v>813.49</v>
      </c>
    </row>
    <row r="5693" customFormat="false" ht="15" hidden="false" customHeight="false" outlineLevel="0" collapsed="false">
      <c r="A5693" s="7" t="s">
        <v>24</v>
      </c>
      <c r="B5693" s="7" t="s">
        <v>103</v>
      </c>
      <c r="C5693" s="7" t="s">
        <v>1121</v>
      </c>
      <c r="D5693" s="7" t="n">
        <v>0</v>
      </c>
      <c r="E5693" s="7" t="n">
        <v>0</v>
      </c>
      <c r="F5693" s="7" t="n">
        <v>2</v>
      </c>
      <c r="G5693" s="7" t="n">
        <v>273.56</v>
      </c>
    </row>
    <row r="5694" customFormat="false" ht="15" hidden="false" customHeight="false" outlineLevel="0" collapsed="false">
      <c r="A5694" s="7" t="s">
        <v>24</v>
      </c>
      <c r="B5694" s="7" t="s">
        <v>103</v>
      </c>
      <c r="C5694" s="7" t="s">
        <v>1121</v>
      </c>
      <c r="D5694" s="7" t="n">
        <v>0</v>
      </c>
      <c r="E5694" s="7" t="n">
        <v>0</v>
      </c>
      <c r="F5694" s="7" t="n">
        <v>1</v>
      </c>
      <c r="G5694" s="7" t="n">
        <v>129.59</v>
      </c>
    </row>
    <row r="5695" customFormat="false" ht="15" hidden="false" customHeight="false" outlineLevel="0" collapsed="false">
      <c r="A5695" s="7" t="s">
        <v>24</v>
      </c>
      <c r="B5695" s="7" t="s">
        <v>103</v>
      </c>
      <c r="C5695" s="7" t="s">
        <v>1121</v>
      </c>
      <c r="D5695" s="7" t="n">
        <v>0</v>
      </c>
      <c r="E5695" s="7" t="n">
        <v>0</v>
      </c>
      <c r="F5695" s="7" t="n">
        <v>1</v>
      </c>
      <c r="G5695" s="7" t="n">
        <v>143.98</v>
      </c>
    </row>
    <row r="5696" customFormat="false" ht="15" hidden="false" customHeight="false" outlineLevel="0" collapsed="false">
      <c r="A5696" s="7" t="s">
        <v>24</v>
      </c>
      <c r="B5696" s="7" t="s">
        <v>103</v>
      </c>
      <c r="C5696" s="7" t="s">
        <v>1121</v>
      </c>
      <c r="D5696" s="7" t="n">
        <v>0</v>
      </c>
      <c r="E5696" s="7" t="n">
        <v>0</v>
      </c>
      <c r="F5696" s="7" t="n">
        <v>1</v>
      </c>
      <c r="G5696" s="7" t="n">
        <v>115.18</v>
      </c>
    </row>
    <row r="5697" customFormat="false" ht="15" hidden="false" customHeight="false" outlineLevel="0" collapsed="false">
      <c r="A5697" s="7" t="s">
        <v>24</v>
      </c>
      <c r="B5697" s="7" t="s">
        <v>103</v>
      </c>
      <c r="C5697" s="7" t="s">
        <v>1121</v>
      </c>
      <c r="D5697" s="7" t="n">
        <v>0</v>
      </c>
      <c r="E5697" s="7" t="n">
        <v>0</v>
      </c>
      <c r="F5697" s="7" t="n">
        <v>1</v>
      </c>
      <c r="G5697" s="7" t="n">
        <v>143.99</v>
      </c>
    </row>
    <row r="5698" customFormat="false" ht="15" hidden="false" customHeight="false" outlineLevel="0" collapsed="false">
      <c r="A5698" s="7" t="s">
        <v>24</v>
      </c>
      <c r="B5698" s="7" t="s">
        <v>103</v>
      </c>
      <c r="C5698" s="7" t="s">
        <v>1121</v>
      </c>
      <c r="D5698" s="7" t="n">
        <v>0</v>
      </c>
      <c r="E5698" s="7" t="n">
        <v>0</v>
      </c>
      <c r="F5698" s="7" t="n">
        <v>4</v>
      </c>
      <c r="G5698" s="7" t="n">
        <v>575.92</v>
      </c>
    </row>
    <row r="5699" customFormat="false" ht="15" hidden="false" customHeight="false" outlineLevel="0" collapsed="false">
      <c r="A5699" s="7" t="s">
        <v>24</v>
      </c>
      <c r="B5699" s="7" t="s">
        <v>103</v>
      </c>
      <c r="C5699" s="7" t="s">
        <v>1121</v>
      </c>
      <c r="D5699" s="7" t="n">
        <v>0</v>
      </c>
      <c r="E5699" s="7" t="n">
        <v>0</v>
      </c>
      <c r="F5699" s="7" t="n">
        <v>2</v>
      </c>
      <c r="G5699" s="7" t="n">
        <v>287.98</v>
      </c>
    </row>
    <row r="5700" customFormat="false" ht="15" hidden="false" customHeight="false" outlineLevel="0" collapsed="false">
      <c r="A5700" s="7" t="s">
        <v>24</v>
      </c>
      <c r="B5700" s="7" t="s">
        <v>103</v>
      </c>
      <c r="C5700" s="7" t="s">
        <v>1121</v>
      </c>
      <c r="D5700" s="7" t="n">
        <v>0</v>
      </c>
      <c r="E5700" s="7" t="n">
        <v>0</v>
      </c>
      <c r="F5700" s="7" t="n">
        <v>1</v>
      </c>
      <c r="G5700" s="7" t="n">
        <v>143.99</v>
      </c>
    </row>
    <row r="5701" customFormat="false" ht="15" hidden="false" customHeight="false" outlineLevel="0" collapsed="false">
      <c r="A5701" s="7" t="s">
        <v>24</v>
      </c>
      <c r="B5701" s="7" t="s">
        <v>103</v>
      </c>
      <c r="C5701" s="7" t="s">
        <v>1121</v>
      </c>
      <c r="D5701" s="7" t="n">
        <v>0</v>
      </c>
      <c r="E5701" s="7" t="n">
        <v>0</v>
      </c>
      <c r="F5701" s="7" t="n">
        <v>1</v>
      </c>
      <c r="G5701" s="7" t="n">
        <v>143.98</v>
      </c>
    </row>
    <row r="5702" customFormat="false" ht="15" hidden="false" customHeight="false" outlineLevel="0" collapsed="false">
      <c r="A5702" s="7" t="s">
        <v>24</v>
      </c>
      <c r="B5702" s="7" t="s">
        <v>103</v>
      </c>
      <c r="C5702" s="7" t="s">
        <v>1121</v>
      </c>
      <c r="D5702" s="7" t="n">
        <v>0</v>
      </c>
      <c r="E5702" s="7" t="n">
        <v>0</v>
      </c>
      <c r="F5702" s="7" t="n">
        <v>3</v>
      </c>
      <c r="G5702" s="7" t="n">
        <v>395.95</v>
      </c>
    </row>
    <row r="5703" customFormat="false" ht="15" hidden="false" customHeight="false" outlineLevel="0" collapsed="false">
      <c r="A5703" s="7" t="s">
        <v>24</v>
      </c>
      <c r="B5703" s="7" t="s">
        <v>103</v>
      </c>
      <c r="C5703" s="7" t="s">
        <v>1121</v>
      </c>
      <c r="D5703" s="7" t="n">
        <v>0</v>
      </c>
      <c r="E5703" s="7" t="n">
        <v>0</v>
      </c>
      <c r="F5703" s="7" t="n">
        <v>1</v>
      </c>
      <c r="G5703" s="7" t="n">
        <v>115.19</v>
      </c>
    </row>
    <row r="5704" customFormat="false" ht="15" hidden="false" customHeight="false" outlineLevel="0" collapsed="false">
      <c r="A5704" s="7" t="s">
        <v>24</v>
      </c>
      <c r="B5704" s="7" t="s">
        <v>103</v>
      </c>
      <c r="C5704" s="7" t="s">
        <v>1121</v>
      </c>
      <c r="D5704" s="7" t="n">
        <v>0</v>
      </c>
      <c r="E5704" s="7" t="n">
        <v>0</v>
      </c>
      <c r="F5704" s="7" t="n">
        <v>1</v>
      </c>
      <c r="G5704" s="7" t="n">
        <v>127.07</v>
      </c>
    </row>
    <row r="5705" customFormat="false" ht="15" hidden="false" customHeight="false" outlineLevel="0" collapsed="false">
      <c r="A5705" s="7" t="s">
        <v>24</v>
      </c>
      <c r="B5705" s="7" t="s">
        <v>103</v>
      </c>
      <c r="C5705" s="7" t="s">
        <v>1121</v>
      </c>
      <c r="D5705" s="7" t="n">
        <v>0</v>
      </c>
      <c r="E5705" s="7" t="n">
        <v>0</v>
      </c>
      <c r="F5705" s="7" t="n">
        <v>3</v>
      </c>
      <c r="G5705" s="7" t="n">
        <v>417.54</v>
      </c>
    </row>
    <row r="5706" customFormat="false" ht="15" hidden="false" customHeight="false" outlineLevel="0" collapsed="false">
      <c r="A5706" s="7" t="s">
        <v>24</v>
      </c>
      <c r="B5706" s="7" t="s">
        <v>103</v>
      </c>
      <c r="C5706" s="7" t="s">
        <v>1121</v>
      </c>
      <c r="D5706" s="7" t="n">
        <v>0</v>
      </c>
      <c r="E5706" s="7" t="n">
        <v>0</v>
      </c>
      <c r="F5706" s="7" t="n">
        <v>1</v>
      </c>
      <c r="G5706" s="7" t="n">
        <v>143.99</v>
      </c>
    </row>
    <row r="5707" customFormat="false" ht="15" hidden="false" customHeight="false" outlineLevel="0" collapsed="false">
      <c r="A5707" s="7" t="s">
        <v>24</v>
      </c>
      <c r="B5707" s="7" t="s">
        <v>103</v>
      </c>
      <c r="C5707" s="7" t="s">
        <v>1121</v>
      </c>
      <c r="D5707" s="7" t="n">
        <v>0</v>
      </c>
      <c r="E5707" s="7" t="n">
        <v>0</v>
      </c>
      <c r="F5707" s="7" t="n">
        <v>1</v>
      </c>
      <c r="G5707" s="7" t="n">
        <v>143.99</v>
      </c>
    </row>
    <row r="5708" customFormat="false" ht="15" hidden="false" customHeight="false" outlineLevel="0" collapsed="false">
      <c r="A5708" s="7" t="s">
        <v>24</v>
      </c>
      <c r="B5708" s="7" t="s">
        <v>103</v>
      </c>
      <c r="C5708" s="7" t="s">
        <v>1121</v>
      </c>
      <c r="D5708" s="7" t="n">
        <v>0</v>
      </c>
      <c r="E5708" s="7" t="n">
        <v>0</v>
      </c>
      <c r="F5708" s="7" t="n">
        <v>1</v>
      </c>
      <c r="G5708" s="7" t="n">
        <v>143.99</v>
      </c>
    </row>
    <row r="5709" customFormat="false" ht="15" hidden="false" customHeight="false" outlineLevel="0" collapsed="false">
      <c r="A5709" s="7" t="s">
        <v>24</v>
      </c>
      <c r="B5709" s="7" t="s">
        <v>103</v>
      </c>
      <c r="C5709" s="7" t="s">
        <v>1121</v>
      </c>
      <c r="D5709" s="7" t="n">
        <v>0</v>
      </c>
      <c r="E5709" s="7" t="n">
        <v>0</v>
      </c>
      <c r="F5709" s="7" t="n">
        <v>1</v>
      </c>
      <c r="G5709" s="7" t="n">
        <v>143.98</v>
      </c>
    </row>
    <row r="5710" customFormat="false" ht="15" hidden="false" customHeight="false" outlineLevel="0" collapsed="false">
      <c r="A5710" s="7" t="s">
        <v>24</v>
      </c>
      <c r="B5710" s="7" t="s">
        <v>103</v>
      </c>
      <c r="C5710" s="7" t="s">
        <v>1121</v>
      </c>
      <c r="D5710" s="7" t="n">
        <v>0</v>
      </c>
      <c r="E5710" s="7" t="n">
        <v>0</v>
      </c>
      <c r="F5710" s="7" t="n">
        <v>2</v>
      </c>
      <c r="G5710" s="7" t="n">
        <v>254.15</v>
      </c>
    </row>
    <row r="5711" customFormat="false" ht="15" hidden="false" customHeight="false" outlineLevel="0" collapsed="false">
      <c r="A5711" s="7" t="s">
        <v>24</v>
      </c>
      <c r="B5711" s="7" t="s">
        <v>103</v>
      </c>
      <c r="C5711" s="7" t="s">
        <v>1121</v>
      </c>
      <c r="D5711" s="7" t="n">
        <v>0</v>
      </c>
      <c r="E5711" s="7" t="n">
        <v>0</v>
      </c>
      <c r="F5711" s="7" t="n">
        <v>1</v>
      </c>
      <c r="G5711" s="7" t="n">
        <v>129.59</v>
      </c>
    </row>
    <row r="5712" customFormat="false" ht="15" hidden="false" customHeight="false" outlineLevel="0" collapsed="false">
      <c r="A5712" s="7" t="s">
        <v>24</v>
      </c>
      <c r="B5712" s="7" t="s">
        <v>103</v>
      </c>
      <c r="C5712" s="7" t="s">
        <v>1121</v>
      </c>
      <c r="D5712" s="7" t="n">
        <v>0</v>
      </c>
      <c r="E5712" s="7" t="n">
        <v>0</v>
      </c>
      <c r="F5712" s="7" t="n">
        <v>2</v>
      </c>
      <c r="G5712" s="7" t="n">
        <v>266.37</v>
      </c>
    </row>
    <row r="5713" customFormat="false" ht="15" hidden="false" customHeight="false" outlineLevel="0" collapsed="false">
      <c r="A5713" s="7" t="s">
        <v>24</v>
      </c>
      <c r="B5713" s="7" t="s">
        <v>103</v>
      </c>
      <c r="C5713" s="7" t="s">
        <v>1121</v>
      </c>
      <c r="D5713" s="7" t="n">
        <v>0</v>
      </c>
      <c r="E5713" s="7" t="n">
        <v>0</v>
      </c>
      <c r="F5713" s="7" t="n">
        <v>5</v>
      </c>
      <c r="G5713" s="7" t="n">
        <v>691.15</v>
      </c>
    </row>
    <row r="5714" customFormat="false" ht="15" hidden="false" customHeight="false" outlineLevel="0" collapsed="false">
      <c r="A5714" s="7" t="s">
        <v>24</v>
      </c>
      <c r="B5714" s="7" t="s">
        <v>103</v>
      </c>
      <c r="C5714" s="7" t="s">
        <v>1121</v>
      </c>
      <c r="D5714" s="7" t="n">
        <v>0</v>
      </c>
      <c r="E5714" s="7" t="n">
        <v>0</v>
      </c>
      <c r="F5714" s="7" t="n">
        <v>2</v>
      </c>
      <c r="G5714" s="7" t="n">
        <v>259.18</v>
      </c>
    </row>
    <row r="5715" customFormat="false" ht="15" hidden="false" customHeight="false" outlineLevel="0" collapsed="false">
      <c r="A5715" s="7" t="s">
        <v>24</v>
      </c>
      <c r="B5715" s="7" t="s">
        <v>103</v>
      </c>
      <c r="C5715" s="7" t="s">
        <v>1121</v>
      </c>
      <c r="D5715" s="7" t="n">
        <v>0</v>
      </c>
      <c r="E5715" s="7" t="n">
        <v>0</v>
      </c>
      <c r="F5715" s="7" t="n">
        <v>327</v>
      </c>
      <c r="G5715" s="7" t="n">
        <v>45275.49</v>
      </c>
    </row>
    <row r="5716" customFormat="false" ht="15" hidden="false" customHeight="false" outlineLevel="0" collapsed="false">
      <c r="A5716" s="7" t="s">
        <v>24</v>
      </c>
      <c r="B5716" s="7" t="s">
        <v>103</v>
      </c>
      <c r="C5716" s="7" t="s">
        <v>1121</v>
      </c>
      <c r="D5716" s="7" t="n">
        <v>0</v>
      </c>
      <c r="E5716" s="7" t="n">
        <v>0</v>
      </c>
      <c r="F5716" s="7" t="n">
        <v>1</v>
      </c>
      <c r="G5716" s="7" t="n">
        <v>129.58</v>
      </c>
    </row>
    <row r="5717" customFormat="false" ht="15" hidden="false" customHeight="false" outlineLevel="0" collapsed="false">
      <c r="A5717" s="7" t="s">
        <v>24</v>
      </c>
      <c r="B5717" s="7" t="s">
        <v>103</v>
      </c>
      <c r="C5717" s="7" t="s">
        <v>1121</v>
      </c>
      <c r="D5717" s="7" t="n">
        <v>0</v>
      </c>
      <c r="E5717" s="7" t="n">
        <v>0</v>
      </c>
      <c r="F5717" s="7" t="n">
        <v>1</v>
      </c>
      <c r="G5717" s="7" t="n">
        <v>143.99</v>
      </c>
    </row>
    <row r="5718" customFormat="false" ht="15" hidden="false" customHeight="false" outlineLevel="0" collapsed="false">
      <c r="A5718" s="7" t="s">
        <v>24</v>
      </c>
      <c r="B5718" s="7" t="s">
        <v>103</v>
      </c>
      <c r="C5718" s="7" t="s">
        <v>1121</v>
      </c>
      <c r="D5718" s="7" t="n">
        <v>0</v>
      </c>
      <c r="E5718" s="7" t="n">
        <v>0</v>
      </c>
      <c r="F5718" s="7" t="n">
        <v>1</v>
      </c>
      <c r="G5718" s="7" t="n">
        <v>129.59</v>
      </c>
    </row>
    <row r="5719" customFormat="false" ht="15" hidden="false" customHeight="false" outlineLevel="0" collapsed="false">
      <c r="A5719" s="7" t="s">
        <v>24</v>
      </c>
      <c r="B5719" s="7" t="s">
        <v>103</v>
      </c>
      <c r="C5719" s="7" t="s">
        <v>1121</v>
      </c>
      <c r="D5719" s="7" t="n">
        <v>0</v>
      </c>
      <c r="E5719" s="7" t="n">
        <v>0</v>
      </c>
      <c r="F5719" s="7" t="n">
        <v>1</v>
      </c>
      <c r="G5719" s="7" t="n">
        <v>143.99</v>
      </c>
    </row>
    <row r="5720" customFormat="false" ht="15" hidden="false" customHeight="false" outlineLevel="0" collapsed="false">
      <c r="A5720" s="7" t="s">
        <v>24</v>
      </c>
      <c r="B5720" s="7" t="s">
        <v>103</v>
      </c>
      <c r="C5720" s="7" t="s">
        <v>1121</v>
      </c>
      <c r="D5720" s="7" t="n">
        <v>0</v>
      </c>
      <c r="E5720" s="7" t="n">
        <v>0</v>
      </c>
      <c r="F5720" s="7" t="n">
        <v>1</v>
      </c>
      <c r="G5720" s="7" t="n">
        <v>122.39</v>
      </c>
    </row>
    <row r="5721" customFormat="false" ht="15" hidden="false" customHeight="false" outlineLevel="0" collapsed="false">
      <c r="A5721" s="7" t="s">
        <v>24</v>
      </c>
      <c r="B5721" s="7" t="s">
        <v>103</v>
      </c>
      <c r="C5721" s="7" t="s">
        <v>1121</v>
      </c>
      <c r="D5721" s="7" t="n">
        <v>0</v>
      </c>
      <c r="E5721" s="7" t="n">
        <v>0</v>
      </c>
      <c r="F5721" s="7" t="n">
        <v>1</v>
      </c>
      <c r="G5721" s="7" t="n">
        <v>129.58</v>
      </c>
    </row>
    <row r="5722" customFormat="false" ht="15" hidden="false" customHeight="false" outlineLevel="0" collapsed="false">
      <c r="A5722" s="7" t="s">
        <v>24</v>
      </c>
      <c r="B5722" s="7" t="s">
        <v>103</v>
      </c>
      <c r="C5722" s="7" t="s">
        <v>1121</v>
      </c>
      <c r="D5722" s="7" t="n">
        <v>0</v>
      </c>
      <c r="E5722" s="7" t="n">
        <v>0</v>
      </c>
      <c r="F5722" s="7" t="n">
        <v>8</v>
      </c>
      <c r="G5722" s="7" t="n">
        <v>1036.65</v>
      </c>
    </row>
    <row r="5723" customFormat="false" ht="15" hidden="false" customHeight="false" outlineLevel="0" collapsed="false">
      <c r="A5723" s="7" t="s">
        <v>24</v>
      </c>
      <c r="B5723" s="7" t="s">
        <v>103</v>
      </c>
      <c r="C5723" s="7" t="s">
        <v>1121</v>
      </c>
      <c r="D5723" s="7" t="n">
        <v>0</v>
      </c>
      <c r="E5723" s="7" t="n">
        <v>0</v>
      </c>
      <c r="F5723" s="7" t="n">
        <v>1</v>
      </c>
      <c r="G5723" s="7" t="n">
        <v>129.59</v>
      </c>
    </row>
    <row r="5724" customFormat="false" ht="15" hidden="false" customHeight="false" outlineLevel="0" collapsed="false">
      <c r="A5724" s="7" t="s">
        <v>24</v>
      </c>
      <c r="B5724" s="7" t="s">
        <v>103</v>
      </c>
      <c r="C5724" s="7" t="s">
        <v>1121</v>
      </c>
      <c r="D5724" s="7" t="n">
        <v>0</v>
      </c>
      <c r="E5724" s="7" t="n">
        <v>0</v>
      </c>
      <c r="F5724" s="7" t="n">
        <v>1</v>
      </c>
      <c r="G5724" s="7" t="n">
        <v>129.58</v>
      </c>
    </row>
    <row r="5725" customFormat="false" ht="15" hidden="false" customHeight="false" outlineLevel="0" collapsed="false">
      <c r="A5725" s="7" t="s">
        <v>24</v>
      </c>
      <c r="B5725" s="7" t="s">
        <v>103</v>
      </c>
      <c r="C5725" s="7" t="s">
        <v>1121</v>
      </c>
      <c r="D5725" s="7" t="n">
        <v>0</v>
      </c>
      <c r="E5725" s="7" t="n">
        <v>0</v>
      </c>
      <c r="F5725" s="7" t="n">
        <v>1</v>
      </c>
      <c r="G5725" s="7" t="n">
        <v>143.99</v>
      </c>
    </row>
    <row r="5726" customFormat="false" ht="15" hidden="false" customHeight="false" outlineLevel="0" collapsed="false">
      <c r="A5726" s="7" t="s">
        <v>24</v>
      </c>
      <c r="B5726" s="7" t="s">
        <v>103</v>
      </c>
      <c r="C5726" s="7" t="s">
        <v>1121</v>
      </c>
      <c r="D5726" s="7" t="n">
        <v>0</v>
      </c>
      <c r="E5726" s="7" t="n">
        <v>0</v>
      </c>
      <c r="F5726" s="7" t="n">
        <v>1</v>
      </c>
      <c r="G5726" s="7" t="n">
        <v>115.19</v>
      </c>
    </row>
    <row r="5727" customFormat="false" ht="15" hidden="false" customHeight="false" outlineLevel="0" collapsed="false">
      <c r="A5727" s="7" t="s">
        <v>24</v>
      </c>
      <c r="B5727" s="7" t="s">
        <v>103</v>
      </c>
      <c r="C5727" s="7" t="s">
        <v>1121</v>
      </c>
      <c r="D5727" s="7" t="n">
        <v>0</v>
      </c>
      <c r="E5727" s="7" t="n">
        <v>0</v>
      </c>
      <c r="F5727" s="7" t="n">
        <v>1</v>
      </c>
      <c r="G5727" s="7" t="n">
        <v>143.99</v>
      </c>
    </row>
    <row r="5728" customFormat="false" ht="15" hidden="false" customHeight="false" outlineLevel="0" collapsed="false">
      <c r="A5728" s="7" t="s">
        <v>24</v>
      </c>
      <c r="B5728" s="7" t="s">
        <v>103</v>
      </c>
      <c r="C5728" s="7" t="s">
        <v>1121</v>
      </c>
      <c r="D5728" s="7" t="n">
        <v>0</v>
      </c>
      <c r="E5728" s="7" t="n">
        <v>0</v>
      </c>
      <c r="F5728" s="7" t="n">
        <v>1</v>
      </c>
      <c r="G5728" s="7" t="n">
        <v>122.39</v>
      </c>
    </row>
    <row r="5729" customFormat="false" ht="15" hidden="false" customHeight="false" outlineLevel="0" collapsed="false">
      <c r="A5729" s="7" t="s">
        <v>24</v>
      </c>
      <c r="B5729" s="7" t="s">
        <v>103</v>
      </c>
      <c r="C5729" s="7" t="s">
        <v>1121</v>
      </c>
      <c r="D5729" s="7" t="n">
        <v>0</v>
      </c>
      <c r="E5729" s="7" t="n">
        <v>0</v>
      </c>
      <c r="F5729" s="7" t="n">
        <v>1</v>
      </c>
      <c r="G5729" s="7" t="n">
        <v>143.98</v>
      </c>
    </row>
    <row r="5730" customFormat="false" ht="15" hidden="false" customHeight="false" outlineLevel="0" collapsed="false">
      <c r="A5730" s="7" t="s">
        <v>24</v>
      </c>
      <c r="B5730" s="7" t="s">
        <v>103</v>
      </c>
      <c r="C5730" s="7" t="s">
        <v>1121</v>
      </c>
      <c r="D5730" s="7" t="n">
        <v>0</v>
      </c>
      <c r="E5730" s="7" t="n">
        <v>0</v>
      </c>
      <c r="F5730" s="7" t="n">
        <v>1</v>
      </c>
      <c r="G5730" s="7" t="n">
        <v>129.59</v>
      </c>
    </row>
    <row r="5731" customFormat="false" ht="15" hidden="false" customHeight="false" outlineLevel="0" collapsed="false">
      <c r="A5731" s="7" t="s">
        <v>24</v>
      </c>
      <c r="B5731" s="7" t="s">
        <v>103</v>
      </c>
      <c r="C5731" s="7" t="s">
        <v>1121</v>
      </c>
      <c r="D5731" s="7" t="n">
        <v>0</v>
      </c>
      <c r="E5731" s="7" t="n">
        <v>0</v>
      </c>
      <c r="F5731" s="7" t="n">
        <v>1</v>
      </c>
      <c r="G5731" s="7" t="n">
        <v>129.59</v>
      </c>
    </row>
    <row r="5732" customFormat="false" ht="15" hidden="false" customHeight="false" outlineLevel="0" collapsed="false">
      <c r="A5732" s="7" t="s">
        <v>24</v>
      </c>
      <c r="B5732" s="7" t="s">
        <v>103</v>
      </c>
      <c r="C5732" s="7" t="s">
        <v>1121</v>
      </c>
      <c r="D5732" s="7" t="n">
        <v>0</v>
      </c>
      <c r="E5732" s="7" t="n">
        <v>0</v>
      </c>
      <c r="F5732" s="7" t="n">
        <v>1</v>
      </c>
      <c r="G5732" s="7" t="n">
        <v>129.59</v>
      </c>
    </row>
    <row r="5733" customFormat="false" ht="15" hidden="false" customHeight="false" outlineLevel="0" collapsed="false">
      <c r="A5733" s="7" t="s">
        <v>24</v>
      </c>
      <c r="B5733" s="7" t="s">
        <v>103</v>
      </c>
      <c r="C5733" s="7" t="s">
        <v>1121</v>
      </c>
      <c r="D5733" s="7" t="n">
        <v>0</v>
      </c>
      <c r="E5733" s="7" t="n">
        <v>0</v>
      </c>
      <c r="F5733" s="7" t="n">
        <v>1</v>
      </c>
      <c r="G5733" s="7" t="n">
        <v>115.19</v>
      </c>
    </row>
    <row r="5734" customFormat="false" ht="15" hidden="false" customHeight="false" outlineLevel="0" collapsed="false">
      <c r="A5734" s="7" t="s">
        <v>24</v>
      </c>
      <c r="B5734" s="7" t="s">
        <v>103</v>
      </c>
      <c r="C5734" s="7" t="s">
        <v>1121</v>
      </c>
      <c r="D5734" s="7" t="n">
        <v>0</v>
      </c>
      <c r="E5734" s="7" t="n">
        <v>0</v>
      </c>
      <c r="F5734" s="7" t="n">
        <v>1</v>
      </c>
      <c r="G5734" s="7" t="n">
        <v>143.98</v>
      </c>
    </row>
    <row r="5735" customFormat="false" ht="15" hidden="false" customHeight="false" outlineLevel="0" collapsed="false">
      <c r="A5735" s="7" t="s">
        <v>24</v>
      </c>
      <c r="B5735" s="7" t="s">
        <v>103</v>
      </c>
      <c r="C5735" s="7" t="s">
        <v>1121</v>
      </c>
      <c r="D5735" s="7" t="n">
        <v>0</v>
      </c>
      <c r="E5735" s="7" t="n">
        <v>0</v>
      </c>
      <c r="F5735" s="7" t="n">
        <v>2</v>
      </c>
      <c r="G5735" s="7" t="n">
        <v>259.18</v>
      </c>
    </row>
    <row r="5736" customFormat="false" ht="15" hidden="false" customHeight="false" outlineLevel="0" collapsed="false">
      <c r="A5736" s="7" t="s">
        <v>24</v>
      </c>
      <c r="B5736" s="7" t="s">
        <v>103</v>
      </c>
      <c r="C5736" s="7" t="s">
        <v>1121</v>
      </c>
      <c r="D5736" s="7" t="n">
        <v>0</v>
      </c>
      <c r="E5736" s="7" t="n">
        <v>0</v>
      </c>
      <c r="F5736" s="7" t="n">
        <v>1</v>
      </c>
      <c r="G5736" s="7" t="n">
        <v>129.59</v>
      </c>
    </row>
    <row r="5737" customFormat="false" ht="15" hidden="false" customHeight="false" outlineLevel="0" collapsed="false">
      <c r="A5737" s="7" t="s">
        <v>24</v>
      </c>
      <c r="B5737" s="7" t="s">
        <v>103</v>
      </c>
      <c r="C5737" s="7" t="s">
        <v>1121</v>
      </c>
      <c r="D5737" s="7" t="n">
        <v>0</v>
      </c>
      <c r="E5737" s="7" t="n">
        <v>0</v>
      </c>
      <c r="F5737" s="7" t="n">
        <v>8</v>
      </c>
      <c r="G5737" s="7" t="n">
        <v>1051.12</v>
      </c>
    </row>
    <row r="5738" customFormat="false" ht="15" hidden="false" customHeight="false" outlineLevel="0" collapsed="false">
      <c r="A5738" s="7" t="s">
        <v>24</v>
      </c>
      <c r="B5738" s="7" t="s">
        <v>103</v>
      </c>
      <c r="C5738" s="7" t="s">
        <v>1121</v>
      </c>
      <c r="D5738" s="7" t="n">
        <v>0</v>
      </c>
      <c r="E5738" s="7" t="n">
        <v>0</v>
      </c>
      <c r="F5738" s="7" t="n">
        <v>1</v>
      </c>
      <c r="G5738" s="7" t="n">
        <v>143.99</v>
      </c>
    </row>
    <row r="5739" customFormat="false" ht="15" hidden="false" customHeight="false" outlineLevel="0" collapsed="false">
      <c r="A5739" s="7" t="s">
        <v>24</v>
      </c>
      <c r="B5739" s="7" t="s">
        <v>103</v>
      </c>
      <c r="C5739" s="7" t="s">
        <v>1121</v>
      </c>
      <c r="D5739" s="7" t="n">
        <v>0</v>
      </c>
      <c r="E5739" s="7" t="n">
        <v>0</v>
      </c>
      <c r="F5739" s="7" t="n">
        <v>5</v>
      </c>
      <c r="G5739" s="7" t="n">
        <v>705.55</v>
      </c>
    </row>
    <row r="5740" customFormat="false" ht="15" hidden="false" customHeight="false" outlineLevel="0" collapsed="false">
      <c r="A5740" s="7" t="s">
        <v>24</v>
      </c>
      <c r="B5740" s="7" t="s">
        <v>103</v>
      </c>
      <c r="C5740" s="7" t="s">
        <v>1121</v>
      </c>
      <c r="D5740" s="7" t="n">
        <v>0</v>
      </c>
      <c r="E5740" s="7" t="n">
        <v>0</v>
      </c>
      <c r="F5740" s="7" t="n">
        <v>1</v>
      </c>
      <c r="G5740" s="7" t="n">
        <v>115.19</v>
      </c>
    </row>
    <row r="5741" customFormat="false" ht="15" hidden="false" customHeight="false" outlineLevel="0" collapsed="false">
      <c r="A5741" s="7" t="s">
        <v>24</v>
      </c>
      <c r="B5741" s="7" t="s">
        <v>103</v>
      </c>
      <c r="C5741" s="7" t="s">
        <v>1121</v>
      </c>
      <c r="D5741" s="7" t="n">
        <v>0</v>
      </c>
      <c r="E5741" s="7" t="n">
        <v>0</v>
      </c>
      <c r="F5741" s="7" t="n">
        <v>6</v>
      </c>
      <c r="G5741" s="7" t="n">
        <v>748.68</v>
      </c>
    </row>
    <row r="5742" customFormat="false" ht="15" hidden="false" customHeight="false" outlineLevel="0" collapsed="false">
      <c r="A5742" s="7" t="s">
        <v>24</v>
      </c>
      <c r="B5742" s="7" t="s">
        <v>103</v>
      </c>
      <c r="C5742" s="7" t="s">
        <v>1121</v>
      </c>
      <c r="D5742" s="7" t="n">
        <v>0</v>
      </c>
      <c r="E5742" s="7" t="n">
        <v>0</v>
      </c>
      <c r="F5742" s="7" t="n">
        <v>1</v>
      </c>
      <c r="G5742" s="7" t="n">
        <v>143.99</v>
      </c>
    </row>
    <row r="5743" customFormat="false" ht="15" hidden="false" customHeight="false" outlineLevel="0" collapsed="false">
      <c r="A5743" s="7" t="s">
        <v>24</v>
      </c>
      <c r="B5743" s="7" t="s">
        <v>103</v>
      </c>
      <c r="C5743" s="7" t="s">
        <v>1121</v>
      </c>
      <c r="D5743" s="7" t="n">
        <v>0</v>
      </c>
      <c r="E5743" s="7" t="n">
        <v>0</v>
      </c>
      <c r="F5743" s="7" t="n">
        <v>1</v>
      </c>
      <c r="G5743" s="7" t="n">
        <v>143.98</v>
      </c>
    </row>
    <row r="5744" customFormat="false" ht="15" hidden="false" customHeight="false" outlineLevel="0" collapsed="false">
      <c r="A5744" s="7" t="s">
        <v>24</v>
      </c>
      <c r="B5744" s="7" t="s">
        <v>103</v>
      </c>
      <c r="C5744" s="7" t="s">
        <v>1121</v>
      </c>
      <c r="D5744" s="7" t="n">
        <v>0</v>
      </c>
      <c r="E5744" s="7" t="n">
        <v>0</v>
      </c>
      <c r="F5744" s="7" t="n">
        <v>2</v>
      </c>
      <c r="G5744" s="7" t="n">
        <v>237.57</v>
      </c>
    </row>
    <row r="5745" customFormat="false" ht="15" hidden="false" customHeight="false" outlineLevel="0" collapsed="false">
      <c r="A5745" s="7" t="s">
        <v>24</v>
      </c>
      <c r="B5745" s="7" t="s">
        <v>103</v>
      </c>
      <c r="C5745" s="7" t="s">
        <v>1121</v>
      </c>
      <c r="D5745" s="7" t="n">
        <v>0</v>
      </c>
      <c r="E5745" s="7" t="n">
        <v>0</v>
      </c>
      <c r="F5745" s="7" t="n">
        <v>1</v>
      </c>
      <c r="G5745" s="7" t="n">
        <v>143.98</v>
      </c>
    </row>
    <row r="5746" customFormat="false" ht="15" hidden="false" customHeight="false" outlineLevel="0" collapsed="false">
      <c r="A5746" s="7" t="s">
        <v>24</v>
      </c>
      <c r="B5746" s="7" t="s">
        <v>103</v>
      </c>
      <c r="C5746" s="7" t="s">
        <v>1121</v>
      </c>
      <c r="D5746" s="7" t="n">
        <v>0</v>
      </c>
      <c r="E5746" s="7" t="n">
        <v>0</v>
      </c>
      <c r="F5746" s="7" t="n">
        <v>1</v>
      </c>
      <c r="G5746" s="7" t="n">
        <v>143.98</v>
      </c>
    </row>
    <row r="5747" customFormat="false" ht="15" hidden="false" customHeight="false" outlineLevel="0" collapsed="false">
      <c r="A5747" s="7" t="s">
        <v>24</v>
      </c>
      <c r="B5747" s="7" t="s">
        <v>103</v>
      </c>
      <c r="C5747" s="7" t="s">
        <v>1121</v>
      </c>
      <c r="D5747" s="7" t="n">
        <v>0</v>
      </c>
      <c r="E5747" s="7" t="n">
        <v>0</v>
      </c>
      <c r="F5747" s="7" t="n">
        <v>2</v>
      </c>
      <c r="G5747" s="7" t="n">
        <v>259.18</v>
      </c>
    </row>
    <row r="5748" customFormat="false" ht="15" hidden="false" customHeight="false" outlineLevel="0" collapsed="false">
      <c r="A5748" s="7" t="s">
        <v>24</v>
      </c>
      <c r="B5748" s="7" t="s">
        <v>103</v>
      </c>
      <c r="C5748" s="7" t="s">
        <v>1121</v>
      </c>
      <c r="D5748" s="7" t="n">
        <v>0</v>
      </c>
      <c r="E5748" s="7" t="n">
        <v>0</v>
      </c>
      <c r="F5748" s="7" t="n">
        <v>1</v>
      </c>
      <c r="G5748" s="7" t="n">
        <v>122.39</v>
      </c>
    </row>
    <row r="5749" customFormat="false" ht="15" hidden="false" customHeight="false" outlineLevel="0" collapsed="false">
      <c r="A5749" s="7" t="s">
        <v>24</v>
      </c>
      <c r="B5749" s="7" t="s">
        <v>103</v>
      </c>
      <c r="C5749" s="7" t="s">
        <v>1121</v>
      </c>
      <c r="D5749" s="7" t="n">
        <v>0</v>
      </c>
      <c r="E5749" s="7" t="n">
        <v>0</v>
      </c>
      <c r="F5749" s="7" t="n">
        <v>2</v>
      </c>
      <c r="G5749" s="7" t="n">
        <v>254.15</v>
      </c>
    </row>
    <row r="5750" customFormat="false" ht="15" hidden="false" customHeight="false" outlineLevel="0" collapsed="false">
      <c r="A5750" s="7" t="s">
        <v>24</v>
      </c>
      <c r="B5750" s="7" t="s">
        <v>103</v>
      </c>
      <c r="C5750" s="7" t="s">
        <v>1121</v>
      </c>
      <c r="D5750" s="7" t="n">
        <v>0</v>
      </c>
      <c r="E5750" s="7" t="n">
        <v>0</v>
      </c>
      <c r="F5750" s="7" t="n">
        <v>2</v>
      </c>
      <c r="G5750" s="7" t="n">
        <v>221.85</v>
      </c>
    </row>
    <row r="5751" customFormat="false" ht="15" hidden="false" customHeight="false" outlineLevel="0" collapsed="false">
      <c r="A5751" s="7" t="s">
        <v>24</v>
      </c>
      <c r="B5751" s="7" t="s">
        <v>103</v>
      </c>
      <c r="C5751" s="7" t="s">
        <v>1121</v>
      </c>
      <c r="D5751" s="7" t="n">
        <v>0</v>
      </c>
      <c r="E5751" s="7" t="n">
        <v>0</v>
      </c>
      <c r="F5751" s="7" t="n">
        <v>1</v>
      </c>
      <c r="G5751" s="7" t="n">
        <v>129.59</v>
      </c>
    </row>
    <row r="5752" customFormat="false" ht="15" hidden="false" customHeight="false" outlineLevel="0" collapsed="false">
      <c r="A5752" s="7" t="s">
        <v>24</v>
      </c>
      <c r="B5752" s="7" t="s">
        <v>103</v>
      </c>
      <c r="C5752" s="7" t="s">
        <v>1121</v>
      </c>
      <c r="D5752" s="7" t="n">
        <v>0</v>
      </c>
      <c r="E5752" s="7" t="n">
        <v>0</v>
      </c>
      <c r="F5752" s="7" t="n">
        <v>1</v>
      </c>
      <c r="G5752" s="7" t="n">
        <v>129.59</v>
      </c>
    </row>
    <row r="5753" customFormat="false" ht="15" hidden="false" customHeight="false" outlineLevel="0" collapsed="false">
      <c r="A5753" s="7" t="s">
        <v>24</v>
      </c>
      <c r="B5753" s="7" t="s">
        <v>103</v>
      </c>
      <c r="C5753" s="7" t="s">
        <v>1121</v>
      </c>
      <c r="D5753" s="7" t="n">
        <v>0</v>
      </c>
      <c r="E5753" s="7" t="n">
        <v>0</v>
      </c>
      <c r="F5753" s="7" t="n">
        <v>1</v>
      </c>
      <c r="G5753" s="7" t="n">
        <v>143.98</v>
      </c>
    </row>
    <row r="5754" customFormat="false" ht="15" hidden="false" customHeight="false" outlineLevel="0" collapsed="false">
      <c r="A5754" s="7" t="s">
        <v>24</v>
      </c>
      <c r="B5754" s="7" t="s">
        <v>103</v>
      </c>
      <c r="C5754" s="7" t="s">
        <v>1121</v>
      </c>
      <c r="D5754" s="7" t="n">
        <v>0</v>
      </c>
      <c r="E5754" s="7" t="n">
        <v>0</v>
      </c>
      <c r="F5754" s="7" t="n">
        <v>2</v>
      </c>
      <c r="G5754" s="7" t="n">
        <v>244.78</v>
      </c>
    </row>
    <row r="5755" customFormat="false" ht="15" hidden="false" customHeight="false" outlineLevel="0" collapsed="false">
      <c r="A5755" s="7" t="s">
        <v>24</v>
      </c>
      <c r="B5755" s="7" t="s">
        <v>103</v>
      </c>
      <c r="C5755" s="7" t="s">
        <v>1121</v>
      </c>
      <c r="D5755" s="7" t="n">
        <v>0</v>
      </c>
      <c r="E5755" s="7" t="n">
        <v>0</v>
      </c>
      <c r="F5755" s="7" t="n">
        <v>1</v>
      </c>
      <c r="G5755" s="7" t="n">
        <v>115.19</v>
      </c>
    </row>
    <row r="5756" customFormat="false" ht="15" hidden="false" customHeight="false" outlineLevel="0" collapsed="false">
      <c r="A5756" s="7" t="s">
        <v>24</v>
      </c>
      <c r="B5756" s="7" t="s">
        <v>103</v>
      </c>
      <c r="C5756" s="7" t="s">
        <v>1121</v>
      </c>
      <c r="D5756" s="7" t="n">
        <v>0</v>
      </c>
      <c r="E5756" s="7" t="n">
        <v>0</v>
      </c>
      <c r="F5756" s="7" t="n">
        <v>2</v>
      </c>
      <c r="G5756" s="7" t="n">
        <v>256.65</v>
      </c>
    </row>
    <row r="5757" customFormat="false" ht="15" hidden="false" customHeight="false" outlineLevel="0" collapsed="false">
      <c r="A5757" s="7" t="s">
        <v>24</v>
      </c>
      <c r="B5757" s="7" t="s">
        <v>103</v>
      </c>
      <c r="C5757" s="7" t="s">
        <v>1121</v>
      </c>
      <c r="D5757" s="7" t="n">
        <v>0</v>
      </c>
      <c r="E5757" s="7" t="n">
        <v>0</v>
      </c>
      <c r="F5757" s="7" t="n">
        <v>1</v>
      </c>
      <c r="G5757" s="7" t="n">
        <v>129.58</v>
      </c>
    </row>
    <row r="5758" customFormat="false" ht="15" hidden="false" customHeight="false" outlineLevel="0" collapsed="false">
      <c r="A5758" s="7" t="s">
        <v>24</v>
      </c>
      <c r="B5758" s="7" t="s">
        <v>103</v>
      </c>
      <c r="C5758" s="7" t="s">
        <v>1121</v>
      </c>
      <c r="D5758" s="7" t="n">
        <v>0</v>
      </c>
      <c r="E5758" s="7" t="n">
        <v>0</v>
      </c>
      <c r="F5758" s="7" t="n">
        <v>2</v>
      </c>
      <c r="G5758" s="7" t="n">
        <v>259.18</v>
      </c>
    </row>
    <row r="5759" customFormat="false" ht="15" hidden="false" customHeight="false" outlineLevel="0" collapsed="false">
      <c r="A5759" s="7" t="s">
        <v>24</v>
      </c>
      <c r="B5759" s="7" t="s">
        <v>103</v>
      </c>
      <c r="C5759" s="7" t="s">
        <v>1121</v>
      </c>
      <c r="D5759" s="7" t="n">
        <v>0</v>
      </c>
      <c r="E5759" s="7" t="n">
        <v>0</v>
      </c>
      <c r="F5759" s="7" t="n">
        <v>3</v>
      </c>
      <c r="G5759" s="7" t="n">
        <v>403.17</v>
      </c>
    </row>
    <row r="5760" customFormat="false" ht="15" hidden="false" customHeight="false" outlineLevel="0" collapsed="false">
      <c r="A5760" s="7" t="s">
        <v>24</v>
      </c>
      <c r="B5760" s="7" t="s">
        <v>103</v>
      </c>
      <c r="C5760" s="7" t="s">
        <v>1121</v>
      </c>
      <c r="D5760" s="7" t="n">
        <v>0</v>
      </c>
      <c r="E5760" s="7" t="n">
        <v>0</v>
      </c>
      <c r="F5760" s="7" t="n">
        <v>1</v>
      </c>
      <c r="G5760" s="7" t="n">
        <v>129.59</v>
      </c>
    </row>
    <row r="5761" customFormat="false" ht="15" hidden="false" customHeight="false" outlineLevel="0" collapsed="false">
      <c r="A5761" s="7" t="s">
        <v>24</v>
      </c>
      <c r="B5761" s="7" t="s">
        <v>103</v>
      </c>
      <c r="C5761" s="7" t="s">
        <v>1121</v>
      </c>
      <c r="D5761" s="7" t="n">
        <v>0</v>
      </c>
      <c r="E5761" s="7" t="n">
        <v>0</v>
      </c>
      <c r="F5761" s="7" t="n">
        <v>1</v>
      </c>
      <c r="G5761" s="7" t="n">
        <v>115.19</v>
      </c>
    </row>
    <row r="5762" customFormat="false" ht="15" hidden="false" customHeight="false" outlineLevel="0" collapsed="false">
      <c r="A5762" s="7" t="s">
        <v>24</v>
      </c>
      <c r="B5762" s="7" t="s">
        <v>103</v>
      </c>
      <c r="C5762" s="7" t="s">
        <v>1121</v>
      </c>
      <c r="D5762" s="7" t="n">
        <v>0</v>
      </c>
      <c r="E5762" s="7" t="n">
        <v>0</v>
      </c>
      <c r="F5762" s="7" t="n">
        <v>10</v>
      </c>
      <c r="G5762" s="7" t="n">
        <v>1396.7</v>
      </c>
    </row>
    <row r="5763" customFormat="false" ht="15" hidden="false" customHeight="false" outlineLevel="0" collapsed="false">
      <c r="A5763" s="7" t="s">
        <v>24</v>
      </c>
      <c r="B5763" s="7" t="s">
        <v>103</v>
      </c>
      <c r="C5763" s="7" t="s">
        <v>1121</v>
      </c>
      <c r="D5763" s="7" t="n">
        <v>0</v>
      </c>
      <c r="E5763" s="7" t="n">
        <v>0</v>
      </c>
      <c r="F5763" s="7" t="n">
        <v>1</v>
      </c>
      <c r="G5763" s="7" t="n">
        <v>143.99</v>
      </c>
    </row>
    <row r="5764" customFormat="false" ht="15" hidden="false" customHeight="false" outlineLevel="0" collapsed="false">
      <c r="A5764" s="7" t="s">
        <v>24</v>
      </c>
      <c r="B5764" s="7" t="s">
        <v>103</v>
      </c>
      <c r="C5764" s="7" t="s">
        <v>1121</v>
      </c>
      <c r="D5764" s="7" t="n">
        <v>0</v>
      </c>
      <c r="E5764" s="7" t="n">
        <v>0</v>
      </c>
      <c r="F5764" s="7" t="n">
        <v>1</v>
      </c>
      <c r="G5764" s="7" t="n">
        <v>143.99</v>
      </c>
    </row>
    <row r="5765" customFormat="false" ht="15" hidden="false" customHeight="false" outlineLevel="0" collapsed="false">
      <c r="A5765" s="7" t="s">
        <v>24</v>
      </c>
      <c r="B5765" s="7" t="s">
        <v>103</v>
      </c>
      <c r="C5765" s="7" t="s">
        <v>1121</v>
      </c>
      <c r="D5765" s="7" t="n">
        <v>0</v>
      </c>
      <c r="E5765" s="7" t="n">
        <v>0</v>
      </c>
      <c r="F5765" s="7" t="n">
        <v>1</v>
      </c>
      <c r="G5765" s="7" t="n">
        <v>115.19</v>
      </c>
    </row>
    <row r="5766" customFormat="false" ht="15" hidden="false" customHeight="false" outlineLevel="0" collapsed="false">
      <c r="A5766" s="7" t="s">
        <v>24</v>
      </c>
      <c r="B5766" s="7" t="s">
        <v>103</v>
      </c>
      <c r="C5766" s="7" t="s">
        <v>1121</v>
      </c>
      <c r="D5766" s="7" t="n">
        <v>0</v>
      </c>
      <c r="E5766" s="7" t="n">
        <v>0</v>
      </c>
      <c r="F5766" s="7" t="n">
        <v>1</v>
      </c>
      <c r="G5766" s="7" t="n">
        <v>143.98</v>
      </c>
    </row>
    <row r="5767" customFormat="false" ht="15" hidden="false" customHeight="false" outlineLevel="0" collapsed="false">
      <c r="A5767" s="7" t="s">
        <v>24</v>
      </c>
      <c r="B5767" s="7" t="s">
        <v>103</v>
      </c>
      <c r="C5767" s="7" t="s">
        <v>1121</v>
      </c>
      <c r="D5767" s="7" t="n">
        <v>0</v>
      </c>
      <c r="E5767" s="7" t="n">
        <v>0</v>
      </c>
      <c r="F5767" s="7" t="n">
        <v>1</v>
      </c>
      <c r="G5767" s="7" t="n">
        <v>129.58</v>
      </c>
    </row>
    <row r="5768" customFormat="false" ht="15" hidden="false" customHeight="false" outlineLevel="0" collapsed="false">
      <c r="A5768" s="7" t="s">
        <v>24</v>
      </c>
      <c r="B5768" s="7" t="s">
        <v>103</v>
      </c>
      <c r="C5768" s="7" t="s">
        <v>1121</v>
      </c>
      <c r="D5768" s="7" t="n">
        <v>0</v>
      </c>
      <c r="E5768" s="7" t="n">
        <v>0</v>
      </c>
      <c r="F5768" s="7" t="n">
        <v>1</v>
      </c>
      <c r="G5768" s="7" t="n">
        <v>143.98</v>
      </c>
    </row>
    <row r="5769" customFormat="false" ht="15" hidden="false" customHeight="false" outlineLevel="0" collapsed="false">
      <c r="A5769" s="7" t="s">
        <v>24</v>
      </c>
      <c r="B5769" s="7" t="s">
        <v>103</v>
      </c>
      <c r="C5769" s="7" t="s">
        <v>1121</v>
      </c>
      <c r="D5769" s="7" t="n">
        <v>0</v>
      </c>
      <c r="E5769" s="7" t="n">
        <v>0</v>
      </c>
      <c r="F5769" s="7" t="n">
        <v>1</v>
      </c>
      <c r="G5769" s="7" t="n">
        <v>143.99</v>
      </c>
    </row>
    <row r="5770" customFormat="false" ht="15" hidden="false" customHeight="false" outlineLevel="0" collapsed="false">
      <c r="A5770" s="7" t="s">
        <v>24</v>
      </c>
      <c r="B5770" s="7" t="s">
        <v>103</v>
      </c>
      <c r="C5770" s="7" t="s">
        <v>1121</v>
      </c>
      <c r="D5770" s="7" t="n">
        <v>0</v>
      </c>
      <c r="E5770" s="7" t="n">
        <v>0</v>
      </c>
      <c r="F5770" s="7" t="n">
        <v>1</v>
      </c>
      <c r="G5770" s="7" t="n">
        <v>143.99</v>
      </c>
    </row>
    <row r="5771" customFormat="false" ht="15" hidden="false" customHeight="false" outlineLevel="0" collapsed="false">
      <c r="A5771" s="7" t="s">
        <v>24</v>
      </c>
      <c r="B5771" s="7" t="s">
        <v>103</v>
      </c>
      <c r="C5771" s="7" t="s">
        <v>1121</v>
      </c>
      <c r="D5771" s="7" t="n">
        <v>0</v>
      </c>
      <c r="E5771" s="7" t="n">
        <v>0</v>
      </c>
      <c r="F5771" s="7" t="n">
        <v>2</v>
      </c>
      <c r="G5771" s="7" t="n">
        <v>273.58</v>
      </c>
    </row>
    <row r="5772" customFormat="false" ht="15" hidden="false" customHeight="false" outlineLevel="0" collapsed="false">
      <c r="A5772" s="7" t="s">
        <v>24</v>
      </c>
      <c r="B5772" s="7" t="s">
        <v>103</v>
      </c>
      <c r="C5772" s="7" t="s">
        <v>1121</v>
      </c>
      <c r="D5772" s="7" t="n">
        <v>0</v>
      </c>
      <c r="E5772" s="7" t="n">
        <v>0</v>
      </c>
      <c r="F5772" s="7" t="n">
        <v>1</v>
      </c>
      <c r="G5772" s="7" t="n">
        <v>143.98</v>
      </c>
    </row>
    <row r="5773" customFormat="false" ht="15" hidden="false" customHeight="false" outlineLevel="0" collapsed="false">
      <c r="A5773" s="7" t="s">
        <v>24</v>
      </c>
      <c r="B5773" s="7" t="s">
        <v>103</v>
      </c>
      <c r="C5773" s="7" t="s">
        <v>1121</v>
      </c>
      <c r="D5773" s="7" t="n">
        <v>0</v>
      </c>
      <c r="E5773" s="7" t="n">
        <v>0</v>
      </c>
      <c r="F5773" s="7" t="n">
        <v>1</v>
      </c>
      <c r="G5773" s="7" t="n">
        <v>129.58</v>
      </c>
    </row>
    <row r="5774" customFormat="false" ht="15" hidden="false" customHeight="false" outlineLevel="0" collapsed="false">
      <c r="A5774" s="7" t="s">
        <v>24</v>
      </c>
      <c r="B5774" s="7" t="s">
        <v>103</v>
      </c>
      <c r="C5774" s="7" t="s">
        <v>1121</v>
      </c>
      <c r="D5774" s="7" t="n">
        <v>0</v>
      </c>
      <c r="E5774" s="7" t="n">
        <v>0</v>
      </c>
      <c r="F5774" s="7" t="n">
        <v>3</v>
      </c>
      <c r="G5774" s="7" t="n">
        <v>417.54</v>
      </c>
    </row>
    <row r="5775" customFormat="false" ht="15" hidden="false" customHeight="false" outlineLevel="0" collapsed="false">
      <c r="A5775" s="7" t="s">
        <v>24</v>
      </c>
      <c r="B5775" s="7" t="s">
        <v>103</v>
      </c>
      <c r="C5775" s="7" t="s">
        <v>1121</v>
      </c>
      <c r="D5775" s="7" t="n">
        <v>0</v>
      </c>
      <c r="E5775" s="7" t="n">
        <v>0</v>
      </c>
      <c r="F5775" s="7" t="n">
        <v>1</v>
      </c>
      <c r="G5775" s="7" t="n">
        <v>143.99</v>
      </c>
    </row>
    <row r="5776" customFormat="false" ht="15" hidden="false" customHeight="false" outlineLevel="0" collapsed="false">
      <c r="A5776" s="7" t="s">
        <v>24</v>
      </c>
      <c r="B5776" s="7" t="s">
        <v>103</v>
      </c>
      <c r="C5776" s="7" t="s">
        <v>1121</v>
      </c>
      <c r="D5776" s="7" t="n">
        <v>0</v>
      </c>
      <c r="E5776" s="7" t="n">
        <v>0</v>
      </c>
      <c r="F5776" s="7" t="n">
        <v>7</v>
      </c>
      <c r="G5776" s="7" t="n">
        <v>907.09</v>
      </c>
    </row>
    <row r="5777" customFormat="false" ht="15" hidden="false" customHeight="false" outlineLevel="0" collapsed="false">
      <c r="A5777" s="7" t="s">
        <v>24</v>
      </c>
      <c r="B5777" s="7" t="s">
        <v>103</v>
      </c>
      <c r="C5777" s="7" t="s">
        <v>1121</v>
      </c>
      <c r="D5777" s="7" t="n">
        <v>0</v>
      </c>
      <c r="E5777" s="7" t="n">
        <v>0</v>
      </c>
      <c r="F5777" s="7" t="n">
        <v>1</v>
      </c>
      <c r="G5777" s="7" t="n">
        <v>143.99</v>
      </c>
    </row>
    <row r="5778" customFormat="false" ht="15" hidden="false" customHeight="false" outlineLevel="0" collapsed="false">
      <c r="A5778" s="7" t="s">
        <v>24</v>
      </c>
      <c r="B5778" s="7" t="s">
        <v>103</v>
      </c>
      <c r="C5778" s="7" t="s">
        <v>1121</v>
      </c>
      <c r="D5778" s="7" t="n">
        <v>0</v>
      </c>
      <c r="E5778" s="7" t="n">
        <v>0</v>
      </c>
      <c r="F5778" s="7" t="n">
        <v>2</v>
      </c>
      <c r="G5778" s="7" t="n">
        <v>273.56</v>
      </c>
    </row>
    <row r="5779" customFormat="false" ht="15" hidden="false" customHeight="false" outlineLevel="0" collapsed="false">
      <c r="A5779" s="7" t="s">
        <v>24</v>
      </c>
      <c r="B5779" s="7" t="s">
        <v>103</v>
      </c>
      <c r="C5779" s="7" t="s">
        <v>1121</v>
      </c>
      <c r="D5779" s="7" t="n">
        <v>97</v>
      </c>
      <c r="E5779" s="7" t="n">
        <v>12063.71</v>
      </c>
      <c r="F5779" s="7" t="n">
        <v>0</v>
      </c>
      <c r="G5779" s="7" t="n">
        <v>0</v>
      </c>
    </row>
    <row r="5780" customFormat="false" ht="15" hidden="false" customHeight="false" outlineLevel="0" collapsed="false">
      <c r="A5780" s="7" t="s">
        <v>24</v>
      </c>
      <c r="B5780" s="7" t="s">
        <v>103</v>
      </c>
      <c r="C5780" s="7" t="s">
        <v>1121</v>
      </c>
      <c r="D5780" s="7" t="n">
        <v>0</v>
      </c>
      <c r="E5780" s="7" t="n">
        <v>0</v>
      </c>
      <c r="F5780" s="7" t="n">
        <v>1</v>
      </c>
      <c r="G5780" s="7" t="n">
        <v>143.99</v>
      </c>
    </row>
    <row r="5781" customFormat="false" ht="15" hidden="false" customHeight="false" outlineLevel="0" collapsed="false">
      <c r="A5781" s="7" t="s">
        <v>24</v>
      </c>
      <c r="B5781" s="7" t="s">
        <v>103</v>
      </c>
      <c r="C5781" s="7" t="s">
        <v>1121</v>
      </c>
      <c r="D5781" s="7" t="n">
        <v>0</v>
      </c>
      <c r="E5781" s="7" t="n">
        <v>0</v>
      </c>
      <c r="F5781" s="7" t="n">
        <v>1</v>
      </c>
      <c r="G5781" s="7" t="n">
        <v>115.19</v>
      </c>
    </row>
    <row r="5782" customFormat="false" ht="15" hidden="false" customHeight="false" outlineLevel="0" collapsed="false">
      <c r="A5782" s="7" t="s">
        <v>24</v>
      </c>
      <c r="B5782" s="7" t="s">
        <v>103</v>
      </c>
      <c r="C5782" s="7" t="s">
        <v>1121</v>
      </c>
      <c r="D5782" s="7" t="n">
        <v>0</v>
      </c>
      <c r="E5782" s="7" t="n">
        <v>0</v>
      </c>
      <c r="F5782" s="7" t="n">
        <v>1</v>
      </c>
      <c r="G5782" s="7" t="n">
        <v>143.99</v>
      </c>
    </row>
    <row r="5783" customFormat="false" ht="15" hidden="false" customHeight="false" outlineLevel="0" collapsed="false">
      <c r="A5783" s="7" t="s">
        <v>24</v>
      </c>
      <c r="B5783" s="7" t="s">
        <v>103</v>
      </c>
      <c r="C5783" s="7" t="s">
        <v>1121</v>
      </c>
      <c r="D5783" s="7" t="n">
        <v>0</v>
      </c>
      <c r="E5783" s="7" t="n">
        <v>0</v>
      </c>
      <c r="F5783" s="7" t="n">
        <v>2</v>
      </c>
      <c r="G5783" s="7" t="n">
        <v>271.05</v>
      </c>
    </row>
    <row r="5784" customFormat="false" ht="15" hidden="false" customHeight="false" outlineLevel="0" collapsed="false">
      <c r="A5784" s="7" t="s">
        <v>24</v>
      </c>
      <c r="B5784" s="7" t="s">
        <v>103</v>
      </c>
      <c r="C5784" s="7" t="s">
        <v>1121</v>
      </c>
      <c r="D5784" s="7" t="n">
        <v>0</v>
      </c>
      <c r="E5784" s="7" t="n">
        <v>0</v>
      </c>
      <c r="F5784" s="7" t="n">
        <v>1</v>
      </c>
      <c r="G5784" s="7" t="n">
        <v>143.99</v>
      </c>
    </row>
    <row r="5785" customFormat="false" ht="15" hidden="false" customHeight="false" outlineLevel="0" collapsed="false">
      <c r="A5785" s="7" t="s">
        <v>24</v>
      </c>
      <c r="B5785" s="7" t="s">
        <v>103</v>
      </c>
      <c r="C5785" s="7" t="s">
        <v>1121</v>
      </c>
      <c r="D5785" s="7" t="n">
        <v>0</v>
      </c>
      <c r="E5785" s="7" t="n">
        <v>0</v>
      </c>
      <c r="F5785" s="7" t="n">
        <v>1</v>
      </c>
      <c r="G5785" s="7" t="n">
        <v>143.99</v>
      </c>
    </row>
    <row r="5786" customFormat="false" ht="15" hidden="false" customHeight="false" outlineLevel="0" collapsed="false">
      <c r="A5786" s="7" t="s">
        <v>24</v>
      </c>
      <c r="B5786" s="7" t="s">
        <v>103</v>
      </c>
      <c r="C5786" s="7" t="s">
        <v>1121</v>
      </c>
      <c r="D5786" s="7" t="n">
        <v>0</v>
      </c>
      <c r="E5786" s="7" t="n">
        <v>0</v>
      </c>
      <c r="F5786" s="7" t="n">
        <v>1</v>
      </c>
      <c r="G5786" s="7" t="n">
        <v>143.99</v>
      </c>
    </row>
    <row r="5787" customFormat="false" ht="15" hidden="false" customHeight="false" outlineLevel="0" collapsed="false">
      <c r="A5787" s="7" t="s">
        <v>24</v>
      </c>
      <c r="B5787" s="7" t="s">
        <v>103</v>
      </c>
      <c r="C5787" s="7" t="s">
        <v>1121</v>
      </c>
      <c r="D5787" s="7" t="n">
        <v>0</v>
      </c>
      <c r="E5787" s="7" t="n">
        <v>0</v>
      </c>
      <c r="F5787" s="7" t="n">
        <v>1</v>
      </c>
      <c r="G5787" s="7" t="n">
        <v>129.59</v>
      </c>
    </row>
    <row r="5788" customFormat="false" ht="15" hidden="false" customHeight="false" outlineLevel="0" collapsed="false">
      <c r="A5788" s="7" t="s">
        <v>24</v>
      </c>
      <c r="B5788" s="7" t="s">
        <v>103</v>
      </c>
      <c r="C5788" s="7" t="s">
        <v>1121</v>
      </c>
      <c r="D5788" s="7" t="n">
        <v>1</v>
      </c>
      <c r="E5788" s="7" t="n">
        <v>127</v>
      </c>
      <c r="F5788" s="7" t="n">
        <v>0</v>
      </c>
      <c r="G5788" s="7" t="n">
        <v>0</v>
      </c>
    </row>
    <row r="5789" customFormat="false" ht="15" hidden="false" customHeight="false" outlineLevel="0" collapsed="false">
      <c r="A5789" s="7" t="s">
        <v>24</v>
      </c>
      <c r="B5789" s="7" t="s">
        <v>103</v>
      </c>
      <c r="C5789" s="7" t="s">
        <v>1121</v>
      </c>
      <c r="D5789" s="7" t="n">
        <v>0</v>
      </c>
      <c r="E5789" s="7" t="n">
        <v>0</v>
      </c>
      <c r="F5789" s="7" t="n">
        <v>1</v>
      </c>
      <c r="G5789" s="7" t="n">
        <v>122.39</v>
      </c>
    </row>
    <row r="5790" customFormat="false" ht="15" hidden="false" customHeight="false" outlineLevel="0" collapsed="false">
      <c r="A5790" s="7" t="s">
        <v>24</v>
      </c>
      <c r="B5790" s="7" t="s">
        <v>103</v>
      </c>
      <c r="C5790" s="7" t="s">
        <v>1121</v>
      </c>
      <c r="D5790" s="7" t="n">
        <v>0</v>
      </c>
      <c r="E5790" s="7" t="n">
        <v>0</v>
      </c>
      <c r="F5790" s="7" t="n">
        <v>1</v>
      </c>
      <c r="G5790" s="7" t="n">
        <v>129.59</v>
      </c>
    </row>
    <row r="5791" customFormat="false" ht="15" hidden="false" customHeight="false" outlineLevel="0" collapsed="false">
      <c r="A5791" s="7" t="s">
        <v>24</v>
      </c>
      <c r="B5791" s="7" t="s">
        <v>103</v>
      </c>
      <c r="C5791" s="7" t="s">
        <v>1121</v>
      </c>
      <c r="D5791" s="7" t="n">
        <v>0</v>
      </c>
      <c r="E5791" s="7" t="n">
        <v>0</v>
      </c>
      <c r="F5791" s="7" t="n">
        <v>1</v>
      </c>
      <c r="G5791" s="7" t="n">
        <v>129.58</v>
      </c>
    </row>
    <row r="5792" customFormat="false" ht="15" hidden="false" customHeight="false" outlineLevel="0" collapsed="false">
      <c r="A5792" s="7" t="s">
        <v>24</v>
      </c>
      <c r="B5792" s="7" t="s">
        <v>103</v>
      </c>
      <c r="C5792" s="7" t="s">
        <v>1121</v>
      </c>
      <c r="D5792" s="7" t="n">
        <v>0</v>
      </c>
      <c r="E5792" s="7" t="n">
        <v>0</v>
      </c>
      <c r="F5792" s="7" t="n">
        <v>1</v>
      </c>
      <c r="G5792" s="7" t="n">
        <v>122.39</v>
      </c>
    </row>
    <row r="5793" customFormat="false" ht="15" hidden="false" customHeight="false" outlineLevel="0" collapsed="false">
      <c r="A5793" s="7" t="s">
        <v>24</v>
      </c>
      <c r="B5793" s="7" t="s">
        <v>103</v>
      </c>
      <c r="C5793" s="7" t="s">
        <v>1121</v>
      </c>
      <c r="D5793" s="7" t="n">
        <v>0</v>
      </c>
      <c r="E5793" s="7" t="n">
        <v>0</v>
      </c>
      <c r="F5793" s="7" t="n">
        <v>1</v>
      </c>
      <c r="G5793" s="7" t="n">
        <v>143.99</v>
      </c>
    </row>
    <row r="5794" customFormat="false" ht="15" hidden="false" customHeight="false" outlineLevel="0" collapsed="false">
      <c r="A5794" s="7" t="s">
        <v>24</v>
      </c>
      <c r="B5794" s="7" t="s">
        <v>103</v>
      </c>
      <c r="C5794" s="7" t="s">
        <v>1121</v>
      </c>
      <c r="D5794" s="7" t="n">
        <v>0</v>
      </c>
      <c r="E5794" s="7" t="n">
        <v>0</v>
      </c>
      <c r="F5794" s="7" t="n">
        <v>3</v>
      </c>
      <c r="G5794" s="7" t="n">
        <v>367.16</v>
      </c>
    </row>
    <row r="5795" customFormat="false" ht="15" hidden="false" customHeight="false" outlineLevel="0" collapsed="false">
      <c r="A5795" s="7" t="s">
        <v>24</v>
      </c>
      <c r="B5795" s="7" t="s">
        <v>103</v>
      </c>
      <c r="C5795" s="7" t="s">
        <v>1121</v>
      </c>
      <c r="D5795" s="7" t="n">
        <v>0</v>
      </c>
      <c r="E5795" s="7" t="n">
        <v>0</v>
      </c>
      <c r="F5795" s="7" t="n">
        <v>2</v>
      </c>
      <c r="G5795" s="7" t="n">
        <v>273.58</v>
      </c>
    </row>
    <row r="5796" customFormat="false" ht="15" hidden="false" customHeight="false" outlineLevel="0" collapsed="false">
      <c r="A5796" s="7" t="s">
        <v>24</v>
      </c>
      <c r="B5796" s="7" t="s">
        <v>103</v>
      </c>
      <c r="C5796" s="7" t="s">
        <v>1121</v>
      </c>
      <c r="D5796" s="7" t="n">
        <v>0</v>
      </c>
      <c r="E5796" s="7" t="n">
        <v>0</v>
      </c>
      <c r="F5796" s="7" t="n">
        <v>2</v>
      </c>
      <c r="G5796" s="7" t="n">
        <v>230.38</v>
      </c>
    </row>
    <row r="5797" customFormat="false" ht="15" hidden="false" customHeight="false" outlineLevel="0" collapsed="false">
      <c r="A5797" s="7" t="s">
        <v>24</v>
      </c>
      <c r="B5797" s="7" t="s">
        <v>103</v>
      </c>
      <c r="C5797" s="7" t="s">
        <v>1121</v>
      </c>
      <c r="D5797" s="7" t="n">
        <v>0</v>
      </c>
      <c r="E5797" s="7" t="n">
        <v>0</v>
      </c>
      <c r="F5797" s="7" t="n">
        <v>1</v>
      </c>
      <c r="G5797" s="7" t="n">
        <v>143.99</v>
      </c>
    </row>
    <row r="5798" customFormat="false" ht="15" hidden="false" customHeight="false" outlineLevel="0" collapsed="false">
      <c r="A5798" s="7" t="s">
        <v>24</v>
      </c>
      <c r="B5798" s="7" t="s">
        <v>103</v>
      </c>
      <c r="C5798" s="7" t="s">
        <v>1121</v>
      </c>
      <c r="D5798" s="7" t="n">
        <v>0</v>
      </c>
      <c r="E5798" s="7" t="n">
        <v>0</v>
      </c>
      <c r="F5798" s="7" t="n">
        <v>1</v>
      </c>
      <c r="G5798" s="7" t="n">
        <v>143.98</v>
      </c>
    </row>
    <row r="5799" customFormat="false" ht="15" hidden="false" customHeight="false" outlineLevel="0" collapsed="false">
      <c r="A5799" s="7" t="s">
        <v>24</v>
      </c>
      <c r="B5799" s="7" t="s">
        <v>103</v>
      </c>
      <c r="C5799" s="7" t="s">
        <v>1121</v>
      </c>
      <c r="D5799" s="7" t="n">
        <v>0</v>
      </c>
      <c r="E5799" s="7" t="n">
        <v>0</v>
      </c>
      <c r="F5799" s="7" t="n">
        <v>1</v>
      </c>
      <c r="G5799" s="7" t="n">
        <v>115.18</v>
      </c>
    </row>
    <row r="5800" customFormat="false" ht="15" hidden="false" customHeight="false" outlineLevel="0" collapsed="false">
      <c r="A5800" s="7" t="s">
        <v>24</v>
      </c>
      <c r="B5800" s="7" t="s">
        <v>103</v>
      </c>
      <c r="C5800" s="7" t="s">
        <v>1121</v>
      </c>
      <c r="D5800" s="7" t="n">
        <v>0</v>
      </c>
      <c r="E5800" s="7" t="n">
        <v>0</v>
      </c>
      <c r="F5800" s="7" t="n">
        <v>1</v>
      </c>
      <c r="G5800" s="7" t="n">
        <v>129.59</v>
      </c>
    </row>
    <row r="5801" customFormat="false" ht="15" hidden="false" customHeight="false" outlineLevel="0" collapsed="false">
      <c r="A5801" s="7" t="s">
        <v>24</v>
      </c>
      <c r="B5801" s="7" t="s">
        <v>103</v>
      </c>
      <c r="C5801" s="7" t="s">
        <v>1121</v>
      </c>
      <c r="D5801" s="7" t="n">
        <v>0</v>
      </c>
      <c r="E5801" s="7" t="n">
        <v>0</v>
      </c>
      <c r="F5801" s="7" t="n">
        <v>1</v>
      </c>
      <c r="G5801" s="7" t="n">
        <v>143.98</v>
      </c>
    </row>
    <row r="5802" customFormat="false" ht="15" hidden="false" customHeight="false" outlineLevel="0" collapsed="false">
      <c r="A5802" s="7" t="s">
        <v>24</v>
      </c>
      <c r="B5802" s="7" t="s">
        <v>103</v>
      </c>
      <c r="C5802" s="7" t="s">
        <v>1121</v>
      </c>
      <c r="D5802" s="7" t="n">
        <v>0</v>
      </c>
      <c r="E5802" s="7" t="n">
        <v>0</v>
      </c>
      <c r="F5802" s="7" t="n">
        <v>8</v>
      </c>
      <c r="G5802" s="7" t="n">
        <v>1036.72</v>
      </c>
    </row>
    <row r="5803" customFormat="false" ht="15" hidden="false" customHeight="false" outlineLevel="0" collapsed="false">
      <c r="A5803" s="7" t="s">
        <v>24</v>
      </c>
      <c r="B5803" s="7" t="s">
        <v>103</v>
      </c>
      <c r="C5803" s="7" t="s">
        <v>1121</v>
      </c>
      <c r="D5803" s="7" t="n">
        <v>0</v>
      </c>
      <c r="E5803" s="7" t="n">
        <v>0</v>
      </c>
      <c r="F5803" s="7" t="n">
        <v>1</v>
      </c>
      <c r="G5803" s="7" t="n">
        <v>143.99</v>
      </c>
    </row>
    <row r="5804" customFormat="false" ht="15" hidden="false" customHeight="false" outlineLevel="0" collapsed="false">
      <c r="A5804" s="7" t="s">
        <v>24</v>
      </c>
      <c r="B5804" s="7" t="s">
        <v>103</v>
      </c>
      <c r="C5804" s="7" t="s">
        <v>1121</v>
      </c>
      <c r="D5804" s="7" t="n">
        <v>0</v>
      </c>
      <c r="E5804" s="7" t="n">
        <v>0</v>
      </c>
      <c r="F5804" s="7" t="n">
        <v>1</v>
      </c>
      <c r="G5804" s="7" t="n">
        <v>143.98</v>
      </c>
    </row>
    <row r="5805" customFormat="false" ht="15" hidden="false" customHeight="false" outlineLevel="0" collapsed="false">
      <c r="A5805" s="7" t="s">
        <v>24</v>
      </c>
      <c r="B5805" s="7" t="s">
        <v>103</v>
      </c>
      <c r="C5805" s="7" t="s">
        <v>1121</v>
      </c>
      <c r="D5805" s="7" t="n">
        <v>0</v>
      </c>
      <c r="E5805" s="7" t="n">
        <v>0</v>
      </c>
      <c r="F5805" s="7" t="n">
        <v>1</v>
      </c>
      <c r="G5805" s="7" t="n">
        <v>127.07</v>
      </c>
    </row>
    <row r="5806" customFormat="false" ht="15" hidden="false" customHeight="false" outlineLevel="0" collapsed="false">
      <c r="A5806" s="7" t="s">
        <v>24</v>
      </c>
      <c r="B5806" s="7" t="s">
        <v>103</v>
      </c>
      <c r="C5806" s="7" t="s">
        <v>1121</v>
      </c>
      <c r="D5806" s="7" t="n">
        <v>0</v>
      </c>
      <c r="E5806" s="7" t="n">
        <v>0</v>
      </c>
      <c r="F5806" s="7" t="n">
        <v>1</v>
      </c>
      <c r="G5806" s="7" t="n">
        <v>129.58</v>
      </c>
    </row>
    <row r="5807" customFormat="false" ht="15" hidden="false" customHeight="false" outlineLevel="0" collapsed="false">
      <c r="A5807" s="7" t="s">
        <v>24</v>
      </c>
      <c r="B5807" s="7" t="s">
        <v>103</v>
      </c>
      <c r="C5807" s="7" t="s">
        <v>1121</v>
      </c>
      <c r="D5807" s="7" t="n">
        <v>0</v>
      </c>
      <c r="E5807" s="7" t="n">
        <v>0</v>
      </c>
      <c r="F5807" s="7" t="n">
        <v>5</v>
      </c>
      <c r="G5807" s="7" t="n">
        <v>669.51</v>
      </c>
    </row>
    <row r="5808" customFormat="false" ht="15" hidden="false" customHeight="false" outlineLevel="0" collapsed="false">
      <c r="A5808" s="7" t="s">
        <v>24</v>
      </c>
      <c r="B5808" s="7" t="s">
        <v>103</v>
      </c>
      <c r="C5808" s="7" t="s">
        <v>1121</v>
      </c>
      <c r="D5808" s="7" t="n">
        <v>0</v>
      </c>
      <c r="E5808" s="7" t="n">
        <v>0</v>
      </c>
      <c r="F5808" s="7" t="n">
        <v>1</v>
      </c>
      <c r="G5808" s="7" t="n">
        <v>115.19</v>
      </c>
    </row>
    <row r="5809" customFormat="false" ht="15" hidden="false" customHeight="false" outlineLevel="0" collapsed="false">
      <c r="A5809" s="7" t="s">
        <v>24</v>
      </c>
      <c r="B5809" s="7" t="s">
        <v>103</v>
      </c>
      <c r="C5809" s="7" t="s">
        <v>1121</v>
      </c>
      <c r="D5809" s="7" t="n">
        <v>0</v>
      </c>
      <c r="E5809" s="7" t="n">
        <v>0</v>
      </c>
      <c r="F5809" s="7" t="n">
        <v>1</v>
      </c>
      <c r="G5809" s="7" t="n">
        <v>143.99</v>
      </c>
    </row>
    <row r="5810" customFormat="false" ht="15" hidden="false" customHeight="false" outlineLevel="0" collapsed="false">
      <c r="A5810" s="7" t="s">
        <v>24</v>
      </c>
      <c r="B5810" s="7" t="s">
        <v>103</v>
      </c>
      <c r="C5810" s="7" t="s">
        <v>1121</v>
      </c>
      <c r="D5810" s="7" t="n">
        <v>0</v>
      </c>
      <c r="E5810" s="7" t="n">
        <v>0</v>
      </c>
      <c r="F5810" s="7" t="n">
        <v>1</v>
      </c>
      <c r="G5810" s="7" t="n">
        <v>127.08</v>
      </c>
    </row>
    <row r="5811" customFormat="false" ht="15" hidden="false" customHeight="false" outlineLevel="0" collapsed="false">
      <c r="A5811" s="7" t="s">
        <v>24</v>
      </c>
      <c r="B5811" s="7" t="s">
        <v>103</v>
      </c>
      <c r="C5811" s="7" t="s">
        <v>1121</v>
      </c>
      <c r="D5811" s="7" t="n">
        <v>0</v>
      </c>
      <c r="E5811" s="7" t="n">
        <v>0</v>
      </c>
      <c r="F5811" s="7" t="n">
        <v>1</v>
      </c>
      <c r="G5811" s="7" t="n">
        <v>129.59</v>
      </c>
    </row>
    <row r="5812" customFormat="false" ht="15" hidden="false" customHeight="false" outlineLevel="0" collapsed="false">
      <c r="A5812" s="7" t="s">
        <v>24</v>
      </c>
      <c r="B5812" s="7" t="s">
        <v>103</v>
      </c>
      <c r="C5812" s="7" t="s">
        <v>1121</v>
      </c>
      <c r="D5812" s="7" t="n">
        <v>0</v>
      </c>
      <c r="E5812" s="7" t="n">
        <v>0</v>
      </c>
      <c r="F5812" s="7" t="n">
        <v>1</v>
      </c>
      <c r="G5812" s="7" t="n">
        <v>143.98</v>
      </c>
    </row>
    <row r="5813" customFormat="false" ht="15" hidden="false" customHeight="false" outlineLevel="0" collapsed="false">
      <c r="A5813" s="7" t="s">
        <v>24</v>
      </c>
      <c r="B5813" s="7" t="s">
        <v>103</v>
      </c>
      <c r="C5813" s="7" t="s">
        <v>1121</v>
      </c>
      <c r="D5813" s="7" t="n">
        <v>0</v>
      </c>
      <c r="E5813" s="7" t="n">
        <v>0</v>
      </c>
      <c r="F5813" s="7" t="n">
        <v>2</v>
      </c>
      <c r="G5813" s="7" t="n">
        <v>259.18</v>
      </c>
    </row>
    <row r="5814" customFormat="false" ht="15" hidden="false" customHeight="false" outlineLevel="0" collapsed="false">
      <c r="A5814" s="7" t="s">
        <v>24</v>
      </c>
      <c r="B5814" s="7" t="s">
        <v>103</v>
      </c>
      <c r="C5814" s="7" t="s">
        <v>1121</v>
      </c>
      <c r="D5814" s="7" t="n">
        <v>0</v>
      </c>
      <c r="E5814" s="7" t="n">
        <v>0</v>
      </c>
      <c r="F5814" s="7" t="n">
        <v>1</v>
      </c>
      <c r="G5814" s="7" t="n">
        <v>127.08</v>
      </c>
    </row>
    <row r="5815" customFormat="false" ht="15" hidden="false" customHeight="false" outlineLevel="0" collapsed="false">
      <c r="A5815" s="7" t="s">
        <v>24</v>
      </c>
      <c r="B5815" s="7" t="s">
        <v>103</v>
      </c>
      <c r="C5815" s="7" t="s">
        <v>1121</v>
      </c>
      <c r="D5815" s="7" t="n">
        <v>0</v>
      </c>
      <c r="E5815" s="7" t="n">
        <v>0</v>
      </c>
      <c r="F5815" s="7" t="n">
        <v>1</v>
      </c>
      <c r="G5815" s="7" t="n">
        <v>143.98</v>
      </c>
    </row>
    <row r="5816" customFormat="false" ht="15" hidden="false" customHeight="false" outlineLevel="0" collapsed="false">
      <c r="A5816" s="7" t="s">
        <v>24</v>
      </c>
      <c r="B5816" s="7" t="s">
        <v>103</v>
      </c>
      <c r="C5816" s="7" t="s">
        <v>1121</v>
      </c>
      <c r="D5816" s="7" t="n">
        <v>0</v>
      </c>
      <c r="E5816" s="7" t="n">
        <v>0</v>
      </c>
      <c r="F5816" s="7" t="n">
        <v>2</v>
      </c>
      <c r="G5816" s="7" t="n">
        <v>256.65</v>
      </c>
    </row>
    <row r="5817" customFormat="false" ht="15" hidden="false" customHeight="false" outlineLevel="0" collapsed="false">
      <c r="A5817" s="7" t="s">
        <v>24</v>
      </c>
      <c r="B5817" s="7" t="s">
        <v>103</v>
      </c>
      <c r="C5817" s="7" t="s">
        <v>1121</v>
      </c>
      <c r="D5817" s="7" t="n">
        <v>0</v>
      </c>
      <c r="E5817" s="7" t="n">
        <v>0</v>
      </c>
      <c r="F5817" s="7" t="n">
        <v>1</v>
      </c>
      <c r="G5817" s="7" t="n">
        <v>115.18</v>
      </c>
    </row>
    <row r="5818" customFormat="false" ht="15" hidden="false" customHeight="false" outlineLevel="0" collapsed="false">
      <c r="A5818" s="7" t="s">
        <v>24</v>
      </c>
      <c r="B5818" s="7" t="s">
        <v>103</v>
      </c>
      <c r="C5818" s="7" t="s">
        <v>1121</v>
      </c>
      <c r="D5818" s="7" t="n">
        <v>0</v>
      </c>
      <c r="E5818" s="7" t="n">
        <v>0</v>
      </c>
      <c r="F5818" s="7" t="n">
        <v>8</v>
      </c>
      <c r="G5818" s="7" t="n">
        <v>1079.92</v>
      </c>
    </row>
    <row r="5819" customFormat="false" ht="15" hidden="false" customHeight="false" outlineLevel="0" collapsed="false">
      <c r="A5819" s="7" t="s">
        <v>24</v>
      </c>
      <c r="B5819" s="7" t="s">
        <v>103</v>
      </c>
      <c r="C5819" s="7" t="s">
        <v>1121</v>
      </c>
      <c r="D5819" s="7" t="n">
        <v>0</v>
      </c>
      <c r="E5819" s="7" t="n">
        <v>0</v>
      </c>
      <c r="F5819" s="7" t="n">
        <v>1</v>
      </c>
      <c r="G5819" s="7" t="n">
        <v>115.19</v>
      </c>
    </row>
    <row r="5820" customFormat="false" ht="15" hidden="false" customHeight="false" outlineLevel="0" collapsed="false">
      <c r="A5820" s="7" t="s">
        <v>24</v>
      </c>
      <c r="B5820" s="7" t="s">
        <v>103</v>
      </c>
      <c r="C5820" s="7" t="s">
        <v>1121</v>
      </c>
      <c r="D5820" s="7" t="n">
        <v>0</v>
      </c>
      <c r="E5820" s="7" t="n">
        <v>0</v>
      </c>
      <c r="F5820" s="7" t="n">
        <v>1</v>
      </c>
      <c r="G5820" s="7" t="n">
        <v>122.39</v>
      </c>
    </row>
    <row r="5821" customFormat="false" ht="15" hidden="false" customHeight="false" outlineLevel="0" collapsed="false">
      <c r="A5821" s="7" t="s">
        <v>24</v>
      </c>
      <c r="B5821" s="7" t="s">
        <v>103</v>
      </c>
      <c r="C5821" s="7" t="s">
        <v>1121</v>
      </c>
      <c r="D5821" s="7" t="n">
        <v>0</v>
      </c>
      <c r="E5821" s="7" t="n">
        <v>0</v>
      </c>
      <c r="F5821" s="7" t="n">
        <v>1</v>
      </c>
      <c r="G5821" s="7" t="n">
        <v>110.16</v>
      </c>
    </row>
    <row r="5822" customFormat="false" ht="15" hidden="false" customHeight="false" outlineLevel="0" collapsed="false">
      <c r="A5822" s="7" t="s">
        <v>24</v>
      </c>
      <c r="B5822" s="7" t="s">
        <v>103</v>
      </c>
      <c r="C5822" s="7" t="s">
        <v>1121</v>
      </c>
      <c r="D5822" s="7" t="n">
        <v>0</v>
      </c>
      <c r="E5822" s="7" t="n">
        <v>0</v>
      </c>
      <c r="F5822" s="7" t="n">
        <v>1</v>
      </c>
      <c r="G5822" s="7" t="n">
        <v>129.59</v>
      </c>
    </row>
    <row r="5823" customFormat="false" ht="15" hidden="false" customHeight="false" outlineLevel="0" collapsed="false">
      <c r="A5823" s="7" t="s">
        <v>24</v>
      </c>
      <c r="B5823" s="7" t="s">
        <v>103</v>
      </c>
      <c r="C5823" s="7" t="s">
        <v>1121</v>
      </c>
      <c r="D5823" s="7" t="n">
        <v>0</v>
      </c>
      <c r="E5823" s="7" t="n">
        <v>0</v>
      </c>
      <c r="F5823" s="7" t="n">
        <v>1</v>
      </c>
      <c r="G5823" s="7" t="n">
        <v>129.59</v>
      </c>
    </row>
    <row r="5824" customFormat="false" ht="15" hidden="false" customHeight="false" outlineLevel="0" collapsed="false">
      <c r="A5824" s="7" t="s">
        <v>24</v>
      </c>
      <c r="B5824" s="7" t="s">
        <v>103</v>
      </c>
      <c r="C5824" s="7" t="s">
        <v>1121</v>
      </c>
      <c r="D5824" s="7" t="n">
        <v>0</v>
      </c>
      <c r="E5824" s="7" t="n">
        <v>0</v>
      </c>
      <c r="F5824" s="7" t="n">
        <v>2</v>
      </c>
      <c r="G5824" s="7" t="n">
        <v>287.96</v>
      </c>
    </row>
    <row r="5825" customFormat="false" ht="15" hidden="false" customHeight="false" outlineLevel="0" collapsed="false">
      <c r="A5825" s="7" t="s">
        <v>24</v>
      </c>
      <c r="B5825" s="7" t="s">
        <v>103</v>
      </c>
      <c r="C5825" s="7" t="s">
        <v>1121</v>
      </c>
      <c r="D5825" s="7" t="n">
        <v>0</v>
      </c>
      <c r="E5825" s="7" t="n">
        <v>0</v>
      </c>
      <c r="F5825" s="7" t="n">
        <v>1</v>
      </c>
      <c r="G5825" s="7" t="n">
        <v>143.98</v>
      </c>
    </row>
    <row r="5826" customFormat="false" ht="15" hidden="false" customHeight="false" outlineLevel="0" collapsed="false">
      <c r="A5826" s="7" t="s">
        <v>24</v>
      </c>
      <c r="B5826" s="7" t="s">
        <v>103</v>
      </c>
      <c r="C5826" s="7" t="s">
        <v>1121</v>
      </c>
      <c r="D5826" s="7" t="n">
        <v>0</v>
      </c>
      <c r="E5826" s="7" t="n">
        <v>0</v>
      </c>
      <c r="F5826" s="7" t="n">
        <v>1</v>
      </c>
      <c r="G5826" s="7" t="n">
        <v>129.58</v>
      </c>
    </row>
    <row r="5827" customFormat="false" ht="15" hidden="false" customHeight="false" outlineLevel="0" collapsed="false">
      <c r="A5827" s="7" t="s">
        <v>24</v>
      </c>
      <c r="B5827" s="7" t="s">
        <v>103</v>
      </c>
      <c r="C5827" s="7" t="s">
        <v>1121</v>
      </c>
      <c r="D5827" s="7" t="n">
        <v>0</v>
      </c>
      <c r="E5827" s="7" t="n">
        <v>0</v>
      </c>
      <c r="F5827" s="7" t="n">
        <v>4</v>
      </c>
      <c r="G5827" s="7" t="n">
        <v>547.12</v>
      </c>
    </row>
    <row r="5828" customFormat="false" ht="15" hidden="false" customHeight="false" outlineLevel="0" collapsed="false">
      <c r="A5828" s="7" t="s">
        <v>24</v>
      </c>
      <c r="B5828" s="7" t="s">
        <v>103</v>
      </c>
      <c r="C5828" s="7" t="s">
        <v>1121</v>
      </c>
      <c r="D5828" s="7" t="n">
        <v>0</v>
      </c>
      <c r="E5828" s="7" t="n">
        <v>0</v>
      </c>
      <c r="F5828" s="7" t="n">
        <v>1</v>
      </c>
      <c r="G5828" s="7" t="n">
        <v>129.59</v>
      </c>
    </row>
    <row r="5829" customFormat="false" ht="15" hidden="false" customHeight="false" outlineLevel="0" collapsed="false">
      <c r="A5829" s="7" t="s">
        <v>24</v>
      </c>
      <c r="B5829" s="7" t="s">
        <v>103</v>
      </c>
      <c r="C5829" s="7" t="s">
        <v>1121</v>
      </c>
      <c r="D5829" s="7" t="n">
        <v>0</v>
      </c>
      <c r="E5829" s="7" t="n">
        <v>0</v>
      </c>
      <c r="F5829" s="7" t="n">
        <v>2</v>
      </c>
      <c r="G5829" s="7" t="n">
        <v>266.37</v>
      </c>
    </row>
    <row r="5830" customFormat="false" ht="15" hidden="false" customHeight="false" outlineLevel="0" collapsed="false">
      <c r="A5830" s="7" t="s">
        <v>24</v>
      </c>
      <c r="B5830" s="7" t="s">
        <v>103</v>
      </c>
      <c r="C5830" s="7" t="s">
        <v>1121</v>
      </c>
      <c r="D5830" s="7" t="n">
        <v>0</v>
      </c>
      <c r="E5830" s="7" t="n">
        <v>0</v>
      </c>
      <c r="F5830" s="7" t="n">
        <v>2</v>
      </c>
      <c r="G5830" s="7" t="n">
        <v>271.05</v>
      </c>
    </row>
    <row r="5831" customFormat="false" ht="15" hidden="false" customHeight="false" outlineLevel="0" collapsed="false">
      <c r="A5831" s="7" t="s">
        <v>24</v>
      </c>
      <c r="B5831" s="7" t="s">
        <v>103</v>
      </c>
      <c r="C5831" s="7" t="s">
        <v>1121</v>
      </c>
      <c r="D5831" s="7" t="n">
        <v>0</v>
      </c>
      <c r="E5831" s="7" t="n">
        <v>0</v>
      </c>
      <c r="F5831" s="7" t="n">
        <v>1</v>
      </c>
      <c r="G5831" s="7" t="n">
        <v>143.99</v>
      </c>
    </row>
    <row r="5832" customFormat="false" ht="15" hidden="false" customHeight="false" outlineLevel="0" collapsed="false">
      <c r="A5832" s="7" t="s">
        <v>24</v>
      </c>
      <c r="B5832" s="7" t="s">
        <v>103</v>
      </c>
      <c r="C5832" s="7" t="s">
        <v>1121</v>
      </c>
      <c r="D5832" s="7" t="n">
        <v>0</v>
      </c>
      <c r="E5832" s="7" t="n">
        <v>0</v>
      </c>
      <c r="F5832" s="7" t="n">
        <v>1</v>
      </c>
      <c r="G5832" s="7" t="n">
        <v>143.99</v>
      </c>
    </row>
    <row r="5833" customFormat="false" ht="15" hidden="false" customHeight="false" outlineLevel="0" collapsed="false">
      <c r="A5833" s="7" t="s">
        <v>24</v>
      </c>
      <c r="B5833" s="7" t="s">
        <v>103</v>
      </c>
      <c r="C5833" s="7" t="s">
        <v>1121</v>
      </c>
      <c r="D5833" s="7" t="n">
        <v>0</v>
      </c>
      <c r="E5833" s="7" t="n">
        <v>0</v>
      </c>
      <c r="F5833" s="7" t="n">
        <v>2</v>
      </c>
      <c r="G5833" s="7" t="n">
        <v>254.14</v>
      </c>
    </row>
    <row r="5834" customFormat="false" ht="15" hidden="false" customHeight="false" outlineLevel="0" collapsed="false">
      <c r="A5834" s="7" t="s">
        <v>24</v>
      </c>
      <c r="B5834" s="7" t="s">
        <v>103</v>
      </c>
      <c r="C5834" s="7" t="s">
        <v>1121</v>
      </c>
      <c r="D5834" s="7" t="n">
        <v>0</v>
      </c>
      <c r="E5834" s="7" t="n">
        <v>0</v>
      </c>
      <c r="F5834" s="7" t="n">
        <v>2</v>
      </c>
      <c r="G5834" s="7" t="n">
        <v>287.98</v>
      </c>
    </row>
    <row r="5835" customFormat="false" ht="15" hidden="false" customHeight="false" outlineLevel="0" collapsed="false">
      <c r="A5835" s="7" t="s">
        <v>24</v>
      </c>
      <c r="B5835" s="7" t="s">
        <v>103</v>
      </c>
      <c r="C5835" s="7" t="s">
        <v>1121</v>
      </c>
      <c r="D5835" s="7" t="n">
        <v>0</v>
      </c>
      <c r="E5835" s="7" t="n">
        <v>0</v>
      </c>
      <c r="F5835" s="7" t="n">
        <v>1</v>
      </c>
      <c r="G5835" s="7" t="n">
        <v>127.08</v>
      </c>
    </row>
    <row r="5836" customFormat="false" ht="15" hidden="false" customHeight="false" outlineLevel="0" collapsed="false">
      <c r="A5836" s="7" t="s">
        <v>24</v>
      </c>
      <c r="B5836" s="7" t="s">
        <v>103</v>
      </c>
      <c r="C5836" s="7" t="s">
        <v>1121</v>
      </c>
      <c r="D5836" s="7" t="n">
        <v>0</v>
      </c>
      <c r="E5836" s="7" t="n">
        <v>0</v>
      </c>
      <c r="F5836" s="7" t="n">
        <v>2</v>
      </c>
      <c r="G5836" s="7" t="n">
        <v>273.58</v>
      </c>
    </row>
    <row r="5837" customFormat="false" ht="15" hidden="false" customHeight="false" outlineLevel="0" collapsed="false">
      <c r="A5837" s="7" t="s">
        <v>24</v>
      </c>
      <c r="B5837" s="7" t="s">
        <v>103</v>
      </c>
      <c r="C5837" s="7" t="s">
        <v>1121</v>
      </c>
      <c r="D5837" s="7" t="n">
        <v>0</v>
      </c>
      <c r="E5837" s="7" t="n">
        <v>0</v>
      </c>
      <c r="F5837" s="7" t="n">
        <v>2</v>
      </c>
      <c r="G5837" s="7" t="n">
        <v>273.58</v>
      </c>
    </row>
    <row r="5838" customFormat="false" ht="15" hidden="false" customHeight="false" outlineLevel="0" collapsed="false">
      <c r="A5838" s="7" t="s">
        <v>24</v>
      </c>
      <c r="B5838" s="7" t="s">
        <v>103</v>
      </c>
      <c r="C5838" s="7" t="s">
        <v>1121</v>
      </c>
      <c r="D5838" s="7" t="n">
        <v>0</v>
      </c>
      <c r="E5838" s="7" t="n">
        <v>0</v>
      </c>
      <c r="F5838" s="7" t="n">
        <v>3</v>
      </c>
      <c r="G5838" s="7" t="n">
        <v>388.77</v>
      </c>
    </row>
    <row r="5839" customFormat="false" ht="15" hidden="false" customHeight="false" outlineLevel="0" collapsed="false">
      <c r="A5839" s="7" t="s">
        <v>24</v>
      </c>
      <c r="B5839" s="7" t="s">
        <v>103</v>
      </c>
      <c r="C5839" s="7" t="s">
        <v>1121</v>
      </c>
      <c r="D5839" s="7" t="n">
        <v>0</v>
      </c>
      <c r="E5839" s="7" t="n">
        <v>0</v>
      </c>
      <c r="F5839" s="7" t="n">
        <v>1</v>
      </c>
      <c r="G5839" s="7" t="n">
        <v>129.59</v>
      </c>
    </row>
    <row r="5840" customFormat="false" ht="15" hidden="false" customHeight="false" outlineLevel="0" collapsed="false">
      <c r="A5840" s="7" t="s">
        <v>24</v>
      </c>
      <c r="B5840" s="7" t="s">
        <v>103</v>
      </c>
      <c r="C5840" s="7" t="s">
        <v>1121</v>
      </c>
      <c r="D5840" s="7" t="n">
        <v>0</v>
      </c>
      <c r="E5840" s="7" t="n">
        <v>0</v>
      </c>
      <c r="F5840" s="7" t="n">
        <v>10</v>
      </c>
      <c r="G5840" s="7" t="n">
        <v>1271.72</v>
      </c>
    </row>
    <row r="5841" customFormat="false" ht="15" hidden="false" customHeight="false" outlineLevel="0" collapsed="false">
      <c r="A5841" s="7" t="s">
        <v>24</v>
      </c>
      <c r="B5841" s="7" t="s">
        <v>103</v>
      </c>
      <c r="C5841" s="7" t="s">
        <v>1121</v>
      </c>
      <c r="D5841" s="7" t="n">
        <v>26</v>
      </c>
      <c r="E5841" s="7" t="n">
        <v>3153.88</v>
      </c>
      <c r="F5841" s="7" t="n">
        <v>0</v>
      </c>
      <c r="G5841" s="7" t="n">
        <v>0</v>
      </c>
    </row>
    <row r="5842" customFormat="false" ht="15" hidden="false" customHeight="false" outlineLevel="0" collapsed="false">
      <c r="A5842" s="7" t="s">
        <v>24</v>
      </c>
      <c r="B5842" s="7" t="s">
        <v>103</v>
      </c>
      <c r="C5842" s="7" t="s">
        <v>1121</v>
      </c>
      <c r="D5842" s="7" t="n">
        <v>0</v>
      </c>
      <c r="E5842" s="7" t="n">
        <v>0</v>
      </c>
      <c r="F5842" s="7" t="n">
        <v>1</v>
      </c>
      <c r="G5842" s="7" t="n">
        <v>115.19</v>
      </c>
    </row>
    <row r="5843" customFormat="false" ht="15" hidden="false" customHeight="false" outlineLevel="0" collapsed="false">
      <c r="A5843" s="7" t="s">
        <v>24</v>
      </c>
      <c r="B5843" s="7" t="s">
        <v>103</v>
      </c>
      <c r="C5843" s="7" t="s">
        <v>1121</v>
      </c>
      <c r="D5843" s="7" t="n">
        <v>0</v>
      </c>
      <c r="E5843" s="7" t="n">
        <v>0</v>
      </c>
      <c r="F5843" s="7" t="n">
        <v>7</v>
      </c>
      <c r="G5843" s="7" t="n">
        <v>878.33</v>
      </c>
    </row>
    <row r="5844" customFormat="false" ht="15" hidden="false" customHeight="false" outlineLevel="0" collapsed="false">
      <c r="A5844" s="7" t="s">
        <v>24</v>
      </c>
      <c r="B5844" s="7" t="s">
        <v>103</v>
      </c>
      <c r="C5844" s="7" t="s">
        <v>1121</v>
      </c>
      <c r="D5844" s="7" t="n">
        <v>0</v>
      </c>
      <c r="E5844" s="7" t="n">
        <v>0</v>
      </c>
      <c r="F5844" s="7" t="n">
        <v>17</v>
      </c>
      <c r="G5844" s="7" t="n">
        <v>2171.72</v>
      </c>
    </row>
    <row r="5845" customFormat="false" ht="15" hidden="false" customHeight="false" outlineLevel="0" collapsed="false">
      <c r="A5845" s="7" t="s">
        <v>24</v>
      </c>
      <c r="B5845" s="7" t="s">
        <v>103</v>
      </c>
      <c r="C5845" s="7" t="s">
        <v>1121</v>
      </c>
      <c r="D5845" s="7" t="n">
        <v>0</v>
      </c>
      <c r="E5845" s="7" t="n">
        <v>0</v>
      </c>
      <c r="F5845" s="7" t="n">
        <v>1</v>
      </c>
      <c r="G5845" s="7" t="n">
        <v>143.99</v>
      </c>
    </row>
    <row r="5846" customFormat="false" ht="15" hidden="false" customHeight="false" outlineLevel="0" collapsed="false">
      <c r="A5846" s="7" t="s">
        <v>24</v>
      </c>
      <c r="B5846" s="7" t="s">
        <v>103</v>
      </c>
      <c r="C5846" s="7" t="s">
        <v>1121</v>
      </c>
      <c r="D5846" s="7" t="n">
        <v>0</v>
      </c>
      <c r="E5846" s="7" t="n">
        <v>0</v>
      </c>
      <c r="F5846" s="7" t="n">
        <v>2</v>
      </c>
      <c r="G5846" s="7" t="n">
        <v>259.18</v>
      </c>
    </row>
    <row r="5847" customFormat="false" ht="15" hidden="false" customHeight="false" outlineLevel="0" collapsed="false">
      <c r="A5847" s="7" t="s">
        <v>24</v>
      </c>
      <c r="B5847" s="7" t="s">
        <v>103</v>
      </c>
      <c r="C5847" s="7" t="s">
        <v>1121</v>
      </c>
      <c r="D5847" s="7" t="n">
        <v>0</v>
      </c>
      <c r="E5847" s="7" t="n">
        <v>0</v>
      </c>
      <c r="F5847" s="7" t="n">
        <v>1</v>
      </c>
      <c r="G5847" s="7" t="n">
        <v>143.99</v>
      </c>
    </row>
    <row r="5848" customFormat="false" ht="15" hidden="false" customHeight="false" outlineLevel="0" collapsed="false">
      <c r="A5848" s="7" t="s">
        <v>24</v>
      </c>
      <c r="B5848" s="7" t="s">
        <v>103</v>
      </c>
      <c r="C5848" s="7" t="s">
        <v>1121</v>
      </c>
      <c r="D5848" s="7" t="n">
        <v>0</v>
      </c>
      <c r="E5848" s="7" t="n">
        <v>0</v>
      </c>
      <c r="F5848" s="7" t="n">
        <v>2</v>
      </c>
      <c r="G5848" s="7" t="n">
        <v>244.78</v>
      </c>
    </row>
    <row r="5849" customFormat="false" ht="15" hidden="false" customHeight="false" outlineLevel="0" collapsed="false">
      <c r="A5849" s="7" t="s">
        <v>24</v>
      </c>
      <c r="B5849" s="7" t="s">
        <v>103</v>
      </c>
      <c r="C5849" s="7" t="s">
        <v>1121</v>
      </c>
      <c r="D5849" s="7" t="n">
        <v>0</v>
      </c>
      <c r="E5849" s="7" t="n">
        <v>0</v>
      </c>
      <c r="F5849" s="7" t="n">
        <v>2</v>
      </c>
      <c r="G5849" s="7" t="n">
        <v>266.37</v>
      </c>
    </row>
    <row r="5850" customFormat="false" ht="15" hidden="false" customHeight="false" outlineLevel="0" collapsed="false">
      <c r="A5850" s="7" t="s">
        <v>24</v>
      </c>
      <c r="B5850" s="7" t="s">
        <v>103</v>
      </c>
      <c r="C5850" s="7" t="s">
        <v>1121</v>
      </c>
      <c r="D5850" s="7" t="n">
        <v>0</v>
      </c>
      <c r="E5850" s="7" t="n">
        <v>0</v>
      </c>
      <c r="F5850" s="7" t="n">
        <v>1</v>
      </c>
      <c r="G5850" s="7" t="n">
        <v>115.19</v>
      </c>
    </row>
    <row r="5851" customFormat="false" ht="15" hidden="false" customHeight="false" outlineLevel="0" collapsed="false">
      <c r="A5851" s="7" t="s">
        <v>24</v>
      </c>
      <c r="B5851" s="7" t="s">
        <v>103</v>
      </c>
      <c r="C5851" s="7" t="s">
        <v>1121</v>
      </c>
      <c r="D5851" s="7" t="n">
        <v>1</v>
      </c>
      <c r="E5851" s="7" t="n">
        <v>0.01</v>
      </c>
      <c r="F5851" s="7" t="n">
        <v>0</v>
      </c>
      <c r="G5851" s="7" t="n">
        <v>0</v>
      </c>
    </row>
    <row r="5852" customFormat="false" ht="15" hidden="false" customHeight="false" outlineLevel="0" collapsed="false">
      <c r="A5852" s="7" t="s">
        <v>24</v>
      </c>
      <c r="B5852" s="7" t="s">
        <v>103</v>
      </c>
      <c r="C5852" s="7" t="s">
        <v>1121</v>
      </c>
      <c r="D5852" s="7" t="n">
        <v>0</v>
      </c>
      <c r="E5852" s="7" t="n">
        <v>0</v>
      </c>
      <c r="F5852" s="7" t="n">
        <v>2</v>
      </c>
      <c r="G5852" s="7" t="n">
        <v>244.78</v>
      </c>
    </row>
    <row r="5853" customFormat="false" ht="15" hidden="false" customHeight="false" outlineLevel="0" collapsed="false">
      <c r="A5853" s="7" t="s">
        <v>24</v>
      </c>
      <c r="B5853" s="7" t="s">
        <v>103</v>
      </c>
      <c r="C5853" s="7" t="s">
        <v>1121</v>
      </c>
      <c r="D5853" s="7" t="n">
        <v>0</v>
      </c>
      <c r="E5853" s="7" t="n">
        <v>0</v>
      </c>
      <c r="F5853" s="7" t="n">
        <v>1</v>
      </c>
      <c r="G5853" s="7" t="n">
        <v>115.19</v>
      </c>
    </row>
    <row r="5854" customFormat="false" ht="15" hidden="false" customHeight="false" outlineLevel="0" collapsed="false">
      <c r="A5854" s="7" t="s">
        <v>24</v>
      </c>
      <c r="B5854" s="7" t="s">
        <v>103</v>
      </c>
      <c r="C5854" s="7" t="s">
        <v>1121</v>
      </c>
      <c r="D5854" s="7" t="n">
        <v>0</v>
      </c>
      <c r="E5854" s="7" t="n">
        <v>0</v>
      </c>
      <c r="F5854" s="7" t="n">
        <v>9</v>
      </c>
      <c r="G5854" s="7" t="n">
        <v>1209.44</v>
      </c>
    </row>
    <row r="5855" customFormat="false" ht="15" hidden="false" customHeight="false" outlineLevel="0" collapsed="false">
      <c r="A5855" s="7" t="s">
        <v>24</v>
      </c>
      <c r="B5855" s="7" t="s">
        <v>103</v>
      </c>
      <c r="C5855" s="7" t="s">
        <v>1121</v>
      </c>
      <c r="D5855" s="7" t="n">
        <v>0</v>
      </c>
      <c r="E5855" s="7" t="n">
        <v>0</v>
      </c>
      <c r="F5855" s="7" t="n">
        <v>2</v>
      </c>
      <c r="G5855" s="7" t="n">
        <v>1.68</v>
      </c>
    </row>
    <row r="5856" customFormat="false" ht="15" hidden="false" customHeight="false" outlineLevel="0" collapsed="false">
      <c r="A5856" s="7" t="s">
        <v>24</v>
      </c>
      <c r="B5856" s="7" t="s">
        <v>103</v>
      </c>
      <c r="C5856" s="7" t="s">
        <v>1121</v>
      </c>
      <c r="D5856" s="7" t="n">
        <v>0</v>
      </c>
      <c r="E5856" s="7" t="n">
        <v>0</v>
      </c>
      <c r="F5856" s="7" t="n">
        <v>1</v>
      </c>
      <c r="G5856" s="7" t="n">
        <v>143.98</v>
      </c>
    </row>
    <row r="5857" customFormat="false" ht="15" hidden="false" customHeight="false" outlineLevel="0" collapsed="false">
      <c r="A5857" s="7" t="s">
        <v>24</v>
      </c>
      <c r="B5857" s="7" t="s">
        <v>103</v>
      </c>
      <c r="C5857" s="7" t="s">
        <v>1121</v>
      </c>
      <c r="D5857" s="7" t="n">
        <v>0</v>
      </c>
      <c r="E5857" s="7" t="n">
        <v>0</v>
      </c>
      <c r="F5857" s="7" t="n">
        <v>1</v>
      </c>
      <c r="G5857" s="7" t="n">
        <v>115.19</v>
      </c>
    </row>
    <row r="5858" customFormat="false" ht="15" hidden="false" customHeight="false" outlineLevel="0" collapsed="false">
      <c r="A5858" s="7" t="s">
        <v>24</v>
      </c>
      <c r="B5858" s="7" t="s">
        <v>103</v>
      </c>
      <c r="C5858" s="7" t="s">
        <v>1121</v>
      </c>
      <c r="D5858" s="7" t="n">
        <v>0</v>
      </c>
      <c r="E5858" s="7" t="n">
        <v>0</v>
      </c>
      <c r="F5858" s="7" t="n">
        <v>1</v>
      </c>
      <c r="G5858" s="7" t="n">
        <v>129.58</v>
      </c>
    </row>
    <row r="5859" customFormat="false" ht="15" hidden="false" customHeight="false" outlineLevel="0" collapsed="false">
      <c r="A5859" s="7" t="s">
        <v>24</v>
      </c>
      <c r="B5859" s="7" t="s">
        <v>103</v>
      </c>
      <c r="C5859" s="7" t="s">
        <v>1121</v>
      </c>
      <c r="D5859" s="7" t="n">
        <v>0</v>
      </c>
      <c r="E5859" s="7" t="n">
        <v>0</v>
      </c>
      <c r="F5859" s="7" t="n">
        <v>1</v>
      </c>
      <c r="G5859" s="7" t="n">
        <v>115.19</v>
      </c>
    </row>
    <row r="5860" customFormat="false" ht="15" hidden="false" customHeight="false" outlineLevel="0" collapsed="false">
      <c r="A5860" s="7" t="s">
        <v>24</v>
      </c>
      <c r="B5860" s="7" t="s">
        <v>103</v>
      </c>
      <c r="C5860" s="7" t="s">
        <v>1121</v>
      </c>
      <c r="D5860" s="7" t="n">
        <v>0</v>
      </c>
      <c r="E5860" s="7" t="n">
        <v>0</v>
      </c>
      <c r="F5860" s="7" t="n">
        <v>1</v>
      </c>
      <c r="G5860" s="7" t="n">
        <v>129.58</v>
      </c>
    </row>
    <row r="5861" customFormat="false" ht="15" hidden="false" customHeight="false" outlineLevel="0" collapsed="false">
      <c r="A5861" s="7" t="s">
        <v>24</v>
      </c>
      <c r="B5861" s="7" t="s">
        <v>103</v>
      </c>
      <c r="C5861" s="7" t="s">
        <v>1121</v>
      </c>
      <c r="D5861" s="7" t="n">
        <v>0</v>
      </c>
      <c r="E5861" s="7" t="n">
        <v>0</v>
      </c>
      <c r="F5861" s="7" t="n">
        <v>3</v>
      </c>
      <c r="G5861" s="7" t="n">
        <v>345.56</v>
      </c>
    </row>
    <row r="5862" customFormat="false" ht="15" hidden="false" customHeight="false" outlineLevel="0" collapsed="false">
      <c r="A5862" s="7" t="s">
        <v>24</v>
      </c>
      <c r="B5862" s="7" t="s">
        <v>103</v>
      </c>
      <c r="C5862" s="7" t="s">
        <v>1121</v>
      </c>
      <c r="D5862" s="7" t="n">
        <v>0</v>
      </c>
      <c r="E5862" s="7" t="n">
        <v>0</v>
      </c>
      <c r="F5862" s="7" t="n">
        <v>1</v>
      </c>
      <c r="G5862" s="7" t="n">
        <v>143.99</v>
      </c>
    </row>
    <row r="5863" customFormat="false" ht="15" hidden="false" customHeight="false" outlineLevel="0" collapsed="false">
      <c r="A5863" s="7" t="s">
        <v>24</v>
      </c>
      <c r="B5863" s="7" t="s">
        <v>103</v>
      </c>
      <c r="C5863" s="7" t="s">
        <v>1121</v>
      </c>
      <c r="D5863" s="7" t="n">
        <v>0</v>
      </c>
      <c r="E5863" s="7" t="n">
        <v>0</v>
      </c>
      <c r="F5863" s="7" t="n">
        <v>1</v>
      </c>
      <c r="G5863" s="7" t="n">
        <v>129.59</v>
      </c>
    </row>
    <row r="5864" customFormat="false" ht="15" hidden="false" customHeight="false" outlineLevel="0" collapsed="false">
      <c r="A5864" s="7" t="s">
        <v>24</v>
      </c>
      <c r="B5864" s="7" t="s">
        <v>103</v>
      </c>
      <c r="C5864" s="7" t="s">
        <v>1121</v>
      </c>
      <c r="D5864" s="7" t="n">
        <v>0</v>
      </c>
      <c r="E5864" s="7" t="n">
        <v>0</v>
      </c>
      <c r="F5864" s="7" t="n">
        <v>1</v>
      </c>
      <c r="G5864" s="7" t="n">
        <v>143.98</v>
      </c>
    </row>
    <row r="5865" customFormat="false" ht="15" hidden="false" customHeight="false" outlineLevel="0" collapsed="false">
      <c r="A5865" s="7" t="s">
        <v>24</v>
      </c>
      <c r="B5865" s="7" t="s">
        <v>103</v>
      </c>
      <c r="C5865" s="7" t="s">
        <v>1121</v>
      </c>
      <c r="D5865" s="7" t="n">
        <v>0</v>
      </c>
      <c r="E5865" s="7" t="n">
        <v>0</v>
      </c>
      <c r="F5865" s="7" t="n">
        <v>1</v>
      </c>
      <c r="G5865" s="7" t="n">
        <v>122.39</v>
      </c>
    </row>
    <row r="5866" customFormat="false" ht="15" hidden="false" customHeight="false" outlineLevel="0" collapsed="false">
      <c r="A5866" s="7" t="s">
        <v>24</v>
      </c>
      <c r="B5866" s="7" t="s">
        <v>103</v>
      </c>
      <c r="C5866" s="7" t="s">
        <v>1121</v>
      </c>
      <c r="D5866" s="7" t="n">
        <v>0</v>
      </c>
      <c r="E5866" s="7" t="n">
        <v>0</v>
      </c>
      <c r="F5866" s="7" t="n">
        <v>11</v>
      </c>
      <c r="G5866" s="7" t="n">
        <v>1430.11</v>
      </c>
    </row>
    <row r="5867" customFormat="false" ht="15" hidden="false" customHeight="false" outlineLevel="0" collapsed="false">
      <c r="A5867" s="7" t="s">
        <v>24</v>
      </c>
      <c r="B5867" s="7" t="s">
        <v>103</v>
      </c>
      <c r="C5867" s="7" t="s">
        <v>1121</v>
      </c>
      <c r="D5867" s="7" t="n">
        <v>0</v>
      </c>
      <c r="E5867" s="7" t="n">
        <v>0</v>
      </c>
      <c r="F5867" s="7" t="n">
        <v>1</v>
      </c>
      <c r="G5867" s="7" t="n">
        <v>143.98</v>
      </c>
    </row>
    <row r="5868" customFormat="false" ht="15" hidden="false" customHeight="false" outlineLevel="0" collapsed="false">
      <c r="A5868" s="7" t="s">
        <v>24</v>
      </c>
      <c r="B5868" s="7" t="s">
        <v>103</v>
      </c>
      <c r="C5868" s="7" t="s">
        <v>1121</v>
      </c>
      <c r="D5868" s="7" t="n">
        <v>0</v>
      </c>
      <c r="E5868" s="7" t="n">
        <v>0</v>
      </c>
      <c r="F5868" s="7" t="n">
        <v>9</v>
      </c>
      <c r="G5868" s="7" t="n">
        <v>1187.85</v>
      </c>
    </row>
    <row r="5869" customFormat="false" ht="15" hidden="false" customHeight="false" outlineLevel="0" collapsed="false">
      <c r="A5869" s="7" t="s">
        <v>24</v>
      </c>
      <c r="B5869" s="7" t="s">
        <v>103</v>
      </c>
      <c r="C5869" s="7" t="s">
        <v>1121</v>
      </c>
      <c r="D5869" s="7" t="n">
        <v>0</v>
      </c>
      <c r="E5869" s="7" t="n">
        <v>0</v>
      </c>
      <c r="F5869" s="7" t="n">
        <v>15</v>
      </c>
      <c r="G5869" s="7" t="n">
        <v>1929.45</v>
      </c>
    </row>
    <row r="5870" customFormat="false" ht="15" hidden="false" customHeight="false" outlineLevel="0" collapsed="false">
      <c r="A5870" s="7" t="s">
        <v>24</v>
      </c>
      <c r="B5870" s="7" t="s">
        <v>103</v>
      </c>
      <c r="C5870" s="7" t="s">
        <v>1121</v>
      </c>
      <c r="D5870" s="7" t="n">
        <v>0</v>
      </c>
      <c r="E5870" s="7" t="n">
        <v>0</v>
      </c>
      <c r="F5870" s="7" t="n">
        <v>1</v>
      </c>
      <c r="G5870" s="7" t="n">
        <v>129.59</v>
      </c>
    </row>
    <row r="5871" customFormat="false" ht="15" hidden="false" customHeight="false" outlineLevel="0" collapsed="false">
      <c r="A5871" s="7" t="s">
        <v>24</v>
      </c>
      <c r="B5871" s="7" t="s">
        <v>103</v>
      </c>
      <c r="C5871" s="7" t="s">
        <v>1121</v>
      </c>
      <c r="D5871" s="7" t="n">
        <v>0</v>
      </c>
      <c r="E5871" s="7" t="n">
        <v>0</v>
      </c>
      <c r="F5871" s="7" t="n">
        <v>1</v>
      </c>
      <c r="G5871" s="7" t="n">
        <v>129.59</v>
      </c>
    </row>
    <row r="5872" customFormat="false" ht="15" hidden="false" customHeight="false" outlineLevel="0" collapsed="false">
      <c r="A5872" s="7" t="s">
        <v>24</v>
      </c>
      <c r="B5872" s="7" t="s">
        <v>103</v>
      </c>
      <c r="C5872" s="7" t="s">
        <v>1121</v>
      </c>
      <c r="D5872" s="7" t="n">
        <v>0</v>
      </c>
      <c r="E5872" s="7" t="n">
        <v>0</v>
      </c>
      <c r="F5872" s="7" t="n">
        <v>1</v>
      </c>
      <c r="G5872" s="7" t="n">
        <v>143.99</v>
      </c>
    </row>
    <row r="5873" customFormat="false" ht="15" hidden="false" customHeight="false" outlineLevel="0" collapsed="false">
      <c r="A5873" s="7" t="s">
        <v>24</v>
      </c>
      <c r="B5873" s="7" t="s">
        <v>103</v>
      </c>
      <c r="C5873" s="7" t="s">
        <v>1121</v>
      </c>
      <c r="D5873" s="7" t="n">
        <v>0</v>
      </c>
      <c r="E5873" s="7" t="n">
        <v>0</v>
      </c>
      <c r="F5873" s="7" t="n">
        <v>1</v>
      </c>
      <c r="G5873" s="7" t="n">
        <v>143.98</v>
      </c>
    </row>
    <row r="5874" customFormat="false" ht="15" hidden="false" customHeight="false" outlineLevel="0" collapsed="false">
      <c r="A5874" s="7" t="s">
        <v>24</v>
      </c>
      <c r="B5874" s="7" t="s">
        <v>103</v>
      </c>
      <c r="C5874" s="7" t="s">
        <v>1121</v>
      </c>
      <c r="D5874" s="7" t="n">
        <v>0</v>
      </c>
      <c r="E5874" s="7" t="n">
        <v>0</v>
      </c>
      <c r="F5874" s="7" t="n">
        <v>1</v>
      </c>
      <c r="G5874" s="7" t="n">
        <v>129.59</v>
      </c>
    </row>
    <row r="5875" customFormat="false" ht="15" hidden="false" customHeight="false" outlineLevel="0" collapsed="false">
      <c r="A5875" s="7" t="s">
        <v>24</v>
      </c>
      <c r="B5875" s="7" t="s">
        <v>103</v>
      </c>
      <c r="C5875" s="7" t="s">
        <v>1121</v>
      </c>
      <c r="D5875" s="7" t="n">
        <v>0</v>
      </c>
      <c r="E5875" s="7" t="n">
        <v>0</v>
      </c>
      <c r="F5875" s="7" t="n">
        <v>2</v>
      </c>
      <c r="G5875" s="7" t="n">
        <v>266.37</v>
      </c>
    </row>
    <row r="5876" customFormat="false" ht="15" hidden="false" customHeight="false" outlineLevel="0" collapsed="false">
      <c r="A5876" s="7" t="s">
        <v>24</v>
      </c>
      <c r="B5876" s="7" t="s">
        <v>103</v>
      </c>
      <c r="C5876" s="7" t="s">
        <v>1121</v>
      </c>
      <c r="D5876" s="7" t="n">
        <v>0</v>
      </c>
      <c r="E5876" s="7" t="n">
        <v>0</v>
      </c>
      <c r="F5876" s="7" t="n">
        <v>1</v>
      </c>
      <c r="G5876" s="7" t="n">
        <v>129.58</v>
      </c>
    </row>
    <row r="5877" customFormat="false" ht="15" hidden="false" customHeight="false" outlineLevel="0" collapsed="false">
      <c r="A5877" s="7" t="s">
        <v>24</v>
      </c>
      <c r="B5877" s="7" t="s">
        <v>103</v>
      </c>
      <c r="C5877" s="7" t="s">
        <v>1121</v>
      </c>
      <c r="D5877" s="7" t="n">
        <v>0</v>
      </c>
      <c r="E5877" s="7" t="n">
        <v>0</v>
      </c>
      <c r="F5877" s="7" t="n">
        <v>3</v>
      </c>
      <c r="G5877" s="7" t="n">
        <v>403.17</v>
      </c>
    </row>
    <row r="5878" customFormat="false" ht="15" hidden="false" customHeight="false" outlineLevel="0" collapsed="false">
      <c r="A5878" s="7" t="s">
        <v>24</v>
      </c>
      <c r="B5878" s="7" t="s">
        <v>103</v>
      </c>
      <c r="C5878" s="7" t="s">
        <v>1121</v>
      </c>
      <c r="D5878" s="7" t="n">
        <v>0</v>
      </c>
      <c r="E5878" s="7" t="n">
        <v>0</v>
      </c>
      <c r="F5878" s="7" t="n">
        <v>2</v>
      </c>
      <c r="G5878" s="7" t="n">
        <v>287.97</v>
      </c>
    </row>
    <row r="5879" customFormat="false" ht="15" hidden="false" customHeight="false" outlineLevel="0" collapsed="false">
      <c r="A5879" s="7" t="s">
        <v>24</v>
      </c>
      <c r="B5879" s="7" t="s">
        <v>103</v>
      </c>
      <c r="C5879" s="7" t="s">
        <v>1121</v>
      </c>
      <c r="D5879" s="7" t="n">
        <v>0</v>
      </c>
      <c r="E5879" s="7" t="n">
        <v>0</v>
      </c>
      <c r="F5879" s="7" t="n">
        <v>5</v>
      </c>
      <c r="G5879" s="7" t="n">
        <v>662.35</v>
      </c>
    </row>
    <row r="5880" customFormat="false" ht="15" hidden="false" customHeight="false" outlineLevel="0" collapsed="false">
      <c r="A5880" s="7" t="s">
        <v>24</v>
      </c>
      <c r="B5880" s="7" t="s">
        <v>103</v>
      </c>
      <c r="C5880" s="7" t="s">
        <v>1121</v>
      </c>
      <c r="D5880" s="7" t="n">
        <v>0</v>
      </c>
      <c r="E5880" s="7" t="n">
        <v>0</v>
      </c>
      <c r="F5880" s="7" t="n">
        <v>1</v>
      </c>
      <c r="G5880" s="7" t="n">
        <v>143.98</v>
      </c>
    </row>
    <row r="5881" customFormat="false" ht="15" hidden="false" customHeight="false" outlineLevel="0" collapsed="false">
      <c r="A5881" s="7" t="s">
        <v>24</v>
      </c>
      <c r="B5881" s="7" t="s">
        <v>103</v>
      </c>
      <c r="C5881" s="7" t="s">
        <v>1121</v>
      </c>
      <c r="D5881" s="7" t="n">
        <v>0</v>
      </c>
      <c r="E5881" s="7" t="n">
        <v>0</v>
      </c>
      <c r="F5881" s="7" t="n">
        <v>2</v>
      </c>
      <c r="G5881" s="7" t="n">
        <v>259.16</v>
      </c>
    </row>
    <row r="5882" customFormat="false" ht="15" hidden="false" customHeight="false" outlineLevel="0" collapsed="false">
      <c r="A5882" s="7" t="s">
        <v>24</v>
      </c>
      <c r="B5882" s="7" t="s">
        <v>103</v>
      </c>
      <c r="C5882" s="7" t="s">
        <v>1121</v>
      </c>
      <c r="D5882" s="7" t="n">
        <v>0</v>
      </c>
      <c r="E5882" s="7" t="n">
        <v>0</v>
      </c>
      <c r="F5882" s="7" t="n">
        <v>1</v>
      </c>
      <c r="G5882" s="7" t="n">
        <v>143.98</v>
      </c>
    </row>
    <row r="5883" customFormat="false" ht="15" hidden="false" customHeight="false" outlineLevel="0" collapsed="false">
      <c r="A5883" s="7" t="s">
        <v>24</v>
      </c>
      <c r="B5883" s="7" t="s">
        <v>103</v>
      </c>
      <c r="C5883" s="7" t="s">
        <v>1121</v>
      </c>
      <c r="D5883" s="7" t="n">
        <v>0</v>
      </c>
      <c r="E5883" s="7" t="n">
        <v>0</v>
      </c>
      <c r="F5883" s="7" t="n">
        <v>6</v>
      </c>
      <c r="G5883" s="7" t="n">
        <v>820.74</v>
      </c>
    </row>
    <row r="5884" customFormat="false" ht="15" hidden="false" customHeight="false" outlineLevel="0" collapsed="false">
      <c r="A5884" s="7" t="s">
        <v>24</v>
      </c>
      <c r="B5884" s="7" t="s">
        <v>103</v>
      </c>
      <c r="C5884" s="7" t="s">
        <v>1121</v>
      </c>
      <c r="D5884" s="7" t="n">
        <v>0</v>
      </c>
      <c r="E5884" s="7" t="n">
        <v>0</v>
      </c>
      <c r="F5884" s="7" t="n">
        <v>1</v>
      </c>
      <c r="G5884" s="7" t="n">
        <v>110.25</v>
      </c>
    </row>
    <row r="5885" customFormat="false" ht="15" hidden="false" customHeight="false" outlineLevel="0" collapsed="false">
      <c r="A5885" s="7" t="s">
        <v>24</v>
      </c>
      <c r="B5885" s="7" t="s">
        <v>103</v>
      </c>
      <c r="C5885" s="7" t="s">
        <v>1121</v>
      </c>
      <c r="D5885" s="7" t="n">
        <v>0</v>
      </c>
      <c r="E5885" s="7" t="n">
        <v>0</v>
      </c>
      <c r="F5885" s="7" t="n">
        <v>1</v>
      </c>
      <c r="G5885" s="7" t="n">
        <v>143.99</v>
      </c>
    </row>
    <row r="5886" customFormat="false" ht="15" hidden="false" customHeight="false" outlineLevel="0" collapsed="false">
      <c r="A5886" s="7" t="s">
        <v>24</v>
      </c>
      <c r="B5886" s="7" t="s">
        <v>103</v>
      </c>
      <c r="C5886" s="7" t="s">
        <v>1121</v>
      </c>
      <c r="D5886" s="7" t="n">
        <v>0</v>
      </c>
      <c r="E5886" s="7" t="n">
        <v>0</v>
      </c>
      <c r="F5886" s="7" t="n">
        <v>3</v>
      </c>
      <c r="G5886" s="7" t="n">
        <v>403.14</v>
      </c>
    </row>
    <row r="5887" customFormat="false" ht="15" hidden="false" customHeight="false" outlineLevel="0" collapsed="false">
      <c r="A5887" s="7" t="s">
        <v>24</v>
      </c>
      <c r="B5887" s="7" t="s">
        <v>103</v>
      </c>
      <c r="C5887" s="7" t="s">
        <v>1121</v>
      </c>
      <c r="D5887" s="7" t="n">
        <v>0</v>
      </c>
      <c r="E5887" s="7" t="n">
        <v>0</v>
      </c>
      <c r="F5887" s="7" t="n">
        <v>1</v>
      </c>
      <c r="G5887" s="7" t="n">
        <v>143.98</v>
      </c>
    </row>
    <row r="5888" customFormat="false" ht="15" hidden="false" customHeight="false" outlineLevel="0" collapsed="false">
      <c r="A5888" s="7" t="s">
        <v>24</v>
      </c>
      <c r="B5888" s="7" t="s">
        <v>103</v>
      </c>
      <c r="C5888" s="7" t="s">
        <v>1121</v>
      </c>
      <c r="D5888" s="7" t="n">
        <v>0</v>
      </c>
      <c r="E5888" s="7" t="n">
        <v>0</v>
      </c>
      <c r="F5888" s="7" t="n">
        <v>1</v>
      </c>
      <c r="G5888" s="7" t="n">
        <v>143.99</v>
      </c>
    </row>
    <row r="5889" customFormat="false" ht="15" hidden="false" customHeight="false" outlineLevel="0" collapsed="false">
      <c r="A5889" s="7" t="s">
        <v>24</v>
      </c>
      <c r="B5889" s="7" t="s">
        <v>103</v>
      </c>
      <c r="C5889" s="7" t="s">
        <v>1121</v>
      </c>
      <c r="D5889" s="7" t="n">
        <v>0</v>
      </c>
      <c r="E5889" s="7" t="n">
        <v>0</v>
      </c>
      <c r="F5889" s="7" t="n">
        <v>1</v>
      </c>
      <c r="G5889" s="7" t="n">
        <v>115.19</v>
      </c>
    </row>
    <row r="5890" customFormat="false" ht="15" hidden="false" customHeight="false" outlineLevel="0" collapsed="false">
      <c r="A5890" s="7" t="s">
        <v>24</v>
      </c>
      <c r="B5890" s="7" t="s">
        <v>103</v>
      </c>
      <c r="C5890" s="7" t="s">
        <v>1121</v>
      </c>
      <c r="D5890" s="7" t="n">
        <v>0</v>
      </c>
      <c r="E5890" s="7" t="n">
        <v>0</v>
      </c>
      <c r="F5890" s="7" t="n">
        <v>2</v>
      </c>
      <c r="G5890" s="7" t="n">
        <v>287.96</v>
      </c>
    </row>
    <row r="5891" customFormat="false" ht="15" hidden="false" customHeight="false" outlineLevel="0" collapsed="false">
      <c r="A5891" s="7" t="s">
        <v>24</v>
      </c>
      <c r="B5891" s="7" t="s">
        <v>103</v>
      </c>
      <c r="C5891" s="7" t="s">
        <v>1121</v>
      </c>
      <c r="D5891" s="7" t="n">
        <v>0</v>
      </c>
      <c r="E5891" s="7" t="n">
        <v>0</v>
      </c>
      <c r="F5891" s="7" t="n">
        <v>1</v>
      </c>
      <c r="G5891" s="7" t="n">
        <v>143.99</v>
      </c>
    </row>
    <row r="5892" customFormat="false" ht="15" hidden="false" customHeight="false" outlineLevel="0" collapsed="false">
      <c r="A5892" s="7" t="s">
        <v>24</v>
      </c>
      <c r="B5892" s="7" t="s">
        <v>103</v>
      </c>
      <c r="C5892" s="7" t="s">
        <v>1121</v>
      </c>
      <c r="D5892" s="7" t="n">
        <v>0</v>
      </c>
      <c r="E5892" s="7" t="n">
        <v>0</v>
      </c>
      <c r="F5892" s="7" t="n">
        <v>1</v>
      </c>
      <c r="G5892" s="7" t="n">
        <v>129.58</v>
      </c>
    </row>
    <row r="5893" customFormat="false" ht="15" hidden="false" customHeight="false" outlineLevel="0" collapsed="false">
      <c r="A5893" s="7" t="s">
        <v>24</v>
      </c>
      <c r="B5893" s="7" t="s">
        <v>103</v>
      </c>
      <c r="C5893" s="7" t="s">
        <v>1121</v>
      </c>
      <c r="D5893" s="7" t="n">
        <v>0</v>
      </c>
      <c r="E5893" s="7" t="n">
        <v>0</v>
      </c>
      <c r="F5893" s="7" t="n">
        <v>1</v>
      </c>
      <c r="G5893" s="7" t="n">
        <v>143.98</v>
      </c>
    </row>
    <row r="5894" customFormat="false" ht="15" hidden="false" customHeight="false" outlineLevel="0" collapsed="false">
      <c r="A5894" s="7" t="s">
        <v>24</v>
      </c>
      <c r="B5894" s="7" t="s">
        <v>103</v>
      </c>
      <c r="C5894" s="7" t="s">
        <v>1121</v>
      </c>
      <c r="D5894" s="7" t="n">
        <v>0</v>
      </c>
      <c r="E5894" s="7" t="n">
        <v>0</v>
      </c>
      <c r="F5894" s="7" t="n">
        <v>1</v>
      </c>
      <c r="G5894" s="7" t="n">
        <v>143.98</v>
      </c>
    </row>
    <row r="5895" customFormat="false" ht="15" hidden="false" customHeight="false" outlineLevel="0" collapsed="false">
      <c r="A5895" s="7" t="s">
        <v>24</v>
      </c>
      <c r="B5895" s="7" t="s">
        <v>103</v>
      </c>
      <c r="C5895" s="7" t="s">
        <v>1121</v>
      </c>
      <c r="D5895" s="7" t="n">
        <v>0</v>
      </c>
      <c r="E5895" s="7" t="n">
        <v>0</v>
      </c>
      <c r="F5895" s="7" t="n">
        <v>5</v>
      </c>
      <c r="G5895" s="7" t="n">
        <v>652.6</v>
      </c>
    </row>
    <row r="5896" customFormat="false" ht="15" hidden="false" customHeight="false" outlineLevel="0" collapsed="false">
      <c r="A5896" s="7" t="s">
        <v>24</v>
      </c>
      <c r="B5896" s="7" t="s">
        <v>103</v>
      </c>
      <c r="C5896" s="7" t="s">
        <v>1121</v>
      </c>
      <c r="D5896" s="7" t="n">
        <v>0</v>
      </c>
      <c r="E5896" s="7" t="n">
        <v>0</v>
      </c>
      <c r="F5896" s="7" t="n">
        <v>1</v>
      </c>
      <c r="G5896" s="7" t="n">
        <v>143.98</v>
      </c>
    </row>
    <row r="5897" customFormat="false" ht="15" hidden="false" customHeight="false" outlineLevel="0" collapsed="false">
      <c r="A5897" s="7" t="s">
        <v>24</v>
      </c>
      <c r="B5897" s="7" t="s">
        <v>103</v>
      </c>
      <c r="C5897" s="7" t="s">
        <v>1121</v>
      </c>
      <c r="D5897" s="7" t="n">
        <v>0</v>
      </c>
      <c r="E5897" s="7" t="n">
        <v>0</v>
      </c>
      <c r="F5897" s="7" t="n">
        <v>1</v>
      </c>
      <c r="G5897" s="7" t="n">
        <v>143.98</v>
      </c>
    </row>
    <row r="5898" customFormat="false" ht="15" hidden="false" customHeight="false" outlineLevel="0" collapsed="false">
      <c r="A5898" s="7" t="s">
        <v>24</v>
      </c>
      <c r="B5898" s="7" t="s">
        <v>103</v>
      </c>
      <c r="C5898" s="7" t="s">
        <v>1121</v>
      </c>
      <c r="D5898" s="7" t="n">
        <v>0</v>
      </c>
      <c r="E5898" s="7" t="n">
        <v>0</v>
      </c>
      <c r="F5898" s="7" t="n">
        <v>5</v>
      </c>
      <c r="G5898" s="7" t="n">
        <v>647.95</v>
      </c>
    </row>
    <row r="5899" customFormat="false" ht="15" hidden="false" customHeight="false" outlineLevel="0" collapsed="false">
      <c r="A5899" s="7" t="s">
        <v>24</v>
      </c>
      <c r="B5899" s="7" t="s">
        <v>103</v>
      </c>
      <c r="C5899" s="7" t="s">
        <v>1121</v>
      </c>
      <c r="D5899" s="7" t="n">
        <v>0</v>
      </c>
      <c r="E5899" s="7" t="n">
        <v>0</v>
      </c>
      <c r="F5899" s="7" t="n">
        <v>1</v>
      </c>
      <c r="G5899" s="7" t="n">
        <v>129.59</v>
      </c>
    </row>
    <row r="5900" customFormat="false" ht="15" hidden="false" customHeight="false" outlineLevel="0" collapsed="false">
      <c r="A5900" s="7" t="s">
        <v>24</v>
      </c>
      <c r="B5900" s="7" t="s">
        <v>103</v>
      </c>
      <c r="C5900" s="7" t="s">
        <v>1121</v>
      </c>
      <c r="D5900" s="7" t="n">
        <v>0</v>
      </c>
      <c r="E5900" s="7" t="n">
        <v>0</v>
      </c>
      <c r="F5900" s="7" t="n">
        <v>2</v>
      </c>
      <c r="G5900" s="7" t="n">
        <v>259.18</v>
      </c>
    </row>
    <row r="5901" customFormat="false" ht="15" hidden="false" customHeight="false" outlineLevel="0" collapsed="false">
      <c r="A5901" s="7" t="s">
        <v>24</v>
      </c>
      <c r="B5901" s="7" t="s">
        <v>103</v>
      </c>
      <c r="C5901" s="7" t="s">
        <v>1121</v>
      </c>
      <c r="D5901" s="7" t="n">
        <v>0</v>
      </c>
      <c r="E5901" s="7" t="n">
        <v>0</v>
      </c>
      <c r="F5901" s="7" t="n">
        <v>1</v>
      </c>
      <c r="G5901" s="7" t="n">
        <v>129.59</v>
      </c>
    </row>
    <row r="5902" customFormat="false" ht="15" hidden="false" customHeight="false" outlineLevel="0" collapsed="false">
      <c r="A5902" s="7" t="s">
        <v>24</v>
      </c>
      <c r="B5902" s="7" t="s">
        <v>103</v>
      </c>
      <c r="C5902" s="7" t="s">
        <v>1121</v>
      </c>
      <c r="D5902" s="7" t="n">
        <v>0</v>
      </c>
      <c r="E5902" s="7" t="n">
        <v>0</v>
      </c>
      <c r="F5902" s="7" t="n">
        <v>2</v>
      </c>
      <c r="G5902" s="7" t="n">
        <v>259.18</v>
      </c>
    </row>
    <row r="5903" customFormat="false" ht="15" hidden="false" customHeight="false" outlineLevel="0" collapsed="false">
      <c r="A5903" s="7" t="s">
        <v>24</v>
      </c>
      <c r="B5903" s="7" t="s">
        <v>103</v>
      </c>
      <c r="C5903" s="7" t="s">
        <v>1121</v>
      </c>
      <c r="D5903" s="7" t="n">
        <v>0</v>
      </c>
      <c r="E5903" s="7" t="n">
        <v>0</v>
      </c>
      <c r="F5903" s="7" t="n">
        <v>1</v>
      </c>
      <c r="G5903" s="7" t="n">
        <v>115.18</v>
      </c>
    </row>
    <row r="5904" customFormat="false" ht="15" hidden="false" customHeight="false" outlineLevel="0" collapsed="false">
      <c r="A5904" s="7" t="s">
        <v>24</v>
      </c>
      <c r="B5904" s="7" t="s">
        <v>103</v>
      </c>
      <c r="C5904" s="7" t="s">
        <v>1121</v>
      </c>
      <c r="D5904" s="7" t="n">
        <v>0</v>
      </c>
      <c r="E5904" s="7" t="n">
        <v>0</v>
      </c>
      <c r="F5904" s="7" t="n">
        <v>2</v>
      </c>
      <c r="G5904" s="7" t="n">
        <v>259.18</v>
      </c>
    </row>
    <row r="5905" customFormat="false" ht="15" hidden="false" customHeight="false" outlineLevel="0" collapsed="false">
      <c r="A5905" s="7" t="s">
        <v>24</v>
      </c>
      <c r="B5905" s="7" t="s">
        <v>103</v>
      </c>
      <c r="C5905" s="7" t="s">
        <v>1121</v>
      </c>
      <c r="D5905" s="7" t="n">
        <v>0</v>
      </c>
      <c r="E5905" s="7" t="n">
        <v>0</v>
      </c>
      <c r="F5905" s="7" t="n">
        <v>3</v>
      </c>
      <c r="G5905" s="7" t="n">
        <v>417.57</v>
      </c>
    </row>
    <row r="5906" customFormat="false" ht="15" hidden="false" customHeight="false" outlineLevel="0" collapsed="false">
      <c r="A5906" s="7" t="s">
        <v>24</v>
      </c>
      <c r="B5906" s="7" t="s">
        <v>103</v>
      </c>
      <c r="C5906" s="7" t="s">
        <v>1121</v>
      </c>
      <c r="D5906" s="7" t="n">
        <v>0</v>
      </c>
      <c r="E5906" s="7" t="n">
        <v>0</v>
      </c>
      <c r="F5906" s="7" t="n">
        <v>1</v>
      </c>
      <c r="G5906" s="7" t="n">
        <v>115.19</v>
      </c>
    </row>
    <row r="5907" customFormat="false" ht="15" hidden="false" customHeight="false" outlineLevel="0" collapsed="false">
      <c r="A5907" s="7" t="s">
        <v>24</v>
      </c>
      <c r="B5907" s="7" t="s">
        <v>103</v>
      </c>
      <c r="C5907" s="7" t="s">
        <v>1121</v>
      </c>
      <c r="D5907" s="7" t="n">
        <v>0</v>
      </c>
      <c r="E5907" s="7" t="n">
        <v>0</v>
      </c>
      <c r="F5907" s="7" t="n">
        <v>4</v>
      </c>
      <c r="G5907" s="7" t="n">
        <v>532.76</v>
      </c>
    </row>
    <row r="5908" customFormat="false" ht="15" hidden="false" customHeight="false" outlineLevel="0" collapsed="false">
      <c r="A5908" s="7" t="s">
        <v>24</v>
      </c>
      <c r="B5908" s="7" t="s">
        <v>103</v>
      </c>
      <c r="C5908" s="7" t="s">
        <v>1121</v>
      </c>
      <c r="D5908" s="7" t="n">
        <v>0</v>
      </c>
      <c r="E5908" s="7" t="n">
        <v>0</v>
      </c>
      <c r="F5908" s="7" t="n">
        <v>2</v>
      </c>
      <c r="G5908" s="7" t="n">
        <v>287.98</v>
      </c>
    </row>
    <row r="5909" customFormat="false" ht="15" hidden="false" customHeight="false" outlineLevel="0" collapsed="false">
      <c r="A5909" s="7" t="s">
        <v>24</v>
      </c>
      <c r="B5909" s="7" t="s">
        <v>103</v>
      </c>
      <c r="C5909" s="7" t="s">
        <v>1121</v>
      </c>
      <c r="D5909" s="7" t="n">
        <v>0</v>
      </c>
      <c r="E5909" s="7" t="n">
        <v>0</v>
      </c>
      <c r="F5909" s="7" t="n">
        <v>3</v>
      </c>
      <c r="G5909" s="7" t="n">
        <v>403.17</v>
      </c>
    </row>
    <row r="5910" customFormat="false" ht="15" hidden="false" customHeight="false" outlineLevel="0" collapsed="false">
      <c r="A5910" s="7" t="s">
        <v>24</v>
      </c>
      <c r="B5910" s="7" t="s">
        <v>103</v>
      </c>
      <c r="C5910" s="7" t="s">
        <v>1121</v>
      </c>
      <c r="D5910" s="7" t="n">
        <v>3</v>
      </c>
      <c r="E5910" s="7" t="n">
        <v>317.52</v>
      </c>
      <c r="F5910" s="7" t="n">
        <v>0</v>
      </c>
      <c r="G5910" s="7" t="n">
        <v>0</v>
      </c>
    </row>
    <row r="5911" customFormat="false" ht="15" hidden="false" customHeight="false" outlineLevel="0" collapsed="false">
      <c r="A5911" s="7" t="s">
        <v>24</v>
      </c>
      <c r="B5911" s="7" t="s">
        <v>103</v>
      </c>
      <c r="C5911" s="7" t="s">
        <v>1121</v>
      </c>
      <c r="D5911" s="7" t="n">
        <v>0</v>
      </c>
      <c r="E5911" s="7" t="n">
        <v>0</v>
      </c>
      <c r="F5911" s="7" t="n">
        <v>1</v>
      </c>
      <c r="G5911" s="7" t="n">
        <v>143.99</v>
      </c>
    </row>
    <row r="5912" customFormat="false" ht="15" hidden="false" customHeight="false" outlineLevel="0" collapsed="false">
      <c r="A5912" s="7" t="s">
        <v>24</v>
      </c>
      <c r="B5912" s="7" t="s">
        <v>103</v>
      </c>
      <c r="C5912" s="7" t="s">
        <v>1121</v>
      </c>
      <c r="D5912" s="7" t="n">
        <v>0</v>
      </c>
      <c r="E5912" s="7" t="n">
        <v>0</v>
      </c>
      <c r="F5912" s="7" t="n">
        <v>1</v>
      </c>
      <c r="G5912" s="7" t="n">
        <v>143.99</v>
      </c>
    </row>
    <row r="5913" customFormat="false" ht="15" hidden="false" customHeight="false" outlineLevel="0" collapsed="false">
      <c r="A5913" s="7" t="s">
        <v>24</v>
      </c>
      <c r="B5913" s="7" t="s">
        <v>103</v>
      </c>
      <c r="C5913" s="7" t="s">
        <v>1121</v>
      </c>
      <c r="D5913" s="7" t="n">
        <v>0</v>
      </c>
      <c r="E5913" s="7" t="n">
        <v>0</v>
      </c>
      <c r="F5913" s="7" t="n">
        <v>1</v>
      </c>
      <c r="G5913" s="7" t="n">
        <v>129.59</v>
      </c>
    </row>
    <row r="5914" customFormat="false" ht="15" hidden="false" customHeight="false" outlineLevel="0" collapsed="false">
      <c r="A5914" s="7" t="s">
        <v>24</v>
      </c>
      <c r="B5914" s="7" t="s">
        <v>103</v>
      </c>
      <c r="C5914" s="7" t="s">
        <v>1121</v>
      </c>
      <c r="D5914" s="7" t="n">
        <v>0</v>
      </c>
      <c r="E5914" s="7" t="n">
        <v>0</v>
      </c>
      <c r="F5914" s="7" t="n">
        <v>1</v>
      </c>
      <c r="G5914" s="7" t="n">
        <v>143.98</v>
      </c>
    </row>
    <row r="5915" customFormat="false" ht="15" hidden="false" customHeight="false" outlineLevel="0" collapsed="false">
      <c r="A5915" s="7" t="s">
        <v>24</v>
      </c>
      <c r="B5915" s="7" t="s">
        <v>103</v>
      </c>
      <c r="C5915" s="7" t="s">
        <v>1121</v>
      </c>
      <c r="D5915" s="7" t="n">
        <v>0</v>
      </c>
      <c r="E5915" s="7" t="n">
        <v>0</v>
      </c>
      <c r="F5915" s="7" t="n">
        <v>1</v>
      </c>
      <c r="G5915" s="7" t="n">
        <v>122.39</v>
      </c>
    </row>
    <row r="5916" customFormat="false" ht="15" hidden="false" customHeight="false" outlineLevel="0" collapsed="false">
      <c r="A5916" s="7" t="s">
        <v>24</v>
      </c>
      <c r="B5916" s="7" t="s">
        <v>103</v>
      </c>
      <c r="C5916" s="7" t="s">
        <v>1121</v>
      </c>
      <c r="D5916" s="7" t="n">
        <v>0</v>
      </c>
      <c r="E5916" s="7" t="n">
        <v>0</v>
      </c>
      <c r="F5916" s="7" t="n">
        <v>2</v>
      </c>
      <c r="G5916" s="7" t="n">
        <v>287.96</v>
      </c>
    </row>
    <row r="5917" customFormat="false" ht="15" hidden="false" customHeight="false" outlineLevel="0" collapsed="false">
      <c r="A5917" s="7" t="s">
        <v>24</v>
      </c>
      <c r="B5917" s="7" t="s">
        <v>103</v>
      </c>
      <c r="C5917" s="7" t="s">
        <v>1121</v>
      </c>
      <c r="D5917" s="7" t="n">
        <v>0</v>
      </c>
      <c r="E5917" s="7" t="n">
        <v>0</v>
      </c>
      <c r="F5917" s="7" t="n">
        <v>5</v>
      </c>
      <c r="G5917" s="7" t="n">
        <v>676.75</v>
      </c>
    </row>
    <row r="5918" customFormat="false" ht="15" hidden="false" customHeight="false" outlineLevel="0" collapsed="false">
      <c r="A5918" s="7" t="s">
        <v>24</v>
      </c>
      <c r="B5918" s="7" t="s">
        <v>103</v>
      </c>
      <c r="C5918" s="7" t="s">
        <v>1121</v>
      </c>
      <c r="D5918" s="7" t="n">
        <v>0</v>
      </c>
      <c r="E5918" s="7" t="n">
        <v>0</v>
      </c>
      <c r="F5918" s="7" t="n">
        <v>1</v>
      </c>
      <c r="G5918" s="7" t="n">
        <v>143.99</v>
      </c>
    </row>
    <row r="5919" customFormat="false" ht="15" hidden="false" customHeight="false" outlineLevel="0" collapsed="false">
      <c r="A5919" s="7" t="s">
        <v>24</v>
      </c>
      <c r="B5919" s="7" t="s">
        <v>103</v>
      </c>
      <c r="C5919" s="7" t="s">
        <v>1121</v>
      </c>
      <c r="D5919" s="7" t="n">
        <v>0</v>
      </c>
      <c r="E5919" s="7" t="n">
        <v>0</v>
      </c>
      <c r="F5919" s="7" t="n">
        <v>1</v>
      </c>
      <c r="G5919" s="7" t="n">
        <v>143.99</v>
      </c>
    </row>
    <row r="5920" customFormat="false" ht="15" hidden="false" customHeight="false" outlineLevel="0" collapsed="false">
      <c r="A5920" s="7" t="s">
        <v>24</v>
      </c>
      <c r="B5920" s="7" t="s">
        <v>103</v>
      </c>
      <c r="C5920" s="7" t="s">
        <v>1121</v>
      </c>
      <c r="D5920" s="7" t="n">
        <v>0</v>
      </c>
      <c r="E5920" s="7" t="n">
        <v>0</v>
      </c>
      <c r="F5920" s="7" t="n">
        <v>1</v>
      </c>
      <c r="G5920" s="7" t="n">
        <v>129.59</v>
      </c>
    </row>
    <row r="5921" customFormat="false" ht="15" hidden="false" customHeight="false" outlineLevel="0" collapsed="false">
      <c r="A5921" s="7" t="s">
        <v>24</v>
      </c>
      <c r="B5921" s="7" t="s">
        <v>103</v>
      </c>
      <c r="C5921" s="7" t="s">
        <v>1121</v>
      </c>
      <c r="D5921" s="7" t="n">
        <v>0</v>
      </c>
      <c r="E5921" s="7" t="n">
        <v>0</v>
      </c>
      <c r="F5921" s="7" t="n">
        <v>1</v>
      </c>
      <c r="G5921" s="7" t="n">
        <v>122.39</v>
      </c>
    </row>
    <row r="5922" customFormat="false" ht="15" hidden="false" customHeight="false" outlineLevel="0" collapsed="false">
      <c r="A5922" s="7" t="s">
        <v>24</v>
      </c>
      <c r="B5922" s="7" t="s">
        <v>103</v>
      </c>
      <c r="C5922" s="7" t="s">
        <v>1121</v>
      </c>
      <c r="D5922" s="7" t="n">
        <v>0</v>
      </c>
      <c r="E5922" s="7" t="n">
        <v>0</v>
      </c>
      <c r="F5922" s="7" t="n">
        <v>1</v>
      </c>
      <c r="G5922" s="7" t="n">
        <v>115.19</v>
      </c>
    </row>
    <row r="5923" customFormat="false" ht="15" hidden="false" customHeight="false" outlineLevel="0" collapsed="false">
      <c r="A5923" s="7" t="s">
        <v>24</v>
      </c>
      <c r="B5923" s="7" t="s">
        <v>103</v>
      </c>
      <c r="C5923" s="7" t="s">
        <v>1121</v>
      </c>
      <c r="D5923" s="7" t="n">
        <v>0</v>
      </c>
      <c r="E5923" s="7" t="n">
        <v>0</v>
      </c>
      <c r="F5923" s="7" t="n">
        <v>2</v>
      </c>
      <c r="G5923" s="7" t="n">
        <v>287.96</v>
      </c>
    </row>
    <row r="5924" customFormat="false" ht="15" hidden="false" customHeight="false" outlineLevel="0" collapsed="false">
      <c r="A5924" s="7" t="s">
        <v>24</v>
      </c>
      <c r="B5924" s="7" t="s">
        <v>103</v>
      </c>
      <c r="C5924" s="7" t="s">
        <v>1121</v>
      </c>
      <c r="D5924" s="7" t="n">
        <v>0</v>
      </c>
      <c r="E5924" s="7" t="n">
        <v>0</v>
      </c>
      <c r="F5924" s="7" t="n">
        <v>3</v>
      </c>
      <c r="G5924" s="7" t="n">
        <v>374.35</v>
      </c>
    </row>
    <row r="5925" customFormat="false" ht="15" hidden="false" customHeight="false" outlineLevel="0" collapsed="false">
      <c r="A5925" s="7" t="s">
        <v>24</v>
      </c>
      <c r="B5925" s="7" t="s">
        <v>103</v>
      </c>
      <c r="C5925" s="7" t="s">
        <v>1121</v>
      </c>
      <c r="D5925" s="7" t="n">
        <v>0</v>
      </c>
      <c r="E5925" s="7" t="n">
        <v>0</v>
      </c>
      <c r="F5925" s="7" t="n">
        <v>4</v>
      </c>
      <c r="G5925" s="7" t="n">
        <v>523.02</v>
      </c>
    </row>
    <row r="5926" customFormat="false" ht="15" hidden="false" customHeight="false" outlineLevel="0" collapsed="false">
      <c r="A5926" s="7" t="s">
        <v>24</v>
      </c>
      <c r="B5926" s="7" t="s">
        <v>103</v>
      </c>
      <c r="C5926" s="7" t="s">
        <v>1121</v>
      </c>
      <c r="D5926" s="7" t="n">
        <v>0</v>
      </c>
      <c r="E5926" s="7" t="n">
        <v>0</v>
      </c>
      <c r="F5926" s="7" t="n">
        <v>1</v>
      </c>
      <c r="G5926" s="7" t="n">
        <v>143.99</v>
      </c>
    </row>
    <row r="5927" customFormat="false" ht="15" hidden="false" customHeight="false" outlineLevel="0" collapsed="false">
      <c r="A5927" s="7" t="s">
        <v>24</v>
      </c>
      <c r="B5927" s="7" t="s">
        <v>103</v>
      </c>
      <c r="C5927" s="7" t="s">
        <v>1121</v>
      </c>
      <c r="D5927" s="7" t="n">
        <v>0</v>
      </c>
      <c r="E5927" s="7" t="n">
        <v>0</v>
      </c>
      <c r="F5927" s="7" t="n">
        <v>1</v>
      </c>
      <c r="G5927" s="7" t="n">
        <v>143.99</v>
      </c>
    </row>
    <row r="5928" customFormat="false" ht="15" hidden="false" customHeight="false" outlineLevel="0" collapsed="false">
      <c r="A5928" s="7" t="s">
        <v>24</v>
      </c>
      <c r="B5928" s="7" t="s">
        <v>103</v>
      </c>
      <c r="C5928" s="7" t="s">
        <v>1121</v>
      </c>
      <c r="D5928" s="7" t="n">
        <v>0</v>
      </c>
      <c r="E5928" s="7" t="n">
        <v>0</v>
      </c>
      <c r="F5928" s="7" t="n">
        <v>1</v>
      </c>
      <c r="G5928" s="7" t="n">
        <v>129.59</v>
      </c>
    </row>
    <row r="5929" customFormat="false" ht="15" hidden="false" customHeight="false" outlineLevel="0" collapsed="false">
      <c r="A5929" s="7" t="s">
        <v>24</v>
      </c>
      <c r="B5929" s="7" t="s">
        <v>103</v>
      </c>
      <c r="C5929" s="7" t="s">
        <v>1121</v>
      </c>
      <c r="D5929" s="7" t="n">
        <v>0</v>
      </c>
      <c r="E5929" s="7" t="n">
        <v>0</v>
      </c>
      <c r="F5929" s="7" t="n">
        <v>3</v>
      </c>
      <c r="G5929" s="7" t="n">
        <v>400.66</v>
      </c>
    </row>
    <row r="5930" customFormat="false" ht="15" hidden="false" customHeight="false" outlineLevel="0" collapsed="false">
      <c r="A5930" s="7" t="s">
        <v>24</v>
      </c>
      <c r="B5930" s="7" t="s">
        <v>101</v>
      </c>
      <c r="C5930" s="7" t="s">
        <v>1121</v>
      </c>
      <c r="D5930" s="7" t="n">
        <v>0</v>
      </c>
      <c r="E5930" s="7" t="n">
        <v>0</v>
      </c>
      <c r="F5930" s="7" t="n">
        <v>1</v>
      </c>
      <c r="G5930" s="7" t="n">
        <v>143.98</v>
      </c>
    </row>
    <row r="5931" customFormat="false" ht="15" hidden="false" customHeight="false" outlineLevel="0" collapsed="false">
      <c r="A5931" s="7" t="s">
        <v>24</v>
      </c>
      <c r="B5931" s="7" t="s">
        <v>101</v>
      </c>
      <c r="C5931" s="7" t="s">
        <v>1121</v>
      </c>
      <c r="D5931" s="7" t="n">
        <v>0</v>
      </c>
      <c r="E5931" s="7" t="n">
        <v>0</v>
      </c>
      <c r="F5931" s="7" t="n">
        <v>1</v>
      </c>
      <c r="G5931" s="7" t="n">
        <v>129.58</v>
      </c>
    </row>
    <row r="5932" customFormat="false" ht="15" hidden="false" customHeight="false" outlineLevel="0" collapsed="false">
      <c r="A5932" s="7" t="s">
        <v>24</v>
      </c>
      <c r="B5932" s="7" t="s">
        <v>101</v>
      </c>
      <c r="C5932" s="7" t="s">
        <v>1121</v>
      </c>
      <c r="D5932" s="7" t="n">
        <v>0</v>
      </c>
      <c r="E5932" s="7" t="n">
        <v>0</v>
      </c>
      <c r="F5932" s="7" t="n">
        <v>1</v>
      </c>
      <c r="G5932" s="7" t="n">
        <v>143.99</v>
      </c>
    </row>
    <row r="5933" customFormat="false" ht="15" hidden="false" customHeight="false" outlineLevel="0" collapsed="false">
      <c r="A5933" s="7" t="s">
        <v>24</v>
      </c>
      <c r="B5933" s="7" t="s">
        <v>101</v>
      </c>
      <c r="C5933" s="7" t="s">
        <v>1121</v>
      </c>
      <c r="D5933" s="7" t="n">
        <v>0</v>
      </c>
      <c r="E5933" s="7" t="n">
        <v>0</v>
      </c>
      <c r="F5933" s="7" t="n">
        <v>3</v>
      </c>
      <c r="G5933" s="7" t="n">
        <v>388.77</v>
      </c>
    </row>
    <row r="5934" customFormat="false" ht="15" hidden="false" customHeight="false" outlineLevel="0" collapsed="false">
      <c r="A5934" s="7" t="s">
        <v>24</v>
      </c>
      <c r="B5934" s="7" t="s">
        <v>101</v>
      </c>
      <c r="C5934" s="7" t="s">
        <v>1121</v>
      </c>
      <c r="D5934" s="7" t="n">
        <v>0</v>
      </c>
      <c r="E5934" s="7" t="n">
        <v>0</v>
      </c>
      <c r="F5934" s="7" t="n">
        <v>1</v>
      </c>
      <c r="G5934" s="7" t="n">
        <v>143.98</v>
      </c>
    </row>
    <row r="5935" customFormat="false" ht="15" hidden="false" customHeight="false" outlineLevel="0" collapsed="false">
      <c r="A5935" s="7" t="s">
        <v>24</v>
      </c>
      <c r="B5935" s="7" t="s">
        <v>101</v>
      </c>
      <c r="C5935" s="7" t="s">
        <v>1121</v>
      </c>
      <c r="D5935" s="7" t="n">
        <v>0</v>
      </c>
      <c r="E5935" s="7" t="n">
        <v>0</v>
      </c>
      <c r="F5935" s="7" t="n">
        <v>1</v>
      </c>
      <c r="G5935" s="7" t="n">
        <v>143.98</v>
      </c>
    </row>
    <row r="5936" customFormat="false" ht="15" hidden="false" customHeight="false" outlineLevel="0" collapsed="false">
      <c r="A5936" s="7" t="s">
        <v>24</v>
      </c>
      <c r="B5936" s="7" t="s">
        <v>101</v>
      </c>
      <c r="C5936" s="7" t="s">
        <v>1121</v>
      </c>
      <c r="D5936" s="7" t="n">
        <v>0</v>
      </c>
      <c r="E5936" s="7" t="n">
        <v>0</v>
      </c>
      <c r="F5936" s="7" t="n">
        <v>1</v>
      </c>
      <c r="G5936" s="7" t="n">
        <v>143.98</v>
      </c>
    </row>
    <row r="5937" customFormat="false" ht="15" hidden="false" customHeight="false" outlineLevel="0" collapsed="false">
      <c r="A5937" s="7" t="s">
        <v>24</v>
      </c>
      <c r="B5937" s="7" t="s">
        <v>101</v>
      </c>
      <c r="C5937" s="7" t="s">
        <v>1121</v>
      </c>
      <c r="D5937" s="7" t="n">
        <v>0</v>
      </c>
      <c r="E5937" s="7" t="n">
        <v>0</v>
      </c>
      <c r="F5937" s="7" t="n">
        <v>1</v>
      </c>
      <c r="G5937" s="7" t="n">
        <v>143.99</v>
      </c>
    </row>
    <row r="5938" customFormat="false" ht="15" hidden="false" customHeight="false" outlineLevel="0" collapsed="false">
      <c r="A5938" s="7" t="s">
        <v>24</v>
      </c>
      <c r="B5938" s="7" t="s">
        <v>101</v>
      </c>
      <c r="C5938" s="7" t="s">
        <v>1121</v>
      </c>
      <c r="D5938" s="7" t="n">
        <v>0</v>
      </c>
      <c r="E5938" s="7" t="n">
        <v>0</v>
      </c>
      <c r="F5938" s="7" t="n">
        <v>1</v>
      </c>
      <c r="G5938" s="7" t="n">
        <v>115.19</v>
      </c>
    </row>
    <row r="5939" customFormat="false" ht="15" hidden="false" customHeight="false" outlineLevel="0" collapsed="false">
      <c r="A5939" s="7" t="s">
        <v>24</v>
      </c>
      <c r="B5939" s="7" t="s">
        <v>101</v>
      </c>
      <c r="C5939" s="7" t="s">
        <v>1121</v>
      </c>
      <c r="D5939" s="7" t="n">
        <v>0</v>
      </c>
      <c r="E5939" s="7" t="n">
        <v>0</v>
      </c>
      <c r="F5939" s="7" t="n">
        <v>2</v>
      </c>
      <c r="G5939" s="7" t="n">
        <v>259.18</v>
      </c>
    </row>
    <row r="5940" customFormat="false" ht="15" hidden="false" customHeight="false" outlineLevel="0" collapsed="false">
      <c r="A5940" s="7" t="s">
        <v>24</v>
      </c>
      <c r="B5940" s="7" t="s">
        <v>101</v>
      </c>
      <c r="C5940" s="7" t="s">
        <v>1121</v>
      </c>
      <c r="D5940" s="7" t="n">
        <v>0</v>
      </c>
      <c r="E5940" s="7" t="n">
        <v>0</v>
      </c>
      <c r="F5940" s="7" t="n">
        <v>1</v>
      </c>
      <c r="G5940" s="7" t="n">
        <v>143.99</v>
      </c>
    </row>
    <row r="5941" customFormat="false" ht="15" hidden="false" customHeight="false" outlineLevel="0" collapsed="false">
      <c r="A5941" s="7" t="s">
        <v>24</v>
      </c>
      <c r="B5941" s="7" t="s">
        <v>101</v>
      </c>
      <c r="C5941" s="7" t="s">
        <v>1121</v>
      </c>
      <c r="D5941" s="7" t="n">
        <v>0</v>
      </c>
      <c r="E5941" s="7" t="n">
        <v>0</v>
      </c>
      <c r="F5941" s="7" t="n">
        <v>3</v>
      </c>
      <c r="G5941" s="7" t="n">
        <v>388.76</v>
      </c>
    </row>
    <row r="5942" customFormat="false" ht="15" hidden="false" customHeight="false" outlineLevel="0" collapsed="false">
      <c r="A5942" s="7" t="s">
        <v>24</v>
      </c>
      <c r="B5942" s="7" t="s">
        <v>101</v>
      </c>
      <c r="C5942" s="7" t="s">
        <v>1121</v>
      </c>
      <c r="D5942" s="7" t="n">
        <v>0</v>
      </c>
      <c r="E5942" s="7" t="n">
        <v>0</v>
      </c>
      <c r="F5942" s="7" t="n">
        <v>1</v>
      </c>
      <c r="G5942" s="7" t="n">
        <v>115.19</v>
      </c>
    </row>
    <row r="5943" customFormat="false" ht="15" hidden="false" customHeight="false" outlineLevel="0" collapsed="false">
      <c r="A5943" s="7" t="s">
        <v>24</v>
      </c>
      <c r="B5943" s="7" t="s">
        <v>101</v>
      </c>
      <c r="C5943" s="7" t="s">
        <v>1121</v>
      </c>
      <c r="D5943" s="7" t="n">
        <v>0</v>
      </c>
      <c r="E5943" s="7" t="n">
        <v>0</v>
      </c>
      <c r="F5943" s="7" t="n">
        <v>5</v>
      </c>
      <c r="G5943" s="7" t="n">
        <v>619.15</v>
      </c>
    </row>
    <row r="5944" customFormat="false" ht="15" hidden="false" customHeight="false" outlineLevel="0" collapsed="false">
      <c r="A5944" s="7" t="s">
        <v>24</v>
      </c>
      <c r="B5944" s="7" t="s">
        <v>101</v>
      </c>
      <c r="C5944" s="7" t="s">
        <v>1121</v>
      </c>
      <c r="D5944" s="7" t="n">
        <v>0</v>
      </c>
      <c r="E5944" s="7" t="n">
        <v>0</v>
      </c>
      <c r="F5944" s="7" t="n">
        <v>3</v>
      </c>
      <c r="G5944" s="7" t="n">
        <v>403.17</v>
      </c>
    </row>
    <row r="5945" customFormat="false" ht="15" hidden="false" customHeight="false" outlineLevel="0" collapsed="false">
      <c r="A5945" s="7" t="s">
        <v>24</v>
      </c>
      <c r="B5945" s="7" t="s">
        <v>101</v>
      </c>
      <c r="C5945" s="7" t="s">
        <v>1121</v>
      </c>
      <c r="D5945" s="7" t="n">
        <v>0</v>
      </c>
      <c r="E5945" s="7" t="n">
        <v>0</v>
      </c>
      <c r="F5945" s="7" t="n">
        <v>1</v>
      </c>
      <c r="G5945" s="7" t="n">
        <v>143.99</v>
      </c>
    </row>
    <row r="5946" customFormat="false" ht="15" hidden="false" customHeight="false" outlineLevel="0" collapsed="false">
      <c r="A5946" s="7" t="s">
        <v>24</v>
      </c>
      <c r="B5946" s="7" t="s">
        <v>101</v>
      </c>
      <c r="C5946" s="7" t="s">
        <v>1121</v>
      </c>
      <c r="D5946" s="7" t="n">
        <v>0</v>
      </c>
      <c r="E5946" s="7" t="n">
        <v>0</v>
      </c>
      <c r="F5946" s="7" t="n">
        <v>2</v>
      </c>
      <c r="G5946" s="7" t="n">
        <v>287.98</v>
      </c>
    </row>
    <row r="5947" customFormat="false" ht="15" hidden="false" customHeight="false" outlineLevel="0" collapsed="false">
      <c r="A5947" s="7" t="s">
        <v>24</v>
      </c>
      <c r="B5947" s="7" t="s">
        <v>101</v>
      </c>
      <c r="C5947" s="7" t="s">
        <v>1121</v>
      </c>
      <c r="D5947" s="7" t="n">
        <v>0</v>
      </c>
      <c r="E5947" s="7" t="n">
        <v>0</v>
      </c>
      <c r="F5947" s="7" t="n">
        <v>9</v>
      </c>
      <c r="G5947" s="7" t="n">
        <v>1209.51</v>
      </c>
    </row>
    <row r="5948" customFormat="false" ht="15" hidden="false" customHeight="false" outlineLevel="0" collapsed="false">
      <c r="A5948" s="7" t="s">
        <v>24</v>
      </c>
      <c r="B5948" s="7" t="s">
        <v>101</v>
      </c>
      <c r="C5948" s="7" t="s">
        <v>1121</v>
      </c>
      <c r="D5948" s="7" t="n">
        <v>0</v>
      </c>
      <c r="E5948" s="7" t="n">
        <v>0</v>
      </c>
      <c r="F5948" s="7" t="n">
        <v>2</v>
      </c>
      <c r="G5948" s="7" t="n">
        <v>273.56</v>
      </c>
    </row>
    <row r="5949" customFormat="false" ht="15" hidden="false" customHeight="false" outlineLevel="0" collapsed="false">
      <c r="A5949" s="7" t="s">
        <v>24</v>
      </c>
      <c r="B5949" s="7" t="s">
        <v>101</v>
      </c>
      <c r="C5949" s="7" t="s">
        <v>1121</v>
      </c>
      <c r="D5949" s="7" t="n">
        <v>0</v>
      </c>
      <c r="E5949" s="7" t="n">
        <v>0</v>
      </c>
      <c r="F5949" s="7" t="n">
        <v>1</v>
      </c>
      <c r="G5949" s="7" t="n">
        <v>115.19</v>
      </c>
    </row>
    <row r="5950" customFormat="false" ht="15" hidden="false" customHeight="false" outlineLevel="0" collapsed="false">
      <c r="A5950" s="7" t="s">
        <v>24</v>
      </c>
      <c r="B5950" s="7" t="s">
        <v>101</v>
      </c>
      <c r="C5950" s="7" t="s">
        <v>1121</v>
      </c>
      <c r="D5950" s="7" t="n">
        <v>0</v>
      </c>
      <c r="E5950" s="7" t="n">
        <v>0</v>
      </c>
      <c r="F5950" s="7" t="n">
        <v>1</v>
      </c>
      <c r="G5950" s="7" t="n">
        <v>143.99</v>
      </c>
    </row>
    <row r="5951" customFormat="false" ht="15" hidden="false" customHeight="false" outlineLevel="0" collapsed="false">
      <c r="A5951" s="7" t="s">
        <v>24</v>
      </c>
      <c r="B5951" s="7" t="s">
        <v>101</v>
      </c>
      <c r="C5951" s="7" t="s">
        <v>1121</v>
      </c>
      <c r="D5951" s="7" t="n">
        <v>0</v>
      </c>
      <c r="E5951" s="7" t="n">
        <v>0</v>
      </c>
      <c r="F5951" s="7" t="n">
        <v>1</v>
      </c>
      <c r="G5951" s="7" t="n">
        <v>143.98</v>
      </c>
    </row>
    <row r="5952" customFormat="false" ht="15" hidden="false" customHeight="false" outlineLevel="0" collapsed="false">
      <c r="A5952" s="7" t="s">
        <v>24</v>
      </c>
      <c r="B5952" s="7" t="s">
        <v>101</v>
      </c>
      <c r="C5952" s="7" t="s">
        <v>1121</v>
      </c>
      <c r="D5952" s="7" t="n">
        <v>0</v>
      </c>
      <c r="E5952" s="7" t="n">
        <v>0</v>
      </c>
      <c r="F5952" s="7" t="n">
        <v>1</v>
      </c>
      <c r="G5952" s="7" t="n">
        <v>115.19</v>
      </c>
    </row>
    <row r="5953" customFormat="false" ht="15" hidden="false" customHeight="false" outlineLevel="0" collapsed="false">
      <c r="A5953" s="7" t="s">
        <v>24</v>
      </c>
      <c r="B5953" s="7" t="s">
        <v>101</v>
      </c>
      <c r="C5953" s="7" t="s">
        <v>1121</v>
      </c>
      <c r="D5953" s="7" t="n">
        <v>0</v>
      </c>
      <c r="E5953" s="7" t="n">
        <v>0</v>
      </c>
      <c r="F5953" s="7" t="n">
        <v>1</v>
      </c>
      <c r="G5953" s="7" t="n">
        <v>143.99</v>
      </c>
    </row>
    <row r="5954" customFormat="false" ht="15" hidden="false" customHeight="false" outlineLevel="0" collapsed="false">
      <c r="A5954" s="7" t="s">
        <v>24</v>
      </c>
      <c r="B5954" s="7" t="s">
        <v>101</v>
      </c>
      <c r="C5954" s="7" t="s">
        <v>1121</v>
      </c>
      <c r="D5954" s="7" t="n">
        <v>0</v>
      </c>
      <c r="E5954" s="7" t="n">
        <v>0</v>
      </c>
      <c r="F5954" s="7" t="n">
        <v>1</v>
      </c>
      <c r="G5954" s="7" t="n">
        <v>115.18</v>
      </c>
    </row>
    <row r="5955" customFormat="false" ht="15" hidden="false" customHeight="false" outlineLevel="0" collapsed="false">
      <c r="A5955" s="7" t="s">
        <v>24</v>
      </c>
      <c r="B5955" s="7" t="s">
        <v>101</v>
      </c>
      <c r="C5955" s="7" t="s">
        <v>1121</v>
      </c>
      <c r="D5955" s="7" t="n">
        <v>0</v>
      </c>
      <c r="E5955" s="7" t="n">
        <v>0</v>
      </c>
      <c r="F5955" s="7" t="n">
        <v>1</v>
      </c>
      <c r="G5955" s="7" t="n">
        <v>143.98</v>
      </c>
    </row>
    <row r="5956" customFormat="false" ht="15" hidden="false" customHeight="false" outlineLevel="0" collapsed="false">
      <c r="A5956" s="7" t="s">
        <v>24</v>
      </c>
      <c r="B5956" s="7" t="s">
        <v>101</v>
      </c>
      <c r="C5956" s="7" t="s">
        <v>1121</v>
      </c>
      <c r="D5956" s="7" t="n">
        <v>0</v>
      </c>
      <c r="E5956" s="7" t="n">
        <v>0</v>
      </c>
      <c r="F5956" s="7" t="n">
        <v>2</v>
      </c>
      <c r="G5956" s="7" t="n">
        <v>259.17</v>
      </c>
    </row>
    <row r="5957" customFormat="false" ht="15" hidden="false" customHeight="false" outlineLevel="0" collapsed="false">
      <c r="A5957" s="7" t="s">
        <v>24</v>
      </c>
      <c r="B5957" s="7" t="s">
        <v>101</v>
      </c>
      <c r="C5957" s="7" t="s">
        <v>1121</v>
      </c>
      <c r="D5957" s="7" t="n">
        <v>0</v>
      </c>
      <c r="E5957" s="7" t="n">
        <v>0</v>
      </c>
      <c r="F5957" s="7" t="n">
        <v>1</v>
      </c>
      <c r="G5957" s="7" t="n">
        <v>115.19</v>
      </c>
    </row>
    <row r="5958" customFormat="false" ht="15" hidden="false" customHeight="false" outlineLevel="0" collapsed="false">
      <c r="A5958" s="7" t="s">
        <v>24</v>
      </c>
      <c r="B5958" s="7" t="s">
        <v>101</v>
      </c>
      <c r="C5958" s="7" t="s">
        <v>1121</v>
      </c>
      <c r="D5958" s="7" t="n">
        <v>0</v>
      </c>
      <c r="E5958" s="7" t="n">
        <v>0</v>
      </c>
      <c r="F5958" s="7" t="n">
        <v>2</v>
      </c>
      <c r="G5958" s="7" t="n">
        <v>287.98</v>
      </c>
    </row>
    <row r="5959" customFormat="false" ht="15" hidden="false" customHeight="false" outlineLevel="0" collapsed="false">
      <c r="A5959" s="7" t="s">
        <v>24</v>
      </c>
      <c r="B5959" s="7" t="s">
        <v>101</v>
      </c>
      <c r="C5959" s="7" t="s">
        <v>1121</v>
      </c>
      <c r="D5959" s="7" t="n">
        <v>0</v>
      </c>
      <c r="E5959" s="7" t="n">
        <v>0</v>
      </c>
      <c r="F5959" s="7" t="n">
        <v>1</v>
      </c>
      <c r="G5959" s="7" t="n">
        <v>115.19</v>
      </c>
    </row>
    <row r="5960" customFormat="false" ht="15" hidden="false" customHeight="false" outlineLevel="0" collapsed="false">
      <c r="A5960" s="7" t="s">
        <v>24</v>
      </c>
      <c r="B5960" s="7" t="s">
        <v>101</v>
      </c>
      <c r="C5960" s="7" t="s">
        <v>1121</v>
      </c>
      <c r="D5960" s="7" t="n">
        <v>0</v>
      </c>
      <c r="E5960" s="7" t="n">
        <v>0</v>
      </c>
      <c r="F5960" s="7" t="n">
        <v>6</v>
      </c>
      <c r="G5960" s="7" t="n">
        <v>806.34</v>
      </c>
    </row>
    <row r="5961" customFormat="false" ht="15" hidden="false" customHeight="false" outlineLevel="0" collapsed="false">
      <c r="A5961" s="7" t="s">
        <v>24</v>
      </c>
      <c r="B5961" s="7" t="s">
        <v>101</v>
      </c>
      <c r="C5961" s="7" t="s">
        <v>1121</v>
      </c>
      <c r="D5961" s="7" t="n">
        <v>0</v>
      </c>
      <c r="E5961" s="7" t="n">
        <v>0</v>
      </c>
      <c r="F5961" s="7" t="n">
        <v>2</v>
      </c>
      <c r="G5961" s="7" t="n">
        <v>254.15</v>
      </c>
    </row>
    <row r="5962" customFormat="false" ht="15" hidden="false" customHeight="false" outlineLevel="0" collapsed="false">
      <c r="A5962" s="7" t="s">
        <v>24</v>
      </c>
      <c r="B5962" s="7" t="s">
        <v>101</v>
      </c>
      <c r="C5962" s="7" t="s">
        <v>1121</v>
      </c>
      <c r="D5962" s="7" t="n">
        <v>0</v>
      </c>
      <c r="E5962" s="7" t="n">
        <v>0</v>
      </c>
      <c r="F5962" s="7" t="n">
        <v>3</v>
      </c>
      <c r="G5962" s="7" t="n">
        <v>352.75</v>
      </c>
    </row>
    <row r="5963" customFormat="false" ht="15" hidden="false" customHeight="false" outlineLevel="0" collapsed="false">
      <c r="A5963" s="7" t="s">
        <v>24</v>
      </c>
      <c r="B5963" s="7" t="s">
        <v>101</v>
      </c>
      <c r="C5963" s="7" t="s">
        <v>1121</v>
      </c>
      <c r="D5963" s="7" t="n">
        <v>0</v>
      </c>
      <c r="E5963" s="7" t="n">
        <v>0</v>
      </c>
      <c r="F5963" s="7" t="n">
        <v>1</v>
      </c>
      <c r="G5963" s="7" t="n">
        <v>143.99</v>
      </c>
    </row>
    <row r="5964" customFormat="false" ht="15" hidden="false" customHeight="false" outlineLevel="0" collapsed="false">
      <c r="A5964" s="7" t="s">
        <v>24</v>
      </c>
      <c r="B5964" s="7" t="s">
        <v>101</v>
      </c>
      <c r="C5964" s="7" t="s">
        <v>1121</v>
      </c>
      <c r="D5964" s="7" t="n">
        <v>0</v>
      </c>
      <c r="E5964" s="7" t="n">
        <v>0</v>
      </c>
      <c r="F5964" s="7" t="n">
        <v>1</v>
      </c>
      <c r="G5964" s="7" t="n">
        <v>122.39</v>
      </c>
    </row>
    <row r="5965" customFormat="false" ht="15" hidden="false" customHeight="false" outlineLevel="0" collapsed="false">
      <c r="A5965" s="7" t="s">
        <v>24</v>
      </c>
      <c r="B5965" s="7" t="s">
        <v>101</v>
      </c>
      <c r="C5965" s="7" t="s">
        <v>1121</v>
      </c>
      <c r="D5965" s="7" t="n">
        <v>0</v>
      </c>
      <c r="E5965" s="7" t="n">
        <v>0</v>
      </c>
      <c r="F5965" s="7" t="n">
        <v>1</v>
      </c>
      <c r="G5965" s="7" t="n">
        <v>143.98</v>
      </c>
    </row>
    <row r="5966" customFormat="false" ht="15" hidden="false" customHeight="false" outlineLevel="0" collapsed="false">
      <c r="A5966" s="7" t="s">
        <v>24</v>
      </c>
      <c r="B5966" s="7" t="s">
        <v>101</v>
      </c>
      <c r="C5966" s="7" t="s">
        <v>1121</v>
      </c>
      <c r="D5966" s="7" t="n">
        <v>0</v>
      </c>
      <c r="E5966" s="7" t="n">
        <v>0</v>
      </c>
      <c r="F5966" s="7" t="n">
        <v>1</v>
      </c>
      <c r="G5966" s="7" t="n">
        <v>115.19</v>
      </c>
    </row>
    <row r="5967" customFormat="false" ht="15" hidden="false" customHeight="false" outlineLevel="0" collapsed="false">
      <c r="A5967" s="7" t="s">
        <v>24</v>
      </c>
      <c r="B5967" s="7" t="s">
        <v>101</v>
      </c>
      <c r="C5967" s="7" t="s">
        <v>1121</v>
      </c>
      <c r="D5967" s="7" t="n">
        <v>0</v>
      </c>
      <c r="E5967" s="7" t="n">
        <v>0</v>
      </c>
      <c r="F5967" s="7" t="n">
        <v>22</v>
      </c>
      <c r="G5967" s="7" t="n">
        <v>2919.97</v>
      </c>
    </row>
    <row r="5968" customFormat="false" ht="15" hidden="false" customHeight="false" outlineLevel="0" collapsed="false">
      <c r="A5968" s="7" t="s">
        <v>24</v>
      </c>
      <c r="B5968" s="7" t="s">
        <v>101</v>
      </c>
      <c r="C5968" s="7" t="s">
        <v>1121</v>
      </c>
      <c r="D5968" s="7" t="n">
        <v>0</v>
      </c>
      <c r="E5968" s="7" t="n">
        <v>0</v>
      </c>
      <c r="F5968" s="7" t="n">
        <v>2</v>
      </c>
      <c r="G5968" s="7" t="n">
        <v>230.37</v>
      </c>
    </row>
    <row r="5969" customFormat="false" ht="15" hidden="false" customHeight="false" outlineLevel="0" collapsed="false">
      <c r="A5969" s="7" t="s">
        <v>24</v>
      </c>
      <c r="B5969" s="7" t="s">
        <v>101</v>
      </c>
      <c r="C5969" s="7" t="s">
        <v>1121</v>
      </c>
      <c r="D5969" s="7" t="n">
        <v>0</v>
      </c>
      <c r="E5969" s="7" t="n">
        <v>0</v>
      </c>
      <c r="F5969" s="7" t="n">
        <v>1</v>
      </c>
      <c r="G5969" s="7" t="n">
        <v>122.39</v>
      </c>
    </row>
    <row r="5970" customFormat="false" ht="15" hidden="false" customHeight="false" outlineLevel="0" collapsed="false">
      <c r="A5970" s="7" t="s">
        <v>24</v>
      </c>
      <c r="B5970" s="7" t="s">
        <v>101</v>
      </c>
      <c r="C5970" s="7" t="s">
        <v>1121</v>
      </c>
      <c r="D5970" s="7" t="n">
        <v>0</v>
      </c>
      <c r="E5970" s="7" t="n">
        <v>0</v>
      </c>
      <c r="F5970" s="7" t="n">
        <v>1</v>
      </c>
      <c r="G5970" s="7" t="n">
        <v>143.99</v>
      </c>
    </row>
    <row r="5971" customFormat="false" ht="15" hidden="false" customHeight="false" outlineLevel="0" collapsed="false">
      <c r="A5971" s="7" t="s">
        <v>24</v>
      </c>
      <c r="B5971" s="7" t="s">
        <v>101</v>
      </c>
      <c r="C5971" s="7" t="s">
        <v>1121</v>
      </c>
      <c r="D5971" s="7" t="n">
        <v>0</v>
      </c>
      <c r="E5971" s="7" t="n">
        <v>0</v>
      </c>
      <c r="F5971" s="7" t="n">
        <v>1</v>
      </c>
      <c r="G5971" s="7" t="n">
        <v>143.99</v>
      </c>
    </row>
    <row r="5972" customFormat="false" ht="15" hidden="false" customHeight="false" outlineLevel="0" collapsed="false">
      <c r="A5972" s="7" t="s">
        <v>24</v>
      </c>
      <c r="B5972" s="7" t="s">
        <v>101</v>
      </c>
      <c r="C5972" s="7" t="s">
        <v>1121</v>
      </c>
      <c r="D5972" s="7" t="n">
        <v>0</v>
      </c>
      <c r="E5972" s="7" t="n">
        <v>0</v>
      </c>
      <c r="F5972" s="7" t="n">
        <v>1</v>
      </c>
      <c r="G5972" s="7" t="n">
        <v>129.58</v>
      </c>
    </row>
    <row r="5973" customFormat="false" ht="15" hidden="false" customHeight="false" outlineLevel="0" collapsed="false">
      <c r="A5973" s="7" t="s">
        <v>24</v>
      </c>
      <c r="B5973" s="7" t="s">
        <v>101</v>
      </c>
      <c r="C5973" s="7" t="s">
        <v>1121</v>
      </c>
      <c r="D5973" s="7" t="n">
        <v>0</v>
      </c>
      <c r="E5973" s="7" t="n">
        <v>0</v>
      </c>
      <c r="F5973" s="7" t="n">
        <v>1</v>
      </c>
      <c r="G5973" s="7" t="n">
        <v>122.39</v>
      </c>
    </row>
    <row r="5974" customFormat="false" ht="15" hidden="false" customHeight="false" outlineLevel="0" collapsed="false">
      <c r="A5974" s="7" t="s">
        <v>24</v>
      </c>
      <c r="B5974" s="7" t="s">
        <v>101</v>
      </c>
      <c r="C5974" s="7" t="s">
        <v>1121</v>
      </c>
      <c r="D5974" s="7" t="n">
        <v>0</v>
      </c>
      <c r="E5974" s="7" t="n">
        <v>0</v>
      </c>
      <c r="F5974" s="7" t="n">
        <v>2</v>
      </c>
      <c r="G5974" s="7" t="n">
        <v>266.37</v>
      </c>
    </row>
    <row r="5975" customFormat="false" ht="15" hidden="false" customHeight="false" outlineLevel="0" collapsed="false">
      <c r="A5975" s="7" t="s">
        <v>24</v>
      </c>
      <c r="B5975" s="7" t="s">
        <v>101</v>
      </c>
      <c r="C5975" s="7" t="s">
        <v>1121</v>
      </c>
      <c r="D5975" s="7" t="n">
        <v>0</v>
      </c>
      <c r="E5975" s="7" t="n">
        <v>0</v>
      </c>
      <c r="F5975" s="7" t="n">
        <v>1</v>
      </c>
      <c r="G5975" s="7" t="n">
        <v>129.59</v>
      </c>
    </row>
    <row r="5976" customFormat="false" ht="15" hidden="false" customHeight="false" outlineLevel="0" collapsed="false">
      <c r="A5976" s="7" t="s">
        <v>24</v>
      </c>
      <c r="B5976" s="7" t="s">
        <v>101</v>
      </c>
      <c r="C5976" s="7" t="s">
        <v>1121</v>
      </c>
      <c r="D5976" s="7" t="n">
        <v>0</v>
      </c>
      <c r="E5976" s="7" t="n">
        <v>0</v>
      </c>
      <c r="F5976" s="7" t="n">
        <v>2</v>
      </c>
      <c r="G5976" s="7" t="n">
        <v>287.96</v>
      </c>
    </row>
    <row r="5977" customFormat="false" ht="15" hidden="false" customHeight="false" outlineLevel="0" collapsed="false">
      <c r="A5977" s="7" t="s">
        <v>24</v>
      </c>
      <c r="B5977" s="7" t="s">
        <v>101</v>
      </c>
      <c r="C5977" s="7" t="s">
        <v>1121</v>
      </c>
      <c r="D5977" s="7" t="n">
        <v>0</v>
      </c>
      <c r="E5977" s="7" t="n">
        <v>0</v>
      </c>
      <c r="F5977" s="7" t="n">
        <v>6</v>
      </c>
      <c r="G5977" s="7" t="n">
        <v>820.68</v>
      </c>
    </row>
    <row r="5978" customFormat="false" ht="15" hidden="false" customHeight="false" outlineLevel="0" collapsed="false">
      <c r="A5978" s="7" t="s">
        <v>24</v>
      </c>
      <c r="B5978" s="7" t="s">
        <v>101</v>
      </c>
      <c r="C5978" s="7" t="s">
        <v>1121</v>
      </c>
      <c r="D5978" s="7" t="n">
        <v>0</v>
      </c>
      <c r="E5978" s="7" t="n">
        <v>0</v>
      </c>
      <c r="F5978" s="7" t="n">
        <v>1</v>
      </c>
      <c r="G5978" s="7" t="n">
        <v>143.98</v>
      </c>
    </row>
    <row r="5979" customFormat="false" ht="15" hidden="false" customHeight="false" outlineLevel="0" collapsed="false">
      <c r="A5979" s="7" t="s">
        <v>24</v>
      </c>
      <c r="B5979" s="7" t="s">
        <v>101</v>
      </c>
      <c r="C5979" s="7" t="s">
        <v>1121</v>
      </c>
      <c r="D5979" s="7" t="n">
        <v>0</v>
      </c>
      <c r="E5979" s="7" t="n">
        <v>0</v>
      </c>
      <c r="F5979" s="7" t="n">
        <v>2</v>
      </c>
      <c r="G5979" s="7" t="n">
        <v>287.96</v>
      </c>
    </row>
    <row r="5980" customFormat="false" ht="15" hidden="false" customHeight="false" outlineLevel="0" collapsed="false">
      <c r="A5980" s="7" t="s">
        <v>24</v>
      </c>
      <c r="B5980" s="7" t="s">
        <v>101</v>
      </c>
      <c r="C5980" s="7" t="s">
        <v>1121</v>
      </c>
      <c r="D5980" s="7" t="n">
        <v>0</v>
      </c>
      <c r="E5980" s="7" t="n">
        <v>0</v>
      </c>
      <c r="F5980" s="7" t="n">
        <v>13</v>
      </c>
      <c r="G5980" s="7" t="n">
        <v>1799.87</v>
      </c>
    </row>
    <row r="5981" customFormat="false" ht="15" hidden="false" customHeight="false" outlineLevel="0" collapsed="false">
      <c r="A5981" s="7" t="s">
        <v>24</v>
      </c>
      <c r="B5981" s="7" t="s">
        <v>101</v>
      </c>
      <c r="C5981" s="7" t="s">
        <v>1121</v>
      </c>
      <c r="D5981" s="7" t="n">
        <v>0</v>
      </c>
      <c r="E5981" s="7" t="n">
        <v>0</v>
      </c>
      <c r="F5981" s="7" t="n">
        <v>1</v>
      </c>
      <c r="G5981" s="7" t="n">
        <v>143.98</v>
      </c>
    </row>
    <row r="5982" customFormat="false" ht="15" hidden="false" customHeight="false" outlineLevel="0" collapsed="false">
      <c r="A5982" s="7" t="s">
        <v>24</v>
      </c>
      <c r="B5982" s="7" t="s">
        <v>101</v>
      </c>
      <c r="C5982" s="7" t="s">
        <v>1121</v>
      </c>
      <c r="D5982" s="7" t="n">
        <v>0</v>
      </c>
      <c r="E5982" s="7" t="n">
        <v>0</v>
      </c>
      <c r="F5982" s="7" t="n">
        <v>14</v>
      </c>
      <c r="G5982" s="7" t="n">
        <v>1881.24</v>
      </c>
    </row>
    <row r="5983" customFormat="false" ht="15" hidden="false" customHeight="false" outlineLevel="0" collapsed="false">
      <c r="A5983" s="7" t="s">
        <v>24</v>
      </c>
      <c r="B5983" s="7" t="s">
        <v>101</v>
      </c>
      <c r="C5983" s="7" t="s">
        <v>1121</v>
      </c>
      <c r="D5983" s="7" t="n">
        <v>0</v>
      </c>
      <c r="E5983" s="7" t="n">
        <v>0</v>
      </c>
      <c r="F5983" s="7" t="n">
        <v>7</v>
      </c>
      <c r="G5983" s="7" t="n">
        <v>916.47</v>
      </c>
    </row>
    <row r="5984" customFormat="false" ht="15" hidden="false" customHeight="false" outlineLevel="0" collapsed="false">
      <c r="A5984" s="7" t="s">
        <v>24</v>
      </c>
      <c r="B5984" s="7" t="s">
        <v>101</v>
      </c>
      <c r="C5984" s="7" t="s">
        <v>1121</v>
      </c>
      <c r="D5984" s="7" t="n">
        <v>0</v>
      </c>
      <c r="E5984" s="7" t="n">
        <v>0</v>
      </c>
      <c r="F5984" s="7" t="n">
        <v>2</v>
      </c>
      <c r="G5984" s="7" t="n">
        <v>273.58</v>
      </c>
    </row>
    <row r="5985" customFormat="false" ht="15" hidden="false" customHeight="false" outlineLevel="0" collapsed="false">
      <c r="A5985" s="7" t="s">
        <v>24</v>
      </c>
      <c r="B5985" s="7" t="s">
        <v>101</v>
      </c>
      <c r="C5985" s="7" t="s">
        <v>1121</v>
      </c>
      <c r="D5985" s="7" t="n">
        <v>0</v>
      </c>
      <c r="E5985" s="7" t="n">
        <v>0</v>
      </c>
      <c r="F5985" s="7" t="n">
        <v>76</v>
      </c>
      <c r="G5985" s="7" t="n">
        <v>10133.06</v>
      </c>
    </row>
    <row r="5986" customFormat="false" ht="15" hidden="false" customHeight="false" outlineLevel="0" collapsed="false">
      <c r="A5986" s="7" t="s">
        <v>24</v>
      </c>
      <c r="B5986" s="7" t="s">
        <v>101</v>
      </c>
      <c r="C5986" s="7" t="s">
        <v>1121</v>
      </c>
      <c r="D5986" s="7" t="n">
        <v>0</v>
      </c>
      <c r="E5986" s="7" t="n">
        <v>0</v>
      </c>
      <c r="F5986" s="7" t="n">
        <v>1</v>
      </c>
      <c r="G5986" s="7" t="n">
        <v>143.99</v>
      </c>
    </row>
    <row r="5987" customFormat="false" ht="15" hidden="false" customHeight="false" outlineLevel="0" collapsed="false">
      <c r="A5987" s="7" t="s">
        <v>24</v>
      </c>
      <c r="B5987" s="7" t="s">
        <v>101</v>
      </c>
      <c r="C5987" s="7" t="s">
        <v>1121</v>
      </c>
      <c r="D5987" s="7" t="n">
        <v>0</v>
      </c>
      <c r="E5987" s="7" t="n">
        <v>0</v>
      </c>
      <c r="F5987" s="7" t="n">
        <v>1</v>
      </c>
      <c r="G5987" s="7" t="n">
        <v>122.39</v>
      </c>
    </row>
    <row r="5988" customFormat="false" ht="15" hidden="false" customHeight="false" outlineLevel="0" collapsed="false">
      <c r="A5988" s="7" t="s">
        <v>24</v>
      </c>
      <c r="B5988" s="7" t="s">
        <v>101</v>
      </c>
      <c r="C5988" s="7" t="s">
        <v>1121</v>
      </c>
      <c r="D5988" s="7" t="n">
        <v>0</v>
      </c>
      <c r="E5988" s="7" t="n">
        <v>0</v>
      </c>
      <c r="F5988" s="7" t="n">
        <v>1</v>
      </c>
      <c r="G5988" s="7" t="n">
        <v>115.19</v>
      </c>
    </row>
    <row r="5989" customFormat="false" ht="15" hidden="false" customHeight="false" outlineLevel="0" collapsed="false">
      <c r="A5989" s="7" t="s">
        <v>24</v>
      </c>
      <c r="B5989" s="7" t="s">
        <v>101</v>
      </c>
      <c r="C5989" s="7" t="s">
        <v>1121</v>
      </c>
      <c r="D5989" s="7" t="n">
        <v>0</v>
      </c>
      <c r="E5989" s="7" t="n">
        <v>0</v>
      </c>
      <c r="F5989" s="7" t="n">
        <v>1</v>
      </c>
      <c r="G5989" s="7" t="n">
        <v>143.98</v>
      </c>
    </row>
    <row r="5990" customFormat="false" ht="15" hidden="false" customHeight="false" outlineLevel="0" collapsed="false">
      <c r="A5990" s="7" t="s">
        <v>24</v>
      </c>
      <c r="B5990" s="7" t="s">
        <v>101</v>
      </c>
      <c r="C5990" s="7" t="s">
        <v>1121</v>
      </c>
      <c r="D5990" s="7" t="n">
        <v>0</v>
      </c>
      <c r="E5990" s="7" t="n">
        <v>0</v>
      </c>
      <c r="F5990" s="7" t="n">
        <v>1</v>
      </c>
      <c r="G5990" s="7" t="n">
        <v>122.39</v>
      </c>
    </row>
    <row r="5991" customFormat="false" ht="15" hidden="false" customHeight="false" outlineLevel="0" collapsed="false">
      <c r="A5991" s="7" t="s">
        <v>24</v>
      </c>
      <c r="B5991" s="7" t="s">
        <v>101</v>
      </c>
      <c r="C5991" s="7" t="s">
        <v>1121</v>
      </c>
      <c r="D5991" s="7" t="n">
        <v>0</v>
      </c>
      <c r="E5991" s="7" t="n">
        <v>0</v>
      </c>
      <c r="F5991" s="7" t="n">
        <v>1</v>
      </c>
      <c r="G5991" s="7" t="n">
        <v>129.59</v>
      </c>
    </row>
    <row r="5992" customFormat="false" ht="15" hidden="false" customHeight="false" outlineLevel="0" collapsed="false">
      <c r="A5992" s="7" t="s">
        <v>24</v>
      </c>
      <c r="B5992" s="7" t="s">
        <v>101</v>
      </c>
      <c r="C5992" s="7" t="s">
        <v>1121</v>
      </c>
      <c r="D5992" s="7" t="n">
        <v>0</v>
      </c>
      <c r="E5992" s="7" t="n">
        <v>0</v>
      </c>
      <c r="F5992" s="7" t="n">
        <v>2</v>
      </c>
      <c r="G5992" s="7" t="n">
        <v>259.17</v>
      </c>
    </row>
    <row r="5993" customFormat="false" ht="15" hidden="false" customHeight="false" outlineLevel="0" collapsed="false">
      <c r="A5993" s="7" t="s">
        <v>24</v>
      </c>
      <c r="B5993" s="7" t="s">
        <v>101</v>
      </c>
      <c r="C5993" s="7" t="s">
        <v>1121</v>
      </c>
      <c r="D5993" s="7" t="n">
        <v>0</v>
      </c>
      <c r="E5993" s="7" t="n">
        <v>0</v>
      </c>
      <c r="F5993" s="7" t="n">
        <v>1</v>
      </c>
      <c r="G5993" s="7" t="n">
        <v>143.98</v>
      </c>
    </row>
    <row r="5994" customFormat="false" ht="15" hidden="false" customHeight="false" outlineLevel="0" collapsed="false">
      <c r="A5994" s="7" t="s">
        <v>24</v>
      </c>
      <c r="B5994" s="7" t="s">
        <v>101</v>
      </c>
      <c r="C5994" s="7" t="s">
        <v>1121</v>
      </c>
      <c r="D5994" s="7" t="n">
        <v>0</v>
      </c>
      <c r="E5994" s="7" t="n">
        <v>0</v>
      </c>
      <c r="F5994" s="7" t="n">
        <v>1</v>
      </c>
      <c r="G5994" s="7" t="n">
        <v>115.19</v>
      </c>
    </row>
    <row r="5995" customFormat="false" ht="15" hidden="false" customHeight="false" outlineLevel="0" collapsed="false">
      <c r="A5995" s="7" t="s">
        <v>24</v>
      </c>
      <c r="B5995" s="7" t="s">
        <v>101</v>
      </c>
      <c r="C5995" s="7" t="s">
        <v>1121</v>
      </c>
      <c r="D5995" s="7" t="n">
        <v>0</v>
      </c>
      <c r="E5995" s="7" t="n">
        <v>0</v>
      </c>
      <c r="F5995" s="7" t="n">
        <v>10</v>
      </c>
      <c r="G5995" s="7" t="n">
        <v>1310.3</v>
      </c>
    </row>
    <row r="5996" customFormat="false" ht="15" hidden="false" customHeight="false" outlineLevel="0" collapsed="false">
      <c r="A5996" s="7" t="s">
        <v>24</v>
      </c>
      <c r="B5996" s="7" t="s">
        <v>101</v>
      </c>
      <c r="C5996" s="7" t="s">
        <v>1121</v>
      </c>
      <c r="D5996" s="7" t="n">
        <v>0</v>
      </c>
      <c r="E5996" s="7" t="n">
        <v>0</v>
      </c>
      <c r="F5996" s="7" t="n">
        <v>1</v>
      </c>
      <c r="G5996" s="7" t="n">
        <v>115.19</v>
      </c>
    </row>
    <row r="5997" customFormat="false" ht="15" hidden="false" customHeight="false" outlineLevel="0" collapsed="false">
      <c r="A5997" s="7" t="s">
        <v>24</v>
      </c>
      <c r="B5997" s="7" t="s">
        <v>101</v>
      </c>
      <c r="C5997" s="7" t="s">
        <v>1121</v>
      </c>
      <c r="D5997" s="7" t="n">
        <v>0</v>
      </c>
      <c r="E5997" s="7" t="n">
        <v>0</v>
      </c>
      <c r="F5997" s="7" t="n">
        <v>1</v>
      </c>
      <c r="G5997" s="7" t="n">
        <v>143.99</v>
      </c>
    </row>
    <row r="5998" customFormat="false" ht="15" hidden="false" customHeight="false" outlineLevel="0" collapsed="false">
      <c r="A5998" s="7" t="s">
        <v>24</v>
      </c>
      <c r="B5998" s="7" t="s">
        <v>101</v>
      </c>
      <c r="C5998" s="7" t="s">
        <v>1121</v>
      </c>
      <c r="D5998" s="7" t="n">
        <v>0</v>
      </c>
      <c r="E5998" s="7" t="n">
        <v>0</v>
      </c>
      <c r="F5998" s="7" t="n">
        <v>1</v>
      </c>
      <c r="G5998" s="7" t="n">
        <v>143.98</v>
      </c>
    </row>
    <row r="5999" customFormat="false" ht="15" hidden="false" customHeight="false" outlineLevel="0" collapsed="false">
      <c r="A5999" s="7" t="s">
        <v>24</v>
      </c>
      <c r="B5999" s="7" t="s">
        <v>101</v>
      </c>
      <c r="C5999" s="7" t="s">
        <v>1121</v>
      </c>
      <c r="D5999" s="7" t="n">
        <v>0</v>
      </c>
      <c r="E5999" s="7" t="n">
        <v>0</v>
      </c>
      <c r="F5999" s="7" t="n">
        <v>2</v>
      </c>
      <c r="G5999" s="7" t="n">
        <v>259.18</v>
      </c>
    </row>
    <row r="6000" customFormat="false" ht="15" hidden="false" customHeight="false" outlineLevel="0" collapsed="false">
      <c r="A6000" s="7" t="s">
        <v>24</v>
      </c>
      <c r="B6000" s="7" t="s">
        <v>101</v>
      </c>
      <c r="C6000" s="7" t="s">
        <v>1121</v>
      </c>
      <c r="D6000" s="7" t="n">
        <v>0</v>
      </c>
      <c r="E6000" s="7" t="n">
        <v>0</v>
      </c>
      <c r="F6000" s="7" t="n">
        <v>10</v>
      </c>
      <c r="G6000" s="7" t="n">
        <v>1295.85</v>
      </c>
    </row>
    <row r="6001" customFormat="false" ht="15" hidden="false" customHeight="false" outlineLevel="0" collapsed="false">
      <c r="A6001" s="7" t="s">
        <v>24</v>
      </c>
      <c r="B6001" s="7" t="s">
        <v>101</v>
      </c>
      <c r="C6001" s="7" t="s">
        <v>1121</v>
      </c>
      <c r="D6001" s="7" t="n">
        <v>0</v>
      </c>
      <c r="E6001" s="7" t="n">
        <v>0</v>
      </c>
      <c r="F6001" s="7" t="n">
        <v>1</v>
      </c>
      <c r="G6001" s="7" t="n">
        <v>143.99</v>
      </c>
    </row>
    <row r="6002" customFormat="false" ht="15" hidden="false" customHeight="false" outlineLevel="0" collapsed="false">
      <c r="A6002" s="7" t="s">
        <v>24</v>
      </c>
      <c r="B6002" s="7" t="s">
        <v>101</v>
      </c>
      <c r="C6002" s="7" t="s">
        <v>1121</v>
      </c>
      <c r="D6002" s="7" t="n">
        <v>0</v>
      </c>
      <c r="E6002" s="7" t="n">
        <v>0</v>
      </c>
      <c r="F6002" s="7" t="n">
        <v>1</v>
      </c>
      <c r="G6002" s="7" t="n">
        <v>129.59</v>
      </c>
    </row>
    <row r="6003" customFormat="false" ht="15" hidden="false" customHeight="false" outlineLevel="0" collapsed="false">
      <c r="A6003" s="7" t="s">
        <v>24</v>
      </c>
      <c r="B6003" s="7" t="s">
        <v>101</v>
      </c>
      <c r="C6003" s="7" t="s">
        <v>1121</v>
      </c>
      <c r="D6003" s="7" t="n">
        <v>0</v>
      </c>
      <c r="E6003" s="7" t="n">
        <v>0</v>
      </c>
      <c r="F6003" s="7" t="n">
        <v>1</v>
      </c>
      <c r="G6003" s="7" t="n">
        <v>129.59</v>
      </c>
    </row>
    <row r="6004" customFormat="false" ht="15" hidden="false" customHeight="false" outlineLevel="0" collapsed="false">
      <c r="A6004" s="7" t="s">
        <v>24</v>
      </c>
      <c r="B6004" s="7" t="s">
        <v>101</v>
      </c>
      <c r="C6004" s="7" t="s">
        <v>1121</v>
      </c>
      <c r="D6004" s="7" t="n">
        <v>0</v>
      </c>
      <c r="E6004" s="7" t="n">
        <v>0</v>
      </c>
      <c r="F6004" s="7" t="n">
        <v>1</v>
      </c>
      <c r="G6004" s="7" t="n">
        <v>143.98</v>
      </c>
    </row>
    <row r="6005" customFormat="false" ht="15" hidden="false" customHeight="false" outlineLevel="0" collapsed="false">
      <c r="A6005" s="7" t="s">
        <v>24</v>
      </c>
      <c r="B6005" s="7" t="s">
        <v>101</v>
      </c>
      <c r="C6005" s="7" t="s">
        <v>1121</v>
      </c>
      <c r="D6005" s="7" t="n">
        <v>0</v>
      </c>
      <c r="E6005" s="7" t="n">
        <v>0</v>
      </c>
      <c r="F6005" s="7" t="n">
        <v>1</v>
      </c>
      <c r="G6005" s="7" t="n">
        <v>143.98</v>
      </c>
    </row>
    <row r="6006" customFormat="false" ht="15" hidden="false" customHeight="false" outlineLevel="0" collapsed="false">
      <c r="A6006" s="7" t="s">
        <v>24</v>
      </c>
      <c r="B6006" s="7" t="s">
        <v>101</v>
      </c>
      <c r="C6006" s="7" t="s">
        <v>1121</v>
      </c>
      <c r="D6006" s="7" t="n">
        <v>0</v>
      </c>
      <c r="E6006" s="7" t="n">
        <v>0</v>
      </c>
      <c r="F6006" s="7" t="n">
        <v>2</v>
      </c>
      <c r="G6006" s="7" t="n">
        <v>287.96</v>
      </c>
    </row>
    <row r="6007" customFormat="false" ht="15" hidden="false" customHeight="false" outlineLevel="0" collapsed="false">
      <c r="A6007" s="7" t="s">
        <v>24</v>
      </c>
      <c r="B6007" s="7" t="s">
        <v>101</v>
      </c>
      <c r="C6007" s="7" t="s">
        <v>1121</v>
      </c>
      <c r="D6007" s="7" t="n">
        <v>0</v>
      </c>
      <c r="E6007" s="7" t="n">
        <v>0</v>
      </c>
      <c r="F6007" s="7" t="n">
        <v>2</v>
      </c>
      <c r="G6007" s="7" t="n">
        <v>244.78</v>
      </c>
    </row>
    <row r="6008" customFormat="false" ht="15" hidden="false" customHeight="false" outlineLevel="0" collapsed="false">
      <c r="A6008" s="7" t="s">
        <v>24</v>
      </c>
      <c r="B6008" s="7" t="s">
        <v>101</v>
      </c>
      <c r="C6008" s="7" t="s">
        <v>1121</v>
      </c>
      <c r="D6008" s="7" t="n">
        <v>0</v>
      </c>
      <c r="E6008" s="7" t="n">
        <v>0</v>
      </c>
      <c r="F6008" s="7" t="n">
        <v>1</v>
      </c>
      <c r="G6008" s="7" t="n">
        <v>143.98</v>
      </c>
    </row>
    <row r="6009" customFormat="false" ht="15" hidden="false" customHeight="false" outlineLevel="0" collapsed="false">
      <c r="A6009" s="7" t="s">
        <v>24</v>
      </c>
      <c r="B6009" s="7" t="s">
        <v>101</v>
      </c>
      <c r="C6009" s="7" t="s">
        <v>1121</v>
      </c>
      <c r="D6009" s="7" t="n">
        <v>0</v>
      </c>
      <c r="E6009" s="7" t="n">
        <v>0</v>
      </c>
      <c r="F6009" s="7" t="n">
        <v>3</v>
      </c>
      <c r="G6009" s="7" t="n">
        <v>403.17</v>
      </c>
    </row>
    <row r="6010" customFormat="false" ht="15" hidden="false" customHeight="false" outlineLevel="0" collapsed="false">
      <c r="A6010" s="7" t="s">
        <v>24</v>
      </c>
      <c r="B6010" s="7" t="s">
        <v>101</v>
      </c>
      <c r="C6010" s="7" t="s">
        <v>1121</v>
      </c>
      <c r="D6010" s="7" t="n">
        <v>0</v>
      </c>
      <c r="E6010" s="7" t="n">
        <v>0</v>
      </c>
      <c r="F6010" s="7" t="n">
        <v>2</v>
      </c>
      <c r="G6010" s="7" t="n">
        <v>259.16</v>
      </c>
    </row>
    <row r="6011" customFormat="false" ht="15" hidden="false" customHeight="false" outlineLevel="0" collapsed="false">
      <c r="A6011" s="7" t="s">
        <v>24</v>
      </c>
      <c r="B6011" s="7" t="s">
        <v>101</v>
      </c>
      <c r="C6011" s="7" t="s">
        <v>1121</v>
      </c>
      <c r="D6011" s="7" t="n">
        <v>0</v>
      </c>
      <c r="E6011" s="7" t="n">
        <v>0</v>
      </c>
      <c r="F6011" s="7" t="n">
        <v>2</v>
      </c>
      <c r="G6011" s="7" t="n">
        <v>287.96</v>
      </c>
    </row>
    <row r="6012" customFormat="false" ht="15" hidden="false" customHeight="false" outlineLevel="0" collapsed="false">
      <c r="A6012" s="7" t="s">
        <v>24</v>
      </c>
      <c r="B6012" s="7" t="s">
        <v>101</v>
      </c>
      <c r="C6012" s="7" t="s">
        <v>1121</v>
      </c>
      <c r="D6012" s="7" t="n">
        <v>0</v>
      </c>
      <c r="E6012" s="7" t="n">
        <v>0</v>
      </c>
      <c r="F6012" s="7" t="n">
        <v>10</v>
      </c>
      <c r="G6012" s="7" t="n">
        <v>1353.5</v>
      </c>
    </row>
    <row r="6013" customFormat="false" ht="15" hidden="false" customHeight="false" outlineLevel="0" collapsed="false">
      <c r="A6013" s="7" t="s">
        <v>24</v>
      </c>
      <c r="B6013" s="7" t="s">
        <v>101</v>
      </c>
      <c r="C6013" s="7" t="s">
        <v>1121</v>
      </c>
      <c r="D6013" s="7" t="n">
        <v>0</v>
      </c>
      <c r="E6013" s="7" t="n">
        <v>0</v>
      </c>
      <c r="F6013" s="7" t="n">
        <v>45</v>
      </c>
      <c r="G6013" s="7" t="n">
        <v>5883.79</v>
      </c>
    </row>
    <row r="6014" customFormat="false" ht="15" hidden="false" customHeight="false" outlineLevel="0" collapsed="false">
      <c r="A6014" s="7" t="s">
        <v>24</v>
      </c>
      <c r="B6014" s="7" t="s">
        <v>101</v>
      </c>
      <c r="C6014" s="7" t="s">
        <v>1121</v>
      </c>
      <c r="D6014" s="7" t="n">
        <v>0</v>
      </c>
      <c r="E6014" s="7" t="n">
        <v>0</v>
      </c>
      <c r="F6014" s="7" t="n">
        <v>2</v>
      </c>
      <c r="G6014" s="7" t="n">
        <v>287.98</v>
      </c>
    </row>
    <row r="6015" customFormat="false" ht="15" hidden="false" customHeight="false" outlineLevel="0" collapsed="false">
      <c r="A6015" s="7" t="s">
        <v>24</v>
      </c>
      <c r="B6015" s="7" t="s">
        <v>101</v>
      </c>
      <c r="C6015" s="7" t="s">
        <v>1121</v>
      </c>
      <c r="D6015" s="7" t="n">
        <v>0</v>
      </c>
      <c r="E6015" s="7" t="n">
        <v>0</v>
      </c>
      <c r="F6015" s="7" t="n">
        <v>1</v>
      </c>
      <c r="G6015" s="7" t="n">
        <v>143.98</v>
      </c>
    </row>
    <row r="6016" customFormat="false" ht="15" hidden="false" customHeight="false" outlineLevel="0" collapsed="false">
      <c r="A6016" s="7" t="s">
        <v>24</v>
      </c>
      <c r="B6016" s="7" t="s">
        <v>101</v>
      </c>
      <c r="C6016" s="7" t="s">
        <v>1121</v>
      </c>
      <c r="D6016" s="7" t="n">
        <v>0</v>
      </c>
      <c r="E6016" s="7" t="n">
        <v>0</v>
      </c>
      <c r="F6016" s="7" t="n">
        <v>1</v>
      </c>
      <c r="G6016" s="7" t="n">
        <v>143.98</v>
      </c>
    </row>
    <row r="6017" customFormat="false" ht="15" hidden="false" customHeight="false" outlineLevel="0" collapsed="false">
      <c r="A6017" s="7" t="s">
        <v>24</v>
      </c>
      <c r="B6017" s="7" t="s">
        <v>101</v>
      </c>
      <c r="C6017" s="7" t="s">
        <v>1121</v>
      </c>
      <c r="D6017" s="7" t="n">
        <v>0</v>
      </c>
      <c r="E6017" s="7" t="n">
        <v>0</v>
      </c>
      <c r="F6017" s="7" t="n">
        <v>2</v>
      </c>
      <c r="G6017" s="7" t="n">
        <v>259.17</v>
      </c>
    </row>
    <row r="6018" customFormat="false" ht="15" hidden="false" customHeight="false" outlineLevel="0" collapsed="false">
      <c r="A6018" s="7" t="s">
        <v>24</v>
      </c>
      <c r="B6018" s="7" t="s">
        <v>101</v>
      </c>
      <c r="C6018" s="7" t="s">
        <v>1121</v>
      </c>
      <c r="D6018" s="7" t="n">
        <v>0</v>
      </c>
      <c r="E6018" s="7" t="n">
        <v>0</v>
      </c>
      <c r="F6018" s="7" t="n">
        <v>1</v>
      </c>
      <c r="G6018" s="7" t="n">
        <v>143.99</v>
      </c>
    </row>
    <row r="6019" customFormat="false" ht="15" hidden="false" customHeight="false" outlineLevel="0" collapsed="false">
      <c r="A6019" s="7" t="s">
        <v>24</v>
      </c>
      <c r="B6019" s="7" t="s">
        <v>101</v>
      </c>
      <c r="C6019" s="7" t="s">
        <v>1121</v>
      </c>
      <c r="D6019" s="7" t="n">
        <v>0</v>
      </c>
      <c r="E6019" s="7" t="n">
        <v>0</v>
      </c>
      <c r="F6019" s="7" t="n">
        <v>1</v>
      </c>
      <c r="G6019" s="7" t="n">
        <v>143.99</v>
      </c>
    </row>
    <row r="6020" customFormat="false" ht="15" hidden="false" customHeight="false" outlineLevel="0" collapsed="false">
      <c r="A6020" s="7" t="s">
        <v>24</v>
      </c>
      <c r="B6020" s="7" t="s">
        <v>101</v>
      </c>
      <c r="C6020" s="7" t="s">
        <v>1121</v>
      </c>
      <c r="D6020" s="7" t="n">
        <v>0</v>
      </c>
      <c r="E6020" s="7" t="n">
        <v>0</v>
      </c>
      <c r="F6020" s="7" t="n">
        <v>2</v>
      </c>
      <c r="G6020" s="7" t="n">
        <v>273.58</v>
      </c>
    </row>
    <row r="6021" customFormat="false" ht="15" hidden="false" customHeight="false" outlineLevel="0" collapsed="false">
      <c r="A6021" s="7" t="s">
        <v>24</v>
      </c>
      <c r="B6021" s="7" t="s">
        <v>101</v>
      </c>
      <c r="C6021" s="7" t="s">
        <v>1121</v>
      </c>
      <c r="D6021" s="7" t="n">
        <v>0</v>
      </c>
      <c r="E6021" s="7" t="n">
        <v>0</v>
      </c>
      <c r="F6021" s="7" t="n">
        <v>1</v>
      </c>
      <c r="G6021" s="7" t="n">
        <v>115.19</v>
      </c>
    </row>
    <row r="6022" customFormat="false" ht="15" hidden="false" customHeight="false" outlineLevel="0" collapsed="false">
      <c r="A6022" s="7" t="s">
        <v>24</v>
      </c>
      <c r="B6022" s="7" t="s">
        <v>101</v>
      </c>
      <c r="C6022" s="7" t="s">
        <v>1121</v>
      </c>
      <c r="D6022" s="7" t="n">
        <v>0</v>
      </c>
      <c r="E6022" s="7" t="n">
        <v>0</v>
      </c>
      <c r="F6022" s="7" t="n">
        <v>1</v>
      </c>
      <c r="G6022" s="7" t="n">
        <v>143.98</v>
      </c>
    </row>
    <row r="6023" customFormat="false" ht="15" hidden="false" customHeight="false" outlineLevel="0" collapsed="false">
      <c r="A6023" s="7" t="s">
        <v>24</v>
      </c>
      <c r="B6023" s="7" t="s">
        <v>101</v>
      </c>
      <c r="C6023" s="7" t="s">
        <v>1121</v>
      </c>
      <c r="D6023" s="7" t="n">
        <v>0</v>
      </c>
      <c r="E6023" s="7" t="n">
        <v>0</v>
      </c>
      <c r="F6023" s="7" t="n">
        <v>1</v>
      </c>
      <c r="G6023" s="7" t="n">
        <v>129.58</v>
      </c>
    </row>
    <row r="6024" customFormat="false" ht="15" hidden="false" customHeight="false" outlineLevel="0" collapsed="false">
      <c r="A6024" s="7" t="s">
        <v>24</v>
      </c>
      <c r="B6024" s="7" t="s">
        <v>101</v>
      </c>
      <c r="C6024" s="7" t="s">
        <v>1121</v>
      </c>
      <c r="D6024" s="7" t="n">
        <v>0</v>
      </c>
      <c r="E6024" s="7" t="n">
        <v>0</v>
      </c>
      <c r="F6024" s="7" t="n">
        <v>1</v>
      </c>
      <c r="G6024" s="7" t="n">
        <v>115.19</v>
      </c>
    </row>
    <row r="6025" customFormat="false" ht="15" hidden="false" customHeight="false" outlineLevel="0" collapsed="false">
      <c r="A6025" s="7" t="s">
        <v>24</v>
      </c>
      <c r="B6025" s="7" t="s">
        <v>101</v>
      </c>
      <c r="C6025" s="7" t="s">
        <v>1121</v>
      </c>
      <c r="D6025" s="7" t="n">
        <v>0</v>
      </c>
      <c r="E6025" s="7" t="n">
        <v>0</v>
      </c>
      <c r="F6025" s="7" t="n">
        <v>1</v>
      </c>
      <c r="G6025" s="7" t="n">
        <v>143.98</v>
      </c>
    </row>
    <row r="6026" customFormat="false" ht="15" hidden="false" customHeight="false" outlineLevel="0" collapsed="false">
      <c r="A6026" s="7" t="s">
        <v>24</v>
      </c>
      <c r="B6026" s="7" t="s">
        <v>101</v>
      </c>
      <c r="C6026" s="7" t="s">
        <v>1121</v>
      </c>
      <c r="D6026" s="7" t="n">
        <v>0</v>
      </c>
      <c r="E6026" s="7" t="n">
        <v>0</v>
      </c>
      <c r="F6026" s="7" t="n">
        <v>1</v>
      </c>
      <c r="G6026" s="7" t="n">
        <v>129.59</v>
      </c>
    </row>
    <row r="6027" customFormat="false" ht="15" hidden="false" customHeight="false" outlineLevel="0" collapsed="false">
      <c r="A6027" s="7" t="s">
        <v>24</v>
      </c>
      <c r="B6027" s="7" t="s">
        <v>101</v>
      </c>
      <c r="C6027" s="7" t="s">
        <v>1121</v>
      </c>
      <c r="D6027" s="7" t="n">
        <v>0</v>
      </c>
      <c r="E6027" s="7" t="n">
        <v>0</v>
      </c>
      <c r="F6027" s="7" t="n">
        <v>1</v>
      </c>
      <c r="G6027" s="7" t="n">
        <v>122.39</v>
      </c>
    </row>
    <row r="6028" customFormat="false" ht="15" hidden="false" customHeight="false" outlineLevel="0" collapsed="false">
      <c r="A6028" s="7" t="s">
        <v>24</v>
      </c>
      <c r="B6028" s="7" t="s">
        <v>101</v>
      </c>
      <c r="C6028" s="7" t="s">
        <v>1121</v>
      </c>
      <c r="D6028" s="7" t="n">
        <v>0</v>
      </c>
      <c r="E6028" s="7" t="n">
        <v>0</v>
      </c>
      <c r="F6028" s="7" t="n">
        <v>1</v>
      </c>
      <c r="G6028" s="7" t="n">
        <v>122.39</v>
      </c>
    </row>
    <row r="6029" customFormat="false" ht="15" hidden="false" customHeight="false" outlineLevel="0" collapsed="false">
      <c r="A6029" s="7" t="s">
        <v>24</v>
      </c>
      <c r="B6029" s="7" t="s">
        <v>101</v>
      </c>
      <c r="C6029" s="7" t="s">
        <v>1121</v>
      </c>
      <c r="D6029" s="7" t="n">
        <v>0</v>
      </c>
      <c r="E6029" s="7" t="n">
        <v>0</v>
      </c>
      <c r="F6029" s="7" t="n">
        <v>1</v>
      </c>
      <c r="G6029" s="7" t="n">
        <v>129.59</v>
      </c>
    </row>
    <row r="6030" customFormat="false" ht="15" hidden="false" customHeight="false" outlineLevel="0" collapsed="false">
      <c r="A6030" s="7" t="s">
        <v>24</v>
      </c>
      <c r="B6030" s="7" t="s">
        <v>101</v>
      </c>
      <c r="C6030" s="7" t="s">
        <v>1121</v>
      </c>
      <c r="D6030" s="7" t="n">
        <v>0</v>
      </c>
      <c r="E6030" s="7" t="n">
        <v>0</v>
      </c>
      <c r="F6030" s="7" t="n">
        <v>1</v>
      </c>
      <c r="G6030" s="7" t="n">
        <v>143.99</v>
      </c>
    </row>
    <row r="6031" customFormat="false" ht="15" hidden="false" customHeight="false" outlineLevel="0" collapsed="false">
      <c r="A6031" s="7" t="s">
        <v>24</v>
      </c>
      <c r="B6031" s="7" t="s">
        <v>101</v>
      </c>
      <c r="C6031" s="7" t="s">
        <v>1121</v>
      </c>
      <c r="D6031" s="7" t="n">
        <v>0</v>
      </c>
      <c r="E6031" s="7" t="n">
        <v>0</v>
      </c>
      <c r="F6031" s="7" t="n">
        <v>3</v>
      </c>
      <c r="G6031" s="7" t="n">
        <v>431.97</v>
      </c>
    </row>
    <row r="6032" customFormat="false" ht="15" hidden="false" customHeight="false" outlineLevel="0" collapsed="false">
      <c r="A6032" s="7" t="s">
        <v>24</v>
      </c>
      <c r="B6032" s="7" t="s">
        <v>101</v>
      </c>
      <c r="C6032" s="7" t="s">
        <v>1121</v>
      </c>
      <c r="D6032" s="7" t="n">
        <v>0</v>
      </c>
      <c r="E6032" s="7" t="n">
        <v>0</v>
      </c>
      <c r="F6032" s="7" t="n">
        <v>1</v>
      </c>
      <c r="G6032" s="7" t="n">
        <v>143.99</v>
      </c>
    </row>
    <row r="6033" customFormat="false" ht="15" hidden="false" customHeight="false" outlineLevel="0" collapsed="false">
      <c r="A6033" s="7" t="s">
        <v>24</v>
      </c>
      <c r="B6033" s="7" t="s">
        <v>101</v>
      </c>
      <c r="C6033" s="7" t="s">
        <v>1121</v>
      </c>
      <c r="D6033" s="7" t="n">
        <v>0</v>
      </c>
      <c r="E6033" s="7" t="n">
        <v>0</v>
      </c>
      <c r="F6033" s="7" t="n">
        <v>2</v>
      </c>
      <c r="G6033" s="7" t="n">
        <v>287.98</v>
      </c>
    </row>
    <row r="6034" customFormat="false" ht="15" hidden="false" customHeight="false" outlineLevel="0" collapsed="false">
      <c r="A6034" s="7" t="s">
        <v>24</v>
      </c>
      <c r="B6034" s="7" t="s">
        <v>101</v>
      </c>
      <c r="C6034" s="7" t="s">
        <v>1121</v>
      </c>
      <c r="D6034" s="7" t="n">
        <v>0</v>
      </c>
      <c r="E6034" s="7" t="n">
        <v>0</v>
      </c>
      <c r="F6034" s="7" t="n">
        <v>32</v>
      </c>
      <c r="G6034" s="7" t="n">
        <v>4276.48</v>
      </c>
    </row>
    <row r="6035" customFormat="false" ht="15" hidden="false" customHeight="false" outlineLevel="0" collapsed="false">
      <c r="A6035" s="7" t="s">
        <v>24</v>
      </c>
      <c r="B6035" s="7" t="s">
        <v>101</v>
      </c>
      <c r="C6035" s="7" t="s">
        <v>1121</v>
      </c>
      <c r="D6035" s="7" t="n">
        <v>0</v>
      </c>
      <c r="E6035" s="7" t="n">
        <v>0</v>
      </c>
      <c r="F6035" s="7" t="n">
        <v>4</v>
      </c>
      <c r="G6035" s="7" t="n">
        <v>547.16</v>
      </c>
    </row>
    <row r="6036" customFormat="false" ht="15" hidden="false" customHeight="false" outlineLevel="0" collapsed="false">
      <c r="A6036" s="7" t="s">
        <v>24</v>
      </c>
      <c r="B6036" s="7" t="s">
        <v>101</v>
      </c>
      <c r="C6036" s="7" t="s">
        <v>1121</v>
      </c>
      <c r="D6036" s="7" t="n">
        <v>0</v>
      </c>
      <c r="E6036" s="7" t="n">
        <v>0</v>
      </c>
      <c r="F6036" s="7" t="n">
        <v>5</v>
      </c>
      <c r="G6036" s="7" t="n">
        <v>657.29</v>
      </c>
    </row>
    <row r="6037" customFormat="false" ht="15" hidden="false" customHeight="false" outlineLevel="0" collapsed="false">
      <c r="A6037" s="7" t="s">
        <v>24</v>
      </c>
      <c r="B6037" s="7" t="s">
        <v>101</v>
      </c>
      <c r="C6037" s="7" t="s">
        <v>1121</v>
      </c>
      <c r="D6037" s="7" t="n">
        <v>0</v>
      </c>
      <c r="E6037" s="7" t="n">
        <v>0</v>
      </c>
      <c r="F6037" s="7" t="n">
        <v>4</v>
      </c>
      <c r="G6037" s="7" t="n">
        <v>547.16</v>
      </c>
    </row>
    <row r="6038" customFormat="false" ht="15" hidden="false" customHeight="false" outlineLevel="0" collapsed="false">
      <c r="A6038" s="7" t="s">
        <v>24</v>
      </c>
      <c r="B6038" s="7" t="s">
        <v>101</v>
      </c>
      <c r="C6038" s="7" t="s">
        <v>1121</v>
      </c>
      <c r="D6038" s="7" t="n">
        <v>0</v>
      </c>
      <c r="E6038" s="7" t="n">
        <v>0</v>
      </c>
      <c r="F6038" s="7" t="n">
        <v>6</v>
      </c>
      <c r="G6038" s="7" t="n">
        <v>820.74</v>
      </c>
    </row>
    <row r="6039" customFormat="false" ht="15" hidden="false" customHeight="false" outlineLevel="0" collapsed="false">
      <c r="A6039" s="7" t="s">
        <v>24</v>
      </c>
      <c r="B6039" s="7" t="s">
        <v>101</v>
      </c>
      <c r="C6039" s="7" t="s">
        <v>1121</v>
      </c>
      <c r="D6039" s="7" t="n">
        <v>0</v>
      </c>
      <c r="E6039" s="7" t="n">
        <v>0</v>
      </c>
      <c r="F6039" s="7" t="n">
        <v>7</v>
      </c>
      <c r="G6039" s="7" t="n">
        <v>909.28</v>
      </c>
    </row>
    <row r="6040" customFormat="false" ht="15" hidden="false" customHeight="false" outlineLevel="0" collapsed="false">
      <c r="A6040" s="7" t="s">
        <v>24</v>
      </c>
      <c r="B6040" s="7" t="s">
        <v>101</v>
      </c>
      <c r="C6040" s="7" t="s">
        <v>1121</v>
      </c>
      <c r="D6040" s="7" t="n">
        <v>0</v>
      </c>
      <c r="E6040" s="7" t="n">
        <v>0</v>
      </c>
      <c r="F6040" s="7" t="n">
        <v>10</v>
      </c>
      <c r="G6040" s="7" t="n">
        <v>1367.9</v>
      </c>
    </row>
    <row r="6041" customFormat="false" ht="15" hidden="false" customHeight="false" outlineLevel="0" collapsed="false">
      <c r="A6041" s="7" t="s">
        <v>24</v>
      </c>
      <c r="B6041" s="7" t="s">
        <v>101</v>
      </c>
      <c r="C6041" s="7" t="s">
        <v>1121</v>
      </c>
      <c r="D6041" s="7" t="n">
        <v>0</v>
      </c>
      <c r="E6041" s="7" t="n">
        <v>0</v>
      </c>
      <c r="F6041" s="7" t="n">
        <v>27</v>
      </c>
      <c r="G6041" s="7" t="n">
        <v>3513.33</v>
      </c>
    </row>
    <row r="6042" customFormat="false" ht="15" hidden="false" customHeight="false" outlineLevel="0" collapsed="false">
      <c r="A6042" s="7" t="s">
        <v>24</v>
      </c>
      <c r="B6042" s="7" t="s">
        <v>101</v>
      </c>
      <c r="C6042" s="7" t="s">
        <v>1121</v>
      </c>
      <c r="D6042" s="7" t="n">
        <v>0</v>
      </c>
      <c r="E6042" s="7" t="n">
        <v>0</v>
      </c>
      <c r="F6042" s="7" t="n">
        <v>2</v>
      </c>
      <c r="G6042" s="7" t="n">
        <v>287.96</v>
      </c>
    </row>
    <row r="6043" customFormat="false" ht="15" hidden="false" customHeight="false" outlineLevel="0" collapsed="false">
      <c r="A6043" s="7" t="s">
        <v>24</v>
      </c>
      <c r="B6043" s="7" t="s">
        <v>101</v>
      </c>
      <c r="C6043" s="7" t="s">
        <v>1121</v>
      </c>
      <c r="D6043" s="7" t="n">
        <v>0</v>
      </c>
      <c r="E6043" s="7" t="n">
        <v>0</v>
      </c>
      <c r="F6043" s="7" t="n">
        <v>1</v>
      </c>
      <c r="G6043" s="7" t="n">
        <v>129.59</v>
      </c>
    </row>
    <row r="6044" customFormat="false" ht="15" hidden="false" customHeight="false" outlineLevel="0" collapsed="false">
      <c r="A6044" s="7" t="s">
        <v>24</v>
      </c>
      <c r="B6044" s="7" t="s">
        <v>101</v>
      </c>
      <c r="C6044" s="7" t="s">
        <v>1121</v>
      </c>
      <c r="D6044" s="7" t="n">
        <v>0</v>
      </c>
      <c r="E6044" s="7" t="n">
        <v>0</v>
      </c>
      <c r="F6044" s="7" t="n">
        <v>7</v>
      </c>
      <c r="G6044" s="7" t="n">
        <v>935.87</v>
      </c>
    </row>
    <row r="6045" customFormat="false" ht="15" hidden="false" customHeight="false" outlineLevel="0" collapsed="false">
      <c r="A6045" s="7" t="s">
        <v>24</v>
      </c>
      <c r="B6045" s="7" t="s">
        <v>101</v>
      </c>
      <c r="C6045" s="7" t="s">
        <v>1121</v>
      </c>
      <c r="D6045" s="7" t="n">
        <v>0</v>
      </c>
      <c r="E6045" s="7" t="n">
        <v>0</v>
      </c>
      <c r="F6045" s="7" t="n">
        <v>1</v>
      </c>
      <c r="G6045" s="7" t="n">
        <v>143.98</v>
      </c>
    </row>
    <row r="6046" customFormat="false" ht="15" hidden="false" customHeight="false" outlineLevel="0" collapsed="false">
      <c r="A6046" s="7" t="s">
        <v>24</v>
      </c>
      <c r="B6046" s="7" t="s">
        <v>101</v>
      </c>
      <c r="C6046" s="7" t="s">
        <v>1121</v>
      </c>
      <c r="D6046" s="7" t="n">
        <v>0</v>
      </c>
      <c r="E6046" s="7" t="n">
        <v>0</v>
      </c>
      <c r="F6046" s="7" t="n">
        <v>1</v>
      </c>
      <c r="G6046" s="7" t="n">
        <v>129.59</v>
      </c>
    </row>
    <row r="6047" customFormat="false" ht="15" hidden="false" customHeight="false" outlineLevel="0" collapsed="false">
      <c r="A6047" s="7" t="s">
        <v>24</v>
      </c>
      <c r="B6047" s="7" t="s">
        <v>101</v>
      </c>
      <c r="C6047" s="7" t="s">
        <v>1121</v>
      </c>
      <c r="D6047" s="7" t="n">
        <v>0</v>
      </c>
      <c r="E6047" s="7" t="n">
        <v>0</v>
      </c>
      <c r="F6047" s="7" t="n">
        <v>41</v>
      </c>
      <c r="G6047" s="7" t="n">
        <v>5514.79</v>
      </c>
    </row>
    <row r="6048" customFormat="false" ht="15" hidden="false" customHeight="false" outlineLevel="0" collapsed="false">
      <c r="A6048" s="7" t="s">
        <v>24</v>
      </c>
      <c r="B6048" s="7" t="s">
        <v>101</v>
      </c>
      <c r="C6048" s="7" t="s">
        <v>1121</v>
      </c>
      <c r="D6048" s="7" t="n">
        <v>0</v>
      </c>
      <c r="E6048" s="7" t="n">
        <v>0</v>
      </c>
      <c r="F6048" s="7" t="n">
        <v>2</v>
      </c>
      <c r="G6048" s="7" t="n">
        <v>287.97</v>
      </c>
    </row>
    <row r="6049" customFormat="false" ht="15" hidden="false" customHeight="false" outlineLevel="0" collapsed="false">
      <c r="A6049" s="7" t="s">
        <v>24</v>
      </c>
      <c r="B6049" s="7" t="s">
        <v>101</v>
      </c>
      <c r="C6049" s="7" t="s">
        <v>1121</v>
      </c>
      <c r="D6049" s="7" t="n">
        <v>0</v>
      </c>
      <c r="E6049" s="7" t="n">
        <v>0</v>
      </c>
      <c r="F6049" s="7" t="n">
        <v>1</v>
      </c>
      <c r="G6049" s="7" t="n">
        <v>115.19</v>
      </c>
    </row>
    <row r="6050" customFormat="false" ht="15" hidden="false" customHeight="false" outlineLevel="0" collapsed="false">
      <c r="A6050" s="7" t="s">
        <v>24</v>
      </c>
      <c r="B6050" s="7" t="s">
        <v>101</v>
      </c>
      <c r="C6050" s="7" t="s">
        <v>1121</v>
      </c>
      <c r="D6050" s="7" t="n">
        <v>0</v>
      </c>
      <c r="E6050" s="7" t="n">
        <v>0</v>
      </c>
      <c r="F6050" s="7" t="n">
        <v>1</v>
      </c>
      <c r="G6050" s="7" t="n">
        <v>143.99</v>
      </c>
    </row>
    <row r="6051" customFormat="false" ht="15" hidden="false" customHeight="false" outlineLevel="0" collapsed="false">
      <c r="A6051" s="7" t="s">
        <v>24</v>
      </c>
      <c r="B6051" s="7" t="s">
        <v>101</v>
      </c>
      <c r="C6051" s="7" t="s">
        <v>1121</v>
      </c>
      <c r="D6051" s="7" t="n">
        <v>0</v>
      </c>
      <c r="E6051" s="7" t="n">
        <v>0</v>
      </c>
      <c r="F6051" s="7" t="n">
        <v>1</v>
      </c>
      <c r="G6051" s="7" t="n">
        <v>143.99</v>
      </c>
    </row>
    <row r="6052" customFormat="false" ht="15" hidden="false" customHeight="false" outlineLevel="0" collapsed="false">
      <c r="A6052" s="7" t="s">
        <v>24</v>
      </c>
      <c r="B6052" s="7" t="s">
        <v>101</v>
      </c>
      <c r="C6052" s="7" t="s">
        <v>1121</v>
      </c>
      <c r="D6052" s="7" t="n">
        <v>0</v>
      </c>
      <c r="E6052" s="7" t="n">
        <v>0</v>
      </c>
      <c r="F6052" s="7" t="n">
        <v>1</v>
      </c>
      <c r="G6052" s="7" t="n">
        <v>115.19</v>
      </c>
    </row>
    <row r="6053" customFormat="false" ht="15" hidden="false" customHeight="false" outlineLevel="0" collapsed="false">
      <c r="A6053" s="7" t="s">
        <v>24</v>
      </c>
      <c r="B6053" s="7" t="s">
        <v>101</v>
      </c>
      <c r="C6053" s="7" t="s">
        <v>1121</v>
      </c>
      <c r="D6053" s="7" t="n">
        <v>0</v>
      </c>
      <c r="E6053" s="7" t="n">
        <v>0</v>
      </c>
      <c r="F6053" s="7" t="n">
        <v>6</v>
      </c>
      <c r="G6053" s="7" t="n">
        <v>758.1</v>
      </c>
    </row>
    <row r="6054" customFormat="false" ht="15" hidden="false" customHeight="false" outlineLevel="0" collapsed="false">
      <c r="A6054" s="7" t="s">
        <v>24</v>
      </c>
      <c r="B6054" s="7" t="s">
        <v>101</v>
      </c>
      <c r="C6054" s="7" t="s">
        <v>1121</v>
      </c>
      <c r="D6054" s="7" t="n">
        <v>0</v>
      </c>
      <c r="E6054" s="7" t="n">
        <v>0</v>
      </c>
      <c r="F6054" s="7" t="n">
        <v>2</v>
      </c>
      <c r="G6054" s="7" t="n">
        <v>266.37</v>
      </c>
    </row>
    <row r="6055" customFormat="false" ht="15" hidden="false" customHeight="false" outlineLevel="0" collapsed="false">
      <c r="A6055" s="7" t="s">
        <v>24</v>
      </c>
      <c r="B6055" s="7" t="s">
        <v>101</v>
      </c>
      <c r="C6055" s="7" t="s">
        <v>1121</v>
      </c>
      <c r="D6055" s="7" t="n">
        <v>0</v>
      </c>
      <c r="E6055" s="7" t="n">
        <v>0</v>
      </c>
      <c r="F6055" s="7" t="n">
        <v>2</v>
      </c>
      <c r="G6055" s="7" t="n">
        <v>287.96</v>
      </c>
    </row>
    <row r="6056" customFormat="false" ht="15" hidden="false" customHeight="false" outlineLevel="0" collapsed="false">
      <c r="A6056" s="7" t="s">
        <v>24</v>
      </c>
      <c r="B6056" s="7" t="s">
        <v>101</v>
      </c>
      <c r="C6056" s="7" t="s">
        <v>1121</v>
      </c>
      <c r="D6056" s="7" t="n">
        <v>0</v>
      </c>
      <c r="E6056" s="7" t="n">
        <v>0</v>
      </c>
      <c r="F6056" s="7" t="n">
        <v>1</v>
      </c>
      <c r="G6056" s="7" t="n">
        <v>143.98</v>
      </c>
    </row>
    <row r="6057" customFormat="false" ht="15" hidden="false" customHeight="false" outlineLevel="0" collapsed="false">
      <c r="A6057" s="7" t="s">
        <v>24</v>
      </c>
      <c r="B6057" s="7" t="s">
        <v>101</v>
      </c>
      <c r="C6057" s="7" t="s">
        <v>1121</v>
      </c>
      <c r="D6057" s="7" t="n">
        <v>0</v>
      </c>
      <c r="E6057" s="7" t="n">
        <v>0</v>
      </c>
      <c r="F6057" s="7" t="n">
        <v>1</v>
      </c>
      <c r="G6057" s="7" t="n">
        <v>143.99</v>
      </c>
    </row>
    <row r="6058" customFormat="false" ht="15" hidden="false" customHeight="false" outlineLevel="0" collapsed="false">
      <c r="A6058" s="7" t="s">
        <v>24</v>
      </c>
      <c r="B6058" s="7" t="s">
        <v>101</v>
      </c>
      <c r="C6058" s="7" t="s">
        <v>1121</v>
      </c>
      <c r="D6058" s="7" t="n">
        <v>0</v>
      </c>
      <c r="E6058" s="7" t="n">
        <v>0</v>
      </c>
      <c r="F6058" s="7" t="n">
        <v>2</v>
      </c>
      <c r="G6058" s="7" t="n">
        <v>244.78</v>
      </c>
    </row>
    <row r="6059" customFormat="false" ht="15" hidden="false" customHeight="false" outlineLevel="0" collapsed="false">
      <c r="A6059" s="7" t="s">
        <v>24</v>
      </c>
      <c r="B6059" s="7" t="s">
        <v>101</v>
      </c>
      <c r="C6059" s="7" t="s">
        <v>1121</v>
      </c>
      <c r="D6059" s="7" t="n">
        <v>0</v>
      </c>
      <c r="E6059" s="7" t="n">
        <v>0</v>
      </c>
      <c r="F6059" s="7" t="n">
        <v>1</v>
      </c>
      <c r="G6059" s="7" t="n">
        <v>143.99</v>
      </c>
    </row>
    <row r="6060" customFormat="false" ht="15" hidden="false" customHeight="false" outlineLevel="0" collapsed="false">
      <c r="A6060" s="7" t="s">
        <v>24</v>
      </c>
      <c r="B6060" s="7" t="s">
        <v>101</v>
      </c>
      <c r="C6060" s="7" t="s">
        <v>1121</v>
      </c>
      <c r="D6060" s="7" t="n">
        <v>0</v>
      </c>
      <c r="E6060" s="7" t="n">
        <v>0</v>
      </c>
      <c r="F6060" s="7" t="n">
        <v>1</v>
      </c>
      <c r="G6060" s="7" t="n">
        <v>115.19</v>
      </c>
    </row>
    <row r="6061" customFormat="false" ht="15" hidden="false" customHeight="false" outlineLevel="0" collapsed="false">
      <c r="A6061" s="7" t="s">
        <v>24</v>
      </c>
      <c r="B6061" s="7" t="s">
        <v>101</v>
      </c>
      <c r="C6061" s="7" t="s">
        <v>1121</v>
      </c>
      <c r="D6061" s="7" t="n">
        <v>0</v>
      </c>
      <c r="E6061" s="7" t="n">
        <v>0</v>
      </c>
      <c r="F6061" s="7" t="n">
        <v>15</v>
      </c>
      <c r="G6061" s="7" t="n">
        <v>2058.92</v>
      </c>
    </row>
    <row r="6062" customFormat="false" ht="15" hidden="false" customHeight="false" outlineLevel="0" collapsed="false">
      <c r="A6062" s="7" t="s">
        <v>24</v>
      </c>
      <c r="B6062" s="7" t="s">
        <v>101</v>
      </c>
      <c r="C6062" s="7" t="s">
        <v>1121</v>
      </c>
      <c r="D6062" s="7" t="n">
        <v>0</v>
      </c>
      <c r="E6062" s="7" t="n">
        <v>0</v>
      </c>
      <c r="F6062" s="7" t="n">
        <v>1</v>
      </c>
      <c r="G6062" s="7" t="n">
        <v>129.58</v>
      </c>
    </row>
    <row r="6063" customFormat="false" ht="15" hidden="false" customHeight="false" outlineLevel="0" collapsed="false">
      <c r="A6063" s="7" t="s">
        <v>24</v>
      </c>
      <c r="B6063" s="7" t="s">
        <v>101</v>
      </c>
      <c r="C6063" s="7" t="s">
        <v>1121</v>
      </c>
      <c r="D6063" s="7" t="n">
        <v>0</v>
      </c>
      <c r="E6063" s="7" t="n">
        <v>0</v>
      </c>
      <c r="F6063" s="7" t="n">
        <v>5</v>
      </c>
      <c r="G6063" s="7" t="n">
        <v>705.55</v>
      </c>
    </row>
    <row r="6064" customFormat="false" ht="15" hidden="false" customHeight="false" outlineLevel="0" collapsed="false">
      <c r="A6064" s="7" t="s">
        <v>24</v>
      </c>
      <c r="B6064" s="7" t="s">
        <v>101</v>
      </c>
      <c r="C6064" s="7" t="s">
        <v>1121</v>
      </c>
      <c r="D6064" s="7" t="n">
        <v>0</v>
      </c>
      <c r="E6064" s="7" t="n">
        <v>0</v>
      </c>
      <c r="F6064" s="7" t="n">
        <v>13</v>
      </c>
      <c r="G6064" s="7" t="n">
        <v>1670.15</v>
      </c>
    </row>
    <row r="6065" customFormat="false" ht="15" hidden="false" customHeight="false" outlineLevel="0" collapsed="false">
      <c r="A6065" s="7" t="s">
        <v>24</v>
      </c>
      <c r="B6065" s="7" t="s">
        <v>101</v>
      </c>
      <c r="C6065" s="7" t="s">
        <v>1121</v>
      </c>
      <c r="D6065" s="7" t="n">
        <v>0</v>
      </c>
      <c r="E6065" s="7" t="n">
        <v>0</v>
      </c>
      <c r="F6065" s="7" t="n">
        <v>2</v>
      </c>
      <c r="G6065" s="7" t="n">
        <v>287.98</v>
      </c>
    </row>
    <row r="6066" customFormat="false" ht="15" hidden="false" customHeight="false" outlineLevel="0" collapsed="false">
      <c r="A6066" s="7" t="s">
        <v>24</v>
      </c>
      <c r="B6066" s="7" t="s">
        <v>101</v>
      </c>
      <c r="C6066" s="7" t="s">
        <v>1121</v>
      </c>
      <c r="D6066" s="7" t="n">
        <v>0</v>
      </c>
      <c r="E6066" s="7" t="n">
        <v>0</v>
      </c>
      <c r="F6066" s="7" t="n">
        <v>11</v>
      </c>
      <c r="G6066" s="7" t="n">
        <v>1483.09</v>
      </c>
    </row>
    <row r="6067" customFormat="false" ht="15" hidden="false" customHeight="false" outlineLevel="0" collapsed="false">
      <c r="A6067" s="7" t="s">
        <v>24</v>
      </c>
      <c r="B6067" s="7" t="s">
        <v>101</v>
      </c>
      <c r="C6067" s="7" t="s">
        <v>1121</v>
      </c>
      <c r="D6067" s="7" t="n">
        <v>0</v>
      </c>
      <c r="E6067" s="7" t="n">
        <v>0</v>
      </c>
      <c r="F6067" s="7" t="n">
        <v>1</v>
      </c>
      <c r="G6067" s="7" t="n">
        <v>115.19</v>
      </c>
    </row>
    <row r="6068" customFormat="false" ht="15" hidden="false" customHeight="false" outlineLevel="0" collapsed="false">
      <c r="A6068" s="7" t="s">
        <v>24</v>
      </c>
      <c r="B6068" s="7" t="s">
        <v>101</v>
      </c>
      <c r="C6068" s="7" t="s">
        <v>1121</v>
      </c>
      <c r="D6068" s="7" t="n">
        <v>0</v>
      </c>
      <c r="E6068" s="7" t="n">
        <v>0</v>
      </c>
      <c r="F6068" s="7" t="n">
        <v>6</v>
      </c>
      <c r="G6068" s="7" t="n">
        <v>849.54</v>
      </c>
    </row>
    <row r="6069" customFormat="false" ht="15" hidden="false" customHeight="false" outlineLevel="0" collapsed="false">
      <c r="A6069" s="7" t="s">
        <v>24</v>
      </c>
      <c r="B6069" s="7" t="s">
        <v>101</v>
      </c>
      <c r="C6069" s="7" t="s">
        <v>1121</v>
      </c>
      <c r="D6069" s="7" t="n">
        <v>0</v>
      </c>
      <c r="E6069" s="7" t="n">
        <v>0</v>
      </c>
      <c r="F6069" s="7" t="n">
        <v>1</v>
      </c>
      <c r="G6069" s="7" t="n">
        <v>143.98</v>
      </c>
    </row>
    <row r="6070" customFormat="false" ht="15" hidden="false" customHeight="false" outlineLevel="0" collapsed="false">
      <c r="A6070" s="7" t="s">
        <v>24</v>
      </c>
      <c r="B6070" s="7" t="s">
        <v>101</v>
      </c>
      <c r="C6070" s="7" t="s">
        <v>1121</v>
      </c>
      <c r="D6070" s="7" t="n">
        <v>0</v>
      </c>
      <c r="E6070" s="7" t="n">
        <v>0</v>
      </c>
      <c r="F6070" s="7" t="n">
        <v>1</v>
      </c>
      <c r="G6070" s="7" t="n">
        <v>115.19</v>
      </c>
    </row>
    <row r="6071" customFormat="false" ht="15" hidden="false" customHeight="false" outlineLevel="0" collapsed="false">
      <c r="A6071" s="7" t="s">
        <v>24</v>
      </c>
      <c r="B6071" s="7" t="s">
        <v>101</v>
      </c>
      <c r="C6071" s="7" t="s">
        <v>1121</v>
      </c>
      <c r="D6071" s="7" t="n">
        <v>0</v>
      </c>
      <c r="E6071" s="7" t="n">
        <v>0</v>
      </c>
      <c r="F6071" s="7" t="n">
        <v>1</v>
      </c>
      <c r="G6071" s="7" t="n">
        <v>143.99</v>
      </c>
    </row>
    <row r="6072" customFormat="false" ht="15" hidden="false" customHeight="false" outlineLevel="0" collapsed="false">
      <c r="A6072" s="7" t="s">
        <v>24</v>
      </c>
      <c r="B6072" s="7" t="s">
        <v>101</v>
      </c>
      <c r="C6072" s="7" t="s">
        <v>1121</v>
      </c>
      <c r="D6072" s="7" t="n">
        <v>0</v>
      </c>
      <c r="E6072" s="7" t="n">
        <v>0</v>
      </c>
      <c r="F6072" s="7" t="n">
        <v>2</v>
      </c>
      <c r="G6072" s="7" t="n">
        <v>287.96</v>
      </c>
    </row>
    <row r="6073" customFormat="false" ht="15" hidden="false" customHeight="false" outlineLevel="0" collapsed="false">
      <c r="A6073" s="7" t="s">
        <v>24</v>
      </c>
      <c r="B6073" s="7" t="s">
        <v>101</v>
      </c>
      <c r="C6073" s="7" t="s">
        <v>1121</v>
      </c>
      <c r="D6073" s="7" t="n">
        <v>0</v>
      </c>
      <c r="E6073" s="7" t="n">
        <v>0</v>
      </c>
      <c r="F6073" s="7" t="n">
        <v>1</v>
      </c>
      <c r="G6073" s="7" t="n">
        <v>143.98</v>
      </c>
    </row>
    <row r="6074" customFormat="false" ht="15" hidden="false" customHeight="false" outlineLevel="0" collapsed="false">
      <c r="A6074" s="7" t="s">
        <v>24</v>
      </c>
      <c r="B6074" s="7" t="s">
        <v>101</v>
      </c>
      <c r="C6074" s="7" t="s">
        <v>1121</v>
      </c>
      <c r="D6074" s="7" t="n">
        <v>0</v>
      </c>
      <c r="E6074" s="7" t="n">
        <v>0</v>
      </c>
      <c r="F6074" s="7" t="n">
        <v>1</v>
      </c>
      <c r="G6074" s="7" t="n">
        <v>115.19</v>
      </c>
    </row>
    <row r="6075" customFormat="false" ht="15" hidden="false" customHeight="false" outlineLevel="0" collapsed="false">
      <c r="A6075" s="7" t="s">
        <v>24</v>
      </c>
      <c r="B6075" s="7" t="s">
        <v>101</v>
      </c>
      <c r="C6075" s="7" t="s">
        <v>1121</v>
      </c>
      <c r="D6075" s="7" t="n">
        <v>0</v>
      </c>
      <c r="E6075" s="7" t="n">
        <v>0</v>
      </c>
      <c r="F6075" s="7" t="n">
        <v>1</v>
      </c>
      <c r="G6075" s="7" t="n">
        <v>115.19</v>
      </c>
    </row>
    <row r="6076" customFormat="false" ht="15" hidden="false" customHeight="false" outlineLevel="0" collapsed="false">
      <c r="A6076" s="7" t="s">
        <v>24</v>
      </c>
      <c r="B6076" s="7" t="s">
        <v>101</v>
      </c>
      <c r="C6076" s="7" t="s">
        <v>1121</v>
      </c>
      <c r="D6076" s="7" t="n">
        <v>0</v>
      </c>
      <c r="E6076" s="7" t="n">
        <v>0</v>
      </c>
      <c r="F6076" s="7" t="n">
        <v>3</v>
      </c>
      <c r="G6076" s="7" t="n">
        <v>395.95</v>
      </c>
    </row>
    <row r="6077" customFormat="false" ht="15" hidden="false" customHeight="false" outlineLevel="0" collapsed="false">
      <c r="A6077" s="7" t="s">
        <v>24</v>
      </c>
      <c r="B6077" s="7" t="s">
        <v>101</v>
      </c>
      <c r="C6077" s="7" t="s">
        <v>1121</v>
      </c>
      <c r="D6077" s="7" t="n">
        <v>0</v>
      </c>
      <c r="E6077" s="7" t="n">
        <v>0</v>
      </c>
      <c r="F6077" s="7" t="n">
        <v>2</v>
      </c>
      <c r="G6077" s="7" t="n">
        <v>273.56</v>
      </c>
    </row>
    <row r="6078" customFormat="false" ht="15" hidden="false" customHeight="false" outlineLevel="0" collapsed="false">
      <c r="A6078" s="7" t="s">
        <v>24</v>
      </c>
      <c r="B6078" s="7" t="s">
        <v>101</v>
      </c>
      <c r="C6078" s="7" t="s">
        <v>1121</v>
      </c>
      <c r="D6078" s="7" t="n">
        <v>0</v>
      </c>
      <c r="E6078" s="7" t="n">
        <v>0</v>
      </c>
      <c r="F6078" s="7" t="n">
        <v>1</v>
      </c>
      <c r="G6078" s="7" t="n">
        <v>143.99</v>
      </c>
    </row>
    <row r="6079" customFormat="false" ht="15" hidden="false" customHeight="false" outlineLevel="0" collapsed="false">
      <c r="A6079" s="7" t="s">
        <v>24</v>
      </c>
      <c r="B6079" s="7" t="s">
        <v>101</v>
      </c>
      <c r="C6079" s="7" t="s">
        <v>1121</v>
      </c>
      <c r="D6079" s="7" t="n">
        <v>0</v>
      </c>
      <c r="E6079" s="7" t="n">
        <v>0</v>
      </c>
      <c r="F6079" s="7" t="n">
        <v>32</v>
      </c>
      <c r="G6079" s="7" t="n">
        <v>4262.08</v>
      </c>
    </row>
    <row r="6080" customFormat="false" ht="15" hidden="false" customHeight="false" outlineLevel="0" collapsed="false">
      <c r="A6080" s="7" t="s">
        <v>24</v>
      </c>
      <c r="B6080" s="7" t="s">
        <v>101</v>
      </c>
      <c r="C6080" s="7" t="s">
        <v>1121</v>
      </c>
      <c r="D6080" s="7" t="n">
        <v>0</v>
      </c>
      <c r="E6080" s="7" t="n">
        <v>0</v>
      </c>
      <c r="F6080" s="7" t="n">
        <v>2</v>
      </c>
      <c r="G6080" s="7" t="n">
        <v>287.97</v>
      </c>
    </row>
    <row r="6081" customFormat="false" ht="15" hidden="false" customHeight="false" outlineLevel="0" collapsed="false">
      <c r="A6081" s="7" t="s">
        <v>24</v>
      </c>
      <c r="B6081" s="7" t="s">
        <v>101</v>
      </c>
      <c r="C6081" s="7" t="s">
        <v>1121</v>
      </c>
      <c r="D6081" s="7" t="n">
        <v>0</v>
      </c>
      <c r="E6081" s="7" t="n">
        <v>0</v>
      </c>
      <c r="F6081" s="7" t="n">
        <v>1</v>
      </c>
      <c r="G6081" s="7" t="n">
        <v>143.98</v>
      </c>
    </row>
    <row r="6082" customFormat="false" ht="15" hidden="false" customHeight="false" outlineLevel="0" collapsed="false">
      <c r="A6082" s="7" t="s">
        <v>24</v>
      </c>
      <c r="B6082" s="7" t="s">
        <v>101</v>
      </c>
      <c r="C6082" s="7" t="s">
        <v>1121</v>
      </c>
      <c r="D6082" s="7" t="n">
        <v>0</v>
      </c>
      <c r="E6082" s="7" t="n">
        <v>0</v>
      </c>
      <c r="F6082" s="7" t="n">
        <v>45</v>
      </c>
      <c r="G6082" s="7" t="n">
        <v>5958.64</v>
      </c>
    </row>
    <row r="6083" customFormat="false" ht="15" hidden="false" customHeight="false" outlineLevel="0" collapsed="false">
      <c r="A6083" s="7" t="s">
        <v>24</v>
      </c>
      <c r="B6083" s="7" t="s">
        <v>101</v>
      </c>
      <c r="C6083" s="7" t="s">
        <v>1121</v>
      </c>
      <c r="D6083" s="7" t="n">
        <v>0</v>
      </c>
      <c r="E6083" s="7" t="n">
        <v>0</v>
      </c>
      <c r="F6083" s="7" t="n">
        <v>1</v>
      </c>
      <c r="G6083" s="7" t="n">
        <v>115.19</v>
      </c>
    </row>
    <row r="6084" customFormat="false" ht="15" hidden="false" customHeight="false" outlineLevel="0" collapsed="false">
      <c r="A6084" s="7" t="s">
        <v>24</v>
      </c>
      <c r="B6084" s="7" t="s">
        <v>101</v>
      </c>
      <c r="C6084" s="7" t="s">
        <v>1121</v>
      </c>
      <c r="D6084" s="7" t="n">
        <v>0</v>
      </c>
      <c r="E6084" s="7" t="n">
        <v>0</v>
      </c>
      <c r="F6084" s="7" t="n">
        <v>1</v>
      </c>
      <c r="G6084" s="7" t="n">
        <v>143.98</v>
      </c>
    </row>
    <row r="6085" customFormat="false" ht="15" hidden="false" customHeight="false" outlineLevel="0" collapsed="false">
      <c r="A6085" s="7" t="s">
        <v>24</v>
      </c>
      <c r="B6085" s="7" t="s">
        <v>101</v>
      </c>
      <c r="C6085" s="7" t="s">
        <v>1121</v>
      </c>
      <c r="D6085" s="7" t="n">
        <v>0</v>
      </c>
      <c r="E6085" s="7" t="n">
        <v>0</v>
      </c>
      <c r="F6085" s="7" t="n">
        <v>2</v>
      </c>
      <c r="G6085" s="7" t="n">
        <v>254.15</v>
      </c>
    </row>
    <row r="6086" customFormat="false" ht="15" hidden="false" customHeight="false" outlineLevel="0" collapsed="false">
      <c r="A6086" s="7" t="s">
        <v>24</v>
      </c>
      <c r="B6086" s="7" t="s">
        <v>101</v>
      </c>
      <c r="C6086" s="7" t="s">
        <v>1121</v>
      </c>
      <c r="D6086" s="7" t="n">
        <v>0</v>
      </c>
      <c r="E6086" s="7" t="n">
        <v>0</v>
      </c>
      <c r="F6086" s="7" t="n">
        <v>3</v>
      </c>
      <c r="G6086" s="7" t="n">
        <v>417.54</v>
      </c>
    </row>
    <row r="6087" customFormat="false" ht="15" hidden="false" customHeight="false" outlineLevel="0" collapsed="false">
      <c r="A6087" s="7" t="s">
        <v>24</v>
      </c>
      <c r="B6087" s="7" t="s">
        <v>101</v>
      </c>
      <c r="C6087" s="7" t="s">
        <v>1121</v>
      </c>
      <c r="D6087" s="7" t="n">
        <v>0</v>
      </c>
      <c r="E6087" s="7" t="n">
        <v>0</v>
      </c>
      <c r="F6087" s="7" t="n">
        <v>1</v>
      </c>
      <c r="G6087" s="7" t="n">
        <v>143.99</v>
      </c>
    </row>
    <row r="6088" customFormat="false" ht="15" hidden="false" customHeight="false" outlineLevel="0" collapsed="false">
      <c r="A6088" s="7" t="s">
        <v>24</v>
      </c>
      <c r="B6088" s="7" t="s">
        <v>101</v>
      </c>
      <c r="C6088" s="7" t="s">
        <v>1121</v>
      </c>
      <c r="D6088" s="7" t="n">
        <v>0</v>
      </c>
      <c r="E6088" s="7" t="n">
        <v>0</v>
      </c>
      <c r="F6088" s="7" t="n">
        <v>1</v>
      </c>
      <c r="G6088" s="7" t="n">
        <v>143.98</v>
      </c>
    </row>
    <row r="6089" customFormat="false" ht="15" hidden="false" customHeight="false" outlineLevel="0" collapsed="false">
      <c r="A6089" s="7" t="s">
        <v>24</v>
      </c>
      <c r="B6089" s="7" t="s">
        <v>101</v>
      </c>
      <c r="C6089" s="7" t="s">
        <v>1121</v>
      </c>
      <c r="D6089" s="7" t="n">
        <v>0</v>
      </c>
      <c r="E6089" s="7" t="n">
        <v>0</v>
      </c>
      <c r="F6089" s="7" t="n">
        <v>1</v>
      </c>
      <c r="G6089" s="7" t="n">
        <v>129.59</v>
      </c>
    </row>
    <row r="6090" customFormat="false" ht="15" hidden="false" customHeight="false" outlineLevel="0" collapsed="false">
      <c r="A6090" s="7" t="s">
        <v>24</v>
      </c>
      <c r="B6090" s="7" t="s">
        <v>101</v>
      </c>
      <c r="C6090" s="7" t="s">
        <v>1121</v>
      </c>
      <c r="D6090" s="7" t="n">
        <v>0</v>
      </c>
      <c r="E6090" s="7" t="n">
        <v>0</v>
      </c>
      <c r="F6090" s="7" t="n">
        <v>9</v>
      </c>
      <c r="G6090" s="7" t="n">
        <v>1238.31</v>
      </c>
    </row>
    <row r="6091" customFormat="false" ht="15" hidden="false" customHeight="false" outlineLevel="0" collapsed="false">
      <c r="A6091" s="7" t="s">
        <v>24</v>
      </c>
      <c r="B6091" s="7" t="s">
        <v>101</v>
      </c>
      <c r="C6091" s="7" t="s">
        <v>1121</v>
      </c>
      <c r="D6091" s="7" t="n">
        <v>0</v>
      </c>
      <c r="E6091" s="7" t="n">
        <v>0</v>
      </c>
      <c r="F6091" s="7" t="n">
        <v>2</v>
      </c>
      <c r="G6091" s="7" t="n">
        <v>287.96</v>
      </c>
    </row>
    <row r="6092" customFormat="false" ht="15" hidden="false" customHeight="false" outlineLevel="0" collapsed="false">
      <c r="A6092" s="7" t="s">
        <v>24</v>
      </c>
      <c r="B6092" s="7" t="s">
        <v>101</v>
      </c>
      <c r="C6092" s="7" t="s">
        <v>1121</v>
      </c>
      <c r="D6092" s="7" t="n">
        <v>0</v>
      </c>
      <c r="E6092" s="7" t="n">
        <v>0</v>
      </c>
      <c r="F6092" s="7" t="n">
        <v>1</v>
      </c>
      <c r="G6092" s="7" t="n">
        <v>129.58</v>
      </c>
    </row>
    <row r="6093" customFormat="false" ht="15" hidden="false" customHeight="false" outlineLevel="0" collapsed="false">
      <c r="A6093" s="7" t="s">
        <v>24</v>
      </c>
      <c r="B6093" s="7" t="s">
        <v>101</v>
      </c>
      <c r="C6093" s="7" t="s">
        <v>1121</v>
      </c>
      <c r="D6093" s="7" t="n">
        <v>0</v>
      </c>
      <c r="E6093" s="7" t="n">
        <v>0</v>
      </c>
      <c r="F6093" s="7" t="n">
        <v>3</v>
      </c>
      <c r="G6093" s="7" t="n">
        <v>374.35</v>
      </c>
    </row>
    <row r="6094" customFormat="false" ht="15" hidden="false" customHeight="false" outlineLevel="0" collapsed="false">
      <c r="A6094" s="7" t="s">
        <v>24</v>
      </c>
      <c r="B6094" s="7" t="s">
        <v>101</v>
      </c>
      <c r="C6094" s="7" t="s">
        <v>1121</v>
      </c>
      <c r="D6094" s="7" t="n">
        <v>0</v>
      </c>
      <c r="E6094" s="7" t="n">
        <v>0</v>
      </c>
      <c r="F6094" s="7" t="n">
        <v>16</v>
      </c>
      <c r="G6094" s="7" t="n">
        <v>2224.49</v>
      </c>
    </row>
    <row r="6095" customFormat="false" ht="15" hidden="false" customHeight="false" outlineLevel="0" collapsed="false">
      <c r="A6095" s="7" t="s">
        <v>24</v>
      </c>
      <c r="B6095" s="7" t="s">
        <v>101</v>
      </c>
      <c r="C6095" s="7" t="s">
        <v>1121</v>
      </c>
      <c r="D6095" s="7" t="n">
        <v>0</v>
      </c>
      <c r="E6095" s="7" t="n">
        <v>0</v>
      </c>
      <c r="F6095" s="7" t="n">
        <v>2</v>
      </c>
      <c r="G6095" s="7" t="n">
        <v>287.96</v>
      </c>
    </row>
    <row r="6096" customFormat="false" ht="15" hidden="false" customHeight="false" outlineLevel="0" collapsed="false">
      <c r="A6096" s="7" t="s">
        <v>24</v>
      </c>
      <c r="B6096" s="7" t="s">
        <v>101</v>
      </c>
      <c r="C6096" s="7" t="s">
        <v>1121</v>
      </c>
      <c r="D6096" s="7" t="n">
        <v>0</v>
      </c>
      <c r="E6096" s="7" t="n">
        <v>0</v>
      </c>
      <c r="F6096" s="7" t="n">
        <v>11</v>
      </c>
      <c r="G6096" s="7" t="n">
        <v>1480.58</v>
      </c>
    </row>
    <row r="6097" customFormat="false" ht="15" hidden="false" customHeight="false" outlineLevel="0" collapsed="false">
      <c r="A6097" s="7" t="s">
        <v>24</v>
      </c>
      <c r="B6097" s="7" t="s">
        <v>101</v>
      </c>
      <c r="C6097" s="7" t="s">
        <v>1121</v>
      </c>
      <c r="D6097" s="7" t="n">
        <v>0</v>
      </c>
      <c r="E6097" s="7" t="n">
        <v>0</v>
      </c>
      <c r="F6097" s="7" t="n">
        <v>1</v>
      </c>
      <c r="G6097" s="7" t="n">
        <v>143.98</v>
      </c>
    </row>
    <row r="6098" customFormat="false" ht="15" hidden="false" customHeight="false" outlineLevel="0" collapsed="false">
      <c r="A6098" s="7" t="s">
        <v>24</v>
      </c>
      <c r="B6098" s="7" t="s">
        <v>101</v>
      </c>
      <c r="C6098" s="7" t="s">
        <v>1121</v>
      </c>
      <c r="D6098" s="7" t="n">
        <v>0</v>
      </c>
      <c r="E6098" s="7" t="n">
        <v>0</v>
      </c>
      <c r="F6098" s="7" t="n">
        <v>2041</v>
      </c>
      <c r="G6098" s="7" t="n">
        <v>284392.96</v>
      </c>
    </row>
    <row r="6099" customFormat="false" ht="15" hidden="false" customHeight="false" outlineLevel="0" collapsed="false">
      <c r="A6099" s="7" t="s">
        <v>24</v>
      </c>
      <c r="B6099" s="7" t="s">
        <v>101</v>
      </c>
      <c r="C6099" s="7" t="s">
        <v>1121</v>
      </c>
      <c r="D6099" s="7" t="n">
        <v>0</v>
      </c>
      <c r="E6099" s="7" t="n">
        <v>0</v>
      </c>
      <c r="F6099" s="7" t="n">
        <v>1</v>
      </c>
      <c r="G6099" s="7" t="n">
        <v>143.98</v>
      </c>
    </row>
    <row r="6100" customFormat="false" ht="15" hidden="false" customHeight="false" outlineLevel="0" collapsed="false">
      <c r="A6100" s="7" t="s">
        <v>24</v>
      </c>
      <c r="B6100" s="7" t="s">
        <v>101</v>
      </c>
      <c r="C6100" s="7" t="s">
        <v>1121</v>
      </c>
      <c r="D6100" s="7" t="n">
        <v>0</v>
      </c>
      <c r="E6100" s="7" t="n">
        <v>0</v>
      </c>
      <c r="F6100" s="7" t="n">
        <v>1</v>
      </c>
      <c r="G6100" s="7" t="n">
        <v>143.99</v>
      </c>
    </row>
    <row r="6101" customFormat="false" ht="15" hidden="false" customHeight="false" outlineLevel="0" collapsed="false">
      <c r="A6101" s="7" t="s">
        <v>24</v>
      </c>
      <c r="B6101" s="7" t="s">
        <v>101</v>
      </c>
      <c r="C6101" s="7" t="s">
        <v>1121</v>
      </c>
      <c r="D6101" s="7" t="n">
        <v>0</v>
      </c>
      <c r="E6101" s="7" t="n">
        <v>0</v>
      </c>
      <c r="F6101" s="7" t="n">
        <v>1</v>
      </c>
      <c r="G6101" s="7" t="n">
        <v>122.39</v>
      </c>
    </row>
    <row r="6102" customFormat="false" ht="15" hidden="false" customHeight="false" outlineLevel="0" collapsed="false">
      <c r="A6102" s="7" t="s">
        <v>24</v>
      </c>
      <c r="B6102" s="7" t="s">
        <v>101</v>
      </c>
      <c r="C6102" s="7" t="s">
        <v>1121</v>
      </c>
      <c r="D6102" s="7" t="n">
        <v>0</v>
      </c>
      <c r="E6102" s="7" t="n">
        <v>0</v>
      </c>
      <c r="F6102" s="7" t="n">
        <v>1</v>
      </c>
      <c r="G6102" s="7" t="n">
        <v>115.19</v>
      </c>
    </row>
    <row r="6103" customFormat="false" ht="15" hidden="false" customHeight="false" outlineLevel="0" collapsed="false">
      <c r="A6103" s="7" t="s">
        <v>24</v>
      </c>
      <c r="B6103" s="7" t="s">
        <v>101</v>
      </c>
      <c r="C6103" s="7" t="s">
        <v>1121</v>
      </c>
      <c r="D6103" s="7" t="n">
        <v>0</v>
      </c>
      <c r="E6103" s="7" t="n">
        <v>0</v>
      </c>
      <c r="F6103" s="7" t="n">
        <v>2</v>
      </c>
      <c r="G6103" s="7" t="n">
        <v>259.17</v>
      </c>
    </row>
    <row r="6104" customFormat="false" ht="15" hidden="false" customHeight="false" outlineLevel="0" collapsed="false">
      <c r="A6104" s="7" t="s">
        <v>24</v>
      </c>
      <c r="B6104" s="7" t="s">
        <v>101</v>
      </c>
      <c r="C6104" s="7" t="s">
        <v>1121</v>
      </c>
      <c r="D6104" s="7" t="n">
        <v>0</v>
      </c>
      <c r="E6104" s="7" t="n">
        <v>0</v>
      </c>
      <c r="F6104" s="7" t="n">
        <v>1</v>
      </c>
      <c r="G6104" s="7" t="n">
        <v>115.19</v>
      </c>
    </row>
    <row r="6105" customFormat="false" ht="15" hidden="false" customHeight="false" outlineLevel="0" collapsed="false">
      <c r="A6105" s="7" t="s">
        <v>24</v>
      </c>
      <c r="B6105" s="7" t="s">
        <v>101</v>
      </c>
      <c r="C6105" s="7" t="s">
        <v>1121</v>
      </c>
      <c r="D6105" s="7" t="n">
        <v>0</v>
      </c>
      <c r="E6105" s="7" t="n">
        <v>0</v>
      </c>
      <c r="F6105" s="7" t="n">
        <v>1</v>
      </c>
      <c r="G6105" s="7" t="n">
        <v>143.98</v>
      </c>
    </row>
    <row r="6106" customFormat="false" ht="15" hidden="false" customHeight="false" outlineLevel="0" collapsed="false">
      <c r="A6106" s="7" t="s">
        <v>24</v>
      </c>
      <c r="B6106" s="7" t="s">
        <v>101</v>
      </c>
      <c r="C6106" s="7" t="s">
        <v>1121</v>
      </c>
      <c r="D6106" s="7" t="n">
        <v>0</v>
      </c>
      <c r="E6106" s="7" t="n">
        <v>0</v>
      </c>
      <c r="F6106" s="7" t="n">
        <v>1</v>
      </c>
      <c r="G6106" s="7" t="n">
        <v>143.98</v>
      </c>
    </row>
    <row r="6107" customFormat="false" ht="15" hidden="false" customHeight="false" outlineLevel="0" collapsed="false">
      <c r="A6107" s="7" t="s">
        <v>24</v>
      </c>
      <c r="B6107" s="7" t="s">
        <v>101</v>
      </c>
      <c r="C6107" s="7" t="s">
        <v>1121</v>
      </c>
      <c r="D6107" s="7" t="n">
        <v>0</v>
      </c>
      <c r="E6107" s="7" t="n">
        <v>0</v>
      </c>
      <c r="F6107" s="7" t="n">
        <v>6</v>
      </c>
      <c r="G6107" s="7" t="n">
        <v>748.7</v>
      </c>
    </row>
    <row r="6108" customFormat="false" ht="15" hidden="false" customHeight="false" outlineLevel="0" collapsed="false">
      <c r="A6108" s="7" t="s">
        <v>24</v>
      </c>
      <c r="B6108" s="7" t="s">
        <v>101</v>
      </c>
      <c r="C6108" s="7" t="s">
        <v>1121</v>
      </c>
      <c r="D6108" s="7" t="n">
        <v>0</v>
      </c>
      <c r="E6108" s="7" t="n">
        <v>0</v>
      </c>
      <c r="F6108" s="7" t="n">
        <v>1</v>
      </c>
      <c r="G6108" s="7" t="n">
        <v>143.99</v>
      </c>
    </row>
    <row r="6109" customFormat="false" ht="15" hidden="false" customHeight="false" outlineLevel="0" collapsed="false">
      <c r="A6109" s="7" t="s">
        <v>24</v>
      </c>
      <c r="B6109" s="7" t="s">
        <v>101</v>
      </c>
      <c r="C6109" s="7" t="s">
        <v>1121</v>
      </c>
      <c r="D6109" s="7" t="n">
        <v>0</v>
      </c>
      <c r="E6109" s="7" t="n">
        <v>0</v>
      </c>
      <c r="F6109" s="7" t="n">
        <v>16</v>
      </c>
      <c r="G6109" s="7" t="n">
        <v>2181.3</v>
      </c>
    </row>
    <row r="6110" customFormat="false" ht="15" hidden="false" customHeight="false" outlineLevel="0" collapsed="false">
      <c r="A6110" s="7" t="s">
        <v>24</v>
      </c>
      <c r="B6110" s="7" t="s">
        <v>101</v>
      </c>
      <c r="C6110" s="7" t="s">
        <v>1121</v>
      </c>
      <c r="D6110" s="7" t="n">
        <v>0</v>
      </c>
      <c r="E6110" s="7" t="n">
        <v>0</v>
      </c>
      <c r="F6110" s="7" t="n">
        <v>1</v>
      </c>
      <c r="G6110" s="7" t="n">
        <v>129.59</v>
      </c>
    </row>
    <row r="6111" customFormat="false" ht="15" hidden="false" customHeight="false" outlineLevel="0" collapsed="false">
      <c r="A6111" s="7" t="s">
        <v>24</v>
      </c>
      <c r="B6111" s="7" t="s">
        <v>101</v>
      </c>
      <c r="C6111" s="7" t="s">
        <v>1121</v>
      </c>
      <c r="D6111" s="7" t="n">
        <v>0</v>
      </c>
      <c r="E6111" s="7" t="n">
        <v>0</v>
      </c>
      <c r="F6111" s="7" t="n">
        <v>7</v>
      </c>
      <c r="G6111" s="7" t="n">
        <v>935.93</v>
      </c>
    </row>
    <row r="6112" customFormat="false" ht="15" hidden="false" customHeight="false" outlineLevel="0" collapsed="false">
      <c r="A6112" s="7" t="s">
        <v>24</v>
      </c>
      <c r="B6112" s="7" t="s">
        <v>101</v>
      </c>
      <c r="C6112" s="7" t="s">
        <v>1121</v>
      </c>
      <c r="D6112" s="7" t="n">
        <v>0</v>
      </c>
      <c r="E6112" s="7" t="n">
        <v>0</v>
      </c>
      <c r="F6112" s="7" t="n">
        <v>1</v>
      </c>
      <c r="G6112" s="7" t="n">
        <v>143.99</v>
      </c>
    </row>
    <row r="6113" customFormat="false" ht="15" hidden="false" customHeight="false" outlineLevel="0" collapsed="false">
      <c r="A6113" s="7" t="s">
        <v>24</v>
      </c>
      <c r="B6113" s="7" t="s">
        <v>101</v>
      </c>
      <c r="C6113" s="7" t="s">
        <v>1121</v>
      </c>
      <c r="D6113" s="7" t="n">
        <v>0</v>
      </c>
      <c r="E6113" s="7" t="n">
        <v>0</v>
      </c>
      <c r="F6113" s="7" t="n">
        <v>1</v>
      </c>
      <c r="G6113" s="7" t="n">
        <v>115.19</v>
      </c>
    </row>
    <row r="6114" customFormat="false" ht="15" hidden="false" customHeight="false" outlineLevel="0" collapsed="false">
      <c r="A6114" s="7" t="s">
        <v>24</v>
      </c>
      <c r="B6114" s="7" t="s">
        <v>101</v>
      </c>
      <c r="C6114" s="7" t="s">
        <v>1121</v>
      </c>
      <c r="D6114" s="7" t="n">
        <v>0</v>
      </c>
      <c r="E6114" s="7" t="n">
        <v>0</v>
      </c>
      <c r="F6114" s="7" t="n">
        <v>1</v>
      </c>
      <c r="G6114" s="7" t="n">
        <v>143.99</v>
      </c>
    </row>
    <row r="6115" customFormat="false" ht="15" hidden="false" customHeight="false" outlineLevel="0" collapsed="false">
      <c r="A6115" s="7" t="s">
        <v>24</v>
      </c>
      <c r="B6115" s="7" t="s">
        <v>101</v>
      </c>
      <c r="C6115" s="7" t="s">
        <v>1121</v>
      </c>
      <c r="D6115" s="7" t="n">
        <v>0</v>
      </c>
      <c r="E6115" s="7" t="n">
        <v>0</v>
      </c>
      <c r="F6115" s="7" t="n">
        <v>8</v>
      </c>
      <c r="G6115" s="7" t="n">
        <v>1051.12</v>
      </c>
    </row>
    <row r="6116" customFormat="false" ht="15" hidden="false" customHeight="false" outlineLevel="0" collapsed="false">
      <c r="A6116" s="7" t="s">
        <v>24</v>
      </c>
      <c r="B6116" s="7" t="s">
        <v>101</v>
      </c>
      <c r="C6116" s="7" t="s">
        <v>1121</v>
      </c>
      <c r="D6116" s="7" t="n">
        <v>0</v>
      </c>
      <c r="E6116" s="7" t="n">
        <v>0</v>
      </c>
      <c r="F6116" s="7" t="n">
        <v>13</v>
      </c>
      <c r="G6116" s="7" t="n">
        <v>1698.66</v>
      </c>
    </row>
    <row r="6117" customFormat="false" ht="15" hidden="false" customHeight="false" outlineLevel="0" collapsed="false">
      <c r="A6117" s="7" t="s">
        <v>24</v>
      </c>
      <c r="B6117" s="7" t="s">
        <v>101</v>
      </c>
      <c r="C6117" s="7" t="s">
        <v>1121</v>
      </c>
      <c r="D6117" s="7" t="n">
        <v>0</v>
      </c>
      <c r="E6117" s="7" t="n">
        <v>0</v>
      </c>
      <c r="F6117" s="7" t="n">
        <v>1</v>
      </c>
      <c r="G6117" s="7" t="n">
        <v>143.98</v>
      </c>
    </row>
    <row r="6118" customFormat="false" ht="15" hidden="false" customHeight="false" outlineLevel="0" collapsed="false">
      <c r="A6118" s="7" t="s">
        <v>24</v>
      </c>
      <c r="B6118" s="7" t="s">
        <v>101</v>
      </c>
      <c r="C6118" s="7" t="s">
        <v>1121</v>
      </c>
      <c r="D6118" s="7" t="n">
        <v>0</v>
      </c>
      <c r="E6118" s="7" t="n">
        <v>0</v>
      </c>
      <c r="F6118" s="7" t="n">
        <v>2</v>
      </c>
      <c r="G6118" s="7" t="n">
        <v>259.17</v>
      </c>
    </row>
    <row r="6119" customFormat="false" ht="15" hidden="false" customHeight="false" outlineLevel="0" collapsed="false">
      <c r="A6119" s="7" t="s">
        <v>24</v>
      </c>
      <c r="B6119" s="7" t="s">
        <v>101</v>
      </c>
      <c r="C6119" s="7" t="s">
        <v>1121</v>
      </c>
      <c r="D6119" s="7" t="n">
        <v>0</v>
      </c>
      <c r="E6119" s="7" t="n">
        <v>0</v>
      </c>
      <c r="F6119" s="7" t="n">
        <v>1</v>
      </c>
      <c r="G6119" s="7" t="n">
        <v>143.98</v>
      </c>
    </row>
    <row r="6120" customFormat="false" ht="15" hidden="false" customHeight="false" outlineLevel="0" collapsed="false">
      <c r="A6120" s="7" t="s">
        <v>24</v>
      </c>
      <c r="B6120" s="7" t="s">
        <v>101</v>
      </c>
      <c r="C6120" s="7" t="s">
        <v>1121</v>
      </c>
      <c r="D6120" s="7" t="n">
        <v>0</v>
      </c>
      <c r="E6120" s="7" t="n">
        <v>0</v>
      </c>
      <c r="F6120" s="7" t="n">
        <v>1</v>
      </c>
      <c r="G6120" s="7" t="n">
        <v>115.18</v>
      </c>
    </row>
    <row r="6121" customFormat="false" ht="15" hidden="false" customHeight="false" outlineLevel="0" collapsed="false">
      <c r="A6121" s="7" t="s">
        <v>24</v>
      </c>
      <c r="B6121" s="7" t="s">
        <v>101</v>
      </c>
      <c r="C6121" s="7" t="s">
        <v>1121</v>
      </c>
      <c r="D6121" s="7" t="n">
        <v>0</v>
      </c>
      <c r="E6121" s="7" t="n">
        <v>0</v>
      </c>
      <c r="F6121" s="7" t="n">
        <v>2</v>
      </c>
      <c r="G6121" s="7" t="n">
        <v>287.98</v>
      </c>
    </row>
    <row r="6122" customFormat="false" ht="15" hidden="false" customHeight="false" outlineLevel="0" collapsed="false">
      <c r="A6122" s="7" t="s">
        <v>24</v>
      </c>
      <c r="B6122" s="7" t="s">
        <v>101</v>
      </c>
      <c r="C6122" s="7" t="s">
        <v>1121</v>
      </c>
      <c r="D6122" s="7" t="n">
        <v>0</v>
      </c>
      <c r="E6122" s="7" t="n">
        <v>0</v>
      </c>
      <c r="F6122" s="7" t="n">
        <v>1</v>
      </c>
      <c r="G6122" s="7" t="n">
        <v>129.59</v>
      </c>
    </row>
    <row r="6123" customFormat="false" ht="15" hidden="false" customHeight="false" outlineLevel="0" collapsed="false">
      <c r="A6123" s="7" t="s">
        <v>24</v>
      </c>
      <c r="B6123" s="7" t="s">
        <v>101</v>
      </c>
      <c r="C6123" s="7" t="s">
        <v>1121</v>
      </c>
      <c r="D6123" s="7" t="n">
        <v>0</v>
      </c>
      <c r="E6123" s="7" t="n">
        <v>0</v>
      </c>
      <c r="F6123" s="7" t="n">
        <v>6</v>
      </c>
      <c r="G6123" s="7" t="n">
        <v>763.14</v>
      </c>
    </row>
    <row r="6124" customFormat="false" ht="15" hidden="false" customHeight="false" outlineLevel="0" collapsed="false">
      <c r="A6124" s="7" t="s">
        <v>24</v>
      </c>
      <c r="B6124" s="7" t="s">
        <v>101</v>
      </c>
      <c r="C6124" s="7" t="s">
        <v>1121</v>
      </c>
      <c r="D6124" s="7" t="n">
        <v>0</v>
      </c>
      <c r="E6124" s="7" t="n">
        <v>0</v>
      </c>
      <c r="F6124" s="7" t="n">
        <v>1</v>
      </c>
      <c r="G6124" s="7" t="n">
        <v>143.99</v>
      </c>
    </row>
    <row r="6125" customFormat="false" ht="15" hidden="false" customHeight="false" outlineLevel="0" collapsed="false">
      <c r="A6125" s="7" t="s">
        <v>24</v>
      </c>
      <c r="B6125" s="7" t="s">
        <v>101</v>
      </c>
      <c r="C6125" s="7" t="s">
        <v>1121</v>
      </c>
      <c r="D6125" s="7" t="n">
        <v>0</v>
      </c>
      <c r="E6125" s="7" t="n">
        <v>0</v>
      </c>
      <c r="F6125" s="7" t="n">
        <v>6</v>
      </c>
      <c r="G6125" s="7" t="n">
        <v>835.14</v>
      </c>
    </row>
    <row r="6126" customFormat="false" ht="15" hidden="false" customHeight="false" outlineLevel="0" collapsed="false">
      <c r="A6126" s="7" t="s">
        <v>24</v>
      </c>
      <c r="B6126" s="7" t="s">
        <v>101</v>
      </c>
      <c r="C6126" s="7" t="s">
        <v>1121</v>
      </c>
      <c r="D6126" s="7" t="n">
        <v>0</v>
      </c>
      <c r="E6126" s="7" t="n">
        <v>0</v>
      </c>
      <c r="F6126" s="7" t="n">
        <v>3</v>
      </c>
      <c r="G6126" s="7" t="n">
        <v>398.13</v>
      </c>
    </row>
    <row r="6127" customFormat="false" ht="15" hidden="false" customHeight="false" outlineLevel="0" collapsed="false">
      <c r="A6127" s="7" t="s">
        <v>24</v>
      </c>
      <c r="B6127" s="7" t="s">
        <v>101</v>
      </c>
      <c r="C6127" s="7" t="s">
        <v>1121</v>
      </c>
      <c r="D6127" s="7" t="n">
        <v>0</v>
      </c>
      <c r="E6127" s="7" t="n">
        <v>0</v>
      </c>
      <c r="F6127" s="7" t="n">
        <v>1</v>
      </c>
      <c r="G6127" s="7" t="n">
        <v>143.99</v>
      </c>
    </row>
    <row r="6128" customFormat="false" ht="15" hidden="false" customHeight="false" outlineLevel="0" collapsed="false">
      <c r="A6128" s="7" t="s">
        <v>24</v>
      </c>
      <c r="B6128" s="7" t="s">
        <v>101</v>
      </c>
      <c r="C6128" s="7" t="s">
        <v>1121</v>
      </c>
      <c r="D6128" s="7" t="n">
        <v>0</v>
      </c>
      <c r="E6128" s="7" t="n">
        <v>0</v>
      </c>
      <c r="F6128" s="7" t="n">
        <v>1</v>
      </c>
      <c r="G6128" s="7" t="n">
        <v>143.98</v>
      </c>
    </row>
    <row r="6129" customFormat="false" ht="15" hidden="false" customHeight="false" outlineLevel="0" collapsed="false">
      <c r="A6129" s="7" t="s">
        <v>24</v>
      </c>
      <c r="B6129" s="7" t="s">
        <v>101</v>
      </c>
      <c r="C6129" s="7" t="s">
        <v>1121</v>
      </c>
      <c r="D6129" s="7" t="n">
        <v>0</v>
      </c>
      <c r="E6129" s="7" t="n">
        <v>0</v>
      </c>
      <c r="F6129" s="7" t="n">
        <v>1</v>
      </c>
      <c r="G6129" s="7" t="n">
        <v>143.98</v>
      </c>
    </row>
    <row r="6130" customFormat="false" ht="15" hidden="false" customHeight="false" outlineLevel="0" collapsed="false">
      <c r="A6130" s="7" t="s">
        <v>24</v>
      </c>
      <c r="B6130" s="7" t="s">
        <v>101</v>
      </c>
      <c r="C6130" s="7" t="s">
        <v>1121</v>
      </c>
      <c r="D6130" s="7" t="n">
        <v>0</v>
      </c>
      <c r="E6130" s="7" t="n">
        <v>0</v>
      </c>
      <c r="F6130" s="7" t="n">
        <v>1</v>
      </c>
      <c r="G6130" s="7" t="n">
        <v>129.58</v>
      </c>
    </row>
    <row r="6131" customFormat="false" ht="15" hidden="false" customHeight="false" outlineLevel="0" collapsed="false">
      <c r="A6131" s="7" t="s">
        <v>24</v>
      </c>
      <c r="B6131" s="7" t="s">
        <v>101</v>
      </c>
      <c r="C6131" s="7" t="s">
        <v>1121</v>
      </c>
      <c r="D6131" s="7" t="n">
        <v>0</v>
      </c>
      <c r="E6131" s="7" t="n">
        <v>0</v>
      </c>
      <c r="F6131" s="7" t="n">
        <v>1</v>
      </c>
      <c r="G6131" s="7" t="n">
        <v>143.99</v>
      </c>
    </row>
    <row r="6132" customFormat="false" ht="15" hidden="false" customHeight="false" outlineLevel="0" collapsed="false">
      <c r="A6132" s="7" t="s">
        <v>24</v>
      </c>
      <c r="B6132" s="7" t="s">
        <v>101</v>
      </c>
      <c r="C6132" s="7" t="s">
        <v>1121</v>
      </c>
      <c r="D6132" s="7" t="n">
        <v>0</v>
      </c>
      <c r="E6132" s="7" t="n">
        <v>0</v>
      </c>
      <c r="F6132" s="7" t="n">
        <v>1</v>
      </c>
      <c r="G6132" s="7" t="n">
        <v>143.99</v>
      </c>
    </row>
    <row r="6133" customFormat="false" ht="15" hidden="false" customHeight="false" outlineLevel="0" collapsed="false">
      <c r="A6133" s="7" t="s">
        <v>24</v>
      </c>
      <c r="B6133" s="7" t="s">
        <v>101</v>
      </c>
      <c r="C6133" s="7" t="s">
        <v>1121</v>
      </c>
      <c r="D6133" s="7" t="n">
        <v>0</v>
      </c>
      <c r="E6133" s="7" t="n">
        <v>0</v>
      </c>
      <c r="F6133" s="7" t="n">
        <v>1</v>
      </c>
      <c r="G6133" s="7" t="n">
        <v>143.99</v>
      </c>
    </row>
    <row r="6134" customFormat="false" ht="15" hidden="false" customHeight="false" outlineLevel="0" collapsed="false">
      <c r="A6134" s="7" t="s">
        <v>24</v>
      </c>
      <c r="B6134" s="7" t="s">
        <v>101</v>
      </c>
      <c r="C6134" s="7" t="s">
        <v>1121</v>
      </c>
      <c r="D6134" s="7" t="n">
        <v>0</v>
      </c>
      <c r="E6134" s="7" t="n">
        <v>0</v>
      </c>
      <c r="F6134" s="7" t="n">
        <v>1</v>
      </c>
      <c r="G6134" s="7" t="n">
        <v>143.98</v>
      </c>
    </row>
    <row r="6135" customFormat="false" ht="15" hidden="false" customHeight="false" outlineLevel="0" collapsed="false">
      <c r="A6135" s="7" t="s">
        <v>24</v>
      </c>
      <c r="B6135" s="7" t="s">
        <v>101</v>
      </c>
      <c r="C6135" s="7" t="s">
        <v>1121</v>
      </c>
      <c r="D6135" s="7" t="n">
        <v>0</v>
      </c>
      <c r="E6135" s="7" t="n">
        <v>0</v>
      </c>
      <c r="F6135" s="7" t="n">
        <v>1</v>
      </c>
      <c r="G6135" s="7" t="n">
        <v>143.98</v>
      </c>
    </row>
    <row r="6136" customFormat="false" ht="15" hidden="false" customHeight="false" outlineLevel="0" collapsed="false">
      <c r="A6136" s="7" t="s">
        <v>24</v>
      </c>
      <c r="B6136" s="7" t="s">
        <v>101</v>
      </c>
      <c r="C6136" s="7" t="s">
        <v>1121</v>
      </c>
      <c r="D6136" s="7" t="n">
        <v>0</v>
      </c>
      <c r="E6136" s="7" t="n">
        <v>0</v>
      </c>
      <c r="F6136" s="7" t="n">
        <v>3</v>
      </c>
      <c r="G6136" s="7" t="n">
        <v>398.13</v>
      </c>
    </row>
    <row r="6137" customFormat="false" ht="15" hidden="false" customHeight="false" outlineLevel="0" collapsed="false">
      <c r="A6137" s="7" t="s">
        <v>24</v>
      </c>
      <c r="B6137" s="7" t="s">
        <v>101</v>
      </c>
      <c r="C6137" s="7" t="s">
        <v>1121</v>
      </c>
      <c r="D6137" s="7" t="n">
        <v>0</v>
      </c>
      <c r="E6137" s="7" t="n">
        <v>0</v>
      </c>
      <c r="F6137" s="7" t="n">
        <v>1</v>
      </c>
      <c r="G6137" s="7" t="n">
        <v>143.99</v>
      </c>
    </row>
    <row r="6138" customFormat="false" ht="15" hidden="false" customHeight="false" outlineLevel="0" collapsed="false">
      <c r="A6138" s="7" t="s">
        <v>24</v>
      </c>
      <c r="B6138" s="7" t="s">
        <v>101</v>
      </c>
      <c r="C6138" s="7" t="s">
        <v>1121</v>
      </c>
      <c r="D6138" s="7" t="n">
        <v>0</v>
      </c>
      <c r="E6138" s="7" t="n">
        <v>0</v>
      </c>
      <c r="F6138" s="7" t="n">
        <v>3</v>
      </c>
      <c r="G6138" s="7" t="n">
        <v>374.37</v>
      </c>
    </row>
    <row r="6139" customFormat="false" ht="15" hidden="false" customHeight="false" outlineLevel="0" collapsed="false">
      <c r="A6139" s="7" t="s">
        <v>24</v>
      </c>
      <c r="B6139" s="7" t="s">
        <v>101</v>
      </c>
      <c r="C6139" s="7" t="s">
        <v>1121</v>
      </c>
      <c r="D6139" s="7" t="n">
        <v>0</v>
      </c>
      <c r="E6139" s="7" t="n">
        <v>0</v>
      </c>
      <c r="F6139" s="7" t="n">
        <v>2</v>
      </c>
      <c r="G6139" s="7" t="n">
        <v>287.97</v>
      </c>
    </row>
    <row r="6140" customFormat="false" ht="15" hidden="false" customHeight="false" outlineLevel="0" collapsed="false">
      <c r="A6140" s="7" t="s">
        <v>24</v>
      </c>
      <c r="B6140" s="7" t="s">
        <v>101</v>
      </c>
      <c r="C6140" s="7" t="s">
        <v>1121</v>
      </c>
      <c r="D6140" s="7" t="n">
        <v>0</v>
      </c>
      <c r="E6140" s="7" t="n">
        <v>0</v>
      </c>
      <c r="F6140" s="7" t="n">
        <v>1</v>
      </c>
      <c r="G6140" s="7" t="n">
        <v>143.99</v>
      </c>
    </row>
    <row r="6141" customFormat="false" ht="15" hidden="false" customHeight="false" outlineLevel="0" collapsed="false">
      <c r="A6141" s="7" t="s">
        <v>24</v>
      </c>
      <c r="B6141" s="7" t="s">
        <v>101</v>
      </c>
      <c r="C6141" s="7" t="s">
        <v>1121</v>
      </c>
      <c r="D6141" s="7" t="n">
        <v>0</v>
      </c>
      <c r="E6141" s="7" t="n">
        <v>0</v>
      </c>
      <c r="F6141" s="7" t="n">
        <v>8</v>
      </c>
      <c r="G6141" s="7" t="n">
        <v>1108.69</v>
      </c>
    </row>
    <row r="6142" customFormat="false" ht="15" hidden="false" customHeight="false" outlineLevel="0" collapsed="false">
      <c r="A6142" s="7" t="s">
        <v>24</v>
      </c>
      <c r="B6142" s="7" t="s">
        <v>101</v>
      </c>
      <c r="C6142" s="7" t="s">
        <v>1121</v>
      </c>
      <c r="D6142" s="7" t="n">
        <v>0</v>
      </c>
      <c r="E6142" s="7" t="n">
        <v>0</v>
      </c>
      <c r="F6142" s="7" t="n">
        <v>3</v>
      </c>
      <c r="G6142" s="7" t="n">
        <v>381.55</v>
      </c>
    </row>
    <row r="6143" customFormat="false" ht="15" hidden="false" customHeight="false" outlineLevel="0" collapsed="false">
      <c r="A6143" s="7" t="s">
        <v>24</v>
      </c>
      <c r="B6143" s="7" t="s">
        <v>101</v>
      </c>
      <c r="C6143" s="7" t="s">
        <v>1121</v>
      </c>
      <c r="D6143" s="7" t="n">
        <v>0</v>
      </c>
      <c r="E6143" s="7" t="n">
        <v>0</v>
      </c>
      <c r="F6143" s="7" t="n">
        <v>18</v>
      </c>
      <c r="G6143" s="7" t="n">
        <v>2419.02</v>
      </c>
    </row>
    <row r="6144" customFormat="false" ht="15" hidden="false" customHeight="false" outlineLevel="0" collapsed="false">
      <c r="A6144" s="7" t="s">
        <v>24</v>
      </c>
      <c r="B6144" s="7" t="s">
        <v>101</v>
      </c>
      <c r="C6144" s="7" t="s">
        <v>1121</v>
      </c>
      <c r="D6144" s="7" t="n">
        <v>0</v>
      </c>
      <c r="E6144" s="7" t="n">
        <v>0</v>
      </c>
      <c r="F6144" s="7" t="n">
        <v>1</v>
      </c>
      <c r="G6144" s="7" t="n">
        <v>143.98</v>
      </c>
    </row>
    <row r="6145" customFormat="false" ht="15" hidden="false" customHeight="false" outlineLevel="0" collapsed="false">
      <c r="A6145" s="7" t="s">
        <v>24</v>
      </c>
      <c r="B6145" s="7" t="s">
        <v>101</v>
      </c>
      <c r="C6145" s="7" t="s">
        <v>1121</v>
      </c>
      <c r="D6145" s="7" t="n">
        <v>0</v>
      </c>
      <c r="E6145" s="7" t="n">
        <v>0</v>
      </c>
      <c r="F6145" s="7" t="n">
        <v>1</v>
      </c>
      <c r="G6145" s="7" t="n">
        <v>129.59</v>
      </c>
    </row>
    <row r="6146" customFormat="false" ht="15" hidden="false" customHeight="false" outlineLevel="0" collapsed="false">
      <c r="A6146" s="7" t="s">
        <v>24</v>
      </c>
      <c r="B6146" s="7" t="s">
        <v>101</v>
      </c>
      <c r="C6146" s="7" t="s">
        <v>1121</v>
      </c>
      <c r="D6146" s="7" t="n">
        <v>0</v>
      </c>
      <c r="E6146" s="7" t="n">
        <v>0</v>
      </c>
      <c r="F6146" s="7" t="n">
        <v>1</v>
      </c>
      <c r="G6146" s="7" t="n">
        <v>143.98</v>
      </c>
    </row>
    <row r="6147" customFormat="false" ht="15" hidden="false" customHeight="false" outlineLevel="0" collapsed="false">
      <c r="A6147" s="7" t="s">
        <v>24</v>
      </c>
      <c r="B6147" s="7" t="s">
        <v>101</v>
      </c>
      <c r="C6147" s="7" t="s">
        <v>1121</v>
      </c>
      <c r="D6147" s="7" t="n">
        <v>0</v>
      </c>
      <c r="E6147" s="7" t="n">
        <v>0</v>
      </c>
      <c r="F6147" s="7" t="n">
        <v>2</v>
      </c>
      <c r="G6147" s="7" t="n">
        <v>287.98</v>
      </c>
    </row>
    <row r="6148" customFormat="false" ht="15" hidden="false" customHeight="false" outlineLevel="0" collapsed="false">
      <c r="A6148" s="7" t="s">
        <v>24</v>
      </c>
      <c r="B6148" s="7" t="s">
        <v>101</v>
      </c>
      <c r="C6148" s="7" t="s">
        <v>1121</v>
      </c>
      <c r="D6148" s="7" t="n">
        <v>0</v>
      </c>
      <c r="E6148" s="7" t="n">
        <v>0</v>
      </c>
      <c r="F6148" s="7" t="n">
        <v>1</v>
      </c>
      <c r="G6148" s="7" t="n">
        <v>143.98</v>
      </c>
    </row>
    <row r="6149" customFormat="false" ht="15" hidden="false" customHeight="false" outlineLevel="0" collapsed="false">
      <c r="A6149" s="7" t="s">
        <v>24</v>
      </c>
      <c r="B6149" s="7" t="s">
        <v>101</v>
      </c>
      <c r="C6149" s="7" t="s">
        <v>1121</v>
      </c>
      <c r="D6149" s="7" t="n">
        <v>0</v>
      </c>
      <c r="E6149" s="7" t="n">
        <v>0</v>
      </c>
      <c r="F6149" s="7" t="n">
        <v>2</v>
      </c>
      <c r="G6149" s="7" t="n">
        <v>287.98</v>
      </c>
    </row>
    <row r="6150" customFormat="false" ht="15" hidden="false" customHeight="false" outlineLevel="0" collapsed="false">
      <c r="A6150" s="7" t="s">
        <v>24</v>
      </c>
      <c r="B6150" s="7" t="s">
        <v>101</v>
      </c>
      <c r="C6150" s="7" t="s">
        <v>1121</v>
      </c>
      <c r="D6150" s="7" t="n">
        <v>0</v>
      </c>
      <c r="E6150" s="7" t="n">
        <v>0</v>
      </c>
      <c r="F6150" s="7" t="n">
        <v>1</v>
      </c>
      <c r="G6150" s="7" t="n">
        <v>129.59</v>
      </c>
    </row>
    <row r="6151" customFormat="false" ht="15" hidden="false" customHeight="false" outlineLevel="0" collapsed="false">
      <c r="A6151" s="7" t="s">
        <v>24</v>
      </c>
      <c r="B6151" s="7" t="s">
        <v>101</v>
      </c>
      <c r="C6151" s="7" t="s">
        <v>1121</v>
      </c>
      <c r="D6151" s="7" t="n">
        <v>0</v>
      </c>
      <c r="E6151" s="7" t="n">
        <v>0</v>
      </c>
      <c r="F6151" s="7" t="n">
        <v>2</v>
      </c>
      <c r="G6151" s="7" t="n">
        <v>254.15</v>
      </c>
    </row>
    <row r="6152" customFormat="false" ht="15" hidden="false" customHeight="false" outlineLevel="0" collapsed="false">
      <c r="A6152" s="7" t="s">
        <v>24</v>
      </c>
      <c r="B6152" s="7" t="s">
        <v>101</v>
      </c>
      <c r="C6152" s="7" t="s">
        <v>1121</v>
      </c>
      <c r="D6152" s="7" t="n">
        <v>0</v>
      </c>
      <c r="E6152" s="7" t="n">
        <v>0</v>
      </c>
      <c r="F6152" s="7" t="n">
        <v>1</v>
      </c>
      <c r="G6152" s="7" t="n">
        <v>115.19</v>
      </c>
    </row>
    <row r="6153" customFormat="false" ht="15" hidden="false" customHeight="false" outlineLevel="0" collapsed="false">
      <c r="A6153" s="7" t="s">
        <v>24</v>
      </c>
      <c r="B6153" s="7" t="s">
        <v>101</v>
      </c>
      <c r="C6153" s="7" t="s">
        <v>1121</v>
      </c>
      <c r="D6153" s="7" t="n">
        <v>0</v>
      </c>
      <c r="E6153" s="7" t="n">
        <v>0</v>
      </c>
      <c r="F6153" s="7" t="n">
        <v>1</v>
      </c>
      <c r="G6153" s="7" t="n">
        <v>129.58</v>
      </c>
    </row>
    <row r="6154" customFormat="false" ht="15" hidden="false" customHeight="false" outlineLevel="0" collapsed="false">
      <c r="A6154" s="7" t="s">
        <v>24</v>
      </c>
      <c r="B6154" s="7" t="s">
        <v>101</v>
      </c>
      <c r="C6154" s="7" t="s">
        <v>1121</v>
      </c>
      <c r="D6154" s="7" t="n">
        <v>0</v>
      </c>
      <c r="E6154" s="7" t="n">
        <v>0</v>
      </c>
      <c r="F6154" s="7" t="n">
        <v>1</v>
      </c>
      <c r="G6154" s="7" t="n">
        <v>143.99</v>
      </c>
    </row>
    <row r="6155" customFormat="false" ht="15" hidden="false" customHeight="false" outlineLevel="0" collapsed="false">
      <c r="A6155" s="7" t="s">
        <v>24</v>
      </c>
      <c r="B6155" s="7" t="s">
        <v>101</v>
      </c>
      <c r="C6155" s="7" t="s">
        <v>1121</v>
      </c>
      <c r="D6155" s="7" t="n">
        <v>0</v>
      </c>
      <c r="E6155" s="7" t="n">
        <v>0</v>
      </c>
      <c r="F6155" s="7" t="n">
        <v>11</v>
      </c>
      <c r="G6155" s="7" t="n">
        <v>1442</v>
      </c>
    </row>
    <row r="6156" customFormat="false" ht="15" hidden="false" customHeight="false" outlineLevel="0" collapsed="false">
      <c r="A6156" s="7" t="s">
        <v>24</v>
      </c>
      <c r="B6156" s="7" t="s">
        <v>101</v>
      </c>
      <c r="C6156" s="7" t="s">
        <v>1121</v>
      </c>
      <c r="D6156" s="7" t="n">
        <v>0</v>
      </c>
      <c r="E6156" s="7" t="n">
        <v>0</v>
      </c>
      <c r="F6156" s="7" t="n">
        <v>4</v>
      </c>
      <c r="G6156" s="7" t="n">
        <v>539.93</v>
      </c>
    </row>
    <row r="6157" customFormat="false" ht="15" hidden="false" customHeight="false" outlineLevel="0" collapsed="false">
      <c r="A6157" s="7" t="s">
        <v>24</v>
      </c>
      <c r="B6157" s="7" t="s">
        <v>101</v>
      </c>
      <c r="C6157" s="7" t="s">
        <v>1121</v>
      </c>
      <c r="D6157" s="7" t="n">
        <v>0</v>
      </c>
      <c r="E6157" s="7" t="n">
        <v>0</v>
      </c>
      <c r="F6157" s="7" t="n">
        <v>2</v>
      </c>
      <c r="G6157" s="7" t="n">
        <v>287.97</v>
      </c>
    </row>
    <row r="6158" customFormat="false" ht="15" hidden="false" customHeight="false" outlineLevel="0" collapsed="false">
      <c r="A6158" s="7" t="s">
        <v>24</v>
      </c>
      <c r="B6158" s="7" t="s">
        <v>101</v>
      </c>
      <c r="C6158" s="7" t="s">
        <v>1121</v>
      </c>
      <c r="D6158" s="7" t="n">
        <v>0</v>
      </c>
      <c r="E6158" s="7" t="n">
        <v>0</v>
      </c>
      <c r="F6158" s="7" t="n">
        <v>1</v>
      </c>
      <c r="G6158" s="7" t="n">
        <v>129.58</v>
      </c>
    </row>
    <row r="6159" customFormat="false" ht="15" hidden="false" customHeight="false" outlineLevel="0" collapsed="false">
      <c r="A6159" s="7" t="s">
        <v>24</v>
      </c>
      <c r="B6159" s="7" t="s">
        <v>101</v>
      </c>
      <c r="C6159" s="7" t="s">
        <v>1121</v>
      </c>
      <c r="D6159" s="7" t="n">
        <v>0</v>
      </c>
      <c r="E6159" s="7" t="n">
        <v>0</v>
      </c>
      <c r="F6159" s="7" t="n">
        <v>14</v>
      </c>
      <c r="G6159" s="7" t="n">
        <v>1828.66</v>
      </c>
    </row>
    <row r="6160" customFormat="false" ht="15" hidden="false" customHeight="false" outlineLevel="0" collapsed="false">
      <c r="A6160" s="7" t="s">
        <v>24</v>
      </c>
      <c r="B6160" s="7" t="s">
        <v>101</v>
      </c>
      <c r="C6160" s="7" t="s">
        <v>1121</v>
      </c>
      <c r="D6160" s="7" t="n">
        <v>0</v>
      </c>
      <c r="E6160" s="7" t="n">
        <v>0</v>
      </c>
      <c r="F6160" s="7" t="n">
        <v>8</v>
      </c>
      <c r="G6160" s="7" t="n">
        <v>1007.92</v>
      </c>
    </row>
    <row r="6161" customFormat="false" ht="15" hidden="false" customHeight="false" outlineLevel="0" collapsed="false">
      <c r="A6161" s="7" t="s">
        <v>24</v>
      </c>
      <c r="B6161" s="7" t="s">
        <v>101</v>
      </c>
      <c r="C6161" s="7" t="s">
        <v>1121</v>
      </c>
      <c r="D6161" s="7" t="n">
        <v>0</v>
      </c>
      <c r="E6161" s="7" t="n">
        <v>0</v>
      </c>
      <c r="F6161" s="7" t="n">
        <v>1</v>
      </c>
      <c r="G6161" s="7" t="n">
        <v>143.99</v>
      </c>
    </row>
    <row r="6162" customFormat="false" ht="15" hidden="false" customHeight="false" outlineLevel="0" collapsed="false">
      <c r="A6162" s="7" t="s">
        <v>24</v>
      </c>
      <c r="B6162" s="7" t="s">
        <v>101</v>
      </c>
      <c r="C6162" s="7" t="s">
        <v>1121</v>
      </c>
      <c r="D6162" s="7" t="n">
        <v>0</v>
      </c>
      <c r="E6162" s="7" t="n">
        <v>0</v>
      </c>
      <c r="F6162" s="7" t="n">
        <v>1</v>
      </c>
      <c r="G6162" s="7" t="n">
        <v>115.19</v>
      </c>
    </row>
    <row r="6163" customFormat="false" ht="15" hidden="false" customHeight="false" outlineLevel="0" collapsed="false">
      <c r="A6163" s="7" t="s">
        <v>24</v>
      </c>
      <c r="B6163" s="7" t="s">
        <v>101</v>
      </c>
      <c r="C6163" s="7" t="s">
        <v>1121</v>
      </c>
      <c r="D6163" s="7" t="n">
        <v>0</v>
      </c>
      <c r="E6163" s="7" t="n">
        <v>0</v>
      </c>
      <c r="F6163" s="7" t="n">
        <v>1</v>
      </c>
      <c r="G6163" s="7" t="n">
        <v>143.98</v>
      </c>
    </row>
    <row r="6164" customFormat="false" ht="15" hidden="false" customHeight="false" outlineLevel="0" collapsed="false">
      <c r="A6164" s="7" t="s">
        <v>24</v>
      </c>
      <c r="B6164" s="7" t="s">
        <v>101</v>
      </c>
      <c r="C6164" s="7" t="s">
        <v>1121</v>
      </c>
      <c r="D6164" s="7" t="n">
        <v>0</v>
      </c>
      <c r="E6164" s="7" t="n">
        <v>0</v>
      </c>
      <c r="F6164" s="7" t="n">
        <v>2</v>
      </c>
      <c r="G6164" s="7" t="n">
        <v>287.98</v>
      </c>
    </row>
    <row r="6165" customFormat="false" ht="15" hidden="false" customHeight="false" outlineLevel="0" collapsed="false">
      <c r="A6165" s="7" t="s">
        <v>24</v>
      </c>
      <c r="B6165" s="7" t="s">
        <v>101</v>
      </c>
      <c r="C6165" s="7" t="s">
        <v>1121</v>
      </c>
      <c r="D6165" s="7" t="n">
        <v>0</v>
      </c>
      <c r="E6165" s="7" t="n">
        <v>0</v>
      </c>
      <c r="F6165" s="7" t="n">
        <v>2</v>
      </c>
      <c r="G6165" s="7" t="n">
        <v>287.98</v>
      </c>
    </row>
    <row r="6166" customFormat="false" ht="15" hidden="false" customHeight="false" outlineLevel="0" collapsed="false">
      <c r="A6166" s="7" t="s">
        <v>24</v>
      </c>
      <c r="B6166" s="7" t="s">
        <v>101</v>
      </c>
      <c r="C6166" s="7" t="s">
        <v>1121</v>
      </c>
      <c r="D6166" s="7" t="n">
        <v>0</v>
      </c>
      <c r="E6166" s="7" t="n">
        <v>0</v>
      </c>
      <c r="F6166" s="7" t="n">
        <v>1</v>
      </c>
      <c r="G6166" s="7" t="n">
        <v>143.99</v>
      </c>
    </row>
    <row r="6167" customFormat="false" ht="15" hidden="false" customHeight="false" outlineLevel="0" collapsed="false">
      <c r="A6167" s="7" t="s">
        <v>24</v>
      </c>
      <c r="B6167" s="7" t="s">
        <v>101</v>
      </c>
      <c r="C6167" s="7" t="s">
        <v>1121</v>
      </c>
      <c r="D6167" s="7" t="n">
        <v>0</v>
      </c>
      <c r="E6167" s="7" t="n">
        <v>0</v>
      </c>
      <c r="F6167" s="7" t="n">
        <v>4</v>
      </c>
      <c r="G6167" s="7" t="n">
        <v>503.94</v>
      </c>
    </row>
    <row r="6168" customFormat="false" ht="15" hidden="false" customHeight="false" outlineLevel="0" collapsed="false">
      <c r="A6168" s="7" t="s">
        <v>24</v>
      </c>
      <c r="B6168" s="7" t="s">
        <v>101</v>
      </c>
      <c r="C6168" s="7" t="s">
        <v>1121</v>
      </c>
      <c r="D6168" s="7" t="n">
        <v>0</v>
      </c>
      <c r="E6168" s="7" t="n">
        <v>0</v>
      </c>
      <c r="F6168" s="7" t="n">
        <v>10</v>
      </c>
      <c r="G6168" s="7" t="n">
        <v>1267.07</v>
      </c>
    </row>
    <row r="6169" customFormat="false" ht="15" hidden="false" customHeight="false" outlineLevel="0" collapsed="false">
      <c r="A6169" s="7" t="s">
        <v>24</v>
      </c>
      <c r="B6169" s="7" t="s">
        <v>101</v>
      </c>
      <c r="C6169" s="7" t="s">
        <v>1121</v>
      </c>
      <c r="D6169" s="7" t="n">
        <v>0</v>
      </c>
      <c r="E6169" s="7" t="n">
        <v>0</v>
      </c>
      <c r="F6169" s="7" t="n">
        <v>2</v>
      </c>
      <c r="G6169" s="7" t="n">
        <v>259.18</v>
      </c>
    </row>
    <row r="6170" customFormat="false" ht="15" hidden="false" customHeight="false" outlineLevel="0" collapsed="false">
      <c r="A6170" s="7" t="s">
        <v>24</v>
      </c>
      <c r="B6170" s="7" t="s">
        <v>101</v>
      </c>
      <c r="C6170" s="7" t="s">
        <v>1121</v>
      </c>
      <c r="D6170" s="7" t="n">
        <v>0</v>
      </c>
      <c r="E6170" s="7" t="n">
        <v>0</v>
      </c>
      <c r="F6170" s="7" t="n">
        <v>2</v>
      </c>
      <c r="G6170" s="7" t="n">
        <v>259.17</v>
      </c>
    </row>
    <row r="6171" customFormat="false" ht="15" hidden="false" customHeight="false" outlineLevel="0" collapsed="false">
      <c r="A6171" s="7" t="s">
        <v>24</v>
      </c>
      <c r="B6171" s="7" t="s">
        <v>101</v>
      </c>
      <c r="C6171" s="7" t="s">
        <v>1121</v>
      </c>
      <c r="D6171" s="7" t="n">
        <v>0</v>
      </c>
      <c r="E6171" s="7" t="n">
        <v>0</v>
      </c>
      <c r="F6171" s="7" t="n">
        <v>1</v>
      </c>
      <c r="G6171" s="7" t="n">
        <v>129.58</v>
      </c>
    </row>
    <row r="6172" customFormat="false" ht="15" hidden="false" customHeight="false" outlineLevel="0" collapsed="false">
      <c r="A6172" s="7" t="s">
        <v>24</v>
      </c>
      <c r="B6172" s="7" t="s">
        <v>101</v>
      </c>
      <c r="C6172" s="7" t="s">
        <v>1121</v>
      </c>
      <c r="D6172" s="7" t="n">
        <v>0</v>
      </c>
      <c r="E6172" s="7" t="n">
        <v>0</v>
      </c>
      <c r="F6172" s="7" t="n">
        <v>1</v>
      </c>
      <c r="G6172" s="7" t="n">
        <v>129.59</v>
      </c>
    </row>
    <row r="6173" customFormat="false" ht="15" hidden="false" customHeight="false" outlineLevel="0" collapsed="false">
      <c r="A6173" s="7" t="s">
        <v>24</v>
      </c>
      <c r="B6173" s="7" t="s">
        <v>101</v>
      </c>
      <c r="C6173" s="7" t="s">
        <v>1121</v>
      </c>
      <c r="D6173" s="7" t="n">
        <v>0</v>
      </c>
      <c r="E6173" s="7" t="n">
        <v>0</v>
      </c>
      <c r="F6173" s="7" t="n">
        <v>6</v>
      </c>
      <c r="G6173" s="7" t="n">
        <v>767.46</v>
      </c>
    </row>
    <row r="6174" customFormat="false" ht="15" hidden="false" customHeight="false" outlineLevel="0" collapsed="false">
      <c r="A6174" s="7" t="s">
        <v>24</v>
      </c>
      <c r="B6174" s="7" t="s">
        <v>101</v>
      </c>
      <c r="C6174" s="7" t="s">
        <v>1121</v>
      </c>
      <c r="D6174" s="7" t="n">
        <v>0</v>
      </c>
      <c r="E6174" s="7" t="n">
        <v>0</v>
      </c>
      <c r="F6174" s="7" t="n">
        <v>6</v>
      </c>
      <c r="G6174" s="7" t="n">
        <v>779.68</v>
      </c>
    </row>
    <row r="6175" customFormat="false" ht="15" hidden="false" customHeight="false" outlineLevel="0" collapsed="false">
      <c r="A6175" s="7" t="s">
        <v>24</v>
      </c>
      <c r="B6175" s="7" t="s">
        <v>101</v>
      </c>
      <c r="C6175" s="7" t="s">
        <v>1121</v>
      </c>
      <c r="D6175" s="7" t="n">
        <v>0</v>
      </c>
      <c r="E6175" s="7" t="n">
        <v>0</v>
      </c>
      <c r="F6175" s="7" t="n">
        <v>2</v>
      </c>
      <c r="G6175" s="7" t="n">
        <v>287.96</v>
      </c>
    </row>
    <row r="6176" customFormat="false" ht="15" hidden="false" customHeight="false" outlineLevel="0" collapsed="false">
      <c r="A6176" s="7" t="s">
        <v>24</v>
      </c>
      <c r="B6176" s="7" t="s">
        <v>101</v>
      </c>
      <c r="C6176" s="7" t="s">
        <v>1121</v>
      </c>
      <c r="D6176" s="7" t="n">
        <v>0</v>
      </c>
      <c r="E6176" s="7" t="n">
        <v>0</v>
      </c>
      <c r="F6176" s="7" t="n">
        <v>6</v>
      </c>
      <c r="G6176" s="7" t="n">
        <v>806.34</v>
      </c>
    </row>
    <row r="6177" customFormat="false" ht="15" hidden="false" customHeight="false" outlineLevel="0" collapsed="false">
      <c r="A6177" s="7" t="s">
        <v>24</v>
      </c>
      <c r="B6177" s="7" t="s">
        <v>101</v>
      </c>
      <c r="C6177" s="7" t="s">
        <v>1121</v>
      </c>
      <c r="D6177" s="7" t="n">
        <v>0</v>
      </c>
      <c r="E6177" s="7" t="n">
        <v>0</v>
      </c>
      <c r="F6177" s="7" t="n">
        <v>38</v>
      </c>
      <c r="G6177" s="7" t="n">
        <v>5079.64</v>
      </c>
    </row>
    <row r="6178" customFormat="false" ht="15" hidden="false" customHeight="false" outlineLevel="0" collapsed="false">
      <c r="A6178" s="7" t="s">
        <v>24</v>
      </c>
      <c r="B6178" s="7" t="s">
        <v>101</v>
      </c>
      <c r="C6178" s="7" t="s">
        <v>1121</v>
      </c>
      <c r="D6178" s="7" t="n">
        <v>0</v>
      </c>
      <c r="E6178" s="7" t="n">
        <v>0</v>
      </c>
      <c r="F6178" s="7" t="n">
        <v>2</v>
      </c>
      <c r="G6178" s="7" t="n">
        <v>254.15</v>
      </c>
    </row>
    <row r="6179" customFormat="false" ht="15" hidden="false" customHeight="false" outlineLevel="0" collapsed="false">
      <c r="A6179" s="7" t="s">
        <v>24</v>
      </c>
      <c r="B6179" s="7" t="s">
        <v>101</v>
      </c>
      <c r="C6179" s="7" t="s">
        <v>1121</v>
      </c>
      <c r="D6179" s="7" t="n">
        <v>0</v>
      </c>
      <c r="E6179" s="7" t="n">
        <v>0</v>
      </c>
      <c r="F6179" s="7" t="n">
        <v>1</v>
      </c>
      <c r="G6179" s="7" t="n">
        <v>115.19</v>
      </c>
    </row>
    <row r="6180" customFormat="false" ht="15" hidden="false" customHeight="false" outlineLevel="0" collapsed="false">
      <c r="A6180" s="7" t="s">
        <v>24</v>
      </c>
      <c r="B6180" s="7" t="s">
        <v>101</v>
      </c>
      <c r="C6180" s="7" t="s">
        <v>1121</v>
      </c>
      <c r="D6180" s="7" t="n">
        <v>0</v>
      </c>
      <c r="E6180" s="7" t="n">
        <v>0</v>
      </c>
      <c r="F6180" s="7" t="n">
        <v>1</v>
      </c>
      <c r="G6180" s="7" t="n">
        <v>143.99</v>
      </c>
    </row>
    <row r="6181" customFormat="false" ht="15" hidden="false" customHeight="false" outlineLevel="0" collapsed="false">
      <c r="A6181" s="7" t="s">
        <v>24</v>
      </c>
      <c r="B6181" s="7" t="s">
        <v>101</v>
      </c>
      <c r="C6181" s="7" t="s">
        <v>1121</v>
      </c>
      <c r="D6181" s="7" t="n">
        <v>0</v>
      </c>
      <c r="E6181" s="7" t="n">
        <v>0</v>
      </c>
      <c r="F6181" s="7" t="n">
        <v>1</v>
      </c>
      <c r="G6181" s="7" t="n">
        <v>143.99</v>
      </c>
    </row>
    <row r="6182" customFormat="false" ht="15" hidden="false" customHeight="false" outlineLevel="0" collapsed="false">
      <c r="A6182" s="7" t="s">
        <v>24</v>
      </c>
      <c r="B6182" s="7" t="s">
        <v>101</v>
      </c>
      <c r="C6182" s="7" t="s">
        <v>1121</v>
      </c>
      <c r="D6182" s="7" t="n">
        <v>0</v>
      </c>
      <c r="E6182" s="7" t="n">
        <v>0</v>
      </c>
      <c r="F6182" s="7" t="n">
        <v>1</v>
      </c>
      <c r="G6182" s="7" t="n">
        <v>143.99</v>
      </c>
    </row>
    <row r="6183" customFormat="false" ht="15" hidden="false" customHeight="false" outlineLevel="0" collapsed="false">
      <c r="A6183" s="7" t="s">
        <v>24</v>
      </c>
      <c r="B6183" s="7" t="s">
        <v>101</v>
      </c>
      <c r="C6183" s="7" t="s">
        <v>1121</v>
      </c>
      <c r="D6183" s="7" t="n">
        <v>0</v>
      </c>
      <c r="E6183" s="7" t="n">
        <v>0</v>
      </c>
      <c r="F6183" s="7" t="n">
        <v>1</v>
      </c>
      <c r="G6183" s="7" t="n">
        <v>143.99</v>
      </c>
    </row>
    <row r="6184" customFormat="false" ht="15" hidden="false" customHeight="false" outlineLevel="0" collapsed="false">
      <c r="A6184" s="7" t="s">
        <v>24</v>
      </c>
      <c r="B6184" s="7" t="s">
        <v>101</v>
      </c>
      <c r="C6184" s="7" t="s">
        <v>1121</v>
      </c>
      <c r="D6184" s="7" t="n">
        <v>0</v>
      </c>
      <c r="E6184" s="7" t="n">
        <v>0</v>
      </c>
      <c r="F6184" s="7" t="n">
        <v>1</v>
      </c>
      <c r="G6184" s="7" t="n">
        <v>143.98</v>
      </c>
    </row>
    <row r="6185" customFormat="false" ht="15" hidden="false" customHeight="false" outlineLevel="0" collapsed="false">
      <c r="A6185" s="7" t="s">
        <v>24</v>
      </c>
      <c r="B6185" s="7" t="s">
        <v>101</v>
      </c>
      <c r="C6185" s="7" t="s">
        <v>1121</v>
      </c>
      <c r="D6185" s="7" t="n">
        <v>0</v>
      </c>
      <c r="E6185" s="7" t="n">
        <v>0</v>
      </c>
      <c r="F6185" s="7" t="n">
        <v>1</v>
      </c>
      <c r="G6185" s="7" t="n">
        <v>143.99</v>
      </c>
    </row>
    <row r="6186" customFormat="false" ht="15" hidden="false" customHeight="false" outlineLevel="0" collapsed="false">
      <c r="A6186" s="7" t="s">
        <v>24</v>
      </c>
      <c r="B6186" s="7" t="s">
        <v>101</v>
      </c>
      <c r="C6186" s="7" t="s">
        <v>1121</v>
      </c>
      <c r="D6186" s="7" t="n">
        <v>0</v>
      </c>
      <c r="E6186" s="7" t="n">
        <v>0</v>
      </c>
      <c r="F6186" s="7" t="n">
        <v>-1</v>
      </c>
      <c r="G6186" s="7" t="n">
        <v>-127</v>
      </c>
    </row>
    <row r="6187" customFormat="false" ht="15" hidden="false" customHeight="false" outlineLevel="0" collapsed="false">
      <c r="A6187" s="7" t="s">
        <v>24</v>
      </c>
      <c r="B6187" s="7" t="s">
        <v>101</v>
      </c>
      <c r="C6187" s="7" t="s">
        <v>1121</v>
      </c>
      <c r="D6187" s="7" t="n">
        <v>0</v>
      </c>
      <c r="E6187" s="7" t="n">
        <v>0</v>
      </c>
      <c r="F6187" s="7" t="n">
        <v>1</v>
      </c>
      <c r="G6187" s="7" t="n">
        <v>115.19</v>
      </c>
    </row>
    <row r="6188" customFormat="false" ht="15" hidden="false" customHeight="false" outlineLevel="0" collapsed="false">
      <c r="A6188" s="7" t="s">
        <v>24</v>
      </c>
      <c r="B6188" s="7" t="s">
        <v>101</v>
      </c>
      <c r="C6188" s="7" t="s">
        <v>1121</v>
      </c>
      <c r="D6188" s="7" t="n">
        <v>0</v>
      </c>
      <c r="E6188" s="7" t="n">
        <v>0</v>
      </c>
      <c r="F6188" s="7" t="n">
        <v>3</v>
      </c>
      <c r="G6188" s="7" t="n">
        <v>417.54</v>
      </c>
    </row>
    <row r="6189" customFormat="false" ht="15" hidden="false" customHeight="false" outlineLevel="0" collapsed="false">
      <c r="A6189" s="7" t="s">
        <v>24</v>
      </c>
      <c r="B6189" s="7" t="s">
        <v>101</v>
      </c>
      <c r="C6189" s="7" t="s">
        <v>1121</v>
      </c>
      <c r="D6189" s="7" t="n">
        <v>0</v>
      </c>
      <c r="E6189" s="7" t="n">
        <v>0</v>
      </c>
      <c r="F6189" s="7" t="n">
        <v>1</v>
      </c>
      <c r="G6189" s="7" t="n">
        <v>143.98</v>
      </c>
    </row>
    <row r="6190" customFormat="false" ht="15" hidden="false" customHeight="false" outlineLevel="0" collapsed="false">
      <c r="A6190" s="7" t="s">
        <v>24</v>
      </c>
      <c r="B6190" s="7" t="s">
        <v>101</v>
      </c>
      <c r="C6190" s="7" t="s">
        <v>1121</v>
      </c>
      <c r="D6190" s="7" t="n">
        <v>0</v>
      </c>
      <c r="E6190" s="7" t="n">
        <v>0</v>
      </c>
      <c r="F6190" s="7" t="n">
        <v>1</v>
      </c>
      <c r="G6190" s="7" t="n">
        <v>129.59</v>
      </c>
    </row>
    <row r="6191" customFormat="false" ht="15" hidden="false" customHeight="false" outlineLevel="0" collapsed="false">
      <c r="A6191" s="7" t="s">
        <v>24</v>
      </c>
      <c r="B6191" s="7" t="s">
        <v>101</v>
      </c>
      <c r="C6191" s="7" t="s">
        <v>1121</v>
      </c>
      <c r="D6191" s="7" t="n">
        <v>0</v>
      </c>
      <c r="E6191" s="7" t="n">
        <v>0</v>
      </c>
      <c r="F6191" s="7" t="n">
        <v>1</v>
      </c>
      <c r="G6191" s="7" t="n">
        <v>143.98</v>
      </c>
    </row>
    <row r="6192" customFormat="false" ht="15" hidden="false" customHeight="false" outlineLevel="0" collapsed="false">
      <c r="A6192" s="7" t="s">
        <v>24</v>
      </c>
      <c r="B6192" s="7" t="s">
        <v>101</v>
      </c>
      <c r="C6192" s="7" t="s">
        <v>1121</v>
      </c>
      <c r="D6192" s="7" t="n">
        <v>0</v>
      </c>
      <c r="E6192" s="7" t="n">
        <v>0</v>
      </c>
      <c r="F6192" s="7" t="n">
        <v>5</v>
      </c>
      <c r="G6192" s="7" t="n">
        <v>633.55</v>
      </c>
    </row>
    <row r="6193" customFormat="false" ht="15" hidden="false" customHeight="false" outlineLevel="0" collapsed="false">
      <c r="A6193" s="7" t="s">
        <v>24</v>
      </c>
      <c r="B6193" s="7" t="s">
        <v>101</v>
      </c>
      <c r="C6193" s="7" t="s">
        <v>1121</v>
      </c>
      <c r="D6193" s="7" t="n">
        <v>0</v>
      </c>
      <c r="E6193" s="7" t="n">
        <v>0</v>
      </c>
      <c r="F6193" s="7" t="n">
        <v>25</v>
      </c>
      <c r="G6193" s="7" t="n">
        <v>3333.16</v>
      </c>
    </row>
    <row r="6194" customFormat="false" ht="15" hidden="false" customHeight="false" outlineLevel="0" collapsed="false">
      <c r="A6194" s="7" t="s">
        <v>24</v>
      </c>
      <c r="B6194" s="7" t="s">
        <v>101</v>
      </c>
      <c r="C6194" s="7" t="s">
        <v>1121</v>
      </c>
      <c r="D6194" s="7" t="n">
        <v>0</v>
      </c>
      <c r="E6194" s="7" t="n">
        <v>0</v>
      </c>
      <c r="F6194" s="7" t="n">
        <v>11</v>
      </c>
      <c r="G6194" s="7" t="n">
        <v>1511.89</v>
      </c>
    </row>
    <row r="6195" customFormat="false" ht="15" hidden="false" customHeight="false" outlineLevel="0" collapsed="false">
      <c r="A6195" s="7" t="s">
        <v>24</v>
      </c>
      <c r="B6195" s="7" t="s">
        <v>101</v>
      </c>
      <c r="C6195" s="7" t="s">
        <v>1121</v>
      </c>
      <c r="D6195" s="7" t="n">
        <v>0</v>
      </c>
      <c r="E6195" s="7" t="n">
        <v>0</v>
      </c>
      <c r="F6195" s="7" t="n">
        <v>3</v>
      </c>
      <c r="G6195" s="7" t="n">
        <v>431.94</v>
      </c>
    </row>
    <row r="6196" customFormat="false" ht="15" hidden="false" customHeight="false" outlineLevel="0" collapsed="false">
      <c r="A6196" s="7" t="s">
        <v>24</v>
      </c>
      <c r="B6196" s="7" t="s">
        <v>101</v>
      </c>
      <c r="C6196" s="7" t="s">
        <v>1121</v>
      </c>
      <c r="D6196" s="7" t="n">
        <v>0</v>
      </c>
      <c r="E6196" s="7" t="n">
        <v>0</v>
      </c>
      <c r="F6196" s="7" t="n">
        <v>2</v>
      </c>
      <c r="G6196" s="7" t="n">
        <v>259.18</v>
      </c>
    </row>
    <row r="6197" customFormat="false" ht="15" hidden="false" customHeight="false" outlineLevel="0" collapsed="false">
      <c r="A6197" s="7" t="s">
        <v>24</v>
      </c>
      <c r="B6197" s="7" t="s">
        <v>101</v>
      </c>
      <c r="C6197" s="7" t="s">
        <v>1121</v>
      </c>
      <c r="D6197" s="7" t="n">
        <v>0</v>
      </c>
      <c r="E6197" s="7" t="n">
        <v>0</v>
      </c>
      <c r="F6197" s="7" t="n">
        <v>1</v>
      </c>
      <c r="G6197" s="7" t="n">
        <v>129.58</v>
      </c>
    </row>
    <row r="6198" customFormat="false" ht="15" hidden="false" customHeight="false" outlineLevel="0" collapsed="false">
      <c r="A6198" s="7" t="s">
        <v>24</v>
      </c>
      <c r="B6198" s="7" t="s">
        <v>101</v>
      </c>
      <c r="C6198" s="7" t="s">
        <v>1121</v>
      </c>
      <c r="D6198" s="7" t="n">
        <v>0</v>
      </c>
      <c r="E6198" s="7" t="n">
        <v>0</v>
      </c>
      <c r="F6198" s="7" t="n">
        <v>1</v>
      </c>
      <c r="G6198" s="7" t="n">
        <v>129.59</v>
      </c>
    </row>
    <row r="6199" customFormat="false" ht="15" hidden="false" customHeight="false" outlineLevel="0" collapsed="false">
      <c r="A6199" s="7" t="s">
        <v>24</v>
      </c>
      <c r="B6199" s="7" t="s">
        <v>101</v>
      </c>
      <c r="C6199" s="7" t="s">
        <v>1121</v>
      </c>
      <c r="D6199" s="7" t="n">
        <v>0</v>
      </c>
      <c r="E6199" s="7" t="n">
        <v>0</v>
      </c>
      <c r="F6199" s="7" t="n">
        <v>3</v>
      </c>
      <c r="G6199" s="7" t="n">
        <v>352.76</v>
      </c>
    </row>
    <row r="6200" customFormat="false" ht="15" hidden="false" customHeight="false" outlineLevel="0" collapsed="false">
      <c r="A6200" s="7" t="s">
        <v>24</v>
      </c>
      <c r="B6200" s="7" t="s">
        <v>101</v>
      </c>
      <c r="C6200" s="7" t="s">
        <v>1121</v>
      </c>
      <c r="D6200" s="7" t="n">
        <v>0</v>
      </c>
      <c r="E6200" s="7" t="n">
        <v>0</v>
      </c>
      <c r="F6200" s="7" t="n">
        <v>1</v>
      </c>
      <c r="G6200" s="7" t="n">
        <v>129.59</v>
      </c>
    </row>
    <row r="6201" customFormat="false" ht="15" hidden="false" customHeight="false" outlineLevel="0" collapsed="false">
      <c r="A6201" s="7" t="s">
        <v>24</v>
      </c>
      <c r="B6201" s="7" t="s">
        <v>101</v>
      </c>
      <c r="C6201" s="7" t="s">
        <v>1121</v>
      </c>
      <c r="D6201" s="7" t="n">
        <v>0</v>
      </c>
      <c r="E6201" s="7" t="n">
        <v>0</v>
      </c>
      <c r="F6201" s="7" t="n">
        <v>1</v>
      </c>
      <c r="G6201" s="7" t="n">
        <v>129.58</v>
      </c>
    </row>
    <row r="6202" customFormat="false" ht="15" hidden="false" customHeight="false" outlineLevel="0" collapsed="false">
      <c r="A6202" s="7" t="s">
        <v>24</v>
      </c>
      <c r="B6202" s="7" t="s">
        <v>101</v>
      </c>
      <c r="C6202" s="7" t="s">
        <v>1121</v>
      </c>
      <c r="D6202" s="7" t="n">
        <v>0</v>
      </c>
      <c r="E6202" s="7" t="n">
        <v>0</v>
      </c>
      <c r="F6202" s="7" t="n">
        <v>1</v>
      </c>
      <c r="G6202" s="7" t="n">
        <v>143.99</v>
      </c>
    </row>
    <row r="6203" customFormat="false" ht="15" hidden="false" customHeight="false" outlineLevel="0" collapsed="false">
      <c r="A6203" s="7" t="s">
        <v>24</v>
      </c>
      <c r="B6203" s="7" t="s">
        <v>101</v>
      </c>
      <c r="C6203" s="7" t="s">
        <v>1121</v>
      </c>
      <c r="D6203" s="7" t="n">
        <v>0</v>
      </c>
      <c r="E6203" s="7" t="n">
        <v>0</v>
      </c>
      <c r="F6203" s="7" t="n">
        <v>1</v>
      </c>
      <c r="G6203" s="7" t="n">
        <v>143.98</v>
      </c>
    </row>
    <row r="6204" customFormat="false" ht="15" hidden="false" customHeight="false" outlineLevel="0" collapsed="false">
      <c r="A6204" s="7" t="s">
        <v>24</v>
      </c>
      <c r="B6204" s="7" t="s">
        <v>101</v>
      </c>
      <c r="C6204" s="7" t="s">
        <v>1121</v>
      </c>
      <c r="D6204" s="7" t="n">
        <v>0</v>
      </c>
      <c r="E6204" s="7" t="n">
        <v>0</v>
      </c>
      <c r="F6204" s="7" t="n">
        <v>1</v>
      </c>
      <c r="G6204" s="7" t="n">
        <v>143.99</v>
      </c>
    </row>
    <row r="6205" customFormat="false" ht="15" hidden="false" customHeight="false" outlineLevel="0" collapsed="false">
      <c r="A6205" s="7" t="s">
        <v>24</v>
      </c>
      <c r="B6205" s="7" t="s">
        <v>101</v>
      </c>
      <c r="C6205" s="7" t="s">
        <v>1121</v>
      </c>
      <c r="D6205" s="7" t="n">
        <v>0</v>
      </c>
      <c r="E6205" s="7" t="n">
        <v>0</v>
      </c>
      <c r="F6205" s="7" t="n">
        <v>1</v>
      </c>
      <c r="G6205" s="7" t="n">
        <v>143.98</v>
      </c>
    </row>
    <row r="6206" customFormat="false" ht="15" hidden="false" customHeight="false" outlineLevel="0" collapsed="false">
      <c r="A6206" s="7" t="s">
        <v>24</v>
      </c>
      <c r="B6206" s="7" t="s">
        <v>101</v>
      </c>
      <c r="C6206" s="7" t="s">
        <v>1121</v>
      </c>
      <c r="D6206" s="7" t="n">
        <v>-1</v>
      </c>
      <c r="E6206" s="7" t="n">
        <v>-128.7</v>
      </c>
      <c r="F6206" s="7" t="n">
        <v>0</v>
      </c>
      <c r="G6206" s="7" t="n">
        <v>0</v>
      </c>
    </row>
    <row r="6207" customFormat="false" ht="15" hidden="false" customHeight="false" outlineLevel="0" collapsed="false">
      <c r="A6207" s="7" t="s">
        <v>24</v>
      </c>
      <c r="B6207" s="7" t="s">
        <v>101</v>
      </c>
      <c r="C6207" s="7" t="s">
        <v>1121</v>
      </c>
      <c r="D6207" s="7" t="n">
        <v>0</v>
      </c>
      <c r="E6207" s="7" t="n">
        <v>0</v>
      </c>
      <c r="F6207" s="7" t="n">
        <v>12</v>
      </c>
      <c r="G6207" s="7" t="n">
        <v>1627.08</v>
      </c>
    </row>
    <row r="6208" customFormat="false" ht="15" hidden="false" customHeight="false" outlineLevel="0" collapsed="false">
      <c r="A6208" s="7" t="s">
        <v>24</v>
      </c>
      <c r="B6208" s="7" t="s">
        <v>101</v>
      </c>
      <c r="C6208" s="7" t="s">
        <v>1121</v>
      </c>
      <c r="D6208" s="7" t="n">
        <v>0</v>
      </c>
      <c r="E6208" s="7" t="n">
        <v>0</v>
      </c>
      <c r="F6208" s="7" t="n">
        <v>3</v>
      </c>
      <c r="G6208" s="7" t="n">
        <v>403.17</v>
      </c>
    </row>
    <row r="6209" customFormat="false" ht="15" hidden="false" customHeight="false" outlineLevel="0" collapsed="false">
      <c r="A6209" s="7" t="s">
        <v>24</v>
      </c>
      <c r="B6209" s="7" t="s">
        <v>101</v>
      </c>
      <c r="C6209" s="7" t="s">
        <v>1121</v>
      </c>
      <c r="D6209" s="7" t="n">
        <v>0</v>
      </c>
      <c r="E6209" s="7" t="n">
        <v>0</v>
      </c>
      <c r="F6209" s="7" t="n">
        <v>30</v>
      </c>
      <c r="G6209" s="7" t="n">
        <v>4029.19</v>
      </c>
    </row>
    <row r="6210" customFormat="false" ht="15" hidden="false" customHeight="false" outlineLevel="0" collapsed="false">
      <c r="A6210" s="7" t="s">
        <v>24</v>
      </c>
      <c r="B6210" s="7" t="s">
        <v>101</v>
      </c>
      <c r="C6210" s="7" t="s">
        <v>1121</v>
      </c>
      <c r="D6210" s="7" t="n">
        <v>0</v>
      </c>
      <c r="E6210" s="7" t="n">
        <v>0</v>
      </c>
      <c r="F6210" s="7" t="n">
        <v>7</v>
      </c>
      <c r="G6210" s="7" t="n">
        <v>950.27</v>
      </c>
    </row>
    <row r="6211" customFormat="false" ht="15" hidden="false" customHeight="false" outlineLevel="0" collapsed="false">
      <c r="A6211" s="7" t="s">
        <v>24</v>
      </c>
      <c r="B6211" s="7" t="s">
        <v>101</v>
      </c>
      <c r="C6211" s="7" t="s">
        <v>1121</v>
      </c>
      <c r="D6211" s="7" t="n">
        <v>0</v>
      </c>
      <c r="E6211" s="7" t="n">
        <v>0</v>
      </c>
      <c r="F6211" s="7" t="n">
        <v>4</v>
      </c>
      <c r="G6211" s="7" t="n">
        <v>575.92</v>
      </c>
    </row>
    <row r="6212" customFormat="false" ht="15" hidden="false" customHeight="false" outlineLevel="0" collapsed="false">
      <c r="A6212" s="7" t="s">
        <v>24</v>
      </c>
      <c r="B6212" s="7" t="s">
        <v>101</v>
      </c>
      <c r="C6212" s="7" t="s">
        <v>1121</v>
      </c>
      <c r="D6212" s="7" t="n">
        <v>0</v>
      </c>
      <c r="E6212" s="7" t="n">
        <v>0</v>
      </c>
      <c r="F6212" s="7" t="n">
        <v>1</v>
      </c>
      <c r="G6212" s="7" t="n">
        <v>143.98</v>
      </c>
    </row>
    <row r="6213" customFormat="false" ht="15" hidden="false" customHeight="false" outlineLevel="0" collapsed="false">
      <c r="A6213" s="7" t="s">
        <v>24</v>
      </c>
      <c r="B6213" s="7" t="s">
        <v>101</v>
      </c>
      <c r="C6213" s="7" t="s">
        <v>1121</v>
      </c>
      <c r="D6213" s="7" t="n">
        <v>0</v>
      </c>
      <c r="E6213" s="7" t="n">
        <v>0</v>
      </c>
      <c r="F6213" s="7" t="n">
        <v>2</v>
      </c>
      <c r="G6213" s="7" t="n">
        <v>287.96</v>
      </c>
    </row>
    <row r="6214" customFormat="false" ht="15" hidden="false" customHeight="false" outlineLevel="0" collapsed="false">
      <c r="A6214" s="7" t="s">
        <v>24</v>
      </c>
      <c r="B6214" s="7" t="s">
        <v>101</v>
      </c>
      <c r="C6214" s="7" t="s">
        <v>1121</v>
      </c>
      <c r="D6214" s="7" t="n">
        <v>0</v>
      </c>
      <c r="E6214" s="7" t="n">
        <v>0</v>
      </c>
      <c r="F6214" s="7" t="n">
        <v>2</v>
      </c>
      <c r="G6214" s="7" t="n">
        <v>287.97</v>
      </c>
    </row>
    <row r="6215" customFormat="false" ht="15" hidden="false" customHeight="false" outlineLevel="0" collapsed="false">
      <c r="A6215" s="7" t="s">
        <v>24</v>
      </c>
      <c r="B6215" s="7" t="s">
        <v>101</v>
      </c>
      <c r="C6215" s="7" t="s">
        <v>1121</v>
      </c>
      <c r="D6215" s="7" t="n">
        <v>0</v>
      </c>
      <c r="E6215" s="7" t="n">
        <v>0</v>
      </c>
      <c r="F6215" s="7" t="n">
        <v>2</v>
      </c>
      <c r="G6215" s="7" t="n">
        <v>287.98</v>
      </c>
    </row>
    <row r="6216" customFormat="false" ht="15" hidden="false" customHeight="false" outlineLevel="0" collapsed="false">
      <c r="A6216" s="7" t="s">
        <v>24</v>
      </c>
      <c r="B6216" s="7" t="s">
        <v>101</v>
      </c>
      <c r="C6216" s="7" t="s">
        <v>1121</v>
      </c>
      <c r="D6216" s="7" t="n">
        <v>0</v>
      </c>
      <c r="E6216" s="7" t="n">
        <v>0</v>
      </c>
      <c r="F6216" s="7" t="n">
        <v>2</v>
      </c>
      <c r="G6216" s="7" t="n">
        <v>287.98</v>
      </c>
    </row>
    <row r="6217" customFormat="false" ht="15" hidden="false" customHeight="false" outlineLevel="0" collapsed="false">
      <c r="A6217" s="7" t="s">
        <v>24</v>
      </c>
      <c r="B6217" s="7" t="s">
        <v>101</v>
      </c>
      <c r="C6217" s="7" t="s">
        <v>1121</v>
      </c>
      <c r="D6217" s="7" t="n">
        <v>0</v>
      </c>
      <c r="E6217" s="7" t="n">
        <v>0</v>
      </c>
      <c r="F6217" s="7" t="n">
        <v>1</v>
      </c>
      <c r="G6217" s="7" t="n">
        <v>115.19</v>
      </c>
    </row>
    <row r="6218" customFormat="false" ht="15" hidden="false" customHeight="false" outlineLevel="0" collapsed="false">
      <c r="A6218" s="7" t="s">
        <v>24</v>
      </c>
      <c r="B6218" s="7" t="s">
        <v>101</v>
      </c>
      <c r="C6218" s="7" t="s">
        <v>1121</v>
      </c>
      <c r="D6218" s="7" t="n">
        <v>0</v>
      </c>
      <c r="E6218" s="7" t="n">
        <v>0</v>
      </c>
      <c r="F6218" s="7" t="n">
        <v>1</v>
      </c>
      <c r="G6218" s="7" t="n">
        <v>122.39</v>
      </c>
    </row>
    <row r="6219" customFormat="false" ht="15" hidden="false" customHeight="false" outlineLevel="0" collapsed="false">
      <c r="A6219" s="7" t="s">
        <v>24</v>
      </c>
      <c r="B6219" s="7" t="s">
        <v>101</v>
      </c>
      <c r="C6219" s="7" t="s">
        <v>1121</v>
      </c>
      <c r="D6219" s="7" t="n">
        <v>0</v>
      </c>
      <c r="E6219" s="7" t="n">
        <v>0</v>
      </c>
      <c r="F6219" s="7" t="n">
        <v>2</v>
      </c>
      <c r="G6219" s="7" t="n">
        <v>287.96</v>
      </c>
    </row>
    <row r="6220" customFormat="false" ht="15" hidden="false" customHeight="false" outlineLevel="0" collapsed="false">
      <c r="A6220" s="7" t="s">
        <v>24</v>
      </c>
      <c r="B6220" s="7" t="s">
        <v>101</v>
      </c>
      <c r="C6220" s="7" t="s">
        <v>1121</v>
      </c>
      <c r="D6220" s="7" t="n">
        <v>0</v>
      </c>
      <c r="E6220" s="7" t="n">
        <v>0</v>
      </c>
      <c r="F6220" s="7" t="n">
        <v>2</v>
      </c>
      <c r="G6220" s="7" t="n">
        <v>287.98</v>
      </c>
    </row>
    <row r="6221" customFormat="false" ht="15" hidden="false" customHeight="false" outlineLevel="0" collapsed="false">
      <c r="A6221" s="7" t="s">
        <v>24</v>
      </c>
      <c r="B6221" s="7" t="s">
        <v>101</v>
      </c>
      <c r="C6221" s="7" t="s">
        <v>1121</v>
      </c>
      <c r="D6221" s="7" t="n">
        <v>0</v>
      </c>
      <c r="E6221" s="7" t="n">
        <v>0</v>
      </c>
      <c r="F6221" s="7" t="n">
        <v>1</v>
      </c>
      <c r="G6221" s="7" t="n">
        <v>143.98</v>
      </c>
    </row>
    <row r="6222" customFormat="false" ht="15" hidden="false" customHeight="false" outlineLevel="0" collapsed="false">
      <c r="A6222" s="7" t="s">
        <v>24</v>
      </c>
      <c r="B6222" s="7" t="s">
        <v>101</v>
      </c>
      <c r="C6222" s="7" t="s">
        <v>1121</v>
      </c>
      <c r="D6222" s="7" t="n">
        <v>0</v>
      </c>
      <c r="E6222" s="7" t="n">
        <v>0</v>
      </c>
      <c r="F6222" s="7" t="n">
        <v>94</v>
      </c>
      <c r="G6222" s="7" t="n">
        <v>12440.66</v>
      </c>
    </row>
    <row r="6223" customFormat="false" ht="15" hidden="false" customHeight="false" outlineLevel="0" collapsed="false">
      <c r="A6223" s="7" t="s">
        <v>24</v>
      </c>
      <c r="B6223" s="7" t="s">
        <v>101</v>
      </c>
      <c r="C6223" s="7" t="s">
        <v>1121</v>
      </c>
      <c r="D6223" s="7" t="n">
        <v>0</v>
      </c>
      <c r="E6223" s="7" t="n">
        <v>0</v>
      </c>
      <c r="F6223" s="7" t="n">
        <v>1</v>
      </c>
      <c r="G6223" s="7" t="n">
        <v>129.59</v>
      </c>
    </row>
    <row r="6224" customFormat="false" ht="15" hidden="false" customHeight="false" outlineLevel="0" collapsed="false">
      <c r="A6224" s="7" t="s">
        <v>24</v>
      </c>
      <c r="B6224" s="7" t="s">
        <v>101</v>
      </c>
      <c r="C6224" s="7" t="s">
        <v>1121</v>
      </c>
      <c r="D6224" s="7" t="n">
        <v>0</v>
      </c>
      <c r="E6224" s="7" t="n">
        <v>0</v>
      </c>
      <c r="F6224" s="7" t="n">
        <v>27</v>
      </c>
      <c r="G6224" s="7" t="n">
        <v>3449.87</v>
      </c>
    </row>
    <row r="6225" customFormat="false" ht="15" hidden="false" customHeight="false" outlineLevel="0" collapsed="false">
      <c r="A6225" s="7" t="s">
        <v>24</v>
      </c>
      <c r="B6225" s="7" t="s">
        <v>101</v>
      </c>
      <c r="C6225" s="7" t="s">
        <v>1121</v>
      </c>
      <c r="D6225" s="7" t="n">
        <v>0</v>
      </c>
      <c r="E6225" s="7" t="n">
        <v>0</v>
      </c>
      <c r="F6225" s="7" t="n">
        <v>1</v>
      </c>
      <c r="G6225" s="7" t="n">
        <v>143.98</v>
      </c>
    </row>
    <row r="6226" customFormat="false" ht="15" hidden="false" customHeight="false" outlineLevel="0" collapsed="false">
      <c r="A6226" s="7" t="s">
        <v>24</v>
      </c>
      <c r="B6226" s="7" t="s">
        <v>101</v>
      </c>
      <c r="C6226" s="7" t="s">
        <v>1121</v>
      </c>
      <c r="D6226" s="7" t="n">
        <v>0</v>
      </c>
      <c r="E6226" s="7" t="n">
        <v>0</v>
      </c>
      <c r="F6226" s="7" t="n">
        <v>1</v>
      </c>
      <c r="G6226" s="7" t="n">
        <v>143.98</v>
      </c>
    </row>
    <row r="6227" customFormat="false" ht="15" hidden="false" customHeight="false" outlineLevel="0" collapsed="false">
      <c r="A6227" s="7" t="s">
        <v>24</v>
      </c>
      <c r="B6227" s="7" t="s">
        <v>101</v>
      </c>
      <c r="C6227" s="7" t="s">
        <v>1121</v>
      </c>
      <c r="D6227" s="7" t="n">
        <v>0</v>
      </c>
      <c r="E6227" s="7" t="n">
        <v>0</v>
      </c>
      <c r="F6227" s="7" t="n">
        <v>2</v>
      </c>
      <c r="G6227" s="7" t="n">
        <v>287.97</v>
      </c>
    </row>
    <row r="6228" customFormat="false" ht="15" hidden="false" customHeight="false" outlineLevel="0" collapsed="false">
      <c r="A6228" s="7" t="s">
        <v>24</v>
      </c>
      <c r="B6228" s="7" t="s">
        <v>101</v>
      </c>
      <c r="C6228" s="7" t="s">
        <v>1121</v>
      </c>
      <c r="D6228" s="7" t="n">
        <v>0</v>
      </c>
      <c r="E6228" s="7" t="n">
        <v>0</v>
      </c>
      <c r="F6228" s="7" t="n">
        <v>1</v>
      </c>
      <c r="G6228" s="7" t="n">
        <v>129.58</v>
      </c>
    </row>
    <row r="6229" customFormat="false" ht="15" hidden="false" customHeight="false" outlineLevel="0" collapsed="false">
      <c r="A6229" s="7" t="s">
        <v>24</v>
      </c>
      <c r="B6229" s="7" t="s">
        <v>101</v>
      </c>
      <c r="C6229" s="7" t="s">
        <v>1121</v>
      </c>
      <c r="D6229" s="7" t="n">
        <v>0</v>
      </c>
      <c r="E6229" s="7" t="n">
        <v>0</v>
      </c>
      <c r="F6229" s="7" t="n">
        <v>1</v>
      </c>
      <c r="G6229" s="7" t="n">
        <v>143.98</v>
      </c>
    </row>
    <row r="6230" customFormat="false" ht="15" hidden="false" customHeight="false" outlineLevel="0" collapsed="false">
      <c r="A6230" s="7" t="s">
        <v>24</v>
      </c>
      <c r="B6230" s="7" t="s">
        <v>101</v>
      </c>
      <c r="C6230" s="7" t="s">
        <v>1121</v>
      </c>
      <c r="D6230" s="7" t="n">
        <v>0</v>
      </c>
      <c r="E6230" s="7" t="n">
        <v>0</v>
      </c>
      <c r="F6230" s="7" t="n">
        <v>9</v>
      </c>
      <c r="G6230" s="7" t="n">
        <v>1223.91</v>
      </c>
    </row>
    <row r="6231" customFormat="false" ht="15" hidden="false" customHeight="false" outlineLevel="0" collapsed="false">
      <c r="A6231" s="7" t="s">
        <v>24</v>
      </c>
      <c r="B6231" s="7" t="s">
        <v>101</v>
      </c>
      <c r="C6231" s="7" t="s">
        <v>1121</v>
      </c>
      <c r="D6231" s="7" t="n">
        <v>0</v>
      </c>
      <c r="E6231" s="7" t="n">
        <v>0</v>
      </c>
      <c r="F6231" s="7" t="n">
        <v>8</v>
      </c>
      <c r="G6231" s="7" t="n">
        <v>1079.92</v>
      </c>
    </row>
    <row r="6232" customFormat="false" ht="15" hidden="false" customHeight="false" outlineLevel="0" collapsed="false">
      <c r="A6232" s="7" t="s">
        <v>24</v>
      </c>
      <c r="B6232" s="7" t="s">
        <v>101</v>
      </c>
      <c r="C6232" s="7" t="s">
        <v>1121</v>
      </c>
      <c r="D6232" s="7" t="n">
        <v>0</v>
      </c>
      <c r="E6232" s="7" t="n">
        <v>0</v>
      </c>
      <c r="F6232" s="7" t="n">
        <v>1</v>
      </c>
      <c r="G6232" s="7" t="n">
        <v>143.98</v>
      </c>
    </row>
    <row r="6233" customFormat="false" ht="15" hidden="false" customHeight="false" outlineLevel="0" collapsed="false">
      <c r="A6233" s="7" t="s">
        <v>24</v>
      </c>
      <c r="B6233" s="7" t="s">
        <v>101</v>
      </c>
      <c r="C6233" s="7" t="s">
        <v>1121</v>
      </c>
      <c r="D6233" s="7" t="n">
        <v>0</v>
      </c>
      <c r="E6233" s="7" t="n">
        <v>0</v>
      </c>
      <c r="F6233" s="7" t="n">
        <v>8</v>
      </c>
      <c r="G6233" s="7" t="n">
        <v>1137.52</v>
      </c>
    </row>
    <row r="6234" customFormat="false" ht="15" hidden="false" customHeight="false" outlineLevel="0" collapsed="false">
      <c r="A6234" s="7" t="s">
        <v>24</v>
      </c>
      <c r="B6234" s="7" t="s">
        <v>101</v>
      </c>
      <c r="C6234" s="7" t="s">
        <v>1121</v>
      </c>
      <c r="D6234" s="7" t="n">
        <v>0</v>
      </c>
      <c r="E6234" s="7" t="n">
        <v>0</v>
      </c>
      <c r="F6234" s="7" t="n">
        <v>2</v>
      </c>
      <c r="G6234" s="7" t="n">
        <v>254.15</v>
      </c>
    </row>
    <row r="6235" customFormat="false" ht="15" hidden="false" customHeight="false" outlineLevel="0" collapsed="false">
      <c r="A6235" s="7" t="s">
        <v>24</v>
      </c>
      <c r="B6235" s="7" t="s">
        <v>101</v>
      </c>
      <c r="C6235" s="7" t="s">
        <v>1121</v>
      </c>
      <c r="D6235" s="7" t="n">
        <v>0</v>
      </c>
      <c r="E6235" s="7" t="n">
        <v>0</v>
      </c>
      <c r="F6235" s="7" t="n">
        <v>2</v>
      </c>
      <c r="G6235" s="7" t="n">
        <v>254.15</v>
      </c>
    </row>
    <row r="6236" customFormat="false" ht="15" hidden="false" customHeight="false" outlineLevel="0" collapsed="false">
      <c r="A6236" s="7" t="s">
        <v>24</v>
      </c>
      <c r="B6236" s="7" t="s">
        <v>101</v>
      </c>
      <c r="C6236" s="7" t="s">
        <v>1121</v>
      </c>
      <c r="D6236" s="7" t="n">
        <v>0</v>
      </c>
      <c r="E6236" s="7" t="n">
        <v>0</v>
      </c>
      <c r="F6236" s="7" t="n">
        <v>1</v>
      </c>
      <c r="G6236" s="7" t="n">
        <v>115.19</v>
      </c>
    </row>
    <row r="6237" customFormat="false" ht="15" hidden="false" customHeight="false" outlineLevel="0" collapsed="false">
      <c r="A6237" s="7" t="s">
        <v>24</v>
      </c>
      <c r="B6237" s="7" t="s">
        <v>101</v>
      </c>
      <c r="C6237" s="7" t="s">
        <v>1121</v>
      </c>
      <c r="D6237" s="7" t="n">
        <v>0</v>
      </c>
      <c r="E6237" s="7" t="n">
        <v>0</v>
      </c>
      <c r="F6237" s="7" t="n">
        <v>2</v>
      </c>
      <c r="G6237" s="7" t="n">
        <v>259.18</v>
      </c>
    </row>
    <row r="6238" customFormat="false" ht="15" hidden="false" customHeight="false" outlineLevel="0" collapsed="false">
      <c r="A6238" s="7" t="s">
        <v>24</v>
      </c>
      <c r="B6238" s="7" t="s">
        <v>101</v>
      </c>
      <c r="C6238" s="7" t="s">
        <v>1121</v>
      </c>
      <c r="D6238" s="7" t="n">
        <v>0</v>
      </c>
      <c r="E6238" s="7" t="n">
        <v>0</v>
      </c>
      <c r="F6238" s="7" t="n">
        <v>3</v>
      </c>
      <c r="G6238" s="7" t="n">
        <v>417.57</v>
      </c>
    </row>
    <row r="6239" customFormat="false" ht="15" hidden="false" customHeight="false" outlineLevel="0" collapsed="false">
      <c r="A6239" s="7" t="s">
        <v>24</v>
      </c>
      <c r="B6239" s="7" t="s">
        <v>101</v>
      </c>
      <c r="C6239" s="7" t="s">
        <v>1121</v>
      </c>
      <c r="D6239" s="7" t="n">
        <v>0</v>
      </c>
      <c r="E6239" s="7" t="n">
        <v>0</v>
      </c>
      <c r="F6239" s="7" t="n">
        <v>1</v>
      </c>
      <c r="G6239" s="7" t="n">
        <v>115.19</v>
      </c>
    </row>
    <row r="6240" customFormat="false" ht="15" hidden="false" customHeight="false" outlineLevel="0" collapsed="false">
      <c r="A6240" s="7" t="s">
        <v>24</v>
      </c>
      <c r="B6240" s="7" t="s">
        <v>101</v>
      </c>
      <c r="C6240" s="7" t="s">
        <v>1121</v>
      </c>
      <c r="D6240" s="7" t="n">
        <v>0</v>
      </c>
      <c r="E6240" s="7" t="n">
        <v>0</v>
      </c>
      <c r="F6240" s="7" t="n">
        <v>1</v>
      </c>
      <c r="G6240" s="7" t="n">
        <v>122.39</v>
      </c>
    </row>
    <row r="6241" customFormat="false" ht="15" hidden="false" customHeight="false" outlineLevel="0" collapsed="false">
      <c r="A6241" s="7" t="s">
        <v>24</v>
      </c>
      <c r="B6241" s="7" t="s">
        <v>101</v>
      </c>
      <c r="C6241" s="7" t="s">
        <v>1121</v>
      </c>
      <c r="D6241" s="7" t="n">
        <v>0</v>
      </c>
      <c r="E6241" s="7" t="n">
        <v>0</v>
      </c>
      <c r="F6241" s="7" t="n">
        <v>1</v>
      </c>
      <c r="G6241" s="7" t="n">
        <v>143.98</v>
      </c>
    </row>
    <row r="6242" customFormat="false" ht="15" hidden="false" customHeight="false" outlineLevel="0" collapsed="false">
      <c r="A6242" s="7" t="s">
        <v>24</v>
      </c>
      <c r="B6242" s="7" t="s">
        <v>101</v>
      </c>
      <c r="C6242" s="7" t="s">
        <v>1121</v>
      </c>
      <c r="D6242" s="7" t="n">
        <v>0</v>
      </c>
      <c r="E6242" s="7" t="n">
        <v>0</v>
      </c>
      <c r="F6242" s="7" t="n">
        <v>2</v>
      </c>
      <c r="G6242" s="7" t="n">
        <v>273.58</v>
      </c>
    </row>
    <row r="6243" customFormat="false" ht="15" hidden="false" customHeight="false" outlineLevel="0" collapsed="false">
      <c r="A6243" s="7" t="s">
        <v>24</v>
      </c>
      <c r="B6243" s="7" t="s">
        <v>101</v>
      </c>
      <c r="C6243" s="7" t="s">
        <v>1121</v>
      </c>
      <c r="D6243" s="7" t="n">
        <v>0</v>
      </c>
      <c r="E6243" s="7" t="n">
        <v>0</v>
      </c>
      <c r="F6243" s="7" t="n">
        <v>1</v>
      </c>
      <c r="G6243" s="7" t="n">
        <v>143.98</v>
      </c>
    </row>
    <row r="6244" customFormat="false" ht="15" hidden="false" customHeight="false" outlineLevel="0" collapsed="false">
      <c r="A6244" s="7" t="s">
        <v>24</v>
      </c>
      <c r="B6244" s="7" t="s">
        <v>101</v>
      </c>
      <c r="C6244" s="7" t="s">
        <v>1121</v>
      </c>
      <c r="D6244" s="7" t="n">
        <v>0</v>
      </c>
      <c r="E6244" s="7" t="n">
        <v>0</v>
      </c>
      <c r="F6244" s="7" t="n">
        <v>5</v>
      </c>
      <c r="G6244" s="7" t="n">
        <v>705.55</v>
      </c>
    </row>
    <row r="6245" customFormat="false" ht="15" hidden="false" customHeight="false" outlineLevel="0" collapsed="false">
      <c r="A6245" s="7" t="s">
        <v>24</v>
      </c>
      <c r="B6245" s="7" t="s">
        <v>101</v>
      </c>
      <c r="C6245" s="7" t="s">
        <v>1121</v>
      </c>
      <c r="D6245" s="7" t="n">
        <v>0</v>
      </c>
      <c r="E6245" s="7" t="n">
        <v>0</v>
      </c>
      <c r="F6245" s="7" t="n">
        <v>1</v>
      </c>
      <c r="G6245" s="7" t="n">
        <v>129.58</v>
      </c>
    </row>
    <row r="6246" customFormat="false" ht="15" hidden="false" customHeight="false" outlineLevel="0" collapsed="false">
      <c r="A6246" s="7" t="s">
        <v>24</v>
      </c>
      <c r="B6246" s="7" t="s">
        <v>101</v>
      </c>
      <c r="C6246" s="7" t="s">
        <v>1121</v>
      </c>
      <c r="D6246" s="7" t="n">
        <v>0</v>
      </c>
      <c r="E6246" s="7" t="n">
        <v>0</v>
      </c>
      <c r="F6246" s="7" t="n">
        <v>1</v>
      </c>
      <c r="G6246" s="7" t="n">
        <v>143.99</v>
      </c>
    </row>
    <row r="6247" customFormat="false" ht="15" hidden="false" customHeight="false" outlineLevel="0" collapsed="false">
      <c r="A6247" s="7" t="s">
        <v>24</v>
      </c>
      <c r="B6247" s="7" t="s">
        <v>101</v>
      </c>
      <c r="C6247" s="7" t="s">
        <v>1121</v>
      </c>
      <c r="D6247" s="7" t="n">
        <v>0</v>
      </c>
      <c r="E6247" s="7" t="n">
        <v>0</v>
      </c>
      <c r="F6247" s="7" t="n">
        <v>1</v>
      </c>
      <c r="G6247" s="7" t="n">
        <v>143.98</v>
      </c>
    </row>
    <row r="6248" customFormat="false" ht="15" hidden="false" customHeight="false" outlineLevel="0" collapsed="false">
      <c r="A6248" s="7" t="s">
        <v>24</v>
      </c>
      <c r="B6248" s="7" t="s">
        <v>101</v>
      </c>
      <c r="C6248" s="7" t="s">
        <v>1121</v>
      </c>
      <c r="D6248" s="7" t="n">
        <v>0</v>
      </c>
      <c r="E6248" s="7" t="n">
        <v>0</v>
      </c>
      <c r="F6248" s="7" t="n">
        <v>1</v>
      </c>
      <c r="G6248" s="7" t="n">
        <v>143.99</v>
      </c>
    </row>
    <row r="6249" customFormat="false" ht="15" hidden="false" customHeight="false" outlineLevel="0" collapsed="false">
      <c r="A6249" s="7" t="s">
        <v>24</v>
      </c>
      <c r="B6249" s="7" t="s">
        <v>101</v>
      </c>
      <c r="C6249" s="7" t="s">
        <v>1121</v>
      </c>
      <c r="D6249" s="7" t="n">
        <v>0</v>
      </c>
      <c r="E6249" s="7" t="n">
        <v>0</v>
      </c>
      <c r="F6249" s="7" t="n">
        <v>1</v>
      </c>
      <c r="G6249" s="7" t="n">
        <v>115.19</v>
      </c>
    </row>
    <row r="6250" customFormat="false" ht="15" hidden="false" customHeight="false" outlineLevel="0" collapsed="false">
      <c r="A6250" s="7" t="s">
        <v>24</v>
      </c>
      <c r="B6250" s="7" t="s">
        <v>101</v>
      </c>
      <c r="C6250" s="7" t="s">
        <v>1121</v>
      </c>
      <c r="D6250" s="7" t="n">
        <v>0</v>
      </c>
      <c r="E6250" s="7" t="n">
        <v>0</v>
      </c>
      <c r="F6250" s="7" t="n">
        <v>2</v>
      </c>
      <c r="G6250" s="7" t="n">
        <v>273.56</v>
      </c>
    </row>
    <row r="6251" customFormat="false" ht="15" hidden="false" customHeight="false" outlineLevel="0" collapsed="false">
      <c r="A6251" s="7" t="s">
        <v>24</v>
      </c>
      <c r="B6251" s="7" t="s">
        <v>101</v>
      </c>
      <c r="C6251" s="7" t="s">
        <v>1121</v>
      </c>
      <c r="D6251" s="7" t="n">
        <v>0</v>
      </c>
      <c r="E6251" s="7" t="n">
        <v>0</v>
      </c>
      <c r="F6251" s="7" t="n">
        <v>1</v>
      </c>
      <c r="G6251" s="7" t="n">
        <v>143.99</v>
      </c>
    </row>
    <row r="6252" customFormat="false" ht="15" hidden="false" customHeight="false" outlineLevel="0" collapsed="false">
      <c r="A6252" s="7" t="s">
        <v>24</v>
      </c>
      <c r="B6252" s="7" t="s">
        <v>101</v>
      </c>
      <c r="C6252" s="7" t="s">
        <v>1121</v>
      </c>
      <c r="D6252" s="7" t="n">
        <v>0</v>
      </c>
      <c r="E6252" s="7" t="n">
        <v>0</v>
      </c>
      <c r="F6252" s="7" t="n">
        <v>1</v>
      </c>
      <c r="G6252" s="7" t="n">
        <v>115.19</v>
      </c>
    </row>
    <row r="6253" customFormat="false" ht="15" hidden="false" customHeight="false" outlineLevel="0" collapsed="false">
      <c r="A6253" s="7" t="s">
        <v>24</v>
      </c>
      <c r="B6253" s="7" t="s">
        <v>101</v>
      </c>
      <c r="C6253" s="7" t="s">
        <v>1121</v>
      </c>
      <c r="D6253" s="7" t="n">
        <v>0</v>
      </c>
      <c r="E6253" s="7" t="n">
        <v>0</v>
      </c>
      <c r="F6253" s="7" t="n">
        <v>3</v>
      </c>
      <c r="G6253" s="7" t="n">
        <v>403.17</v>
      </c>
    </row>
    <row r="6254" customFormat="false" ht="15" hidden="false" customHeight="false" outlineLevel="0" collapsed="false">
      <c r="A6254" s="7" t="s">
        <v>24</v>
      </c>
      <c r="B6254" s="7" t="s">
        <v>101</v>
      </c>
      <c r="C6254" s="7" t="s">
        <v>1121</v>
      </c>
      <c r="D6254" s="7" t="n">
        <v>0</v>
      </c>
      <c r="E6254" s="7" t="n">
        <v>0</v>
      </c>
      <c r="F6254" s="7" t="n">
        <v>2</v>
      </c>
      <c r="G6254" s="7" t="n">
        <v>273.58</v>
      </c>
    </row>
    <row r="6255" customFormat="false" ht="15" hidden="false" customHeight="false" outlineLevel="0" collapsed="false">
      <c r="A6255" s="7" t="s">
        <v>24</v>
      </c>
      <c r="B6255" s="7" t="s">
        <v>101</v>
      </c>
      <c r="C6255" s="7" t="s">
        <v>1121</v>
      </c>
      <c r="D6255" s="7" t="n">
        <v>0</v>
      </c>
      <c r="E6255" s="7" t="n">
        <v>0</v>
      </c>
      <c r="F6255" s="7" t="n">
        <v>2</v>
      </c>
      <c r="G6255" s="7" t="n">
        <v>244.78</v>
      </c>
    </row>
    <row r="6256" customFormat="false" ht="15" hidden="false" customHeight="false" outlineLevel="0" collapsed="false">
      <c r="A6256" s="7" t="s">
        <v>24</v>
      </c>
      <c r="B6256" s="7" t="s">
        <v>101</v>
      </c>
      <c r="C6256" s="7" t="s">
        <v>1121</v>
      </c>
      <c r="D6256" s="7" t="n">
        <v>0</v>
      </c>
      <c r="E6256" s="7" t="n">
        <v>0</v>
      </c>
      <c r="F6256" s="7" t="n">
        <v>1</v>
      </c>
      <c r="G6256" s="7" t="n">
        <v>122.39</v>
      </c>
    </row>
    <row r="6257" customFormat="false" ht="15" hidden="false" customHeight="false" outlineLevel="0" collapsed="false">
      <c r="A6257" s="7" t="s">
        <v>24</v>
      </c>
      <c r="B6257" s="7" t="s">
        <v>101</v>
      </c>
      <c r="C6257" s="7" t="s">
        <v>1121</v>
      </c>
      <c r="D6257" s="7" t="n">
        <v>0</v>
      </c>
      <c r="E6257" s="7" t="n">
        <v>0</v>
      </c>
      <c r="F6257" s="7" t="n">
        <v>2</v>
      </c>
      <c r="G6257" s="7" t="n">
        <v>259.17</v>
      </c>
    </row>
    <row r="6258" customFormat="false" ht="15" hidden="false" customHeight="false" outlineLevel="0" collapsed="false">
      <c r="A6258" s="7" t="s">
        <v>24</v>
      </c>
      <c r="B6258" s="7" t="s">
        <v>101</v>
      </c>
      <c r="C6258" s="7" t="s">
        <v>1121</v>
      </c>
      <c r="D6258" s="7" t="n">
        <v>0</v>
      </c>
      <c r="E6258" s="7" t="n">
        <v>0</v>
      </c>
      <c r="F6258" s="7" t="n">
        <v>1</v>
      </c>
      <c r="G6258" s="7" t="n">
        <v>143.98</v>
      </c>
    </row>
    <row r="6259" customFormat="false" ht="15" hidden="false" customHeight="false" outlineLevel="0" collapsed="false">
      <c r="A6259" s="7" t="s">
        <v>24</v>
      </c>
      <c r="B6259" s="7" t="s">
        <v>101</v>
      </c>
      <c r="C6259" s="7" t="s">
        <v>1121</v>
      </c>
      <c r="D6259" s="7" t="n">
        <v>0</v>
      </c>
      <c r="E6259" s="7" t="n">
        <v>0</v>
      </c>
      <c r="F6259" s="7" t="n">
        <v>2</v>
      </c>
      <c r="G6259" s="7" t="n">
        <v>230.38</v>
      </c>
    </row>
    <row r="6260" customFormat="false" ht="15" hidden="false" customHeight="false" outlineLevel="0" collapsed="false">
      <c r="A6260" s="7" t="s">
        <v>24</v>
      </c>
      <c r="B6260" s="7" t="s">
        <v>101</v>
      </c>
      <c r="C6260" s="7" t="s">
        <v>1121</v>
      </c>
      <c r="D6260" s="7" t="n">
        <v>0</v>
      </c>
      <c r="E6260" s="7" t="n">
        <v>0</v>
      </c>
      <c r="F6260" s="7" t="n">
        <v>1</v>
      </c>
      <c r="G6260" s="7" t="n">
        <v>115.19</v>
      </c>
    </row>
    <row r="6261" customFormat="false" ht="15" hidden="false" customHeight="false" outlineLevel="0" collapsed="false">
      <c r="A6261" s="7" t="s">
        <v>24</v>
      </c>
      <c r="B6261" s="7" t="s">
        <v>101</v>
      </c>
      <c r="C6261" s="7" t="s">
        <v>1121</v>
      </c>
      <c r="D6261" s="7" t="n">
        <v>0</v>
      </c>
      <c r="E6261" s="7" t="n">
        <v>0</v>
      </c>
      <c r="F6261" s="7" t="n">
        <v>7</v>
      </c>
      <c r="G6261" s="7" t="n">
        <v>993.53</v>
      </c>
    </row>
    <row r="6262" customFormat="false" ht="15" hidden="false" customHeight="false" outlineLevel="0" collapsed="false">
      <c r="A6262" s="7" t="s">
        <v>24</v>
      </c>
      <c r="B6262" s="7" t="s">
        <v>101</v>
      </c>
      <c r="C6262" s="7" t="s">
        <v>1121</v>
      </c>
      <c r="D6262" s="7" t="n">
        <v>0</v>
      </c>
      <c r="E6262" s="7" t="n">
        <v>0</v>
      </c>
      <c r="F6262" s="7" t="n">
        <v>4</v>
      </c>
      <c r="G6262" s="7" t="n">
        <v>575.92</v>
      </c>
    </row>
    <row r="6263" customFormat="false" ht="15" hidden="false" customHeight="false" outlineLevel="0" collapsed="false">
      <c r="A6263" s="7" t="s">
        <v>24</v>
      </c>
      <c r="B6263" s="7" t="s">
        <v>101</v>
      </c>
      <c r="C6263" s="7" t="s">
        <v>1121</v>
      </c>
      <c r="D6263" s="7" t="n">
        <v>0</v>
      </c>
      <c r="E6263" s="7" t="n">
        <v>0</v>
      </c>
      <c r="F6263" s="7" t="n">
        <v>2</v>
      </c>
      <c r="G6263" s="7" t="n">
        <v>259.16</v>
      </c>
    </row>
    <row r="6264" customFormat="false" ht="15" hidden="false" customHeight="false" outlineLevel="0" collapsed="false">
      <c r="A6264" s="7" t="s">
        <v>24</v>
      </c>
      <c r="B6264" s="7" t="s">
        <v>101</v>
      </c>
      <c r="C6264" s="7" t="s">
        <v>1121</v>
      </c>
      <c r="D6264" s="7" t="n">
        <v>0</v>
      </c>
      <c r="E6264" s="7" t="n">
        <v>0</v>
      </c>
      <c r="F6264" s="7" t="n">
        <v>1</v>
      </c>
      <c r="G6264" s="7" t="n">
        <v>115.19</v>
      </c>
    </row>
    <row r="6265" customFormat="false" ht="15" hidden="false" customHeight="false" outlineLevel="0" collapsed="false">
      <c r="A6265" s="7" t="s">
        <v>24</v>
      </c>
      <c r="B6265" s="7" t="s">
        <v>101</v>
      </c>
      <c r="C6265" s="7" t="s">
        <v>1121</v>
      </c>
      <c r="D6265" s="7" t="n">
        <v>0</v>
      </c>
      <c r="E6265" s="7" t="n">
        <v>0</v>
      </c>
      <c r="F6265" s="7" t="n">
        <v>1</v>
      </c>
      <c r="G6265" s="7" t="n">
        <v>143.98</v>
      </c>
    </row>
    <row r="6266" customFormat="false" ht="15" hidden="false" customHeight="false" outlineLevel="0" collapsed="false">
      <c r="A6266" s="7" t="s">
        <v>24</v>
      </c>
      <c r="B6266" s="7" t="s">
        <v>101</v>
      </c>
      <c r="C6266" s="7" t="s">
        <v>1121</v>
      </c>
      <c r="D6266" s="7" t="n">
        <v>0</v>
      </c>
      <c r="E6266" s="7" t="n">
        <v>0</v>
      </c>
      <c r="F6266" s="7" t="n">
        <v>1</v>
      </c>
      <c r="G6266" s="7" t="n">
        <v>143.99</v>
      </c>
    </row>
    <row r="6267" customFormat="false" ht="15" hidden="false" customHeight="false" outlineLevel="0" collapsed="false">
      <c r="A6267" s="7" t="s">
        <v>24</v>
      </c>
      <c r="B6267" s="7" t="s">
        <v>101</v>
      </c>
      <c r="C6267" s="7" t="s">
        <v>1121</v>
      </c>
      <c r="D6267" s="7" t="n">
        <v>0</v>
      </c>
      <c r="E6267" s="7" t="n">
        <v>0</v>
      </c>
      <c r="F6267" s="7" t="n">
        <v>6</v>
      </c>
      <c r="G6267" s="7" t="n">
        <v>799.09</v>
      </c>
    </row>
    <row r="6268" customFormat="false" ht="15" hidden="false" customHeight="false" outlineLevel="0" collapsed="false">
      <c r="A6268" s="7" t="s">
        <v>24</v>
      </c>
      <c r="B6268" s="7" t="s">
        <v>101</v>
      </c>
      <c r="C6268" s="7" t="s">
        <v>1121</v>
      </c>
      <c r="D6268" s="7" t="n">
        <v>0</v>
      </c>
      <c r="E6268" s="7" t="n">
        <v>0</v>
      </c>
      <c r="F6268" s="7" t="n">
        <v>1</v>
      </c>
      <c r="G6268" s="7" t="n">
        <v>143.99</v>
      </c>
    </row>
    <row r="6269" customFormat="false" ht="15" hidden="false" customHeight="false" outlineLevel="0" collapsed="false">
      <c r="A6269" s="7" t="s">
        <v>24</v>
      </c>
      <c r="B6269" s="7" t="s">
        <v>101</v>
      </c>
      <c r="C6269" s="7" t="s">
        <v>1121</v>
      </c>
      <c r="D6269" s="7" t="n">
        <v>0</v>
      </c>
      <c r="E6269" s="7" t="n">
        <v>0</v>
      </c>
      <c r="F6269" s="7" t="n">
        <v>1</v>
      </c>
      <c r="G6269" s="7" t="n">
        <v>143.99</v>
      </c>
    </row>
    <row r="6270" customFormat="false" ht="15" hidden="false" customHeight="false" outlineLevel="0" collapsed="false">
      <c r="A6270" s="7" t="s">
        <v>24</v>
      </c>
      <c r="B6270" s="7" t="s">
        <v>101</v>
      </c>
      <c r="C6270" s="7" t="s">
        <v>1121</v>
      </c>
      <c r="D6270" s="7" t="n">
        <v>0</v>
      </c>
      <c r="E6270" s="7" t="n">
        <v>0</v>
      </c>
      <c r="F6270" s="7" t="n">
        <v>2</v>
      </c>
      <c r="G6270" s="7" t="n">
        <v>259.17</v>
      </c>
    </row>
    <row r="6271" customFormat="false" ht="15" hidden="false" customHeight="false" outlineLevel="0" collapsed="false">
      <c r="A6271" s="7" t="s">
        <v>24</v>
      </c>
      <c r="B6271" s="7" t="s">
        <v>101</v>
      </c>
      <c r="C6271" s="7" t="s">
        <v>1121</v>
      </c>
      <c r="D6271" s="7" t="n">
        <v>0</v>
      </c>
      <c r="E6271" s="7" t="n">
        <v>0</v>
      </c>
      <c r="F6271" s="7" t="n">
        <v>1</v>
      </c>
      <c r="G6271" s="7" t="n">
        <v>143.98</v>
      </c>
    </row>
    <row r="6272" customFormat="false" ht="15" hidden="false" customHeight="false" outlineLevel="0" collapsed="false">
      <c r="A6272" s="7" t="s">
        <v>24</v>
      </c>
      <c r="B6272" s="7" t="s">
        <v>101</v>
      </c>
      <c r="C6272" s="7" t="s">
        <v>1121</v>
      </c>
      <c r="D6272" s="7" t="n">
        <v>0</v>
      </c>
      <c r="E6272" s="7" t="n">
        <v>0</v>
      </c>
      <c r="F6272" s="7" t="n">
        <v>1</v>
      </c>
      <c r="G6272" s="7" t="n">
        <v>143.98</v>
      </c>
    </row>
    <row r="6273" customFormat="false" ht="15" hidden="false" customHeight="false" outlineLevel="0" collapsed="false">
      <c r="A6273" s="7" t="s">
        <v>24</v>
      </c>
      <c r="B6273" s="7" t="s">
        <v>101</v>
      </c>
      <c r="C6273" s="7" t="s">
        <v>1121</v>
      </c>
      <c r="D6273" s="7" t="n">
        <v>0</v>
      </c>
      <c r="E6273" s="7" t="n">
        <v>0</v>
      </c>
      <c r="F6273" s="7" t="n">
        <v>1</v>
      </c>
      <c r="G6273" s="7" t="n">
        <v>129.59</v>
      </c>
    </row>
    <row r="6274" customFormat="false" ht="15" hidden="false" customHeight="false" outlineLevel="0" collapsed="false">
      <c r="A6274" s="7" t="s">
        <v>24</v>
      </c>
      <c r="B6274" s="7" t="s">
        <v>101</v>
      </c>
      <c r="C6274" s="7" t="s">
        <v>1121</v>
      </c>
      <c r="D6274" s="7" t="n">
        <v>0</v>
      </c>
      <c r="E6274" s="7" t="n">
        <v>0</v>
      </c>
      <c r="F6274" s="7" t="n">
        <v>2</v>
      </c>
      <c r="G6274" s="7" t="n">
        <v>244.78</v>
      </c>
    </row>
    <row r="6275" customFormat="false" ht="15" hidden="false" customHeight="false" outlineLevel="0" collapsed="false">
      <c r="A6275" s="7" t="s">
        <v>24</v>
      </c>
      <c r="B6275" s="7" t="s">
        <v>101</v>
      </c>
      <c r="C6275" s="7" t="s">
        <v>1121</v>
      </c>
      <c r="D6275" s="7" t="n">
        <v>0</v>
      </c>
      <c r="E6275" s="7" t="n">
        <v>0</v>
      </c>
      <c r="F6275" s="7" t="n">
        <v>2</v>
      </c>
      <c r="G6275" s="7" t="n">
        <v>254.15</v>
      </c>
    </row>
    <row r="6276" customFormat="false" ht="15" hidden="false" customHeight="false" outlineLevel="0" collapsed="false">
      <c r="A6276" s="7" t="s">
        <v>24</v>
      </c>
      <c r="B6276" s="7" t="s">
        <v>101</v>
      </c>
      <c r="C6276" s="7" t="s">
        <v>1121</v>
      </c>
      <c r="D6276" s="7" t="n">
        <v>0</v>
      </c>
      <c r="E6276" s="7" t="n">
        <v>0</v>
      </c>
      <c r="F6276" s="7" t="n">
        <v>2</v>
      </c>
      <c r="G6276" s="7" t="n">
        <v>237.57</v>
      </c>
    </row>
    <row r="6277" customFormat="false" ht="15" hidden="false" customHeight="false" outlineLevel="0" collapsed="false">
      <c r="A6277" s="7" t="s">
        <v>24</v>
      </c>
      <c r="B6277" s="7" t="s">
        <v>101</v>
      </c>
      <c r="C6277" s="7" t="s">
        <v>1121</v>
      </c>
      <c r="D6277" s="7" t="n">
        <v>0</v>
      </c>
      <c r="E6277" s="7" t="n">
        <v>0</v>
      </c>
      <c r="F6277" s="7" t="n">
        <v>1</v>
      </c>
      <c r="G6277" s="7" t="n">
        <v>115.18</v>
      </c>
    </row>
    <row r="6278" customFormat="false" ht="15" hidden="false" customHeight="false" outlineLevel="0" collapsed="false">
      <c r="A6278" s="7" t="s">
        <v>24</v>
      </c>
      <c r="B6278" s="7" t="s">
        <v>101</v>
      </c>
      <c r="C6278" s="7" t="s">
        <v>1121</v>
      </c>
      <c r="D6278" s="7" t="n">
        <v>0</v>
      </c>
      <c r="E6278" s="7" t="n">
        <v>0</v>
      </c>
      <c r="F6278" s="7" t="n">
        <v>1</v>
      </c>
      <c r="G6278" s="7" t="n">
        <v>129.58</v>
      </c>
    </row>
    <row r="6279" customFormat="false" ht="15" hidden="false" customHeight="false" outlineLevel="0" collapsed="false">
      <c r="A6279" s="7" t="s">
        <v>24</v>
      </c>
      <c r="B6279" s="7" t="s">
        <v>101</v>
      </c>
      <c r="C6279" s="7" t="s">
        <v>1121</v>
      </c>
      <c r="D6279" s="7" t="n">
        <v>0</v>
      </c>
      <c r="E6279" s="7" t="n">
        <v>0</v>
      </c>
      <c r="F6279" s="7" t="n">
        <v>1</v>
      </c>
      <c r="G6279" s="7" t="n">
        <v>143.99</v>
      </c>
    </row>
    <row r="6280" customFormat="false" ht="15" hidden="false" customHeight="false" outlineLevel="0" collapsed="false">
      <c r="A6280" s="7" t="s">
        <v>24</v>
      </c>
      <c r="B6280" s="7" t="s">
        <v>101</v>
      </c>
      <c r="C6280" s="7" t="s">
        <v>1121</v>
      </c>
      <c r="D6280" s="7" t="n">
        <v>0</v>
      </c>
      <c r="E6280" s="7" t="n">
        <v>0</v>
      </c>
      <c r="F6280" s="7" t="n">
        <v>1</v>
      </c>
      <c r="G6280" s="7" t="n">
        <v>143.99</v>
      </c>
    </row>
    <row r="6281" customFormat="false" ht="15" hidden="false" customHeight="false" outlineLevel="0" collapsed="false">
      <c r="A6281" s="7" t="s">
        <v>24</v>
      </c>
      <c r="B6281" s="7" t="s">
        <v>101</v>
      </c>
      <c r="C6281" s="7" t="s">
        <v>1121</v>
      </c>
      <c r="D6281" s="7" t="n">
        <v>0</v>
      </c>
      <c r="E6281" s="7" t="n">
        <v>0</v>
      </c>
      <c r="F6281" s="7" t="n">
        <v>11</v>
      </c>
      <c r="G6281" s="7" t="n">
        <v>1478.07</v>
      </c>
    </row>
    <row r="6282" customFormat="false" ht="15" hidden="false" customHeight="false" outlineLevel="0" collapsed="false">
      <c r="A6282" s="7" t="s">
        <v>24</v>
      </c>
      <c r="B6282" s="7" t="s">
        <v>101</v>
      </c>
      <c r="C6282" s="7" t="s">
        <v>1121</v>
      </c>
      <c r="D6282" s="7" t="n">
        <v>0</v>
      </c>
      <c r="E6282" s="7" t="n">
        <v>0</v>
      </c>
      <c r="F6282" s="7" t="n">
        <v>9</v>
      </c>
      <c r="G6282" s="7" t="n">
        <v>1218.89</v>
      </c>
    </row>
    <row r="6283" customFormat="false" ht="15" hidden="false" customHeight="false" outlineLevel="0" collapsed="false">
      <c r="A6283" s="7" t="s">
        <v>24</v>
      </c>
      <c r="B6283" s="7" t="s">
        <v>101</v>
      </c>
      <c r="C6283" s="7" t="s">
        <v>1121</v>
      </c>
      <c r="D6283" s="7" t="n">
        <v>0</v>
      </c>
      <c r="E6283" s="7" t="n">
        <v>0</v>
      </c>
      <c r="F6283" s="7" t="n">
        <v>47</v>
      </c>
      <c r="G6283" s="7" t="n">
        <v>6090.73</v>
      </c>
    </row>
    <row r="6284" customFormat="false" ht="15" hidden="false" customHeight="false" outlineLevel="0" collapsed="false">
      <c r="A6284" s="7" t="s">
        <v>24</v>
      </c>
      <c r="B6284" s="7" t="s">
        <v>101</v>
      </c>
      <c r="C6284" s="7" t="s">
        <v>1121</v>
      </c>
      <c r="D6284" s="7" t="n">
        <v>0</v>
      </c>
      <c r="E6284" s="7" t="n">
        <v>0</v>
      </c>
      <c r="F6284" s="7" t="n">
        <v>36</v>
      </c>
      <c r="G6284" s="7" t="n">
        <v>4842.11</v>
      </c>
    </row>
    <row r="6285" customFormat="false" ht="15" hidden="false" customHeight="false" outlineLevel="0" collapsed="false">
      <c r="A6285" s="7" t="s">
        <v>24</v>
      </c>
      <c r="B6285" s="7" t="s">
        <v>101</v>
      </c>
      <c r="C6285" s="7" t="s">
        <v>1121</v>
      </c>
      <c r="D6285" s="7" t="n">
        <v>0</v>
      </c>
      <c r="E6285" s="7" t="n">
        <v>0</v>
      </c>
      <c r="F6285" s="7" t="n">
        <v>60</v>
      </c>
      <c r="G6285" s="7" t="n">
        <v>7905</v>
      </c>
    </row>
    <row r="6286" customFormat="false" ht="15" hidden="false" customHeight="false" outlineLevel="0" collapsed="false">
      <c r="A6286" s="7" t="s">
        <v>24</v>
      </c>
      <c r="B6286" s="7" t="s">
        <v>101</v>
      </c>
      <c r="C6286" s="7" t="s">
        <v>1121</v>
      </c>
      <c r="D6286" s="7" t="n">
        <v>0</v>
      </c>
      <c r="E6286" s="7" t="n">
        <v>0</v>
      </c>
      <c r="F6286" s="7" t="n">
        <v>16</v>
      </c>
      <c r="G6286" s="7" t="n">
        <v>2131.04</v>
      </c>
    </row>
    <row r="6287" customFormat="false" ht="15" hidden="false" customHeight="false" outlineLevel="0" collapsed="false">
      <c r="A6287" s="7" t="s">
        <v>24</v>
      </c>
      <c r="B6287" s="7" t="s">
        <v>101</v>
      </c>
      <c r="C6287" s="7" t="s">
        <v>1121</v>
      </c>
      <c r="D6287" s="7" t="n">
        <v>0</v>
      </c>
      <c r="E6287" s="7" t="n">
        <v>0</v>
      </c>
      <c r="F6287" s="7" t="n">
        <v>2</v>
      </c>
      <c r="G6287" s="7" t="n">
        <v>259.17</v>
      </c>
    </row>
    <row r="6288" customFormat="false" ht="15" hidden="false" customHeight="false" outlineLevel="0" collapsed="false">
      <c r="A6288" s="7" t="s">
        <v>24</v>
      </c>
      <c r="B6288" s="7" t="s">
        <v>101</v>
      </c>
      <c r="C6288" s="7" t="s">
        <v>1121</v>
      </c>
      <c r="D6288" s="7" t="n">
        <v>0</v>
      </c>
      <c r="E6288" s="7" t="n">
        <v>0</v>
      </c>
      <c r="F6288" s="7" t="n">
        <v>1</v>
      </c>
      <c r="G6288" s="7" t="n">
        <v>143.98</v>
      </c>
    </row>
    <row r="6289" customFormat="false" ht="15" hidden="false" customHeight="false" outlineLevel="0" collapsed="false">
      <c r="A6289" s="7" t="s">
        <v>24</v>
      </c>
      <c r="B6289" s="7" t="s">
        <v>101</v>
      </c>
      <c r="C6289" s="7" t="s">
        <v>1121</v>
      </c>
      <c r="D6289" s="7" t="n">
        <v>0</v>
      </c>
      <c r="E6289" s="7" t="n">
        <v>0</v>
      </c>
      <c r="F6289" s="7" t="n">
        <v>1</v>
      </c>
      <c r="G6289" s="7" t="n">
        <v>143.98</v>
      </c>
    </row>
    <row r="6290" customFormat="false" ht="15" hidden="false" customHeight="false" outlineLevel="0" collapsed="false">
      <c r="A6290" s="7" t="s">
        <v>24</v>
      </c>
      <c r="B6290" s="7" t="s">
        <v>101</v>
      </c>
      <c r="C6290" s="7" t="s">
        <v>1121</v>
      </c>
      <c r="D6290" s="7" t="n">
        <v>0</v>
      </c>
      <c r="E6290" s="7" t="n">
        <v>0</v>
      </c>
      <c r="F6290" s="7" t="n">
        <v>1</v>
      </c>
      <c r="G6290" s="7" t="n">
        <v>143.99</v>
      </c>
    </row>
    <row r="6291" customFormat="false" ht="15" hidden="false" customHeight="false" outlineLevel="0" collapsed="false">
      <c r="A6291" s="7" t="s">
        <v>24</v>
      </c>
      <c r="B6291" s="7" t="s">
        <v>101</v>
      </c>
      <c r="C6291" s="7" t="s">
        <v>1121</v>
      </c>
      <c r="D6291" s="7" t="n">
        <v>0</v>
      </c>
      <c r="E6291" s="7" t="n">
        <v>0</v>
      </c>
      <c r="F6291" s="7" t="n">
        <v>1</v>
      </c>
      <c r="G6291" s="7" t="n">
        <v>122.39</v>
      </c>
    </row>
    <row r="6292" customFormat="false" ht="15" hidden="false" customHeight="false" outlineLevel="0" collapsed="false">
      <c r="A6292" s="7" t="s">
        <v>24</v>
      </c>
      <c r="B6292" s="7" t="s">
        <v>101</v>
      </c>
      <c r="C6292" s="7" t="s">
        <v>1121</v>
      </c>
      <c r="D6292" s="7" t="n">
        <v>0</v>
      </c>
      <c r="E6292" s="7" t="n">
        <v>0</v>
      </c>
      <c r="F6292" s="7" t="n">
        <v>2</v>
      </c>
      <c r="G6292" s="7" t="n">
        <v>273.58</v>
      </c>
    </row>
    <row r="6293" customFormat="false" ht="15" hidden="false" customHeight="false" outlineLevel="0" collapsed="false">
      <c r="A6293" s="7" t="s">
        <v>24</v>
      </c>
      <c r="B6293" s="7" t="s">
        <v>101</v>
      </c>
      <c r="C6293" s="7" t="s">
        <v>1121</v>
      </c>
      <c r="D6293" s="7" t="n">
        <v>0</v>
      </c>
      <c r="E6293" s="7" t="n">
        <v>0</v>
      </c>
      <c r="F6293" s="7" t="n">
        <v>6</v>
      </c>
      <c r="G6293" s="7" t="n">
        <v>777.51</v>
      </c>
    </row>
    <row r="6294" customFormat="false" ht="15" hidden="false" customHeight="false" outlineLevel="0" collapsed="false">
      <c r="A6294" s="7" t="s">
        <v>24</v>
      </c>
      <c r="B6294" s="7" t="s">
        <v>101</v>
      </c>
      <c r="C6294" s="7" t="s">
        <v>1121</v>
      </c>
      <c r="D6294" s="7" t="n">
        <v>0</v>
      </c>
      <c r="E6294" s="7" t="n">
        <v>0</v>
      </c>
      <c r="F6294" s="7" t="n">
        <v>1</v>
      </c>
      <c r="G6294" s="7" t="n">
        <v>129.58</v>
      </c>
    </row>
    <row r="6295" customFormat="false" ht="15" hidden="false" customHeight="false" outlineLevel="0" collapsed="false">
      <c r="A6295" s="7" t="s">
        <v>24</v>
      </c>
      <c r="B6295" s="7" t="s">
        <v>101</v>
      </c>
      <c r="C6295" s="7" t="s">
        <v>1121</v>
      </c>
      <c r="D6295" s="7" t="n">
        <v>0</v>
      </c>
      <c r="E6295" s="7" t="n">
        <v>0</v>
      </c>
      <c r="F6295" s="7" t="n">
        <v>1</v>
      </c>
      <c r="G6295" s="7" t="n">
        <v>143.99</v>
      </c>
    </row>
    <row r="6296" customFormat="false" ht="15" hidden="false" customHeight="false" outlineLevel="0" collapsed="false">
      <c r="A6296" s="7" t="s">
        <v>24</v>
      </c>
      <c r="B6296" s="7" t="s">
        <v>101</v>
      </c>
      <c r="C6296" s="7" t="s">
        <v>1121</v>
      </c>
      <c r="D6296" s="7" t="n">
        <v>0</v>
      </c>
      <c r="E6296" s="7" t="n">
        <v>0</v>
      </c>
      <c r="F6296" s="7" t="n">
        <v>1</v>
      </c>
      <c r="G6296" s="7" t="n">
        <v>143.99</v>
      </c>
    </row>
    <row r="6297" customFormat="false" ht="15" hidden="false" customHeight="false" outlineLevel="0" collapsed="false">
      <c r="A6297" s="7" t="s">
        <v>24</v>
      </c>
      <c r="B6297" s="7" t="s">
        <v>101</v>
      </c>
      <c r="C6297" s="7" t="s">
        <v>1121</v>
      </c>
      <c r="D6297" s="7" t="n">
        <v>0</v>
      </c>
      <c r="E6297" s="7" t="n">
        <v>0</v>
      </c>
      <c r="F6297" s="7" t="n">
        <v>1</v>
      </c>
      <c r="G6297" s="7" t="n">
        <v>143.98</v>
      </c>
    </row>
    <row r="6298" customFormat="false" ht="15" hidden="false" customHeight="false" outlineLevel="0" collapsed="false">
      <c r="A6298" s="7" t="s">
        <v>24</v>
      </c>
      <c r="B6298" s="7" t="s">
        <v>101</v>
      </c>
      <c r="C6298" s="7" t="s">
        <v>1121</v>
      </c>
      <c r="D6298" s="7" t="n">
        <v>0</v>
      </c>
      <c r="E6298" s="7" t="n">
        <v>0</v>
      </c>
      <c r="F6298" s="7" t="n">
        <v>2</v>
      </c>
      <c r="G6298" s="7" t="n">
        <v>259.17</v>
      </c>
    </row>
    <row r="6299" customFormat="false" ht="15" hidden="false" customHeight="false" outlineLevel="0" collapsed="false">
      <c r="A6299" s="7" t="s">
        <v>24</v>
      </c>
      <c r="B6299" s="7" t="s">
        <v>101</v>
      </c>
      <c r="C6299" s="7" t="s">
        <v>1121</v>
      </c>
      <c r="D6299" s="7" t="n">
        <v>0</v>
      </c>
      <c r="E6299" s="7" t="n">
        <v>0</v>
      </c>
      <c r="F6299" s="7" t="n">
        <v>4</v>
      </c>
      <c r="G6299" s="7" t="n">
        <v>561.56</v>
      </c>
    </row>
    <row r="6300" customFormat="false" ht="15" hidden="false" customHeight="false" outlineLevel="0" collapsed="false">
      <c r="A6300" s="7" t="s">
        <v>24</v>
      </c>
      <c r="B6300" s="7" t="s">
        <v>101</v>
      </c>
      <c r="C6300" s="7" t="s">
        <v>1121</v>
      </c>
      <c r="D6300" s="7" t="n">
        <v>0</v>
      </c>
      <c r="E6300" s="7" t="n">
        <v>0</v>
      </c>
      <c r="F6300" s="7" t="n">
        <v>1</v>
      </c>
      <c r="G6300" s="7" t="n">
        <v>143.99</v>
      </c>
    </row>
    <row r="6301" customFormat="false" ht="15" hidden="false" customHeight="false" outlineLevel="0" collapsed="false">
      <c r="A6301" s="7" t="s">
        <v>24</v>
      </c>
      <c r="B6301" s="7" t="s">
        <v>101</v>
      </c>
      <c r="C6301" s="7" t="s">
        <v>1121</v>
      </c>
      <c r="D6301" s="7" t="n">
        <v>0</v>
      </c>
      <c r="E6301" s="7" t="n">
        <v>0</v>
      </c>
      <c r="F6301" s="7" t="n">
        <v>1</v>
      </c>
      <c r="G6301" s="7" t="n">
        <v>143.99</v>
      </c>
    </row>
    <row r="6302" customFormat="false" ht="15" hidden="false" customHeight="false" outlineLevel="0" collapsed="false">
      <c r="A6302" s="7" t="s">
        <v>24</v>
      </c>
      <c r="B6302" s="7" t="s">
        <v>101</v>
      </c>
      <c r="C6302" s="7" t="s">
        <v>1121</v>
      </c>
      <c r="D6302" s="7" t="n">
        <v>0</v>
      </c>
      <c r="E6302" s="7" t="n">
        <v>0</v>
      </c>
      <c r="F6302" s="7" t="n">
        <v>5</v>
      </c>
      <c r="G6302" s="7" t="n">
        <v>664.5</v>
      </c>
    </row>
    <row r="6303" customFormat="false" ht="15" hidden="false" customHeight="false" outlineLevel="0" collapsed="false">
      <c r="A6303" s="7" t="s">
        <v>24</v>
      </c>
      <c r="B6303" s="7" t="s">
        <v>101</v>
      </c>
      <c r="C6303" s="7" t="s">
        <v>1121</v>
      </c>
      <c r="D6303" s="7" t="n">
        <v>0</v>
      </c>
      <c r="E6303" s="7" t="n">
        <v>0</v>
      </c>
      <c r="F6303" s="7" t="n">
        <v>1</v>
      </c>
      <c r="G6303" s="7" t="n">
        <v>143.99</v>
      </c>
    </row>
    <row r="6304" customFormat="false" ht="15" hidden="false" customHeight="false" outlineLevel="0" collapsed="false">
      <c r="A6304" s="7" t="s">
        <v>24</v>
      </c>
      <c r="B6304" s="7" t="s">
        <v>101</v>
      </c>
      <c r="C6304" s="7" t="s">
        <v>1121</v>
      </c>
      <c r="D6304" s="7" t="n">
        <v>0</v>
      </c>
      <c r="E6304" s="7" t="n">
        <v>0</v>
      </c>
      <c r="F6304" s="7" t="n">
        <v>1</v>
      </c>
      <c r="G6304" s="7" t="n">
        <v>122.39</v>
      </c>
    </row>
    <row r="6305" customFormat="false" ht="15" hidden="false" customHeight="false" outlineLevel="0" collapsed="false">
      <c r="A6305" s="7" t="s">
        <v>24</v>
      </c>
      <c r="B6305" s="7" t="s">
        <v>101</v>
      </c>
      <c r="C6305" s="7" t="s">
        <v>1121</v>
      </c>
      <c r="D6305" s="7" t="n">
        <v>0</v>
      </c>
      <c r="E6305" s="7" t="n">
        <v>0</v>
      </c>
      <c r="F6305" s="7" t="n">
        <v>1</v>
      </c>
      <c r="G6305" s="7" t="n">
        <v>115.19</v>
      </c>
    </row>
    <row r="6306" customFormat="false" ht="15" hidden="false" customHeight="false" outlineLevel="0" collapsed="false">
      <c r="A6306" s="7" t="s">
        <v>24</v>
      </c>
      <c r="B6306" s="7" t="s">
        <v>101</v>
      </c>
      <c r="C6306" s="7" t="s">
        <v>1121</v>
      </c>
      <c r="D6306" s="7" t="n">
        <v>0</v>
      </c>
      <c r="E6306" s="7" t="n">
        <v>0</v>
      </c>
      <c r="F6306" s="7" t="n">
        <v>1</v>
      </c>
      <c r="G6306" s="7" t="n">
        <v>115.19</v>
      </c>
    </row>
    <row r="6307" customFormat="false" ht="15" hidden="false" customHeight="false" outlineLevel="0" collapsed="false">
      <c r="A6307" s="7" t="s">
        <v>24</v>
      </c>
      <c r="B6307" s="7" t="s">
        <v>101</v>
      </c>
      <c r="C6307" s="7" t="s">
        <v>1121</v>
      </c>
      <c r="D6307" s="7" t="n">
        <v>0</v>
      </c>
      <c r="E6307" s="7" t="n">
        <v>0</v>
      </c>
      <c r="F6307" s="7" t="n">
        <v>1</v>
      </c>
      <c r="G6307" s="7" t="n">
        <v>129.59</v>
      </c>
    </row>
    <row r="6308" customFormat="false" ht="15" hidden="false" customHeight="false" outlineLevel="0" collapsed="false">
      <c r="A6308" s="7" t="s">
        <v>24</v>
      </c>
      <c r="B6308" s="7" t="s">
        <v>101</v>
      </c>
      <c r="C6308" s="7" t="s">
        <v>1121</v>
      </c>
      <c r="D6308" s="7" t="n">
        <v>0</v>
      </c>
      <c r="E6308" s="7" t="n">
        <v>0</v>
      </c>
      <c r="F6308" s="7" t="n">
        <v>1</v>
      </c>
      <c r="G6308" s="7" t="n">
        <v>143.98</v>
      </c>
    </row>
    <row r="6309" customFormat="false" ht="15" hidden="false" customHeight="false" outlineLevel="0" collapsed="false">
      <c r="A6309" s="7" t="s">
        <v>24</v>
      </c>
      <c r="B6309" s="7" t="s">
        <v>101</v>
      </c>
      <c r="C6309" s="7" t="s">
        <v>1121</v>
      </c>
      <c r="D6309" s="7" t="n">
        <v>0</v>
      </c>
      <c r="E6309" s="7" t="n">
        <v>0</v>
      </c>
      <c r="F6309" s="7" t="n">
        <v>1</v>
      </c>
      <c r="G6309" s="7" t="n">
        <v>129.59</v>
      </c>
    </row>
    <row r="6310" customFormat="false" ht="15" hidden="false" customHeight="false" outlineLevel="0" collapsed="false">
      <c r="A6310" s="7" t="s">
        <v>24</v>
      </c>
      <c r="B6310" s="7" t="s">
        <v>101</v>
      </c>
      <c r="C6310" s="7" t="s">
        <v>1121</v>
      </c>
      <c r="D6310" s="7" t="n">
        <v>0</v>
      </c>
      <c r="E6310" s="7" t="n">
        <v>0</v>
      </c>
      <c r="F6310" s="7" t="n">
        <v>1</v>
      </c>
      <c r="G6310" s="7" t="n">
        <v>143.99</v>
      </c>
    </row>
    <row r="6311" customFormat="false" ht="15" hidden="false" customHeight="false" outlineLevel="0" collapsed="false">
      <c r="A6311" s="7" t="s">
        <v>24</v>
      </c>
      <c r="B6311" s="7" t="s">
        <v>101</v>
      </c>
      <c r="C6311" s="7" t="s">
        <v>1121</v>
      </c>
      <c r="D6311" s="7" t="n">
        <v>0</v>
      </c>
      <c r="E6311" s="7" t="n">
        <v>0</v>
      </c>
      <c r="F6311" s="7" t="n">
        <v>1</v>
      </c>
      <c r="G6311" s="7" t="n">
        <v>115.19</v>
      </c>
    </row>
    <row r="6312" customFormat="false" ht="15" hidden="false" customHeight="false" outlineLevel="0" collapsed="false">
      <c r="A6312" s="7" t="s">
        <v>24</v>
      </c>
      <c r="B6312" s="7" t="s">
        <v>101</v>
      </c>
      <c r="C6312" s="7" t="s">
        <v>1121</v>
      </c>
      <c r="D6312" s="7" t="n">
        <v>0</v>
      </c>
      <c r="E6312" s="7" t="n">
        <v>0</v>
      </c>
      <c r="F6312" s="7" t="n">
        <v>1</v>
      </c>
      <c r="G6312" s="7" t="n">
        <v>129.58</v>
      </c>
    </row>
    <row r="6313" customFormat="false" ht="15" hidden="false" customHeight="false" outlineLevel="0" collapsed="false">
      <c r="A6313" s="7" t="s">
        <v>24</v>
      </c>
      <c r="B6313" s="7" t="s">
        <v>101</v>
      </c>
      <c r="C6313" s="7" t="s">
        <v>1121</v>
      </c>
      <c r="D6313" s="7" t="n">
        <v>0</v>
      </c>
      <c r="E6313" s="7" t="n">
        <v>0</v>
      </c>
      <c r="F6313" s="7" t="n">
        <v>5</v>
      </c>
      <c r="G6313" s="7" t="n">
        <v>635.7</v>
      </c>
    </row>
    <row r="6314" customFormat="false" ht="15" hidden="false" customHeight="false" outlineLevel="0" collapsed="false">
      <c r="A6314" s="7" t="s">
        <v>24</v>
      </c>
      <c r="B6314" s="7" t="s">
        <v>101</v>
      </c>
      <c r="C6314" s="7" t="s">
        <v>1121</v>
      </c>
      <c r="D6314" s="7" t="n">
        <v>0</v>
      </c>
      <c r="E6314" s="7" t="n">
        <v>0</v>
      </c>
      <c r="F6314" s="7" t="n">
        <v>1</v>
      </c>
      <c r="G6314" s="7" t="n">
        <v>129.59</v>
      </c>
    </row>
    <row r="6315" customFormat="false" ht="15" hidden="false" customHeight="false" outlineLevel="0" collapsed="false">
      <c r="A6315" s="7" t="s">
        <v>24</v>
      </c>
      <c r="B6315" s="7" t="s">
        <v>101</v>
      </c>
      <c r="C6315" s="7" t="s">
        <v>1121</v>
      </c>
      <c r="D6315" s="7" t="n">
        <v>0</v>
      </c>
      <c r="E6315" s="7" t="n">
        <v>0</v>
      </c>
      <c r="F6315" s="7" t="n">
        <v>1</v>
      </c>
      <c r="G6315" s="7" t="n">
        <v>115.19</v>
      </c>
    </row>
    <row r="6316" customFormat="false" ht="15" hidden="false" customHeight="false" outlineLevel="0" collapsed="false">
      <c r="A6316" s="7" t="s">
        <v>24</v>
      </c>
      <c r="B6316" s="7" t="s">
        <v>101</v>
      </c>
      <c r="C6316" s="7" t="s">
        <v>1121</v>
      </c>
      <c r="D6316" s="7" t="n">
        <v>0</v>
      </c>
      <c r="E6316" s="7" t="n">
        <v>0</v>
      </c>
      <c r="F6316" s="7" t="n">
        <v>2</v>
      </c>
      <c r="G6316" s="7" t="n">
        <v>287.96</v>
      </c>
    </row>
    <row r="6317" customFormat="false" ht="15" hidden="false" customHeight="false" outlineLevel="0" collapsed="false">
      <c r="A6317" s="7" t="s">
        <v>24</v>
      </c>
      <c r="B6317" s="7" t="s">
        <v>101</v>
      </c>
      <c r="C6317" s="7" t="s">
        <v>1121</v>
      </c>
      <c r="D6317" s="7" t="n">
        <v>0</v>
      </c>
      <c r="E6317" s="7" t="n">
        <v>0</v>
      </c>
      <c r="F6317" s="7" t="n">
        <v>1</v>
      </c>
      <c r="G6317" s="7" t="n">
        <v>143.98</v>
      </c>
    </row>
    <row r="6318" customFormat="false" ht="15" hidden="false" customHeight="false" outlineLevel="0" collapsed="false">
      <c r="A6318" s="7" t="s">
        <v>24</v>
      </c>
      <c r="B6318" s="7" t="s">
        <v>101</v>
      </c>
      <c r="C6318" s="7" t="s">
        <v>1121</v>
      </c>
      <c r="D6318" s="7" t="n">
        <v>0</v>
      </c>
      <c r="E6318" s="7" t="n">
        <v>0</v>
      </c>
      <c r="F6318" s="7" t="n">
        <v>21</v>
      </c>
      <c r="G6318" s="7" t="n">
        <v>2735.79</v>
      </c>
    </row>
    <row r="6319" customFormat="false" ht="15" hidden="false" customHeight="false" outlineLevel="0" collapsed="false">
      <c r="A6319" s="7" t="s">
        <v>24</v>
      </c>
      <c r="B6319" s="7" t="s">
        <v>101</v>
      </c>
      <c r="C6319" s="7" t="s">
        <v>1121</v>
      </c>
      <c r="D6319" s="7" t="n">
        <v>0</v>
      </c>
      <c r="E6319" s="7" t="n">
        <v>0</v>
      </c>
      <c r="F6319" s="7" t="n">
        <v>1</v>
      </c>
      <c r="G6319" s="7" t="n">
        <v>143.99</v>
      </c>
    </row>
    <row r="6320" customFormat="false" ht="15" hidden="false" customHeight="false" outlineLevel="0" collapsed="false">
      <c r="A6320" s="7" t="s">
        <v>24</v>
      </c>
      <c r="B6320" s="7" t="s">
        <v>101</v>
      </c>
      <c r="C6320" s="7" t="s">
        <v>1121</v>
      </c>
      <c r="D6320" s="7" t="n">
        <v>0</v>
      </c>
      <c r="E6320" s="7" t="n">
        <v>0</v>
      </c>
      <c r="F6320" s="7" t="n">
        <v>22</v>
      </c>
      <c r="G6320" s="7" t="n">
        <v>2953.78</v>
      </c>
    </row>
    <row r="6321" customFormat="false" ht="15" hidden="false" customHeight="false" outlineLevel="0" collapsed="false">
      <c r="A6321" s="7" t="s">
        <v>24</v>
      </c>
      <c r="B6321" s="7" t="s">
        <v>101</v>
      </c>
      <c r="C6321" s="7" t="s">
        <v>1121</v>
      </c>
      <c r="D6321" s="7" t="n">
        <v>0</v>
      </c>
      <c r="E6321" s="7" t="n">
        <v>0</v>
      </c>
      <c r="F6321" s="7" t="n">
        <v>2</v>
      </c>
      <c r="G6321" s="7" t="n">
        <v>244.77</v>
      </c>
    </row>
    <row r="6322" customFormat="false" ht="15" hidden="false" customHeight="false" outlineLevel="0" collapsed="false">
      <c r="A6322" s="7" t="s">
        <v>24</v>
      </c>
      <c r="B6322" s="7" t="s">
        <v>101</v>
      </c>
      <c r="C6322" s="7" t="s">
        <v>1121</v>
      </c>
      <c r="D6322" s="7" t="n">
        <v>0</v>
      </c>
      <c r="E6322" s="7" t="n">
        <v>0</v>
      </c>
      <c r="F6322" s="7" t="n">
        <v>32</v>
      </c>
      <c r="G6322" s="7" t="n">
        <v>4175.68</v>
      </c>
    </row>
    <row r="6323" customFormat="false" ht="15" hidden="false" customHeight="false" outlineLevel="0" collapsed="false">
      <c r="A6323" s="7" t="s">
        <v>24</v>
      </c>
      <c r="B6323" s="7" t="s">
        <v>101</v>
      </c>
      <c r="C6323" s="7" t="s">
        <v>1121</v>
      </c>
      <c r="D6323" s="7" t="n">
        <v>0</v>
      </c>
      <c r="E6323" s="7" t="n">
        <v>0</v>
      </c>
      <c r="F6323" s="7" t="n">
        <v>1</v>
      </c>
      <c r="G6323" s="7" t="n">
        <v>129.59</v>
      </c>
    </row>
    <row r="6324" customFormat="false" ht="15" hidden="false" customHeight="false" outlineLevel="0" collapsed="false">
      <c r="A6324" s="7" t="s">
        <v>24</v>
      </c>
      <c r="B6324" s="7" t="s">
        <v>101</v>
      </c>
      <c r="C6324" s="7" t="s">
        <v>1121</v>
      </c>
      <c r="D6324" s="7" t="n">
        <v>0</v>
      </c>
      <c r="E6324" s="7" t="n">
        <v>0</v>
      </c>
      <c r="F6324" s="7" t="n">
        <v>1</v>
      </c>
      <c r="G6324" s="7" t="n">
        <v>122.39</v>
      </c>
    </row>
    <row r="6325" customFormat="false" ht="15" hidden="false" customHeight="false" outlineLevel="0" collapsed="false">
      <c r="A6325" s="7" t="s">
        <v>24</v>
      </c>
      <c r="B6325" s="7" t="s">
        <v>101</v>
      </c>
      <c r="C6325" s="7" t="s">
        <v>1121</v>
      </c>
      <c r="D6325" s="7" t="n">
        <v>0</v>
      </c>
      <c r="E6325" s="7" t="n">
        <v>0</v>
      </c>
      <c r="F6325" s="7" t="n">
        <v>2</v>
      </c>
      <c r="G6325" s="7" t="n">
        <v>254.15</v>
      </c>
    </row>
    <row r="6326" customFormat="false" ht="15" hidden="false" customHeight="false" outlineLevel="0" collapsed="false">
      <c r="A6326" s="7" t="s">
        <v>24</v>
      </c>
      <c r="B6326" s="7" t="s">
        <v>101</v>
      </c>
      <c r="C6326" s="7" t="s">
        <v>1121</v>
      </c>
      <c r="D6326" s="7" t="n">
        <v>0</v>
      </c>
      <c r="E6326" s="7" t="n">
        <v>0</v>
      </c>
      <c r="F6326" s="7" t="n">
        <v>4</v>
      </c>
      <c r="G6326" s="7" t="n">
        <v>525.53</v>
      </c>
    </row>
    <row r="6327" customFormat="false" ht="15" hidden="false" customHeight="false" outlineLevel="0" collapsed="false">
      <c r="A6327" s="7" t="s">
        <v>24</v>
      </c>
      <c r="B6327" s="7" t="s">
        <v>101</v>
      </c>
      <c r="C6327" s="7" t="s">
        <v>1121</v>
      </c>
      <c r="D6327" s="7" t="n">
        <v>0</v>
      </c>
      <c r="E6327" s="7" t="n">
        <v>0</v>
      </c>
      <c r="F6327" s="7" t="n">
        <v>1</v>
      </c>
      <c r="G6327" s="7" t="n">
        <v>143.99</v>
      </c>
    </row>
    <row r="6328" customFormat="false" ht="15" hidden="false" customHeight="false" outlineLevel="0" collapsed="false">
      <c r="A6328" s="7" t="s">
        <v>24</v>
      </c>
      <c r="B6328" s="7" t="s">
        <v>101</v>
      </c>
      <c r="C6328" s="7" t="s">
        <v>1121</v>
      </c>
      <c r="D6328" s="7" t="n">
        <v>0</v>
      </c>
      <c r="E6328" s="7" t="n">
        <v>0</v>
      </c>
      <c r="F6328" s="7" t="n">
        <v>3</v>
      </c>
      <c r="G6328" s="7" t="n">
        <v>340.59</v>
      </c>
    </row>
    <row r="6329" customFormat="false" ht="15" hidden="false" customHeight="false" outlineLevel="0" collapsed="false">
      <c r="A6329" s="7" t="s">
        <v>24</v>
      </c>
      <c r="B6329" s="7" t="s">
        <v>101</v>
      </c>
      <c r="C6329" s="7" t="s">
        <v>1121</v>
      </c>
      <c r="D6329" s="7" t="n">
        <v>0</v>
      </c>
      <c r="E6329" s="7" t="n">
        <v>0</v>
      </c>
      <c r="F6329" s="7" t="n">
        <v>1</v>
      </c>
      <c r="G6329" s="7" t="n">
        <v>143.98</v>
      </c>
    </row>
    <row r="6330" customFormat="false" ht="15" hidden="false" customHeight="false" outlineLevel="0" collapsed="false">
      <c r="A6330" s="7" t="s">
        <v>24</v>
      </c>
      <c r="B6330" s="7" t="s">
        <v>101</v>
      </c>
      <c r="C6330" s="7" t="s">
        <v>1121</v>
      </c>
      <c r="D6330" s="7" t="n">
        <v>0</v>
      </c>
      <c r="E6330" s="7" t="n">
        <v>0</v>
      </c>
      <c r="F6330" s="7" t="n">
        <v>1</v>
      </c>
      <c r="G6330" s="7" t="n">
        <v>115.19</v>
      </c>
    </row>
    <row r="6331" customFormat="false" ht="15" hidden="false" customHeight="false" outlineLevel="0" collapsed="false">
      <c r="A6331" s="7" t="s">
        <v>24</v>
      </c>
      <c r="B6331" s="7" t="s">
        <v>101</v>
      </c>
      <c r="C6331" s="7" t="s">
        <v>1121</v>
      </c>
      <c r="D6331" s="7" t="n">
        <v>0</v>
      </c>
      <c r="E6331" s="7" t="n">
        <v>0</v>
      </c>
      <c r="F6331" s="7" t="n">
        <v>8</v>
      </c>
      <c r="G6331" s="7" t="n">
        <v>1022.25</v>
      </c>
    </row>
    <row r="6332" customFormat="false" ht="15" hidden="false" customHeight="false" outlineLevel="0" collapsed="false">
      <c r="A6332" s="7" t="s">
        <v>24</v>
      </c>
      <c r="B6332" s="7" t="s">
        <v>101</v>
      </c>
      <c r="C6332" s="7" t="s">
        <v>1121</v>
      </c>
      <c r="D6332" s="7" t="n">
        <v>0</v>
      </c>
      <c r="E6332" s="7" t="n">
        <v>0</v>
      </c>
      <c r="F6332" s="7" t="n">
        <v>9</v>
      </c>
      <c r="G6332" s="7" t="n">
        <v>1177.81</v>
      </c>
    </row>
    <row r="6333" customFormat="false" ht="15" hidden="false" customHeight="false" outlineLevel="0" collapsed="false">
      <c r="A6333" s="7" t="s">
        <v>24</v>
      </c>
      <c r="B6333" s="7" t="s">
        <v>101</v>
      </c>
      <c r="C6333" s="7" t="s">
        <v>1121</v>
      </c>
      <c r="D6333" s="7" t="n">
        <v>0</v>
      </c>
      <c r="E6333" s="7" t="n">
        <v>0</v>
      </c>
      <c r="F6333" s="7" t="n">
        <v>1</v>
      </c>
      <c r="G6333" s="7" t="n">
        <v>143.99</v>
      </c>
    </row>
    <row r="6334" customFormat="false" ht="15" hidden="false" customHeight="false" outlineLevel="0" collapsed="false">
      <c r="A6334" s="7" t="s">
        <v>24</v>
      </c>
      <c r="B6334" s="7" t="s">
        <v>101</v>
      </c>
      <c r="C6334" s="7" t="s">
        <v>1121</v>
      </c>
      <c r="D6334" s="7" t="n">
        <v>0</v>
      </c>
      <c r="E6334" s="7" t="n">
        <v>0</v>
      </c>
      <c r="F6334" s="7" t="n">
        <v>4</v>
      </c>
      <c r="G6334" s="7" t="n">
        <v>527.71</v>
      </c>
    </row>
    <row r="6335" customFormat="false" ht="15" hidden="false" customHeight="false" outlineLevel="0" collapsed="false">
      <c r="A6335" s="7" t="s">
        <v>24</v>
      </c>
      <c r="B6335" s="7" t="s">
        <v>101</v>
      </c>
      <c r="C6335" s="7" t="s">
        <v>1121</v>
      </c>
      <c r="D6335" s="7" t="n">
        <v>0</v>
      </c>
      <c r="E6335" s="7" t="n">
        <v>0</v>
      </c>
      <c r="F6335" s="7" t="n">
        <v>1</v>
      </c>
      <c r="G6335" s="7" t="n">
        <v>143.98</v>
      </c>
    </row>
    <row r="6336" customFormat="false" ht="15" hidden="false" customHeight="false" outlineLevel="0" collapsed="false">
      <c r="A6336" s="7" t="s">
        <v>24</v>
      </c>
      <c r="B6336" s="7" t="s">
        <v>101</v>
      </c>
      <c r="C6336" s="7" t="s">
        <v>1121</v>
      </c>
      <c r="D6336" s="7" t="n">
        <v>0</v>
      </c>
      <c r="E6336" s="7" t="n">
        <v>0</v>
      </c>
      <c r="F6336" s="7" t="n">
        <v>1</v>
      </c>
      <c r="G6336" s="7" t="n">
        <v>143.99</v>
      </c>
    </row>
    <row r="6337" customFormat="false" ht="15" hidden="false" customHeight="false" outlineLevel="0" collapsed="false">
      <c r="A6337" s="7" t="s">
        <v>24</v>
      </c>
      <c r="B6337" s="7" t="s">
        <v>101</v>
      </c>
      <c r="C6337" s="7" t="s">
        <v>1121</v>
      </c>
      <c r="D6337" s="7" t="n">
        <v>0</v>
      </c>
      <c r="E6337" s="7" t="n">
        <v>0</v>
      </c>
      <c r="F6337" s="7" t="n">
        <v>2</v>
      </c>
      <c r="G6337" s="7" t="n">
        <v>259.17</v>
      </c>
    </row>
    <row r="6338" customFormat="false" ht="15" hidden="false" customHeight="false" outlineLevel="0" collapsed="false">
      <c r="A6338" s="7" t="s">
        <v>24</v>
      </c>
      <c r="B6338" s="7" t="s">
        <v>101</v>
      </c>
      <c r="C6338" s="7" t="s">
        <v>1121</v>
      </c>
      <c r="D6338" s="7" t="n">
        <v>0</v>
      </c>
      <c r="E6338" s="7" t="n">
        <v>0</v>
      </c>
      <c r="F6338" s="7" t="n">
        <v>1</v>
      </c>
      <c r="G6338" s="7" t="n">
        <v>143.99</v>
      </c>
    </row>
    <row r="6339" customFormat="false" ht="15" hidden="false" customHeight="false" outlineLevel="0" collapsed="false">
      <c r="A6339" s="7" t="s">
        <v>24</v>
      </c>
      <c r="B6339" s="7" t="s">
        <v>101</v>
      </c>
      <c r="C6339" s="7" t="s">
        <v>1121</v>
      </c>
      <c r="D6339" s="7" t="n">
        <v>0</v>
      </c>
      <c r="E6339" s="7" t="n">
        <v>0</v>
      </c>
      <c r="F6339" s="7" t="n">
        <v>1</v>
      </c>
      <c r="G6339" s="7" t="n">
        <v>115.18</v>
      </c>
    </row>
    <row r="6340" customFormat="false" ht="15" hidden="false" customHeight="false" outlineLevel="0" collapsed="false">
      <c r="A6340" s="7" t="s">
        <v>24</v>
      </c>
      <c r="B6340" s="7" t="s">
        <v>101</v>
      </c>
      <c r="C6340" s="7" t="s">
        <v>1121</v>
      </c>
      <c r="D6340" s="7" t="n">
        <v>0</v>
      </c>
      <c r="E6340" s="7" t="n">
        <v>0</v>
      </c>
      <c r="F6340" s="7" t="n">
        <v>1</v>
      </c>
      <c r="G6340" s="7" t="n">
        <v>143.99</v>
      </c>
    </row>
    <row r="6341" customFormat="false" ht="15" hidden="false" customHeight="false" outlineLevel="0" collapsed="false">
      <c r="A6341" s="7" t="s">
        <v>24</v>
      </c>
      <c r="B6341" s="7" t="s">
        <v>101</v>
      </c>
      <c r="C6341" s="7" t="s">
        <v>1121</v>
      </c>
      <c r="D6341" s="7" t="n">
        <v>0</v>
      </c>
      <c r="E6341" s="7" t="n">
        <v>0</v>
      </c>
      <c r="F6341" s="7" t="n">
        <v>1</v>
      </c>
      <c r="G6341" s="7" t="n">
        <v>143.99</v>
      </c>
    </row>
    <row r="6342" customFormat="false" ht="15" hidden="false" customHeight="false" outlineLevel="0" collapsed="false">
      <c r="A6342" s="7" t="s">
        <v>24</v>
      </c>
      <c r="B6342" s="7" t="s">
        <v>101</v>
      </c>
      <c r="C6342" s="7" t="s">
        <v>1121</v>
      </c>
      <c r="D6342" s="7" t="n">
        <v>0</v>
      </c>
      <c r="E6342" s="7" t="n">
        <v>0</v>
      </c>
      <c r="F6342" s="7" t="n">
        <v>2</v>
      </c>
      <c r="G6342" s="7" t="n">
        <v>244.78</v>
      </c>
    </row>
    <row r="6343" customFormat="false" ht="15" hidden="false" customHeight="false" outlineLevel="0" collapsed="false">
      <c r="A6343" s="7" t="s">
        <v>24</v>
      </c>
      <c r="B6343" s="7" t="s">
        <v>101</v>
      </c>
      <c r="C6343" s="7" t="s">
        <v>1121</v>
      </c>
      <c r="D6343" s="7" t="n">
        <v>0</v>
      </c>
      <c r="E6343" s="7" t="n">
        <v>0</v>
      </c>
      <c r="F6343" s="7" t="n">
        <v>1</v>
      </c>
      <c r="G6343" s="7" t="n">
        <v>143.99</v>
      </c>
    </row>
    <row r="6344" customFormat="false" ht="15" hidden="false" customHeight="false" outlineLevel="0" collapsed="false">
      <c r="A6344" s="7" t="s">
        <v>24</v>
      </c>
      <c r="B6344" s="7" t="s">
        <v>101</v>
      </c>
      <c r="C6344" s="7" t="s">
        <v>1121</v>
      </c>
      <c r="D6344" s="7" t="n">
        <v>0</v>
      </c>
      <c r="E6344" s="7" t="n">
        <v>0</v>
      </c>
      <c r="F6344" s="7" t="n">
        <v>2</v>
      </c>
      <c r="G6344" s="7" t="n">
        <v>287.97</v>
      </c>
    </row>
    <row r="6345" customFormat="false" ht="15" hidden="false" customHeight="false" outlineLevel="0" collapsed="false">
      <c r="A6345" s="7" t="s">
        <v>24</v>
      </c>
      <c r="B6345" s="7" t="s">
        <v>101</v>
      </c>
      <c r="C6345" s="7" t="s">
        <v>1121</v>
      </c>
      <c r="D6345" s="7" t="n">
        <v>0</v>
      </c>
      <c r="E6345" s="7" t="n">
        <v>0</v>
      </c>
      <c r="F6345" s="7" t="n">
        <v>2</v>
      </c>
      <c r="G6345" s="7" t="n">
        <v>266.37</v>
      </c>
    </row>
    <row r="6346" customFormat="false" ht="15" hidden="false" customHeight="false" outlineLevel="0" collapsed="false">
      <c r="A6346" s="7" t="s">
        <v>24</v>
      </c>
      <c r="B6346" s="7" t="s">
        <v>101</v>
      </c>
      <c r="C6346" s="7" t="s">
        <v>1121</v>
      </c>
      <c r="D6346" s="7" t="n">
        <v>0</v>
      </c>
      <c r="E6346" s="7" t="n">
        <v>0</v>
      </c>
      <c r="F6346" s="7" t="n">
        <v>1</v>
      </c>
      <c r="G6346" s="7" t="n">
        <v>129.59</v>
      </c>
    </row>
    <row r="6347" customFormat="false" ht="15" hidden="false" customHeight="false" outlineLevel="0" collapsed="false">
      <c r="A6347" s="7" t="s">
        <v>24</v>
      </c>
      <c r="B6347" s="7" t="s">
        <v>101</v>
      </c>
      <c r="C6347" s="7" t="s">
        <v>1121</v>
      </c>
      <c r="D6347" s="7" t="n">
        <v>0</v>
      </c>
      <c r="E6347" s="7" t="n">
        <v>0</v>
      </c>
      <c r="F6347" s="7" t="n">
        <v>1</v>
      </c>
      <c r="G6347" s="7" t="n">
        <v>129.58</v>
      </c>
    </row>
    <row r="6348" customFormat="false" ht="15" hidden="false" customHeight="false" outlineLevel="0" collapsed="false">
      <c r="A6348" s="7" t="s">
        <v>24</v>
      </c>
      <c r="B6348" s="7" t="s">
        <v>101</v>
      </c>
      <c r="C6348" s="7" t="s">
        <v>1121</v>
      </c>
      <c r="D6348" s="7" t="n">
        <v>0</v>
      </c>
      <c r="E6348" s="7" t="n">
        <v>0</v>
      </c>
      <c r="F6348" s="7" t="n">
        <v>1</v>
      </c>
      <c r="G6348" s="7" t="n">
        <v>129.58</v>
      </c>
    </row>
    <row r="6349" customFormat="false" ht="15" hidden="false" customHeight="false" outlineLevel="0" collapsed="false">
      <c r="A6349" s="7" t="s">
        <v>24</v>
      </c>
      <c r="B6349" s="7" t="s">
        <v>101</v>
      </c>
      <c r="C6349" s="7" t="s">
        <v>1121</v>
      </c>
      <c r="D6349" s="7" t="n">
        <v>0</v>
      </c>
      <c r="E6349" s="7" t="n">
        <v>0</v>
      </c>
      <c r="F6349" s="7" t="n">
        <v>1</v>
      </c>
      <c r="G6349" s="7" t="n">
        <v>143.97</v>
      </c>
    </row>
    <row r="6350" customFormat="false" ht="15" hidden="false" customHeight="false" outlineLevel="0" collapsed="false">
      <c r="A6350" s="7" t="s">
        <v>24</v>
      </c>
      <c r="B6350" s="7" t="s">
        <v>101</v>
      </c>
      <c r="C6350" s="7" t="s">
        <v>1121</v>
      </c>
      <c r="D6350" s="7" t="n">
        <v>0</v>
      </c>
      <c r="E6350" s="7" t="n">
        <v>0</v>
      </c>
      <c r="F6350" s="7" t="n">
        <v>1</v>
      </c>
      <c r="G6350" s="7" t="n">
        <v>129.59</v>
      </c>
    </row>
    <row r="6351" customFormat="false" ht="15" hidden="false" customHeight="false" outlineLevel="0" collapsed="false">
      <c r="A6351" s="7" t="s">
        <v>24</v>
      </c>
      <c r="B6351" s="7" t="s">
        <v>101</v>
      </c>
      <c r="C6351" s="7" t="s">
        <v>1121</v>
      </c>
      <c r="D6351" s="7" t="n">
        <v>0</v>
      </c>
      <c r="E6351" s="7" t="n">
        <v>0</v>
      </c>
      <c r="F6351" s="7" t="n">
        <v>1</v>
      </c>
      <c r="G6351" s="7" t="n">
        <v>129.58</v>
      </c>
    </row>
    <row r="6352" customFormat="false" ht="15" hidden="false" customHeight="false" outlineLevel="0" collapsed="false">
      <c r="A6352" s="7" t="s">
        <v>24</v>
      </c>
      <c r="B6352" s="7" t="s">
        <v>101</v>
      </c>
      <c r="C6352" s="7" t="s">
        <v>1121</v>
      </c>
      <c r="D6352" s="7" t="n">
        <v>0</v>
      </c>
      <c r="E6352" s="7" t="n">
        <v>0</v>
      </c>
      <c r="F6352" s="7" t="n">
        <v>1</v>
      </c>
      <c r="G6352" s="7" t="n">
        <v>143.99</v>
      </c>
    </row>
    <row r="6353" customFormat="false" ht="15" hidden="false" customHeight="false" outlineLevel="0" collapsed="false">
      <c r="A6353" s="7" t="s">
        <v>24</v>
      </c>
      <c r="B6353" s="7" t="s">
        <v>101</v>
      </c>
      <c r="C6353" s="7" t="s">
        <v>1121</v>
      </c>
      <c r="D6353" s="7" t="n">
        <v>0</v>
      </c>
      <c r="E6353" s="7" t="n">
        <v>0</v>
      </c>
      <c r="F6353" s="7" t="n">
        <v>1</v>
      </c>
      <c r="G6353" s="7" t="n">
        <v>115.18</v>
      </c>
    </row>
    <row r="6354" customFormat="false" ht="15" hidden="false" customHeight="false" outlineLevel="0" collapsed="false">
      <c r="A6354" s="7" t="s">
        <v>24</v>
      </c>
      <c r="B6354" s="7" t="s">
        <v>101</v>
      </c>
      <c r="C6354" s="7" t="s">
        <v>1121</v>
      </c>
      <c r="D6354" s="7" t="n">
        <v>0</v>
      </c>
      <c r="E6354" s="7" t="n">
        <v>0</v>
      </c>
      <c r="F6354" s="7" t="n">
        <v>1</v>
      </c>
      <c r="G6354" s="7" t="n">
        <v>115.18</v>
      </c>
    </row>
    <row r="6355" customFormat="false" ht="15" hidden="false" customHeight="false" outlineLevel="0" collapsed="false">
      <c r="A6355" s="7" t="s">
        <v>24</v>
      </c>
      <c r="B6355" s="7" t="s">
        <v>101</v>
      </c>
      <c r="C6355" s="7" t="s">
        <v>1121</v>
      </c>
      <c r="D6355" s="7" t="n">
        <v>0</v>
      </c>
      <c r="E6355" s="7" t="n">
        <v>0</v>
      </c>
      <c r="F6355" s="7" t="n">
        <v>1</v>
      </c>
      <c r="G6355" s="7" t="n">
        <v>143.99</v>
      </c>
    </row>
    <row r="6356" customFormat="false" ht="15" hidden="false" customHeight="false" outlineLevel="0" collapsed="false">
      <c r="A6356" s="7" t="s">
        <v>24</v>
      </c>
      <c r="B6356" s="7" t="s">
        <v>101</v>
      </c>
      <c r="C6356" s="7" t="s">
        <v>1121</v>
      </c>
      <c r="D6356" s="7" t="n">
        <v>0</v>
      </c>
      <c r="E6356" s="7" t="n">
        <v>0</v>
      </c>
      <c r="F6356" s="7" t="n">
        <v>1</v>
      </c>
      <c r="G6356" s="7" t="n">
        <v>122.39</v>
      </c>
    </row>
    <row r="6357" customFormat="false" ht="15" hidden="false" customHeight="false" outlineLevel="0" collapsed="false">
      <c r="A6357" s="7" t="s">
        <v>24</v>
      </c>
      <c r="B6357" s="7" t="s">
        <v>101</v>
      </c>
      <c r="C6357" s="7" t="s">
        <v>1121</v>
      </c>
      <c r="D6357" s="7" t="n">
        <v>0</v>
      </c>
      <c r="E6357" s="7" t="n">
        <v>0</v>
      </c>
      <c r="F6357" s="7" t="n">
        <v>1</v>
      </c>
      <c r="G6357" s="7" t="n">
        <v>129.58</v>
      </c>
    </row>
    <row r="6358" customFormat="false" ht="15" hidden="false" customHeight="false" outlineLevel="0" collapsed="false">
      <c r="A6358" s="7" t="s">
        <v>24</v>
      </c>
      <c r="B6358" s="7" t="s">
        <v>101</v>
      </c>
      <c r="C6358" s="7" t="s">
        <v>1121</v>
      </c>
      <c r="D6358" s="7" t="n">
        <v>-1</v>
      </c>
      <c r="E6358" s="7" t="n">
        <v>-121.4</v>
      </c>
      <c r="F6358" s="7" t="n">
        <v>3</v>
      </c>
      <c r="G6358" s="7" t="n">
        <v>336.23</v>
      </c>
    </row>
    <row r="6359" customFormat="false" ht="15" hidden="false" customHeight="false" outlineLevel="0" collapsed="false">
      <c r="A6359" s="7" t="s">
        <v>24</v>
      </c>
      <c r="B6359" s="7" t="s">
        <v>101</v>
      </c>
      <c r="C6359" s="7" t="s">
        <v>1121</v>
      </c>
      <c r="D6359" s="7" t="n">
        <v>0</v>
      </c>
      <c r="E6359" s="7" t="n">
        <v>0</v>
      </c>
      <c r="F6359" s="7" t="n">
        <v>1</v>
      </c>
      <c r="G6359" s="7" t="n">
        <v>143.98</v>
      </c>
    </row>
    <row r="6360" customFormat="false" ht="15" hidden="false" customHeight="false" outlineLevel="0" collapsed="false">
      <c r="A6360" s="7" t="s">
        <v>24</v>
      </c>
      <c r="B6360" s="7" t="s">
        <v>101</v>
      </c>
      <c r="C6360" s="7" t="s">
        <v>1121</v>
      </c>
      <c r="D6360" s="7" t="n">
        <v>0</v>
      </c>
      <c r="E6360" s="7" t="n">
        <v>0</v>
      </c>
      <c r="F6360" s="7" t="n">
        <v>1</v>
      </c>
      <c r="G6360" s="7" t="n">
        <v>143.98</v>
      </c>
    </row>
    <row r="6361" customFormat="false" ht="15" hidden="false" customHeight="false" outlineLevel="0" collapsed="false">
      <c r="A6361" s="7" t="s">
        <v>24</v>
      </c>
      <c r="B6361" s="7" t="s">
        <v>101</v>
      </c>
      <c r="C6361" s="7" t="s">
        <v>1121</v>
      </c>
      <c r="D6361" s="7" t="n">
        <v>0</v>
      </c>
      <c r="E6361" s="7" t="n">
        <v>0</v>
      </c>
      <c r="F6361" s="7" t="n">
        <v>2</v>
      </c>
      <c r="G6361" s="7" t="n">
        <v>201.58</v>
      </c>
    </row>
    <row r="6362" customFormat="false" ht="15" hidden="false" customHeight="false" outlineLevel="0" collapsed="false">
      <c r="A6362" s="7" t="s">
        <v>24</v>
      </c>
      <c r="B6362" s="7" t="s">
        <v>101</v>
      </c>
      <c r="C6362" s="7" t="s">
        <v>1121</v>
      </c>
      <c r="D6362" s="7" t="n">
        <v>0</v>
      </c>
      <c r="E6362" s="7" t="n">
        <v>0</v>
      </c>
      <c r="F6362" s="7" t="n">
        <v>2</v>
      </c>
      <c r="G6362" s="7" t="n">
        <v>287.97</v>
      </c>
    </row>
    <row r="6363" customFormat="false" ht="15" hidden="false" customHeight="false" outlineLevel="0" collapsed="false">
      <c r="A6363" s="7" t="s">
        <v>24</v>
      </c>
      <c r="B6363" s="7" t="s">
        <v>101</v>
      </c>
      <c r="C6363" s="7" t="s">
        <v>1121</v>
      </c>
      <c r="D6363" s="7" t="n">
        <v>0</v>
      </c>
      <c r="E6363" s="7" t="n">
        <v>0</v>
      </c>
      <c r="F6363" s="7" t="n">
        <v>3</v>
      </c>
      <c r="G6363" s="7" t="n">
        <v>403.17</v>
      </c>
    </row>
    <row r="6364" customFormat="false" ht="15" hidden="false" customHeight="false" outlineLevel="0" collapsed="false">
      <c r="A6364" s="7" t="s">
        <v>24</v>
      </c>
      <c r="B6364" s="7" t="s">
        <v>101</v>
      </c>
      <c r="C6364" s="7" t="s">
        <v>1121</v>
      </c>
      <c r="D6364" s="7" t="n">
        <v>0</v>
      </c>
      <c r="E6364" s="7" t="n">
        <v>0</v>
      </c>
      <c r="F6364" s="7" t="n">
        <v>5</v>
      </c>
      <c r="G6364" s="7" t="n">
        <v>676.75</v>
      </c>
    </row>
    <row r="6365" customFormat="false" ht="15" hidden="false" customHeight="false" outlineLevel="0" collapsed="false">
      <c r="A6365" s="7" t="s">
        <v>24</v>
      </c>
      <c r="B6365" s="7" t="s">
        <v>101</v>
      </c>
      <c r="C6365" s="7" t="s">
        <v>1121</v>
      </c>
      <c r="D6365" s="7" t="n">
        <v>0</v>
      </c>
      <c r="E6365" s="7" t="n">
        <v>0</v>
      </c>
      <c r="F6365" s="7" t="n">
        <v>5</v>
      </c>
      <c r="G6365" s="7" t="n">
        <v>676.71</v>
      </c>
    </row>
    <row r="6366" customFormat="false" ht="15" hidden="false" customHeight="false" outlineLevel="0" collapsed="false">
      <c r="A6366" s="7" t="s">
        <v>24</v>
      </c>
      <c r="B6366" s="7" t="s">
        <v>101</v>
      </c>
      <c r="C6366" s="7" t="s">
        <v>1121</v>
      </c>
      <c r="D6366" s="7" t="n">
        <v>0</v>
      </c>
      <c r="E6366" s="7" t="n">
        <v>0</v>
      </c>
      <c r="F6366" s="7" t="n">
        <v>1</v>
      </c>
      <c r="G6366" s="7" t="n">
        <v>127.08</v>
      </c>
    </row>
    <row r="6367" customFormat="false" ht="15" hidden="false" customHeight="false" outlineLevel="0" collapsed="false">
      <c r="A6367" s="7" t="s">
        <v>24</v>
      </c>
      <c r="B6367" s="7" t="s">
        <v>101</v>
      </c>
      <c r="C6367" s="7" t="s">
        <v>1121</v>
      </c>
      <c r="D6367" s="7" t="n">
        <v>0</v>
      </c>
      <c r="E6367" s="7" t="n">
        <v>0</v>
      </c>
      <c r="F6367" s="7" t="n">
        <v>1</v>
      </c>
      <c r="G6367" s="7" t="n">
        <v>143.98</v>
      </c>
    </row>
    <row r="6368" customFormat="false" ht="15" hidden="false" customHeight="false" outlineLevel="0" collapsed="false">
      <c r="A6368" s="7" t="s">
        <v>24</v>
      </c>
      <c r="B6368" s="7" t="s">
        <v>101</v>
      </c>
      <c r="C6368" s="7" t="s">
        <v>1121</v>
      </c>
      <c r="D6368" s="7" t="n">
        <v>0</v>
      </c>
      <c r="E6368" s="7" t="n">
        <v>0</v>
      </c>
      <c r="F6368" s="7" t="n">
        <v>1</v>
      </c>
      <c r="G6368" s="7" t="n">
        <v>115.19</v>
      </c>
    </row>
    <row r="6369" customFormat="false" ht="15" hidden="false" customHeight="false" outlineLevel="0" collapsed="false">
      <c r="A6369" s="7" t="s">
        <v>24</v>
      </c>
      <c r="B6369" s="7" t="s">
        <v>101</v>
      </c>
      <c r="C6369" s="7" t="s">
        <v>1121</v>
      </c>
      <c r="D6369" s="7" t="n">
        <v>0</v>
      </c>
      <c r="E6369" s="7" t="n">
        <v>0</v>
      </c>
      <c r="F6369" s="7" t="n">
        <v>1</v>
      </c>
      <c r="G6369" s="7" t="n">
        <v>129.59</v>
      </c>
    </row>
    <row r="6370" customFormat="false" ht="15" hidden="false" customHeight="false" outlineLevel="0" collapsed="false">
      <c r="A6370" s="7" t="s">
        <v>24</v>
      </c>
      <c r="B6370" s="7" t="s">
        <v>101</v>
      </c>
      <c r="C6370" s="7" t="s">
        <v>1121</v>
      </c>
      <c r="D6370" s="7" t="n">
        <v>0</v>
      </c>
      <c r="E6370" s="7" t="n">
        <v>0</v>
      </c>
      <c r="F6370" s="7" t="n">
        <v>1</v>
      </c>
      <c r="G6370" s="7" t="n">
        <v>143.98</v>
      </c>
    </row>
    <row r="6371" customFormat="false" ht="15" hidden="false" customHeight="false" outlineLevel="0" collapsed="false">
      <c r="A6371" s="7" t="s">
        <v>24</v>
      </c>
      <c r="B6371" s="7" t="s">
        <v>101</v>
      </c>
      <c r="C6371" s="7" t="s">
        <v>1121</v>
      </c>
      <c r="D6371" s="7" t="n">
        <v>0</v>
      </c>
      <c r="E6371" s="7" t="n">
        <v>0</v>
      </c>
      <c r="F6371" s="7" t="n">
        <v>2</v>
      </c>
      <c r="G6371" s="7" t="n">
        <v>287.97</v>
      </c>
    </row>
    <row r="6372" customFormat="false" ht="15" hidden="false" customHeight="false" outlineLevel="0" collapsed="false">
      <c r="A6372" s="7" t="s">
        <v>24</v>
      </c>
      <c r="B6372" s="7" t="s">
        <v>101</v>
      </c>
      <c r="C6372" s="7" t="s">
        <v>1121</v>
      </c>
      <c r="D6372" s="7" t="n">
        <v>0</v>
      </c>
      <c r="E6372" s="7" t="n">
        <v>0</v>
      </c>
      <c r="F6372" s="7" t="n">
        <v>3</v>
      </c>
      <c r="G6372" s="7" t="n">
        <v>398.13</v>
      </c>
    </row>
    <row r="6373" customFormat="false" ht="15" hidden="false" customHeight="false" outlineLevel="0" collapsed="false">
      <c r="A6373" s="7" t="s">
        <v>24</v>
      </c>
      <c r="B6373" s="7" t="s">
        <v>101</v>
      </c>
      <c r="C6373" s="7" t="s">
        <v>1121</v>
      </c>
      <c r="D6373" s="7" t="n">
        <v>0</v>
      </c>
      <c r="E6373" s="7" t="n">
        <v>0</v>
      </c>
      <c r="F6373" s="7" t="n">
        <v>1</v>
      </c>
      <c r="G6373" s="7" t="n">
        <v>143.98</v>
      </c>
    </row>
    <row r="6374" customFormat="false" ht="15" hidden="false" customHeight="false" outlineLevel="0" collapsed="false">
      <c r="A6374" s="7" t="s">
        <v>24</v>
      </c>
      <c r="B6374" s="7" t="s">
        <v>101</v>
      </c>
      <c r="C6374" s="7" t="s">
        <v>1121</v>
      </c>
      <c r="D6374" s="7" t="n">
        <v>0</v>
      </c>
      <c r="E6374" s="7" t="n">
        <v>0</v>
      </c>
      <c r="F6374" s="7" t="n">
        <v>1</v>
      </c>
      <c r="G6374" s="7" t="n">
        <v>115.18</v>
      </c>
    </row>
    <row r="6375" customFormat="false" ht="15" hidden="false" customHeight="false" outlineLevel="0" collapsed="false">
      <c r="A6375" s="7" t="s">
        <v>24</v>
      </c>
      <c r="B6375" s="7" t="s">
        <v>101</v>
      </c>
      <c r="C6375" s="7" t="s">
        <v>1121</v>
      </c>
      <c r="D6375" s="7" t="n">
        <v>0</v>
      </c>
      <c r="E6375" s="7" t="n">
        <v>0</v>
      </c>
      <c r="F6375" s="7" t="n">
        <v>1</v>
      </c>
      <c r="G6375" s="7" t="n">
        <v>129.59</v>
      </c>
    </row>
    <row r="6376" customFormat="false" ht="15" hidden="false" customHeight="false" outlineLevel="0" collapsed="false">
      <c r="A6376" s="7" t="s">
        <v>24</v>
      </c>
      <c r="B6376" s="7" t="s">
        <v>101</v>
      </c>
      <c r="C6376" s="7" t="s">
        <v>1121</v>
      </c>
      <c r="D6376" s="7" t="n">
        <v>0</v>
      </c>
      <c r="E6376" s="7" t="n">
        <v>0</v>
      </c>
      <c r="F6376" s="7" t="n">
        <v>2</v>
      </c>
      <c r="G6376" s="7" t="n">
        <v>254.15</v>
      </c>
    </row>
    <row r="6377" customFormat="false" ht="15" hidden="false" customHeight="false" outlineLevel="0" collapsed="false">
      <c r="A6377" s="7" t="s">
        <v>24</v>
      </c>
      <c r="B6377" s="7" t="s">
        <v>101</v>
      </c>
      <c r="C6377" s="7" t="s">
        <v>1121</v>
      </c>
      <c r="D6377" s="7" t="n">
        <v>0</v>
      </c>
      <c r="E6377" s="7" t="n">
        <v>0</v>
      </c>
      <c r="F6377" s="7" t="n">
        <v>1</v>
      </c>
      <c r="G6377" s="7" t="n">
        <v>143.99</v>
      </c>
    </row>
    <row r="6378" customFormat="false" ht="15" hidden="false" customHeight="false" outlineLevel="0" collapsed="false">
      <c r="A6378" s="7" t="s">
        <v>24</v>
      </c>
      <c r="B6378" s="7" t="s">
        <v>101</v>
      </c>
      <c r="C6378" s="7" t="s">
        <v>1121</v>
      </c>
      <c r="D6378" s="7" t="n">
        <v>0</v>
      </c>
      <c r="E6378" s="7" t="n">
        <v>0</v>
      </c>
      <c r="F6378" s="7" t="n">
        <v>1</v>
      </c>
      <c r="G6378" s="7" t="n">
        <v>143.98</v>
      </c>
    </row>
    <row r="6379" customFormat="false" ht="15" hidden="false" customHeight="false" outlineLevel="0" collapsed="false">
      <c r="A6379" s="7" t="s">
        <v>24</v>
      </c>
      <c r="B6379" s="7" t="s">
        <v>101</v>
      </c>
      <c r="C6379" s="7" t="s">
        <v>1121</v>
      </c>
      <c r="D6379" s="7" t="n">
        <v>0</v>
      </c>
      <c r="E6379" s="7" t="n">
        <v>0</v>
      </c>
      <c r="F6379" s="7" t="n">
        <v>1</v>
      </c>
      <c r="G6379" s="7" t="n">
        <v>143.99</v>
      </c>
    </row>
    <row r="6380" customFormat="false" ht="15" hidden="false" customHeight="false" outlineLevel="0" collapsed="false">
      <c r="A6380" s="7" t="s">
        <v>24</v>
      </c>
      <c r="B6380" s="7" t="s">
        <v>101</v>
      </c>
      <c r="C6380" s="7" t="s">
        <v>1121</v>
      </c>
      <c r="D6380" s="7" t="n">
        <v>0</v>
      </c>
      <c r="E6380" s="7" t="n">
        <v>0</v>
      </c>
      <c r="F6380" s="7" t="n">
        <v>1</v>
      </c>
      <c r="G6380" s="7" t="n">
        <v>115.18</v>
      </c>
    </row>
    <row r="6381" customFormat="false" ht="15" hidden="false" customHeight="false" outlineLevel="0" collapsed="false">
      <c r="A6381" s="7" t="s">
        <v>24</v>
      </c>
      <c r="B6381" s="7" t="s">
        <v>101</v>
      </c>
      <c r="C6381" s="7" t="s">
        <v>1121</v>
      </c>
      <c r="D6381" s="7" t="n">
        <v>0</v>
      </c>
      <c r="E6381" s="7" t="n">
        <v>0</v>
      </c>
      <c r="F6381" s="7" t="n">
        <v>21</v>
      </c>
      <c r="G6381" s="7" t="n">
        <v>2764.59</v>
      </c>
    </row>
    <row r="6382" customFormat="false" ht="15" hidden="false" customHeight="false" outlineLevel="0" collapsed="false">
      <c r="A6382" s="7" t="s">
        <v>24</v>
      </c>
      <c r="B6382" s="7" t="s">
        <v>101</v>
      </c>
      <c r="C6382" s="7" t="s">
        <v>1121</v>
      </c>
      <c r="D6382" s="7" t="n">
        <v>0</v>
      </c>
      <c r="E6382" s="7" t="n">
        <v>0</v>
      </c>
      <c r="F6382" s="7" t="n">
        <v>1</v>
      </c>
      <c r="G6382" s="7" t="n">
        <v>143.98</v>
      </c>
    </row>
    <row r="6383" customFormat="false" ht="15" hidden="false" customHeight="false" outlineLevel="0" collapsed="false">
      <c r="A6383" s="7" t="s">
        <v>24</v>
      </c>
      <c r="B6383" s="7" t="s">
        <v>101</v>
      </c>
      <c r="C6383" s="7" t="s">
        <v>1121</v>
      </c>
      <c r="D6383" s="7" t="n">
        <v>110</v>
      </c>
      <c r="E6383" s="7" t="n">
        <v>13407.21</v>
      </c>
      <c r="F6383" s="7" t="n">
        <v>0</v>
      </c>
      <c r="G6383" s="7" t="n">
        <v>0</v>
      </c>
    </row>
    <row r="6384" customFormat="false" ht="15" hidden="false" customHeight="false" outlineLevel="0" collapsed="false">
      <c r="A6384" s="7" t="s">
        <v>24</v>
      </c>
      <c r="B6384" s="7" t="s">
        <v>101</v>
      </c>
      <c r="C6384" s="7" t="s">
        <v>1121</v>
      </c>
      <c r="D6384" s="7" t="n">
        <v>0</v>
      </c>
      <c r="E6384" s="7" t="n">
        <v>0</v>
      </c>
      <c r="F6384" s="7" t="n">
        <v>1</v>
      </c>
      <c r="G6384" s="7" t="n">
        <v>143.98</v>
      </c>
    </row>
    <row r="6385" customFormat="false" ht="15" hidden="false" customHeight="false" outlineLevel="0" collapsed="false">
      <c r="A6385" s="7" t="s">
        <v>24</v>
      </c>
      <c r="B6385" s="7" t="s">
        <v>101</v>
      </c>
      <c r="C6385" s="7" t="s">
        <v>1121</v>
      </c>
      <c r="D6385" s="7" t="n">
        <v>0</v>
      </c>
      <c r="E6385" s="7" t="n">
        <v>0</v>
      </c>
      <c r="F6385" s="7" t="n">
        <v>1</v>
      </c>
      <c r="G6385" s="7" t="n">
        <v>143.99</v>
      </c>
    </row>
    <row r="6386" customFormat="false" ht="15" hidden="false" customHeight="false" outlineLevel="0" collapsed="false">
      <c r="A6386" s="7" t="s">
        <v>24</v>
      </c>
      <c r="B6386" s="7" t="s">
        <v>101</v>
      </c>
      <c r="C6386" s="7" t="s">
        <v>1121</v>
      </c>
      <c r="D6386" s="7" t="n">
        <v>0</v>
      </c>
      <c r="E6386" s="7" t="n">
        <v>0</v>
      </c>
      <c r="F6386" s="7" t="n">
        <v>1</v>
      </c>
      <c r="G6386" s="7" t="n">
        <v>129.59</v>
      </c>
    </row>
    <row r="6387" customFormat="false" ht="15" hidden="false" customHeight="false" outlineLevel="0" collapsed="false">
      <c r="A6387" s="7" t="s">
        <v>24</v>
      </c>
      <c r="B6387" s="7" t="s">
        <v>101</v>
      </c>
      <c r="C6387" s="7" t="s">
        <v>1121</v>
      </c>
      <c r="D6387" s="7" t="n">
        <v>0</v>
      </c>
      <c r="E6387" s="7" t="n">
        <v>0</v>
      </c>
      <c r="F6387" s="7" t="n">
        <v>1</v>
      </c>
      <c r="G6387" s="7" t="n">
        <v>143.99</v>
      </c>
    </row>
    <row r="6388" customFormat="false" ht="15" hidden="false" customHeight="false" outlineLevel="0" collapsed="false">
      <c r="A6388" s="7" t="s">
        <v>24</v>
      </c>
      <c r="B6388" s="7" t="s">
        <v>101</v>
      </c>
      <c r="C6388" s="7" t="s">
        <v>1121</v>
      </c>
      <c r="D6388" s="7" t="n">
        <v>0</v>
      </c>
      <c r="E6388" s="7" t="n">
        <v>0</v>
      </c>
      <c r="F6388" s="7" t="n">
        <v>1</v>
      </c>
      <c r="G6388" s="7" t="n">
        <v>122.39</v>
      </c>
    </row>
    <row r="6389" customFormat="false" ht="15" hidden="false" customHeight="false" outlineLevel="0" collapsed="false">
      <c r="A6389" s="7" t="s">
        <v>24</v>
      </c>
      <c r="B6389" s="7" t="s">
        <v>101</v>
      </c>
      <c r="C6389" s="7" t="s">
        <v>1121</v>
      </c>
      <c r="D6389" s="7" t="n">
        <v>0</v>
      </c>
      <c r="E6389" s="7" t="n">
        <v>0</v>
      </c>
      <c r="F6389" s="7" t="n">
        <v>1</v>
      </c>
      <c r="G6389" s="7" t="n">
        <v>143.98</v>
      </c>
    </row>
    <row r="6390" customFormat="false" ht="15" hidden="false" customHeight="false" outlineLevel="0" collapsed="false">
      <c r="A6390" s="7" t="s">
        <v>24</v>
      </c>
      <c r="B6390" s="7" t="s">
        <v>101</v>
      </c>
      <c r="C6390" s="7" t="s">
        <v>1121</v>
      </c>
      <c r="D6390" s="7" t="n">
        <v>0</v>
      </c>
      <c r="E6390" s="7" t="n">
        <v>0</v>
      </c>
      <c r="F6390" s="7" t="n">
        <v>2</v>
      </c>
      <c r="G6390" s="7" t="n">
        <v>287.98</v>
      </c>
    </row>
    <row r="6391" customFormat="false" ht="15" hidden="false" customHeight="false" outlineLevel="0" collapsed="false">
      <c r="A6391" s="7" t="s">
        <v>24</v>
      </c>
      <c r="B6391" s="7" t="s">
        <v>101</v>
      </c>
      <c r="C6391" s="7" t="s">
        <v>1121</v>
      </c>
      <c r="D6391" s="7" t="n">
        <v>0</v>
      </c>
      <c r="E6391" s="7" t="n">
        <v>0</v>
      </c>
      <c r="F6391" s="7" t="n">
        <v>1</v>
      </c>
      <c r="G6391" s="7" t="n">
        <v>143.99</v>
      </c>
    </row>
    <row r="6392" customFormat="false" ht="15" hidden="false" customHeight="false" outlineLevel="0" collapsed="false">
      <c r="A6392" s="7" t="s">
        <v>24</v>
      </c>
      <c r="B6392" s="7" t="s">
        <v>101</v>
      </c>
      <c r="C6392" s="7" t="s">
        <v>1121</v>
      </c>
      <c r="D6392" s="7" t="n">
        <v>0</v>
      </c>
      <c r="E6392" s="7" t="n">
        <v>0</v>
      </c>
      <c r="F6392" s="7" t="n">
        <v>9</v>
      </c>
      <c r="G6392" s="7" t="n">
        <v>1166.31</v>
      </c>
    </row>
    <row r="6393" customFormat="false" ht="15" hidden="false" customHeight="false" outlineLevel="0" collapsed="false">
      <c r="A6393" s="7" t="s">
        <v>24</v>
      </c>
      <c r="B6393" s="7" t="s">
        <v>101</v>
      </c>
      <c r="C6393" s="7" t="s">
        <v>1121</v>
      </c>
      <c r="D6393" s="7" t="n">
        <v>0</v>
      </c>
      <c r="E6393" s="7" t="n">
        <v>0</v>
      </c>
      <c r="F6393" s="7" t="n">
        <v>5</v>
      </c>
      <c r="G6393" s="7" t="n">
        <v>662.32</v>
      </c>
    </row>
    <row r="6394" customFormat="false" ht="15" hidden="false" customHeight="false" outlineLevel="0" collapsed="false">
      <c r="A6394" s="7" t="s">
        <v>24</v>
      </c>
      <c r="B6394" s="7" t="s">
        <v>101</v>
      </c>
      <c r="C6394" s="7" t="s">
        <v>1121</v>
      </c>
      <c r="D6394" s="7" t="n">
        <v>0</v>
      </c>
      <c r="E6394" s="7" t="n">
        <v>0</v>
      </c>
      <c r="F6394" s="7" t="n">
        <v>1</v>
      </c>
      <c r="G6394" s="7" t="n">
        <v>115.19</v>
      </c>
    </row>
    <row r="6395" customFormat="false" ht="15" hidden="false" customHeight="false" outlineLevel="0" collapsed="false">
      <c r="A6395" s="7" t="s">
        <v>24</v>
      </c>
      <c r="B6395" s="7" t="s">
        <v>101</v>
      </c>
      <c r="C6395" s="7" t="s">
        <v>1121</v>
      </c>
      <c r="D6395" s="7" t="n">
        <v>0</v>
      </c>
      <c r="E6395" s="7" t="n">
        <v>0</v>
      </c>
      <c r="F6395" s="7" t="n">
        <v>4</v>
      </c>
      <c r="G6395" s="7" t="n">
        <v>503.96</v>
      </c>
    </row>
    <row r="6396" customFormat="false" ht="15" hidden="false" customHeight="false" outlineLevel="0" collapsed="false">
      <c r="A6396" s="7" t="s">
        <v>24</v>
      </c>
      <c r="B6396" s="7" t="s">
        <v>101</v>
      </c>
      <c r="C6396" s="7" t="s">
        <v>1121</v>
      </c>
      <c r="D6396" s="7" t="n">
        <v>0</v>
      </c>
      <c r="E6396" s="7" t="n">
        <v>0</v>
      </c>
      <c r="F6396" s="7" t="n">
        <v>1</v>
      </c>
      <c r="G6396" s="7" t="n">
        <v>143.99</v>
      </c>
    </row>
    <row r="6397" customFormat="false" ht="15" hidden="false" customHeight="false" outlineLevel="0" collapsed="false">
      <c r="A6397" s="7" t="s">
        <v>24</v>
      </c>
      <c r="B6397" s="7" t="s">
        <v>101</v>
      </c>
      <c r="C6397" s="7" t="s">
        <v>1121</v>
      </c>
      <c r="D6397" s="7" t="n">
        <v>0</v>
      </c>
      <c r="E6397" s="7" t="n">
        <v>0</v>
      </c>
      <c r="F6397" s="7" t="n">
        <v>15</v>
      </c>
      <c r="G6397" s="7" t="n">
        <v>1943.85</v>
      </c>
    </row>
    <row r="6398" customFormat="false" ht="15" hidden="false" customHeight="false" outlineLevel="0" collapsed="false">
      <c r="A6398" s="7" t="s">
        <v>24</v>
      </c>
      <c r="B6398" s="7" t="s">
        <v>101</v>
      </c>
      <c r="C6398" s="7" t="s">
        <v>1121</v>
      </c>
      <c r="D6398" s="7" t="n">
        <v>0</v>
      </c>
      <c r="E6398" s="7" t="n">
        <v>0</v>
      </c>
      <c r="F6398" s="7" t="n">
        <v>1</v>
      </c>
      <c r="G6398" s="7" t="n">
        <v>143.97</v>
      </c>
    </row>
    <row r="6399" customFormat="false" ht="15" hidden="false" customHeight="false" outlineLevel="0" collapsed="false">
      <c r="A6399" s="7" t="s">
        <v>24</v>
      </c>
      <c r="B6399" s="7" t="s">
        <v>101</v>
      </c>
      <c r="C6399" s="7" t="s">
        <v>1121</v>
      </c>
      <c r="D6399" s="7" t="n">
        <v>0</v>
      </c>
      <c r="E6399" s="7" t="n">
        <v>0</v>
      </c>
      <c r="F6399" s="7" t="n">
        <v>2</v>
      </c>
      <c r="G6399" s="7" t="n">
        <v>287.98</v>
      </c>
    </row>
    <row r="6400" customFormat="false" ht="15" hidden="false" customHeight="false" outlineLevel="0" collapsed="false">
      <c r="A6400" s="7" t="s">
        <v>24</v>
      </c>
      <c r="B6400" s="7" t="s">
        <v>101</v>
      </c>
      <c r="C6400" s="7" t="s">
        <v>1121</v>
      </c>
      <c r="D6400" s="7" t="n">
        <v>0</v>
      </c>
      <c r="E6400" s="7" t="n">
        <v>0</v>
      </c>
      <c r="F6400" s="7" t="n">
        <v>1</v>
      </c>
      <c r="G6400" s="7" t="n">
        <v>122.39</v>
      </c>
    </row>
    <row r="6401" customFormat="false" ht="15" hidden="false" customHeight="false" outlineLevel="0" collapsed="false">
      <c r="A6401" s="7" t="s">
        <v>24</v>
      </c>
      <c r="B6401" s="7" t="s">
        <v>101</v>
      </c>
      <c r="C6401" s="7" t="s">
        <v>1121</v>
      </c>
      <c r="D6401" s="7" t="n">
        <v>0</v>
      </c>
      <c r="E6401" s="7" t="n">
        <v>0</v>
      </c>
      <c r="F6401" s="7" t="n">
        <v>1</v>
      </c>
      <c r="G6401" s="7" t="n">
        <v>143.99</v>
      </c>
    </row>
    <row r="6402" customFormat="false" ht="15" hidden="false" customHeight="false" outlineLevel="0" collapsed="false">
      <c r="A6402" s="7" t="s">
        <v>24</v>
      </c>
      <c r="B6402" s="7" t="s">
        <v>101</v>
      </c>
      <c r="C6402" s="7" t="s">
        <v>1121</v>
      </c>
      <c r="D6402" s="7" t="n">
        <v>0</v>
      </c>
      <c r="E6402" s="7" t="n">
        <v>0</v>
      </c>
      <c r="F6402" s="7" t="n">
        <v>1</v>
      </c>
      <c r="G6402" s="7" t="n">
        <v>115.19</v>
      </c>
    </row>
    <row r="6403" customFormat="false" ht="15" hidden="false" customHeight="false" outlineLevel="0" collapsed="false">
      <c r="A6403" s="7" t="s">
        <v>24</v>
      </c>
      <c r="B6403" s="7" t="s">
        <v>101</v>
      </c>
      <c r="C6403" s="7" t="s">
        <v>1121</v>
      </c>
      <c r="D6403" s="7" t="n">
        <v>0</v>
      </c>
      <c r="E6403" s="7" t="n">
        <v>0</v>
      </c>
      <c r="F6403" s="7" t="n">
        <v>1</v>
      </c>
      <c r="G6403" s="7" t="n">
        <v>129.59</v>
      </c>
    </row>
    <row r="6404" customFormat="false" ht="15" hidden="false" customHeight="false" outlineLevel="0" collapsed="false">
      <c r="A6404" s="7" t="s">
        <v>24</v>
      </c>
      <c r="B6404" s="7" t="s">
        <v>101</v>
      </c>
      <c r="C6404" s="7" t="s">
        <v>1121</v>
      </c>
      <c r="D6404" s="7" t="n">
        <v>0</v>
      </c>
      <c r="E6404" s="7" t="n">
        <v>0</v>
      </c>
      <c r="F6404" s="7" t="n">
        <v>1</v>
      </c>
      <c r="G6404" s="7" t="n">
        <v>115.18</v>
      </c>
    </row>
    <row r="6405" customFormat="false" ht="15" hidden="false" customHeight="false" outlineLevel="0" collapsed="false">
      <c r="A6405" s="7" t="s">
        <v>24</v>
      </c>
      <c r="B6405" s="7" t="s">
        <v>101</v>
      </c>
      <c r="C6405" s="7" t="s">
        <v>1121</v>
      </c>
      <c r="D6405" s="7" t="n">
        <v>0</v>
      </c>
      <c r="E6405" s="7" t="n">
        <v>0</v>
      </c>
      <c r="F6405" s="7" t="n">
        <v>2</v>
      </c>
      <c r="G6405" s="7" t="n">
        <v>273.56</v>
      </c>
    </row>
    <row r="6406" customFormat="false" ht="15" hidden="false" customHeight="false" outlineLevel="0" collapsed="false">
      <c r="A6406" s="7" t="s">
        <v>24</v>
      </c>
      <c r="B6406" s="7" t="s">
        <v>101</v>
      </c>
      <c r="C6406" s="7" t="s">
        <v>1121</v>
      </c>
      <c r="D6406" s="7" t="n">
        <v>0</v>
      </c>
      <c r="E6406" s="7" t="n">
        <v>0</v>
      </c>
      <c r="F6406" s="7" t="n">
        <v>1</v>
      </c>
      <c r="G6406" s="7" t="n">
        <v>143.98</v>
      </c>
    </row>
    <row r="6407" customFormat="false" ht="15" hidden="false" customHeight="false" outlineLevel="0" collapsed="false">
      <c r="A6407" s="7" t="s">
        <v>24</v>
      </c>
      <c r="B6407" s="7" t="s">
        <v>101</v>
      </c>
      <c r="C6407" s="7" t="s">
        <v>1121</v>
      </c>
      <c r="D6407" s="7" t="n">
        <v>0</v>
      </c>
      <c r="E6407" s="7" t="n">
        <v>0</v>
      </c>
      <c r="F6407" s="7" t="n">
        <v>3</v>
      </c>
      <c r="G6407" s="7" t="n">
        <v>388.74</v>
      </c>
    </row>
    <row r="6408" customFormat="false" ht="15" hidden="false" customHeight="false" outlineLevel="0" collapsed="false">
      <c r="A6408" s="7" t="s">
        <v>24</v>
      </c>
      <c r="B6408" s="7" t="s">
        <v>101</v>
      </c>
      <c r="C6408" s="7" t="s">
        <v>1121</v>
      </c>
      <c r="D6408" s="7" t="n">
        <v>0</v>
      </c>
      <c r="E6408" s="7" t="n">
        <v>0</v>
      </c>
      <c r="F6408" s="7" t="n">
        <v>10</v>
      </c>
      <c r="G6408" s="7" t="n">
        <v>1324.6</v>
      </c>
    </row>
    <row r="6409" customFormat="false" ht="15" hidden="false" customHeight="false" outlineLevel="0" collapsed="false">
      <c r="A6409" s="7" t="s">
        <v>24</v>
      </c>
      <c r="B6409" s="7" t="s">
        <v>101</v>
      </c>
      <c r="C6409" s="7" t="s">
        <v>1121</v>
      </c>
      <c r="D6409" s="7" t="n">
        <v>0</v>
      </c>
      <c r="E6409" s="7" t="n">
        <v>0</v>
      </c>
      <c r="F6409" s="7" t="n">
        <v>1</v>
      </c>
      <c r="G6409" s="7" t="n">
        <v>129.58</v>
      </c>
    </row>
    <row r="6410" customFormat="false" ht="15" hidden="false" customHeight="false" outlineLevel="0" collapsed="false">
      <c r="A6410" s="7" t="s">
        <v>24</v>
      </c>
      <c r="B6410" s="7" t="s">
        <v>101</v>
      </c>
      <c r="C6410" s="7" t="s">
        <v>1121</v>
      </c>
      <c r="D6410" s="7" t="n">
        <v>0</v>
      </c>
      <c r="E6410" s="7" t="n">
        <v>0</v>
      </c>
      <c r="F6410" s="7" t="n">
        <v>1</v>
      </c>
      <c r="G6410" s="7" t="n">
        <v>115.19</v>
      </c>
    </row>
    <row r="6411" customFormat="false" ht="15" hidden="false" customHeight="false" outlineLevel="0" collapsed="false">
      <c r="A6411" s="7" t="s">
        <v>24</v>
      </c>
      <c r="B6411" s="7" t="s">
        <v>101</v>
      </c>
      <c r="C6411" s="7" t="s">
        <v>1121</v>
      </c>
      <c r="D6411" s="7" t="n">
        <v>0</v>
      </c>
      <c r="E6411" s="7" t="n">
        <v>0</v>
      </c>
      <c r="F6411" s="7" t="n">
        <v>2</v>
      </c>
      <c r="G6411" s="7" t="n">
        <v>0</v>
      </c>
    </row>
    <row r="6412" customFormat="false" ht="15" hidden="false" customHeight="false" outlineLevel="0" collapsed="false">
      <c r="A6412" s="7" t="s">
        <v>24</v>
      </c>
      <c r="B6412" s="7" t="s">
        <v>101</v>
      </c>
      <c r="C6412" s="7" t="s">
        <v>1121</v>
      </c>
      <c r="D6412" s="7" t="n">
        <v>0</v>
      </c>
      <c r="E6412" s="7" t="n">
        <v>0</v>
      </c>
      <c r="F6412" s="7" t="n">
        <v>1</v>
      </c>
      <c r="G6412" s="7" t="n">
        <v>143.98</v>
      </c>
    </row>
    <row r="6413" customFormat="false" ht="15" hidden="false" customHeight="false" outlineLevel="0" collapsed="false">
      <c r="A6413" s="7" t="s">
        <v>24</v>
      </c>
      <c r="B6413" s="7" t="s">
        <v>101</v>
      </c>
      <c r="C6413" s="7" t="s">
        <v>1121</v>
      </c>
      <c r="D6413" s="7" t="n">
        <v>0</v>
      </c>
      <c r="E6413" s="7" t="n">
        <v>0</v>
      </c>
      <c r="F6413" s="7" t="n">
        <v>1</v>
      </c>
      <c r="G6413" s="7" t="n">
        <v>115.19</v>
      </c>
    </row>
    <row r="6414" customFormat="false" ht="15" hidden="false" customHeight="false" outlineLevel="0" collapsed="false">
      <c r="A6414" s="7" t="s">
        <v>24</v>
      </c>
      <c r="B6414" s="7" t="s">
        <v>101</v>
      </c>
      <c r="C6414" s="7" t="s">
        <v>1121</v>
      </c>
      <c r="D6414" s="7" t="n">
        <v>0</v>
      </c>
      <c r="E6414" s="7" t="n">
        <v>0</v>
      </c>
      <c r="F6414" s="7" t="n">
        <v>1</v>
      </c>
      <c r="G6414" s="7" t="n">
        <v>143.98</v>
      </c>
    </row>
    <row r="6415" customFormat="false" ht="15" hidden="false" customHeight="false" outlineLevel="0" collapsed="false">
      <c r="A6415" s="7" t="s">
        <v>24</v>
      </c>
      <c r="B6415" s="7" t="s">
        <v>101</v>
      </c>
      <c r="C6415" s="7" t="s">
        <v>1121</v>
      </c>
      <c r="D6415" s="7" t="n">
        <v>0</v>
      </c>
      <c r="E6415" s="7" t="n">
        <v>0</v>
      </c>
      <c r="F6415" s="7" t="n">
        <v>1</v>
      </c>
      <c r="G6415" s="7" t="n">
        <v>129.58</v>
      </c>
    </row>
    <row r="6416" customFormat="false" ht="15" hidden="false" customHeight="false" outlineLevel="0" collapsed="false">
      <c r="A6416" s="7" t="s">
        <v>24</v>
      </c>
      <c r="B6416" s="7" t="s">
        <v>101</v>
      </c>
      <c r="C6416" s="7" t="s">
        <v>1121</v>
      </c>
      <c r="D6416" s="7" t="n">
        <v>0</v>
      </c>
      <c r="E6416" s="7" t="n">
        <v>0</v>
      </c>
      <c r="F6416" s="7" t="n">
        <v>1</v>
      </c>
      <c r="G6416" s="7" t="n">
        <v>143.99</v>
      </c>
    </row>
    <row r="6417" customFormat="false" ht="15" hidden="false" customHeight="false" outlineLevel="0" collapsed="false">
      <c r="A6417" s="7" t="s">
        <v>24</v>
      </c>
      <c r="B6417" s="7" t="s">
        <v>101</v>
      </c>
      <c r="C6417" s="7" t="s">
        <v>1121</v>
      </c>
      <c r="D6417" s="7" t="n">
        <v>0</v>
      </c>
      <c r="E6417" s="7" t="n">
        <v>0</v>
      </c>
      <c r="F6417" s="7" t="n">
        <v>1</v>
      </c>
      <c r="G6417" s="7" t="n">
        <v>115.19</v>
      </c>
    </row>
    <row r="6418" customFormat="false" ht="15" hidden="false" customHeight="false" outlineLevel="0" collapsed="false">
      <c r="A6418" s="7" t="s">
        <v>24</v>
      </c>
      <c r="B6418" s="7" t="s">
        <v>101</v>
      </c>
      <c r="C6418" s="7" t="s">
        <v>1121</v>
      </c>
      <c r="D6418" s="7" t="n">
        <v>0</v>
      </c>
      <c r="E6418" s="7" t="n">
        <v>0</v>
      </c>
      <c r="F6418" s="7" t="n">
        <v>1</v>
      </c>
      <c r="G6418" s="7" t="n">
        <v>115.19</v>
      </c>
    </row>
    <row r="6419" customFormat="false" ht="15" hidden="false" customHeight="false" outlineLevel="0" collapsed="false">
      <c r="A6419" s="7" t="s">
        <v>24</v>
      </c>
      <c r="B6419" s="7" t="s">
        <v>101</v>
      </c>
      <c r="C6419" s="7" t="s">
        <v>1121</v>
      </c>
      <c r="D6419" s="7" t="n">
        <v>0</v>
      </c>
      <c r="E6419" s="7" t="n">
        <v>0</v>
      </c>
      <c r="F6419" s="7" t="n">
        <v>1</v>
      </c>
      <c r="G6419" s="7" t="n">
        <v>115.18</v>
      </c>
    </row>
    <row r="6420" customFormat="false" ht="15" hidden="false" customHeight="false" outlineLevel="0" collapsed="false">
      <c r="A6420" s="7" t="s">
        <v>24</v>
      </c>
      <c r="B6420" s="7" t="s">
        <v>101</v>
      </c>
      <c r="C6420" s="7" t="s">
        <v>1121</v>
      </c>
      <c r="D6420" s="7" t="n">
        <v>0</v>
      </c>
      <c r="E6420" s="7" t="n">
        <v>0</v>
      </c>
      <c r="F6420" s="7" t="n">
        <v>2</v>
      </c>
      <c r="G6420" s="7" t="n">
        <v>259.18</v>
      </c>
    </row>
    <row r="6421" customFormat="false" ht="15" hidden="false" customHeight="false" outlineLevel="0" collapsed="false">
      <c r="A6421" s="7" t="s">
        <v>24</v>
      </c>
      <c r="B6421" s="7" t="s">
        <v>101</v>
      </c>
      <c r="C6421" s="7" t="s">
        <v>1121</v>
      </c>
      <c r="D6421" s="7" t="n">
        <v>0</v>
      </c>
      <c r="E6421" s="7" t="n">
        <v>0</v>
      </c>
      <c r="F6421" s="7" t="n">
        <v>2</v>
      </c>
      <c r="G6421" s="7" t="n">
        <v>254.15</v>
      </c>
    </row>
    <row r="6422" customFormat="false" ht="15" hidden="false" customHeight="false" outlineLevel="0" collapsed="false">
      <c r="A6422" s="7" t="s">
        <v>24</v>
      </c>
      <c r="B6422" s="7" t="s">
        <v>101</v>
      </c>
      <c r="C6422" s="7" t="s">
        <v>1121</v>
      </c>
      <c r="D6422" s="7" t="n">
        <v>0</v>
      </c>
      <c r="E6422" s="7" t="n">
        <v>0</v>
      </c>
      <c r="F6422" s="7" t="n">
        <v>1</v>
      </c>
      <c r="G6422" s="7" t="n">
        <v>129.59</v>
      </c>
    </row>
    <row r="6423" customFormat="false" ht="15" hidden="false" customHeight="false" outlineLevel="0" collapsed="false">
      <c r="A6423" s="7" t="s">
        <v>24</v>
      </c>
      <c r="B6423" s="7" t="s">
        <v>101</v>
      </c>
      <c r="C6423" s="7" t="s">
        <v>1121</v>
      </c>
      <c r="D6423" s="7" t="n">
        <v>0</v>
      </c>
      <c r="E6423" s="7" t="n">
        <v>0</v>
      </c>
      <c r="F6423" s="7" t="n">
        <v>1</v>
      </c>
      <c r="G6423" s="7" t="n">
        <v>143.98</v>
      </c>
    </row>
    <row r="6424" customFormat="false" ht="15" hidden="false" customHeight="false" outlineLevel="0" collapsed="false">
      <c r="A6424" s="7" t="s">
        <v>24</v>
      </c>
      <c r="B6424" s="7" t="s">
        <v>101</v>
      </c>
      <c r="C6424" s="7" t="s">
        <v>1121</v>
      </c>
      <c r="D6424" s="7" t="n">
        <v>0</v>
      </c>
      <c r="E6424" s="7" t="n">
        <v>0</v>
      </c>
      <c r="F6424" s="7" t="n">
        <v>1</v>
      </c>
      <c r="G6424" s="7" t="n">
        <v>143.98</v>
      </c>
    </row>
    <row r="6425" customFormat="false" ht="15" hidden="false" customHeight="false" outlineLevel="0" collapsed="false">
      <c r="A6425" s="7" t="s">
        <v>24</v>
      </c>
      <c r="B6425" s="7" t="s">
        <v>101</v>
      </c>
      <c r="C6425" s="7" t="s">
        <v>1121</v>
      </c>
      <c r="D6425" s="7" t="n">
        <v>0</v>
      </c>
      <c r="E6425" s="7" t="n">
        <v>0</v>
      </c>
      <c r="F6425" s="7" t="n">
        <v>1</v>
      </c>
      <c r="G6425" s="7" t="n">
        <v>143.99</v>
      </c>
    </row>
    <row r="6426" customFormat="false" ht="15" hidden="false" customHeight="false" outlineLevel="0" collapsed="false">
      <c r="A6426" s="7" t="s">
        <v>24</v>
      </c>
      <c r="B6426" s="7" t="s">
        <v>101</v>
      </c>
      <c r="C6426" s="7" t="s">
        <v>1121</v>
      </c>
      <c r="D6426" s="7" t="n">
        <v>0</v>
      </c>
      <c r="E6426" s="7" t="n">
        <v>0</v>
      </c>
      <c r="F6426" s="7" t="n">
        <v>1</v>
      </c>
      <c r="G6426" s="7" t="n">
        <v>143.98</v>
      </c>
    </row>
    <row r="6427" customFormat="false" ht="15" hidden="false" customHeight="false" outlineLevel="0" collapsed="false">
      <c r="A6427" s="7" t="s">
        <v>24</v>
      </c>
      <c r="B6427" s="7" t="s">
        <v>101</v>
      </c>
      <c r="C6427" s="7" t="s">
        <v>1121</v>
      </c>
      <c r="D6427" s="7" t="n">
        <v>0</v>
      </c>
      <c r="E6427" s="7" t="n">
        <v>0</v>
      </c>
      <c r="F6427" s="7" t="n">
        <v>1</v>
      </c>
      <c r="G6427" s="7" t="n">
        <v>143.99</v>
      </c>
    </row>
    <row r="6428" customFormat="false" ht="15" hidden="false" customHeight="false" outlineLevel="0" collapsed="false">
      <c r="A6428" s="7" t="s">
        <v>24</v>
      </c>
      <c r="B6428" s="7" t="s">
        <v>101</v>
      </c>
      <c r="C6428" s="7" t="s">
        <v>1121</v>
      </c>
      <c r="D6428" s="7" t="n">
        <v>0</v>
      </c>
      <c r="E6428" s="7" t="n">
        <v>0</v>
      </c>
      <c r="F6428" s="7" t="n">
        <v>1</v>
      </c>
      <c r="G6428" s="7" t="n">
        <v>143.99</v>
      </c>
    </row>
    <row r="6429" customFormat="false" ht="15" hidden="false" customHeight="false" outlineLevel="0" collapsed="false">
      <c r="A6429" s="7" t="s">
        <v>24</v>
      </c>
      <c r="B6429" s="7" t="s">
        <v>101</v>
      </c>
      <c r="C6429" s="7" t="s">
        <v>1121</v>
      </c>
      <c r="D6429" s="7" t="n">
        <v>0</v>
      </c>
      <c r="E6429" s="7" t="n">
        <v>0</v>
      </c>
      <c r="F6429" s="7" t="n">
        <v>1</v>
      </c>
      <c r="G6429" s="7" t="n">
        <v>129.59</v>
      </c>
    </row>
    <row r="6430" customFormat="false" ht="15" hidden="false" customHeight="false" outlineLevel="0" collapsed="false">
      <c r="A6430" s="7" t="s">
        <v>24</v>
      </c>
      <c r="B6430" s="7" t="s">
        <v>101</v>
      </c>
      <c r="C6430" s="7" t="s">
        <v>1121</v>
      </c>
      <c r="D6430" s="7" t="n">
        <v>0</v>
      </c>
      <c r="E6430" s="7" t="n">
        <v>0</v>
      </c>
      <c r="F6430" s="7" t="n">
        <v>1</v>
      </c>
      <c r="G6430" s="7" t="n">
        <v>143.99</v>
      </c>
    </row>
    <row r="6431" customFormat="false" ht="15" hidden="false" customHeight="false" outlineLevel="0" collapsed="false">
      <c r="A6431" s="7" t="s">
        <v>24</v>
      </c>
      <c r="B6431" s="7" t="s">
        <v>101</v>
      </c>
      <c r="C6431" s="7" t="s">
        <v>1121</v>
      </c>
      <c r="D6431" s="7" t="n">
        <v>0</v>
      </c>
      <c r="E6431" s="7" t="n">
        <v>0</v>
      </c>
      <c r="F6431" s="7" t="n">
        <v>7</v>
      </c>
      <c r="G6431" s="7" t="n">
        <v>950.33</v>
      </c>
    </row>
    <row r="6432" customFormat="false" ht="15" hidden="false" customHeight="false" outlineLevel="0" collapsed="false">
      <c r="A6432" s="7" t="s">
        <v>24</v>
      </c>
      <c r="B6432" s="7" t="s">
        <v>101</v>
      </c>
      <c r="C6432" s="7" t="s">
        <v>1121</v>
      </c>
      <c r="D6432" s="7" t="n">
        <v>0</v>
      </c>
      <c r="E6432" s="7" t="n">
        <v>0</v>
      </c>
      <c r="F6432" s="7" t="n">
        <v>1</v>
      </c>
      <c r="G6432" s="7" t="n">
        <v>143.98</v>
      </c>
    </row>
    <row r="6433" customFormat="false" ht="15" hidden="false" customHeight="false" outlineLevel="0" collapsed="false">
      <c r="A6433" s="7" t="s">
        <v>24</v>
      </c>
      <c r="B6433" s="7" t="s">
        <v>101</v>
      </c>
      <c r="C6433" s="7" t="s">
        <v>1121</v>
      </c>
      <c r="D6433" s="7" t="n">
        <v>0</v>
      </c>
      <c r="E6433" s="7" t="n">
        <v>0</v>
      </c>
      <c r="F6433" s="7" t="n">
        <v>1</v>
      </c>
      <c r="G6433" s="7" t="n">
        <v>143.98</v>
      </c>
    </row>
    <row r="6434" customFormat="false" ht="15" hidden="false" customHeight="false" outlineLevel="0" collapsed="false">
      <c r="A6434" s="7" t="s">
        <v>24</v>
      </c>
      <c r="B6434" s="7" t="s">
        <v>101</v>
      </c>
      <c r="C6434" s="7" t="s">
        <v>1121</v>
      </c>
      <c r="D6434" s="7" t="n">
        <v>0</v>
      </c>
      <c r="E6434" s="7" t="n">
        <v>0</v>
      </c>
      <c r="F6434" s="7" t="n">
        <v>39</v>
      </c>
      <c r="G6434" s="7" t="n">
        <v>5226.49</v>
      </c>
    </row>
    <row r="6435" customFormat="false" ht="15" hidden="false" customHeight="false" outlineLevel="0" collapsed="false">
      <c r="A6435" s="7" t="s">
        <v>24</v>
      </c>
      <c r="B6435" s="7" t="s">
        <v>101</v>
      </c>
      <c r="C6435" s="7" t="s">
        <v>1121</v>
      </c>
      <c r="D6435" s="7" t="n">
        <v>0</v>
      </c>
      <c r="E6435" s="7" t="n">
        <v>0</v>
      </c>
      <c r="F6435" s="7" t="n">
        <v>1</v>
      </c>
      <c r="G6435" s="7" t="n">
        <v>122.39</v>
      </c>
    </row>
    <row r="6436" customFormat="false" ht="15" hidden="false" customHeight="false" outlineLevel="0" collapsed="false">
      <c r="A6436" s="7" t="s">
        <v>24</v>
      </c>
      <c r="B6436" s="7" t="s">
        <v>101</v>
      </c>
      <c r="C6436" s="7" t="s">
        <v>1121</v>
      </c>
      <c r="D6436" s="7" t="n">
        <v>0</v>
      </c>
      <c r="E6436" s="7" t="n">
        <v>0</v>
      </c>
      <c r="F6436" s="7" t="n">
        <v>1</v>
      </c>
      <c r="G6436" s="7" t="n">
        <v>122.39</v>
      </c>
    </row>
    <row r="6437" customFormat="false" ht="15" hidden="false" customHeight="false" outlineLevel="0" collapsed="false">
      <c r="A6437" s="7" t="s">
        <v>24</v>
      </c>
      <c r="B6437" s="7" t="s">
        <v>101</v>
      </c>
      <c r="C6437" s="7" t="s">
        <v>1121</v>
      </c>
      <c r="D6437" s="7" t="n">
        <v>0</v>
      </c>
      <c r="E6437" s="7" t="n">
        <v>0</v>
      </c>
      <c r="F6437" s="7" t="n">
        <v>1</v>
      </c>
      <c r="G6437" s="7" t="n">
        <v>115.19</v>
      </c>
    </row>
    <row r="6438" customFormat="false" ht="15" hidden="false" customHeight="false" outlineLevel="0" collapsed="false">
      <c r="A6438" s="7" t="s">
        <v>24</v>
      </c>
      <c r="B6438" s="7" t="s">
        <v>101</v>
      </c>
      <c r="C6438" s="7" t="s">
        <v>1121</v>
      </c>
      <c r="D6438" s="7" t="n">
        <v>0</v>
      </c>
      <c r="E6438" s="7" t="n">
        <v>0</v>
      </c>
      <c r="F6438" s="7" t="n">
        <v>1</v>
      </c>
      <c r="G6438" s="7" t="n">
        <v>143.98</v>
      </c>
    </row>
    <row r="6439" customFormat="false" ht="15" hidden="false" customHeight="false" outlineLevel="0" collapsed="false">
      <c r="A6439" s="7" t="s">
        <v>24</v>
      </c>
      <c r="B6439" s="7" t="s">
        <v>101</v>
      </c>
      <c r="C6439" s="7" t="s">
        <v>1121</v>
      </c>
      <c r="D6439" s="7" t="n">
        <v>0</v>
      </c>
      <c r="E6439" s="7" t="n">
        <v>0</v>
      </c>
      <c r="F6439" s="7" t="n">
        <v>1</v>
      </c>
      <c r="G6439" s="7" t="n">
        <v>143.99</v>
      </c>
    </row>
    <row r="6440" customFormat="false" ht="15" hidden="false" customHeight="false" outlineLevel="0" collapsed="false">
      <c r="A6440" s="7" t="s">
        <v>24</v>
      </c>
      <c r="B6440" s="7" t="s">
        <v>101</v>
      </c>
      <c r="C6440" s="7" t="s">
        <v>1121</v>
      </c>
      <c r="D6440" s="7" t="n">
        <v>0</v>
      </c>
      <c r="E6440" s="7" t="n">
        <v>0</v>
      </c>
      <c r="F6440" s="7" t="n">
        <v>1</v>
      </c>
      <c r="G6440" s="7" t="n">
        <v>115.19</v>
      </c>
    </row>
    <row r="6441" customFormat="false" ht="15" hidden="false" customHeight="false" outlineLevel="0" collapsed="false">
      <c r="A6441" s="7" t="s">
        <v>24</v>
      </c>
      <c r="B6441" s="7" t="s">
        <v>101</v>
      </c>
      <c r="C6441" s="7" t="s">
        <v>1121</v>
      </c>
      <c r="D6441" s="7" t="n">
        <v>0</v>
      </c>
      <c r="E6441" s="7" t="n">
        <v>0</v>
      </c>
      <c r="F6441" s="7" t="n">
        <v>1</v>
      </c>
      <c r="G6441" s="7" t="n">
        <v>115.19</v>
      </c>
    </row>
    <row r="6442" customFormat="false" ht="15" hidden="false" customHeight="false" outlineLevel="0" collapsed="false">
      <c r="A6442" s="7" t="s">
        <v>24</v>
      </c>
      <c r="B6442" s="7" t="s">
        <v>101</v>
      </c>
      <c r="C6442" s="7" t="s">
        <v>1121</v>
      </c>
      <c r="D6442" s="7" t="n">
        <v>0</v>
      </c>
      <c r="E6442" s="7" t="n">
        <v>0</v>
      </c>
      <c r="F6442" s="7" t="n">
        <v>2</v>
      </c>
      <c r="G6442" s="7" t="n">
        <v>273.58</v>
      </c>
    </row>
    <row r="6443" customFormat="false" ht="15" hidden="false" customHeight="false" outlineLevel="0" collapsed="false">
      <c r="A6443" s="7" t="s">
        <v>24</v>
      </c>
      <c r="B6443" s="7" t="s">
        <v>101</v>
      </c>
      <c r="C6443" s="7" t="s">
        <v>1121</v>
      </c>
      <c r="D6443" s="7" t="n">
        <v>0</v>
      </c>
      <c r="E6443" s="7" t="n">
        <v>0</v>
      </c>
      <c r="F6443" s="7" t="n">
        <v>1</v>
      </c>
      <c r="G6443" s="7" t="n">
        <v>129.59</v>
      </c>
    </row>
    <row r="6444" customFormat="false" ht="15" hidden="false" customHeight="false" outlineLevel="0" collapsed="false">
      <c r="A6444" s="7" t="s">
        <v>24</v>
      </c>
      <c r="B6444" s="7" t="s">
        <v>101</v>
      </c>
      <c r="C6444" s="7" t="s">
        <v>1121</v>
      </c>
      <c r="D6444" s="7" t="n">
        <v>0</v>
      </c>
      <c r="E6444" s="7" t="n">
        <v>0</v>
      </c>
      <c r="F6444" s="7" t="n">
        <v>1</v>
      </c>
      <c r="G6444" s="7" t="n">
        <v>115.19</v>
      </c>
    </row>
    <row r="6445" customFormat="false" ht="15" hidden="false" customHeight="false" outlineLevel="0" collapsed="false">
      <c r="A6445" s="7" t="s">
        <v>24</v>
      </c>
      <c r="B6445" s="7" t="s">
        <v>101</v>
      </c>
      <c r="C6445" s="7" t="s">
        <v>1121</v>
      </c>
      <c r="D6445" s="7" t="n">
        <v>0</v>
      </c>
      <c r="E6445" s="7" t="n">
        <v>0</v>
      </c>
      <c r="F6445" s="7" t="n">
        <v>1</v>
      </c>
      <c r="G6445" s="7" t="n">
        <v>143.98</v>
      </c>
    </row>
    <row r="6446" customFormat="false" ht="15" hidden="false" customHeight="false" outlineLevel="0" collapsed="false">
      <c r="A6446" s="7" t="s">
        <v>24</v>
      </c>
      <c r="B6446" s="7" t="s">
        <v>101</v>
      </c>
      <c r="C6446" s="7" t="s">
        <v>1121</v>
      </c>
      <c r="D6446" s="7" t="n">
        <v>0</v>
      </c>
      <c r="E6446" s="7" t="n">
        <v>0</v>
      </c>
      <c r="F6446" s="7" t="n">
        <v>1</v>
      </c>
      <c r="G6446" s="7" t="n">
        <v>129.59</v>
      </c>
    </row>
    <row r="6447" customFormat="false" ht="15" hidden="false" customHeight="false" outlineLevel="0" collapsed="false">
      <c r="A6447" s="7" t="s">
        <v>24</v>
      </c>
      <c r="B6447" s="7" t="s">
        <v>101</v>
      </c>
      <c r="C6447" s="7" t="s">
        <v>1121</v>
      </c>
      <c r="D6447" s="7" t="n">
        <v>0</v>
      </c>
      <c r="E6447" s="7" t="n">
        <v>0</v>
      </c>
      <c r="F6447" s="7" t="n">
        <v>1</v>
      </c>
      <c r="G6447" s="7" t="n">
        <v>129.59</v>
      </c>
    </row>
    <row r="6448" customFormat="false" ht="15" hidden="false" customHeight="false" outlineLevel="0" collapsed="false">
      <c r="A6448" s="7" t="s">
        <v>24</v>
      </c>
      <c r="B6448" s="7" t="s">
        <v>101</v>
      </c>
      <c r="C6448" s="7" t="s">
        <v>1121</v>
      </c>
      <c r="D6448" s="7" t="n">
        <v>0</v>
      </c>
      <c r="E6448" s="7" t="n">
        <v>0</v>
      </c>
      <c r="F6448" s="7" t="n">
        <v>2</v>
      </c>
      <c r="G6448" s="7" t="n">
        <v>254.15</v>
      </c>
    </row>
    <row r="6449" customFormat="false" ht="15" hidden="false" customHeight="false" outlineLevel="0" collapsed="false">
      <c r="A6449" s="7" t="s">
        <v>24</v>
      </c>
      <c r="B6449" s="7" t="s">
        <v>101</v>
      </c>
      <c r="C6449" s="7" t="s">
        <v>1121</v>
      </c>
      <c r="D6449" s="7" t="n">
        <v>0</v>
      </c>
      <c r="E6449" s="7" t="n">
        <v>0</v>
      </c>
      <c r="F6449" s="7" t="n">
        <v>1</v>
      </c>
      <c r="G6449" s="7" t="n">
        <v>129.59</v>
      </c>
    </row>
    <row r="6450" customFormat="false" ht="15" hidden="false" customHeight="false" outlineLevel="0" collapsed="false">
      <c r="A6450" s="7" t="s">
        <v>24</v>
      </c>
      <c r="B6450" s="7" t="s">
        <v>101</v>
      </c>
      <c r="C6450" s="7" t="s">
        <v>1121</v>
      </c>
      <c r="D6450" s="7" t="n">
        <v>0</v>
      </c>
      <c r="E6450" s="7" t="n">
        <v>0</v>
      </c>
      <c r="F6450" s="7" t="n">
        <v>1</v>
      </c>
      <c r="G6450" s="7" t="n">
        <v>115.19</v>
      </c>
    </row>
    <row r="6451" customFormat="false" ht="15" hidden="false" customHeight="false" outlineLevel="0" collapsed="false">
      <c r="A6451" s="7" t="s">
        <v>24</v>
      </c>
      <c r="B6451" s="7" t="s">
        <v>101</v>
      </c>
      <c r="C6451" s="7" t="s">
        <v>1121</v>
      </c>
      <c r="D6451" s="7" t="n">
        <v>0</v>
      </c>
      <c r="E6451" s="7" t="n">
        <v>0</v>
      </c>
      <c r="F6451" s="7" t="n">
        <v>2</v>
      </c>
      <c r="G6451" s="7" t="n">
        <v>244.78</v>
      </c>
    </row>
    <row r="6452" customFormat="false" ht="15" hidden="false" customHeight="false" outlineLevel="0" collapsed="false">
      <c r="A6452" s="7" t="s">
        <v>24</v>
      </c>
      <c r="B6452" s="7" t="s">
        <v>101</v>
      </c>
      <c r="C6452" s="7" t="s">
        <v>1121</v>
      </c>
      <c r="D6452" s="7" t="n">
        <v>0</v>
      </c>
      <c r="E6452" s="7" t="n">
        <v>0</v>
      </c>
      <c r="F6452" s="7" t="n">
        <v>1</v>
      </c>
      <c r="G6452" s="7" t="n">
        <v>115.19</v>
      </c>
    </row>
    <row r="6453" customFormat="false" ht="15" hidden="false" customHeight="false" outlineLevel="0" collapsed="false">
      <c r="A6453" s="7" t="s">
        <v>24</v>
      </c>
      <c r="B6453" s="7" t="s">
        <v>101</v>
      </c>
      <c r="C6453" s="7" t="s">
        <v>1121</v>
      </c>
      <c r="D6453" s="7" t="n">
        <v>0</v>
      </c>
      <c r="E6453" s="7" t="n">
        <v>0</v>
      </c>
      <c r="F6453" s="7" t="n">
        <v>1</v>
      </c>
      <c r="G6453" s="7" t="n">
        <v>143.98</v>
      </c>
    </row>
    <row r="6454" customFormat="false" ht="15" hidden="false" customHeight="false" outlineLevel="0" collapsed="false">
      <c r="A6454" s="7" t="s">
        <v>24</v>
      </c>
      <c r="B6454" s="7" t="s">
        <v>101</v>
      </c>
      <c r="C6454" s="7" t="s">
        <v>1121</v>
      </c>
      <c r="D6454" s="7" t="n">
        <v>0</v>
      </c>
      <c r="E6454" s="7" t="n">
        <v>0</v>
      </c>
      <c r="F6454" s="7" t="n">
        <v>10</v>
      </c>
      <c r="G6454" s="7" t="n">
        <v>1336.19</v>
      </c>
    </row>
    <row r="6455" customFormat="false" ht="15" hidden="false" customHeight="false" outlineLevel="0" collapsed="false">
      <c r="A6455" s="7" t="s">
        <v>24</v>
      </c>
      <c r="B6455" s="7" t="s">
        <v>101</v>
      </c>
      <c r="C6455" s="7" t="s">
        <v>1121</v>
      </c>
      <c r="D6455" s="7" t="n">
        <v>0</v>
      </c>
      <c r="E6455" s="7" t="n">
        <v>0</v>
      </c>
      <c r="F6455" s="7" t="n">
        <v>9</v>
      </c>
      <c r="G6455" s="7" t="n">
        <v>1221.4</v>
      </c>
    </row>
    <row r="6456" customFormat="false" ht="15" hidden="false" customHeight="false" outlineLevel="0" collapsed="false">
      <c r="A6456" s="7" t="s">
        <v>24</v>
      </c>
      <c r="B6456" s="7" t="s">
        <v>101</v>
      </c>
      <c r="C6456" s="7" t="s">
        <v>1121</v>
      </c>
      <c r="D6456" s="7" t="n">
        <v>0</v>
      </c>
      <c r="E6456" s="7" t="n">
        <v>0</v>
      </c>
      <c r="F6456" s="7" t="n">
        <v>2</v>
      </c>
      <c r="G6456" s="7" t="n">
        <v>266.37</v>
      </c>
    </row>
    <row r="6457" customFormat="false" ht="15" hidden="false" customHeight="false" outlineLevel="0" collapsed="false">
      <c r="A6457" s="7" t="s">
        <v>24</v>
      </c>
      <c r="B6457" s="7" t="s">
        <v>101</v>
      </c>
      <c r="C6457" s="7" t="s">
        <v>1121</v>
      </c>
      <c r="D6457" s="7" t="n">
        <v>0</v>
      </c>
      <c r="E6457" s="7" t="n">
        <v>0</v>
      </c>
      <c r="F6457" s="7" t="n">
        <v>11</v>
      </c>
      <c r="G6457" s="7" t="n">
        <v>1422.88</v>
      </c>
    </row>
    <row r="6458" customFormat="false" ht="15" hidden="false" customHeight="false" outlineLevel="0" collapsed="false">
      <c r="A6458" s="7" t="s">
        <v>24</v>
      </c>
      <c r="B6458" s="7" t="s">
        <v>101</v>
      </c>
      <c r="C6458" s="7" t="s">
        <v>1121</v>
      </c>
      <c r="D6458" s="7" t="n">
        <v>0</v>
      </c>
      <c r="E6458" s="7" t="n">
        <v>0</v>
      </c>
      <c r="F6458" s="7" t="n">
        <v>4</v>
      </c>
      <c r="G6458" s="7" t="n">
        <v>561.56</v>
      </c>
    </row>
    <row r="6459" customFormat="false" ht="15" hidden="false" customHeight="false" outlineLevel="0" collapsed="false">
      <c r="A6459" s="7" t="s">
        <v>24</v>
      </c>
      <c r="B6459" s="7" t="s">
        <v>101</v>
      </c>
      <c r="C6459" s="7" t="s">
        <v>1121</v>
      </c>
      <c r="D6459" s="7" t="n">
        <v>0</v>
      </c>
      <c r="E6459" s="7" t="n">
        <v>0</v>
      </c>
      <c r="F6459" s="7" t="n">
        <v>1</v>
      </c>
      <c r="G6459" s="7" t="n">
        <v>115.19</v>
      </c>
    </row>
    <row r="6460" customFormat="false" ht="15" hidden="false" customHeight="false" outlineLevel="0" collapsed="false">
      <c r="A6460" s="7" t="s">
        <v>24</v>
      </c>
      <c r="B6460" s="7" t="s">
        <v>101</v>
      </c>
      <c r="C6460" s="7" t="s">
        <v>1121</v>
      </c>
      <c r="D6460" s="7" t="n">
        <v>0</v>
      </c>
      <c r="E6460" s="7" t="n">
        <v>0</v>
      </c>
      <c r="F6460" s="7" t="n">
        <v>1</v>
      </c>
      <c r="G6460" s="7" t="n">
        <v>129.59</v>
      </c>
    </row>
    <row r="6461" customFormat="false" ht="15" hidden="false" customHeight="false" outlineLevel="0" collapsed="false">
      <c r="A6461" s="7" t="s">
        <v>24</v>
      </c>
      <c r="B6461" s="7" t="s">
        <v>101</v>
      </c>
      <c r="C6461" s="7" t="s">
        <v>1121</v>
      </c>
      <c r="D6461" s="7" t="n">
        <v>0</v>
      </c>
      <c r="E6461" s="7" t="n">
        <v>0</v>
      </c>
      <c r="F6461" s="7" t="n">
        <v>1</v>
      </c>
      <c r="G6461" s="7" t="n">
        <v>129.59</v>
      </c>
    </row>
    <row r="6462" customFormat="false" ht="15" hidden="false" customHeight="false" outlineLevel="0" collapsed="false">
      <c r="A6462" s="7" t="s">
        <v>24</v>
      </c>
      <c r="B6462" s="7" t="s">
        <v>101</v>
      </c>
      <c r="C6462" s="7" t="s">
        <v>1121</v>
      </c>
      <c r="D6462" s="7" t="n">
        <v>0</v>
      </c>
      <c r="E6462" s="7" t="n">
        <v>0</v>
      </c>
      <c r="F6462" s="7" t="n">
        <v>1</v>
      </c>
      <c r="G6462" s="7" t="n">
        <v>143.99</v>
      </c>
    </row>
    <row r="6463" customFormat="false" ht="15" hidden="false" customHeight="false" outlineLevel="0" collapsed="false">
      <c r="A6463" s="7" t="s">
        <v>24</v>
      </c>
      <c r="B6463" s="7" t="s">
        <v>101</v>
      </c>
      <c r="C6463" s="7" t="s">
        <v>1121</v>
      </c>
      <c r="D6463" s="7" t="n">
        <v>0</v>
      </c>
      <c r="E6463" s="7" t="n">
        <v>0</v>
      </c>
      <c r="F6463" s="7" t="n">
        <v>1</v>
      </c>
      <c r="G6463" s="7" t="n">
        <v>143.99</v>
      </c>
    </row>
    <row r="6464" customFormat="false" ht="15" hidden="false" customHeight="false" outlineLevel="0" collapsed="false">
      <c r="A6464" s="7" t="s">
        <v>24</v>
      </c>
      <c r="B6464" s="7" t="s">
        <v>101</v>
      </c>
      <c r="C6464" s="7" t="s">
        <v>1121</v>
      </c>
      <c r="D6464" s="7" t="n">
        <v>0</v>
      </c>
      <c r="E6464" s="7" t="n">
        <v>0</v>
      </c>
      <c r="F6464" s="7" t="n">
        <v>2</v>
      </c>
      <c r="G6464" s="7" t="n">
        <v>244.78</v>
      </c>
    </row>
    <row r="6465" customFormat="false" ht="15" hidden="false" customHeight="false" outlineLevel="0" collapsed="false">
      <c r="A6465" s="7" t="s">
        <v>24</v>
      </c>
      <c r="B6465" s="7" t="s">
        <v>101</v>
      </c>
      <c r="C6465" s="7" t="s">
        <v>1121</v>
      </c>
      <c r="D6465" s="7" t="n">
        <v>0</v>
      </c>
      <c r="E6465" s="7" t="n">
        <v>0</v>
      </c>
      <c r="F6465" s="7" t="n">
        <v>1</v>
      </c>
      <c r="G6465" s="7" t="n">
        <v>143.99</v>
      </c>
    </row>
    <row r="6466" customFormat="false" ht="15" hidden="false" customHeight="false" outlineLevel="0" collapsed="false">
      <c r="A6466" s="7" t="s">
        <v>24</v>
      </c>
      <c r="B6466" s="7" t="s">
        <v>101</v>
      </c>
      <c r="C6466" s="7" t="s">
        <v>1121</v>
      </c>
      <c r="D6466" s="7" t="n">
        <v>0</v>
      </c>
      <c r="E6466" s="7" t="n">
        <v>0</v>
      </c>
      <c r="F6466" s="7" t="n">
        <v>2</v>
      </c>
      <c r="G6466" s="7" t="n">
        <v>254.15</v>
      </c>
    </row>
    <row r="6467" customFormat="false" ht="15" hidden="false" customHeight="false" outlineLevel="0" collapsed="false">
      <c r="A6467" s="7" t="s">
        <v>24</v>
      </c>
      <c r="B6467" s="7" t="s">
        <v>101</v>
      </c>
      <c r="C6467" s="7" t="s">
        <v>1121</v>
      </c>
      <c r="D6467" s="7" t="n">
        <v>0</v>
      </c>
      <c r="E6467" s="7" t="n">
        <v>0</v>
      </c>
      <c r="F6467" s="7" t="n">
        <v>1</v>
      </c>
      <c r="G6467" s="7" t="n">
        <v>143.99</v>
      </c>
    </row>
    <row r="6468" customFormat="false" ht="15" hidden="false" customHeight="false" outlineLevel="0" collapsed="false">
      <c r="A6468" s="7" t="s">
        <v>24</v>
      </c>
      <c r="B6468" s="7" t="s">
        <v>101</v>
      </c>
      <c r="C6468" s="7" t="s">
        <v>1121</v>
      </c>
      <c r="D6468" s="7" t="n">
        <v>0</v>
      </c>
      <c r="E6468" s="7" t="n">
        <v>0</v>
      </c>
      <c r="F6468" s="7" t="n">
        <v>2</v>
      </c>
      <c r="G6468" s="7" t="n">
        <v>287.96</v>
      </c>
    </row>
    <row r="6469" customFormat="false" ht="15" hidden="false" customHeight="false" outlineLevel="0" collapsed="false">
      <c r="A6469" s="7" t="s">
        <v>24</v>
      </c>
      <c r="B6469" s="7" t="s">
        <v>101</v>
      </c>
      <c r="C6469" s="7" t="s">
        <v>1121</v>
      </c>
      <c r="D6469" s="7" t="n">
        <v>0</v>
      </c>
      <c r="E6469" s="7" t="n">
        <v>0</v>
      </c>
      <c r="F6469" s="7" t="n">
        <v>1</v>
      </c>
      <c r="G6469" s="7" t="n">
        <v>143.99</v>
      </c>
    </row>
    <row r="6470" customFormat="false" ht="15" hidden="false" customHeight="false" outlineLevel="0" collapsed="false">
      <c r="A6470" s="7" t="s">
        <v>24</v>
      </c>
      <c r="B6470" s="7" t="s">
        <v>101</v>
      </c>
      <c r="C6470" s="7" t="s">
        <v>1121</v>
      </c>
      <c r="D6470" s="7" t="n">
        <v>0</v>
      </c>
      <c r="E6470" s="7" t="n">
        <v>0</v>
      </c>
      <c r="F6470" s="7" t="n">
        <v>6</v>
      </c>
      <c r="G6470" s="7" t="n">
        <v>777.51</v>
      </c>
    </row>
    <row r="6471" customFormat="false" ht="15" hidden="false" customHeight="false" outlineLevel="0" collapsed="false">
      <c r="A6471" s="7" t="s">
        <v>24</v>
      </c>
      <c r="B6471" s="7" t="s">
        <v>101</v>
      </c>
      <c r="C6471" s="7" t="s">
        <v>1121</v>
      </c>
      <c r="D6471" s="7" t="n">
        <v>0</v>
      </c>
      <c r="E6471" s="7" t="n">
        <v>0</v>
      </c>
      <c r="F6471" s="7" t="n">
        <v>1</v>
      </c>
      <c r="G6471" s="7" t="n">
        <v>143.98</v>
      </c>
    </row>
    <row r="6472" customFormat="false" ht="15" hidden="false" customHeight="false" outlineLevel="0" collapsed="false">
      <c r="A6472" s="7" t="s">
        <v>24</v>
      </c>
      <c r="B6472" s="7" t="s">
        <v>101</v>
      </c>
      <c r="C6472" s="7" t="s">
        <v>1121</v>
      </c>
      <c r="D6472" s="7" t="n">
        <v>0</v>
      </c>
      <c r="E6472" s="7" t="n">
        <v>0</v>
      </c>
      <c r="F6472" s="7" t="n">
        <v>1</v>
      </c>
      <c r="G6472" s="7" t="n">
        <v>143.98</v>
      </c>
    </row>
    <row r="6473" customFormat="false" ht="15" hidden="false" customHeight="false" outlineLevel="0" collapsed="false">
      <c r="A6473" s="7" t="s">
        <v>24</v>
      </c>
      <c r="B6473" s="7" t="s">
        <v>101</v>
      </c>
      <c r="C6473" s="7" t="s">
        <v>1121</v>
      </c>
      <c r="D6473" s="7" t="n">
        <v>0</v>
      </c>
      <c r="E6473" s="7" t="n">
        <v>0</v>
      </c>
      <c r="F6473" s="7" t="n">
        <v>1</v>
      </c>
      <c r="G6473" s="7" t="n">
        <v>143.98</v>
      </c>
    </row>
    <row r="6474" customFormat="false" ht="15" hidden="false" customHeight="false" outlineLevel="0" collapsed="false">
      <c r="A6474" s="7" t="s">
        <v>24</v>
      </c>
      <c r="B6474" s="7" t="s">
        <v>101</v>
      </c>
      <c r="C6474" s="7" t="s">
        <v>1121</v>
      </c>
      <c r="D6474" s="7" t="n">
        <v>0</v>
      </c>
      <c r="E6474" s="7" t="n">
        <v>0</v>
      </c>
      <c r="F6474" s="7" t="n">
        <v>1</v>
      </c>
      <c r="G6474" s="7" t="n">
        <v>143.98</v>
      </c>
    </row>
    <row r="6475" customFormat="false" ht="15" hidden="false" customHeight="false" outlineLevel="0" collapsed="false">
      <c r="A6475" s="7" t="s">
        <v>24</v>
      </c>
      <c r="B6475" s="7" t="s">
        <v>101</v>
      </c>
      <c r="C6475" s="7" t="s">
        <v>1121</v>
      </c>
      <c r="D6475" s="7" t="n">
        <v>0</v>
      </c>
      <c r="E6475" s="7" t="n">
        <v>0</v>
      </c>
      <c r="F6475" s="7" t="n">
        <v>1</v>
      </c>
      <c r="G6475" s="7" t="n">
        <v>143.98</v>
      </c>
    </row>
    <row r="6476" customFormat="false" ht="15" hidden="false" customHeight="false" outlineLevel="0" collapsed="false">
      <c r="A6476" s="7" t="s">
        <v>24</v>
      </c>
      <c r="B6476" s="7" t="s">
        <v>101</v>
      </c>
      <c r="C6476" s="7" t="s">
        <v>1121</v>
      </c>
      <c r="D6476" s="7" t="n">
        <v>0</v>
      </c>
      <c r="E6476" s="7" t="n">
        <v>0</v>
      </c>
      <c r="F6476" s="7" t="n">
        <v>1</v>
      </c>
      <c r="G6476" s="7" t="n">
        <v>143.99</v>
      </c>
    </row>
    <row r="6477" customFormat="false" ht="15" hidden="false" customHeight="false" outlineLevel="0" collapsed="false">
      <c r="A6477" s="7" t="s">
        <v>24</v>
      </c>
      <c r="B6477" s="7" t="s">
        <v>101</v>
      </c>
      <c r="C6477" s="7" t="s">
        <v>1121</v>
      </c>
      <c r="D6477" s="7" t="n">
        <v>0</v>
      </c>
      <c r="E6477" s="7" t="n">
        <v>0</v>
      </c>
      <c r="F6477" s="7" t="n">
        <v>1</v>
      </c>
      <c r="G6477" s="7" t="n">
        <v>129.58</v>
      </c>
    </row>
    <row r="6478" customFormat="false" ht="15" hidden="false" customHeight="false" outlineLevel="0" collapsed="false">
      <c r="A6478" s="7" t="s">
        <v>24</v>
      </c>
      <c r="B6478" s="7" t="s">
        <v>101</v>
      </c>
      <c r="C6478" s="7" t="s">
        <v>1121</v>
      </c>
      <c r="D6478" s="7" t="n">
        <v>0</v>
      </c>
      <c r="E6478" s="7" t="n">
        <v>0</v>
      </c>
      <c r="F6478" s="7" t="n">
        <v>1</v>
      </c>
      <c r="G6478" s="7" t="n">
        <v>129.59</v>
      </c>
    </row>
    <row r="6479" customFormat="false" ht="15" hidden="false" customHeight="false" outlineLevel="0" collapsed="false">
      <c r="A6479" s="7" t="s">
        <v>24</v>
      </c>
      <c r="B6479" s="7" t="s">
        <v>101</v>
      </c>
      <c r="C6479" s="7" t="s">
        <v>1121</v>
      </c>
      <c r="D6479" s="7" t="n">
        <v>0</v>
      </c>
      <c r="E6479" s="7" t="n">
        <v>0</v>
      </c>
      <c r="F6479" s="7" t="n">
        <v>1</v>
      </c>
      <c r="G6479" s="7" t="n">
        <v>143.99</v>
      </c>
    </row>
    <row r="6480" customFormat="false" ht="15" hidden="false" customHeight="false" outlineLevel="0" collapsed="false">
      <c r="A6480" s="7" t="s">
        <v>24</v>
      </c>
      <c r="B6480" s="7" t="s">
        <v>101</v>
      </c>
      <c r="C6480" s="7" t="s">
        <v>1121</v>
      </c>
      <c r="D6480" s="7" t="n">
        <v>0</v>
      </c>
      <c r="E6480" s="7" t="n">
        <v>0</v>
      </c>
      <c r="F6480" s="7" t="n">
        <v>2</v>
      </c>
      <c r="G6480" s="7" t="n">
        <v>244.78</v>
      </c>
    </row>
    <row r="6481" customFormat="false" ht="15" hidden="false" customHeight="false" outlineLevel="0" collapsed="false">
      <c r="A6481" s="7" t="s">
        <v>24</v>
      </c>
      <c r="B6481" s="7" t="s">
        <v>101</v>
      </c>
      <c r="C6481" s="7" t="s">
        <v>1121</v>
      </c>
      <c r="D6481" s="7" t="n">
        <v>0</v>
      </c>
      <c r="E6481" s="7" t="n">
        <v>0</v>
      </c>
      <c r="F6481" s="7" t="n">
        <v>1</v>
      </c>
      <c r="G6481" s="7" t="n">
        <v>129.58</v>
      </c>
    </row>
    <row r="6482" customFormat="false" ht="15" hidden="false" customHeight="false" outlineLevel="0" collapsed="false">
      <c r="A6482" s="7" t="s">
        <v>24</v>
      </c>
      <c r="B6482" s="7" t="s">
        <v>101</v>
      </c>
      <c r="C6482" s="7" t="s">
        <v>1121</v>
      </c>
      <c r="D6482" s="7" t="n">
        <v>0</v>
      </c>
      <c r="E6482" s="7" t="n">
        <v>0</v>
      </c>
      <c r="F6482" s="7" t="n">
        <v>2</v>
      </c>
      <c r="G6482" s="7" t="n">
        <v>287.96</v>
      </c>
    </row>
    <row r="6483" customFormat="false" ht="15" hidden="false" customHeight="false" outlineLevel="0" collapsed="false">
      <c r="A6483" s="7" t="s">
        <v>24</v>
      </c>
      <c r="B6483" s="7" t="s">
        <v>101</v>
      </c>
      <c r="C6483" s="7" t="s">
        <v>1121</v>
      </c>
      <c r="D6483" s="7" t="n">
        <v>0</v>
      </c>
      <c r="E6483" s="7" t="n">
        <v>0</v>
      </c>
      <c r="F6483" s="7" t="n">
        <v>1</v>
      </c>
      <c r="G6483" s="7" t="n">
        <v>143.99</v>
      </c>
    </row>
    <row r="6484" customFormat="false" ht="15" hidden="false" customHeight="false" outlineLevel="0" collapsed="false">
      <c r="A6484" s="7" t="s">
        <v>24</v>
      </c>
      <c r="B6484" s="7" t="s">
        <v>101</v>
      </c>
      <c r="C6484" s="7" t="s">
        <v>1121</v>
      </c>
      <c r="D6484" s="7" t="n">
        <v>0</v>
      </c>
      <c r="E6484" s="7" t="n">
        <v>0</v>
      </c>
      <c r="F6484" s="7" t="n">
        <v>1</v>
      </c>
      <c r="G6484" s="7" t="n">
        <v>129.59</v>
      </c>
    </row>
    <row r="6485" customFormat="false" ht="15" hidden="false" customHeight="false" outlineLevel="0" collapsed="false">
      <c r="A6485" s="7" t="s">
        <v>24</v>
      </c>
      <c r="B6485" s="7" t="s">
        <v>101</v>
      </c>
      <c r="C6485" s="7" t="s">
        <v>1121</v>
      </c>
      <c r="D6485" s="7" t="n">
        <v>0</v>
      </c>
      <c r="E6485" s="7" t="n">
        <v>0</v>
      </c>
      <c r="F6485" s="7" t="n">
        <v>1</v>
      </c>
      <c r="G6485" s="7" t="n">
        <v>143.99</v>
      </c>
    </row>
    <row r="6486" customFormat="false" ht="15" hidden="false" customHeight="false" outlineLevel="0" collapsed="false">
      <c r="A6486" s="7" t="s">
        <v>24</v>
      </c>
      <c r="B6486" s="7" t="s">
        <v>101</v>
      </c>
      <c r="C6486" s="7" t="s">
        <v>1121</v>
      </c>
      <c r="D6486" s="7" t="n">
        <v>0</v>
      </c>
      <c r="E6486" s="7" t="n">
        <v>0</v>
      </c>
      <c r="F6486" s="7" t="n">
        <v>1</v>
      </c>
      <c r="G6486" s="7" t="n">
        <v>122.39</v>
      </c>
    </row>
    <row r="6487" customFormat="false" ht="15" hidden="false" customHeight="false" outlineLevel="0" collapsed="false">
      <c r="A6487" s="7" t="s">
        <v>24</v>
      </c>
      <c r="B6487" s="7" t="s">
        <v>101</v>
      </c>
      <c r="C6487" s="7" t="s">
        <v>1121</v>
      </c>
      <c r="D6487" s="7" t="n">
        <v>0</v>
      </c>
      <c r="E6487" s="7" t="n">
        <v>0</v>
      </c>
      <c r="F6487" s="7" t="n">
        <v>1</v>
      </c>
      <c r="G6487" s="7" t="n">
        <v>122.39</v>
      </c>
    </row>
    <row r="6488" customFormat="false" ht="15" hidden="false" customHeight="false" outlineLevel="0" collapsed="false">
      <c r="A6488" s="7" t="s">
        <v>24</v>
      </c>
      <c r="B6488" s="7" t="s">
        <v>101</v>
      </c>
      <c r="C6488" s="7" t="s">
        <v>1121</v>
      </c>
      <c r="D6488" s="7" t="n">
        <v>0</v>
      </c>
      <c r="E6488" s="7" t="n">
        <v>0</v>
      </c>
      <c r="F6488" s="7" t="n">
        <v>1</v>
      </c>
      <c r="G6488" s="7" t="n">
        <v>143.98</v>
      </c>
    </row>
    <row r="6489" customFormat="false" ht="15" hidden="false" customHeight="false" outlineLevel="0" collapsed="false">
      <c r="A6489" s="7" t="s">
        <v>24</v>
      </c>
      <c r="B6489" s="7" t="s">
        <v>101</v>
      </c>
      <c r="C6489" s="7" t="s">
        <v>1121</v>
      </c>
      <c r="D6489" s="7" t="n">
        <v>0</v>
      </c>
      <c r="E6489" s="7" t="n">
        <v>0</v>
      </c>
      <c r="F6489" s="7" t="n">
        <v>1</v>
      </c>
      <c r="G6489" s="7" t="n">
        <v>143.98</v>
      </c>
    </row>
    <row r="6490" customFormat="false" ht="15" hidden="false" customHeight="false" outlineLevel="0" collapsed="false">
      <c r="A6490" s="7" t="s">
        <v>24</v>
      </c>
      <c r="B6490" s="7" t="s">
        <v>101</v>
      </c>
      <c r="C6490" s="7" t="s">
        <v>1121</v>
      </c>
      <c r="D6490" s="7" t="n">
        <v>0</v>
      </c>
      <c r="E6490" s="7" t="n">
        <v>0</v>
      </c>
      <c r="F6490" s="7" t="n">
        <v>1</v>
      </c>
      <c r="G6490" s="7" t="n">
        <v>129.58</v>
      </c>
    </row>
    <row r="6491" customFormat="false" ht="15" hidden="false" customHeight="false" outlineLevel="0" collapsed="false">
      <c r="A6491" s="7" t="s">
        <v>24</v>
      </c>
      <c r="B6491" s="7" t="s">
        <v>101</v>
      </c>
      <c r="C6491" s="7" t="s">
        <v>1121</v>
      </c>
      <c r="D6491" s="7" t="n">
        <v>0</v>
      </c>
      <c r="E6491" s="7" t="n">
        <v>0</v>
      </c>
      <c r="F6491" s="7" t="n">
        <v>3</v>
      </c>
      <c r="G6491" s="7" t="n">
        <v>403.17</v>
      </c>
    </row>
    <row r="6492" customFormat="false" ht="15" hidden="false" customHeight="false" outlineLevel="0" collapsed="false">
      <c r="A6492" s="7" t="s">
        <v>24</v>
      </c>
      <c r="B6492" s="7" t="s">
        <v>101</v>
      </c>
      <c r="C6492" s="7" t="s">
        <v>1121</v>
      </c>
      <c r="D6492" s="7" t="n">
        <v>0</v>
      </c>
      <c r="E6492" s="7" t="n">
        <v>0</v>
      </c>
      <c r="F6492" s="7" t="n">
        <v>1</v>
      </c>
      <c r="G6492" s="7" t="n">
        <v>22.19</v>
      </c>
    </row>
    <row r="6493" customFormat="false" ht="15" hidden="false" customHeight="false" outlineLevel="0" collapsed="false">
      <c r="A6493" s="7" t="s">
        <v>24</v>
      </c>
      <c r="B6493" s="7" t="s">
        <v>101</v>
      </c>
      <c r="C6493" s="7" t="s">
        <v>1121</v>
      </c>
      <c r="D6493" s="7" t="n">
        <v>0</v>
      </c>
      <c r="E6493" s="7" t="n">
        <v>0</v>
      </c>
      <c r="F6493" s="7" t="n">
        <v>3</v>
      </c>
      <c r="G6493" s="7" t="n">
        <v>403.17</v>
      </c>
    </row>
    <row r="6494" customFormat="false" ht="15" hidden="false" customHeight="false" outlineLevel="0" collapsed="false">
      <c r="A6494" s="7" t="s">
        <v>24</v>
      </c>
      <c r="B6494" s="7" t="s">
        <v>101</v>
      </c>
      <c r="C6494" s="7" t="s">
        <v>1121</v>
      </c>
      <c r="D6494" s="7" t="n">
        <v>0</v>
      </c>
      <c r="E6494" s="7" t="n">
        <v>0</v>
      </c>
      <c r="F6494" s="7" t="n">
        <v>4</v>
      </c>
      <c r="G6494" s="7" t="n">
        <v>547.14</v>
      </c>
    </row>
    <row r="6495" customFormat="false" ht="15" hidden="false" customHeight="false" outlineLevel="0" collapsed="false">
      <c r="A6495" s="7" t="s">
        <v>24</v>
      </c>
      <c r="B6495" s="7" t="s">
        <v>101</v>
      </c>
      <c r="C6495" s="7" t="s">
        <v>1121</v>
      </c>
      <c r="D6495" s="7" t="n">
        <v>0</v>
      </c>
      <c r="E6495" s="7" t="n">
        <v>0</v>
      </c>
      <c r="F6495" s="7" t="n">
        <v>1</v>
      </c>
      <c r="G6495" s="7" t="n">
        <v>129.59</v>
      </c>
    </row>
    <row r="6496" customFormat="false" ht="15" hidden="false" customHeight="false" outlineLevel="0" collapsed="false">
      <c r="A6496" s="7" t="s">
        <v>24</v>
      </c>
      <c r="B6496" s="7" t="s">
        <v>101</v>
      </c>
      <c r="C6496" s="7" t="s">
        <v>1121</v>
      </c>
      <c r="D6496" s="7" t="n">
        <v>0</v>
      </c>
      <c r="E6496" s="7" t="n">
        <v>0</v>
      </c>
      <c r="F6496" s="7" t="n">
        <v>3</v>
      </c>
      <c r="G6496" s="7" t="n">
        <v>417.54</v>
      </c>
    </row>
    <row r="6497" customFormat="false" ht="15" hidden="false" customHeight="false" outlineLevel="0" collapsed="false">
      <c r="A6497" s="7" t="s">
        <v>24</v>
      </c>
      <c r="B6497" s="7" t="s">
        <v>101</v>
      </c>
      <c r="C6497" s="7" t="s">
        <v>1121</v>
      </c>
      <c r="D6497" s="7" t="n">
        <v>0</v>
      </c>
      <c r="E6497" s="7" t="n">
        <v>0</v>
      </c>
      <c r="F6497" s="7" t="n">
        <v>2</v>
      </c>
      <c r="G6497" s="7" t="n">
        <v>244.78</v>
      </c>
    </row>
    <row r="6498" customFormat="false" ht="15" hidden="false" customHeight="false" outlineLevel="0" collapsed="false">
      <c r="A6498" s="7" t="s">
        <v>24</v>
      </c>
      <c r="B6498" s="7" t="s">
        <v>101</v>
      </c>
      <c r="C6498" s="7" t="s">
        <v>1121</v>
      </c>
      <c r="D6498" s="7" t="n">
        <v>0</v>
      </c>
      <c r="E6498" s="7" t="n">
        <v>0</v>
      </c>
      <c r="F6498" s="7" t="n">
        <v>1</v>
      </c>
      <c r="G6498" s="7" t="n">
        <v>115.19</v>
      </c>
    </row>
    <row r="6499" customFormat="false" ht="15" hidden="false" customHeight="false" outlineLevel="0" collapsed="false">
      <c r="A6499" s="7" t="s">
        <v>24</v>
      </c>
      <c r="B6499" s="7" t="s">
        <v>101</v>
      </c>
      <c r="C6499" s="7" t="s">
        <v>1121</v>
      </c>
      <c r="D6499" s="7" t="n">
        <v>0</v>
      </c>
      <c r="E6499" s="7" t="n">
        <v>0</v>
      </c>
      <c r="F6499" s="7" t="n">
        <v>1</v>
      </c>
      <c r="G6499" s="7" t="n">
        <v>143.98</v>
      </c>
    </row>
    <row r="6500" customFormat="false" ht="15" hidden="false" customHeight="false" outlineLevel="0" collapsed="false">
      <c r="A6500" s="7" t="s">
        <v>24</v>
      </c>
      <c r="B6500" s="7" t="s">
        <v>101</v>
      </c>
      <c r="C6500" s="7" t="s">
        <v>1121</v>
      </c>
      <c r="D6500" s="7" t="n">
        <v>0</v>
      </c>
      <c r="E6500" s="7" t="n">
        <v>0</v>
      </c>
      <c r="F6500" s="7" t="n">
        <v>1</v>
      </c>
      <c r="G6500" s="7" t="n">
        <v>143.98</v>
      </c>
    </row>
    <row r="6501" customFormat="false" ht="15" hidden="false" customHeight="false" outlineLevel="0" collapsed="false">
      <c r="A6501" s="7" t="s">
        <v>24</v>
      </c>
      <c r="B6501" s="7" t="s">
        <v>101</v>
      </c>
      <c r="C6501" s="7" t="s">
        <v>1121</v>
      </c>
      <c r="D6501" s="7" t="n">
        <v>0</v>
      </c>
      <c r="E6501" s="7" t="n">
        <v>0</v>
      </c>
      <c r="F6501" s="7" t="n">
        <v>1</v>
      </c>
      <c r="G6501" s="7" t="n">
        <v>143.99</v>
      </c>
    </row>
    <row r="6502" customFormat="false" ht="15" hidden="false" customHeight="false" outlineLevel="0" collapsed="false">
      <c r="A6502" s="7" t="s">
        <v>24</v>
      </c>
      <c r="B6502" s="7" t="s">
        <v>101</v>
      </c>
      <c r="C6502" s="7" t="s">
        <v>1121</v>
      </c>
      <c r="D6502" s="7" t="n">
        <v>0</v>
      </c>
      <c r="E6502" s="7" t="n">
        <v>0</v>
      </c>
      <c r="F6502" s="7" t="n">
        <v>2</v>
      </c>
      <c r="G6502" s="7" t="n">
        <v>287.96</v>
      </c>
    </row>
    <row r="6503" customFormat="false" ht="15" hidden="false" customHeight="false" outlineLevel="0" collapsed="false">
      <c r="A6503" s="7" t="s">
        <v>24</v>
      </c>
      <c r="B6503" s="7" t="s">
        <v>101</v>
      </c>
      <c r="C6503" s="7" t="s">
        <v>1121</v>
      </c>
      <c r="D6503" s="7" t="n">
        <v>0</v>
      </c>
      <c r="E6503" s="7" t="n">
        <v>0</v>
      </c>
      <c r="F6503" s="7" t="n">
        <v>1</v>
      </c>
      <c r="G6503" s="7" t="n">
        <v>115.19</v>
      </c>
    </row>
    <row r="6504" customFormat="false" ht="15" hidden="false" customHeight="false" outlineLevel="0" collapsed="false">
      <c r="A6504" s="7" t="s">
        <v>24</v>
      </c>
      <c r="B6504" s="7" t="s">
        <v>101</v>
      </c>
      <c r="C6504" s="7" t="s">
        <v>1121</v>
      </c>
      <c r="D6504" s="7" t="n">
        <v>0</v>
      </c>
      <c r="E6504" s="7" t="n">
        <v>0</v>
      </c>
      <c r="F6504" s="7" t="n">
        <v>2</v>
      </c>
      <c r="G6504" s="7" t="n">
        <v>237.58</v>
      </c>
    </row>
    <row r="6505" customFormat="false" ht="15" hidden="false" customHeight="false" outlineLevel="0" collapsed="false">
      <c r="A6505" s="7" t="s">
        <v>24</v>
      </c>
      <c r="B6505" s="7" t="s">
        <v>101</v>
      </c>
      <c r="C6505" s="7" t="s">
        <v>1121</v>
      </c>
      <c r="D6505" s="7" t="n">
        <v>0</v>
      </c>
      <c r="E6505" s="7" t="n">
        <v>0</v>
      </c>
      <c r="F6505" s="7" t="n">
        <v>10</v>
      </c>
      <c r="G6505" s="7" t="n">
        <v>1267.1</v>
      </c>
    </row>
    <row r="6506" customFormat="false" ht="15" hidden="false" customHeight="false" outlineLevel="0" collapsed="false">
      <c r="A6506" s="7" t="s">
        <v>24</v>
      </c>
      <c r="B6506" s="7" t="s">
        <v>101</v>
      </c>
      <c r="C6506" s="7" t="s">
        <v>1121</v>
      </c>
      <c r="D6506" s="7" t="n">
        <v>0</v>
      </c>
      <c r="E6506" s="7" t="n">
        <v>0</v>
      </c>
      <c r="F6506" s="7" t="n">
        <v>5</v>
      </c>
      <c r="G6506" s="7" t="n">
        <v>659.84</v>
      </c>
    </row>
    <row r="6507" customFormat="false" ht="15" hidden="false" customHeight="false" outlineLevel="0" collapsed="false">
      <c r="A6507" s="7" t="s">
        <v>24</v>
      </c>
      <c r="B6507" s="7" t="s">
        <v>101</v>
      </c>
      <c r="C6507" s="7" t="s">
        <v>1121</v>
      </c>
      <c r="D6507" s="7" t="n">
        <v>0</v>
      </c>
      <c r="E6507" s="7" t="n">
        <v>0</v>
      </c>
      <c r="F6507" s="7" t="n">
        <v>9</v>
      </c>
      <c r="G6507" s="7" t="n">
        <v>1151.91</v>
      </c>
    </row>
    <row r="6508" customFormat="false" ht="15" hidden="false" customHeight="false" outlineLevel="0" collapsed="false">
      <c r="A6508" s="7" t="s">
        <v>24</v>
      </c>
      <c r="B6508" s="7" t="s">
        <v>101</v>
      </c>
      <c r="C6508" s="7" t="s">
        <v>1121</v>
      </c>
      <c r="D6508" s="7" t="n">
        <v>0</v>
      </c>
      <c r="E6508" s="7" t="n">
        <v>0</v>
      </c>
      <c r="F6508" s="7" t="n">
        <v>2</v>
      </c>
      <c r="G6508" s="7" t="n">
        <v>287.98</v>
      </c>
    </row>
    <row r="6509" customFormat="false" ht="15" hidden="false" customHeight="false" outlineLevel="0" collapsed="false">
      <c r="A6509" s="7" t="s">
        <v>24</v>
      </c>
      <c r="B6509" s="7" t="s">
        <v>101</v>
      </c>
      <c r="C6509" s="7" t="s">
        <v>1121</v>
      </c>
      <c r="D6509" s="7" t="n">
        <v>0</v>
      </c>
      <c r="E6509" s="7" t="n">
        <v>0</v>
      </c>
      <c r="F6509" s="7" t="n">
        <v>1</v>
      </c>
      <c r="G6509" s="7" t="n">
        <v>115.19</v>
      </c>
    </row>
    <row r="6510" customFormat="false" ht="15" hidden="false" customHeight="false" outlineLevel="0" collapsed="false">
      <c r="A6510" s="7" t="s">
        <v>24</v>
      </c>
      <c r="B6510" s="7" t="s">
        <v>101</v>
      </c>
      <c r="C6510" s="7" t="s">
        <v>1121</v>
      </c>
      <c r="D6510" s="7" t="n">
        <v>0</v>
      </c>
      <c r="E6510" s="7" t="n">
        <v>0</v>
      </c>
      <c r="F6510" s="7" t="n">
        <v>1</v>
      </c>
      <c r="G6510" s="7" t="n">
        <v>143.99</v>
      </c>
    </row>
    <row r="6511" customFormat="false" ht="15" hidden="false" customHeight="false" outlineLevel="0" collapsed="false">
      <c r="A6511" s="7" t="s">
        <v>24</v>
      </c>
      <c r="B6511" s="7" t="s">
        <v>101</v>
      </c>
      <c r="C6511" s="7" t="s">
        <v>1121</v>
      </c>
      <c r="D6511" s="7" t="n">
        <v>0</v>
      </c>
      <c r="E6511" s="7" t="n">
        <v>0</v>
      </c>
      <c r="F6511" s="7" t="n">
        <v>1</v>
      </c>
      <c r="G6511" s="7" t="n">
        <v>143.99</v>
      </c>
    </row>
    <row r="6512" customFormat="false" ht="15" hidden="false" customHeight="false" outlineLevel="0" collapsed="false">
      <c r="A6512" s="7" t="s">
        <v>24</v>
      </c>
      <c r="B6512" s="7" t="s">
        <v>101</v>
      </c>
      <c r="C6512" s="7" t="s">
        <v>1121</v>
      </c>
      <c r="D6512" s="7" t="n">
        <v>0</v>
      </c>
      <c r="E6512" s="7" t="n">
        <v>0</v>
      </c>
      <c r="F6512" s="7" t="n">
        <v>5</v>
      </c>
      <c r="G6512" s="7" t="n">
        <v>719.9</v>
      </c>
    </row>
    <row r="6513" customFormat="false" ht="15" hidden="false" customHeight="false" outlineLevel="0" collapsed="false">
      <c r="A6513" s="7" t="s">
        <v>24</v>
      </c>
      <c r="B6513" s="7" t="s">
        <v>101</v>
      </c>
      <c r="C6513" s="7" t="s">
        <v>1121</v>
      </c>
      <c r="D6513" s="7" t="n">
        <v>0</v>
      </c>
      <c r="E6513" s="7" t="n">
        <v>0</v>
      </c>
      <c r="F6513" s="7" t="n">
        <v>25</v>
      </c>
      <c r="G6513" s="7" t="n">
        <v>3326.15</v>
      </c>
    </row>
    <row r="6514" customFormat="false" ht="15" hidden="false" customHeight="false" outlineLevel="0" collapsed="false">
      <c r="A6514" s="7" t="s">
        <v>24</v>
      </c>
      <c r="B6514" s="7" t="s">
        <v>101</v>
      </c>
      <c r="C6514" s="7" t="s">
        <v>1121</v>
      </c>
      <c r="D6514" s="7" t="n">
        <v>0</v>
      </c>
      <c r="E6514" s="7" t="n">
        <v>0</v>
      </c>
      <c r="F6514" s="7" t="n">
        <v>1</v>
      </c>
      <c r="G6514" s="7" t="n">
        <v>115.19</v>
      </c>
    </row>
    <row r="6515" customFormat="false" ht="15" hidden="false" customHeight="false" outlineLevel="0" collapsed="false">
      <c r="A6515" s="7" t="s">
        <v>24</v>
      </c>
      <c r="B6515" s="7" t="s">
        <v>101</v>
      </c>
      <c r="C6515" s="7" t="s">
        <v>1121</v>
      </c>
      <c r="D6515" s="7" t="n">
        <v>0</v>
      </c>
      <c r="E6515" s="7" t="n">
        <v>0</v>
      </c>
      <c r="F6515" s="7" t="n">
        <v>1</v>
      </c>
      <c r="G6515" s="7" t="n">
        <v>115.19</v>
      </c>
    </row>
    <row r="6516" customFormat="false" ht="15" hidden="false" customHeight="false" outlineLevel="0" collapsed="false">
      <c r="A6516" s="7" t="s">
        <v>24</v>
      </c>
      <c r="B6516" s="7" t="s">
        <v>101</v>
      </c>
      <c r="C6516" s="7" t="s">
        <v>1121</v>
      </c>
      <c r="D6516" s="7" t="n">
        <v>0</v>
      </c>
      <c r="E6516" s="7" t="n">
        <v>0</v>
      </c>
      <c r="F6516" s="7" t="n">
        <v>1</v>
      </c>
      <c r="G6516" s="7" t="n">
        <v>143.98</v>
      </c>
    </row>
    <row r="6517" customFormat="false" ht="15" hidden="false" customHeight="false" outlineLevel="0" collapsed="false">
      <c r="A6517" s="7" t="s">
        <v>24</v>
      </c>
      <c r="B6517" s="7" t="s">
        <v>101</v>
      </c>
      <c r="C6517" s="7" t="s">
        <v>1121</v>
      </c>
      <c r="D6517" s="7" t="n">
        <v>0</v>
      </c>
      <c r="E6517" s="7" t="n">
        <v>0</v>
      </c>
      <c r="F6517" s="7" t="n">
        <v>1</v>
      </c>
      <c r="G6517" s="7" t="n">
        <v>143.98</v>
      </c>
    </row>
    <row r="6518" customFormat="false" ht="15" hidden="false" customHeight="false" outlineLevel="0" collapsed="false">
      <c r="A6518" s="7" t="s">
        <v>24</v>
      </c>
      <c r="B6518" s="7" t="s">
        <v>101</v>
      </c>
      <c r="C6518" s="7" t="s">
        <v>1121</v>
      </c>
      <c r="D6518" s="7" t="n">
        <v>0</v>
      </c>
      <c r="E6518" s="7" t="n">
        <v>0</v>
      </c>
      <c r="F6518" s="7" t="n">
        <v>1</v>
      </c>
      <c r="G6518" s="7" t="n">
        <v>143.98</v>
      </c>
    </row>
    <row r="6519" customFormat="false" ht="15" hidden="false" customHeight="false" outlineLevel="0" collapsed="false">
      <c r="A6519" s="7" t="s">
        <v>24</v>
      </c>
      <c r="B6519" s="7" t="s">
        <v>101</v>
      </c>
      <c r="C6519" s="7" t="s">
        <v>1121</v>
      </c>
      <c r="D6519" s="7" t="n">
        <v>0</v>
      </c>
      <c r="E6519" s="7" t="n">
        <v>0</v>
      </c>
      <c r="F6519" s="7" t="n">
        <v>1</v>
      </c>
      <c r="G6519" s="7" t="n">
        <v>143.98</v>
      </c>
    </row>
    <row r="6520" customFormat="false" ht="15" hidden="false" customHeight="false" outlineLevel="0" collapsed="false">
      <c r="A6520" s="7" t="s">
        <v>24</v>
      </c>
      <c r="B6520" s="7" t="s">
        <v>101</v>
      </c>
      <c r="C6520" s="7" t="s">
        <v>1121</v>
      </c>
      <c r="D6520" s="7" t="n">
        <v>0</v>
      </c>
      <c r="E6520" s="7" t="n">
        <v>0</v>
      </c>
      <c r="F6520" s="7" t="n">
        <v>1</v>
      </c>
      <c r="G6520" s="7" t="n">
        <v>129.58</v>
      </c>
    </row>
    <row r="6521" customFormat="false" ht="15" hidden="false" customHeight="false" outlineLevel="0" collapsed="false">
      <c r="A6521" s="7" t="s">
        <v>24</v>
      </c>
      <c r="B6521" s="7" t="s">
        <v>101</v>
      </c>
      <c r="C6521" s="7" t="s">
        <v>1121</v>
      </c>
      <c r="D6521" s="7" t="n">
        <v>0</v>
      </c>
      <c r="E6521" s="7" t="n">
        <v>0</v>
      </c>
      <c r="F6521" s="7" t="n">
        <v>2</v>
      </c>
      <c r="G6521" s="7" t="n">
        <v>287.97</v>
      </c>
    </row>
    <row r="6522" customFormat="false" ht="15" hidden="false" customHeight="false" outlineLevel="0" collapsed="false">
      <c r="A6522" s="7" t="s">
        <v>24</v>
      </c>
      <c r="B6522" s="7" t="s">
        <v>101</v>
      </c>
      <c r="C6522" s="7" t="s">
        <v>1121</v>
      </c>
      <c r="D6522" s="7" t="n">
        <v>0</v>
      </c>
      <c r="E6522" s="7" t="n">
        <v>0</v>
      </c>
      <c r="F6522" s="7" t="n">
        <v>6</v>
      </c>
      <c r="G6522" s="7" t="n">
        <v>835.08</v>
      </c>
    </row>
    <row r="6523" customFormat="false" ht="15" hidden="false" customHeight="false" outlineLevel="0" collapsed="false">
      <c r="A6523" s="7" t="s">
        <v>24</v>
      </c>
      <c r="B6523" s="7" t="s">
        <v>101</v>
      </c>
      <c r="C6523" s="7" t="s">
        <v>1121</v>
      </c>
      <c r="D6523" s="7" t="n">
        <v>0</v>
      </c>
      <c r="E6523" s="7" t="n">
        <v>0</v>
      </c>
      <c r="F6523" s="7" t="n">
        <v>2</v>
      </c>
      <c r="G6523" s="7" t="n">
        <v>254.15</v>
      </c>
    </row>
    <row r="6524" customFormat="false" ht="15" hidden="false" customHeight="false" outlineLevel="0" collapsed="false">
      <c r="A6524" s="7" t="s">
        <v>24</v>
      </c>
      <c r="B6524" s="7" t="s">
        <v>101</v>
      </c>
      <c r="C6524" s="7" t="s">
        <v>1121</v>
      </c>
      <c r="D6524" s="7" t="n">
        <v>0</v>
      </c>
      <c r="E6524" s="7" t="n">
        <v>0</v>
      </c>
      <c r="F6524" s="7" t="n">
        <v>4</v>
      </c>
      <c r="G6524" s="7" t="n">
        <v>542.11</v>
      </c>
    </row>
    <row r="6525" customFormat="false" ht="15" hidden="false" customHeight="false" outlineLevel="0" collapsed="false">
      <c r="A6525" s="7" t="s">
        <v>24</v>
      </c>
      <c r="B6525" s="7" t="s">
        <v>101</v>
      </c>
      <c r="C6525" s="7" t="s">
        <v>1121</v>
      </c>
      <c r="D6525" s="7" t="n">
        <v>0</v>
      </c>
      <c r="E6525" s="7" t="n">
        <v>0</v>
      </c>
      <c r="F6525" s="7" t="n">
        <v>6</v>
      </c>
      <c r="G6525" s="7" t="n">
        <v>777.52</v>
      </c>
    </row>
    <row r="6526" customFormat="false" ht="15" hidden="false" customHeight="false" outlineLevel="0" collapsed="false">
      <c r="A6526" s="7" t="s">
        <v>24</v>
      </c>
      <c r="B6526" s="7" t="s">
        <v>101</v>
      </c>
      <c r="C6526" s="7" t="s">
        <v>1121</v>
      </c>
      <c r="D6526" s="7" t="n">
        <v>0</v>
      </c>
      <c r="E6526" s="7" t="n">
        <v>0</v>
      </c>
      <c r="F6526" s="7" t="n">
        <v>1</v>
      </c>
      <c r="G6526" s="7" t="n">
        <v>143.98</v>
      </c>
    </row>
    <row r="6527" customFormat="false" ht="15" hidden="false" customHeight="false" outlineLevel="0" collapsed="false">
      <c r="A6527" s="7" t="s">
        <v>24</v>
      </c>
      <c r="B6527" s="7" t="s">
        <v>101</v>
      </c>
      <c r="C6527" s="7" t="s">
        <v>1121</v>
      </c>
      <c r="D6527" s="7" t="n">
        <v>0</v>
      </c>
      <c r="E6527" s="7" t="n">
        <v>0</v>
      </c>
      <c r="F6527" s="7" t="n">
        <v>1</v>
      </c>
      <c r="G6527" s="7" t="n">
        <v>143.98</v>
      </c>
    </row>
    <row r="6528" customFormat="false" ht="15" hidden="false" customHeight="false" outlineLevel="0" collapsed="false">
      <c r="A6528" s="7" t="s">
        <v>24</v>
      </c>
      <c r="B6528" s="7" t="s">
        <v>101</v>
      </c>
      <c r="C6528" s="7" t="s">
        <v>1121</v>
      </c>
      <c r="D6528" s="7" t="n">
        <v>0</v>
      </c>
      <c r="E6528" s="7" t="n">
        <v>0</v>
      </c>
      <c r="F6528" s="7" t="n">
        <v>1</v>
      </c>
      <c r="G6528" s="7" t="n">
        <v>143.99</v>
      </c>
    </row>
    <row r="6529" customFormat="false" ht="15" hidden="false" customHeight="false" outlineLevel="0" collapsed="false">
      <c r="A6529" s="7" t="s">
        <v>24</v>
      </c>
      <c r="B6529" s="7" t="s">
        <v>101</v>
      </c>
      <c r="C6529" s="7" t="s">
        <v>1121</v>
      </c>
      <c r="D6529" s="7" t="n">
        <v>0</v>
      </c>
      <c r="E6529" s="7" t="n">
        <v>0</v>
      </c>
      <c r="F6529" s="7" t="n">
        <v>1</v>
      </c>
      <c r="G6529" s="7" t="n">
        <v>143.98</v>
      </c>
    </row>
    <row r="6530" customFormat="false" ht="15" hidden="false" customHeight="false" outlineLevel="0" collapsed="false">
      <c r="A6530" s="7" t="s">
        <v>24</v>
      </c>
      <c r="B6530" s="7" t="s">
        <v>101</v>
      </c>
      <c r="C6530" s="7" t="s">
        <v>1121</v>
      </c>
      <c r="D6530" s="7" t="n">
        <v>0</v>
      </c>
      <c r="E6530" s="7" t="n">
        <v>0</v>
      </c>
      <c r="F6530" s="7" t="n">
        <v>2</v>
      </c>
      <c r="G6530" s="7" t="n">
        <v>254.15</v>
      </c>
    </row>
    <row r="6531" customFormat="false" ht="15" hidden="false" customHeight="false" outlineLevel="0" collapsed="false">
      <c r="A6531" s="7" t="s">
        <v>24</v>
      </c>
      <c r="B6531" s="7" t="s">
        <v>101</v>
      </c>
      <c r="C6531" s="7" t="s">
        <v>1121</v>
      </c>
      <c r="D6531" s="7" t="n">
        <v>0</v>
      </c>
      <c r="E6531" s="7" t="n">
        <v>0</v>
      </c>
      <c r="F6531" s="7" t="n">
        <v>1</v>
      </c>
      <c r="G6531" s="7" t="n">
        <v>129.59</v>
      </c>
    </row>
    <row r="6532" customFormat="false" ht="15" hidden="false" customHeight="false" outlineLevel="0" collapsed="false">
      <c r="A6532" s="7" t="s">
        <v>24</v>
      </c>
      <c r="B6532" s="7" t="s">
        <v>101</v>
      </c>
      <c r="C6532" s="7" t="s">
        <v>1121</v>
      </c>
      <c r="D6532" s="7" t="n">
        <v>0</v>
      </c>
      <c r="E6532" s="7" t="n">
        <v>0</v>
      </c>
      <c r="F6532" s="7" t="n">
        <v>1</v>
      </c>
      <c r="G6532" s="7" t="n">
        <v>143.98</v>
      </c>
    </row>
    <row r="6533" customFormat="false" ht="15" hidden="false" customHeight="false" outlineLevel="0" collapsed="false">
      <c r="A6533" s="7" t="s">
        <v>24</v>
      </c>
      <c r="B6533" s="7" t="s">
        <v>101</v>
      </c>
      <c r="C6533" s="7" t="s">
        <v>1121</v>
      </c>
      <c r="D6533" s="7" t="n">
        <v>0</v>
      </c>
      <c r="E6533" s="7" t="n">
        <v>0</v>
      </c>
      <c r="F6533" s="7" t="n">
        <v>2</v>
      </c>
      <c r="G6533" s="7" t="n">
        <v>287.96</v>
      </c>
    </row>
    <row r="6534" customFormat="false" ht="15" hidden="false" customHeight="false" outlineLevel="0" collapsed="false">
      <c r="A6534" s="7" t="s">
        <v>24</v>
      </c>
      <c r="B6534" s="7" t="s">
        <v>101</v>
      </c>
      <c r="C6534" s="7" t="s">
        <v>1121</v>
      </c>
      <c r="D6534" s="7" t="n">
        <v>0</v>
      </c>
      <c r="E6534" s="7" t="n">
        <v>0</v>
      </c>
      <c r="F6534" s="7" t="n">
        <v>1</v>
      </c>
      <c r="G6534" s="7" t="n">
        <v>129.58</v>
      </c>
    </row>
    <row r="6535" customFormat="false" ht="15" hidden="false" customHeight="false" outlineLevel="0" collapsed="false">
      <c r="A6535" s="7" t="s">
        <v>24</v>
      </c>
      <c r="B6535" s="7" t="s">
        <v>101</v>
      </c>
      <c r="C6535" s="7" t="s">
        <v>1121</v>
      </c>
      <c r="D6535" s="7" t="n">
        <v>0</v>
      </c>
      <c r="E6535" s="7" t="n">
        <v>0</v>
      </c>
      <c r="F6535" s="7" t="n">
        <v>4</v>
      </c>
      <c r="G6535" s="7" t="n">
        <v>518.34</v>
      </c>
    </row>
    <row r="6536" customFormat="false" ht="15" hidden="false" customHeight="false" outlineLevel="0" collapsed="false">
      <c r="A6536" s="7" t="s">
        <v>24</v>
      </c>
      <c r="B6536" s="7" t="s">
        <v>101</v>
      </c>
      <c r="C6536" s="7" t="s">
        <v>1121</v>
      </c>
      <c r="D6536" s="7" t="n">
        <v>0</v>
      </c>
      <c r="E6536" s="7" t="n">
        <v>0</v>
      </c>
      <c r="F6536" s="7" t="n">
        <v>1</v>
      </c>
      <c r="G6536" s="7" t="n">
        <v>143.98</v>
      </c>
    </row>
    <row r="6537" customFormat="false" ht="15" hidden="false" customHeight="false" outlineLevel="0" collapsed="false">
      <c r="A6537" s="7" t="s">
        <v>24</v>
      </c>
      <c r="B6537" s="7" t="s">
        <v>101</v>
      </c>
      <c r="C6537" s="7" t="s">
        <v>1121</v>
      </c>
      <c r="D6537" s="7" t="n">
        <v>0</v>
      </c>
      <c r="E6537" s="7" t="n">
        <v>0</v>
      </c>
      <c r="F6537" s="7" t="n">
        <v>1</v>
      </c>
      <c r="G6537" s="7" t="n">
        <v>115.19</v>
      </c>
    </row>
    <row r="6538" customFormat="false" ht="15" hidden="false" customHeight="false" outlineLevel="0" collapsed="false">
      <c r="A6538" s="7" t="s">
        <v>24</v>
      </c>
      <c r="B6538" s="7" t="s">
        <v>101</v>
      </c>
      <c r="C6538" s="7" t="s">
        <v>1121</v>
      </c>
      <c r="D6538" s="7" t="n">
        <v>0</v>
      </c>
      <c r="E6538" s="7" t="n">
        <v>0</v>
      </c>
      <c r="F6538" s="7" t="n">
        <v>1</v>
      </c>
      <c r="G6538" s="7" t="n">
        <v>143.98</v>
      </c>
    </row>
    <row r="6539" customFormat="false" ht="15" hidden="false" customHeight="false" outlineLevel="0" collapsed="false">
      <c r="A6539" s="7" t="s">
        <v>24</v>
      </c>
      <c r="B6539" s="7" t="s">
        <v>101</v>
      </c>
      <c r="C6539" s="7" t="s">
        <v>1121</v>
      </c>
      <c r="D6539" s="7" t="n">
        <v>0</v>
      </c>
      <c r="E6539" s="7" t="n">
        <v>0</v>
      </c>
      <c r="F6539" s="7" t="n">
        <v>2</v>
      </c>
      <c r="G6539" s="7" t="n">
        <v>254.15</v>
      </c>
    </row>
    <row r="6540" customFormat="false" ht="15" hidden="false" customHeight="false" outlineLevel="0" collapsed="false">
      <c r="A6540" s="7" t="s">
        <v>24</v>
      </c>
      <c r="B6540" s="7" t="s">
        <v>101</v>
      </c>
      <c r="C6540" s="7" t="s">
        <v>1121</v>
      </c>
      <c r="D6540" s="7" t="n">
        <v>0</v>
      </c>
      <c r="E6540" s="7" t="n">
        <v>0</v>
      </c>
      <c r="F6540" s="7" t="n">
        <v>2</v>
      </c>
      <c r="G6540" s="7" t="n">
        <v>259.17</v>
      </c>
    </row>
    <row r="6541" customFormat="false" ht="15" hidden="false" customHeight="false" outlineLevel="0" collapsed="false">
      <c r="A6541" s="7" t="s">
        <v>24</v>
      </c>
      <c r="B6541" s="7" t="s">
        <v>101</v>
      </c>
      <c r="C6541" s="7" t="s">
        <v>1121</v>
      </c>
      <c r="D6541" s="7" t="n">
        <v>0</v>
      </c>
      <c r="E6541" s="7" t="n">
        <v>0</v>
      </c>
      <c r="F6541" s="7" t="n">
        <v>1</v>
      </c>
      <c r="G6541" s="7" t="n">
        <v>115.19</v>
      </c>
    </row>
    <row r="6542" customFormat="false" ht="15" hidden="false" customHeight="false" outlineLevel="0" collapsed="false">
      <c r="A6542" s="7" t="s">
        <v>24</v>
      </c>
      <c r="B6542" s="7" t="s">
        <v>101</v>
      </c>
      <c r="C6542" s="7" t="s">
        <v>1121</v>
      </c>
      <c r="D6542" s="7" t="n">
        <v>0</v>
      </c>
      <c r="E6542" s="7" t="n">
        <v>0</v>
      </c>
      <c r="F6542" s="7" t="n">
        <v>1</v>
      </c>
      <c r="G6542" s="7" t="n">
        <v>129.59</v>
      </c>
    </row>
    <row r="6543" customFormat="false" ht="15" hidden="false" customHeight="false" outlineLevel="0" collapsed="false">
      <c r="A6543" s="7" t="s">
        <v>24</v>
      </c>
      <c r="B6543" s="7" t="s">
        <v>101</v>
      </c>
      <c r="C6543" s="7" t="s">
        <v>1121</v>
      </c>
      <c r="D6543" s="7" t="n">
        <v>0</v>
      </c>
      <c r="E6543" s="7" t="n">
        <v>0</v>
      </c>
      <c r="F6543" s="7" t="n">
        <v>1</v>
      </c>
      <c r="G6543" s="7" t="n">
        <v>143.98</v>
      </c>
    </row>
    <row r="6544" customFormat="false" ht="15" hidden="false" customHeight="false" outlineLevel="0" collapsed="false">
      <c r="A6544" s="7" t="s">
        <v>24</v>
      </c>
      <c r="B6544" s="7" t="s">
        <v>101</v>
      </c>
      <c r="C6544" s="7" t="s">
        <v>1121</v>
      </c>
      <c r="D6544" s="7" t="n">
        <v>0</v>
      </c>
      <c r="E6544" s="7" t="n">
        <v>0</v>
      </c>
      <c r="F6544" s="7" t="n">
        <v>1</v>
      </c>
      <c r="G6544" s="7" t="n">
        <v>115.19</v>
      </c>
    </row>
    <row r="6545" customFormat="false" ht="15" hidden="false" customHeight="false" outlineLevel="0" collapsed="false">
      <c r="A6545" s="7" t="s">
        <v>24</v>
      </c>
      <c r="B6545" s="7" t="s">
        <v>101</v>
      </c>
      <c r="C6545" s="7" t="s">
        <v>1121</v>
      </c>
      <c r="D6545" s="7" t="n">
        <v>0</v>
      </c>
      <c r="E6545" s="7" t="n">
        <v>0</v>
      </c>
      <c r="F6545" s="7" t="n">
        <v>1</v>
      </c>
      <c r="G6545" s="7" t="n">
        <v>129.59</v>
      </c>
    </row>
    <row r="6546" customFormat="false" ht="15" hidden="false" customHeight="false" outlineLevel="0" collapsed="false">
      <c r="A6546" s="7" t="s">
        <v>24</v>
      </c>
      <c r="B6546" s="7" t="s">
        <v>101</v>
      </c>
      <c r="C6546" s="7" t="s">
        <v>1121</v>
      </c>
      <c r="D6546" s="7" t="n">
        <v>0</v>
      </c>
      <c r="E6546" s="7" t="n">
        <v>0</v>
      </c>
      <c r="F6546" s="7" t="n">
        <v>1</v>
      </c>
      <c r="G6546" s="7" t="n">
        <v>129.59</v>
      </c>
    </row>
    <row r="6547" customFormat="false" ht="15" hidden="false" customHeight="false" outlineLevel="0" collapsed="false">
      <c r="A6547" s="7" t="s">
        <v>24</v>
      </c>
      <c r="B6547" s="7" t="s">
        <v>101</v>
      </c>
      <c r="C6547" s="7" t="s">
        <v>1121</v>
      </c>
      <c r="D6547" s="7" t="n">
        <v>0</v>
      </c>
      <c r="E6547" s="7" t="n">
        <v>0</v>
      </c>
      <c r="F6547" s="7" t="n">
        <v>7</v>
      </c>
      <c r="G6547" s="7" t="n">
        <v>943.09</v>
      </c>
    </row>
    <row r="6548" customFormat="false" ht="15" hidden="false" customHeight="false" outlineLevel="0" collapsed="false">
      <c r="A6548" s="7" t="s">
        <v>24</v>
      </c>
      <c r="B6548" s="7" t="s">
        <v>101</v>
      </c>
      <c r="C6548" s="7" t="s">
        <v>1121</v>
      </c>
      <c r="D6548" s="7" t="n">
        <v>0</v>
      </c>
      <c r="E6548" s="7" t="n">
        <v>0</v>
      </c>
      <c r="F6548" s="7" t="n">
        <v>10</v>
      </c>
      <c r="G6548" s="7" t="n">
        <v>1382.3</v>
      </c>
    </row>
    <row r="6549" customFormat="false" ht="15" hidden="false" customHeight="false" outlineLevel="0" collapsed="false">
      <c r="A6549" s="7" t="s">
        <v>24</v>
      </c>
      <c r="B6549" s="7" t="s">
        <v>101</v>
      </c>
      <c r="C6549" s="7" t="s">
        <v>1121</v>
      </c>
      <c r="D6549" s="7" t="n">
        <v>0</v>
      </c>
      <c r="E6549" s="7" t="n">
        <v>0</v>
      </c>
      <c r="F6549" s="7" t="n">
        <v>1</v>
      </c>
      <c r="G6549" s="7" t="n">
        <v>143.99</v>
      </c>
    </row>
    <row r="6550" customFormat="false" ht="15" hidden="false" customHeight="false" outlineLevel="0" collapsed="false">
      <c r="A6550" s="7" t="s">
        <v>24</v>
      </c>
      <c r="B6550" s="7" t="s">
        <v>101</v>
      </c>
      <c r="C6550" s="7" t="s">
        <v>1121</v>
      </c>
      <c r="D6550" s="7" t="n">
        <v>0</v>
      </c>
      <c r="E6550" s="7" t="n">
        <v>0</v>
      </c>
      <c r="F6550" s="7" t="n">
        <v>1</v>
      </c>
      <c r="G6550" s="7" t="n">
        <v>143.99</v>
      </c>
    </row>
    <row r="6551" customFormat="false" ht="15" hidden="false" customHeight="false" outlineLevel="0" collapsed="false">
      <c r="A6551" s="7" t="s">
        <v>24</v>
      </c>
      <c r="B6551" s="7" t="s">
        <v>101</v>
      </c>
      <c r="C6551" s="7" t="s">
        <v>1121</v>
      </c>
      <c r="D6551" s="7" t="n">
        <v>0</v>
      </c>
      <c r="E6551" s="7" t="n">
        <v>0</v>
      </c>
      <c r="F6551" s="7" t="n">
        <v>1</v>
      </c>
      <c r="G6551" s="7" t="n">
        <v>129.58</v>
      </c>
    </row>
    <row r="6552" customFormat="false" ht="15" hidden="false" customHeight="false" outlineLevel="0" collapsed="false">
      <c r="A6552" s="7" t="s">
        <v>24</v>
      </c>
      <c r="B6552" s="7" t="s">
        <v>101</v>
      </c>
      <c r="C6552" s="7" t="s">
        <v>1121</v>
      </c>
      <c r="D6552" s="7" t="n">
        <v>0</v>
      </c>
      <c r="E6552" s="7" t="n">
        <v>0</v>
      </c>
      <c r="F6552" s="7" t="n">
        <v>1</v>
      </c>
      <c r="G6552" s="7" t="n">
        <v>115.18</v>
      </c>
    </row>
    <row r="6553" customFormat="false" ht="15" hidden="false" customHeight="false" outlineLevel="0" collapsed="false">
      <c r="A6553" s="7" t="s">
        <v>24</v>
      </c>
      <c r="B6553" s="7" t="s">
        <v>101</v>
      </c>
      <c r="C6553" s="7" t="s">
        <v>1121</v>
      </c>
      <c r="D6553" s="7" t="n">
        <v>0</v>
      </c>
      <c r="E6553" s="7" t="n">
        <v>0</v>
      </c>
      <c r="F6553" s="7" t="n">
        <v>1</v>
      </c>
      <c r="G6553" s="7" t="n">
        <v>143.98</v>
      </c>
    </row>
    <row r="6554" customFormat="false" ht="15" hidden="false" customHeight="false" outlineLevel="0" collapsed="false">
      <c r="A6554" s="7" t="s">
        <v>24</v>
      </c>
      <c r="B6554" s="7" t="s">
        <v>101</v>
      </c>
      <c r="C6554" s="7" t="s">
        <v>1121</v>
      </c>
      <c r="D6554" s="7" t="n">
        <v>0</v>
      </c>
      <c r="E6554" s="7" t="n">
        <v>0</v>
      </c>
      <c r="F6554" s="7" t="n">
        <v>1</v>
      </c>
      <c r="G6554" s="7" t="n">
        <v>129.59</v>
      </c>
    </row>
    <row r="6555" customFormat="false" ht="15" hidden="false" customHeight="false" outlineLevel="0" collapsed="false">
      <c r="A6555" s="7" t="s">
        <v>24</v>
      </c>
      <c r="B6555" s="7" t="s">
        <v>101</v>
      </c>
      <c r="C6555" s="7" t="s">
        <v>1121</v>
      </c>
      <c r="D6555" s="7" t="n">
        <v>0</v>
      </c>
      <c r="E6555" s="7" t="n">
        <v>0</v>
      </c>
      <c r="F6555" s="7" t="n">
        <v>1</v>
      </c>
      <c r="G6555" s="7" t="n">
        <v>143.98</v>
      </c>
    </row>
    <row r="6556" customFormat="false" ht="15" hidden="false" customHeight="false" outlineLevel="0" collapsed="false">
      <c r="A6556" s="7" t="s">
        <v>24</v>
      </c>
      <c r="B6556" s="7" t="s">
        <v>101</v>
      </c>
      <c r="C6556" s="7" t="s">
        <v>1121</v>
      </c>
      <c r="D6556" s="7" t="n">
        <v>0</v>
      </c>
      <c r="E6556" s="7" t="n">
        <v>0</v>
      </c>
      <c r="F6556" s="7" t="n">
        <v>1</v>
      </c>
      <c r="G6556" s="7" t="n">
        <v>143.99</v>
      </c>
    </row>
    <row r="6557" customFormat="false" ht="15" hidden="false" customHeight="false" outlineLevel="0" collapsed="false">
      <c r="A6557" s="7" t="s">
        <v>24</v>
      </c>
      <c r="B6557" s="7" t="s">
        <v>101</v>
      </c>
      <c r="C6557" s="7" t="s">
        <v>1121</v>
      </c>
      <c r="D6557" s="7" t="n">
        <v>0</v>
      </c>
      <c r="E6557" s="7" t="n">
        <v>0</v>
      </c>
      <c r="F6557" s="7" t="n">
        <v>1</v>
      </c>
      <c r="G6557" s="7" t="n">
        <v>143.98</v>
      </c>
    </row>
    <row r="6558" customFormat="false" ht="15" hidden="false" customHeight="false" outlineLevel="0" collapsed="false">
      <c r="A6558" s="7" t="s">
        <v>24</v>
      </c>
      <c r="B6558" s="7" t="s">
        <v>101</v>
      </c>
      <c r="C6558" s="7" t="s">
        <v>1121</v>
      </c>
      <c r="D6558" s="7" t="n">
        <v>0</v>
      </c>
      <c r="E6558" s="7" t="n">
        <v>0</v>
      </c>
      <c r="F6558" s="7" t="n">
        <v>4</v>
      </c>
      <c r="G6558" s="7" t="n">
        <v>561.56</v>
      </c>
    </row>
    <row r="6559" customFormat="false" ht="15" hidden="false" customHeight="false" outlineLevel="0" collapsed="false">
      <c r="A6559" s="7" t="s">
        <v>24</v>
      </c>
      <c r="B6559" s="7" t="s">
        <v>101</v>
      </c>
      <c r="C6559" s="7" t="s">
        <v>1121</v>
      </c>
      <c r="D6559" s="7" t="n">
        <v>0</v>
      </c>
      <c r="E6559" s="7" t="n">
        <v>0</v>
      </c>
      <c r="F6559" s="7" t="n">
        <v>2</v>
      </c>
      <c r="G6559" s="7" t="n">
        <v>244.76</v>
      </c>
    </row>
    <row r="6560" customFormat="false" ht="15" hidden="false" customHeight="false" outlineLevel="0" collapsed="false">
      <c r="A6560" s="7" t="s">
        <v>24</v>
      </c>
      <c r="B6560" s="7" t="s">
        <v>101</v>
      </c>
      <c r="C6560" s="7" t="s">
        <v>1121</v>
      </c>
      <c r="D6560" s="7" t="n">
        <v>0</v>
      </c>
      <c r="E6560" s="7" t="n">
        <v>0</v>
      </c>
      <c r="F6560" s="7" t="n">
        <v>3</v>
      </c>
      <c r="G6560" s="7" t="n">
        <v>403.17</v>
      </c>
    </row>
    <row r="6561" customFormat="false" ht="15" hidden="false" customHeight="false" outlineLevel="0" collapsed="false">
      <c r="A6561" s="7" t="s">
        <v>24</v>
      </c>
      <c r="B6561" s="7" t="s">
        <v>101</v>
      </c>
      <c r="C6561" s="7" t="s">
        <v>1121</v>
      </c>
      <c r="D6561" s="7" t="n">
        <v>0</v>
      </c>
      <c r="E6561" s="7" t="n">
        <v>0</v>
      </c>
      <c r="F6561" s="7" t="n">
        <v>1</v>
      </c>
      <c r="G6561" s="7" t="n">
        <v>129.59</v>
      </c>
    </row>
    <row r="6562" customFormat="false" ht="15" hidden="false" customHeight="false" outlineLevel="0" collapsed="false">
      <c r="A6562" s="7" t="s">
        <v>24</v>
      </c>
      <c r="B6562" s="7" t="s">
        <v>101</v>
      </c>
      <c r="C6562" s="7" t="s">
        <v>1121</v>
      </c>
      <c r="D6562" s="7" t="n">
        <v>0</v>
      </c>
      <c r="E6562" s="7" t="n">
        <v>0</v>
      </c>
      <c r="F6562" s="7" t="n">
        <v>4</v>
      </c>
      <c r="G6562" s="7" t="n">
        <v>561.56</v>
      </c>
    </row>
    <row r="6563" customFormat="false" ht="15" hidden="false" customHeight="false" outlineLevel="0" collapsed="false">
      <c r="A6563" s="7" t="s">
        <v>24</v>
      </c>
      <c r="B6563" s="7" t="s">
        <v>101</v>
      </c>
      <c r="C6563" s="7" t="s">
        <v>1121</v>
      </c>
      <c r="D6563" s="7" t="n">
        <v>0</v>
      </c>
      <c r="E6563" s="7" t="n">
        <v>0</v>
      </c>
      <c r="F6563" s="7" t="n">
        <v>4</v>
      </c>
      <c r="G6563" s="7" t="n">
        <v>575.92</v>
      </c>
    </row>
    <row r="6564" customFormat="false" ht="15" hidden="false" customHeight="false" outlineLevel="0" collapsed="false">
      <c r="A6564" s="7" t="s">
        <v>24</v>
      </c>
      <c r="B6564" s="7" t="s">
        <v>101</v>
      </c>
      <c r="C6564" s="7" t="s">
        <v>1121</v>
      </c>
      <c r="D6564" s="7" t="n">
        <v>0</v>
      </c>
      <c r="E6564" s="7" t="n">
        <v>0</v>
      </c>
      <c r="F6564" s="7" t="n">
        <v>1</v>
      </c>
      <c r="G6564" s="7" t="n">
        <v>143.99</v>
      </c>
    </row>
    <row r="6565" customFormat="false" ht="15" hidden="false" customHeight="false" outlineLevel="0" collapsed="false">
      <c r="A6565" s="7" t="s">
        <v>24</v>
      </c>
      <c r="B6565" s="7" t="s">
        <v>101</v>
      </c>
      <c r="C6565" s="7" t="s">
        <v>1121</v>
      </c>
      <c r="D6565" s="7" t="n">
        <v>0</v>
      </c>
      <c r="E6565" s="7" t="n">
        <v>0</v>
      </c>
      <c r="F6565" s="7" t="n">
        <v>1</v>
      </c>
      <c r="G6565" s="7" t="n">
        <v>109.87</v>
      </c>
    </row>
    <row r="6566" customFormat="false" ht="15" hidden="false" customHeight="false" outlineLevel="0" collapsed="false">
      <c r="A6566" s="7" t="s">
        <v>24</v>
      </c>
      <c r="B6566" s="7" t="s">
        <v>101</v>
      </c>
      <c r="C6566" s="7" t="s">
        <v>1121</v>
      </c>
      <c r="D6566" s="7" t="n">
        <v>0</v>
      </c>
      <c r="E6566" s="7" t="n">
        <v>0</v>
      </c>
      <c r="F6566" s="7" t="n">
        <v>1</v>
      </c>
      <c r="G6566" s="7" t="n">
        <v>143.99</v>
      </c>
    </row>
    <row r="6567" customFormat="false" ht="15" hidden="false" customHeight="false" outlineLevel="0" collapsed="false">
      <c r="A6567" s="7" t="s">
        <v>24</v>
      </c>
      <c r="B6567" s="7" t="s">
        <v>101</v>
      </c>
      <c r="C6567" s="7" t="s">
        <v>1121</v>
      </c>
      <c r="D6567" s="7" t="n">
        <v>0</v>
      </c>
      <c r="E6567" s="7" t="n">
        <v>0</v>
      </c>
      <c r="F6567" s="7" t="n">
        <v>3</v>
      </c>
      <c r="G6567" s="7" t="n">
        <v>417.57</v>
      </c>
    </row>
    <row r="6568" customFormat="false" ht="15" hidden="false" customHeight="false" outlineLevel="0" collapsed="false">
      <c r="A6568" s="7" t="s">
        <v>24</v>
      </c>
      <c r="B6568" s="7" t="s">
        <v>101</v>
      </c>
      <c r="C6568" s="7" t="s">
        <v>1121</v>
      </c>
      <c r="D6568" s="7" t="n">
        <v>0</v>
      </c>
      <c r="E6568" s="7" t="n">
        <v>0</v>
      </c>
      <c r="F6568" s="7" t="n">
        <v>1</v>
      </c>
      <c r="G6568" s="7" t="n">
        <v>143.98</v>
      </c>
    </row>
    <row r="6569" customFormat="false" ht="15" hidden="false" customHeight="false" outlineLevel="0" collapsed="false">
      <c r="A6569" s="7" t="s">
        <v>24</v>
      </c>
      <c r="B6569" s="7" t="s">
        <v>101</v>
      </c>
      <c r="C6569" s="7" t="s">
        <v>1121</v>
      </c>
      <c r="D6569" s="7" t="n">
        <v>0</v>
      </c>
      <c r="E6569" s="7" t="n">
        <v>0</v>
      </c>
      <c r="F6569" s="7" t="n">
        <v>1</v>
      </c>
      <c r="G6569" s="7" t="n">
        <v>143.98</v>
      </c>
    </row>
    <row r="6570" customFormat="false" ht="15" hidden="false" customHeight="false" outlineLevel="0" collapsed="false">
      <c r="A6570" s="7" t="s">
        <v>24</v>
      </c>
      <c r="B6570" s="7" t="s">
        <v>101</v>
      </c>
      <c r="C6570" s="7" t="s">
        <v>1121</v>
      </c>
      <c r="D6570" s="7" t="n">
        <v>0</v>
      </c>
      <c r="E6570" s="7" t="n">
        <v>0</v>
      </c>
      <c r="F6570" s="7" t="n">
        <v>1</v>
      </c>
      <c r="G6570" s="7" t="n">
        <v>115.19</v>
      </c>
    </row>
    <row r="6571" customFormat="false" ht="15" hidden="false" customHeight="false" outlineLevel="0" collapsed="false">
      <c r="A6571" s="7" t="s">
        <v>24</v>
      </c>
      <c r="B6571" s="7" t="s">
        <v>101</v>
      </c>
      <c r="C6571" s="7" t="s">
        <v>1121</v>
      </c>
      <c r="D6571" s="7" t="n">
        <v>0</v>
      </c>
      <c r="E6571" s="7" t="n">
        <v>0</v>
      </c>
      <c r="F6571" s="7" t="n">
        <v>4</v>
      </c>
      <c r="G6571" s="7" t="n">
        <v>547.16</v>
      </c>
    </row>
    <row r="6572" customFormat="false" ht="15" hidden="false" customHeight="false" outlineLevel="0" collapsed="false">
      <c r="A6572" s="7" t="s">
        <v>24</v>
      </c>
      <c r="B6572" s="7" t="s">
        <v>101</v>
      </c>
      <c r="C6572" s="7" t="s">
        <v>1121</v>
      </c>
      <c r="D6572" s="7" t="n">
        <v>0</v>
      </c>
      <c r="E6572" s="7" t="n">
        <v>0</v>
      </c>
      <c r="F6572" s="7" t="n">
        <v>1</v>
      </c>
      <c r="G6572" s="7" t="n">
        <v>143.99</v>
      </c>
    </row>
    <row r="6573" customFormat="false" ht="15" hidden="false" customHeight="false" outlineLevel="0" collapsed="false">
      <c r="A6573" s="7" t="s">
        <v>24</v>
      </c>
      <c r="B6573" s="7" t="s">
        <v>101</v>
      </c>
      <c r="C6573" s="7" t="s">
        <v>1121</v>
      </c>
      <c r="D6573" s="7" t="n">
        <v>0</v>
      </c>
      <c r="E6573" s="7" t="n">
        <v>0</v>
      </c>
      <c r="F6573" s="7" t="n">
        <v>1</v>
      </c>
      <c r="G6573" s="7" t="n">
        <v>115.18</v>
      </c>
    </row>
    <row r="6574" customFormat="false" ht="15" hidden="false" customHeight="false" outlineLevel="0" collapsed="false">
      <c r="A6574" s="7" t="s">
        <v>24</v>
      </c>
      <c r="B6574" s="7" t="s">
        <v>101</v>
      </c>
      <c r="C6574" s="7" t="s">
        <v>1121</v>
      </c>
      <c r="D6574" s="7" t="n">
        <v>0</v>
      </c>
      <c r="E6574" s="7" t="n">
        <v>0</v>
      </c>
      <c r="F6574" s="7" t="n">
        <v>1</v>
      </c>
      <c r="G6574" s="7" t="n">
        <v>143.98</v>
      </c>
    </row>
    <row r="6575" customFormat="false" ht="15" hidden="false" customHeight="false" outlineLevel="0" collapsed="false">
      <c r="A6575" s="7" t="s">
        <v>24</v>
      </c>
      <c r="B6575" s="7" t="s">
        <v>101</v>
      </c>
      <c r="C6575" s="7" t="s">
        <v>1121</v>
      </c>
      <c r="D6575" s="7" t="n">
        <v>0</v>
      </c>
      <c r="E6575" s="7" t="n">
        <v>0</v>
      </c>
      <c r="F6575" s="7" t="n">
        <v>33</v>
      </c>
      <c r="G6575" s="7" t="n">
        <v>4475.56</v>
      </c>
    </row>
    <row r="6576" customFormat="false" ht="15" hidden="false" customHeight="false" outlineLevel="0" collapsed="false">
      <c r="A6576" s="7" t="s">
        <v>24</v>
      </c>
      <c r="B6576" s="7" t="s">
        <v>101</v>
      </c>
      <c r="C6576" s="7" t="s">
        <v>1121</v>
      </c>
      <c r="D6576" s="7" t="n">
        <v>0</v>
      </c>
      <c r="E6576" s="7" t="n">
        <v>0</v>
      </c>
      <c r="F6576" s="7" t="n">
        <v>7</v>
      </c>
      <c r="G6576" s="7" t="n">
        <v>892.73</v>
      </c>
    </row>
    <row r="6577" customFormat="false" ht="15" hidden="false" customHeight="false" outlineLevel="0" collapsed="false">
      <c r="A6577" s="7" t="s">
        <v>24</v>
      </c>
      <c r="B6577" s="7" t="s">
        <v>101</v>
      </c>
      <c r="C6577" s="7" t="s">
        <v>1121</v>
      </c>
      <c r="D6577" s="7" t="n">
        <v>0</v>
      </c>
      <c r="E6577" s="7" t="n">
        <v>0</v>
      </c>
      <c r="F6577" s="7" t="n">
        <v>2</v>
      </c>
      <c r="G6577" s="7" t="n">
        <v>266.37</v>
      </c>
    </row>
    <row r="6578" customFormat="false" ht="15" hidden="false" customHeight="false" outlineLevel="0" collapsed="false">
      <c r="A6578" s="7" t="s">
        <v>24</v>
      </c>
      <c r="B6578" s="7" t="s">
        <v>101</v>
      </c>
      <c r="C6578" s="7" t="s">
        <v>1121</v>
      </c>
      <c r="D6578" s="7" t="n">
        <v>0</v>
      </c>
      <c r="E6578" s="7" t="n">
        <v>0</v>
      </c>
      <c r="F6578" s="7" t="n">
        <v>1</v>
      </c>
      <c r="G6578" s="7" t="n">
        <v>143.99</v>
      </c>
    </row>
    <row r="6579" customFormat="false" ht="15" hidden="false" customHeight="false" outlineLevel="0" collapsed="false">
      <c r="A6579" s="7" t="s">
        <v>24</v>
      </c>
      <c r="B6579" s="7" t="s">
        <v>101</v>
      </c>
      <c r="C6579" s="7" t="s">
        <v>1121</v>
      </c>
      <c r="D6579" s="7" t="n">
        <v>0</v>
      </c>
      <c r="E6579" s="7" t="n">
        <v>0</v>
      </c>
      <c r="F6579" s="7" t="n">
        <v>1</v>
      </c>
      <c r="G6579" s="7" t="n">
        <v>143.98</v>
      </c>
    </row>
    <row r="6580" customFormat="false" ht="15" hidden="false" customHeight="false" outlineLevel="0" collapsed="false">
      <c r="A6580" s="7" t="s">
        <v>24</v>
      </c>
      <c r="B6580" s="7" t="s">
        <v>101</v>
      </c>
      <c r="C6580" s="7" t="s">
        <v>1121</v>
      </c>
      <c r="D6580" s="7" t="n">
        <v>0</v>
      </c>
      <c r="E6580" s="7" t="n">
        <v>0</v>
      </c>
      <c r="F6580" s="7" t="n">
        <v>1</v>
      </c>
      <c r="G6580" s="7" t="n">
        <v>130.85</v>
      </c>
    </row>
    <row r="6581" customFormat="false" ht="15" hidden="false" customHeight="false" outlineLevel="0" collapsed="false">
      <c r="A6581" s="7" t="s">
        <v>24</v>
      </c>
      <c r="B6581" s="7" t="s">
        <v>101</v>
      </c>
      <c r="C6581" s="7" t="s">
        <v>1121</v>
      </c>
      <c r="D6581" s="7" t="n">
        <v>0</v>
      </c>
      <c r="E6581" s="7" t="n">
        <v>0</v>
      </c>
      <c r="F6581" s="7" t="n">
        <v>1</v>
      </c>
      <c r="G6581" s="7" t="n">
        <v>143.98</v>
      </c>
    </row>
    <row r="6582" customFormat="false" ht="15" hidden="false" customHeight="false" outlineLevel="0" collapsed="false">
      <c r="A6582" s="7" t="s">
        <v>24</v>
      </c>
      <c r="B6582" s="7" t="s">
        <v>101</v>
      </c>
      <c r="C6582" s="7" t="s">
        <v>1121</v>
      </c>
      <c r="D6582" s="7" t="n">
        <v>0</v>
      </c>
      <c r="E6582" s="7" t="n">
        <v>0</v>
      </c>
      <c r="F6582" s="7" t="n">
        <v>1</v>
      </c>
      <c r="G6582" s="7" t="n">
        <v>143.98</v>
      </c>
    </row>
    <row r="6583" customFormat="false" ht="15" hidden="false" customHeight="false" outlineLevel="0" collapsed="false">
      <c r="A6583" s="7" t="s">
        <v>24</v>
      </c>
      <c r="B6583" s="7" t="s">
        <v>101</v>
      </c>
      <c r="C6583" s="7" t="s">
        <v>1121</v>
      </c>
      <c r="D6583" s="7" t="n">
        <v>0</v>
      </c>
      <c r="E6583" s="7" t="n">
        <v>0</v>
      </c>
      <c r="F6583" s="7" t="n">
        <v>1</v>
      </c>
      <c r="G6583" s="7" t="n">
        <v>129.59</v>
      </c>
    </row>
    <row r="6584" customFormat="false" ht="15" hidden="false" customHeight="false" outlineLevel="0" collapsed="false">
      <c r="A6584" s="7" t="s">
        <v>24</v>
      </c>
      <c r="B6584" s="7" t="s">
        <v>101</v>
      </c>
      <c r="C6584" s="7" t="s">
        <v>1121</v>
      </c>
      <c r="D6584" s="7" t="n">
        <v>0</v>
      </c>
      <c r="E6584" s="7" t="n">
        <v>0</v>
      </c>
      <c r="F6584" s="7" t="n">
        <v>1</v>
      </c>
      <c r="G6584" s="7" t="n">
        <v>115.19</v>
      </c>
    </row>
    <row r="6585" customFormat="false" ht="15" hidden="false" customHeight="false" outlineLevel="0" collapsed="false">
      <c r="A6585" s="7" t="s">
        <v>24</v>
      </c>
      <c r="B6585" s="7" t="s">
        <v>101</v>
      </c>
      <c r="C6585" s="7" t="s">
        <v>1121</v>
      </c>
      <c r="D6585" s="7" t="n">
        <v>0</v>
      </c>
      <c r="E6585" s="7" t="n">
        <v>0</v>
      </c>
      <c r="F6585" s="7" t="n">
        <v>3</v>
      </c>
      <c r="G6585" s="7" t="n">
        <v>417.57</v>
      </c>
    </row>
    <row r="6586" customFormat="false" ht="15" hidden="false" customHeight="false" outlineLevel="0" collapsed="false">
      <c r="A6586" s="7" t="s">
        <v>24</v>
      </c>
      <c r="B6586" s="7" t="s">
        <v>101</v>
      </c>
      <c r="C6586" s="7" t="s">
        <v>1121</v>
      </c>
      <c r="D6586" s="7" t="n">
        <v>0</v>
      </c>
      <c r="E6586" s="7" t="n">
        <v>0</v>
      </c>
      <c r="F6586" s="7" t="n">
        <v>4</v>
      </c>
      <c r="G6586" s="7" t="n">
        <v>547.16</v>
      </c>
    </row>
    <row r="6587" customFormat="false" ht="15" hidden="false" customHeight="false" outlineLevel="0" collapsed="false">
      <c r="A6587" s="7" t="s">
        <v>24</v>
      </c>
      <c r="B6587" s="7" t="s">
        <v>101</v>
      </c>
      <c r="C6587" s="7" t="s">
        <v>1121</v>
      </c>
      <c r="D6587" s="7" t="n">
        <v>0</v>
      </c>
      <c r="E6587" s="7" t="n">
        <v>0</v>
      </c>
      <c r="F6587" s="7" t="n">
        <v>10</v>
      </c>
      <c r="G6587" s="7" t="n">
        <v>1336.59</v>
      </c>
    </row>
    <row r="6588" customFormat="false" ht="15" hidden="false" customHeight="false" outlineLevel="0" collapsed="false">
      <c r="A6588" s="7" t="s">
        <v>24</v>
      </c>
      <c r="B6588" s="7" t="s">
        <v>101</v>
      </c>
      <c r="C6588" s="7" t="s">
        <v>1121</v>
      </c>
      <c r="D6588" s="7" t="n">
        <v>0</v>
      </c>
      <c r="E6588" s="7" t="n">
        <v>0</v>
      </c>
      <c r="F6588" s="7" t="n">
        <v>11</v>
      </c>
      <c r="G6588" s="7" t="n">
        <v>1425.49</v>
      </c>
    </row>
    <row r="6589" customFormat="false" ht="15" hidden="false" customHeight="false" outlineLevel="0" collapsed="false">
      <c r="A6589" s="7" t="s">
        <v>24</v>
      </c>
      <c r="B6589" s="7" t="s">
        <v>101</v>
      </c>
      <c r="C6589" s="7" t="s">
        <v>1121</v>
      </c>
      <c r="D6589" s="7" t="n">
        <v>0</v>
      </c>
      <c r="E6589" s="7" t="n">
        <v>0</v>
      </c>
      <c r="F6589" s="7" t="n">
        <v>12</v>
      </c>
      <c r="G6589" s="7" t="n">
        <v>1614.76</v>
      </c>
    </row>
    <row r="6590" customFormat="false" ht="15" hidden="false" customHeight="false" outlineLevel="0" collapsed="false">
      <c r="A6590" s="7" t="s">
        <v>24</v>
      </c>
      <c r="B6590" s="7" t="s">
        <v>101</v>
      </c>
      <c r="C6590" s="7" t="s">
        <v>1121</v>
      </c>
      <c r="D6590" s="7" t="n">
        <v>0</v>
      </c>
      <c r="E6590" s="7" t="n">
        <v>0</v>
      </c>
      <c r="F6590" s="7" t="n">
        <v>1</v>
      </c>
      <c r="G6590" s="7" t="n">
        <v>143.99</v>
      </c>
    </row>
    <row r="6591" customFormat="false" ht="15" hidden="false" customHeight="false" outlineLevel="0" collapsed="false">
      <c r="A6591" s="7" t="s">
        <v>24</v>
      </c>
      <c r="B6591" s="7" t="s">
        <v>101</v>
      </c>
      <c r="C6591" s="7" t="s">
        <v>1121</v>
      </c>
      <c r="D6591" s="7" t="n">
        <v>0</v>
      </c>
      <c r="E6591" s="7" t="n">
        <v>0</v>
      </c>
      <c r="F6591" s="7" t="n">
        <v>1</v>
      </c>
      <c r="G6591" s="7" t="n">
        <v>115.18</v>
      </c>
    </row>
    <row r="6592" customFormat="false" ht="15" hidden="false" customHeight="false" outlineLevel="0" collapsed="false">
      <c r="A6592" s="7" t="s">
        <v>24</v>
      </c>
      <c r="B6592" s="7" t="s">
        <v>101</v>
      </c>
      <c r="C6592" s="7" t="s">
        <v>1121</v>
      </c>
      <c r="D6592" s="7" t="n">
        <v>-1</v>
      </c>
      <c r="E6592" s="7" t="n">
        <v>-128.12</v>
      </c>
      <c r="F6592" s="7" t="n">
        <v>0</v>
      </c>
      <c r="G6592" s="7" t="n">
        <v>0</v>
      </c>
    </row>
    <row r="6593" customFormat="false" ht="15" hidden="false" customHeight="false" outlineLevel="0" collapsed="false">
      <c r="A6593" s="7" t="s">
        <v>24</v>
      </c>
      <c r="B6593" s="7" t="s">
        <v>101</v>
      </c>
      <c r="C6593" s="7" t="s">
        <v>1121</v>
      </c>
      <c r="D6593" s="7" t="n">
        <v>0</v>
      </c>
      <c r="E6593" s="7" t="n">
        <v>0</v>
      </c>
      <c r="F6593" s="7" t="n">
        <v>1</v>
      </c>
      <c r="G6593" s="7" t="n">
        <v>115.19</v>
      </c>
    </row>
    <row r="6594" customFormat="false" ht="15" hidden="false" customHeight="false" outlineLevel="0" collapsed="false">
      <c r="A6594" s="7" t="s">
        <v>24</v>
      </c>
      <c r="B6594" s="7" t="s">
        <v>101</v>
      </c>
      <c r="C6594" s="7" t="s">
        <v>1121</v>
      </c>
      <c r="D6594" s="7" t="n">
        <v>0</v>
      </c>
      <c r="E6594" s="7" t="n">
        <v>0</v>
      </c>
      <c r="F6594" s="7" t="n">
        <v>1</v>
      </c>
      <c r="G6594" s="7" t="n">
        <v>143.99</v>
      </c>
    </row>
    <row r="6595" customFormat="false" ht="15" hidden="false" customHeight="false" outlineLevel="0" collapsed="false">
      <c r="A6595" s="7" t="s">
        <v>24</v>
      </c>
      <c r="B6595" s="7" t="s">
        <v>101</v>
      </c>
      <c r="C6595" s="7" t="s">
        <v>1121</v>
      </c>
      <c r="D6595" s="7" t="n">
        <v>0</v>
      </c>
      <c r="E6595" s="7" t="n">
        <v>0</v>
      </c>
      <c r="F6595" s="7" t="n">
        <v>1</v>
      </c>
      <c r="G6595" s="7" t="n">
        <v>143.98</v>
      </c>
    </row>
    <row r="6596" customFormat="false" ht="15" hidden="false" customHeight="false" outlineLevel="0" collapsed="false">
      <c r="A6596" s="7" t="s">
        <v>24</v>
      </c>
      <c r="B6596" s="7" t="s">
        <v>101</v>
      </c>
      <c r="C6596" s="7" t="s">
        <v>1121</v>
      </c>
      <c r="D6596" s="7" t="n">
        <v>0</v>
      </c>
      <c r="E6596" s="7" t="n">
        <v>0</v>
      </c>
      <c r="F6596" s="7" t="n">
        <v>1</v>
      </c>
      <c r="G6596" s="7" t="n">
        <v>115.19</v>
      </c>
    </row>
    <row r="6597" customFormat="false" ht="15" hidden="false" customHeight="false" outlineLevel="0" collapsed="false">
      <c r="A6597" s="7" t="s">
        <v>24</v>
      </c>
      <c r="B6597" s="7" t="s">
        <v>101</v>
      </c>
      <c r="C6597" s="7" t="s">
        <v>1121</v>
      </c>
      <c r="D6597" s="7" t="n">
        <v>0</v>
      </c>
      <c r="E6597" s="7" t="n">
        <v>0</v>
      </c>
      <c r="F6597" s="7" t="n">
        <v>1</v>
      </c>
      <c r="G6597" s="7" t="n">
        <v>143.98</v>
      </c>
    </row>
    <row r="6598" customFormat="false" ht="15" hidden="false" customHeight="false" outlineLevel="0" collapsed="false">
      <c r="A6598" s="7" t="s">
        <v>24</v>
      </c>
      <c r="B6598" s="7" t="s">
        <v>101</v>
      </c>
      <c r="C6598" s="7" t="s">
        <v>1121</v>
      </c>
      <c r="D6598" s="7" t="n">
        <v>0</v>
      </c>
      <c r="E6598" s="7" t="n">
        <v>0</v>
      </c>
      <c r="F6598" s="7" t="n">
        <v>3</v>
      </c>
      <c r="G6598" s="7" t="n">
        <v>395.95</v>
      </c>
    </row>
    <row r="6599" customFormat="false" ht="15" hidden="false" customHeight="false" outlineLevel="0" collapsed="false">
      <c r="A6599" s="7" t="s">
        <v>24</v>
      </c>
      <c r="B6599" s="7" t="s">
        <v>101</v>
      </c>
      <c r="C6599" s="7" t="s">
        <v>1121</v>
      </c>
      <c r="D6599" s="7" t="n">
        <v>0</v>
      </c>
      <c r="E6599" s="7" t="n">
        <v>0</v>
      </c>
      <c r="F6599" s="7" t="n">
        <v>9</v>
      </c>
      <c r="G6599" s="7" t="n">
        <v>1192.21</v>
      </c>
    </row>
    <row r="6600" customFormat="false" ht="15" hidden="false" customHeight="false" outlineLevel="0" collapsed="false">
      <c r="A6600" s="7" t="s">
        <v>24</v>
      </c>
      <c r="B6600" s="7" t="s">
        <v>101</v>
      </c>
      <c r="C6600" s="7" t="s">
        <v>1121</v>
      </c>
      <c r="D6600" s="7" t="n">
        <v>0</v>
      </c>
      <c r="E6600" s="7" t="n">
        <v>0</v>
      </c>
      <c r="F6600" s="7" t="n">
        <v>6</v>
      </c>
      <c r="G6600" s="7" t="n">
        <v>806.34</v>
      </c>
    </row>
    <row r="6601" customFormat="false" ht="15" hidden="false" customHeight="false" outlineLevel="0" collapsed="false">
      <c r="A6601" s="7" t="s">
        <v>24</v>
      </c>
      <c r="B6601" s="7" t="s">
        <v>101</v>
      </c>
      <c r="C6601" s="7" t="s">
        <v>1121</v>
      </c>
      <c r="D6601" s="7" t="n">
        <v>0</v>
      </c>
      <c r="E6601" s="7" t="n">
        <v>0</v>
      </c>
      <c r="F6601" s="7" t="n">
        <v>1</v>
      </c>
      <c r="G6601" s="7" t="n">
        <v>115.19</v>
      </c>
    </row>
    <row r="6602" customFormat="false" ht="15" hidden="false" customHeight="false" outlineLevel="0" collapsed="false">
      <c r="A6602" s="7" t="s">
        <v>24</v>
      </c>
      <c r="B6602" s="7" t="s">
        <v>101</v>
      </c>
      <c r="C6602" s="7" t="s">
        <v>1121</v>
      </c>
      <c r="D6602" s="7" t="n">
        <v>0</v>
      </c>
      <c r="E6602" s="7" t="n">
        <v>0</v>
      </c>
      <c r="F6602" s="7" t="n">
        <v>1</v>
      </c>
      <c r="G6602" s="7" t="n">
        <v>143.98</v>
      </c>
    </row>
    <row r="6603" customFormat="false" ht="15" hidden="false" customHeight="false" outlineLevel="0" collapsed="false">
      <c r="A6603" s="7" t="s">
        <v>24</v>
      </c>
      <c r="B6603" s="7" t="s">
        <v>101</v>
      </c>
      <c r="C6603" s="7" t="s">
        <v>1121</v>
      </c>
      <c r="D6603" s="7" t="n">
        <v>0</v>
      </c>
      <c r="E6603" s="7" t="n">
        <v>0</v>
      </c>
      <c r="F6603" s="7" t="n">
        <v>3</v>
      </c>
      <c r="G6603" s="7" t="n">
        <v>359.97</v>
      </c>
    </row>
    <row r="6604" customFormat="false" ht="15" hidden="false" customHeight="false" outlineLevel="0" collapsed="false">
      <c r="A6604" s="7" t="s">
        <v>24</v>
      </c>
      <c r="B6604" s="7" t="s">
        <v>101</v>
      </c>
      <c r="C6604" s="7" t="s">
        <v>1121</v>
      </c>
      <c r="D6604" s="7" t="n">
        <v>376</v>
      </c>
      <c r="E6604" s="7" t="n">
        <v>46246.54</v>
      </c>
      <c r="F6604" s="7" t="n">
        <v>0</v>
      </c>
      <c r="G6604" s="7" t="n">
        <v>0</v>
      </c>
    </row>
    <row r="6605" customFormat="false" ht="15" hidden="false" customHeight="false" outlineLevel="0" collapsed="false">
      <c r="A6605" s="7" t="s">
        <v>24</v>
      </c>
      <c r="B6605" s="7" t="s">
        <v>101</v>
      </c>
      <c r="C6605" s="7" t="s">
        <v>1121</v>
      </c>
      <c r="D6605" s="7" t="n">
        <v>0</v>
      </c>
      <c r="E6605" s="7" t="n">
        <v>0</v>
      </c>
      <c r="F6605" s="7" t="n">
        <v>1</v>
      </c>
      <c r="G6605" s="7" t="n">
        <v>129.59</v>
      </c>
    </row>
    <row r="6606" customFormat="false" ht="15" hidden="false" customHeight="false" outlineLevel="0" collapsed="false">
      <c r="A6606" s="7" t="s">
        <v>24</v>
      </c>
      <c r="B6606" s="7" t="s">
        <v>101</v>
      </c>
      <c r="C6606" s="7" t="s">
        <v>1121</v>
      </c>
      <c r="D6606" s="7" t="n">
        <v>0</v>
      </c>
      <c r="E6606" s="7" t="n">
        <v>0</v>
      </c>
      <c r="F6606" s="7" t="n">
        <v>2</v>
      </c>
      <c r="G6606" s="7" t="n">
        <v>287.97</v>
      </c>
    </row>
    <row r="6607" customFormat="false" ht="15" hidden="false" customHeight="false" outlineLevel="0" collapsed="false">
      <c r="A6607" s="7" t="s">
        <v>24</v>
      </c>
      <c r="B6607" s="7" t="s">
        <v>101</v>
      </c>
      <c r="C6607" s="7" t="s">
        <v>1121</v>
      </c>
      <c r="D6607" s="7" t="n">
        <v>0</v>
      </c>
      <c r="E6607" s="7" t="n">
        <v>0</v>
      </c>
      <c r="F6607" s="7" t="n">
        <v>1</v>
      </c>
      <c r="G6607" s="7" t="n">
        <v>115.19</v>
      </c>
    </row>
    <row r="6608" customFormat="false" ht="15" hidden="false" customHeight="false" outlineLevel="0" collapsed="false">
      <c r="A6608" s="7" t="s">
        <v>24</v>
      </c>
      <c r="B6608" s="7" t="s">
        <v>101</v>
      </c>
      <c r="C6608" s="7" t="s">
        <v>1121</v>
      </c>
      <c r="D6608" s="7" t="n">
        <v>0</v>
      </c>
      <c r="E6608" s="7" t="n">
        <v>0</v>
      </c>
      <c r="F6608" s="7" t="n">
        <v>1</v>
      </c>
      <c r="G6608" s="7" t="n">
        <v>115.19</v>
      </c>
    </row>
    <row r="6609" customFormat="false" ht="15" hidden="false" customHeight="false" outlineLevel="0" collapsed="false">
      <c r="A6609" s="7" t="s">
        <v>24</v>
      </c>
      <c r="B6609" s="7" t="s">
        <v>101</v>
      </c>
      <c r="C6609" s="7" t="s">
        <v>1121</v>
      </c>
      <c r="D6609" s="7" t="n">
        <v>0</v>
      </c>
      <c r="E6609" s="7" t="n">
        <v>0</v>
      </c>
      <c r="F6609" s="7" t="n">
        <v>2</v>
      </c>
      <c r="G6609" s="7" t="n">
        <v>287.97</v>
      </c>
    </row>
    <row r="6610" customFormat="false" ht="15" hidden="false" customHeight="false" outlineLevel="0" collapsed="false">
      <c r="A6610" s="7" t="s">
        <v>24</v>
      </c>
      <c r="B6610" s="7" t="s">
        <v>101</v>
      </c>
      <c r="C6610" s="7" t="s">
        <v>1121</v>
      </c>
      <c r="D6610" s="7" t="n">
        <v>0</v>
      </c>
      <c r="E6610" s="7" t="n">
        <v>0</v>
      </c>
      <c r="F6610" s="7" t="n">
        <v>1</v>
      </c>
      <c r="G6610" s="7" t="n">
        <v>129.58</v>
      </c>
    </row>
    <row r="6611" customFormat="false" ht="15" hidden="false" customHeight="false" outlineLevel="0" collapsed="false">
      <c r="A6611" s="7" t="s">
        <v>24</v>
      </c>
      <c r="B6611" s="7" t="s">
        <v>101</v>
      </c>
      <c r="C6611" s="7" t="s">
        <v>1121</v>
      </c>
      <c r="D6611" s="7" t="n">
        <v>0</v>
      </c>
      <c r="E6611" s="7" t="n">
        <v>0</v>
      </c>
      <c r="F6611" s="7" t="n">
        <v>7</v>
      </c>
      <c r="G6611" s="7" t="n">
        <v>897.04</v>
      </c>
    </row>
    <row r="6612" customFormat="false" ht="15" hidden="false" customHeight="false" outlineLevel="0" collapsed="false">
      <c r="A6612" s="7" t="s">
        <v>24</v>
      </c>
      <c r="B6612" s="7" t="s">
        <v>101</v>
      </c>
      <c r="C6612" s="7" t="s">
        <v>1121</v>
      </c>
      <c r="D6612" s="7" t="n">
        <v>0</v>
      </c>
      <c r="E6612" s="7" t="n">
        <v>0</v>
      </c>
      <c r="F6612" s="7" t="n">
        <v>1</v>
      </c>
      <c r="G6612" s="7" t="n">
        <v>115.19</v>
      </c>
    </row>
    <row r="6613" customFormat="false" ht="15" hidden="false" customHeight="false" outlineLevel="0" collapsed="false">
      <c r="A6613" s="7" t="s">
        <v>24</v>
      </c>
      <c r="B6613" s="7" t="s">
        <v>101</v>
      </c>
      <c r="C6613" s="7" t="s">
        <v>1121</v>
      </c>
      <c r="D6613" s="7" t="n">
        <v>0</v>
      </c>
      <c r="E6613" s="7" t="n">
        <v>0</v>
      </c>
      <c r="F6613" s="7" t="n">
        <v>1</v>
      </c>
      <c r="G6613" s="7" t="n">
        <v>143.99</v>
      </c>
    </row>
    <row r="6614" customFormat="false" ht="15" hidden="false" customHeight="false" outlineLevel="0" collapsed="false">
      <c r="A6614" s="7" t="s">
        <v>24</v>
      </c>
      <c r="B6614" s="7" t="s">
        <v>101</v>
      </c>
      <c r="C6614" s="7" t="s">
        <v>1121</v>
      </c>
      <c r="D6614" s="7" t="n">
        <v>0</v>
      </c>
      <c r="E6614" s="7" t="n">
        <v>0</v>
      </c>
      <c r="F6614" s="7" t="n">
        <v>1</v>
      </c>
      <c r="G6614" s="7" t="n">
        <v>143.99</v>
      </c>
    </row>
    <row r="6615" customFormat="false" ht="15" hidden="false" customHeight="false" outlineLevel="0" collapsed="false">
      <c r="A6615" s="7" t="s">
        <v>24</v>
      </c>
      <c r="B6615" s="7" t="s">
        <v>101</v>
      </c>
      <c r="C6615" s="7" t="s">
        <v>1121</v>
      </c>
      <c r="D6615" s="7" t="n">
        <v>0</v>
      </c>
      <c r="E6615" s="7" t="n">
        <v>0</v>
      </c>
      <c r="F6615" s="7" t="n">
        <v>14</v>
      </c>
      <c r="G6615" s="7" t="n">
        <v>1857.46</v>
      </c>
    </row>
    <row r="6616" customFormat="false" ht="15" hidden="false" customHeight="false" outlineLevel="0" collapsed="false">
      <c r="A6616" s="7" t="s">
        <v>24</v>
      </c>
      <c r="B6616" s="7" t="s">
        <v>101</v>
      </c>
      <c r="C6616" s="7" t="s">
        <v>1121</v>
      </c>
      <c r="D6616" s="7" t="n">
        <v>0</v>
      </c>
      <c r="E6616" s="7" t="n">
        <v>0</v>
      </c>
      <c r="F6616" s="7" t="n">
        <v>2</v>
      </c>
      <c r="G6616" s="7" t="n">
        <v>254.15</v>
      </c>
    </row>
    <row r="6617" customFormat="false" ht="15" hidden="false" customHeight="false" outlineLevel="0" collapsed="false">
      <c r="A6617" s="7" t="s">
        <v>24</v>
      </c>
      <c r="B6617" s="7" t="s">
        <v>101</v>
      </c>
      <c r="C6617" s="7" t="s">
        <v>1121</v>
      </c>
      <c r="D6617" s="7" t="n">
        <v>0</v>
      </c>
      <c r="E6617" s="7" t="n">
        <v>0</v>
      </c>
      <c r="F6617" s="7" t="n">
        <v>1</v>
      </c>
      <c r="G6617" s="7" t="n">
        <v>115.19</v>
      </c>
    </row>
    <row r="6618" customFormat="false" ht="15" hidden="false" customHeight="false" outlineLevel="0" collapsed="false">
      <c r="A6618" s="7" t="s">
        <v>24</v>
      </c>
      <c r="B6618" s="7" t="s">
        <v>101</v>
      </c>
      <c r="C6618" s="7" t="s">
        <v>1121</v>
      </c>
      <c r="D6618" s="7" t="n">
        <v>0</v>
      </c>
      <c r="E6618" s="7" t="n">
        <v>0</v>
      </c>
      <c r="F6618" s="7" t="n">
        <v>1</v>
      </c>
      <c r="G6618" s="7" t="n">
        <v>143.98</v>
      </c>
    </row>
    <row r="6619" customFormat="false" ht="15" hidden="false" customHeight="false" outlineLevel="0" collapsed="false">
      <c r="A6619" s="7" t="s">
        <v>24</v>
      </c>
      <c r="B6619" s="7" t="s">
        <v>101</v>
      </c>
      <c r="C6619" s="7" t="s">
        <v>1121</v>
      </c>
      <c r="D6619" s="7" t="n">
        <v>0</v>
      </c>
      <c r="E6619" s="7" t="n">
        <v>0</v>
      </c>
      <c r="F6619" s="7" t="n">
        <v>3</v>
      </c>
      <c r="G6619" s="7" t="n">
        <v>345.56</v>
      </c>
    </row>
    <row r="6620" customFormat="false" ht="15" hidden="false" customHeight="false" outlineLevel="0" collapsed="false">
      <c r="A6620" s="7" t="s">
        <v>24</v>
      </c>
      <c r="B6620" s="7" t="s">
        <v>101</v>
      </c>
      <c r="C6620" s="7" t="s">
        <v>1121</v>
      </c>
      <c r="D6620" s="7" t="n">
        <v>0</v>
      </c>
      <c r="E6620" s="7" t="n">
        <v>0</v>
      </c>
      <c r="F6620" s="7" t="n">
        <v>1</v>
      </c>
      <c r="G6620" s="7" t="n">
        <v>129.59</v>
      </c>
    </row>
    <row r="6621" customFormat="false" ht="15" hidden="false" customHeight="false" outlineLevel="0" collapsed="false">
      <c r="A6621" s="7" t="s">
        <v>24</v>
      </c>
      <c r="B6621" s="7" t="s">
        <v>101</v>
      </c>
      <c r="C6621" s="7" t="s">
        <v>1121</v>
      </c>
      <c r="D6621" s="7" t="n">
        <v>0</v>
      </c>
      <c r="E6621" s="7" t="n">
        <v>0</v>
      </c>
      <c r="F6621" s="7" t="n">
        <v>1</v>
      </c>
      <c r="G6621" s="7" t="n">
        <v>122.39</v>
      </c>
    </row>
    <row r="6622" customFormat="false" ht="15" hidden="false" customHeight="false" outlineLevel="0" collapsed="false">
      <c r="A6622" s="7" t="s">
        <v>24</v>
      </c>
      <c r="B6622" s="7" t="s">
        <v>101</v>
      </c>
      <c r="C6622" s="7" t="s">
        <v>1121</v>
      </c>
      <c r="D6622" s="7" t="n">
        <v>0</v>
      </c>
      <c r="E6622" s="7" t="n">
        <v>0</v>
      </c>
      <c r="F6622" s="7" t="n">
        <v>2</v>
      </c>
      <c r="G6622" s="7" t="n">
        <v>254.15</v>
      </c>
    </row>
    <row r="6623" customFormat="false" ht="15" hidden="false" customHeight="false" outlineLevel="0" collapsed="false">
      <c r="A6623" s="7" t="s">
        <v>24</v>
      </c>
      <c r="B6623" s="7" t="s">
        <v>101</v>
      </c>
      <c r="C6623" s="7" t="s">
        <v>1121</v>
      </c>
      <c r="D6623" s="7" t="n">
        <v>0</v>
      </c>
      <c r="E6623" s="7" t="n">
        <v>0</v>
      </c>
      <c r="F6623" s="7" t="n">
        <v>1</v>
      </c>
      <c r="G6623" s="7" t="n">
        <v>143.98</v>
      </c>
    </row>
    <row r="6624" customFormat="false" ht="15" hidden="false" customHeight="false" outlineLevel="0" collapsed="false">
      <c r="A6624" s="7" t="s">
        <v>24</v>
      </c>
      <c r="B6624" s="7" t="s">
        <v>101</v>
      </c>
      <c r="C6624" s="7" t="s">
        <v>1121</v>
      </c>
      <c r="D6624" s="7" t="n">
        <v>0</v>
      </c>
      <c r="E6624" s="7" t="n">
        <v>0</v>
      </c>
      <c r="F6624" s="7" t="n">
        <v>13</v>
      </c>
      <c r="G6624" s="7" t="n">
        <v>1715.55</v>
      </c>
    </row>
    <row r="6625" customFormat="false" ht="15" hidden="false" customHeight="false" outlineLevel="0" collapsed="false">
      <c r="A6625" s="7" t="s">
        <v>24</v>
      </c>
      <c r="B6625" s="7" t="s">
        <v>101</v>
      </c>
      <c r="C6625" s="7" t="s">
        <v>1121</v>
      </c>
      <c r="D6625" s="7" t="n">
        <v>0</v>
      </c>
      <c r="E6625" s="7" t="n">
        <v>0</v>
      </c>
      <c r="F6625" s="7" t="n">
        <v>6</v>
      </c>
      <c r="G6625" s="7" t="n">
        <v>791.94</v>
      </c>
    </row>
    <row r="6626" customFormat="false" ht="15" hidden="false" customHeight="false" outlineLevel="0" collapsed="false">
      <c r="A6626" s="7" t="s">
        <v>24</v>
      </c>
      <c r="B6626" s="7" t="s">
        <v>101</v>
      </c>
      <c r="C6626" s="7" t="s">
        <v>1121</v>
      </c>
      <c r="D6626" s="7" t="n">
        <v>0</v>
      </c>
      <c r="E6626" s="7" t="n">
        <v>0</v>
      </c>
      <c r="F6626" s="7" t="n">
        <v>2</v>
      </c>
      <c r="G6626" s="7" t="n">
        <v>259.18</v>
      </c>
    </row>
    <row r="6627" customFormat="false" ht="15" hidden="false" customHeight="false" outlineLevel="0" collapsed="false">
      <c r="A6627" s="7" t="s">
        <v>24</v>
      </c>
      <c r="B6627" s="7" t="s">
        <v>101</v>
      </c>
      <c r="C6627" s="7" t="s">
        <v>1121</v>
      </c>
      <c r="D6627" s="7" t="n">
        <v>0</v>
      </c>
      <c r="E6627" s="7" t="n">
        <v>0</v>
      </c>
      <c r="F6627" s="7" t="n">
        <v>6</v>
      </c>
      <c r="G6627" s="7" t="n">
        <v>863.88</v>
      </c>
    </row>
    <row r="6628" customFormat="false" ht="15" hidden="false" customHeight="false" outlineLevel="0" collapsed="false">
      <c r="A6628" s="7" t="s">
        <v>24</v>
      </c>
      <c r="B6628" s="7" t="s">
        <v>101</v>
      </c>
      <c r="C6628" s="7" t="s">
        <v>1121</v>
      </c>
      <c r="D6628" s="7" t="n">
        <v>0</v>
      </c>
      <c r="E6628" s="7" t="n">
        <v>0</v>
      </c>
      <c r="F6628" s="7" t="n">
        <v>32</v>
      </c>
      <c r="G6628" s="7" t="n">
        <v>4187.03</v>
      </c>
    </row>
    <row r="6629" customFormat="false" ht="15" hidden="false" customHeight="false" outlineLevel="0" collapsed="false">
      <c r="A6629" s="7" t="s">
        <v>24</v>
      </c>
      <c r="B6629" s="7" t="s">
        <v>101</v>
      </c>
      <c r="C6629" s="7" t="s">
        <v>1121</v>
      </c>
      <c r="D6629" s="7" t="n">
        <v>0</v>
      </c>
      <c r="E6629" s="7" t="n">
        <v>0</v>
      </c>
      <c r="F6629" s="7" t="n">
        <v>23</v>
      </c>
      <c r="G6629" s="7" t="n">
        <v>3023.77</v>
      </c>
    </row>
    <row r="6630" customFormat="false" ht="15" hidden="false" customHeight="false" outlineLevel="0" collapsed="false">
      <c r="A6630" s="7" t="s">
        <v>24</v>
      </c>
      <c r="B6630" s="7" t="s">
        <v>101</v>
      </c>
      <c r="C6630" s="7" t="s">
        <v>1121</v>
      </c>
      <c r="D6630" s="7" t="n">
        <v>0</v>
      </c>
      <c r="E6630" s="7" t="n">
        <v>0</v>
      </c>
      <c r="F6630" s="7" t="n">
        <v>1</v>
      </c>
      <c r="G6630" s="7" t="n">
        <v>143.98</v>
      </c>
    </row>
    <row r="6631" customFormat="false" ht="15" hidden="false" customHeight="false" outlineLevel="0" collapsed="false">
      <c r="A6631" s="7" t="s">
        <v>24</v>
      </c>
      <c r="B6631" s="7" t="s">
        <v>101</v>
      </c>
      <c r="C6631" s="7" t="s">
        <v>1121</v>
      </c>
      <c r="D6631" s="7" t="n">
        <v>0</v>
      </c>
      <c r="E6631" s="7" t="n">
        <v>0</v>
      </c>
      <c r="F6631" s="7" t="n">
        <v>1</v>
      </c>
      <c r="G6631" s="7" t="n">
        <v>129.58</v>
      </c>
    </row>
    <row r="6632" customFormat="false" ht="15" hidden="false" customHeight="false" outlineLevel="0" collapsed="false">
      <c r="A6632" s="7" t="s">
        <v>24</v>
      </c>
      <c r="B6632" s="7" t="s">
        <v>101</v>
      </c>
      <c r="C6632" s="7" t="s">
        <v>1121</v>
      </c>
      <c r="D6632" s="7" t="n">
        <v>0</v>
      </c>
      <c r="E6632" s="7" t="n">
        <v>0</v>
      </c>
      <c r="F6632" s="7" t="n">
        <v>1</v>
      </c>
      <c r="G6632" s="7" t="n">
        <v>143.99</v>
      </c>
    </row>
    <row r="6633" customFormat="false" ht="15" hidden="false" customHeight="false" outlineLevel="0" collapsed="false">
      <c r="A6633" s="7" t="s">
        <v>24</v>
      </c>
      <c r="B6633" s="7" t="s">
        <v>101</v>
      </c>
      <c r="C6633" s="7" t="s">
        <v>1121</v>
      </c>
      <c r="D6633" s="7" t="n">
        <v>0</v>
      </c>
      <c r="E6633" s="7" t="n">
        <v>0</v>
      </c>
      <c r="F6633" s="7" t="n">
        <v>1</v>
      </c>
      <c r="G6633" s="7" t="n">
        <v>143.99</v>
      </c>
    </row>
    <row r="6634" customFormat="false" ht="15" hidden="false" customHeight="false" outlineLevel="0" collapsed="false">
      <c r="A6634" s="7" t="s">
        <v>24</v>
      </c>
      <c r="B6634" s="7" t="s">
        <v>101</v>
      </c>
      <c r="C6634" s="7" t="s">
        <v>1121</v>
      </c>
      <c r="D6634" s="7" t="n">
        <v>0</v>
      </c>
      <c r="E6634" s="7" t="n">
        <v>0</v>
      </c>
      <c r="F6634" s="7" t="n">
        <v>1</v>
      </c>
      <c r="G6634" s="7" t="n">
        <v>129.59</v>
      </c>
    </row>
    <row r="6635" customFormat="false" ht="15" hidden="false" customHeight="false" outlineLevel="0" collapsed="false">
      <c r="A6635" s="7" t="s">
        <v>24</v>
      </c>
      <c r="B6635" s="7" t="s">
        <v>101</v>
      </c>
      <c r="C6635" s="7" t="s">
        <v>1121</v>
      </c>
      <c r="D6635" s="7" t="n">
        <v>0</v>
      </c>
      <c r="E6635" s="7" t="n">
        <v>0</v>
      </c>
      <c r="F6635" s="7" t="n">
        <v>2</v>
      </c>
      <c r="G6635" s="7" t="n">
        <v>273.58</v>
      </c>
    </row>
    <row r="6636" customFormat="false" ht="15" hidden="false" customHeight="false" outlineLevel="0" collapsed="false">
      <c r="A6636" s="7" t="s">
        <v>24</v>
      </c>
      <c r="B6636" s="7" t="s">
        <v>101</v>
      </c>
      <c r="C6636" s="7" t="s">
        <v>1121</v>
      </c>
      <c r="D6636" s="7" t="n">
        <v>0</v>
      </c>
      <c r="E6636" s="7" t="n">
        <v>0</v>
      </c>
      <c r="F6636" s="7" t="n">
        <v>17</v>
      </c>
      <c r="G6636" s="7" t="n">
        <v>2212.29</v>
      </c>
    </row>
    <row r="6637" customFormat="false" ht="15" hidden="false" customHeight="false" outlineLevel="0" collapsed="false">
      <c r="A6637" s="7" t="s">
        <v>24</v>
      </c>
      <c r="B6637" s="7" t="s">
        <v>101</v>
      </c>
      <c r="C6637" s="7" t="s">
        <v>1121</v>
      </c>
      <c r="D6637" s="7" t="n">
        <v>0</v>
      </c>
      <c r="E6637" s="7" t="n">
        <v>0</v>
      </c>
      <c r="F6637" s="7" t="n">
        <v>1</v>
      </c>
      <c r="G6637" s="7" t="n">
        <v>129.59</v>
      </c>
    </row>
    <row r="6638" customFormat="false" ht="15" hidden="false" customHeight="false" outlineLevel="0" collapsed="false">
      <c r="A6638" s="7" t="s">
        <v>24</v>
      </c>
      <c r="B6638" s="7" t="s">
        <v>101</v>
      </c>
      <c r="C6638" s="7" t="s">
        <v>1121</v>
      </c>
      <c r="D6638" s="7" t="n">
        <v>0</v>
      </c>
      <c r="E6638" s="7" t="n">
        <v>0</v>
      </c>
      <c r="F6638" s="7" t="n">
        <v>1</v>
      </c>
      <c r="G6638" s="7" t="n">
        <v>143.99</v>
      </c>
    </row>
    <row r="6639" customFormat="false" ht="15" hidden="false" customHeight="false" outlineLevel="0" collapsed="false">
      <c r="A6639" s="7" t="s">
        <v>24</v>
      </c>
      <c r="B6639" s="7" t="s">
        <v>101</v>
      </c>
      <c r="C6639" s="7" t="s">
        <v>1121</v>
      </c>
      <c r="D6639" s="7" t="n">
        <v>1</v>
      </c>
      <c r="E6639" s="7" t="n">
        <v>105.82</v>
      </c>
      <c r="F6639" s="7" t="n">
        <v>0</v>
      </c>
      <c r="G6639" s="7" t="n">
        <v>0</v>
      </c>
    </row>
    <row r="6640" customFormat="false" ht="15" hidden="false" customHeight="false" outlineLevel="0" collapsed="false">
      <c r="A6640" s="7" t="s">
        <v>24</v>
      </c>
      <c r="B6640" s="7" t="s">
        <v>101</v>
      </c>
      <c r="C6640" s="7" t="s">
        <v>1121</v>
      </c>
      <c r="D6640" s="7" t="n">
        <v>0</v>
      </c>
      <c r="E6640" s="7" t="n">
        <v>0</v>
      </c>
      <c r="F6640" s="7" t="n">
        <v>1</v>
      </c>
      <c r="G6640" s="7" t="n">
        <v>143.99</v>
      </c>
    </row>
    <row r="6641" customFormat="false" ht="15" hidden="false" customHeight="false" outlineLevel="0" collapsed="false">
      <c r="A6641" s="7" t="s">
        <v>24</v>
      </c>
      <c r="B6641" s="7" t="s">
        <v>101</v>
      </c>
      <c r="C6641" s="7" t="s">
        <v>1121</v>
      </c>
      <c r="D6641" s="7" t="n">
        <v>0</v>
      </c>
      <c r="E6641" s="7" t="n">
        <v>0</v>
      </c>
      <c r="F6641" s="7" t="n">
        <v>1</v>
      </c>
      <c r="G6641" s="7" t="n">
        <v>143.98</v>
      </c>
    </row>
    <row r="6642" customFormat="false" ht="15" hidden="false" customHeight="false" outlineLevel="0" collapsed="false">
      <c r="A6642" s="7" t="s">
        <v>24</v>
      </c>
      <c r="B6642" s="7" t="s">
        <v>101</v>
      </c>
      <c r="C6642" s="7" t="s">
        <v>1121</v>
      </c>
      <c r="D6642" s="7" t="n">
        <v>0</v>
      </c>
      <c r="E6642" s="7" t="n">
        <v>0</v>
      </c>
      <c r="F6642" s="7" t="n">
        <v>1</v>
      </c>
      <c r="G6642" s="7" t="n">
        <v>143.98</v>
      </c>
    </row>
    <row r="6643" customFormat="false" ht="15" hidden="false" customHeight="false" outlineLevel="0" collapsed="false">
      <c r="A6643" s="7" t="s">
        <v>24</v>
      </c>
      <c r="B6643" s="7" t="s">
        <v>101</v>
      </c>
      <c r="C6643" s="7" t="s">
        <v>1121</v>
      </c>
      <c r="D6643" s="7" t="n">
        <v>0</v>
      </c>
      <c r="E6643" s="7" t="n">
        <v>0</v>
      </c>
      <c r="F6643" s="7" t="n">
        <v>1</v>
      </c>
      <c r="G6643" s="7" t="n">
        <v>143.99</v>
      </c>
    </row>
    <row r="6644" customFormat="false" ht="15" hidden="false" customHeight="false" outlineLevel="0" collapsed="false">
      <c r="A6644" s="7" t="s">
        <v>24</v>
      </c>
      <c r="B6644" s="7" t="s">
        <v>101</v>
      </c>
      <c r="C6644" s="7" t="s">
        <v>1121</v>
      </c>
      <c r="D6644" s="7" t="n">
        <v>0</v>
      </c>
      <c r="E6644" s="7" t="n">
        <v>0</v>
      </c>
      <c r="F6644" s="7" t="n">
        <v>4</v>
      </c>
      <c r="G6644" s="7" t="n">
        <v>575.94</v>
      </c>
    </row>
    <row r="6645" customFormat="false" ht="15" hidden="false" customHeight="false" outlineLevel="0" collapsed="false">
      <c r="A6645" s="7" t="s">
        <v>24</v>
      </c>
      <c r="B6645" s="7" t="s">
        <v>101</v>
      </c>
      <c r="C6645" s="7" t="s">
        <v>1121</v>
      </c>
      <c r="D6645" s="7" t="n">
        <v>0</v>
      </c>
      <c r="E6645" s="7" t="n">
        <v>0</v>
      </c>
      <c r="F6645" s="7" t="n">
        <v>1</v>
      </c>
      <c r="G6645" s="7" t="n">
        <v>143.98</v>
      </c>
    </row>
    <row r="6646" customFormat="false" ht="15" hidden="false" customHeight="false" outlineLevel="0" collapsed="false">
      <c r="A6646" s="7" t="s">
        <v>24</v>
      </c>
      <c r="B6646" s="7" t="s">
        <v>101</v>
      </c>
      <c r="C6646" s="7" t="s">
        <v>1121</v>
      </c>
      <c r="D6646" s="7" t="n">
        <v>0</v>
      </c>
      <c r="E6646" s="7" t="n">
        <v>0</v>
      </c>
      <c r="F6646" s="7" t="n">
        <v>2</v>
      </c>
      <c r="G6646" s="7" t="n">
        <v>273.58</v>
      </c>
    </row>
    <row r="6647" customFormat="false" ht="15" hidden="false" customHeight="false" outlineLevel="0" collapsed="false">
      <c r="A6647" s="7" t="s">
        <v>24</v>
      </c>
      <c r="B6647" s="7" t="s">
        <v>101</v>
      </c>
      <c r="C6647" s="7" t="s">
        <v>1121</v>
      </c>
      <c r="D6647" s="7" t="n">
        <v>0</v>
      </c>
      <c r="E6647" s="7" t="n">
        <v>0</v>
      </c>
      <c r="F6647" s="7" t="n">
        <v>1</v>
      </c>
      <c r="G6647" s="7" t="n">
        <v>143.98</v>
      </c>
    </row>
    <row r="6648" customFormat="false" ht="15" hidden="false" customHeight="false" outlineLevel="0" collapsed="false">
      <c r="A6648" s="7" t="s">
        <v>24</v>
      </c>
      <c r="B6648" s="7" t="s">
        <v>101</v>
      </c>
      <c r="C6648" s="7" t="s">
        <v>1121</v>
      </c>
      <c r="D6648" s="7" t="n">
        <v>0</v>
      </c>
      <c r="E6648" s="7" t="n">
        <v>0</v>
      </c>
      <c r="F6648" s="7" t="n">
        <v>4</v>
      </c>
      <c r="G6648" s="7" t="n">
        <v>518.34</v>
      </c>
    </row>
    <row r="6649" customFormat="false" ht="15" hidden="false" customHeight="false" outlineLevel="0" collapsed="false">
      <c r="A6649" s="7" t="s">
        <v>24</v>
      </c>
      <c r="B6649" s="7" t="s">
        <v>101</v>
      </c>
      <c r="C6649" s="7" t="s">
        <v>1121</v>
      </c>
      <c r="D6649" s="7" t="n">
        <v>0</v>
      </c>
      <c r="E6649" s="7" t="n">
        <v>0</v>
      </c>
      <c r="F6649" s="7" t="n">
        <v>1</v>
      </c>
      <c r="G6649" s="7" t="n">
        <v>143.99</v>
      </c>
    </row>
    <row r="6650" customFormat="false" ht="15" hidden="false" customHeight="false" outlineLevel="0" collapsed="false">
      <c r="A6650" s="7" t="s">
        <v>24</v>
      </c>
      <c r="B6650" s="7" t="s">
        <v>101</v>
      </c>
      <c r="C6650" s="7" t="s">
        <v>1121</v>
      </c>
      <c r="D6650" s="7" t="n">
        <v>0</v>
      </c>
      <c r="E6650" s="7" t="n">
        <v>0</v>
      </c>
      <c r="F6650" s="7" t="n">
        <v>7</v>
      </c>
      <c r="G6650" s="7" t="n">
        <v>935.93</v>
      </c>
    </row>
    <row r="6651" customFormat="false" ht="15" hidden="false" customHeight="false" outlineLevel="0" collapsed="false">
      <c r="A6651" s="7" t="s">
        <v>24</v>
      </c>
      <c r="B6651" s="7" t="s">
        <v>101</v>
      </c>
      <c r="C6651" s="7" t="s">
        <v>1121</v>
      </c>
      <c r="D6651" s="7" t="n">
        <v>0</v>
      </c>
      <c r="E6651" s="7" t="n">
        <v>0</v>
      </c>
      <c r="F6651" s="7" t="n">
        <v>5</v>
      </c>
      <c r="G6651" s="7" t="n">
        <v>705.55</v>
      </c>
    </row>
    <row r="6652" customFormat="false" ht="15" hidden="false" customHeight="false" outlineLevel="0" collapsed="false">
      <c r="A6652" s="7" t="s">
        <v>24</v>
      </c>
      <c r="B6652" s="7" t="s">
        <v>101</v>
      </c>
      <c r="C6652" s="7" t="s">
        <v>1121</v>
      </c>
      <c r="D6652" s="7" t="n">
        <v>0</v>
      </c>
      <c r="E6652" s="7" t="n">
        <v>0</v>
      </c>
      <c r="F6652" s="7" t="n">
        <v>1</v>
      </c>
      <c r="G6652" s="7" t="n">
        <v>143.99</v>
      </c>
    </row>
    <row r="6653" customFormat="false" ht="15" hidden="false" customHeight="false" outlineLevel="0" collapsed="false">
      <c r="A6653" s="7" t="s">
        <v>24</v>
      </c>
      <c r="B6653" s="7" t="s">
        <v>101</v>
      </c>
      <c r="C6653" s="7" t="s">
        <v>1121</v>
      </c>
      <c r="D6653" s="7" t="n">
        <v>0</v>
      </c>
      <c r="E6653" s="7" t="n">
        <v>0</v>
      </c>
      <c r="F6653" s="7" t="n">
        <v>3</v>
      </c>
      <c r="G6653" s="7" t="n">
        <v>403.17</v>
      </c>
    </row>
    <row r="6654" customFormat="false" ht="15" hidden="false" customHeight="false" outlineLevel="0" collapsed="false">
      <c r="A6654" s="7" t="s">
        <v>24</v>
      </c>
      <c r="B6654" s="7" t="s">
        <v>101</v>
      </c>
      <c r="C6654" s="7" t="s">
        <v>1121</v>
      </c>
      <c r="D6654" s="7" t="n">
        <v>0</v>
      </c>
      <c r="E6654" s="7" t="n">
        <v>0</v>
      </c>
      <c r="F6654" s="7" t="n">
        <v>3</v>
      </c>
      <c r="G6654" s="7" t="n">
        <v>369.34</v>
      </c>
    </row>
    <row r="6655" customFormat="false" ht="15" hidden="false" customHeight="false" outlineLevel="0" collapsed="false">
      <c r="A6655" s="7" t="s">
        <v>24</v>
      </c>
      <c r="B6655" s="7" t="s">
        <v>101</v>
      </c>
      <c r="C6655" s="7" t="s">
        <v>1121</v>
      </c>
      <c r="D6655" s="7" t="n">
        <v>0</v>
      </c>
      <c r="E6655" s="7" t="n">
        <v>0</v>
      </c>
      <c r="F6655" s="7" t="n">
        <v>8</v>
      </c>
      <c r="G6655" s="7" t="n">
        <v>1094.26</v>
      </c>
    </row>
    <row r="6656" customFormat="false" ht="15" hidden="false" customHeight="false" outlineLevel="0" collapsed="false">
      <c r="A6656" s="7" t="s">
        <v>24</v>
      </c>
      <c r="B6656" s="7" t="s">
        <v>101</v>
      </c>
      <c r="C6656" s="7" t="s">
        <v>1121</v>
      </c>
      <c r="D6656" s="7" t="n">
        <v>0</v>
      </c>
      <c r="E6656" s="7" t="n">
        <v>0</v>
      </c>
      <c r="F6656" s="7" t="n">
        <v>1</v>
      </c>
      <c r="G6656" s="7" t="n">
        <v>143.99</v>
      </c>
    </row>
    <row r="6657" customFormat="false" ht="15" hidden="false" customHeight="false" outlineLevel="0" collapsed="false">
      <c r="A6657" s="7" t="s">
        <v>24</v>
      </c>
      <c r="B6657" s="7" t="s">
        <v>101</v>
      </c>
      <c r="C6657" s="7" t="s">
        <v>1121</v>
      </c>
      <c r="D6657" s="7" t="n">
        <v>0</v>
      </c>
      <c r="E6657" s="7" t="n">
        <v>0</v>
      </c>
      <c r="F6657" s="7" t="n">
        <v>1</v>
      </c>
      <c r="G6657" s="7" t="n">
        <v>129.59</v>
      </c>
    </row>
    <row r="6658" customFormat="false" ht="15" hidden="false" customHeight="false" outlineLevel="0" collapsed="false">
      <c r="A6658" s="7" t="s">
        <v>24</v>
      </c>
      <c r="B6658" s="7" t="s">
        <v>101</v>
      </c>
      <c r="C6658" s="7" t="s">
        <v>1121</v>
      </c>
      <c r="D6658" s="7" t="n">
        <v>0</v>
      </c>
      <c r="E6658" s="7" t="n">
        <v>0</v>
      </c>
      <c r="F6658" s="7" t="n">
        <v>15</v>
      </c>
      <c r="G6658" s="7" t="n">
        <v>2044.53</v>
      </c>
    </row>
    <row r="6659" customFormat="false" ht="15" hidden="false" customHeight="false" outlineLevel="0" collapsed="false">
      <c r="A6659" s="7" t="s">
        <v>24</v>
      </c>
      <c r="B6659" s="7" t="s">
        <v>101</v>
      </c>
      <c r="C6659" s="7" t="s">
        <v>1121</v>
      </c>
      <c r="D6659" s="7" t="n">
        <v>0</v>
      </c>
      <c r="E6659" s="7" t="n">
        <v>0</v>
      </c>
      <c r="F6659" s="7" t="n">
        <v>6</v>
      </c>
      <c r="G6659" s="7" t="n">
        <v>763.14</v>
      </c>
    </row>
    <row r="6660" customFormat="false" ht="15" hidden="false" customHeight="false" outlineLevel="0" collapsed="false">
      <c r="A6660" s="7" t="s">
        <v>24</v>
      </c>
      <c r="B6660" s="7" t="s">
        <v>101</v>
      </c>
      <c r="C6660" s="7" t="s">
        <v>1121</v>
      </c>
      <c r="D6660" s="7" t="n">
        <v>0</v>
      </c>
      <c r="E6660" s="7" t="n">
        <v>0</v>
      </c>
      <c r="F6660" s="7" t="n">
        <v>1</v>
      </c>
      <c r="G6660" s="7" t="n">
        <v>143.98</v>
      </c>
    </row>
    <row r="6661" customFormat="false" ht="15" hidden="false" customHeight="false" outlineLevel="0" collapsed="false">
      <c r="A6661" s="7" t="s">
        <v>24</v>
      </c>
      <c r="B6661" s="7" t="s">
        <v>101</v>
      </c>
      <c r="C6661" s="7" t="s">
        <v>1121</v>
      </c>
      <c r="D6661" s="7" t="n">
        <v>0</v>
      </c>
      <c r="E6661" s="7" t="n">
        <v>0</v>
      </c>
      <c r="F6661" s="7" t="n">
        <v>1</v>
      </c>
      <c r="G6661" s="7" t="n">
        <v>122.39</v>
      </c>
    </row>
    <row r="6662" customFormat="false" ht="15" hidden="false" customHeight="false" outlineLevel="0" collapsed="false">
      <c r="A6662" s="7" t="s">
        <v>24</v>
      </c>
      <c r="B6662" s="7" t="s">
        <v>101</v>
      </c>
      <c r="C6662" s="7" t="s">
        <v>1121</v>
      </c>
      <c r="D6662" s="7" t="n">
        <v>0</v>
      </c>
      <c r="E6662" s="7" t="n">
        <v>0</v>
      </c>
      <c r="F6662" s="7" t="n">
        <v>1</v>
      </c>
      <c r="G6662" s="7" t="n">
        <v>115.19</v>
      </c>
    </row>
    <row r="6663" customFormat="false" ht="15" hidden="false" customHeight="false" outlineLevel="0" collapsed="false">
      <c r="A6663" s="7" t="s">
        <v>24</v>
      </c>
      <c r="B6663" s="7" t="s">
        <v>101</v>
      </c>
      <c r="C6663" s="7" t="s">
        <v>1121</v>
      </c>
      <c r="D6663" s="7" t="n">
        <v>0</v>
      </c>
      <c r="E6663" s="7" t="n">
        <v>0</v>
      </c>
      <c r="F6663" s="7" t="n">
        <v>1</v>
      </c>
      <c r="G6663" s="7" t="n">
        <v>143.99</v>
      </c>
    </row>
    <row r="6664" customFormat="false" ht="15" hidden="false" customHeight="false" outlineLevel="0" collapsed="false">
      <c r="A6664" s="7" t="s">
        <v>24</v>
      </c>
      <c r="B6664" s="7" t="s">
        <v>101</v>
      </c>
      <c r="C6664" s="7" t="s">
        <v>1121</v>
      </c>
      <c r="D6664" s="7" t="n">
        <v>0</v>
      </c>
      <c r="E6664" s="7" t="n">
        <v>0</v>
      </c>
      <c r="F6664" s="7" t="n">
        <v>1</v>
      </c>
      <c r="G6664" s="7" t="n">
        <v>143.99</v>
      </c>
    </row>
    <row r="6665" customFormat="false" ht="15" hidden="false" customHeight="false" outlineLevel="0" collapsed="false">
      <c r="A6665" s="7" t="s">
        <v>24</v>
      </c>
      <c r="B6665" s="7" t="s">
        <v>101</v>
      </c>
      <c r="C6665" s="7" t="s">
        <v>1121</v>
      </c>
      <c r="D6665" s="7" t="n">
        <v>0</v>
      </c>
      <c r="E6665" s="7" t="n">
        <v>0</v>
      </c>
      <c r="F6665" s="7" t="n">
        <v>2</v>
      </c>
      <c r="G6665" s="7" t="n">
        <v>287.97</v>
      </c>
    </row>
    <row r="6666" customFormat="false" ht="15" hidden="false" customHeight="false" outlineLevel="0" collapsed="false">
      <c r="A6666" s="7" t="s">
        <v>24</v>
      </c>
      <c r="B6666" s="7" t="s">
        <v>101</v>
      </c>
      <c r="C6666" s="7" t="s">
        <v>1121</v>
      </c>
      <c r="D6666" s="7" t="n">
        <v>0</v>
      </c>
      <c r="E6666" s="7" t="n">
        <v>0</v>
      </c>
      <c r="F6666" s="7" t="n">
        <v>3</v>
      </c>
      <c r="G6666" s="7" t="n">
        <v>374.37</v>
      </c>
    </row>
    <row r="6667" customFormat="false" ht="15" hidden="false" customHeight="false" outlineLevel="0" collapsed="false">
      <c r="A6667" s="7" t="s">
        <v>24</v>
      </c>
      <c r="B6667" s="7" t="s">
        <v>101</v>
      </c>
      <c r="C6667" s="7" t="s">
        <v>1121</v>
      </c>
      <c r="D6667" s="7" t="n">
        <v>0</v>
      </c>
      <c r="E6667" s="7" t="n">
        <v>0</v>
      </c>
      <c r="F6667" s="7" t="n">
        <v>1</v>
      </c>
      <c r="G6667" s="7" t="n">
        <v>122.39</v>
      </c>
    </row>
    <row r="6668" customFormat="false" ht="15" hidden="false" customHeight="false" outlineLevel="0" collapsed="false">
      <c r="A6668" s="7" t="s">
        <v>24</v>
      </c>
      <c r="B6668" s="7" t="s">
        <v>101</v>
      </c>
      <c r="C6668" s="7" t="s">
        <v>1121</v>
      </c>
      <c r="D6668" s="7" t="n">
        <v>0</v>
      </c>
      <c r="E6668" s="7" t="n">
        <v>0</v>
      </c>
      <c r="F6668" s="7" t="n">
        <v>2</v>
      </c>
      <c r="G6668" s="7" t="n">
        <v>244.78</v>
      </c>
    </row>
    <row r="6669" customFormat="false" ht="15" hidden="false" customHeight="false" outlineLevel="0" collapsed="false">
      <c r="A6669" s="7" t="s">
        <v>24</v>
      </c>
      <c r="B6669" s="7" t="s">
        <v>101</v>
      </c>
      <c r="C6669" s="7" t="s">
        <v>1121</v>
      </c>
      <c r="D6669" s="7" t="n">
        <v>0</v>
      </c>
      <c r="E6669" s="7" t="n">
        <v>0</v>
      </c>
      <c r="F6669" s="7" t="n">
        <v>1</v>
      </c>
      <c r="G6669" s="7" t="n">
        <v>143.98</v>
      </c>
    </row>
    <row r="6670" customFormat="false" ht="15" hidden="false" customHeight="false" outlineLevel="0" collapsed="false">
      <c r="A6670" s="7" t="s">
        <v>24</v>
      </c>
      <c r="B6670" s="7" t="s">
        <v>101</v>
      </c>
      <c r="C6670" s="7" t="s">
        <v>1121</v>
      </c>
      <c r="D6670" s="7" t="n">
        <v>0</v>
      </c>
      <c r="E6670" s="7" t="n">
        <v>0</v>
      </c>
      <c r="F6670" s="7" t="n">
        <v>1</v>
      </c>
      <c r="G6670" s="7" t="n">
        <v>143.98</v>
      </c>
    </row>
    <row r="6671" customFormat="false" ht="15" hidden="false" customHeight="false" outlineLevel="0" collapsed="false">
      <c r="A6671" s="7" t="s">
        <v>24</v>
      </c>
      <c r="B6671" s="7" t="s">
        <v>101</v>
      </c>
      <c r="C6671" s="7" t="s">
        <v>1121</v>
      </c>
      <c r="D6671" s="7" t="n">
        <v>0</v>
      </c>
      <c r="E6671" s="7" t="n">
        <v>0</v>
      </c>
      <c r="F6671" s="7" t="n">
        <v>7</v>
      </c>
      <c r="G6671" s="7" t="n">
        <v>878.33</v>
      </c>
    </row>
    <row r="6672" customFormat="false" ht="15" hidden="false" customHeight="false" outlineLevel="0" collapsed="false">
      <c r="A6672" s="7" t="s">
        <v>24</v>
      </c>
      <c r="B6672" s="7" t="s">
        <v>101</v>
      </c>
      <c r="C6672" s="7" t="s">
        <v>1121</v>
      </c>
      <c r="D6672" s="7" t="n">
        <v>0</v>
      </c>
      <c r="E6672" s="7" t="n">
        <v>0</v>
      </c>
      <c r="F6672" s="7" t="n">
        <v>1</v>
      </c>
      <c r="G6672" s="7" t="n">
        <v>143.98</v>
      </c>
    </row>
    <row r="6673" customFormat="false" ht="15" hidden="false" customHeight="false" outlineLevel="0" collapsed="false">
      <c r="A6673" s="7" t="s">
        <v>24</v>
      </c>
      <c r="B6673" s="7" t="s">
        <v>101</v>
      </c>
      <c r="C6673" s="7" t="s">
        <v>1121</v>
      </c>
      <c r="D6673" s="7" t="n">
        <v>0</v>
      </c>
      <c r="E6673" s="7" t="n">
        <v>0</v>
      </c>
      <c r="F6673" s="7" t="n">
        <v>1</v>
      </c>
      <c r="G6673" s="7" t="n">
        <v>129.59</v>
      </c>
    </row>
    <row r="6674" customFormat="false" ht="15" hidden="false" customHeight="false" outlineLevel="0" collapsed="false">
      <c r="A6674" s="7" t="s">
        <v>24</v>
      </c>
      <c r="B6674" s="7" t="s">
        <v>101</v>
      </c>
      <c r="C6674" s="7" t="s">
        <v>1121</v>
      </c>
      <c r="D6674" s="7" t="n">
        <v>0</v>
      </c>
      <c r="E6674" s="7" t="n">
        <v>0</v>
      </c>
      <c r="F6674" s="7" t="n">
        <v>1</v>
      </c>
      <c r="G6674" s="7" t="n">
        <v>143.99</v>
      </c>
    </row>
    <row r="6675" customFormat="false" ht="15" hidden="false" customHeight="false" outlineLevel="0" collapsed="false">
      <c r="A6675" s="7" t="s">
        <v>24</v>
      </c>
      <c r="B6675" s="7" t="s">
        <v>101</v>
      </c>
      <c r="C6675" s="7" t="s">
        <v>1121</v>
      </c>
      <c r="D6675" s="7" t="n">
        <v>0</v>
      </c>
      <c r="E6675" s="7" t="n">
        <v>0</v>
      </c>
      <c r="F6675" s="7" t="n">
        <v>1</v>
      </c>
      <c r="G6675" s="7" t="n">
        <v>143.99</v>
      </c>
    </row>
    <row r="6676" customFormat="false" ht="15" hidden="false" customHeight="false" outlineLevel="0" collapsed="false">
      <c r="A6676" s="7" t="s">
        <v>24</v>
      </c>
      <c r="B6676" s="7" t="s">
        <v>101</v>
      </c>
      <c r="C6676" s="7" t="s">
        <v>1121</v>
      </c>
      <c r="D6676" s="7" t="n">
        <v>0</v>
      </c>
      <c r="E6676" s="7" t="n">
        <v>0</v>
      </c>
      <c r="F6676" s="7" t="n">
        <v>1</v>
      </c>
      <c r="G6676" s="7" t="n">
        <v>143.99</v>
      </c>
    </row>
    <row r="6677" customFormat="false" ht="15" hidden="false" customHeight="false" outlineLevel="0" collapsed="false">
      <c r="A6677" s="7" t="s">
        <v>24</v>
      </c>
      <c r="B6677" s="7" t="s">
        <v>101</v>
      </c>
      <c r="C6677" s="7" t="s">
        <v>1121</v>
      </c>
      <c r="D6677" s="7" t="n">
        <v>0</v>
      </c>
      <c r="E6677" s="7" t="n">
        <v>0</v>
      </c>
      <c r="F6677" s="7" t="n">
        <v>1</v>
      </c>
      <c r="G6677" s="7" t="n">
        <v>129.59</v>
      </c>
    </row>
    <row r="6678" customFormat="false" ht="15" hidden="false" customHeight="false" outlineLevel="0" collapsed="false">
      <c r="A6678" s="7" t="s">
        <v>24</v>
      </c>
      <c r="B6678" s="7" t="s">
        <v>101</v>
      </c>
      <c r="C6678" s="7" t="s">
        <v>1121</v>
      </c>
      <c r="D6678" s="7" t="n">
        <v>0</v>
      </c>
      <c r="E6678" s="7" t="n">
        <v>0</v>
      </c>
      <c r="F6678" s="7" t="n">
        <v>1</v>
      </c>
      <c r="G6678" s="7" t="n">
        <v>143.99</v>
      </c>
    </row>
    <row r="6679" customFormat="false" ht="15" hidden="false" customHeight="false" outlineLevel="0" collapsed="false">
      <c r="A6679" s="7" t="s">
        <v>24</v>
      </c>
      <c r="B6679" s="7" t="s">
        <v>101</v>
      </c>
      <c r="C6679" s="7" t="s">
        <v>1121</v>
      </c>
      <c r="D6679" s="7" t="n">
        <v>0</v>
      </c>
      <c r="E6679" s="7" t="n">
        <v>0</v>
      </c>
      <c r="F6679" s="7" t="n">
        <v>2</v>
      </c>
      <c r="G6679" s="7" t="n">
        <v>259.18</v>
      </c>
    </row>
    <row r="6680" customFormat="false" ht="15" hidden="false" customHeight="false" outlineLevel="0" collapsed="false">
      <c r="A6680" s="7" t="s">
        <v>24</v>
      </c>
      <c r="B6680" s="7" t="s">
        <v>101</v>
      </c>
      <c r="C6680" s="7" t="s">
        <v>1121</v>
      </c>
      <c r="D6680" s="7" t="n">
        <v>0</v>
      </c>
      <c r="E6680" s="7" t="n">
        <v>0</v>
      </c>
      <c r="F6680" s="7" t="n">
        <v>2</v>
      </c>
      <c r="G6680" s="7" t="n">
        <v>273.56</v>
      </c>
    </row>
    <row r="6681" customFormat="false" ht="15" hidden="false" customHeight="false" outlineLevel="0" collapsed="false">
      <c r="A6681" s="7" t="s">
        <v>24</v>
      </c>
      <c r="B6681" s="7" t="s">
        <v>101</v>
      </c>
      <c r="C6681" s="7" t="s">
        <v>1121</v>
      </c>
      <c r="D6681" s="7" t="n">
        <v>0</v>
      </c>
      <c r="E6681" s="7" t="n">
        <v>0</v>
      </c>
      <c r="F6681" s="7" t="n">
        <v>1</v>
      </c>
      <c r="G6681" s="7" t="n">
        <v>143.98</v>
      </c>
    </row>
    <row r="6682" customFormat="false" ht="15" hidden="false" customHeight="false" outlineLevel="0" collapsed="false">
      <c r="A6682" s="7" t="s">
        <v>24</v>
      </c>
      <c r="B6682" s="7" t="s">
        <v>101</v>
      </c>
      <c r="C6682" s="7" t="s">
        <v>1121</v>
      </c>
      <c r="D6682" s="7" t="n">
        <v>0</v>
      </c>
      <c r="E6682" s="7" t="n">
        <v>0</v>
      </c>
      <c r="F6682" s="7" t="n">
        <v>1</v>
      </c>
      <c r="G6682" s="7" t="n">
        <v>129.58</v>
      </c>
    </row>
    <row r="6683" customFormat="false" ht="15" hidden="false" customHeight="false" outlineLevel="0" collapsed="false">
      <c r="A6683" s="7" t="s">
        <v>24</v>
      </c>
      <c r="B6683" s="7" t="s">
        <v>101</v>
      </c>
      <c r="C6683" s="7" t="s">
        <v>1121</v>
      </c>
      <c r="D6683" s="7" t="n">
        <v>0</v>
      </c>
      <c r="E6683" s="7" t="n">
        <v>0</v>
      </c>
      <c r="F6683" s="7" t="n">
        <v>7</v>
      </c>
      <c r="G6683" s="7" t="n">
        <v>894.88</v>
      </c>
    </row>
    <row r="6684" customFormat="false" ht="15" hidden="false" customHeight="false" outlineLevel="0" collapsed="false">
      <c r="A6684" s="7" t="s">
        <v>24</v>
      </c>
      <c r="B6684" s="7" t="s">
        <v>101</v>
      </c>
      <c r="C6684" s="7" t="s">
        <v>1121</v>
      </c>
      <c r="D6684" s="7" t="n">
        <v>0</v>
      </c>
      <c r="E6684" s="7" t="n">
        <v>0</v>
      </c>
      <c r="F6684" s="7" t="n">
        <v>1</v>
      </c>
      <c r="G6684" s="7" t="n">
        <v>129.58</v>
      </c>
    </row>
    <row r="6685" customFormat="false" ht="15" hidden="false" customHeight="false" outlineLevel="0" collapsed="false">
      <c r="A6685" s="7" t="s">
        <v>24</v>
      </c>
      <c r="B6685" s="7" t="s">
        <v>101</v>
      </c>
      <c r="C6685" s="7" t="s">
        <v>1121</v>
      </c>
      <c r="D6685" s="7" t="n">
        <v>0</v>
      </c>
      <c r="E6685" s="7" t="n">
        <v>0</v>
      </c>
      <c r="F6685" s="7" t="n">
        <v>1</v>
      </c>
      <c r="G6685" s="7" t="n">
        <v>143.98</v>
      </c>
    </row>
    <row r="6686" customFormat="false" ht="15" hidden="false" customHeight="false" outlineLevel="0" collapsed="false">
      <c r="A6686" s="7" t="s">
        <v>24</v>
      </c>
      <c r="B6686" s="7" t="s">
        <v>101</v>
      </c>
      <c r="C6686" s="7" t="s">
        <v>1121</v>
      </c>
      <c r="D6686" s="7" t="n">
        <v>0</v>
      </c>
      <c r="E6686" s="7" t="n">
        <v>0</v>
      </c>
      <c r="F6686" s="7" t="n">
        <v>1</v>
      </c>
      <c r="G6686" s="7" t="n">
        <v>143.99</v>
      </c>
    </row>
    <row r="6687" customFormat="false" ht="15" hidden="false" customHeight="false" outlineLevel="0" collapsed="false">
      <c r="A6687" s="7" t="s">
        <v>24</v>
      </c>
      <c r="B6687" s="7" t="s">
        <v>101</v>
      </c>
      <c r="C6687" s="7" t="s">
        <v>1121</v>
      </c>
      <c r="D6687" s="7" t="n">
        <v>0</v>
      </c>
      <c r="E6687" s="7" t="n">
        <v>0</v>
      </c>
      <c r="F6687" s="7" t="n">
        <v>1</v>
      </c>
      <c r="G6687" s="7" t="n">
        <v>129.59</v>
      </c>
    </row>
    <row r="6688" customFormat="false" ht="15" hidden="false" customHeight="false" outlineLevel="0" collapsed="false">
      <c r="A6688" s="7" t="s">
        <v>24</v>
      </c>
      <c r="B6688" s="7" t="s">
        <v>101</v>
      </c>
      <c r="C6688" s="7" t="s">
        <v>1121</v>
      </c>
      <c r="D6688" s="7" t="n">
        <v>0</v>
      </c>
      <c r="E6688" s="7" t="n">
        <v>0</v>
      </c>
      <c r="F6688" s="7" t="n">
        <v>37</v>
      </c>
      <c r="G6688" s="7" t="n">
        <v>5060.93</v>
      </c>
    </row>
    <row r="6689" customFormat="false" ht="15" hidden="false" customHeight="false" outlineLevel="0" collapsed="false">
      <c r="A6689" s="7" t="s">
        <v>24</v>
      </c>
      <c r="B6689" s="7" t="s">
        <v>101</v>
      </c>
      <c r="C6689" s="7" t="s">
        <v>1121</v>
      </c>
      <c r="D6689" s="7" t="n">
        <v>0</v>
      </c>
      <c r="E6689" s="7" t="n">
        <v>0</v>
      </c>
      <c r="F6689" s="7" t="n">
        <v>1</v>
      </c>
      <c r="G6689" s="7" t="n">
        <v>143.98</v>
      </c>
    </row>
    <row r="6690" customFormat="false" ht="15" hidden="false" customHeight="false" outlineLevel="0" collapsed="false">
      <c r="A6690" s="7" t="s">
        <v>24</v>
      </c>
      <c r="B6690" s="7" t="s">
        <v>101</v>
      </c>
      <c r="C6690" s="7" t="s">
        <v>1121</v>
      </c>
      <c r="D6690" s="7" t="n">
        <v>0</v>
      </c>
      <c r="E6690" s="7" t="n">
        <v>0</v>
      </c>
      <c r="F6690" s="7" t="n">
        <v>23</v>
      </c>
      <c r="G6690" s="7" t="n">
        <v>3150.86</v>
      </c>
    </row>
    <row r="6691" customFormat="false" ht="15" hidden="false" customHeight="false" outlineLevel="0" collapsed="false">
      <c r="A6691" s="7" t="s">
        <v>24</v>
      </c>
      <c r="B6691" s="7" t="s">
        <v>101</v>
      </c>
      <c r="C6691" s="7" t="s">
        <v>1121</v>
      </c>
      <c r="D6691" s="7" t="n">
        <v>0</v>
      </c>
      <c r="E6691" s="7" t="n">
        <v>0</v>
      </c>
      <c r="F6691" s="7" t="n">
        <v>1</v>
      </c>
      <c r="G6691" s="7" t="n">
        <v>115.19</v>
      </c>
    </row>
    <row r="6692" customFormat="false" ht="15" hidden="false" customHeight="false" outlineLevel="0" collapsed="false">
      <c r="A6692" s="7" t="s">
        <v>24</v>
      </c>
      <c r="B6692" s="7" t="s">
        <v>101</v>
      </c>
      <c r="C6692" s="7" t="s">
        <v>1121</v>
      </c>
      <c r="D6692" s="7" t="n">
        <v>0</v>
      </c>
      <c r="E6692" s="7" t="n">
        <v>0</v>
      </c>
      <c r="F6692" s="7" t="n">
        <v>1</v>
      </c>
      <c r="G6692" s="7" t="n">
        <v>143.99</v>
      </c>
    </row>
    <row r="6693" customFormat="false" ht="15" hidden="false" customHeight="false" outlineLevel="0" collapsed="false">
      <c r="A6693" s="7" t="s">
        <v>24</v>
      </c>
      <c r="B6693" s="7" t="s">
        <v>101</v>
      </c>
      <c r="C6693" s="7" t="s">
        <v>1121</v>
      </c>
      <c r="D6693" s="7" t="n">
        <v>0</v>
      </c>
      <c r="E6693" s="7" t="n">
        <v>0</v>
      </c>
      <c r="F6693" s="7" t="n">
        <v>1</v>
      </c>
      <c r="G6693" s="7" t="n">
        <v>143.99</v>
      </c>
    </row>
    <row r="6694" customFormat="false" ht="15" hidden="false" customHeight="false" outlineLevel="0" collapsed="false">
      <c r="A6694" s="7" t="s">
        <v>24</v>
      </c>
      <c r="B6694" s="7" t="s">
        <v>101</v>
      </c>
      <c r="C6694" s="7" t="s">
        <v>1121</v>
      </c>
      <c r="D6694" s="7" t="n">
        <v>0</v>
      </c>
      <c r="E6694" s="7" t="n">
        <v>0</v>
      </c>
      <c r="F6694" s="7" t="n">
        <v>3</v>
      </c>
      <c r="G6694" s="7" t="n">
        <v>417.54</v>
      </c>
    </row>
    <row r="6695" customFormat="false" ht="15" hidden="false" customHeight="false" outlineLevel="0" collapsed="false">
      <c r="A6695" s="7" t="s">
        <v>24</v>
      </c>
      <c r="B6695" s="7" t="s">
        <v>101</v>
      </c>
      <c r="C6695" s="7" t="s">
        <v>1121</v>
      </c>
      <c r="D6695" s="7" t="n">
        <v>0</v>
      </c>
      <c r="E6695" s="7" t="n">
        <v>0</v>
      </c>
      <c r="F6695" s="7" t="n">
        <v>1</v>
      </c>
      <c r="G6695" s="7" t="n">
        <v>143.98</v>
      </c>
    </row>
    <row r="6696" customFormat="false" ht="15" hidden="false" customHeight="false" outlineLevel="0" collapsed="false">
      <c r="A6696" s="7" t="s">
        <v>24</v>
      </c>
      <c r="B6696" s="7" t="s">
        <v>101</v>
      </c>
      <c r="C6696" s="7" t="s">
        <v>1121</v>
      </c>
      <c r="D6696" s="7" t="n">
        <v>0</v>
      </c>
      <c r="E6696" s="7" t="n">
        <v>0</v>
      </c>
      <c r="F6696" s="7" t="n">
        <v>1</v>
      </c>
      <c r="G6696" s="7" t="n">
        <v>143.99</v>
      </c>
    </row>
    <row r="6697" customFormat="false" ht="15" hidden="false" customHeight="false" outlineLevel="0" collapsed="false">
      <c r="A6697" s="7" t="s">
        <v>24</v>
      </c>
      <c r="B6697" s="7" t="s">
        <v>101</v>
      </c>
      <c r="C6697" s="7" t="s">
        <v>1121</v>
      </c>
      <c r="D6697" s="7" t="n">
        <v>0</v>
      </c>
      <c r="E6697" s="7" t="n">
        <v>0</v>
      </c>
      <c r="F6697" s="7" t="n">
        <v>3</v>
      </c>
      <c r="G6697" s="7" t="n">
        <v>398.13</v>
      </c>
    </row>
    <row r="6698" customFormat="false" ht="15" hidden="false" customHeight="false" outlineLevel="0" collapsed="false">
      <c r="A6698" s="7" t="s">
        <v>24</v>
      </c>
      <c r="B6698" s="7" t="s">
        <v>101</v>
      </c>
      <c r="C6698" s="7" t="s">
        <v>1121</v>
      </c>
      <c r="D6698" s="7" t="n">
        <v>0</v>
      </c>
      <c r="E6698" s="7" t="n">
        <v>0</v>
      </c>
      <c r="F6698" s="7" t="n">
        <v>1</v>
      </c>
      <c r="G6698" s="7" t="n">
        <v>143.98</v>
      </c>
    </row>
    <row r="6699" customFormat="false" ht="15" hidden="false" customHeight="false" outlineLevel="0" collapsed="false">
      <c r="A6699" s="7" t="s">
        <v>24</v>
      </c>
      <c r="B6699" s="7" t="s">
        <v>101</v>
      </c>
      <c r="C6699" s="7" t="s">
        <v>1121</v>
      </c>
      <c r="D6699" s="7" t="n">
        <v>0</v>
      </c>
      <c r="E6699" s="7" t="n">
        <v>0</v>
      </c>
      <c r="F6699" s="7" t="n">
        <v>1</v>
      </c>
      <c r="G6699" s="7" t="n">
        <v>143.98</v>
      </c>
    </row>
    <row r="6700" customFormat="false" ht="15" hidden="false" customHeight="false" outlineLevel="0" collapsed="false">
      <c r="A6700" s="7" t="s">
        <v>24</v>
      </c>
      <c r="B6700" s="7" t="s">
        <v>101</v>
      </c>
      <c r="C6700" s="7" t="s">
        <v>1121</v>
      </c>
      <c r="D6700" s="7" t="n">
        <v>0</v>
      </c>
      <c r="E6700" s="7" t="n">
        <v>0</v>
      </c>
      <c r="F6700" s="7" t="n">
        <v>7</v>
      </c>
      <c r="G6700" s="7" t="n">
        <v>849.53</v>
      </c>
    </row>
    <row r="6701" customFormat="false" ht="15" hidden="false" customHeight="false" outlineLevel="0" collapsed="false">
      <c r="A6701" s="7" t="s">
        <v>24</v>
      </c>
      <c r="B6701" s="7" t="s">
        <v>101</v>
      </c>
      <c r="C6701" s="7" t="s">
        <v>1121</v>
      </c>
      <c r="D6701" s="7" t="n">
        <v>0</v>
      </c>
      <c r="E6701" s="7" t="n">
        <v>0</v>
      </c>
      <c r="F6701" s="7" t="n">
        <v>38</v>
      </c>
      <c r="G6701" s="7" t="n">
        <v>5086.9</v>
      </c>
    </row>
    <row r="6702" customFormat="false" ht="15" hidden="false" customHeight="false" outlineLevel="0" collapsed="false">
      <c r="A6702" s="7" t="s">
        <v>24</v>
      </c>
      <c r="B6702" s="7" t="s">
        <v>101</v>
      </c>
      <c r="C6702" s="7" t="s">
        <v>1121</v>
      </c>
      <c r="D6702" s="7" t="n">
        <v>0</v>
      </c>
      <c r="E6702" s="7" t="n">
        <v>0</v>
      </c>
      <c r="F6702" s="7" t="n">
        <v>6</v>
      </c>
      <c r="G6702" s="7" t="n">
        <v>786.89</v>
      </c>
    </row>
    <row r="6703" customFormat="false" ht="15" hidden="false" customHeight="false" outlineLevel="0" collapsed="false">
      <c r="A6703" s="7" t="s">
        <v>24</v>
      </c>
      <c r="B6703" s="7" t="s">
        <v>101</v>
      </c>
      <c r="C6703" s="7" t="s">
        <v>1121</v>
      </c>
      <c r="D6703" s="7" t="n">
        <v>0</v>
      </c>
      <c r="E6703" s="7" t="n">
        <v>0</v>
      </c>
      <c r="F6703" s="7" t="n">
        <v>1</v>
      </c>
      <c r="G6703" s="7" t="n">
        <v>129.59</v>
      </c>
    </row>
    <row r="6704" customFormat="false" ht="15" hidden="false" customHeight="false" outlineLevel="0" collapsed="false">
      <c r="A6704" s="7" t="s">
        <v>24</v>
      </c>
      <c r="B6704" s="7" t="s">
        <v>101</v>
      </c>
      <c r="C6704" s="7" t="s">
        <v>1121</v>
      </c>
      <c r="D6704" s="7" t="n">
        <v>0</v>
      </c>
      <c r="E6704" s="7" t="n">
        <v>0</v>
      </c>
      <c r="F6704" s="7" t="n">
        <v>1</v>
      </c>
      <c r="G6704" s="7" t="n">
        <v>115.19</v>
      </c>
    </row>
    <row r="6705" customFormat="false" ht="15" hidden="false" customHeight="false" outlineLevel="0" collapsed="false">
      <c r="A6705" s="7" t="s">
        <v>24</v>
      </c>
      <c r="B6705" s="7" t="s">
        <v>101</v>
      </c>
      <c r="C6705" s="7" t="s">
        <v>1121</v>
      </c>
      <c r="D6705" s="7" t="n">
        <v>0</v>
      </c>
      <c r="E6705" s="7" t="n">
        <v>0</v>
      </c>
      <c r="F6705" s="7" t="n">
        <v>1</v>
      </c>
      <c r="G6705" s="7" t="n">
        <v>143.98</v>
      </c>
    </row>
    <row r="6706" customFormat="false" ht="15" hidden="false" customHeight="false" outlineLevel="0" collapsed="false">
      <c r="A6706" s="7" t="s">
        <v>24</v>
      </c>
      <c r="B6706" s="7" t="s">
        <v>101</v>
      </c>
      <c r="C6706" s="7" t="s">
        <v>1121</v>
      </c>
      <c r="D6706" s="7" t="n">
        <v>0</v>
      </c>
      <c r="E6706" s="7" t="n">
        <v>0</v>
      </c>
      <c r="F6706" s="7" t="n">
        <v>3</v>
      </c>
      <c r="G6706" s="7" t="n">
        <v>403.17</v>
      </c>
    </row>
    <row r="6707" customFormat="false" ht="15" hidden="false" customHeight="false" outlineLevel="0" collapsed="false">
      <c r="A6707" s="7" t="s">
        <v>24</v>
      </c>
      <c r="B6707" s="7" t="s">
        <v>101</v>
      </c>
      <c r="C6707" s="7" t="s">
        <v>1121</v>
      </c>
      <c r="D6707" s="7" t="n">
        <v>0</v>
      </c>
      <c r="E6707" s="7" t="n">
        <v>0</v>
      </c>
      <c r="F6707" s="7" t="n">
        <v>1</v>
      </c>
      <c r="G6707" s="7" t="n">
        <v>115.19</v>
      </c>
    </row>
    <row r="6708" customFormat="false" ht="15" hidden="false" customHeight="false" outlineLevel="0" collapsed="false">
      <c r="A6708" s="7" t="s">
        <v>24</v>
      </c>
      <c r="B6708" s="7" t="s">
        <v>101</v>
      </c>
      <c r="C6708" s="7" t="s">
        <v>1121</v>
      </c>
      <c r="D6708" s="7" t="n">
        <v>0</v>
      </c>
      <c r="E6708" s="7" t="n">
        <v>0</v>
      </c>
      <c r="F6708" s="7" t="n">
        <v>1</v>
      </c>
      <c r="G6708" s="7" t="n">
        <v>143.98</v>
      </c>
    </row>
    <row r="6709" customFormat="false" ht="15" hidden="false" customHeight="false" outlineLevel="0" collapsed="false">
      <c r="A6709" s="7" t="s">
        <v>24</v>
      </c>
      <c r="B6709" s="7" t="s">
        <v>101</v>
      </c>
      <c r="C6709" s="7" t="s">
        <v>1121</v>
      </c>
      <c r="D6709" s="7" t="n">
        <v>0</v>
      </c>
      <c r="E6709" s="7" t="n">
        <v>0</v>
      </c>
      <c r="F6709" s="7" t="n">
        <v>3</v>
      </c>
      <c r="G6709" s="7" t="n">
        <v>381.55</v>
      </c>
    </row>
    <row r="6710" customFormat="false" ht="15" hidden="false" customHeight="false" outlineLevel="0" collapsed="false">
      <c r="A6710" s="7" t="s">
        <v>24</v>
      </c>
      <c r="B6710" s="7" t="s">
        <v>101</v>
      </c>
      <c r="C6710" s="7" t="s">
        <v>1121</v>
      </c>
      <c r="D6710" s="7" t="n">
        <v>0</v>
      </c>
      <c r="E6710" s="7" t="n">
        <v>0</v>
      </c>
      <c r="F6710" s="7" t="n">
        <v>1</v>
      </c>
      <c r="G6710" s="7" t="n">
        <v>143.99</v>
      </c>
    </row>
    <row r="6711" customFormat="false" ht="15" hidden="false" customHeight="false" outlineLevel="0" collapsed="false">
      <c r="A6711" s="7" t="s">
        <v>24</v>
      </c>
      <c r="B6711" s="7" t="s">
        <v>101</v>
      </c>
      <c r="C6711" s="7" t="s">
        <v>1121</v>
      </c>
      <c r="D6711" s="7" t="n">
        <v>0</v>
      </c>
      <c r="E6711" s="7" t="n">
        <v>0</v>
      </c>
      <c r="F6711" s="7" t="n">
        <v>1</v>
      </c>
      <c r="G6711" s="7" t="n">
        <v>143.98</v>
      </c>
    </row>
    <row r="6712" customFormat="false" ht="15" hidden="false" customHeight="false" outlineLevel="0" collapsed="false">
      <c r="A6712" s="7" t="s">
        <v>24</v>
      </c>
      <c r="B6712" s="7" t="s">
        <v>101</v>
      </c>
      <c r="C6712" s="7" t="s">
        <v>1121</v>
      </c>
      <c r="D6712" s="7" t="n">
        <v>0</v>
      </c>
      <c r="E6712" s="7" t="n">
        <v>0</v>
      </c>
      <c r="F6712" s="7" t="n">
        <v>1</v>
      </c>
      <c r="G6712" s="7" t="n">
        <v>143.99</v>
      </c>
    </row>
    <row r="6713" customFormat="false" ht="15" hidden="false" customHeight="false" outlineLevel="0" collapsed="false">
      <c r="A6713" s="7" t="s">
        <v>24</v>
      </c>
      <c r="B6713" s="7" t="s">
        <v>101</v>
      </c>
      <c r="C6713" s="7" t="s">
        <v>1121</v>
      </c>
      <c r="D6713" s="7" t="n">
        <v>0</v>
      </c>
      <c r="E6713" s="7" t="n">
        <v>0</v>
      </c>
      <c r="F6713" s="7" t="n">
        <v>2</v>
      </c>
      <c r="G6713" s="7" t="n">
        <v>244.78</v>
      </c>
    </row>
    <row r="6714" customFormat="false" ht="15" hidden="false" customHeight="false" outlineLevel="0" collapsed="false">
      <c r="A6714" s="7" t="s">
        <v>24</v>
      </c>
      <c r="B6714" s="7" t="s">
        <v>101</v>
      </c>
      <c r="C6714" s="7" t="s">
        <v>1121</v>
      </c>
      <c r="D6714" s="7" t="n">
        <v>0</v>
      </c>
      <c r="E6714" s="7" t="n">
        <v>0</v>
      </c>
      <c r="F6714" s="7" t="n">
        <v>1</v>
      </c>
      <c r="G6714" s="7" t="n">
        <v>143.98</v>
      </c>
    </row>
    <row r="6715" customFormat="false" ht="15" hidden="false" customHeight="false" outlineLevel="0" collapsed="false">
      <c r="A6715" s="7" t="s">
        <v>24</v>
      </c>
      <c r="B6715" s="7" t="s">
        <v>101</v>
      </c>
      <c r="C6715" s="7" t="s">
        <v>1121</v>
      </c>
      <c r="D6715" s="7" t="n">
        <v>0</v>
      </c>
      <c r="E6715" s="7" t="n">
        <v>0</v>
      </c>
      <c r="F6715" s="7" t="n">
        <v>1</v>
      </c>
      <c r="G6715" s="7" t="n">
        <v>143.99</v>
      </c>
    </row>
    <row r="6716" customFormat="false" ht="15" hidden="false" customHeight="false" outlineLevel="0" collapsed="false">
      <c r="A6716" s="7" t="s">
        <v>24</v>
      </c>
      <c r="B6716" s="7" t="s">
        <v>101</v>
      </c>
      <c r="C6716" s="7" t="s">
        <v>1121</v>
      </c>
      <c r="D6716" s="7" t="n">
        <v>0</v>
      </c>
      <c r="E6716" s="7" t="n">
        <v>0</v>
      </c>
      <c r="F6716" s="7" t="n">
        <v>1</v>
      </c>
      <c r="G6716" s="7" t="n">
        <v>143.98</v>
      </c>
    </row>
    <row r="6717" customFormat="false" ht="15" hidden="false" customHeight="false" outlineLevel="0" collapsed="false">
      <c r="A6717" s="7" t="s">
        <v>24</v>
      </c>
      <c r="B6717" s="7" t="s">
        <v>101</v>
      </c>
      <c r="C6717" s="7" t="s">
        <v>1121</v>
      </c>
      <c r="D6717" s="7" t="n">
        <v>0</v>
      </c>
      <c r="E6717" s="7" t="n">
        <v>0</v>
      </c>
      <c r="F6717" s="7" t="n">
        <v>1</v>
      </c>
      <c r="G6717" s="7" t="n">
        <v>115.19</v>
      </c>
    </row>
    <row r="6718" customFormat="false" ht="15" hidden="false" customHeight="false" outlineLevel="0" collapsed="false">
      <c r="A6718" s="7" t="s">
        <v>24</v>
      </c>
      <c r="B6718" s="7" t="s">
        <v>101</v>
      </c>
      <c r="C6718" s="7" t="s">
        <v>1121</v>
      </c>
      <c r="D6718" s="7" t="n">
        <v>0</v>
      </c>
      <c r="E6718" s="7" t="n">
        <v>0</v>
      </c>
      <c r="F6718" s="7" t="n">
        <v>1</v>
      </c>
      <c r="G6718" s="7" t="n">
        <v>122.39</v>
      </c>
    </row>
    <row r="6719" customFormat="false" ht="15" hidden="false" customHeight="false" outlineLevel="0" collapsed="false">
      <c r="A6719" s="7" t="s">
        <v>24</v>
      </c>
      <c r="B6719" s="7" t="s">
        <v>101</v>
      </c>
      <c r="C6719" s="7" t="s">
        <v>1121</v>
      </c>
      <c r="D6719" s="7" t="n">
        <v>0</v>
      </c>
      <c r="E6719" s="7" t="n">
        <v>0</v>
      </c>
      <c r="F6719" s="7" t="n">
        <v>1</v>
      </c>
      <c r="G6719" s="7" t="n">
        <v>129.59</v>
      </c>
    </row>
    <row r="6720" customFormat="false" ht="15" hidden="false" customHeight="false" outlineLevel="0" collapsed="false">
      <c r="A6720" s="7" t="s">
        <v>24</v>
      </c>
      <c r="B6720" s="7" t="s">
        <v>101</v>
      </c>
      <c r="C6720" s="7" t="s">
        <v>1121</v>
      </c>
      <c r="D6720" s="7" t="n">
        <v>0</v>
      </c>
      <c r="E6720" s="7" t="n">
        <v>0</v>
      </c>
      <c r="F6720" s="7" t="n">
        <v>1</v>
      </c>
      <c r="G6720" s="7" t="n">
        <v>143.98</v>
      </c>
    </row>
    <row r="6721" customFormat="false" ht="15" hidden="false" customHeight="false" outlineLevel="0" collapsed="false">
      <c r="A6721" s="7" t="s">
        <v>24</v>
      </c>
      <c r="B6721" s="7" t="s">
        <v>101</v>
      </c>
      <c r="C6721" s="7" t="s">
        <v>1121</v>
      </c>
      <c r="D6721" s="7" t="n">
        <v>0</v>
      </c>
      <c r="E6721" s="7" t="n">
        <v>0</v>
      </c>
      <c r="F6721" s="7" t="n">
        <v>1</v>
      </c>
      <c r="G6721" s="7" t="n">
        <v>115.19</v>
      </c>
    </row>
    <row r="6722" customFormat="false" ht="15" hidden="false" customHeight="false" outlineLevel="0" collapsed="false">
      <c r="A6722" s="7" t="s">
        <v>24</v>
      </c>
      <c r="B6722" s="7" t="s">
        <v>101</v>
      </c>
      <c r="C6722" s="7" t="s">
        <v>1121</v>
      </c>
      <c r="D6722" s="7" t="n">
        <v>0</v>
      </c>
      <c r="E6722" s="7" t="n">
        <v>0</v>
      </c>
      <c r="F6722" s="7" t="n">
        <v>1</v>
      </c>
      <c r="G6722" s="7" t="n">
        <v>143.99</v>
      </c>
    </row>
    <row r="6723" customFormat="false" ht="15" hidden="false" customHeight="false" outlineLevel="0" collapsed="false">
      <c r="A6723" s="7" t="s">
        <v>24</v>
      </c>
      <c r="B6723" s="7" t="s">
        <v>101</v>
      </c>
      <c r="C6723" s="7" t="s">
        <v>1121</v>
      </c>
      <c r="D6723" s="7" t="n">
        <v>0</v>
      </c>
      <c r="E6723" s="7" t="n">
        <v>0</v>
      </c>
      <c r="F6723" s="7" t="n">
        <v>1</v>
      </c>
      <c r="G6723" s="7" t="n">
        <v>129.58</v>
      </c>
    </row>
    <row r="6724" customFormat="false" ht="15" hidden="false" customHeight="false" outlineLevel="0" collapsed="false">
      <c r="A6724" s="7" t="s">
        <v>24</v>
      </c>
      <c r="B6724" s="7" t="s">
        <v>101</v>
      </c>
      <c r="C6724" s="7" t="s">
        <v>1121</v>
      </c>
      <c r="D6724" s="7" t="n">
        <v>0</v>
      </c>
      <c r="E6724" s="7" t="n">
        <v>0</v>
      </c>
      <c r="F6724" s="7" t="n">
        <v>3</v>
      </c>
      <c r="G6724" s="7" t="n">
        <v>403.17</v>
      </c>
    </row>
    <row r="6725" customFormat="false" ht="15" hidden="false" customHeight="false" outlineLevel="0" collapsed="false">
      <c r="A6725" s="7" t="s">
        <v>24</v>
      </c>
      <c r="B6725" s="7" t="s">
        <v>101</v>
      </c>
      <c r="C6725" s="7" t="s">
        <v>1121</v>
      </c>
      <c r="D6725" s="7" t="n">
        <v>0</v>
      </c>
      <c r="E6725" s="7" t="n">
        <v>0</v>
      </c>
      <c r="F6725" s="7" t="n">
        <v>3</v>
      </c>
      <c r="G6725" s="7" t="n">
        <v>359.97</v>
      </c>
    </row>
    <row r="6726" customFormat="false" ht="15" hidden="false" customHeight="false" outlineLevel="0" collapsed="false">
      <c r="A6726" s="7" t="s">
        <v>24</v>
      </c>
      <c r="B6726" s="7" t="s">
        <v>101</v>
      </c>
      <c r="C6726" s="7" t="s">
        <v>1121</v>
      </c>
      <c r="D6726" s="7" t="n">
        <v>0</v>
      </c>
      <c r="E6726" s="7" t="n">
        <v>0</v>
      </c>
      <c r="F6726" s="7" t="n">
        <v>2</v>
      </c>
      <c r="G6726" s="7" t="n">
        <v>230.37</v>
      </c>
    </row>
    <row r="6727" customFormat="false" ht="15" hidden="false" customHeight="false" outlineLevel="0" collapsed="false">
      <c r="A6727" s="7" t="s">
        <v>24</v>
      </c>
      <c r="B6727" s="7" t="s">
        <v>101</v>
      </c>
      <c r="C6727" s="7" t="s">
        <v>1121</v>
      </c>
      <c r="D6727" s="7" t="n">
        <v>0</v>
      </c>
      <c r="E6727" s="7" t="n">
        <v>0</v>
      </c>
      <c r="F6727" s="7" t="n">
        <v>1</v>
      </c>
      <c r="G6727" s="7" t="n">
        <v>115.19</v>
      </c>
    </row>
    <row r="6728" customFormat="false" ht="15" hidden="false" customHeight="false" outlineLevel="0" collapsed="false">
      <c r="A6728" s="7" t="s">
        <v>24</v>
      </c>
      <c r="B6728" s="7" t="s">
        <v>101</v>
      </c>
      <c r="C6728" s="7" t="s">
        <v>1121</v>
      </c>
      <c r="D6728" s="7" t="n">
        <v>0</v>
      </c>
      <c r="E6728" s="7" t="n">
        <v>0</v>
      </c>
      <c r="F6728" s="7" t="n">
        <v>2</v>
      </c>
      <c r="G6728" s="7" t="n">
        <v>244.78</v>
      </c>
    </row>
    <row r="6729" customFormat="false" ht="15" hidden="false" customHeight="false" outlineLevel="0" collapsed="false">
      <c r="A6729" s="7" t="s">
        <v>24</v>
      </c>
      <c r="B6729" s="7" t="s">
        <v>101</v>
      </c>
      <c r="C6729" s="7" t="s">
        <v>1121</v>
      </c>
      <c r="D6729" s="7" t="n">
        <v>0</v>
      </c>
      <c r="E6729" s="7" t="n">
        <v>0</v>
      </c>
      <c r="F6729" s="7" t="n">
        <v>1</v>
      </c>
      <c r="G6729" s="7" t="n">
        <v>129.59</v>
      </c>
    </row>
    <row r="6730" customFormat="false" ht="15" hidden="false" customHeight="false" outlineLevel="0" collapsed="false">
      <c r="A6730" s="7" t="s">
        <v>24</v>
      </c>
      <c r="B6730" s="7" t="s">
        <v>101</v>
      </c>
      <c r="C6730" s="7" t="s">
        <v>1121</v>
      </c>
      <c r="D6730" s="7" t="n">
        <v>0</v>
      </c>
      <c r="E6730" s="7" t="n">
        <v>0</v>
      </c>
      <c r="F6730" s="7" t="n">
        <v>2</v>
      </c>
      <c r="G6730" s="7" t="n">
        <v>287.97</v>
      </c>
    </row>
    <row r="6731" customFormat="false" ht="15" hidden="false" customHeight="false" outlineLevel="0" collapsed="false">
      <c r="A6731" s="7" t="s">
        <v>24</v>
      </c>
      <c r="B6731" s="7" t="s">
        <v>101</v>
      </c>
      <c r="C6731" s="7" t="s">
        <v>1121</v>
      </c>
      <c r="D6731" s="7" t="n">
        <v>0</v>
      </c>
      <c r="E6731" s="7" t="n">
        <v>0</v>
      </c>
      <c r="F6731" s="7" t="n">
        <v>1</v>
      </c>
      <c r="G6731" s="7" t="n">
        <v>115.19</v>
      </c>
    </row>
    <row r="6732" customFormat="false" ht="15" hidden="false" customHeight="false" outlineLevel="0" collapsed="false">
      <c r="A6732" s="7" t="s">
        <v>24</v>
      </c>
      <c r="B6732" s="7" t="s">
        <v>101</v>
      </c>
      <c r="C6732" s="7" t="s">
        <v>1121</v>
      </c>
      <c r="D6732" s="7" t="n">
        <v>0</v>
      </c>
      <c r="E6732" s="7" t="n">
        <v>0</v>
      </c>
      <c r="F6732" s="7" t="n">
        <v>1</v>
      </c>
      <c r="G6732" s="7" t="n">
        <v>131.04</v>
      </c>
    </row>
    <row r="6733" customFormat="false" ht="15" hidden="false" customHeight="false" outlineLevel="0" collapsed="false">
      <c r="A6733" s="7" t="s">
        <v>24</v>
      </c>
      <c r="B6733" s="7" t="s">
        <v>101</v>
      </c>
      <c r="C6733" s="7" t="s">
        <v>1121</v>
      </c>
      <c r="D6733" s="7" t="n">
        <v>0</v>
      </c>
      <c r="E6733" s="7" t="n">
        <v>0</v>
      </c>
      <c r="F6733" s="7" t="n">
        <v>1</v>
      </c>
      <c r="G6733" s="7" t="n">
        <v>143.98</v>
      </c>
    </row>
    <row r="6734" customFormat="false" ht="15" hidden="false" customHeight="false" outlineLevel="0" collapsed="false">
      <c r="A6734" s="7" t="s">
        <v>24</v>
      </c>
      <c r="B6734" s="7" t="s">
        <v>101</v>
      </c>
      <c r="C6734" s="7" t="s">
        <v>1121</v>
      </c>
      <c r="D6734" s="7" t="n">
        <v>0</v>
      </c>
      <c r="E6734" s="7" t="n">
        <v>0</v>
      </c>
      <c r="F6734" s="7" t="n">
        <v>1</v>
      </c>
      <c r="G6734" s="7" t="n">
        <v>115.19</v>
      </c>
    </row>
    <row r="6735" customFormat="false" ht="15" hidden="false" customHeight="false" outlineLevel="0" collapsed="false">
      <c r="A6735" s="7" t="s">
        <v>24</v>
      </c>
      <c r="B6735" s="7" t="s">
        <v>101</v>
      </c>
      <c r="C6735" s="7" t="s">
        <v>1121</v>
      </c>
      <c r="D6735" s="7" t="n">
        <v>0</v>
      </c>
      <c r="E6735" s="7" t="n">
        <v>0</v>
      </c>
      <c r="F6735" s="7" t="n">
        <v>4</v>
      </c>
      <c r="G6735" s="7" t="n">
        <v>503.96</v>
      </c>
    </row>
    <row r="6736" customFormat="false" ht="15" hidden="false" customHeight="false" outlineLevel="0" collapsed="false">
      <c r="A6736" s="7" t="s">
        <v>24</v>
      </c>
      <c r="B6736" s="7" t="s">
        <v>101</v>
      </c>
      <c r="C6736" s="7" t="s">
        <v>1121</v>
      </c>
      <c r="D6736" s="7" t="n">
        <v>0</v>
      </c>
      <c r="E6736" s="7" t="n">
        <v>0</v>
      </c>
      <c r="F6736" s="7" t="n">
        <v>1</v>
      </c>
      <c r="G6736" s="7" t="n">
        <v>122.39</v>
      </c>
    </row>
    <row r="6737" customFormat="false" ht="15" hidden="false" customHeight="false" outlineLevel="0" collapsed="false">
      <c r="A6737" s="7" t="s">
        <v>24</v>
      </c>
      <c r="B6737" s="7" t="s">
        <v>101</v>
      </c>
      <c r="C6737" s="7" t="s">
        <v>1121</v>
      </c>
      <c r="D6737" s="7" t="n">
        <v>0</v>
      </c>
      <c r="E6737" s="7" t="n">
        <v>0</v>
      </c>
      <c r="F6737" s="7" t="n">
        <v>2</v>
      </c>
      <c r="G6737" s="7" t="n">
        <v>244.78</v>
      </c>
    </row>
    <row r="6738" customFormat="false" ht="15" hidden="false" customHeight="false" outlineLevel="0" collapsed="false">
      <c r="A6738" s="7" t="s">
        <v>24</v>
      </c>
      <c r="B6738" s="7" t="s">
        <v>101</v>
      </c>
      <c r="C6738" s="7" t="s">
        <v>1121</v>
      </c>
      <c r="D6738" s="7" t="n">
        <v>0</v>
      </c>
      <c r="E6738" s="7" t="n">
        <v>0</v>
      </c>
      <c r="F6738" s="7" t="n">
        <v>1</v>
      </c>
      <c r="G6738" s="7" t="n">
        <v>129.59</v>
      </c>
    </row>
    <row r="6739" customFormat="false" ht="15" hidden="false" customHeight="false" outlineLevel="0" collapsed="false">
      <c r="A6739" s="7" t="s">
        <v>24</v>
      </c>
      <c r="B6739" s="7" t="s">
        <v>101</v>
      </c>
      <c r="C6739" s="7" t="s">
        <v>1121</v>
      </c>
      <c r="D6739" s="7" t="n">
        <v>0</v>
      </c>
      <c r="E6739" s="7" t="n">
        <v>0</v>
      </c>
      <c r="F6739" s="7" t="n">
        <v>1</v>
      </c>
      <c r="G6739" s="7" t="n">
        <v>143.99</v>
      </c>
    </row>
    <row r="6740" customFormat="false" ht="15" hidden="false" customHeight="false" outlineLevel="0" collapsed="false">
      <c r="A6740" s="7" t="s">
        <v>24</v>
      </c>
      <c r="B6740" s="7" t="s">
        <v>101</v>
      </c>
      <c r="C6740" s="7" t="s">
        <v>1121</v>
      </c>
      <c r="D6740" s="7" t="n">
        <v>0</v>
      </c>
      <c r="E6740" s="7" t="n">
        <v>0</v>
      </c>
      <c r="F6740" s="7" t="n">
        <v>1</v>
      </c>
      <c r="G6740" s="7" t="n">
        <v>143.99</v>
      </c>
    </row>
    <row r="6741" customFormat="false" ht="15" hidden="false" customHeight="false" outlineLevel="0" collapsed="false">
      <c r="A6741" s="7" t="s">
        <v>24</v>
      </c>
      <c r="B6741" s="7" t="s">
        <v>101</v>
      </c>
      <c r="C6741" s="7" t="s">
        <v>1121</v>
      </c>
      <c r="D6741" s="7" t="n">
        <v>0</v>
      </c>
      <c r="E6741" s="7" t="n">
        <v>0</v>
      </c>
      <c r="F6741" s="7" t="n">
        <v>4</v>
      </c>
      <c r="G6741" s="7" t="n">
        <v>547.12</v>
      </c>
    </row>
    <row r="6742" customFormat="false" ht="15" hidden="false" customHeight="false" outlineLevel="0" collapsed="false">
      <c r="A6742" s="7" t="s">
        <v>24</v>
      </c>
      <c r="B6742" s="7" t="s">
        <v>101</v>
      </c>
      <c r="C6742" s="7" t="s">
        <v>1121</v>
      </c>
      <c r="D6742" s="7" t="n">
        <v>0</v>
      </c>
      <c r="E6742" s="7" t="n">
        <v>0</v>
      </c>
      <c r="F6742" s="7" t="n">
        <v>52</v>
      </c>
      <c r="G6742" s="7" t="n">
        <v>6983.48</v>
      </c>
    </row>
    <row r="6743" customFormat="false" ht="15" hidden="false" customHeight="false" outlineLevel="0" collapsed="false">
      <c r="A6743" s="7" t="s">
        <v>24</v>
      </c>
      <c r="B6743" s="7" t="s">
        <v>101</v>
      </c>
      <c r="C6743" s="7" t="s">
        <v>1121</v>
      </c>
      <c r="D6743" s="7" t="n">
        <v>0</v>
      </c>
      <c r="E6743" s="7" t="n">
        <v>0</v>
      </c>
      <c r="F6743" s="7" t="n">
        <v>1</v>
      </c>
      <c r="G6743" s="7" t="n">
        <v>143.98</v>
      </c>
    </row>
    <row r="6744" customFormat="false" ht="15" hidden="false" customHeight="false" outlineLevel="0" collapsed="false">
      <c r="A6744" s="7" t="s">
        <v>24</v>
      </c>
      <c r="B6744" s="7" t="s">
        <v>101</v>
      </c>
      <c r="C6744" s="7" t="s">
        <v>1121</v>
      </c>
      <c r="D6744" s="7" t="n">
        <v>0</v>
      </c>
      <c r="E6744" s="7" t="n">
        <v>0</v>
      </c>
      <c r="F6744" s="7" t="n">
        <v>2</v>
      </c>
      <c r="G6744" s="7" t="n">
        <v>259.17</v>
      </c>
    </row>
    <row r="6745" customFormat="false" ht="15" hidden="false" customHeight="false" outlineLevel="0" collapsed="false">
      <c r="A6745" s="7" t="s">
        <v>24</v>
      </c>
      <c r="B6745" s="7" t="s">
        <v>101</v>
      </c>
      <c r="C6745" s="7" t="s">
        <v>1121</v>
      </c>
      <c r="D6745" s="7" t="n">
        <v>0</v>
      </c>
      <c r="E6745" s="7" t="n">
        <v>0</v>
      </c>
      <c r="F6745" s="7" t="n">
        <v>2</v>
      </c>
      <c r="G6745" s="7" t="n">
        <v>254.15</v>
      </c>
    </row>
    <row r="6746" customFormat="false" ht="15" hidden="false" customHeight="false" outlineLevel="0" collapsed="false">
      <c r="A6746" s="7" t="s">
        <v>24</v>
      </c>
      <c r="B6746" s="7" t="s">
        <v>101</v>
      </c>
      <c r="C6746" s="7" t="s">
        <v>1121</v>
      </c>
      <c r="D6746" s="7" t="n">
        <v>0</v>
      </c>
      <c r="E6746" s="7" t="n">
        <v>0</v>
      </c>
      <c r="F6746" s="7" t="n">
        <v>1</v>
      </c>
      <c r="G6746" s="7" t="n">
        <v>143.99</v>
      </c>
    </row>
    <row r="6747" customFormat="false" ht="15" hidden="false" customHeight="false" outlineLevel="0" collapsed="false">
      <c r="A6747" s="7" t="s">
        <v>24</v>
      </c>
      <c r="B6747" s="7" t="s">
        <v>101</v>
      </c>
      <c r="C6747" s="7" t="s">
        <v>1121</v>
      </c>
      <c r="D6747" s="7" t="n">
        <v>0</v>
      </c>
      <c r="E6747" s="7" t="n">
        <v>0</v>
      </c>
      <c r="F6747" s="7" t="n">
        <v>2</v>
      </c>
      <c r="G6747" s="7" t="n">
        <v>259.16</v>
      </c>
    </row>
    <row r="6748" customFormat="false" ht="15" hidden="false" customHeight="false" outlineLevel="0" collapsed="false">
      <c r="A6748" s="7" t="s">
        <v>24</v>
      </c>
      <c r="B6748" s="7" t="s">
        <v>101</v>
      </c>
      <c r="C6748" s="7" t="s">
        <v>1121</v>
      </c>
      <c r="D6748" s="7" t="n">
        <v>0</v>
      </c>
      <c r="E6748" s="7" t="n">
        <v>0</v>
      </c>
      <c r="F6748" s="7" t="n">
        <v>1</v>
      </c>
      <c r="G6748" s="7" t="n">
        <v>115.19</v>
      </c>
    </row>
    <row r="6749" customFormat="false" ht="15" hidden="false" customHeight="false" outlineLevel="0" collapsed="false">
      <c r="A6749" s="7" t="s">
        <v>24</v>
      </c>
      <c r="B6749" s="7" t="s">
        <v>101</v>
      </c>
      <c r="C6749" s="7" t="s">
        <v>1121</v>
      </c>
      <c r="D6749" s="7" t="n">
        <v>0</v>
      </c>
      <c r="E6749" s="7" t="n">
        <v>0</v>
      </c>
      <c r="F6749" s="7" t="n">
        <v>1</v>
      </c>
      <c r="G6749" s="7" t="n">
        <v>129.58</v>
      </c>
    </row>
    <row r="6750" customFormat="false" ht="15" hidden="false" customHeight="false" outlineLevel="0" collapsed="false">
      <c r="A6750" s="7" t="s">
        <v>24</v>
      </c>
      <c r="B6750" s="7" t="s">
        <v>101</v>
      </c>
      <c r="C6750" s="7" t="s">
        <v>1121</v>
      </c>
      <c r="D6750" s="7" t="n">
        <v>0</v>
      </c>
      <c r="E6750" s="7" t="n">
        <v>0</v>
      </c>
      <c r="F6750" s="7" t="n">
        <v>1</v>
      </c>
      <c r="G6750" s="7" t="n">
        <v>122.39</v>
      </c>
    </row>
    <row r="6751" customFormat="false" ht="15" hidden="false" customHeight="false" outlineLevel="0" collapsed="false">
      <c r="A6751" s="7" t="s">
        <v>24</v>
      </c>
      <c r="B6751" s="7" t="s">
        <v>101</v>
      </c>
      <c r="C6751" s="7" t="s">
        <v>1121</v>
      </c>
      <c r="D6751" s="7" t="n">
        <v>0</v>
      </c>
      <c r="E6751" s="7" t="n">
        <v>0</v>
      </c>
      <c r="F6751" s="7" t="n">
        <v>5</v>
      </c>
      <c r="G6751" s="7" t="n">
        <v>676.75</v>
      </c>
    </row>
    <row r="6752" customFormat="false" ht="15" hidden="false" customHeight="false" outlineLevel="0" collapsed="false">
      <c r="A6752" s="7" t="s">
        <v>24</v>
      </c>
      <c r="B6752" s="7" t="s">
        <v>101</v>
      </c>
      <c r="C6752" s="7" t="s">
        <v>1121</v>
      </c>
      <c r="D6752" s="7" t="n">
        <v>0</v>
      </c>
      <c r="E6752" s="7" t="n">
        <v>0</v>
      </c>
      <c r="F6752" s="7" t="n">
        <v>1</v>
      </c>
      <c r="G6752" s="7" t="n">
        <v>143.98</v>
      </c>
    </row>
    <row r="6753" customFormat="false" ht="15" hidden="false" customHeight="false" outlineLevel="0" collapsed="false">
      <c r="A6753" s="7" t="s">
        <v>24</v>
      </c>
      <c r="B6753" s="7" t="s">
        <v>101</v>
      </c>
      <c r="C6753" s="7" t="s">
        <v>1121</v>
      </c>
      <c r="D6753" s="7" t="n">
        <v>0</v>
      </c>
      <c r="E6753" s="7" t="n">
        <v>0</v>
      </c>
      <c r="F6753" s="7" t="n">
        <v>3</v>
      </c>
      <c r="G6753" s="7" t="n">
        <v>417.57</v>
      </c>
    </row>
    <row r="6754" customFormat="false" ht="15" hidden="false" customHeight="false" outlineLevel="0" collapsed="false">
      <c r="A6754" s="7" t="s">
        <v>24</v>
      </c>
      <c r="B6754" s="7" t="s">
        <v>101</v>
      </c>
      <c r="C6754" s="7" t="s">
        <v>1121</v>
      </c>
      <c r="D6754" s="7" t="n">
        <v>0</v>
      </c>
      <c r="E6754" s="7" t="n">
        <v>0</v>
      </c>
      <c r="F6754" s="7" t="n">
        <v>1</v>
      </c>
      <c r="G6754" s="7" t="n">
        <v>129.59</v>
      </c>
    </row>
    <row r="6755" customFormat="false" ht="15" hidden="false" customHeight="false" outlineLevel="0" collapsed="false">
      <c r="A6755" s="7" t="s">
        <v>24</v>
      </c>
      <c r="B6755" s="7" t="s">
        <v>101</v>
      </c>
      <c r="C6755" s="7" t="s">
        <v>1121</v>
      </c>
      <c r="D6755" s="7" t="n">
        <v>0</v>
      </c>
      <c r="E6755" s="7" t="n">
        <v>0</v>
      </c>
      <c r="F6755" s="7" t="n">
        <v>1</v>
      </c>
      <c r="G6755" s="7" t="n">
        <v>143.98</v>
      </c>
    </row>
    <row r="6756" customFormat="false" ht="15" hidden="false" customHeight="false" outlineLevel="0" collapsed="false">
      <c r="A6756" s="7" t="s">
        <v>24</v>
      </c>
      <c r="B6756" s="7" t="s">
        <v>101</v>
      </c>
      <c r="C6756" s="7" t="s">
        <v>1121</v>
      </c>
      <c r="D6756" s="7" t="n">
        <v>0</v>
      </c>
      <c r="E6756" s="7" t="n">
        <v>0</v>
      </c>
      <c r="F6756" s="7" t="n">
        <v>1</v>
      </c>
      <c r="G6756" s="7" t="n">
        <v>129.59</v>
      </c>
    </row>
    <row r="6757" customFormat="false" ht="15" hidden="false" customHeight="false" outlineLevel="0" collapsed="false">
      <c r="A6757" s="7" t="s">
        <v>24</v>
      </c>
      <c r="B6757" s="7" t="s">
        <v>101</v>
      </c>
      <c r="C6757" s="7" t="s">
        <v>1121</v>
      </c>
      <c r="D6757" s="7" t="n">
        <v>0</v>
      </c>
      <c r="E6757" s="7" t="n">
        <v>0</v>
      </c>
      <c r="F6757" s="7" t="n">
        <v>1</v>
      </c>
      <c r="G6757" s="7" t="n">
        <v>129.59</v>
      </c>
    </row>
    <row r="6758" customFormat="false" ht="15" hidden="false" customHeight="false" outlineLevel="0" collapsed="false">
      <c r="A6758" s="7" t="s">
        <v>24</v>
      </c>
      <c r="B6758" s="7" t="s">
        <v>101</v>
      </c>
      <c r="C6758" s="7" t="s">
        <v>1121</v>
      </c>
      <c r="D6758" s="7" t="n">
        <v>0</v>
      </c>
      <c r="E6758" s="7" t="n">
        <v>0</v>
      </c>
      <c r="F6758" s="7" t="n">
        <v>1</v>
      </c>
      <c r="G6758" s="7" t="n">
        <v>143.99</v>
      </c>
    </row>
    <row r="6759" customFormat="false" ht="15" hidden="false" customHeight="false" outlineLevel="0" collapsed="false">
      <c r="A6759" s="7" t="s">
        <v>24</v>
      </c>
      <c r="B6759" s="7" t="s">
        <v>101</v>
      </c>
      <c r="C6759" s="7" t="s">
        <v>1121</v>
      </c>
      <c r="D6759" s="7" t="n">
        <v>0</v>
      </c>
      <c r="E6759" s="7" t="n">
        <v>0</v>
      </c>
      <c r="F6759" s="7" t="n">
        <v>1</v>
      </c>
      <c r="G6759" s="7" t="n">
        <v>129.59</v>
      </c>
    </row>
    <row r="6760" customFormat="false" ht="15" hidden="false" customHeight="false" outlineLevel="0" collapsed="false">
      <c r="A6760" s="7" t="s">
        <v>24</v>
      </c>
      <c r="B6760" s="7" t="s">
        <v>101</v>
      </c>
      <c r="C6760" s="7" t="s">
        <v>1121</v>
      </c>
      <c r="D6760" s="7" t="n">
        <v>0</v>
      </c>
      <c r="E6760" s="7" t="n">
        <v>0</v>
      </c>
      <c r="F6760" s="7" t="n">
        <v>1</v>
      </c>
      <c r="G6760" s="7" t="n">
        <v>143.98</v>
      </c>
    </row>
    <row r="6761" customFormat="false" ht="15" hidden="false" customHeight="false" outlineLevel="0" collapsed="false">
      <c r="A6761" s="7" t="s">
        <v>24</v>
      </c>
      <c r="B6761" s="7" t="s">
        <v>101</v>
      </c>
      <c r="C6761" s="7" t="s">
        <v>1121</v>
      </c>
      <c r="D6761" s="7" t="n">
        <v>0</v>
      </c>
      <c r="E6761" s="7" t="n">
        <v>0</v>
      </c>
      <c r="F6761" s="7" t="n">
        <v>1</v>
      </c>
      <c r="G6761" s="7" t="n">
        <v>143.99</v>
      </c>
    </row>
    <row r="6762" customFormat="false" ht="15" hidden="false" customHeight="false" outlineLevel="0" collapsed="false">
      <c r="A6762" s="7" t="s">
        <v>24</v>
      </c>
      <c r="B6762" s="7" t="s">
        <v>101</v>
      </c>
      <c r="C6762" s="7" t="s">
        <v>1121</v>
      </c>
      <c r="D6762" s="7" t="n">
        <v>0</v>
      </c>
      <c r="E6762" s="7" t="n">
        <v>0</v>
      </c>
      <c r="F6762" s="7" t="n">
        <v>1</v>
      </c>
      <c r="G6762" s="7" t="n">
        <v>143.98</v>
      </c>
    </row>
    <row r="6763" customFormat="false" ht="15" hidden="false" customHeight="false" outlineLevel="0" collapsed="false">
      <c r="A6763" s="7" t="s">
        <v>24</v>
      </c>
      <c r="B6763" s="7" t="s">
        <v>101</v>
      </c>
      <c r="C6763" s="7" t="s">
        <v>1121</v>
      </c>
      <c r="D6763" s="7" t="n">
        <v>0</v>
      </c>
      <c r="E6763" s="7" t="n">
        <v>0</v>
      </c>
      <c r="F6763" s="7" t="n">
        <v>2</v>
      </c>
      <c r="G6763" s="7" t="n">
        <v>287.98</v>
      </c>
    </row>
    <row r="6764" customFormat="false" ht="15" hidden="false" customHeight="false" outlineLevel="0" collapsed="false">
      <c r="A6764" s="7" t="s">
        <v>24</v>
      </c>
      <c r="B6764" s="7" t="s">
        <v>101</v>
      </c>
      <c r="C6764" s="7" t="s">
        <v>1121</v>
      </c>
      <c r="D6764" s="7" t="n">
        <v>0</v>
      </c>
      <c r="E6764" s="7" t="n">
        <v>0</v>
      </c>
      <c r="F6764" s="7" t="n">
        <v>1</v>
      </c>
      <c r="G6764" s="7" t="n">
        <v>143.98</v>
      </c>
    </row>
    <row r="6765" customFormat="false" ht="15" hidden="false" customHeight="false" outlineLevel="0" collapsed="false">
      <c r="A6765" s="7" t="s">
        <v>24</v>
      </c>
      <c r="B6765" s="7" t="s">
        <v>101</v>
      </c>
      <c r="C6765" s="7" t="s">
        <v>1121</v>
      </c>
      <c r="D6765" s="7" t="n">
        <v>0</v>
      </c>
      <c r="E6765" s="7" t="n">
        <v>0</v>
      </c>
      <c r="F6765" s="7" t="n">
        <v>1</v>
      </c>
      <c r="G6765" s="7" t="n">
        <v>143.99</v>
      </c>
    </row>
    <row r="6766" customFormat="false" ht="15" hidden="false" customHeight="false" outlineLevel="0" collapsed="false">
      <c r="A6766" s="7" t="s">
        <v>24</v>
      </c>
      <c r="B6766" s="7" t="s">
        <v>101</v>
      </c>
      <c r="C6766" s="7" t="s">
        <v>1121</v>
      </c>
      <c r="D6766" s="7" t="n">
        <v>0</v>
      </c>
      <c r="E6766" s="7" t="n">
        <v>0</v>
      </c>
      <c r="F6766" s="7" t="n">
        <v>6</v>
      </c>
      <c r="G6766" s="7" t="n">
        <v>791.92</v>
      </c>
    </row>
    <row r="6767" customFormat="false" ht="15" hidden="false" customHeight="false" outlineLevel="0" collapsed="false">
      <c r="A6767" s="7" t="s">
        <v>24</v>
      </c>
      <c r="B6767" s="7" t="s">
        <v>101</v>
      </c>
      <c r="C6767" s="7" t="s">
        <v>1121</v>
      </c>
      <c r="D6767" s="7" t="n">
        <v>0</v>
      </c>
      <c r="E6767" s="7" t="n">
        <v>0</v>
      </c>
      <c r="F6767" s="7" t="n">
        <v>1</v>
      </c>
      <c r="G6767" s="7" t="n">
        <v>143.99</v>
      </c>
    </row>
    <row r="6768" customFormat="false" ht="15" hidden="false" customHeight="false" outlineLevel="0" collapsed="false">
      <c r="A6768" s="7" t="s">
        <v>24</v>
      </c>
      <c r="B6768" s="7" t="s">
        <v>101</v>
      </c>
      <c r="C6768" s="7" t="s">
        <v>1121</v>
      </c>
      <c r="D6768" s="7" t="n">
        <v>0</v>
      </c>
      <c r="E6768" s="7" t="n">
        <v>0</v>
      </c>
      <c r="F6768" s="7" t="n">
        <v>1</v>
      </c>
      <c r="G6768" s="7" t="n">
        <v>143.98</v>
      </c>
    </row>
    <row r="6769" customFormat="false" ht="15" hidden="false" customHeight="false" outlineLevel="0" collapsed="false">
      <c r="A6769" s="7" t="s">
        <v>24</v>
      </c>
      <c r="B6769" s="7" t="s">
        <v>101</v>
      </c>
      <c r="C6769" s="7" t="s">
        <v>1121</v>
      </c>
      <c r="D6769" s="7" t="n">
        <v>0</v>
      </c>
      <c r="E6769" s="7" t="n">
        <v>0</v>
      </c>
      <c r="F6769" s="7" t="n">
        <v>1</v>
      </c>
      <c r="G6769" s="7" t="n">
        <v>143.99</v>
      </c>
    </row>
    <row r="6770" customFormat="false" ht="15" hidden="false" customHeight="false" outlineLevel="0" collapsed="false">
      <c r="A6770" s="7" t="s">
        <v>24</v>
      </c>
      <c r="B6770" s="7" t="s">
        <v>101</v>
      </c>
      <c r="C6770" s="7" t="s">
        <v>1121</v>
      </c>
      <c r="D6770" s="7" t="n">
        <v>0</v>
      </c>
      <c r="E6770" s="7" t="n">
        <v>0</v>
      </c>
      <c r="F6770" s="7" t="n">
        <v>1</v>
      </c>
      <c r="G6770" s="7" t="n">
        <v>115.19</v>
      </c>
    </row>
    <row r="6771" customFormat="false" ht="15" hidden="false" customHeight="false" outlineLevel="0" collapsed="false">
      <c r="A6771" s="7" t="s">
        <v>24</v>
      </c>
      <c r="B6771" s="7" t="s">
        <v>101</v>
      </c>
      <c r="C6771" s="7" t="s">
        <v>1121</v>
      </c>
      <c r="D6771" s="7" t="n">
        <v>0</v>
      </c>
      <c r="E6771" s="7" t="n">
        <v>0</v>
      </c>
      <c r="F6771" s="7" t="n">
        <v>1</v>
      </c>
      <c r="G6771" s="7" t="n">
        <v>143.99</v>
      </c>
    </row>
    <row r="6772" customFormat="false" ht="15" hidden="false" customHeight="false" outlineLevel="0" collapsed="false">
      <c r="A6772" s="7" t="s">
        <v>24</v>
      </c>
      <c r="B6772" s="7" t="s">
        <v>101</v>
      </c>
      <c r="C6772" s="7" t="s">
        <v>1121</v>
      </c>
      <c r="D6772" s="7" t="n">
        <v>0</v>
      </c>
      <c r="E6772" s="7" t="n">
        <v>0</v>
      </c>
      <c r="F6772" s="7" t="n">
        <v>1</v>
      </c>
      <c r="G6772" s="7" t="n">
        <v>143.98</v>
      </c>
    </row>
    <row r="6773" customFormat="false" ht="15" hidden="false" customHeight="false" outlineLevel="0" collapsed="false">
      <c r="A6773" s="7" t="s">
        <v>24</v>
      </c>
      <c r="B6773" s="7" t="s">
        <v>101</v>
      </c>
      <c r="C6773" s="7" t="s">
        <v>1121</v>
      </c>
      <c r="D6773" s="7" t="n">
        <v>0</v>
      </c>
      <c r="E6773" s="7" t="n">
        <v>0</v>
      </c>
      <c r="F6773" s="7" t="n">
        <v>1</v>
      </c>
      <c r="G6773" s="7" t="n">
        <v>129.59</v>
      </c>
    </row>
    <row r="6774" customFormat="false" ht="15" hidden="false" customHeight="false" outlineLevel="0" collapsed="false">
      <c r="A6774" s="7" t="s">
        <v>24</v>
      </c>
      <c r="B6774" s="7" t="s">
        <v>101</v>
      </c>
      <c r="C6774" s="7" t="s">
        <v>1121</v>
      </c>
      <c r="D6774" s="7" t="n">
        <v>0</v>
      </c>
      <c r="E6774" s="7" t="n">
        <v>0</v>
      </c>
      <c r="F6774" s="7" t="n">
        <v>1</v>
      </c>
      <c r="G6774" s="7" t="n">
        <v>143.98</v>
      </c>
    </row>
    <row r="6775" customFormat="false" ht="15" hidden="false" customHeight="false" outlineLevel="0" collapsed="false">
      <c r="A6775" s="7" t="s">
        <v>24</v>
      </c>
      <c r="B6775" s="7" t="s">
        <v>101</v>
      </c>
      <c r="C6775" s="7" t="s">
        <v>1121</v>
      </c>
      <c r="D6775" s="7" t="n">
        <v>0</v>
      </c>
      <c r="E6775" s="7" t="n">
        <v>0</v>
      </c>
      <c r="F6775" s="7" t="n">
        <v>1</v>
      </c>
      <c r="G6775" s="7" t="n">
        <v>0</v>
      </c>
    </row>
    <row r="6776" customFormat="false" ht="15" hidden="false" customHeight="false" outlineLevel="0" collapsed="false">
      <c r="A6776" s="7" t="s">
        <v>24</v>
      </c>
      <c r="B6776" s="7" t="s">
        <v>101</v>
      </c>
      <c r="C6776" s="7" t="s">
        <v>1121</v>
      </c>
      <c r="D6776" s="7" t="n">
        <v>5</v>
      </c>
      <c r="E6776" s="7" t="n">
        <v>529.2</v>
      </c>
      <c r="F6776" s="7" t="n">
        <v>0</v>
      </c>
      <c r="G6776" s="7" t="n">
        <v>0</v>
      </c>
    </row>
    <row r="6777" customFormat="false" ht="15" hidden="false" customHeight="false" outlineLevel="0" collapsed="false">
      <c r="A6777" s="7" t="s">
        <v>24</v>
      </c>
      <c r="B6777" s="7" t="s">
        <v>101</v>
      </c>
      <c r="C6777" s="7" t="s">
        <v>1121</v>
      </c>
      <c r="D6777" s="7" t="n">
        <v>0</v>
      </c>
      <c r="E6777" s="7" t="n">
        <v>0</v>
      </c>
      <c r="F6777" s="7" t="n">
        <v>4</v>
      </c>
      <c r="G6777" s="7" t="n">
        <v>518.36</v>
      </c>
    </row>
    <row r="6778" customFormat="false" ht="15" hidden="false" customHeight="false" outlineLevel="0" collapsed="false">
      <c r="A6778" s="7" t="s">
        <v>24</v>
      </c>
      <c r="B6778" s="7" t="s">
        <v>101</v>
      </c>
      <c r="C6778" s="7" t="s">
        <v>1121</v>
      </c>
      <c r="D6778" s="7" t="n">
        <v>0</v>
      </c>
      <c r="E6778" s="7" t="n">
        <v>0</v>
      </c>
      <c r="F6778" s="7" t="n">
        <v>3</v>
      </c>
      <c r="G6778" s="7" t="n">
        <v>359.97</v>
      </c>
    </row>
    <row r="6779" customFormat="false" ht="15" hidden="false" customHeight="false" outlineLevel="0" collapsed="false">
      <c r="A6779" s="7" t="s">
        <v>24</v>
      </c>
      <c r="B6779" s="7" t="s">
        <v>101</v>
      </c>
      <c r="C6779" s="7" t="s">
        <v>1121</v>
      </c>
      <c r="D6779" s="7" t="n">
        <v>0</v>
      </c>
      <c r="E6779" s="7" t="n">
        <v>0</v>
      </c>
      <c r="F6779" s="7" t="n">
        <v>1</v>
      </c>
      <c r="G6779" s="7" t="n">
        <v>143.99</v>
      </c>
    </row>
    <row r="6780" customFormat="false" ht="15" hidden="false" customHeight="false" outlineLevel="0" collapsed="false">
      <c r="A6780" s="7" t="s">
        <v>24</v>
      </c>
      <c r="B6780" s="7" t="s">
        <v>101</v>
      </c>
      <c r="C6780" s="7" t="s">
        <v>1121</v>
      </c>
      <c r="D6780" s="7" t="n">
        <v>0</v>
      </c>
      <c r="E6780" s="7" t="n">
        <v>0</v>
      </c>
      <c r="F6780" s="7" t="n">
        <v>49</v>
      </c>
      <c r="G6780" s="7" t="n">
        <v>6697.28</v>
      </c>
    </row>
    <row r="6781" customFormat="false" ht="15" hidden="false" customHeight="false" outlineLevel="0" collapsed="false">
      <c r="A6781" s="7" t="s">
        <v>24</v>
      </c>
      <c r="B6781" s="7" t="s">
        <v>101</v>
      </c>
      <c r="C6781" s="7" t="s">
        <v>1121</v>
      </c>
      <c r="D6781" s="7" t="n">
        <v>0</v>
      </c>
      <c r="E6781" s="7" t="n">
        <v>0</v>
      </c>
      <c r="F6781" s="7" t="n">
        <v>1</v>
      </c>
      <c r="G6781" s="7" t="n">
        <v>143.98</v>
      </c>
    </row>
    <row r="6782" customFormat="false" ht="15" hidden="false" customHeight="false" outlineLevel="0" collapsed="false">
      <c r="A6782" s="7" t="s">
        <v>24</v>
      </c>
      <c r="B6782" s="7" t="s">
        <v>101</v>
      </c>
      <c r="C6782" s="7" t="s">
        <v>1121</v>
      </c>
      <c r="D6782" s="7" t="n">
        <v>0</v>
      </c>
      <c r="E6782" s="7" t="n">
        <v>0</v>
      </c>
      <c r="F6782" s="7" t="n">
        <v>1</v>
      </c>
      <c r="G6782" s="7" t="n">
        <v>143.99</v>
      </c>
    </row>
    <row r="6783" customFormat="false" ht="15" hidden="false" customHeight="false" outlineLevel="0" collapsed="false">
      <c r="A6783" s="7" t="s">
        <v>24</v>
      </c>
      <c r="B6783" s="7" t="s">
        <v>101</v>
      </c>
      <c r="C6783" s="7" t="s">
        <v>1121</v>
      </c>
      <c r="D6783" s="7" t="n">
        <v>0</v>
      </c>
      <c r="E6783" s="7" t="n">
        <v>0</v>
      </c>
      <c r="F6783" s="7" t="n">
        <v>1</v>
      </c>
      <c r="G6783" s="7" t="n">
        <v>143.98</v>
      </c>
    </row>
    <row r="6784" customFormat="false" ht="15" hidden="false" customHeight="false" outlineLevel="0" collapsed="false">
      <c r="A6784" s="7" t="s">
        <v>24</v>
      </c>
      <c r="B6784" s="7" t="s">
        <v>101</v>
      </c>
      <c r="C6784" s="7" t="s">
        <v>1121</v>
      </c>
      <c r="D6784" s="7" t="n">
        <v>0</v>
      </c>
      <c r="E6784" s="7" t="n">
        <v>0</v>
      </c>
      <c r="F6784" s="7" t="n">
        <v>1</v>
      </c>
      <c r="G6784" s="7" t="n">
        <v>143.99</v>
      </c>
    </row>
    <row r="6785" customFormat="false" ht="15" hidden="false" customHeight="false" outlineLevel="0" collapsed="false">
      <c r="A6785" s="7" t="s">
        <v>24</v>
      </c>
      <c r="B6785" s="7" t="s">
        <v>101</v>
      </c>
      <c r="C6785" s="7" t="s">
        <v>1121</v>
      </c>
      <c r="D6785" s="7" t="n">
        <v>0</v>
      </c>
      <c r="E6785" s="7" t="n">
        <v>0</v>
      </c>
      <c r="F6785" s="7" t="n">
        <v>1</v>
      </c>
      <c r="G6785" s="7" t="n">
        <v>143.99</v>
      </c>
    </row>
    <row r="6786" customFormat="false" ht="15" hidden="false" customHeight="false" outlineLevel="0" collapsed="false">
      <c r="A6786" s="7" t="s">
        <v>24</v>
      </c>
      <c r="B6786" s="7" t="s">
        <v>101</v>
      </c>
      <c r="C6786" s="7" t="s">
        <v>1121</v>
      </c>
      <c r="D6786" s="7" t="n">
        <v>0</v>
      </c>
      <c r="E6786" s="7" t="n">
        <v>0</v>
      </c>
      <c r="F6786" s="7" t="n">
        <v>1</v>
      </c>
      <c r="G6786" s="7" t="n">
        <v>143.98</v>
      </c>
    </row>
    <row r="6787" customFormat="false" ht="15" hidden="false" customHeight="false" outlineLevel="0" collapsed="false">
      <c r="A6787" s="7" t="s">
        <v>24</v>
      </c>
      <c r="B6787" s="7" t="s">
        <v>101</v>
      </c>
      <c r="C6787" s="7" t="s">
        <v>1121</v>
      </c>
      <c r="D6787" s="7" t="n">
        <v>0</v>
      </c>
      <c r="E6787" s="7" t="n">
        <v>0</v>
      </c>
      <c r="F6787" s="7" t="n">
        <v>2</v>
      </c>
      <c r="G6787" s="7" t="n">
        <v>244.76</v>
      </c>
    </row>
    <row r="6788" customFormat="false" ht="15" hidden="false" customHeight="false" outlineLevel="0" collapsed="false">
      <c r="A6788" s="7" t="s">
        <v>24</v>
      </c>
      <c r="B6788" s="7" t="s">
        <v>101</v>
      </c>
      <c r="C6788" s="7" t="s">
        <v>1121</v>
      </c>
      <c r="D6788" s="7" t="n">
        <v>0</v>
      </c>
      <c r="E6788" s="7" t="n">
        <v>0</v>
      </c>
      <c r="F6788" s="7" t="n">
        <v>1</v>
      </c>
      <c r="G6788" s="7" t="n">
        <v>143.98</v>
      </c>
    </row>
    <row r="6789" customFormat="false" ht="15" hidden="false" customHeight="false" outlineLevel="0" collapsed="false">
      <c r="A6789" s="7" t="s">
        <v>24</v>
      </c>
      <c r="B6789" s="7" t="s">
        <v>101</v>
      </c>
      <c r="C6789" s="7" t="s">
        <v>1121</v>
      </c>
      <c r="D6789" s="7" t="n">
        <v>0</v>
      </c>
      <c r="E6789" s="7" t="n">
        <v>0</v>
      </c>
      <c r="F6789" s="7" t="n">
        <v>1</v>
      </c>
      <c r="G6789" s="7" t="n">
        <v>143.98</v>
      </c>
    </row>
    <row r="6790" customFormat="false" ht="15" hidden="false" customHeight="false" outlineLevel="0" collapsed="false">
      <c r="A6790" s="7" t="s">
        <v>24</v>
      </c>
      <c r="B6790" s="7" t="s">
        <v>101</v>
      </c>
      <c r="C6790" s="7" t="s">
        <v>1121</v>
      </c>
      <c r="D6790" s="7" t="n">
        <v>0</v>
      </c>
      <c r="E6790" s="7" t="n">
        <v>0</v>
      </c>
      <c r="F6790" s="7" t="n">
        <v>2</v>
      </c>
      <c r="G6790" s="7" t="n">
        <v>266.37</v>
      </c>
    </row>
    <row r="6791" customFormat="false" ht="15" hidden="false" customHeight="false" outlineLevel="0" collapsed="false">
      <c r="A6791" s="7" t="s">
        <v>24</v>
      </c>
      <c r="B6791" s="7" t="s">
        <v>101</v>
      </c>
      <c r="C6791" s="7" t="s">
        <v>1121</v>
      </c>
      <c r="D6791" s="7" t="n">
        <v>0</v>
      </c>
      <c r="E6791" s="7" t="n">
        <v>0</v>
      </c>
      <c r="F6791" s="7" t="n">
        <v>2</v>
      </c>
      <c r="G6791" s="7" t="n">
        <v>287.97</v>
      </c>
    </row>
    <row r="6792" customFormat="false" ht="15" hidden="false" customHeight="false" outlineLevel="0" collapsed="false">
      <c r="A6792" s="7" t="s">
        <v>24</v>
      </c>
      <c r="B6792" s="7" t="s">
        <v>101</v>
      </c>
      <c r="C6792" s="7" t="s">
        <v>1121</v>
      </c>
      <c r="D6792" s="7" t="n">
        <v>0</v>
      </c>
      <c r="E6792" s="7" t="n">
        <v>0</v>
      </c>
      <c r="F6792" s="7" t="n">
        <v>1</v>
      </c>
      <c r="G6792" s="7" t="n">
        <v>129.59</v>
      </c>
    </row>
    <row r="6793" customFormat="false" ht="15" hidden="false" customHeight="false" outlineLevel="0" collapsed="false">
      <c r="A6793" s="7" t="s">
        <v>24</v>
      </c>
      <c r="B6793" s="7" t="s">
        <v>101</v>
      </c>
      <c r="C6793" s="7" t="s">
        <v>1121</v>
      </c>
      <c r="D6793" s="7" t="n">
        <v>0</v>
      </c>
      <c r="E6793" s="7" t="n">
        <v>0</v>
      </c>
      <c r="F6793" s="7" t="n">
        <v>1</v>
      </c>
      <c r="G6793" s="7" t="n">
        <v>115.19</v>
      </c>
    </row>
    <row r="6794" customFormat="false" ht="15" hidden="false" customHeight="false" outlineLevel="0" collapsed="false">
      <c r="A6794" s="7" t="s">
        <v>24</v>
      </c>
      <c r="B6794" s="7" t="s">
        <v>101</v>
      </c>
      <c r="C6794" s="7" t="s">
        <v>1121</v>
      </c>
      <c r="D6794" s="7" t="n">
        <v>0</v>
      </c>
      <c r="E6794" s="7" t="n">
        <v>0</v>
      </c>
      <c r="F6794" s="7" t="n">
        <v>1</v>
      </c>
      <c r="G6794" s="7" t="n">
        <v>143.98</v>
      </c>
    </row>
    <row r="6795" customFormat="false" ht="15" hidden="false" customHeight="false" outlineLevel="0" collapsed="false">
      <c r="A6795" s="7" t="s">
        <v>24</v>
      </c>
      <c r="B6795" s="7" t="s">
        <v>101</v>
      </c>
      <c r="C6795" s="7" t="s">
        <v>1121</v>
      </c>
      <c r="D6795" s="7" t="n">
        <v>0</v>
      </c>
      <c r="E6795" s="7" t="n">
        <v>0</v>
      </c>
      <c r="F6795" s="7" t="n">
        <v>1</v>
      </c>
      <c r="G6795" s="7" t="n">
        <v>143.99</v>
      </c>
    </row>
    <row r="6796" customFormat="false" ht="15" hidden="false" customHeight="false" outlineLevel="0" collapsed="false">
      <c r="A6796" s="7" t="s">
        <v>24</v>
      </c>
      <c r="B6796" s="7" t="s">
        <v>101</v>
      </c>
      <c r="C6796" s="7" t="s">
        <v>1121</v>
      </c>
      <c r="D6796" s="7" t="n">
        <v>0</v>
      </c>
      <c r="E6796" s="7" t="n">
        <v>0</v>
      </c>
      <c r="F6796" s="7" t="n">
        <v>1</v>
      </c>
      <c r="G6796" s="7" t="n">
        <v>110.25</v>
      </c>
    </row>
    <row r="6797" customFormat="false" ht="15" hidden="false" customHeight="false" outlineLevel="0" collapsed="false">
      <c r="A6797" s="7" t="s">
        <v>24</v>
      </c>
      <c r="B6797" s="7" t="s">
        <v>101</v>
      </c>
      <c r="C6797" s="7" t="s">
        <v>1121</v>
      </c>
      <c r="D6797" s="7" t="n">
        <v>0</v>
      </c>
      <c r="E6797" s="7" t="n">
        <v>0</v>
      </c>
      <c r="F6797" s="7" t="n">
        <v>1</v>
      </c>
      <c r="G6797" s="7" t="n">
        <v>129.59</v>
      </c>
    </row>
    <row r="6798" customFormat="false" ht="15" hidden="false" customHeight="false" outlineLevel="0" collapsed="false">
      <c r="A6798" s="7" t="s">
        <v>24</v>
      </c>
      <c r="B6798" s="7" t="s">
        <v>101</v>
      </c>
      <c r="C6798" s="7" t="s">
        <v>1121</v>
      </c>
      <c r="D6798" s="7" t="n">
        <v>0</v>
      </c>
      <c r="E6798" s="7" t="n">
        <v>0</v>
      </c>
      <c r="F6798" s="7" t="n">
        <v>3</v>
      </c>
      <c r="G6798" s="7" t="n">
        <v>388.75</v>
      </c>
    </row>
    <row r="6799" customFormat="false" ht="15" hidden="false" customHeight="false" outlineLevel="0" collapsed="false">
      <c r="A6799" s="7" t="s">
        <v>24</v>
      </c>
      <c r="B6799" s="7" t="s">
        <v>101</v>
      </c>
      <c r="C6799" s="7" t="s">
        <v>1121</v>
      </c>
      <c r="D6799" s="7" t="n">
        <v>0</v>
      </c>
      <c r="E6799" s="7" t="n">
        <v>0</v>
      </c>
      <c r="F6799" s="7" t="n">
        <v>2</v>
      </c>
      <c r="G6799" s="7" t="n">
        <v>273.58</v>
      </c>
    </row>
    <row r="6800" customFormat="false" ht="15" hidden="false" customHeight="false" outlineLevel="0" collapsed="false">
      <c r="A6800" s="7" t="s">
        <v>24</v>
      </c>
      <c r="B6800" s="7" t="s">
        <v>101</v>
      </c>
      <c r="C6800" s="7" t="s">
        <v>1121</v>
      </c>
      <c r="D6800" s="7" t="n">
        <v>0</v>
      </c>
      <c r="E6800" s="7" t="n">
        <v>0</v>
      </c>
      <c r="F6800" s="7" t="n">
        <v>1</v>
      </c>
      <c r="G6800" s="7" t="n">
        <v>129.59</v>
      </c>
    </row>
    <row r="6801" customFormat="false" ht="15" hidden="false" customHeight="false" outlineLevel="0" collapsed="false">
      <c r="A6801" s="7" t="s">
        <v>24</v>
      </c>
      <c r="B6801" s="7" t="s">
        <v>101</v>
      </c>
      <c r="C6801" s="7" t="s">
        <v>1121</v>
      </c>
      <c r="D6801" s="7" t="n">
        <v>0</v>
      </c>
      <c r="E6801" s="7" t="n">
        <v>0</v>
      </c>
      <c r="F6801" s="7" t="n">
        <v>1</v>
      </c>
      <c r="G6801" s="7" t="n">
        <v>143.99</v>
      </c>
    </row>
    <row r="6802" customFormat="false" ht="15" hidden="false" customHeight="false" outlineLevel="0" collapsed="false">
      <c r="A6802" s="7" t="s">
        <v>24</v>
      </c>
      <c r="B6802" s="7" t="s">
        <v>101</v>
      </c>
      <c r="C6802" s="7" t="s">
        <v>1121</v>
      </c>
      <c r="D6802" s="7" t="n">
        <v>0</v>
      </c>
      <c r="E6802" s="7" t="n">
        <v>0</v>
      </c>
      <c r="F6802" s="7" t="n">
        <v>2</v>
      </c>
      <c r="G6802" s="7" t="n">
        <v>287.97</v>
      </c>
    </row>
    <row r="6803" customFormat="false" ht="15" hidden="false" customHeight="false" outlineLevel="0" collapsed="false">
      <c r="A6803" s="7" t="s">
        <v>24</v>
      </c>
      <c r="B6803" s="7" t="s">
        <v>101</v>
      </c>
      <c r="C6803" s="7" t="s">
        <v>1121</v>
      </c>
      <c r="D6803" s="7" t="n">
        <v>0</v>
      </c>
      <c r="E6803" s="7" t="n">
        <v>0</v>
      </c>
      <c r="F6803" s="7" t="n">
        <v>1</v>
      </c>
      <c r="G6803" s="7" t="n">
        <v>123.25</v>
      </c>
    </row>
    <row r="6804" customFormat="false" ht="15" hidden="false" customHeight="false" outlineLevel="0" collapsed="false">
      <c r="A6804" s="7" t="s">
        <v>24</v>
      </c>
      <c r="B6804" s="7" t="s">
        <v>101</v>
      </c>
      <c r="C6804" s="7" t="s">
        <v>1121</v>
      </c>
      <c r="D6804" s="7" t="n">
        <v>0</v>
      </c>
      <c r="E6804" s="7" t="n">
        <v>0</v>
      </c>
      <c r="F6804" s="7" t="n">
        <v>1</v>
      </c>
      <c r="G6804" s="7" t="n">
        <v>129.59</v>
      </c>
    </row>
    <row r="6805" customFormat="false" ht="15" hidden="false" customHeight="false" outlineLevel="0" collapsed="false">
      <c r="A6805" s="7" t="s">
        <v>24</v>
      </c>
      <c r="B6805" s="7" t="s">
        <v>101</v>
      </c>
      <c r="C6805" s="7" t="s">
        <v>1121</v>
      </c>
      <c r="D6805" s="7" t="n">
        <v>0</v>
      </c>
      <c r="E6805" s="7" t="n">
        <v>0</v>
      </c>
      <c r="F6805" s="7" t="n">
        <v>1</v>
      </c>
      <c r="G6805" s="7" t="n">
        <v>129.59</v>
      </c>
    </row>
    <row r="6806" customFormat="false" ht="15" hidden="false" customHeight="false" outlineLevel="0" collapsed="false">
      <c r="A6806" s="7" t="s">
        <v>24</v>
      </c>
      <c r="B6806" s="7" t="s">
        <v>101</v>
      </c>
      <c r="C6806" s="7" t="s">
        <v>1121</v>
      </c>
      <c r="D6806" s="7" t="n">
        <v>0</v>
      </c>
      <c r="E6806" s="7" t="n">
        <v>0</v>
      </c>
      <c r="F6806" s="7" t="n">
        <v>1</v>
      </c>
      <c r="G6806" s="7" t="n">
        <v>143.99</v>
      </c>
    </row>
    <row r="6807" customFormat="false" ht="15" hidden="false" customHeight="false" outlineLevel="0" collapsed="false">
      <c r="A6807" s="7" t="s">
        <v>24</v>
      </c>
      <c r="B6807" s="7" t="s">
        <v>101</v>
      </c>
      <c r="C6807" s="7" t="s">
        <v>1121</v>
      </c>
      <c r="D6807" s="7" t="n">
        <v>0</v>
      </c>
      <c r="E6807" s="7" t="n">
        <v>0</v>
      </c>
      <c r="F6807" s="7" t="n">
        <v>14</v>
      </c>
      <c r="G6807" s="7" t="n">
        <v>1857.46</v>
      </c>
    </row>
    <row r="6808" customFormat="false" ht="15" hidden="false" customHeight="false" outlineLevel="0" collapsed="false">
      <c r="A6808" s="7" t="s">
        <v>24</v>
      </c>
      <c r="B6808" s="7" t="s">
        <v>101</v>
      </c>
      <c r="C6808" s="7" t="s">
        <v>1121</v>
      </c>
      <c r="D6808" s="7" t="n">
        <v>0</v>
      </c>
      <c r="E6808" s="7" t="n">
        <v>0</v>
      </c>
      <c r="F6808" s="7" t="n">
        <v>1</v>
      </c>
      <c r="G6808" s="7" t="n">
        <v>129.59</v>
      </c>
    </row>
    <row r="6809" customFormat="false" ht="15" hidden="false" customHeight="false" outlineLevel="0" collapsed="false">
      <c r="A6809" s="7" t="s">
        <v>24</v>
      </c>
      <c r="B6809" s="7" t="s">
        <v>101</v>
      </c>
      <c r="C6809" s="7" t="s">
        <v>1121</v>
      </c>
      <c r="D6809" s="7" t="n">
        <v>0</v>
      </c>
      <c r="E6809" s="7" t="n">
        <v>0</v>
      </c>
      <c r="F6809" s="7" t="n">
        <v>1</v>
      </c>
      <c r="G6809" s="7" t="n">
        <v>143.99</v>
      </c>
    </row>
    <row r="6810" customFormat="false" ht="15" hidden="false" customHeight="false" outlineLevel="0" collapsed="false">
      <c r="A6810" s="7" t="s">
        <v>24</v>
      </c>
      <c r="B6810" s="7" t="s">
        <v>101</v>
      </c>
      <c r="C6810" s="7" t="s">
        <v>1121</v>
      </c>
      <c r="D6810" s="7" t="n">
        <v>0</v>
      </c>
      <c r="E6810" s="7" t="n">
        <v>0</v>
      </c>
      <c r="F6810" s="7" t="n">
        <v>4</v>
      </c>
      <c r="G6810" s="7" t="n">
        <v>508.62</v>
      </c>
    </row>
    <row r="6811" customFormat="false" ht="15" hidden="false" customHeight="false" outlineLevel="0" collapsed="false">
      <c r="A6811" s="7" t="s">
        <v>24</v>
      </c>
      <c r="B6811" s="7" t="s">
        <v>101</v>
      </c>
      <c r="C6811" s="7" t="s">
        <v>1121</v>
      </c>
      <c r="D6811" s="7" t="n">
        <v>0</v>
      </c>
      <c r="E6811" s="7" t="n">
        <v>0</v>
      </c>
      <c r="F6811" s="7" t="n">
        <v>1</v>
      </c>
      <c r="G6811" s="7" t="n">
        <v>143.99</v>
      </c>
    </row>
    <row r="6812" customFormat="false" ht="15" hidden="false" customHeight="false" outlineLevel="0" collapsed="false">
      <c r="A6812" s="7" t="s">
        <v>24</v>
      </c>
      <c r="B6812" s="7" t="s">
        <v>101</v>
      </c>
      <c r="C6812" s="7" t="s">
        <v>1121</v>
      </c>
      <c r="D6812" s="7" t="n">
        <v>0</v>
      </c>
      <c r="E6812" s="7" t="n">
        <v>0</v>
      </c>
      <c r="F6812" s="7" t="n">
        <v>1</v>
      </c>
      <c r="G6812" s="7" t="n">
        <v>143.98</v>
      </c>
    </row>
    <row r="6813" customFormat="false" ht="15" hidden="false" customHeight="false" outlineLevel="0" collapsed="false">
      <c r="A6813" s="7" t="s">
        <v>24</v>
      </c>
      <c r="B6813" s="7" t="s">
        <v>101</v>
      </c>
      <c r="C6813" s="7" t="s">
        <v>1121</v>
      </c>
      <c r="D6813" s="7" t="n">
        <v>0</v>
      </c>
      <c r="E6813" s="7" t="n">
        <v>0</v>
      </c>
      <c r="F6813" s="7" t="n">
        <v>1</v>
      </c>
      <c r="G6813" s="7" t="n">
        <v>115.19</v>
      </c>
    </row>
    <row r="6814" customFormat="false" ht="15" hidden="false" customHeight="false" outlineLevel="0" collapsed="false">
      <c r="A6814" s="7" t="s">
        <v>24</v>
      </c>
      <c r="B6814" s="7" t="s">
        <v>101</v>
      </c>
      <c r="C6814" s="7" t="s">
        <v>1121</v>
      </c>
      <c r="D6814" s="7" t="n">
        <v>0</v>
      </c>
      <c r="E6814" s="7" t="n">
        <v>0</v>
      </c>
      <c r="F6814" s="7" t="n">
        <v>1</v>
      </c>
      <c r="G6814" s="7" t="n">
        <v>143.98</v>
      </c>
    </row>
    <row r="6815" customFormat="false" ht="15" hidden="false" customHeight="false" outlineLevel="0" collapsed="false">
      <c r="A6815" s="7" t="s">
        <v>24</v>
      </c>
      <c r="B6815" s="7" t="s">
        <v>101</v>
      </c>
      <c r="C6815" s="7" t="s">
        <v>1121</v>
      </c>
      <c r="D6815" s="7" t="n">
        <v>0</v>
      </c>
      <c r="E6815" s="7" t="n">
        <v>0</v>
      </c>
      <c r="F6815" s="7" t="n">
        <v>1</v>
      </c>
      <c r="G6815" s="7" t="n">
        <v>143.98</v>
      </c>
    </row>
    <row r="6816" customFormat="false" ht="15" hidden="false" customHeight="false" outlineLevel="0" collapsed="false">
      <c r="A6816" s="7" t="s">
        <v>24</v>
      </c>
      <c r="B6816" s="7" t="s">
        <v>101</v>
      </c>
      <c r="C6816" s="7" t="s">
        <v>1121</v>
      </c>
      <c r="D6816" s="7" t="n">
        <v>0</v>
      </c>
      <c r="E6816" s="7" t="n">
        <v>0</v>
      </c>
      <c r="F6816" s="7" t="n">
        <v>1</v>
      </c>
      <c r="G6816" s="7" t="n">
        <v>129.58</v>
      </c>
    </row>
    <row r="6817" customFormat="false" ht="15" hidden="false" customHeight="false" outlineLevel="0" collapsed="false">
      <c r="A6817" s="7" t="s">
        <v>24</v>
      </c>
      <c r="B6817" s="7" t="s">
        <v>101</v>
      </c>
      <c r="C6817" s="7" t="s">
        <v>1121</v>
      </c>
      <c r="D6817" s="7" t="n">
        <v>0</v>
      </c>
      <c r="E6817" s="7" t="n">
        <v>0</v>
      </c>
      <c r="F6817" s="7" t="n">
        <v>1</v>
      </c>
      <c r="G6817" s="7" t="n">
        <v>143.97</v>
      </c>
    </row>
    <row r="6818" customFormat="false" ht="15" hidden="false" customHeight="false" outlineLevel="0" collapsed="false">
      <c r="A6818" s="7" t="s">
        <v>24</v>
      </c>
      <c r="B6818" s="7" t="s">
        <v>101</v>
      </c>
      <c r="C6818" s="7" t="s">
        <v>1121</v>
      </c>
      <c r="D6818" s="7" t="n">
        <v>0</v>
      </c>
      <c r="E6818" s="7" t="n">
        <v>0</v>
      </c>
      <c r="F6818" s="7" t="n">
        <v>1</v>
      </c>
      <c r="G6818" s="7" t="n">
        <v>115.19</v>
      </c>
    </row>
    <row r="6819" customFormat="false" ht="15" hidden="false" customHeight="false" outlineLevel="0" collapsed="false">
      <c r="A6819" s="7" t="s">
        <v>24</v>
      </c>
      <c r="B6819" s="7" t="s">
        <v>101</v>
      </c>
      <c r="C6819" s="7" t="s">
        <v>1121</v>
      </c>
      <c r="D6819" s="7" t="n">
        <v>0</v>
      </c>
      <c r="E6819" s="7" t="n">
        <v>0</v>
      </c>
      <c r="F6819" s="7" t="n">
        <v>4</v>
      </c>
      <c r="G6819" s="7" t="n">
        <v>561.56</v>
      </c>
    </row>
    <row r="6820" customFormat="false" ht="15" hidden="false" customHeight="false" outlineLevel="0" collapsed="false">
      <c r="A6820" s="7" t="s">
        <v>24</v>
      </c>
      <c r="B6820" s="7" t="s">
        <v>101</v>
      </c>
      <c r="C6820" s="7" t="s">
        <v>1121</v>
      </c>
      <c r="D6820" s="7" t="n">
        <v>0</v>
      </c>
      <c r="E6820" s="7" t="n">
        <v>0</v>
      </c>
      <c r="F6820" s="7" t="n">
        <v>3</v>
      </c>
      <c r="G6820" s="7" t="n">
        <v>417.57</v>
      </c>
    </row>
    <row r="6821" customFormat="false" ht="15" hidden="false" customHeight="false" outlineLevel="0" collapsed="false">
      <c r="A6821" s="7" t="s">
        <v>24</v>
      </c>
      <c r="B6821" s="7" t="s">
        <v>101</v>
      </c>
      <c r="C6821" s="7" t="s">
        <v>1121</v>
      </c>
      <c r="D6821" s="7" t="n">
        <v>0</v>
      </c>
      <c r="E6821" s="7" t="n">
        <v>0</v>
      </c>
      <c r="F6821" s="7" t="n">
        <v>1</v>
      </c>
      <c r="G6821" s="7" t="n">
        <v>129.58</v>
      </c>
    </row>
    <row r="6822" customFormat="false" ht="15" hidden="false" customHeight="false" outlineLevel="0" collapsed="false">
      <c r="A6822" s="7" t="s">
        <v>24</v>
      </c>
      <c r="B6822" s="7" t="s">
        <v>101</v>
      </c>
      <c r="C6822" s="7" t="s">
        <v>1121</v>
      </c>
      <c r="D6822" s="7" t="n">
        <v>0</v>
      </c>
      <c r="E6822" s="7" t="n">
        <v>0</v>
      </c>
      <c r="F6822" s="7" t="n">
        <v>4</v>
      </c>
      <c r="G6822" s="7" t="n">
        <v>539.93</v>
      </c>
    </row>
    <row r="6823" customFormat="false" ht="15" hidden="false" customHeight="false" outlineLevel="0" collapsed="false">
      <c r="A6823" s="7" t="s">
        <v>24</v>
      </c>
      <c r="B6823" s="7" t="s">
        <v>101</v>
      </c>
      <c r="C6823" s="7" t="s">
        <v>1121</v>
      </c>
      <c r="D6823" s="7" t="n">
        <v>0</v>
      </c>
      <c r="E6823" s="7" t="n">
        <v>0</v>
      </c>
      <c r="F6823" s="7" t="n">
        <v>9</v>
      </c>
      <c r="G6823" s="7" t="n">
        <v>1267.11</v>
      </c>
    </row>
    <row r="6824" customFormat="false" ht="15" hidden="false" customHeight="false" outlineLevel="0" collapsed="false">
      <c r="A6824" s="7" t="s">
        <v>24</v>
      </c>
      <c r="B6824" s="7" t="s">
        <v>101</v>
      </c>
      <c r="C6824" s="7" t="s">
        <v>1121</v>
      </c>
      <c r="D6824" s="7" t="n">
        <v>0</v>
      </c>
      <c r="E6824" s="7" t="n">
        <v>0</v>
      </c>
      <c r="F6824" s="7" t="n">
        <v>63</v>
      </c>
      <c r="G6824" s="7" t="n">
        <v>8482.62</v>
      </c>
    </row>
    <row r="6825" customFormat="false" ht="15" hidden="false" customHeight="false" outlineLevel="0" collapsed="false">
      <c r="A6825" s="7" t="s">
        <v>24</v>
      </c>
      <c r="B6825" s="7" t="s">
        <v>101</v>
      </c>
      <c r="C6825" s="7" t="s">
        <v>1121</v>
      </c>
      <c r="D6825" s="7" t="n">
        <v>0</v>
      </c>
      <c r="E6825" s="7" t="n">
        <v>0</v>
      </c>
      <c r="F6825" s="7" t="n">
        <v>1</v>
      </c>
      <c r="G6825" s="7" t="n">
        <v>143.99</v>
      </c>
    </row>
    <row r="6826" customFormat="false" ht="15" hidden="false" customHeight="false" outlineLevel="0" collapsed="false">
      <c r="A6826" s="7" t="s">
        <v>24</v>
      </c>
      <c r="B6826" s="7" t="s">
        <v>101</v>
      </c>
      <c r="C6826" s="7" t="s">
        <v>1121</v>
      </c>
      <c r="D6826" s="7" t="n">
        <v>0</v>
      </c>
      <c r="E6826" s="7" t="n">
        <v>0</v>
      </c>
      <c r="F6826" s="7" t="n">
        <v>1</v>
      </c>
      <c r="G6826" s="7" t="n">
        <v>143.99</v>
      </c>
    </row>
    <row r="6827" customFormat="false" ht="15" hidden="false" customHeight="false" outlineLevel="0" collapsed="false">
      <c r="A6827" s="7" t="s">
        <v>24</v>
      </c>
      <c r="B6827" s="7" t="s">
        <v>101</v>
      </c>
      <c r="C6827" s="7" t="s">
        <v>1121</v>
      </c>
      <c r="D6827" s="7" t="n">
        <v>0</v>
      </c>
      <c r="E6827" s="7" t="n">
        <v>0</v>
      </c>
      <c r="F6827" s="7" t="n">
        <v>2</v>
      </c>
      <c r="G6827" s="7" t="n">
        <v>287.98</v>
      </c>
    </row>
    <row r="6828" customFormat="false" ht="15" hidden="false" customHeight="false" outlineLevel="0" collapsed="false">
      <c r="A6828" s="7" t="s">
        <v>24</v>
      </c>
      <c r="B6828" s="7" t="s">
        <v>101</v>
      </c>
      <c r="C6828" s="7" t="s">
        <v>1121</v>
      </c>
      <c r="D6828" s="7" t="n">
        <v>0</v>
      </c>
      <c r="E6828" s="7" t="n">
        <v>0</v>
      </c>
      <c r="F6828" s="7" t="n">
        <v>3</v>
      </c>
      <c r="G6828" s="7" t="n">
        <v>417.57</v>
      </c>
    </row>
    <row r="6829" customFormat="false" ht="15" hidden="false" customHeight="false" outlineLevel="0" collapsed="false">
      <c r="A6829" s="7" t="s">
        <v>24</v>
      </c>
      <c r="B6829" s="7" t="s">
        <v>101</v>
      </c>
      <c r="C6829" s="7" t="s">
        <v>1121</v>
      </c>
      <c r="D6829" s="7" t="n">
        <v>0</v>
      </c>
      <c r="E6829" s="7" t="n">
        <v>0</v>
      </c>
      <c r="F6829" s="7" t="n">
        <v>1</v>
      </c>
      <c r="G6829" s="7" t="n">
        <v>129.58</v>
      </c>
    </row>
    <row r="6830" customFormat="false" ht="15" hidden="false" customHeight="false" outlineLevel="0" collapsed="false">
      <c r="A6830" s="7" t="s">
        <v>24</v>
      </c>
      <c r="B6830" s="7" t="s">
        <v>101</v>
      </c>
      <c r="C6830" s="7" t="s">
        <v>1121</v>
      </c>
      <c r="D6830" s="7" t="n">
        <v>0</v>
      </c>
      <c r="E6830" s="7" t="n">
        <v>0</v>
      </c>
      <c r="F6830" s="7" t="n">
        <v>2</v>
      </c>
      <c r="G6830" s="7" t="n">
        <v>254.15</v>
      </c>
    </row>
    <row r="6831" customFormat="false" ht="15" hidden="false" customHeight="false" outlineLevel="0" collapsed="false">
      <c r="A6831" s="7" t="s">
        <v>24</v>
      </c>
      <c r="B6831" s="7" t="s">
        <v>101</v>
      </c>
      <c r="C6831" s="7" t="s">
        <v>1121</v>
      </c>
      <c r="D6831" s="7" t="n">
        <v>0</v>
      </c>
      <c r="E6831" s="7" t="n">
        <v>0</v>
      </c>
      <c r="F6831" s="7" t="n">
        <v>2</v>
      </c>
      <c r="G6831" s="7" t="n">
        <v>287.96</v>
      </c>
    </row>
    <row r="6832" customFormat="false" ht="15" hidden="false" customHeight="false" outlineLevel="0" collapsed="false">
      <c r="A6832" s="7" t="s">
        <v>24</v>
      </c>
      <c r="B6832" s="7" t="s">
        <v>101</v>
      </c>
      <c r="C6832" s="7" t="s">
        <v>1121</v>
      </c>
      <c r="D6832" s="7" t="n">
        <v>0</v>
      </c>
      <c r="E6832" s="7" t="n">
        <v>0</v>
      </c>
      <c r="F6832" s="7" t="n">
        <v>2</v>
      </c>
      <c r="G6832" s="7" t="n">
        <v>259.17</v>
      </c>
    </row>
    <row r="6833" customFormat="false" ht="15" hidden="false" customHeight="false" outlineLevel="0" collapsed="false">
      <c r="A6833" s="7" t="s">
        <v>24</v>
      </c>
      <c r="B6833" s="7" t="s">
        <v>101</v>
      </c>
      <c r="C6833" s="7" t="s">
        <v>1121</v>
      </c>
      <c r="D6833" s="7" t="n">
        <v>0</v>
      </c>
      <c r="E6833" s="7" t="n">
        <v>0</v>
      </c>
      <c r="F6833" s="7" t="n">
        <v>1</v>
      </c>
      <c r="G6833" s="7" t="n">
        <v>129.58</v>
      </c>
    </row>
    <row r="6834" customFormat="false" ht="15" hidden="false" customHeight="false" outlineLevel="0" collapsed="false">
      <c r="A6834" s="7" t="s">
        <v>24</v>
      </c>
      <c r="B6834" s="7" t="s">
        <v>101</v>
      </c>
      <c r="C6834" s="7" t="s">
        <v>1121</v>
      </c>
      <c r="D6834" s="7" t="n">
        <v>0</v>
      </c>
      <c r="E6834" s="7" t="n">
        <v>0</v>
      </c>
      <c r="F6834" s="7" t="n">
        <v>8</v>
      </c>
      <c r="G6834" s="7" t="n">
        <v>971.88</v>
      </c>
    </row>
    <row r="6835" customFormat="false" ht="15" hidden="false" customHeight="false" outlineLevel="0" collapsed="false">
      <c r="A6835" s="7" t="s">
        <v>24</v>
      </c>
      <c r="B6835" s="7" t="s">
        <v>101</v>
      </c>
      <c r="C6835" s="7" t="s">
        <v>1121</v>
      </c>
      <c r="D6835" s="7" t="n">
        <v>0</v>
      </c>
      <c r="E6835" s="7" t="n">
        <v>0</v>
      </c>
      <c r="F6835" s="7" t="n">
        <v>1</v>
      </c>
      <c r="G6835" s="7" t="n">
        <v>129.58</v>
      </c>
    </row>
    <row r="6836" customFormat="false" ht="15" hidden="false" customHeight="false" outlineLevel="0" collapsed="false">
      <c r="A6836" s="7" t="s">
        <v>24</v>
      </c>
      <c r="B6836" s="7" t="s">
        <v>101</v>
      </c>
      <c r="C6836" s="7" t="s">
        <v>1121</v>
      </c>
      <c r="D6836" s="7" t="n">
        <v>0</v>
      </c>
      <c r="E6836" s="7" t="n">
        <v>0</v>
      </c>
      <c r="F6836" s="7" t="n">
        <v>8</v>
      </c>
      <c r="G6836" s="7" t="n">
        <v>1087.05</v>
      </c>
    </row>
    <row r="6837" customFormat="false" ht="15" hidden="false" customHeight="false" outlineLevel="0" collapsed="false">
      <c r="A6837" s="7" t="s">
        <v>24</v>
      </c>
      <c r="B6837" s="7" t="s">
        <v>101</v>
      </c>
      <c r="C6837" s="7" t="s">
        <v>1121</v>
      </c>
      <c r="D6837" s="7" t="n">
        <v>0</v>
      </c>
      <c r="E6837" s="7" t="n">
        <v>0</v>
      </c>
      <c r="F6837" s="7" t="n">
        <v>12</v>
      </c>
      <c r="G6837" s="7" t="n">
        <v>1540.68</v>
      </c>
    </row>
    <row r="6838" customFormat="false" ht="15" hidden="false" customHeight="false" outlineLevel="0" collapsed="false">
      <c r="A6838" s="7" t="s">
        <v>24</v>
      </c>
      <c r="B6838" s="7" t="s">
        <v>101</v>
      </c>
      <c r="C6838" s="7" t="s">
        <v>1121</v>
      </c>
      <c r="D6838" s="7" t="n">
        <v>0</v>
      </c>
      <c r="E6838" s="7" t="n">
        <v>0</v>
      </c>
      <c r="F6838" s="7" t="n">
        <v>14</v>
      </c>
      <c r="G6838" s="7" t="n">
        <v>1871.74</v>
      </c>
    </row>
    <row r="6839" customFormat="false" ht="15" hidden="false" customHeight="false" outlineLevel="0" collapsed="false">
      <c r="A6839" s="7" t="s">
        <v>24</v>
      </c>
      <c r="B6839" s="7" t="s">
        <v>101</v>
      </c>
      <c r="C6839" s="7" t="s">
        <v>1121</v>
      </c>
      <c r="D6839" s="7" t="n">
        <v>0</v>
      </c>
      <c r="E6839" s="7" t="n">
        <v>0</v>
      </c>
      <c r="F6839" s="7" t="n">
        <v>1</v>
      </c>
      <c r="G6839" s="7" t="n">
        <v>129.58</v>
      </c>
    </row>
    <row r="6840" customFormat="false" ht="15" hidden="false" customHeight="false" outlineLevel="0" collapsed="false">
      <c r="A6840" s="7" t="s">
        <v>24</v>
      </c>
      <c r="B6840" s="7" t="s">
        <v>101</v>
      </c>
      <c r="C6840" s="7" t="s">
        <v>1121</v>
      </c>
      <c r="D6840" s="7" t="n">
        <v>0</v>
      </c>
      <c r="E6840" s="7" t="n">
        <v>0</v>
      </c>
      <c r="F6840" s="7" t="n">
        <v>17</v>
      </c>
      <c r="G6840" s="7" t="n">
        <v>2361.43</v>
      </c>
    </row>
    <row r="6841" customFormat="false" ht="15" hidden="false" customHeight="false" outlineLevel="0" collapsed="false">
      <c r="A6841" s="7" t="s">
        <v>24</v>
      </c>
      <c r="B6841" s="7" t="s">
        <v>245</v>
      </c>
      <c r="C6841" s="7" t="s">
        <v>1161</v>
      </c>
      <c r="D6841" s="7" t="n">
        <v>0</v>
      </c>
      <c r="E6841" s="7" t="n">
        <v>0</v>
      </c>
      <c r="F6841" s="7" t="n">
        <v>1</v>
      </c>
      <c r="G6841" s="7" t="n">
        <v>71.95</v>
      </c>
    </row>
    <row r="6842" customFormat="false" ht="15" hidden="false" customHeight="false" outlineLevel="0" collapsed="false">
      <c r="A6842" s="7" t="s">
        <v>24</v>
      </c>
      <c r="B6842" s="7" t="s">
        <v>245</v>
      </c>
      <c r="C6842" s="7" t="s">
        <v>1161</v>
      </c>
      <c r="D6842" s="7" t="n">
        <v>0</v>
      </c>
      <c r="E6842" s="7" t="n">
        <v>0</v>
      </c>
      <c r="F6842" s="7" t="n">
        <v>2</v>
      </c>
      <c r="G6842" s="7" t="n">
        <v>133.12</v>
      </c>
    </row>
    <row r="6843" customFormat="false" ht="15" hidden="false" customHeight="false" outlineLevel="0" collapsed="false">
      <c r="A6843" s="7" t="s">
        <v>24</v>
      </c>
      <c r="B6843" s="7" t="s">
        <v>245</v>
      </c>
      <c r="C6843" s="7" t="s">
        <v>1161</v>
      </c>
      <c r="D6843" s="7" t="n">
        <v>0</v>
      </c>
      <c r="E6843" s="7" t="n">
        <v>0</v>
      </c>
      <c r="F6843" s="7" t="n">
        <v>1</v>
      </c>
      <c r="G6843" s="7" t="n">
        <v>71.95</v>
      </c>
    </row>
    <row r="6844" customFormat="false" ht="15" hidden="false" customHeight="false" outlineLevel="0" collapsed="false">
      <c r="A6844" s="7" t="s">
        <v>24</v>
      </c>
      <c r="B6844" s="7" t="s">
        <v>245</v>
      </c>
      <c r="C6844" s="7" t="s">
        <v>1161</v>
      </c>
      <c r="D6844" s="7" t="n">
        <v>0</v>
      </c>
      <c r="E6844" s="7" t="n">
        <v>0</v>
      </c>
      <c r="F6844" s="7" t="n">
        <v>2</v>
      </c>
      <c r="G6844" s="7" t="n">
        <v>133.12</v>
      </c>
    </row>
    <row r="6845" customFormat="false" ht="15" hidden="false" customHeight="false" outlineLevel="0" collapsed="false">
      <c r="A6845" s="7" t="s">
        <v>24</v>
      </c>
      <c r="B6845" s="7" t="s">
        <v>245</v>
      </c>
      <c r="C6845" s="7" t="s">
        <v>1161</v>
      </c>
      <c r="D6845" s="7" t="n">
        <v>0</v>
      </c>
      <c r="E6845" s="7" t="n">
        <v>0</v>
      </c>
      <c r="F6845" s="7" t="n">
        <v>1</v>
      </c>
      <c r="G6845" s="7" t="n">
        <v>71.95</v>
      </c>
    </row>
    <row r="6846" customFormat="false" ht="15" hidden="false" customHeight="false" outlineLevel="0" collapsed="false">
      <c r="A6846" s="7" t="s">
        <v>24</v>
      </c>
      <c r="B6846" s="7" t="s">
        <v>245</v>
      </c>
      <c r="C6846" s="7" t="s">
        <v>1161</v>
      </c>
      <c r="D6846" s="7" t="n">
        <v>0</v>
      </c>
      <c r="E6846" s="7" t="n">
        <v>0</v>
      </c>
      <c r="F6846" s="7" t="n">
        <v>5</v>
      </c>
      <c r="G6846" s="7" t="n">
        <v>341.78</v>
      </c>
    </row>
    <row r="6847" customFormat="false" ht="15" hidden="false" customHeight="false" outlineLevel="0" collapsed="false">
      <c r="A6847" s="7" t="s">
        <v>24</v>
      </c>
      <c r="B6847" s="7" t="s">
        <v>245</v>
      </c>
      <c r="C6847" s="7" t="s">
        <v>1161</v>
      </c>
      <c r="D6847" s="7" t="n">
        <v>0</v>
      </c>
      <c r="E6847" s="7" t="n">
        <v>0</v>
      </c>
      <c r="F6847" s="7" t="n">
        <v>4</v>
      </c>
      <c r="G6847" s="7" t="n">
        <v>277.02</v>
      </c>
    </row>
    <row r="6848" customFormat="false" ht="15" hidden="false" customHeight="false" outlineLevel="0" collapsed="false">
      <c r="A6848" s="7" t="s">
        <v>24</v>
      </c>
      <c r="B6848" s="7" t="s">
        <v>245</v>
      </c>
      <c r="C6848" s="7" t="s">
        <v>1161</v>
      </c>
      <c r="D6848" s="7" t="n">
        <v>0</v>
      </c>
      <c r="E6848" s="7" t="n">
        <v>0</v>
      </c>
      <c r="F6848" s="7" t="n">
        <v>2</v>
      </c>
      <c r="G6848" s="7" t="n">
        <v>136.71</v>
      </c>
    </row>
    <row r="6849" customFormat="false" ht="15" hidden="false" customHeight="false" outlineLevel="0" collapsed="false">
      <c r="A6849" s="7" t="s">
        <v>24</v>
      </c>
      <c r="B6849" s="7" t="s">
        <v>245</v>
      </c>
      <c r="C6849" s="7" t="s">
        <v>1161</v>
      </c>
      <c r="D6849" s="7" t="n">
        <v>0</v>
      </c>
      <c r="E6849" s="7" t="n">
        <v>0</v>
      </c>
      <c r="F6849" s="7" t="n">
        <v>1</v>
      </c>
      <c r="G6849" s="7" t="n">
        <v>71.95</v>
      </c>
    </row>
    <row r="6850" customFormat="false" ht="15" hidden="false" customHeight="false" outlineLevel="0" collapsed="false">
      <c r="A6850" s="7" t="s">
        <v>24</v>
      </c>
      <c r="B6850" s="7" t="s">
        <v>245</v>
      </c>
      <c r="C6850" s="7" t="s">
        <v>1161</v>
      </c>
      <c r="D6850" s="7" t="n">
        <v>0</v>
      </c>
      <c r="E6850" s="7" t="n">
        <v>0</v>
      </c>
      <c r="F6850" s="7" t="n">
        <v>1</v>
      </c>
      <c r="G6850" s="7" t="n">
        <v>64.75</v>
      </c>
    </row>
    <row r="6851" customFormat="false" ht="15" hidden="false" customHeight="false" outlineLevel="0" collapsed="false">
      <c r="A6851" s="7" t="s">
        <v>24</v>
      </c>
      <c r="B6851" s="7" t="s">
        <v>245</v>
      </c>
      <c r="C6851" s="7" t="s">
        <v>1161</v>
      </c>
      <c r="D6851" s="7" t="n">
        <v>0</v>
      </c>
      <c r="E6851" s="7" t="n">
        <v>0</v>
      </c>
      <c r="F6851" s="7" t="n">
        <v>1</v>
      </c>
      <c r="G6851" s="7" t="n">
        <v>71.95</v>
      </c>
    </row>
    <row r="6852" customFormat="false" ht="15" hidden="false" customHeight="false" outlineLevel="0" collapsed="false">
      <c r="A6852" s="7" t="s">
        <v>24</v>
      </c>
      <c r="B6852" s="7" t="s">
        <v>245</v>
      </c>
      <c r="C6852" s="7" t="s">
        <v>1161</v>
      </c>
      <c r="D6852" s="7" t="n">
        <v>0</v>
      </c>
      <c r="E6852" s="7" t="n">
        <v>0</v>
      </c>
      <c r="F6852" s="7" t="n">
        <v>1</v>
      </c>
      <c r="G6852" s="7" t="n">
        <v>71.95</v>
      </c>
    </row>
    <row r="6853" customFormat="false" ht="15" hidden="false" customHeight="false" outlineLevel="0" collapsed="false">
      <c r="A6853" s="7" t="s">
        <v>24</v>
      </c>
      <c r="B6853" s="7" t="s">
        <v>245</v>
      </c>
      <c r="C6853" s="7" t="s">
        <v>1161</v>
      </c>
      <c r="D6853" s="7" t="n">
        <v>135</v>
      </c>
      <c r="E6853" s="7" t="n">
        <v>9155.69</v>
      </c>
      <c r="F6853" s="7" t="n">
        <v>67</v>
      </c>
      <c r="G6853" s="7" t="n">
        <v>4566.57</v>
      </c>
    </row>
    <row r="6854" customFormat="false" ht="15" hidden="false" customHeight="false" outlineLevel="0" collapsed="false">
      <c r="A6854" s="7" t="s">
        <v>24</v>
      </c>
      <c r="B6854" s="7" t="s">
        <v>245</v>
      </c>
      <c r="C6854" s="7" t="s">
        <v>1161</v>
      </c>
      <c r="D6854" s="7" t="n">
        <v>0</v>
      </c>
      <c r="E6854" s="7" t="n">
        <v>0</v>
      </c>
      <c r="F6854" s="7" t="n">
        <v>2</v>
      </c>
      <c r="G6854" s="7" t="n">
        <v>133.12</v>
      </c>
    </row>
    <row r="6855" customFormat="false" ht="15" hidden="false" customHeight="false" outlineLevel="0" collapsed="false">
      <c r="A6855" s="7" t="s">
        <v>24</v>
      </c>
      <c r="B6855" s="7" t="s">
        <v>245</v>
      </c>
      <c r="C6855" s="7" t="s">
        <v>1161</v>
      </c>
      <c r="D6855" s="7" t="n">
        <v>0</v>
      </c>
      <c r="E6855" s="7" t="n">
        <v>0</v>
      </c>
      <c r="F6855" s="7" t="n">
        <v>1</v>
      </c>
      <c r="G6855" s="7" t="n">
        <v>61.16</v>
      </c>
    </row>
    <row r="6856" customFormat="false" ht="15" hidden="false" customHeight="false" outlineLevel="0" collapsed="false">
      <c r="A6856" s="7" t="s">
        <v>24</v>
      </c>
      <c r="B6856" s="7" t="s">
        <v>245</v>
      </c>
      <c r="C6856" s="7" t="s">
        <v>1161</v>
      </c>
      <c r="D6856" s="7" t="n">
        <v>0</v>
      </c>
      <c r="E6856" s="7" t="n">
        <v>0</v>
      </c>
      <c r="F6856" s="7" t="n">
        <v>1</v>
      </c>
      <c r="G6856" s="7" t="n">
        <v>71.95</v>
      </c>
    </row>
    <row r="6857" customFormat="false" ht="15" hidden="false" customHeight="false" outlineLevel="0" collapsed="false">
      <c r="A6857" s="7" t="s">
        <v>24</v>
      </c>
      <c r="B6857" s="7" t="s">
        <v>245</v>
      </c>
      <c r="C6857" s="7" t="s">
        <v>1161</v>
      </c>
      <c r="D6857" s="7" t="n">
        <v>0</v>
      </c>
      <c r="E6857" s="7" t="n">
        <v>0</v>
      </c>
      <c r="F6857" s="7" t="n">
        <v>2</v>
      </c>
      <c r="G6857" s="7" t="n">
        <v>140.31</v>
      </c>
    </row>
    <row r="6858" customFormat="false" ht="15" hidden="false" customHeight="false" outlineLevel="0" collapsed="false">
      <c r="A6858" s="7" t="s">
        <v>24</v>
      </c>
      <c r="B6858" s="7" t="s">
        <v>245</v>
      </c>
      <c r="C6858" s="7" t="s">
        <v>1161</v>
      </c>
      <c r="D6858" s="7" t="n">
        <v>0</v>
      </c>
      <c r="E6858" s="7" t="n">
        <v>0</v>
      </c>
      <c r="F6858" s="7" t="n">
        <v>2</v>
      </c>
      <c r="G6858" s="7" t="n">
        <v>136.71</v>
      </c>
    </row>
    <row r="6859" customFormat="false" ht="15" hidden="false" customHeight="false" outlineLevel="0" collapsed="false">
      <c r="A6859" s="7" t="s">
        <v>24</v>
      </c>
      <c r="B6859" s="7" t="s">
        <v>245</v>
      </c>
      <c r="C6859" s="7" t="s">
        <v>1161</v>
      </c>
      <c r="D6859" s="7" t="n">
        <v>0</v>
      </c>
      <c r="E6859" s="7" t="n">
        <v>0</v>
      </c>
      <c r="F6859" s="7" t="n">
        <v>2</v>
      </c>
      <c r="G6859" s="7" t="n">
        <v>133.11</v>
      </c>
    </row>
    <row r="6860" customFormat="false" ht="15" hidden="false" customHeight="false" outlineLevel="0" collapsed="false">
      <c r="A6860" s="7" t="s">
        <v>24</v>
      </c>
      <c r="B6860" s="7" t="s">
        <v>245</v>
      </c>
      <c r="C6860" s="7" t="s">
        <v>1161</v>
      </c>
      <c r="D6860" s="7" t="n">
        <v>0</v>
      </c>
      <c r="E6860" s="7" t="n">
        <v>0</v>
      </c>
      <c r="F6860" s="7" t="n">
        <v>1</v>
      </c>
      <c r="G6860" s="7" t="n">
        <v>71.95</v>
      </c>
    </row>
    <row r="6861" customFormat="false" ht="15" hidden="false" customHeight="false" outlineLevel="0" collapsed="false">
      <c r="A6861" s="7" t="s">
        <v>24</v>
      </c>
      <c r="B6861" s="7" t="s">
        <v>245</v>
      </c>
      <c r="C6861" s="7" t="s">
        <v>1161</v>
      </c>
      <c r="D6861" s="7" t="n">
        <v>0</v>
      </c>
      <c r="E6861" s="7" t="n">
        <v>0</v>
      </c>
      <c r="F6861" s="7" t="n">
        <v>1</v>
      </c>
      <c r="G6861" s="7" t="n">
        <v>71.95</v>
      </c>
    </row>
    <row r="6862" customFormat="false" ht="15" hidden="false" customHeight="false" outlineLevel="0" collapsed="false">
      <c r="A6862" s="7" t="s">
        <v>24</v>
      </c>
      <c r="B6862" s="7" t="s">
        <v>245</v>
      </c>
      <c r="C6862" s="7" t="s">
        <v>1161</v>
      </c>
      <c r="D6862" s="7" t="n">
        <v>0</v>
      </c>
      <c r="E6862" s="7" t="n">
        <v>0</v>
      </c>
      <c r="F6862" s="7" t="n">
        <v>1</v>
      </c>
      <c r="G6862" s="7" t="n">
        <v>71.96</v>
      </c>
    </row>
    <row r="6863" customFormat="false" ht="15" hidden="false" customHeight="false" outlineLevel="0" collapsed="false">
      <c r="A6863" s="7" t="s">
        <v>24</v>
      </c>
      <c r="B6863" s="7" t="s">
        <v>245</v>
      </c>
      <c r="C6863" s="7" t="s">
        <v>1161</v>
      </c>
      <c r="D6863" s="7" t="n">
        <v>0</v>
      </c>
      <c r="E6863" s="7" t="n">
        <v>0</v>
      </c>
      <c r="F6863" s="7" t="n">
        <v>1</v>
      </c>
      <c r="G6863" s="7" t="n">
        <v>64.75</v>
      </c>
    </row>
    <row r="6864" customFormat="false" ht="15" hidden="false" customHeight="false" outlineLevel="0" collapsed="false">
      <c r="A6864" s="7" t="s">
        <v>24</v>
      </c>
      <c r="B6864" s="7" t="s">
        <v>245</v>
      </c>
      <c r="C6864" s="7" t="s">
        <v>1161</v>
      </c>
      <c r="D6864" s="7" t="n">
        <v>0</v>
      </c>
      <c r="E6864" s="7" t="n">
        <v>0</v>
      </c>
      <c r="F6864" s="7" t="n">
        <v>2</v>
      </c>
      <c r="G6864" s="7" t="n">
        <v>143.9</v>
      </c>
    </row>
    <row r="6865" customFormat="false" ht="15" hidden="false" customHeight="false" outlineLevel="0" collapsed="false">
      <c r="A6865" s="7" t="s">
        <v>24</v>
      </c>
      <c r="B6865" s="7" t="s">
        <v>245</v>
      </c>
      <c r="C6865" s="7" t="s">
        <v>1161</v>
      </c>
      <c r="D6865" s="7" t="n">
        <v>0</v>
      </c>
      <c r="E6865" s="7" t="n">
        <v>0</v>
      </c>
      <c r="F6865" s="7" t="n">
        <v>4</v>
      </c>
      <c r="G6865" s="7" t="n">
        <v>269.83</v>
      </c>
    </row>
    <row r="6866" customFormat="false" ht="15" hidden="false" customHeight="false" outlineLevel="0" collapsed="false">
      <c r="A6866" s="7" t="s">
        <v>24</v>
      </c>
      <c r="B6866" s="7" t="s">
        <v>245</v>
      </c>
      <c r="C6866" s="7" t="s">
        <v>1161</v>
      </c>
      <c r="D6866" s="7" t="n">
        <v>0</v>
      </c>
      <c r="E6866" s="7" t="n">
        <v>0</v>
      </c>
      <c r="F6866" s="7" t="n">
        <v>1</v>
      </c>
      <c r="G6866" s="7" t="n">
        <v>64.75</v>
      </c>
    </row>
    <row r="6867" customFormat="false" ht="15" hidden="false" customHeight="false" outlineLevel="0" collapsed="false">
      <c r="A6867" s="7" t="s">
        <v>24</v>
      </c>
      <c r="B6867" s="7" t="s">
        <v>245</v>
      </c>
      <c r="C6867" s="7" t="s">
        <v>1161</v>
      </c>
      <c r="D6867" s="7" t="n">
        <v>0</v>
      </c>
      <c r="E6867" s="7" t="n">
        <v>0</v>
      </c>
      <c r="F6867" s="7" t="n">
        <v>1</v>
      </c>
      <c r="G6867" s="7" t="n">
        <v>61.17</v>
      </c>
    </row>
    <row r="6868" customFormat="false" ht="15" hidden="false" customHeight="false" outlineLevel="0" collapsed="false">
      <c r="A6868" s="7" t="s">
        <v>24</v>
      </c>
      <c r="B6868" s="7" t="s">
        <v>245</v>
      </c>
      <c r="C6868" s="7" t="s">
        <v>1161</v>
      </c>
      <c r="D6868" s="7" t="n">
        <v>0</v>
      </c>
      <c r="E6868" s="7" t="n">
        <v>0</v>
      </c>
      <c r="F6868" s="7" t="n">
        <v>2</v>
      </c>
      <c r="G6868" s="7" t="n">
        <v>133.12</v>
      </c>
    </row>
    <row r="6869" customFormat="false" ht="15" hidden="false" customHeight="false" outlineLevel="0" collapsed="false">
      <c r="A6869" s="7" t="s">
        <v>24</v>
      </c>
      <c r="B6869" s="7" t="s">
        <v>245</v>
      </c>
      <c r="C6869" s="7" t="s">
        <v>1161</v>
      </c>
      <c r="D6869" s="7" t="n">
        <v>0</v>
      </c>
      <c r="E6869" s="7" t="n">
        <v>0</v>
      </c>
      <c r="F6869" s="7" t="n">
        <v>1</v>
      </c>
      <c r="G6869" s="7" t="n">
        <v>71.95</v>
      </c>
    </row>
    <row r="6870" customFormat="false" ht="15" hidden="false" customHeight="false" outlineLevel="0" collapsed="false">
      <c r="A6870" s="7" t="s">
        <v>24</v>
      </c>
      <c r="B6870" s="7" t="s">
        <v>245</v>
      </c>
      <c r="C6870" s="7" t="s">
        <v>1161</v>
      </c>
      <c r="D6870" s="7" t="n">
        <v>0</v>
      </c>
      <c r="E6870" s="7" t="n">
        <v>0</v>
      </c>
      <c r="F6870" s="7" t="n">
        <v>1</v>
      </c>
      <c r="G6870" s="7" t="n">
        <v>64.75</v>
      </c>
    </row>
    <row r="6871" customFormat="false" ht="15" hidden="false" customHeight="false" outlineLevel="0" collapsed="false">
      <c r="A6871" s="7" t="s">
        <v>24</v>
      </c>
      <c r="B6871" s="7" t="s">
        <v>245</v>
      </c>
      <c r="C6871" s="7" t="s">
        <v>1161</v>
      </c>
      <c r="D6871" s="7" t="n">
        <v>0</v>
      </c>
      <c r="E6871" s="7" t="n">
        <v>0</v>
      </c>
      <c r="F6871" s="7" t="n">
        <v>1</v>
      </c>
      <c r="G6871" s="7" t="n">
        <v>61.17</v>
      </c>
    </row>
    <row r="6872" customFormat="false" ht="15" hidden="false" customHeight="false" outlineLevel="0" collapsed="false">
      <c r="A6872" s="7" t="s">
        <v>24</v>
      </c>
      <c r="B6872" s="7" t="s">
        <v>245</v>
      </c>
      <c r="C6872" s="7" t="s">
        <v>1161</v>
      </c>
      <c r="D6872" s="7" t="n">
        <v>0</v>
      </c>
      <c r="E6872" s="7" t="n">
        <v>0</v>
      </c>
      <c r="F6872" s="7" t="n">
        <v>1</v>
      </c>
      <c r="G6872" s="7" t="n">
        <v>61.17</v>
      </c>
    </row>
    <row r="6873" customFormat="false" ht="15" hidden="false" customHeight="false" outlineLevel="0" collapsed="false">
      <c r="A6873" s="7" t="s">
        <v>24</v>
      </c>
      <c r="B6873" s="7" t="s">
        <v>245</v>
      </c>
      <c r="C6873" s="7" t="s">
        <v>1161</v>
      </c>
      <c r="D6873" s="7" t="n">
        <v>0</v>
      </c>
      <c r="E6873" s="7" t="n">
        <v>0</v>
      </c>
      <c r="F6873" s="7" t="n">
        <v>1</v>
      </c>
      <c r="G6873" s="7" t="n">
        <v>71.95</v>
      </c>
    </row>
    <row r="6874" customFormat="false" ht="15" hidden="false" customHeight="false" outlineLevel="0" collapsed="false">
      <c r="A6874" s="7" t="s">
        <v>24</v>
      </c>
      <c r="B6874" s="7" t="s">
        <v>245</v>
      </c>
      <c r="C6874" s="7" t="s">
        <v>1161</v>
      </c>
      <c r="D6874" s="7" t="n">
        <v>0</v>
      </c>
      <c r="E6874" s="7" t="n">
        <v>0</v>
      </c>
      <c r="F6874" s="7" t="n">
        <v>2</v>
      </c>
      <c r="G6874" s="7" t="n">
        <v>129.51</v>
      </c>
    </row>
    <row r="6875" customFormat="false" ht="15" hidden="false" customHeight="false" outlineLevel="0" collapsed="false">
      <c r="A6875" s="7" t="s">
        <v>24</v>
      </c>
      <c r="B6875" s="7" t="s">
        <v>245</v>
      </c>
      <c r="C6875" s="7" t="s">
        <v>1161</v>
      </c>
      <c r="D6875" s="7" t="n">
        <v>0</v>
      </c>
      <c r="E6875" s="7" t="n">
        <v>0</v>
      </c>
      <c r="F6875" s="7" t="n">
        <v>1</v>
      </c>
      <c r="G6875" s="7" t="n">
        <v>71.95</v>
      </c>
    </row>
    <row r="6876" customFormat="false" ht="15" hidden="false" customHeight="false" outlineLevel="0" collapsed="false">
      <c r="A6876" s="7" t="s">
        <v>24</v>
      </c>
      <c r="B6876" s="7" t="s">
        <v>245</v>
      </c>
      <c r="C6876" s="7" t="s">
        <v>1161</v>
      </c>
      <c r="D6876" s="7" t="n">
        <v>0</v>
      </c>
      <c r="E6876" s="7" t="n">
        <v>0</v>
      </c>
      <c r="F6876" s="7" t="n">
        <v>2</v>
      </c>
      <c r="G6876" s="7" t="n">
        <v>133.12</v>
      </c>
    </row>
    <row r="6877" customFormat="false" ht="15" hidden="false" customHeight="false" outlineLevel="0" collapsed="false">
      <c r="A6877" s="7" t="s">
        <v>24</v>
      </c>
      <c r="B6877" s="7" t="s">
        <v>245</v>
      </c>
      <c r="C6877" s="7" t="s">
        <v>1161</v>
      </c>
      <c r="D6877" s="7" t="n">
        <v>0</v>
      </c>
      <c r="E6877" s="7" t="n">
        <v>0</v>
      </c>
      <c r="F6877" s="7" t="n">
        <v>1</v>
      </c>
      <c r="G6877" s="7" t="n">
        <v>61.16</v>
      </c>
    </row>
    <row r="6878" customFormat="false" ht="15" hidden="false" customHeight="false" outlineLevel="0" collapsed="false">
      <c r="A6878" s="7" t="s">
        <v>24</v>
      </c>
      <c r="B6878" s="7" t="s">
        <v>245</v>
      </c>
      <c r="C6878" s="7" t="s">
        <v>1161</v>
      </c>
      <c r="D6878" s="7" t="n">
        <v>0</v>
      </c>
      <c r="E6878" s="7" t="n">
        <v>0</v>
      </c>
      <c r="F6878" s="7" t="n">
        <v>3</v>
      </c>
      <c r="G6878" s="7" t="n">
        <v>201.46</v>
      </c>
    </row>
    <row r="6879" customFormat="false" ht="15" hidden="false" customHeight="false" outlineLevel="0" collapsed="false">
      <c r="A6879" s="7" t="s">
        <v>24</v>
      </c>
      <c r="B6879" s="7" t="s">
        <v>245</v>
      </c>
      <c r="C6879" s="7" t="s">
        <v>1161</v>
      </c>
      <c r="D6879" s="7" t="n">
        <v>0</v>
      </c>
      <c r="E6879" s="7" t="n">
        <v>0</v>
      </c>
      <c r="F6879" s="7" t="n">
        <v>1</v>
      </c>
      <c r="G6879" s="7" t="n">
        <v>71.95</v>
      </c>
    </row>
    <row r="6880" customFormat="false" ht="15" hidden="false" customHeight="false" outlineLevel="0" collapsed="false">
      <c r="A6880" s="7" t="s">
        <v>24</v>
      </c>
      <c r="B6880" s="7" t="s">
        <v>245</v>
      </c>
      <c r="C6880" s="7" t="s">
        <v>1161</v>
      </c>
      <c r="D6880" s="7" t="n">
        <v>0</v>
      </c>
      <c r="E6880" s="7" t="n">
        <v>0</v>
      </c>
      <c r="F6880" s="7" t="n">
        <v>2</v>
      </c>
      <c r="G6880" s="7" t="n">
        <v>136.71</v>
      </c>
    </row>
    <row r="6881" customFormat="false" ht="15" hidden="false" customHeight="false" outlineLevel="0" collapsed="false">
      <c r="A6881" s="7" t="s">
        <v>24</v>
      </c>
      <c r="B6881" s="7" t="s">
        <v>245</v>
      </c>
      <c r="C6881" s="7" t="s">
        <v>1161</v>
      </c>
      <c r="D6881" s="7" t="n">
        <v>0</v>
      </c>
      <c r="E6881" s="7" t="n">
        <v>0</v>
      </c>
      <c r="F6881" s="7" t="n">
        <v>1</v>
      </c>
      <c r="G6881" s="7" t="n">
        <v>64.76</v>
      </c>
    </row>
    <row r="6882" customFormat="false" ht="15" hidden="false" customHeight="false" outlineLevel="0" collapsed="false">
      <c r="A6882" s="7" t="s">
        <v>24</v>
      </c>
      <c r="B6882" s="7" t="s">
        <v>245</v>
      </c>
      <c r="C6882" s="7" t="s">
        <v>1161</v>
      </c>
      <c r="D6882" s="7" t="n">
        <v>0</v>
      </c>
      <c r="E6882" s="7" t="n">
        <v>0</v>
      </c>
      <c r="F6882" s="7" t="n">
        <v>1</v>
      </c>
      <c r="G6882" s="7" t="n">
        <v>71.95</v>
      </c>
    </row>
    <row r="6883" customFormat="false" ht="15" hidden="false" customHeight="false" outlineLevel="0" collapsed="false">
      <c r="A6883" s="7" t="s">
        <v>24</v>
      </c>
      <c r="B6883" s="7" t="s">
        <v>245</v>
      </c>
      <c r="C6883" s="7" t="s">
        <v>1161</v>
      </c>
      <c r="D6883" s="7" t="n">
        <v>0</v>
      </c>
      <c r="E6883" s="7" t="n">
        <v>0</v>
      </c>
      <c r="F6883" s="7" t="n">
        <v>2</v>
      </c>
      <c r="G6883" s="7" t="n">
        <v>143.9</v>
      </c>
    </row>
    <row r="6884" customFormat="false" ht="15" hidden="false" customHeight="false" outlineLevel="0" collapsed="false">
      <c r="A6884" s="7" t="s">
        <v>24</v>
      </c>
      <c r="B6884" s="7" t="s">
        <v>245</v>
      </c>
      <c r="C6884" s="7" t="s">
        <v>1161</v>
      </c>
      <c r="D6884" s="7" t="n">
        <v>0</v>
      </c>
      <c r="E6884" s="7" t="n">
        <v>0</v>
      </c>
      <c r="F6884" s="7" t="n">
        <v>2</v>
      </c>
      <c r="G6884" s="7" t="n">
        <v>143.9</v>
      </c>
    </row>
    <row r="6885" customFormat="false" ht="15" hidden="false" customHeight="false" outlineLevel="0" collapsed="false">
      <c r="A6885" s="7" t="s">
        <v>24</v>
      </c>
      <c r="B6885" s="7" t="s">
        <v>245</v>
      </c>
      <c r="C6885" s="7" t="s">
        <v>1161</v>
      </c>
      <c r="D6885" s="7" t="n">
        <v>0</v>
      </c>
      <c r="E6885" s="7" t="n">
        <v>0</v>
      </c>
      <c r="F6885" s="7" t="n">
        <v>1</v>
      </c>
      <c r="G6885" s="7" t="n">
        <v>64.75</v>
      </c>
    </row>
    <row r="6886" customFormat="false" ht="15" hidden="false" customHeight="false" outlineLevel="0" collapsed="false">
      <c r="A6886" s="7" t="s">
        <v>24</v>
      </c>
      <c r="B6886" s="7" t="s">
        <v>245</v>
      </c>
      <c r="C6886" s="7" t="s">
        <v>1161</v>
      </c>
      <c r="D6886" s="7" t="n">
        <v>42</v>
      </c>
      <c r="E6886" s="7" t="n">
        <v>2424.25</v>
      </c>
      <c r="F6886" s="7" t="n">
        <v>0</v>
      </c>
      <c r="G6886" s="7" t="n">
        <v>0</v>
      </c>
    </row>
    <row r="6887" customFormat="false" ht="15" hidden="false" customHeight="false" outlineLevel="0" collapsed="false">
      <c r="A6887" s="7" t="s">
        <v>24</v>
      </c>
      <c r="B6887" s="7" t="s">
        <v>245</v>
      </c>
      <c r="C6887" s="7" t="s">
        <v>1161</v>
      </c>
      <c r="D6887" s="7" t="n">
        <v>0</v>
      </c>
      <c r="E6887" s="7" t="n">
        <v>0</v>
      </c>
      <c r="F6887" s="7" t="n">
        <v>1</v>
      </c>
      <c r="G6887" s="7" t="n">
        <v>64.76</v>
      </c>
    </row>
    <row r="6888" customFormat="false" ht="15" hidden="false" customHeight="false" outlineLevel="0" collapsed="false">
      <c r="A6888" s="7" t="s">
        <v>24</v>
      </c>
      <c r="B6888" s="7" t="s">
        <v>245</v>
      </c>
      <c r="C6888" s="7" t="s">
        <v>1161</v>
      </c>
      <c r="D6888" s="7" t="n">
        <v>0</v>
      </c>
      <c r="E6888" s="7" t="n">
        <v>0</v>
      </c>
      <c r="F6888" s="7" t="n">
        <v>2</v>
      </c>
      <c r="G6888" s="7" t="n">
        <v>129.51</v>
      </c>
    </row>
    <row r="6889" customFormat="false" ht="15" hidden="false" customHeight="false" outlineLevel="0" collapsed="false">
      <c r="A6889" s="7" t="s">
        <v>24</v>
      </c>
      <c r="B6889" s="7" t="s">
        <v>245</v>
      </c>
      <c r="C6889" s="7" t="s">
        <v>1161</v>
      </c>
      <c r="D6889" s="7" t="n">
        <v>0</v>
      </c>
      <c r="E6889" s="7" t="n">
        <v>0</v>
      </c>
      <c r="F6889" s="7" t="n">
        <v>2</v>
      </c>
      <c r="G6889" s="7" t="n">
        <v>133.12</v>
      </c>
    </row>
    <row r="6890" customFormat="false" ht="15" hidden="false" customHeight="false" outlineLevel="0" collapsed="false">
      <c r="A6890" s="7" t="s">
        <v>24</v>
      </c>
      <c r="B6890" s="7" t="s">
        <v>245</v>
      </c>
      <c r="C6890" s="7" t="s">
        <v>1161</v>
      </c>
      <c r="D6890" s="7" t="n">
        <v>0</v>
      </c>
      <c r="E6890" s="7" t="n">
        <v>0</v>
      </c>
      <c r="F6890" s="7" t="n">
        <v>1</v>
      </c>
      <c r="G6890" s="7" t="n">
        <v>71.95</v>
      </c>
    </row>
    <row r="6891" customFormat="false" ht="15" hidden="false" customHeight="false" outlineLevel="0" collapsed="false">
      <c r="A6891" s="7" t="s">
        <v>24</v>
      </c>
      <c r="B6891" s="7" t="s">
        <v>245</v>
      </c>
      <c r="C6891" s="7" t="s">
        <v>1161</v>
      </c>
      <c r="D6891" s="7" t="n">
        <v>0</v>
      </c>
      <c r="E6891" s="7" t="n">
        <v>0</v>
      </c>
      <c r="F6891" s="7" t="n">
        <v>3</v>
      </c>
      <c r="G6891" s="7" t="n">
        <v>201.45</v>
      </c>
    </row>
    <row r="6892" customFormat="false" ht="15" hidden="false" customHeight="false" outlineLevel="0" collapsed="false">
      <c r="A6892" s="7" t="s">
        <v>24</v>
      </c>
      <c r="B6892" s="7" t="s">
        <v>245</v>
      </c>
      <c r="C6892" s="7" t="s">
        <v>1161</v>
      </c>
      <c r="D6892" s="7" t="n">
        <v>0</v>
      </c>
      <c r="E6892" s="7" t="n">
        <v>0</v>
      </c>
      <c r="F6892" s="7" t="n">
        <v>4</v>
      </c>
      <c r="G6892" s="7" t="n">
        <v>266.21</v>
      </c>
    </row>
    <row r="6893" customFormat="false" ht="15" hidden="false" customHeight="false" outlineLevel="0" collapsed="false">
      <c r="A6893" s="7" t="s">
        <v>24</v>
      </c>
      <c r="B6893" s="7" t="s">
        <v>245</v>
      </c>
      <c r="C6893" s="7" t="s">
        <v>1161</v>
      </c>
      <c r="D6893" s="7" t="n">
        <v>0</v>
      </c>
      <c r="E6893" s="7" t="n">
        <v>0</v>
      </c>
      <c r="F6893" s="7" t="n">
        <v>1</v>
      </c>
      <c r="G6893" s="7" t="n">
        <v>64.76</v>
      </c>
    </row>
    <row r="6894" customFormat="false" ht="15" hidden="false" customHeight="false" outlineLevel="0" collapsed="false">
      <c r="A6894" s="7" t="s">
        <v>24</v>
      </c>
      <c r="B6894" s="7" t="s">
        <v>237</v>
      </c>
      <c r="C6894" s="7" t="s">
        <v>1069</v>
      </c>
      <c r="D6894" s="7" t="n">
        <v>0</v>
      </c>
      <c r="E6894" s="7" t="n">
        <v>0</v>
      </c>
      <c r="F6894" s="7" t="n">
        <v>1</v>
      </c>
      <c r="G6894" s="7" t="n">
        <v>68.57</v>
      </c>
    </row>
    <row r="6895" customFormat="false" ht="15" hidden="false" customHeight="false" outlineLevel="0" collapsed="false">
      <c r="A6895" s="7" t="s">
        <v>24</v>
      </c>
      <c r="B6895" s="7" t="s">
        <v>237</v>
      </c>
      <c r="C6895" s="7" t="s">
        <v>1069</v>
      </c>
      <c r="D6895" s="7" t="n">
        <v>0</v>
      </c>
      <c r="E6895" s="7" t="n">
        <v>0</v>
      </c>
      <c r="F6895" s="7" t="n">
        <v>1</v>
      </c>
      <c r="G6895" s="7" t="n">
        <v>76.19</v>
      </c>
    </row>
    <row r="6896" customFormat="false" ht="15" hidden="false" customHeight="false" outlineLevel="0" collapsed="false">
      <c r="A6896" s="7" t="s">
        <v>24</v>
      </c>
      <c r="B6896" s="7" t="s">
        <v>237</v>
      </c>
      <c r="C6896" s="7" t="s">
        <v>1069</v>
      </c>
      <c r="D6896" s="7" t="n">
        <v>0</v>
      </c>
      <c r="E6896" s="7" t="n">
        <v>0</v>
      </c>
      <c r="F6896" s="7" t="n">
        <v>2</v>
      </c>
      <c r="G6896" s="7" t="n">
        <v>152.37</v>
      </c>
    </row>
    <row r="6897" customFormat="false" ht="15" hidden="false" customHeight="false" outlineLevel="0" collapsed="false">
      <c r="A6897" s="7" t="s">
        <v>24</v>
      </c>
      <c r="B6897" s="7" t="s">
        <v>237</v>
      </c>
      <c r="C6897" s="7" t="s">
        <v>1069</v>
      </c>
      <c r="D6897" s="7" t="n">
        <v>0</v>
      </c>
      <c r="E6897" s="7" t="n">
        <v>0</v>
      </c>
      <c r="F6897" s="7" t="n">
        <v>1</v>
      </c>
      <c r="G6897" s="7" t="n">
        <v>76.18</v>
      </c>
    </row>
    <row r="6898" customFormat="false" ht="15" hidden="false" customHeight="false" outlineLevel="0" collapsed="false">
      <c r="A6898" s="7" t="s">
        <v>24</v>
      </c>
      <c r="B6898" s="7" t="s">
        <v>237</v>
      </c>
      <c r="C6898" s="7" t="s">
        <v>1069</v>
      </c>
      <c r="D6898" s="7" t="n">
        <v>43</v>
      </c>
      <c r="E6898" s="7" t="n">
        <v>3059</v>
      </c>
      <c r="F6898" s="7" t="n">
        <v>9</v>
      </c>
      <c r="G6898" s="7" t="n">
        <v>670.47</v>
      </c>
    </row>
    <row r="6899" customFormat="false" ht="15" hidden="false" customHeight="false" outlineLevel="0" collapsed="false">
      <c r="A6899" s="7" t="s">
        <v>24</v>
      </c>
      <c r="B6899" s="7" t="s">
        <v>237</v>
      </c>
      <c r="C6899" s="7" t="s">
        <v>1069</v>
      </c>
      <c r="D6899" s="7" t="n">
        <v>0</v>
      </c>
      <c r="E6899" s="7" t="n">
        <v>0</v>
      </c>
      <c r="F6899" s="7" t="n">
        <v>1</v>
      </c>
      <c r="G6899" s="7" t="n">
        <v>68.57</v>
      </c>
    </row>
    <row r="6900" customFormat="false" ht="15" hidden="false" customHeight="false" outlineLevel="0" collapsed="false">
      <c r="A6900" s="7" t="s">
        <v>24</v>
      </c>
      <c r="B6900" s="7" t="s">
        <v>237</v>
      </c>
      <c r="C6900" s="7" t="s">
        <v>1069</v>
      </c>
      <c r="D6900" s="7" t="n">
        <v>3</v>
      </c>
      <c r="E6900" s="7" t="n">
        <v>185.73</v>
      </c>
      <c r="F6900" s="7" t="n">
        <v>0</v>
      </c>
      <c r="G6900" s="7" t="n">
        <v>0</v>
      </c>
    </row>
    <row r="6901" customFormat="false" ht="15" hidden="false" customHeight="false" outlineLevel="0" collapsed="false">
      <c r="A6901" s="7" t="s">
        <v>24</v>
      </c>
      <c r="B6901" s="7" t="s">
        <v>237</v>
      </c>
      <c r="C6901" s="7" t="s">
        <v>1069</v>
      </c>
      <c r="D6901" s="7" t="n">
        <v>0</v>
      </c>
      <c r="E6901" s="7" t="n">
        <v>0</v>
      </c>
      <c r="F6901" s="7" t="n">
        <v>1</v>
      </c>
      <c r="G6901" s="7" t="n">
        <v>68.57</v>
      </c>
    </row>
    <row r="6902" customFormat="false" ht="15" hidden="false" customHeight="false" outlineLevel="0" collapsed="false">
      <c r="A6902" s="7" t="s">
        <v>24</v>
      </c>
      <c r="B6902" s="7" t="s">
        <v>237</v>
      </c>
      <c r="C6902" s="7" t="s">
        <v>1069</v>
      </c>
      <c r="D6902" s="7" t="n">
        <v>0</v>
      </c>
      <c r="E6902" s="7" t="n">
        <v>0</v>
      </c>
      <c r="F6902" s="7" t="n">
        <v>1</v>
      </c>
      <c r="G6902" s="7" t="n">
        <v>76.19</v>
      </c>
    </row>
    <row r="6903" customFormat="false" ht="15" hidden="false" customHeight="false" outlineLevel="0" collapsed="false">
      <c r="A6903" s="7" t="s">
        <v>24</v>
      </c>
      <c r="B6903" s="7" t="s">
        <v>237</v>
      </c>
      <c r="C6903" s="7" t="s">
        <v>1069</v>
      </c>
      <c r="D6903" s="7" t="n">
        <v>0</v>
      </c>
      <c r="E6903" s="7" t="n">
        <v>0</v>
      </c>
      <c r="F6903" s="7" t="n">
        <v>1</v>
      </c>
      <c r="G6903" s="7" t="n">
        <v>68.57</v>
      </c>
    </row>
    <row r="6904" customFormat="false" ht="15" hidden="false" customHeight="false" outlineLevel="0" collapsed="false">
      <c r="A6904" s="7" t="s">
        <v>24</v>
      </c>
      <c r="B6904" s="7" t="s">
        <v>237</v>
      </c>
      <c r="C6904" s="7" t="s">
        <v>1069</v>
      </c>
      <c r="D6904" s="7" t="n">
        <v>0</v>
      </c>
      <c r="E6904" s="7" t="n">
        <v>0</v>
      </c>
      <c r="F6904" s="7" t="n">
        <v>1</v>
      </c>
      <c r="G6904" s="7" t="n">
        <v>64.76</v>
      </c>
    </row>
    <row r="6905" customFormat="false" ht="15" hidden="false" customHeight="false" outlineLevel="0" collapsed="false">
      <c r="A6905" s="7" t="s">
        <v>24</v>
      </c>
      <c r="B6905" s="7" t="s">
        <v>237</v>
      </c>
      <c r="C6905" s="7" t="s">
        <v>1069</v>
      </c>
      <c r="D6905" s="7" t="n">
        <v>0</v>
      </c>
      <c r="E6905" s="7" t="n">
        <v>0</v>
      </c>
      <c r="F6905" s="7" t="n">
        <v>1</v>
      </c>
      <c r="G6905" s="7" t="n">
        <v>76.19</v>
      </c>
    </row>
    <row r="6906" customFormat="false" ht="15" hidden="false" customHeight="false" outlineLevel="0" collapsed="false">
      <c r="A6906" s="7" t="s">
        <v>24</v>
      </c>
      <c r="B6906" s="7" t="s">
        <v>237</v>
      </c>
      <c r="C6906" s="7" t="s">
        <v>1069</v>
      </c>
      <c r="D6906" s="7" t="n">
        <v>0</v>
      </c>
      <c r="E6906" s="7" t="n">
        <v>0</v>
      </c>
      <c r="F6906" s="7" t="n">
        <v>1</v>
      </c>
      <c r="G6906" s="7" t="n">
        <v>76.19</v>
      </c>
    </row>
    <row r="6907" customFormat="false" ht="15" hidden="false" customHeight="false" outlineLevel="0" collapsed="false">
      <c r="A6907" s="7" t="s">
        <v>24</v>
      </c>
      <c r="B6907" s="7" t="s">
        <v>237</v>
      </c>
      <c r="C6907" s="7" t="s">
        <v>1069</v>
      </c>
      <c r="D6907" s="7" t="n">
        <v>0</v>
      </c>
      <c r="E6907" s="7" t="n">
        <v>0</v>
      </c>
      <c r="F6907" s="7" t="n">
        <v>1</v>
      </c>
      <c r="G6907" s="7" t="n">
        <v>68.57</v>
      </c>
    </row>
    <row r="6908" customFormat="false" ht="15" hidden="false" customHeight="false" outlineLevel="0" collapsed="false">
      <c r="A6908" s="7" t="s">
        <v>24</v>
      </c>
      <c r="B6908" s="7" t="s">
        <v>237</v>
      </c>
      <c r="C6908" s="7" t="s">
        <v>1069</v>
      </c>
      <c r="D6908" s="7" t="n">
        <v>0</v>
      </c>
      <c r="E6908" s="7" t="n">
        <v>0</v>
      </c>
      <c r="F6908" s="7" t="n">
        <v>1</v>
      </c>
      <c r="G6908" s="7" t="n">
        <v>76.18</v>
      </c>
    </row>
    <row r="6909" customFormat="false" ht="15" hidden="false" customHeight="false" outlineLevel="0" collapsed="false">
      <c r="A6909" s="7" t="s">
        <v>24</v>
      </c>
      <c r="B6909" s="7" t="s">
        <v>237</v>
      </c>
      <c r="C6909" s="7" t="s">
        <v>1069</v>
      </c>
      <c r="D6909" s="7" t="n">
        <v>0</v>
      </c>
      <c r="E6909" s="7" t="n">
        <v>0</v>
      </c>
      <c r="F6909" s="7" t="n">
        <v>1</v>
      </c>
      <c r="G6909" s="7" t="n">
        <v>76.19</v>
      </c>
    </row>
    <row r="6910" customFormat="false" ht="15" hidden="false" customHeight="false" outlineLevel="0" collapsed="false">
      <c r="A6910" s="7" t="s">
        <v>24</v>
      </c>
      <c r="B6910" s="7" t="s">
        <v>237</v>
      </c>
      <c r="C6910" s="7" t="s">
        <v>1069</v>
      </c>
      <c r="D6910" s="7" t="n">
        <v>0</v>
      </c>
      <c r="E6910" s="7" t="n">
        <v>0</v>
      </c>
      <c r="F6910" s="7" t="n">
        <v>1</v>
      </c>
      <c r="G6910" s="7" t="n">
        <v>76.18</v>
      </c>
    </row>
    <row r="6911" customFormat="false" ht="15" hidden="false" customHeight="false" outlineLevel="0" collapsed="false">
      <c r="A6911" s="7" t="s">
        <v>24</v>
      </c>
      <c r="B6911" s="7" t="s">
        <v>534</v>
      </c>
      <c r="C6911" s="7" t="s">
        <v>1274</v>
      </c>
      <c r="D6911" s="7" t="n">
        <v>21</v>
      </c>
      <c r="E6911" s="7" t="n">
        <v>497.93</v>
      </c>
      <c r="F6911" s="7" t="n">
        <v>27</v>
      </c>
      <c r="G6911" s="7" t="n">
        <v>663.92</v>
      </c>
    </row>
    <row r="6912" customFormat="false" ht="15" hidden="false" customHeight="false" outlineLevel="0" collapsed="false">
      <c r="A6912" s="7" t="s">
        <v>24</v>
      </c>
      <c r="B6912" s="7" t="s">
        <v>534</v>
      </c>
      <c r="C6912" s="7" t="s">
        <v>1274</v>
      </c>
      <c r="D6912" s="7" t="n">
        <v>0</v>
      </c>
      <c r="E6912" s="7" t="n">
        <v>0</v>
      </c>
      <c r="F6912" s="7" t="n">
        <v>1</v>
      </c>
      <c r="G6912" s="7" t="n">
        <v>25.34</v>
      </c>
    </row>
    <row r="6913" customFormat="false" ht="15" hidden="false" customHeight="false" outlineLevel="0" collapsed="false">
      <c r="A6913" s="7" t="s">
        <v>24</v>
      </c>
      <c r="B6913" s="7" t="s">
        <v>534</v>
      </c>
      <c r="C6913" s="7" t="s">
        <v>1274</v>
      </c>
      <c r="D6913" s="7" t="n">
        <v>1</v>
      </c>
      <c r="E6913" s="7" t="n">
        <v>23.64</v>
      </c>
      <c r="F6913" s="7" t="n">
        <v>0</v>
      </c>
      <c r="G6913" s="7" t="n">
        <v>0</v>
      </c>
    </row>
    <row r="6914" customFormat="false" ht="15" hidden="false" customHeight="false" outlineLevel="0" collapsed="false">
      <c r="A6914" s="7" t="s">
        <v>24</v>
      </c>
      <c r="B6914" s="7" t="s">
        <v>534</v>
      </c>
      <c r="C6914" s="7" t="s">
        <v>1274</v>
      </c>
      <c r="D6914" s="7" t="n">
        <v>0</v>
      </c>
      <c r="E6914" s="7" t="n">
        <v>0</v>
      </c>
      <c r="F6914" s="7" t="n">
        <v>1</v>
      </c>
      <c r="G6914" s="7" t="n">
        <v>25.34</v>
      </c>
    </row>
    <row r="6915" customFormat="false" ht="15" hidden="false" customHeight="false" outlineLevel="0" collapsed="false">
      <c r="A6915" s="7" t="s">
        <v>24</v>
      </c>
      <c r="B6915" s="7" t="s">
        <v>534</v>
      </c>
      <c r="C6915" s="7" t="s">
        <v>1274</v>
      </c>
      <c r="D6915" s="7" t="n">
        <v>0</v>
      </c>
      <c r="E6915" s="7" t="n">
        <v>0</v>
      </c>
      <c r="F6915" s="7" t="n">
        <v>1</v>
      </c>
      <c r="G6915" s="7" t="n">
        <v>25.34</v>
      </c>
    </row>
    <row r="6916" customFormat="false" ht="15" hidden="false" customHeight="false" outlineLevel="0" collapsed="false">
      <c r="A6916" s="7" t="s">
        <v>24</v>
      </c>
      <c r="B6916" s="7" t="s">
        <v>534</v>
      </c>
      <c r="C6916" s="7" t="s">
        <v>1274</v>
      </c>
      <c r="D6916" s="7" t="n">
        <v>0</v>
      </c>
      <c r="E6916" s="7" t="n">
        <v>0</v>
      </c>
      <c r="F6916" s="7" t="n">
        <v>1</v>
      </c>
      <c r="G6916" s="7" t="n">
        <v>22.8</v>
      </c>
    </row>
    <row r="6917" customFormat="false" ht="15" hidden="false" customHeight="false" outlineLevel="0" collapsed="false">
      <c r="A6917" s="7" t="s">
        <v>24</v>
      </c>
      <c r="B6917" s="7" t="s">
        <v>534</v>
      </c>
      <c r="C6917" s="7" t="s">
        <v>1274</v>
      </c>
      <c r="D6917" s="7" t="n">
        <v>0</v>
      </c>
      <c r="E6917" s="7" t="n">
        <v>0</v>
      </c>
      <c r="F6917" s="7" t="n">
        <v>1</v>
      </c>
      <c r="G6917" s="7" t="n">
        <v>25.34</v>
      </c>
    </row>
    <row r="6918" customFormat="false" ht="15" hidden="false" customHeight="false" outlineLevel="0" collapsed="false">
      <c r="A6918" s="7" t="s">
        <v>24</v>
      </c>
      <c r="B6918" s="7" t="s">
        <v>534</v>
      </c>
      <c r="C6918" s="7" t="s">
        <v>1274</v>
      </c>
      <c r="D6918" s="7" t="n">
        <v>0</v>
      </c>
      <c r="E6918" s="7" t="n">
        <v>0</v>
      </c>
      <c r="F6918" s="7" t="n">
        <v>1</v>
      </c>
      <c r="G6918" s="7" t="n">
        <v>25.34</v>
      </c>
    </row>
    <row r="6919" customFormat="false" ht="15" hidden="false" customHeight="false" outlineLevel="0" collapsed="false">
      <c r="A6919" s="7" t="s">
        <v>24</v>
      </c>
      <c r="B6919" s="7" t="s">
        <v>320</v>
      </c>
      <c r="C6919" s="7" t="s">
        <v>1070</v>
      </c>
      <c r="D6919" s="7" t="n">
        <v>94</v>
      </c>
      <c r="E6919" s="7" t="n">
        <v>3318.1</v>
      </c>
      <c r="F6919" s="7" t="n">
        <v>55</v>
      </c>
      <c r="G6919" s="7" t="n">
        <v>1998.37</v>
      </c>
    </row>
    <row r="6920" customFormat="false" ht="15" hidden="false" customHeight="false" outlineLevel="0" collapsed="false">
      <c r="A6920" s="7" t="s">
        <v>24</v>
      </c>
      <c r="B6920" s="7" t="s">
        <v>320</v>
      </c>
      <c r="C6920" s="7" t="s">
        <v>1070</v>
      </c>
      <c r="D6920" s="7" t="n">
        <v>0</v>
      </c>
      <c r="E6920" s="7" t="n">
        <v>0</v>
      </c>
      <c r="F6920" s="7" t="n">
        <v>1</v>
      </c>
      <c r="G6920" s="7" t="n">
        <v>38.9</v>
      </c>
    </row>
    <row r="6921" customFormat="false" ht="15" hidden="false" customHeight="false" outlineLevel="0" collapsed="false">
      <c r="A6921" s="7" t="s">
        <v>24</v>
      </c>
      <c r="B6921" s="7" t="s">
        <v>320</v>
      </c>
      <c r="C6921" s="7" t="s">
        <v>1070</v>
      </c>
      <c r="D6921" s="7" t="n">
        <v>0</v>
      </c>
      <c r="E6921" s="7" t="n">
        <v>0</v>
      </c>
      <c r="F6921" s="7" t="n">
        <v>1</v>
      </c>
      <c r="G6921" s="7" t="n">
        <v>38.9</v>
      </c>
    </row>
    <row r="6922" customFormat="false" ht="15" hidden="false" customHeight="false" outlineLevel="0" collapsed="false">
      <c r="A6922" s="7" t="s">
        <v>24</v>
      </c>
      <c r="B6922" s="7" t="s">
        <v>320</v>
      </c>
      <c r="C6922" s="7" t="s">
        <v>1070</v>
      </c>
      <c r="D6922" s="7" t="n">
        <v>0</v>
      </c>
      <c r="E6922" s="7" t="n">
        <v>0</v>
      </c>
      <c r="F6922" s="7" t="n">
        <v>5</v>
      </c>
      <c r="G6922" s="7" t="n">
        <v>186.72</v>
      </c>
    </row>
    <row r="6923" customFormat="false" ht="15" hidden="false" customHeight="false" outlineLevel="0" collapsed="false">
      <c r="A6923" s="7" t="s">
        <v>24</v>
      </c>
      <c r="B6923" s="7" t="s">
        <v>320</v>
      </c>
      <c r="C6923" s="7" t="s">
        <v>1070</v>
      </c>
      <c r="D6923" s="7" t="n">
        <v>0</v>
      </c>
      <c r="E6923" s="7" t="n">
        <v>0</v>
      </c>
      <c r="F6923" s="7" t="n">
        <v>2</v>
      </c>
      <c r="G6923" s="7" t="n">
        <v>70.02</v>
      </c>
    </row>
    <row r="6924" customFormat="false" ht="15" hidden="false" customHeight="false" outlineLevel="0" collapsed="false">
      <c r="A6924" s="7" t="s">
        <v>24</v>
      </c>
      <c r="B6924" s="7" t="s">
        <v>320</v>
      </c>
      <c r="C6924" s="7" t="s">
        <v>1070</v>
      </c>
      <c r="D6924" s="7" t="n">
        <v>0</v>
      </c>
      <c r="E6924" s="7" t="n">
        <v>0</v>
      </c>
      <c r="F6924" s="7" t="n">
        <v>1</v>
      </c>
      <c r="G6924" s="7" t="n">
        <v>33.07</v>
      </c>
    </row>
    <row r="6925" customFormat="false" ht="15" hidden="false" customHeight="false" outlineLevel="0" collapsed="false">
      <c r="A6925" s="7" t="s">
        <v>24</v>
      </c>
      <c r="B6925" s="7" t="s">
        <v>320</v>
      </c>
      <c r="C6925" s="7" t="s">
        <v>1070</v>
      </c>
      <c r="D6925" s="7" t="n">
        <v>0</v>
      </c>
      <c r="E6925" s="7" t="n">
        <v>0</v>
      </c>
      <c r="F6925" s="7" t="n">
        <v>1</v>
      </c>
      <c r="G6925" s="7" t="n">
        <v>33.06</v>
      </c>
    </row>
    <row r="6926" customFormat="false" ht="15" hidden="false" customHeight="false" outlineLevel="0" collapsed="false">
      <c r="A6926" s="7" t="s">
        <v>24</v>
      </c>
      <c r="B6926" s="7" t="s">
        <v>320</v>
      </c>
      <c r="C6926" s="7" t="s">
        <v>1070</v>
      </c>
      <c r="D6926" s="7" t="n">
        <v>0</v>
      </c>
      <c r="E6926" s="7" t="n">
        <v>0</v>
      </c>
      <c r="F6926" s="7" t="n">
        <v>2</v>
      </c>
      <c r="G6926" s="7" t="n">
        <v>71.96</v>
      </c>
    </row>
    <row r="6927" customFormat="false" ht="15" hidden="false" customHeight="false" outlineLevel="0" collapsed="false">
      <c r="A6927" s="7" t="s">
        <v>24</v>
      </c>
      <c r="B6927" s="7" t="s">
        <v>320</v>
      </c>
      <c r="C6927" s="7" t="s">
        <v>1070</v>
      </c>
      <c r="D6927" s="7" t="n">
        <v>0</v>
      </c>
      <c r="E6927" s="7" t="n">
        <v>0</v>
      </c>
      <c r="F6927" s="7" t="n">
        <v>1</v>
      </c>
      <c r="G6927" s="7" t="n">
        <v>33.06</v>
      </c>
    </row>
    <row r="6928" customFormat="false" ht="15" hidden="false" customHeight="false" outlineLevel="0" collapsed="false">
      <c r="A6928" s="7" t="s">
        <v>24</v>
      </c>
      <c r="B6928" s="7" t="s">
        <v>320</v>
      </c>
      <c r="C6928" s="7" t="s">
        <v>1070</v>
      </c>
      <c r="D6928" s="7" t="n">
        <v>0</v>
      </c>
      <c r="E6928" s="7" t="n">
        <v>0</v>
      </c>
      <c r="F6928" s="7" t="n">
        <v>1</v>
      </c>
      <c r="G6928" s="7" t="n">
        <v>33.07</v>
      </c>
    </row>
    <row r="6929" customFormat="false" ht="15" hidden="false" customHeight="false" outlineLevel="0" collapsed="false">
      <c r="A6929" s="7" t="s">
        <v>24</v>
      </c>
      <c r="B6929" s="7" t="s">
        <v>320</v>
      </c>
      <c r="C6929" s="7" t="s">
        <v>1070</v>
      </c>
      <c r="D6929" s="7" t="n">
        <v>0</v>
      </c>
      <c r="E6929" s="7" t="n">
        <v>0</v>
      </c>
      <c r="F6929" s="7" t="n">
        <v>2</v>
      </c>
      <c r="G6929" s="7" t="n">
        <v>71.97</v>
      </c>
    </row>
    <row r="6930" customFormat="false" ht="15" hidden="false" customHeight="false" outlineLevel="0" collapsed="false">
      <c r="A6930" s="7" t="s">
        <v>24</v>
      </c>
      <c r="B6930" s="7" t="s">
        <v>320</v>
      </c>
      <c r="C6930" s="7" t="s">
        <v>1070</v>
      </c>
      <c r="D6930" s="7" t="n">
        <v>0</v>
      </c>
      <c r="E6930" s="7" t="n">
        <v>0</v>
      </c>
      <c r="F6930" s="7" t="n">
        <v>1</v>
      </c>
      <c r="G6930" s="7" t="n">
        <v>38.89</v>
      </c>
    </row>
    <row r="6931" customFormat="false" ht="15" hidden="false" customHeight="false" outlineLevel="0" collapsed="false">
      <c r="A6931" s="7" t="s">
        <v>24</v>
      </c>
      <c r="B6931" s="7" t="s">
        <v>320</v>
      </c>
      <c r="C6931" s="7" t="s">
        <v>1070</v>
      </c>
      <c r="D6931" s="7" t="n">
        <v>0</v>
      </c>
      <c r="E6931" s="7" t="n">
        <v>0</v>
      </c>
      <c r="F6931" s="7" t="n">
        <v>4</v>
      </c>
      <c r="G6931" s="7" t="n">
        <v>143.94</v>
      </c>
    </row>
    <row r="6932" customFormat="false" ht="15" hidden="false" customHeight="false" outlineLevel="0" collapsed="false">
      <c r="A6932" s="7" t="s">
        <v>24</v>
      </c>
      <c r="B6932" s="7" t="s">
        <v>320</v>
      </c>
      <c r="C6932" s="7" t="s">
        <v>1070</v>
      </c>
      <c r="D6932" s="7" t="n">
        <v>0</v>
      </c>
      <c r="E6932" s="7" t="n">
        <v>0</v>
      </c>
      <c r="F6932" s="7" t="n">
        <v>2</v>
      </c>
      <c r="G6932" s="7" t="n">
        <v>66.14</v>
      </c>
    </row>
    <row r="6933" customFormat="false" ht="15" hidden="false" customHeight="false" outlineLevel="0" collapsed="false">
      <c r="A6933" s="7" t="s">
        <v>24</v>
      </c>
      <c r="B6933" s="7" t="s">
        <v>320</v>
      </c>
      <c r="C6933" s="7" t="s">
        <v>1070</v>
      </c>
      <c r="D6933" s="7" t="n">
        <v>0</v>
      </c>
      <c r="E6933" s="7" t="n">
        <v>0</v>
      </c>
      <c r="F6933" s="7" t="n">
        <v>1</v>
      </c>
      <c r="G6933" s="7" t="n">
        <v>38.9</v>
      </c>
    </row>
    <row r="6934" customFormat="false" ht="15" hidden="false" customHeight="false" outlineLevel="0" collapsed="false">
      <c r="A6934" s="7" t="s">
        <v>24</v>
      </c>
      <c r="B6934" s="7" t="s">
        <v>320</v>
      </c>
      <c r="C6934" s="7" t="s">
        <v>1070</v>
      </c>
      <c r="D6934" s="7" t="n">
        <v>1</v>
      </c>
      <c r="E6934" s="7" t="n">
        <v>0.01</v>
      </c>
      <c r="F6934" s="7" t="n">
        <v>1</v>
      </c>
      <c r="G6934" s="7" t="n">
        <v>0.01</v>
      </c>
    </row>
    <row r="6935" customFormat="false" ht="15" hidden="false" customHeight="false" outlineLevel="0" collapsed="false">
      <c r="A6935" s="7" t="s">
        <v>24</v>
      </c>
      <c r="B6935" s="7" t="s">
        <v>320</v>
      </c>
      <c r="C6935" s="7" t="s">
        <v>1070</v>
      </c>
      <c r="D6935" s="7" t="n">
        <v>0</v>
      </c>
      <c r="E6935" s="7" t="n">
        <v>0</v>
      </c>
      <c r="F6935" s="7" t="n">
        <v>1</v>
      </c>
      <c r="G6935" s="7" t="n">
        <v>35.01</v>
      </c>
    </row>
    <row r="6936" customFormat="false" ht="15" hidden="false" customHeight="false" outlineLevel="0" collapsed="false">
      <c r="A6936" s="7" t="s">
        <v>24</v>
      </c>
      <c r="B6936" s="7" t="s">
        <v>320</v>
      </c>
      <c r="C6936" s="7" t="s">
        <v>1070</v>
      </c>
      <c r="D6936" s="7" t="n">
        <v>0</v>
      </c>
      <c r="E6936" s="7" t="n">
        <v>0</v>
      </c>
      <c r="F6936" s="7" t="n">
        <v>1</v>
      </c>
      <c r="G6936" s="7" t="n">
        <v>38.9</v>
      </c>
    </row>
    <row r="6937" customFormat="false" ht="15" hidden="false" customHeight="false" outlineLevel="0" collapsed="false">
      <c r="A6937" s="7" t="s">
        <v>24</v>
      </c>
      <c r="B6937" s="7" t="s">
        <v>320</v>
      </c>
      <c r="C6937" s="7" t="s">
        <v>1070</v>
      </c>
      <c r="D6937" s="7" t="n">
        <v>0</v>
      </c>
      <c r="E6937" s="7" t="n">
        <v>0</v>
      </c>
      <c r="F6937" s="7" t="n">
        <v>1</v>
      </c>
      <c r="G6937" s="7" t="n">
        <v>35.01</v>
      </c>
    </row>
    <row r="6938" customFormat="false" ht="15" hidden="false" customHeight="false" outlineLevel="0" collapsed="false">
      <c r="A6938" s="7" t="s">
        <v>24</v>
      </c>
      <c r="B6938" s="7" t="s">
        <v>320</v>
      </c>
      <c r="C6938" s="7" t="s">
        <v>1070</v>
      </c>
      <c r="D6938" s="7" t="n">
        <v>0</v>
      </c>
      <c r="E6938" s="7" t="n">
        <v>0</v>
      </c>
      <c r="F6938" s="7" t="n">
        <v>4</v>
      </c>
      <c r="G6938" s="7" t="n">
        <v>132.27</v>
      </c>
    </row>
    <row r="6939" customFormat="false" ht="15" hidden="false" customHeight="false" outlineLevel="0" collapsed="false">
      <c r="A6939" s="7" t="s">
        <v>24</v>
      </c>
      <c r="B6939" s="7" t="s">
        <v>320</v>
      </c>
      <c r="C6939" s="7" t="s">
        <v>1070</v>
      </c>
      <c r="D6939" s="7" t="n">
        <v>0</v>
      </c>
      <c r="E6939" s="7" t="n">
        <v>0</v>
      </c>
      <c r="F6939" s="7" t="n">
        <v>1</v>
      </c>
      <c r="G6939" s="7" t="n">
        <v>38.89</v>
      </c>
    </row>
    <row r="6940" customFormat="false" ht="15" hidden="false" customHeight="false" outlineLevel="0" collapsed="false">
      <c r="A6940" s="7" t="s">
        <v>24</v>
      </c>
      <c r="B6940" s="7" t="s">
        <v>320</v>
      </c>
      <c r="C6940" s="7" t="s">
        <v>1070</v>
      </c>
      <c r="D6940" s="7" t="n">
        <v>0</v>
      </c>
      <c r="E6940" s="7" t="n">
        <v>0</v>
      </c>
      <c r="F6940" s="7" t="n">
        <v>2</v>
      </c>
      <c r="G6940" s="7" t="n">
        <v>71.96</v>
      </c>
    </row>
    <row r="6941" customFormat="false" ht="15" hidden="false" customHeight="false" outlineLevel="0" collapsed="false">
      <c r="A6941" s="7" t="s">
        <v>24</v>
      </c>
      <c r="B6941" s="7" t="s">
        <v>320</v>
      </c>
      <c r="C6941" s="7" t="s">
        <v>1070</v>
      </c>
      <c r="D6941" s="7" t="n">
        <v>0</v>
      </c>
      <c r="E6941" s="7" t="n">
        <v>0</v>
      </c>
      <c r="F6941" s="7" t="n">
        <v>3</v>
      </c>
      <c r="G6941" s="7" t="n">
        <v>105.03</v>
      </c>
    </row>
    <row r="6942" customFormat="false" ht="15" hidden="false" customHeight="false" outlineLevel="0" collapsed="false">
      <c r="A6942" s="7" t="s">
        <v>24</v>
      </c>
      <c r="B6942" s="7" t="s">
        <v>320</v>
      </c>
      <c r="C6942" s="7" t="s">
        <v>1070</v>
      </c>
      <c r="D6942" s="7" t="n">
        <v>0</v>
      </c>
      <c r="E6942" s="7" t="n">
        <v>0</v>
      </c>
      <c r="F6942" s="7" t="n">
        <v>8</v>
      </c>
      <c r="G6942" s="7" t="n">
        <v>280.07</v>
      </c>
    </row>
    <row r="6943" customFormat="false" ht="15" hidden="false" customHeight="false" outlineLevel="0" collapsed="false">
      <c r="A6943" s="7" t="s">
        <v>24</v>
      </c>
      <c r="B6943" s="7" t="s">
        <v>320</v>
      </c>
      <c r="C6943" s="7" t="s">
        <v>1070</v>
      </c>
      <c r="D6943" s="7" t="n">
        <v>0</v>
      </c>
      <c r="E6943" s="7" t="n">
        <v>0</v>
      </c>
      <c r="F6943" s="7" t="n">
        <v>1</v>
      </c>
      <c r="G6943" s="7" t="n">
        <v>38.89</v>
      </c>
    </row>
    <row r="6944" customFormat="false" ht="15" hidden="false" customHeight="false" outlineLevel="0" collapsed="false">
      <c r="A6944" s="7" t="s">
        <v>24</v>
      </c>
      <c r="B6944" s="7" t="s">
        <v>320</v>
      </c>
      <c r="C6944" s="7" t="s">
        <v>1070</v>
      </c>
      <c r="D6944" s="7" t="n">
        <v>0</v>
      </c>
      <c r="E6944" s="7" t="n">
        <v>0</v>
      </c>
      <c r="F6944" s="7" t="n">
        <v>2</v>
      </c>
      <c r="G6944" s="7" t="n">
        <v>71.96</v>
      </c>
    </row>
    <row r="6945" customFormat="false" ht="15" hidden="false" customHeight="false" outlineLevel="0" collapsed="false">
      <c r="A6945" s="7" t="s">
        <v>24</v>
      </c>
      <c r="B6945" s="7" t="s">
        <v>320</v>
      </c>
      <c r="C6945" s="7" t="s">
        <v>1070</v>
      </c>
      <c r="D6945" s="7" t="n">
        <v>0</v>
      </c>
      <c r="E6945" s="7" t="n">
        <v>0</v>
      </c>
      <c r="F6945" s="7" t="n">
        <v>1</v>
      </c>
      <c r="G6945" s="7" t="n">
        <v>38.9</v>
      </c>
    </row>
    <row r="6946" customFormat="false" ht="15" hidden="false" customHeight="false" outlineLevel="0" collapsed="false">
      <c r="A6946" s="7" t="s">
        <v>24</v>
      </c>
      <c r="B6946" s="7" t="s">
        <v>320</v>
      </c>
      <c r="C6946" s="7" t="s">
        <v>1070</v>
      </c>
      <c r="D6946" s="7" t="n">
        <v>0</v>
      </c>
      <c r="E6946" s="7" t="n">
        <v>0</v>
      </c>
      <c r="F6946" s="7" t="n">
        <v>1</v>
      </c>
      <c r="G6946" s="7" t="n">
        <v>38.9</v>
      </c>
    </row>
    <row r="6947" customFormat="false" ht="15" hidden="false" customHeight="false" outlineLevel="0" collapsed="false">
      <c r="A6947" s="7" t="s">
        <v>24</v>
      </c>
      <c r="B6947" s="7" t="s">
        <v>320</v>
      </c>
      <c r="C6947" s="7" t="s">
        <v>1070</v>
      </c>
      <c r="D6947" s="7" t="n">
        <v>0</v>
      </c>
      <c r="E6947" s="7" t="n">
        <v>0</v>
      </c>
      <c r="F6947" s="7" t="n">
        <v>1</v>
      </c>
      <c r="G6947" s="7" t="n">
        <v>35.01</v>
      </c>
    </row>
    <row r="6948" customFormat="false" ht="15" hidden="false" customHeight="false" outlineLevel="0" collapsed="false">
      <c r="A6948" s="7" t="s">
        <v>24</v>
      </c>
      <c r="B6948" s="7" t="s">
        <v>320</v>
      </c>
      <c r="C6948" s="7" t="s">
        <v>1070</v>
      </c>
      <c r="D6948" s="7" t="n">
        <v>0</v>
      </c>
      <c r="E6948" s="7" t="n">
        <v>0</v>
      </c>
      <c r="F6948" s="7" t="n">
        <v>5</v>
      </c>
      <c r="G6948" s="7" t="n">
        <v>182.84</v>
      </c>
    </row>
    <row r="6949" customFormat="false" ht="15" hidden="false" customHeight="false" outlineLevel="0" collapsed="false">
      <c r="A6949" s="7" t="s">
        <v>24</v>
      </c>
      <c r="B6949" s="7" t="s">
        <v>320</v>
      </c>
      <c r="C6949" s="7" t="s">
        <v>1070</v>
      </c>
      <c r="D6949" s="7" t="n">
        <v>0</v>
      </c>
      <c r="E6949" s="7" t="n">
        <v>0</v>
      </c>
      <c r="F6949" s="7" t="n">
        <v>2</v>
      </c>
      <c r="G6949" s="7" t="n">
        <v>71.97</v>
      </c>
    </row>
    <row r="6950" customFormat="false" ht="15" hidden="false" customHeight="false" outlineLevel="0" collapsed="false">
      <c r="A6950" s="7" t="s">
        <v>24</v>
      </c>
      <c r="B6950" s="7" t="s">
        <v>190</v>
      </c>
      <c r="C6950" s="7" t="s">
        <v>1071</v>
      </c>
      <c r="D6950" s="7" t="n">
        <v>0</v>
      </c>
      <c r="E6950" s="7" t="n">
        <v>0</v>
      </c>
      <c r="F6950" s="7" t="n">
        <v>3</v>
      </c>
      <c r="G6950" s="7" t="n">
        <v>118.41</v>
      </c>
    </row>
    <row r="6951" customFormat="false" ht="15" hidden="false" customHeight="false" outlineLevel="0" collapsed="false">
      <c r="A6951" s="7" t="s">
        <v>24</v>
      </c>
      <c r="B6951" s="7" t="s">
        <v>190</v>
      </c>
      <c r="C6951" s="7" t="s">
        <v>1071</v>
      </c>
      <c r="D6951" s="7" t="n">
        <v>0</v>
      </c>
      <c r="E6951" s="7" t="n">
        <v>0</v>
      </c>
      <c r="F6951" s="7" t="n">
        <v>2</v>
      </c>
      <c r="G6951" s="7" t="n">
        <v>84.58</v>
      </c>
    </row>
    <row r="6952" customFormat="false" ht="15" hidden="false" customHeight="false" outlineLevel="0" collapsed="false">
      <c r="A6952" s="7" t="s">
        <v>24</v>
      </c>
      <c r="B6952" s="7" t="s">
        <v>190</v>
      </c>
      <c r="C6952" s="7" t="s">
        <v>1071</v>
      </c>
      <c r="D6952" s="7" t="n">
        <v>0</v>
      </c>
      <c r="E6952" s="7" t="n">
        <v>0</v>
      </c>
      <c r="F6952" s="7" t="n">
        <v>1</v>
      </c>
      <c r="G6952" s="7" t="n">
        <v>38.06</v>
      </c>
    </row>
    <row r="6953" customFormat="false" ht="15" hidden="false" customHeight="false" outlineLevel="0" collapsed="false">
      <c r="A6953" s="7" t="s">
        <v>24</v>
      </c>
      <c r="B6953" s="7" t="s">
        <v>190</v>
      </c>
      <c r="C6953" s="7" t="s">
        <v>1071</v>
      </c>
      <c r="D6953" s="7" t="n">
        <v>0</v>
      </c>
      <c r="E6953" s="7" t="n">
        <v>0</v>
      </c>
      <c r="F6953" s="7" t="n">
        <v>2</v>
      </c>
      <c r="G6953" s="7" t="n">
        <v>76.12</v>
      </c>
    </row>
    <row r="6954" customFormat="false" ht="15" hidden="false" customHeight="false" outlineLevel="0" collapsed="false">
      <c r="A6954" s="7" t="s">
        <v>24</v>
      </c>
      <c r="B6954" s="7" t="s">
        <v>190</v>
      </c>
      <c r="C6954" s="7" t="s">
        <v>1071</v>
      </c>
      <c r="D6954" s="7" t="n">
        <v>0</v>
      </c>
      <c r="E6954" s="7" t="n">
        <v>0</v>
      </c>
      <c r="F6954" s="7" t="n">
        <v>4</v>
      </c>
      <c r="G6954" s="7" t="n">
        <v>169.16</v>
      </c>
    </row>
    <row r="6955" customFormat="false" ht="15" hidden="false" customHeight="false" outlineLevel="0" collapsed="false">
      <c r="A6955" s="7" t="s">
        <v>24</v>
      </c>
      <c r="B6955" s="7" t="s">
        <v>190</v>
      </c>
      <c r="C6955" s="7" t="s">
        <v>1071</v>
      </c>
      <c r="D6955" s="7" t="n">
        <v>0</v>
      </c>
      <c r="E6955" s="7" t="n">
        <v>0</v>
      </c>
      <c r="F6955" s="7" t="n">
        <v>1</v>
      </c>
      <c r="G6955" s="7" t="n">
        <v>42.29</v>
      </c>
    </row>
    <row r="6956" customFormat="false" ht="15" hidden="false" customHeight="false" outlineLevel="0" collapsed="false">
      <c r="A6956" s="7" t="s">
        <v>24</v>
      </c>
      <c r="B6956" s="7" t="s">
        <v>190</v>
      </c>
      <c r="C6956" s="7" t="s">
        <v>1071</v>
      </c>
      <c r="D6956" s="7" t="n">
        <v>0</v>
      </c>
      <c r="E6956" s="7" t="n">
        <v>0</v>
      </c>
      <c r="F6956" s="7" t="n">
        <v>1</v>
      </c>
      <c r="G6956" s="7" t="n">
        <v>42.29</v>
      </c>
    </row>
    <row r="6957" customFormat="false" ht="15" hidden="false" customHeight="false" outlineLevel="0" collapsed="false">
      <c r="A6957" s="7" t="s">
        <v>24</v>
      </c>
      <c r="B6957" s="7" t="s">
        <v>190</v>
      </c>
      <c r="C6957" s="7" t="s">
        <v>1071</v>
      </c>
      <c r="D6957" s="7" t="n">
        <v>0</v>
      </c>
      <c r="E6957" s="7" t="n">
        <v>0</v>
      </c>
      <c r="F6957" s="7" t="n">
        <v>1</v>
      </c>
      <c r="G6957" s="7" t="n">
        <v>42.29</v>
      </c>
    </row>
    <row r="6958" customFormat="false" ht="15" hidden="false" customHeight="false" outlineLevel="0" collapsed="false">
      <c r="A6958" s="7" t="s">
        <v>24</v>
      </c>
      <c r="B6958" s="7" t="s">
        <v>190</v>
      </c>
      <c r="C6958" s="7" t="s">
        <v>1071</v>
      </c>
      <c r="D6958" s="7" t="n">
        <v>0</v>
      </c>
      <c r="E6958" s="7" t="n">
        <v>0</v>
      </c>
      <c r="F6958" s="7" t="n">
        <v>1</v>
      </c>
      <c r="G6958" s="7" t="n">
        <v>42.29</v>
      </c>
    </row>
    <row r="6959" customFormat="false" ht="15" hidden="false" customHeight="false" outlineLevel="0" collapsed="false">
      <c r="A6959" s="7" t="s">
        <v>24</v>
      </c>
      <c r="B6959" s="7" t="s">
        <v>190</v>
      </c>
      <c r="C6959" s="7" t="s">
        <v>1071</v>
      </c>
      <c r="D6959" s="7" t="n">
        <v>0</v>
      </c>
      <c r="E6959" s="7" t="n">
        <v>0</v>
      </c>
      <c r="F6959" s="7" t="n">
        <v>4</v>
      </c>
      <c r="G6959" s="7" t="n">
        <v>152.24</v>
      </c>
    </row>
    <row r="6960" customFormat="false" ht="15" hidden="false" customHeight="false" outlineLevel="0" collapsed="false">
      <c r="A6960" s="7" t="s">
        <v>24</v>
      </c>
      <c r="B6960" s="7" t="s">
        <v>190</v>
      </c>
      <c r="C6960" s="7" t="s">
        <v>1071</v>
      </c>
      <c r="D6960" s="7" t="n">
        <v>0</v>
      </c>
      <c r="E6960" s="7" t="n">
        <v>0</v>
      </c>
      <c r="F6960" s="7" t="n">
        <v>1</v>
      </c>
      <c r="G6960" s="7" t="n">
        <v>42.29</v>
      </c>
    </row>
    <row r="6961" customFormat="false" ht="15" hidden="false" customHeight="false" outlineLevel="0" collapsed="false">
      <c r="A6961" s="7" t="s">
        <v>24</v>
      </c>
      <c r="B6961" s="7" t="s">
        <v>190</v>
      </c>
      <c r="C6961" s="7" t="s">
        <v>1071</v>
      </c>
      <c r="D6961" s="7" t="n">
        <v>37</v>
      </c>
      <c r="E6961" s="7" t="n">
        <v>1488.94</v>
      </c>
      <c r="F6961" s="7" t="n">
        <v>27</v>
      </c>
      <c r="G6961" s="7" t="n">
        <v>1085.97</v>
      </c>
    </row>
    <row r="6962" customFormat="false" ht="15" hidden="false" customHeight="false" outlineLevel="0" collapsed="false">
      <c r="A6962" s="7" t="s">
        <v>24</v>
      </c>
      <c r="B6962" s="7" t="s">
        <v>190</v>
      </c>
      <c r="C6962" s="7" t="s">
        <v>1071</v>
      </c>
      <c r="D6962" s="7" t="n">
        <v>0</v>
      </c>
      <c r="E6962" s="7" t="n">
        <v>0</v>
      </c>
      <c r="F6962" s="7" t="n">
        <v>1</v>
      </c>
      <c r="G6962" s="7" t="n">
        <v>42.29</v>
      </c>
    </row>
    <row r="6963" customFormat="false" ht="15" hidden="false" customHeight="false" outlineLevel="0" collapsed="false">
      <c r="A6963" s="7" t="s">
        <v>24</v>
      </c>
      <c r="B6963" s="7" t="s">
        <v>190</v>
      </c>
      <c r="C6963" s="7" t="s">
        <v>1071</v>
      </c>
      <c r="D6963" s="7" t="n">
        <v>0</v>
      </c>
      <c r="E6963" s="7" t="n">
        <v>0</v>
      </c>
      <c r="F6963" s="7" t="n">
        <v>2</v>
      </c>
      <c r="G6963" s="7" t="n">
        <v>84.58</v>
      </c>
    </row>
    <row r="6964" customFormat="false" ht="15" hidden="false" customHeight="false" outlineLevel="0" collapsed="false">
      <c r="A6964" s="7" t="s">
        <v>24</v>
      </c>
      <c r="B6964" s="7" t="s">
        <v>190</v>
      </c>
      <c r="C6964" s="7" t="s">
        <v>1071</v>
      </c>
      <c r="D6964" s="7" t="n">
        <v>0</v>
      </c>
      <c r="E6964" s="7" t="n">
        <v>0</v>
      </c>
      <c r="F6964" s="7" t="n">
        <v>4</v>
      </c>
      <c r="G6964" s="7" t="n">
        <v>152.24</v>
      </c>
    </row>
    <row r="6965" customFormat="false" ht="15" hidden="false" customHeight="false" outlineLevel="0" collapsed="false">
      <c r="A6965" s="7" t="s">
        <v>24</v>
      </c>
      <c r="B6965" s="7" t="s">
        <v>190</v>
      </c>
      <c r="C6965" s="7" t="s">
        <v>1071</v>
      </c>
      <c r="D6965" s="7" t="n">
        <v>0</v>
      </c>
      <c r="E6965" s="7" t="n">
        <v>0</v>
      </c>
      <c r="F6965" s="7" t="n">
        <v>1</v>
      </c>
      <c r="G6965" s="7" t="n">
        <v>42.29</v>
      </c>
    </row>
    <row r="6966" customFormat="false" ht="15" hidden="false" customHeight="false" outlineLevel="0" collapsed="false">
      <c r="A6966" s="7" t="s">
        <v>24</v>
      </c>
      <c r="B6966" s="7" t="s">
        <v>190</v>
      </c>
      <c r="C6966" s="7" t="s">
        <v>1071</v>
      </c>
      <c r="D6966" s="7" t="n">
        <v>0</v>
      </c>
      <c r="E6966" s="7" t="n">
        <v>0</v>
      </c>
      <c r="F6966" s="7" t="n">
        <v>1</v>
      </c>
      <c r="G6966" s="7" t="n">
        <v>38.06</v>
      </c>
    </row>
    <row r="6967" customFormat="false" ht="15" hidden="false" customHeight="false" outlineLevel="0" collapsed="false">
      <c r="A6967" s="7" t="s">
        <v>24</v>
      </c>
      <c r="B6967" s="7" t="s">
        <v>190</v>
      </c>
      <c r="C6967" s="7" t="s">
        <v>1071</v>
      </c>
      <c r="D6967" s="7" t="n">
        <v>0</v>
      </c>
      <c r="E6967" s="7" t="n">
        <v>0</v>
      </c>
      <c r="F6967" s="7" t="n">
        <v>1</v>
      </c>
      <c r="G6967" s="7" t="n">
        <v>42.28</v>
      </c>
    </row>
    <row r="6968" customFormat="false" ht="15" hidden="false" customHeight="false" outlineLevel="0" collapsed="false">
      <c r="A6968" s="7" t="s">
        <v>24</v>
      </c>
      <c r="B6968" s="7" t="s">
        <v>190</v>
      </c>
      <c r="C6968" s="7" t="s">
        <v>1071</v>
      </c>
      <c r="D6968" s="7" t="n">
        <v>0</v>
      </c>
      <c r="E6968" s="7" t="n">
        <v>0</v>
      </c>
      <c r="F6968" s="7" t="n">
        <v>3</v>
      </c>
      <c r="G6968" s="7" t="n">
        <v>120.53</v>
      </c>
    </row>
    <row r="6969" customFormat="false" ht="15" hidden="false" customHeight="false" outlineLevel="0" collapsed="false">
      <c r="A6969" s="7" t="s">
        <v>24</v>
      </c>
      <c r="B6969" s="7" t="s">
        <v>190</v>
      </c>
      <c r="C6969" s="7" t="s">
        <v>1071</v>
      </c>
      <c r="D6969" s="7" t="n">
        <v>0</v>
      </c>
      <c r="E6969" s="7" t="n">
        <v>0</v>
      </c>
      <c r="F6969" s="7" t="n">
        <v>1</v>
      </c>
      <c r="G6969" s="7" t="n">
        <v>42.29</v>
      </c>
    </row>
    <row r="6970" customFormat="false" ht="15" hidden="false" customHeight="false" outlineLevel="0" collapsed="false">
      <c r="A6970" s="7" t="s">
        <v>24</v>
      </c>
      <c r="B6970" s="7" t="s">
        <v>190</v>
      </c>
      <c r="C6970" s="7" t="s">
        <v>1071</v>
      </c>
      <c r="D6970" s="7" t="n">
        <v>0</v>
      </c>
      <c r="E6970" s="7" t="n">
        <v>0</v>
      </c>
      <c r="F6970" s="7" t="n">
        <v>6</v>
      </c>
      <c r="G6970" s="7" t="n">
        <v>241.05</v>
      </c>
    </row>
    <row r="6971" customFormat="false" ht="15" hidden="false" customHeight="false" outlineLevel="0" collapsed="false">
      <c r="A6971" s="7" t="s">
        <v>24</v>
      </c>
      <c r="B6971" s="7" t="s">
        <v>190</v>
      </c>
      <c r="C6971" s="7" t="s">
        <v>1071</v>
      </c>
      <c r="D6971" s="7" t="n">
        <v>0</v>
      </c>
      <c r="E6971" s="7" t="n">
        <v>0</v>
      </c>
      <c r="F6971" s="7" t="n">
        <v>1</v>
      </c>
      <c r="G6971" s="7" t="n">
        <v>38.06</v>
      </c>
    </row>
    <row r="6972" customFormat="false" ht="15" hidden="false" customHeight="false" outlineLevel="0" collapsed="false">
      <c r="A6972" s="7" t="s">
        <v>24</v>
      </c>
      <c r="B6972" s="7" t="s">
        <v>190</v>
      </c>
      <c r="C6972" s="7" t="s">
        <v>1071</v>
      </c>
      <c r="D6972" s="7" t="n">
        <v>0</v>
      </c>
      <c r="E6972" s="7" t="n">
        <v>0</v>
      </c>
      <c r="F6972" s="7" t="n">
        <v>2</v>
      </c>
      <c r="G6972" s="7" t="n">
        <v>71.9</v>
      </c>
    </row>
    <row r="6973" customFormat="false" ht="15" hidden="false" customHeight="false" outlineLevel="0" collapsed="false">
      <c r="A6973" s="7" t="s">
        <v>24</v>
      </c>
      <c r="B6973" s="7" t="s">
        <v>190</v>
      </c>
      <c r="C6973" s="7" t="s">
        <v>1071</v>
      </c>
      <c r="D6973" s="7" t="n">
        <v>0</v>
      </c>
      <c r="E6973" s="7" t="n">
        <v>0</v>
      </c>
      <c r="F6973" s="7" t="n">
        <v>1</v>
      </c>
      <c r="G6973" s="7" t="n">
        <v>42.28</v>
      </c>
    </row>
    <row r="6974" customFormat="false" ht="15" hidden="false" customHeight="false" outlineLevel="0" collapsed="false">
      <c r="A6974" s="7" t="s">
        <v>24</v>
      </c>
      <c r="B6974" s="7" t="s">
        <v>190</v>
      </c>
      <c r="C6974" s="7" t="s">
        <v>1071</v>
      </c>
      <c r="D6974" s="7" t="n">
        <v>0</v>
      </c>
      <c r="E6974" s="7" t="n">
        <v>0</v>
      </c>
      <c r="F6974" s="7" t="n">
        <v>1</v>
      </c>
      <c r="G6974" s="7" t="n">
        <v>42.29</v>
      </c>
    </row>
    <row r="6975" customFormat="false" ht="15" hidden="false" customHeight="false" outlineLevel="0" collapsed="false">
      <c r="A6975" s="7" t="s">
        <v>24</v>
      </c>
      <c r="B6975" s="7" t="s">
        <v>190</v>
      </c>
      <c r="C6975" s="7" t="s">
        <v>1071</v>
      </c>
      <c r="D6975" s="7" t="n">
        <v>0</v>
      </c>
      <c r="E6975" s="7" t="n">
        <v>0</v>
      </c>
      <c r="F6975" s="7" t="n">
        <v>4</v>
      </c>
      <c r="G6975" s="7" t="n">
        <v>169.16</v>
      </c>
    </row>
    <row r="6976" customFormat="false" ht="15" hidden="false" customHeight="false" outlineLevel="0" collapsed="false">
      <c r="A6976" s="7" t="s">
        <v>24</v>
      </c>
      <c r="B6976" s="7" t="s">
        <v>190</v>
      </c>
      <c r="C6976" s="7" t="s">
        <v>1071</v>
      </c>
      <c r="D6976" s="7" t="n">
        <v>0</v>
      </c>
      <c r="E6976" s="7" t="n">
        <v>0</v>
      </c>
      <c r="F6976" s="7" t="n">
        <v>1</v>
      </c>
      <c r="G6976" s="7" t="n">
        <v>42.29</v>
      </c>
    </row>
    <row r="6977" customFormat="false" ht="15" hidden="false" customHeight="false" outlineLevel="0" collapsed="false">
      <c r="A6977" s="7" t="s">
        <v>24</v>
      </c>
      <c r="B6977" s="7" t="s">
        <v>190</v>
      </c>
      <c r="C6977" s="7" t="s">
        <v>1071</v>
      </c>
      <c r="D6977" s="7" t="n">
        <v>0</v>
      </c>
      <c r="E6977" s="7" t="n">
        <v>0</v>
      </c>
      <c r="F6977" s="7" t="n">
        <v>6</v>
      </c>
      <c r="G6977" s="7" t="n">
        <v>253.73</v>
      </c>
    </row>
    <row r="6978" customFormat="false" ht="15" hidden="false" customHeight="false" outlineLevel="0" collapsed="false">
      <c r="A6978" s="7" t="s">
        <v>24</v>
      </c>
      <c r="B6978" s="7" t="s">
        <v>674</v>
      </c>
      <c r="C6978" s="7" t="s">
        <v>1072</v>
      </c>
      <c r="D6978" s="7" t="n">
        <v>0</v>
      </c>
      <c r="E6978" s="7" t="n">
        <v>0</v>
      </c>
      <c r="F6978" s="7" t="n">
        <v>2</v>
      </c>
      <c r="G6978" s="7" t="n">
        <v>84.58</v>
      </c>
    </row>
    <row r="6979" customFormat="false" ht="15" hidden="false" customHeight="false" outlineLevel="0" collapsed="false">
      <c r="A6979" s="7" t="s">
        <v>24</v>
      </c>
      <c r="B6979" s="7" t="s">
        <v>674</v>
      </c>
      <c r="C6979" s="7" t="s">
        <v>1072</v>
      </c>
      <c r="D6979" s="7" t="n">
        <v>0</v>
      </c>
      <c r="E6979" s="7" t="n">
        <v>0</v>
      </c>
      <c r="F6979" s="7" t="n">
        <v>1</v>
      </c>
      <c r="G6979" s="7" t="n">
        <v>38.06</v>
      </c>
    </row>
    <row r="6980" customFormat="false" ht="15" hidden="false" customHeight="false" outlineLevel="0" collapsed="false">
      <c r="A6980" s="7" t="s">
        <v>24</v>
      </c>
      <c r="B6980" s="7" t="s">
        <v>674</v>
      </c>
      <c r="C6980" s="7" t="s">
        <v>1072</v>
      </c>
      <c r="D6980" s="7" t="n">
        <v>0</v>
      </c>
      <c r="E6980" s="7" t="n">
        <v>0</v>
      </c>
      <c r="F6980" s="7" t="n">
        <v>1</v>
      </c>
      <c r="G6980" s="7" t="n">
        <v>42.29</v>
      </c>
    </row>
    <row r="6981" customFormat="false" ht="15" hidden="false" customHeight="false" outlineLevel="0" collapsed="false">
      <c r="A6981" s="7" t="s">
        <v>24</v>
      </c>
      <c r="B6981" s="7" t="s">
        <v>674</v>
      </c>
      <c r="C6981" s="7" t="s">
        <v>1072</v>
      </c>
      <c r="D6981" s="7" t="n">
        <v>0</v>
      </c>
      <c r="E6981" s="7" t="n">
        <v>0</v>
      </c>
      <c r="F6981" s="7" t="n">
        <v>1</v>
      </c>
      <c r="G6981" s="7" t="n">
        <v>42.29</v>
      </c>
    </row>
    <row r="6982" customFormat="false" ht="15" hidden="false" customHeight="false" outlineLevel="0" collapsed="false">
      <c r="A6982" s="7" t="s">
        <v>24</v>
      </c>
      <c r="B6982" s="7" t="s">
        <v>674</v>
      </c>
      <c r="C6982" s="7" t="s">
        <v>1072</v>
      </c>
      <c r="D6982" s="7" t="n">
        <v>8</v>
      </c>
      <c r="E6982" s="7" t="n">
        <v>296.04</v>
      </c>
      <c r="F6982" s="7" t="n">
        <v>4</v>
      </c>
      <c r="G6982" s="7" t="n">
        <v>164.93</v>
      </c>
    </row>
    <row r="6983" customFormat="false" ht="15" hidden="false" customHeight="false" outlineLevel="0" collapsed="false">
      <c r="A6983" s="7" t="s">
        <v>24</v>
      </c>
      <c r="B6983" s="7" t="s">
        <v>674</v>
      </c>
      <c r="C6983" s="7" t="s">
        <v>1072</v>
      </c>
      <c r="D6983" s="7" t="n">
        <v>1</v>
      </c>
      <c r="E6983" s="7" t="n">
        <v>34.5</v>
      </c>
      <c r="F6983" s="7" t="n">
        <v>0</v>
      </c>
      <c r="G6983" s="7" t="n">
        <v>0</v>
      </c>
    </row>
    <row r="6984" customFormat="false" ht="15" hidden="false" customHeight="false" outlineLevel="0" collapsed="false">
      <c r="A6984" s="7" t="s">
        <v>24</v>
      </c>
      <c r="B6984" s="7" t="s">
        <v>674</v>
      </c>
      <c r="C6984" s="7" t="s">
        <v>1072</v>
      </c>
      <c r="D6984" s="7" t="n">
        <v>0</v>
      </c>
      <c r="E6984" s="7" t="n">
        <v>0</v>
      </c>
      <c r="F6984" s="7" t="n">
        <v>1</v>
      </c>
      <c r="G6984" s="7" t="n">
        <v>42.29</v>
      </c>
    </row>
    <row r="6985" customFormat="false" ht="15" hidden="false" customHeight="false" outlineLevel="0" collapsed="false">
      <c r="A6985" s="7" t="s">
        <v>24</v>
      </c>
      <c r="B6985" s="7" t="s">
        <v>674</v>
      </c>
      <c r="C6985" s="7" t="s">
        <v>1072</v>
      </c>
      <c r="D6985" s="7" t="n">
        <v>0</v>
      </c>
      <c r="E6985" s="7" t="n">
        <v>0</v>
      </c>
      <c r="F6985" s="7" t="n">
        <v>1</v>
      </c>
      <c r="G6985" s="7" t="n">
        <v>42.29</v>
      </c>
    </row>
    <row r="6986" customFormat="false" ht="15" hidden="false" customHeight="false" outlineLevel="0" collapsed="false">
      <c r="A6986" s="7" t="s">
        <v>24</v>
      </c>
      <c r="B6986" s="7" t="s">
        <v>270</v>
      </c>
      <c r="C6986" s="7" t="s">
        <v>1275</v>
      </c>
      <c r="D6986" s="7" t="n">
        <v>0</v>
      </c>
      <c r="E6986" s="7" t="n">
        <v>0</v>
      </c>
      <c r="F6986" s="7" t="n">
        <v>1</v>
      </c>
      <c r="G6986" s="7" t="n">
        <v>66.03</v>
      </c>
    </row>
    <row r="6987" customFormat="false" ht="15" hidden="false" customHeight="false" outlineLevel="0" collapsed="false">
      <c r="A6987" s="7" t="s">
        <v>24</v>
      </c>
      <c r="B6987" s="7" t="s">
        <v>270</v>
      </c>
      <c r="C6987" s="7" t="s">
        <v>1275</v>
      </c>
      <c r="D6987" s="7" t="n">
        <v>0</v>
      </c>
      <c r="E6987" s="7" t="n">
        <v>0</v>
      </c>
      <c r="F6987" s="7" t="n">
        <v>1</v>
      </c>
      <c r="G6987" s="7" t="n">
        <v>66.02</v>
      </c>
    </row>
    <row r="6988" customFormat="false" ht="15" hidden="false" customHeight="false" outlineLevel="0" collapsed="false">
      <c r="A6988" s="7" t="s">
        <v>24</v>
      </c>
      <c r="B6988" s="7" t="s">
        <v>270</v>
      </c>
      <c r="C6988" s="7" t="s">
        <v>1275</v>
      </c>
      <c r="D6988" s="7" t="n">
        <v>0</v>
      </c>
      <c r="E6988" s="7" t="n">
        <v>0</v>
      </c>
      <c r="F6988" s="7" t="n">
        <v>1</v>
      </c>
      <c r="G6988" s="7" t="n">
        <v>59.42</v>
      </c>
    </row>
    <row r="6989" customFormat="false" ht="15" hidden="false" customHeight="false" outlineLevel="0" collapsed="false">
      <c r="A6989" s="7" t="s">
        <v>24</v>
      </c>
      <c r="B6989" s="7" t="s">
        <v>270</v>
      </c>
      <c r="C6989" s="7" t="s">
        <v>1275</v>
      </c>
      <c r="D6989" s="7" t="n">
        <v>0</v>
      </c>
      <c r="E6989" s="7" t="n">
        <v>0</v>
      </c>
      <c r="F6989" s="7" t="n">
        <v>1</v>
      </c>
      <c r="G6989" s="7" t="n">
        <v>59.42</v>
      </c>
    </row>
    <row r="6990" customFormat="false" ht="15" hidden="false" customHeight="false" outlineLevel="0" collapsed="false">
      <c r="A6990" s="7" t="s">
        <v>24</v>
      </c>
      <c r="B6990" s="7" t="s">
        <v>270</v>
      </c>
      <c r="C6990" s="7" t="s">
        <v>1275</v>
      </c>
      <c r="D6990" s="7" t="n">
        <v>0</v>
      </c>
      <c r="E6990" s="7" t="n">
        <v>0</v>
      </c>
      <c r="F6990" s="7" t="n">
        <v>2</v>
      </c>
      <c r="G6990" s="7" t="n">
        <v>132.04</v>
      </c>
    </row>
    <row r="6991" customFormat="false" ht="15" hidden="false" customHeight="false" outlineLevel="0" collapsed="false">
      <c r="A6991" s="7" t="s">
        <v>24</v>
      </c>
      <c r="B6991" s="7" t="s">
        <v>270</v>
      </c>
      <c r="C6991" s="7" t="s">
        <v>1275</v>
      </c>
      <c r="D6991" s="7" t="n">
        <v>0</v>
      </c>
      <c r="E6991" s="7" t="n">
        <v>0</v>
      </c>
      <c r="F6991" s="7" t="n">
        <v>1</v>
      </c>
      <c r="G6991" s="7" t="n">
        <v>59.41</v>
      </c>
    </row>
    <row r="6992" customFormat="false" ht="15" hidden="false" customHeight="false" outlineLevel="0" collapsed="false">
      <c r="A6992" s="7" t="s">
        <v>24</v>
      </c>
      <c r="B6992" s="7" t="s">
        <v>270</v>
      </c>
      <c r="C6992" s="7" t="s">
        <v>1275</v>
      </c>
      <c r="D6992" s="7" t="n">
        <v>0</v>
      </c>
      <c r="E6992" s="7" t="n">
        <v>0</v>
      </c>
      <c r="F6992" s="7" t="n">
        <v>1</v>
      </c>
      <c r="G6992" s="7" t="n">
        <v>59.42</v>
      </c>
    </row>
    <row r="6993" customFormat="false" ht="15" hidden="false" customHeight="false" outlineLevel="0" collapsed="false">
      <c r="A6993" s="7" t="s">
        <v>24</v>
      </c>
      <c r="B6993" s="7" t="s">
        <v>270</v>
      </c>
      <c r="C6993" s="7" t="s">
        <v>1275</v>
      </c>
      <c r="D6993" s="7" t="n">
        <v>0</v>
      </c>
      <c r="E6993" s="7" t="n">
        <v>0</v>
      </c>
      <c r="F6993" s="7" t="n">
        <v>1</v>
      </c>
      <c r="G6993" s="7" t="n">
        <v>59.42</v>
      </c>
    </row>
    <row r="6994" customFormat="false" ht="15" hidden="false" customHeight="false" outlineLevel="0" collapsed="false">
      <c r="A6994" s="7" t="s">
        <v>24</v>
      </c>
      <c r="B6994" s="7" t="s">
        <v>270</v>
      </c>
      <c r="C6994" s="7" t="s">
        <v>1275</v>
      </c>
      <c r="D6994" s="7" t="n">
        <v>0</v>
      </c>
      <c r="E6994" s="7" t="n">
        <v>0</v>
      </c>
      <c r="F6994" s="7" t="n">
        <v>1</v>
      </c>
      <c r="G6994" s="7" t="n">
        <v>59.42</v>
      </c>
    </row>
    <row r="6995" customFormat="false" ht="15" hidden="false" customHeight="false" outlineLevel="0" collapsed="false">
      <c r="A6995" s="7" t="s">
        <v>24</v>
      </c>
      <c r="B6995" s="7" t="s">
        <v>270</v>
      </c>
      <c r="C6995" s="7" t="s">
        <v>1275</v>
      </c>
      <c r="D6995" s="7" t="n">
        <v>41</v>
      </c>
      <c r="E6995" s="7" t="n">
        <v>2518.71</v>
      </c>
      <c r="F6995" s="7" t="n">
        <v>41</v>
      </c>
      <c r="G6995" s="7" t="n">
        <v>2601.21</v>
      </c>
    </row>
    <row r="6996" customFormat="false" ht="15" hidden="false" customHeight="false" outlineLevel="0" collapsed="false">
      <c r="A6996" s="7" t="s">
        <v>24</v>
      </c>
      <c r="B6996" s="7" t="s">
        <v>270</v>
      </c>
      <c r="C6996" s="7" t="s">
        <v>1275</v>
      </c>
      <c r="D6996" s="7" t="n">
        <v>0</v>
      </c>
      <c r="E6996" s="7" t="n">
        <v>0</v>
      </c>
      <c r="F6996" s="7" t="n">
        <v>1</v>
      </c>
      <c r="G6996" s="7" t="n">
        <v>59.42</v>
      </c>
    </row>
    <row r="6997" customFormat="false" ht="15" hidden="false" customHeight="false" outlineLevel="0" collapsed="false">
      <c r="A6997" s="7" t="s">
        <v>24</v>
      </c>
      <c r="B6997" s="7" t="s">
        <v>270</v>
      </c>
      <c r="C6997" s="7" t="s">
        <v>1275</v>
      </c>
      <c r="D6997" s="7" t="n">
        <v>0</v>
      </c>
      <c r="E6997" s="7" t="n">
        <v>0</v>
      </c>
      <c r="F6997" s="7" t="n">
        <v>1</v>
      </c>
      <c r="G6997" s="7" t="n">
        <v>59.42</v>
      </c>
    </row>
    <row r="6998" customFormat="false" ht="15" hidden="false" customHeight="false" outlineLevel="0" collapsed="false">
      <c r="A6998" s="7" t="s">
        <v>24</v>
      </c>
      <c r="B6998" s="7" t="s">
        <v>270</v>
      </c>
      <c r="C6998" s="7" t="s">
        <v>1275</v>
      </c>
      <c r="D6998" s="7" t="n">
        <v>0</v>
      </c>
      <c r="E6998" s="7" t="n">
        <v>0</v>
      </c>
      <c r="F6998" s="7" t="n">
        <v>1</v>
      </c>
      <c r="G6998" s="7" t="n">
        <v>66.02</v>
      </c>
    </row>
    <row r="6999" customFormat="false" ht="15" hidden="false" customHeight="false" outlineLevel="0" collapsed="false">
      <c r="A6999" s="7" t="s">
        <v>24</v>
      </c>
      <c r="B6999" s="7" t="s">
        <v>270</v>
      </c>
      <c r="C6999" s="7" t="s">
        <v>1275</v>
      </c>
      <c r="D6999" s="7" t="n">
        <v>0</v>
      </c>
      <c r="E6999" s="7" t="n">
        <v>0</v>
      </c>
      <c r="F6999" s="7" t="n">
        <v>1</v>
      </c>
      <c r="G6999" s="7" t="n">
        <v>66.02</v>
      </c>
    </row>
    <row r="7000" customFormat="false" ht="15" hidden="false" customHeight="false" outlineLevel="0" collapsed="false">
      <c r="A7000" s="7" t="s">
        <v>24</v>
      </c>
      <c r="B7000" s="7" t="s">
        <v>270</v>
      </c>
      <c r="C7000" s="7" t="s">
        <v>1275</v>
      </c>
      <c r="D7000" s="7" t="n">
        <v>0</v>
      </c>
      <c r="E7000" s="7" t="n">
        <v>0</v>
      </c>
      <c r="F7000" s="7" t="n">
        <v>1</v>
      </c>
      <c r="G7000" s="7" t="n">
        <v>66.02</v>
      </c>
    </row>
    <row r="7001" customFormat="false" ht="15" hidden="false" customHeight="false" outlineLevel="0" collapsed="false">
      <c r="A7001" s="7" t="s">
        <v>24</v>
      </c>
      <c r="B7001" s="7" t="s">
        <v>270</v>
      </c>
      <c r="C7001" s="7" t="s">
        <v>1275</v>
      </c>
      <c r="D7001" s="7" t="n">
        <v>0</v>
      </c>
      <c r="E7001" s="7" t="n">
        <v>0</v>
      </c>
      <c r="F7001" s="7" t="n">
        <v>1</v>
      </c>
      <c r="G7001" s="7" t="n">
        <v>66.02</v>
      </c>
    </row>
    <row r="7002" customFormat="false" ht="15" hidden="false" customHeight="false" outlineLevel="0" collapsed="false">
      <c r="A7002" s="7" t="s">
        <v>24</v>
      </c>
      <c r="B7002" s="7" t="s">
        <v>177</v>
      </c>
      <c r="C7002" s="7" t="s">
        <v>1275</v>
      </c>
      <c r="D7002" s="7" t="n">
        <v>0</v>
      </c>
      <c r="E7002" s="7" t="n">
        <v>0</v>
      </c>
      <c r="F7002" s="7" t="n">
        <v>1</v>
      </c>
      <c r="G7002" s="7" t="n">
        <v>66.02</v>
      </c>
    </row>
    <row r="7003" customFormat="false" ht="15" hidden="false" customHeight="false" outlineLevel="0" collapsed="false">
      <c r="A7003" s="7" t="s">
        <v>24</v>
      </c>
      <c r="B7003" s="7" t="s">
        <v>177</v>
      </c>
      <c r="C7003" s="7" t="s">
        <v>1275</v>
      </c>
      <c r="D7003" s="7" t="n">
        <v>0</v>
      </c>
      <c r="E7003" s="7" t="n">
        <v>0</v>
      </c>
      <c r="F7003" s="7" t="n">
        <v>1</v>
      </c>
      <c r="G7003" s="7" t="n">
        <v>66.02</v>
      </c>
    </row>
    <row r="7004" customFormat="false" ht="15" hidden="false" customHeight="false" outlineLevel="0" collapsed="false">
      <c r="A7004" s="7" t="s">
        <v>24</v>
      </c>
      <c r="B7004" s="7" t="s">
        <v>177</v>
      </c>
      <c r="C7004" s="7" t="s">
        <v>1275</v>
      </c>
      <c r="D7004" s="7" t="n">
        <v>0</v>
      </c>
      <c r="E7004" s="7" t="n">
        <v>0</v>
      </c>
      <c r="F7004" s="7" t="n">
        <v>1</v>
      </c>
      <c r="G7004" s="7" t="n">
        <v>66.02</v>
      </c>
    </row>
    <row r="7005" customFormat="false" ht="15" hidden="false" customHeight="false" outlineLevel="0" collapsed="false">
      <c r="A7005" s="7" t="s">
        <v>24</v>
      </c>
      <c r="B7005" s="7" t="s">
        <v>177</v>
      </c>
      <c r="C7005" s="7" t="s">
        <v>1275</v>
      </c>
      <c r="D7005" s="7" t="n">
        <v>0</v>
      </c>
      <c r="E7005" s="7" t="n">
        <v>0</v>
      </c>
      <c r="F7005" s="7" t="n">
        <v>1</v>
      </c>
      <c r="G7005" s="7" t="n">
        <v>66.02</v>
      </c>
    </row>
    <row r="7006" customFormat="false" ht="15" hidden="false" customHeight="false" outlineLevel="0" collapsed="false">
      <c r="A7006" s="7" t="s">
        <v>24</v>
      </c>
      <c r="B7006" s="7" t="s">
        <v>177</v>
      </c>
      <c r="C7006" s="7" t="s">
        <v>1275</v>
      </c>
      <c r="D7006" s="7" t="n">
        <v>22</v>
      </c>
      <c r="E7006" s="7" t="n">
        <v>2430.05</v>
      </c>
      <c r="F7006" s="7" t="n">
        <v>18</v>
      </c>
      <c r="G7006" s="7" t="n">
        <v>1969.39</v>
      </c>
    </row>
    <row r="7007" customFormat="false" ht="15" hidden="false" customHeight="false" outlineLevel="0" collapsed="false">
      <c r="A7007" s="7" t="s">
        <v>24</v>
      </c>
      <c r="B7007" s="7" t="s">
        <v>177</v>
      </c>
      <c r="C7007" s="7" t="s">
        <v>1275</v>
      </c>
      <c r="D7007" s="7" t="n">
        <v>0</v>
      </c>
      <c r="E7007" s="7" t="n">
        <v>0</v>
      </c>
      <c r="F7007" s="7" t="n">
        <v>1</v>
      </c>
      <c r="G7007" s="7" t="n">
        <v>66.01</v>
      </c>
    </row>
    <row r="7008" customFormat="false" ht="15" hidden="false" customHeight="false" outlineLevel="0" collapsed="false">
      <c r="A7008" s="7" t="s">
        <v>24</v>
      </c>
      <c r="B7008" s="7" t="s">
        <v>177</v>
      </c>
      <c r="C7008" s="7" t="s">
        <v>1275</v>
      </c>
      <c r="D7008" s="7" t="n">
        <v>0</v>
      </c>
      <c r="E7008" s="7" t="n">
        <v>0</v>
      </c>
      <c r="F7008" s="7" t="n">
        <v>1</v>
      </c>
      <c r="G7008" s="7" t="n">
        <v>66.01</v>
      </c>
    </row>
    <row r="7009" customFormat="false" ht="15" hidden="false" customHeight="false" outlineLevel="0" collapsed="false">
      <c r="A7009" s="7" t="s">
        <v>24</v>
      </c>
      <c r="B7009" s="7" t="s">
        <v>177</v>
      </c>
      <c r="C7009" s="7" t="s">
        <v>1275</v>
      </c>
      <c r="D7009" s="7" t="n">
        <v>0</v>
      </c>
      <c r="E7009" s="7" t="n">
        <v>0</v>
      </c>
      <c r="F7009" s="7" t="n">
        <v>5</v>
      </c>
      <c r="G7009" s="7" t="n">
        <v>330.1</v>
      </c>
    </row>
    <row r="7010" customFormat="false" ht="15" hidden="false" customHeight="false" outlineLevel="0" collapsed="false">
      <c r="A7010" s="7" t="s">
        <v>24</v>
      </c>
      <c r="B7010" s="7" t="s">
        <v>177</v>
      </c>
      <c r="C7010" s="7" t="s">
        <v>1275</v>
      </c>
      <c r="D7010" s="7" t="n">
        <v>0</v>
      </c>
      <c r="E7010" s="7" t="n">
        <v>0</v>
      </c>
      <c r="F7010" s="7" t="n">
        <v>1</v>
      </c>
      <c r="G7010" s="7" t="n">
        <v>66.02</v>
      </c>
    </row>
    <row r="7011" customFormat="false" ht="15" hidden="false" customHeight="false" outlineLevel="0" collapsed="false">
      <c r="A7011" s="7" t="s">
        <v>24</v>
      </c>
      <c r="B7011" s="7" t="s">
        <v>177</v>
      </c>
      <c r="C7011" s="7" t="s">
        <v>1275</v>
      </c>
      <c r="D7011" s="7" t="n">
        <v>0</v>
      </c>
      <c r="E7011" s="7" t="n">
        <v>0</v>
      </c>
      <c r="F7011" s="7" t="n">
        <v>1</v>
      </c>
      <c r="G7011" s="7" t="n">
        <v>66.02</v>
      </c>
    </row>
    <row r="7012" customFormat="false" ht="15" hidden="false" customHeight="false" outlineLevel="0" collapsed="false">
      <c r="A7012" s="7" t="s">
        <v>24</v>
      </c>
      <c r="B7012" s="7" t="s">
        <v>177</v>
      </c>
      <c r="C7012" s="7" t="s">
        <v>1275</v>
      </c>
      <c r="D7012" s="7" t="n">
        <v>0</v>
      </c>
      <c r="E7012" s="7" t="n">
        <v>0</v>
      </c>
      <c r="F7012" s="7" t="n">
        <v>2</v>
      </c>
      <c r="G7012" s="7" t="n">
        <v>132.04</v>
      </c>
    </row>
    <row r="7013" customFormat="false" ht="15" hidden="false" customHeight="false" outlineLevel="0" collapsed="false">
      <c r="A7013" s="7" t="s">
        <v>24</v>
      </c>
      <c r="B7013" s="7" t="s">
        <v>177</v>
      </c>
      <c r="C7013" s="7" t="s">
        <v>1275</v>
      </c>
      <c r="D7013" s="7" t="n">
        <v>0</v>
      </c>
      <c r="E7013" s="7" t="n">
        <v>0</v>
      </c>
      <c r="F7013" s="7" t="n">
        <v>1</v>
      </c>
      <c r="G7013" s="7" t="n">
        <v>66.02</v>
      </c>
    </row>
    <row r="7014" customFormat="false" ht="15" hidden="false" customHeight="false" outlineLevel="0" collapsed="false">
      <c r="A7014" s="7" t="s">
        <v>24</v>
      </c>
      <c r="B7014" s="7" t="s">
        <v>177</v>
      </c>
      <c r="C7014" s="7" t="s">
        <v>1275</v>
      </c>
      <c r="D7014" s="7" t="n">
        <v>0</v>
      </c>
      <c r="E7014" s="7" t="n">
        <v>0</v>
      </c>
      <c r="F7014" s="7" t="n">
        <v>2</v>
      </c>
      <c r="G7014" s="7" t="n">
        <v>132.04</v>
      </c>
    </row>
    <row r="7015" customFormat="false" ht="15" hidden="false" customHeight="false" outlineLevel="0" collapsed="false">
      <c r="A7015" s="7" t="s">
        <v>24</v>
      </c>
      <c r="B7015" s="7" t="s">
        <v>177</v>
      </c>
      <c r="C7015" s="7" t="s">
        <v>1275</v>
      </c>
      <c r="D7015" s="7" t="n">
        <v>0</v>
      </c>
      <c r="E7015" s="7" t="n">
        <v>0</v>
      </c>
      <c r="F7015" s="7" t="n">
        <v>1</v>
      </c>
      <c r="G7015" s="7" t="n">
        <v>66.02</v>
      </c>
    </row>
    <row r="7016" customFormat="false" ht="15" hidden="false" customHeight="false" outlineLevel="0" collapsed="false">
      <c r="A7016" s="7" t="s">
        <v>24</v>
      </c>
      <c r="B7016" s="7" t="s">
        <v>177</v>
      </c>
      <c r="C7016" s="7" t="s">
        <v>1275</v>
      </c>
      <c r="D7016" s="7" t="n">
        <v>0</v>
      </c>
      <c r="E7016" s="7" t="n">
        <v>0</v>
      </c>
      <c r="F7016" s="7" t="n">
        <v>1</v>
      </c>
      <c r="G7016" s="7" t="n">
        <v>66.02</v>
      </c>
    </row>
    <row r="7017" customFormat="false" ht="15" hidden="false" customHeight="false" outlineLevel="0" collapsed="false">
      <c r="A7017" s="7" t="s">
        <v>24</v>
      </c>
      <c r="B7017" s="7" t="s">
        <v>177</v>
      </c>
      <c r="C7017" s="7" t="s">
        <v>1275</v>
      </c>
      <c r="D7017" s="7" t="n">
        <v>0</v>
      </c>
      <c r="E7017" s="7" t="n">
        <v>0</v>
      </c>
      <c r="F7017" s="7" t="n">
        <v>1</v>
      </c>
      <c r="G7017" s="7" t="n">
        <v>66.02</v>
      </c>
    </row>
    <row r="7018" customFormat="false" ht="15" hidden="false" customHeight="false" outlineLevel="0" collapsed="false">
      <c r="A7018" s="7" t="s">
        <v>24</v>
      </c>
      <c r="B7018" s="7" t="s">
        <v>177</v>
      </c>
      <c r="C7018" s="7" t="s">
        <v>1275</v>
      </c>
      <c r="D7018" s="7" t="n">
        <v>0</v>
      </c>
      <c r="E7018" s="7" t="n">
        <v>0</v>
      </c>
      <c r="F7018" s="7" t="n">
        <v>2</v>
      </c>
      <c r="G7018" s="7" t="n">
        <v>132.02</v>
      </c>
    </row>
    <row r="7019" customFormat="false" ht="15" hidden="false" customHeight="false" outlineLevel="0" collapsed="false">
      <c r="A7019" s="7" t="s">
        <v>24</v>
      </c>
      <c r="B7019" s="7" t="s">
        <v>177</v>
      </c>
      <c r="C7019" s="7" t="s">
        <v>1275</v>
      </c>
      <c r="D7019" s="7" t="n">
        <v>0</v>
      </c>
      <c r="E7019" s="7" t="n">
        <v>0</v>
      </c>
      <c r="F7019" s="7" t="n">
        <v>1</v>
      </c>
      <c r="G7019" s="7" t="n">
        <v>66.02</v>
      </c>
    </row>
    <row r="7020" customFormat="false" ht="15" hidden="false" customHeight="false" outlineLevel="0" collapsed="false">
      <c r="A7020" s="7" t="s">
        <v>24</v>
      </c>
      <c r="B7020" s="7" t="s">
        <v>177</v>
      </c>
      <c r="C7020" s="7" t="s">
        <v>1275</v>
      </c>
      <c r="D7020" s="7" t="n">
        <v>0</v>
      </c>
      <c r="E7020" s="7" t="n">
        <v>0</v>
      </c>
      <c r="F7020" s="7" t="n">
        <v>1</v>
      </c>
      <c r="G7020" s="7" t="n">
        <v>66.02</v>
      </c>
    </row>
    <row r="7021" customFormat="false" ht="15" hidden="false" customHeight="false" outlineLevel="0" collapsed="false">
      <c r="A7021" s="7" t="s">
        <v>24</v>
      </c>
      <c r="B7021" s="7" t="s">
        <v>177</v>
      </c>
      <c r="C7021" s="7" t="s">
        <v>1275</v>
      </c>
      <c r="D7021" s="7" t="n">
        <v>0</v>
      </c>
      <c r="E7021" s="7" t="n">
        <v>0</v>
      </c>
      <c r="F7021" s="7" t="n">
        <v>1</v>
      </c>
      <c r="G7021" s="7" t="n">
        <v>66.02</v>
      </c>
    </row>
    <row r="7022" customFormat="false" ht="15" hidden="false" customHeight="false" outlineLevel="0" collapsed="false">
      <c r="A7022" s="7" t="s">
        <v>24</v>
      </c>
      <c r="B7022" s="7" t="s">
        <v>177</v>
      </c>
      <c r="C7022" s="7" t="s">
        <v>1275</v>
      </c>
      <c r="D7022" s="7" t="n">
        <v>0</v>
      </c>
      <c r="E7022" s="7" t="n">
        <v>0</v>
      </c>
      <c r="F7022" s="7" t="n">
        <v>2</v>
      </c>
      <c r="G7022" s="7" t="n">
        <v>132.03</v>
      </c>
    </row>
    <row r="7023" customFormat="false" ht="15" hidden="false" customHeight="false" outlineLevel="0" collapsed="false">
      <c r="A7023" s="7" t="s">
        <v>24</v>
      </c>
      <c r="B7023" s="7" t="s">
        <v>177</v>
      </c>
      <c r="C7023" s="7" t="s">
        <v>1275</v>
      </c>
      <c r="D7023" s="7" t="n">
        <v>0</v>
      </c>
      <c r="E7023" s="7" t="n">
        <v>0</v>
      </c>
      <c r="F7023" s="7" t="n">
        <v>2</v>
      </c>
      <c r="G7023" s="7" t="n">
        <v>132.03</v>
      </c>
    </row>
    <row r="7024" customFormat="false" ht="15" hidden="false" customHeight="false" outlineLevel="0" collapsed="false">
      <c r="A7024" s="7" t="s">
        <v>24</v>
      </c>
      <c r="B7024" s="7" t="s">
        <v>177</v>
      </c>
      <c r="C7024" s="7" t="s">
        <v>1275</v>
      </c>
      <c r="D7024" s="7" t="n">
        <v>0</v>
      </c>
      <c r="E7024" s="7" t="n">
        <v>0</v>
      </c>
      <c r="F7024" s="7" t="n">
        <v>1</v>
      </c>
      <c r="G7024" s="7" t="n">
        <v>66.01</v>
      </c>
    </row>
    <row r="7025" customFormat="false" ht="15" hidden="false" customHeight="false" outlineLevel="0" collapsed="false">
      <c r="A7025" s="7" t="s">
        <v>24</v>
      </c>
      <c r="B7025" s="7" t="s">
        <v>177</v>
      </c>
      <c r="C7025" s="7" t="s">
        <v>1275</v>
      </c>
      <c r="D7025" s="7" t="n">
        <v>0</v>
      </c>
      <c r="E7025" s="7" t="n">
        <v>0</v>
      </c>
      <c r="F7025" s="7" t="n">
        <v>1</v>
      </c>
      <c r="G7025" s="7" t="n">
        <v>115.17</v>
      </c>
    </row>
    <row r="7026" customFormat="false" ht="15" hidden="false" customHeight="false" outlineLevel="0" collapsed="false">
      <c r="A7026" s="7" t="s">
        <v>24</v>
      </c>
      <c r="B7026" s="7" t="s">
        <v>177</v>
      </c>
      <c r="C7026" s="7" t="s">
        <v>1275</v>
      </c>
      <c r="D7026" s="7" t="n">
        <v>0</v>
      </c>
      <c r="E7026" s="7" t="n">
        <v>0</v>
      </c>
      <c r="F7026" s="7" t="n">
        <v>1</v>
      </c>
      <c r="G7026" s="7" t="n">
        <v>66.02</v>
      </c>
    </row>
    <row r="7027" customFormat="false" ht="15" hidden="false" customHeight="false" outlineLevel="0" collapsed="false">
      <c r="A7027" s="7" t="s">
        <v>24</v>
      </c>
      <c r="B7027" s="7" t="s">
        <v>177</v>
      </c>
      <c r="C7027" s="7" t="s">
        <v>1275</v>
      </c>
      <c r="D7027" s="7" t="n">
        <v>0</v>
      </c>
      <c r="E7027" s="7" t="n">
        <v>0</v>
      </c>
      <c r="F7027" s="7" t="n">
        <v>1</v>
      </c>
      <c r="G7027" s="7" t="n">
        <v>66.01</v>
      </c>
    </row>
    <row r="7028" customFormat="false" ht="15" hidden="false" customHeight="false" outlineLevel="0" collapsed="false">
      <c r="A7028" s="7" t="s">
        <v>24</v>
      </c>
      <c r="B7028" s="7" t="s">
        <v>177</v>
      </c>
      <c r="C7028" s="7" t="s">
        <v>1275</v>
      </c>
      <c r="D7028" s="7" t="n">
        <v>0</v>
      </c>
      <c r="E7028" s="7" t="n">
        <v>0</v>
      </c>
      <c r="F7028" s="7" t="n">
        <v>1</v>
      </c>
      <c r="G7028" s="7" t="n">
        <v>66.01</v>
      </c>
    </row>
    <row r="7029" customFormat="false" ht="15" hidden="false" customHeight="false" outlineLevel="0" collapsed="false">
      <c r="A7029" s="7" t="s">
        <v>24</v>
      </c>
      <c r="B7029" s="7" t="s">
        <v>177</v>
      </c>
      <c r="C7029" s="7" t="s">
        <v>1275</v>
      </c>
      <c r="D7029" s="7" t="n">
        <v>0</v>
      </c>
      <c r="E7029" s="7" t="n">
        <v>0</v>
      </c>
      <c r="F7029" s="7" t="n">
        <v>1</v>
      </c>
      <c r="G7029" s="7" t="n">
        <v>66.02</v>
      </c>
    </row>
    <row r="7030" customFormat="false" ht="15" hidden="false" customHeight="false" outlineLevel="0" collapsed="false">
      <c r="A7030" s="7" t="s">
        <v>24</v>
      </c>
      <c r="B7030" s="7" t="s">
        <v>177</v>
      </c>
      <c r="C7030" s="7" t="s">
        <v>1275</v>
      </c>
      <c r="D7030" s="7" t="n">
        <v>0</v>
      </c>
      <c r="E7030" s="7" t="n">
        <v>0</v>
      </c>
      <c r="F7030" s="7" t="n">
        <v>1</v>
      </c>
      <c r="G7030" s="7" t="n">
        <v>66.01</v>
      </c>
    </row>
    <row r="7031" customFormat="false" ht="15" hidden="false" customHeight="false" outlineLevel="0" collapsed="false">
      <c r="A7031" s="7" t="s">
        <v>24</v>
      </c>
      <c r="B7031" s="7" t="s">
        <v>177</v>
      </c>
      <c r="C7031" s="7" t="s">
        <v>1275</v>
      </c>
      <c r="D7031" s="7" t="n">
        <v>0</v>
      </c>
      <c r="E7031" s="7" t="n">
        <v>0</v>
      </c>
      <c r="F7031" s="7" t="n">
        <v>2</v>
      </c>
      <c r="G7031" s="7" t="n">
        <v>132.04</v>
      </c>
    </row>
    <row r="7032" customFormat="false" ht="15" hidden="false" customHeight="false" outlineLevel="0" collapsed="false">
      <c r="A7032" s="7" t="s">
        <v>24</v>
      </c>
      <c r="B7032" s="7" t="s">
        <v>177</v>
      </c>
      <c r="C7032" s="7" t="s">
        <v>1275</v>
      </c>
      <c r="D7032" s="7" t="n">
        <v>0</v>
      </c>
      <c r="E7032" s="7" t="n">
        <v>0</v>
      </c>
      <c r="F7032" s="7" t="n">
        <v>2</v>
      </c>
      <c r="G7032" s="7" t="n">
        <v>132.04</v>
      </c>
    </row>
    <row r="7033" customFormat="false" ht="15" hidden="false" customHeight="false" outlineLevel="0" collapsed="false">
      <c r="A7033" s="7" t="s">
        <v>24</v>
      </c>
      <c r="B7033" s="7" t="s">
        <v>131</v>
      </c>
      <c r="C7033" s="7" t="s">
        <v>1276</v>
      </c>
      <c r="D7033" s="7" t="n">
        <v>1340</v>
      </c>
      <c r="E7033" s="7" t="n">
        <v>13.36</v>
      </c>
      <c r="F7033" s="7" t="n">
        <v>1764</v>
      </c>
      <c r="G7033" s="7" t="n">
        <v>-4708.49</v>
      </c>
    </row>
    <row r="7034" customFormat="false" ht="15" hidden="false" customHeight="false" outlineLevel="0" collapsed="false">
      <c r="A7034" s="7" t="s">
        <v>24</v>
      </c>
      <c r="B7034" s="7" t="s">
        <v>624</v>
      </c>
      <c r="C7034" s="7" t="s">
        <v>1277</v>
      </c>
      <c r="D7034" s="7" t="n">
        <v>6</v>
      </c>
      <c r="E7034" s="7" t="n">
        <v>152.52</v>
      </c>
      <c r="F7034" s="7" t="n">
        <v>-1</v>
      </c>
      <c r="G7034" s="7" t="n">
        <v>-25.42</v>
      </c>
    </row>
    <row r="7035" customFormat="false" ht="15" hidden="false" customHeight="false" outlineLevel="0" collapsed="false">
      <c r="A7035" s="7" t="s">
        <v>24</v>
      </c>
      <c r="B7035" s="7" t="s">
        <v>108</v>
      </c>
      <c r="C7035" s="7" t="s">
        <v>1278</v>
      </c>
      <c r="D7035" s="7" t="n">
        <v>1939</v>
      </c>
      <c r="E7035" s="7" t="n">
        <v>82000.32</v>
      </c>
      <c r="F7035" s="7" t="n">
        <v>1327</v>
      </c>
      <c r="G7035" s="7" t="n">
        <v>54244.43</v>
      </c>
    </row>
    <row r="7036" customFormat="false" ht="15" hidden="false" customHeight="false" outlineLevel="0" collapsed="false">
      <c r="A7036" s="7" t="s">
        <v>24</v>
      </c>
      <c r="B7036" s="7" t="s">
        <v>108</v>
      </c>
      <c r="C7036" s="7" t="s">
        <v>1278</v>
      </c>
      <c r="D7036" s="7" t="n">
        <v>1</v>
      </c>
      <c r="E7036" s="7" t="n">
        <v>45.9</v>
      </c>
      <c r="F7036" s="7" t="n">
        <v>0</v>
      </c>
      <c r="G7036" s="7" t="n">
        <v>0</v>
      </c>
    </row>
    <row r="7037" customFormat="false" ht="15" hidden="false" customHeight="false" outlineLevel="0" collapsed="false">
      <c r="A7037" s="7" t="s">
        <v>24</v>
      </c>
      <c r="B7037" s="7" t="s">
        <v>108</v>
      </c>
      <c r="C7037" s="7" t="s">
        <v>1278</v>
      </c>
      <c r="D7037" s="7" t="n">
        <v>0</v>
      </c>
      <c r="E7037" s="7" t="n">
        <v>0</v>
      </c>
      <c r="F7037" s="7" t="n">
        <v>1</v>
      </c>
      <c r="G7037" s="7" t="n">
        <v>45.5</v>
      </c>
    </row>
    <row r="7038" customFormat="false" ht="15" hidden="false" customHeight="false" outlineLevel="0" collapsed="false">
      <c r="A7038" s="7" t="s">
        <v>24</v>
      </c>
      <c r="B7038" s="7" t="s">
        <v>108</v>
      </c>
      <c r="C7038" s="7" t="s">
        <v>1278</v>
      </c>
      <c r="D7038" s="7" t="n">
        <v>2</v>
      </c>
      <c r="E7038" s="7" t="n">
        <v>80</v>
      </c>
      <c r="F7038" s="7" t="n">
        <v>0</v>
      </c>
      <c r="G7038" s="7" t="n">
        <v>0</v>
      </c>
    </row>
    <row r="7039" customFormat="false" ht="15" hidden="false" customHeight="false" outlineLevel="0" collapsed="false">
      <c r="A7039" s="7" t="s">
        <v>24</v>
      </c>
      <c r="B7039" s="7" t="s">
        <v>108</v>
      </c>
      <c r="C7039" s="7" t="s">
        <v>1278</v>
      </c>
      <c r="D7039" s="7" t="n">
        <v>0</v>
      </c>
      <c r="E7039" s="7" t="n">
        <v>0</v>
      </c>
      <c r="F7039" s="7" t="n">
        <v>1</v>
      </c>
      <c r="G7039" s="7" t="n">
        <v>39</v>
      </c>
    </row>
    <row r="7040" customFormat="false" ht="15" hidden="false" customHeight="false" outlineLevel="0" collapsed="false">
      <c r="A7040" s="7" t="s">
        <v>24</v>
      </c>
      <c r="B7040" s="7" t="s">
        <v>107</v>
      </c>
      <c r="C7040" s="7" t="s">
        <v>1279</v>
      </c>
      <c r="D7040" s="7" t="n">
        <v>0</v>
      </c>
      <c r="E7040" s="7" t="n">
        <v>0</v>
      </c>
      <c r="F7040" s="7" t="n">
        <v>2685</v>
      </c>
      <c r="G7040" s="7" t="n">
        <v>40155.68</v>
      </c>
    </row>
    <row r="7041" customFormat="false" ht="15" hidden="false" customHeight="false" outlineLevel="0" collapsed="false">
      <c r="A7041" s="7" t="s">
        <v>24</v>
      </c>
      <c r="B7041" s="7" t="s">
        <v>107</v>
      </c>
      <c r="C7041" s="7" t="s">
        <v>1279</v>
      </c>
      <c r="D7041" s="7" t="n">
        <v>4978</v>
      </c>
      <c r="E7041" s="7" t="n">
        <v>83925.83</v>
      </c>
      <c r="F7041" s="7" t="n">
        <v>657</v>
      </c>
      <c r="G7041" s="7" t="n">
        <v>11077.08</v>
      </c>
    </row>
    <row r="7042" customFormat="false" ht="15" hidden="false" customHeight="false" outlineLevel="0" collapsed="false">
      <c r="A7042" s="7" t="s">
        <v>24</v>
      </c>
      <c r="B7042" s="7" t="s">
        <v>109</v>
      </c>
      <c r="C7042" s="7" t="s">
        <v>1280</v>
      </c>
      <c r="D7042" s="7" t="n">
        <v>0</v>
      </c>
      <c r="E7042" s="7" t="n">
        <v>0</v>
      </c>
      <c r="F7042" s="7" t="n">
        <v>1</v>
      </c>
      <c r="G7042" s="7" t="n">
        <v>915.18</v>
      </c>
    </row>
    <row r="7043" customFormat="false" ht="15" hidden="false" customHeight="false" outlineLevel="0" collapsed="false">
      <c r="A7043" s="7" t="s">
        <v>24</v>
      </c>
      <c r="B7043" s="7" t="s">
        <v>109</v>
      </c>
      <c r="C7043" s="7" t="s">
        <v>1280</v>
      </c>
      <c r="D7043" s="7" t="n">
        <v>0</v>
      </c>
      <c r="E7043" s="7" t="n">
        <v>0</v>
      </c>
      <c r="F7043" s="7" t="n">
        <v>1</v>
      </c>
      <c r="G7043" s="7" t="n">
        <v>1016.86</v>
      </c>
    </row>
    <row r="7044" customFormat="false" ht="15" hidden="false" customHeight="false" outlineLevel="0" collapsed="false">
      <c r="A7044" s="7" t="s">
        <v>24</v>
      </c>
      <c r="B7044" s="7" t="s">
        <v>109</v>
      </c>
      <c r="C7044" s="7" t="s">
        <v>1280</v>
      </c>
      <c r="D7044" s="7" t="n">
        <v>0</v>
      </c>
      <c r="E7044" s="7" t="n">
        <v>0</v>
      </c>
      <c r="F7044" s="7" t="n">
        <v>1</v>
      </c>
      <c r="G7044" s="7" t="n">
        <v>1016.86</v>
      </c>
    </row>
    <row r="7045" customFormat="false" ht="15" hidden="false" customHeight="false" outlineLevel="0" collapsed="false">
      <c r="A7045" s="7" t="s">
        <v>24</v>
      </c>
      <c r="B7045" s="7" t="s">
        <v>109</v>
      </c>
      <c r="C7045" s="7" t="s">
        <v>1280</v>
      </c>
      <c r="D7045" s="7" t="n">
        <v>0</v>
      </c>
      <c r="E7045" s="7" t="n">
        <v>0</v>
      </c>
      <c r="F7045" s="7" t="n">
        <v>1</v>
      </c>
      <c r="G7045" s="7" t="n">
        <v>1016.86</v>
      </c>
    </row>
    <row r="7046" customFormat="false" ht="15" hidden="false" customHeight="false" outlineLevel="0" collapsed="false">
      <c r="A7046" s="7" t="s">
        <v>24</v>
      </c>
      <c r="B7046" s="7" t="s">
        <v>109</v>
      </c>
      <c r="C7046" s="7" t="s">
        <v>1280</v>
      </c>
      <c r="D7046" s="7" t="n">
        <v>0</v>
      </c>
      <c r="E7046" s="7" t="n">
        <v>0</v>
      </c>
      <c r="F7046" s="7" t="n">
        <v>13</v>
      </c>
      <c r="G7046" s="7" t="n">
        <v>12592.26</v>
      </c>
    </row>
    <row r="7047" customFormat="false" ht="15" hidden="false" customHeight="false" outlineLevel="0" collapsed="false">
      <c r="A7047" s="7" t="s">
        <v>24</v>
      </c>
      <c r="B7047" s="7" t="s">
        <v>109</v>
      </c>
      <c r="C7047" s="7" t="s">
        <v>1280</v>
      </c>
      <c r="D7047" s="7" t="n">
        <v>0</v>
      </c>
      <c r="E7047" s="7" t="n">
        <v>0</v>
      </c>
      <c r="F7047" s="7" t="n">
        <v>1</v>
      </c>
      <c r="G7047" s="7" t="n">
        <v>864.34</v>
      </c>
    </row>
    <row r="7048" customFormat="false" ht="15" hidden="false" customHeight="false" outlineLevel="0" collapsed="false">
      <c r="A7048" s="7" t="s">
        <v>24</v>
      </c>
      <c r="B7048" s="7" t="s">
        <v>109</v>
      </c>
      <c r="C7048" s="7" t="s">
        <v>1280</v>
      </c>
      <c r="D7048" s="7" t="n">
        <v>0</v>
      </c>
      <c r="E7048" s="7" t="n">
        <v>0</v>
      </c>
      <c r="F7048" s="7" t="n">
        <v>1</v>
      </c>
      <c r="G7048" s="7" t="n">
        <v>847.37</v>
      </c>
    </row>
    <row r="7049" customFormat="false" ht="15" hidden="false" customHeight="false" outlineLevel="0" collapsed="false">
      <c r="A7049" s="7" t="s">
        <v>24</v>
      </c>
      <c r="B7049" s="7" t="s">
        <v>109</v>
      </c>
      <c r="C7049" s="7" t="s">
        <v>1280</v>
      </c>
      <c r="D7049" s="7" t="n">
        <v>0</v>
      </c>
      <c r="E7049" s="7" t="n">
        <v>0</v>
      </c>
      <c r="F7049" s="7" t="n">
        <v>1</v>
      </c>
      <c r="G7049" s="7" t="n">
        <v>915.18</v>
      </c>
    </row>
    <row r="7050" customFormat="false" ht="15" hidden="false" customHeight="false" outlineLevel="0" collapsed="false">
      <c r="A7050" s="7" t="s">
        <v>24</v>
      </c>
      <c r="B7050" s="7" t="s">
        <v>109</v>
      </c>
      <c r="C7050" s="7" t="s">
        <v>1280</v>
      </c>
      <c r="D7050" s="7" t="n">
        <v>0</v>
      </c>
      <c r="E7050" s="7" t="n">
        <v>0</v>
      </c>
      <c r="F7050" s="7" t="n">
        <v>1</v>
      </c>
      <c r="G7050" s="7" t="n">
        <v>0.01</v>
      </c>
    </row>
    <row r="7051" customFormat="false" ht="15" hidden="false" customHeight="false" outlineLevel="0" collapsed="false">
      <c r="A7051" s="7" t="s">
        <v>24</v>
      </c>
      <c r="B7051" s="7" t="s">
        <v>109</v>
      </c>
      <c r="C7051" s="7" t="s">
        <v>1280</v>
      </c>
      <c r="D7051" s="7" t="n">
        <v>0</v>
      </c>
      <c r="E7051" s="7" t="n">
        <v>0</v>
      </c>
      <c r="F7051" s="7" t="n">
        <v>1</v>
      </c>
      <c r="G7051" s="7" t="n">
        <v>1016.86</v>
      </c>
    </row>
    <row r="7052" customFormat="false" ht="15" hidden="false" customHeight="false" outlineLevel="0" collapsed="false">
      <c r="A7052" s="7" t="s">
        <v>24</v>
      </c>
      <c r="B7052" s="7" t="s">
        <v>109</v>
      </c>
      <c r="C7052" s="7" t="s">
        <v>1280</v>
      </c>
      <c r="D7052" s="7" t="n">
        <v>0</v>
      </c>
      <c r="E7052" s="7" t="n">
        <v>0</v>
      </c>
      <c r="F7052" s="7" t="n">
        <v>1</v>
      </c>
      <c r="G7052" s="7" t="n">
        <v>915.18</v>
      </c>
    </row>
    <row r="7053" customFormat="false" ht="15" hidden="false" customHeight="false" outlineLevel="0" collapsed="false">
      <c r="A7053" s="7" t="s">
        <v>24</v>
      </c>
      <c r="B7053" s="7" t="s">
        <v>109</v>
      </c>
      <c r="C7053" s="7" t="s">
        <v>1280</v>
      </c>
      <c r="D7053" s="7" t="n">
        <v>0</v>
      </c>
      <c r="E7053" s="7" t="n">
        <v>0</v>
      </c>
      <c r="F7053" s="7" t="n">
        <v>1</v>
      </c>
      <c r="G7053" s="7" t="n">
        <v>1016.86</v>
      </c>
    </row>
    <row r="7054" customFormat="false" ht="15" hidden="false" customHeight="false" outlineLevel="0" collapsed="false">
      <c r="A7054" s="7" t="s">
        <v>24</v>
      </c>
      <c r="B7054" s="7" t="s">
        <v>109</v>
      </c>
      <c r="C7054" s="7" t="s">
        <v>1280</v>
      </c>
      <c r="D7054" s="7" t="n">
        <v>0</v>
      </c>
      <c r="E7054" s="7" t="n">
        <v>0</v>
      </c>
      <c r="F7054" s="7" t="n">
        <v>1</v>
      </c>
      <c r="G7054" s="7" t="n">
        <v>1016.86</v>
      </c>
    </row>
    <row r="7055" customFormat="false" ht="15" hidden="false" customHeight="false" outlineLevel="0" collapsed="false">
      <c r="A7055" s="7" t="s">
        <v>24</v>
      </c>
      <c r="B7055" s="7" t="s">
        <v>115</v>
      </c>
      <c r="C7055" s="7" t="s">
        <v>1281</v>
      </c>
      <c r="D7055" s="7" t="n">
        <v>0</v>
      </c>
      <c r="E7055" s="7" t="n">
        <v>0</v>
      </c>
      <c r="F7055" s="7" t="n">
        <v>1</v>
      </c>
      <c r="G7055" s="7" t="n">
        <v>1016.86</v>
      </c>
    </row>
    <row r="7056" customFormat="false" ht="15" hidden="false" customHeight="false" outlineLevel="0" collapsed="false">
      <c r="A7056" s="7" t="s">
        <v>24</v>
      </c>
      <c r="B7056" s="7" t="s">
        <v>115</v>
      </c>
      <c r="C7056" s="7" t="s">
        <v>1281</v>
      </c>
      <c r="D7056" s="7" t="n">
        <v>0</v>
      </c>
      <c r="E7056" s="7" t="n">
        <v>0</v>
      </c>
      <c r="F7056" s="7" t="n">
        <v>5</v>
      </c>
      <c r="G7056" s="7" t="n">
        <v>4559.03</v>
      </c>
    </row>
    <row r="7057" customFormat="false" ht="15" hidden="false" customHeight="false" outlineLevel="0" collapsed="false">
      <c r="A7057" s="7" t="s">
        <v>24</v>
      </c>
      <c r="B7057" s="7" t="s">
        <v>115</v>
      </c>
      <c r="C7057" s="7" t="s">
        <v>1281</v>
      </c>
      <c r="D7057" s="7" t="n">
        <v>0</v>
      </c>
      <c r="E7057" s="7" t="n">
        <v>0</v>
      </c>
      <c r="F7057" s="7" t="n">
        <v>1</v>
      </c>
      <c r="G7057" s="7" t="n">
        <v>847.37</v>
      </c>
    </row>
    <row r="7058" customFormat="false" ht="15" hidden="false" customHeight="false" outlineLevel="0" collapsed="false">
      <c r="A7058" s="7" t="s">
        <v>24</v>
      </c>
      <c r="B7058" s="7" t="s">
        <v>115</v>
      </c>
      <c r="C7058" s="7" t="s">
        <v>1281</v>
      </c>
      <c r="D7058" s="7" t="n">
        <v>0</v>
      </c>
      <c r="E7058" s="7" t="n">
        <v>0</v>
      </c>
      <c r="F7058" s="7" t="n">
        <v>1</v>
      </c>
      <c r="G7058" s="7" t="n">
        <v>915.18</v>
      </c>
    </row>
    <row r="7059" customFormat="false" ht="15" hidden="false" customHeight="false" outlineLevel="0" collapsed="false">
      <c r="A7059" s="7" t="s">
        <v>24</v>
      </c>
      <c r="B7059" s="7" t="s">
        <v>115</v>
      </c>
      <c r="C7059" s="7" t="s">
        <v>1281</v>
      </c>
      <c r="D7059" s="7" t="n">
        <v>0</v>
      </c>
      <c r="E7059" s="7" t="n">
        <v>0</v>
      </c>
      <c r="F7059" s="7" t="n">
        <v>1</v>
      </c>
      <c r="G7059" s="7" t="n">
        <v>864.34</v>
      </c>
    </row>
    <row r="7060" customFormat="false" ht="15" hidden="false" customHeight="false" outlineLevel="0" collapsed="false">
      <c r="A7060" s="7" t="s">
        <v>24</v>
      </c>
      <c r="B7060" s="7" t="s">
        <v>115</v>
      </c>
      <c r="C7060" s="7" t="s">
        <v>1281</v>
      </c>
      <c r="D7060" s="7" t="n">
        <v>0</v>
      </c>
      <c r="E7060" s="7" t="n">
        <v>0</v>
      </c>
      <c r="F7060" s="7" t="n">
        <v>1</v>
      </c>
      <c r="G7060" s="7" t="n">
        <v>915.18</v>
      </c>
    </row>
    <row r="7061" customFormat="false" ht="15" hidden="false" customHeight="false" outlineLevel="0" collapsed="false">
      <c r="A7061" s="7" t="s">
        <v>24</v>
      </c>
      <c r="B7061" s="7" t="s">
        <v>115</v>
      </c>
      <c r="C7061" s="7" t="s">
        <v>1281</v>
      </c>
      <c r="D7061" s="7" t="n">
        <v>0</v>
      </c>
      <c r="E7061" s="7" t="n">
        <v>0</v>
      </c>
      <c r="F7061" s="7" t="n">
        <v>1</v>
      </c>
      <c r="G7061" s="7" t="n">
        <v>1016.86</v>
      </c>
    </row>
    <row r="7062" customFormat="false" ht="15" hidden="false" customHeight="false" outlineLevel="0" collapsed="false">
      <c r="A7062" s="7" t="s">
        <v>24</v>
      </c>
      <c r="B7062" s="7" t="s">
        <v>115</v>
      </c>
      <c r="C7062" s="7" t="s">
        <v>1281</v>
      </c>
      <c r="D7062" s="7" t="n">
        <v>0</v>
      </c>
      <c r="E7062" s="7" t="n">
        <v>0</v>
      </c>
      <c r="F7062" s="7" t="n">
        <v>1</v>
      </c>
      <c r="G7062" s="7" t="n">
        <v>1016.86</v>
      </c>
    </row>
    <row r="7063" customFormat="false" ht="15" hidden="false" customHeight="false" outlineLevel="0" collapsed="false">
      <c r="A7063" s="7" t="s">
        <v>24</v>
      </c>
      <c r="B7063" s="7" t="s">
        <v>112</v>
      </c>
      <c r="C7063" s="7" t="s">
        <v>1282</v>
      </c>
      <c r="D7063" s="7" t="n">
        <v>0</v>
      </c>
      <c r="E7063" s="7" t="n">
        <v>0</v>
      </c>
      <c r="F7063" s="7" t="n">
        <v>12</v>
      </c>
      <c r="G7063" s="7" t="n">
        <v>10948.97</v>
      </c>
    </row>
    <row r="7064" customFormat="false" ht="15" hidden="false" customHeight="false" outlineLevel="0" collapsed="false">
      <c r="A7064" s="7" t="s">
        <v>24</v>
      </c>
      <c r="B7064" s="7" t="s">
        <v>112</v>
      </c>
      <c r="C7064" s="7" t="s">
        <v>1282</v>
      </c>
      <c r="D7064" s="7" t="n">
        <v>0</v>
      </c>
      <c r="E7064" s="7" t="n">
        <v>0</v>
      </c>
      <c r="F7064" s="7" t="n">
        <v>1</v>
      </c>
      <c r="G7064" s="7" t="n">
        <v>1016.86</v>
      </c>
    </row>
    <row r="7065" customFormat="false" ht="15" hidden="false" customHeight="false" outlineLevel="0" collapsed="false">
      <c r="A7065" s="7" t="s">
        <v>24</v>
      </c>
      <c r="B7065" s="7" t="s">
        <v>112</v>
      </c>
      <c r="C7065" s="7" t="s">
        <v>1282</v>
      </c>
      <c r="D7065" s="7" t="n">
        <v>0</v>
      </c>
      <c r="E7065" s="7" t="n">
        <v>0</v>
      </c>
      <c r="F7065" s="7" t="n">
        <v>1</v>
      </c>
      <c r="G7065" s="7" t="n">
        <v>915.18</v>
      </c>
    </row>
    <row r="7066" customFormat="false" ht="15" hidden="false" customHeight="false" outlineLevel="0" collapsed="false">
      <c r="A7066" s="7" t="s">
        <v>24</v>
      </c>
      <c r="B7066" s="7" t="s">
        <v>112</v>
      </c>
      <c r="C7066" s="7" t="s">
        <v>1282</v>
      </c>
      <c r="D7066" s="7" t="n">
        <v>0</v>
      </c>
      <c r="E7066" s="7" t="n">
        <v>0</v>
      </c>
      <c r="F7066" s="7" t="n">
        <v>2</v>
      </c>
      <c r="G7066" s="7" t="n">
        <v>1864.23</v>
      </c>
    </row>
    <row r="7067" customFormat="false" ht="15" hidden="false" customHeight="false" outlineLevel="0" collapsed="false">
      <c r="A7067" s="7" t="s">
        <v>24</v>
      </c>
      <c r="B7067" s="7" t="s">
        <v>112</v>
      </c>
      <c r="C7067" s="7" t="s">
        <v>1282</v>
      </c>
      <c r="D7067" s="7" t="n">
        <v>0</v>
      </c>
      <c r="E7067" s="7" t="n">
        <v>0</v>
      </c>
      <c r="F7067" s="7" t="n">
        <v>1</v>
      </c>
      <c r="G7067" s="7" t="n">
        <v>864.34</v>
      </c>
    </row>
    <row r="7068" customFormat="false" ht="15" hidden="false" customHeight="false" outlineLevel="0" collapsed="false">
      <c r="A7068" s="7" t="s">
        <v>24</v>
      </c>
      <c r="B7068" s="7" t="s">
        <v>112</v>
      </c>
      <c r="C7068" s="7" t="s">
        <v>1282</v>
      </c>
      <c r="D7068" s="7" t="n">
        <v>0</v>
      </c>
      <c r="E7068" s="7" t="n">
        <v>0</v>
      </c>
      <c r="F7068" s="7" t="n">
        <v>1</v>
      </c>
      <c r="G7068" s="7" t="n">
        <v>1016.86</v>
      </c>
    </row>
    <row r="7069" customFormat="false" ht="15" hidden="false" customHeight="false" outlineLevel="0" collapsed="false">
      <c r="A7069" s="7" t="s">
        <v>24</v>
      </c>
      <c r="B7069" s="7" t="s">
        <v>609</v>
      </c>
      <c r="C7069" s="7" t="s">
        <v>1283</v>
      </c>
      <c r="D7069" s="7" t="n">
        <v>0</v>
      </c>
      <c r="E7069" s="7" t="n">
        <v>0</v>
      </c>
      <c r="F7069" s="7" t="n">
        <v>5</v>
      </c>
      <c r="G7069" s="7" t="n">
        <v>-169.27</v>
      </c>
    </row>
    <row r="7070" customFormat="false" ht="15" hidden="false" customHeight="false" outlineLevel="0" collapsed="false">
      <c r="A7070" s="7" t="s">
        <v>24</v>
      </c>
      <c r="B7070" s="7" t="s">
        <v>609</v>
      </c>
      <c r="C7070" s="7" t="s">
        <v>1283</v>
      </c>
      <c r="D7070" s="7" t="n">
        <v>0</v>
      </c>
      <c r="E7070" s="7" t="n">
        <v>0</v>
      </c>
      <c r="F7070" s="7" t="n">
        <v>1</v>
      </c>
      <c r="G7070" s="7" t="n">
        <v>60.94</v>
      </c>
    </row>
    <row r="7071" customFormat="false" ht="15" hidden="false" customHeight="false" outlineLevel="0" collapsed="false">
      <c r="A7071" s="7" t="s">
        <v>24</v>
      </c>
      <c r="B7071" s="7" t="s">
        <v>609</v>
      </c>
      <c r="C7071" s="7" t="s">
        <v>1283</v>
      </c>
      <c r="D7071" s="7" t="n">
        <v>0</v>
      </c>
      <c r="E7071" s="7" t="n">
        <v>0</v>
      </c>
      <c r="F7071" s="7" t="n">
        <v>1</v>
      </c>
      <c r="G7071" s="7" t="n">
        <v>0</v>
      </c>
    </row>
    <row r="7072" customFormat="false" ht="15" hidden="false" customHeight="false" outlineLevel="0" collapsed="false">
      <c r="A7072" s="7" t="s">
        <v>24</v>
      </c>
      <c r="B7072" s="7" t="s">
        <v>609</v>
      </c>
      <c r="C7072" s="7" t="s">
        <v>1283</v>
      </c>
      <c r="D7072" s="7" t="n">
        <v>0</v>
      </c>
      <c r="E7072" s="7" t="n">
        <v>0</v>
      </c>
      <c r="F7072" s="7" t="n">
        <v>4</v>
      </c>
      <c r="G7072" s="7" t="n">
        <v>240.41</v>
      </c>
    </row>
    <row r="7073" customFormat="false" ht="15" hidden="false" customHeight="false" outlineLevel="0" collapsed="false">
      <c r="A7073" s="7" t="s">
        <v>24</v>
      </c>
      <c r="B7073" s="7" t="s">
        <v>609</v>
      </c>
      <c r="C7073" s="7" t="s">
        <v>1283</v>
      </c>
      <c r="D7073" s="7" t="n">
        <v>0</v>
      </c>
      <c r="E7073" s="7" t="n">
        <v>0</v>
      </c>
      <c r="F7073" s="7" t="n">
        <v>1</v>
      </c>
      <c r="G7073" s="7" t="n">
        <v>0</v>
      </c>
    </row>
    <row r="7074" customFormat="false" ht="15" hidden="false" customHeight="false" outlineLevel="0" collapsed="false">
      <c r="A7074" s="7" t="s">
        <v>24</v>
      </c>
      <c r="B7074" s="7" t="s">
        <v>609</v>
      </c>
      <c r="C7074" s="7" t="s">
        <v>1283</v>
      </c>
      <c r="D7074" s="7" t="n">
        <v>0</v>
      </c>
      <c r="E7074" s="7" t="n">
        <v>0</v>
      </c>
      <c r="F7074" s="7" t="n">
        <v>1</v>
      </c>
      <c r="G7074" s="7" t="n">
        <v>0</v>
      </c>
    </row>
    <row r="7075" customFormat="false" ht="15" hidden="false" customHeight="false" outlineLevel="0" collapsed="false">
      <c r="A7075" s="7" t="s">
        <v>24</v>
      </c>
      <c r="B7075" s="7" t="s">
        <v>609</v>
      </c>
      <c r="C7075" s="7" t="s">
        <v>1283</v>
      </c>
      <c r="D7075" s="7" t="n">
        <v>0</v>
      </c>
      <c r="E7075" s="7" t="n">
        <v>0</v>
      </c>
      <c r="F7075" s="7" t="n">
        <v>1</v>
      </c>
      <c r="G7075" s="7" t="n">
        <v>0</v>
      </c>
    </row>
    <row r="7076" customFormat="false" ht="15" hidden="false" customHeight="false" outlineLevel="0" collapsed="false">
      <c r="A7076" s="7" t="s">
        <v>24</v>
      </c>
      <c r="B7076" s="7" t="s">
        <v>609</v>
      </c>
      <c r="C7076" s="7" t="s">
        <v>1283</v>
      </c>
      <c r="D7076" s="7" t="n">
        <v>0</v>
      </c>
      <c r="E7076" s="7" t="n">
        <v>0</v>
      </c>
      <c r="F7076" s="7" t="n">
        <v>1</v>
      </c>
      <c r="G7076" s="7" t="n">
        <v>0</v>
      </c>
    </row>
    <row r="7077" customFormat="false" ht="15" hidden="false" customHeight="false" outlineLevel="0" collapsed="false">
      <c r="A7077" s="7" t="s">
        <v>24</v>
      </c>
      <c r="B7077" s="7" t="s">
        <v>609</v>
      </c>
      <c r="C7077" s="7" t="s">
        <v>1283</v>
      </c>
      <c r="D7077" s="7" t="n">
        <v>0</v>
      </c>
      <c r="E7077" s="7" t="n">
        <v>0</v>
      </c>
      <c r="F7077" s="7" t="n">
        <v>1</v>
      </c>
      <c r="G7077" s="7" t="n">
        <v>60.94</v>
      </c>
    </row>
    <row r="7078" customFormat="false" ht="15" hidden="false" customHeight="false" outlineLevel="0" collapsed="false">
      <c r="A7078" s="7" t="s">
        <v>24</v>
      </c>
      <c r="B7078" s="7" t="s">
        <v>609</v>
      </c>
      <c r="C7078" s="7" t="s">
        <v>1283</v>
      </c>
      <c r="D7078" s="7" t="n">
        <v>0</v>
      </c>
      <c r="E7078" s="7" t="n">
        <v>0</v>
      </c>
      <c r="F7078" s="7" t="n">
        <v>1</v>
      </c>
      <c r="G7078" s="7" t="n">
        <v>0</v>
      </c>
    </row>
    <row r="7079" customFormat="false" ht="15" hidden="false" customHeight="false" outlineLevel="0" collapsed="false">
      <c r="A7079" s="7" t="s">
        <v>24</v>
      </c>
      <c r="B7079" s="7" t="s">
        <v>609</v>
      </c>
      <c r="C7079" s="7" t="s">
        <v>1283</v>
      </c>
      <c r="D7079" s="7" t="n">
        <v>0</v>
      </c>
      <c r="E7079" s="7" t="n">
        <v>0</v>
      </c>
      <c r="F7079" s="7" t="n">
        <v>1</v>
      </c>
      <c r="G7079" s="7" t="n">
        <v>0</v>
      </c>
    </row>
    <row r="7080" customFormat="false" ht="15" hidden="false" customHeight="false" outlineLevel="0" collapsed="false">
      <c r="A7080" s="7" t="s">
        <v>24</v>
      </c>
      <c r="B7080" s="7" t="s">
        <v>743</v>
      </c>
      <c r="C7080" s="7" t="s">
        <v>1284</v>
      </c>
      <c r="D7080" s="7" t="n">
        <v>0</v>
      </c>
      <c r="E7080" s="7" t="n">
        <v>0</v>
      </c>
      <c r="F7080" s="7" t="n">
        <v>1</v>
      </c>
      <c r="G7080" s="7" t="n">
        <v>0</v>
      </c>
    </row>
    <row r="7081" customFormat="false" ht="15" hidden="false" customHeight="false" outlineLevel="0" collapsed="false">
      <c r="A7081" s="7" t="s">
        <v>24</v>
      </c>
      <c r="B7081" s="7" t="s">
        <v>743</v>
      </c>
      <c r="C7081" s="7" t="s">
        <v>1284</v>
      </c>
      <c r="D7081" s="7" t="n">
        <v>0</v>
      </c>
      <c r="E7081" s="7" t="n">
        <v>0</v>
      </c>
      <c r="F7081" s="7" t="n">
        <v>1</v>
      </c>
      <c r="G7081" s="7" t="n">
        <v>60.94</v>
      </c>
    </row>
    <row r="7082" customFormat="false" ht="15" hidden="false" customHeight="false" outlineLevel="0" collapsed="false">
      <c r="A7082" s="7" t="s">
        <v>24</v>
      </c>
      <c r="B7082" s="7" t="s">
        <v>747</v>
      </c>
      <c r="C7082" s="7" t="s">
        <v>1285</v>
      </c>
      <c r="D7082" s="7" t="n">
        <v>0</v>
      </c>
      <c r="E7082" s="7" t="n">
        <v>0</v>
      </c>
      <c r="F7082" s="7" t="n">
        <v>1</v>
      </c>
      <c r="G7082" s="7" t="n">
        <v>0</v>
      </c>
    </row>
    <row r="7083" customFormat="false" ht="15" hidden="false" customHeight="false" outlineLevel="0" collapsed="false">
      <c r="A7083" s="7" t="s">
        <v>24</v>
      </c>
      <c r="B7083" s="7" t="s">
        <v>747</v>
      </c>
      <c r="C7083" s="7" t="s">
        <v>1285</v>
      </c>
      <c r="D7083" s="7" t="n">
        <v>0</v>
      </c>
      <c r="E7083" s="7" t="n">
        <v>0</v>
      </c>
      <c r="F7083" s="7" t="n">
        <v>1</v>
      </c>
      <c r="G7083" s="7" t="n">
        <v>57.56</v>
      </c>
    </row>
    <row r="7084" customFormat="false" ht="15" hidden="false" customHeight="false" outlineLevel="0" collapsed="false">
      <c r="A7084" s="7" t="s">
        <v>24</v>
      </c>
      <c r="B7084" s="7" t="s">
        <v>619</v>
      </c>
      <c r="C7084" s="7" t="s">
        <v>1286</v>
      </c>
      <c r="D7084" s="7" t="n">
        <v>0</v>
      </c>
      <c r="E7084" s="7" t="n">
        <v>0</v>
      </c>
      <c r="F7084" s="7" t="n">
        <v>1</v>
      </c>
      <c r="G7084" s="7" t="n">
        <v>60.94</v>
      </c>
    </row>
    <row r="7085" customFormat="false" ht="15" hidden="false" customHeight="false" outlineLevel="0" collapsed="false">
      <c r="A7085" s="7" t="s">
        <v>24</v>
      </c>
      <c r="B7085" s="7" t="s">
        <v>619</v>
      </c>
      <c r="C7085" s="7" t="s">
        <v>1286</v>
      </c>
      <c r="D7085" s="7" t="n">
        <v>0</v>
      </c>
      <c r="E7085" s="7" t="n">
        <v>0</v>
      </c>
      <c r="F7085" s="7" t="n">
        <v>2</v>
      </c>
      <c r="G7085" s="7" t="n">
        <v>121.9</v>
      </c>
    </row>
    <row r="7086" customFormat="false" ht="15" hidden="false" customHeight="false" outlineLevel="0" collapsed="false">
      <c r="A7086" s="7" t="s">
        <v>24</v>
      </c>
      <c r="B7086" s="7" t="s">
        <v>733</v>
      </c>
      <c r="C7086" s="7" t="s">
        <v>1287</v>
      </c>
      <c r="D7086" s="7" t="n">
        <v>0</v>
      </c>
      <c r="E7086" s="7" t="n">
        <v>0</v>
      </c>
      <c r="F7086" s="7" t="n">
        <v>1</v>
      </c>
      <c r="G7086" s="7" t="n">
        <v>67.72</v>
      </c>
    </row>
    <row r="7087" customFormat="false" ht="15" hidden="false" customHeight="false" outlineLevel="0" collapsed="false">
      <c r="A7087" s="7" t="s">
        <v>24</v>
      </c>
      <c r="B7087" s="7" t="s">
        <v>678</v>
      </c>
      <c r="C7087" s="7" t="s">
        <v>1288</v>
      </c>
      <c r="D7087" s="7" t="n">
        <v>0</v>
      </c>
      <c r="E7087" s="7" t="n">
        <v>0</v>
      </c>
      <c r="F7087" s="7" t="n">
        <v>1</v>
      </c>
      <c r="G7087" s="7" t="n">
        <v>0</v>
      </c>
    </row>
    <row r="7088" customFormat="false" ht="15" hidden="false" customHeight="false" outlineLevel="0" collapsed="false">
      <c r="A7088" s="7" t="s">
        <v>24</v>
      </c>
      <c r="B7088" s="7" t="s">
        <v>678</v>
      </c>
      <c r="C7088" s="7" t="s">
        <v>1288</v>
      </c>
      <c r="D7088" s="7" t="n">
        <v>0</v>
      </c>
      <c r="E7088" s="7" t="n">
        <v>0</v>
      </c>
      <c r="F7088" s="7" t="n">
        <v>1</v>
      </c>
      <c r="G7088" s="7" t="n">
        <v>60.94</v>
      </c>
    </row>
    <row r="7089" customFormat="false" ht="15" hidden="false" customHeight="false" outlineLevel="0" collapsed="false">
      <c r="A7089" s="7" t="s">
        <v>24</v>
      </c>
      <c r="B7089" s="7" t="s">
        <v>678</v>
      </c>
      <c r="C7089" s="7" t="s">
        <v>1288</v>
      </c>
      <c r="D7089" s="7" t="n">
        <v>0</v>
      </c>
      <c r="E7089" s="7" t="n">
        <v>0</v>
      </c>
      <c r="F7089" s="7" t="n">
        <v>1</v>
      </c>
      <c r="G7089" s="7" t="n">
        <v>0</v>
      </c>
    </row>
    <row r="7090" customFormat="false" ht="15" hidden="false" customHeight="false" outlineLevel="0" collapsed="false">
      <c r="A7090" s="7" t="s">
        <v>24</v>
      </c>
      <c r="B7090" s="7" t="s">
        <v>678</v>
      </c>
      <c r="C7090" s="7" t="s">
        <v>1288</v>
      </c>
      <c r="D7090" s="7" t="n">
        <v>0</v>
      </c>
      <c r="E7090" s="7" t="n">
        <v>0</v>
      </c>
      <c r="F7090" s="7" t="n">
        <v>2</v>
      </c>
      <c r="G7090" s="7" t="n">
        <v>0.02</v>
      </c>
    </row>
    <row r="7091" customFormat="false" ht="15" hidden="false" customHeight="false" outlineLevel="0" collapsed="false">
      <c r="A7091" s="7" t="s">
        <v>24</v>
      </c>
      <c r="B7091" s="7" t="s">
        <v>678</v>
      </c>
      <c r="C7091" s="7" t="s">
        <v>1288</v>
      </c>
      <c r="D7091" s="7" t="n">
        <v>0</v>
      </c>
      <c r="E7091" s="7" t="n">
        <v>0</v>
      </c>
      <c r="F7091" s="7" t="n">
        <v>1</v>
      </c>
      <c r="G7091" s="7" t="n">
        <v>60.95</v>
      </c>
    </row>
    <row r="7092" customFormat="false" ht="15" hidden="false" customHeight="false" outlineLevel="0" collapsed="false">
      <c r="A7092" s="7" t="s">
        <v>24</v>
      </c>
      <c r="B7092" s="7" t="s">
        <v>807</v>
      </c>
      <c r="C7092" s="7" t="s">
        <v>1289</v>
      </c>
      <c r="D7092" s="7" t="n">
        <v>0</v>
      </c>
      <c r="E7092" s="7" t="n">
        <v>0</v>
      </c>
      <c r="F7092" s="7" t="n">
        <v>1</v>
      </c>
      <c r="G7092" s="7" t="n">
        <v>0.01</v>
      </c>
    </row>
    <row r="7093" customFormat="false" ht="15" hidden="false" customHeight="false" outlineLevel="0" collapsed="false">
      <c r="A7093" s="7" t="s">
        <v>24</v>
      </c>
      <c r="B7093" s="7" t="s">
        <v>742</v>
      </c>
      <c r="C7093" s="7" t="s">
        <v>1290</v>
      </c>
      <c r="D7093" s="7" t="n">
        <v>0</v>
      </c>
      <c r="E7093" s="7" t="n">
        <v>0</v>
      </c>
      <c r="F7093" s="7" t="n">
        <v>1</v>
      </c>
      <c r="G7093" s="7" t="n">
        <v>0.01</v>
      </c>
    </row>
    <row r="7094" customFormat="false" ht="15" hidden="false" customHeight="false" outlineLevel="0" collapsed="false">
      <c r="A7094" s="7" t="s">
        <v>24</v>
      </c>
      <c r="B7094" s="7" t="s">
        <v>742</v>
      </c>
      <c r="C7094" s="7" t="s">
        <v>1290</v>
      </c>
      <c r="D7094" s="7" t="n">
        <v>0</v>
      </c>
      <c r="E7094" s="7" t="n">
        <v>0</v>
      </c>
      <c r="F7094" s="7" t="n">
        <v>1</v>
      </c>
      <c r="G7094" s="7" t="n">
        <v>60.95</v>
      </c>
    </row>
    <row r="7095" customFormat="false" ht="15" hidden="false" customHeight="false" outlineLevel="0" collapsed="false">
      <c r="A7095" s="7" t="s">
        <v>24</v>
      </c>
      <c r="B7095" s="7" t="s">
        <v>809</v>
      </c>
      <c r="C7095" s="7" t="s">
        <v>1291</v>
      </c>
      <c r="D7095" s="7" t="n">
        <v>0</v>
      </c>
      <c r="E7095" s="7" t="n">
        <v>0</v>
      </c>
      <c r="F7095" s="7" t="n">
        <v>1</v>
      </c>
      <c r="G7095" s="7" t="n">
        <v>0</v>
      </c>
    </row>
    <row r="7096" customFormat="false" ht="15" hidden="false" customHeight="false" outlineLevel="0" collapsed="false">
      <c r="A7096" s="7" t="s">
        <v>24</v>
      </c>
      <c r="B7096" s="7" t="s">
        <v>804</v>
      </c>
      <c r="C7096" s="7" t="s">
        <v>1292</v>
      </c>
      <c r="D7096" s="7" t="n">
        <v>0</v>
      </c>
      <c r="E7096" s="7" t="n">
        <v>0</v>
      </c>
      <c r="F7096" s="7" t="n">
        <v>2</v>
      </c>
      <c r="G7096" s="7" t="n">
        <v>0.02</v>
      </c>
    </row>
    <row r="7097" customFormat="false" ht="15" hidden="false" customHeight="false" outlineLevel="0" collapsed="false">
      <c r="A7097" s="7" t="s">
        <v>24</v>
      </c>
      <c r="B7097" s="7" t="s">
        <v>806</v>
      </c>
      <c r="C7097" s="7" t="s">
        <v>1293</v>
      </c>
      <c r="D7097" s="7" t="n">
        <v>0</v>
      </c>
      <c r="E7097" s="7" t="n">
        <v>0</v>
      </c>
      <c r="F7097" s="7" t="n">
        <v>1</v>
      </c>
      <c r="G7097" s="7" t="n">
        <v>0.01</v>
      </c>
    </row>
    <row r="7098" customFormat="false" ht="15" hidden="false" customHeight="false" outlineLevel="0" collapsed="false">
      <c r="A7098" s="7" t="s">
        <v>24</v>
      </c>
      <c r="B7098" s="7" t="s">
        <v>192</v>
      </c>
      <c r="C7098" s="7" t="s">
        <v>1123</v>
      </c>
      <c r="D7098" s="7" t="n">
        <v>1</v>
      </c>
      <c r="E7098" s="7" t="n">
        <v>0.01</v>
      </c>
      <c r="F7098" s="7" t="n">
        <v>0</v>
      </c>
      <c r="G7098" s="7" t="n">
        <v>0</v>
      </c>
    </row>
    <row r="7099" customFormat="false" ht="15" hidden="false" customHeight="false" outlineLevel="0" collapsed="false">
      <c r="A7099" s="7" t="s">
        <v>24</v>
      </c>
      <c r="B7099" s="7" t="s">
        <v>192</v>
      </c>
      <c r="C7099" s="7" t="s">
        <v>1123</v>
      </c>
      <c r="D7099" s="7" t="n">
        <v>10</v>
      </c>
      <c r="E7099" s="7" t="n">
        <v>5367.91</v>
      </c>
      <c r="F7099" s="7" t="n">
        <v>3</v>
      </c>
      <c r="G7099" s="7" t="n">
        <v>1779.42</v>
      </c>
    </row>
    <row r="7100" customFormat="false" ht="15" hidden="false" customHeight="false" outlineLevel="0" collapsed="false">
      <c r="A7100" s="7" t="s">
        <v>24</v>
      </c>
      <c r="B7100" s="7" t="s">
        <v>192</v>
      </c>
      <c r="C7100" s="7" t="s">
        <v>1123</v>
      </c>
      <c r="D7100" s="7" t="n">
        <v>0</v>
      </c>
      <c r="E7100" s="7" t="n">
        <v>0</v>
      </c>
      <c r="F7100" s="7" t="n">
        <v>2</v>
      </c>
      <c r="G7100" s="7" t="n">
        <v>1008.34</v>
      </c>
    </row>
    <row r="7101" customFormat="false" ht="15" hidden="false" customHeight="false" outlineLevel="0" collapsed="false">
      <c r="A7101" s="7" t="s">
        <v>24</v>
      </c>
      <c r="B7101" s="7" t="s">
        <v>192</v>
      </c>
      <c r="C7101" s="7" t="s">
        <v>1123</v>
      </c>
      <c r="D7101" s="7" t="n">
        <v>2</v>
      </c>
      <c r="E7101" s="7" t="n">
        <v>988.16</v>
      </c>
      <c r="F7101" s="7" t="n">
        <v>0</v>
      </c>
      <c r="G7101" s="7" t="n">
        <v>0</v>
      </c>
    </row>
    <row r="7102" customFormat="false" ht="15" hidden="false" customHeight="false" outlineLevel="0" collapsed="false">
      <c r="A7102" s="7" t="s">
        <v>24</v>
      </c>
      <c r="B7102" s="7" t="s">
        <v>192</v>
      </c>
      <c r="C7102" s="7" t="s">
        <v>1123</v>
      </c>
      <c r="D7102" s="7" t="n">
        <v>0</v>
      </c>
      <c r="E7102" s="7" t="n">
        <v>0</v>
      </c>
      <c r="F7102" s="7" t="n">
        <v>2</v>
      </c>
      <c r="G7102" s="7" t="n">
        <v>1067.64</v>
      </c>
    </row>
    <row r="7103" customFormat="false" ht="15" hidden="false" customHeight="false" outlineLevel="0" collapsed="false">
      <c r="A7103" s="7" t="s">
        <v>24</v>
      </c>
      <c r="B7103" s="7" t="s">
        <v>192</v>
      </c>
      <c r="C7103" s="7" t="s">
        <v>1123</v>
      </c>
      <c r="D7103" s="7" t="n">
        <v>0</v>
      </c>
      <c r="E7103" s="7" t="n">
        <v>0</v>
      </c>
      <c r="F7103" s="7" t="n">
        <v>1</v>
      </c>
      <c r="G7103" s="7" t="n">
        <v>593.14</v>
      </c>
    </row>
    <row r="7104" customFormat="false" ht="15" hidden="false" customHeight="false" outlineLevel="0" collapsed="false">
      <c r="A7104" s="7" t="s">
        <v>24</v>
      </c>
      <c r="B7104" s="7" t="s">
        <v>167</v>
      </c>
      <c r="C7104" s="7" t="s">
        <v>1123</v>
      </c>
      <c r="D7104" s="7" t="n">
        <v>5</v>
      </c>
      <c r="E7104" s="7" t="n">
        <v>2819.16</v>
      </c>
      <c r="F7104" s="7" t="n">
        <v>0</v>
      </c>
      <c r="G7104" s="7" t="n">
        <v>0</v>
      </c>
    </row>
    <row r="7105" customFormat="false" ht="15" hidden="false" customHeight="false" outlineLevel="0" collapsed="false">
      <c r="A7105" s="7" t="s">
        <v>24</v>
      </c>
      <c r="B7105" s="7" t="s">
        <v>167</v>
      </c>
      <c r="C7105" s="7" t="s">
        <v>1123</v>
      </c>
      <c r="D7105" s="7" t="n">
        <v>5</v>
      </c>
      <c r="E7105" s="7" t="n">
        <v>2550.49</v>
      </c>
      <c r="F7105" s="7" t="n">
        <v>5</v>
      </c>
      <c r="G7105" s="7" t="n">
        <v>2728.44</v>
      </c>
    </row>
    <row r="7106" customFormat="false" ht="15" hidden="false" customHeight="false" outlineLevel="0" collapsed="false">
      <c r="A7106" s="7" t="s">
        <v>24</v>
      </c>
      <c r="B7106" s="7" t="s">
        <v>815</v>
      </c>
      <c r="C7106" s="7" t="s">
        <v>1123</v>
      </c>
      <c r="D7106" s="7" t="n">
        <v>1</v>
      </c>
      <c r="E7106" s="7" t="n">
        <v>593.14</v>
      </c>
      <c r="F7106" s="7" t="n">
        <v>0</v>
      </c>
      <c r="G7106" s="7" t="n">
        <v>0</v>
      </c>
    </row>
    <row r="7107" customFormat="false" ht="15" hidden="false" customHeight="false" outlineLevel="0" collapsed="false">
      <c r="A7107" s="7" t="s">
        <v>24</v>
      </c>
      <c r="B7107" s="7" t="s">
        <v>815</v>
      </c>
      <c r="C7107" s="7" t="s">
        <v>1123</v>
      </c>
      <c r="D7107" s="7" t="n">
        <v>0</v>
      </c>
      <c r="E7107" s="7" t="n">
        <v>0</v>
      </c>
      <c r="F7107" s="7" t="n">
        <v>1</v>
      </c>
      <c r="G7107" s="7" t="n">
        <v>593.14</v>
      </c>
    </row>
    <row r="7108" customFormat="false" ht="15" hidden="false" customHeight="false" outlineLevel="0" collapsed="false">
      <c r="A7108" s="7" t="s">
        <v>24</v>
      </c>
      <c r="B7108" s="7" t="s">
        <v>269</v>
      </c>
      <c r="C7108" s="7" t="s">
        <v>1123</v>
      </c>
      <c r="D7108" s="7" t="n">
        <v>0</v>
      </c>
      <c r="E7108" s="7" t="n">
        <v>0</v>
      </c>
      <c r="F7108" s="7" t="n">
        <v>1</v>
      </c>
      <c r="G7108" s="7" t="n">
        <v>533.82</v>
      </c>
    </row>
    <row r="7109" customFormat="false" ht="15" hidden="false" customHeight="false" outlineLevel="0" collapsed="false">
      <c r="A7109" s="7" t="s">
        <v>24</v>
      </c>
      <c r="B7109" s="7" t="s">
        <v>269</v>
      </c>
      <c r="C7109" s="7" t="s">
        <v>1123</v>
      </c>
      <c r="D7109" s="7" t="n">
        <v>3</v>
      </c>
      <c r="E7109" s="7" t="n">
        <v>1690.45</v>
      </c>
      <c r="F7109" s="7" t="n">
        <v>2</v>
      </c>
      <c r="G7109" s="7" t="n">
        <v>1186.28</v>
      </c>
    </row>
    <row r="7110" customFormat="false" ht="15" hidden="false" customHeight="false" outlineLevel="0" collapsed="false">
      <c r="A7110" s="7" t="s">
        <v>24</v>
      </c>
      <c r="B7110" s="7" t="s">
        <v>269</v>
      </c>
      <c r="C7110" s="7" t="s">
        <v>1123</v>
      </c>
      <c r="D7110" s="7" t="n">
        <v>0</v>
      </c>
      <c r="E7110" s="7" t="n">
        <v>0</v>
      </c>
      <c r="F7110" s="7" t="n">
        <v>1</v>
      </c>
      <c r="G7110" s="7" t="n">
        <v>533.82</v>
      </c>
    </row>
    <row r="7111" customFormat="false" ht="15" hidden="false" customHeight="false" outlineLevel="0" collapsed="false">
      <c r="A7111" s="7" t="s">
        <v>24</v>
      </c>
      <c r="B7111" s="7" t="s">
        <v>269</v>
      </c>
      <c r="C7111" s="7" t="s">
        <v>1123</v>
      </c>
      <c r="D7111" s="7" t="n">
        <v>3</v>
      </c>
      <c r="E7111" s="7" t="n">
        <v>1656.62</v>
      </c>
      <c r="F7111" s="7" t="n">
        <v>0</v>
      </c>
      <c r="G7111" s="7" t="n">
        <v>0</v>
      </c>
    </row>
    <row r="7112" customFormat="false" ht="15" hidden="false" customHeight="false" outlineLevel="0" collapsed="false">
      <c r="A7112" s="7" t="s">
        <v>24</v>
      </c>
      <c r="B7112" s="7" t="s">
        <v>186</v>
      </c>
      <c r="C7112" s="7" t="s">
        <v>1123</v>
      </c>
      <c r="D7112" s="7" t="n">
        <v>5</v>
      </c>
      <c r="E7112" s="7" t="n">
        <v>2698.79</v>
      </c>
      <c r="F7112" s="7" t="n">
        <v>1</v>
      </c>
      <c r="G7112" s="7" t="n">
        <v>682.11</v>
      </c>
    </row>
    <row r="7113" customFormat="false" ht="15" hidden="false" customHeight="false" outlineLevel="0" collapsed="false">
      <c r="A7113" s="7" t="s">
        <v>24</v>
      </c>
      <c r="B7113" s="7" t="s">
        <v>736</v>
      </c>
      <c r="C7113" s="7" t="s">
        <v>1176</v>
      </c>
      <c r="D7113" s="7" t="n">
        <v>0</v>
      </c>
      <c r="E7113" s="7" t="n">
        <v>0</v>
      </c>
      <c r="F7113" s="7" t="n">
        <v>1</v>
      </c>
      <c r="G7113" s="7" t="n">
        <v>23.57</v>
      </c>
    </row>
    <row r="7114" customFormat="false" ht="15" hidden="false" customHeight="false" outlineLevel="0" collapsed="false">
      <c r="A7114" s="7" t="s">
        <v>24</v>
      </c>
      <c r="B7114" s="7" t="s">
        <v>736</v>
      </c>
      <c r="C7114" s="7" t="s">
        <v>1176</v>
      </c>
      <c r="D7114" s="7" t="n">
        <v>0</v>
      </c>
      <c r="E7114" s="7" t="n">
        <v>0</v>
      </c>
      <c r="F7114" s="7" t="n">
        <v>1</v>
      </c>
      <c r="G7114" s="7" t="n">
        <v>23.57</v>
      </c>
    </row>
    <row r="7115" customFormat="false" ht="15" hidden="false" customHeight="false" outlineLevel="0" collapsed="false">
      <c r="A7115" s="7" t="s">
        <v>24</v>
      </c>
      <c r="B7115" s="7" t="s">
        <v>736</v>
      </c>
      <c r="C7115" s="7" t="s">
        <v>1176</v>
      </c>
      <c r="D7115" s="7" t="n">
        <v>0</v>
      </c>
      <c r="E7115" s="7" t="n">
        <v>0</v>
      </c>
      <c r="F7115" s="7" t="n">
        <v>1</v>
      </c>
      <c r="G7115" s="7" t="n">
        <v>26.19</v>
      </c>
    </row>
    <row r="7116" customFormat="false" ht="15" hidden="false" customHeight="false" outlineLevel="0" collapsed="false">
      <c r="A7116" s="7" t="s">
        <v>24</v>
      </c>
      <c r="B7116" s="7" t="s">
        <v>736</v>
      </c>
      <c r="C7116" s="7" t="s">
        <v>1176</v>
      </c>
      <c r="D7116" s="7" t="n">
        <v>0</v>
      </c>
      <c r="E7116" s="7" t="n">
        <v>0</v>
      </c>
      <c r="F7116" s="7" t="n">
        <v>1</v>
      </c>
      <c r="G7116" s="7" t="n">
        <v>26.18</v>
      </c>
    </row>
    <row r="7117" customFormat="false" ht="15" hidden="false" customHeight="false" outlineLevel="0" collapsed="false">
      <c r="A7117" s="7" t="s">
        <v>24</v>
      </c>
      <c r="B7117" s="7" t="s">
        <v>736</v>
      </c>
      <c r="C7117" s="7" t="s">
        <v>1176</v>
      </c>
      <c r="D7117" s="7" t="n">
        <v>0</v>
      </c>
      <c r="E7117" s="7" t="n">
        <v>0</v>
      </c>
      <c r="F7117" s="7" t="n">
        <v>1</v>
      </c>
      <c r="G7117" s="7" t="n">
        <v>22.26</v>
      </c>
    </row>
    <row r="7118" customFormat="false" ht="15" hidden="false" customHeight="false" outlineLevel="0" collapsed="false">
      <c r="A7118" s="7" t="s">
        <v>24</v>
      </c>
      <c r="B7118" s="7" t="s">
        <v>736</v>
      </c>
      <c r="C7118" s="7" t="s">
        <v>1176</v>
      </c>
      <c r="D7118" s="7" t="n">
        <v>12</v>
      </c>
      <c r="E7118" s="7" t="n">
        <v>288.08</v>
      </c>
      <c r="F7118" s="7" t="n">
        <v>3</v>
      </c>
      <c r="G7118" s="7" t="n">
        <v>78.57</v>
      </c>
    </row>
    <row r="7119" customFormat="false" ht="15" hidden="false" customHeight="false" outlineLevel="0" collapsed="false">
      <c r="A7119" s="7" t="s">
        <v>24</v>
      </c>
      <c r="B7119" s="7" t="s">
        <v>736</v>
      </c>
      <c r="C7119" s="7" t="s">
        <v>1176</v>
      </c>
      <c r="D7119" s="7" t="n">
        <v>0</v>
      </c>
      <c r="E7119" s="7" t="n">
        <v>0</v>
      </c>
      <c r="F7119" s="7" t="n">
        <v>1</v>
      </c>
      <c r="G7119" s="7" t="n">
        <v>23.57</v>
      </c>
    </row>
    <row r="7120" customFormat="false" ht="15" hidden="false" customHeight="false" outlineLevel="0" collapsed="false">
      <c r="A7120" s="7" t="s">
        <v>24</v>
      </c>
      <c r="B7120" s="7" t="s">
        <v>549</v>
      </c>
      <c r="C7120" s="7" t="s">
        <v>1294</v>
      </c>
      <c r="D7120" s="7" t="n">
        <v>3</v>
      </c>
      <c r="E7120" s="7" t="n">
        <v>149.27</v>
      </c>
      <c r="F7120" s="7" t="n">
        <v>4</v>
      </c>
      <c r="G7120" s="7" t="n">
        <v>202.58</v>
      </c>
    </row>
    <row r="7121" customFormat="false" ht="15" hidden="false" customHeight="false" outlineLevel="0" collapsed="false">
      <c r="A7121" s="7" t="s">
        <v>24</v>
      </c>
      <c r="B7121" s="7" t="s">
        <v>549</v>
      </c>
      <c r="C7121" s="7" t="s">
        <v>1294</v>
      </c>
      <c r="D7121" s="7" t="n">
        <v>0</v>
      </c>
      <c r="E7121" s="7" t="n">
        <v>0</v>
      </c>
      <c r="F7121" s="7" t="n">
        <v>2</v>
      </c>
      <c r="G7121" s="7" t="n">
        <v>106.6</v>
      </c>
    </row>
    <row r="7122" customFormat="false" ht="15" hidden="false" customHeight="false" outlineLevel="0" collapsed="false">
      <c r="A7122" s="7" t="s">
        <v>24</v>
      </c>
      <c r="B7122" s="7" t="s">
        <v>549</v>
      </c>
      <c r="C7122" s="7" t="s">
        <v>1294</v>
      </c>
      <c r="D7122" s="7" t="n">
        <v>0</v>
      </c>
      <c r="E7122" s="7" t="n">
        <v>0</v>
      </c>
      <c r="F7122" s="7" t="n">
        <v>1</v>
      </c>
      <c r="G7122" s="7" t="n">
        <v>53.3</v>
      </c>
    </row>
    <row r="7123" customFormat="false" ht="15" hidden="false" customHeight="false" outlineLevel="0" collapsed="false">
      <c r="A7123" s="7" t="s">
        <v>24</v>
      </c>
      <c r="B7123" s="7" t="s">
        <v>549</v>
      </c>
      <c r="C7123" s="7" t="s">
        <v>1294</v>
      </c>
      <c r="D7123" s="7" t="n">
        <v>0</v>
      </c>
      <c r="E7123" s="7" t="n">
        <v>0</v>
      </c>
      <c r="F7123" s="7" t="n">
        <v>1</v>
      </c>
      <c r="G7123" s="7" t="n">
        <v>47.98</v>
      </c>
    </row>
    <row r="7124" customFormat="false" ht="15" hidden="false" customHeight="false" outlineLevel="0" collapsed="false">
      <c r="A7124" s="7" t="s">
        <v>24</v>
      </c>
      <c r="B7124" s="7" t="s">
        <v>781</v>
      </c>
      <c r="C7124" s="7" t="s">
        <v>1177</v>
      </c>
      <c r="D7124" s="7" t="n">
        <v>0</v>
      </c>
      <c r="E7124" s="7" t="n">
        <v>0</v>
      </c>
      <c r="F7124" s="7" t="n">
        <v>1</v>
      </c>
      <c r="G7124" s="7" t="n">
        <v>45.68</v>
      </c>
    </row>
    <row r="7125" customFormat="false" ht="15" hidden="false" customHeight="false" outlineLevel="0" collapsed="false">
      <c r="A7125" s="7" t="s">
        <v>24</v>
      </c>
      <c r="B7125" s="7" t="s">
        <v>781</v>
      </c>
      <c r="C7125" s="7" t="s">
        <v>1177</v>
      </c>
      <c r="D7125" s="7" t="n">
        <v>3</v>
      </c>
      <c r="E7125" s="7" t="n">
        <v>109.62</v>
      </c>
      <c r="F7125" s="7" t="n">
        <v>1</v>
      </c>
      <c r="G7125" s="7" t="n">
        <v>41.11</v>
      </c>
    </row>
    <row r="7126" customFormat="false" ht="15" hidden="false" customHeight="false" outlineLevel="0" collapsed="false">
      <c r="A7126" s="7" t="s">
        <v>24</v>
      </c>
      <c r="B7126" s="7" t="s">
        <v>664</v>
      </c>
      <c r="C7126" s="7" t="s">
        <v>1178</v>
      </c>
      <c r="D7126" s="7" t="n">
        <v>0</v>
      </c>
      <c r="E7126" s="7" t="n">
        <v>0</v>
      </c>
      <c r="F7126" s="7" t="n">
        <v>1</v>
      </c>
      <c r="G7126" s="7" t="n">
        <v>16.02</v>
      </c>
    </row>
    <row r="7127" customFormat="false" ht="15" hidden="false" customHeight="false" outlineLevel="0" collapsed="false">
      <c r="A7127" s="7" t="s">
        <v>24</v>
      </c>
      <c r="B7127" s="7" t="s">
        <v>664</v>
      </c>
      <c r="C7127" s="7" t="s">
        <v>1178</v>
      </c>
      <c r="D7127" s="7" t="n">
        <v>8</v>
      </c>
      <c r="E7127" s="7" t="n">
        <v>110.56</v>
      </c>
      <c r="F7127" s="7" t="n">
        <v>8</v>
      </c>
      <c r="G7127" s="7" t="n">
        <v>123.36</v>
      </c>
    </row>
    <row r="7128" customFormat="false" ht="15" hidden="false" customHeight="false" outlineLevel="0" collapsed="false">
      <c r="A7128" s="7" t="s">
        <v>24</v>
      </c>
      <c r="B7128" s="7" t="s">
        <v>664</v>
      </c>
      <c r="C7128" s="7" t="s">
        <v>1178</v>
      </c>
      <c r="D7128" s="7" t="n">
        <v>0</v>
      </c>
      <c r="E7128" s="7" t="n">
        <v>0</v>
      </c>
      <c r="F7128" s="7" t="n">
        <v>1</v>
      </c>
      <c r="G7128" s="7" t="n">
        <v>14.43</v>
      </c>
    </row>
    <row r="7129" customFormat="false" ht="15" hidden="false" customHeight="false" outlineLevel="0" collapsed="false">
      <c r="A7129" s="7" t="s">
        <v>24</v>
      </c>
      <c r="B7129" s="7" t="s">
        <v>664</v>
      </c>
      <c r="C7129" s="7" t="s">
        <v>1178</v>
      </c>
      <c r="D7129" s="7" t="n">
        <v>0</v>
      </c>
      <c r="E7129" s="7" t="n">
        <v>0</v>
      </c>
      <c r="F7129" s="7" t="n">
        <v>1</v>
      </c>
      <c r="G7129" s="7" t="n">
        <v>16.02</v>
      </c>
    </row>
    <row r="7130" customFormat="false" ht="15" hidden="false" customHeight="false" outlineLevel="0" collapsed="false">
      <c r="A7130" s="7" t="s">
        <v>24</v>
      </c>
      <c r="B7130" s="7" t="s">
        <v>664</v>
      </c>
      <c r="C7130" s="7" t="s">
        <v>1178</v>
      </c>
      <c r="D7130" s="7" t="n">
        <v>0</v>
      </c>
      <c r="E7130" s="7" t="n">
        <v>0</v>
      </c>
      <c r="F7130" s="7" t="n">
        <v>1</v>
      </c>
      <c r="G7130" s="7" t="n">
        <v>16.02</v>
      </c>
    </row>
    <row r="7131" customFormat="false" ht="15" hidden="false" customHeight="false" outlineLevel="0" collapsed="false">
      <c r="A7131" s="7" t="s">
        <v>24</v>
      </c>
      <c r="B7131" s="7" t="s">
        <v>664</v>
      </c>
      <c r="C7131" s="7" t="s">
        <v>1178</v>
      </c>
      <c r="D7131" s="7" t="n">
        <v>0</v>
      </c>
      <c r="E7131" s="7" t="n">
        <v>0</v>
      </c>
      <c r="F7131" s="7" t="n">
        <v>1</v>
      </c>
      <c r="G7131" s="7" t="n">
        <v>16.02</v>
      </c>
    </row>
    <row r="7132" customFormat="false" ht="15" hidden="false" customHeight="false" outlineLevel="0" collapsed="false">
      <c r="A7132" s="7" t="s">
        <v>24</v>
      </c>
      <c r="B7132" s="7" t="s">
        <v>664</v>
      </c>
      <c r="C7132" s="7" t="s">
        <v>1178</v>
      </c>
      <c r="D7132" s="7" t="n">
        <v>0</v>
      </c>
      <c r="E7132" s="7" t="n">
        <v>0</v>
      </c>
      <c r="F7132" s="7" t="n">
        <v>1</v>
      </c>
      <c r="G7132" s="7" t="n">
        <v>13.62</v>
      </c>
    </row>
    <row r="7133" customFormat="false" ht="15" hidden="false" customHeight="false" outlineLevel="0" collapsed="false">
      <c r="A7133" s="7" t="s">
        <v>24</v>
      </c>
      <c r="B7133" s="7" t="s">
        <v>664</v>
      </c>
      <c r="C7133" s="7" t="s">
        <v>1178</v>
      </c>
      <c r="D7133" s="7" t="n">
        <v>0</v>
      </c>
      <c r="E7133" s="7" t="n">
        <v>0</v>
      </c>
      <c r="F7133" s="7" t="n">
        <v>1</v>
      </c>
      <c r="G7133" s="7" t="n">
        <v>13.62</v>
      </c>
    </row>
    <row r="7134" customFormat="false" ht="15" hidden="false" customHeight="false" outlineLevel="0" collapsed="false">
      <c r="A7134" s="7" t="s">
        <v>24</v>
      </c>
      <c r="B7134" s="7" t="s">
        <v>664</v>
      </c>
      <c r="C7134" s="7" t="s">
        <v>1178</v>
      </c>
      <c r="D7134" s="7" t="n">
        <v>0</v>
      </c>
      <c r="E7134" s="7" t="n">
        <v>0</v>
      </c>
      <c r="F7134" s="7" t="n">
        <v>1</v>
      </c>
      <c r="G7134" s="7" t="n">
        <v>14.41</v>
      </c>
    </row>
    <row r="7135" customFormat="false" ht="15" hidden="false" customHeight="false" outlineLevel="0" collapsed="false">
      <c r="A7135" s="7" t="s">
        <v>24</v>
      </c>
      <c r="B7135" s="7" t="s">
        <v>734</v>
      </c>
      <c r="C7135" s="7" t="s">
        <v>1295</v>
      </c>
      <c r="D7135" s="7" t="n">
        <v>7</v>
      </c>
      <c r="E7135" s="7" t="n">
        <v>120.43</v>
      </c>
      <c r="F7135" s="7" t="n">
        <v>4</v>
      </c>
      <c r="G7135" s="7" t="n">
        <v>67.3</v>
      </c>
    </row>
    <row r="7136" customFormat="false" ht="15" hidden="false" customHeight="false" outlineLevel="0" collapsed="false">
      <c r="A7136" s="7" t="s">
        <v>24</v>
      </c>
      <c r="B7136" s="7" t="s">
        <v>734</v>
      </c>
      <c r="C7136" s="7" t="s">
        <v>1295</v>
      </c>
      <c r="D7136" s="7" t="n">
        <v>0</v>
      </c>
      <c r="E7136" s="7" t="n">
        <v>0</v>
      </c>
      <c r="F7136" s="7" t="n">
        <v>2</v>
      </c>
      <c r="G7136" s="7" t="n">
        <v>35.44</v>
      </c>
    </row>
    <row r="7137" customFormat="false" ht="15" hidden="false" customHeight="false" outlineLevel="0" collapsed="false">
      <c r="A7137" s="7" t="s">
        <v>24</v>
      </c>
      <c r="B7137" s="7" t="s">
        <v>734</v>
      </c>
      <c r="C7137" s="7" t="s">
        <v>1295</v>
      </c>
      <c r="D7137" s="7" t="n">
        <v>0</v>
      </c>
      <c r="E7137" s="7" t="n">
        <v>0</v>
      </c>
      <c r="F7137" s="7" t="n">
        <v>1</v>
      </c>
      <c r="G7137" s="7" t="n">
        <v>17.72</v>
      </c>
    </row>
    <row r="7138" customFormat="false" ht="15" hidden="false" customHeight="false" outlineLevel="0" collapsed="false">
      <c r="A7138" s="7" t="s">
        <v>24</v>
      </c>
      <c r="B7138" s="7" t="s">
        <v>734</v>
      </c>
      <c r="C7138" s="7" t="s">
        <v>1295</v>
      </c>
      <c r="D7138" s="7" t="n">
        <v>0</v>
      </c>
      <c r="E7138" s="7" t="n">
        <v>0</v>
      </c>
      <c r="F7138" s="7" t="n">
        <v>2</v>
      </c>
      <c r="G7138" s="7" t="n">
        <v>35.43</v>
      </c>
    </row>
    <row r="7139" customFormat="false" ht="15" hidden="false" customHeight="false" outlineLevel="0" collapsed="false">
      <c r="A7139" s="7" t="s">
        <v>24</v>
      </c>
      <c r="B7139" s="7" t="s">
        <v>734</v>
      </c>
      <c r="C7139" s="7" t="s">
        <v>1295</v>
      </c>
      <c r="D7139" s="7" t="n">
        <v>0</v>
      </c>
      <c r="E7139" s="7" t="n">
        <v>0</v>
      </c>
      <c r="F7139" s="7" t="n">
        <v>2</v>
      </c>
      <c r="G7139" s="7" t="n">
        <v>31.88</v>
      </c>
    </row>
    <row r="7140" customFormat="false" ht="15" hidden="false" customHeight="false" outlineLevel="0" collapsed="false">
      <c r="A7140" s="7" t="s">
        <v>24</v>
      </c>
      <c r="B7140" s="7" t="s">
        <v>126</v>
      </c>
      <c r="C7140" s="7" t="s">
        <v>1073</v>
      </c>
      <c r="D7140" s="7" t="n">
        <v>0</v>
      </c>
      <c r="E7140" s="7" t="n">
        <v>0</v>
      </c>
      <c r="F7140" s="7" t="n">
        <v>1</v>
      </c>
      <c r="G7140" s="7" t="n">
        <v>152.47</v>
      </c>
    </row>
    <row r="7141" customFormat="false" ht="15" hidden="false" customHeight="false" outlineLevel="0" collapsed="false">
      <c r="A7141" s="7" t="s">
        <v>24</v>
      </c>
      <c r="B7141" s="7" t="s">
        <v>126</v>
      </c>
      <c r="C7141" s="7" t="s">
        <v>1073</v>
      </c>
      <c r="D7141" s="7" t="n">
        <v>0</v>
      </c>
      <c r="E7141" s="7" t="n">
        <v>0</v>
      </c>
      <c r="F7141" s="7" t="n">
        <v>2</v>
      </c>
      <c r="G7141" s="7" t="n">
        <v>279.53</v>
      </c>
    </row>
    <row r="7142" customFormat="false" ht="15" hidden="false" customHeight="false" outlineLevel="0" collapsed="false">
      <c r="A7142" s="7" t="s">
        <v>24</v>
      </c>
      <c r="B7142" s="7" t="s">
        <v>126</v>
      </c>
      <c r="C7142" s="7" t="s">
        <v>1073</v>
      </c>
      <c r="D7142" s="7" t="n">
        <v>0</v>
      </c>
      <c r="E7142" s="7" t="n">
        <v>0</v>
      </c>
      <c r="F7142" s="7" t="n">
        <v>1</v>
      </c>
      <c r="G7142" s="7" t="n">
        <v>169.41</v>
      </c>
    </row>
    <row r="7143" customFormat="false" ht="15" hidden="false" customHeight="false" outlineLevel="0" collapsed="false">
      <c r="A7143" s="7" t="s">
        <v>24</v>
      </c>
      <c r="B7143" s="7" t="s">
        <v>126</v>
      </c>
      <c r="C7143" s="7" t="s">
        <v>1073</v>
      </c>
      <c r="D7143" s="7" t="n">
        <v>0</v>
      </c>
      <c r="E7143" s="7" t="n">
        <v>0</v>
      </c>
      <c r="F7143" s="7" t="n">
        <v>1</v>
      </c>
      <c r="G7143" s="7" t="n">
        <v>152.46</v>
      </c>
    </row>
    <row r="7144" customFormat="false" ht="15" hidden="false" customHeight="false" outlineLevel="0" collapsed="false">
      <c r="A7144" s="7" t="s">
        <v>24</v>
      </c>
      <c r="B7144" s="7" t="s">
        <v>126</v>
      </c>
      <c r="C7144" s="7" t="s">
        <v>1073</v>
      </c>
      <c r="D7144" s="7" t="n">
        <v>0</v>
      </c>
      <c r="E7144" s="7" t="n">
        <v>0</v>
      </c>
      <c r="F7144" s="7" t="n">
        <v>1</v>
      </c>
      <c r="G7144" s="7" t="n">
        <v>169.4</v>
      </c>
    </row>
    <row r="7145" customFormat="false" ht="15" hidden="false" customHeight="false" outlineLevel="0" collapsed="false">
      <c r="A7145" s="7" t="s">
        <v>24</v>
      </c>
      <c r="B7145" s="7" t="s">
        <v>126</v>
      </c>
      <c r="C7145" s="7" t="s">
        <v>1073</v>
      </c>
      <c r="D7145" s="7" t="n">
        <v>0</v>
      </c>
      <c r="E7145" s="7" t="n">
        <v>0</v>
      </c>
      <c r="F7145" s="7" t="n">
        <v>7</v>
      </c>
      <c r="G7145" s="7" t="n">
        <v>1067.29</v>
      </c>
    </row>
    <row r="7146" customFormat="false" ht="15" hidden="false" customHeight="false" outlineLevel="0" collapsed="false">
      <c r="A7146" s="7" t="s">
        <v>24</v>
      </c>
      <c r="B7146" s="7" t="s">
        <v>126</v>
      </c>
      <c r="C7146" s="7" t="s">
        <v>1073</v>
      </c>
      <c r="D7146" s="7" t="n">
        <v>0</v>
      </c>
      <c r="E7146" s="7" t="n">
        <v>0</v>
      </c>
      <c r="F7146" s="7" t="n">
        <v>2</v>
      </c>
      <c r="G7146" s="7" t="n">
        <v>288</v>
      </c>
    </row>
    <row r="7147" customFormat="false" ht="15" hidden="false" customHeight="false" outlineLevel="0" collapsed="false">
      <c r="A7147" s="7" t="s">
        <v>24</v>
      </c>
      <c r="B7147" s="7" t="s">
        <v>126</v>
      </c>
      <c r="C7147" s="7" t="s">
        <v>1073</v>
      </c>
      <c r="D7147" s="7" t="n">
        <v>0</v>
      </c>
      <c r="E7147" s="7" t="n">
        <v>0</v>
      </c>
      <c r="F7147" s="7" t="n">
        <v>1</v>
      </c>
      <c r="G7147" s="7" t="n">
        <v>169.41</v>
      </c>
    </row>
    <row r="7148" customFormat="false" ht="15" hidden="false" customHeight="false" outlineLevel="0" collapsed="false">
      <c r="A7148" s="7" t="s">
        <v>24</v>
      </c>
      <c r="B7148" s="7" t="s">
        <v>126</v>
      </c>
      <c r="C7148" s="7" t="s">
        <v>1073</v>
      </c>
      <c r="D7148" s="7" t="n">
        <v>0</v>
      </c>
      <c r="E7148" s="7" t="n">
        <v>0</v>
      </c>
      <c r="F7148" s="7" t="n">
        <v>1</v>
      </c>
      <c r="G7148" s="7" t="n">
        <v>169.41</v>
      </c>
    </row>
    <row r="7149" customFormat="false" ht="15" hidden="false" customHeight="false" outlineLevel="0" collapsed="false">
      <c r="A7149" s="7" t="s">
        <v>24</v>
      </c>
      <c r="B7149" s="7" t="s">
        <v>126</v>
      </c>
      <c r="C7149" s="7" t="s">
        <v>1073</v>
      </c>
      <c r="D7149" s="7" t="n">
        <v>0</v>
      </c>
      <c r="E7149" s="7" t="n">
        <v>0</v>
      </c>
      <c r="F7149" s="7" t="n">
        <v>1</v>
      </c>
      <c r="G7149" s="7" t="n">
        <v>152.47</v>
      </c>
    </row>
    <row r="7150" customFormat="false" ht="15" hidden="false" customHeight="false" outlineLevel="0" collapsed="false">
      <c r="A7150" s="7" t="s">
        <v>24</v>
      </c>
      <c r="B7150" s="7" t="s">
        <v>126</v>
      </c>
      <c r="C7150" s="7" t="s">
        <v>1073</v>
      </c>
      <c r="D7150" s="7" t="n">
        <v>0</v>
      </c>
      <c r="E7150" s="7" t="n">
        <v>0</v>
      </c>
      <c r="F7150" s="7" t="n">
        <v>1</v>
      </c>
      <c r="G7150" s="7" t="n">
        <v>135.53</v>
      </c>
    </row>
    <row r="7151" customFormat="false" ht="15" hidden="false" customHeight="false" outlineLevel="0" collapsed="false">
      <c r="A7151" s="7" t="s">
        <v>24</v>
      </c>
      <c r="B7151" s="7" t="s">
        <v>126</v>
      </c>
      <c r="C7151" s="7" t="s">
        <v>1073</v>
      </c>
      <c r="D7151" s="7" t="n">
        <v>1</v>
      </c>
      <c r="E7151" s="7" t="n">
        <v>0.01</v>
      </c>
      <c r="F7151" s="7" t="n">
        <v>0</v>
      </c>
      <c r="G7151" s="7" t="n">
        <v>0</v>
      </c>
    </row>
    <row r="7152" customFormat="false" ht="15" hidden="false" customHeight="false" outlineLevel="0" collapsed="false">
      <c r="A7152" s="7" t="s">
        <v>24</v>
      </c>
      <c r="B7152" s="7" t="s">
        <v>126</v>
      </c>
      <c r="C7152" s="7" t="s">
        <v>1073</v>
      </c>
      <c r="D7152" s="7" t="n">
        <v>0</v>
      </c>
      <c r="E7152" s="7" t="n">
        <v>0</v>
      </c>
      <c r="F7152" s="7" t="n">
        <v>1</v>
      </c>
      <c r="G7152" s="7" t="n">
        <v>152.47</v>
      </c>
    </row>
    <row r="7153" customFormat="false" ht="15" hidden="false" customHeight="false" outlineLevel="0" collapsed="false">
      <c r="A7153" s="7" t="s">
        <v>24</v>
      </c>
      <c r="B7153" s="7" t="s">
        <v>126</v>
      </c>
      <c r="C7153" s="7" t="s">
        <v>1073</v>
      </c>
      <c r="D7153" s="7" t="n">
        <v>0</v>
      </c>
      <c r="E7153" s="7" t="n">
        <v>0</v>
      </c>
      <c r="F7153" s="7" t="n">
        <v>1</v>
      </c>
      <c r="G7153" s="7" t="n">
        <v>152.47</v>
      </c>
    </row>
    <row r="7154" customFormat="false" ht="15" hidden="false" customHeight="false" outlineLevel="0" collapsed="false">
      <c r="A7154" s="7" t="s">
        <v>24</v>
      </c>
      <c r="B7154" s="7" t="s">
        <v>126</v>
      </c>
      <c r="C7154" s="7" t="s">
        <v>1073</v>
      </c>
      <c r="D7154" s="7" t="n">
        <v>0</v>
      </c>
      <c r="E7154" s="7" t="n">
        <v>0</v>
      </c>
      <c r="F7154" s="7" t="n">
        <v>1</v>
      </c>
      <c r="G7154" s="7" t="n">
        <v>135.53</v>
      </c>
    </row>
    <row r="7155" customFormat="false" ht="15" hidden="false" customHeight="false" outlineLevel="0" collapsed="false">
      <c r="A7155" s="7" t="s">
        <v>24</v>
      </c>
      <c r="B7155" s="7" t="s">
        <v>126</v>
      </c>
      <c r="C7155" s="7" t="s">
        <v>1073</v>
      </c>
      <c r="D7155" s="7" t="n">
        <v>0</v>
      </c>
      <c r="E7155" s="7" t="n">
        <v>0</v>
      </c>
      <c r="F7155" s="7" t="n">
        <v>1</v>
      </c>
      <c r="G7155" s="7" t="n">
        <v>135.52</v>
      </c>
    </row>
    <row r="7156" customFormat="false" ht="15" hidden="false" customHeight="false" outlineLevel="0" collapsed="false">
      <c r="A7156" s="7" t="s">
        <v>24</v>
      </c>
      <c r="B7156" s="7" t="s">
        <v>126</v>
      </c>
      <c r="C7156" s="7" t="s">
        <v>1073</v>
      </c>
      <c r="D7156" s="7" t="n">
        <v>0</v>
      </c>
      <c r="E7156" s="7" t="n">
        <v>0</v>
      </c>
      <c r="F7156" s="7" t="n">
        <v>1</v>
      </c>
      <c r="G7156" s="7" t="n">
        <v>144</v>
      </c>
    </row>
    <row r="7157" customFormat="false" ht="15" hidden="false" customHeight="false" outlineLevel="0" collapsed="false">
      <c r="A7157" s="7" t="s">
        <v>24</v>
      </c>
      <c r="B7157" s="7" t="s">
        <v>126</v>
      </c>
      <c r="C7157" s="7" t="s">
        <v>1073</v>
      </c>
      <c r="D7157" s="7" t="n">
        <v>76</v>
      </c>
      <c r="E7157" s="7" t="n">
        <v>9356.29</v>
      </c>
      <c r="F7157" s="7" t="n">
        <v>0</v>
      </c>
      <c r="G7157" s="7" t="n">
        <v>0</v>
      </c>
    </row>
    <row r="7158" customFormat="false" ht="15" hidden="false" customHeight="false" outlineLevel="0" collapsed="false">
      <c r="A7158" s="7" t="s">
        <v>24</v>
      </c>
      <c r="B7158" s="7" t="s">
        <v>126</v>
      </c>
      <c r="C7158" s="7" t="s">
        <v>1073</v>
      </c>
      <c r="D7158" s="7" t="n">
        <v>0</v>
      </c>
      <c r="E7158" s="7" t="n">
        <v>0</v>
      </c>
      <c r="F7158" s="7" t="n">
        <v>1</v>
      </c>
      <c r="G7158" s="7" t="n">
        <v>135.52</v>
      </c>
    </row>
    <row r="7159" customFormat="false" ht="15" hidden="false" customHeight="false" outlineLevel="0" collapsed="false">
      <c r="A7159" s="7" t="s">
        <v>24</v>
      </c>
      <c r="B7159" s="7" t="s">
        <v>126</v>
      </c>
      <c r="C7159" s="7" t="s">
        <v>1073</v>
      </c>
      <c r="D7159" s="7" t="n">
        <v>108</v>
      </c>
      <c r="E7159" s="7" t="n">
        <v>15822.05</v>
      </c>
      <c r="F7159" s="7" t="n">
        <v>36</v>
      </c>
      <c r="G7159" s="7" t="n">
        <v>5454.78</v>
      </c>
    </row>
    <row r="7160" customFormat="false" ht="15" hidden="false" customHeight="false" outlineLevel="0" collapsed="false">
      <c r="A7160" s="7" t="s">
        <v>24</v>
      </c>
      <c r="B7160" s="7" t="s">
        <v>126</v>
      </c>
      <c r="C7160" s="7" t="s">
        <v>1073</v>
      </c>
      <c r="D7160" s="7" t="n">
        <v>0</v>
      </c>
      <c r="E7160" s="7" t="n">
        <v>0</v>
      </c>
      <c r="F7160" s="7" t="n">
        <v>1</v>
      </c>
      <c r="G7160" s="7" t="n">
        <v>169.41</v>
      </c>
    </row>
    <row r="7161" customFormat="false" ht="15" hidden="false" customHeight="false" outlineLevel="0" collapsed="false">
      <c r="A7161" s="7" t="s">
        <v>24</v>
      </c>
      <c r="B7161" s="7" t="s">
        <v>126</v>
      </c>
      <c r="C7161" s="7" t="s">
        <v>1073</v>
      </c>
      <c r="D7161" s="7" t="n">
        <v>0</v>
      </c>
      <c r="E7161" s="7" t="n">
        <v>0</v>
      </c>
      <c r="F7161" s="7" t="n">
        <v>1</v>
      </c>
      <c r="G7161" s="7" t="n">
        <v>152.47</v>
      </c>
    </row>
    <row r="7162" customFormat="false" ht="15" hidden="false" customHeight="false" outlineLevel="0" collapsed="false">
      <c r="A7162" s="7" t="s">
        <v>24</v>
      </c>
      <c r="B7162" s="7" t="s">
        <v>126</v>
      </c>
      <c r="C7162" s="7" t="s">
        <v>1073</v>
      </c>
      <c r="D7162" s="7" t="n">
        <v>0</v>
      </c>
      <c r="E7162" s="7" t="n">
        <v>0</v>
      </c>
      <c r="F7162" s="7" t="n">
        <v>1</v>
      </c>
      <c r="G7162" s="7" t="n">
        <v>169.4</v>
      </c>
    </row>
    <row r="7163" customFormat="false" ht="15" hidden="false" customHeight="false" outlineLevel="0" collapsed="false">
      <c r="A7163" s="7" t="s">
        <v>24</v>
      </c>
      <c r="B7163" s="7" t="s">
        <v>126</v>
      </c>
      <c r="C7163" s="7" t="s">
        <v>1073</v>
      </c>
      <c r="D7163" s="7" t="n">
        <v>0</v>
      </c>
      <c r="E7163" s="7" t="n">
        <v>0</v>
      </c>
      <c r="F7163" s="7" t="n">
        <v>1</v>
      </c>
      <c r="G7163" s="7" t="n">
        <v>169.41</v>
      </c>
    </row>
    <row r="7164" customFormat="false" ht="15" hidden="false" customHeight="false" outlineLevel="0" collapsed="false">
      <c r="A7164" s="7" t="s">
        <v>24</v>
      </c>
      <c r="B7164" s="7" t="s">
        <v>126</v>
      </c>
      <c r="C7164" s="7" t="s">
        <v>1073</v>
      </c>
      <c r="D7164" s="7" t="n">
        <v>0</v>
      </c>
      <c r="E7164" s="7" t="n">
        <v>0</v>
      </c>
      <c r="F7164" s="7" t="n">
        <v>1</v>
      </c>
      <c r="G7164" s="7" t="n">
        <v>144</v>
      </c>
    </row>
    <row r="7165" customFormat="false" ht="15" hidden="false" customHeight="false" outlineLevel="0" collapsed="false">
      <c r="A7165" s="7" t="s">
        <v>24</v>
      </c>
      <c r="B7165" s="7" t="s">
        <v>126</v>
      </c>
      <c r="C7165" s="7" t="s">
        <v>1073</v>
      </c>
      <c r="D7165" s="7" t="n">
        <v>0</v>
      </c>
      <c r="E7165" s="7" t="n">
        <v>0</v>
      </c>
      <c r="F7165" s="7" t="n">
        <v>1</v>
      </c>
      <c r="G7165" s="7" t="n">
        <v>169.41</v>
      </c>
    </row>
    <row r="7166" customFormat="false" ht="15" hidden="false" customHeight="false" outlineLevel="0" collapsed="false">
      <c r="A7166" s="7" t="s">
        <v>24</v>
      </c>
      <c r="B7166" s="7" t="s">
        <v>126</v>
      </c>
      <c r="C7166" s="7" t="s">
        <v>1073</v>
      </c>
      <c r="D7166" s="7" t="n">
        <v>0</v>
      </c>
      <c r="E7166" s="7" t="n">
        <v>0</v>
      </c>
      <c r="F7166" s="7" t="n">
        <v>2</v>
      </c>
      <c r="G7166" s="7" t="n">
        <v>338.81</v>
      </c>
    </row>
    <row r="7167" customFormat="false" ht="15" hidden="false" customHeight="false" outlineLevel="0" collapsed="false">
      <c r="A7167" s="7" t="s">
        <v>24</v>
      </c>
      <c r="B7167" s="7" t="s">
        <v>126</v>
      </c>
      <c r="C7167" s="7" t="s">
        <v>1073</v>
      </c>
      <c r="D7167" s="7" t="n">
        <v>0</v>
      </c>
      <c r="E7167" s="7" t="n">
        <v>0</v>
      </c>
      <c r="F7167" s="7" t="n">
        <v>1</v>
      </c>
      <c r="G7167" s="7" t="n">
        <v>152.47</v>
      </c>
    </row>
    <row r="7168" customFormat="false" ht="15" hidden="false" customHeight="false" outlineLevel="0" collapsed="false">
      <c r="A7168" s="7" t="s">
        <v>24</v>
      </c>
      <c r="B7168" s="7" t="s">
        <v>126</v>
      </c>
      <c r="C7168" s="7" t="s">
        <v>1073</v>
      </c>
      <c r="D7168" s="7" t="n">
        <v>0</v>
      </c>
      <c r="E7168" s="7" t="n">
        <v>0</v>
      </c>
      <c r="F7168" s="7" t="n">
        <v>55</v>
      </c>
      <c r="G7168" s="7" t="n">
        <v>8614.52</v>
      </c>
    </row>
    <row r="7169" customFormat="false" ht="15" hidden="false" customHeight="false" outlineLevel="0" collapsed="false">
      <c r="A7169" s="7" t="s">
        <v>24</v>
      </c>
      <c r="B7169" s="7" t="s">
        <v>126</v>
      </c>
      <c r="C7169" s="7" t="s">
        <v>1073</v>
      </c>
      <c r="D7169" s="7" t="n">
        <v>0</v>
      </c>
      <c r="E7169" s="7" t="n">
        <v>0</v>
      </c>
      <c r="F7169" s="7" t="n">
        <v>1</v>
      </c>
      <c r="G7169" s="7" t="n">
        <v>135.53</v>
      </c>
    </row>
    <row r="7170" customFormat="false" ht="15" hidden="false" customHeight="false" outlineLevel="0" collapsed="false">
      <c r="A7170" s="7" t="s">
        <v>24</v>
      </c>
      <c r="B7170" s="7" t="s">
        <v>126</v>
      </c>
      <c r="C7170" s="7" t="s">
        <v>1073</v>
      </c>
      <c r="D7170" s="7" t="n">
        <v>0</v>
      </c>
      <c r="E7170" s="7" t="n">
        <v>0</v>
      </c>
      <c r="F7170" s="7" t="n">
        <v>1</v>
      </c>
      <c r="G7170" s="7" t="n">
        <v>169.4</v>
      </c>
    </row>
    <row r="7171" customFormat="false" ht="15" hidden="false" customHeight="false" outlineLevel="0" collapsed="false">
      <c r="A7171" s="7" t="s">
        <v>24</v>
      </c>
      <c r="B7171" s="7" t="s">
        <v>126</v>
      </c>
      <c r="C7171" s="7" t="s">
        <v>1073</v>
      </c>
      <c r="D7171" s="7" t="n">
        <v>0</v>
      </c>
      <c r="E7171" s="7" t="n">
        <v>0</v>
      </c>
      <c r="F7171" s="7" t="n">
        <v>1</v>
      </c>
      <c r="G7171" s="7" t="n">
        <v>169.4</v>
      </c>
    </row>
    <row r="7172" customFormat="false" ht="15" hidden="false" customHeight="false" outlineLevel="0" collapsed="false">
      <c r="A7172" s="7" t="s">
        <v>24</v>
      </c>
      <c r="B7172" s="7" t="s">
        <v>126</v>
      </c>
      <c r="C7172" s="7" t="s">
        <v>1073</v>
      </c>
      <c r="D7172" s="7" t="n">
        <v>0</v>
      </c>
      <c r="E7172" s="7" t="n">
        <v>0</v>
      </c>
      <c r="F7172" s="7" t="n">
        <v>2</v>
      </c>
      <c r="G7172" s="7" t="n">
        <v>288</v>
      </c>
    </row>
    <row r="7173" customFormat="false" ht="15" hidden="false" customHeight="false" outlineLevel="0" collapsed="false">
      <c r="A7173" s="7" t="s">
        <v>24</v>
      </c>
      <c r="B7173" s="7" t="s">
        <v>126</v>
      </c>
      <c r="C7173" s="7" t="s">
        <v>1073</v>
      </c>
      <c r="D7173" s="7" t="n">
        <v>0</v>
      </c>
      <c r="E7173" s="7" t="n">
        <v>0</v>
      </c>
      <c r="F7173" s="7" t="n">
        <v>1</v>
      </c>
      <c r="G7173" s="7" t="n">
        <v>169.41</v>
      </c>
    </row>
    <row r="7174" customFormat="false" ht="15" hidden="false" customHeight="false" outlineLevel="0" collapsed="false">
      <c r="A7174" s="7" t="s">
        <v>24</v>
      </c>
      <c r="B7174" s="7" t="s">
        <v>126</v>
      </c>
      <c r="C7174" s="7" t="s">
        <v>1073</v>
      </c>
      <c r="D7174" s="7" t="n">
        <v>0</v>
      </c>
      <c r="E7174" s="7" t="n">
        <v>0</v>
      </c>
      <c r="F7174" s="7" t="n">
        <v>1</v>
      </c>
      <c r="G7174" s="7" t="n">
        <v>135.53</v>
      </c>
    </row>
    <row r="7175" customFormat="false" ht="15" hidden="false" customHeight="false" outlineLevel="0" collapsed="false">
      <c r="A7175" s="7" t="s">
        <v>24</v>
      </c>
      <c r="B7175" s="7" t="s">
        <v>126</v>
      </c>
      <c r="C7175" s="7" t="s">
        <v>1073</v>
      </c>
      <c r="D7175" s="7" t="n">
        <v>0</v>
      </c>
      <c r="E7175" s="7" t="n">
        <v>0</v>
      </c>
      <c r="F7175" s="7" t="n">
        <v>1</v>
      </c>
      <c r="G7175" s="7" t="n">
        <v>169.4</v>
      </c>
    </row>
    <row r="7176" customFormat="false" ht="15" hidden="false" customHeight="false" outlineLevel="0" collapsed="false">
      <c r="A7176" s="7" t="s">
        <v>24</v>
      </c>
      <c r="B7176" s="7" t="s">
        <v>126</v>
      </c>
      <c r="C7176" s="7" t="s">
        <v>1073</v>
      </c>
      <c r="D7176" s="7" t="n">
        <v>0</v>
      </c>
      <c r="E7176" s="7" t="n">
        <v>0</v>
      </c>
      <c r="F7176" s="7" t="n">
        <v>1</v>
      </c>
      <c r="G7176" s="7" t="n">
        <v>169.4</v>
      </c>
    </row>
    <row r="7177" customFormat="false" ht="15" hidden="false" customHeight="false" outlineLevel="0" collapsed="false">
      <c r="A7177" s="7" t="s">
        <v>24</v>
      </c>
      <c r="B7177" s="7" t="s">
        <v>126</v>
      </c>
      <c r="C7177" s="7" t="s">
        <v>1073</v>
      </c>
      <c r="D7177" s="7" t="n">
        <v>0</v>
      </c>
      <c r="E7177" s="7" t="n">
        <v>0</v>
      </c>
      <c r="F7177" s="7" t="n">
        <v>1</v>
      </c>
      <c r="G7177" s="7" t="n">
        <v>135.52</v>
      </c>
    </row>
    <row r="7178" customFormat="false" ht="15" hidden="false" customHeight="false" outlineLevel="0" collapsed="false">
      <c r="A7178" s="7" t="s">
        <v>24</v>
      </c>
      <c r="B7178" s="7" t="s">
        <v>126</v>
      </c>
      <c r="C7178" s="7" t="s">
        <v>1073</v>
      </c>
      <c r="D7178" s="7" t="n">
        <v>0</v>
      </c>
      <c r="E7178" s="7" t="n">
        <v>0</v>
      </c>
      <c r="F7178" s="7" t="n">
        <v>2</v>
      </c>
      <c r="G7178" s="7" t="n">
        <v>338.81</v>
      </c>
    </row>
    <row r="7179" customFormat="false" ht="15" hidden="false" customHeight="false" outlineLevel="0" collapsed="false">
      <c r="A7179" s="7" t="s">
        <v>24</v>
      </c>
      <c r="B7179" s="7" t="s">
        <v>126</v>
      </c>
      <c r="C7179" s="7" t="s">
        <v>1073</v>
      </c>
      <c r="D7179" s="7" t="n">
        <v>0</v>
      </c>
      <c r="E7179" s="7" t="n">
        <v>0</v>
      </c>
      <c r="F7179" s="7" t="n">
        <v>1</v>
      </c>
      <c r="G7179" s="7" t="n">
        <v>135.53</v>
      </c>
    </row>
    <row r="7180" customFormat="false" ht="15" hidden="false" customHeight="false" outlineLevel="0" collapsed="false">
      <c r="A7180" s="7" t="s">
        <v>24</v>
      </c>
      <c r="B7180" s="7" t="s">
        <v>126</v>
      </c>
      <c r="C7180" s="7" t="s">
        <v>1073</v>
      </c>
      <c r="D7180" s="7" t="n">
        <v>0</v>
      </c>
      <c r="E7180" s="7" t="n">
        <v>0</v>
      </c>
      <c r="F7180" s="7" t="n">
        <v>1</v>
      </c>
      <c r="G7180" s="7" t="n">
        <v>169.41</v>
      </c>
    </row>
    <row r="7181" customFormat="false" ht="15" hidden="false" customHeight="false" outlineLevel="0" collapsed="false">
      <c r="A7181" s="7" t="s">
        <v>24</v>
      </c>
      <c r="B7181" s="7" t="s">
        <v>126</v>
      </c>
      <c r="C7181" s="7" t="s">
        <v>1073</v>
      </c>
      <c r="D7181" s="7" t="n">
        <v>0</v>
      </c>
      <c r="E7181" s="7" t="n">
        <v>0</v>
      </c>
      <c r="F7181" s="7" t="n">
        <v>1</v>
      </c>
      <c r="G7181" s="7" t="n">
        <v>144</v>
      </c>
    </row>
    <row r="7182" customFormat="false" ht="15" hidden="false" customHeight="false" outlineLevel="0" collapsed="false">
      <c r="A7182" s="7" t="s">
        <v>24</v>
      </c>
      <c r="B7182" s="7" t="s">
        <v>126</v>
      </c>
      <c r="C7182" s="7" t="s">
        <v>1073</v>
      </c>
      <c r="D7182" s="7" t="n">
        <v>0</v>
      </c>
      <c r="E7182" s="7" t="n">
        <v>0</v>
      </c>
      <c r="F7182" s="7" t="n">
        <v>1</v>
      </c>
      <c r="G7182" s="7" t="n">
        <v>135.52</v>
      </c>
    </row>
    <row r="7183" customFormat="false" ht="15" hidden="false" customHeight="false" outlineLevel="0" collapsed="false">
      <c r="A7183" s="7" t="s">
        <v>24</v>
      </c>
      <c r="B7183" s="7" t="s">
        <v>126</v>
      </c>
      <c r="C7183" s="7" t="s">
        <v>1073</v>
      </c>
      <c r="D7183" s="7" t="n">
        <v>0</v>
      </c>
      <c r="E7183" s="7" t="n">
        <v>0</v>
      </c>
      <c r="F7183" s="7" t="n">
        <v>1</v>
      </c>
      <c r="G7183" s="7" t="n">
        <v>144</v>
      </c>
    </row>
    <row r="7184" customFormat="false" ht="15" hidden="false" customHeight="false" outlineLevel="0" collapsed="false">
      <c r="A7184" s="7" t="s">
        <v>24</v>
      </c>
      <c r="B7184" s="7" t="s">
        <v>126</v>
      </c>
      <c r="C7184" s="7" t="s">
        <v>1073</v>
      </c>
      <c r="D7184" s="7" t="n">
        <v>0</v>
      </c>
      <c r="E7184" s="7" t="n">
        <v>0</v>
      </c>
      <c r="F7184" s="7" t="n">
        <v>1</v>
      </c>
      <c r="G7184" s="7" t="n">
        <v>158.4</v>
      </c>
    </row>
    <row r="7185" customFormat="false" ht="15" hidden="false" customHeight="false" outlineLevel="0" collapsed="false">
      <c r="A7185" s="7" t="s">
        <v>24</v>
      </c>
      <c r="B7185" s="7" t="s">
        <v>126</v>
      </c>
      <c r="C7185" s="7" t="s">
        <v>1073</v>
      </c>
      <c r="D7185" s="7" t="n">
        <v>0</v>
      </c>
      <c r="E7185" s="7" t="n">
        <v>0</v>
      </c>
      <c r="F7185" s="7" t="n">
        <v>1</v>
      </c>
      <c r="G7185" s="7" t="n">
        <v>169.4</v>
      </c>
    </row>
    <row r="7186" customFormat="false" ht="15" hidden="false" customHeight="false" outlineLevel="0" collapsed="false">
      <c r="A7186" s="7" t="s">
        <v>24</v>
      </c>
      <c r="B7186" s="7" t="s">
        <v>126</v>
      </c>
      <c r="C7186" s="7" t="s">
        <v>1073</v>
      </c>
      <c r="D7186" s="7" t="n">
        <v>0</v>
      </c>
      <c r="E7186" s="7" t="n">
        <v>0</v>
      </c>
      <c r="F7186" s="7" t="n">
        <v>2</v>
      </c>
      <c r="G7186" s="7" t="n">
        <v>288</v>
      </c>
    </row>
    <row r="7187" customFormat="false" ht="15" hidden="false" customHeight="false" outlineLevel="0" collapsed="false">
      <c r="A7187" s="7" t="s">
        <v>24</v>
      </c>
      <c r="B7187" s="7" t="s">
        <v>126</v>
      </c>
      <c r="C7187" s="7" t="s">
        <v>1073</v>
      </c>
      <c r="D7187" s="7" t="n">
        <v>0</v>
      </c>
      <c r="E7187" s="7" t="n">
        <v>0</v>
      </c>
      <c r="F7187" s="7" t="n">
        <v>1</v>
      </c>
      <c r="G7187" s="7" t="n">
        <v>169.41</v>
      </c>
    </row>
    <row r="7188" customFormat="false" ht="15" hidden="false" customHeight="false" outlineLevel="0" collapsed="false">
      <c r="A7188" s="7" t="s">
        <v>24</v>
      </c>
      <c r="B7188" s="7" t="s">
        <v>126</v>
      </c>
      <c r="C7188" s="7" t="s">
        <v>1073</v>
      </c>
      <c r="D7188" s="7" t="n">
        <v>0</v>
      </c>
      <c r="E7188" s="7" t="n">
        <v>0</v>
      </c>
      <c r="F7188" s="7" t="n">
        <v>1</v>
      </c>
      <c r="G7188" s="7" t="n">
        <v>135.53</v>
      </c>
    </row>
    <row r="7189" customFormat="false" ht="15" hidden="false" customHeight="false" outlineLevel="0" collapsed="false">
      <c r="A7189" s="7" t="s">
        <v>24</v>
      </c>
      <c r="B7189" s="7" t="s">
        <v>126</v>
      </c>
      <c r="C7189" s="7" t="s">
        <v>1073</v>
      </c>
      <c r="D7189" s="7" t="n">
        <v>0</v>
      </c>
      <c r="E7189" s="7" t="n">
        <v>0</v>
      </c>
      <c r="F7189" s="7" t="n">
        <v>2</v>
      </c>
      <c r="G7189" s="7" t="n">
        <v>338.81</v>
      </c>
    </row>
    <row r="7190" customFormat="false" ht="15" hidden="false" customHeight="false" outlineLevel="0" collapsed="false">
      <c r="A7190" s="7" t="s">
        <v>24</v>
      </c>
      <c r="B7190" s="7" t="s">
        <v>126</v>
      </c>
      <c r="C7190" s="7" t="s">
        <v>1073</v>
      </c>
      <c r="D7190" s="7" t="n">
        <v>0</v>
      </c>
      <c r="E7190" s="7" t="n">
        <v>0</v>
      </c>
      <c r="F7190" s="7" t="n">
        <v>3</v>
      </c>
      <c r="G7190" s="7" t="n">
        <v>432</v>
      </c>
    </row>
    <row r="7191" customFormat="false" ht="15" hidden="false" customHeight="false" outlineLevel="0" collapsed="false">
      <c r="A7191" s="7" t="s">
        <v>24</v>
      </c>
      <c r="B7191" s="7" t="s">
        <v>126</v>
      </c>
      <c r="C7191" s="7" t="s">
        <v>1073</v>
      </c>
      <c r="D7191" s="7" t="n">
        <v>0</v>
      </c>
      <c r="E7191" s="7" t="n">
        <v>0</v>
      </c>
      <c r="F7191" s="7" t="n">
        <v>2</v>
      </c>
      <c r="G7191" s="7" t="n">
        <v>338.81</v>
      </c>
    </row>
    <row r="7192" customFormat="false" ht="15" hidden="false" customHeight="false" outlineLevel="0" collapsed="false">
      <c r="A7192" s="7" t="s">
        <v>24</v>
      </c>
      <c r="B7192" s="7" t="s">
        <v>126</v>
      </c>
      <c r="C7192" s="7" t="s">
        <v>1073</v>
      </c>
      <c r="D7192" s="7" t="n">
        <v>0</v>
      </c>
      <c r="E7192" s="7" t="n">
        <v>0</v>
      </c>
      <c r="F7192" s="7" t="n">
        <v>1</v>
      </c>
      <c r="G7192" s="7" t="n">
        <v>135.53</v>
      </c>
    </row>
    <row r="7193" customFormat="false" ht="15" hidden="false" customHeight="false" outlineLevel="0" collapsed="false">
      <c r="A7193" s="7" t="s">
        <v>24</v>
      </c>
      <c r="B7193" s="7" t="s">
        <v>126</v>
      </c>
      <c r="C7193" s="7" t="s">
        <v>1073</v>
      </c>
      <c r="D7193" s="7" t="n">
        <v>0</v>
      </c>
      <c r="E7193" s="7" t="n">
        <v>0</v>
      </c>
      <c r="F7193" s="7" t="n">
        <v>1</v>
      </c>
      <c r="G7193" s="7" t="n">
        <v>135.52</v>
      </c>
    </row>
    <row r="7194" customFormat="false" ht="15" hidden="false" customHeight="false" outlineLevel="0" collapsed="false">
      <c r="A7194" s="7" t="s">
        <v>24</v>
      </c>
      <c r="B7194" s="7" t="s">
        <v>126</v>
      </c>
      <c r="C7194" s="7" t="s">
        <v>1073</v>
      </c>
      <c r="D7194" s="7" t="n">
        <v>0</v>
      </c>
      <c r="E7194" s="7" t="n">
        <v>0</v>
      </c>
      <c r="F7194" s="7" t="n">
        <v>1</v>
      </c>
      <c r="G7194" s="7" t="n">
        <v>169.41</v>
      </c>
    </row>
    <row r="7195" customFormat="false" ht="15" hidden="false" customHeight="false" outlineLevel="0" collapsed="false">
      <c r="A7195" s="7" t="s">
        <v>24</v>
      </c>
      <c r="B7195" s="7" t="s">
        <v>126</v>
      </c>
      <c r="C7195" s="7" t="s">
        <v>1073</v>
      </c>
      <c r="D7195" s="7" t="n">
        <v>0</v>
      </c>
      <c r="E7195" s="7" t="n">
        <v>0</v>
      </c>
      <c r="F7195" s="7" t="n">
        <v>1</v>
      </c>
      <c r="G7195" s="7" t="n">
        <v>169.4</v>
      </c>
    </row>
    <row r="7196" customFormat="false" ht="15" hidden="false" customHeight="false" outlineLevel="0" collapsed="false">
      <c r="A7196" s="7" t="s">
        <v>24</v>
      </c>
      <c r="B7196" s="7" t="s">
        <v>126</v>
      </c>
      <c r="C7196" s="7" t="s">
        <v>1073</v>
      </c>
      <c r="D7196" s="7" t="n">
        <v>0</v>
      </c>
      <c r="E7196" s="7" t="n">
        <v>0</v>
      </c>
      <c r="F7196" s="7" t="n">
        <v>1</v>
      </c>
      <c r="G7196" s="7" t="n">
        <v>135.52</v>
      </c>
    </row>
    <row r="7197" customFormat="false" ht="15" hidden="false" customHeight="false" outlineLevel="0" collapsed="false">
      <c r="A7197" s="7" t="s">
        <v>24</v>
      </c>
      <c r="B7197" s="7" t="s">
        <v>126</v>
      </c>
      <c r="C7197" s="7" t="s">
        <v>1073</v>
      </c>
      <c r="D7197" s="7" t="n">
        <v>47</v>
      </c>
      <c r="E7197" s="7" t="n">
        <v>5851.58</v>
      </c>
      <c r="F7197" s="7" t="n">
        <v>0</v>
      </c>
      <c r="G7197" s="7" t="n">
        <v>0</v>
      </c>
    </row>
    <row r="7198" customFormat="false" ht="15" hidden="false" customHeight="false" outlineLevel="0" collapsed="false">
      <c r="A7198" s="7" t="s">
        <v>24</v>
      </c>
      <c r="B7198" s="7" t="s">
        <v>126</v>
      </c>
      <c r="C7198" s="7" t="s">
        <v>1073</v>
      </c>
      <c r="D7198" s="7" t="n">
        <v>0</v>
      </c>
      <c r="E7198" s="7" t="n">
        <v>0</v>
      </c>
      <c r="F7198" s="7" t="n">
        <v>3</v>
      </c>
      <c r="G7198" s="7" t="n">
        <v>508.23</v>
      </c>
    </row>
    <row r="7199" customFormat="false" ht="15" hidden="false" customHeight="false" outlineLevel="0" collapsed="false">
      <c r="A7199" s="7" t="s">
        <v>24</v>
      </c>
      <c r="B7199" s="7" t="s">
        <v>157</v>
      </c>
      <c r="C7199" s="7" t="s">
        <v>1073</v>
      </c>
      <c r="D7199" s="7" t="n">
        <v>0</v>
      </c>
      <c r="E7199" s="7" t="n">
        <v>0</v>
      </c>
      <c r="F7199" s="7" t="n">
        <v>1</v>
      </c>
      <c r="G7199" s="7" t="n">
        <v>152.46</v>
      </c>
    </row>
    <row r="7200" customFormat="false" ht="15" hidden="false" customHeight="false" outlineLevel="0" collapsed="false">
      <c r="A7200" s="7" t="s">
        <v>24</v>
      </c>
      <c r="B7200" s="7" t="s">
        <v>157</v>
      </c>
      <c r="C7200" s="7" t="s">
        <v>1073</v>
      </c>
      <c r="D7200" s="7" t="n">
        <v>0</v>
      </c>
      <c r="E7200" s="7" t="n">
        <v>0</v>
      </c>
      <c r="F7200" s="7" t="n">
        <v>2</v>
      </c>
      <c r="G7200" s="7" t="n">
        <v>321.88</v>
      </c>
    </row>
    <row r="7201" customFormat="false" ht="15" hidden="false" customHeight="false" outlineLevel="0" collapsed="false">
      <c r="A7201" s="7" t="s">
        <v>24</v>
      </c>
      <c r="B7201" s="7" t="s">
        <v>157</v>
      </c>
      <c r="C7201" s="7" t="s">
        <v>1073</v>
      </c>
      <c r="D7201" s="7" t="n">
        <v>0</v>
      </c>
      <c r="E7201" s="7" t="n">
        <v>0</v>
      </c>
      <c r="F7201" s="7" t="n">
        <v>1</v>
      </c>
      <c r="G7201" s="7" t="n">
        <v>169.41</v>
      </c>
    </row>
    <row r="7202" customFormat="false" ht="15" hidden="false" customHeight="false" outlineLevel="0" collapsed="false">
      <c r="A7202" s="7" t="s">
        <v>24</v>
      </c>
      <c r="B7202" s="7" t="s">
        <v>157</v>
      </c>
      <c r="C7202" s="7" t="s">
        <v>1073</v>
      </c>
      <c r="D7202" s="7" t="n">
        <v>0</v>
      </c>
      <c r="E7202" s="7" t="n">
        <v>0</v>
      </c>
      <c r="F7202" s="7" t="n">
        <v>1</v>
      </c>
      <c r="G7202" s="7" t="n">
        <v>152.47</v>
      </c>
    </row>
    <row r="7203" customFormat="false" ht="15" hidden="false" customHeight="false" outlineLevel="0" collapsed="false">
      <c r="A7203" s="7" t="s">
        <v>24</v>
      </c>
      <c r="B7203" s="7" t="s">
        <v>157</v>
      </c>
      <c r="C7203" s="7" t="s">
        <v>1073</v>
      </c>
      <c r="D7203" s="7" t="n">
        <v>25</v>
      </c>
      <c r="E7203" s="7" t="n">
        <v>3148.74</v>
      </c>
      <c r="F7203" s="7" t="n">
        <v>0</v>
      </c>
      <c r="G7203" s="7" t="n">
        <v>0</v>
      </c>
    </row>
    <row r="7204" customFormat="false" ht="15" hidden="false" customHeight="false" outlineLevel="0" collapsed="false">
      <c r="A7204" s="7" t="s">
        <v>24</v>
      </c>
      <c r="B7204" s="7" t="s">
        <v>157</v>
      </c>
      <c r="C7204" s="7" t="s">
        <v>1073</v>
      </c>
      <c r="D7204" s="7" t="n">
        <v>0</v>
      </c>
      <c r="E7204" s="7" t="n">
        <v>0</v>
      </c>
      <c r="F7204" s="7" t="n">
        <v>3</v>
      </c>
      <c r="G7204" s="7" t="n">
        <v>432</v>
      </c>
    </row>
    <row r="7205" customFormat="false" ht="15" hidden="false" customHeight="false" outlineLevel="0" collapsed="false">
      <c r="A7205" s="7" t="s">
        <v>24</v>
      </c>
      <c r="B7205" s="7" t="s">
        <v>157</v>
      </c>
      <c r="C7205" s="7" t="s">
        <v>1073</v>
      </c>
      <c r="D7205" s="7" t="n">
        <v>0</v>
      </c>
      <c r="E7205" s="7" t="n">
        <v>0</v>
      </c>
      <c r="F7205" s="7" t="n">
        <v>3</v>
      </c>
      <c r="G7205" s="7" t="n">
        <v>423.5</v>
      </c>
    </row>
    <row r="7206" customFormat="false" ht="15" hidden="false" customHeight="false" outlineLevel="0" collapsed="false">
      <c r="A7206" s="7" t="s">
        <v>24</v>
      </c>
      <c r="B7206" s="7" t="s">
        <v>157</v>
      </c>
      <c r="C7206" s="7" t="s">
        <v>1073</v>
      </c>
      <c r="D7206" s="7" t="n">
        <v>0</v>
      </c>
      <c r="E7206" s="7" t="n">
        <v>0</v>
      </c>
      <c r="F7206" s="7" t="n">
        <v>1</v>
      </c>
      <c r="G7206" s="7" t="n">
        <v>169.41</v>
      </c>
    </row>
    <row r="7207" customFormat="false" ht="15" hidden="false" customHeight="false" outlineLevel="0" collapsed="false">
      <c r="A7207" s="7" t="s">
        <v>24</v>
      </c>
      <c r="B7207" s="7" t="s">
        <v>157</v>
      </c>
      <c r="C7207" s="7" t="s">
        <v>1073</v>
      </c>
      <c r="D7207" s="7" t="n">
        <v>0</v>
      </c>
      <c r="E7207" s="7" t="n">
        <v>0</v>
      </c>
      <c r="F7207" s="7" t="n">
        <v>1</v>
      </c>
      <c r="G7207" s="7" t="n">
        <v>135.53</v>
      </c>
    </row>
    <row r="7208" customFormat="false" ht="15" hidden="false" customHeight="false" outlineLevel="0" collapsed="false">
      <c r="A7208" s="7" t="s">
        <v>24</v>
      </c>
      <c r="B7208" s="7" t="s">
        <v>157</v>
      </c>
      <c r="C7208" s="7" t="s">
        <v>1073</v>
      </c>
      <c r="D7208" s="7" t="n">
        <v>0</v>
      </c>
      <c r="E7208" s="7" t="n">
        <v>0</v>
      </c>
      <c r="F7208" s="7" t="n">
        <v>1</v>
      </c>
      <c r="G7208" s="7" t="n">
        <v>135.53</v>
      </c>
    </row>
    <row r="7209" customFormat="false" ht="15" hidden="false" customHeight="false" outlineLevel="0" collapsed="false">
      <c r="A7209" s="7" t="s">
        <v>24</v>
      </c>
      <c r="B7209" s="7" t="s">
        <v>157</v>
      </c>
      <c r="C7209" s="7" t="s">
        <v>1073</v>
      </c>
      <c r="D7209" s="7" t="n">
        <v>0</v>
      </c>
      <c r="E7209" s="7" t="n">
        <v>0</v>
      </c>
      <c r="F7209" s="7" t="n">
        <v>1</v>
      </c>
      <c r="G7209" s="7" t="n">
        <v>152.47</v>
      </c>
    </row>
    <row r="7210" customFormat="false" ht="15" hidden="false" customHeight="false" outlineLevel="0" collapsed="false">
      <c r="A7210" s="7" t="s">
        <v>24</v>
      </c>
      <c r="B7210" s="7" t="s">
        <v>157</v>
      </c>
      <c r="C7210" s="7" t="s">
        <v>1073</v>
      </c>
      <c r="D7210" s="7" t="n">
        <v>0</v>
      </c>
      <c r="E7210" s="7" t="n">
        <v>0</v>
      </c>
      <c r="F7210" s="7" t="n">
        <v>1</v>
      </c>
      <c r="G7210" s="7" t="n">
        <v>169.4</v>
      </c>
    </row>
    <row r="7211" customFormat="false" ht="15" hidden="false" customHeight="false" outlineLevel="0" collapsed="false">
      <c r="A7211" s="7" t="s">
        <v>24</v>
      </c>
      <c r="B7211" s="7" t="s">
        <v>157</v>
      </c>
      <c r="C7211" s="7" t="s">
        <v>1073</v>
      </c>
      <c r="D7211" s="7" t="n">
        <v>0</v>
      </c>
      <c r="E7211" s="7" t="n">
        <v>0</v>
      </c>
      <c r="F7211" s="7" t="n">
        <v>1</v>
      </c>
      <c r="G7211" s="7" t="n">
        <v>152.47</v>
      </c>
    </row>
    <row r="7212" customFormat="false" ht="15" hidden="false" customHeight="false" outlineLevel="0" collapsed="false">
      <c r="A7212" s="7" t="s">
        <v>24</v>
      </c>
      <c r="B7212" s="7" t="s">
        <v>157</v>
      </c>
      <c r="C7212" s="7" t="s">
        <v>1073</v>
      </c>
      <c r="D7212" s="7" t="n">
        <v>0</v>
      </c>
      <c r="E7212" s="7" t="n">
        <v>0</v>
      </c>
      <c r="F7212" s="7" t="n">
        <v>2</v>
      </c>
      <c r="G7212" s="7" t="n">
        <v>341.6</v>
      </c>
    </row>
    <row r="7213" customFormat="false" ht="15" hidden="false" customHeight="false" outlineLevel="0" collapsed="false">
      <c r="A7213" s="7" t="s">
        <v>24</v>
      </c>
      <c r="B7213" s="7" t="s">
        <v>157</v>
      </c>
      <c r="C7213" s="7" t="s">
        <v>1073</v>
      </c>
      <c r="D7213" s="7" t="n">
        <v>0</v>
      </c>
      <c r="E7213" s="7" t="n">
        <v>0</v>
      </c>
      <c r="F7213" s="7" t="n">
        <v>1</v>
      </c>
      <c r="G7213" s="7" t="n">
        <v>169.4</v>
      </c>
    </row>
    <row r="7214" customFormat="false" ht="15" hidden="false" customHeight="false" outlineLevel="0" collapsed="false">
      <c r="A7214" s="7" t="s">
        <v>24</v>
      </c>
      <c r="B7214" s="7" t="s">
        <v>157</v>
      </c>
      <c r="C7214" s="7" t="s">
        <v>1073</v>
      </c>
      <c r="D7214" s="7" t="n">
        <v>0</v>
      </c>
      <c r="E7214" s="7" t="n">
        <v>0</v>
      </c>
      <c r="F7214" s="7" t="n">
        <v>1</v>
      </c>
      <c r="G7214" s="7" t="n">
        <v>135.53</v>
      </c>
    </row>
    <row r="7215" customFormat="false" ht="15" hidden="false" customHeight="false" outlineLevel="0" collapsed="false">
      <c r="A7215" s="7" t="s">
        <v>24</v>
      </c>
      <c r="B7215" s="7" t="s">
        <v>157</v>
      </c>
      <c r="C7215" s="7" t="s">
        <v>1073</v>
      </c>
      <c r="D7215" s="7" t="n">
        <v>0</v>
      </c>
      <c r="E7215" s="7" t="n">
        <v>0</v>
      </c>
      <c r="F7215" s="7" t="n">
        <v>1</v>
      </c>
      <c r="G7215" s="7" t="n">
        <v>169.41</v>
      </c>
    </row>
    <row r="7216" customFormat="false" ht="15" hidden="false" customHeight="false" outlineLevel="0" collapsed="false">
      <c r="A7216" s="7" t="s">
        <v>24</v>
      </c>
      <c r="B7216" s="7" t="s">
        <v>157</v>
      </c>
      <c r="C7216" s="7" t="s">
        <v>1073</v>
      </c>
      <c r="D7216" s="7" t="n">
        <v>0</v>
      </c>
      <c r="E7216" s="7" t="n">
        <v>0</v>
      </c>
      <c r="F7216" s="7" t="n">
        <v>1</v>
      </c>
      <c r="G7216" s="7" t="n">
        <v>135.53</v>
      </c>
    </row>
    <row r="7217" customFormat="false" ht="15" hidden="false" customHeight="false" outlineLevel="0" collapsed="false">
      <c r="A7217" s="7" t="s">
        <v>24</v>
      </c>
      <c r="B7217" s="7" t="s">
        <v>157</v>
      </c>
      <c r="C7217" s="7" t="s">
        <v>1073</v>
      </c>
      <c r="D7217" s="7" t="n">
        <v>61</v>
      </c>
      <c r="E7217" s="7" t="n">
        <v>7357.85</v>
      </c>
      <c r="F7217" s="7" t="n">
        <v>0</v>
      </c>
      <c r="G7217" s="7" t="n">
        <v>0</v>
      </c>
    </row>
    <row r="7218" customFormat="false" ht="15" hidden="false" customHeight="false" outlineLevel="0" collapsed="false">
      <c r="A7218" s="7" t="s">
        <v>24</v>
      </c>
      <c r="B7218" s="7" t="s">
        <v>157</v>
      </c>
      <c r="C7218" s="7" t="s">
        <v>1073</v>
      </c>
      <c r="D7218" s="7" t="n">
        <v>0</v>
      </c>
      <c r="E7218" s="7" t="n">
        <v>0</v>
      </c>
      <c r="F7218" s="7" t="n">
        <v>1</v>
      </c>
      <c r="G7218" s="7" t="n">
        <v>135.52</v>
      </c>
    </row>
    <row r="7219" customFormat="false" ht="15" hidden="false" customHeight="false" outlineLevel="0" collapsed="false">
      <c r="A7219" s="7" t="s">
        <v>24</v>
      </c>
      <c r="B7219" s="7" t="s">
        <v>157</v>
      </c>
      <c r="C7219" s="7" t="s">
        <v>1073</v>
      </c>
      <c r="D7219" s="7" t="n">
        <v>0</v>
      </c>
      <c r="E7219" s="7" t="n">
        <v>0</v>
      </c>
      <c r="F7219" s="7" t="n">
        <v>1</v>
      </c>
      <c r="G7219" s="7" t="n">
        <v>170</v>
      </c>
    </row>
    <row r="7220" customFormat="false" ht="15" hidden="false" customHeight="false" outlineLevel="0" collapsed="false">
      <c r="A7220" s="7" t="s">
        <v>24</v>
      </c>
      <c r="B7220" s="7" t="s">
        <v>157</v>
      </c>
      <c r="C7220" s="7" t="s">
        <v>1073</v>
      </c>
      <c r="D7220" s="7" t="n">
        <v>0</v>
      </c>
      <c r="E7220" s="7" t="n">
        <v>0</v>
      </c>
      <c r="F7220" s="7" t="n">
        <v>1</v>
      </c>
      <c r="G7220" s="7" t="n">
        <v>135.53</v>
      </c>
    </row>
    <row r="7221" customFormat="false" ht="15" hidden="false" customHeight="false" outlineLevel="0" collapsed="false">
      <c r="A7221" s="7" t="s">
        <v>24</v>
      </c>
      <c r="B7221" s="7" t="s">
        <v>157</v>
      </c>
      <c r="C7221" s="7" t="s">
        <v>1073</v>
      </c>
      <c r="D7221" s="7" t="n">
        <v>0</v>
      </c>
      <c r="E7221" s="7" t="n">
        <v>0</v>
      </c>
      <c r="F7221" s="7" t="n">
        <v>55</v>
      </c>
      <c r="G7221" s="7" t="n">
        <v>8282.73</v>
      </c>
    </row>
    <row r="7222" customFormat="false" ht="15" hidden="false" customHeight="false" outlineLevel="0" collapsed="false">
      <c r="A7222" s="7" t="s">
        <v>24</v>
      </c>
      <c r="B7222" s="7" t="s">
        <v>157</v>
      </c>
      <c r="C7222" s="7" t="s">
        <v>1073</v>
      </c>
      <c r="D7222" s="7" t="n">
        <v>89</v>
      </c>
      <c r="E7222" s="7" t="n">
        <v>13170.88</v>
      </c>
      <c r="F7222" s="7" t="n">
        <v>42</v>
      </c>
      <c r="G7222" s="7" t="n">
        <v>6027.34</v>
      </c>
    </row>
    <row r="7223" customFormat="false" ht="15" hidden="false" customHeight="false" outlineLevel="0" collapsed="false">
      <c r="A7223" s="7" t="s">
        <v>24</v>
      </c>
      <c r="B7223" s="7" t="s">
        <v>157</v>
      </c>
      <c r="C7223" s="7" t="s">
        <v>1073</v>
      </c>
      <c r="D7223" s="7" t="n">
        <v>0</v>
      </c>
      <c r="E7223" s="7" t="n">
        <v>0</v>
      </c>
      <c r="F7223" s="7" t="n">
        <v>2</v>
      </c>
      <c r="G7223" s="7" t="n">
        <v>304.92</v>
      </c>
    </row>
    <row r="7224" customFormat="false" ht="15" hidden="false" customHeight="false" outlineLevel="0" collapsed="false">
      <c r="A7224" s="7" t="s">
        <v>24</v>
      </c>
      <c r="B7224" s="7" t="s">
        <v>157</v>
      </c>
      <c r="C7224" s="7" t="s">
        <v>1073</v>
      </c>
      <c r="D7224" s="7" t="n">
        <v>0</v>
      </c>
      <c r="E7224" s="7" t="n">
        <v>0</v>
      </c>
      <c r="F7224" s="7" t="n">
        <v>1</v>
      </c>
      <c r="G7224" s="7" t="n">
        <v>152.47</v>
      </c>
    </row>
    <row r="7225" customFormat="false" ht="15" hidden="false" customHeight="false" outlineLevel="0" collapsed="false">
      <c r="A7225" s="7" t="s">
        <v>24</v>
      </c>
      <c r="B7225" s="7" t="s">
        <v>157</v>
      </c>
      <c r="C7225" s="7" t="s">
        <v>1073</v>
      </c>
      <c r="D7225" s="7" t="n">
        <v>0</v>
      </c>
      <c r="E7225" s="7" t="n">
        <v>0</v>
      </c>
      <c r="F7225" s="7" t="n">
        <v>1</v>
      </c>
      <c r="G7225" s="7" t="n">
        <v>169.4</v>
      </c>
    </row>
    <row r="7226" customFormat="false" ht="15" hidden="false" customHeight="false" outlineLevel="0" collapsed="false">
      <c r="A7226" s="7" t="s">
        <v>24</v>
      </c>
      <c r="B7226" s="7" t="s">
        <v>157</v>
      </c>
      <c r="C7226" s="7" t="s">
        <v>1073</v>
      </c>
      <c r="D7226" s="7" t="n">
        <v>0</v>
      </c>
      <c r="E7226" s="7" t="n">
        <v>0</v>
      </c>
      <c r="F7226" s="7" t="n">
        <v>1</v>
      </c>
      <c r="G7226" s="7" t="n">
        <v>169.41</v>
      </c>
    </row>
    <row r="7227" customFormat="false" ht="15" hidden="false" customHeight="false" outlineLevel="0" collapsed="false">
      <c r="A7227" s="7" t="s">
        <v>24</v>
      </c>
      <c r="B7227" s="7" t="s">
        <v>157</v>
      </c>
      <c r="C7227" s="7" t="s">
        <v>1073</v>
      </c>
      <c r="D7227" s="7" t="n">
        <v>0</v>
      </c>
      <c r="E7227" s="7" t="n">
        <v>0</v>
      </c>
      <c r="F7227" s="7" t="n">
        <v>1</v>
      </c>
      <c r="G7227" s="7" t="n">
        <v>152.47</v>
      </c>
    </row>
    <row r="7228" customFormat="false" ht="15" hidden="false" customHeight="false" outlineLevel="0" collapsed="false">
      <c r="A7228" s="7" t="s">
        <v>24</v>
      </c>
      <c r="B7228" s="7" t="s">
        <v>157</v>
      </c>
      <c r="C7228" s="7" t="s">
        <v>1073</v>
      </c>
      <c r="D7228" s="7" t="n">
        <v>0</v>
      </c>
      <c r="E7228" s="7" t="n">
        <v>0</v>
      </c>
      <c r="F7228" s="7" t="n">
        <v>1</v>
      </c>
      <c r="G7228" s="7" t="n">
        <v>169.41</v>
      </c>
    </row>
    <row r="7229" customFormat="false" ht="15" hidden="false" customHeight="false" outlineLevel="0" collapsed="false">
      <c r="A7229" s="7" t="s">
        <v>24</v>
      </c>
      <c r="B7229" s="7" t="s">
        <v>157</v>
      </c>
      <c r="C7229" s="7" t="s">
        <v>1073</v>
      </c>
      <c r="D7229" s="7" t="n">
        <v>0</v>
      </c>
      <c r="E7229" s="7" t="n">
        <v>0</v>
      </c>
      <c r="F7229" s="7" t="n">
        <v>3</v>
      </c>
      <c r="G7229" s="7" t="n">
        <v>508.23</v>
      </c>
    </row>
    <row r="7230" customFormat="false" ht="15" hidden="false" customHeight="false" outlineLevel="0" collapsed="false">
      <c r="A7230" s="7" t="s">
        <v>24</v>
      </c>
      <c r="B7230" s="7" t="s">
        <v>157</v>
      </c>
      <c r="C7230" s="7" t="s">
        <v>1073</v>
      </c>
      <c r="D7230" s="7" t="n">
        <v>0</v>
      </c>
      <c r="E7230" s="7" t="n">
        <v>0</v>
      </c>
      <c r="F7230" s="7" t="n">
        <v>1</v>
      </c>
      <c r="G7230" s="7" t="n">
        <v>169.4</v>
      </c>
    </row>
    <row r="7231" customFormat="false" ht="15" hidden="false" customHeight="false" outlineLevel="0" collapsed="false">
      <c r="A7231" s="7" t="s">
        <v>24</v>
      </c>
      <c r="B7231" s="7" t="s">
        <v>157</v>
      </c>
      <c r="C7231" s="7" t="s">
        <v>1073</v>
      </c>
      <c r="D7231" s="7" t="n">
        <v>0</v>
      </c>
      <c r="E7231" s="7" t="n">
        <v>0</v>
      </c>
      <c r="F7231" s="7" t="n">
        <v>1</v>
      </c>
      <c r="G7231" s="7" t="n">
        <v>152.47</v>
      </c>
    </row>
    <row r="7232" customFormat="false" ht="15" hidden="false" customHeight="false" outlineLevel="0" collapsed="false">
      <c r="A7232" s="7" t="s">
        <v>24</v>
      </c>
      <c r="B7232" s="7" t="s">
        <v>157</v>
      </c>
      <c r="C7232" s="7" t="s">
        <v>1073</v>
      </c>
      <c r="D7232" s="7" t="n">
        <v>0</v>
      </c>
      <c r="E7232" s="7" t="n">
        <v>0</v>
      </c>
      <c r="F7232" s="7" t="n">
        <v>1</v>
      </c>
      <c r="G7232" s="7" t="n">
        <v>169.41</v>
      </c>
    </row>
    <row r="7233" customFormat="false" ht="15" hidden="false" customHeight="false" outlineLevel="0" collapsed="false">
      <c r="A7233" s="7" t="s">
        <v>24</v>
      </c>
      <c r="B7233" s="7" t="s">
        <v>157</v>
      </c>
      <c r="C7233" s="7" t="s">
        <v>1073</v>
      </c>
      <c r="D7233" s="7" t="n">
        <v>0</v>
      </c>
      <c r="E7233" s="7" t="n">
        <v>0</v>
      </c>
      <c r="F7233" s="7" t="n">
        <v>1</v>
      </c>
      <c r="G7233" s="7" t="n">
        <v>152.46</v>
      </c>
    </row>
    <row r="7234" customFormat="false" ht="15" hidden="false" customHeight="false" outlineLevel="0" collapsed="false">
      <c r="A7234" s="7" t="s">
        <v>24</v>
      </c>
      <c r="B7234" s="7" t="s">
        <v>157</v>
      </c>
      <c r="C7234" s="7" t="s">
        <v>1073</v>
      </c>
      <c r="D7234" s="7" t="n">
        <v>0</v>
      </c>
      <c r="E7234" s="7" t="n">
        <v>0</v>
      </c>
      <c r="F7234" s="7" t="n">
        <v>2</v>
      </c>
      <c r="G7234" s="7" t="n">
        <v>304.92</v>
      </c>
    </row>
    <row r="7235" customFormat="false" ht="15" hidden="false" customHeight="false" outlineLevel="0" collapsed="false">
      <c r="A7235" s="7" t="s">
        <v>24</v>
      </c>
      <c r="B7235" s="7" t="s">
        <v>283</v>
      </c>
      <c r="C7235" s="7" t="s">
        <v>1073</v>
      </c>
      <c r="D7235" s="7" t="n">
        <v>0</v>
      </c>
      <c r="E7235" s="7" t="n">
        <v>0</v>
      </c>
      <c r="F7235" s="7" t="n">
        <v>1</v>
      </c>
      <c r="G7235" s="7" t="n">
        <v>169.41</v>
      </c>
    </row>
    <row r="7236" customFormat="false" ht="15" hidden="false" customHeight="false" outlineLevel="0" collapsed="false">
      <c r="A7236" s="7" t="s">
        <v>24</v>
      </c>
      <c r="B7236" s="7" t="s">
        <v>283</v>
      </c>
      <c r="C7236" s="7" t="s">
        <v>1073</v>
      </c>
      <c r="D7236" s="7" t="n">
        <v>0</v>
      </c>
      <c r="E7236" s="7" t="n">
        <v>0</v>
      </c>
      <c r="F7236" s="7" t="n">
        <v>1</v>
      </c>
      <c r="G7236" s="7" t="n">
        <v>169.4</v>
      </c>
    </row>
    <row r="7237" customFormat="false" ht="15" hidden="false" customHeight="false" outlineLevel="0" collapsed="false">
      <c r="A7237" s="7" t="s">
        <v>24</v>
      </c>
      <c r="B7237" s="7" t="s">
        <v>283</v>
      </c>
      <c r="C7237" s="7" t="s">
        <v>1073</v>
      </c>
      <c r="D7237" s="7" t="n">
        <v>0</v>
      </c>
      <c r="E7237" s="7" t="n">
        <v>0</v>
      </c>
      <c r="F7237" s="7" t="n">
        <v>1</v>
      </c>
      <c r="G7237" s="7" t="n">
        <v>169.41</v>
      </c>
    </row>
    <row r="7238" customFormat="false" ht="15" hidden="false" customHeight="false" outlineLevel="0" collapsed="false">
      <c r="A7238" s="7" t="s">
        <v>24</v>
      </c>
      <c r="B7238" s="7" t="s">
        <v>283</v>
      </c>
      <c r="C7238" s="7" t="s">
        <v>1073</v>
      </c>
      <c r="D7238" s="7" t="n">
        <v>0</v>
      </c>
      <c r="E7238" s="7" t="n">
        <v>0</v>
      </c>
      <c r="F7238" s="7" t="n">
        <v>35</v>
      </c>
      <c r="G7238" s="7" t="n">
        <v>5340.7</v>
      </c>
    </row>
    <row r="7239" customFormat="false" ht="15" hidden="false" customHeight="false" outlineLevel="0" collapsed="false">
      <c r="A7239" s="7" t="s">
        <v>24</v>
      </c>
      <c r="B7239" s="7" t="s">
        <v>283</v>
      </c>
      <c r="C7239" s="7" t="s">
        <v>1073</v>
      </c>
      <c r="D7239" s="7" t="n">
        <v>0</v>
      </c>
      <c r="E7239" s="7" t="n">
        <v>0</v>
      </c>
      <c r="F7239" s="7" t="n">
        <v>1</v>
      </c>
      <c r="G7239" s="7" t="n">
        <v>169.4</v>
      </c>
    </row>
    <row r="7240" customFormat="false" ht="15" hidden="false" customHeight="false" outlineLevel="0" collapsed="false">
      <c r="A7240" s="7" t="s">
        <v>24</v>
      </c>
      <c r="B7240" s="7" t="s">
        <v>283</v>
      </c>
      <c r="C7240" s="7" t="s">
        <v>1073</v>
      </c>
      <c r="D7240" s="7" t="n">
        <v>0</v>
      </c>
      <c r="E7240" s="7" t="n">
        <v>0</v>
      </c>
      <c r="F7240" s="7" t="n">
        <v>2</v>
      </c>
      <c r="G7240" s="7" t="n">
        <v>313.41</v>
      </c>
    </row>
    <row r="7241" customFormat="false" ht="15" hidden="false" customHeight="false" outlineLevel="0" collapsed="false">
      <c r="A7241" s="7" t="s">
        <v>24</v>
      </c>
      <c r="B7241" s="7" t="s">
        <v>283</v>
      </c>
      <c r="C7241" s="7" t="s">
        <v>1073</v>
      </c>
      <c r="D7241" s="7" t="n">
        <v>43</v>
      </c>
      <c r="E7241" s="7" t="n">
        <v>6233.94</v>
      </c>
      <c r="F7241" s="7" t="n">
        <v>7</v>
      </c>
      <c r="G7241" s="7" t="n">
        <v>1084.19</v>
      </c>
    </row>
    <row r="7242" customFormat="false" ht="15" hidden="false" customHeight="false" outlineLevel="0" collapsed="false">
      <c r="A7242" s="7" t="s">
        <v>24</v>
      </c>
      <c r="B7242" s="7" t="s">
        <v>283</v>
      </c>
      <c r="C7242" s="7" t="s">
        <v>1073</v>
      </c>
      <c r="D7242" s="7" t="n">
        <v>0</v>
      </c>
      <c r="E7242" s="7" t="n">
        <v>0</v>
      </c>
      <c r="F7242" s="7" t="n">
        <v>1</v>
      </c>
      <c r="G7242" s="7" t="n">
        <v>169.4</v>
      </c>
    </row>
    <row r="7243" customFormat="false" ht="15" hidden="false" customHeight="false" outlineLevel="0" collapsed="false">
      <c r="A7243" s="7" t="s">
        <v>24</v>
      </c>
      <c r="B7243" s="7" t="s">
        <v>283</v>
      </c>
      <c r="C7243" s="7" t="s">
        <v>1073</v>
      </c>
      <c r="D7243" s="7" t="n">
        <v>24</v>
      </c>
      <c r="E7243" s="7" t="n">
        <v>3004.63</v>
      </c>
      <c r="F7243" s="7" t="n">
        <v>0</v>
      </c>
      <c r="G7243" s="7" t="n">
        <v>0</v>
      </c>
    </row>
    <row r="7244" customFormat="false" ht="15" hidden="false" customHeight="false" outlineLevel="0" collapsed="false">
      <c r="A7244" s="7" t="s">
        <v>24</v>
      </c>
      <c r="B7244" s="7" t="s">
        <v>283</v>
      </c>
      <c r="C7244" s="7" t="s">
        <v>1073</v>
      </c>
      <c r="D7244" s="7" t="n">
        <v>0</v>
      </c>
      <c r="E7244" s="7" t="n">
        <v>0</v>
      </c>
      <c r="F7244" s="7" t="n">
        <v>1</v>
      </c>
      <c r="G7244" s="7" t="n">
        <v>78.61</v>
      </c>
    </row>
    <row r="7245" customFormat="false" ht="15" hidden="false" customHeight="false" outlineLevel="0" collapsed="false">
      <c r="A7245" s="7" t="s">
        <v>24</v>
      </c>
      <c r="B7245" s="7" t="s">
        <v>283</v>
      </c>
      <c r="C7245" s="7" t="s">
        <v>1073</v>
      </c>
      <c r="D7245" s="7" t="n">
        <v>0</v>
      </c>
      <c r="E7245" s="7" t="n">
        <v>0</v>
      </c>
      <c r="F7245" s="7" t="n">
        <v>1</v>
      </c>
      <c r="G7245" s="7" t="n">
        <v>135.52</v>
      </c>
    </row>
    <row r="7246" customFormat="false" ht="15" hidden="false" customHeight="false" outlineLevel="0" collapsed="false">
      <c r="A7246" s="7" t="s">
        <v>24</v>
      </c>
      <c r="B7246" s="7" t="s">
        <v>283</v>
      </c>
      <c r="C7246" s="7" t="s">
        <v>1073</v>
      </c>
      <c r="D7246" s="7" t="n">
        <v>11</v>
      </c>
      <c r="E7246" s="7" t="n">
        <v>1413.16</v>
      </c>
      <c r="F7246" s="7" t="n">
        <v>0</v>
      </c>
      <c r="G7246" s="7" t="n">
        <v>0</v>
      </c>
    </row>
    <row r="7247" customFormat="false" ht="15" hidden="false" customHeight="false" outlineLevel="0" collapsed="false">
      <c r="A7247" s="7" t="s">
        <v>24</v>
      </c>
      <c r="B7247" s="7" t="s">
        <v>283</v>
      </c>
      <c r="C7247" s="7" t="s">
        <v>1073</v>
      </c>
      <c r="D7247" s="7" t="n">
        <v>0</v>
      </c>
      <c r="E7247" s="7" t="n">
        <v>0</v>
      </c>
      <c r="F7247" s="7" t="n">
        <v>1</v>
      </c>
      <c r="G7247" s="7" t="n">
        <v>144</v>
      </c>
    </row>
    <row r="7248" customFormat="false" ht="15" hidden="false" customHeight="false" outlineLevel="0" collapsed="false">
      <c r="A7248" s="7" t="s">
        <v>24</v>
      </c>
      <c r="B7248" s="7" t="s">
        <v>283</v>
      </c>
      <c r="C7248" s="7" t="s">
        <v>1073</v>
      </c>
      <c r="D7248" s="7" t="n">
        <v>0</v>
      </c>
      <c r="E7248" s="7" t="n">
        <v>0</v>
      </c>
      <c r="F7248" s="7" t="n">
        <v>1</v>
      </c>
      <c r="G7248" s="7" t="n">
        <v>135.53</v>
      </c>
    </row>
    <row r="7249" customFormat="false" ht="15" hidden="false" customHeight="false" outlineLevel="0" collapsed="false">
      <c r="A7249" s="7" t="s">
        <v>24</v>
      </c>
      <c r="B7249" s="7" t="s">
        <v>283</v>
      </c>
      <c r="C7249" s="7" t="s">
        <v>1073</v>
      </c>
      <c r="D7249" s="7" t="n">
        <v>0</v>
      </c>
      <c r="E7249" s="7" t="n">
        <v>0</v>
      </c>
      <c r="F7249" s="7" t="n">
        <v>1</v>
      </c>
      <c r="G7249" s="7" t="n">
        <v>169.4</v>
      </c>
    </row>
    <row r="7250" customFormat="false" ht="15" hidden="false" customHeight="false" outlineLevel="0" collapsed="false">
      <c r="A7250" s="7" t="s">
        <v>24</v>
      </c>
      <c r="B7250" s="7" t="s">
        <v>283</v>
      </c>
      <c r="C7250" s="7" t="s">
        <v>1073</v>
      </c>
      <c r="D7250" s="7" t="n">
        <v>0</v>
      </c>
      <c r="E7250" s="7" t="n">
        <v>0</v>
      </c>
      <c r="F7250" s="7" t="n">
        <v>2</v>
      </c>
      <c r="G7250" s="7" t="n">
        <v>287.98</v>
      </c>
    </row>
    <row r="7251" customFormat="false" ht="15" hidden="false" customHeight="false" outlineLevel="0" collapsed="false">
      <c r="A7251" s="7" t="s">
        <v>24</v>
      </c>
      <c r="B7251" s="7" t="s">
        <v>283</v>
      </c>
      <c r="C7251" s="7" t="s">
        <v>1073</v>
      </c>
      <c r="D7251" s="7" t="n">
        <v>0</v>
      </c>
      <c r="E7251" s="7" t="n">
        <v>0</v>
      </c>
      <c r="F7251" s="7" t="n">
        <v>1</v>
      </c>
      <c r="G7251" s="7" t="n">
        <v>144</v>
      </c>
    </row>
    <row r="7252" customFormat="false" ht="15" hidden="false" customHeight="false" outlineLevel="0" collapsed="false">
      <c r="A7252" s="7" t="s">
        <v>24</v>
      </c>
      <c r="B7252" s="7" t="s">
        <v>283</v>
      </c>
      <c r="C7252" s="7" t="s">
        <v>1073</v>
      </c>
      <c r="D7252" s="7" t="n">
        <v>0</v>
      </c>
      <c r="E7252" s="7" t="n">
        <v>0</v>
      </c>
      <c r="F7252" s="7" t="n">
        <v>1</v>
      </c>
      <c r="G7252" s="7" t="n">
        <v>169.41</v>
      </c>
    </row>
    <row r="7253" customFormat="false" ht="15" hidden="false" customHeight="false" outlineLevel="0" collapsed="false">
      <c r="A7253" s="7" t="s">
        <v>24</v>
      </c>
      <c r="B7253" s="7" t="s">
        <v>283</v>
      </c>
      <c r="C7253" s="7" t="s">
        <v>1073</v>
      </c>
      <c r="D7253" s="7" t="n">
        <v>0</v>
      </c>
      <c r="E7253" s="7" t="n">
        <v>0</v>
      </c>
      <c r="F7253" s="7" t="n">
        <v>2</v>
      </c>
      <c r="G7253" s="7" t="n">
        <v>304.93</v>
      </c>
    </row>
    <row r="7254" customFormat="false" ht="15" hidden="false" customHeight="false" outlineLevel="0" collapsed="false">
      <c r="A7254" s="7" t="s">
        <v>24</v>
      </c>
      <c r="B7254" s="7" t="s">
        <v>283</v>
      </c>
      <c r="C7254" s="7" t="s">
        <v>1073</v>
      </c>
      <c r="D7254" s="7" t="n">
        <v>0</v>
      </c>
      <c r="E7254" s="7" t="n">
        <v>0</v>
      </c>
      <c r="F7254" s="7" t="n">
        <v>1</v>
      </c>
      <c r="G7254" s="7" t="n">
        <v>169.41</v>
      </c>
    </row>
    <row r="7255" customFormat="false" ht="15" hidden="false" customHeight="false" outlineLevel="0" collapsed="false">
      <c r="A7255" s="7" t="s">
        <v>24</v>
      </c>
      <c r="B7255" s="7" t="s">
        <v>283</v>
      </c>
      <c r="C7255" s="7" t="s">
        <v>1073</v>
      </c>
      <c r="D7255" s="7" t="n">
        <v>0</v>
      </c>
      <c r="E7255" s="7" t="n">
        <v>0</v>
      </c>
      <c r="F7255" s="7" t="n">
        <v>1</v>
      </c>
      <c r="G7255" s="7" t="n">
        <v>169.41</v>
      </c>
    </row>
    <row r="7256" customFormat="false" ht="15" hidden="false" customHeight="false" outlineLevel="0" collapsed="false">
      <c r="A7256" s="7" t="s">
        <v>24</v>
      </c>
      <c r="B7256" s="7" t="s">
        <v>283</v>
      </c>
      <c r="C7256" s="7" t="s">
        <v>1073</v>
      </c>
      <c r="D7256" s="7" t="n">
        <v>0</v>
      </c>
      <c r="E7256" s="7" t="n">
        <v>0</v>
      </c>
      <c r="F7256" s="7" t="n">
        <v>1</v>
      </c>
      <c r="G7256" s="7" t="n">
        <v>169.4</v>
      </c>
    </row>
    <row r="7257" customFormat="false" ht="15" hidden="false" customHeight="false" outlineLevel="0" collapsed="false">
      <c r="A7257" s="7" t="s">
        <v>24</v>
      </c>
      <c r="B7257" s="7" t="s">
        <v>151</v>
      </c>
      <c r="C7257" s="7" t="s">
        <v>1073</v>
      </c>
      <c r="D7257" s="7" t="n">
        <v>0</v>
      </c>
      <c r="E7257" s="7" t="n">
        <v>0</v>
      </c>
      <c r="F7257" s="7" t="n">
        <v>1</v>
      </c>
      <c r="G7257" s="7" t="n">
        <v>169.41</v>
      </c>
    </row>
    <row r="7258" customFormat="false" ht="15" hidden="false" customHeight="false" outlineLevel="0" collapsed="false">
      <c r="A7258" s="7" t="s">
        <v>24</v>
      </c>
      <c r="B7258" s="7" t="s">
        <v>151</v>
      </c>
      <c r="C7258" s="7" t="s">
        <v>1073</v>
      </c>
      <c r="D7258" s="7" t="n">
        <v>0</v>
      </c>
      <c r="E7258" s="7" t="n">
        <v>0</v>
      </c>
      <c r="F7258" s="7" t="n">
        <v>1</v>
      </c>
      <c r="G7258" s="7" t="n">
        <v>169.41</v>
      </c>
    </row>
    <row r="7259" customFormat="false" ht="15" hidden="false" customHeight="false" outlineLevel="0" collapsed="false">
      <c r="A7259" s="7" t="s">
        <v>24</v>
      </c>
      <c r="B7259" s="7" t="s">
        <v>151</v>
      </c>
      <c r="C7259" s="7" t="s">
        <v>1073</v>
      </c>
      <c r="D7259" s="7" t="n">
        <v>0</v>
      </c>
      <c r="E7259" s="7" t="n">
        <v>0</v>
      </c>
      <c r="F7259" s="7" t="n">
        <v>38</v>
      </c>
      <c r="G7259" s="7" t="n">
        <v>5568.41</v>
      </c>
    </row>
    <row r="7260" customFormat="false" ht="15" hidden="false" customHeight="false" outlineLevel="0" collapsed="false">
      <c r="A7260" s="7" t="s">
        <v>24</v>
      </c>
      <c r="B7260" s="7" t="s">
        <v>151</v>
      </c>
      <c r="C7260" s="7" t="s">
        <v>1073</v>
      </c>
      <c r="D7260" s="7" t="n">
        <v>3</v>
      </c>
      <c r="E7260" s="7" t="n">
        <v>0.03</v>
      </c>
      <c r="F7260" s="7" t="n">
        <v>0</v>
      </c>
      <c r="G7260" s="7" t="n">
        <v>0</v>
      </c>
    </row>
    <row r="7261" customFormat="false" ht="15" hidden="false" customHeight="false" outlineLevel="0" collapsed="false">
      <c r="A7261" s="7" t="s">
        <v>24</v>
      </c>
      <c r="B7261" s="7" t="s">
        <v>151</v>
      </c>
      <c r="C7261" s="7" t="s">
        <v>1073</v>
      </c>
      <c r="D7261" s="7" t="n">
        <v>0</v>
      </c>
      <c r="E7261" s="7" t="n">
        <v>0</v>
      </c>
      <c r="F7261" s="7" t="n">
        <v>1</v>
      </c>
      <c r="G7261" s="7" t="n">
        <v>129.75</v>
      </c>
    </row>
    <row r="7262" customFormat="false" ht="15" hidden="false" customHeight="false" outlineLevel="0" collapsed="false">
      <c r="A7262" s="7" t="s">
        <v>24</v>
      </c>
      <c r="B7262" s="7" t="s">
        <v>151</v>
      </c>
      <c r="C7262" s="7" t="s">
        <v>1073</v>
      </c>
      <c r="D7262" s="7" t="n">
        <v>0</v>
      </c>
      <c r="E7262" s="7" t="n">
        <v>0</v>
      </c>
      <c r="F7262" s="7" t="n">
        <v>1</v>
      </c>
      <c r="G7262" s="7" t="n">
        <v>135.53</v>
      </c>
    </row>
    <row r="7263" customFormat="false" ht="15" hidden="false" customHeight="false" outlineLevel="0" collapsed="false">
      <c r="A7263" s="7" t="s">
        <v>24</v>
      </c>
      <c r="B7263" s="7" t="s">
        <v>151</v>
      </c>
      <c r="C7263" s="7" t="s">
        <v>1073</v>
      </c>
      <c r="D7263" s="7" t="n">
        <v>0</v>
      </c>
      <c r="E7263" s="7" t="n">
        <v>0</v>
      </c>
      <c r="F7263" s="7" t="n">
        <v>1</v>
      </c>
      <c r="G7263" s="7" t="n">
        <v>135.52</v>
      </c>
    </row>
    <row r="7264" customFormat="false" ht="15" hidden="false" customHeight="false" outlineLevel="0" collapsed="false">
      <c r="A7264" s="7" t="s">
        <v>24</v>
      </c>
      <c r="B7264" s="7" t="s">
        <v>151</v>
      </c>
      <c r="C7264" s="7" t="s">
        <v>1073</v>
      </c>
      <c r="D7264" s="7" t="n">
        <v>0</v>
      </c>
      <c r="E7264" s="7" t="n">
        <v>0</v>
      </c>
      <c r="F7264" s="7" t="n">
        <v>1</v>
      </c>
      <c r="G7264" s="7" t="n">
        <v>169.41</v>
      </c>
    </row>
    <row r="7265" customFormat="false" ht="15" hidden="false" customHeight="false" outlineLevel="0" collapsed="false">
      <c r="A7265" s="7" t="s">
        <v>24</v>
      </c>
      <c r="B7265" s="7" t="s">
        <v>151</v>
      </c>
      <c r="C7265" s="7" t="s">
        <v>1073</v>
      </c>
      <c r="D7265" s="7" t="n">
        <v>0</v>
      </c>
      <c r="E7265" s="7" t="n">
        <v>0</v>
      </c>
      <c r="F7265" s="7" t="n">
        <v>1</v>
      </c>
      <c r="G7265" s="7" t="n">
        <v>152.47</v>
      </c>
    </row>
    <row r="7266" customFormat="false" ht="15" hidden="false" customHeight="false" outlineLevel="0" collapsed="false">
      <c r="A7266" s="7" t="s">
        <v>24</v>
      </c>
      <c r="B7266" s="7" t="s">
        <v>151</v>
      </c>
      <c r="C7266" s="7" t="s">
        <v>1073</v>
      </c>
      <c r="D7266" s="7" t="n">
        <v>0</v>
      </c>
      <c r="E7266" s="7" t="n">
        <v>0</v>
      </c>
      <c r="F7266" s="7" t="n">
        <v>1</v>
      </c>
      <c r="G7266" s="7" t="n">
        <v>152.47</v>
      </c>
    </row>
    <row r="7267" customFormat="false" ht="15" hidden="false" customHeight="false" outlineLevel="0" collapsed="false">
      <c r="A7267" s="7" t="s">
        <v>24</v>
      </c>
      <c r="B7267" s="7" t="s">
        <v>151</v>
      </c>
      <c r="C7267" s="7" t="s">
        <v>1073</v>
      </c>
      <c r="D7267" s="7" t="n">
        <v>39</v>
      </c>
      <c r="E7267" s="7" t="n">
        <v>4856.33</v>
      </c>
      <c r="F7267" s="7" t="n">
        <v>0</v>
      </c>
      <c r="G7267" s="7" t="n">
        <v>0</v>
      </c>
    </row>
    <row r="7268" customFormat="false" ht="15" hidden="false" customHeight="false" outlineLevel="0" collapsed="false">
      <c r="A7268" s="7" t="s">
        <v>24</v>
      </c>
      <c r="B7268" s="7" t="s">
        <v>151</v>
      </c>
      <c r="C7268" s="7" t="s">
        <v>1073</v>
      </c>
      <c r="D7268" s="7" t="n">
        <v>0</v>
      </c>
      <c r="E7268" s="7" t="n">
        <v>0</v>
      </c>
      <c r="F7268" s="7" t="n">
        <v>1</v>
      </c>
      <c r="G7268" s="7" t="n">
        <v>135.53</v>
      </c>
    </row>
    <row r="7269" customFormat="false" ht="15" hidden="false" customHeight="false" outlineLevel="0" collapsed="false">
      <c r="A7269" s="7" t="s">
        <v>24</v>
      </c>
      <c r="B7269" s="7" t="s">
        <v>151</v>
      </c>
      <c r="C7269" s="7" t="s">
        <v>1073</v>
      </c>
      <c r="D7269" s="7" t="n">
        <v>0</v>
      </c>
      <c r="E7269" s="7" t="n">
        <v>0</v>
      </c>
      <c r="F7269" s="7" t="n">
        <v>1</v>
      </c>
      <c r="G7269" s="7" t="n">
        <v>152.47</v>
      </c>
    </row>
    <row r="7270" customFormat="false" ht="15" hidden="false" customHeight="false" outlineLevel="0" collapsed="false">
      <c r="A7270" s="7" t="s">
        <v>24</v>
      </c>
      <c r="B7270" s="7" t="s">
        <v>151</v>
      </c>
      <c r="C7270" s="7" t="s">
        <v>1073</v>
      </c>
      <c r="D7270" s="7" t="n">
        <v>43</v>
      </c>
      <c r="E7270" s="7" t="n">
        <v>6140.76</v>
      </c>
      <c r="F7270" s="7" t="n">
        <v>20</v>
      </c>
      <c r="G7270" s="7" t="n">
        <v>2998.41</v>
      </c>
    </row>
    <row r="7271" customFormat="false" ht="15" hidden="false" customHeight="false" outlineLevel="0" collapsed="false">
      <c r="A7271" s="7" t="s">
        <v>24</v>
      </c>
      <c r="B7271" s="7" t="s">
        <v>151</v>
      </c>
      <c r="C7271" s="7" t="s">
        <v>1073</v>
      </c>
      <c r="D7271" s="7" t="n">
        <v>0</v>
      </c>
      <c r="E7271" s="7" t="n">
        <v>0</v>
      </c>
      <c r="F7271" s="7" t="n">
        <v>1</v>
      </c>
      <c r="G7271" s="7" t="n">
        <v>152.47</v>
      </c>
    </row>
    <row r="7272" customFormat="false" ht="15" hidden="false" customHeight="false" outlineLevel="0" collapsed="false">
      <c r="A7272" s="7" t="s">
        <v>24</v>
      </c>
      <c r="B7272" s="7" t="s">
        <v>151</v>
      </c>
      <c r="C7272" s="7" t="s">
        <v>1073</v>
      </c>
      <c r="D7272" s="7" t="n">
        <v>0</v>
      </c>
      <c r="E7272" s="7" t="n">
        <v>0</v>
      </c>
      <c r="F7272" s="7" t="n">
        <v>1</v>
      </c>
      <c r="G7272" s="7" t="n">
        <v>169.41</v>
      </c>
    </row>
    <row r="7273" customFormat="false" ht="15" hidden="false" customHeight="false" outlineLevel="0" collapsed="false">
      <c r="A7273" s="7" t="s">
        <v>24</v>
      </c>
      <c r="B7273" s="7" t="s">
        <v>151</v>
      </c>
      <c r="C7273" s="7" t="s">
        <v>1073</v>
      </c>
      <c r="D7273" s="7" t="n">
        <v>31</v>
      </c>
      <c r="E7273" s="7" t="n">
        <v>3766.14</v>
      </c>
      <c r="F7273" s="7" t="n">
        <v>0</v>
      </c>
      <c r="G7273" s="7" t="n">
        <v>0</v>
      </c>
    </row>
    <row r="7274" customFormat="false" ht="15" hidden="false" customHeight="false" outlineLevel="0" collapsed="false">
      <c r="A7274" s="7" t="s">
        <v>24</v>
      </c>
      <c r="B7274" s="7" t="s">
        <v>151</v>
      </c>
      <c r="C7274" s="7" t="s">
        <v>1073</v>
      </c>
      <c r="D7274" s="7" t="n">
        <v>0</v>
      </c>
      <c r="E7274" s="7" t="n">
        <v>0</v>
      </c>
      <c r="F7274" s="7" t="n">
        <v>1</v>
      </c>
      <c r="G7274" s="7" t="n">
        <v>169.41</v>
      </c>
    </row>
    <row r="7275" customFormat="false" ht="15" hidden="false" customHeight="false" outlineLevel="0" collapsed="false">
      <c r="A7275" s="7" t="s">
        <v>24</v>
      </c>
      <c r="B7275" s="7" t="s">
        <v>151</v>
      </c>
      <c r="C7275" s="7" t="s">
        <v>1073</v>
      </c>
      <c r="D7275" s="7" t="n">
        <v>0</v>
      </c>
      <c r="E7275" s="7" t="n">
        <v>0</v>
      </c>
      <c r="F7275" s="7" t="n">
        <v>1</v>
      </c>
      <c r="G7275" s="7" t="n">
        <v>135.53</v>
      </c>
    </row>
    <row r="7276" customFormat="false" ht="15" hidden="false" customHeight="false" outlineLevel="0" collapsed="false">
      <c r="A7276" s="7" t="s">
        <v>24</v>
      </c>
      <c r="B7276" s="7" t="s">
        <v>151</v>
      </c>
      <c r="C7276" s="7" t="s">
        <v>1073</v>
      </c>
      <c r="D7276" s="7" t="n">
        <v>0</v>
      </c>
      <c r="E7276" s="7" t="n">
        <v>0</v>
      </c>
      <c r="F7276" s="7" t="n">
        <v>2</v>
      </c>
      <c r="G7276" s="7" t="n">
        <v>296.47</v>
      </c>
    </row>
    <row r="7277" customFormat="false" ht="15" hidden="false" customHeight="false" outlineLevel="0" collapsed="false">
      <c r="A7277" s="7" t="s">
        <v>24</v>
      </c>
      <c r="B7277" s="7" t="s">
        <v>151</v>
      </c>
      <c r="C7277" s="7" t="s">
        <v>1073</v>
      </c>
      <c r="D7277" s="7" t="n">
        <v>0</v>
      </c>
      <c r="E7277" s="7" t="n">
        <v>0</v>
      </c>
      <c r="F7277" s="7" t="n">
        <v>1</v>
      </c>
      <c r="G7277" s="7" t="n">
        <v>135.53</v>
      </c>
    </row>
    <row r="7278" customFormat="false" ht="15" hidden="false" customHeight="false" outlineLevel="0" collapsed="false">
      <c r="A7278" s="7" t="s">
        <v>24</v>
      </c>
      <c r="B7278" s="7" t="s">
        <v>151</v>
      </c>
      <c r="C7278" s="7" t="s">
        <v>1073</v>
      </c>
      <c r="D7278" s="7" t="n">
        <v>0</v>
      </c>
      <c r="E7278" s="7" t="n">
        <v>0</v>
      </c>
      <c r="F7278" s="7" t="n">
        <v>1</v>
      </c>
      <c r="G7278" s="7" t="n">
        <v>152.47</v>
      </c>
    </row>
    <row r="7279" customFormat="false" ht="15" hidden="false" customHeight="false" outlineLevel="0" collapsed="false">
      <c r="A7279" s="7" t="s">
        <v>24</v>
      </c>
      <c r="B7279" s="7" t="s">
        <v>151</v>
      </c>
      <c r="C7279" s="7" t="s">
        <v>1073</v>
      </c>
      <c r="D7279" s="7" t="n">
        <v>0</v>
      </c>
      <c r="E7279" s="7" t="n">
        <v>0</v>
      </c>
      <c r="F7279" s="7" t="n">
        <v>1</v>
      </c>
      <c r="G7279" s="7" t="n">
        <v>169.4</v>
      </c>
    </row>
    <row r="7280" customFormat="false" ht="15" hidden="false" customHeight="false" outlineLevel="0" collapsed="false">
      <c r="A7280" s="7" t="s">
        <v>24</v>
      </c>
      <c r="B7280" s="7" t="s">
        <v>151</v>
      </c>
      <c r="C7280" s="7" t="s">
        <v>1073</v>
      </c>
      <c r="D7280" s="7" t="n">
        <v>1</v>
      </c>
      <c r="E7280" s="7" t="n">
        <v>112.6</v>
      </c>
      <c r="F7280" s="7" t="n">
        <v>0</v>
      </c>
      <c r="G7280" s="7" t="n">
        <v>0</v>
      </c>
    </row>
    <row r="7281" customFormat="false" ht="15" hidden="false" customHeight="false" outlineLevel="0" collapsed="false">
      <c r="A7281" s="7" t="s">
        <v>24</v>
      </c>
      <c r="B7281" s="7" t="s">
        <v>151</v>
      </c>
      <c r="C7281" s="7" t="s">
        <v>1073</v>
      </c>
      <c r="D7281" s="7" t="n">
        <v>0</v>
      </c>
      <c r="E7281" s="7" t="n">
        <v>0</v>
      </c>
      <c r="F7281" s="7" t="n">
        <v>1</v>
      </c>
      <c r="G7281" s="7" t="n">
        <v>135.52</v>
      </c>
    </row>
    <row r="7282" customFormat="false" ht="15" hidden="false" customHeight="false" outlineLevel="0" collapsed="false">
      <c r="A7282" s="7" t="s">
        <v>24</v>
      </c>
      <c r="B7282" s="7" t="s">
        <v>303</v>
      </c>
      <c r="C7282" s="7" t="s">
        <v>1124</v>
      </c>
      <c r="D7282" s="7" t="n">
        <v>6</v>
      </c>
      <c r="E7282" s="7" t="n">
        <v>796.18</v>
      </c>
      <c r="F7282" s="7" t="n">
        <v>2</v>
      </c>
      <c r="G7282" s="7" t="n">
        <v>304.92</v>
      </c>
    </row>
    <row r="7283" customFormat="false" ht="15" hidden="false" customHeight="false" outlineLevel="0" collapsed="false">
      <c r="A7283" s="7" t="s">
        <v>24</v>
      </c>
      <c r="B7283" s="7" t="s">
        <v>303</v>
      </c>
      <c r="C7283" s="7" t="s">
        <v>1124</v>
      </c>
      <c r="D7283" s="7" t="n">
        <v>0</v>
      </c>
      <c r="E7283" s="7" t="n">
        <v>0</v>
      </c>
      <c r="F7283" s="7" t="n">
        <v>1</v>
      </c>
      <c r="G7283" s="7" t="n">
        <v>135.53</v>
      </c>
    </row>
    <row r="7284" customFormat="false" ht="15" hidden="false" customHeight="false" outlineLevel="0" collapsed="false">
      <c r="A7284" s="7" t="s">
        <v>24</v>
      </c>
      <c r="B7284" s="7" t="s">
        <v>303</v>
      </c>
      <c r="C7284" s="7" t="s">
        <v>1124</v>
      </c>
      <c r="D7284" s="7" t="n">
        <v>0</v>
      </c>
      <c r="E7284" s="7" t="n">
        <v>0</v>
      </c>
      <c r="F7284" s="7" t="n">
        <v>1</v>
      </c>
      <c r="G7284" s="7" t="n">
        <v>135.53</v>
      </c>
    </row>
    <row r="7285" customFormat="false" ht="15" hidden="false" customHeight="false" outlineLevel="0" collapsed="false">
      <c r="A7285" s="7" t="s">
        <v>24</v>
      </c>
      <c r="B7285" s="7" t="s">
        <v>303</v>
      </c>
      <c r="C7285" s="7" t="s">
        <v>1124</v>
      </c>
      <c r="D7285" s="7" t="n">
        <v>0</v>
      </c>
      <c r="E7285" s="7" t="n">
        <v>0</v>
      </c>
      <c r="F7285" s="7" t="n">
        <v>1</v>
      </c>
      <c r="G7285" s="7" t="n">
        <v>152.46</v>
      </c>
    </row>
    <row r="7286" customFormat="false" ht="15" hidden="false" customHeight="false" outlineLevel="0" collapsed="false">
      <c r="A7286" s="7" t="s">
        <v>24</v>
      </c>
      <c r="B7286" s="7" t="s">
        <v>303</v>
      </c>
      <c r="C7286" s="7" t="s">
        <v>1124</v>
      </c>
      <c r="D7286" s="7" t="n">
        <v>0</v>
      </c>
      <c r="E7286" s="7" t="n">
        <v>0</v>
      </c>
      <c r="F7286" s="7" t="n">
        <v>1</v>
      </c>
      <c r="G7286" s="7" t="n">
        <v>169.41</v>
      </c>
    </row>
    <row r="7287" customFormat="false" ht="15" hidden="false" customHeight="false" outlineLevel="0" collapsed="false">
      <c r="A7287" s="7" t="s">
        <v>24</v>
      </c>
      <c r="B7287" s="7" t="s">
        <v>303</v>
      </c>
      <c r="C7287" s="7" t="s">
        <v>1124</v>
      </c>
      <c r="D7287" s="7" t="n">
        <v>0</v>
      </c>
      <c r="E7287" s="7" t="n">
        <v>0</v>
      </c>
      <c r="F7287" s="7" t="n">
        <v>1</v>
      </c>
      <c r="G7287" s="7" t="n">
        <v>135.53</v>
      </c>
    </row>
    <row r="7288" customFormat="false" ht="15" hidden="false" customHeight="false" outlineLevel="0" collapsed="false">
      <c r="A7288" s="7" t="s">
        <v>24</v>
      </c>
      <c r="B7288" s="7" t="s">
        <v>303</v>
      </c>
      <c r="C7288" s="7" t="s">
        <v>1124</v>
      </c>
      <c r="D7288" s="7" t="n">
        <v>3</v>
      </c>
      <c r="E7288" s="7" t="n">
        <v>370.44</v>
      </c>
      <c r="F7288" s="7" t="n">
        <v>0</v>
      </c>
      <c r="G7288" s="7" t="n">
        <v>0</v>
      </c>
    </row>
    <row r="7289" customFormat="false" ht="15" hidden="false" customHeight="false" outlineLevel="0" collapsed="false">
      <c r="A7289" s="7" t="s">
        <v>24</v>
      </c>
      <c r="B7289" s="7" t="s">
        <v>303</v>
      </c>
      <c r="C7289" s="7" t="s">
        <v>1124</v>
      </c>
      <c r="D7289" s="7" t="n">
        <v>12</v>
      </c>
      <c r="E7289" s="7" t="n">
        <v>1593.15</v>
      </c>
      <c r="F7289" s="7" t="n">
        <v>0</v>
      </c>
      <c r="G7289" s="7" t="n">
        <v>0</v>
      </c>
    </row>
    <row r="7290" customFormat="false" ht="15" hidden="false" customHeight="false" outlineLevel="0" collapsed="false">
      <c r="A7290" s="7" t="s">
        <v>24</v>
      </c>
      <c r="B7290" s="7" t="s">
        <v>303</v>
      </c>
      <c r="C7290" s="7" t="s">
        <v>1124</v>
      </c>
      <c r="D7290" s="7" t="n">
        <v>0</v>
      </c>
      <c r="E7290" s="7" t="n">
        <v>0</v>
      </c>
      <c r="F7290" s="7" t="n">
        <v>5</v>
      </c>
      <c r="G7290" s="7" t="n">
        <v>703.06</v>
      </c>
    </row>
    <row r="7291" customFormat="false" ht="15" hidden="false" customHeight="false" outlineLevel="0" collapsed="false">
      <c r="A7291" s="7" t="s">
        <v>24</v>
      </c>
      <c r="B7291" s="7" t="s">
        <v>303</v>
      </c>
      <c r="C7291" s="7" t="s">
        <v>1124</v>
      </c>
      <c r="D7291" s="7" t="n">
        <v>0</v>
      </c>
      <c r="E7291" s="7" t="n">
        <v>0</v>
      </c>
      <c r="F7291" s="7" t="n">
        <v>1</v>
      </c>
      <c r="G7291" s="7" t="n">
        <v>135.53</v>
      </c>
    </row>
    <row r="7292" customFormat="false" ht="15" hidden="false" customHeight="false" outlineLevel="0" collapsed="false">
      <c r="A7292" s="7" t="s">
        <v>24</v>
      </c>
      <c r="B7292" s="7" t="s">
        <v>295</v>
      </c>
      <c r="C7292" s="7" t="s">
        <v>1124</v>
      </c>
      <c r="D7292" s="7" t="n">
        <v>0</v>
      </c>
      <c r="E7292" s="7" t="n">
        <v>0</v>
      </c>
      <c r="F7292" s="7" t="n">
        <v>1</v>
      </c>
      <c r="G7292" s="7" t="n">
        <v>152.47</v>
      </c>
    </row>
    <row r="7293" customFormat="false" ht="15" hidden="false" customHeight="false" outlineLevel="0" collapsed="false">
      <c r="A7293" s="7" t="s">
        <v>24</v>
      </c>
      <c r="B7293" s="7" t="s">
        <v>295</v>
      </c>
      <c r="C7293" s="7" t="s">
        <v>1124</v>
      </c>
      <c r="D7293" s="7" t="n">
        <v>0</v>
      </c>
      <c r="E7293" s="7" t="n">
        <v>0</v>
      </c>
      <c r="F7293" s="7" t="n">
        <v>1</v>
      </c>
      <c r="G7293" s="7" t="n">
        <v>135.53</v>
      </c>
    </row>
    <row r="7294" customFormat="false" ht="15" hidden="false" customHeight="false" outlineLevel="0" collapsed="false">
      <c r="A7294" s="7" t="s">
        <v>24</v>
      </c>
      <c r="B7294" s="7" t="s">
        <v>295</v>
      </c>
      <c r="C7294" s="7" t="s">
        <v>1124</v>
      </c>
      <c r="D7294" s="7" t="n">
        <v>0</v>
      </c>
      <c r="E7294" s="7" t="n">
        <v>0</v>
      </c>
      <c r="F7294" s="7" t="n">
        <v>1</v>
      </c>
      <c r="G7294" s="7" t="n">
        <v>135.53</v>
      </c>
    </row>
    <row r="7295" customFormat="false" ht="15" hidden="false" customHeight="false" outlineLevel="0" collapsed="false">
      <c r="A7295" s="7" t="s">
        <v>24</v>
      </c>
      <c r="B7295" s="7" t="s">
        <v>295</v>
      </c>
      <c r="C7295" s="7" t="s">
        <v>1124</v>
      </c>
      <c r="D7295" s="7" t="n">
        <v>0</v>
      </c>
      <c r="E7295" s="7" t="n">
        <v>0</v>
      </c>
      <c r="F7295" s="7" t="n">
        <v>1</v>
      </c>
      <c r="G7295" s="7" t="n">
        <v>135.52</v>
      </c>
    </row>
    <row r="7296" customFormat="false" ht="15" hidden="false" customHeight="false" outlineLevel="0" collapsed="false">
      <c r="A7296" s="7" t="s">
        <v>24</v>
      </c>
      <c r="B7296" s="7" t="s">
        <v>295</v>
      </c>
      <c r="C7296" s="7" t="s">
        <v>1124</v>
      </c>
      <c r="D7296" s="7" t="n">
        <v>0</v>
      </c>
      <c r="E7296" s="7" t="n">
        <v>0</v>
      </c>
      <c r="F7296" s="7" t="n">
        <v>10</v>
      </c>
      <c r="G7296" s="7" t="n">
        <v>1549.6</v>
      </c>
    </row>
    <row r="7297" customFormat="false" ht="15" hidden="false" customHeight="false" outlineLevel="0" collapsed="false">
      <c r="A7297" s="7" t="s">
        <v>24</v>
      </c>
      <c r="B7297" s="7" t="s">
        <v>295</v>
      </c>
      <c r="C7297" s="7" t="s">
        <v>1124</v>
      </c>
      <c r="D7297" s="7" t="n">
        <v>10</v>
      </c>
      <c r="E7297" s="7" t="n">
        <v>1422.97</v>
      </c>
      <c r="F7297" s="7" t="n">
        <v>4</v>
      </c>
      <c r="G7297" s="7" t="n">
        <v>626.79</v>
      </c>
    </row>
    <row r="7298" customFormat="false" ht="15" hidden="false" customHeight="false" outlineLevel="0" collapsed="false">
      <c r="A7298" s="7" t="s">
        <v>24</v>
      </c>
      <c r="B7298" s="7" t="s">
        <v>295</v>
      </c>
      <c r="C7298" s="7" t="s">
        <v>1124</v>
      </c>
      <c r="D7298" s="7" t="n">
        <v>0</v>
      </c>
      <c r="E7298" s="7" t="n">
        <v>0</v>
      </c>
      <c r="F7298" s="7" t="n">
        <v>1</v>
      </c>
      <c r="G7298" s="7" t="n">
        <v>169.41</v>
      </c>
    </row>
    <row r="7299" customFormat="false" ht="15" hidden="false" customHeight="false" outlineLevel="0" collapsed="false">
      <c r="A7299" s="7" t="s">
        <v>24</v>
      </c>
      <c r="B7299" s="7" t="s">
        <v>295</v>
      </c>
      <c r="C7299" s="7" t="s">
        <v>1124</v>
      </c>
      <c r="D7299" s="7" t="n">
        <v>0</v>
      </c>
      <c r="E7299" s="7" t="n">
        <v>0</v>
      </c>
      <c r="F7299" s="7" t="n">
        <v>1</v>
      </c>
      <c r="G7299" s="7" t="n">
        <v>135.52</v>
      </c>
    </row>
    <row r="7300" customFormat="false" ht="15" hidden="false" customHeight="false" outlineLevel="0" collapsed="false">
      <c r="A7300" s="7" t="s">
        <v>24</v>
      </c>
      <c r="B7300" s="7" t="s">
        <v>295</v>
      </c>
      <c r="C7300" s="7" t="s">
        <v>1124</v>
      </c>
      <c r="D7300" s="7" t="n">
        <v>0</v>
      </c>
      <c r="E7300" s="7" t="n">
        <v>0</v>
      </c>
      <c r="F7300" s="7" t="n">
        <v>1</v>
      </c>
      <c r="G7300" s="7" t="n">
        <v>135.53</v>
      </c>
    </row>
    <row r="7301" customFormat="false" ht="15" hidden="false" customHeight="false" outlineLevel="0" collapsed="false">
      <c r="A7301" s="7" t="s">
        <v>24</v>
      </c>
      <c r="B7301" s="7" t="s">
        <v>295</v>
      </c>
      <c r="C7301" s="7" t="s">
        <v>1124</v>
      </c>
      <c r="D7301" s="7" t="n">
        <v>0</v>
      </c>
      <c r="E7301" s="7" t="n">
        <v>0</v>
      </c>
      <c r="F7301" s="7" t="n">
        <v>1</v>
      </c>
      <c r="G7301" s="7" t="n">
        <v>135.53</v>
      </c>
    </row>
    <row r="7302" customFormat="false" ht="15" hidden="false" customHeight="false" outlineLevel="0" collapsed="false">
      <c r="A7302" s="7" t="s">
        <v>24</v>
      </c>
      <c r="B7302" s="7" t="s">
        <v>295</v>
      </c>
      <c r="C7302" s="7" t="s">
        <v>1124</v>
      </c>
      <c r="D7302" s="7" t="n">
        <v>0</v>
      </c>
      <c r="E7302" s="7" t="n">
        <v>0</v>
      </c>
      <c r="F7302" s="7" t="n">
        <v>1</v>
      </c>
      <c r="G7302" s="7" t="n">
        <v>169.41</v>
      </c>
    </row>
    <row r="7303" customFormat="false" ht="15" hidden="false" customHeight="false" outlineLevel="0" collapsed="false">
      <c r="A7303" s="7" t="s">
        <v>24</v>
      </c>
      <c r="B7303" s="7" t="s">
        <v>295</v>
      </c>
      <c r="C7303" s="7" t="s">
        <v>1124</v>
      </c>
      <c r="D7303" s="7" t="n">
        <v>15</v>
      </c>
      <c r="E7303" s="7" t="n">
        <v>1837.72</v>
      </c>
      <c r="F7303" s="7" t="n">
        <v>0</v>
      </c>
      <c r="G7303" s="7" t="n">
        <v>0</v>
      </c>
    </row>
    <row r="7304" customFormat="false" ht="15" hidden="false" customHeight="false" outlineLevel="0" collapsed="false">
      <c r="A7304" s="7" t="s">
        <v>24</v>
      </c>
      <c r="B7304" s="7" t="s">
        <v>295</v>
      </c>
      <c r="C7304" s="7" t="s">
        <v>1124</v>
      </c>
      <c r="D7304" s="7" t="n">
        <v>0</v>
      </c>
      <c r="E7304" s="7" t="n">
        <v>0</v>
      </c>
      <c r="F7304" s="7" t="n">
        <v>1</v>
      </c>
      <c r="G7304" s="7" t="n">
        <v>152.47</v>
      </c>
    </row>
    <row r="7305" customFormat="false" ht="15" hidden="false" customHeight="false" outlineLevel="0" collapsed="false">
      <c r="A7305" s="7" t="s">
        <v>24</v>
      </c>
      <c r="B7305" s="7" t="s">
        <v>295</v>
      </c>
      <c r="C7305" s="7" t="s">
        <v>1124</v>
      </c>
      <c r="D7305" s="7" t="n">
        <v>0</v>
      </c>
      <c r="E7305" s="7" t="n">
        <v>0</v>
      </c>
      <c r="F7305" s="7" t="n">
        <v>1</v>
      </c>
      <c r="G7305" s="7" t="n">
        <v>169.41</v>
      </c>
    </row>
    <row r="7306" customFormat="false" ht="15" hidden="false" customHeight="false" outlineLevel="0" collapsed="false">
      <c r="A7306" s="7" t="s">
        <v>24</v>
      </c>
      <c r="B7306" s="7" t="s">
        <v>295</v>
      </c>
      <c r="C7306" s="7" t="s">
        <v>1124</v>
      </c>
      <c r="D7306" s="7" t="n">
        <v>0</v>
      </c>
      <c r="E7306" s="7" t="n">
        <v>0</v>
      </c>
      <c r="F7306" s="7" t="n">
        <v>3</v>
      </c>
      <c r="G7306" s="7" t="n">
        <v>406.59</v>
      </c>
    </row>
    <row r="7307" customFormat="false" ht="15" hidden="false" customHeight="false" outlineLevel="0" collapsed="false">
      <c r="A7307" s="7" t="s">
        <v>24</v>
      </c>
      <c r="B7307" s="7" t="s">
        <v>295</v>
      </c>
      <c r="C7307" s="7" t="s">
        <v>1124</v>
      </c>
      <c r="D7307" s="7" t="n">
        <v>0</v>
      </c>
      <c r="E7307" s="7" t="n">
        <v>0</v>
      </c>
      <c r="F7307" s="7" t="n">
        <v>1</v>
      </c>
      <c r="G7307" s="7" t="n">
        <v>135.52</v>
      </c>
    </row>
    <row r="7308" customFormat="false" ht="15" hidden="false" customHeight="false" outlineLevel="0" collapsed="false">
      <c r="A7308" s="7" t="s">
        <v>24</v>
      </c>
      <c r="B7308" s="7" t="s">
        <v>295</v>
      </c>
      <c r="C7308" s="7" t="s">
        <v>1124</v>
      </c>
      <c r="D7308" s="7" t="n">
        <v>0</v>
      </c>
      <c r="E7308" s="7" t="n">
        <v>0</v>
      </c>
      <c r="F7308" s="7" t="n">
        <v>1</v>
      </c>
      <c r="G7308" s="7" t="n">
        <v>135.53</v>
      </c>
    </row>
    <row r="7309" customFormat="false" ht="15" hidden="false" customHeight="false" outlineLevel="0" collapsed="false">
      <c r="A7309" s="7" t="s">
        <v>24</v>
      </c>
      <c r="B7309" s="7" t="s">
        <v>295</v>
      </c>
      <c r="C7309" s="7" t="s">
        <v>1124</v>
      </c>
      <c r="D7309" s="7" t="n">
        <v>0</v>
      </c>
      <c r="E7309" s="7" t="n">
        <v>0</v>
      </c>
      <c r="F7309" s="7" t="n">
        <v>1</v>
      </c>
      <c r="G7309" s="7" t="n">
        <v>169.4</v>
      </c>
    </row>
    <row r="7310" customFormat="false" ht="15" hidden="false" customHeight="false" outlineLevel="0" collapsed="false">
      <c r="A7310" s="7" t="s">
        <v>24</v>
      </c>
      <c r="B7310" s="7" t="s">
        <v>295</v>
      </c>
      <c r="C7310" s="7" t="s">
        <v>1124</v>
      </c>
      <c r="D7310" s="7" t="n">
        <v>4</v>
      </c>
      <c r="E7310" s="7" t="n">
        <v>452.76</v>
      </c>
      <c r="F7310" s="7" t="n">
        <v>0</v>
      </c>
      <c r="G7310" s="7" t="n">
        <v>0</v>
      </c>
    </row>
    <row r="7311" customFormat="false" ht="15" hidden="false" customHeight="false" outlineLevel="0" collapsed="false">
      <c r="A7311" s="7" t="s">
        <v>24</v>
      </c>
      <c r="B7311" s="7" t="s">
        <v>424</v>
      </c>
      <c r="C7311" s="7" t="s">
        <v>1125</v>
      </c>
      <c r="D7311" s="7" t="n">
        <v>0</v>
      </c>
      <c r="E7311" s="7" t="n">
        <v>0</v>
      </c>
      <c r="F7311" s="7" t="n">
        <v>2</v>
      </c>
      <c r="G7311" s="7" t="n">
        <v>271.06</v>
      </c>
    </row>
    <row r="7312" customFormat="false" ht="15" hidden="false" customHeight="false" outlineLevel="0" collapsed="false">
      <c r="A7312" s="7" t="s">
        <v>24</v>
      </c>
      <c r="B7312" s="7" t="s">
        <v>424</v>
      </c>
      <c r="C7312" s="7" t="s">
        <v>1125</v>
      </c>
      <c r="D7312" s="7" t="n">
        <v>2</v>
      </c>
      <c r="E7312" s="7" t="n">
        <v>258.54</v>
      </c>
      <c r="F7312" s="7" t="n">
        <v>0</v>
      </c>
      <c r="G7312" s="7" t="n">
        <v>0</v>
      </c>
    </row>
    <row r="7313" customFormat="false" ht="15" hidden="false" customHeight="false" outlineLevel="0" collapsed="false">
      <c r="A7313" s="7" t="s">
        <v>24</v>
      </c>
      <c r="B7313" s="7" t="s">
        <v>424</v>
      </c>
      <c r="C7313" s="7" t="s">
        <v>1125</v>
      </c>
      <c r="D7313" s="7" t="n">
        <v>4</v>
      </c>
      <c r="E7313" s="7" t="n">
        <v>491.26</v>
      </c>
      <c r="F7313" s="7" t="n">
        <v>0</v>
      </c>
      <c r="G7313" s="7" t="n">
        <v>0</v>
      </c>
    </row>
    <row r="7314" customFormat="false" ht="15" hidden="false" customHeight="false" outlineLevel="0" collapsed="false">
      <c r="A7314" s="7" t="s">
        <v>24</v>
      </c>
      <c r="B7314" s="7" t="s">
        <v>739</v>
      </c>
      <c r="C7314" s="7" t="s">
        <v>1124</v>
      </c>
      <c r="D7314" s="7" t="n">
        <v>0</v>
      </c>
      <c r="E7314" s="7" t="n">
        <v>0</v>
      </c>
      <c r="F7314" s="7" t="n">
        <v>1</v>
      </c>
      <c r="G7314" s="7" t="n">
        <v>135.53</v>
      </c>
    </row>
    <row r="7315" customFormat="false" ht="15" hidden="false" customHeight="false" outlineLevel="0" collapsed="false">
      <c r="A7315" s="7" t="s">
        <v>24</v>
      </c>
      <c r="B7315" s="7" t="s">
        <v>739</v>
      </c>
      <c r="C7315" s="7" t="s">
        <v>1124</v>
      </c>
      <c r="D7315" s="7" t="n">
        <v>2</v>
      </c>
      <c r="E7315" s="7" t="n">
        <v>198.94</v>
      </c>
      <c r="F7315" s="7" t="n">
        <v>0</v>
      </c>
      <c r="G7315" s="7" t="n">
        <v>0</v>
      </c>
    </row>
    <row r="7316" customFormat="false" ht="15" hidden="false" customHeight="false" outlineLevel="0" collapsed="false">
      <c r="A7316" s="7" t="s">
        <v>24</v>
      </c>
      <c r="B7316" s="7" t="s">
        <v>240</v>
      </c>
      <c r="C7316" s="7" t="s">
        <v>1126</v>
      </c>
      <c r="D7316" s="7" t="n">
        <v>0</v>
      </c>
      <c r="E7316" s="7" t="n">
        <v>0</v>
      </c>
      <c r="F7316" s="7" t="n">
        <v>1</v>
      </c>
      <c r="G7316" s="7" t="n">
        <v>135.52</v>
      </c>
    </row>
    <row r="7317" customFormat="false" ht="15" hidden="false" customHeight="false" outlineLevel="0" collapsed="false">
      <c r="A7317" s="7" t="s">
        <v>24</v>
      </c>
      <c r="B7317" s="7" t="s">
        <v>240</v>
      </c>
      <c r="C7317" s="7" t="s">
        <v>1126</v>
      </c>
      <c r="D7317" s="7" t="n">
        <v>0</v>
      </c>
      <c r="E7317" s="7" t="n">
        <v>0</v>
      </c>
      <c r="F7317" s="7" t="n">
        <v>1</v>
      </c>
      <c r="G7317" s="7" t="n">
        <v>135.52</v>
      </c>
    </row>
    <row r="7318" customFormat="false" ht="15" hidden="false" customHeight="false" outlineLevel="0" collapsed="false">
      <c r="A7318" s="7" t="s">
        <v>24</v>
      </c>
      <c r="B7318" s="7" t="s">
        <v>240</v>
      </c>
      <c r="C7318" s="7" t="s">
        <v>1126</v>
      </c>
      <c r="D7318" s="7" t="n">
        <v>0</v>
      </c>
      <c r="E7318" s="7" t="n">
        <v>0</v>
      </c>
      <c r="F7318" s="7" t="n">
        <v>1</v>
      </c>
      <c r="G7318" s="7" t="n">
        <v>169.4</v>
      </c>
    </row>
    <row r="7319" customFormat="false" ht="15" hidden="false" customHeight="false" outlineLevel="0" collapsed="false">
      <c r="A7319" s="7" t="s">
        <v>24</v>
      </c>
      <c r="B7319" s="7" t="s">
        <v>240</v>
      </c>
      <c r="C7319" s="7" t="s">
        <v>1126</v>
      </c>
      <c r="D7319" s="7" t="n">
        <v>4</v>
      </c>
      <c r="E7319" s="7" t="n">
        <v>439.04</v>
      </c>
      <c r="F7319" s="7" t="n">
        <v>0</v>
      </c>
      <c r="G7319" s="7" t="n">
        <v>0</v>
      </c>
    </row>
    <row r="7320" customFormat="false" ht="15" hidden="false" customHeight="false" outlineLevel="0" collapsed="false">
      <c r="A7320" s="7" t="s">
        <v>24</v>
      </c>
      <c r="B7320" s="7" t="s">
        <v>240</v>
      </c>
      <c r="C7320" s="7" t="s">
        <v>1126</v>
      </c>
      <c r="D7320" s="7" t="n">
        <v>0</v>
      </c>
      <c r="E7320" s="7" t="n">
        <v>0</v>
      </c>
      <c r="F7320" s="7" t="n">
        <v>1</v>
      </c>
      <c r="G7320" s="7" t="n">
        <v>135.53</v>
      </c>
    </row>
    <row r="7321" customFormat="false" ht="15" hidden="false" customHeight="false" outlineLevel="0" collapsed="false">
      <c r="A7321" s="7" t="s">
        <v>24</v>
      </c>
      <c r="B7321" s="7" t="s">
        <v>240</v>
      </c>
      <c r="C7321" s="7" t="s">
        <v>1126</v>
      </c>
      <c r="D7321" s="7" t="n">
        <v>0</v>
      </c>
      <c r="E7321" s="7" t="n">
        <v>0</v>
      </c>
      <c r="F7321" s="7" t="n">
        <v>4</v>
      </c>
      <c r="G7321" s="7" t="n">
        <v>626.82</v>
      </c>
    </row>
    <row r="7322" customFormat="false" ht="15" hidden="false" customHeight="false" outlineLevel="0" collapsed="false">
      <c r="A7322" s="7" t="s">
        <v>24</v>
      </c>
      <c r="B7322" s="7" t="s">
        <v>240</v>
      </c>
      <c r="C7322" s="7" t="s">
        <v>1126</v>
      </c>
      <c r="D7322" s="7" t="n">
        <v>5</v>
      </c>
      <c r="E7322" s="7" t="n">
        <v>670.8</v>
      </c>
      <c r="F7322" s="7" t="n">
        <v>0</v>
      </c>
      <c r="G7322" s="7" t="n">
        <v>0</v>
      </c>
    </row>
    <row r="7323" customFormat="false" ht="15" hidden="false" customHeight="false" outlineLevel="0" collapsed="false">
      <c r="A7323" s="7" t="s">
        <v>24</v>
      </c>
      <c r="B7323" s="7" t="s">
        <v>240</v>
      </c>
      <c r="C7323" s="7" t="s">
        <v>1126</v>
      </c>
      <c r="D7323" s="7" t="n">
        <v>10</v>
      </c>
      <c r="E7323" s="7" t="n">
        <v>1448.38</v>
      </c>
      <c r="F7323" s="7" t="n">
        <v>-1</v>
      </c>
      <c r="G7323" s="7" t="n">
        <v>-169.4</v>
      </c>
    </row>
    <row r="7324" customFormat="false" ht="15" hidden="false" customHeight="false" outlineLevel="0" collapsed="false">
      <c r="A7324" s="7" t="s">
        <v>24</v>
      </c>
      <c r="B7324" s="7" t="s">
        <v>240</v>
      </c>
      <c r="C7324" s="7" t="s">
        <v>1126</v>
      </c>
      <c r="D7324" s="7" t="n">
        <v>0</v>
      </c>
      <c r="E7324" s="7" t="n">
        <v>0</v>
      </c>
      <c r="F7324" s="7" t="n">
        <v>1</v>
      </c>
      <c r="G7324" s="7" t="n">
        <v>135.52</v>
      </c>
    </row>
    <row r="7325" customFormat="false" ht="15" hidden="false" customHeight="false" outlineLevel="0" collapsed="false">
      <c r="A7325" s="7" t="s">
        <v>24</v>
      </c>
      <c r="B7325" s="7" t="s">
        <v>204</v>
      </c>
      <c r="C7325" s="7" t="s">
        <v>1126</v>
      </c>
      <c r="D7325" s="7" t="n">
        <v>0</v>
      </c>
      <c r="E7325" s="7" t="n">
        <v>0</v>
      </c>
      <c r="F7325" s="7" t="n">
        <v>1</v>
      </c>
      <c r="G7325" s="7" t="n">
        <v>135.52</v>
      </c>
    </row>
    <row r="7326" customFormat="false" ht="15" hidden="false" customHeight="false" outlineLevel="0" collapsed="false">
      <c r="A7326" s="7" t="s">
        <v>24</v>
      </c>
      <c r="B7326" s="7" t="s">
        <v>204</v>
      </c>
      <c r="C7326" s="7" t="s">
        <v>1126</v>
      </c>
      <c r="D7326" s="7" t="n">
        <v>0</v>
      </c>
      <c r="E7326" s="7" t="n">
        <v>0</v>
      </c>
      <c r="F7326" s="7" t="n">
        <v>8</v>
      </c>
      <c r="G7326" s="7" t="n">
        <v>999.5</v>
      </c>
    </row>
    <row r="7327" customFormat="false" ht="15" hidden="false" customHeight="false" outlineLevel="0" collapsed="false">
      <c r="A7327" s="7" t="s">
        <v>24</v>
      </c>
      <c r="B7327" s="7" t="s">
        <v>204</v>
      </c>
      <c r="C7327" s="7" t="s">
        <v>1126</v>
      </c>
      <c r="D7327" s="7" t="n">
        <v>0</v>
      </c>
      <c r="E7327" s="7" t="n">
        <v>0</v>
      </c>
      <c r="F7327" s="7" t="n">
        <v>1</v>
      </c>
      <c r="G7327" s="7" t="n">
        <v>169.4</v>
      </c>
    </row>
    <row r="7328" customFormat="false" ht="15" hidden="false" customHeight="false" outlineLevel="0" collapsed="false">
      <c r="A7328" s="7" t="s">
        <v>24</v>
      </c>
      <c r="B7328" s="7" t="s">
        <v>204</v>
      </c>
      <c r="C7328" s="7" t="s">
        <v>1126</v>
      </c>
      <c r="D7328" s="7" t="n">
        <v>0</v>
      </c>
      <c r="E7328" s="7" t="n">
        <v>0</v>
      </c>
      <c r="F7328" s="7" t="n">
        <v>1</v>
      </c>
      <c r="G7328" s="7" t="n">
        <v>135.53</v>
      </c>
    </row>
    <row r="7329" customFormat="false" ht="15" hidden="false" customHeight="false" outlineLevel="0" collapsed="false">
      <c r="A7329" s="7" t="s">
        <v>24</v>
      </c>
      <c r="B7329" s="7" t="s">
        <v>204</v>
      </c>
      <c r="C7329" s="7" t="s">
        <v>1126</v>
      </c>
      <c r="D7329" s="7" t="n">
        <v>0</v>
      </c>
      <c r="E7329" s="7" t="n">
        <v>0</v>
      </c>
      <c r="F7329" s="7" t="n">
        <v>1</v>
      </c>
      <c r="G7329" s="7" t="n">
        <v>169.4</v>
      </c>
    </row>
    <row r="7330" customFormat="false" ht="15" hidden="false" customHeight="false" outlineLevel="0" collapsed="false">
      <c r="A7330" s="7" t="s">
        <v>24</v>
      </c>
      <c r="B7330" s="7" t="s">
        <v>204</v>
      </c>
      <c r="C7330" s="7" t="s">
        <v>1126</v>
      </c>
      <c r="D7330" s="7" t="n">
        <v>11</v>
      </c>
      <c r="E7330" s="7" t="n">
        <v>1490.73</v>
      </c>
      <c r="F7330" s="7" t="n">
        <v>6</v>
      </c>
      <c r="G7330" s="7" t="n">
        <v>813.13</v>
      </c>
    </row>
    <row r="7331" customFormat="false" ht="15" hidden="false" customHeight="false" outlineLevel="0" collapsed="false">
      <c r="A7331" s="7" t="s">
        <v>24</v>
      </c>
      <c r="B7331" s="7" t="s">
        <v>204</v>
      </c>
      <c r="C7331" s="7" t="s">
        <v>1126</v>
      </c>
      <c r="D7331" s="7" t="n">
        <v>0</v>
      </c>
      <c r="E7331" s="7" t="n">
        <v>0</v>
      </c>
      <c r="F7331" s="7" t="n">
        <v>1</v>
      </c>
      <c r="G7331" s="7" t="n">
        <v>135.53</v>
      </c>
    </row>
    <row r="7332" customFormat="false" ht="15" hidden="false" customHeight="false" outlineLevel="0" collapsed="false">
      <c r="A7332" s="7" t="s">
        <v>24</v>
      </c>
      <c r="B7332" s="7" t="s">
        <v>204</v>
      </c>
      <c r="C7332" s="7" t="s">
        <v>1126</v>
      </c>
      <c r="D7332" s="7" t="n">
        <v>0</v>
      </c>
      <c r="E7332" s="7" t="n">
        <v>0</v>
      </c>
      <c r="F7332" s="7" t="n">
        <v>1</v>
      </c>
      <c r="G7332" s="7" t="n">
        <v>135.52</v>
      </c>
    </row>
    <row r="7333" customFormat="false" ht="15" hidden="false" customHeight="false" outlineLevel="0" collapsed="false">
      <c r="A7333" s="7" t="s">
        <v>24</v>
      </c>
      <c r="B7333" s="7" t="s">
        <v>204</v>
      </c>
      <c r="C7333" s="7" t="s">
        <v>1126</v>
      </c>
      <c r="D7333" s="7" t="n">
        <v>9</v>
      </c>
      <c r="E7333" s="7" t="n">
        <v>1097.04</v>
      </c>
      <c r="F7333" s="7" t="n">
        <v>0</v>
      </c>
      <c r="G7333" s="7" t="n">
        <v>0</v>
      </c>
    </row>
    <row r="7334" customFormat="false" ht="15" hidden="false" customHeight="false" outlineLevel="0" collapsed="false">
      <c r="A7334" s="7" t="s">
        <v>24</v>
      </c>
      <c r="B7334" s="7" t="s">
        <v>204</v>
      </c>
      <c r="C7334" s="7" t="s">
        <v>1126</v>
      </c>
      <c r="D7334" s="7" t="n">
        <v>0</v>
      </c>
      <c r="E7334" s="7" t="n">
        <v>0</v>
      </c>
      <c r="F7334" s="7" t="n">
        <v>1</v>
      </c>
      <c r="G7334" s="7" t="n">
        <v>135.53</v>
      </c>
    </row>
    <row r="7335" customFormat="false" ht="15" hidden="false" customHeight="false" outlineLevel="0" collapsed="false">
      <c r="A7335" s="7" t="s">
        <v>24</v>
      </c>
      <c r="B7335" s="7" t="s">
        <v>204</v>
      </c>
      <c r="C7335" s="7" t="s">
        <v>1126</v>
      </c>
      <c r="D7335" s="7" t="n">
        <v>0</v>
      </c>
      <c r="E7335" s="7" t="n">
        <v>0</v>
      </c>
      <c r="F7335" s="7" t="n">
        <v>1</v>
      </c>
      <c r="G7335" s="7" t="n">
        <v>152.47</v>
      </c>
    </row>
    <row r="7336" customFormat="false" ht="15" hidden="false" customHeight="false" outlineLevel="0" collapsed="false">
      <c r="A7336" s="7" t="s">
        <v>24</v>
      </c>
      <c r="B7336" s="7" t="s">
        <v>204</v>
      </c>
      <c r="C7336" s="7" t="s">
        <v>1126</v>
      </c>
      <c r="D7336" s="7" t="n">
        <v>0</v>
      </c>
      <c r="E7336" s="7" t="n">
        <v>0</v>
      </c>
      <c r="F7336" s="7" t="n">
        <v>2</v>
      </c>
      <c r="G7336" s="7" t="n">
        <v>271.06</v>
      </c>
    </row>
    <row r="7337" customFormat="false" ht="15" hidden="false" customHeight="false" outlineLevel="0" collapsed="false">
      <c r="A7337" s="7" t="s">
        <v>24</v>
      </c>
      <c r="B7337" s="7" t="s">
        <v>204</v>
      </c>
      <c r="C7337" s="7" t="s">
        <v>1126</v>
      </c>
      <c r="D7337" s="7" t="n">
        <v>0</v>
      </c>
      <c r="E7337" s="7" t="n">
        <v>0</v>
      </c>
      <c r="F7337" s="7" t="n">
        <v>1</v>
      </c>
      <c r="G7337" s="7" t="n">
        <v>144</v>
      </c>
    </row>
    <row r="7338" customFormat="false" ht="15" hidden="false" customHeight="false" outlineLevel="0" collapsed="false">
      <c r="A7338" s="7" t="s">
        <v>24</v>
      </c>
      <c r="B7338" s="7" t="s">
        <v>204</v>
      </c>
      <c r="C7338" s="7" t="s">
        <v>1126</v>
      </c>
      <c r="D7338" s="7" t="n">
        <v>0</v>
      </c>
      <c r="E7338" s="7" t="n">
        <v>0</v>
      </c>
      <c r="F7338" s="7" t="n">
        <v>1</v>
      </c>
      <c r="G7338" s="7" t="n">
        <v>152.47</v>
      </c>
    </row>
    <row r="7339" customFormat="false" ht="15" hidden="false" customHeight="false" outlineLevel="0" collapsed="false">
      <c r="A7339" s="7" t="s">
        <v>24</v>
      </c>
      <c r="B7339" s="7" t="s">
        <v>204</v>
      </c>
      <c r="C7339" s="7" t="s">
        <v>1126</v>
      </c>
      <c r="D7339" s="7" t="n">
        <v>0</v>
      </c>
      <c r="E7339" s="7" t="n">
        <v>0</v>
      </c>
      <c r="F7339" s="7" t="n">
        <v>2</v>
      </c>
      <c r="G7339" s="7" t="n">
        <v>304.94</v>
      </c>
    </row>
    <row r="7340" customFormat="false" ht="15" hidden="false" customHeight="false" outlineLevel="0" collapsed="false">
      <c r="A7340" s="7" t="s">
        <v>24</v>
      </c>
      <c r="B7340" s="7" t="s">
        <v>204</v>
      </c>
      <c r="C7340" s="7" t="s">
        <v>1126</v>
      </c>
      <c r="D7340" s="7" t="n">
        <v>0</v>
      </c>
      <c r="E7340" s="7" t="n">
        <v>0</v>
      </c>
      <c r="F7340" s="7" t="n">
        <v>1</v>
      </c>
      <c r="G7340" s="7" t="n">
        <v>135.52</v>
      </c>
    </row>
    <row r="7341" customFormat="false" ht="15" hidden="false" customHeight="false" outlineLevel="0" collapsed="false">
      <c r="A7341" s="7" t="s">
        <v>24</v>
      </c>
      <c r="B7341" s="7" t="s">
        <v>204</v>
      </c>
      <c r="C7341" s="7" t="s">
        <v>1126</v>
      </c>
      <c r="D7341" s="7" t="n">
        <v>0</v>
      </c>
      <c r="E7341" s="7" t="n">
        <v>0</v>
      </c>
      <c r="F7341" s="7" t="n">
        <v>1</v>
      </c>
      <c r="G7341" s="7" t="n">
        <v>135.52</v>
      </c>
    </row>
    <row r="7342" customFormat="false" ht="15" hidden="false" customHeight="false" outlineLevel="0" collapsed="false">
      <c r="A7342" s="7" t="s">
        <v>24</v>
      </c>
      <c r="B7342" s="7" t="s">
        <v>204</v>
      </c>
      <c r="C7342" s="7" t="s">
        <v>1126</v>
      </c>
      <c r="D7342" s="7" t="n">
        <v>0</v>
      </c>
      <c r="E7342" s="7" t="n">
        <v>0</v>
      </c>
      <c r="F7342" s="7" t="n">
        <v>2</v>
      </c>
      <c r="G7342" s="7" t="n">
        <v>271.04</v>
      </c>
    </row>
    <row r="7343" customFormat="false" ht="15" hidden="false" customHeight="false" outlineLevel="0" collapsed="false">
      <c r="A7343" s="7" t="s">
        <v>24</v>
      </c>
      <c r="B7343" s="7" t="s">
        <v>204</v>
      </c>
      <c r="C7343" s="7" t="s">
        <v>1126</v>
      </c>
      <c r="D7343" s="7" t="n">
        <v>0</v>
      </c>
      <c r="E7343" s="7" t="n">
        <v>0</v>
      </c>
      <c r="F7343" s="7" t="n">
        <v>1</v>
      </c>
      <c r="G7343" s="7" t="n">
        <v>144</v>
      </c>
    </row>
    <row r="7344" customFormat="false" ht="15" hidden="false" customHeight="false" outlineLevel="0" collapsed="false">
      <c r="A7344" s="7" t="s">
        <v>24</v>
      </c>
      <c r="B7344" s="7" t="s">
        <v>204</v>
      </c>
      <c r="C7344" s="7" t="s">
        <v>1126</v>
      </c>
      <c r="D7344" s="7" t="n">
        <v>2</v>
      </c>
      <c r="E7344" s="7" t="n">
        <v>219.52</v>
      </c>
      <c r="F7344" s="7" t="n">
        <v>0</v>
      </c>
      <c r="G7344" s="7" t="n">
        <v>0</v>
      </c>
    </row>
    <row r="7345" customFormat="false" ht="15" hidden="false" customHeight="false" outlineLevel="0" collapsed="false">
      <c r="A7345" s="7" t="s">
        <v>24</v>
      </c>
      <c r="B7345" s="7" t="s">
        <v>791</v>
      </c>
      <c r="C7345" s="7" t="s">
        <v>1126</v>
      </c>
      <c r="D7345" s="7" t="n">
        <v>0</v>
      </c>
      <c r="E7345" s="7" t="n">
        <v>0</v>
      </c>
      <c r="F7345" s="7" t="n">
        <v>5</v>
      </c>
      <c r="G7345" s="7" t="n">
        <v>711.53</v>
      </c>
    </row>
    <row r="7346" customFormat="false" ht="15" hidden="false" customHeight="false" outlineLevel="0" collapsed="false">
      <c r="A7346" s="7" t="s">
        <v>24</v>
      </c>
      <c r="B7346" s="7" t="s">
        <v>791</v>
      </c>
      <c r="C7346" s="7" t="s">
        <v>1126</v>
      </c>
      <c r="D7346" s="7" t="n">
        <v>0</v>
      </c>
      <c r="E7346" s="7" t="n">
        <v>0</v>
      </c>
      <c r="F7346" s="7" t="n">
        <v>1</v>
      </c>
      <c r="G7346" s="7" t="n">
        <v>169.41</v>
      </c>
    </row>
    <row r="7347" customFormat="false" ht="15" hidden="false" customHeight="false" outlineLevel="0" collapsed="false">
      <c r="A7347" s="7" t="s">
        <v>24</v>
      </c>
      <c r="B7347" s="7" t="s">
        <v>791</v>
      </c>
      <c r="C7347" s="7" t="s">
        <v>1126</v>
      </c>
      <c r="D7347" s="7" t="n">
        <v>0</v>
      </c>
      <c r="E7347" s="7" t="n">
        <v>0</v>
      </c>
      <c r="F7347" s="7" t="n">
        <v>1</v>
      </c>
      <c r="G7347" s="7" t="n">
        <v>169.4</v>
      </c>
    </row>
    <row r="7348" customFormat="false" ht="15" hidden="false" customHeight="false" outlineLevel="0" collapsed="false">
      <c r="A7348" s="7" t="s">
        <v>24</v>
      </c>
      <c r="B7348" s="7" t="s">
        <v>791</v>
      </c>
      <c r="C7348" s="7" t="s">
        <v>1126</v>
      </c>
      <c r="D7348" s="7" t="n">
        <v>3</v>
      </c>
      <c r="E7348" s="7" t="n">
        <v>389.62</v>
      </c>
      <c r="F7348" s="7" t="n">
        <v>1</v>
      </c>
      <c r="G7348" s="7" t="n">
        <v>169.41</v>
      </c>
    </row>
    <row r="7349" customFormat="false" ht="15" hidden="false" customHeight="false" outlineLevel="0" collapsed="false">
      <c r="A7349" s="7" t="s">
        <v>24</v>
      </c>
      <c r="B7349" s="7" t="s">
        <v>791</v>
      </c>
      <c r="C7349" s="7" t="s">
        <v>1126</v>
      </c>
      <c r="D7349" s="7" t="n">
        <v>7</v>
      </c>
      <c r="E7349" s="7" t="n">
        <v>845.48</v>
      </c>
      <c r="F7349" s="7" t="n">
        <v>0</v>
      </c>
      <c r="G7349" s="7" t="n">
        <v>0</v>
      </c>
    </row>
    <row r="7350" customFormat="false" ht="15" hidden="false" customHeight="false" outlineLevel="0" collapsed="false">
      <c r="A7350" s="7" t="s">
        <v>24</v>
      </c>
      <c r="B7350" s="7" t="s">
        <v>759</v>
      </c>
      <c r="C7350" s="7" t="s">
        <v>1126</v>
      </c>
      <c r="D7350" s="7" t="n">
        <v>0</v>
      </c>
      <c r="E7350" s="7" t="n">
        <v>0</v>
      </c>
      <c r="F7350" s="7" t="n">
        <v>1</v>
      </c>
      <c r="G7350" s="7" t="n">
        <v>152.47</v>
      </c>
    </row>
    <row r="7351" customFormat="false" ht="15" hidden="false" customHeight="false" outlineLevel="0" collapsed="false">
      <c r="A7351" s="7" t="s">
        <v>24</v>
      </c>
      <c r="B7351" s="7" t="s">
        <v>759</v>
      </c>
      <c r="C7351" s="7" t="s">
        <v>1126</v>
      </c>
      <c r="D7351" s="7" t="n">
        <v>0</v>
      </c>
      <c r="E7351" s="7" t="n">
        <v>0</v>
      </c>
      <c r="F7351" s="7" t="n">
        <v>1</v>
      </c>
      <c r="G7351" s="7" t="n">
        <v>169.4</v>
      </c>
    </row>
    <row r="7352" customFormat="false" ht="15" hidden="false" customHeight="false" outlineLevel="0" collapsed="false">
      <c r="A7352" s="7" t="s">
        <v>24</v>
      </c>
      <c r="B7352" s="7" t="s">
        <v>759</v>
      </c>
      <c r="C7352" s="7" t="s">
        <v>1126</v>
      </c>
      <c r="D7352" s="7" t="n">
        <v>2</v>
      </c>
      <c r="E7352" s="7" t="n">
        <v>279.5</v>
      </c>
      <c r="F7352" s="7" t="n">
        <v>0</v>
      </c>
      <c r="G7352" s="7" t="n">
        <v>0</v>
      </c>
    </row>
    <row r="7353" customFormat="false" ht="15" hidden="false" customHeight="false" outlineLevel="0" collapsed="false">
      <c r="A7353" s="7" t="s">
        <v>24</v>
      </c>
      <c r="B7353" s="7" t="s">
        <v>326</v>
      </c>
      <c r="C7353" s="7" t="s">
        <v>1074</v>
      </c>
      <c r="D7353" s="7" t="n">
        <v>0</v>
      </c>
      <c r="E7353" s="7" t="n">
        <v>0</v>
      </c>
      <c r="F7353" s="7" t="n">
        <v>1</v>
      </c>
      <c r="G7353" s="7" t="n">
        <v>296.52</v>
      </c>
    </row>
    <row r="7354" customFormat="false" ht="15" hidden="false" customHeight="false" outlineLevel="0" collapsed="false">
      <c r="A7354" s="7" t="s">
        <v>24</v>
      </c>
      <c r="B7354" s="7" t="s">
        <v>326</v>
      </c>
      <c r="C7354" s="7" t="s">
        <v>1074</v>
      </c>
      <c r="D7354" s="7" t="n">
        <v>1</v>
      </c>
      <c r="E7354" s="7" t="n">
        <v>252.5</v>
      </c>
      <c r="F7354" s="7" t="n">
        <v>0</v>
      </c>
      <c r="G7354" s="7" t="n">
        <v>0</v>
      </c>
    </row>
    <row r="7355" customFormat="false" ht="15" hidden="false" customHeight="false" outlineLevel="0" collapsed="false">
      <c r="A7355" s="7" t="s">
        <v>24</v>
      </c>
      <c r="B7355" s="7" t="s">
        <v>326</v>
      </c>
      <c r="C7355" s="7" t="s">
        <v>1074</v>
      </c>
      <c r="D7355" s="7" t="n">
        <v>0</v>
      </c>
      <c r="E7355" s="7" t="n">
        <v>0</v>
      </c>
      <c r="F7355" s="7" t="n">
        <v>1</v>
      </c>
      <c r="G7355" s="7" t="n">
        <v>266.87</v>
      </c>
    </row>
    <row r="7356" customFormat="false" ht="15" hidden="false" customHeight="false" outlineLevel="0" collapsed="false">
      <c r="A7356" s="7" t="s">
        <v>24</v>
      </c>
      <c r="B7356" s="7" t="s">
        <v>326</v>
      </c>
      <c r="C7356" s="7" t="s">
        <v>1074</v>
      </c>
      <c r="D7356" s="7" t="n">
        <v>0</v>
      </c>
      <c r="E7356" s="7" t="n">
        <v>0</v>
      </c>
      <c r="F7356" s="7" t="n">
        <v>1</v>
      </c>
      <c r="G7356" s="7" t="n">
        <v>296.52</v>
      </c>
    </row>
    <row r="7357" customFormat="false" ht="15" hidden="false" customHeight="false" outlineLevel="0" collapsed="false">
      <c r="A7357" s="7" t="s">
        <v>24</v>
      </c>
      <c r="B7357" s="7" t="s">
        <v>326</v>
      </c>
      <c r="C7357" s="7" t="s">
        <v>1074</v>
      </c>
      <c r="D7357" s="7" t="n">
        <v>2</v>
      </c>
      <c r="E7357" s="7" t="n">
        <v>421.92</v>
      </c>
      <c r="F7357" s="7" t="n">
        <v>0</v>
      </c>
      <c r="G7357" s="7" t="n">
        <v>0</v>
      </c>
    </row>
    <row r="7358" customFormat="false" ht="15" hidden="false" customHeight="false" outlineLevel="0" collapsed="false">
      <c r="A7358" s="7" t="s">
        <v>24</v>
      </c>
      <c r="B7358" s="7" t="s">
        <v>326</v>
      </c>
      <c r="C7358" s="7" t="s">
        <v>1074</v>
      </c>
      <c r="D7358" s="7" t="n">
        <v>0</v>
      </c>
      <c r="E7358" s="7" t="n">
        <v>0</v>
      </c>
      <c r="F7358" s="7" t="n">
        <v>1</v>
      </c>
      <c r="G7358" s="7" t="n">
        <v>296.52</v>
      </c>
    </row>
    <row r="7359" customFormat="false" ht="15" hidden="false" customHeight="false" outlineLevel="0" collapsed="false">
      <c r="A7359" s="7" t="s">
        <v>24</v>
      </c>
      <c r="B7359" s="7" t="s">
        <v>326</v>
      </c>
      <c r="C7359" s="7" t="s">
        <v>1074</v>
      </c>
      <c r="D7359" s="7" t="n">
        <v>0</v>
      </c>
      <c r="E7359" s="7" t="n">
        <v>0</v>
      </c>
      <c r="F7359" s="7" t="n">
        <v>1</v>
      </c>
      <c r="G7359" s="7" t="n">
        <v>266.87</v>
      </c>
    </row>
    <row r="7360" customFormat="false" ht="15" hidden="false" customHeight="false" outlineLevel="0" collapsed="false">
      <c r="A7360" s="7" t="s">
        <v>24</v>
      </c>
      <c r="B7360" s="7" t="s">
        <v>326</v>
      </c>
      <c r="C7360" s="7" t="s">
        <v>1074</v>
      </c>
      <c r="D7360" s="7" t="n">
        <v>3</v>
      </c>
      <c r="E7360" s="7" t="n">
        <v>654.55</v>
      </c>
      <c r="F7360" s="7" t="n">
        <v>0</v>
      </c>
      <c r="G7360" s="7" t="n">
        <v>0</v>
      </c>
    </row>
    <row r="7361" customFormat="false" ht="15" hidden="false" customHeight="false" outlineLevel="0" collapsed="false">
      <c r="A7361" s="7" t="s">
        <v>24</v>
      </c>
      <c r="B7361" s="7" t="s">
        <v>326</v>
      </c>
      <c r="C7361" s="7" t="s">
        <v>1074</v>
      </c>
      <c r="D7361" s="7" t="n">
        <v>0</v>
      </c>
      <c r="E7361" s="7" t="n">
        <v>0</v>
      </c>
      <c r="F7361" s="7" t="n">
        <v>1</v>
      </c>
      <c r="G7361" s="7" t="n">
        <v>296.52</v>
      </c>
    </row>
    <row r="7362" customFormat="false" ht="15" hidden="false" customHeight="false" outlineLevel="0" collapsed="false">
      <c r="A7362" s="7" t="s">
        <v>24</v>
      </c>
      <c r="B7362" s="7" t="s">
        <v>326</v>
      </c>
      <c r="C7362" s="7" t="s">
        <v>1074</v>
      </c>
      <c r="D7362" s="7" t="n">
        <v>0</v>
      </c>
      <c r="E7362" s="7" t="n">
        <v>0</v>
      </c>
      <c r="F7362" s="7" t="n">
        <v>2</v>
      </c>
      <c r="G7362" s="7" t="n">
        <v>474.44</v>
      </c>
    </row>
    <row r="7363" customFormat="false" ht="15" hidden="false" customHeight="false" outlineLevel="0" collapsed="false">
      <c r="A7363" s="7" t="s">
        <v>24</v>
      </c>
      <c r="B7363" s="7" t="s">
        <v>326</v>
      </c>
      <c r="C7363" s="7" t="s">
        <v>1074</v>
      </c>
      <c r="D7363" s="7" t="n">
        <v>9</v>
      </c>
      <c r="E7363" s="7" t="n">
        <v>2431.3</v>
      </c>
      <c r="F7363" s="7" t="n">
        <v>5</v>
      </c>
      <c r="G7363" s="7" t="n">
        <v>1304.65</v>
      </c>
    </row>
    <row r="7364" customFormat="false" ht="15" hidden="false" customHeight="false" outlineLevel="0" collapsed="false">
      <c r="A7364" s="7" t="s">
        <v>24</v>
      </c>
      <c r="B7364" s="7" t="s">
        <v>326</v>
      </c>
      <c r="C7364" s="7" t="s">
        <v>1074</v>
      </c>
      <c r="D7364" s="7" t="n">
        <v>0</v>
      </c>
      <c r="E7364" s="7" t="n">
        <v>0</v>
      </c>
      <c r="F7364" s="7" t="n">
        <v>3</v>
      </c>
      <c r="G7364" s="7" t="n">
        <v>889.58</v>
      </c>
    </row>
    <row r="7365" customFormat="false" ht="15" hidden="false" customHeight="false" outlineLevel="0" collapsed="false">
      <c r="A7365" s="7" t="s">
        <v>24</v>
      </c>
      <c r="B7365" s="7" t="s">
        <v>326</v>
      </c>
      <c r="C7365" s="7" t="s">
        <v>1074</v>
      </c>
      <c r="D7365" s="7" t="n">
        <v>0</v>
      </c>
      <c r="E7365" s="7" t="n">
        <v>0</v>
      </c>
      <c r="F7365" s="7" t="n">
        <v>1</v>
      </c>
      <c r="G7365" s="7" t="n">
        <v>296.53</v>
      </c>
    </row>
    <row r="7366" customFormat="false" ht="15" hidden="false" customHeight="false" outlineLevel="0" collapsed="false">
      <c r="A7366" s="7" t="s">
        <v>24</v>
      </c>
      <c r="B7366" s="7" t="s">
        <v>326</v>
      </c>
      <c r="C7366" s="7" t="s">
        <v>1074</v>
      </c>
      <c r="D7366" s="7" t="n">
        <v>0</v>
      </c>
      <c r="E7366" s="7" t="n">
        <v>0</v>
      </c>
      <c r="F7366" s="7" t="n">
        <v>1</v>
      </c>
      <c r="G7366" s="7" t="n">
        <v>296.53</v>
      </c>
    </row>
    <row r="7367" customFormat="false" ht="15" hidden="false" customHeight="false" outlineLevel="0" collapsed="false">
      <c r="A7367" s="7" t="s">
        <v>24</v>
      </c>
      <c r="B7367" s="7" t="s">
        <v>326</v>
      </c>
      <c r="C7367" s="7" t="s">
        <v>1074</v>
      </c>
      <c r="D7367" s="7" t="n">
        <v>17</v>
      </c>
      <c r="E7367" s="7" t="n">
        <v>3952.6</v>
      </c>
      <c r="F7367" s="7" t="n">
        <v>0</v>
      </c>
      <c r="G7367" s="7" t="n">
        <v>0</v>
      </c>
    </row>
    <row r="7368" customFormat="false" ht="15" hidden="false" customHeight="false" outlineLevel="0" collapsed="false">
      <c r="A7368" s="7" t="s">
        <v>24</v>
      </c>
      <c r="B7368" s="7" t="s">
        <v>326</v>
      </c>
      <c r="C7368" s="7" t="s">
        <v>1074</v>
      </c>
      <c r="D7368" s="7" t="n">
        <v>0</v>
      </c>
      <c r="E7368" s="7" t="n">
        <v>0</v>
      </c>
      <c r="F7368" s="7" t="n">
        <v>9</v>
      </c>
      <c r="G7368" s="7" t="n">
        <v>2668.77</v>
      </c>
    </row>
    <row r="7369" customFormat="false" ht="15" hidden="false" customHeight="false" outlineLevel="0" collapsed="false">
      <c r="A7369" s="7" t="s">
        <v>24</v>
      </c>
      <c r="B7369" s="7" t="s">
        <v>326</v>
      </c>
      <c r="C7369" s="7" t="s">
        <v>1074</v>
      </c>
      <c r="D7369" s="7" t="n">
        <v>0</v>
      </c>
      <c r="E7369" s="7" t="n">
        <v>0</v>
      </c>
      <c r="F7369" s="7" t="n">
        <v>1</v>
      </c>
      <c r="G7369" s="7" t="n">
        <v>266.87</v>
      </c>
    </row>
    <row r="7370" customFormat="false" ht="15" hidden="false" customHeight="false" outlineLevel="0" collapsed="false">
      <c r="A7370" s="7" t="s">
        <v>24</v>
      </c>
      <c r="B7370" s="7" t="s">
        <v>326</v>
      </c>
      <c r="C7370" s="7" t="s">
        <v>1074</v>
      </c>
      <c r="D7370" s="7" t="n">
        <v>0</v>
      </c>
      <c r="E7370" s="7" t="n">
        <v>0</v>
      </c>
      <c r="F7370" s="7" t="n">
        <v>1</v>
      </c>
      <c r="G7370" s="7" t="n">
        <v>266.88</v>
      </c>
    </row>
    <row r="7371" customFormat="false" ht="15" hidden="false" customHeight="false" outlineLevel="0" collapsed="false">
      <c r="A7371" s="7" t="s">
        <v>24</v>
      </c>
      <c r="B7371" s="7" t="s">
        <v>326</v>
      </c>
      <c r="C7371" s="7" t="s">
        <v>1074</v>
      </c>
      <c r="D7371" s="7" t="n">
        <v>0</v>
      </c>
      <c r="E7371" s="7" t="n">
        <v>0</v>
      </c>
      <c r="F7371" s="7" t="n">
        <v>1</v>
      </c>
      <c r="G7371" s="7" t="n">
        <v>296.52</v>
      </c>
    </row>
    <row r="7372" customFormat="false" ht="15" hidden="false" customHeight="false" outlineLevel="0" collapsed="false">
      <c r="A7372" s="7" t="s">
        <v>24</v>
      </c>
      <c r="B7372" s="7" t="s">
        <v>651</v>
      </c>
      <c r="C7372" s="7" t="s">
        <v>1074</v>
      </c>
      <c r="D7372" s="7" t="n">
        <v>0</v>
      </c>
      <c r="E7372" s="7" t="n">
        <v>0</v>
      </c>
      <c r="F7372" s="7" t="n">
        <v>1</v>
      </c>
      <c r="G7372" s="7" t="n">
        <v>266.87</v>
      </c>
    </row>
    <row r="7373" customFormat="false" ht="15" hidden="false" customHeight="false" outlineLevel="0" collapsed="false">
      <c r="A7373" s="7" t="s">
        <v>24</v>
      </c>
      <c r="B7373" s="7" t="s">
        <v>651</v>
      </c>
      <c r="C7373" s="7" t="s">
        <v>1074</v>
      </c>
      <c r="D7373" s="7" t="n">
        <v>0</v>
      </c>
      <c r="E7373" s="7" t="n">
        <v>0</v>
      </c>
      <c r="F7373" s="7" t="n">
        <v>1</v>
      </c>
      <c r="G7373" s="7" t="n">
        <v>296.52</v>
      </c>
    </row>
    <row r="7374" customFormat="false" ht="15" hidden="false" customHeight="false" outlineLevel="0" collapsed="false">
      <c r="A7374" s="7" t="s">
        <v>24</v>
      </c>
      <c r="B7374" s="7" t="s">
        <v>651</v>
      </c>
      <c r="C7374" s="7" t="s">
        <v>1074</v>
      </c>
      <c r="D7374" s="7" t="n">
        <v>0</v>
      </c>
      <c r="E7374" s="7" t="n">
        <v>0</v>
      </c>
      <c r="F7374" s="7" t="n">
        <v>1</v>
      </c>
      <c r="G7374" s="7" t="n">
        <v>252.05</v>
      </c>
    </row>
    <row r="7375" customFormat="false" ht="15" hidden="false" customHeight="false" outlineLevel="0" collapsed="false">
      <c r="A7375" s="7" t="s">
        <v>24</v>
      </c>
      <c r="B7375" s="7" t="s">
        <v>651</v>
      </c>
      <c r="C7375" s="7" t="s">
        <v>1074</v>
      </c>
      <c r="D7375" s="7" t="n">
        <v>8</v>
      </c>
      <c r="E7375" s="7" t="n">
        <v>1899.52</v>
      </c>
      <c r="F7375" s="7" t="n">
        <v>0</v>
      </c>
      <c r="G7375" s="7" t="n">
        <v>0</v>
      </c>
    </row>
    <row r="7376" customFormat="false" ht="15" hidden="false" customHeight="false" outlineLevel="0" collapsed="false">
      <c r="A7376" s="7" t="s">
        <v>24</v>
      </c>
      <c r="B7376" s="7" t="s">
        <v>651</v>
      </c>
      <c r="C7376" s="7" t="s">
        <v>1074</v>
      </c>
      <c r="D7376" s="7" t="n">
        <v>27</v>
      </c>
      <c r="E7376" s="7" t="n">
        <v>6211.2</v>
      </c>
      <c r="F7376" s="7" t="n">
        <v>0</v>
      </c>
      <c r="G7376" s="7" t="n">
        <v>0</v>
      </c>
    </row>
    <row r="7377" customFormat="false" ht="15" hidden="false" customHeight="false" outlineLevel="0" collapsed="false">
      <c r="A7377" s="7" t="s">
        <v>24</v>
      </c>
      <c r="B7377" s="7" t="s">
        <v>651</v>
      </c>
      <c r="C7377" s="7" t="s">
        <v>1074</v>
      </c>
      <c r="D7377" s="7" t="n">
        <v>0</v>
      </c>
      <c r="E7377" s="7" t="n">
        <v>0</v>
      </c>
      <c r="F7377" s="7" t="n">
        <v>1</v>
      </c>
      <c r="G7377" s="7" t="n">
        <v>296.52</v>
      </c>
    </row>
    <row r="7378" customFormat="false" ht="15" hidden="false" customHeight="false" outlineLevel="0" collapsed="false">
      <c r="A7378" s="7" t="s">
        <v>24</v>
      </c>
      <c r="B7378" s="7" t="s">
        <v>651</v>
      </c>
      <c r="C7378" s="7" t="s">
        <v>1074</v>
      </c>
      <c r="D7378" s="7" t="n">
        <v>0</v>
      </c>
      <c r="E7378" s="7" t="n">
        <v>0</v>
      </c>
      <c r="F7378" s="7" t="n">
        <v>2</v>
      </c>
      <c r="G7378" s="7" t="n">
        <v>518.92</v>
      </c>
    </row>
    <row r="7379" customFormat="false" ht="15" hidden="false" customHeight="false" outlineLevel="0" collapsed="false">
      <c r="A7379" s="7" t="s">
        <v>24</v>
      </c>
      <c r="B7379" s="7" t="s">
        <v>651</v>
      </c>
      <c r="C7379" s="7" t="s">
        <v>1074</v>
      </c>
      <c r="D7379" s="7" t="n">
        <v>13</v>
      </c>
      <c r="E7379" s="7" t="n">
        <v>3558</v>
      </c>
      <c r="F7379" s="7" t="n">
        <v>3</v>
      </c>
      <c r="G7379" s="7" t="n">
        <v>830.24</v>
      </c>
    </row>
    <row r="7380" customFormat="false" ht="15" hidden="false" customHeight="false" outlineLevel="0" collapsed="false">
      <c r="A7380" s="7" t="s">
        <v>24</v>
      </c>
      <c r="B7380" s="7" t="s">
        <v>651</v>
      </c>
      <c r="C7380" s="7" t="s">
        <v>1074</v>
      </c>
      <c r="D7380" s="7" t="n">
        <v>0</v>
      </c>
      <c r="E7380" s="7" t="n">
        <v>0</v>
      </c>
      <c r="F7380" s="7" t="n">
        <v>1</v>
      </c>
      <c r="G7380" s="7" t="n">
        <v>296.53</v>
      </c>
    </row>
    <row r="7381" customFormat="false" ht="15" hidden="false" customHeight="false" outlineLevel="0" collapsed="false">
      <c r="A7381" s="7" t="s">
        <v>24</v>
      </c>
      <c r="B7381" s="7" t="s">
        <v>651</v>
      </c>
      <c r="C7381" s="7" t="s">
        <v>1074</v>
      </c>
      <c r="D7381" s="7" t="n">
        <v>0</v>
      </c>
      <c r="E7381" s="7" t="n">
        <v>0</v>
      </c>
      <c r="F7381" s="7" t="n">
        <v>1</v>
      </c>
      <c r="G7381" s="7" t="n">
        <v>266.87</v>
      </c>
    </row>
    <row r="7382" customFormat="false" ht="15" hidden="false" customHeight="false" outlineLevel="0" collapsed="false">
      <c r="A7382" s="7" t="s">
        <v>24</v>
      </c>
      <c r="B7382" s="7" t="s">
        <v>651</v>
      </c>
      <c r="C7382" s="7" t="s">
        <v>1074</v>
      </c>
      <c r="D7382" s="7" t="n">
        <v>0</v>
      </c>
      <c r="E7382" s="7" t="n">
        <v>0</v>
      </c>
      <c r="F7382" s="7" t="n">
        <v>1</v>
      </c>
      <c r="G7382" s="7" t="n">
        <v>296.53</v>
      </c>
    </row>
    <row r="7383" customFormat="false" ht="15" hidden="false" customHeight="false" outlineLevel="0" collapsed="false">
      <c r="A7383" s="7" t="s">
        <v>24</v>
      </c>
      <c r="B7383" s="7" t="s">
        <v>651</v>
      </c>
      <c r="C7383" s="7" t="s">
        <v>1074</v>
      </c>
      <c r="D7383" s="7" t="n">
        <v>0</v>
      </c>
      <c r="E7383" s="7" t="n">
        <v>0</v>
      </c>
      <c r="F7383" s="7" t="n">
        <v>1</v>
      </c>
      <c r="G7383" s="7" t="n">
        <v>252.05</v>
      </c>
    </row>
    <row r="7384" customFormat="false" ht="15" hidden="false" customHeight="false" outlineLevel="0" collapsed="false">
      <c r="A7384" s="7" t="s">
        <v>24</v>
      </c>
      <c r="B7384" s="7" t="s">
        <v>651</v>
      </c>
      <c r="C7384" s="7" t="s">
        <v>1074</v>
      </c>
      <c r="D7384" s="7" t="n">
        <v>0</v>
      </c>
      <c r="E7384" s="7" t="n">
        <v>0</v>
      </c>
      <c r="F7384" s="7" t="n">
        <v>1</v>
      </c>
      <c r="G7384" s="7" t="n">
        <v>296.53</v>
      </c>
    </row>
    <row r="7385" customFormat="false" ht="15" hidden="false" customHeight="false" outlineLevel="0" collapsed="false">
      <c r="A7385" s="7" t="s">
        <v>24</v>
      </c>
      <c r="B7385" s="7" t="s">
        <v>651</v>
      </c>
      <c r="C7385" s="7" t="s">
        <v>1074</v>
      </c>
      <c r="D7385" s="7" t="n">
        <v>0</v>
      </c>
      <c r="E7385" s="7" t="n">
        <v>0</v>
      </c>
      <c r="F7385" s="7" t="n">
        <v>1</v>
      </c>
      <c r="G7385" s="7" t="n">
        <v>296.53</v>
      </c>
    </row>
    <row r="7386" customFormat="false" ht="15" hidden="false" customHeight="false" outlineLevel="0" collapsed="false">
      <c r="A7386" s="7" t="s">
        <v>24</v>
      </c>
      <c r="B7386" s="7" t="s">
        <v>651</v>
      </c>
      <c r="C7386" s="7" t="s">
        <v>1074</v>
      </c>
      <c r="D7386" s="7" t="n">
        <v>0</v>
      </c>
      <c r="E7386" s="7" t="n">
        <v>0</v>
      </c>
      <c r="F7386" s="7" t="n">
        <v>1</v>
      </c>
      <c r="G7386" s="7" t="n">
        <v>266.87</v>
      </c>
    </row>
    <row r="7387" customFormat="false" ht="15" hidden="false" customHeight="false" outlineLevel="0" collapsed="false">
      <c r="A7387" s="7" t="s">
        <v>24</v>
      </c>
      <c r="B7387" s="7" t="s">
        <v>651</v>
      </c>
      <c r="C7387" s="7" t="s">
        <v>1074</v>
      </c>
      <c r="D7387" s="7" t="n">
        <v>0</v>
      </c>
      <c r="E7387" s="7" t="n">
        <v>0</v>
      </c>
      <c r="F7387" s="7" t="n">
        <v>1</v>
      </c>
      <c r="G7387" s="7" t="n">
        <v>252.05</v>
      </c>
    </row>
    <row r="7388" customFormat="false" ht="15" hidden="false" customHeight="false" outlineLevel="0" collapsed="false">
      <c r="A7388" s="7" t="s">
        <v>24</v>
      </c>
      <c r="B7388" s="7" t="s">
        <v>651</v>
      </c>
      <c r="C7388" s="7" t="s">
        <v>1074</v>
      </c>
      <c r="D7388" s="7" t="n">
        <v>0</v>
      </c>
      <c r="E7388" s="7" t="n">
        <v>0</v>
      </c>
      <c r="F7388" s="7" t="n">
        <v>1</v>
      </c>
      <c r="G7388" s="7" t="n">
        <v>237.22</v>
      </c>
    </row>
    <row r="7389" customFormat="false" ht="15" hidden="false" customHeight="false" outlineLevel="0" collapsed="false">
      <c r="A7389" s="7" t="s">
        <v>24</v>
      </c>
      <c r="B7389" s="7" t="s">
        <v>651</v>
      </c>
      <c r="C7389" s="7" t="s">
        <v>1074</v>
      </c>
      <c r="D7389" s="7" t="n">
        <v>0</v>
      </c>
      <c r="E7389" s="7" t="n">
        <v>0</v>
      </c>
      <c r="F7389" s="7" t="n">
        <v>23</v>
      </c>
      <c r="G7389" s="7" t="n">
        <v>6050.34</v>
      </c>
    </row>
    <row r="7390" customFormat="false" ht="15" hidden="false" customHeight="false" outlineLevel="0" collapsed="false">
      <c r="A7390" s="7" t="s">
        <v>24</v>
      </c>
      <c r="B7390" s="7" t="s">
        <v>651</v>
      </c>
      <c r="C7390" s="7" t="s">
        <v>1074</v>
      </c>
      <c r="D7390" s="7" t="n">
        <v>0</v>
      </c>
      <c r="E7390" s="7" t="n">
        <v>0</v>
      </c>
      <c r="F7390" s="7" t="n">
        <v>1</v>
      </c>
      <c r="G7390" s="7" t="n">
        <v>296.53</v>
      </c>
    </row>
    <row r="7391" customFormat="false" ht="15" hidden="false" customHeight="false" outlineLevel="0" collapsed="false">
      <c r="A7391" s="7" t="s">
        <v>24</v>
      </c>
      <c r="B7391" s="7" t="s">
        <v>651</v>
      </c>
      <c r="C7391" s="7" t="s">
        <v>1074</v>
      </c>
      <c r="D7391" s="7" t="n">
        <v>0</v>
      </c>
      <c r="E7391" s="7" t="n">
        <v>0</v>
      </c>
      <c r="F7391" s="7" t="n">
        <v>1</v>
      </c>
      <c r="G7391" s="7" t="n">
        <v>252.05</v>
      </c>
    </row>
    <row r="7392" customFormat="false" ht="15" hidden="false" customHeight="false" outlineLevel="0" collapsed="false">
      <c r="A7392" s="7" t="s">
        <v>24</v>
      </c>
      <c r="B7392" s="7" t="s">
        <v>354</v>
      </c>
      <c r="C7392" s="7" t="s">
        <v>1074</v>
      </c>
      <c r="D7392" s="7" t="n">
        <v>2</v>
      </c>
      <c r="E7392" s="7" t="n">
        <v>513.38</v>
      </c>
      <c r="F7392" s="7" t="n">
        <v>0</v>
      </c>
      <c r="G7392" s="7" t="n">
        <v>0</v>
      </c>
    </row>
    <row r="7393" customFormat="false" ht="15" hidden="false" customHeight="false" outlineLevel="0" collapsed="false">
      <c r="A7393" s="7" t="s">
        <v>24</v>
      </c>
      <c r="B7393" s="7" t="s">
        <v>354</v>
      </c>
      <c r="C7393" s="7" t="s">
        <v>1074</v>
      </c>
      <c r="D7393" s="7" t="n">
        <v>0</v>
      </c>
      <c r="E7393" s="7" t="n">
        <v>0</v>
      </c>
      <c r="F7393" s="7" t="n">
        <v>1</v>
      </c>
      <c r="G7393" s="7" t="n">
        <v>296.53</v>
      </c>
    </row>
    <row r="7394" customFormat="false" ht="15" hidden="false" customHeight="false" outlineLevel="0" collapsed="false">
      <c r="A7394" s="7" t="s">
        <v>24</v>
      </c>
      <c r="B7394" s="7" t="s">
        <v>354</v>
      </c>
      <c r="C7394" s="7" t="s">
        <v>1074</v>
      </c>
      <c r="D7394" s="7" t="n">
        <v>0</v>
      </c>
      <c r="E7394" s="7" t="n">
        <v>0</v>
      </c>
      <c r="F7394" s="7" t="n">
        <v>1</v>
      </c>
      <c r="G7394" s="7" t="n">
        <v>296.53</v>
      </c>
    </row>
    <row r="7395" customFormat="false" ht="15" hidden="false" customHeight="false" outlineLevel="0" collapsed="false">
      <c r="A7395" s="7" t="s">
        <v>24</v>
      </c>
      <c r="B7395" s="7" t="s">
        <v>354</v>
      </c>
      <c r="C7395" s="7" t="s">
        <v>1074</v>
      </c>
      <c r="D7395" s="7" t="n">
        <v>0</v>
      </c>
      <c r="E7395" s="7" t="n">
        <v>0</v>
      </c>
      <c r="F7395" s="7" t="n">
        <v>4</v>
      </c>
      <c r="G7395" s="7" t="n">
        <v>1126.81</v>
      </c>
    </row>
    <row r="7396" customFormat="false" ht="15" hidden="false" customHeight="false" outlineLevel="0" collapsed="false">
      <c r="A7396" s="7" t="s">
        <v>24</v>
      </c>
      <c r="B7396" s="7" t="s">
        <v>354</v>
      </c>
      <c r="C7396" s="7" t="s">
        <v>1074</v>
      </c>
      <c r="D7396" s="7" t="n">
        <v>6</v>
      </c>
      <c r="E7396" s="7" t="n">
        <v>1391.95</v>
      </c>
      <c r="F7396" s="7" t="n">
        <v>0</v>
      </c>
      <c r="G7396" s="7" t="n">
        <v>0</v>
      </c>
    </row>
    <row r="7397" customFormat="false" ht="15" hidden="false" customHeight="false" outlineLevel="0" collapsed="false">
      <c r="A7397" s="7" t="s">
        <v>24</v>
      </c>
      <c r="B7397" s="7" t="s">
        <v>354</v>
      </c>
      <c r="C7397" s="7" t="s">
        <v>1074</v>
      </c>
      <c r="D7397" s="7" t="n">
        <v>0</v>
      </c>
      <c r="E7397" s="7" t="n">
        <v>0</v>
      </c>
      <c r="F7397" s="7" t="n">
        <v>1</v>
      </c>
      <c r="G7397" s="7" t="n">
        <v>296.53</v>
      </c>
    </row>
    <row r="7398" customFormat="false" ht="15" hidden="false" customHeight="false" outlineLevel="0" collapsed="false">
      <c r="A7398" s="7" t="s">
        <v>24</v>
      </c>
      <c r="B7398" s="7" t="s">
        <v>354</v>
      </c>
      <c r="C7398" s="7" t="s">
        <v>1074</v>
      </c>
      <c r="D7398" s="7" t="n">
        <v>0</v>
      </c>
      <c r="E7398" s="7" t="n">
        <v>0</v>
      </c>
      <c r="F7398" s="7" t="n">
        <v>1</v>
      </c>
      <c r="G7398" s="7" t="n">
        <v>296.52</v>
      </c>
    </row>
    <row r="7399" customFormat="false" ht="15" hidden="false" customHeight="false" outlineLevel="0" collapsed="false">
      <c r="A7399" s="7" t="s">
        <v>24</v>
      </c>
      <c r="B7399" s="7" t="s">
        <v>354</v>
      </c>
      <c r="C7399" s="7" t="s">
        <v>1074</v>
      </c>
      <c r="D7399" s="7" t="n">
        <v>0</v>
      </c>
      <c r="E7399" s="7" t="n">
        <v>0</v>
      </c>
      <c r="F7399" s="7" t="n">
        <v>1</v>
      </c>
      <c r="G7399" s="7" t="n">
        <v>237.22</v>
      </c>
    </row>
    <row r="7400" customFormat="false" ht="15" hidden="false" customHeight="false" outlineLevel="0" collapsed="false">
      <c r="A7400" s="7" t="s">
        <v>24</v>
      </c>
      <c r="B7400" s="7" t="s">
        <v>285</v>
      </c>
      <c r="C7400" s="7" t="s">
        <v>1074</v>
      </c>
      <c r="D7400" s="7" t="n">
        <v>0</v>
      </c>
      <c r="E7400" s="7" t="n">
        <v>0</v>
      </c>
      <c r="F7400" s="7" t="n">
        <v>1</v>
      </c>
      <c r="G7400" s="7" t="n">
        <v>266.87</v>
      </c>
    </row>
    <row r="7401" customFormat="false" ht="15" hidden="false" customHeight="false" outlineLevel="0" collapsed="false">
      <c r="A7401" s="7" t="s">
        <v>24</v>
      </c>
      <c r="B7401" s="7" t="s">
        <v>285</v>
      </c>
      <c r="C7401" s="7" t="s">
        <v>1074</v>
      </c>
      <c r="D7401" s="7" t="n">
        <v>0</v>
      </c>
      <c r="E7401" s="7" t="n">
        <v>0</v>
      </c>
      <c r="F7401" s="7" t="n">
        <v>1</v>
      </c>
      <c r="G7401" s="7" t="n">
        <v>266.87</v>
      </c>
    </row>
    <row r="7402" customFormat="false" ht="15" hidden="false" customHeight="false" outlineLevel="0" collapsed="false">
      <c r="A7402" s="7" t="s">
        <v>24</v>
      </c>
      <c r="B7402" s="7" t="s">
        <v>285</v>
      </c>
      <c r="C7402" s="7" t="s">
        <v>1074</v>
      </c>
      <c r="D7402" s="7" t="n">
        <v>2</v>
      </c>
      <c r="E7402" s="7" t="n">
        <v>548.52</v>
      </c>
      <c r="F7402" s="7" t="n">
        <v>4</v>
      </c>
      <c r="G7402" s="7" t="n">
        <v>1126.7</v>
      </c>
    </row>
    <row r="7403" customFormat="false" ht="15" hidden="false" customHeight="false" outlineLevel="0" collapsed="false">
      <c r="A7403" s="7" t="s">
        <v>24</v>
      </c>
      <c r="B7403" s="7" t="s">
        <v>285</v>
      </c>
      <c r="C7403" s="7" t="s">
        <v>1074</v>
      </c>
      <c r="D7403" s="7" t="n">
        <v>0</v>
      </c>
      <c r="E7403" s="7" t="n">
        <v>0</v>
      </c>
      <c r="F7403" s="7" t="n">
        <v>1</v>
      </c>
      <c r="G7403" s="7" t="n">
        <v>266.87</v>
      </c>
    </row>
    <row r="7404" customFormat="false" ht="15" hidden="false" customHeight="false" outlineLevel="0" collapsed="false">
      <c r="A7404" s="7" t="s">
        <v>24</v>
      </c>
      <c r="B7404" s="7" t="s">
        <v>285</v>
      </c>
      <c r="C7404" s="7" t="s">
        <v>1074</v>
      </c>
      <c r="D7404" s="7" t="n">
        <v>2</v>
      </c>
      <c r="E7404" s="7" t="n">
        <v>472.73</v>
      </c>
      <c r="F7404" s="7" t="n">
        <v>0</v>
      </c>
      <c r="G7404" s="7" t="n">
        <v>0</v>
      </c>
    </row>
    <row r="7405" customFormat="false" ht="15" hidden="false" customHeight="false" outlineLevel="0" collapsed="false">
      <c r="A7405" s="7" t="s">
        <v>24</v>
      </c>
      <c r="B7405" s="7" t="s">
        <v>285</v>
      </c>
      <c r="C7405" s="7" t="s">
        <v>1074</v>
      </c>
      <c r="D7405" s="7" t="n">
        <v>1</v>
      </c>
      <c r="E7405" s="7" t="n">
        <v>218.19</v>
      </c>
      <c r="F7405" s="7" t="n">
        <v>0</v>
      </c>
      <c r="G7405" s="7" t="n">
        <v>0</v>
      </c>
    </row>
    <row r="7406" customFormat="false" ht="15" hidden="false" customHeight="false" outlineLevel="0" collapsed="false">
      <c r="A7406" s="7" t="s">
        <v>24</v>
      </c>
      <c r="B7406" s="7" t="s">
        <v>285</v>
      </c>
      <c r="C7406" s="7" t="s">
        <v>1074</v>
      </c>
      <c r="D7406" s="7" t="n">
        <v>0</v>
      </c>
      <c r="E7406" s="7" t="n">
        <v>0</v>
      </c>
      <c r="F7406" s="7" t="n">
        <v>1</v>
      </c>
      <c r="G7406" s="7" t="n">
        <v>296.53</v>
      </c>
    </row>
    <row r="7407" customFormat="false" ht="15" hidden="false" customHeight="false" outlineLevel="0" collapsed="false">
      <c r="A7407" s="7" t="s">
        <v>24</v>
      </c>
      <c r="B7407" s="7" t="s">
        <v>526</v>
      </c>
      <c r="C7407" s="7" t="s">
        <v>1074</v>
      </c>
      <c r="D7407" s="7" t="n">
        <v>0</v>
      </c>
      <c r="E7407" s="7" t="n">
        <v>0</v>
      </c>
      <c r="F7407" s="7" t="n">
        <v>1</v>
      </c>
      <c r="G7407" s="7" t="n">
        <v>296.53</v>
      </c>
    </row>
    <row r="7408" customFormat="false" ht="15" hidden="false" customHeight="false" outlineLevel="0" collapsed="false">
      <c r="A7408" s="7" t="s">
        <v>24</v>
      </c>
      <c r="B7408" s="7" t="s">
        <v>526</v>
      </c>
      <c r="C7408" s="7" t="s">
        <v>1074</v>
      </c>
      <c r="D7408" s="7" t="n">
        <v>0</v>
      </c>
      <c r="E7408" s="7" t="n">
        <v>0</v>
      </c>
      <c r="F7408" s="7" t="n">
        <v>1</v>
      </c>
      <c r="G7408" s="7" t="n">
        <v>296.53</v>
      </c>
    </row>
    <row r="7409" customFormat="false" ht="15" hidden="false" customHeight="false" outlineLevel="0" collapsed="false">
      <c r="A7409" s="7" t="s">
        <v>24</v>
      </c>
      <c r="B7409" s="7" t="s">
        <v>526</v>
      </c>
      <c r="C7409" s="7" t="s">
        <v>1074</v>
      </c>
      <c r="D7409" s="7" t="n">
        <v>3</v>
      </c>
      <c r="E7409" s="7" t="n">
        <v>711.61</v>
      </c>
      <c r="F7409" s="7" t="n">
        <v>0</v>
      </c>
      <c r="G7409" s="7" t="n">
        <v>0</v>
      </c>
    </row>
    <row r="7410" customFormat="false" ht="15" hidden="false" customHeight="false" outlineLevel="0" collapsed="false">
      <c r="A7410" s="7" t="s">
        <v>24</v>
      </c>
      <c r="B7410" s="7" t="s">
        <v>526</v>
      </c>
      <c r="C7410" s="7" t="s">
        <v>1074</v>
      </c>
      <c r="D7410" s="7" t="n">
        <v>2</v>
      </c>
      <c r="E7410" s="7" t="n">
        <v>420.21</v>
      </c>
      <c r="F7410" s="7" t="n">
        <v>0</v>
      </c>
      <c r="G7410" s="7" t="n">
        <v>0</v>
      </c>
    </row>
    <row r="7411" customFormat="false" ht="15" hidden="false" customHeight="false" outlineLevel="0" collapsed="false">
      <c r="A7411" s="7" t="s">
        <v>24</v>
      </c>
      <c r="B7411" s="7" t="s">
        <v>526</v>
      </c>
      <c r="C7411" s="7" t="s">
        <v>1074</v>
      </c>
      <c r="D7411" s="7" t="n">
        <v>0</v>
      </c>
      <c r="E7411" s="7" t="n">
        <v>0</v>
      </c>
      <c r="F7411" s="7" t="n">
        <v>1</v>
      </c>
      <c r="G7411" s="7" t="n">
        <v>237.22</v>
      </c>
    </row>
    <row r="7412" customFormat="false" ht="15" hidden="false" customHeight="false" outlineLevel="0" collapsed="false">
      <c r="A7412" s="7" t="s">
        <v>24</v>
      </c>
      <c r="B7412" s="7" t="s">
        <v>322</v>
      </c>
      <c r="C7412" s="7" t="s">
        <v>1075</v>
      </c>
      <c r="D7412" s="7" t="n">
        <v>0</v>
      </c>
      <c r="E7412" s="7" t="n">
        <v>0</v>
      </c>
      <c r="F7412" s="7" t="n">
        <v>1</v>
      </c>
      <c r="G7412" s="7" t="n">
        <v>254.16</v>
      </c>
    </row>
    <row r="7413" customFormat="false" ht="15" hidden="false" customHeight="false" outlineLevel="0" collapsed="false">
      <c r="A7413" s="7" t="s">
        <v>24</v>
      </c>
      <c r="B7413" s="7" t="s">
        <v>322</v>
      </c>
      <c r="C7413" s="7" t="s">
        <v>1075</v>
      </c>
      <c r="D7413" s="7" t="n">
        <v>0</v>
      </c>
      <c r="E7413" s="7" t="n">
        <v>0</v>
      </c>
      <c r="F7413" s="7" t="n">
        <v>1</v>
      </c>
      <c r="G7413" s="7" t="n">
        <v>254.15</v>
      </c>
    </row>
    <row r="7414" customFormat="false" ht="15" hidden="false" customHeight="false" outlineLevel="0" collapsed="false">
      <c r="A7414" s="7" t="s">
        <v>24</v>
      </c>
      <c r="B7414" s="7" t="s">
        <v>322</v>
      </c>
      <c r="C7414" s="7" t="s">
        <v>1075</v>
      </c>
      <c r="D7414" s="7" t="n">
        <v>0</v>
      </c>
      <c r="E7414" s="7" t="n">
        <v>0</v>
      </c>
      <c r="F7414" s="7" t="n">
        <v>2</v>
      </c>
      <c r="G7414" s="7" t="n">
        <v>406.64</v>
      </c>
    </row>
    <row r="7415" customFormat="false" ht="15" hidden="false" customHeight="false" outlineLevel="0" collapsed="false">
      <c r="A7415" s="7" t="s">
        <v>24</v>
      </c>
      <c r="B7415" s="7" t="s">
        <v>322</v>
      </c>
      <c r="C7415" s="7" t="s">
        <v>1075</v>
      </c>
      <c r="D7415" s="7" t="n">
        <v>0</v>
      </c>
      <c r="E7415" s="7" t="n">
        <v>0</v>
      </c>
      <c r="F7415" s="7" t="n">
        <v>1</v>
      </c>
      <c r="G7415" s="7" t="n">
        <v>228.74</v>
      </c>
    </row>
    <row r="7416" customFormat="false" ht="15" hidden="false" customHeight="false" outlineLevel="0" collapsed="false">
      <c r="A7416" s="7" t="s">
        <v>24</v>
      </c>
      <c r="B7416" s="7" t="s">
        <v>322</v>
      </c>
      <c r="C7416" s="7" t="s">
        <v>1075</v>
      </c>
      <c r="D7416" s="7" t="n">
        <v>0</v>
      </c>
      <c r="E7416" s="7" t="n">
        <v>0</v>
      </c>
      <c r="F7416" s="7" t="n">
        <v>1</v>
      </c>
      <c r="G7416" s="7" t="n">
        <v>203.33</v>
      </c>
    </row>
    <row r="7417" customFormat="false" ht="15" hidden="false" customHeight="false" outlineLevel="0" collapsed="false">
      <c r="A7417" s="7" t="s">
        <v>24</v>
      </c>
      <c r="B7417" s="7" t="s">
        <v>322</v>
      </c>
      <c r="C7417" s="7" t="s">
        <v>1075</v>
      </c>
      <c r="D7417" s="7" t="n">
        <v>88</v>
      </c>
      <c r="E7417" s="7" t="n">
        <v>19035.83</v>
      </c>
      <c r="F7417" s="7" t="n">
        <v>14</v>
      </c>
      <c r="G7417" s="7" t="n">
        <v>2948.13</v>
      </c>
    </row>
    <row r="7418" customFormat="false" ht="15" hidden="false" customHeight="false" outlineLevel="0" collapsed="false">
      <c r="A7418" s="7" t="s">
        <v>24</v>
      </c>
      <c r="B7418" s="7" t="s">
        <v>322</v>
      </c>
      <c r="C7418" s="7" t="s">
        <v>1075</v>
      </c>
      <c r="D7418" s="7" t="n">
        <v>0</v>
      </c>
      <c r="E7418" s="7" t="n">
        <v>0</v>
      </c>
      <c r="F7418" s="7" t="n">
        <v>1</v>
      </c>
      <c r="G7418" s="7" t="n">
        <v>203.33</v>
      </c>
    </row>
    <row r="7419" customFormat="false" ht="15" hidden="false" customHeight="false" outlineLevel="0" collapsed="false">
      <c r="A7419" s="7" t="s">
        <v>24</v>
      </c>
      <c r="B7419" s="7" t="s">
        <v>322</v>
      </c>
      <c r="C7419" s="7" t="s">
        <v>1075</v>
      </c>
      <c r="D7419" s="7" t="n">
        <v>0</v>
      </c>
      <c r="E7419" s="7" t="n">
        <v>0</v>
      </c>
      <c r="F7419" s="7" t="n">
        <v>1</v>
      </c>
      <c r="G7419" s="7" t="n">
        <v>203.32</v>
      </c>
    </row>
    <row r="7420" customFormat="false" ht="15" hidden="false" customHeight="false" outlineLevel="0" collapsed="false">
      <c r="A7420" s="7" t="s">
        <v>24</v>
      </c>
      <c r="B7420" s="7" t="s">
        <v>322</v>
      </c>
      <c r="C7420" s="7" t="s">
        <v>1075</v>
      </c>
      <c r="D7420" s="7" t="n">
        <v>0</v>
      </c>
      <c r="E7420" s="7" t="n">
        <v>0</v>
      </c>
      <c r="F7420" s="7" t="n">
        <v>1</v>
      </c>
      <c r="G7420" s="7" t="n">
        <v>254.15</v>
      </c>
    </row>
    <row r="7421" customFormat="false" ht="15" hidden="false" customHeight="false" outlineLevel="0" collapsed="false">
      <c r="A7421" s="7" t="s">
        <v>24</v>
      </c>
      <c r="B7421" s="7" t="s">
        <v>322</v>
      </c>
      <c r="C7421" s="7" t="s">
        <v>1075</v>
      </c>
      <c r="D7421" s="7" t="n">
        <v>0</v>
      </c>
      <c r="E7421" s="7" t="n">
        <v>0</v>
      </c>
      <c r="F7421" s="7" t="n">
        <v>40</v>
      </c>
      <c r="G7421" s="7" t="n">
        <v>8818.97</v>
      </c>
    </row>
    <row r="7422" customFormat="false" ht="15" hidden="false" customHeight="false" outlineLevel="0" collapsed="false">
      <c r="A7422" s="7" t="s">
        <v>24</v>
      </c>
      <c r="B7422" s="7" t="s">
        <v>322</v>
      </c>
      <c r="C7422" s="7" t="s">
        <v>1075</v>
      </c>
      <c r="D7422" s="7" t="n">
        <v>0</v>
      </c>
      <c r="E7422" s="7" t="n">
        <v>0</v>
      </c>
      <c r="F7422" s="7" t="n">
        <v>1</v>
      </c>
      <c r="G7422" s="7" t="n">
        <v>203.32</v>
      </c>
    </row>
    <row r="7423" customFormat="false" ht="15" hidden="false" customHeight="false" outlineLevel="0" collapsed="false">
      <c r="A7423" s="7" t="s">
        <v>24</v>
      </c>
      <c r="B7423" s="7" t="s">
        <v>322</v>
      </c>
      <c r="C7423" s="7" t="s">
        <v>1075</v>
      </c>
      <c r="D7423" s="7" t="n">
        <v>0</v>
      </c>
      <c r="E7423" s="7" t="n">
        <v>0</v>
      </c>
      <c r="F7423" s="7" t="n">
        <v>1</v>
      </c>
      <c r="G7423" s="7" t="n">
        <v>254.15</v>
      </c>
    </row>
    <row r="7424" customFormat="false" ht="15" hidden="false" customHeight="false" outlineLevel="0" collapsed="false">
      <c r="A7424" s="7" t="s">
        <v>24</v>
      </c>
      <c r="B7424" s="7" t="s">
        <v>322</v>
      </c>
      <c r="C7424" s="7" t="s">
        <v>1075</v>
      </c>
      <c r="D7424" s="7" t="n">
        <v>0</v>
      </c>
      <c r="E7424" s="7" t="n">
        <v>0</v>
      </c>
      <c r="F7424" s="7" t="n">
        <v>1</v>
      </c>
      <c r="G7424" s="7" t="n">
        <v>254.15</v>
      </c>
    </row>
    <row r="7425" customFormat="false" ht="15" hidden="false" customHeight="false" outlineLevel="0" collapsed="false">
      <c r="A7425" s="7" t="s">
        <v>24</v>
      </c>
      <c r="B7425" s="7" t="s">
        <v>322</v>
      </c>
      <c r="C7425" s="7" t="s">
        <v>1075</v>
      </c>
      <c r="D7425" s="7" t="n">
        <v>0</v>
      </c>
      <c r="E7425" s="7" t="n">
        <v>0</v>
      </c>
      <c r="F7425" s="7" t="n">
        <v>1</v>
      </c>
      <c r="G7425" s="7" t="n">
        <v>203.32</v>
      </c>
    </row>
    <row r="7426" customFormat="false" ht="15" hidden="false" customHeight="false" outlineLevel="0" collapsed="false">
      <c r="A7426" s="7" t="s">
        <v>24</v>
      </c>
      <c r="B7426" s="7" t="s">
        <v>322</v>
      </c>
      <c r="C7426" s="7" t="s">
        <v>1075</v>
      </c>
      <c r="D7426" s="7" t="n">
        <v>0</v>
      </c>
      <c r="E7426" s="7" t="n">
        <v>0</v>
      </c>
      <c r="F7426" s="7" t="n">
        <v>1</v>
      </c>
      <c r="G7426" s="7" t="n">
        <v>254.16</v>
      </c>
    </row>
    <row r="7427" customFormat="false" ht="15" hidden="false" customHeight="false" outlineLevel="0" collapsed="false">
      <c r="A7427" s="7" t="s">
        <v>24</v>
      </c>
      <c r="B7427" s="7" t="s">
        <v>322</v>
      </c>
      <c r="C7427" s="7" t="s">
        <v>1075</v>
      </c>
      <c r="D7427" s="7" t="n">
        <v>12</v>
      </c>
      <c r="E7427" s="7" t="n">
        <v>2680.77</v>
      </c>
      <c r="F7427" s="7" t="n">
        <v>0</v>
      </c>
      <c r="G7427" s="7" t="n">
        <v>0</v>
      </c>
    </row>
    <row r="7428" customFormat="false" ht="15" hidden="false" customHeight="false" outlineLevel="0" collapsed="false">
      <c r="A7428" s="7" t="s">
        <v>24</v>
      </c>
      <c r="B7428" s="7" t="s">
        <v>322</v>
      </c>
      <c r="C7428" s="7" t="s">
        <v>1075</v>
      </c>
      <c r="D7428" s="7" t="n">
        <v>0</v>
      </c>
      <c r="E7428" s="7" t="n">
        <v>0</v>
      </c>
      <c r="F7428" s="7" t="n">
        <v>1</v>
      </c>
      <c r="G7428" s="7" t="n">
        <v>203.33</v>
      </c>
    </row>
    <row r="7429" customFormat="false" ht="15" hidden="false" customHeight="false" outlineLevel="0" collapsed="false">
      <c r="A7429" s="7" t="s">
        <v>24</v>
      </c>
      <c r="B7429" s="7" t="s">
        <v>322</v>
      </c>
      <c r="C7429" s="7" t="s">
        <v>1075</v>
      </c>
      <c r="D7429" s="7" t="n">
        <v>0</v>
      </c>
      <c r="E7429" s="7" t="n">
        <v>0</v>
      </c>
      <c r="F7429" s="7" t="n">
        <v>1</v>
      </c>
      <c r="G7429" s="7" t="n">
        <v>203.32</v>
      </c>
    </row>
    <row r="7430" customFormat="false" ht="15" hidden="false" customHeight="false" outlineLevel="0" collapsed="false">
      <c r="A7430" s="7" t="s">
        <v>24</v>
      </c>
      <c r="B7430" s="7" t="s">
        <v>322</v>
      </c>
      <c r="C7430" s="7" t="s">
        <v>1075</v>
      </c>
      <c r="D7430" s="7" t="n">
        <v>0</v>
      </c>
      <c r="E7430" s="7" t="n">
        <v>0</v>
      </c>
      <c r="F7430" s="7" t="n">
        <v>1</v>
      </c>
      <c r="G7430" s="7" t="n">
        <v>203.32</v>
      </c>
    </row>
    <row r="7431" customFormat="false" ht="15" hidden="false" customHeight="false" outlineLevel="0" collapsed="false">
      <c r="A7431" s="7" t="s">
        <v>24</v>
      </c>
      <c r="B7431" s="7" t="s">
        <v>322</v>
      </c>
      <c r="C7431" s="7" t="s">
        <v>1075</v>
      </c>
      <c r="D7431" s="7" t="n">
        <v>0</v>
      </c>
      <c r="E7431" s="7" t="n">
        <v>0</v>
      </c>
      <c r="F7431" s="7" t="n">
        <v>1</v>
      </c>
      <c r="G7431" s="7" t="n">
        <v>228.74</v>
      </c>
    </row>
    <row r="7432" customFormat="false" ht="15" hidden="false" customHeight="false" outlineLevel="0" collapsed="false">
      <c r="A7432" s="7" t="s">
        <v>24</v>
      </c>
      <c r="B7432" s="7" t="s">
        <v>322</v>
      </c>
      <c r="C7432" s="7" t="s">
        <v>1075</v>
      </c>
      <c r="D7432" s="7" t="n">
        <v>0</v>
      </c>
      <c r="E7432" s="7" t="n">
        <v>0</v>
      </c>
      <c r="F7432" s="7" t="n">
        <v>1</v>
      </c>
      <c r="G7432" s="7" t="n">
        <v>203.32</v>
      </c>
    </row>
    <row r="7433" customFormat="false" ht="15" hidden="false" customHeight="false" outlineLevel="0" collapsed="false">
      <c r="A7433" s="7" t="s">
        <v>24</v>
      </c>
      <c r="B7433" s="7" t="s">
        <v>322</v>
      </c>
      <c r="C7433" s="7" t="s">
        <v>1075</v>
      </c>
      <c r="D7433" s="7" t="n">
        <v>0</v>
      </c>
      <c r="E7433" s="7" t="n">
        <v>0</v>
      </c>
      <c r="F7433" s="7" t="n">
        <v>1</v>
      </c>
      <c r="G7433" s="7" t="n">
        <v>228.73</v>
      </c>
    </row>
    <row r="7434" customFormat="false" ht="15" hidden="false" customHeight="false" outlineLevel="0" collapsed="false">
      <c r="A7434" s="7" t="s">
        <v>24</v>
      </c>
      <c r="B7434" s="7" t="s">
        <v>322</v>
      </c>
      <c r="C7434" s="7" t="s">
        <v>1075</v>
      </c>
      <c r="D7434" s="7" t="n">
        <v>0</v>
      </c>
      <c r="E7434" s="7" t="n">
        <v>0</v>
      </c>
      <c r="F7434" s="7" t="n">
        <v>1</v>
      </c>
      <c r="G7434" s="7" t="n">
        <v>203.32</v>
      </c>
    </row>
    <row r="7435" customFormat="false" ht="15" hidden="false" customHeight="false" outlineLevel="0" collapsed="false">
      <c r="A7435" s="7" t="s">
        <v>24</v>
      </c>
      <c r="B7435" s="7" t="s">
        <v>322</v>
      </c>
      <c r="C7435" s="7" t="s">
        <v>1075</v>
      </c>
      <c r="D7435" s="7" t="n">
        <v>0</v>
      </c>
      <c r="E7435" s="7" t="n">
        <v>0</v>
      </c>
      <c r="F7435" s="7" t="n">
        <v>1</v>
      </c>
      <c r="G7435" s="7" t="n">
        <v>228.74</v>
      </c>
    </row>
    <row r="7436" customFormat="false" ht="15" hidden="false" customHeight="false" outlineLevel="0" collapsed="false">
      <c r="A7436" s="7" t="s">
        <v>24</v>
      </c>
      <c r="B7436" s="7" t="s">
        <v>322</v>
      </c>
      <c r="C7436" s="7" t="s">
        <v>1075</v>
      </c>
      <c r="D7436" s="7" t="n">
        <v>0</v>
      </c>
      <c r="E7436" s="7" t="n">
        <v>0</v>
      </c>
      <c r="F7436" s="7" t="n">
        <v>1</v>
      </c>
      <c r="G7436" s="7" t="n">
        <v>228.74</v>
      </c>
    </row>
    <row r="7437" customFormat="false" ht="15" hidden="false" customHeight="false" outlineLevel="0" collapsed="false">
      <c r="A7437" s="7" t="s">
        <v>24</v>
      </c>
      <c r="B7437" s="7" t="s">
        <v>322</v>
      </c>
      <c r="C7437" s="7" t="s">
        <v>1075</v>
      </c>
      <c r="D7437" s="7" t="n">
        <v>0</v>
      </c>
      <c r="E7437" s="7" t="n">
        <v>0</v>
      </c>
      <c r="F7437" s="7" t="n">
        <v>1</v>
      </c>
      <c r="G7437" s="7" t="n">
        <v>228.74</v>
      </c>
    </row>
    <row r="7438" customFormat="false" ht="15" hidden="false" customHeight="false" outlineLevel="0" collapsed="false">
      <c r="A7438" s="7" t="s">
        <v>24</v>
      </c>
      <c r="B7438" s="7" t="s">
        <v>322</v>
      </c>
      <c r="C7438" s="7" t="s">
        <v>1075</v>
      </c>
      <c r="D7438" s="7" t="n">
        <v>0</v>
      </c>
      <c r="E7438" s="7" t="n">
        <v>0</v>
      </c>
      <c r="F7438" s="7" t="n">
        <v>1</v>
      </c>
      <c r="G7438" s="7" t="n">
        <v>228.74</v>
      </c>
    </row>
    <row r="7439" customFormat="false" ht="15" hidden="false" customHeight="false" outlineLevel="0" collapsed="false">
      <c r="A7439" s="7" t="s">
        <v>24</v>
      </c>
      <c r="B7439" s="7" t="s">
        <v>322</v>
      </c>
      <c r="C7439" s="7" t="s">
        <v>1075</v>
      </c>
      <c r="D7439" s="7" t="n">
        <v>0</v>
      </c>
      <c r="E7439" s="7" t="n">
        <v>0</v>
      </c>
      <c r="F7439" s="7" t="n">
        <v>1</v>
      </c>
      <c r="G7439" s="7" t="n">
        <v>254.15</v>
      </c>
    </row>
    <row r="7440" customFormat="false" ht="15" hidden="false" customHeight="false" outlineLevel="0" collapsed="false">
      <c r="A7440" s="7" t="s">
        <v>24</v>
      </c>
      <c r="B7440" s="7" t="s">
        <v>322</v>
      </c>
      <c r="C7440" s="7" t="s">
        <v>1075</v>
      </c>
      <c r="D7440" s="7" t="n">
        <v>0</v>
      </c>
      <c r="E7440" s="7" t="n">
        <v>0</v>
      </c>
      <c r="F7440" s="7" t="n">
        <v>1</v>
      </c>
      <c r="G7440" s="7" t="n">
        <v>254.16</v>
      </c>
    </row>
    <row r="7441" customFormat="false" ht="15" hidden="false" customHeight="false" outlineLevel="0" collapsed="false">
      <c r="A7441" s="7" t="s">
        <v>24</v>
      </c>
      <c r="B7441" s="7" t="s">
        <v>322</v>
      </c>
      <c r="C7441" s="7" t="s">
        <v>1075</v>
      </c>
      <c r="D7441" s="7" t="n">
        <v>0</v>
      </c>
      <c r="E7441" s="7" t="n">
        <v>0</v>
      </c>
      <c r="F7441" s="7" t="n">
        <v>1</v>
      </c>
      <c r="G7441" s="7" t="n">
        <v>216.04</v>
      </c>
    </row>
    <row r="7442" customFormat="false" ht="15" hidden="false" customHeight="false" outlineLevel="0" collapsed="false">
      <c r="A7442" s="7" t="s">
        <v>24</v>
      </c>
      <c r="B7442" s="7" t="s">
        <v>322</v>
      </c>
      <c r="C7442" s="7" t="s">
        <v>1075</v>
      </c>
      <c r="D7442" s="7" t="n">
        <v>0</v>
      </c>
      <c r="E7442" s="7" t="n">
        <v>0</v>
      </c>
      <c r="F7442" s="7" t="n">
        <v>1</v>
      </c>
      <c r="G7442" s="7" t="n">
        <v>228.74</v>
      </c>
    </row>
    <row r="7443" customFormat="false" ht="15" hidden="false" customHeight="false" outlineLevel="0" collapsed="false">
      <c r="A7443" s="7" t="s">
        <v>24</v>
      </c>
      <c r="B7443" s="7" t="s">
        <v>322</v>
      </c>
      <c r="C7443" s="7" t="s">
        <v>1075</v>
      </c>
      <c r="D7443" s="7" t="n">
        <v>0</v>
      </c>
      <c r="E7443" s="7" t="n">
        <v>0</v>
      </c>
      <c r="F7443" s="7" t="n">
        <v>1</v>
      </c>
      <c r="G7443" s="7" t="n">
        <v>254.16</v>
      </c>
    </row>
    <row r="7444" customFormat="false" ht="15" hidden="false" customHeight="false" outlineLevel="0" collapsed="false">
      <c r="A7444" s="7" t="s">
        <v>24</v>
      </c>
      <c r="B7444" s="7" t="s">
        <v>322</v>
      </c>
      <c r="C7444" s="7" t="s">
        <v>1075</v>
      </c>
      <c r="D7444" s="7" t="n">
        <v>0</v>
      </c>
      <c r="E7444" s="7" t="n">
        <v>0</v>
      </c>
      <c r="F7444" s="7" t="n">
        <v>2</v>
      </c>
      <c r="G7444" s="7" t="n">
        <v>406.64</v>
      </c>
    </row>
    <row r="7445" customFormat="false" ht="15" hidden="false" customHeight="false" outlineLevel="0" collapsed="false">
      <c r="A7445" s="7" t="s">
        <v>24</v>
      </c>
      <c r="B7445" s="7" t="s">
        <v>322</v>
      </c>
      <c r="C7445" s="7" t="s">
        <v>1075</v>
      </c>
      <c r="D7445" s="7" t="n">
        <v>0</v>
      </c>
      <c r="E7445" s="7" t="n">
        <v>0</v>
      </c>
      <c r="F7445" s="7" t="n">
        <v>1</v>
      </c>
      <c r="G7445" s="7" t="n">
        <v>228.73</v>
      </c>
    </row>
    <row r="7446" customFormat="false" ht="15" hidden="false" customHeight="false" outlineLevel="0" collapsed="false">
      <c r="A7446" s="7" t="s">
        <v>24</v>
      </c>
      <c r="B7446" s="7" t="s">
        <v>322</v>
      </c>
      <c r="C7446" s="7" t="s">
        <v>1075</v>
      </c>
      <c r="D7446" s="7" t="n">
        <v>0</v>
      </c>
      <c r="E7446" s="7" t="n">
        <v>0</v>
      </c>
      <c r="F7446" s="7" t="n">
        <v>2</v>
      </c>
      <c r="G7446" s="7" t="n">
        <v>406.64</v>
      </c>
    </row>
    <row r="7447" customFormat="false" ht="15" hidden="false" customHeight="false" outlineLevel="0" collapsed="false">
      <c r="A7447" s="7" t="s">
        <v>24</v>
      </c>
      <c r="B7447" s="7" t="s">
        <v>322</v>
      </c>
      <c r="C7447" s="7" t="s">
        <v>1075</v>
      </c>
      <c r="D7447" s="7" t="n">
        <v>0</v>
      </c>
      <c r="E7447" s="7" t="n">
        <v>0</v>
      </c>
      <c r="F7447" s="7" t="n">
        <v>1</v>
      </c>
      <c r="G7447" s="7" t="n">
        <v>254.15</v>
      </c>
    </row>
    <row r="7448" customFormat="false" ht="15" hidden="false" customHeight="false" outlineLevel="0" collapsed="false">
      <c r="A7448" s="7" t="s">
        <v>24</v>
      </c>
      <c r="B7448" s="7" t="s">
        <v>322</v>
      </c>
      <c r="C7448" s="7" t="s">
        <v>1075</v>
      </c>
      <c r="D7448" s="7" t="n">
        <v>0</v>
      </c>
      <c r="E7448" s="7" t="n">
        <v>0</v>
      </c>
      <c r="F7448" s="7" t="n">
        <v>1</v>
      </c>
      <c r="G7448" s="7" t="n">
        <v>254.16</v>
      </c>
    </row>
    <row r="7449" customFormat="false" ht="15" hidden="false" customHeight="false" outlineLevel="0" collapsed="false">
      <c r="A7449" s="7" t="s">
        <v>24</v>
      </c>
      <c r="B7449" s="7" t="s">
        <v>322</v>
      </c>
      <c r="C7449" s="7" t="s">
        <v>1075</v>
      </c>
      <c r="D7449" s="7" t="n">
        <v>0</v>
      </c>
      <c r="E7449" s="7" t="n">
        <v>0</v>
      </c>
      <c r="F7449" s="7" t="n">
        <v>1</v>
      </c>
      <c r="G7449" s="7" t="n">
        <v>254.16</v>
      </c>
    </row>
    <row r="7450" customFormat="false" ht="15" hidden="false" customHeight="false" outlineLevel="0" collapsed="false">
      <c r="A7450" s="7" t="s">
        <v>24</v>
      </c>
      <c r="B7450" s="7" t="s">
        <v>322</v>
      </c>
      <c r="C7450" s="7" t="s">
        <v>1075</v>
      </c>
      <c r="D7450" s="7" t="n">
        <v>0</v>
      </c>
      <c r="E7450" s="7" t="n">
        <v>0</v>
      </c>
      <c r="F7450" s="7" t="n">
        <v>2</v>
      </c>
      <c r="G7450" s="7" t="n">
        <v>482.9</v>
      </c>
    </row>
    <row r="7451" customFormat="false" ht="15" hidden="false" customHeight="false" outlineLevel="0" collapsed="false">
      <c r="A7451" s="7" t="s">
        <v>24</v>
      </c>
      <c r="B7451" s="7" t="s">
        <v>322</v>
      </c>
      <c r="C7451" s="7" t="s">
        <v>1075</v>
      </c>
      <c r="D7451" s="7" t="n">
        <v>0</v>
      </c>
      <c r="E7451" s="7" t="n">
        <v>0</v>
      </c>
      <c r="F7451" s="7" t="n">
        <v>2</v>
      </c>
      <c r="G7451" s="7" t="n">
        <v>508.32</v>
      </c>
    </row>
    <row r="7452" customFormat="false" ht="15" hidden="false" customHeight="false" outlineLevel="0" collapsed="false">
      <c r="A7452" s="7" t="s">
        <v>24</v>
      </c>
      <c r="B7452" s="7" t="s">
        <v>322</v>
      </c>
      <c r="C7452" s="7" t="s">
        <v>1075</v>
      </c>
      <c r="D7452" s="7" t="n">
        <v>0</v>
      </c>
      <c r="E7452" s="7" t="n">
        <v>0</v>
      </c>
      <c r="F7452" s="7" t="n">
        <v>2</v>
      </c>
      <c r="G7452" s="7" t="n">
        <v>406.64</v>
      </c>
    </row>
    <row r="7453" customFormat="false" ht="15" hidden="false" customHeight="false" outlineLevel="0" collapsed="false">
      <c r="A7453" s="7" t="s">
        <v>24</v>
      </c>
      <c r="B7453" s="7" t="s">
        <v>322</v>
      </c>
      <c r="C7453" s="7" t="s">
        <v>1075</v>
      </c>
      <c r="D7453" s="7" t="n">
        <v>2</v>
      </c>
      <c r="E7453" s="7" t="n">
        <v>408.32</v>
      </c>
      <c r="F7453" s="7" t="n">
        <v>0</v>
      </c>
      <c r="G7453" s="7" t="n">
        <v>0</v>
      </c>
    </row>
    <row r="7454" customFormat="false" ht="15" hidden="false" customHeight="false" outlineLevel="0" collapsed="false">
      <c r="A7454" s="7" t="s">
        <v>24</v>
      </c>
      <c r="B7454" s="7" t="s">
        <v>322</v>
      </c>
      <c r="C7454" s="7" t="s">
        <v>1075</v>
      </c>
      <c r="D7454" s="7" t="n">
        <v>2</v>
      </c>
      <c r="E7454" s="7" t="n">
        <v>408.24</v>
      </c>
      <c r="F7454" s="7" t="n">
        <v>0</v>
      </c>
      <c r="G7454" s="7" t="n">
        <v>0</v>
      </c>
    </row>
    <row r="7455" customFormat="false" ht="15" hidden="false" customHeight="false" outlineLevel="0" collapsed="false">
      <c r="A7455" s="7" t="s">
        <v>24</v>
      </c>
      <c r="B7455" s="7" t="s">
        <v>148</v>
      </c>
      <c r="C7455" s="7" t="s">
        <v>1075</v>
      </c>
      <c r="D7455" s="7" t="n">
        <v>0</v>
      </c>
      <c r="E7455" s="7" t="n">
        <v>0</v>
      </c>
      <c r="F7455" s="7" t="n">
        <v>1</v>
      </c>
      <c r="G7455" s="7" t="n">
        <v>216.03</v>
      </c>
    </row>
    <row r="7456" customFormat="false" ht="15" hidden="false" customHeight="false" outlineLevel="0" collapsed="false">
      <c r="A7456" s="7" t="s">
        <v>24</v>
      </c>
      <c r="B7456" s="7" t="s">
        <v>148</v>
      </c>
      <c r="C7456" s="7" t="s">
        <v>1075</v>
      </c>
      <c r="D7456" s="7" t="n">
        <v>18</v>
      </c>
      <c r="E7456" s="7" t="n">
        <v>3872.24</v>
      </c>
      <c r="F7456" s="7" t="n">
        <v>0</v>
      </c>
      <c r="G7456" s="7" t="n">
        <v>0</v>
      </c>
    </row>
    <row r="7457" customFormat="false" ht="15" hidden="false" customHeight="false" outlineLevel="0" collapsed="false">
      <c r="A7457" s="7" t="s">
        <v>24</v>
      </c>
      <c r="B7457" s="7" t="s">
        <v>148</v>
      </c>
      <c r="C7457" s="7" t="s">
        <v>1075</v>
      </c>
      <c r="D7457" s="7" t="n">
        <v>0</v>
      </c>
      <c r="E7457" s="7" t="n">
        <v>0</v>
      </c>
      <c r="F7457" s="7" t="n">
        <v>1</v>
      </c>
      <c r="G7457" s="7" t="n">
        <v>203.33</v>
      </c>
    </row>
    <row r="7458" customFormat="false" ht="15" hidden="false" customHeight="false" outlineLevel="0" collapsed="false">
      <c r="A7458" s="7" t="s">
        <v>24</v>
      </c>
      <c r="B7458" s="7" t="s">
        <v>148</v>
      </c>
      <c r="C7458" s="7" t="s">
        <v>1075</v>
      </c>
      <c r="D7458" s="7" t="n">
        <v>0</v>
      </c>
      <c r="E7458" s="7" t="n">
        <v>0</v>
      </c>
      <c r="F7458" s="7" t="n">
        <v>1</v>
      </c>
      <c r="G7458" s="7" t="n">
        <v>229.5</v>
      </c>
    </row>
    <row r="7459" customFormat="false" ht="15" hidden="false" customHeight="false" outlineLevel="0" collapsed="false">
      <c r="A7459" s="7" t="s">
        <v>24</v>
      </c>
      <c r="B7459" s="7" t="s">
        <v>148</v>
      </c>
      <c r="C7459" s="7" t="s">
        <v>1075</v>
      </c>
      <c r="D7459" s="7" t="n">
        <v>0</v>
      </c>
      <c r="E7459" s="7" t="n">
        <v>0</v>
      </c>
      <c r="F7459" s="7" t="n">
        <v>1</v>
      </c>
      <c r="G7459" s="7" t="n">
        <v>228.74</v>
      </c>
    </row>
    <row r="7460" customFormat="false" ht="15" hidden="false" customHeight="false" outlineLevel="0" collapsed="false">
      <c r="A7460" s="7" t="s">
        <v>24</v>
      </c>
      <c r="B7460" s="7" t="s">
        <v>148</v>
      </c>
      <c r="C7460" s="7" t="s">
        <v>1075</v>
      </c>
      <c r="D7460" s="7" t="n">
        <v>0</v>
      </c>
      <c r="E7460" s="7" t="n">
        <v>0</v>
      </c>
      <c r="F7460" s="7" t="n">
        <v>1</v>
      </c>
      <c r="G7460" s="7" t="n">
        <v>203.32</v>
      </c>
    </row>
    <row r="7461" customFormat="false" ht="15" hidden="false" customHeight="false" outlineLevel="0" collapsed="false">
      <c r="A7461" s="7" t="s">
        <v>24</v>
      </c>
      <c r="B7461" s="7" t="s">
        <v>148</v>
      </c>
      <c r="C7461" s="7" t="s">
        <v>1075</v>
      </c>
      <c r="D7461" s="7" t="n">
        <v>0</v>
      </c>
      <c r="E7461" s="7" t="n">
        <v>0</v>
      </c>
      <c r="F7461" s="7" t="n">
        <v>1</v>
      </c>
      <c r="G7461" s="7" t="n">
        <v>203.32</v>
      </c>
    </row>
    <row r="7462" customFormat="false" ht="15" hidden="false" customHeight="false" outlineLevel="0" collapsed="false">
      <c r="A7462" s="7" t="s">
        <v>24</v>
      </c>
      <c r="B7462" s="7" t="s">
        <v>148</v>
      </c>
      <c r="C7462" s="7" t="s">
        <v>1075</v>
      </c>
      <c r="D7462" s="7" t="n">
        <v>0</v>
      </c>
      <c r="E7462" s="7" t="n">
        <v>0</v>
      </c>
      <c r="F7462" s="7" t="n">
        <v>1</v>
      </c>
      <c r="G7462" s="7" t="n">
        <v>228.73</v>
      </c>
    </row>
    <row r="7463" customFormat="false" ht="15" hidden="false" customHeight="false" outlineLevel="0" collapsed="false">
      <c r="A7463" s="7" t="s">
        <v>24</v>
      </c>
      <c r="B7463" s="7" t="s">
        <v>148</v>
      </c>
      <c r="C7463" s="7" t="s">
        <v>1075</v>
      </c>
      <c r="D7463" s="7" t="n">
        <v>0</v>
      </c>
      <c r="E7463" s="7" t="n">
        <v>0</v>
      </c>
      <c r="F7463" s="7" t="n">
        <v>2</v>
      </c>
      <c r="G7463" s="7" t="n">
        <v>406.64</v>
      </c>
    </row>
    <row r="7464" customFormat="false" ht="15" hidden="false" customHeight="false" outlineLevel="0" collapsed="false">
      <c r="A7464" s="7" t="s">
        <v>24</v>
      </c>
      <c r="B7464" s="7" t="s">
        <v>148</v>
      </c>
      <c r="C7464" s="7" t="s">
        <v>1075</v>
      </c>
      <c r="D7464" s="7" t="n">
        <v>0</v>
      </c>
      <c r="E7464" s="7" t="n">
        <v>0</v>
      </c>
      <c r="F7464" s="7" t="n">
        <v>2</v>
      </c>
      <c r="G7464" s="7" t="n">
        <v>432.07</v>
      </c>
    </row>
    <row r="7465" customFormat="false" ht="15" hidden="false" customHeight="false" outlineLevel="0" collapsed="false">
      <c r="A7465" s="7" t="s">
        <v>24</v>
      </c>
      <c r="B7465" s="7" t="s">
        <v>148</v>
      </c>
      <c r="C7465" s="7" t="s">
        <v>1075</v>
      </c>
      <c r="D7465" s="7" t="n">
        <v>89</v>
      </c>
      <c r="E7465" s="7" t="n">
        <v>19506.04</v>
      </c>
      <c r="F7465" s="7" t="n">
        <v>11</v>
      </c>
      <c r="G7465" s="7" t="n">
        <v>2439.84</v>
      </c>
    </row>
    <row r="7466" customFormat="false" ht="15" hidden="false" customHeight="false" outlineLevel="0" collapsed="false">
      <c r="A7466" s="7" t="s">
        <v>24</v>
      </c>
      <c r="B7466" s="7" t="s">
        <v>148</v>
      </c>
      <c r="C7466" s="7" t="s">
        <v>1075</v>
      </c>
      <c r="D7466" s="7" t="n">
        <v>1</v>
      </c>
      <c r="E7466" s="7" t="n">
        <v>0.01</v>
      </c>
      <c r="F7466" s="7" t="n">
        <v>0</v>
      </c>
      <c r="G7466" s="7" t="n">
        <v>0</v>
      </c>
    </row>
    <row r="7467" customFormat="false" ht="15" hidden="false" customHeight="false" outlineLevel="0" collapsed="false">
      <c r="A7467" s="7" t="s">
        <v>24</v>
      </c>
      <c r="B7467" s="7" t="s">
        <v>148</v>
      </c>
      <c r="C7467" s="7" t="s">
        <v>1075</v>
      </c>
      <c r="D7467" s="7" t="n">
        <v>0</v>
      </c>
      <c r="E7467" s="7" t="n">
        <v>0</v>
      </c>
      <c r="F7467" s="7" t="n">
        <v>7</v>
      </c>
      <c r="G7467" s="7" t="n">
        <v>1474.07</v>
      </c>
    </row>
    <row r="7468" customFormat="false" ht="15" hidden="false" customHeight="false" outlineLevel="0" collapsed="false">
      <c r="A7468" s="7" t="s">
        <v>24</v>
      </c>
      <c r="B7468" s="7" t="s">
        <v>148</v>
      </c>
      <c r="C7468" s="7" t="s">
        <v>1075</v>
      </c>
      <c r="D7468" s="7" t="n">
        <v>0</v>
      </c>
      <c r="E7468" s="7" t="n">
        <v>0</v>
      </c>
      <c r="F7468" s="7" t="n">
        <v>1</v>
      </c>
      <c r="G7468" s="7" t="n">
        <v>254.16</v>
      </c>
    </row>
    <row r="7469" customFormat="false" ht="15" hidden="false" customHeight="false" outlineLevel="0" collapsed="false">
      <c r="A7469" s="7" t="s">
        <v>24</v>
      </c>
      <c r="B7469" s="7" t="s">
        <v>148</v>
      </c>
      <c r="C7469" s="7" t="s">
        <v>1075</v>
      </c>
      <c r="D7469" s="7" t="n">
        <v>0</v>
      </c>
      <c r="E7469" s="7" t="n">
        <v>0</v>
      </c>
      <c r="F7469" s="7" t="n">
        <v>1</v>
      </c>
      <c r="G7469" s="7" t="n">
        <v>254.16</v>
      </c>
    </row>
    <row r="7470" customFormat="false" ht="15" hidden="false" customHeight="false" outlineLevel="0" collapsed="false">
      <c r="A7470" s="7" t="s">
        <v>24</v>
      </c>
      <c r="B7470" s="7" t="s">
        <v>148</v>
      </c>
      <c r="C7470" s="7" t="s">
        <v>1075</v>
      </c>
      <c r="D7470" s="7" t="n">
        <v>0</v>
      </c>
      <c r="E7470" s="7" t="n">
        <v>0</v>
      </c>
      <c r="F7470" s="7" t="n">
        <v>1</v>
      </c>
      <c r="G7470" s="7" t="n">
        <v>177.91</v>
      </c>
    </row>
    <row r="7471" customFormat="false" ht="15" hidden="false" customHeight="false" outlineLevel="0" collapsed="false">
      <c r="A7471" s="7" t="s">
        <v>24</v>
      </c>
      <c r="B7471" s="7" t="s">
        <v>148</v>
      </c>
      <c r="C7471" s="7" t="s">
        <v>1075</v>
      </c>
      <c r="D7471" s="7" t="n">
        <v>2</v>
      </c>
      <c r="E7471" s="7" t="n">
        <v>408.24</v>
      </c>
      <c r="F7471" s="7" t="n">
        <v>0</v>
      </c>
      <c r="G7471" s="7" t="n">
        <v>0</v>
      </c>
    </row>
    <row r="7472" customFormat="false" ht="15" hidden="false" customHeight="false" outlineLevel="0" collapsed="false">
      <c r="A7472" s="7" t="s">
        <v>24</v>
      </c>
      <c r="B7472" s="7" t="s">
        <v>148</v>
      </c>
      <c r="C7472" s="7" t="s">
        <v>1075</v>
      </c>
      <c r="D7472" s="7" t="n">
        <v>0</v>
      </c>
      <c r="E7472" s="7" t="n">
        <v>0</v>
      </c>
      <c r="F7472" s="7" t="n">
        <v>1</v>
      </c>
      <c r="G7472" s="7" t="n">
        <v>203.33</v>
      </c>
    </row>
    <row r="7473" customFormat="false" ht="15" hidden="false" customHeight="false" outlineLevel="0" collapsed="false">
      <c r="A7473" s="7" t="s">
        <v>24</v>
      </c>
      <c r="B7473" s="7" t="s">
        <v>148</v>
      </c>
      <c r="C7473" s="7" t="s">
        <v>1075</v>
      </c>
      <c r="D7473" s="7" t="n">
        <v>0</v>
      </c>
      <c r="E7473" s="7" t="n">
        <v>0</v>
      </c>
      <c r="F7473" s="7" t="n">
        <v>1</v>
      </c>
      <c r="G7473" s="7" t="n">
        <v>216.04</v>
      </c>
    </row>
    <row r="7474" customFormat="false" ht="15" hidden="false" customHeight="false" outlineLevel="0" collapsed="false">
      <c r="A7474" s="7" t="s">
        <v>24</v>
      </c>
      <c r="B7474" s="7" t="s">
        <v>148</v>
      </c>
      <c r="C7474" s="7" t="s">
        <v>1075</v>
      </c>
      <c r="D7474" s="7" t="n">
        <v>0</v>
      </c>
      <c r="E7474" s="7" t="n">
        <v>0</v>
      </c>
      <c r="F7474" s="7" t="n">
        <v>1</v>
      </c>
      <c r="G7474" s="7" t="n">
        <v>203.32</v>
      </c>
    </row>
    <row r="7475" customFormat="false" ht="15" hidden="false" customHeight="false" outlineLevel="0" collapsed="false">
      <c r="A7475" s="7" t="s">
        <v>24</v>
      </c>
      <c r="B7475" s="7" t="s">
        <v>148</v>
      </c>
      <c r="C7475" s="7" t="s">
        <v>1075</v>
      </c>
      <c r="D7475" s="7" t="n">
        <v>0</v>
      </c>
      <c r="E7475" s="7" t="n">
        <v>0</v>
      </c>
      <c r="F7475" s="7" t="n">
        <v>29</v>
      </c>
      <c r="G7475" s="7" t="n">
        <v>6660.95</v>
      </c>
    </row>
    <row r="7476" customFormat="false" ht="15" hidden="false" customHeight="false" outlineLevel="0" collapsed="false">
      <c r="A7476" s="7" t="s">
        <v>24</v>
      </c>
      <c r="B7476" s="7" t="s">
        <v>148</v>
      </c>
      <c r="C7476" s="7" t="s">
        <v>1075</v>
      </c>
      <c r="D7476" s="7" t="n">
        <v>0</v>
      </c>
      <c r="E7476" s="7" t="n">
        <v>0</v>
      </c>
      <c r="F7476" s="7" t="n">
        <v>1</v>
      </c>
      <c r="G7476" s="7" t="n">
        <v>203.32</v>
      </c>
    </row>
    <row r="7477" customFormat="false" ht="15" hidden="false" customHeight="false" outlineLevel="0" collapsed="false">
      <c r="A7477" s="7" t="s">
        <v>24</v>
      </c>
      <c r="B7477" s="7" t="s">
        <v>148</v>
      </c>
      <c r="C7477" s="7" t="s">
        <v>1075</v>
      </c>
      <c r="D7477" s="7" t="n">
        <v>0</v>
      </c>
      <c r="E7477" s="7" t="n">
        <v>0</v>
      </c>
      <c r="F7477" s="7" t="n">
        <v>1</v>
      </c>
      <c r="G7477" s="7" t="n">
        <v>203.33</v>
      </c>
    </row>
    <row r="7478" customFormat="false" ht="15" hidden="false" customHeight="false" outlineLevel="0" collapsed="false">
      <c r="A7478" s="7" t="s">
        <v>24</v>
      </c>
      <c r="B7478" s="7" t="s">
        <v>148</v>
      </c>
      <c r="C7478" s="7" t="s">
        <v>1075</v>
      </c>
      <c r="D7478" s="7" t="n">
        <v>0</v>
      </c>
      <c r="E7478" s="7" t="n">
        <v>0</v>
      </c>
      <c r="F7478" s="7" t="n">
        <v>1</v>
      </c>
      <c r="G7478" s="7" t="n">
        <v>254.16</v>
      </c>
    </row>
    <row r="7479" customFormat="false" ht="15" hidden="false" customHeight="false" outlineLevel="0" collapsed="false">
      <c r="A7479" s="7" t="s">
        <v>24</v>
      </c>
      <c r="B7479" s="7" t="s">
        <v>148</v>
      </c>
      <c r="C7479" s="7" t="s">
        <v>1075</v>
      </c>
      <c r="D7479" s="7" t="n">
        <v>0</v>
      </c>
      <c r="E7479" s="7" t="n">
        <v>0</v>
      </c>
      <c r="F7479" s="7" t="n">
        <v>2</v>
      </c>
      <c r="G7479" s="7" t="n">
        <v>508.3</v>
      </c>
    </row>
    <row r="7480" customFormat="false" ht="15" hidden="false" customHeight="false" outlineLevel="0" collapsed="false">
      <c r="A7480" s="7" t="s">
        <v>24</v>
      </c>
      <c r="B7480" s="7" t="s">
        <v>148</v>
      </c>
      <c r="C7480" s="7" t="s">
        <v>1075</v>
      </c>
      <c r="D7480" s="7" t="n">
        <v>0</v>
      </c>
      <c r="E7480" s="7" t="n">
        <v>0</v>
      </c>
      <c r="F7480" s="7" t="n">
        <v>1</v>
      </c>
      <c r="G7480" s="7" t="n">
        <v>203.32</v>
      </c>
    </row>
    <row r="7481" customFormat="false" ht="15" hidden="false" customHeight="false" outlineLevel="0" collapsed="false">
      <c r="A7481" s="7" t="s">
        <v>24</v>
      </c>
      <c r="B7481" s="7" t="s">
        <v>148</v>
      </c>
      <c r="C7481" s="7" t="s">
        <v>1075</v>
      </c>
      <c r="D7481" s="7" t="n">
        <v>0</v>
      </c>
      <c r="E7481" s="7" t="n">
        <v>0</v>
      </c>
      <c r="F7481" s="7" t="n">
        <v>1</v>
      </c>
      <c r="G7481" s="7" t="n">
        <v>203.33</v>
      </c>
    </row>
    <row r="7482" customFormat="false" ht="15" hidden="false" customHeight="false" outlineLevel="0" collapsed="false">
      <c r="A7482" s="7" t="s">
        <v>24</v>
      </c>
      <c r="B7482" s="7" t="s">
        <v>148</v>
      </c>
      <c r="C7482" s="7" t="s">
        <v>1075</v>
      </c>
      <c r="D7482" s="7" t="n">
        <v>0</v>
      </c>
      <c r="E7482" s="7" t="n">
        <v>0</v>
      </c>
      <c r="F7482" s="7" t="n">
        <v>4</v>
      </c>
      <c r="G7482" s="7" t="n">
        <v>1016.61</v>
      </c>
    </row>
    <row r="7483" customFormat="false" ht="15" hidden="false" customHeight="false" outlineLevel="0" collapsed="false">
      <c r="A7483" s="7" t="s">
        <v>24</v>
      </c>
      <c r="B7483" s="7" t="s">
        <v>148</v>
      </c>
      <c r="C7483" s="7" t="s">
        <v>1075</v>
      </c>
      <c r="D7483" s="7" t="n">
        <v>0</v>
      </c>
      <c r="E7483" s="7" t="n">
        <v>0</v>
      </c>
      <c r="F7483" s="7" t="n">
        <v>1</v>
      </c>
      <c r="G7483" s="7" t="n">
        <v>228.74</v>
      </c>
    </row>
    <row r="7484" customFormat="false" ht="15" hidden="false" customHeight="false" outlineLevel="0" collapsed="false">
      <c r="A7484" s="7" t="s">
        <v>24</v>
      </c>
      <c r="B7484" s="7" t="s">
        <v>148</v>
      </c>
      <c r="C7484" s="7" t="s">
        <v>1075</v>
      </c>
      <c r="D7484" s="7" t="n">
        <v>0</v>
      </c>
      <c r="E7484" s="7" t="n">
        <v>0</v>
      </c>
      <c r="F7484" s="7" t="n">
        <v>1</v>
      </c>
      <c r="G7484" s="7" t="n">
        <v>216.03</v>
      </c>
    </row>
    <row r="7485" customFormat="false" ht="15" hidden="false" customHeight="false" outlineLevel="0" collapsed="false">
      <c r="A7485" s="7" t="s">
        <v>24</v>
      </c>
      <c r="B7485" s="7" t="s">
        <v>148</v>
      </c>
      <c r="C7485" s="7" t="s">
        <v>1075</v>
      </c>
      <c r="D7485" s="7" t="n">
        <v>0</v>
      </c>
      <c r="E7485" s="7" t="n">
        <v>0</v>
      </c>
      <c r="F7485" s="7" t="n">
        <v>1</v>
      </c>
      <c r="G7485" s="7" t="n">
        <v>203.31</v>
      </c>
    </row>
    <row r="7486" customFormat="false" ht="15" hidden="false" customHeight="false" outlineLevel="0" collapsed="false">
      <c r="A7486" s="7" t="s">
        <v>24</v>
      </c>
      <c r="B7486" s="7" t="s">
        <v>148</v>
      </c>
      <c r="C7486" s="7" t="s">
        <v>1075</v>
      </c>
      <c r="D7486" s="7" t="n">
        <v>0</v>
      </c>
      <c r="E7486" s="7" t="n">
        <v>0</v>
      </c>
      <c r="F7486" s="7" t="n">
        <v>1</v>
      </c>
      <c r="G7486" s="7" t="n">
        <v>216.02</v>
      </c>
    </row>
    <row r="7487" customFormat="false" ht="15" hidden="false" customHeight="false" outlineLevel="0" collapsed="false">
      <c r="A7487" s="7" t="s">
        <v>24</v>
      </c>
      <c r="B7487" s="7" t="s">
        <v>148</v>
      </c>
      <c r="C7487" s="7" t="s">
        <v>1075</v>
      </c>
      <c r="D7487" s="7" t="n">
        <v>0</v>
      </c>
      <c r="E7487" s="7" t="n">
        <v>0</v>
      </c>
      <c r="F7487" s="7" t="n">
        <v>2</v>
      </c>
      <c r="G7487" s="7" t="n">
        <v>406.64</v>
      </c>
    </row>
    <row r="7488" customFormat="false" ht="15" hidden="false" customHeight="false" outlineLevel="0" collapsed="false">
      <c r="A7488" s="7" t="s">
        <v>24</v>
      </c>
      <c r="B7488" s="7" t="s">
        <v>148</v>
      </c>
      <c r="C7488" s="7" t="s">
        <v>1075</v>
      </c>
      <c r="D7488" s="7" t="n">
        <v>0</v>
      </c>
      <c r="E7488" s="7" t="n">
        <v>0</v>
      </c>
      <c r="F7488" s="7" t="n">
        <v>1</v>
      </c>
      <c r="G7488" s="7" t="n">
        <v>203.33</v>
      </c>
    </row>
    <row r="7489" customFormat="false" ht="15" hidden="false" customHeight="false" outlineLevel="0" collapsed="false">
      <c r="A7489" s="7" t="s">
        <v>24</v>
      </c>
      <c r="B7489" s="7" t="s">
        <v>148</v>
      </c>
      <c r="C7489" s="7" t="s">
        <v>1075</v>
      </c>
      <c r="D7489" s="7" t="n">
        <v>0</v>
      </c>
      <c r="E7489" s="7" t="n">
        <v>0</v>
      </c>
      <c r="F7489" s="7" t="n">
        <v>1</v>
      </c>
      <c r="G7489" s="7" t="n">
        <v>203.32</v>
      </c>
    </row>
    <row r="7490" customFormat="false" ht="15" hidden="false" customHeight="false" outlineLevel="0" collapsed="false">
      <c r="A7490" s="7" t="s">
        <v>24</v>
      </c>
      <c r="B7490" s="7" t="s">
        <v>148</v>
      </c>
      <c r="C7490" s="7" t="s">
        <v>1075</v>
      </c>
      <c r="D7490" s="7" t="n">
        <v>0</v>
      </c>
      <c r="E7490" s="7" t="n">
        <v>0</v>
      </c>
      <c r="F7490" s="7" t="n">
        <v>1</v>
      </c>
      <c r="G7490" s="7" t="n">
        <v>203.33</v>
      </c>
    </row>
    <row r="7491" customFormat="false" ht="15" hidden="false" customHeight="false" outlineLevel="0" collapsed="false">
      <c r="A7491" s="7" t="s">
        <v>24</v>
      </c>
      <c r="B7491" s="7" t="s">
        <v>148</v>
      </c>
      <c r="C7491" s="7" t="s">
        <v>1075</v>
      </c>
      <c r="D7491" s="7" t="n">
        <v>0</v>
      </c>
      <c r="E7491" s="7" t="n">
        <v>0</v>
      </c>
      <c r="F7491" s="7" t="n">
        <v>1</v>
      </c>
      <c r="G7491" s="7" t="n">
        <v>203.33</v>
      </c>
    </row>
    <row r="7492" customFormat="false" ht="15" hidden="false" customHeight="false" outlineLevel="0" collapsed="false">
      <c r="A7492" s="7" t="s">
        <v>24</v>
      </c>
      <c r="B7492" s="7" t="s">
        <v>148</v>
      </c>
      <c r="C7492" s="7" t="s">
        <v>1075</v>
      </c>
      <c r="D7492" s="7" t="n">
        <v>0</v>
      </c>
      <c r="E7492" s="7" t="n">
        <v>0</v>
      </c>
      <c r="F7492" s="7" t="n">
        <v>1</v>
      </c>
      <c r="G7492" s="7" t="n">
        <v>203.33</v>
      </c>
    </row>
    <row r="7493" customFormat="false" ht="15" hidden="false" customHeight="false" outlineLevel="0" collapsed="false">
      <c r="A7493" s="7" t="s">
        <v>24</v>
      </c>
      <c r="B7493" s="7" t="s">
        <v>148</v>
      </c>
      <c r="C7493" s="7" t="s">
        <v>1075</v>
      </c>
      <c r="D7493" s="7" t="n">
        <v>0</v>
      </c>
      <c r="E7493" s="7" t="n">
        <v>0</v>
      </c>
      <c r="F7493" s="7" t="n">
        <v>1</v>
      </c>
      <c r="G7493" s="7" t="n">
        <v>203.32</v>
      </c>
    </row>
    <row r="7494" customFormat="false" ht="15" hidden="false" customHeight="false" outlineLevel="0" collapsed="false">
      <c r="A7494" s="7" t="s">
        <v>24</v>
      </c>
      <c r="B7494" s="7" t="s">
        <v>148</v>
      </c>
      <c r="C7494" s="7" t="s">
        <v>1075</v>
      </c>
      <c r="D7494" s="7" t="n">
        <v>0</v>
      </c>
      <c r="E7494" s="7" t="n">
        <v>0</v>
      </c>
      <c r="F7494" s="7" t="n">
        <v>4</v>
      </c>
      <c r="G7494" s="7" t="n">
        <v>889.53</v>
      </c>
    </row>
    <row r="7495" customFormat="false" ht="15" hidden="false" customHeight="false" outlineLevel="0" collapsed="false">
      <c r="A7495" s="7" t="s">
        <v>24</v>
      </c>
      <c r="B7495" s="7" t="s">
        <v>148</v>
      </c>
      <c r="C7495" s="7" t="s">
        <v>1075</v>
      </c>
      <c r="D7495" s="7" t="n">
        <v>0</v>
      </c>
      <c r="E7495" s="7" t="n">
        <v>0</v>
      </c>
      <c r="F7495" s="7" t="n">
        <v>1</v>
      </c>
      <c r="G7495" s="7" t="n">
        <v>216.03</v>
      </c>
    </row>
    <row r="7496" customFormat="false" ht="15" hidden="false" customHeight="false" outlineLevel="0" collapsed="false">
      <c r="A7496" s="7" t="s">
        <v>24</v>
      </c>
      <c r="B7496" s="7" t="s">
        <v>233</v>
      </c>
      <c r="C7496" s="7" t="s">
        <v>1075</v>
      </c>
      <c r="D7496" s="7" t="n">
        <v>0</v>
      </c>
      <c r="E7496" s="7" t="n">
        <v>0</v>
      </c>
      <c r="F7496" s="7" t="n">
        <v>1</v>
      </c>
      <c r="G7496" s="7" t="n">
        <v>228.74</v>
      </c>
    </row>
    <row r="7497" customFormat="false" ht="15" hidden="false" customHeight="false" outlineLevel="0" collapsed="false">
      <c r="A7497" s="7" t="s">
        <v>24</v>
      </c>
      <c r="B7497" s="7" t="s">
        <v>233</v>
      </c>
      <c r="C7497" s="7" t="s">
        <v>1075</v>
      </c>
      <c r="D7497" s="7" t="n">
        <v>0</v>
      </c>
      <c r="E7497" s="7" t="n">
        <v>0</v>
      </c>
      <c r="F7497" s="7" t="n">
        <v>2</v>
      </c>
      <c r="G7497" s="7" t="n">
        <v>406.64</v>
      </c>
    </row>
    <row r="7498" customFormat="false" ht="15" hidden="false" customHeight="false" outlineLevel="0" collapsed="false">
      <c r="A7498" s="7" t="s">
        <v>24</v>
      </c>
      <c r="B7498" s="7" t="s">
        <v>233</v>
      </c>
      <c r="C7498" s="7" t="s">
        <v>1075</v>
      </c>
      <c r="D7498" s="7" t="n">
        <v>0</v>
      </c>
      <c r="E7498" s="7" t="n">
        <v>0</v>
      </c>
      <c r="F7498" s="7" t="n">
        <v>1</v>
      </c>
      <c r="G7498" s="7" t="n">
        <v>203.33</v>
      </c>
    </row>
    <row r="7499" customFormat="false" ht="15" hidden="false" customHeight="false" outlineLevel="0" collapsed="false">
      <c r="A7499" s="7" t="s">
        <v>24</v>
      </c>
      <c r="B7499" s="7" t="s">
        <v>233</v>
      </c>
      <c r="C7499" s="7" t="s">
        <v>1075</v>
      </c>
      <c r="D7499" s="7" t="n">
        <v>0</v>
      </c>
      <c r="E7499" s="7" t="n">
        <v>0</v>
      </c>
      <c r="F7499" s="7" t="n">
        <v>1</v>
      </c>
      <c r="G7499" s="7" t="n">
        <v>203.32</v>
      </c>
    </row>
    <row r="7500" customFormat="false" ht="15" hidden="false" customHeight="false" outlineLevel="0" collapsed="false">
      <c r="A7500" s="7" t="s">
        <v>24</v>
      </c>
      <c r="B7500" s="7" t="s">
        <v>233</v>
      </c>
      <c r="C7500" s="7" t="s">
        <v>1075</v>
      </c>
      <c r="D7500" s="7" t="n">
        <v>20</v>
      </c>
      <c r="E7500" s="7" t="n">
        <v>4523.87</v>
      </c>
      <c r="F7500" s="7" t="n">
        <v>3</v>
      </c>
      <c r="G7500" s="7" t="n">
        <v>254.16</v>
      </c>
    </row>
    <row r="7501" customFormat="false" ht="15" hidden="false" customHeight="false" outlineLevel="0" collapsed="false">
      <c r="A7501" s="7" t="s">
        <v>24</v>
      </c>
      <c r="B7501" s="7" t="s">
        <v>233</v>
      </c>
      <c r="C7501" s="7" t="s">
        <v>1075</v>
      </c>
      <c r="D7501" s="7" t="n">
        <v>0</v>
      </c>
      <c r="E7501" s="7" t="n">
        <v>0</v>
      </c>
      <c r="F7501" s="7" t="n">
        <v>1</v>
      </c>
      <c r="G7501" s="7" t="n">
        <v>254.15</v>
      </c>
    </row>
    <row r="7502" customFormat="false" ht="15" hidden="false" customHeight="false" outlineLevel="0" collapsed="false">
      <c r="A7502" s="7" t="s">
        <v>24</v>
      </c>
      <c r="B7502" s="7" t="s">
        <v>233</v>
      </c>
      <c r="C7502" s="7" t="s">
        <v>1075</v>
      </c>
      <c r="D7502" s="7" t="n">
        <v>0</v>
      </c>
      <c r="E7502" s="7" t="n">
        <v>0</v>
      </c>
      <c r="F7502" s="7" t="n">
        <v>10</v>
      </c>
      <c r="G7502" s="7" t="n">
        <v>2363.58</v>
      </c>
    </row>
    <row r="7503" customFormat="false" ht="15" hidden="false" customHeight="false" outlineLevel="0" collapsed="false">
      <c r="A7503" s="7" t="s">
        <v>24</v>
      </c>
      <c r="B7503" s="7" t="s">
        <v>233</v>
      </c>
      <c r="C7503" s="7" t="s">
        <v>1075</v>
      </c>
      <c r="D7503" s="7" t="n">
        <v>0</v>
      </c>
      <c r="E7503" s="7" t="n">
        <v>0</v>
      </c>
      <c r="F7503" s="7" t="n">
        <v>1</v>
      </c>
      <c r="G7503" s="7" t="n">
        <v>254.15</v>
      </c>
    </row>
    <row r="7504" customFormat="false" ht="15" hidden="false" customHeight="false" outlineLevel="0" collapsed="false">
      <c r="A7504" s="7" t="s">
        <v>24</v>
      </c>
      <c r="B7504" s="7" t="s">
        <v>233</v>
      </c>
      <c r="C7504" s="7" t="s">
        <v>1075</v>
      </c>
      <c r="D7504" s="7" t="n">
        <v>0</v>
      </c>
      <c r="E7504" s="7" t="n">
        <v>0</v>
      </c>
      <c r="F7504" s="7" t="n">
        <v>1</v>
      </c>
      <c r="G7504" s="7" t="n">
        <v>203.32</v>
      </c>
    </row>
    <row r="7505" customFormat="false" ht="15" hidden="false" customHeight="false" outlineLevel="0" collapsed="false">
      <c r="A7505" s="7" t="s">
        <v>24</v>
      </c>
      <c r="B7505" s="7" t="s">
        <v>233</v>
      </c>
      <c r="C7505" s="7" t="s">
        <v>1075</v>
      </c>
      <c r="D7505" s="7" t="n">
        <v>0</v>
      </c>
      <c r="E7505" s="7" t="n">
        <v>0</v>
      </c>
      <c r="F7505" s="7" t="n">
        <v>1</v>
      </c>
      <c r="G7505" s="7" t="n">
        <v>203.33</v>
      </c>
    </row>
    <row r="7506" customFormat="false" ht="15" hidden="false" customHeight="false" outlineLevel="0" collapsed="false">
      <c r="A7506" s="7" t="s">
        <v>24</v>
      </c>
      <c r="B7506" s="7" t="s">
        <v>233</v>
      </c>
      <c r="C7506" s="7" t="s">
        <v>1075</v>
      </c>
      <c r="D7506" s="7" t="n">
        <v>0</v>
      </c>
      <c r="E7506" s="7" t="n">
        <v>0</v>
      </c>
      <c r="F7506" s="7" t="n">
        <v>1</v>
      </c>
      <c r="G7506" s="7" t="n">
        <v>228.74</v>
      </c>
    </row>
    <row r="7507" customFormat="false" ht="15" hidden="false" customHeight="false" outlineLevel="0" collapsed="false">
      <c r="A7507" s="7" t="s">
        <v>24</v>
      </c>
      <c r="B7507" s="7" t="s">
        <v>233</v>
      </c>
      <c r="C7507" s="7" t="s">
        <v>1075</v>
      </c>
      <c r="D7507" s="7" t="n">
        <v>3</v>
      </c>
      <c r="E7507" s="7" t="n">
        <v>670.19</v>
      </c>
      <c r="F7507" s="7" t="n">
        <v>0</v>
      </c>
      <c r="G7507" s="7" t="n">
        <v>0</v>
      </c>
    </row>
    <row r="7508" customFormat="false" ht="15" hidden="false" customHeight="false" outlineLevel="0" collapsed="false">
      <c r="A7508" s="7" t="s">
        <v>24</v>
      </c>
      <c r="B7508" s="7" t="s">
        <v>233</v>
      </c>
      <c r="C7508" s="7" t="s">
        <v>1075</v>
      </c>
      <c r="D7508" s="7" t="n">
        <v>0</v>
      </c>
      <c r="E7508" s="7" t="n">
        <v>0</v>
      </c>
      <c r="F7508" s="7" t="n">
        <v>1</v>
      </c>
      <c r="G7508" s="7" t="n">
        <v>254.15</v>
      </c>
    </row>
    <row r="7509" customFormat="false" ht="15" hidden="false" customHeight="false" outlineLevel="0" collapsed="false">
      <c r="A7509" s="7" t="s">
        <v>24</v>
      </c>
      <c r="B7509" s="7" t="s">
        <v>233</v>
      </c>
      <c r="C7509" s="7" t="s">
        <v>1075</v>
      </c>
      <c r="D7509" s="7" t="n">
        <v>0</v>
      </c>
      <c r="E7509" s="7" t="n">
        <v>0</v>
      </c>
      <c r="F7509" s="7" t="n">
        <v>2</v>
      </c>
      <c r="G7509" s="7" t="n">
        <v>406.64</v>
      </c>
    </row>
    <row r="7510" customFormat="false" ht="15" hidden="false" customHeight="false" outlineLevel="0" collapsed="false">
      <c r="A7510" s="7" t="s">
        <v>24</v>
      </c>
      <c r="B7510" s="7" t="s">
        <v>233</v>
      </c>
      <c r="C7510" s="7" t="s">
        <v>1075</v>
      </c>
      <c r="D7510" s="7" t="n">
        <v>0</v>
      </c>
      <c r="E7510" s="7" t="n">
        <v>0</v>
      </c>
      <c r="F7510" s="7" t="n">
        <v>1</v>
      </c>
      <c r="G7510" s="7" t="n">
        <v>254.15</v>
      </c>
    </row>
    <row r="7511" customFormat="false" ht="15" hidden="false" customHeight="false" outlineLevel="0" collapsed="false">
      <c r="A7511" s="7" t="s">
        <v>24</v>
      </c>
      <c r="B7511" s="7" t="s">
        <v>233</v>
      </c>
      <c r="C7511" s="7" t="s">
        <v>1075</v>
      </c>
      <c r="D7511" s="7" t="n">
        <v>0</v>
      </c>
      <c r="E7511" s="7" t="n">
        <v>0</v>
      </c>
      <c r="F7511" s="7" t="n">
        <v>2</v>
      </c>
      <c r="G7511" s="7" t="n">
        <v>482.88</v>
      </c>
    </row>
    <row r="7512" customFormat="false" ht="15" hidden="false" customHeight="false" outlineLevel="0" collapsed="false">
      <c r="A7512" s="7" t="s">
        <v>24</v>
      </c>
      <c r="B7512" s="7" t="s">
        <v>233</v>
      </c>
      <c r="C7512" s="7" t="s">
        <v>1075</v>
      </c>
      <c r="D7512" s="7" t="n">
        <v>1</v>
      </c>
      <c r="E7512" s="7" t="n">
        <v>204.16</v>
      </c>
      <c r="F7512" s="7" t="n">
        <v>0</v>
      </c>
      <c r="G7512" s="7" t="n">
        <v>0</v>
      </c>
    </row>
    <row r="7513" customFormat="false" ht="15" hidden="false" customHeight="false" outlineLevel="0" collapsed="false">
      <c r="A7513" s="7" t="s">
        <v>24</v>
      </c>
      <c r="B7513" s="7" t="s">
        <v>233</v>
      </c>
      <c r="C7513" s="7" t="s">
        <v>1075</v>
      </c>
      <c r="D7513" s="7" t="n">
        <v>0</v>
      </c>
      <c r="E7513" s="7" t="n">
        <v>0</v>
      </c>
      <c r="F7513" s="7" t="n">
        <v>1</v>
      </c>
      <c r="G7513" s="7" t="n">
        <v>254.16</v>
      </c>
    </row>
    <row r="7514" customFormat="false" ht="15" hidden="false" customHeight="false" outlineLevel="0" collapsed="false">
      <c r="A7514" s="7" t="s">
        <v>24</v>
      </c>
      <c r="B7514" s="7" t="s">
        <v>233</v>
      </c>
      <c r="C7514" s="7" t="s">
        <v>1075</v>
      </c>
      <c r="D7514" s="7" t="n">
        <v>0</v>
      </c>
      <c r="E7514" s="7" t="n">
        <v>0</v>
      </c>
      <c r="F7514" s="7" t="n">
        <v>1</v>
      </c>
      <c r="G7514" s="7" t="n">
        <v>203.32</v>
      </c>
    </row>
    <row r="7515" customFormat="false" ht="15" hidden="false" customHeight="false" outlineLevel="0" collapsed="false">
      <c r="A7515" s="7" t="s">
        <v>24</v>
      </c>
      <c r="B7515" s="7" t="s">
        <v>233</v>
      </c>
      <c r="C7515" s="7" t="s">
        <v>1075</v>
      </c>
      <c r="D7515" s="7" t="n">
        <v>0</v>
      </c>
      <c r="E7515" s="7" t="n">
        <v>0</v>
      </c>
      <c r="F7515" s="7" t="n">
        <v>1</v>
      </c>
      <c r="G7515" s="7" t="n">
        <v>203.32</v>
      </c>
    </row>
    <row r="7516" customFormat="false" ht="15" hidden="false" customHeight="false" outlineLevel="0" collapsed="false">
      <c r="A7516" s="7" t="s">
        <v>24</v>
      </c>
      <c r="B7516" s="7" t="s">
        <v>150</v>
      </c>
      <c r="C7516" s="7" t="s">
        <v>1075</v>
      </c>
      <c r="D7516" s="7" t="n">
        <v>0</v>
      </c>
      <c r="E7516" s="7" t="n">
        <v>0</v>
      </c>
      <c r="F7516" s="7" t="n">
        <v>1</v>
      </c>
      <c r="G7516" s="7" t="n">
        <v>254.16</v>
      </c>
    </row>
    <row r="7517" customFormat="false" ht="15" hidden="false" customHeight="false" outlineLevel="0" collapsed="false">
      <c r="A7517" s="7" t="s">
        <v>24</v>
      </c>
      <c r="B7517" s="7" t="s">
        <v>150</v>
      </c>
      <c r="C7517" s="7" t="s">
        <v>1075</v>
      </c>
      <c r="D7517" s="7" t="n">
        <v>0</v>
      </c>
      <c r="E7517" s="7" t="n">
        <v>0</v>
      </c>
      <c r="F7517" s="7" t="n">
        <v>1</v>
      </c>
      <c r="G7517" s="7" t="n">
        <v>194.25</v>
      </c>
    </row>
    <row r="7518" customFormat="false" ht="15" hidden="false" customHeight="false" outlineLevel="0" collapsed="false">
      <c r="A7518" s="7" t="s">
        <v>24</v>
      </c>
      <c r="B7518" s="7" t="s">
        <v>150</v>
      </c>
      <c r="C7518" s="7" t="s">
        <v>1075</v>
      </c>
      <c r="D7518" s="7" t="n">
        <v>0</v>
      </c>
      <c r="E7518" s="7" t="n">
        <v>0</v>
      </c>
      <c r="F7518" s="7" t="n">
        <v>1</v>
      </c>
      <c r="G7518" s="7" t="n">
        <v>254.15</v>
      </c>
    </row>
    <row r="7519" customFormat="false" ht="15" hidden="false" customHeight="false" outlineLevel="0" collapsed="false">
      <c r="A7519" s="7" t="s">
        <v>24</v>
      </c>
      <c r="B7519" s="7" t="s">
        <v>150</v>
      </c>
      <c r="C7519" s="7" t="s">
        <v>1075</v>
      </c>
      <c r="D7519" s="7" t="n">
        <v>0</v>
      </c>
      <c r="E7519" s="7" t="n">
        <v>0</v>
      </c>
      <c r="F7519" s="7" t="n">
        <v>1</v>
      </c>
      <c r="G7519" s="7" t="n">
        <v>228.74</v>
      </c>
    </row>
    <row r="7520" customFormat="false" ht="15" hidden="false" customHeight="false" outlineLevel="0" collapsed="false">
      <c r="A7520" s="7" t="s">
        <v>24</v>
      </c>
      <c r="B7520" s="7" t="s">
        <v>150</v>
      </c>
      <c r="C7520" s="7" t="s">
        <v>1075</v>
      </c>
      <c r="D7520" s="7" t="n">
        <v>0</v>
      </c>
      <c r="E7520" s="7" t="n">
        <v>0</v>
      </c>
      <c r="F7520" s="7" t="n">
        <v>1</v>
      </c>
      <c r="G7520" s="7" t="n">
        <v>216.04</v>
      </c>
    </row>
    <row r="7521" customFormat="false" ht="15" hidden="false" customHeight="false" outlineLevel="0" collapsed="false">
      <c r="A7521" s="7" t="s">
        <v>24</v>
      </c>
      <c r="B7521" s="7" t="s">
        <v>150</v>
      </c>
      <c r="C7521" s="7" t="s">
        <v>1075</v>
      </c>
      <c r="D7521" s="7" t="n">
        <v>0</v>
      </c>
      <c r="E7521" s="7" t="n">
        <v>0</v>
      </c>
      <c r="F7521" s="7" t="n">
        <v>1</v>
      </c>
      <c r="G7521" s="7" t="n">
        <v>254.15</v>
      </c>
    </row>
    <row r="7522" customFormat="false" ht="15" hidden="false" customHeight="false" outlineLevel="0" collapsed="false">
      <c r="A7522" s="7" t="s">
        <v>24</v>
      </c>
      <c r="B7522" s="7" t="s">
        <v>150</v>
      </c>
      <c r="C7522" s="7" t="s">
        <v>1075</v>
      </c>
      <c r="D7522" s="7" t="n">
        <v>0</v>
      </c>
      <c r="E7522" s="7" t="n">
        <v>0</v>
      </c>
      <c r="F7522" s="7" t="n">
        <v>1</v>
      </c>
      <c r="G7522" s="7" t="n">
        <v>254.16</v>
      </c>
    </row>
    <row r="7523" customFormat="false" ht="15" hidden="false" customHeight="false" outlineLevel="0" collapsed="false">
      <c r="A7523" s="7" t="s">
        <v>24</v>
      </c>
      <c r="B7523" s="7" t="s">
        <v>150</v>
      </c>
      <c r="C7523" s="7" t="s">
        <v>1075</v>
      </c>
      <c r="D7523" s="7" t="n">
        <v>0</v>
      </c>
      <c r="E7523" s="7" t="n">
        <v>0</v>
      </c>
      <c r="F7523" s="7" t="n">
        <v>14</v>
      </c>
      <c r="G7523" s="7" t="n">
        <v>3134.06</v>
      </c>
    </row>
    <row r="7524" customFormat="false" ht="15" hidden="false" customHeight="false" outlineLevel="0" collapsed="false">
      <c r="A7524" s="7" t="s">
        <v>24</v>
      </c>
      <c r="B7524" s="7" t="s">
        <v>150</v>
      </c>
      <c r="C7524" s="7" t="s">
        <v>1075</v>
      </c>
      <c r="D7524" s="7" t="n">
        <v>0</v>
      </c>
      <c r="E7524" s="7" t="n">
        <v>0</v>
      </c>
      <c r="F7524" s="7" t="n">
        <v>1</v>
      </c>
      <c r="G7524" s="7" t="n">
        <v>203.32</v>
      </c>
    </row>
    <row r="7525" customFormat="false" ht="15" hidden="false" customHeight="false" outlineLevel="0" collapsed="false">
      <c r="A7525" s="7" t="s">
        <v>24</v>
      </c>
      <c r="B7525" s="7" t="s">
        <v>150</v>
      </c>
      <c r="C7525" s="7" t="s">
        <v>1075</v>
      </c>
      <c r="D7525" s="7" t="n">
        <v>25</v>
      </c>
      <c r="E7525" s="7" t="n">
        <v>5451.53</v>
      </c>
      <c r="F7525" s="7" t="n">
        <v>5</v>
      </c>
      <c r="G7525" s="7" t="n">
        <v>1143.68</v>
      </c>
    </row>
    <row r="7526" customFormat="false" ht="15" hidden="false" customHeight="false" outlineLevel="0" collapsed="false">
      <c r="A7526" s="7" t="s">
        <v>24</v>
      </c>
      <c r="B7526" s="7" t="s">
        <v>150</v>
      </c>
      <c r="C7526" s="7" t="s">
        <v>1075</v>
      </c>
      <c r="D7526" s="7" t="n">
        <v>0</v>
      </c>
      <c r="E7526" s="7" t="n">
        <v>0</v>
      </c>
      <c r="F7526" s="7" t="n">
        <v>1</v>
      </c>
      <c r="G7526" s="7" t="n">
        <v>254.15</v>
      </c>
    </row>
    <row r="7527" customFormat="false" ht="15" hidden="false" customHeight="false" outlineLevel="0" collapsed="false">
      <c r="A7527" s="7" t="s">
        <v>24</v>
      </c>
      <c r="B7527" s="7" t="s">
        <v>150</v>
      </c>
      <c r="C7527" s="7" t="s">
        <v>1075</v>
      </c>
      <c r="D7527" s="7" t="n">
        <v>0</v>
      </c>
      <c r="E7527" s="7" t="n">
        <v>0</v>
      </c>
      <c r="F7527" s="7" t="n">
        <v>1</v>
      </c>
      <c r="G7527" s="7" t="n">
        <v>203.33</v>
      </c>
    </row>
    <row r="7528" customFormat="false" ht="15" hidden="false" customHeight="false" outlineLevel="0" collapsed="false">
      <c r="A7528" s="7" t="s">
        <v>24</v>
      </c>
      <c r="B7528" s="7" t="s">
        <v>150</v>
      </c>
      <c r="C7528" s="7" t="s">
        <v>1075</v>
      </c>
      <c r="D7528" s="7" t="n">
        <v>0</v>
      </c>
      <c r="E7528" s="7" t="n">
        <v>0</v>
      </c>
      <c r="F7528" s="7" t="n">
        <v>1</v>
      </c>
      <c r="G7528" s="7" t="n">
        <v>203.33</v>
      </c>
    </row>
    <row r="7529" customFormat="false" ht="15" hidden="false" customHeight="false" outlineLevel="0" collapsed="false">
      <c r="A7529" s="7" t="s">
        <v>24</v>
      </c>
      <c r="B7529" s="7" t="s">
        <v>150</v>
      </c>
      <c r="C7529" s="7" t="s">
        <v>1075</v>
      </c>
      <c r="D7529" s="7" t="n">
        <v>0</v>
      </c>
      <c r="E7529" s="7" t="n">
        <v>0</v>
      </c>
      <c r="F7529" s="7" t="n">
        <v>2</v>
      </c>
      <c r="G7529" s="7" t="n">
        <v>509</v>
      </c>
    </row>
    <row r="7530" customFormat="false" ht="15" hidden="false" customHeight="false" outlineLevel="0" collapsed="false">
      <c r="A7530" s="7" t="s">
        <v>24</v>
      </c>
      <c r="B7530" s="7" t="s">
        <v>150</v>
      </c>
      <c r="C7530" s="7" t="s">
        <v>1075</v>
      </c>
      <c r="D7530" s="7" t="n">
        <v>5</v>
      </c>
      <c r="E7530" s="7" t="n">
        <v>1203.87</v>
      </c>
      <c r="F7530" s="7" t="n">
        <v>0</v>
      </c>
      <c r="G7530" s="7" t="n">
        <v>0</v>
      </c>
    </row>
    <row r="7531" customFormat="false" ht="15" hidden="false" customHeight="false" outlineLevel="0" collapsed="false">
      <c r="A7531" s="7" t="s">
        <v>24</v>
      </c>
      <c r="B7531" s="7" t="s">
        <v>150</v>
      </c>
      <c r="C7531" s="7" t="s">
        <v>1075</v>
      </c>
      <c r="D7531" s="7" t="n">
        <v>0</v>
      </c>
      <c r="E7531" s="7" t="n">
        <v>0</v>
      </c>
      <c r="F7531" s="7" t="n">
        <v>1</v>
      </c>
      <c r="G7531" s="7" t="n">
        <v>228.74</v>
      </c>
    </row>
    <row r="7532" customFormat="false" ht="15" hidden="false" customHeight="false" outlineLevel="0" collapsed="false">
      <c r="A7532" s="7" t="s">
        <v>24</v>
      </c>
      <c r="B7532" s="7" t="s">
        <v>150</v>
      </c>
      <c r="C7532" s="7" t="s">
        <v>1075</v>
      </c>
      <c r="D7532" s="7" t="n">
        <v>0</v>
      </c>
      <c r="E7532" s="7" t="n">
        <v>0</v>
      </c>
      <c r="F7532" s="7" t="n">
        <v>1</v>
      </c>
      <c r="G7532" s="7" t="n">
        <v>254.16</v>
      </c>
    </row>
    <row r="7533" customFormat="false" ht="15" hidden="false" customHeight="false" outlineLevel="0" collapsed="false">
      <c r="A7533" s="7" t="s">
        <v>24</v>
      </c>
      <c r="B7533" s="7" t="s">
        <v>150</v>
      </c>
      <c r="C7533" s="7" t="s">
        <v>1075</v>
      </c>
      <c r="D7533" s="7" t="n">
        <v>0</v>
      </c>
      <c r="E7533" s="7" t="n">
        <v>0</v>
      </c>
      <c r="F7533" s="7" t="n">
        <v>3</v>
      </c>
      <c r="G7533" s="7" t="n">
        <v>660.79</v>
      </c>
    </row>
    <row r="7534" customFormat="false" ht="15" hidden="false" customHeight="false" outlineLevel="0" collapsed="false">
      <c r="A7534" s="7" t="s">
        <v>24</v>
      </c>
      <c r="B7534" s="7" t="s">
        <v>150</v>
      </c>
      <c r="C7534" s="7" t="s">
        <v>1075</v>
      </c>
      <c r="D7534" s="7" t="n">
        <v>0</v>
      </c>
      <c r="E7534" s="7" t="n">
        <v>0</v>
      </c>
      <c r="F7534" s="7" t="n">
        <v>1</v>
      </c>
      <c r="G7534" s="7" t="n">
        <v>203.33</v>
      </c>
    </row>
    <row r="7535" customFormat="false" ht="15" hidden="false" customHeight="false" outlineLevel="0" collapsed="false">
      <c r="A7535" s="7" t="s">
        <v>24</v>
      </c>
      <c r="B7535" s="7" t="s">
        <v>150</v>
      </c>
      <c r="C7535" s="7" t="s">
        <v>1075</v>
      </c>
      <c r="D7535" s="7" t="n">
        <v>0</v>
      </c>
      <c r="E7535" s="7" t="n">
        <v>0</v>
      </c>
      <c r="F7535" s="7" t="n">
        <v>1</v>
      </c>
      <c r="G7535" s="7" t="n">
        <v>254.16</v>
      </c>
    </row>
    <row r="7536" customFormat="false" ht="15" hidden="false" customHeight="false" outlineLevel="0" collapsed="false">
      <c r="A7536" s="7" t="s">
        <v>24</v>
      </c>
      <c r="B7536" s="7" t="s">
        <v>150</v>
      </c>
      <c r="C7536" s="7" t="s">
        <v>1075</v>
      </c>
      <c r="D7536" s="7" t="n">
        <v>0</v>
      </c>
      <c r="E7536" s="7" t="n">
        <v>0</v>
      </c>
      <c r="F7536" s="7" t="n">
        <v>1</v>
      </c>
      <c r="G7536" s="7" t="n">
        <v>203.33</v>
      </c>
    </row>
    <row r="7537" customFormat="false" ht="15" hidden="false" customHeight="false" outlineLevel="0" collapsed="false">
      <c r="A7537" s="7" t="s">
        <v>24</v>
      </c>
      <c r="B7537" s="7" t="s">
        <v>150</v>
      </c>
      <c r="C7537" s="7" t="s">
        <v>1075</v>
      </c>
      <c r="D7537" s="7" t="n">
        <v>0</v>
      </c>
      <c r="E7537" s="7" t="n">
        <v>0</v>
      </c>
      <c r="F7537" s="7" t="n">
        <v>1</v>
      </c>
      <c r="G7537" s="7" t="n">
        <v>254.15</v>
      </c>
    </row>
    <row r="7538" customFormat="false" ht="15" hidden="false" customHeight="false" outlineLevel="0" collapsed="false">
      <c r="A7538" s="7" t="s">
        <v>24</v>
      </c>
      <c r="B7538" s="7" t="s">
        <v>150</v>
      </c>
      <c r="C7538" s="7" t="s">
        <v>1075</v>
      </c>
      <c r="D7538" s="7" t="n">
        <v>0</v>
      </c>
      <c r="E7538" s="7" t="n">
        <v>0</v>
      </c>
      <c r="F7538" s="7" t="n">
        <v>1</v>
      </c>
      <c r="G7538" s="7" t="n">
        <v>203.32</v>
      </c>
    </row>
    <row r="7539" customFormat="false" ht="15" hidden="false" customHeight="false" outlineLevel="0" collapsed="false">
      <c r="A7539" s="7" t="s">
        <v>24</v>
      </c>
      <c r="B7539" s="7" t="s">
        <v>150</v>
      </c>
      <c r="C7539" s="7" t="s">
        <v>1075</v>
      </c>
      <c r="D7539" s="7" t="n">
        <v>0</v>
      </c>
      <c r="E7539" s="7" t="n">
        <v>0</v>
      </c>
      <c r="F7539" s="7" t="n">
        <v>1</v>
      </c>
      <c r="G7539" s="7" t="n">
        <v>203.32</v>
      </c>
    </row>
    <row r="7540" customFormat="false" ht="15" hidden="false" customHeight="false" outlineLevel="0" collapsed="false">
      <c r="A7540" s="7" t="s">
        <v>24</v>
      </c>
      <c r="B7540" s="7" t="s">
        <v>150</v>
      </c>
      <c r="C7540" s="7" t="s">
        <v>1075</v>
      </c>
      <c r="D7540" s="7" t="n">
        <v>0</v>
      </c>
      <c r="E7540" s="7" t="n">
        <v>0</v>
      </c>
      <c r="F7540" s="7" t="n">
        <v>1</v>
      </c>
      <c r="G7540" s="7" t="n">
        <v>203.32</v>
      </c>
    </row>
    <row r="7541" customFormat="false" ht="15" hidden="false" customHeight="false" outlineLevel="0" collapsed="false">
      <c r="A7541" s="7" t="s">
        <v>24</v>
      </c>
      <c r="B7541" s="7" t="s">
        <v>479</v>
      </c>
      <c r="C7541" s="7" t="s">
        <v>1075</v>
      </c>
      <c r="D7541" s="7" t="n">
        <v>0</v>
      </c>
      <c r="E7541" s="7" t="n">
        <v>0</v>
      </c>
      <c r="F7541" s="7" t="n">
        <v>10</v>
      </c>
      <c r="G7541" s="7" t="n">
        <v>2134.86</v>
      </c>
    </row>
    <row r="7542" customFormat="false" ht="15" hidden="false" customHeight="false" outlineLevel="0" collapsed="false">
      <c r="A7542" s="7" t="s">
        <v>24</v>
      </c>
      <c r="B7542" s="7" t="s">
        <v>479</v>
      </c>
      <c r="C7542" s="7" t="s">
        <v>1075</v>
      </c>
      <c r="D7542" s="7" t="n">
        <v>17</v>
      </c>
      <c r="E7542" s="7" t="n">
        <v>3863.08</v>
      </c>
      <c r="F7542" s="7" t="n">
        <v>1</v>
      </c>
      <c r="G7542" s="7" t="n">
        <v>254.15</v>
      </c>
    </row>
    <row r="7543" customFormat="false" ht="15" hidden="false" customHeight="false" outlineLevel="0" collapsed="false">
      <c r="A7543" s="7" t="s">
        <v>24</v>
      </c>
      <c r="B7543" s="7" t="s">
        <v>479</v>
      </c>
      <c r="C7543" s="7" t="s">
        <v>1075</v>
      </c>
      <c r="D7543" s="7" t="n">
        <v>0</v>
      </c>
      <c r="E7543" s="7" t="n">
        <v>0</v>
      </c>
      <c r="F7543" s="7" t="n">
        <v>1</v>
      </c>
      <c r="G7543" s="7" t="n">
        <v>254.15</v>
      </c>
    </row>
    <row r="7544" customFormat="false" ht="15" hidden="false" customHeight="false" outlineLevel="0" collapsed="false">
      <c r="A7544" s="7" t="s">
        <v>24</v>
      </c>
      <c r="B7544" s="7" t="s">
        <v>479</v>
      </c>
      <c r="C7544" s="7" t="s">
        <v>1075</v>
      </c>
      <c r="D7544" s="7" t="n">
        <v>0</v>
      </c>
      <c r="E7544" s="7" t="n">
        <v>0</v>
      </c>
      <c r="F7544" s="7" t="n">
        <v>1</v>
      </c>
      <c r="G7544" s="7" t="n">
        <v>254.16</v>
      </c>
    </row>
    <row r="7545" customFormat="false" ht="15" hidden="false" customHeight="false" outlineLevel="0" collapsed="false">
      <c r="A7545" s="7" t="s">
        <v>24</v>
      </c>
      <c r="B7545" s="7" t="s">
        <v>479</v>
      </c>
      <c r="C7545" s="7" t="s">
        <v>1075</v>
      </c>
      <c r="D7545" s="7" t="n">
        <v>2</v>
      </c>
      <c r="E7545" s="7" t="n">
        <v>496.44</v>
      </c>
      <c r="F7545" s="7" t="n">
        <v>0</v>
      </c>
      <c r="G7545" s="7" t="n">
        <v>0</v>
      </c>
    </row>
    <row r="7546" customFormat="false" ht="15" hidden="false" customHeight="false" outlineLevel="0" collapsed="false">
      <c r="A7546" s="7" t="s">
        <v>24</v>
      </c>
      <c r="B7546" s="7" t="s">
        <v>479</v>
      </c>
      <c r="C7546" s="7" t="s">
        <v>1075</v>
      </c>
      <c r="D7546" s="7" t="n">
        <v>0</v>
      </c>
      <c r="E7546" s="7" t="n">
        <v>0</v>
      </c>
      <c r="F7546" s="7" t="n">
        <v>1</v>
      </c>
      <c r="G7546" s="7" t="n">
        <v>203.33</v>
      </c>
    </row>
    <row r="7547" customFormat="false" ht="15" hidden="false" customHeight="false" outlineLevel="0" collapsed="false">
      <c r="A7547" s="7" t="s">
        <v>24</v>
      </c>
      <c r="B7547" s="7" t="s">
        <v>479</v>
      </c>
      <c r="C7547" s="7" t="s">
        <v>1075</v>
      </c>
      <c r="D7547" s="7" t="n">
        <v>0</v>
      </c>
      <c r="E7547" s="7" t="n">
        <v>0</v>
      </c>
      <c r="F7547" s="7" t="n">
        <v>1</v>
      </c>
      <c r="G7547" s="7" t="n">
        <v>203.32</v>
      </c>
    </row>
    <row r="7548" customFormat="false" ht="15" hidden="false" customHeight="false" outlineLevel="0" collapsed="false">
      <c r="A7548" s="7" t="s">
        <v>24</v>
      </c>
      <c r="B7548" s="7" t="s">
        <v>479</v>
      </c>
      <c r="C7548" s="7" t="s">
        <v>1075</v>
      </c>
      <c r="D7548" s="7" t="n">
        <v>0</v>
      </c>
      <c r="E7548" s="7" t="n">
        <v>0</v>
      </c>
      <c r="F7548" s="7" t="n">
        <v>1</v>
      </c>
      <c r="G7548" s="7" t="n">
        <v>254.15</v>
      </c>
    </row>
    <row r="7549" customFormat="false" ht="15" hidden="false" customHeight="false" outlineLevel="0" collapsed="false">
      <c r="A7549" s="7" t="s">
        <v>24</v>
      </c>
      <c r="B7549" s="7" t="s">
        <v>479</v>
      </c>
      <c r="C7549" s="7" t="s">
        <v>1075</v>
      </c>
      <c r="D7549" s="7" t="n">
        <v>0</v>
      </c>
      <c r="E7549" s="7" t="n">
        <v>0</v>
      </c>
      <c r="F7549" s="7" t="n">
        <v>1</v>
      </c>
      <c r="G7549" s="7" t="n">
        <v>228.74</v>
      </c>
    </row>
    <row r="7550" customFormat="false" ht="15" hidden="false" customHeight="false" outlineLevel="0" collapsed="false">
      <c r="A7550" s="7" t="s">
        <v>24</v>
      </c>
      <c r="B7550" s="7" t="s">
        <v>479</v>
      </c>
      <c r="C7550" s="7" t="s">
        <v>1075</v>
      </c>
      <c r="D7550" s="7" t="n">
        <v>0</v>
      </c>
      <c r="E7550" s="7" t="n">
        <v>0</v>
      </c>
      <c r="F7550" s="7" t="n">
        <v>1</v>
      </c>
      <c r="G7550" s="7" t="n">
        <v>216.03</v>
      </c>
    </row>
    <row r="7551" customFormat="false" ht="15" hidden="false" customHeight="false" outlineLevel="0" collapsed="false">
      <c r="A7551" s="7" t="s">
        <v>24</v>
      </c>
      <c r="B7551" s="7" t="s">
        <v>755</v>
      </c>
      <c r="C7551" s="7" t="s">
        <v>1127</v>
      </c>
      <c r="D7551" s="7" t="n">
        <v>0</v>
      </c>
      <c r="E7551" s="7" t="n">
        <v>0</v>
      </c>
      <c r="F7551" s="7" t="n">
        <v>1</v>
      </c>
      <c r="G7551" s="7" t="n">
        <v>135.52</v>
      </c>
    </row>
    <row r="7552" customFormat="false" ht="15" hidden="false" customHeight="false" outlineLevel="0" collapsed="false">
      <c r="A7552" s="7" t="s">
        <v>24</v>
      </c>
      <c r="B7552" s="7" t="s">
        <v>755</v>
      </c>
      <c r="C7552" s="7" t="s">
        <v>1127</v>
      </c>
      <c r="D7552" s="7" t="n">
        <v>0</v>
      </c>
      <c r="E7552" s="7" t="n">
        <v>0</v>
      </c>
      <c r="F7552" s="7" t="n">
        <v>1</v>
      </c>
      <c r="G7552" s="7" t="n">
        <v>135.53</v>
      </c>
    </row>
    <row r="7553" customFormat="false" ht="15" hidden="false" customHeight="false" outlineLevel="0" collapsed="false">
      <c r="A7553" s="7" t="s">
        <v>24</v>
      </c>
      <c r="B7553" s="7" t="s">
        <v>755</v>
      </c>
      <c r="C7553" s="7" t="s">
        <v>1127</v>
      </c>
      <c r="D7553" s="7" t="n">
        <v>0</v>
      </c>
      <c r="E7553" s="7" t="n">
        <v>0</v>
      </c>
      <c r="F7553" s="7" t="n">
        <v>1</v>
      </c>
      <c r="G7553" s="7" t="n">
        <v>169.41</v>
      </c>
    </row>
    <row r="7554" customFormat="false" ht="15" hidden="false" customHeight="false" outlineLevel="0" collapsed="false">
      <c r="A7554" s="7" t="s">
        <v>24</v>
      </c>
      <c r="B7554" s="7" t="s">
        <v>755</v>
      </c>
      <c r="C7554" s="7" t="s">
        <v>1127</v>
      </c>
      <c r="D7554" s="7" t="n">
        <v>0</v>
      </c>
      <c r="E7554" s="7" t="n">
        <v>0</v>
      </c>
      <c r="F7554" s="7" t="n">
        <v>1</v>
      </c>
      <c r="G7554" s="7" t="n">
        <v>135.53</v>
      </c>
    </row>
    <row r="7555" customFormat="false" ht="15" hidden="false" customHeight="false" outlineLevel="0" collapsed="false">
      <c r="A7555" s="7" t="s">
        <v>24</v>
      </c>
      <c r="B7555" s="7" t="s">
        <v>755</v>
      </c>
      <c r="C7555" s="7" t="s">
        <v>1127</v>
      </c>
      <c r="D7555" s="7" t="n">
        <v>0</v>
      </c>
      <c r="E7555" s="7" t="n">
        <v>0</v>
      </c>
      <c r="F7555" s="7" t="n">
        <v>1</v>
      </c>
      <c r="G7555" s="7" t="n">
        <v>169.41</v>
      </c>
    </row>
    <row r="7556" customFormat="false" ht="15" hidden="false" customHeight="false" outlineLevel="0" collapsed="false">
      <c r="A7556" s="7" t="s">
        <v>24</v>
      </c>
      <c r="B7556" s="7" t="s">
        <v>755</v>
      </c>
      <c r="C7556" s="7" t="s">
        <v>1127</v>
      </c>
      <c r="D7556" s="7" t="n">
        <v>0</v>
      </c>
      <c r="E7556" s="7" t="n">
        <v>0</v>
      </c>
      <c r="F7556" s="7" t="n">
        <v>1</v>
      </c>
      <c r="G7556" s="7" t="n">
        <v>169.41</v>
      </c>
    </row>
    <row r="7557" customFormat="false" ht="15" hidden="false" customHeight="false" outlineLevel="0" collapsed="false">
      <c r="A7557" s="7" t="s">
        <v>24</v>
      </c>
      <c r="B7557" s="7" t="s">
        <v>755</v>
      </c>
      <c r="C7557" s="7" t="s">
        <v>1127</v>
      </c>
      <c r="D7557" s="7" t="n">
        <v>0</v>
      </c>
      <c r="E7557" s="7" t="n">
        <v>0</v>
      </c>
      <c r="F7557" s="7" t="n">
        <v>14</v>
      </c>
      <c r="G7557" s="7" t="n">
        <v>2261.63</v>
      </c>
    </row>
    <row r="7558" customFormat="false" ht="15" hidden="false" customHeight="false" outlineLevel="0" collapsed="false">
      <c r="A7558" s="7" t="s">
        <v>24</v>
      </c>
      <c r="B7558" s="7" t="s">
        <v>755</v>
      </c>
      <c r="C7558" s="7" t="s">
        <v>1127</v>
      </c>
      <c r="D7558" s="7" t="n">
        <v>22</v>
      </c>
      <c r="E7558" s="7" t="n">
        <v>3277.89</v>
      </c>
      <c r="F7558" s="7" t="n">
        <v>10</v>
      </c>
      <c r="G7558" s="7" t="n">
        <v>1490.74</v>
      </c>
    </row>
    <row r="7559" customFormat="false" ht="15" hidden="false" customHeight="false" outlineLevel="0" collapsed="false">
      <c r="A7559" s="7" t="s">
        <v>24</v>
      </c>
      <c r="B7559" s="7" t="s">
        <v>755</v>
      </c>
      <c r="C7559" s="7" t="s">
        <v>1127</v>
      </c>
      <c r="D7559" s="7" t="n">
        <v>0</v>
      </c>
      <c r="E7559" s="7" t="n">
        <v>0</v>
      </c>
      <c r="F7559" s="7" t="n">
        <v>2</v>
      </c>
      <c r="G7559" s="7" t="n">
        <v>271.05</v>
      </c>
    </row>
    <row r="7560" customFormat="false" ht="15" hidden="false" customHeight="false" outlineLevel="0" collapsed="false">
      <c r="A7560" s="7" t="s">
        <v>24</v>
      </c>
      <c r="B7560" s="7" t="s">
        <v>755</v>
      </c>
      <c r="C7560" s="7" t="s">
        <v>1127</v>
      </c>
      <c r="D7560" s="7" t="n">
        <v>0</v>
      </c>
      <c r="E7560" s="7" t="n">
        <v>0</v>
      </c>
      <c r="F7560" s="7" t="n">
        <v>2</v>
      </c>
      <c r="G7560" s="7" t="n">
        <v>271.05</v>
      </c>
    </row>
    <row r="7561" customFormat="false" ht="15" hidden="false" customHeight="false" outlineLevel="0" collapsed="false">
      <c r="A7561" s="7" t="s">
        <v>24</v>
      </c>
      <c r="B7561" s="7" t="s">
        <v>755</v>
      </c>
      <c r="C7561" s="7" t="s">
        <v>1127</v>
      </c>
      <c r="D7561" s="7" t="n">
        <v>10</v>
      </c>
      <c r="E7561" s="7" t="n">
        <v>1104.46</v>
      </c>
      <c r="F7561" s="7" t="n">
        <v>0</v>
      </c>
      <c r="G7561" s="7" t="n">
        <v>0</v>
      </c>
    </row>
    <row r="7562" customFormat="false" ht="15" hidden="false" customHeight="false" outlineLevel="0" collapsed="false">
      <c r="A7562" s="7" t="s">
        <v>24</v>
      </c>
      <c r="B7562" s="7" t="s">
        <v>755</v>
      </c>
      <c r="C7562" s="7" t="s">
        <v>1127</v>
      </c>
      <c r="D7562" s="7" t="n">
        <v>0</v>
      </c>
      <c r="E7562" s="7" t="n">
        <v>0</v>
      </c>
      <c r="F7562" s="7" t="n">
        <v>1</v>
      </c>
      <c r="G7562" s="7" t="n">
        <v>152.47</v>
      </c>
    </row>
    <row r="7563" customFormat="false" ht="15" hidden="false" customHeight="false" outlineLevel="0" collapsed="false">
      <c r="A7563" s="7" t="s">
        <v>24</v>
      </c>
      <c r="B7563" s="7" t="s">
        <v>755</v>
      </c>
      <c r="C7563" s="7" t="s">
        <v>1127</v>
      </c>
      <c r="D7563" s="7" t="n">
        <v>0</v>
      </c>
      <c r="E7563" s="7" t="n">
        <v>0</v>
      </c>
      <c r="F7563" s="7" t="n">
        <v>2</v>
      </c>
      <c r="G7563" s="7" t="n">
        <v>304.94</v>
      </c>
    </row>
    <row r="7564" customFormat="false" ht="15" hidden="false" customHeight="false" outlineLevel="0" collapsed="false">
      <c r="A7564" s="7" t="s">
        <v>24</v>
      </c>
      <c r="B7564" s="7" t="s">
        <v>755</v>
      </c>
      <c r="C7564" s="7" t="s">
        <v>1127</v>
      </c>
      <c r="D7564" s="7" t="n">
        <v>0</v>
      </c>
      <c r="E7564" s="7" t="n">
        <v>0</v>
      </c>
      <c r="F7564" s="7" t="n">
        <v>1</v>
      </c>
      <c r="G7564" s="7" t="n">
        <v>169.4</v>
      </c>
    </row>
    <row r="7565" customFormat="false" ht="15" hidden="false" customHeight="false" outlineLevel="0" collapsed="false">
      <c r="A7565" s="7" t="s">
        <v>24</v>
      </c>
      <c r="B7565" s="7" t="s">
        <v>755</v>
      </c>
      <c r="C7565" s="7" t="s">
        <v>1127</v>
      </c>
      <c r="D7565" s="7" t="n">
        <v>0</v>
      </c>
      <c r="E7565" s="7" t="n">
        <v>0</v>
      </c>
      <c r="F7565" s="7" t="n">
        <v>2</v>
      </c>
      <c r="G7565" s="7" t="n">
        <v>288</v>
      </c>
    </row>
    <row r="7566" customFormat="false" ht="15" hidden="false" customHeight="false" outlineLevel="0" collapsed="false">
      <c r="A7566" s="7" t="s">
        <v>24</v>
      </c>
      <c r="B7566" s="7" t="s">
        <v>755</v>
      </c>
      <c r="C7566" s="7" t="s">
        <v>1127</v>
      </c>
      <c r="D7566" s="7" t="n">
        <v>0</v>
      </c>
      <c r="E7566" s="7" t="n">
        <v>0</v>
      </c>
      <c r="F7566" s="7" t="n">
        <v>1</v>
      </c>
      <c r="G7566" s="7" t="n">
        <v>135.52</v>
      </c>
    </row>
    <row r="7567" customFormat="false" ht="15" hidden="false" customHeight="false" outlineLevel="0" collapsed="false">
      <c r="A7567" s="7" t="s">
        <v>24</v>
      </c>
      <c r="B7567" s="7" t="s">
        <v>755</v>
      </c>
      <c r="C7567" s="7" t="s">
        <v>1127</v>
      </c>
      <c r="D7567" s="7" t="n">
        <v>0</v>
      </c>
      <c r="E7567" s="7" t="n">
        <v>0</v>
      </c>
      <c r="F7567" s="7" t="n">
        <v>1</v>
      </c>
      <c r="G7567" s="7" t="n">
        <v>152.47</v>
      </c>
    </row>
    <row r="7568" customFormat="false" ht="15" hidden="false" customHeight="false" outlineLevel="0" collapsed="false">
      <c r="A7568" s="7" t="s">
        <v>24</v>
      </c>
      <c r="B7568" s="7" t="s">
        <v>755</v>
      </c>
      <c r="C7568" s="7" t="s">
        <v>1127</v>
      </c>
      <c r="D7568" s="7" t="n">
        <v>25</v>
      </c>
      <c r="E7568" s="7" t="n">
        <v>3046.55</v>
      </c>
      <c r="F7568" s="7" t="n">
        <v>0</v>
      </c>
      <c r="G7568" s="7" t="n">
        <v>0</v>
      </c>
    </row>
    <row r="7569" customFormat="false" ht="15" hidden="false" customHeight="false" outlineLevel="0" collapsed="false">
      <c r="A7569" s="7" t="s">
        <v>24</v>
      </c>
      <c r="B7569" s="7" t="s">
        <v>755</v>
      </c>
      <c r="C7569" s="7" t="s">
        <v>1127</v>
      </c>
      <c r="D7569" s="7" t="n">
        <v>0</v>
      </c>
      <c r="E7569" s="7" t="n">
        <v>0</v>
      </c>
      <c r="F7569" s="7" t="n">
        <v>1</v>
      </c>
      <c r="G7569" s="7" t="n">
        <v>169.4</v>
      </c>
    </row>
    <row r="7570" customFormat="false" ht="15" hidden="false" customHeight="false" outlineLevel="0" collapsed="false">
      <c r="A7570" s="7" t="s">
        <v>24</v>
      </c>
      <c r="B7570" s="7" t="s">
        <v>755</v>
      </c>
      <c r="C7570" s="7" t="s">
        <v>1127</v>
      </c>
      <c r="D7570" s="7" t="n">
        <v>0</v>
      </c>
      <c r="E7570" s="7" t="n">
        <v>0</v>
      </c>
      <c r="F7570" s="7" t="n">
        <v>1</v>
      </c>
      <c r="G7570" s="7" t="n">
        <v>135.52</v>
      </c>
    </row>
    <row r="7571" customFormat="false" ht="15" hidden="false" customHeight="false" outlineLevel="0" collapsed="false">
      <c r="A7571" s="7" t="s">
        <v>24</v>
      </c>
      <c r="B7571" s="7" t="s">
        <v>755</v>
      </c>
      <c r="C7571" s="7" t="s">
        <v>1127</v>
      </c>
      <c r="D7571" s="7" t="n">
        <v>0</v>
      </c>
      <c r="E7571" s="7" t="n">
        <v>0</v>
      </c>
      <c r="F7571" s="7" t="n">
        <v>3</v>
      </c>
      <c r="G7571" s="7" t="n">
        <v>457.41</v>
      </c>
    </row>
    <row r="7572" customFormat="false" ht="15" hidden="false" customHeight="false" outlineLevel="0" collapsed="false">
      <c r="A7572" s="7" t="s">
        <v>24</v>
      </c>
      <c r="B7572" s="7" t="s">
        <v>755</v>
      </c>
      <c r="C7572" s="7" t="s">
        <v>1127</v>
      </c>
      <c r="D7572" s="7" t="n">
        <v>0</v>
      </c>
      <c r="E7572" s="7" t="n">
        <v>0</v>
      </c>
      <c r="F7572" s="7" t="n">
        <v>2</v>
      </c>
      <c r="G7572" s="7" t="n">
        <v>304.92</v>
      </c>
    </row>
    <row r="7573" customFormat="false" ht="15" hidden="false" customHeight="false" outlineLevel="0" collapsed="false">
      <c r="A7573" s="7" t="s">
        <v>24</v>
      </c>
      <c r="B7573" s="7" t="s">
        <v>136</v>
      </c>
      <c r="C7573" s="7" t="s">
        <v>1127</v>
      </c>
      <c r="D7573" s="7" t="n">
        <v>0</v>
      </c>
      <c r="E7573" s="7" t="n">
        <v>0</v>
      </c>
      <c r="F7573" s="7" t="n">
        <v>1</v>
      </c>
      <c r="G7573" s="7" t="n">
        <v>112.5</v>
      </c>
    </row>
    <row r="7574" customFormat="false" ht="15" hidden="false" customHeight="false" outlineLevel="0" collapsed="false">
      <c r="A7574" s="7" t="s">
        <v>24</v>
      </c>
      <c r="B7574" s="7" t="s">
        <v>136</v>
      </c>
      <c r="C7574" s="7" t="s">
        <v>1127</v>
      </c>
      <c r="D7574" s="7" t="n">
        <v>0</v>
      </c>
      <c r="E7574" s="7" t="n">
        <v>0</v>
      </c>
      <c r="F7574" s="7" t="n">
        <v>1</v>
      </c>
      <c r="G7574" s="7" t="n">
        <v>169.41</v>
      </c>
    </row>
    <row r="7575" customFormat="false" ht="15" hidden="false" customHeight="false" outlineLevel="0" collapsed="false">
      <c r="A7575" s="7" t="s">
        <v>24</v>
      </c>
      <c r="B7575" s="7" t="s">
        <v>136</v>
      </c>
      <c r="C7575" s="7" t="s">
        <v>1127</v>
      </c>
      <c r="D7575" s="7" t="n">
        <v>0</v>
      </c>
      <c r="E7575" s="7" t="n">
        <v>0</v>
      </c>
      <c r="F7575" s="7" t="n">
        <v>1</v>
      </c>
      <c r="G7575" s="7" t="n">
        <v>135.53</v>
      </c>
    </row>
    <row r="7576" customFormat="false" ht="15" hidden="false" customHeight="false" outlineLevel="0" collapsed="false">
      <c r="A7576" s="7" t="s">
        <v>24</v>
      </c>
      <c r="B7576" s="7" t="s">
        <v>136</v>
      </c>
      <c r="C7576" s="7" t="s">
        <v>1127</v>
      </c>
      <c r="D7576" s="7" t="n">
        <v>8</v>
      </c>
      <c r="E7576" s="7" t="n">
        <v>1001.56</v>
      </c>
      <c r="F7576" s="7" t="n">
        <v>0</v>
      </c>
      <c r="G7576" s="7" t="n">
        <v>0</v>
      </c>
    </row>
    <row r="7577" customFormat="false" ht="15" hidden="false" customHeight="false" outlineLevel="0" collapsed="false">
      <c r="A7577" s="7" t="s">
        <v>24</v>
      </c>
      <c r="B7577" s="7" t="s">
        <v>136</v>
      </c>
      <c r="C7577" s="7" t="s">
        <v>1127</v>
      </c>
      <c r="D7577" s="7" t="n">
        <v>0</v>
      </c>
      <c r="E7577" s="7" t="n">
        <v>0</v>
      </c>
      <c r="F7577" s="7" t="n">
        <v>7</v>
      </c>
      <c r="G7577" s="7" t="n">
        <v>982.51</v>
      </c>
    </row>
    <row r="7578" customFormat="false" ht="15" hidden="false" customHeight="false" outlineLevel="0" collapsed="false">
      <c r="A7578" s="7" t="s">
        <v>24</v>
      </c>
      <c r="B7578" s="7" t="s">
        <v>136</v>
      </c>
      <c r="C7578" s="7" t="s">
        <v>1127</v>
      </c>
      <c r="D7578" s="7" t="n">
        <v>0</v>
      </c>
      <c r="E7578" s="7" t="n">
        <v>0</v>
      </c>
      <c r="F7578" s="7" t="n">
        <v>1</v>
      </c>
      <c r="G7578" s="7" t="n">
        <v>129.37</v>
      </c>
    </row>
    <row r="7579" customFormat="false" ht="15" hidden="false" customHeight="false" outlineLevel="0" collapsed="false">
      <c r="A7579" s="7" t="s">
        <v>24</v>
      </c>
      <c r="B7579" s="7" t="s">
        <v>136</v>
      </c>
      <c r="C7579" s="7" t="s">
        <v>1127</v>
      </c>
      <c r="D7579" s="7" t="n">
        <v>0</v>
      </c>
      <c r="E7579" s="7" t="n">
        <v>0</v>
      </c>
      <c r="F7579" s="7" t="n">
        <v>1</v>
      </c>
      <c r="G7579" s="7" t="n">
        <v>169.41</v>
      </c>
    </row>
    <row r="7580" customFormat="false" ht="15" hidden="false" customHeight="false" outlineLevel="0" collapsed="false">
      <c r="A7580" s="7" t="s">
        <v>24</v>
      </c>
      <c r="B7580" s="7" t="s">
        <v>136</v>
      </c>
      <c r="C7580" s="7" t="s">
        <v>1127</v>
      </c>
      <c r="D7580" s="7" t="n">
        <v>0</v>
      </c>
      <c r="E7580" s="7" t="n">
        <v>0</v>
      </c>
      <c r="F7580" s="7" t="n">
        <v>2</v>
      </c>
      <c r="G7580" s="7" t="n">
        <v>279.53</v>
      </c>
    </row>
    <row r="7581" customFormat="false" ht="15" hidden="false" customHeight="false" outlineLevel="0" collapsed="false">
      <c r="A7581" s="7" t="s">
        <v>24</v>
      </c>
      <c r="B7581" s="7" t="s">
        <v>136</v>
      </c>
      <c r="C7581" s="7" t="s">
        <v>1127</v>
      </c>
      <c r="D7581" s="7" t="n">
        <v>23</v>
      </c>
      <c r="E7581" s="7" t="n">
        <v>3277.89</v>
      </c>
      <c r="F7581" s="7" t="n">
        <v>2</v>
      </c>
      <c r="G7581" s="7" t="n">
        <v>287.99</v>
      </c>
    </row>
    <row r="7582" customFormat="false" ht="15" hidden="false" customHeight="false" outlineLevel="0" collapsed="false">
      <c r="A7582" s="7" t="s">
        <v>24</v>
      </c>
      <c r="B7582" s="7" t="s">
        <v>136</v>
      </c>
      <c r="C7582" s="7" t="s">
        <v>1127</v>
      </c>
      <c r="D7582" s="7" t="n">
        <v>30</v>
      </c>
      <c r="E7582" s="7" t="n">
        <v>3633.51</v>
      </c>
      <c r="F7582" s="7" t="n">
        <v>0</v>
      </c>
      <c r="G7582" s="7" t="n">
        <v>0</v>
      </c>
    </row>
    <row r="7583" customFormat="false" ht="15" hidden="false" customHeight="false" outlineLevel="0" collapsed="false">
      <c r="A7583" s="7" t="s">
        <v>24</v>
      </c>
      <c r="B7583" s="7" t="s">
        <v>136</v>
      </c>
      <c r="C7583" s="7" t="s">
        <v>1127</v>
      </c>
      <c r="D7583" s="7" t="n">
        <v>1</v>
      </c>
      <c r="E7583" s="7" t="n">
        <v>0.01</v>
      </c>
      <c r="F7583" s="7" t="n">
        <v>0</v>
      </c>
      <c r="G7583" s="7" t="n">
        <v>0</v>
      </c>
    </row>
    <row r="7584" customFormat="false" ht="15" hidden="false" customHeight="false" outlineLevel="0" collapsed="false">
      <c r="A7584" s="7" t="s">
        <v>24</v>
      </c>
      <c r="B7584" s="7" t="s">
        <v>136</v>
      </c>
      <c r="C7584" s="7" t="s">
        <v>1127</v>
      </c>
      <c r="D7584" s="7" t="n">
        <v>0</v>
      </c>
      <c r="E7584" s="7" t="n">
        <v>0</v>
      </c>
      <c r="F7584" s="7" t="n">
        <v>1</v>
      </c>
      <c r="G7584" s="7" t="n">
        <v>144</v>
      </c>
    </row>
    <row r="7585" customFormat="false" ht="15" hidden="false" customHeight="false" outlineLevel="0" collapsed="false">
      <c r="A7585" s="7" t="s">
        <v>24</v>
      </c>
      <c r="B7585" s="7" t="s">
        <v>136</v>
      </c>
      <c r="C7585" s="7" t="s">
        <v>1127</v>
      </c>
      <c r="D7585" s="7" t="n">
        <v>0</v>
      </c>
      <c r="E7585" s="7" t="n">
        <v>0</v>
      </c>
      <c r="F7585" s="7" t="n">
        <v>1</v>
      </c>
      <c r="G7585" s="7" t="n">
        <v>144</v>
      </c>
    </row>
    <row r="7586" customFormat="false" ht="15" hidden="false" customHeight="false" outlineLevel="0" collapsed="false">
      <c r="A7586" s="7" t="s">
        <v>24</v>
      </c>
      <c r="B7586" s="7" t="s">
        <v>136</v>
      </c>
      <c r="C7586" s="7" t="s">
        <v>1127</v>
      </c>
      <c r="D7586" s="7" t="n">
        <v>0</v>
      </c>
      <c r="E7586" s="7" t="n">
        <v>0</v>
      </c>
      <c r="F7586" s="7" t="n">
        <v>1</v>
      </c>
      <c r="G7586" s="7" t="n">
        <v>144</v>
      </c>
    </row>
    <row r="7587" customFormat="false" ht="15" hidden="false" customHeight="false" outlineLevel="0" collapsed="false">
      <c r="A7587" s="7" t="s">
        <v>24</v>
      </c>
      <c r="B7587" s="7" t="s">
        <v>136</v>
      </c>
      <c r="C7587" s="7" t="s">
        <v>1127</v>
      </c>
      <c r="D7587" s="7" t="n">
        <v>0</v>
      </c>
      <c r="E7587" s="7" t="n">
        <v>0</v>
      </c>
      <c r="F7587" s="7" t="n">
        <v>2</v>
      </c>
      <c r="G7587" s="7" t="n">
        <v>304.94</v>
      </c>
    </row>
    <row r="7588" customFormat="false" ht="15" hidden="false" customHeight="false" outlineLevel="0" collapsed="false">
      <c r="A7588" s="7" t="s">
        <v>24</v>
      </c>
      <c r="B7588" s="7" t="s">
        <v>136</v>
      </c>
      <c r="C7588" s="7" t="s">
        <v>1127</v>
      </c>
      <c r="D7588" s="7" t="n">
        <v>0</v>
      </c>
      <c r="E7588" s="7" t="n">
        <v>0</v>
      </c>
      <c r="F7588" s="7" t="n">
        <v>1</v>
      </c>
      <c r="G7588" s="7" t="n">
        <v>169.4</v>
      </c>
    </row>
    <row r="7589" customFormat="false" ht="15" hidden="false" customHeight="false" outlineLevel="0" collapsed="false">
      <c r="A7589" s="7" t="s">
        <v>24</v>
      </c>
      <c r="B7589" s="7" t="s">
        <v>136</v>
      </c>
      <c r="C7589" s="7" t="s">
        <v>1127</v>
      </c>
      <c r="D7589" s="7" t="n">
        <v>0</v>
      </c>
      <c r="E7589" s="7" t="n">
        <v>0</v>
      </c>
      <c r="F7589" s="7" t="n">
        <v>1</v>
      </c>
      <c r="G7589" s="7" t="n">
        <v>169.41</v>
      </c>
    </row>
    <row r="7590" customFormat="false" ht="15" hidden="false" customHeight="false" outlineLevel="0" collapsed="false">
      <c r="A7590" s="7" t="s">
        <v>24</v>
      </c>
      <c r="B7590" s="7" t="s">
        <v>136</v>
      </c>
      <c r="C7590" s="7" t="s">
        <v>1127</v>
      </c>
      <c r="D7590" s="7" t="n">
        <v>0</v>
      </c>
      <c r="E7590" s="7" t="n">
        <v>0</v>
      </c>
      <c r="F7590" s="7" t="n">
        <v>1</v>
      </c>
      <c r="G7590" s="7" t="n">
        <v>169.4</v>
      </c>
    </row>
    <row r="7591" customFormat="false" ht="15" hidden="false" customHeight="false" outlineLevel="0" collapsed="false">
      <c r="A7591" s="7" t="s">
        <v>24</v>
      </c>
      <c r="B7591" s="7" t="s">
        <v>259</v>
      </c>
      <c r="C7591" s="7" t="s">
        <v>1128</v>
      </c>
      <c r="D7591" s="7" t="n">
        <v>3</v>
      </c>
      <c r="E7591" s="7" t="n">
        <v>448.91</v>
      </c>
      <c r="F7591" s="7" t="n">
        <v>6</v>
      </c>
      <c r="G7591" s="7" t="n">
        <v>779.25</v>
      </c>
    </row>
    <row r="7592" customFormat="false" ht="15" hidden="false" customHeight="false" outlineLevel="0" collapsed="false">
      <c r="A7592" s="7" t="s">
        <v>24</v>
      </c>
      <c r="B7592" s="7" t="s">
        <v>259</v>
      </c>
      <c r="C7592" s="7" t="s">
        <v>1128</v>
      </c>
      <c r="D7592" s="7" t="n">
        <v>3</v>
      </c>
      <c r="E7592" s="7" t="n">
        <v>391.02</v>
      </c>
      <c r="F7592" s="7" t="n">
        <v>0</v>
      </c>
      <c r="G7592" s="7" t="n">
        <v>0</v>
      </c>
    </row>
    <row r="7593" customFormat="false" ht="15" hidden="false" customHeight="false" outlineLevel="0" collapsed="false">
      <c r="A7593" s="7" t="s">
        <v>24</v>
      </c>
      <c r="B7593" s="7" t="s">
        <v>259</v>
      </c>
      <c r="C7593" s="7" t="s">
        <v>1128</v>
      </c>
      <c r="D7593" s="7" t="n">
        <v>0</v>
      </c>
      <c r="E7593" s="7" t="n">
        <v>0</v>
      </c>
      <c r="F7593" s="7" t="n">
        <v>1</v>
      </c>
      <c r="G7593" s="7" t="n">
        <v>135.52</v>
      </c>
    </row>
    <row r="7594" customFormat="false" ht="15" hidden="false" customHeight="false" outlineLevel="0" collapsed="false">
      <c r="A7594" s="7" t="s">
        <v>24</v>
      </c>
      <c r="B7594" s="7" t="s">
        <v>259</v>
      </c>
      <c r="C7594" s="7" t="s">
        <v>1128</v>
      </c>
      <c r="D7594" s="7" t="n">
        <v>0</v>
      </c>
      <c r="E7594" s="7" t="n">
        <v>0</v>
      </c>
      <c r="F7594" s="7" t="n">
        <v>1</v>
      </c>
      <c r="G7594" s="7" t="n">
        <v>152.47</v>
      </c>
    </row>
    <row r="7595" customFormat="false" ht="15" hidden="false" customHeight="false" outlineLevel="0" collapsed="false">
      <c r="A7595" s="7" t="s">
        <v>24</v>
      </c>
      <c r="B7595" s="7" t="s">
        <v>259</v>
      </c>
      <c r="C7595" s="7" t="s">
        <v>1128</v>
      </c>
      <c r="D7595" s="7" t="n">
        <v>0</v>
      </c>
      <c r="E7595" s="7" t="n">
        <v>0</v>
      </c>
      <c r="F7595" s="7" t="n">
        <v>6</v>
      </c>
      <c r="G7595" s="7" t="n">
        <v>982.58</v>
      </c>
    </row>
    <row r="7596" customFormat="false" ht="15" hidden="false" customHeight="false" outlineLevel="0" collapsed="false">
      <c r="A7596" s="7" t="s">
        <v>24</v>
      </c>
      <c r="B7596" s="7" t="s">
        <v>259</v>
      </c>
      <c r="C7596" s="7" t="s">
        <v>1128</v>
      </c>
      <c r="D7596" s="7" t="n">
        <v>0</v>
      </c>
      <c r="E7596" s="7" t="n">
        <v>0</v>
      </c>
      <c r="F7596" s="7" t="n">
        <v>1</v>
      </c>
      <c r="G7596" s="7" t="n">
        <v>169.41</v>
      </c>
    </row>
    <row r="7597" customFormat="false" ht="15" hidden="false" customHeight="false" outlineLevel="0" collapsed="false">
      <c r="A7597" s="7" t="s">
        <v>24</v>
      </c>
      <c r="B7597" s="7" t="s">
        <v>259</v>
      </c>
      <c r="C7597" s="7" t="s">
        <v>1128</v>
      </c>
      <c r="D7597" s="7" t="n">
        <v>0</v>
      </c>
      <c r="E7597" s="7" t="n">
        <v>0</v>
      </c>
      <c r="F7597" s="7" t="n">
        <v>1</v>
      </c>
      <c r="G7597" s="7" t="n">
        <v>169.4</v>
      </c>
    </row>
    <row r="7598" customFormat="false" ht="15" hidden="false" customHeight="false" outlineLevel="0" collapsed="false">
      <c r="A7598" s="7" t="s">
        <v>24</v>
      </c>
      <c r="B7598" s="7" t="s">
        <v>259</v>
      </c>
      <c r="C7598" s="7" t="s">
        <v>1128</v>
      </c>
      <c r="D7598" s="7" t="n">
        <v>0</v>
      </c>
      <c r="E7598" s="7" t="n">
        <v>0</v>
      </c>
      <c r="F7598" s="7" t="n">
        <v>1</v>
      </c>
      <c r="G7598" s="7" t="n">
        <v>169.41</v>
      </c>
    </row>
    <row r="7599" customFormat="false" ht="15" hidden="false" customHeight="false" outlineLevel="0" collapsed="false">
      <c r="A7599" s="7" t="s">
        <v>24</v>
      </c>
      <c r="B7599" s="7" t="s">
        <v>259</v>
      </c>
      <c r="C7599" s="7" t="s">
        <v>1128</v>
      </c>
      <c r="D7599" s="7" t="n">
        <v>0</v>
      </c>
      <c r="E7599" s="7" t="n">
        <v>0</v>
      </c>
      <c r="F7599" s="7" t="n">
        <v>1</v>
      </c>
      <c r="G7599" s="7" t="n">
        <v>152.47</v>
      </c>
    </row>
    <row r="7600" customFormat="false" ht="15" hidden="false" customHeight="false" outlineLevel="0" collapsed="false">
      <c r="A7600" s="7" t="s">
        <v>24</v>
      </c>
      <c r="B7600" s="7" t="s">
        <v>259</v>
      </c>
      <c r="C7600" s="7" t="s">
        <v>1128</v>
      </c>
      <c r="D7600" s="7" t="n">
        <v>7</v>
      </c>
      <c r="E7600" s="7" t="n">
        <v>887.42</v>
      </c>
      <c r="F7600" s="7" t="n">
        <v>0</v>
      </c>
      <c r="G7600" s="7" t="n">
        <v>0</v>
      </c>
    </row>
    <row r="7601" customFormat="false" ht="15" hidden="false" customHeight="false" outlineLevel="0" collapsed="false">
      <c r="A7601" s="7" t="s">
        <v>24</v>
      </c>
      <c r="B7601" s="7" t="s">
        <v>259</v>
      </c>
      <c r="C7601" s="7" t="s">
        <v>1128</v>
      </c>
      <c r="D7601" s="7" t="n">
        <v>0</v>
      </c>
      <c r="E7601" s="7" t="n">
        <v>0</v>
      </c>
      <c r="F7601" s="7" t="n">
        <v>1</v>
      </c>
      <c r="G7601" s="7" t="n">
        <v>169.41</v>
      </c>
    </row>
    <row r="7602" customFormat="false" ht="15" hidden="false" customHeight="false" outlineLevel="0" collapsed="false">
      <c r="A7602" s="7" t="s">
        <v>24</v>
      </c>
      <c r="B7602" s="7" t="s">
        <v>258</v>
      </c>
      <c r="C7602" s="7" t="s">
        <v>1129</v>
      </c>
      <c r="D7602" s="7" t="n">
        <v>0</v>
      </c>
      <c r="E7602" s="7" t="n">
        <v>0</v>
      </c>
      <c r="F7602" s="7" t="n">
        <v>2</v>
      </c>
      <c r="G7602" s="7" t="n">
        <v>338.82</v>
      </c>
    </row>
    <row r="7603" customFormat="false" ht="15" hidden="false" customHeight="false" outlineLevel="0" collapsed="false">
      <c r="A7603" s="7" t="s">
        <v>24</v>
      </c>
      <c r="B7603" s="7" t="s">
        <v>258</v>
      </c>
      <c r="C7603" s="7" t="s">
        <v>1129</v>
      </c>
      <c r="D7603" s="7" t="n">
        <v>9</v>
      </c>
      <c r="E7603" s="7" t="n">
        <v>1145.96</v>
      </c>
      <c r="F7603" s="7" t="n">
        <v>0</v>
      </c>
      <c r="G7603" s="7" t="n">
        <v>0</v>
      </c>
    </row>
    <row r="7604" customFormat="false" ht="15" hidden="false" customHeight="false" outlineLevel="0" collapsed="false">
      <c r="A7604" s="7" t="s">
        <v>24</v>
      </c>
      <c r="B7604" s="7" t="s">
        <v>258</v>
      </c>
      <c r="C7604" s="7" t="s">
        <v>1129</v>
      </c>
      <c r="D7604" s="7" t="n">
        <v>0</v>
      </c>
      <c r="E7604" s="7" t="n">
        <v>0</v>
      </c>
      <c r="F7604" s="7" t="n">
        <v>2</v>
      </c>
      <c r="G7604" s="7" t="n">
        <v>271.06</v>
      </c>
    </row>
    <row r="7605" customFormat="false" ht="15" hidden="false" customHeight="false" outlineLevel="0" collapsed="false">
      <c r="A7605" s="7" t="s">
        <v>24</v>
      </c>
      <c r="B7605" s="7" t="s">
        <v>258</v>
      </c>
      <c r="C7605" s="7" t="s">
        <v>1129</v>
      </c>
      <c r="D7605" s="7" t="n">
        <v>0</v>
      </c>
      <c r="E7605" s="7" t="n">
        <v>0</v>
      </c>
      <c r="F7605" s="7" t="n">
        <v>1</v>
      </c>
      <c r="G7605" s="7" t="n">
        <v>169.41</v>
      </c>
    </row>
    <row r="7606" customFormat="false" ht="15" hidden="false" customHeight="false" outlineLevel="0" collapsed="false">
      <c r="A7606" s="7" t="s">
        <v>24</v>
      </c>
      <c r="B7606" s="7" t="s">
        <v>258</v>
      </c>
      <c r="C7606" s="7" t="s">
        <v>1129</v>
      </c>
      <c r="D7606" s="7" t="n">
        <v>3</v>
      </c>
      <c r="E7606" s="7" t="n">
        <v>315.56</v>
      </c>
      <c r="F7606" s="7" t="n">
        <v>0</v>
      </c>
      <c r="G7606" s="7" t="n">
        <v>0</v>
      </c>
    </row>
    <row r="7607" customFormat="false" ht="15" hidden="false" customHeight="false" outlineLevel="0" collapsed="false">
      <c r="A7607" s="7" t="s">
        <v>24</v>
      </c>
      <c r="B7607" s="7" t="s">
        <v>258</v>
      </c>
      <c r="C7607" s="7" t="s">
        <v>1129</v>
      </c>
      <c r="D7607" s="7" t="n">
        <v>0</v>
      </c>
      <c r="E7607" s="7" t="n">
        <v>0</v>
      </c>
      <c r="F7607" s="7" t="n">
        <v>1</v>
      </c>
      <c r="G7607" s="7" t="n">
        <v>169.41</v>
      </c>
    </row>
    <row r="7608" customFormat="false" ht="15" hidden="false" customHeight="false" outlineLevel="0" collapsed="false">
      <c r="A7608" s="7" t="s">
        <v>24</v>
      </c>
      <c r="B7608" s="7" t="s">
        <v>258</v>
      </c>
      <c r="C7608" s="7" t="s">
        <v>1129</v>
      </c>
      <c r="D7608" s="7" t="n">
        <v>0</v>
      </c>
      <c r="E7608" s="7" t="n">
        <v>0</v>
      </c>
      <c r="F7608" s="7" t="n">
        <v>1</v>
      </c>
      <c r="G7608" s="7" t="n">
        <v>135.52</v>
      </c>
    </row>
    <row r="7609" customFormat="false" ht="15" hidden="false" customHeight="false" outlineLevel="0" collapsed="false">
      <c r="A7609" s="7" t="s">
        <v>24</v>
      </c>
      <c r="B7609" s="7" t="s">
        <v>258</v>
      </c>
      <c r="C7609" s="7" t="s">
        <v>1129</v>
      </c>
      <c r="D7609" s="7" t="n">
        <v>5</v>
      </c>
      <c r="E7609" s="7" t="n">
        <v>753.83</v>
      </c>
      <c r="F7609" s="7" t="n">
        <v>6</v>
      </c>
      <c r="G7609" s="7" t="n">
        <v>880.91</v>
      </c>
    </row>
    <row r="7610" customFormat="false" ht="15" hidden="false" customHeight="false" outlineLevel="0" collapsed="false">
      <c r="A7610" s="7" t="s">
        <v>24</v>
      </c>
      <c r="B7610" s="7" t="s">
        <v>258</v>
      </c>
      <c r="C7610" s="7" t="s">
        <v>1129</v>
      </c>
      <c r="D7610" s="7" t="n">
        <v>0</v>
      </c>
      <c r="E7610" s="7" t="n">
        <v>0</v>
      </c>
      <c r="F7610" s="7" t="n">
        <v>1</v>
      </c>
      <c r="G7610" s="7" t="n">
        <v>169.4</v>
      </c>
    </row>
    <row r="7611" customFormat="false" ht="15" hidden="false" customHeight="false" outlineLevel="0" collapsed="false">
      <c r="A7611" s="7" t="s">
        <v>24</v>
      </c>
      <c r="B7611" s="7" t="s">
        <v>258</v>
      </c>
      <c r="C7611" s="7" t="s">
        <v>1129</v>
      </c>
      <c r="D7611" s="7" t="n">
        <v>0</v>
      </c>
      <c r="E7611" s="7" t="n">
        <v>0</v>
      </c>
      <c r="F7611" s="7" t="n">
        <v>1</v>
      </c>
      <c r="G7611" s="7" t="n">
        <v>169.4</v>
      </c>
    </row>
    <row r="7612" customFormat="false" ht="15" hidden="false" customHeight="false" outlineLevel="0" collapsed="false">
      <c r="A7612" s="7" t="s">
        <v>24</v>
      </c>
      <c r="B7612" s="7" t="s">
        <v>258</v>
      </c>
      <c r="C7612" s="7" t="s">
        <v>1129</v>
      </c>
      <c r="D7612" s="7" t="n">
        <v>0</v>
      </c>
      <c r="E7612" s="7" t="n">
        <v>0</v>
      </c>
      <c r="F7612" s="7" t="n">
        <v>7</v>
      </c>
      <c r="G7612" s="7" t="n">
        <v>1101.17</v>
      </c>
    </row>
    <row r="7613" customFormat="false" ht="15" hidden="false" customHeight="false" outlineLevel="0" collapsed="false">
      <c r="A7613" s="7" t="s">
        <v>24</v>
      </c>
      <c r="B7613" s="7" t="s">
        <v>187</v>
      </c>
      <c r="C7613" s="7" t="s">
        <v>1296</v>
      </c>
      <c r="D7613" s="7" t="n">
        <v>0</v>
      </c>
      <c r="E7613" s="7" t="n">
        <v>0</v>
      </c>
      <c r="F7613" s="7" t="n">
        <v>4</v>
      </c>
      <c r="G7613" s="7" t="n">
        <v>1126.82</v>
      </c>
    </row>
    <row r="7614" customFormat="false" ht="15" hidden="false" customHeight="false" outlineLevel="0" collapsed="false">
      <c r="A7614" s="7" t="s">
        <v>24</v>
      </c>
      <c r="B7614" s="7" t="s">
        <v>187</v>
      </c>
      <c r="C7614" s="7" t="s">
        <v>1296</v>
      </c>
      <c r="D7614" s="7" t="n">
        <v>0</v>
      </c>
      <c r="E7614" s="7" t="n">
        <v>0</v>
      </c>
      <c r="F7614" s="7" t="n">
        <v>1</v>
      </c>
      <c r="G7614" s="7" t="n">
        <v>296.52</v>
      </c>
    </row>
    <row r="7615" customFormat="false" ht="15" hidden="false" customHeight="false" outlineLevel="0" collapsed="false">
      <c r="A7615" s="7" t="s">
        <v>24</v>
      </c>
      <c r="B7615" s="7" t="s">
        <v>187</v>
      </c>
      <c r="C7615" s="7" t="s">
        <v>1296</v>
      </c>
      <c r="D7615" s="7" t="n">
        <v>0</v>
      </c>
      <c r="E7615" s="7" t="n">
        <v>0</v>
      </c>
      <c r="F7615" s="7" t="n">
        <v>1</v>
      </c>
      <c r="G7615" s="7" t="n">
        <v>256.69</v>
      </c>
    </row>
    <row r="7616" customFormat="false" ht="15" hidden="false" customHeight="false" outlineLevel="0" collapsed="false">
      <c r="A7616" s="7" t="s">
        <v>24</v>
      </c>
      <c r="B7616" s="7" t="s">
        <v>187</v>
      </c>
      <c r="C7616" s="7" t="s">
        <v>1296</v>
      </c>
      <c r="D7616" s="7" t="n">
        <v>0</v>
      </c>
      <c r="E7616" s="7" t="n">
        <v>0</v>
      </c>
      <c r="F7616" s="7" t="n">
        <v>1</v>
      </c>
      <c r="G7616" s="7" t="n">
        <v>296.53</v>
      </c>
    </row>
    <row r="7617" customFormat="false" ht="15" hidden="false" customHeight="false" outlineLevel="0" collapsed="false">
      <c r="A7617" s="7" t="s">
        <v>24</v>
      </c>
      <c r="B7617" s="7" t="s">
        <v>187</v>
      </c>
      <c r="C7617" s="7" t="s">
        <v>1296</v>
      </c>
      <c r="D7617" s="7" t="n">
        <v>0</v>
      </c>
      <c r="E7617" s="7" t="n">
        <v>0</v>
      </c>
      <c r="F7617" s="7" t="n">
        <v>1</v>
      </c>
      <c r="G7617" s="7" t="n">
        <v>231.03</v>
      </c>
    </row>
    <row r="7618" customFormat="false" ht="15" hidden="false" customHeight="false" outlineLevel="0" collapsed="false">
      <c r="A7618" s="7" t="s">
        <v>24</v>
      </c>
      <c r="B7618" s="7" t="s">
        <v>187</v>
      </c>
      <c r="C7618" s="7" t="s">
        <v>1296</v>
      </c>
      <c r="D7618" s="7" t="n">
        <v>0</v>
      </c>
      <c r="E7618" s="7" t="n">
        <v>0</v>
      </c>
      <c r="F7618" s="7" t="n">
        <v>-1</v>
      </c>
      <c r="G7618" s="7" t="n">
        <v>-231.2</v>
      </c>
    </row>
    <row r="7619" customFormat="false" ht="15" hidden="false" customHeight="false" outlineLevel="0" collapsed="false">
      <c r="A7619" s="7" t="s">
        <v>24</v>
      </c>
      <c r="B7619" s="7" t="s">
        <v>201</v>
      </c>
      <c r="C7619" s="7" t="s">
        <v>1130</v>
      </c>
      <c r="D7619" s="7" t="n">
        <v>0</v>
      </c>
      <c r="E7619" s="7" t="n">
        <v>0</v>
      </c>
      <c r="F7619" s="7" t="n">
        <v>1</v>
      </c>
      <c r="G7619" s="7" t="n">
        <v>343.14</v>
      </c>
    </row>
    <row r="7620" customFormat="false" ht="15" hidden="false" customHeight="false" outlineLevel="0" collapsed="false">
      <c r="A7620" s="7" t="s">
        <v>24</v>
      </c>
      <c r="B7620" s="7" t="s">
        <v>201</v>
      </c>
      <c r="C7620" s="7" t="s">
        <v>1130</v>
      </c>
      <c r="D7620" s="7" t="n">
        <v>0</v>
      </c>
      <c r="E7620" s="7" t="n">
        <v>0</v>
      </c>
      <c r="F7620" s="7" t="n">
        <v>1</v>
      </c>
      <c r="G7620" s="7" t="n">
        <v>381.27</v>
      </c>
    </row>
    <row r="7621" customFormat="false" ht="15" hidden="false" customHeight="false" outlineLevel="0" collapsed="false">
      <c r="A7621" s="7" t="s">
        <v>24</v>
      </c>
      <c r="B7621" s="7" t="s">
        <v>201</v>
      </c>
      <c r="C7621" s="7" t="s">
        <v>1130</v>
      </c>
      <c r="D7621" s="7" t="n">
        <v>1</v>
      </c>
      <c r="E7621" s="7" t="n">
        <v>324.08</v>
      </c>
      <c r="F7621" s="7" t="n">
        <v>1</v>
      </c>
      <c r="G7621" s="7" t="n">
        <v>343.14</v>
      </c>
    </row>
    <row r="7622" customFormat="false" ht="15" hidden="false" customHeight="false" outlineLevel="0" collapsed="false">
      <c r="A7622" s="7" t="s">
        <v>24</v>
      </c>
      <c r="B7622" s="7" t="s">
        <v>201</v>
      </c>
      <c r="C7622" s="7" t="s">
        <v>1130</v>
      </c>
      <c r="D7622" s="7" t="n">
        <v>0</v>
      </c>
      <c r="E7622" s="7" t="n">
        <v>0</v>
      </c>
      <c r="F7622" s="7" t="n">
        <v>2</v>
      </c>
      <c r="G7622" s="7" t="n">
        <v>705.35</v>
      </c>
    </row>
    <row r="7623" customFormat="false" ht="15" hidden="false" customHeight="false" outlineLevel="0" collapsed="false">
      <c r="A7623" s="7" t="s">
        <v>24</v>
      </c>
      <c r="B7623" s="7" t="s">
        <v>201</v>
      </c>
      <c r="C7623" s="7" t="s">
        <v>1130</v>
      </c>
      <c r="D7623" s="7" t="n">
        <v>0</v>
      </c>
      <c r="E7623" s="7" t="n">
        <v>0</v>
      </c>
      <c r="F7623" s="7" t="n">
        <v>1</v>
      </c>
      <c r="G7623" s="7" t="n">
        <v>343.14</v>
      </c>
    </row>
    <row r="7624" customFormat="false" ht="15" hidden="false" customHeight="false" outlineLevel="0" collapsed="false">
      <c r="A7624" s="7" t="s">
        <v>24</v>
      </c>
      <c r="B7624" s="7" t="s">
        <v>132</v>
      </c>
      <c r="C7624" s="7" t="s">
        <v>1130</v>
      </c>
      <c r="D7624" s="7" t="n">
        <v>0</v>
      </c>
      <c r="E7624" s="7" t="n">
        <v>0</v>
      </c>
      <c r="F7624" s="7" t="n">
        <v>1</v>
      </c>
      <c r="G7624" s="7" t="n">
        <v>381.27</v>
      </c>
    </row>
    <row r="7625" customFormat="false" ht="15" hidden="false" customHeight="false" outlineLevel="0" collapsed="false">
      <c r="A7625" s="7" t="s">
        <v>24</v>
      </c>
      <c r="B7625" s="7" t="s">
        <v>132</v>
      </c>
      <c r="C7625" s="7" t="s">
        <v>1130</v>
      </c>
      <c r="D7625" s="7" t="n">
        <v>0</v>
      </c>
      <c r="E7625" s="7" t="n">
        <v>0</v>
      </c>
      <c r="F7625" s="7" t="n">
        <v>1</v>
      </c>
      <c r="G7625" s="7" t="n">
        <v>343.14</v>
      </c>
    </row>
    <row r="7626" customFormat="false" ht="15" hidden="false" customHeight="false" outlineLevel="0" collapsed="false">
      <c r="A7626" s="7" t="s">
        <v>24</v>
      </c>
      <c r="B7626" s="7" t="s">
        <v>132</v>
      </c>
      <c r="C7626" s="7" t="s">
        <v>1130</v>
      </c>
      <c r="D7626" s="7" t="n">
        <v>0</v>
      </c>
      <c r="E7626" s="7" t="n">
        <v>0</v>
      </c>
      <c r="F7626" s="7" t="n">
        <v>1</v>
      </c>
      <c r="G7626" s="7" t="n">
        <v>343.14</v>
      </c>
    </row>
    <row r="7627" customFormat="false" ht="15" hidden="false" customHeight="false" outlineLevel="0" collapsed="false">
      <c r="A7627" s="7" t="s">
        <v>24</v>
      </c>
      <c r="B7627" s="7" t="s">
        <v>132</v>
      </c>
      <c r="C7627" s="7" t="s">
        <v>1130</v>
      </c>
      <c r="D7627" s="7" t="n">
        <v>0</v>
      </c>
      <c r="E7627" s="7" t="n">
        <v>0</v>
      </c>
      <c r="F7627" s="7" t="n">
        <v>1</v>
      </c>
      <c r="G7627" s="7" t="n">
        <v>343.14</v>
      </c>
    </row>
    <row r="7628" customFormat="false" ht="15" hidden="false" customHeight="false" outlineLevel="0" collapsed="false">
      <c r="A7628" s="7" t="s">
        <v>24</v>
      </c>
      <c r="B7628" s="7" t="s">
        <v>132</v>
      </c>
      <c r="C7628" s="7" t="s">
        <v>1130</v>
      </c>
      <c r="D7628" s="7" t="n">
        <v>0</v>
      </c>
      <c r="E7628" s="7" t="n">
        <v>0</v>
      </c>
      <c r="F7628" s="7" t="n">
        <v>1</v>
      </c>
      <c r="G7628" s="7" t="n">
        <v>381.27</v>
      </c>
    </row>
    <row r="7629" customFormat="false" ht="15" hidden="false" customHeight="false" outlineLevel="0" collapsed="false">
      <c r="A7629" s="7" t="s">
        <v>24</v>
      </c>
      <c r="B7629" s="7" t="s">
        <v>132</v>
      </c>
      <c r="C7629" s="7" t="s">
        <v>1130</v>
      </c>
      <c r="D7629" s="7" t="n">
        <v>0</v>
      </c>
      <c r="E7629" s="7" t="n">
        <v>0</v>
      </c>
      <c r="F7629" s="7" t="n">
        <v>5</v>
      </c>
      <c r="G7629" s="7" t="n">
        <v>1791.98</v>
      </c>
    </row>
    <row r="7630" customFormat="false" ht="15" hidden="false" customHeight="false" outlineLevel="0" collapsed="false">
      <c r="A7630" s="7" t="s">
        <v>24</v>
      </c>
      <c r="B7630" s="7" t="s">
        <v>132</v>
      </c>
      <c r="C7630" s="7" t="s">
        <v>1130</v>
      </c>
      <c r="D7630" s="7" t="n">
        <v>0</v>
      </c>
      <c r="E7630" s="7" t="n">
        <v>0</v>
      </c>
      <c r="F7630" s="7" t="n">
        <v>1</v>
      </c>
      <c r="G7630" s="7" t="n">
        <v>343.14</v>
      </c>
    </row>
    <row r="7631" customFormat="false" ht="15" hidden="false" customHeight="false" outlineLevel="0" collapsed="false">
      <c r="A7631" s="7" t="s">
        <v>24</v>
      </c>
      <c r="B7631" s="7" t="s">
        <v>132</v>
      </c>
      <c r="C7631" s="7" t="s">
        <v>1130</v>
      </c>
      <c r="D7631" s="7" t="n">
        <v>0</v>
      </c>
      <c r="E7631" s="7" t="n">
        <v>0</v>
      </c>
      <c r="F7631" s="7" t="n">
        <v>1</v>
      </c>
      <c r="G7631" s="7" t="n">
        <v>343.14</v>
      </c>
    </row>
    <row r="7632" customFormat="false" ht="15" hidden="false" customHeight="false" outlineLevel="0" collapsed="false">
      <c r="A7632" s="7" t="s">
        <v>24</v>
      </c>
      <c r="B7632" s="7" t="s">
        <v>132</v>
      </c>
      <c r="C7632" s="7" t="s">
        <v>1130</v>
      </c>
      <c r="D7632" s="7" t="n">
        <v>0</v>
      </c>
      <c r="E7632" s="7" t="n">
        <v>0</v>
      </c>
      <c r="F7632" s="7" t="n">
        <v>1</v>
      </c>
      <c r="G7632" s="7" t="n">
        <v>324.09</v>
      </c>
    </row>
    <row r="7633" customFormat="false" ht="15" hidden="false" customHeight="false" outlineLevel="0" collapsed="false">
      <c r="A7633" s="7" t="s">
        <v>24</v>
      </c>
      <c r="B7633" s="7" t="s">
        <v>122</v>
      </c>
      <c r="C7633" s="7" t="s">
        <v>1130</v>
      </c>
      <c r="D7633" s="7" t="n">
        <v>0</v>
      </c>
      <c r="E7633" s="7" t="n">
        <v>0</v>
      </c>
      <c r="F7633" s="7" t="n">
        <v>2</v>
      </c>
      <c r="G7633" s="7" t="n">
        <v>686.29</v>
      </c>
    </row>
    <row r="7634" customFormat="false" ht="15" hidden="false" customHeight="false" outlineLevel="0" collapsed="false">
      <c r="A7634" s="7" t="s">
        <v>24</v>
      </c>
      <c r="B7634" s="7" t="s">
        <v>122</v>
      </c>
      <c r="C7634" s="7" t="s">
        <v>1130</v>
      </c>
      <c r="D7634" s="7" t="n">
        <v>0</v>
      </c>
      <c r="E7634" s="7" t="n">
        <v>0</v>
      </c>
      <c r="F7634" s="7" t="n">
        <v>1</v>
      </c>
      <c r="G7634" s="7" t="n">
        <v>343.14</v>
      </c>
    </row>
    <row r="7635" customFormat="false" ht="15" hidden="false" customHeight="false" outlineLevel="0" collapsed="false">
      <c r="A7635" s="7" t="s">
        <v>24</v>
      </c>
      <c r="B7635" s="7" t="s">
        <v>122</v>
      </c>
      <c r="C7635" s="7" t="s">
        <v>1130</v>
      </c>
      <c r="D7635" s="7" t="n">
        <v>0</v>
      </c>
      <c r="E7635" s="7" t="n">
        <v>0</v>
      </c>
      <c r="F7635" s="7" t="n">
        <v>2</v>
      </c>
      <c r="G7635" s="7" t="n">
        <v>724.41</v>
      </c>
    </row>
    <row r="7636" customFormat="false" ht="15" hidden="false" customHeight="false" outlineLevel="0" collapsed="false">
      <c r="A7636" s="7" t="s">
        <v>24</v>
      </c>
      <c r="B7636" s="7" t="s">
        <v>122</v>
      </c>
      <c r="C7636" s="7" t="s">
        <v>1130</v>
      </c>
      <c r="D7636" s="7" t="n">
        <v>0</v>
      </c>
      <c r="E7636" s="7" t="n">
        <v>0</v>
      </c>
      <c r="F7636" s="7" t="n">
        <v>1</v>
      </c>
      <c r="G7636" s="7" t="n">
        <v>343.14</v>
      </c>
    </row>
    <row r="7637" customFormat="false" ht="15" hidden="false" customHeight="false" outlineLevel="0" collapsed="false">
      <c r="A7637" s="7" t="s">
        <v>24</v>
      </c>
      <c r="B7637" s="7" t="s">
        <v>122</v>
      </c>
      <c r="C7637" s="7" t="s">
        <v>1130</v>
      </c>
      <c r="D7637" s="7" t="n">
        <v>3</v>
      </c>
      <c r="E7637" s="7" t="n">
        <v>953.18</v>
      </c>
      <c r="F7637" s="7" t="n">
        <v>12</v>
      </c>
      <c r="G7637" s="7" t="n">
        <v>4289.27</v>
      </c>
    </row>
    <row r="7638" customFormat="false" ht="15" hidden="false" customHeight="false" outlineLevel="0" collapsed="false">
      <c r="A7638" s="7" t="s">
        <v>24</v>
      </c>
      <c r="B7638" s="7" t="s">
        <v>122</v>
      </c>
      <c r="C7638" s="7" t="s">
        <v>1130</v>
      </c>
      <c r="D7638" s="7" t="n">
        <v>0</v>
      </c>
      <c r="E7638" s="7" t="n">
        <v>0</v>
      </c>
      <c r="F7638" s="7" t="n">
        <v>1</v>
      </c>
      <c r="G7638" s="7" t="n">
        <v>381.27</v>
      </c>
    </row>
    <row r="7639" customFormat="false" ht="15" hidden="false" customHeight="false" outlineLevel="0" collapsed="false">
      <c r="A7639" s="7" t="s">
        <v>24</v>
      </c>
      <c r="B7639" s="7" t="s">
        <v>122</v>
      </c>
      <c r="C7639" s="7" t="s">
        <v>1130</v>
      </c>
      <c r="D7639" s="7" t="n">
        <v>0</v>
      </c>
      <c r="E7639" s="7" t="n">
        <v>0</v>
      </c>
      <c r="F7639" s="7" t="n">
        <v>1</v>
      </c>
      <c r="G7639" s="7" t="n">
        <v>343.14</v>
      </c>
    </row>
    <row r="7640" customFormat="false" ht="15" hidden="false" customHeight="false" outlineLevel="0" collapsed="false">
      <c r="A7640" s="7" t="s">
        <v>24</v>
      </c>
      <c r="B7640" s="7" t="s">
        <v>122</v>
      </c>
      <c r="C7640" s="7" t="s">
        <v>1130</v>
      </c>
      <c r="D7640" s="7" t="n">
        <v>0</v>
      </c>
      <c r="E7640" s="7" t="n">
        <v>0</v>
      </c>
      <c r="F7640" s="7" t="n">
        <v>1</v>
      </c>
      <c r="G7640" s="7" t="n">
        <v>343.14</v>
      </c>
    </row>
    <row r="7641" customFormat="false" ht="15" hidden="false" customHeight="false" outlineLevel="0" collapsed="false">
      <c r="A7641" s="7" t="s">
        <v>24</v>
      </c>
      <c r="B7641" s="7" t="s">
        <v>122</v>
      </c>
      <c r="C7641" s="7" t="s">
        <v>1130</v>
      </c>
      <c r="D7641" s="7" t="n">
        <v>0</v>
      </c>
      <c r="E7641" s="7" t="n">
        <v>0</v>
      </c>
      <c r="F7641" s="7" t="n">
        <v>1</v>
      </c>
      <c r="G7641" s="7" t="n">
        <v>343.14</v>
      </c>
    </row>
    <row r="7642" customFormat="false" ht="15" hidden="false" customHeight="false" outlineLevel="0" collapsed="false">
      <c r="A7642" s="7" t="s">
        <v>24</v>
      </c>
      <c r="B7642" s="7" t="s">
        <v>122</v>
      </c>
      <c r="C7642" s="7" t="s">
        <v>1130</v>
      </c>
      <c r="D7642" s="7" t="n">
        <v>0</v>
      </c>
      <c r="E7642" s="7" t="n">
        <v>0</v>
      </c>
      <c r="F7642" s="7" t="n">
        <v>2</v>
      </c>
      <c r="G7642" s="7" t="n">
        <v>724.41</v>
      </c>
    </row>
    <row r="7643" customFormat="false" ht="15" hidden="false" customHeight="false" outlineLevel="0" collapsed="false">
      <c r="A7643" s="7" t="s">
        <v>24</v>
      </c>
      <c r="B7643" s="7" t="s">
        <v>122</v>
      </c>
      <c r="C7643" s="7" t="s">
        <v>1130</v>
      </c>
      <c r="D7643" s="7" t="n">
        <v>0</v>
      </c>
      <c r="E7643" s="7" t="n">
        <v>0</v>
      </c>
      <c r="F7643" s="7" t="n">
        <v>1</v>
      </c>
      <c r="G7643" s="7" t="n">
        <v>343.14</v>
      </c>
    </row>
    <row r="7644" customFormat="false" ht="15" hidden="false" customHeight="false" outlineLevel="0" collapsed="false">
      <c r="A7644" s="7" t="s">
        <v>24</v>
      </c>
      <c r="B7644" s="7" t="s">
        <v>128</v>
      </c>
      <c r="C7644" s="7" t="s">
        <v>1130</v>
      </c>
      <c r="D7644" s="7" t="n">
        <v>0</v>
      </c>
      <c r="E7644" s="7" t="n">
        <v>0</v>
      </c>
      <c r="F7644" s="7" t="n">
        <v>1</v>
      </c>
      <c r="G7644" s="7" t="n">
        <v>381.27</v>
      </c>
    </row>
    <row r="7645" customFormat="false" ht="15" hidden="false" customHeight="false" outlineLevel="0" collapsed="false">
      <c r="A7645" s="7" t="s">
        <v>24</v>
      </c>
      <c r="B7645" s="7" t="s">
        <v>128</v>
      </c>
      <c r="C7645" s="7" t="s">
        <v>1130</v>
      </c>
      <c r="D7645" s="7" t="n">
        <v>0</v>
      </c>
      <c r="E7645" s="7" t="n">
        <v>0</v>
      </c>
      <c r="F7645" s="7" t="n">
        <v>1</v>
      </c>
      <c r="G7645" s="7" t="n">
        <v>381.27</v>
      </c>
    </row>
    <row r="7646" customFormat="false" ht="15" hidden="false" customHeight="false" outlineLevel="0" collapsed="false">
      <c r="A7646" s="7" t="s">
        <v>24</v>
      </c>
      <c r="B7646" s="7" t="s">
        <v>128</v>
      </c>
      <c r="C7646" s="7" t="s">
        <v>1130</v>
      </c>
      <c r="D7646" s="7" t="n">
        <v>3</v>
      </c>
      <c r="E7646" s="7" t="n">
        <v>972.23</v>
      </c>
      <c r="F7646" s="7" t="n">
        <v>7</v>
      </c>
      <c r="G7646" s="7" t="n">
        <v>2455.56</v>
      </c>
    </row>
    <row r="7647" customFormat="false" ht="15" hidden="false" customHeight="false" outlineLevel="0" collapsed="false">
      <c r="A7647" s="7" t="s">
        <v>24</v>
      </c>
      <c r="B7647" s="7" t="s">
        <v>128</v>
      </c>
      <c r="C7647" s="7" t="s">
        <v>1130</v>
      </c>
      <c r="D7647" s="7" t="n">
        <v>0</v>
      </c>
      <c r="E7647" s="7" t="n">
        <v>0</v>
      </c>
      <c r="F7647" s="7" t="n">
        <v>1</v>
      </c>
      <c r="G7647" s="7" t="n">
        <v>343.14</v>
      </c>
    </row>
    <row r="7648" customFormat="false" ht="15" hidden="false" customHeight="false" outlineLevel="0" collapsed="false">
      <c r="A7648" s="7" t="s">
        <v>24</v>
      </c>
      <c r="B7648" s="7" t="s">
        <v>128</v>
      </c>
      <c r="C7648" s="7" t="s">
        <v>1130</v>
      </c>
      <c r="D7648" s="7" t="n">
        <v>0</v>
      </c>
      <c r="E7648" s="7" t="n">
        <v>0</v>
      </c>
      <c r="F7648" s="7" t="n">
        <v>1</v>
      </c>
      <c r="G7648" s="7" t="n">
        <v>381.27</v>
      </c>
    </row>
    <row r="7649" customFormat="false" ht="15" hidden="false" customHeight="false" outlineLevel="0" collapsed="false">
      <c r="A7649" s="7" t="s">
        <v>24</v>
      </c>
      <c r="B7649" s="7" t="s">
        <v>128</v>
      </c>
      <c r="C7649" s="7" t="s">
        <v>1130</v>
      </c>
      <c r="D7649" s="7" t="n">
        <v>0</v>
      </c>
      <c r="E7649" s="7" t="n">
        <v>0</v>
      </c>
      <c r="F7649" s="7" t="n">
        <v>1</v>
      </c>
      <c r="G7649" s="7" t="n">
        <v>343.14</v>
      </c>
    </row>
    <row r="7650" customFormat="false" ht="15" hidden="false" customHeight="false" outlineLevel="0" collapsed="false">
      <c r="A7650" s="7" t="s">
        <v>24</v>
      </c>
      <c r="B7650" s="7" t="s">
        <v>128</v>
      </c>
      <c r="C7650" s="7" t="s">
        <v>1130</v>
      </c>
      <c r="D7650" s="7" t="n">
        <v>0</v>
      </c>
      <c r="E7650" s="7" t="n">
        <v>0</v>
      </c>
      <c r="F7650" s="7" t="n">
        <v>1</v>
      </c>
      <c r="G7650" s="7" t="n">
        <v>381.27</v>
      </c>
    </row>
    <row r="7651" customFormat="false" ht="15" hidden="false" customHeight="false" outlineLevel="0" collapsed="false">
      <c r="A7651" s="7" t="s">
        <v>24</v>
      </c>
      <c r="B7651" s="7" t="s">
        <v>128</v>
      </c>
      <c r="C7651" s="7" t="s">
        <v>1130</v>
      </c>
      <c r="D7651" s="7" t="n">
        <v>0</v>
      </c>
      <c r="E7651" s="7" t="n">
        <v>0</v>
      </c>
      <c r="F7651" s="7" t="n">
        <v>2</v>
      </c>
      <c r="G7651" s="7" t="n">
        <v>762.54</v>
      </c>
    </row>
    <row r="7652" customFormat="false" ht="15" hidden="false" customHeight="false" outlineLevel="0" collapsed="false">
      <c r="A7652" s="7" t="s">
        <v>24</v>
      </c>
      <c r="B7652" s="7" t="s">
        <v>128</v>
      </c>
      <c r="C7652" s="7" t="s">
        <v>1130</v>
      </c>
      <c r="D7652" s="7" t="n">
        <v>0</v>
      </c>
      <c r="E7652" s="7" t="n">
        <v>0</v>
      </c>
      <c r="F7652" s="7" t="n">
        <v>1</v>
      </c>
      <c r="G7652" s="7" t="n">
        <v>343.14</v>
      </c>
    </row>
    <row r="7653" customFormat="false" ht="15" hidden="false" customHeight="false" outlineLevel="0" collapsed="false">
      <c r="A7653" s="7" t="s">
        <v>24</v>
      </c>
      <c r="B7653" s="7" t="s">
        <v>128</v>
      </c>
      <c r="C7653" s="7" t="s">
        <v>1130</v>
      </c>
      <c r="D7653" s="7" t="n">
        <v>0</v>
      </c>
      <c r="E7653" s="7" t="n">
        <v>0</v>
      </c>
      <c r="F7653" s="7" t="n">
        <v>1</v>
      </c>
      <c r="G7653" s="7" t="n">
        <v>343.15</v>
      </c>
    </row>
    <row r="7654" customFormat="false" ht="15" hidden="false" customHeight="false" outlineLevel="0" collapsed="false">
      <c r="A7654" s="7" t="s">
        <v>24</v>
      </c>
      <c r="B7654" s="7" t="s">
        <v>152</v>
      </c>
      <c r="C7654" s="7" t="s">
        <v>1130</v>
      </c>
      <c r="D7654" s="7" t="n">
        <v>0</v>
      </c>
      <c r="E7654" s="7" t="n">
        <v>0</v>
      </c>
      <c r="F7654" s="7" t="n">
        <v>1</v>
      </c>
      <c r="G7654" s="7" t="n">
        <v>343.14</v>
      </c>
    </row>
    <row r="7655" customFormat="false" ht="15" hidden="false" customHeight="false" outlineLevel="0" collapsed="false">
      <c r="A7655" s="7" t="s">
        <v>24</v>
      </c>
      <c r="B7655" s="7" t="s">
        <v>152</v>
      </c>
      <c r="C7655" s="7" t="s">
        <v>1130</v>
      </c>
      <c r="D7655" s="7" t="n">
        <v>2</v>
      </c>
      <c r="E7655" s="7" t="n">
        <v>629.09</v>
      </c>
      <c r="F7655" s="7" t="n">
        <v>5</v>
      </c>
      <c r="G7655" s="7" t="n">
        <v>1734.79</v>
      </c>
    </row>
    <row r="7656" customFormat="false" ht="15" hidden="false" customHeight="false" outlineLevel="0" collapsed="false">
      <c r="A7656" s="7" t="s">
        <v>24</v>
      </c>
      <c r="B7656" s="7" t="s">
        <v>152</v>
      </c>
      <c r="C7656" s="7" t="s">
        <v>1130</v>
      </c>
      <c r="D7656" s="7" t="n">
        <v>0</v>
      </c>
      <c r="E7656" s="7" t="n">
        <v>0</v>
      </c>
      <c r="F7656" s="7" t="n">
        <v>1</v>
      </c>
      <c r="G7656" s="7" t="n">
        <v>381.27</v>
      </c>
    </row>
    <row r="7657" customFormat="false" ht="15" hidden="false" customHeight="false" outlineLevel="0" collapsed="false">
      <c r="A7657" s="7" t="s">
        <v>24</v>
      </c>
      <c r="B7657" s="7" t="s">
        <v>152</v>
      </c>
      <c r="C7657" s="7" t="s">
        <v>1130</v>
      </c>
      <c r="D7657" s="7" t="n">
        <v>0</v>
      </c>
      <c r="E7657" s="7" t="n">
        <v>0</v>
      </c>
      <c r="F7657" s="7" t="n">
        <v>1</v>
      </c>
      <c r="G7657" s="7" t="n">
        <v>381.27</v>
      </c>
    </row>
    <row r="7658" customFormat="false" ht="15" hidden="false" customHeight="false" outlineLevel="0" collapsed="false">
      <c r="A7658" s="7" t="s">
        <v>24</v>
      </c>
      <c r="B7658" s="7" t="s">
        <v>152</v>
      </c>
      <c r="C7658" s="7" t="s">
        <v>1130</v>
      </c>
      <c r="D7658" s="7" t="n">
        <v>0</v>
      </c>
      <c r="E7658" s="7" t="n">
        <v>0</v>
      </c>
      <c r="F7658" s="7" t="n">
        <v>1</v>
      </c>
      <c r="G7658" s="7" t="n">
        <v>381.27</v>
      </c>
    </row>
    <row r="7659" customFormat="false" ht="15" hidden="false" customHeight="false" outlineLevel="0" collapsed="false">
      <c r="A7659" s="7" t="s">
        <v>24</v>
      </c>
      <c r="B7659" s="7" t="s">
        <v>152</v>
      </c>
      <c r="C7659" s="7" t="s">
        <v>1130</v>
      </c>
      <c r="D7659" s="7" t="n">
        <v>0</v>
      </c>
      <c r="E7659" s="7" t="n">
        <v>0</v>
      </c>
      <c r="F7659" s="7" t="n">
        <v>2</v>
      </c>
      <c r="G7659" s="7" t="n">
        <v>677.6</v>
      </c>
    </row>
    <row r="7660" customFormat="false" ht="15" hidden="false" customHeight="false" outlineLevel="0" collapsed="false">
      <c r="A7660" s="7" t="s">
        <v>24</v>
      </c>
      <c r="B7660" s="7" t="s">
        <v>252</v>
      </c>
      <c r="C7660" s="7" t="s">
        <v>1130</v>
      </c>
      <c r="D7660" s="7" t="n">
        <v>0</v>
      </c>
      <c r="E7660" s="7" t="n">
        <v>0</v>
      </c>
      <c r="F7660" s="7" t="n">
        <v>1</v>
      </c>
      <c r="G7660" s="7" t="n">
        <v>381.27</v>
      </c>
    </row>
    <row r="7661" customFormat="false" ht="15" hidden="false" customHeight="false" outlineLevel="0" collapsed="false">
      <c r="A7661" s="7" t="s">
        <v>24</v>
      </c>
      <c r="B7661" s="7" t="s">
        <v>252</v>
      </c>
      <c r="C7661" s="7" t="s">
        <v>1130</v>
      </c>
      <c r="D7661" s="7" t="n">
        <v>0</v>
      </c>
      <c r="E7661" s="7" t="n">
        <v>0</v>
      </c>
      <c r="F7661" s="7" t="n">
        <v>1</v>
      </c>
      <c r="G7661" s="7" t="n">
        <v>343.14</v>
      </c>
    </row>
    <row r="7662" customFormat="false" ht="15" hidden="false" customHeight="false" outlineLevel="0" collapsed="false">
      <c r="A7662" s="7" t="s">
        <v>24</v>
      </c>
      <c r="B7662" s="7" t="s">
        <v>252</v>
      </c>
      <c r="C7662" s="7" t="s">
        <v>1130</v>
      </c>
      <c r="D7662" s="7" t="n">
        <v>0</v>
      </c>
      <c r="E7662" s="7" t="n">
        <v>0</v>
      </c>
      <c r="F7662" s="7" t="n">
        <v>1</v>
      </c>
      <c r="G7662" s="7" t="n">
        <v>381.27</v>
      </c>
    </row>
    <row r="7663" customFormat="false" ht="15" hidden="false" customHeight="false" outlineLevel="0" collapsed="false">
      <c r="A7663" s="7" t="s">
        <v>24</v>
      </c>
      <c r="B7663" s="7" t="s">
        <v>252</v>
      </c>
      <c r="C7663" s="7" t="s">
        <v>1130</v>
      </c>
      <c r="D7663" s="7" t="n">
        <v>0</v>
      </c>
      <c r="E7663" s="7" t="n">
        <v>0</v>
      </c>
      <c r="F7663" s="7" t="n">
        <v>1</v>
      </c>
      <c r="G7663" s="7" t="n">
        <v>381.27</v>
      </c>
    </row>
    <row r="7664" customFormat="false" ht="15" hidden="false" customHeight="false" outlineLevel="0" collapsed="false">
      <c r="A7664" s="7" t="s">
        <v>24</v>
      </c>
      <c r="B7664" s="7" t="s">
        <v>252</v>
      </c>
      <c r="C7664" s="7" t="s">
        <v>1130</v>
      </c>
      <c r="D7664" s="7" t="n">
        <v>3</v>
      </c>
      <c r="E7664" s="7" t="n">
        <v>953.18</v>
      </c>
      <c r="F7664" s="7" t="n">
        <v>0</v>
      </c>
      <c r="G7664" s="7" t="n">
        <v>0</v>
      </c>
    </row>
    <row r="7665" customFormat="false" ht="15" hidden="false" customHeight="false" outlineLevel="0" collapsed="false">
      <c r="A7665" s="7" t="s">
        <v>24</v>
      </c>
      <c r="B7665" s="7" t="s">
        <v>252</v>
      </c>
      <c r="C7665" s="7" t="s">
        <v>1130</v>
      </c>
      <c r="D7665" s="7" t="n">
        <v>0</v>
      </c>
      <c r="E7665" s="7" t="n">
        <v>0</v>
      </c>
      <c r="F7665" s="7" t="n">
        <v>2</v>
      </c>
      <c r="G7665" s="7" t="n">
        <v>686.29</v>
      </c>
    </row>
    <row r="7666" customFormat="false" ht="15" hidden="false" customHeight="false" outlineLevel="0" collapsed="false">
      <c r="A7666" s="7" t="s">
        <v>24</v>
      </c>
      <c r="B7666" s="7" t="s">
        <v>142</v>
      </c>
      <c r="C7666" s="7" t="s">
        <v>1076</v>
      </c>
      <c r="D7666" s="7" t="n">
        <v>0</v>
      </c>
      <c r="E7666" s="7" t="n">
        <v>0</v>
      </c>
      <c r="F7666" s="7" t="n">
        <v>3</v>
      </c>
      <c r="G7666" s="7" t="n">
        <v>2457.37</v>
      </c>
    </row>
    <row r="7667" customFormat="false" ht="15" hidden="false" customHeight="false" outlineLevel="0" collapsed="false">
      <c r="A7667" s="7" t="s">
        <v>24</v>
      </c>
      <c r="B7667" s="7" t="s">
        <v>142</v>
      </c>
      <c r="C7667" s="7" t="s">
        <v>1076</v>
      </c>
      <c r="D7667" s="7" t="n">
        <v>0</v>
      </c>
      <c r="E7667" s="7" t="n">
        <v>0</v>
      </c>
      <c r="F7667" s="7" t="n">
        <v>1</v>
      </c>
      <c r="G7667" s="7" t="n">
        <v>466.1</v>
      </c>
    </row>
    <row r="7668" customFormat="false" ht="15" hidden="false" customHeight="false" outlineLevel="0" collapsed="false">
      <c r="A7668" s="7" t="s">
        <v>24</v>
      </c>
      <c r="B7668" s="7" t="s">
        <v>142</v>
      </c>
      <c r="C7668" s="7" t="s">
        <v>1076</v>
      </c>
      <c r="D7668" s="7" t="n">
        <v>0</v>
      </c>
      <c r="E7668" s="7" t="n">
        <v>0</v>
      </c>
      <c r="F7668" s="7" t="n">
        <v>1</v>
      </c>
      <c r="G7668" s="7" t="n">
        <v>847.37</v>
      </c>
    </row>
    <row r="7669" customFormat="false" ht="15" hidden="false" customHeight="false" outlineLevel="0" collapsed="false">
      <c r="A7669" s="7" t="s">
        <v>24</v>
      </c>
      <c r="B7669" s="7" t="s">
        <v>312</v>
      </c>
      <c r="C7669" s="7" t="s">
        <v>1076</v>
      </c>
      <c r="D7669" s="7" t="n">
        <v>0</v>
      </c>
      <c r="E7669" s="7" t="n">
        <v>0</v>
      </c>
      <c r="F7669" s="7" t="n">
        <v>1</v>
      </c>
      <c r="G7669" s="7" t="n">
        <v>847.37</v>
      </c>
    </row>
    <row r="7670" customFormat="false" ht="15" hidden="false" customHeight="false" outlineLevel="0" collapsed="false">
      <c r="A7670" s="7" t="s">
        <v>24</v>
      </c>
      <c r="B7670" s="7" t="s">
        <v>140</v>
      </c>
      <c r="C7670" s="7" t="s">
        <v>1076</v>
      </c>
      <c r="D7670" s="7" t="n">
        <v>0</v>
      </c>
      <c r="E7670" s="7" t="n">
        <v>0</v>
      </c>
      <c r="F7670" s="7" t="n">
        <v>1</v>
      </c>
      <c r="G7670" s="7" t="n">
        <v>847.37</v>
      </c>
    </row>
    <row r="7671" customFormat="false" ht="15" hidden="false" customHeight="false" outlineLevel="0" collapsed="false">
      <c r="A7671" s="7" t="s">
        <v>24</v>
      </c>
      <c r="B7671" s="7" t="s">
        <v>140</v>
      </c>
      <c r="C7671" s="7" t="s">
        <v>1076</v>
      </c>
      <c r="D7671" s="7" t="n">
        <v>0</v>
      </c>
      <c r="E7671" s="7" t="n">
        <v>0</v>
      </c>
      <c r="F7671" s="7" t="n">
        <v>1</v>
      </c>
      <c r="G7671" s="7" t="n">
        <v>847.37</v>
      </c>
    </row>
    <row r="7672" customFormat="false" ht="15" hidden="false" customHeight="false" outlineLevel="0" collapsed="false">
      <c r="A7672" s="7" t="s">
        <v>24</v>
      </c>
      <c r="B7672" s="7" t="s">
        <v>140</v>
      </c>
      <c r="C7672" s="7" t="s">
        <v>1076</v>
      </c>
      <c r="D7672" s="7" t="n">
        <v>0</v>
      </c>
      <c r="E7672" s="7" t="n">
        <v>0</v>
      </c>
      <c r="F7672" s="7" t="n">
        <v>1</v>
      </c>
      <c r="G7672" s="7" t="n">
        <v>847.37</v>
      </c>
    </row>
    <row r="7673" customFormat="false" ht="15" hidden="false" customHeight="false" outlineLevel="0" collapsed="false">
      <c r="A7673" s="7" t="s">
        <v>24</v>
      </c>
      <c r="B7673" s="7" t="s">
        <v>140</v>
      </c>
      <c r="C7673" s="7" t="s">
        <v>1076</v>
      </c>
      <c r="D7673" s="7" t="n">
        <v>0</v>
      </c>
      <c r="E7673" s="7" t="n">
        <v>0</v>
      </c>
      <c r="F7673" s="7" t="n">
        <v>1</v>
      </c>
      <c r="G7673" s="7" t="n">
        <v>720.27</v>
      </c>
    </row>
    <row r="7674" customFormat="false" ht="15" hidden="false" customHeight="false" outlineLevel="0" collapsed="false">
      <c r="A7674" s="7" t="s">
        <v>24</v>
      </c>
      <c r="B7674" s="7" t="s">
        <v>140</v>
      </c>
      <c r="C7674" s="7" t="s">
        <v>1076</v>
      </c>
      <c r="D7674" s="7" t="n">
        <v>0</v>
      </c>
      <c r="E7674" s="7" t="n">
        <v>0</v>
      </c>
      <c r="F7674" s="7" t="n">
        <v>1</v>
      </c>
      <c r="G7674" s="7" t="n">
        <v>847.37</v>
      </c>
    </row>
    <row r="7675" customFormat="false" ht="15" hidden="false" customHeight="false" outlineLevel="0" collapsed="false">
      <c r="A7675" s="7" t="s">
        <v>24</v>
      </c>
      <c r="B7675" s="7" t="s">
        <v>149</v>
      </c>
      <c r="C7675" s="7" t="s">
        <v>1076</v>
      </c>
      <c r="D7675" s="7" t="n">
        <v>0</v>
      </c>
      <c r="E7675" s="7" t="n">
        <v>0</v>
      </c>
      <c r="F7675" s="7" t="n">
        <v>3</v>
      </c>
      <c r="G7675" s="7" t="n">
        <v>2499.74</v>
      </c>
    </row>
    <row r="7676" customFormat="false" ht="15" hidden="false" customHeight="false" outlineLevel="0" collapsed="false">
      <c r="A7676" s="7" t="s">
        <v>24</v>
      </c>
      <c r="B7676" s="7" t="s">
        <v>149</v>
      </c>
      <c r="C7676" s="7" t="s">
        <v>1076</v>
      </c>
      <c r="D7676" s="7" t="n">
        <v>0</v>
      </c>
      <c r="E7676" s="7" t="n">
        <v>0</v>
      </c>
      <c r="F7676" s="7" t="n">
        <v>1</v>
      </c>
      <c r="G7676" s="7" t="n">
        <v>847.37</v>
      </c>
    </row>
    <row r="7677" customFormat="false" ht="15" hidden="false" customHeight="false" outlineLevel="0" collapsed="false">
      <c r="A7677" s="7" t="s">
        <v>24</v>
      </c>
      <c r="B7677" s="7" t="s">
        <v>762</v>
      </c>
      <c r="C7677" s="7" t="s">
        <v>1297</v>
      </c>
      <c r="D7677" s="7" t="n">
        <v>0</v>
      </c>
      <c r="E7677" s="7" t="n">
        <v>0</v>
      </c>
      <c r="F7677" s="7" t="n">
        <v>1</v>
      </c>
      <c r="G7677" s="7" t="n">
        <v>0.01</v>
      </c>
    </row>
    <row r="7678" customFormat="false" ht="15" hidden="false" customHeight="false" outlineLevel="0" collapsed="false">
      <c r="A7678" s="7" t="s">
        <v>24</v>
      </c>
      <c r="B7678" s="7" t="s">
        <v>762</v>
      </c>
      <c r="C7678" s="7" t="s">
        <v>1297</v>
      </c>
      <c r="D7678" s="7" t="n">
        <v>0</v>
      </c>
      <c r="E7678" s="7" t="n">
        <v>0</v>
      </c>
      <c r="F7678" s="7" t="n">
        <v>1</v>
      </c>
      <c r="G7678" s="7" t="n">
        <v>115.86</v>
      </c>
    </row>
    <row r="7679" customFormat="false" ht="15" hidden="false" customHeight="false" outlineLevel="0" collapsed="false">
      <c r="A7679" s="7" t="s">
        <v>24</v>
      </c>
      <c r="B7679" s="7" t="s">
        <v>762</v>
      </c>
      <c r="C7679" s="7" t="s">
        <v>1297</v>
      </c>
      <c r="D7679" s="7" t="n">
        <v>3</v>
      </c>
      <c r="E7679" s="7" t="n">
        <v>347.57</v>
      </c>
      <c r="F7679" s="7" t="n">
        <v>2</v>
      </c>
      <c r="G7679" s="7" t="n">
        <v>270.33</v>
      </c>
    </row>
    <row r="7680" customFormat="false" ht="15" hidden="false" customHeight="false" outlineLevel="0" collapsed="false">
      <c r="A7680" s="7" t="s">
        <v>24</v>
      </c>
      <c r="B7680" s="7" t="s">
        <v>305</v>
      </c>
      <c r="C7680" s="7" t="s">
        <v>1182</v>
      </c>
      <c r="D7680" s="7" t="n">
        <v>0</v>
      </c>
      <c r="E7680" s="7" t="n">
        <v>0</v>
      </c>
      <c r="F7680" s="7" t="n">
        <v>1</v>
      </c>
      <c r="G7680" s="7" t="n">
        <v>99.08</v>
      </c>
    </row>
    <row r="7681" customFormat="false" ht="15" hidden="false" customHeight="false" outlineLevel="0" collapsed="false">
      <c r="A7681" s="7" t="s">
        <v>24</v>
      </c>
      <c r="B7681" s="7" t="s">
        <v>305</v>
      </c>
      <c r="C7681" s="7" t="s">
        <v>1182</v>
      </c>
      <c r="D7681" s="7" t="n">
        <v>0</v>
      </c>
      <c r="E7681" s="7" t="n">
        <v>0</v>
      </c>
      <c r="F7681" s="7" t="n">
        <v>2</v>
      </c>
      <c r="G7681" s="7" t="n">
        <v>220.16</v>
      </c>
    </row>
    <row r="7682" customFormat="false" ht="15" hidden="false" customHeight="false" outlineLevel="0" collapsed="false">
      <c r="A7682" s="7" t="s">
        <v>24</v>
      </c>
      <c r="B7682" s="7" t="s">
        <v>305</v>
      </c>
      <c r="C7682" s="7" t="s">
        <v>1182</v>
      </c>
      <c r="D7682" s="7" t="n">
        <v>0</v>
      </c>
      <c r="E7682" s="7" t="n">
        <v>0</v>
      </c>
      <c r="F7682" s="7" t="n">
        <v>1</v>
      </c>
      <c r="G7682" s="7" t="n">
        <v>99.08</v>
      </c>
    </row>
    <row r="7683" customFormat="false" ht="15" hidden="false" customHeight="false" outlineLevel="0" collapsed="false">
      <c r="A7683" s="7" t="s">
        <v>24</v>
      </c>
      <c r="B7683" s="7" t="s">
        <v>305</v>
      </c>
      <c r="C7683" s="7" t="s">
        <v>1182</v>
      </c>
      <c r="D7683" s="7" t="n">
        <v>0</v>
      </c>
      <c r="E7683" s="7" t="n">
        <v>0</v>
      </c>
      <c r="F7683" s="7" t="n">
        <v>1</v>
      </c>
      <c r="G7683" s="7" t="n">
        <v>110.08</v>
      </c>
    </row>
    <row r="7684" customFormat="false" ht="15" hidden="false" customHeight="false" outlineLevel="0" collapsed="false">
      <c r="A7684" s="7" t="s">
        <v>24</v>
      </c>
      <c r="B7684" s="7" t="s">
        <v>305</v>
      </c>
      <c r="C7684" s="7" t="s">
        <v>1182</v>
      </c>
      <c r="D7684" s="7" t="n">
        <v>16</v>
      </c>
      <c r="E7684" s="7" t="n">
        <v>1706.24</v>
      </c>
      <c r="F7684" s="7" t="n">
        <v>8</v>
      </c>
      <c r="G7684" s="7" t="n">
        <v>869.63</v>
      </c>
    </row>
    <row r="7685" customFormat="false" ht="15" hidden="false" customHeight="false" outlineLevel="0" collapsed="false">
      <c r="A7685" s="7" t="s">
        <v>24</v>
      </c>
      <c r="B7685" s="7" t="s">
        <v>305</v>
      </c>
      <c r="C7685" s="7" t="s">
        <v>1182</v>
      </c>
      <c r="D7685" s="7" t="n">
        <v>1</v>
      </c>
      <c r="E7685" s="7" t="n">
        <v>102.46</v>
      </c>
      <c r="F7685" s="7" t="n">
        <v>0</v>
      </c>
      <c r="G7685" s="7" t="n">
        <v>0</v>
      </c>
    </row>
    <row r="7686" customFormat="false" ht="15" hidden="false" customHeight="false" outlineLevel="0" collapsed="false">
      <c r="A7686" s="7" t="s">
        <v>24</v>
      </c>
      <c r="B7686" s="7" t="s">
        <v>305</v>
      </c>
      <c r="C7686" s="7" t="s">
        <v>1182</v>
      </c>
      <c r="D7686" s="7" t="n">
        <v>0</v>
      </c>
      <c r="E7686" s="7" t="n">
        <v>0</v>
      </c>
      <c r="F7686" s="7" t="n">
        <v>1</v>
      </c>
      <c r="G7686" s="7" t="n">
        <v>110.09</v>
      </c>
    </row>
    <row r="7687" customFormat="false" ht="15" hidden="false" customHeight="false" outlineLevel="0" collapsed="false">
      <c r="A7687" s="7" t="s">
        <v>24</v>
      </c>
      <c r="B7687" s="7" t="s">
        <v>305</v>
      </c>
      <c r="C7687" s="7" t="s">
        <v>1182</v>
      </c>
      <c r="D7687" s="7" t="n">
        <v>0</v>
      </c>
      <c r="E7687" s="7" t="n">
        <v>0</v>
      </c>
      <c r="F7687" s="7" t="n">
        <v>1</v>
      </c>
      <c r="G7687" s="7" t="n">
        <v>110.09</v>
      </c>
    </row>
    <row r="7688" customFormat="false" ht="15" hidden="false" customHeight="false" outlineLevel="0" collapsed="false">
      <c r="A7688" s="7" t="s">
        <v>24</v>
      </c>
      <c r="B7688" s="7" t="s">
        <v>305</v>
      </c>
      <c r="C7688" s="7" t="s">
        <v>1182</v>
      </c>
      <c r="D7688" s="7" t="n">
        <v>0</v>
      </c>
      <c r="E7688" s="7" t="n">
        <v>0</v>
      </c>
      <c r="F7688" s="7" t="n">
        <v>1</v>
      </c>
      <c r="G7688" s="7" t="n">
        <v>110.08</v>
      </c>
    </row>
    <row r="7689" customFormat="false" ht="15" hidden="false" customHeight="false" outlineLevel="0" collapsed="false">
      <c r="A7689" s="7" t="s">
        <v>24</v>
      </c>
      <c r="B7689" s="7" t="s">
        <v>305</v>
      </c>
      <c r="C7689" s="7" t="s">
        <v>1182</v>
      </c>
      <c r="D7689" s="7" t="n">
        <v>0</v>
      </c>
      <c r="E7689" s="7" t="n">
        <v>0</v>
      </c>
      <c r="F7689" s="7" t="n">
        <v>1</v>
      </c>
      <c r="G7689" s="7" t="n">
        <v>110.08</v>
      </c>
    </row>
    <row r="7690" customFormat="false" ht="15" hidden="false" customHeight="false" outlineLevel="0" collapsed="false">
      <c r="A7690" s="7" t="s">
        <v>24</v>
      </c>
      <c r="B7690" s="7" t="s">
        <v>305</v>
      </c>
      <c r="C7690" s="7" t="s">
        <v>1182</v>
      </c>
      <c r="D7690" s="7" t="n">
        <v>0</v>
      </c>
      <c r="E7690" s="7" t="n">
        <v>0</v>
      </c>
      <c r="F7690" s="7" t="n">
        <v>1</v>
      </c>
      <c r="G7690" s="7" t="n">
        <v>93.57</v>
      </c>
    </row>
    <row r="7691" customFormat="false" ht="15" hidden="false" customHeight="false" outlineLevel="0" collapsed="false">
      <c r="A7691" s="7" t="s">
        <v>24</v>
      </c>
      <c r="B7691" s="7" t="s">
        <v>305</v>
      </c>
      <c r="C7691" s="7" t="s">
        <v>1182</v>
      </c>
      <c r="D7691" s="7" t="n">
        <v>0</v>
      </c>
      <c r="E7691" s="7" t="n">
        <v>0</v>
      </c>
      <c r="F7691" s="7" t="n">
        <v>1</v>
      </c>
      <c r="G7691" s="7" t="n">
        <v>99.08</v>
      </c>
    </row>
    <row r="7692" customFormat="false" ht="15" hidden="false" customHeight="false" outlineLevel="0" collapsed="false">
      <c r="A7692" s="7" t="s">
        <v>24</v>
      </c>
      <c r="B7692" s="7" t="s">
        <v>305</v>
      </c>
      <c r="C7692" s="7" t="s">
        <v>1182</v>
      </c>
      <c r="D7692" s="7" t="n">
        <v>0</v>
      </c>
      <c r="E7692" s="7" t="n">
        <v>0</v>
      </c>
      <c r="F7692" s="7" t="n">
        <v>1</v>
      </c>
      <c r="G7692" s="7" t="n">
        <v>110.09</v>
      </c>
    </row>
    <row r="7693" customFormat="false" ht="15" hidden="false" customHeight="false" outlineLevel="0" collapsed="false">
      <c r="A7693" s="7" t="s">
        <v>24</v>
      </c>
      <c r="B7693" s="7" t="s">
        <v>305</v>
      </c>
      <c r="C7693" s="7" t="s">
        <v>1182</v>
      </c>
      <c r="D7693" s="7" t="n">
        <v>0</v>
      </c>
      <c r="E7693" s="7" t="n">
        <v>0</v>
      </c>
      <c r="F7693" s="7" t="n">
        <v>2</v>
      </c>
      <c r="G7693" s="7" t="n">
        <v>209.17</v>
      </c>
    </row>
    <row r="7694" customFormat="false" ht="15" hidden="false" customHeight="false" outlineLevel="0" collapsed="false">
      <c r="A7694" s="7" t="s">
        <v>24</v>
      </c>
      <c r="B7694" s="7" t="s">
        <v>305</v>
      </c>
      <c r="C7694" s="7" t="s">
        <v>1182</v>
      </c>
      <c r="D7694" s="7" t="n">
        <v>0</v>
      </c>
      <c r="E7694" s="7" t="n">
        <v>0</v>
      </c>
      <c r="F7694" s="7" t="n">
        <v>1</v>
      </c>
      <c r="G7694" s="7" t="n">
        <v>110.08</v>
      </c>
    </row>
    <row r="7695" customFormat="false" ht="15" hidden="false" customHeight="false" outlineLevel="0" collapsed="false">
      <c r="A7695" s="7" t="s">
        <v>24</v>
      </c>
      <c r="B7695" s="7" t="s">
        <v>305</v>
      </c>
      <c r="C7695" s="7" t="s">
        <v>1182</v>
      </c>
      <c r="D7695" s="7" t="n">
        <v>0</v>
      </c>
      <c r="E7695" s="7" t="n">
        <v>0</v>
      </c>
      <c r="F7695" s="7" t="n">
        <v>1</v>
      </c>
      <c r="G7695" s="7" t="n">
        <v>110.08</v>
      </c>
    </row>
    <row r="7696" customFormat="false" ht="15" hidden="false" customHeight="false" outlineLevel="0" collapsed="false">
      <c r="A7696" s="7" t="s">
        <v>24</v>
      </c>
      <c r="B7696" s="7" t="s">
        <v>305</v>
      </c>
      <c r="C7696" s="7" t="s">
        <v>1182</v>
      </c>
      <c r="D7696" s="7" t="n">
        <v>0</v>
      </c>
      <c r="E7696" s="7" t="n">
        <v>0</v>
      </c>
      <c r="F7696" s="7" t="n">
        <v>1</v>
      </c>
      <c r="G7696" s="7" t="n">
        <v>110.09</v>
      </c>
    </row>
    <row r="7697" customFormat="false" ht="15" hidden="false" customHeight="false" outlineLevel="0" collapsed="false">
      <c r="A7697" s="7" t="s">
        <v>24</v>
      </c>
      <c r="B7697" s="7" t="s">
        <v>646</v>
      </c>
      <c r="C7697" s="7" t="s">
        <v>1183</v>
      </c>
      <c r="D7697" s="7" t="n">
        <v>0</v>
      </c>
      <c r="E7697" s="7" t="n">
        <v>0</v>
      </c>
      <c r="F7697" s="7" t="n">
        <v>2</v>
      </c>
      <c r="G7697" s="7" t="n">
        <v>92.9</v>
      </c>
    </row>
    <row r="7698" customFormat="false" ht="15" hidden="false" customHeight="false" outlineLevel="0" collapsed="false">
      <c r="A7698" s="7" t="s">
        <v>24</v>
      </c>
      <c r="B7698" s="7" t="s">
        <v>646</v>
      </c>
      <c r="C7698" s="7" t="s">
        <v>1183</v>
      </c>
      <c r="D7698" s="7" t="n">
        <v>0</v>
      </c>
      <c r="E7698" s="7" t="n">
        <v>0</v>
      </c>
      <c r="F7698" s="7" t="n">
        <v>1</v>
      </c>
      <c r="G7698" s="7" t="n">
        <v>51.61</v>
      </c>
    </row>
    <row r="7699" customFormat="false" ht="15" hidden="false" customHeight="false" outlineLevel="0" collapsed="false">
      <c r="A7699" s="7" t="s">
        <v>24</v>
      </c>
      <c r="B7699" s="7" t="s">
        <v>646</v>
      </c>
      <c r="C7699" s="7" t="s">
        <v>1183</v>
      </c>
      <c r="D7699" s="7" t="n">
        <v>0</v>
      </c>
      <c r="E7699" s="7" t="n">
        <v>0</v>
      </c>
      <c r="F7699" s="7" t="n">
        <v>3</v>
      </c>
      <c r="G7699" s="7" t="n">
        <v>131.62</v>
      </c>
    </row>
    <row r="7700" customFormat="false" ht="15" hidden="false" customHeight="false" outlineLevel="0" collapsed="false">
      <c r="A7700" s="7" t="s">
        <v>24</v>
      </c>
      <c r="B7700" s="7" t="s">
        <v>646</v>
      </c>
      <c r="C7700" s="7" t="s">
        <v>1183</v>
      </c>
      <c r="D7700" s="7" t="n">
        <v>0</v>
      </c>
      <c r="E7700" s="7" t="n">
        <v>0</v>
      </c>
      <c r="F7700" s="7" t="n">
        <v>1</v>
      </c>
      <c r="G7700" s="7" t="n">
        <v>51.61</v>
      </c>
    </row>
    <row r="7701" customFormat="false" ht="15" hidden="false" customHeight="false" outlineLevel="0" collapsed="false">
      <c r="A7701" s="7" t="s">
        <v>24</v>
      </c>
      <c r="B7701" s="7" t="s">
        <v>646</v>
      </c>
      <c r="C7701" s="7" t="s">
        <v>1183</v>
      </c>
      <c r="D7701" s="7" t="n">
        <v>0</v>
      </c>
      <c r="E7701" s="7" t="n">
        <v>0</v>
      </c>
      <c r="F7701" s="7" t="n">
        <v>1</v>
      </c>
      <c r="G7701" s="7" t="n">
        <v>51.61</v>
      </c>
    </row>
    <row r="7702" customFormat="false" ht="15" hidden="false" customHeight="false" outlineLevel="0" collapsed="false">
      <c r="A7702" s="7" t="s">
        <v>24</v>
      </c>
      <c r="B7702" s="7" t="s">
        <v>646</v>
      </c>
      <c r="C7702" s="7" t="s">
        <v>1183</v>
      </c>
      <c r="D7702" s="7" t="n">
        <v>0</v>
      </c>
      <c r="E7702" s="7" t="n">
        <v>0</v>
      </c>
      <c r="F7702" s="7" t="n">
        <v>1</v>
      </c>
      <c r="G7702" s="7" t="n">
        <v>46.45</v>
      </c>
    </row>
    <row r="7703" customFormat="false" ht="15" hidden="false" customHeight="false" outlineLevel="0" collapsed="false">
      <c r="A7703" s="7" t="s">
        <v>24</v>
      </c>
      <c r="B7703" s="7" t="s">
        <v>646</v>
      </c>
      <c r="C7703" s="7" t="s">
        <v>1183</v>
      </c>
      <c r="D7703" s="7" t="n">
        <v>0</v>
      </c>
      <c r="E7703" s="7" t="n">
        <v>0</v>
      </c>
      <c r="F7703" s="7" t="n">
        <v>1</v>
      </c>
      <c r="G7703" s="7" t="n">
        <v>46.45</v>
      </c>
    </row>
    <row r="7704" customFormat="false" ht="15" hidden="false" customHeight="false" outlineLevel="0" collapsed="false">
      <c r="A7704" s="7" t="s">
        <v>24</v>
      </c>
      <c r="B7704" s="7" t="s">
        <v>646</v>
      </c>
      <c r="C7704" s="7" t="s">
        <v>1183</v>
      </c>
      <c r="D7704" s="7" t="n">
        <v>0</v>
      </c>
      <c r="E7704" s="7" t="n">
        <v>0</v>
      </c>
      <c r="F7704" s="7" t="n">
        <v>1</v>
      </c>
      <c r="G7704" s="7" t="n">
        <v>51.61</v>
      </c>
    </row>
    <row r="7705" customFormat="false" ht="15" hidden="false" customHeight="false" outlineLevel="0" collapsed="false">
      <c r="A7705" s="7" t="s">
        <v>24</v>
      </c>
      <c r="B7705" s="7" t="s">
        <v>646</v>
      </c>
      <c r="C7705" s="7" t="s">
        <v>1183</v>
      </c>
      <c r="D7705" s="7" t="n">
        <v>40</v>
      </c>
      <c r="E7705" s="7" t="n">
        <v>1979.25</v>
      </c>
      <c r="F7705" s="7" t="n">
        <v>18</v>
      </c>
      <c r="G7705" s="7" t="n">
        <v>908.34</v>
      </c>
    </row>
    <row r="7706" customFormat="false" ht="15" hidden="false" customHeight="false" outlineLevel="0" collapsed="false">
      <c r="A7706" s="7" t="s">
        <v>24</v>
      </c>
      <c r="B7706" s="7" t="s">
        <v>646</v>
      </c>
      <c r="C7706" s="7" t="s">
        <v>1183</v>
      </c>
      <c r="D7706" s="7" t="n">
        <v>0</v>
      </c>
      <c r="E7706" s="7" t="n">
        <v>0</v>
      </c>
      <c r="F7706" s="7" t="n">
        <v>4</v>
      </c>
      <c r="G7706" s="7" t="n">
        <v>206.44</v>
      </c>
    </row>
    <row r="7707" customFormat="false" ht="15" hidden="false" customHeight="false" outlineLevel="0" collapsed="false">
      <c r="A7707" s="7" t="s">
        <v>24</v>
      </c>
      <c r="B7707" s="7" t="s">
        <v>646</v>
      </c>
      <c r="C7707" s="7" t="s">
        <v>1183</v>
      </c>
      <c r="D7707" s="7" t="n">
        <v>0</v>
      </c>
      <c r="E7707" s="7" t="n">
        <v>0</v>
      </c>
      <c r="F7707" s="7" t="n">
        <v>1</v>
      </c>
      <c r="G7707" s="7" t="n">
        <v>46.45</v>
      </c>
    </row>
    <row r="7708" customFormat="false" ht="15" hidden="false" customHeight="false" outlineLevel="0" collapsed="false">
      <c r="A7708" s="7" t="s">
        <v>24</v>
      </c>
      <c r="B7708" s="7" t="s">
        <v>646</v>
      </c>
      <c r="C7708" s="7" t="s">
        <v>1183</v>
      </c>
      <c r="D7708" s="7" t="n">
        <v>0</v>
      </c>
      <c r="E7708" s="7" t="n">
        <v>0</v>
      </c>
      <c r="F7708" s="7" t="n">
        <v>2</v>
      </c>
      <c r="G7708" s="7" t="n">
        <v>87.75</v>
      </c>
    </row>
    <row r="7709" customFormat="false" ht="15" hidden="false" customHeight="false" outlineLevel="0" collapsed="false">
      <c r="A7709" s="7" t="s">
        <v>24</v>
      </c>
      <c r="B7709" s="7" t="s">
        <v>646</v>
      </c>
      <c r="C7709" s="7" t="s">
        <v>1183</v>
      </c>
      <c r="D7709" s="7" t="n">
        <v>0</v>
      </c>
      <c r="E7709" s="7" t="n">
        <v>0</v>
      </c>
      <c r="F7709" s="7" t="n">
        <v>1</v>
      </c>
      <c r="G7709" s="7" t="n">
        <v>51.61</v>
      </c>
    </row>
    <row r="7710" customFormat="false" ht="15" hidden="false" customHeight="false" outlineLevel="0" collapsed="false">
      <c r="A7710" s="7" t="s">
        <v>24</v>
      </c>
      <c r="B7710" s="7" t="s">
        <v>176</v>
      </c>
      <c r="C7710" s="7" t="s">
        <v>1183</v>
      </c>
      <c r="D7710" s="7" t="n">
        <v>0</v>
      </c>
      <c r="E7710" s="7" t="n">
        <v>0</v>
      </c>
      <c r="F7710" s="7" t="n">
        <v>2</v>
      </c>
      <c r="G7710" s="7" t="n">
        <v>106.63</v>
      </c>
    </row>
    <row r="7711" customFormat="false" ht="15" hidden="false" customHeight="false" outlineLevel="0" collapsed="false">
      <c r="A7711" s="7" t="s">
        <v>24</v>
      </c>
      <c r="B7711" s="7" t="s">
        <v>176</v>
      </c>
      <c r="C7711" s="7" t="s">
        <v>1183</v>
      </c>
      <c r="D7711" s="7" t="n">
        <v>0</v>
      </c>
      <c r="E7711" s="7" t="n">
        <v>0</v>
      </c>
      <c r="F7711" s="7" t="n">
        <v>1</v>
      </c>
      <c r="G7711" s="7" t="n">
        <v>59.24</v>
      </c>
    </row>
    <row r="7712" customFormat="false" ht="15" hidden="false" customHeight="false" outlineLevel="0" collapsed="false">
      <c r="A7712" s="7" t="s">
        <v>24</v>
      </c>
      <c r="B7712" s="7" t="s">
        <v>176</v>
      </c>
      <c r="C7712" s="7" t="s">
        <v>1183</v>
      </c>
      <c r="D7712" s="7" t="n">
        <v>0</v>
      </c>
      <c r="E7712" s="7" t="n">
        <v>0</v>
      </c>
      <c r="F7712" s="7" t="n">
        <v>1</v>
      </c>
      <c r="G7712" s="7" t="n">
        <v>59.24</v>
      </c>
    </row>
    <row r="7713" customFormat="false" ht="15" hidden="false" customHeight="false" outlineLevel="0" collapsed="false">
      <c r="A7713" s="7" t="s">
        <v>24</v>
      </c>
      <c r="B7713" s="7" t="s">
        <v>176</v>
      </c>
      <c r="C7713" s="7" t="s">
        <v>1183</v>
      </c>
      <c r="D7713" s="7" t="n">
        <v>0</v>
      </c>
      <c r="E7713" s="7" t="n">
        <v>0</v>
      </c>
      <c r="F7713" s="7" t="n">
        <v>1</v>
      </c>
      <c r="G7713" s="7" t="n">
        <v>53.31</v>
      </c>
    </row>
    <row r="7714" customFormat="false" ht="15" hidden="false" customHeight="false" outlineLevel="0" collapsed="false">
      <c r="A7714" s="7" t="s">
        <v>24</v>
      </c>
      <c r="B7714" s="7" t="s">
        <v>176</v>
      </c>
      <c r="C7714" s="7" t="s">
        <v>1183</v>
      </c>
      <c r="D7714" s="7" t="n">
        <v>0</v>
      </c>
      <c r="E7714" s="7" t="n">
        <v>0</v>
      </c>
      <c r="F7714" s="7" t="n">
        <v>2</v>
      </c>
      <c r="G7714" s="7" t="n">
        <v>118.47</v>
      </c>
    </row>
    <row r="7715" customFormat="false" ht="15" hidden="false" customHeight="false" outlineLevel="0" collapsed="false">
      <c r="A7715" s="7" t="s">
        <v>24</v>
      </c>
      <c r="B7715" s="7" t="s">
        <v>176</v>
      </c>
      <c r="C7715" s="7" t="s">
        <v>1183</v>
      </c>
      <c r="D7715" s="7" t="n">
        <v>0</v>
      </c>
      <c r="E7715" s="7" t="n">
        <v>0</v>
      </c>
      <c r="F7715" s="7" t="n">
        <v>2</v>
      </c>
      <c r="G7715" s="7" t="n">
        <v>118.47</v>
      </c>
    </row>
    <row r="7716" customFormat="false" ht="15" hidden="false" customHeight="false" outlineLevel="0" collapsed="false">
      <c r="A7716" s="7" t="s">
        <v>24</v>
      </c>
      <c r="B7716" s="7" t="s">
        <v>176</v>
      </c>
      <c r="C7716" s="7" t="s">
        <v>1183</v>
      </c>
      <c r="D7716" s="7" t="n">
        <v>0</v>
      </c>
      <c r="E7716" s="7" t="n">
        <v>0</v>
      </c>
      <c r="F7716" s="7" t="n">
        <v>2</v>
      </c>
      <c r="G7716" s="7" t="n">
        <v>118.47</v>
      </c>
    </row>
    <row r="7717" customFormat="false" ht="15" hidden="false" customHeight="false" outlineLevel="0" collapsed="false">
      <c r="A7717" s="7" t="s">
        <v>24</v>
      </c>
      <c r="B7717" s="7" t="s">
        <v>176</v>
      </c>
      <c r="C7717" s="7" t="s">
        <v>1183</v>
      </c>
      <c r="D7717" s="7" t="n">
        <v>0</v>
      </c>
      <c r="E7717" s="7" t="n">
        <v>0</v>
      </c>
      <c r="F7717" s="7" t="n">
        <v>2</v>
      </c>
      <c r="G7717" s="7" t="n">
        <v>118.48</v>
      </c>
    </row>
    <row r="7718" customFormat="false" ht="15" hidden="false" customHeight="false" outlineLevel="0" collapsed="false">
      <c r="A7718" s="7" t="s">
        <v>24</v>
      </c>
      <c r="B7718" s="7" t="s">
        <v>176</v>
      </c>
      <c r="C7718" s="7" t="s">
        <v>1183</v>
      </c>
      <c r="D7718" s="7" t="n">
        <v>1</v>
      </c>
      <c r="E7718" s="7" t="n">
        <v>36.3</v>
      </c>
      <c r="F7718" s="7" t="n">
        <v>0</v>
      </c>
      <c r="G7718" s="7" t="n">
        <v>0</v>
      </c>
    </row>
    <row r="7719" customFormat="false" ht="15" hidden="false" customHeight="false" outlineLevel="0" collapsed="false">
      <c r="A7719" s="7" t="s">
        <v>24</v>
      </c>
      <c r="B7719" s="7" t="s">
        <v>176</v>
      </c>
      <c r="C7719" s="7" t="s">
        <v>1183</v>
      </c>
      <c r="D7719" s="7" t="n">
        <v>104</v>
      </c>
      <c r="E7719" s="7" t="n">
        <v>5849.89</v>
      </c>
      <c r="F7719" s="7" t="n">
        <v>42</v>
      </c>
      <c r="G7719" s="7" t="n">
        <v>2440.71</v>
      </c>
    </row>
    <row r="7720" customFormat="false" ht="15" hidden="false" customHeight="false" outlineLevel="0" collapsed="false">
      <c r="A7720" s="7" t="s">
        <v>24</v>
      </c>
      <c r="B7720" s="7" t="s">
        <v>176</v>
      </c>
      <c r="C7720" s="7" t="s">
        <v>1183</v>
      </c>
      <c r="D7720" s="7" t="n">
        <v>1</v>
      </c>
      <c r="E7720" s="7" t="n">
        <v>49.12</v>
      </c>
      <c r="F7720" s="7" t="n">
        <v>0</v>
      </c>
      <c r="G7720" s="7" t="n">
        <v>0</v>
      </c>
    </row>
    <row r="7721" customFormat="false" ht="15" hidden="false" customHeight="false" outlineLevel="0" collapsed="false">
      <c r="A7721" s="7" t="s">
        <v>24</v>
      </c>
      <c r="B7721" s="7" t="s">
        <v>176</v>
      </c>
      <c r="C7721" s="7" t="s">
        <v>1183</v>
      </c>
      <c r="D7721" s="7" t="n">
        <v>0</v>
      </c>
      <c r="E7721" s="7" t="n">
        <v>0</v>
      </c>
      <c r="F7721" s="7" t="n">
        <v>2</v>
      </c>
      <c r="G7721" s="7" t="n">
        <v>106.64</v>
      </c>
    </row>
    <row r="7722" customFormat="false" ht="15" hidden="false" customHeight="false" outlineLevel="0" collapsed="false">
      <c r="A7722" s="7" t="s">
        <v>24</v>
      </c>
      <c r="B7722" s="7" t="s">
        <v>176</v>
      </c>
      <c r="C7722" s="7" t="s">
        <v>1183</v>
      </c>
      <c r="D7722" s="7" t="n">
        <v>0</v>
      </c>
      <c r="E7722" s="7" t="n">
        <v>0</v>
      </c>
      <c r="F7722" s="7" t="n">
        <v>1</v>
      </c>
      <c r="G7722" s="7" t="n">
        <v>50.35</v>
      </c>
    </row>
    <row r="7723" customFormat="false" ht="15" hidden="false" customHeight="false" outlineLevel="0" collapsed="false">
      <c r="A7723" s="7" t="s">
        <v>24</v>
      </c>
      <c r="B7723" s="7" t="s">
        <v>176</v>
      </c>
      <c r="C7723" s="7" t="s">
        <v>1183</v>
      </c>
      <c r="D7723" s="7" t="n">
        <v>0</v>
      </c>
      <c r="E7723" s="7" t="n">
        <v>0</v>
      </c>
      <c r="F7723" s="7" t="n">
        <v>1</v>
      </c>
      <c r="G7723" s="7" t="n">
        <v>59.24</v>
      </c>
    </row>
    <row r="7724" customFormat="false" ht="15" hidden="false" customHeight="false" outlineLevel="0" collapsed="false">
      <c r="A7724" s="7" t="s">
        <v>24</v>
      </c>
      <c r="B7724" s="7" t="s">
        <v>176</v>
      </c>
      <c r="C7724" s="7" t="s">
        <v>1183</v>
      </c>
      <c r="D7724" s="7" t="n">
        <v>0</v>
      </c>
      <c r="E7724" s="7" t="n">
        <v>0</v>
      </c>
      <c r="F7724" s="7" t="n">
        <v>2</v>
      </c>
      <c r="G7724" s="7" t="n">
        <v>109.6</v>
      </c>
    </row>
    <row r="7725" customFormat="false" ht="15" hidden="false" customHeight="false" outlineLevel="0" collapsed="false">
      <c r="A7725" s="7" t="s">
        <v>24</v>
      </c>
      <c r="B7725" s="7" t="s">
        <v>176</v>
      </c>
      <c r="C7725" s="7" t="s">
        <v>1183</v>
      </c>
      <c r="D7725" s="7" t="n">
        <v>0</v>
      </c>
      <c r="E7725" s="7" t="n">
        <v>0</v>
      </c>
      <c r="F7725" s="7" t="n">
        <v>1</v>
      </c>
      <c r="G7725" s="7" t="n">
        <v>59.24</v>
      </c>
    </row>
    <row r="7726" customFormat="false" ht="15" hidden="false" customHeight="false" outlineLevel="0" collapsed="false">
      <c r="A7726" s="7" t="s">
        <v>24</v>
      </c>
      <c r="B7726" s="7" t="s">
        <v>176</v>
      </c>
      <c r="C7726" s="7" t="s">
        <v>1183</v>
      </c>
      <c r="D7726" s="7" t="n">
        <v>0</v>
      </c>
      <c r="E7726" s="7" t="n">
        <v>0</v>
      </c>
      <c r="F7726" s="7" t="n">
        <v>1</v>
      </c>
      <c r="G7726" s="7" t="n">
        <v>59.23</v>
      </c>
    </row>
    <row r="7727" customFormat="false" ht="15" hidden="false" customHeight="false" outlineLevel="0" collapsed="false">
      <c r="A7727" s="7" t="s">
        <v>24</v>
      </c>
      <c r="B7727" s="7" t="s">
        <v>176</v>
      </c>
      <c r="C7727" s="7" t="s">
        <v>1183</v>
      </c>
      <c r="D7727" s="7" t="n">
        <v>0</v>
      </c>
      <c r="E7727" s="7" t="n">
        <v>0</v>
      </c>
      <c r="F7727" s="7" t="n">
        <v>1</v>
      </c>
      <c r="G7727" s="7" t="n">
        <v>50.36</v>
      </c>
    </row>
    <row r="7728" customFormat="false" ht="15" hidden="false" customHeight="false" outlineLevel="0" collapsed="false">
      <c r="A7728" s="7" t="s">
        <v>24</v>
      </c>
      <c r="B7728" s="7" t="s">
        <v>176</v>
      </c>
      <c r="C7728" s="7" t="s">
        <v>1183</v>
      </c>
      <c r="D7728" s="7" t="n">
        <v>0</v>
      </c>
      <c r="E7728" s="7" t="n">
        <v>0</v>
      </c>
      <c r="F7728" s="7" t="n">
        <v>1</v>
      </c>
      <c r="G7728" s="7" t="n">
        <v>59.23</v>
      </c>
    </row>
    <row r="7729" customFormat="false" ht="15" hidden="false" customHeight="false" outlineLevel="0" collapsed="false">
      <c r="A7729" s="7" t="s">
        <v>24</v>
      </c>
      <c r="B7729" s="7" t="s">
        <v>176</v>
      </c>
      <c r="C7729" s="7" t="s">
        <v>1183</v>
      </c>
      <c r="D7729" s="7" t="n">
        <v>0</v>
      </c>
      <c r="E7729" s="7" t="n">
        <v>0</v>
      </c>
      <c r="F7729" s="7" t="n">
        <v>1</v>
      </c>
      <c r="G7729" s="7" t="n">
        <v>59.24</v>
      </c>
    </row>
    <row r="7730" customFormat="false" ht="15" hidden="false" customHeight="false" outlineLevel="0" collapsed="false">
      <c r="A7730" s="7" t="s">
        <v>24</v>
      </c>
      <c r="B7730" s="7" t="s">
        <v>176</v>
      </c>
      <c r="C7730" s="7" t="s">
        <v>1183</v>
      </c>
      <c r="D7730" s="7" t="n">
        <v>0</v>
      </c>
      <c r="E7730" s="7" t="n">
        <v>0</v>
      </c>
      <c r="F7730" s="7" t="n">
        <v>2</v>
      </c>
      <c r="G7730" s="7" t="n">
        <v>109.6</v>
      </c>
    </row>
    <row r="7731" customFormat="false" ht="15" hidden="false" customHeight="false" outlineLevel="0" collapsed="false">
      <c r="A7731" s="7" t="s">
        <v>24</v>
      </c>
      <c r="B7731" s="7" t="s">
        <v>176</v>
      </c>
      <c r="C7731" s="7" t="s">
        <v>1183</v>
      </c>
      <c r="D7731" s="7" t="n">
        <v>0</v>
      </c>
      <c r="E7731" s="7" t="n">
        <v>0</v>
      </c>
      <c r="F7731" s="7" t="n">
        <v>2</v>
      </c>
      <c r="G7731" s="7" t="n">
        <v>118.48</v>
      </c>
    </row>
    <row r="7732" customFormat="false" ht="15" hidden="false" customHeight="false" outlineLevel="0" collapsed="false">
      <c r="A7732" s="7" t="s">
        <v>24</v>
      </c>
      <c r="B7732" s="7" t="s">
        <v>176</v>
      </c>
      <c r="C7732" s="7" t="s">
        <v>1183</v>
      </c>
      <c r="D7732" s="7" t="n">
        <v>0</v>
      </c>
      <c r="E7732" s="7" t="n">
        <v>0</v>
      </c>
      <c r="F7732" s="7" t="n">
        <v>1</v>
      </c>
      <c r="G7732" s="7" t="n">
        <v>59.24</v>
      </c>
    </row>
    <row r="7733" customFormat="false" ht="15" hidden="false" customHeight="false" outlineLevel="0" collapsed="false">
      <c r="A7733" s="7" t="s">
        <v>24</v>
      </c>
      <c r="B7733" s="7" t="s">
        <v>176</v>
      </c>
      <c r="C7733" s="7" t="s">
        <v>1183</v>
      </c>
      <c r="D7733" s="7" t="n">
        <v>0</v>
      </c>
      <c r="E7733" s="7" t="n">
        <v>0</v>
      </c>
      <c r="F7733" s="7" t="n">
        <v>1</v>
      </c>
      <c r="G7733" s="7" t="n">
        <v>59.23</v>
      </c>
    </row>
    <row r="7734" customFormat="false" ht="15" hidden="false" customHeight="false" outlineLevel="0" collapsed="false">
      <c r="A7734" s="7" t="s">
        <v>24</v>
      </c>
      <c r="B7734" s="7" t="s">
        <v>176</v>
      </c>
      <c r="C7734" s="7" t="s">
        <v>1183</v>
      </c>
      <c r="D7734" s="7" t="n">
        <v>13</v>
      </c>
      <c r="E7734" s="7" t="n">
        <v>692.53</v>
      </c>
      <c r="F7734" s="7" t="n">
        <v>0</v>
      </c>
      <c r="G7734" s="7" t="n">
        <v>0</v>
      </c>
    </row>
    <row r="7735" customFormat="false" ht="15" hidden="false" customHeight="false" outlineLevel="0" collapsed="false">
      <c r="A7735" s="7" t="s">
        <v>24</v>
      </c>
      <c r="B7735" s="7" t="s">
        <v>176</v>
      </c>
      <c r="C7735" s="7" t="s">
        <v>1183</v>
      </c>
      <c r="D7735" s="7" t="n">
        <v>0</v>
      </c>
      <c r="E7735" s="7" t="n">
        <v>0</v>
      </c>
      <c r="F7735" s="7" t="n">
        <v>1</v>
      </c>
      <c r="G7735" s="7" t="n">
        <v>59.24</v>
      </c>
    </row>
    <row r="7736" customFormat="false" ht="15" hidden="false" customHeight="false" outlineLevel="0" collapsed="false">
      <c r="A7736" s="7" t="s">
        <v>24</v>
      </c>
      <c r="B7736" s="7" t="s">
        <v>176</v>
      </c>
      <c r="C7736" s="7" t="s">
        <v>1183</v>
      </c>
      <c r="D7736" s="7" t="n">
        <v>0</v>
      </c>
      <c r="E7736" s="7" t="n">
        <v>0</v>
      </c>
      <c r="F7736" s="7" t="n">
        <v>2</v>
      </c>
      <c r="G7736" s="7" t="n">
        <v>118.48</v>
      </c>
    </row>
    <row r="7737" customFormat="false" ht="15" hidden="false" customHeight="false" outlineLevel="0" collapsed="false">
      <c r="A7737" s="7" t="s">
        <v>24</v>
      </c>
      <c r="B7737" s="7" t="s">
        <v>70</v>
      </c>
      <c r="C7737" s="7" t="s">
        <v>1184</v>
      </c>
      <c r="D7737" s="7" t="n">
        <v>1</v>
      </c>
      <c r="E7737" s="7" t="n">
        <v>84.66</v>
      </c>
      <c r="F7737" s="7" t="n">
        <v>0</v>
      </c>
      <c r="G7737" s="7" t="n">
        <v>0</v>
      </c>
    </row>
    <row r="7738" customFormat="false" ht="15" hidden="false" customHeight="false" outlineLevel="0" collapsed="false">
      <c r="A7738" s="7" t="s">
        <v>24</v>
      </c>
      <c r="B7738" s="7" t="s">
        <v>70</v>
      </c>
      <c r="C7738" s="7" t="s">
        <v>1184</v>
      </c>
      <c r="D7738" s="7" t="n">
        <v>1</v>
      </c>
      <c r="E7738" s="7" t="n">
        <v>68.36</v>
      </c>
      <c r="F7738" s="7" t="n">
        <v>0</v>
      </c>
      <c r="G7738" s="7" t="n">
        <v>0</v>
      </c>
    </row>
    <row r="7739" customFormat="false" ht="15" hidden="false" customHeight="false" outlineLevel="0" collapsed="false">
      <c r="A7739" s="7" t="s">
        <v>24</v>
      </c>
      <c r="B7739" s="7" t="s">
        <v>96</v>
      </c>
      <c r="C7739" s="7" t="s">
        <v>1184</v>
      </c>
      <c r="D7739" s="7" t="n">
        <v>0</v>
      </c>
      <c r="E7739" s="7" t="n">
        <v>0</v>
      </c>
      <c r="F7739" s="7" t="n">
        <v>1</v>
      </c>
      <c r="G7739" s="7" t="n">
        <v>84.66</v>
      </c>
    </row>
    <row r="7740" customFormat="false" ht="15" hidden="false" customHeight="false" outlineLevel="0" collapsed="false">
      <c r="A7740" s="7" t="s">
        <v>24</v>
      </c>
      <c r="B7740" s="7" t="s">
        <v>96</v>
      </c>
      <c r="C7740" s="7" t="s">
        <v>1184</v>
      </c>
      <c r="D7740" s="7" t="n">
        <v>0</v>
      </c>
      <c r="E7740" s="7" t="n">
        <v>0</v>
      </c>
      <c r="F7740" s="7" t="n">
        <v>1</v>
      </c>
      <c r="G7740" s="7" t="n">
        <v>84.66</v>
      </c>
    </row>
    <row r="7741" customFormat="false" ht="15" hidden="false" customHeight="false" outlineLevel="0" collapsed="false">
      <c r="A7741" s="7" t="s">
        <v>24</v>
      </c>
      <c r="B7741" s="7" t="s">
        <v>96</v>
      </c>
      <c r="C7741" s="7" t="s">
        <v>1184</v>
      </c>
      <c r="D7741" s="7" t="n">
        <v>0</v>
      </c>
      <c r="E7741" s="7" t="n">
        <v>0</v>
      </c>
      <c r="F7741" s="7" t="n">
        <v>1</v>
      </c>
      <c r="G7741" s="7" t="n">
        <v>84.66</v>
      </c>
    </row>
    <row r="7742" customFormat="false" ht="15" hidden="false" customHeight="false" outlineLevel="0" collapsed="false">
      <c r="A7742" s="7" t="s">
        <v>24</v>
      </c>
      <c r="B7742" s="7" t="s">
        <v>96</v>
      </c>
      <c r="C7742" s="7" t="s">
        <v>1184</v>
      </c>
      <c r="D7742" s="7" t="n">
        <v>0</v>
      </c>
      <c r="E7742" s="7" t="n">
        <v>0</v>
      </c>
      <c r="F7742" s="7" t="n">
        <v>1</v>
      </c>
      <c r="G7742" s="7" t="n">
        <v>76.2</v>
      </c>
    </row>
    <row r="7743" customFormat="false" ht="15" hidden="false" customHeight="false" outlineLevel="0" collapsed="false">
      <c r="A7743" s="7" t="s">
        <v>24</v>
      </c>
      <c r="B7743" s="7" t="s">
        <v>96</v>
      </c>
      <c r="C7743" s="7" t="s">
        <v>1184</v>
      </c>
      <c r="D7743" s="7" t="n">
        <v>0</v>
      </c>
      <c r="E7743" s="7" t="n">
        <v>0</v>
      </c>
      <c r="F7743" s="7" t="n">
        <v>1</v>
      </c>
      <c r="G7743" s="7" t="n">
        <v>84.66</v>
      </c>
    </row>
    <row r="7744" customFormat="false" ht="15" hidden="false" customHeight="false" outlineLevel="0" collapsed="false">
      <c r="A7744" s="7" t="s">
        <v>24</v>
      </c>
      <c r="B7744" s="7" t="s">
        <v>96</v>
      </c>
      <c r="C7744" s="7" t="s">
        <v>1184</v>
      </c>
      <c r="D7744" s="7" t="n">
        <v>0</v>
      </c>
      <c r="E7744" s="7" t="n">
        <v>0</v>
      </c>
      <c r="F7744" s="7" t="n">
        <v>1</v>
      </c>
      <c r="G7744" s="7" t="n">
        <v>84.66</v>
      </c>
    </row>
    <row r="7745" customFormat="false" ht="15" hidden="false" customHeight="false" outlineLevel="0" collapsed="false">
      <c r="A7745" s="7" t="s">
        <v>24</v>
      </c>
      <c r="B7745" s="7" t="s">
        <v>96</v>
      </c>
      <c r="C7745" s="7" t="s">
        <v>1184</v>
      </c>
      <c r="D7745" s="7" t="n">
        <v>0</v>
      </c>
      <c r="E7745" s="7" t="n">
        <v>0</v>
      </c>
      <c r="F7745" s="7" t="n">
        <v>1</v>
      </c>
      <c r="G7745" s="7" t="n">
        <v>76.2</v>
      </c>
    </row>
    <row r="7746" customFormat="false" ht="15" hidden="false" customHeight="false" outlineLevel="0" collapsed="false">
      <c r="A7746" s="7" t="s">
        <v>24</v>
      </c>
      <c r="B7746" s="7" t="s">
        <v>96</v>
      </c>
      <c r="C7746" s="7" t="s">
        <v>1184</v>
      </c>
      <c r="D7746" s="7" t="n">
        <v>22</v>
      </c>
      <c r="E7746" s="7" t="n">
        <v>1701.66</v>
      </c>
      <c r="F7746" s="7" t="n">
        <v>13</v>
      </c>
      <c r="G7746" s="7" t="n">
        <v>1083.64</v>
      </c>
    </row>
    <row r="7747" customFormat="false" ht="15" hidden="false" customHeight="false" outlineLevel="0" collapsed="false">
      <c r="A7747" s="7" t="s">
        <v>24</v>
      </c>
      <c r="B7747" s="7" t="s">
        <v>96</v>
      </c>
      <c r="C7747" s="7" t="s">
        <v>1184</v>
      </c>
      <c r="D7747" s="7" t="n">
        <v>0</v>
      </c>
      <c r="E7747" s="7" t="n">
        <v>0</v>
      </c>
      <c r="F7747" s="7" t="n">
        <v>1</v>
      </c>
      <c r="G7747" s="7" t="n">
        <v>84.66</v>
      </c>
    </row>
    <row r="7748" customFormat="false" ht="15" hidden="false" customHeight="false" outlineLevel="0" collapsed="false">
      <c r="A7748" s="7" t="s">
        <v>24</v>
      </c>
      <c r="B7748" s="7" t="s">
        <v>96</v>
      </c>
      <c r="C7748" s="7" t="s">
        <v>1184</v>
      </c>
      <c r="D7748" s="7" t="n">
        <v>0</v>
      </c>
      <c r="E7748" s="7" t="n">
        <v>0</v>
      </c>
      <c r="F7748" s="7" t="n">
        <v>1</v>
      </c>
      <c r="G7748" s="7" t="n">
        <v>84.66</v>
      </c>
    </row>
    <row r="7749" customFormat="false" ht="15" hidden="false" customHeight="false" outlineLevel="0" collapsed="false">
      <c r="A7749" s="7" t="s">
        <v>24</v>
      </c>
      <c r="B7749" s="7" t="s">
        <v>96</v>
      </c>
      <c r="C7749" s="7" t="s">
        <v>1184</v>
      </c>
      <c r="D7749" s="7" t="n">
        <v>0</v>
      </c>
      <c r="E7749" s="7" t="n">
        <v>0</v>
      </c>
      <c r="F7749" s="7" t="n">
        <v>1</v>
      </c>
      <c r="G7749" s="7" t="n">
        <v>76.2</v>
      </c>
    </row>
    <row r="7750" customFormat="false" ht="15" hidden="false" customHeight="false" outlineLevel="0" collapsed="false">
      <c r="A7750" s="7" t="s">
        <v>24</v>
      </c>
      <c r="B7750" s="7" t="s">
        <v>96</v>
      </c>
      <c r="C7750" s="7" t="s">
        <v>1184</v>
      </c>
      <c r="D7750" s="7" t="n">
        <v>0</v>
      </c>
      <c r="E7750" s="7" t="n">
        <v>0</v>
      </c>
      <c r="F7750" s="7" t="n">
        <v>1</v>
      </c>
      <c r="G7750" s="7" t="n">
        <v>76.2</v>
      </c>
    </row>
    <row r="7751" customFormat="false" ht="15" hidden="false" customHeight="false" outlineLevel="0" collapsed="false">
      <c r="A7751" s="7" t="s">
        <v>24</v>
      </c>
      <c r="B7751" s="7" t="s">
        <v>96</v>
      </c>
      <c r="C7751" s="7" t="s">
        <v>1184</v>
      </c>
      <c r="D7751" s="7" t="n">
        <v>0</v>
      </c>
      <c r="E7751" s="7" t="n">
        <v>0</v>
      </c>
      <c r="F7751" s="7" t="n">
        <v>1</v>
      </c>
      <c r="G7751" s="7" t="n">
        <v>84.66</v>
      </c>
    </row>
    <row r="7752" customFormat="false" ht="15" hidden="false" customHeight="false" outlineLevel="0" collapsed="false">
      <c r="A7752" s="7" t="s">
        <v>24</v>
      </c>
      <c r="B7752" s="7" t="s">
        <v>96</v>
      </c>
      <c r="C7752" s="7" t="s">
        <v>1184</v>
      </c>
      <c r="D7752" s="7" t="n">
        <v>0</v>
      </c>
      <c r="E7752" s="7" t="n">
        <v>0</v>
      </c>
      <c r="F7752" s="7" t="n">
        <v>1</v>
      </c>
      <c r="G7752" s="7" t="n">
        <v>84.66</v>
      </c>
    </row>
    <row r="7753" customFormat="false" ht="15" hidden="false" customHeight="false" outlineLevel="0" collapsed="false">
      <c r="A7753" s="7" t="s">
        <v>24</v>
      </c>
      <c r="B7753" s="7" t="s">
        <v>96</v>
      </c>
      <c r="C7753" s="7" t="s">
        <v>1184</v>
      </c>
      <c r="D7753" s="7" t="n">
        <v>0</v>
      </c>
      <c r="E7753" s="7" t="n">
        <v>0</v>
      </c>
      <c r="F7753" s="7" t="n">
        <v>1</v>
      </c>
      <c r="G7753" s="7" t="n">
        <v>84.66</v>
      </c>
    </row>
    <row r="7754" customFormat="false" ht="15" hidden="false" customHeight="false" outlineLevel="0" collapsed="false">
      <c r="A7754" s="7" t="s">
        <v>24</v>
      </c>
      <c r="B7754" s="7" t="s">
        <v>96</v>
      </c>
      <c r="C7754" s="7" t="s">
        <v>1184</v>
      </c>
      <c r="D7754" s="7" t="n">
        <v>0</v>
      </c>
      <c r="E7754" s="7" t="n">
        <v>0</v>
      </c>
      <c r="F7754" s="7" t="n">
        <v>2</v>
      </c>
      <c r="G7754" s="7" t="n">
        <v>169.32</v>
      </c>
    </row>
    <row r="7755" customFormat="false" ht="15" hidden="false" customHeight="false" outlineLevel="0" collapsed="false">
      <c r="A7755" s="7" t="s">
        <v>24</v>
      </c>
      <c r="B7755" s="7" t="s">
        <v>96</v>
      </c>
      <c r="C7755" s="7" t="s">
        <v>1184</v>
      </c>
      <c r="D7755" s="7" t="n">
        <v>0</v>
      </c>
      <c r="E7755" s="7" t="n">
        <v>0</v>
      </c>
      <c r="F7755" s="7" t="n">
        <v>2</v>
      </c>
      <c r="G7755" s="7" t="n">
        <v>160.85</v>
      </c>
    </row>
    <row r="7756" customFormat="false" ht="15" hidden="false" customHeight="false" outlineLevel="0" collapsed="false">
      <c r="A7756" s="7" t="s">
        <v>24</v>
      </c>
      <c r="B7756" s="7" t="s">
        <v>96</v>
      </c>
      <c r="C7756" s="7" t="s">
        <v>1184</v>
      </c>
      <c r="D7756" s="7" t="n">
        <v>5</v>
      </c>
      <c r="E7756" s="7" t="n">
        <v>369.78</v>
      </c>
      <c r="F7756" s="7" t="n">
        <v>0</v>
      </c>
      <c r="G7756" s="7" t="n">
        <v>0</v>
      </c>
    </row>
    <row r="7757" customFormat="false" ht="15" hidden="false" customHeight="false" outlineLevel="0" collapsed="false">
      <c r="A7757" s="7" t="s">
        <v>24</v>
      </c>
      <c r="B7757" s="7" t="s">
        <v>213</v>
      </c>
      <c r="C7757" s="7" t="s">
        <v>1184</v>
      </c>
      <c r="D7757" s="7" t="n">
        <v>0</v>
      </c>
      <c r="E7757" s="7" t="n">
        <v>0</v>
      </c>
      <c r="F7757" s="7" t="n">
        <v>1</v>
      </c>
      <c r="G7757" s="7" t="n">
        <v>84.66</v>
      </c>
    </row>
    <row r="7758" customFormat="false" ht="15" hidden="false" customHeight="false" outlineLevel="0" collapsed="false">
      <c r="A7758" s="7" t="s">
        <v>24</v>
      </c>
      <c r="B7758" s="7" t="s">
        <v>213</v>
      </c>
      <c r="C7758" s="7" t="s">
        <v>1184</v>
      </c>
      <c r="D7758" s="7" t="n">
        <v>0</v>
      </c>
      <c r="E7758" s="7" t="n">
        <v>0</v>
      </c>
      <c r="F7758" s="7" t="n">
        <v>1</v>
      </c>
      <c r="G7758" s="7" t="n">
        <v>84.66</v>
      </c>
    </row>
    <row r="7759" customFormat="false" ht="15" hidden="false" customHeight="false" outlineLevel="0" collapsed="false">
      <c r="A7759" s="7" t="s">
        <v>24</v>
      </c>
      <c r="B7759" s="7" t="s">
        <v>213</v>
      </c>
      <c r="C7759" s="7" t="s">
        <v>1184</v>
      </c>
      <c r="D7759" s="7" t="n">
        <v>0</v>
      </c>
      <c r="E7759" s="7" t="n">
        <v>0</v>
      </c>
      <c r="F7759" s="7" t="n">
        <v>1</v>
      </c>
      <c r="G7759" s="7" t="n">
        <v>84.66</v>
      </c>
    </row>
    <row r="7760" customFormat="false" ht="15" hidden="false" customHeight="false" outlineLevel="0" collapsed="false">
      <c r="A7760" s="7" t="s">
        <v>24</v>
      </c>
      <c r="B7760" s="7" t="s">
        <v>213</v>
      </c>
      <c r="C7760" s="7" t="s">
        <v>1184</v>
      </c>
      <c r="D7760" s="7" t="n">
        <v>0</v>
      </c>
      <c r="E7760" s="7" t="n">
        <v>0</v>
      </c>
      <c r="F7760" s="7" t="n">
        <v>1</v>
      </c>
      <c r="G7760" s="7" t="n">
        <v>84.66</v>
      </c>
    </row>
    <row r="7761" customFormat="false" ht="15" hidden="false" customHeight="false" outlineLevel="0" collapsed="false">
      <c r="A7761" s="7" t="s">
        <v>24</v>
      </c>
      <c r="B7761" s="7" t="s">
        <v>213</v>
      </c>
      <c r="C7761" s="7" t="s">
        <v>1184</v>
      </c>
      <c r="D7761" s="7" t="n">
        <v>0</v>
      </c>
      <c r="E7761" s="7" t="n">
        <v>0</v>
      </c>
      <c r="F7761" s="7" t="n">
        <v>1</v>
      </c>
      <c r="G7761" s="7" t="n">
        <v>84.66</v>
      </c>
    </row>
    <row r="7762" customFormat="false" ht="15" hidden="false" customHeight="false" outlineLevel="0" collapsed="false">
      <c r="A7762" s="7" t="s">
        <v>24</v>
      </c>
      <c r="B7762" s="7" t="s">
        <v>213</v>
      </c>
      <c r="C7762" s="7" t="s">
        <v>1184</v>
      </c>
      <c r="D7762" s="7" t="n">
        <v>9</v>
      </c>
      <c r="E7762" s="7" t="n">
        <v>670.48</v>
      </c>
      <c r="F7762" s="7" t="n">
        <v>0</v>
      </c>
      <c r="G7762" s="7" t="n">
        <v>0</v>
      </c>
    </row>
    <row r="7763" customFormat="false" ht="15" hidden="false" customHeight="false" outlineLevel="0" collapsed="false">
      <c r="A7763" s="7" t="s">
        <v>24</v>
      </c>
      <c r="B7763" s="7" t="s">
        <v>213</v>
      </c>
      <c r="C7763" s="7" t="s">
        <v>1184</v>
      </c>
      <c r="D7763" s="7" t="n">
        <v>0</v>
      </c>
      <c r="E7763" s="7" t="n">
        <v>0</v>
      </c>
      <c r="F7763" s="7" t="n">
        <v>1</v>
      </c>
      <c r="G7763" s="7" t="n">
        <v>84.66</v>
      </c>
    </row>
    <row r="7764" customFormat="false" ht="15" hidden="false" customHeight="false" outlineLevel="0" collapsed="false">
      <c r="A7764" s="7" t="s">
        <v>24</v>
      </c>
      <c r="B7764" s="7" t="s">
        <v>213</v>
      </c>
      <c r="C7764" s="7" t="s">
        <v>1184</v>
      </c>
      <c r="D7764" s="7" t="n">
        <v>0</v>
      </c>
      <c r="E7764" s="7" t="n">
        <v>0</v>
      </c>
      <c r="F7764" s="7" t="n">
        <v>1</v>
      </c>
      <c r="G7764" s="7" t="n">
        <v>84.67</v>
      </c>
    </row>
    <row r="7765" customFormat="false" ht="15" hidden="false" customHeight="false" outlineLevel="0" collapsed="false">
      <c r="A7765" s="7" t="s">
        <v>24</v>
      </c>
      <c r="B7765" s="7" t="s">
        <v>213</v>
      </c>
      <c r="C7765" s="7" t="s">
        <v>1184</v>
      </c>
      <c r="D7765" s="7" t="n">
        <v>0</v>
      </c>
      <c r="E7765" s="7" t="n">
        <v>0</v>
      </c>
      <c r="F7765" s="7" t="n">
        <v>1</v>
      </c>
      <c r="G7765" s="7" t="n">
        <v>71.97</v>
      </c>
    </row>
    <row r="7766" customFormat="false" ht="15" hidden="false" customHeight="false" outlineLevel="0" collapsed="false">
      <c r="A7766" s="7" t="s">
        <v>24</v>
      </c>
      <c r="B7766" s="7" t="s">
        <v>213</v>
      </c>
      <c r="C7766" s="7" t="s">
        <v>1184</v>
      </c>
      <c r="D7766" s="7" t="n">
        <v>0</v>
      </c>
      <c r="E7766" s="7" t="n">
        <v>0</v>
      </c>
      <c r="F7766" s="7" t="n">
        <v>1</v>
      </c>
      <c r="G7766" s="7" t="n">
        <v>84.67</v>
      </c>
    </row>
    <row r="7767" customFormat="false" ht="15" hidden="false" customHeight="false" outlineLevel="0" collapsed="false">
      <c r="A7767" s="7" t="s">
        <v>24</v>
      </c>
      <c r="B7767" s="7" t="s">
        <v>213</v>
      </c>
      <c r="C7767" s="7" t="s">
        <v>1184</v>
      </c>
      <c r="D7767" s="7" t="n">
        <v>0</v>
      </c>
      <c r="E7767" s="7" t="n">
        <v>0</v>
      </c>
      <c r="F7767" s="7" t="n">
        <v>1</v>
      </c>
      <c r="G7767" s="7" t="n">
        <v>84.67</v>
      </c>
    </row>
    <row r="7768" customFormat="false" ht="15" hidden="false" customHeight="false" outlineLevel="0" collapsed="false">
      <c r="A7768" s="7" t="s">
        <v>24</v>
      </c>
      <c r="B7768" s="7" t="s">
        <v>213</v>
      </c>
      <c r="C7768" s="7" t="s">
        <v>1184</v>
      </c>
      <c r="D7768" s="7" t="n">
        <v>49</v>
      </c>
      <c r="E7768" s="7" t="n">
        <v>3847.8</v>
      </c>
      <c r="F7768" s="7" t="n">
        <v>15</v>
      </c>
      <c r="G7768" s="7" t="n">
        <v>1227.56</v>
      </c>
    </row>
    <row r="7769" customFormat="false" ht="15" hidden="false" customHeight="false" outlineLevel="0" collapsed="false">
      <c r="A7769" s="7" t="s">
        <v>24</v>
      </c>
      <c r="B7769" s="7" t="s">
        <v>213</v>
      </c>
      <c r="C7769" s="7" t="s">
        <v>1184</v>
      </c>
      <c r="D7769" s="7" t="n">
        <v>0</v>
      </c>
      <c r="E7769" s="7" t="n">
        <v>0</v>
      </c>
      <c r="F7769" s="7" t="n">
        <v>1</v>
      </c>
      <c r="G7769" s="7" t="n">
        <v>84.67</v>
      </c>
    </row>
    <row r="7770" customFormat="false" ht="15" hidden="false" customHeight="false" outlineLevel="0" collapsed="false">
      <c r="A7770" s="7" t="s">
        <v>24</v>
      </c>
      <c r="B7770" s="7" t="s">
        <v>213</v>
      </c>
      <c r="C7770" s="7" t="s">
        <v>1184</v>
      </c>
      <c r="D7770" s="7" t="n">
        <v>0</v>
      </c>
      <c r="E7770" s="7" t="n">
        <v>0</v>
      </c>
      <c r="F7770" s="7" t="n">
        <v>1</v>
      </c>
      <c r="G7770" s="7" t="n">
        <v>84.66</v>
      </c>
    </row>
    <row r="7771" customFormat="false" ht="15" hidden="false" customHeight="false" outlineLevel="0" collapsed="false">
      <c r="A7771" s="7" t="s">
        <v>24</v>
      </c>
      <c r="B7771" s="7" t="s">
        <v>213</v>
      </c>
      <c r="C7771" s="7" t="s">
        <v>1184</v>
      </c>
      <c r="D7771" s="7" t="n">
        <v>0</v>
      </c>
      <c r="E7771" s="7" t="n">
        <v>0</v>
      </c>
      <c r="F7771" s="7" t="n">
        <v>2</v>
      </c>
      <c r="G7771" s="7" t="n">
        <v>169.32</v>
      </c>
    </row>
    <row r="7772" customFormat="false" ht="15" hidden="false" customHeight="false" outlineLevel="0" collapsed="false">
      <c r="A7772" s="7" t="s">
        <v>24</v>
      </c>
      <c r="B7772" s="7" t="s">
        <v>213</v>
      </c>
      <c r="C7772" s="7" t="s">
        <v>1184</v>
      </c>
      <c r="D7772" s="7" t="n">
        <v>0</v>
      </c>
      <c r="E7772" s="7" t="n">
        <v>0</v>
      </c>
      <c r="F7772" s="7" t="n">
        <v>1</v>
      </c>
      <c r="G7772" s="7" t="n">
        <v>76.2</v>
      </c>
    </row>
    <row r="7773" customFormat="false" ht="15" hidden="false" customHeight="false" outlineLevel="0" collapsed="false">
      <c r="A7773" s="7" t="s">
        <v>24</v>
      </c>
      <c r="B7773" s="7" t="s">
        <v>213</v>
      </c>
      <c r="C7773" s="7" t="s">
        <v>1184</v>
      </c>
      <c r="D7773" s="7" t="n">
        <v>0</v>
      </c>
      <c r="E7773" s="7" t="n">
        <v>0</v>
      </c>
      <c r="F7773" s="7" t="n">
        <v>1</v>
      </c>
      <c r="G7773" s="7" t="n">
        <v>84.66</v>
      </c>
    </row>
    <row r="7774" customFormat="false" ht="15" hidden="false" customHeight="false" outlineLevel="0" collapsed="false">
      <c r="A7774" s="7" t="s">
        <v>24</v>
      </c>
      <c r="B7774" s="7" t="s">
        <v>213</v>
      </c>
      <c r="C7774" s="7" t="s">
        <v>1184</v>
      </c>
      <c r="D7774" s="7" t="n">
        <v>0</v>
      </c>
      <c r="E7774" s="7" t="n">
        <v>0</v>
      </c>
      <c r="F7774" s="7" t="n">
        <v>1</v>
      </c>
      <c r="G7774" s="7" t="n">
        <v>84.66</v>
      </c>
    </row>
    <row r="7775" customFormat="false" ht="15" hidden="false" customHeight="false" outlineLevel="0" collapsed="false">
      <c r="A7775" s="7" t="s">
        <v>24</v>
      </c>
      <c r="B7775" s="7" t="s">
        <v>213</v>
      </c>
      <c r="C7775" s="7" t="s">
        <v>1184</v>
      </c>
      <c r="D7775" s="7" t="n">
        <v>0</v>
      </c>
      <c r="E7775" s="7" t="n">
        <v>0</v>
      </c>
      <c r="F7775" s="7" t="n">
        <v>1</v>
      </c>
      <c r="G7775" s="7" t="n">
        <v>84.66</v>
      </c>
    </row>
    <row r="7776" customFormat="false" ht="15" hidden="false" customHeight="false" outlineLevel="0" collapsed="false">
      <c r="A7776" s="7" t="s">
        <v>24</v>
      </c>
      <c r="B7776" s="7" t="s">
        <v>213</v>
      </c>
      <c r="C7776" s="7" t="s">
        <v>1184</v>
      </c>
      <c r="D7776" s="7" t="n">
        <v>0</v>
      </c>
      <c r="E7776" s="7" t="n">
        <v>0</v>
      </c>
      <c r="F7776" s="7" t="n">
        <v>1</v>
      </c>
      <c r="G7776" s="7" t="n">
        <v>84.66</v>
      </c>
    </row>
    <row r="7777" customFormat="false" ht="15" hidden="false" customHeight="false" outlineLevel="0" collapsed="false">
      <c r="A7777" s="7" t="s">
        <v>24</v>
      </c>
      <c r="B7777" s="7" t="s">
        <v>213</v>
      </c>
      <c r="C7777" s="7" t="s">
        <v>1184</v>
      </c>
      <c r="D7777" s="7" t="n">
        <v>0</v>
      </c>
      <c r="E7777" s="7" t="n">
        <v>0</v>
      </c>
      <c r="F7777" s="7" t="n">
        <v>1</v>
      </c>
      <c r="G7777" s="7" t="n">
        <v>84.66</v>
      </c>
    </row>
    <row r="7778" customFormat="false" ht="15" hidden="false" customHeight="false" outlineLevel="0" collapsed="false">
      <c r="A7778" s="7" t="s">
        <v>24</v>
      </c>
      <c r="B7778" s="7" t="s">
        <v>133</v>
      </c>
      <c r="C7778" s="7" t="s">
        <v>1184</v>
      </c>
      <c r="D7778" s="7" t="n">
        <v>0</v>
      </c>
      <c r="E7778" s="7" t="n">
        <v>0</v>
      </c>
      <c r="F7778" s="7" t="n">
        <v>1</v>
      </c>
      <c r="G7778" s="7" t="n">
        <v>76.19</v>
      </c>
    </row>
    <row r="7779" customFormat="false" ht="15" hidden="false" customHeight="false" outlineLevel="0" collapsed="false">
      <c r="A7779" s="7" t="s">
        <v>24</v>
      </c>
      <c r="B7779" s="7" t="s">
        <v>133</v>
      </c>
      <c r="C7779" s="7" t="s">
        <v>1184</v>
      </c>
      <c r="D7779" s="7" t="n">
        <v>0</v>
      </c>
      <c r="E7779" s="7" t="n">
        <v>0</v>
      </c>
      <c r="F7779" s="7" t="n">
        <v>1</v>
      </c>
      <c r="G7779" s="7" t="n">
        <v>68.57</v>
      </c>
    </row>
    <row r="7780" customFormat="false" ht="15" hidden="false" customHeight="false" outlineLevel="0" collapsed="false">
      <c r="A7780" s="7" t="s">
        <v>24</v>
      </c>
      <c r="B7780" s="7" t="s">
        <v>133</v>
      </c>
      <c r="C7780" s="7" t="s">
        <v>1184</v>
      </c>
      <c r="D7780" s="7" t="n">
        <v>0</v>
      </c>
      <c r="E7780" s="7" t="n">
        <v>0</v>
      </c>
      <c r="F7780" s="7" t="n">
        <v>1</v>
      </c>
      <c r="G7780" s="7" t="n">
        <v>68.57</v>
      </c>
    </row>
    <row r="7781" customFormat="false" ht="15" hidden="false" customHeight="false" outlineLevel="0" collapsed="false">
      <c r="A7781" s="7" t="s">
        <v>24</v>
      </c>
      <c r="B7781" s="7" t="s">
        <v>133</v>
      </c>
      <c r="C7781" s="7" t="s">
        <v>1184</v>
      </c>
      <c r="D7781" s="7" t="n">
        <v>0</v>
      </c>
      <c r="E7781" s="7" t="n">
        <v>0</v>
      </c>
      <c r="F7781" s="7" t="n">
        <v>1</v>
      </c>
      <c r="G7781" s="7" t="n">
        <v>76.19</v>
      </c>
    </row>
    <row r="7782" customFormat="false" ht="15" hidden="false" customHeight="false" outlineLevel="0" collapsed="false">
      <c r="A7782" s="7" t="s">
        <v>24</v>
      </c>
      <c r="B7782" s="7" t="s">
        <v>133</v>
      </c>
      <c r="C7782" s="7" t="s">
        <v>1184</v>
      </c>
      <c r="D7782" s="7" t="n">
        <v>0</v>
      </c>
      <c r="E7782" s="7" t="n">
        <v>0</v>
      </c>
      <c r="F7782" s="7" t="n">
        <v>1</v>
      </c>
      <c r="G7782" s="7" t="n">
        <v>76.19</v>
      </c>
    </row>
    <row r="7783" customFormat="false" ht="15" hidden="false" customHeight="false" outlineLevel="0" collapsed="false">
      <c r="A7783" s="7" t="s">
        <v>24</v>
      </c>
      <c r="B7783" s="7" t="s">
        <v>133</v>
      </c>
      <c r="C7783" s="7" t="s">
        <v>1184</v>
      </c>
      <c r="D7783" s="7" t="n">
        <v>0</v>
      </c>
      <c r="E7783" s="7" t="n">
        <v>0</v>
      </c>
      <c r="F7783" s="7" t="n">
        <v>2</v>
      </c>
      <c r="G7783" s="7" t="n">
        <v>152.37</v>
      </c>
    </row>
    <row r="7784" customFormat="false" ht="15" hidden="false" customHeight="false" outlineLevel="0" collapsed="false">
      <c r="A7784" s="7" t="s">
        <v>24</v>
      </c>
      <c r="B7784" s="7" t="s">
        <v>133</v>
      </c>
      <c r="C7784" s="7" t="s">
        <v>1184</v>
      </c>
      <c r="D7784" s="7" t="n">
        <v>0</v>
      </c>
      <c r="E7784" s="7" t="n">
        <v>0</v>
      </c>
      <c r="F7784" s="7" t="n">
        <v>1</v>
      </c>
      <c r="G7784" s="7" t="n">
        <v>76.18</v>
      </c>
    </row>
    <row r="7785" customFormat="false" ht="15" hidden="false" customHeight="false" outlineLevel="0" collapsed="false">
      <c r="A7785" s="7" t="s">
        <v>24</v>
      </c>
      <c r="B7785" s="7" t="s">
        <v>133</v>
      </c>
      <c r="C7785" s="7" t="s">
        <v>1184</v>
      </c>
      <c r="D7785" s="7" t="n">
        <v>0</v>
      </c>
      <c r="E7785" s="7" t="n">
        <v>0</v>
      </c>
      <c r="F7785" s="7" t="n">
        <v>1</v>
      </c>
      <c r="G7785" s="7" t="n">
        <v>68.57</v>
      </c>
    </row>
    <row r="7786" customFormat="false" ht="15" hidden="false" customHeight="false" outlineLevel="0" collapsed="false">
      <c r="A7786" s="7" t="s">
        <v>24</v>
      </c>
      <c r="B7786" s="7" t="s">
        <v>133</v>
      </c>
      <c r="C7786" s="7" t="s">
        <v>1184</v>
      </c>
      <c r="D7786" s="7" t="n">
        <v>0</v>
      </c>
      <c r="E7786" s="7" t="n">
        <v>0</v>
      </c>
      <c r="F7786" s="7" t="n">
        <v>1</v>
      </c>
      <c r="G7786" s="7" t="n">
        <v>76.19</v>
      </c>
    </row>
    <row r="7787" customFormat="false" ht="15" hidden="false" customHeight="false" outlineLevel="0" collapsed="false">
      <c r="A7787" s="7" t="s">
        <v>24</v>
      </c>
      <c r="B7787" s="7" t="s">
        <v>133</v>
      </c>
      <c r="C7787" s="7" t="s">
        <v>1184</v>
      </c>
      <c r="D7787" s="7" t="n">
        <v>0</v>
      </c>
      <c r="E7787" s="7" t="n">
        <v>0</v>
      </c>
      <c r="F7787" s="7" t="n">
        <v>1</v>
      </c>
      <c r="G7787" s="7" t="n">
        <v>68.57</v>
      </c>
    </row>
    <row r="7788" customFormat="false" ht="15" hidden="false" customHeight="false" outlineLevel="0" collapsed="false">
      <c r="A7788" s="7" t="s">
        <v>24</v>
      </c>
      <c r="B7788" s="7" t="s">
        <v>133</v>
      </c>
      <c r="C7788" s="7" t="s">
        <v>1184</v>
      </c>
      <c r="D7788" s="7" t="n">
        <v>0</v>
      </c>
      <c r="E7788" s="7" t="n">
        <v>0</v>
      </c>
      <c r="F7788" s="7" t="n">
        <v>3</v>
      </c>
      <c r="G7788" s="7" t="n">
        <v>213.33</v>
      </c>
    </row>
    <row r="7789" customFormat="false" ht="15" hidden="false" customHeight="false" outlineLevel="0" collapsed="false">
      <c r="A7789" s="7" t="s">
        <v>24</v>
      </c>
      <c r="B7789" s="7" t="s">
        <v>133</v>
      </c>
      <c r="C7789" s="7" t="s">
        <v>1184</v>
      </c>
      <c r="D7789" s="7" t="n">
        <v>0</v>
      </c>
      <c r="E7789" s="7" t="n">
        <v>0</v>
      </c>
      <c r="F7789" s="7" t="n">
        <v>1</v>
      </c>
      <c r="G7789" s="7" t="n">
        <v>76.19</v>
      </c>
    </row>
    <row r="7790" customFormat="false" ht="15" hidden="false" customHeight="false" outlineLevel="0" collapsed="false">
      <c r="A7790" s="7" t="s">
        <v>24</v>
      </c>
      <c r="B7790" s="7" t="s">
        <v>133</v>
      </c>
      <c r="C7790" s="7" t="s">
        <v>1184</v>
      </c>
      <c r="D7790" s="7" t="n">
        <v>0</v>
      </c>
      <c r="E7790" s="7" t="n">
        <v>0</v>
      </c>
      <c r="F7790" s="7" t="n">
        <v>2</v>
      </c>
      <c r="G7790" s="7" t="n">
        <v>137.14</v>
      </c>
    </row>
    <row r="7791" customFormat="false" ht="15" hidden="false" customHeight="false" outlineLevel="0" collapsed="false">
      <c r="A7791" s="7" t="s">
        <v>24</v>
      </c>
      <c r="B7791" s="7" t="s">
        <v>133</v>
      </c>
      <c r="C7791" s="7" t="s">
        <v>1184</v>
      </c>
      <c r="D7791" s="7" t="n">
        <v>0</v>
      </c>
      <c r="E7791" s="7" t="n">
        <v>0</v>
      </c>
      <c r="F7791" s="7" t="n">
        <v>1</v>
      </c>
      <c r="G7791" s="7" t="n">
        <v>76.19</v>
      </c>
    </row>
    <row r="7792" customFormat="false" ht="15" hidden="false" customHeight="false" outlineLevel="0" collapsed="false">
      <c r="A7792" s="7" t="s">
        <v>24</v>
      </c>
      <c r="B7792" s="7" t="s">
        <v>133</v>
      </c>
      <c r="C7792" s="7" t="s">
        <v>1184</v>
      </c>
      <c r="D7792" s="7" t="n">
        <v>0</v>
      </c>
      <c r="E7792" s="7" t="n">
        <v>0</v>
      </c>
      <c r="F7792" s="7" t="n">
        <v>1</v>
      </c>
      <c r="G7792" s="7" t="n">
        <v>76.19</v>
      </c>
    </row>
    <row r="7793" customFormat="false" ht="15" hidden="false" customHeight="false" outlineLevel="0" collapsed="false">
      <c r="A7793" s="7" t="s">
        <v>24</v>
      </c>
      <c r="B7793" s="7" t="s">
        <v>133</v>
      </c>
      <c r="C7793" s="7" t="s">
        <v>1184</v>
      </c>
      <c r="D7793" s="7" t="n">
        <v>0</v>
      </c>
      <c r="E7793" s="7" t="n">
        <v>0</v>
      </c>
      <c r="F7793" s="7" t="n">
        <v>3</v>
      </c>
      <c r="G7793" s="7" t="n">
        <v>228.57</v>
      </c>
    </row>
    <row r="7794" customFormat="false" ht="15" hidden="false" customHeight="false" outlineLevel="0" collapsed="false">
      <c r="A7794" s="7" t="s">
        <v>24</v>
      </c>
      <c r="B7794" s="7" t="s">
        <v>133</v>
      </c>
      <c r="C7794" s="7" t="s">
        <v>1184</v>
      </c>
      <c r="D7794" s="7" t="n">
        <v>36</v>
      </c>
      <c r="E7794" s="7" t="n">
        <v>2465.76</v>
      </c>
      <c r="F7794" s="7" t="n">
        <v>0</v>
      </c>
      <c r="G7794" s="7" t="n">
        <v>0</v>
      </c>
    </row>
    <row r="7795" customFormat="false" ht="15" hidden="false" customHeight="false" outlineLevel="0" collapsed="false">
      <c r="A7795" s="7" t="s">
        <v>24</v>
      </c>
      <c r="B7795" s="7" t="s">
        <v>133</v>
      </c>
      <c r="C7795" s="7" t="s">
        <v>1184</v>
      </c>
      <c r="D7795" s="7" t="n">
        <v>0</v>
      </c>
      <c r="E7795" s="7" t="n">
        <v>0</v>
      </c>
      <c r="F7795" s="7" t="n">
        <v>1</v>
      </c>
      <c r="G7795" s="7" t="n">
        <v>76.19</v>
      </c>
    </row>
    <row r="7796" customFormat="false" ht="15" hidden="false" customHeight="false" outlineLevel="0" collapsed="false">
      <c r="A7796" s="7" t="s">
        <v>24</v>
      </c>
      <c r="B7796" s="7" t="s">
        <v>133</v>
      </c>
      <c r="C7796" s="7" t="s">
        <v>1184</v>
      </c>
      <c r="D7796" s="7" t="n">
        <v>0</v>
      </c>
      <c r="E7796" s="7" t="n">
        <v>0</v>
      </c>
      <c r="F7796" s="7" t="n">
        <v>3</v>
      </c>
      <c r="G7796" s="7" t="n">
        <v>217.15</v>
      </c>
    </row>
    <row r="7797" customFormat="false" ht="15" hidden="false" customHeight="false" outlineLevel="0" collapsed="false">
      <c r="A7797" s="7" t="s">
        <v>24</v>
      </c>
      <c r="B7797" s="7" t="s">
        <v>133</v>
      </c>
      <c r="C7797" s="7" t="s">
        <v>1184</v>
      </c>
      <c r="D7797" s="7" t="n">
        <v>0</v>
      </c>
      <c r="E7797" s="7" t="n">
        <v>0</v>
      </c>
      <c r="F7797" s="7" t="n">
        <v>1</v>
      </c>
      <c r="G7797" s="7" t="n">
        <v>76.18</v>
      </c>
    </row>
    <row r="7798" customFormat="false" ht="15" hidden="false" customHeight="false" outlineLevel="0" collapsed="false">
      <c r="A7798" s="7" t="s">
        <v>24</v>
      </c>
      <c r="B7798" s="7" t="s">
        <v>133</v>
      </c>
      <c r="C7798" s="7" t="s">
        <v>1184</v>
      </c>
      <c r="D7798" s="7" t="n">
        <v>101</v>
      </c>
      <c r="E7798" s="7" t="n">
        <v>7268.47</v>
      </c>
      <c r="F7798" s="7" t="n">
        <v>108</v>
      </c>
      <c r="G7798" s="7" t="n">
        <v>8007.53</v>
      </c>
    </row>
    <row r="7799" customFormat="false" ht="15" hidden="false" customHeight="false" outlineLevel="0" collapsed="false">
      <c r="A7799" s="7" t="s">
        <v>24</v>
      </c>
      <c r="B7799" s="7" t="s">
        <v>133</v>
      </c>
      <c r="C7799" s="7" t="s">
        <v>1184</v>
      </c>
      <c r="D7799" s="7" t="n">
        <v>0</v>
      </c>
      <c r="E7799" s="7" t="n">
        <v>0</v>
      </c>
      <c r="F7799" s="7" t="n">
        <v>1</v>
      </c>
      <c r="G7799" s="7" t="n">
        <v>64.76</v>
      </c>
    </row>
    <row r="7800" customFormat="false" ht="15" hidden="false" customHeight="false" outlineLevel="0" collapsed="false">
      <c r="A7800" s="7" t="s">
        <v>24</v>
      </c>
      <c r="B7800" s="7" t="s">
        <v>133</v>
      </c>
      <c r="C7800" s="7" t="s">
        <v>1184</v>
      </c>
      <c r="D7800" s="7" t="n">
        <v>0</v>
      </c>
      <c r="E7800" s="7" t="n">
        <v>0</v>
      </c>
      <c r="F7800" s="7" t="n">
        <v>1</v>
      </c>
      <c r="G7800" s="7" t="n">
        <v>76.19</v>
      </c>
    </row>
    <row r="7801" customFormat="false" ht="15" hidden="false" customHeight="false" outlineLevel="0" collapsed="false">
      <c r="A7801" s="7" t="s">
        <v>24</v>
      </c>
      <c r="B7801" s="7" t="s">
        <v>133</v>
      </c>
      <c r="C7801" s="7" t="s">
        <v>1184</v>
      </c>
      <c r="D7801" s="7" t="n">
        <v>0</v>
      </c>
      <c r="E7801" s="7" t="n">
        <v>0</v>
      </c>
      <c r="F7801" s="7" t="n">
        <v>2</v>
      </c>
      <c r="G7801" s="7" t="n">
        <v>144.76</v>
      </c>
    </row>
    <row r="7802" customFormat="false" ht="15" hidden="false" customHeight="false" outlineLevel="0" collapsed="false">
      <c r="A7802" s="7" t="s">
        <v>24</v>
      </c>
      <c r="B7802" s="7" t="s">
        <v>133</v>
      </c>
      <c r="C7802" s="7" t="s">
        <v>1184</v>
      </c>
      <c r="D7802" s="7" t="n">
        <v>0</v>
      </c>
      <c r="E7802" s="7" t="n">
        <v>0</v>
      </c>
      <c r="F7802" s="7" t="n">
        <v>2</v>
      </c>
      <c r="G7802" s="7" t="n">
        <v>129.52</v>
      </c>
    </row>
    <row r="7803" customFormat="false" ht="15" hidden="false" customHeight="false" outlineLevel="0" collapsed="false">
      <c r="A7803" s="7" t="s">
        <v>24</v>
      </c>
      <c r="B7803" s="7" t="s">
        <v>133</v>
      </c>
      <c r="C7803" s="7" t="s">
        <v>1184</v>
      </c>
      <c r="D7803" s="7" t="n">
        <v>0</v>
      </c>
      <c r="E7803" s="7" t="n">
        <v>0</v>
      </c>
      <c r="F7803" s="7" t="n">
        <v>1</v>
      </c>
      <c r="G7803" s="7" t="n">
        <v>76.19</v>
      </c>
    </row>
    <row r="7804" customFormat="false" ht="15" hidden="false" customHeight="false" outlineLevel="0" collapsed="false">
      <c r="A7804" s="7" t="s">
        <v>24</v>
      </c>
      <c r="B7804" s="7" t="s">
        <v>133</v>
      </c>
      <c r="C7804" s="7" t="s">
        <v>1184</v>
      </c>
      <c r="D7804" s="7" t="n">
        <v>0</v>
      </c>
      <c r="E7804" s="7" t="n">
        <v>0</v>
      </c>
      <c r="F7804" s="7" t="n">
        <v>1</v>
      </c>
      <c r="G7804" s="7" t="n">
        <v>76.18</v>
      </c>
    </row>
    <row r="7805" customFormat="false" ht="15" hidden="false" customHeight="false" outlineLevel="0" collapsed="false">
      <c r="A7805" s="7" t="s">
        <v>24</v>
      </c>
      <c r="B7805" s="7" t="s">
        <v>133</v>
      </c>
      <c r="C7805" s="7" t="s">
        <v>1184</v>
      </c>
      <c r="D7805" s="7" t="n">
        <v>0</v>
      </c>
      <c r="E7805" s="7" t="n">
        <v>0</v>
      </c>
      <c r="F7805" s="7" t="n">
        <v>1</v>
      </c>
      <c r="G7805" s="7" t="n">
        <v>68.57</v>
      </c>
    </row>
    <row r="7806" customFormat="false" ht="15" hidden="false" customHeight="false" outlineLevel="0" collapsed="false">
      <c r="A7806" s="7" t="s">
        <v>24</v>
      </c>
      <c r="B7806" s="7" t="s">
        <v>133</v>
      </c>
      <c r="C7806" s="7" t="s">
        <v>1184</v>
      </c>
      <c r="D7806" s="7" t="n">
        <v>0</v>
      </c>
      <c r="E7806" s="7" t="n">
        <v>0</v>
      </c>
      <c r="F7806" s="7" t="n">
        <v>4</v>
      </c>
      <c r="G7806" s="7" t="n">
        <v>297.14</v>
      </c>
    </row>
    <row r="7807" customFormat="false" ht="15" hidden="false" customHeight="false" outlineLevel="0" collapsed="false">
      <c r="A7807" s="7" t="s">
        <v>24</v>
      </c>
      <c r="B7807" s="7" t="s">
        <v>133</v>
      </c>
      <c r="C7807" s="7" t="s">
        <v>1184</v>
      </c>
      <c r="D7807" s="7" t="n">
        <v>0</v>
      </c>
      <c r="E7807" s="7" t="n">
        <v>0</v>
      </c>
      <c r="F7807" s="7" t="n">
        <v>3</v>
      </c>
      <c r="G7807" s="7" t="n">
        <v>220.95</v>
      </c>
    </row>
    <row r="7808" customFormat="false" ht="15" hidden="false" customHeight="false" outlineLevel="0" collapsed="false">
      <c r="A7808" s="7" t="s">
        <v>24</v>
      </c>
      <c r="B7808" s="7" t="s">
        <v>133</v>
      </c>
      <c r="C7808" s="7" t="s">
        <v>1184</v>
      </c>
      <c r="D7808" s="7" t="n">
        <v>0</v>
      </c>
      <c r="E7808" s="7" t="n">
        <v>0</v>
      </c>
      <c r="F7808" s="7" t="n">
        <v>1</v>
      </c>
      <c r="G7808" s="7" t="n">
        <v>76.19</v>
      </c>
    </row>
    <row r="7809" customFormat="false" ht="15" hidden="false" customHeight="false" outlineLevel="0" collapsed="false">
      <c r="A7809" s="7" t="s">
        <v>24</v>
      </c>
      <c r="B7809" s="7" t="s">
        <v>133</v>
      </c>
      <c r="C7809" s="7" t="s">
        <v>1184</v>
      </c>
      <c r="D7809" s="7" t="n">
        <v>0</v>
      </c>
      <c r="E7809" s="7" t="n">
        <v>0</v>
      </c>
      <c r="F7809" s="7" t="n">
        <v>1</v>
      </c>
      <c r="G7809" s="7" t="n">
        <v>76.19</v>
      </c>
    </row>
    <row r="7810" customFormat="false" ht="15" hidden="false" customHeight="false" outlineLevel="0" collapsed="false">
      <c r="A7810" s="7" t="s">
        <v>24</v>
      </c>
      <c r="B7810" s="7" t="s">
        <v>133</v>
      </c>
      <c r="C7810" s="7" t="s">
        <v>1184</v>
      </c>
      <c r="D7810" s="7" t="n">
        <v>0</v>
      </c>
      <c r="E7810" s="7" t="n">
        <v>0</v>
      </c>
      <c r="F7810" s="7" t="n">
        <v>1</v>
      </c>
      <c r="G7810" s="7" t="n">
        <v>68.57</v>
      </c>
    </row>
    <row r="7811" customFormat="false" ht="15" hidden="false" customHeight="false" outlineLevel="0" collapsed="false">
      <c r="A7811" s="7" t="s">
        <v>24</v>
      </c>
      <c r="B7811" s="7" t="s">
        <v>133</v>
      </c>
      <c r="C7811" s="7" t="s">
        <v>1184</v>
      </c>
      <c r="D7811" s="7" t="n">
        <v>1</v>
      </c>
      <c r="E7811" s="7" t="n">
        <v>57.44</v>
      </c>
      <c r="F7811" s="7" t="n">
        <v>0</v>
      </c>
      <c r="G7811" s="7" t="n">
        <v>0</v>
      </c>
    </row>
    <row r="7812" customFormat="false" ht="15" hidden="false" customHeight="false" outlineLevel="0" collapsed="false">
      <c r="A7812" s="7" t="s">
        <v>24</v>
      </c>
      <c r="B7812" s="7" t="s">
        <v>133</v>
      </c>
      <c r="C7812" s="7" t="s">
        <v>1184</v>
      </c>
      <c r="D7812" s="7" t="n">
        <v>0</v>
      </c>
      <c r="E7812" s="7" t="n">
        <v>0</v>
      </c>
      <c r="F7812" s="7" t="n">
        <v>1</v>
      </c>
      <c r="G7812" s="7" t="n">
        <v>76.19</v>
      </c>
    </row>
    <row r="7813" customFormat="false" ht="15" hidden="false" customHeight="false" outlineLevel="0" collapsed="false">
      <c r="A7813" s="7" t="s">
        <v>24</v>
      </c>
      <c r="B7813" s="7" t="s">
        <v>133</v>
      </c>
      <c r="C7813" s="7" t="s">
        <v>1184</v>
      </c>
      <c r="D7813" s="7" t="n">
        <v>0</v>
      </c>
      <c r="E7813" s="7" t="n">
        <v>0</v>
      </c>
      <c r="F7813" s="7" t="n">
        <v>2</v>
      </c>
      <c r="G7813" s="7" t="n">
        <v>152.38</v>
      </c>
    </row>
    <row r="7814" customFormat="false" ht="15" hidden="false" customHeight="false" outlineLevel="0" collapsed="false">
      <c r="A7814" s="7" t="s">
        <v>24</v>
      </c>
      <c r="B7814" s="7" t="s">
        <v>133</v>
      </c>
      <c r="C7814" s="7" t="s">
        <v>1184</v>
      </c>
      <c r="D7814" s="7" t="n">
        <v>0</v>
      </c>
      <c r="E7814" s="7" t="n">
        <v>0</v>
      </c>
      <c r="F7814" s="7" t="n">
        <v>1</v>
      </c>
      <c r="G7814" s="7" t="n">
        <v>76.19</v>
      </c>
    </row>
    <row r="7815" customFormat="false" ht="15" hidden="false" customHeight="false" outlineLevel="0" collapsed="false">
      <c r="A7815" s="7" t="s">
        <v>24</v>
      </c>
      <c r="B7815" s="7" t="s">
        <v>133</v>
      </c>
      <c r="C7815" s="7" t="s">
        <v>1184</v>
      </c>
      <c r="D7815" s="7" t="n">
        <v>0</v>
      </c>
      <c r="E7815" s="7" t="n">
        <v>0</v>
      </c>
      <c r="F7815" s="7" t="n">
        <v>1</v>
      </c>
      <c r="G7815" s="7" t="n">
        <v>76.19</v>
      </c>
    </row>
    <row r="7816" customFormat="false" ht="15" hidden="false" customHeight="false" outlineLevel="0" collapsed="false">
      <c r="A7816" s="7" t="s">
        <v>24</v>
      </c>
      <c r="B7816" s="7" t="s">
        <v>133</v>
      </c>
      <c r="C7816" s="7" t="s">
        <v>1184</v>
      </c>
      <c r="D7816" s="7" t="n">
        <v>0</v>
      </c>
      <c r="E7816" s="7" t="n">
        <v>0</v>
      </c>
      <c r="F7816" s="7" t="n">
        <v>1</v>
      </c>
      <c r="G7816" s="7" t="n">
        <v>76.19</v>
      </c>
    </row>
    <row r="7817" customFormat="false" ht="15" hidden="false" customHeight="false" outlineLevel="0" collapsed="false">
      <c r="A7817" s="7" t="s">
        <v>24</v>
      </c>
      <c r="B7817" s="7" t="s">
        <v>133</v>
      </c>
      <c r="C7817" s="7" t="s">
        <v>1184</v>
      </c>
      <c r="D7817" s="7" t="n">
        <v>0</v>
      </c>
      <c r="E7817" s="7" t="n">
        <v>0</v>
      </c>
      <c r="F7817" s="7" t="n">
        <v>2</v>
      </c>
      <c r="G7817" s="7" t="n">
        <v>129.52</v>
      </c>
    </row>
    <row r="7818" customFormat="false" ht="15" hidden="false" customHeight="false" outlineLevel="0" collapsed="false">
      <c r="A7818" s="7" t="s">
        <v>24</v>
      </c>
      <c r="B7818" s="7" t="s">
        <v>133</v>
      </c>
      <c r="C7818" s="7" t="s">
        <v>1184</v>
      </c>
      <c r="D7818" s="7" t="n">
        <v>0</v>
      </c>
      <c r="E7818" s="7" t="n">
        <v>0</v>
      </c>
      <c r="F7818" s="7" t="n">
        <v>1</v>
      </c>
      <c r="G7818" s="7" t="n">
        <v>68.57</v>
      </c>
    </row>
    <row r="7819" customFormat="false" ht="15" hidden="false" customHeight="false" outlineLevel="0" collapsed="false">
      <c r="A7819" s="7" t="s">
        <v>24</v>
      </c>
      <c r="B7819" s="7" t="s">
        <v>133</v>
      </c>
      <c r="C7819" s="7" t="s">
        <v>1184</v>
      </c>
      <c r="D7819" s="7" t="n">
        <v>0</v>
      </c>
      <c r="E7819" s="7" t="n">
        <v>0</v>
      </c>
      <c r="F7819" s="7" t="n">
        <v>1</v>
      </c>
      <c r="G7819" s="7" t="n">
        <v>68.57</v>
      </c>
    </row>
    <row r="7820" customFormat="false" ht="15" hidden="false" customHeight="false" outlineLevel="0" collapsed="false">
      <c r="A7820" s="7" t="s">
        <v>24</v>
      </c>
      <c r="B7820" s="7" t="s">
        <v>133</v>
      </c>
      <c r="C7820" s="7" t="s">
        <v>1184</v>
      </c>
      <c r="D7820" s="7" t="n">
        <v>0</v>
      </c>
      <c r="E7820" s="7" t="n">
        <v>0</v>
      </c>
      <c r="F7820" s="7" t="n">
        <v>1</v>
      </c>
      <c r="G7820" s="7" t="n">
        <v>76.19</v>
      </c>
    </row>
    <row r="7821" customFormat="false" ht="15" hidden="false" customHeight="false" outlineLevel="0" collapsed="false">
      <c r="A7821" s="7" t="s">
        <v>24</v>
      </c>
      <c r="B7821" s="7" t="s">
        <v>133</v>
      </c>
      <c r="C7821" s="7" t="s">
        <v>1184</v>
      </c>
      <c r="D7821" s="7" t="n">
        <v>0</v>
      </c>
      <c r="E7821" s="7" t="n">
        <v>0</v>
      </c>
      <c r="F7821" s="7" t="n">
        <v>1</v>
      </c>
      <c r="G7821" s="7" t="n">
        <v>76.18</v>
      </c>
    </row>
    <row r="7822" customFormat="false" ht="15" hidden="false" customHeight="false" outlineLevel="0" collapsed="false">
      <c r="A7822" s="7" t="s">
        <v>24</v>
      </c>
      <c r="B7822" s="7" t="s">
        <v>133</v>
      </c>
      <c r="C7822" s="7" t="s">
        <v>1184</v>
      </c>
      <c r="D7822" s="7" t="n">
        <v>0</v>
      </c>
      <c r="E7822" s="7" t="n">
        <v>0</v>
      </c>
      <c r="F7822" s="7" t="n">
        <v>1</v>
      </c>
      <c r="G7822" s="7" t="n">
        <v>76.19</v>
      </c>
    </row>
    <row r="7823" customFormat="false" ht="15" hidden="false" customHeight="false" outlineLevel="0" collapsed="false">
      <c r="A7823" s="7" t="s">
        <v>24</v>
      </c>
      <c r="B7823" s="7" t="s">
        <v>133</v>
      </c>
      <c r="C7823" s="7" t="s">
        <v>1184</v>
      </c>
      <c r="D7823" s="7" t="n">
        <v>0</v>
      </c>
      <c r="E7823" s="7" t="n">
        <v>0</v>
      </c>
      <c r="F7823" s="7" t="n">
        <v>1</v>
      </c>
      <c r="G7823" s="7" t="n">
        <v>68.57</v>
      </c>
    </row>
    <row r="7824" customFormat="false" ht="15" hidden="false" customHeight="false" outlineLevel="0" collapsed="false">
      <c r="A7824" s="7" t="s">
        <v>24</v>
      </c>
      <c r="B7824" s="7" t="s">
        <v>133</v>
      </c>
      <c r="C7824" s="7" t="s">
        <v>1184</v>
      </c>
      <c r="D7824" s="7" t="n">
        <v>0</v>
      </c>
      <c r="E7824" s="7" t="n">
        <v>0</v>
      </c>
      <c r="F7824" s="7" t="n">
        <v>1</v>
      </c>
      <c r="G7824" s="7" t="n">
        <v>76.2</v>
      </c>
    </row>
    <row r="7825" customFormat="false" ht="15" hidden="false" customHeight="false" outlineLevel="0" collapsed="false">
      <c r="A7825" s="7" t="s">
        <v>24</v>
      </c>
      <c r="B7825" s="7" t="s">
        <v>133</v>
      </c>
      <c r="C7825" s="7" t="s">
        <v>1184</v>
      </c>
      <c r="D7825" s="7" t="n">
        <v>0</v>
      </c>
      <c r="E7825" s="7" t="n">
        <v>0</v>
      </c>
      <c r="F7825" s="7" t="n">
        <v>1</v>
      </c>
      <c r="G7825" s="7" t="n">
        <v>76.18</v>
      </c>
    </row>
    <row r="7826" customFormat="false" ht="15" hidden="false" customHeight="false" outlineLevel="0" collapsed="false">
      <c r="A7826" s="7" t="s">
        <v>24</v>
      </c>
      <c r="B7826" s="7" t="s">
        <v>133</v>
      </c>
      <c r="C7826" s="7" t="s">
        <v>1184</v>
      </c>
      <c r="D7826" s="7" t="n">
        <v>0</v>
      </c>
      <c r="E7826" s="7" t="n">
        <v>0</v>
      </c>
      <c r="F7826" s="7" t="n">
        <v>1</v>
      </c>
      <c r="G7826" s="7" t="n">
        <v>76.19</v>
      </c>
    </row>
    <row r="7827" customFormat="false" ht="15" hidden="false" customHeight="false" outlineLevel="0" collapsed="false">
      <c r="A7827" s="7" t="s">
        <v>24</v>
      </c>
      <c r="B7827" s="7" t="s">
        <v>133</v>
      </c>
      <c r="C7827" s="7" t="s">
        <v>1184</v>
      </c>
      <c r="D7827" s="7" t="n">
        <v>0</v>
      </c>
      <c r="E7827" s="7" t="n">
        <v>0</v>
      </c>
      <c r="F7827" s="7" t="n">
        <v>1</v>
      </c>
      <c r="G7827" s="7" t="n">
        <v>64.76</v>
      </c>
    </row>
    <row r="7828" customFormat="false" ht="15" hidden="false" customHeight="false" outlineLevel="0" collapsed="false">
      <c r="A7828" s="7" t="s">
        <v>24</v>
      </c>
      <c r="B7828" s="7" t="s">
        <v>133</v>
      </c>
      <c r="C7828" s="7" t="s">
        <v>1184</v>
      </c>
      <c r="D7828" s="7" t="n">
        <v>0</v>
      </c>
      <c r="E7828" s="7" t="n">
        <v>0</v>
      </c>
      <c r="F7828" s="7" t="n">
        <v>1</v>
      </c>
      <c r="G7828" s="7" t="n">
        <v>76.18</v>
      </c>
    </row>
    <row r="7829" customFormat="false" ht="15" hidden="false" customHeight="false" outlineLevel="0" collapsed="false">
      <c r="A7829" s="7" t="s">
        <v>24</v>
      </c>
      <c r="B7829" s="7" t="s">
        <v>133</v>
      </c>
      <c r="C7829" s="7" t="s">
        <v>1184</v>
      </c>
      <c r="D7829" s="7" t="n">
        <v>0</v>
      </c>
      <c r="E7829" s="7" t="n">
        <v>0</v>
      </c>
      <c r="F7829" s="7" t="n">
        <v>1</v>
      </c>
      <c r="G7829" s="7" t="n">
        <v>64.76</v>
      </c>
    </row>
    <row r="7830" customFormat="false" ht="15" hidden="false" customHeight="false" outlineLevel="0" collapsed="false">
      <c r="A7830" s="7" t="s">
        <v>24</v>
      </c>
      <c r="B7830" s="7" t="s">
        <v>133</v>
      </c>
      <c r="C7830" s="7" t="s">
        <v>1184</v>
      </c>
      <c r="D7830" s="7" t="n">
        <v>0</v>
      </c>
      <c r="E7830" s="7" t="n">
        <v>0</v>
      </c>
      <c r="F7830" s="7" t="n">
        <v>1</v>
      </c>
      <c r="G7830" s="7" t="n">
        <v>76.19</v>
      </c>
    </row>
    <row r="7831" customFormat="false" ht="15" hidden="false" customHeight="false" outlineLevel="0" collapsed="false">
      <c r="A7831" s="7" t="s">
        <v>24</v>
      </c>
      <c r="B7831" s="7" t="s">
        <v>133</v>
      </c>
      <c r="C7831" s="7" t="s">
        <v>1184</v>
      </c>
      <c r="D7831" s="7" t="n">
        <v>0</v>
      </c>
      <c r="E7831" s="7" t="n">
        <v>0</v>
      </c>
      <c r="F7831" s="7" t="n">
        <v>2</v>
      </c>
      <c r="G7831" s="7" t="n">
        <v>144.76</v>
      </c>
    </row>
    <row r="7832" customFormat="false" ht="15" hidden="false" customHeight="false" outlineLevel="0" collapsed="false">
      <c r="A7832" s="7" t="s">
        <v>24</v>
      </c>
      <c r="B7832" s="7" t="s">
        <v>133</v>
      </c>
      <c r="C7832" s="7" t="s">
        <v>1184</v>
      </c>
      <c r="D7832" s="7" t="n">
        <v>0</v>
      </c>
      <c r="E7832" s="7" t="n">
        <v>0</v>
      </c>
      <c r="F7832" s="7" t="n">
        <v>2</v>
      </c>
      <c r="G7832" s="7" t="n">
        <v>152.38</v>
      </c>
    </row>
    <row r="7833" customFormat="false" ht="15" hidden="false" customHeight="false" outlineLevel="0" collapsed="false">
      <c r="A7833" s="7" t="s">
        <v>24</v>
      </c>
      <c r="B7833" s="7" t="s">
        <v>133</v>
      </c>
      <c r="C7833" s="7" t="s">
        <v>1184</v>
      </c>
      <c r="D7833" s="7" t="n">
        <v>0</v>
      </c>
      <c r="E7833" s="7" t="n">
        <v>0</v>
      </c>
      <c r="F7833" s="7" t="n">
        <v>1</v>
      </c>
      <c r="G7833" s="7" t="n">
        <v>76.18</v>
      </c>
    </row>
    <row r="7834" customFormat="false" ht="15" hidden="false" customHeight="false" outlineLevel="0" collapsed="false">
      <c r="A7834" s="7" t="s">
        <v>24</v>
      </c>
      <c r="B7834" s="7" t="s">
        <v>133</v>
      </c>
      <c r="C7834" s="7" t="s">
        <v>1184</v>
      </c>
      <c r="D7834" s="7" t="n">
        <v>0</v>
      </c>
      <c r="E7834" s="7" t="n">
        <v>0</v>
      </c>
      <c r="F7834" s="7" t="n">
        <v>1</v>
      </c>
      <c r="G7834" s="7" t="n">
        <v>76.19</v>
      </c>
    </row>
    <row r="7835" customFormat="false" ht="15" hidden="false" customHeight="false" outlineLevel="0" collapsed="false">
      <c r="A7835" s="7" t="s">
        <v>24</v>
      </c>
      <c r="B7835" s="7" t="s">
        <v>133</v>
      </c>
      <c r="C7835" s="7" t="s">
        <v>1184</v>
      </c>
      <c r="D7835" s="7" t="n">
        <v>0</v>
      </c>
      <c r="E7835" s="7" t="n">
        <v>0</v>
      </c>
      <c r="F7835" s="7" t="n">
        <v>1</v>
      </c>
      <c r="G7835" s="7" t="n">
        <v>76.19</v>
      </c>
    </row>
    <row r="7836" customFormat="false" ht="15" hidden="false" customHeight="false" outlineLevel="0" collapsed="false">
      <c r="A7836" s="7" t="s">
        <v>24</v>
      </c>
      <c r="B7836" s="7" t="s">
        <v>133</v>
      </c>
      <c r="C7836" s="7" t="s">
        <v>1184</v>
      </c>
      <c r="D7836" s="7" t="n">
        <v>0</v>
      </c>
      <c r="E7836" s="7" t="n">
        <v>0</v>
      </c>
      <c r="F7836" s="7" t="n">
        <v>1</v>
      </c>
      <c r="G7836" s="7" t="n">
        <v>68.57</v>
      </c>
    </row>
    <row r="7837" customFormat="false" ht="15" hidden="false" customHeight="false" outlineLevel="0" collapsed="false">
      <c r="A7837" s="7" t="s">
        <v>24</v>
      </c>
      <c r="B7837" s="7" t="s">
        <v>133</v>
      </c>
      <c r="C7837" s="7" t="s">
        <v>1184</v>
      </c>
      <c r="D7837" s="7" t="n">
        <v>0</v>
      </c>
      <c r="E7837" s="7" t="n">
        <v>0</v>
      </c>
      <c r="F7837" s="7" t="n">
        <v>2</v>
      </c>
      <c r="G7837" s="7" t="n">
        <v>152.38</v>
      </c>
    </row>
    <row r="7838" customFormat="false" ht="15" hidden="false" customHeight="false" outlineLevel="0" collapsed="false">
      <c r="A7838" s="7" t="s">
        <v>24</v>
      </c>
      <c r="B7838" s="7" t="s">
        <v>133</v>
      </c>
      <c r="C7838" s="7" t="s">
        <v>1184</v>
      </c>
      <c r="D7838" s="7" t="n">
        <v>0</v>
      </c>
      <c r="E7838" s="7" t="n">
        <v>0</v>
      </c>
      <c r="F7838" s="7" t="n">
        <v>1</v>
      </c>
      <c r="G7838" s="7" t="n">
        <v>76.19</v>
      </c>
    </row>
    <row r="7839" customFormat="false" ht="15" hidden="false" customHeight="false" outlineLevel="0" collapsed="false">
      <c r="A7839" s="7" t="s">
        <v>24</v>
      </c>
      <c r="B7839" s="7" t="s">
        <v>133</v>
      </c>
      <c r="C7839" s="7" t="s">
        <v>1184</v>
      </c>
      <c r="D7839" s="7" t="n">
        <v>0</v>
      </c>
      <c r="E7839" s="7" t="n">
        <v>0</v>
      </c>
      <c r="F7839" s="7" t="n">
        <v>2</v>
      </c>
      <c r="G7839" s="7" t="n">
        <v>152.37</v>
      </c>
    </row>
    <row r="7840" customFormat="false" ht="15" hidden="false" customHeight="false" outlineLevel="0" collapsed="false">
      <c r="A7840" s="7" t="s">
        <v>24</v>
      </c>
      <c r="B7840" s="7" t="s">
        <v>133</v>
      </c>
      <c r="C7840" s="7" t="s">
        <v>1184</v>
      </c>
      <c r="D7840" s="7" t="n">
        <v>0</v>
      </c>
      <c r="E7840" s="7" t="n">
        <v>0</v>
      </c>
      <c r="F7840" s="7" t="n">
        <v>1</v>
      </c>
      <c r="G7840" s="7" t="n">
        <v>76.19</v>
      </c>
    </row>
    <row r="7841" customFormat="false" ht="15" hidden="false" customHeight="false" outlineLevel="0" collapsed="false">
      <c r="A7841" s="7" t="s">
        <v>24</v>
      </c>
      <c r="B7841" s="7" t="s">
        <v>133</v>
      </c>
      <c r="C7841" s="7" t="s">
        <v>1184</v>
      </c>
      <c r="D7841" s="7" t="n">
        <v>1</v>
      </c>
      <c r="E7841" s="7" t="n">
        <v>67.75</v>
      </c>
      <c r="F7841" s="7" t="n">
        <v>0</v>
      </c>
      <c r="G7841" s="7" t="n">
        <v>0</v>
      </c>
    </row>
    <row r="7842" customFormat="false" ht="15" hidden="false" customHeight="false" outlineLevel="0" collapsed="false">
      <c r="A7842" s="7" t="s">
        <v>24</v>
      </c>
      <c r="B7842" s="7" t="s">
        <v>133</v>
      </c>
      <c r="C7842" s="7" t="s">
        <v>1184</v>
      </c>
      <c r="D7842" s="7" t="n">
        <v>0</v>
      </c>
      <c r="E7842" s="7" t="n">
        <v>0</v>
      </c>
      <c r="F7842" s="7" t="n">
        <v>1</v>
      </c>
      <c r="G7842" s="7" t="n">
        <v>68.57</v>
      </c>
    </row>
    <row r="7843" customFormat="false" ht="15" hidden="false" customHeight="false" outlineLevel="0" collapsed="false">
      <c r="A7843" s="7" t="s">
        <v>24</v>
      </c>
      <c r="B7843" s="7" t="s">
        <v>133</v>
      </c>
      <c r="C7843" s="7" t="s">
        <v>1184</v>
      </c>
      <c r="D7843" s="7" t="n">
        <v>0</v>
      </c>
      <c r="E7843" s="7" t="n">
        <v>0</v>
      </c>
      <c r="F7843" s="7" t="n">
        <v>1</v>
      </c>
      <c r="G7843" s="7" t="n">
        <v>64.76</v>
      </c>
    </row>
    <row r="7844" customFormat="false" ht="15" hidden="false" customHeight="false" outlineLevel="0" collapsed="false">
      <c r="A7844" s="7" t="s">
        <v>24</v>
      </c>
      <c r="B7844" s="7" t="s">
        <v>133</v>
      </c>
      <c r="C7844" s="7" t="s">
        <v>1184</v>
      </c>
      <c r="D7844" s="7" t="n">
        <v>0</v>
      </c>
      <c r="E7844" s="7" t="n">
        <v>0</v>
      </c>
      <c r="F7844" s="7" t="n">
        <v>2</v>
      </c>
      <c r="G7844" s="7" t="n">
        <v>152.38</v>
      </c>
    </row>
    <row r="7845" customFormat="false" ht="15" hidden="false" customHeight="false" outlineLevel="0" collapsed="false">
      <c r="A7845" s="7" t="s">
        <v>24</v>
      </c>
      <c r="B7845" s="7" t="s">
        <v>133</v>
      </c>
      <c r="C7845" s="7" t="s">
        <v>1184</v>
      </c>
      <c r="D7845" s="7" t="n">
        <v>0</v>
      </c>
      <c r="E7845" s="7" t="n">
        <v>0</v>
      </c>
      <c r="F7845" s="7" t="n">
        <v>1</v>
      </c>
      <c r="G7845" s="7" t="n">
        <v>76.19</v>
      </c>
    </row>
    <row r="7846" customFormat="false" ht="15" hidden="false" customHeight="false" outlineLevel="0" collapsed="false">
      <c r="A7846" s="7" t="s">
        <v>24</v>
      </c>
      <c r="B7846" s="7" t="s">
        <v>133</v>
      </c>
      <c r="C7846" s="7" t="s">
        <v>1184</v>
      </c>
      <c r="D7846" s="7" t="n">
        <v>0</v>
      </c>
      <c r="E7846" s="7" t="n">
        <v>0</v>
      </c>
      <c r="F7846" s="7" t="n">
        <v>1</v>
      </c>
      <c r="G7846" s="7" t="n">
        <v>76.19</v>
      </c>
    </row>
    <row r="7847" customFormat="false" ht="15" hidden="false" customHeight="false" outlineLevel="0" collapsed="false">
      <c r="A7847" s="7" t="s">
        <v>24</v>
      </c>
      <c r="B7847" s="7" t="s">
        <v>575</v>
      </c>
      <c r="C7847" s="7" t="s">
        <v>1185</v>
      </c>
      <c r="D7847" s="7" t="n">
        <v>0</v>
      </c>
      <c r="E7847" s="7" t="n">
        <v>0</v>
      </c>
      <c r="F7847" s="7" t="n">
        <v>2</v>
      </c>
      <c r="G7847" s="7" t="n">
        <v>126.95</v>
      </c>
    </row>
    <row r="7848" customFormat="false" ht="15" hidden="false" customHeight="false" outlineLevel="0" collapsed="false">
      <c r="A7848" s="7" t="s">
        <v>24</v>
      </c>
      <c r="B7848" s="7" t="s">
        <v>575</v>
      </c>
      <c r="C7848" s="7" t="s">
        <v>1185</v>
      </c>
      <c r="D7848" s="7" t="n">
        <v>0</v>
      </c>
      <c r="E7848" s="7" t="n">
        <v>0</v>
      </c>
      <c r="F7848" s="7" t="n">
        <v>1</v>
      </c>
      <c r="G7848" s="7" t="n">
        <v>57.13</v>
      </c>
    </row>
    <row r="7849" customFormat="false" ht="15" hidden="false" customHeight="false" outlineLevel="0" collapsed="false">
      <c r="A7849" s="7" t="s">
        <v>24</v>
      </c>
      <c r="B7849" s="7" t="s">
        <v>575</v>
      </c>
      <c r="C7849" s="7" t="s">
        <v>1185</v>
      </c>
      <c r="D7849" s="7" t="n">
        <v>0</v>
      </c>
      <c r="E7849" s="7" t="n">
        <v>0</v>
      </c>
      <c r="F7849" s="7" t="n">
        <v>1</v>
      </c>
      <c r="G7849" s="7" t="n">
        <v>57.13</v>
      </c>
    </row>
    <row r="7850" customFormat="false" ht="15" hidden="false" customHeight="false" outlineLevel="0" collapsed="false">
      <c r="A7850" s="7" t="s">
        <v>24</v>
      </c>
      <c r="B7850" s="7" t="s">
        <v>575</v>
      </c>
      <c r="C7850" s="7" t="s">
        <v>1185</v>
      </c>
      <c r="D7850" s="7" t="n">
        <v>0</v>
      </c>
      <c r="E7850" s="7" t="n">
        <v>0</v>
      </c>
      <c r="F7850" s="7" t="n">
        <v>1</v>
      </c>
      <c r="G7850" s="7" t="n">
        <v>63.47</v>
      </c>
    </row>
    <row r="7851" customFormat="false" ht="15" hidden="false" customHeight="false" outlineLevel="0" collapsed="false">
      <c r="A7851" s="7" t="s">
        <v>24</v>
      </c>
      <c r="B7851" s="7" t="s">
        <v>575</v>
      </c>
      <c r="C7851" s="7" t="s">
        <v>1185</v>
      </c>
      <c r="D7851" s="7" t="n">
        <v>0</v>
      </c>
      <c r="E7851" s="7" t="n">
        <v>0</v>
      </c>
      <c r="F7851" s="7" t="n">
        <v>1</v>
      </c>
      <c r="G7851" s="7" t="n">
        <v>63.47</v>
      </c>
    </row>
    <row r="7852" customFormat="false" ht="15" hidden="false" customHeight="false" outlineLevel="0" collapsed="false">
      <c r="A7852" s="7" t="s">
        <v>24</v>
      </c>
      <c r="B7852" s="7" t="s">
        <v>575</v>
      </c>
      <c r="C7852" s="7" t="s">
        <v>1185</v>
      </c>
      <c r="D7852" s="7" t="n">
        <v>0</v>
      </c>
      <c r="E7852" s="7" t="n">
        <v>0</v>
      </c>
      <c r="F7852" s="7" t="n">
        <v>1</v>
      </c>
      <c r="G7852" s="7" t="n">
        <v>63.48</v>
      </c>
    </row>
    <row r="7853" customFormat="false" ht="15" hidden="false" customHeight="false" outlineLevel="0" collapsed="false">
      <c r="A7853" s="7" t="s">
        <v>24</v>
      </c>
      <c r="B7853" s="7" t="s">
        <v>575</v>
      </c>
      <c r="C7853" s="7" t="s">
        <v>1185</v>
      </c>
      <c r="D7853" s="7" t="n">
        <v>0</v>
      </c>
      <c r="E7853" s="7" t="n">
        <v>0</v>
      </c>
      <c r="F7853" s="7" t="n">
        <v>1</v>
      </c>
      <c r="G7853" s="7" t="n">
        <v>63.47</v>
      </c>
    </row>
    <row r="7854" customFormat="false" ht="15" hidden="false" customHeight="false" outlineLevel="0" collapsed="false">
      <c r="A7854" s="7" t="s">
        <v>24</v>
      </c>
      <c r="B7854" s="7" t="s">
        <v>575</v>
      </c>
      <c r="C7854" s="7" t="s">
        <v>1185</v>
      </c>
      <c r="D7854" s="7" t="n">
        <v>0</v>
      </c>
      <c r="E7854" s="7" t="n">
        <v>0</v>
      </c>
      <c r="F7854" s="7" t="n">
        <v>1</v>
      </c>
      <c r="G7854" s="7" t="n">
        <v>63.47</v>
      </c>
    </row>
    <row r="7855" customFormat="false" ht="15" hidden="false" customHeight="false" outlineLevel="0" collapsed="false">
      <c r="A7855" s="7" t="s">
        <v>24</v>
      </c>
      <c r="B7855" s="7" t="s">
        <v>575</v>
      </c>
      <c r="C7855" s="7" t="s">
        <v>1185</v>
      </c>
      <c r="D7855" s="7" t="n">
        <v>1</v>
      </c>
      <c r="E7855" s="7" t="n">
        <v>0.01</v>
      </c>
      <c r="F7855" s="7" t="n">
        <v>0</v>
      </c>
      <c r="G7855" s="7" t="n">
        <v>0</v>
      </c>
    </row>
    <row r="7856" customFormat="false" ht="15" hidden="false" customHeight="false" outlineLevel="0" collapsed="false">
      <c r="A7856" s="7" t="s">
        <v>24</v>
      </c>
      <c r="B7856" s="7" t="s">
        <v>575</v>
      </c>
      <c r="C7856" s="7" t="s">
        <v>1185</v>
      </c>
      <c r="D7856" s="7" t="n">
        <v>0</v>
      </c>
      <c r="E7856" s="7" t="n">
        <v>0</v>
      </c>
      <c r="F7856" s="7" t="n">
        <v>2</v>
      </c>
      <c r="G7856" s="7" t="n">
        <v>126.94</v>
      </c>
    </row>
    <row r="7857" customFormat="false" ht="15" hidden="false" customHeight="false" outlineLevel="0" collapsed="false">
      <c r="A7857" s="7" t="s">
        <v>24</v>
      </c>
      <c r="B7857" s="7" t="s">
        <v>575</v>
      </c>
      <c r="C7857" s="7" t="s">
        <v>1185</v>
      </c>
      <c r="D7857" s="7" t="n">
        <v>0</v>
      </c>
      <c r="E7857" s="7" t="n">
        <v>0</v>
      </c>
      <c r="F7857" s="7" t="n">
        <v>1</v>
      </c>
      <c r="G7857" s="7" t="n">
        <v>63.47</v>
      </c>
    </row>
    <row r="7858" customFormat="false" ht="15" hidden="false" customHeight="false" outlineLevel="0" collapsed="false">
      <c r="A7858" s="7" t="s">
        <v>24</v>
      </c>
      <c r="B7858" s="7" t="s">
        <v>575</v>
      </c>
      <c r="C7858" s="7" t="s">
        <v>1185</v>
      </c>
      <c r="D7858" s="7" t="n">
        <v>0</v>
      </c>
      <c r="E7858" s="7" t="n">
        <v>0</v>
      </c>
      <c r="F7858" s="7" t="n">
        <v>2</v>
      </c>
      <c r="G7858" s="7" t="n">
        <v>126.95</v>
      </c>
    </row>
    <row r="7859" customFormat="false" ht="15" hidden="false" customHeight="false" outlineLevel="0" collapsed="false">
      <c r="A7859" s="7" t="s">
        <v>24</v>
      </c>
      <c r="B7859" s="7" t="s">
        <v>575</v>
      </c>
      <c r="C7859" s="7" t="s">
        <v>1185</v>
      </c>
      <c r="D7859" s="7" t="n">
        <v>5</v>
      </c>
      <c r="E7859" s="7" t="n">
        <v>282.38</v>
      </c>
      <c r="F7859" s="7" t="n">
        <v>0</v>
      </c>
      <c r="G7859" s="7" t="n">
        <v>0</v>
      </c>
    </row>
    <row r="7860" customFormat="false" ht="15" hidden="false" customHeight="false" outlineLevel="0" collapsed="false">
      <c r="A7860" s="7" t="s">
        <v>24</v>
      </c>
      <c r="B7860" s="7" t="s">
        <v>575</v>
      </c>
      <c r="C7860" s="7" t="s">
        <v>1185</v>
      </c>
      <c r="D7860" s="7" t="n">
        <v>0</v>
      </c>
      <c r="E7860" s="7" t="n">
        <v>0</v>
      </c>
      <c r="F7860" s="7" t="n">
        <v>1</v>
      </c>
      <c r="G7860" s="7" t="n">
        <v>63.47</v>
      </c>
    </row>
    <row r="7861" customFormat="false" ht="15" hidden="false" customHeight="false" outlineLevel="0" collapsed="false">
      <c r="A7861" s="7" t="s">
        <v>24</v>
      </c>
      <c r="B7861" s="7" t="s">
        <v>575</v>
      </c>
      <c r="C7861" s="7" t="s">
        <v>1185</v>
      </c>
      <c r="D7861" s="7" t="n">
        <v>0</v>
      </c>
      <c r="E7861" s="7" t="n">
        <v>0</v>
      </c>
      <c r="F7861" s="7" t="n">
        <v>1</v>
      </c>
      <c r="G7861" s="7" t="n">
        <v>63.47</v>
      </c>
    </row>
    <row r="7862" customFormat="false" ht="15" hidden="false" customHeight="false" outlineLevel="0" collapsed="false">
      <c r="A7862" s="7" t="s">
        <v>24</v>
      </c>
      <c r="B7862" s="7" t="s">
        <v>575</v>
      </c>
      <c r="C7862" s="7" t="s">
        <v>1185</v>
      </c>
      <c r="D7862" s="7" t="n">
        <v>0</v>
      </c>
      <c r="E7862" s="7" t="n">
        <v>0</v>
      </c>
      <c r="F7862" s="7" t="n">
        <v>1</v>
      </c>
      <c r="G7862" s="7" t="n">
        <v>63.47</v>
      </c>
    </row>
    <row r="7863" customFormat="false" ht="15" hidden="false" customHeight="false" outlineLevel="0" collapsed="false">
      <c r="A7863" s="7" t="s">
        <v>24</v>
      </c>
      <c r="B7863" s="7" t="s">
        <v>575</v>
      </c>
      <c r="C7863" s="7" t="s">
        <v>1185</v>
      </c>
      <c r="D7863" s="7" t="n">
        <v>0</v>
      </c>
      <c r="E7863" s="7" t="n">
        <v>0</v>
      </c>
      <c r="F7863" s="7" t="n">
        <v>2</v>
      </c>
      <c r="G7863" s="7" t="n">
        <v>111.09</v>
      </c>
    </row>
    <row r="7864" customFormat="false" ht="15" hidden="false" customHeight="false" outlineLevel="0" collapsed="false">
      <c r="A7864" s="7" t="s">
        <v>24</v>
      </c>
      <c r="B7864" s="7" t="s">
        <v>575</v>
      </c>
      <c r="C7864" s="7" t="s">
        <v>1185</v>
      </c>
      <c r="D7864" s="7" t="n">
        <v>28</v>
      </c>
      <c r="E7864" s="7" t="n">
        <v>1672.45</v>
      </c>
      <c r="F7864" s="7" t="n">
        <v>9</v>
      </c>
      <c r="G7864" s="7" t="n">
        <v>552.19</v>
      </c>
    </row>
    <row r="7865" customFormat="false" ht="15" hidden="false" customHeight="false" outlineLevel="0" collapsed="false">
      <c r="A7865" s="7" t="s">
        <v>24</v>
      </c>
      <c r="B7865" s="7" t="s">
        <v>746</v>
      </c>
      <c r="C7865" s="7" t="s">
        <v>1186</v>
      </c>
      <c r="D7865" s="7" t="n">
        <v>0</v>
      </c>
      <c r="E7865" s="7" t="n">
        <v>0</v>
      </c>
      <c r="F7865" s="7" t="n">
        <v>2</v>
      </c>
      <c r="G7865" s="7" t="n">
        <v>338.81</v>
      </c>
    </row>
    <row r="7866" customFormat="false" ht="15" hidden="false" customHeight="false" outlineLevel="0" collapsed="false">
      <c r="A7866" s="7" t="s">
        <v>24</v>
      </c>
      <c r="B7866" s="7" t="s">
        <v>746</v>
      </c>
      <c r="C7866" s="7" t="s">
        <v>1186</v>
      </c>
      <c r="D7866" s="7" t="n">
        <v>0</v>
      </c>
      <c r="E7866" s="7" t="n">
        <v>0</v>
      </c>
      <c r="F7866" s="7" t="n">
        <v>4</v>
      </c>
      <c r="G7866" s="7" t="n">
        <v>643.74</v>
      </c>
    </row>
    <row r="7867" customFormat="false" ht="15" hidden="false" customHeight="false" outlineLevel="0" collapsed="false">
      <c r="A7867" s="7" t="s">
        <v>24</v>
      </c>
      <c r="B7867" s="7" t="s">
        <v>746</v>
      </c>
      <c r="C7867" s="7" t="s">
        <v>1186</v>
      </c>
      <c r="D7867" s="7" t="n">
        <v>0</v>
      </c>
      <c r="E7867" s="7" t="n">
        <v>0</v>
      </c>
      <c r="F7867" s="7" t="n">
        <v>2</v>
      </c>
      <c r="G7867" s="7" t="n">
        <v>338.81</v>
      </c>
    </row>
    <row r="7868" customFormat="false" ht="15" hidden="false" customHeight="false" outlineLevel="0" collapsed="false">
      <c r="A7868" s="7" t="s">
        <v>24</v>
      </c>
      <c r="B7868" s="7" t="s">
        <v>746</v>
      </c>
      <c r="C7868" s="7" t="s">
        <v>1186</v>
      </c>
      <c r="D7868" s="7" t="n">
        <v>0</v>
      </c>
      <c r="E7868" s="7" t="n">
        <v>0</v>
      </c>
      <c r="F7868" s="7" t="n">
        <v>1</v>
      </c>
      <c r="G7868" s="7" t="n">
        <v>169.41</v>
      </c>
    </row>
    <row r="7869" customFormat="false" ht="15" hidden="false" customHeight="false" outlineLevel="0" collapsed="false">
      <c r="A7869" s="7" t="s">
        <v>24</v>
      </c>
      <c r="B7869" s="7" t="s">
        <v>746</v>
      </c>
      <c r="C7869" s="7" t="s">
        <v>1186</v>
      </c>
      <c r="D7869" s="7" t="n">
        <v>0</v>
      </c>
      <c r="E7869" s="7" t="n">
        <v>0</v>
      </c>
      <c r="F7869" s="7" t="n">
        <v>1</v>
      </c>
      <c r="G7869" s="7" t="n">
        <v>169.41</v>
      </c>
    </row>
    <row r="7870" customFormat="false" ht="15" hidden="false" customHeight="false" outlineLevel="0" collapsed="false">
      <c r="A7870" s="7" t="s">
        <v>24</v>
      </c>
      <c r="B7870" s="7" t="s">
        <v>746</v>
      </c>
      <c r="C7870" s="7" t="s">
        <v>1186</v>
      </c>
      <c r="D7870" s="7" t="n">
        <v>0</v>
      </c>
      <c r="E7870" s="7" t="n">
        <v>0</v>
      </c>
      <c r="F7870" s="7" t="n">
        <v>1</v>
      </c>
      <c r="G7870" s="7" t="n">
        <v>152.47</v>
      </c>
    </row>
    <row r="7871" customFormat="false" ht="15" hidden="false" customHeight="false" outlineLevel="0" collapsed="false">
      <c r="A7871" s="7" t="s">
        <v>24</v>
      </c>
      <c r="B7871" s="7" t="s">
        <v>746</v>
      </c>
      <c r="C7871" s="7" t="s">
        <v>1186</v>
      </c>
      <c r="D7871" s="7" t="n">
        <v>0</v>
      </c>
      <c r="E7871" s="7" t="n">
        <v>0</v>
      </c>
      <c r="F7871" s="7" t="n">
        <v>1</v>
      </c>
      <c r="G7871" s="7" t="n">
        <v>152.46</v>
      </c>
    </row>
    <row r="7872" customFormat="false" ht="15" hidden="false" customHeight="false" outlineLevel="0" collapsed="false">
      <c r="A7872" s="7" t="s">
        <v>24</v>
      </c>
      <c r="B7872" s="7" t="s">
        <v>746</v>
      </c>
      <c r="C7872" s="7" t="s">
        <v>1186</v>
      </c>
      <c r="D7872" s="7" t="n">
        <v>0</v>
      </c>
      <c r="E7872" s="7" t="n">
        <v>0</v>
      </c>
      <c r="F7872" s="7" t="n">
        <v>1</v>
      </c>
      <c r="G7872" s="7" t="n">
        <v>152.47</v>
      </c>
    </row>
    <row r="7873" customFormat="false" ht="15" hidden="false" customHeight="false" outlineLevel="0" collapsed="false">
      <c r="A7873" s="7" t="s">
        <v>24</v>
      </c>
      <c r="B7873" s="7" t="s">
        <v>746</v>
      </c>
      <c r="C7873" s="7" t="s">
        <v>1186</v>
      </c>
      <c r="D7873" s="7" t="n">
        <v>21</v>
      </c>
      <c r="E7873" s="7" t="n">
        <v>3269.63</v>
      </c>
      <c r="F7873" s="7" t="n">
        <v>5</v>
      </c>
      <c r="G7873" s="7" t="n">
        <v>796.23</v>
      </c>
    </row>
    <row r="7874" customFormat="false" ht="15" hidden="false" customHeight="false" outlineLevel="0" collapsed="false">
      <c r="A7874" s="7" t="s">
        <v>24</v>
      </c>
      <c r="B7874" s="7" t="s">
        <v>746</v>
      </c>
      <c r="C7874" s="7" t="s">
        <v>1186</v>
      </c>
      <c r="D7874" s="7" t="n">
        <v>3</v>
      </c>
      <c r="E7874" s="7" t="n">
        <v>416.21</v>
      </c>
      <c r="F7874" s="7" t="n">
        <v>0</v>
      </c>
      <c r="G7874" s="7" t="n">
        <v>0</v>
      </c>
    </row>
    <row r="7875" customFormat="false" ht="15" hidden="false" customHeight="false" outlineLevel="0" collapsed="false">
      <c r="A7875" s="7" t="s">
        <v>24</v>
      </c>
      <c r="B7875" s="7" t="s">
        <v>746</v>
      </c>
      <c r="C7875" s="7" t="s">
        <v>1186</v>
      </c>
      <c r="D7875" s="7" t="n">
        <v>0</v>
      </c>
      <c r="E7875" s="7" t="n">
        <v>0</v>
      </c>
      <c r="F7875" s="7" t="n">
        <v>1</v>
      </c>
      <c r="G7875" s="7" t="n">
        <v>169.41</v>
      </c>
    </row>
    <row r="7876" customFormat="false" ht="15" hidden="false" customHeight="false" outlineLevel="0" collapsed="false">
      <c r="A7876" s="7" t="s">
        <v>24</v>
      </c>
      <c r="B7876" s="7" t="s">
        <v>746</v>
      </c>
      <c r="C7876" s="7" t="s">
        <v>1186</v>
      </c>
      <c r="D7876" s="7" t="n">
        <v>0</v>
      </c>
      <c r="E7876" s="7" t="n">
        <v>0</v>
      </c>
      <c r="F7876" s="7" t="n">
        <v>1</v>
      </c>
      <c r="G7876" s="7" t="n">
        <v>152.47</v>
      </c>
    </row>
    <row r="7877" customFormat="false" ht="15" hidden="false" customHeight="false" outlineLevel="0" collapsed="false">
      <c r="A7877" s="7" t="s">
        <v>24</v>
      </c>
      <c r="B7877" s="7" t="s">
        <v>746</v>
      </c>
      <c r="C7877" s="7" t="s">
        <v>1186</v>
      </c>
      <c r="D7877" s="7" t="n">
        <v>0</v>
      </c>
      <c r="E7877" s="7" t="n">
        <v>0</v>
      </c>
      <c r="F7877" s="7" t="n">
        <v>1</v>
      </c>
      <c r="G7877" s="7" t="n">
        <v>169.41</v>
      </c>
    </row>
    <row r="7878" customFormat="false" ht="15" hidden="false" customHeight="false" outlineLevel="0" collapsed="false">
      <c r="A7878" s="7" t="s">
        <v>24</v>
      </c>
      <c r="B7878" s="7" t="s">
        <v>746</v>
      </c>
      <c r="C7878" s="7" t="s">
        <v>1186</v>
      </c>
      <c r="D7878" s="7" t="n">
        <v>0</v>
      </c>
      <c r="E7878" s="7" t="n">
        <v>0</v>
      </c>
      <c r="F7878" s="7" t="n">
        <v>1</v>
      </c>
      <c r="G7878" s="7" t="n">
        <v>169.4</v>
      </c>
    </row>
    <row r="7879" customFormat="false" ht="15" hidden="false" customHeight="false" outlineLevel="0" collapsed="false">
      <c r="A7879" s="7" t="s">
        <v>24</v>
      </c>
      <c r="B7879" s="7" t="s">
        <v>746</v>
      </c>
      <c r="C7879" s="7" t="s">
        <v>1186</v>
      </c>
      <c r="D7879" s="7" t="n">
        <v>0</v>
      </c>
      <c r="E7879" s="7" t="n">
        <v>0</v>
      </c>
      <c r="F7879" s="7" t="n">
        <v>1</v>
      </c>
      <c r="G7879" s="7" t="n">
        <v>169.41</v>
      </c>
    </row>
    <row r="7880" customFormat="false" ht="15" hidden="false" customHeight="false" outlineLevel="0" collapsed="false">
      <c r="A7880" s="7" t="s">
        <v>24</v>
      </c>
      <c r="B7880" s="7" t="s">
        <v>123</v>
      </c>
      <c r="C7880" s="7" t="s">
        <v>1298</v>
      </c>
      <c r="D7880" s="7" t="n">
        <v>0</v>
      </c>
      <c r="E7880" s="7" t="n">
        <v>0</v>
      </c>
      <c r="F7880" s="7" t="n">
        <v>1</v>
      </c>
      <c r="G7880" s="7" t="n">
        <v>400.35</v>
      </c>
    </row>
    <row r="7881" customFormat="false" ht="15" hidden="false" customHeight="false" outlineLevel="0" collapsed="false">
      <c r="A7881" s="7" t="s">
        <v>24</v>
      </c>
      <c r="B7881" s="7" t="s">
        <v>123</v>
      </c>
      <c r="C7881" s="7" t="s">
        <v>1298</v>
      </c>
      <c r="D7881" s="7" t="n">
        <v>0</v>
      </c>
      <c r="E7881" s="7" t="n">
        <v>0</v>
      </c>
      <c r="F7881" s="7" t="n">
        <v>1</v>
      </c>
      <c r="G7881" s="7" t="n">
        <v>400.34</v>
      </c>
    </row>
    <row r="7882" customFormat="false" ht="15" hidden="false" customHeight="false" outlineLevel="0" collapsed="false">
      <c r="A7882" s="7" t="s">
        <v>24</v>
      </c>
      <c r="B7882" s="7" t="s">
        <v>123</v>
      </c>
      <c r="C7882" s="7" t="s">
        <v>1298</v>
      </c>
      <c r="D7882" s="7" t="n">
        <v>0</v>
      </c>
      <c r="E7882" s="7" t="n">
        <v>0</v>
      </c>
      <c r="F7882" s="7" t="n">
        <v>1</v>
      </c>
      <c r="G7882" s="7" t="n">
        <v>400.34</v>
      </c>
    </row>
    <row r="7883" customFormat="false" ht="15" hidden="false" customHeight="false" outlineLevel="0" collapsed="false">
      <c r="A7883" s="7" t="s">
        <v>24</v>
      </c>
      <c r="B7883" s="7" t="s">
        <v>123</v>
      </c>
      <c r="C7883" s="7" t="s">
        <v>1298</v>
      </c>
      <c r="D7883" s="7" t="n">
        <v>0</v>
      </c>
      <c r="E7883" s="7" t="n">
        <v>0</v>
      </c>
      <c r="F7883" s="7" t="n">
        <v>1</v>
      </c>
      <c r="G7883" s="7" t="n">
        <v>400.35</v>
      </c>
    </row>
    <row r="7884" customFormat="false" ht="15" hidden="false" customHeight="false" outlineLevel="0" collapsed="false">
      <c r="A7884" s="7" t="s">
        <v>24</v>
      </c>
      <c r="B7884" s="7" t="s">
        <v>123</v>
      </c>
      <c r="C7884" s="7" t="s">
        <v>1298</v>
      </c>
      <c r="D7884" s="7" t="n">
        <v>0</v>
      </c>
      <c r="E7884" s="7" t="n">
        <v>0</v>
      </c>
      <c r="F7884" s="7" t="n">
        <v>1</v>
      </c>
      <c r="G7884" s="7" t="n">
        <v>444.83</v>
      </c>
    </row>
    <row r="7885" customFormat="false" ht="15" hidden="false" customHeight="false" outlineLevel="0" collapsed="false">
      <c r="A7885" s="7" t="s">
        <v>24</v>
      </c>
      <c r="B7885" s="7" t="s">
        <v>123</v>
      </c>
      <c r="C7885" s="7" t="s">
        <v>1298</v>
      </c>
      <c r="D7885" s="7" t="n">
        <v>0</v>
      </c>
      <c r="E7885" s="7" t="n">
        <v>0</v>
      </c>
      <c r="F7885" s="7" t="n">
        <v>6</v>
      </c>
      <c r="G7885" s="7" t="n">
        <v>2624.5</v>
      </c>
    </row>
    <row r="7886" customFormat="false" ht="15" hidden="false" customHeight="false" outlineLevel="0" collapsed="false">
      <c r="A7886" s="7" t="s">
        <v>24</v>
      </c>
      <c r="B7886" s="7" t="s">
        <v>123</v>
      </c>
      <c r="C7886" s="7" t="s">
        <v>1298</v>
      </c>
      <c r="D7886" s="7" t="n">
        <v>0</v>
      </c>
      <c r="E7886" s="7" t="n">
        <v>0</v>
      </c>
      <c r="F7886" s="7" t="n">
        <v>1</v>
      </c>
      <c r="G7886" s="7" t="n">
        <v>444.83</v>
      </c>
    </row>
    <row r="7887" customFormat="false" ht="15" hidden="false" customHeight="false" outlineLevel="0" collapsed="false">
      <c r="A7887" s="7" t="s">
        <v>24</v>
      </c>
      <c r="B7887" s="7" t="s">
        <v>123</v>
      </c>
      <c r="C7887" s="7" t="s">
        <v>1298</v>
      </c>
      <c r="D7887" s="7" t="n">
        <v>0</v>
      </c>
      <c r="E7887" s="7" t="n">
        <v>0</v>
      </c>
      <c r="F7887" s="7" t="n">
        <v>1</v>
      </c>
      <c r="G7887" s="7" t="n">
        <v>444.83</v>
      </c>
    </row>
    <row r="7888" customFormat="false" ht="15" hidden="false" customHeight="false" outlineLevel="0" collapsed="false">
      <c r="A7888" s="7" t="s">
        <v>24</v>
      </c>
      <c r="B7888" s="7" t="s">
        <v>123</v>
      </c>
      <c r="C7888" s="7" t="s">
        <v>1298</v>
      </c>
      <c r="D7888" s="7" t="n">
        <v>0</v>
      </c>
      <c r="E7888" s="7" t="n">
        <v>0</v>
      </c>
      <c r="F7888" s="7" t="n">
        <v>2</v>
      </c>
      <c r="G7888" s="7" t="n">
        <v>129.32</v>
      </c>
    </row>
    <row r="7889" customFormat="false" ht="15" hidden="false" customHeight="false" outlineLevel="0" collapsed="false">
      <c r="A7889" s="7" t="s">
        <v>24</v>
      </c>
      <c r="B7889" s="7" t="s">
        <v>123</v>
      </c>
      <c r="C7889" s="7" t="s">
        <v>1298</v>
      </c>
      <c r="D7889" s="7" t="n">
        <v>0</v>
      </c>
      <c r="E7889" s="7" t="n">
        <v>0</v>
      </c>
      <c r="F7889" s="7" t="n">
        <v>1</v>
      </c>
      <c r="G7889" s="7" t="n">
        <v>444.83</v>
      </c>
    </row>
    <row r="7890" customFormat="false" ht="15" hidden="false" customHeight="false" outlineLevel="0" collapsed="false">
      <c r="A7890" s="7" t="s">
        <v>24</v>
      </c>
      <c r="B7890" s="7" t="s">
        <v>123</v>
      </c>
      <c r="C7890" s="7" t="s">
        <v>1298</v>
      </c>
      <c r="D7890" s="7" t="n">
        <v>0</v>
      </c>
      <c r="E7890" s="7" t="n">
        <v>0</v>
      </c>
      <c r="F7890" s="7" t="n">
        <v>1</v>
      </c>
      <c r="G7890" s="7" t="n">
        <v>444.83</v>
      </c>
    </row>
    <row r="7891" customFormat="false" ht="15" hidden="false" customHeight="false" outlineLevel="0" collapsed="false">
      <c r="A7891" s="7" t="s">
        <v>24</v>
      </c>
      <c r="B7891" s="7" t="s">
        <v>123</v>
      </c>
      <c r="C7891" s="7" t="s">
        <v>1298</v>
      </c>
      <c r="D7891" s="7" t="n">
        <v>0</v>
      </c>
      <c r="E7891" s="7" t="n">
        <v>0</v>
      </c>
      <c r="F7891" s="7" t="n">
        <v>2</v>
      </c>
      <c r="G7891" s="7" t="n">
        <v>800.7</v>
      </c>
    </row>
    <row r="7892" customFormat="false" ht="15" hidden="false" customHeight="false" outlineLevel="0" collapsed="false">
      <c r="A7892" s="7" t="s">
        <v>24</v>
      </c>
      <c r="B7892" s="7" t="s">
        <v>123</v>
      </c>
      <c r="C7892" s="7" t="s">
        <v>1298</v>
      </c>
      <c r="D7892" s="7" t="n">
        <v>0</v>
      </c>
      <c r="E7892" s="7" t="n">
        <v>0</v>
      </c>
      <c r="F7892" s="7" t="n">
        <v>1</v>
      </c>
      <c r="G7892" s="7" t="n">
        <v>400.35</v>
      </c>
    </row>
    <row r="7893" customFormat="false" ht="15" hidden="false" customHeight="false" outlineLevel="0" collapsed="false">
      <c r="A7893" s="7" t="s">
        <v>24</v>
      </c>
      <c r="B7893" s="7" t="s">
        <v>280</v>
      </c>
      <c r="C7893" s="7" t="s">
        <v>1299</v>
      </c>
      <c r="D7893" s="7" t="n">
        <v>0</v>
      </c>
      <c r="E7893" s="7" t="n">
        <v>0</v>
      </c>
      <c r="F7893" s="7" t="n">
        <v>1</v>
      </c>
      <c r="G7893" s="7" t="n">
        <v>84.66</v>
      </c>
    </row>
    <row r="7894" customFormat="false" ht="15" hidden="false" customHeight="false" outlineLevel="0" collapsed="false">
      <c r="A7894" s="7" t="s">
        <v>24</v>
      </c>
      <c r="B7894" s="7" t="s">
        <v>280</v>
      </c>
      <c r="C7894" s="7" t="s">
        <v>1299</v>
      </c>
      <c r="D7894" s="7" t="n">
        <v>32</v>
      </c>
      <c r="E7894" s="7" t="n">
        <v>2510.17</v>
      </c>
      <c r="F7894" s="7" t="n">
        <v>11</v>
      </c>
      <c r="G7894" s="7" t="n">
        <v>897.4</v>
      </c>
    </row>
    <row r="7895" customFormat="false" ht="15" hidden="false" customHeight="false" outlineLevel="0" collapsed="false">
      <c r="A7895" s="7" t="s">
        <v>24</v>
      </c>
      <c r="B7895" s="7" t="s">
        <v>280</v>
      </c>
      <c r="C7895" s="7" t="s">
        <v>1299</v>
      </c>
      <c r="D7895" s="7" t="n">
        <v>0</v>
      </c>
      <c r="E7895" s="7" t="n">
        <v>0</v>
      </c>
      <c r="F7895" s="7" t="n">
        <v>1</v>
      </c>
      <c r="G7895" s="7" t="n">
        <v>76.19</v>
      </c>
    </row>
    <row r="7896" customFormat="false" ht="15" hidden="false" customHeight="false" outlineLevel="0" collapsed="false">
      <c r="A7896" s="7" t="s">
        <v>24</v>
      </c>
      <c r="B7896" s="7" t="s">
        <v>280</v>
      </c>
      <c r="C7896" s="7" t="s">
        <v>1299</v>
      </c>
      <c r="D7896" s="7" t="n">
        <v>0</v>
      </c>
      <c r="E7896" s="7" t="n">
        <v>0</v>
      </c>
      <c r="F7896" s="7" t="n">
        <v>1</v>
      </c>
      <c r="G7896" s="7" t="n">
        <v>84.66</v>
      </c>
    </row>
    <row r="7897" customFormat="false" ht="15" hidden="false" customHeight="false" outlineLevel="0" collapsed="false">
      <c r="A7897" s="7" t="s">
        <v>24</v>
      </c>
      <c r="B7897" s="7" t="s">
        <v>280</v>
      </c>
      <c r="C7897" s="7" t="s">
        <v>1299</v>
      </c>
      <c r="D7897" s="7" t="n">
        <v>0</v>
      </c>
      <c r="E7897" s="7" t="n">
        <v>0</v>
      </c>
      <c r="F7897" s="7" t="n">
        <v>1</v>
      </c>
      <c r="G7897" s="7" t="n">
        <v>76.19</v>
      </c>
    </row>
    <row r="7898" customFormat="false" ht="15" hidden="false" customHeight="false" outlineLevel="0" collapsed="false">
      <c r="A7898" s="7" t="s">
        <v>24</v>
      </c>
      <c r="B7898" s="7" t="s">
        <v>280</v>
      </c>
      <c r="C7898" s="7" t="s">
        <v>1299</v>
      </c>
      <c r="D7898" s="7" t="n">
        <v>0</v>
      </c>
      <c r="E7898" s="7" t="n">
        <v>0</v>
      </c>
      <c r="F7898" s="7" t="n">
        <v>1</v>
      </c>
      <c r="G7898" s="7" t="n">
        <v>76.19</v>
      </c>
    </row>
    <row r="7899" customFormat="false" ht="15" hidden="false" customHeight="false" outlineLevel="0" collapsed="false">
      <c r="A7899" s="7" t="s">
        <v>24</v>
      </c>
      <c r="B7899" s="7" t="s">
        <v>280</v>
      </c>
      <c r="C7899" s="7" t="s">
        <v>1299</v>
      </c>
      <c r="D7899" s="7" t="n">
        <v>0</v>
      </c>
      <c r="E7899" s="7" t="n">
        <v>0</v>
      </c>
      <c r="F7899" s="7" t="n">
        <v>3</v>
      </c>
      <c r="G7899" s="7" t="n">
        <v>228.58</v>
      </c>
    </row>
    <row r="7900" customFormat="false" ht="15" hidden="false" customHeight="false" outlineLevel="0" collapsed="false">
      <c r="A7900" s="7" t="s">
        <v>24</v>
      </c>
      <c r="B7900" s="7" t="s">
        <v>280</v>
      </c>
      <c r="C7900" s="7" t="s">
        <v>1299</v>
      </c>
      <c r="D7900" s="7" t="n">
        <v>0</v>
      </c>
      <c r="E7900" s="7" t="n">
        <v>0</v>
      </c>
      <c r="F7900" s="7" t="n">
        <v>1</v>
      </c>
      <c r="G7900" s="7" t="n">
        <v>84.66</v>
      </c>
    </row>
    <row r="7901" customFormat="false" ht="15" hidden="false" customHeight="false" outlineLevel="0" collapsed="false">
      <c r="A7901" s="7" t="s">
        <v>24</v>
      </c>
      <c r="B7901" s="7" t="s">
        <v>280</v>
      </c>
      <c r="C7901" s="7" t="s">
        <v>1299</v>
      </c>
      <c r="D7901" s="7" t="n">
        <v>9</v>
      </c>
      <c r="E7901" s="7" t="n">
        <v>647.07</v>
      </c>
      <c r="F7901" s="7" t="n">
        <v>0</v>
      </c>
      <c r="G7901" s="7" t="n">
        <v>0</v>
      </c>
    </row>
    <row r="7902" customFormat="false" ht="15" hidden="false" customHeight="false" outlineLevel="0" collapsed="false">
      <c r="A7902" s="7" t="s">
        <v>24</v>
      </c>
      <c r="B7902" s="7" t="s">
        <v>280</v>
      </c>
      <c r="C7902" s="7" t="s">
        <v>1299</v>
      </c>
      <c r="D7902" s="7" t="n">
        <v>0</v>
      </c>
      <c r="E7902" s="7" t="n">
        <v>0</v>
      </c>
      <c r="F7902" s="7" t="n">
        <v>1</v>
      </c>
      <c r="G7902" s="7" t="n">
        <v>76.2</v>
      </c>
    </row>
    <row r="7903" customFormat="false" ht="15" hidden="false" customHeight="false" outlineLevel="0" collapsed="false">
      <c r="A7903" s="7" t="s">
        <v>24</v>
      </c>
      <c r="B7903" s="7" t="s">
        <v>280</v>
      </c>
      <c r="C7903" s="7" t="s">
        <v>1299</v>
      </c>
      <c r="D7903" s="7" t="n">
        <v>0</v>
      </c>
      <c r="E7903" s="7" t="n">
        <v>0</v>
      </c>
      <c r="F7903" s="7" t="n">
        <v>1</v>
      </c>
      <c r="G7903" s="7" t="n">
        <v>76.19</v>
      </c>
    </row>
    <row r="7904" customFormat="false" ht="15" hidden="false" customHeight="false" outlineLevel="0" collapsed="false">
      <c r="A7904" s="7" t="s">
        <v>24</v>
      </c>
      <c r="B7904" s="7" t="s">
        <v>280</v>
      </c>
      <c r="C7904" s="7" t="s">
        <v>1299</v>
      </c>
      <c r="D7904" s="7" t="n">
        <v>0</v>
      </c>
      <c r="E7904" s="7" t="n">
        <v>0</v>
      </c>
      <c r="F7904" s="7" t="n">
        <v>1</v>
      </c>
      <c r="G7904" s="7" t="n">
        <v>84.66</v>
      </c>
    </row>
    <row r="7905" customFormat="false" ht="15" hidden="false" customHeight="false" outlineLevel="0" collapsed="false">
      <c r="A7905" s="7" t="s">
        <v>24</v>
      </c>
      <c r="B7905" s="7" t="s">
        <v>280</v>
      </c>
      <c r="C7905" s="7" t="s">
        <v>1299</v>
      </c>
      <c r="D7905" s="7" t="n">
        <v>0</v>
      </c>
      <c r="E7905" s="7" t="n">
        <v>0</v>
      </c>
      <c r="F7905" s="7" t="n">
        <v>2</v>
      </c>
      <c r="G7905" s="7" t="n">
        <v>156.63</v>
      </c>
    </row>
    <row r="7906" customFormat="false" ht="15" hidden="false" customHeight="false" outlineLevel="0" collapsed="false">
      <c r="A7906" s="7" t="s">
        <v>24</v>
      </c>
      <c r="B7906" s="7" t="s">
        <v>280</v>
      </c>
      <c r="C7906" s="7" t="s">
        <v>1299</v>
      </c>
      <c r="D7906" s="7" t="n">
        <v>0</v>
      </c>
      <c r="E7906" s="7" t="n">
        <v>0</v>
      </c>
      <c r="F7906" s="7" t="n">
        <v>1</v>
      </c>
      <c r="G7906" s="7" t="n">
        <v>66</v>
      </c>
    </row>
    <row r="7907" customFormat="false" ht="15" hidden="false" customHeight="false" outlineLevel="0" collapsed="false">
      <c r="A7907" s="7" t="s">
        <v>24</v>
      </c>
      <c r="B7907" s="7" t="s">
        <v>280</v>
      </c>
      <c r="C7907" s="7" t="s">
        <v>1299</v>
      </c>
      <c r="D7907" s="7" t="n">
        <v>0</v>
      </c>
      <c r="E7907" s="7" t="n">
        <v>0</v>
      </c>
      <c r="F7907" s="7" t="n">
        <v>1</v>
      </c>
      <c r="G7907" s="7" t="n">
        <v>76.2</v>
      </c>
    </row>
    <row r="7908" customFormat="false" ht="15" hidden="false" customHeight="false" outlineLevel="0" collapsed="false">
      <c r="A7908" s="7" t="s">
        <v>24</v>
      </c>
      <c r="B7908" s="7" t="s">
        <v>732</v>
      </c>
      <c r="C7908" s="7" t="s">
        <v>1249</v>
      </c>
      <c r="D7908" s="7" t="n">
        <v>1</v>
      </c>
      <c r="E7908" s="7" t="n">
        <v>68.56</v>
      </c>
      <c r="F7908" s="7" t="n">
        <v>0</v>
      </c>
      <c r="G7908" s="7" t="n">
        <v>0</v>
      </c>
    </row>
    <row r="7909" customFormat="false" ht="15" hidden="false" customHeight="false" outlineLevel="0" collapsed="false">
      <c r="A7909" s="7" t="s">
        <v>24</v>
      </c>
      <c r="B7909" s="7" t="s">
        <v>210</v>
      </c>
      <c r="C7909" s="7" t="s">
        <v>1300</v>
      </c>
      <c r="D7909" s="7" t="n">
        <v>0</v>
      </c>
      <c r="E7909" s="7" t="n">
        <v>0</v>
      </c>
      <c r="F7909" s="7" t="n">
        <v>1</v>
      </c>
      <c r="G7909" s="7" t="n">
        <v>200.76</v>
      </c>
    </row>
    <row r="7910" customFormat="false" ht="15" hidden="false" customHeight="false" outlineLevel="0" collapsed="false">
      <c r="A7910" s="7" t="s">
        <v>24</v>
      </c>
      <c r="B7910" s="7" t="s">
        <v>210</v>
      </c>
      <c r="C7910" s="7" t="s">
        <v>1300</v>
      </c>
      <c r="D7910" s="7" t="n">
        <v>5</v>
      </c>
      <c r="E7910" s="7" t="n">
        <v>893.39</v>
      </c>
      <c r="F7910" s="7" t="n">
        <v>6</v>
      </c>
      <c r="G7910" s="7" t="n">
        <v>1184.48</v>
      </c>
    </row>
    <row r="7911" customFormat="false" ht="15" hidden="false" customHeight="false" outlineLevel="0" collapsed="false">
      <c r="A7911" s="7" t="s">
        <v>24</v>
      </c>
      <c r="B7911" s="7" t="s">
        <v>210</v>
      </c>
      <c r="C7911" s="7" t="s">
        <v>1300</v>
      </c>
      <c r="D7911" s="7" t="n">
        <v>0</v>
      </c>
      <c r="E7911" s="7" t="n">
        <v>0</v>
      </c>
      <c r="F7911" s="7" t="n">
        <v>1</v>
      </c>
      <c r="G7911" s="7" t="n">
        <v>200.76</v>
      </c>
    </row>
    <row r="7912" customFormat="false" ht="15" hidden="false" customHeight="false" outlineLevel="0" collapsed="false">
      <c r="A7912" s="7" t="s">
        <v>24</v>
      </c>
      <c r="B7912" s="7" t="s">
        <v>210</v>
      </c>
      <c r="C7912" s="7" t="s">
        <v>1300</v>
      </c>
      <c r="D7912" s="7" t="n">
        <v>0</v>
      </c>
      <c r="E7912" s="7" t="n">
        <v>0</v>
      </c>
      <c r="F7912" s="7" t="n">
        <v>1</v>
      </c>
      <c r="G7912" s="7" t="n">
        <v>170.65</v>
      </c>
    </row>
    <row r="7913" customFormat="false" ht="15" hidden="false" customHeight="false" outlineLevel="0" collapsed="false">
      <c r="A7913" s="7" t="s">
        <v>24</v>
      </c>
      <c r="B7913" s="7" t="s">
        <v>210</v>
      </c>
      <c r="C7913" s="7" t="s">
        <v>1300</v>
      </c>
      <c r="D7913" s="7" t="n">
        <v>0</v>
      </c>
      <c r="E7913" s="7" t="n">
        <v>0</v>
      </c>
      <c r="F7913" s="7" t="n">
        <v>1</v>
      </c>
      <c r="G7913" s="7" t="n">
        <v>200.76</v>
      </c>
    </row>
    <row r="7914" customFormat="false" ht="15" hidden="false" customHeight="false" outlineLevel="0" collapsed="false">
      <c r="A7914" s="7" t="s">
        <v>24</v>
      </c>
      <c r="B7914" s="7" t="s">
        <v>210</v>
      </c>
      <c r="C7914" s="7" t="s">
        <v>1300</v>
      </c>
      <c r="D7914" s="7" t="n">
        <v>0</v>
      </c>
      <c r="E7914" s="7" t="n">
        <v>0</v>
      </c>
      <c r="F7914" s="7" t="n">
        <v>1</v>
      </c>
      <c r="G7914" s="7" t="n">
        <v>200.76</v>
      </c>
    </row>
    <row r="7915" customFormat="false" ht="15" hidden="false" customHeight="false" outlineLevel="0" collapsed="false">
      <c r="A7915" s="7" t="s">
        <v>24</v>
      </c>
      <c r="B7915" s="7" t="s">
        <v>210</v>
      </c>
      <c r="C7915" s="7" t="s">
        <v>1300</v>
      </c>
      <c r="D7915" s="7" t="n">
        <v>0</v>
      </c>
      <c r="E7915" s="7" t="n">
        <v>0</v>
      </c>
      <c r="F7915" s="7" t="n">
        <v>1</v>
      </c>
      <c r="G7915" s="7" t="n">
        <v>200.77</v>
      </c>
    </row>
    <row r="7916" customFormat="false" ht="15" hidden="false" customHeight="false" outlineLevel="0" collapsed="false">
      <c r="A7916" s="7" t="s">
        <v>24</v>
      </c>
      <c r="B7916" s="7" t="s">
        <v>210</v>
      </c>
      <c r="C7916" s="7" t="s">
        <v>1300</v>
      </c>
      <c r="D7916" s="7" t="n">
        <v>0</v>
      </c>
      <c r="E7916" s="7" t="n">
        <v>0</v>
      </c>
      <c r="F7916" s="7" t="n">
        <v>1</v>
      </c>
      <c r="G7916" s="7" t="n">
        <v>180.69</v>
      </c>
    </row>
    <row r="7917" customFormat="false" ht="15" hidden="false" customHeight="false" outlineLevel="0" collapsed="false">
      <c r="A7917" s="7" t="s">
        <v>24</v>
      </c>
      <c r="B7917" s="7" t="s">
        <v>744</v>
      </c>
      <c r="C7917" s="7" t="s">
        <v>1300</v>
      </c>
      <c r="D7917" s="7" t="n">
        <v>7</v>
      </c>
      <c r="E7917" s="7" t="n">
        <v>1304.95</v>
      </c>
      <c r="F7917" s="7" t="n">
        <v>4</v>
      </c>
      <c r="G7917" s="7" t="n">
        <v>803.04</v>
      </c>
    </row>
    <row r="7918" customFormat="false" ht="15" hidden="false" customHeight="false" outlineLevel="0" collapsed="false">
      <c r="A7918" s="7" t="s">
        <v>24</v>
      </c>
      <c r="B7918" s="7" t="s">
        <v>744</v>
      </c>
      <c r="C7918" s="7" t="s">
        <v>1300</v>
      </c>
      <c r="D7918" s="7" t="n">
        <v>0</v>
      </c>
      <c r="E7918" s="7" t="n">
        <v>0</v>
      </c>
      <c r="F7918" s="7" t="n">
        <v>1</v>
      </c>
      <c r="G7918" s="7" t="n">
        <v>200.76</v>
      </c>
    </row>
    <row r="7919" customFormat="false" ht="15" hidden="false" customHeight="false" outlineLevel="0" collapsed="false">
      <c r="A7919" s="7" t="s">
        <v>24</v>
      </c>
      <c r="B7919" s="7" t="s">
        <v>744</v>
      </c>
      <c r="C7919" s="7" t="s">
        <v>1300</v>
      </c>
      <c r="D7919" s="7" t="n">
        <v>0</v>
      </c>
      <c r="E7919" s="7" t="n">
        <v>0</v>
      </c>
      <c r="F7919" s="7" t="n">
        <v>1</v>
      </c>
      <c r="G7919" s="7" t="n">
        <v>180.69</v>
      </c>
    </row>
    <row r="7920" customFormat="false" ht="15" hidden="false" customHeight="false" outlineLevel="0" collapsed="false">
      <c r="A7920" s="7" t="s">
        <v>24</v>
      </c>
      <c r="B7920" s="7" t="s">
        <v>744</v>
      </c>
      <c r="C7920" s="7" t="s">
        <v>1300</v>
      </c>
      <c r="D7920" s="7" t="n">
        <v>0</v>
      </c>
      <c r="E7920" s="7" t="n">
        <v>0</v>
      </c>
      <c r="F7920" s="7" t="n">
        <v>1</v>
      </c>
      <c r="G7920" s="7" t="n">
        <v>180.69</v>
      </c>
    </row>
    <row r="7921" customFormat="false" ht="15" hidden="false" customHeight="false" outlineLevel="0" collapsed="false">
      <c r="A7921" s="7" t="s">
        <v>24</v>
      </c>
      <c r="B7921" s="7" t="s">
        <v>365</v>
      </c>
      <c r="C7921" s="7" t="s">
        <v>1300</v>
      </c>
      <c r="D7921" s="7" t="n">
        <v>1</v>
      </c>
      <c r="E7921" s="7" t="n">
        <v>200.76</v>
      </c>
      <c r="F7921" s="7" t="n">
        <v>3</v>
      </c>
      <c r="G7921" s="7" t="n">
        <v>602.28</v>
      </c>
    </row>
    <row r="7922" customFormat="false" ht="15" hidden="false" customHeight="false" outlineLevel="0" collapsed="false">
      <c r="A7922" s="7" t="s">
        <v>24</v>
      </c>
      <c r="B7922" s="7" t="s">
        <v>365</v>
      </c>
      <c r="C7922" s="7" t="s">
        <v>1300</v>
      </c>
      <c r="D7922" s="7" t="n">
        <v>0</v>
      </c>
      <c r="E7922" s="7" t="n">
        <v>0</v>
      </c>
      <c r="F7922" s="7" t="n">
        <v>1</v>
      </c>
      <c r="G7922" s="7" t="n">
        <v>200.77</v>
      </c>
    </row>
    <row r="7923" customFormat="false" ht="15" hidden="false" customHeight="false" outlineLevel="0" collapsed="false">
      <c r="A7923" s="7" t="s">
        <v>24</v>
      </c>
      <c r="B7923" s="7" t="s">
        <v>256</v>
      </c>
      <c r="C7923" s="7" t="s">
        <v>1300</v>
      </c>
      <c r="D7923" s="7" t="n">
        <v>0</v>
      </c>
      <c r="E7923" s="7" t="n">
        <v>0</v>
      </c>
      <c r="F7923" s="7" t="n">
        <v>3</v>
      </c>
      <c r="G7923" s="7" t="n">
        <v>602.28</v>
      </c>
    </row>
    <row r="7924" customFormat="false" ht="15" hidden="false" customHeight="false" outlineLevel="0" collapsed="false">
      <c r="A7924" s="7" t="s">
        <v>24</v>
      </c>
      <c r="B7924" s="7" t="s">
        <v>256</v>
      </c>
      <c r="C7924" s="7" t="s">
        <v>1300</v>
      </c>
      <c r="D7924" s="7" t="n">
        <v>0</v>
      </c>
      <c r="E7924" s="7" t="n">
        <v>0</v>
      </c>
      <c r="F7924" s="7" t="n">
        <v>1</v>
      </c>
      <c r="G7924" s="7" t="n">
        <v>200.76</v>
      </c>
    </row>
    <row r="7925" customFormat="false" ht="15" hidden="false" customHeight="false" outlineLevel="0" collapsed="false">
      <c r="A7925" s="7" t="s">
        <v>24</v>
      </c>
      <c r="B7925" s="7" t="s">
        <v>256</v>
      </c>
      <c r="C7925" s="7" t="s">
        <v>1300</v>
      </c>
      <c r="D7925" s="7" t="n">
        <v>0</v>
      </c>
      <c r="E7925" s="7" t="n">
        <v>0</v>
      </c>
      <c r="F7925" s="7" t="n">
        <v>1</v>
      </c>
      <c r="G7925" s="7" t="n">
        <v>200.77</v>
      </c>
    </row>
    <row r="7926" customFormat="false" ht="15" hidden="false" customHeight="false" outlineLevel="0" collapsed="false">
      <c r="A7926" s="7" t="s">
        <v>24</v>
      </c>
      <c r="B7926" s="7" t="s">
        <v>256</v>
      </c>
      <c r="C7926" s="7" t="s">
        <v>1300</v>
      </c>
      <c r="D7926" s="7" t="n">
        <v>0</v>
      </c>
      <c r="E7926" s="7" t="n">
        <v>0</v>
      </c>
      <c r="F7926" s="7" t="n">
        <v>1</v>
      </c>
      <c r="G7926" s="7" t="n">
        <v>200.76</v>
      </c>
    </row>
    <row r="7927" customFormat="false" ht="15" hidden="false" customHeight="false" outlineLevel="0" collapsed="false">
      <c r="A7927" s="7" t="s">
        <v>24</v>
      </c>
      <c r="B7927" s="7" t="s">
        <v>611</v>
      </c>
      <c r="C7927" s="7" t="s">
        <v>1300</v>
      </c>
      <c r="D7927" s="7" t="n">
        <v>6</v>
      </c>
      <c r="E7927" s="7" t="n">
        <v>1114.23</v>
      </c>
      <c r="F7927" s="7" t="n">
        <v>3</v>
      </c>
      <c r="G7927" s="7" t="n">
        <v>552.09</v>
      </c>
    </row>
    <row r="7928" customFormat="false" ht="15" hidden="false" customHeight="false" outlineLevel="0" collapsed="false">
      <c r="A7928" s="7" t="s">
        <v>24</v>
      </c>
      <c r="B7928" s="7" t="s">
        <v>611</v>
      </c>
      <c r="C7928" s="7" t="s">
        <v>1300</v>
      </c>
      <c r="D7928" s="7" t="n">
        <v>0</v>
      </c>
      <c r="E7928" s="7" t="n">
        <v>0</v>
      </c>
      <c r="F7928" s="7" t="n">
        <v>1</v>
      </c>
      <c r="G7928" s="7" t="n">
        <v>170.66</v>
      </c>
    </row>
    <row r="7929" customFormat="false" ht="15" hidden="false" customHeight="false" outlineLevel="0" collapsed="false">
      <c r="A7929" s="7" t="s">
        <v>24</v>
      </c>
      <c r="B7929" s="7" t="s">
        <v>611</v>
      </c>
      <c r="C7929" s="7" t="s">
        <v>1300</v>
      </c>
      <c r="D7929" s="7" t="n">
        <v>0</v>
      </c>
      <c r="E7929" s="7" t="n">
        <v>0</v>
      </c>
      <c r="F7929" s="7" t="n">
        <v>1</v>
      </c>
      <c r="G7929" s="7" t="n">
        <v>200.76</v>
      </c>
    </row>
    <row r="7930" customFormat="false" ht="15" hidden="false" customHeight="false" outlineLevel="0" collapsed="false">
      <c r="A7930" s="7" t="s">
        <v>24</v>
      </c>
      <c r="B7930" s="7" t="s">
        <v>359</v>
      </c>
      <c r="C7930" s="7" t="s">
        <v>1036</v>
      </c>
      <c r="D7930" s="7" t="n">
        <v>4</v>
      </c>
      <c r="E7930" s="7" t="n">
        <v>633.06</v>
      </c>
      <c r="F7930" s="7" t="n">
        <v>0</v>
      </c>
      <c r="G7930" s="7" t="n">
        <v>0</v>
      </c>
    </row>
    <row r="7931" customFormat="false" ht="15" hidden="false" customHeight="false" outlineLevel="0" collapsed="false">
      <c r="A7931" s="7" t="s">
        <v>24</v>
      </c>
      <c r="B7931" s="7" t="s">
        <v>440</v>
      </c>
      <c r="C7931" s="7" t="s">
        <v>1036</v>
      </c>
      <c r="D7931" s="7" t="n">
        <v>0</v>
      </c>
      <c r="E7931" s="7" t="n">
        <v>0</v>
      </c>
      <c r="F7931" s="7" t="n">
        <v>1</v>
      </c>
      <c r="G7931" s="7" t="n">
        <v>171.1</v>
      </c>
    </row>
    <row r="7932" customFormat="false" ht="15" hidden="false" customHeight="false" outlineLevel="0" collapsed="false">
      <c r="A7932" s="7" t="s">
        <v>24</v>
      </c>
      <c r="B7932" s="7" t="s">
        <v>440</v>
      </c>
      <c r="C7932" s="7" t="s">
        <v>1036</v>
      </c>
      <c r="D7932" s="7" t="n">
        <v>4</v>
      </c>
      <c r="E7932" s="7" t="n">
        <v>624.51</v>
      </c>
      <c r="F7932" s="7" t="n">
        <v>0</v>
      </c>
      <c r="G7932" s="7" t="n">
        <v>0</v>
      </c>
    </row>
    <row r="7933" customFormat="false" ht="15" hidden="false" customHeight="false" outlineLevel="0" collapsed="false">
      <c r="A7933" s="7" t="s">
        <v>24</v>
      </c>
      <c r="B7933" s="7" t="s">
        <v>451</v>
      </c>
      <c r="C7933" s="7" t="s">
        <v>1036</v>
      </c>
      <c r="D7933" s="7" t="n">
        <v>5</v>
      </c>
      <c r="E7933" s="7" t="n">
        <v>855.5</v>
      </c>
      <c r="F7933" s="7" t="n">
        <v>0</v>
      </c>
      <c r="G7933" s="7" t="n">
        <v>0</v>
      </c>
    </row>
    <row r="7934" customFormat="false" ht="15" hidden="false" customHeight="false" outlineLevel="0" collapsed="false">
      <c r="A7934" s="7" t="s">
        <v>24</v>
      </c>
      <c r="B7934" s="7" t="s">
        <v>451</v>
      </c>
      <c r="C7934" s="7" t="s">
        <v>1036</v>
      </c>
      <c r="D7934" s="7" t="n">
        <v>0</v>
      </c>
      <c r="E7934" s="7" t="n">
        <v>0</v>
      </c>
      <c r="F7934" s="7" t="n">
        <v>1</v>
      </c>
      <c r="G7934" s="7" t="n">
        <v>251.55</v>
      </c>
    </row>
    <row r="7935" customFormat="false" ht="15" hidden="false" customHeight="false" outlineLevel="0" collapsed="false">
      <c r="A7935" s="7" t="s">
        <v>24</v>
      </c>
      <c r="B7935" s="7" t="s">
        <v>451</v>
      </c>
      <c r="C7935" s="7" t="s">
        <v>1036</v>
      </c>
      <c r="D7935" s="7" t="n">
        <v>0</v>
      </c>
      <c r="E7935" s="7" t="n">
        <v>0</v>
      </c>
      <c r="F7935" s="7" t="n">
        <v>1</v>
      </c>
      <c r="G7935" s="7" t="n">
        <v>171.1</v>
      </c>
    </row>
    <row r="7936" customFormat="false" ht="15" hidden="false" customHeight="false" outlineLevel="0" collapsed="false">
      <c r="A7936" s="7" t="s">
        <v>24</v>
      </c>
      <c r="B7936" s="7" t="s">
        <v>531</v>
      </c>
      <c r="C7936" s="7" t="s">
        <v>1139</v>
      </c>
      <c r="D7936" s="7" t="n">
        <v>0</v>
      </c>
      <c r="E7936" s="7" t="n">
        <v>0</v>
      </c>
      <c r="F7936" s="7" t="n">
        <v>1</v>
      </c>
      <c r="G7936" s="7" t="n">
        <v>57.89</v>
      </c>
    </row>
    <row r="7937" customFormat="false" ht="15" hidden="false" customHeight="false" outlineLevel="0" collapsed="false">
      <c r="A7937" s="7" t="s">
        <v>24</v>
      </c>
      <c r="B7937" s="7" t="s">
        <v>531</v>
      </c>
      <c r="C7937" s="7" t="s">
        <v>1139</v>
      </c>
      <c r="D7937" s="7" t="n">
        <v>5</v>
      </c>
      <c r="E7937" s="7" t="n">
        <v>295.88</v>
      </c>
      <c r="F7937" s="7" t="n">
        <v>2</v>
      </c>
      <c r="G7937" s="7" t="n">
        <v>122.21</v>
      </c>
    </row>
    <row r="7938" customFormat="false" ht="15" hidden="false" customHeight="false" outlineLevel="0" collapsed="false">
      <c r="A7938" s="7" t="s">
        <v>24</v>
      </c>
      <c r="B7938" s="7" t="s">
        <v>531</v>
      </c>
      <c r="C7938" s="7" t="s">
        <v>1139</v>
      </c>
      <c r="D7938" s="7" t="n">
        <v>0</v>
      </c>
      <c r="E7938" s="7" t="n">
        <v>0</v>
      </c>
      <c r="F7938" s="7" t="n">
        <v>2</v>
      </c>
      <c r="G7938" s="7" t="n">
        <v>115.78</v>
      </c>
    </row>
    <row r="7939" customFormat="false" ht="15" hidden="false" customHeight="false" outlineLevel="0" collapsed="false">
      <c r="A7939" s="7" t="s">
        <v>24</v>
      </c>
      <c r="B7939" s="7" t="s">
        <v>531</v>
      </c>
      <c r="C7939" s="7" t="s">
        <v>1139</v>
      </c>
      <c r="D7939" s="7" t="n">
        <v>0</v>
      </c>
      <c r="E7939" s="7" t="n">
        <v>0</v>
      </c>
      <c r="F7939" s="7" t="n">
        <v>1</v>
      </c>
      <c r="G7939" s="7" t="n">
        <v>57.89</v>
      </c>
    </row>
    <row r="7940" customFormat="false" ht="15" hidden="false" customHeight="false" outlineLevel="0" collapsed="false">
      <c r="A7940" s="7" t="s">
        <v>24</v>
      </c>
      <c r="B7940" s="7" t="s">
        <v>531</v>
      </c>
      <c r="C7940" s="7" t="s">
        <v>1139</v>
      </c>
      <c r="D7940" s="7" t="n">
        <v>0</v>
      </c>
      <c r="E7940" s="7" t="n">
        <v>0</v>
      </c>
      <c r="F7940" s="7" t="n">
        <v>2</v>
      </c>
      <c r="G7940" s="7" t="n">
        <v>109.36</v>
      </c>
    </row>
    <row r="7941" customFormat="false" ht="15" hidden="false" customHeight="false" outlineLevel="0" collapsed="false">
      <c r="A7941" s="7" t="s">
        <v>24</v>
      </c>
      <c r="B7941" s="7" t="s">
        <v>531</v>
      </c>
      <c r="C7941" s="7" t="s">
        <v>1139</v>
      </c>
      <c r="D7941" s="7" t="n">
        <v>0</v>
      </c>
      <c r="E7941" s="7" t="n">
        <v>0</v>
      </c>
      <c r="F7941" s="7" t="n">
        <v>1</v>
      </c>
      <c r="G7941" s="7" t="n">
        <v>64.32</v>
      </c>
    </row>
    <row r="7942" customFormat="false" ht="15" hidden="false" customHeight="false" outlineLevel="0" collapsed="false">
      <c r="A7942" s="7" t="s">
        <v>24</v>
      </c>
      <c r="B7942" s="7" t="s">
        <v>531</v>
      </c>
      <c r="C7942" s="7" t="s">
        <v>1139</v>
      </c>
      <c r="D7942" s="7" t="n">
        <v>0</v>
      </c>
      <c r="E7942" s="7" t="n">
        <v>0</v>
      </c>
      <c r="F7942" s="7" t="n">
        <v>1</v>
      </c>
      <c r="G7942" s="7" t="n">
        <v>64.33</v>
      </c>
    </row>
    <row r="7943" customFormat="false" ht="15" hidden="false" customHeight="false" outlineLevel="0" collapsed="false">
      <c r="A7943" s="7" t="s">
        <v>24</v>
      </c>
      <c r="B7943" s="7" t="s">
        <v>422</v>
      </c>
      <c r="C7943" s="7" t="s">
        <v>1139</v>
      </c>
      <c r="D7943" s="7" t="n">
        <v>8</v>
      </c>
      <c r="E7943" s="7" t="n">
        <v>482.4</v>
      </c>
      <c r="F7943" s="7" t="n">
        <v>0</v>
      </c>
      <c r="G7943" s="7" t="n">
        <v>0</v>
      </c>
    </row>
    <row r="7944" customFormat="false" ht="15" hidden="false" customHeight="false" outlineLevel="0" collapsed="false">
      <c r="A7944" s="7" t="s">
        <v>24</v>
      </c>
      <c r="B7944" s="7" t="s">
        <v>753</v>
      </c>
      <c r="C7944" s="7"/>
      <c r="D7944" s="7" t="n">
        <v>1</v>
      </c>
      <c r="E7944" s="7" t="n">
        <v>51.46</v>
      </c>
      <c r="F7944" s="7" t="n">
        <v>0</v>
      </c>
      <c r="G7944" s="7" t="n">
        <v>0</v>
      </c>
    </row>
    <row r="7945" customFormat="false" ht="15" hidden="false" customHeight="false" outlineLevel="0" collapsed="false">
      <c r="A7945" s="7" t="s">
        <v>24</v>
      </c>
      <c r="B7945" s="7" t="s">
        <v>721</v>
      </c>
      <c r="C7945" s="7" t="s">
        <v>1139</v>
      </c>
      <c r="D7945" s="7" t="n">
        <v>3</v>
      </c>
      <c r="E7945" s="7" t="n">
        <v>192.96</v>
      </c>
      <c r="F7945" s="7" t="n">
        <v>0</v>
      </c>
      <c r="G7945" s="7" t="n">
        <v>0</v>
      </c>
    </row>
    <row r="7946" customFormat="false" ht="15" hidden="false" customHeight="false" outlineLevel="0" collapsed="false">
      <c r="A7946" s="7" t="s">
        <v>24</v>
      </c>
      <c r="B7946" s="7" t="s">
        <v>721</v>
      </c>
      <c r="C7946" s="7" t="s">
        <v>1139</v>
      </c>
      <c r="D7946" s="7" t="n">
        <v>-1</v>
      </c>
      <c r="E7946" s="7" t="n">
        <v>-54.42</v>
      </c>
      <c r="F7946" s="7" t="n">
        <v>0</v>
      </c>
      <c r="G7946" s="7" t="n">
        <v>0</v>
      </c>
    </row>
    <row r="7947" customFormat="false" ht="15" hidden="false" customHeight="false" outlineLevel="0" collapsed="false">
      <c r="A7947" s="7" t="s">
        <v>24</v>
      </c>
      <c r="B7947" s="7" t="s">
        <v>721</v>
      </c>
      <c r="C7947" s="7" t="s">
        <v>1139</v>
      </c>
      <c r="D7947" s="7" t="n">
        <v>0</v>
      </c>
      <c r="E7947" s="7" t="n">
        <v>0</v>
      </c>
      <c r="F7947" s="7" t="n">
        <v>1</v>
      </c>
      <c r="G7947" s="7" t="n">
        <v>57.9</v>
      </c>
    </row>
    <row r="7948" customFormat="false" ht="15" hidden="false" customHeight="false" outlineLevel="0" collapsed="false">
      <c r="A7948" s="7" t="s">
        <v>24</v>
      </c>
      <c r="B7948" s="7" t="s">
        <v>752</v>
      </c>
      <c r="C7948" s="7" t="s">
        <v>1139</v>
      </c>
      <c r="D7948" s="7" t="n">
        <v>3</v>
      </c>
      <c r="E7948" s="7" t="n">
        <v>180.1</v>
      </c>
      <c r="F7948" s="7" t="n">
        <v>2</v>
      </c>
      <c r="G7948" s="7" t="n">
        <v>128.64</v>
      </c>
    </row>
    <row r="7949" customFormat="false" ht="15" hidden="false" customHeight="false" outlineLevel="0" collapsed="false">
      <c r="A7949" s="7" t="s">
        <v>24</v>
      </c>
      <c r="B7949" s="7" t="s">
        <v>554</v>
      </c>
      <c r="C7949" s="7" t="s">
        <v>1131</v>
      </c>
      <c r="D7949" s="7" t="n">
        <v>0</v>
      </c>
      <c r="E7949" s="7" t="n">
        <v>0</v>
      </c>
      <c r="F7949" s="7" t="n">
        <v>1</v>
      </c>
      <c r="G7949" s="7" t="n">
        <v>76.19</v>
      </c>
    </row>
    <row r="7950" customFormat="false" ht="15" hidden="false" customHeight="false" outlineLevel="0" collapsed="false">
      <c r="A7950" s="7" t="s">
        <v>24</v>
      </c>
      <c r="B7950" s="7" t="s">
        <v>554</v>
      </c>
      <c r="C7950" s="7" t="s">
        <v>1131</v>
      </c>
      <c r="D7950" s="7" t="n">
        <v>3</v>
      </c>
      <c r="E7950" s="7" t="n">
        <v>196.43</v>
      </c>
      <c r="F7950" s="7" t="n">
        <v>0</v>
      </c>
      <c r="G7950" s="7" t="n">
        <v>0</v>
      </c>
    </row>
    <row r="7951" customFormat="false" ht="15" hidden="false" customHeight="false" outlineLevel="0" collapsed="false">
      <c r="A7951" s="7" t="s">
        <v>24</v>
      </c>
      <c r="B7951" s="7" t="s">
        <v>554</v>
      </c>
      <c r="C7951" s="7" t="s">
        <v>1131</v>
      </c>
      <c r="D7951" s="7" t="n">
        <v>12</v>
      </c>
      <c r="E7951" s="7" t="n">
        <v>960.89</v>
      </c>
      <c r="F7951" s="7" t="n">
        <v>7</v>
      </c>
      <c r="G7951" s="7" t="n">
        <v>584.15</v>
      </c>
    </row>
    <row r="7952" customFormat="false" ht="15" hidden="false" customHeight="false" outlineLevel="0" collapsed="false">
      <c r="A7952" s="7" t="s">
        <v>24</v>
      </c>
      <c r="B7952" s="7" t="s">
        <v>554</v>
      </c>
      <c r="C7952" s="7" t="s">
        <v>1131</v>
      </c>
      <c r="D7952" s="7" t="n">
        <v>0</v>
      </c>
      <c r="E7952" s="7" t="n">
        <v>0</v>
      </c>
      <c r="F7952" s="7" t="n">
        <v>2</v>
      </c>
      <c r="G7952" s="7" t="n">
        <v>169.32</v>
      </c>
    </row>
    <row r="7953" customFormat="false" ht="15" hidden="false" customHeight="false" outlineLevel="0" collapsed="false">
      <c r="A7953" s="7" t="s">
        <v>24</v>
      </c>
      <c r="B7953" s="7" t="s">
        <v>554</v>
      </c>
      <c r="C7953" s="7" t="s">
        <v>1131</v>
      </c>
      <c r="D7953" s="7" t="n">
        <v>0</v>
      </c>
      <c r="E7953" s="7" t="n">
        <v>0</v>
      </c>
      <c r="F7953" s="7" t="n">
        <v>1</v>
      </c>
      <c r="G7953" s="7" t="n">
        <v>76.19</v>
      </c>
    </row>
    <row r="7954" customFormat="false" ht="15" hidden="false" customHeight="false" outlineLevel="0" collapsed="false">
      <c r="A7954" s="7" t="s">
        <v>24</v>
      </c>
      <c r="B7954" s="7" t="s">
        <v>308</v>
      </c>
      <c r="C7954" s="7" t="s">
        <v>1132</v>
      </c>
      <c r="D7954" s="7" t="n">
        <v>24</v>
      </c>
      <c r="E7954" s="7" t="n">
        <v>1926.01</v>
      </c>
      <c r="F7954" s="7" t="n">
        <v>0</v>
      </c>
      <c r="G7954" s="7" t="n">
        <v>0</v>
      </c>
    </row>
    <row r="7955" customFormat="false" ht="15" hidden="false" customHeight="false" outlineLevel="0" collapsed="false">
      <c r="A7955" s="7" t="s">
        <v>24</v>
      </c>
      <c r="B7955" s="7" t="s">
        <v>308</v>
      </c>
      <c r="C7955" s="7" t="s">
        <v>1132</v>
      </c>
      <c r="D7955" s="7" t="n">
        <v>0</v>
      </c>
      <c r="E7955" s="7" t="n">
        <v>0</v>
      </c>
      <c r="F7955" s="7" t="n">
        <v>1</v>
      </c>
      <c r="G7955" s="7" t="n">
        <v>76.2</v>
      </c>
    </row>
    <row r="7956" customFormat="false" ht="15" hidden="false" customHeight="false" outlineLevel="0" collapsed="false">
      <c r="A7956" s="7" t="s">
        <v>24</v>
      </c>
      <c r="B7956" s="7" t="s">
        <v>308</v>
      </c>
      <c r="C7956" s="7" t="s">
        <v>1132</v>
      </c>
      <c r="D7956" s="7" t="n">
        <v>0</v>
      </c>
      <c r="E7956" s="7" t="n">
        <v>0</v>
      </c>
      <c r="F7956" s="7" t="n">
        <v>1</v>
      </c>
      <c r="G7956" s="7" t="n">
        <v>76.19</v>
      </c>
    </row>
    <row r="7957" customFormat="false" ht="15" hidden="false" customHeight="false" outlineLevel="0" collapsed="false">
      <c r="A7957" s="7" t="s">
        <v>24</v>
      </c>
      <c r="B7957" s="7" t="s">
        <v>308</v>
      </c>
      <c r="C7957" s="7" t="s">
        <v>1132</v>
      </c>
      <c r="D7957" s="7" t="n">
        <v>0</v>
      </c>
      <c r="E7957" s="7" t="n">
        <v>0</v>
      </c>
      <c r="F7957" s="7" t="n">
        <v>1</v>
      </c>
      <c r="G7957" s="7" t="n">
        <v>84.67</v>
      </c>
    </row>
    <row r="7958" customFormat="false" ht="15" hidden="false" customHeight="false" outlineLevel="0" collapsed="false">
      <c r="A7958" s="7" t="s">
        <v>24</v>
      </c>
      <c r="B7958" s="7" t="s">
        <v>308</v>
      </c>
      <c r="C7958" s="7" t="s">
        <v>1132</v>
      </c>
      <c r="D7958" s="7" t="n">
        <v>0</v>
      </c>
      <c r="E7958" s="7" t="n">
        <v>0</v>
      </c>
      <c r="F7958" s="7" t="n">
        <v>2</v>
      </c>
      <c r="G7958" s="7" t="n">
        <v>169.32</v>
      </c>
    </row>
    <row r="7959" customFormat="false" ht="15" hidden="false" customHeight="false" outlineLevel="0" collapsed="false">
      <c r="A7959" s="7" t="s">
        <v>24</v>
      </c>
      <c r="B7959" s="7" t="s">
        <v>308</v>
      </c>
      <c r="C7959" s="7" t="s">
        <v>1132</v>
      </c>
      <c r="D7959" s="7" t="n">
        <v>0</v>
      </c>
      <c r="E7959" s="7" t="n">
        <v>0</v>
      </c>
      <c r="F7959" s="7" t="n">
        <v>1</v>
      </c>
      <c r="G7959" s="7" t="n">
        <v>76.2</v>
      </c>
    </row>
    <row r="7960" customFormat="false" ht="15" hidden="false" customHeight="false" outlineLevel="0" collapsed="false">
      <c r="A7960" s="7" t="s">
        <v>24</v>
      </c>
      <c r="B7960" s="7" t="s">
        <v>308</v>
      </c>
      <c r="C7960" s="7" t="s">
        <v>1132</v>
      </c>
      <c r="D7960" s="7" t="n">
        <v>0</v>
      </c>
      <c r="E7960" s="7" t="n">
        <v>0</v>
      </c>
      <c r="F7960" s="7" t="n">
        <v>1</v>
      </c>
      <c r="G7960" s="7" t="n">
        <v>84.66</v>
      </c>
    </row>
    <row r="7961" customFormat="false" ht="15" hidden="false" customHeight="false" outlineLevel="0" collapsed="false">
      <c r="A7961" s="7" t="s">
        <v>24</v>
      </c>
      <c r="B7961" s="7" t="s">
        <v>308</v>
      </c>
      <c r="C7961" s="7" t="s">
        <v>1132</v>
      </c>
      <c r="D7961" s="7" t="n">
        <v>1</v>
      </c>
      <c r="E7961" s="7" t="n">
        <v>68.53</v>
      </c>
      <c r="F7961" s="7" t="n">
        <v>0</v>
      </c>
      <c r="G7961" s="7" t="n">
        <v>0</v>
      </c>
    </row>
    <row r="7962" customFormat="false" ht="15" hidden="false" customHeight="false" outlineLevel="0" collapsed="false">
      <c r="A7962" s="7" t="s">
        <v>24</v>
      </c>
      <c r="B7962" s="7" t="s">
        <v>308</v>
      </c>
      <c r="C7962" s="7" t="s">
        <v>1132</v>
      </c>
      <c r="D7962" s="7" t="n">
        <v>0</v>
      </c>
      <c r="E7962" s="7" t="n">
        <v>0</v>
      </c>
      <c r="F7962" s="7" t="n">
        <v>1</v>
      </c>
      <c r="G7962" s="7" t="n">
        <v>84.66</v>
      </c>
    </row>
    <row r="7963" customFormat="false" ht="15" hidden="false" customHeight="false" outlineLevel="0" collapsed="false">
      <c r="A7963" s="7" t="s">
        <v>24</v>
      </c>
      <c r="B7963" s="7" t="s">
        <v>308</v>
      </c>
      <c r="C7963" s="7" t="s">
        <v>1132</v>
      </c>
      <c r="D7963" s="7" t="n">
        <v>4</v>
      </c>
      <c r="E7963" s="7" t="n">
        <v>261.91</v>
      </c>
      <c r="F7963" s="7" t="n">
        <v>0</v>
      </c>
      <c r="G7963" s="7" t="n">
        <v>0</v>
      </c>
    </row>
    <row r="7964" customFormat="false" ht="15" hidden="false" customHeight="false" outlineLevel="0" collapsed="false">
      <c r="A7964" s="7" t="s">
        <v>24</v>
      </c>
      <c r="B7964" s="7" t="s">
        <v>308</v>
      </c>
      <c r="C7964" s="7" t="s">
        <v>1132</v>
      </c>
      <c r="D7964" s="7" t="n">
        <v>0</v>
      </c>
      <c r="E7964" s="7" t="n">
        <v>0</v>
      </c>
      <c r="F7964" s="7" t="n">
        <v>1</v>
      </c>
      <c r="G7964" s="7" t="n">
        <v>84.66</v>
      </c>
    </row>
    <row r="7965" customFormat="false" ht="15" hidden="false" customHeight="false" outlineLevel="0" collapsed="false">
      <c r="A7965" s="7" t="s">
        <v>24</v>
      </c>
      <c r="B7965" s="7" t="s">
        <v>308</v>
      </c>
      <c r="C7965" s="7" t="s">
        <v>1132</v>
      </c>
      <c r="D7965" s="7" t="n">
        <v>0</v>
      </c>
      <c r="E7965" s="7" t="n">
        <v>0</v>
      </c>
      <c r="F7965" s="7" t="n">
        <v>1</v>
      </c>
      <c r="G7965" s="7" t="n">
        <v>84.66</v>
      </c>
    </row>
    <row r="7966" customFormat="false" ht="15" hidden="false" customHeight="false" outlineLevel="0" collapsed="false">
      <c r="A7966" s="7" t="s">
        <v>24</v>
      </c>
      <c r="B7966" s="7" t="s">
        <v>308</v>
      </c>
      <c r="C7966" s="7" t="s">
        <v>1132</v>
      </c>
      <c r="D7966" s="7" t="n">
        <v>0</v>
      </c>
      <c r="E7966" s="7" t="n">
        <v>0</v>
      </c>
      <c r="F7966" s="7" t="n">
        <v>2</v>
      </c>
      <c r="G7966" s="7" t="n">
        <v>156.63</v>
      </c>
    </row>
    <row r="7967" customFormat="false" ht="15" hidden="false" customHeight="false" outlineLevel="0" collapsed="false">
      <c r="A7967" s="7" t="s">
        <v>24</v>
      </c>
      <c r="B7967" s="7" t="s">
        <v>308</v>
      </c>
      <c r="C7967" s="7" t="s">
        <v>1132</v>
      </c>
      <c r="D7967" s="7" t="n">
        <v>0</v>
      </c>
      <c r="E7967" s="7" t="n">
        <v>0</v>
      </c>
      <c r="F7967" s="7" t="n">
        <v>1</v>
      </c>
      <c r="G7967" s="7" t="n">
        <v>84.65</v>
      </c>
    </row>
    <row r="7968" customFormat="false" ht="15" hidden="false" customHeight="false" outlineLevel="0" collapsed="false">
      <c r="A7968" s="7" t="s">
        <v>24</v>
      </c>
      <c r="B7968" s="7" t="s">
        <v>308</v>
      </c>
      <c r="C7968" s="7" t="s">
        <v>1132</v>
      </c>
      <c r="D7968" s="7" t="n">
        <v>0</v>
      </c>
      <c r="E7968" s="7" t="n">
        <v>0</v>
      </c>
      <c r="F7968" s="7" t="n">
        <v>1</v>
      </c>
      <c r="G7968" s="7" t="n">
        <v>76.2</v>
      </c>
    </row>
    <row r="7969" customFormat="false" ht="15" hidden="false" customHeight="false" outlineLevel="0" collapsed="false">
      <c r="A7969" s="7" t="s">
        <v>24</v>
      </c>
      <c r="B7969" s="7" t="s">
        <v>308</v>
      </c>
      <c r="C7969" s="7" t="s">
        <v>1132</v>
      </c>
      <c r="D7969" s="7" t="n">
        <v>0</v>
      </c>
      <c r="E7969" s="7" t="n">
        <v>0</v>
      </c>
      <c r="F7969" s="7" t="n">
        <v>1</v>
      </c>
      <c r="G7969" s="7" t="n">
        <v>84.66</v>
      </c>
    </row>
    <row r="7970" customFormat="false" ht="15" hidden="false" customHeight="false" outlineLevel="0" collapsed="false">
      <c r="A7970" s="7" t="s">
        <v>24</v>
      </c>
      <c r="B7970" s="7" t="s">
        <v>308</v>
      </c>
      <c r="C7970" s="7" t="s">
        <v>1132</v>
      </c>
      <c r="D7970" s="7" t="n">
        <v>0</v>
      </c>
      <c r="E7970" s="7" t="n">
        <v>0</v>
      </c>
      <c r="F7970" s="7" t="n">
        <v>2</v>
      </c>
      <c r="G7970" s="7" t="n">
        <v>169.32</v>
      </c>
    </row>
    <row r="7971" customFormat="false" ht="15" hidden="false" customHeight="false" outlineLevel="0" collapsed="false">
      <c r="A7971" s="7" t="s">
        <v>24</v>
      </c>
      <c r="B7971" s="7" t="s">
        <v>447</v>
      </c>
      <c r="C7971" s="7" t="s">
        <v>1131</v>
      </c>
      <c r="D7971" s="7" t="n">
        <v>0</v>
      </c>
      <c r="E7971" s="7" t="n">
        <v>0</v>
      </c>
      <c r="F7971" s="7" t="n">
        <v>1</v>
      </c>
      <c r="G7971" s="7" t="n">
        <v>84.67</v>
      </c>
    </row>
    <row r="7972" customFormat="false" ht="15" hidden="false" customHeight="false" outlineLevel="0" collapsed="false">
      <c r="A7972" s="7" t="s">
        <v>24</v>
      </c>
      <c r="B7972" s="7" t="s">
        <v>447</v>
      </c>
      <c r="C7972" s="7" t="s">
        <v>1131</v>
      </c>
      <c r="D7972" s="7" t="n">
        <v>6</v>
      </c>
      <c r="E7972" s="7" t="n">
        <v>404.42</v>
      </c>
      <c r="F7972" s="7" t="n">
        <v>0</v>
      </c>
      <c r="G7972" s="7" t="n">
        <v>0</v>
      </c>
    </row>
    <row r="7973" customFormat="false" ht="15" hidden="false" customHeight="false" outlineLevel="0" collapsed="false">
      <c r="A7973" s="7" t="s">
        <v>24</v>
      </c>
      <c r="B7973" s="7" t="s">
        <v>447</v>
      </c>
      <c r="C7973" s="7" t="s">
        <v>1131</v>
      </c>
      <c r="D7973" s="7" t="n">
        <v>0</v>
      </c>
      <c r="E7973" s="7" t="n">
        <v>0</v>
      </c>
      <c r="F7973" s="7" t="n">
        <v>1</v>
      </c>
      <c r="G7973" s="7" t="n">
        <v>76.2</v>
      </c>
    </row>
    <row r="7974" customFormat="false" ht="15" hidden="false" customHeight="false" outlineLevel="0" collapsed="false">
      <c r="A7974" s="7" t="s">
        <v>24</v>
      </c>
      <c r="B7974" s="7" t="s">
        <v>447</v>
      </c>
      <c r="C7974" s="7" t="s">
        <v>1131</v>
      </c>
      <c r="D7974" s="7" t="n">
        <v>0</v>
      </c>
      <c r="E7974" s="7" t="n">
        <v>0</v>
      </c>
      <c r="F7974" s="7" t="n">
        <v>2</v>
      </c>
      <c r="G7974" s="7" t="n">
        <v>152.4</v>
      </c>
    </row>
    <row r="7975" customFormat="false" ht="15" hidden="false" customHeight="false" outlineLevel="0" collapsed="false">
      <c r="A7975" s="7" t="s">
        <v>24</v>
      </c>
      <c r="B7975" s="7" t="s">
        <v>447</v>
      </c>
      <c r="C7975" s="7" t="s">
        <v>1131</v>
      </c>
      <c r="D7975" s="7" t="n">
        <v>0</v>
      </c>
      <c r="E7975" s="7" t="n">
        <v>0</v>
      </c>
      <c r="F7975" s="7" t="n">
        <v>1</v>
      </c>
      <c r="G7975" s="7" t="n">
        <v>76.19</v>
      </c>
    </row>
    <row r="7976" customFormat="false" ht="15" hidden="false" customHeight="false" outlineLevel="0" collapsed="false">
      <c r="A7976" s="7" t="s">
        <v>24</v>
      </c>
      <c r="B7976" s="7" t="s">
        <v>447</v>
      </c>
      <c r="C7976" s="7" t="s">
        <v>1131</v>
      </c>
      <c r="D7976" s="7" t="n">
        <v>2</v>
      </c>
      <c r="E7976" s="7" t="n">
        <v>137.06</v>
      </c>
      <c r="F7976" s="7" t="n">
        <v>0</v>
      </c>
      <c r="G7976" s="7" t="n">
        <v>0</v>
      </c>
    </row>
    <row r="7977" customFormat="false" ht="15" hidden="false" customHeight="false" outlineLevel="0" collapsed="false">
      <c r="A7977" s="7" t="s">
        <v>24</v>
      </c>
      <c r="B7977" s="7" t="s">
        <v>447</v>
      </c>
      <c r="C7977" s="7" t="s">
        <v>1131</v>
      </c>
      <c r="D7977" s="7" t="n">
        <v>0</v>
      </c>
      <c r="E7977" s="7" t="n">
        <v>0</v>
      </c>
      <c r="F7977" s="7" t="n">
        <v>1</v>
      </c>
      <c r="G7977" s="7" t="n">
        <v>84.66</v>
      </c>
    </row>
    <row r="7978" customFormat="false" ht="15" hidden="false" customHeight="false" outlineLevel="0" collapsed="false">
      <c r="A7978" s="7" t="s">
        <v>24</v>
      </c>
      <c r="B7978" s="7" t="s">
        <v>447</v>
      </c>
      <c r="C7978" s="7" t="s">
        <v>1131</v>
      </c>
      <c r="D7978" s="7" t="n">
        <v>0</v>
      </c>
      <c r="E7978" s="7" t="n">
        <v>0</v>
      </c>
      <c r="F7978" s="7" t="n">
        <v>1</v>
      </c>
      <c r="G7978" s="7" t="n">
        <v>71.97</v>
      </c>
    </row>
    <row r="7979" customFormat="false" ht="15" hidden="false" customHeight="false" outlineLevel="0" collapsed="false">
      <c r="A7979" s="7" t="s">
        <v>24</v>
      </c>
      <c r="B7979" s="7" t="s">
        <v>447</v>
      </c>
      <c r="C7979" s="7" t="s">
        <v>1131</v>
      </c>
      <c r="D7979" s="7" t="n">
        <v>8</v>
      </c>
      <c r="E7979" s="7" t="n">
        <v>613.79</v>
      </c>
      <c r="F7979" s="7" t="n">
        <v>1</v>
      </c>
      <c r="G7979" s="7" t="n">
        <v>84.66</v>
      </c>
    </row>
    <row r="7980" customFormat="false" ht="15" hidden="false" customHeight="false" outlineLevel="0" collapsed="false">
      <c r="A7980" s="7" t="s">
        <v>24</v>
      </c>
      <c r="B7980" s="7" t="s">
        <v>447</v>
      </c>
      <c r="C7980" s="7" t="s">
        <v>1131</v>
      </c>
      <c r="D7980" s="7" t="n">
        <v>0</v>
      </c>
      <c r="E7980" s="7" t="n">
        <v>0</v>
      </c>
      <c r="F7980" s="7" t="n">
        <v>1</v>
      </c>
      <c r="G7980" s="7" t="n">
        <v>84.66</v>
      </c>
    </row>
    <row r="7981" customFormat="false" ht="15" hidden="false" customHeight="false" outlineLevel="0" collapsed="false">
      <c r="A7981" s="7" t="s">
        <v>24</v>
      </c>
      <c r="B7981" s="7" t="s">
        <v>656</v>
      </c>
      <c r="C7981" s="7" t="s">
        <v>1165</v>
      </c>
      <c r="D7981" s="7" t="n">
        <v>3</v>
      </c>
      <c r="E7981" s="7" t="n">
        <v>381.09</v>
      </c>
      <c r="F7981" s="7" t="n">
        <v>1</v>
      </c>
      <c r="G7981" s="7" t="n">
        <v>114.33</v>
      </c>
    </row>
    <row r="7982" customFormat="false" ht="15" hidden="false" customHeight="false" outlineLevel="0" collapsed="false">
      <c r="A7982" s="7" t="s">
        <v>24</v>
      </c>
      <c r="B7982" s="7" t="s">
        <v>656</v>
      </c>
      <c r="C7982" s="7" t="s">
        <v>1165</v>
      </c>
      <c r="D7982" s="7" t="n">
        <v>0</v>
      </c>
      <c r="E7982" s="7" t="n">
        <v>0</v>
      </c>
      <c r="F7982" s="7" t="n">
        <v>1</v>
      </c>
      <c r="G7982" s="7" t="n">
        <v>127.04</v>
      </c>
    </row>
    <row r="7983" customFormat="false" ht="15" hidden="false" customHeight="false" outlineLevel="0" collapsed="false">
      <c r="A7983" s="7" t="s">
        <v>24</v>
      </c>
      <c r="B7983" s="7" t="s">
        <v>671</v>
      </c>
      <c r="C7983" s="7" t="s">
        <v>1165</v>
      </c>
      <c r="D7983" s="7" t="n">
        <v>1</v>
      </c>
      <c r="E7983" s="7" t="n">
        <v>127.03</v>
      </c>
      <c r="F7983" s="7" t="n">
        <v>0</v>
      </c>
      <c r="G7983" s="7" t="n">
        <v>0</v>
      </c>
    </row>
    <row r="7984" customFormat="false" ht="15" hidden="false" customHeight="false" outlineLevel="0" collapsed="false">
      <c r="A7984" s="7" t="s">
        <v>24</v>
      </c>
      <c r="B7984" s="7" t="s">
        <v>324</v>
      </c>
      <c r="C7984" s="7" t="s">
        <v>1165</v>
      </c>
      <c r="D7984" s="7" t="n">
        <v>5</v>
      </c>
      <c r="E7984" s="7" t="n">
        <v>571.64</v>
      </c>
      <c r="F7984" s="7" t="n">
        <v>6</v>
      </c>
      <c r="G7984" s="7" t="n">
        <v>736.78</v>
      </c>
    </row>
    <row r="7985" customFormat="false" ht="15" hidden="false" customHeight="false" outlineLevel="0" collapsed="false">
      <c r="A7985" s="7" t="s">
        <v>24</v>
      </c>
      <c r="B7985" s="7" t="s">
        <v>324</v>
      </c>
      <c r="C7985" s="7" t="s">
        <v>1165</v>
      </c>
      <c r="D7985" s="7" t="n">
        <v>0</v>
      </c>
      <c r="E7985" s="7" t="n">
        <v>0</v>
      </c>
      <c r="F7985" s="7" t="n">
        <v>1</v>
      </c>
      <c r="G7985" s="7" t="n">
        <v>127.03</v>
      </c>
    </row>
    <row r="7986" customFormat="false" ht="15" hidden="false" customHeight="false" outlineLevel="0" collapsed="false">
      <c r="A7986" s="7" t="s">
        <v>24</v>
      </c>
      <c r="B7986" s="7" t="s">
        <v>324</v>
      </c>
      <c r="C7986" s="7" t="s">
        <v>1165</v>
      </c>
      <c r="D7986" s="7" t="n">
        <v>0</v>
      </c>
      <c r="E7986" s="7" t="n">
        <v>0</v>
      </c>
      <c r="F7986" s="7" t="n">
        <v>1</v>
      </c>
      <c r="G7986" s="7" t="n">
        <v>107.99</v>
      </c>
    </row>
    <row r="7987" customFormat="false" ht="15" hidden="false" customHeight="false" outlineLevel="0" collapsed="false">
      <c r="A7987" s="7" t="s">
        <v>24</v>
      </c>
      <c r="B7987" s="7" t="s">
        <v>324</v>
      </c>
      <c r="C7987" s="7" t="s">
        <v>1165</v>
      </c>
      <c r="D7987" s="7" t="n">
        <v>0</v>
      </c>
      <c r="E7987" s="7" t="n">
        <v>0</v>
      </c>
      <c r="F7987" s="7" t="n">
        <v>1</v>
      </c>
      <c r="G7987" s="7" t="n">
        <v>127.04</v>
      </c>
    </row>
    <row r="7988" customFormat="false" ht="15" hidden="false" customHeight="false" outlineLevel="0" collapsed="false">
      <c r="A7988" s="7" t="s">
        <v>24</v>
      </c>
      <c r="B7988" s="7" t="s">
        <v>324</v>
      </c>
      <c r="C7988" s="7" t="s">
        <v>1165</v>
      </c>
      <c r="D7988" s="7" t="n">
        <v>0</v>
      </c>
      <c r="E7988" s="7" t="n">
        <v>0</v>
      </c>
      <c r="F7988" s="7" t="n">
        <v>1</v>
      </c>
      <c r="G7988" s="7" t="n">
        <v>127.03</v>
      </c>
    </row>
    <row r="7989" customFormat="false" ht="15" hidden="false" customHeight="false" outlineLevel="0" collapsed="false">
      <c r="A7989" s="7" t="s">
        <v>24</v>
      </c>
      <c r="B7989" s="7" t="s">
        <v>324</v>
      </c>
      <c r="C7989" s="7" t="s">
        <v>1165</v>
      </c>
      <c r="D7989" s="7" t="n">
        <v>0</v>
      </c>
      <c r="E7989" s="7" t="n">
        <v>0</v>
      </c>
      <c r="F7989" s="7" t="n">
        <v>1</v>
      </c>
      <c r="G7989" s="7" t="n">
        <v>127.04</v>
      </c>
    </row>
    <row r="7990" customFormat="false" ht="15" hidden="false" customHeight="false" outlineLevel="0" collapsed="false">
      <c r="A7990" s="7" t="s">
        <v>24</v>
      </c>
      <c r="B7990" s="7" t="s">
        <v>527</v>
      </c>
      <c r="C7990" s="7" t="s">
        <v>1165</v>
      </c>
      <c r="D7990" s="7" t="n">
        <v>4</v>
      </c>
      <c r="E7990" s="7" t="n">
        <v>454.36</v>
      </c>
      <c r="F7990" s="7" t="n">
        <v>0</v>
      </c>
      <c r="G7990" s="7" t="n">
        <v>0</v>
      </c>
    </row>
    <row r="7991" customFormat="false" ht="15" hidden="false" customHeight="false" outlineLevel="0" collapsed="false">
      <c r="A7991" s="7" t="s">
        <v>24</v>
      </c>
      <c r="B7991" s="7" t="s">
        <v>527</v>
      </c>
      <c r="C7991" s="7" t="s">
        <v>1165</v>
      </c>
      <c r="D7991" s="7" t="n">
        <v>0</v>
      </c>
      <c r="E7991" s="7" t="n">
        <v>0</v>
      </c>
      <c r="F7991" s="7" t="n">
        <v>1</v>
      </c>
      <c r="G7991" s="7" t="n">
        <v>127.04</v>
      </c>
    </row>
    <row r="7992" customFormat="false" ht="15" hidden="false" customHeight="false" outlineLevel="0" collapsed="false">
      <c r="A7992" s="7" t="s">
        <v>24</v>
      </c>
      <c r="B7992" s="7" t="s">
        <v>527</v>
      </c>
      <c r="C7992" s="7" t="s">
        <v>1165</v>
      </c>
      <c r="D7992" s="7" t="n">
        <v>0</v>
      </c>
      <c r="E7992" s="7" t="n">
        <v>0</v>
      </c>
      <c r="F7992" s="7" t="n">
        <v>1</v>
      </c>
      <c r="G7992" s="7" t="n">
        <v>127.03</v>
      </c>
    </row>
    <row r="7993" customFormat="false" ht="15" hidden="false" customHeight="false" outlineLevel="0" collapsed="false">
      <c r="A7993" s="7" t="s">
        <v>24</v>
      </c>
      <c r="B7993" s="7" t="s">
        <v>527</v>
      </c>
      <c r="C7993" s="7" t="s">
        <v>1165</v>
      </c>
      <c r="D7993" s="7" t="n">
        <v>0</v>
      </c>
      <c r="E7993" s="7" t="n">
        <v>0</v>
      </c>
      <c r="F7993" s="7" t="n">
        <v>1</v>
      </c>
      <c r="G7993" s="7" t="n">
        <v>127.04</v>
      </c>
    </row>
    <row r="7994" customFormat="false" ht="15" hidden="false" customHeight="false" outlineLevel="0" collapsed="false">
      <c r="A7994" s="7" t="s">
        <v>24</v>
      </c>
      <c r="B7994" s="7" t="s">
        <v>527</v>
      </c>
      <c r="C7994" s="7" t="s">
        <v>1165</v>
      </c>
      <c r="D7994" s="7" t="n">
        <v>4</v>
      </c>
      <c r="E7994" s="7" t="n">
        <v>489.07</v>
      </c>
      <c r="F7994" s="7" t="n">
        <v>6</v>
      </c>
      <c r="G7994" s="7" t="n">
        <v>736.78</v>
      </c>
    </row>
    <row r="7995" customFormat="false" ht="15" hidden="false" customHeight="false" outlineLevel="0" collapsed="false">
      <c r="A7995" s="7" t="s">
        <v>24</v>
      </c>
      <c r="B7995" s="7" t="s">
        <v>527</v>
      </c>
      <c r="C7995" s="7" t="s">
        <v>1165</v>
      </c>
      <c r="D7995" s="7" t="n">
        <v>0</v>
      </c>
      <c r="E7995" s="7" t="n">
        <v>0</v>
      </c>
      <c r="F7995" s="7" t="n">
        <v>1</v>
      </c>
      <c r="G7995" s="7" t="n">
        <v>127.04</v>
      </c>
    </row>
    <row r="7996" customFormat="false" ht="15" hidden="false" customHeight="false" outlineLevel="0" collapsed="false">
      <c r="A7996" s="7" t="s">
        <v>24</v>
      </c>
      <c r="B7996" s="7" t="s">
        <v>491</v>
      </c>
      <c r="C7996" s="7" t="s">
        <v>1165</v>
      </c>
      <c r="D7996" s="7" t="n">
        <v>3</v>
      </c>
      <c r="E7996" s="7" t="n">
        <v>336.63</v>
      </c>
      <c r="F7996" s="7" t="n">
        <v>0</v>
      </c>
      <c r="G7996" s="7" t="n">
        <v>0</v>
      </c>
    </row>
    <row r="7997" customFormat="false" ht="15" hidden="false" customHeight="false" outlineLevel="0" collapsed="false">
      <c r="A7997" s="7" t="s">
        <v>24</v>
      </c>
      <c r="B7997" s="7" t="s">
        <v>808</v>
      </c>
      <c r="C7997" s="7" t="s">
        <v>1165</v>
      </c>
      <c r="D7997" s="7" t="n">
        <v>0</v>
      </c>
      <c r="E7997" s="7" t="n">
        <v>0</v>
      </c>
      <c r="F7997" s="7" t="n">
        <v>2</v>
      </c>
      <c r="G7997" s="7" t="n">
        <v>228.66</v>
      </c>
    </row>
    <row r="7998" customFormat="false" ht="15" hidden="false" customHeight="false" outlineLevel="0" collapsed="false">
      <c r="A7998" s="7" t="s">
        <v>24</v>
      </c>
      <c r="B7998" s="7" t="s">
        <v>808</v>
      </c>
      <c r="C7998" s="7" t="s">
        <v>1165</v>
      </c>
      <c r="D7998" s="7" t="n">
        <v>2</v>
      </c>
      <c r="E7998" s="7" t="n">
        <v>228.65</v>
      </c>
      <c r="F7998" s="7" t="n">
        <v>0</v>
      </c>
      <c r="G7998" s="7" t="n">
        <v>0</v>
      </c>
    </row>
    <row r="7999" customFormat="false" ht="15" hidden="false" customHeight="false" outlineLevel="0" collapsed="false">
      <c r="A7999" s="7" t="s">
        <v>24</v>
      </c>
      <c r="B7999" s="7" t="s">
        <v>553</v>
      </c>
      <c r="C7999" s="7" t="s">
        <v>1165</v>
      </c>
      <c r="D7999" s="7" t="n">
        <v>0</v>
      </c>
      <c r="E7999" s="7" t="n">
        <v>0</v>
      </c>
      <c r="F7999" s="7" t="n">
        <v>1</v>
      </c>
      <c r="G7999" s="7" t="n">
        <v>127.04</v>
      </c>
    </row>
    <row r="8000" customFormat="false" ht="15" hidden="false" customHeight="false" outlineLevel="0" collapsed="false">
      <c r="A8000" s="7" t="s">
        <v>24</v>
      </c>
      <c r="B8000" s="7" t="s">
        <v>553</v>
      </c>
      <c r="C8000" s="7" t="s">
        <v>1165</v>
      </c>
      <c r="D8000" s="7" t="n">
        <v>0</v>
      </c>
      <c r="E8000" s="7" t="n">
        <v>0</v>
      </c>
      <c r="F8000" s="7" t="n">
        <v>1</v>
      </c>
      <c r="G8000" s="7" t="n">
        <v>127.03</v>
      </c>
    </row>
    <row r="8001" customFormat="false" ht="15" hidden="false" customHeight="false" outlineLevel="0" collapsed="false">
      <c r="A8001" s="7" t="s">
        <v>24</v>
      </c>
      <c r="B8001" s="7" t="s">
        <v>553</v>
      </c>
      <c r="C8001" s="7" t="s">
        <v>1165</v>
      </c>
      <c r="D8001" s="7" t="n">
        <v>1</v>
      </c>
      <c r="E8001" s="7" t="n">
        <v>127.03</v>
      </c>
      <c r="F8001" s="7" t="n">
        <v>1</v>
      </c>
      <c r="G8001" s="7" t="n">
        <v>127.03</v>
      </c>
    </row>
    <row r="8002" customFormat="false" ht="15" hidden="false" customHeight="false" outlineLevel="0" collapsed="false">
      <c r="A8002" s="7" t="s">
        <v>24</v>
      </c>
      <c r="B8002" s="7" t="s">
        <v>307</v>
      </c>
      <c r="C8002" s="7" t="s">
        <v>1165</v>
      </c>
      <c r="D8002" s="7" t="n">
        <v>2</v>
      </c>
      <c r="E8002" s="7" t="n">
        <v>227.18</v>
      </c>
      <c r="F8002" s="7" t="n">
        <v>0</v>
      </c>
      <c r="G8002" s="7" t="n">
        <v>0</v>
      </c>
    </row>
    <row r="8003" customFormat="false" ht="15" hidden="false" customHeight="false" outlineLevel="0" collapsed="false">
      <c r="A8003" s="7" t="s">
        <v>24</v>
      </c>
      <c r="B8003" s="7" t="s">
        <v>307</v>
      </c>
      <c r="C8003" s="7" t="s">
        <v>1165</v>
      </c>
      <c r="D8003" s="7" t="n">
        <v>0</v>
      </c>
      <c r="E8003" s="7" t="n">
        <v>0</v>
      </c>
      <c r="F8003" s="7" t="n">
        <v>2</v>
      </c>
      <c r="G8003" s="7" t="n">
        <v>254.07</v>
      </c>
    </row>
    <row r="8004" customFormat="false" ht="15" hidden="false" customHeight="false" outlineLevel="0" collapsed="false">
      <c r="A8004" s="7" t="s">
        <v>24</v>
      </c>
      <c r="B8004" s="7" t="s">
        <v>307</v>
      </c>
      <c r="C8004" s="7" t="s">
        <v>1165</v>
      </c>
      <c r="D8004" s="7" t="n">
        <v>0</v>
      </c>
      <c r="E8004" s="7" t="n">
        <v>0</v>
      </c>
      <c r="F8004" s="7" t="n">
        <v>1</v>
      </c>
      <c r="G8004" s="7" t="n">
        <v>114.34</v>
      </c>
    </row>
    <row r="8005" customFormat="false" ht="15" hidden="false" customHeight="false" outlineLevel="0" collapsed="false">
      <c r="A8005" s="7" t="s">
        <v>24</v>
      </c>
      <c r="B8005" s="7" t="s">
        <v>307</v>
      </c>
      <c r="C8005" s="7" t="s">
        <v>1165</v>
      </c>
      <c r="D8005" s="7" t="n">
        <v>0</v>
      </c>
      <c r="E8005" s="7" t="n">
        <v>0</v>
      </c>
      <c r="F8005" s="7" t="n">
        <v>1</v>
      </c>
      <c r="G8005" s="7" t="n">
        <v>127.04</v>
      </c>
    </row>
    <row r="8006" customFormat="false" ht="15" hidden="false" customHeight="false" outlineLevel="0" collapsed="false">
      <c r="A8006" s="7" t="s">
        <v>24</v>
      </c>
      <c r="B8006" s="7" t="s">
        <v>307</v>
      </c>
      <c r="C8006" s="7" t="s">
        <v>1165</v>
      </c>
      <c r="D8006" s="7" t="n">
        <v>0</v>
      </c>
      <c r="E8006" s="7" t="n">
        <v>0</v>
      </c>
      <c r="F8006" s="7" t="n">
        <v>1</v>
      </c>
      <c r="G8006" s="7" t="n">
        <v>127.03</v>
      </c>
    </row>
    <row r="8007" customFormat="false" ht="15" hidden="false" customHeight="false" outlineLevel="0" collapsed="false">
      <c r="A8007" s="7" t="s">
        <v>24</v>
      </c>
      <c r="B8007" s="7" t="s">
        <v>307</v>
      </c>
      <c r="C8007" s="7" t="s">
        <v>1165</v>
      </c>
      <c r="D8007" s="7" t="n">
        <v>5</v>
      </c>
      <c r="E8007" s="7" t="n">
        <v>609.74</v>
      </c>
      <c r="F8007" s="7" t="n">
        <v>5</v>
      </c>
      <c r="G8007" s="7" t="n">
        <v>597.05</v>
      </c>
    </row>
    <row r="8008" customFormat="false" ht="15" hidden="false" customHeight="false" outlineLevel="0" collapsed="false">
      <c r="A8008" s="7" t="s">
        <v>24</v>
      </c>
      <c r="B8008" s="7" t="s">
        <v>307</v>
      </c>
      <c r="C8008" s="7" t="s">
        <v>1165</v>
      </c>
      <c r="D8008" s="7" t="n">
        <v>0</v>
      </c>
      <c r="E8008" s="7" t="n">
        <v>0</v>
      </c>
      <c r="F8008" s="7" t="n">
        <v>2</v>
      </c>
      <c r="G8008" s="7" t="n">
        <v>254.07</v>
      </c>
    </row>
    <row r="8009" customFormat="false" ht="15" hidden="false" customHeight="false" outlineLevel="0" collapsed="false">
      <c r="A8009" s="7" t="s">
        <v>24</v>
      </c>
      <c r="B8009" s="7" t="s">
        <v>307</v>
      </c>
      <c r="C8009" s="7" t="s">
        <v>1165</v>
      </c>
      <c r="D8009" s="7" t="n">
        <v>0</v>
      </c>
      <c r="E8009" s="7" t="n">
        <v>0</v>
      </c>
      <c r="F8009" s="7" t="n">
        <v>1</v>
      </c>
      <c r="G8009" s="7" t="n">
        <v>114.33</v>
      </c>
    </row>
    <row r="8010" customFormat="false" ht="15" hidden="false" customHeight="false" outlineLevel="0" collapsed="false">
      <c r="A8010" s="7" t="s">
        <v>24</v>
      </c>
      <c r="B8010" s="7" t="s">
        <v>307</v>
      </c>
      <c r="C8010" s="7" t="s">
        <v>1165</v>
      </c>
      <c r="D8010" s="7" t="n">
        <v>0</v>
      </c>
      <c r="E8010" s="7" t="n">
        <v>0</v>
      </c>
      <c r="F8010" s="7" t="n">
        <v>1</v>
      </c>
      <c r="G8010" s="7" t="n">
        <v>114.33</v>
      </c>
    </row>
    <row r="8011" customFormat="false" ht="15" hidden="false" customHeight="false" outlineLevel="0" collapsed="false">
      <c r="A8011" s="7" t="s">
        <v>24</v>
      </c>
      <c r="B8011" s="7" t="s">
        <v>164</v>
      </c>
      <c r="C8011" s="7" t="s">
        <v>1133</v>
      </c>
      <c r="D8011" s="7" t="n">
        <v>0</v>
      </c>
      <c r="E8011" s="7" t="n">
        <v>0</v>
      </c>
      <c r="F8011" s="7" t="n">
        <v>1</v>
      </c>
      <c r="G8011" s="7" t="n">
        <v>254.16</v>
      </c>
    </row>
    <row r="8012" customFormat="false" ht="15" hidden="false" customHeight="false" outlineLevel="0" collapsed="false">
      <c r="A8012" s="7" t="s">
        <v>24</v>
      </c>
      <c r="B8012" s="7" t="s">
        <v>164</v>
      </c>
      <c r="C8012" s="7" t="s">
        <v>1133</v>
      </c>
      <c r="D8012" s="7" t="n">
        <v>0</v>
      </c>
      <c r="E8012" s="7" t="n">
        <v>0</v>
      </c>
      <c r="F8012" s="7" t="n">
        <v>1</v>
      </c>
      <c r="G8012" s="7" t="n">
        <v>254.16</v>
      </c>
    </row>
    <row r="8013" customFormat="false" ht="15" hidden="false" customHeight="false" outlineLevel="0" collapsed="false">
      <c r="A8013" s="7" t="s">
        <v>24</v>
      </c>
      <c r="B8013" s="7" t="s">
        <v>164</v>
      </c>
      <c r="C8013" s="7" t="s">
        <v>1133</v>
      </c>
      <c r="D8013" s="7" t="n">
        <v>6</v>
      </c>
      <c r="E8013" s="7" t="n">
        <v>1524.9</v>
      </c>
      <c r="F8013" s="7" t="n">
        <v>5</v>
      </c>
      <c r="G8013" s="7" t="n">
        <v>1245.33</v>
      </c>
    </row>
    <row r="8014" customFormat="false" ht="15" hidden="false" customHeight="false" outlineLevel="0" collapsed="false">
      <c r="A8014" s="7" t="s">
        <v>24</v>
      </c>
      <c r="B8014" s="7" t="s">
        <v>164</v>
      </c>
      <c r="C8014" s="7" t="s">
        <v>1133</v>
      </c>
      <c r="D8014" s="7" t="n">
        <v>0</v>
      </c>
      <c r="E8014" s="7" t="n">
        <v>0</v>
      </c>
      <c r="F8014" s="7" t="n">
        <v>1</v>
      </c>
      <c r="G8014" s="7" t="n">
        <v>228.73</v>
      </c>
    </row>
    <row r="8015" customFormat="false" ht="15" hidden="false" customHeight="false" outlineLevel="0" collapsed="false">
      <c r="A8015" s="7" t="s">
        <v>24</v>
      </c>
      <c r="B8015" s="7" t="s">
        <v>164</v>
      </c>
      <c r="C8015" s="7" t="s">
        <v>1133</v>
      </c>
      <c r="D8015" s="7" t="n">
        <v>1</v>
      </c>
      <c r="E8015" s="7" t="n">
        <v>210.98</v>
      </c>
      <c r="F8015" s="7" t="n">
        <v>0</v>
      </c>
      <c r="G8015" s="7" t="n">
        <v>0</v>
      </c>
    </row>
    <row r="8016" customFormat="false" ht="15" hidden="false" customHeight="false" outlineLevel="0" collapsed="false">
      <c r="A8016" s="7" t="s">
        <v>24</v>
      </c>
      <c r="B8016" s="7" t="s">
        <v>164</v>
      </c>
      <c r="C8016" s="7" t="s">
        <v>1133</v>
      </c>
      <c r="D8016" s="7" t="n">
        <v>0</v>
      </c>
      <c r="E8016" s="7" t="n">
        <v>0</v>
      </c>
      <c r="F8016" s="7" t="n">
        <v>2</v>
      </c>
      <c r="G8016" s="7" t="n">
        <v>457.48</v>
      </c>
    </row>
    <row r="8017" customFormat="false" ht="15" hidden="false" customHeight="false" outlineLevel="0" collapsed="false">
      <c r="A8017" s="7" t="s">
        <v>24</v>
      </c>
      <c r="B8017" s="7" t="s">
        <v>164</v>
      </c>
      <c r="C8017" s="7" t="s">
        <v>1133</v>
      </c>
      <c r="D8017" s="7" t="n">
        <v>0</v>
      </c>
      <c r="E8017" s="7" t="n">
        <v>0</v>
      </c>
      <c r="F8017" s="7" t="n">
        <v>1</v>
      </c>
      <c r="G8017" s="7" t="n">
        <v>254.15</v>
      </c>
    </row>
    <row r="8018" customFormat="false" ht="15" hidden="false" customHeight="false" outlineLevel="0" collapsed="false">
      <c r="A8018" s="7" t="s">
        <v>24</v>
      </c>
      <c r="B8018" s="7" t="s">
        <v>164</v>
      </c>
      <c r="C8018" s="7" t="s">
        <v>1133</v>
      </c>
      <c r="D8018" s="7" t="n">
        <v>0</v>
      </c>
      <c r="E8018" s="7" t="n">
        <v>0</v>
      </c>
      <c r="F8018" s="7" t="n">
        <v>1</v>
      </c>
      <c r="G8018" s="7" t="n">
        <v>254.16</v>
      </c>
    </row>
    <row r="8019" customFormat="false" ht="15" hidden="false" customHeight="false" outlineLevel="0" collapsed="false">
      <c r="A8019" s="7" t="s">
        <v>24</v>
      </c>
      <c r="B8019" s="7" t="s">
        <v>164</v>
      </c>
      <c r="C8019" s="7" t="s">
        <v>1133</v>
      </c>
      <c r="D8019" s="7" t="n">
        <v>0</v>
      </c>
      <c r="E8019" s="7" t="n">
        <v>0</v>
      </c>
      <c r="F8019" s="7" t="n">
        <v>2</v>
      </c>
      <c r="G8019" s="7" t="n">
        <v>457.48</v>
      </c>
    </row>
    <row r="8020" customFormat="false" ht="15" hidden="false" customHeight="false" outlineLevel="0" collapsed="false">
      <c r="A8020" s="7" t="s">
        <v>24</v>
      </c>
      <c r="B8020" s="7" t="s">
        <v>164</v>
      </c>
      <c r="C8020" s="7" t="s">
        <v>1133</v>
      </c>
      <c r="D8020" s="7" t="n">
        <v>0</v>
      </c>
      <c r="E8020" s="7" t="n">
        <v>0</v>
      </c>
      <c r="F8020" s="7" t="n">
        <v>1</v>
      </c>
      <c r="G8020" s="7" t="n">
        <v>254.15</v>
      </c>
    </row>
    <row r="8021" customFormat="false" ht="15" hidden="false" customHeight="false" outlineLevel="0" collapsed="false">
      <c r="A8021" s="7" t="s">
        <v>24</v>
      </c>
      <c r="B8021" s="7" t="s">
        <v>164</v>
      </c>
      <c r="C8021" s="7" t="s">
        <v>1133</v>
      </c>
      <c r="D8021" s="7" t="n">
        <v>0</v>
      </c>
      <c r="E8021" s="7" t="n">
        <v>0</v>
      </c>
      <c r="F8021" s="7" t="n">
        <v>1</v>
      </c>
      <c r="G8021" s="7" t="n">
        <v>228.74</v>
      </c>
    </row>
    <row r="8022" customFormat="false" ht="15" hidden="false" customHeight="false" outlineLevel="0" collapsed="false">
      <c r="A8022" s="7" t="s">
        <v>24</v>
      </c>
      <c r="B8022" s="7" t="s">
        <v>164</v>
      </c>
      <c r="C8022" s="7" t="s">
        <v>1133</v>
      </c>
      <c r="D8022" s="7" t="n">
        <v>0</v>
      </c>
      <c r="E8022" s="7" t="n">
        <v>0</v>
      </c>
      <c r="F8022" s="7" t="n">
        <v>1</v>
      </c>
      <c r="G8022" s="7" t="n">
        <v>254.15</v>
      </c>
    </row>
    <row r="8023" customFormat="false" ht="15" hidden="false" customHeight="false" outlineLevel="0" collapsed="false">
      <c r="A8023" s="7" t="s">
        <v>24</v>
      </c>
      <c r="B8023" s="7" t="s">
        <v>164</v>
      </c>
      <c r="C8023" s="7" t="s">
        <v>1133</v>
      </c>
      <c r="D8023" s="7" t="n">
        <v>0</v>
      </c>
      <c r="E8023" s="7" t="n">
        <v>0</v>
      </c>
      <c r="F8023" s="7" t="n">
        <v>1</v>
      </c>
      <c r="G8023" s="7" t="n">
        <v>254.15</v>
      </c>
    </row>
    <row r="8024" customFormat="false" ht="15" hidden="false" customHeight="false" outlineLevel="0" collapsed="false">
      <c r="A8024" s="7" t="s">
        <v>24</v>
      </c>
      <c r="B8024" s="7" t="s">
        <v>205</v>
      </c>
      <c r="C8024" s="7" t="s">
        <v>1133</v>
      </c>
      <c r="D8024" s="7" t="n">
        <v>0</v>
      </c>
      <c r="E8024" s="7" t="n">
        <v>0</v>
      </c>
      <c r="F8024" s="7" t="n">
        <v>1</v>
      </c>
      <c r="G8024" s="7" t="n">
        <v>254.16</v>
      </c>
    </row>
    <row r="8025" customFormat="false" ht="15" hidden="false" customHeight="false" outlineLevel="0" collapsed="false">
      <c r="A8025" s="7" t="s">
        <v>24</v>
      </c>
      <c r="B8025" s="7" t="s">
        <v>205</v>
      </c>
      <c r="C8025" s="7" t="s">
        <v>1133</v>
      </c>
      <c r="D8025" s="7" t="n">
        <v>2</v>
      </c>
      <c r="E8025" s="7" t="n">
        <v>508.3</v>
      </c>
      <c r="F8025" s="7" t="n">
        <v>4</v>
      </c>
      <c r="G8025" s="7" t="n">
        <v>991.18</v>
      </c>
    </row>
    <row r="8026" customFormat="false" ht="15" hidden="false" customHeight="false" outlineLevel="0" collapsed="false">
      <c r="A8026" s="7" t="s">
        <v>24</v>
      </c>
      <c r="B8026" s="7" t="s">
        <v>205</v>
      </c>
      <c r="C8026" s="7" t="s">
        <v>1133</v>
      </c>
      <c r="D8026" s="7" t="n">
        <v>0</v>
      </c>
      <c r="E8026" s="7" t="n">
        <v>0</v>
      </c>
      <c r="F8026" s="7" t="n">
        <v>1</v>
      </c>
      <c r="G8026" s="7" t="n">
        <v>228.74</v>
      </c>
    </row>
    <row r="8027" customFormat="false" ht="15" hidden="false" customHeight="false" outlineLevel="0" collapsed="false">
      <c r="A8027" s="7" t="s">
        <v>24</v>
      </c>
      <c r="B8027" s="7" t="s">
        <v>205</v>
      </c>
      <c r="C8027" s="7" t="s">
        <v>1133</v>
      </c>
      <c r="D8027" s="7" t="n">
        <v>0</v>
      </c>
      <c r="E8027" s="7" t="n">
        <v>0</v>
      </c>
      <c r="F8027" s="7" t="n">
        <v>1</v>
      </c>
      <c r="G8027" s="7" t="n">
        <v>254.15</v>
      </c>
    </row>
    <row r="8028" customFormat="false" ht="15" hidden="false" customHeight="false" outlineLevel="0" collapsed="false">
      <c r="A8028" s="7" t="s">
        <v>24</v>
      </c>
      <c r="B8028" s="7" t="s">
        <v>205</v>
      </c>
      <c r="C8028" s="7" t="s">
        <v>1133</v>
      </c>
      <c r="D8028" s="7" t="n">
        <v>0</v>
      </c>
      <c r="E8028" s="7" t="n">
        <v>0</v>
      </c>
      <c r="F8028" s="7" t="n">
        <v>1</v>
      </c>
      <c r="G8028" s="7" t="n">
        <v>254.16</v>
      </c>
    </row>
    <row r="8029" customFormat="false" ht="15" hidden="false" customHeight="false" outlineLevel="0" collapsed="false">
      <c r="A8029" s="7" t="s">
        <v>24</v>
      </c>
      <c r="B8029" s="7" t="s">
        <v>205</v>
      </c>
      <c r="C8029" s="7" t="s">
        <v>1133</v>
      </c>
      <c r="D8029" s="7" t="n">
        <v>0</v>
      </c>
      <c r="E8029" s="7" t="n">
        <v>0</v>
      </c>
      <c r="F8029" s="7" t="n">
        <v>1</v>
      </c>
      <c r="G8029" s="7" t="n">
        <v>254.15</v>
      </c>
    </row>
    <row r="8030" customFormat="false" ht="15" hidden="false" customHeight="false" outlineLevel="0" collapsed="false">
      <c r="A8030" s="7" t="s">
        <v>24</v>
      </c>
      <c r="B8030" s="7" t="s">
        <v>333</v>
      </c>
      <c r="C8030" s="7" t="s">
        <v>1133</v>
      </c>
      <c r="D8030" s="7" t="n">
        <v>2</v>
      </c>
      <c r="E8030" s="7" t="n">
        <v>508.3</v>
      </c>
      <c r="F8030" s="7" t="n">
        <v>3</v>
      </c>
      <c r="G8030" s="7" t="n">
        <v>737.03</v>
      </c>
    </row>
    <row r="8031" customFormat="false" ht="15" hidden="false" customHeight="false" outlineLevel="0" collapsed="false">
      <c r="A8031" s="7" t="s">
        <v>24</v>
      </c>
      <c r="B8031" s="7" t="s">
        <v>333</v>
      </c>
      <c r="C8031" s="7" t="s">
        <v>1133</v>
      </c>
      <c r="D8031" s="7" t="n">
        <v>0</v>
      </c>
      <c r="E8031" s="7" t="n">
        <v>0</v>
      </c>
      <c r="F8031" s="7" t="n">
        <v>1</v>
      </c>
      <c r="G8031" s="7" t="n">
        <v>254.16</v>
      </c>
    </row>
    <row r="8032" customFormat="false" ht="15" hidden="false" customHeight="false" outlineLevel="0" collapsed="false">
      <c r="A8032" s="7" t="s">
        <v>24</v>
      </c>
      <c r="B8032" s="7" t="s">
        <v>333</v>
      </c>
      <c r="C8032" s="7" t="s">
        <v>1133</v>
      </c>
      <c r="D8032" s="7" t="n">
        <v>0</v>
      </c>
      <c r="E8032" s="7" t="n">
        <v>0</v>
      </c>
      <c r="F8032" s="7" t="n">
        <v>1</v>
      </c>
      <c r="G8032" s="7" t="n">
        <v>254.15</v>
      </c>
    </row>
    <row r="8033" customFormat="false" ht="15" hidden="false" customHeight="false" outlineLevel="0" collapsed="false">
      <c r="A8033" s="7" t="s">
        <v>24</v>
      </c>
      <c r="B8033" s="7" t="s">
        <v>705</v>
      </c>
      <c r="C8033" s="7" t="s">
        <v>1133</v>
      </c>
      <c r="D8033" s="7" t="n">
        <v>0</v>
      </c>
      <c r="E8033" s="7" t="n">
        <v>0</v>
      </c>
      <c r="F8033" s="7" t="n">
        <v>1</v>
      </c>
      <c r="G8033" s="7" t="n">
        <v>254.16</v>
      </c>
    </row>
    <row r="8034" customFormat="false" ht="15" hidden="false" customHeight="false" outlineLevel="0" collapsed="false">
      <c r="A8034" s="7" t="s">
        <v>24</v>
      </c>
      <c r="B8034" s="7" t="s">
        <v>705</v>
      </c>
      <c r="C8034" s="7" t="s">
        <v>1133</v>
      </c>
      <c r="D8034" s="7" t="n">
        <v>0</v>
      </c>
      <c r="E8034" s="7" t="n">
        <v>0</v>
      </c>
      <c r="F8034" s="7" t="n">
        <v>1</v>
      </c>
      <c r="G8034" s="7" t="n">
        <v>254.15</v>
      </c>
    </row>
    <row r="8035" customFormat="false" ht="15" hidden="false" customHeight="false" outlineLevel="0" collapsed="false">
      <c r="A8035" s="7" t="s">
        <v>24</v>
      </c>
      <c r="B8035" s="7" t="s">
        <v>705</v>
      </c>
      <c r="C8035" s="7" t="s">
        <v>1133</v>
      </c>
      <c r="D8035" s="7" t="n">
        <v>4</v>
      </c>
      <c r="E8035" s="7" t="n">
        <v>927.65</v>
      </c>
      <c r="F8035" s="7" t="n">
        <v>1</v>
      </c>
      <c r="G8035" s="7" t="n">
        <v>254.15</v>
      </c>
    </row>
    <row r="8036" customFormat="false" ht="15" hidden="false" customHeight="false" outlineLevel="0" collapsed="false">
      <c r="A8036" s="7" t="s">
        <v>24</v>
      </c>
      <c r="B8036" s="7" t="s">
        <v>705</v>
      </c>
      <c r="C8036" s="7" t="s">
        <v>1133</v>
      </c>
      <c r="D8036" s="7" t="n">
        <v>0</v>
      </c>
      <c r="E8036" s="7" t="n">
        <v>0</v>
      </c>
      <c r="F8036" s="7" t="n">
        <v>1</v>
      </c>
      <c r="G8036" s="7" t="n">
        <v>254.15</v>
      </c>
    </row>
    <row r="8037" customFormat="false" ht="15" hidden="false" customHeight="false" outlineLevel="0" collapsed="false">
      <c r="A8037" s="7" t="s">
        <v>24</v>
      </c>
      <c r="B8037" s="7" t="s">
        <v>467</v>
      </c>
      <c r="C8037" s="7" t="s">
        <v>1133</v>
      </c>
      <c r="D8037" s="7" t="n">
        <v>4</v>
      </c>
      <c r="E8037" s="7" t="n">
        <v>927.65</v>
      </c>
      <c r="F8037" s="7" t="n">
        <v>3</v>
      </c>
      <c r="G8037" s="7" t="n">
        <v>762.45</v>
      </c>
    </row>
    <row r="8038" customFormat="false" ht="15" hidden="false" customHeight="false" outlineLevel="0" collapsed="false">
      <c r="A8038" s="7" t="s">
        <v>24</v>
      </c>
      <c r="B8038" s="7" t="s">
        <v>467</v>
      </c>
      <c r="C8038" s="7" t="s">
        <v>1133</v>
      </c>
      <c r="D8038" s="7" t="n">
        <v>1</v>
      </c>
      <c r="E8038" s="7" t="n">
        <v>210.99</v>
      </c>
      <c r="F8038" s="7" t="n">
        <v>0</v>
      </c>
      <c r="G8038" s="7" t="n">
        <v>0</v>
      </c>
    </row>
    <row r="8039" customFormat="false" ht="15" hidden="false" customHeight="false" outlineLevel="0" collapsed="false">
      <c r="A8039" s="7" t="s">
        <v>24</v>
      </c>
      <c r="B8039" s="7" t="s">
        <v>340</v>
      </c>
      <c r="C8039" s="7" t="s">
        <v>1301</v>
      </c>
      <c r="D8039" s="7" t="n">
        <v>7</v>
      </c>
      <c r="E8039" s="7" t="n">
        <v>817.7</v>
      </c>
      <c r="F8039" s="7" t="n">
        <v>0</v>
      </c>
      <c r="G8039" s="7" t="n">
        <v>0</v>
      </c>
    </row>
    <row r="8040" customFormat="false" ht="15" hidden="false" customHeight="false" outlineLevel="0" collapsed="false">
      <c r="A8040" s="7" t="s">
        <v>24</v>
      </c>
      <c r="B8040" s="7" t="s">
        <v>340</v>
      </c>
      <c r="C8040" s="7" t="s">
        <v>1301</v>
      </c>
      <c r="D8040" s="7" t="n">
        <v>0</v>
      </c>
      <c r="E8040" s="7" t="n">
        <v>0</v>
      </c>
      <c r="F8040" s="7" t="n">
        <v>1</v>
      </c>
      <c r="G8040" s="7" t="n">
        <v>120.26</v>
      </c>
    </row>
    <row r="8041" customFormat="false" ht="15" hidden="false" customHeight="false" outlineLevel="0" collapsed="false">
      <c r="A8041" s="7" t="s">
        <v>24</v>
      </c>
      <c r="B8041" s="7" t="s">
        <v>340</v>
      </c>
      <c r="C8041" s="7" t="s">
        <v>1301</v>
      </c>
      <c r="D8041" s="7" t="n">
        <v>-1</v>
      </c>
      <c r="E8041" s="7" t="n">
        <v>-0.01</v>
      </c>
      <c r="F8041" s="7" t="n">
        <v>0</v>
      </c>
      <c r="G8041" s="7" t="n">
        <v>0</v>
      </c>
    </row>
    <row r="8042" customFormat="false" ht="15" hidden="false" customHeight="false" outlineLevel="0" collapsed="false">
      <c r="A8042" s="7" t="s">
        <v>24</v>
      </c>
      <c r="B8042" s="7" t="s">
        <v>380</v>
      </c>
      <c r="C8042" s="7" t="s">
        <v>1301</v>
      </c>
      <c r="D8042" s="7" t="n">
        <v>5</v>
      </c>
      <c r="E8042" s="7" t="n">
        <v>577.2</v>
      </c>
      <c r="F8042" s="7" t="n">
        <v>0</v>
      </c>
      <c r="G8042" s="7" t="n">
        <v>0</v>
      </c>
    </row>
    <row r="8043" customFormat="false" ht="15" hidden="false" customHeight="false" outlineLevel="0" collapsed="false">
      <c r="A8043" s="7" t="s">
        <v>24</v>
      </c>
      <c r="B8043" s="7" t="s">
        <v>715</v>
      </c>
      <c r="C8043" s="7" t="s">
        <v>1301</v>
      </c>
      <c r="D8043" s="7" t="n">
        <v>2</v>
      </c>
      <c r="E8043" s="7" t="n">
        <v>204.42</v>
      </c>
      <c r="F8043" s="7" t="n">
        <v>0</v>
      </c>
      <c r="G8043" s="7" t="n">
        <v>0</v>
      </c>
    </row>
    <row r="8044" customFormat="false" ht="15" hidden="false" customHeight="false" outlineLevel="0" collapsed="false">
      <c r="A8044" s="7" t="s">
        <v>24</v>
      </c>
      <c r="B8044" s="7" t="s">
        <v>715</v>
      </c>
      <c r="C8044" s="7" t="s">
        <v>1301</v>
      </c>
      <c r="D8044" s="7" t="n">
        <v>0</v>
      </c>
      <c r="E8044" s="7" t="n">
        <v>0</v>
      </c>
      <c r="F8044" s="7" t="n">
        <v>1</v>
      </c>
      <c r="G8044" s="7" t="n">
        <v>120.25</v>
      </c>
    </row>
    <row r="8045" customFormat="false" ht="15" hidden="false" customHeight="false" outlineLevel="0" collapsed="false">
      <c r="A8045" s="7" t="s">
        <v>24</v>
      </c>
      <c r="B8045" s="7" t="s">
        <v>679</v>
      </c>
      <c r="C8045" s="7" t="s">
        <v>1301</v>
      </c>
      <c r="D8045" s="7" t="n">
        <v>2</v>
      </c>
      <c r="E8045" s="7" t="n">
        <v>240.5</v>
      </c>
      <c r="F8045" s="7" t="n">
        <v>0</v>
      </c>
      <c r="G8045" s="7" t="n">
        <v>0</v>
      </c>
    </row>
    <row r="8046" customFormat="false" ht="15" hidden="false" customHeight="false" outlineLevel="0" collapsed="false">
      <c r="A8046" s="7" t="s">
        <v>24</v>
      </c>
      <c r="B8046" s="7" t="s">
        <v>679</v>
      </c>
      <c r="C8046" s="7" t="s">
        <v>1301</v>
      </c>
      <c r="D8046" s="7" t="n">
        <v>0</v>
      </c>
      <c r="E8046" s="7" t="n">
        <v>0</v>
      </c>
      <c r="F8046" s="7" t="n">
        <v>1</v>
      </c>
      <c r="G8046" s="7" t="n">
        <v>120.25</v>
      </c>
    </row>
    <row r="8047" customFormat="false" ht="15" hidden="false" customHeight="false" outlineLevel="0" collapsed="false">
      <c r="A8047" s="7" t="s">
        <v>24</v>
      </c>
      <c r="B8047" s="7" t="s">
        <v>264</v>
      </c>
      <c r="C8047" s="7" t="s">
        <v>1134</v>
      </c>
      <c r="D8047" s="7" t="n">
        <v>0</v>
      </c>
      <c r="E8047" s="7" t="n">
        <v>0</v>
      </c>
      <c r="F8047" s="7" t="n">
        <v>1</v>
      </c>
      <c r="G8047" s="7" t="n">
        <v>194.83</v>
      </c>
    </row>
    <row r="8048" customFormat="false" ht="15" hidden="false" customHeight="false" outlineLevel="0" collapsed="false">
      <c r="A8048" s="7" t="s">
        <v>24</v>
      </c>
      <c r="B8048" s="7" t="s">
        <v>264</v>
      </c>
      <c r="C8048" s="7" t="s">
        <v>1134</v>
      </c>
      <c r="D8048" s="7" t="n">
        <v>0</v>
      </c>
      <c r="E8048" s="7" t="n">
        <v>0</v>
      </c>
      <c r="F8048" s="7" t="n">
        <v>3</v>
      </c>
      <c r="G8048" s="7" t="n">
        <v>584.49</v>
      </c>
    </row>
    <row r="8049" customFormat="false" ht="15" hidden="false" customHeight="false" outlineLevel="0" collapsed="false">
      <c r="A8049" s="7" t="s">
        <v>24</v>
      </c>
      <c r="B8049" s="7" t="s">
        <v>264</v>
      </c>
      <c r="C8049" s="7" t="s">
        <v>1134</v>
      </c>
      <c r="D8049" s="7" t="n">
        <v>2</v>
      </c>
      <c r="E8049" s="7" t="n">
        <v>331.21</v>
      </c>
      <c r="F8049" s="7" t="n">
        <v>3</v>
      </c>
      <c r="G8049" s="7" t="n">
        <v>506.56</v>
      </c>
    </row>
    <row r="8050" customFormat="false" ht="15" hidden="false" customHeight="false" outlineLevel="0" collapsed="false">
      <c r="A8050" s="7" t="s">
        <v>24</v>
      </c>
      <c r="B8050" s="7" t="s">
        <v>264</v>
      </c>
      <c r="C8050" s="7" t="s">
        <v>1134</v>
      </c>
      <c r="D8050" s="7" t="n">
        <v>0</v>
      </c>
      <c r="E8050" s="7" t="n">
        <v>0</v>
      </c>
      <c r="F8050" s="7" t="n">
        <v>1</v>
      </c>
      <c r="G8050" s="7" t="n">
        <v>175.35</v>
      </c>
    </row>
    <row r="8051" customFormat="false" ht="15" hidden="false" customHeight="false" outlineLevel="0" collapsed="false">
      <c r="A8051" s="7" t="s">
        <v>24</v>
      </c>
      <c r="B8051" s="7" t="s">
        <v>388</v>
      </c>
      <c r="C8051" s="7" t="s">
        <v>1134</v>
      </c>
      <c r="D8051" s="7" t="n">
        <v>0</v>
      </c>
      <c r="E8051" s="7" t="n">
        <v>0</v>
      </c>
      <c r="F8051" s="7" t="n">
        <v>1</v>
      </c>
      <c r="G8051" s="7" t="n">
        <v>175.35</v>
      </c>
    </row>
    <row r="8052" customFormat="false" ht="15" hidden="false" customHeight="false" outlineLevel="0" collapsed="false">
      <c r="A8052" s="7" t="s">
        <v>24</v>
      </c>
      <c r="B8052" s="7" t="s">
        <v>388</v>
      </c>
      <c r="C8052" s="7" t="s">
        <v>1134</v>
      </c>
      <c r="D8052" s="7" t="n">
        <v>0</v>
      </c>
      <c r="E8052" s="7" t="n">
        <v>0</v>
      </c>
      <c r="F8052" s="7" t="n">
        <v>2</v>
      </c>
      <c r="G8052" s="7" t="n">
        <v>389.66</v>
      </c>
    </row>
    <row r="8053" customFormat="false" ht="15" hidden="false" customHeight="false" outlineLevel="0" collapsed="false">
      <c r="A8053" s="7" t="s">
        <v>24</v>
      </c>
      <c r="B8053" s="7" t="s">
        <v>607</v>
      </c>
      <c r="C8053" s="7" t="s">
        <v>1134</v>
      </c>
      <c r="D8053" s="7" t="n">
        <v>0</v>
      </c>
      <c r="E8053" s="7" t="n">
        <v>0</v>
      </c>
      <c r="F8053" s="7" t="n">
        <v>1</v>
      </c>
      <c r="G8053" s="7" t="n">
        <v>194.83</v>
      </c>
    </row>
    <row r="8054" customFormat="false" ht="15" hidden="false" customHeight="false" outlineLevel="0" collapsed="false">
      <c r="A8054" s="7" t="s">
        <v>24</v>
      </c>
      <c r="B8054" s="7" t="s">
        <v>770</v>
      </c>
      <c r="C8054" s="7" t="s">
        <v>1134</v>
      </c>
      <c r="D8054" s="7" t="n">
        <v>1</v>
      </c>
      <c r="E8054" s="7" t="n">
        <v>194.83</v>
      </c>
      <c r="F8054" s="7" t="n">
        <v>0</v>
      </c>
      <c r="G8054" s="7" t="n">
        <v>0</v>
      </c>
    </row>
    <row r="8055" customFormat="false" ht="15" hidden="false" customHeight="false" outlineLevel="0" collapsed="false">
      <c r="A8055" s="7" t="s">
        <v>24</v>
      </c>
      <c r="B8055" s="7" t="s">
        <v>770</v>
      </c>
      <c r="C8055" s="7" t="s">
        <v>1134</v>
      </c>
      <c r="D8055" s="7" t="n">
        <v>0</v>
      </c>
      <c r="E8055" s="7" t="n">
        <v>0</v>
      </c>
      <c r="F8055" s="7" t="n">
        <v>1</v>
      </c>
      <c r="G8055" s="7" t="n">
        <v>165.61</v>
      </c>
    </row>
    <row r="8056" customFormat="false" ht="15" hidden="false" customHeight="false" outlineLevel="0" collapsed="false">
      <c r="A8056" s="7" t="s">
        <v>24</v>
      </c>
      <c r="B8056" s="7" t="s">
        <v>608</v>
      </c>
      <c r="C8056" s="7" t="s">
        <v>1302</v>
      </c>
      <c r="D8056" s="7" t="n">
        <v>0</v>
      </c>
      <c r="E8056" s="7" t="n">
        <v>0</v>
      </c>
      <c r="F8056" s="7" t="n">
        <v>1</v>
      </c>
      <c r="G8056" s="7" t="n">
        <v>194.83</v>
      </c>
    </row>
    <row r="8057" customFormat="false" ht="15" hidden="false" customHeight="false" outlineLevel="0" collapsed="false">
      <c r="A8057" s="7" t="s">
        <v>24</v>
      </c>
      <c r="B8057" s="7" t="s">
        <v>812</v>
      </c>
      <c r="C8057" s="7" t="s">
        <v>1134</v>
      </c>
      <c r="D8057" s="7" t="n">
        <v>1</v>
      </c>
      <c r="E8057" s="7" t="n">
        <v>194.83</v>
      </c>
      <c r="F8057" s="7" t="n">
        <v>0</v>
      </c>
      <c r="G8057" s="7" t="n">
        <v>0</v>
      </c>
    </row>
    <row r="8058" customFormat="false" ht="15" hidden="false" customHeight="false" outlineLevel="0" collapsed="false">
      <c r="A8058" s="7" t="s">
        <v>24</v>
      </c>
      <c r="B8058" s="7" t="s">
        <v>812</v>
      </c>
      <c r="C8058" s="7" t="s">
        <v>1134</v>
      </c>
      <c r="D8058" s="7" t="n">
        <v>0</v>
      </c>
      <c r="E8058" s="7" t="n">
        <v>0</v>
      </c>
      <c r="F8058" s="7" t="n">
        <v>1</v>
      </c>
      <c r="G8058" s="7" t="n">
        <v>194.83</v>
      </c>
    </row>
    <row r="8059" customFormat="false" ht="15" hidden="false" customHeight="false" outlineLevel="0" collapsed="false">
      <c r="A8059" s="7" t="s">
        <v>24</v>
      </c>
      <c r="B8059" s="7" t="s">
        <v>602</v>
      </c>
      <c r="C8059" s="7" t="s">
        <v>1078</v>
      </c>
      <c r="D8059" s="7" t="n">
        <v>5</v>
      </c>
      <c r="E8059" s="7" t="n">
        <v>778.5</v>
      </c>
      <c r="F8059" s="7" t="n">
        <v>4</v>
      </c>
      <c r="G8059" s="7" t="n">
        <v>650.18</v>
      </c>
    </row>
    <row r="8060" customFormat="false" ht="15" hidden="false" customHeight="false" outlineLevel="0" collapsed="false">
      <c r="A8060" s="7" t="s">
        <v>24</v>
      </c>
      <c r="B8060" s="7" t="s">
        <v>602</v>
      </c>
      <c r="C8060" s="7" t="s">
        <v>1078</v>
      </c>
      <c r="D8060" s="7" t="n">
        <v>0</v>
      </c>
      <c r="E8060" s="7" t="n">
        <v>0</v>
      </c>
      <c r="F8060" s="7" t="n">
        <v>1</v>
      </c>
      <c r="G8060" s="7" t="n">
        <v>171.1</v>
      </c>
    </row>
    <row r="8061" customFormat="false" ht="15" hidden="false" customHeight="false" outlineLevel="0" collapsed="false">
      <c r="A8061" s="7" t="s">
        <v>24</v>
      </c>
      <c r="B8061" s="7" t="s">
        <v>602</v>
      </c>
      <c r="C8061" s="7" t="s">
        <v>1078</v>
      </c>
      <c r="D8061" s="7" t="n">
        <v>0</v>
      </c>
      <c r="E8061" s="7" t="n">
        <v>0</v>
      </c>
      <c r="F8061" s="7" t="n">
        <v>1</v>
      </c>
      <c r="G8061" s="7" t="n">
        <v>153.99</v>
      </c>
    </row>
    <row r="8062" customFormat="false" ht="15" hidden="false" customHeight="false" outlineLevel="0" collapsed="false">
      <c r="A8062" s="7" t="s">
        <v>24</v>
      </c>
      <c r="B8062" s="7" t="s">
        <v>318</v>
      </c>
      <c r="C8062" s="7" t="s">
        <v>1078</v>
      </c>
      <c r="D8062" s="7" t="n">
        <v>6</v>
      </c>
      <c r="E8062" s="7" t="n">
        <v>958.15</v>
      </c>
      <c r="F8062" s="7" t="n">
        <v>1</v>
      </c>
      <c r="G8062" s="7" t="n">
        <v>153.99</v>
      </c>
    </row>
    <row r="8063" customFormat="false" ht="15" hidden="false" customHeight="false" outlineLevel="0" collapsed="false">
      <c r="A8063" s="7" t="s">
        <v>24</v>
      </c>
      <c r="B8063" s="7" t="s">
        <v>647</v>
      </c>
      <c r="C8063" s="7" t="s">
        <v>1078</v>
      </c>
      <c r="D8063" s="7" t="n">
        <v>1</v>
      </c>
      <c r="E8063" s="7" t="n">
        <v>153.99</v>
      </c>
      <c r="F8063" s="7" t="n">
        <v>0</v>
      </c>
      <c r="G8063" s="7" t="n">
        <v>0</v>
      </c>
    </row>
    <row r="8064" customFormat="false" ht="15" hidden="false" customHeight="false" outlineLevel="0" collapsed="false">
      <c r="A8064" s="7" t="s">
        <v>24</v>
      </c>
      <c r="B8064" s="7" t="s">
        <v>506</v>
      </c>
      <c r="C8064" s="7" t="s">
        <v>1078</v>
      </c>
      <c r="D8064" s="7" t="n">
        <v>2</v>
      </c>
      <c r="E8064" s="7" t="n">
        <v>316.53</v>
      </c>
      <c r="F8064" s="7" t="n">
        <v>3</v>
      </c>
      <c r="G8064" s="7" t="n">
        <v>479.08</v>
      </c>
    </row>
    <row r="8065" customFormat="false" ht="15" hidden="false" customHeight="false" outlineLevel="0" collapsed="false">
      <c r="A8065" s="7" t="s">
        <v>24</v>
      </c>
      <c r="B8065" s="7" t="s">
        <v>506</v>
      </c>
      <c r="C8065" s="7" t="s">
        <v>1078</v>
      </c>
      <c r="D8065" s="7" t="n">
        <v>0</v>
      </c>
      <c r="E8065" s="7" t="n">
        <v>0</v>
      </c>
      <c r="F8065" s="7" t="n">
        <v>1</v>
      </c>
      <c r="G8065" s="7" t="n">
        <v>153.99</v>
      </c>
    </row>
    <row r="8066" customFormat="false" ht="15" hidden="false" customHeight="false" outlineLevel="0" collapsed="false">
      <c r="A8066" s="7" t="s">
        <v>24</v>
      </c>
      <c r="B8066" s="7" t="s">
        <v>345</v>
      </c>
      <c r="C8066" s="7" t="s">
        <v>1078</v>
      </c>
      <c r="D8066" s="7" t="n">
        <v>0</v>
      </c>
      <c r="E8066" s="7" t="n">
        <v>0</v>
      </c>
      <c r="F8066" s="7" t="n">
        <v>1</v>
      </c>
      <c r="G8066" s="7" t="n">
        <v>171.1</v>
      </c>
    </row>
    <row r="8067" customFormat="false" ht="15" hidden="false" customHeight="false" outlineLevel="0" collapsed="false">
      <c r="A8067" s="7" t="s">
        <v>24</v>
      </c>
      <c r="B8067" s="7" t="s">
        <v>345</v>
      </c>
      <c r="C8067" s="7" t="s">
        <v>1078</v>
      </c>
      <c r="D8067" s="7" t="n">
        <v>6</v>
      </c>
      <c r="E8067" s="7" t="n">
        <v>1000.93</v>
      </c>
      <c r="F8067" s="7" t="n">
        <v>1</v>
      </c>
      <c r="G8067" s="7" t="n">
        <v>153.99</v>
      </c>
    </row>
    <row r="8068" customFormat="false" ht="15" hidden="false" customHeight="false" outlineLevel="0" collapsed="false">
      <c r="A8068" s="7" t="s">
        <v>24</v>
      </c>
      <c r="B8068" s="7" t="s">
        <v>261</v>
      </c>
      <c r="C8068" s="7" t="s">
        <v>1303</v>
      </c>
      <c r="D8068" s="7" t="n">
        <v>0</v>
      </c>
      <c r="E8068" s="7" t="n">
        <v>0</v>
      </c>
      <c r="F8068" s="7" t="n">
        <v>1</v>
      </c>
      <c r="G8068" s="7" t="n">
        <v>154.16</v>
      </c>
    </row>
    <row r="8069" customFormat="false" ht="15" hidden="false" customHeight="false" outlineLevel="0" collapsed="false">
      <c r="A8069" s="7" t="s">
        <v>24</v>
      </c>
      <c r="B8069" s="7" t="s">
        <v>261</v>
      </c>
      <c r="C8069" s="7" t="s">
        <v>1303</v>
      </c>
      <c r="D8069" s="7" t="n">
        <v>0</v>
      </c>
      <c r="E8069" s="7" t="n">
        <v>0</v>
      </c>
      <c r="F8069" s="7" t="n">
        <v>1</v>
      </c>
      <c r="G8069" s="7" t="n">
        <v>131.03</v>
      </c>
    </row>
    <row r="8070" customFormat="false" ht="15" hidden="false" customHeight="false" outlineLevel="0" collapsed="false">
      <c r="A8070" s="7" t="s">
        <v>24</v>
      </c>
      <c r="B8070" s="7" t="s">
        <v>261</v>
      </c>
      <c r="C8070" s="7" t="s">
        <v>1303</v>
      </c>
      <c r="D8070" s="7" t="n">
        <v>0</v>
      </c>
      <c r="E8070" s="7" t="n">
        <v>0</v>
      </c>
      <c r="F8070" s="7" t="n">
        <v>1</v>
      </c>
      <c r="G8070" s="7" t="n">
        <v>131.04</v>
      </c>
    </row>
    <row r="8071" customFormat="false" ht="15" hidden="false" customHeight="false" outlineLevel="0" collapsed="false">
      <c r="A8071" s="7" t="s">
        <v>24</v>
      </c>
      <c r="B8071" s="7" t="s">
        <v>261</v>
      </c>
      <c r="C8071" s="7" t="s">
        <v>1303</v>
      </c>
      <c r="D8071" s="7" t="n">
        <v>0</v>
      </c>
      <c r="E8071" s="7" t="n">
        <v>0</v>
      </c>
      <c r="F8071" s="7" t="n">
        <v>1</v>
      </c>
      <c r="G8071" s="7" t="n">
        <v>131.03</v>
      </c>
    </row>
    <row r="8072" customFormat="false" ht="15" hidden="false" customHeight="false" outlineLevel="0" collapsed="false">
      <c r="A8072" s="7" t="s">
        <v>24</v>
      </c>
      <c r="B8072" s="7" t="s">
        <v>261</v>
      </c>
      <c r="C8072" s="7" t="s">
        <v>1303</v>
      </c>
      <c r="D8072" s="7" t="n">
        <v>15</v>
      </c>
      <c r="E8072" s="7" t="n">
        <v>2057.92</v>
      </c>
      <c r="F8072" s="7" t="n">
        <v>3</v>
      </c>
      <c r="G8072" s="7" t="n">
        <v>431.61</v>
      </c>
    </row>
    <row r="8073" customFormat="false" ht="15" hidden="false" customHeight="false" outlineLevel="0" collapsed="false">
      <c r="A8073" s="7" t="s">
        <v>24</v>
      </c>
      <c r="B8073" s="7" t="s">
        <v>261</v>
      </c>
      <c r="C8073" s="7" t="s">
        <v>1303</v>
      </c>
      <c r="D8073" s="7" t="n">
        <v>0</v>
      </c>
      <c r="E8073" s="7" t="n">
        <v>0</v>
      </c>
      <c r="F8073" s="7" t="n">
        <v>1</v>
      </c>
      <c r="G8073" s="7" t="n">
        <v>154.15</v>
      </c>
    </row>
    <row r="8074" customFormat="false" ht="15" hidden="false" customHeight="false" outlineLevel="0" collapsed="false">
      <c r="A8074" s="7" t="s">
        <v>24</v>
      </c>
      <c r="B8074" s="7" t="s">
        <v>261</v>
      </c>
      <c r="C8074" s="7" t="s">
        <v>1303</v>
      </c>
      <c r="D8074" s="7" t="n">
        <v>0</v>
      </c>
      <c r="E8074" s="7" t="n">
        <v>0</v>
      </c>
      <c r="F8074" s="7" t="n">
        <v>1</v>
      </c>
      <c r="G8074" s="7" t="n">
        <v>154.16</v>
      </c>
    </row>
    <row r="8075" customFormat="false" ht="15" hidden="false" customHeight="false" outlineLevel="0" collapsed="false">
      <c r="A8075" s="7" t="s">
        <v>24</v>
      </c>
      <c r="B8075" s="7" t="s">
        <v>261</v>
      </c>
      <c r="C8075" s="7" t="s">
        <v>1303</v>
      </c>
      <c r="D8075" s="7" t="n">
        <v>0</v>
      </c>
      <c r="E8075" s="7" t="n">
        <v>0</v>
      </c>
      <c r="F8075" s="7" t="n">
        <v>1</v>
      </c>
      <c r="G8075" s="7" t="n">
        <v>154.16</v>
      </c>
    </row>
    <row r="8076" customFormat="false" ht="15" hidden="false" customHeight="false" outlineLevel="0" collapsed="false">
      <c r="A8076" s="7" t="s">
        <v>24</v>
      </c>
      <c r="B8076" s="7" t="s">
        <v>261</v>
      </c>
      <c r="C8076" s="7" t="s">
        <v>1303</v>
      </c>
      <c r="D8076" s="7" t="n">
        <v>0</v>
      </c>
      <c r="E8076" s="7" t="n">
        <v>0</v>
      </c>
      <c r="F8076" s="7" t="n">
        <v>1</v>
      </c>
      <c r="G8076" s="7" t="n">
        <v>154.16</v>
      </c>
    </row>
    <row r="8077" customFormat="false" ht="15" hidden="false" customHeight="false" outlineLevel="0" collapsed="false">
      <c r="A8077" s="7" t="s">
        <v>24</v>
      </c>
      <c r="B8077" s="7" t="s">
        <v>261</v>
      </c>
      <c r="C8077" s="7" t="s">
        <v>1303</v>
      </c>
      <c r="D8077" s="7" t="n">
        <v>0</v>
      </c>
      <c r="E8077" s="7" t="n">
        <v>0</v>
      </c>
      <c r="F8077" s="7" t="n">
        <v>1</v>
      </c>
      <c r="G8077" s="7" t="n">
        <v>146.43</v>
      </c>
    </row>
    <row r="8078" customFormat="false" ht="15" hidden="false" customHeight="false" outlineLevel="0" collapsed="false">
      <c r="A8078" s="7" t="s">
        <v>24</v>
      </c>
      <c r="B8078" s="7" t="s">
        <v>261</v>
      </c>
      <c r="C8078" s="7" t="s">
        <v>1303</v>
      </c>
      <c r="D8078" s="7" t="n">
        <v>0</v>
      </c>
      <c r="E8078" s="7" t="n">
        <v>0</v>
      </c>
      <c r="F8078" s="7" t="n">
        <v>1</v>
      </c>
      <c r="G8078" s="7" t="n">
        <v>138.74</v>
      </c>
    </row>
    <row r="8079" customFormat="false" ht="15" hidden="false" customHeight="false" outlineLevel="0" collapsed="false">
      <c r="A8079" s="7" t="s">
        <v>24</v>
      </c>
      <c r="B8079" s="7" t="s">
        <v>261</v>
      </c>
      <c r="C8079" s="7" t="s">
        <v>1303</v>
      </c>
      <c r="D8079" s="7" t="n">
        <v>0</v>
      </c>
      <c r="E8079" s="7" t="n">
        <v>0</v>
      </c>
      <c r="F8079" s="7" t="n">
        <v>1</v>
      </c>
      <c r="G8079" s="7" t="n">
        <v>138.74</v>
      </c>
    </row>
    <row r="8080" customFormat="false" ht="15" hidden="false" customHeight="false" outlineLevel="0" collapsed="false">
      <c r="A8080" s="7" t="s">
        <v>24</v>
      </c>
      <c r="B8080" s="7" t="s">
        <v>261</v>
      </c>
      <c r="C8080" s="7" t="s">
        <v>1303</v>
      </c>
      <c r="D8080" s="7" t="n">
        <v>0</v>
      </c>
      <c r="E8080" s="7" t="n">
        <v>0</v>
      </c>
      <c r="F8080" s="7" t="n">
        <v>1</v>
      </c>
      <c r="G8080" s="7" t="n">
        <v>154.16</v>
      </c>
    </row>
    <row r="8081" customFormat="false" ht="15" hidden="false" customHeight="false" outlineLevel="0" collapsed="false">
      <c r="A8081" s="7" t="s">
        <v>24</v>
      </c>
      <c r="B8081" s="7" t="s">
        <v>261</v>
      </c>
      <c r="C8081" s="7" t="s">
        <v>1303</v>
      </c>
      <c r="D8081" s="7" t="n">
        <v>0</v>
      </c>
      <c r="E8081" s="7" t="n">
        <v>0</v>
      </c>
      <c r="F8081" s="7" t="n">
        <v>2</v>
      </c>
      <c r="G8081" s="7" t="n">
        <v>277.48</v>
      </c>
    </row>
    <row r="8082" customFormat="false" ht="15" hidden="false" customHeight="false" outlineLevel="0" collapsed="false">
      <c r="A8082" s="7" t="s">
        <v>24</v>
      </c>
      <c r="B8082" s="7" t="s">
        <v>261</v>
      </c>
      <c r="C8082" s="7" t="s">
        <v>1303</v>
      </c>
      <c r="D8082" s="7" t="n">
        <v>0</v>
      </c>
      <c r="E8082" s="7" t="n">
        <v>0</v>
      </c>
      <c r="F8082" s="7" t="n">
        <v>1</v>
      </c>
      <c r="G8082" s="7" t="n">
        <v>154.16</v>
      </c>
    </row>
    <row r="8083" customFormat="false" ht="15" hidden="false" customHeight="false" outlineLevel="0" collapsed="false">
      <c r="A8083" s="7" t="s">
        <v>24</v>
      </c>
      <c r="B8083" s="7" t="s">
        <v>261</v>
      </c>
      <c r="C8083" s="7" t="s">
        <v>1303</v>
      </c>
      <c r="D8083" s="7" t="n">
        <v>0</v>
      </c>
      <c r="E8083" s="7" t="n">
        <v>0</v>
      </c>
      <c r="F8083" s="7" t="n">
        <v>2</v>
      </c>
      <c r="G8083" s="7" t="n">
        <v>308.3</v>
      </c>
    </row>
    <row r="8084" customFormat="false" ht="15" hidden="false" customHeight="false" outlineLevel="0" collapsed="false">
      <c r="A8084" s="7" t="s">
        <v>24</v>
      </c>
      <c r="B8084" s="7" t="s">
        <v>261</v>
      </c>
      <c r="C8084" s="7" t="s">
        <v>1303</v>
      </c>
      <c r="D8084" s="7" t="n">
        <v>0</v>
      </c>
      <c r="E8084" s="7" t="n">
        <v>0</v>
      </c>
      <c r="F8084" s="7" t="n">
        <v>1</v>
      </c>
      <c r="G8084" s="7" t="n">
        <v>154.15</v>
      </c>
    </row>
    <row r="8085" customFormat="false" ht="15" hidden="false" customHeight="false" outlineLevel="0" collapsed="false">
      <c r="A8085" s="7" t="s">
        <v>24</v>
      </c>
      <c r="B8085" s="7" t="s">
        <v>261</v>
      </c>
      <c r="C8085" s="7" t="s">
        <v>1303</v>
      </c>
      <c r="D8085" s="7" t="n">
        <v>0</v>
      </c>
      <c r="E8085" s="7" t="n">
        <v>0</v>
      </c>
      <c r="F8085" s="7" t="n">
        <v>1</v>
      </c>
      <c r="G8085" s="7" t="n">
        <v>131.03</v>
      </c>
    </row>
    <row r="8086" customFormat="false" ht="15" hidden="false" customHeight="false" outlineLevel="0" collapsed="false">
      <c r="A8086" s="7" t="s">
        <v>24</v>
      </c>
      <c r="B8086" s="7" t="s">
        <v>363</v>
      </c>
      <c r="C8086" s="7" t="s">
        <v>1304</v>
      </c>
      <c r="D8086" s="7" t="n">
        <v>2</v>
      </c>
      <c r="E8086" s="7" t="n">
        <v>581.18</v>
      </c>
      <c r="F8086" s="7" t="n">
        <v>0</v>
      </c>
      <c r="G8086" s="7" t="n">
        <v>0</v>
      </c>
    </row>
    <row r="8087" customFormat="false" ht="15" hidden="false" customHeight="false" outlineLevel="0" collapsed="false">
      <c r="A8087" s="7" t="s">
        <v>24</v>
      </c>
      <c r="B8087" s="7" t="s">
        <v>363</v>
      </c>
      <c r="C8087" s="7" t="s">
        <v>1304</v>
      </c>
      <c r="D8087" s="7" t="n">
        <v>0</v>
      </c>
      <c r="E8087" s="7" t="n">
        <v>0</v>
      </c>
      <c r="F8087" s="7" t="n">
        <v>1</v>
      </c>
      <c r="G8087" s="7" t="n">
        <v>266.87</v>
      </c>
    </row>
    <row r="8088" customFormat="false" ht="15" hidden="false" customHeight="false" outlineLevel="0" collapsed="false">
      <c r="A8088" s="7" t="s">
        <v>24</v>
      </c>
      <c r="B8088" s="7" t="s">
        <v>363</v>
      </c>
      <c r="C8088" s="7" t="s">
        <v>1304</v>
      </c>
      <c r="D8088" s="7" t="n">
        <v>1</v>
      </c>
      <c r="E8088" s="7" t="n">
        <v>296.53</v>
      </c>
      <c r="F8088" s="7" t="n">
        <v>0</v>
      </c>
      <c r="G8088" s="7" t="n">
        <v>0</v>
      </c>
    </row>
    <row r="8089" customFormat="false" ht="15" hidden="false" customHeight="false" outlineLevel="0" collapsed="false">
      <c r="A8089" s="7" t="s">
        <v>24</v>
      </c>
      <c r="B8089" s="7" t="s">
        <v>530</v>
      </c>
      <c r="C8089" s="7" t="s">
        <v>1304</v>
      </c>
      <c r="D8089" s="7" t="n">
        <v>0</v>
      </c>
      <c r="E8089" s="7" t="n">
        <v>0</v>
      </c>
      <c r="F8089" s="7" t="n">
        <v>1</v>
      </c>
      <c r="G8089" s="7" t="n">
        <v>296.53</v>
      </c>
    </row>
    <row r="8090" customFormat="false" ht="15" hidden="false" customHeight="false" outlineLevel="0" collapsed="false">
      <c r="A8090" s="7" t="s">
        <v>24</v>
      </c>
      <c r="B8090" s="7" t="s">
        <v>529</v>
      </c>
      <c r="C8090" s="7" t="s">
        <v>1304</v>
      </c>
      <c r="D8090" s="7" t="n">
        <v>1</v>
      </c>
      <c r="E8090" s="7" t="n">
        <v>296.53</v>
      </c>
      <c r="F8090" s="7" t="n">
        <v>0</v>
      </c>
      <c r="G8090" s="7" t="n">
        <v>0</v>
      </c>
    </row>
    <row r="8091" customFormat="false" ht="15" hidden="false" customHeight="false" outlineLevel="0" collapsed="false">
      <c r="A8091" s="7" t="s">
        <v>24</v>
      </c>
      <c r="B8091" s="7" t="s">
        <v>514</v>
      </c>
      <c r="C8091" s="7" t="s">
        <v>1305</v>
      </c>
      <c r="D8091" s="7" t="n">
        <v>0</v>
      </c>
      <c r="E8091" s="7" t="n">
        <v>0</v>
      </c>
      <c r="F8091" s="7" t="n">
        <v>1</v>
      </c>
      <c r="G8091" s="7" t="n">
        <v>308.06</v>
      </c>
    </row>
    <row r="8092" customFormat="false" ht="15" hidden="false" customHeight="false" outlineLevel="0" collapsed="false">
      <c r="A8092" s="7" t="s">
        <v>24</v>
      </c>
      <c r="B8092" s="7" t="s">
        <v>487</v>
      </c>
      <c r="C8092" s="7" t="s">
        <v>1306</v>
      </c>
      <c r="D8092" s="7" t="n">
        <v>0</v>
      </c>
      <c r="E8092" s="7" t="n">
        <v>0</v>
      </c>
      <c r="F8092" s="7" t="n">
        <v>1</v>
      </c>
      <c r="G8092" s="7" t="n">
        <v>342.29</v>
      </c>
    </row>
    <row r="8093" customFormat="false" ht="15" hidden="false" customHeight="false" outlineLevel="0" collapsed="false">
      <c r="A8093" s="7" t="s">
        <v>24</v>
      </c>
      <c r="B8093" s="7" t="s">
        <v>486</v>
      </c>
      <c r="C8093" s="7" t="s">
        <v>1306</v>
      </c>
      <c r="D8093" s="7" t="n">
        <v>1</v>
      </c>
      <c r="E8093" s="7" t="n">
        <v>342.29</v>
      </c>
      <c r="F8093" s="7" t="n">
        <v>0</v>
      </c>
      <c r="G8093" s="7" t="n">
        <v>0</v>
      </c>
    </row>
    <row r="8094" customFormat="false" ht="15" hidden="false" customHeight="false" outlineLevel="0" collapsed="false">
      <c r="A8094" s="7" t="s">
        <v>24</v>
      </c>
      <c r="B8094" s="7" t="s">
        <v>335</v>
      </c>
      <c r="C8094" s="7" t="s">
        <v>1307</v>
      </c>
      <c r="D8094" s="7" t="n">
        <v>0</v>
      </c>
      <c r="E8094" s="7" t="n">
        <v>0</v>
      </c>
      <c r="F8094" s="7" t="n">
        <v>1</v>
      </c>
      <c r="G8094" s="7" t="n">
        <v>728.73</v>
      </c>
    </row>
    <row r="8095" customFormat="false" ht="15" hidden="false" customHeight="false" outlineLevel="0" collapsed="false">
      <c r="A8095" s="7" t="s">
        <v>24</v>
      </c>
      <c r="B8095" s="7" t="s">
        <v>350</v>
      </c>
      <c r="C8095" s="7" t="s">
        <v>1307</v>
      </c>
      <c r="D8095" s="7" t="n">
        <v>0</v>
      </c>
      <c r="E8095" s="7" t="n">
        <v>0</v>
      </c>
      <c r="F8095" s="7" t="n">
        <v>1</v>
      </c>
      <c r="G8095" s="7" t="n">
        <v>655.85</v>
      </c>
    </row>
    <row r="8096" customFormat="false" ht="15" hidden="false" customHeight="false" outlineLevel="0" collapsed="false">
      <c r="A8096" s="7" t="s">
        <v>24</v>
      </c>
      <c r="B8096" s="7" t="s">
        <v>241</v>
      </c>
      <c r="C8096" s="7" t="s">
        <v>1307</v>
      </c>
      <c r="D8096" s="7" t="n">
        <v>0</v>
      </c>
      <c r="E8096" s="7" t="n">
        <v>0</v>
      </c>
      <c r="F8096" s="7" t="n">
        <v>2</v>
      </c>
      <c r="G8096" s="7" t="n">
        <v>1384.59</v>
      </c>
    </row>
    <row r="8097" customFormat="false" ht="15" hidden="false" customHeight="false" outlineLevel="0" collapsed="false">
      <c r="A8097" s="7" t="s">
        <v>24</v>
      </c>
      <c r="B8097" s="7" t="s">
        <v>803</v>
      </c>
      <c r="C8097" s="7" t="s">
        <v>1307</v>
      </c>
      <c r="D8097" s="7" t="n">
        <v>1</v>
      </c>
      <c r="E8097" s="7" t="n">
        <v>727.03</v>
      </c>
      <c r="F8097" s="7" t="n">
        <v>0</v>
      </c>
      <c r="G8097" s="7" t="n">
        <v>0</v>
      </c>
    </row>
    <row r="8098" customFormat="false" ht="15" hidden="false" customHeight="false" outlineLevel="0" collapsed="false">
      <c r="A8098" s="7" t="s">
        <v>24</v>
      </c>
      <c r="B8098" s="7" t="s">
        <v>803</v>
      </c>
      <c r="C8098" s="7" t="s">
        <v>1307</v>
      </c>
      <c r="D8098" s="7" t="n">
        <v>0</v>
      </c>
      <c r="E8098" s="7" t="n">
        <v>0</v>
      </c>
      <c r="F8098" s="7" t="n">
        <v>1</v>
      </c>
      <c r="G8098" s="7" t="n">
        <v>728.72</v>
      </c>
    </row>
    <row r="8099" customFormat="false" ht="15" hidden="false" customHeight="false" outlineLevel="0" collapsed="false">
      <c r="A8099" s="7" t="s">
        <v>24</v>
      </c>
      <c r="B8099" s="7" t="s">
        <v>723</v>
      </c>
      <c r="C8099" s="7" t="s">
        <v>1079</v>
      </c>
      <c r="D8099" s="7" t="n">
        <v>0</v>
      </c>
      <c r="E8099" s="7" t="n">
        <v>0</v>
      </c>
      <c r="F8099" s="7" t="n">
        <v>1</v>
      </c>
      <c r="G8099" s="7" t="n">
        <v>190.59</v>
      </c>
    </row>
    <row r="8100" customFormat="false" ht="15" hidden="false" customHeight="false" outlineLevel="0" collapsed="false">
      <c r="A8100" s="7" t="s">
        <v>24</v>
      </c>
      <c r="B8100" s="7" t="s">
        <v>723</v>
      </c>
      <c r="C8100" s="7" t="s">
        <v>1079</v>
      </c>
      <c r="D8100" s="7" t="n">
        <v>7</v>
      </c>
      <c r="E8100" s="7" t="n">
        <v>1286.48</v>
      </c>
      <c r="F8100" s="7" t="n">
        <v>5</v>
      </c>
      <c r="G8100" s="7" t="n">
        <v>952.95</v>
      </c>
    </row>
    <row r="8101" customFormat="false" ht="15" hidden="false" customHeight="false" outlineLevel="0" collapsed="false">
      <c r="A8101" s="7" t="s">
        <v>24</v>
      </c>
      <c r="B8101" s="7" t="s">
        <v>723</v>
      </c>
      <c r="C8101" s="7" t="s">
        <v>1079</v>
      </c>
      <c r="D8101" s="7" t="n">
        <v>0</v>
      </c>
      <c r="E8101" s="7" t="n">
        <v>0</v>
      </c>
      <c r="F8101" s="7" t="n">
        <v>1</v>
      </c>
      <c r="G8101" s="7" t="n">
        <v>190.6</v>
      </c>
    </row>
    <row r="8102" customFormat="false" ht="15" hidden="false" customHeight="false" outlineLevel="0" collapsed="false">
      <c r="A8102" s="7" t="s">
        <v>24</v>
      </c>
      <c r="B8102" s="7" t="s">
        <v>723</v>
      </c>
      <c r="C8102" s="7" t="s">
        <v>1079</v>
      </c>
      <c r="D8102" s="7" t="n">
        <v>0</v>
      </c>
      <c r="E8102" s="7" t="n">
        <v>0</v>
      </c>
      <c r="F8102" s="7" t="n">
        <v>1</v>
      </c>
      <c r="G8102" s="7" t="n">
        <v>190.59</v>
      </c>
    </row>
    <row r="8103" customFormat="false" ht="15" hidden="false" customHeight="false" outlineLevel="0" collapsed="false">
      <c r="A8103" s="7" t="s">
        <v>24</v>
      </c>
      <c r="B8103" s="7" t="s">
        <v>723</v>
      </c>
      <c r="C8103" s="7" t="s">
        <v>1079</v>
      </c>
      <c r="D8103" s="7" t="n">
        <v>1</v>
      </c>
      <c r="E8103" s="7" t="n">
        <v>159.84</v>
      </c>
      <c r="F8103" s="7" t="n">
        <v>0</v>
      </c>
      <c r="G8103" s="7" t="n">
        <v>0</v>
      </c>
    </row>
    <row r="8104" customFormat="false" ht="15" hidden="false" customHeight="false" outlineLevel="0" collapsed="false">
      <c r="A8104" s="7" t="s">
        <v>24</v>
      </c>
      <c r="B8104" s="7" t="s">
        <v>813</v>
      </c>
      <c r="C8104" s="7" t="s">
        <v>1079</v>
      </c>
      <c r="D8104" s="7" t="n">
        <v>2</v>
      </c>
      <c r="E8104" s="7" t="n">
        <v>381.18</v>
      </c>
      <c r="F8104" s="7" t="n">
        <v>2</v>
      </c>
      <c r="G8104" s="7" t="n">
        <v>381.18</v>
      </c>
    </row>
    <row r="8105" customFormat="false" ht="15" hidden="false" customHeight="false" outlineLevel="0" collapsed="false">
      <c r="A8105" s="7" t="s">
        <v>24</v>
      </c>
      <c r="B8105" s="7" t="s">
        <v>454</v>
      </c>
      <c r="C8105" s="7" t="s">
        <v>1079</v>
      </c>
      <c r="D8105" s="7" t="n">
        <v>1</v>
      </c>
      <c r="E8105" s="7" t="n">
        <v>162</v>
      </c>
      <c r="F8105" s="7" t="n">
        <v>3</v>
      </c>
      <c r="G8105" s="7" t="n">
        <v>552.71</v>
      </c>
    </row>
    <row r="8106" customFormat="false" ht="15" hidden="false" customHeight="false" outlineLevel="0" collapsed="false">
      <c r="A8106" s="7" t="s">
        <v>24</v>
      </c>
      <c r="B8106" s="7" t="s">
        <v>454</v>
      </c>
      <c r="C8106" s="7" t="s">
        <v>1079</v>
      </c>
      <c r="D8106" s="7" t="n">
        <v>1</v>
      </c>
      <c r="E8106" s="7" t="n">
        <v>159.84</v>
      </c>
      <c r="F8106" s="7" t="n">
        <v>0</v>
      </c>
      <c r="G8106" s="7" t="n">
        <v>0</v>
      </c>
    </row>
    <row r="8107" customFormat="false" ht="15" hidden="false" customHeight="false" outlineLevel="0" collapsed="false">
      <c r="A8107" s="7" t="s">
        <v>24</v>
      </c>
      <c r="B8107" s="7" t="s">
        <v>454</v>
      </c>
      <c r="C8107" s="7" t="s">
        <v>1079</v>
      </c>
      <c r="D8107" s="7" t="n">
        <v>0</v>
      </c>
      <c r="E8107" s="7" t="n">
        <v>0</v>
      </c>
      <c r="F8107" s="7" t="n">
        <v>1</v>
      </c>
      <c r="G8107" s="7" t="n">
        <v>190.6</v>
      </c>
    </row>
    <row r="8108" customFormat="false" ht="15" hidden="false" customHeight="false" outlineLevel="0" collapsed="false">
      <c r="A8108" s="7" t="s">
        <v>24</v>
      </c>
      <c r="B8108" s="7" t="s">
        <v>629</v>
      </c>
      <c r="C8108" s="7" t="s">
        <v>1079</v>
      </c>
      <c r="D8108" s="7" t="n">
        <v>0</v>
      </c>
      <c r="E8108" s="7" t="n">
        <v>0</v>
      </c>
      <c r="F8108" s="7" t="n">
        <v>1</v>
      </c>
      <c r="G8108" s="7" t="n">
        <v>171.53</v>
      </c>
    </row>
    <row r="8109" customFormat="false" ht="15" hidden="false" customHeight="false" outlineLevel="0" collapsed="false">
      <c r="A8109" s="7" t="s">
        <v>24</v>
      </c>
      <c r="B8109" s="7" t="s">
        <v>788</v>
      </c>
      <c r="C8109" s="7" t="s">
        <v>1079</v>
      </c>
      <c r="D8109" s="7" t="n">
        <v>0</v>
      </c>
      <c r="E8109" s="7" t="n">
        <v>0</v>
      </c>
      <c r="F8109" s="7" t="n">
        <v>1</v>
      </c>
      <c r="G8109" s="7" t="n">
        <v>171.54</v>
      </c>
    </row>
    <row r="8110" customFormat="false" ht="15" hidden="false" customHeight="false" outlineLevel="0" collapsed="false">
      <c r="A8110" s="7" t="s">
        <v>24</v>
      </c>
      <c r="B8110" s="7" t="s">
        <v>788</v>
      </c>
      <c r="C8110" s="7" t="s">
        <v>1079</v>
      </c>
      <c r="D8110" s="7" t="n">
        <v>2</v>
      </c>
      <c r="E8110" s="7" t="n">
        <v>381.18</v>
      </c>
      <c r="F8110" s="7" t="n">
        <v>1</v>
      </c>
      <c r="G8110" s="7" t="n">
        <v>190.59</v>
      </c>
    </row>
    <row r="8111" customFormat="false" ht="15" hidden="false" customHeight="false" outlineLevel="0" collapsed="false">
      <c r="A8111" s="7" t="s">
        <v>24</v>
      </c>
      <c r="B8111" s="7" t="s">
        <v>392</v>
      </c>
      <c r="C8111" s="7" t="s">
        <v>1308</v>
      </c>
      <c r="D8111" s="7" t="n">
        <v>5</v>
      </c>
      <c r="E8111" s="7" t="n">
        <v>964.44</v>
      </c>
      <c r="F8111" s="7" t="n">
        <v>1</v>
      </c>
      <c r="G8111" s="7" t="n">
        <v>214.32</v>
      </c>
    </row>
    <row r="8112" customFormat="false" ht="15" hidden="false" customHeight="false" outlineLevel="0" collapsed="false">
      <c r="A8112" s="7" t="s">
        <v>24</v>
      </c>
      <c r="B8112" s="7" t="s">
        <v>392</v>
      </c>
      <c r="C8112" s="7" t="s">
        <v>1308</v>
      </c>
      <c r="D8112" s="7" t="n">
        <v>0</v>
      </c>
      <c r="E8112" s="7" t="n">
        <v>0</v>
      </c>
      <c r="F8112" s="7" t="n">
        <v>1</v>
      </c>
      <c r="G8112" s="7" t="n">
        <v>192.89</v>
      </c>
    </row>
    <row r="8113" customFormat="false" ht="15" hidden="false" customHeight="false" outlineLevel="0" collapsed="false">
      <c r="A8113" s="7" t="s">
        <v>24</v>
      </c>
      <c r="B8113" s="7" t="s">
        <v>474</v>
      </c>
      <c r="C8113" s="7" t="s">
        <v>1308</v>
      </c>
      <c r="D8113" s="7" t="n">
        <v>0</v>
      </c>
      <c r="E8113" s="7" t="n">
        <v>0</v>
      </c>
      <c r="F8113" s="7" t="n">
        <v>1</v>
      </c>
      <c r="G8113" s="7" t="n">
        <v>214.33</v>
      </c>
    </row>
    <row r="8114" customFormat="false" ht="15" hidden="false" customHeight="false" outlineLevel="0" collapsed="false">
      <c r="A8114" s="7" t="s">
        <v>24</v>
      </c>
      <c r="B8114" s="7" t="s">
        <v>474</v>
      </c>
      <c r="C8114" s="7" t="s">
        <v>1308</v>
      </c>
      <c r="D8114" s="7" t="n">
        <v>3</v>
      </c>
      <c r="E8114" s="7" t="n">
        <v>578.66</v>
      </c>
      <c r="F8114" s="7" t="n">
        <v>0</v>
      </c>
      <c r="G8114" s="7" t="n">
        <v>0</v>
      </c>
    </row>
    <row r="8115" customFormat="false" ht="15" hidden="false" customHeight="false" outlineLevel="0" collapsed="false">
      <c r="A8115" s="7" t="s">
        <v>24</v>
      </c>
      <c r="B8115" s="7" t="s">
        <v>621</v>
      </c>
      <c r="C8115" s="7" t="s">
        <v>1308</v>
      </c>
      <c r="D8115" s="7" t="n">
        <v>3</v>
      </c>
      <c r="E8115" s="7" t="n">
        <v>610.81</v>
      </c>
      <c r="F8115" s="7" t="n">
        <v>2</v>
      </c>
      <c r="G8115" s="7" t="n">
        <v>428.64</v>
      </c>
    </row>
    <row r="8116" customFormat="false" ht="15" hidden="false" customHeight="false" outlineLevel="0" collapsed="false">
      <c r="A8116" s="7" t="s">
        <v>24</v>
      </c>
      <c r="B8116" s="7" t="s">
        <v>559</v>
      </c>
      <c r="C8116" s="7" t="s">
        <v>1308</v>
      </c>
      <c r="D8116" s="7" t="n">
        <v>3</v>
      </c>
      <c r="E8116" s="7" t="n">
        <v>610.81</v>
      </c>
      <c r="F8116" s="7" t="n">
        <v>1</v>
      </c>
      <c r="G8116" s="7" t="n">
        <v>214.32</v>
      </c>
    </row>
    <row r="8117" customFormat="false" ht="15" hidden="false" customHeight="false" outlineLevel="0" collapsed="false">
      <c r="A8117" s="7" t="s">
        <v>24</v>
      </c>
      <c r="B8117" s="7" t="s">
        <v>559</v>
      </c>
      <c r="C8117" s="7" t="s">
        <v>1308</v>
      </c>
      <c r="D8117" s="7" t="n">
        <v>0</v>
      </c>
      <c r="E8117" s="7" t="n">
        <v>0</v>
      </c>
      <c r="F8117" s="7" t="n">
        <v>1</v>
      </c>
      <c r="G8117" s="7" t="n">
        <v>214.32</v>
      </c>
    </row>
    <row r="8118" customFormat="false" ht="15" hidden="false" customHeight="false" outlineLevel="0" collapsed="false">
      <c r="A8118" s="7" t="s">
        <v>24</v>
      </c>
      <c r="B8118" s="7" t="s">
        <v>559</v>
      </c>
      <c r="C8118" s="7" t="s">
        <v>1308</v>
      </c>
      <c r="D8118" s="7" t="n">
        <v>0</v>
      </c>
      <c r="E8118" s="7" t="n">
        <v>0</v>
      </c>
      <c r="F8118" s="7" t="n">
        <v>2</v>
      </c>
      <c r="G8118" s="7" t="n">
        <v>428.64</v>
      </c>
    </row>
    <row r="8119" customFormat="false" ht="15" hidden="false" customHeight="false" outlineLevel="0" collapsed="false">
      <c r="A8119" s="7" t="s">
        <v>24</v>
      </c>
      <c r="B8119" s="7" t="s">
        <v>351</v>
      </c>
      <c r="C8119" s="7" t="s">
        <v>1080</v>
      </c>
      <c r="D8119" s="7" t="n">
        <v>5</v>
      </c>
      <c r="E8119" s="7" t="n">
        <v>1508.11</v>
      </c>
      <c r="F8119" s="7" t="n">
        <v>6</v>
      </c>
      <c r="G8119" s="7" t="n">
        <v>1558.95</v>
      </c>
    </row>
    <row r="8120" customFormat="false" ht="15" hidden="false" customHeight="false" outlineLevel="0" collapsed="false">
      <c r="A8120" s="7" t="s">
        <v>24</v>
      </c>
      <c r="B8120" s="7" t="s">
        <v>351</v>
      </c>
      <c r="C8120" s="7" t="s">
        <v>1080</v>
      </c>
      <c r="D8120" s="7" t="n">
        <v>8</v>
      </c>
      <c r="E8120" s="7" t="n">
        <v>2635.63</v>
      </c>
      <c r="F8120" s="7" t="n">
        <v>0</v>
      </c>
      <c r="G8120" s="7" t="n">
        <v>0</v>
      </c>
    </row>
    <row r="8121" customFormat="false" ht="15" hidden="false" customHeight="false" outlineLevel="0" collapsed="false">
      <c r="A8121" s="7" t="s">
        <v>24</v>
      </c>
      <c r="B8121" s="7" t="s">
        <v>351</v>
      </c>
      <c r="C8121" s="7" t="s">
        <v>1080</v>
      </c>
      <c r="D8121" s="7" t="n">
        <v>0</v>
      </c>
      <c r="E8121" s="7" t="n">
        <v>0</v>
      </c>
      <c r="F8121" s="7" t="n">
        <v>2</v>
      </c>
      <c r="G8121" s="7" t="n">
        <v>677.8</v>
      </c>
    </row>
    <row r="8122" customFormat="false" ht="15" hidden="false" customHeight="false" outlineLevel="0" collapsed="false">
      <c r="A8122" s="7" t="s">
        <v>24</v>
      </c>
      <c r="B8122" s="7" t="s">
        <v>351</v>
      </c>
      <c r="C8122" s="7" t="s">
        <v>1080</v>
      </c>
      <c r="D8122" s="7" t="n">
        <v>0</v>
      </c>
      <c r="E8122" s="7" t="n">
        <v>0</v>
      </c>
      <c r="F8122" s="7" t="n">
        <v>1</v>
      </c>
      <c r="G8122" s="7" t="n">
        <v>338.9</v>
      </c>
    </row>
    <row r="8123" customFormat="false" ht="15" hidden="false" customHeight="false" outlineLevel="0" collapsed="false">
      <c r="A8123" s="7" t="s">
        <v>24</v>
      </c>
      <c r="B8123" s="7" t="s">
        <v>351</v>
      </c>
      <c r="C8123" s="7" t="s">
        <v>1080</v>
      </c>
      <c r="D8123" s="7" t="n">
        <v>0</v>
      </c>
      <c r="E8123" s="7" t="n">
        <v>0</v>
      </c>
      <c r="F8123" s="7" t="n">
        <v>1</v>
      </c>
      <c r="G8123" s="7" t="n">
        <v>288.07</v>
      </c>
    </row>
    <row r="8124" customFormat="false" ht="15" hidden="false" customHeight="false" outlineLevel="0" collapsed="false">
      <c r="A8124" s="7" t="s">
        <v>24</v>
      </c>
      <c r="B8124" s="7" t="s">
        <v>351</v>
      </c>
      <c r="C8124" s="7" t="s">
        <v>1080</v>
      </c>
      <c r="D8124" s="7" t="n">
        <v>0</v>
      </c>
      <c r="E8124" s="7" t="n">
        <v>0</v>
      </c>
      <c r="F8124" s="7" t="n">
        <v>1</v>
      </c>
      <c r="G8124" s="7" t="n">
        <v>0.01</v>
      </c>
    </row>
    <row r="8125" customFormat="false" ht="15" hidden="false" customHeight="false" outlineLevel="0" collapsed="false">
      <c r="A8125" s="7" t="s">
        <v>24</v>
      </c>
      <c r="B8125" s="7" t="s">
        <v>351</v>
      </c>
      <c r="C8125" s="7" t="s">
        <v>1080</v>
      </c>
      <c r="D8125" s="7" t="n">
        <v>0</v>
      </c>
      <c r="E8125" s="7" t="n">
        <v>0</v>
      </c>
      <c r="F8125" s="7" t="n">
        <v>1</v>
      </c>
      <c r="G8125" s="7" t="n">
        <v>338.9</v>
      </c>
    </row>
    <row r="8126" customFormat="false" ht="15" hidden="false" customHeight="false" outlineLevel="0" collapsed="false">
      <c r="A8126" s="7" t="s">
        <v>24</v>
      </c>
      <c r="B8126" s="7" t="s">
        <v>351</v>
      </c>
      <c r="C8126" s="7" t="s">
        <v>1080</v>
      </c>
      <c r="D8126" s="7" t="n">
        <v>0</v>
      </c>
      <c r="E8126" s="7" t="n">
        <v>0</v>
      </c>
      <c r="F8126" s="7" t="n">
        <v>1</v>
      </c>
      <c r="G8126" s="7" t="n">
        <v>338.9</v>
      </c>
    </row>
    <row r="8127" customFormat="false" ht="15" hidden="false" customHeight="false" outlineLevel="0" collapsed="false">
      <c r="A8127" s="7" t="s">
        <v>24</v>
      </c>
      <c r="B8127" s="7" t="s">
        <v>351</v>
      </c>
      <c r="C8127" s="7" t="s">
        <v>1080</v>
      </c>
      <c r="D8127" s="7" t="n">
        <v>0</v>
      </c>
      <c r="E8127" s="7" t="n">
        <v>0</v>
      </c>
      <c r="F8127" s="7" t="n">
        <v>1</v>
      </c>
      <c r="G8127" s="7" t="n">
        <v>305.01</v>
      </c>
    </row>
    <row r="8128" customFormat="false" ht="15" hidden="false" customHeight="false" outlineLevel="0" collapsed="false">
      <c r="A8128" s="7" t="s">
        <v>24</v>
      </c>
      <c r="B8128" s="7" t="s">
        <v>351</v>
      </c>
      <c r="C8128" s="7" t="s">
        <v>1080</v>
      </c>
      <c r="D8128" s="7" t="n">
        <v>0</v>
      </c>
      <c r="E8128" s="7" t="n">
        <v>0</v>
      </c>
      <c r="F8128" s="7" t="n">
        <v>1</v>
      </c>
      <c r="G8128" s="7" t="n">
        <v>305.01</v>
      </c>
    </row>
    <row r="8129" customFormat="false" ht="15" hidden="false" customHeight="false" outlineLevel="0" collapsed="false">
      <c r="A8129" s="7" t="s">
        <v>24</v>
      </c>
      <c r="B8129" s="7" t="s">
        <v>351</v>
      </c>
      <c r="C8129" s="7" t="s">
        <v>1080</v>
      </c>
      <c r="D8129" s="7" t="n">
        <v>0</v>
      </c>
      <c r="E8129" s="7" t="n">
        <v>0</v>
      </c>
      <c r="F8129" s="7" t="n">
        <v>1</v>
      </c>
      <c r="G8129" s="7" t="n">
        <v>305.01</v>
      </c>
    </row>
    <row r="8130" customFormat="false" ht="15" hidden="false" customHeight="false" outlineLevel="0" collapsed="false">
      <c r="A8130" s="7" t="s">
        <v>24</v>
      </c>
      <c r="B8130" s="7" t="s">
        <v>351</v>
      </c>
      <c r="C8130" s="7" t="s">
        <v>1080</v>
      </c>
      <c r="D8130" s="7" t="n">
        <v>0</v>
      </c>
      <c r="E8130" s="7" t="n">
        <v>0</v>
      </c>
      <c r="F8130" s="7" t="n">
        <v>1</v>
      </c>
      <c r="G8130" s="7" t="n">
        <v>338.9</v>
      </c>
    </row>
    <row r="8131" customFormat="false" ht="15" hidden="false" customHeight="false" outlineLevel="0" collapsed="false">
      <c r="A8131" s="7" t="s">
        <v>24</v>
      </c>
      <c r="B8131" s="7" t="s">
        <v>248</v>
      </c>
      <c r="C8131" s="7" t="s">
        <v>1080</v>
      </c>
      <c r="D8131" s="7" t="n">
        <v>0</v>
      </c>
      <c r="E8131" s="7" t="n">
        <v>0</v>
      </c>
      <c r="F8131" s="7" t="n">
        <v>1</v>
      </c>
      <c r="G8131" s="7" t="n">
        <v>338.9</v>
      </c>
    </row>
    <row r="8132" customFormat="false" ht="15" hidden="false" customHeight="false" outlineLevel="0" collapsed="false">
      <c r="A8132" s="7" t="s">
        <v>24</v>
      </c>
      <c r="B8132" s="7" t="s">
        <v>248</v>
      </c>
      <c r="C8132" s="7" t="s">
        <v>1080</v>
      </c>
      <c r="D8132" s="7" t="n">
        <v>0</v>
      </c>
      <c r="E8132" s="7" t="n">
        <v>0</v>
      </c>
      <c r="F8132" s="7" t="n">
        <v>1</v>
      </c>
      <c r="G8132" s="7" t="n">
        <v>305.01</v>
      </c>
    </row>
    <row r="8133" customFormat="false" ht="15" hidden="false" customHeight="false" outlineLevel="0" collapsed="false">
      <c r="A8133" s="7" t="s">
        <v>24</v>
      </c>
      <c r="B8133" s="7" t="s">
        <v>248</v>
      </c>
      <c r="C8133" s="7" t="s">
        <v>1080</v>
      </c>
      <c r="D8133" s="7" t="n">
        <v>4</v>
      </c>
      <c r="E8133" s="7" t="n">
        <v>1253.92</v>
      </c>
      <c r="F8133" s="7" t="n">
        <v>7</v>
      </c>
      <c r="G8133" s="7" t="n">
        <v>2372.3</v>
      </c>
    </row>
    <row r="8134" customFormat="false" ht="15" hidden="false" customHeight="false" outlineLevel="0" collapsed="false">
      <c r="A8134" s="7" t="s">
        <v>24</v>
      </c>
      <c r="B8134" s="7" t="s">
        <v>248</v>
      </c>
      <c r="C8134" s="7" t="s">
        <v>1080</v>
      </c>
      <c r="D8134" s="7" t="n">
        <v>9</v>
      </c>
      <c r="E8134" s="7" t="n">
        <v>2858.13</v>
      </c>
      <c r="F8134" s="7" t="n">
        <v>0</v>
      </c>
      <c r="G8134" s="7" t="n">
        <v>0</v>
      </c>
    </row>
    <row r="8135" customFormat="false" ht="15" hidden="false" customHeight="false" outlineLevel="0" collapsed="false">
      <c r="A8135" s="7" t="s">
        <v>24</v>
      </c>
      <c r="B8135" s="7" t="s">
        <v>248</v>
      </c>
      <c r="C8135" s="7" t="s">
        <v>1080</v>
      </c>
      <c r="D8135" s="7" t="n">
        <v>0</v>
      </c>
      <c r="E8135" s="7" t="n">
        <v>0</v>
      </c>
      <c r="F8135" s="7" t="n">
        <v>1</v>
      </c>
      <c r="G8135" s="7" t="n">
        <v>288.07</v>
      </c>
    </row>
    <row r="8136" customFormat="false" ht="15" hidden="false" customHeight="false" outlineLevel="0" collapsed="false">
      <c r="A8136" s="7" t="s">
        <v>24</v>
      </c>
      <c r="B8136" s="7" t="s">
        <v>248</v>
      </c>
      <c r="C8136" s="7" t="s">
        <v>1080</v>
      </c>
      <c r="D8136" s="7" t="n">
        <v>0</v>
      </c>
      <c r="E8136" s="7" t="n">
        <v>0</v>
      </c>
      <c r="F8136" s="7" t="n">
        <v>1</v>
      </c>
      <c r="G8136" s="7" t="n">
        <v>305.01</v>
      </c>
    </row>
    <row r="8137" customFormat="false" ht="15" hidden="false" customHeight="false" outlineLevel="0" collapsed="false">
      <c r="A8137" s="7" t="s">
        <v>24</v>
      </c>
      <c r="B8137" s="7" t="s">
        <v>248</v>
      </c>
      <c r="C8137" s="7" t="s">
        <v>1080</v>
      </c>
      <c r="D8137" s="7" t="n">
        <v>0</v>
      </c>
      <c r="E8137" s="7" t="n">
        <v>0</v>
      </c>
      <c r="F8137" s="7" t="n">
        <v>1</v>
      </c>
      <c r="G8137" s="7" t="n">
        <v>288.07</v>
      </c>
    </row>
    <row r="8138" customFormat="false" ht="15" hidden="false" customHeight="false" outlineLevel="0" collapsed="false">
      <c r="A8138" s="7" t="s">
        <v>24</v>
      </c>
      <c r="B8138" s="7" t="s">
        <v>248</v>
      </c>
      <c r="C8138" s="7" t="s">
        <v>1080</v>
      </c>
      <c r="D8138" s="7" t="n">
        <v>0</v>
      </c>
      <c r="E8138" s="7" t="n">
        <v>0</v>
      </c>
      <c r="F8138" s="7" t="n">
        <v>1</v>
      </c>
      <c r="G8138" s="7" t="n">
        <v>338.9</v>
      </c>
    </row>
    <row r="8139" customFormat="false" ht="15" hidden="false" customHeight="false" outlineLevel="0" collapsed="false">
      <c r="A8139" s="7" t="s">
        <v>24</v>
      </c>
      <c r="B8139" s="7" t="s">
        <v>248</v>
      </c>
      <c r="C8139" s="7" t="s">
        <v>1080</v>
      </c>
      <c r="D8139" s="7" t="n">
        <v>0</v>
      </c>
      <c r="E8139" s="7" t="n">
        <v>0</v>
      </c>
      <c r="F8139" s="7" t="n">
        <v>2</v>
      </c>
      <c r="G8139" s="7" t="n">
        <v>474.46</v>
      </c>
    </row>
    <row r="8140" customFormat="false" ht="15" hidden="false" customHeight="false" outlineLevel="0" collapsed="false">
      <c r="A8140" s="7" t="s">
        <v>24</v>
      </c>
      <c r="B8140" s="7" t="s">
        <v>248</v>
      </c>
      <c r="C8140" s="7" t="s">
        <v>1080</v>
      </c>
      <c r="D8140" s="7" t="n">
        <v>0</v>
      </c>
      <c r="E8140" s="7" t="n">
        <v>0</v>
      </c>
      <c r="F8140" s="7" t="n">
        <v>1</v>
      </c>
      <c r="G8140" s="7" t="n">
        <v>338.9</v>
      </c>
    </row>
    <row r="8141" customFormat="false" ht="15" hidden="false" customHeight="false" outlineLevel="0" collapsed="false">
      <c r="A8141" s="7" t="s">
        <v>24</v>
      </c>
      <c r="B8141" s="7" t="s">
        <v>248</v>
      </c>
      <c r="C8141" s="7" t="s">
        <v>1080</v>
      </c>
      <c r="D8141" s="7" t="n">
        <v>0</v>
      </c>
      <c r="E8141" s="7" t="n">
        <v>0</v>
      </c>
      <c r="F8141" s="7" t="n">
        <v>1</v>
      </c>
      <c r="G8141" s="7" t="n">
        <v>338.9</v>
      </c>
    </row>
    <row r="8142" customFormat="false" ht="15" hidden="false" customHeight="false" outlineLevel="0" collapsed="false">
      <c r="A8142" s="7" t="s">
        <v>24</v>
      </c>
      <c r="B8142" s="7" t="s">
        <v>378</v>
      </c>
      <c r="C8142" s="7" t="s">
        <v>1080</v>
      </c>
      <c r="D8142" s="7" t="n">
        <v>0</v>
      </c>
      <c r="E8142" s="7" t="n">
        <v>0</v>
      </c>
      <c r="F8142" s="7" t="n">
        <v>1</v>
      </c>
      <c r="G8142" s="7" t="n">
        <v>338.9</v>
      </c>
    </row>
    <row r="8143" customFormat="false" ht="15" hidden="false" customHeight="false" outlineLevel="0" collapsed="false">
      <c r="A8143" s="7" t="s">
        <v>24</v>
      </c>
      <c r="B8143" s="7" t="s">
        <v>378</v>
      </c>
      <c r="C8143" s="7" t="s">
        <v>1080</v>
      </c>
      <c r="D8143" s="7" t="n">
        <v>3</v>
      </c>
      <c r="E8143" s="7" t="n">
        <v>881.13</v>
      </c>
      <c r="F8143" s="7" t="n">
        <v>3</v>
      </c>
      <c r="G8143" s="7" t="n">
        <v>931.97</v>
      </c>
    </row>
    <row r="8144" customFormat="false" ht="15" hidden="false" customHeight="false" outlineLevel="0" collapsed="false">
      <c r="A8144" s="7" t="s">
        <v>24</v>
      </c>
      <c r="B8144" s="7" t="s">
        <v>378</v>
      </c>
      <c r="C8144" s="7" t="s">
        <v>1080</v>
      </c>
      <c r="D8144" s="7" t="n">
        <v>6</v>
      </c>
      <c r="E8144" s="7" t="n">
        <v>1985.28</v>
      </c>
      <c r="F8144" s="7" t="n">
        <v>0</v>
      </c>
      <c r="G8144" s="7" t="n">
        <v>0</v>
      </c>
    </row>
    <row r="8145" customFormat="false" ht="15" hidden="false" customHeight="false" outlineLevel="0" collapsed="false">
      <c r="A8145" s="7" t="s">
        <v>24</v>
      </c>
      <c r="B8145" s="7" t="s">
        <v>378</v>
      </c>
      <c r="C8145" s="7" t="s">
        <v>1080</v>
      </c>
      <c r="D8145" s="7" t="n">
        <v>0</v>
      </c>
      <c r="E8145" s="7" t="n">
        <v>0</v>
      </c>
      <c r="F8145" s="7" t="n">
        <v>1</v>
      </c>
      <c r="G8145" s="7" t="n">
        <v>338.9</v>
      </c>
    </row>
    <row r="8146" customFormat="false" ht="15" hidden="false" customHeight="false" outlineLevel="0" collapsed="false">
      <c r="A8146" s="7" t="s">
        <v>24</v>
      </c>
      <c r="B8146" s="7" t="s">
        <v>378</v>
      </c>
      <c r="C8146" s="7" t="s">
        <v>1080</v>
      </c>
      <c r="D8146" s="7" t="n">
        <v>0</v>
      </c>
      <c r="E8146" s="7" t="n">
        <v>0</v>
      </c>
      <c r="F8146" s="7" t="n">
        <v>1</v>
      </c>
      <c r="G8146" s="7" t="n">
        <v>338.9</v>
      </c>
    </row>
    <row r="8147" customFormat="false" ht="15" hidden="false" customHeight="false" outlineLevel="0" collapsed="false">
      <c r="A8147" s="7" t="s">
        <v>24</v>
      </c>
      <c r="B8147" s="7" t="s">
        <v>378</v>
      </c>
      <c r="C8147" s="7" t="s">
        <v>1080</v>
      </c>
      <c r="D8147" s="7" t="n">
        <v>0</v>
      </c>
      <c r="E8147" s="7" t="n">
        <v>0</v>
      </c>
      <c r="F8147" s="7" t="n">
        <v>1</v>
      </c>
      <c r="G8147" s="7" t="n">
        <v>338.9</v>
      </c>
    </row>
    <row r="8148" customFormat="false" ht="15" hidden="false" customHeight="false" outlineLevel="0" collapsed="false">
      <c r="A8148" s="7" t="s">
        <v>24</v>
      </c>
      <c r="B8148" s="7" t="s">
        <v>462</v>
      </c>
      <c r="C8148" s="7" t="s">
        <v>1080</v>
      </c>
      <c r="D8148" s="7" t="n">
        <v>4</v>
      </c>
      <c r="E8148" s="7" t="n">
        <v>1266.48</v>
      </c>
      <c r="F8148" s="7" t="n">
        <v>0</v>
      </c>
      <c r="G8148" s="7" t="n">
        <v>0</v>
      </c>
    </row>
    <row r="8149" customFormat="false" ht="15" hidden="false" customHeight="false" outlineLevel="0" collapsed="false">
      <c r="A8149" s="7" t="s">
        <v>24</v>
      </c>
      <c r="B8149" s="7" t="s">
        <v>462</v>
      </c>
      <c r="C8149" s="7" t="s">
        <v>1080</v>
      </c>
      <c r="D8149" s="7" t="n">
        <v>0</v>
      </c>
      <c r="E8149" s="7" t="n">
        <v>0</v>
      </c>
      <c r="F8149" s="7" t="n">
        <v>1</v>
      </c>
      <c r="G8149" s="7" t="n">
        <v>288.07</v>
      </c>
    </row>
    <row r="8150" customFormat="false" ht="15" hidden="false" customHeight="false" outlineLevel="0" collapsed="false">
      <c r="A8150" s="7" t="s">
        <v>24</v>
      </c>
      <c r="B8150" s="7" t="s">
        <v>462</v>
      </c>
      <c r="C8150" s="7" t="s">
        <v>1080</v>
      </c>
      <c r="D8150" s="7" t="n">
        <v>0</v>
      </c>
      <c r="E8150" s="7" t="n">
        <v>0</v>
      </c>
      <c r="F8150" s="7" t="n">
        <v>1</v>
      </c>
      <c r="G8150" s="7" t="n">
        <v>288.07</v>
      </c>
    </row>
    <row r="8151" customFormat="false" ht="15" hidden="false" customHeight="false" outlineLevel="0" collapsed="false">
      <c r="A8151" s="7" t="s">
        <v>24</v>
      </c>
      <c r="B8151" s="7" t="s">
        <v>462</v>
      </c>
      <c r="C8151" s="7" t="s">
        <v>1080</v>
      </c>
      <c r="D8151" s="7" t="n">
        <v>0</v>
      </c>
      <c r="E8151" s="7" t="n">
        <v>0</v>
      </c>
      <c r="F8151" s="7" t="n">
        <v>1</v>
      </c>
      <c r="G8151" s="7" t="n">
        <v>305.01</v>
      </c>
    </row>
    <row r="8152" customFormat="false" ht="15" hidden="false" customHeight="false" outlineLevel="0" collapsed="false">
      <c r="A8152" s="7" t="s">
        <v>24</v>
      </c>
      <c r="B8152" s="7" t="s">
        <v>238</v>
      </c>
      <c r="C8152" s="7" t="s">
        <v>1080</v>
      </c>
      <c r="D8152" s="7" t="n">
        <v>6</v>
      </c>
      <c r="E8152" s="7" t="n">
        <v>1899.72</v>
      </c>
      <c r="F8152" s="7" t="n">
        <v>0</v>
      </c>
      <c r="G8152" s="7" t="n">
        <v>0</v>
      </c>
    </row>
    <row r="8153" customFormat="false" ht="15" hidden="false" customHeight="false" outlineLevel="0" collapsed="false">
      <c r="A8153" s="7" t="s">
        <v>24</v>
      </c>
      <c r="B8153" s="7" t="s">
        <v>238</v>
      </c>
      <c r="C8153" s="7" t="s">
        <v>1080</v>
      </c>
      <c r="D8153" s="7" t="n">
        <v>1</v>
      </c>
      <c r="E8153" s="7" t="n">
        <v>288.06</v>
      </c>
      <c r="F8153" s="7" t="n">
        <v>7</v>
      </c>
      <c r="G8153" s="7" t="n">
        <v>2270.63</v>
      </c>
    </row>
    <row r="8154" customFormat="false" ht="15" hidden="false" customHeight="false" outlineLevel="0" collapsed="false">
      <c r="A8154" s="7" t="s">
        <v>24</v>
      </c>
      <c r="B8154" s="7" t="s">
        <v>238</v>
      </c>
      <c r="C8154" s="7" t="s">
        <v>1080</v>
      </c>
      <c r="D8154" s="7" t="n">
        <v>0</v>
      </c>
      <c r="E8154" s="7" t="n">
        <v>0</v>
      </c>
      <c r="F8154" s="7" t="n">
        <v>1</v>
      </c>
      <c r="G8154" s="7" t="n">
        <v>338.9</v>
      </c>
    </row>
    <row r="8155" customFormat="false" ht="15" hidden="false" customHeight="false" outlineLevel="0" collapsed="false">
      <c r="A8155" s="7" t="s">
        <v>24</v>
      </c>
      <c r="B8155" s="7" t="s">
        <v>238</v>
      </c>
      <c r="C8155" s="7" t="s">
        <v>1080</v>
      </c>
      <c r="D8155" s="7" t="n">
        <v>0</v>
      </c>
      <c r="E8155" s="7" t="n">
        <v>0</v>
      </c>
      <c r="F8155" s="7" t="n">
        <v>1</v>
      </c>
      <c r="G8155" s="7" t="n">
        <v>338.9</v>
      </c>
    </row>
    <row r="8156" customFormat="false" ht="15" hidden="false" customHeight="false" outlineLevel="0" collapsed="false">
      <c r="A8156" s="7" t="s">
        <v>24</v>
      </c>
      <c r="B8156" s="7" t="s">
        <v>238</v>
      </c>
      <c r="C8156" s="7" t="s">
        <v>1080</v>
      </c>
      <c r="D8156" s="7" t="n">
        <v>0</v>
      </c>
      <c r="E8156" s="7" t="n">
        <v>0</v>
      </c>
      <c r="F8156" s="7" t="n">
        <v>1</v>
      </c>
      <c r="G8156" s="7" t="n">
        <v>305.01</v>
      </c>
    </row>
    <row r="8157" customFormat="false" ht="15" hidden="false" customHeight="false" outlineLevel="0" collapsed="false">
      <c r="A8157" s="7" t="s">
        <v>24</v>
      </c>
      <c r="B8157" s="7" t="s">
        <v>238</v>
      </c>
      <c r="C8157" s="7" t="s">
        <v>1080</v>
      </c>
      <c r="D8157" s="7" t="n">
        <v>0</v>
      </c>
      <c r="E8157" s="7" t="n">
        <v>0</v>
      </c>
      <c r="F8157" s="7" t="n">
        <v>1</v>
      </c>
      <c r="G8157" s="7" t="n">
        <v>338.9</v>
      </c>
    </row>
    <row r="8158" customFormat="false" ht="15" hidden="false" customHeight="false" outlineLevel="0" collapsed="false">
      <c r="A8158" s="7" t="s">
        <v>24</v>
      </c>
      <c r="B8158" s="7" t="s">
        <v>757</v>
      </c>
      <c r="C8158" s="7" t="s">
        <v>1080</v>
      </c>
      <c r="D8158" s="7" t="n">
        <v>2</v>
      </c>
      <c r="E8158" s="7" t="n">
        <v>626.96</v>
      </c>
      <c r="F8158" s="7" t="n">
        <v>2</v>
      </c>
      <c r="G8158" s="7" t="n">
        <v>643.91</v>
      </c>
    </row>
    <row r="8159" customFormat="false" ht="15" hidden="false" customHeight="false" outlineLevel="0" collapsed="false">
      <c r="A8159" s="7" t="s">
        <v>24</v>
      </c>
      <c r="B8159" s="7" t="s">
        <v>757</v>
      </c>
      <c r="C8159" s="7" t="s">
        <v>1080</v>
      </c>
      <c r="D8159" s="7" t="n">
        <v>0</v>
      </c>
      <c r="E8159" s="7" t="n">
        <v>0</v>
      </c>
      <c r="F8159" s="7" t="n">
        <v>1</v>
      </c>
      <c r="G8159" s="7" t="n">
        <v>338.9</v>
      </c>
    </row>
    <row r="8160" customFormat="false" ht="15" hidden="false" customHeight="false" outlineLevel="0" collapsed="false">
      <c r="A8160" s="7" t="s">
        <v>24</v>
      </c>
      <c r="B8160" s="7" t="s">
        <v>757</v>
      </c>
      <c r="C8160" s="7" t="s">
        <v>1080</v>
      </c>
      <c r="D8160" s="7" t="n">
        <v>3</v>
      </c>
      <c r="E8160" s="7" t="n">
        <v>1026.87</v>
      </c>
      <c r="F8160" s="7" t="n">
        <v>0</v>
      </c>
      <c r="G8160" s="7" t="n">
        <v>0</v>
      </c>
    </row>
    <row r="8161" customFormat="false" ht="15" hidden="false" customHeight="false" outlineLevel="0" collapsed="false">
      <c r="A8161" s="7" t="s">
        <v>24</v>
      </c>
      <c r="B8161" s="7" t="s">
        <v>757</v>
      </c>
      <c r="C8161" s="7" t="s">
        <v>1080</v>
      </c>
      <c r="D8161" s="7" t="n">
        <v>0</v>
      </c>
      <c r="E8161" s="7" t="n">
        <v>0</v>
      </c>
      <c r="F8161" s="7" t="n">
        <v>1</v>
      </c>
      <c r="G8161" s="7" t="n">
        <v>338.9</v>
      </c>
    </row>
    <row r="8162" customFormat="false" ht="15" hidden="false" customHeight="false" outlineLevel="0" collapsed="false">
      <c r="A8162" s="7" t="s">
        <v>24</v>
      </c>
      <c r="B8162" s="7" t="s">
        <v>757</v>
      </c>
      <c r="C8162" s="7" t="s">
        <v>1080</v>
      </c>
      <c r="D8162" s="7" t="n">
        <v>0</v>
      </c>
      <c r="E8162" s="7" t="n">
        <v>0</v>
      </c>
      <c r="F8162" s="7" t="n">
        <v>1</v>
      </c>
      <c r="G8162" s="7" t="n">
        <v>288.07</v>
      </c>
    </row>
    <row r="8163" customFormat="false" ht="15" hidden="false" customHeight="false" outlineLevel="0" collapsed="false">
      <c r="A8163" s="7" t="s">
        <v>24</v>
      </c>
      <c r="B8163" s="7" t="s">
        <v>712</v>
      </c>
      <c r="C8163" s="7" t="s">
        <v>1309</v>
      </c>
      <c r="D8163" s="7" t="n">
        <v>1</v>
      </c>
      <c r="E8163" s="7" t="n">
        <v>85.54</v>
      </c>
      <c r="F8163" s="7" t="n">
        <v>0</v>
      </c>
      <c r="G8163" s="7" t="n">
        <v>0</v>
      </c>
    </row>
    <row r="8164" customFormat="false" ht="15" hidden="false" customHeight="false" outlineLevel="0" collapsed="false">
      <c r="A8164" s="7" t="s">
        <v>24</v>
      </c>
      <c r="B8164" s="7" t="s">
        <v>452</v>
      </c>
      <c r="C8164" s="7" t="s">
        <v>1309</v>
      </c>
      <c r="D8164" s="7" t="n">
        <v>3</v>
      </c>
      <c r="E8164" s="7" t="n">
        <v>427.74</v>
      </c>
      <c r="F8164" s="7" t="n">
        <v>0</v>
      </c>
      <c r="G8164" s="7" t="n">
        <v>0</v>
      </c>
    </row>
    <row r="8165" customFormat="false" ht="15" hidden="false" customHeight="false" outlineLevel="0" collapsed="false">
      <c r="A8165" s="7" t="s">
        <v>24</v>
      </c>
      <c r="B8165" s="7" t="s">
        <v>652</v>
      </c>
      <c r="C8165" s="7" t="s">
        <v>1309</v>
      </c>
      <c r="D8165" s="7" t="n">
        <v>1</v>
      </c>
      <c r="E8165" s="7" t="n">
        <v>145.43</v>
      </c>
      <c r="F8165" s="7" t="n">
        <v>0</v>
      </c>
      <c r="G8165" s="7" t="n">
        <v>0</v>
      </c>
    </row>
    <row r="8166" customFormat="false" ht="15" hidden="false" customHeight="false" outlineLevel="0" collapsed="false">
      <c r="A8166" s="7" t="s">
        <v>24</v>
      </c>
      <c r="B8166" s="7" t="s">
        <v>488</v>
      </c>
      <c r="C8166" s="7" t="s">
        <v>1309</v>
      </c>
      <c r="D8166" s="7" t="n">
        <v>2</v>
      </c>
      <c r="E8166" s="7" t="n">
        <v>342.2</v>
      </c>
      <c r="F8166" s="7" t="n">
        <v>0</v>
      </c>
      <c r="G8166" s="7" t="n">
        <v>0</v>
      </c>
    </row>
    <row r="8167" customFormat="false" ht="15" hidden="false" customHeight="false" outlineLevel="0" collapsed="false">
      <c r="A8167" s="7" t="s">
        <v>24</v>
      </c>
      <c r="B8167" s="7" t="s">
        <v>105</v>
      </c>
      <c r="C8167" s="7" t="s">
        <v>1121</v>
      </c>
      <c r="D8167" s="7" t="n">
        <v>342</v>
      </c>
      <c r="E8167" s="7" t="n">
        <v>45417.98</v>
      </c>
      <c r="F8167" s="7" t="n">
        <v>4</v>
      </c>
      <c r="G8167" s="7" t="n">
        <v>532.72</v>
      </c>
    </row>
    <row r="8168" customFormat="false" ht="15" hidden="false" customHeight="false" outlineLevel="0" collapsed="false">
      <c r="A8168" s="7" t="s">
        <v>24</v>
      </c>
      <c r="B8168" s="7" t="s">
        <v>102</v>
      </c>
      <c r="C8168" s="7" t="s">
        <v>1121</v>
      </c>
      <c r="D8168" s="7" t="n">
        <v>-1</v>
      </c>
      <c r="E8168" s="7" t="n">
        <v>-133.2</v>
      </c>
      <c r="F8168" s="7" t="n">
        <v>0</v>
      </c>
      <c r="G8168" s="7" t="n">
        <v>0</v>
      </c>
    </row>
    <row r="8169" customFormat="false" ht="15" hidden="false" customHeight="false" outlineLevel="0" collapsed="false">
      <c r="A8169" s="7" t="s">
        <v>24</v>
      </c>
      <c r="B8169" s="7" t="s">
        <v>102</v>
      </c>
      <c r="C8169" s="7" t="s">
        <v>1121</v>
      </c>
      <c r="D8169" s="7" t="n">
        <v>1817</v>
      </c>
      <c r="E8169" s="7" t="n">
        <v>240516.07</v>
      </c>
      <c r="F8169" s="7" t="n">
        <v>20</v>
      </c>
      <c r="G8169" s="7" t="n">
        <v>2706.8</v>
      </c>
    </row>
    <row r="8170" customFormat="false" ht="15" hidden="false" customHeight="false" outlineLevel="0" collapsed="false">
      <c r="A8170" s="7" t="s">
        <v>24</v>
      </c>
      <c r="B8170" s="7" t="s">
        <v>102</v>
      </c>
      <c r="C8170" s="7" t="s">
        <v>1121</v>
      </c>
      <c r="D8170" s="7" t="n">
        <v>-1</v>
      </c>
      <c r="E8170" s="7" t="n">
        <v>-111.6</v>
      </c>
      <c r="F8170" s="7" t="n">
        <v>0</v>
      </c>
      <c r="G8170" s="7" t="n">
        <v>0</v>
      </c>
    </row>
    <row r="8171" customFormat="false" ht="15" hidden="false" customHeight="false" outlineLevel="0" collapsed="false">
      <c r="A8171" s="7" t="s">
        <v>24</v>
      </c>
      <c r="B8171" s="7" t="s">
        <v>634</v>
      </c>
      <c r="C8171" s="7"/>
      <c r="D8171" s="7" t="n">
        <v>0</v>
      </c>
      <c r="E8171" s="7" t="n">
        <v>0</v>
      </c>
      <c r="F8171" s="7" t="n">
        <v>0</v>
      </c>
      <c r="G8171" s="7" t="n">
        <v>-169.32</v>
      </c>
    </row>
    <row r="8172" customFormat="false" ht="15" hidden="false" customHeight="false" outlineLevel="0" collapsed="false">
      <c r="A8172" s="7" t="s">
        <v>24</v>
      </c>
      <c r="B8172" s="7" t="s">
        <v>622</v>
      </c>
      <c r="C8172" s="7" t="s">
        <v>622</v>
      </c>
      <c r="D8172" s="7" t="n">
        <v>1</v>
      </c>
      <c r="E8172" s="7" t="n">
        <v>100</v>
      </c>
      <c r="F8172" s="7" t="n">
        <v>0</v>
      </c>
      <c r="G8172" s="7" t="n">
        <v>0</v>
      </c>
    </row>
    <row r="8173" customFormat="false" ht="15" hidden="false" customHeight="false" outlineLevel="0" collapsed="false">
      <c r="A8173" s="7" t="s">
        <v>24</v>
      </c>
      <c r="B8173" s="7" t="s">
        <v>622</v>
      </c>
      <c r="C8173" s="7" t="s">
        <v>622</v>
      </c>
      <c r="D8173" s="7" t="n">
        <v>1</v>
      </c>
      <c r="E8173" s="7" t="n">
        <v>81.43</v>
      </c>
      <c r="F8173" s="7" t="n">
        <v>0</v>
      </c>
      <c r="G8173" s="7" t="n">
        <v>0</v>
      </c>
    </row>
    <row r="8174" customFormat="false" ht="15" hidden="false" customHeight="false" outlineLevel="0" collapsed="false">
      <c r="A8174" s="7" t="s">
        <v>24</v>
      </c>
      <c r="B8174" s="7" t="s">
        <v>170</v>
      </c>
      <c r="C8174" s="7" t="s">
        <v>1179</v>
      </c>
      <c r="D8174" s="7" t="n">
        <v>0</v>
      </c>
      <c r="E8174" s="7" t="n">
        <v>-2545.41</v>
      </c>
      <c r="F8174" s="7" t="n">
        <v>0</v>
      </c>
      <c r="G8174" s="7" t="n">
        <v>0</v>
      </c>
    </row>
    <row r="8175" customFormat="false" ht="15" hidden="false" customHeight="false" outlineLevel="0" collapsed="false">
      <c r="A8175" s="7" t="s">
        <v>27</v>
      </c>
      <c r="B8175" s="7" t="s">
        <v>349</v>
      </c>
      <c r="C8175" s="7" t="s">
        <v>1034</v>
      </c>
      <c r="D8175" s="7" t="n">
        <v>0</v>
      </c>
      <c r="E8175" s="7" t="n">
        <v>0</v>
      </c>
      <c r="F8175" s="7" t="n">
        <v>40</v>
      </c>
      <c r="G8175" s="7" t="n">
        <v>2484.42</v>
      </c>
    </row>
    <row r="8176" customFormat="false" ht="15" hidden="false" customHeight="false" outlineLevel="0" collapsed="false">
      <c r="A8176" s="7" t="s">
        <v>27</v>
      </c>
      <c r="B8176" s="7" t="s">
        <v>160</v>
      </c>
      <c r="C8176" s="7" t="s">
        <v>1034</v>
      </c>
      <c r="D8176" s="7" t="n">
        <v>0</v>
      </c>
      <c r="E8176" s="7" t="n">
        <v>0</v>
      </c>
      <c r="F8176" s="7" t="n">
        <v>50</v>
      </c>
      <c r="G8176" s="7" t="n">
        <v>3105.52</v>
      </c>
    </row>
    <row r="8177" customFormat="false" ht="15" hidden="false" customHeight="false" outlineLevel="0" collapsed="false">
      <c r="A8177" s="7" t="s">
        <v>27</v>
      </c>
      <c r="B8177" s="7" t="s">
        <v>763</v>
      </c>
      <c r="C8177" s="7" t="s">
        <v>1034</v>
      </c>
      <c r="D8177" s="7" t="n">
        <v>0</v>
      </c>
      <c r="E8177" s="7" t="n">
        <v>0</v>
      </c>
      <c r="F8177" s="7" t="n">
        <v>10</v>
      </c>
      <c r="G8177" s="7" t="n">
        <v>640.46</v>
      </c>
    </row>
    <row r="8178" customFormat="false" ht="15" hidden="false" customHeight="false" outlineLevel="0" collapsed="false">
      <c r="A8178" s="7" t="s">
        <v>27</v>
      </c>
      <c r="B8178" s="7" t="s">
        <v>763</v>
      </c>
      <c r="C8178" s="7" t="s">
        <v>1034</v>
      </c>
      <c r="D8178" s="7" t="n">
        <v>0</v>
      </c>
      <c r="E8178" s="7" t="n">
        <v>0</v>
      </c>
      <c r="F8178" s="7" t="n">
        <v>20</v>
      </c>
      <c r="G8178" s="7" t="n">
        <v>1242.2</v>
      </c>
    </row>
    <row r="8179" customFormat="false" ht="15" hidden="false" customHeight="false" outlineLevel="0" collapsed="false">
      <c r="A8179" s="7" t="s">
        <v>27</v>
      </c>
      <c r="B8179" s="7" t="s">
        <v>297</v>
      </c>
      <c r="C8179" s="7" t="s">
        <v>1034</v>
      </c>
      <c r="D8179" s="7" t="n">
        <v>0</v>
      </c>
      <c r="E8179" s="7" t="n">
        <v>0</v>
      </c>
      <c r="F8179" s="7" t="n">
        <v>40</v>
      </c>
      <c r="G8179" s="7" t="n">
        <v>2484.42</v>
      </c>
    </row>
    <row r="8180" customFormat="false" ht="15" hidden="false" customHeight="false" outlineLevel="0" collapsed="false">
      <c r="A8180" s="7" t="s">
        <v>27</v>
      </c>
      <c r="B8180" s="7" t="s">
        <v>212</v>
      </c>
      <c r="C8180" s="7" t="s">
        <v>1035</v>
      </c>
      <c r="D8180" s="7" t="n">
        <v>0</v>
      </c>
      <c r="E8180" s="7" t="n">
        <v>0</v>
      </c>
      <c r="F8180" s="7" t="n">
        <v>30</v>
      </c>
      <c r="G8180" s="7" t="n">
        <v>1921.37</v>
      </c>
    </row>
    <row r="8181" customFormat="false" ht="15" hidden="false" customHeight="false" outlineLevel="0" collapsed="false">
      <c r="A8181" s="7" t="s">
        <v>27</v>
      </c>
      <c r="B8181" s="7" t="s">
        <v>212</v>
      </c>
      <c r="C8181" s="7" t="s">
        <v>1035</v>
      </c>
      <c r="D8181" s="7" t="n">
        <v>0</v>
      </c>
      <c r="E8181" s="7" t="n">
        <v>0</v>
      </c>
      <c r="F8181" s="7" t="n">
        <v>50</v>
      </c>
      <c r="G8181" s="7" t="n">
        <v>3076.98</v>
      </c>
    </row>
    <row r="8182" customFormat="false" ht="15" hidden="false" customHeight="false" outlineLevel="0" collapsed="false">
      <c r="A8182" s="7" t="s">
        <v>27</v>
      </c>
      <c r="B8182" s="7" t="s">
        <v>212</v>
      </c>
      <c r="C8182" s="7" t="s">
        <v>1035</v>
      </c>
      <c r="D8182" s="7" t="n">
        <v>60</v>
      </c>
      <c r="E8182" s="7" t="n">
        <v>4095.11</v>
      </c>
      <c r="F8182" s="7" t="n">
        <v>0</v>
      </c>
      <c r="G8182" s="7" t="n">
        <v>0</v>
      </c>
    </row>
    <row r="8183" customFormat="false" ht="15" hidden="false" customHeight="false" outlineLevel="0" collapsed="false">
      <c r="A8183" s="7" t="s">
        <v>27</v>
      </c>
      <c r="B8183" s="7" t="s">
        <v>212</v>
      </c>
      <c r="C8183" s="7" t="s">
        <v>1035</v>
      </c>
      <c r="D8183" s="7" t="n">
        <v>70</v>
      </c>
      <c r="E8183" s="7" t="n">
        <v>5229.26</v>
      </c>
      <c r="F8183" s="7" t="n">
        <v>0</v>
      </c>
      <c r="G8183" s="7" t="n">
        <v>0</v>
      </c>
    </row>
    <row r="8184" customFormat="false" ht="15" hidden="false" customHeight="false" outlineLevel="0" collapsed="false">
      <c r="A8184" s="7" t="s">
        <v>27</v>
      </c>
      <c r="B8184" s="7" t="s">
        <v>212</v>
      </c>
      <c r="C8184" s="7" t="s">
        <v>1035</v>
      </c>
      <c r="D8184" s="7" t="n">
        <v>20</v>
      </c>
      <c r="E8184" s="7" t="n">
        <v>1367.66</v>
      </c>
      <c r="F8184" s="7" t="n">
        <v>0</v>
      </c>
      <c r="G8184" s="7" t="n">
        <v>0</v>
      </c>
    </row>
    <row r="8185" customFormat="false" ht="15" hidden="false" customHeight="false" outlineLevel="0" collapsed="false">
      <c r="A8185" s="7" t="s">
        <v>27</v>
      </c>
      <c r="B8185" s="7" t="s">
        <v>212</v>
      </c>
      <c r="C8185" s="7" t="s">
        <v>1035</v>
      </c>
      <c r="D8185" s="7" t="n">
        <v>40</v>
      </c>
      <c r="E8185" s="7" t="n">
        <v>2783.36</v>
      </c>
      <c r="F8185" s="7" t="n">
        <v>0</v>
      </c>
      <c r="G8185" s="7" t="n">
        <v>0</v>
      </c>
    </row>
    <row r="8186" customFormat="false" ht="15" hidden="false" customHeight="false" outlineLevel="0" collapsed="false">
      <c r="A8186" s="7" t="s">
        <v>27</v>
      </c>
      <c r="B8186" s="7" t="s">
        <v>390</v>
      </c>
      <c r="C8186" s="7" t="s">
        <v>1035</v>
      </c>
      <c r="D8186" s="7" t="n">
        <v>0</v>
      </c>
      <c r="E8186" s="7" t="n">
        <v>0</v>
      </c>
      <c r="F8186" s="7" t="n">
        <v>20</v>
      </c>
      <c r="G8186" s="7" t="n">
        <v>1280.92</v>
      </c>
    </row>
    <row r="8187" customFormat="false" ht="15" hidden="false" customHeight="false" outlineLevel="0" collapsed="false">
      <c r="A8187" s="7" t="s">
        <v>27</v>
      </c>
      <c r="B8187" s="7" t="s">
        <v>390</v>
      </c>
      <c r="C8187" s="7" t="s">
        <v>1035</v>
      </c>
      <c r="D8187" s="7" t="n">
        <v>30</v>
      </c>
      <c r="E8187" s="7" t="n">
        <v>2153.37</v>
      </c>
      <c r="F8187" s="7" t="n">
        <v>0</v>
      </c>
      <c r="G8187" s="7" t="n">
        <v>0</v>
      </c>
    </row>
    <row r="8188" customFormat="false" ht="15" hidden="false" customHeight="false" outlineLevel="0" collapsed="false">
      <c r="A8188" s="7" t="s">
        <v>27</v>
      </c>
      <c r="B8188" s="7" t="s">
        <v>390</v>
      </c>
      <c r="C8188" s="7" t="s">
        <v>1035</v>
      </c>
      <c r="D8188" s="7" t="n">
        <v>0</v>
      </c>
      <c r="E8188" s="7" t="n">
        <v>0</v>
      </c>
      <c r="F8188" s="7" t="n">
        <v>30</v>
      </c>
      <c r="G8188" s="7" t="n">
        <v>1846.19</v>
      </c>
    </row>
    <row r="8189" customFormat="false" ht="15" hidden="false" customHeight="false" outlineLevel="0" collapsed="false">
      <c r="A8189" s="7" t="s">
        <v>27</v>
      </c>
      <c r="B8189" s="7" t="s">
        <v>390</v>
      </c>
      <c r="C8189" s="7" t="s">
        <v>1035</v>
      </c>
      <c r="D8189" s="7" t="n">
        <v>40</v>
      </c>
      <c r="E8189" s="7" t="n">
        <v>2783.36</v>
      </c>
      <c r="F8189" s="7" t="n">
        <v>0</v>
      </c>
      <c r="G8189" s="7" t="n">
        <v>0</v>
      </c>
    </row>
    <row r="8190" customFormat="false" ht="15" hidden="false" customHeight="false" outlineLevel="0" collapsed="false">
      <c r="A8190" s="7" t="s">
        <v>27</v>
      </c>
      <c r="B8190" s="7" t="s">
        <v>390</v>
      </c>
      <c r="C8190" s="7" t="s">
        <v>1035</v>
      </c>
      <c r="D8190" s="7" t="n">
        <v>10</v>
      </c>
      <c r="E8190" s="7" t="n">
        <v>683.83</v>
      </c>
      <c r="F8190" s="7" t="n">
        <v>0</v>
      </c>
      <c r="G8190" s="7" t="n">
        <v>0</v>
      </c>
    </row>
    <row r="8191" customFormat="false" ht="15" hidden="false" customHeight="false" outlineLevel="0" collapsed="false">
      <c r="A8191" s="7" t="s">
        <v>27</v>
      </c>
      <c r="B8191" s="7" t="s">
        <v>390</v>
      </c>
      <c r="C8191" s="7" t="s">
        <v>1035</v>
      </c>
      <c r="D8191" s="7" t="n">
        <v>30</v>
      </c>
      <c r="E8191" s="7" t="n">
        <v>2241.11</v>
      </c>
      <c r="F8191" s="7" t="n">
        <v>0</v>
      </c>
      <c r="G8191" s="7" t="n">
        <v>0</v>
      </c>
    </row>
    <row r="8192" customFormat="false" ht="15" hidden="false" customHeight="false" outlineLevel="0" collapsed="false">
      <c r="A8192" s="7" t="s">
        <v>27</v>
      </c>
      <c r="B8192" s="7" t="s">
        <v>390</v>
      </c>
      <c r="C8192" s="7" t="s">
        <v>1035</v>
      </c>
      <c r="D8192" s="7" t="n">
        <v>30</v>
      </c>
      <c r="E8192" s="7" t="n">
        <v>2047.55</v>
      </c>
      <c r="F8192" s="7" t="n">
        <v>0</v>
      </c>
      <c r="G8192" s="7" t="n">
        <v>0</v>
      </c>
    </row>
    <row r="8193" customFormat="false" ht="15" hidden="false" customHeight="false" outlineLevel="0" collapsed="false">
      <c r="A8193" s="7" t="s">
        <v>27</v>
      </c>
      <c r="B8193" s="7" t="s">
        <v>292</v>
      </c>
      <c r="C8193" s="7" t="s">
        <v>1035</v>
      </c>
      <c r="D8193" s="7" t="n">
        <v>0</v>
      </c>
      <c r="E8193" s="7" t="n">
        <v>0</v>
      </c>
      <c r="F8193" s="7" t="n">
        <v>12</v>
      </c>
      <c r="G8193" s="7" t="n">
        <v>738.48</v>
      </c>
    </row>
    <row r="8194" customFormat="false" ht="15" hidden="false" customHeight="false" outlineLevel="0" collapsed="false">
      <c r="A8194" s="7" t="s">
        <v>27</v>
      </c>
      <c r="B8194" s="7" t="s">
        <v>292</v>
      </c>
      <c r="C8194" s="7" t="s">
        <v>1035</v>
      </c>
      <c r="D8194" s="7" t="n">
        <v>10</v>
      </c>
      <c r="E8194" s="7" t="n">
        <v>717.79</v>
      </c>
      <c r="F8194" s="7" t="n">
        <v>0</v>
      </c>
      <c r="G8194" s="7" t="n">
        <v>0</v>
      </c>
    </row>
    <row r="8195" customFormat="false" ht="15" hidden="false" customHeight="false" outlineLevel="0" collapsed="false">
      <c r="A8195" s="7" t="s">
        <v>27</v>
      </c>
      <c r="B8195" s="7" t="s">
        <v>292</v>
      </c>
      <c r="C8195" s="7" t="s">
        <v>1035</v>
      </c>
      <c r="D8195" s="7" t="n">
        <v>10</v>
      </c>
      <c r="E8195" s="7" t="n">
        <v>682.52</v>
      </c>
      <c r="F8195" s="7" t="n">
        <v>0</v>
      </c>
      <c r="G8195" s="7" t="n">
        <v>0</v>
      </c>
    </row>
    <row r="8196" customFormat="false" ht="15" hidden="false" customHeight="false" outlineLevel="0" collapsed="false">
      <c r="A8196" s="7" t="s">
        <v>27</v>
      </c>
      <c r="B8196" s="7" t="s">
        <v>292</v>
      </c>
      <c r="C8196" s="7" t="s">
        <v>1035</v>
      </c>
      <c r="D8196" s="7" t="n">
        <v>30</v>
      </c>
      <c r="E8196" s="7" t="n">
        <v>2241.11</v>
      </c>
      <c r="F8196" s="7" t="n">
        <v>0</v>
      </c>
      <c r="G8196" s="7" t="n">
        <v>0</v>
      </c>
    </row>
    <row r="8197" customFormat="false" ht="15" hidden="false" customHeight="false" outlineLevel="0" collapsed="false">
      <c r="A8197" s="7" t="s">
        <v>27</v>
      </c>
      <c r="B8197" s="7" t="s">
        <v>292</v>
      </c>
      <c r="C8197" s="7" t="s">
        <v>1035</v>
      </c>
      <c r="D8197" s="7" t="n">
        <v>20</v>
      </c>
      <c r="E8197" s="7" t="n">
        <v>1391.68</v>
      </c>
      <c r="F8197" s="7" t="n">
        <v>0</v>
      </c>
      <c r="G8197" s="7" t="n">
        <v>0</v>
      </c>
    </row>
    <row r="8198" customFormat="false" ht="15" hidden="false" customHeight="false" outlineLevel="0" collapsed="false">
      <c r="A8198" s="7" t="s">
        <v>27</v>
      </c>
      <c r="B8198" s="7" t="s">
        <v>232</v>
      </c>
      <c r="C8198" s="7" t="s">
        <v>1035</v>
      </c>
      <c r="D8198" s="7" t="n">
        <v>0</v>
      </c>
      <c r="E8198" s="7" t="n">
        <v>0</v>
      </c>
      <c r="F8198" s="7" t="n">
        <v>20</v>
      </c>
      <c r="G8198" s="7" t="n">
        <v>1280.92</v>
      </c>
    </row>
    <row r="8199" customFormat="false" ht="15" hidden="false" customHeight="false" outlineLevel="0" collapsed="false">
      <c r="A8199" s="7" t="s">
        <v>27</v>
      </c>
      <c r="B8199" s="7" t="s">
        <v>232</v>
      </c>
      <c r="C8199" s="7" t="s">
        <v>1035</v>
      </c>
      <c r="D8199" s="7" t="n">
        <v>50</v>
      </c>
      <c r="E8199" s="7" t="n">
        <v>3412.59</v>
      </c>
      <c r="F8199" s="7" t="n">
        <v>0</v>
      </c>
      <c r="G8199" s="7" t="n">
        <v>0</v>
      </c>
    </row>
    <row r="8200" customFormat="false" ht="15" hidden="false" customHeight="false" outlineLevel="0" collapsed="false">
      <c r="A8200" s="7" t="s">
        <v>27</v>
      </c>
      <c r="B8200" s="7" t="s">
        <v>232</v>
      </c>
      <c r="C8200" s="7" t="s">
        <v>1035</v>
      </c>
      <c r="D8200" s="7" t="n">
        <v>60</v>
      </c>
      <c r="E8200" s="7" t="n">
        <v>4482.23</v>
      </c>
      <c r="F8200" s="7" t="n">
        <v>0</v>
      </c>
      <c r="G8200" s="7" t="n">
        <v>0</v>
      </c>
    </row>
    <row r="8201" customFormat="false" ht="15" hidden="false" customHeight="false" outlineLevel="0" collapsed="false">
      <c r="A8201" s="7" t="s">
        <v>27</v>
      </c>
      <c r="B8201" s="7" t="s">
        <v>232</v>
      </c>
      <c r="C8201" s="7" t="s">
        <v>1035</v>
      </c>
      <c r="D8201" s="7" t="n">
        <v>20</v>
      </c>
      <c r="E8201" s="7" t="n">
        <v>1367.66</v>
      </c>
      <c r="F8201" s="7" t="n">
        <v>0</v>
      </c>
      <c r="G8201" s="7" t="n">
        <v>0</v>
      </c>
    </row>
    <row r="8202" customFormat="false" ht="15" hidden="false" customHeight="false" outlineLevel="0" collapsed="false">
      <c r="A8202" s="7" t="s">
        <v>27</v>
      </c>
      <c r="B8202" s="7" t="s">
        <v>232</v>
      </c>
      <c r="C8202" s="7" t="s">
        <v>1035</v>
      </c>
      <c r="D8202" s="7" t="n">
        <v>30</v>
      </c>
      <c r="E8202" s="7" t="n">
        <v>2087.52</v>
      </c>
      <c r="F8202" s="7" t="n">
        <v>0</v>
      </c>
      <c r="G8202" s="7" t="n">
        <v>0</v>
      </c>
    </row>
    <row r="8203" customFormat="false" ht="15" hidden="false" customHeight="false" outlineLevel="0" collapsed="false">
      <c r="A8203" s="7" t="s">
        <v>27</v>
      </c>
      <c r="B8203" s="7" t="s">
        <v>232</v>
      </c>
      <c r="C8203" s="7" t="s">
        <v>1035</v>
      </c>
      <c r="D8203" s="7" t="n">
        <v>0</v>
      </c>
      <c r="E8203" s="7" t="n">
        <v>0</v>
      </c>
      <c r="F8203" s="7" t="n">
        <v>30</v>
      </c>
      <c r="G8203" s="7" t="n">
        <v>1846.19</v>
      </c>
    </row>
    <row r="8204" customFormat="false" ht="15" hidden="false" customHeight="false" outlineLevel="0" collapsed="false">
      <c r="A8204" s="7" t="s">
        <v>27</v>
      </c>
      <c r="B8204" s="7" t="s">
        <v>232</v>
      </c>
      <c r="C8204" s="7" t="s">
        <v>1035</v>
      </c>
      <c r="D8204" s="7" t="n">
        <v>0</v>
      </c>
      <c r="E8204" s="7" t="n">
        <v>0</v>
      </c>
      <c r="F8204" s="7" t="n">
        <v>20</v>
      </c>
      <c r="G8204" s="7" t="n">
        <v>1328.56</v>
      </c>
    </row>
    <row r="8205" customFormat="false" ht="15" hidden="false" customHeight="false" outlineLevel="0" collapsed="false">
      <c r="A8205" s="7" t="s">
        <v>27</v>
      </c>
      <c r="B8205" s="7" t="s">
        <v>214</v>
      </c>
      <c r="C8205" s="7" t="s">
        <v>1035</v>
      </c>
      <c r="D8205" s="7" t="n">
        <v>0</v>
      </c>
      <c r="E8205" s="7" t="n">
        <v>0</v>
      </c>
      <c r="F8205" s="7" t="n">
        <v>10</v>
      </c>
      <c r="G8205" s="7" t="n">
        <v>664.28</v>
      </c>
    </row>
    <row r="8206" customFormat="false" ht="15" hidden="false" customHeight="false" outlineLevel="0" collapsed="false">
      <c r="A8206" s="7" t="s">
        <v>27</v>
      </c>
      <c r="B8206" s="7" t="s">
        <v>214</v>
      </c>
      <c r="C8206" s="7" t="s">
        <v>1035</v>
      </c>
      <c r="D8206" s="7" t="n">
        <v>20</v>
      </c>
      <c r="E8206" s="7" t="n">
        <v>1494.08</v>
      </c>
      <c r="F8206" s="7" t="n">
        <v>0</v>
      </c>
      <c r="G8206" s="7" t="n">
        <v>0</v>
      </c>
    </row>
    <row r="8207" customFormat="false" ht="15" hidden="false" customHeight="false" outlineLevel="0" collapsed="false">
      <c r="A8207" s="7" t="s">
        <v>27</v>
      </c>
      <c r="B8207" s="7" t="s">
        <v>214</v>
      </c>
      <c r="C8207" s="7" t="s">
        <v>1035</v>
      </c>
      <c r="D8207" s="7" t="n">
        <v>6</v>
      </c>
      <c r="E8207" s="7" t="n">
        <v>409.51</v>
      </c>
      <c r="F8207" s="7" t="n">
        <v>0</v>
      </c>
      <c r="G8207" s="7" t="n">
        <v>0</v>
      </c>
    </row>
    <row r="8208" customFormat="false" ht="15" hidden="false" customHeight="false" outlineLevel="0" collapsed="false">
      <c r="A8208" s="7" t="s">
        <v>27</v>
      </c>
      <c r="B8208" s="7" t="s">
        <v>214</v>
      </c>
      <c r="C8208" s="7" t="s">
        <v>1035</v>
      </c>
      <c r="D8208" s="7" t="n">
        <v>50</v>
      </c>
      <c r="E8208" s="7" t="n">
        <v>3588.95</v>
      </c>
      <c r="F8208" s="7" t="n">
        <v>0</v>
      </c>
      <c r="G8208" s="7" t="n">
        <v>0</v>
      </c>
    </row>
    <row r="8209" customFormat="false" ht="15" hidden="false" customHeight="false" outlineLevel="0" collapsed="false">
      <c r="A8209" s="7" t="s">
        <v>27</v>
      </c>
      <c r="B8209" s="7" t="s">
        <v>214</v>
      </c>
      <c r="C8209" s="7" t="s">
        <v>1035</v>
      </c>
      <c r="D8209" s="7" t="n">
        <v>0</v>
      </c>
      <c r="E8209" s="7" t="n">
        <v>0</v>
      </c>
      <c r="F8209" s="7" t="n">
        <v>10</v>
      </c>
      <c r="G8209" s="7" t="n">
        <v>615.4</v>
      </c>
    </row>
    <row r="8210" customFormat="false" ht="15" hidden="false" customHeight="false" outlineLevel="0" collapsed="false">
      <c r="A8210" s="7" t="s">
        <v>27</v>
      </c>
      <c r="B8210" s="7" t="s">
        <v>214</v>
      </c>
      <c r="C8210" s="7" t="s">
        <v>1035</v>
      </c>
      <c r="D8210" s="7" t="n">
        <v>30</v>
      </c>
      <c r="E8210" s="7" t="n">
        <v>2087.52</v>
      </c>
      <c r="F8210" s="7" t="n">
        <v>0</v>
      </c>
      <c r="G8210" s="7" t="n">
        <v>0</v>
      </c>
    </row>
    <row r="8211" customFormat="false" ht="15" hidden="false" customHeight="false" outlineLevel="0" collapsed="false">
      <c r="A8211" s="7" t="s">
        <v>27</v>
      </c>
      <c r="B8211" s="7" t="s">
        <v>214</v>
      </c>
      <c r="C8211" s="7" t="s">
        <v>1035</v>
      </c>
      <c r="D8211" s="7" t="n">
        <v>0</v>
      </c>
      <c r="E8211" s="7" t="n">
        <v>0</v>
      </c>
      <c r="F8211" s="7" t="n">
        <v>10</v>
      </c>
      <c r="G8211" s="7" t="n">
        <v>640.46</v>
      </c>
    </row>
    <row r="8212" customFormat="false" ht="15" hidden="false" customHeight="false" outlineLevel="0" collapsed="false">
      <c r="A8212" s="7" t="s">
        <v>27</v>
      </c>
      <c r="B8212" s="7" t="s">
        <v>626</v>
      </c>
      <c r="C8212" s="7" t="s">
        <v>1036</v>
      </c>
      <c r="D8212" s="7" t="n">
        <v>20</v>
      </c>
      <c r="E8212" s="7" t="n">
        <v>1530.04</v>
      </c>
      <c r="F8212" s="7" t="n">
        <v>0</v>
      </c>
      <c r="G8212" s="7" t="n">
        <v>0</v>
      </c>
    </row>
    <row r="8213" customFormat="false" ht="15" hidden="false" customHeight="false" outlineLevel="0" collapsed="false">
      <c r="A8213" s="7" t="s">
        <v>27</v>
      </c>
      <c r="B8213" s="7" t="s">
        <v>626</v>
      </c>
      <c r="C8213" s="7" t="s">
        <v>1036</v>
      </c>
      <c r="D8213" s="7" t="n">
        <v>12</v>
      </c>
      <c r="E8213" s="7" t="n">
        <v>919.79</v>
      </c>
      <c r="F8213" s="7" t="n">
        <v>0</v>
      </c>
      <c r="G8213" s="7" t="n">
        <v>0</v>
      </c>
    </row>
    <row r="8214" customFormat="false" ht="15" hidden="false" customHeight="false" outlineLevel="0" collapsed="false">
      <c r="A8214" s="7" t="s">
        <v>27</v>
      </c>
      <c r="B8214" s="7" t="s">
        <v>626</v>
      </c>
      <c r="C8214" s="7" t="s">
        <v>1036</v>
      </c>
      <c r="D8214" s="7" t="n">
        <v>44</v>
      </c>
      <c r="E8214" s="7" t="n">
        <v>3684.29</v>
      </c>
      <c r="F8214" s="7" t="n">
        <v>0</v>
      </c>
      <c r="G8214" s="7" t="n">
        <v>0</v>
      </c>
    </row>
    <row r="8215" customFormat="false" ht="15" hidden="false" customHeight="false" outlineLevel="0" collapsed="false">
      <c r="A8215" s="7" t="s">
        <v>27</v>
      </c>
      <c r="B8215" s="7" t="s">
        <v>626</v>
      </c>
      <c r="C8215" s="7" t="s">
        <v>1036</v>
      </c>
      <c r="D8215" s="7" t="n">
        <v>10</v>
      </c>
      <c r="E8215" s="7" t="n">
        <v>779.95</v>
      </c>
      <c r="F8215" s="7" t="n">
        <v>0</v>
      </c>
      <c r="G8215" s="7" t="n">
        <v>0</v>
      </c>
    </row>
    <row r="8216" customFormat="false" ht="15" hidden="false" customHeight="false" outlineLevel="0" collapsed="false">
      <c r="A8216" s="7" t="s">
        <v>27</v>
      </c>
      <c r="B8216" s="7" t="s">
        <v>626</v>
      </c>
      <c r="C8216" s="7" t="s">
        <v>1036</v>
      </c>
      <c r="D8216" s="7" t="n">
        <v>0</v>
      </c>
      <c r="E8216" s="7" t="n">
        <v>0</v>
      </c>
      <c r="F8216" s="7" t="n">
        <v>20</v>
      </c>
      <c r="G8216" s="7" t="n">
        <v>1489.16</v>
      </c>
    </row>
    <row r="8217" customFormat="false" ht="15" hidden="false" customHeight="false" outlineLevel="0" collapsed="false">
      <c r="A8217" s="7" t="s">
        <v>27</v>
      </c>
      <c r="B8217" s="7" t="s">
        <v>325</v>
      </c>
      <c r="C8217" s="7" t="s">
        <v>1036</v>
      </c>
      <c r="D8217" s="7" t="n">
        <v>44</v>
      </c>
      <c r="E8217" s="7" t="n">
        <v>3684.29</v>
      </c>
      <c r="F8217" s="7" t="n">
        <v>0</v>
      </c>
      <c r="G8217" s="7" t="n">
        <v>0</v>
      </c>
    </row>
    <row r="8218" customFormat="false" ht="15" hidden="false" customHeight="false" outlineLevel="0" collapsed="false">
      <c r="A8218" s="7" t="s">
        <v>27</v>
      </c>
      <c r="B8218" s="7" t="s">
        <v>325</v>
      </c>
      <c r="C8218" s="7" t="s">
        <v>1036</v>
      </c>
      <c r="D8218" s="7" t="n">
        <v>6</v>
      </c>
      <c r="E8218" s="7" t="n">
        <v>459.01</v>
      </c>
      <c r="F8218" s="7" t="n">
        <v>0</v>
      </c>
      <c r="G8218" s="7" t="n">
        <v>0</v>
      </c>
    </row>
    <row r="8219" customFormat="false" ht="15" hidden="false" customHeight="false" outlineLevel="0" collapsed="false">
      <c r="A8219" s="7" t="s">
        <v>27</v>
      </c>
      <c r="B8219" s="7" t="s">
        <v>325</v>
      </c>
      <c r="C8219" s="7" t="s">
        <v>1036</v>
      </c>
      <c r="D8219" s="7" t="n">
        <v>0</v>
      </c>
      <c r="E8219" s="7" t="n">
        <v>0</v>
      </c>
      <c r="F8219" s="7" t="n">
        <v>30</v>
      </c>
      <c r="G8219" s="7" t="n">
        <v>2069.36</v>
      </c>
    </row>
    <row r="8220" customFormat="false" ht="15" hidden="false" customHeight="false" outlineLevel="0" collapsed="false">
      <c r="A8220" s="7" t="s">
        <v>27</v>
      </c>
      <c r="B8220" s="7" t="s">
        <v>325</v>
      </c>
      <c r="C8220" s="7" t="s">
        <v>1036</v>
      </c>
      <c r="D8220" s="7" t="n">
        <v>20</v>
      </c>
      <c r="E8220" s="7" t="n">
        <v>1559.91</v>
      </c>
      <c r="F8220" s="7" t="n">
        <v>0</v>
      </c>
      <c r="G8220" s="7" t="n">
        <v>0</v>
      </c>
    </row>
    <row r="8221" customFormat="false" ht="15" hidden="false" customHeight="false" outlineLevel="0" collapsed="false">
      <c r="A8221" s="7" t="s">
        <v>27</v>
      </c>
      <c r="B8221" s="7" t="s">
        <v>325</v>
      </c>
      <c r="C8221" s="7" t="s">
        <v>1036</v>
      </c>
      <c r="D8221" s="7" t="n">
        <v>12</v>
      </c>
      <c r="E8221" s="7" t="n">
        <v>919.79</v>
      </c>
      <c r="F8221" s="7" t="n">
        <v>0</v>
      </c>
      <c r="G8221" s="7" t="n">
        <v>0</v>
      </c>
    </row>
    <row r="8222" customFormat="false" ht="15" hidden="false" customHeight="false" outlineLevel="0" collapsed="false">
      <c r="A8222" s="7" t="s">
        <v>27</v>
      </c>
      <c r="B8222" s="7" t="s">
        <v>325</v>
      </c>
      <c r="C8222" s="7" t="s">
        <v>1036</v>
      </c>
      <c r="D8222" s="7" t="n">
        <v>10</v>
      </c>
      <c r="E8222" s="7" t="n">
        <v>804.56</v>
      </c>
      <c r="F8222" s="7" t="n">
        <v>0</v>
      </c>
      <c r="G8222" s="7" t="n">
        <v>0</v>
      </c>
    </row>
    <row r="8223" customFormat="false" ht="15" hidden="false" customHeight="false" outlineLevel="0" collapsed="false">
      <c r="A8223" s="7" t="s">
        <v>27</v>
      </c>
      <c r="B8223" s="7" t="s">
        <v>576</v>
      </c>
      <c r="C8223" s="7" t="s">
        <v>1036</v>
      </c>
      <c r="D8223" s="7" t="n">
        <v>0</v>
      </c>
      <c r="E8223" s="7" t="n">
        <v>0</v>
      </c>
      <c r="F8223" s="7" t="n">
        <v>10</v>
      </c>
      <c r="G8223" s="7" t="n">
        <v>689.79</v>
      </c>
    </row>
    <row r="8224" customFormat="false" ht="15" hidden="false" customHeight="false" outlineLevel="0" collapsed="false">
      <c r="A8224" s="7" t="s">
        <v>27</v>
      </c>
      <c r="B8224" s="7" t="s">
        <v>576</v>
      </c>
      <c r="C8224" s="7" t="s">
        <v>1036</v>
      </c>
      <c r="D8224" s="7" t="n">
        <v>10</v>
      </c>
      <c r="E8224" s="7" t="n">
        <v>779.95</v>
      </c>
      <c r="F8224" s="7" t="n">
        <v>0</v>
      </c>
      <c r="G8224" s="7" t="n">
        <v>0</v>
      </c>
    </row>
    <row r="8225" customFormat="false" ht="15" hidden="false" customHeight="false" outlineLevel="0" collapsed="false">
      <c r="A8225" s="7" t="s">
        <v>27</v>
      </c>
      <c r="B8225" s="7" t="s">
        <v>576</v>
      </c>
      <c r="C8225" s="7" t="s">
        <v>1036</v>
      </c>
      <c r="D8225" s="7" t="n">
        <v>16</v>
      </c>
      <c r="E8225" s="7" t="n">
        <v>1339.74</v>
      </c>
      <c r="F8225" s="7" t="n">
        <v>0</v>
      </c>
      <c r="G8225" s="7" t="n">
        <v>0</v>
      </c>
    </row>
    <row r="8226" customFormat="false" ht="15" hidden="false" customHeight="false" outlineLevel="0" collapsed="false">
      <c r="A8226" s="7" t="s">
        <v>27</v>
      </c>
      <c r="B8226" s="7" t="s">
        <v>576</v>
      </c>
      <c r="C8226" s="7" t="s">
        <v>1036</v>
      </c>
      <c r="D8226" s="7" t="n">
        <v>12</v>
      </c>
      <c r="E8226" s="7" t="n">
        <v>965.47</v>
      </c>
      <c r="F8226" s="7" t="n">
        <v>0</v>
      </c>
      <c r="G8226" s="7" t="n">
        <v>0</v>
      </c>
    </row>
    <row r="8227" customFormat="false" ht="15" hidden="false" customHeight="false" outlineLevel="0" collapsed="false">
      <c r="A8227" s="7" t="s">
        <v>27</v>
      </c>
      <c r="B8227" s="7" t="s">
        <v>576</v>
      </c>
      <c r="C8227" s="7" t="s">
        <v>1036</v>
      </c>
      <c r="D8227" s="7" t="n">
        <v>6</v>
      </c>
      <c r="E8227" s="7" t="n">
        <v>459.01</v>
      </c>
      <c r="F8227" s="7" t="n">
        <v>0</v>
      </c>
      <c r="G8227" s="7" t="n">
        <v>0</v>
      </c>
    </row>
    <row r="8228" customFormat="false" ht="15" hidden="false" customHeight="false" outlineLevel="0" collapsed="false">
      <c r="A8228" s="7" t="s">
        <v>27</v>
      </c>
      <c r="B8228" s="7" t="s">
        <v>576</v>
      </c>
      <c r="C8228" s="7" t="s">
        <v>1036</v>
      </c>
      <c r="D8228" s="7" t="n">
        <v>0</v>
      </c>
      <c r="E8228" s="7" t="n">
        <v>0</v>
      </c>
      <c r="F8228" s="7" t="n">
        <v>20</v>
      </c>
      <c r="G8228" s="7" t="n">
        <v>1435.75</v>
      </c>
    </row>
    <row r="8229" customFormat="false" ht="15" hidden="false" customHeight="false" outlineLevel="0" collapsed="false">
      <c r="A8229" s="7" t="s">
        <v>27</v>
      </c>
      <c r="B8229" s="7" t="s">
        <v>797</v>
      </c>
      <c r="C8229" s="7" t="s">
        <v>1036</v>
      </c>
      <c r="D8229" s="7" t="n">
        <v>20</v>
      </c>
      <c r="E8229" s="7" t="n">
        <v>1609.11</v>
      </c>
      <c r="F8229" s="7" t="n">
        <v>0</v>
      </c>
      <c r="G8229" s="7" t="n">
        <v>0</v>
      </c>
    </row>
    <row r="8230" customFormat="false" ht="15" hidden="false" customHeight="false" outlineLevel="0" collapsed="false">
      <c r="A8230" s="7" t="s">
        <v>27</v>
      </c>
      <c r="B8230" s="7" t="s">
        <v>797</v>
      </c>
      <c r="C8230" s="7" t="s">
        <v>1036</v>
      </c>
      <c r="D8230" s="7" t="n">
        <v>0</v>
      </c>
      <c r="E8230" s="7" t="n">
        <v>0</v>
      </c>
      <c r="F8230" s="7" t="n">
        <v>20</v>
      </c>
      <c r="G8230" s="7" t="n">
        <v>1379.57</v>
      </c>
    </row>
    <row r="8231" customFormat="false" ht="15" hidden="false" customHeight="false" outlineLevel="0" collapsed="false">
      <c r="A8231" s="7" t="s">
        <v>27</v>
      </c>
      <c r="B8231" s="7" t="s">
        <v>797</v>
      </c>
      <c r="C8231" s="7" t="s">
        <v>1036</v>
      </c>
      <c r="D8231" s="7" t="n">
        <v>32</v>
      </c>
      <c r="E8231" s="7" t="n">
        <v>2679.49</v>
      </c>
      <c r="F8231" s="7" t="n">
        <v>0</v>
      </c>
      <c r="G8231" s="7" t="n">
        <v>0</v>
      </c>
    </row>
    <row r="8232" customFormat="false" ht="15" hidden="false" customHeight="false" outlineLevel="0" collapsed="false">
      <c r="A8232" s="7" t="s">
        <v>27</v>
      </c>
      <c r="B8232" s="7" t="s">
        <v>797</v>
      </c>
      <c r="C8232" s="7" t="s">
        <v>1036</v>
      </c>
      <c r="D8232" s="7" t="n">
        <v>12</v>
      </c>
      <c r="E8232" s="7" t="n">
        <v>919.79</v>
      </c>
      <c r="F8232" s="7" t="n">
        <v>0</v>
      </c>
      <c r="G8232" s="7" t="n">
        <v>0</v>
      </c>
    </row>
    <row r="8233" customFormat="false" ht="15" hidden="false" customHeight="false" outlineLevel="0" collapsed="false">
      <c r="A8233" s="7" t="s">
        <v>27</v>
      </c>
      <c r="B8233" s="7" t="s">
        <v>797</v>
      </c>
      <c r="C8233" s="7" t="s">
        <v>1036</v>
      </c>
      <c r="D8233" s="7" t="n">
        <v>0</v>
      </c>
      <c r="E8233" s="7" t="n">
        <v>0</v>
      </c>
      <c r="F8233" s="7" t="n">
        <v>20</v>
      </c>
      <c r="G8233" s="7" t="n">
        <v>1435.75</v>
      </c>
    </row>
    <row r="8234" customFormat="false" ht="15" hidden="false" customHeight="false" outlineLevel="0" collapsed="false">
      <c r="A8234" s="7" t="s">
        <v>27</v>
      </c>
      <c r="B8234" s="7" t="s">
        <v>797</v>
      </c>
      <c r="C8234" s="7" t="s">
        <v>1036</v>
      </c>
      <c r="D8234" s="7" t="n">
        <v>10</v>
      </c>
      <c r="E8234" s="7" t="n">
        <v>765.02</v>
      </c>
      <c r="F8234" s="7" t="n">
        <v>0</v>
      </c>
      <c r="G8234" s="7" t="n">
        <v>0</v>
      </c>
    </row>
    <row r="8235" customFormat="false" ht="15" hidden="false" customHeight="false" outlineLevel="0" collapsed="false">
      <c r="A8235" s="7" t="s">
        <v>27</v>
      </c>
      <c r="B8235" s="7" t="s">
        <v>323</v>
      </c>
      <c r="C8235" s="7" t="s">
        <v>1138</v>
      </c>
      <c r="D8235" s="7" t="n">
        <v>12</v>
      </c>
      <c r="E8235" s="7" t="n">
        <v>946.54</v>
      </c>
      <c r="F8235" s="7" t="n">
        <v>0</v>
      </c>
      <c r="G8235" s="7" t="n">
        <v>0</v>
      </c>
    </row>
    <row r="8236" customFormat="false" ht="15" hidden="false" customHeight="false" outlineLevel="0" collapsed="false">
      <c r="A8236" s="7" t="s">
        <v>27</v>
      </c>
      <c r="B8236" s="7" t="s">
        <v>323</v>
      </c>
      <c r="C8236" s="7" t="s">
        <v>1138</v>
      </c>
      <c r="D8236" s="7" t="n">
        <v>10</v>
      </c>
      <c r="E8236" s="7" t="n">
        <v>764.66</v>
      </c>
      <c r="F8236" s="7" t="n">
        <v>0</v>
      </c>
      <c r="G8236" s="7" t="n">
        <v>0</v>
      </c>
    </row>
    <row r="8237" customFormat="false" ht="15" hidden="false" customHeight="false" outlineLevel="0" collapsed="false">
      <c r="A8237" s="7" t="s">
        <v>27</v>
      </c>
      <c r="B8237" s="7" t="s">
        <v>323</v>
      </c>
      <c r="C8237" s="7" t="s">
        <v>1138</v>
      </c>
      <c r="D8237" s="7" t="n">
        <v>16</v>
      </c>
      <c r="E8237" s="7" t="n">
        <v>1313.47</v>
      </c>
      <c r="F8237" s="7" t="n">
        <v>0</v>
      </c>
      <c r="G8237" s="7" t="n">
        <v>0</v>
      </c>
    </row>
    <row r="8238" customFormat="false" ht="15" hidden="false" customHeight="false" outlineLevel="0" collapsed="false">
      <c r="A8238" s="7" t="s">
        <v>27</v>
      </c>
      <c r="B8238" s="7" t="s">
        <v>323</v>
      </c>
      <c r="C8238" s="7" t="s">
        <v>1138</v>
      </c>
      <c r="D8238" s="7" t="n">
        <v>10</v>
      </c>
      <c r="E8238" s="7" t="n">
        <v>750.02</v>
      </c>
      <c r="F8238" s="7" t="n">
        <v>0</v>
      </c>
      <c r="G8238" s="7" t="n">
        <v>0</v>
      </c>
    </row>
    <row r="8239" customFormat="false" ht="15" hidden="false" customHeight="false" outlineLevel="0" collapsed="false">
      <c r="A8239" s="7" t="s">
        <v>27</v>
      </c>
      <c r="B8239" s="7" t="s">
        <v>220</v>
      </c>
      <c r="C8239" s="7" t="s">
        <v>1138</v>
      </c>
      <c r="D8239" s="7" t="n">
        <v>3</v>
      </c>
      <c r="E8239" s="7" t="n">
        <v>225.44</v>
      </c>
      <c r="F8239" s="7" t="n">
        <v>0</v>
      </c>
      <c r="G8239" s="7" t="n">
        <v>0</v>
      </c>
    </row>
    <row r="8240" customFormat="false" ht="15" hidden="false" customHeight="false" outlineLevel="0" collapsed="false">
      <c r="A8240" s="7" t="s">
        <v>27</v>
      </c>
      <c r="B8240" s="7" t="s">
        <v>220</v>
      </c>
      <c r="C8240" s="7" t="s">
        <v>1138</v>
      </c>
      <c r="D8240" s="7" t="n">
        <v>10</v>
      </c>
      <c r="E8240" s="7" t="n">
        <v>750.02</v>
      </c>
      <c r="F8240" s="7" t="n">
        <v>0</v>
      </c>
      <c r="G8240" s="7" t="n">
        <v>0</v>
      </c>
    </row>
    <row r="8241" customFormat="false" ht="15" hidden="false" customHeight="false" outlineLevel="0" collapsed="false">
      <c r="A8241" s="7" t="s">
        <v>27</v>
      </c>
      <c r="B8241" s="7" t="s">
        <v>220</v>
      </c>
      <c r="C8241" s="7" t="s">
        <v>1138</v>
      </c>
      <c r="D8241" s="7" t="n">
        <v>13</v>
      </c>
      <c r="E8241" s="7" t="n">
        <v>1067.2</v>
      </c>
      <c r="F8241" s="7" t="n">
        <v>0</v>
      </c>
      <c r="G8241" s="7" t="n">
        <v>0</v>
      </c>
    </row>
    <row r="8242" customFormat="false" ht="15" hidden="false" customHeight="false" outlineLevel="0" collapsed="false">
      <c r="A8242" s="7" t="s">
        <v>27</v>
      </c>
      <c r="B8242" s="7" t="s">
        <v>220</v>
      </c>
      <c r="C8242" s="7" t="s">
        <v>1138</v>
      </c>
      <c r="D8242" s="7" t="n">
        <v>10</v>
      </c>
      <c r="E8242" s="7" t="n">
        <v>788.78</v>
      </c>
      <c r="F8242" s="7" t="n">
        <v>0</v>
      </c>
      <c r="G8242" s="7" t="n">
        <v>0</v>
      </c>
    </row>
    <row r="8243" customFormat="false" ht="15" hidden="false" customHeight="false" outlineLevel="0" collapsed="false">
      <c r="A8243" s="7" t="s">
        <v>27</v>
      </c>
      <c r="B8243" s="7" t="s">
        <v>220</v>
      </c>
      <c r="C8243" s="7" t="s">
        <v>1138</v>
      </c>
      <c r="D8243" s="7" t="n">
        <v>0</v>
      </c>
      <c r="E8243" s="7" t="n">
        <v>0</v>
      </c>
      <c r="F8243" s="7" t="n">
        <v>6</v>
      </c>
      <c r="G8243" s="7" t="n">
        <v>405.76</v>
      </c>
    </row>
    <row r="8244" customFormat="false" ht="15" hidden="false" customHeight="false" outlineLevel="0" collapsed="false">
      <c r="A8244" s="7" t="s">
        <v>27</v>
      </c>
      <c r="B8244" s="7" t="s">
        <v>638</v>
      </c>
      <c r="C8244" s="7" t="s">
        <v>1139</v>
      </c>
      <c r="D8244" s="7" t="n">
        <v>30</v>
      </c>
      <c r="E8244" s="7" t="n">
        <v>590.64</v>
      </c>
      <c r="F8244" s="7" t="n">
        <v>0</v>
      </c>
      <c r="G8244" s="7" t="n">
        <v>0</v>
      </c>
    </row>
    <row r="8245" customFormat="false" ht="15" hidden="false" customHeight="false" outlineLevel="0" collapsed="false">
      <c r="A8245" s="7" t="s">
        <v>27</v>
      </c>
      <c r="B8245" s="7" t="s">
        <v>638</v>
      </c>
      <c r="C8245" s="7" t="s">
        <v>1139</v>
      </c>
      <c r="D8245" s="7" t="n">
        <v>0</v>
      </c>
      <c r="E8245" s="7" t="n">
        <v>0</v>
      </c>
      <c r="F8245" s="7" t="n">
        <v>10</v>
      </c>
      <c r="G8245" s="7" t="n">
        <v>177.52</v>
      </c>
    </row>
    <row r="8246" customFormat="false" ht="15" hidden="false" customHeight="false" outlineLevel="0" collapsed="false">
      <c r="A8246" s="7" t="s">
        <v>27</v>
      </c>
      <c r="B8246" s="7" t="s">
        <v>638</v>
      </c>
      <c r="C8246" s="7" t="s">
        <v>1139</v>
      </c>
      <c r="D8246" s="7" t="n">
        <v>30</v>
      </c>
      <c r="E8246" s="7" t="n">
        <v>591.77</v>
      </c>
      <c r="F8246" s="7" t="n">
        <v>0</v>
      </c>
      <c r="G8246" s="7" t="n">
        <v>0</v>
      </c>
    </row>
    <row r="8247" customFormat="false" ht="15" hidden="false" customHeight="false" outlineLevel="0" collapsed="false">
      <c r="A8247" s="7" t="s">
        <v>27</v>
      </c>
      <c r="B8247" s="7" t="s">
        <v>638</v>
      </c>
      <c r="C8247" s="7" t="s">
        <v>1139</v>
      </c>
      <c r="D8247" s="7" t="n">
        <v>50</v>
      </c>
      <c r="E8247" s="7" t="n">
        <v>1077.45</v>
      </c>
      <c r="F8247" s="7" t="n">
        <v>0</v>
      </c>
      <c r="G8247" s="7" t="n">
        <v>0</v>
      </c>
    </row>
    <row r="8248" customFormat="false" ht="15" hidden="false" customHeight="false" outlineLevel="0" collapsed="false">
      <c r="A8248" s="7" t="s">
        <v>27</v>
      </c>
      <c r="B8248" s="7" t="s">
        <v>638</v>
      </c>
      <c r="C8248" s="7" t="s">
        <v>1139</v>
      </c>
      <c r="D8248" s="7" t="n">
        <v>20</v>
      </c>
      <c r="E8248" s="7" t="n">
        <v>414.11</v>
      </c>
      <c r="F8248" s="7" t="n">
        <v>0</v>
      </c>
      <c r="G8248" s="7" t="n">
        <v>0</v>
      </c>
    </row>
    <row r="8249" customFormat="false" ht="15" hidden="false" customHeight="false" outlineLevel="0" collapsed="false">
      <c r="A8249" s="7" t="s">
        <v>27</v>
      </c>
      <c r="B8249" s="7" t="s">
        <v>638</v>
      </c>
      <c r="C8249" s="7" t="s">
        <v>1139</v>
      </c>
      <c r="D8249" s="7" t="n">
        <v>0</v>
      </c>
      <c r="E8249" s="7" t="n">
        <v>0</v>
      </c>
      <c r="F8249" s="7" t="n">
        <v>30</v>
      </c>
      <c r="G8249" s="7" t="n">
        <v>554.24</v>
      </c>
    </row>
    <row r="8250" customFormat="false" ht="15" hidden="false" customHeight="false" outlineLevel="0" collapsed="false">
      <c r="A8250" s="7" t="s">
        <v>27</v>
      </c>
      <c r="B8250" s="7" t="s">
        <v>640</v>
      </c>
      <c r="C8250" s="7" t="s">
        <v>1139</v>
      </c>
      <c r="D8250" s="7" t="n">
        <v>70</v>
      </c>
      <c r="E8250" s="7" t="n">
        <v>1378.16</v>
      </c>
      <c r="F8250" s="7" t="n">
        <v>0</v>
      </c>
      <c r="G8250" s="7" t="n">
        <v>0</v>
      </c>
    </row>
    <row r="8251" customFormat="false" ht="15" hidden="false" customHeight="false" outlineLevel="0" collapsed="false">
      <c r="A8251" s="7" t="s">
        <v>27</v>
      </c>
      <c r="B8251" s="7" t="s">
        <v>640</v>
      </c>
      <c r="C8251" s="7" t="s">
        <v>1139</v>
      </c>
      <c r="D8251" s="7" t="n">
        <v>30</v>
      </c>
      <c r="E8251" s="7" t="n">
        <v>621.16</v>
      </c>
      <c r="F8251" s="7" t="n">
        <v>0</v>
      </c>
      <c r="G8251" s="7" t="n">
        <v>0</v>
      </c>
    </row>
    <row r="8252" customFormat="false" ht="15" hidden="false" customHeight="false" outlineLevel="0" collapsed="false">
      <c r="A8252" s="7" t="s">
        <v>27</v>
      </c>
      <c r="B8252" s="7" t="s">
        <v>640</v>
      </c>
      <c r="C8252" s="7" t="s">
        <v>1139</v>
      </c>
      <c r="D8252" s="7" t="n">
        <v>0</v>
      </c>
      <c r="E8252" s="7" t="n">
        <v>0</v>
      </c>
      <c r="F8252" s="7" t="n">
        <v>100</v>
      </c>
      <c r="G8252" s="7" t="n">
        <v>1775.18</v>
      </c>
    </row>
    <row r="8253" customFormat="false" ht="15" hidden="false" customHeight="false" outlineLevel="0" collapsed="false">
      <c r="A8253" s="7" t="s">
        <v>27</v>
      </c>
      <c r="B8253" s="7" t="s">
        <v>640</v>
      </c>
      <c r="C8253" s="7" t="s">
        <v>1139</v>
      </c>
      <c r="D8253" s="7" t="n">
        <v>60</v>
      </c>
      <c r="E8253" s="7" t="n">
        <v>1292.95</v>
      </c>
      <c r="F8253" s="7" t="n">
        <v>0</v>
      </c>
      <c r="G8253" s="7" t="n">
        <v>0</v>
      </c>
    </row>
    <row r="8254" customFormat="false" ht="15" hidden="false" customHeight="false" outlineLevel="0" collapsed="false">
      <c r="A8254" s="7" t="s">
        <v>27</v>
      </c>
      <c r="B8254" s="7" t="s">
        <v>640</v>
      </c>
      <c r="C8254" s="7" t="s">
        <v>1139</v>
      </c>
      <c r="D8254" s="7" t="n">
        <v>0</v>
      </c>
      <c r="E8254" s="7" t="n">
        <v>0</v>
      </c>
      <c r="F8254" s="7" t="n">
        <v>60</v>
      </c>
      <c r="G8254" s="7" t="n">
        <v>1108.49</v>
      </c>
    </row>
    <row r="8255" customFormat="false" ht="15" hidden="false" customHeight="false" outlineLevel="0" collapsed="false">
      <c r="A8255" s="7" t="s">
        <v>27</v>
      </c>
      <c r="B8255" s="7" t="s">
        <v>640</v>
      </c>
      <c r="C8255" s="7" t="s">
        <v>1139</v>
      </c>
      <c r="D8255" s="7" t="n">
        <v>50</v>
      </c>
      <c r="E8255" s="7" t="n">
        <v>986.29</v>
      </c>
      <c r="F8255" s="7" t="n">
        <v>0</v>
      </c>
      <c r="G8255" s="7" t="n">
        <v>0</v>
      </c>
    </row>
    <row r="8256" customFormat="false" ht="15" hidden="false" customHeight="false" outlineLevel="0" collapsed="false">
      <c r="A8256" s="7" t="s">
        <v>27</v>
      </c>
      <c r="B8256" s="7" t="s">
        <v>640</v>
      </c>
      <c r="C8256" s="7" t="s">
        <v>1139</v>
      </c>
      <c r="D8256" s="7" t="n">
        <v>60</v>
      </c>
      <c r="E8256" s="7" t="n">
        <v>1204.34</v>
      </c>
      <c r="F8256" s="7" t="n">
        <v>0</v>
      </c>
      <c r="G8256" s="7" t="n">
        <v>0</v>
      </c>
    </row>
    <row r="8257" customFormat="false" ht="15" hidden="false" customHeight="false" outlineLevel="0" collapsed="false">
      <c r="A8257" s="7" t="s">
        <v>27</v>
      </c>
      <c r="B8257" s="7" t="s">
        <v>381</v>
      </c>
      <c r="C8257" s="7" t="s">
        <v>1139</v>
      </c>
      <c r="D8257" s="7" t="n">
        <v>0</v>
      </c>
      <c r="E8257" s="7" t="n">
        <v>0</v>
      </c>
      <c r="F8257" s="7" t="n">
        <v>30</v>
      </c>
      <c r="G8257" s="7" t="n">
        <v>554.24</v>
      </c>
    </row>
    <row r="8258" customFormat="false" ht="15" hidden="false" customHeight="false" outlineLevel="0" collapsed="false">
      <c r="A8258" s="7" t="s">
        <v>27</v>
      </c>
      <c r="B8258" s="7" t="s">
        <v>381</v>
      </c>
      <c r="C8258" s="7" t="s">
        <v>1139</v>
      </c>
      <c r="D8258" s="7" t="n">
        <v>40</v>
      </c>
      <c r="E8258" s="7" t="n">
        <v>828.22</v>
      </c>
      <c r="F8258" s="7" t="n">
        <v>0</v>
      </c>
      <c r="G8258" s="7" t="n">
        <v>0</v>
      </c>
    </row>
    <row r="8259" customFormat="false" ht="15" hidden="false" customHeight="false" outlineLevel="0" collapsed="false">
      <c r="A8259" s="7" t="s">
        <v>27</v>
      </c>
      <c r="B8259" s="7" t="s">
        <v>381</v>
      </c>
      <c r="C8259" s="7" t="s">
        <v>1139</v>
      </c>
      <c r="D8259" s="7" t="n">
        <v>60</v>
      </c>
      <c r="E8259" s="7" t="n">
        <v>1181.28</v>
      </c>
      <c r="F8259" s="7" t="n">
        <v>0</v>
      </c>
      <c r="G8259" s="7" t="n">
        <v>0</v>
      </c>
    </row>
    <row r="8260" customFormat="false" ht="15" hidden="false" customHeight="false" outlineLevel="0" collapsed="false">
      <c r="A8260" s="7" t="s">
        <v>27</v>
      </c>
      <c r="B8260" s="7" t="s">
        <v>381</v>
      </c>
      <c r="C8260" s="7" t="s">
        <v>1139</v>
      </c>
      <c r="D8260" s="7" t="n">
        <v>20</v>
      </c>
      <c r="E8260" s="7" t="n">
        <v>430.98</v>
      </c>
      <c r="F8260" s="7" t="n">
        <v>0</v>
      </c>
      <c r="G8260" s="7" t="n">
        <v>0</v>
      </c>
    </row>
    <row r="8261" customFormat="false" ht="15" hidden="false" customHeight="false" outlineLevel="0" collapsed="false">
      <c r="A8261" s="7" t="s">
        <v>27</v>
      </c>
      <c r="B8261" s="7" t="s">
        <v>381</v>
      </c>
      <c r="C8261" s="7" t="s">
        <v>1139</v>
      </c>
      <c r="D8261" s="7" t="n">
        <v>0</v>
      </c>
      <c r="E8261" s="7" t="n">
        <v>0</v>
      </c>
      <c r="F8261" s="7" t="n">
        <v>30</v>
      </c>
      <c r="G8261" s="7" t="n">
        <v>532.55</v>
      </c>
    </row>
    <row r="8262" customFormat="false" ht="15" hidden="false" customHeight="false" outlineLevel="0" collapsed="false">
      <c r="A8262" s="7" t="s">
        <v>27</v>
      </c>
      <c r="B8262" s="7" t="s">
        <v>381</v>
      </c>
      <c r="C8262" s="7" t="s">
        <v>1139</v>
      </c>
      <c r="D8262" s="7" t="n">
        <v>30</v>
      </c>
      <c r="E8262" s="7" t="n">
        <v>591.77</v>
      </c>
      <c r="F8262" s="7" t="n">
        <v>0</v>
      </c>
      <c r="G8262" s="7" t="n">
        <v>0</v>
      </c>
    </row>
    <row r="8263" customFormat="false" ht="15" hidden="false" customHeight="false" outlineLevel="0" collapsed="false">
      <c r="A8263" s="7" t="s">
        <v>27</v>
      </c>
      <c r="B8263" s="7" t="s">
        <v>680</v>
      </c>
      <c r="C8263" s="7" t="s">
        <v>1139</v>
      </c>
      <c r="D8263" s="7" t="n">
        <v>20</v>
      </c>
      <c r="E8263" s="7" t="n">
        <v>394.52</v>
      </c>
      <c r="F8263" s="7" t="n">
        <v>0</v>
      </c>
      <c r="G8263" s="7" t="n">
        <v>0</v>
      </c>
    </row>
    <row r="8264" customFormat="false" ht="15" hidden="false" customHeight="false" outlineLevel="0" collapsed="false">
      <c r="A8264" s="7" t="s">
        <v>27</v>
      </c>
      <c r="B8264" s="7" t="s">
        <v>680</v>
      </c>
      <c r="C8264" s="7" t="s">
        <v>1139</v>
      </c>
      <c r="D8264" s="7" t="n">
        <v>30</v>
      </c>
      <c r="E8264" s="7" t="n">
        <v>590.64</v>
      </c>
      <c r="F8264" s="7" t="n">
        <v>0</v>
      </c>
      <c r="G8264" s="7" t="n">
        <v>0</v>
      </c>
    </row>
    <row r="8265" customFormat="false" ht="15" hidden="false" customHeight="false" outlineLevel="0" collapsed="false">
      <c r="A8265" s="7" t="s">
        <v>27</v>
      </c>
      <c r="B8265" s="7" t="s">
        <v>680</v>
      </c>
      <c r="C8265" s="7" t="s">
        <v>1139</v>
      </c>
      <c r="D8265" s="7" t="n">
        <v>40</v>
      </c>
      <c r="E8265" s="7" t="n">
        <v>861.96</v>
      </c>
      <c r="F8265" s="7" t="n">
        <v>0</v>
      </c>
      <c r="G8265" s="7" t="n">
        <v>0</v>
      </c>
    </row>
    <row r="8266" customFormat="false" ht="15" hidden="false" customHeight="false" outlineLevel="0" collapsed="false">
      <c r="A8266" s="7" t="s">
        <v>27</v>
      </c>
      <c r="B8266" s="7" t="s">
        <v>524</v>
      </c>
      <c r="C8266" s="7" t="s">
        <v>1140</v>
      </c>
      <c r="D8266" s="7" t="n">
        <v>30</v>
      </c>
      <c r="E8266" s="7" t="n">
        <v>683.42</v>
      </c>
      <c r="F8266" s="7" t="n">
        <v>0</v>
      </c>
      <c r="G8266" s="7" t="n">
        <v>0</v>
      </c>
    </row>
    <row r="8267" customFormat="false" ht="15" hidden="false" customHeight="false" outlineLevel="0" collapsed="false">
      <c r="A8267" s="7" t="s">
        <v>27</v>
      </c>
      <c r="B8267" s="7" t="s">
        <v>524</v>
      </c>
      <c r="C8267" s="7" t="s">
        <v>1140</v>
      </c>
      <c r="D8267" s="7" t="n">
        <v>0</v>
      </c>
      <c r="E8267" s="7" t="n">
        <v>0</v>
      </c>
      <c r="F8267" s="7" t="n">
        <v>40</v>
      </c>
      <c r="G8267" s="7" t="n">
        <v>781.22</v>
      </c>
    </row>
    <row r="8268" customFormat="false" ht="15" hidden="false" customHeight="false" outlineLevel="0" collapsed="false">
      <c r="A8268" s="7" t="s">
        <v>27</v>
      </c>
      <c r="B8268" s="7" t="s">
        <v>524</v>
      </c>
      <c r="C8268" s="7" t="s">
        <v>1140</v>
      </c>
      <c r="D8268" s="7" t="n">
        <v>0</v>
      </c>
      <c r="E8268" s="7" t="n">
        <v>0</v>
      </c>
      <c r="F8268" s="7" t="n">
        <v>20</v>
      </c>
      <c r="G8268" s="7" t="n">
        <v>405.14</v>
      </c>
    </row>
    <row r="8269" customFormat="false" ht="15" hidden="false" customHeight="false" outlineLevel="0" collapsed="false">
      <c r="A8269" s="7" t="s">
        <v>27</v>
      </c>
      <c r="B8269" s="7" t="s">
        <v>524</v>
      </c>
      <c r="C8269" s="7" t="s">
        <v>1140</v>
      </c>
      <c r="D8269" s="7" t="n">
        <v>0</v>
      </c>
      <c r="E8269" s="7" t="n">
        <v>0</v>
      </c>
      <c r="F8269" s="7" t="n">
        <v>30</v>
      </c>
      <c r="G8269" s="7" t="n">
        <v>562.99</v>
      </c>
    </row>
    <row r="8270" customFormat="false" ht="15" hidden="false" customHeight="false" outlineLevel="0" collapsed="false">
      <c r="A8270" s="7" t="s">
        <v>27</v>
      </c>
      <c r="B8270" s="7" t="s">
        <v>524</v>
      </c>
      <c r="C8270" s="7" t="s">
        <v>1140</v>
      </c>
      <c r="D8270" s="7" t="n">
        <v>50</v>
      </c>
      <c r="E8270" s="7" t="n">
        <v>1094.43</v>
      </c>
      <c r="F8270" s="7" t="n">
        <v>0</v>
      </c>
      <c r="G8270" s="7" t="n">
        <v>0</v>
      </c>
    </row>
    <row r="8271" customFormat="false" ht="15" hidden="false" customHeight="false" outlineLevel="0" collapsed="false">
      <c r="A8271" s="7" t="s">
        <v>27</v>
      </c>
      <c r="B8271" s="7" t="s">
        <v>524</v>
      </c>
      <c r="C8271" s="7" t="s">
        <v>1140</v>
      </c>
      <c r="D8271" s="7" t="n">
        <v>30</v>
      </c>
      <c r="E8271" s="7" t="n">
        <v>624.39</v>
      </c>
      <c r="F8271" s="7" t="n">
        <v>0</v>
      </c>
      <c r="G8271" s="7" t="n">
        <v>0</v>
      </c>
    </row>
    <row r="8272" customFormat="false" ht="15" hidden="false" customHeight="false" outlineLevel="0" collapsed="false">
      <c r="A8272" s="7" t="s">
        <v>27</v>
      </c>
      <c r="B8272" s="7" t="s">
        <v>524</v>
      </c>
      <c r="C8272" s="7" t="s">
        <v>1140</v>
      </c>
      <c r="D8272" s="7" t="n">
        <v>30</v>
      </c>
      <c r="E8272" s="7" t="n">
        <v>625.59</v>
      </c>
      <c r="F8272" s="7" t="n">
        <v>0</v>
      </c>
      <c r="G8272" s="7" t="n">
        <v>0</v>
      </c>
    </row>
    <row r="8273" customFormat="false" ht="15" hidden="false" customHeight="false" outlineLevel="0" collapsed="false">
      <c r="A8273" s="7" t="s">
        <v>27</v>
      </c>
      <c r="B8273" s="7" t="s">
        <v>524</v>
      </c>
      <c r="C8273" s="7" t="s">
        <v>1140</v>
      </c>
      <c r="D8273" s="7" t="n">
        <v>20</v>
      </c>
      <c r="E8273" s="7" t="n">
        <v>424.39</v>
      </c>
      <c r="F8273" s="7" t="n">
        <v>0</v>
      </c>
      <c r="G8273" s="7" t="n">
        <v>0</v>
      </c>
    </row>
    <row r="8274" customFormat="false" ht="15" hidden="false" customHeight="false" outlineLevel="0" collapsed="false">
      <c r="A8274" s="7" t="s">
        <v>27</v>
      </c>
      <c r="B8274" s="7" t="s">
        <v>795</v>
      </c>
      <c r="C8274" s="7" t="s">
        <v>1140</v>
      </c>
      <c r="D8274" s="7" t="n">
        <v>60</v>
      </c>
      <c r="E8274" s="7" t="n">
        <v>1273.16</v>
      </c>
      <c r="F8274" s="7" t="n">
        <v>0</v>
      </c>
      <c r="G8274" s="7" t="n">
        <v>0</v>
      </c>
    </row>
    <row r="8275" customFormat="false" ht="15" hidden="false" customHeight="false" outlineLevel="0" collapsed="false">
      <c r="A8275" s="7" t="s">
        <v>27</v>
      </c>
      <c r="B8275" s="7" t="s">
        <v>795</v>
      </c>
      <c r="C8275" s="7" t="s">
        <v>1140</v>
      </c>
      <c r="D8275" s="7" t="n">
        <v>0</v>
      </c>
      <c r="E8275" s="7" t="n">
        <v>0</v>
      </c>
      <c r="F8275" s="7" t="n">
        <v>130</v>
      </c>
      <c r="G8275" s="7" t="n">
        <v>2439.61</v>
      </c>
    </row>
    <row r="8276" customFormat="false" ht="15" hidden="false" customHeight="false" outlineLevel="0" collapsed="false">
      <c r="A8276" s="7" t="s">
        <v>27</v>
      </c>
      <c r="B8276" s="7" t="s">
        <v>795</v>
      </c>
      <c r="C8276" s="7" t="s">
        <v>1140</v>
      </c>
      <c r="D8276" s="7" t="n">
        <v>80</v>
      </c>
      <c r="E8276" s="7" t="n">
        <v>1668.24</v>
      </c>
      <c r="F8276" s="7" t="n">
        <v>0</v>
      </c>
      <c r="G8276" s="7" t="n">
        <v>0</v>
      </c>
    </row>
    <row r="8277" customFormat="false" ht="15" hidden="false" customHeight="false" outlineLevel="0" collapsed="false">
      <c r="A8277" s="7" t="s">
        <v>27</v>
      </c>
      <c r="B8277" s="7" t="s">
        <v>795</v>
      </c>
      <c r="C8277" s="7" t="s">
        <v>1140</v>
      </c>
      <c r="D8277" s="7" t="n">
        <v>0</v>
      </c>
      <c r="E8277" s="7" t="n">
        <v>0</v>
      </c>
      <c r="F8277" s="7" t="n">
        <v>30</v>
      </c>
      <c r="G8277" s="7" t="n">
        <v>607.71</v>
      </c>
    </row>
    <row r="8278" customFormat="false" ht="15" hidden="false" customHeight="false" outlineLevel="0" collapsed="false">
      <c r="A8278" s="7" t="s">
        <v>27</v>
      </c>
      <c r="B8278" s="7" t="s">
        <v>795</v>
      </c>
      <c r="C8278" s="7" t="s">
        <v>1140</v>
      </c>
      <c r="D8278" s="7" t="n">
        <v>70</v>
      </c>
      <c r="E8278" s="7" t="n">
        <v>1594.64</v>
      </c>
      <c r="F8278" s="7" t="n">
        <v>0</v>
      </c>
      <c r="G8278" s="7" t="n">
        <v>0</v>
      </c>
    </row>
    <row r="8279" customFormat="false" ht="15" hidden="false" customHeight="false" outlineLevel="0" collapsed="false">
      <c r="A8279" s="7" t="s">
        <v>27</v>
      </c>
      <c r="B8279" s="7" t="s">
        <v>795</v>
      </c>
      <c r="C8279" s="7" t="s">
        <v>1140</v>
      </c>
      <c r="D8279" s="7" t="n">
        <v>0</v>
      </c>
      <c r="E8279" s="7" t="n">
        <v>0</v>
      </c>
      <c r="F8279" s="7" t="n">
        <v>60</v>
      </c>
      <c r="G8279" s="7" t="n">
        <v>1171.83</v>
      </c>
    </row>
    <row r="8280" customFormat="false" ht="15" hidden="false" customHeight="false" outlineLevel="0" collapsed="false">
      <c r="A8280" s="7" t="s">
        <v>27</v>
      </c>
      <c r="B8280" s="7" t="s">
        <v>795</v>
      </c>
      <c r="C8280" s="7" t="s">
        <v>1140</v>
      </c>
      <c r="D8280" s="7" t="n">
        <v>80</v>
      </c>
      <c r="E8280" s="7" t="n">
        <v>1665.04</v>
      </c>
      <c r="F8280" s="7" t="n">
        <v>0</v>
      </c>
      <c r="G8280" s="7" t="n">
        <v>0</v>
      </c>
    </row>
    <row r="8281" customFormat="false" ht="15" hidden="false" customHeight="false" outlineLevel="0" collapsed="false">
      <c r="A8281" s="7" t="s">
        <v>27</v>
      </c>
      <c r="B8281" s="7" t="s">
        <v>795</v>
      </c>
      <c r="C8281" s="7" t="s">
        <v>1140</v>
      </c>
      <c r="D8281" s="7" t="n">
        <v>80</v>
      </c>
      <c r="E8281" s="7" t="n">
        <v>1751.09</v>
      </c>
      <c r="F8281" s="7" t="n">
        <v>0</v>
      </c>
      <c r="G8281" s="7" t="n">
        <v>0</v>
      </c>
    </row>
    <row r="8282" customFormat="false" ht="15" hidden="false" customHeight="false" outlineLevel="0" collapsed="false">
      <c r="A8282" s="7" t="s">
        <v>27</v>
      </c>
      <c r="B8282" s="7" t="s">
        <v>654</v>
      </c>
      <c r="C8282" s="7" t="s">
        <v>1140</v>
      </c>
      <c r="D8282" s="7" t="n">
        <v>60</v>
      </c>
      <c r="E8282" s="7" t="n">
        <v>1366.83</v>
      </c>
      <c r="F8282" s="7" t="n">
        <v>0</v>
      </c>
      <c r="G8282" s="7" t="n">
        <v>0</v>
      </c>
    </row>
    <row r="8283" customFormat="false" ht="15" hidden="false" customHeight="false" outlineLevel="0" collapsed="false">
      <c r="A8283" s="7" t="s">
        <v>27</v>
      </c>
      <c r="B8283" s="7" t="s">
        <v>654</v>
      </c>
      <c r="C8283" s="7" t="s">
        <v>1140</v>
      </c>
      <c r="D8283" s="7" t="n">
        <v>0</v>
      </c>
      <c r="E8283" s="7" t="n">
        <v>0</v>
      </c>
      <c r="F8283" s="7" t="n">
        <v>100</v>
      </c>
      <c r="G8283" s="7" t="n">
        <v>1953.05</v>
      </c>
    </row>
    <row r="8284" customFormat="false" ht="15" hidden="false" customHeight="false" outlineLevel="0" collapsed="false">
      <c r="A8284" s="7" t="s">
        <v>27</v>
      </c>
      <c r="B8284" s="7" t="s">
        <v>654</v>
      </c>
      <c r="C8284" s="7" t="s">
        <v>1140</v>
      </c>
      <c r="D8284" s="7" t="n">
        <v>0</v>
      </c>
      <c r="E8284" s="7" t="n">
        <v>0</v>
      </c>
      <c r="F8284" s="7" t="n">
        <v>20</v>
      </c>
      <c r="G8284" s="7" t="n">
        <v>405.14</v>
      </c>
    </row>
    <row r="8285" customFormat="false" ht="15" hidden="false" customHeight="false" outlineLevel="0" collapsed="false">
      <c r="A8285" s="7" t="s">
        <v>27</v>
      </c>
      <c r="B8285" s="7" t="s">
        <v>654</v>
      </c>
      <c r="C8285" s="7" t="s">
        <v>1140</v>
      </c>
      <c r="D8285" s="7" t="n">
        <v>20</v>
      </c>
      <c r="E8285" s="7" t="n">
        <v>424.39</v>
      </c>
      <c r="F8285" s="7" t="n">
        <v>0</v>
      </c>
      <c r="G8285" s="7" t="n">
        <v>0</v>
      </c>
    </row>
    <row r="8286" customFormat="false" ht="15" hidden="false" customHeight="false" outlineLevel="0" collapsed="false">
      <c r="A8286" s="7" t="s">
        <v>27</v>
      </c>
      <c r="B8286" s="7" t="s">
        <v>654</v>
      </c>
      <c r="C8286" s="7" t="s">
        <v>1140</v>
      </c>
      <c r="D8286" s="7" t="n">
        <v>50</v>
      </c>
      <c r="E8286" s="7" t="n">
        <v>1040.65</v>
      </c>
      <c r="F8286" s="7" t="n">
        <v>0</v>
      </c>
      <c r="G8286" s="7" t="n">
        <v>0</v>
      </c>
    </row>
    <row r="8287" customFormat="false" ht="15" hidden="false" customHeight="false" outlineLevel="0" collapsed="false">
      <c r="A8287" s="7" t="s">
        <v>27</v>
      </c>
      <c r="B8287" s="7" t="s">
        <v>654</v>
      </c>
      <c r="C8287" s="7" t="s">
        <v>1140</v>
      </c>
      <c r="D8287" s="7" t="n">
        <v>0</v>
      </c>
      <c r="E8287" s="7" t="n">
        <v>0</v>
      </c>
      <c r="F8287" s="7" t="n">
        <v>50</v>
      </c>
      <c r="G8287" s="7" t="n">
        <v>938.31</v>
      </c>
    </row>
    <row r="8288" customFormat="false" ht="15" hidden="false" customHeight="false" outlineLevel="0" collapsed="false">
      <c r="A8288" s="7" t="s">
        <v>27</v>
      </c>
      <c r="B8288" s="7" t="s">
        <v>654</v>
      </c>
      <c r="C8288" s="7" t="s">
        <v>1140</v>
      </c>
      <c r="D8288" s="7" t="n">
        <v>100</v>
      </c>
      <c r="E8288" s="7" t="n">
        <v>2188.86</v>
      </c>
      <c r="F8288" s="7" t="n">
        <v>0</v>
      </c>
      <c r="G8288" s="7" t="n">
        <v>0</v>
      </c>
    </row>
    <row r="8289" customFormat="false" ht="15" hidden="false" customHeight="false" outlineLevel="0" collapsed="false">
      <c r="A8289" s="7" t="s">
        <v>27</v>
      </c>
      <c r="B8289" s="7" t="s">
        <v>654</v>
      </c>
      <c r="C8289" s="7" t="s">
        <v>1140</v>
      </c>
      <c r="D8289" s="7" t="n">
        <v>50</v>
      </c>
      <c r="E8289" s="7" t="n">
        <v>1042.65</v>
      </c>
      <c r="F8289" s="7" t="n">
        <v>0</v>
      </c>
      <c r="G8289" s="7" t="n">
        <v>0</v>
      </c>
    </row>
    <row r="8290" customFormat="false" ht="15" hidden="false" customHeight="false" outlineLevel="0" collapsed="false">
      <c r="A8290" s="7" t="s">
        <v>27</v>
      </c>
      <c r="B8290" s="7" t="s">
        <v>469</v>
      </c>
      <c r="C8290" s="7" t="s">
        <v>1143</v>
      </c>
      <c r="D8290" s="7" t="n">
        <v>0</v>
      </c>
      <c r="E8290" s="7" t="n">
        <v>0</v>
      </c>
      <c r="F8290" s="7" t="n">
        <v>50</v>
      </c>
      <c r="G8290" s="7" t="n">
        <v>1589.21</v>
      </c>
    </row>
    <row r="8291" customFormat="false" ht="15" hidden="false" customHeight="false" outlineLevel="0" collapsed="false">
      <c r="A8291" s="7" t="s">
        <v>27</v>
      </c>
      <c r="B8291" s="7" t="s">
        <v>469</v>
      </c>
      <c r="C8291" s="7" t="s">
        <v>1143</v>
      </c>
      <c r="D8291" s="7" t="n">
        <v>60</v>
      </c>
      <c r="E8291" s="7" t="n">
        <v>2156.34</v>
      </c>
      <c r="F8291" s="7" t="n">
        <v>0</v>
      </c>
      <c r="G8291" s="7" t="n">
        <v>0</v>
      </c>
    </row>
    <row r="8292" customFormat="false" ht="15" hidden="false" customHeight="false" outlineLevel="0" collapsed="false">
      <c r="A8292" s="7" t="s">
        <v>27</v>
      </c>
      <c r="B8292" s="7" t="s">
        <v>469</v>
      </c>
      <c r="C8292" s="7" t="s">
        <v>1143</v>
      </c>
      <c r="D8292" s="7" t="n">
        <v>50</v>
      </c>
      <c r="E8292" s="7" t="n">
        <v>1853.63</v>
      </c>
      <c r="F8292" s="7" t="n">
        <v>0</v>
      </c>
      <c r="G8292" s="7" t="n">
        <v>0</v>
      </c>
    </row>
    <row r="8293" customFormat="false" ht="15" hidden="false" customHeight="false" outlineLevel="0" collapsed="false">
      <c r="A8293" s="7" t="s">
        <v>27</v>
      </c>
      <c r="B8293" s="7" t="s">
        <v>469</v>
      </c>
      <c r="C8293" s="7" t="s">
        <v>1143</v>
      </c>
      <c r="D8293" s="7" t="n">
        <v>60</v>
      </c>
      <c r="E8293" s="7" t="n">
        <v>2314.99</v>
      </c>
      <c r="F8293" s="7" t="n">
        <v>0</v>
      </c>
      <c r="G8293" s="7" t="n">
        <v>0</v>
      </c>
    </row>
    <row r="8294" customFormat="false" ht="15" hidden="false" customHeight="false" outlineLevel="0" collapsed="false">
      <c r="A8294" s="7" t="s">
        <v>27</v>
      </c>
      <c r="B8294" s="7" t="s">
        <v>469</v>
      </c>
      <c r="C8294" s="7" t="s">
        <v>1143</v>
      </c>
      <c r="D8294" s="7" t="n">
        <v>0</v>
      </c>
      <c r="E8294" s="7" t="n">
        <v>0</v>
      </c>
      <c r="F8294" s="7" t="n">
        <v>120</v>
      </c>
      <c r="G8294" s="7" t="n">
        <v>3969.43</v>
      </c>
    </row>
    <row r="8295" customFormat="false" ht="15" hidden="false" customHeight="false" outlineLevel="0" collapsed="false">
      <c r="A8295" s="7" t="s">
        <v>27</v>
      </c>
      <c r="B8295" s="7" t="s">
        <v>469</v>
      </c>
      <c r="C8295" s="7" t="s">
        <v>1143</v>
      </c>
      <c r="D8295" s="7" t="n">
        <v>0</v>
      </c>
      <c r="E8295" s="7" t="n">
        <v>0</v>
      </c>
      <c r="F8295" s="7" t="n">
        <v>150</v>
      </c>
      <c r="G8295" s="7" t="n">
        <v>5146.36</v>
      </c>
    </row>
    <row r="8296" customFormat="false" ht="15" hidden="false" customHeight="false" outlineLevel="0" collapsed="false">
      <c r="A8296" s="7" t="s">
        <v>27</v>
      </c>
      <c r="B8296" s="7" t="s">
        <v>469</v>
      </c>
      <c r="C8296" s="7" t="s">
        <v>1143</v>
      </c>
      <c r="D8296" s="7" t="n">
        <v>150</v>
      </c>
      <c r="E8296" s="7" t="n">
        <v>5287.64</v>
      </c>
      <c r="F8296" s="7" t="n">
        <v>0</v>
      </c>
      <c r="G8296" s="7" t="n">
        <v>0</v>
      </c>
    </row>
    <row r="8297" customFormat="false" ht="15" hidden="false" customHeight="false" outlineLevel="0" collapsed="false">
      <c r="A8297" s="7" t="s">
        <v>27</v>
      </c>
      <c r="B8297" s="7" t="s">
        <v>342</v>
      </c>
      <c r="C8297" s="7" t="s">
        <v>1143</v>
      </c>
      <c r="D8297" s="7" t="n">
        <v>40</v>
      </c>
      <c r="E8297" s="7" t="n">
        <v>1404.03</v>
      </c>
      <c r="F8297" s="7" t="n">
        <v>0</v>
      </c>
      <c r="G8297" s="7" t="n">
        <v>0</v>
      </c>
    </row>
    <row r="8298" customFormat="false" ht="15" hidden="false" customHeight="false" outlineLevel="0" collapsed="false">
      <c r="A8298" s="7" t="s">
        <v>27</v>
      </c>
      <c r="B8298" s="7" t="s">
        <v>342</v>
      </c>
      <c r="C8298" s="7" t="s">
        <v>1143</v>
      </c>
      <c r="D8298" s="7" t="n">
        <v>100</v>
      </c>
      <c r="E8298" s="7" t="n">
        <v>3337.59</v>
      </c>
      <c r="F8298" s="7" t="n">
        <v>0</v>
      </c>
      <c r="G8298" s="7" t="n">
        <v>0</v>
      </c>
    </row>
    <row r="8299" customFormat="false" ht="15" hidden="false" customHeight="false" outlineLevel="0" collapsed="false">
      <c r="A8299" s="7" t="s">
        <v>27</v>
      </c>
      <c r="B8299" s="7" t="s">
        <v>342</v>
      </c>
      <c r="C8299" s="7" t="s">
        <v>1143</v>
      </c>
      <c r="D8299" s="7" t="n">
        <v>60</v>
      </c>
      <c r="E8299" s="7" t="n">
        <v>2041.64</v>
      </c>
      <c r="F8299" s="7" t="n">
        <v>0</v>
      </c>
      <c r="G8299" s="7" t="n">
        <v>0</v>
      </c>
    </row>
    <row r="8300" customFormat="false" ht="15" hidden="false" customHeight="false" outlineLevel="0" collapsed="false">
      <c r="A8300" s="7" t="s">
        <v>27</v>
      </c>
      <c r="B8300" s="7" t="s">
        <v>342</v>
      </c>
      <c r="C8300" s="7" t="s">
        <v>1143</v>
      </c>
      <c r="D8300" s="7" t="n">
        <v>0</v>
      </c>
      <c r="E8300" s="7" t="n">
        <v>0</v>
      </c>
      <c r="F8300" s="7" t="n">
        <v>50</v>
      </c>
      <c r="G8300" s="7" t="n">
        <v>1565.96</v>
      </c>
    </row>
    <row r="8301" customFormat="false" ht="15" hidden="false" customHeight="false" outlineLevel="0" collapsed="false">
      <c r="A8301" s="7" t="s">
        <v>27</v>
      </c>
      <c r="B8301" s="7" t="s">
        <v>342</v>
      </c>
      <c r="C8301" s="7" t="s">
        <v>1143</v>
      </c>
      <c r="D8301" s="7" t="n">
        <v>50</v>
      </c>
      <c r="E8301" s="7" t="n">
        <v>1672</v>
      </c>
      <c r="F8301" s="7" t="n">
        <v>0</v>
      </c>
      <c r="G8301" s="7" t="n">
        <v>0</v>
      </c>
    </row>
    <row r="8302" customFormat="false" ht="15" hidden="false" customHeight="false" outlineLevel="0" collapsed="false">
      <c r="A8302" s="7" t="s">
        <v>27</v>
      </c>
      <c r="B8302" s="7" t="s">
        <v>342</v>
      </c>
      <c r="C8302" s="7" t="s">
        <v>1143</v>
      </c>
      <c r="D8302" s="7" t="n">
        <v>0</v>
      </c>
      <c r="E8302" s="7" t="n">
        <v>0</v>
      </c>
      <c r="F8302" s="7" t="n">
        <v>80</v>
      </c>
      <c r="G8302" s="7" t="n">
        <v>2407.49</v>
      </c>
    </row>
    <row r="8303" customFormat="false" ht="15" hidden="false" customHeight="false" outlineLevel="0" collapsed="false">
      <c r="A8303" s="7" t="s">
        <v>27</v>
      </c>
      <c r="B8303" s="7" t="s">
        <v>342</v>
      </c>
      <c r="C8303" s="7" t="s">
        <v>1143</v>
      </c>
      <c r="D8303" s="7" t="n">
        <v>80</v>
      </c>
      <c r="E8303" s="7" t="n">
        <v>2922.48</v>
      </c>
      <c r="F8303" s="7" t="n">
        <v>0</v>
      </c>
      <c r="G8303" s="7" t="n">
        <v>0</v>
      </c>
    </row>
    <row r="8304" customFormat="false" ht="15" hidden="false" customHeight="false" outlineLevel="0" collapsed="false">
      <c r="A8304" s="7" t="s">
        <v>27</v>
      </c>
      <c r="B8304" s="7" t="s">
        <v>342</v>
      </c>
      <c r="C8304" s="7" t="s">
        <v>1143</v>
      </c>
      <c r="D8304" s="7" t="n">
        <v>0</v>
      </c>
      <c r="E8304" s="7" t="n">
        <v>0</v>
      </c>
      <c r="F8304" s="7" t="n">
        <v>50</v>
      </c>
      <c r="G8304" s="7" t="n">
        <v>1624.21</v>
      </c>
    </row>
    <row r="8305" customFormat="false" ht="15" hidden="false" customHeight="false" outlineLevel="0" collapsed="false">
      <c r="A8305" s="7" t="s">
        <v>27</v>
      </c>
      <c r="B8305" s="7" t="s">
        <v>483</v>
      </c>
      <c r="C8305" s="7" t="s">
        <v>1144</v>
      </c>
      <c r="D8305" s="7" t="n">
        <v>60</v>
      </c>
      <c r="E8305" s="7" t="n">
        <v>2401.84</v>
      </c>
      <c r="F8305" s="7" t="n">
        <v>0</v>
      </c>
      <c r="G8305" s="7" t="n">
        <v>0</v>
      </c>
    </row>
    <row r="8306" customFormat="false" ht="15" hidden="false" customHeight="false" outlineLevel="0" collapsed="false">
      <c r="A8306" s="7" t="s">
        <v>27</v>
      </c>
      <c r="B8306" s="7" t="s">
        <v>483</v>
      </c>
      <c r="C8306" s="7" t="s">
        <v>1144</v>
      </c>
      <c r="D8306" s="7" t="n">
        <v>50</v>
      </c>
      <c r="E8306" s="7" t="n">
        <v>1940.32</v>
      </c>
      <c r="F8306" s="7" t="n">
        <v>0</v>
      </c>
      <c r="G8306" s="7" t="n">
        <v>0</v>
      </c>
    </row>
    <row r="8307" customFormat="false" ht="15" hidden="false" customHeight="false" outlineLevel="0" collapsed="false">
      <c r="A8307" s="7" t="s">
        <v>27</v>
      </c>
      <c r="B8307" s="7" t="s">
        <v>483</v>
      </c>
      <c r="C8307" s="7" t="s">
        <v>1144</v>
      </c>
      <c r="D8307" s="7" t="n">
        <v>70</v>
      </c>
      <c r="E8307" s="7" t="n">
        <v>2916.32</v>
      </c>
      <c r="F8307" s="7" t="n">
        <v>0</v>
      </c>
      <c r="G8307" s="7" t="n">
        <v>0</v>
      </c>
    </row>
    <row r="8308" customFormat="false" ht="15" hidden="false" customHeight="false" outlineLevel="0" collapsed="false">
      <c r="A8308" s="7" t="s">
        <v>27</v>
      </c>
      <c r="B8308" s="7" t="s">
        <v>483</v>
      </c>
      <c r="C8308" s="7" t="s">
        <v>1144</v>
      </c>
      <c r="D8308" s="7" t="n">
        <v>0</v>
      </c>
      <c r="E8308" s="7" t="n">
        <v>0</v>
      </c>
      <c r="F8308" s="7" t="n">
        <v>90</v>
      </c>
      <c r="G8308" s="7" t="n">
        <v>3088.82</v>
      </c>
    </row>
    <row r="8309" customFormat="false" ht="15" hidden="false" customHeight="false" outlineLevel="0" collapsed="false">
      <c r="A8309" s="7" t="s">
        <v>27</v>
      </c>
      <c r="B8309" s="7" t="s">
        <v>483</v>
      </c>
      <c r="C8309" s="7" t="s">
        <v>1144</v>
      </c>
      <c r="D8309" s="7" t="n">
        <v>70</v>
      </c>
      <c r="E8309" s="7" t="n">
        <v>2664.45</v>
      </c>
      <c r="F8309" s="7" t="n">
        <v>0</v>
      </c>
      <c r="G8309" s="7" t="n">
        <v>0</v>
      </c>
    </row>
    <row r="8310" customFormat="false" ht="15" hidden="false" customHeight="false" outlineLevel="0" collapsed="false">
      <c r="A8310" s="7" t="s">
        <v>27</v>
      </c>
      <c r="B8310" s="7" t="s">
        <v>483</v>
      </c>
      <c r="C8310" s="7" t="s">
        <v>1144</v>
      </c>
      <c r="D8310" s="7" t="n">
        <v>50</v>
      </c>
      <c r="E8310" s="7" t="n">
        <v>1906.83</v>
      </c>
      <c r="F8310" s="7" t="n">
        <v>0</v>
      </c>
      <c r="G8310" s="7" t="n">
        <v>0</v>
      </c>
    </row>
    <row r="8311" customFormat="false" ht="15" hidden="false" customHeight="false" outlineLevel="0" collapsed="false">
      <c r="A8311" s="7" t="s">
        <v>27</v>
      </c>
      <c r="B8311" s="7" t="s">
        <v>483</v>
      </c>
      <c r="C8311" s="7" t="s">
        <v>1144</v>
      </c>
      <c r="D8311" s="7" t="n">
        <v>0</v>
      </c>
      <c r="E8311" s="7" t="n">
        <v>0</v>
      </c>
      <c r="F8311" s="7" t="n">
        <v>10</v>
      </c>
      <c r="G8311" s="7" t="n">
        <v>370.46</v>
      </c>
    </row>
    <row r="8312" customFormat="false" ht="15" hidden="false" customHeight="false" outlineLevel="0" collapsed="false">
      <c r="A8312" s="7" t="s">
        <v>27</v>
      </c>
      <c r="B8312" s="7" t="s">
        <v>483</v>
      </c>
      <c r="C8312" s="7" t="s">
        <v>1144</v>
      </c>
      <c r="D8312" s="7" t="n">
        <v>0</v>
      </c>
      <c r="E8312" s="7" t="n">
        <v>0</v>
      </c>
      <c r="F8312" s="7" t="n">
        <v>60</v>
      </c>
      <c r="G8312" s="7" t="n">
        <v>2143.07</v>
      </c>
    </row>
    <row r="8313" customFormat="false" ht="15" hidden="false" customHeight="false" outlineLevel="0" collapsed="false">
      <c r="A8313" s="7" t="s">
        <v>27</v>
      </c>
      <c r="B8313" s="7" t="s">
        <v>649</v>
      </c>
      <c r="C8313" s="7" t="s">
        <v>1144</v>
      </c>
      <c r="D8313" s="7" t="n">
        <v>0</v>
      </c>
      <c r="E8313" s="7" t="n">
        <v>0</v>
      </c>
      <c r="F8313" s="7" t="n">
        <v>70</v>
      </c>
      <c r="G8313" s="7" t="n">
        <v>2402.41</v>
      </c>
    </row>
    <row r="8314" customFormat="false" ht="15" hidden="false" customHeight="false" outlineLevel="0" collapsed="false">
      <c r="A8314" s="7" t="s">
        <v>27</v>
      </c>
      <c r="B8314" s="7" t="s">
        <v>649</v>
      </c>
      <c r="C8314" s="7" t="s">
        <v>1144</v>
      </c>
      <c r="D8314" s="7" t="n">
        <v>50</v>
      </c>
      <c r="E8314" s="7" t="n">
        <v>1940.32</v>
      </c>
      <c r="F8314" s="7" t="n">
        <v>0</v>
      </c>
      <c r="G8314" s="7" t="n">
        <v>0</v>
      </c>
    </row>
    <row r="8315" customFormat="false" ht="15" hidden="false" customHeight="false" outlineLevel="0" collapsed="false">
      <c r="A8315" s="7" t="s">
        <v>27</v>
      </c>
      <c r="B8315" s="7" t="s">
        <v>649</v>
      </c>
      <c r="C8315" s="7" t="s">
        <v>1144</v>
      </c>
      <c r="D8315" s="7" t="n">
        <v>100</v>
      </c>
      <c r="E8315" s="7" t="n">
        <v>4003.06</v>
      </c>
      <c r="F8315" s="7" t="n">
        <v>0</v>
      </c>
      <c r="G8315" s="7" t="n">
        <v>0</v>
      </c>
    </row>
    <row r="8316" customFormat="false" ht="15" hidden="false" customHeight="false" outlineLevel="0" collapsed="false">
      <c r="A8316" s="7" t="s">
        <v>27</v>
      </c>
      <c r="B8316" s="7" t="s">
        <v>649</v>
      </c>
      <c r="C8316" s="7" t="s">
        <v>1144</v>
      </c>
      <c r="D8316" s="7" t="n">
        <v>80</v>
      </c>
      <c r="E8316" s="7" t="n">
        <v>3332.94</v>
      </c>
      <c r="F8316" s="7" t="n">
        <v>0</v>
      </c>
      <c r="G8316" s="7" t="n">
        <v>0</v>
      </c>
    </row>
    <row r="8317" customFormat="false" ht="15" hidden="false" customHeight="false" outlineLevel="0" collapsed="false">
      <c r="A8317" s="7" t="s">
        <v>27</v>
      </c>
      <c r="B8317" s="7" t="s">
        <v>649</v>
      </c>
      <c r="C8317" s="7" t="s">
        <v>1144</v>
      </c>
      <c r="D8317" s="7" t="n">
        <v>0</v>
      </c>
      <c r="E8317" s="7" t="n">
        <v>0</v>
      </c>
      <c r="F8317" s="7" t="n">
        <v>70</v>
      </c>
      <c r="G8317" s="7" t="n">
        <v>2500.25</v>
      </c>
    </row>
    <row r="8318" customFormat="false" ht="15" hidden="false" customHeight="false" outlineLevel="0" collapsed="false">
      <c r="A8318" s="7" t="s">
        <v>27</v>
      </c>
      <c r="B8318" s="7" t="s">
        <v>649</v>
      </c>
      <c r="C8318" s="7" t="s">
        <v>1144</v>
      </c>
      <c r="D8318" s="7" t="n">
        <v>30</v>
      </c>
      <c r="E8318" s="7" t="n">
        <v>1141.91</v>
      </c>
      <c r="F8318" s="7" t="n">
        <v>0</v>
      </c>
      <c r="G8318" s="7" t="n">
        <v>0</v>
      </c>
    </row>
    <row r="8319" customFormat="false" ht="15" hidden="false" customHeight="false" outlineLevel="0" collapsed="false">
      <c r="A8319" s="7" t="s">
        <v>27</v>
      </c>
      <c r="B8319" s="7" t="s">
        <v>649</v>
      </c>
      <c r="C8319" s="7" t="s">
        <v>1144</v>
      </c>
      <c r="D8319" s="7" t="n">
        <v>100</v>
      </c>
      <c r="E8319" s="7" t="n">
        <v>3813.66</v>
      </c>
      <c r="F8319" s="7" t="n">
        <v>0</v>
      </c>
      <c r="G8319" s="7" t="n">
        <v>0</v>
      </c>
    </row>
    <row r="8320" customFormat="false" ht="15" hidden="false" customHeight="false" outlineLevel="0" collapsed="false">
      <c r="A8320" s="7" t="s">
        <v>27</v>
      </c>
      <c r="B8320" s="7" t="s">
        <v>643</v>
      </c>
      <c r="C8320" s="7" t="s">
        <v>1144</v>
      </c>
      <c r="D8320" s="7" t="n">
        <v>20</v>
      </c>
      <c r="E8320" s="7" t="n">
        <v>800.61</v>
      </c>
      <c r="F8320" s="7" t="n">
        <v>0</v>
      </c>
      <c r="G8320" s="7" t="n">
        <v>0</v>
      </c>
    </row>
    <row r="8321" customFormat="false" ht="15" hidden="false" customHeight="false" outlineLevel="0" collapsed="false">
      <c r="A8321" s="7" t="s">
        <v>27</v>
      </c>
      <c r="B8321" s="7" t="s">
        <v>643</v>
      </c>
      <c r="C8321" s="7" t="s">
        <v>1144</v>
      </c>
      <c r="D8321" s="7" t="n">
        <v>0</v>
      </c>
      <c r="E8321" s="7" t="n">
        <v>0</v>
      </c>
      <c r="F8321" s="7" t="n">
        <v>20</v>
      </c>
      <c r="G8321" s="7" t="n">
        <v>686.4</v>
      </c>
    </row>
    <row r="8322" customFormat="false" ht="15" hidden="false" customHeight="false" outlineLevel="0" collapsed="false">
      <c r="A8322" s="7" t="s">
        <v>27</v>
      </c>
      <c r="B8322" s="7" t="s">
        <v>643</v>
      </c>
      <c r="C8322" s="7" t="s">
        <v>1144</v>
      </c>
      <c r="D8322" s="7" t="n">
        <v>30</v>
      </c>
      <c r="E8322" s="7" t="n">
        <v>1144.1</v>
      </c>
      <c r="F8322" s="7" t="n">
        <v>0</v>
      </c>
      <c r="G8322" s="7" t="n">
        <v>0</v>
      </c>
    </row>
    <row r="8323" customFormat="false" ht="15" hidden="false" customHeight="false" outlineLevel="0" collapsed="false">
      <c r="A8323" s="7" t="s">
        <v>27</v>
      </c>
      <c r="B8323" s="7" t="s">
        <v>643</v>
      </c>
      <c r="C8323" s="7" t="s">
        <v>1144</v>
      </c>
      <c r="D8323" s="7" t="n">
        <v>20</v>
      </c>
      <c r="E8323" s="7" t="n">
        <v>761.27</v>
      </c>
      <c r="F8323" s="7" t="n">
        <v>0</v>
      </c>
      <c r="G8323" s="7" t="n">
        <v>0</v>
      </c>
    </row>
    <row r="8324" customFormat="false" ht="15" hidden="false" customHeight="false" outlineLevel="0" collapsed="false">
      <c r="A8324" s="7" t="s">
        <v>27</v>
      </c>
      <c r="B8324" s="7" t="s">
        <v>643</v>
      </c>
      <c r="C8324" s="7" t="s">
        <v>1144</v>
      </c>
      <c r="D8324" s="7" t="n">
        <v>40</v>
      </c>
      <c r="E8324" s="7" t="n">
        <v>1666.47</v>
      </c>
      <c r="F8324" s="7" t="n">
        <v>0</v>
      </c>
      <c r="G8324" s="7" t="n">
        <v>0</v>
      </c>
    </row>
    <row r="8325" customFormat="false" ht="15" hidden="false" customHeight="false" outlineLevel="0" collapsed="false">
      <c r="A8325" s="7" t="s">
        <v>27</v>
      </c>
      <c r="B8325" s="7" t="s">
        <v>643</v>
      </c>
      <c r="C8325" s="7" t="s">
        <v>1144</v>
      </c>
      <c r="D8325" s="7" t="n">
        <v>0</v>
      </c>
      <c r="E8325" s="7" t="n">
        <v>0</v>
      </c>
      <c r="F8325" s="7" t="n">
        <v>30</v>
      </c>
      <c r="G8325" s="7" t="n">
        <v>1071.54</v>
      </c>
    </row>
    <row r="8326" customFormat="false" ht="15" hidden="false" customHeight="false" outlineLevel="0" collapsed="false">
      <c r="A8326" s="7" t="s">
        <v>27</v>
      </c>
      <c r="B8326" s="7" t="s">
        <v>643</v>
      </c>
      <c r="C8326" s="7" t="s">
        <v>1144</v>
      </c>
      <c r="D8326" s="7" t="n">
        <v>0</v>
      </c>
      <c r="E8326" s="7" t="n">
        <v>0</v>
      </c>
      <c r="F8326" s="7" t="n">
        <v>10</v>
      </c>
      <c r="G8326" s="7" t="n">
        <v>370.46</v>
      </c>
    </row>
    <row r="8327" customFormat="false" ht="15" hidden="false" customHeight="false" outlineLevel="0" collapsed="false">
      <c r="A8327" s="7" t="s">
        <v>27</v>
      </c>
      <c r="B8327" s="7" t="s">
        <v>798</v>
      </c>
      <c r="C8327" s="7" t="s">
        <v>1219</v>
      </c>
      <c r="D8327" s="7" t="n">
        <v>50</v>
      </c>
      <c r="E8327" s="7" t="n">
        <v>845.39</v>
      </c>
      <c r="F8327" s="7" t="n">
        <v>0</v>
      </c>
      <c r="G8327" s="7" t="n">
        <v>0</v>
      </c>
    </row>
    <row r="8328" customFormat="false" ht="15" hidden="false" customHeight="false" outlineLevel="0" collapsed="false">
      <c r="A8328" s="7" t="s">
        <v>27</v>
      </c>
      <c r="B8328" s="7" t="s">
        <v>798</v>
      </c>
      <c r="C8328" s="7" t="s">
        <v>1219</v>
      </c>
      <c r="D8328" s="7" t="n">
        <v>0</v>
      </c>
      <c r="E8328" s="7" t="n">
        <v>0</v>
      </c>
      <c r="F8328" s="7" t="n">
        <v>100</v>
      </c>
      <c r="G8328" s="7" t="n">
        <v>1521.59</v>
      </c>
    </row>
    <row r="8329" customFormat="false" ht="15" hidden="false" customHeight="false" outlineLevel="0" collapsed="false">
      <c r="A8329" s="7" t="s">
        <v>27</v>
      </c>
      <c r="B8329" s="7" t="s">
        <v>798</v>
      </c>
      <c r="C8329" s="7" t="s">
        <v>1219</v>
      </c>
      <c r="D8329" s="7" t="n">
        <v>50</v>
      </c>
      <c r="E8329" s="7" t="n">
        <v>860.24</v>
      </c>
      <c r="F8329" s="7" t="n">
        <v>0</v>
      </c>
      <c r="G8329" s="7" t="n">
        <v>0</v>
      </c>
    </row>
    <row r="8330" customFormat="false" ht="15" hidden="false" customHeight="false" outlineLevel="0" collapsed="false">
      <c r="A8330" s="7" t="s">
        <v>27</v>
      </c>
      <c r="B8330" s="7" t="s">
        <v>798</v>
      </c>
      <c r="C8330" s="7" t="s">
        <v>1219</v>
      </c>
      <c r="D8330" s="7" t="n">
        <v>100</v>
      </c>
      <c r="E8330" s="7" t="n">
        <v>1687.55</v>
      </c>
      <c r="F8330" s="7" t="n">
        <v>0</v>
      </c>
      <c r="G8330" s="7" t="n">
        <v>0</v>
      </c>
    </row>
    <row r="8331" customFormat="false" ht="15" hidden="false" customHeight="false" outlineLevel="0" collapsed="false">
      <c r="A8331" s="7" t="s">
        <v>27</v>
      </c>
      <c r="B8331" s="7" t="s">
        <v>798</v>
      </c>
      <c r="C8331" s="7" t="s">
        <v>1219</v>
      </c>
      <c r="D8331" s="7" t="n">
        <v>0</v>
      </c>
      <c r="E8331" s="7" t="n">
        <v>0</v>
      </c>
      <c r="F8331" s="7" t="n">
        <v>50</v>
      </c>
      <c r="G8331" s="7" t="n">
        <v>791.78</v>
      </c>
    </row>
    <row r="8332" customFormat="false" ht="15" hidden="false" customHeight="false" outlineLevel="0" collapsed="false">
      <c r="A8332" s="7" t="s">
        <v>27</v>
      </c>
      <c r="B8332" s="7" t="s">
        <v>798</v>
      </c>
      <c r="C8332" s="7" t="s">
        <v>1219</v>
      </c>
      <c r="D8332" s="7" t="n">
        <v>60</v>
      </c>
      <c r="E8332" s="7" t="n">
        <v>1108.24</v>
      </c>
      <c r="F8332" s="7" t="n">
        <v>0</v>
      </c>
      <c r="G8332" s="7" t="n">
        <v>0</v>
      </c>
    </row>
    <row r="8333" customFormat="false" ht="15" hidden="false" customHeight="false" outlineLevel="0" collapsed="false">
      <c r="A8333" s="7" t="s">
        <v>27</v>
      </c>
      <c r="B8333" s="7" t="s">
        <v>798</v>
      </c>
      <c r="C8333" s="7" t="s">
        <v>1219</v>
      </c>
      <c r="D8333" s="7" t="n">
        <v>60</v>
      </c>
      <c r="E8333" s="7" t="n">
        <v>1064.85</v>
      </c>
      <c r="F8333" s="7" t="n">
        <v>0</v>
      </c>
      <c r="G8333" s="7" t="n">
        <v>0</v>
      </c>
    </row>
    <row r="8334" customFormat="false" ht="15" hidden="false" customHeight="false" outlineLevel="0" collapsed="false">
      <c r="A8334" s="7" t="s">
        <v>27</v>
      </c>
      <c r="B8334" s="7" t="s">
        <v>563</v>
      </c>
      <c r="C8334" s="7" t="s">
        <v>1150</v>
      </c>
      <c r="D8334" s="7" t="n">
        <v>30</v>
      </c>
      <c r="E8334" s="7" t="n">
        <v>424.83</v>
      </c>
      <c r="F8334" s="7" t="n">
        <v>0</v>
      </c>
      <c r="G8334" s="7" t="n">
        <v>0</v>
      </c>
    </row>
    <row r="8335" customFormat="false" ht="15" hidden="false" customHeight="false" outlineLevel="0" collapsed="false">
      <c r="A8335" s="7" t="s">
        <v>27</v>
      </c>
      <c r="B8335" s="7" t="s">
        <v>563</v>
      </c>
      <c r="C8335" s="7" t="s">
        <v>1150</v>
      </c>
      <c r="D8335" s="7" t="n">
        <v>30</v>
      </c>
      <c r="E8335" s="7" t="n">
        <v>388.88</v>
      </c>
      <c r="F8335" s="7" t="n">
        <v>0</v>
      </c>
      <c r="G8335" s="7" t="n">
        <v>0</v>
      </c>
    </row>
    <row r="8336" customFormat="false" ht="15" hidden="false" customHeight="false" outlineLevel="0" collapsed="false">
      <c r="A8336" s="7" t="s">
        <v>27</v>
      </c>
      <c r="B8336" s="7" t="s">
        <v>563</v>
      </c>
      <c r="C8336" s="7" t="s">
        <v>1150</v>
      </c>
      <c r="D8336" s="7" t="n">
        <v>0</v>
      </c>
      <c r="E8336" s="7" t="n">
        <v>0</v>
      </c>
      <c r="F8336" s="7" t="n">
        <v>10</v>
      </c>
      <c r="G8336" s="7" t="n">
        <v>125.92</v>
      </c>
    </row>
    <row r="8337" customFormat="false" ht="15" hidden="false" customHeight="false" outlineLevel="0" collapsed="false">
      <c r="A8337" s="7" t="s">
        <v>27</v>
      </c>
      <c r="B8337" s="7" t="s">
        <v>563</v>
      </c>
      <c r="C8337" s="7" t="s">
        <v>1150</v>
      </c>
      <c r="D8337" s="7" t="n">
        <v>20</v>
      </c>
      <c r="E8337" s="7" t="n">
        <v>272.13</v>
      </c>
      <c r="F8337" s="7" t="n">
        <v>0</v>
      </c>
      <c r="G8337" s="7" t="n">
        <v>0</v>
      </c>
    </row>
    <row r="8338" customFormat="false" ht="15" hidden="false" customHeight="false" outlineLevel="0" collapsed="false">
      <c r="A8338" s="7" t="s">
        <v>27</v>
      </c>
      <c r="B8338" s="7" t="s">
        <v>563</v>
      </c>
      <c r="C8338" s="7" t="s">
        <v>1150</v>
      </c>
      <c r="D8338" s="7" t="n">
        <v>50</v>
      </c>
      <c r="E8338" s="7" t="n">
        <v>646.89</v>
      </c>
      <c r="F8338" s="7" t="n">
        <v>0</v>
      </c>
      <c r="G8338" s="7" t="n">
        <v>0</v>
      </c>
    </row>
    <row r="8339" customFormat="false" ht="15" hidden="false" customHeight="false" outlineLevel="0" collapsed="false">
      <c r="A8339" s="7" t="s">
        <v>27</v>
      </c>
      <c r="B8339" s="7" t="s">
        <v>563</v>
      </c>
      <c r="C8339" s="7" t="s">
        <v>1150</v>
      </c>
      <c r="D8339" s="7" t="n">
        <v>0</v>
      </c>
      <c r="E8339" s="7" t="n">
        <v>0</v>
      </c>
      <c r="F8339" s="7" t="n">
        <v>30</v>
      </c>
      <c r="G8339" s="7" t="n">
        <v>349.96</v>
      </c>
    </row>
    <row r="8340" customFormat="false" ht="15" hidden="false" customHeight="false" outlineLevel="0" collapsed="false">
      <c r="A8340" s="7" t="s">
        <v>27</v>
      </c>
      <c r="B8340" s="7" t="s">
        <v>522</v>
      </c>
      <c r="C8340" s="7" t="s">
        <v>1150</v>
      </c>
      <c r="D8340" s="7" t="n">
        <v>10</v>
      </c>
      <c r="E8340" s="7" t="n">
        <v>129.63</v>
      </c>
      <c r="F8340" s="7" t="n">
        <v>0</v>
      </c>
      <c r="G8340" s="7" t="n">
        <v>0</v>
      </c>
    </row>
    <row r="8341" customFormat="false" ht="15" hidden="false" customHeight="false" outlineLevel="0" collapsed="false">
      <c r="A8341" s="7" t="s">
        <v>27</v>
      </c>
      <c r="B8341" s="7" t="s">
        <v>522</v>
      </c>
      <c r="C8341" s="7" t="s">
        <v>1150</v>
      </c>
      <c r="D8341" s="7" t="n">
        <v>50</v>
      </c>
      <c r="E8341" s="7" t="n">
        <v>646.89</v>
      </c>
      <c r="F8341" s="7" t="n">
        <v>0</v>
      </c>
      <c r="G8341" s="7" t="n">
        <v>0</v>
      </c>
    </row>
    <row r="8342" customFormat="false" ht="15" hidden="false" customHeight="false" outlineLevel="0" collapsed="false">
      <c r="A8342" s="7" t="s">
        <v>27</v>
      </c>
      <c r="B8342" s="7" t="s">
        <v>522</v>
      </c>
      <c r="C8342" s="7" t="s">
        <v>1150</v>
      </c>
      <c r="D8342" s="7" t="n">
        <v>0</v>
      </c>
      <c r="E8342" s="7" t="n">
        <v>0</v>
      </c>
      <c r="F8342" s="7" t="n">
        <v>50</v>
      </c>
      <c r="G8342" s="7" t="n">
        <v>583.27</v>
      </c>
    </row>
    <row r="8343" customFormat="false" ht="15" hidden="false" customHeight="false" outlineLevel="0" collapsed="false">
      <c r="A8343" s="7" t="s">
        <v>27</v>
      </c>
      <c r="B8343" s="7" t="s">
        <v>522</v>
      </c>
      <c r="C8343" s="7" t="s">
        <v>1150</v>
      </c>
      <c r="D8343" s="7" t="n">
        <v>40</v>
      </c>
      <c r="E8343" s="7" t="n">
        <v>544.26</v>
      </c>
      <c r="F8343" s="7" t="n">
        <v>0</v>
      </c>
      <c r="G8343" s="7" t="n">
        <v>0</v>
      </c>
    </row>
    <row r="8344" customFormat="false" ht="15" hidden="false" customHeight="false" outlineLevel="0" collapsed="false">
      <c r="A8344" s="7" t="s">
        <v>27</v>
      </c>
      <c r="B8344" s="7" t="s">
        <v>522</v>
      </c>
      <c r="C8344" s="7" t="s">
        <v>1150</v>
      </c>
      <c r="D8344" s="7" t="n">
        <v>0</v>
      </c>
      <c r="E8344" s="7" t="n">
        <v>0</v>
      </c>
      <c r="F8344" s="7" t="n">
        <v>10</v>
      </c>
      <c r="G8344" s="7" t="n">
        <v>125.92</v>
      </c>
    </row>
    <row r="8345" customFormat="false" ht="15" hidden="false" customHeight="false" outlineLevel="0" collapsed="false">
      <c r="A8345" s="7" t="s">
        <v>27</v>
      </c>
      <c r="B8345" s="7" t="s">
        <v>522</v>
      </c>
      <c r="C8345" s="7" t="s">
        <v>1150</v>
      </c>
      <c r="D8345" s="7" t="n">
        <v>30</v>
      </c>
      <c r="E8345" s="7" t="n">
        <v>424.83</v>
      </c>
      <c r="F8345" s="7" t="n">
        <v>0</v>
      </c>
      <c r="G8345" s="7" t="n">
        <v>0</v>
      </c>
    </row>
    <row r="8346" customFormat="false" ht="15" hidden="false" customHeight="false" outlineLevel="0" collapsed="false">
      <c r="A8346" s="7" t="s">
        <v>27</v>
      </c>
      <c r="B8346" s="7" t="s">
        <v>512</v>
      </c>
      <c r="C8346" s="7" t="s">
        <v>1150</v>
      </c>
      <c r="D8346" s="7" t="n">
        <v>0</v>
      </c>
      <c r="E8346" s="7" t="n">
        <v>0</v>
      </c>
      <c r="F8346" s="7" t="n">
        <v>10</v>
      </c>
      <c r="G8346" s="7" t="n">
        <v>125.92</v>
      </c>
    </row>
    <row r="8347" customFormat="false" ht="15" hidden="false" customHeight="false" outlineLevel="0" collapsed="false">
      <c r="A8347" s="7" t="s">
        <v>27</v>
      </c>
      <c r="B8347" s="7" t="s">
        <v>512</v>
      </c>
      <c r="C8347" s="7" t="s">
        <v>1150</v>
      </c>
      <c r="D8347" s="7" t="n">
        <v>10</v>
      </c>
      <c r="E8347" s="7" t="n">
        <v>131.9</v>
      </c>
      <c r="F8347" s="7" t="n">
        <v>0</v>
      </c>
      <c r="G8347" s="7" t="n">
        <v>0</v>
      </c>
    </row>
    <row r="8348" customFormat="false" ht="15" hidden="false" customHeight="false" outlineLevel="0" collapsed="false">
      <c r="A8348" s="7" t="s">
        <v>27</v>
      </c>
      <c r="B8348" s="7" t="s">
        <v>512</v>
      </c>
      <c r="C8348" s="7" t="s">
        <v>1150</v>
      </c>
      <c r="D8348" s="7" t="n">
        <v>0</v>
      </c>
      <c r="E8348" s="7" t="n">
        <v>0</v>
      </c>
      <c r="F8348" s="7" t="n">
        <v>30</v>
      </c>
      <c r="G8348" s="7" t="n">
        <v>349.96</v>
      </c>
    </row>
    <row r="8349" customFormat="false" ht="15" hidden="false" customHeight="false" outlineLevel="0" collapsed="false">
      <c r="A8349" s="7" t="s">
        <v>27</v>
      </c>
      <c r="B8349" s="7" t="s">
        <v>512</v>
      </c>
      <c r="C8349" s="7" t="s">
        <v>1150</v>
      </c>
      <c r="D8349" s="7" t="n">
        <v>30</v>
      </c>
      <c r="E8349" s="7" t="n">
        <v>424.83</v>
      </c>
      <c r="F8349" s="7" t="n">
        <v>0</v>
      </c>
      <c r="G8349" s="7" t="n">
        <v>0</v>
      </c>
    </row>
    <row r="8350" customFormat="false" ht="15" hidden="false" customHeight="false" outlineLevel="0" collapsed="false">
      <c r="A8350" s="7" t="s">
        <v>27</v>
      </c>
      <c r="B8350" s="7" t="s">
        <v>512</v>
      </c>
      <c r="C8350" s="7" t="s">
        <v>1150</v>
      </c>
      <c r="D8350" s="7" t="n">
        <v>30</v>
      </c>
      <c r="E8350" s="7" t="n">
        <v>388.14</v>
      </c>
      <c r="F8350" s="7" t="n">
        <v>0</v>
      </c>
      <c r="G8350" s="7" t="n">
        <v>0</v>
      </c>
    </row>
    <row r="8351" customFormat="false" ht="15" hidden="false" customHeight="false" outlineLevel="0" collapsed="false">
      <c r="A8351" s="7" t="s">
        <v>27</v>
      </c>
      <c r="B8351" s="7" t="s">
        <v>512</v>
      </c>
      <c r="C8351" s="7" t="s">
        <v>1150</v>
      </c>
      <c r="D8351" s="7" t="n">
        <v>50</v>
      </c>
      <c r="E8351" s="7" t="n">
        <v>680.32</v>
      </c>
      <c r="F8351" s="7" t="n">
        <v>0</v>
      </c>
      <c r="G8351" s="7" t="n">
        <v>0</v>
      </c>
    </row>
    <row r="8352" customFormat="false" ht="15" hidden="false" customHeight="false" outlineLevel="0" collapsed="false">
      <c r="A8352" s="7" t="s">
        <v>27</v>
      </c>
      <c r="B8352" s="7" t="s">
        <v>401</v>
      </c>
      <c r="C8352" s="7" t="s">
        <v>1150</v>
      </c>
      <c r="D8352" s="7" t="n">
        <v>20</v>
      </c>
      <c r="E8352" s="7" t="n">
        <v>272.13</v>
      </c>
      <c r="F8352" s="7" t="n">
        <v>0</v>
      </c>
      <c r="G8352" s="7" t="n">
        <v>0</v>
      </c>
    </row>
    <row r="8353" customFormat="false" ht="15" hidden="false" customHeight="false" outlineLevel="0" collapsed="false">
      <c r="A8353" s="7" t="s">
        <v>27</v>
      </c>
      <c r="B8353" s="7" t="s">
        <v>401</v>
      </c>
      <c r="C8353" s="7" t="s">
        <v>1150</v>
      </c>
      <c r="D8353" s="7" t="n">
        <v>0</v>
      </c>
      <c r="E8353" s="7" t="n">
        <v>0</v>
      </c>
      <c r="F8353" s="7" t="n">
        <v>30</v>
      </c>
      <c r="G8353" s="7" t="n">
        <v>349.96</v>
      </c>
    </row>
    <row r="8354" customFormat="false" ht="15" hidden="false" customHeight="false" outlineLevel="0" collapsed="false">
      <c r="A8354" s="7" t="s">
        <v>27</v>
      </c>
      <c r="B8354" s="7" t="s">
        <v>401</v>
      </c>
      <c r="C8354" s="7" t="s">
        <v>1150</v>
      </c>
      <c r="D8354" s="7" t="n">
        <v>0</v>
      </c>
      <c r="E8354" s="7" t="n">
        <v>0</v>
      </c>
      <c r="F8354" s="7" t="n">
        <v>10</v>
      </c>
      <c r="G8354" s="7" t="n">
        <v>125.92</v>
      </c>
    </row>
    <row r="8355" customFormat="false" ht="15" hidden="false" customHeight="false" outlineLevel="0" collapsed="false">
      <c r="A8355" s="7" t="s">
        <v>27</v>
      </c>
      <c r="B8355" s="7" t="s">
        <v>401</v>
      </c>
      <c r="C8355" s="7" t="s">
        <v>1150</v>
      </c>
      <c r="D8355" s="7" t="n">
        <v>30</v>
      </c>
      <c r="E8355" s="7" t="n">
        <v>424.83</v>
      </c>
      <c r="F8355" s="7" t="n">
        <v>0</v>
      </c>
      <c r="G8355" s="7" t="n">
        <v>0</v>
      </c>
    </row>
    <row r="8356" customFormat="false" ht="15" hidden="false" customHeight="false" outlineLevel="0" collapsed="false">
      <c r="A8356" s="7" t="s">
        <v>27</v>
      </c>
      <c r="B8356" s="7" t="s">
        <v>401</v>
      </c>
      <c r="C8356" s="7" t="s">
        <v>1150</v>
      </c>
      <c r="D8356" s="7" t="n">
        <v>0</v>
      </c>
      <c r="E8356" s="7" t="n">
        <v>0</v>
      </c>
      <c r="F8356" s="7" t="n">
        <v>30</v>
      </c>
      <c r="G8356" s="7" t="n">
        <v>364.22</v>
      </c>
    </row>
    <row r="8357" customFormat="false" ht="15" hidden="false" customHeight="false" outlineLevel="0" collapsed="false">
      <c r="A8357" s="7" t="s">
        <v>27</v>
      </c>
      <c r="B8357" s="7" t="s">
        <v>401</v>
      </c>
      <c r="C8357" s="7" t="s">
        <v>1150</v>
      </c>
      <c r="D8357" s="7" t="n">
        <v>30</v>
      </c>
      <c r="E8357" s="7" t="n">
        <v>388.14</v>
      </c>
      <c r="F8357" s="7" t="n">
        <v>0</v>
      </c>
      <c r="G8357" s="7" t="n">
        <v>0</v>
      </c>
    </row>
    <row r="8358" customFormat="false" ht="15" hidden="false" customHeight="false" outlineLevel="0" collapsed="false">
      <c r="A8358" s="7" t="s">
        <v>27</v>
      </c>
      <c r="B8358" s="7" t="s">
        <v>401</v>
      </c>
      <c r="C8358" s="7" t="s">
        <v>1150</v>
      </c>
      <c r="D8358" s="7" t="n">
        <v>10</v>
      </c>
      <c r="E8358" s="7" t="n">
        <v>131.9</v>
      </c>
      <c r="F8358" s="7" t="n">
        <v>0</v>
      </c>
      <c r="G8358" s="7" t="n">
        <v>0</v>
      </c>
    </row>
    <row r="8359" customFormat="false" ht="15" hidden="false" customHeight="false" outlineLevel="0" collapsed="false">
      <c r="A8359" s="7" t="s">
        <v>27</v>
      </c>
      <c r="B8359" s="7" t="s">
        <v>343</v>
      </c>
      <c r="C8359" s="7" t="s">
        <v>1151</v>
      </c>
      <c r="D8359" s="7" t="n">
        <v>0</v>
      </c>
      <c r="E8359" s="7" t="n">
        <v>0</v>
      </c>
      <c r="F8359" s="7" t="n">
        <v>50</v>
      </c>
      <c r="G8359" s="7" t="n">
        <v>675.23</v>
      </c>
    </row>
    <row r="8360" customFormat="false" ht="15" hidden="false" customHeight="false" outlineLevel="0" collapsed="false">
      <c r="A8360" s="7" t="s">
        <v>27</v>
      </c>
      <c r="B8360" s="7" t="s">
        <v>343</v>
      </c>
      <c r="C8360" s="7" t="s">
        <v>1151</v>
      </c>
      <c r="D8360" s="7" t="n">
        <v>80</v>
      </c>
      <c r="E8360" s="7" t="n">
        <v>1110.03</v>
      </c>
      <c r="F8360" s="7" t="n">
        <v>0</v>
      </c>
      <c r="G8360" s="7" t="n">
        <v>0</v>
      </c>
    </row>
    <row r="8361" customFormat="false" ht="15" hidden="false" customHeight="false" outlineLevel="0" collapsed="false">
      <c r="A8361" s="7" t="s">
        <v>27</v>
      </c>
      <c r="B8361" s="7" t="s">
        <v>343</v>
      </c>
      <c r="C8361" s="7" t="s">
        <v>1151</v>
      </c>
      <c r="D8361" s="7" t="n">
        <v>0</v>
      </c>
      <c r="E8361" s="7" t="n">
        <v>0</v>
      </c>
      <c r="F8361" s="7" t="n">
        <v>100</v>
      </c>
      <c r="G8361" s="7" t="n">
        <v>1251.08</v>
      </c>
    </row>
    <row r="8362" customFormat="false" ht="15" hidden="false" customHeight="false" outlineLevel="0" collapsed="false">
      <c r="A8362" s="7" t="s">
        <v>27</v>
      </c>
      <c r="B8362" s="7" t="s">
        <v>343</v>
      </c>
      <c r="C8362" s="7" t="s">
        <v>1151</v>
      </c>
      <c r="D8362" s="7" t="n">
        <v>20</v>
      </c>
      <c r="E8362" s="7" t="n">
        <v>291.85</v>
      </c>
      <c r="F8362" s="7" t="n">
        <v>0</v>
      </c>
      <c r="G8362" s="7" t="n">
        <v>0</v>
      </c>
    </row>
    <row r="8363" customFormat="false" ht="15" hidden="false" customHeight="false" outlineLevel="0" collapsed="false">
      <c r="A8363" s="7" t="s">
        <v>27</v>
      </c>
      <c r="B8363" s="7" t="s">
        <v>343</v>
      </c>
      <c r="C8363" s="7" t="s">
        <v>1151</v>
      </c>
      <c r="D8363" s="7" t="n">
        <v>110</v>
      </c>
      <c r="E8363" s="7" t="n">
        <v>1670.57</v>
      </c>
      <c r="F8363" s="7" t="n">
        <v>0</v>
      </c>
      <c r="G8363" s="7" t="n">
        <v>0</v>
      </c>
    </row>
    <row r="8364" customFormat="false" ht="15" hidden="false" customHeight="false" outlineLevel="0" collapsed="false">
      <c r="A8364" s="7" t="s">
        <v>27</v>
      </c>
      <c r="B8364" s="7" t="s">
        <v>343</v>
      </c>
      <c r="C8364" s="7" t="s">
        <v>1151</v>
      </c>
      <c r="D8364" s="7" t="n">
        <v>50</v>
      </c>
      <c r="E8364" s="7" t="n">
        <v>707.31</v>
      </c>
      <c r="F8364" s="7" t="n">
        <v>0</v>
      </c>
      <c r="G8364" s="7" t="n">
        <v>0</v>
      </c>
    </row>
    <row r="8365" customFormat="false" ht="15" hidden="false" customHeight="false" outlineLevel="0" collapsed="false">
      <c r="A8365" s="7" t="s">
        <v>27</v>
      </c>
      <c r="B8365" s="7" t="s">
        <v>343</v>
      </c>
      <c r="C8365" s="7" t="s">
        <v>1151</v>
      </c>
      <c r="D8365" s="7" t="n">
        <v>70</v>
      </c>
      <c r="E8365" s="7" t="n">
        <v>973.14</v>
      </c>
      <c r="F8365" s="7" t="n">
        <v>0</v>
      </c>
      <c r="G8365" s="7" t="n">
        <v>0</v>
      </c>
    </row>
    <row r="8366" customFormat="false" ht="15" hidden="false" customHeight="false" outlineLevel="0" collapsed="false">
      <c r="A8366" s="7" t="s">
        <v>27</v>
      </c>
      <c r="B8366" s="7" t="s">
        <v>802</v>
      </c>
      <c r="C8366" s="7" t="s">
        <v>1151</v>
      </c>
      <c r="D8366" s="7" t="n">
        <v>90</v>
      </c>
      <c r="E8366" s="7" t="n">
        <v>1273.16</v>
      </c>
      <c r="F8366" s="7" t="n">
        <v>0</v>
      </c>
      <c r="G8366" s="7" t="n">
        <v>0</v>
      </c>
    </row>
    <row r="8367" customFormat="false" ht="15" hidden="false" customHeight="false" outlineLevel="0" collapsed="false">
      <c r="A8367" s="7" t="s">
        <v>27</v>
      </c>
      <c r="B8367" s="7" t="s">
        <v>802</v>
      </c>
      <c r="C8367" s="7" t="s">
        <v>1151</v>
      </c>
      <c r="D8367" s="7" t="n">
        <v>70</v>
      </c>
      <c r="E8367" s="7" t="n">
        <v>1021.47</v>
      </c>
      <c r="F8367" s="7" t="n">
        <v>0</v>
      </c>
      <c r="G8367" s="7" t="n">
        <v>0</v>
      </c>
    </row>
    <row r="8368" customFormat="false" ht="15" hidden="false" customHeight="false" outlineLevel="0" collapsed="false">
      <c r="A8368" s="7" t="s">
        <v>27</v>
      </c>
      <c r="B8368" s="7" t="s">
        <v>802</v>
      </c>
      <c r="C8368" s="7" t="s">
        <v>1151</v>
      </c>
      <c r="D8368" s="7" t="n">
        <v>0</v>
      </c>
      <c r="E8368" s="7" t="n">
        <v>0</v>
      </c>
      <c r="F8368" s="7" t="n">
        <v>120</v>
      </c>
      <c r="G8368" s="7" t="n">
        <v>1501.3</v>
      </c>
    </row>
    <row r="8369" customFormat="false" ht="15" hidden="false" customHeight="false" outlineLevel="0" collapsed="false">
      <c r="A8369" s="7" t="s">
        <v>27</v>
      </c>
      <c r="B8369" s="7" t="s">
        <v>802</v>
      </c>
      <c r="C8369" s="7" t="s">
        <v>1151</v>
      </c>
      <c r="D8369" s="7" t="n">
        <v>0</v>
      </c>
      <c r="E8369" s="7" t="n">
        <v>0</v>
      </c>
      <c r="F8369" s="7" t="n">
        <v>80</v>
      </c>
      <c r="G8369" s="7" t="n">
        <v>1080.37</v>
      </c>
    </row>
    <row r="8370" customFormat="false" ht="15" hidden="false" customHeight="false" outlineLevel="0" collapsed="false">
      <c r="A8370" s="7" t="s">
        <v>27</v>
      </c>
      <c r="B8370" s="7" t="s">
        <v>802</v>
      </c>
      <c r="C8370" s="7" t="s">
        <v>1151</v>
      </c>
      <c r="D8370" s="7" t="n">
        <v>80</v>
      </c>
      <c r="E8370" s="7" t="n">
        <v>1214.96</v>
      </c>
      <c r="F8370" s="7" t="n">
        <v>0</v>
      </c>
      <c r="G8370" s="7" t="n">
        <v>0</v>
      </c>
    </row>
    <row r="8371" customFormat="false" ht="15" hidden="false" customHeight="false" outlineLevel="0" collapsed="false">
      <c r="A8371" s="7" t="s">
        <v>27</v>
      </c>
      <c r="B8371" s="7" t="s">
        <v>802</v>
      </c>
      <c r="C8371" s="7" t="s">
        <v>1151</v>
      </c>
      <c r="D8371" s="7" t="n">
        <v>120</v>
      </c>
      <c r="E8371" s="7" t="n">
        <v>1665.04</v>
      </c>
      <c r="F8371" s="7" t="n">
        <v>0</v>
      </c>
      <c r="G8371" s="7" t="n">
        <v>0</v>
      </c>
    </row>
    <row r="8372" customFormat="false" ht="15" hidden="false" customHeight="false" outlineLevel="0" collapsed="false">
      <c r="A8372" s="7" t="s">
        <v>27</v>
      </c>
      <c r="B8372" s="7" t="s">
        <v>802</v>
      </c>
      <c r="C8372" s="7" t="s">
        <v>1151</v>
      </c>
      <c r="D8372" s="7" t="n">
        <v>50</v>
      </c>
      <c r="E8372" s="7" t="n">
        <v>695.1</v>
      </c>
      <c r="F8372" s="7" t="n">
        <v>0</v>
      </c>
      <c r="G8372" s="7" t="n">
        <v>0</v>
      </c>
    </row>
    <row r="8373" customFormat="false" ht="15" hidden="false" customHeight="false" outlineLevel="0" collapsed="false">
      <c r="A8373" s="7" t="s">
        <v>27</v>
      </c>
      <c r="B8373" s="7" t="s">
        <v>704</v>
      </c>
      <c r="C8373" s="7" t="s">
        <v>1151</v>
      </c>
      <c r="D8373" s="7" t="n">
        <v>0</v>
      </c>
      <c r="E8373" s="7" t="n">
        <v>0</v>
      </c>
      <c r="F8373" s="7" t="n">
        <v>30</v>
      </c>
      <c r="G8373" s="7" t="n">
        <v>405.14</v>
      </c>
    </row>
    <row r="8374" customFormat="false" ht="15" hidden="false" customHeight="false" outlineLevel="0" collapsed="false">
      <c r="A8374" s="7" t="s">
        <v>27</v>
      </c>
      <c r="B8374" s="7" t="s">
        <v>704</v>
      </c>
      <c r="C8374" s="7" t="s">
        <v>1151</v>
      </c>
      <c r="D8374" s="7" t="n">
        <v>0</v>
      </c>
      <c r="E8374" s="7" t="n">
        <v>0</v>
      </c>
      <c r="F8374" s="7" t="n">
        <v>40</v>
      </c>
      <c r="G8374" s="7" t="n">
        <v>520.81</v>
      </c>
    </row>
    <row r="8375" customFormat="false" ht="15" hidden="false" customHeight="false" outlineLevel="0" collapsed="false">
      <c r="A8375" s="7" t="s">
        <v>27</v>
      </c>
      <c r="B8375" s="7" t="s">
        <v>704</v>
      </c>
      <c r="C8375" s="7" t="s">
        <v>1151</v>
      </c>
      <c r="D8375" s="7" t="n">
        <v>90</v>
      </c>
      <c r="E8375" s="7" t="n">
        <v>1273.16</v>
      </c>
      <c r="F8375" s="7" t="n">
        <v>0</v>
      </c>
      <c r="G8375" s="7" t="n">
        <v>0</v>
      </c>
    </row>
    <row r="8376" customFormat="false" ht="15" hidden="false" customHeight="false" outlineLevel="0" collapsed="false">
      <c r="A8376" s="7" t="s">
        <v>27</v>
      </c>
      <c r="B8376" s="7" t="s">
        <v>704</v>
      </c>
      <c r="C8376" s="7" t="s">
        <v>1151</v>
      </c>
      <c r="D8376" s="7" t="n">
        <v>0</v>
      </c>
      <c r="E8376" s="7" t="n">
        <v>0</v>
      </c>
      <c r="F8376" s="7" t="n">
        <v>90</v>
      </c>
      <c r="G8376" s="7" t="n">
        <v>1125.97</v>
      </c>
    </row>
    <row r="8377" customFormat="false" ht="15" hidden="false" customHeight="false" outlineLevel="0" collapsed="false">
      <c r="A8377" s="7" t="s">
        <v>27</v>
      </c>
      <c r="B8377" s="7" t="s">
        <v>704</v>
      </c>
      <c r="C8377" s="7" t="s">
        <v>1151</v>
      </c>
      <c r="D8377" s="7" t="n">
        <v>60</v>
      </c>
      <c r="E8377" s="7" t="n">
        <v>832.52</v>
      </c>
      <c r="F8377" s="7" t="n">
        <v>0</v>
      </c>
      <c r="G8377" s="7" t="n">
        <v>0</v>
      </c>
    </row>
    <row r="8378" customFormat="false" ht="15" hidden="false" customHeight="false" outlineLevel="0" collapsed="false">
      <c r="A8378" s="7" t="s">
        <v>27</v>
      </c>
      <c r="B8378" s="7" t="s">
        <v>704</v>
      </c>
      <c r="C8378" s="7" t="s">
        <v>1151</v>
      </c>
      <c r="D8378" s="7" t="n">
        <v>80</v>
      </c>
      <c r="E8378" s="7" t="n">
        <v>1214.96</v>
      </c>
      <c r="F8378" s="7" t="n">
        <v>0</v>
      </c>
      <c r="G8378" s="7" t="n">
        <v>0</v>
      </c>
    </row>
    <row r="8379" customFormat="false" ht="15" hidden="false" customHeight="false" outlineLevel="0" collapsed="false">
      <c r="A8379" s="7" t="s">
        <v>27</v>
      </c>
      <c r="B8379" s="7" t="s">
        <v>704</v>
      </c>
      <c r="C8379" s="7" t="s">
        <v>1151</v>
      </c>
      <c r="D8379" s="7" t="n">
        <v>30</v>
      </c>
      <c r="E8379" s="7" t="n">
        <v>437.77</v>
      </c>
      <c r="F8379" s="7" t="n">
        <v>0</v>
      </c>
      <c r="G8379" s="7" t="n">
        <v>0</v>
      </c>
    </row>
    <row r="8380" customFormat="false" ht="15" hidden="false" customHeight="false" outlineLevel="0" collapsed="false">
      <c r="A8380" s="7" t="s">
        <v>27</v>
      </c>
      <c r="B8380" s="7" t="s">
        <v>704</v>
      </c>
      <c r="C8380" s="7" t="s">
        <v>1151</v>
      </c>
      <c r="D8380" s="7" t="n">
        <v>30</v>
      </c>
      <c r="E8380" s="7" t="n">
        <v>417.06</v>
      </c>
      <c r="F8380" s="7" t="n">
        <v>0</v>
      </c>
      <c r="G8380" s="7" t="n">
        <v>0</v>
      </c>
    </row>
    <row r="8381" customFormat="false" ht="15" hidden="false" customHeight="false" outlineLevel="0" collapsed="false">
      <c r="A8381" s="7" t="s">
        <v>27</v>
      </c>
      <c r="B8381" s="7" t="s">
        <v>710</v>
      </c>
      <c r="C8381" s="7" t="s">
        <v>1151</v>
      </c>
      <c r="D8381" s="7" t="n">
        <v>50</v>
      </c>
      <c r="E8381" s="7" t="n">
        <v>693.77</v>
      </c>
      <c r="F8381" s="7" t="n">
        <v>0</v>
      </c>
      <c r="G8381" s="7" t="n">
        <v>0</v>
      </c>
    </row>
    <row r="8382" customFormat="false" ht="15" hidden="false" customHeight="false" outlineLevel="0" collapsed="false">
      <c r="A8382" s="7" t="s">
        <v>27</v>
      </c>
      <c r="B8382" s="7" t="s">
        <v>710</v>
      </c>
      <c r="C8382" s="7" t="s">
        <v>1151</v>
      </c>
      <c r="D8382" s="7" t="n">
        <v>0</v>
      </c>
      <c r="E8382" s="7" t="n">
        <v>0</v>
      </c>
      <c r="F8382" s="7" t="n">
        <v>30</v>
      </c>
      <c r="G8382" s="7" t="n">
        <v>405.14</v>
      </c>
    </row>
    <row r="8383" customFormat="false" ht="15" hidden="false" customHeight="false" outlineLevel="0" collapsed="false">
      <c r="A8383" s="7" t="s">
        <v>27</v>
      </c>
      <c r="B8383" s="7" t="s">
        <v>710</v>
      </c>
      <c r="C8383" s="7" t="s">
        <v>1151</v>
      </c>
      <c r="D8383" s="7" t="n">
        <v>80</v>
      </c>
      <c r="E8383" s="7" t="n">
        <v>1131.7</v>
      </c>
      <c r="F8383" s="7" t="n">
        <v>0</v>
      </c>
      <c r="G8383" s="7" t="n">
        <v>0</v>
      </c>
    </row>
    <row r="8384" customFormat="false" ht="15" hidden="false" customHeight="false" outlineLevel="0" collapsed="false">
      <c r="A8384" s="7" t="s">
        <v>27</v>
      </c>
      <c r="B8384" s="7" t="s">
        <v>710</v>
      </c>
      <c r="C8384" s="7" t="s">
        <v>1151</v>
      </c>
      <c r="D8384" s="7" t="n">
        <v>100</v>
      </c>
      <c r="E8384" s="7" t="n">
        <v>1518.7</v>
      </c>
      <c r="F8384" s="7" t="n">
        <v>0</v>
      </c>
      <c r="G8384" s="7" t="n">
        <v>0</v>
      </c>
    </row>
    <row r="8385" customFormat="false" ht="15" hidden="false" customHeight="false" outlineLevel="0" collapsed="false">
      <c r="A8385" s="7" t="s">
        <v>27</v>
      </c>
      <c r="B8385" s="7" t="s">
        <v>710</v>
      </c>
      <c r="C8385" s="7" t="s">
        <v>1151</v>
      </c>
      <c r="D8385" s="7" t="n">
        <v>0</v>
      </c>
      <c r="E8385" s="7" t="n">
        <v>0</v>
      </c>
      <c r="F8385" s="7" t="n">
        <v>90</v>
      </c>
      <c r="G8385" s="7" t="n">
        <v>1125.97</v>
      </c>
    </row>
    <row r="8386" customFormat="false" ht="15" hidden="false" customHeight="false" outlineLevel="0" collapsed="false">
      <c r="A8386" s="7" t="s">
        <v>27</v>
      </c>
      <c r="B8386" s="7" t="s">
        <v>710</v>
      </c>
      <c r="C8386" s="7" t="s">
        <v>1151</v>
      </c>
      <c r="D8386" s="7" t="n">
        <v>30</v>
      </c>
      <c r="E8386" s="7" t="n">
        <v>417.06</v>
      </c>
      <c r="F8386" s="7" t="n">
        <v>0</v>
      </c>
      <c r="G8386" s="7" t="n">
        <v>0</v>
      </c>
    </row>
    <row r="8387" customFormat="false" ht="15" hidden="false" customHeight="false" outlineLevel="0" collapsed="false">
      <c r="A8387" s="7" t="s">
        <v>27</v>
      </c>
      <c r="B8387" s="7" t="s">
        <v>605</v>
      </c>
      <c r="C8387" s="7" t="s">
        <v>1152</v>
      </c>
      <c r="D8387" s="7" t="n">
        <v>90</v>
      </c>
      <c r="E8387" s="7" t="n">
        <v>1198.16</v>
      </c>
      <c r="F8387" s="7" t="n">
        <v>0</v>
      </c>
      <c r="G8387" s="7" t="n">
        <v>0</v>
      </c>
    </row>
    <row r="8388" customFormat="false" ht="15" hidden="false" customHeight="false" outlineLevel="0" collapsed="false">
      <c r="A8388" s="7" t="s">
        <v>27</v>
      </c>
      <c r="B8388" s="7" t="s">
        <v>605</v>
      </c>
      <c r="C8388" s="7" t="s">
        <v>1152</v>
      </c>
      <c r="D8388" s="7" t="n">
        <v>0</v>
      </c>
      <c r="E8388" s="7" t="n">
        <v>0</v>
      </c>
      <c r="F8388" s="7" t="n">
        <v>40</v>
      </c>
      <c r="G8388" s="7" t="n">
        <v>518.29</v>
      </c>
    </row>
    <row r="8389" customFormat="false" ht="15" hidden="false" customHeight="false" outlineLevel="0" collapsed="false">
      <c r="A8389" s="7" t="s">
        <v>27</v>
      </c>
      <c r="B8389" s="7" t="s">
        <v>605</v>
      </c>
      <c r="C8389" s="7" t="s">
        <v>1152</v>
      </c>
      <c r="D8389" s="7" t="n">
        <v>30</v>
      </c>
      <c r="E8389" s="7" t="n">
        <v>407.18</v>
      </c>
      <c r="F8389" s="7" t="n">
        <v>0</v>
      </c>
      <c r="G8389" s="7" t="n">
        <v>0</v>
      </c>
    </row>
    <row r="8390" customFormat="false" ht="15" hidden="false" customHeight="false" outlineLevel="0" collapsed="false">
      <c r="A8390" s="7" t="s">
        <v>27</v>
      </c>
      <c r="B8390" s="7" t="s">
        <v>605</v>
      </c>
      <c r="C8390" s="7" t="s">
        <v>1152</v>
      </c>
      <c r="D8390" s="7" t="n">
        <v>30</v>
      </c>
      <c r="E8390" s="7" t="n">
        <v>437.14</v>
      </c>
      <c r="F8390" s="7" t="n">
        <v>0</v>
      </c>
      <c r="G8390" s="7" t="n">
        <v>0</v>
      </c>
    </row>
    <row r="8391" customFormat="false" ht="15" hidden="false" customHeight="false" outlineLevel="0" collapsed="false">
      <c r="A8391" s="7" t="s">
        <v>27</v>
      </c>
      <c r="B8391" s="7" t="s">
        <v>605</v>
      </c>
      <c r="C8391" s="7" t="s">
        <v>1152</v>
      </c>
      <c r="D8391" s="7" t="n">
        <v>30</v>
      </c>
      <c r="E8391" s="7" t="n">
        <v>400.15</v>
      </c>
      <c r="F8391" s="7" t="n">
        <v>0</v>
      </c>
      <c r="G8391" s="7" t="n">
        <v>0</v>
      </c>
    </row>
    <row r="8392" customFormat="false" ht="15" hidden="false" customHeight="false" outlineLevel="0" collapsed="false">
      <c r="A8392" s="7" t="s">
        <v>27</v>
      </c>
      <c r="B8392" s="7" t="s">
        <v>605</v>
      </c>
      <c r="C8392" s="7" t="s">
        <v>1152</v>
      </c>
      <c r="D8392" s="7" t="n">
        <v>0</v>
      </c>
      <c r="E8392" s="7" t="n">
        <v>0</v>
      </c>
      <c r="F8392" s="7" t="n">
        <v>80</v>
      </c>
      <c r="G8392" s="7" t="n">
        <v>960.29</v>
      </c>
    </row>
    <row r="8393" customFormat="false" ht="15" hidden="false" customHeight="false" outlineLevel="0" collapsed="false">
      <c r="A8393" s="7" t="s">
        <v>27</v>
      </c>
      <c r="B8393" s="7" t="s">
        <v>618</v>
      </c>
      <c r="C8393" s="7" t="s">
        <v>1152</v>
      </c>
      <c r="D8393" s="7" t="n">
        <v>80</v>
      </c>
      <c r="E8393" s="7" t="n">
        <v>1085.82</v>
      </c>
      <c r="F8393" s="7" t="n">
        <v>0</v>
      </c>
      <c r="G8393" s="7" t="n">
        <v>0</v>
      </c>
    </row>
    <row r="8394" customFormat="false" ht="15" hidden="false" customHeight="false" outlineLevel="0" collapsed="false">
      <c r="A8394" s="7" t="s">
        <v>27</v>
      </c>
      <c r="B8394" s="7" t="s">
        <v>618</v>
      </c>
      <c r="C8394" s="7" t="s">
        <v>1152</v>
      </c>
      <c r="D8394" s="7" t="n">
        <v>0</v>
      </c>
      <c r="E8394" s="7" t="n">
        <v>0</v>
      </c>
      <c r="F8394" s="7" t="n">
        <v>120</v>
      </c>
      <c r="G8394" s="7" t="n">
        <v>1499.09</v>
      </c>
    </row>
    <row r="8395" customFormat="false" ht="15" hidden="false" customHeight="false" outlineLevel="0" collapsed="false">
      <c r="A8395" s="7" t="s">
        <v>27</v>
      </c>
      <c r="B8395" s="7" t="s">
        <v>618</v>
      </c>
      <c r="C8395" s="7" t="s">
        <v>1152</v>
      </c>
      <c r="D8395" s="7" t="n">
        <v>80</v>
      </c>
      <c r="E8395" s="7" t="n">
        <v>1065.03</v>
      </c>
      <c r="F8395" s="7" t="n">
        <v>0</v>
      </c>
      <c r="G8395" s="7" t="n">
        <v>0</v>
      </c>
    </row>
    <row r="8396" customFormat="false" ht="15" hidden="false" customHeight="false" outlineLevel="0" collapsed="false">
      <c r="A8396" s="7" t="s">
        <v>27</v>
      </c>
      <c r="B8396" s="7" t="s">
        <v>618</v>
      </c>
      <c r="C8396" s="7" t="s">
        <v>1152</v>
      </c>
      <c r="D8396" s="7" t="n">
        <v>120</v>
      </c>
      <c r="E8396" s="7" t="n">
        <v>1748.56</v>
      </c>
      <c r="F8396" s="7" t="n">
        <v>0</v>
      </c>
      <c r="G8396" s="7" t="n">
        <v>0</v>
      </c>
    </row>
    <row r="8397" customFormat="false" ht="15" hidden="false" customHeight="false" outlineLevel="0" collapsed="false">
      <c r="A8397" s="7" t="s">
        <v>27</v>
      </c>
      <c r="B8397" s="7" t="s">
        <v>618</v>
      </c>
      <c r="C8397" s="7" t="s">
        <v>1152</v>
      </c>
      <c r="D8397" s="7" t="n">
        <v>20</v>
      </c>
      <c r="E8397" s="7" t="n">
        <v>266.77</v>
      </c>
      <c r="F8397" s="7" t="n">
        <v>0</v>
      </c>
      <c r="G8397" s="7" t="n">
        <v>0</v>
      </c>
    </row>
    <row r="8398" customFormat="false" ht="15" hidden="false" customHeight="false" outlineLevel="0" collapsed="false">
      <c r="A8398" s="7" t="s">
        <v>27</v>
      </c>
      <c r="B8398" s="7" t="s">
        <v>618</v>
      </c>
      <c r="C8398" s="7" t="s">
        <v>1152</v>
      </c>
      <c r="D8398" s="7" t="n">
        <v>0</v>
      </c>
      <c r="E8398" s="7" t="n">
        <v>0</v>
      </c>
      <c r="F8398" s="7" t="n">
        <v>20</v>
      </c>
      <c r="G8398" s="7" t="n">
        <v>259.14</v>
      </c>
    </row>
    <row r="8399" customFormat="false" ht="15" hidden="false" customHeight="false" outlineLevel="0" collapsed="false">
      <c r="A8399" s="7" t="s">
        <v>27</v>
      </c>
      <c r="B8399" s="7" t="s">
        <v>702</v>
      </c>
      <c r="C8399" s="7" t="s">
        <v>1152</v>
      </c>
      <c r="D8399" s="7" t="n">
        <v>0</v>
      </c>
      <c r="E8399" s="7" t="n">
        <v>0</v>
      </c>
      <c r="F8399" s="7" t="n">
        <v>70</v>
      </c>
      <c r="G8399" s="7" t="n">
        <v>840.25</v>
      </c>
    </row>
    <row r="8400" customFormat="false" ht="15" hidden="false" customHeight="false" outlineLevel="0" collapsed="false">
      <c r="A8400" s="7" t="s">
        <v>27</v>
      </c>
      <c r="B8400" s="7" t="s">
        <v>702</v>
      </c>
      <c r="C8400" s="7" t="s">
        <v>1152</v>
      </c>
      <c r="D8400" s="7" t="n">
        <v>30</v>
      </c>
      <c r="E8400" s="7" t="n">
        <v>400.15</v>
      </c>
      <c r="F8400" s="7" t="n">
        <v>0</v>
      </c>
      <c r="G8400" s="7" t="n">
        <v>0</v>
      </c>
    </row>
    <row r="8401" customFormat="false" ht="15" hidden="false" customHeight="false" outlineLevel="0" collapsed="false">
      <c r="A8401" s="7" t="s">
        <v>27</v>
      </c>
      <c r="B8401" s="7" t="s">
        <v>702</v>
      </c>
      <c r="C8401" s="7" t="s">
        <v>1152</v>
      </c>
      <c r="D8401" s="7" t="n">
        <v>0</v>
      </c>
      <c r="E8401" s="7" t="n">
        <v>0</v>
      </c>
      <c r="F8401" s="7" t="n">
        <v>30</v>
      </c>
      <c r="G8401" s="7" t="n">
        <v>374.77</v>
      </c>
    </row>
    <row r="8402" customFormat="false" ht="15" hidden="false" customHeight="false" outlineLevel="0" collapsed="false">
      <c r="A8402" s="7" t="s">
        <v>27</v>
      </c>
      <c r="B8402" s="7" t="s">
        <v>702</v>
      </c>
      <c r="C8402" s="7" t="s">
        <v>1152</v>
      </c>
      <c r="D8402" s="7" t="n">
        <v>70</v>
      </c>
      <c r="E8402" s="7" t="n">
        <v>1020</v>
      </c>
      <c r="F8402" s="7" t="n">
        <v>0</v>
      </c>
      <c r="G8402" s="7" t="n">
        <v>0</v>
      </c>
    </row>
    <row r="8403" customFormat="false" ht="15" hidden="false" customHeight="false" outlineLevel="0" collapsed="false">
      <c r="A8403" s="7" t="s">
        <v>27</v>
      </c>
      <c r="B8403" s="7" t="s">
        <v>702</v>
      </c>
      <c r="C8403" s="7" t="s">
        <v>1152</v>
      </c>
      <c r="D8403" s="7" t="n">
        <v>70</v>
      </c>
      <c r="E8403" s="7" t="n">
        <v>931.9</v>
      </c>
      <c r="F8403" s="7" t="n">
        <v>0</v>
      </c>
      <c r="G8403" s="7" t="n">
        <v>0</v>
      </c>
    </row>
    <row r="8404" customFormat="false" ht="15" hidden="false" customHeight="false" outlineLevel="0" collapsed="false">
      <c r="A8404" s="7" t="s">
        <v>27</v>
      </c>
      <c r="B8404" s="7" t="s">
        <v>702</v>
      </c>
      <c r="C8404" s="7" t="s">
        <v>1152</v>
      </c>
      <c r="D8404" s="7" t="n">
        <v>0</v>
      </c>
      <c r="E8404" s="7" t="n">
        <v>0</v>
      </c>
      <c r="F8404" s="7" t="n">
        <v>40</v>
      </c>
      <c r="G8404" s="7" t="n">
        <v>518.29</v>
      </c>
    </row>
    <row r="8405" customFormat="false" ht="15" hidden="false" customHeight="false" outlineLevel="0" collapsed="false">
      <c r="A8405" s="7" t="s">
        <v>27</v>
      </c>
      <c r="B8405" s="7" t="s">
        <v>702</v>
      </c>
      <c r="C8405" s="7" t="s">
        <v>1152</v>
      </c>
      <c r="D8405" s="7" t="n">
        <v>40</v>
      </c>
      <c r="E8405" s="7" t="n">
        <v>542.91</v>
      </c>
      <c r="F8405" s="7" t="n">
        <v>0</v>
      </c>
      <c r="G8405" s="7" t="n">
        <v>0</v>
      </c>
    </row>
    <row r="8406" customFormat="false" ht="15" hidden="false" customHeight="false" outlineLevel="0" collapsed="false">
      <c r="A8406" s="7" t="s">
        <v>27</v>
      </c>
      <c r="B8406" s="7" t="s">
        <v>702</v>
      </c>
      <c r="C8406" s="7" t="s">
        <v>1152</v>
      </c>
      <c r="D8406" s="7" t="n">
        <v>30</v>
      </c>
      <c r="E8406" s="7" t="n">
        <v>420.03</v>
      </c>
      <c r="F8406" s="7" t="n">
        <v>0</v>
      </c>
      <c r="G8406" s="7" t="n">
        <v>0</v>
      </c>
    </row>
    <row r="8407" customFormat="false" ht="15" hidden="false" customHeight="false" outlineLevel="0" collapsed="false">
      <c r="A8407" s="7" t="s">
        <v>27</v>
      </c>
      <c r="B8407" s="7" t="s">
        <v>635</v>
      </c>
      <c r="C8407" s="7" t="s">
        <v>1152</v>
      </c>
      <c r="D8407" s="7" t="n">
        <v>0</v>
      </c>
      <c r="E8407" s="7" t="n">
        <v>0</v>
      </c>
      <c r="F8407" s="7" t="n">
        <v>40</v>
      </c>
      <c r="G8407" s="7" t="n">
        <v>499.7</v>
      </c>
    </row>
    <row r="8408" customFormat="false" ht="15" hidden="false" customHeight="false" outlineLevel="0" collapsed="false">
      <c r="A8408" s="7" t="s">
        <v>27</v>
      </c>
      <c r="B8408" s="7" t="s">
        <v>635</v>
      </c>
      <c r="C8408" s="7" t="s">
        <v>1152</v>
      </c>
      <c r="D8408" s="7" t="n">
        <v>0</v>
      </c>
      <c r="E8408" s="7" t="n">
        <v>0</v>
      </c>
      <c r="F8408" s="7" t="n">
        <v>20</v>
      </c>
      <c r="G8408" s="7" t="n">
        <v>259.14</v>
      </c>
    </row>
    <row r="8409" customFormat="false" ht="15" hidden="false" customHeight="false" outlineLevel="0" collapsed="false">
      <c r="A8409" s="7" t="s">
        <v>27</v>
      </c>
      <c r="B8409" s="7" t="s">
        <v>635</v>
      </c>
      <c r="C8409" s="7" t="s">
        <v>1152</v>
      </c>
      <c r="D8409" s="7" t="n">
        <v>50</v>
      </c>
      <c r="E8409" s="7" t="n">
        <v>665.64</v>
      </c>
      <c r="F8409" s="7" t="n">
        <v>0</v>
      </c>
      <c r="G8409" s="7" t="n">
        <v>0</v>
      </c>
    </row>
    <row r="8410" customFormat="false" ht="15" hidden="false" customHeight="false" outlineLevel="0" collapsed="false">
      <c r="A8410" s="7" t="s">
        <v>27</v>
      </c>
      <c r="B8410" s="7" t="s">
        <v>635</v>
      </c>
      <c r="C8410" s="7" t="s">
        <v>1152</v>
      </c>
      <c r="D8410" s="7" t="n">
        <v>10</v>
      </c>
      <c r="E8410" s="7" t="n">
        <v>133.38</v>
      </c>
      <c r="F8410" s="7" t="n">
        <v>0</v>
      </c>
      <c r="G8410" s="7" t="n">
        <v>0</v>
      </c>
    </row>
    <row r="8411" customFormat="false" ht="15" hidden="false" customHeight="false" outlineLevel="0" collapsed="false">
      <c r="A8411" s="7" t="s">
        <v>27</v>
      </c>
      <c r="B8411" s="7" t="s">
        <v>635</v>
      </c>
      <c r="C8411" s="7" t="s">
        <v>1152</v>
      </c>
      <c r="D8411" s="7" t="n">
        <v>20</v>
      </c>
      <c r="E8411" s="7" t="n">
        <v>280.02</v>
      </c>
      <c r="F8411" s="7" t="n">
        <v>0</v>
      </c>
      <c r="G8411" s="7" t="n">
        <v>0</v>
      </c>
    </row>
    <row r="8412" customFormat="false" ht="15" hidden="false" customHeight="false" outlineLevel="0" collapsed="false">
      <c r="A8412" s="7" t="s">
        <v>27</v>
      </c>
      <c r="B8412" s="7" t="s">
        <v>635</v>
      </c>
      <c r="C8412" s="7" t="s">
        <v>1152</v>
      </c>
      <c r="D8412" s="7" t="n">
        <v>10</v>
      </c>
      <c r="E8412" s="7" t="n">
        <v>135.73</v>
      </c>
      <c r="F8412" s="7" t="n">
        <v>0</v>
      </c>
      <c r="G8412" s="7" t="n">
        <v>0</v>
      </c>
    </row>
    <row r="8413" customFormat="false" ht="15" hidden="false" customHeight="false" outlineLevel="0" collapsed="false">
      <c r="A8413" s="7" t="s">
        <v>27</v>
      </c>
      <c r="B8413" s="7" t="s">
        <v>635</v>
      </c>
      <c r="C8413" s="7" t="s">
        <v>1152</v>
      </c>
      <c r="D8413" s="7" t="n">
        <v>20</v>
      </c>
      <c r="E8413" s="7" t="n">
        <v>291.42</v>
      </c>
      <c r="F8413" s="7" t="n">
        <v>0</v>
      </c>
      <c r="G8413" s="7" t="n">
        <v>0</v>
      </c>
    </row>
    <row r="8414" customFormat="false" ht="15" hidden="false" customHeight="false" outlineLevel="0" collapsed="false">
      <c r="A8414" s="7" t="s">
        <v>27</v>
      </c>
      <c r="B8414" s="7" t="s">
        <v>185</v>
      </c>
      <c r="C8414" s="7" t="s">
        <v>1053</v>
      </c>
      <c r="D8414" s="7" t="n">
        <v>40</v>
      </c>
      <c r="E8414" s="7" t="n">
        <v>903.02</v>
      </c>
      <c r="F8414" s="7" t="n">
        <v>0</v>
      </c>
      <c r="G8414" s="7" t="n">
        <v>0</v>
      </c>
    </row>
    <row r="8415" customFormat="false" ht="15" hidden="false" customHeight="false" outlineLevel="0" collapsed="false">
      <c r="A8415" s="7" t="s">
        <v>27</v>
      </c>
      <c r="B8415" s="7" t="s">
        <v>185</v>
      </c>
      <c r="C8415" s="7" t="s">
        <v>1053</v>
      </c>
      <c r="D8415" s="7" t="n">
        <v>50</v>
      </c>
      <c r="E8415" s="7" t="n">
        <v>1084.57</v>
      </c>
      <c r="F8415" s="7" t="n">
        <v>0</v>
      </c>
      <c r="G8415" s="7" t="n">
        <v>0</v>
      </c>
    </row>
    <row r="8416" customFormat="false" ht="15" hidden="false" customHeight="false" outlineLevel="0" collapsed="false">
      <c r="A8416" s="7" t="s">
        <v>27</v>
      </c>
      <c r="B8416" s="7" t="s">
        <v>185</v>
      </c>
      <c r="C8416" s="7" t="s">
        <v>1053</v>
      </c>
      <c r="D8416" s="7" t="n">
        <v>40</v>
      </c>
      <c r="E8416" s="7" t="n">
        <v>825.02</v>
      </c>
      <c r="F8416" s="7" t="n">
        <v>0</v>
      </c>
      <c r="G8416" s="7" t="n">
        <v>0</v>
      </c>
    </row>
    <row r="8417" customFormat="false" ht="15" hidden="false" customHeight="false" outlineLevel="0" collapsed="false">
      <c r="A8417" s="7" t="s">
        <v>27</v>
      </c>
      <c r="B8417" s="7" t="s">
        <v>185</v>
      </c>
      <c r="C8417" s="7" t="s">
        <v>1053</v>
      </c>
      <c r="D8417" s="7" t="n">
        <v>0</v>
      </c>
      <c r="E8417" s="7" t="n">
        <v>0</v>
      </c>
      <c r="F8417" s="7" t="n">
        <v>30</v>
      </c>
      <c r="G8417" s="7" t="n">
        <v>580.64</v>
      </c>
    </row>
    <row r="8418" customFormat="false" ht="15" hidden="false" customHeight="false" outlineLevel="0" collapsed="false">
      <c r="A8418" s="7" t="s">
        <v>27</v>
      </c>
      <c r="B8418" s="7" t="s">
        <v>185</v>
      </c>
      <c r="C8418" s="7" t="s">
        <v>1053</v>
      </c>
      <c r="D8418" s="7" t="n">
        <v>30</v>
      </c>
      <c r="E8418" s="7" t="n">
        <v>619.95</v>
      </c>
      <c r="F8418" s="7" t="n">
        <v>0</v>
      </c>
      <c r="G8418" s="7" t="n">
        <v>0</v>
      </c>
    </row>
    <row r="8419" customFormat="false" ht="15" hidden="false" customHeight="false" outlineLevel="0" collapsed="false">
      <c r="A8419" s="7" t="s">
        <v>27</v>
      </c>
      <c r="B8419" s="7" t="s">
        <v>650</v>
      </c>
      <c r="C8419" s="7" t="s">
        <v>1088</v>
      </c>
      <c r="D8419" s="7" t="n">
        <v>200</v>
      </c>
      <c r="E8419" s="7" t="n">
        <v>1612.54</v>
      </c>
      <c r="F8419" s="7" t="n">
        <v>0</v>
      </c>
      <c r="G8419" s="7" t="n">
        <v>0</v>
      </c>
    </row>
    <row r="8420" customFormat="false" ht="15" hidden="false" customHeight="false" outlineLevel="0" collapsed="false">
      <c r="A8420" s="7" t="s">
        <v>27</v>
      </c>
      <c r="B8420" s="7" t="s">
        <v>650</v>
      </c>
      <c r="C8420" s="7" t="s">
        <v>1088</v>
      </c>
      <c r="D8420" s="7" t="n">
        <v>0</v>
      </c>
      <c r="E8420" s="7" t="n">
        <v>0</v>
      </c>
      <c r="F8420" s="7" t="n">
        <v>80</v>
      </c>
      <c r="G8420" s="7" t="n">
        <v>605.27</v>
      </c>
    </row>
    <row r="8421" customFormat="false" ht="15" hidden="false" customHeight="false" outlineLevel="0" collapsed="false">
      <c r="A8421" s="7" t="s">
        <v>27</v>
      </c>
      <c r="B8421" s="7" t="s">
        <v>650</v>
      </c>
      <c r="C8421" s="7" t="s">
        <v>1088</v>
      </c>
      <c r="D8421" s="7" t="n">
        <v>130</v>
      </c>
      <c r="E8421" s="7" t="n">
        <v>1102.32</v>
      </c>
      <c r="F8421" s="7" t="n">
        <v>0</v>
      </c>
      <c r="G8421" s="7" t="n">
        <v>0</v>
      </c>
    </row>
    <row r="8422" customFormat="false" ht="15" hidden="false" customHeight="false" outlineLevel="0" collapsed="false">
      <c r="A8422" s="7" t="s">
        <v>27</v>
      </c>
      <c r="B8422" s="7" t="s">
        <v>650</v>
      </c>
      <c r="C8422" s="7" t="s">
        <v>1088</v>
      </c>
      <c r="D8422" s="7" t="n">
        <v>0</v>
      </c>
      <c r="E8422" s="7" t="n">
        <v>0</v>
      </c>
      <c r="F8422" s="7" t="n">
        <v>60</v>
      </c>
      <c r="G8422" s="7" t="n">
        <v>470.84</v>
      </c>
    </row>
    <row r="8423" customFormat="false" ht="15" hidden="false" customHeight="false" outlineLevel="0" collapsed="false">
      <c r="A8423" s="7" t="s">
        <v>27</v>
      </c>
      <c r="B8423" s="7" t="s">
        <v>650</v>
      </c>
      <c r="C8423" s="7" t="s">
        <v>1088</v>
      </c>
      <c r="D8423" s="7" t="n">
        <v>80</v>
      </c>
      <c r="E8423" s="7" t="n">
        <v>646.26</v>
      </c>
      <c r="F8423" s="7" t="n">
        <v>0</v>
      </c>
      <c r="G8423" s="7" t="n">
        <v>0</v>
      </c>
    </row>
    <row r="8424" customFormat="false" ht="15" hidden="false" customHeight="false" outlineLevel="0" collapsed="false">
      <c r="A8424" s="7" t="s">
        <v>27</v>
      </c>
      <c r="B8424" s="7" t="s">
        <v>650</v>
      </c>
      <c r="C8424" s="7" t="s">
        <v>1088</v>
      </c>
      <c r="D8424" s="7" t="n">
        <v>40</v>
      </c>
      <c r="E8424" s="7" t="n">
        <v>353</v>
      </c>
      <c r="F8424" s="7" t="n">
        <v>0</v>
      </c>
      <c r="G8424" s="7" t="n">
        <v>0</v>
      </c>
    </row>
    <row r="8425" customFormat="false" ht="15" hidden="false" customHeight="false" outlineLevel="0" collapsed="false">
      <c r="A8425" s="7" t="s">
        <v>27</v>
      </c>
      <c r="B8425" s="7" t="s">
        <v>650</v>
      </c>
      <c r="C8425" s="7" t="s">
        <v>1088</v>
      </c>
      <c r="D8425" s="7" t="n">
        <v>0</v>
      </c>
      <c r="E8425" s="7" t="n">
        <v>0</v>
      </c>
      <c r="F8425" s="7" t="n">
        <v>100</v>
      </c>
      <c r="G8425" s="7" t="n">
        <v>726.98</v>
      </c>
    </row>
    <row r="8426" customFormat="false" ht="15" hidden="false" customHeight="false" outlineLevel="0" collapsed="false">
      <c r="A8426" s="7" t="s">
        <v>27</v>
      </c>
      <c r="B8426" s="7" t="s">
        <v>650</v>
      </c>
      <c r="C8426" s="7" t="s">
        <v>1088</v>
      </c>
      <c r="D8426" s="7" t="n">
        <v>50</v>
      </c>
      <c r="E8426" s="7" t="n">
        <v>411</v>
      </c>
      <c r="F8426" s="7" t="n">
        <v>0</v>
      </c>
      <c r="G8426" s="7" t="n">
        <v>0</v>
      </c>
    </row>
    <row r="8427" customFormat="false" ht="15" hidden="false" customHeight="false" outlineLevel="0" collapsed="false">
      <c r="A8427" s="7" t="s">
        <v>27</v>
      </c>
      <c r="B8427" s="7" t="s">
        <v>779</v>
      </c>
      <c r="C8427" s="7" t="s">
        <v>1089</v>
      </c>
      <c r="D8427" s="7" t="n">
        <v>180</v>
      </c>
      <c r="E8427" s="7" t="n">
        <v>1248.78</v>
      </c>
      <c r="F8427" s="7" t="n">
        <v>0</v>
      </c>
      <c r="G8427" s="7" t="n">
        <v>0</v>
      </c>
    </row>
    <row r="8428" customFormat="false" ht="15" hidden="false" customHeight="false" outlineLevel="0" collapsed="false">
      <c r="A8428" s="7" t="s">
        <v>27</v>
      </c>
      <c r="B8428" s="7" t="s">
        <v>779</v>
      </c>
      <c r="C8428" s="7" t="s">
        <v>1089</v>
      </c>
      <c r="D8428" s="7" t="n">
        <v>60</v>
      </c>
      <c r="E8428" s="7" t="n">
        <v>424.39</v>
      </c>
      <c r="F8428" s="7" t="n">
        <v>0</v>
      </c>
      <c r="G8428" s="7" t="n">
        <v>0</v>
      </c>
    </row>
    <row r="8429" customFormat="false" ht="15" hidden="false" customHeight="false" outlineLevel="0" collapsed="false">
      <c r="A8429" s="7" t="s">
        <v>27</v>
      </c>
      <c r="B8429" s="7" t="s">
        <v>779</v>
      </c>
      <c r="C8429" s="7" t="s">
        <v>1089</v>
      </c>
      <c r="D8429" s="7" t="n">
        <v>0</v>
      </c>
      <c r="E8429" s="7" t="n">
        <v>0</v>
      </c>
      <c r="F8429" s="7" t="n">
        <v>170</v>
      </c>
      <c r="G8429" s="7" t="n">
        <v>1063.42</v>
      </c>
    </row>
    <row r="8430" customFormat="false" ht="15" hidden="false" customHeight="false" outlineLevel="0" collapsed="false">
      <c r="A8430" s="7" t="s">
        <v>27</v>
      </c>
      <c r="B8430" s="7" t="s">
        <v>779</v>
      </c>
      <c r="C8430" s="7" t="s">
        <v>1089</v>
      </c>
      <c r="D8430" s="7" t="n">
        <v>0</v>
      </c>
      <c r="E8430" s="7" t="n">
        <v>0</v>
      </c>
      <c r="F8430" s="7" t="n">
        <v>30</v>
      </c>
      <c r="G8430" s="7" t="n">
        <v>195.3</v>
      </c>
    </row>
    <row r="8431" customFormat="false" ht="15" hidden="false" customHeight="false" outlineLevel="0" collapsed="false">
      <c r="A8431" s="7" t="s">
        <v>27</v>
      </c>
      <c r="B8431" s="7" t="s">
        <v>779</v>
      </c>
      <c r="C8431" s="7" t="s">
        <v>1089</v>
      </c>
      <c r="D8431" s="7" t="n">
        <v>120</v>
      </c>
      <c r="E8431" s="7" t="n">
        <v>834.12</v>
      </c>
      <c r="F8431" s="7" t="n">
        <v>0</v>
      </c>
      <c r="G8431" s="7" t="n">
        <v>0</v>
      </c>
    </row>
    <row r="8432" customFormat="false" ht="15" hidden="false" customHeight="false" outlineLevel="0" collapsed="false">
      <c r="A8432" s="7" t="s">
        <v>27</v>
      </c>
      <c r="B8432" s="7" t="s">
        <v>779</v>
      </c>
      <c r="C8432" s="7" t="s">
        <v>1089</v>
      </c>
      <c r="D8432" s="7" t="n">
        <v>130</v>
      </c>
      <c r="E8432" s="7" t="n">
        <v>948.51</v>
      </c>
      <c r="F8432" s="7" t="n">
        <v>0</v>
      </c>
      <c r="G8432" s="7" t="n">
        <v>0</v>
      </c>
    </row>
    <row r="8433" customFormat="false" ht="15" hidden="false" customHeight="false" outlineLevel="0" collapsed="false">
      <c r="A8433" s="7" t="s">
        <v>27</v>
      </c>
      <c r="B8433" s="7" t="s">
        <v>779</v>
      </c>
      <c r="C8433" s="7" t="s">
        <v>1089</v>
      </c>
      <c r="D8433" s="7" t="n">
        <v>0</v>
      </c>
      <c r="E8433" s="7" t="n">
        <v>0</v>
      </c>
      <c r="F8433" s="7" t="n">
        <v>60</v>
      </c>
      <c r="G8433" s="7" t="n">
        <v>405.14</v>
      </c>
    </row>
    <row r="8434" customFormat="false" ht="15" hidden="false" customHeight="false" outlineLevel="0" collapsed="false">
      <c r="A8434" s="7" t="s">
        <v>27</v>
      </c>
      <c r="B8434" s="7" t="s">
        <v>779</v>
      </c>
      <c r="C8434" s="7" t="s">
        <v>1089</v>
      </c>
      <c r="D8434" s="7" t="n">
        <v>120</v>
      </c>
      <c r="E8434" s="7" t="n">
        <v>911.22</v>
      </c>
      <c r="F8434" s="7" t="n">
        <v>0</v>
      </c>
      <c r="G8434" s="7" t="n">
        <v>0</v>
      </c>
    </row>
    <row r="8435" customFormat="false" ht="15" hidden="false" customHeight="false" outlineLevel="0" collapsed="false">
      <c r="A8435" s="7" t="s">
        <v>27</v>
      </c>
      <c r="B8435" s="7" t="s">
        <v>516</v>
      </c>
      <c r="C8435" s="7" t="s">
        <v>1171</v>
      </c>
      <c r="D8435" s="7" t="n">
        <v>0</v>
      </c>
      <c r="E8435" s="7" t="n">
        <v>0</v>
      </c>
      <c r="F8435" s="7" t="n">
        <v>120</v>
      </c>
      <c r="G8435" s="7" t="n">
        <v>912.95</v>
      </c>
    </row>
    <row r="8436" customFormat="false" ht="15" hidden="false" customHeight="false" outlineLevel="0" collapsed="false">
      <c r="A8436" s="7" t="s">
        <v>27</v>
      </c>
      <c r="B8436" s="7" t="s">
        <v>516</v>
      </c>
      <c r="C8436" s="7" t="s">
        <v>1171</v>
      </c>
      <c r="D8436" s="7" t="n">
        <v>0</v>
      </c>
      <c r="E8436" s="7" t="n">
        <v>0</v>
      </c>
      <c r="F8436" s="7" t="n">
        <v>50</v>
      </c>
      <c r="G8436" s="7" t="n">
        <v>410.61</v>
      </c>
    </row>
    <row r="8437" customFormat="false" ht="15" hidden="false" customHeight="false" outlineLevel="0" collapsed="false">
      <c r="A8437" s="7" t="s">
        <v>27</v>
      </c>
      <c r="B8437" s="7" t="s">
        <v>516</v>
      </c>
      <c r="C8437" s="7" t="s">
        <v>1171</v>
      </c>
      <c r="D8437" s="7" t="n">
        <v>200</v>
      </c>
      <c r="E8437" s="7" t="n">
        <v>1774.76</v>
      </c>
      <c r="F8437" s="7" t="n">
        <v>0</v>
      </c>
      <c r="G8437" s="7" t="n">
        <v>0</v>
      </c>
    </row>
    <row r="8438" customFormat="false" ht="15" hidden="false" customHeight="false" outlineLevel="0" collapsed="false">
      <c r="A8438" s="7" t="s">
        <v>27</v>
      </c>
      <c r="B8438" s="7" t="s">
        <v>516</v>
      </c>
      <c r="C8438" s="7" t="s">
        <v>1171</v>
      </c>
      <c r="D8438" s="7" t="n">
        <v>0</v>
      </c>
      <c r="E8438" s="7" t="n">
        <v>0</v>
      </c>
      <c r="F8438" s="7" t="n">
        <v>100</v>
      </c>
      <c r="G8438" s="7" t="n">
        <v>791.78</v>
      </c>
    </row>
    <row r="8439" customFormat="false" ht="15" hidden="false" customHeight="false" outlineLevel="0" collapsed="false">
      <c r="A8439" s="7" t="s">
        <v>27</v>
      </c>
      <c r="B8439" s="7" t="s">
        <v>516</v>
      </c>
      <c r="C8439" s="7" t="s">
        <v>1171</v>
      </c>
      <c r="D8439" s="7" t="n">
        <v>60</v>
      </c>
      <c r="E8439" s="7" t="n">
        <v>554.12</v>
      </c>
      <c r="F8439" s="7" t="n">
        <v>0</v>
      </c>
      <c r="G8439" s="7" t="n">
        <v>0</v>
      </c>
    </row>
    <row r="8440" customFormat="false" ht="15" hidden="false" customHeight="false" outlineLevel="0" collapsed="false">
      <c r="A8440" s="7" t="s">
        <v>27</v>
      </c>
      <c r="B8440" s="7" t="s">
        <v>516</v>
      </c>
      <c r="C8440" s="7" t="s">
        <v>1171</v>
      </c>
      <c r="D8440" s="7" t="n">
        <v>180</v>
      </c>
      <c r="E8440" s="7" t="n">
        <v>1518.79</v>
      </c>
      <c r="F8440" s="7" t="n">
        <v>0</v>
      </c>
      <c r="G8440" s="7" t="n">
        <v>0</v>
      </c>
    </row>
    <row r="8441" customFormat="false" ht="15" hidden="false" customHeight="false" outlineLevel="0" collapsed="false">
      <c r="A8441" s="7" t="s">
        <v>27</v>
      </c>
      <c r="B8441" s="7" t="s">
        <v>516</v>
      </c>
      <c r="C8441" s="7" t="s">
        <v>1171</v>
      </c>
      <c r="D8441" s="7" t="n">
        <v>80</v>
      </c>
      <c r="E8441" s="7" t="n">
        <v>688.19</v>
      </c>
      <c r="F8441" s="7" t="n">
        <v>0</v>
      </c>
      <c r="G8441" s="7" t="n">
        <v>0</v>
      </c>
    </row>
    <row r="8442" customFormat="false" ht="15" hidden="false" customHeight="false" outlineLevel="0" collapsed="false">
      <c r="A8442" s="7" t="s">
        <v>27</v>
      </c>
      <c r="B8442" s="7" t="s">
        <v>516</v>
      </c>
      <c r="C8442" s="7" t="s">
        <v>1171</v>
      </c>
      <c r="D8442" s="7" t="n">
        <v>100</v>
      </c>
      <c r="E8442" s="7" t="n">
        <v>845.39</v>
      </c>
      <c r="F8442" s="7" t="n">
        <v>0</v>
      </c>
      <c r="G8442" s="7" t="n">
        <v>0</v>
      </c>
    </row>
    <row r="8443" customFormat="false" ht="15" hidden="false" customHeight="false" outlineLevel="0" collapsed="false">
      <c r="A8443" s="7" t="s">
        <v>27</v>
      </c>
      <c r="B8443" s="7" t="s">
        <v>515</v>
      </c>
      <c r="C8443" s="7" t="s">
        <v>1226</v>
      </c>
      <c r="D8443" s="7" t="n">
        <v>0</v>
      </c>
      <c r="E8443" s="7" t="n">
        <v>0</v>
      </c>
      <c r="F8443" s="7" t="n">
        <v>30</v>
      </c>
      <c r="G8443" s="7" t="n">
        <v>224.47</v>
      </c>
    </row>
    <row r="8444" customFormat="false" ht="15" hidden="false" customHeight="false" outlineLevel="0" collapsed="false">
      <c r="A8444" s="7" t="s">
        <v>27</v>
      </c>
      <c r="B8444" s="7" t="s">
        <v>515</v>
      </c>
      <c r="C8444" s="7" t="s">
        <v>1226</v>
      </c>
      <c r="D8444" s="7" t="n">
        <v>30</v>
      </c>
      <c r="E8444" s="7" t="n">
        <v>235.13</v>
      </c>
      <c r="F8444" s="7" t="n">
        <v>0</v>
      </c>
      <c r="G8444" s="7" t="n">
        <v>0</v>
      </c>
    </row>
    <row r="8445" customFormat="false" ht="15" hidden="false" customHeight="false" outlineLevel="0" collapsed="false">
      <c r="A8445" s="7" t="s">
        <v>27</v>
      </c>
      <c r="B8445" s="7" t="s">
        <v>515</v>
      </c>
      <c r="C8445" s="7" t="s">
        <v>1226</v>
      </c>
      <c r="D8445" s="7" t="n">
        <v>40</v>
      </c>
      <c r="E8445" s="7" t="n">
        <v>307.51</v>
      </c>
      <c r="F8445" s="7" t="n">
        <v>0</v>
      </c>
      <c r="G8445" s="7" t="n">
        <v>0</v>
      </c>
    </row>
    <row r="8446" customFormat="false" ht="15" hidden="false" customHeight="false" outlineLevel="0" collapsed="false">
      <c r="A8446" s="7" t="s">
        <v>27</v>
      </c>
      <c r="B8446" s="7" t="s">
        <v>515</v>
      </c>
      <c r="C8446" s="7" t="s">
        <v>1226</v>
      </c>
      <c r="D8446" s="7" t="n">
        <v>0</v>
      </c>
      <c r="E8446" s="7" t="n">
        <v>0</v>
      </c>
      <c r="F8446" s="7" t="n">
        <v>30</v>
      </c>
      <c r="G8446" s="7" t="n">
        <v>207.95</v>
      </c>
    </row>
    <row r="8447" customFormat="false" ht="15" hidden="false" customHeight="false" outlineLevel="0" collapsed="false">
      <c r="A8447" s="7" t="s">
        <v>27</v>
      </c>
      <c r="B8447" s="7" t="s">
        <v>515</v>
      </c>
      <c r="C8447" s="7" t="s">
        <v>1226</v>
      </c>
      <c r="D8447" s="7" t="n">
        <v>0</v>
      </c>
      <c r="E8447" s="7" t="n">
        <v>0</v>
      </c>
      <c r="F8447" s="7" t="n">
        <v>30</v>
      </c>
      <c r="G8447" s="7" t="n">
        <v>216.42</v>
      </c>
    </row>
    <row r="8448" customFormat="false" ht="15" hidden="false" customHeight="false" outlineLevel="0" collapsed="false">
      <c r="A8448" s="7" t="s">
        <v>27</v>
      </c>
      <c r="B8448" s="7" t="s">
        <v>515</v>
      </c>
      <c r="C8448" s="7" t="s">
        <v>1226</v>
      </c>
      <c r="D8448" s="7" t="n">
        <v>50</v>
      </c>
      <c r="E8448" s="7" t="n">
        <v>385.12</v>
      </c>
      <c r="F8448" s="7" t="n">
        <v>0</v>
      </c>
      <c r="G8448" s="7" t="n">
        <v>0</v>
      </c>
    </row>
    <row r="8449" customFormat="false" ht="15" hidden="false" customHeight="false" outlineLevel="0" collapsed="false">
      <c r="A8449" s="7" t="s">
        <v>27</v>
      </c>
      <c r="B8449" s="7" t="s">
        <v>515</v>
      </c>
      <c r="C8449" s="7" t="s">
        <v>1226</v>
      </c>
      <c r="D8449" s="7" t="n">
        <v>50</v>
      </c>
      <c r="E8449" s="7" t="n">
        <v>404.25</v>
      </c>
      <c r="F8449" s="7" t="n">
        <v>0</v>
      </c>
      <c r="G8449" s="7" t="n">
        <v>0</v>
      </c>
    </row>
    <row r="8450" customFormat="false" ht="15" hidden="false" customHeight="false" outlineLevel="0" collapsed="false">
      <c r="A8450" s="7" t="s">
        <v>27</v>
      </c>
      <c r="B8450" s="7" t="s">
        <v>515</v>
      </c>
      <c r="C8450" s="7" t="s">
        <v>1226</v>
      </c>
      <c r="D8450" s="7" t="n">
        <v>70</v>
      </c>
      <c r="E8450" s="7" t="n">
        <v>589.01</v>
      </c>
      <c r="F8450" s="7" t="n">
        <v>0</v>
      </c>
      <c r="G8450" s="7" t="n">
        <v>0</v>
      </c>
    </row>
    <row r="8451" customFormat="false" ht="15" hidden="false" customHeight="false" outlineLevel="0" collapsed="false">
      <c r="A8451" s="7" t="s">
        <v>27</v>
      </c>
      <c r="B8451" s="7" t="s">
        <v>225</v>
      </c>
      <c r="C8451" s="7" t="s">
        <v>1091</v>
      </c>
      <c r="D8451" s="7" t="n">
        <v>180</v>
      </c>
      <c r="E8451" s="7" t="n">
        <v>2565.07</v>
      </c>
      <c r="F8451" s="7" t="n">
        <v>0</v>
      </c>
      <c r="G8451" s="7" t="n">
        <v>0</v>
      </c>
    </row>
    <row r="8452" customFormat="false" ht="15" hidden="false" customHeight="false" outlineLevel="0" collapsed="false">
      <c r="A8452" s="7" t="s">
        <v>27</v>
      </c>
      <c r="B8452" s="7" t="s">
        <v>225</v>
      </c>
      <c r="C8452" s="7" t="s">
        <v>1091</v>
      </c>
      <c r="D8452" s="7" t="n">
        <v>50</v>
      </c>
      <c r="E8452" s="7" t="n">
        <v>726.43</v>
      </c>
      <c r="F8452" s="7" t="n">
        <v>0</v>
      </c>
      <c r="G8452" s="7" t="n">
        <v>0</v>
      </c>
    </row>
    <row r="8453" customFormat="false" ht="15" hidden="false" customHeight="false" outlineLevel="0" collapsed="false">
      <c r="A8453" s="7" t="s">
        <v>27</v>
      </c>
      <c r="B8453" s="7" t="s">
        <v>225</v>
      </c>
      <c r="C8453" s="7" t="s">
        <v>1091</v>
      </c>
      <c r="D8453" s="7" t="n">
        <v>70</v>
      </c>
      <c r="E8453" s="7" t="n">
        <v>999.44</v>
      </c>
      <c r="F8453" s="7" t="n">
        <v>0</v>
      </c>
      <c r="G8453" s="7" t="n">
        <v>0</v>
      </c>
    </row>
    <row r="8454" customFormat="false" ht="15" hidden="false" customHeight="false" outlineLevel="0" collapsed="false">
      <c r="A8454" s="7" t="s">
        <v>27</v>
      </c>
      <c r="B8454" s="7" t="s">
        <v>225</v>
      </c>
      <c r="C8454" s="7" t="s">
        <v>1091</v>
      </c>
      <c r="D8454" s="7" t="n">
        <v>40</v>
      </c>
      <c r="E8454" s="7" t="n">
        <v>623.9</v>
      </c>
      <c r="F8454" s="7" t="n">
        <v>0</v>
      </c>
      <c r="G8454" s="7" t="n">
        <v>0</v>
      </c>
    </row>
    <row r="8455" customFormat="false" ht="15" hidden="false" customHeight="false" outlineLevel="0" collapsed="false">
      <c r="A8455" s="7" t="s">
        <v>27</v>
      </c>
      <c r="B8455" s="7" t="s">
        <v>225</v>
      </c>
      <c r="C8455" s="7" t="s">
        <v>1091</v>
      </c>
      <c r="D8455" s="7" t="n">
        <v>0</v>
      </c>
      <c r="E8455" s="7" t="n">
        <v>0</v>
      </c>
      <c r="F8455" s="7" t="n">
        <v>50</v>
      </c>
      <c r="G8455" s="7" t="n">
        <v>693.48</v>
      </c>
    </row>
    <row r="8456" customFormat="false" ht="15" hidden="false" customHeight="false" outlineLevel="0" collapsed="false">
      <c r="A8456" s="7" t="s">
        <v>27</v>
      </c>
      <c r="B8456" s="7" t="s">
        <v>225</v>
      </c>
      <c r="C8456" s="7" t="s">
        <v>1091</v>
      </c>
      <c r="D8456" s="7" t="n">
        <v>120</v>
      </c>
      <c r="E8456" s="7" t="n">
        <v>1798.42</v>
      </c>
      <c r="F8456" s="7" t="n">
        <v>0</v>
      </c>
      <c r="G8456" s="7" t="n">
        <v>0</v>
      </c>
    </row>
    <row r="8457" customFormat="false" ht="15" hidden="false" customHeight="false" outlineLevel="0" collapsed="false">
      <c r="A8457" s="7" t="s">
        <v>27</v>
      </c>
      <c r="B8457" s="7" t="s">
        <v>225</v>
      </c>
      <c r="C8457" s="7" t="s">
        <v>1091</v>
      </c>
      <c r="D8457" s="7" t="n">
        <v>0</v>
      </c>
      <c r="E8457" s="7" t="n">
        <v>0</v>
      </c>
      <c r="F8457" s="7" t="n">
        <v>80</v>
      </c>
      <c r="G8457" s="7" t="n">
        <v>1069.78</v>
      </c>
    </row>
    <row r="8458" customFormat="false" ht="15" hidden="false" customHeight="false" outlineLevel="0" collapsed="false">
      <c r="A8458" s="7" t="s">
        <v>27</v>
      </c>
      <c r="B8458" s="7" t="s">
        <v>225</v>
      </c>
      <c r="C8458" s="7" t="s">
        <v>1091</v>
      </c>
      <c r="D8458" s="7" t="n">
        <v>0</v>
      </c>
      <c r="E8458" s="7" t="n">
        <v>0</v>
      </c>
      <c r="F8458" s="7" t="n">
        <v>150</v>
      </c>
      <c r="G8458" s="7" t="n">
        <v>1927.34</v>
      </c>
    </row>
    <row r="8459" customFormat="false" ht="15" hidden="false" customHeight="false" outlineLevel="0" collapsed="false">
      <c r="A8459" s="7" t="s">
        <v>27</v>
      </c>
      <c r="B8459" s="7" t="s">
        <v>504</v>
      </c>
      <c r="C8459" s="7" t="s">
        <v>1172</v>
      </c>
      <c r="D8459" s="7" t="n">
        <v>30</v>
      </c>
      <c r="E8459" s="7" t="n">
        <v>332.63</v>
      </c>
      <c r="F8459" s="7" t="n">
        <v>0</v>
      </c>
      <c r="G8459" s="7" t="n">
        <v>0</v>
      </c>
    </row>
    <row r="8460" customFormat="false" ht="15" hidden="false" customHeight="false" outlineLevel="0" collapsed="false">
      <c r="A8460" s="7" t="s">
        <v>27</v>
      </c>
      <c r="B8460" s="7" t="s">
        <v>504</v>
      </c>
      <c r="C8460" s="7" t="s">
        <v>1172</v>
      </c>
      <c r="D8460" s="7" t="n">
        <v>0</v>
      </c>
      <c r="E8460" s="7" t="n">
        <v>0</v>
      </c>
      <c r="F8460" s="7" t="n">
        <v>30</v>
      </c>
      <c r="G8460" s="7" t="n">
        <v>294.17</v>
      </c>
    </row>
    <row r="8461" customFormat="false" ht="15" hidden="false" customHeight="false" outlineLevel="0" collapsed="false">
      <c r="A8461" s="7" t="s">
        <v>27</v>
      </c>
      <c r="B8461" s="7" t="s">
        <v>504</v>
      </c>
      <c r="C8461" s="7" t="s">
        <v>1172</v>
      </c>
      <c r="D8461" s="7" t="n">
        <v>0</v>
      </c>
      <c r="E8461" s="7" t="n">
        <v>0</v>
      </c>
      <c r="F8461" s="7" t="n">
        <v>40</v>
      </c>
      <c r="G8461" s="7" t="n">
        <v>423.39</v>
      </c>
    </row>
    <row r="8462" customFormat="false" ht="15" hidden="false" customHeight="false" outlineLevel="0" collapsed="false">
      <c r="A8462" s="7" t="s">
        <v>27</v>
      </c>
      <c r="B8462" s="7" t="s">
        <v>504</v>
      </c>
      <c r="C8462" s="7" t="s">
        <v>1172</v>
      </c>
      <c r="D8462" s="7" t="n">
        <v>100</v>
      </c>
      <c r="E8462" s="7" t="n">
        <v>1190.34</v>
      </c>
      <c r="F8462" s="7" t="n">
        <v>0</v>
      </c>
      <c r="G8462" s="7" t="n">
        <v>0</v>
      </c>
    </row>
    <row r="8463" customFormat="false" ht="15" hidden="false" customHeight="false" outlineLevel="0" collapsed="false">
      <c r="A8463" s="7" t="s">
        <v>27</v>
      </c>
      <c r="B8463" s="7" t="s">
        <v>504</v>
      </c>
      <c r="C8463" s="7" t="s">
        <v>1172</v>
      </c>
      <c r="D8463" s="7" t="n">
        <v>70</v>
      </c>
      <c r="E8463" s="7" t="n">
        <v>761.27</v>
      </c>
      <c r="F8463" s="7" t="n">
        <v>0</v>
      </c>
      <c r="G8463" s="7" t="n">
        <v>0</v>
      </c>
    </row>
    <row r="8464" customFormat="false" ht="15" hidden="false" customHeight="false" outlineLevel="0" collapsed="false">
      <c r="A8464" s="7" t="s">
        <v>27</v>
      </c>
      <c r="B8464" s="7" t="s">
        <v>504</v>
      </c>
      <c r="C8464" s="7" t="s">
        <v>1172</v>
      </c>
      <c r="D8464" s="7" t="n">
        <v>50</v>
      </c>
      <c r="E8464" s="7" t="n">
        <v>571.87</v>
      </c>
      <c r="F8464" s="7" t="n">
        <v>0</v>
      </c>
      <c r="G8464" s="7" t="n">
        <v>0</v>
      </c>
    </row>
    <row r="8465" customFormat="false" ht="15" hidden="false" customHeight="false" outlineLevel="0" collapsed="false">
      <c r="A8465" s="7" t="s">
        <v>27</v>
      </c>
      <c r="B8465" s="7" t="s">
        <v>504</v>
      </c>
      <c r="C8465" s="7" t="s">
        <v>1172</v>
      </c>
      <c r="D8465" s="7" t="n">
        <v>0</v>
      </c>
      <c r="E8465" s="7" t="n">
        <v>0</v>
      </c>
      <c r="F8465" s="7" t="n">
        <v>30</v>
      </c>
      <c r="G8465" s="7" t="n">
        <v>306.15</v>
      </c>
    </row>
    <row r="8466" customFormat="false" ht="15" hidden="false" customHeight="false" outlineLevel="0" collapsed="false">
      <c r="A8466" s="7" t="s">
        <v>27</v>
      </c>
      <c r="B8466" s="7" t="s">
        <v>504</v>
      </c>
      <c r="C8466" s="7" t="s">
        <v>1172</v>
      </c>
      <c r="D8466" s="7" t="n">
        <v>50</v>
      </c>
      <c r="E8466" s="7" t="n">
        <v>544.81</v>
      </c>
      <c r="F8466" s="7" t="n">
        <v>0</v>
      </c>
      <c r="G8466" s="7" t="n">
        <v>0</v>
      </c>
    </row>
    <row r="8467" customFormat="false" ht="15" hidden="false" customHeight="false" outlineLevel="0" collapsed="false">
      <c r="A8467" s="7" t="s">
        <v>27</v>
      </c>
      <c r="B8467" s="7" t="s">
        <v>740</v>
      </c>
      <c r="C8467" s="7" t="s">
        <v>1173</v>
      </c>
      <c r="D8467" s="7" t="n">
        <v>50</v>
      </c>
      <c r="E8467" s="7" t="n">
        <v>770.25</v>
      </c>
      <c r="F8467" s="7" t="n">
        <v>0</v>
      </c>
      <c r="G8467" s="7" t="n">
        <v>0</v>
      </c>
    </row>
    <row r="8468" customFormat="false" ht="15" hidden="false" customHeight="false" outlineLevel="0" collapsed="false">
      <c r="A8468" s="7" t="s">
        <v>27</v>
      </c>
      <c r="B8468" s="7" t="s">
        <v>740</v>
      </c>
      <c r="C8468" s="7" t="s">
        <v>1173</v>
      </c>
      <c r="D8468" s="7" t="n">
        <v>0</v>
      </c>
      <c r="E8468" s="7" t="n">
        <v>0</v>
      </c>
      <c r="F8468" s="7" t="n">
        <v>30</v>
      </c>
      <c r="G8468" s="7" t="n">
        <v>432.84</v>
      </c>
    </row>
    <row r="8469" customFormat="false" ht="15" hidden="false" customHeight="false" outlineLevel="0" collapsed="false">
      <c r="A8469" s="7" t="s">
        <v>27</v>
      </c>
      <c r="B8469" s="7" t="s">
        <v>740</v>
      </c>
      <c r="C8469" s="7" t="s">
        <v>1173</v>
      </c>
      <c r="D8469" s="7" t="n">
        <v>50</v>
      </c>
      <c r="E8469" s="7" t="n">
        <v>808.5</v>
      </c>
      <c r="F8469" s="7" t="n">
        <v>0</v>
      </c>
      <c r="G8469" s="7" t="n">
        <v>0</v>
      </c>
    </row>
    <row r="8470" customFormat="false" ht="15" hidden="false" customHeight="false" outlineLevel="0" collapsed="false">
      <c r="A8470" s="7" t="s">
        <v>27</v>
      </c>
      <c r="B8470" s="7" t="s">
        <v>740</v>
      </c>
      <c r="C8470" s="7" t="s">
        <v>1173</v>
      </c>
      <c r="D8470" s="7" t="n">
        <v>110</v>
      </c>
      <c r="E8470" s="7" t="n">
        <v>1851.17</v>
      </c>
      <c r="F8470" s="7" t="n">
        <v>0</v>
      </c>
      <c r="G8470" s="7" t="n">
        <v>0</v>
      </c>
    </row>
    <row r="8471" customFormat="false" ht="15" hidden="false" customHeight="false" outlineLevel="0" collapsed="false">
      <c r="A8471" s="7" t="s">
        <v>27</v>
      </c>
      <c r="B8471" s="7" t="s">
        <v>740</v>
      </c>
      <c r="C8471" s="7" t="s">
        <v>1173</v>
      </c>
      <c r="D8471" s="7" t="n">
        <v>70</v>
      </c>
      <c r="E8471" s="7" t="n">
        <v>1076.28</v>
      </c>
      <c r="F8471" s="7" t="n">
        <v>0</v>
      </c>
      <c r="G8471" s="7" t="n">
        <v>0</v>
      </c>
    </row>
    <row r="8472" customFormat="false" ht="15" hidden="false" customHeight="false" outlineLevel="0" collapsed="false">
      <c r="A8472" s="7" t="s">
        <v>27</v>
      </c>
      <c r="B8472" s="7" t="s">
        <v>740</v>
      </c>
      <c r="C8472" s="7" t="s">
        <v>1173</v>
      </c>
      <c r="D8472" s="7" t="n">
        <v>0</v>
      </c>
      <c r="E8472" s="7" t="n">
        <v>0</v>
      </c>
      <c r="F8472" s="7" t="n">
        <v>70</v>
      </c>
      <c r="G8472" s="7" t="n">
        <v>970.43</v>
      </c>
    </row>
    <row r="8473" customFormat="false" ht="15" hidden="false" customHeight="false" outlineLevel="0" collapsed="false">
      <c r="A8473" s="7" t="s">
        <v>27</v>
      </c>
      <c r="B8473" s="7" t="s">
        <v>387</v>
      </c>
      <c r="C8473" s="7" t="s">
        <v>1095</v>
      </c>
      <c r="D8473" s="7" t="n">
        <v>0</v>
      </c>
      <c r="E8473" s="7" t="n">
        <v>0</v>
      </c>
      <c r="F8473" s="7" t="n">
        <v>60</v>
      </c>
      <c r="G8473" s="7" t="n">
        <v>628.92</v>
      </c>
    </row>
    <row r="8474" customFormat="false" ht="15" hidden="false" customHeight="false" outlineLevel="0" collapsed="false">
      <c r="A8474" s="7" t="s">
        <v>27</v>
      </c>
      <c r="B8474" s="7" t="s">
        <v>387</v>
      </c>
      <c r="C8474" s="7" t="s">
        <v>1095</v>
      </c>
      <c r="D8474" s="7" t="n">
        <v>10</v>
      </c>
      <c r="E8474" s="7" t="n">
        <v>116.48</v>
      </c>
      <c r="F8474" s="7" t="n">
        <v>0</v>
      </c>
      <c r="G8474" s="7" t="n">
        <v>0</v>
      </c>
    </row>
    <row r="8475" customFormat="false" ht="15" hidden="false" customHeight="false" outlineLevel="0" collapsed="false">
      <c r="A8475" s="7" t="s">
        <v>27</v>
      </c>
      <c r="B8475" s="7" t="s">
        <v>387</v>
      </c>
      <c r="C8475" s="7" t="s">
        <v>1095</v>
      </c>
      <c r="D8475" s="7" t="n">
        <v>30</v>
      </c>
      <c r="E8475" s="7" t="n">
        <v>355.57</v>
      </c>
      <c r="F8475" s="7" t="n">
        <v>0</v>
      </c>
      <c r="G8475" s="7" t="n">
        <v>0</v>
      </c>
    </row>
    <row r="8476" customFormat="false" ht="15" hidden="false" customHeight="false" outlineLevel="0" collapsed="false">
      <c r="A8476" s="7" t="s">
        <v>27</v>
      </c>
      <c r="B8476" s="7" t="s">
        <v>387</v>
      </c>
      <c r="C8476" s="7" t="s">
        <v>1095</v>
      </c>
      <c r="D8476" s="7" t="n">
        <v>60</v>
      </c>
      <c r="E8476" s="7" t="n">
        <v>733.57</v>
      </c>
      <c r="F8476" s="7" t="n">
        <v>0</v>
      </c>
      <c r="G8476" s="7" t="n">
        <v>0</v>
      </c>
    </row>
    <row r="8477" customFormat="false" ht="15" hidden="false" customHeight="false" outlineLevel="0" collapsed="false">
      <c r="A8477" s="7" t="s">
        <v>27</v>
      </c>
      <c r="B8477" s="7" t="s">
        <v>387</v>
      </c>
      <c r="C8477" s="7" t="s">
        <v>1095</v>
      </c>
      <c r="D8477" s="7" t="n">
        <v>0</v>
      </c>
      <c r="E8477" s="7" t="n">
        <v>0</v>
      </c>
      <c r="F8477" s="7" t="n">
        <v>30</v>
      </c>
      <c r="G8477" s="7" t="n">
        <v>327.27</v>
      </c>
    </row>
    <row r="8478" customFormat="false" ht="15" hidden="false" customHeight="false" outlineLevel="0" collapsed="false">
      <c r="A8478" s="7" t="s">
        <v>27</v>
      </c>
      <c r="B8478" s="7" t="s">
        <v>387</v>
      </c>
      <c r="C8478" s="7" t="s">
        <v>1095</v>
      </c>
      <c r="D8478" s="7" t="n">
        <v>0</v>
      </c>
      <c r="E8478" s="7" t="n">
        <v>0</v>
      </c>
      <c r="F8478" s="7" t="n">
        <v>40</v>
      </c>
      <c r="G8478" s="7" t="n">
        <v>452.59</v>
      </c>
    </row>
    <row r="8479" customFormat="false" ht="15" hidden="false" customHeight="false" outlineLevel="0" collapsed="false">
      <c r="A8479" s="7" t="s">
        <v>27</v>
      </c>
      <c r="B8479" s="7" t="s">
        <v>387</v>
      </c>
      <c r="C8479" s="7" t="s">
        <v>1095</v>
      </c>
      <c r="D8479" s="7" t="n">
        <v>70</v>
      </c>
      <c r="E8479" s="7" t="n">
        <v>890.7</v>
      </c>
      <c r="F8479" s="7" t="n">
        <v>0</v>
      </c>
      <c r="G8479" s="7" t="n">
        <v>0</v>
      </c>
    </row>
    <row r="8480" customFormat="false" ht="15" hidden="false" customHeight="false" outlineLevel="0" collapsed="false">
      <c r="A8480" s="7" t="s">
        <v>27</v>
      </c>
      <c r="B8480" s="7" t="s">
        <v>387</v>
      </c>
      <c r="C8480" s="7" t="s">
        <v>1095</v>
      </c>
      <c r="D8480" s="7" t="n">
        <v>50</v>
      </c>
      <c r="E8480" s="7" t="n">
        <v>581.27</v>
      </c>
      <c r="F8480" s="7" t="n">
        <v>0</v>
      </c>
      <c r="G8480" s="7" t="n">
        <v>0</v>
      </c>
    </row>
    <row r="8481" customFormat="false" ht="15" hidden="false" customHeight="false" outlineLevel="0" collapsed="false">
      <c r="A8481" s="7" t="s">
        <v>27</v>
      </c>
      <c r="B8481" s="7" t="s">
        <v>367</v>
      </c>
      <c r="C8481" s="7" t="s">
        <v>1095</v>
      </c>
      <c r="D8481" s="7" t="n">
        <v>120</v>
      </c>
      <c r="E8481" s="7" t="n">
        <v>1797.82</v>
      </c>
      <c r="F8481" s="7" t="n">
        <v>0</v>
      </c>
      <c r="G8481" s="7" t="n">
        <v>0</v>
      </c>
    </row>
    <row r="8482" customFormat="false" ht="15" hidden="false" customHeight="false" outlineLevel="0" collapsed="false">
      <c r="A8482" s="7" t="s">
        <v>27</v>
      </c>
      <c r="B8482" s="7" t="s">
        <v>367</v>
      </c>
      <c r="C8482" s="7" t="s">
        <v>1095</v>
      </c>
      <c r="D8482" s="7" t="n">
        <v>0</v>
      </c>
      <c r="E8482" s="7" t="n">
        <v>0</v>
      </c>
      <c r="F8482" s="7" t="n">
        <v>60</v>
      </c>
      <c r="G8482" s="7" t="n">
        <v>799.33</v>
      </c>
    </row>
    <row r="8483" customFormat="false" ht="15" hidden="false" customHeight="false" outlineLevel="0" collapsed="false">
      <c r="A8483" s="7" t="s">
        <v>27</v>
      </c>
      <c r="B8483" s="7" t="s">
        <v>367</v>
      </c>
      <c r="C8483" s="7" t="s">
        <v>1095</v>
      </c>
      <c r="D8483" s="7" t="n">
        <v>70</v>
      </c>
      <c r="E8483" s="7" t="n">
        <v>1007.67</v>
      </c>
      <c r="F8483" s="7" t="n">
        <v>0</v>
      </c>
      <c r="G8483" s="7" t="n">
        <v>0</v>
      </c>
    </row>
    <row r="8484" customFormat="false" ht="15" hidden="false" customHeight="false" outlineLevel="0" collapsed="false">
      <c r="A8484" s="7" t="s">
        <v>27</v>
      </c>
      <c r="B8484" s="7" t="s">
        <v>367</v>
      </c>
      <c r="C8484" s="7" t="s">
        <v>1095</v>
      </c>
      <c r="D8484" s="7" t="n">
        <v>80</v>
      </c>
      <c r="E8484" s="7" t="n">
        <v>1095.03</v>
      </c>
      <c r="F8484" s="7" t="n">
        <v>0</v>
      </c>
      <c r="G8484" s="7" t="n">
        <v>0</v>
      </c>
    </row>
    <row r="8485" customFormat="false" ht="15" hidden="false" customHeight="false" outlineLevel="0" collapsed="false">
      <c r="A8485" s="7" t="s">
        <v>27</v>
      </c>
      <c r="B8485" s="7" t="s">
        <v>367</v>
      </c>
      <c r="C8485" s="7" t="s">
        <v>1095</v>
      </c>
      <c r="D8485" s="7" t="n">
        <v>80</v>
      </c>
      <c r="E8485" s="7" t="n">
        <v>1116.4</v>
      </c>
      <c r="F8485" s="7" t="n">
        <v>0</v>
      </c>
      <c r="G8485" s="7" t="n">
        <v>0</v>
      </c>
    </row>
    <row r="8486" customFormat="false" ht="15" hidden="false" customHeight="false" outlineLevel="0" collapsed="false">
      <c r="A8486" s="7" t="s">
        <v>27</v>
      </c>
      <c r="B8486" s="7" t="s">
        <v>367</v>
      </c>
      <c r="C8486" s="7" t="s">
        <v>1095</v>
      </c>
      <c r="D8486" s="7" t="n">
        <v>60</v>
      </c>
      <c r="E8486" s="7" t="n">
        <v>822.85</v>
      </c>
      <c r="F8486" s="7" t="n">
        <v>0</v>
      </c>
      <c r="G8486" s="7" t="n">
        <v>0</v>
      </c>
    </row>
    <row r="8487" customFormat="false" ht="15" hidden="false" customHeight="false" outlineLevel="0" collapsed="false">
      <c r="A8487" s="7" t="s">
        <v>27</v>
      </c>
      <c r="B8487" s="7" t="s">
        <v>367</v>
      </c>
      <c r="C8487" s="7" t="s">
        <v>1095</v>
      </c>
      <c r="D8487" s="7" t="n">
        <v>0</v>
      </c>
      <c r="E8487" s="7" t="n">
        <v>0</v>
      </c>
      <c r="F8487" s="7" t="n">
        <v>100</v>
      </c>
      <c r="G8487" s="7" t="n">
        <v>1234.17</v>
      </c>
    </row>
    <row r="8488" customFormat="false" ht="15" hidden="false" customHeight="false" outlineLevel="0" collapsed="false">
      <c r="A8488" s="7" t="s">
        <v>27</v>
      </c>
      <c r="B8488" s="7" t="s">
        <v>367</v>
      </c>
      <c r="C8488" s="7" t="s">
        <v>1095</v>
      </c>
      <c r="D8488" s="7" t="n">
        <v>0</v>
      </c>
      <c r="E8488" s="7" t="n">
        <v>0</v>
      </c>
      <c r="F8488" s="7" t="n">
        <v>80</v>
      </c>
      <c r="G8488" s="7" t="n">
        <v>1027.55</v>
      </c>
    </row>
    <row r="8489" customFormat="false" ht="15" hidden="false" customHeight="false" outlineLevel="0" collapsed="false">
      <c r="A8489" s="7" t="s">
        <v>27</v>
      </c>
      <c r="B8489" s="7" t="s">
        <v>661</v>
      </c>
      <c r="C8489" s="7" t="s">
        <v>1096</v>
      </c>
      <c r="D8489" s="7" t="n">
        <v>0</v>
      </c>
      <c r="E8489" s="7" t="n">
        <v>0</v>
      </c>
      <c r="F8489" s="7" t="n">
        <v>200</v>
      </c>
      <c r="G8489" s="7" t="n">
        <v>1240.97</v>
      </c>
    </row>
    <row r="8490" customFormat="false" ht="15" hidden="false" customHeight="false" outlineLevel="0" collapsed="false">
      <c r="A8490" s="7" t="s">
        <v>27</v>
      </c>
      <c r="B8490" s="7" t="s">
        <v>661</v>
      </c>
      <c r="C8490" s="7" t="s">
        <v>1096</v>
      </c>
      <c r="D8490" s="7" t="n">
        <v>400</v>
      </c>
      <c r="E8490" s="7" t="n">
        <v>2550.07</v>
      </c>
      <c r="F8490" s="7" t="n">
        <v>0</v>
      </c>
      <c r="G8490" s="7" t="n">
        <v>0</v>
      </c>
    </row>
    <row r="8491" customFormat="false" ht="15" hidden="false" customHeight="false" outlineLevel="0" collapsed="false">
      <c r="A8491" s="7" t="s">
        <v>27</v>
      </c>
      <c r="B8491" s="7" t="s">
        <v>661</v>
      </c>
      <c r="C8491" s="7" t="s">
        <v>1096</v>
      </c>
      <c r="D8491" s="7" t="n">
        <v>300</v>
      </c>
      <c r="E8491" s="7" t="n">
        <v>2011.39</v>
      </c>
      <c r="F8491" s="7" t="n">
        <v>0</v>
      </c>
      <c r="G8491" s="7" t="n">
        <v>0</v>
      </c>
    </row>
    <row r="8492" customFormat="false" ht="15" hidden="false" customHeight="false" outlineLevel="0" collapsed="false">
      <c r="A8492" s="7" t="s">
        <v>27</v>
      </c>
      <c r="B8492" s="7" t="s">
        <v>661</v>
      </c>
      <c r="C8492" s="7" t="s">
        <v>1096</v>
      </c>
      <c r="D8492" s="7" t="n">
        <v>100</v>
      </c>
      <c r="E8492" s="7" t="n">
        <v>649.96</v>
      </c>
      <c r="F8492" s="7" t="n">
        <v>0</v>
      </c>
      <c r="G8492" s="7" t="n">
        <v>0</v>
      </c>
    </row>
    <row r="8493" customFormat="false" ht="15" hidden="false" customHeight="false" outlineLevel="0" collapsed="false">
      <c r="A8493" s="7" t="s">
        <v>27</v>
      </c>
      <c r="B8493" s="7" t="s">
        <v>661</v>
      </c>
      <c r="C8493" s="7" t="s">
        <v>1096</v>
      </c>
      <c r="D8493" s="7" t="n">
        <v>300</v>
      </c>
      <c r="E8493" s="7" t="n">
        <v>1916.22</v>
      </c>
      <c r="F8493" s="7" t="n">
        <v>0</v>
      </c>
      <c r="G8493" s="7" t="n">
        <v>0</v>
      </c>
    </row>
    <row r="8494" customFormat="false" ht="15" hidden="false" customHeight="false" outlineLevel="0" collapsed="false">
      <c r="A8494" s="7" t="s">
        <v>27</v>
      </c>
      <c r="B8494" s="7" t="s">
        <v>661</v>
      </c>
      <c r="C8494" s="7" t="s">
        <v>1096</v>
      </c>
      <c r="D8494" s="7" t="n">
        <v>300</v>
      </c>
      <c r="E8494" s="7" t="n">
        <v>2093.34</v>
      </c>
      <c r="F8494" s="7" t="n">
        <v>0</v>
      </c>
      <c r="G8494" s="7" t="n">
        <v>0</v>
      </c>
    </row>
    <row r="8495" customFormat="false" ht="15" hidden="false" customHeight="false" outlineLevel="0" collapsed="false">
      <c r="A8495" s="7" t="s">
        <v>27</v>
      </c>
      <c r="B8495" s="7" t="s">
        <v>661</v>
      </c>
      <c r="C8495" s="7" t="s">
        <v>1096</v>
      </c>
      <c r="D8495" s="7" t="n">
        <v>0</v>
      </c>
      <c r="E8495" s="7" t="n">
        <v>0</v>
      </c>
      <c r="F8495" s="7" t="n">
        <v>200</v>
      </c>
      <c r="G8495" s="7" t="n">
        <v>1196.46</v>
      </c>
    </row>
    <row r="8496" customFormat="false" ht="15" hidden="false" customHeight="false" outlineLevel="0" collapsed="false">
      <c r="A8496" s="7" t="s">
        <v>27</v>
      </c>
      <c r="B8496" s="7" t="s">
        <v>661</v>
      </c>
      <c r="C8496" s="7" t="s">
        <v>1096</v>
      </c>
      <c r="D8496" s="7" t="n">
        <v>0</v>
      </c>
      <c r="E8496" s="7" t="n">
        <v>0</v>
      </c>
      <c r="F8496" s="7" t="n">
        <v>500</v>
      </c>
      <c r="G8496" s="7" t="n">
        <v>2874.11</v>
      </c>
    </row>
    <row r="8497" customFormat="false" ht="15" hidden="false" customHeight="false" outlineLevel="0" collapsed="false">
      <c r="A8497" s="7" t="s">
        <v>27</v>
      </c>
      <c r="B8497" s="7" t="s">
        <v>566</v>
      </c>
      <c r="C8497" s="7" t="s">
        <v>1230</v>
      </c>
      <c r="D8497" s="7" t="n">
        <v>200</v>
      </c>
      <c r="E8497" s="7" t="n">
        <v>1202.34</v>
      </c>
      <c r="F8497" s="7" t="n">
        <v>0</v>
      </c>
      <c r="G8497" s="7" t="n">
        <v>0</v>
      </c>
    </row>
    <row r="8498" customFormat="false" ht="15" hidden="false" customHeight="false" outlineLevel="0" collapsed="false">
      <c r="A8498" s="7" t="s">
        <v>27</v>
      </c>
      <c r="B8498" s="7" t="s">
        <v>566</v>
      </c>
      <c r="C8498" s="7" t="s">
        <v>1230</v>
      </c>
      <c r="D8498" s="7" t="n">
        <v>200</v>
      </c>
      <c r="E8498" s="7" t="n">
        <v>1262.05</v>
      </c>
      <c r="F8498" s="7" t="n">
        <v>0</v>
      </c>
      <c r="G8498" s="7" t="n">
        <v>0</v>
      </c>
    </row>
    <row r="8499" customFormat="false" ht="15" hidden="false" customHeight="false" outlineLevel="0" collapsed="false">
      <c r="A8499" s="7" t="s">
        <v>27</v>
      </c>
      <c r="B8499" s="7" t="s">
        <v>566</v>
      </c>
      <c r="C8499" s="7" t="s">
        <v>1230</v>
      </c>
      <c r="D8499" s="7" t="n">
        <v>0</v>
      </c>
      <c r="E8499" s="7" t="n">
        <v>0</v>
      </c>
      <c r="F8499" s="7" t="n">
        <v>200</v>
      </c>
      <c r="G8499" s="7" t="n">
        <v>1167.97</v>
      </c>
    </row>
    <row r="8500" customFormat="false" ht="15" hidden="false" customHeight="false" outlineLevel="0" collapsed="false">
      <c r="A8500" s="7" t="s">
        <v>27</v>
      </c>
      <c r="B8500" s="7" t="s">
        <v>566</v>
      </c>
      <c r="C8500" s="7" t="s">
        <v>1230</v>
      </c>
      <c r="D8500" s="7" t="n">
        <v>200</v>
      </c>
      <c r="E8500" s="7" t="n">
        <v>1200.03</v>
      </c>
      <c r="F8500" s="7" t="n">
        <v>0</v>
      </c>
      <c r="G8500" s="7" t="n">
        <v>0</v>
      </c>
    </row>
    <row r="8501" customFormat="false" ht="15" hidden="false" customHeight="false" outlineLevel="0" collapsed="false">
      <c r="A8501" s="7" t="s">
        <v>27</v>
      </c>
      <c r="B8501" s="7" t="s">
        <v>566</v>
      </c>
      <c r="C8501" s="7" t="s">
        <v>1230</v>
      </c>
      <c r="D8501" s="7" t="n">
        <v>100</v>
      </c>
      <c r="E8501" s="7" t="n">
        <v>656.74</v>
      </c>
      <c r="F8501" s="7" t="n">
        <v>0</v>
      </c>
      <c r="G8501" s="7" t="n">
        <v>0</v>
      </c>
    </row>
    <row r="8502" customFormat="false" ht="15" hidden="false" customHeight="false" outlineLevel="0" collapsed="false">
      <c r="A8502" s="7" t="s">
        <v>27</v>
      </c>
      <c r="B8502" s="7" t="s">
        <v>566</v>
      </c>
      <c r="C8502" s="7" t="s">
        <v>1230</v>
      </c>
      <c r="D8502" s="7" t="n">
        <v>0</v>
      </c>
      <c r="E8502" s="7" t="n">
        <v>0</v>
      </c>
      <c r="F8502" s="7" t="n">
        <v>100</v>
      </c>
      <c r="G8502" s="7" t="n">
        <v>541.01</v>
      </c>
    </row>
    <row r="8503" customFormat="false" ht="15" hidden="false" customHeight="false" outlineLevel="0" collapsed="false">
      <c r="A8503" s="7" t="s">
        <v>27</v>
      </c>
      <c r="B8503" s="7" t="s">
        <v>590</v>
      </c>
      <c r="C8503" s="7" t="s">
        <v>1097</v>
      </c>
      <c r="D8503" s="7" t="n">
        <v>100</v>
      </c>
      <c r="E8503" s="7" t="n">
        <v>822.01</v>
      </c>
      <c r="F8503" s="7" t="n">
        <v>0</v>
      </c>
      <c r="G8503" s="7" t="n">
        <v>0</v>
      </c>
    </row>
    <row r="8504" customFormat="false" ht="15" hidden="false" customHeight="false" outlineLevel="0" collapsed="false">
      <c r="A8504" s="7" t="s">
        <v>27</v>
      </c>
      <c r="B8504" s="7" t="s">
        <v>590</v>
      </c>
      <c r="C8504" s="7" t="s">
        <v>1097</v>
      </c>
      <c r="D8504" s="7" t="n">
        <v>0</v>
      </c>
      <c r="E8504" s="7" t="n">
        <v>0</v>
      </c>
      <c r="F8504" s="7" t="n">
        <v>100</v>
      </c>
      <c r="G8504" s="7" t="n">
        <v>726.98</v>
      </c>
    </row>
    <row r="8505" customFormat="false" ht="15" hidden="false" customHeight="false" outlineLevel="0" collapsed="false">
      <c r="A8505" s="7" t="s">
        <v>27</v>
      </c>
      <c r="B8505" s="7" t="s">
        <v>590</v>
      </c>
      <c r="C8505" s="7" t="s">
        <v>1097</v>
      </c>
      <c r="D8505" s="7" t="n">
        <v>200</v>
      </c>
      <c r="E8505" s="7" t="n">
        <v>1615.64</v>
      </c>
      <c r="F8505" s="7" t="n">
        <v>0</v>
      </c>
      <c r="G8505" s="7" t="n">
        <v>0</v>
      </c>
    </row>
    <row r="8506" customFormat="false" ht="15" hidden="false" customHeight="false" outlineLevel="0" collapsed="false">
      <c r="A8506" s="7" t="s">
        <v>27</v>
      </c>
      <c r="B8506" s="7" t="s">
        <v>590</v>
      </c>
      <c r="C8506" s="7" t="s">
        <v>1097</v>
      </c>
      <c r="D8506" s="7" t="n">
        <v>200</v>
      </c>
      <c r="E8506" s="7" t="n">
        <v>1764.98</v>
      </c>
      <c r="F8506" s="7" t="n">
        <v>0</v>
      </c>
      <c r="G8506" s="7" t="n">
        <v>0</v>
      </c>
    </row>
    <row r="8507" customFormat="false" ht="15" hidden="false" customHeight="false" outlineLevel="0" collapsed="false">
      <c r="A8507" s="7" t="s">
        <v>27</v>
      </c>
      <c r="B8507" s="7" t="s">
        <v>590</v>
      </c>
      <c r="C8507" s="7" t="s">
        <v>1097</v>
      </c>
      <c r="D8507" s="7" t="n">
        <v>300</v>
      </c>
      <c r="E8507" s="7" t="n">
        <v>2418.81</v>
      </c>
      <c r="F8507" s="7" t="n">
        <v>0</v>
      </c>
      <c r="G8507" s="7" t="n">
        <v>0</v>
      </c>
    </row>
    <row r="8508" customFormat="false" ht="15" hidden="false" customHeight="false" outlineLevel="0" collapsed="false">
      <c r="A8508" s="7" t="s">
        <v>27</v>
      </c>
      <c r="B8508" s="7" t="s">
        <v>590</v>
      </c>
      <c r="C8508" s="7" t="s">
        <v>1097</v>
      </c>
      <c r="D8508" s="7" t="n">
        <v>0</v>
      </c>
      <c r="E8508" s="7" t="n">
        <v>0</v>
      </c>
      <c r="F8508" s="7" t="n">
        <v>200</v>
      </c>
      <c r="G8508" s="7" t="n">
        <v>1569.46</v>
      </c>
    </row>
    <row r="8509" customFormat="false" ht="15" hidden="false" customHeight="false" outlineLevel="0" collapsed="false">
      <c r="A8509" s="7" t="s">
        <v>27</v>
      </c>
      <c r="B8509" s="7" t="s">
        <v>590</v>
      </c>
      <c r="C8509" s="7" t="s">
        <v>1097</v>
      </c>
      <c r="D8509" s="7" t="n">
        <v>0</v>
      </c>
      <c r="E8509" s="7" t="n">
        <v>0</v>
      </c>
      <c r="F8509" s="7" t="n">
        <v>200</v>
      </c>
      <c r="G8509" s="7" t="n">
        <v>1513.17</v>
      </c>
    </row>
    <row r="8510" customFormat="false" ht="15" hidden="false" customHeight="false" outlineLevel="0" collapsed="false">
      <c r="A8510" s="7" t="s">
        <v>27</v>
      </c>
      <c r="B8510" s="7" t="s">
        <v>590</v>
      </c>
      <c r="C8510" s="7" t="s">
        <v>1097</v>
      </c>
      <c r="D8510" s="7" t="n">
        <v>300</v>
      </c>
      <c r="E8510" s="7" t="n">
        <v>2543.82</v>
      </c>
      <c r="F8510" s="7" t="n">
        <v>0</v>
      </c>
      <c r="G8510" s="7" t="n">
        <v>0</v>
      </c>
    </row>
    <row r="8511" customFormat="false" ht="15" hidden="false" customHeight="false" outlineLevel="0" collapsed="false">
      <c r="A8511" s="7" t="s">
        <v>27</v>
      </c>
      <c r="B8511" s="7" t="s">
        <v>735</v>
      </c>
      <c r="C8511" s="7" t="s">
        <v>1098</v>
      </c>
      <c r="D8511" s="7" t="n">
        <v>0</v>
      </c>
      <c r="E8511" s="7" t="n">
        <v>0</v>
      </c>
      <c r="F8511" s="7" t="n">
        <v>200</v>
      </c>
      <c r="G8511" s="7" t="n">
        <v>1715.45</v>
      </c>
    </row>
    <row r="8512" customFormat="false" ht="15" hidden="false" customHeight="false" outlineLevel="0" collapsed="false">
      <c r="A8512" s="7" t="s">
        <v>27</v>
      </c>
      <c r="B8512" s="7" t="s">
        <v>735</v>
      </c>
      <c r="C8512" s="7" t="s">
        <v>1098</v>
      </c>
      <c r="D8512" s="7" t="n">
        <v>50</v>
      </c>
      <c r="E8512" s="7" t="n">
        <v>449.24</v>
      </c>
      <c r="F8512" s="7" t="n">
        <v>0</v>
      </c>
      <c r="G8512" s="7" t="n">
        <v>0</v>
      </c>
    </row>
    <row r="8513" customFormat="false" ht="15" hidden="false" customHeight="false" outlineLevel="0" collapsed="false">
      <c r="A8513" s="7" t="s">
        <v>27</v>
      </c>
      <c r="B8513" s="7" t="s">
        <v>735</v>
      </c>
      <c r="C8513" s="7" t="s">
        <v>1098</v>
      </c>
      <c r="D8513" s="7" t="n">
        <v>200</v>
      </c>
      <c r="E8513" s="7" t="n">
        <v>1762.55</v>
      </c>
      <c r="F8513" s="7" t="n">
        <v>0</v>
      </c>
      <c r="G8513" s="7" t="n">
        <v>0</v>
      </c>
    </row>
    <row r="8514" customFormat="false" ht="15" hidden="false" customHeight="false" outlineLevel="0" collapsed="false">
      <c r="A8514" s="7" t="s">
        <v>27</v>
      </c>
      <c r="B8514" s="7" t="s">
        <v>735</v>
      </c>
      <c r="C8514" s="7" t="s">
        <v>1098</v>
      </c>
      <c r="D8514" s="7" t="n">
        <v>100</v>
      </c>
      <c r="E8514" s="7" t="n">
        <v>926.82</v>
      </c>
      <c r="F8514" s="7" t="n">
        <v>0</v>
      </c>
      <c r="G8514" s="7" t="n">
        <v>0</v>
      </c>
    </row>
    <row r="8515" customFormat="false" ht="15" hidden="false" customHeight="false" outlineLevel="0" collapsed="false">
      <c r="A8515" s="7" t="s">
        <v>27</v>
      </c>
      <c r="B8515" s="7" t="s">
        <v>735</v>
      </c>
      <c r="C8515" s="7" t="s">
        <v>1098</v>
      </c>
      <c r="D8515" s="7" t="n">
        <v>200</v>
      </c>
      <c r="E8515" s="7" t="n">
        <v>1765.93</v>
      </c>
      <c r="F8515" s="7" t="n">
        <v>0</v>
      </c>
      <c r="G8515" s="7" t="n">
        <v>0</v>
      </c>
    </row>
    <row r="8516" customFormat="false" ht="15" hidden="false" customHeight="false" outlineLevel="0" collapsed="false">
      <c r="A8516" s="7" t="s">
        <v>27</v>
      </c>
      <c r="B8516" s="7" t="s">
        <v>735</v>
      </c>
      <c r="C8516" s="7" t="s">
        <v>1098</v>
      </c>
      <c r="D8516" s="7" t="n">
        <v>0</v>
      </c>
      <c r="E8516" s="7" t="n">
        <v>0</v>
      </c>
      <c r="F8516" s="7" t="n">
        <v>100</v>
      </c>
      <c r="G8516" s="7" t="n">
        <v>794.61</v>
      </c>
    </row>
    <row r="8517" customFormat="false" ht="15" hidden="false" customHeight="false" outlineLevel="0" collapsed="false">
      <c r="A8517" s="7" t="s">
        <v>27</v>
      </c>
      <c r="B8517" s="7" t="s">
        <v>735</v>
      </c>
      <c r="C8517" s="7" t="s">
        <v>1098</v>
      </c>
      <c r="D8517" s="7" t="n">
        <v>0</v>
      </c>
      <c r="E8517" s="7" t="n">
        <v>0</v>
      </c>
      <c r="F8517" s="7" t="n">
        <v>200</v>
      </c>
      <c r="G8517" s="7" t="n">
        <v>1653.93</v>
      </c>
    </row>
    <row r="8518" customFormat="false" ht="15" hidden="false" customHeight="false" outlineLevel="0" collapsed="false">
      <c r="A8518" s="7" t="s">
        <v>27</v>
      </c>
      <c r="B8518" s="7" t="s">
        <v>735</v>
      </c>
      <c r="C8518" s="7" t="s">
        <v>1098</v>
      </c>
      <c r="D8518" s="7" t="n">
        <v>100</v>
      </c>
      <c r="E8518" s="7" t="n">
        <v>964.58</v>
      </c>
      <c r="F8518" s="7" t="n">
        <v>0</v>
      </c>
      <c r="G8518" s="7" t="n">
        <v>0</v>
      </c>
    </row>
    <row r="8519" customFormat="false" ht="15" hidden="false" customHeight="false" outlineLevel="0" collapsed="false">
      <c r="A8519" s="7" t="s">
        <v>27</v>
      </c>
      <c r="B8519" s="7" t="s">
        <v>642</v>
      </c>
      <c r="C8519" s="7" t="s">
        <v>1231</v>
      </c>
      <c r="D8519" s="7" t="n">
        <v>50</v>
      </c>
      <c r="E8519" s="7" t="n">
        <v>937.53</v>
      </c>
      <c r="F8519" s="7" t="n">
        <v>0</v>
      </c>
      <c r="G8519" s="7" t="n">
        <v>0</v>
      </c>
    </row>
    <row r="8520" customFormat="false" ht="15" hidden="false" customHeight="false" outlineLevel="0" collapsed="false">
      <c r="A8520" s="7" t="s">
        <v>27</v>
      </c>
      <c r="B8520" s="7" t="s">
        <v>642</v>
      </c>
      <c r="C8520" s="7" t="s">
        <v>1231</v>
      </c>
      <c r="D8520" s="7" t="n">
        <v>40</v>
      </c>
      <c r="E8520" s="7" t="n">
        <v>764.66</v>
      </c>
      <c r="F8520" s="7" t="n">
        <v>0</v>
      </c>
      <c r="G8520" s="7" t="n">
        <v>0</v>
      </c>
    </row>
    <row r="8521" customFormat="false" ht="15" hidden="false" customHeight="false" outlineLevel="0" collapsed="false">
      <c r="A8521" s="7" t="s">
        <v>27</v>
      </c>
      <c r="B8521" s="7" t="s">
        <v>642</v>
      </c>
      <c r="C8521" s="7" t="s">
        <v>1231</v>
      </c>
      <c r="D8521" s="7" t="n">
        <v>0</v>
      </c>
      <c r="E8521" s="7" t="n">
        <v>0</v>
      </c>
      <c r="F8521" s="7" t="n">
        <v>50</v>
      </c>
      <c r="G8521" s="7" t="n">
        <v>879.75</v>
      </c>
    </row>
    <row r="8522" customFormat="false" ht="15" hidden="false" customHeight="false" outlineLevel="0" collapsed="false">
      <c r="A8522" s="7" t="s">
        <v>27</v>
      </c>
      <c r="B8522" s="7" t="s">
        <v>642</v>
      </c>
      <c r="C8522" s="7" t="s">
        <v>1231</v>
      </c>
      <c r="D8522" s="7" t="n">
        <v>70</v>
      </c>
      <c r="E8522" s="7" t="n">
        <v>1315.06</v>
      </c>
      <c r="F8522" s="7" t="n">
        <v>0</v>
      </c>
      <c r="G8522" s="7" t="n">
        <v>0</v>
      </c>
    </row>
    <row r="8523" customFormat="false" ht="15" hidden="false" customHeight="false" outlineLevel="0" collapsed="false">
      <c r="A8523" s="7" t="s">
        <v>27</v>
      </c>
      <c r="B8523" s="7" t="s">
        <v>642</v>
      </c>
      <c r="C8523" s="7" t="s">
        <v>1231</v>
      </c>
      <c r="D8523" s="7" t="n">
        <v>0</v>
      </c>
      <c r="E8523" s="7" t="n">
        <v>0</v>
      </c>
      <c r="F8523" s="7" t="n">
        <v>60</v>
      </c>
      <c r="G8523" s="7" t="n">
        <v>1014.39</v>
      </c>
    </row>
    <row r="8524" customFormat="false" ht="15" hidden="false" customHeight="false" outlineLevel="0" collapsed="false">
      <c r="A8524" s="7" t="s">
        <v>27</v>
      </c>
      <c r="B8524" s="7" t="s">
        <v>642</v>
      </c>
      <c r="C8524" s="7" t="s">
        <v>1231</v>
      </c>
      <c r="D8524" s="7" t="n">
        <v>0</v>
      </c>
      <c r="E8524" s="7" t="n">
        <v>0</v>
      </c>
      <c r="F8524" s="7" t="n">
        <v>30</v>
      </c>
      <c r="G8524" s="7" t="n">
        <v>547.49</v>
      </c>
    </row>
    <row r="8525" customFormat="false" ht="15" hidden="false" customHeight="false" outlineLevel="0" collapsed="false">
      <c r="A8525" s="7" t="s">
        <v>27</v>
      </c>
      <c r="B8525" s="7" t="s">
        <v>642</v>
      </c>
      <c r="C8525" s="7" t="s">
        <v>1231</v>
      </c>
      <c r="D8525" s="7" t="n">
        <v>150</v>
      </c>
      <c r="E8525" s="7" t="n">
        <v>2957.93</v>
      </c>
      <c r="F8525" s="7" t="n">
        <v>0</v>
      </c>
      <c r="G8525" s="7" t="n">
        <v>0</v>
      </c>
    </row>
    <row r="8526" customFormat="false" ht="15" hidden="false" customHeight="false" outlineLevel="0" collapsed="false">
      <c r="A8526" s="7" t="s">
        <v>27</v>
      </c>
      <c r="B8526" s="7" t="s">
        <v>570</v>
      </c>
      <c r="C8526" s="7" t="s">
        <v>1231</v>
      </c>
      <c r="D8526" s="7" t="n">
        <v>0</v>
      </c>
      <c r="E8526" s="7" t="n">
        <v>0</v>
      </c>
      <c r="F8526" s="7" t="n">
        <v>150</v>
      </c>
      <c r="G8526" s="7" t="n">
        <v>2535.98</v>
      </c>
    </row>
    <row r="8527" customFormat="false" ht="15" hidden="false" customHeight="false" outlineLevel="0" collapsed="false">
      <c r="A8527" s="7" t="s">
        <v>27</v>
      </c>
      <c r="B8527" s="7" t="s">
        <v>570</v>
      </c>
      <c r="C8527" s="7" t="s">
        <v>1231</v>
      </c>
      <c r="D8527" s="7" t="n">
        <v>0</v>
      </c>
      <c r="E8527" s="7" t="n">
        <v>0</v>
      </c>
      <c r="F8527" s="7" t="n">
        <v>70</v>
      </c>
      <c r="G8527" s="7" t="n">
        <v>1277.47</v>
      </c>
    </row>
    <row r="8528" customFormat="false" ht="15" hidden="false" customHeight="false" outlineLevel="0" collapsed="false">
      <c r="A8528" s="7" t="s">
        <v>27</v>
      </c>
      <c r="B8528" s="7" t="s">
        <v>570</v>
      </c>
      <c r="C8528" s="7" t="s">
        <v>1231</v>
      </c>
      <c r="D8528" s="7" t="n">
        <v>20</v>
      </c>
      <c r="E8528" s="7" t="n">
        <v>410.46</v>
      </c>
      <c r="F8528" s="7" t="n">
        <v>0</v>
      </c>
      <c r="G8528" s="7" t="n">
        <v>0</v>
      </c>
    </row>
    <row r="8529" customFormat="false" ht="15" hidden="false" customHeight="false" outlineLevel="0" collapsed="false">
      <c r="A8529" s="7" t="s">
        <v>27</v>
      </c>
      <c r="B8529" s="7" t="s">
        <v>570</v>
      </c>
      <c r="C8529" s="7" t="s">
        <v>1231</v>
      </c>
      <c r="D8529" s="7" t="n">
        <v>50</v>
      </c>
      <c r="E8529" s="7" t="n">
        <v>939.33</v>
      </c>
      <c r="F8529" s="7" t="n">
        <v>0</v>
      </c>
      <c r="G8529" s="7" t="n">
        <v>0</v>
      </c>
    </row>
    <row r="8530" customFormat="false" ht="15" hidden="false" customHeight="false" outlineLevel="0" collapsed="false">
      <c r="A8530" s="7" t="s">
        <v>27</v>
      </c>
      <c r="B8530" s="7" t="s">
        <v>570</v>
      </c>
      <c r="C8530" s="7" t="s">
        <v>1231</v>
      </c>
      <c r="D8530" s="7" t="n">
        <v>0</v>
      </c>
      <c r="E8530" s="7" t="n">
        <v>0</v>
      </c>
      <c r="F8530" s="7" t="n">
        <v>100</v>
      </c>
      <c r="G8530" s="7" t="n">
        <v>1759.5</v>
      </c>
    </row>
    <row r="8531" customFormat="false" ht="15" hidden="false" customHeight="false" outlineLevel="0" collapsed="false">
      <c r="A8531" s="7" t="s">
        <v>27</v>
      </c>
      <c r="B8531" s="7" t="s">
        <v>570</v>
      </c>
      <c r="C8531" s="7" t="s">
        <v>1231</v>
      </c>
      <c r="D8531" s="7" t="n">
        <v>150</v>
      </c>
      <c r="E8531" s="7" t="n">
        <v>2957.93</v>
      </c>
      <c r="F8531" s="7" t="n">
        <v>0</v>
      </c>
      <c r="G8531" s="7" t="n">
        <v>0</v>
      </c>
    </row>
    <row r="8532" customFormat="false" ht="15" hidden="false" customHeight="false" outlineLevel="0" collapsed="false">
      <c r="A8532" s="7" t="s">
        <v>27</v>
      </c>
      <c r="B8532" s="7" t="s">
        <v>570</v>
      </c>
      <c r="C8532" s="7" t="s">
        <v>1231</v>
      </c>
      <c r="D8532" s="7" t="n">
        <v>100</v>
      </c>
      <c r="E8532" s="7" t="n">
        <v>1911.65</v>
      </c>
      <c r="F8532" s="7" t="n">
        <v>0</v>
      </c>
      <c r="G8532" s="7" t="n">
        <v>0</v>
      </c>
    </row>
    <row r="8533" customFormat="false" ht="15" hidden="false" customHeight="false" outlineLevel="0" collapsed="false">
      <c r="A8533" s="7" t="s">
        <v>27</v>
      </c>
      <c r="B8533" s="7" t="s">
        <v>570</v>
      </c>
      <c r="C8533" s="7" t="s">
        <v>1231</v>
      </c>
      <c r="D8533" s="7" t="n">
        <v>150</v>
      </c>
      <c r="E8533" s="7" t="n">
        <v>2812.58</v>
      </c>
      <c r="F8533" s="7" t="n">
        <v>0</v>
      </c>
      <c r="G8533" s="7" t="n">
        <v>0</v>
      </c>
    </row>
    <row r="8534" customFormat="false" ht="15" hidden="false" customHeight="false" outlineLevel="0" collapsed="false">
      <c r="A8534" s="7" t="s">
        <v>27</v>
      </c>
      <c r="B8534" s="7" t="s">
        <v>317</v>
      </c>
      <c r="C8534" s="7" t="s">
        <v>1231</v>
      </c>
      <c r="D8534" s="7" t="n">
        <v>0</v>
      </c>
      <c r="E8534" s="7" t="n">
        <v>0</v>
      </c>
      <c r="F8534" s="7" t="n">
        <v>60</v>
      </c>
      <c r="G8534" s="7" t="n">
        <v>1094.97</v>
      </c>
    </row>
    <row r="8535" customFormat="false" ht="15" hidden="false" customHeight="false" outlineLevel="0" collapsed="false">
      <c r="A8535" s="7" t="s">
        <v>27</v>
      </c>
      <c r="B8535" s="7" t="s">
        <v>317</v>
      </c>
      <c r="C8535" s="7" t="s">
        <v>1231</v>
      </c>
      <c r="D8535" s="7" t="n">
        <v>150</v>
      </c>
      <c r="E8535" s="7" t="n">
        <v>2957.93</v>
      </c>
      <c r="F8535" s="7" t="n">
        <v>0</v>
      </c>
      <c r="G8535" s="7" t="n">
        <v>0</v>
      </c>
    </row>
    <row r="8536" customFormat="false" ht="15" hidden="false" customHeight="false" outlineLevel="0" collapsed="false">
      <c r="A8536" s="7" t="s">
        <v>27</v>
      </c>
      <c r="B8536" s="7" t="s">
        <v>317</v>
      </c>
      <c r="C8536" s="7" t="s">
        <v>1231</v>
      </c>
      <c r="D8536" s="7" t="n">
        <v>100</v>
      </c>
      <c r="E8536" s="7" t="n">
        <v>1875.05</v>
      </c>
      <c r="F8536" s="7" t="n">
        <v>0</v>
      </c>
      <c r="G8536" s="7" t="n">
        <v>0</v>
      </c>
    </row>
    <row r="8537" customFormat="false" ht="15" hidden="false" customHeight="false" outlineLevel="0" collapsed="false">
      <c r="A8537" s="7" t="s">
        <v>27</v>
      </c>
      <c r="B8537" s="7" t="s">
        <v>317</v>
      </c>
      <c r="C8537" s="7" t="s">
        <v>1231</v>
      </c>
      <c r="D8537" s="7" t="n">
        <v>60</v>
      </c>
      <c r="E8537" s="7" t="n">
        <v>1127.19</v>
      </c>
      <c r="F8537" s="7" t="n">
        <v>0</v>
      </c>
      <c r="G8537" s="7" t="n">
        <v>0</v>
      </c>
    </row>
    <row r="8538" customFormat="false" ht="15" hidden="false" customHeight="false" outlineLevel="0" collapsed="false">
      <c r="A8538" s="7" t="s">
        <v>27</v>
      </c>
      <c r="B8538" s="7" t="s">
        <v>317</v>
      </c>
      <c r="C8538" s="7" t="s">
        <v>1231</v>
      </c>
      <c r="D8538" s="7" t="n">
        <v>0</v>
      </c>
      <c r="E8538" s="7" t="n">
        <v>0</v>
      </c>
      <c r="F8538" s="7" t="n">
        <v>150</v>
      </c>
      <c r="G8538" s="7" t="n">
        <v>2535.98</v>
      </c>
    </row>
    <row r="8539" customFormat="false" ht="15" hidden="false" customHeight="false" outlineLevel="0" collapsed="false">
      <c r="A8539" s="7" t="s">
        <v>27</v>
      </c>
      <c r="B8539" s="7" t="s">
        <v>317</v>
      </c>
      <c r="C8539" s="7" t="s">
        <v>1231</v>
      </c>
      <c r="D8539" s="7" t="n">
        <v>0</v>
      </c>
      <c r="E8539" s="7" t="n">
        <v>0</v>
      </c>
      <c r="F8539" s="7" t="n">
        <v>100</v>
      </c>
      <c r="G8539" s="7" t="n">
        <v>1759.5</v>
      </c>
    </row>
    <row r="8540" customFormat="false" ht="15" hidden="false" customHeight="false" outlineLevel="0" collapsed="false">
      <c r="A8540" s="7" t="s">
        <v>27</v>
      </c>
      <c r="B8540" s="7" t="s">
        <v>317</v>
      </c>
      <c r="C8540" s="7" t="s">
        <v>1231</v>
      </c>
      <c r="D8540" s="7" t="n">
        <v>100</v>
      </c>
      <c r="E8540" s="7" t="n">
        <v>1911.65</v>
      </c>
      <c r="F8540" s="7" t="n">
        <v>0</v>
      </c>
      <c r="G8540" s="7" t="n">
        <v>0</v>
      </c>
    </row>
    <row r="8541" customFormat="false" ht="15" hidden="false" customHeight="false" outlineLevel="0" collapsed="false">
      <c r="A8541" s="7" t="s">
        <v>27</v>
      </c>
      <c r="B8541" s="7" t="s">
        <v>409</v>
      </c>
      <c r="C8541" s="7" t="s">
        <v>1231</v>
      </c>
      <c r="D8541" s="7" t="n">
        <v>70</v>
      </c>
      <c r="E8541" s="7" t="n">
        <v>1436.61</v>
      </c>
      <c r="F8541" s="7" t="n">
        <v>0</v>
      </c>
      <c r="G8541" s="7" t="n">
        <v>0</v>
      </c>
    </row>
    <row r="8542" customFormat="false" ht="15" hidden="false" customHeight="false" outlineLevel="0" collapsed="false">
      <c r="A8542" s="7" t="s">
        <v>27</v>
      </c>
      <c r="B8542" s="7" t="s">
        <v>409</v>
      </c>
      <c r="C8542" s="7" t="s">
        <v>1231</v>
      </c>
      <c r="D8542" s="7" t="n">
        <v>100</v>
      </c>
      <c r="E8542" s="7" t="n">
        <v>1875.05</v>
      </c>
      <c r="F8542" s="7" t="n">
        <v>0</v>
      </c>
      <c r="G8542" s="7" t="n">
        <v>0</v>
      </c>
    </row>
    <row r="8543" customFormat="false" ht="15" hidden="false" customHeight="false" outlineLevel="0" collapsed="false">
      <c r="A8543" s="7" t="s">
        <v>27</v>
      </c>
      <c r="B8543" s="7" t="s">
        <v>409</v>
      </c>
      <c r="C8543" s="7" t="s">
        <v>1231</v>
      </c>
      <c r="D8543" s="7" t="n">
        <v>100</v>
      </c>
      <c r="E8543" s="7" t="n">
        <v>1971.95</v>
      </c>
      <c r="F8543" s="7" t="n">
        <v>0</v>
      </c>
      <c r="G8543" s="7" t="n">
        <v>0</v>
      </c>
    </row>
    <row r="8544" customFormat="false" ht="15" hidden="false" customHeight="false" outlineLevel="0" collapsed="false">
      <c r="A8544" s="7" t="s">
        <v>27</v>
      </c>
      <c r="B8544" s="7" t="s">
        <v>409</v>
      </c>
      <c r="C8544" s="7" t="s">
        <v>1231</v>
      </c>
      <c r="D8544" s="7" t="n">
        <v>40</v>
      </c>
      <c r="E8544" s="7" t="n">
        <v>764.66</v>
      </c>
      <c r="F8544" s="7" t="n">
        <v>0</v>
      </c>
      <c r="G8544" s="7" t="n">
        <v>0</v>
      </c>
    </row>
    <row r="8545" customFormat="false" ht="15" hidden="false" customHeight="false" outlineLevel="0" collapsed="false">
      <c r="A8545" s="7" t="s">
        <v>27</v>
      </c>
      <c r="B8545" s="7" t="s">
        <v>409</v>
      </c>
      <c r="C8545" s="7" t="s">
        <v>1231</v>
      </c>
      <c r="D8545" s="7" t="n">
        <v>90</v>
      </c>
      <c r="E8545" s="7" t="n">
        <v>1690.79</v>
      </c>
      <c r="F8545" s="7" t="n">
        <v>0</v>
      </c>
      <c r="G8545" s="7" t="n">
        <v>0</v>
      </c>
    </row>
    <row r="8546" customFormat="false" ht="15" hidden="false" customHeight="false" outlineLevel="0" collapsed="false">
      <c r="A8546" s="7" t="s">
        <v>27</v>
      </c>
      <c r="B8546" s="7" t="s">
        <v>409</v>
      </c>
      <c r="C8546" s="7" t="s">
        <v>1231</v>
      </c>
      <c r="D8546" s="7" t="n">
        <v>0</v>
      </c>
      <c r="E8546" s="7" t="n">
        <v>0</v>
      </c>
      <c r="F8546" s="7" t="n">
        <v>30</v>
      </c>
      <c r="G8546" s="7" t="n">
        <v>547.49</v>
      </c>
    </row>
    <row r="8547" customFormat="false" ht="15" hidden="false" customHeight="false" outlineLevel="0" collapsed="false">
      <c r="A8547" s="7" t="s">
        <v>27</v>
      </c>
      <c r="B8547" s="7" t="s">
        <v>409</v>
      </c>
      <c r="C8547" s="7" t="s">
        <v>1231</v>
      </c>
      <c r="D8547" s="7" t="n">
        <v>0</v>
      </c>
      <c r="E8547" s="7" t="n">
        <v>0</v>
      </c>
      <c r="F8547" s="7" t="n">
        <v>150</v>
      </c>
      <c r="G8547" s="7" t="n">
        <v>2535.98</v>
      </c>
    </row>
    <row r="8548" customFormat="false" ht="15" hidden="false" customHeight="false" outlineLevel="0" collapsed="false">
      <c r="A8548" s="7" t="s">
        <v>27</v>
      </c>
      <c r="B8548" s="7" t="s">
        <v>900</v>
      </c>
      <c r="C8548" s="7" t="s">
        <v>1231</v>
      </c>
      <c r="D8548" s="7" t="n">
        <v>0</v>
      </c>
      <c r="E8548" s="7" t="n">
        <v>0</v>
      </c>
      <c r="F8548" s="7" t="n">
        <v>90</v>
      </c>
      <c r="G8548" s="7" t="n">
        <v>1583.55</v>
      </c>
    </row>
    <row r="8549" customFormat="false" ht="15" hidden="false" customHeight="false" outlineLevel="0" collapsed="false">
      <c r="A8549" s="7" t="s">
        <v>27</v>
      </c>
      <c r="B8549" s="7" t="s">
        <v>660</v>
      </c>
      <c r="C8549" s="7" t="s">
        <v>1231</v>
      </c>
      <c r="D8549" s="7" t="n">
        <v>0</v>
      </c>
      <c r="E8549" s="7" t="n">
        <v>0</v>
      </c>
      <c r="F8549" s="7" t="n">
        <v>30</v>
      </c>
      <c r="G8549" s="7" t="n">
        <v>507.2</v>
      </c>
    </row>
    <row r="8550" customFormat="false" ht="15" hidden="false" customHeight="false" outlineLevel="0" collapsed="false">
      <c r="A8550" s="7" t="s">
        <v>27</v>
      </c>
      <c r="B8550" s="7" t="s">
        <v>660</v>
      </c>
      <c r="C8550" s="7" t="s">
        <v>1231</v>
      </c>
      <c r="D8550" s="7" t="n">
        <v>30</v>
      </c>
      <c r="E8550" s="7" t="n">
        <v>591.59</v>
      </c>
      <c r="F8550" s="7" t="n">
        <v>0</v>
      </c>
      <c r="G8550" s="7" t="n">
        <v>0</v>
      </c>
    </row>
    <row r="8551" customFormat="false" ht="15" hidden="false" customHeight="false" outlineLevel="0" collapsed="false">
      <c r="A8551" s="7" t="s">
        <v>27</v>
      </c>
      <c r="B8551" s="7" t="s">
        <v>660</v>
      </c>
      <c r="C8551" s="7" t="s">
        <v>1231</v>
      </c>
      <c r="D8551" s="7" t="n">
        <v>30</v>
      </c>
      <c r="E8551" s="7" t="n">
        <v>563.6</v>
      </c>
      <c r="F8551" s="7" t="n">
        <v>0</v>
      </c>
      <c r="G8551" s="7" t="n">
        <v>0</v>
      </c>
    </row>
    <row r="8552" customFormat="false" ht="15" hidden="false" customHeight="false" outlineLevel="0" collapsed="false">
      <c r="A8552" s="7" t="s">
        <v>27</v>
      </c>
      <c r="B8552" s="7" t="s">
        <v>660</v>
      </c>
      <c r="C8552" s="7" t="s">
        <v>1231</v>
      </c>
      <c r="D8552" s="7" t="n">
        <v>30</v>
      </c>
      <c r="E8552" s="7" t="n">
        <v>573.5</v>
      </c>
      <c r="F8552" s="7" t="n">
        <v>0</v>
      </c>
      <c r="G8552" s="7" t="n">
        <v>0</v>
      </c>
    </row>
    <row r="8553" customFormat="false" ht="15" hidden="false" customHeight="false" outlineLevel="0" collapsed="false">
      <c r="A8553" s="7" t="s">
        <v>27</v>
      </c>
      <c r="B8553" s="7" t="s">
        <v>660</v>
      </c>
      <c r="C8553" s="7" t="s">
        <v>1231</v>
      </c>
      <c r="D8553" s="7" t="n">
        <v>0</v>
      </c>
      <c r="E8553" s="7" t="n">
        <v>0</v>
      </c>
      <c r="F8553" s="7" t="n">
        <v>30</v>
      </c>
      <c r="G8553" s="7" t="n">
        <v>547.49</v>
      </c>
    </row>
    <row r="8554" customFormat="false" ht="15" hidden="false" customHeight="false" outlineLevel="0" collapsed="false">
      <c r="A8554" s="7" t="s">
        <v>27</v>
      </c>
      <c r="B8554" s="7" t="s">
        <v>660</v>
      </c>
      <c r="C8554" s="7" t="s">
        <v>1231</v>
      </c>
      <c r="D8554" s="7" t="n">
        <v>60</v>
      </c>
      <c r="E8554" s="7" t="n">
        <v>1231.38</v>
      </c>
      <c r="F8554" s="7" t="n">
        <v>0</v>
      </c>
      <c r="G8554" s="7" t="n">
        <v>0</v>
      </c>
    </row>
    <row r="8555" customFormat="false" ht="15" hidden="false" customHeight="false" outlineLevel="0" collapsed="false">
      <c r="A8555" s="7" t="s">
        <v>27</v>
      </c>
      <c r="B8555" s="7" t="s">
        <v>660</v>
      </c>
      <c r="C8555" s="7" t="s">
        <v>1231</v>
      </c>
      <c r="D8555" s="7" t="n">
        <v>60</v>
      </c>
      <c r="E8555" s="7" t="n">
        <v>1125.03</v>
      </c>
      <c r="F8555" s="7" t="n">
        <v>0</v>
      </c>
      <c r="G8555" s="7" t="n">
        <v>0</v>
      </c>
    </row>
    <row r="8556" customFormat="false" ht="15" hidden="false" customHeight="false" outlineLevel="0" collapsed="false">
      <c r="A8556" s="7" t="s">
        <v>27</v>
      </c>
      <c r="B8556" s="7" t="s">
        <v>119</v>
      </c>
      <c r="C8556" s="7" t="s">
        <v>1100</v>
      </c>
      <c r="D8556" s="7" t="n">
        <v>130</v>
      </c>
      <c r="E8556" s="7" t="n">
        <v>3094.87</v>
      </c>
      <c r="F8556" s="7" t="n">
        <v>0</v>
      </c>
      <c r="G8556" s="7" t="n">
        <v>0</v>
      </c>
    </row>
    <row r="8557" customFormat="false" ht="15" hidden="false" customHeight="false" outlineLevel="0" collapsed="false">
      <c r="A8557" s="7" t="s">
        <v>27</v>
      </c>
      <c r="B8557" s="7" t="s">
        <v>119</v>
      </c>
      <c r="C8557" s="7" t="s">
        <v>1100</v>
      </c>
      <c r="D8557" s="7" t="n">
        <v>0</v>
      </c>
      <c r="E8557" s="7" t="n">
        <v>0</v>
      </c>
      <c r="F8557" s="7" t="n">
        <v>170</v>
      </c>
      <c r="G8557" s="7" t="n">
        <v>3333.96</v>
      </c>
    </row>
    <row r="8558" customFormat="false" ht="15" hidden="false" customHeight="false" outlineLevel="0" collapsed="false">
      <c r="A8558" s="7" t="s">
        <v>27</v>
      </c>
      <c r="B8558" s="7" t="s">
        <v>119</v>
      </c>
      <c r="C8558" s="7" t="s">
        <v>1100</v>
      </c>
      <c r="D8558" s="7" t="n">
        <v>80</v>
      </c>
      <c r="E8558" s="7" t="n">
        <v>1829.97</v>
      </c>
      <c r="F8558" s="7" t="n">
        <v>0</v>
      </c>
      <c r="G8558" s="7" t="n">
        <v>0</v>
      </c>
    </row>
    <row r="8559" customFormat="false" ht="15" hidden="false" customHeight="false" outlineLevel="0" collapsed="false">
      <c r="A8559" s="7" t="s">
        <v>27</v>
      </c>
      <c r="B8559" s="7" t="s">
        <v>119</v>
      </c>
      <c r="C8559" s="7" t="s">
        <v>1100</v>
      </c>
      <c r="D8559" s="7" t="n">
        <v>80</v>
      </c>
      <c r="E8559" s="7" t="n">
        <v>1774.01</v>
      </c>
      <c r="F8559" s="7" t="n">
        <v>0</v>
      </c>
      <c r="G8559" s="7" t="n">
        <v>0</v>
      </c>
    </row>
    <row r="8560" customFormat="false" ht="15" hidden="false" customHeight="false" outlineLevel="0" collapsed="false">
      <c r="A8560" s="7" t="s">
        <v>27</v>
      </c>
      <c r="B8560" s="7" t="s">
        <v>119</v>
      </c>
      <c r="C8560" s="7" t="s">
        <v>1100</v>
      </c>
      <c r="D8560" s="7" t="n">
        <v>0</v>
      </c>
      <c r="E8560" s="7" t="n">
        <v>0</v>
      </c>
      <c r="F8560" s="7" t="n">
        <v>70</v>
      </c>
      <c r="G8560" s="7" t="n">
        <v>1481.86</v>
      </c>
    </row>
    <row r="8561" customFormat="false" ht="15" hidden="false" customHeight="false" outlineLevel="0" collapsed="false">
      <c r="A8561" s="7" t="s">
        <v>27</v>
      </c>
      <c r="B8561" s="7" t="s">
        <v>119</v>
      </c>
      <c r="C8561" s="7" t="s">
        <v>1100</v>
      </c>
      <c r="D8561" s="7" t="n">
        <v>110</v>
      </c>
      <c r="E8561" s="7" t="n">
        <v>2392.56</v>
      </c>
      <c r="F8561" s="7" t="n">
        <v>0</v>
      </c>
      <c r="G8561" s="7" t="n">
        <v>0</v>
      </c>
    </row>
    <row r="8562" customFormat="false" ht="15" hidden="false" customHeight="false" outlineLevel="0" collapsed="false">
      <c r="A8562" s="7" t="s">
        <v>27</v>
      </c>
      <c r="B8562" s="7" t="s">
        <v>119</v>
      </c>
      <c r="C8562" s="7" t="s">
        <v>1100</v>
      </c>
      <c r="D8562" s="7" t="n">
        <v>0</v>
      </c>
      <c r="E8562" s="7" t="n">
        <v>0</v>
      </c>
      <c r="F8562" s="7" t="n">
        <v>60</v>
      </c>
      <c r="G8562" s="7" t="n">
        <v>1224.61</v>
      </c>
    </row>
    <row r="8563" customFormat="false" ht="15" hidden="false" customHeight="false" outlineLevel="0" collapsed="false">
      <c r="A8563" s="7" t="s">
        <v>27</v>
      </c>
      <c r="B8563" s="7" t="s">
        <v>119</v>
      </c>
      <c r="C8563" s="7" t="s">
        <v>1100</v>
      </c>
      <c r="D8563" s="7" t="n">
        <v>70</v>
      </c>
      <c r="E8563" s="7" t="n">
        <v>1525.46</v>
      </c>
      <c r="F8563" s="7" t="n">
        <v>0</v>
      </c>
      <c r="G8563" s="7" t="n">
        <v>0</v>
      </c>
    </row>
    <row r="8564" customFormat="false" ht="15" hidden="false" customHeight="false" outlineLevel="0" collapsed="false">
      <c r="A8564" s="7" t="s">
        <v>27</v>
      </c>
      <c r="B8564" s="7" t="s">
        <v>738</v>
      </c>
      <c r="C8564" s="7" t="s">
        <v>1239</v>
      </c>
      <c r="D8564" s="7" t="n">
        <v>1</v>
      </c>
      <c r="E8564" s="7" t="n">
        <v>0.04</v>
      </c>
      <c r="F8564" s="7" t="n">
        <v>0</v>
      </c>
      <c r="G8564" s="7" t="n">
        <v>0</v>
      </c>
    </row>
    <row r="8565" customFormat="false" ht="15" hidden="false" customHeight="false" outlineLevel="0" collapsed="false">
      <c r="A8565" s="7" t="s">
        <v>27</v>
      </c>
      <c r="B8565" s="7" t="s">
        <v>153</v>
      </c>
      <c r="C8565" s="7" t="s">
        <v>1104</v>
      </c>
      <c r="D8565" s="7" t="n">
        <v>1</v>
      </c>
      <c r="E8565" s="7" t="n">
        <v>0.04</v>
      </c>
      <c r="F8565" s="7" t="n">
        <v>0</v>
      </c>
      <c r="G8565" s="7" t="n">
        <v>0</v>
      </c>
    </row>
    <row r="8566" customFormat="false" ht="15" hidden="false" customHeight="false" outlineLevel="0" collapsed="false">
      <c r="A8566" s="7" t="s">
        <v>27</v>
      </c>
      <c r="B8566" s="7" t="s">
        <v>117</v>
      </c>
      <c r="C8566" s="7" t="s">
        <v>1055</v>
      </c>
      <c r="D8566" s="7" t="n">
        <v>120</v>
      </c>
      <c r="E8566" s="7" t="n">
        <v>3982.61</v>
      </c>
      <c r="F8566" s="7" t="n">
        <v>0</v>
      </c>
      <c r="G8566" s="7" t="n">
        <v>0</v>
      </c>
    </row>
    <row r="8567" customFormat="false" ht="15" hidden="false" customHeight="false" outlineLevel="0" collapsed="false">
      <c r="A8567" s="7" t="s">
        <v>27</v>
      </c>
      <c r="B8567" s="7" t="s">
        <v>117</v>
      </c>
      <c r="C8567" s="7" t="s">
        <v>1055</v>
      </c>
      <c r="D8567" s="7" t="n">
        <v>100</v>
      </c>
      <c r="E8567" s="7" t="n">
        <v>3490.35</v>
      </c>
      <c r="F8567" s="7" t="n">
        <v>0</v>
      </c>
      <c r="G8567" s="7" t="n">
        <v>0</v>
      </c>
    </row>
    <row r="8568" customFormat="false" ht="15" hidden="false" customHeight="false" outlineLevel="0" collapsed="false">
      <c r="A8568" s="7" t="s">
        <v>27</v>
      </c>
      <c r="B8568" s="7" t="s">
        <v>117</v>
      </c>
      <c r="C8568" s="7" t="s">
        <v>1055</v>
      </c>
      <c r="D8568" s="7" t="n">
        <v>100</v>
      </c>
      <c r="E8568" s="7" t="n">
        <v>3383.62</v>
      </c>
      <c r="F8568" s="7" t="n">
        <v>0</v>
      </c>
      <c r="G8568" s="7" t="n">
        <v>0</v>
      </c>
    </row>
    <row r="8569" customFormat="false" ht="15" hidden="false" customHeight="false" outlineLevel="0" collapsed="false">
      <c r="A8569" s="7" t="s">
        <v>27</v>
      </c>
      <c r="B8569" s="7" t="s">
        <v>117</v>
      </c>
      <c r="C8569" s="7" t="s">
        <v>1055</v>
      </c>
      <c r="D8569" s="7" t="n">
        <v>120</v>
      </c>
      <c r="E8569" s="7" t="n">
        <v>4359.09</v>
      </c>
      <c r="F8569" s="7" t="n">
        <v>0</v>
      </c>
      <c r="G8569" s="7" t="n">
        <v>0</v>
      </c>
    </row>
    <row r="8570" customFormat="false" ht="15" hidden="false" customHeight="false" outlineLevel="0" collapsed="false">
      <c r="A8570" s="7" t="s">
        <v>27</v>
      </c>
      <c r="B8570" s="7" t="s">
        <v>111</v>
      </c>
      <c r="C8570" s="7" t="s">
        <v>1055</v>
      </c>
      <c r="D8570" s="7" t="n">
        <v>150</v>
      </c>
      <c r="E8570" s="7" t="n">
        <v>4978.26</v>
      </c>
      <c r="F8570" s="7" t="n">
        <v>0</v>
      </c>
      <c r="G8570" s="7" t="n">
        <v>0</v>
      </c>
    </row>
    <row r="8571" customFormat="false" ht="15" hidden="false" customHeight="false" outlineLevel="0" collapsed="false">
      <c r="A8571" s="7" t="s">
        <v>27</v>
      </c>
      <c r="B8571" s="7" t="s">
        <v>111</v>
      </c>
      <c r="C8571" s="7" t="s">
        <v>1055</v>
      </c>
      <c r="D8571" s="7" t="n">
        <v>180</v>
      </c>
      <c r="E8571" s="7" t="n">
        <v>6282.63</v>
      </c>
      <c r="F8571" s="7" t="n">
        <v>0</v>
      </c>
      <c r="G8571" s="7" t="n">
        <v>0</v>
      </c>
    </row>
    <row r="8572" customFormat="false" ht="15" hidden="false" customHeight="false" outlineLevel="0" collapsed="false">
      <c r="A8572" s="7" t="s">
        <v>27</v>
      </c>
      <c r="B8572" s="7" t="s">
        <v>111</v>
      </c>
      <c r="C8572" s="7" t="s">
        <v>1055</v>
      </c>
      <c r="D8572" s="7" t="n">
        <v>100</v>
      </c>
      <c r="E8572" s="7" t="n">
        <v>3632.57</v>
      </c>
      <c r="F8572" s="7" t="n">
        <v>0</v>
      </c>
      <c r="G8572" s="7" t="n">
        <v>0</v>
      </c>
    </row>
    <row r="8573" customFormat="false" ht="15" hidden="false" customHeight="false" outlineLevel="0" collapsed="false">
      <c r="A8573" s="7" t="s">
        <v>27</v>
      </c>
      <c r="B8573" s="7" t="s">
        <v>111</v>
      </c>
      <c r="C8573" s="7" t="s">
        <v>1055</v>
      </c>
      <c r="D8573" s="7" t="n">
        <v>80</v>
      </c>
      <c r="E8573" s="7" t="n">
        <v>2706.9</v>
      </c>
      <c r="F8573" s="7" t="n">
        <v>0</v>
      </c>
      <c r="G8573" s="7" t="n">
        <v>0</v>
      </c>
    </row>
    <row r="8574" customFormat="false" ht="15" hidden="false" customHeight="false" outlineLevel="0" collapsed="false">
      <c r="A8574" s="7" t="s">
        <v>27</v>
      </c>
      <c r="B8574" s="7" t="s">
        <v>113</v>
      </c>
      <c r="C8574" s="7" t="s">
        <v>1055</v>
      </c>
      <c r="D8574" s="7" t="n">
        <v>100</v>
      </c>
      <c r="E8574" s="7" t="n">
        <v>3383.62</v>
      </c>
      <c r="F8574" s="7" t="n">
        <v>0</v>
      </c>
      <c r="G8574" s="7" t="n">
        <v>0</v>
      </c>
    </row>
    <row r="8575" customFormat="false" ht="15" hidden="false" customHeight="false" outlineLevel="0" collapsed="false">
      <c r="A8575" s="7" t="s">
        <v>27</v>
      </c>
      <c r="B8575" s="7" t="s">
        <v>113</v>
      </c>
      <c r="C8575" s="7" t="s">
        <v>1055</v>
      </c>
      <c r="D8575" s="7" t="n">
        <v>130</v>
      </c>
      <c r="E8575" s="7" t="n">
        <v>4537.46</v>
      </c>
      <c r="F8575" s="7" t="n">
        <v>0</v>
      </c>
      <c r="G8575" s="7" t="n">
        <v>0</v>
      </c>
    </row>
    <row r="8576" customFormat="false" ht="15" hidden="false" customHeight="false" outlineLevel="0" collapsed="false">
      <c r="A8576" s="7" t="s">
        <v>27</v>
      </c>
      <c r="B8576" s="7" t="s">
        <v>113</v>
      </c>
      <c r="C8576" s="7" t="s">
        <v>1055</v>
      </c>
      <c r="D8576" s="7" t="n">
        <v>120</v>
      </c>
      <c r="E8576" s="7" t="n">
        <v>3982.61</v>
      </c>
      <c r="F8576" s="7" t="n">
        <v>0</v>
      </c>
      <c r="G8576" s="7" t="n">
        <v>0</v>
      </c>
    </row>
    <row r="8577" customFormat="false" ht="15" hidden="false" customHeight="false" outlineLevel="0" collapsed="false">
      <c r="A8577" s="7" t="s">
        <v>27</v>
      </c>
      <c r="B8577" s="7" t="s">
        <v>113</v>
      </c>
      <c r="C8577" s="7" t="s">
        <v>1055</v>
      </c>
      <c r="D8577" s="7" t="n">
        <v>80</v>
      </c>
      <c r="E8577" s="7" t="n">
        <v>2906.06</v>
      </c>
      <c r="F8577" s="7" t="n">
        <v>0</v>
      </c>
      <c r="G8577" s="7" t="n">
        <v>0</v>
      </c>
    </row>
    <row r="8578" customFormat="false" ht="15" hidden="false" customHeight="false" outlineLevel="0" collapsed="false">
      <c r="A8578" s="7" t="s">
        <v>27</v>
      </c>
      <c r="B8578" s="7" t="s">
        <v>110</v>
      </c>
      <c r="C8578" s="7" t="s">
        <v>1105</v>
      </c>
      <c r="D8578" s="7" t="n">
        <v>100</v>
      </c>
      <c r="E8578" s="7" t="n">
        <v>3325.21</v>
      </c>
      <c r="F8578" s="7" t="n">
        <v>0</v>
      </c>
      <c r="G8578" s="7" t="n">
        <v>0</v>
      </c>
    </row>
    <row r="8579" customFormat="false" ht="15" hidden="false" customHeight="false" outlineLevel="0" collapsed="false">
      <c r="A8579" s="7" t="s">
        <v>27</v>
      </c>
      <c r="B8579" s="7" t="s">
        <v>110</v>
      </c>
      <c r="C8579" s="7" t="s">
        <v>1105</v>
      </c>
      <c r="D8579" s="7" t="n">
        <v>0</v>
      </c>
      <c r="E8579" s="7" t="n">
        <v>0</v>
      </c>
      <c r="F8579" s="7" t="n">
        <v>300</v>
      </c>
      <c r="G8579" s="7" t="n">
        <v>9690.48</v>
      </c>
    </row>
    <row r="8580" customFormat="false" ht="15" hidden="false" customHeight="false" outlineLevel="0" collapsed="false">
      <c r="A8580" s="7" t="s">
        <v>27</v>
      </c>
      <c r="B8580" s="7" t="s">
        <v>110</v>
      </c>
      <c r="C8580" s="7" t="s">
        <v>1105</v>
      </c>
      <c r="D8580" s="7" t="n">
        <v>0</v>
      </c>
      <c r="E8580" s="7" t="n">
        <v>0</v>
      </c>
      <c r="F8580" s="7" t="n">
        <v>150</v>
      </c>
      <c r="G8580" s="7" t="n">
        <v>4671.47</v>
      </c>
    </row>
    <row r="8581" customFormat="false" ht="15" hidden="false" customHeight="false" outlineLevel="0" collapsed="false">
      <c r="A8581" s="7" t="s">
        <v>27</v>
      </c>
      <c r="B8581" s="7" t="s">
        <v>104</v>
      </c>
      <c r="C8581" s="7" t="s">
        <v>1105</v>
      </c>
      <c r="D8581" s="7" t="n">
        <v>0</v>
      </c>
      <c r="E8581" s="7" t="n">
        <v>0</v>
      </c>
      <c r="F8581" s="7" t="n">
        <v>50</v>
      </c>
      <c r="G8581" s="7" t="n">
        <v>0.04</v>
      </c>
    </row>
    <row r="8582" customFormat="false" ht="15" hidden="false" customHeight="false" outlineLevel="0" collapsed="false">
      <c r="A8582" s="7" t="s">
        <v>27</v>
      </c>
      <c r="B8582" s="7" t="s">
        <v>104</v>
      </c>
      <c r="C8582" s="7" t="s">
        <v>1105</v>
      </c>
      <c r="D8582" s="7" t="n">
        <v>150</v>
      </c>
      <c r="E8582" s="7" t="n">
        <v>4987.82</v>
      </c>
      <c r="F8582" s="7" t="n">
        <v>0</v>
      </c>
      <c r="G8582" s="7" t="n">
        <v>0</v>
      </c>
    </row>
    <row r="8583" customFormat="false" ht="15" hidden="false" customHeight="false" outlineLevel="0" collapsed="false">
      <c r="A8583" s="7" t="s">
        <v>27</v>
      </c>
      <c r="B8583" s="7" t="s">
        <v>104</v>
      </c>
      <c r="C8583" s="7" t="s">
        <v>1105</v>
      </c>
      <c r="D8583" s="7" t="n">
        <v>0</v>
      </c>
      <c r="E8583" s="7" t="n">
        <v>0</v>
      </c>
      <c r="F8583" s="7" t="n">
        <v>350</v>
      </c>
      <c r="G8583" s="7" t="n">
        <v>11305.57</v>
      </c>
    </row>
    <row r="8584" customFormat="false" ht="15" hidden="false" customHeight="false" outlineLevel="0" collapsed="false">
      <c r="A8584" s="7" t="s">
        <v>27</v>
      </c>
      <c r="B8584" s="7" t="s">
        <v>104</v>
      </c>
      <c r="C8584" s="7" t="s">
        <v>1105</v>
      </c>
      <c r="D8584" s="7" t="n">
        <v>0</v>
      </c>
      <c r="E8584" s="7" t="n">
        <v>0</v>
      </c>
      <c r="F8584" s="7" t="n">
        <v>120</v>
      </c>
      <c r="G8584" s="7" t="n">
        <v>3737.18</v>
      </c>
    </row>
    <row r="8585" customFormat="false" ht="15" hidden="false" customHeight="false" outlineLevel="0" collapsed="false">
      <c r="A8585" s="7" t="s">
        <v>27</v>
      </c>
      <c r="B8585" s="7" t="s">
        <v>104</v>
      </c>
      <c r="C8585" s="7" t="s">
        <v>1105</v>
      </c>
      <c r="D8585" s="7" t="n">
        <v>1</v>
      </c>
      <c r="E8585" s="7" t="n">
        <v>0.04</v>
      </c>
      <c r="F8585" s="7" t="n">
        <v>0</v>
      </c>
      <c r="G8585" s="7" t="n">
        <v>0</v>
      </c>
    </row>
    <row r="8586" customFormat="false" ht="15" hidden="false" customHeight="false" outlineLevel="0" collapsed="false">
      <c r="A8586" s="7" t="s">
        <v>27</v>
      </c>
      <c r="B8586" s="7" t="s">
        <v>106</v>
      </c>
      <c r="C8586" s="7" t="s">
        <v>1105</v>
      </c>
      <c r="D8586" s="7" t="n">
        <v>0</v>
      </c>
      <c r="E8586" s="7" t="n">
        <v>0</v>
      </c>
      <c r="F8586" s="7" t="n">
        <v>350</v>
      </c>
      <c r="G8586" s="7" t="n">
        <v>11305.57</v>
      </c>
    </row>
    <row r="8587" customFormat="false" ht="15" hidden="false" customHeight="false" outlineLevel="0" collapsed="false">
      <c r="A8587" s="7" t="s">
        <v>27</v>
      </c>
      <c r="B8587" s="7" t="s">
        <v>106</v>
      </c>
      <c r="C8587" s="7" t="s">
        <v>1105</v>
      </c>
      <c r="D8587" s="7" t="n">
        <v>100</v>
      </c>
      <c r="E8587" s="7" t="n">
        <v>3325.21</v>
      </c>
      <c r="F8587" s="7" t="n">
        <v>0</v>
      </c>
      <c r="G8587" s="7" t="n">
        <v>0</v>
      </c>
    </row>
    <row r="8588" customFormat="false" ht="15" hidden="false" customHeight="false" outlineLevel="0" collapsed="false">
      <c r="A8588" s="7" t="s">
        <v>27</v>
      </c>
      <c r="B8588" s="7" t="s">
        <v>106</v>
      </c>
      <c r="C8588" s="7" t="s">
        <v>1105</v>
      </c>
      <c r="D8588" s="7" t="n">
        <v>0</v>
      </c>
      <c r="E8588" s="7" t="n">
        <v>0</v>
      </c>
      <c r="F8588" s="7" t="n">
        <v>50</v>
      </c>
      <c r="G8588" s="7" t="n">
        <v>0.04</v>
      </c>
    </row>
    <row r="8589" customFormat="false" ht="15" hidden="false" customHeight="false" outlineLevel="0" collapsed="false">
      <c r="A8589" s="7" t="s">
        <v>27</v>
      </c>
      <c r="B8589" s="7" t="s">
        <v>106</v>
      </c>
      <c r="C8589" s="7" t="s">
        <v>1105</v>
      </c>
      <c r="D8589" s="7" t="n">
        <v>0</v>
      </c>
      <c r="E8589" s="7" t="n">
        <v>0</v>
      </c>
      <c r="F8589" s="7" t="n">
        <v>200</v>
      </c>
      <c r="G8589" s="7" t="n">
        <v>6228.63</v>
      </c>
    </row>
    <row r="8590" customFormat="false" ht="15" hidden="false" customHeight="false" outlineLevel="0" collapsed="false">
      <c r="A8590" s="7" t="s">
        <v>27</v>
      </c>
      <c r="B8590" s="7" t="s">
        <v>129</v>
      </c>
      <c r="C8590" s="7" t="s">
        <v>1154</v>
      </c>
      <c r="D8590" s="7" t="n">
        <v>12</v>
      </c>
      <c r="E8590" s="7" t="n">
        <v>786.78</v>
      </c>
      <c r="F8590" s="7" t="n">
        <v>0</v>
      </c>
      <c r="G8590" s="7" t="n">
        <v>0</v>
      </c>
    </row>
    <row r="8591" customFormat="false" ht="15" hidden="false" customHeight="false" outlineLevel="0" collapsed="false">
      <c r="A8591" s="7" t="s">
        <v>27</v>
      </c>
      <c r="B8591" s="7" t="s">
        <v>129</v>
      </c>
      <c r="C8591" s="7" t="s">
        <v>1154</v>
      </c>
      <c r="D8591" s="7" t="n">
        <v>20</v>
      </c>
      <c r="E8591" s="7" t="n">
        <v>1308.78</v>
      </c>
      <c r="F8591" s="7" t="n">
        <v>0</v>
      </c>
      <c r="G8591" s="7" t="n">
        <v>0</v>
      </c>
    </row>
    <row r="8592" customFormat="false" ht="15" hidden="false" customHeight="false" outlineLevel="0" collapsed="false">
      <c r="A8592" s="7" t="s">
        <v>27</v>
      </c>
      <c r="B8592" s="7" t="s">
        <v>129</v>
      </c>
      <c r="C8592" s="7" t="s">
        <v>1154</v>
      </c>
      <c r="D8592" s="7" t="n">
        <v>0</v>
      </c>
      <c r="E8592" s="7" t="n">
        <v>0</v>
      </c>
      <c r="F8592" s="7" t="n">
        <v>20</v>
      </c>
      <c r="G8592" s="7" t="n">
        <v>1180.07</v>
      </c>
    </row>
    <row r="8593" customFormat="false" ht="15" hidden="false" customHeight="false" outlineLevel="0" collapsed="false">
      <c r="A8593" s="7" t="s">
        <v>27</v>
      </c>
      <c r="B8593" s="7" t="s">
        <v>129</v>
      </c>
      <c r="C8593" s="7" t="s">
        <v>1154</v>
      </c>
      <c r="D8593" s="7" t="n">
        <v>0</v>
      </c>
      <c r="E8593" s="7" t="n">
        <v>0</v>
      </c>
      <c r="F8593" s="7" t="n">
        <v>10</v>
      </c>
      <c r="G8593" s="7" t="n">
        <v>636.91</v>
      </c>
    </row>
    <row r="8594" customFormat="false" ht="15" hidden="false" customHeight="false" outlineLevel="0" collapsed="false">
      <c r="A8594" s="7" t="s">
        <v>27</v>
      </c>
      <c r="B8594" s="7" t="s">
        <v>129</v>
      </c>
      <c r="C8594" s="7" t="s">
        <v>1154</v>
      </c>
      <c r="D8594" s="7" t="n">
        <v>0</v>
      </c>
      <c r="E8594" s="7" t="n">
        <v>0</v>
      </c>
      <c r="F8594" s="7" t="n">
        <v>20</v>
      </c>
      <c r="G8594" s="7" t="n">
        <v>1228.13</v>
      </c>
    </row>
    <row r="8595" customFormat="false" ht="15" hidden="false" customHeight="false" outlineLevel="0" collapsed="false">
      <c r="A8595" s="7" t="s">
        <v>27</v>
      </c>
      <c r="B8595" s="7" t="s">
        <v>129</v>
      </c>
      <c r="C8595" s="7" t="s">
        <v>1154</v>
      </c>
      <c r="D8595" s="7" t="n">
        <v>20</v>
      </c>
      <c r="E8595" s="7" t="n">
        <v>1376.42</v>
      </c>
      <c r="F8595" s="7" t="n">
        <v>0</v>
      </c>
      <c r="G8595" s="7" t="n">
        <v>0</v>
      </c>
    </row>
    <row r="8596" customFormat="false" ht="15" hidden="false" customHeight="false" outlineLevel="0" collapsed="false">
      <c r="A8596" s="7" t="s">
        <v>27</v>
      </c>
      <c r="B8596" s="7" t="s">
        <v>129</v>
      </c>
      <c r="C8596" s="7" t="s">
        <v>1154</v>
      </c>
      <c r="D8596" s="7" t="n">
        <v>40</v>
      </c>
      <c r="E8596" s="7" t="n">
        <v>2865.01</v>
      </c>
      <c r="F8596" s="7" t="n">
        <v>0</v>
      </c>
      <c r="G8596" s="7" t="n">
        <v>0</v>
      </c>
    </row>
    <row r="8597" customFormat="false" ht="15" hidden="false" customHeight="false" outlineLevel="0" collapsed="false">
      <c r="A8597" s="7" t="s">
        <v>27</v>
      </c>
      <c r="B8597" s="7" t="s">
        <v>556</v>
      </c>
      <c r="C8597" s="7" t="s">
        <v>1079</v>
      </c>
      <c r="D8597" s="7" t="n">
        <v>40</v>
      </c>
      <c r="E8597" s="7" t="n">
        <v>582.85</v>
      </c>
      <c r="F8597" s="7" t="n">
        <v>0</v>
      </c>
      <c r="G8597" s="7" t="n">
        <v>0</v>
      </c>
    </row>
    <row r="8598" customFormat="false" ht="15" hidden="false" customHeight="false" outlineLevel="0" collapsed="false">
      <c r="A8598" s="7" t="s">
        <v>27</v>
      </c>
      <c r="B8598" s="7" t="s">
        <v>556</v>
      </c>
      <c r="C8598" s="7" t="s">
        <v>1079</v>
      </c>
      <c r="D8598" s="7" t="n">
        <v>0</v>
      </c>
      <c r="E8598" s="7" t="n">
        <v>0</v>
      </c>
      <c r="F8598" s="7" t="n">
        <v>60</v>
      </c>
      <c r="G8598" s="7" t="n">
        <v>720.22</v>
      </c>
    </row>
    <row r="8599" customFormat="false" ht="15" hidden="false" customHeight="false" outlineLevel="0" collapsed="false">
      <c r="A8599" s="7" t="s">
        <v>27</v>
      </c>
      <c r="B8599" s="7" t="s">
        <v>556</v>
      </c>
      <c r="C8599" s="7" t="s">
        <v>1079</v>
      </c>
      <c r="D8599" s="7" t="n">
        <v>40</v>
      </c>
      <c r="E8599" s="7" t="n">
        <v>542.91</v>
      </c>
      <c r="F8599" s="7" t="n">
        <v>0</v>
      </c>
      <c r="G8599" s="7" t="n">
        <v>0</v>
      </c>
    </row>
    <row r="8600" customFormat="false" ht="15" hidden="false" customHeight="false" outlineLevel="0" collapsed="false">
      <c r="A8600" s="7" t="s">
        <v>27</v>
      </c>
      <c r="B8600" s="7" t="s">
        <v>556</v>
      </c>
      <c r="C8600" s="7" t="s">
        <v>1079</v>
      </c>
      <c r="D8600" s="7" t="n">
        <v>50</v>
      </c>
      <c r="E8600" s="7" t="n">
        <v>700.04</v>
      </c>
      <c r="F8600" s="7" t="n">
        <v>0</v>
      </c>
      <c r="G8600" s="7" t="n">
        <v>0</v>
      </c>
    </row>
    <row r="8601" customFormat="false" ht="15" hidden="false" customHeight="false" outlineLevel="0" collapsed="false">
      <c r="A8601" s="7" t="s">
        <v>27</v>
      </c>
      <c r="B8601" s="7" t="s">
        <v>556</v>
      </c>
      <c r="C8601" s="7" t="s">
        <v>1079</v>
      </c>
      <c r="D8601" s="7" t="n">
        <v>60</v>
      </c>
      <c r="E8601" s="7" t="n">
        <v>798.77</v>
      </c>
      <c r="F8601" s="7" t="n">
        <v>0</v>
      </c>
      <c r="G8601" s="7" t="n">
        <v>0</v>
      </c>
    </row>
    <row r="8602" customFormat="false" ht="15" hidden="false" customHeight="false" outlineLevel="0" collapsed="false">
      <c r="A8602" s="7" t="s">
        <v>27</v>
      </c>
      <c r="B8602" s="7" t="s">
        <v>556</v>
      </c>
      <c r="C8602" s="7" t="s">
        <v>1079</v>
      </c>
      <c r="D8602" s="7" t="n">
        <v>0</v>
      </c>
      <c r="E8602" s="7" t="n">
        <v>0</v>
      </c>
      <c r="F8602" s="7" t="n">
        <v>20</v>
      </c>
      <c r="G8602" s="7" t="n">
        <v>259.14</v>
      </c>
    </row>
    <row r="8603" customFormat="false" ht="15" hidden="false" customHeight="false" outlineLevel="0" collapsed="false">
      <c r="A8603" s="7" t="s">
        <v>27</v>
      </c>
      <c r="B8603" s="7" t="s">
        <v>556</v>
      </c>
      <c r="C8603" s="7" t="s">
        <v>1079</v>
      </c>
      <c r="D8603" s="7" t="n">
        <v>0</v>
      </c>
      <c r="E8603" s="7" t="n">
        <v>0</v>
      </c>
      <c r="F8603" s="7" t="n">
        <v>40</v>
      </c>
      <c r="G8603" s="7" t="n">
        <v>499.7</v>
      </c>
    </row>
    <row r="8604" customFormat="false" ht="15" hidden="false" customHeight="false" outlineLevel="0" collapsed="false">
      <c r="A8604" s="7" t="s">
        <v>27</v>
      </c>
      <c r="B8604" s="7" t="s">
        <v>556</v>
      </c>
      <c r="C8604" s="7" t="s">
        <v>1079</v>
      </c>
      <c r="D8604" s="7" t="n">
        <v>20</v>
      </c>
      <c r="E8604" s="7" t="n">
        <v>266.77</v>
      </c>
      <c r="F8604" s="7" t="n">
        <v>0</v>
      </c>
      <c r="G8604" s="7" t="n">
        <v>0</v>
      </c>
    </row>
    <row r="8605" customFormat="false" ht="15" hidden="false" customHeight="false" outlineLevel="0" collapsed="false">
      <c r="A8605" s="7" t="s">
        <v>27</v>
      </c>
      <c r="B8605" s="7" t="s">
        <v>580</v>
      </c>
      <c r="C8605" s="7" t="s">
        <v>1079</v>
      </c>
      <c r="D8605" s="7" t="n">
        <v>0</v>
      </c>
      <c r="E8605" s="7" t="n">
        <v>0</v>
      </c>
      <c r="F8605" s="7" t="n">
        <v>60</v>
      </c>
      <c r="G8605" s="7" t="n">
        <v>720.22</v>
      </c>
    </row>
    <row r="8606" customFormat="false" ht="15" hidden="false" customHeight="false" outlineLevel="0" collapsed="false">
      <c r="A8606" s="7" t="s">
        <v>27</v>
      </c>
      <c r="B8606" s="7" t="s">
        <v>580</v>
      </c>
      <c r="C8606" s="7" t="s">
        <v>1079</v>
      </c>
      <c r="D8606" s="7" t="n">
        <v>0</v>
      </c>
      <c r="E8606" s="7" t="n">
        <v>0</v>
      </c>
      <c r="F8606" s="7" t="n">
        <v>70</v>
      </c>
      <c r="G8606" s="7" t="n">
        <v>874.47</v>
      </c>
    </row>
    <row r="8607" customFormat="false" ht="15" hidden="false" customHeight="false" outlineLevel="0" collapsed="false">
      <c r="A8607" s="7" t="s">
        <v>27</v>
      </c>
      <c r="B8607" s="7" t="s">
        <v>580</v>
      </c>
      <c r="C8607" s="7" t="s">
        <v>1079</v>
      </c>
      <c r="D8607" s="7" t="n">
        <v>50</v>
      </c>
      <c r="E8607" s="7" t="n">
        <v>665.64</v>
      </c>
      <c r="F8607" s="7" t="n">
        <v>0</v>
      </c>
      <c r="G8607" s="7" t="n">
        <v>0</v>
      </c>
    </row>
    <row r="8608" customFormat="false" ht="15" hidden="false" customHeight="false" outlineLevel="0" collapsed="false">
      <c r="A8608" s="7" t="s">
        <v>27</v>
      </c>
      <c r="B8608" s="7" t="s">
        <v>580</v>
      </c>
      <c r="C8608" s="7" t="s">
        <v>1079</v>
      </c>
      <c r="D8608" s="7" t="n">
        <v>0</v>
      </c>
      <c r="E8608" s="7" t="n">
        <v>0</v>
      </c>
      <c r="F8608" s="7" t="n">
        <v>40</v>
      </c>
      <c r="G8608" s="7" t="n">
        <v>518.29</v>
      </c>
    </row>
    <row r="8609" customFormat="false" ht="15" hidden="false" customHeight="false" outlineLevel="0" collapsed="false">
      <c r="A8609" s="7" t="s">
        <v>27</v>
      </c>
      <c r="B8609" s="7" t="s">
        <v>580</v>
      </c>
      <c r="C8609" s="7" t="s">
        <v>1079</v>
      </c>
      <c r="D8609" s="7" t="n">
        <v>50</v>
      </c>
      <c r="E8609" s="7" t="n">
        <v>678.64</v>
      </c>
      <c r="F8609" s="7" t="n">
        <v>0</v>
      </c>
      <c r="G8609" s="7" t="n">
        <v>0</v>
      </c>
    </row>
    <row r="8610" customFormat="false" ht="15" hidden="false" customHeight="false" outlineLevel="0" collapsed="false">
      <c r="A8610" s="7" t="s">
        <v>27</v>
      </c>
      <c r="B8610" s="7" t="s">
        <v>580</v>
      </c>
      <c r="C8610" s="7" t="s">
        <v>1079</v>
      </c>
      <c r="D8610" s="7" t="n">
        <v>20</v>
      </c>
      <c r="E8610" s="7" t="n">
        <v>280.02</v>
      </c>
      <c r="F8610" s="7" t="n">
        <v>0</v>
      </c>
      <c r="G8610" s="7" t="n">
        <v>0</v>
      </c>
    </row>
    <row r="8611" customFormat="false" ht="15" hidden="false" customHeight="false" outlineLevel="0" collapsed="false">
      <c r="A8611" s="7" t="s">
        <v>27</v>
      </c>
      <c r="B8611" s="7" t="s">
        <v>580</v>
      </c>
      <c r="C8611" s="7" t="s">
        <v>1079</v>
      </c>
      <c r="D8611" s="7" t="n">
        <v>80</v>
      </c>
      <c r="E8611" s="7" t="n">
        <v>1165.71</v>
      </c>
      <c r="F8611" s="7" t="n">
        <v>0</v>
      </c>
      <c r="G8611" s="7" t="n">
        <v>0</v>
      </c>
    </row>
    <row r="8612" customFormat="false" ht="15" hidden="false" customHeight="false" outlineLevel="0" collapsed="false">
      <c r="A8612" s="7" t="s">
        <v>27</v>
      </c>
      <c r="B8612" s="7" t="s">
        <v>580</v>
      </c>
      <c r="C8612" s="7" t="s">
        <v>1079</v>
      </c>
      <c r="D8612" s="7" t="n">
        <v>30</v>
      </c>
      <c r="E8612" s="7" t="n">
        <v>400.15</v>
      </c>
      <c r="F8612" s="7" t="n">
        <v>0</v>
      </c>
      <c r="G8612" s="7" t="n">
        <v>0</v>
      </c>
    </row>
    <row r="8613" customFormat="false" ht="15" hidden="false" customHeight="false" outlineLevel="0" collapsed="false">
      <c r="A8613" s="7" t="s">
        <v>27</v>
      </c>
      <c r="B8613" s="7" t="s">
        <v>572</v>
      </c>
      <c r="C8613" s="7" t="s">
        <v>1079</v>
      </c>
      <c r="D8613" s="7" t="n">
        <v>0</v>
      </c>
      <c r="E8613" s="7" t="n">
        <v>0</v>
      </c>
      <c r="F8613" s="7" t="n">
        <v>20</v>
      </c>
      <c r="G8613" s="7" t="n">
        <v>249.85</v>
      </c>
    </row>
    <row r="8614" customFormat="false" ht="15" hidden="false" customHeight="false" outlineLevel="0" collapsed="false">
      <c r="A8614" s="7" t="s">
        <v>27</v>
      </c>
      <c r="B8614" s="7" t="s">
        <v>572</v>
      </c>
      <c r="C8614" s="7" t="s">
        <v>1079</v>
      </c>
      <c r="D8614" s="7" t="n">
        <v>0</v>
      </c>
      <c r="E8614" s="7" t="n">
        <v>0</v>
      </c>
      <c r="F8614" s="7" t="n">
        <v>10</v>
      </c>
      <c r="G8614" s="7" t="n">
        <v>129.57</v>
      </c>
    </row>
    <row r="8615" customFormat="false" ht="15" hidden="false" customHeight="false" outlineLevel="0" collapsed="false">
      <c r="A8615" s="7" t="s">
        <v>27</v>
      </c>
      <c r="B8615" s="7" t="s">
        <v>572</v>
      </c>
      <c r="C8615" s="7" t="s">
        <v>1079</v>
      </c>
      <c r="D8615" s="7" t="n">
        <v>0</v>
      </c>
      <c r="E8615" s="7" t="n">
        <v>0</v>
      </c>
      <c r="F8615" s="7" t="n">
        <v>20</v>
      </c>
      <c r="G8615" s="7" t="n">
        <v>240.07</v>
      </c>
    </row>
    <row r="8616" customFormat="false" ht="15" hidden="false" customHeight="false" outlineLevel="0" collapsed="false">
      <c r="A8616" s="7" t="s">
        <v>27</v>
      </c>
      <c r="B8616" s="7" t="s">
        <v>572</v>
      </c>
      <c r="C8616" s="7" t="s">
        <v>1079</v>
      </c>
      <c r="D8616" s="7" t="n">
        <v>30</v>
      </c>
      <c r="E8616" s="7" t="n">
        <v>399.39</v>
      </c>
      <c r="F8616" s="7" t="n">
        <v>0</v>
      </c>
      <c r="G8616" s="7" t="n">
        <v>0</v>
      </c>
    </row>
    <row r="8617" customFormat="false" ht="15" hidden="false" customHeight="false" outlineLevel="0" collapsed="false">
      <c r="A8617" s="7" t="s">
        <v>27</v>
      </c>
      <c r="B8617" s="7" t="s">
        <v>572</v>
      </c>
      <c r="C8617" s="7" t="s">
        <v>1079</v>
      </c>
      <c r="D8617" s="7" t="n">
        <v>20</v>
      </c>
      <c r="E8617" s="7" t="n">
        <v>271.45</v>
      </c>
      <c r="F8617" s="7" t="n">
        <v>0</v>
      </c>
      <c r="G8617" s="7" t="n">
        <v>0</v>
      </c>
    </row>
    <row r="8618" customFormat="false" ht="15" hidden="false" customHeight="false" outlineLevel="0" collapsed="false">
      <c r="A8618" s="7" t="s">
        <v>27</v>
      </c>
      <c r="B8618" s="7" t="s">
        <v>572</v>
      </c>
      <c r="C8618" s="7" t="s">
        <v>1079</v>
      </c>
      <c r="D8618" s="7" t="n">
        <v>70</v>
      </c>
      <c r="E8618" s="7" t="n">
        <v>1020</v>
      </c>
      <c r="F8618" s="7" t="n">
        <v>0</v>
      </c>
      <c r="G8618" s="7" t="n">
        <v>0</v>
      </c>
    </row>
    <row r="8619" customFormat="false" ht="15" hidden="false" customHeight="false" outlineLevel="0" collapsed="false">
      <c r="A8619" s="7" t="s">
        <v>27</v>
      </c>
      <c r="B8619" s="7" t="s">
        <v>578</v>
      </c>
      <c r="C8619" s="7" t="s">
        <v>1079</v>
      </c>
      <c r="D8619" s="7" t="n">
        <v>0</v>
      </c>
      <c r="E8619" s="7" t="n">
        <v>0</v>
      </c>
      <c r="F8619" s="7" t="n">
        <v>20</v>
      </c>
      <c r="G8619" s="7" t="n">
        <v>249.85</v>
      </c>
    </row>
    <row r="8620" customFormat="false" ht="15" hidden="false" customHeight="false" outlineLevel="0" collapsed="false">
      <c r="A8620" s="7" t="s">
        <v>27</v>
      </c>
      <c r="B8620" s="7" t="s">
        <v>578</v>
      </c>
      <c r="C8620" s="7" t="s">
        <v>1079</v>
      </c>
      <c r="D8620" s="7" t="n">
        <v>40</v>
      </c>
      <c r="E8620" s="7" t="n">
        <v>532.51</v>
      </c>
      <c r="F8620" s="7" t="n">
        <v>0</v>
      </c>
      <c r="G8620" s="7" t="n">
        <v>0</v>
      </c>
    </row>
    <row r="8621" customFormat="false" ht="15" hidden="false" customHeight="false" outlineLevel="0" collapsed="false">
      <c r="A8621" s="7" t="s">
        <v>27</v>
      </c>
      <c r="B8621" s="7" t="s">
        <v>578</v>
      </c>
      <c r="C8621" s="7" t="s">
        <v>1079</v>
      </c>
      <c r="D8621" s="7" t="n">
        <v>0</v>
      </c>
      <c r="E8621" s="7" t="n">
        <v>0</v>
      </c>
      <c r="F8621" s="7" t="n">
        <v>20</v>
      </c>
      <c r="G8621" s="7" t="n">
        <v>259.14</v>
      </c>
    </row>
    <row r="8622" customFormat="false" ht="15" hidden="false" customHeight="false" outlineLevel="0" collapsed="false">
      <c r="A8622" s="7" t="s">
        <v>27</v>
      </c>
      <c r="B8622" s="7" t="s">
        <v>578</v>
      </c>
      <c r="C8622" s="7" t="s">
        <v>1079</v>
      </c>
      <c r="D8622" s="7" t="n">
        <v>70</v>
      </c>
      <c r="E8622" s="7" t="n">
        <v>1019.99</v>
      </c>
      <c r="F8622" s="7" t="n">
        <v>0</v>
      </c>
      <c r="G8622" s="7" t="n">
        <v>0</v>
      </c>
    </row>
    <row r="8623" customFormat="false" ht="15" hidden="false" customHeight="false" outlineLevel="0" collapsed="false">
      <c r="A8623" s="7" t="s">
        <v>27</v>
      </c>
      <c r="B8623" s="7" t="s">
        <v>578</v>
      </c>
      <c r="C8623" s="7" t="s">
        <v>1079</v>
      </c>
      <c r="D8623" s="7" t="n">
        <v>10</v>
      </c>
      <c r="E8623" s="7" t="n">
        <v>133.38</v>
      </c>
      <c r="F8623" s="7" t="n">
        <v>0</v>
      </c>
      <c r="G8623" s="7" t="n">
        <v>0</v>
      </c>
    </row>
    <row r="8624" customFormat="false" ht="15" hidden="false" customHeight="false" outlineLevel="0" collapsed="false">
      <c r="A8624" s="7" t="s">
        <v>27</v>
      </c>
      <c r="B8624" s="7" t="s">
        <v>369</v>
      </c>
      <c r="C8624" s="7" t="s">
        <v>1246</v>
      </c>
      <c r="D8624" s="7" t="n">
        <v>0</v>
      </c>
      <c r="E8624" s="7" t="n">
        <v>0</v>
      </c>
      <c r="F8624" s="7" t="n">
        <v>200</v>
      </c>
      <c r="G8624" s="7" t="n">
        <v>2639.25</v>
      </c>
    </row>
    <row r="8625" customFormat="false" ht="15" hidden="false" customHeight="false" outlineLevel="0" collapsed="false">
      <c r="A8625" s="7" t="s">
        <v>27</v>
      </c>
      <c r="B8625" s="7" t="s">
        <v>369</v>
      </c>
      <c r="C8625" s="7" t="s">
        <v>1246</v>
      </c>
      <c r="D8625" s="7" t="n">
        <v>0</v>
      </c>
      <c r="E8625" s="7" t="n">
        <v>0</v>
      </c>
      <c r="F8625" s="7" t="n">
        <v>80</v>
      </c>
      <c r="G8625" s="7" t="n">
        <v>1094.97</v>
      </c>
    </row>
    <row r="8626" customFormat="false" ht="15" hidden="false" customHeight="false" outlineLevel="0" collapsed="false">
      <c r="A8626" s="7" t="s">
        <v>27</v>
      </c>
      <c r="B8626" s="7" t="s">
        <v>369</v>
      </c>
      <c r="C8626" s="7" t="s">
        <v>1246</v>
      </c>
      <c r="D8626" s="7" t="n">
        <v>150</v>
      </c>
      <c r="E8626" s="7" t="n">
        <v>2218.44</v>
      </c>
      <c r="F8626" s="7" t="n">
        <v>0</v>
      </c>
      <c r="G8626" s="7" t="n">
        <v>0</v>
      </c>
    </row>
    <row r="8627" customFormat="false" ht="15" hidden="false" customHeight="false" outlineLevel="0" collapsed="false">
      <c r="A8627" s="7" t="s">
        <v>27</v>
      </c>
      <c r="B8627" s="7" t="s">
        <v>369</v>
      </c>
      <c r="C8627" s="7" t="s">
        <v>1246</v>
      </c>
      <c r="D8627" s="7" t="n">
        <v>200</v>
      </c>
      <c r="E8627" s="7" t="n">
        <v>2812.58</v>
      </c>
      <c r="F8627" s="7" t="n">
        <v>0</v>
      </c>
      <c r="G8627" s="7" t="n">
        <v>0</v>
      </c>
    </row>
    <row r="8628" customFormat="false" ht="15" hidden="false" customHeight="false" outlineLevel="0" collapsed="false">
      <c r="A8628" s="7" t="s">
        <v>27</v>
      </c>
      <c r="B8628" s="7" t="s">
        <v>369</v>
      </c>
      <c r="C8628" s="7" t="s">
        <v>1246</v>
      </c>
      <c r="D8628" s="7" t="n">
        <v>100</v>
      </c>
      <c r="E8628" s="7" t="n">
        <v>1433.74</v>
      </c>
      <c r="F8628" s="7" t="n">
        <v>0</v>
      </c>
      <c r="G8628" s="7" t="n">
        <v>0</v>
      </c>
    </row>
    <row r="8629" customFormat="false" ht="15" hidden="false" customHeight="false" outlineLevel="0" collapsed="false">
      <c r="A8629" s="7" t="s">
        <v>27</v>
      </c>
      <c r="B8629" s="7" t="s">
        <v>369</v>
      </c>
      <c r="C8629" s="7" t="s">
        <v>1246</v>
      </c>
      <c r="D8629" s="7" t="n">
        <v>80</v>
      </c>
      <c r="E8629" s="7" t="n">
        <v>1127.19</v>
      </c>
      <c r="F8629" s="7" t="n">
        <v>0</v>
      </c>
      <c r="G8629" s="7" t="n">
        <v>0</v>
      </c>
    </row>
    <row r="8630" customFormat="false" ht="15" hidden="false" customHeight="false" outlineLevel="0" collapsed="false">
      <c r="A8630" s="7" t="s">
        <v>27</v>
      </c>
      <c r="B8630" s="7" t="s">
        <v>435</v>
      </c>
      <c r="C8630" s="7" t="s">
        <v>1246</v>
      </c>
      <c r="D8630" s="7" t="n">
        <v>80</v>
      </c>
      <c r="E8630" s="7" t="n">
        <v>1231.38</v>
      </c>
      <c r="F8630" s="7" t="n">
        <v>0</v>
      </c>
      <c r="G8630" s="7" t="n">
        <v>0</v>
      </c>
    </row>
    <row r="8631" customFormat="false" ht="15" hidden="false" customHeight="false" outlineLevel="0" collapsed="false">
      <c r="A8631" s="7" t="s">
        <v>27</v>
      </c>
      <c r="B8631" s="7" t="s">
        <v>435</v>
      </c>
      <c r="C8631" s="7" t="s">
        <v>1246</v>
      </c>
      <c r="D8631" s="7" t="n">
        <v>0</v>
      </c>
      <c r="E8631" s="7" t="n">
        <v>0</v>
      </c>
      <c r="F8631" s="7" t="n">
        <v>50</v>
      </c>
      <c r="G8631" s="7" t="n">
        <v>659.81</v>
      </c>
    </row>
    <row r="8632" customFormat="false" ht="15" hidden="false" customHeight="false" outlineLevel="0" collapsed="false">
      <c r="A8632" s="7" t="s">
        <v>27</v>
      </c>
      <c r="B8632" s="7" t="s">
        <v>435</v>
      </c>
      <c r="C8632" s="7" t="s">
        <v>1246</v>
      </c>
      <c r="D8632" s="7" t="n">
        <v>100</v>
      </c>
      <c r="E8632" s="7" t="n">
        <v>1478.96</v>
      </c>
      <c r="F8632" s="7" t="n">
        <v>0</v>
      </c>
      <c r="G8632" s="7" t="n">
        <v>0</v>
      </c>
    </row>
    <row r="8633" customFormat="false" ht="15" hidden="false" customHeight="false" outlineLevel="0" collapsed="false">
      <c r="A8633" s="7" t="s">
        <v>27</v>
      </c>
      <c r="B8633" s="7" t="s">
        <v>435</v>
      </c>
      <c r="C8633" s="7" t="s">
        <v>1246</v>
      </c>
      <c r="D8633" s="7" t="n">
        <v>0</v>
      </c>
      <c r="E8633" s="7" t="n">
        <v>0</v>
      </c>
      <c r="F8633" s="7" t="n">
        <v>50</v>
      </c>
      <c r="G8633" s="7" t="n">
        <v>684.36</v>
      </c>
    </row>
    <row r="8634" customFormat="false" ht="15" hidden="false" customHeight="false" outlineLevel="0" collapsed="false">
      <c r="A8634" s="7" t="s">
        <v>27</v>
      </c>
      <c r="B8634" s="7" t="s">
        <v>435</v>
      </c>
      <c r="C8634" s="7" t="s">
        <v>1246</v>
      </c>
      <c r="D8634" s="7" t="n">
        <v>70</v>
      </c>
      <c r="E8634" s="7" t="n">
        <v>1003.62</v>
      </c>
      <c r="F8634" s="7" t="n">
        <v>0</v>
      </c>
      <c r="G8634" s="7" t="n">
        <v>0</v>
      </c>
    </row>
    <row r="8635" customFormat="false" ht="15" hidden="false" customHeight="false" outlineLevel="0" collapsed="false">
      <c r="A8635" s="7" t="s">
        <v>27</v>
      </c>
      <c r="B8635" s="7" t="s">
        <v>435</v>
      </c>
      <c r="C8635" s="7" t="s">
        <v>1246</v>
      </c>
      <c r="D8635" s="7" t="n">
        <v>0</v>
      </c>
      <c r="E8635" s="7" t="n">
        <v>0</v>
      </c>
      <c r="F8635" s="7" t="n">
        <v>120</v>
      </c>
      <c r="G8635" s="7" t="n">
        <v>1521.59</v>
      </c>
    </row>
    <row r="8636" customFormat="false" ht="15" hidden="false" customHeight="false" outlineLevel="0" collapsed="false">
      <c r="A8636" s="7" t="s">
        <v>27</v>
      </c>
      <c r="B8636" s="7" t="s">
        <v>435</v>
      </c>
      <c r="C8636" s="7" t="s">
        <v>1246</v>
      </c>
      <c r="D8636" s="7" t="n">
        <v>50</v>
      </c>
      <c r="E8636" s="7" t="n">
        <v>704.49</v>
      </c>
      <c r="F8636" s="7" t="n">
        <v>0</v>
      </c>
      <c r="G8636" s="7" t="n">
        <v>0</v>
      </c>
    </row>
    <row r="8637" customFormat="false" ht="15" hidden="false" customHeight="false" outlineLevel="0" collapsed="false">
      <c r="A8637" s="7" t="s">
        <v>27</v>
      </c>
      <c r="B8637" s="7" t="s">
        <v>435</v>
      </c>
      <c r="C8637" s="7" t="s">
        <v>1246</v>
      </c>
      <c r="D8637" s="7" t="n">
        <v>150</v>
      </c>
      <c r="E8637" s="7" t="n">
        <v>2109.43</v>
      </c>
      <c r="F8637" s="7" t="n">
        <v>0</v>
      </c>
      <c r="G8637" s="7" t="n">
        <v>0</v>
      </c>
    </row>
    <row r="8638" customFormat="false" ht="15" hidden="false" customHeight="false" outlineLevel="0" collapsed="false">
      <c r="A8638" s="7" t="s">
        <v>27</v>
      </c>
      <c r="B8638" s="7" t="s">
        <v>560</v>
      </c>
      <c r="C8638" s="7" t="s">
        <v>1246</v>
      </c>
      <c r="D8638" s="7" t="n">
        <v>60</v>
      </c>
      <c r="E8638" s="7" t="n">
        <v>887.38</v>
      </c>
      <c r="F8638" s="7" t="n">
        <v>0</v>
      </c>
      <c r="G8638" s="7" t="n">
        <v>0</v>
      </c>
    </row>
    <row r="8639" customFormat="false" ht="15" hidden="false" customHeight="false" outlineLevel="0" collapsed="false">
      <c r="A8639" s="7" t="s">
        <v>27</v>
      </c>
      <c r="B8639" s="7" t="s">
        <v>560</v>
      </c>
      <c r="C8639" s="7" t="s">
        <v>1246</v>
      </c>
      <c r="D8639" s="7" t="n">
        <v>0</v>
      </c>
      <c r="E8639" s="7" t="n">
        <v>0</v>
      </c>
      <c r="F8639" s="7" t="n">
        <v>30</v>
      </c>
      <c r="G8639" s="7" t="n">
        <v>410.61</v>
      </c>
    </row>
    <row r="8640" customFormat="false" ht="15" hidden="false" customHeight="false" outlineLevel="0" collapsed="false">
      <c r="A8640" s="7" t="s">
        <v>27</v>
      </c>
      <c r="B8640" s="7" t="s">
        <v>560</v>
      </c>
      <c r="C8640" s="7" t="s">
        <v>1246</v>
      </c>
      <c r="D8640" s="7" t="n">
        <v>60</v>
      </c>
      <c r="E8640" s="7" t="n">
        <v>923.54</v>
      </c>
      <c r="F8640" s="7" t="n">
        <v>0</v>
      </c>
      <c r="G8640" s="7" t="n">
        <v>0</v>
      </c>
    </row>
    <row r="8641" customFormat="false" ht="15" hidden="false" customHeight="false" outlineLevel="0" collapsed="false">
      <c r="A8641" s="7" t="s">
        <v>27</v>
      </c>
      <c r="B8641" s="7" t="s">
        <v>560</v>
      </c>
      <c r="C8641" s="7" t="s">
        <v>1246</v>
      </c>
      <c r="D8641" s="7" t="n">
        <v>50</v>
      </c>
      <c r="E8641" s="7" t="n">
        <v>716.87</v>
      </c>
      <c r="F8641" s="7" t="n">
        <v>0</v>
      </c>
      <c r="G8641" s="7" t="n">
        <v>0</v>
      </c>
    </row>
    <row r="8642" customFormat="false" ht="15" hidden="false" customHeight="false" outlineLevel="0" collapsed="false">
      <c r="A8642" s="7" t="s">
        <v>27</v>
      </c>
      <c r="B8642" s="7" t="s">
        <v>560</v>
      </c>
      <c r="C8642" s="7" t="s">
        <v>1246</v>
      </c>
      <c r="D8642" s="7" t="n">
        <v>30</v>
      </c>
      <c r="E8642" s="7" t="n">
        <v>422.7</v>
      </c>
      <c r="F8642" s="7" t="n">
        <v>0</v>
      </c>
      <c r="G8642" s="7" t="n">
        <v>0</v>
      </c>
    </row>
    <row r="8643" customFormat="false" ht="15" hidden="false" customHeight="false" outlineLevel="0" collapsed="false">
      <c r="A8643" s="7" t="s">
        <v>27</v>
      </c>
      <c r="B8643" s="7" t="s">
        <v>560</v>
      </c>
      <c r="C8643" s="7" t="s">
        <v>1246</v>
      </c>
      <c r="D8643" s="7" t="n">
        <v>0</v>
      </c>
      <c r="E8643" s="7" t="n">
        <v>0</v>
      </c>
      <c r="F8643" s="7" t="n">
        <v>50</v>
      </c>
      <c r="G8643" s="7" t="n">
        <v>633.99</v>
      </c>
    </row>
    <row r="8644" customFormat="false" ht="15" hidden="false" customHeight="false" outlineLevel="0" collapsed="false">
      <c r="A8644" s="7" t="s">
        <v>27</v>
      </c>
      <c r="B8644" s="7" t="s">
        <v>560</v>
      </c>
      <c r="C8644" s="7" t="s">
        <v>1246</v>
      </c>
      <c r="D8644" s="7" t="n">
        <v>0</v>
      </c>
      <c r="E8644" s="7" t="n">
        <v>0</v>
      </c>
      <c r="F8644" s="7" t="n">
        <v>30</v>
      </c>
      <c r="G8644" s="7" t="n">
        <v>395.89</v>
      </c>
    </row>
    <row r="8645" customFormat="false" ht="15" hidden="false" customHeight="false" outlineLevel="0" collapsed="false">
      <c r="A8645" s="7" t="s">
        <v>27</v>
      </c>
      <c r="B8645" s="7" t="s">
        <v>560</v>
      </c>
      <c r="C8645" s="7" t="s">
        <v>1246</v>
      </c>
      <c r="D8645" s="7" t="n">
        <v>80</v>
      </c>
      <c r="E8645" s="7" t="n">
        <v>1125.03</v>
      </c>
      <c r="F8645" s="7" t="n">
        <v>0</v>
      </c>
      <c r="G8645" s="7" t="n">
        <v>0</v>
      </c>
    </row>
    <row r="8646" customFormat="false" ht="15" hidden="false" customHeight="false" outlineLevel="0" collapsed="false">
      <c r="A8646" s="7" t="s">
        <v>27</v>
      </c>
      <c r="B8646" s="7" t="s">
        <v>676</v>
      </c>
      <c r="C8646" s="7" t="s">
        <v>1246</v>
      </c>
      <c r="D8646" s="7" t="n">
        <v>0</v>
      </c>
      <c r="E8646" s="7" t="n">
        <v>0</v>
      </c>
      <c r="F8646" s="7" t="n">
        <v>50</v>
      </c>
      <c r="G8646" s="7" t="n">
        <v>684.36</v>
      </c>
    </row>
    <row r="8647" customFormat="false" ht="15" hidden="false" customHeight="false" outlineLevel="0" collapsed="false">
      <c r="A8647" s="7" t="s">
        <v>27</v>
      </c>
      <c r="B8647" s="7" t="s">
        <v>676</v>
      </c>
      <c r="C8647" s="7" t="s">
        <v>1246</v>
      </c>
      <c r="D8647" s="7" t="n">
        <v>0</v>
      </c>
      <c r="E8647" s="7" t="n">
        <v>0</v>
      </c>
      <c r="F8647" s="7" t="n">
        <v>140</v>
      </c>
      <c r="G8647" s="7" t="n">
        <v>1775.18</v>
      </c>
    </row>
    <row r="8648" customFormat="false" ht="15" hidden="false" customHeight="false" outlineLevel="0" collapsed="false">
      <c r="A8648" s="7" t="s">
        <v>27</v>
      </c>
      <c r="B8648" s="7" t="s">
        <v>676</v>
      </c>
      <c r="C8648" s="7" t="s">
        <v>1246</v>
      </c>
      <c r="D8648" s="7" t="n">
        <v>120</v>
      </c>
      <c r="E8648" s="7" t="n">
        <v>1847.08</v>
      </c>
      <c r="F8648" s="7" t="n">
        <v>0</v>
      </c>
      <c r="G8648" s="7" t="n">
        <v>0</v>
      </c>
    </row>
    <row r="8649" customFormat="false" ht="15" hidden="false" customHeight="false" outlineLevel="0" collapsed="false">
      <c r="A8649" s="7" t="s">
        <v>27</v>
      </c>
      <c r="B8649" s="7" t="s">
        <v>676</v>
      </c>
      <c r="C8649" s="7" t="s">
        <v>1246</v>
      </c>
      <c r="D8649" s="7" t="n">
        <v>120</v>
      </c>
      <c r="E8649" s="7" t="n">
        <v>1720.49</v>
      </c>
      <c r="F8649" s="7" t="n">
        <v>0</v>
      </c>
      <c r="G8649" s="7" t="n">
        <v>0</v>
      </c>
    </row>
    <row r="8650" customFormat="false" ht="15" hidden="false" customHeight="false" outlineLevel="0" collapsed="false">
      <c r="A8650" s="7" t="s">
        <v>27</v>
      </c>
      <c r="B8650" s="7" t="s">
        <v>676</v>
      </c>
      <c r="C8650" s="7" t="s">
        <v>1246</v>
      </c>
      <c r="D8650" s="7" t="n">
        <v>120</v>
      </c>
      <c r="E8650" s="7" t="n">
        <v>1687.55</v>
      </c>
      <c r="F8650" s="7" t="n">
        <v>0</v>
      </c>
      <c r="G8650" s="7" t="n">
        <v>0</v>
      </c>
    </row>
    <row r="8651" customFormat="false" ht="15" hidden="false" customHeight="false" outlineLevel="0" collapsed="false">
      <c r="A8651" s="7" t="s">
        <v>27</v>
      </c>
      <c r="B8651" s="7" t="s">
        <v>676</v>
      </c>
      <c r="C8651" s="7" t="s">
        <v>1246</v>
      </c>
      <c r="D8651" s="7" t="n">
        <v>50</v>
      </c>
      <c r="E8651" s="7" t="n">
        <v>739.48</v>
      </c>
      <c r="F8651" s="7" t="n">
        <v>0</v>
      </c>
      <c r="G8651" s="7" t="n">
        <v>0</v>
      </c>
    </row>
    <row r="8652" customFormat="false" ht="15" hidden="false" customHeight="false" outlineLevel="0" collapsed="false">
      <c r="A8652" s="7" t="s">
        <v>27</v>
      </c>
      <c r="B8652" s="7" t="s">
        <v>676</v>
      </c>
      <c r="C8652" s="7" t="s">
        <v>1246</v>
      </c>
      <c r="D8652" s="7" t="n">
        <v>0</v>
      </c>
      <c r="E8652" s="7" t="n">
        <v>0</v>
      </c>
      <c r="F8652" s="7" t="n">
        <v>40</v>
      </c>
      <c r="G8652" s="7" t="n">
        <v>527.85</v>
      </c>
    </row>
    <row r="8653" customFormat="false" ht="15" hidden="false" customHeight="false" outlineLevel="0" collapsed="false">
      <c r="A8653" s="7" t="s">
        <v>27</v>
      </c>
      <c r="B8653" s="7" t="s">
        <v>676</v>
      </c>
      <c r="C8653" s="7" t="s">
        <v>1246</v>
      </c>
      <c r="D8653" s="7" t="n">
        <v>50</v>
      </c>
      <c r="E8653" s="7" t="n">
        <v>704.49</v>
      </c>
      <c r="F8653" s="7" t="n">
        <v>0</v>
      </c>
      <c r="G8653" s="7" t="n">
        <v>0</v>
      </c>
    </row>
    <row r="8654" customFormat="false" ht="15" hidden="false" customHeight="false" outlineLevel="0" collapsed="false">
      <c r="A8654" s="7" t="s">
        <v>27</v>
      </c>
      <c r="B8654" s="7" t="s">
        <v>698</v>
      </c>
      <c r="C8654" s="7" t="s">
        <v>1056</v>
      </c>
      <c r="D8654" s="7" t="n">
        <v>60</v>
      </c>
      <c r="E8654" s="7" t="n">
        <v>802.89</v>
      </c>
      <c r="F8654" s="7" t="n">
        <v>0</v>
      </c>
      <c r="G8654" s="7" t="n">
        <v>0</v>
      </c>
    </row>
    <row r="8655" customFormat="false" ht="15" hidden="false" customHeight="false" outlineLevel="0" collapsed="false">
      <c r="A8655" s="7" t="s">
        <v>27</v>
      </c>
      <c r="B8655" s="7" t="s">
        <v>698</v>
      </c>
      <c r="C8655" s="7" t="s">
        <v>1056</v>
      </c>
      <c r="D8655" s="7" t="n">
        <v>100</v>
      </c>
      <c r="E8655" s="7" t="n">
        <v>1315.06</v>
      </c>
      <c r="F8655" s="7" t="n">
        <v>0</v>
      </c>
      <c r="G8655" s="7" t="n">
        <v>0</v>
      </c>
    </row>
    <row r="8656" customFormat="false" ht="15" hidden="false" customHeight="false" outlineLevel="0" collapsed="false">
      <c r="A8656" s="7" t="s">
        <v>27</v>
      </c>
      <c r="B8656" s="7" t="s">
        <v>698</v>
      </c>
      <c r="C8656" s="7" t="s">
        <v>1056</v>
      </c>
      <c r="D8656" s="7" t="n">
        <v>0</v>
      </c>
      <c r="E8656" s="7" t="n">
        <v>0</v>
      </c>
      <c r="F8656" s="7" t="n">
        <v>180</v>
      </c>
      <c r="G8656" s="7" t="n">
        <v>2130.22</v>
      </c>
    </row>
    <row r="8657" customFormat="false" ht="15" hidden="false" customHeight="false" outlineLevel="0" collapsed="false">
      <c r="A8657" s="7" t="s">
        <v>27</v>
      </c>
      <c r="B8657" s="7" t="s">
        <v>698</v>
      </c>
      <c r="C8657" s="7" t="s">
        <v>1056</v>
      </c>
      <c r="D8657" s="7" t="n">
        <v>0</v>
      </c>
      <c r="E8657" s="7" t="n">
        <v>0</v>
      </c>
      <c r="F8657" s="7" t="n">
        <v>50</v>
      </c>
      <c r="G8657" s="7" t="n">
        <v>638.73</v>
      </c>
    </row>
    <row r="8658" customFormat="false" ht="15" hidden="false" customHeight="false" outlineLevel="0" collapsed="false">
      <c r="A8658" s="7" t="s">
        <v>27</v>
      </c>
      <c r="B8658" s="7" t="s">
        <v>698</v>
      </c>
      <c r="C8658" s="7" t="s">
        <v>1056</v>
      </c>
      <c r="D8658" s="7" t="n">
        <v>100</v>
      </c>
      <c r="E8658" s="7" t="n">
        <v>1436.61</v>
      </c>
      <c r="F8658" s="7" t="n">
        <v>0</v>
      </c>
      <c r="G8658" s="7" t="n">
        <v>0</v>
      </c>
    </row>
    <row r="8659" customFormat="false" ht="15" hidden="false" customHeight="false" outlineLevel="0" collapsed="false">
      <c r="A8659" s="7" t="s">
        <v>27</v>
      </c>
      <c r="B8659" s="7" t="s">
        <v>698</v>
      </c>
      <c r="C8659" s="7" t="s">
        <v>1056</v>
      </c>
      <c r="D8659" s="7" t="n">
        <v>100</v>
      </c>
      <c r="E8659" s="7" t="n">
        <v>1380.37</v>
      </c>
      <c r="F8659" s="7" t="n">
        <v>0</v>
      </c>
      <c r="G8659" s="7" t="n">
        <v>0</v>
      </c>
    </row>
    <row r="8660" customFormat="false" ht="15" hidden="false" customHeight="false" outlineLevel="0" collapsed="false">
      <c r="A8660" s="7" t="s">
        <v>27</v>
      </c>
      <c r="B8660" s="7" t="s">
        <v>698</v>
      </c>
      <c r="C8660" s="7" t="s">
        <v>1056</v>
      </c>
      <c r="D8660" s="7" t="n">
        <v>120</v>
      </c>
      <c r="E8660" s="7" t="n">
        <v>1575.04</v>
      </c>
      <c r="F8660" s="7" t="n">
        <v>0</v>
      </c>
      <c r="G8660" s="7" t="n">
        <v>0</v>
      </c>
    </row>
    <row r="8661" customFormat="false" ht="15" hidden="false" customHeight="false" outlineLevel="0" collapsed="false">
      <c r="A8661" s="7" t="s">
        <v>27</v>
      </c>
      <c r="B8661" s="7" t="s">
        <v>505</v>
      </c>
      <c r="C8661" s="7" t="s">
        <v>1056</v>
      </c>
      <c r="D8661" s="7" t="n">
        <v>0</v>
      </c>
      <c r="E8661" s="7" t="n">
        <v>0</v>
      </c>
      <c r="F8661" s="7" t="n">
        <v>50</v>
      </c>
      <c r="G8661" s="7" t="n">
        <v>638.73</v>
      </c>
    </row>
    <row r="8662" customFormat="false" ht="15" hidden="false" customHeight="false" outlineLevel="0" collapsed="false">
      <c r="A8662" s="7" t="s">
        <v>27</v>
      </c>
      <c r="B8662" s="7" t="s">
        <v>505</v>
      </c>
      <c r="C8662" s="7" t="s">
        <v>1056</v>
      </c>
      <c r="D8662" s="7" t="n">
        <v>60</v>
      </c>
      <c r="E8662" s="7" t="n">
        <v>802.89</v>
      </c>
      <c r="F8662" s="7" t="n">
        <v>0</v>
      </c>
      <c r="G8662" s="7" t="n">
        <v>0</v>
      </c>
    </row>
    <row r="8663" customFormat="false" ht="15" hidden="false" customHeight="false" outlineLevel="0" collapsed="false">
      <c r="A8663" s="7" t="s">
        <v>27</v>
      </c>
      <c r="B8663" s="7" t="s">
        <v>505</v>
      </c>
      <c r="C8663" s="7" t="s">
        <v>1056</v>
      </c>
      <c r="D8663" s="7" t="n">
        <v>0</v>
      </c>
      <c r="E8663" s="7" t="n">
        <v>0</v>
      </c>
      <c r="F8663" s="7" t="n">
        <v>60</v>
      </c>
      <c r="G8663" s="7" t="n">
        <v>738.99</v>
      </c>
    </row>
    <row r="8664" customFormat="false" ht="15" hidden="false" customHeight="false" outlineLevel="0" collapsed="false">
      <c r="A8664" s="7" t="s">
        <v>27</v>
      </c>
      <c r="B8664" s="7" t="s">
        <v>505</v>
      </c>
      <c r="C8664" s="7" t="s">
        <v>1056</v>
      </c>
      <c r="D8664" s="7" t="n">
        <v>150</v>
      </c>
      <c r="E8664" s="7" t="n">
        <v>1968.8</v>
      </c>
      <c r="F8664" s="7" t="n">
        <v>0</v>
      </c>
      <c r="G8664" s="7" t="n">
        <v>0</v>
      </c>
    </row>
    <row r="8665" customFormat="false" ht="15" hidden="false" customHeight="false" outlineLevel="0" collapsed="false">
      <c r="A8665" s="7" t="s">
        <v>27</v>
      </c>
      <c r="B8665" s="7" t="s">
        <v>505</v>
      </c>
      <c r="C8665" s="7" t="s">
        <v>1056</v>
      </c>
      <c r="D8665" s="7" t="n">
        <v>50</v>
      </c>
      <c r="E8665" s="7" t="n">
        <v>718.31</v>
      </c>
      <c r="F8665" s="7" t="n">
        <v>0</v>
      </c>
      <c r="G8665" s="7" t="n">
        <v>0</v>
      </c>
    </row>
    <row r="8666" customFormat="false" ht="15" hidden="false" customHeight="false" outlineLevel="0" collapsed="false">
      <c r="A8666" s="7" t="s">
        <v>27</v>
      </c>
      <c r="B8666" s="7" t="s">
        <v>505</v>
      </c>
      <c r="C8666" s="7" t="s">
        <v>1056</v>
      </c>
      <c r="D8666" s="7" t="n">
        <v>0</v>
      </c>
      <c r="E8666" s="7" t="n">
        <v>0</v>
      </c>
      <c r="F8666" s="7" t="n">
        <v>180</v>
      </c>
      <c r="G8666" s="7" t="n">
        <v>2130.22</v>
      </c>
    </row>
    <row r="8667" customFormat="false" ht="15" hidden="false" customHeight="false" outlineLevel="0" collapsed="false">
      <c r="A8667" s="7" t="s">
        <v>27</v>
      </c>
      <c r="B8667" s="7" t="s">
        <v>505</v>
      </c>
      <c r="C8667" s="7" t="s">
        <v>1056</v>
      </c>
      <c r="D8667" s="7" t="n">
        <v>100</v>
      </c>
      <c r="E8667" s="7" t="n">
        <v>1315.06</v>
      </c>
      <c r="F8667" s="7" t="n">
        <v>0</v>
      </c>
      <c r="G8667" s="7" t="n">
        <v>0</v>
      </c>
    </row>
    <row r="8668" customFormat="false" ht="15" hidden="false" customHeight="false" outlineLevel="0" collapsed="false">
      <c r="A8668" s="7" t="s">
        <v>27</v>
      </c>
      <c r="B8668" s="7" t="s">
        <v>505</v>
      </c>
      <c r="C8668" s="7" t="s">
        <v>1056</v>
      </c>
      <c r="D8668" s="7" t="n">
        <v>100</v>
      </c>
      <c r="E8668" s="7" t="n">
        <v>1380.37</v>
      </c>
      <c r="F8668" s="7" t="n">
        <v>0</v>
      </c>
      <c r="G8668" s="7" t="n">
        <v>0</v>
      </c>
    </row>
    <row r="8669" customFormat="false" ht="15" hidden="false" customHeight="false" outlineLevel="0" collapsed="false">
      <c r="A8669" s="7" t="s">
        <v>27</v>
      </c>
      <c r="B8669" s="7" t="s">
        <v>777</v>
      </c>
      <c r="C8669" s="7" t="s">
        <v>1056</v>
      </c>
      <c r="D8669" s="7" t="n">
        <v>0</v>
      </c>
      <c r="E8669" s="7" t="n">
        <v>0</v>
      </c>
      <c r="F8669" s="7" t="n">
        <v>40</v>
      </c>
      <c r="G8669" s="7" t="n">
        <v>510.99</v>
      </c>
    </row>
    <row r="8670" customFormat="false" ht="15" hidden="false" customHeight="false" outlineLevel="0" collapsed="false">
      <c r="A8670" s="7" t="s">
        <v>27</v>
      </c>
      <c r="B8670" s="7" t="s">
        <v>777</v>
      </c>
      <c r="C8670" s="7" t="s">
        <v>1056</v>
      </c>
      <c r="D8670" s="7" t="n">
        <v>60</v>
      </c>
      <c r="E8670" s="7" t="n">
        <v>787.52</v>
      </c>
      <c r="F8670" s="7" t="n">
        <v>0</v>
      </c>
      <c r="G8670" s="7" t="n">
        <v>0</v>
      </c>
    </row>
    <row r="8671" customFormat="false" ht="15" hidden="false" customHeight="false" outlineLevel="0" collapsed="false">
      <c r="A8671" s="7" t="s">
        <v>27</v>
      </c>
      <c r="B8671" s="7" t="s">
        <v>777</v>
      </c>
      <c r="C8671" s="7" t="s">
        <v>1056</v>
      </c>
      <c r="D8671" s="7" t="n">
        <v>30</v>
      </c>
      <c r="E8671" s="7" t="n">
        <v>414.11</v>
      </c>
      <c r="F8671" s="7" t="n">
        <v>0</v>
      </c>
      <c r="G8671" s="7" t="n">
        <v>0</v>
      </c>
    </row>
    <row r="8672" customFormat="false" ht="15" hidden="false" customHeight="false" outlineLevel="0" collapsed="false">
      <c r="A8672" s="7" t="s">
        <v>27</v>
      </c>
      <c r="B8672" s="7" t="s">
        <v>777</v>
      </c>
      <c r="C8672" s="7" t="s">
        <v>1056</v>
      </c>
      <c r="D8672" s="7" t="n">
        <v>0</v>
      </c>
      <c r="E8672" s="7" t="n">
        <v>0</v>
      </c>
      <c r="F8672" s="7" t="n">
        <v>60</v>
      </c>
      <c r="G8672" s="7" t="n">
        <v>738.99</v>
      </c>
    </row>
    <row r="8673" customFormat="false" ht="15" hidden="false" customHeight="false" outlineLevel="0" collapsed="false">
      <c r="A8673" s="7" t="s">
        <v>27</v>
      </c>
      <c r="B8673" s="7" t="s">
        <v>777</v>
      </c>
      <c r="C8673" s="7" t="s">
        <v>1056</v>
      </c>
      <c r="D8673" s="7" t="n">
        <v>0</v>
      </c>
      <c r="E8673" s="7" t="n">
        <v>0</v>
      </c>
      <c r="F8673" s="7" t="n">
        <v>70</v>
      </c>
      <c r="G8673" s="7" t="n">
        <v>828.42</v>
      </c>
    </row>
    <row r="8674" customFormat="false" ht="15" hidden="false" customHeight="false" outlineLevel="0" collapsed="false">
      <c r="A8674" s="7" t="s">
        <v>27</v>
      </c>
      <c r="B8674" s="7" t="s">
        <v>777</v>
      </c>
      <c r="C8674" s="7" t="s">
        <v>1056</v>
      </c>
      <c r="D8674" s="7" t="n">
        <v>50</v>
      </c>
      <c r="E8674" s="7" t="n">
        <v>669.08</v>
      </c>
      <c r="F8674" s="7" t="n">
        <v>0</v>
      </c>
      <c r="G8674" s="7" t="n">
        <v>0</v>
      </c>
    </row>
    <row r="8675" customFormat="false" ht="15" hidden="false" customHeight="false" outlineLevel="0" collapsed="false">
      <c r="A8675" s="7" t="s">
        <v>27</v>
      </c>
      <c r="B8675" s="7" t="s">
        <v>777</v>
      </c>
      <c r="C8675" s="7" t="s">
        <v>1056</v>
      </c>
      <c r="D8675" s="7" t="n">
        <v>80</v>
      </c>
      <c r="E8675" s="7" t="n">
        <v>1149.29</v>
      </c>
      <c r="F8675" s="7" t="n">
        <v>0</v>
      </c>
      <c r="G8675" s="7" t="n">
        <v>0</v>
      </c>
    </row>
    <row r="8676" customFormat="false" ht="15" hidden="false" customHeight="false" outlineLevel="0" collapsed="false">
      <c r="A8676" s="7" t="s">
        <v>27</v>
      </c>
      <c r="B8676" s="7" t="s">
        <v>805</v>
      </c>
      <c r="C8676" s="7" t="s">
        <v>1056</v>
      </c>
      <c r="D8676" s="7" t="n">
        <v>60</v>
      </c>
      <c r="E8676" s="7" t="n">
        <v>861.96</v>
      </c>
      <c r="F8676" s="7" t="n">
        <v>0</v>
      </c>
      <c r="G8676" s="7" t="n">
        <v>0</v>
      </c>
    </row>
    <row r="8677" customFormat="false" ht="15" hidden="false" customHeight="false" outlineLevel="0" collapsed="false">
      <c r="A8677" s="7" t="s">
        <v>27</v>
      </c>
      <c r="B8677" s="7" t="s">
        <v>805</v>
      </c>
      <c r="C8677" s="7" t="s">
        <v>1056</v>
      </c>
      <c r="D8677" s="7" t="n">
        <v>0</v>
      </c>
      <c r="E8677" s="7" t="n">
        <v>0</v>
      </c>
      <c r="F8677" s="7" t="n">
        <v>100</v>
      </c>
      <c r="G8677" s="7" t="n">
        <v>1183.46</v>
      </c>
    </row>
    <row r="8678" customFormat="false" ht="15" hidden="false" customHeight="false" outlineLevel="0" collapsed="false">
      <c r="A8678" s="7" t="s">
        <v>27</v>
      </c>
      <c r="B8678" s="7" t="s">
        <v>805</v>
      </c>
      <c r="C8678" s="7" t="s">
        <v>1056</v>
      </c>
      <c r="D8678" s="7" t="n">
        <v>100</v>
      </c>
      <c r="E8678" s="7" t="n">
        <v>1312.54</v>
      </c>
      <c r="F8678" s="7" t="n">
        <v>0</v>
      </c>
      <c r="G8678" s="7" t="n">
        <v>0</v>
      </c>
    </row>
    <row r="8679" customFormat="false" ht="15" hidden="false" customHeight="false" outlineLevel="0" collapsed="false">
      <c r="A8679" s="7" t="s">
        <v>27</v>
      </c>
      <c r="B8679" s="7" t="s">
        <v>805</v>
      </c>
      <c r="C8679" s="7" t="s">
        <v>1056</v>
      </c>
      <c r="D8679" s="7" t="n">
        <v>60</v>
      </c>
      <c r="E8679" s="7" t="n">
        <v>828.22</v>
      </c>
      <c r="F8679" s="7" t="n">
        <v>0</v>
      </c>
      <c r="G8679" s="7" t="n">
        <v>0</v>
      </c>
    </row>
    <row r="8680" customFormat="false" ht="15" hidden="false" customHeight="false" outlineLevel="0" collapsed="false">
      <c r="A8680" s="7" t="s">
        <v>27</v>
      </c>
      <c r="B8680" s="7" t="s">
        <v>805</v>
      </c>
      <c r="C8680" s="7" t="s">
        <v>1056</v>
      </c>
      <c r="D8680" s="7" t="n">
        <v>80</v>
      </c>
      <c r="E8680" s="7" t="n">
        <v>1070.52</v>
      </c>
      <c r="F8680" s="7" t="n">
        <v>0</v>
      </c>
      <c r="G8680" s="7" t="n">
        <v>0</v>
      </c>
    </row>
    <row r="8681" customFormat="false" ht="15" hidden="false" customHeight="false" outlineLevel="0" collapsed="false">
      <c r="A8681" s="7" t="s">
        <v>27</v>
      </c>
      <c r="B8681" s="7" t="s">
        <v>805</v>
      </c>
      <c r="C8681" s="7" t="s">
        <v>1056</v>
      </c>
      <c r="D8681" s="7" t="n">
        <v>0</v>
      </c>
      <c r="E8681" s="7" t="n">
        <v>0</v>
      </c>
      <c r="F8681" s="7" t="n">
        <v>50</v>
      </c>
      <c r="G8681" s="7" t="n">
        <v>615.83</v>
      </c>
    </row>
    <row r="8682" customFormat="false" ht="15" hidden="false" customHeight="false" outlineLevel="0" collapsed="false">
      <c r="A8682" s="7" t="s">
        <v>27</v>
      </c>
      <c r="B8682" s="7" t="s">
        <v>805</v>
      </c>
      <c r="C8682" s="7" t="s">
        <v>1056</v>
      </c>
      <c r="D8682" s="7" t="n">
        <v>0</v>
      </c>
      <c r="E8682" s="7" t="n">
        <v>0</v>
      </c>
      <c r="F8682" s="7" t="n">
        <v>80</v>
      </c>
      <c r="G8682" s="7" t="n">
        <v>1021.97</v>
      </c>
    </row>
    <row r="8683" customFormat="false" ht="15" hidden="false" customHeight="false" outlineLevel="0" collapsed="false">
      <c r="A8683" s="7" t="s">
        <v>27</v>
      </c>
      <c r="B8683" s="7" t="s">
        <v>665</v>
      </c>
      <c r="C8683" s="7" t="s">
        <v>1181</v>
      </c>
      <c r="D8683" s="7" t="n">
        <v>140</v>
      </c>
      <c r="E8683" s="7" t="n">
        <v>1732.55</v>
      </c>
      <c r="F8683" s="7" t="n">
        <v>0</v>
      </c>
      <c r="G8683" s="7" t="n">
        <v>0</v>
      </c>
    </row>
    <row r="8684" customFormat="false" ht="15" hidden="false" customHeight="false" outlineLevel="0" collapsed="false">
      <c r="A8684" s="7" t="s">
        <v>27</v>
      </c>
      <c r="B8684" s="7" t="s">
        <v>665</v>
      </c>
      <c r="C8684" s="7" t="s">
        <v>1181</v>
      </c>
      <c r="D8684" s="7" t="n">
        <v>80</v>
      </c>
      <c r="E8684" s="7" t="n">
        <v>991.93</v>
      </c>
      <c r="F8684" s="7" t="n">
        <v>0</v>
      </c>
      <c r="G8684" s="7" t="n">
        <v>0</v>
      </c>
    </row>
    <row r="8685" customFormat="false" ht="15" hidden="false" customHeight="false" outlineLevel="0" collapsed="false">
      <c r="A8685" s="7" t="s">
        <v>27</v>
      </c>
      <c r="B8685" s="7" t="s">
        <v>665</v>
      </c>
      <c r="C8685" s="7" t="s">
        <v>1181</v>
      </c>
      <c r="D8685" s="7" t="n">
        <v>50</v>
      </c>
      <c r="E8685" s="7" t="n">
        <v>650.74</v>
      </c>
      <c r="F8685" s="7" t="n">
        <v>0</v>
      </c>
      <c r="G8685" s="7" t="n">
        <v>0</v>
      </c>
    </row>
    <row r="8686" customFormat="false" ht="15" hidden="false" customHeight="false" outlineLevel="0" collapsed="false">
      <c r="A8686" s="7" t="s">
        <v>27</v>
      </c>
      <c r="B8686" s="7" t="s">
        <v>665</v>
      </c>
      <c r="C8686" s="7" t="s">
        <v>1181</v>
      </c>
      <c r="D8686" s="7" t="n">
        <v>100</v>
      </c>
      <c r="E8686" s="7" t="n">
        <v>1261.69</v>
      </c>
      <c r="F8686" s="7" t="n">
        <v>0</v>
      </c>
      <c r="G8686" s="7" t="n">
        <v>0</v>
      </c>
    </row>
    <row r="8687" customFormat="false" ht="15" hidden="false" customHeight="false" outlineLevel="0" collapsed="false">
      <c r="A8687" s="7" t="s">
        <v>27</v>
      </c>
      <c r="B8687" s="7" t="s">
        <v>665</v>
      </c>
      <c r="C8687" s="7" t="s">
        <v>1181</v>
      </c>
      <c r="D8687" s="7" t="n">
        <v>60</v>
      </c>
      <c r="E8687" s="7" t="n">
        <v>812.71</v>
      </c>
      <c r="F8687" s="7" t="n">
        <v>0</v>
      </c>
      <c r="G8687" s="7" t="n">
        <v>0</v>
      </c>
    </row>
    <row r="8688" customFormat="false" ht="15" hidden="false" customHeight="false" outlineLevel="0" collapsed="false">
      <c r="A8688" s="7" t="s">
        <v>27</v>
      </c>
      <c r="B8688" s="7" t="s">
        <v>665</v>
      </c>
      <c r="C8688" s="7" t="s">
        <v>1181</v>
      </c>
      <c r="D8688" s="7" t="n">
        <v>0</v>
      </c>
      <c r="E8688" s="7" t="n">
        <v>0</v>
      </c>
      <c r="F8688" s="7" t="n">
        <v>120</v>
      </c>
      <c r="G8688" s="7" t="n">
        <v>1338.99</v>
      </c>
    </row>
    <row r="8689" customFormat="false" ht="15" hidden="false" customHeight="false" outlineLevel="0" collapsed="false">
      <c r="A8689" s="7" t="s">
        <v>27</v>
      </c>
      <c r="B8689" s="7" t="s">
        <v>665</v>
      </c>
      <c r="C8689" s="7" t="s">
        <v>1181</v>
      </c>
      <c r="D8689" s="7" t="n">
        <v>0</v>
      </c>
      <c r="E8689" s="7" t="n">
        <v>0</v>
      </c>
      <c r="F8689" s="7" t="n">
        <v>100</v>
      </c>
      <c r="G8689" s="7" t="n">
        <v>1204.47</v>
      </c>
    </row>
    <row r="8690" customFormat="false" ht="15" hidden="false" customHeight="false" outlineLevel="0" collapsed="false">
      <c r="A8690" s="7" t="s">
        <v>27</v>
      </c>
      <c r="B8690" s="7" t="s">
        <v>665</v>
      </c>
      <c r="C8690" s="7" t="s">
        <v>1181</v>
      </c>
      <c r="D8690" s="7" t="n">
        <v>0</v>
      </c>
      <c r="E8690" s="7" t="n">
        <v>0</v>
      </c>
      <c r="F8690" s="7" t="n">
        <v>50</v>
      </c>
      <c r="G8690" s="7" t="n">
        <v>580.64</v>
      </c>
    </row>
    <row r="8691" customFormat="false" ht="15" hidden="false" customHeight="false" outlineLevel="0" collapsed="false">
      <c r="A8691" s="7" t="s">
        <v>27</v>
      </c>
      <c r="B8691" s="7" t="s">
        <v>627</v>
      </c>
      <c r="C8691" s="7" t="s">
        <v>1110</v>
      </c>
      <c r="D8691" s="7" t="n">
        <v>600</v>
      </c>
      <c r="E8691" s="7" t="n">
        <v>4508.76</v>
      </c>
      <c r="F8691" s="7" t="n">
        <v>0</v>
      </c>
      <c r="G8691" s="7" t="n">
        <v>0</v>
      </c>
    </row>
    <row r="8692" customFormat="false" ht="15" hidden="false" customHeight="false" outlineLevel="0" collapsed="false">
      <c r="A8692" s="7" t="s">
        <v>27</v>
      </c>
      <c r="B8692" s="7" t="s">
        <v>627</v>
      </c>
      <c r="C8692" s="7" t="s">
        <v>1110</v>
      </c>
      <c r="D8692" s="7" t="n">
        <v>600</v>
      </c>
      <c r="E8692" s="7" t="n">
        <v>4500.12</v>
      </c>
      <c r="F8692" s="7" t="n">
        <v>0</v>
      </c>
      <c r="G8692" s="7" t="n">
        <v>0</v>
      </c>
    </row>
    <row r="8693" customFormat="false" ht="15" hidden="false" customHeight="false" outlineLevel="0" collapsed="false">
      <c r="A8693" s="7" t="s">
        <v>27</v>
      </c>
      <c r="B8693" s="7" t="s">
        <v>627</v>
      </c>
      <c r="C8693" s="7" t="s">
        <v>1110</v>
      </c>
      <c r="D8693" s="7" t="n">
        <v>500</v>
      </c>
      <c r="E8693" s="7" t="n">
        <v>3943.9</v>
      </c>
      <c r="F8693" s="7" t="n">
        <v>0</v>
      </c>
      <c r="G8693" s="7" t="n">
        <v>0</v>
      </c>
    </row>
    <row r="8694" customFormat="false" ht="15" hidden="false" customHeight="false" outlineLevel="0" collapsed="false">
      <c r="A8694" s="7" t="s">
        <v>27</v>
      </c>
      <c r="B8694" s="7" t="s">
        <v>627</v>
      </c>
      <c r="C8694" s="7" t="s">
        <v>1110</v>
      </c>
      <c r="D8694" s="7" t="n">
        <v>500</v>
      </c>
      <c r="E8694" s="7" t="n">
        <v>4104.6</v>
      </c>
      <c r="F8694" s="7" t="n">
        <v>0</v>
      </c>
      <c r="G8694" s="7" t="n">
        <v>0</v>
      </c>
    </row>
    <row r="8695" customFormat="false" ht="15" hidden="false" customHeight="false" outlineLevel="0" collapsed="false">
      <c r="A8695" s="7" t="s">
        <v>27</v>
      </c>
      <c r="B8695" s="7" t="s">
        <v>627</v>
      </c>
      <c r="C8695" s="7" t="s">
        <v>1110</v>
      </c>
      <c r="D8695" s="7" t="n">
        <v>0</v>
      </c>
      <c r="E8695" s="7" t="n">
        <v>0</v>
      </c>
      <c r="F8695" s="7" t="n">
        <v>300</v>
      </c>
      <c r="G8695" s="7" t="n">
        <v>2189.94</v>
      </c>
    </row>
    <row r="8696" customFormat="false" ht="15" hidden="false" customHeight="false" outlineLevel="0" collapsed="false">
      <c r="A8696" s="7" t="s">
        <v>27</v>
      </c>
      <c r="B8696" s="7" t="s">
        <v>627</v>
      </c>
      <c r="C8696" s="7" t="s">
        <v>1110</v>
      </c>
      <c r="D8696" s="7" t="n">
        <v>500</v>
      </c>
      <c r="E8696" s="7" t="n">
        <v>3823.3</v>
      </c>
      <c r="F8696" s="7" t="n">
        <v>0</v>
      </c>
      <c r="G8696" s="7" t="n">
        <v>0</v>
      </c>
    </row>
    <row r="8697" customFormat="false" ht="15" hidden="false" customHeight="false" outlineLevel="0" collapsed="false">
      <c r="A8697" s="7" t="s">
        <v>27</v>
      </c>
      <c r="B8697" s="7" t="s">
        <v>627</v>
      </c>
      <c r="C8697" s="7" t="s">
        <v>1110</v>
      </c>
      <c r="D8697" s="7" t="n">
        <v>0</v>
      </c>
      <c r="E8697" s="7" t="n">
        <v>0</v>
      </c>
      <c r="F8697" s="7" t="n">
        <v>400</v>
      </c>
      <c r="G8697" s="7" t="n">
        <v>2815.2</v>
      </c>
    </row>
    <row r="8698" customFormat="false" ht="15" hidden="false" customHeight="false" outlineLevel="0" collapsed="false">
      <c r="A8698" s="7" t="s">
        <v>27</v>
      </c>
      <c r="B8698" s="7" t="s">
        <v>627</v>
      </c>
      <c r="C8698" s="7" t="s">
        <v>1110</v>
      </c>
      <c r="D8698" s="7" t="n">
        <v>0</v>
      </c>
      <c r="E8698" s="7" t="n">
        <v>0</v>
      </c>
      <c r="F8698" s="7" t="n">
        <v>800</v>
      </c>
      <c r="G8698" s="7" t="n">
        <v>5410.08</v>
      </c>
    </row>
    <row r="8699" customFormat="false" ht="15" hidden="false" customHeight="false" outlineLevel="0" collapsed="false">
      <c r="A8699" s="7" t="s">
        <v>27</v>
      </c>
      <c r="B8699" s="7" t="s">
        <v>617</v>
      </c>
      <c r="C8699" s="7" t="s">
        <v>1111</v>
      </c>
      <c r="D8699" s="7" t="n">
        <v>0</v>
      </c>
      <c r="E8699" s="7" t="n">
        <v>0</v>
      </c>
      <c r="F8699" s="7" t="n">
        <v>800</v>
      </c>
      <c r="G8699" s="7" t="n">
        <v>5410.08</v>
      </c>
    </row>
    <row r="8700" customFormat="false" ht="15" hidden="false" customHeight="false" outlineLevel="0" collapsed="false">
      <c r="A8700" s="7" t="s">
        <v>27</v>
      </c>
      <c r="B8700" s="7" t="s">
        <v>617</v>
      </c>
      <c r="C8700" s="7" t="s">
        <v>1111</v>
      </c>
      <c r="D8700" s="7" t="n">
        <v>300</v>
      </c>
      <c r="E8700" s="7" t="n">
        <v>2254.38</v>
      </c>
      <c r="F8700" s="7" t="n">
        <v>0</v>
      </c>
      <c r="G8700" s="7" t="n">
        <v>0</v>
      </c>
    </row>
    <row r="8701" customFormat="false" ht="15" hidden="false" customHeight="false" outlineLevel="0" collapsed="false">
      <c r="A8701" s="7" t="s">
        <v>27</v>
      </c>
      <c r="B8701" s="7" t="s">
        <v>617</v>
      </c>
      <c r="C8701" s="7" t="s">
        <v>1111</v>
      </c>
      <c r="D8701" s="7" t="n">
        <v>0</v>
      </c>
      <c r="E8701" s="7" t="n">
        <v>0</v>
      </c>
      <c r="F8701" s="7" t="n">
        <v>500</v>
      </c>
      <c r="G8701" s="7" t="n">
        <v>3649.9</v>
      </c>
    </row>
    <row r="8702" customFormat="false" ht="15" hidden="false" customHeight="false" outlineLevel="0" collapsed="false">
      <c r="A8702" s="7" t="s">
        <v>27</v>
      </c>
      <c r="B8702" s="7" t="s">
        <v>617</v>
      </c>
      <c r="C8702" s="7" t="s">
        <v>1111</v>
      </c>
      <c r="D8702" s="7" t="n">
        <v>500</v>
      </c>
      <c r="E8702" s="7" t="n">
        <v>3943.9</v>
      </c>
      <c r="F8702" s="7" t="n">
        <v>0</v>
      </c>
      <c r="G8702" s="7" t="n">
        <v>0</v>
      </c>
    </row>
    <row r="8703" customFormat="false" ht="15" hidden="false" customHeight="false" outlineLevel="0" collapsed="false">
      <c r="A8703" s="7" t="s">
        <v>27</v>
      </c>
      <c r="B8703" s="7" t="s">
        <v>617</v>
      </c>
      <c r="C8703" s="7" t="s">
        <v>1111</v>
      </c>
      <c r="D8703" s="7" t="n">
        <v>400</v>
      </c>
      <c r="E8703" s="7" t="n">
        <v>3058.64</v>
      </c>
      <c r="F8703" s="7" t="n">
        <v>0</v>
      </c>
      <c r="G8703" s="7" t="n">
        <v>0</v>
      </c>
    </row>
    <row r="8704" customFormat="false" ht="15" hidden="false" customHeight="false" outlineLevel="0" collapsed="false">
      <c r="A8704" s="7" t="s">
        <v>27</v>
      </c>
      <c r="B8704" s="7" t="s">
        <v>617</v>
      </c>
      <c r="C8704" s="7" t="s">
        <v>1111</v>
      </c>
      <c r="D8704" s="7" t="n">
        <v>500</v>
      </c>
      <c r="E8704" s="7" t="n">
        <v>4104.6</v>
      </c>
      <c r="F8704" s="7" t="n">
        <v>0</v>
      </c>
      <c r="G8704" s="7" t="n">
        <v>0</v>
      </c>
    </row>
    <row r="8705" customFormat="false" ht="15" hidden="false" customHeight="false" outlineLevel="0" collapsed="false">
      <c r="A8705" s="7" t="s">
        <v>27</v>
      </c>
      <c r="B8705" s="7" t="s">
        <v>617</v>
      </c>
      <c r="C8705" s="7" t="s">
        <v>1111</v>
      </c>
      <c r="D8705" s="7" t="n">
        <v>500</v>
      </c>
      <c r="E8705" s="7" t="n">
        <v>3750.1</v>
      </c>
      <c r="F8705" s="7" t="n">
        <v>0</v>
      </c>
      <c r="G8705" s="7" t="n">
        <v>0</v>
      </c>
    </row>
    <row r="8706" customFormat="false" ht="15" hidden="false" customHeight="false" outlineLevel="0" collapsed="false">
      <c r="A8706" s="7" t="s">
        <v>27</v>
      </c>
      <c r="B8706" s="7" t="s">
        <v>701</v>
      </c>
      <c r="C8706" s="7" t="s">
        <v>1112</v>
      </c>
      <c r="D8706" s="7" t="n">
        <v>250</v>
      </c>
      <c r="E8706" s="7" t="n">
        <v>1878.65</v>
      </c>
      <c r="F8706" s="7" t="n">
        <v>0</v>
      </c>
      <c r="G8706" s="7" t="n">
        <v>0</v>
      </c>
    </row>
    <row r="8707" customFormat="false" ht="15" hidden="false" customHeight="false" outlineLevel="0" collapsed="false">
      <c r="A8707" s="7" t="s">
        <v>27</v>
      </c>
      <c r="B8707" s="7" t="s">
        <v>701</v>
      </c>
      <c r="C8707" s="7" t="s">
        <v>1112</v>
      </c>
      <c r="D8707" s="7" t="n">
        <v>0</v>
      </c>
      <c r="E8707" s="7" t="n">
        <v>0</v>
      </c>
      <c r="F8707" s="7" t="n">
        <v>300</v>
      </c>
      <c r="G8707" s="7" t="n">
        <v>2028.78</v>
      </c>
    </row>
    <row r="8708" customFormat="false" ht="15" hidden="false" customHeight="false" outlineLevel="0" collapsed="false">
      <c r="A8708" s="7" t="s">
        <v>27</v>
      </c>
      <c r="B8708" s="7" t="s">
        <v>701</v>
      </c>
      <c r="C8708" s="7" t="s">
        <v>1112</v>
      </c>
      <c r="D8708" s="7" t="n">
        <v>0</v>
      </c>
      <c r="E8708" s="7" t="n">
        <v>0</v>
      </c>
      <c r="F8708" s="7" t="n">
        <v>300</v>
      </c>
      <c r="G8708" s="7" t="n">
        <v>2111.4</v>
      </c>
    </row>
    <row r="8709" customFormat="false" ht="15" hidden="false" customHeight="false" outlineLevel="0" collapsed="false">
      <c r="A8709" s="7" t="s">
        <v>27</v>
      </c>
      <c r="B8709" s="7" t="s">
        <v>701</v>
      </c>
      <c r="C8709" s="7" t="s">
        <v>1112</v>
      </c>
      <c r="D8709" s="7" t="n">
        <v>200</v>
      </c>
      <c r="E8709" s="7" t="n">
        <v>1641.84</v>
      </c>
      <c r="F8709" s="7" t="n">
        <v>0</v>
      </c>
      <c r="G8709" s="7" t="n">
        <v>0</v>
      </c>
    </row>
    <row r="8710" customFormat="false" ht="15" hidden="false" customHeight="false" outlineLevel="0" collapsed="false">
      <c r="A8710" s="7" t="s">
        <v>27</v>
      </c>
      <c r="B8710" s="7" t="s">
        <v>701</v>
      </c>
      <c r="C8710" s="7" t="s">
        <v>1112</v>
      </c>
      <c r="D8710" s="7" t="n">
        <v>0</v>
      </c>
      <c r="E8710" s="7" t="n">
        <v>0</v>
      </c>
      <c r="F8710" s="7" t="n">
        <v>200</v>
      </c>
      <c r="G8710" s="7" t="n">
        <v>1459.96</v>
      </c>
    </row>
    <row r="8711" customFormat="false" ht="15" hidden="false" customHeight="false" outlineLevel="0" collapsed="false">
      <c r="A8711" s="7" t="s">
        <v>27</v>
      </c>
      <c r="B8711" s="7" t="s">
        <v>701</v>
      </c>
      <c r="C8711" s="7" t="s">
        <v>1112</v>
      </c>
      <c r="D8711" s="7" t="n">
        <v>100</v>
      </c>
      <c r="E8711" s="7" t="n">
        <v>750.02</v>
      </c>
      <c r="F8711" s="7" t="n">
        <v>0</v>
      </c>
      <c r="G8711" s="7" t="n">
        <v>0</v>
      </c>
    </row>
    <row r="8712" customFormat="false" ht="15" hidden="false" customHeight="false" outlineLevel="0" collapsed="false">
      <c r="A8712" s="7" t="s">
        <v>27</v>
      </c>
      <c r="B8712" s="7" t="s">
        <v>701</v>
      </c>
      <c r="C8712" s="7" t="s">
        <v>1112</v>
      </c>
      <c r="D8712" s="7" t="n">
        <v>300</v>
      </c>
      <c r="E8712" s="7" t="n">
        <v>2366.34</v>
      </c>
      <c r="F8712" s="7" t="n">
        <v>0</v>
      </c>
      <c r="G8712" s="7" t="n">
        <v>0</v>
      </c>
    </row>
    <row r="8713" customFormat="false" ht="15" hidden="false" customHeight="false" outlineLevel="0" collapsed="false">
      <c r="A8713" s="7" t="s">
        <v>27</v>
      </c>
      <c r="B8713" s="7" t="s">
        <v>701</v>
      </c>
      <c r="C8713" s="7" t="s">
        <v>1112</v>
      </c>
      <c r="D8713" s="7" t="n">
        <v>200</v>
      </c>
      <c r="E8713" s="7" t="n">
        <v>1529.32</v>
      </c>
      <c r="F8713" s="7" t="n">
        <v>0</v>
      </c>
      <c r="G8713" s="7" t="n">
        <v>0</v>
      </c>
    </row>
    <row r="8714" customFormat="false" ht="15" hidden="false" customHeight="false" outlineLevel="0" collapsed="false">
      <c r="A8714" s="7" t="s">
        <v>27</v>
      </c>
      <c r="B8714" s="7" t="s">
        <v>761</v>
      </c>
      <c r="C8714" s="7" t="s">
        <v>1113</v>
      </c>
      <c r="D8714" s="7" t="n">
        <v>350</v>
      </c>
      <c r="E8714" s="7" t="n">
        <v>2873.22</v>
      </c>
      <c r="F8714" s="7" t="n">
        <v>0</v>
      </c>
      <c r="G8714" s="7" t="n">
        <v>0</v>
      </c>
    </row>
    <row r="8715" customFormat="false" ht="15" hidden="false" customHeight="false" outlineLevel="0" collapsed="false">
      <c r="A8715" s="7" t="s">
        <v>27</v>
      </c>
      <c r="B8715" s="7" t="s">
        <v>761</v>
      </c>
      <c r="C8715" s="7" t="s">
        <v>1113</v>
      </c>
      <c r="D8715" s="7" t="n">
        <v>0</v>
      </c>
      <c r="E8715" s="7" t="n">
        <v>0</v>
      </c>
      <c r="F8715" s="7" t="n">
        <v>300</v>
      </c>
      <c r="G8715" s="7" t="n">
        <v>2111.4</v>
      </c>
    </row>
    <row r="8716" customFormat="false" ht="15" hidden="false" customHeight="false" outlineLevel="0" collapsed="false">
      <c r="A8716" s="7" t="s">
        <v>27</v>
      </c>
      <c r="B8716" s="7" t="s">
        <v>761</v>
      </c>
      <c r="C8716" s="7" t="s">
        <v>1113</v>
      </c>
      <c r="D8716" s="7" t="n">
        <v>0</v>
      </c>
      <c r="E8716" s="7" t="n">
        <v>0</v>
      </c>
      <c r="F8716" s="7" t="n">
        <v>300</v>
      </c>
      <c r="G8716" s="7" t="n">
        <v>2189.94</v>
      </c>
    </row>
    <row r="8717" customFormat="false" ht="15" hidden="false" customHeight="false" outlineLevel="0" collapsed="false">
      <c r="A8717" s="7" t="s">
        <v>27</v>
      </c>
      <c r="B8717" s="7" t="s">
        <v>761</v>
      </c>
      <c r="C8717" s="7" t="s">
        <v>1113</v>
      </c>
      <c r="D8717" s="7" t="n">
        <v>0</v>
      </c>
      <c r="E8717" s="7" t="n">
        <v>0</v>
      </c>
      <c r="F8717" s="7" t="n">
        <v>600</v>
      </c>
      <c r="G8717" s="7" t="n">
        <v>4057.56</v>
      </c>
    </row>
    <row r="8718" customFormat="false" ht="15" hidden="false" customHeight="false" outlineLevel="0" collapsed="false">
      <c r="A8718" s="7" t="s">
        <v>27</v>
      </c>
      <c r="B8718" s="7" t="s">
        <v>761</v>
      </c>
      <c r="C8718" s="7" t="s">
        <v>1113</v>
      </c>
      <c r="D8718" s="7" t="n">
        <v>400</v>
      </c>
      <c r="E8718" s="7" t="n">
        <v>3000.08</v>
      </c>
      <c r="F8718" s="7" t="n">
        <v>0</v>
      </c>
      <c r="G8718" s="7" t="n">
        <v>0</v>
      </c>
    </row>
    <row r="8719" customFormat="false" ht="15" hidden="false" customHeight="false" outlineLevel="0" collapsed="false">
      <c r="A8719" s="7" t="s">
        <v>27</v>
      </c>
      <c r="B8719" s="7" t="s">
        <v>761</v>
      </c>
      <c r="C8719" s="7" t="s">
        <v>1113</v>
      </c>
      <c r="D8719" s="7" t="n">
        <v>300</v>
      </c>
      <c r="E8719" s="7" t="n">
        <v>2366.34</v>
      </c>
      <c r="F8719" s="7" t="n">
        <v>0</v>
      </c>
      <c r="G8719" s="7" t="n">
        <v>0</v>
      </c>
    </row>
    <row r="8720" customFormat="false" ht="15" hidden="false" customHeight="false" outlineLevel="0" collapsed="false">
      <c r="A8720" s="7" t="s">
        <v>27</v>
      </c>
      <c r="B8720" s="7" t="s">
        <v>761</v>
      </c>
      <c r="C8720" s="7" t="s">
        <v>1113</v>
      </c>
      <c r="D8720" s="7" t="n">
        <v>250</v>
      </c>
      <c r="E8720" s="7" t="n">
        <v>1878.65</v>
      </c>
      <c r="F8720" s="7" t="n">
        <v>0</v>
      </c>
      <c r="G8720" s="7" t="n">
        <v>0</v>
      </c>
    </row>
    <row r="8721" customFormat="false" ht="15" hidden="false" customHeight="false" outlineLevel="0" collapsed="false">
      <c r="A8721" s="7" t="s">
        <v>27</v>
      </c>
      <c r="B8721" s="7" t="s">
        <v>761</v>
      </c>
      <c r="C8721" s="7" t="s">
        <v>1113</v>
      </c>
      <c r="D8721" s="7" t="n">
        <v>400</v>
      </c>
      <c r="E8721" s="7" t="n">
        <v>3058.64</v>
      </c>
      <c r="F8721" s="7" t="n">
        <v>0</v>
      </c>
      <c r="G8721" s="7" t="n">
        <v>0</v>
      </c>
    </row>
    <row r="8722" customFormat="false" ht="15" hidden="false" customHeight="false" outlineLevel="0" collapsed="false">
      <c r="A8722" s="7" t="s">
        <v>27</v>
      </c>
      <c r="B8722" s="7" t="s">
        <v>603</v>
      </c>
      <c r="C8722" s="7" t="s">
        <v>1067</v>
      </c>
      <c r="D8722" s="7" t="n">
        <v>500</v>
      </c>
      <c r="E8722" s="7" t="n">
        <v>9000.24</v>
      </c>
      <c r="F8722" s="7" t="n">
        <v>0</v>
      </c>
      <c r="G8722" s="7" t="n">
        <v>0</v>
      </c>
    </row>
    <row r="8723" customFormat="false" ht="15" hidden="false" customHeight="false" outlineLevel="0" collapsed="false">
      <c r="A8723" s="7" t="s">
        <v>27</v>
      </c>
      <c r="B8723" s="7" t="s">
        <v>601</v>
      </c>
      <c r="C8723" s="7" t="s">
        <v>1067</v>
      </c>
      <c r="D8723" s="7" t="n">
        <v>400</v>
      </c>
      <c r="E8723" s="7" t="n">
        <v>7200.19</v>
      </c>
      <c r="F8723" s="7" t="n">
        <v>0</v>
      </c>
      <c r="G8723" s="7" t="n">
        <v>0</v>
      </c>
    </row>
    <row r="8724" customFormat="false" ht="15" hidden="false" customHeight="false" outlineLevel="0" collapsed="false">
      <c r="A8724" s="7" t="s">
        <v>27</v>
      </c>
      <c r="B8724" s="7" t="s">
        <v>296</v>
      </c>
      <c r="C8724" s="7" t="s">
        <v>1067</v>
      </c>
      <c r="D8724" s="7" t="n">
        <v>600</v>
      </c>
      <c r="E8724" s="7" t="n">
        <v>10800.29</v>
      </c>
      <c r="F8724" s="7" t="n">
        <v>0</v>
      </c>
      <c r="G8724" s="7" t="n">
        <v>0</v>
      </c>
    </row>
    <row r="8725" customFormat="false" ht="15" hidden="false" customHeight="false" outlineLevel="0" collapsed="false">
      <c r="A8725" s="7" t="s">
        <v>27</v>
      </c>
      <c r="B8725" s="7" t="s">
        <v>416</v>
      </c>
      <c r="C8725" s="7" t="s">
        <v>1067</v>
      </c>
      <c r="D8725" s="7" t="n">
        <v>400</v>
      </c>
      <c r="E8725" s="7" t="n">
        <v>7200.19</v>
      </c>
      <c r="F8725" s="7" t="n">
        <v>0</v>
      </c>
      <c r="G8725" s="7" t="n">
        <v>0</v>
      </c>
    </row>
    <row r="8726" customFormat="false" ht="15" hidden="false" customHeight="false" outlineLevel="0" collapsed="false">
      <c r="A8726" s="7" t="s">
        <v>27</v>
      </c>
      <c r="B8726" s="7" t="s">
        <v>713</v>
      </c>
      <c r="C8726" s="7" t="s">
        <v>1067</v>
      </c>
      <c r="D8726" s="7" t="n">
        <v>500</v>
      </c>
      <c r="E8726" s="7" t="n">
        <v>9175.92</v>
      </c>
      <c r="F8726" s="7" t="n">
        <v>0</v>
      </c>
      <c r="G8726" s="7" t="n">
        <v>0</v>
      </c>
    </row>
    <row r="8727" customFormat="false" ht="15" hidden="false" customHeight="false" outlineLevel="0" collapsed="false">
      <c r="A8727" s="7" t="s">
        <v>27</v>
      </c>
      <c r="B8727" s="7" t="s">
        <v>713</v>
      </c>
      <c r="C8727" s="7" t="s">
        <v>1067</v>
      </c>
      <c r="D8727" s="7" t="n">
        <v>500</v>
      </c>
      <c r="E8727" s="7" t="n">
        <v>9017.52</v>
      </c>
      <c r="F8727" s="7" t="n">
        <v>0</v>
      </c>
      <c r="G8727" s="7" t="n">
        <v>0</v>
      </c>
    </row>
    <row r="8728" customFormat="false" ht="15" hidden="false" customHeight="false" outlineLevel="0" collapsed="false">
      <c r="A8728" s="7" t="s">
        <v>27</v>
      </c>
      <c r="B8728" s="7" t="s">
        <v>713</v>
      </c>
      <c r="C8728" s="7" t="s">
        <v>1067</v>
      </c>
      <c r="D8728" s="7" t="n">
        <v>400</v>
      </c>
      <c r="E8728" s="7" t="n">
        <v>7572.29</v>
      </c>
      <c r="F8728" s="7" t="n">
        <v>0</v>
      </c>
      <c r="G8728" s="7" t="n">
        <v>0</v>
      </c>
    </row>
    <row r="8729" customFormat="false" ht="15" hidden="false" customHeight="false" outlineLevel="0" collapsed="false">
      <c r="A8729" s="7" t="s">
        <v>27</v>
      </c>
      <c r="B8729" s="7" t="s">
        <v>713</v>
      </c>
      <c r="C8729" s="7" t="s">
        <v>1067</v>
      </c>
      <c r="D8729" s="7" t="n">
        <v>0</v>
      </c>
      <c r="E8729" s="7" t="n">
        <v>0</v>
      </c>
      <c r="F8729" s="7" t="n">
        <v>800</v>
      </c>
      <c r="G8729" s="7" t="n">
        <v>12984.19</v>
      </c>
    </row>
    <row r="8730" customFormat="false" ht="15" hidden="false" customHeight="false" outlineLevel="0" collapsed="false">
      <c r="A8730" s="7" t="s">
        <v>27</v>
      </c>
      <c r="B8730" s="7" t="s">
        <v>713</v>
      </c>
      <c r="C8730" s="7" t="s">
        <v>1067</v>
      </c>
      <c r="D8730" s="7" t="n">
        <v>0</v>
      </c>
      <c r="E8730" s="7" t="n">
        <v>0</v>
      </c>
      <c r="F8730" s="7" t="n">
        <v>200</v>
      </c>
      <c r="G8730" s="7" t="n">
        <v>3503.9</v>
      </c>
    </row>
    <row r="8731" customFormat="false" ht="15" hidden="false" customHeight="false" outlineLevel="0" collapsed="false">
      <c r="A8731" s="7" t="s">
        <v>27</v>
      </c>
      <c r="B8731" s="7" t="s">
        <v>713</v>
      </c>
      <c r="C8731" s="7" t="s">
        <v>1067</v>
      </c>
      <c r="D8731" s="7" t="n">
        <v>0</v>
      </c>
      <c r="E8731" s="7" t="n">
        <v>0</v>
      </c>
      <c r="F8731" s="7" t="n">
        <v>300</v>
      </c>
      <c r="G8731" s="7" t="n">
        <v>5067.36</v>
      </c>
    </row>
    <row r="8732" customFormat="false" ht="15" hidden="false" customHeight="false" outlineLevel="0" collapsed="false">
      <c r="A8732" s="7" t="s">
        <v>27</v>
      </c>
      <c r="B8732" s="7" t="s">
        <v>713</v>
      </c>
      <c r="C8732" s="7" t="s">
        <v>1067</v>
      </c>
      <c r="D8732" s="7" t="n">
        <v>400</v>
      </c>
      <c r="E8732" s="7" t="n">
        <v>7880.83</v>
      </c>
      <c r="F8732" s="7" t="n">
        <v>0</v>
      </c>
      <c r="G8732" s="7" t="n">
        <v>0</v>
      </c>
    </row>
    <row r="8733" customFormat="false" ht="15" hidden="false" customHeight="false" outlineLevel="0" collapsed="false">
      <c r="A8733" s="7" t="s">
        <v>27</v>
      </c>
      <c r="B8733" s="7" t="s">
        <v>632</v>
      </c>
      <c r="C8733" s="7" t="s">
        <v>1067</v>
      </c>
      <c r="D8733" s="7" t="n">
        <v>0</v>
      </c>
      <c r="E8733" s="7" t="n">
        <v>0</v>
      </c>
      <c r="F8733" s="7" t="n">
        <v>600</v>
      </c>
      <c r="G8733" s="7" t="n">
        <v>9738.14</v>
      </c>
    </row>
    <row r="8734" customFormat="false" ht="15" hidden="false" customHeight="false" outlineLevel="0" collapsed="false">
      <c r="A8734" s="7" t="s">
        <v>27</v>
      </c>
      <c r="B8734" s="7" t="s">
        <v>632</v>
      </c>
      <c r="C8734" s="7" t="s">
        <v>1067</v>
      </c>
      <c r="D8734" s="7" t="n">
        <v>0</v>
      </c>
      <c r="E8734" s="7" t="n">
        <v>0</v>
      </c>
      <c r="F8734" s="7" t="n">
        <v>300</v>
      </c>
      <c r="G8734" s="7" t="n">
        <v>5067.36</v>
      </c>
    </row>
    <row r="8735" customFormat="false" ht="15" hidden="false" customHeight="false" outlineLevel="0" collapsed="false">
      <c r="A8735" s="7" t="s">
        <v>27</v>
      </c>
      <c r="B8735" s="7" t="s">
        <v>632</v>
      </c>
      <c r="C8735" s="7" t="s">
        <v>1067</v>
      </c>
      <c r="D8735" s="7" t="n">
        <v>300</v>
      </c>
      <c r="E8735" s="7" t="n">
        <v>5410.51</v>
      </c>
      <c r="F8735" s="7" t="n">
        <v>0</v>
      </c>
      <c r="G8735" s="7" t="n">
        <v>0</v>
      </c>
    </row>
    <row r="8736" customFormat="false" ht="15" hidden="false" customHeight="false" outlineLevel="0" collapsed="false">
      <c r="A8736" s="7" t="s">
        <v>27</v>
      </c>
      <c r="B8736" s="7" t="s">
        <v>632</v>
      </c>
      <c r="C8736" s="7" t="s">
        <v>1067</v>
      </c>
      <c r="D8736" s="7" t="n">
        <v>500</v>
      </c>
      <c r="E8736" s="7" t="n">
        <v>9465.36</v>
      </c>
      <c r="F8736" s="7" t="n">
        <v>0</v>
      </c>
      <c r="G8736" s="7" t="n">
        <v>0</v>
      </c>
    </row>
    <row r="8737" customFormat="false" ht="15" hidden="false" customHeight="false" outlineLevel="0" collapsed="false">
      <c r="A8737" s="7" t="s">
        <v>27</v>
      </c>
      <c r="B8737" s="7" t="s">
        <v>632</v>
      </c>
      <c r="C8737" s="7" t="s">
        <v>1067</v>
      </c>
      <c r="D8737" s="7" t="n">
        <v>250</v>
      </c>
      <c r="E8737" s="7" t="n">
        <v>4587.96</v>
      </c>
      <c r="F8737" s="7" t="n">
        <v>0</v>
      </c>
      <c r="G8737" s="7" t="n">
        <v>0</v>
      </c>
    </row>
    <row r="8738" customFormat="false" ht="15" hidden="false" customHeight="false" outlineLevel="0" collapsed="false">
      <c r="A8738" s="7" t="s">
        <v>27</v>
      </c>
      <c r="B8738" s="7" t="s">
        <v>632</v>
      </c>
      <c r="C8738" s="7" t="s">
        <v>1067</v>
      </c>
      <c r="D8738" s="7" t="n">
        <v>400</v>
      </c>
      <c r="E8738" s="7" t="n">
        <v>7880.83</v>
      </c>
      <c r="F8738" s="7" t="n">
        <v>0</v>
      </c>
      <c r="G8738" s="7" t="n">
        <v>0</v>
      </c>
    </row>
    <row r="8739" customFormat="false" ht="15" hidden="false" customHeight="false" outlineLevel="0" collapsed="false">
      <c r="A8739" s="7" t="s">
        <v>27</v>
      </c>
      <c r="B8739" s="7" t="s">
        <v>632</v>
      </c>
      <c r="C8739" s="7" t="s">
        <v>1067</v>
      </c>
      <c r="D8739" s="7" t="n">
        <v>0</v>
      </c>
      <c r="E8739" s="7" t="n">
        <v>0</v>
      </c>
      <c r="F8739" s="7" t="n">
        <v>300</v>
      </c>
      <c r="G8739" s="7" t="n">
        <v>5255.86</v>
      </c>
    </row>
    <row r="8740" customFormat="false" ht="15" hidden="false" customHeight="false" outlineLevel="0" collapsed="false">
      <c r="A8740" s="7" t="s">
        <v>27</v>
      </c>
      <c r="B8740" s="7" t="s">
        <v>653</v>
      </c>
      <c r="C8740" s="7" t="s">
        <v>1067</v>
      </c>
      <c r="D8740" s="7" t="n">
        <v>0</v>
      </c>
      <c r="E8740" s="7" t="n">
        <v>0</v>
      </c>
      <c r="F8740" s="7" t="n">
        <v>1200</v>
      </c>
      <c r="G8740" s="7" t="n">
        <v>19476.29</v>
      </c>
    </row>
    <row r="8741" customFormat="false" ht="15" hidden="false" customHeight="false" outlineLevel="0" collapsed="false">
      <c r="A8741" s="7" t="s">
        <v>27</v>
      </c>
      <c r="B8741" s="7" t="s">
        <v>653</v>
      </c>
      <c r="C8741" s="7" t="s">
        <v>1067</v>
      </c>
      <c r="D8741" s="7" t="n">
        <v>300</v>
      </c>
      <c r="E8741" s="7" t="n">
        <v>5505.55</v>
      </c>
      <c r="F8741" s="7" t="n">
        <v>0</v>
      </c>
      <c r="G8741" s="7" t="n">
        <v>0</v>
      </c>
    </row>
    <row r="8742" customFormat="false" ht="15" hidden="false" customHeight="false" outlineLevel="0" collapsed="false">
      <c r="A8742" s="7" t="s">
        <v>27</v>
      </c>
      <c r="B8742" s="7" t="s">
        <v>653</v>
      </c>
      <c r="C8742" s="7" t="s">
        <v>1067</v>
      </c>
      <c r="D8742" s="7" t="n">
        <v>500</v>
      </c>
      <c r="E8742" s="7" t="n">
        <v>9017.52</v>
      </c>
      <c r="F8742" s="7" t="n">
        <v>0</v>
      </c>
      <c r="G8742" s="7" t="n">
        <v>0</v>
      </c>
    </row>
    <row r="8743" customFormat="false" ht="15" hidden="false" customHeight="false" outlineLevel="0" collapsed="false">
      <c r="A8743" s="7" t="s">
        <v>27</v>
      </c>
      <c r="B8743" s="7" t="s">
        <v>653</v>
      </c>
      <c r="C8743" s="7" t="s">
        <v>1067</v>
      </c>
      <c r="D8743" s="7" t="n">
        <v>300</v>
      </c>
      <c r="E8743" s="7" t="n">
        <v>5679.22</v>
      </c>
      <c r="F8743" s="7" t="n">
        <v>0</v>
      </c>
      <c r="G8743" s="7" t="n">
        <v>0</v>
      </c>
    </row>
    <row r="8744" customFormat="false" ht="15" hidden="false" customHeight="false" outlineLevel="0" collapsed="false">
      <c r="A8744" s="7" t="s">
        <v>27</v>
      </c>
      <c r="B8744" s="7" t="s">
        <v>653</v>
      </c>
      <c r="C8744" s="7" t="s">
        <v>1067</v>
      </c>
      <c r="D8744" s="7" t="n">
        <v>600</v>
      </c>
      <c r="E8744" s="7" t="n">
        <v>11821.25</v>
      </c>
      <c r="F8744" s="7" t="n">
        <v>0</v>
      </c>
      <c r="G8744" s="7" t="n">
        <v>0</v>
      </c>
    </row>
    <row r="8745" customFormat="false" ht="15" hidden="false" customHeight="false" outlineLevel="0" collapsed="false">
      <c r="A8745" s="7" t="s">
        <v>27</v>
      </c>
      <c r="B8745" s="7" t="s">
        <v>653</v>
      </c>
      <c r="C8745" s="7" t="s">
        <v>1067</v>
      </c>
      <c r="D8745" s="7" t="n">
        <v>0</v>
      </c>
      <c r="E8745" s="7" t="n">
        <v>0</v>
      </c>
      <c r="F8745" s="7" t="n">
        <v>200</v>
      </c>
      <c r="G8745" s="7" t="n">
        <v>3503.9</v>
      </c>
    </row>
    <row r="8746" customFormat="false" ht="15" hidden="false" customHeight="false" outlineLevel="0" collapsed="false">
      <c r="A8746" s="7" t="s">
        <v>27</v>
      </c>
      <c r="B8746" s="7" t="s">
        <v>731</v>
      </c>
      <c r="C8746" s="7" t="s">
        <v>1067</v>
      </c>
      <c r="D8746" s="7" t="n">
        <v>0</v>
      </c>
      <c r="E8746" s="7" t="n">
        <v>0</v>
      </c>
      <c r="F8746" s="7" t="n">
        <v>200</v>
      </c>
      <c r="G8746" s="7" t="n">
        <v>3503.9</v>
      </c>
    </row>
    <row r="8747" customFormat="false" ht="15" hidden="false" customHeight="false" outlineLevel="0" collapsed="false">
      <c r="A8747" s="7" t="s">
        <v>27</v>
      </c>
      <c r="B8747" s="7" t="s">
        <v>731</v>
      </c>
      <c r="C8747" s="7" t="s">
        <v>1067</v>
      </c>
      <c r="D8747" s="7" t="n">
        <v>0</v>
      </c>
      <c r="E8747" s="7" t="n">
        <v>0</v>
      </c>
      <c r="F8747" s="7" t="n">
        <v>300</v>
      </c>
      <c r="G8747" s="7" t="n">
        <v>5067.36</v>
      </c>
    </row>
    <row r="8748" customFormat="false" ht="15" hidden="false" customHeight="false" outlineLevel="0" collapsed="false">
      <c r="A8748" s="7" t="s">
        <v>27</v>
      </c>
      <c r="B8748" s="7" t="s">
        <v>731</v>
      </c>
      <c r="C8748" s="7" t="s">
        <v>1067</v>
      </c>
      <c r="D8748" s="7" t="n">
        <v>400</v>
      </c>
      <c r="E8748" s="7" t="n">
        <v>7880.83</v>
      </c>
      <c r="F8748" s="7" t="n">
        <v>0</v>
      </c>
      <c r="G8748" s="7" t="n">
        <v>0</v>
      </c>
    </row>
    <row r="8749" customFormat="false" ht="15" hidden="false" customHeight="false" outlineLevel="0" collapsed="false">
      <c r="A8749" s="7" t="s">
        <v>27</v>
      </c>
      <c r="B8749" s="7" t="s">
        <v>731</v>
      </c>
      <c r="C8749" s="7" t="s">
        <v>1067</v>
      </c>
      <c r="D8749" s="7" t="n">
        <v>0</v>
      </c>
      <c r="E8749" s="7" t="n">
        <v>0</v>
      </c>
      <c r="F8749" s="7" t="n">
        <v>800</v>
      </c>
      <c r="G8749" s="7" t="n">
        <v>12984.19</v>
      </c>
    </row>
    <row r="8750" customFormat="false" ht="15" hidden="false" customHeight="false" outlineLevel="0" collapsed="false">
      <c r="A8750" s="7" t="s">
        <v>27</v>
      </c>
      <c r="B8750" s="7" t="s">
        <v>731</v>
      </c>
      <c r="C8750" s="7" t="s">
        <v>1067</v>
      </c>
      <c r="D8750" s="7" t="n">
        <v>500</v>
      </c>
      <c r="E8750" s="7" t="n">
        <v>9465.36</v>
      </c>
      <c r="F8750" s="7" t="n">
        <v>0</v>
      </c>
      <c r="G8750" s="7" t="n">
        <v>0</v>
      </c>
    </row>
    <row r="8751" customFormat="false" ht="15" hidden="false" customHeight="false" outlineLevel="0" collapsed="false">
      <c r="A8751" s="7" t="s">
        <v>27</v>
      </c>
      <c r="B8751" s="7" t="s">
        <v>731</v>
      </c>
      <c r="C8751" s="7" t="s">
        <v>1067</v>
      </c>
      <c r="D8751" s="7" t="n">
        <v>400</v>
      </c>
      <c r="E8751" s="7" t="n">
        <v>7214.02</v>
      </c>
      <c r="F8751" s="7" t="n">
        <v>0</v>
      </c>
      <c r="G8751" s="7" t="n">
        <v>0</v>
      </c>
    </row>
    <row r="8752" customFormat="false" ht="15" hidden="false" customHeight="false" outlineLevel="0" collapsed="false">
      <c r="A8752" s="7" t="s">
        <v>27</v>
      </c>
      <c r="B8752" s="7" t="s">
        <v>731</v>
      </c>
      <c r="C8752" s="7" t="s">
        <v>1067</v>
      </c>
      <c r="D8752" s="7" t="n">
        <v>300</v>
      </c>
      <c r="E8752" s="7" t="n">
        <v>5505.55</v>
      </c>
      <c r="F8752" s="7" t="n">
        <v>0</v>
      </c>
      <c r="G8752" s="7" t="n">
        <v>0</v>
      </c>
    </row>
    <row r="8753" customFormat="false" ht="15" hidden="false" customHeight="false" outlineLevel="0" collapsed="false">
      <c r="A8753" s="7" t="s">
        <v>27</v>
      </c>
      <c r="B8753" s="7" t="s">
        <v>595</v>
      </c>
      <c r="C8753" s="7" t="s">
        <v>1118</v>
      </c>
      <c r="D8753" s="7" t="n">
        <v>130</v>
      </c>
      <c r="E8753" s="7" t="n">
        <v>4268.78</v>
      </c>
      <c r="F8753" s="7" t="n">
        <v>0</v>
      </c>
      <c r="G8753" s="7" t="n">
        <v>0</v>
      </c>
    </row>
    <row r="8754" customFormat="false" ht="15" hidden="false" customHeight="false" outlineLevel="0" collapsed="false">
      <c r="A8754" s="7" t="s">
        <v>27</v>
      </c>
      <c r="B8754" s="7" t="s">
        <v>595</v>
      </c>
      <c r="C8754" s="7" t="s">
        <v>1118</v>
      </c>
      <c r="D8754" s="7" t="n">
        <v>80</v>
      </c>
      <c r="E8754" s="7" t="n">
        <v>2400.06</v>
      </c>
      <c r="F8754" s="7" t="n">
        <v>0</v>
      </c>
      <c r="G8754" s="7" t="n">
        <v>0</v>
      </c>
    </row>
    <row r="8755" customFormat="false" ht="15" hidden="false" customHeight="false" outlineLevel="0" collapsed="false">
      <c r="A8755" s="7" t="s">
        <v>27</v>
      </c>
      <c r="B8755" s="7" t="s">
        <v>595</v>
      </c>
      <c r="C8755" s="7" t="s">
        <v>1118</v>
      </c>
      <c r="D8755" s="7" t="n">
        <v>30</v>
      </c>
      <c r="E8755" s="7" t="n">
        <v>946.54</v>
      </c>
      <c r="F8755" s="7" t="n">
        <v>0</v>
      </c>
      <c r="G8755" s="7" t="n">
        <v>0</v>
      </c>
    </row>
    <row r="8756" customFormat="false" ht="15" hidden="false" customHeight="false" outlineLevel="0" collapsed="false">
      <c r="A8756" s="7" t="s">
        <v>27</v>
      </c>
      <c r="B8756" s="7" t="s">
        <v>595</v>
      </c>
      <c r="C8756" s="7" t="s">
        <v>1118</v>
      </c>
      <c r="D8756" s="7" t="n">
        <v>0</v>
      </c>
      <c r="E8756" s="7" t="n">
        <v>0</v>
      </c>
      <c r="F8756" s="7" t="n">
        <v>80</v>
      </c>
      <c r="G8756" s="7" t="n">
        <v>2252.16</v>
      </c>
    </row>
    <row r="8757" customFormat="false" ht="15" hidden="false" customHeight="false" outlineLevel="0" collapsed="false">
      <c r="A8757" s="7" t="s">
        <v>27</v>
      </c>
      <c r="B8757" s="7" t="s">
        <v>595</v>
      </c>
      <c r="C8757" s="7" t="s">
        <v>1118</v>
      </c>
      <c r="D8757" s="7" t="n">
        <v>120</v>
      </c>
      <c r="E8757" s="7" t="n">
        <v>3607.01</v>
      </c>
      <c r="F8757" s="7" t="n">
        <v>0</v>
      </c>
      <c r="G8757" s="7" t="n">
        <v>0</v>
      </c>
    </row>
    <row r="8758" customFormat="false" ht="15" hidden="false" customHeight="false" outlineLevel="0" collapsed="false">
      <c r="A8758" s="7" t="s">
        <v>27</v>
      </c>
      <c r="B8758" s="7" t="s">
        <v>595</v>
      </c>
      <c r="C8758" s="7" t="s">
        <v>1118</v>
      </c>
      <c r="D8758" s="7" t="n">
        <v>0</v>
      </c>
      <c r="E8758" s="7" t="n">
        <v>0</v>
      </c>
      <c r="F8758" s="7" t="n">
        <v>50</v>
      </c>
      <c r="G8758" s="7" t="n">
        <v>1459.96</v>
      </c>
    </row>
    <row r="8759" customFormat="false" ht="15" hidden="false" customHeight="false" outlineLevel="0" collapsed="false">
      <c r="A8759" s="7" t="s">
        <v>27</v>
      </c>
      <c r="B8759" s="7" t="s">
        <v>595</v>
      </c>
      <c r="C8759" s="7" t="s">
        <v>1118</v>
      </c>
      <c r="D8759" s="7" t="n">
        <v>0</v>
      </c>
      <c r="E8759" s="7" t="n">
        <v>0</v>
      </c>
      <c r="F8759" s="7" t="n">
        <v>100</v>
      </c>
      <c r="G8759" s="7" t="n">
        <v>2705.04</v>
      </c>
    </row>
    <row r="8760" customFormat="false" ht="15" hidden="false" customHeight="false" outlineLevel="0" collapsed="false">
      <c r="A8760" s="7" t="s">
        <v>27</v>
      </c>
      <c r="B8760" s="7" t="s">
        <v>693</v>
      </c>
      <c r="C8760" s="7" t="s">
        <v>1118</v>
      </c>
      <c r="D8760" s="7" t="n">
        <v>80</v>
      </c>
      <c r="E8760" s="7" t="n">
        <v>2524.1</v>
      </c>
      <c r="F8760" s="7" t="n">
        <v>0</v>
      </c>
      <c r="G8760" s="7" t="n">
        <v>0</v>
      </c>
    </row>
    <row r="8761" customFormat="false" ht="15" hidden="false" customHeight="false" outlineLevel="0" collapsed="false">
      <c r="A8761" s="7" t="s">
        <v>27</v>
      </c>
      <c r="B8761" s="7" t="s">
        <v>693</v>
      </c>
      <c r="C8761" s="7" t="s">
        <v>1118</v>
      </c>
      <c r="D8761" s="7" t="n">
        <v>40</v>
      </c>
      <c r="E8761" s="7" t="n">
        <v>1223.46</v>
      </c>
      <c r="F8761" s="7" t="n">
        <v>0</v>
      </c>
      <c r="G8761" s="7" t="n">
        <v>0</v>
      </c>
    </row>
    <row r="8762" customFormat="false" ht="15" hidden="false" customHeight="false" outlineLevel="0" collapsed="false">
      <c r="A8762" s="7" t="s">
        <v>27</v>
      </c>
      <c r="B8762" s="7" t="s">
        <v>693</v>
      </c>
      <c r="C8762" s="7" t="s">
        <v>1118</v>
      </c>
      <c r="D8762" s="7" t="n">
        <v>0</v>
      </c>
      <c r="E8762" s="7" t="n">
        <v>0</v>
      </c>
      <c r="F8762" s="7" t="n">
        <v>30</v>
      </c>
      <c r="G8762" s="7" t="n">
        <v>875.98</v>
      </c>
    </row>
    <row r="8763" customFormat="false" ht="15" hidden="false" customHeight="false" outlineLevel="0" collapsed="false">
      <c r="A8763" s="7" t="s">
        <v>27</v>
      </c>
      <c r="B8763" s="7" t="s">
        <v>693</v>
      </c>
      <c r="C8763" s="7" t="s">
        <v>1118</v>
      </c>
      <c r="D8763" s="7" t="n">
        <v>60</v>
      </c>
      <c r="E8763" s="7" t="n">
        <v>1803.5</v>
      </c>
      <c r="F8763" s="7" t="n">
        <v>0</v>
      </c>
      <c r="G8763" s="7" t="n">
        <v>0</v>
      </c>
    </row>
    <row r="8764" customFormat="false" ht="15" hidden="false" customHeight="false" outlineLevel="0" collapsed="false">
      <c r="A8764" s="7" t="s">
        <v>27</v>
      </c>
      <c r="B8764" s="7" t="s">
        <v>693</v>
      </c>
      <c r="C8764" s="7" t="s">
        <v>1118</v>
      </c>
      <c r="D8764" s="7" t="n">
        <v>80</v>
      </c>
      <c r="E8764" s="7" t="n">
        <v>2400.06</v>
      </c>
      <c r="F8764" s="7" t="n">
        <v>0</v>
      </c>
      <c r="G8764" s="7" t="n">
        <v>0</v>
      </c>
    </row>
    <row r="8765" customFormat="false" ht="15" hidden="false" customHeight="false" outlineLevel="0" collapsed="false">
      <c r="A8765" s="7" t="s">
        <v>27</v>
      </c>
      <c r="B8765" s="7" t="s">
        <v>693</v>
      </c>
      <c r="C8765" s="7" t="s">
        <v>1118</v>
      </c>
      <c r="D8765" s="7" t="n">
        <v>0</v>
      </c>
      <c r="E8765" s="7" t="n">
        <v>0</v>
      </c>
      <c r="F8765" s="7" t="n">
        <v>40</v>
      </c>
      <c r="G8765" s="7" t="n">
        <v>1126.08</v>
      </c>
    </row>
    <row r="8766" customFormat="false" ht="15" hidden="false" customHeight="false" outlineLevel="0" collapsed="false">
      <c r="A8766" s="7" t="s">
        <v>27</v>
      </c>
      <c r="B8766" s="7" t="s">
        <v>693</v>
      </c>
      <c r="C8766" s="7" t="s">
        <v>1118</v>
      </c>
      <c r="D8766" s="7" t="n">
        <v>0</v>
      </c>
      <c r="E8766" s="7" t="n">
        <v>0</v>
      </c>
      <c r="F8766" s="7" t="n">
        <v>120</v>
      </c>
      <c r="G8766" s="7" t="n">
        <v>3246.05</v>
      </c>
    </row>
    <row r="8767" customFormat="false" ht="15" hidden="false" customHeight="false" outlineLevel="0" collapsed="false">
      <c r="A8767" s="7" t="s">
        <v>27</v>
      </c>
      <c r="B8767" s="7" t="s">
        <v>693</v>
      </c>
      <c r="C8767" s="7" t="s">
        <v>1118</v>
      </c>
      <c r="D8767" s="7" t="n">
        <v>60</v>
      </c>
      <c r="E8767" s="7" t="n">
        <v>1970.21</v>
      </c>
      <c r="F8767" s="7" t="n">
        <v>0</v>
      </c>
      <c r="G8767" s="7" t="n">
        <v>0</v>
      </c>
    </row>
    <row r="8768" customFormat="false" ht="15" hidden="false" customHeight="false" outlineLevel="0" collapsed="false">
      <c r="A8768" s="7" t="s">
        <v>27</v>
      </c>
      <c r="B8768" s="7" t="s">
        <v>692</v>
      </c>
      <c r="C8768" s="7" t="s">
        <v>1118</v>
      </c>
      <c r="D8768" s="7" t="n">
        <v>40</v>
      </c>
      <c r="E8768" s="7" t="n">
        <v>1200.03</v>
      </c>
      <c r="F8768" s="7" t="n">
        <v>0</v>
      </c>
      <c r="G8768" s="7" t="n">
        <v>0</v>
      </c>
    </row>
    <row r="8769" customFormat="false" ht="15" hidden="false" customHeight="false" outlineLevel="0" collapsed="false">
      <c r="A8769" s="7" t="s">
        <v>27</v>
      </c>
      <c r="B8769" s="7" t="s">
        <v>692</v>
      </c>
      <c r="C8769" s="7" t="s">
        <v>1118</v>
      </c>
      <c r="D8769" s="7" t="n">
        <v>10</v>
      </c>
      <c r="E8769" s="7" t="n">
        <v>300.58</v>
      </c>
      <c r="F8769" s="7" t="n">
        <v>0</v>
      </c>
      <c r="G8769" s="7" t="n">
        <v>0</v>
      </c>
    </row>
    <row r="8770" customFormat="false" ht="15" hidden="false" customHeight="false" outlineLevel="0" collapsed="false">
      <c r="A8770" s="7" t="s">
        <v>27</v>
      </c>
      <c r="B8770" s="7" t="s">
        <v>692</v>
      </c>
      <c r="C8770" s="7" t="s">
        <v>1118</v>
      </c>
      <c r="D8770" s="7" t="n">
        <v>30</v>
      </c>
      <c r="E8770" s="7" t="n">
        <v>985.11</v>
      </c>
      <c r="F8770" s="7" t="n">
        <v>0</v>
      </c>
      <c r="G8770" s="7" t="n">
        <v>0</v>
      </c>
    </row>
    <row r="8771" customFormat="false" ht="15" hidden="false" customHeight="false" outlineLevel="0" collapsed="false">
      <c r="A8771" s="7" t="s">
        <v>27</v>
      </c>
      <c r="B8771" s="7" t="s">
        <v>692</v>
      </c>
      <c r="C8771" s="7" t="s">
        <v>1118</v>
      </c>
      <c r="D8771" s="7" t="n">
        <v>30</v>
      </c>
      <c r="E8771" s="7" t="n">
        <v>946.54</v>
      </c>
      <c r="F8771" s="7" t="n">
        <v>0</v>
      </c>
      <c r="G8771" s="7" t="n">
        <v>0</v>
      </c>
    </row>
    <row r="8772" customFormat="false" ht="15" hidden="false" customHeight="false" outlineLevel="0" collapsed="false">
      <c r="A8772" s="7" t="s">
        <v>27</v>
      </c>
      <c r="B8772" s="7" t="s">
        <v>692</v>
      </c>
      <c r="C8772" s="7" t="s">
        <v>1118</v>
      </c>
      <c r="D8772" s="7" t="n">
        <v>0</v>
      </c>
      <c r="E8772" s="7" t="n">
        <v>0</v>
      </c>
      <c r="F8772" s="7" t="n">
        <v>20</v>
      </c>
      <c r="G8772" s="7" t="n">
        <v>583.98</v>
      </c>
    </row>
    <row r="8773" customFormat="false" ht="15" hidden="false" customHeight="false" outlineLevel="0" collapsed="false">
      <c r="A8773" s="7" t="s">
        <v>27</v>
      </c>
      <c r="B8773" s="7" t="s">
        <v>533</v>
      </c>
      <c r="C8773" s="7" t="s">
        <v>1118</v>
      </c>
      <c r="D8773" s="7" t="n">
        <v>30</v>
      </c>
      <c r="E8773" s="7" t="n">
        <v>901.75</v>
      </c>
      <c r="F8773" s="7" t="n">
        <v>0</v>
      </c>
      <c r="G8773" s="7" t="n">
        <v>0</v>
      </c>
    </row>
    <row r="8774" customFormat="false" ht="15" hidden="false" customHeight="false" outlineLevel="0" collapsed="false">
      <c r="A8774" s="7" t="s">
        <v>27</v>
      </c>
      <c r="B8774" s="7" t="s">
        <v>533</v>
      </c>
      <c r="C8774" s="7" t="s">
        <v>1118</v>
      </c>
      <c r="D8774" s="7" t="n">
        <v>0</v>
      </c>
      <c r="E8774" s="7" t="n">
        <v>0</v>
      </c>
      <c r="F8774" s="7" t="n">
        <v>40</v>
      </c>
      <c r="G8774" s="7" t="n">
        <v>1126.08</v>
      </c>
    </row>
    <row r="8775" customFormat="false" ht="15" hidden="false" customHeight="false" outlineLevel="0" collapsed="false">
      <c r="A8775" s="7" t="s">
        <v>27</v>
      </c>
      <c r="B8775" s="7" t="s">
        <v>533</v>
      </c>
      <c r="C8775" s="7" t="s">
        <v>1118</v>
      </c>
      <c r="D8775" s="7" t="n">
        <v>60</v>
      </c>
      <c r="E8775" s="7" t="n">
        <v>1800.05</v>
      </c>
      <c r="F8775" s="7" t="n">
        <v>0</v>
      </c>
      <c r="G8775" s="7" t="n">
        <v>0</v>
      </c>
    </row>
    <row r="8776" customFormat="false" ht="15" hidden="false" customHeight="false" outlineLevel="0" collapsed="false">
      <c r="A8776" s="7" t="s">
        <v>27</v>
      </c>
      <c r="B8776" s="7" t="s">
        <v>533</v>
      </c>
      <c r="C8776" s="7" t="s">
        <v>1118</v>
      </c>
      <c r="D8776" s="7" t="n">
        <v>0</v>
      </c>
      <c r="E8776" s="7" t="n">
        <v>0</v>
      </c>
      <c r="F8776" s="7" t="n">
        <v>40</v>
      </c>
      <c r="G8776" s="7" t="n">
        <v>1082.02</v>
      </c>
    </row>
    <row r="8777" customFormat="false" ht="15" hidden="false" customHeight="false" outlineLevel="0" collapsed="false">
      <c r="A8777" s="7" t="s">
        <v>27</v>
      </c>
      <c r="B8777" s="7" t="s">
        <v>533</v>
      </c>
      <c r="C8777" s="7" t="s">
        <v>1118</v>
      </c>
      <c r="D8777" s="7" t="n">
        <v>80</v>
      </c>
      <c r="E8777" s="7" t="n">
        <v>2626.94</v>
      </c>
      <c r="F8777" s="7" t="n">
        <v>0</v>
      </c>
      <c r="G8777" s="7" t="n">
        <v>0</v>
      </c>
    </row>
    <row r="8778" customFormat="false" ht="15" hidden="false" customHeight="false" outlineLevel="0" collapsed="false">
      <c r="A8778" s="7" t="s">
        <v>27</v>
      </c>
      <c r="B8778" s="7" t="s">
        <v>179</v>
      </c>
      <c r="C8778" s="7" t="s">
        <v>1120</v>
      </c>
      <c r="D8778" s="7" t="n">
        <v>0</v>
      </c>
      <c r="E8778" s="7" t="n">
        <v>0</v>
      </c>
      <c r="F8778" s="7" t="n">
        <v>60</v>
      </c>
      <c r="G8778" s="7" t="n">
        <v>1978.06</v>
      </c>
    </row>
    <row r="8779" customFormat="false" ht="15" hidden="false" customHeight="false" outlineLevel="0" collapsed="false">
      <c r="A8779" s="7" t="s">
        <v>27</v>
      </c>
      <c r="B8779" s="7" t="s">
        <v>179</v>
      </c>
      <c r="C8779" s="7" t="s">
        <v>1120</v>
      </c>
      <c r="D8779" s="7" t="n">
        <v>50</v>
      </c>
      <c r="E8779" s="7" t="n">
        <v>1831.68</v>
      </c>
      <c r="F8779" s="7" t="n">
        <v>0</v>
      </c>
      <c r="G8779" s="7" t="n">
        <v>0</v>
      </c>
    </row>
    <row r="8780" customFormat="false" ht="15" hidden="false" customHeight="false" outlineLevel="0" collapsed="false">
      <c r="A8780" s="7" t="s">
        <v>27</v>
      </c>
      <c r="B8780" s="7" t="s">
        <v>179</v>
      </c>
      <c r="C8780" s="7" t="s">
        <v>1120</v>
      </c>
      <c r="D8780" s="7" t="n">
        <v>80</v>
      </c>
      <c r="E8780" s="7" t="n">
        <v>2982.17</v>
      </c>
      <c r="F8780" s="7" t="n">
        <v>0</v>
      </c>
      <c r="G8780" s="7" t="n">
        <v>0</v>
      </c>
    </row>
    <row r="8781" customFormat="false" ht="15" hidden="false" customHeight="false" outlineLevel="0" collapsed="false">
      <c r="A8781" s="7" t="s">
        <v>27</v>
      </c>
      <c r="B8781" s="7" t="s">
        <v>179</v>
      </c>
      <c r="C8781" s="7" t="s">
        <v>1120</v>
      </c>
      <c r="D8781" s="7" t="n">
        <v>0</v>
      </c>
      <c r="E8781" s="7" t="n">
        <v>0</v>
      </c>
      <c r="F8781" s="7" t="n">
        <v>30</v>
      </c>
      <c r="G8781" s="7" t="n">
        <v>1067.6</v>
      </c>
    </row>
    <row r="8782" customFormat="false" ht="15" hidden="false" customHeight="false" outlineLevel="0" collapsed="false">
      <c r="A8782" s="7" t="s">
        <v>27</v>
      </c>
      <c r="B8782" s="7" t="s">
        <v>179</v>
      </c>
      <c r="C8782" s="7" t="s">
        <v>1120</v>
      </c>
      <c r="D8782" s="7" t="n">
        <v>100</v>
      </c>
      <c r="E8782" s="7" t="n">
        <v>4001.99</v>
      </c>
      <c r="F8782" s="7" t="n">
        <v>0</v>
      </c>
      <c r="G8782" s="7" t="n">
        <v>0</v>
      </c>
    </row>
    <row r="8783" customFormat="false" ht="15" hidden="false" customHeight="false" outlineLevel="0" collapsed="false">
      <c r="A8783" s="7" t="s">
        <v>27</v>
      </c>
      <c r="B8783" s="7" t="s">
        <v>179</v>
      </c>
      <c r="C8783" s="7" t="s">
        <v>1120</v>
      </c>
      <c r="D8783" s="7" t="n">
        <v>0</v>
      </c>
      <c r="E8783" s="7" t="n">
        <v>0</v>
      </c>
      <c r="F8783" s="7" t="n">
        <v>30</v>
      </c>
      <c r="G8783" s="7" t="n">
        <v>1029.31</v>
      </c>
    </row>
    <row r="8784" customFormat="false" ht="15" hidden="false" customHeight="false" outlineLevel="0" collapsed="false">
      <c r="A8784" s="7" t="s">
        <v>27</v>
      </c>
      <c r="B8784" s="7" t="s">
        <v>801</v>
      </c>
      <c r="C8784" s="7" t="s">
        <v>1069</v>
      </c>
      <c r="D8784" s="7" t="n">
        <v>30</v>
      </c>
      <c r="E8784" s="7" t="n">
        <v>437.77</v>
      </c>
      <c r="F8784" s="7" t="n">
        <v>0</v>
      </c>
      <c r="G8784" s="7" t="n">
        <v>0</v>
      </c>
    </row>
    <row r="8785" customFormat="false" ht="15" hidden="false" customHeight="false" outlineLevel="0" collapsed="false">
      <c r="A8785" s="7" t="s">
        <v>27</v>
      </c>
      <c r="B8785" s="7" t="s">
        <v>801</v>
      </c>
      <c r="C8785" s="7" t="s">
        <v>1069</v>
      </c>
      <c r="D8785" s="7" t="n">
        <v>10</v>
      </c>
      <c r="E8785" s="7" t="n">
        <v>139.02</v>
      </c>
      <c r="F8785" s="7" t="n">
        <v>0</v>
      </c>
      <c r="G8785" s="7" t="n">
        <v>0</v>
      </c>
    </row>
    <row r="8786" customFormat="false" ht="15" hidden="false" customHeight="false" outlineLevel="0" collapsed="false">
      <c r="A8786" s="7" t="s">
        <v>27</v>
      </c>
      <c r="B8786" s="7" t="s">
        <v>801</v>
      </c>
      <c r="C8786" s="7" t="s">
        <v>1069</v>
      </c>
      <c r="D8786" s="7" t="n">
        <v>30</v>
      </c>
      <c r="E8786" s="7" t="n">
        <v>416.26</v>
      </c>
      <c r="F8786" s="7" t="n">
        <v>0</v>
      </c>
      <c r="G8786" s="7" t="n">
        <v>0</v>
      </c>
    </row>
    <row r="8787" customFormat="false" ht="15" hidden="false" customHeight="false" outlineLevel="0" collapsed="false">
      <c r="A8787" s="7" t="s">
        <v>27</v>
      </c>
      <c r="B8787" s="7" t="s">
        <v>801</v>
      </c>
      <c r="C8787" s="7" t="s">
        <v>1069</v>
      </c>
      <c r="D8787" s="7" t="n">
        <v>0</v>
      </c>
      <c r="E8787" s="7" t="n">
        <v>0</v>
      </c>
      <c r="F8787" s="7" t="n">
        <v>20</v>
      </c>
      <c r="G8787" s="7" t="n">
        <v>270.09</v>
      </c>
    </row>
    <row r="8788" customFormat="false" ht="15" hidden="false" customHeight="false" outlineLevel="0" collapsed="false">
      <c r="A8788" s="7" t="s">
        <v>27</v>
      </c>
      <c r="B8788" s="7" t="s">
        <v>801</v>
      </c>
      <c r="C8788" s="7" t="s">
        <v>1069</v>
      </c>
      <c r="D8788" s="7" t="n">
        <v>20</v>
      </c>
      <c r="E8788" s="7" t="n">
        <v>303.74</v>
      </c>
      <c r="F8788" s="7" t="n">
        <v>0</v>
      </c>
      <c r="G8788" s="7" t="n">
        <v>0</v>
      </c>
    </row>
    <row r="8789" customFormat="false" ht="15" hidden="false" customHeight="false" outlineLevel="0" collapsed="false">
      <c r="A8789" s="7" t="s">
        <v>27</v>
      </c>
      <c r="B8789" s="7" t="s">
        <v>801</v>
      </c>
      <c r="C8789" s="7" t="s">
        <v>1069</v>
      </c>
      <c r="D8789" s="7" t="n">
        <v>0</v>
      </c>
      <c r="E8789" s="7" t="n">
        <v>0</v>
      </c>
      <c r="F8789" s="7" t="n">
        <v>20</v>
      </c>
      <c r="G8789" s="7" t="n">
        <v>250.22</v>
      </c>
    </row>
    <row r="8790" customFormat="false" ht="15" hidden="false" customHeight="false" outlineLevel="0" collapsed="false">
      <c r="A8790" s="7" t="s">
        <v>27</v>
      </c>
      <c r="B8790" s="7" t="s">
        <v>714</v>
      </c>
      <c r="C8790" s="7" t="s">
        <v>1069</v>
      </c>
      <c r="D8790" s="7" t="n">
        <v>0</v>
      </c>
      <c r="E8790" s="7" t="n">
        <v>0</v>
      </c>
      <c r="F8790" s="7" t="n">
        <v>10</v>
      </c>
      <c r="G8790" s="7" t="n">
        <v>125.11</v>
      </c>
    </row>
    <row r="8791" customFormat="false" ht="15" hidden="false" customHeight="false" outlineLevel="0" collapsed="false">
      <c r="A8791" s="7" t="s">
        <v>27</v>
      </c>
      <c r="B8791" s="7" t="s">
        <v>714</v>
      </c>
      <c r="C8791" s="7" t="s">
        <v>1069</v>
      </c>
      <c r="D8791" s="7" t="n">
        <v>0</v>
      </c>
      <c r="E8791" s="7" t="n">
        <v>0</v>
      </c>
      <c r="F8791" s="7" t="n">
        <v>20</v>
      </c>
      <c r="G8791" s="7" t="n">
        <v>270.09</v>
      </c>
    </row>
    <row r="8792" customFormat="false" ht="15" hidden="false" customHeight="false" outlineLevel="0" collapsed="false">
      <c r="A8792" s="7" t="s">
        <v>27</v>
      </c>
      <c r="B8792" s="7" t="s">
        <v>714</v>
      </c>
      <c r="C8792" s="7" t="s">
        <v>1069</v>
      </c>
      <c r="D8792" s="7" t="n">
        <v>0</v>
      </c>
      <c r="E8792" s="7" t="n">
        <v>0</v>
      </c>
      <c r="F8792" s="7" t="n">
        <v>10</v>
      </c>
      <c r="G8792" s="7" t="n">
        <v>130.2</v>
      </c>
    </row>
    <row r="8793" customFormat="false" ht="15" hidden="false" customHeight="false" outlineLevel="0" collapsed="false">
      <c r="A8793" s="7" t="s">
        <v>27</v>
      </c>
      <c r="B8793" s="7" t="s">
        <v>714</v>
      </c>
      <c r="C8793" s="7" t="s">
        <v>1069</v>
      </c>
      <c r="D8793" s="7" t="n">
        <v>40</v>
      </c>
      <c r="E8793" s="7" t="n">
        <v>607.48</v>
      </c>
      <c r="F8793" s="7" t="n">
        <v>0</v>
      </c>
      <c r="G8793" s="7" t="n">
        <v>0</v>
      </c>
    </row>
    <row r="8794" customFormat="false" ht="15" hidden="false" customHeight="false" outlineLevel="0" collapsed="false">
      <c r="A8794" s="7" t="s">
        <v>27</v>
      </c>
      <c r="B8794" s="7" t="s">
        <v>714</v>
      </c>
      <c r="C8794" s="7" t="s">
        <v>1069</v>
      </c>
      <c r="D8794" s="7" t="n">
        <v>50</v>
      </c>
      <c r="E8794" s="7" t="n">
        <v>693.77</v>
      </c>
      <c r="F8794" s="7" t="n">
        <v>0</v>
      </c>
      <c r="G8794" s="7" t="n">
        <v>0</v>
      </c>
    </row>
    <row r="8795" customFormat="false" ht="15" hidden="false" customHeight="false" outlineLevel="0" collapsed="false">
      <c r="A8795" s="7" t="s">
        <v>27</v>
      </c>
      <c r="B8795" s="7" t="s">
        <v>714</v>
      </c>
      <c r="C8795" s="7" t="s">
        <v>1069</v>
      </c>
      <c r="D8795" s="7" t="n">
        <v>30</v>
      </c>
      <c r="E8795" s="7" t="n">
        <v>424.39</v>
      </c>
      <c r="F8795" s="7" t="n">
        <v>0</v>
      </c>
      <c r="G8795" s="7" t="n">
        <v>0</v>
      </c>
    </row>
    <row r="8796" customFormat="false" ht="15" hidden="false" customHeight="false" outlineLevel="0" collapsed="false">
      <c r="A8796" s="7" t="s">
        <v>27</v>
      </c>
      <c r="B8796" s="7" t="s">
        <v>799</v>
      </c>
      <c r="C8796" s="7" t="s">
        <v>1069</v>
      </c>
      <c r="D8796" s="7" t="n">
        <v>30</v>
      </c>
      <c r="E8796" s="7" t="n">
        <v>416.26</v>
      </c>
      <c r="F8796" s="7" t="n">
        <v>0</v>
      </c>
      <c r="G8796" s="7" t="n">
        <v>0</v>
      </c>
    </row>
    <row r="8797" customFormat="false" ht="15" hidden="false" customHeight="false" outlineLevel="0" collapsed="false">
      <c r="A8797" s="7" t="s">
        <v>27</v>
      </c>
      <c r="B8797" s="7" t="s">
        <v>799</v>
      </c>
      <c r="C8797" s="7" t="s">
        <v>1069</v>
      </c>
      <c r="D8797" s="7" t="n">
        <v>10</v>
      </c>
      <c r="E8797" s="7" t="n">
        <v>139.02</v>
      </c>
      <c r="F8797" s="7" t="n">
        <v>0</v>
      </c>
      <c r="G8797" s="7" t="n">
        <v>0</v>
      </c>
    </row>
    <row r="8798" customFormat="false" ht="15" hidden="false" customHeight="false" outlineLevel="0" collapsed="false">
      <c r="A8798" s="7" t="s">
        <v>27</v>
      </c>
      <c r="B8798" s="7" t="s">
        <v>799</v>
      </c>
      <c r="C8798" s="7" t="s">
        <v>1069</v>
      </c>
      <c r="D8798" s="7" t="n">
        <v>10</v>
      </c>
      <c r="E8798" s="7" t="n">
        <v>141.46</v>
      </c>
      <c r="F8798" s="7" t="n">
        <v>0</v>
      </c>
      <c r="G8798" s="7" t="n">
        <v>0</v>
      </c>
    </row>
    <row r="8799" customFormat="false" ht="15" hidden="false" customHeight="false" outlineLevel="0" collapsed="false">
      <c r="A8799" s="7" t="s">
        <v>27</v>
      </c>
      <c r="B8799" s="7" t="s">
        <v>799</v>
      </c>
      <c r="C8799" s="7" t="s">
        <v>1069</v>
      </c>
      <c r="D8799" s="7" t="n">
        <v>40</v>
      </c>
      <c r="E8799" s="7" t="n">
        <v>607.48</v>
      </c>
      <c r="F8799" s="7" t="n">
        <v>0</v>
      </c>
      <c r="G8799" s="7" t="n">
        <v>0</v>
      </c>
    </row>
    <row r="8800" customFormat="false" ht="15" hidden="false" customHeight="false" outlineLevel="0" collapsed="false">
      <c r="A8800" s="7" t="s">
        <v>27</v>
      </c>
      <c r="B8800" s="7" t="s">
        <v>799</v>
      </c>
      <c r="C8800" s="7" t="s">
        <v>1069</v>
      </c>
      <c r="D8800" s="7" t="n">
        <v>0</v>
      </c>
      <c r="E8800" s="7" t="n">
        <v>0</v>
      </c>
      <c r="F8800" s="7" t="n">
        <v>20</v>
      </c>
      <c r="G8800" s="7" t="n">
        <v>270.09</v>
      </c>
    </row>
    <row r="8801" customFormat="false" ht="15" hidden="false" customHeight="false" outlineLevel="0" collapsed="false">
      <c r="A8801" s="7" t="s">
        <v>27</v>
      </c>
      <c r="B8801" s="7" t="s">
        <v>473</v>
      </c>
      <c r="C8801" s="7" t="s">
        <v>1164</v>
      </c>
      <c r="D8801" s="7" t="n">
        <v>120</v>
      </c>
      <c r="E8801" s="7" t="n">
        <v>1751.09</v>
      </c>
      <c r="F8801" s="7" t="n">
        <v>0</v>
      </c>
      <c r="G8801" s="7" t="n">
        <v>0</v>
      </c>
    </row>
    <row r="8802" customFormat="false" ht="15" hidden="false" customHeight="false" outlineLevel="0" collapsed="false">
      <c r="A8802" s="7" t="s">
        <v>27</v>
      </c>
      <c r="B8802" s="7" t="s">
        <v>473</v>
      </c>
      <c r="C8802" s="7" t="s">
        <v>1164</v>
      </c>
      <c r="D8802" s="7" t="n">
        <v>60</v>
      </c>
      <c r="E8802" s="7" t="n">
        <v>848.77</v>
      </c>
      <c r="F8802" s="7" t="n">
        <v>0</v>
      </c>
      <c r="G8802" s="7" t="n">
        <v>0</v>
      </c>
    </row>
    <row r="8803" customFormat="false" ht="15" hidden="false" customHeight="false" outlineLevel="0" collapsed="false">
      <c r="A8803" s="7" t="s">
        <v>27</v>
      </c>
      <c r="B8803" s="7" t="s">
        <v>473</v>
      </c>
      <c r="C8803" s="7" t="s">
        <v>1164</v>
      </c>
      <c r="D8803" s="7" t="n">
        <v>0</v>
      </c>
      <c r="E8803" s="7" t="n">
        <v>0</v>
      </c>
      <c r="F8803" s="7" t="n">
        <v>60</v>
      </c>
      <c r="G8803" s="7" t="n">
        <v>750.65</v>
      </c>
    </row>
    <row r="8804" customFormat="false" ht="15" hidden="false" customHeight="false" outlineLevel="0" collapsed="false">
      <c r="A8804" s="7" t="s">
        <v>27</v>
      </c>
      <c r="B8804" s="7" t="s">
        <v>473</v>
      </c>
      <c r="C8804" s="7" t="s">
        <v>1164</v>
      </c>
      <c r="D8804" s="7" t="n">
        <v>90</v>
      </c>
      <c r="E8804" s="7" t="n">
        <v>1248.78</v>
      </c>
      <c r="F8804" s="7" t="n">
        <v>0</v>
      </c>
      <c r="G8804" s="7" t="n">
        <v>0</v>
      </c>
    </row>
    <row r="8805" customFormat="false" ht="15" hidden="false" customHeight="false" outlineLevel="0" collapsed="false">
      <c r="A8805" s="7" t="s">
        <v>27</v>
      </c>
      <c r="B8805" s="7" t="s">
        <v>473</v>
      </c>
      <c r="C8805" s="7" t="s">
        <v>1164</v>
      </c>
      <c r="D8805" s="7" t="n">
        <v>50</v>
      </c>
      <c r="E8805" s="7" t="n">
        <v>695.1</v>
      </c>
      <c r="F8805" s="7" t="n">
        <v>0</v>
      </c>
      <c r="G8805" s="7" t="n">
        <v>0</v>
      </c>
    </row>
    <row r="8806" customFormat="false" ht="15" hidden="false" customHeight="false" outlineLevel="0" collapsed="false">
      <c r="A8806" s="7" t="s">
        <v>27</v>
      </c>
      <c r="B8806" s="7" t="s">
        <v>473</v>
      </c>
      <c r="C8806" s="7" t="s">
        <v>1164</v>
      </c>
      <c r="D8806" s="7" t="n">
        <v>0</v>
      </c>
      <c r="E8806" s="7" t="n">
        <v>0</v>
      </c>
      <c r="F8806" s="7" t="n">
        <v>40</v>
      </c>
      <c r="G8806" s="7" t="n">
        <v>540.19</v>
      </c>
    </row>
    <row r="8807" customFormat="false" ht="15" hidden="false" customHeight="false" outlineLevel="0" collapsed="false">
      <c r="A8807" s="7" t="s">
        <v>27</v>
      </c>
      <c r="B8807" s="7" t="s">
        <v>473</v>
      </c>
      <c r="C8807" s="7" t="s">
        <v>1164</v>
      </c>
      <c r="D8807" s="7" t="n">
        <v>0</v>
      </c>
      <c r="E8807" s="7" t="n">
        <v>0</v>
      </c>
      <c r="F8807" s="7" t="n">
        <v>90</v>
      </c>
      <c r="G8807" s="7" t="n">
        <v>1171.83</v>
      </c>
    </row>
    <row r="8808" customFormat="false" ht="15" hidden="false" customHeight="false" outlineLevel="0" collapsed="false">
      <c r="A8808" s="7" t="s">
        <v>27</v>
      </c>
      <c r="B8808" s="7" t="s">
        <v>684</v>
      </c>
      <c r="C8808" s="7" t="s">
        <v>1164</v>
      </c>
      <c r="D8808" s="7" t="n">
        <v>50</v>
      </c>
      <c r="E8808" s="7" t="n">
        <v>695.1</v>
      </c>
      <c r="F8808" s="7" t="n">
        <v>0</v>
      </c>
      <c r="G8808" s="7" t="n">
        <v>0</v>
      </c>
    </row>
    <row r="8809" customFormat="false" ht="15" hidden="false" customHeight="false" outlineLevel="0" collapsed="false">
      <c r="A8809" s="7" t="s">
        <v>27</v>
      </c>
      <c r="B8809" s="7" t="s">
        <v>684</v>
      </c>
      <c r="C8809" s="7" t="s">
        <v>1164</v>
      </c>
      <c r="D8809" s="7" t="n">
        <v>0</v>
      </c>
      <c r="E8809" s="7" t="n">
        <v>0</v>
      </c>
      <c r="F8809" s="7" t="n">
        <v>30</v>
      </c>
      <c r="G8809" s="7" t="n">
        <v>405.14</v>
      </c>
    </row>
    <row r="8810" customFormat="false" ht="15" hidden="false" customHeight="false" outlineLevel="0" collapsed="false">
      <c r="A8810" s="7" t="s">
        <v>27</v>
      </c>
      <c r="B8810" s="7" t="s">
        <v>684</v>
      </c>
      <c r="C8810" s="7" t="s">
        <v>1164</v>
      </c>
      <c r="D8810" s="7" t="n">
        <v>0</v>
      </c>
      <c r="E8810" s="7" t="n">
        <v>0</v>
      </c>
      <c r="F8810" s="7" t="n">
        <v>70</v>
      </c>
      <c r="G8810" s="7" t="n">
        <v>875.76</v>
      </c>
    </row>
    <row r="8811" customFormat="false" ht="15" hidden="false" customHeight="false" outlineLevel="0" collapsed="false">
      <c r="A8811" s="7" t="s">
        <v>27</v>
      </c>
      <c r="B8811" s="7" t="s">
        <v>684</v>
      </c>
      <c r="C8811" s="7" t="s">
        <v>1164</v>
      </c>
      <c r="D8811" s="7" t="n">
        <v>50</v>
      </c>
      <c r="E8811" s="7" t="n">
        <v>707.31</v>
      </c>
      <c r="F8811" s="7" t="n">
        <v>0</v>
      </c>
      <c r="G8811" s="7" t="n">
        <v>0</v>
      </c>
    </row>
    <row r="8812" customFormat="false" ht="15" hidden="false" customHeight="false" outlineLevel="0" collapsed="false">
      <c r="A8812" s="7" t="s">
        <v>27</v>
      </c>
      <c r="B8812" s="7" t="s">
        <v>684</v>
      </c>
      <c r="C8812" s="7" t="s">
        <v>1164</v>
      </c>
      <c r="D8812" s="7" t="n">
        <v>80</v>
      </c>
      <c r="E8812" s="7" t="n">
        <v>1110.03</v>
      </c>
      <c r="F8812" s="7" t="n">
        <v>0</v>
      </c>
      <c r="G8812" s="7" t="n">
        <v>0</v>
      </c>
    </row>
    <row r="8813" customFormat="false" ht="15" hidden="false" customHeight="false" outlineLevel="0" collapsed="false">
      <c r="A8813" s="7" t="s">
        <v>27</v>
      </c>
      <c r="B8813" s="7" t="s">
        <v>684</v>
      </c>
      <c r="C8813" s="7" t="s">
        <v>1164</v>
      </c>
      <c r="D8813" s="7" t="n">
        <v>120</v>
      </c>
      <c r="E8813" s="7" t="n">
        <v>1751.09</v>
      </c>
      <c r="F8813" s="7" t="n">
        <v>0</v>
      </c>
      <c r="G8813" s="7" t="n">
        <v>0</v>
      </c>
    </row>
    <row r="8814" customFormat="false" ht="15" hidden="false" customHeight="false" outlineLevel="0" collapsed="false">
      <c r="A8814" s="7" t="s">
        <v>27</v>
      </c>
      <c r="B8814" s="7" t="s">
        <v>686</v>
      </c>
      <c r="C8814" s="7" t="s">
        <v>1164</v>
      </c>
      <c r="D8814" s="7" t="n">
        <v>30</v>
      </c>
      <c r="E8814" s="7" t="n">
        <v>437.77</v>
      </c>
      <c r="F8814" s="7" t="n">
        <v>0</v>
      </c>
      <c r="G8814" s="7" t="n">
        <v>0</v>
      </c>
    </row>
    <row r="8815" customFormat="false" ht="15" hidden="false" customHeight="false" outlineLevel="0" collapsed="false">
      <c r="A8815" s="7" t="s">
        <v>27</v>
      </c>
      <c r="B8815" s="7" t="s">
        <v>686</v>
      </c>
      <c r="C8815" s="7" t="s">
        <v>1164</v>
      </c>
      <c r="D8815" s="7" t="n">
        <v>40</v>
      </c>
      <c r="E8815" s="7" t="n">
        <v>565.85</v>
      </c>
      <c r="F8815" s="7" t="n">
        <v>0</v>
      </c>
      <c r="G8815" s="7" t="n">
        <v>0</v>
      </c>
    </row>
    <row r="8816" customFormat="false" ht="15" hidden="false" customHeight="false" outlineLevel="0" collapsed="false">
      <c r="A8816" s="7" t="s">
        <v>27</v>
      </c>
      <c r="B8816" s="7" t="s">
        <v>686</v>
      </c>
      <c r="C8816" s="7" t="s">
        <v>1164</v>
      </c>
      <c r="D8816" s="7" t="n">
        <v>70</v>
      </c>
      <c r="E8816" s="7" t="n">
        <v>971.28</v>
      </c>
      <c r="F8816" s="7" t="n">
        <v>0</v>
      </c>
      <c r="G8816" s="7" t="n">
        <v>0</v>
      </c>
    </row>
    <row r="8817" customFormat="false" ht="15" hidden="false" customHeight="false" outlineLevel="0" collapsed="false">
      <c r="A8817" s="7" t="s">
        <v>27</v>
      </c>
      <c r="B8817" s="7" t="s">
        <v>686</v>
      </c>
      <c r="C8817" s="7" t="s">
        <v>1164</v>
      </c>
      <c r="D8817" s="7" t="n">
        <v>50</v>
      </c>
      <c r="E8817" s="7" t="n">
        <v>759.35</v>
      </c>
      <c r="F8817" s="7" t="n">
        <v>0</v>
      </c>
      <c r="G8817" s="7" t="n">
        <v>0</v>
      </c>
    </row>
    <row r="8818" customFormat="false" ht="15" hidden="false" customHeight="false" outlineLevel="0" collapsed="false">
      <c r="A8818" s="7" t="s">
        <v>27</v>
      </c>
      <c r="B8818" s="7" t="s">
        <v>686</v>
      </c>
      <c r="C8818" s="7" t="s">
        <v>1164</v>
      </c>
      <c r="D8818" s="7" t="n">
        <v>30</v>
      </c>
      <c r="E8818" s="7" t="n">
        <v>417.06</v>
      </c>
      <c r="F8818" s="7" t="n">
        <v>0</v>
      </c>
      <c r="G8818" s="7" t="n">
        <v>0</v>
      </c>
    </row>
    <row r="8819" customFormat="false" ht="15" hidden="false" customHeight="false" outlineLevel="0" collapsed="false">
      <c r="A8819" s="7" t="s">
        <v>27</v>
      </c>
      <c r="B8819" s="7" t="s">
        <v>686</v>
      </c>
      <c r="C8819" s="7" t="s">
        <v>1164</v>
      </c>
      <c r="D8819" s="7" t="n">
        <v>0</v>
      </c>
      <c r="E8819" s="7" t="n">
        <v>0</v>
      </c>
      <c r="F8819" s="7" t="n">
        <v>30</v>
      </c>
      <c r="G8819" s="7" t="n">
        <v>390.61</v>
      </c>
    </row>
    <row r="8820" customFormat="false" ht="15" hidden="false" customHeight="false" outlineLevel="0" collapsed="false">
      <c r="A8820" s="7" t="s">
        <v>27</v>
      </c>
      <c r="B8820" s="7" t="s">
        <v>686</v>
      </c>
      <c r="C8820" s="7" t="s">
        <v>1164</v>
      </c>
      <c r="D8820" s="7" t="n">
        <v>0</v>
      </c>
      <c r="E8820" s="7" t="n">
        <v>0</v>
      </c>
      <c r="F8820" s="7" t="n">
        <v>30</v>
      </c>
      <c r="G8820" s="7" t="n">
        <v>375.32</v>
      </c>
    </row>
    <row r="8821" customFormat="false" ht="15" hidden="false" customHeight="false" outlineLevel="0" collapsed="false">
      <c r="A8821" s="7" t="s">
        <v>27</v>
      </c>
      <c r="B8821" s="7" t="s">
        <v>681</v>
      </c>
      <c r="C8821" s="7" t="s">
        <v>1164</v>
      </c>
      <c r="D8821" s="7" t="n">
        <v>30</v>
      </c>
      <c r="E8821" s="7" t="n">
        <v>417.06</v>
      </c>
      <c r="F8821" s="7" t="n">
        <v>0</v>
      </c>
      <c r="G8821" s="7" t="n">
        <v>0</v>
      </c>
    </row>
    <row r="8822" customFormat="false" ht="15" hidden="false" customHeight="false" outlineLevel="0" collapsed="false">
      <c r="A8822" s="7" t="s">
        <v>27</v>
      </c>
      <c r="B8822" s="7" t="s">
        <v>681</v>
      </c>
      <c r="C8822" s="7" t="s">
        <v>1164</v>
      </c>
      <c r="D8822" s="7" t="n">
        <v>0</v>
      </c>
      <c r="E8822" s="7" t="n">
        <v>0</v>
      </c>
      <c r="F8822" s="7" t="n">
        <v>20</v>
      </c>
      <c r="G8822" s="7" t="n">
        <v>260.41</v>
      </c>
    </row>
    <row r="8823" customFormat="false" ht="15" hidden="false" customHeight="false" outlineLevel="0" collapsed="false">
      <c r="A8823" s="7" t="s">
        <v>27</v>
      </c>
      <c r="B8823" s="7" t="s">
        <v>681</v>
      </c>
      <c r="C8823" s="7" t="s">
        <v>1164</v>
      </c>
      <c r="D8823" s="7" t="n">
        <v>0</v>
      </c>
      <c r="E8823" s="7" t="n">
        <v>0</v>
      </c>
      <c r="F8823" s="7" t="n">
        <v>30</v>
      </c>
      <c r="G8823" s="7" t="n">
        <v>375.32</v>
      </c>
    </row>
    <row r="8824" customFormat="false" ht="15" hidden="false" customHeight="false" outlineLevel="0" collapsed="false">
      <c r="A8824" s="7" t="s">
        <v>27</v>
      </c>
      <c r="B8824" s="7" t="s">
        <v>681</v>
      </c>
      <c r="C8824" s="7" t="s">
        <v>1164</v>
      </c>
      <c r="D8824" s="7" t="n">
        <v>20</v>
      </c>
      <c r="E8824" s="7" t="n">
        <v>291.85</v>
      </c>
      <c r="F8824" s="7" t="n">
        <v>0</v>
      </c>
      <c r="G8824" s="7" t="n">
        <v>0</v>
      </c>
    </row>
    <row r="8825" customFormat="false" ht="15" hidden="false" customHeight="false" outlineLevel="0" collapsed="false">
      <c r="A8825" s="7" t="s">
        <v>27</v>
      </c>
      <c r="B8825" s="7" t="s">
        <v>681</v>
      </c>
      <c r="C8825" s="7" t="s">
        <v>1164</v>
      </c>
      <c r="D8825" s="7" t="n">
        <v>20</v>
      </c>
      <c r="E8825" s="7" t="n">
        <v>282.92</v>
      </c>
      <c r="F8825" s="7" t="n">
        <v>0</v>
      </c>
      <c r="G8825" s="7" t="n">
        <v>0</v>
      </c>
    </row>
    <row r="8826" customFormat="false" ht="15" hidden="false" customHeight="false" outlineLevel="0" collapsed="false">
      <c r="A8826" s="7" t="s">
        <v>27</v>
      </c>
      <c r="B8826" s="7" t="s">
        <v>681</v>
      </c>
      <c r="C8826" s="7" t="s">
        <v>1164</v>
      </c>
      <c r="D8826" s="7" t="n">
        <v>50</v>
      </c>
      <c r="E8826" s="7" t="n">
        <v>759.35</v>
      </c>
      <c r="F8826" s="7" t="n">
        <v>0</v>
      </c>
      <c r="G8826" s="7" t="n">
        <v>0</v>
      </c>
    </row>
    <row r="8827" customFormat="false" ht="15" hidden="false" customHeight="false" outlineLevel="0" collapsed="false">
      <c r="A8827" s="7" t="s">
        <v>27</v>
      </c>
      <c r="B8827" s="7" t="s">
        <v>681</v>
      </c>
      <c r="C8827" s="7" t="s">
        <v>1164</v>
      </c>
      <c r="D8827" s="7" t="n">
        <v>50</v>
      </c>
      <c r="E8827" s="7" t="n">
        <v>693.77</v>
      </c>
      <c r="F8827" s="7" t="n">
        <v>0</v>
      </c>
      <c r="G8827" s="7" t="n">
        <v>0</v>
      </c>
    </row>
    <row r="8828" customFormat="false" ht="15" hidden="false" customHeight="false" outlineLevel="0" collapsed="false">
      <c r="A8828" s="7" t="s">
        <v>27</v>
      </c>
      <c r="B8828" s="7" t="s">
        <v>767</v>
      </c>
      <c r="C8828" s="7" t="s">
        <v>1266</v>
      </c>
      <c r="D8828" s="7" t="n">
        <v>20</v>
      </c>
      <c r="E8828" s="7" t="n">
        <v>278.04</v>
      </c>
      <c r="F8828" s="7" t="n">
        <v>0</v>
      </c>
      <c r="G8828" s="7" t="n">
        <v>0</v>
      </c>
    </row>
    <row r="8829" customFormat="false" ht="15" hidden="false" customHeight="false" outlineLevel="0" collapsed="false">
      <c r="A8829" s="7" t="s">
        <v>27</v>
      </c>
      <c r="B8829" s="7" t="s">
        <v>767</v>
      </c>
      <c r="C8829" s="7" t="s">
        <v>1266</v>
      </c>
      <c r="D8829" s="7" t="n">
        <v>30</v>
      </c>
      <c r="E8829" s="7" t="n">
        <v>416.26</v>
      </c>
      <c r="F8829" s="7" t="n">
        <v>0</v>
      </c>
      <c r="G8829" s="7" t="n">
        <v>0</v>
      </c>
    </row>
    <row r="8830" customFormat="false" ht="15" hidden="false" customHeight="false" outlineLevel="0" collapsed="false">
      <c r="A8830" s="7" t="s">
        <v>27</v>
      </c>
      <c r="B8830" s="7" t="s">
        <v>767</v>
      </c>
      <c r="C8830" s="7" t="s">
        <v>1266</v>
      </c>
      <c r="D8830" s="7" t="n">
        <v>0</v>
      </c>
      <c r="E8830" s="7" t="n">
        <v>0</v>
      </c>
      <c r="F8830" s="7" t="n">
        <v>20</v>
      </c>
      <c r="G8830" s="7" t="n">
        <v>250.22</v>
      </c>
    </row>
    <row r="8831" customFormat="false" ht="15" hidden="false" customHeight="false" outlineLevel="0" collapsed="false">
      <c r="A8831" s="7" t="s">
        <v>27</v>
      </c>
      <c r="B8831" s="7" t="s">
        <v>767</v>
      </c>
      <c r="C8831" s="7" t="s">
        <v>1266</v>
      </c>
      <c r="D8831" s="7" t="n">
        <v>30</v>
      </c>
      <c r="E8831" s="7" t="n">
        <v>437.77</v>
      </c>
      <c r="F8831" s="7" t="n">
        <v>0</v>
      </c>
      <c r="G8831" s="7" t="n">
        <v>0</v>
      </c>
    </row>
    <row r="8832" customFormat="false" ht="15" hidden="false" customHeight="false" outlineLevel="0" collapsed="false">
      <c r="A8832" s="7" t="s">
        <v>27</v>
      </c>
      <c r="B8832" s="7" t="s">
        <v>767</v>
      </c>
      <c r="C8832" s="7" t="s">
        <v>1266</v>
      </c>
      <c r="D8832" s="7" t="n">
        <v>20</v>
      </c>
      <c r="E8832" s="7" t="n">
        <v>282.92</v>
      </c>
      <c r="F8832" s="7" t="n">
        <v>0</v>
      </c>
      <c r="G8832" s="7" t="n">
        <v>0</v>
      </c>
    </row>
    <row r="8833" customFormat="false" ht="15" hidden="false" customHeight="false" outlineLevel="0" collapsed="false">
      <c r="A8833" s="7" t="s">
        <v>27</v>
      </c>
      <c r="B8833" s="7" t="s">
        <v>767</v>
      </c>
      <c r="C8833" s="7" t="s">
        <v>1266</v>
      </c>
      <c r="D8833" s="7" t="n">
        <v>40</v>
      </c>
      <c r="E8833" s="7" t="n">
        <v>607.48</v>
      </c>
      <c r="F8833" s="7" t="n">
        <v>0</v>
      </c>
      <c r="G8833" s="7" t="n">
        <v>0</v>
      </c>
    </row>
    <row r="8834" customFormat="false" ht="15" hidden="false" customHeight="false" outlineLevel="0" collapsed="false">
      <c r="A8834" s="7" t="s">
        <v>27</v>
      </c>
      <c r="B8834" s="7" t="s">
        <v>776</v>
      </c>
      <c r="C8834" s="7" t="s">
        <v>1266</v>
      </c>
      <c r="D8834" s="7" t="n">
        <v>20</v>
      </c>
      <c r="E8834" s="7" t="n">
        <v>282.92</v>
      </c>
      <c r="F8834" s="7" t="n">
        <v>0</v>
      </c>
      <c r="G8834" s="7" t="n">
        <v>0</v>
      </c>
    </row>
    <row r="8835" customFormat="false" ht="15" hidden="false" customHeight="false" outlineLevel="0" collapsed="false">
      <c r="A8835" s="7" t="s">
        <v>27</v>
      </c>
      <c r="B8835" s="7" t="s">
        <v>776</v>
      </c>
      <c r="C8835" s="7" t="s">
        <v>1266</v>
      </c>
      <c r="D8835" s="7" t="n">
        <v>0</v>
      </c>
      <c r="E8835" s="7" t="n">
        <v>0</v>
      </c>
      <c r="F8835" s="7" t="n">
        <v>30</v>
      </c>
      <c r="G8835" s="7" t="n">
        <v>390.61</v>
      </c>
    </row>
    <row r="8836" customFormat="false" ht="15" hidden="false" customHeight="false" outlineLevel="0" collapsed="false">
      <c r="A8836" s="7" t="s">
        <v>27</v>
      </c>
      <c r="B8836" s="7" t="s">
        <v>776</v>
      </c>
      <c r="C8836" s="7" t="s">
        <v>1266</v>
      </c>
      <c r="D8836" s="7" t="n">
        <v>0</v>
      </c>
      <c r="E8836" s="7" t="n">
        <v>0</v>
      </c>
      <c r="F8836" s="7" t="n">
        <v>20</v>
      </c>
      <c r="G8836" s="7" t="n">
        <v>250.22</v>
      </c>
    </row>
    <row r="8837" customFormat="false" ht="15" hidden="false" customHeight="false" outlineLevel="0" collapsed="false">
      <c r="A8837" s="7" t="s">
        <v>27</v>
      </c>
      <c r="B8837" s="7" t="s">
        <v>776</v>
      </c>
      <c r="C8837" s="7" t="s">
        <v>1266</v>
      </c>
      <c r="D8837" s="7" t="n">
        <v>50</v>
      </c>
      <c r="E8837" s="7" t="n">
        <v>693.77</v>
      </c>
      <c r="F8837" s="7" t="n">
        <v>0</v>
      </c>
      <c r="G8837" s="7" t="n">
        <v>0</v>
      </c>
    </row>
    <row r="8838" customFormat="false" ht="15" hidden="false" customHeight="false" outlineLevel="0" collapsed="false">
      <c r="A8838" s="7" t="s">
        <v>27</v>
      </c>
      <c r="B8838" s="7" t="s">
        <v>776</v>
      </c>
      <c r="C8838" s="7" t="s">
        <v>1266</v>
      </c>
      <c r="D8838" s="7" t="n">
        <v>20</v>
      </c>
      <c r="E8838" s="7" t="n">
        <v>278.04</v>
      </c>
      <c r="F8838" s="7" t="n">
        <v>0</v>
      </c>
      <c r="G8838" s="7" t="n">
        <v>0</v>
      </c>
    </row>
    <row r="8839" customFormat="false" ht="15" hidden="false" customHeight="false" outlineLevel="0" collapsed="false">
      <c r="A8839" s="7" t="s">
        <v>27</v>
      </c>
      <c r="B8839" s="7" t="s">
        <v>776</v>
      </c>
      <c r="C8839" s="7" t="s">
        <v>1266</v>
      </c>
      <c r="D8839" s="7" t="n">
        <v>0</v>
      </c>
      <c r="E8839" s="7" t="n">
        <v>0</v>
      </c>
      <c r="F8839" s="7" t="n">
        <v>30</v>
      </c>
      <c r="G8839" s="7" t="n">
        <v>405.14</v>
      </c>
    </row>
    <row r="8840" customFormat="false" ht="15" hidden="false" customHeight="false" outlineLevel="0" collapsed="false">
      <c r="A8840" s="7" t="s">
        <v>27</v>
      </c>
      <c r="B8840" s="7" t="s">
        <v>776</v>
      </c>
      <c r="C8840" s="7" t="s">
        <v>1266</v>
      </c>
      <c r="D8840" s="7" t="n">
        <v>80</v>
      </c>
      <c r="E8840" s="7" t="n">
        <v>1214.96</v>
      </c>
      <c r="F8840" s="7" t="n">
        <v>0</v>
      </c>
      <c r="G8840" s="7" t="n">
        <v>0</v>
      </c>
    </row>
    <row r="8841" customFormat="false" ht="15" hidden="false" customHeight="false" outlineLevel="0" collapsed="false">
      <c r="A8841" s="7" t="s">
        <v>27</v>
      </c>
      <c r="B8841" s="7" t="s">
        <v>902</v>
      </c>
      <c r="C8841" s="7" t="s">
        <v>1266</v>
      </c>
      <c r="D8841" s="7" t="n">
        <v>12</v>
      </c>
      <c r="E8841" s="7" t="n">
        <v>169.75</v>
      </c>
      <c r="F8841" s="7" t="n">
        <v>0</v>
      </c>
      <c r="G8841" s="7" t="n">
        <v>0</v>
      </c>
    </row>
    <row r="8842" customFormat="false" ht="15" hidden="false" customHeight="false" outlineLevel="0" collapsed="false">
      <c r="A8842" s="7" t="s">
        <v>27</v>
      </c>
      <c r="B8842" s="7" t="s">
        <v>902</v>
      </c>
      <c r="C8842" s="7" t="s">
        <v>1266</v>
      </c>
      <c r="D8842" s="7" t="n">
        <v>20</v>
      </c>
      <c r="E8842" s="7" t="n">
        <v>278.04</v>
      </c>
      <c r="F8842" s="7" t="n">
        <v>0</v>
      </c>
      <c r="G8842" s="7" t="n">
        <v>0</v>
      </c>
    </row>
    <row r="8843" customFormat="false" ht="15" hidden="false" customHeight="false" outlineLevel="0" collapsed="false">
      <c r="A8843" s="7" t="s">
        <v>27</v>
      </c>
      <c r="B8843" s="7" t="s">
        <v>902</v>
      </c>
      <c r="C8843" s="7" t="s">
        <v>1266</v>
      </c>
      <c r="D8843" s="7" t="n">
        <v>0</v>
      </c>
      <c r="E8843" s="7" t="n">
        <v>0</v>
      </c>
      <c r="F8843" s="7" t="n">
        <v>20</v>
      </c>
      <c r="G8843" s="7" t="n">
        <v>250.22</v>
      </c>
    </row>
    <row r="8844" customFormat="false" ht="15" hidden="false" customHeight="false" outlineLevel="0" collapsed="false">
      <c r="A8844" s="7" t="s">
        <v>27</v>
      </c>
      <c r="B8844" s="7" t="s">
        <v>902</v>
      </c>
      <c r="C8844" s="7" t="s">
        <v>1266</v>
      </c>
      <c r="D8844" s="7" t="n">
        <v>0</v>
      </c>
      <c r="E8844" s="7" t="n">
        <v>0</v>
      </c>
      <c r="F8844" s="7" t="n">
        <v>20</v>
      </c>
      <c r="G8844" s="7" t="n">
        <v>270.09</v>
      </c>
    </row>
    <row r="8845" customFormat="false" ht="15" hidden="false" customHeight="false" outlineLevel="0" collapsed="false">
      <c r="A8845" s="7" t="s">
        <v>27</v>
      </c>
      <c r="B8845" s="7" t="s">
        <v>902</v>
      </c>
      <c r="C8845" s="7" t="s">
        <v>1266</v>
      </c>
      <c r="D8845" s="7" t="n">
        <v>40</v>
      </c>
      <c r="E8845" s="7" t="n">
        <v>607.48</v>
      </c>
      <c r="F8845" s="7" t="n">
        <v>0</v>
      </c>
      <c r="G8845" s="7" t="n">
        <v>0</v>
      </c>
    </row>
    <row r="8846" customFormat="false" ht="15" hidden="false" customHeight="false" outlineLevel="0" collapsed="false">
      <c r="A8846" s="7" t="s">
        <v>27</v>
      </c>
      <c r="B8846" s="7" t="s">
        <v>902</v>
      </c>
      <c r="C8846" s="7" t="s">
        <v>1266</v>
      </c>
      <c r="D8846" s="7" t="n">
        <v>60</v>
      </c>
      <c r="E8846" s="7" t="n">
        <v>832.52</v>
      </c>
      <c r="F8846" s="7" t="n">
        <v>0</v>
      </c>
      <c r="G8846" s="7" t="n">
        <v>0</v>
      </c>
    </row>
    <row r="8847" customFormat="false" ht="15" hidden="false" customHeight="false" outlineLevel="0" collapsed="false">
      <c r="A8847" s="7" t="s">
        <v>27</v>
      </c>
      <c r="B8847" s="7" t="s">
        <v>658</v>
      </c>
      <c r="C8847" s="7" t="s">
        <v>1266</v>
      </c>
      <c r="D8847" s="7" t="n">
        <v>0</v>
      </c>
      <c r="E8847" s="7" t="n">
        <v>0</v>
      </c>
      <c r="F8847" s="7" t="n">
        <v>10</v>
      </c>
      <c r="G8847" s="7" t="n">
        <v>125.11</v>
      </c>
    </row>
    <row r="8848" customFormat="false" ht="15" hidden="false" customHeight="false" outlineLevel="0" collapsed="false">
      <c r="A8848" s="7" t="s">
        <v>27</v>
      </c>
      <c r="B8848" s="7" t="s">
        <v>658</v>
      </c>
      <c r="C8848" s="7" t="s">
        <v>1266</v>
      </c>
      <c r="D8848" s="7" t="n">
        <v>0</v>
      </c>
      <c r="E8848" s="7" t="n">
        <v>0</v>
      </c>
      <c r="F8848" s="7" t="n">
        <v>20</v>
      </c>
      <c r="G8848" s="7" t="n">
        <v>260.41</v>
      </c>
    </row>
    <row r="8849" customFormat="false" ht="15" hidden="false" customHeight="false" outlineLevel="0" collapsed="false">
      <c r="A8849" s="7" t="s">
        <v>27</v>
      </c>
      <c r="B8849" s="7" t="s">
        <v>658</v>
      </c>
      <c r="C8849" s="7" t="s">
        <v>1266</v>
      </c>
      <c r="D8849" s="7" t="n">
        <v>10</v>
      </c>
      <c r="E8849" s="7" t="n">
        <v>139.02</v>
      </c>
      <c r="F8849" s="7" t="n">
        <v>0</v>
      </c>
      <c r="G8849" s="7" t="n">
        <v>0</v>
      </c>
    </row>
    <row r="8850" customFormat="false" ht="15" hidden="false" customHeight="false" outlineLevel="0" collapsed="false">
      <c r="A8850" s="7" t="s">
        <v>27</v>
      </c>
      <c r="B8850" s="7" t="s">
        <v>658</v>
      </c>
      <c r="C8850" s="7" t="s">
        <v>1266</v>
      </c>
      <c r="D8850" s="7" t="n">
        <v>30</v>
      </c>
      <c r="E8850" s="7" t="n">
        <v>416.26</v>
      </c>
      <c r="F8850" s="7" t="n">
        <v>0</v>
      </c>
      <c r="G8850" s="7" t="n">
        <v>0</v>
      </c>
    </row>
    <row r="8851" customFormat="false" ht="15" hidden="false" customHeight="false" outlineLevel="0" collapsed="false">
      <c r="A8851" s="7" t="s">
        <v>27</v>
      </c>
      <c r="B8851" s="7" t="s">
        <v>658</v>
      </c>
      <c r="C8851" s="7" t="s">
        <v>1266</v>
      </c>
      <c r="D8851" s="7" t="n">
        <v>20</v>
      </c>
      <c r="E8851" s="7" t="n">
        <v>291.85</v>
      </c>
      <c r="F8851" s="7" t="n">
        <v>0</v>
      </c>
      <c r="G8851" s="7" t="n">
        <v>0</v>
      </c>
    </row>
    <row r="8852" customFormat="false" ht="15" hidden="false" customHeight="false" outlineLevel="0" collapsed="false">
      <c r="A8852" s="7" t="s">
        <v>27</v>
      </c>
      <c r="B8852" s="7" t="s">
        <v>658</v>
      </c>
      <c r="C8852" s="7" t="s">
        <v>1266</v>
      </c>
      <c r="D8852" s="7" t="n">
        <v>30</v>
      </c>
      <c r="E8852" s="7" t="n">
        <v>455.61</v>
      </c>
      <c r="F8852" s="7" t="n">
        <v>0</v>
      </c>
      <c r="G8852" s="7" t="n">
        <v>0</v>
      </c>
    </row>
    <row r="8853" customFormat="false" ht="15" hidden="false" customHeight="false" outlineLevel="0" collapsed="false">
      <c r="A8853" s="7" t="s">
        <v>27</v>
      </c>
      <c r="B8853" s="7" t="s">
        <v>582</v>
      </c>
      <c r="C8853" s="7" t="s">
        <v>1269</v>
      </c>
      <c r="D8853" s="7" t="n">
        <v>150</v>
      </c>
      <c r="E8853" s="7" t="n">
        <v>2896.95</v>
      </c>
      <c r="F8853" s="7" t="n">
        <v>0</v>
      </c>
      <c r="G8853" s="7" t="n">
        <v>0</v>
      </c>
    </row>
    <row r="8854" customFormat="false" ht="15" hidden="false" customHeight="false" outlineLevel="0" collapsed="false">
      <c r="A8854" s="7" t="s">
        <v>27</v>
      </c>
      <c r="B8854" s="7" t="s">
        <v>582</v>
      </c>
      <c r="C8854" s="7" t="s">
        <v>1269</v>
      </c>
      <c r="D8854" s="7" t="n">
        <v>140</v>
      </c>
      <c r="E8854" s="7" t="n">
        <v>2709.01</v>
      </c>
      <c r="F8854" s="7" t="n">
        <v>0</v>
      </c>
      <c r="G8854" s="7" t="n">
        <v>0</v>
      </c>
    </row>
    <row r="8855" customFormat="false" ht="15" hidden="false" customHeight="false" outlineLevel="0" collapsed="false">
      <c r="A8855" s="7" t="s">
        <v>27</v>
      </c>
      <c r="B8855" s="7" t="s">
        <v>582</v>
      </c>
      <c r="C8855" s="7" t="s">
        <v>1269</v>
      </c>
      <c r="D8855" s="7" t="n">
        <v>0</v>
      </c>
      <c r="E8855" s="7" t="n">
        <v>0</v>
      </c>
      <c r="F8855" s="7" t="n">
        <v>80</v>
      </c>
      <c r="G8855" s="7" t="n">
        <v>1503.76</v>
      </c>
    </row>
    <row r="8856" customFormat="false" ht="15" hidden="false" customHeight="false" outlineLevel="0" collapsed="false">
      <c r="A8856" s="7" t="s">
        <v>27</v>
      </c>
      <c r="B8856" s="7" t="s">
        <v>582</v>
      </c>
      <c r="C8856" s="7" t="s">
        <v>1269</v>
      </c>
      <c r="D8856" s="7" t="n">
        <v>100</v>
      </c>
      <c r="E8856" s="7" t="n">
        <v>1969</v>
      </c>
      <c r="F8856" s="7" t="n">
        <v>0</v>
      </c>
      <c r="G8856" s="7" t="n">
        <v>0</v>
      </c>
    </row>
    <row r="8857" customFormat="false" ht="15" hidden="false" customHeight="false" outlineLevel="0" collapsed="false">
      <c r="A8857" s="7" t="s">
        <v>27</v>
      </c>
      <c r="B8857" s="7" t="s">
        <v>582</v>
      </c>
      <c r="C8857" s="7" t="s">
        <v>1269</v>
      </c>
      <c r="D8857" s="7" t="n">
        <v>0</v>
      </c>
      <c r="E8857" s="7" t="n">
        <v>0</v>
      </c>
      <c r="F8857" s="7" t="n">
        <v>200</v>
      </c>
      <c r="G8857" s="7" t="n">
        <v>3482.74</v>
      </c>
    </row>
    <row r="8858" customFormat="false" ht="15" hidden="false" customHeight="false" outlineLevel="0" collapsed="false">
      <c r="A8858" s="7" t="s">
        <v>27</v>
      </c>
      <c r="B8858" s="7" t="s">
        <v>582</v>
      </c>
      <c r="C8858" s="7" t="s">
        <v>1269</v>
      </c>
      <c r="D8858" s="7" t="n">
        <v>100</v>
      </c>
      <c r="E8858" s="7" t="n">
        <v>2113.87</v>
      </c>
      <c r="F8858" s="7" t="n">
        <v>0</v>
      </c>
      <c r="G8858" s="7" t="n">
        <v>0</v>
      </c>
    </row>
    <row r="8859" customFormat="false" ht="15" hidden="false" customHeight="false" outlineLevel="0" collapsed="false">
      <c r="A8859" s="7" t="s">
        <v>27</v>
      </c>
      <c r="B8859" s="7" t="s">
        <v>582</v>
      </c>
      <c r="C8859" s="7" t="s">
        <v>1269</v>
      </c>
      <c r="D8859" s="7" t="n">
        <v>200</v>
      </c>
      <c r="E8859" s="7" t="n">
        <v>4062.22</v>
      </c>
      <c r="F8859" s="7" t="n">
        <v>0</v>
      </c>
      <c r="G8859" s="7" t="n">
        <v>0</v>
      </c>
    </row>
    <row r="8860" customFormat="false" ht="15" hidden="false" customHeight="false" outlineLevel="0" collapsed="false">
      <c r="A8860" s="7" t="s">
        <v>27</v>
      </c>
      <c r="B8860" s="7" t="s">
        <v>582</v>
      </c>
      <c r="C8860" s="7" t="s">
        <v>1269</v>
      </c>
      <c r="D8860" s="7" t="n">
        <v>0</v>
      </c>
      <c r="E8860" s="7" t="n">
        <v>0</v>
      </c>
      <c r="F8860" s="7" t="n">
        <v>120</v>
      </c>
      <c r="G8860" s="7" t="n">
        <v>2174.74</v>
      </c>
    </row>
    <row r="8861" customFormat="false" ht="15" hidden="false" customHeight="false" outlineLevel="0" collapsed="false">
      <c r="A8861" s="7" t="s">
        <v>27</v>
      </c>
      <c r="B8861" s="7" t="s">
        <v>174</v>
      </c>
      <c r="C8861" s="7" t="s">
        <v>1270</v>
      </c>
      <c r="D8861" s="7" t="n">
        <v>0</v>
      </c>
      <c r="E8861" s="7" t="n">
        <v>0</v>
      </c>
      <c r="F8861" s="7" t="n">
        <v>30</v>
      </c>
      <c r="G8861" s="7" t="n">
        <v>664.43</v>
      </c>
    </row>
    <row r="8862" customFormat="false" ht="15" hidden="false" customHeight="false" outlineLevel="0" collapsed="false">
      <c r="A8862" s="7" t="s">
        <v>27</v>
      </c>
      <c r="B8862" s="7" t="s">
        <v>174</v>
      </c>
      <c r="C8862" s="7" t="s">
        <v>1270</v>
      </c>
      <c r="D8862" s="7" t="n">
        <v>50</v>
      </c>
      <c r="E8862" s="7" t="n">
        <v>1291.63</v>
      </c>
      <c r="F8862" s="7" t="n">
        <v>0</v>
      </c>
      <c r="G8862" s="7" t="n">
        <v>0</v>
      </c>
    </row>
    <row r="8863" customFormat="false" ht="15" hidden="false" customHeight="false" outlineLevel="0" collapsed="false">
      <c r="A8863" s="7" t="s">
        <v>27</v>
      </c>
      <c r="B8863" s="7" t="s">
        <v>174</v>
      </c>
      <c r="C8863" s="7" t="s">
        <v>1270</v>
      </c>
      <c r="D8863" s="7" t="n">
        <v>0</v>
      </c>
      <c r="E8863" s="7" t="n">
        <v>0</v>
      </c>
      <c r="F8863" s="7" t="n">
        <v>20</v>
      </c>
      <c r="G8863" s="7" t="n">
        <v>460.99</v>
      </c>
    </row>
    <row r="8864" customFormat="false" ht="15" hidden="false" customHeight="false" outlineLevel="0" collapsed="false">
      <c r="A8864" s="7" t="s">
        <v>27</v>
      </c>
      <c r="B8864" s="7" t="s">
        <v>174</v>
      </c>
      <c r="C8864" s="7" t="s">
        <v>1270</v>
      </c>
      <c r="D8864" s="7" t="n">
        <v>70</v>
      </c>
      <c r="E8864" s="7" t="n">
        <v>1719.42</v>
      </c>
      <c r="F8864" s="7" t="n">
        <v>0</v>
      </c>
      <c r="G8864" s="7" t="n">
        <v>0</v>
      </c>
    </row>
    <row r="8865" customFormat="false" ht="15" hidden="false" customHeight="false" outlineLevel="0" collapsed="false">
      <c r="A8865" s="7" t="s">
        <v>27</v>
      </c>
      <c r="B8865" s="7" t="s">
        <v>174</v>
      </c>
      <c r="C8865" s="7" t="s">
        <v>1270</v>
      </c>
      <c r="D8865" s="7" t="n">
        <v>10</v>
      </c>
      <c r="E8865" s="7" t="n">
        <v>246.1</v>
      </c>
      <c r="F8865" s="7" t="n">
        <v>0</v>
      </c>
      <c r="G8865" s="7" t="n">
        <v>0</v>
      </c>
    </row>
    <row r="8866" customFormat="false" ht="15" hidden="false" customHeight="false" outlineLevel="0" collapsed="false">
      <c r="A8866" s="7" t="s">
        <v>27</v>
      </c>
      <c r="B8866" s="7" t="s">
        <v>156</v>
      </c>
      <c r="C8866" s="7" t="s">
        <v>1270</v>
      </c>
      <c r="D8866" s="7" t="n">
        <v>60</v>
      </c>
      <c r="E8866" s="7" t="n">
        <v>1502.56</v>
      </c>
      <c r="F8866" s="7" t="n">
        <v>0</v>
      </c>
      <c r="G8866" s="7" t="n">
        <v>0</v>
      </c>
    </row>
    <row r="8867" customFormat="false" ht="15" hidden="false" customHeight="false" outlineLevel="0" collapsed="false">
      <c r="A8867" s="7" t="s">
        <v>27</v>
      </c>
      <c r="B8867" s="7" t="s">
        <v>156</v>
      </c>
      <c r="C8867" s="7" t="s">
        <v>1270</v>
      </c>
      <c r="D8867" s="7" t="n">
        <v>60</v>
      </c>
      <c r="E8867" s="7" t="n">
        <v>1473.79</v>
      </c>
      <c r="F8867" s="7" t="n">
        <v>0</v>
      </c>
      <c r="G8867" s="7" t="n">
        <v>0</v>
      </c>
    </row>
    <row r="8868" customFormat="false" ht="15" hidden="false" customHeight="false" outlineLevel="0" collapsed="false">
      <c r="A8868" s="7" t="s">
        <v>27</v>
      </c>
      <c r="B8868" s="7" t="s">
        <v>156</v>
      </c>
      <c r="C8868" s="7" t="s">
        <v>1270</v>
      </c>
      <c r="D8868" s="7" t="n">
        <v>0</v>
      </c>
      <c r="E8868" s="7" t="n">
        <v>0</v>
      </c>
      <c r="F8868" s="7" t="n">
        <v>50</v>
      </c>
      <c r="G8868" s="7" t="n">
        <v>1195.34</v>
      </c>
    </row>
    <row r="8869" customFormat="false" ht="15" hidden="false" customHeight="false" outlineLevel="0" collapsed="false">
      <c r="A8869" s="7" t="s">
        <v>27</v>
      </c>
      <c r="B8869" s="7" t="s">
        <v>156</v>
      </c>
      <c r="C8869" s="7" t="s">
        <v>1270</v>
      </c>
      <c r="D8869" s="7" t="n">
        <v>0</v>
      </c>
      <c r="E8869" s="7" t="n">
        <v>0</v>
      </c>
      <c r="F8869" s="7" t="n">
        <v>90</v>
      </c>
      <c r="G8869" s="7" t="n">
        <v>1993.28</v>
      </c>
    </row>
    <row r="8870" customFormat="false" ht="15" hidden="false" customHeight="false" outlineLevel="0" collapsed="false">
      <c r="A8870" s="7" t="s">
        <v>27</v>
      </c>
      <c r="B8870" s="7" t="s">
        <v>156</v>
      </c>
      <c r="C8870" s="7" t="s">
        <v>1270</v>
      </c>
      <c r="D8870" s="7" t="n">
        <v>80</v>
      </c>
      <c r="E8870" s="7" t="n">
        <v>2150.81</v>
      </c>
      <c r="F8870" s="7" t="n">
        <v>0</v>
      </c>
      <c r="G8870" s="7" t="n">
        <v>0</v>
      </c>
    </row>
    <row r="8871" customFormat="false" ht="15" hidden="false" customHeight="false" outlineLevel="0" collapsed="false">
      <c r="A8871" s="7" t="s">
        <v>27</v>
      </c>
      <c r="B8871" s="7" t="s">
        <v>156</v>
      </c>
      <c r="C8871" s="7" t="s">
        <v>1270</v>
      </c>
      <c r="D8871" s="7" t="n">
        <v>0</v>
      </c>
      <c r="E8871" s="7" t="n">
        <v>0</v>
      </c>
      <c r="F8871" s="7" t="n">
        <v>100</v>
      </c>
      <c r="G8871" s="7" t="n">
        <v>2304.95</v>
      </c>
    </row>
    <row r="8872" customFormat="false" ht="15" hidden="false" customHeight="false" outlineLevel="0" collapsed="false">
      <c r="A8872" s="7" t="s">
        <v>27</v>
      </c>
      <c r="B8872" s="7" t="s">
        <v>156</v>
      </c>
      <c r="C8872" s="7" t="s">
        <v>1270</v>
      </c>
      <c r="D8872" s="7" t="n">
        <v>30</v>
      </c>
      <c r="E8872" s="7" t="n">
        <v>738.31</v>
      </c>
      <c r="F8872" s="7" t="n">
        <v>0</v>
      </c>
      <c r="G8872" s="7" t="n">
        <v>0</v>
      </c>
    </row>
    <row r="8873" customFormat="false" ht="15" hidden="false" customHeight="false" outlineLevel="0" collapsed="false">
      <c r="A8873" s="7" t="s">
        <v>27</v>
      </c>
      <c r="B8873" s="7" t="s">
        <v>156</v>
      </c>
      <c r="C8873" s="7" t="s">
        <v>1270</v>
      </c>
      <c r="D8873" s="7" t="n">
        <v>50</v>
      </c>
      <c r="E8873" s="7" t="n">
        <v>1291.63</v>
      </c>
      <c r="F8873" s="7" t="n">
        <v>0</v>
      </c>
      <c r="G8873" s="7" t="n">
        <v>0</v>
      </c>
    </row>
    <row r="8874" customFormat="false" ht="15" hidden="false" customHeight="false" outlineLevel="0" collapsed="false">
      <c r="A8874" s="7" t="s">
        <v>27</v>
      </c>
      <c r="B8874" s="7" t="s">
        <v>253</v>
      </c>
      <c r="C8874" s="7" t="s">
        <v>1142</v>
      </c>
      <c r="D8874" s="7" t="n">
        <v>80</v>
      </c>
      <c r="E8874" s="7" t="n">
        <v>1545.04</v>
      </c>
      <c r="F8874" s="7" t="n">
        <v>0</v>
      </c>
      <c r="G8874" s="7" t="n">
        <v>0</v>
      </c>
    </row>
    <row r="8875" customFormat="false" ht="15" hidden="false" customHeight="false" outlineLevel="0" collapsed="false">
      <c r="A8875" s="7" t="s">
        <v>27</v>
      </c>
      <c r="B8875" s="7" t="s">
        <v>253</v>
      </c>
      <c r="C8875" s="7" t="s">
        <v>1142</v>
      </c>
      <c r="D8875" s="7" t="n">
        <v>130</v>
      </c>
      <c r="E8875" s="7" t="n">
        <v>2640.44</v>
      </c>
      <c r="F8875" s="7" t="n">
        <v>0</v>
      </c>
      <c r="G8875" s="7" t="n">
        <v>0</v>
      </c>
    </row>
    <row r="8876" customFormat="false" ht="15" hidden="false" customHeight="false" outlineLevel="0" collapsed="false">
      <c r="A8876" s="7" t="s">
        <v>27</v>
      </c>
      <c r="B8876" s="7" t="s">
        <v>253</v>
      </c>
      <c r="C8876" s="7" t="s">
        <v>1142</v>
      </c>
      <c r="D8876" s="7" t="n">
        <v>0</v>
      </c>
      <c r="E8876" s="7" t="n">
        <v>0</v>
      </c>
      <c r="F8876" s="7" t="n">
        <v>120</v>
      </c>
      <c r="G8876" s="7" t="n">
        <v>2089.64</v>
      </c>
    </row>
    <row r="8877" customFormat="false" ht="15" hidden="false" customHeight="false" outlineLevel="0" collapsed="false">
      <c r="A8877" s="7" t="s">
        <v>27</v>
      </c>
      <c r="B8877" s="7" t="s">
        <v>253</v>
      </c>
      <c r="C8877" s="7" t="s">
        <v>1142</v>
      </c>
      <c r="D8877" s="7" t="n">
        <v>70</v>
      </c>
      <c r="E8877" s="7" t="n">
        <v>1354.51</v>
      </c>
      <c r="F8877" s="7" t="n">
        <v>0</v>
      </c>
      <c r="G8877" s="7" t="n">
        <v>0</v>
      </c>
    </row>
    <row r="8878" customFormat="false" ht="15" hidden="false" customHeight="false" outlineLevel="0" collapsed="false">
      <c r="A8878" s="7" t="s">
        <v>27</v>
      </c>
      <c r="B8878" s="7" t="s">
        <v>253</v>
      </c>
      <c r="C8878" s="7" t="s">
        <v>1142</v>
      </c>
      <c r="D8878" s="7" t="n">
        <v>60</v>
      </c>
      <c r="E8878" s="7" t="n">
        <v>1268.32</v>
      </c>
      <c r="F8878" s="7" t="n">
        <v>0</v>
      </c>
      <c r="G8878" s="7" t="n">
        <v>0</v>
      </c>
    </row>
    <row r="8879" customFormat="false" ht="15" hidden="false" customHeight="false" outlineLevel="0" collapsed="false">
      <c r="A8879" s="7" t="s">
        <v>27</v>
      </c>
      <c r="B8879" s="7" t="s">
        <v>253</v>
      </c>
      <c r="C8879" s="7" t="s">
        <v>1142</v>
      </c>
      <c r="D8879" s="7" t="n">
        <v>0</v>
      </c>
      <c r="E8879" s="7" t="n">
        <v>0</v>
      </c>
      <c r="F8879" s="7" t="n">
        <v>100</v>
      </c>
      <c r="G8879" s="7" t="n">
        <v>1879.7</v>
      </c>
    </row>
    <row r="8880" customFormat="false" ht="15" hidden="false" customHeight="false" outlineLevel="0" collapsed="false">
      <c r="A8880" s="7" t="s">
        <v>27</v>
      </c>
      <c r="B8880" s="7" t="s">
        <v>253</v>
      </c>
      <c r="C8880" s="7" t="s">
        <v>1142</v>
      </c>
      <c r="D8880" s="7" t="n">
        <v>70</v>
      </c>
      <c r="E8880" s="7" t="n">
        <v>1378.3</v>
      </c>
      <c r="F8880" s="7" t="n">
        <v>0</v>
      </c>
      <c r="G8880" s="7" t="n">
        <v>0</v>
      </c>
    </row>
    <row r="8881" customFormat="false" ht="15" hidden="false" customHeight="false" outlineLevel="0" collapsed="false">
      <c r="A8881" s="7" t="s">
        <v>27</v>
      </c>
      <c r="B8881" s="7" t="s">
        <v>253</v>
      </c>
      <c r="C8881" s="7" t="s">
        <v>1142</v>
      </c>
      <c r="D8881" s="7" t="n">
        <v>0</v>
      </c>
      <c r="E8881" s="7" t="n">
        <v>0</v>
      </c>
      <c r="F8881" s="7" t="n">
        <v>90</v>
      </c>
      <c r="G8881" s="7" t="n">
        <v>1631.06</v>
      </c>
    </row>
    <row r="8882" customFormat="false" ht="15" hidden="false" customHeight="false" outlineLevel="0" collapsed="false">
      <c r="A8882" s="7" t="s">
        <v>27</v>
      </c>
      <c r="B8882" s="7" t="s">
        <v>441</v>
      </c>
      <c r="C8882" s="7" t="s">
        <v>1185</v>
      </c>
      <c r="D8882" s="7" t="n">
        <v>130</v>
      </c>
      <c r="E8882" s="7" t="n">
        <v>3101.65</v>
      </c>
      <c r="F8882" s="7" t="n">
        <v>0</v>
      </c>
      <c r="G8882" s="7" t="n">
        <v>0</v>
      </c>
    </row>
    <row r="8883" customFormat="false" ht="15" hidden="false" customHeight="false" outlineLevel="0" collapsed="false">
      <c r="A8883" s="7" t="s">
        <v>27</v>
      </c>
      <c r="B8883" s="7" t="s">
        <v>441</v>
      </c>
      <c r="C8883" s="7" t="s">
        <v>1185</v>
      </c>
      <c r="D8883" s="7" t="n">
        <v>60</v>
      </c>
      <c r="E8883" s="7" t="n">
        <v>1563.85</v>
      </c>
      <c r="F8883" s="7" t="n">
        <v>0</v>
      </c>
      <c r="G8883" s="7" t="n">
        <v>0</v>
      </c>
    </row>
    <row r="8884" customFormat="false" ht="15" hidden="false" customHeight="false" outlineLevel="0" collapsed="false">
      <c r="A8884" s="7" t="s">
        <v>27</v>
      </c>
      <c r="B8884" s="7" t="s">
        <v>441</v>
      </c>
      <c r="C8884" s="7" t="s">
        <v>1185</v>
      </c>
      <c r="D8884" s="7" t="n">
        <v>0</v>
      </c>
      <c r="E8884" s="7" t="n">
        <v>0</v>
      </c>
      <c r="F8884" s="7" t="n">
        <v>80</v>
      </c>
      <c r="G8884" s="7" t="n">
        <v>1854.15</v>
      </c>
    </row>
    <row r="8885" customFormat="false" ht="15" hidden="false" customHeight="false" outlineLevel="0" collapsed="false">
      <c r="A8885" s="7" t="s">
        <v>27</v>
      </c>
      <c r="B8885" s="7" t="s">
        <v>441</v>
      </c>
      <c r="C8885" s="7" t="s">
        <v>1185</v>
      </c>
      <c r="D8885" s="7" t="n">
        <v>200</v>
      </c>
      <c r="E8885" s="7" t="n">
        <v>5008.75</v>
      </c>
      <c r="F8885" s="7" t="n">
        <v>0</v>
      </c>
      <c r="G8885" s="7" t="n">
        <v>0</v>
      </c>
    </row>
    <row r="8886" customFormat="false" ht="15" hidden="false" customHeight="false" outlineLevel="0" collapsed="false">
      <c r="A8886" s="7" t="s">
        <v>27</v>
      </c>
      <c r="B8886" s="7" t="s">
        <v>441</v>
      </c>
      <c r="C8886" s="7" t="s">
        <v>1185</v>
      </c>
      <c r="D8886" s="7" t="n">
        <v>0</v>
      </c>
      <c r="E8886" s="7" t="n">
        <v>0</v>
      </c>
      <c r="F8886" s="7" t="n">
        <v>180</v>
      </c>
      <c r="G8886" s="7" t="n">
        <v>3864.83</v>
      </c>
    </row>
    <row r="8887" customFormat="false" ht="15" hidden="false" customHeight="false" outlineLevel="0" collapsed="false">
      <c r="A8887" s="7" t="s">
        <v>27</v>
      </c>
      <c r="B8887" s="7" t="s">
        <v>441</v>
      </c>
      <c r="C8887" s="7" t="s">
        <v>1185</v>
      </c>
      <c r="D8887" s="7" t="n">
        <v>0</v>
      </c>
      <c r="E8887" s="7" t="n">
        <v>0</v>
      </c>
      <c r="F8887" s="7" t="n">
        <v>50</v>
      </c>
      <c r="G8887" s="7" t="n">
        <v>1117.28</v>
      </c>
    </row>
    <row r="8888" customFormat="false" ht="15" hidden="false" customHeight="false" outlineLevel="0" collapsed="false">
      <c r="A8888" s="7" t="s">
        <v>27</v>
      </c>
      <c r="B8888" s="7" t="s">
        <v>441</v>
      </c>
      <c r="C8888" s="7" t="s">
        <v>1185</v>
      </c>
      <c r="D8888" s="7" t="n">
        <v>150</v>
      </c>
      <c r="E8888" s="7" t="n">
        <v>3571.97</v>
      </c>
      <c r="F8888" s="7" t="n">
        <v>0</v>
      </c>
      <c r="G8888" s="7" t="n">
        <v>0</v>
      </c>
    </row>
    <row r="8889" customFormat="false" ht="15" hidden="false" customHeight="false" outlineLevel="0" collapsed="false">
      <c r="A8889" s="7" t="s">
        <v>27</v>
      </c>
      <c r="B8889" s="7" t="s">
        <v>441</v>
      </c>
      <c r="C8889" s="7" t="s">
        <v>1185</v>
      </c>
      <c r="D8889" s="7" t="n">
        <v>30</v>
      </c>
      <c r="E8889" s="7" t="n">
        <v>728.34</v>
      </c>
      <c r="F8889" s="7" t="n">
        <v>0</v>
      </c>
      <c r="G8889" s="7" t="n">
        <v>0</v>
      </c>
    </row>
    <row r="8890" customFormat="false" ht="15" hidden="false" customHeight="false" outlineLevel="0" collapsed="false">
      <c r="A8890" s="7" t="s">
        <v>27</v>
      </c>
      <c r="B8890" s="7" t="s">
        <v>311</v>
      </c>
      <c r="C8890" s="7" t="s">
        <v>1272</v>
      </c>
      <c r="D8890" s="7" t="n">
        <v>60</v>
      </c>
      <c r="E8890" s="7" t="n">
        <v>3381.57</v>
      </c>
      <c r="F8890" s="7" t="n">
        <v>0</v>
      </c>
      <c r="G8890" s="7" t="n">
        <v>0</v>
      </c>
    </row>
    <row r="8891" customFormat="false" ht="15" hidden="false" customHeight="false" outlineLevel="0" collapsed="false">
      <c r="A8891" s="7" t="s">
        <v>27</v>
      </c>
      <c r="B8891" s="7" t="s">
        <v>311</v>
      </c>
      <c r="C8891" s="7" t="s">
        <v>1272</v>
      </c>
      <c r="D8891" s="7" t="n">
        <v>50</v>
      </c>
      <c r="E8891" s="7" t="n">
        <v>2957.93</v>
      </c>
      <c r="F8891" s="7" t="n">
        <v>0</v>
      </c>
      <c r="G8891" s="7" t="n">
        <v>0</v>
      </c>
    </row>
    <row r="8892" customFormat="false" ht="15" hidden="false" customHeight="false" outlineLevel="0" collapsed="false">
      <c r="A8892" s="7" t="s">
        <v>27</v>
      </c>
      <c r="B8892" s="7" t="s">
        <v>311</v>
      </c>
      <c r="C8892" s="7" t="s">
        <v>1272</v>
      </c>
      <c r="D8892" s="7" t="n">
        <v>0</v>
      </c>
      <c r="E8892" s="7" t="n">
        <v>0</v>
      </c>
      <c r="F8892" s="7" t="n">
        <v>40</v>
      </c>
      <c r="G8892" s="7" t="n">
        <v>2189.94</v>
      </c>
    </row>
    <row r="8893" customFormat="false" ht="15" hidden="false" customHeight="false" outlineLevel="0" collapsed="false">
      <c r="A8893" s="7" t="s">
        <v>27</v>
      </c>
      <c r="B8893" s="7" t="s">
        <v>311</v>
      </c>
      <c r="C8893" s="7" t="s">
        <v>1272</v>
      </c>
      <c r="D8893" s="7" t="n">
        <v>70</v>
      </c>
      <c r="E8893" s="7" t="n">
        <v>4014.47</v>
      </c>
      <c r="F8893" s="7" t="n">
        <v>0</v>
      </c>
      <c r="G8893" s="7" t="n">
        <v>0</v>
      </c>
    </row>
    <row r="8894" customFormat="false" ht="15" hidden="false" customHeight="false" outlineLevel="0" collapsed="false">
      <c r="A8894" s="7" t="s">
        <v>27</v>
      </c>
      <c r="B8894" s="7" t="s">
        <v>311</v>
      </c>
      <c r="C8894" s="7" t="s">
        <v>1272</v>
      </c>
      <c r="D8894" s="7" t="n">
        <v>0</v>
      </c>
      <c r="E8894" s="7" t="n">
        <v>0</v>
      </c>
      <c r="F8894" s="7" t="n">
        <v>100</v>
      </c>
      <c r="G8894" s="7" t="n">
        <v>5071.95</v>
      </c>
    </row>
    <row r="8895" customFormat="false" ht="15" hidden="false" customHeight="false" outlineLevel="0" collapsed="false">
      <c r="A8895" s="7" t="s">
        <v>27</v>
      </c>
      <c r="B8895" s="7" t="s">
        <v>311</v>
      </c>
      <c r="C8895" s="7" t="s">
        <v>1272</v>
      </c>
      <c r="D8895" s="7" t="n">
        <v>0</v>
      </c>
      <c r="E8895" s="7" t="n">
        <v>0</v>
      </c>
      <c r="F8895" s="7" t="n">
        <v>80</v>
      </c>
      <c r="G8895" s="7" t="n">
        <v>4222.8</v>
      </c>
    </row>
    <row r="8896" customFormat="false" ht="15" hidden="false" customHeight="false" outlineLevel="0" collapsed="false">
      <c r="A8896" s="7" t="s">
        <v>27</v>
      </c>
      <c r="B8896" s="7" t="s">
        <v>311</v>
      </c>
      <c r="C8896" s="7" t="s">
        <v>1272</v>
      </c>
      <c r="D8896" s="7" t="n">
        <v>90</v>
      </c>
      <c r="E8896" s="7" t="n">
        <v>5541.21</v>
      </c>
      <c r="F8896" s="7" t="n">
        <v>0</v>
      </c>
      <c r="G8896" s="7" t="n">
        <v>0</v>
      </c>
    </row>
    <row r="8897" customFormat="false" ht="15" hidden="false" customHeight="false" outlineLevel="0" collapsed="false">
      <c r="A8897" s="7" t="s">
        <v>27</v>
      </c>
      <c r="B8897" s="7" t="s">
        <v>311</v>
      </c>
      <c r="C8897" s="7" t="s">
        <v>1272</v>
      </c>
      <c r="D8897" s="7" t="n">
        <v>90</v>
      </c>
      <c r="E8897" s="7" t="n">
        <v>5062.64</v>
      </c>
      <c r="F8897" s="7" t="n">
        <v>0</v>
      </c>
      <c r="G8897" s="7" t="n">
        <v>0</v>
      </c>
    </row>
    <row r="8898" customFormat="false" ht="15" hidden="false" customHeight="false" outlineLevel="0" collapsed="false">
      <c r="A8898" s="7" t="s">
        <v>27</v>
      </c>
      <c r="B8898" s="7" t="s">
        <v>135</v>
      </c>
      <c r="C8898" s="7" t="s">
        <v>1273</v>
      </c>
      <c r="D8898" s="7" t="n">
        <v>0</v>
      </c>
      <c r="E8898" s="7" t="n">
        <v>0</v>
      </c>
      <c r="F8898" s="7" t="n">
        <v>50</v>
      </c>
      <c r="G8898" s="7" t="n">
        <v>2126.07</v>
      </c>
    </row>
    <row r="8899" customFormat="false" ht="15" hidden="false" customHeight="false" outlineLevel="0" collapsed="false">
      <c r="A8899" s="7" t="s">
        <v>27</v>
      </c>
      <c r="B8899" s="7" t="s">
        <v>135</v>
      </c>
      <c r="C8899" s="7" t="s">
        <v>1273</v>
      </c>
      <c r="D8899" s="7" t="n">
        <v>0</v>
      </c>
      <c r="E8899" s="7" t="n">
        <v>0</v>
      </c>
      <c r="F8899" s="7" t="n">
        <v>120</v>
      </c>
      <c r="G8899" s="7" t="n">
        <v>4727.06</v>
      </c>
    </row>
    <row r="8900" customFormat="false" ht="15" hidden="false" customHeight="false" outlineLevel="0" collapsed="false">
      <c r="A8900" s="7" t="s">
        <v>27</v>
      </c>
      <c r="B8900" s="7" t="s">
        <v>135</v>
      </c>
      <c r="C8900" s="7" t="s">
        <v>1273</v>
      </c>
      <c r="D8900" s="7" t="n">
        <v>100</v>
      </c>
      <c r="E8900" s="7" t="n">
        <v>4454.14</v>
      </c>
      <c r="F8900" s="7" t="n">
        <v>0</v>
      </c>
      <c r="G8900" s="7" t="n">
        <v>0</v>
      </c>
    </row>
    <row r="8901" customFormat="false" ht="15" hidden="false" customHeight="false" outlineLevel="0" collapsed="false">
      <c r="A8901" s="7" t="s">
        <v>27</v>
      </c>
      <c r="B8901" s="7" t="s">
        <v>135</v>
      </c>
      <c r="C8901" s="7" t="s">
        <v>1273</v>
      </c>
      <c r="D8901" s="7" t="n">
        <v>0</v>
      </c>
      <c r="E8901" s="7" t="n">
        <v>0</v>
      </c>
      <c r="F8901" s="7" t="n">
        <v>40</v>
      </c>
      <c r="G8901" s="7" t="n">
        <v>1639.85</v>
      </c>
    </row>
    <row r="8902" customFormat="false" ht="15" hidden="false" customHeight="false" outlineLevel="0" collapsed="false">
      <c r="A8902" s="7" t="s">
        <v>27</v>
      </c>
      <c r="B8902" s="7" t="s">
        <v>135</v>
      </c>
      <c r="C8902" s="7" t="s">
        <v>1273</v>
      </c>
      <c r="D8902" s="7" t="n">
        <v>30</v>
      </c>
      <c r="E8902" s="7" t="n">
        <v>1378.39</v>
      </c>
      <c r="F8902" s="7" t="n">
        <v>0</v>
      </c>
      <c r="G8902" s="7" t="n">
        <v>0</v>
      </c>
    </row>
    <row r="8903" customFormat="false" ht="15" hidden="false" customHeight="false" outlineLevel="0" collapsed="false">
      <c r="A8903" s="7" t="s">
        <v>27</v>
      </c>
      <c r="B8903" s="7" t="s">
        <v>135</v>
      </c>
      <c r="C8903" s="7" t="s">
        <v>1273</v>
      </c>
      <c r="D8903" s="7" t="n">
        <v>100</v>
      </c>
      <c r="E8903" s="7" t="n">
        <v>4781.86</v>
      </c>
      <c r="F8903" s="7" t="n">
        <v>0</v>
      </c>
      <c r="G8903" s="7" t="n">
        <v>0</v>
      </c>
    </row>
    <row r="8904" customFormat="false" ht="15" hidden="false" customHeight="false" outlineLevel="0" collapsed="false">
      <c r="A8904" s="7" t="s">
        <v>27</v>
      </c>
      <c r="B8904" s="7" t="s">
        <v>135</v>
      </c>
      <c r="C8904" s="7" t="s">
        <v>1273</v>
      </c>
      <c r="D8904" s="7" t="n">
        <v>90</v>
      </c>
      <c r="E8904" s="7" t="n">
        <v>3931.98</v>
      </c>
      <c r="F8904" s="7" t="n">
        <v>0</v>
      </c>
      <c r="G8904" s="7" t="n">
        <v>0</v>
      </c>
    </row>
    <row r="8905" customFormat="false" ht="15" hidden="false" customHeight="false" outlineLevel="0" collapsed="false">
      <c r="A8905" s="7" t="s">
        <v>27</v>
      </c>
      <c r="B8905" s="7" t="s">
        <v>103</v>
      </c>
      <c r="C8905" s="7" t="s">
        <v>1121</v>
      </c>
      <c r="D8905" s="7" t="n">
        <v>0</v>
      </c>
      <c r="E8905" s="7" t="n">
        <v>0</v>
      </c>
      <c r="F8905" s="7" t="n">
        <v>20</v>
      </c>
      <c r="G8905" s="7" t="n">
        <v>941.67</v>
      </c>
    </row>
    <row r="8906" customFormat="false" ht="15" hidden="false" customHeight="false" outlineLevel="0" collapsed="false">
      <c r="A8906" s="7" t="s">
        <v>27</v>
      </c>
      <c r="B8906" s="7" t="s">
        <v>103</v>
      </c>
      <c r="C8906" s="7" t="s">
        <v>1121</v>
      </c>
      <c r="D8906" s="7" t="n">
        <v>10</v>
      </c>
      <c r="E8906" s="7" t="n">
        <v>493.21</v>
      </c>
      <c r="F8906" s="7" t="n">
        <v>0</v>
      </c>
      <c r="G8906" s="7" t="n">
        <v>0</v>
      </c>
    </row>
    <row r="8907" customFormat="false" ht="15" hidden="false" customHeight="false" outlineLevel="0" collapsed="false">
      <c r="A8907" s="7" t="s">
        <v>27</v>
      </c>
      <c r="B8907" s="7" t="s">
        <v>103</v>
      </c>
      <c r="C8907" s="7" t="s">
        <v>1121</v>
      </c>
      <c r="D8907" s="7" t="n">
        <v>30</v>
      </c>
      <c r="E8907" s="7" t="n">
        <v>1588.48</v>
      </c>
      <c r="F8907" s="7" t="n">
        <v>0</v>
      </c>
      <c r="G8907" s="7" t="n">
        <v>0</v>
      </c>
    </row>
    <row r="8908" customFormat="false" ht="15" hidden="false" customHeight="false" outlineLevel="0" collapsed="false">
      <c r="A8908" s="7" t="s">
        <v>27</v>
      </c>
      <c r="B8908" s="7" t="s">
        <v>103</v>
      </c>
      <c r="C8908" s="7" t="s">
        <v>1121</v>
      </c>
      <c r="D8908" s="7" t="n">
        <v>20</v>
      </c>
      <c r="E8908" s="7" t="n">
        <v>1017.53</v>
      </c>
      <c r="F8908" s="7" t="n">
        <v>0</v>
      </c>
      <c r="G8908" s="7" t="n">
        <v>0</v>
      </c>
    </row>
    <row r="8909" customFormat="false" ht="15" hidden="false" customHeight="false" outlineLevel="0" collapsed="false">
      <c r="A8909" s="7" t="s">
        <v>27</v>
      </c>
      <c r="B8909" s="7" t="s">
        <v>103</v>
      </c>
      <c r="C8909" s="7" t="s">
        <v>1121</v>
      </c>
      <c r="D8909" s="7" t="n">
        <v>10</v>
      </c>
      <c r="E8909" s="7" t="n">
        <v>484.69</v>
      </c>
      <c r="F8909" s="7" t="n">
        <v>0</v>
      </c>
      <c r="G8909" s="7" t="n">
        <v>0</v>
      </c>
    </row>
    <row r="8910" customFormat="false" ht="15" hidden="false" customHeight="false" outlineLevel="0" collapsed="false">
      <c r="A8910" s="7" t="s">
        <v>27</v>
      </c>
      <c r="B8910" s="7" t="s">
        <v>103</v>
      </c>
      <c r="C8910" s="7" t="s">
        <v>1121</v>
      </c>
      <c r="D8910" s="7" t="n">
        <v>0</v>
      </c>
      <c r="E8910" s="7" t="n">
        <v>0</v>
      </c>
      <c r="F8910" s="7" t="n">
        <v>10</v>
      </c>
      <c r="G8910" s="7" t="n">
        <v>453.95</v>
      </c>
    </row>
    <row r="8911" customFormat="false" ht="15" hidden="false" customHeight="false" outlineLevel="0" collapsed="false">
      <c r="A8911" s="7" t="s">
        <v>27</v>
      </c>
      <c r="B8911" s="7" t="s">
        <v>101</v>
      </c>
      <c r="C8911" s="7" t="s">
        <v>1121</v>
      </c>
      <c r="D8911" s="7" t="n">
        <v>70</v>
      </c>
      <c r="E8911" s="7" t="n">
        <v>3392.84</v>
      </c>
      <c r="F8911" s="7" t="n">
        <v>0</v>
      </c>
      <c r="G8911" s="7" t="n">
        <v>0</v>
      </c>
    </row>
    <row r="8912" customFormat="false" ht="15" hidden="false" customHeight="false" outlineLevel="0" collapsed="false">
      <c r="A8912" s="7" t="s">
        <v>27</v>
      </c>
      <c r="B8912" s="7" t="s">
        <v>101</v>
      </c>
      <c r="C8912" s="7" t="s">
        <v>1121</v>
      </c>
      <c r="D8912" s="7" t="n">
        <v>70</v>
      </c>
      <c r="E8912" s="7" t="n">
        <v>3706.46</v>
      </c>
      <c r="F8912" s="7" t="n">
        <v>0</v>
      </c>
      <c r="G8912" s="7" t="n">
        <v>0</v>
      </c>
    </row>
    <row r="8913" customFormat="false" ht="15" hidden="false" customHeight="false" outlineLevel="0" collapsed="false">
      <c r="A8913" s="7" t="s">
        <v>27</v>
      </c>
      <c r="B8913" s="7" t="s">
        <v>101</v>
      </c>
      <c r="C8913" s="7" t="s">
        <v>1121</v>
      </c>
      <c r="D8913" s="7" t="n">
        <v>0</v>
      </c>
      <c r="E8913" s="7" t="n">
        <v>0</v>
      </c>
      <c r="F8913" s="7" t="n">
        <v>100</v>
      </c>
      <c r="G8913" s="7" t="n">
        <v>4539.51</v>
      </c>
    </row>
    <row r="8914" customFormat="false" ht="15" hidden="false" customHeight="false" outlineLevel="0" collapsed="false">
      <c r="A8914" s="7" t="s">
        <v>27</v>
      </c>
      <c r="B8914" s="7" t="s">
        <v>101</v>
      </c>
      <c r="C8914" s="7" t="s">
        <v>1121</v>
      </c>
      <c r="D8914" s="7" t="n">
        <v>0</v>
      </c>
      <c r="E8914" s="7" t="n">
        <v>0</v>
      </c>
      <c r="F8914" s="7" t="n">
        <v>60</v>
      </c>
      <c r="G8914" s="7" t="n">
        <v>2617.13</v>
      </c>
    </row>
    <row r="8915" customFormat="false" ht="15" hidden="false" customHeight="false" outlineLevel="0" collapsed="false">
      <c r="A8915" s="7" t="s">
        <v>27</v>
      </c>
      <c r="B8915" s="7" t="s">
        <v>101</v>
      </c>
      <c r="C8915" s="7" t="s">
        <v>1121</v>
      </c>
      <c r="D8915" s="7" t="n">
        <v>0</v>
      </c>
      <c r="E8915" s="7" t="n">
        <v>0</v>
      </c>
      <c r="F8915" s="7" t="n">
        <v>20</v>
      </c>
      <c r="G8915" s="7" t="n">
        <v>941.67</v>
      </c>
    </row>
    <row r="8916" customFormat="false" ht="15" hidden="false" customHeight="false" outlineLevel="0" collapsed="false">
      <c r="A8916" s="7" t="s">
        <v>27</v>
      </c>
      <c r="B8916" s="7" t="s">
        <v>101</v>
      </c>
      <c r="C8916" s="7" t="s">
        <v>1121</v>
      </c>
      <c r="D8916" s="7" t="n">
        <v>60</v>
      </c>
      <c r="E8916" s="7" t="n">
        <v>3052.58</v>
      </c>
      <c r="F8916" s="7" t="n">
        <v>0</v>
      </c>
      <c r="G8916" s="7" t="n">
        <v>0</v>
      </c>
    </row>
    <row r="8917" customFormat="false" ht="15" hidden="false" customHeight="false" outlineLevel="0" collapsed="false">
      <c r="A8917" s="7" t="s">
        <v>27</v>
      </c>
      <c r="B8917" s="7" t="s">
        <v>101</v>
      </c>
      <c r="C8917" s="7" t="s">
        <v>1121</v>
      </c>
      <c r="D8917" s="7" t="n">
        <v>40</v>
      </c>
      <c r="E8917" s="7" t="n">
        <v>1972.82</v>
      </c>
      <c r="F8917" s="7" t="n">
        <v>0</v>
      </c>
      <c r="G8917" s="7" t="n">
        <v>0</v>
      </c>
    </row>
    <row r="8918" customFormat="false" ht="15" hidden="false" customHeight="false" outlineLevel="0" collapsed="false">
      <c r="A8918" s="7" t="s">
        <v>27</v>
      </c>
      <c r="B8918" s="7" t="s">
        <v>101</v>
      </c>
      <c r="C8918" s="7" t="s">
        <v>1121</v>
      </c>
      <c r="D8918" s="7" t="n">
        <v>40</v>
      </c>
      <c r="E8918" s="7" t="n">
        <v>1935.05</v>
      </c>
      <c r="F8918" s="7" t="n">
        <v>0</v>
      </c>
      <c r="G8918" s="7" t="n">
        <v>0</v>
      </c>
    </row>
    <row r="8919" customFormat="false" ht="15" hidden="false" customHeight="false" outlineLevel="0" collapsed="false">
      <c r="A8919" s="7" t="s">
        <v>27</v>
      </c>
      <c r="B8919" s="7" t="s">
        <v>245</v>
      </c>
      <c r="C8919" s="7" t="s">
        <v>1161</v>
      </c>
      <c r="D8919" s="7" t="n">
        <v>20</v>
      </c>
      <c r="E8919" s="7" t="n">
        <v>409.55</v>
      </c>
      <c r="F8919" s="7" t="n">
        <v>0</v>
      </c>
      <c r="G8919" s="7" t="n">
        <v>0</v>
      </c>
    </row>
    <row r="8920" customFormat="false" ht="15" hidden="false" customHeight="false" outlineLevel="0" collapsed="false">
      <c r="A8920" s="7" t="s">
        <v>27</v>
      </c>
      <c r="B8920" s="7" t="s">
        <v>245</v>
      </c>
      <c r="C8920" s="7" t="s">
        <v>1161</v>
      </c>
      <c r="D8920" s="7" t="n">
        <v>0</v>
      </c>
      <c r="E8920" s="7" t="n">
        <v>0</v>
      </c>
      <c r="F8920" s="7" t="n">
        <v>30</v>
      </c>
      <c r="G8920" s="7" t="n">
        <v>575.36</v>
      </c>
    </row>
    <row r="8921" customFormat="false" ht="15" hidden="false" customHeight="false" outlineLevel="0" collapsed="false">
      <c r="A8921" s="7" t="s">
        <v>27</v>
      </c>
      <c r="B8921" s="7" t="s">
        <v>245</v>
      </c>
      <c r="C8921" s="7" t="s">
        <v>1161</v>
      </c>
      <c r="D8921" s="7" t="n">
        <v>0</v>
      </c>
      <c r="E8921" s="7" t="n">
        <v>0</v>
      </c>
      <c r="F8921" s="7" t="n">
        <v>30</v>
      </c>
      <c r="G8921" s="7" t="n">
        <v>596.76</v>
      </c>
    </row>
    <row r="8922" customFormat="false" ht="15" hidden="false" customHeight="false" outlineLevel="0" collapsed="false">
      <c r="A8922" s="7" t="s">
        <v>27</v>
      </c>
      <c r="B8922" s="7" t="s">
        <v>245</v>
      </c>
      <c r="C8922" s="7" t="s">
        <v>1161</v>
      </c>
      <c r="D8922" s="7" t="n">
        <v>40</v>
      </c>
      <c r="E8922" s="7" t="n">
        <v>894.8</v>
      </c>
      <c r="F8922" s="7" t="n">
        <v>0</v>
      </c>
      <c r="G8922" s="7" t="n">
        <v>0</v>
      </c>
    </row>
    <row r="8923" customFormat="false" ht="15" hidden="false" customHeight="false" outlineLevel="0" collapsed="false">
      <c r="A8923" s="7" t="s">
        <v>27</v>
      </c>
      <c r="B8923" s="7" t="s">
        <v>245</v>
      </c>
      <c r="C8923" s="7" t="s">
        <v>1161</v>
      </c>
      <c r="D8923" s="7" t="n">
        <v>10</v>
      </c>
      <c r="E8923" s="7" t="n">
        <v>208.37</v>
      </c>
      <c r="F8923" s="7" t="n">
        <v>0</v>
      </c>
      <c r="G8923" s="7" t="n">
        <v>0</v>
      </c>
    </row>
    <row r="8924" customFormat="false" ht="15" hidden="false" customHeight="false" outlineLevel="0" collapsed="false">
      <c r="A8924" s="7" t="s">
        <v>27</v>
      </c>
      <c r="B8924" s="7" t="s">
        <v>245</v>
      </c>
      <c r="C8924" s="7" t="s">
        <v>1161</v>
      </c>
      <c r="D8924" s="7" t="n">
        <v>40</v>
      </c>
      <c r="E8924" s="7" t="n">
        <v>817.52</v>
      </c>
      <c r="F8924" s="7" t="n">
        <v>0</v>
      </c>
      <c r="G8924" s="7" t="n">
        <v>0</v>
      </c>
    </row>
    <row r="8925" customFormat="false" ht="15" hidden="false" customHeight="false" outlineLevel="0" collapsed="false">
      <c r="A8925" s="7" t="s">
        <v>27</v>
      </c>
      <c r="B8925" s="7" t="s">
        <v>245</v>
      </c>
      <c r="C8925" s="7" t="s">
        <v>1161</v>
      </c>
      <c r="D8925" s="7" t="n">
        <v>40</v>
      </c>
      <c r="E8925" s="7" t="n">
        <v>859.77</v>
      </c>
      <c r="F8925" s="7" t="n">
        <v>0</v>
      </c>
      <c r="G8925" s="7" t="n">
        <v>0</v>
      </c>
    </row>
    <row r="8926" customFormat="false" ht="15" hidden="false" customHeight="false" outlineLevel="0" collapsed="false">
      <c r="A8926" s="7" t="s">
        <v>27</v>
      </c>
      <c r="B8926" s="7" t="s">
        <v>245</v>
      </c>
      <c r="C8926" s="7" t="s">
        <v>1161</v>
      </c>
      <c r="D8926" s="7" t="n">
        <v>0</v>
      </c>
      <c r="E8926" s="7" t="n">
        <v>0</v>
      </c>
      <c r="F8926" s="7" t="n">
        <v>30</v>
      </c>
      <c r="G8926" s="7" t="n">
        <v>552.84</v>
      </c>
    </row>
    <row r="8927" customFormat="false" ht="15" hidden="false" customHeight="false" outlineLevel="0" collapsed="false">
      <c r="A8927" s="7" t="s">
        <v>27</v>
      </c>
      <c r="B8927" s="7" t="s">
        <v>899</v>
      </c>
      <c r="C8927" s="7" t="s">
        <v>1122</v>
      </c>
      <c r="D8927" s="7" t="n">
        <v>110</v>
      </c>
      <c r="E8927" s="7" t="n">
        <v>1512.54</v>
      </c>
      <c r="F8927" s="7" t="n">
        <v>0</v>
      </c>
      <c r="G8927" s="7" t="n">
        <v>0</v>
      </c>
    </row>
    <row r="8928" customFormat="false" ht="15" hidden="false" customHeight="false" outlineLevel="0" collapsed="false">
      <c r="A8928" s="7" t="s">
        <v>27</v>
      </c>
      <c r="B8928" s="7" t="s">
        <v>899</v>
      </c>
      <c r="C8928" s="7" t="s">
        <v>1122</v>
      </c>
      <c r="D8928" s="7" t="n">
        <v>50</v>
      </c>
      <c r="E8928" s="7" t="n">
        <v>660.6</v>
      </c>
      <c r="F8928" s="7" t="n">
        <v>0</v>
      </c>
      <c r="G8928" s="7" t="n">
        <v>0</v>
      </c>
    </row>
    <row r="8929" customFormat="false" ht="15" hidden="false" customHeight="false" outlineLevel="0" collapsed="false">
      <c r="A8929" s="7" t="s">
        <v>27</v>
      </c>
      <c r="B8929" s="7" t="s">
        <v>899</v>
      </c>
      <c r="C8929" s="7" t="s">
        <v>1122</v>
      </c>
      <c r="D8929" s="7" t="n">
        <v>30</v>
      </c>
      <c r="E8929" s="7" t="n">
        <v>377.61</v>
      </c>
      <c r="F8929" s="7" t="n">
        <v>0</v>
      </c>
      <c r="G8929" s="7" t="n">
        <v>0</v>
      </c>
    </row>
    <row r="8930" customFormat="false" ht="15" hidden="false" customHeight="false" outlineLevel="0" collapsed="false">
      <c r="A8930" s="7" t="s">
        <v>27</v>
      </c>
      <c r="B8930" s="7" t="s">
        <v>899</v>
      </c>
      <c r="C8930" s="7" t="s">
        <v>1122</v>
      </c>
      <c r="D8930" s="7" t="n">
        <v>30</v>
      </c>
      <c r="E8930" s="7" t="n">
        <v>384.24</v>
      </c>
      <c r="F8930" s="7" t="n">
        <v>0</v>
      </c>
      <c r="G8930" s="7" t="n">
        <v>0</v>
      </c>
    </row>
    <row r="8931" customFormat="false" ht="15" hidden="false" customHeight="false" outlineLevel="0" collapsed="false">
      <c r="A8931" s="7" t="s">
        <v>27</v>
      </c>
      <c r="B8931" s="7" t="s">
        <v>899</v>
      </c>
      <c r="C8931" s="7" t="s">
        <v>1122</v>
      </c>
      <c r="D8931" s="7" t="n">
        <v>0</v>
      </c>
      <c r="E8931" s="7" t="n">
        <v>0</v>
      </c>
      <c r="F8931" s="7" t="n">
        <v>150</v>
      </c>
      <c r="G8931" s="7" t="n">
        <v>1699.1</v>
      </c>
    </row>
    <row r="8932" customFormat="false" ht="15" hidden="false" customHeight="false" outlineLevel="0" collapsed="false">
      <c r="A8932" s="7" t="s">
        <v>27</v>
      </c>
      <c r="B8932" s="7" t="s">
        <v>899</v>
      </c>
      <c r="C8932" s="7" t="s">
        <v>1122</v>
      </c>
      <c r="D8932" s="7" t="n">
        <v>0</v>
      </c>
      <c r="E8932" s="7" t="n">
        <v>0</v>
      </c>
      <c r="F8932" s="7" t="n">
        <v>80</v>
      </c>
      <c r="G8932" s="7" t="n">
        <v>943.09</v>
      </c>
    </row>
    <row r="8933" customFormat="false" ht="15" hidden="false" customHeight="false" outlineLevel="0" collapsed="false">
      <c r="A8933" s="7" t="s">
        <v>27</v>
      </c>
      <c r="B8933" s="7" t="s">
        <v>899</v>
      </c>
      <c r="C8933" s="7" t="s">
        <v>1122</v>
      </c>
      <c r="D8933" s="7" t="n">
        <v>170</v>
      </c>
      <c r="E8933" s="7" t="n">
        <v>2135.68</v>
      </c>
      <c r="F8933" s="7" t="n">
        <v>0</v>
      </c>
      <c r="G8933" s="7" t="n">
        <v>0</v>
      </c>
    </row>
    <row r="8934" customFormat="false" ht="15" hidden="false" customHeight="false" outlineLevel="0" collapsed="false">
      <c r="A8934" s="7" t="s">
        <v>27</v>
      </c>
      <c r="B8934" s="7" t="s">
        <v>899</v>
      </c>
      <c r="C8934" s="7" t="s">
        <v>1122</v>
      </c>
      <c r="D8934" s="7" t="n">
        <v>0</v>
      </c>
      <c r="E8934" s="7" t="n">
        <v>0</v>
      </c>
      <c r="F8934" s="7" t="n">
        <v>60</v>
      </c>
      <c r="G8934" s="7" t="n">
        <v>733.63</v>
      </c>
    </row>
    <row r="8935" customFormat="false" ht="15" hidden="false" customHeight="false" outlineLevel="0" collapsed="false">
      <c r="A8935" s="7" t="s">
        <v>27</v>
      </c>
      <c r="B8935" s="7" t="s">
        <v>903</v>
      </c>
      <c r="C8935" s="7" t="s">
        <v>1174</v>
      </c>
      <c r="D8935" s="7" t="n">
        <v>30</v>
      </c>
      <c r="E8935" s="7" t="n">
        <v>247.51</v>
      </c>
      <c r="F8935" s="7" t="n">
        <v>0</v>
      </c>
      <c r="G8935" s="7" t="n">
        <v>0</v>
      </c>
    </row>
    <row r="8936" customFormat="false" ht="15" hidden="false" customHeight="false" outlineLevel="0" collapsed="false">
      <c r="A8936" s="7" t="s">
        <v>27</v>
      </c>
      <c r="B8936" s="7" t="s">
        <v>903</v>
      </c>
      <c r="C8936" s="7" t="s">
        <v>1174</v>
      </c>
      <c r="D8936" s="7" t="n">
        <v>0</v>
      </c>
      <c r="E8936" s="7" t="n">
        <v>0</v>
      </c>
      <c r="F8936" s="7" t="n">
        <v>80</v>
      </c>
      <c r="G8936" s="7" t="n">
        <v>642.38</v>
      </c>
    </row>
    <row r="8937" customFormat="false" ht="15" hidden="false" customHeight="false" outlineLevel="0" collapsed="false">
      <c r="A8937" s="7" t="s">
        <v>27</v>
      </c>
      <c r="B8937" s="7" t="s">
        <v>903</v>
      </c>
      <c r="C8937" s="7" t="s">
        <v>1174</v>
      </c>
      <c r="D8937" s="7" t="n">
        <v>120</v>
      </c>
      <c r="E8937" s="7" t="n">
        <v>1009.35</v>
      </c>
      <c r="F8937" s="7" t="n">
        <v>0</v>
      </c>
      <c r="G8937" s="7" t="n">
        <v>0</v>
      </c>
    </row>
    <row r="8938" customFormat="false" ht="15" hidden="false" customHeight="false" outlineLevel="0" collapsed="false">
      <c r="A8938" s="7" t="s">
        <v>27</v>
      </c>
      <c r="B8938" s="7" t="s">
        <v>903</v>
      </c>
      <c r="C8938" s="7" t="s">
        <v>1174</v>
      </c>
      <c r="D8938" s="7" t="n">
        <v>0</v>
      </c>
      <c r="E8938" s="7" t="n">
        <v>0</v>
      </c>
      <c r="F8938" s="7" t="n">
        <v>50</v>
      </c>
      <c r="G8938" s="7" t="n">
        <v>387.09</v>
      </c>
    </row>
    <row r="8939" customFormat="false" ht="15" hidden="false" customHeight="false" outlineLevel="0" collapsed="false">
      <c r="A8939" s="7" t="s">
        <v>27</v>
      </c>
      <c r="B8939" s="7" t="s">
        <v>903</v>
      </c>
      <c r="C8939" s="7" t="s">
        <v>1174</v>
      </c>
      <c r="D8939" s="7" t="n">
        <v>0</v>
      </c>
      <c r="E8939" s="7" t="n">
        <v>0</v>
      </c>
      <c r="F8939" s="7" t="n">
        <v>90</v>
      </c>
      <c r="G8939" s="7" t="n">
        <v>669.5</v>
      </c>
    </row>
    <row r="8940" customFormat="false" ht="15" hidden="false" customHeight="false" outlineLevel="0" collapsed="false">
      <c r="A8940" s="7" t="s">
        <v>27</v>
      </c>
      <c r="B8940" s="7" t="s">
        <v>903</v>
      </c>
      <c r="C8940" s="7" t="s">
        <v>1174</v>
      </c>
      <c r="D8940" s="7" t="n">
        <v>150</v>
      </c>
      <c r="E8940" s="7" t="n">
        <v>1301.49</v>
      </c>
      <c r="F8940" s="7" t="n">
        <v>0</v>
      </c>
      <c r="G8940" s="7" t="n">
        <v>0</v>
      </c>
    </row>
    <row r="8941" customFormat="false" ht="15" hidden="false" customHeight="false" outlineLevel="0" collapsed="false">
      <c r="A8941" s="7" t="s">
        <v>27</v>
      </c>
      <c r="B8941" s="7" t="s">
        <v>903</v>
      </c>
      <c r="C8941" s="7" t="s">
        <v>1174</v>
      </c>
      <c r="D8941" s="7" t="n">
        <v>50</v>
      </c>
      <c r="E8941" s="7" t="n">
        <v>413.3</v>
      </c>
      <c r="F8941" s="7" t="n">
        <v>0</v>
      </c>
      <c r="G8941" s="7" t="n">
        <v>0</v>
      </c>
    </row>
    <row r="8942" customFormat="false" ht="15" hidden="false" customHeight="false" outlineLevel="0" collapsed="false">
      <c r="A8942" s="7" t="s">
        <v>27</v>
      </c>
      <c r="B8942" s="7" t="s">
        <v>907</v>
      </c>
      <c r="C8942" s="7" t="s">
        <v>1310</v>
      </c>
      <c r="D8942" s="7" t="n">
        <v>10</v>
      </c>
      <c r="E8942" s="7" t="n">
        <v>136.88</v>
      </c>
      <c r="F8942" s="7" t="n">
        <v>0</v>
      </c>
      <c r="G8942" s="7" t="n">
        <v>0</v>
      </c>
    </row>
    <row r="8943" customFormat="false" ht="15" hidden="false" customHeight="false" outlineLevel="0" collapsed="false">
      <c r="A8943" s="7" t="s">
        <v>27</v>
      </c>
      <c r="B8943" s="7" t="s">
        <v>907</v>
      </c>
      <c r="C8943" s="7" t="s">
        <v>1310</v>
      </c>
      <c r="D8943" s="7" t="n">
        <v>20</v>
      </c>
      <c r="E8943" s="7" t="n">
        <v>299.64</v>
      </c>
      <c r="F8943" s="7" t="n">
        <v>0</v>
      </c>
      <c r="G8943" s="7" t="n">
        <v>0</v>
      </c>
    </row>
    <row r="8944" customFormat="false" ht="15" hidden="false" customHeight="false" outlineLevel="0" collapsed="false">
      <c r="A8944" s="7" t="s">
        <v>27</v>
      </c>
      <c r="B8944" s="7" t="s">
        <v>907</v>
      </c>
      <c r="C8944" s="7" t="s">
        <v>1310</v>
      </c>
      <c r="D8944" s="7" t="n">
        <v>0</v>
      </c>
      <c r="E8944" s="7" t="n">
        <v>0</v>
      </c>
      <c r="F8944" s="7" t="n">
        <v>20</v>
      </c>
      <c r="G8944" s="7" t="n">
        <v>246.83</v>
      </c>
    </row>
    <row r="8945" customFormat="false" ht="15" hidden="false" customHeight="false" outlineLevel="0" collapsed="false">
      <c r="A8945" s="7" t="s">
        <v>27</v>
      </c>
      <c r="B8945" s="7" t="s">
        <v>907</v>
      </c>
      <c r="C8945" s="7" t="s">
        <v>1310</v>
      </c>
      <c r="D8945" s="7" t="n">
        <v>0</v>
      </c>
      <c r="E8945" s="7" t="n">
        <v>0</v>
      </c>
      <c r="F8945" s="7" t="n">
        <v>30</v>
      </c>
      <c r="G8945" s="7" t="n">
        <v>399.66</v>
      </c>
    </row>
    <row r="8946" customFormat="false" ht="15" hidden="false" customHeight="false" outlineLevel="0" collapsed="false">
      <c r="A8946" s="7" t="s">
        <v>27</v>
      </c>
      <c r="B8946" s="7" t="s">
        <v>907</v>
      </c>
      <c r="C8946" s="7" t="s">
        <v>1310</v>
      </c>
      <c r="D8946" s="7" t="n">
        <v>20</v>
      </c>
      <c r="E8946" s="7" t="n">
        <v>279.1</v>
      </c>
      <c r="F8946" s="7" t="n">
        <v>0</v>
      </c>
      <c r="G8946" s="7" t="n">
        <v>0</v>
      </c>
    </row>
    <row r="8947" customFormat="false" ht="15" hidden="false" customHeight="false" outlineLevel="0" collapsed="false">
      <c r="A8947" s="7" t="s">
        <v>27</v>
      </c>
      <c r="B8947" s="7" t="s">
        <v>907</v>
      </c>
      <c r="C8947" s="7" t="s">
        <v>1310</v>
      </c>
      <c r="D8947" s="7" t="n">
        <v>20</v>
      </c>
      <c r="E8947" s="7" t="n">
        <v>274.28</v>
      </c>
      <c r="F8947" s="7" t="n">
        <v>0</v>
      </c>
      <c r="G8947" s="7" t="n">
        <v>0</v>
      </c>
    </row>
    <row r="8948" customFormat="false" ht="15" hidden="false" customHeight="false" outlineLevel="0" collapsed="false">
      <c r="A8948" s="7" t="s">
        <v>27</v>
      </c>
      <c r="B8948" s="7" t="s">
        <v>907</v>
      </c>
      <c r="C8948" s="7" t="s">
        <v>1310</v>
      </c>
      <c r="D8948" s="7" t="n">
        <v>0</v>
      </c>
      <c r="E8948" s="7" t="n">
        <v>0</v>
      </c>
      <c r="F8948" s="7" t="n">
        <v>30</v>
      </c>
      <c r="G8948" s="7" t="n">
        <v>385.33</v>
      </c>
    </row>
    <row r="8949" customFormat="false" ht="15" hidden="false" customHeight="false" outlineLevel="0" collapsed="false">
      <c r="A8949" s="7" t="s">
        <v>27</v>
      </c>
      <c r="B8949" s="7" t="s">
        <v>907</v>
      </c>
      <c r="C8949" s="7" t="s">
        <v>1310</v>
      </c>
      <c r="D8949" s="7" t="n">
        <v>30</v>
      </c>
      <c r="E8949" s="7" t="n">
        <v>431.86</v>
      </c>
      <c r="F8949" s="7" t="n">
        <v>0</v>
      </c>
      <c r="G8949" s="7" t="n">
        <v>0</v>
      </c>
    </row>
    <row r="8950" customFormat="false" ht="15" hidden="false" customHeight="false" outlineLevel="0" collapsed="false">
      <c r="A8950" s="7" t="s">
        <v>27</v>
      </c>
      <c r="B8950" s="7" t="s">
        <v>898</v>
      </c>
      <c r="C8950" s="7" t="s">
        <v>1175</v>
      </c>
      <c r="D8950" s="7" t="n">
        <v>0</v>
      </c>
      <c r="E8950" s="7" t="n">
        <v>0</v>
      </c>
      <c r="F8950" s="7" t="n">
        <v>180</v>
      </c>
      <c r="G8950" s="7" t="n">
        <v>1917.2</v>
      </c>
    </row>
    <row r="8951" customFormat="false" ht="15" hidden="false" customHeight="false" outlineLevel="0" collapsed="false">
      <c r="A8951" s="7" t="s">
        <v>27</v>
      </c>
      <c r="B8951" s="7" t="s">
        <v>898</v>
      </c>
      <c r="C8951" s="7" t="s">
        <v>1175</v>
      </c>
      <c r="D8951" s="7" t="n">
        <v>40</v>
      </c>
      <c r="E8951" s="7" t="n">
        <v>496.93</v>
      </c>
      <c r="F8951" s="7" t="n">
        <v>0</v>
      </c>
      <c r="G8951" s="7" t="n">
        <v>0</v>
      </c>
    </row>
    <row r="8952" customFormat="false" ht="15" hidden="false" customHeight="false" outlineLevel="0" collapsed="false">
      <c r="A8952" s="7" t="s">
        <v>27</v>
      </c>
      <c r="B8952" s="7" t="s">
        <v>898</v>
      </c>
      <c r="C8952" s="7" t="s">
        <v>1175</v>
      </c>
      <c r="D8952" s="7" t="n">
        <v>120</v>
      </c>
      <c r="E8952" s="7" t="n">
        <v>1445.21</v>
      </c>
      <c r="F8952" s="7" t="n">
        <v>0</v>
      </c>
      <c r="G8952" s="7" t="n">
        <v>0</v>
      </c>
    </row>
    <row r="8953" customFormat="false" ht="15" hidden="false" customHeight="false" outlineLevel="0" collapsed="false">
      <c r="A8953" s="7" t="s">
        <v>27</v>
      </c>
      <c r="B8953" s="7" t="s">
        <v>898</v>
      </c>
      <c r="C8953" s="7" t="s">
        <v>1175</v>
      </c>
      <c r="D8953" s="7" t="n">
        <v>70</v>
      </c>
      <c r="E8953" s="7" t="n">
        <v>826.9</v>
      </c>
      <c r="F8953" s="7" t="n">
        <v>0</v>
      </c>
      <c r="G8953" s="7" t="n">
        <v>0</v>
      </c>
    </row>
    <row r="8954" customFormat="false" ht="15" hidden="false" customHeight="false" outlineLevel="0" collapsed="false">
      <c r="A8954" s="7" t="s">
        <v>27</v>
      </c>
      <c r="B8954" s="7" t="s">
        <v>898</v>
      </c>
      <c r="C8954" s="7" t="s">
        <v>1175</v>
      </c>
      <c r="D8954" s="7" t="n">
        <v>150</v>
      </c>
      <c r="E8954" s="7" t="n">
        <v>1939.42</v>
      </c>
      <c r="F8954" s="7" t="n">
        <v>0</v>
      </c>
      <c r="G8954" s="7" t="n">
        <v>0</v>
      </c>
    </row>
    <row r="8955" customFormat="false" ht="15" hidden="false" customHeight="false" outlineLevel="0" collapsed="false">
      <c r="A8955" s="7" t="s">
        <v>27</v>
      </c>
      <c r="B8955" s="7" t="s">
        <v>898</v>
      </c>
      <c r="C8955" s="7" t="s">
        <v>1175</v>
      </c>
      <c r="D8955" s="7" t="n">
        <v>0</v>
      </c>
      <c r="E8955" s="7" t="n">
        <v>0</v>
      </c>
      <c r="F8955" s="7" t="n">
        <v>20</v>
      </c>
      <c r="G8955" s="7" t="n">
        <v>221.7</v>
      </c>
    </row>
    <row r="8956" customFormat="false" ht="15" hidden="false" customHeight="false" outlineLevel="0" collapsed="false">
      <c r="A8956" s="7" t="s">
        <v>27</v>
      </c>
      <c r="B8956" s="7" t="s">
        <v>898</v>
      </c>
      <c r="C8956" s="7" t="s">
        <v>1175</v>
      </c>
      <c r="D8956" s="7" t="n">
        <v>0</v>
      </c>
      <c r="E8956" s="7" t="n">
        <v>0</v>
      </c>
      <c r="F8956" s="7" t="n">
        <v>60</v>
      </c>
      <c r="G8956" s="7" t="n">
        <v>689.83</v>
      </c>
    </row>
    <row r="8957" customFormat="false" ht="15" hidden="false" customHeight="false" outlineLevel="0" collapsed="false">
      <c r="A8957" s="7" t="s">
        <v>27</v>
      </c>
      <c r="B8957" s="7" t="s">
        <v>901</v>
      </c>
      <c r="C8957" s="7" t="s">
        <v>1311</v>
      </c>
      <c r="D8957" s="7" t="n">
        <v>0</v>
      </c>
      <c r="E8957" s="7" t="n">
        <v>0</v>
      </c>
      <c r="F8957" s="7" t="n">
        <v>50</v>
      </c>
      <c r="G8957" s="7" t="n">
        <v>563.04</v>
      </c>
    </row>
    <row r="8958" customFormat="false" ht="15" hidden="false" customHeight="false" outlineLevel="0" collapsed="false">
      <c r="A8958" s="7" t="s">
        <v>27</v>
      </c>
      <c r="B8958" s="7" t="s">
        <v>901</v>
      </c>
      <c r="C8958" s="7" t="s">
        <v>1311</v>
      </c>
      <c r="D8958" s="7" t="n">
        <v>60</v>
      </c>
      <c r="E8958" s="7" t="n">
        <v>720.02</v>
      </c>
      <c r="F8958" s="7" t="n">
        <v>0</v>
      </c>
      <c r="G8958" s="7" t="n">
        <v>0</v>
      </c>
    </row>
    <row r="8959" customFormat="false" ht="15" hidden="false" customHeight="false" outlineLevel="0" collapsed="false">
      <c r="A8959" s="7" t="s">
        <v>27</v>
      </c>
      <c r="B8959" s="7" t="s">
        <v>901</v>
      </c>
      <c r="C8959" s="7" t="s">
        <v>1311</v>
      </c>
      <c r="D8959" s="7" t="n">
        <v>80</v>
      </c>
      <c r="E8959" s="7" t="n">
        <v>1050.78</v>
      </c>
      <c r="F8959" s="7" t="n">
        <v>0</v>
      </c>
      <c r="G8959" s="7" t="n">
        <v>0</v>
      </c>
    </row>
    <row r="8960" customFormat="false" ht="15" hidden="false" customHeight="false" outlineLevel="0" collapsed="false">
      <c r="A8960" s="7" t="s">
        <v>27</v>
      </c>
      <c r="B8960" s="7" t="s">
        <v>901</v>
      </c>
      <c r="C8960" s="7" t="s">
        <v>1311</v>
      </c>
      <c r="D8960" s="7" t="n">
        <v>80</v>
      </c>
      <c r="E8960" s="7" t="n">
        <v>1009.64</v>
      </c>
      <c r="F8960" s="7" t="n">
        <v>0</v>
      </c>
      <c r="G8960" s="7" t="n">
        <v>0</v>
      </c>
    </row>
    <row r="8961" customFormat="false" ht="15" hidden="false" customHeight="false" outlineLevel="0" collapsed="false">
      <c r="A8961" s="7" t="s">
        <v>27</v>
      </c>
      <c r="B8961" s="7" t="s">
        <v>901</v>
      </c>
      <c r="C8961" s="7" t="s">
        <v>1311</v>
      </c>
      <c r="D8961" s="7" t="n">
        <v>0</v>
      </c>
      <c r="E8961" s="7" t="n">
        <v>0</v>
      </c>
      <c r="F8961" s="7" t="n">
        <v>60</v>
      </c>
      <c r="G8961" s="7" t="n">
        <v>649.21</v>
      </c>
    </row>
    <row r="8962" customFormat="false" ht="15" hidden="false" customHeight="false" outlineLevel="0" collapsed="false">
      <c r="A8962" s="7" t="s">
        <v>27</v>
      </c>
      <c r="B8962" s="7" t="s">
        <v>901</v>
      </c>
      <c r="C8962" s="7" t="s">
        <v>1311</v>
      </c>
      <c r="D8962" s="7" t="n">
        <v>0</v>
      </c>
      <c r="E8962" s="7" t="n">
        <v>0</v>
      </c>
      <c r="F8962" s="7" t="n">
        <v>80</v>
      </c>
      <c r="G8962" s="7" t="n">
        <v>934.37</v>
      </c>
    </row>
    <row r="8963" customFormat="false" ht="15" hidden="false" customHeight="false" outlineLevel="0" collapsed="false">
      <c r="A8963" s="7" t="s">
        <v>27</v>
      </c>
      <c r="B8963" s="7" t="s">
        <v>901</v>
      </c>
      <c r="C8963" s="7" t="s">
        <v>1311</v>
      </c>
      <c r="D8963" s="7" t="n">
        <v>60</v>
      </c>
      <c r="E8963" s="7" t="n">
        <v>734.07</v>
      </c>
      <c r="F8963" s="7" t="n">
        <v>0</v>
      </c>
      <c r="G8963" s="7" t="n">
        <v>0</v>
      </c>
    </row>
    <row r="8964" customFormat="false" ht="15" hidden="false" customHeight="false" outlineLevel="0" collapsed="false">
      <c r="A8964" s="7" t="s">
        <v>27</v>
      </c>
      <c r="B8964" s="7" t="s">
        <v>906</v>
      </c>
      <c r="C8964" s="7" t="s">
        <v>1312</v>
      </c>
      <c r="D8964" s="7" t="n">
        <v>10</v>
      </c>
      <c r="E8964" s="7" t="n">
        <v>240.01</v>
      </c>
      <c r="F8964" s="7" t="n">
        <v>0</v>
      </c>
      <c r="G8964" s="7" t="n">
        <v>0</v>
      </c>
    </row>
    <row r="8965" customFormat="false" ht="15" hidden="false" customHeight="false" outlineLevel="0" collapsed="false">
      <c r="A8965" s="7" t="s">
        <v>27</v>
      </c>
      <c r="B8965" s="7" t="s">
        <v>906</v>
      </c>
      <c r="C8965" s="7" t="s">
        <v>1312</v>
      </c>
      <c r="D8965" s="7" t="n">
        <v>0</v>
      </c>
      <c r="E8965" s="7" t="n">
        <v>0</v>
      </c>
      <c r="F8965" s="7" t="n">
        <v>20</v>
      </c>
      <c r="G8965" s="7" t="n">
        <v>432.81</v>
      </c>
    </row>
    <row r="8966" customFormat="false" ht="15" hidden="false" customHeight="false" outlineLevel="0" collapsed="false">
      <c r="A8966" s="7" t="s">
        <v>27</v>
      </c>
      <c r="B8966" s="7" t="s">
        <v>906</v>
      </c>
      <c r="C8966" s="7" t="s">
        <v>1312</v>
      </c>
      <c r="D8966" s="7" t="n">
        <v>20</v>
      </c>
      <c r="E8966" s="7" t="n">
        <v>480.93</v>
      </c>
      <c r="F8966" s="7" t="n">
        <v>0</v>
      </c>
      <c r="G8966" s="7" t="n">
        <v>0</v>
      </c>
    </row>
    <row r="8967" customFormat="false" ht="15" hidden="false" customHeight="false" outlineLevel="0" collapsed="false">
      <c r="A8967" s="7" t="s">
        <v>27</v>
      </c>
      <c r="B8967" s="7" t="s">
        <v>906</v>
      </c>
      <c r="C8967" s="7" t="s">
        <v>1312</v>
      </c>
      <c r="D8967" s="7" t="n">
        <v>0</v>
      </c>
      <c r="E8967" s="7" t="n">
        <v>0</v>
      </c>
      <c r="F8967" s="7" t="n">
        <v>30</v>
      </c>
      <c r="G8967" s="7" t="n">
        <v>675.65</v>
      </c>
    </row>
    <row r="8968" customFormat="false" ht="15" hidden="false" customHeight="false" outlineLevel="0" collapsed="false">
      <c r="A8968" s="7" t="s">
        <v>27</v>
      </c>
      <c r="B8968" s="7" t="s">
        <v>906</v>
      </c>
      <c r="C8968" s="7" t="s">
        <v>1312</v>
      </c>
      <c r="D8968" s="7" t="n">
        <v>30</v>
      </c>
      <c r="E8968" s="7" t="n">
        <v>757.23</v>
      </c>
      <c r="F8968" s="7" t="n">
        <v>0</v>
      </c>
      <c r="G8968" s="7" t="n">
        <v>0</v>
      </c>
    </row>
    <row r="8969" customFormat="false" ht="15" hidden="false" customHeight="false" outlineLevel="0" collapsed="false">
      <c r="A8969" s="7" t="s">
        <v>27</v>
      </c>
      <c r="B8969" s="7" t="s">
        <v>906</v>
      </c>
      <c r="C8969" s="7" t="s">
        <v>1312</v>
      </c>
      <c r="D8969" s="7" t="n">
        <v>20</v>
      </c>
      <c r="E8969" s="7" t="n">
        <v>525.39</v>
      </c>
      <c r="F8969" s="7" t="n">
        <v>0</v>
      </c>
      <c r="G8969" s="7" t="n">
        <v>0</v>
      </c>
    </row>
    <row r="8970" customFormat="false" ht="15" hidden="false" customHeight="false" outlineLevel="0" collapsed="false">
      <c r="A8970" s="7" t="s">
        <v>27</v>
      </c>
      <c r="B8970" s="7" t="s">
        <v>904</v>
      </c>
      <c r="C8970" s="7" t="s">
        <v>1312</v>
      </c>
      <c r="D8970" s="7" t="n">
        <v>0</v>
      </c>
      <c r="E8970" s="7" t="n">
        <v>0</v>
      </c>
      <c r="F8970" s="7" t="n">
        <v>50</v>
      </c>
      <c r="G8970" s="7" t="n">
        <v>1126.08</v>
      </c>
    </row>
    <row r="8971" customFormat="false" ht="15" hidden="false" customHeight="false" outlineLevel="0" collapsed="false">
      <c r="A8971" s="7" t="s">
        <v>27</v>
      </c>
      <c r="B8971" s="7" t="s">
        <v>904</v>
      </c>
      <c r="C8971" s="7" t="s">
        <v>1312</v>
      </c>
      <c r="D8971" s="7" t="n">
        <v>30</v>
      </c>
      <c r="E8971" s="7" t="n">
        <v>734.07</v>
      </c>
      <c r="F8971" s="7" t="n">
        <v>0</v>
      </c>
      <c r="G8971" s="7" t="n">
        <v>0</v>
      </c>
    </row>
    <row r="8972" customFormat="false" ht="15" hidden="false" customHeight="false" outlineLevel="0" collapsed="false">
      <c r="A8972" s="7" t="s">
        <v>27</v>
      </c>
      <c r="B8972" s="7" t="s">
        <v>904</v>
      </c>
      <c r="C8972" s="7" t="s">
        <v>1312</v>
      </c>
      <c r="D8972" s="7" t="n">
        <v>50</v>
      </c>
      <c r="E8972" s="7" t="n">
        <v>1200.03</v>
      </c>
      <c r="F8972" s="7" t="n">
        <v>0</v>
      </c>
      <c r="G8972" s="7" t="n">
        <v>0</v>
      </c>
    </row>
    <row r="8973" customFormat="false" ht="15" hidden="false" customHeight="false" outlineLevel="0" collapsed="false">
      <c r="A8973" s="7" t="s">
        <v>27</v>
      </c>
      <c r="B8973" s="7" t="s">
        <v>904</v>
      </c>
      <c r="C8973" s="7" t="s">
        <v>1312</v>
      </c>
      <c r="D8973" s="7" t="n">
        <v>0</v>
      </c>
      <c r="E8973" s="7" t="n">
        <v>0</v>
      </c>
      <c r="F8973" s="7" t="n">
        <v>30</v>
      </c>
      <c r="G8973" s="7" t="n">
        <v>649.21</v>
      </c>
    </row>
    <row r="8974" customFormat="false" ht="15" hidden="false" customHeight="false" outlineLevel="0" collapsed="false">
      <c r="A8974" s="7" t="s">
        <v>27</v>
      </c>
      <c r="B8974" s="7" t="s">
        <v>904</v>
      </c>
      <c r="C8974" s="7" t="s">
        <v>1312</v>
      </c>
      <c r="D8974" s="7" t="n">
        <v>0</v>
      </c>
      <c r="E8974" s="7" t="n">
        <v>0</v>
      </c>
      <c r="F8974" s="7" t="n">
        <v>30</v>
      </c>
      <c r="G8974" s="7" t="n">
        <v>700.78</v>
      </c>
    </row>
    <row r="8975" customFormat="false" ht="15" hidden="false" customHeight="false" outlineLevel="0" collapsed="false">
      <c r="A8975" s="7" t="s">
        <v>27</v>
      </c>
      <c r="B8975" s="7" t="s">
        <v>904</v>
      </c>
      <c r="C8975" s="7" t="s">
        <v>1312</v>
      </c>
      <c r="D8975" s="7" t="n">
        <v>30</v>
      </c>
      <c r="E8975" s="7" t="n">
        <v>757.23</v>
      </c>
      <c r="F8975" s="7" t="n">
        <v>0</v>
      </c>
      <c r="G8975" s="7" t="n">
        <v>0</v>
      </c>
    </row>
    <row r="8976" customFormat="false" ht="15" hidden="false" customHeight="false" outlineLevel="0" collapsed="false">
      <c r="A8976" s="7" t="s">
        <v>27</v>
      </c>
      <c r="B8976" s="7" t="s">
        <v>904</v>
      </c>
      <c r="C8976" s="7" t="s">
        <v>1312</v>
      </c>
      <c r="D8976" s="7" t="n">
        <v>40</v>
      </c>
      <c r="E8976" s="7" t="n">
        <v>1050.78</v>
      </c>
      <c r="F8976" s="7" t="n">
        <v>0</v>
      </c>
      <c r="G8976" s="7" t="n">
        <v>0</v>
      </c>
    </row>
    <row r="8977" customFormat="false" ht="15" hidden="false" customHeight="false" outlineLevel="0" collapsed="false">
      <c r="A8977" s="7" t="s">
        <v>27</v>
      </c>
      <c r="B8977" s="7" t="s">
        <v>905</v>
      </c>
      <c r="C8977" s="7" t="s">
        <v>1312</v>
      </c>
      <c r="D8977" s="7" t="n">
        <v>10</v>
      </c>
      <c r="E8977" s="7" t="n">
        <v>262.69</v>
      </c>
      <c r="F8977" s="7" t="n">
        <v>0</v>
      </c>
      <c r="G8977" s="7" t="n">
        <v>0</v>
      </c>
    </row>
    <row r="8978" customFormat="false" ht="15" hidden="false" customHeight="false" outlineLevel="0" collapsed="false">
      <c r="A8978" s="7" t="s">
        <v>27</v>
      </c>
      <c r="B8978" s="7" t="s">
        <v>905</v>
      </c>
      <c r="C8978" s="7" t="s">
        <v>1312</v>
      </c>
      <c r="D8978" s="7" t="n">
        <v>50</v>
      </c>
      <c r="E8978" s="7" t="n">
        <v>1200.03</v>
      </c>
      <c r="F8978" s="7" t="n">
        <v>0</v>
      </c>
      <c r="G8978" s="7" t="n">
        <v>0</v>
      </c>
    </row>
    <row r="8979" customFormat="false" ht="15" hidden="false" customHeight="false" outlineLevel="0" collapsed="false">
      <c r="A8979" s="7" t="s">
        <v>27</v>
      </c>
      <c r="B8979" s="7" t="s">
        <v>905</v>
      </c>
      <c r="C8979" s="7" t="s">
        <v>1312</v>
      </c>
      <c r="D8979" s="7" t="n">
        <v>0</v>
      </c>
      <c r="E8979" s="7" t="n">
        <v>0</v>
      </c>
      <c r="F8979" s="7" t="n">
        <v>30</v>
      </c>
      <c r="G8979" s="7" t="n">
        <v>700.78</v>
      </c>
    </row>
    <row r="8980" customFormat="false" ht="15" hidden="false" customHeight="false" outlineLevel="0" collapsed="false">
      <c r="A8980" s="7" t="s">
        <v>27</v>
      </c>
      <c r="B8980" s="7" t="s">
        <v>905</v>
      </c>
      <c r="C8980" s="7" t="s">
        <v>1312</v>
      </c>
      <c r="D8980" s="7" t="n">
        <v>30</v>
      </c>
      <c r="E8980" s="7" t="n">
        <v>757.23</v>
      </c>
      <c r="F8980" s="7" t="n">
        <v>0</v>
      </c>
      <c r="G8980" s="7" t="n">
        <v>0</v>
      </c>
    </row>
    <row r="8981" customFormat="false" ht="15" hidden="false" customHeight="false" outlineLevel="0" collapsed="false">
      <c r="A8981" s="7" t="s">
        <v>27</v>
      </c>
      <c r="B8981" s="7" t="s">
        <v>905</v>
      </c>
      <c r="C8981" s="7" t="s">
        <v>1312</v>
      </c>
      <c r="D8981" s="7" t="n">
        <v>30</v>
      </c>
      <c r="E8981" s="7" t="n">
        <v>734.07</v>
      </c>
      <c r="F8981" s="7" t="n">
        <v>0</v>
      </c>
      <c r="G8981" s="7" t="n">
        <v>0</v>
      </c>
    </row>
    <row r="8982" customFormat="false" ht="15" hidden="false" customHeight="false" outlineLevel="0" collapsed="false">
      <c r="A8982" s="7" t="s">
        <v>27</v>
      </c>
      <c r="B8982" s="7" t="s">
        <v>905</v>
      </c>
      <c r="C8982" s="7" t="s">
        <v>1312</v>
      </c>
      <c r="D8982" s="7" t="n">
        <v>0</v>
      </c>
      <c r="E8982" s="7" t="n">
        <v>0</v>
      </c>
      <c r="F8982" s="7" t="n">
        <v>30</v>
      </c>
      <c r="G8982" s="7" t="n">
        <v>675.65</v>
      </c>
    </row>
    <row r="8983" customFormat="false" ht="15" hidden="false" customHeight="false" outlineLevel="0" collapsed="false">
      <c r="A8983" s="7" t="s">
        <v>27</v>
      </c>
      <c r="B8983" s="7" t="s">
        <v>905</v>
      </c>
      <c r="C8983" s="7" t="s">
        <v>1312</v>
      </c>
      <c r="D8983" s="7" t="n">
        <v>0</v>
      </c>
      <c r="E8983" s="7" t="n">
        <v>0</v>
      </c>
      <c r="F8983" s="7" t="n">
        <v>20</v>
      </c>
      <c r="G8983" s="7" t="n">
        <v>432.81</v>
      </c>
    </row>
    <row r="8984" customFormat="false" ht="15" hidden="false" customHeight="false" outlineLevel="0" collapsed="false">
      <c r="A8984" s="7" t="s">
        <v>27</v>
      </c>
      <c r="B8984" s="7" t="s">
        <v>96</v>
      </c>
      <c r="C8984" s="7" t="s">
        <v>1184</v>
      </c>
      <c r="D8984" s="7" t="n">
        <v>80</v>
      </c>
      <c r="E8984" s="7" t="n">
        <v>2634.53</v>
      </c>
      <c r="F8984" s="7" t="n">
        <v>0</v>
      </c>
      <c r="G8984" s="7" t="n">
        <v>0</v>
      </c>
    </row>
    <row r="8985" customFormat="false" ht="15" hidden="false" customHeight="false" outlineLevel="0" collapsed="false">
      <c r="A8985" s="7" t="s">
        <v>27</v>
      </c>
      <c r="B8985" s="7" t="s">
        <v>96</v>
      </c>
      <c r="C8985" s="7" t="s">
        <v>1184</v>
      </c>
      <c r="D8985" s="7" t="n">
        <v>70</v>
      </c>
      <c r="E8985" s="7" t="n">
        <v>2191.93</v>
      </c>
      <c r="F8985" s="7" t="n">
        <v>0</v>
      </c>
      <c r="G8985" s="7" t="n">
        <v>0</v>
      </c>
    </row>
    <row r="8986" customFormat="false" ht="15" hidden="false" customHeight="false" outlineLevel="0" collapsed="false">
      <c r="A8986" s="7" t="s">
        <v>27</v>
      </c>
      <c r="B8986" s="7" t="s">
        <v>96</v>
      </c>
      <c r="C8986" s="7" t="s">
        <v>1184</v>
      </c>
      <c r="D8986" s="7" t="n">
        <v>0</v>
      </c>
      <c r="E8986" s="7" t="n">
        <v>0</v>
      </c>
      <c r="F8986" s="7" t="n">
        <v>30</v>
      </c>
      <c r="G8986" s="7" t="n">
        <v>914.3</v>
      </c>
    </row>
    <row r="8987" customFormat="false" ht="15" hidden="false" customHeight="false" outlineLevel="0" collapsed="false">
      <c r="A8987" s="7" t="s">
        <v>27</v>
      </c>
      <c r="B8987" s="7" t="s">
        <v>96</v>
      </c>
      <c r="C8987" s="7" t="s">
        <v>1184</v>
      </c>
      <c r="D8987" s="7" t="n">
        <v>0</v>
      </c>
      <c r="E8987" s="7" t="n">
        <v>0</v>
      </c>
      <c r="F8987" s="7" t="n">
        <v>10</v>
      </c>
      <c r="G8987" s="7" t="n">
        <v>293.84</v>
      </c>
    </row>
    <row r="8988" customFormat="false" ht="15" hidden="false" customHeight="false" outlineLevel="0" collapsed="false">
      <c r="A8988" s="7" t="s">
        <v>27</v>
      </c>
      <c r="B8988" s="7" t="s">
        <v>96</v>
      </c>
      <c r="C8988" s="7" t="s">
        <v>1184</v>
      </c>
      <c r="D8988" s="7" t="n">
        <v>0</v>
      </c>
      <c r="E8988" s="7" t="n">
        <v>0</v>
      </c>
      <c r="F8988" s="7" t="n">
        <v>40</v>
      </c>
      <c r="G8988" s="7" t="n">
        <v>1129.35</v>
      </c>
    </row>
    <row r="8989" customFormat="false" ht="15" hidden="false" customHeight="false" outlineLevel="0" collapsed="false">
      <c r="A8989" s="7" t="s">
        <v>27</v>
      </c>
      <c r="B8989" s="7" t="s">
        <v>96</v>
      </c>
      <c r="C8989" s="7" t="s">
        <v>1184</v>
      </c>
      <c r="D8989" s="7" t="n">
        <v>40</v>
      </c>
      <c r="E8989" s="7" t="n">
        <v>1370.93</v>
      </c>
      <c r="F8989" s="7" t="n">
        <v>0</v>
      </c>
      <c r="G8989" s="7" t="n">
        <v>0</v>
      </c>
    </row>
    <row r="8990" customFormat="false" ht="15" hidden="false" customHeight="false" outlineLevel="0" collapsed="false">
      <c r="A8990" s="7" t="s">
        <v>27</v>
      </c>
      <c r="B8990" s="7" t="s">
        <v>96</v>
      </c>
      <c r="C8990" s="7" t="s">
        <v>1184</v>
      </c>
      <c r="D8990" s="7" t="n">
        <v>20</v>
      </c>
      <c r="E8990" s="7" t="n">
        <v>627.47</v>
      </c>
      <c r="F8990" s="7" t="n">
        <v>0</v>
      </c>
      <c r="G8990" s="7" t="n">
        <v>0</v>
      </c>
    </row>
    <row r="8991" customFormat="false" ht="15" hidden="false" customHeight="false" outlineLevel="0" collapsed="false">
      <c r="A8991" s="7" t="s">
        <v>27</v>
      </c>
      <c r="B8991" s="7" t="s">
        <v>213</v>
      </c>
      <c r="C8991" s="7" t="s">
        <v>1184</v>
      </c>
      <c r="D8991" s="7" t="n">
        <v>40</v>
      </c>
      <c r="E8991" s="7" t="n">
        <v>1317.26</v>
      </c>
      <c r="F8991" s="7" t="n">
        <v>0</v>
      </c>
      <c r="G8991" s="7" t="n">
        <v>0</v>
      </c>
    </row>
    <row r="8992" customFormat="false" ht="15" hidden="false" customHeight="false" outlineLevel="0" collapsed="false">
      <c r="A8992" s="7" t="s">
        <v>27</v>
      </c>
      <c r="B8992" s="7" t="s">
        <v>213</v>
      </c>
      <c r="C8992" s="7" t="s">
        <v>1184</v>
      </c>
      <c r="D8992" s="7" t="n">
        <v>20</v>
      </c>
      <c r="E8992" s="7" t="n">
        <v>685.46</v>
      </c>
      <c r="F8992" s="7" t="n">
        <v>0</v>
      </c>
      <c r="G8992" s="7" t="n">
        <v>0</v>
      </c>
    </row>
    <row r="8993" customFormat="false" ht="15" hidden="false" customHeight="false" outlineLevel="0" collapsed="false">
      <c r="A8993" s="7" t="s">
        <v>27</v>
      </c>
      <c r="B8993" s="7" t="s">
        <v>213</v>
      </c>
      <c r="C8993" s="7" t="s">
        <v>1184</v>
      </c>
      <c r="D8993" s="7" t="n">
        <v>20</v>
      </c>
      <c r="E8993" s="7" t="n">
        <v>638.49</v>
      </c>
      <c r="F8993" s="7" t="n">
        <v>0</v>
      </c>
      <c r="G8993" s="7" t="n">
        <v>0</v>
      </c>
    </row>
    <row r="8994" customFormat="false" ht="15" hidden="false" customHeight="false" outlineLevel="0" collapsed="false">
      <c r="A8994" s="7" t="s">
        <v>27</v>
      </c>
      <c r="B8994" s="7" t="s">
        <v>213</v>
      </c>
      <c r="C8994" s="7" t="s">
        <v>1184</v>
      </c>
      <c r="D8994" s="7" t="n">
        <v>0</v>
      </c>
      <c r="E8994" s="7" t="n">
        <v>0</v>
      </c>
      <c r="F8994" s="7" t="n">
        <v>10</v>
      </c>
      <c r="G8994" s="7" t="n">
        <v>293.84</v>
      </c>
    </row>
    <row r="8995" customFormat="false" ht="15" hidden="false" customHeight="false" outlineLevel="0" collapsed="false">
      <c r="A8995" s="7" t="s">
        <v>27</v>
      </c>
      <c r="B8995" s="7" t="s">
        <v>213</v>
      </c>
      <c r="C8995" s="7" t="s">
        <v>1184</v>
      </c>
      <c r="D8995" s="7" t="n">
        <v>60</v>
      </c>
      <c r="E8995" s="7" t="n">
        <v>1878.8</v>
      </c>
      <c r="F8995" s="7" t="n">
        <v>0</v>
      </c>
      <c r="G8995" s="7" t="n">
        <v>0</v>
      </c>
    </row>
    <row r="8996" customFormat="false" ht="15" hidden="false" customHeight="false" outlineLevel="0" collapsed="false">
      <c r="A8996" s="7" t="s">
        <v>27</v>
      </c>
      <c r="B8996" s="7" t="s">
        <v>213</v>
      </c>
      <c r="C8996" s="7" t="s">
        <v>1184</v>
      </c>
      <c r="D8996" s="7" t="n">
        <v>20</v>
      </c>
      <c r="E8996" s="7" t="n">
        <v>627.47</v>
      </c>
      <c r="F8996" s="7" t="n">
        <v>0</v>
      </c>
      <c r="G8996" s="7" t="n">
        <v>0</v>
      </c>
    </row>
    <row r="8997" customFormat="false" ht="15" hidden="false" customHeight="false" outlineLevel="0" collapsed="false">
      <c r="A8997" s="7" t="s">
        <v>27</v>
      </c>
      <c r="B8997" s="7" t="s">
        <v>213</v>
      </c>
      <c r="C8997" s="7" t="s">
        <v>1184</v>
      </c>
      <c r="D8997" s="7" t="n">
        <v>0</v>
      </c>
      <c r="E8997" s="7" t="n">
        <v>0</v>
      </c>
      <c r="F8997" s="7" t="n">
        <v>30</v>
      </c>
      <c r="G8997" s="7" t="n">
        <v>914.3</v>
      </c>
    </row>
    <row r="8998" customFormat="false" ht="15" hidden="false" customHeight="false" outlineLevel="0" collapsed="false">
      <c r="A8998" s="7" t="s">
        <v>27</v>
      </c>
      <c r="B8998" s="7" t="s">
        <v>213</v>
      </c>
      <c r="C8998" s="7" t="s">
        <v>1184</v>
      </c>
      <c r="D8998" s="7" t="n">
        <v>0</v>
      </c>
      <c r="E8998" s="7" t="n">
        <v>0</v>
      </c>
      <c r="F8998" s="7" t="n">
        <v>50</v>
      </c>
      <c r="G8998" s="7" t="n">
        <v>1411.69</v>
      </c>
    </row>
    <row r="8999" customFormat="false" ht="15" hidden="false" customHeight="false" outlineLevel="0" collapsed="false">
      <c r="A8999" s="7" t="s">
        <v>27</v>
      </c>
      <c r="B8999" s="7" t="s">
        <v>746</v>
      </c>
      <c r="C8999" s="7" t="s">
        <v>1186</v>
      </c>
      <c r="D8999" s="7" t="n">
        <v>0</v>
      </c>
      <c r="E8999" s="7" t="n">
        <v>0</v>
      </c>
      <c r="F8999" s="7" t="n">
        <v>30</v>
      </c>
      <c r="G8999" s="7" t="n">
        <v>1636.98</v>
      </c>
    </row>
    <row r="9000" customFormat="false" ht="15" hidden="false" customHeight="false" outlineLevel="0" collapsed="false">
      <c r="A9000" s="7" t="s">
        <v>27</v>
      </c>
      <c r="B9000" s="7" t="s">
        <v>746</v>
      </c>
      <c r="C9000" s="7" t="s">
        <v>1186</v>
      </c>
      <c r="D9000" s="7" t="n">
        <v>40</v>
      </c>
      <c r="E9000" s="7" t="n">
        <v>2358.45</v>
      </c>
      <c r="F9000" s="7" t="n">
        <v>0</v>
      </c>
      <c r="G9000" s="7" t="n">
        <v>0</v>
      </c>
    </row>
    <row r="9001" customFormat="false" ht="15" hidden="false" customHeight="false" outlineLevel="0" collapsed="false">
      <c r="A9001" s="7" t="s">
        <v>27</v>
      </c>
      <c r="B9001" s="7" t="s">
        <v>746</v>
      </c>
      <c r="C9001" s="7" t="s">
        <v>1186</v>
      </c>
      <c r="D9001" s="7" t="n">
        <v>70</v>
      </c>
      <c r="E9001" s="7" t="n">
        <v>4295.47</v>
      </c>
      <c r="F9001" s="7" t="n">
        <v>0</v>
      </c>
      <c r="G9001" s="7" t="n">
        <v>0</v>
      </c>
    </row>
    <row r="9002" customFormat="false" ht="15" hidden="false" customHeight="false" outlineLevel="0" collapsed="false">
      <c r="A9002" s="7" t="s">
        <v>27</v>
      </c>
      <c r="B9002" s="7" t="s">
        <v>746</v>
      </c>
      <c r="C9002" s="7" t="s">
        <v>1186</v>
      </c>
      <c r="D9002" s="7" t="n">
        <v>30</v>
      </c>
      <c r="E9002" s="7" t="n">
        <v>1685.15</v>
      </c>
      <c r="F9002" s="7" t="n">
        <v>0</v>
      </c>
      <c r="G9002" s="7" t="n">
        <v>0</v>
      </c>
    </row>
    <row r="9003" customFormat="false" ht="15" hidden="false" customHeight="false" outlineLevel="0" collapsed="false">
      <c r="A9003" s="7" t="s">
        <v>27</v>
      </c>
      <c r="B9003" s="7" t="s">
        <v>746</v>
      </c>
      <c r="C9003" s="7" t="s">
        <v>1186</v>
      </c>
      <c r="D9003" s="7" t="n">
        <v>50</v>
      </c>
      <c r="E9003" s="7" t="n">
        <v>2803.2</v>
      </c>
      <c r="F9003" s="7" t="n">
        <v>0</v>
      </c>
      <c r="G9003" s="7" t="n">
        <v>0</v>
      </c>
    </row>
    <row r="9004" customFormat="false" ht="15" hidden="false" customHeight="false" outlineLevel="0" collapsed="false">
      <c r="A9004" s="7" t="s">
        <v>27</v>
      </c>
      <c r="B9004" s="7" t="s">
        <v>746</v>
      </c>
      <c r="C9004" s="7" t="s">
        <v>1186</v>
      </c>
      <c r="D9004" s="7" t="n">
        <v>50</v>
      </c>
      <c r="E9004" s="7" t="n">
        <v>2857.92</v>
      </c>
      <c r="F9004" s="7" t="n">
        <v>0</v>
      </c>
      <c r="G9004" s="7" t="n">
        <v>0</v>
      </c>
    </row>
    <row r="9005" customFormat="false" ht="15" hidden="false" customHeight="false" outlineLevel="0" collapsed="false">
      <c r="A9005" s="7" t="s">
        <v>27</v>
      </c>
      <c r="B9005" s="7" t="s">
        <v>746</v>
      </c>
      <c r="C9005" s="7" t="s">
        <v>1186</v>
      </c>
      <c r="D9005" s="7" t="n">
        <v>0</v>
      </c>
      <c r="E9005" s="7" t="n">
        <v>0</v>
      </c>
      <c r="F9005" s="7" t="n">
        <v>40</v>
      </c>
      <c r="G9005" s="7" t="n">
        <v>2104.36</v>
      </c>
    </row>
    <row r="9006" customFormat="false" ht="15" hidden="false" customHeight="false" outlineLevel="0" collapsed="false">
      <c r="A9006" s="7" t="s">
        <v>27</v>
      </c>
      <c r="B9006" s="7" t="s">
        <v>746</v>
      </c>
      <c r="C9006" s="7" t="s">
        <v>1186</v>
      </c>
      <c r="D9006" s="7" t="n">
        <v>0</v>
      </c>
      <c r="E9006" s="7" t="n">
        <v>0</v>
      </c>
      <c r="F9006" s="7" t="n">
        <v>70</v>
      </c>
      <c r="G9006" s="7" t="n">
        <v>3538.53</v>
      </c>
    </row>
    <row r="9007" customFormat="false" ht="15" hidden="false" customHeight="false" outlineLevel="0" collapsed="false">
      <c r="A9007" s="7" t="s">
        <v>27</v>
      </c>
      <c r="B9007" s="7" t="s">
        <v>554</v>
      </c>
      <c r="C9007" s="7" t="s">
        <v>1131</v>
      </c>
      <c r="D9007" s="7" t="n">
        <v>60</v>
      </c>
      <c r="E9007" s="7" t="n">
        <v>1656.97</v>
      </c>
      <c r="F9007" s="7" t="n">
        <v>0</v>
      </c>
      <c r="G9007" s="7" t="n">
        <v>0</v>
      </c>
    </row>
    <row r="9008" customFormat="false" ht="15" hidden="false" customHeight="false" outlineLevel="0" collapsed="false">
      <c r="A9008" s="7" t="s">
        <v>27</v>
      </c>
      <c r="B9008" s="7" t="s">
        <v>554</v>
      </c>
      <c r="C9008" s="7" t="s">
        <v>1131</v>
      </c>
      <c r="D9008" s="7" t="n">
        <v>100</v>
      </c>
      <c r="E9008" s="7" t="n">
        <v>2898.77</v>
      </c>
      <c r="F9008" s="7" t="n">
        <v>0</v>
      </c>
      <c r="G9008" s="7" t="n">
        <v>0</v>
      </c>
    </row>
    <row r="9009" customFormat="false" ht="15" hidden="false" customHeight="false" outlineLevel="0" collapsed="false">
      <c r="A9009" s="7" t="s">
        <v>27</v>
      </c>
      <c r="B9009" s="7" t="s">
        <v>554</v>
      </c>
      <c r="C9009" s="7" t="s">
        <v>1131</v>
      </c>
      <c r="D9009" s="7" t="n">
        <v>0</v>
      </c>
      <c r="E9009" s="7" t="n">
        <v>0</v>
      </c>
      <c r="F9009" s="7" t="n">
        <v>120</v>
      </c>
      <c r="G9009" s="7" t="n">
        <v>2982.31</v>
      </c>
    </row>
    <row r="9010" customFormat="false" ht="15" hidden="false" customHeight="false" outlineLevel="0" collapsed="false">
      <c r="A9010" s="7" t="s">
        <v>27</v>
      </c>
      <c r="B9010" s="7" t="s">
        <v>554</v>
      </c>
      <c r="C9010" s="7" t="s">
        <v>1131</v>
      </c>
      <c r="D9010" s="7" t="n">
        <v>120</v>
      </c>
      <c r="E9010" s="7" t="n">
        <v>3307.59</v>
      </c>
      <c r="F9010" s="7" t="n">
        <v>0</v>
      </c>
      <c r="G9010" s="7" t="n">
        <v>0</v>
      </c>
    </row>
    <row r="9011" customFormat="false" ht="15" hidden="false" customHeight="false" outlineLevel="0" collapsed="false">
      <c r="A9011" s="7" t="s">
        <v>27</v>
      </c>
      <c r="B9011" s="7" t="s">
        <v>554</v>
      </c>
      <c r="C9011" s="7" t="s">
        <v>1131</v>
      </c>
      <c r="D9011" s="7" t="n">
        <v>70</v>
      </c>
      <c r="E9011" s="7" t="n">
        <v>2111.82</v>
      </c>
      <c r="F9011" s="7" t="n">
        <v>0</v>
      </c>
      <c r="G9011" s="7" t="n">
        <v>0</v>
      </c>
    </row>
    <row r="9012" customFormat="false" ht="15" hidden="false" customHeight="false" outlineLevel="0" collapsed="false">
      <c r="A9012" s="7" t="s">
        <v>27</v>
      </c>
      <c r="B9012" s="7" t="s">
        <v>554</v>
      </c>
      <c r="C9012" s="7" t="s">
        <v>1131</v>
      </c>
      <c r="D9012" s="7" t="n">
        <v>70</v>
      </c>
      <c r="E9012" s="7" t="n">
        <v>1967.09</v>
      </c>
      <c r="F9012" s="7" t="n">
        <v>0</v>
      </c>
      <c r="G9012" s="7" t="n">
        <v>0</v>
      </c>
    </row>
    <row r="9013" customFormat="false" ht="15" hidden="false" customHeight="false" outlineLevel="0" collapsed="false">
      <c r="A9013" s="7" t="s">
        <v>27</v>
      </c>
      <c r="B9013" s="7" t="s">
        <v>554</v>
      </c>
      <c r="C9013" s="7" t="s">
        <v>1131</v>
      </c>
      <c r="D9013" s="7" t="n">
        <v>0</v>
      </c>
      <c r="E9013" s="7" t="n">
        <v>0</v>
      </c>
      <c r="F9013" s="7" t="n">
        <v>60</v>
      </c>
      <c r="G9013" s="7" t="n">
        <v>1609.61</v>
      </c>
    </row>
    <row r="9014" customFormat="false" ht="15" hidden="false" customHeight="false" outlineLevel="0" collapsed="false">
      <c r="A9014" s="7" t="s">
        <v>27</v>
      </c>
      <c r="B9014" s="7" t="s">
        <v>554</v>
      </c>
      <c r="C9014" s="7" t="s">
        <v>1131</v>
      </c>
      <c r="D9014" s="7" t="n">
        <v>0</v>
      </c>
      <c r="E9014" s="7" t="n">
        <v>0</v>
      </c>
      <c r="F9014" s="7" t="n">
        <v>80</v>
      </c>
      <c r="G9014" s="7" t="n">
        <v>2069.17</v>
      </c>
    </row>
    <row r="9015" customFormat="false" ht="15" hidden="false" customHeight="false" outlineLevel="0" collapsed="false">
      <c r="A9015" s="7" t="s">
        <v>27</v>
      </c>
      <c r="B9015" s="7" t="s">
        <v>324</v>
      </c>
      <c r="C9015" s="7" t="s">
        <v>1165</v>
      </c>
      <c r="D9015" s="7" t="n">
        <v>10</v>
      </c>
      <c r="E9015" s="7" t="n">
        <v>371.26</v>
      </c>
      <c r="F9015" s="7" t="n">
        <v>0</v>
      </c>
      <c r="G9015" s="7" t="n">
        <v>0</v>
      </c>
    </row>
    <row r="9016" customFormat="false" ht="15" hidden="false" customHeight="false" outlineLevel="0" collapsed="false">
      <c r="A9016" s="7" t="s">
        <v>27</v>
      </c>
      <c r="B9016" s="7" t="s">
        <v>324</v>
      </c>
      <c r="C9016" s="7" t="s">
        <v>1165</v>
      </c>
      <c r="D9016" s="7" t="n">
        <v>20</v>
      </c>
      <c r="E9016" s="7" t="n">
        <v>780.89</v>
      </c>
      <c r="F9016" s="7" t="n">
        <v>0</v>
      </c>
      <c r="G9016" s="7" t="n">
        <v>0</v>
      </c>
    </row>
    <row r="9017" customFormat="false" ht="15" hidden="false" customHeight="false" outlineLevel="0" collapsed="false">
      <c r="A9017" s="7" t="s">
        <v>27</v>
      </c>
      <c r="B9017" s="7" t="s">
        <v>324</v>
      </c>
      <c r="C9017" s="7" t="s">
        <v>1165</v>
      </c>
      <c r="D9017" s="7" t="n">
        <v>100</v>
      </c>
      <c r="E9017" s="7" t="n">
        <v>3719.73</v>
      </c>
      <c r="F9017" s="7" t="n">
        <v>0</v>
      </c>
      <c r="G9017" s="7" t="n">
        <v>0</v>
      </c>
    </row>
    <row r="9018" customFormat="false" ht="15" hidden="false" customHeight="false" outlineLevel="0" collapsed="false">
      <c r="A9018" s="7" t="s">
        <v>27</v>
      </c>
      <c r="B9018" s="7" t="s">
        <v>527</v>
      </c>
      <c r="C9018" s="7" t="s">
        <v>1165</v>
      </c>
      <c r="D9018" s="7" t="n">
        <v>0</v>
      </c>
      <c r="E9018" s="7" t="n">
        <v>0</v>
      </c>
      <c r="F9018" s="7" t="n">
        <v>30</v>
      </c>
      <c r="G9018" s="7" t="n">
        <v>1045.14</v>
      </c>
    </row>
    <row r="9019" customFormat="false" ht="15" hidden="false" customHeight="false" outlineLevel="0" collapsed="false">
      <c r="A9019" s="7" t="s">
        <v>27</v>
      </c>
      <c r="B9019" s="7" t="s">
        <v>527</v>
      </c>
      <c r="C9019" s="7" t="s">
        <v>1165</v>
      </c>
      <c r="D9019" s="7" t="n">
        <v>0</v>
      </c>
      <c r="E9019" s="7" t="n">
        <v>0</v>
      </c>
      <c r="F9019" s="7" t="n">
        <v>10</v>
      </c>
      <c r="G9019" s="7" t="n">
        <v>334.75</v>
      </c>
    </row>
    <row r="9020" customFormat="false" ht="15" hidden="false" customHeight="false" outlineLevel="0" collapsed="false">
      <c r="A9020" s="7" t="s">
        <v>27</v>
      </c>
      <c r="B9020" s="7" t="s">
        <v>527</v>
      </c>
      <c r="C9020" s="7" t="s">
        <v>1165</v>
      </c>
      <c r="D9020" s="7" t="n">
        <v>20</v>
      </c>
      <c r="E9020" s="7" t="n">
        <v>812.71</v>
      </c>
      <c r="F9020" s="7" t="n">
        <v>0</v>
      </c>
      <c r="G9020" s="7" t="n">
        <v>0</v>
      </c>
    </row>
    <row r="9021" customFormat="false" ht="15" hidden="false" customHeight="false" outlineLevel="0" collapsed="false">
      <c r="A9021" s="7" t="s">
        <v>27</v>
      </c>
      <c r="B9021" s="7" t="s">
        <v>527</v>
      </c>
      <c r="C9021" s="7" t="s">
        <v>1165</v>
      </c>
      <c r="D9021" s="7" t="n">
        <v>50</v>
      </c>
      <c r="E9021" s="7" t="n">
        <v>1952.23</v>
      </c>
      <c r="F9021" s="7" t="n">
        <v>0</v>
      </c>
      <c r="G9021" s="7" t="n">
        <v>0</v>
      </c>
    </row>
    <row r="9022" customFormat="false" ht="15" hidden="false" customHeight="false" outlineLevel="0" collapsed="false">
      <c r="A9022" s="7" t="s">
        <v>27</v>
      </c>
      <c r="B9022" s="7" t="s">
        <v>527</v>
      </c>
      <c r="C9022" s="7" t="s">
        <v>1165</v>
      </c>
      <c r="D9022" s="7" t="n">
        <v>30</v>
      </c>
      <c r="E9022" s="7" t="n">
        <v>1113.78</v>
      </c>
      <c r="F9022" s="7" t="n">
        <v>0</v>
      </c>
      <c r="G9022" s="7" t="n">
        <v>0</v>
      </c>
    </row>
    <row r="9023" customFormat="false" ht="15" hidden="false" customHeight="false" outlineLevel="0" collapsed="false">
      <c r="A9023" s="7" t="s">
        <v>35</v>
      </c>
      <c r="B9023" s="7" t="s">
        <v>160</v>
      </c>
      <c r="C9023" s="7" t="s">
        <v>1034</v>
      </c>
      <c r="D9023" s="7" t="n">
        <v>6</v>
      </c>
      <c r="E9023" s="7" t="n">
        <v>278.12</v>
      </c>
      <c r="F9023" s="7" t="n">
        <v>0</v>
      </c>
      <c r="G9023" s="7" t="n">
        <v>0</v>
      </c>
    </row>
    <row r="9024" customFormat="false" ht="15" hidden="false" customHeight="false" outlineLevel="0" collapsed="false">
      <c r="A9024" s="7" t="s">
        <v>35</v>
      </c>
      <c r="B9024" s="7" t="s">
        <v>160</v>
      </c>
      <c r="C9024" s="7" t="s">
        <v>1034</v>
      </c>
      <c r="D9024" s="7" t="n">
        <v>6</v>
      </c>
      <c r="E9024" s="7" t="n">
        <v>271.26</v>
      </c>
      <c r="F9024" s="7" t="n">
        <v>0</v>
      </c>
      <c r="G9024" s="7" t="n">
        <v>0</v>
      </c>
    </row>
    <row r="9025" customFormat="false" ht="15" hidden="false" customHeight="false" outlineLevel="0" collapsed="false">
      <c r="A9025" s="7" t="s">
        <v>35</v>
      </c>
      <c r="B9025" s="7" t="s">
        <v>763</v>
      </c>
      <c r="C9025" s="7" t="s">
        <v>1034</v>
      </c>
      <c r="D9025" s="7" t="n">
        <v>3</v>
      </c>
      <c r="E9025" s="7" t="n">
        <v>139.06</v>
      </c>
      <c r="F9025" s="7" t="n">
        <v>0</v>
      </c>
      <c r="G9025" s="7" t="n">
        <v>0</v>
      </c>
    </row>
    <row r="9026" customFormat="false" ht="15" hidden="false" customHeight="false" outlineLevel="0" collapsed="false">
      <c r="A9026" s="7" t="s">
        <v>35</v>
      </c>
      <c r="B9026" s="7" t="s">
        <v>763</v>
      </c>
      <c r="C9026" s="7" t="s">
        <v>1034</v>
      </c>
      <c r="D9026" s="7" t="n">
        <v>3</v>
      </c>
      <c r="E9026" s="7" t="n">
        <v>135.63</v>
      </c>
      <c r="F9026" s="7" t="n">
        <v>0</v>
      </c>
      <c r="G9026" s="7" t="n">
        <v>0</v>
      </c>
    </row>
    <row r="9027" customFormat="false" ht="15" hidden="false" customHeight="false" outlineLevel="0" collapsed="false">
      <c r="A9027" s="7" t="s">
        <v>35</v>
      </c>
      <c r="B9027" s="7" t="s">
        <v>297</v>
      </c>
      <c r="C9027" s="7" t="s">
        <v>1034</v>
      </c>
      <c r="D9027" s="7" t="n">
        <v>10</v>
      </c>
      <c r="E9027" s="7" t="n">
        <v>463.53</v>
      </c>
      <c r="F9027" s="7" t="n">
        <v>0</v>
      </c>
      <c r="G9027" s="7" t="n">
        <v>0</v>
      </c>
    </row>
    <row r="9028" customFormat="false" ht="15" hidden="false" customHeight="false" outlineLevel="0" collapsed="false">
      <c r="A9028" s="7" t="s">
        <v>35</v>
      </c>
      <c r="B9028" s="7" t="s">
        <v>327</v>
      </c>
      <c r="C9028" s="7" t="s">
        <v>1034</v>
      </c>
      <c r="D9028" s="7" t="n">
        <v>6</v>
      </c>
      <c r="E9028" s="7" t="n">
        <v>278.12</v>
      </c>
      <c r="F9028" s="7" t="n">
        <v>0</v>
      </c>
      <c r="G9028" s="7" t="n">
        <v>0</v>
      </c>
    </row>
    <row r="9029" customFormat="false" ht="15" hidden="false" customHeight="false" outlineLevel="0" collapsed="false">
      <c r="A9029" s="7" t="s">
        <v>35</v>
      </c>
      <c r="B9029" s="7" t="s">
        <v>212</v>
      </c>
      <c r="C9029" s="7" t="s">
        <v>1035</v>
      </c>
      <c r="D9029" s="7" t="n">
        <v>0</v>
      </c>
      <c r="E9029" s="7" t="n">
        <v>0</v>
      </c>
      <c r="F9029" s="7" t="n">
        <v>3</v>
      </c>
      <c r="G9029" s="7" t="n">
        <v>155.04</v>
      </c>
    </row>
    <row r="9030" customFormat="false" ht="15" hidden="false" customHeight="false" outlineLevel="0" collapsed="false">
      <c r="A9030" s="7" t="s">
        <v>35</v>
      </c>
      <c r="B9030" s="7" t="s">
        <v>390</v>
      </c>
      <c r="C9030" s="7" t="s">
        <v>1035</v>
      </c>
      <c r="D9030" s="7" t="n">
        <v>6</v>
      </c>
      <c r="E9030" s="7" t="n">
        <v>352.91</v>
      </c>
      <c r="F9030" s="7" t="n">
        <v>0</v>
      </c>
      <c r="G9030" s="7" t="n">
        <v>0</v>
      </c>
    </row>
    <row r="9031" customFormat="false" ht="15" hidden="false" customHeight="false" outlineLevel="0" collapsed="false">
      <c r="A9031" s="7" t="s">
        <v>35</v>
      </c>
      <c r="B9031" s="7" t="s">
        <v>214</v>
      </c>
      <c r="C9031" s="7" t="s">
        <v>1035</v>
      </c>
      <c r="D9031" s="7" t="n">
        <v>3</v>
      </c>
      <c r="E9031" s="7" t="n">
        <v>172.1</v>
      </c>
      <c r="F9031" s="7" t="n">
        <v>0</v>
      </c>
      <c r="G9031" s="7" t="n">
        <v>0</v>
      </c>
    </row>
    <row r="9032" customFormat="false" ht="15" hidden="false" customHeight="false" outlineLevel="0" collapsed="false">
      <c r="A9032" s="7" t="s">
        <v>35</v>
      </c>
      <c r="B9032" s="7" t="s">
        <v>206</v>
      </c>
      <c r="C9032" s="7" t="s">
        <v>1136</v>
      </c>
      <c r="D9032" s="7" t="n">
        <v>0</v>
      </c>
      <c r="E9032" s="7" t="n">
        <v>0</v>
      </c>
      <c r="F9032" s="7" t="n">
        <v>6</v>
      </c>
      <c r="G9032" s="7" t="n">
        <v>731.9</v>
      </c>
    </row>
    <row r="9033" customFormat="false" ht="15" hidden="false" customHeight="false" outlineLevel="0" collapsed="false">
      <c r="A9033" s="7" t="s">
        <v>35</v>
      </c>
      <c r="B9033" s="7" t="s">
        <v>206</v>
      </c>
      <c r="C9033" s="7" t="s">
        <v>1136</v>
      </c>
      <c r="D9033" s="7" t="n">
        <v>10</v>
      </c>
      <c r="E9033" s="7" t="n">
        <v>1293.21</v>
      </c>
      <c r="F9033" s="7" t="n">
        <v>0</v>
      </c>
      <c r="G9033" s="7" t="n">
        <v>0</v>
      </c>
    </row>
    <row r="9034" customFormat="false" ht="15" hidden="false" customHeight="false" outlineLevel="0" collapsed="false">
      <c r="A9034" s="7" t="s">
        <v>35</v>
      </c>
      <c r="B9034" s="7" t="s">
        <v>466</v>
      </c>
      <c r="C9034" s="7" t="s">
        <v>1136</v>
      </c>
      <c r="D9034" s="7" t="n">
        <v>3</v>
      </c>
      <c r="E9034" s="7" t="n">
        <v>387.96</v>
      </c>
      <c r="F9034" s="7" t="n">
        <v>0</v>
      </c>
      <c r="G9034" s="7" t="n">
        <v>0</v>
      </c>
    </row>
    <row r="9035" customFormat="false" ht="15" hidden="false" customHeight="false" outlineLevel="0" collapsed="false">
      <c r="A9035" s="7" t="s">
        <v>35</v>
      </c>
      <c r="B9035" s="7" t="s">
        <v>466</v>
      </c>
      <c r="C9035" s="7" t="s">
        <v>1136</v>
      </c>
      <c r="D9035" s="7" t="n">
        <v>0</v>
      </c>
      <c r="E9035" s="7" t="n">
        <v>0</v>
      </c>
      <c r="F9035" s="7" t="n">
        <v>3</v>
      </c>
      <c r="G9035" s="7" t="n">
        <v>365.95</v>
      </c>
    </row>
    <row r="9036" customFormat="false" ht="15" hidden="false" customHeight="false" outlineLevel="0" collapsed="false">
      <c r="A9036" s="7" t="s">
        <v>35</v>
      </c>
      <c r="B9036" s="7" t="s">
        <v>428</v>
      </c>
      <c r="C9036" s="7" t="s">
        <v>1136</v>
      </c>
      <c r="D9036" s="7" t="n">
        <v>0</v>
      </c>
      <c r="E9036" s="7" t="n">
        <v>0</v>
      </c>
      <c r="F9036" s="7" t="n">
        <v>3</v>
      </c>
      <c r="G9036" s="7" t="n">
        <v>365.95</v>
      </c>
    </row>
    <row r="9037" customFormat="false" ht="15" hidden="false" customHeight="false" outlineLevel="0" collapsed="false">
      <c r="A9037" s="7" t="s">
        <v>35</v>
      </c>
      <c r="B9037" s="7" t="s">
        <v>428</v>
      </c>
      <c r="C9037" s="7" t="s">
        <v>1136</v>
      </c>
      <c r="D9037" s="7" t="n">
        <v>2</v>
      </c>
      <c r="E9037" s="7" t="n">
        <v>258.64</v>
      </c>
      <c r="F9037" s="7" t="n">
        <v>0</v>
      </c>
      <c r="G9037" s="7" t="n">
        <v>0</v>
      </c>
    </row>
    <row r="9038" customFormat="false" ht="15" hidden="false" customHeight="false" outlineLevel="0" collapsed="false">
      <c r="A9038" s="7" t="s">
        <v>35</v>
      </c>
      <c r="B9038" s="7" t="s">
        <v>400</v>
      </c>
      <c r="C9038" s="7" t="s">
        <v>1136</v>
      </c>
      <c r="D9038" s="7" t="n">
        <v>2</v>
      </c>
      <c r="E9038" s="7" t="n">
        <v>277.7</v>
      </c>
      <c r="F9038" s="7" t="n">
        <v>0</v>
      </c>
      <c r="G9038" s="7" t="n">
        <v>0</v>
      </c>
    </row>
    <row r="9039" customFormat="false" ht="15" hidden="false" customHeight="false" outlineLevel="0" collapsed="false">
      <c r="A9039" s="7" t="s">
        <v>35</v>
      </c>
      <c r="B9039" s="7" t="s">
        <v>400</v>
      </c>
      <c r="C9039" s="7" t="s">
        <v>1136</v>
      </c>
      <c r="D9039" s="7" t="n">
        <v>0</v>
      </c>
      <c r="E9039" s="7" t="n">
        <v>0</v>
      </c>
      <c r="F9039" s="7" t="n">
        <v>6</v>
      </c>
      <c r="G9039" s="7" t="n">
        <v>731.9</v>
      </c>
    </row>
    <row r="9040" customFormat="false" ht="15" hidden="false" customHeight="false" outlineLevel="0" collapsed="false">
      <c r="A9040" s="7" t="s">
        <v>35</v>
      </c>
      <c r="B9040" s="7" t="s">
        <v>400</v>
      </c>
      <c r="C9040" s="7" t="s">
        <v>1136</v>
      </c>
      <c r="D9040" s="7" t="n">
        <v>10</v>
      </c>
      <c r="E9040" s="7" t="n">
        <v>1293.21</v>
      </c>
      <c r="F9040" s="7" t="n">
        <v>0</v>
      </c>
      <c r="G9040" s="7" t="n">
        <v>0</v>
      </c>
    </row>
    <row r="9041" customFormat="false" ht="15" hidden="false" customHeight="false" outlineLevel="0" collapsed="false">
      <c r="A9041" s="7" t="s">
        <v>35</v>
      </c>
      <c r="B9041" s="7" t="s">
        <v>513</v>
      </c>
      <c r="C9041" s="7" t="s">
        <v>1136</v>
      </c>
      <c r="D9041" s="7" t="n">
        <v>3</v>
      </c>
      <c r="E9041" s="7" t="n">
        <v>387.96</v>
      </c>
      <c r="F9041" s="7" t="n">
        <v>0</v>
      </c>
      <c r="G9041" s="7" t="n">
        <v>0</v>
      </c>
    </row>
    <row r="9042" customFormat="false" ht="15" hidden="false" customHeight="false" outlineLevel="0" collapsed="false">
      <c r="A9042" s="7" t="s">
        <v>35</v>
      </c>
      <c r="B9042" s="7" t="s">
        <v>425</v>
      </c>
      <c r="C9042" s="7" t="s">
        <v>1191</v>
      </c>
      <c r="D9042" s="7" t="n">
        <v>6</v>
      </c>
      <c r="E9042" s="7" t="n">
        <v>458.08</v>
      </c>
      <c r="F9042" s="7" t="n">
        <v>0</v>
      </c>
      <c r="G9042" s="7" t="n">
        <v>0</v>
      </c>
    </row>
    <row r="9043" customFormat="false" ht="15" hidden="false" customHeight="false" outlineLevel="0" collapsed="false">
      <c r="A9043" s="7" t="s">
        <v>35</v>
      </c>
      <c r="B9043" s="7" t="s">
        <v>425</v>
      </c>
      <c r="C9043" s="7" t="s">
        <v>1191</v>
      </c>
      <c r="D9043" s="7" t="n">
        <v>6</v>
      </c>
      <c r="E9043" s="7" t="n">
        <v>491.83</v>
      </c>
      <c r="F9043" s="7" t="n">
        <v>0</v>
      </c>
      <c r="G9043" s="7" t="n">
        <v>0</v>
      </c>
    </row>
    <row r="9044" customFormat="false" ht="15" hidden="false" customHeight="false" outlineLevel="0" collapsed="false">
      <c r="A9044" s="7" t="s">
        <v>35</v>
      </c>
      <c r="B9044" s="7" t="s">
        <v>626</v>
      </c>
      <c r="C9044" s="7" t="s">
        <v>1036</v>
      </c>
      <c r="D9044" s="7" t="n">
        <v>0</v>
      </c>
      <c r="E9044" s="7" t="n">
        <v>0</v>
      </c>
      <c r="F9044" s="7" t="n">
        <v>6</v>
      </c>
      <c r="G9044" s="7" t="n">
        <v>282.18</v>
      </c>
    </row>
    <row r="9045" customFormat="false" ht="15" hidden="false" customHeight="false" outlineLevel="0" collapsed="false">
      <c r="A9045" s="7" t="s">
        <v>35</v>
      </c>
      <c r="B9045" s="7" t="s">
        <v>626</v>
      </c>
      <c r="C9045" s="7" t="s">
        <v>1036</v>
      </c>
      <c r="D9045" s="7" t="n">
        <v>0</v>
      </c>
      <c r="E9045" s="7" t="n">
        <v>0</v>
      </c>
      <c r="F9045" s="7" t="n">
        <v>6</v>
      </c>
      <c r="G9045" s="7" t="n">
        <v>262.85</v>
      </c>
    </row>
    <row r="9046" customFormat="false" ht="15" hidden="false" customHeight="false" outlineLevel="0" collapsed="false">
      <c r="A9046" s="7" t="s">
        <v>35</v>
      </c>
      <c r="B9046" s="7" t="s">
        <v>626</v>
      </c>
      <c r="C9046" s="7" t="s">
        <v>1036</v>
      </c>
      <c r="D9046" s="7" t="n">
        <v>6</v>
      </c>
      <c r="E9046" s="7" t="n">
        <v>299.15</v>
      </c>
      <c r="F9046" s="7" t="n">
        <v>0</v>
      </c>
      <c r="G9046" s="7" t="n">
        <v>0</v>
      </c>
    </row>
    <row r="9047" customFormat="false" ht="15" hidden="false" customHeight="false" outlineLevel="0" collapsed="false">
      <c r="A9047" s="7" t="s">
        <v>35</v>
      </c>
      <c r="B9047" s="7" t="s">
        <v>325</v>
      </c>
      <c r="C9047" s="7" t="s">
        <v>1036</v>
      </c>
      <c r="D9047" s="7" t="n">
        <v>0</v>
      </c>
      <c r="E9047" s="7" t="n">
        <v>0</v>
      </c>
      <c r="F9047" s="7" t="n">
        <v>6</v>
      </c>
      <c r="G9047" s="7" t="n">
        <v>282.18</v>
      </c>
    </row>
    <row r="9048" customFormat="false" ht="15" hidden="false" customHeight="false" outlineLevel="0" collapsed="false">
      <c r="A9048" s="7" t="s">
        <v>35</v>
      </c>
      <c r="B9048" s="7" t="s">
        <v>576</v>
      </c>
      <c r="C9048" s="7" t="s">
        <v>1036</v>
      </c>
      <c r="D9048" s="7" t="n">
        <v>0</v>
      </c>
      <c r="E9048" s="7" t="n">
        <v>0</v>
      </c>
      <c r="F9048" s="7" t="n">
        <v>6</v>
      </c>
      <c r="G9048" s="7" t="n">
        <v>282.18</v>
      </c>
    </row>
    <row r="9049" customFormat="false" ht="15" hidden="false" customHeight="false" outlineLevel="0" collapsed="false">
      <c r="A9049" s="7" t="s">
        <v>35</v>
      </c>
      <c r="B9049" s="7" t="s">
        <v>797</v>
      </c>
      <c r="C9049" s="7" t="s">
        <v>1036</v>
      </c>
      <c r="D9049" s="7" t="n">
        <v>0</v>
      </c>
      <c r="E9049" s="7" t="n">
        <v>0</v>
      </c>
      <c r="F9049" s="7" t="n">
        <v>6</v>
      </c>
      <c r="G9049" s="7" t="n">
        <v>282.18</v>
      </c>
    </row>
    <row r="9050" customFormat="false" ht="15" hidden="false" customHeight="false" outlineLevel="0" collapsed="false">
      <c r="A9050" s="7" t="s">
        <v>35</v>
      </c>
      <c r="B9050" s="7" t="s">
        <v>724</v>
      </c>
      <c r="C9050" s="7" t="s">
        <v>1036</v>
      </c>
      <c r="D9050" s="7" t="n">
        <v>0</v>
      </c>
      <c r="E9050" s="7" t="n">
        <v>0</v>
      </c>
      <c r="F9050" s="7" t="n">
        <v>3</v>
      </c>
      <c r="G9050" s="7" t="n">
        <v>131.42</v>
      </c>
    </row>
    <row r="9051" customFormat="false" ht="15" hidden="false" customHeight="false" outlineLevel="0" collapsed="false">
      <c r="A9051" s="7" t="s">
        <v>35</v>
      </c>
      <c r="B9051" s="7" t="s">
        <v>724</v>
      </c>
      <c r="C9051" s="7" t="s">
        <v>1036</v>
      </c>
      <c r="D9051" s="7" t="n">
        <v>6</v>
      </c>
      <c r="E9051" s="7" t="n">
        <v>299.15</v>
      </c>
      <c r="F9051" s="7" t="n">
        <v>0</v>
      </c>
      <c r="G9051" s="7" t="n">
        <v>0</v>
      </c>
    </row>
    <row r="9052" customFormat="false" ht="15" hidden="false" customHeight="false" outlineLevel="0" collapsed="false">
      <c r="A9052" s="7" t="s">
        <v>35</v>
      </c>
      <c r="B9052" s="7" t="s">
        <v>471</v>
      </c>
      <c r="C9052" s="7" t="s">
        <v>1082</v>
      </c>
      <c r="D9052" s="7" t="n">
        <v>0</v>
      </c>
      <c r="E9052" s="7" t="n">
        <v>0</v>
      </c>
      <c r="F9052" s="7" t="n">
        <v>6</v>
      </c>
      <c r="G9052" s="7" t="n">
        <v>273.36</v>
      </c>
    </row>
    <row r="9053" customFormat="false" ht="15" hidden="false" customHeight="false" outlineLevel="0" collapsed="false">
      <c r="A9053" s="7" t="s">
        <v>35</v>
      </c>
      <c r="B9053" s="7" t="s">
        <v>289</v>
      </c>
      <c r="C9053" s="7" t="s">
        <v>1082</v>
      </c>
      <c r="D9053" s="7" t="n">
        <v>3</v>
      </c>
      <c r="E9053" s="7" t="n">
        <v>141.33</v>
      </c>
      <c r="F9053" s="7" t="n">
        <v>0</v>
      </c>
      <c r="G9053" s="7" t="n">
        <v>0</v>
      </c>
    </row>
    <row r="9054" customFormat="false" ht="15" hidden="false" customHeight="false" outlineLevel="0" collapsed="false">
      <c r="A9054" s="7" t="s">
        <v>35</v>
      </c>
      <c r="B9054" s="7" t="s">
        <v>482</v>
      </c>
      <c r="C9054" s="7" t="s">
        <v>1082</v>
      </c>
      <c r="D9054" s="7" t="n">
        <v>6</v>
      </c>
      <c r="E9054" s="7" t="n">
        <v>282.66</v>
      </c>
      <c r="F9054" s="7" t="n">
        <v>0</v>
      </c>
      <c r="G9054" s="7" t="n">
        <v>0</v>
      </c>
    </row>
    <row r="9055" customFormat="false" ht="15" hidden="false" customHeight="false" outlineLevel="0" collapsed="false">
      <c r="A9055" s="7" t="s">
        <v>35</v>
      </c>
      <c r="B9055" s="7" t="s">
        <v>482</v>
      </c>
      <c r="C9055" s="7" t="s">
        <v>1082</v>
      </c>
      <c r="D9055" s="7" t="n">
        <v>0</v>
      </c>
      <c r="E9055" s="7" t="n">
        <v>0</v>
      </c>
      <c r="F9055" s="7" t="n">
        <v>6</v>
      </c>
      <c r="G9055" s="7" t="n">
        <v>273.36</v>
      </c>
    </row>
    <row r="9056" customFormat="false" ht="15" hidden="false" customHeight="false" outlineLevel="0" collapsed="false">
      <c r="A9056" s="7" t="s">
        <v>35</v>
      </c>
      <c r="B9056" s="7" t="s">
        <v>247</v>
      </c>
      <c r="C9056" s="7" t="s">
        <v>1082</v>
      </c>
      <c r="D9056" s="7" t="n">
        <v>0</v>
      </c>
      <c r="E9056" s="7" t="n">
        <v>0</v>
      </c>
      <c r="F9056" s="7" t="n">
        <v>6</v>
      </c>
      <c r="G9056" s="7" t="n">
        <v>273.36</v>
      </c>
    </row>
    <row r="9057" customFormat="false" ht="15" hidden="false" customHeight="false" outlineLevel="0" collapsed="false">
      <c r="A9057" s="7" t="s">
        <v>35</v>
      </c>
      <c r="B9057" s="7" t="s">
        <v>794</v>
      </c>
      <c r="C9057" s="7" t="s">
        <v>1138</v>
      </c>
      <c r="D9057" s="7" t="n">
        <v>3</v>
      </c>
      <c r="E9057" s="7" t="n">
        <v>150.16</v>
      </c>
      <c r="F9057" s="7" t="n">
        <v>0</v>
      </c>
      <c r="G9057" s="7" t="n">
        <v>0</v>
      </c>
    </row>
    <row r="9058" customFormat="false" ht="15" hidden="false" customHeight="false" outlineLevel="0" collapsed="false">
      <c r="A9058" s="7" t="s">
        <v>35</v>
      </c>
      <c r="B9058" s="7" t="s">
        <v>794</v>
      </c>
      <c r="C9058" s="7" t="s">
        <v>1138</v>
      </c>
      <c r="D9058" s="7" t="n">
        <v>0</v>
      </c>
      <c r="E9058" s="7" t="n">
        <v>0</v>
      </c>
      <c r="F9058" s="7" t="n">
        <v>3</v>
      </c>
      <c r="G9058" s="7" t="n">
        <v>131.94</v>
      </c>
    </row>
    <row r="9059" customFormat="false" ht="15" hidden="false" customHeight="false" outlineLevel="0" collapsed="false">
      <c r="A9059" s="7" t="s">
        <v>35</v>
      </c>
      <c r="B9059" s="7" t="s">
        <v>323</v>
      </c>
      <c r="C9059" s="7" t="s">
        <v>1138</v>
      </c>
      <c r="D9059" s="7" t="n">
        <v>3</v>
      </c>
      <c r="E9059" s="7" t="n">
        <v>150.16</v>
      </c>
      <c r="F9059" s="7" t="n">
        <v>0</v>
      </c>
      <c r="G9059" s="7" t="n">
        <v>0</v>
      </c>
    </row>
    <row r="9060" customFormat="false" ht="15" hidden="false" customHeight="false" outlineLevel="0" collapsed="false">
      <c r="A9060" s="7" t="s">
        <v>35</v>
      </c>
      <c r="B9060" s="7" t="s">
        <v>323</v>
      </c>
      <c r="C9060" s="7" t="s">
        <v>1138</v>
      </c>
      <c r="D9060" s="7" t="n">
        <v>0</v>
      </c>
      <c r="E9060" s="7" t="n">
        <v>0</v>
      </c>
      <c r="F9060" s="7" t="n">
        <v>7</v>
      </c>
      <c r="G9060" s="7" t="n">
        <v>307.86</v>
      </c>
    </row>
    <row r="9061" customFormat="false" ht="15" hidden="false" customHeight="false" outlineLevel="0" collapsed="false">
      <c r="A9061" s="7" t="s">
        <v>35</v>
      </c>
      <c r="B9061" s="7" t="s">
        <v>220</v>
      </c>
      <c r="C9061" s="7" t="s">
        <v>1138</v>
      </c>
      <c r="D9061" s="7" t="n">
        <v>0</v>
      </c>
      <c r="E9061" s="7" t="n">
        <v>0</v>
      </c>
      <c r="F9061" s="7" t="n">
        <v>3</v>
      </c>
      <c r="G9061" s="7" t="n">
        <v>131.94</v>
      </c>
    </row>
    <row r="9062" customFormat="false" ht="15" hidden="false" customHeight="false" outlineLevel="0" collapsed="false">
      <c r="A9062" s="7" t="s">
        <v>35</v>
      </c>
      <c r="B9062" s="7" t="s">
        <v>220</v>
      </c>
      <c r="C9062" s="7" t="s">
        <v>1138</v>
      </c>
      <c r="D9062" s="7" t="n">
        <v>2</v>
      </c>
      <c r="E9062" s="7" t="n">
        <v>107.48</v>
      </c>
      <c r="F9062" s="7" t="n">
        <v>0</v>
      </c>
      <c r="G9062" s="7" t="n">
        <v>0</v>
      </c>
    </row>
    <row r="9063" customFormat="false" ht="15" hidden="false" customHeight="false" outlineLevel="0" collapsed="false">
      <c r="A9063" s="7" t="s">
        <v>35</v>
      </c>
      <c r="B9063" s="7" t="s">
        <v>220</v>
      </c>
      <c r="C9063" s="7" t="s">
        <v>1138</v>
      </c>
      <c r="D9063" s="7" t="n">
        <v>3</v>
      </c>
      <c r="E9063" s="7" t="n">
        <v>150.16</v>
      </c>
      <c r="F9063" s="7" t="n">
        <v>0</v>
      </c>
      <c r="G9063" s="7" t="n">
        <v>0</v>
      </c>
    </row>
    <row r="9064" customFormat="false" ht="15" hidden="false" customHeight="false" outlineLevel="0" collapsed="false">
      <c r="A9064" s="7" t="s">
        <v>35</v>
      </c>
      <c r="B9064" s="7" t="s">
        <v>638</v>
      </c>
      <c r="C9064" s="7" t="s">
        <v>1139</v>
      </c>
      <c r="D9064" s="7" t="n">
        <v>0</v>
      </c>
      <c r="E9064" s="7" t="n">
        <v>0</v>
      </c>
      <c r="F9064" s="7" t="n">
        <v>6</v>
      </c>
      <c r="G9064" s="7" t="n">
        <v>97</v>
      </c>
    </row>
    <row r="9065" customFormat="false" ht="15" hidden="false" customHeight="false" outlineLevel="0" collapsed="false">
      <c r="A9065" s="7" t="s">
        <v>35</v>
      </c>
      <c r="B9065" s="7" t="s">
        <v>640</v>
      </c>
      <c r="C9065" s="7" t="s">
        <v>1139</v>
      </c>
      <c r="D9065" s="7" t="n">
        <v>0</v>
      </c>
      <c r="E9065" s="7" t="n">
        <v>0</v>
      </c>
      <c r="F9065" s="7" t="n">
        <v>6</v>
      </c>
      <c r="G9065" s="7" t="n">
        <v>97</v>
      </c>
    </row>
    <row r="9066" customFormat="false" ht="15" hidden="false" customHeight="false" outlineLevel="0" collapsed="false">
      <c r="A9066" s="7" t="s">
        <v>35</v>
      </c>
      <c r="B9066" s="7" t="s">
        <v>640</v>
      </c>
      <c r="C9066" s="7" t="s">
        <v>1139</v>
      </c>
      <c r="D9066" s="7" t="n">
        <v>10</v>
      </c>
      <c r="E9066" s="7" t="n">
        <v>171.39</v>
      </c>
      <c r="F9066" s="7" t="n">
        <v>0</v>
      </c>
      <c r="G9066" s="7" t="n">
        <v>0</v>
      </c>
    </row>
    <row r="9067" customFormat="false" ht="15" hidden="false" customHeight="false" outlineLevel="0" collapsed="false">
      <c r="A9067" s="7" t="s">
        <v>35</v>
      </c>
      <c r="B9067" s="7" t="s">
        <v>977</v>
      </c>
      <c r="C9067" s="7" t="s">
        <v>1139</v>
      </c>
      <c r="D9067" s="7" t="n">
        <v>6</v>
      </c>
      <c r="E9067" s="7" t="n">
        <v>102.83</v>
      </c>
      <c r="F9067" s="7" t="n">
        <v>0</v>
      </c>
      <c r="G9067" s="7" t="n">
        <v>0</v>
      </c>
    </row>
    <row r="9068" customFormat="false" ht="15" hidden="false" customHeight="false" outlineLevel="0" collapsed="false">
      <c r="A9068" s="7" t="s">
        <v>35</v>
      </c>
      <c r="B9068" s="7" t="s">
        <v>524</v>
      </c>
      <c r="C9068" s="7" t="s">
        <v>1140</v>
      </c>
      <c r="D9068" s="7" t="n">
        <v>0</v>
      </c>
      <c r="E9068" s="7" t="n">
        <v>0</v>
      </c>
      <c r="F9068" s="7" t="n">
        <v>3</v>
      </c>
      <c r="G9068" s="7" t="n">
        <v>47.23</v>
      </c>
    </row>
    <row r="9069" customFormat="false" ht="15" hidden="false" customHeight="false" outlineLevel="0" collapsed="false">
      <c r="A9069" s="7" t="s">
        <v>35</v>
      </c>
      <c r="B9069" s="7" t="s">
        <v>524</v>
      </c>
      <c r="C9069" s="7" t="s">
        <v>1140</v>
      </c>
      <c r="D9069" s="7" t="n">
        <v>10</v>
      </c>
      <c r="E9069" s="7" t="n">
        <v>179.18</v>
      </c>
      <c r="F9069" s="7" t="n">
        <v>0</v>
      </c>
      <c r="G9069" s="7" t="n">
        <v>0</v>
      </c>
    </row>
    <row r="9070" customFormat="false" ht="15" hidden="false" customHeight="false" outlineLevel="0" collapsed="false">
      <c r="A9070" s="7" t="s">
        <v>35</v>
      </c>
      <c r="B9070" s="7" t="s">
        <v>524</v>
      </c>
      <c r="C9070" s="7" t="s">
        <v>1140</v>
      </c>
      <c r="D9070" s="7" t="n">
        <v>0</v>
      </c>
      <c r="E9070" s="7" t="n">
        <v>0</v>
      </c>
      <c r="F9070" s="7" t="n">
        <v>6</v>
      </c>
      <c r="G9070" s="7" t="n">
        <v>101.41</v>
      </c>
    </row>
    <row r="9071" customFormat="false" ht="15" hidden="false" customHeight="false" outlineLevel="0" collapsed="false">
      <c r="A9071" s="7" t="s">
        <v>35</v>
      </c>
      <c r="B9071" s="7" t="s">
        <v>795</v>
      </c>
      <c r="C9071" s="7" t="s">
        <v>1140</v>
      </c>
      <c r="D9071" s="7" t="n">
        <v>0</v>
      </c>
      <c r="E9071" s="7" t="n">
        <v>0</v>
      </c>
      <c r="F9071" s="7" t="n">
        <v>14</v>
      </c>
      <c r="G9071" s="7" t="n">
        <v>220.41</v>
      </c>
    </row>
    <row r="9072" customFormat="false" ht="15" hidden="false" customHeight="false" outlineLevel="0" collapsed="false">
      <c r="A9072" s="7" t="s">
        <v>35</v>
      </c>
      <c r="B9072" s="7" t="s">
        <v>795</v>
      </c>
      <c r="C9072" s="7" t="s">
        <v>1140</v>
      </c>
      <c r="D9072" s="7" t="n">
        <v>0</v>
      </c>
      <c r="E9072" s="7" t="n">
        <v>0</v>
      </c>
      <c r="F9072" s="7" t="n">
        <v>6</v>
      </c>
      <c r="G9072" s="7" t="n">
        <v>101.41</v>
      </c>
    </row>
    <row r="9073" customFormat="false" ht="15" hidden="false" customHeight="false" outlineLevel="0" collapsed="false">
      <c r="A9073" s="7" t="s">
        <v>35</v>
      </c>
      <c r="B9073" s="7" t="s">
        <v>795</v>
      </c>
      <c r="C9073" s="7" t="s">
        <v>1140</v>
      </c>
      <c r="D9073" s="7" t="n">
        <v>6</v>
      </c>
      <c r="E9073" s="7" t="n">
        <v>115.43</v>
      </c>
      <c r="F9073" s="7" t="n">
        <v>0</v>
      </c>
      <c r="G9073" s="7" t="n">
        <v>0</v>
      </c>
    </row>
    <row r="9074" customFormat="false" ht="15" hidden="false" customHeight="false" outlineLevel="0" collapsed="false">
      <c r="A9074" s="7" t="s">
        <v>35</v>
      </c>
      <c r="B9074" s="7" t="s">
        <v>795</v>
      </c>
      <c r="C9074" s="7" t="s">
        <v>1140</v>
      </c>
      <c r="D9074" s="7" t="n">
        <v>6</v>
      </c>
      <c r="E9074" s="7" t="n">
        <v>107.51</v>
      </c>
      <c r="F9074" s="7" t="n">
        <v>0</v>
      </c>
      <c r="G9074" s="7" t="n">
        <v>0</v>
      </c>
    </row>
    <row r="9075" customFormat="false" ht="15" hidden="false" customHeight="false" outlineLevel="0" collapsed="false">
      <c r="A9075" s="7" t="s">
        <v>35</v>
      </c>
      <c r="B9075" s="7" t="s">
        <v>654</v>
      </c>
      <c r="C9075" s="7" t="s">
        <v>1140</v>
      </c>
      <c r="D9075" s="7" t="n">
        <v>6</v>
      </c>
      <c r="E9075" s="7" t="n">
        <v>107.51</v>
      </c>
      <c r="F9075" s="7" t="n">
        <v>0</v>
      </c>
      <c r="G9075" s="7" t="n">
        <v>0</v>
      </c>
    </row>
    <row r="9076" customFormat="false" ht="15" hidden="false" customHeight="false" outlineLevel="0" collapsed="false">
      <c r="A9076" s="7" t="s">
        <v>35</v>
      </c>
      <c r="B9076" s="7" t="s">
        <v>675</v>
      </c>
      <c r="C9076" s="7" t="s">
        <v>1140</v>
      </c>
      <c r="D9076" s="7" t="n">
        <v>3</v>
      </c>
      <c r="E9076" s="7" t="n">
        <v>53.75</v>
      </c>
      <c r="F9076" s="7" t="n">
        <v>0</v>
      </c>
      <c r="G9076" s="7" t="n">
        <v>0</v>
      </c>
    </row>
    <row r="9077" customFormat="false" ht="15" hidden="false" customHeight="false" outlineLevel="0" collapsed="false">
      <c r="A9077" s="7" t="s">
        <v>35</v>
      </c>
      <c r="B9077" s="7" t="s">
        <v>139</v>
      </c>
      <c r="C9077" s="7" t="s">
        <v>1043</v>
      </c>
      <c r="D9077" s="7" t="n">
        <v>0</v>
      </c>
      <c r="E9077" s="7" t="n">
        <v>0</v>
      </c>
      <c r="F9077" s="7" t="n">
        <v>10</v>
      </c>
      <c r="G9077" s="7" t="n">
        <v>431.72</v>
      </c>
    </row>
    <row r="9078" customFormat="false" ht="15" hidden="false" customHeight="false" outlineLevel="0" collapsed="false">
      <c r="A9078" s="7" t="s">
        <v>35</v>
      </c>
      <c r="B9078" s="7" t="s">
        <v>146</v>
      </c>
      <c r="C9078" s="7" t="s">
        <v>1043</v>
      </c>
      <c r="D9078" s="7" t="n">
        <v>0</v>
      </c>
      <c r="E9078" s="7" t="n">
        <v>0</v>
      </c>
      <c r="F9078" s="7" t="n">
        <v>20</v>
      </c>
      <c r="G9078" s="7" t="n">
        <v>863.44</v>
      </c>
    </row>
    <row r="9079" customFormat="false" ht="15" hidden="false" customHeight="false" outlineLevel="0" collapsed="false">
      <c r="A9079" s="7" t="s">
        <v>35</v>
      </c>
      <c r="B9079" s="7" t="s">
        <v>121</v>
      </c>
      <c r="C9079" s="7" t="s">
        <v>1043</v>
      </c>
      <c r="D9079" s="7" t="n">
        <v>0</v>
      </c>
      <c r="E9079" s="7" t="n">
        <v>0</v>
      </c>
      <c r="F9079" s="7" t="n">
        <v>20</v>
      </c>
      <c r="G9079" s="7" t="n">
        <v>863.44</v>
      </c>
    </row>
    <row r="9080" customFormat="false" ht="15" hidden="false" customHeight="false" outlineLevel="0" collapsed="false">
      <c r="A9080" s="7" t="s">
        <v>35</v>
      </c>
      <c r="B9080" s="7" t="s">
        <v>120</v>
      </c>
      <c r="C9080" s="7" t="s">
        <v>1044</v>
      </c>
      <c r="D9080" s="7" t="n">
        <v>0</v>
      </c>
      <c r="E9080" s="7" t="n">
        <v>0</v>
      </c>
      <c r="F9080" s="7" t="n">
        <v>10</v>
      </c>
      <c r="G9080" s="7" t="n">
        <v>431.72</v>
      </c>
    </row>
    <row r="9081" customFormat="false" ht="15" hidden="false" customHeight="false" outlineLevel="0" collapsed="false">
      <c r="A9081" s="7" t="s">
        <v>35</v>
      </c>
      <c r="B9081" s="7" t="s">
        <v>116</v>
      </c>
      <c r="C9081" s="7" t="s">
        <v>1044</v>
      </c>
      <c r="D9081" s="7" t="n">
        <v>0</v>
      </c>
      <c r="E9081" s="7" t="n">
        <v>0</v>
      </c>
      <c r="F9081" s="7" t="n">
        <v>20</v>
      </c>
      <c r="G9081" s="7" t="n">
        <v>863.44</v>
      </c>
    </row>
    <row r="9082" customFormat="false" ht="15" hidden="false" customHeight="false" outlineLevel="0" collapsed="false">
      <c r="A9082" s="7" t="s">
        <v>35</v>
      </c>
      <c r="B9082" s="7" t="s">
        <v>114</v>
      </c>
      <c r="C9082" s="7" t="s">
        <v>1044</v>
      </c>
      <c r="D9082" s="7" t="n">
        <v>0</v>
      </c>
      <c r="E9082" s="7" t="n">
        <v>0</v>
      </c>
      <c r="F9082" s="7" t="n">
        <v>20</v>
      </c>
      <c r="G9082" s="7" t="n">
        <v>863.44</v>
      </c>
    </row>
    <row r="9083" customFormat="false" ht="15" hidden="false" customHeight="false" outlineLevel="0" collapsed="false">
      <c r="A9083" s="7" t="s">
        <v>35</v>
      </c>
      <c r="B9083" s="7" t="s">
        <v>683</v>
      </c>
      <c r="C9083" s="7" t="s">
        <v>1201</v>
      </c>
      <c r="D9083" s="7" t="n">
        <v>0</v>
      </c>
      <c r="E9083" s="7" t="n">
        <v>0</v>
      </c>
      <c r="F9083" s="7" t="n">
        <v>10</v>
      </c>
      <c r="G9083" s="7" t="n">
        <v>133.48</v>
      </c>
    </row>
    <row r="9084" customFormat="false" ht="15" hidden="false" customHeight="false" outlineLevel="0" collapsed="false">
      <c r="A9084" s="7" t="s">
        <v>35</v>
      </c>
      <c r="B9084" s="7" t="s">
        <v>405</v>
      </c>
      <c r="C9084" s="7" t="s">
        <v>1141</v>
      </c>
      <c r="D9084" s="7" t="n">
        <v>0</v>
      </c>
      <c r="E9084" s="7" t="n">
        <v>0</v>
      </c>
      <c r="F9084" s="7" t="n">
        <v>10</v>
      </c>
      <c r="G9084" s="7" t="n">
        <v>82.14</v>
      </c>
    </row>
    <row r="9085" customFormat="false" ht="15" hidden="false" customHeight="false" outlineLevel="0" collapsed="false">
      <c r="A9085" s="7" t="s">
        <v>35</v>
      </c>
      <c r="B9085" s="7" t="s">
        <v>696</v>
      </c>
      <c r="C9085" s="7" t="s">
        <v>1141</v>
      </c>
      <c r="D9085" s="7" t="n">
        <v>12</v>
      </c>
      <c r="E9085" s="7" t="n">
        <v>120.45</v>
      </c>
      <c r="F9085" s="7" t="n">
        <v>0</v>
      </c>
      <c r="G9085" s="7" t="n">
        <v>0</v>
      </c>
    </row>
    <row r="9086" customFormat="false" ht="15" hidden="false" customHeight="false" outlineLevel="0" collapsed="false">
      <c r="A9086" s="7" t="s">
        <v>35</v>
      </c>
      <c r="B9086" s="7" t="s">
        <v>700</v>
      </c>
      <c r="C9086" s="7" t="s">
        <v>1141</v>
      </c>
      <c r="D9086" s="7" t="n">
        <v>6</v>
      </c>
      <c r="E9086" s="7" t="n">
        <v>54.71</v>
      </c>
      <c r="F9086" s="7" t="n">
        <v>0</v>
      </c>
      <c r="G9086" s="7" t="n">
        <v>0</v>
      </c>
    </row>
    <row r="9087" customFormat="false" ht="15" hidden="false" customHeight="false" outlineLevel="0" collapsed="false">
      <c r="A9087" s="7" t="s">
        <v>35</v>
      </c>
      <c r="B9087" s="7" t="s">
        <v>700</v>
      </c>
      <c r="C9087" s="7" t="s">
        <v>1141</v>
      </c>
      <c r="D9087" s="7" t="n">
        <v>0</v>
      </c>
      <c r="E9087" s="7" t="n">
        <v>0</v>
      </c>
      <c r="F9087" s="7" t="n">
        <v>12</v>
      </c>
      <c r="G9087" s="7" t="n">
        <v>105.82</v>
      </c>
    </row>
    <row r="9088" customFormat="false" ht="15" hidden="false" customHeight="false" outlineLevel="0" collapsed="false">
      <c r="A9088" s="7" t="s">
        <v>35</v>
      </c>
      <c r="B9088" s="7" t="s">
        <v>700</v>
      </c>
      <c r="C9088" s="7" t="s">
        <v>1141</v>
      </c>
      <c r="D9088" s="7" t="n">
        <v>0</v>
      </c>
      <c r="E9088" s="7" t="n">
        <v>0</v>
      </c>
      <c r="F9088" s="7" t="n">
        <v>15</v>
      </c>
      <c r="G9088" s="7" t="n">
        <v>123.21</v>
      </c>
    </row>
    <row r="9089" customFormat="false" ht="15" hidden="false" customHeight="false" outlineLevel="0" collapsed="false">
      <c r="A9089" s="7" t="s">
        <v>35</v>
      </c>
      <c r="B9089" s="7" t="s">
        <v>567</v>
      </c>
      <c r="C9089" s="7" t="s">
        <v>1141</v>
      </c>
      <c r="D9089" s="7" t="n">
        <v>30</v>
      </c>
      <c r="E9089" s="7" t="n">
        <v>301.12</v>
      </c>
      <c r="F9089" s="7" t="n">
        <v>0</v>
      </c>
      <c r="G9089" s="7" t="n">
        <v>0</v>
      </c>
    </row>
    <row r="9090" customFormat="false" ht="15" hidden="false" customHeight="false" outlineLevel="0" collapsed="false">
      <c r="A9090" s="7" t="s">
        <v>35</v>
      </c>
      <c r="B9090" s="7" t="s">
        <v>356</v>
      </c>
      <c r="C9090" s="7" t="s">
        <v>1045</v>
      </c>
      <c r="D9090" s="7" t="n">
        <v>0</v>
      </c>
      <c r="E9090" s="7" t="n">
        <v>0</v>
      </c>
      <c r="F9090" s="7" t="n">
        <v>12</v>
      </c>
      <c r="G9090" s="7" t="n">
        <v>219.72</v>
      </c>
    </row>
    <row r="9091" customFormat="false" ht="15" hidden="false" customHeight="false" outlineLevel="0" collapsed="false">
      <c r="A9091" s="7" t="s">
        <v>35</v>
      </c>
      <c r="B9091" s="7" t="s">
        <v>356</v>
      </c>
      <c r="C9091" s="7" t="s">
        <v>1045</v>
      </c>
      <c r="D9091" s="7" t="n">
        <v>10</v>
      </c>
      <c r="E9091" s="7" t="n">
        <v>208.39</v>
      </c>
      <c r="F9091" s="7" t="n">
        <v>0</v>
      </c>
      <c r="G9091" s="7" t="n">
        <v>0</v>
      </c>
    </row>
    <row r="9092" customFormat="false" ht="15" hidden="false" customHeight="false" outlineLevel="0" collapsed="false">
      <c r="A9092" s="7" t="s">
        <v>35</v>
      </c>
      <c r="B9092" s="7" t="s">
        <v>356</v>
      </c>
      <c r="C9092" s="7" t="s">
        <v>1045</v>
      </c>
      <c r="D9092" s="7" t="n">
        <v>10</v>
      </c>
      <c r="E9092" s="7" t="n">
        <v>203.26</v>
      </c>
      <c r="F9092" s="7" t="n">
        <v>0</v>
      </c>
      <c r="G9092" s="7" t="n">
        <v>0</v>
      </c>
    </row>
    <row r="9093" customFormat="false" ht="15" hidden="false" customHeight="false" outlineLevel="0" collapsed="false">
      <c r="A9093" s="7" t="s">
        <v>35</v>
      </c>
      <c r="B9093" s="7" t="s">
        <v>163</v>
      </c>
      <c r="C9093" s="7" t="s">
        <v>1046</v>
      </c>
      <c r="D9093" s="7" t="n">
        <v>0</v>
      </c>
      <c r="E9093" s="7" t="n">
        <v>0</v>
      </c>
      <c r="F9093" s="7" t="n">
        <v>10</v>
      </c>
      <c r="G9093" s="7" t="n">
        <v>200.22</v>
      </c>
    </row>
    <row r="9094" customFormat="false" ht="15" hidden="false" customHeight="false" outlineLevel="0" collapsed="false">
      <c r="A9094" s="7" t="s">
        <v>35</v>
      </c>
      <c r="B9094" s="7" t="s">
        <v>163</v>
      </c>
      <c r="C9094" s="7" t="s">
        <v>1046</v>
      </c>
      <c r="D9094" s="7" t="n">
        <v>20</v>
      </c>
      <c r="E9094" s="7" t="n">
        <v>444.5</v>
      </c>
      <c r="F9094" s="7" t="n">
        <v>0</v>
      </c>
      <c r="G9094" s="7" t="n">
        <v>0</v>
      </c>
    </row>
    <row r="9095" customFormat="false" ht="15" hidden="false" customHeight="false" outlineLevel="0" collapsed="false">
      <c r="A9095" s="7" t="s">
        <v>35</v>
      </c>
      <c r="B9095" s="7" t="s">
        <v>163</v>
      </c>
      <c r="C9095" s="7" t="s">
        <v>1046</v>
      </c>
      <c r="D9095" s="7" t="n">
        <v>0</v>
      </c>
      <c r="E9095" s="7" t="n">
        <v>0</v>
      </c>
      <c r="F9095" s="7" t="n">
        <v>10</v>
      </c>
      <c r="G9095" s="7" t="n">
        <v>214.94</v>
      </c>
    </row>
    <row r="9096" customFormat="false" ht="15" hidden="false" customHeight="false" outlineLevel="0" collapsed="false">
      <c r="A9096" s="7" t="s">
        <v>35</v>
      </c>
      <c r="B9096" s="7" t="s">
        <v>163</v>
      </c>
      <c r="C9096" s="7" t="s">
        <v>1046</v>
      </c>
      <c r="D9096" s="7" t="n">
        <v>10</v>
      </c>
      <c r="E9096" s="7" t="n">
        <v>244.66</v>
      </c>
      <c r="F9096" s="7" t="n">
        <v>0</v>
      </c>
      <c r="G9096" s="7" t="n">
        <v>0</v>
      </c>
    </row>
    <row r="9097" customFormat="false" ht="15" hidden="false" customHeight="false" outlineLevel="0" collapsed="false">
      <c r="A9097" s="7" t="s">
        <v>35</v>
      </c>
      <c r="B9097" s="7" t="s">
        <v>143</v>
      </c>
      <c r="C9097" s="7" t="s">
        <v>1047</v>
      </c>
      <c r="D9097" s="7" t="n">
        <v>10</v>
      </c>
      <c r="E9097" s="7" t="n">
        <v>245.4</v>
      </c>
      <c r="F9097" s="7" t="n">
        <v>0</v>
      </c>
      <c r="G9097" s="7" t="n">
        <v>0</v>
      </c>
    </row>
    <row r="9098" customFormat="false" ht="15" hidden="false" customHeight="false" outlineLevel="0" collapsed="false">
      <c r="A9098" s="7" t="s">
        <v>35</v>
      </c>
      <c r="B9098" s="7" t="s">
        <v>143</v>
      </c>
      <c r="C9098" s="7" t="s">
        <v>1047</v>
      </c>
      <c r="D9098" s="7" t="n">
        <v>0</v>
      </c>
      <c r="E9098" s="7" t="n">
        <v>0</v>
      </c>
      <c r="F9098" s="7" t="n">
        <v>10</v>
      </c>
      <c r="G9098" s="7" t="n">
        <v>231.47</v>
      </c>
    </row>
    <row r="9099" customFormat="false" ht="15" hidden="false" customHeight="false" outlineLevel="0" collapsed="false">
      <c r="A9099" s="7" t="s">
        <v>35</v>
      </c>
      <c r="B9099" s="7" t="s">
        <v>143</v>
      </c>
      <c r="C9099" s="7" t="s">
        <v>1047</v>
      </c>
      <c r="D9099" s="7" t="n">
        <v>0</v>
      </c>
      <c r="E9099" s="7" t="n">
        <v>0</v>
      </c>
      <c r="F9099" s="7" t="n">
        <v>20</v>
      </c>
      <c r="G9099" s="7" t="n">
        <v>431.24</v>
      </c>
    </row>
    <row r="9100" customFormat="false" ht="15" hidden="false" customHeight="false" outlineLevel="0" collapsed="false">
      <c r="A9100" s="7" t="s">
        <v>35</v>
      </c>
      <c r="B9100" s="7" t="s">
        <v>143</v>
      </c>
      <c r="C9100" s="7" t="s">
        <v>1047</v>
      </c>
      <c r="D9100" s="7" t="n">
        <v>10</v>
      </c>
      <c r="E9100" s="7" t="n">
        <v>239.35</v>
      </c>
      <c r="F9100" s="7" t="n">
        <v>0</v>
      </c>
      <c r="G9100" s="7" t="n">
        <v>0</v>
      </c>
    </row>
    <row r="9101" customFormat="false" ht="15" hidden="false" customHeight="false" outlineLevel="0" collapsed="false">
      <c r="A9101" s="7" t="s">
        <v>35</v>
      </c>
      <c r="B9101" s="7" t="s">
        <v>161</v>
      </c>
      <c r="C9101" s="7" t="s">
        <v>1048</v>
      </c>
      <c r="D9101" s="7" t="n">
        <v>0</v>
      </c>
      <c r="E9101" s="7" t="n">
        <v>0</v>
      </c>
      <c r="F9101" s="7" t="n">
        <v>10</v>
      </c>
      <c r="G9101" s="7" t="n">
        <v>358.23</v>
      </c>
    </row>
    <row r="9102" customFormat="false" ht="15" hidden="false" customHeight="false" outlineLevel="0" collapsed="false">
      <c r="A9102" s="7" t="s">
        <v>35</v>
      </c>
      <c r="B9102" s="7" t="s">
        <v>161</v>
      </c>
      <c r="C9102" s="7" t="s">
        <v>1048</v>
      </c>
      <c r="D9102" s="7" t="n">
        <v>10</v>
      </c>
      <c r="E9102" s="7" t="n">
        <v>379.78</v>
      </c>
      <c r="F9102" s="7" t="n">
        <v>0</v>
      </c>
      <c r="G9102" s="7" t="n">
        <v>0</v>
      </c>
    </row>
    <row r="9103" customFormat="false" ht="15" hidden="false" customHeight="false" outlineLevel="0" collapsed="false">
      <c r="A9103" s="7" t="s">
        <v>35</v>
      </c>
      <c r="B9103" s="7" t="s">
        <v>792</v>
      </c>
      <c r="C9103" s="7" t="s">
        <v>1142</v>
      </c>
      <c r="D9103" s="7" t="n">
        <v>0</v>
      </c>
      <c r="E9103" s="7" t="n">
        <v>0</v>
      </c>
      <c r="F9103" s="7" t="n">
        <v>3</v>
      </c>
      <c r="G9103" s="7" t="n">
        <v>105.76</v>
      </c>
    </row>
    <row r="9104" customFormat="false" ht="15" hidden="false" customHeight="false" outlineLevel="0" collapsed="false">
      <c r="A9104" s="7" t="s">
        <v>35</v>
      </c>
      <c r="B9104" s="7" t="s">
        <v>792</v>
      </c>
      <c r="C9104" s="7" t="s">
        <v>1142</v>
      </c>
      <c r="D9104" s="7" t="n">
        <v>3</v>
      </c>
      <c r="E9104" s="7" t="n">
        <v>120.36</v>
      </c>
      <c r="F9104" s="7" t="n">
        <v>0</v>
      </c>
      <c r="G9104" s="7" t="n">
        <v>0</v>
      </c>
    </row>
    <row r="9105" customFormat="false" ht="15" hidden="false" customHeight="false" outlineLevel="0" collapsed="false">
      <c r="A9105" s="7" t="s">
        <v>35</v>
      </c>
      <c r="B9105" s="7" t="s">
        <v>614</v>
      </c>
      <c r="C9105" s="7" t="s">
        <v>1142</v>
      </c>
      <c r="D9105" s="7" t="n">
        <v>3</v>
      </c>
      <c r="E9105" s="7" t="n">
        <v>117.4</v>
      </c>
      <c r="F9105" s="7" t="n">
        <v>0</v>
      </c>
      <c r="G9105" s="7" t="n">
        <v>0</v>
      </c>
    </row>
    <row r="9106" customFormat="false" ht="15" hidden="false" customHeight="false" outlineLevel="0" collapsed="false">
      <c r="A9106" s="7" t="s">
        <v>35</v>
      </c>
      <c r="B9106" s="7" t="s">
        <v>614</v>
      </c>
      <c r="C9106" s="7" t="s">
        <v>1142</v>
      </c>
      <c r="D9106" s="7" t="n">
        <v>6</v>
      </c>
      <c r="E9106" s="7" t="n">
        <v>258.46</v>
      </c>
      <c r="F9106" s="7" t="n">
        <v>0</v>
      </c>
      <c r="G9106" s="7" t="n">
        <v>0</v>
      </c>
    </row>
    <row r="9107" customFormat="false" ht="15" hidden="false" customHeight="false" outlineLevel="0" collapsed="false">
      <c r="A9107" s="7" t="s">
        <v>35</v>
      </c>
      <c r="B9107" s="7" t="s">
        <v>429</v>
      </c>
      <c r="C9107" s="7" t="s">
        <v>1142</v>
      </c>
      <c r="D9107" s="7" t="n">
        <v>0</v>
      </c>
      <c r="E9107" s="7" t="n">
        <v>0</v>
      </c>
      <c r="F9107" s="7" t="n">
        <v>6</v>
      </c>
      <c r="G9107" s="7" t="n">
        <v>227.07</v>
      </c>
    </row>
    <row r="9108" customFormat="false" ht="15" hidden="false" customHeight="false" outlineLevel="0" collapsed="false">
      <c r="A9108" s="7" t="s">
        <v>35</v>
      </c>
      <c r="B9108" s="7" t="s">
        <v>429</v>
      </c>
      <c r="C9108" s="7" t="s">
        <v>1142</v>
      </c>
      <c r="D9108" s="7" t="n">
        <v>10</v>
      </c>
      <c r="E9108" s="7" t="n">
        <v>401.21</v>
      </c>
      <c r="F9108" s="7" t="n">
        <v>0</v>
      </c>
      <c r="G9108" s="7" t="n">
        <v>0</v>
      </c>
    </row>
    <row r="9109" customFormat="false" ht="15" hidden="false" customHeight="false" outlineLevel="0" collapsed="false">
      <c r="A9109" s="7" t="s">
        <v>35</v>
      </c>
      <c r="B9109" s="7" t="s">
        <v>477</v>
      </c>
      <c r="C9109" s="7" t="s">
        <v>1142</v>
      </c>
      <c r="D9109" s="7" t="n">
        <v>3</v>
      </c>
      <c r="E9109" s="7" t="n">
        <v>117.4</v>
      </c>
      <c r="F9109" s="7" t="n">
        <v>0</v>
      </c>
      <c r="G9109" s="7" t="n">
        <v>0</v>
      </c>
    </row>
    <row r="9110" customFormat="false" ht="15" hidden="false" customHeight="false" outlineLevel="0" collapsed="false">
      <c r="A9110" s="7" t="s">
        <v>35</v>
      </c>
      <c r="B9110" s="7" t="s">
        <v>644</v>
      </c>
      <c r="C9110" s="7" t="s">
        <v>1142</v>
      </c>
      <c r="D9110" s="7" t="n">
        <v>0</v>
      </c>
      <c r="E9110" s="7" t="n">
        <v>0</v>
      </c>
      <c r="F9110" s="7" t="n">
        <v>3</v>
      </c>
      <c r="G9110" s="7" t="n">
        <v>113.53</v>
      </c>
    </row>
    <row r="9111" customFormat="false" ht="15" hidden="false" customHeight="false" outlineLevel="0" collapsed="false">
      <c r="A9111" s="7" t="s">
        <v>35</v>
      </c>
      <c r="B9111" s="7" t="s">
        <v>773</v>
      </c>
      <c r="C9111" s="7" t="s">
        <v>1215</v>
      </c>
      <c r="D9111" s="7" t="n">
        <v>10</v>
      </c>
      <c r="E9111" s="7" t="n">
        <v>338.76</v>
      </c>
      <c r="F9111" s="7" t="n">
        <v>0</v>
      </c>
      <c r="G9111" s="7" t="n">
        <v>0</v>
      </c>
    </row>
    <row r="9112" customFormat="false" ht="15" hidden="false" customHeight="false" outlineLevel="0" collapsed="false">
      <c r="A9112" s="7" t="s">
        <v>35</v>
      </c>
      <c r="B9112" s="7" t="s">
        <v>469</v>
      </c>
      <c r="C9112" s="7" t="s">
        <v>1143</v>
      </c>
      <c r="D9112" s="7" t="n">
        <v>12</v>
      </c>
      <c r="E9112" s="7" t="n">
        <v>393.96</v>
      </c>
      <c r="F9112" s="7" t="n">
        <v>0</v>
      </c>
      <c r="G9112" s="7" t="n">
        <v>0</v>
      </c>
    </row>
    <row r="9113" customFormat="false" ht="15" hidden="false" customHeight="false" outlineLevel="0" collapsed="false">
      <c r="A9113" s="7" t="s">
        <v>35</v>
      </c>
      <c r="B9113" s="7" t="s">
        <v>469</v>
      </c>
      <c r="C9113" s="7" t="s">
        <v>1143</v>
      </c>
      <c r="D9113" s="7" t="n">
        <v>20</v>
      </c>
      <c r="E9113" s="7" t="n">
        <v>611.55</v>
      </c>
      <c r="F9113" s="7" t="n">
        <v>0</v>
      </c>
      <c r="G9113" s="7" t="n">
        <v>0</v>
      </c>
    </row>
    <row r="9114" customFormat="false" ht="15" hidden="false" customHeight="false" outlineLevel="0" collapsed="false">
      <c r="A9114" s="7" t="s">
        <v>35</v>
      </c>
      <c r="B9114" s="7" t="s">
        <v>469</v>
      </c>
      <c r="C9114" s="7" t="s">
        <v>1143</v>
      </c>
      <c r="D9114" s="7" t="n">
        <v>0</v>
      </c>
      <c r="E9114" s="7" t="n">
        <v>0</v>
      </c>
      <c r="F9114" s="7" t="n">
        <v>30</v>
      </c>
      <c r="G9114" s="7" t="n">
        <v>806</v>
      </c>
    </row>
    <row r="9115" customFormat="false" ht="15" hidden="false" customHeight="false" outlineLevel="0" collapsed="false">
      <c r="A9115" s="7" t="s">
        <v>35</v>
      </c>
      <c r="B9115" s="7" t="s">
        <v>342</v>
      </c>
      <c r="C9115" s="7" t="s">
        <v>1143</v>
      </c>
      <c r="D9115" s="7" t="n">
        <v>20</v>
      </c>
      <c r="E9115" s="7" t="n">
        <v>572.59</v>
      </c>
      <c r="F9115" s="7" t="n">
        <v>0</v>
      </c>
      <c r="G9115" s="7" t="n">
        <v>0</v>
      </c>
    </row>
    <row r="9116" customFormat="false" ht="15" hidden="false" customHeight="false" outlineLevel="0" collapsed="false">
      <c r="A9116" s="7" t="s">
        <v>35</v>
      </c>
      <c r="B9116" s="7" t="s">
        <v>361</v>
      </c>
      <c r="C9116" s="7" t="s">
        <v>1083</v>
      </c>
      <c r="D9116" s="7" t="n">
        <v>0</v>
      </c>
      <c r="E9116" s="7" t="n">
        <v>0</v>
      </c>
      <c r="F9116" s="7" t="n">
        <v>2</v>
      </c>
      <c r="G9116" s="7" t="n">
        <v>67.77</v>
      </c>
    </row>
    <row r="9117" customFormat="false" ht="15" hidden="false" customHeight="false" outlineLevel="0" collapsed="false">
      <c r="A9117" s="7" t="s">
        <v>35</v>
      </c>
      <c r="B9117" s="7" t="s">
        <v>319</v>
      </c>
      <c r="C9117" s="7" t="s">
        <v>1083</v>
      </c>
      <c r="D9117" s="7" t="n">
        <v>6</v>
      </c>
      <c r="E9117" s="7" t="n">
        <v>248.42</v>
      </c>
      <c r="F9117" s="7" t="n">
        <v>0</v>
      </c>
      <c r="G9117" s="7" t="n">
        <v>0</v>
      </c>
    </row>
    <row r="9118" customFormat="false" ht="15" hidden="false" customHeight="false" outlineLevel="0" collapsed="false">
      <c r="A9118" s="7" t="s">
        <v>35</v>
      </c>
      <c r="B9118" s="7" t="s">
        <v>319</v>
      </c>
      <c r="C9118" s="7" t="s">
        <v>1083</v>
      </c>
      <c r="D9118" s="7" t="n">
        <v>0</v>
      </c>
      <c r="E9118" s="7" t="n">
        <v>0</v>
      </c>
      <c r="F9118" s="7" t="n">
        <v>6</v>
      </c>
      <c r="G9118" s="7" t="n">
        <v>218.25</v>
      </c>
    </row>
    <row r="9119" customFormat="false" ht="15" hidden="false" customHeight="false" outlineLevel="0" collapsed="false">
      <c r="A9119" s="7" t="s">
        <v>35</v>
      </c>
      <c r="B9119" s="7" t="s">
        <v>319</v>
      </c>
      <c r="C9119" s="7" t="s">
        <v>1083</v>
      </c>
      <c r="D9119" s="7" t="n">
        <v>6</v>
      </c>
      <c r="E9119" s="7" t="n">
        <v>225.67</v>
      </c>
      <c r="F9119" s="7" t="n">
        <v>0</v>
      </c>
      <c r="G9119" s="7" t="n">
        <v>0</v>
      </c>
    </row>
    <row r="9120" customFormat="false" ht="15" hidden="false" customHeight="false" outlineLevel="0" collapsed="false">
      <c r="A9120" s="7" t="s">
        <v>35</v>
      </c>
      <c r="B9120" s="7" t="s">
        <v>319</v>
      </c>
      <c r="C9120" s="7" t="s">
        <v>1083</v>
      </c>
      <c r="D9120" s="7" t="n">
        <v>0</v>
      </c>
      <c r="E9120" s="7" t="n">
        <v>0</v>
      </c>
      <c r="F9120" s="7" t="n">
        <v>16</v>
      </c>
      <c r="G9120" s="7" t="n">
        <v>542.12</v>
      </c>
    </row>
    <row r="9121" customFormat="false" ht="15" hidden="false" customHeight="false" outlineLevel="0" collapsed="false">
      <c r="A9121" s="7" t="s">
        <v>35</v>
      </c>
      <c r="B9121" s="7" t="s">
        <v>208</v>
      </c>
      <c r="C9121" s="7" t="s">
        <v>1083</v>
      </c>
      <c r="D9121" s="7" t="n">
        <v>3</v>
      </c>
      <c r="E9121" s="7" t="n">
        <v>124.21</v>
      </c>
      <c r="F9121" s="7" t="n">
        <v>0</v>
      </c>
      <c r="G9121" s="7" t="n">
        <v>0</v>
      </c>
    </row>
    <row r="9122" customFormat="false" ht="15" hidden="false" customHeight="false" outlineLevel="0" collapsed="false">
      <c r="A9122" s="7" t="s">
        <v>35</v>
      </c>
      <c r="B9122" s="7" t="s">
        <v>208</v>
      </c>
      <c r="C9122" s="7" t="s">
        <v>1083</v>
      </c>
      <c r="D9122" s="7" t="n">
        <v>10</v>
      </c>
      <c r="E9122" s="7" t="n">
        <v>385.62</v>
      </c>
      <c r="F9122" s="7" t="n">
        <v>0</v>
      </c>
      <c r="G9122" s="7" t="n">
        <v>0</v>
      </c>
    </row>
    <row r="9123" customFormat="false" ht="15" hidden="false" customHeight="false" outlineLevel="0" collapsed="false">
      <c r="A9123" s="7" t="s">
        <v>35</v>
      </c>
      <c r="B9123" s="7" t="s">
        <v>208</v>
      </c>
      <c r="C9123" s="7" t="s">
        <v>1083</v>
      </c>
      <c r="D9123" s="7" t="n">
        <v>12</v>
      </c>
      <c r="E9123" s="7" t="n">
        <v>451.34</v>
      </c>
      <c r="F9123" s="7" t="n">
        <v>0</v>
      </c>
      <c r="G9123" s="7" t="n">
        <v>0</v>
      </c>
    </row>
    <row r="9124" customFormat="false" ht="15" hidden="false" customHeight="false" outlineLevel="0" collapsed="false">
      <c r="A9124" s="7" t="s">
        <v>35</v>
      </c>
      <c r="B9124" s="7" t="s">
        <v>208</v>
      </c>
      <c r="C9124" s="7" t="s">
        <v>1083</v>
      </c>
      <c r="D9124" s="7" t="n">
        <v>0</v>
      </c>
      <c r="E9124" s="7" t="n">
        <v>0</v>
      </c>
      <c r="F9124" s="7" t="n">
        <v>10</v>
      </c>
      <c r="G9124" s="7" t="n">
        <v>363.75</v>
      </c>
    </row>
    <row r="9125" customFormat="false" ht="15" hidden="false" customHeight="false" outlineLevel="0" collapsed="false">
      <c r="A9125" s="7" t="s">
        <v>35</v>
      </c>
      <c r="B9125" s="7" t="s">
        <v>162</v>
      </c>
      <c r="C9125" s="7" t="s">
        <v>1083</v>
      </c>
      <c r="D9125" s="7" t="n">
        <v>0</v>
      </c>
      <c r="E9125" s="7" t="n">
        <v>0</v>
      </c>
      <c r="F9125" s="7" t="n">
        <v>20</v>
      </c>
      <c r="G9125" s="7" t="n">
        <v>727.49</v>
      </c>
    </row>
    <row r="9126" customFormat="false" ht="15" hidden="false" customHeight="false" outlineLevel="0" collapsed="false">
      <c r="A9126" s="7" t="s">
        <v>35</v>
      </c>
      <c r="B9126" s="7" t="s">
        <v>162</v>
      </c>
      <c r="C9126" s="7" t="s">
        <v>1083</v>
      </c>
      <c r="D9126" s="7" t="n">
        <v>12</v>
      </c>
      <c r="E9126" s="7" t="n">
        <v>451.34</v>
      </c>
      <c r="F9126" s="7" t="n">
        <v>0</v>
      </c>
      <c r="G9126" s="7" t="n">
        <v>0</v>
      </c>
    </row>
    <row r="9127" customFormat="false" ht="15" hidden="false" customHeight="false" outlineLevel="0" collapsed="false">
      <c r="A9127" s="7" t="s">
        <v>35</v>
      </c>
      <c r="B9127" s="7" t="s">
        <v>162</v>
      </c>
      <c r="C9127" s="7" t="s">
        <v>1083</v>
      </c>
      <c r="D9127" s="7" t="n">
        <v>10</v>
      </c>
      <c r="E9127" s="7" t="n">
        <v>385.62</v>
      </c>
      <c r="F9127" s="7" t="n">
        <v>0</v>
      </c>
      <c r="G9127" s="7" t="n">
        <v>0</v>
      </c>
    </row>
    <row r="9128" customFormat="false" ht="15" hidden="false" customHeight="false" outlineLevel="0" collapsed="false">
      <c r="A9128" s="7" t="s">
        <v>35</v>
      </c>
      <c r="B9128" s="7" t="s">
        <v>171</v>
      </c>
      <c r="C9128" s="7" t="s">
        <v>1083</v>
      </c>
      <c r="D9128" s="7" t="n">
        <v>6</v>
      </c>
      <c r="E9128" s="7" t="n">
        <v>248.42</v>
      </c>
      <c r="F9128" s="7" t="n">
        <v>0</v>
      </c>
      <c r="G9128" s="7" t="n">
        <v>0</v>
      </c>
    </row>
    <row r="9129" customFormat="false" ht="15" hidden="false" customHeight="false" outlineLevel="0" collapsed="false">
      <c r="A9129" s="7" t="s">
        <v>35</v>
      </c>
      <c r="B9129" s="7" t="s">
        <v>171</v>
      </c>
      <c r="C9129" s="7" t="s">
        <v>1083</v>
      </c>
      <c r="D9129" s="7" t="n">
        <v>0</v>
      </c>
      <c r="E9129" s="7" t="n">
        <v>0</v>
      </c>
      <c r="F9129" s="7" t="n">
        <v>30</v>
      </c>
      <c r="G9129" s="7" t="n">
        <v>1016.48</v>
      </c>
    </row>
    <row r="9130" customFormat="false" ht="15" hidden="false" customHeight="false" outlineLevel="0" collapsed="false">
      <c r="A9130" s="7" t="s">
        <v>35</v>
      </c>
      <c r="B9130" s="7" t="s">
        <v>171</v>
      </c>
      <c r="C9130" s="7" t="s">
        <v>1083</v>
      </c>
      <c r="D9130" s="7" t="n">
        <v>10</v>
      </c>
      <c r="E9130" s="7" t="n">
        <v>385.62</v>
      </c>
      <c r="F9130" s="7" t="n">
        <v>0</v>
      </c>
      <c r="G9130" s="7" t="n">
        <v>0</v>
      </c>
    </row>
    <row r="9131" customFormat="false" ht="15" hidden="false" customHeight="false" outlineLevel="0" collapsed="false">
      <c r="A9131" s="7" t="s">
        <v>35</v>
      </c>
      <c r="B9131" s="7" t="s">
        <v>171</v>
      </c>
      <c r="C9131" s="7" t="s">
        <v>1083</v>
      </c>
      <c r="D9131" s="7" t="n">
        <v>10</v>
      </c>
      <c r="E9131" s="7" t="n">
        <v>376.12</v>
      </c>
      <c r="F9131" s="7" t="n">
        <v>0</v>
      </c>
      <c r="G9131" s="7" t="n">
        <v>0</v>
      </c>
    </row>
    <row r="9132" customFormat="false" ht="15" hidden="false" customHeight="false" outlineLevel="0" collapsed="false">
      <c r="A9132" s="7" t="s">
        <v>35</v>
      </c>
      <c r="B9132" s="7" t="s">
        <v>171</v>
      </c>
      <c r="C9132" s="7" t="s">
        <v>1083</v>
      </c>
      <c r="D9132" s="7" t="n">
        <v>0</v>
      </c>
      <c r="E9132" s="7" t="n">
        <v>0</v>
      </c>
      <c r="F9132" s="7" t="n">
        <v>6</v>
      </c>
      <c r="G9132" s="7" t="n">
        <v>218.25</v>
      </c>
    </row>
    <row r="9133" customFormat="false" ht="15" hidden="false" customHeight="false" outlineLevel="0" collapsed="false">
      <c r="A9133" s="7" t="s">
        <v>35</v>
      </c>
      <c r="B9133" s="7" t="s">
        <v>329</v>
      </c>
      <c r="C9133" s="7" t="s">
        <v>1083</v>
      </c>
      <c r="D9133" s="7" t="n">
        <v>10</v>
      </c>
      <c r="E9133" s="7" t="n">
        <v>376.12</v>
      </c>
      <c r="F9133" s="7" t="n">
        <v>0</v>
      </c>
      <c r="G9133" s="7" t="n">
        <v>0</v>
      </c>
    </row>
    <row r="9134" customFormat="false" ht="15" hidden="false" customHeight="false" outlineLevel="0" collapsed="false">
      <c r="A9134" s="7" t="s">
        <v>35</v>
      </c>
      <c r="B9134" s="7" t="s">
        <v>329</v>
      </c>
      <c r="C9134" s="7" t="s">
        <v>1083</v>
      </c>
      <c r="D9134" s="7" t="n">
        <v>0</v>
      </c>
      <c r="E9134" s="7" t="n">
        <v>0</v>
      </c>
      <c r="F9134" s="7" t="n">
        <v>10</v>
      </c>
      <c r="G9134" s="7" t="n">
        <v>363.75</v>
      </c>
    </row>
    <row r="9135" customFormat="false" ht="15" hidden="false" customHeight="false" outlineLevel="0" collapsed="false">
      <c r="A9135" s="7" t="s">
        <v>35</v>
      </c>
      <c r="B9135" s="7" t="s">
        <v>329</v>
      </c>
      <c r="C9135" s="7" t="s">
        <v>1083</v>
      </c>
      <c r="D9135" s="7" t="n">
        <v>3</v>
      </c>
      <c r="E9135" s="7" t="n">
        <v>124.21</v>
      </c>
      <c r="F9135" s="7" t="n">
        <v>0</v>
      </c>
      <c r="G9135" s="7" t="n">
        <v>0</v>
      </c>
    </row>
    <row r="9136" customFormat="false" ht="15" hidden="false" customHeight="false" outlineLevel="0" collapsed="false">
      <c r="A9136" s="7" t="s">
        <v>35</v>
      </c>
      <c r="B9136" s="7" t="s">
        <v>649</v>
      </c>
      <c r="C9136" s="7" t="s">
        <v>1144</v>
      </c>
      <c r="D9136" s="7" t="n">
        <v>12</v>
      </c>
      <c r="E9136" s="7" t="n">
        <v>393.96</v>
      </c>
      <c r="F9136" s="7" t="n">
        <v>0</v>
      </c>
      <c r="G9136" s="7" t="n">
        <v>0</v>
      </c>
    </row>
    <row r="9137" customFormat="false" ht="15" hidden="false" customHeight="false" outlineLevel="0" collapsed="false">
      <c r="A9137" s="7" t="s">
        <v>35</v>
      </c>
      <c r="B9137" s="7" t="s">
        <v>643</v>
      </c>
      <c r="C9137" s="7" t="s">
        <v>1144</v>
      </c>
      <c r="D9137" s="7" t="n">
        <v>3</v>
      </c>
      <c r="E9137" s="7" t="n">
        <v>98.49</v>
      </c>
      <c r="F9137" s="7" t="n">
        <v>0</v>
      </c>
      <c r="G9137" s="7" t="n">
        <v>0</v>
      </c>
    </row>
    <row r="9138" customFormat="false" ht="15" hidden="false" customHeight="false" outlineLevel="0" collapsed="false">
      <c r="A9138" s="7" t="s">
        <v>35</v>
      </c>
      <c r="B9138" s="7" t="s">
        <v>798</v>
      </c>
      <c r="C9138" s="7" t="s">
        <v>1219</v>
      </c>
      <c r="D9138" s="7" t="n">
        <v>0</v>
      </c>
      <c r="E9138" s="7" t="n">
        <v>0</v>
      </c>
      <c r="F9138" s="7" t="n">
        <v>10</v>
      </c>
      <c r="G9138" s="7" t="n">
        <v>104.71</v>
      </c>
    </row>
    <row r="9139" customFormat="false" ht="15" hidden="false" customHeight="false" outlineLevel="0" collapsed="false">
      <c r="A9139" s="7" t="s">
        <v>35</v>
      </c>
      <c r="B9139" s="7" t="s">
        <v>798</v>
      </c>
      <c r="C9139" s="7" t="s">
        <v>1219</v>
      </c>
      <c r="D9139" s="7" t="n">
        <v>10</v>
      </c>
      <c r="E9139" s="7" t="n">
        <v>108.28</v>
      </c>
      <c r="F9139" s="7" t="n">
        <v>0</v>
      </c>
      <c r="G9139" s="7" t="n">
        <v>0</v>
      </c>
    </row>
    <row r="9140" customFormat="false" ht="15" hidden="false" customHeight="false" outlineLevel="0" collapsed="false">
      <c r="A9140" s="7" t="s">
        <v>35</v>
      </c>
      <c r="B9140" s="7" t="s">
        <v>418</v>
      </c>
      <c r="C9140" s="7" t="s">
        <v>1169</v>
      </c>
      <c r="D9140" s="7" t="n">
        <v>0</v>
      </c>
      <c r="E9140" s="7" t="n">
        <v>0</v>
      </c>
      <c r="F9140" s="7" t="n">
        <v>10</v>
      </c>
      <c r="G9140" s="7" t="n">
        <v>130.43</v>
      </c>
    </row>
    <row r="9141" customFormat="false" ht="15" hidden="false" customHeight="false" outlineLevel="0" collapsed="false">
      <c r="A9141" s="7" t="s">
        <v>35</v>
      </c>
      <c r="B9141" s="7" t="s">
        <v>418</v>
      </c>
      <c r="C9141" s="7" t="s">
        <v>1169</v>
      </c>
      <c r="D9141" s="7" t="n">
        <v>10</v>
      </c>
      <c r="E9141" s="7" t="n">
        <v>138.28</v>
      </c>
      <c r="F9141" s="7" t="n">
        <v>0</v>
      </c>
      <c r="G9141" s="7" t="n">
        <v>0</v>
      </c>
    </row>
    <row r="9142" customFormat="false" ht="15" hidden="false" customHeight="false" outlineLevel="0" collapsed="false">
      <c r="A9142" s="7" t="s">
        <v>35</v>
      </c>
      <c r="B9142" s="7" t="s">
        <v>725</v>
      </c>
      <c r="C9142" s="7" t="s">
        <v>1222</v>
      </c>
      <c r="D9142" s="7" t="n">
        <v>0</v>
      </c>
      <c r="E9142" s="7" t="n">
        <v>0</v>
      </c>
      <c r="F9142" s="7" t="n">
        <v>10</v>
      </c>
      <c r="G9142" s="7" t="n">
        <v>69.81</v>
      </c>
    </row>
    <row r="9143" customFormat="false" ht="15" hidden="false" customHeight="false" outlineLevel="0" collapsed="false">
      <c r="A9143" s="7" t="s">
        <v>35</v>
      </c>
      <c r="B9143" s="7" t="s">
        <v>503</v>
      </c>
      <c r="C9143" s="7" t="s">
        <v>1050</v>
      </c>
      <c r="D9143" s="7" t="n">
        <v>0</v>
      </c>
      <c r="E9143" s="7" t="n">
        <v>0</v>
      </c>
      <c r="F9143" s="7" t="n">
        <v>10</v>
      </c>
      <c r="G9143" s="7" t="n">
        <v>220.45</v>
      </c>
    </row>
    <row r="9144" customFormat="false" ht="15" hidden="false" customHeight="false" outlineLevel="0" collapsed="false">
      <c r="A9144" s="7" t="s">
        <v>35</v>
      </c>
      <c r="B9144" s="7" t="s">
        <v>503</v>
      </c>
      <c r="C9144" s="7" t="s">
        <v>1050</v>
      </c>
      <c r="D9144" s="7" t="n">
        <v>10</v>
      </c>
      <c r="E9144" s="7" t="n">
        <v>233.71</v>
      </c>
      <c r="F9144" s="7" t="n">
        <v>0</v>
      </c>
      <c r="G9144" s="7" t="n">
        <v>0</v>
      </c>
    </row>
    <row r="9145" customFormat="false" ht="15" hidden="false" customHeight="false" outlineLevel="0" collapsed="false">
      <c r="A9145" s="7" t="s">
        <v>35</v>
      </c>
      <c r="B9145" s="7" t="s">
        <v>503</v>
      </c>
      <c r="C9145" s="7" t="s">
        <v>1050</v>
      </c>
      <c r="D9145" s="7" t="n">
        <v>3</v>
      </c>
      <c r="E9145" s="7" t="n">
        <v>75.28</v>
      </c>
      <c r="F9145" s="7" t="n">
        <v>0</v>
      </c>
      <c r="G9145" s="7" t="n">
        <v>0</v>
      </c>
    </row>
    <row r="9146" customFormat="false" ht="15" hidden="false" customHeight="false" outlineLevel="0" collapsed="false">
      <c r="A9146" s="7" t="s">
        <v>35</v>
      </c>
      <c r="B9146" s="7" t="s">
        <v>597</v>
      </c>
      <c r="C9146" s="7" t="s">
        <v>1050</v>
      </c>
      <c r="D9146" s="7" t="n">
        <v>3</v>
      </c>
      <c r="E9146" s="7" t="n">
        <v>75.28</v>
      </c>
      <c r="F9146" s="7" t="n">
        <v>0</v>
      </c>
      <c r="G9146" s="7" t="n">
        <v>0</v>
      </c>
    </row>
    <row r="9147" customFormat="false" ht="15" hidden="false" customHeight="false" outlineLevel="0" collapsed="false">
      <c r="A9147" s="7" t="s">
        <v>35</v>
      </c>
      <c r="B9147" s="7" t="s">
        <v>597</v>
      </c>
      <c r="C9147" s="7" t="s">
        <v>1050</v>
      </c>
      <c r="D9147" s="7" t="n">
        <v>0</v>
      </c>
      <c r="E9147" s="7" t="n">
        <v>0</v>
      </c>
      <c r="F9147" s="7" t="n">
        <v>6</v>
      </c>
      <c r="G9147" s="7" t="n">
        <v>123.21</v>
      </c>
    </row>
    <row r="9148" customFormat="false" ht="15" hidden="false" customHeight="false" outlineLevel="0" collapsed="false">
      <c r="A9148" s="7" t="s">
        <v>35</v>
      </c>
      <c r="B9148" s="7" t="s">
        <v>544</v>
      </c>
      <c r="C9148" s="7" t="s">
        <v>1050</v>
      </c>
      <c r="D9148" s="7" t="n">
        <v>3</v>
      </c>
      <c r="E9148" s="7" t="n">
        <v>75.28</v>
      </c>
      <c r="F9148" s="7" t="n">
        <v>0</v>
      </c>
      <c r="G9148" s="7" t="n">
        <v>0</v>
      </c>
    </row>
    <row r="9149" customFormat="false" ht="15" hidden="false" customHeight="false" outlineLevel="0" collapsed="false">
      <c r="A9149" s="7" t="s">
        <v>35</v>
      </c>
      <c r="B9149" s="7" t="s">
        <v>544</v>
      </c>
      <c r="C9149" s="7" t="s">
        <v>1050</v>
      </c>
      <c r="D9149" s="7" t="n">
        <v>10</v>
      </c>
      <c r="E9149" s="7" t="n">
        <v>227.95</v>
      </c>
      <c r="F9149" s="7" t="n">
        <v>0</v>
      </c>
      <c r="G9149" s="7" t="n">
        <v>0</v>
      </c>
    </row>
    <row r="9150" customFormat="false" ht="15" hidden="false" customHeight="false" outlineLevel="0" collapsed="false">
      <c r="A9150" s="7" t="s">
        <v>35</v>
      </c>
      <c r="B9150" s="7" t="s">
        <v>616</v>
      </c>
      <c r="C9150" s="7" t="s">
        <v>1050</v>
      </c>
      <c r="D9150" s="7" t="n">
        <v>10</v>
      </c>
      <c r="E9150" s="7" t="n">
        <v>233.71</v>
      </c>
      <c r="F9150" s="7" t="n">
        <v>0</v>
      </c>
      <c r="G9150" s="7" t="n">
        <v>0</v>
      </c>
    </row>
    <row r="9151" customFormat="false" ht="15" hidden="false" customHeight="false" outlineLevel="0" collapsed="false">
      <c r="A9151" s="7" t="s">
        <v>35</v>
      </c>
      <c r="B9151" s="7" t="s">
        <v>726</v>
      </c>
      <c r="C9151" s="7" t="s">
        <v>1050</v>
      </c>
      <c r="D9151" s="7" t="n">
        <v>6</v>
      </c>
      <c r="E9151" s="7" t="n">
        <v>140.23</v>
      </c>
      <c r="F9151" s="7" t="n">
        <v>0</v>
      </c>
      <c r="G9151" s="7" t="n">
        <v>0</v>
      </c>
    </row>
    <row r="9152" customFormat="false" ht="15" hidden="false" customHeight="false" outlineLevel="0" collapsed="false">
      <c r="A9152" s="7" t="s">
        <v>35</v>
      </c>
      <c r="B9152" s="7" t="s">
        <v>341</v>
      </c>
      <c r="C9152" s="7" t="s">
        <v>1050</v>
      </c>
      <c r="D9152" s="7" t="n">
        <v>6</v>
      </c>
      <c r="E9152" s="7" t="n">
        <v>140.23</v>
      </c>
      <c r="F9152" s="7" t="n">
        <v>0</v>
      </c>
      <c r="G9152" s="7" t="n">
        <v>0</v>
      </c>
    </row>
    <row r="9153" customFormat="false" ht="15" hidden="false" customHeight="false" outlineLevel="0" collapsed="false">
      <c r="A9153" s="7" t="s">
        <v>35</v>
      </c>
      <c r="B9153" s="7" t="s">
        <v>181</v>
      </c>
      <c r="C9153" s="7" t="s">
        <v>1149</v>
      </c>
      <c r="D9153" s="7" t="n">
        <v>0</v>
      </c>
      <c r="E9153" s="7" t="n">
        <v>0</v>
      </c>
      <c r="F9153" s="7" t="n">
        <v>20</v>
      </c>
      <c r="G9153" s="7" t="n">
        <v>635.64</v>
      </c>
    </row>
    <row r="9154" customFormat="false" ht="15" hidden="false" customHeight="false" outlineLevel="0" collapsed="false">
      <c r="A9154" s="7" t="s">
        <v>35</v>
      </c>
      <c r="B9154" s="7" t="s">
        <v>394</v>
      </c>
      <c r="C9154" s="7" t="s">
        <v>1149</v>
      </c>
      <c r="D9154" s="7" t="n">
        <v>10</v>
      </c>
      <c r="E9154" s="7" t="n">
        <v>328.63</v>
      </c>
      <c r="F9154" s="7" t="n">
        <v>0</v>
      </c>
      <c r="G9154" s="7" t="n">
        <v>0</v>
      </c>
    </row>
    <row r="9155" customFormat="false" ht="15" hidden="false" customHeight="false" outlineLevel="0" collapsed="false">
      <c r="A9155" s="7" t="s">
        <v>35</v>
      </c>
      <c r="B9155" s="7" t="s">
        <v>394</v>
      </c>
      <c r="C9155" s="7" t="s">
        <v>1149</v>
      </c>
      <c r="D9155" s="7" t="n">
        <v>0</v>
      </c>
      <c r="E9155" s="7" t="n">
        <v>0</v>
      </c>
      <c r="F9155" s="7" t="n">
        <v>20</v>
      </c>
      <c r="G9155" s="7" t="n">
        <v>592.1</v>
      </c>
    </row>
    <row r="9156" customFormat="false" ht="15" hidden="false" customHeight="false" outlineLevel="0" collapsed="false">
      <c r="A9156" s="7" t="s">
        <v>35</v>
      </c>
      <c r="B9156" s="7" t="s">
        <v>758</v>
      </c>
      <c r="C9156" s="7" t="s">
        <v>1149</v>
      </c>
      <c r="D9156" s="7" t="n">
        <v>0</v>
      </c>
      <c r="E9156" s="7" t="n">
        <v>0</v>
      </c>
      <c r="F9156" s="7" t="n">
        <v>6</v>
      </c>
      <c r="G9156" s="7" t="n">
        <v>177.63</v>
      </c>
    </row>
    <row r="9157" customFormat="false" ht="15" hidden="false" customHeight="false" outlineLevel="0" collapsed="false">
      <c r="A9157" s="7" t="s">
        <v>35</v>
      </c>
      <c r="B9157" s="7" t="s">
        <v>758</v>
      </c>
      <c r="C9157" s="7" t="s">
        <v>1149</v>
      </c>
      <c r="D9157" s="7" t="n">
        <v>0</v>
      </c>
      <c r="E9157" s="7" t="n">
        <v>0</v>
      </c>
      <c r="F9157" s="7" t="n">
        <v>6</v>
      </c>
      <c r="G9157" s="7" t="n">
        <v>190.69</v>
      </c>
    </row>
    <row r="9158" customFormat="false" ht="15" hidden="false" customHeight="false" outlineLevel="0" collapsed="false">
      <c r="A9158" s="7" t="s">
        <v>35</v>
      </c>
      <c r="B9158" s="7" t="s">
        <v>382</v>
      </c>
      <c r="C9158" s="7" t="s">
        <v>1149</v>
      </c>
      <c r="D9158" s="7" t="n">
        <v>0</v>
      </c>
      <c r="E9158" s="7" t="n">
        <v>0</v>
      </c>
      <c r="F9158" s="7" t="n">
        <v>6</v>
      </c>
      <c r="G9158" s="7" t="n">
        <v>190.69</v>
      </c>
    </row>
    <row r="9159" customFormat="false" ht="15" hidden="false" customHeight="false" outlineLevel="0" collapsed="false">
      <c r="A9159" s="7" t="s">
        <v>35</v>
      </c>
      <c r="B9159" s="7" t="s">
        <v>382</v>
      </c>
      <c r="C9159" s="7" t="s">
        <v>1149</v>
      </c>
      <c r="D9159" s="7" t="n">
        <v>10</v>
      </c>
      <c r="E9159" s="7" t="n">
        <v>336.93</v>
      </c>
      <c r="F9159" s="7" t="n">
        <v>0</v>
      </c>
      <c r="G9159" s="7" t="n">
        <v>0</v>
      </c>
    </row>
    <row r="9160" customFormat="false" ht="15" hidden="false" customHeight="false" outlineLevel="0" collapsed="false">
      <c r="A9160" s="7" t="s">
        <v>35</v>
      </c>
      <c r="B9160" s="7" t="s">
        <v>563</v>
      </c>
      <c r="C9160" s="7" t="s">
        <v>1150</v>
      </c>
      <c r="D9160" s="7" t="n">
        <v>10</v>
      </c>
      <c r="E9160" s="7" t="n">
        <v>112.96</v>
      </c>
      <c r="F9160" s="7" t="n">
        <v>0</v>
      </c>
      <c r="G9160" s="7" t="n">
        <v>0</v>
      </c>
    </row>
    <row r="9161" customFormat="false" ht="15" hidden="false" customHeight="false" outlineLevel="0" collapsed="false">
      <c r="A9161" s="7" t="s">
        <v>35</v>
      </c>
      <c r="B9161" s="7" t="s">
        <v>522</v>
      </c>
      <c r="C9161" s="7" t="s">
        <v>1150</v>
      </c>
      <c r="D9161" s="7" t="n">
        <v>10</v>
      </c>
      <c r="E9161" s="7" t="n">
        <v>112.96</v>
      </c>
      <c r="F9161" s="7" t="n">
        <v>0</v>
      </c>
      <c r="G9161" s="7" t="n">
        <v>0</v>
      </c>
    </row>
    <row r="9162" customFormat="false" ht="15" hidden="false" customHeight="false" outlineLevel="0" collapsed="false">
      <c r="A9162" s="7" t="s">
        <v>35</v>
      </c>
      <c r="B9162" s="7" t="s">
        <v>497</v>
      </c>
      <c r="C9162" s="7" t="s">
        <v>1150</v>
      </c>
      <c r="D9162" s="7" t="n">
        <v>6</v>
      </c>
      <c r="E9162" s="7" t="n">
        <v>67.78</v>
      </c>
      <c r="F9162" s="7" t="n">
        <v>0</v>
      </c>
      <c r="G9162" s="7" t="n">
        <v>0</v>
      </c>
    </row>
    <row r="9163" customFormat="false" ht="15" hidden="false" customHeight="false" outlineLevel="0" collapsed="false">
      <c r="A9163" s="7" t="s">
        <v>35</v>
      </c>
      <c r="B9163" s="7" t="s">
        <v>343</v>
      </c>
      <c r="C9163" s="7" t="s">
        <v>1151</v>
      </c>
      <c r="D9163" s="7" t="n">
        <v>0</v>
      </c>
      <c r="E9163" s="7" t="n">
        <v>0</v>
      </c>
      <c r="F9163" s="7" t="n">
        <v>10</v>
      </c>
      <c r="G9163" s="7" t="n">
        <v>113.9</v>
      </c>
    </row>
    <row r="9164" customFormat="false" ht="15" hidden="false" customHeight="false" outlineLevel="0" collapsed="false">
      <c r="A9164" s="7" t="s">
        <v>35</v>
      </c>
      <c r="B9164" s="7" t="s">
        <v>802</v>
      </c>
      <c r="C9164" s="7" t="s">
        <v>1151</v>
      </c>
      <c r="D9164" s="7" t="n">
        <v>15</v>
      </c>
      <c r="E9164" s="7" t="n">
        <v>194.47</v>
      </c>
      <c r="F9164" s="7" t="n">
        <v>0</v>
      </c>
      <c r="G9164" s="7" t="n">
        <v>0</v>
      </c>
    </row>
    <row r="9165" customFormat="false" ht="15" hidden="false" customHeight="false" outlineLevel="0" collapsed="false">
      <c r="A9165" s="7" t="s">
        <v>35</v>
      </c>
      <c r="B9165" s="7" t="s">
        <v>802</v>
      </c>
      <c r="C9165" s="7" t="s">
        <v>1151</v>
      </c>
      <c r="D9165" s="7" t="n">
        <v>0</v>
      </c>
      <c r="E9165" s="7" t="n">
        <v>0</v>
      </c>
      <c r="F9165" s="7" t="n">
        <v>10</v>
      </c>
      <c r="G9165" s="7" t="n">
        <v>113.9</v>
      </c>
    </row>
    <row r="9166" customFormat="false" ht="15" hidden="false" customHeight="false" outlineLevel="0" collapsed="false">
      <c r="A9166" s="7" t="s">
        <v>35</v>
      </c>
      <c r="B9166" s="7" t="s">
        <v>802</v>
      </c>
      <c r="C9166" s="7" t="s">
        <v>1151</v>
      </c>
      <c r="D9166" s="7" t="n">
        <v>0</v>
      </c>
      <c r="E9166" s="7" t="n">
        <v>0</v>
      </c>
      <c r="F9166" s="7" t="n">
        <v>10</v>
      </c>
      <c r="G9166" s="7" t="n">
        <v>106.1</v>
      </c>
    </row>
    <row r="9167" customFormat="false" ht="15" hidden="false" customHeight="false" outlineLevel="0" collapsed="false">
      <c r="A9167" s="7" t="s">
        <v>35</v>
      </c>
      <c r="B9167" s="7" t="s">
        <v>704</v>
      </c>
      <c r="C9167" s="7" t="s">
        <v>1151</v>
      </c>
      <c r="D9167" s="7" t="n">
        <v>10</v>
      </c>
      <c r="E9167" s="7" t="n">
        <v>117.78</v>
      </c>
      <c r="F9167" s="7" t="n">
        <v>0</v>
      </c>
      <c r="G9167" s="7" t="n">
        <v>0</v>
      </c>
    </row>
    <row r="9168" customFormat="false" ht="15" hidden="false" customHeight="false" outlineLevel="0" collapsed="false">
      <c r="A9168" s="7" t="s">
        <v>35</v>
      </c>
      <c r="B9168" s="7" t="s">
        <v>710</v>
      </c>
      <c r="C9168" s="7" t="s">
        <v>1151</v>
      </c>
      <c r="D9168" s="7" t="n">
        <v>0</v>
      </c>
      <c r="E9168" s="7" t="n">
        <v>0</v>
      </c>
      <c r="F9168" s="7" t="n">
        <v>3</v>
      </c>
      <c r="G9168" s="7" t="n">
        <v>31.83</v>
      </c>
    </row>
    <row r="9169" customFormat="false" ht="15" hidden="false" customHeight="false" outlineLevel="0" collapsed="false">
      <c r="A9169" s="7" t="s">
        <v>35</v>
      </c>
      <c r="B9169" s="7" t="s">
        <v>710</v>
      </c>
      <c r="C9169" s="7" t="s">
        <v>1151</v>
      </c>
      <c r="D9169" s="7" t="n">
        <v>6</v>
      </c>
      <c r="E9169" s="7" t="n">
        <v>77.79</v>
      </c>
      <c r="F9169" s="7" t="n">
        <v>0</v>
      </c>
      <c r="G9169" s="7" t="n">
        <v>0</v>
      </c>
    </row>
    <row r="9170" customFormat="false" ht="15" hidden="false" customHeight="false" outlineLevel="0" collapsed="false">
      <c r="A9170" s="7" t="s">
        <v>35</v>
      </c>
      <c r="B9170" s="7" t="s">
        <v>464</v>
      </c>
      <c r="C9170" s="7" t="s">
        <v>1151</v>
      </c>
      <c r="D9170" s="7" t="n">
        <v>10</v>
      </c>
      <c r="E9170" s="7" t="n">
        <v>120.75</v>
      </c>
      <c r="F9170" s="7" t="n">
        <v>0</v>
      </c>
      <c r="G9170" s="7" t="n">
        <v>0</v>
      </c>
    </row>
    <row r="9171" customFormat="false" ht="15" hidden="false" customHeight="false" outlineLevel="0" collapsed="false">
      <c r="A9171" s="7" t="s">
        <v>35</v>
      </c>
      <c r="B9171" s="7" t="s">
        <v>605</v>
      </c>
      <c r="C9171" s="7" t="s">
        <v>1152</v>
      </c>
      <c r="D9171" s="7" t="n">
        <v>0</v>
      </c>
      <c r="E9171" s="7" t="n">
        <v>0</v>
      </c>
      <c r="F9171" s="7" t="n">
        <v>10</v>
      </c>
      <c r="G9171" s="7" t="n">
        <v>108.39</v>
      </c>
    </row>
    <row r="9172" customFormat="false" ht="15" hidden="false" customHeight="false" outlineLevel="0" collapsed="false">
      <c r="A9172" s="7" t="s">
        <v>35</v>
      </c>
      <c r="B9172" s="7" t="s">
        <v>635</v>
      </c>
      <c r="C9172" s="7" t="s">
        <v>1152</v>
      </c>
      <c r="D9172" s="7" t="n">
        <v>6</v>
      </c>
      <c r="E9172" s="7" t="n">
        <v>67.25</v>
      </c>
      <c r="F9172" s="7" t="n">
        <v>0</v>
      </c>
      <c r="G9172" s="7" t="n">
        <v>0</v>
      </c>
    </row>
    <row r="9173" customFormat="false" ht="15" hidden="false" customHeight="false" outlineLevel="0" collapsed="false">
      <c r="A9173" s="7" t="s">
        <v>35</v>
      </c>
      <c r="B9173" s="7" t="s">
        <v>216</v>
      </c>
      <c r="C9173" s="7" t="s">
        <v>1051</v>
      </c>
      <c r="D9173" s="7" t="n">
        <v>10</v>
      </c>
      <c r="E9173" s="7" t="n">
        <v>269.74</v>
      </c>
      <c r="F9173" s="7" t="n">
        <v>0</v>
      </c>
      <c r="G9173" s="7" t="n">
        <v>0</v>
      </c>
    </row>
    <row r="9174" customFormat="false" ht="15" hidden="false" customHeight="false" outlineLevel="0" collapsed="false">
      <c r="A9174" s="7" t="s">
        <v>35</v>
      </c>
      <c r="B9174" s="7" t="s">
        <v>216</v>
      </c>
      <c r="C9174" s="7" t="s">
        <v>1051</v>
      </c>
      <c r="D9174" s="7" t="n">
        <v>0</v>
      </c>
      <c r="E9174" s="7" t="n">
        <v>0</v>
      </c>
      <c r="F9174" s="7" t="n">
        <v>16</v>
      </c>
      <c r="G9174" s="7" t="n">
        <v>388.8</v>
      </c>
    </row>
    <row r="9175" customFormat="false" ht="15" hidden="false" customHeight="false" outlineLevel="0" collapsed="false">
      <c r="A9175" s="7" t="s">
        <v>35</v>
      </c>
      <c r="B9175" s="7" t="s">
        <v>125</v>
      </c>
      <c r="C9175" s="7" t="s">
        <v>1052</v>
      </c>
      <c r="D9175" s="7" t="n">
        <v>20</v>
      </c>
      <c r="E9175" s="7" t="n">
        <v>627.33</v>
      </c>
      <c r="F9175" s="7" t="n">
        <v>0</v>
      </c>
      <c r="G9175" s="7" t="n">
        <v>0</v>
      </c>
    </row>
    <row r="9176" customFormat="false" ht="15" hidden="false" customHeight="false" outlineLevel="0" collapsed="false">
      <c r="A9176" s="7" t="s">
        <v>35</v>
      </c>
      <c r="B9176" s="7" t="s">
        <v>125</v>
      </c>
      <c r="C9176" s="7" t="s">
        <v>1052</v>
      </c>
      <c r="D9176" s="7" t="n">
        <v>0</v>
      </c>
      <c r="E9176" s="7" t="n">
        <v>0</v>
      </c>
      <c r="F9176" s="7" t="n">
        <v>30</v>
      </c>
      <c r="G9176" s="7" t="n">
        <v>826.7</v>
      </c>
    </row>
    <row r="9177" customFormat="false" ht="15" hidden="false" customHeight="false" outlineLevel="0" collapsed="false">
      <c r="A9177" s="7" t="s">
        <v>35</v>
      </c>
      <c r="B9177" s="7" t="s">
        <v>125</v>
      </c>
      <c r="C9177" s="7" t="s">
        <v>1052</v>
      </c>
      <c r="D9177" s="7" t="n">
        <v>0</v>
      </c>
      <c r="E9177" s="7" t="n">
        <v>0</v>
      </c>
      <c r="F9177" s="7" t="n">
        <v>20</v>
      </c>
      <c r="G9177" s="7" t="n">
        <v>513.38</v>
      </c>
    </row>
    <row r="9178" customFormat="false" ht="15" hidden="false" customHeight="false" outlineLevel="0" collapsed="false">
      <c r="A9178" s="7" t="s">
        <v>35</v>
      </c>
      <c r="B9178" s="7" t="s">
        <v>125</v>
      </c>
      <c r="C9178" s="7" t="s">
        <v>1052</v>
      </c>
      <c r="D9178" s="7" t="n">
        <v>10</v>
      </c>
      <c r="E9178" s="7" t="n">
        <v>292.14</v>
      </c>
      <c r="F9178" s="7" t="n">
        <v>0</v>
      </c>
      <c r="G9178" s="7" t="n">
        <v>0</v>
      </c>
    </row>
    <row r="9179" customFormat="false" ht="15" hidden="false" customHeight="false" outlineLevel="0" collapsed="false">
      <c r="A9179" s="7" t="s">
        <v>35</v>
      </c>
      <c r="B9179" s="7" t="s">
        <v>639</v>
      </c>
      <c r="C9179" s="7" t="s">
        <v>1224</v>
      </c>
      <c r="D9179" s="7" t="n">
        <v>10</v>
      </c>
      <c r="E9179" s="7" t="n">
        <v>341.93</v>
      </c>
      <c r="F9179" s="7" t="n">
        <v>0</v>
      </c>
      <c r="G9179" s="7" t="n">
        <v>0</v>
      </c>
    </row>
    <row r="9180" customFormat="false" ht="15" hidden="false" customHeight="false" outlineLevel="0" collapsed="false">
      <c r="A9180" s="7" t="s">
        <v>35</v>
      </c>
      <c r="B9180" s="7" t="s">
        <v>159</v>
      </c>
      <c r="C9180" s="7" t="s">
        <v>1087</v>
      </c>
      <c r="D9180" s="7" t="n">
        <v>0</v>
      </c>
      <c r="E9180" s="7" t="n">
        <v>0</v>
      </c>
      <c r="F9180" s="7" t="n">
        <v>10</v>
      </c>
      <c r="G9180" s="7" t="n">
        <v>136.9</v>
      </c>
    </row>
    <row r="9181" customFormat="false" ht="15" hidden="false" customHeight="false" outlineLevel="0" collapsed="false">
      <c r="A9181" s="7" t="s">
        <v>35</v>
      </c>
      <c r="B9181" s="7" t="s">
        <v>159</v>
      </c>
      <c r="C9181" s="7" t="s">
        <v>1087</v>
      </c>
      <c r="D9181" s="7" t="n">
        <v>6</v>
      </c>
      <c r="E9181" s="7" t="n">
        <v>93.48</v>
      </c>
      <c r="F9181" s="7" t="n">
        <v>0</v>
      </c>
      <c r="G9181" s="7" t="n">
        <v>0</v>
      </c>
    </row>
    <row r="9182" customFormat="false" ht="15" hidden="false" customHeight="false" outlineLevel="0" collapsed="false">
      <c r="A9182" s="7" t="s">
        <v>35</v>
      </c>
      <c r="B9182" s="7" t="s">
        <v>159</v>
      </c>
      <c r="C9182" s="7" t="s">
        <v>1087</v>
      </c>
      <c r="D9182" s="7" t="n">
        <v>15</v>
      </c>
      <c r="E9182" s="7" t="n">
        <v>250.93</v>
      </c>
      <c r="F9182" s="7" t="n">
        <v>0</v>
      </c>
      <c r="G9182" s="7" t="n">
        <v>0</v>
      </c>
    </row>
    <row r="9183" customFormat="false" ht="15" hidden="false" customHeight="false" outlineLevel="0" collapsed="false">
      <c r="A9183" s="7" t="s">
        <v>35</v>
      </c>
      <c r="B9183" s="7" t="s">
        <v>185</v>
      </c>
      <c r="C9183" s="7" t="s">
        <v>1053</v>
      </c>
      <c r="D9183" s="7" t="n">
        <v>10</v>
      </c>
      <c r="E9183" s="7" t="n">
        <v>171.39</v>
      </c>
      <c r="F9183" s="7" t="n">
        <v>0</v>
      </c>
      <c r="G9183" s="7" t="n">
        <v>0</v>
      </c>
    </row>
    <row r="9184" customFormat="false" ht="15" hidden="false" customHeight="false" outlineLevel="0" collapsed="false">
      <c r="A9184" s="7" t="s">
        <v>35</v>
      </c>
      <c r="B9184" s="7" t="s">
        <v>650</v>
      </c>
      <c r="C9184" s="7" t="s">
        <v>1088</v>
      </c>
      <c r="D9184" s="7" t="n">
        <v>10</v>
      </c>
      <c r="E9184" s="7" t="n">
        <v>66.22</v>
      </c>
      <c r="F9184" s="7" t="n">
        <v>0</v>
      </c>
      <c r="G9184" s="7" t="n">
        <v>0</v>
      </c>
    </row>
    <row r="9185" customFormat="false" ht="15" hidden="false" customHeight="false" outlineLevel="0" collapsed="false">
      <c r="A9185" s="7" t="s">
        <v>35</v>
      </c>
      <c r="B9185" s="7" t="s">
        <v>650</v>
      </c>
      <c r="C9185" s="7" t="s">
        <v>1088</v>
      </c>
      <c r="D9185" s="7" t="n">
        <v>0</v>
      </c>
      <c r="E9185" s="7" t="n">
        <v>0</v>
      </c>
      <c r="F9185" s="7" t="n">
        <v>6</v>
      </c>
      <c r="G9185" s="7" t="n">
        <v>37.48</v>
      </c>
    </row>
    <row r="9186" customFormat="false" ht="15" hidden="false" customHeight="false" outlineLevel="0" collapsed="false">
      <c r="A9186" s="7" t="s">
        <v>35</v>
      </c>
      <c r="B9186" s="7" t="s">
        <v>516</v>
      </c>
      <c r="C9186" s="7" t="s">
        <v>1171</v>
      </c>
      <c r="D9186" s="7" t="n">
        <v>10</v>
      </c>
      <c r="E9186" s="7" t="n">
        <v>68.39</v>
      </c>
      <c r="F9186" s="7" t="n">
        <v>0</v>
      </c>
      <c r="G9186" s="7" t="n">
        <v>0</v>
      </c>
    </row>
    <row r="9187" customFormat="false" ht="15" hidden="false" customHeight="false" outlineLevel="0" collapsed="false">
      <c r="A9187" s="7" t="s">
        <v>35</v>
      </c>
      <c r="B9187" s="7" t="s">
        <v>516</v>
      </c>
      <c r="C9187" s="7" t="s">
        <v>1171</v>
      </c>
      <c r="D9187" s="7" t="n">
        <v>0</v>
      </c>
      <c r="E9187" s="7" t="n">
        <v>0</v>
      </c>
      <c r="F9187" s="7" t="n">
        <v>10</v>
      </c>
      <c r="G9187" s="7" t="n">
        <v>61.61</v>
      </c>
    </row>
    <row r="9188" customFormat="false" ht="15" hidden="false" customHeight="false" outlineLevel="0" collapsed="false">
      <c r="A9188" s="7" t="s">
        <v>35</v>
      </c>
      <c r="B9188" s="7" t="s">
        <v>515</v>
      </c>
      <c r="C9188" s="7" t="s">
        <v>1226</v>
      </c>
      <c r="D9188" s="7" t="n">
        <v>10</v>
      </c>
      <c r="E9188" s="7" t="n">
        <v>41.41</v>
      </c>
      <c r="F9188" s="7" t="n">
        <v>0</v>
      </c>
      <c r="G9188" s="7" t="n">
        <v>0</v>
      </c>
    </row>
    <row r="9189" customFormat="false" ht="15" hidden="false" customHeight="false" outlineLevel="0" collapsed="false">
      <c r="A9189" s="7" t="s">
        <v>35</v>
      </c>
      <c r="B9189" s="7" t="s">
        <v>134</v>
      </c>
      <c r="C9189" s="7" t="s">
        <v>1093</v>
      </c>
      <c r="D9189" s="7" t="n">
        <v>0</v>
      </c>
      <c r="E9189" s="7" t="n">
        <v>0</v>
      </c>
      <c r="F9189" s="7" t="n">
        <v>10</v>
      </c>
      <c r="G9189" s="7" t="n">
        <v>170.85</v>
      </c>
    </row>
    <row r="9190" customFormat="false" ht="15" hidden="false" customHeight="false" outlineLevel="0" collapsed="false">
      <c r="A9190" s="7" t="s">
        <v>35</v>
      </c>
      <c r="B9190" s="7" t="s">
        <v>217</v>
      </c>
      <c r="C9190" s="7" t="s">
        <v>1094</v>
      </c>
      <c r="D9190" s="7" t="n">
        <v>10</v>
      </c>
      <c r="E9190" s="7" t="n">
        <v>148.02</v>
      </c>
      <c r="F9190" s="7" t="n">
        <v>0</v>
      </c>
      <c r="G9190" s="7" t="n">
        <v>0</v>
      </c>
    </row>
    <row r="9191" customFormat="false" ht="15" hidden="false" customHeight="false" outlineLevel="0" collapsed="false">
      <c r="A9191" s="7" t="s">
        <v>35</v>
      </c>
      <c r="B9191" s="7" t="s">
        <v>367</v>
      </c>
      <c r="C9191" s="7" t="s">
        <v>1095</v>
      </c>
      <c r="D9191" s="7" t="n">
        <v>0</v>
      </c>
      <c r="E9191" s="7" t="n">
        <v>0</v>
      </c>
      <c r="F9191" s="7" t="n">
        <v>10</v>
      </c>
      <c r="G9191" s="7" t="n">
        <v>345.02</v>
      </c>
    </row>
    <row r="9192" customFormat="false" ht="15" hidden="false" customHeight="false" outlineLevel="0" collapsed="false">
      <c r="A9192" s="7" t="s">
        <v>35</v>
      </c>
      <c r="B9192" s="7" t="s">
        <v>367</v>
      </c>
      <c r="C9192" s="7" t="s">
        <v>1095</v>
      </c>
      <c r="D9192" s="7" t="n">
        <v>0</v>
      </c>
      <c r="E9192" s="7" t="n">
        <v>0</v>
      </c>
      <c r="F9192" s="7" t="n">
        <v>6</v>
      </c>
      <c r="G9192" s="7" t="n">
        <v>66.14</v>
      </c>
    </row>
    <row r="9193" customFormat="false" ht="15" hidden="false" customHeight="false" outlineLevel="0" collapsed="false">
      <c r="A9193" s="7" t="s">
        <v>35</v>
      </c>
      <c r="B9193" s="7" t="s">
        <v>367</v>
      </c>
      <c r="C9193" s="7" t="s">
        <v>1095</v>
      </c>
      <c r="D9193" s="7" t="n">
        <v>0</v>
      </c>
      <c r="E9193" s="7" t="n">
        <v>0</v>
      </c>
      <c r="F9193" s="7" t="n">
        <v>-10</v>
      </c>
      <c r="G9193" s="7" t="n">
        <v>-231.62</v>
      </c>
    </row>
    <row r="9194" customFormat="false" ht="15" hidden="false" customHeight="false" outlineLevel="0" collapsed="false">
      <c r="A9194" s="7" t="s">
        <v>35</v>
      </c>
      <c r="B9194" s="7" t="s">
        <v>661</v>
      </c>
      <c r="C9194" s="7" t="s">
        <v>1096</v>
      </c>
      <c r="D9194" s="7" t="n">
        <v>0</v>
      </c>
      <c r="E9194" s="7" t="n">
        <v>0</v>
      </c>
      <c r="F9194" s="7" t="n">
        <v>100</v>
      </c>
      <c r="G9194" s="7" t="n">
        <v>661.36</v>
      </c>
    </row>
    <row r="9195" customFormat="false" ht="15" hidden="false" customHeight="false" outlineLevel="0" collapsed="false">
      <c r="A9195" s="7" t="s">
        <v>35</v>
      </c>
      <c r="B9195" s="7" t="s">
        <v>661</v>
      </c>
      <c r="C9195" s="7" t="s">
        <v>1096</v>
      </c>
      <c r="D9195" s="7" t="n">
        <v>50</v>
      </c>
      <c r="E9195" s="7" t="n">
        <v>376.4</v>
      </c>
      <c r="F9195" s="7" t="n">
        <v>0</v>
      </c>
      <c r="G9195" s="7" t="n">
        <v>0</v>
      </c>
    </row>
    <row r="9196" customFormat="false" ht="15" hidden="false" customHeight="false" outlineLevel="0" collapsed="false">
      <c r="A9196" s="7" t="s">
        <v>35</v>
      </c>
      <c r="B9196" s="7" t="s">
        <v>590</v>
      </c>
      <c r="C9196" s="7" t="s">
        <v>1097</v>
      </c>
      <c r="D9196" s="7" t="n">
        <v>150</v>
      </c>
      <c r="E9196" s="7" t="n">
        <v>1254.66</v>
      </c>
      <c r="F9196" s="7" t="n">
        <v>0</v>
      </c>
      <c r="G9196" s="7" t="n">
        <v>0</v>
      </c>
    </row>
    <row r="9197" customFormat="false" ht="15" hidden="false" customHeight="false" outlineLevel="0" collapsed="false">
      <c r="A9197" s="7" t="s">
        <v>35</v>
      </c>
      <c r="B9197" s="7" t="s">
        <v>590</v>
      </c>
      <c r="C9197" s="7" t="s">
        <v>1097</v>
      </c>
      <c r="D9197" s="7" t="n">
        <v>0</v>
      </c>
      <c r="E9197" s="7" t="n">
        <v>0</v>
      </c>
      <c r="F9197" s="7" t="n">
        <v>50</v>
      </c>
      <c r="G9197" s="7" t="n">
        <v>367.42</v>
      </c>
    </row>
    <row r="9198" customFormat="false" ht="15" hidden="false" customHeight="false" outlineLevel="0" collapsed="false">
      <c r="A9198" s="7" t="s">
        <v>35</v>
      </c>
      <c r="B9198" s="7" t="s">
        <v>735</v>
      </c>
      <c r="C9198" s="7" t="s">
        <v>1098</v>
      </c>
      <c r="D9198" s="7" t="n">
        <v>50</v>
      </c>
      <c r="E9198" s="7" t="n">
        <v>467.42</v>
      </c>
      <c r="F9198" s="7" t="n">
        <v>0</v>
      </c>
      <c r="G9198" s="7" t="n">
        <v>0</v>
      </c>
    </row>
    <row r="9199" customFormat="false" ht="15" hidden="false" customHeight="false" outlineLevel="0" collapsed="false">
      <c r="A9199" s="7" t="s">
        <v>35</v>
      </c>
      <c r="B9199" s="7" t="s">
        <v>642</v>
      </c>
      <c r="C9199" s="7" t="s">
        <v>1231</v>
      </c>
      <c r="D9199" s="7" t="n">
        <v>0</v>
      </c>
      <c r="E9199" s="7" t="n">
        <v>0</v>
      </c>
      <c r="F9199" s="7" t="n">
        <v>6</v>
      </c>
      <c r="G9199" s="7" t="n">
        <v>86.25</v>
      </c>
    </row>
    <row r="9200" customFormat="false" ht="15" hidden="false" customHeight="false" outlineLevel="0" collapsed="false">
      <c r="A9200" s="7" t="s">
        <v>35</v>
      </c>
      <c r="B9200" s="7" t="s">
        <v>642</v>
      </c>
      <c r="C9200" s="7" t="s">
        <v>1231</v>
      </c>
      <c r="D9200" s="7" t="n">
        <v>10</v>
      </c>
      <c r="E9200" s="7" t="n">
        <v>159.57</v>
      </c>
      <c r="F9200" s="7" t="n">
        <v>0</v>
      </c>
      <c r="G9200" s="7" t="n">
        <v>0</v>
      </c>
    </row>
    <row r="9201" customFormat="false" ht="15" hidden="false" customHeight="false" outlineLevel="0" collapsed="false">
      <c r="A9201" s="7" t="s">
        <v>35</v>
      </c>
      <c r="B9201" s="7" t="s">
        <v>642</v>
      </c>
      <c r="C9201" s="7" t="s">
        <v>1231</v>
      </c>
      <c r="D9201" s="7" t="n">
        <v>12</v>
      </c>
      <c r="E9201" s="7" t="n">
        <v>210.78</v>
      </c>
      <c r="F9201" s="7" t="n">
        <v>0</v>
      </c>
      <c r="G9201" s="7" t="n">
        <v>0</v>
      </c>
    </row>
    <row r="9202" customFormat="false" ht="15" hidden="false" customHeight="false" outlineLevel="0" collapsed="false">
      <c r="A9202" s="7" t="s">
        <v>35</v>
      </c>
      <c r="B9202" s="7" t="s">
        <v>570</v>
      </c>
      <c r="C9202" s="7" t="s">
        <v>1231</v>
      </c>
      <c r="D9202" s="7" t="n">
        <v>0</v>
      </c>
      <c r="E9202" s="7" t="n">
        <v>0</v>
      </c>
      <c r="F9202" s="7" t="n">
        <v>20</v>
      </c>
      <c r="G9202" s="7" t="n">
        <v>308.63</v>
      </c>
    </row>
    <row r="9203" customFormat="false" ht="15" hidden="false" customHeight="false" outlineLevel="0" collapsed="false">
      <c r="A9203" s="7" t="s">
        <v>35</v>
      </c>
      <c r="B9203" s="7" t="s">
        <v>570</v>
      </c>
      <c r="C9203" s="7" t="s">
        <v>1231</v>
      </c>
      <c r="D9203" s="7" t="n">
        <v>10</v>
      </c>
      <c r="E9203" s="7" t="n">
        <v>159.57</v>
      </c>
      <c r="F9203" s="7" t="n">
        <v>0</v>
      </c>
      <c r="G9203" s="7" t="n">
        <v>0</v>
      </c>
    </row>
    <row r="9204" customFormat="false" ht="15" hidden="false" customHeight="false" outlineLevel="0" collapsed="false">
      <c r="A9204" s="7" t="s">
        <v>35</v>
      </c>
      <c r="B9204" s="7" t="s">
        <v>570</v>
      </c>
      <c r="C9204" s="7" t="s">
        <v>1231</v>
      </c>
      <c r="D9204" s="7" t="n">
        <v>18</v>
      </c>
      <c r="E9204" s="7" t="n">
        <v>316.17</v>
      </c>
      <c r="F9204" s="7" t="n">
        <v>0</v>
      </c>
      <c r="G9204" s="7" t="n">
        <v>0</v>
      </c>
    </row>
    <row r="9205" customFormat="false" ht="15" hidden="false" customHeight="false" outlineLevel="0" collapsed="false">
      <c r="A9205" s="7" t="s">
        <v>35</v>
      </c>
      <c r="B9205" s="7" t="s">
        <v>317</v>
      </c>
      <c r="C9205" s="7" t="s">
        <v>1231</v>
      </c>
      <c r="D9205" s="7" t="n">
        <v>0</v>
      </c>
      <c r="E9205" s="7" t="n">
        <v>0</v>
      </c>
      <c r="F9205" s="7" t="n">
        <v>30</v>
      </c>
      <c r="G9205" s="7" t="n">
        <v>462.95</v>
      </c>
    </row>
    <row r="9206" customFormat="false" ht="15" hidden="false" customHeight="false" outlineLevel="0" collapsed="false">
      <c r="A9206" s="7" t="s">
        <v>35</v>
      </c>
      <c r="B9206" s="7" t="s">
        <v>317</v>
      </c>
      <c r="C9206" s="7" t="s">
        <v>1231</v>
      </c>
      <c r="D9206" s="7" t="n">
        <v>20</v>
      </c>
      <c r="E9206" s="7" t="n">
        <v>319.13</v>
      </c>
      <c r="F9206" s="7" t="n">
        <v>0</v>
      </c>
      <c r="G9206" s="7" t="n">
        <v>0</v>
      </c>
    </row>
    <row r="9207" customFormat="false" ht="15" hidden="false" customHeight="false" outlineLevel="0" collapsed="false">
      <c r="A9207" s="7" t="s">
        <v>35</v>
      </c>
      <c r="B9207" s="7" t="s">
        <v>317</v>
      </c>
      <c r="C9207" s="7" t="s">
        <v>1231</v>
      </c>
      <c r="D9207" s="7" t="n">
        <v>36</v>
      </c>
      <c r="E9207" s="7" t="n">
        <v>632.35</v>
      </c>
      <c r="F9207" s="7" t="n">
        <v>0</v>
      </c>
      <c r="G9207" s="7" t="n">
        <v>0</v>
      </c>
    </row>
    <row r="9208" customFormat="false" ht="15" hidden="false" customHeight="false" outlineLevel="0" collapsed="false">
      <c r="A9208" s="7" t="s">
        <v>35</v>
      </c>
      <c r="B9208" s="7" t="s">
        <v>317</v>
      </c>
      <c r="C9208" s="7" t="s">
        <v>1231</v>
      </c>
      <c r="D9208" s="7" t="n">
        <v>0</v>
      </c>
      <c r="E9208" s="7" t="n">
        <v>0</v>
      </c>
      <c r="F9208" s="7" t="n">
        <v>10</v>
      </c>
      <c r="G9208" s="7" t="n">
        <v>143.75</v>
      </c>
    </row>
    <row r="9209" customFormat="false" ht="15" hidden="false" customHeight="false" outlineLevel="0" collapsed="false">
      <c r="A9209" s="7" t="s">
        <v>35</v>
      </c>
      <c r="B9209" s="7" t="s">
        <v>409</v>
      </c>
      <c r="C9209" s="7" t="s">
        <v>1231</v>
      </c>
      <c r="D9209" s="7" t="n">
        <v>0</v>
      </c>
      <c r="E9209" s="7" t="n">
        <v>0</v>
      </c>
      <c r="F9209" s="7" t="n">
        <v>10</v>
      </c>
      <c r="G9209" s="7" t="n">
        <v>143.75</v>
      </c>
    </row>
    <row r="9210" customFormat="false" ht="15" hidden="false" customHeight="false" outlineLevel="0" collapsed="false">
      <c r="A9210" s="7" t="s">
        <v>35</v>
      </c>
      <c r="B9210" s="7" t="s">
        <v>409</v>
      </c>
      <c r="C9210" s="7" t="s">
        <v>1231</v>
      </c>
      <c r="D9210" s="7" t="n">
        <v>36</v>
      </c>
      <c r="E9210" s="7" t="n">
        <v>632.35</v>
      </c>
      <c r="F9210" s="7" t="n">
        <v>0</v>
      </c>
      <c r="G9210" s="7" t="n">
        <v>0</v>
      </c>
    </row>
    <row r="9211" customFormat="false" ht="15" hidden="false" customHeight="false" outlineLevel="0" collapsed="false">
      <c r="A9211" s="7" t="s">
        <v>35</v>
      </c>
      <c r="B9211" s="7" t="s">
        <v>409</v>
      </c>
      <c r="C9211" s="7" t="s">
        <v>1231</v>
      </c>
      <c r="D9211" s="7" t="n">
        <v>40</v>
      </c>
      <c r="E9211" s="7" t="n">
        <v>638.27</v>
      </c>
      <c r="F9211" s="7" t="n">
        <v>0</v>
      </c>
      <c r="G9211" s="7" t="n">
        <v>0</v>
      </c>
    </row>
    <row r="9212" customFormat="false" ht="15" hidden="false" customHeight="false" outlineLevel="0" collapsed="false">
      <c r="A9212" s="7" t="s">
        <v>35</v>
      </c>
      <c r="B9212" s="7" t="s">
        <v>660</v>
      </c>
      <c r="C9212" s="7" t="s">
        <v>1231</v>
      </c>
      <c r="D9212" s="7" t="n">
        <v>12</v>
      </c>
      <c r="E9212" s="7" t="n">
        <v>210.78</v>
      </c>
      <c r="F9212" s="7" t="n">
        <v>0</v>
      </c>
      <c r="G9212" s="7" t="n">
        <v>0</v>
      </c>
    </row>
    <row r="9213" customFormat="false" ht="15" hidden="false" customHeight="false" outlineLevel="0" collapsed="false">
      <c r="A9213" s="7" t="s">
        <v>35</v>
      </c>
      <c r="B9213" s="7" t="s">
        <v>660</v>
      </c>
      <c r="C9213" s="7" t="s">
        <v>1231</v>
      </c>
      <c r="D9213" s="7" t="n">
        <v>0</v>
      </c>
      <c r="E9213" s="7" t="n">
        <v>0</v>
      </c>
      <c r="F9213" s="7" t="n">
        <v>6</v>
      </c>
      <c r="G9213" s="7" t="n">
        <v>92.59</v>
      </c>
    </row>
    <row r="9214" customFormat="false" ht="15" hidden="false" customHeight="false" outlineLevel="0" collapsed="false">
      <c r="A9214" s="7" t="s">
        <v>35</v>
      </c>
      <c r="B9214" s="7" t="s">
        <v>660</v>
      </c>
      <c r="C9214" s="7" t="s">
        <v>1231</v>
      </c>
      <c r="D9214" s="7" t="n">
        <v>10</v>
      </c>
      <c r="E9214" s="7" t="n">
        <v>159.57</v>
      </c>
      <c r="F9214" s="7" t="n">
        <v>0</v>
      </c>
      <c r="G9214" s="7" t="n">
        <v>0</v>
      </c>
    </row>
    <row r="9215" customFormat="false" ht="15" hidden="false" customHeight="false" outlineLevel="0" collapsed="false">
      <c r="A9215" s="7" t="s">
        <v>35</v>
      </c>
      <c r="B9215" s="7" t="s">
        <v>182</v>
      </c>
      <c r="C9215" s="7" t="s">
        <v>1232</v>
      </c>
      <c r="D9215" s="7" t="n">
        <v>24</v>
      </c>
      <c r="E9215" s="7" t="n">
        <v>1179.38</v>
      </c>
      <c r="F9215" s="7" t="n">
        <v>0</v>
      </c>
      <c r="G9215" s="7" t="n">
        <v>0</v>
      </c>
    </row>
    <row r="9216" customFormat="false" ht="15" hidden="false" customHeight="false" outlineLevel="0" collapsed="false">
      <c r="A9216" s="7" t="s">
        <v>35</v>
      </c>
      <c r="B9216" s="7" t="s">
        <v>182</v>
      </c>
      <c r="C9216" s="7" t="s">
        <v>1232</v>
      </c>
      <c r="D9216" s="7" t="n">
        <v>10</v>
      </c>
      <c r="E9216" s="7" t="n">
        <v>457.69</v>
      </c>
      <c r="F9216" s="7" t="n">
        <v>0</v>
      </c>
      <c r="G9216" s="7" t="n">
        <v>0</v>
      </c>
    </row>
    <row r="9217" customFormat="false" ht="15" hidden="false" customHeight="false" outlineLevel="0" collapsed="false">
      <c r="A9217" s="7" t="s">
        <v>35</v>
      </c>
      <c r="B9217" s="7" t="s">
        <v>182</v>
      </c>
      <c r="C9217" s="7" t="s">
        <v>1232</v>
      </c>
      <c r="D9217" s="7" t="n">
        <v>1</v>
      </c>
      <c r="E9217" s="7" t="n">
        <v>0.04</v>
      </c>
      <c r="F9217" s="7" t="n">
        <v>0</v>
      </c>
      <c r="G9217" s="7" t="n">
        <v>0</v>
      </c>
    </row>
    <row r="9218" customFormat="false" ht="15" hidden="false" customHeight="false" outlineLevel="0" collapsed="false">
      <c r="A9218" s="7" t="s">
        <v>35</v>
      </c>
      <c r="B9218" s="7" t="s">
        <v>306</v>
      </c>
      <c r="C9218" s="7" t="s">
        <v>1232</v>
      </c>
      <c r="D9218" s="7" t="n">
        <v>20</v>
      </c>
      <c r="E9218" s="7" t="n">
        <v>915.37</v>
      </c>
      <c r="F9218" s="7" t="n">
        <v>0</v>
      </c>
      <c r="G9218" s="7" t="n">
        <v>0</v>
      </c>
    </row>
    <row r="9219" customFormat="false" ht="15" hidden="false" customHeight="false" outlineLevel="0" collapsed="false">
      <c r="A9219" s="7" t="s">
        <v>35</v>
      </c>
      <c r="B9219" s="7" t="s">
        <v>306</v>
      </c>
      <c r="C9219" s="7" t="s">
        <v>1232</v>
      </c>
      <c r="D9219" s="7" t="n">
        <v>24</v>
      </c>
      <c r="E9219" s="7" t="n">
        <v>1179.38</v>
      </c>
      <c r="F9219" s="7" t="n">
        <v>0</v>
      </c>
      <c r="G9219" s="7" t="n">
        <v>0</v>
      </c>
    </row>
    <row r="9220" customFormat="false" ht="15" hidden="false" customHeight="false" outlineLevel="0" collapsed="false">
      <c r="A9220" s="7" t="s">
        <v>35</v>
      </c>
      <c r="B9220" s="7" t="s">
        <v>191</v>
      </c>
      <c r="C9220" s="7" t="s">
        <v>1232</v>
      </c>
      <c r="D9220" s="7" t="n">
        <v>24</v>
      </c>
      <c r="E9220" s="7" t="n">
        <v>1179.38</v>
      </c>
      <c r="F9220" s="7" t="n">
        <v>0</v>
      </c>
      <c r="G9220" s="7" t="n">
        <v>0</v>
      </c>
    </row>
    <row r="9221" customFormat="false" ht="15" hidden="false" customHeight="false" outlineLevel="0" collapsed="false">
      <c r="A9221" s="7" t="s">
        <v>35</v>
      </c>
      <c r="B9221" s="7" t="s">
        <v>191</v>
      </c>
      <c r="C9221" s="7" t="s">
        <v>1232</v>
      </c>
      <c r="D9221" s="7" t="n">
        <v>20</v>
      </c>
      <c r="E9221" s="7" t="n">
        <v>915.37</v>
      </c>
      <c r="F9221" s="7" t="n">
        <v>0</v>
      </c>
      <c r="G9221" s="7" t="n">
        <v>0</v>
      </c>
    </row>
    <row r="9222" customFormat="false" ht="15" hidden="false" customHeight="false" outlineLevel="0" collapsed="false">
      <c r="A9222" s="7" t="s">
        <v>35</v>
      </c>
      <c r="B9222" s="7" t="s">
        <v>191</v>
      </c>
      <c r="C9222" s="7" t="s">
        <v>1232</v>
      </c>
      <c r="D9222" s="7" t="n">
        <v>20</v>
      </c>
      <c r="E9222" s="7" t="n">
        <v>892.81</v>
      </c>
      <c r="F9222" s="7" t="n">
        <v>0</v>
      </c>
      <c r="G9222" s="7" t="n">
        <v>0</v>
      </c>
    </row>
    <row r="9223" customFormat="false" ht="15" hidden="false" customHeight="false" outlineLevel="0" collapsed="false">
      <c r="A9223" s="7" t="s">
        <v>35</v>
      </c>
      <c r="B9223" s="7" t="s">
        <v>461</v>
      </c>
      <c r="C9223" s="7" t="s">
        <v>1233</v>
      </c>
      <c r="D9223" s="7" t="n">
        <v>10</v>
      </c>
      <c r="E9223" s="7" t="n">
        <v>457.69</v>
      </c>
      <c r="F9223" s="7" t="n">
        <v>0</v>
      </c>
      <c r="G9223" s="7" t="n">
        <v>0</v>
      </c>
    </row>
    <row r="9224" customFormat="false" ht="15" hidden="false" customHeight="false" outlineLevel="0" collapsed="false">
      <c r="A9224" s="7" t="s">
        <v>35</v>
      </c>
      <c r="B9224" s="7" t="s">
        <v>461</v>
      </c>
      <c r="C9224" s="7" t="s">
        <v>1233</v>
      </c>
      <c r="D9224" s="7" t="n">
        <v>24</v>
      </c>
      <c r="E9224" s="7" t="n">
        <v>1179.38</v>
      </c>
      <c r="F9224" s="7" t="n">
        <v>0</v>
      </c>
      <c r="G9224" s="7" t="n">
        <v>0</v>
      </c>
    </row>
    <row r="9225" customFormat="false" ht="15" hidden="false" customHeight="false" outlineLevel="0" collapsed="false">
      <c r="A9225" s="7" t="s">
        <v>35</v>
      </c>
      <c r="B9225" s="7" t="s">
        <v>230</v>
      </c>
      <c r="C9225" s="7" t="s">
        <v>1233</v>
      </c>
      <c r="D9225" s="7" t="n">
        <v>20</v>
      </c>
      <c r="E9225" s="7" t="n">
        <v>915.37</v>
      </c>
      <c r="F9225" s="7" t="n">
        <v>0</v>
      </c>
      <c r="G9225" s="7" t="n">
        <v>0</v>
      </c>
    </row>
    <row r="9226" customFormat="false" ht="15" hidden="false" customHeight="false" outlineLevel="0" collapsed="false">
      <c r="A9226" s="7" t="s">
        <v>35</v>
      </c>
      <c r="B9226" s="7" t="s">
        <v>230</v>
      </c>
      <c r="C9226" s="7" t="s">
        <v>1233</v>
      </c>
      <c r="D9226" s="7" t="n">
        <v>10</v>
      </c>
      <c r="E9226" s="7" t="n">
        <v>446.41</v>
      </c>
      <c r="F9226" s="7" t="n">
        <v>0</v>
      </c>
      <c r="G9226" s="7" t="n">
        <v>0</v>
      </c>
    </row>
    <row r="9227" customFormat="false" ht="15" hidden="false" customHeight="false" outlineLevel="0" collapsed="false">
      <c r="A9227" s="7" t="s">
        <v>35</v>
      </c>
      <c r="B9227" s="7" t="s">
        <v>230</v>
      </c>
      <c r="C9227" s="7" t="s">
        <v>1233</v>
      </c>
      <c r="D9227" s="7" t="n">
        <v>24</v>
      </c>
      <c r="E9227" s="7" t="n">
        <v>1179.38</v>
      </c>
      <c r="F9227" s="7" t="n">
        <v>0</v>
      </c>
      <c r="G9227" s="7" t="n">
        <v>0</v>
      </c>
    </row>
    <row r="9228" customFormat="false" ht="15" hidden="false" customHeight="false" outlineLevel="0" collapsed="false">
      <c r="A9228" s="7" t="s">
        <v>35</v>
      </c>
      <c r="B9228" s="7" t="s">
        <v>328</v>
      </c>
      <c r="C9228" s="7" t="s">
        <v>1233</v>
      </c>
      <c r="D9228" s="7" t="n">
        <v>24</v>
      </c>
      <c r="E9228" s="7" t="n">
        <v>1179.38</v>
      </c>
      <c r="F9228" s="7" t="n">
        <v>0</v>
      </c>
      <c r="G9228" s="7" t="n">
        <v>0</v>
      </c>
    </row>
    <row r="9229" customFormat="false" ht="15" hidden="false" customHeight="false" outlineLevel="0" collapsed="false">
      <c r="A9229" s="7" t="s">
        <v>35</v>
      </c>
      <c r="B9229" s="7" t="s">
        <v>328</v>
      </c>
      <c r="C9229" s="7" t="s">
        <v>1233</v>
      </c>
      <c r="D9229" s="7" t="n">
        <v>20</v>
      </c>
      <c r="E9229" s="7" t="n">
        <v>915.37</v>
      </c>
      <c r="F9229" s="7" t="n">
        <v>0</v>
      </c>
      <c r="G9229" s="7" t="n">
        <v>0</v>
      </c>
    </row>
    <row r="9230" customFormat="false" ht="15" hidden="false" customHeight="false" outlineLevel="0" collapsed="false">
      <c r="A9230" s="7" t="s">
        <v>35</v>
      </c>
      <c r="B9230" s="7" t="s">
        <v>495</v>
      </c>
      <c r="C9230" s="7" t="s">
        <v>1234</v>
      </c>
      <c r="D9230" s="7" t="n">
        <v>24</v>
      </c>
      <c r="E9230" s="7" t="n">
        <v>1179.38</v>
      </c>
      <c r="F9230" s="7" t="n">
        <v>0</v>
      </c>
      <c r="G9230" s="7" t="n">
        <v>0</v>
      </c>
    </row>
    <row r="9231" customFormat="false" ht="15" hidden="false" customHeight="false" outlineLevel="0" collapsed="false">
      <c r="A9231" s="7" t="s">
        <v>35</v>
      </c>
      <c r="B9231" s="7" t="s">
        <v>495</v>
      </c>
      <c r="C9231" s="7" t="s">
        <v>1234</v>
      </c>
      <c r="D9231" s="7" t="n">
        <v>10</v>
      </c>
      <c r="E9231" s="7" t="n">
        <v>457.69</v>
      </c>
      <c r="F9231" s="7" t="n">
        <v>0</v>
      </c>
      <c r="G9231" s="7" t="n">
        <v>0</v>
      </c>
    </row>
    <row r="9232" customFormat="false" ht="15" hidden="false" customHeight="false" outlineLevel="0" collapsed="false">
      <c r="A9232" s="7" t="s">
        <v>35</v>
      </c>
      <c r="B9232" s="7" t="s">
        <v>495</v>
      </c>
      <c r="C9232" s="7" t="s">
        <v>1234</v>
      </c>
      <c r="D9232" s="7" t="n">
        <v>10</v>
      </c>
      <c r="E9232" s="7" t="n">
        <v>446.41</v>
      </c>
      <c r="F9232" s="7" t="n">
        <v>0</v>
      </c>
      <c r="G9232" s="7" t="n">
        <v>0</v>
      </c>
    </row>
    <row r="9233" customFormat="false" ht="15" hidden="false" customHeight="false" outlineLevel="0" collapsed="false">
      <c r="A9233" s="7" t="s">
        <v>35</v>
      </c>
      <c r="B9233" s="7" t="s">
        <v>250</v>
      </c>
      <c r="C9233" s="7" t="s">
        <v>1234</v>
      </c>
      <c r="D9233" s="7" t="n">
        <v>20</v>
      </c>
      <c r="E9233" s="7" t="n">
        <v>915.37</v>
      </c>
      <c r="F9233" s="7" t="n">
        <v>0</v>
      </c>
      <c r="G9233" s="7" t="n">
        <v>0</v>
      </c>
    </row>
    <row r="9234" customFormat="false" ht="15" hidden="false" customHeight="false" outlineLevel="0" collapsed="false">
      <c r="A9234" s="7" t="s">
        <v>35</v>
      </c>
      <c r="B9234" s="7" t="s">
        <v>250</v>
      </c>
      <c r="C9234" s="7" t="s">
        <v>1234</v>
      </c>
      <c r="D9234" s="7" t="n">
        <v>24</v>
      </c>
      <c r="E9234" s="7" t="n">
        <v>1179.38</v>
      </c>
      <c r="F9234" s="7" t="n">
        <v>0</v>
      </c>
      <c r="G9234" s="7" t="n">
        <v>0</v>
      </c>
    </row>
    <row r="9235" customFormat="false" ht="15" hidden="false" customHeight="false" outlineLevel="0" collapsed="false">
      <c r="A9235" s="7" t="s">
        <v>35</v>
      </c>
      <c r="B9235" s="7" t="s">
        <v>250</v>
      </c>
      <c r="C9235" s="7" t="s">
        <v>1234</v>
      </c>
      <c r="D9235" s="7" t="n">
        <v>20</v>
      </c>
      <c r="E9235" s="7" t="n">
        <v>892.81</v>
      </c>
      <c r="F9235" s="7" t="n">
        <v>0</v>
      </c>
      <c r="G9235" s="7" t="n">
        <v>0</v>
      </c>
    </row>
    <row r="9236" customFormat="false" ht="15" hidden="false" customHeight="false" outlineLevel="0" collapsed="false">
      <c r="A9236" s="7" t="s">
        <v>35</v>
      </c>
      <c r="B9236" s="7" t="s">
        <v>250</v>
      </c>
      <c r="C9236" s="7" t="s">
        <v>1234</v>
      </c>
      <c r="D9236" s="7" t="n">
        <v>1</v>
      </c>
      <c r="E9236" s="7" t="n">
        <v>0.04</v>
      </c>
      <c r="F9236" s="7" t="n">
        <v>0</v>
      </c>
      <c r="G9236" s="7" t="n">
        <v>0</v>
      </c>
    </row>
    <row r="9237" customFormat="false" ht="15" hidden="false" customHeight="false" outlineLevel="0" collapsed="false">
      <c r="A9237" s="7" t="s">
        <v>35</v>
      </c>
      <c r="B9237" s="7" t="s">
        <v>172</v>
      </c>
      <c r="C9237" s="7" t="s">
        <v>1234</v>
      </c>
      <c r="D9237" s="7" t="n">
        <v>50</v>
      </c>
      <c r="E9237" s="7" t="n">
        <v>2232.03</v>
      </c>
      <c r="F9237" s="7" t="n">
        <v>0</v>
      </c>
      <c r="G9237" s="7" t="n">
        <v>0</v>
      </c>
    </row>
    <row r="9238" customFormat="false" ht="15" hidden="false" customHeight="false" outlineLevel="0" collapsed="false">
      <c r="A9238" s="7" t="s">
        <v>35</v>
      </c>
      <c r="B9238" s="7" t="s">
        <v>172</v>
      </c>
      <c r="C9238" s="7" t="s">
        <v>1234</v>
      </c>
      <c r="D9238" s="7" t="n">
        <v>24</v>
      </c>
      <c r="E9238" s="7" t="n">
        <v>1179.38</v>
      </c>
      <c r="F9238" s="7" t="n">
        <v>0</v>
      </c>
      <c r="G9238" s="7" t="n">
        <v>0</v>
      </c>
    </row>
    <row r="9239" customFormat="false" ht="15" hidden="false" customHeight="false" outlineLevel="0" collapsed="false">
      <c r="A9239" s="7" t="s">
        <v>35</v>
      </c>
      <c r="B9239" s="7" t="s">
        <v>172</v>
      </c>
      <c r="C9239" s="7" t="s">
        <v>1234</v>
      </c>
      <c r="D9239" s="7" t="n">
        <v>9</v>
      </c>
      <c r="E9239" s="7" t="n">
        <v>411.92</v>
      </c>
      <c r="F9239" s="7" t="n">
        <v>0</v>
      </c>
      <c r="G9239" s="7" t="n">
        <v>0</v>
      </c>
    </row>
    <row r="9240" customFormat="false" ht="15" hidden="false" customHeight="false" outlineLevel="0" collapsed="false">
      <c r="A9240" s="7" t="s">
        <v>35</v>
      </c>
      <c r="B9240" s="7" t="s">
        <v>517</v>
      </c>
      <c r="C9240" s="7" t="s">
        <v>1101</v>
      </c>
      <c r="D9240" s="7" t="n">
        <v>24</v>
      </c>
      <c r="E9240" s="7" t="n">
        <v>913.39</v>
      </c>
      <c r="F9240" s="7" t="n">
        <v>0</v>
      </c>
      <c r="G9240" s="7" t="n">
        <v>0</v>
      </c>
    </row>
    <row r="9241" customFormat="false" ht="15" hidden="false" customHeight="false" outlineLevel="0" collapsed="false">
      <c r="A9241" s="7" t="s">
        <v>35</v>
      </c>
      <c r="B9241" s="7" t="s">
        <v>517</v>
      </c>
      <c r="C9241" s="7" t="s">
        <v>1101</v>
      </c>
      <c r="D9241" s="7" t="n">
        <v>0</v>
      </c>
      <c r="E9241" s="7" t="n">
        <v>0</v>
      </c>
      <c r="F9241" s="7" t="n">
        <v>10</v>
      </c>
      <c r="G9241" s="7" t="n">
        <v>311.45</v>
      </c>
    </row>
    <row r="9242" customFormat="false" ht="15" hidden="false" customHeight="false" outlineLevel="0" collapsed="false">
      <c r="A9242" s="7" t="s">
        <v>35</v>
      </c>
      <c r="B9242" s="7" t="s">
        <v>517</v>
      </c>
      <c r="C9242" s="7" t="s">
        <v>1101</v>
      </c>
      <c r="D9242" s="7" t="n">
        <v>1</v>
      </c>
      <c r="E9242" s="7" t="n">
        <v>0.04</v>
      </c>
      <c r="F9242" s="7" t="n">
        <v>0</v>
      </c>
      <c r="G9242" s="7" t="n">
        <v>0</v>
      </c>
    </row>
    <row r="9243" customFormat="false" ht="15" hidden="false" customHeight="false" outlineLevel="0" collapsed="false">
      <c r="A9243" s="7" t="s">
        <v>35</v>
      </c>
      <c r="B9243" s="7" t="s">
        <v>334</v>
      </c>
      <c r="C9243" s="7" t="s">
        <v>1101</v>
      </c>
      <c r="D9243" s="7" t="n">
        <v>10</v>
      </c>
      <c r="E9243" s="7" t="n">
        <v>949.08</v>
      </c>
      <c r="F9243" s="7" t="n">
        <v>0</v>
      </c>
      <c r="G9243" s="7" t="n">
        <v>0</v>
      </c>
    </row>
    <row r="9244" customFormat="false" ht="15" hidden="false" customHeight="false" outlineLevel="0" collapsed="false">
      <c r="A9244" s="7" t="s">
        <v>35</v>
      </c>
      <c r="B9244" s="7" t="s">
        <v>334</v>
      </c>
      <c r="C9244" s="7" t="s">
        <v>1101</v>
      </c>
      <c r="D9244" s="7" t="n">
        <v>24</v>
      </c>
      <c r="E9244" s="7" t="n">
        <v>913.39</v>
      </c>
      <c r="F9244" s="7" t="n">
        <v>0</v>
      </c>
      <c r="G9244" s="7" t="n">
        <v>0</v>
      </c>
    </row>
    <row r="9245" customFormat="false" ht="15" hidden="false" customHeight="false" outlineLevel="0" collapsed="false">
      <c r="A9245" s="7" t="s">
        <v>35</v>
      </c>
      <c r="B9245" s="7" t="s">
        <v>226</v>
      </c>
      <c r="C9245" s="7" t="s">
        <v>1236</v>
      </c>
      <c r="D9245" s="7" t="n">
        <v>10</v>
      </c>
      <c r="E9245" s="7" t="n">
        <v>263.48</v>
      </c>
      <c r="F9245" s="7" t="n">
        <v>0</v>
      </c>
      <c r="G9245" s="7" t="n">
        <v>0</v>
      </c>
    </row>
    <row r="9246" customFormat="false" ht="15" hidden="false" customHeight="false" outlineLevel="0" collapsed="false">
      <c r="A9246" s="7" t="s">
        <v>35</v>
      </c>
      <c r="B9246" s="7" t="s">
        <v>415</v>
      </c>
      <c r="C9246" s="7" t="s">
        <v>1237</v>
      </c>
      <c r="D9246" s="7" t="n">
        <v>10</v>
      </c>
      <c r="E9246" s="7" t="n">
        <v>263.48</v>
      </c>
      <c r="F9246" s="7" t="n">
        <v>0</v>
      </c>
      <c r="G9246" s="7" t="n">
        <v>0</v>
      </c>
    </row>
    <row r="9247" customFormat="false" ht="15" hidden="false" customHeight="false" outlineLevel="0" collapsed="false">
      <c r="A9247" s="7" t="s">
        <v>35</v>
      </c>
      <c r="B9247" s="7" t="s">
        <v>183</v>
      </c>
      <c r="C9247" s="7" t="s">
        <v>1237</v>
      </c>
      <c r="D9247" s="7" t="n">
        <v>10</v>
      </c>
      <c r="E9247" s="7" t="n">
        <v>263.48</v>
      </c>
      <c r="F9247" s="7" t="n">
        <v>0</v>
      </c>
      <c r="G9247" s="7" t="n">
        <v>0</v>
      </c>
    </row>
    <row r="9248" customFormat="false" ht="15" hidden="false" customHeight="false" outlineLevel="0" collapsed="false">
      <c r="A9248" s="7" t="s">
        <v>35</v>
      </c>
      <c r="B9248" s="7" t="s">
        <v>583</v>
      </c>
      <c r="C9248" s="7" t="s">
        <v>1239</v>
      </c>
      <c r="D9248" s="7" t="n">
        <v>1</v>
      </c>
      <c r="E9248" s="7" t="n">
        <v>0.04</v>
      </c>
      <c r="F9248" s="7" t="n">
        <v>0</v>
      </c>
      <c r="G9248" s="7" t="n">
        <v>0</v>
      </c>
    </row>
    <row r="9249" customFormat="false" ht="15" hidden="false" customHeight="false" outlineLevel="0" collapsed="false">
      <c r="A9249" s="7" t="s">
        <v>35</v>
      </c>
      <c r="B9249" s="7" t="s">
        <v>509</v>
      </c>
      <c r="C9249" s="7" t="s">
        <v>1102</v>
      </c>
      <c r="D9249" s="7" t="n">
        <v>10</v>
      </c>
      <c r="E9249" s="7" t="n">
        <v>225.92</v>
      </c>
      <c r="F9249" s="7" t="n">
        <v>0</v>
      </c>
      <c r="G9249" s="7" t="n">
        <v>0</v>
      </c>
    </row>
    <row r="9250" customFormat="false" ht="15" hidden="false" customHeight="false" outlineLevel="0" collapsed="false">
      <c r="A9250" s="7" t="s">
        <v>35</v>
      </c>
      <c r="B9250" s="7" t="s">
        <v>188</v>
      </c>
      <c r="C9250" s="7" t="s">
        <v>1102</v>
      </c>
      <c r="D9250" s="7" t="n">
        <v>10</v>
      </c>
      <c r="E9250" s="7" t="n">
        <v>225.92</v>
      </c>
      <c r="F9250" s="7" t="n">
        <v>0</v>
      </c>
      <c r="G9250" s="7" t="n">
        <v>0</v>
      </c>
    </row>
    <row r="9251" customFormat="false" ht="15" hidden="false" customHeight="false" outlineLevel="0" collapsed="false">
      <c r="A9251" s="7" t="s">
        <v>35</v>
      </c>
      <c r="B9251" s="7" t="s">
        <v>124</v>
      </c>
      <c r="C9251" s="7" t="s">
        <v>1102</v>
      </c>
      <c r="D9251" s="7" t="n">
        <v>10</v>
      </c>
      <c r="E9251" s="7" t="n">
        <v>225.92</v>
      </c>
      <c r="F9251" s="7" t="n">
        <v>0</v>
      </c>
      <c r="G9251" s="7" t="n">
        <v>0</v>
      </c>
    </row>
    <row r="9252" customFormat="false" ht="15" hidden="false" customHeight="false" outlineLevel="0" collapsed="false">
      <c r="A9252" s="7" t="s">
        <v>35</v>
      </c>
      <c r="B9252" s="7" t="s">
        <v>118</v>
      </c>
      <c r="C9252" s="7" t="s">
        <v>1104</v>
      </c>
      <c r="D9252" s="7" t="n">
        <v>1</v>
      </c>
      <c r="E9252" s="7" t="n">
        <v>0.04</v>
      </c>
      <c r="F9252" s="7" t="n">
        <v>0</v>
      </c>
      <c r="G9252" s="7" t="n">
        <v>0</v>
      </c>
    </row>
    <row r="9253" customFormat="false" ht="15" hidden="false" customHeight="false" outlineLevel="0" collapsed="false">
      <c r="A9253" s="7" t="s">
        <v>35</v>
      </c>
      <c r="B9253" s="7" t="s">
        <v>117</v>
      </c>
      <c r="C9253" s="7" t="s">
        <v>1055</v>
      </c>
      <c r="D9253" s="7" t="n">
        <v>10</v>
      </c>
      <c r="E9253" s="7" t="n">
        <v>338.76</v>
      </c>
      <c r="F9253" s="7" t="n">
        <v>0</v>
      </c>
      <c r="G9253" s="7" t="n">
        <v>0</v>
      </c>
    </row>
    <row r="9254" customFormat="false" ht="15" hidden="false" customHeight="false" outlineLevel="0" collapsed="false">
      <c r="A9254" s="7" t="s">
        <v>35</v>
      </c>
      <c r="B9254" s="7" t="s">
        <v>117</v>
      </c>
      <c r="C9254" s="7" t="s">
        <v>1055</v>
      </c>
      <c r="D9254" s="7" t="n">
        <v>10</v>
      </c>
      <c r="E9254" s="7" t="n">
        <v>315.51</v>
      </c>
      <c r="F9254" s="7" t="n">
        <v>0</v>
      </c>
      <c r="G9254" s="7" t="n">
        <v>0</v>
      </c>
    </row>
    <row r="9255" customFormat="false" ht="15" hidden="false" customHeight="false" outlineLevel="0" collapsed="false">
      <c r="A9255" s="7" t="s">
        <v>35</v>
      </c>
      <c r="B9255" s="7" t="s">
        <v>111</v>
      </c>
      <c r="C9255" s="7" t="s">
        <v>1055</v>
      </c>
      <c r="D9255" s="7" t="n">
        <v>10</v>
      </c>
      <c r="E9255" s="7" t="n">
        <v>338.76</v>
      </c>
      <c r="F9255" s="7" t="n">
        <v>0</v>
      </c>
      <c r="G9255" s="7" t="n">
        <v>0</v>
      </c>
    </row>
    <row r="9256" customFormat="false" ht="15" hidden="false" customHeight="false" outlineLevel="0" collapsed="false">
      <c r="A9256" s="7" t="s">
        <v>35</v>
      </c>
      <c r="B9256" s="7" t="s">
        <v>111</v>
      </c>
      <c r="C9256" s="7" t="s">
        <v>1055</v>
      </c>
      <c r="D9256" s="7" t="n">
        <v>6</v>
      </c>
      <c r="E9256" s="7" t="n">
        <v>189.31</v>
      </c>
      <c r="F9256" s="7" t="n">
        <v>0</v>
      </c>
      <c r="G9256" s="7" t="n">
        <v>0</v>
      </c>
    </row>
    <row r="9257" customFormat="false" ht="15" hidden="false" customHeight="false" outlineLevel="0" collapsed="false">
      <c r="A9257" s="7" t="s">
        <v>35</v>
      </c>
      <c r="B9257" s="7" t="s">
        <v>113</v>
      </c>
      <c r="C9257" s="7" t="s">
        <v>1055</v>
      </c>
      <c r="D9257" s="7" t="n">
        <v>10</v>
      </c>
      <c r="E9257" s="7" t="n">
        <v>315.51</v>
      </c>
      <c r="F9257" s="7" t="n">
        <v>0</v>
      </c>
      <c r="G9257" s="7" t="n">
        <v>0</v>
      </c>
    </row>
    <row r="9258" customFormat="false" ht="15" hidden="false" customHeight="false" outlineLevel="0" collapsed="false">
      <c r="A9258" s="7" t="s">
        <v>35</v>
      </c>
      <c r="B9258" s="7" t="s">
        <v>110</v>
      </c>
      <c r="C9258" s="7" t="s">
        <v>1105</v>
      </c>
      <c r="D9258" s="7" t="n">
        <v>0</v>
      </c>
      <c r="E9258" s="7" t="n">
        <v>0</v>
      </c>
      <c r="F9258" s="7" t="n">
        <v>12</v>
      </c>
      <c r="G9258" s="7" t="n">
        <v>357.13</v>
      </c>
    </row>
    <row r="9259" customFormat="false" ht="15" hidden="false" customHeight="false" outlineLevel="0" collapsed="false">
      <c r="A9259" s="7" t="s">
        <v>35</v>
      </c>
      <c r="B9259" s="7" t="s">
        <v>110</v>
      </c>
      <c r="C9259" s="7" t="s">
        <v>1105</v>
      </c>
      <c r="D9259" s="7" t="n">
        <v>0</v>
      </c>
      <c r="E9259" s="7" t="n">
        <v>0</v>
      </c>
      <c r="F9259" s="7" t="n">
        <v>12</v>
      </c>
      <c r="G9259" s="7" t="n">
        <v>332.67</v>
      </c>
    </row>
    <row r="9260" customFormat="false" ht="15" hidden="false" customHeight="false" outlineLevel="0" collapsed="false">
      <c r="A9260" s="7" t="s">
        <v>35</v>
      </c>
      <c r="B9260" s="7" t="s">
        <v>104</v>
      </c>
      <c r="C9260" s="7" t="s">
        <v>1105</v>
      </c>
      <c r="D9260" s="7" t="n">
        <v>0</v>
      </c>
      <c r="E9260" s="7" t="n">
        <v>0</v>
      </c>
      <c r="F9260" s="7" t="n">
        <v>12</v>
      </c>
      <c r="G9260" s="7" t="n">
        <v>357.13</v>
      </c>
    </row>
    <row r="9261" customFormat="false" ht="15" hidden="false" customHeight="false" outlineLevel="0" collapsed="false">
      <c r="A9261" s="7" t="s">
        <v>35</v>
      </c>
      <c r="B9261" s="7" t="s">
        <v>104</v>
      </c>
      <c r="C9261" s="7" t="s">
        <v>1105</v>
      </c>
      <c r="D9261" s="7" t="n">
        <v>0</v>
      </c>
      <c r="E9261" s="7" t="n">
        <v>0</v>
      </c>
      <c r="F9261" s="7" t="n">
        <v>20</v>
      </c>
      <c r="G9261" s="7" t="n">
        <v>554.45</v>
      </c>
    </row>
    <row r="9262" customFormat="false" ht="15" hidden="false" customHeight="false" outlineLevel="0" collapsed="false">
      <c r="A9262" s="7" t="s">
        <v>35</v>
      </c>
      <c r="B9262" s="7" t="s">
        <v>106</v>
      </c>
      <c r="C9262" s="7" t="s">
        <v>1105</v>
      </c>
      <c r="D9262" s="7" t="n">
        <v>0</v>
      </c>
      <c r="E9262" s="7" t="n">
        <v>0</v>
      </c>
      <c r="F9262" s="7" t="n">
        <v>12</v>
      </c>
      <c r="G9262" s="7" t="n">
        <v>357.13</v>
      </c>
    </row>
    <row r="9263" customFormat="false" ht="15" hidden="false" customHeight="false" outlineLevel="0" collapsed="false">
      <c r="A9263" s="7" t="s">
        <v>35</v>
      </c>
      <c r="B9263" s="7" t="s">
        <v>106</v>
      </c>
      <c r="C9263" s="7" t="s">
        <v>1105</v>
      </c>
      <c r="D9263" s="7" t="n">
        <v>0</v>
      </c>
      <c r="E9263" s="7" t="n">
        <v>0</v>
      </c>
      <c r="F9263" s="7" t="n">
        <v>12</v>
      </c>
      <c r="G9263" s="7" t="n">
        <v>332.67</v>
      </c>
    </row>
    <row r="9264" customFormat="false" ht="15" hidden="false" customHeight="false" outlineLevel="0" collapsed="false">
      <c r="A9264" s="7" t="s">
        <v>35</v>
      </c>
      <c r="B9264" s="7" t="s">
        <v>106</v>
      </c>
      <c r="C9264" s="7" t="s">
        <v>1105</v>
      </c>
      <c r="D9264" s="7" t="n">
        <v>1</v>
      </c>
      <c r="E9264" s="7" t="n">
        <v>0.04</v>
      </c>
      <c r="F9264" s="7" t="n">
        <v>0</v>
      </c>
      <c r="G9264" s="7" t="n">
        <v>0</v>
      </c>
    </row>
    <row r="9265" customFormat="false" ht="15" hidden="false" customHeight="false" outlineLevel="0" collapsed="false">
      <c r="A9265" s="7" t="s">
        <v>35</v>
      </c>
      <c r="B9265" s="7" t="s">
        <v>242</v>
      </c>
      <c r="C9265" s="7" t="s">
        <v>1153</v>
      </c>
      <c r="D9265" s="7" t="n">
        <v>0</v>
      </c>
      <c r="E9265" s="7" t="n">
        <v>0</v>
      </c>
      <c r="F9265" s="7" t="n">
        <v>6</v>
      </c>
      <c r="G9265" s="7" t="n">
        <v>136.68</v>
      </c>
    </row>
    <row r="9266" customFormat="false" ht="15" hidden="false" customHeight="false" outlineLevel="0" collapsed="false">
      <c r="A9266" s="7" t="s">
        <v>35</v>
      </c>
      <c r="B9266" s="7" t="s">
        <v>242</v>
      </c>
      <c r="C9266" s="7" t="s">
        <v>1153</v>
      </c>
      <c r="D9266" s="7" t="n">
        <v>0</v>
      </c>
      <c r="E9266" s="7" t="n">
        <v>0</v>
      </c>
      <c r="F9266" s="7" t="n">
        <v>3</v>
      </c>
      <c r="G9266" s="7" t="n">
        <v>63.66</v>
      </c>
    </row>
    <row r="9267" customFormat="false" ht="15" hidden="false" customHeight="false" outlineLevel="0" collapsed="false">
      <c r="A9267" s="7" t="s">
        <v>35</v>
      </c>
      <c r="B9267" s="7" t="s">
        <v>242</v>
      </c>
      <c r="C9267" s="7" t="s">
        <v>1153</v>
      </c>
      <c r="D9267" s="7" t="n">
        <v>6</v>
      </c>
      <c r="E9267" s="7" t="n">
        <v>141.33</v>
      </c>
      <c r="F9267" s="7" t="n">
        <v>0</v>
      </c>
      <c r="G9267" s="7" t="n">
        <v>0</v>
      </c>
    </row>
    <row r="9268" customFormat="false" ht="15" hidden="false" customHeight="false" outlineLevel="0" collapsed="false">
      <c r="A9268" s="7" t="s">
        <v>35</v>
      </c>
      <c r="B9268" s="7" t="s">
        <v>129</v>
      </c>
      <c r="C9268" s="7" t="s">
        <v>1154</v>
      </c>
      <c r="D9268" s="7" t="n">
        <v>0</v>
      </c>
      <c r="E9268" s="7" t="n">
        <v>0</v>
      </c>
      <c r="F9268" s="7" t="n">
        <v>3</v>
      </c>
      <c r="G9268" s="7" t="n">
        <v>121.16</v>
      </c>
    </row>
    <row r="9269" customFormat="false" ht="15" hidden="false" customHeight="false" outlineLevel="0" collapsed="false">
      <c r="A9269" s="7" t="s">
        <v>35</v>
      </c>
      <c r="B9269" s="7" t="s">
        <v>129</v>
      </c>
      <c r="C9269" s="7" t="s">
        <v>1154</v>
      </c>
      <c r="D9269" s="7" t="n">
        <v>6</v>
      </c>
      <c r="E9269" s="7" t="n">
        <v>275.78</v>
      </c>
      <c r="F9269" s="7" t="n">
        <v>0</v>
      </c>
      <c r="G9269" s="7" t="n">
        <v>0</v>
      </c>
    </row>
    <row r="9270" customFormat="false" ht="15" hidden="false" customHeight="false" outlineLevel="0" collapsed="false">
      <c r="A9270" s="7" t="s">
        <v>35</v>
      </c>
      <c r="B9270" s="7" t="s">
        <v>556</v>
      </c>
      <c r="C9270" s="7" t="s">
        <v>1079</v>
      </c>
      <c r="D9270" s="7" t="n">
        <v>3</v>
      </c>
      <c r="E9270" s="7" t="n">
        <v>37.01</v>
      </c>
      <c r="F9270" s="7" t="n">
        <v>0</v>
      </c>
      <c r="G9270" s="7" t="n">
        <v>0</v>
      </c>
    </row>
    <row r="9271" customFormat="false" ht="15" hidden="false" customHeight="false" outlineLevel="0" collapsed="false">
      <c r="A9271" s="7" t="s">
        <v>35</v>
      </c>
      <c r="B9271" s="7" t="s">
        <v>556</v>
      </c>
      <c r="C9271" s="7" t="s">
        <v>1079</v>
      </c>
      <c r="D9271" s="7" t="n">
        <v>6</v>
      </c>
      <c r="E9271" s="7" t="n">
        <v>68.95</v>
      </c>
      <c r="F9271" s="7" t="n">
        <v>0</v>
      </c>
      <c r="G9271" s="7" t="n">
        <v>0</v>
      </c>
    </row>
    <row r="9272" customFormat="false" ht="15" hidden="false" customHeight="false" outlineLevel="0" collapsed="false">
      <c r="A9272" s="7" t="s">
        <v>35</v>
      </c>
      <c r="B9272" s="7" t="s">
        <v>580</v>
      </c>
      <c r="C9272" s="7" t="s">
        <v>1079</v>
      </c>
      <c r="D9272" s="7" t="n">
        <v>0</v>
      </c>
      <c r="E9272" s="7" t="n">
        <v>0</v>
      </c>
      <c r="F9272" s="7" t="n">
        <v>3</v>
      </c>
      <c r="G9272" s="7" t="n">
        <v>30.29</v>
      </c>
    </row>
    <row r="9273" customFormat="false" ht="15" hidden="false" customHeight="false" outlineLevel="0" collapsed="false">
      <c r="A9273" s="7" t="s">
        <v>35</v>
      </c>
      <c r="B9273" s="7" t="s">
        <v>572</v>
      </c>
      <c r="C9273" s="7" t="s">
        <v>1079</v>
      </c>
      <c r="D9273" s="7" t="n">
        <v>0</v>
      </c>
      <c r="E9273" s="7" t="n">
        <v>0</v>
      </c>
      <c r="F9273" s="7" t="n">
        <v>2</v>
      </c>
      <c r="G9273" s="7" t="n">
        <v>20.19</v>
      </c>
    </row>
    <row r="9274" customFormat="false" ht="15" hidden="false" customHeight="false" outlineLevel="0" collapsed="false">
      <c r="A9274" s="7" t="s">
        <v>35</v>
      </c>
      <c r="B9274" s="7" t="s">
        <v>578</v>
      </c>
      <c r="C9274" s="7" t="s">
        <v>1079</v>
      </c>
      <c r="D9274" s="7" t="n">
        <v>3</v>
      </c>
      <c r="E9274" s="7" t="n">
        <v>34.47</v>
      </c>
      <c r="F9274" s="7" t="n">
        <v>0</v>
      </c>
      <c r="G9274" s="7" t="n">
        <v>0</v>
      </c>
    </row>
    <row r="9275" customFormat="false" ht="15" hidden="false" customHeight="false" outlineLevel="0" collapsed="false">
      <c r="A9275" s="7" t="s">
        <v>35</v>
      </c>
      <c r="B9275" s="7" t="s">
        <v>435</v>
      </c>
      <c r="C9275" s="7" t="s">
        <v>1246</v>
      </c>
      <c r="D9275" s="7" t="n">
        <v>6</v>
      </c>
      <c r="E9275" s="7" t="n">
        <v>73.62</v>
      </c>
      <c r="F9275" s="7" t="n">
        <v>0</v>
      </c>
      <c r="G9275" s="7" t="n">
        <v>0</v>
      </c>
    </row>
    <row r="9276" customFormat="false" ht="15" hidden="false" customHeight="false" outlineLevel="0" collapsed="false">
      <c r="A9276" s="7" t="s">
        <v>35</v>
      </c>
      <c r="B9276" s="7" t="s">
        <v>435</v>
      </c>
      <c r="C9276" s="7" t="s">
        <v>1246</v>
      </c>
      <c r="D9276" s="7" t="n">
        <v>6</v>
      </c>
      <c r="E9276" s="7" t="n">
        <v>79.04</v>
      </c>
      <c r="F9276" s="7" t="n">
        <v>0</v>
      </c>
      <c r="G9276" s="7" t="n">
        <v>0</v>
      </c>
    </row>
    <row r="9277" customFormat="false" ht="15" hidden="false" customHeight="false" outlineLevel="0" collapsed="false">
      <c r="A9277" s="7" t="s">
        <v>35</v>
      </c>
      <c r="B9277" s="7" t="s">
        <v>560</v>
      </c>
      <c r="C9277" s="7" t="s">
        <v>1246</v>
      </c>
      <c r="D9277" s="7" t="n">
        <v>6</v>
      </c>
      <c r="E9277" s="7" t="n">
        <v>71.8</v>
      </c>
      <c r="F9277" s="7" t="n">
        <v>0</v>
      </c>
      <c r="G9277" s="7" t="n">
        <v>0</v>
      </c>
    </row>
    <row r="9278" customFormat="false" ht="15" hidden="false" customHeight="false" outlineLevel="0" collapsed="false">
      <c r="A9278" s="7" t="s">
        <v>35</v>
      </c>
      <c r="B9278" s="7" t="s">
        <v>698</v>
      </c>
      <c r="C9278" s="7" t="s">
        <v>1056</v>
      </c>
      <c r="D9278" s="7" t="n">
        <v>0</v>
      </c>
      <c r="E9278" s="7" t="n">
        <v>0</v>
      </c>
      <c r="F9278" s="7" t="n">
        <v>6</v>
      </c>
      <c r="G9278" s="7" t="n">
        <v>65.03</v>
      </c>
    </row>
    <row r="9279" customFormat="false" ht="15" hidden="false" customHeight="false" outlineLevel="0" collapsed="false">
      <c r="A9279" s="7" t="s">
        <v>35</v>
      </c>
      <c r="B9279" s="7" t="s">
        <v>698</v>
      </c>
      <c r="C9279" s="7" t="s">
        <v>1056</v>
      </c>
      <c r="D9279" s="7" t="n">
        <v>0</v>
      </c>
      <c r="E9279" s="7" t="n">
        <v>0</v>
      </c>
      <c r="F9279" s="7" t="n">
        <v>10</v>
      </c>
      <c r="G9279" s="7" t="n">
        <v>100.96</v>
      </c>
    </row>
    <row r="9280" customFormat="false" ht="15" hidden="false" customHeight="false" outlineLevel="0" collapsed="false">
      <c r="A9280" s="7" t="s">
        <v>35</v>
      </c>
      <c r="B9280" s="7" t="s">
        <v>505</v>
      </c>
      <c r="C9280" s="7" t="s">
        <v>1056</v>
      </c>
      <c r="D9280" s="7" t="n">
        <v>0</v>
      </c>
      <c r="E9280" s="7" t="n">
        <v>0</v>
      </c>
      <c r="F9280" s="7" t="n">
        <v>3</v>
      </c>
      <c r="G9280" s="7" t="n">
        <v>30.29</v>
      </c>
    </row>
    <row r="9281" customFormat="false" ht="15" hidden="false" customHeight="false" outlineLevel="0" collapsed="false">
      <c r="A9281" s="7" t="s">
        <v>35</v>
      </c>
      <c r="B9281" s="7" t="s">
        <v>505</v>
      </c>
      <c r="C9281" s="7" t="s">
        <v>1056</v>
      </c>
      <c r="D9281" s="7" t="n">
        <v>10</v>
      </c>
      <c r="E9281" s="7" t="n">
        <v>112.08</v>
      </c>
      <c r="F9281" s="7" t="n">
        <v>0</v>
      </c>
      <c r="G9281" s="7" t="n">
        <v>0</v>
      </c>
    </row>
    <row r="9282" customFormat="false" ht="15" hidden="false" customHeight="false" outlineLevel="0" collapsed="false">
      <c r="A9282" s="7" t="s">
        <v>35</v>
      </c>
      <c r="B9282" s="7" t="s">
        <v>805</v>
      </c>
      <c r="C9282" s="7" t="s">
        <v>1056</v>
      </c>
      <c r="D9282" s="7" t="n">
        <v>0</v>
      </c>
      <c r="E9282" s="7" t="n">
        <v>0</v>
      </c>
      <c r="F9282" s="7" t="n">
        <v>6</v>
      </c>
      <c r="G9282" s="7" t="n">
        <v>65.03</v>
      </c>
    </row>
    <row r="9283" customFormat="false" ht="15" hidden="false" customHeight="false" outlineLevel="0" collapsed="false">
      <c r="A9283" s="7" t="s">
        <v>35</v>
      </c>
      <c r="B9283" s="7" t="s">
        <v>805</v>
      </c>
      <c r="C9283" s="7" t="s">
        <v>1056</v>
      </c>
      <c r="D9283" s="7" t="n">
        <v>10</v>
      </c>
      <c r="E9283" s="7" t="n">
        <v>114.91</v>
      </c>
      <c r="F9283" s="7" t="n">
        <v>0</v>
      </c>
      <c r="G9283" s="7" t="n">
        <v>0</v>
      </c>
    </row>
    <row r="9284" customFormat="false" ht="15" hidden="false" customHeight="false" outlineLevel="0" collapsed="false">
      <c r="A9284" s="7" t="s">
        <v>35</v>
      </c>
      <c r="B9284" s="7" t="s">
        <v>764</v>
      </c>
      <c r="C9284" s="7" t="s">
        <v>1056</v>
      </c>
      <c r="D9284" s="7" t="n">
        <v>0</v>
      </c>
      <c r="E9284" s="7" t="n">
        <v>0</v>
      </c>
      <c r="F9284" s="7" t="n">
        <v>6</v>
      </c>
      <c r="G9284" s="7" t="n">
        <v>60.58</v>
      </c>
    </row>
    <row r="9285" customFormat="false" ht="15" hidden="false" customHeight="false" outlineLevel="0" collapsed="false">
      <c r="A9285" s="7" t="s">
        <v>35</v>
      </c>
      <c r="B9285" s="7" t="s">
        <v>688</v>
      </c>
      <c r="C9285" s="7" t="s">
        <v>1159</v>
      </c>
      <c r="D9285" s="7" t="n">
        <v>6</v>
      </c>
      <c r="E9285" s="7" t="n">
        <v>82.81</v>
      </c>
      <c r="F9285" s="7" t="n">
        <v>0</v>
      </c>
      <c r="G9285" s="7" t="n">
        <v>0</v>
      </c>
    </row>
    <row r="9286" customFormat="false" ht="15" hidden="false" customHeight="false" outlineLevel="0" collapsed="false">
      <c r="A9286" s="7" t="s">
        <v>35</v>
      </c>
      <c r="B9286" s="7" t="s">
        <v>455</v>
      </c>
      <c r="C9286" s="7" t="s">
        <v>1247</v>
      </c>
      <c r="D9286" s="7" t="n">
        <v>3</v>
      </c>
      <c r="E9286" s="7" t="n">
        <v>40.78</v>
      </c>
      <c r="F9286" s="7" t="n">
        <v>0</v>
      </c>
      <c r="G9286" s="7" t="n">
        <v>0</v>
      </c>
    </row>
    <row r="9287" customFormat="false" ht="15" hidden="false" customHeight="false" outlineLevel="0" collapsed="false">
      <c r="A9287" s="7" t="s">
        <v>35</v>
      </c>
      <c r="B9287" s="7" t="s">
        <v>455</v>
      </c>
      <c r="C9287" s="7" t="s">
        <v>1247</v>
      </c>
      <c r="D9287" s="7" t="n">
        <v>6</v>
      </c>
      <c r="E9287" s="7" t="n">
        <v>74.08</v>
      </c>
      <c r="F9287" s="7" t="n">
        <v>0</v>
      </c>
      <c r="G9287" s="7" t="n">
        <v>0</v>
      </c>
    </row>
    <row r="9288" customFormat="false" ht="15" hidden="false" customHeight="false" outlineLevel="0" collapsed="false">
      <c r="A9288" s="7" t="s">
        <v>35</v>
      </c>
      <c r="B9288" s="7" t="s">
        <v>496</v>
      </c>
      <c r="C9288" s="7" t="s">
        <v>1247</v>
      </c>
      <c r="D9288" s="7" t="n">
        <v>0</v>
      </c>
      <c r="E9288" s="7" t="n">
        <v>0</v>
      </c>
      <c r="F9288" s="7" t="n">
        <v>10</v>
      </c>
      <c r="G9288" s="7" t="n">
        <v>119.41</v>
      </c>
    </row>
    <row r="9289" customFormat="false" ht="15" hidden="false" customHeight="false" outlineLevel="0" collapsed="false">
      <c r="A9289" s="7" t="s">
        <v>35</v>
      </c>
      <c r="B9289" s="7" t="s">
        <v>496</v>
      </c>
      <c r="C9289" s="7" t="s">
        <v>1247</v>
      </c>
      <c r="D9289" s="7" t="n">
        <v>0</v>
      </c>
      <c r="E9289" s="7" t="n">
        <v>0</v>
      </c>
      <c r="F9289" s="7" t="n">
        <v>6</v>
      </c>
      <c r="G9289" s="7" t="n">
        <v>66.74</v>
      </c>
    </row>
    <row r="9290" customFormat="false" ht="15" hidden="false" customHeight="false" outlineLevel="0" collapsed="false">
      <c r="A9290" s="7" t="s">
        <v>35</v>
      </c>
      <c r="B9290" s="7" t="s">
        <v>496</v>
      </c>
      <c r="C9290" s="7" t="s">
        <v>1247</v>
      </c>
      <c r="D9290" s="7" t="n">
        <v>10</v>
      </c>
      <c r="E9290" s="7" t="n">
        <v>126.59</v>
      </c>
      <c r="F9290" s="7" t="n">
        <v>0</v>
      </c>
      <c r="G9290" s="7" t="n">
        <v>0</v>
      </c>
    </row>
    <row r="9291" customFormat="false" ht="15" hidden="false" customHeight="false" outlineLevel="0" collapsed="false">
      <c r="A9291" s="7" t="s">
        <v>35</v>
      </c>
      <c r="B9291" s="7" t="s">
        <v>729</v>
      </c>
      <c r="C9291" s="7" t="s">
        <v>1247</v>
      </c>
      <c r="D9291" s="7" t="n">
        <v>0</v>
      </c>
      <c r="E9291" s="7" t="n">
        <v>0</v>
      </c>
      <c r="F9291" s="7" t="n">
        <v>2</v>
      </c>
      <c r="G9291" s="7" t="n">
        <v>22.25</v>
      </c>
    </row>
    <row r="9292" customFormat="false" ht="15" hidden="false" customHeight="false" outlineLevel="0" collapsed="false">
      <c r="A9292" s="7" t="s">
        <v>35</v>
      </c>
      <c r="B9292" s="7" t="s">
        <v>669</v>
      </c>
      <c r="C9292" s="7" t="s">
        <v>1247</v>
      </c>
      <c r="D9292" s="7" t="n">
        <v>0</v>
      </c>
      <c r="E9292" s="7" t="n">
        <v>0</v>
      </c>
      <c r="F9292" s="7" t="n">
        <v>6</v>
      </c>
      <c r="G9292" s="7" t="n">
        <v>71.65</v>
      </c>
    </row>
    <row r="9293" customFormat="false" ht="15" hidden="false" customHeight="false" outlineLevel="0" collapsed="false">
      <c r="A9293" s="7" t="s">
        <v>35</v>
      </c>
      <c r="B9293" s="7" t="s">
        <v>669</v>
      </c>
      <c r="C9293" s="7" t="s">
        <v>1247</v>
      </c>
      <c r="D9293" s="7" t="n">
        <v>6</v>
      </c>
      <c r="E9293" s="7" t="n">
        <v>74.08</v>
      </c>
      <c r="F9293" s="7" t="n">
        <v>0</v>
      </c>
      <c r="G9293" s="7" t="n">
        <v>0</v>
      </c>
    </row>
    <row r="9294" customFormat="false" ht="15" hidden="false" customHeight="false" outlineLevel="0" collapsed="false">
      <c r="A9294" s="7" t="s">
        <v>35</v>
      </c>
      <c r="B9294" s="7" t="s">
        <v>403</v>
      </c>
      <c r="C9294" s="7" t="s">
        <v>1058</v>
      </c>
      <c r="D9294" s="7" t="n">
        <v>0</v>
      </c>
      <c r="E9294" s="7" t="n">
        <v>0</v>
      </c>
      <c r="F9294" s="7" t="n">
        <v>2</v>
      </c>
      <c r="G9294" s="7" t="n">
        <v>155.72</v>
      </c>
    </row>
    <row r="9295" customFormat="false" ht="15" hidden="false" customHeight="false" outlineLevel="0" collapsed="false">
      <c r="A9295" s="7" t="s">
        <v>35</v>
      </c>
      <c r="B9295" s="7" t="s">
        <v>407</v>
      </c>
      <c r="C9295" s="7" t="s">
        <v>1058</v>
      </c>
      <c r="D9295" s="7" t="n">
        <v>0</v>
      </c>
      <c r="E9295" s="7" t="n">
        <v>0</v>
      </c>
      <c r="F9295" s="7" t="n">
        <v>1</v>
      </c>
      <c r="G9295" s="7" t="n">
        <v>77.86</v>
      </c>
    </row>
    <row r="9296" customFormat="false" ht="15" hidden="false" customHeight="false" outlineLevel="0" collapsed="false">
      <c r="A9296" s="7" t="s">
        <v>35</v>
      </c>
      <c r="B9296" s="7" t="s">
        <v>145</v>
      </c>
      <c r="C9296" s="7" t="s">
        <v>1059</v>
      </c>
      <c r="D9296" s="7" t="n">
        <v>0</v>
      </c>
      <c r="E9296" s="7" t="n">
        <v>0</v>
      </c>
      <c r="F9296" s="7" t="n">
        <v>2</v>
      </c>
      <c r="G9296" s="7" t="n">
        <v>157.26</v>
      </c>
    </row>
    <row r="9297" customFormat="false" ht="15" hidden="false" customHeight="false" outlineLevel="0" collapsed="false">
      <c r="A9297" s="7" t="s">
        <v>35</v>
      </c>
      <c r="B9297" s="7" t="s">
        <v>360</v>
      </c>
      <c r="C9297" s="7" t="s">
        <v>1059</v>
      </c>
      <c r="D9297" s="7" t="n">
        <v>0</v>
      </c>
      <c r="E9297" s="7" t="n">
        <v>0</v>
      </c>
      <c r="F9297" s="7" t="n">
        <v>2</v>
      </c>
      <c r="G9297" s="7" t="n">
        <v>157.26</v>
      </c>
    </row>
    <row r="9298" customFormat="false" ht="15" hidden="false" customHeight="false" outlineLevel="0" collapsed="false">
      <c r="A9298" s="7" t="s">
        <v>35</v>
      </c>
      <c r="B9298" s="7" t="s">
        <v>360</v>
      </c>
      <c r="C9298" s="7" t="s">
        <v>1059</v>
      </c>
      <c r="D9298" s="7" t="n">
        <v>1</v>
      </c>
      <c r="E9298" s="7" t="n">
        <v>81.3</v>
      </c>
      <c r="F9298" s="7" t="n">
        <v>0</v>
      </c>
      <c r="G9298" s="7" t="n">
        <v>0</v>
      </c>
    </row>
    <row r="9299" customFormat="false" ht="15" hidden="false" customHeight="false" outlineLevel="0" collapsed="false">
      <c r="A9299" s="7" t="s">
        <v>35</v>
      </c>
      <c r="B9299" s="7" t="s">
        <v>184</v>
      </c>
      <c r="C9299" s="7" t="s">
        <v>1060</v>
      </c>
      <c r="D9299" s="7" t="n">
        <v>1</v>
      </c>
      <c r="E9299" s="7" t="n">
        <v>81.3</v>
      </c>
      <c r="F9299" s="7" t="n">
        <v>0</v>
      </c>
      <c r="G9299" s="7" t="n">
        <v>0</v>
      </c>
    </row>
    <row r="9300" customFormat="false" ht="15" hidden="false" customHeight="false" outlineLevel="0" collapsed="false">
      <c r="A9300" s="7" t="s">
        <v>35</v>
      </c>
      <c r="B9300" s="7" t="s">
        <v>184</v>
      </c>
      <c r="C9300" s="7" t="s">
        <v>1060</v>
      </c>
      <c r="D9300" s="7" t="n">
        <v>0</v>
      </c>
      <c r="E9300" s="7" t="n">
        <v>0</v>
      </c>
      <c r="F9300" s="7" t="n">
        <v>3</v>
      </c>
      <c r="G9300" s="7" t="n">
        <v>235.88</v>
      </c>
    </row>
    <row r="9301" customFormat="false" ht="15" hidden="false" customHeight="false" outlineLevel="0" collapsed="false">
      <c r="A9301" s="7" t="s">
        <v>35</v>
      </c>
      <c r="B9301" s="7" t="s">
        <v>130</v>
      </c>
      <c r="C9301" s="7" t="s">
        <v>1060</v>
      </c>
      <c r="D9301" s="7" t="n">
        <v>0</v>
      </c>
      <c r="E9301" s="7" t="n">
        <v>0</v>
      </c>
      <c r="F9301" s="7" t="n">
        <v>2</v>
      </c>
      <c r="G9301" s="7" t="n">
        <v>157.26</v>
      </c>
    </row>
    <row r="9302" customFormat="false" ht="15" hidden="false" customHeight="false" outlineLevel="0" collapsed="false">
      <c r="A9302" s="7" t="s">
        <v>35</v>
      </c>
      <c r="B9302" s="7" t="s">
        <v>130</v>
      </c>
      <c r="C9302" s="7" t="s">
        <v>1060</v>
      </c>
      <c r="D9302" s="7" t="n">
        <v>1</v>
      </c>
      <c r="E9302" s="7" t="n">
        <v>81.3</v>
      </c>
      <c r="F9302" s="7" t="n">
        <v>0</v>
      </c>
      <c r="G9302" s="7" t="n">
        <v>0</v>
      </c>
    </row>
    <row r="9303" customFormat="false" ht="15" hidden="false" customHeight="false" outlineLevel="0" collapsed="false">
      <c r="A9303" s="7" t="s">
        <v>35</v>
      </c>
      <c r="B9303" s="7" t="s">
        <v>465</v>
      </c>
      <c r="C9303" s="7" t="s">
        <v>1107</v>
      </c>
      <c r="D9303" s="7" t="n">
        <v>0</v>
      </c>
      <c r="E9303" s="7" t="n">
        <v>0</v>
      </c>
      <c r="F9303" s="7" t="n">
        <v>10</v>
      </c>
      <c r="G9303" s="7" t="n">
        <v>240.66</v>
      </c>
    </row>
    <row r="9304" customFormat="false" ht="15" hidden="false" customHeight="false" outlineLevel="0" collapsed="false">
      <c r="A9304" s="7" t="s">
        <v>35</v>
      </c>
      <c r="B9304" s="7" t="s">
        <v>262</v>
      </c>
      <c r="C9304" s="7" t="s">
        <v>1107</v>
      </c>
      <c r="D9304" s="7" t="n">
        <v>0</v>
      </c>
      <c r="E9304" s="7" t="n">
        <v>0</v>
      </c>
      <c r="F9304" s="7" t="n">
        <v>10</v>
      </c>
      <c r="G9304" s="7" t="n">
        <v>224.17</v>
      </c>
    </row>
    <row r="9305" customFormat="false" ht="15" hidden="false" customHeight="false" outlineLevel="0" collapsed="false">
      <c r="A9305" s="7" t="s">
        <v>35</v>
      </c>
      <c r="B9305" s="7" t="s">
        <v>596</v>
      </c>
      <c r="C9305" s="7" t="s">
        <v>1107</v>
      </c>
      <c r="D9305" s="7" t="n">
        <v>0</v>
      </c>
      <c r="E9305" s="7" t="n">
        <v>0</v>
      </c>
      <c r="F9305" s="7" t="n">
        <v>6</v>
      </c>
      <c r="G9305" s="7" t="n">
        <v>144.4</v>
      </c>
    </row>
    <row r="9306" customFormat="false" ht="15" hidden="false" customHeight="false" outlineLevel="0" collapsed="false">
      <c r="A9306" s="7" t="s">
        <v>35</v>
      </c>
      <c r="B9306" s="7" t="s">
        <v>596</v>
      </c>
      <c r="C9306" s="7" t="s">
        <v>1107</v>
      </c>
      <c r="D9306" s="7" t="n">
        <v>20</v>
      </c>
      <c r="E9306" s="7" t="n">
        <v>547.87</v>
      </c>
      <c r="F9306" s="7" t="n">
        <v>0</v>
      </c>
      <c r="G9306" s="7" t="n">
        <v>0</v>
      </c>
    </row>
    <row r="9307" customFormat="false" ht="15" hidden="false" customHeight="false" outlineLevel="0" collapsed="false">
      <c r="A9307" s="7" t="s">
        <v>35</v>
      </c>
      <c r="B9307" s="7" t="s">
        <v>541</v>
      </c>
      <c r="C9307" s="7" t="s">
        <v>1254</v>
      </c>
      <c r="D9307" s="7" t="n">
        <v>10</v>
      </c>
      <c r="E9307" s="7" t="n">
        <v>292.14</v>
      </c>
      <c r="F9307" s="7" t="n">
        <v>0</v>
      </c>
      <c r="G9307" s="7" t="n">
        <v>0</v>
      </c>
    </row>
    <row r="9308" customFormat="false" ht="15" hidden="false" customHeight="false" outlineLevel="0" collapsed="false">
      <c r="A9308" s="7" t="s">
        <v>35</v>
      </c>
      <c r="B9308" s="7" t="s">
        <v>541</v>
      </c>
      <c r="C9308" s="7" t="s">
        <v>1254</v>
      </c>
      <c r="D9308" s="7" t="n">
        <v>0</v>
      </c>
      <c r="E9308" s="7" t="n">
        <v>0</v>
      </c>
      <c r="F9308" s="7" t="n">
        <v>10</v>
      </c>
      <c r="G9308" s="7" t="n">
        <v>275.57</v>
      </c>
    </row>
    <row r="9309" customFormat="false" ht="15" hidden="false" customHeight="false" outlineLevel="0" collapsed="false">
      <c r="A9309" s="7" t="s">
        <v>35</v>
      </c>
      <c r="B9309" s="7" t="s">
        <v>313</v>
      </c>
      <c r="C9309" s="7" t="s">
        <v>1254</v>
      </c>
      <c r="D9309" s="7" t="n">
        <v>0</v>
      </c>
      <c r="E9309" s="7" t="n">
        <v>0</v>
      </c>
      <c r="F9309" s="7" t="n">
        <v>10</v>
      </c>
      <c r="G9309" s="7" t="n">
        <v>256.69</v>
      </c>
    </row>
    <row r="9310" customFormat="false" ht="15" hidden="false" customHeight="false" outlineLevel="0" collapsed="false">
      <c r="A9310" s="7" t="s">
        <v>35</v>
      </c>
      <c r="B9310" s="7" t="s">
        <v>558</v>
      </c>
      <c r="C9310" s="7" t="s">
        <v>1254</v>
      </c>
      <c r="D9310" s="7" t="n">
        <v>0</v>
      </c>
      <c r="E9310" s="7" t="n">
        <v>0</v>
      </c>
      <c r="F9310" s="7" t="n">
        <v>6</v>
      </c>
      <c r="G9310" s="7" t="n">
        <v>165.34</v>
      </c>
    </row>
    <row r="9311" customFormat="false" ht="15" hidden="false" customHeight="false" outlineLevel="0" collapsed="false">
      <c r="A9311" s="7" t="s">
        <v>35</v>
      </c>
      <c r="B9311" s="7" t="s">
        <v>558</v>
      </c>
      <c r="C9311" s="7" t="s">
        <v>1254</v>
      </c>
      <c r="D9311" s="7" t="n">
        <v>10</v>
      </c>
      <c r="E9311" s="7" t="n">
        <v>292.14</v>
      </c>
      <c r="F9311" s="7" t="n">
        <v>0</v>
      </c>
      <c r="G9311" s="7" t="n">
        <v>0</v>
      </c>
    </row>
    <row r="9312" customFormat="false" ht="15" hidden="false" customHeight="false" outlineLevel="0" collapsed="false">
      <c r="A9312" s="7" t="s">
        <v>35</v>
      </c>
      <c r="B9312" s="7" t="s">
        <v>988</v>
      </c>
      <c r="C9312" s="7" t="s">
        <v>1313</v>
      </c>
      <c r="D9312" s="7" t="n">
        <v>4</v>
      </c>
      <c r="E9312" s="7" t="n">
        <v>0.16</v>
      </c>
      <c r="F9312" s="7" t="n">
        <v>0</v>
      </c>
      <c r="G9312" s="7" t="n">
        <v>0</v>
      </c>
    </row>
    <row r="9313" customFormat="false" ht="15" hidden="false" customHeight="false" outlineLevel="0" collapsed="false">
      <c r="A9313" s="7" t="s">
        <v>35</v>
      </c>
      <c r="B9313" s="7" t="s">
        <v>987</v>
      </c>
      <c r="C9313" s="7" t="s">
        <v>1314</v>
      </c>
      <c r="D9313" s="7" t="n">
        <v>6</v>
      </c>
      <c r="E9313" s="7" t="n">
        <v>0.23</v>
      </c>
      <c r="F9313" s="7" t="n">
        <v>0</v>
      </c>
      <c r="G9313" s="7" t="n">
        <v>0</v>
      </c>
    </row>
    <row r="9314" customFormat="false" ht="15" hidden="false" customHeight="false" outlineLevel="0" collapsed="false">
      <c r="A9314" s="7" t="s">
        <v>35</v>
      </c>
      <c r="B9314" s="7" t="s">
        <v>665</v>
      </c>
      <c r="C9314" s="7" t="s">
        <v>1181</v>
      </c>
      <c r="D9314" s="7" t="n">
        <v>0</v>
      </c>
      <c r="E9314" s="7" t="n">
        <v>0</v>
      </c>
      <c r="F9314" s="7" t="n">
        <v>10</v>
      </c>
      <c r="G9314" s="7" t="n">
        <v>102.88</v>
      </c>
    </row>
    <row r="9315" customFormat="false" ht="15" hidden="false" customHeight="false" outlineLevel="0" collapsed="false">
      <c r="A9315" s="7" t="s">
        <v>35</v>
      </c>
      <c r="B9315" s="7" t="s">
        <v>459</v>
      </c>
      <c r="C9315" s="7" t="s">
        <v>1257</v>
      </c>
      <c r="D9315" s="7" t="n">
        <v>24</v>
      </c>
      <c r="E9315" s="7" t="n">
        <v>227.95</v>
      </c>
      <c r="F9315" s="7" t="n">
        <v>0</v>
      </c>
      <c r="G9315" s="7" t="n">
        <v>0</v>
      </c>
    </row>
    <row r="9316" customFormat="false" ht="15" hidden="false" customHeight="false" outlineLevel="0" collapsed="false">
      <c r="A9316" s="7" t="s">
        <v>35</v>
      </c>
      <c r="B9316" s="7" t="s">
        <v>774</v>
      </c>
      <c r="C9316" s="7" t="s">
        <v>1258</v>
      </c>
      <c r="D9316" s="7" t="n">
        <v>24</v>
      </c>
      <c r="E9316" s="7" t="n">
        <v>227.95</v>
      </c>
      <c r="F9316" s="7" t="n">
        <v>0</v>
      </c>
      <c r="G9316" s="7" t="n">
        <v>0</v>
      </c>
    </row>
    <row r="9317" customFormat="false" ht="15" hidden="false" customHeight="false" outlineLevel="0" collapsed="false">
      <c r="A9317" s="7" t="s">
        <v>35</v>
      </c>
      <c r="B9317" s="7" t="s">
        <v>398</v>
      </c>
      <c r="C9317" s="7" t="s">
        <v>1259</v>
      </c>
      <c r="D9317" s="7" t="n">
        <v>24</v>
      </c>
      <c r="E9317" s="7" t="n">
        <v>227.95</v>
      </c>
      <c r="F9317" s="7" t="n">
        <v>0</v>
      </c>
      <c r="G9317" s="7" t="n">
        <v>0</v>
      </c>
    </row>
    <row r="9318" customFormat="false" ht="15" hidden="false" customHeight="false" outlineLevel="0" collapsed="false">
      <c r="A9318" s="7" t="s">
        <v>35</v>
      </c>
      <c r="B9318" s="7" t="s">
        <v>398</v>
      </c>
      <c r="C9318" s="7" t="s">
        <v>1259</v>
      </c>
      <c r="D9318" s="7" t="n">
        <v>20</v>
      </c>
      <c r="E9318" s="7" t="n">
        <v>194.76</v>
      </c>
      <c r="F9318" s="7" t="n">
        <v>0</v>
      </c>
      <c r="G9318" s="7" t="n">
        <v>0</v>
      </c>
    </row>
    <row r="9319" customFormat="false" ht="15" hidden="false" customHeight="false" outlineLevel="0" collapsed="false">
      <c r="A9319" s="7" t="s">
        <v>35</v>
      </c>
      <c r="B9319" s="7" t="s">
        <v>374</v>
      </c>
      <c r="C9319" s="7" t="s">
        <v>1261</v>
      </c>
      <c r="D9319" s="7" t="n">
        <v>20</v>
      </c>
      <c r="E9319" s="7" t="n">
        <v>198.66</v>
      </c>
      <c r="F9319" s="7" t="n">
        <v>0</v>
      </c>
      <c r="G9319" s="7" t="n">
        <v>0</v>
      </c>
    </row>
    <row r="9320" customFormat="false" ht="15" hidden="false" customHeight="false" outlineLevel="0" collapsed="false">
      <c r="A9320" s="7" t="s">
        <v>35</v>
      </c>
      <c r="B9320" s="7" t="s">
        <v>374</v>
      </c>
      <c r="C9320" s="7" t="s">
        <v>1261</v>
      </c>
      <c r="D9320" s="7" t="n">
        <v>12</v>
      </c>
      <c r="E9320" s="7" t="n">
        <v>127.98</v>
      </c>
      <c r="F9320" s="7" t="n">
        <v>0</v>
      </c>
      <c r="G9320" s="7" t="n">
        <v>0</v>
      </c>
    </row>
    <row r="9321" customFormat="false" ht="15" hidden="false" customHeight="false" outlineLevel="0" collapsed="false">
      <c r="A9321" s="7" t="s">
        <v>35</v>
      </c>
      <c r="B9321" s="7" t="s">
        <v>754</v>
      </c>
      <c r="C9321" s="7" t="s">
        <v>1261</v>
      </c>
      <c r="D9321" s="7" t="n">
        <v>20</v>
      </c>
      <c r="E9321" s="7" t="n">
        <v>198.66</v>
      </c>
      <c r="F9321" s="7" t="n">
        <v>0</v>
      </c>
      <c r="G9321" s="7" t="n">
        <v>0</v>
      </c>
    </row>
    <row r="9322" customFormat="false" ht="15" hidden="false" customHeight="false" outlineLevel="0" collapsed="false">
      <c r="A9322" s="7" t="s">
        <v>35</v>
      </c>
      <c r="B9322" s="7" t="s">
        <v>754</v>
      </c>
      <c r="C9322" s="7" t="s">
        <v>1261</v>
      </c>
      <c r="D9322" s="7" t="n">
        <v>6</v>
      </c>
      <c r="E9322" s="7" t="n">
        <v>63.99</v>
      </c>
      <c r="F9322" s="7" t="n">
        <v>0</v>
      </c>
      <c r="G9322" s="7" t="n">
        <v>0</v>
      </c>
    </row>
    <row r="9323" customFormat="false" ht="15" hidden="false" customHeight="false" outlineLevel="0" collapsed="false">
      <c r="A9323" s="7" t="s">
        <v>35</v>
      </c>
      <c r="B9323" s="7" t="s">
        <v>703</v>
      </c>
      <c r="C9323" s="7" t="s">
        <v>1261</v>
      </c>
      <c r="D9323" s="7" t="n">
        <v>0</v>
      </c>
      <c r="E9323" s="7" t="n">
        <v>0</v>
      </c>
      <c r="F9323" s="7" t="n">
        <v>20</v>
      </c>
      <c r="G9323" s="7" t="n">
        <v>187.38</v>
      </c>
    </row>
    <row r="9324" customFormat="false" ht="15" hidden="false" customHeight="false" outlineLevel="0" collapsed="false">
      <c r="A9324" s="7" t="s">
        <v>35</v>
      </c>
      <c r="B9324" s="7" t="s">
        <v>703</v>
      </c>
      <c r="C9324" s="7" t="s">
        <v>1261</v>
      </c>
      <c r="D9324" s="7" t="n">
        <v>20</v>
      </c>
      <c r="E9324" s="7" t="n">
        <v>198.66</v>
      </c>
      <c r="F9324" s="7" t="n">
        <v>0</v>
      </c>
      <c r="G9324" s="7" t="n">
        <v>0</v>
      </c>
    </row>
    <row r="9325" customFormat="false" ht="15" hidden="false" customHeight="false" outlineLevel="0" collapsed="false">
      <c r="A9325" s="7" t="s">
        <v>35</v>
      </c>
      <c r="B9325" s="7" t="s">
        <v>772</v>
      </c>
      <c r="C9325" s="7" t="s">
        <v>1261</v>
      </c>
      <c r="D9325" s="7" t="n">
        <v>6</v>
      </c>
      <c r="E9325" s="7" t="n">
        <v>63.99</v>
      </c>
      <c r="F9325" s="7" t="n">
        <v>0</v>
      </c>
      <c r="G9325" s="7" t="n">
        <v>0</v>
      </c>
    </row>
    <row r="9326" customFormat="false" ht="15" hidden="false" customHeight="false" outlineLevel="0" collapsed="false">
      <c r="A9326" s="7" t="s">
        <v>35</v>
      </c>
      <c r="B9326" s="7" t="s">
        <v>627</v>
      </c>
      <c r="C9326" s="7" t="s">
        <v>1110</v>
      </c>
      <c r="D9326" s="7" t="n">
        <v>0</v>
      </c>
      <c r="E9326" s="7" t="n">
        <v>0</v>
      </c>
      <c r="F9326" s="7" t="n">
        <v>50</v>
      </c>
      <c r="G9326" s="7" t="n">
        <v>308.03</v>
      </c>
    </row>
    <row r="9327" customFormat="false" ht="15" hidden="false" customHeight="false" outlineLevel="0" collapsed="false">
      <c r="A9327" s="7" t="s">
        <v>35</v>
      </c>
      <c r="B9327" s="7" t="s">
        <v>627</v>
      </c>
      <c r="C9327" s="7" t="s">
        <v>1110</v>
      </c>
      <c r="D9327" s="7" t="n">
        <v>24</v>
      </c>
      <c r="E9327" s="7" t="n">
        <v>168.27</v>
      </c>
      <c r="F9327" s="7" t="n">
        <v>0</v>
      </c>
      <c r="G9327" s="7" t="n">
        <v>0</v>
      </c>
    </row>
    <row r="9328" customFormat="false" ht="15" hidden="false" customHeight="false" outlineLevel="0" collapsed="false">
      <c r="A9328" s="7" t="s">
        <v>35</v>
      </c>
      <c r="B9328" s="7" t="s">
        <v>627</v>
      </c>
      <c r="C9328" s="7" t="s">
        <v>1110</v>
      </c>
      <c r="D9328" s="7" t="n">
        <v>0</v>
      </c>
      <c r="E9328" s="7" t="n">
        <v>0</v>
      </c>
      <c r="F9328" s="7" t="n">
        <v>36</v>
      </c>
      <c r="G9328" s="7" t="n">
        <v>238.09</v>
      </c>
    </row>
    <row r="9329" customFormat="false" ht="15" hidden="false" customHeight="false" outlineLevel="0" collapsed="false">
      <c r="A9329" s="7" t="s">
        <v>35</v>
      </c>
      <c r="B9329" s="7" t="s">
        <v>627</v>
      </c>
      <c r="C9329" s="7" t="s">
        <v>1110</v>
      </c>
      <c r="D9329" s="7" t="n">
        <v>24</v>
      </c>
      <c r="E9329" s="7" t="n">
        <v>180.67</v>
      </c>
      <c r="F9329" s="7" t="n">
        <v>0</v>
      </c>
      <c r="G9329" s="7" t="n">
        <v>0</v>
      </c>
    </row>
    <row r="9330" customFormat="false" ht="15" hidden="false" customHeight="false" outlineLevel="0" collapsed="false">
      <c r="A9330" s="7" t="s">
        <v>35</v>
      </c>
      <c r="B9330" s="7" t="s">
        <v>627</v>
      </c>
      <c r="C9330" s="7" t="s">
        <v>1110</v>
      </c>
      <c r="D9330" s="7" t="n">
        <v>36</v>
      </c>
      <c r="E9330" s="7" t="n">
        <v>246.19</v>
      </c>
      <c r="F9330" s="7" t="n">
        <v>0</v>
      </c>
      <c r="G9330" s="7" t="n">
        <v>0</v>
      </c>
    </row>
    <row r="9331" customFormat="false" ht="15" hidden="false" customHeight="false" outlineLevel="0" collapsed="false">
      <c r="A9331" s="7" t="s">
        <v>35</v>
      </c>
      <c r="B9331" s="7" t="s">
        <v>617</v>
      </c>
      <c r="C9331" s="7" t="s">
        <v>1111</v>
      </c>
      <c r="D9331" s="7" t="n">
        <v>36</v>
      </c>
      <c r="E9331" s="7" t="n">
        <v>246.19</v>
      </c>
      <c r="F9331" s="7" t="n">
        <v>0</v>
      </c>
      <c r="G9331" s="7" t="n">
        <v>0</v>
      </c>
    </row>
    <row r="9332" customFormat="false" ht="15" hidden="false" customHeight="false" outlineLevel="0" collapsed="false">
      <c r="A9332" s="7" t="s">
        <v>35</v>
      </c>
      <c r="B9332" s="7" t="s">
        <v>617</v>
      </c>
      <c r="C9332" s="7" t="s">
        <v>1111</v>
      </c>
      <c r="D9332" s="7" t="n">
        <v>12</v>
      </c>
      <c r="E9332" s="7" t="n">
        <v>90.34</v>
      </c>
      <c r="F9332" s="7" t="n">
        <v>0</v>
      </c>
      <c r="G9332" s="7" t="n">
        <v>0</v>
      </c>
    </row>
    <row r="9333" customFormat="false" ht="15" hidden="false" customHeight="false" outlineLevel="0" collapsed="false">
      <c r="A9333" s="7" t="s">
        <v>35</v>
      </c>
      <c r="B9333" s="7" t="s">
        <v>617</v>
      </c>
      <c r="C9333" s="7" t="s">
        <v>1111</v>
      </c>
      <c r="D9333" s="7" t="n">
        <v>0</v>
      </c>
      <c r="E9333" s="7" t="n">
        <v>0</v>
      </c>
      <c r="F9333" s="7" t="n">
        <v>60</v>
      </c>
      <c r="G9333" s="7" t="n">
        <v>396.81</v>
      </c>
    </row>
    <row r="9334" customFormat="false" ht="15" hidden="false" customHeight="false" outlineLevel="0" collapsed="false">
      <c r="A9334" s="7" t="s">
        <v>35</v>
      </c>
      <c r="B9334" s="7" t="s">
        <v>701</v>
      </c>
      <c r="C9334" s="7" t="s">
        <v>1112</v>
      </c>
      <c r="D9334" s="7" t="n">
        <v>0</v>
      </c>
      <c r="E9334" s="7" t="n">
        <v>0</v>
      </c>
      <c r="F9334" s="7" t="n">
        <v>24</v>
      </c>
      <c r="G9334" s="7" t="n">
        <v>158.73</v>
      </c>
    </row>
    <row r="9335" customFormat="false" ht="15" hidden="false" customHeight="false" outlineLevel="0" collapsed="false">
      <c r="A9335" s="7" t="s">
        <v>35</v>
      </c>
      <c r="B9335" s="7" t="s">
        <v>701</v>
      </c>
      <c r="C9335" s="7" t="s">
        <v>1112</v>
      </c>
      <c r="D9335" s="7" t="n">
        <v>24</v>
      </c>
      <c r="E9335" s="7" t="n">
        <v>180.67</v>
      </c>
      <c r="F9335" s="7" t="n">
        <v>0</v>
      </c>
      <c r="G9335" s="7" t="n">
        <v>0</v>
      </c>
    </row>
    <row r="9336" customFormat="false" ht="15" hidden="false" customHeight="false" outlineLevel="0" collapsed="false">
      <c r="A9336" s="7" t="s">
        <v>35</v>
      </c>
      <c r="B9336" s="7" t="s">
        <v>761</v>
      </c>
      <c r="C9336" s="7" t="s">
        <v>1113</v>
      </c>
      <c r="D9336" s="7" t="n">
        <v>12</v>
      </c>
      <c r="E9336" s="7" t="n">
        <v>82.06</v>
      </c>
      <c r="F9336" s="7" t="n">
        <v>0</v>
      </c>
      <c r="G9336" s="7" t="n">
        <v>0</v>
      </c>
    </row>
    <row r="9337" customFormat="false" ht="15" hidden="false" customHeight="false" outlineLevel="0" collapsed="false">
      <c r="A9337" s="7" t="s">
        <v>35</v>
      </c>
      <c r="B9337" s="7" t="s">
        <v>761</v>
      </c>
      <c r="C9337" s="7" t="s">
        <v>1113</v>
      </c>
      <c r="D9337" s="7" t="n">
        <v>0</v>
      </c>
      <c r="E9337" s="7" t="n">
        <v>0</v>
      </c>
      <c r="F9337" s="7" t="n">
        <v>12</v>
      </c>
      <c r="G9337" s="7" t="n">
        <v>79.36</v>
      </c>
    </row>
    <row r="9338" customFormat="false" ht="15" hidden="false" customHeight="false" outlineLevel="0" collapsed="false">
      <c r="A9338" s="7" t="s">
        <v>35</v>
      </c>
      <c r="B9338" s="7" t="s">
        <v>603</v>
      </c>
      <c r="C9338" s="7" t="s">
        <v>1067</v>
      </c>
      <c r="D9338" s="7" t="n">
        <v>60</v>
      </c>
      <c r="E9338" s="7" t="n">
        <v>829.68</v>
      </c>
      <c r="F9338" s="7" t="n">
        <v>0</v>
      </c>
      <c r="G9338" s="7" t="n">
        <v>0</v>
      </c>
    </row>
    <row r="9339" customFormat="false" ht="15" hidden="false" customHeight="false" outlineLevel="0" collapsed="false">
      <c r="A9339" s="7" t="s">
        <v>35</v>
      </c>
      <c r="B9339" s="7" t="s">
        <v>601</v>
      </c>
      <c r="C9339" s="7" t="s">
        <v>1067</v>
      </c>
      <c r="D9339" s="7" t="n">
        <v>60</v>
      </c>
      <c r="E9339" s="7" t="n">
        <v>890.81</v>
      </c>
      <c r="F9339" s="7" t="n">
        <v>0</v>
      </c>
      <c r="G9339" s="7" t="n">
        <v>0</v>
      </c>
    </row>
    <row r="9340" customFormat="false" ht="15" hidden="false" customHeight="false" outlineLevel="0" collapsed="false">
      <c r="A9340" s="7" t="s">
        <v>35</v>
      </c>
      <c r="B9340" s="7" t="s">
        <v>601</v>
      </c>
      <c r="C9340" s="7" t="s">
        <v>1067</v>
      </c>
      <c r="D9340" s="7" t="n">
        <v>60</v>
      </c>
      <c r="E9340" s="7" t="n">
        <v>829.68</v>
      </c>
      <c r="F9340" s="7" t="n">
        <v>0</v>
      </c>
      <c r="G9340" s="7" t="n">
        <v>0</v>
      </c>
    </row>
    <row r="9341" customFormat="false" ht="15" hidden="false" customHeight="false" outlineLevel="0" collapsed="false">
      <c r="A9341" s="7" t="s">
        <v>35</v>
      </c>
      <c r="B9341" s="7" t="s">
        <v>296</v>
      </c>
      <c r="C9341" s="7" t="s">
        <v>1067</v>
      </c>
      <c r="D9341" s="7" t="n">
        <v>60</v>
      </c>
      <c r="E9341" s="7" t="n">
        <v>829.68</v>
      </c>
      <c r="F9341" s="7" t="n">
        <v>0</v>
      </c>
      <c r="G9341" s="7" t="n">
        <v>0</v>
      </c>
    </row>
    <row r="9342" customFormat="false" ht="15" hidden="false" customHeight="false" outlineLevel="0" collapsed="false">
      <c r="A9342" s="7" t="s">
        <v>35</v>
      </c>
      <c r="B9342" s="7" t="s">
        <v>296</v>
      </c>
      <c r="C9342" s="7" t="s">
        <v>1067</v>
      </c>
      <c r="D9342" s="7" t="n">
        <v>60</v>
      </c>
      <c r="E9342" s="7" t="n">
        <v>890.81</v>
      </c>
      <c r="F9342" s="7" t="n">
        <v>0</v>
      </c>
      <c r="G9342" s="7" t="n">
        <v>0</v>
      </c>
    </row>
    <row r="9343" customFormat="false" ht="15" hidden="false" customHeight="false" outlineLevel="0" collapsed="false">
      <c r="A9343" s="7" t="s">
        <v>35</v>
      </c>
      <c r="B9343" s="7" t="s">
        <v>934</v>
      </c>
      <c r="C9343" s="7" t="s">
        <v>1315</v>
      </c>
      <c r="D9343" s="7" t="n">
        <v>10</v>
      </c>
      <c r="E9343" s="7" t="n">
        <v>303.83</v>
      </c>
      <c r="F9343" s="7" t="n">
        <v>0</v>
      </c>
      <c r="G9343" s="7" t="n">
        <v>0</v>
      </c>
    </row>
    <row r="9344" customFormat="false" ht="15" hidden="false" customHeight="false" outlineLevel="0" collapsed="false">
      <c r="A9344" s="7" t="s">
        <v>35</v>
      </c>
      <c r="B9344" s="7" t="s">
        <v>934</v>
      </c>
      <c r="C9344" s="7" t="s">
        <v>1315</v>
      </c>
      <c r="D9344" s="7" t="n">
        <v>20</v>
      </c>
      <c r="E9344" s="7" t="n">
        <v>652.42</v>
      </c>
      <c r="F9344" s="7" t="n">
        <v>0</v>
      </c>
      <c r="G9344" s="7" t="n">
        <v>0</v>
      </c>
    </row>
    <row r="9345" customFormat="false" ht="15" hidden="false" customHeight="false" outlineLevel="0" collapsed="false">
      <c r="A9345" s="7" t="s">
        <v>35</v>
      </c>
      <c r="B9345" s="7" t="s">
        <v>934</v>
      </c>
      <c r="C9345" s="7" t="s">
        <v>1315</v>
      </c>
      <c r="D9345" s="7" t="n">
        <v>0</v>
      </c>
      <c r="E9345" s="7" t="n">
        <v>0</v>
      </c>
      <c r="F9345" s="7" t="n">
        <v>10</v>
      </c>
      <c r="G9345" s="7" t="n">
        <v>266.96</v>
      </c>
    </row>
    <row r="9346" customFormat="false" ht="15" hidden="false" customHeight="false" outlineLevel="0" collapsed="false">
      <c r="A9346" s="7" t="s">
        <v>35</v>
      </c>
      <c r="B9346" s="7" t="s">
        <v>934</v>
      </c>
      <c r="C9346" s="7" t="s">
        <v>1315</v>
      </c>
      <c r="D9346" s="7" t="n">
        <v>10</v>
      </c>
      <c r="E9346" s="7" t="n">
        <v>296.34</v>
      </c>
      <c r="F9346" s="7" t="n">
        <v>0</v>
      </c>
      <c r="G9346" s="7" t="n">
        <v>0</v>
      </c>
    </row>
    <row r="9347" customFormat="false" ht="15" hidden="false" customHeight="false" outlineLevel="0" collapsed="false">
      <c r="A9347" s="7" t="s">
        <v>35</v>
      </c>
      <c r="B9347" s="7" t="s">
        <v>934</v>
      </c>
      <c r="C9347" s="7" t="s">
        <v>1315</v>
      </c>
      <c r="D9347" s="7" t="n">
        <v>0</v>
      </c>
      <c r="E9347" s="7" t="n">
        <v>0</v>
      </c>
      <c r="F9347" s="7" t="n">
        <v>20</v>
      </c>
      <c r="G9347" s="7" t="n">
        <v>573.18</v>
      </c>
    </row>
    <row r="9348" customFormat="false" ht="15" hidden="false" customHeight="false" outlineLevel="0" collapsed="false">
      <c r="A9348" s="7" t="s">
        <v>35</v>
      </c>
      <c r="B9348" s="7" t="s">
        <v>595</v>
      </c>
      <c r="C9348" s="7" t="s">
        <v>1118</v>
      </c>
      <c r="D9348" s="7" t="n">
        <v>20</v>
      </c>
      <c r="E9348" s="7" t="n">
        <v>460.04</v>
      </c>
      <c r="F9348" s="7" t="n">
        <v>0</v>
      </c>
      <c r="G9348" s="7" t="n">
        <v>0</v>
      </c>
    </row>
    <row r="9349" customFormat="false" ht="15" hidden="false" customHeight="false" outlineLevel="0" collapsed="false">
      <c r="A9349" s="7" t="s">
        <v>35</v>
      </c>
      <c r="B9349" s="7" t="s">
        <v>595</v>
      </c>
      <c r="C9349" s="7" t="s">
        <v>1118</v>
      </c>
      <c r="D9349" s="7" t="n">
        <v>10</v>
      </c>
      <c r="E9349" s="7" t="n">
        <v>208.96</v>
      </c>
      <c r="F9349" s="7" t="n">
        <v>0</v>
      </c>
      <c r="G9349" s="7" t="n">
        <v>0</v>
      </c>
    </row>
    <row r="9350" customFormat="false" ht="15" hidden="false" customHeight="false" outlineLevel="0" collapsed="false">
      <c r="A9350" s="7" t="s">
        <v>35</v>
      </c>
      <c r="B9350" s="7" t="s">
        <v>595</v>
      </c>
      <c r="C9350" s="7" t="s">
        <v>1118</v>
      </c>
      <c r="D9350" s="7" t="n">
        <v>0</v>
      </c>
      <c r="E9350" s="7" t="n">
        <v>0</v>
      </c>
      <c r="F9350" s="7" t="n">
        <v>6</v>
      </c>
      <c r="G9350" s="7" t="n">
        <v>112.94</v>
      </c>
    </row>
    <row r="9351" customFormat="false" ht="15" hidden="false" customHeight="false" outlineLevel="0" collapsed="false">
      <c r="A9351" s="7" t="s">
        <v>35</v>
      </c>
      <c r="B9351" s="7" t="s">
        <v>693</v>
      </c>
      <c r="C9351" s="7" t="s">
        <v>1118</v>
      </c>
      <c r="D9351" s="7" t="n">
        <v>10</v>
      </c>
      <c r="E9351" s="7" t="n">
        <v>214.24</v>
      </c>
      <c r="F9351" s="7" t="n">
        <v>0</v>
      </c>
      <c r="G9351" s="7" t="n">
        <v>0</v>
      </c>
    </row>
    <row r="9352" customFormat="false" ht="15" hidden="false" customHeight="false" outlineLevel="0" collapsed="false">
      <c r="A9352" s="7" t="s">
        <v>35</v>
      </c>
      <c r="B9352" s="7" t="s">
        <v>693</v>
      </c>
      <c r="C9352" s="7" t="s">
        <v>1118</v>
      </c>
      <c r="D9352" s="7" t="n">
        <v>10</v>
      </c>
      <c r="E9352" s="7" t="n">
        <v>208.96</v>
      </c>
      <c r="F9352" s="7" t="n">
        <v>0</v>
      </c>
      <c r="G9352" s="7" t="n">
        <v>0</v>
      </c>
    </row>
    <row r="9353" customFormat="false" ht="15" hidden="false" customHeight="false" outlineLevel="0" collapsed="false">
      <c r="A9353" s="7" t="s">
        <v>35</v>
      </c>
      <c r="B9353" s="7" t="s">
        <v>693</v>
      </c>
      <c r="C9353" s="7" t="s">
        <v>1118</v>
      </c>
      <c r="D9353" s="7" t="n">
        <v>0</v>
      </c>
      <c r="E9353" s="7" t="n">
        <v>0</v>
      </c>
      <c r="F9353" s="7" t="n">
        <v>16</v>
      </c>
      <c r="G9353" s="7" t="n">
        <v>301.18</v>
      </c>
    </row>
    <row r="9354" customFormat="false" ht="15" hidden="false" customHeight="false" outlineLevel="0" collapsed="false">
      <c r="A9354" s="7" t="s">
        <v>35</v>
      </c>
      <c r="B9354" s="7" t="s">
        <v>692</v>
      </c>
      <c r="C9354" s="7" t="s">
        <v>1118</v>
      </c>
      <c r="D9354" s="7" t="n">
        <v>6</v>
      </c>
      <c r="E9354" s="7" t="n">
        <v>128.54</v>
      </c>
      <c r="F9354" s="7" t="n">
        <v>0</v>
      </c>
      <c r="G9354" s="7" t="n">
        <v>0</v>
      </c>
    </row>
    <row r="9355" customFormat="false" ht="15" hidden="false" customHeight="false" outlineLevel="0" collapsed="false">
      <c r="A9355" s="7" t="s">
        <v>35</v>
      </c>
      <c r="B9355" s="7" t="s">
        <v>692</v>
      </c>
      <c r="C9355" s="7" t="s">
        <v>1118</v>
      </c>
      <c r="D9355" s="7" t="n">
        <v>0</v>
      </c>
      <c r="E9355" s="7" t="n">
        <v>0</v>
      </c>
      <c r="F9355" s="7" t="n">
        <v>10</v>
      </c>
      <c r="G9355" s="7" t="n">
        <v>202.08</v>
      </c>
    </row>
    <row r="9356" customFormat="false" ht="15" hidden="false" customHeight="false" outlineLevel="0" collapsed="false">
      <c r="A9356" s="7" t="s">
        <v>35</v>
      </c>
      <c r="B9356" s="7" t="s">
        <v>533</v>
      </c>
      <c r="C9356" s="7" t="s">
        <v>1118</v>
      </c>
      <c r="D9356" s="7" t="n">
        <v>0</v>
      </c>
      <c r="E9356" s="7" t="n">
        <v>0</v>
      </c>
      <c r="F9356" s="7" t="n">
        <v>3</v>
      </c>
      <c r="G9356" s="7" t="n">
        <v>56.47</v>
      </c>
    </row>
    <row r="9357" customFormat="false" ht="15" hidden="false" customHeight="false" outlineLevel="0" collapsed="false">
      <c r="A9357" s="7" t="s">
        <v>35</v>
      </c>
      <c r="B9357" s="7" t="s">
        <v>533</v>
      </c>
      <c r="C9357" s="7" t="s">
        <v>1118</v>
      </c>
      <c r="D9357" s="7" t="n">
        <v>0</v>
      </c>
      <c r="E9357" s="7" t="n">
        <v>0</v>
      </c>
      <c r="F9357" s="7" t="n">
        <v>10</v>
      </c>
      <c r="G9357" s="7" t="n">
        <v>202.08</v>
      </c>
    </row>
    <row r="9358" customFormat="false" ht="15" hidden="false" customHeight="false" outlineLevel="0" collapsed="false">
      <c r="A9358" s="7" t="s">
        <v>35</v>
      </c>
      <c r="B9358" s="7" t="s">
        <v>179</v>
      </c>
      <c r="C9358" s="7" t="s">
        <v>1120</v>
      </c>
      <c r="D9358" s="7" t="n">
        <v>10</v>
      </c>
      <c r="E9358" s="7" t="n">
        <v>277.34</v>
      </c>
      <c r="F9358" s="7" t="n">
        <v>0</v>
      </c>
      <c r="G9358" s="7" t="n">
        <v>0</v>
      </c>
    </row>
    <row r="9359" customFormat="false" ht="15" hidden="false" customHeight="false" outlineLevel="0" collapsed="false">
      <c r="A9359" s="7" t="s">
        <v>35</v>
      </c>
      <c r="B9359" s="7" t="s">
        <v>154</v>
      </c>
      <c r="C9359" s="7" t="s">
        <v>1162</v>
      </c>
      <c r="D9359" s="7" t="n">
        <v>1</v>
      </c>
      <c r="E9359" s="7" t="n">
        <v>0.04</v>
      </c>
      <c r="F9359" s="7" t="n">
        <v>0</v>
      </c>
      <c r="G9359" s="7" t="n">
        <v>0</v>
      </c>
    </row>
    <row r="9360" customFormat="false" ht="15" hidden="false" customHeight="false" outlineLevel="0" collapsed="false">
      <c r="A9360" s="7" t="s">
        <v>35</v>
      </c>
      <c r="B9360" s="7" t="s">
        <v>154</v>
      </c>
      <c r="C9360" s="7" t="s">
        <v>1162</v>
      </c>
      <c r="D9360" s="7" t="n">
        <v>10</v>
      </c>
      <c r="E9360" s="7" t="n">
        <v>467.42</v>
      </c>
      <c r="F9360" s="7" t="n">
        <v>0</v>
      </c>
      <c r="G9360" s="7" t="n">
        <v>0</v>
      </c>
    </row>
    <row r="9361" customFormat="false" ht="15" hidden="false" customHeight="false" outlineLevel="0" collapsed="false">
      <c r="A9361" s="7" t="s">
        <v>35</v>
      </c>
      <c r="B9361" s="7" t="s">
        <v>154</v>
      </c>
      <c r="C9361" s="7" t="s">
        <v>1162</v>
      </c>
      <c r="D9361" s="7" t="n">
        <v>24</v>
      </c>
      <c r="E9361" s="7" t="n">
        <v>1204.47</v>
      </c>
      <c r="F9361" s="7" t="n">
        <v>0</v>
      </c>
      <c r="G9361" s="7" t="n">
        <v>0</v>
      </c>
    </row>
    <row r="9362" customFormat="false" ht="15" hidden="false" customHeight="false" outlineLevel="0" collapsed="false">
      <c r="A9362" s="7" t="s">
        <v>35</v>
      </c>
      <c r="B9362" s="7" t="s">
        <v>154</v>
      </c>
      <c r="C9362" s="7" t="s">
        <v>1162</v>
      </c>
      <c r="D9362" s="7" t="n">
        <v>10</v>
      </c>
      <c r="E9362" s="7" t="n">
        <v>455.9</v>
      </c>
      <c r="F9362" s="7" t="n">
        <v>0</v>
      </c>
      <c r="G9362" s="7" t="n">
        <v>0</v>
      </c>
    </row>
    <row r="9363" customFormat="false" ht="15" hidden="false" customHeight="false" outlineLevel="0" collapsed="false">
      <c r="A9363" s="7" t="s">
        <v>35</v>
      </c>
      <c r="B9363" s="7" t="s">
        <v>670</v>
      </c>
      <c r="C9363" s="7" t="s">
        <v>1163</v>
      </c>
      <c r="D9363" s="7" t="n">
        <v>3</v>
      </c>
      <c r="E9363" s="7" t="n">
        <v>213.92</v>
      </c>
      <c r="F9363" s="7" t="n">
        <v>0</v>
      </c>
      <c r="G9363" s="7" t="n">
        <v>0</v>
      </c>
    </row>
    <row r="9364" customFormat="false" ht="15" hidden="false" customHeight="false" outlineLevel="0" collapsed="false">
      <c r="A9364" s="7" t="s">
        <v>35</v>
      </c>
      <c r="B9364" s="7" t="s">
        <v>330</v>
      </c>
      <c r="C9364" s="7" t="s">
        <v>1163</v>
      </c>
      <c r="D9364" s="7" t="n">
        <v>1</v>
      </c>
      <c r="E9364" s="7" t="n">
        <v>71.31</v>
      </c>
      <c r="F9364" s="7" t="n">
        <v>0</v>
      </c>
      <c r="G9364" s="7" t="n">
        <v>0</v>
      </c>
    </row>
    <row r="9365" customFormat="false" ht="15" hidden="false" customHeight="false" outlineLevel="0" collapsed="false">
      <c r="A9365" s="7" t="s">
        <v>35</v>
      </c>
      <c r="B9365" s="7" t="s">
        <v>801</v>
      </c>
      <c r="C9365" s="7" t="s">
        <v>1069</v>
      </c>
      <c r="D9365" s="7" t="n">
        <v>6</v>
      </c>
      <c r="E9365" s="7" t="n">
        <v>67.25</v>
      </c>
      <c r="F9365" s="7" t="n">
        <v>0</v>
      </c>
      <c r="G9365" s="7" t="n">
        <v>0</v>
      </c>
    </row>
    <row r="9366" customFormat="false" ht="15" hidden="false" customHeight="false" outlineLevel="0" collapsed="false">
      <c r="A9366" s="7" t="s">
        <v>35</v>
      </c>
      <c r="B9366" s="7" t="s">
        <v>714</v>
      </c>
      <c r="C9366" s="7" t="s">
        <v>1069</v>
      </c>
      <c r="D9366" s="7" t="n">
        <v>10</v>
      </c>
      <c r="E9366" s="7" t="n">
        <v>114.91</v>
      </c>
      <c r="F9366" s="7" t="n">
        <v>0</v>
      </c>
      <c r="G9366" s="7" t="n">
        <v>0</v>
      </c>
    </row>
    <row r="9367" customFormat="false" ht="15" hidden="false" customHeight="false" outlineLevel="0" collapsed="false">
      <c r="A9367" s="7" t="s">
        <v>35</v>
      </c>
      <c r="B9367" s="7" t="s">
        <v>714</v>
      </c>
      <c r="C9367" s="7" t="s">
        <v>1069</v>
      </c>
      <c r="D9367" s="7" t="n">
        <v>3</v>
      </c>
      <c r="E9367" s="7" t="n">
        <v>37.01</v>
      </c>
      <c r="F9367" s="7" t="n">
        <v>0</v>
      </c>
      <c r="G9367" s="7" t="n">
        <v>0</v>
      </c>
    </row>
    <row r="9368" customFormat="false" ht="15" hidden="false" customHeight="false" outlineLevel="0" collapsed="false">
      <c r="A9368" s="7" t="s">
        <v>35</v>
      </c>
      <c r="B9368" s="7" t="s">
        <v>799</v>
      </c>
      <c r="C9368" s="7" t="s">
        <v>1069</v>
      </c>
      <c r="D9368" s="7" t="n">
        <v>3</v>
      </c>
      <c r="E9368" s="7" t="n">
        <v>34.47</v>
      </c>
      <c r="F9368" s="7" t="n">
        <v>0</v>
      </c>
      <c r="G9368" s="7" t="n">
        <v>0</v>
      </c>
    </row>
    <row r="9369" customFormat="false" ht="15" hidden="false" customHeight="false" outlineLevel="0" collapsed="false">
      <c r="A9369" s="7" t="s">
        <v>35</v>
      </c>
      <c r="B9369" s="7" t="s">
        <v>727</v>
      </c>
      <c r="C9369" s="7" t="s">
        <v>1069</v>
      </c>
      <c r="D9369" s="7" t="n">
        <v>6</v>
      </c>
      <c r="E9369" s="7" t="n">
        <v>67.25</v>
      </c>
      <c r="F9369" s="7" t="n">
        <v>0</v>
      </c>
      <c r="G9369" s="7" t="n">
        <v>0</v>
      </c>
    </row>
    <row r="9370" customFormat="false" ht="15" hidden="false" customHeight="false" outlineLevel="0" collapsed="false">
      <c r="A9370" s="7" t="s">
        <v>35</v>
      </c>
      <c r="B9370" s="7" t="s">
        <v>473</v>
      </c>
      <c r="C9370" s="7" t="s">
        <v>1164</v>
      </c>
      <c r="D9370" s="7" t="n">
        <v>0</v>
      </c>
      <c r="E9370" s="7" t="n">
        <v>0</v>
      </c>
      <c r="F9370" s="7" t="n">
        <v>10</v>
      </c>
      <c r="G9370" s="7" t="n">
        <v>106.1</v>
      </c>
    </row>
    <row r="9371" customFormat="false" ht="15" hidden="false" customHeight="false" outlineLevel="0" collapsed="false">
      <c r="A9371" s="7" t="s">
        <v>35</v>
      </c>
      <c r="B9371" s="7" t="s">
        <v>473</v>
      </c>
      <c r="C9371" s="7" t="s">
        <v>1164</v>
      </c>
      <c r="D9371" s="7" t="n">
        <v>10</v>
      </c>
      <c r="E9371" s="7" t="n">
        <v>117.78</v>
      </c>
      <c r="F9371" s="7" t="n">
        <v>0</v>
      </c>
      <c r="G9371" s="7" t="n">
        <v>0</v>
      </c>
    </row>
    <row r="9372" customFormat="false" ht="15" hidden="false" customHeight="false" outlineLevel="0" collapsed="false">
      <c r="A9372" s="7" t="s">
        <v>35</v>
      </c>
      <c r="B9372" s="7" t="s">
        <v>684</v>
      </c>
      <c r="C9372" s="7" t="s">
        <v>1164</v>
      </c>
      <c r="D9372" s="7" t="n">
        <v>10</v>
      </c>
      <c r="E9372" s="7" t="n">
        <v>117.78</v>
      </c>
      <c r="F9372" s="7" t="n">
        <v>0</v>
      </c>
      <c r="G9372" s="7" t="n">
        <v>0</v>
      </c>
    </row>
    <row r="9373" customFormat="false" ht="15" hidden="false" customHeight="false" outlineLevel="0" collapsed="false">
      <c r="A9373" s="7" t="s">
        <v>35</v>
      </c>
      <c r="B9373" s="7" t="s">
        <v>684</v>
      </c>
      <c r="C9373" s="7" t="s">
        <v>1164</v>
      </c>
      <c r="D9373" s="7" t="n">
        <v>12</v>
      </c>
      <c r="E9373" s="7" t="n">
        <v>155.58</v>
      </c>
      <c r="F9373" s="7" t="n">
        <v>0</v>
      </c>
      <c r="G9373" s="7" t="n">
        <v>0</v>
      </c>
    </row>
    <row r="9374" customFormat="false" ht="15" hidden="false" customHeight="false" outlineLevel="0" collapsed="false">
      <c r="A9374" s="7" t="s">
        <v>35</v>
      </c>
      <c r="B9374" s="7" t="s">
        <v>684</v>
      </c>
      <c r="C9374" s="7" t="s">
        <v>1164</v>
      </c>
      <c r="D9374" s="7" t="n">
        <v>0</v>
      </c>
      <c r="E9374" s="7" t="n">
        <v>0</v>
      </c>
      <c r="F9374" s="7" t="n">
        <v>10</v>
      </c>
      <c r="G9374" s="7" t="n">
        <v>106.1</v>
      </c>
    </row>
    <row r="9375" customFormat="false" ht="15" hidden="false" customHeight="false" outlineLevel="0" collapsed="false">
      <c r="A9375" s="7" t="s">
        <v>35</v>
      </c>
      <c r="B9375" s="7" t="s">
        <v>684</v>
      </c>
      <c r="C9375" s="7" t="s">
        <v>1164</v>
      </c>
      <c r="D9375" s="7" t="n">
        <v>10</v>
      </c>
      <c r="E9375" s="7" t="n">
        <v>120.75</v>
      </c>
      <c r="F9375" s="7" t="n">
        <v>0</v>
      </c>
      <c r="G9375" s="7" t="n">
        <v>0</v>
      </c>
    </row>
    <row r="9376" customFormat="false" ht="15" hidden="false" customHeight="false" outlineLevel="0" collapsed="false">
      <c r="A9376" s="7" t="s">
        <v>35</v>
      </c>
      <c r="B9376" s="7" t="s">
        <v>684</v>
      </c>
      <c r="C9376" s="7" t="s">
        <v>1164</v>
      </c>
      <c r="D9376" s="7" t="n">
        <v>0</v>
      </c>
      <c r="E9376" s="7" t="n">
        <v>0</v>
      </c>
      <c r="F9376" s="7" t="n">
        <v>10</v>
      </c>
      <c r="G9376" s="7" t="n">
        <v>113.9</v>
      </c>
    </row>
    <row r="9377" customFormat="false" ht="15" hidden="false" customHeight="false" outlineLevel="0" collapsed="false">
      <c r="A9377" s="7" t="s">
        <v>35</v>
      </c>
      <c r="B9377" s="7" t="s">
        <v>686</v>
      </c>
      <c r="C9377" s="7" t="s">
        <v>1164</v>
      </c>
      <c r="D9377" s="7" t="n">
        <v>10</v>
      </c>
      <c r="E9377" s="7" t="n">
        <v>117.78</v>
      </c>
      <c r="F9377" s="7" t="n">
        <v>0</v>
      </c>
      <c r="G9377" s="7" t="n">
        <v>0</v>
      </c>
    </row>
    <row r="9378" customFormat="false" ht="15" hidden="false" customHeight="false" outlineLevel="0" collapsed="false">
      <c r="A9378" s="7" t="s">
        <v>35</v>
      </c>
      <c r="B9378" s="7" t="s">
        <v>681</v>
      </c>
      <c r="C9378" s="7" t="s">
        <v>1164</v>
      </c>
      <c r="D9378" s="7" t="n">
        <v>0</v>
      </c>
      <c r="E9378" s="7" t="n">
        <v>0</v>
      </c>
      <c r="F9378" s="7" t="n">
        <v>3</v>
      </c>
      <c r="G9378" s="7" t="n">
        <v>34.17</v>
      </c>
    </row>
    <row r="9379" customFormat="false" ht="15" hidden="false" customHeight="false" outlineLevel="0" collapsed="false">
      <c r="A9379" s="7" t="s">
        <v>35</v>
      </c>
      <c r="B9379" s="7" t="s">
        <v>776</v>
      </c>
      <c r="C9379" s="7" t="s">
        <v>1266</v>
      </c>
      <c r="D9379" s="7" t="n">
        <v>6</v>
      </c>
      <c r="E9379" s="7" t="n">
        <v>70.11</v>
      </c>
      <c r="F9379" s="7" t="n">
        <v>0</v>
      </c>
      <c r="G9379" s="7" t="n">
        <v>0</v>
      </c>
    </row>
    <row r="9380" customFormat="false" ht="15" hidden="false" customHeight="false" outlineLevel="0" collapsed="false">
      <c r="A9380" s="7" t="s">
        <v>35</v>
      </c>
      <c r="B9380" s="7" t="s">
        <v>902</v>
      </c>
      <c r="C9380" s="7" t="s">
        <v>1266</v>
      </c>
      <c r="D9380" s="7" t="n">
        <v>3</v>
      </c>
      <c r="E9380" s="7" t="n">
        <v>35.06</v>
      </c>
      <c r="F9380" s="7" t="n">
        <v>0</v>
      </c>
      <c r="G9380" s="7" t="n">
        <v>0</v>
      </c>
    </row>
    <row r="9381" customFormat="false" ht="15" hidden="false" customHeight="false" outlineLevel="0" collapsed="false">
      <c r="A9381" s="7" t="s">
        <v>35</v>
      </c>
      <c r="B9381" s="7" t="s">
        <v>902</v>
      </c>
      <c r="C9381" s="7" t="s">
        <v>1266</v>
      </c>
      <c r="D9381" s="7" t="n">
        <v>0</v>
      </c>
      <c r="E9381" s="7" t="n">
        <v>0</v>
      </c>
      <c r="F9381" s="7" t="n">
        <v>6</v>
      </c>
      <c r="G9381" s="7" t="n">
        <v>61.61</v>
      </c>
    </row>
    <row r="9382" customFormat="false" ht="15" hidden="false" customHeight="false" outlineLevel="0" collapsed="false">
      <c r="A9382" s="7" t="s">
        <v>35</v>
      </c>
      <c r="B9382" s="7" t="s">
        <v>437</v>
      </c>
      <c r="C9382" s="7" t="s">
        <v>1268</v>
      </c>
      <c r="D9382" s="7" t="n">
        <v>10</v>
      </c>
      <c r="E9382" s="7" t="n">
        <v>438.21</v>
      </c>
      <c r="F9382" s="7" t="n">
        <v>0</v>
      </c>
      <c r="G9382" s="7" t="n">
        <v>0</v>
      </c>
    </row>
    <row r="9383" customFormat="false" ht="15" hidden="false" customHeight="false" outlineLevel="0" collapsed="false">
      <c r="A9383" s="7" t="s">
        <v>35</v>
      </c>
      <c r="B9383" s="7" t="s">
        <v>437</v>
      </c>
      <c r="C9383" s="7" t="s">
        <v>1268</v>
      </c>
      <c r="D9383" s="7" t="n">
        <v>0</v>
      </c>
      <c r="E9383" s="7" t="n">
        <v>0</v>
      </c>
      <c r="F9383" s="7" t="n">
        <v>10</v>
      </c>
      <c r="G9383" s="7" t="n">
        <v>385.03</v>
      </c>
    </row>
    <row r="9384" customFormat="false" ht="15" hidden="false" customHeight="false" outlineLevel="0" collapsed="false">
      <c r="A9384" s="7" t="s">
        <v>35</v>
      </c>
      <c r="B9384" s="7" t="s">
        <v>437</v>
      </c>
      <c r="C9384" s="7" t="s">
        <v>1268</v>
      </c>
      <c r="D9384" s="7" t="n">
        <v>0</v>
      </c>
      <c r="E9384" s="7" t="n">
        <v>0</v>
      </c>
      <c r="F9384" s="7" t="n">
        <v>12</v>
      </c>
      <c r="G9384" s="7" t="n">
        <v>496.02</v>
      </c>
    </row>
    <row r="9385" customFormat="false" ht="15" hidden="false" customHeight="false" outlineLevel="0" collapsed="false">
      <c r="A9385" s="7" t="s">
        <v>35</v>
      </c>
      <c r="B9385" s="7" t="s">
        <v>300</v>
      </c>
      <c r="C9385" s="7" t="s">
        <v>1182</v>
      </c>
      <c r="D9385" s="7" t="n">
        <v>0</v>
      </c>
      <c r="E9385" s="7" t="n">
        <v>0</v>
      </c>
      <c r="F9385" s="7" t="n">
        <v>30</v>
      </c>
      <c r="G9385" s="7" t="n">
        <v>1006.22</v>
      </c>
    </row>
    <row r="9386" customFormat="false" ht="15" hidden="false" customHeight="false" outlineLevel="0" collapsed="false">
      <c r="A9386" s="7" t="s">
        <v>35</v>
      </c>
      <c r="B9386" s="7" t="s">
        <v>300</v>
      </c>
      <c r="C9386" s="7" t="s">
        <v>1182</v>
      </c>
      <c r="D9386" s="7" t="n">
        <v>6</v>
      </c>
      <c r="E9386" s="7" t="n">
        <v>245.91</v>
      </c>
      <c r="F9386" s="7" t="n">
        <v>0</v>
      </c>
      <c r="G9386" s="7" t="n">
        <v>0</v>
      </c>
    </row>
    <row r="9387" customFormat="false" ht="15" hidden="false" customHeight="false" outlineLevel="0" collapsed="false">
      <c r="A9387" s="7" t="s">
        <v>35</v>
      </c>
      <c r="B9387" s="7" t="s">
        <v>300</v>
      </c>
      <c r="C9387" s="7" t="s">
        <v>1182</v>
      </c>
      <c r="D9387" s="7" t="n">
        <v>0</v>
      </c>
      <c r="E9387" s="7" t="n">
        <v>0</v>
      </c>
      <c r="F9387" s="7" t="n">
        <v>20</v>
      </c>
      <c r="G9387" s="7" t="n">
        <v>720.14</v>
      </c>
    </row>
    <row r="9388" customFormat="false" ht="15" hidden="false" customHeight="false" outlineLevel="0" collapsed="false">
      <c r="A9388" s="7" t="s">
        <v>35</v>
      </c>
      <c r="B9388" s="7" t="s">
        <v>582</v>
      </c>
      <c r="C9388" s="7" t="s">
        <v>1269</v>
      </c>
      <c r="D9388" s="7" t="n">
        <v>0</v>
      </c>
      <c r="E9388" s="7" t="n">
        <v>0</v>
      </c>
      <c r="F9388" s="7" t="n">
        <v>20</v>
      </c>
      <c r="G9388" s="7" t="n">
        <v>312.31</v>
      </c>
    </row>
    <row r="9389" customFormat="false" ht="15" hidden="false" customHeight="false" outlineLevel="0" collapsed="false">
      <c r="A9389" s="7" t="s">
        <v>35</v>
      </c>
      <c r="B9389" s="7" t="s">
        <v>582</v>
      </c>
      <c r="C9389" s="7" t="s">
        <v>1269</v>
      </c>
      <c r="D9389" s="7" t="n">
        <v>0</v>
      </c>
      <c r="E9389" s="7" t="n">
        <v>0</v>
      </c>
      <c r="F9389" s="7" t="n">
        <v>10</v>
      </c>
      <c r="G9389" s="7" t="n">
        <v>145.46</v>
      </c>
    </row>
    <row r="9390" customFormat="false" ht="15" hidden="false" customHeight="false" outlineLevel="0" collapsed="false">
      <c r="A9390" s="7" t="s">
        <v>35</v>
      </c>
      <c r="B9390" s="7" t="s">
        <v>174</v>
      </c>
      <c r="C9390" s="7" t="s">
        <v>1270</v>
      </c>
      <c r="D9390" s="7" t="n">
        <v>0</v>
      </c>
      <c r="E9390" s="7" t="n">
        <v>0</v>
      </c>
      <c r="F9390" s="7" t="n">
        <v>20</v>
      </c>
      <c r="G9390" s="7" t="n">
        <v>349.1</v>
      </c>
    </row>
    <row r="9391" customFormat="false" ht="15" hidden="false" customHeight="false" outlineLevel="0" collapsed="false">
      <c r="A9391" s="7" t="s">
        <v>35</v>
      </c>
      <c r="B9391" s="7" t="s">
        <v>156</v>
      </c>
      <c r="C9391" s="7" t="s">
        <v>1270</v>
      </c>
      <c r="D9391" s="7" t="n">
        <v>0</v>
      </c>
      <c r="E9391" s="7" t="n">
        <v>0</v>
      </c>
      <c r="F9391" s="7" t="n">
        <v>10</v>
      </c>
      <c r="G9391" s="7" t="n">
        <v>174.55</v>
      </c>
    </row>
    <row r="9392" customFormat="false" ht="15" hidden="false" customHeight="false" outlineLevel="0" collapsed="false">
      <c r="A9392" s="7" t="s">
        <v>35</v>
      </c>
      <c r="B9392" s="7" t="s">
        <v>253</v>
      </c>
      <c r="C9392" s="7" t="s">
        <v>1142</v>
      </c>
      <c r="D9392" s="7" t="n">
        <v>0</v>
      </c>
      <c r="E9392" s="7" t="n">
        <v>0</v>
      </c>
      <c r="F9392" s="7" t="n">
        <v>40</v>
      </c>
      <c r="G9392" s="7" t="n">
        <v>624.61</v>
      </c>
    </row>
    <row r="9393" customFormat="false" ht="15" hidden="false" customHeight="false" outlineLevel="0" collapsed="false">
      <c r="A9393" s="7" t="s">
        <v>35</v>
      </c>
      <c r="B9393" s="7" t="s">
        <v>311</v>
      </c>
      <c r="C9393" s="7" t="s">
        <v>1272</v>
      </c>
      <c r="D9393" s="7" t="n">
        <v>10</v>
      </c>
      <c r="E9393" s="7" t="n">
        <v>479.11</v>
      </c>
      <c r="F9393" s="7" t="n">
        <v>0</v>
      </c>
      <c r="G9393" s="7" t="n">
        <v>0</v>
      </c>
    </row>
    <row r="9394" customFormat="false" ht="15" hidden="false" customHeight="false" outlineLevel="0" collapsed="false">
      <c r="A9394" s="7" t="s">
        <v>35</v>
      </c>
      <c r="B9394" s="7" t="s">
        <v>311</v>
      </c>
      <c r="C9394" s="7" t="s">
        <v>1272</v>
      </c>
      <c r="D9394" s="7" t="n">
        <v>10</v>
      </c>
      <c r="E9394" s="7" t="n">
        <v>467.3</v>
      </c>
      <c r="F9394" s="7" t="n">
        <v>0</v>
      </c>
      <c r="G9394" s="7" t="n">
        <v>0</v>
      </c>
    </row>
    <row r="9395" customFormat="false" ht="15" hidden="false" customHeight="false" outlineLevel="0" collapsed="false">
      <c r="A9395" s="7" t="s">
        <v>35</v>
      </c>
      <c r="B9395" s="7" t="s">
        <v>311</v>
      </c>
      <c r="C9395" s="7" t="s">
        <v>1272</v>
      </c>
      <c r="D9395" s="7" t="n">
        <v>10</v>
      </c>
      <c r="E9395" s="7" t="n">
        <v>514.41</v>
      </c>
      <c r="F9395" s="7" t="n">
        <v>0</v>
      </c>
      <c r="G9395" s="7" t="n">
        <v>0</v>
      </c>
    </row>
    <row r="9396" customFormat="false" ht="15" hidden="false" customHeight="false" outlineLevel="0" collapsed="false">
      <c r="A9396" s="7" t="s">
        <v>35</v>
      </c>
      <c r="B9396" s="7" t="s">
        <v>311</v>
      </c>
      <c r="C9396" s="7" t="s">
        <v>1272</v>
      </c>
      <c r="D9396" s="7" t="n">
        <v>0</v>
      </c>
      <c r="E9396" s="7" t="n">
        <v>0</v>
      </c>
      <c r="F9396" s="7" t="n">
        <v>10</v>
      </c>
      <c r="G9396" s="7" t="n">
        <v>451.93</v>
      </c>
    </row>
    <row r="9397" customFormat="false" ht="15" hidden="false" customHeight="false" outlineLevel="0" collapsed="false">
      <c r="A9397" s="7" t="s">
        <v>35</v>
      </c>
      <c r="B9397" s="7" t="s">
        <v>311</v>
      </c>
      <c r="C9397" s="7" t="s">
        <v>1272</v>
      </c>
      <c r="D9397" s="7" t="n">
        <v>0</v>
      </c>
      <c r="E9397" s="7" t="n">
        <v>0</v>
      </c>
      <c r="F9397" s="7" t="n">
        <v>10</v>
      </c>
      <c r="G9397" s="7" t="n">
        <v>420.97</v>
      </c>
    </row>
    <row r="9398" customFormat="false" ht="15" hidden="false" customHeight="false" outlineLevel="0" collapsed="false">
      <c r="A9398" s="7" t="s">
        <v>35</v>
      </c>
      <c r="B9398" s="7" t="s">
        <v>135</v>
      </c>
      <c r="C9398" s="7" t="s">
        <v>1273</v>
      </c>
      <c r="D9398" s="7" t="n">
        <v>10</v>
      </c>
      <c r="E9398" s="7" t="n">
        <v>362.82</v>
      </c>
      <c r="F9398" s="7" t="n">
        <v>0</v>
      </c>
      <c r="G9398" s="7" t="n">
        <v>0</v>
      </c>
    </row>
    <row r="9399" customFormat="false" ht="15" hidden="false" customHeight="false" outlineLevel="0" collapsed="false">
      <c r="A9399" s="7" t="s">
        <v>35</v>
      </c>
      <c r="B9399" s="7" t="s">
        <v>135</v>
      </c>
      <c r="C9399" s="7" t="s">
        <v>1273</v>
      </c>
      <c r="D9399" s="7" t="n">
        <v>0</v>
      </c>
      <c r="E9399" s="7" t="n">
        <v>0</v>
      </c>
      <c r="F9399" s="7" t="n">
        <v>16</v>
      </c>
      <c r="G9399" s="7" t="n">
        <v>522.96</v>
      </c>
    </row>
    <row r="9400" customFormat="false" ht="15" hidden="false" customHeight="false" outlineLevel="0" collapsed="false">
      <c r="A9400" s="7" t="s">
        <v>35</v>
      </c>
      <c r="B9400" s="7" t="s">
        <v>135</v>
      </c>
      <c r="C9400" s="7" t="s">
        <v>1273</v>
      </c>
      <c r="D9400" s="7" t="n">
        <v>0</v>
      </c>
      <c r="E9400" s="7" t="n">
        <v>0</v>
      </c>
      <c r="F9400" s="7" t="n">
        <v>30</v>
      </c>
      <c r="G9400" s="7" t="n">
        <v>1052.66</v>
      </c>
    </row>
    <row r="9401" customFormat="false" ht="15" hidden="false" customHeight="false" outlineLevel="0" collapsed="false">
      <c r="A9401" s="7" t="s">
        <v>35</v>
      </c>
      <c r="B9401" s="7" t="s">
        <v>101</v>
      </c>
      <c r="C9401" s="7" t="s">
        <v>1121</v>
      </c>
      <c r="D9401" s="7" t="n">
        <v>0</v>
      </c>
      <c r="E9401" s="7" t="n">
        <v>0</v>
      </c>
      <c r="F9401" s="7" t="n">
        <v>10</v>
      </c>
      <c r="G9401" s="7" t="n">
        <v>334.35</v>
      </c>
    </row>
    <row r="9402" customFormat="false" ht="15" hidden="false" customHeight="false" outlineLevel="0" collapsed="false">
      <c r="A9402" s="7" t="s">
        <v>35</v>
      </c>
      <c r="B9402" s="7" t="s">
        <v>270</v>
      </c>
      <c r="C9402" s="7" t="s">
        <v>1275</v>
      </c>
      <c r="D9402" s="7" t="n">
        <v>0</v>
      </c>
      <c r="E9402" s="7" t="n">
        <v>0</v>
      </c>
      <c r="F9402" s="7" t="n">
        <v>3</v>
      </c>
      <c r="G9402" s="7" t="n">
        <v>50.82</v>
      </c>
    </row>
    <row r="9403" customFormat="false" ht="15" hidden="false" customHeight="false" outlineLevel="0" collapsed="false">
      <c r="A9403" s="7" t="s">
        <v>35</v>
      </c>
      <c r="B9403" s="7" t="s">
        <v>270</v>
      </c>
      <c r="C9403" s="7" t="s">
        <v>1275</v>
      </c>
      <c r="D9403" s="7" t="n">
        <v>10</v>
      </c>
      <c r="E9403" s="7" t="n">
        <v>192.81</v>
      </c>
      <c r="F9403" s="7" t="n">
        <v>0</v>
      </c>
      <c r="G9403" s="7" t="n">
        <v>0</v>
      </c>
    </row>
    <row r="9404" customFormat="false" ht="15" hidden="false" customHeight="false" outlineLevel="0" collapsed="false">
      <c r="A9404" s="7" t="s">
        <v>35</v>
      </c>
      <c r="B9404" s="7" t="s">
        <v>899</v>
      </c>
      <c r="C9404" s="7" t="s">
        <v>1122</v>
      </c>
      <c r="D9404" s="7" t="n">
        <v>80</v>
      </c>
      <c r="E9404" s="7" t="n">
        <v>1037.19</v>
      </c>
      <c r="F9404" s="7" t="n">
        <v>0</v>
      </c>
      <c r="G9404" s="7" t="n">
        <v>0</v>
      </c>
    </row>
    <row r="9405" customFormat="false" ht="15" hidden="false" customHeight="false" outlineLevel="0" collapsed="false">
      <c r="A9405" s="7" t="s">
        <v>35</v>
      </c>
      <c r="B9405" s="7" t="s">
        <v>903</v>
      </c>
      <c r="C9405" s="7" t="s">
        <v>1174</v>
      </c>
      <c r="D9405" s="7" t="n">
        <v>0</v>
      </c>
      <c r="E9405" s="7" t="n">
        <v>0</v>
      </c>
      <c r="F9405" s="7" t="n">
        <v>20</v>
      </c>
      <c r="G9405" s="7" t="n">
        <v>132.27</v>
      </c>
    </row>
    <row r="9406" customFormat="false" ht="15" hidden="false" customHeight="false" outlineLevel="0" collapsed="false">
      <c r="A9406" s="7" t="s">
        <v>35</v>
      </c>
      <c r="B9406" s="7" t="s">
        <v>903</v>
      </c>
      <c r="C9406" s="7" t="s">
        <v>1174</v>
      </c>
      <c r="D9406" s="7" t="n">
        <v>0</v>
      </c>
      <c r="E9406" s="7" t="n">
        <v>0</v>
      </c>
      <c r="F9406" s="7" t="n">
        <v>20</v>
      </c>
      <c r="G9406" s="7" t="n">
        <v>123.21</v>
      </c>
    </row>
    <row r="9407" customFormat="false" ht="15" hidden="false" customHeight="false" outlineLevel="0" collapsed="false">
      <c r="A9407" s="7" t="s">
        <v>35</v>
      </c>
      <c r="B9407" s="7" t="s">
        <v>898</v>
      </c>
      <c r="C9407" s="7" t="s">
        <v>1175</v>
      </c>
      <c r="D9407" s="7" t="n">
        <v>0</v>
      </c>
      <c r="E9407" s="7" t="n">
        <v>0</v>
      </c>
      <c r="F9407" s="7" t="n">
        <v>30</v>
      </c>
      <c r="G9407" s="7" t="n">
        <v>272.09</v>
      </c>
    </row>
    <row r="9408" customFormat="false" ht="15" hidden="false" customHeight="false" outlineLevel="0" collapsed="false">
      <c r="A9408" s="7" t="s">
        <v>35</v>
      </c>
      <c r="B9408" s="7" t="s">
        <v>901</v>
      </c>
      <c r="C9408" s="7" t="s">
        <v>1311</v>
      </c>
      <c r="D9408" s="7" t="n">
        <v>10</v>
      </c>
      <c r="E9408" s="7" t="n">
        <v>79.46</v>
      </c>
      <c r="F9408" s="7" t="n">
        <v>0</v>
      </c>
      <c r="G9408" s="7" t="n">
        <v>0</v>
      </c>
    </row>
    <row r="9409" customFormat="false" ht="15" hidden="false" customHeight="false" outlineLevel="0" collapsed="false">
      <c r="A9409" s="7" t="s">
        <v>35</v>
      </c>
      <c r="B9409" s="7" t="s">
        <v>906</v>
      </c>
      <c r="C9409" s="7" t="s">
        <v>1312</v>
      </c>
      <c r="D9409" s="7" t="n">
        <v>0</v>
      </c>
      <c r="E9409" s="7" t="n">
        <v>0</v>
      </c>
      <c r="F9409" s="7" t="n">
        <v>20</v>
      </c>
      <c r="G9409" s="7" t="n">
        <v>396.81</v>
      </c>
    </row>
    <row r="9410" customFormat="false" ht="15" hidden="false" customHeight="false" outlineLevel="0" collapsed="false">
      <c r="A9410" s="7" t="s">
        <v>35</v>
      </c>
      <c r="B9410" s="7" t="s">
        <v>905</v>
      </c>
      <c r="C9410" s="7" t="s">
        <v>1312</v>
      </c>
      <c r="D9410" s="7" t="n">
        <v>0</v>
      </c>
      <c r="E9410" s="7" t="n">
        <v>0</v>
      </c>
      <c r="F9410" s="7" t="n">
        <v>20</v>
      </c>
      <c r="G9410" s="7" t="n">
        <v>396.81</v>
      </c>
    </row>
    <row r="9411" customFormat="false" ht="15" hidden="false" customHeight="false" outlineLevel="0" collapsed="false">
      <c r="A9411" s="7" t="s">
        <v>35</v>
      </c>
      <c r="B9411" s="7" t="s">
        <v>126</v>
      </c>
      <c r="C9411" s="7" t="s">
        <v>1073</v>
      </c>
      <c r="D9411" s="7" t="n">
        <v>3</v>
      </c>
      <c r="E9411" s="7" t="n">
        <v>131.11</v>
      </c>
      <c r="F9411" s="7" t="n">
        <v>0</v>
      </c>
      <c r="G9411" s="7" t="n">
        <v>0</v>
      </c>
    </row>
    <row r="9412" customFormat="false" ht="15" hidden="false" customHeight="false" outlineLevel="0" collapsed="false">
      <c r="A9412" s="7" t="s">
        <v>35</v>
      </c>
      <c r="B9412" s="7" t="s">
        <v>126</v>
      </c>
      <c r="C9412" s="7" t="s">
        <v>1073</v>
      </c>
      <c r="D9412" s="7" t="n">
        <v>6</v>
      </c>
      <c r="E9412" s="7" t="n">
        <v>238.21</v>
      </c>
      <c r="F9412" s="7" t="n">
        <v>0</v>
      </c>
      <c r="G9412" s="7" t="n">
        <v>0</v>
      </c>
    </row>
    <row r="9413" customFormat="false" ht="15" hidden="false" customHeight="false" outlineLevel="0" collapsed="false">
      <c r="A9413" s="7" t="s">
        <v>35</v>
      </c>
      <c r="B9413" s="7" t="s">
        <v>157</v>
      </c>
      <c r="C9413" s="7" t="s">
        <v>1073</v>
      </c>
      <c r="D9413" s="7" t="n">
        <v>3</v>
      </c>
      <c r="E9413" s="7" t="n">
        <v>119.1</v>
      </c>
      <c r="F9413" s="7" t="n">
        <v>0</v>
      </c>
      <c r="G9413" s="7" t="n">
        <v>0</v>
      </c>
    </row>
    <row r="9414" customFormat="false" ht="15" hidden="false" customHeight="false" outlineLevel="0" collapsed="false">
      <c r="A9414" s="7" t="s">
        <v>35</v>
      </c>
      <c r="B9414" s="7" t="s">
        <v>303</v>
      </c>
      <c r="C9414" s="7" t="s">
        <v>1124</v>
      </c>
      <c r="D9414" s="7" t="n">
        <v>3</v>
      </c>
      <c r="E9414" s="7" t="n">
        <v>148.99</v>
      </c>
      <c r="F9414" s="7" t="n">
        <v>0</v>
      </c>
      <c r="G9414" s="7" t="n">
        <v>0</v>
      </c>
    </row>
    <row r="9415" customFormat="false" ht="15" hidden="false" customHeight="false" outlineLevel="0" collapsed="false">
      <c r="A9415" s="7" t="s">
        <v>35</v>
      </c>
      <c r="B9415" s="7" t="s">
        <v>240</v>
      </c>
      <c r="C9415" s="7" t="s">
        <v>1126</v>
      </c>
      <c r="D9415" s="7" t="n">
        <v>3</v>
      </c>
      <c r="E9415" s="7" t="n">
        <v>145.32</v>
      </c>
      <c r="F9415" s="7" t="n">
        <v>0</v>
      </c>
      <c r="G9415" s="7" t="n">
        <v>0</v>
      </c>
    </row>
    <row r="9416" customFormat="false" ht="15" hidden="false" customHeight="false" outlineLevel="0" collapsed="false">
      <c r="A9416" s="7" t="s">
        <v>35</v>
      </c>
      <c r="B9416" s="7" t="s">
        <v>651</v>
      </c>
      <c r="C9416" s="7" t="s">
        <v>1074</v>
      </c>
      <c r="D9416" s="7" t="n">
        <v>0</v>
      </c>
      <c r="E9416" s="7" t="n">
        <v>0</v>
      </c>
      <c r="F9416" s="7" t="n">
        <v>2</v>
      </c>
      <c r="G9416" s="7" t="n">
        <v>164.28</v>
      </c>
    </row>
    <row r="9417" customFormat="false" ht="15" hidden="false" customHeight="false" outlineLevel="0" collapsed="false">
      <c r="A9417" s="7" t="s">
        <v>35</v>
      </c>
      <c r="B9417" s="7" t="s">
        <v>354</v>
      </c>
      <c r="C9417" s="7" t="s">
        <v>1074</v>
      </c>
      <c r="D9417" s="7" t="n">
        <v>0</v>
      </c>
      <c r="E9417" s="7" t="n">
        <v>0</v>
      </c>
      <c r="F9417" s="7" t="n">
        <v>2</v>
      </c>
      <c r="G9417" s="7" t="n">
        <v>164.28</v>
      </c>
    </row>
    <row r="9418" customFormat="false" ht="15" hidden="false" customHeight="false" outlineLevel="0" collapsed="false">
      <c r="A9418" s="7" t="s">
        <v>35</v>
      </c>
      <c r="B9418" s="7" t="s">
        <v>322</v>
      </c>
      <c r="C9418" s="7" t="s">
        <v>1075</v>
      </c>
      <c r="D9418" s="7" t="n">
        <v>0</v>
      </c>
      <c r="E9418" s="7" t="n">
        <v>0</v>
      </c>
      <c r="F9418" s="7" t="n">
        <v>2</v>
      </c>
      <c r="G9418" s="7" t="n">
        <v>137.24</v>
      </c>
    </row>
    <row r="9419" customFormat="false" ht="15" hidden="false" customHeight="false" outlineLevel="0" collapsed="false">
      <c r="A9419" s="7" t="s">
        <v>35</v>
      </c>
      <c r="B9419" s="7" t="s">
        <v>148</v>
      </c>
      <c r="C9419" s="7" t="s">
        <v>1075</v>
      </c>
      <c r="D9419" s="7" t="n">
        <v>3</v>
      </c>
      <c r="E9419" s="7" t="n">
        <v>251.56</v>
      </c>
      <c r="F9419" s="7" t="n">
        <v>0</v>
      </c>
      <c r="G9419" s="7" t="n">
        <v>0</v>
      </c>
    </row>
    <row r="9420" customFormat="false" ht="15" hidden="false" customHeight="false" outlineLevel="0" collapsed="false">
      <c r="A9420" s="7" t="s">
        <v>35</v>
      </c>
      <c r="B9420" s="7" t="s">
        <v>187</v>
      </c>
      <c r="C9420" s="7" t="s">
        <v>1296</v>
      </c>
      <c r="D9420" s="7" t="n">
        <v>0</v>
      </c>
      <c r="E9420" s="7" t="n">
        <v>0</v>
      </c>
      <c r="F9420" s="7" t="n">
        <v>20</v>
      </c>
      <c r="G9420" s="7" t="n">
        <v>1124.31</v>
      </c>
    </row>
    <row r="9421" customFormat="false" ht="15" hidden="false" customHeight="false" outlineLevel="0" collapsed="false">
      <c r="A9421" s="7" t="s">
        <v>35</v>
      </c>
      <c r="B9421" s="7" t="s">
        <v>201</v>
      </c>
      <c r="C9421" s="7" t="s">
        <v>1130</v>
      </c>
      <c r="D9421" s="7" t="n">
        <v>0</v>
      </c>
      <c r="E9421" s="7" t="n">
        <v>0</v>
      </c>
      <c r="F9421" s="7" t="n">
        <v>10</v>
      </c>
      <c r="G9421" s="7" t="n">
        <v>984.69</v>
      </c>
    </row>
    <row r="9422" customFormat="false" ht="15" hidden="false" customHeight="false" outlineLevel="0" collapsed="false">
      <c r="A9422" s="7" t="s">
        <v>35</v>
      </c>
      <c r="B9422" s="7" t="s">
        <v>132</v>
      </c>
      <c r="C9422" s="7" t="s">
        <v>1130</v>
      </c>
      <c r="D9422" s="7" t="n">
        <v>0</v>
      </c>
      <c r="E9422" s="7" t="n">
        <v>0</v>
      </c>
      <c r="F9422" s="7" t="n">
        <v>10</v>
      </c>
      <c r="G9422" s="7" t="n">
        <v>984.69</v>
      </c>
    </row>
    <row r="9423" customFormat="false" ht="15" hidden="false" customHeight="false" outlineLevel="0" collapsed="false">
      <c r="A9423" s="7" t="s">
        <v>35</v>
      </c>
      <c r="B9423" s="7" t="s">
        <v>122</v>
      </c>
      <c r="C9423" s="7" t="s">
        <v>1130</v>
      </c>
      <c r="D9423" s="7" t="n">
        <v>0</v>
      </c>
      <c r="E9423" s="7" t="n">
        <v>0</v>
      </c>
      <c r="F9423" s="7" t="n">
        <v>20</v>
      </c>
      <c r="G9423" s="7" t="n">
        <v>1969.37</v>
      </c>
    </row>
    <row r="9424" customFormat="false" ht="15" hidden="false" customHeight="false" outlineLevel="0" collapsed="false">
      <c r="A9424" s="7" t="s">
        <v>35</v>
      </c>
      <c r="B9424" s="7" t="s">
        <v>128</v>
      </c>
      <c r="C9424" s="7" t="s">
        <v>1130</v>
      </c>
      <c r="D9424" s="7" t="n">
        <v>0</v>
      </c>
      <c r="E9424" s="7" t="n">
        <v>0</v>
      </c>
      <c r="F9424" s="7" t="n">
        <v>20</v>
      </c>
      <c r="G9424" s="7" t="n">
        <v>1969.37</v>
      </c>
    </row>
    <row r="9425" customFormat="false" ht="15" hidden="false" customHeight="false" outlineLevel="0" collapsed="false">
      <c r="A9425" s="7" t="s">
        <v>35</v>
      </c>
      <c r="B9425" s="7" t="s">
        <v>152</v>
      </c>
      <c r="C9425" s="7" t="s">
        <v>1130</v>
      </c>
      <c r="D9425" s="7" t="n">
        <v>0</v>
      </c>
      <c r="E9425" s="7" t="n">
        <v>0</v>
      </c>
      <c r="F9425" s="7" t="n">
        <v>10</v>
      </c>
      <c r="G9425" s="7" t="n">
        <v>984.69</v>
      </c>
    </row>
    <row r="9426" customFormat="false" ht="15" hidden="false" customHeight="false" outlineLevel="0" collapsed="false">
      <c r="A9426" s="7" t="s">
        <v>35</v>
      </c>
      <c r="B9426" s="7" t="s">
        <v>142</v>
      </c>
      <c r="C9426" s="7" t="s">
        <v>1076</v>
      </c>
      <c r="D9426" s="7" t="n">
        <v>0</v>
      </c>
      <c r="E9426" s="7" t="n">
        <v>0</v>
      </c>
      <c r="F9426" s="7" t="n">
        <v>3</v>
      </c>
      <c r="G9426" s="7" t="n">
        <v>462.95</v>
      </c>
    </row>
    <row r="9427" customFormat="false" ht="15" hidden="false" customHeight="false" outlineLevel="0" collapsed="false">
      <c r="A9427" s="7" t="s">
        <v>35</v>
      </c>
      <c r="B9427" s="7" t="s">
        <v>312</v>
      </c>
      <c r="C9427" s="7" t="s">
        <v>1076</v>
      </c>
      <c r="D9427" s="7" t="n">
        <v>0</v>
      </c>
      <c r="E9427" s="7" t="n">
        <v>0</v>
      </c>
      <c r="F9427" s="7" t="n">
        <v>2</v>
      </c>
      <c r="G9427" s="7" t="n">
        <v>308.63</v>
      </c>
    </row>
    <row r="9428" customFormat="false" ht="15" hidden="false" customHeight="false" outlineLevel="0" collapsed="false">
      <c r="A9428" s="7" t="s">
        <v>35</v>
      </c>
      <c r="B9428" s="7" t="s">
        <v>140</v>
      </c>
      <c r="C9428" s="7" t="s">
        <v>1076</v>
      </c>
      <c r="D9428" s="7" t="n">
        <v>0</v>
      </c>
      <c r="E9428" s="7" t="n">
        <v>0</v>
      </c>
      <c r="F9428" s="7" t="n">
        <v>2</v>
      </c>
      <c r="G9428" s="7" t="n">
        <v>308.63</v>
      </c>
    </row>
    <row r="9429" customFormat="false" ht="15" hidden="false" customHeight="false" outlineLevel="0" collapsed="false">
      <c r="A9429" s="7" t="s">
        <v>35</v>
      </c>
      <c r="B9429" s="7" t="s">
        <v>149</v>
      </c>
      <c r="C9429" s="7" t="s">
        <v>1076</v>
      </c>
      <c r="D9429" s="7" t="n">
        <v>0</v>
      </c>
      <c r="E9429" s="7" t="n">
        <v>0</v>
      </c>
      <c r="F9429" s="7" t="n">
        <v>3</v>
      </c>
      <c r="G9429" s="7" t="n">
        <v>462.95</v>
      </c>
    </row>
    <row r="9430" customFormat="false" ht="15" hidden="false" customHeight="false" outlineLevel="0" collapsed="false">
      <c r="A9430" s="7" t="s">
        <v>35</v>
      </c>
      <c r="B9430" s="7" t="s">
        <v>986</v>
      </c>
      <c r="C9430" s="7" t="s">
        <v>1076</v>
      </c>
      <c r="D9430" s="7" t="n">
        <v>0</v>
      </c>
      <c r="E9430" s="7" t="n">
        <v>0</v>
      </c>
      <c r="F9430" s="7" t="n">
        <v>3</v>
      </c>
      <c r="G9430" s="7" t="n">
        <v>462.95</v>
      </c>
    </row>
    <row r="9431" customFormat="false" ht="15" hidden="false" customHeight="false" outlineLevel="0" collapsed="false">
      <c r="A9431" s="7" t="s">
        <v>35</v>
      </c>
      <c r="B9431" s="7" t="s">
        <v>305</v>
      </c>
      <c r="C9431" s="7" t="s">
        <v>1182</v>
      </c>
      <c r="D9431" s="7" t="n">
        <v>10</v>
      </c>
      <c r="E9431" s="7" t="n">
        <v>271.64</v>
      </c>
      <c r="F9431" s="7" t="n">
        <v>0</v>
      </c>
      <c r="G9431" s="7" t="n">
        <v>0</v>
      </c>
    </row>
    <row r="9432" customFormat="false" ht="15" hidden="false" customHeight="false" outlineLevel="0" collapsed="false">
      <c r="A9432" s="7" t="s">
        <v>35</v>
      </c>
      <c r="B9432" s="7" t="s">
        <v>305</v>
      </c>
      <c r="C9432" s="7" t="s">
        <v>1182</v>
      </c>
      <c r="D9432" s="7" t="n">
        <v>0</v>
      </c>
      <c r="E9432" s="7" t="n">
        <v>0</v>
      </c>
      <c r="F9432" s="7" t="n">
        <v>10</v>
      </c>
      <c r="G9432" s="7" t="n">
        <v>262.71</v>
      </c>
    </row>
    <row r="9433" customFormat="false" ht="15" hidden="false" customHeight="false" outlineLevel="0" collapsed="false">
      <c r="A9433" s="7" t="s">
        <v>35</v>
      </c>
      <c r="B9433" s="7" t="s">
        <v>305</v>
      </c>
      <c r="C9433" s="7" t="s">
        <v>1182</v>
      </c>
      <c r="D9433" s="7" t="n">
        <v>60</v>
      </c>
      <c r="E9433" s="7" t="n">
        <v>1794.17</v>
      </c>
      <c r="F9433" s="7" t="n">
        <v>0</v>
      </c>
      <c r="G9433" s="7" t="n">
        <v>0</v>
      </c>
    </row>
    <row r="9434" customFormat="false" ht="15" hidden="false" customHeight="false" outlineLevel="0" collapsed="false">
      <c r="A9434" s="7" t="s">
        <v>35</v>
      </c>
      <c r="B9434" s="7" t="s">
        <v>305</v>
      </c>
      <c r="C9434" s="7" t="s">
        <v>1182</v>
      </c>
      <c r="D9434" s="7" t="n">
        <v>0</v>
      </c>
      <c r="E9434" s="7" t="n">
        <v>0</v>
      </c>
      <c r="F9434" s="7" t="n">
        <v>22</v>
      </c>
      <c r="G9434" s="7" t="n">
        <v>538.36</v>
      </c>
    </row>
    <row r="9435" customFormat="false" ht="15" hidden="false" customHeight="false" outlineLevel="0" collapsed="false">
      <c r="A9435" s="7" t="s">
        <v>35</v>
      </c>
      <c r="B9435" s="7" t="s">
        <v>176</v>
      </c>
      <c r="C9435" s="7" t="s">
        <v>1183</v>
      </c>
      <c r="D9435" s="7" t="n">
        <v>40</v>
      </c>
      <c r="E9435" s="7" t="n">
        <v>569.88</v>
      </c>
      <c r="F9435" s="7" t="n">
        <v>0</v>
      </c>
      <c r="G9435" s="7" t="n">
        <v>0</v>
      </c>
    </row>
    <row r="9436" customFormat="false" ht="15" hidden="false" customHeight="false" outlineLevel="0" collapsed="false">
      <c r="A9436" s="7" t="s">
        <v>35</v>
      </c>
      <c r="B9436" s="7" t="s">
        <v>176</v>
      </c>
      <c r="C9436" s="7" t="s">
        <v>1183</v>
      </c>
      <c r="D9436" s="7" t="n">
        <v>0</v>
      </c>
      <c r="E9436" s="7" t="n">
        <v>0</v>
      </c>
      <c r="F9436" s="7" t="n">
        <v>80</v>
      </c>
      <c r="G9436" s="7" t="n">
        <v>1102.26</v>
      </c>
    </row>
    <row r="9437" customFormat="false" ht="15" hidden="false" customHeight="false" outlineLevel="0" collapsed="false">
      <c r="A9437" s="7" t="s">
        <v>35</v>
      </c>
      <c r="B9437" s="7" t="s">
        <v>176</v>
      </c>
      <c r="C9437" s="7" t="s">
        <v>1183</v>
      </c>
      <c r="D9437" s="7" t="n">
        <v>30</v>
      </c>
      <c r="E9437" s="7" t="n">
        <v>438.21</v>
      </c>
      <c r="F9437" s="7" t="n">
        <v>0</v>
      </c>
      <c r="G9437" s="7" t="n">
        <v>0</v>
      </c>
    </row>
    <row r="9438" customFormat="false" ht="15" hidden="false" customHeight="false" outlineLevel="0" collapsed="false">
      <c r="A9438" s="7" t="s">
        <v>35</v>
      </c>
      <c r="B9438" s="7" t="s">
        <v>176</v>
      </c>
      <c r="C9438" s="7" t="s">
        <v>1183</v>
      </c>
      <c r="D9438" s="7" t="n">
        <v>0</v>
      </c>
      <c r="E9438" s="7" t="n">
        <v>0</v>
      </c>
      <c r="F9438" s="7" t="n">
        <v>20</v>
      </c>
      <c r="G9438" s="7" t="n">
        <v>256.69</v>
      </c>
    </row>
    <row r="9439" customFormat="false" ht="15" hidden="false" customHeight="false" outlineLevel="0" collapsed="false">
      <c r="A9439" s="7" t="s">
        <v>35</v>
      </c>
      <c r="B9439" s="7" t="s">
        <v>176</v>
      </c>
      <c r="C9439" s="7" t="s">
        <v>1183</v>
      </c>
      <c r="D9439" s="7" t="n">
        <v>50</v>
      </c>
      <c r="E9439" s="7" t="n">
        <v>784.16</v>
      </c>
      <c r="F9439" s="7" t="n">
        <v>0</v>
      </c>
      <c r="G9439" s="7" t="n">
        <v>0</v>
      </c>
    </row>
    <row r="9440" customFormat="false" ht="15" hidden="false" customHeight="false" outlineLevel="0" collapsed="false">
      <c r="A9440" s="7" t="s">
        <v>35</v>
      </c>
      <c r="B9440" s="7" t="s">
        <v>96</v>
      </c>
      <c r="C9440" s="7" t="s">
        <v>1184</v>
      </c>
      <c r="D9440" s="7" t="n">
        <v>10</v>
      </c>
      <c r="E9440" s="7" t="n">
        <v>198.65</v>
      </c>
      <c r="F9440" s="7" t="n">
        <v>0</v>
      </c>
      <c r="G9440" s="7" t="n">
        <v>0</v>
      </c>
    </row>
    <row r="9441" customFormat="false" ht="15" hidden="false" customHeight="false" outlineLevel="0" collapsed="false">
      <c r="A9441" s="7" t="s">
        <v>35</v>
      </c>
      <c r="B9441" s="7" t="s">
        <v>96</v>
      </c>
      <c r="C9441" s="7" t="s">
        <v>1184</v>
      </c>
      <c r="D9441" s="7" t="n">
        <v>10</v>
      </c>
      <c r="E9441" s="7" t="n">
        <v>185.02</v>
      </c>
      <c r="F9441" s="7" t="n">
        <v>0</v>
      </c>
      <c r="G9441" s="7" t="n">
        <v>0</v>
      </c>
    </row>
    <row r="9442" customFormat="false" ht="15" hidden="false" customHeight="false" outlineLevel="0" collapsed="false">
      <c r="A9442" s="7" t="s">
        <v>35</v>
      </c>
      <c r="B9442" s="7" t="s">
        <v>96</v>
      </c>
      <c r="C9442" s="7" t="s">
        <v>1184</v>
      </c>
      <c r="D9442" s="7" t="n">
        <v>20</v>
      </c>
      <c r="E9442" s="7" t="n">
        <v>360.92</v>
      </c>
      <c r="F9442" s="7" t="n">
        <v>0</v>
      </c>
      <c r="G9442" s="7" t="n">
        <v>0</v>
      </c>
    </row>
    <row r="9443" customFormat="false" ht="15" hidden="false" customHeight="false" outlineLevel="0" collapsed="false">
      <c r="A9443" s="7" t="s">
        <v>35</v>
      </c>
      <c r="B9443" s="7" t="s">
        <v>96</v>
      </c>
      <c r="C9443" s="7" t="s">
        <v>1184</v>
      </c>
      <c r="D9443" s="7" t="n">
        <v>0</v>
      </c>
      <c r="E9443" s="7" t="n">
        <v>0</v>
      </c>
      <c r="F9443" s="7" t="n">
        <v>10</v>
      </c>
      <c r="G9443" s="7" t="n">
        <v>162.57</v>
      </c>
    </row>
    <row r="9444" customFormat="false" ht="15" hidden="false" customHeight="false" outlineLevel="0" collapsed="false">
      <c r="A9444" s="7" t="s">
        <v>35</v>
      </c>
      <c r="B9444" s="7" t="s">
        <v>213</v>
      </c>
      <c r="C9444" s="7" t="s">
        <v>1184</v>
      </c>
      <c r="D9444" s="7" t="n">
        <v>10</v>
      </c>
      <c r="E9444" s="7" t="n">
        <v>185.02</v>
      </c>
      <c r="F9444" s="7" t="n">
        <v>0</v>
      </c>
      <c r="G9444" s="7" t="n">
        <v>0</v>
      </c>
    </row>
    <row r="9445" customFormat="false" ht="15" hidden="false" customHeight="false" outlineLevel="0" collapsed="false">
      <c r="A9445" s="7" t="s">
        <v>35</v>
      </c>
      <c r="B9445" s="7" t="s">
        <v>213</v>
      </c>
      <c r="C9445" s="7" t="s">
        <v>1184</v>
      </c>
      <c r="D9445" s="7" t="n">
        <v>0</v>
      </c>
      <c r="E9445" s="7" t="n">
        <v>0</v>
      </c>
      <c r="F9445" s="7" t="n">
        <v>22</v>
      </c>
      <c r="G9445" s="7" t="n">
        <v>357.65</v>
      </c>
    </row>
    <row r="9446" customFormat="false" ht="15" hidden="false" customHeight="false" outlineLevel="0" collapsed="false">
      <c r="A9446" s="7" t="s">
        <v>35</v>
      </c>
      <c r="B9446" s="7" t="s">
        <v>213</v>
      </c>
      <c r="C9446" s="7" t="s">
        <v>1184</v>
      </c>
      <c r="D9446" s="7" t="n">
        <v>30</v>
      </c>
      <c r="E9446" s="7" t="n">
        <v>595.96</v>
      </c>
      <c r="F9446" s="7" t="n">
        <v>0</v>
      </c>
      <c r="G9446" s="7" t="n">
        <v>0</v>
      </c>
    </row>
    <row r="9447" customFormat="false" ht="15" hidden="false" customHeight="false" outlineLevel="0" collapsed="false">
      <c r="A9447" s="7" t="s">
        <v>35</v>
      </c>
      <c r="B9447" s="7" t="s">
        <v>133</v>
      </c>
      <c r="C9447" s="7" t="s">
        <v>1184</v>
      </c>
      <c r="D9447" s="7" t="n">
        <v>0</v>
      </c>
      <c r="E9447" s="7" t="n">
        <v>0</v>
      </c>
      <c r="F9447" s="7" t="n">
        <v>30</v>
      </c>
      <c r="G9447" s="7" t="n">
        <v>456.9</v>
      </c>
    </row>
    <row r="9448" customFormat="false" ht="15" hidden="false" customHeight="false" outlineLevel="0" collapsed="false">
      <c r="A9448" s="7" t="s">
        <v>35</v>
      </c>
      <c r="B9448" s="7" t="s">
        <v>133</v>
      </c>
      <c r="C9448" s="7" t="s">
        <v>1184</v>
      </c>
      <c r="D9448" s="7" t="n">
        <v>0</v>
      </c>
      <c r="E9448" s="7" t="n">
        <v>0</v>
      </c>
      <c r="F9448" s="7" t="n">
        <v>20</v>
      </c>
      <c r="G9448" s="7" t="n">
        <v>327</v>
      </c>
    </row>
    <row r="9449" customFormat="false" ht="15" hidden="false" customHeight="false" outlineLevel="0" collapsed="false">
      <c r="A9449" s="7" t="s">
        <v>35</v>
      </c>
      <c r="B9449" s="7" t="s">
        <v>133</v>
      </c>
      <c r="C9449" s="7" t="s">
        <v>1184</v>
      </c>
      <c r="D9449" s="7" t="n">
        <v>20</v>
      </c>
      <c r="E9449" s="7" t="n">
        <v>338.13</v>
      </c>
      <c r="F9449" s="7" t="n">
        <v>0</v>
      </c>
      <c r="G9449" s="7" t="n">
        <v>0</v>
      </c>
    </row>
    <row r="9450" customFormat="false" ht="15" hidden="false" customHeight="false" outlineLevel="0" collapsed="false">
      <c r="A9450" s="7" t="s">
        <v>35</v>
      </c>
      <c r="B9450" s="7" t="s">
        <v>133</v>
      </c>
      <c r="C9450" s="7" t="s">
        <v>1184</v>
      </c>
      <c r="D9450" s="7" t="n">
        <v>10</v>
      </c>
      <c r="E9450" s="7" t="n">
        <v>173.34</v>
      </c>
      <c r="F9450" s="7" t="n">
        <v>0</v>
      </c>
      <c r="G9450" s="7" t="n">
        <v>0</v>
      </c>
    </row>
    <row r="9451" customFormat="false" ht="15" hidden="false" customHeight="false" outlineLevel="0" collapsed="false">
      <c r="A9451" s="7" t="s">
        <v>35</v>
      </c>
      <c r="B9451" s="7" t="s">
        <v>575</v>
      </c>
      <c r="C9451" s="7" t="s">
        <v>1185</v>
      </c>
      <c r="D9451" s="7" t="n">
        <v>0</v>
      </c>
      <c r="E9451" s="7" t="n">
        <v>0</v>
      </c>
      <c r="F9451" s="7" t="n">
        <v>20</v>
      </c>
      <c r="G9451" s="7" t="n">
        <v>301.18</v>
      </c>
    </row>
    <row r="9452" customFormat="false" ht="15" hidden="false" customHeight="false" outlineLevel="0" collapsed="false">
      <c r="A9452" s="7" t="s">
        <v>35</v>
      </c>
      <c r="B9452" s="7" t="s">
        <v>575</v>
      </c>
      <c r="C9452" s="7" t="s">
        <v>1185</v>
      </c>
      <c r="D9452" s="7" t="n">
        <v>10</v>
      </c>
      <c r="E9452" s="7" t="n">
        <v>171.39</v>
      </c>
      <c r="F9452" s="7" t="n">
        <v>0</v>
      </c>
      <c r="G9452" s="7" t="n">
        <v>0</v>
      </c>
    </row>
    <row r="9453" customFormat="false" ht="15" hidden="false" customHeight="false" outlineLevel="0" collapsed="false">
      <c r="A9453" s="7" t="s">
        <v>35</v>
      </c>
      <c r="B9453" s="7" t="s">
        <v>575</v>
      </c>
      <c r="C9453" s="7" t="s">
        <v>1185</v>
      </c>
      <c r="D9453" s="7" t="n">
        <v>20</v>
      </c>
      <c r="E9453" s="7" t="n">
        <v>334.32</v>
      </c>
      <c r="F9453" s="7" t="n">
        <v>0</v>
      </c>
      <c r="G9453" s="7" t="n">
        <v>0</v>
      </c>
    </row>
    <row r="9454" customFormat="false" ht="15" hidden="false" customHeight="false" outlineLevel="0" collapsed="false">
      <c r="A9454" s="7" t="s">
        <v>35</v>
      </c>
      <c r="B9454" s="7" t="s">
        <v>575</v>
      </c>
      <c r="C9454" s="7" t="s">
        <v>1185</v>
      </c>
      <c r="D9454" s="7" t="n">
        <v>0</v>
      </c>
      <c r="E9454" s="7" t="n">
        <v>0</v>
      </c>
      <c r="F9454" s="7" t="n">
        <v>10</v>
      </c>
      <c r="G9454" s="7" t="n">
        <v>161.66</v>
      </c>
    </row>
    <row r="9455" customFormat="false" ht="15" hidden="false" customHeight="false" outlineLevel="0" collapsed="false">
      <c r="A9455" s="7" t="s">
        <v>35</v>
      </c>
      <c r="B9455" s="7" t="s">
        <v>280</v>
      </c>
      <c r="C9455" s="7" t="s">
        <v>1299</v>
      </c>
      <c r="D9455" s="7" t="n">
        <v>0</v>
      </c>
      <c r="E9455" s="7" t="n">
        <v>0</v>
      </c>
      <c r="F9455" s="7" t="n">
        <v>10</v>
      </c>
      <c r="G9455" s="7" t="n">
        <v>167.7</v>
      </c>
    </row>
    <row r="9456" customFormat="false" ht="15" hidden="false" customHeight="false" outlineLevel="0" collapsed="false">
      <c r="A9456" s="7" t="s">
        <v>35</v>
      </c>
      <c r="B9456" s="7" t="s">
        <v>280</v>
      </c>
      <c r="C9456" s="7" t="s">
        <v>1299</v>
      </c>
      <c r="D9456" s="7" t="n">
        <v>30</v>
      </c>
      <c r="E9456" s="7" t="n">
        <v>558.48</v>
      </c>
      <c r="F9456" s="7" t="n">
        <v>0</v>
      </c>
      <c r="G9456" s="7" t="n">
        <v>0</v>
      </c>
    </row>
    <row r="9457" customFormat="false" ht="15" hidden="false" customHeight="false" outlineLevel="0" collapsed="false">
      <c r="A9457" s="7" t="s">
        <v>35</v>
      </c>
      <c r="B9457" s="7" t="s">
        <v>280</v>
      </c>
      <c r="C9457" s="7" t="s">
        <v>1299</v>
      </c>
      <c r="D9457" s="7" t="n">
        <v>20</v>
      </c>
      <c r="E9457" s="7" t="n">
        <v>381.73</v>
      </c>
      <c r="F9457" s="7" t="n">
        <v>0</v>
      </c>
      <c r="G9457" s="7" t="n">
        <v>0</v>
      </c>
    </row>
    <row r="9458" customFormat="false" ht="15" hidden="false" customHeight="false" outlineLevel="0" collapsed="false">
      <c r="A9458" s="7" t="s">
        <v>35</v>
      </c>
      <c r="B9458" s="7" t="s">
        <v>280</v>
      </c>
      <c r="C9458" s="7" t="s">
        <v>1299</v>
      </c>
      <c r="D9458" s="7" t="n">
        <v>0</v>
      </c>
      <c r="E9458" s="7" t="n">
        <v>0</v>
      </c>
      <c r="F9458" s="7" t="n">
        <v>20</v>
      </c>
      <c r="G9458" s="7" t="n">
        <v>360.07</v>
      </c>
    </row>
    <row r="9459" customFormat="false" ht="15" hidden="false" customHeight="false" outlineLevel="0" collapsed="false">
      <c r="A9459" s="7" t="s">
        <v>35</v>
      </c>
      <c r="B9459" s="7" t="s">
        <v>732</v>
      </c>
      <c r="C9459" s="7" t="s">
        <v>1249</v>
      </c>
      <c r="D9459" s="7" t="n">
        <v>10</v>
      </c>
      <c r="E9459" s="7" t="n">
        <v>196.56</v>
      </c>
      <c r="F9459" s="7" t="n">
        <v>0</v>
      </c>
      <c r="G9459" s="7" t="n">
        <v>0</v>
      </c>
    </row>
    <row r="9460" customFormat="false" ht="15" hidden="false" customHeight="false" outlineLevel="0" collapsed="false">
      <c r="A9460" s="7" t="s">
        <v>35</v>
      </c>
      <c r="B9460" s="7" t="s">
        <v>963</v>
      </c>
      <c r="C9460" s="7" t="s">
        <v>1161</v>
      </c>
      <c r="D9460" s="7" t="n">
        <v>0</v>
      </c>
      <c r="E9460" s="7" t="n">
        <v>0</v>
      </c>
      <c r="F9460" s="7" t="n">
        <v>10</v>
      </c>
      <c r="G9460" s="7" t="n">
        <v>156.15</v>
      </c>
    </row>
    <row r="9461" customFormat="false" ht="15" hidden="false" customHeight="false" outlineLevel="0" collapsed="false">
      <c r="A9461" s="7" t="s">
        <v>35</v>
      </c>
      <c r="B9461" s="7" t="s">
        <v>963</v>
      </c>
      <c r="C9461" s="7" t="s">
        <v>1161</v>
      </c>
      <c r="D9461" s="7" t="n">
        <v>30</v>
      </c>
      <c r="E9461" s="7" t="n">
        <v>533.23</v>
      </c>
      <c r="F9461" s="7" t="n">
        <v>0</v>
      </c>
      <c r="G9461" s="7" t="n">
        <v>0</v>
      </c>
    </row>
    <row r="9462" customFormat="false" ht="15" hidden="false" customHeight="false" outlineLevel="0" collapsed="false">
      <c r="A9462" s="7" t="s">
        <v>35</v>
      </c>
      <c r="B9462" s="7" t="s">
        <v>945</v>
      </c>
      <c r="C9462" s="7" t="s">
        <v>1069</v>
      </c>
      <c r="D9462" s="7" t="n">
        <v>10</v>
      </c>
      <c r="E9462" s="7" t="n">
        <v>206.45</v>
      </c>
      <c r="F9462" s="7" t="n">
        <v>0</v>
      </c>
      <c r="G9462" s="7" t="n">
        <v>0</v>
      </c>
    </row>
    <row r="9463" customFormat="false" ht="15" hidden="false" customHeight="false" outlineLevel="0" collapsed="false">
      <c r="A9463" s="7" t="s">
        <v>35</v>
      </c>
      <c r="B9463" s="7" t="s">
        <v>945</v>
      </c>
      <c r="C9463" s="7" t="s">
        <v>1069</v>
      </c>
      <c r="D9463" s="7" t="n">
        <v>0</v>
      </c>
      <c r="E9463" s="7" t="n">
        <v>0</v>
      </c>
      <c r="F9463" s="7" t="n">
        <v>20</v>
      </c>
      <c r="G9463" s="7" t="n">
        <v>389.47</v>
      </c>
    </row>
    <row r="9464" customFormat="false" ht="15" hidden="false" customHeight="false" outlineLevel="0" collapsed="false">
      <c r="A9464" s="7" t="s">
        <v>35</v>
      </c>
      <c r="B9464" s="7" t="s">
        <v>447</v>
      </c>
      <c r="C9464" s="7" t="s">
        <v>1131</v>
      </c>
      <c r="D9464" s="7" t="n">
        <v>0</v>
      </c>
      <c r="E9464" s="7" t="n">
        <v>0</v>
      </c>
      <c r="F9464" s="7" t="n">
        <v>3</v>
      </c>
      <c r="G9464" s="7" t="n">
        <v>59.55</v>
      </c>
    </row>
    <row r="9465" customFormat="false" ht="15" hidden="false" customHeight="false" outlineLevel="0" collapsed="false">
      <c r="A9465" s="7" t="s">
        <v>35</v>
      </c>
      <c r="B9465" s="7" t="s">
        <v>351</v>
      </c>
      <c r="C9465" s="7" t="s">
        <v>1080</v>
      </c>
      <c r="D9465" s="7" t="n">
        <v>0</v>
      </c>
      <c r="E9465" s="7" t="n">
        <v>0</v>
      </c>
      <c r="F9465" s="7" t="n">
        <v>12</v>
      </c>
      <c r="G9465" s="7" t="n">
        <v>890.63</v>
      </c>
    </row>
    <row r="9466" customFormat="false" ht="15" hidden="false" customHeight="false" outlineLevel="0" collapsed="false">
      <c r="A9466" s="7" t="s">
        <v>35</v>
      </c>
      <c r="B9466" s="7" t="s">
        <v>248</v>
      </c>
      <c r="C9466" s="7" t="s">
        <v>1080</v>
      </c>
      <c r="D9466" s="7" t="n">
        <v>0</v>
      </c>
      <c r="E9466" s="7" t="n">
        <v>0</v>
      </c>
      <c r="F9466" s="7" t="n">
        <v>4</v>
      </c>
      <c r="G9466" s="7" t="n">
        <v>276.54</v>
      </c>
    </row>
    <row r="9467" customFormat="false" ht="15" hidden="false" customHeight="false" outlineLevel="0" collapsed="false">
      <c r="A9467" s="7" t="s">
        <v>35</v>
      </c>
      <c r="B9467" s="7" t="s">
        <v>462</v>
      </c>
      <c r="C9467" s="7" t="s">
        <v>1080</v>
      </c>
      <c r="D9467" s="7" t="n">
        <v>0</v>
      </c>
      <c r="E9467" s="7" t="n">
        <v>0</v>
      </c>
      <c r="F9467" s="7" t="n">
        <v>12</v>
      </c>
      <c r="G9467" s="7" t="n">
        <v>890.63</v>
      </c>
    </row>
    <row r="9468" customFormat="false" ht="15" hidden="false" customHeight="false" outlineLevel="0" collapsed="false">
      <c r="A9468" s="7" t="s">
        <v>35</v>
      </c>
      <c r="B9468" s="7" t="s">
        <v>757</v>
      </c>
      <c r="C9468" s="7" t="s">
        <v>1080</v>
      </c>
      <c r="D9468" s="7" t="n">
        <v>0</v>
      </c>
      <c r="E9468" s="7" t="n">
        <v>0</v>
      </c>
      <c r="F9468" s="7" t="n">
        <v>6</v>
      </c>
      <c r="G9468" s="7" t="n">
        <v>445.31</v>
      </c>
    </row>
    <row r="9469" customFormat="false" ht="15" hidden="false" customHeight="false" outlineLevel="0" collapsed="false">
      <c r="A9469" s="7" t="s">
        <v>34</v>
      </c>
      <c r="B9469" s="7" t="s">
        <v>689</v>
      </c>
      <c r="C9469" s="7" t="s">
        <v>1168</v>
      </c>
      <c r="D9469" s="7" t="n">
        <v>0</v>
      </c>
      <c r="E9469" s="7" t="n">
        <v>0</v>
      </c>
      <c r="F9469" s="7" t="n">
        <v>30</v>
      </c>
      <c r="G9469" s="7" t="n">
        <v>738.93</v>
      </c>
    </row>
    <row r="9470" customFormat="false" ht="15" hidden="false" customHeight="false" outlineLevel="0" collapsed="false">
      <c r="A9470" s="7" t="s">
        <v>34</v>
      </c>
      <c r="B9470" s="7" t="s">
        <v>689</v>
      </c>
      <c r="C9470" s="7" t="s">
        <v>1168</v>
      </c>
      <c r="D9470" s="7" t="n">
        <v>20</v>
      </c>
      <c r="E9470" s="7" t="n">
        <v>532.48</v>
      </c>
      <c r="F9470" s="7" t="n">
        <v>0</v>
      </c>
      <c r="G9470" s="7" t="n">
        <v>0</v>
      </c>
    </row>
    <row r="9471" customFormat="false" ht="15" hidden="false" customHeight="false" outlineLevel="0" collapsed="false">
      <c r="A9471" s="7" t="s">
        <v>34</v>
      </c>
      <c r="B9471" s="7" t="s">
        <v>689</v>
      </c>
      <c r="C9471" s="7" t="s">
        <v>1168</v>
      </c>
      <c r="D9471" s="7" t="n">
        <v>20</v>
      </c>
      <c r="E9471" s="7" t="n">
        <v>490.49</v>
      </c>
      <c r="F9471" s="7" t="n">
        <v>0</v>
      </c>
      <c r="G9471" s="7" t="n">
        <v>0</v>
      </c>
    </row>
    <row r="9472" customFormat="false" ht="15" hidden="false" customHeight="false" outlineLevel="0" collapsed="false">
      <c r="A9472" s="7" t="s">
        <v>34</v>
      </c>
      <c r="B9472" s="7" t="s">
        <v>689</v>
      </c>
      <c r="C9472" s="7" t="s">
        <v>1168</v>
      </c>
      <c r="D9472" s="7" t="n">
        <v>30</v>
      </c>
      <c r="E9472" s="7" t="n">
        <v>769.65</v>
      </c>
      <c r="F9472" s="7" t="n">
        <v>0</v>
      </c>
      <c r="G9472" s="7" t="n">
        <v>0</v>
      </c>
    </row>
    <row r="9473" customFormat="false" ht="15" hidden="false" customHeight="false" outlineLevel="0" collapsed="false">
      <c r="A9473" s="7" t="s">
        <v>34</v>
      </c>
      <c r="B9473" s="7" t="s">
        <v>741</v>
      </c>
      <c r="C9473" s="7" t="s">
        <v>1168</v>
      </c>
      <c r="D9473" s="7" t="n">
        <v>0</v>
      </c>
      <c r="E9473" s="7" t="n">
        <v>0</v>
      </c>
      <c r="F9473" s="7" t="n">
        <v>20</v>
      </c>
      <c r="G9473" s="7" t="n">
        <v>479.48</v>
      </c>
    </row>
    <row r="9474" customFormat="false" ht="15" hidden="false" customHeight="false" outlineLevel="0" collapsed="false">
      <c r="A9474" s="7" t="s">
        <v>34</v>
      </c>
      <c r="B9474" s="7" t="s">
        <v>741</v>
      </c>
      <c r="C9474" s="7" t="s">
        <v>1168</v>
      </c>
      <c r="D9474" s="7" t="n">
        <v>0</v>
      </c>
      <c r="E9474" s="7" t="n">
        <v>0</v>
      </c>
      <c r="F9474" s="7" t="n">
        <v>30</v>
      </c>
      <c r="G9474" s="7" t="n">
        <v>681.09</v>
      </c>
    </row>
    <row r="9475" customFormat="false" ht="15" hidden="false" customHeight="false" outlineLevel="0" collapsed="false">
      <c r="A9475" s="7" t="s">
        <v>34</v>
      </c>
      <c r="B9475" s="7" t="s">
        <v>741</v>
      </c>
      <c r="C9475" s="7" t="s">
        <v>1168</v>
      </c>
      <c r="D9475" s="7" t="n">
        <v>30</v>
      </c>
      <c r="E9475" s="7" t="n">
        <v>769.65</v>
      </c>
      <c r="F9475" s="7" t="n">
        <v>0</v>
      </c>
      <c r="G9475" s="7" t="n">
        <v>0</v>
      </c>
    </row>
    <row r="9476" customFormat="false" ht="15" hidden="false" customHeight="false" outlineLevel="0" collapsed="false">
      <c r="A9476" s="7" t="s">
        <v>34</v>
      </c>
      <c r="B9476" s="7" t="s">
        <v>741</v>
      </c>
      <c r="C9476" s="7" t="s">
        <v>1168</v>
      </c>
      <c r="D9476" s="7" t="n">
        <v>20</v>
      </c>
      <c r="E9476" s="7" t="n">
        <v>556.23</v>
      </c>
      <c r="F9476" s="7" t="n">
        <v>0</v>
      </c>
      <c r="G9476" s="7" t="n">
        <v>0</v>
      </c>
    </row>
    <row r="9477" customFormat="false" ht="15" hidden="false" customHeight="false" outlineLevel="0" collapsed="false">
      <c r="A9477" s="7" t="s">
        <v>34</v>
      </c>
      <c r="B9477" s="7" t="s">
        <v>741</v>
      </c>
      <c r="C9477" s="7" t="s">
        <v>1168</v>
      </c>
      <c r="D9477" s="7" t="n">
        <v>0</v>
      </c>
      <c r="E9477" s="7" t="n">
        <v>0</v>
      </c>
      <c r="F9477" s="7" t="n">
        <v>30</v>
      </c>
      <c r="G9477" s="7" t="n">
        <v>738.93</v>
      </c>
    </row>
    <row r="9478" customFormat="false" ht="15" hidden="false" customHeight="false" outlineLevel="0" collapsed="false">
      <c r="A9478" s="7" t="s">
        <v>34</v>
      </c>
      <c r="B9478" s="7" t="s">
        <v>741</v>
      </c>
      <c r="C9478" s="7" t="s">
        <v>1168</v>
      </c>
      <c r="D9478" s="7" t="n">
        <v>50</v>
      </c>
      <c r="E9478" s="7" t="n">
        <v>1292.86</v>
      </c>
      <c r="F9478" s="7" t="n">
        <v>0</v>
      </c>
      <c r="G9478" s="7" t="n">
        <v>0</v>
      </c>
    </row>
    <row r="9479" customFormat="false" ht="15" hidden="false" customHeight="false" outlineLevel="0" collapsed="false">
      <c r="A9479" s="7" t="s">
        <v>34</v>
      </c>
      <c r="B9479" s="7" t="s">
        <v>478</v>
      </c>
      <c r="C9479" s="7" t="s">
        <v>1220</v>
      </c>
      <c r="D9479" s="7" t="n">
        <v>30</v>
      </c>
      <c r="E9479" s="7" t="n">
        <v>245.11</v>
      </c>
      <c r="F9479" s="7" t="n">
        <v>0</v>
      </c>
      <c r="G9479" s="7" t="n">
        <v>0</v>
      </c>
    </row>
    <row r="9480" customFormat="false" ht="15" hidden="false" customHeight="false" outlineLevel="0" collapsed="false">
      <c r="A9480" s="7" t="s">
        <v>34</v>
      </c>
      <c r="B9480" s="7" t="s">
        <v>478</v>
      </c>
      <c r="C9480" s="7" t="s">
        <v>1220</v>
      </c>
      <c r="D9480" s="7" t="n">
        <v>6</v>
      </c>
      <c r="E9480" s="7" t="n">
        <v>52.7</v>
      </c>
      <c r="F9480" s="7" t="n">
        <v>0</v>
      </c>
      <c r="G9480" s="7" t="n">
        <v>0</v>
      </c>
    </row>
    <row r="9481" customFormat="false" ht="15" hidden="false" customHeight="false" outlineLevel="0" collapsed="false">
      <c r="A9481" s="7" t="s">
        <v>34</v>
      </c>
      <c r="B9481" s="7" t="s">
        <v>478</v>
      </c>
      <c r="C9481" s="7" t="s">
        <v>1220</v>
      </c>
      <c r="D9481" s="7" t="n">
        <v>80</v>
      </c>
      <c r="E9481" s="7" t="n">
        <v>619.57</v>
      </c>
      <c r="F9481" s="7" t="n">
        <v>0</v>
      </c>
      <c r="G9481" s="7" t="n">
        <v>0</v>
      </c>
    </row>
    <row r="9482" customFormat="false" ht="15" hidden="false" customHeight="false" outlineLevel="0" collapsed="false">
      <c r="A9482" s="7" t="s">
        <v>34</v>
      </c>
      <c r="B9482" s="7" t="s">
        <v>478</v>
      </c>
      <c r="C9482" s="7" t="s">
        <v>1220</v>
      </c>
      <c r="D9482" s="7" t="n">
        <v>0</v>
      </c>
      <c r="E9482" s="7" t="n">
        <v>0</v>
      </c>
      <c r="F9482" s="7" t="n">
        <v>28</v>
      </c>
      <c r="G9482" s="7" t="n">
        <v>217.79</v>
      </c>
    </row>
    <row r="9483" customFormat="false" ht="15" hidden="false" customHeight="false" outlineLevel="0" collapsed="false">
      <c r="A9483" s="7" t="s">
        <v>34</v>
      </c>
      <c r="B9483" s="7" t="s">
        <v>478</v>
      </c>
      <c r="C9483" s="7" t="s">
        <v>1220</v>
      </c>
      <c r="D9483" s="7" t="n">
        <v>80</v>
      </c>
      <c r="E9483" s="7" t="n">
        <v>653.23</v>
      </c>
      <c r="F9483" s="7" t="n">
        <v>0</v>
      </c>
      <c r="G9483" s="7" t="n">
        <v>0</v>
      </c>
    </row>
    <row r="9484" customFormat="false" ht="15" hidden="false" customHeight="false" outlineLevel="0" collapsed="false">
      <c r="A9484" s="7" t="s">
        <v>34</v>
      </c>
      <c r="B9484" s="7" t="s">
        <v>251</v>
      </c>
      <c r="C9484" s="7" t="s">
        <v>1085</v>
      </c>
      <c r="D9484" s="7" t="n">
        <v>20</v>
      </c>
      <c r="E9484" s="7" t="n">
        <v>381.46</v>
      </c>
      <c r="F9484" s="7" t="n">
        <v>0</v>
      </c>
      <c r="G9484" s="7" t="n">
        <v>0</v>
      </c>
    </row>
    <row r="9485" customFormat="false" ht="15" hidden="false" customHeight="false" outlineLevel="0" collapsed="false">
      <c r="A9485" s="7" t="s">
        <v>34</v>
      </c>
      <c r="B9485" s="7" t="s">
        <v>159</v>
      </c>
      <c r="C9485" s="7" t="s">
        <v>1087</v>
      </c>
      <c r="D9485" s="7" t="n">
        <v>0</v>
      </c>
      <c r="E9485" s="7" t="n">
        <v>0</v>
      </c>
      <c r="F9485" s="7" t="n">
        <v>100</v>
      </c>
      <c r="G9485" s="7" t="n">
        <v>1365.6</v>
      </c>
    </row>
    <row r="9486" customFormat="false" ht="15" hidden="false" customHeight="false" outlineLevel="0" collapsed="false">
      <c r="A9486" s="7" t="s">
        <v>34</v>
      </c>
      <c r="B9486" s="7" t="s">
        <v>159</v>
      </c>
      <c r="C9486" s="7" t="s">
        <v>1087</v>
      </c>
      <c r="D9486" s="7" t="n">
        <v>60</v>
      </c>
      <c r="E9486" s="7" t="n">
        <v>933.77</v>
      </c>
      <c r="F9486" s="7" t="n">
        <v>0</v>
      </c>
      <c r="G9486" s="7" t="n">
        <v>0</v>
      </c>
    </row>
    <row r="9487" customFormat="false" ht="15" hidden="false" customHeight="false" outlineLevel="0" collapsed="false">
      <c r="A9487" s="7" t="s">
        <v>34</v>
      </c>
      <c r="B9487" s="7" t="s">
        <v>159</v>
      </c>
      <c r="C9487" s="7" t="s">
        <v>1087</v>
      </c>
      <c r="D9487" s="7" t="n">
        <v>30</v>
      </c>
      <c r="E9487" s="7" t="n">
        <v>501.86</v>
      </c>
      <c r="F9487" s="7" t="n">
        <v>0</v>
      </c>
      <c r="G9487" s="7" t="n">
        <v>0</v>
      </c>
    </row>
    <row r="9488" customFormat="false" ht="15" hidden="false" customHeight="false" outlineLevel="0" collapsed="false">
      <c r="A9488" s="7" t="s">
        <v>34</v>
      </c>
      <c r="B9488" s="7" t="s">
        <v>377</v>
      </c>
      <c r="C9488" s="7" t="s">
        <v>1225</v>
      </c>
      <c r="D9488" s="7" t="n">
        <v>30</v>
      </c>
      <c r="E9488" s="7" t="n">
        <v>583.99</v>
      </c>
      <c r="F9488" s="7" t="n">
        <v>0</v>
      </c>
      <c r="G9488" s="7" t="n">
        <v>0</v>
      </c>
    </row>
    <row r="9489" customFormat="false" ht="15" hidden="false" customHeight="false" outlineLevel="0" collapsed="false">
      <c r="A9489" s="7" t="s">
        <v>34</v>
      </c>
      <c r="B9489" s="7" t="s">
        <v>494</v>
      </c>
      <c r="C9489" s="7" t="s">
        <v>1054</v>
      </c>
      <c r="D9489" s="7" t="n">
        <v>80</v>
      </c>
      <c r="E9489" s="7" t="n">
        <v>1038.21</v>
      </c>
      <c r="F9489" s="7" t="n">
        <v>0</v>
      </c>
      <c r="G9489" s="7" t="n">
        <v>0</v>
      </c>
    </row>
    <row r="9490" customFormat="false" ht="15" hidden="false" customHeight="false" outlineLevel="0" collapsed="false">
      <c r="A9490" s="7" t="s">
        <v>34</v>
      </c>
      <c r="B9490" s="7" t="s">
        <v>650</v>
      </c>
      <c r="C9490" s="7" t="s">
        <v>1088</v>
      </c>
      <c r="D9490" s="7" t="n">
        <v>120</v>
      </c>
      <c r="E9490" s="7" t="n">
        <v>769.88</v>
      </c>
      <c r="F9490" s="7" t="n">
        <v>0</v>
      </c>
      <c r="G9490" s="7" t="n">
        <v>0</v>
      </c>
    </row>
    <row r="9491" customFormat="false" ht="15" hidden="false" customHeight="false" outlineLevel="0" collapsed="false">
      <c r="A9491" s="7" t="s">
        <v>34</v>
      </c>
      <c r="B9491" s="7" t="s">
        <v>650</v>
      </c>
      <c r="C9491" s="7" t="s">
        <v>1088</v>
      </c>
      <c r="D9491" s="7" t="n">
        <v>0</v>
      </c>
      <c r="E9491" s="7" t="n">
        <v>0</v>
      </c>
      <c r="F9491" s="7" t="n">
        <v>200</v>
      </c>
      <c r="G9491" s="7" t="n">
        <v>1186.97</v>
      </c>
    </row>
    <row r="9492" customFormat="false" ht="15" hidden="false" customHeight="false" outlineLevel="0" collapsed="false">
      <c r="A9492" s="7" t="s">
        <v>34</v>
      </c>
      <c r="B9492" s="7" t="s">
        <v>650</v>
      </c>
      <c r="C9492" s="7" t="s">
        <v>1088</v>
      </c>
      <c r="D9492" s="7" t="n">
        <v>120</v>
      </c>
      <c r="E9492" s="7" t="n">
        <v>787.01</v>
      </c>
      <c r="F9492" s="7" t="n">
        <v>0</v>
      </c>
      <c r="G9492" s="7" t="n">
        <v>0</v>
      </c>
    </row>
    <row r="9493" customFormat="false" ht="15" hidden="false" customHeight="false" outlineLevel="0" collapsed="false">
      <c r="A9493" s="7" t="s">
        <v>34</v>
      </c>
      <c r="B9493" s="7" t="s">
        <v>650</v>
      </c>
      <c r="C9493" s="7" t="s">
        <v>1088</v>
      </c>
      <c r="D9493" s="7" t="n">
        <v>0</v>
      </c>
      <c r="E9493" s="7" t="n">
        <v>0</v>
      </c>
      <c r="F9493" s="7" t="n">
        <v>56</v>
      </c>
      <c r="G9493" s="7" t="n">
        <v>352.61</v>
      </c>
    </row>
    <row r="9494" customFormat="false" ht="15" hidden="false" customHeight="false" outlineLevel="0" collapsed="false">
      <c r="A9494" s="7" t="s">
        <v>34</v>
      </c>
      <c r="B9494" s="7" t="s">
        <v>650</v>
      </c>
      <c r="C9494" s="7" t="s">
        <v>1088</v>
      </c>
      <c r="D9494" s="7" t="n">
        <v>0</v>
      </c>
      <c r="E9494" s="7" t="n">
        <v>0</v>
      </c>
      <c r="F9494" s="7" t="n">
        <v>60</v>
      </c>
      <c r="G9494" s="7" t="n">
        <v>367.72</v>
      </c>
    </row>
    <row r="9495" customFormat="false" ht="15" hidden="false" customHeight="false" outlineLevel="0" collapsed="false">
      <c r="A9495" s="7" t="s">
        <v>34</v>
      </c>
      <c r="B9495" s="7" t="s">
        <v>516</v>
      </c>
      <c r="C9495" s="7" t="s">
        <v>1171</v>
      </c>
      <c r="D9495" s="7" t="n">
        <v>0</v>
      </c>
      <c r="E9495" s="7" t="n">
        <v>0</v>
      </c>
      <c r="F9495" s="7" t="n">
        <v>60</v>
      </c>
      <c r="G9495" s="7" t="n">
        <v>389.35</v>
      </c>
    </row>
    <row r="9496" customFormat="false" ht="15" hidden="false" customHeight="false" outlineLevel="0" collapsed="false">
      <c r="A9496" s="7" t="s">
        <v>34</v>
      </c>
      <c r="B9496" s="7" t="s">
        <v>516</v>
      </c>
      <c r="C9496" s="7" t="s">
        <v>1171</v>
      </c>
      <c r="D9496" s="7" t="n">
        <v>0</v>
      </c>
      <c r="E9496" s="7" t="n">
        <v>0</v>
      </c>
      <c r="F9496" s="7" t="n">
        <v>84</v>
      </c>
      <c r="G9496" s="7" t="n">
        <v>527.85</v>
      </c>
    </row>
    <row r="9497" customFormat="false" ht="15" hidden="false" customHeight="false" outlineLevel="0" collapsed="false">
      <c r="A9497" s="7" t="s">
        <v>34</v>
      </c>
      <c r="B9497" s="7" t="s">
        <v>516</v>
      </c>
      <c r="C9497" s="7" t="s">
        <v>1171</v>
      </c>
      <c r="D9497" s="7" t="n">
        <v>30</v>
      </c>
      <c r="E9497" s="7" t="n">
        <v>210.1</v>
      </c>
      <c r="F9497" s="7" t="n">
        <v>0</v>
      </c>
      <c r="G9497" s="7" t="n">
        <v>0</v>
      </c>
    </row>
    <row r="9498" customFormat="false" ht="15" hidden="false" customHeight="false" outlineLevel="0" collapsed="false">
      <c r="A9498" s="7" t="s">
        <v>34</v>
      </c>
      <c r="B9498" s="7" t="s">
        <v>516</v>
      </c>
      <c r="C9498" s="7" t="s">
        <v>1171</v>
      </c>
      <c r="D9498" s="7" t="n">
        <v>0</v>
      </c>
      <c r="E9498" s="7" t="n">
        <v>0</v>
      </c>
      <c r="F9498" s="7" t="n">
        <v>30</v>
      </c>
      <c r="G9498" s="7" t="n">
        <v>184.36</v>
      </c>
    </row>
    <row r="9499" customFormat="false" ht="15" hidden="false" customHeight="false" outlineLevel="0" collapsed="false">
      <c r="A9499" s="7" t="s">
        <v>34</v>
      </c>
      <c r="B9499" s="7" t="s">
        <v>516</v>
      </c>
      <c r="C9499" s="7" t="s">
        <v>1171</v>
      </c>
      <c r="D9499" s="7" t="n">
        <v>50</v>
      </c>
      <c r="E9499" s="7" t="n">
        <v>376.4</v>
      </c>
      <c r="F9499" s="7" t="n">
        <v>0</v>
      </c>
      <c r="G9499" s="7" t="n">
        <v>0</v>
      </c>
    </row>
    <row r="9500" customFormat="false" ht="15" hidden="false" customHeight="false" outlineLevel="0" collapsed="false">
      <c r="A9500" s="7" t="s">
        <v>34</v>
      </c>
      <c r="B9500" s="7" t="s">
        <v>516</v>
      </c>
      <c r="C9500" s="7" t="s">
        <v>1171</v>
      </c>
      <c r="D9500" s="7" t="n">
        <v>50</v>
      </c>
      <c r="E9500" s="7" t="n">
        <v>360.32</v>
      </c>
      <c r="F9500" s="7" t="n">
        <v>0</v>
      </c>
      <c r="G9500" s="7" t="n">
        <v>0</v>
      </c>
    </row>
    <row r="9501" customFormat="false" ht="15" hidden="false" customHeight="false" outlineLevel="0" collapsed="false">
      <c r="A9501" s="7" t="s">
        <v>34</v>
      </c>
      <c r="B9501" s="7" t="s">
        <v>516</v>
      </c>
      <c r="C9501" s="7" t="s">
        <v>1171</v>
      </c>
      <c r="D9501" s="7" t="n">
        <v>0</v>
      </c>
      <c r="E9501" s="7" t="n">
        <v>0</v>
      </c>
      <c r="F9501" s="7" t="n">
        <v>56</v>
      </c>
      <c r="G9501" s="7" t="n">
        <v>373.35</v>
      </c>
    </row>
    <row r="9502" customFormat="false" ht="15" hidden="false" customHeight="false" outlineLevel="0" collapsed="false">
      <c r="A9502" s="7" t="s">
        <v>34</v>
      </c>
      <c r="B9502" s="7" t="s">
        <v>516</v>
      </c>
      <c r="C9502" s="7" t="s">
        <v>1171</v>
      </c>
      <c r="D9502" s="7" t="n">
        <v>30</v>
      </c>
      <c r="E9502" s="7" t="n">
        <v>208.33</v>
      </c>
      <c r="F9502" s="7" t="n">
        <v>0</v>
      </c>
      <c r="G9502" s="7" t="n">
        <v>0</v>
      </c>
    </row>
    <row r="9503" customFormat="false" ht="15" hidden="false" customHeight="false" outlineLevel="0" collapsed="false">
      <c r="A9503" s="7" t="s">
        <v>34</v>
      </c>
      <c r="B9503" s="7" t="s">
        <v>516</v>
      </c>
      <c r="C9503" s="7" t="s">
        <v>1171</v>
      </c>
      <c r="D9503" s="7" t="n">
        <v>80</v>
      </c>
      <c r="E9503" s="7" t="n">
        <v>566.29</v>
      </c>
      <c r="F9503" s="7" t="n">
        <v>0</v>
      </c>
      <c r="G9503" s="7" t="n">
        <v>0</v>
      </c>
    </row>
    <row r="9504" customFormat="false" ht="15" hidden="false" customHeight="false" outlineLevel="0" collapsed="false">
      <c r="A9504" s="7" t="s">
        <v>34</v>
      </c>
      <c r="B9504" s="7" t="s">
        <v>515</v>
      </c>
      <c r="C9504" s="7" t="s">
        <v>1226</v>
      </c>
      <c r="D9504" s="7" t="n">
        <v>30</v>
      </c>
      <c r="E9504" s="7" t="n">
        <v>246.22</v>
      </c>
      <c r="F9504" s="7" t="n">
        <v>0</v>
      </c>
      <c r="G9504" s="7" t="n">
        <v>0</v>
      </c>
    </row>
    <row r="9505" customFormat="false" ht="15" hidden="false" customHeight="false" outlineLevel="0" collapsed="false">
      <c r="A9505" s="7" t="s">
        <v>34</v>
      </c>
      <c r="B9505" s="7" t="s">
        <v>515</v>
      </c>
      <c r="C9505" s="7" t="s">
        <v>1226</v>
      </c>
      <c r="D9505" s="7" t="n">
        <v>10</v>
      </c>
      <c r="E9505" s="7" t="n">
        <v>75.6</v>
      </c>
      <c r="F9505" s="7" t="n">
        <v>0</v>
      </c>
      <c r="G9505" s="7" t="n">
        <v>0</v>
      </c>
    </row>
    <row r="9506" customFormat="false" ht="15" hidden="false" customHeight="false" outlineLevel="0" collapsed="false">
      <c r="A9506" s="7" t="s">
        <v>34</v>
      </c>
      <c r="B9506" s="7" t="s">
        <v>225</v>
      </c>
      <c r="C9506" s="7" t="s">
        <v>1091</v>
      </c>
      <c r="D9506" s="7" t="n">
        <v>400</v>
      </c>
      <c r="E9506" s="7" t="n">
        <v>3843.46</v>
      </c>
      <c r="F9506" s="7" t="n">
        <v>0</v>
      </c>
      <c r="G9506" s="7" t="n">
        <v>0</v>
      </c>
    </row>
    <row r="9507" customFormat="false" ht="15" hidden="false" customHeight="false" outlineLevel="0" collapsed="false">
      <c r="A9507" s="7" t="s">
        <v>34</v>
      </c>
      <c r="B9507" s="7" t="s">
        <v>225</v>
      </c>
      <c r="C9507" s="7" t="s">
        <v>1091</v>
      </c>
      <c r="D9507" s="7" t="n">
        <v>400</v>
      </c>
      <c r="E9507" s="7" t="n">
        <v>3703.58</v>
      </c>
      <c r="F9507" s="7" t="n">
        <v>0</v>
      </c>
      <c r="G9507" s="7" t="n">
        <v>0</v>
      </c>
    </row>
    <row r="9508" customFormat="false" ht="15" hidden="false" customHeight="false" outlineLevel="0" collapsed="false">
      <c r="A9508" s="7" t="s">
        <v>34</v>
      </c>
      <c r="B9508" s="7" t="s">
        <v>225</v>
      </c>
      <c r="C9508" s="7" t="s">
        <v>1091</v>
      </c>
      <c r="D9508" s="7" t="n">
        <v>0</v>
      </c>
      <c r="E9508" s="7" t="n">
        <v>0</v>
      </c>
      <c r="F9508" s="7" t="n">
        <v>400</v>
      </c>
      <c r="G9508" s="7" t="n">
        <v>3278.98</v>
      </c>
    </row>
    <row r="9509" customFormat="false" ht="15" hidden="false" customHeight="false" outlineLevel="0" collapsed="false">
      <c r="A9509" s="7" t="s">
        <v>34</v>
      </c>
      <c r="B9509" s="7" t="s">
        <v>225</v>
      </c>
      <c r="C9509" s="7" t="s">
        <v>1091</v>
      </c>
      <c r="D9509" s="7" t="n">
        <v>0</v>
      </c>
      <c r="E9509" s="7" t="n">
        <v>0</v>
      </c>
      <c r="F9509" s="7" t="n">
        <v>400</v>
      </c>
      <c r="G9509" s="7" t="n">
        <v>3351.46</v>
      </c>
    </row>
    <row r="9510" customFormat="false" ht="15" hidden="false" customHeight="false" outlineLevel="0" collapsed="false">
      <c r="A9510" s="7" t="s">
        <v>34</v>
      </c>
      <c r="B9510" s="7" t="s">
        <v>225</v>
      </c>
      <c r="C9510" s="7" t="s">
        <v>1091</v>
      </c>
      <c r="D9510" s="7" t="n">
        <v>400</v>
      </c>
      <c r="E9510" s="7" t="n">
        <v>3540.38</v>
      </c>
      <c r="F9510" s="7" t="n">
        <v>0</v>
      </c>
      <c r="G9510" s="7" t="n">
        <v>0</v>
      </c>
    </row>
    <row r="9511" customFormat="false" ht="15" hidden="false" customHeight="false" outlineLevel="0" collapsed="false">
      <c r="A9511" s="7" t="s">
        <v>34</v>
      </c>
      <c r="B9511" s="7" t="s">
        <v>225</v>
      </c>
      <c r="C9511" s="7" t="s">
        <v>1091</v>
      </c>
      <c r="D9511" s="7" t="n">
        <v>400</v>
      </c>
      <c r="E9511" s="7" t="n">
        <v>3775.3</v>
      </c>
      <c r="F9511" s="7" t="n">
        <v>0</v>
      </c>
      <c r="G9511" s="7" t="n">
        <v>0</v>
      </c>
    </row>
    <row r="9512" customFormat="false" ht="15" hidden="false" customHeight="false" outlineLevel="0" collapsed="false">
      <c r="A9512" s="7" t="s">
        <v>34</v>
      </c>
      <c r="B9512" s="7" t="s">
        <v>225</v>
      </c>
      <c r="C9512" s="7" t="s">
        <v>1091</v>
      </c>
      <c r="D9512" s="7" t="n">
        <v>200</v>
      </c>
      <c r="E9512" s="7" t="n">
        <v>1866.38</v>
      </c>
      <c r="F9512" s="7" t="n">
        <v>0</v>
      </c>
      <c r="G9512" s="7" t="n">
        <v>0</v>
      </c>
    </row>
    <row r="9513" customFormat="false" ht="15" hidden="false" customHeight="false" outlineLevel="0" collapsed="false">
      <c r="A9513" s="7" t="s">
        <v>34</v>
      </c>
      <c r="B9513" s="7" t="s">
        <v>225</v>
      </c>
      <c r="C9513" s="7" t="s">
        <v>1091</v>
      </c>
      <c r="D9513" s="7" t="n">
        <v>0</v>
      </c>
      <c r="E9513" s="7" t="n">
        <v>0</v>
      </c>
      <c r="F9513" s="7" t="n">
        <v>300</v>
      </c>
      <c r="G9513" s="7" t="n">
        <v>2666.81</v>
      </c>
    </row>
    <row r="9514" customFormat="false" ht="15" hidden="false" customHeight="false" outlineLevel="0" collapsed="false">
      <c r="A9514" s="7" t="s">
        <v>34</v>
      </c>
      <c r="B9514" s="7" t="s">
        <v>225</v>
      </c>
      <c r="C9514" s="7" t="s">
        <v>1091</v>
      </c>
      <c r="D9514" s="7" t="n">
        <v>0</v>
      </c>
      <c r="E9514" s="7" t="n">
        <v>0</v>
      </c>
      <c r="F9514" s="7" t="n">
        <v>200</v>
      </c>
      <c r="G9514" s="7" t="n">
        <v>1638.72</v>
      </c>
    </row>
    <row r="9515" customFormat="false" ht="15" hidden="false" customHeight="false" outlineLevel="0" collapsed="false">
      <c r="A9515" s="7" t="s">
        <v>34</v>
      </c>
      <c r="B9515" s="7" t="s">
        <v>225</v>
      </c>
      <c r="C9515" s="7" t="s">
        <v>1091</v>
      </c>
      <c r="D9515" s="7" t="n">
        <v>0</v>
      </c>
      <c r="E9515" s="7" t="n">
        <v>0</v>
      </c>
      <c r="F9515" s="7" t="n">
        <v>400</v>
      </c>
      <c r="G9515" s="7" t="n">
        <v>3455.52</v>
      </c>
    </row>
    <row r="9516" customFormat="false" ht="15" hidden="false" customHeight="false" outlineLevel="0" collapsed="false">
      <c r="A9516" s="7" t="s">
        <v>34</v>
      </c>
      <c r="B9516" s="7" t="s">
        <v>504</v>
      </c>
      <c r="C9516" s="7" t="s">
        <v>1172</v>
      </c>
      <c r="D9516" s="7" t="n">
        <v>0</v>
      </c>
      <c r="E9516" s="7" t="n">
        <v>0</v>
      </c>
      <c r="F9516" s="7" t="n">
        <v>100</v>
      </c>
      <c r="G9516" s="7" t="n">
        <v>777.82</v>
      </c>
    </row>
    <row r="9517" customFormat="false" ht="15" hidden="false" customHeight="false" outlineLevel="0" collapsed="false">
      <c r="A9517" s="7" t="s">
        <v>34</v>
      </c>
      <c r="B9517" s="7" t="s">
        <v>504</v>
      </c>
      <c r="C9517" s="7" t="s">
        <v>1172</v>
      </c>
      <c r="D9517" s="7" t="n">
        <v>80</v>
      </c>
      <c r="E9517" s="7" t="n">
        <v>660.68</v>
      </c>
      <c r="F9517" s="7" t="n">
        <v>0</v>
      </c>
      <c r="G9517" s="7" t="n">
        <v>0</v>
      </c>
    </row>
    <row r="9518" customFormat="false" ht="15" hidden="false" customHeight="false" outlineLevel="0" collapsed="false">
      <c r="A9518" s="7" t="s">
        <v>34</v>
      </c>
      <c r="B9518" s="7" t="s">
        <v>504</v>
      </c>
      <c r="C9518" s="7" t="s">
        <v>1172</v>
      </c>
      <c r="D9518" s="7" t="n">
        <v>60</v>
      </c>
      <c r="E9518" s="7" t="n">
        <v>475.51</v>
      </c>
      <c r="F9518" s="7" t="n">
        <v>0</v>
      </c>
      <c r="G9518" s="7" t="n">
        <v>0</v>
      </c>
    </row>
    <row r="9519" customFormat="false" ht="15" hidden="false" customHeight="false" outlineLevel="0" collapsed="false">
      <c r="A9519" s="7" t="s">
        <v>34</v>
      </c>
      <c r="B9519" s="7" t="s">
        <v>504</v>
      </c>
      <c r="C9519" s="7" t="s">
        <v>1172</v>
      </c>
      <c r="D9519" s="7" t="n">
        <v>80</v>
      </c>
      <c r="E9519" s="7" t="n">
        <v>619.57</v>
      </c>
      <c r="F9519" s="7" t="n">
        <v>0</v>
      </c>
      <c r="G9519" s="7" t="n">
        <v>0</v>
      </c>
    </row>
    <row r="9520" customFormat="false" ht="15" hidden="false" customHeight="false" outlineLevel="0" collapsed="false">
      <c r="A9520" s="7" t="s">
        <v>34</v>
      </c>
      <c r="B9520" s="7" t="s">
        <v>504</v>
      </c>
      <c r="C9520" s="7" t="s">
        <v>1172</v>
      </c>
      <c r="D9520" s="7" t="n">
        <v>30</v>
      </c>
      <c r="E9520" s="7" t="n">
        <v>243.05</v>
      </c>
      <c r="F9520" s="7" t="n">
        <v>0</v>
      </c>
      <c r="G9520" s="7" t="n">
        <v>0</v>
      </c>
    </row>
    <row r="9521" customFormat="false" ht="15" hidden="false" customHeight="false" outlineLevel="0" collapsed="false">
      <c r="A9521" s="7" t="s">
        <v>34</v>
      </c>
      <c r="B9521" s="7" t="s">
        <v>504</v>
      </c>
      <c r="C9521" s="7" t="s">
        <v>1172</v>
      </c>
      <c r="D9521" s="7" t="n">
        <v>0</v>
      </c>
      <c r="E9521" s="7" t="n">
        <v>0</v>
      </c>
      <c r="F9521" s="7" t="n">
        <v>30</v>
      </c>
      <c r="G9521" s="7" t="n">
        <v>215.08</v>
      </c>
    </row>
    <row r="9522" customFormat="false" ht="15" hidden="false" customHeight="false" outlineLevel="0" collapsed="false">
      <c r="A9522" s="7" t="s">
        <v>34</v>
      </c>
      <c r="B9522" s="7" t="s">
        <v>387</v>
      </c>
      <c r="C9522" s="7" t="s">
        <v>1095</v>
      </c>
      <c r="D9522" s="7" t="n">
        <v>200</v>
      </c>
      <c r="E9522" s="7" t="n">
        <v>2161.94</v>
      </c>
      <c r="F9522" s="7" t="n">
        <v>0</v>
      </c>
      <c r="G9522" s="7" t="n">
        <v>0</v>
      </c>
    </row>
    <row r="9523" customFormat="false" ht="15" hidden="false" customHeight="false" outlineLevel="0" collapsed="false">
      <c r="A9523" s="7" t="s">
        <v>34</v>
      </c>
      <c r="B9523" s="7" t="s">
        <v>387</v>
      </c>
      <c r="C9523" s="7" t="s">
        <v>1095</v>
      </c>
      <c r="D9523" s="7" t="n">
        <v>400</v>
      </c>
      <c r="E9523" s="7" t="n">
        <v>4199.36</v>
      </c>
      <c r="F9523" s="7" t="n">
        <v>0</v>
      </c>
      <c r="G9523" s="7" t="n">
        <v>0</v>
      </c>
    </row>
    <row r="9524" customFormat="false" ht="15" hidden="false" customHeight="false" outlineLevel="0" collapsed="false">
      <c r="A9524" s="7" t="s">
        <v>34</v>
      </c>
      <c r="B9524" s="7" t="s">
        <v>387</v>
      </c>
      <c r="C9524" s="7" t="s">
        <v>1095</v>
      </c>
      <c r="D9524" s="7" t="n">
        <v>0</v>
      </c>
      <c r="E9524" s="7" t="n">
        <v>0</v>
      </c>
      <c r="F9524" s="7" t="n">
        <v>300</v>
      </c>
      <c r="G9524" s="7" t="n">
        <v>2766.64</v>
      </c>
    </row>
    <row r="9525" customFormat="false" ht="15" hidden="false" customHeight="false" outlineLevel="0" collapsed="false">
      <c r="A9525" s="7" t="s">
        <v>34</v>
      </c>
      <c r="B9525" s="7" t="s">
        <v>387</v>
      </c>
      <c r="C9525" s="7" t="s">
        <v>1095</v>
      </c>
      <c r="D9525" s="7" t="n">
        <v>200</v>
      </c>
      <c r="E9525" s="7" t="n">
        <v>1991.47</v>
      </c>
      <c r="F9525" s="7" t="n">
        <v>0</v>
      </c>
      <c r="G9525" s="7" t="n">
        <v>0</v>
      </c>
    </row>
    <row r="9526" customFormat="false" ht="15" hidden="false" customHeight="false" outlineLevel="0" collapsed="false">
      <c r="A9526" s="7" t="s">
        <v>34</v>
      </c>
      <c r="B9526" s="7" t="s">
        <v>387</v>
      </c>
      <c r="C9526" s="7" t="s">
        <v>1095</v>
      </c>
      <c r="D9526" s="7" t="n">
        <v>0</v>
      </c>
      <c r="E9526" s="7" t="n">
        <v>0</v>
      </c>
      <c r="F9526" s="7" t="n">
        <v>56</v>
      </c>
      <c r="G9526" s="7" t="n">
        <v>560.03</v>
      </c>
    </row>
    <row r="9527" customFormat="false" ht="15" hidden="false" customHeight="false" outlineLevel="0" collapsed="false">
      <c r="A9527" s="7" t="s">
        <v>34</v>
      </c>
      <c r="B9527" s="7" t="s">
        <v>387</v>
      </c>
      <c r="C9527" s="7" t="s">
        <v>1095</v>
      </c>
      <c r="D9527" s="7" t="n">
        <v>0</v>
      </c>
      <c r="E9527" s="7" t="n">
        <v>0</v>
      </c>
      <c r="F9527" s="7" t="n">
        <v>100</v>
      </c>
      <c r="G9527" s="7" t="n">
        <v>973.38</v>
      </c>
    </row>
    <row r="9528" customFormat="false" ht="15" hidden="false" customHeight="false" outlineLevel="0" collapsed="false">
      <c r="A9528" s="7" t="s">
        <v>34</v>
      </c>
      <c r="B9528" s="7" t="s">
        <v>387</v>
      </c>
      <c r="C9528" s="7" t="s">
        <v>1095</v>
      </c>
      <c r="D9528" s="7" t="n">
        <v>120</v>
      </c>
      <c r="E9528" s="7" t="n">
        <v>1274.16</v>
      </c>
      <c r="F9528" s="7" t="n">
        <v>0</v>
      </c>
      <c r="G9528" s="7" t="n">
        <v>0</v>
      </c>
    </row>
    <row r="9529" customFormat="false" ht="15" hidden="false" customHeight="false" outlineLevel="0" collapsed="false">
      <c r="A9529" s="7" t="s">
        <v>34</v>
      </c>
      <c r="B9529" s="7" t="s">
        <v>387</v>
      </c>
      <c r="C9529" s="7" t="s">
        <v>1095</v>
      </c>
      <c r="D9529" s="7" t="n">
        <v>60</v>
      </c>
      <c r="E9529" s="7" t="n">
        <v>611.37</v>
      </c>
      <c r="F9529" s="7" t="n">
        <v>0</v>
      </c>
      <c r="G9529" s="7" t="n">
        <v>0</v>
      </c>
    </row>
    <row r="9530" customFormat="false" ht="15" hidden="false" customHeight="false" outlineLevel="0" collapsed="false">
      <c r="A9530" s="7" t="s">
        <v>34</v>
      </c>
      <c r="B9530" s="7" t="s">
        <v>387</v>
      </c>
      <c r="C9530" s="7" t="s">
        <v>1095</v>
      </c>
      <c r="D9530" s="7" t="n">
        <v>0</v>
      </c>
      <c r="E9530" s="7" t="n">
        <v>0</v>
      </c>
      <c r="F9530" s="7" t="n">
        <v>120</v>
      </c>
      <c r="G9530" s="7" t="n">
        <v>1131.12</v>
      </c>
    </row>
    <row r="9531" customFormat="false" ht="15" hidden="false" customHeight="false" outlineLevel="0" collapsed="false">
      <c r="A9531" s="7" t="s">
        <v>34</v>
      </c>
      <c r="B9531" s="7" t="s">
        <v>367</v>
      </c>
      <c r="C9531" s="7" t="s">
        <v>1095</v>
      </c>
      <c r="D9531" s="7" t="n">
        <v>120</v>
      </c>
      <c r="E9531" s="7" t="n">
        <v>1327.64</v>
      </c>
      <c r="F9531" s="7" t="n">
        <v>0</v>
      </c>
      <c r="G9531" s="7" t="n">
        <v>0</v>
      </c>
    </row>
    <row r="9532" customFormat="false" ht="15" hidden="false" customHeight="false" outlineLevel="0" collapsed="false">
      <c r="A9532" s="7" t="s">
        <v>34</v>
      </c>
      <c r="B9532" s="7" t="s">
        <v>367</v>
      </c>
      <c r="C9532" s="7" t="s">
        <v>1095</v>
      </c>
      <c r="D9532" s="7" t="n">
        <v>0</v>
      </c>
      <c r="E9532" s="7" t="n">
        <v>0</v>
      </c>
      <c r="F9532" s="7" t="n">
        <v>150</v>
      </c>
      <c r="G9532" s="7" t="n">
        <v>1666.76</v>
      </c>
    </row>
    <row r="9533" customFormat="false" ht="15" hidden="false" customHeight="false" outlineLevel="0" collapsed="false">
      <c r="A9533" s="7" t="s">
        <v>34</v>
      </c>
      <c r="B9533" s="7" t="s">
        <v>367</v>
      </c>
      <c r="C9533" s="7" t="s">
        <v>1095</v>
      </c>
      <c r="D9533" s="7" t="n">
        <v>0</v>
      </c>
      <c r="E9533" s="7" t="n">
        <v>0</v>
      </c>
      <c r="F9533" s="7" t="n">
        <v>120</v>
      </c>
      <c r="G9533" s="7" t="n">
        <v>1256.8</v>
      </c>
    </row>
    <row r="9534" customFormat="false" ht="15" hidden="false" customHeight="false" outlineLevel="0" collapsed="false">
      <c r="A9534" s="7" t="s">
        <v>34</v>
      </c>
      <c r="B9534" s="7" t="s">
        <v>367</v>
      </c>
      <c r="C9534" s="7" t="s">
        <v>1095</v>
      </c>
      <c r="D9534" s="7" t="n">
        <v>0</v>
      </c>
      <c r="E9534" s="7" t="n">
        <v>0</v>
      </c>
      <c r="F9534" s="7" t="n">
        <v>300</v>
      </c>
      <c r="G9534" s="7" t="n">
        <v>3074.04</v>
      </c>
    </row>
    <row r="9535" customFormat="false" ht="15" hidden="false" customHeight="false" outlineLevel="0" collapsed="false">
      <c r="A9535" s="7" t="s">
        <v>34</v>
      </c>
      <c r="B9535" s="7" t="s">
        <v>367</v>
      </c>
      <c r="C9535" s="7" t="s">
        <v>1095</v>
      </c>
      <c r="D9535" s="7" t="n">
        <v>90</v>
      </c>
      <c r="E9535" s="7" t="n">
        <v>1050.49</v>
      </c>
      <c r="F9535" s="7" t="n">
        <v>0</v>
      </c>
      <c r="G9535" s="7" t="n">
        <v>0</v>
      </c>
    </row>
    <row r="9536" customFormat="false" ht="15" hidden="false" customHeight="false" outlineLevel="0" collapsed="false">
      <c r="A9536" s="7" t="s">
        <v>34</v>
      </c>
      <c r="B9536" s="7" t="s">
        <v>367</v>
      </c>
      <c r="C9536" s="7" t="s">
        <v>1095</v>
      </c>
      <c r="D9536" s="7" t="n">
        <v>120</v>
      </c>
      <c r="E9536" s="7" t="n">
        <v>1358.6</v>
      </c>
      <c r="F9536" s="7" t="n">
        <v>0</v>
      </c>
      <c r="G9536" s="7" t="n">
        <v>0</v>
      </c>
    </row>
    <row r="9537" customFormat="false" ht="15" hidden="false" customHeight="false" outlineLevel="0" collapsed="false">
      <c r="A9537" s="7" t="s">
        <v>34</v>
      </c>
      <c r="B9537" s="7" t="s">
        <v>367</v>
      </c>
      <c r="C9537" s="7" t="s">
        <v>1095</v>
      </c>
      <c r="D9537" s="7" t="n">
        <v>120</v>
      </c>
      <c r="E9537" s="7" t="n">
        <v>1388.84</v>
      </c>
      <c r="F9537" s="7" t="n">
        <v>0</v>
      </c>
      <c r="G9537" s="7" t="n">
        <v>0</v>
      </c>
    </row>
    <row r="9538" customFormat="false" ht="15" hidden="false" customHeight="false" outlineLevel="0" collapsed="false">
      <c r="A9538" s="7" t="s">
        <v>34</v>
      </c>
      <c r="B9538" s="7" t="s">
        <v>367</v>
      </c>
      <c r="C9538" s="7" t="s">
        <v>1095</v>
      </c>
      <c r="D9538" s="7" t="n">
        <v>0</v>
      </c>
      <c r="E9538" s="7" t="n">
        <v>0</v>
      </c>
      <c r="F9538" s="7" t="n">
        <v>200</v>
      </c>
      <c r="G9538" s="7" t="n">
        <v>2163.06</v>
      </c>
    </row>
    <row r="9539" customFormat="false" ht="15" hidden="false" customHeight="false" outlineLevel="0" collapsed="false">
      <c r="A9539" s="7" t="s">
        <v>34</v>
      </c>
      <c r="B9539" s="7" t="s">
        <v>367</v>
      </c>
      <c r="C9539" s="7" t="s">
        <v>1095</v>
      </c>
      <c r="D9539" s="7" t="n">
        <v>200</v>
      </c>
      <c r="E9539" s="7" t="n">
        <v>2402.16</v>
      </c>
      <c r="F9539" s="7" t="n">
        <v>0</v>
      </c>
      <c r="G9539" s="7" t="n">
        <v>0</v>
      </c>
    </row>
    <row r="9540" customFormat="false" ht="15" hidden="false" customHeight="false" outlineLevel="0" collapsed="false">
      <c r="A9540" s="7" t="s">
        <v>34</v>
      </c>
      <c r="B9540" s="7" t="s">
        <v>367</v>
      </c>
      <c r="C9540" s="7" t="s">
        <v>1095</v>
      </c>
      <c r="D9540" s="7" t="n">
        <v>200</v>
      </c>
      <c r="E9540" s="7" t="n">
        <v>2332.98</v>
      </c>
      <c r="F9540" s="7" t="n">
        <v>0</v>
      </c>
      <c r="G9540" s="7" t="n">
        <v>0</v>
      </c>
    </row>
    <row r="9541" customFormat="false" ht="15" hidden="false" customHeight="false" outlineLevel="0" collapsed="false">
      <c r="A9541" s="7" t="s">
        <v>34</v>
      </c>
      <c r="B9541" s="7" t="s">
        <v>735</v>
      </c>
      <c r="C9541" s="7" t="s">
        <v>1098</v>
      </c>
      <c r="D9541" s="7" t="n">
        <v>50</v>
      </c>
      <c r="E9541" s="7" t="n">
        <v>480.43</v>
      </c>
      <c r="F9541" s="7" t="n">
        <v>0</v>
      </c>
      <c r="G9541" s="7" t="n">
        <v>0</v>
      </c>
    </row>
    <row r="9542" customFormat="false" ht="15" hidden="false" customHeight="false" outlineLevel="0" collapsed="false">
      <c r="A9542" s="7" t="s">
        <v>34</v>
      </c>
      <c r="B9542" s="7" t="s">
        <v>735</v>
      </c>
      <c r="C9542" s="7" t="s">
        <v>1098</v>
      </c>
      <c r="D9542" s="7" t="n">
        <v>0</v>
      </c>
      <c r="E9542" s="7" t="n">
        <v>0</v>
      </c>
      <c r="F9542" s="7" t="n">
        <v>50</v>
      </c>
      <c r="G9542" s="7" t="n">
        <v>409.87</v>
      </c>
    </row>
    <row r="9543" customFormat="false" ht="15" hidden="false" customHeight="false" outlineLevel="0" collapsed="false">
      <c r="A9543" s="7" t="s">
        <v>34</v>
      </c>
      <c r="B9543" s="7" t="s">
        <v>735</v>
      </c>
      <c r="C9543" s="7" t="s">
        <v>1098</v>
      </c>
      <c r="D9543" s="7" t="n">
        <v>50</v>
      </c>
      <c r="E9543" s="7" t="n">
        <v>466.88</v>
      </c>
      <c r="F9543" s="7" t="n">
        <v>0</v>
      </c>
      <c r="G9543" s="7" t="n">
        <v>0</v>
      </c>
    </row>
    <row r="9544" customFormat="false" ht="15" hidden="false" customHeight="false" outlineLevel="0" collapsed="false">
      <c r="A9544" s="7" t="s">
        <v>34</v>
      </c>
      <c r="B9544" s="7" t="s">
        <v>229</v>
      </c>
      <c r="C9544" s="7" t="s">
        <v>1099</v>
      </c>
      <c r="D9544" s="7" t="n">
        <v>10</v>
      </c>
      <c r="E9544" s="7" t="n">
        <v>347.2</v>
      </c>
      <c r="F9544" s="7" t="n">
        <v>0</v>
      </c>
      <c r="G9544" s="7" t="n">
        <v>0</v>
      </c>
    </row>
    <row r="9545" customFormat="false" ht="15" hidden="false" customHeight="false" outlineLevel="0" collapsed="false">
      <c r="A9545" s="7" t="s">
        <v>34</v>
      </c>
      <c r="B9545" s="7" t="s">
        <v>229</v>
      </c>
      <c r="C9545" s="7" t="s">
        <v>1099</v>
      </c>
      <c r="D9545" s="7" t="n">
        <v>20</v>
      </c>
      <c r="E9545" s="7" t="n">
        <v>709.85</v>
      </c>
      <c r="F9545" s="7" t="n">
        <v>0</v>
      </c>
      <c r="G9545" s="7" t="n">
        <v>0</v>
      </c>
    </row>
    <row r="9546" customFormat="false" ht="15" hidden="false" customHeight="false" outlineLevel="0" collapsed="false">
      <c r="A9546" s="7" t="s">
        <v>34</v>
      </c>
      <c r="B9546" s="7" t="s">
        <v>517</v>
      </c>
      <c r="C9546" s="7" t="s">
        <v>1101</v>
      </c>
      <c r="D9546" s="7" t="n">
        <v>0</v>
      </c>
      <c r="E9546" s="7" t="n">
        <v>0</v>
      </c>
      <c r="F9546" s="7" t="n">
        <v>10</v>
      </c>
      <c r="G9546" s="7" t="n">
        <v>328.06</v>
      </c>
    </row>
    <row r="9547" customFormat="false" ht="15" hidden="false" customHeight="false" outlineLevel="0" collapsed="false">
      <c r="A9547" s="7" t="s">
        <v>34</v>
      </c>
      <c r="B9547" s="7" t="s">
        <v>517</v>
      </c>
      <c r="C9547" s="7" t="s">
        <v>1101</v>
      </c>
      <c r="D9547" s="7" t="n">
        <v>20</v>
      </c>
      <c r="E9547" s="7" t="n">
        <v>708.11</v>
      </c>
      <c r="F9547" s="7" t="n">
        <v>0</v>
      </c>
      <c r="G9547" s="7" t="n">
        <v>0</v>
      </c>
    </row>
    <row r="9548" customFormat="false" ht="15" hidden="false" customHeight="false" outlineLevel="0" collapsed="false">
      <c r="A9548" s="7" t="s">
        <v>34</v>
      </c>
      <c r="B9548" s="7" t="s">
        <v>517</v>
      </c>
      <c r="C9548" s="7" t="s">
        <v>1101</v>
      </c>
      <c r="D9548" s="7" t="n">
        <v>10</v>
      </c>
      <c r="E9548" s="7" t="n">
        <v>351.07</v>
      </c>
      <c r="F9548" s="7" t="n">
        <v>0</v>
      </c>
      <c r="G9548" s="7" t="n">
        <v>0</v>
      </c>
    </row>
    <row r="9549" customFormat="false" ht="15" hidden="false" customHeight="false" outlineLevel="0" collapsed="false">
      <c r="A9549" s="7" t="s">
        <v>34</v>
      </c>
      <c r="B9549" s="7" t="s">
        <v>517</v>
      </c>
      <c r="C9549" s="7" t="s">
        <v>1101</v>
      </c>
      <c r="D9549" s="7" t="n">
        <v>0</v>
      </c>
      <c r="E9549" s="7" t="n">
        <v>0</v>
      </c>
      <c r="F9549" s="7" t="n">
        <v>20</v>
      </c>
      <c r="G9549" s="7" t="n">
        <v>674.11</v>
      </c>
    </row>
    <row r="9550" customFormat="false" ht="15" hidden="false" customHeight="false" outlineLevel="0" collapsed="false">
      <c r="A9550" s="7" t="s">
        <v>34</v>
      </c>
      <c r="B9550" s="7" t="s">
        <v>334</v>
      </c>
      <c r="C9550" s="7" t="s">
        <v>1101</v>
      </c>
      <c r="D9550" s="7" t="n">
        <v>0</v>
      </c>
      <c r="E9550" s="7" t="n">
        <v>0</v>
      </c>
      <c r="F9550" s="7" t="n">
        <v>20</v>
      </c>
      <c r="G9550" s="7" t="n">
        <v>674.11</v>
      </c>
    </row>
    <row r="9551" customFormat="false" ht="15" hidden="false" customHeight="false" outlineLevel="0" collapsed="false">
      <c r="A9551" s="7" t="s">
        <v>34</v>
      </c>
      <c r="B9551" s="7" t="s">
        <v>334</v>
      </c>
      <c r="C9551" s="7" t="s">
        <v>1101</v>
      </c>
      <c r="D9551" s="7" t="n">
        <v>10</v>
      </c>
      <c r="E9551" s="7" t="n">
        <v>354.05</v>
      </c>
      <c r="F9551" s="7" t="n">
        <v>0</v>
      </c>
      <c r="G9551" s="7" t="n">
        <v>0</v>
      </c>
    </row>
    <row r="9552" customFormat="false" ht="15" hidden="false" customHeight="false" outlineLevel="0" collapsed="false">
      <c r="A9552" s="7" t="s">
        <v>34</v>
      </c>
      <c r="B9552" s="7" t="s">
        <v>334</v>
      </c>
      <c r="C9552" s="7" t="s">
        <v>1101</v>
      </c>
      <c r="D9552" s="7" t="n">
        <v>30</v>
      </c>
      <c r="E9552" s="7" t="n">
        <v>1053.21</v>
      </c>
      <c r="F9552" s="7" t="n">
        <v>0</v>
      </c>
      <c r="G9552" s="7" t="n">
        <v>0</v>
      </c>
    </row>
    <row r="9553" customFormat="false" ht="15" hidden="false" customHeight="false" outlineLevel="0" collapsed="false">
      <c r="A9553" s="7" t="s">
        <v>34</v>
      </c>
      <c r="B9553" s="7" t="s">
        <v>334</v>
      </c>
      <c r="C9553" s="7" t="s">
        <v>1101</v>
      </c>
      <c r="D9553" s="7" t="n">
        <v>10</v>
      </c>
      <c r="E9553" s="7" t="n">
        <v>335.6</v>
      </c>
      <c r="F9553" s="7" t="n">
        <v>0</v>
      </c>
      <c r="G9553" s="7" t="n">
        <v>0</v>
      </c>
    </row>
    <row r="9554" customFormat="false" ht="15" hidden="false" customHeight="false" outlineLevel="0" collapsed="false">
      <c r="A9554" s="7" t="s">
        <v>34</v>
      </c>
      <c r="B9554" s="7" t="s">
        <v>334</v>
      </c>
      <c r="C9554" s="7" t="s">
        <v>1101</v>
      </c>
      <c r="D9554" s="7" t="n">
        <v>0</v>
      </c>
      <c r="E9554" s="7" t="n">
        <v>0</v>
      </c>
      <c r="F9554" s="7" t="n">
        <v>10</v>
      </c>
      <c r="G9554" s="7" t="n">
        <v>328.06</v>
      </c>
    </row>
    <row r="9555" customFormat="false" ht="15" hidden="false" customHeight="false" outlineLevel="0" collapsed="false">
      <c r="A9555" s="7" t="s">
        <v>34</v>
      </c>
      <c r="B9555" s="7" t="s">
        <v>470</v>
      </c>
      <c r="C9555" s="7" t="s">
        <v>1235</v>
      </c>
      <c r="D9555" s="7" t="n">
        <v>30</v>
      </c>
      <c r="E9555" s="7" t="n">
        <v>697.01</v>
      </c>
      <c r="F9555" s="7" t="n">
        <v>0</v>
      </c>
      <c r="G9555" s="7" t="n">
        <v>0</v>
      </c>
    </row>
    <row r="9556" customFormat="false" ht="15" hidden="false" customHeight="false" outlineLevel="0" collapsed="false">
      <c r="A9556" s="7" t="s">
        <v>34</v>
      </c>
      <c r="B9556" s="7" t="s">
        <v>470</v>
      </c>
      <c r="C9556" s="7" t="s">
        <v>1235</v>
      </c>
      <c r="D9556" s="7" t="n">
        <v>20</v>
      </c>
      <c r="E9556" s="7" t="n">
        <v>490.23</v>
      </c>
      <c r="F9556" s="7" t="n">
        <v>0</v>
      </c>
      <c r="G9556" s="7" t="n">
        <v>0</v>
      </c>
    </row>
    <row r="9557" customFormat="false" ht="15" hidden="false" customHeight="false" outlineLevel="0" collapsed="false">
      <c r="A9557" s="7" t="s">
        <v>34</v>
      </c>
      <c r="B9557" s="7" t="s">
        <v>470</v>
      </c>
      <c r="C9557" s="7" t="s">
        <v>1235</v>
      </c>
      <c r="D9557" s="7" t="n">
        <v>100</v>
      </c>
      <c r="E9557" s="7" t="n">
        <v>2377.56</v>
      </c>
      <c r="F9557" s="7" t="n">
        <v>0</v>
      </c>
      <c r="G9557" s="7" t="n">
        <v>0</v>
      </c>
    </row>
    <row r="9558" customFormat="false" ht="15" hidden="false" customHeight="false" outlineLevel="0" collapsed="false">
      <c r="A9558" s="7" t="s">
        <v>34</v>
      </c>
      <c r="B9558" s="7" t="s">
        <v>173</v>
      </c>
      <c r="C9558" s="7" t="s">
        <v>1235</v>
      </c>
      <c r="D9558" s="7" t="n">
        <v>50</v>
      </c>
      <c r="E9558" s="7" t="n">
        <v>1161.69</v>
      </c>
      <c r="F9558" s="7" t="n">
        <v>0</v>
      </c>
      <c r="G9558" s="7" t="n">
        <v>0</v>
      </c>
    </row>
    <row r="9559" customFormat="false" ht="15" hidden="false" customHeight="false" outlineLevel="0" collapsed="false">
      <c r="A9559" s="7" t="s">
        <v>34</v>
      </c>
      <c r="B9559" s="7" t="s">
        <v>173</v>
      </c>
      <c r="C9559" s="7" t="s">
        <v>1235</v>
      </c>
      <c r="D9559" s="7" t="n">
        <v>100</v>
      </c>
      <c r="E9559" s="7" t="n">
        <v>2377.56</v>
      </c>
      <c r="F9559" s="7" t="n">
        <v>0</v>
      </c>
      <c r="G9559" s="7" t="n">
        <v>0</v>
      </c>
    </row>
    <row r="9560" customFormat="false" ht="15" hidden="false" customHeight="false" outlineLevel="0" collapsed="false">
      <c r="A9560" s="7" t="s">
        <v>34</v>
      </c>
      <c r="B9560" s="7" t="s">
        <v>468</v>
      </c>
      <c r="C9560" s="7" t="s">
        <v>1236</v>
      </c>
      <c r="D9560" s="7" t="n">
        <v>50</v>
      </c>
      <c r="E9560" s="7" t="n">
        <v>1317.39</v>
      </c>
      <c r="F9560" s="7" t="n">
        <v>0</v>
      </c>
      <c r="G9560" s="7" t="n">
        <v>0</v>
      </c>
    </row>
    <row r="9561" customFormat="false" ht="15" hidden="false" customHeight="false" outlineLevel="0" collapsed="false">
      <c r="A9561" s="7" t="s">
        <v>34</v>
      </c>
      <c r="B9561" s="7" t="s">
        <v>226</v>
      </c>
      <c r="C9561" s="7" t="s">
        <v>1236</v>
      </c>
      <c r="D9561" s="7" t="n">
        <v>30</v>
      </c>
      <c r="E9561" s="7" t="n">
        <v>1403.58</v>
      </c>
      <c r="F9561" s="7" t="n">
        <v>0</v>
      </c>
      <c r="G9561" s="7" t="n">
        <v>0</v>
      </c>
    </row>
    <row r="9562" customFormat="false" ht="15" hidden="false" customHeight="false" outlineLevel="0" collapsed="false">
      <c r="A9562" s="7" t="s">
        <v>34</v>
      </c>
      <c r="B9562" s="7" t="s">
        <v>415</v>
      </c>
      <c r="C9562" s="7" t="s">
        <v>1237</v>
      </c>
      <c r="D9562" s="7" t="n">
        <v>10</v>
      </c>
      <c r="E9562" s="7" t="n">
        <v>232.34</v>
      </c>
      <c r="F9562" s="7" t="n">
        <v>0</v>
      </c>
      <c r="G9562" s="7" t="n">
        <v>0</v>
      </c>
    </row>
    <row r="9563" customFormat="false" ht="15" hidden="false" customHeight="false" outlineLevel="0" collapsed="false">
      <c r="A9563" s="7" t="s">
        <v>34</v>
      </c>
      <c r="B9563" s="7" t="s">
        <v>583</v>
      </c>
      <c r="C9563" s="7" t="s">
        <v>1239</v>
      </c>
      <c r="D9563" s="7" t="n">
        <v>1</v>
      </c>
      <c r="E9563" s="7" t="n">
        <v>0.04</v>
      </c>
      <c r="F9563" s="7" t="n">
        <v>0</v>
      </c>
      <c r="G9563" s="7" t="n">
        <v>0</v>
      </c>
    </row>
    <row r="9564" customFormat="false" ht="15" hidden="false" customHeight="false" outlineLevel="0" collapsed="false">
      <c r="A9564" s="7" t="s">
        <v>34</v>
      </c>
      <c r="B9564" s="7" t="s">
        <v>299</v>
      </c>
      <c r="C9564" s="7" t="s">
        <v>1104</v>
      </c>
      <c r="D9564" s="7" t="n">
        <v>1</v>
      </c>
      <c r="E9564" s="7" t="n">
        <v>0.04</v>
      </c>
      <c r="F9564" s="7" t="n">
        <v>0</v>
      </c>
      <c r="G9564" s="7" t="n">
        <v>0</v>
      </c>
    </row>
    <row r="9565" customFormat="false" ht="15" hidden="false" customHeight="false" outlineLevel="0" collapsed="false">
      <c r="A9565" s="7" t="s">
        <v>34</v>
      </c>
      <c r="B9565" s="7" t="s">
        <v>106</v>
      </c>
      <c r="C9565" s="7" t="s">
        <v>1105</v>
      </c>
      <c r="D9565" s="7" t="n">
        <v>1</v>
      </c>
      <c r="E9565" s="7" t="n">
        <v>0.04</v>
      </c>
      <c r="F9565" s="7" t="n">
        <v>0</v>
      </c>
      <c r="G9565" s="7" t="n">
        <v>0</v>
      </c>
    </row>
    <row r="9566" customFormat="false" ht="15" hidden="false" customHeight="false" outlineLevel="0" collapsed="false">
      <c r="A9566" s="7" t="s">
        <v>34</v>
      </c>
      <c r="B9566" s="7" t="s">
        <v>665</v>
      </c>
      <c r="C9566" s="7" t="s">
        <v>1181</v>
      </c>
      <c r="D9566" s="7" t="n">
        <v>0</v>
      </c>
      <c r="E9566" s="7" t="n">
        <v>0</v>
      </c>
      <c r="F9566" s="7" t="n">
        <v>400</v>
      </c>
      <c r="G9566" s="7" t="n">
        <v>3825.47</v>
      </c>
    </row>
    <row r="9567" customFormat="false" ht="15" hidden="false" customHeight="false" outlineLevel="0" collapsed="false">
      <c r="A9567" s="7" t="s">
        <v>34</v>
      </c>
      <c r="B9567" s="7" t="s">
        <v>665</v>
      </c>
      <c r="C9567" s="7" t="s">
        <v>1181</v>
      </c>
      <c r="D9567" s="7" t="n">
        <v>200</v>
      </c>
      <c r="E9567" s="7" t="n">
        <v>2160.42</v>
      </c>
      <c r="F9567" s="7" t="n">
        <v>0</v>
      </c>
      <c r="G9567" s="7" t="n">
        <v>0</v>
      </c>
    </row>
    <row r="9568" customFormat="false" ht="15" hidden="false" customHeight="false" outlineLevel="0" collapsed="false">
      <c r="A9568" s="7" t="s">
        <v>34</v>
      </c>
      <c r="B9568" s="7" t="s">
        <v>665</v>
      </c>
      <c r="C9568" s="7" t="s">
        <v>1181</v>
      </c>
      <c r="D9568" s="7" t="n">
        <v>300</v>
      </c>
      <c r="E9568" s="7" t="n">
        <v>3513.05</v>
      </c>
      <c r="F9568" s="7" t="n">
        <v>0</v>
      </c>
      <c r="G9568" s="7" t="n">
        <v>0</v>
      </c>
    </row>
    <row r="9569" customFormat="false" ht="15" hidden="false" customHeight="false" outlineLevel="0" collapsed="false">
      <c r="A9569" s="7" t="s">
        <v>34</v>
      </c>
      <c r="B9569" s="7" t="s">
        <v>665</v>
      </c>
      <c r="C9569" s="7" t="s">
        <v>1181</v>
      </c>
      <c r="D9569" s="7" t="n">
        <v>0</v>
      </c>
      <c r="E9569" s="7" t="n">
        <v>0</v>
      </c>
      <c r="F9569" s="7" t="n">
        <v>500</v>
      </c>
      <c r="G9569" s="7" t="n">
        <v>4887.54</v>
      </c>
    </row>
    <row r="9570" customFormat="false" ht="15" hidden="false" customHeight="false" outlineLevel="0" collapsed="false">
      <c r="A9570" s="7" t="s">
        <v>34</v>
      </c>
      <c r="B9570" s="7" t="s">
        <v>665</v>
      </c>
      <c r="C9570" s="7" t="s">
        <v>1181</v>
      </c>
      <c r="D9570" s="7" t="n">
        <v>0</v>
      </c>
      <c r="E9570" s="7" t="n">
        <v>0</v>
      </c>
      <c r="F9570" s="7" t="n">
        <v>500</v>
      </c>
      <c r="G9570" s="7" t="n">
        <v>5047.14</v>
      </c>
    </row>
    <row r="9571" customFormat="false" ht="15" hidden="false" customHeight="false" outlineLevel="0" collapsed="false">
      <c r="A9571" s="7" t="s">
        <v>34</v>
      </c>
      <c r="B9571" s="7" t="s">
        <v>665</v>
      </c>
      <c r="C9571" s="7" t="s">
        <v>1181</v>
      </c>
      <c r="D9571" s="7" t="n">
        <v>1200</v>
      </c>
      <c r="E9571" s="7" t="n">
        <v>13072.75</v>
      </c>
      <c r="F9571" s="7" t="n">
        <v>0</v>
      </c>
      <c r="G9571" s="7" t="n">
        <v>0</v>
      </c>
    </row>
    <row r="9572" customFormat="false" ht="15" hidden="false" customHeight="false" outlineLevel="0" collapsed="false">
      <c r="A9572" s="7" t="s">
        <v>34</v>
      </c>
      <c r="B9572" s="7" t="s">
        <v>665</v>
      </c>
      <c r="C9572" s="7" t="s">
        <v>1181</v>
      </c>
      <c r="D9572" s="7" t="n">
        <v>200</v>
      </c>
      <c r="E9572" s="7" t="n">
        <v>2065.22</v>
      </c>
      <c r="F9572" s="7" t="n">
        <v>0</v>
      </c>
      <c r="G9572" s="7" t="n">
        <v>0</v>
      </c>
    </row>
    <row r="9573" customFormat="false" ht="15" hidden="false" customHeight="false" outlineLevel="0" collapsed="false">
      <c r="A9573" s="7" t="s">
        <v>34</v>
      </c>
      <c r="B9573" s="7" t="s">
        <v>665</v>
      </c>
      <c r="C9573" s="7" t="s">
        <v>1181</v>
      </c>
      <c r="D9573" s="7" t="n">
        <v>0</v>
      </c>
      <c r="E9573" s="7" t="n">
        <v>0</v>
      </c>
      <c r="F9573" s="7" t="n">
        <v>600</v>
      </c>
      <c r="G9573" s="7" t="n">
        <v>5735.52</v>
      </c>
    </row>
    <row r="9574" customFormat="false" ht="15" hidden="false" customHeight="false" outlineLevel="0" collapsed="false">
      <c r="A9574" s="7" t="s">
        <v>34</v>
      </c>
      <c r="B9574" s="7" t="s">
        <v>665</v>
      </c>
      <c r="C9574" s="7" t="s">
        <v>1181</v>
      </c>
      <c r="D9574" s="7" t="n">
        <v>0</v>
      </c>
      <c r="E9574" s="7" t="n">
        <v>0</v>
      </c>
      <c r="F9574" s="7" t="n">
        <v>500</v>
      </c>
      <c r="G9574" s="7" t="n">
        <v>5039.3</v>
      </c>
    </row>
    <row r="9575" customFormat="false" ht="15" hidden="false" customHeight="false" outlineLevel="0" collapsed="false">
      <c r="A9575" s="7" t="s">
        <v>34</v>
      </c>
      <c r="B9575" s="7" t="s">
        <v>665</v>
      </c>
      <c r="C9575" s="7" t="s">
        <v>1181</v>
      </c>
      <c r="D9575" s="7" t="n">
        <v>300</v>
      </c>
      <c r="E9575" s="7" t="n">
        <v>3303.38</v>
      </c>
      <c r="F9575" s="7" t="n">
        <v>0</v>
      </c>
      <c r="G9575" s="7" t="n">
        <v>0</v>
      </c>
    </row>
    <row r="9576" customFormat="false" ht="15" hidden="false" customHeight="false" outlineLevel="0" collapsed="false">
      <c r="A9576" s="7" t="s">
        <v>34</v>
      </c>
      <c r="B9576" s="7" t="s">
        <v>736</v>
      </c>
      <c r="C9576" s="7" t="s">
        <v>1176</v>
      </c>
      <c r="D9576" s="7" t="n">
        <v>200</v>
      </c>
      <c r="E9576" s="7" t="n">
        <v>1809</v>
      </c>
      <c r="F9576" s="7" t="n">
        <v>0</v>
      </c>
      <c r="G9576" s="7" t="n">
        <v>0</v>
      </c>
    </row>
    <row r="9577" customFormat="false" ht="15" hidden="false" customHeight="false" outlineLevel="0" collapsed="false">
      <c r="A9577" s="7" t="s">
        <v>34</v>
      </c>
      <c r="B9577" s="7" t="s">
        <v>736</v>
      </c>
      <c r="C9577" s="7" t="s">
        <v>1176</v>
      </c>
      <c r="D9577" s="7" t="n">
        <v>0</v>
      </c>
      <c r="E9577" s="7" t="n">
        <v>0</v>
      </c>
      <c r="F9577" s="7" t="n">
        <v>40</v>
      </c>
      <c r="G9577" s="7" t="n">
        <v>331.67</v>
      </c>
    </row>
    <row r="9578" customFormat="false" ht="15" hidden="false" customHeight="false" outlineLevel="0" collapsed="false">
      <c r="A9578" s="7" t="s">
        <v>34</v>
      </c>
      <c r="B9578" s="7" t="s">
        <v>736</v>
      </c>
      <c r="C9578" s="7" t="s">
        <v>1176</v>
      </c>
      <c r="D9578" s="7" t="n">
        <v>100</v>
      </c>
      <c r="E9578" s="7" t="n">
        <v>868</v>
      </c>
      <c r="F9578" s="7" t="n">
        <v>0</v>
      </c>
      <c r="G9578" s="7" t="n">
        <v>0</v>
      </c>
    </row>
    <row r="9579" customFormat="false" ht="15" hidden="false" customHeight="false" outlineLevel="0" collapsed="false">
      <c r="A9579" s="7" t="s">
        <v>34</v>
      </c>
      <c r="B9579" s="7" t="s">
        <v>736</v>
      </c>
      <c r="C9579" s="7" t="s">
        <v>1176</v>
      </c>
      <c r="D9579" s="7" t="n">
        <v>0</v>
      </c>
      <c r="E9579" s="7" t="n">
        <v>0</v>
      </c>
      <c r="F9579" s="7" t="n">
        <v>50</v>
      </c>
      <c r="G9579" s="7" t="n">
        <v>392.61</v>
      </c>
    </row>
    <row r="9580" customFormat="false" ht="15" hidden="false" customHeight="false" outlineLevel="0" collapsed="false">
      <c r="A9580" s="7" t="s">
        <v>34</v>
      </c>
      <c r="B9580" s="7" t="s">
        <v>736</v>
      </c>
      <c r="C9580" s="7" t="s">
        <v>1176</v>
      </c>
      <c r="D9580" s="7" t="n">
        <v>0</v>
      </c>
      <c r="E9580" s="7" t="n">
        <v>0</v>
      </c>
      <c r="F9580" s="7" t="n">
        <v>100</v>
      </c>
      <c r="G9580" s="7" t="n">
        <v>785.59</v>
      </c>
    </row>
    <row r="9581" customFormat="false" ht="15" hidden="false" customHeight="false" outlineLevel="0" collapsed="false">
      <c r="A9581" s="7" t="s">
        <v>34</v>
      </c>
      <c r="B9581" s="7" t="s">
        <v>781</v>
      </c>
      <c r="C9581" s="7" t="s">
        <v>1177</v>
      </c>
      <c r="D9581" s="7" t="n">
        <v>0</v>
      </c>
      <c r="E9581" s="7" t="n">
        <v>0</v>
      </c>
      <c r="F9581" s="7" t="n">
        <v>50</v>
      </c>
      <c r="G9581" s="7" t="n">
        <v>665.73</v>
      </c>
    </row>
    <row r="9582" customFormat="false" ht="15" hidden="false" customHeight="false" outlineLevel="0" collapsed="false">
      <c r="A9582" s="7" t="s">
        <v>34</v>
      </c>
      <c r="B9582" s="7" t="s">
        <v>781</v>
      </c>
      <c r="C9582" s="7" t="s">
        <v>1177</v>
      </c>
      <c r="D9582" s="7" t="n">
        <v>20</v>
      </c>
      <c r="E9582" s="7" t="n">
        <v>312.28</v>
      </c>
      <c r="F9582" s="7" t="n">
        <v>0</v>
      </c>
      <c r="G9582" s="7" t="n">
        <v>0</v>
      </c>
    </row>
    <row r="9583" customFormat="false" ht="15" hidden="false" customHeight="false" outlineLevel="0" collapsed="false">
      <c r="A9583" s="7" t="s">
        <v>34</v>
      </c>
      <c r="B9583" s="7" t="s">
        <v>781</v>
      </c>
      <c r="C9583" s="7" t="s">
        <v>1177</v>
      </c>
      <c r="D9583" s="7" t="n">
        <v>30</v>
      </c>
      <c r="E9583" s="7" t="n">
        <v>454.93</v>
      </c>
      <c r="F9583" s="7" t="n">
        <v>0</v>
      </c>
      <c r="G9583" s="7" t="n">
        <v>0</v>
      </c>
    </row>
    <row r="9584" customFormat="false" ht="15" hidden="false" customHeight="false" outlineLevel="0" collapsed="false">
      <c r="A9584" s="7" t="s">
        <v>34</v>
      </c>
      <c r="B9584" s="7" t="s">
        <v>781</v>
      </c>
      <c r="C9584" s="7" t="s">
        <v>1177</v>
      </c>
      <c r="D9584" s="7" t="n">
        <v>0</v>
      </c>
      <c r="E9584" s="7" t="n">
        <v>0</v>
      </c>
      <c r="F9584" s="7" t="n">
        <v>20</v>
      </c>
      <c r="G9584" s="7" t="n">
        <v>281.2</v>
      </c>
    </row>
    <row r="9585" customFormat="false" ht="15" hidden="false" customHeight="false" outlineLevel="0" collapsed="false">
      <c r="A9585" s="7" t="s">
        <v>34</v>
      </c>
      <c r="B9585" s="7" t="s">
        <v>781</v>
      </c>
      <c r="C9585" s="7" t="s">
        <v>1177</v>
      </c>
      <c r="D9585" s="7" t="n">
        <v>40</v>
      </c>
      <c r="E9585" s="7" t="n">
        <v>601.83</v>
      </c>
      <c r="F9585" s="7" t="n">
        <v>0</v>
      </c>
      <c r="G9585" s="7" t="n">
        <v>0</v>
      </c>
    </row>
    <row r="9586" customFormat="false" ht="15" hidden="false" customHeight="false" outlineLevel="0" collapsed="false">
      <c r="A9586" s="7" t="s">
        <v>34</v>
      </c>
      <c r="B9586" s="7" t="s">
        <v>781</v>
      </c>
      <c r="C9586" s="7" t="s">
        <v>1177</v>
      </c>
      <c r="D9586" s="7" t="n">
        <v>0</v>
      </c>
      <c r="E9586" s="7" t="n">
        <v>0</v>
      </c>
      <c r="F9586" s="7" t="n">
        <v>50</v>
      </c>
      <c r="G9586" s="7" t="n">
        <v>666.04</v>
      </c>
    </row>
    <row r="9587" customFormat="false" ht="15" hidden="false" customHeight="false" outlineLevel="0" collapsed="false">
      <c r="A9587" s="7" t="s">
        <v>34</v>
      </c>
      <c r="B9587" s="7" t="s">
        <v>664</v>
      </c>
      <c r="C9587" s="7" t="s">
        <v>1178</v>
      </c>
      <c r="D9587" s="7" t="n">
        <v>0</v>
      </c>
      <c r="E9587" s="7" t="n">
        <v>0</v>
      </c>
      <c r="F9587" s="7" t="n">
        <v>1500</v>
      </c>
      <c r="G9587" s="7" t="n">
        <v>6283.98</v>
      </c>
    </row>
    <row r="9588" customFormat="false" ht="15" hidden="false" customHeight="false" outlineLevel="0" collapsed="false">
      <c r="A9588" s="7" t="s">
        <v>34</v>
      </c>
      <c r="B9588" s="7" t="s">
        <v>664</v>
      </c>
      <c r="C9588" s="7" t="s">
        <v>1178</v>
      </c>
      <c r="D9588" s="7" t="n">
        <v>560</v>
      </c>
      <c r="E9588" s="7" t="n">
        <v>2478.27</v>
      </c>
      <c r="F9588" s="7" t="n">
        <v>0</v>
      </c>
      <c r="G9588" s="7" t="n">
        <v>0</v>
      </c>
    </row>
    <row r="9589" customFormat="false" ht="15" hidden="false" customHeight="false" outlineLevel="0" collapsed="false">
      <c r="A9589" s="7" t="s">
        <v>34</v>
      </c>
      <c r="B9589" s="7" t="s">
        <v>664</v>
      </c>
      <c r="C9589" s="7" t="s">
        <v>1178</v>
      </c>
      <c r="D9589" s="7" t="n">
        <v>0</v>
      </c>
      <c r="E9589" s="7" t="n">
        <v>0</v>
      </c>
      <c r="F9589" s="7" t="n">
        <v>1000</v>
      </c>
      <c r="G9589" s="7" t="n">
        <v>4319.4</v>
      </c>
    </row>
    <row r="9590" customFormat="false" ht="15" hidden="false" customHeight="false" outlineLevel="0" collapsed="false">
      <c r="A9590" s="7" t="s">
        <v>34</v>
      </c>
      <c r="B9590" s="7" t="s">
        <v>664</v>
      </c>
      <c r="C9590" s="7" t="s">
        <v>1178</v>
      </c>
      <c r="D9590" s="7" t="n">
        <v>1000</v>
      </c>
      <c r="E9590" s="7" t="n">
        <v>4528.68</v>
      </c>
      <c r="F9590" s="7" t="n">
        <v>0</v>
      </c>
      <c r="G9590" s="7" t="n">
        <v>0</v>
      </c>
    </row>
    <row r="9591" customFormat="false" ht="15" hidden="false" customHeight="false" outlineLevel="0" collapsed="false">
      <c r="A9591" s="7" t="s">
        <v>34</v>
      </c>
      <c r="B9591" s="7" t="s">
        <v>664</v>
      </c>
      <c r="C9591" s="7" t="s">
        <v>1178</v>
      </c>
      <c r="D9591" s="7" t="n">
        <v>400</v>
      </c>
      <c r="E9591" s="7" t="n">
        <v>1921.73</v>
      </c>
      <c r="F9591" s="7" t="n">
        <v>0</v>
      </c>
      <c r="G9591" s="7" t="n">
        <v>0</v>
      </c>
    </row>
    <row r="9592" customFormat="false" ht="15" hidden="false" customHeight="false" outlineLevel="0" collapsed="false">
      <c r="A9592" s="7" t="s">
        <v>34</v>
      </c>
      <c r="B9592" s="7" t="s">
        <v>664</v>
      </c>
      <c r="C9592" s="7" t="s">
        <v>1178</v>
      </c>
      <c r="D9592" s="7" t="n">
        <v>1000</v>
      </c>
      <c r="E9592" s="7" t="n">
        <v>5018.64</v>
      </c>
      <c r="F9592" s="7" t="n">
        <v>0</v>
      </c>
      <c r="G9592" s="7" t="n">
        <v>0</v>
      </c>
    </row>
    <row r="9593" customFormat="false" ht="15" hidden="false" customHeight="false" outlineLevel="0" collapsed="false">
      <c r="A9593" s="7" t="s">
        <v>34</v>
      </c>
      <c r="B9593" s="7" t="s">
        <v>664</v>
      </c>
      <c r="C9593" s="7" t="s">
        <v>1178</v>
      </c>
      <c r="D9593" s="7" t="n">
        <v>200</v>
      </c>
      <c r="E9593" s="7" t="n">
        <v>943.82</v>
      </c>
      <c r="F9593" s="7" t="n">
        <v>0</v>
      </c>
      <c r="G9593" s="7" t="n">
        <v>0</v>
      </c>
    </row>
    <row r="9594" customFormat="false" ht="15" hidden="false" customHeight="false" outlineLevel="0" collapsed="false">
      <c r="A9594" s="7" t="s">
        <v>34</v>
      </c>
      <c r="B9594" s="7" t="s">
        <v>664</v>
      </c>
      <c r="C9594" s="7" t="s">
        <v>1178</v>
      </c>
      <c r="D9594" s="7" t="n">
        <v>0</v>
      </c>
      <c r="E9594" s="7" t="n">
        <v>0</v>
      </c>
      <c r="F9594" s="7" t="n">
        <v>1200</v>
      </c>
      <c r="G9594" s="7" t="n">
        <v>4916.16</v>
      </c>
    </row>
    <row r="9595" customFormat="false" ht="15" hidden="false" customHeight="false" outlineLevel="0" collapsed="false">
      <c r="A9595" s="7" t="s">
        <v>34</v>
      </c>
      <c r="B9595" s="7" t="s">
        <v>664</v>
      </c>
      <c r="C9595" s="7" t="s">
        <v>1178</v>
      </c>
      <c r="D9595" s="7" t="n">
        <v>0</v>
      </c>
      <c r="E9595" s="7" t="n">
        <v>0</v>
      </c>
      <c r="F9595" s="7" t="n">
        <v>1000</v>
      </c>
      <c r="G9595" s="7" t="n">
        <v>4444.68</v>
      </c>
    </row>
    <row r="9596" customFormat="false" ht="15" hidden="false" customHeight="false" outlineLevel="0" collapsed="false">
      <c r="A9596" s="7" t="s">
        <v>34</v>
      </c>
      <c r="B9596" s="7" t="s">
        <v>664</v>
      </c>
      <c r="C9596" s="7" t="s">
        <v>1178</v>
      </c>
      <c r="D9596" s="7" t="n">
        <v>0</v>
      </c>
      <c r="E9596" s="7" t="n">
        <v>0</v>
      </c>
      <c r="F9596" s="7" t="n">
        <v>1000</v>
      </c>
      <c r="G9596" s="7" t="n">
        <v>4326.12</v>
      </c>
    </row>
    <row r="9597" customFormat="false" ht="15" hidden="false" customHeight="false" outlineLevel="0" collapsed="false">
      <c r="A9597" s="7" t="s">
        <v>34</v>
      </c>
      <c r="B9597" s="7" t="s">
        <v>664</v>
      </c>
      <c r="C9597" s="7" t="s">
        <v>1178</v>
      </c>
      <c r="D9597" s="7" t="n">
        <v>840</v>
      </c>
      <c r="E9597" s="7" t="n">
        <v>3919.41</v>
      </c>
      <c r="F9597" s="7" t="n">
        <v>0</v>
      </c>
      <c r="G9597" s="7" t="n">
        <v>0</v>
      </c>
    </row>
    <row r="9598" customFormat="false" ht="15" hidden="false" customHeight="false" outlineLevel="0" collapsed="false">
      <c r="A9598" s="7" t="s">
        <v>34</v>
      </c>
      <c r="B9598" s="7" t="s">
        <v>664</v>
      </c>
      <c r="C9598" s="7" t="s">
        <v>1178</v>
      </c>
      <c r="D9598" s="7" t="n">
        <v>400</v>
      </c>
      <c r="E9598" s="7" t="n">
        <v>1851.79</v>
      </c>
      <c r="F9598" s="7" t="n">
        <v>0</v>
      </c>
      <c r="G9598" s="7" t="n">
        <v>0</v>
      </c>
    </row>
    <row r="9599" customFormat="false" ht="15" hidden="false" customHeight="false" outlineLevel="0" collapsed="false">
      <c r="A9599" s="7" t="s">
        <v>34</v>
      </c>
      <c r="B9599" s="7" t="s">
        <v>305</v>
      </c>
      <c r="C9599" s="7" t="s">
        <v>1182</v>
      </c>
      <c r="D9599" s="7" t="n">
        <v>6</v>
      </c>
      <c r="E9599" s="7" t="n">
        <v>158.21</v>
      </c>
      <c r="F9599" s="7" t="n">
        <v>0</v>
      </c>
      <c r="G9599" s="7" t="n">
        <v>0</v>
      </c>
    </row>
    <row r="9600" customFormat="false" ht="15" hidden="false" customHeight="false" outlineLevel="0" collapsed="false">
      <c r="A9600" s="7" t="s">
        <v>34</v>
      </c>
      <c r="B9600" s="7" t="s">
        <v>305</v>
      </c>
      <c r="C9600" s="7" t="s">
        <v>1182</v>
      </c>
      <c r="D9600" s="7" t="n">
        <v>0</v>
      </c>
      <c r="E9600" s="7" t="n">
        <v>0</v>
      </c>
      <c r="F9600" s="7" t="n">
        <v>3</v>
      </c>
      <c r="G9600" s="7" t="n">
        <v>77.21</v>
      </c>
    </row>
    <row r="9601" customFormat="false" ht="15" hidden="false" customHeight="false" outlineLevel="0" collapsed="false">
      <c r="A9601" s="7" t="s">
        <v>34</v>
      </c>
      <c r="B9601" s="7" t="s">
        <v>305</v>
      </c>
      <c r="C9601" s="7" t="s">
        <v>1182</v>
      </c>
      <c r="D9601" s="7" t="n">
        <v>1</v>
      </c>
      <c r="E9601" s="7" t="n">
        <v>27.8</v>
      </c>
      <c r="F9601" s="7" t="n">
        <v>0</v>
      </c>
      <c r="G9601" s="7" t="n">
        <v>0</v>
      </c>
    </row>
    <row r="9602" customFormat="false" ht="15" hidden="false" customHeight="false" outlineLevel="0" collapsed="false">
      <c r="A9602" s="7" t="s">
        <v>34</v>
      </c>
      <c r="B9602" s="7" t="s">
        <v>305</v>
      </c>
      <c r="C9602" s="7" t="s">
        <v>1182</v>
      </c>
      <c r="D9602" s="7" t="n">
        <v>0</v>
      </c>
      <c r="E9602" s="7" t="n">
        <v>0</v>
      </c>
      <c r="F9602" s="7" t="n">
        <v>3</v>
      </c>
      <c r="G9602" s="7" t="n">
        <v>77.33</v>
      </c>
    </row>
    <row r="9603" customFormat="false" ht="15" hidden="false" customHeight="false" outlineLevel="0" collapsed="false">
      <c r="A9603" s="7" t="s">
        <v>34</v>
      </c>
      <c r="B9603" s="7" t="s">
        <v>176</v>
      </c>
      <c r="C9603" s="7" t="s">
        <v>1183</v>
      </c>
      <c r="D9603" s="7" t="n">
        <v>50</v>
      </c>
      <c r="E9603" s="7" t="n">
        <v>729.06</v>
      </c>
      <c r="F9603" s="7" t="n">
        <v>0</v>
      </c>
      <c r="G9603" s="7" t="n">
        <v>0</v>
      </c>
    </row>
    <row r="9604" customFormat="false" ht="15" hidden="false" customHeight="false" outlineLevel="0" collapsed="false">
      <c r="A9604" s="7" t="s">
        <v>34</v>
      </c>
      <c r="B9604" s="7" t="s">
        <v>176</v>
      </c>
      <c r="C9604" s="7" t="s">
        <v>1183</v>
      </c>
      <c r="D9604" s="7" t="n">
        <v>100</v>
      </c>
      <c r="E9604" s="7" t="n">
        <v>1415.21</v>
      </c>
      <c r="F9604" s="7" t="n">
        <v>0</v>
      </c>
      <c r="G9604" s="7" t="n">
        <v>0</v>
      </c>
    </row>
    <row r="9605" customFormat="false" ht="15" hidden="false" customHeight="false" outlineLevel="0" collapsed="false">
      <c r="A9605" s="7" t="s">
        <v>34</v>
      </c>
      <c r="B9605" s="7" t="s">
        <v>176</v>
      </c>
      <c r="C9605" s="7" t="s">
        <v>1183</v>
      </c>
      <c r="D9605" s="7" t="n">
        <v>0</v>
      </c>
      <c r="E9605" s="7" t="n">
        <v>0</v>
      </c>
      <c r="F9605" s="7" t="n">
        <v>50</v>
      </c>
      <c r="G9605" s="7" t="n">
        <v>654.58</v>
      </c>
    </row>
    <row r="9606" customFormat="false" ht="15" hidden="false" customHeight="false" outlineLevel="0" collapsed="false">
      <c r="A9606" s="7" t="s">
        <v>34</v>
      </c>
      <c r="B9606" s="7" t="s">
        <v>176</v>
      </c>
      <c r="C9606" s="7" t="s">
        <v>1183</v>
      </c>
      <c r="D9606" s="7" t="n">
        <v>40</v>
      </c>
      <c r="E9606" s="7" t="n">
        <v>583.61</v>
      </c>
      <c r="F9606" s="7" t="n">
        <v>0</v>
      </c>
      <c r="G9606" s="7" t="n">
        <v>0</v>
      </c>
    </row>
    <row r="9607" customFormat="false" ht="15" hidden="false" customHeight="false" outlineLevel="0" collapsed="false">
      <c r="A9607" s="7" t="s">
        <v>34</v>
      </c>
      <c r="B9607" s="7" t="s">
        <v>176</v>
      </c>
      <c r="C9607" s="7" t="s">
        <v>1183</v>
      </c>
      <c r="D9607" s="7" t="n">
        <v>0</v>
      </c>
      <c r="E9607" s="7" t="n">
        <v>0</v>
      </c>
      <c r="F9607" s="7" t="n">
        <v>100</v>
      </c>
      <c r="G9607" s="7" t="n">
        <v>1280.85</v>
      </c>
    </row>
    <row r="9608" customFormat="false" ht="15" hidden="false" customHeight="false" outlineLevel="0" collapsed="false">
      <c r="A9608" s="7" t="s">
        <v>34</v>
      </c>
      <c r="B9608" s="7" t="s">
        <v>96</v>
      </c>
      <c r="C9608" s="7" t="s">
        <v>1184</v>
      </c>
      <c r="D9608" s="7" t="n">
        <v>10</v>
      </c>
      <c r="E9608" s="7" t="n">
        <v>183.25</v>
      </c>
      <c r="F9608" s="7" t="n">
        <v>0</v>
      </c>
      <c r="G9608" s="7" t="n">
        <v>0</v>
      </c>
    </row>
    <row r="9609" customFormat="false" ht="15" hidden="false" customHeight="false" outlineLevel="0" collapsed="false">
      <c r="A9609" s="7" t="s">
        <v>34</v>
      </c>
      <c r="B9609" s="7" t="s">
        <v>96</v>
      </c>
      <c r="C9609" s="7" t="s">
        <v>1184</v>
      </c>
      <c r="D9609" s="7" t="n">
        <v>0</v>
      </c>
      <c r="E9609" s="7" t="n">
        <v>0</v>
      </c>
      <c r="F9609" s="7" t="n">
        <v>10</v>
      </c>
      <c r="G9609" s="7" t="n">
        <v>170.98</v>
      </c>
    </row>
    <row r="9610" customFormat="false" ht="15" hidden="false" customHeight="false" outlineLevel="0" collapsed="false">
      <c r="A9610" s="7" t="s">
        <v>34</v>
      </c>
      <c r="B9610" s="7" t="s">
        <v>96</v>
      </c>
      <c r="C9610" s="7" t="s">
        <v>1184</v>
      </c>
      <c r="D9610" s="7" t="n">
        <v>0</v>
      </c>
      <c r="E9610" s="7" t="n">
        <v>0</v>
      </c>
      <c r="F9610" s="7" t="n">
        <v>10</v>
      </c>
      <c r="G9610" s="7" t="n">
        <v>171.24</v>
      </c>
    </row>
    <row r="9611" customFormat="false" ht="15" hidden="false" customHeight="false" outlineLevel="0" collapsed="false">
      <c r="A9611" s="7" t="s">
        <v>34</v>
      </c>
      <c r="B9611" s="7" t="s">
        <v>213</v>
      </c>
      <c r="C9611" s="7" t="s">
        <v>1184</v>
      </c>
      <c r="D9611" s="7" t="n">
        <v>0</v>
      </c>
      <c r="E9611" s="7" t="n">
        <v>0</v>
      </c>
      <c r="F9611" s="7" t="n">
        <v>10</v>
      </c>
      <c r="G9611" s="7" t="n">
        <v>171.24</v>
      </c>
    </row>
    <row r="9612" customFormat="false" ht="15" hidden="false" customHeight="false" outlineLevel="0" collapsed="false">
      <c r="A9612" s="7" t="s">
        <v>34</v>
      </c>
      <c r="B9612" s="7" t="s">
        <v>213</v>
      </c>
      <c r="C9612" s="7" t="s">
        <v>1184</v>
      </c>
      <c r="D9612" s="7" t="n">
        <v>0</v>
      </c>
      <c r="E9612" s="7" t="n">
        <v>0</v>
      </c>
      <c r="F9612" s="7" t="n">
        <v>10</v>
      </c>
      <c r="G9612" s="7" t="n">
        <v>170.98</v>
      </c>
    </row>
    <row r="9613" customFormat="false" ht="15" hidden="false" customHeight="false" outlineLevel="0" collapsed="false">
      <c r="A9613" s="7" t="s">
        <v>34</v>
      </c>
      <c r="B9613" s="7" t="s">
        <v>213</v>
      </c>
      <c r="C9613" s="7" t="s">
        <v>1184</v>
      </c>
      <c r="D9613" s="7" t="n">
        <v>10</v>
      </c>
      <c r="E9613" s="7" t="n">
        <v>183.25</v>
      </c>
      <c r="F9613" s="7" t="n">
        <v>0</v>
      </c>
      <c r="G9613" s="7" t="n">
        <v>0</v>
      </c>
    </row>
    <row r="9614" customFormat="false" ht="15" hidden="false" customHeight="false" outlineLevel="0" collapsed="false">
      <c r="A9614" s="7" t="s">
        <v>34</v>
      </c>
      <c r="B9614" s="7" t="s">
        <v>575</v>
      </c>
      <c r="C9614" s="7" t="s">
        <v>1185</v>
      </c>
      <c r="D9614" s="7" t="n">
        <v>30</v>
      </c>
      <c r="E9614" s="7" t="n">
        <v>552.05</v>
      </c>
      <c r="F9614" s="7" t="n">
        <v>0</v>
      </c>
      <c r="G9614" s="7" t="n">
        <v>0</v>
      </c>
    </row>
    <row r="9615" customFormat="false" ht="15" hidden="false" customHeight="false" outlineLevel="0" collapsed="false">
      <c r="A9615" s="7" t="s">
        <v>34</v>
      </c>
      <c r="B9615" s="7" t="s">
        <v>575</v>
      </c>
      <c r="C9615" s="7" t="s">
        <v>1185</v>
      </c>
      <c r="D9615" s="7" t="n">
        <v>30</v>
      </c>
      <c r="E9615" s="7" t="n">
        <v>509.24</v>
      </c>
      <c r="F9615" s="7" t="n">
        <v>0</v>
      </c>
      <c r="G9615" s="7" t="n">
        <v>0</v>
      </c>
    </row>
    <row r="9616" customFormat="false" ht="15" hidden="false" customHeight="false" outlineLevel="0" collapsed="false">
      <c r="A9616" s="7" t="s">
        <v>34</v>
      </c>
      <c r="B9616" s="7" t="s">
        <v>280</v>
      </c>
      <c r="C9616" s="7" t="s">
        <v>1299</v>
      </c>
      <c r="D9616" s="7" t="n">
        <v>30</v>
      </c>
      <c r="E9616" s="7" t="n">
        <v>554.76</v>
      </c>
      <c r="F9616" s="7" t="n">
        <v>0</v>
      </c>
      <c r="G9616" s="7" t="n">
        <v>0</v>
      </c>
    </row>
    <row r="9617" customFormat="false" ht="15" hidden="false" customHeight="false" outlineLevel="0" collapsed="false">
      <c r="A9617" s="7" t="s">
        <v>34</v>
      </c>
      <c r="B9617" s="7" t="s">
        <v>280</v>
      </c>
      <c r="C9617" s="7" t="s">
        <v>1299</v>
      </c>
      <c r="D9617" s="7" t="n">
        <v>0</v>
      </c>
      <c r="E9617" s="7" t="n">
        <v>0</v>
      </c>
      <c r="F9617" s="7" t="n">
        <v>20</v>
      </c>
      <c r="G9617" s="7" t="n">
        <v>352.75</v>
      </c>
    </row>
    <row r="9618" customFormat="false" ht="15" hidden="false" customHeight="false" outlineLevel="0" collapsed="false">
      <c r="A9618" s="7" t="s">
        <v>34</v>
      </c>
      <c r="B9618" s="7" t="s">
        <v>280</v>
      </c>
      <c r="C9618" s="7" t="s">
        <v>1299</v>
      </c>
      <c r="D9618" s="7" t="n">
        <v>20</v>
      </c>
      <c r="E9618" s="7" t="n">
        <v>381.29</v>
      </c>
      <c r="F9618" s="7" t="n">
        <v>0</v>
      </c>
      <c r="G9618" s="7" t="n">
        <v>0</v>
      </c>
    </row>
    <row r="9619" customFormat="false" ht="15" hidden="false" customHeight="false" outlineLevel="0" collapsed="false">
      <c r="A9619" s="7" t="s">
        <v>34</v>
      </c>
      <c r="B9619" s="7" t="s">
        <v>280</v>
      </c>
      <c r="C9619" s="7" t="s">
        <v>1299</v>
      </c>
      <c r="D9619" s="7" t="n">
        <v>0</v>
      </c>
      <c r="E9619" s="7" t="n">
        <v>0</v>
      </c>
      <c r="F9619" s="7" t="n">
        <v>10</v>
      </c>
      <c r="G9619" s="7" t="n">
        <v>171.06</v>
      </c>
    </row>
    <row r="9620" customFormat="false" ht="15" hidden="false" customHeight="false" outlineLevel="0" collapsed="false">
      <c r="A9620" s="7" t="s">
        <v>34</v>
      </c>
      <c r="B9620" s="7" t="s">
        <v>280</v>
      </c>
      <c r="C9620" s="7" t="s">
        <v>1299</v>
      </c>
      <c r="D9620" s="7" t="n">
        <v>0</v>
      </c>
      <c r="E9620" s="7" t="n">
        <v>0</v>
      </c>
      <c r="F9620" s="7" t="n">
        <v>50</v>
      </c>
      <c r="G9620" s="7" t="n">
        <v>907.46</v>
      </c>
    </row>
    <row r="9621" customFormat="false" ht="15" hidden="false" customHeight="false" outlineLevel="0" collapsed="false">
      <c r="A9621" s="7" t="s">
        <v>34</v>
      </c>
      <c r="B9621" s="7" t="s">
        <v>280</v>
      </c>
      <c r="C9621" s="7" t="s">
        <v>1299</v>
      </c>
      <c r="D9621" s="7" t="n">
        <v>30</v>
      </c>
      <c r="E9621" s="7" t="n">
        <v>542.12</v>
      </c>
      <c r="F9621" s="7" t="n">
        <v>0</v>
      </c>
      <c r="G9621" s="7" t="n">
        <v>0</v>
      </c>
    </row>
    <row r="9622" customFormat="false" ht="15" hidden="false" customHeight="false" outlineLevel="0" collapsed="false">
      <c r="A9622" s="7" t="s">
        <v>34</v>
      </c>
      <c r="B9622" s="7" t="s">
        <v>280</v>
      </c>
      <c r="C9622" s="7" t="s">
        <v>1299</v>
      </c>
      <c r="D9622" s="7" t="n">
        <v>30</v>
      </c>
      <c r="E9622" s="7" t="n">
        <v>571.58</v>
      </c>
      <c r="F9622" s="7" t="n">
        <v>0</v>
      </c>
      <c r="G9622" s="7" t="n">
        <v>0</v>
      </c>
    </row>
    <row r="9623" customFormat="false" ht="15" hidden="false" customHeight="false" outlineLevel="0" collapsed="false">
      <c r="A9623" s="7" t="s">
        <v>34</v>
      </c>
      <c r="B9623" s="7" t="s">
        <v>945</v>
      </c>
      <c r="C9623" s="7" t="s">
        <v>1069</v>
      </c>
      <c r="D9623" s="7" t="n">
        <v>0</v>
      </c>
      <c r="E9623" s="7" t="n">
        <v>0</v>
      </c>
      <c r="F9623" s="7" t="n">
        <v>50</v>
      </c>
      <c r="G9623" s="7" t="n">
        <v>981.53</v>
      </c>
    </row>
    <row r="9624" customFormat="false" ht="15" hidden="false" customHeight="false" outlineLevel="0" collapsed="false">
      <c r="A9624" s="7" t="s">
        <v>34</v>
      </c>
      <c r="B9624" s="7" t="s">
        <v>945</v>
      </c>
      <c r="C9624" s="7" t="s">
        <v>1069</v>
      </c>
      <c r="D9624" s="7" t="n">
        <v>20</v>
      </c>
      <c r="E9624" s="7" t="n">
        <v>412.16</v>
      </c>
      <c r="F9624" s="7" t="n">
        <v>0</v>
      </c>
      <c r="G9624" s="7" t="n">
        <v>0</v>
      </c>
    </row>
    <row r="9625" customFormat="false" ht="15" hidden="false" customHeight="false" outlineLevel="0" collapsed="false">
      <c r="A9625" s="7" t="s">
        <v>25</v>
      </c>
      <c r="B9625" s="7" t="s">
        <v>864</v>
      </c>
      <c r="C9625" s="7" t="s">
        <v>1034</v>
      </c>
      <c r="D9625" s="7" t="n">
        <v>2</v>
      </c>
      <c r="E9625" s="7" t="n">
        <v>185.68</v>
      </c>
      <c r="F9625" s="7" t="n">
        <v>0</v>
      </c>
      <c r="G9625" s="7" t="n">
        <v>0</v>
      </c>
    </row>
    <row r="9626" customFormat="false" ht="15" hidden="false" customHeight="false" outlineLevel="0" collapsed="false">
      <c r="A9626" s="7" t="s">
        <v>25</v>
      </c>
      <c r="B9626" s="7" t="s">
        <v>864</v>
      </c>
      <c r="C9626" s="7" t="s">
        <v>1034</v>
      </c>
      <c r="D9626" s="7" t="n">
        <v>9</v>
      </c>
      <c r="E9626" s="7" t="n">
        <v>806.78</v>
      </c>
      <c r="F9626" s="7" t="n">
        <v>0</v>
      </c>
      <c r="G9626" s="7" t="n">
        <v>0</v>
      </c>
    </row>
    <row r="9627" customFormat="false" ht="15" hidden="false" customHeight="false" outlineLevel="0" collapsed="false">
      <c r="A9627" s="7" t="s">
        <v>25</v>
      </c>
      <c r="B9627" s="7" t="s">
        <v>864</v>
      </c>
      <c r="C9627" s="7" t="s">
        <v>1034</v>
      </c>
      <c r="D9627" s="7" t="n">
        <v>1</v>
      </c>
      <c r="E9627" s="7" t="n">
        <v>89.32</v>
      </c>
      <c r="F9627" s="7" t="n">
        <v>0</v>
      </c>
      <c r="G9627" s="7" t="n">
        <v>0</v>
      </c>
    </row>
    <row r="9628" customFormat="false" ht="15" hidden="false" customHeight="false" outlineLevel="0" collapsed="false">
      <c r="A9628" s="7" t="s">
        <v>25</v>
      </c>
      <c r="B9628" s="7" t="s">
        <v>862</v>
      </c>
      <c r="C9628" s="7" t="s">
        <v>1034</v>
      </c>
      <c r="D9628" s="7" t="n">
        <v>1</v>
      </c>
      <c r="E9628" s="7" t="n">
        <v>77.69</v>
      </c>
      <c r="F9628" s="7" t="n">
        <v>0</v>
      </c>
      <c r="G9628" s="7" t="n">
        <v>0</v>
      </c>
    </row>
    <row r="9629" customFormat="false" ht="15" hidden="false" customHeight="false" outlineLevel="0" collapsed="false">
      <c r="A9629" s="7" t="s">
        <v>25</v>
      </c>
      <c r="B9629" s="7" t="s">
        <v>862</v>
      </c>
      <c r="C9629" s="7" t="s">
        <v>1034</v>
      </c>
      <c r="D9629" s="7" t="n">
        <v>2</v>
      </c>
      <c r="E9629" s="7" t="n">
        <v>158.48</v>
      </c>
      <c r="F9629" s="7" t="n">
        <v>0</v>
      </c>
      <c r="G9629" s="7" t="n">
        <v>0</v>
      </c>
    </row>
    <row r="9630" customFormat="false" ht="15" hidden="false" customHeight="false" outlineLevel="0" collapsed="false">
      <c r="A9630" s="7" t="s">
        <v>25</v>
      </c>
      <c r="B9630" s="7" t="s">
        <v>862</v>
      </c>
      <c r="C9630" s="7" t="s">
        <v>1034</v>
      </c>
      <c r="D9630" s="7" t="n">
        <v>1</v>
      </c>
      <c r="E9630" s="7" t="n">
        <v>84.06</v>
      </c>
      <c r="F9630" s="7" t="n">
        <v>0</v>
      </c>
      <c r="G9630" s="7" t="n">
        <v>0</v>
      </c>
    </row>
    <row r="9631" customFormat="false" ht="15" hidden="false" customHeight="false" outlineLevel="0" collapsed="false">
      <c r="A9631" s="7" t="s">
        <v>25</v>
      </c>
      <c r="B9631" s="7" t="s">
        <v>862</v>
      </c>
      <c r="C9631" s="7" t="s">
        <v>1034</v>
      </c>
      <c r="D9631" s="7" t="n">
        <v>10</v>
      </c>
      <c r="E9631" s="7" t="n">
        <v>843.65</v>
      </c>
      <c r="F9631" s="7" t="n">
        <v>0</v>
      </c>
      <c r="G9631" s="7" t="n">
        <v>0</v>
      </c>
    </row>
    <row r="9632" customFormat="false" ht="15" hidden="false" customHeight="false" outlineLevel="0" collapsed="false">
      <c r="A9632" s="7" t="s">
        <v>25</v>
      </c>
      <c r="B9632" s="7" t="s">
        <v>862</v>
      </c>
      <c r="C9632" s="7" t="s">
        <v>1034</v>
      </c>
      <c r="D9632" s="7" t="n">
        <v>1</v>
      </c>
      <c r="E9632" s="7" t="n">
        <v>85.47</v>
      </c>
      <c r="F9632" s="7" t="n">
        <v>0</v>
      </c>
      <c r="G9632" s="7" t="n">
        <v>0</v>
      </c>
    </row>
    <row r="9633" customFormat="false" ht="15" hidden="false" customHeight="false" outlineLevel="0" collapsed="false">
      <c r="A9633" s="7" t="s">
        <v>25</v>
      </c>
      <c r="B9633" s="7" t="s">
        <v>871</v>
      </c>
      <c r="C9633" s="7" t="s">
        <v>1034</v>
      </c>
      <c r="D9633" s="7" t="n">
        <v>2</v>
      </c>
      <c r="E9633" s="7" t="n">
        <v>174.75</v>
      </c>
      <c r="F9633" s="7" t="n">
        <v>0</v>
      </c>
      <c r="G9633" s="7" t="n">
        <v>0</v>
      </c>
    </row>
    <row r="9634" customFormat="false" ht="15" hidden="false" customHeight="false" outlineLevel="0" collapsed="false">
      <c r="A9634" s="7" t="s">
        <v>25</v>
      </c>
      <c r="B9634" s="7" t="s">
        <v>867</v>
      </c>
      <c r="C9634" s="7" t="s">
        <v>1034</v>
      </c>
      <c r="D9634" s="7" t="n">
        <v>1</v>
      </c>
      <c r="E9634" s="7" t="n">
        <v>82.67</v>
      </c>
      <c r="F9634" s="7" t="n">
        <v>0</v>
      </c>
      <c r="G9634" s="7" t="n">
        <v>0</v>
      </c>
    </row>
    <row r="9635" customFormat="false" ht="15" hidden="false" customHeight="false" outlineLevel="0" collapsed="false">
      <c r="A9635" s="7" t="s">
        <v>25</v>
      </c>
      <c r="B9635" s="7" t="s">
        <v>867</v>
      </c>
      <c r="C9635" s="7" t="s">
        <v>1034</v>
      </c>
      <c r="D9635" s="7" t="n">
        <v>1</v>
      </c>
      <c r="E9635" s="7" t="n">
        <v>85.47</v>
      </c>
      <c r="F9635" s="7" t="n">
        <v>0</v>
      </c>
      <c r="G9635" s="7" t="n">
        <v>0</v>
      </c>
    </row>
    <row r="9636" customFormat="false" ht="15" hidden="false" customHeight="false" outlineLevel="0" collapsed="false">
      <c r="A9636" s="7" t="s">
        <v>25</v>
      </c>
      <c r="B9636" s="7" t="s">
        <v>867</v>
      </c>
      <c r="C9636" s="7" t="s">
        <v>1034</v>
      </c>
      <c r="D9636" s="7" t="n">
        <v>1</v>
      </c>
      <c r="E9636" s="7" t="n">
        <v>77.69</v>
      </c>
      <c r="F9636" s="7" t="n">
        <v>0</v>
      </c>
      <c r="G9636" s="7" t="n">
        <v>0</v>
      </c>
    </row>
    <row r="9637" customFormat="false" ht="15" hidden="false" customHeight="false" outlineLevel="0" collapsed="false">
      <c r="A9637" s="7" t="s">
        <v>25</v>
      </c>
      <c r="B9637" s="7" t="s">
        <v>867</v>
      </c>
      <c r="C9637" s="7" t="s">
        <v>1034</v>
      </c>
      <c r="D9637" s="7" t="n">
        <v>1</v>
      </c>
      <c r="E9637" s="7" t="n">
        <v>76.21</v>
      </c>
      <c r="F9637" s="7" t="n">
        <v>0</v>
      </c>
      <c r="G9637" s="7" t="n">
        <v>0</v>
      </c>
    </row>
    <row r="9638" customFormat="false" ht="15" hidden="false" customHeight="false" outlineLevel="0" collapsed="false">
      <c r="A9638" s="7" t="s">
        <v>25</v>
      </c>
      <c r="B9638" s="7" t="s">
        <v>867</v>
      </c>
      <c r="C9638" s="7" t="s">
        <v>1034</v>
      </c>
      <c r="D9638" s="7" t="n">
        <v>2</v>
      </c>
      <c r="E9638" s="7" t="n">
        <v>174.75</v>
      </c>
      <c r="F9638" s="7" t="n">
        <v>0</v>
      </c>
      <c r="G9638" s="7" t="n">
        <v>0</v>
      </c>
    </row>
    <row r="9639" customFormat="false" ht="15" hidden="false" customHeight="false" outlineLevel="0" collapsed="false">
      <c r="A9639" s="7" t="s">
        <v>25</v>
      </c>
      <c r="B9639" s="7" t="s">
        <v>840</v>
      </c>
      <c r="C9639" s="7" t="s">
        <v>1037</v>
      </c>
      <c r="D9639" s="7" t="n">
        <v>1</v>
      </c>
      <c r="E9639" s="7" t="n">
        <v>134.13</v>
      </c>
      <c r="F9639" s="7" t="n">
        <v>0</v>
      </c>
      <c r="G9639" s="7" t="n">
        <v>0</v>
      </c>
    </row>
    <row r="9640" customFormat="false" ht="15" hidden="false" customHeight="false" outlineLevel="0" collapsed="false">
      <c r="A9640" s="7" t="s">
        <v>25</v>
      </c>
      <c r="B9640" s="7" t="s">
        <v>840</v>
      </c>
      <c r="C9640" s="7" t="s">
        <v>1037</v>
      </c>
      <c r="D9640" s="7" t="n">
        <v>13</v>
      </c>
      <c r="E9640" s="7" t="n">
        <v>1687.73</v>
      </c>
      <c r="F9640" s="7" t="n">
        <v>0</v>
      </c>
      <c r="G9640" s="7" t="n">
        <v>0</v>
      </c>
    </row>
    <row r="9641" customFormat="false" ht="15" hidden="false" customHeight="false" outlineLevel="0" collapsed="false">
      <c r="A9641" s="7" t="s">
        <v>25</v>
      </c>
      <c r="B9641" s="7" t="s">
        <v>840</v>
      </c>
      <c r="C9641" s="7" t="s">
        <v>1037</v>
      </c>
      <c r="D9641" s="7" t="n">
        <v>4</v>
      </c>
      <c r="E9641" s="7" t="n">
        <v>544.69</v>
      </c>
      <c r="F9641" s="7" t="n">
        <v>0</v>
      </c>
      <c r="G9641" s="7" t="n">
        <v>0</v>
      </c>
    </row>
    <row r="9642" customFormat="false" ht="15" hidden="false" customHeight="false" outlineLevel="0" collapsed="false">
      <c r="A9642" s="7" t="s">
        <v>25</v>
      </c>
      <c r="B9642" s="7" t="s">
        <v>840</v>
      </c>
      <c r="C9642" s="7" t="s">
        <v>1037</v>
      </c>
      <c r="D9642" s="7" t="n">
        <v>8</v>
      </c>
      <c r="E9642" s="7" t="n">
        <v>1103.87</v>
      </c>
      <c r="F9642" s="7" t="n">
        <v>0</v>
      </c>
      <c r="G9642" s="7" t="n">
        <v>0</v>
      </c>
    </row>
    <row r="9643" customFormat="false" ht="15" hidden="false" customHeight="false" outlineLevel="0" collapsed="false">
      <c r="A9643" s="7" t="s">
        <v>25</v>
      </c>
      <c r="B9643" s="7" t="s">
        <v>840</v>
      </c>
      <c r="C9643" s="7" t="s">
        <v>1037</v>
      </c>
      <c r="D9643" s="7" t="n">
        <v>6</v>
      </c>
      <c r="E9643" s="7" t="n">
        <v>805.98</v>
      </c>
      <c r="F9643" s="7" t="n">
        <v>0</v>
      </c>
      <c r="G9643" s="7" t="n">
        <v>0</v>
      </c>
    </row>
    <row r="9644" customFormat="false" ht="15" hidden="false" customHeight="false" outlineLevel="0" collapsed="false">
      <c r="A9644" s="7" t="s">
        <v>25</v>
      </c>
      <c r="B9644" s="7" t="s">
        <v>840</v>
      </c>
      <c r="C9644" s="7" t="s">
        <v>1037</v>
      </c>
      <c r="D9644" s="7" t="n">
        <v>4</v>
      </c>
      <c r="E9644" s="7" t="n">
        <v>574.11</v>
      </c>
      <c r="F9644" s="7" t="n">
        <v>0</v>
      </c>
      <c r="G9644" s="7" t="n">
        <v>0</v>
      </c>
    </row>
    <row r="9645" customFormat="false" ht="15" hidden="false" customHeight="false" outlineLevel="0" collapsed="false">
      <c r="A9645" s="7" t="s">
        <v>25</v>
      </c>
      <c r="B9645" s="7" t="s">
        <v>840</v>
      </c>
      <c r="C9645" s="7" t="s">
        <v>1037</v>
      </c>
      <c r="D9645" s="7" t="n">
        <v>3</v>
      </c>
      <c r="E9645" s="7" t="n">
        <v>404.44</v>
      </c>
      <c r="F9645" s="7" t="n">
        <v>0</v>
      </c>
      <c r="G9645" s="7" t="n">
        <v>0</v>
      </c>
    </row>
    <row r="9646" customFormat="false" ht="15" hidden="false" customHeight="false" outlineLevel="0" collapsed="false">
      <c r="A9646" s="7" t="s">
        <v>25</v>
      </c>
      <c r="B9646" s="7" t="s">
        <v>840</v>
      </c>
      <c r="C9646" s="7" t="s">
        <v>1037</v>
      </c>
      <c r="D9646" s="7" t="n">
        <v>10</v>
      </c>
      <c r="E9646" s="7" t="n">
        <v>1486.46</v>
      </c>
      <c r="F9646" s="7" t="n">
        <v>0</v>
      </c>
      <c r="G9646" s="7" t="n">
        <v>0</v>
      </c>
    </row>
    <row r="9647" customFormat="false" ht="15" hidden="false" customHeight="false" outlineLevel="0" collapsed="false">
      <c r="A9647" s="7" t="s">
        <v>25</v>
      </c>
      <c r="B9647" s="7" t="s">
        <v>840</v>
      </c>
      <c r="C9647" s="7" t="s">
        <v>1037</v>
      </c>
      <c r="D9647" s="7" t="n">
        <v>8</v>
      </c>
      <c r="E9647" s="7" t="n">
        <v>1076.58</v>
      </c>
      <c r="F9647" s="7" t="n">
        <v>0</v>
      </c>
      <c r="G9647" s="7" t="n">
        <v>0</v>
      </c>
    </row>
    <row r="9648" customFormat="false" ht="15" hidden="false" customHeight="false" outlineLevel="0" collapsed="false">
      <c r="A9648" s="7" t="s">
        <v>25</v>
      </c>
      <c r="B9648" s="7" t="s">
        <v>840</v>
      </c>
      <c r="C9648" s="7" t="s">
        <v>1037</v>
      </c>
      <c r="D9648" s="7" t="n">
        <v>8</v>
      </c>
      <c r="E9648" s="7" t="n">
        <v>1144.07</v>
      </c>
      <c r="F9648" s="7" t="n">
        <v>0</v>
      </c>
      <c r="G9648" s="7" t="n">
        <v>0</v>
      </c>
    </row>
    <row r="9649" customFormat="false" ht="15" hidden="false" customHeight="false" outlineLevel="0" collapsed="false">
      <c r="A9649" s="7" t="s">
        <v>25</v>
      </c>
      <c r="B9649" s="7" t="s">
        <v>840</v>
      </c>
      <c r="C9649" s="7" t="s">
        <v>1037</v>
      </c>
      <c r="D9649" s="7" t="n">
        <v>6</v>
      </c>
      <c r="E9649" s="7" t="n">
        <v>872.44</v>
      </c>
      <c r="F9649" s="7" t="n">
        <v>0</v>
      </c>
      <c r="G9649" s="7" t="n">
        <v>0</v>
      </c>
    </row>
    <row r="9650" customFormat="false" ht="15" hidden="false" customHeight="false" outlineLevel="0" collapsed="false">
      <c r="A9650" s="7" t="s">
        <v>25</v>
      </c>
      <c r="B9650" s="7" t="s">
        <v>853</v>
      </c>
      <c r="C9650" s="7" t="s">
        <v>1037</v>
      </c>
      <c r="D9650" s="7" t="n">
        <v>3</v>
      </c>
      <c r="E9650" s="7" t="n">
        <v>445.94</v>
      </c>
      <c r="F9650" s="7" t="n">
        <v>0</v>
      </c>
      <c r="G9650" s="7" t="n">
        <v>0</v>
      </c>
    </row>
    <row r="9651" customFormat="false" ht="15" hidden="false" customHeight="false" outlineLevel="0" collapsed="false">
      <c r="A9651" s="7" t="s">
        <v>25</v>
      </c>
      <c r="B9651" s="7" t="s">
        <v>853</v>
      </c>
      <c r="C9651" s="7" t="s">
        <v>1037</v>
      </c>
      <c r="D9651" s="7" t="n">
        <v>3</v>
      </c>
      <c r="E9651" s="7" t="n">
        <v>429.03</v>
      </c>
      <c r="F9651" s="7" t="n">
        <v>0</v>
      </c>
      <c r="G9651" s="7" t="n">
        <v>0</v>
      </c>
    </row>
    <row r="9652" customFormat="false" ht="15" hidden="false" customHeight="false" outlineLevel="0" collapsed="false">
      <c r="A9652" s="7" t="s">
        <v>25</v>
      </c>
      <c r="B9652" s="7" t="s">
        <v>853</v>
      </c>
      <c r="C9652" s="7" t="s">
        <v>1037</v>
      </c>
      <c r="D9652" s="7" t="n">
        <v>2</v>
      </c>
      <c r="E9652" s="7" t="n">
        <v>269.63</v>
      </c>
      <c r="F9652" s="7" t="n">
        <v>0</v>
      </c>
      <c r="G9652" s="7" t="n">
        <v>0</v>
      </c>
    </row>
    <row r="9653" customFormat="false" ht="15" hidden="false" customHeight="false" outlineLevel="0" collapsed="false">
      <c r="A9653" s="7" t="s">
        <v>25</v>
      </c>
      <c r="B9653" s="7" t="s">
        <v>853</v>
      </c>
      <c r="C9653" s="7" t="s">
        <v>1037</v>
      </c>
      <c r="D9653" s="7" t="n">
        <v>2</v>
      </c>
      <c r="E9653" s="7" t="n">
        <v>290.81</v>
      </c>
      <c r="F9653" s="7" t="n">
        <v>0</v>
      </c>
      <c r="G9653" s="7" t="n">
        <v>0</v>
      </c>
    </row>
    <row r="9654" customFormat="false" ht="15" hidden="false" customHeight="false" outlineLevel="0" collapsed="false">
      <c r="A9654" s="7" t="s">
        <v>25</v>
      </c>
      <c r="B9654" s="7" t="s">
        <v>853</v>
      </c>
      <c r="C9654" s="7" t="s">
        <v>1037</v>
      </c>
      <c r="D9654" s="7" t="n">
        <v>2</v>
      </c>
      <c r="E9654" s="7" t="n">
        <v>269.15</v>
      </c>
      <c r="F9654" s="7" t="n">
        <v>0</v>
      </c>
      <c r="G9654" s="7" t="n">
        <v>0</v>
      </c>
    </row>
    <row r="9655" customFormat="false" ht="15" hidden="false" customHeight="false" outlineLevel="0" collapsed="false">
      <c r="A9655" s="7" t="s">
        <v>25</v>
      </c>
      <c r="B9655" s="7" t="s">
        <v>853</v>
      </c>
      <c r="C9655" s="7" t="s">
        <v>1037</v>
      </c>
      <c r="D9655" s="7" t="n">
        <v>2</v>
      </c>
      <c r="E9655" s="7" t="n">
        <v>287.06</v>
      </c>
      <c r="F9655" s="7" t="n">
        <v>0</v>
      </c>
      <c r="G9655" s="7" t="n">
        <v>0</v>
      </c>
    </row>
    <row r="9656" customFormat="false" ht="15" hidden="false" customHeight="false" outlineLevel="0" collapsed="false">
      <c r="A9656" s="7" t="s">
        <v>25</v>
      </c>
      <c r="B9656" s="7" t="s">
        <v>853</v>
      </c>
      <c r="C9656" s="7" t="s">
        <v>1037</v>
      </c>
      <c r="D9656" s="7" t="n">
        <v>7</v>
      </c>
      <c r="E9656" s="7" t="n">
        <v>984.55</v>
      </c>
      <c r="F9656" s="7" t="n">
        <v>0</v>
      </c>
      <c r="G9656" s="7" t="n">
        <v>0</v>
      </c>
    </row>
    <row r="9657" customFormat="false" ht="15" hidden="false" customHeight="false" outlineLevel="0" collapsed="false">
      <c r="A9657" s="7" t="s">
        <v>25</v>
      </c>
      <c r="B9657" s="7" t="s">
        <v>861</v>
      </c>
      <c r="C9657" s="7" t="s">
        <v>1037</v>
      </c>
      <c r="D9657" s="7" t="n">
        <v>3</v>
      </c>
      <c r="E9657" s="7" t="n">
        <v>297.44</v>
      </c>
      <c r="F9657" s="7" t="n">
        <v>0</v>
      </c>
      <c r="G9657" s="7" t="n">
        <v>0</v>
      </c>
    </row>
    <row r="9658" customFormat="false" ht="15" hidden="false" customHeight="false" outlineLevel="0" collapsed="false">
      <c r="A9658" s="7" t="s">
        <v>25</v>
      </c>
      <c r="B9658" s="7" t="s">
        <v>861</v>
      </c>
      <c r="C9658" s="7" t="s">
        <v>1037</v>
      </c>
      <c r="D9658" s="7" t="n">
        <v>5</v>
      </c>
      <c r="E9658" s="7" t="n">
        <v>557.51</v>
      </c>
      <c r="F9658" s="7" t="n">
        <v>0</v>
      </c>
      <c r="G9658" s="7" t="n">
        <v>0</v>
      </c>
    </row>
    <row r="9659" customFormat="false" ht="15" hidden="false" customHeight="false" outlineLevel="0" collapsed="false">
      <c r="A9659" s="7" t="s">
        <v>25</v>
      </c>
      <c r="B9659" s="7" t="s">
        <v>861</v>
      </c>
      <c r="C9659" s="7" t="s">
        <v>1037</v>
      </c>
      <c r="D9659" s="7" t="n">
        <v>2</v>
      </c>
      <c r="E9659" s="7" t="n">
        <v>321.57</v>
      </c>
      <c r="F9659" s="7" t="n">
        <v>0</v>
      </c>
      <c r="G9659" s="7" t="n">
        <v>0</v>
      </c>
    </row>
    <row r="9660" customFormat="false" ht="15" hidden="false" customHeight="false" outlineLevel="0" collapsed="false">
      <c r="A9660" s="7" t="s">
        <v>25</v>
      </c>
      <c r="B9660" s="7" t="s">
        <v>861</v>
      </c>
      <c r="C9660" s="7" t="s">
        <v>1037</v>
      </c>
      <c r="D9660" s="7" t="n">
        <v>1</v>
      </c>
      <c r="E9660" s="7" t="n">
        <v>99.93</v>
      </c>
      <c r="F9660" s="7" t="n">
        <v>0</v>
      </c>
      <c r="G9660" s="7" t="n">
        <v>0</v>
      </c>
    </row>
    <row r="9661" customFormat="false" ht="15" hidden="false" customHeight="false" outlineLevel="0" collapsed="false">
      <c r="A9661" s="7" t="s">
        <v>25</v>
      </c>
      <c r="B9661" s="7" t="s">
        <v>833</v>
      </c>
      <c r="C9661" s="7" t="s">
        <v>1037</v>
      </c>
      <c r="D9661" s="7" t="n">
        <v>13</v>
      </c>
      <c r="E9661" s="7" t="n">
        <v>1781.17</v>
      </c>
      <c r="F9661" s="7" t="n">
        <v>0</v>
      </c>
      <c r="G9661" s="7" t="n">
        <v>0</v>
      </c>
    </row>
    <row r="9662" customFormat="false" ht="15" hidden="false" customHeight="false" outlineLevel="0" collapsed="false">
      <c r="A9662" s="7" t="s">
        <v>25</v>
      </c>
      <c r="B9662" s="7" t="s">
        <v>833</v>
      </c>
      <c r="C9662" s="7" t="s">
        <v>1037</v>
      </c>
      <c r="D9662" s="7" t="n">
        <v>4</v>
      </c>
      <c r="E9662" s="7" t="n">
        <v>535.79</v>
      </c>
      <c r="F9662" s="7" t="n">
        <v>0</v>
      </c>
      <c r="G9662" s="7" t="n">
        <v>0</v>
      </c>
    </row>
    <row r="9663" customFormat="false" ht="15" hidden="false" customHeight="false" outlineLevel="0" collapsed="false">
      <c r="A9663" s="7" t="s">
        <v>25</v>
      </c>
      <c r="B9663" s="7" t="s">
        <v>833</v>
      </c>
      <c r="C9663" s="7" t="s">
        <v>1037</v>
      </c>
      <c r="D9663" s="7" t="n">
        <v>21</v>
      </c>
      <c r="E9663" s="7" t="n">
        <v>2803.51</v>
      </c>
      <c r="F9663" s="7" t="n">
        <v>0</v>
      </c>
      <c r="G9663" s="7" t="n">
        <v>0</v>
      </c>
    </row>
    <row r="9664" customFormat="false" ht="15" hidden="false" customHeight="false" outlineLevel="0" collapsed="false">
      <c r="A9664" s="7" t="s">
        <v>25</v>
      </c>
      <c r="B9664" s="7" t="s">
        <v>833</v>
      </c>
      <c r="C9664" s="7" t="s">
        <v>1037</v>
      </c>
      <c r="D9664" s="7" t="n">
        <v>16</v>
      </c>
      <c r="E9664" s="7" t="n">
        <v>1990.76</v>
      </c>
      <c r="F9664" s="7" t="n">
        <v>0</v>
      </c>
      <c r="G9664" s="7" t="n">
        <v>0</v>
      </c>
    </row>
    <row r="9665" customFormat="false" ht="15" hidden="false" customHeight="false" outlineLevel="0" collapsed="false">
      <c r="A9665" s="7" t="s">
        <v>25</v>
      </c>
      <c r="B9665" s="7" t="s">
        <v>833</v>
      </c>
      <c r="C9665" s="7" t="s">
        <v>1037</v>
      </c>
      <c r="D9665" s="7" t="n">
        <v>0</v>
      </c>
      <c r="E9665" s="7" t="n">
        <v>0</v>
      </c>
      <c r="F9665" s="7" t="n">
        <v>7</v>
      </c>
      <c r="G9665" s="7" t="n">
        <v>826.24</v>
      </c>
    </row>
    <row r="9666" customFormat="false" ht="15" hidden="false" customHeight="false" outlineLevel="0" collapsed="false">
      <c r="A9666" s="7" t="s">
        <v>25</v>
      </c>
      <c r="B9666" s="7" t="s">
        <v>833</v>
      </c>
      <c r="C9666" s="7" t="s">
        <v>1037</v>
      </c>
      <c r="D9666" s="7" t="n">
        <v>11</v>
      </c>
      <c r="E9666" s="7" t="n">
        <v>1482.57</v>
      </c>
      <c r="F9666" s="7" t="n">
        <v>0</v>
      </c>
      <c r="G9666" s="7" t="n">
        <v>0</v>
      </c>
    </row>
    <row r="9667" customFormat="false" ht="15" hidden="false" customHeight="false" outlineLevel="0" collapsed="false">
      <c r="A9667" s="7" t="s">
        <v>25</v>
      </c>
      <c r="B9667" s="7" t="s">
        <v>833</v>
      </c>
      <c r="C9667" s="7" t="s">
        <v>1037</v>
      </c>
      <c r="D9667" s="7" t="n">
        <v>0</v>
      </c>
      <c r="E9667" s="7" t="n">
        <v>0</v>
      </c>
      <c r="F9667" s="7" t="n">
        <v>2</v>
      </c>
      <c r="G9667" s="7" t="n">
        <v>265.8</v>
      </c>
    </row>
    <row r="9668" customFormat="false" ht="15" hidden="false" customHeight="false" outlineLevel="0" collapsed="false">
      <c r="A9668" s="7" t="s">
        <v>25</v>
      </c>
      <c r="B9668" s="7" t="s">
        <v>833</v>
      </c>
      <c r="C9668" s="7" t="s">
        <v>1037</v>
      </c>
      <c r="D9668" s="7" t="n">
        <v>13</v>
      </c>
      <c r="E9668" s="7" t="n">
        <v>1770.26</v>
      </c>
      <c r="F9668" s="7" t="n">
        <v>0</v>
      </c>
      <c r="G9668" s="7" t="n">
        <v>0</v>
      </c>
    </row>
    <row r="9669" customFormat="false" ht="15" hidden="false" customHeight="false" outlineLevel="0" collapsed="false">
      <c r="A9669" s="7" t="s">
        <v>25</v>
      </c>
      <c r="B9669" s="7" t="s">
        <v>833</v>
      </c>
      <c r="C9669" s="7" t="s">
        <v>1037</v>
      </c>
      <c r="D9669" s="7" t="n">
        <v>13</v>
      </c>
      <c r="E9669" s="7" t="n">
        <v>1908.04</v>
      </c>
      <c r="F9669" s="7" t="n">
        <v>0</v>
      </c>
      <c r="G9669" s="7" t="n">
        <v>0</v>
      </c>
    </row>
    <row r="9670" customFormat="false" ht="15" hidden="false" customHeight="false" outlineLevel="0" collapsed="false">
      <c r="A9670" s="7" t="s">
        <v>25</v>
      </c>
      <c r="B9670" s="7" t="s">
        <v>833</v>
      </c>
      <c r="C9670" s="7" t="s">
        <v>1037</v>
      </c>
      <c r="D9670" s="7" t="n">
        <v>15</v>
      </c>
      <c r="E9670" s="7" t="n">
        <v>2082.28</v>
      </c>
      <c r="F9670" s="7" t="n">
        <v>0</v>
      </c>
      <c r="G9670" s="7" t="n">
        <v>0</v>
      </c>
    </row>
    <row r="9671" customFormat="false" ht="15" hidden="false" customHeight="false" outlineLevel="0" collapsed="false">
      <c r="A9671" s="7" t="s">
        <v>25</v>
      </c>
      <c r="B9671" s="7" t="s">
        <v>833</v>
      </c>
      <c r="C9671" s="7" t="s">
        <v>1037</v>
      </c>
      <c r="D9671" s="7" t="n">
        <v>15</v>
      </c>
      <c r="E9671" s="7" t="n">
        <v>2126.74</v>
      </c>
      <c r="F9671" s="7" t="n">
        <v>0</v>
      </c>
      <c r="G9671" s="7" t="n">
        <v>0</v>
      </c>
    </row>
    <row r="9672" customFormat="false" ht="15" hidden="false" customHeight="false" outlineLevel="0" collapsed="false">
      <c r="A9672" s="7" t="s">
        <v>25</v>
      </c>
      <c r="B9672" s="7" t="s">
        <v>833</v>
      </c>
      <c r="C9672" s="7" t="s">
        <v>1037</v>
      </c>
      <c r="D9672" s="7" t="n">
        <v>0</v>
      </c>
      <c r="E9672" s="7" t="n">
        <v>0</v>
      </c>
      <c r="F9672" s="7" t="n">
        <v>8</v>
      </c>
      <c r="G9672" s="7" t="n">
        <v>1048.74</v>
      </c>
    </row>
    <row r="9673" customFormat="false" ht="15" hidden="false" customHeight="false" outlineLevel="0" collapsed="false">
      <c r="A9673" s="7" t="s">
        <v>25</v>
      </c>
      <c r="B9673" s="7" t="s">
        <v>833</v>
      </c>
      <c r="C9673" s="7" t="s">
        <v>1037</v>
      </c>
      <c r="D9673" s="7" t="n">
        <v>0</v>
      </c>
      <c r="E9673" s="7" t="n">
        <v>0</v>
      </c>
      <c r="F9673" s="7" t="n">
        <v>9</v>
      </c>
      <c r="G9673" s="7" t="n">
        <v>1125.42</v>
      </c>
    </row>
    <row r="9674" customFormat="false" ht="15" hidden="false" customHeight="false" outlineLevel="0" collapsed="false">
      <c r="A9674" s="7" t="s">
        <v>25</v>
      </c>
      <c r="B9674" s="7" t="s">
        <v>833</v>
      </c>
      <c r="C9674" s="7" t="s">
        <v>1037</v>
      </c>
      <c r="D9674" s="7" t="n">
        <v>20</v>
      </c>
      <c r="E9674" s="7" t="n">
        <v>2671.71</v>
      </c>
      <c r="F9674" s="7" t="n">
        <v>0</v>
      </c>
      <c r="G9674" s="7" t="n">
        <v>0</v>
      </c>
    </row>
    <row r="9675" customFormat="false" ht="15" hidden="false" customHeight="false" outlineLevel="0" collapsed="false">
      <c r="A9675" s="7" t="s">
        <v>25</v>
      </c>
      <c r="B9675" s="7" t="s">
        <v>833</v>
      </c>
      <c r="C9675" s="7" t="s">
        <v>1037</v>
      </c>
      <c r="D9675" s="7" t="n">
        <v>0</v>
      </c>
      <c r="E9675" s="7" t="n">
        <v>0</v>
      </c>
      <c r="F9675" s="7" t="n">
        <v>11</v>
      </c>
      <c r="G9675" s="7" t="n">
        <v>1357.14</v>
      </c>
    </row>
    <row r="9676" customFormat="false" ht="15" hidden="false" customHeight="false" outlineLevel="0" collapsed="false">
      <c r="A9676" s="7" t="s">
        <v>25</v>
      </c>
      <c r="B9676" s="7" t="s">
        <v>833</v>
      </c>
      <c r="C9676" s="7" t="s">
        <v>1037</v>
      </c>
      <c r="D9676" s="7" t="n">
        <v>23</v>
      </c>
      <c r="E9676" s="7" t="n">
        <v>3287.83</v>
      </c>
      <c r="F9676" s="7" t="n">
        <v>0</v>
      </c>
      <c r="G9676" s="7" t="n">
        <v>0</v>
      </c>
    </row>
    <row r="9677" customFormat="false" ht="15" hidden="false" customHeight="false" outlineLevel="0" collapsed="false">
      <c r="A9677" s="7" t="s">
        <v>25</v>
      </c>
      <c r="B9677" s="7" t="s">
        <v>833</v>
      </c>
      <c r="C9677" s="7" t="s">
        <v>1037</v>
      </c>
      <c r="D9677" s="7" t="n">
        <v>6</v>
      </c>
      <c r="E9677" s="7" t="n">
        <v>804.6</v>
      </c>
      <c r="F9677" s="7" t="n">
        <v>0</v>
      </c>
      <c r="G9677" s="7" t="n">
        <v>0</v>
      </c>
    </row>
    <row r="9678" customFormat="false" ht="15" hidden="false" customHeight="false" outlineLevel="0" collapsed="false">
      <c r="A9678" s="7" t="s">
        <v>25</v>
      </c>
      <c r="B9678" s="7" t="s">
        <v>833</v>
      </c>
      <c r="C9678" s="7" t="s">
        <v>1037</v>
      </c>
      <c r="D9678" s="7" t="n">
        <v>0</v>
      </c>
      <c r="E9678" s="7" t="n">
        <v>0</v>
      </c>
      <c r="F9678" s="7" t="n">
        <v>10</v>
      </c>
      <c r="G9678" s="7" t="n">
        <v>1200.88</v>
      </c>
    </row>
    <row r="9679" customFormat="false" ht="15" hidden="false" customHeight="false" outlineLevel="0" collapsed="false">
      <c r="A9679" s="7" t="s">
        <v>25</v>
      </c>
      <c r="B9679" s="7" t="s">
        <v>833</v>
      </c>
      <c r="C9679" s="7" t="s">
        <v>1037</v>
      </c>
      <c r="D9679" s="7" t="n">
        <v>21</v>
      </c>
      <c r="E9679" s="7" t="n">
        <v>2825.32</v>
      </c>
      <c r="F9679" s="7" t="n">
        <v>0</v>
      </c>
      <c r="G9679" s="7" t="n">
        <v>0</v>
      </c>
    </row>
    <row r="9680" customFormat="false" ht="15" hidden="false" customHeight="false" outlineLevel="0" collapsed="false">
      <c r="A9680" s="7" t="s">
        <v>25</v>
      </c>
      <c r="B9680" s="7" t="s">
        <v>833</v>
      </c>
      <c r="C9680" s="7" t="s">
        <v>1037</v>
      </c>
      <c r="D9680" s="7" t="n">
        <v>0</v>
      </c>
      <c r="E9680" s="7" t="n">
        <v>0</v>
      </c>
      <c r="F9680" s="7" t="n">
        <v>16</v>
      </c>
      <c r="G9680" s="7" t="n">
        <v>2053.81</v>
      </c>
    </row>
    <row r="9681" customFormat="false" ht="15" hidden="false" customHeight="false" outlineLevel="0" collapsed="false">
      <c r="A9681" s="7" t="s">
        <v>25</v>
      </c>
      <c r="B9681" s="7" t="s">
        <v>833</v>
      </c>
      <c r="C9681" s="7" t="s">
        <v>1037</v>
      </c>
      <c r="D9681" s="7" t="n">
        <v>0</v>
      </c>
      <c r="E9681" s="7" t="n">
        <v>0</v>
      </c>
      <c r="F9681" s="7" t="n">
        <v>2</v>
      </c>
      <c r="G9681" s="7" t="n">
        <v>259.92</v>
      </c>
    </row>
    <row r="9682" customFormat="false" ht="15" hidden="false" customHeight="false" outlineLevel="0" collapsed="false">
      <c r="A9682" s="7" t="s">
        <v>25</v>
      </c>
      <c r="B9682" s="7" t="s">
        <v>832</v>
      </c>
      <c r="C9682" s="7" t="s">
        <v>1037</v>
      </c>
      <c r="D9682" s="7" t="n">
        <v>1</v>
      </c>
      <c r="E9682" s="7" t="n">
        <v>134.57</v>
      </c>
      <c r="F9682" s="7" t="n">
        <v>0</v>
      </c>
      <c r="G9682" s="7" t="n">
        <v>0</v>
      </c>
    </row>
    <row r="9683" customFormat="false" ht="15" hidden="false" customHeight="false" outlineLevel="0" collapsed="false">
      <c r="A9683" s="7" t="s">
        <v>25</v>
      </c>
      <c r="B9683" s="7" t="s">
        <v>832</v>
      </c>
      <c r="C9683" s="7" t="s">
        <v>1037</v>
      </c>
      <c r="D9683" s="7" t="n">
        <v>27</v>
      </c>
      <c r="E9683" s="7" t="n">
        <v>3875.26</v>
      </c>
      <c r="F9683" s="7" t="n">
        <v>0</v>
      </c>
      <c r="G9683" s="7" t="n">
        <v>0</v>
      </c>
    </row>
    <row r="9684" customFormat="false" ht="15" hidden="false" customHeight="false" outlineLevel="0" collapsed="false">
      <c r="A9684" s="7" t="s">
        <v>25</v>
      </c>
      <c r="B9684" s="7" t="s">
        <v>832</v>
      </c>
      <c r="C9684" s="7" t="s">
        <v>1037</v>
      </c>
      <c r="D9684" s="7" t="n">
        <v>36</v>
      </c>
      <c r="E9684" s="7" t="n">
        <v>5351.24</v>
      </c>
      <c r="F9684" s="7" t="n">
        <v>0</v>
      </c>
      <c r="G9684" s="7" t="n">
        <v>0</v>
      </c>
    </row>
    <row r="9685" customFormat="false" ht="15" hidden="false" customHeight="false" outlineLevel="0" collapsed="false">
      <c r="A9685" s="7" t="s">
        <v>25</v>
      </c>
      <c r="B9685" s="7" t="s">
        <v>832</v>
      </c>
      <c r="C9685" s="7" t="s">
        <v>1037</v>
      </c>
      <c r="D9685" s="7" t="n">
        <v>18</v>
      </c>
      <c r="E9685" s="7" t="n">
        <v>2531.69</v>
      </c>
      <c r="F9685" s="7" t="n">
        <v>0</v>
      </c>
      <c r="G9685" s="7" t="n">
        <v>0</v>
      </c>
    </row>
    <row r="9686" customFormat="false" ht="15" hidden="false" customHeight="false" outlineLevel="0" collapsed="false">
      <c r="A9686" s="7" t="s">
        <v>25</v>
      </c>
      <c r="B9686" s="7" t="s">
        <v>832</v>
      </c>
      <c r="C9686" s="7" t="s">
        <v>1037</v>
      </c>
      <c r="D9686" s="7" t="n">
        <v>27</v>
      </c>
      <c r="E9686" s="7" t="n">
        <v>3861.12</v>
      </c>
      <c r="F9686" s="7" t="n">
        <v>0</v>
      </c>
      <c r="G9686" s="7" t="n">
        <v>0</v>
      </c>
    </row>
    <row r="9687" customFormat="false" ht="15" hidden="false" customHeight="false" outlineLevel="0" collapsed="false">
      <c r="A9687" s="7" t="s">
        <v>25</v>
      </c>
      <c r="B9687" s="7" t="s">
        <v>832</v>
      </c>
      <c r="C9687" s="7" t="s">
        <v>1037</v>
      </c>
      <c r="D9687" s="7" t="n">
        <v>1</v>
      </c>
      <c r="E9687" s="7" t="n">
        <v>134.13</v>
      </c>
      <c r="F9687" s="7" t="n">
        <v>0</v>
      </c>
      <c r="G9687" s="7" t="n">
        <v>0</v>
      </c>
    </row>
    <row r="9688" customFormat="false" ht="15" hidden="false" customHeight="false" outlineLevel="0" collapsed="false">
      <c r="A9688" s="7" t="s">
        <v>25</v>
      </c>
      <c r="B9688" s="7" t="s">
        <v>832</v>
      </c>
      <c r="C9688" s="7" t="s">
        <v>1037</v>
      </c>
      <c r="D9688" s="7" t="n">
        <v>21</v>
      </c>
      <c r="E9688" s="7" t="n">
        <v>3053.55</v>
      </c>
      <c r="F9688" s="7" t="n">
        <v>0</v>
      </c>
      <c r="G9688" s="7" t="n">
        <v>0</v>
      </c>
    </row>
    <row r="9689" customFormat="false" ht="15" hidden="false" customHeight="false" outlineLevel="0" collapsed="false">
      <c r="A9689" s="7" t="s">
        <v>25</v>
      </c>
      <c r="B9689" s="7" t="s">
        <v>832</v>
      </c>
      <c r="C9689" s="7" t="s">
        <v>1037</v>
      </c>
      <c r="D9689" s="7" t="n">
        <v>1</v>
      </c>
      <c r="E9689" s="7" t="n">
        <v>137.01</v>
      </c>
      <c r="F9689" s="7" t="n">
        <v>0</v>
      </c>
      <c r="G9689" s="7" t="n">
        <v>0</v>
      </c>
    </row>
    <row r="9690" customFormat="false" ht="15" hidden="false" customHeight="false" outlineLevel="0" collapsed="false">
      <c r="A9690" s="7" t="s">
        <v>25</v>
      </c>
      <c r="B9690" s="7" t="s">
        <v>832</v>
      </c>
      <c r="C9690" s="7" t="s">
        <v>1037</v>
      </c>
      <c r="D9690" s="7" t="n">
        <v>1</v>
      </c>
      <c r="E9690" s="7" t="n">
        <v>133.95</v>
      </c>
      <c r="F9690" s="7" t="n">
        <v>0</v>
      </c>
      <c r="G9690" s="7" t="n">
        <v>0</v>
      </c>
    </row>
    <row r="9691" customFormat="false" ht="15" hidden="false" customHeight="false" outlineLevel="0" collapsed="false">
      <c r="A9691" s="7" t="s">
        <v>25</v>
      </c>
      <c r="B9691" s="7" t="s">
        <v>839</v>
      </c>
      <c r="C9691" s="7" t="s">
        <v>1038</v>
      </c>
      <c r="D9691" s="7" t="n">
        <v>12</v>
      </c>
      <c r="E9691" s="7" t="n">
        <v>1644.16</v>
      </c>
      <c r="F9691" s="7" t="n">
        <v>0</v>
      </c>
      <c r="G9691" s="7" t="n">
        <v>0</v>
      </c>
    </row>
    <row r="9692" customFormat="false" ht="15" hidden="false" customHeight="false" outlineLevel="0" collapsed="false">
      <c r="A9692" s="7" t="s">
        <v>25</v>
      </c>
      <c r="B9692" s="7" t="s">
        <v>839</v>
      </c>
      <c r="C9692" s="7" t="s">
        <v>1038</v>
      </c>
      <c r="D9692" s="7" t="n">
        <v>7</v>
      </c>
      <c r="E9692" s="7" t="n">
        <v>953.21</v>
      </c>
      <c r="F9692" s="7" t="n">
        <v>0</v>
      </c>
      <c r="G9692" s="7" t="n">
        <v>0</v>
      </c>
    </row>
    <row r="9693" customFormat="false" ht="15" hidden="false" customHeight="false" outlineLevel="0" collapsed="false">
      <c r="A9693" s="7" t="s">
        <v>25</v>
      </c>
      <c r="B9693" s="7" t="s">
        <v>839</v>
      </c>
      <c r="C9693" s="7" t="s">
        <v>1038</v>
      </c>
      <c r="D9693" s="7" t="n">
        <v>0</v>
      </c>
      <c r="E9693" s="7" t="n">
        <v>0</v>
      </c>
      <c r="F9693" s="7" t="n">
        <v>12</v>
      </c>
      <c r="G9693" s="7" t="n">
        <v>1549.85</v>
      </c>
    </row>
    <row r="9694" customFormat="false" ht="15" hidden="false" customHeight="false" outlineLevel="0" collapsed="false">
      <c r="A9694" s="7" t="s">
        <v>25</v>
      </c>
      <c r="B9694" s="7" t="s">
        <v>839</v>
      </c>
      <c r="C9694" s="7" t="s">
        <v>1038</v>
      </c>
      <c r="D9694" s="7" t="n">
        <v>0</v>
      </c>
      <c r="E9694" s="7" t="n">
        <v>0</v>
      </c>
      <c r="F9694" s="7" t="n">
        <v>19</v>
      </c>
      <c r="G9694" s="7" t="n">
        <v>2667.18</v>
      </c>
    </row>
    <row r="9695" customFormat="false" ht="15" hidden="false" customHeight="false" outlineLevel="0" collapsed="false">
      <c r="A9695" s="7" t="s">
        <v>25</v>
      </c>
      <c r="B9695" s="7" t="s">
        <v>839</v>
      </c>
      <c r="C9695" s="7" t="s">
        <v>1038</v>
      </c>
      <c r="D9695" s="7" t="n">
        <v>17</v>
      </c>
      <c r="E9695" s="7" t="n">
        <v>2291.88</v>
      </c>
      <c r="F9695" s="7" t="n">
        <v>0</v>
      </c>
      <c r="G9695" s="7" t="n">
        <v>0</v>
      </c>
    </row>
    <row r="9696" customFormat="false" ht="15" hidden="false" customHeight="false" outlineLevel="0" collapsed="false">
      <c r="A9696" s="7" t="s">
        <v>25</v>
      </c>
      <c r="B9696" s="7" t="s">
        <v>839</v>
      </c>
      <c r="C9696" s="7" t="s">
        <v>1038</v>
      </c>
      <c r="D9696" s="7" t="n">
        <v>0</v>
      </c>
      <c r="E9696" s="7" t="n">
        <v>0</v>
      </c>
      <c r="F9696" s="7" t="n">
        <v>16</v>
      </c>
      <c r="G9696" s="7" t="n">
        <v>2247.34</v>
      </c>
    </row>
    <row r="9697" customFormat="false" ht="15" hidden="false" customHeight="false" outlineLevel="0" collapsed="false">
      <c r="A9697" s="7" t="s">
        <v>25</v>
      </c>
      <c r="B9697" s="7" t="s">
        <v>839</v>
      </c>
      <c r="C9697" s="7" t="s">
        <v>1038</v>
      </c>
      <c r="D9697" s="7" t="n">
        <v>0</v>
      </c>
      <c r="E9697" s="7" t="n">
        <v>0</v>
      </c>
      <c r="F9697" s="7" t="n">
        <v>25</v>
      </c>
      <c r="G9697" s="7" t="n">
        <v>3150.43</v>
      </c>
    </row>
    <row r="9698" customFormat="false" ht="15" hidden="false" customHeight="false" outlineLevel="0" collapsed="false">
      <c r="A9698" s="7" t="s">
        <v>25</v>
      </c>
      <c r="B9698" s="7" t="s">
        <v>839</v>
      </c>
      <c r="C9698" s="7" t="s">
        <v>1038</v>
      </c>
      <c r="D9698" s="7" t="n">
        <v>0</v>
      </c>
      <c r="E9698" s="7" t="n">
        <v>0</v>
      </c>
      <c r="F9698" s="7" t="n">
        <v>6</v>
      </c>
      <c r="G9698" s="7" t="n">
        <v>770.18</v>
      </c>
    </row>
    <row r="9699" customFormat="false" ht="15" hidden="false" customHeight="false" outlineLevel="0" collapsed="false">
      <c r="A9699" s="7" t="s">
        <v>25</v>
      </c>
      <c r="B9699" s="7" t="s">
        <v>839</v>
      </c>
      <c r="C9699" s="7" t="s">
        <v>1038</v>
      </c>
      <c r="D9699" s="7" t="n">
        <v>22</v>
      </c>
      <c r="E9699" s="7" t="n">
        <v>3268.83</v>
      </c>
      <c r="F9699" s="7" t="n">
        <v>0</v>
      </c>
      <c r="G9699" s="7" t="n">
        <v>0</v>
      </c>
    </row>
    <row r="9700" customFormat="false" ht="15" hidden="false" customHeight="false" outlineLevel="0" collapsed="false">
      <c r="A9700" s="7" t="s">
        <v>25</v>
      </c>
      <c r="B9700" s="7" t="s">
        <v>839</v>
      </c>
      <c r="C9700" s="7" t="s">
        <v>1038</v>
      </c>
      <c r="D9700" s="7" t="n">
        <v>0</v>
      </c>
      <c r="E9700" s="7" t="n">
        <v>0</v>
      </c>
      <c r="F9700" s="7" t="n">
        <v>4</v>
      </c>
      <c r="G9700" s="7" t="n">
        <v>535.92</v>
      </c>
    </row>
    <row r="9701" customFormat="false" ht="15" hidden="false" customHeight="false" outlineLevel="0" collapsed="false">
      <c r="A9701" s="7" t="s">
        <v>25</v>
      </c>
      <c r="B9701" s="7" t="s">
        <v>839</v>
      </c>
      <c r="C9701" s="7" t="s">
        <v>1038</v>
      </c>
      <c r="D9701" s="7" t="n">
        <v>10</v>
      </c>
      <c r="E9701" s="7" t="n">
        <v>1346.06</v>
      </c>
      <c r="F9701" s="7" t="n">
        <v>0</v>
      </c>
      <c r="G9701" s="7" t="n">
        <v>0</v>
      </c>
    </row>
    <row r="9702" customFormat="false" ht="15" hidden="false" customHeight="false" outlineLevel="0" collapsed="false">
      <c r="A9702" s="7" t="s">
        <v>25</v>
      </c>
      <c r="B9702" s="7" t="s">
        <v>839</v>
      </c>
      <c r="C9702" s="7" t="s">
        <v>1038</v>
      </c>
      <c r="D9702" s="7" t="n">
        <v>10</v>
      </c>
      <c r="E9702" s="7" t="n">
        <v>1202.34</v>
      </c>
      <c r="F9702" s="7" t="n">
        <v>0</v>
      </c>
      <c r="G9702" s="7" t="n">
        <v>0</v>
      </c>
    </row>
    <row r="9703" customFormat="false" ht="15" hidden="false" customHeight="false" outlineLevel="0" collapsed="false">
      <c r="A9703" s="7" t="s">
        <v>25</v>
      </c>
      <c r="B9703" s="7" t="s">
        <v>839</v>
      </c>
      <c r="C9703" s="7" t="s">
        <v>1038</v>
      </c>
      <c r="D9703" s="7" t="n">
        <v>0</v>
      </c>
      <c r="E9703" s="7" t="n">
        <v>0</v>
      </c>
      <c r="F9703" s="7" t="n">
        <v>27</v>
      </c>
      <c r="G9703" s="7" t="n">
        <v>3584.67</v>
      </c>
    </row>
    <row r="9704" customFormat="false" ht="15" hidden="false" customHeight="false" outlineLevel="0" collapsed="false">
      <c r="A9704" s="7" t="s">
        <v>25</v>
      </c>
      <c r="B9704" s="7" t="s">
        <v>839</v>
      </c>
      <c r="C9704" s="7" t="s">
        <v>1038</v>
      </c>
      <c r="D9704" s="7" t="n">
        <v>10</v>
      </c>
      <c r="E9704" s="7" t="n">
        <v>1454.44</v>
      </c>
      <c r="F9704" s="7" t="n">
        <v>0</v>
      </c>
      <c r="G9704" s="7" t="n">
        <v>0</v>
      </c>
    </row>
    <row r="9705" customFormat="false" ht="15" hidden="false" customHeight="false" outlineLevel="0" collapsed="false">
      <c r="A9705" s="7" t="s">
        <v>25</v>
      </c>
      <c r="B9705" s="7" t="s">
        <v>839</v>
      </c>
      <c r="C9705" s="7" t="s">
        <v>1038</v>
      </c>
      <c r="D9705" s="7" t="n">
        <v>21</v>
      </c>
      <c r="E9705" s="7" t="n">
        <v>3000.92</v>
      </c>
      <c r="F9705" s="7" t="n">
        <v>0</v>
      </c>
      <c r="G9705" s="7" t="n">
        <v>0</v>
      </c>
    </row>
    <row r="9706" customFormat="false" ht="15" hidden="false" customHeight="false" outlineLevel="0" collapsed="false">
      <c r="A9706" s="7" t="s">
        <v>25</v>
      </c>
      <c r="B9706" s="7" t="s">
        <v>839</v>
      </c>
      <c r="C9706" s="7" t="s">
        <v>1038</v>
      </c>
      <c r="D9706" s="7" t="n">
        <v>23</v>
      </c>
      <c r="E9706" s="7" t="n">
        <v>3235.57</v>
      </c>
      <c r="F9706" s="7" t="n">
        <v>0</v>
      </c>
      <c r="G9706" s="7" t="n">
        <v>0</v>
      </c>
    </row>
    <row r="9707" customFormat="false" ht="15" hidden="false" customHeight="false" outlineLevel="0" collapsed="false">
      <c r="A9707" s="7" t="s">
        <v>25</v>
      </c>
      <c r="B9707" s="7" t="s">
        <v>839</v>
      </c>
      <c r="C9707" s="7" t="s">
        <v>1038</v>
      </c>
      <c r="D9707" s="7" t="n">
        <v>20</v>
      </c>
      <c r="E9707" s="7" t="n">
        <v>2868.41</v>
      </c>
      <c r="F9707" s="7" t="n">
        <v>0</v>
      </c>
      <c r="G9707" s="7" t="n">
        <v>0</v>
      </c>
    </row>
    <row r="9708" customFormat="false" ht="15" hidden="false" customHeight="false" outlineLevel="0" collapsed="false">
      <c r="A9708" s="7" t="s">
        <v>25</v>
      </c>
      <c r="B9708" s="7" t="s">
        <v>839</v>
      </c>
      <c r="C9708" s="7" t="s">
        <v>1038</v>
      </c>
      <c r="D9708" s="7" t="n">
        <v>12</v>
      </c>
      <c r="E9708" s="7" t="n">
        <v>1672.44</v>
      </c>
      <c r="F9708" s="7" t="n">
        <v>0</v>
      </c>
      <c r="G9708" s="7" t="n">
        <v>0</v>
      </c>
    </row>
    <row r="9709" customFormat="false" ht="15" hidden="false" customHeight="false" outlineLevel="0" collapsed="false">
      <c r="A9709" s="7" t="s">
        <v>25</v>
      </c>
      <c r="B9709" s="7" t="s">
        <v>839</v>
      </c>
      <c r="C9709" s="7" t="s">
        <v>1038</v>
      </c>
      <c r="D9709" s="7" t="n">
        <v>3</v>
      </c>
      <c r="E9709" s="7" t="n">
        <v>404.67</v>
      </c>
      <c r="F9709" s="7" t="n">
        <v>0</v>
      </c>
      <c r="G9709" s="7" t="n">
        <v>0</v>
      </c>
    </row>
    <row r="9710" customFormat="false" ht="15" hidden="false" customHeight="false" outlineLevel="0" collapsed="false">
      <c r="A9710" s="7" t="s">
        <v>25</v>
      </c>
      <c r="B9710" s="7" t="s">
        <v>839</v>
      </c>
      <c r="C9710" s="7" t="s">
        <v>1038</v>
      </c>
      <c r="D9710" s="7" t="n">
        <v>10</v>
      </c>
      <c r="E9710" s="7" t="n">
        <v>1341.66</v>
      </c>
      <c r="F9710" s="7" t="n">
        <v>0</v>
      </c>
      <c r="G9710" s="7" t="n">
        <v>0</v>
      </c>
    </row>
    <row r="9711" customFormat="false" ht="15" hidden="false" customHeight="false" outlineLevel="0" collapsed="false">
      <c r="A9711" s="7" t="s">
        <v>25</v>
      </c>
      <c r="B9711" s="7" t="s">
        <v>845</v>
      </c>
      <c r="C9711" s="7" t="s">
        <v>1038</v>
      </c>
      <c r="D9711" s="7" t="n">
        <v>0</v>
      </c>
      <c r="E9711" s="7" t="n">
        <v>0</v>
      </c>
      <c r="F9711" s="7" t="n">
        <v>16</v>
      </c>
      <c r="G9711" s="7" t="n">
        <v>2188.32</v>
      </c>
    </row>
    <row r="9712" customFormat="false" ht="15" hidden="false" customHeight="false" outlineLevel="0" collapsed="false">
      <c r="A9712" s="7" t="s">
        <v>25</v>
      </c>
      <c r="B9712" s="7" t="s">
        <v>845</v>
      </c>
      <c r="C9712" s="7" t="s">
        <v>1038</v>
      </c>
      <c r="D9712" s="7" t="n">
        <v>6</v>
      </c>
      <c r="E9712" s="7" t="n">
        <v>822.08</v>
      </c>
      <c r="F9712" s="7" t="n">
        <v>0</v>
      </c>
      <c r="G9712" s="7" t="n">
        <v>0</v>
      </c>
    </row>
    <row r="9713" customFormat="false" ht="15" hidden="false" customHeight="false" outlineLevel="0" collapsed="false">
      <c r="A9713" s="7" t="s">
        <v>25</v>
      </c>
      <c r="B9713" s="7" t="s">
        <v>845</v>
      </c>
      <c r="C9713" s="7" t="s">
        <v>1038</v>
      </c>
      <c r="D9713" s="7" t="n">
        <v>5</v>
      </c>
      <c r="E9713" s="7" t="n">
        <v>727.22</v>
      </c>
      <c r="F9713" s="7" t="n">
        <v>0</v>
      </c>
      <c r="G9713" s="7" t="n">
        <v>0</v>
      </c>
    </row>
    <row r="9714" customFormat="false" ht="15" hidden="false" customHeight="false" outlineLevel="0" collapsed="false">
      <c r="A9714" s="7" t="s">
        <v>25</v>
      </c>
      <c r="B9714" s="7" t="s">
        <v>845</v>
      </c>
      <c r="C9714" s="7" t="s">
        <v>1038</v>
      </c>
      <c r="D9714" s="7" t="n">
        <v>4</v>
      </c>
      <c r="E9714" s="7" t="n">
        <v>538.85</v>
      </c>
      <c r="F9714" s="7" t="n">
        <v>0</v>
      </c>
      <c r="G9714" s="7" t="n">
        <v>0</v>
      </c>
    </row>
    <row r="9715" customFormat="false" ht="15" hidden="false" customHeight="false" outlineLevel="0" collapsed="false">
      <c r="A9715" s="7" t="s">
        <v>25</v>
      </c>
      <c r="B9715" s="7" t="s">
        <v>845</v>
      </c>
      <c r="C9715" s="7" t="s">
        <v>1038</v>
      </c>
      <c r="D9715" s="7" t="n">
        <v>14</v>
      </c>
      <c r="E9715" s="7" t="n">
        <v>1759.17</v>
      </c>
      <c r="F9715" s="7" t="n">
        <v>0</v>
      </c>
      <c r="G9715" s="7" t="n">
        <v>0</v>
      </c>
    </row>
    <row r="9716" customFormat="false" ht="15" hidden="false" customHeight="false" outlineLevel="0" collapsed="false">
      <c r="A9716" s="7" t="s">
        <v>25</v>
      </c>
      <c r="B9716" s="7" t="s">
        <v>845</v>
      </c>
      <c r="C9716" s="7" t="s">
        <v>1038</v>
      </c>
      <c r="D9716" s="7" t="n">
        <v>12</v>
      </c>
      <c r="E9716" s="7" t="n">
        <v>1679.69</v>
      </c>
      <c r="F9716" s="7" t="n">
        <v>0</v>
      </c>
      <c r="G9716" s="7" t="n">
        <v>0</v>
      </c>
    </row>
    <row r="9717" customFormat="false" ht="15" hidden="false" customHeight="false" outlineLevel="0" collapsed="false">
      <c r="A9717" s="7" t="s">
        <v>25</v>
      </c>
      <c r="B9717" s="7" t="s">
        <v>845</v>
      </c>
      <c r="C9717" s="7" t="s">
        <v>1038</v>
      </c>
      <c r="D9717" s="7" t="n">
        <v>0</v>
      </c>
      <c r="E9717" s="7" t="n">
        <v>0</v>
      </c>
      <c r="F9717" s="7" t="n">
        <v>11</v>
      </c>
      <c r="G9717" s="7" t="n">
        <v>1553.67</v>
      </c>
    </row>
    <row r="9718" customFormat="false" ht="15" hidden="false" customHeight="false" outlineLevel="0" collapsed="false">
      <c r="A9718" s="7" t="s">
        <v>25</v>
      </c>
      <c r="B9718" s="7" t="s">
        <v>845</v>
      </c>
      <c r="C9718" s="7" t="s">
        <v>1038</v>
      </c>
      <c r="D9718" s="7" t="n">
        <v>9</v>
      </c>
      <c r="E9718" s="7" t="n">
        <v>1264.9</v>
      </c>
      <c r="F9718" s="7" t="n">
        <v>0</v>
      </c>
      <c r="G9718" s="7" t="n">
        <v>0</v>
      </c>
    </row>
    <row r="9719" customFormat="false" ht="15" hidden="false" customHeight="false" outlineLevel="0" collapsed="false">
      <c r="A9719" s="7" t="s">
        <v>25</v>
      </c>
      <c r="B9719" s="7" t="s">
        <v>845</v>
      </c>
      <c r="C9719" s="7" t="s">
        <v>1038</v>
      </c>
      <c r="D9719" s="7" t="n">
        <v>0</v>
      </c>
      <c r="E9719" s="7" t="n">
        <v>0</v>
      </c>
      <c r="F9719" s="7" t="n">
        <v>5</v>
      </c>
      <c r="G9719" s="7" t="n">
        <v>702.29</v>
      </c>
    </row>
    <row r="9720" customFormat="false" ht="15" hidden="false" customHeight="false" outlineLevel="0" collapsed="false">
      <c r="A9720" s="7" t="s">
        <v>25</v>
      </c>
      <c r="B9720" s="7" t="s">
        <v>845</v>
      </c>
      <c r="C9720" s="7" t="s">
        <v>1038</v>
      </c>
      <c r="D9720" s="7" t="n">
        <v>3</v>
      </c>
      <c r="E9720" s="7" t="n">
        <v>267.9</v>
      </c>
      <c r="F9720" s="7" t="n">
        <v>0</v>
      </c>
      <c r="G9720" s="7" t="n">
        <v>0</v>
      </c>
    </row>
    <row r="9721" customFormat="false" ht="15" hidden="false" customHeight="false" outlineLevel="0" collapsed="false">
      <c r="A9721" s="7" t="s">
        <v>25</v>
      </c>
      <c r="B9721" s="7" t="s">
        <v>845</v>
      </c>
      <c r="C9721" s="7" t="s">
        <v>1038</v>
      </c>
      <c r="D9721" s="7" t="n">
        <v>13</v>
      </c>
      <c r="E9721" s="7" t="n">
        <v>1732.21</v>
      </c>
      <c r="F9721" s="7" t="n">
        <v>0</v>
      </c>
      <c r="G9721" s="7" t="n">
        <v>0</v>
      </c>
    </row>
    <row r="9722" customFormat="false" ht="15" hidden="false" customHeight="false" outlineLevel="0" collapsed="false">
      <c r="A9722" s="7" t="s">
        <v>25</v>
      </c>
      <c r="B9722" s="7" t="s">
        <v>845</v>
      </c>
      <c r="C9722" s="7" t="s">
        <v>1038</v>
      </c>
      <c r="D9722" s="7" t="n">
        <v>10</v>
      </c>
      <c r="E9722" s="7" t="n">
        <v>1388.19</v>
      </c>
      <c r="F9722" s="7" t="n">
        <v>0</v>
      </c>
      <c r="G9722" s="7" t="n">
        <v>0</v>
      </c>
    </row>
    <row r="9723" customFormat="false" ht="15" hidden="false" customHeight="false" outlineLevel="0" collapsed="false">
      <c r="A9723" s="7" t="s">
        <v>25</v>
      </c>
      <c r="B9723" s="7" t="s">
        <v>845</v>
      </c>
      <c r="C9723" s="7" t="s">
        <v>1038</v>
      </c>
      <c r="D9723" s="7" t="n">
        <v>14</v>
      </c>
      <c r="E9723" s="7" t="n">
        <v>2040.66</v>
      </c>
      <c r="F9723" s="7" t="n">
        <v>0</v>
      </c>
      <c r="G9723" s="7" t="n">
        <v>0</v>
      </c>
    </row>
    <row r="9724" customFormat="false" ht="15" hidden="false" customHeight="false" outlineLevel="0" collapsed="false">
      <c r="A9724" s="7" t="s">
        <v>25</v>
      </c>
      <c r="B9724" s="7" t="s">
        <v>845</v>
      </c>
      <c r="C9724" s="7" t="s">
        <v>1038</v>
      </c>
      <c r="D9724" s="7" t="n">
        <v>0</v>
      </c>
      <c r="E9724" s="7" t="n">
        <v>0</v>
      </c>
      <c r="F9724" s="7" t="n">
        <v>7</v>
      </c>
      <c r="G9724" s="7" t="n">
        <v>830.65</v>
      </c>
    </row>
    <row r="9725" customFormat="false" ht="15" hidden="false" customHeight="false" outlineLevel="0" collapsed="false">
      <c r="A9725" s="7" t="s">
        <v>25</v>
      </c>
      <c r="B9725" s="7" t="s">
        <v>845</v>
      </c>
      <c r="C9725" s="7" t="s">
        <v>1038</v>
      </c>
      <c r="D9725" s="7" t="n">
        <v>0</v>
      </c>
      <c r="E9725" s="7" t="n">
        <v>0</v>
      </c>
      <c r="F9725" s="7" t="n">
        <v>2</v>
      </c>
      <c r="G9725" s="7" t="n">
        <v>269.2</v>
      </c>
    </row>
    <row r="9726" customFormat="false" ht="15" hidden="false" customHeight="false" outlineLevel="0" collapsed="false">
      <c r="A9726" s="7" t="s">
        <v>25</v>
      </c>
      <c r="B9726" s="7" t="s">
        <v>845</v>
      </c>
      <c r="C9726" s="7" t="s">
        <v>1038</v>
      </c>
      <c r="D9726" s="7" t="n">
        <v>1</v>
      </c>
      <c r="E9726" s="7" t="n">
        <v>134.17</v>
      </c>
      <c r="F9726" s="7" t="n">
        <v>0</v>
      </c>
      <c r="G9726" s="7" t="n">
        <v>0</v>
      </c>
    </row>
    <row r="9727" customFormat="false" ht="15" hidden="false" customHeight="false" outlineLevel="0" collapsed="false">
      <c r="A9727" s="7" t="s">
        <v>25</v>
      </c>
      <c r="B9727" s="7" t="s">
        <v>845</v>
      </c>
      <c r="C9727" s="7" t="s">
        <v>1038</v>
      </c>
      <c r="D9727" s="7" t="n">
        <v>4</v>
      </c>
      <c r="E9727" s="7" t="n">
        <v>536.13</v>
      </c>
      <c r="F9727" s="7" t="n">
        <v>0</v>
      </c>
      <c r="G9727" s="7" t="n">
        <v>0</v>
      </c>
    </row>
    <row r="9728" customFormat="false" ht="15" hidden="false" customHeight="false" outlineLevel="0" collapsed="false">
      <c r="A9728" s="7" t="s">
        <v>25</v>
      </c>
      <c r="B9728" s="7" t="s">
        <v>845</v>
      </c>
      <c r="C9728" s="7" t="s">
        <v>1038</v>
      </c>
      <c r="D9728" s="7" t="n">
        <v>7</v>
      </c>
      <c r="E9728" s="7" t="n">
        <v>817.04</v>
      </c>
      <c r="F9728" s="7" t="n">
        <v>0</v>
      </c>
      <c r="G9728" s="7" t="n">
        <v>0</v>
      </c>
    </row>
    <row r="9729" customFormat="false" ht="15" hidden="false" customHeight="false" outlineLevel="0" collapsed="false">
      <c r="A9729" s="7" t="s">
        <v>25</v>
      </c>
      <c r="B9729" s="7" t="s">
        <v>845</v>
      </c>
      <c r="C9729" s="7" t="s">
        <v>1038</v>
      </c>
      <c r="D9729" s="7" t="n">
        <v>0</v>
      </c>
      <c r="E9729" s="7" t="n">
        <v>0</v>
      </c>
      <c r="F9729" s="7" t="n">
        <v>13</v>
      </c>
      <c r="G9729" s="7" t="n">
        <v>1747.59</v>
      </c>
    </row>
    <row r="9730" customFormat="false" ht="15" hidden="false" customHeight="false" outlineLevel="0" collapsed="false">
      <c r="A9730" s="7" t="s">
        <v>25</v>
      </c>
      <c r="B9730" s="7" t="s">
        <v>845</v>
      </c>
      <c r="C9730" s="7" t="s">
        <v>1038</v>
      </c>
      <c r="D9730" s="7" t="n">
        <v>0</v>
      </c>
      <c r="E9730" s="7" t="n">
        <v>0</v>
      </c>
      <c r="F9730" s="7" t="n">
        <v>13</v>
      </c>
      <c r="G9730" s="7" t="n">
        <v>1725.95</v>
      </c>
    </row>
    <row r="9731" customFormat="false" ht="15" hidden="false" customHeight="false" outlineLevel="0" collapsed="false">
      <c r="A9731" s="7" t="s">
        <v>25</v>
      </c>
      <c r="B9731" s="7" t="s">
        <v>845</v>
      </c>
      <c r="C9731" s="7" t="s">
        <v>1038</v>
      </c>
      <c r="D9731" s="7" t="n">
        <v>10</v>
      </c>
      <c r="E9731" s="7" t="n">
        <v>1394.67</v>
      </c>
      <c r="F9731" s="7" t="n">
        <v>0</v>
      </c>
      <c r="G9731" s="7" t="n">
        <v>0</v>
      </c>
    </row>
    <row r="9732" customFormat="false" ht="15" hidden="false" customHeight="false" outlineLevel="0" collapsed="false">
      <c r="A9732" s="7" t="s">
        <v>25</v>
      </c>
      <c r="B9732" s="7" t="s">
        <v>845</v>
      </c>
      <c r="C9732" s="7" t="s">
        <v>1038</v>
      </c>
      <c r="D9732" s="7" t="n">
        <v>0</v>
      </c>
      <c r="E9732" s="7" t="n">
        <v>0</v>
      </c>
      <c r="F9732" s="7" t="n">
        <v>10</v>
      </c>
      <c r="G9732" s="7" t="n">
        <v>1264.67</v>
      </c>
    </row>
    <row r="9733" customFormat="false" ht="15" hidden="false" customHeight="false" outlineLevel="0" collapsed="false">
      <c r="A9733" s="7" t="s">
        <v>25</v>
      </c>
      <c r="B9733" s="7" t="s">
        <v>845</v>
      </c>
      <c r="C9733" s="7" t="s">
        <v>1038</v>
      </c>
      <c r="D9733" s="7" t="n">
        <v>13</v>
      </c>
      <c r="E9733" s="7" t="n">
        <v>1888.88</v>
      </c>
      <c r="F9733" s="7" t="n">
        <v>0</v>
      </c>
      <c r="G9733" s="7" t="n">
        <v>0</v>
      </c>
    </row>
    <row r="9734" customFormat="false" ht="15" hidden="false" customHeight="false" outlineLevel="0" collapsed="false">
      <c r="A9734" s="7" t="s">
        <v>25</v>
      </c>
      <c r="B9734" s="7" t="s">
        <v>868</v>
      </c>
      <c r="C9734" s="7" t="s">
        <v>1038</v>
      </c>
      <c r="D9734" s="7" t="n">
        <v>1</v>
      </c>
      <c r="E9734" s="7" t="n">
        <v>133.95</v>
      </c>
      <c r="F9734" s="7" t="n">
        <v>0</v>
      </c>
      <c r="G9734" s="7" t="n">
        <v>0</v>
      </c>
    </row>
    <row r="9735" customFormat="false" ht="15" hidden="false" customHeight="false" outlineLevel="0" collapsed="false">
      <c r="A9735" s="7" t="s">
        <v>25</v>
      </c>
      <c r="B9735" s="7" t="s">
        <v>868</v>
      </c>
      <c r="C9735" s="7" t="s">
        <v>1038</v>
      </c>
      <c r="D9735" s="7" t="n">
        <v>1</v>
      </c>
      <c r="E9735" s="7" t="n">
        <v>134.61</v>
      </c>
      <c r="F9735" s="7" t="n">
        <v>0</v>
      </c>
      <c r="G9735" s="7" t="n">
        <v>0</v>
      </c>
    </row>
    <row r="9736" customFormat="false" ht="15" hidden="false" customHeight="false" outlineLevel="0" collapsed="false">
      <c r="A9736" s="7" t="s">
        <v>25</v>
      </c>
      <c r="B9736" s="7" t="s">
        <v>868</v>
      </c>
      <c r="C9736" s="7" t="s">
        <v>1038</v>
      </c>
      <c r="D9736" s="7" t="n">
        <v>3</v>
      </c>
      <c r="E9736" s="7" t="n">
        <v>416.46</v>
      </c>
      <c r="F9736" s="7" t="n">
        <v>0</v>
      </c>
      <c r="G9736" s="7" t="n">
        <v>0</v>
      </c>
    </row>
    <row r="9737" customFormat="false" ht="15" hidden="false" customHeight="false" outlineLevel="0" collapsed="false">
      <c r="A9737" s="7" t="s">
        <v>25</v>
      </c>
      <c r="B9737" s="7" t="s">
        <v>868</v>
      </c>
      <c r="C9737" s="7" t="s">
        <v>1038</v>
      </c>
      <c r="D9737" s="7" t="n">
        <v>0</v>
      </c>
      <c r="E9737" s="7" t="n">
        <v>0</v>
      </c>
      <c r="F9737" s="7" t="n">
        <v>1</v>
      </c>
      <c r="G9737" s="7" t="n">
        <v>134.43</v>
      </c>
    </row>
    <row r="9738" customFormat="false" ht="15" hidden="false" customHeight="false" outlineLevel="0" collapsed="false">
      <c r="A9738" s="7" t="s">
        <v>25</v>
      </c>
      <c r="B9738" s="7" t="s">
        <v>868</v>
      </c>
      <c r="C9738" s="7" t="s">
        <v>1038</v>
      </c>
      <c r="D9738" s="7" t="n">
        <v>2</v>
      </c>
      <c r="E9738" s="7" t="n">
        <v>268.33</v>
      </c>
      <c r="F9738" s="7" t="n">
        <v>0</v>
      </c>
      <c r="G9738" s="7" t="n">
        <v>0</v>
      </c>
    </row>
    <row r="9739" customFormat="false" ht="15" hidden="false" customHeight="false" outlineLevel="0" collapsed="false">
      <c r="A9739" s="7" t="s">
        <v>25</v>
      </c>
      <c r="B9739" s="7" t="s">
        <v>868</v>
      </c>
      <c r="C9739" s="7" t="s">
        <v>1038</v>
      </c>
      <c r="D9739" s="7" t="n">
        <v>2</v>
      </c>
      <c r="E9739" s="7" t="n">
        <v>285.8</v>
      </c>
      <c r="F9739" s="7" t="n">
        <v>0</v>
      </c>
      <c r="G9739" s="7" t="n">
        <v>0</v>
      </c>
    </row>
    <row r="9740" customFormat="false" ht="15" hidden="false" customHeight="false" outlineLevel="0" collapsed="false">
      <c r="A9740" s="7" t="s">
        <v>25</v>
      </c>
      <c r="B9740" s="7" t="s">
        <v>868</v>
      </c>
      <c r="C9740" s="7" t="s">
        <v>1038</v>
      </c>
      <c r="D9740" s="7" t="n">
        <v>2</v>
      </c>
      <c r="E9740" s="7" t="n">
        <v>272.35</v>
      </c>
      <c r="F9740" s="7" t="n">
        <v>0</v>
      </c>
      <c r="G9740" s="7" t="n">
        <v>0</v>
      </c>
    </row>
    <row r="9741" customFormat="false" ht="15" hidden="false" customHeight="false" outlineLevel="0" collapsed="false">
      <c r="A9741" s="7" t="s">
        <v>25</v>
      </c>
      <c r="B9741" s="7" t="s">
        <v>868</v>
      </c>
      <c r="C9741" s="7" t="s">
        <v>1038</v>
      </c>
      <c r="D9741" s="7" t="n">
        <v>0</v>
      </c>
      <c r="E9741" s="7" t="n">
        <v>0</v>
      </c>
      <c r="F9741" s="7" t="n">
        <v>6</v>
      </c>
      <c r="G9741" s="7" t="n">
        <v>696.67</v>
      </c>
    </row>
    <row r="9742" customFormat="false" ht="15" hidden="false" customHeight="false" outlineLevel="0" collapsed="false">
      <c r="A9742" s="7" t="s">
        <v>25</v>
      </c>
      <c r="B9742" s="7" t="s">
        <v>868</v>
      </c>
      <c r="C9742" s="7" t="s">
        <v>1038</v>
      </c>
      <c r="D9742" s="7" t="n">
        <v>2</v>
      </c>
      <c r="E9742" s="7" t="n">
        <v>223.01</v>
      </c>
      <c r="F9742" s="7" t="n">
        <v>0</v>
      </c>
      <c r="G9742" s="7" t="n">
        <v>0</v>
      </c>
    </row>
    <row r="9743" customFormat="false" ht="15" hidden="false" customHeight="false" outlineLevel="0" collapsed="false">
      <c r="A9743" s="7" t="s">
        <v>25</v>
      </c>
      <c r="B9743" s="7" t="s">
        <v>868</v>
      </c>
      <c r="C9743" s="7" t="s">
        <v>1038</v>
      </c>
      <c r="D9743" s="7" t="n">
        <v>0</v>
      </c>
      <c r="E9743" s="7" t="n">
        <v>0</v>
      </c>
      <c r="F9743" s="7" t="n">
        <v>1</v>
      </c>
      <c r="G9743" s="7" t="n">
        <v>129.96</v>
      </c>
    </row>
    <row r="9744" customFormat="false" ht="15" hidden="false" customHeight="false" outlineLevel="0" collapsed="false">
      <c r="A9744" s="7" t="s">
        <v>25</v>
      </c>
      <c r="B9744" s="7" t="s">
        <v>868</v>
      </c>
      <c r="C9744" s="7" t="s">
        <v>1038</v>
      </c>
      <c r="D9744" s="7" t="n">
        <v>0</v>
      </c>
      <c r="E9744" s="7" t="n">
        <v>0</v>
      </c>
      <c r="F9744" s="7" t="n">
        <v>2</v>
      </c>
      <c r="G9744" s="7" t="n">
        <v>280.92</v>
      </c>
    </row>
    <row r="9745" customFormat="false" ht="15" hidden="false" customHeight="false" outlineLevel="0" collapsed="false">
      <c r="A9745" s="7" t="s">
        <v>25</v>
      </c>
      <c r="B9745" s="7" t="s">
        <v>868</v>
      </c>
      <c r="C9745" s="7" t="s">
        <v>1038</v>
      </c>
      <c r="D9745" s="7" t="n">
        <v>1</v>
      </c>
      <c r="E9745" s="7" t="n">
        <v>133.25</v>
      </c>
      <c r="F9745" s="7" t="n">
        <v>0</v>
      </c>
      <c r="G9745" s="7" t="n">
        <v>0</v>
      </c>
    </row>
    <row r="9746" customFormat="false" ht="15" hidden="false" customHeight="false" outlineLevel="0" collapsed="false">
      <c r="A9746" s="7" t="s">
        <v>25</v>
      </c>
      <c r="B9746" s="7" t="s">
        <v>868</v>
      </c>
      <c r="C9746" s="7" t="s">
        <v>1038</v>
      </c>
      <c r="D9746" s="7" t="n">
        <v>3</v>
      </c>
      <c r="E9746" s="7" t="n">
        <v>445.6</v>
      </c>
      <c r="F9746" s="7" t="n">
        <v>0</v>
      </c>
      <c r="G9746" s="7" t="n">
        <v>0</v>
      </c>
    </row>
    <row r="9747" customFormat="false" ht="15" hidden="false" customHeight="false" outlineLevel="0" collapsed="false">
      <c r="A9747" s="7" t="s">
        <v>25</v>
      </c>
      <c r="B9747" s="7" t="s">
        <v>868</v>
      </c>
      <c r="C9747" s="7" t="s">
        <v>1038</v>
      </c>
      <c r="D9747" s="7" t="n">
        <v>4</v>
      </c>
      <c r="E9747" s="7" t="n">
        <v>581.77</v>
      </c>
      <c r="F9747" s="7" t="n">
        <v>0</v>
      </c>
      <c r="G9747" s="7" t="n">
        <v>0</v>
      </c>
    </row>
    <row r="9748" customFormat="false" ht="15" hidden="false" customHeight="false" outlineLevel="0" collapsed="false">
      <c r="A9748" s="7" t="s">
        <v>25</v>
      </c>
      <c r="B9748" s="7" t="s">
        <v>868</v>
      </c>
      <c r="C9748" s="7" t="s">
        <v>1038</v>
      </c>
      <c r="D9748" s="7" t="n">
        <v>0</v>
      </c>
      <c r="E9748" s="7" t="n">
        <v>0</v>
      </c>
      <c r="F9748" s="7" t="n">
        <v>2</v>
      </c>
      <c r="G9748" s="7" t="n">
        <v>284.79</v>
      </c>
    </row>
    <row r="9749" customFormat="false" ht="15" hidden="false" customHeight="false" outlineLevel="0" collapsed="false">
      <c r="A9749" s="7" t="s">
        <v>25</v>
      </c>
      <c r="B9749" s="7" t="s">
        <v>868</v>
      </c>
      <c r="C9749" s="7" t="s">
        <v>1038</v>
      </c>
      <c r="D9749" s="7" t="n">
        <v>0</v>
      </c>
      <c r="E9749" s="7" t="n">
        <v>0</v>
      </c>
      <c r="F9749" s="7" t="n">
        <v>6</v>
      </c>
      <c r="G9749" s="7" t="n">
        <v>796.59</v>
      </c>
    </row>
    <row r="9750" customFormat="false" ht="15" hidden="false" customHeight="false" outlineLevel="0" collapsed="false">
      <c r="A9750" s="7" t="s">
        <v>25</v>
      </c>
      <c r="B9750" s="7" t="s">
        <v>868</v>
      </c>
      <c r="C9750" s="7" t="s">
        <v>1038</v>
      </c>
      <c r="D9750" s="7" t="n">
        <v>1</v>
      </c>
      <c r="E9750" s="7" t="n">
        <v>105.5</v>
      </c>
      <c r="F9750" s="7" t="n">
        <v>0</v>
      </c>
      <c r="G9750" s="7" t="n">
        <v>0</v>
      </c>
    </row>
    <row r="9751" customFormat="false" ht="15" hidden="false" customHeight="false" outlineLevel="0" collapsed="false">
      <c r="A9751" s="7" t="s">
        <v>25</v>
      </c>
      <c r="B9751" s="7" t="s">
        <v>868</v>
      </c>
      <c r="C9751" s="7" t="s">
        <v>1038</v>
      </c>
      <c r="D9751" s="7" t="n">
        <v>2</v>
      </c>
      <c r="E9751" s="7" t="n">
        <v>274.03</v>
      </c>
      <c r="F9751" s="7" t="n">
        <v>0</v>
      </c>
      <c r="G9751" s="7" t="n">
        <v>0</v>
      </c>
    </row>
    <row r="9752" customFormat="false" ht="15" hidden="false" customHeight="false" outlineLevel="0" collapsed="false">
      <c r="A9752" s="7" t="s">
        <v>25</v>
      </c>
      <c r="B9752" s="7" t="s">
        <v>868</v>
      </c>
      <c r="C9752" s="7" t="s">
        <v>1038</v>
      </c>
      <c r="D9752" s="7" t="n">
        <v>0</v>
      </c>
      <c r="E9752" s="7" t="n">
        <v>0</v>
      </c>
      <c r="F9752" s="7" t="n">
        <v>1</v>
      </c>
      <c r="G9752" s="7" t="n">
        <v>126.47</v>
      </c>
    </row>
    <row r="9753" customFormat="false" ht="15" hidden="false" customHeight="false" outlineLevel="0" collapsed="false">
      <c r="A9753" s="7" t="s">
        <v>25</v>
      </c>
      <c r="B9753" s="7" t="s">
        <v>868</v>
      </c>
      <c r="C9753" s="7" t="s">
        <v>1038</v>
      </c>
      <c r="D9753" s="7" t="n">
        <v>0</v>
      </c>
      <c r="E9753" s="7" t="n">
        <v>0</v>
      </c>
      <c r="F9753" s="7" t="n">
        <v>5</v>
      </c>
      <c r="G9753" s="7" t="n">
        <v>675.44</v>
      </c>
    </row>
    <row r="9754" customFormat="false" ht="15" hidden="false" customHeight="false" outlineLevel="0" collapsed="false">
      <c r="A9754" s="7" t="s">
        <v>25</v>
      </c>
      <c r="B9754" s="7" t="s">
        <v>868</v>
      </c>
      <c r="C9754" s="7" t="s">
        <v>1038</v>
      </c>
      <c r="D9754" s="7" t="n">
        <v>3</v>
      </c>
      <c r="E9754" s="7" t="n">
        <v>301.85</v>
      </c>
      <c r="F9754" s="7" t="n">
        <v>0</v>
      </c>
      <c r="G9754" s="7" t="n">
        <v>0</v>
      </c>
    </row>
    <row r="9755" customFormat="false" ht="15" hidden="false" customHeight="false" outlineLevel="0" collapsed="false">
      <c r="A9755" s="7" t="s">
        <v>25</v>
      </c>
      <c r="B9755" s="7" t="s">
        <v>831</v>
      </c>
      <c r="C9755" s="7" t="s">
        <v>1038</v>
      </c>
      <c r="D9755" s="7" t="n">
        <v>10</v>
      </c>
      <c r="E9755" s="7" t="n">
        <v>1355.12</v>
      </c>
      <c r="F9755" s="7" t="n">
        <v>0</v>
      </c>
      <c r="G9755" s="7" t="n">
        <v>0</v>
      </c>
    </row>
    <row r="9756" customFormat="false" ht="15" hidden="false" customHeight="false" outlineLevel="0" collapsed="false">
      <c r="A9756" s="7" t="s">
        <v>25</v>
      </c>
      <c r="B9756" s="7" t="s">
        <v>831</v>
      </c>
      <c r="C9756" s="7" t="s">
        <v>1038</v>
      </c>
      <c r="D9756" s="7" t="n">
        <v>42</v>
      </c>
      <c r="E9756" s="7" t="n">
        <v>6239.51</v>
      </c>
      <c r="F9756" s="7" t="n">
        <v>0</v>
      </c>
      <c r="G9756" s="7" t="n">
        <v>0</v>
      </c>
    </row>
    <row r="9757" customFormat="false" ht="15" hidden="false" customHeight="false" outlineLevel="0" collapsed="false">
      <c r="A9757" s="7" t="s">
        <v>25</v>
      </c>
      <c r="B9757" s="7" t="s">
        <v>831</v>
      </c>
      <c r="C9757" s="7" t="s">
        <v>1038</v>
      </c>
      <c r="D9757" s="7" t="n">
        <v>0</v>
      </c>
      <c r="E9757" s="7" t="n">
        <v>0</v>
      </c>
      <c r="F9757" s="7" t="n">
        <v>11</v>
      </c>
      <c r="G9757" s="7" t="n">
        <v>1448.12</v>
      </c>
    </row>
    <row r="9758" customFormat="false" ht="15" hidden="false" customHeight="false" outlineLevel="0" collapsed="false">
      <c r="A9758" s="7" t="s">
        <v>25</v>
      </c>
      <c r="B9758" s="7" t="s">
        <v>831</v>
      </c>
      <c r="C9758" s="7" t="s">
        <v>1038</v>
      </c>
      <c r="D9758" s="7" t="n">
        <v>22</v>
      </c>
      <c r="E9758" s="7" t="n">
        <v>2951.66</v>
      </c>
      <c r="F9758" s="7" t="n">
        <v>0</v>
      </c>
      <c r="G9758" s="7" t="n">
        <v>0</v>
      </c>
    </row>
    <row r="9759" customFormat="false" ht="15" hidden="false" customHeight="false" outlineLevel="0" collapsed="false">
      <c r="A9759" s="7" t="s">
        <v>25</v>
      </c>
      <c r="B9759" s="7" t="s">
        <v>831</v>
      </c>
      <c r="C9759" s="7" t="s">
        <v>1038</v>
      </c>
      <c r="D9759" s="7" t="n">
        <v>18</v>
      </c>
      <c r="E9759" s="7" t="n">
        <v>2391.61</v>
      </c>
      <c r="F9759" s="7" t="n">
        <v>0</v>
      </c>
      <c r="G9759" s="7" t="n">
        <v>0</v>
      </c>
    </row>
    <row r="9760" customFormat="false" ht="15" hidden="false" customHeight="false" outlineLevel="0" collapsed="false">
      <c r="A9760" s="7" t="s">
        <v>25</v>
      </c>
      <c r="B9760" s="7" t="s">
        <v>831</v>
      </c>
      <c r="C9760" s="7" t="s">
        <v>1038</v>
      </c>
      <c r="D9760" s="7" t="n">
        <v>16</v>
      </c>
      <c r="E9760" s="7" t="n">
        <v>2151.94</v>
      </c>
      <c r="F9760" s="7" t="n">
        <v>0</v>
      </c>
      <c r="G9760" s="7" t="n">
        <v>0</v>
      </c>
    </row>
    <row r="9761" customFormat="false" ht="15" hidden="false" customHeight="false" outlineLevel="0" collapsed="false">
      <c r="A9761" s="7" t="s">
        <v>25</v>
      </c>
      <c r="B9761" s="7" t="s">
        <v>831</v>
      </c>
      <c r="C9761" s="7" t="s">
        <v>1038</v>
      </c>
      <c r="D9761" s="7" t="n">
        <v>5</v>
      </c>
      <c r="E9761" s="7" t="n">
        <v>674.23</v>
      </c>
      <c r="F9761" s="7" t="n">
        <v>0</v>
      </c>
      <c r="G9761" s="7" t="n">
        <v>0</v>
      </c>
    </row>
    <row r="9762" customFormat="false" ht="15" hidden="false" customHeight="false" outlineLevel="0" collapsed="false">
      <c r="A9762" s="7" t="s">
        <v>25</v>
      </c>
      <c r="B9762" s="7" t="s">
        <v>831</v>
      </c>
      <c r="C9762" s="7" t="s">
        <v>1038</v>
      </c>
      <c r="D9762" s="7" t="n">
        <v>0</v>
      </c>
      <c r="E9762" s="7" t="n">
        <v>0</v>
      </c>
      <c r="F9762" s="7" t="n">
        <v>2</v>
      </c>
      <c r="G9762" s="7" t="n">
        <v>265.53</v>
      </c>
    </row>
    <row r="9763" customFormat="false" ht="15" hidden="false" customHeight="false" outlineLevel="0" collapsed="false">
      <c r="A9763" s="7" t="s">
        <v>25</v>
      </c>
      <c r="B9763" s="7" t="s">
        <v>831</v>
      </c>
      <c r="C9763" s="7" t="s">
        <v>1038</v>
      </c>
      <c r="D9763" s="7" t="n">
        <v>13</v>
      </c>
      <c r="E9763" s="7" t="n">
        <v>1811.13</v>
      </c>
      <c r="F9763" s="7" t="n">
        <v>0</v>
      </c>
      <c r="G9763" s="7" t="n">
        <v>0</v>
      </c>
    </row>
    <row r="9764" customFormat="false" ht="15" hidden="false" customHeight="false" outlineLevel="0" collapsed="false">
      <c r="A9764" s="7" t="s">
        <v>25</v>
      </c>
      <c r="B9764" s="7" t="s">
        <v>831</v>
      </c>
      <c r="C9764" s="7" t="s">
        <v>1038</v>
      </c>
      <c r="D9764" s="7" t="n">
        <v>29</v>
      </c>
      <c r="E9764" s="7" t="n">
        <v>3903.48</v>
      </c>
      <c r="F9764" s="7" t="n">
        <v>0</v>
      </c>
      <c r="G9764" s="7" t="n">
        <v>0</v>
      </c>
    </row>
    <row r="9765" customFormat="false" ht="15" hidden="false" customHeight="false" outlineLevel="0" collapsed="false">
      <c r="A9765" s="7" t="s">
        <v>25</v>
      </c>
      <c r="B9765" s="7" t="s">
        <v>831</v>
      </c>
      <c r="C9765" s="7" t="s">
        <v>1038</v>
      </c>
      <c r="D9765" s="7" t="n">
        <v>11</v>
      </c>
      <c r="E9765" s="7" t="n">
        <v>1507.15</v>
      </c>
      <c r="F9765" s="7" t="n">
        <v>0</v>
      </c>
      <c r="G9765" s="7" t="n">
        <v>0</v>
      </c>
    </row>
    <row r="9766" customFormat="false" ht="15" hidden="false" customHeight="false" outlineLevel="0" collapsed="false">
      <c r="A9766" s="7" t="s">
        <v>25</v>
      </c>
      <c r="B9766" s="7" t="s">
        <v>831</v>
      </c>
      <c r="C9766" s="7" t="s">
        <v>1038</v>
      </c>
      <c r="D9766" s="7" t="n">
        <v>0</v>
      </c>
      <c r="E9766" s="7" t="n">
        <v>0</v>
      </c>
      <c r="F9766" s="7" t="n">
        <v>23</v>
      </c>
      <c r="G9766" s="7" t="n">
        <v>3236.75</v>
      </c>
    </row>
    <row r="9767" customFormat="false" ht="15" hidden="false" customHeight="false" outlineLevel="0" collapsed="false">
      <c r="A9767" s="7" t="s">
        <v>25</v>
      </c>
      <c r="B9767" s="7" t="s">
        <v>831</v>
      </c>
      <c r="C9767" s="7" t="s">
        <v>1038</v>
      </c>
      <c r="D9767" s="7" t="n">
        <v>0</v>
      </c>
      <c r="E9767" s="7" t="n">
        <v>0</v>
      </c>
      <c r="F9767" s="7" t="n">
        <v>17</v>
      </c>
      <c r="G9767" s="7" t="n">
        <v>2274.16</v>
      </c>
    </row>
    <row r="9768" customFormat="false" ht="15" hidden="false" customHeight="false" outlineLevel="0" collapsed="false">
      <c r="A9768" s="7" t="s">
        <v>25</v>
      </c>
      <c r="B9768" s="7" t="s">
        <v>831</v>
      </c>
      <c r="C9768" s="7" t="s">
        <v>1038</v>
      </c>
      <c r="D9768" s="7" t="n">
        <v>12</v>
      </c>
      <c r="E9768" s="7" t="n">
        <v>1607.38</v>
      </c>
      <c r="F9768" s="7" t="n">
        <v>0</v>
      </c>
      <c r="G9768" s="7" t="n">
        <v>0</v>
      </c>
    </row>
    <row r="9769" customFormat="false" ht="15" hidden="false" customHeight="false" outlineLevel="0" collapsed="false">
      <c r="A9769" s="7" t="s">
        <v>25</v>
      </c>
      <c r="B9769" s="7" t="s">
        <v>831</v>
      </c>
      <c r="C9769" s="7" t="s">
        <v>1038</v>
      </c>
      <c r="D9769" s="7" t="n">
        <v>16</v>
      </c>
      <c r="E9769" s="7" t="n">
        <v>2472.4</v>
      </c>
      <c r="F9769" s="7" t="n">
        <v>0</v>
      </c>
      <c r="G9769" s="7" t="n">
        <v>0</v>
      </c>
    </row>
    <row r="9770" customFormat="false" ht="15" hidden="false" customHeight="false" outlineLevel="0" collapsed="false">
      <c r="A9770" s="7" t="s">
        <v>25</v>
      </c>
      <c r="B9770" s="7" t="s">
        <v>831</v>
      </c>
      <c r="C9770" s="7" t="s">
        <v>1038</v>
      </c>
      <c r="D9770" s="7" t="n">
        <v>1</v>
      </c>
      <c r="E9770" s="7" t="n">
        <v>142.9</v>
      </c>
      <c r="F9770" s="7" t="n">
        <v>0</v>
      </c>
      <c r="G9770" s="7" t="n">
        <v>0</v>
      </c>
    </row>
    <row r="9771" customFormat="false" ht="15" hidden="false" customHeight="false" outlineLevel="0" collapsed="false">
      <c r="A9771" s="7" t="s">
        <v>25</v>
      </c>
      <c r="B9771" s="7" t="s">
        <v>828</v>
      </c>
      <c r="C9771" s="7" t="s">
        <v>1038</v>
      </c>
      <c r="D9771" s="7" t="n">
        <v>17</v>
      </c>
      <c r="E9771" s="7" t="n">
        <v>2298.51</v>
      </c>
      <c r="F9771" s="7" t="n">
        <v>0</v>
      </c>
      <c r="G9771" s="7" t="n">
        <v>0</v>
      </c>
    </row>
    <row r="9772" customFormat="false" ht="15" hidden="false" customHeight="false" outlineLevel="0" collapsed="false">
      <c r="A9772" s="7" t="s">
        <v>25</v>
      </c>
      <c r="B9772" s="7" t="s">
        <v>828</v>
      </c>
      <c r="C9772" s="7" t="s">
        <v>1038</v>
      </c>
      <c r="D9772" s="7" t="n">
        <v>0</v>
      </c>
      <c r="E9772" s="7" t="n">
        <v>0</v>
      </c>
      <c r="F9772" s="7" t="n">
        <v>7</v>
      </c>
      <c r="G9772" s="7" t="n">
        <v>909.72</v>
      </c>
    </row>
    <row r="9773" customFormat="false" ht="15" hidden="false" customHeight="false" outlineLevel="0" collapsed="false">
      <c r="A9773" s="7" t="s">
        <v>25</v>
      </c>
      <c r="B9773" s="7" t="s">
        <v>828</v>
      </c>
      <c r="C9773" s="7" t="s">
        <v>1038</v>
      </c>
      <c r="D9773" s="7" t="n">
        <v>19</v>
      </c>
      <c r="E9773" s="7" t="n">
        <v>2492.03</v>
      </c>
      <c r="F9773" s="7" t="n">
        <v>0</v>
      </c>
      <c r="G9773" s="7" t="n">
        <v>0</v>
      </c>
    </row>
    <row r="9774" customFormat="false" ht="15" hidden="false" customHeight="false" outlineLevel="0" collapsed="false">
      <c r="A9774" s="7" t="s">
        <v>25</v>
      </c>
      <c r="B9774" s="7" t="s">
        <v>828</v>
      </c>
      <c r="C9774" s="7" t="s">
        <v>1038</v>
      </c>
      <c r="D9774" s="7" t="n">
        <v>0</v>
      </c>
      <c r="E9774" s="7" t="n">
        <v>0</v>
      </c>
      <c r="F9774" s="7" t="n">
        <v>1</v>
      </c>
      <c r="G9774" s="7" t="n">
        <v>140.46</v>
      </c>
    </row>
    <row r="9775" customFormat="false" ht="15" hidden="false" customHeight="false" outlineLevel="0" collapsed="false">
      <c r="A9775" s="7" t="s">
        <v>25</v>
      </c>
      <c r="B9775" s="7" t="s">
        <v>828</v>
      </c>
      <c r="C9775" s="7" t="s">
        <v>1038</v>
      </c>
      <c r="D9775" s="7" t="n">
        <v>27</v>
      </c>
      <c r="E9775" s="7" t="n">
        <v>3798.49</v>
      </c>
      <c r="F9775" s="7" t="n">
        <v>0</v>
      </c>
      <c r="G9775" s="7" t="n">
        <v>0</v>
      </c>
    </row>
    <row r="9776" customFormat="false" ht="15" hidden="false" customHeight="false" outlineLevel="0" collapsed="false">
      <c r="A9776" s="7" t="s">
        <v>25</v>
      </c>
      <c r="B9776" s="7" t="s">
        <v>828</v>
      </c>
      <c r="C9776" s="7" t="s">
        <v>1038</v>
      </c>
      <c r="D9776" s="7" t="n">
        <v>31</v>
      </c>
      <c r="E9776" s="7" t="n">
        <v>4287</v>
      </c>
      <c r="F9776" s="7" t="n">
        <v>0</v>
      </c>
      <c r="G9776" s="7" t="n">
        <v>0</v>
      </c>
    </row>
    <row r="9777" customFormat="false" ht="15" hidden="false" customHeight="false" outlineLevel="0" collapsed="false">
      <c r="A9777" s="7" t="s">
        <v>25</v>
      </c>
      <c r="B9777" s="7" t="s">
        <v>828</v>
      </c>
      <c r="C9777" s="7" t="s">
        <v>1038</v>
      </c>
      <c r="D9777" s="7" t="n">
        <v>0</v>
      </c>
      <c r="E9777" s="7" t="n">
        <v>0</v>
      </c>
      <c r="F9777" s="7" t="n">
        <v>5</v>
      </c>
      <c r="G9777" s="7" t="n">
        <v>689.81</v>
      </c>
    </row>
    <row r="9778" customFormat="false" ht="15" hidden="false" customHeight="false" outlineLevel="0" collapsed="false">
      <c r="A9778" s="7" t="s">
        <v>25</v>
      </c>
      <c r="B9778" s="7" t="s">
        <v>828</v>
      </c>
      <c r="C9778" s="7" t="s">
        <v>1038</v>
      </c>
      <c r="D9778" s="7" t="n">
        <v>6</v>
      </c>
      <c r="E9778" s="7" t="n">
        <v>803.69</v>
      </c>
      <c r="F9778" s="7" t="n">
        <v>0</v>
      </c>
      <c r="G9778" s="7" t="n">
        <v>0</v>
      </c>
    </row>
    <row r="9779" customFormat="false" ht="15" hidden="false" customHeight="false" outlineLevel="0" collapsed="false">
      <c r="A9779" s="7" t="s">
        <v>25</v>
      </c>
      <c r="B9779" s="7" t="s">
        <v>828</v>
      </c>
      <c r="C9779" s="7" t="s">
        <v>1038</v>
      </c>
      <c r="D9779" s="7" t="n">
        <v>23</v>
      </c>
      <c r="E9779" s="7" t="n">
        <v>3298.67</v>
      </c>
      <c r="F9779" s="7" t="n">
        <v>0</v>
      </c>
      <c r="G9779" s="7" t="n">
        <v>0</v>
      </c>
    </row>
    <row r="9780" customFormat="false" ht="15" hidden="false" customHeight="false" outlineLevel="0" collapsed="false">
      <c r="A9780" s="7" t="s">
        <v>25</v>
      </c>
      <c r="B9780" s="7" t="s">
        <v>828</v>
      </c>
      <c r="C9780" s="7" t="s">
        <v>1038</v>
      </c>
      <c r="D9780" s="7" t="n">
        <v>0</v>
      </c>
      <c r="E9780" s="7" t="n">
        <v>0</v>
      </c>
      <c r="F9780" s="7" t="n">
        <v>20</v>
      </c>
      <c r="G9780" s="7" t="n">
        <v>2809.57</v>
      </c>
    </row>
    <row r="9781" customFormat="false" ht="15" hidden="false" customHeight="false" outlineLevel="0" collapsed="false">
      <c r="A9781" s="7" t="s">
        <v>25</v>
      </c>
      <c r="B9781" s="7" t="s">
        <v>828</v>
      </c>
      <c r="C9781" s="7" t="s">
        <v>1038</v>
      </c>
      <c r="D9781" s="7" t="n">
        <v>0</v>
      </c>
      <c r="E9781" s="7" t="n">
        <v>0</v>
      </c>
      <c r="F9781" s="7" t="n">
        <v>1</v>
      </c>
      <c r="G9781" s="7" t="n">
        <v>132.77</v>
      </c>
    </row>
    <row r="9782" customFormat="false" ht="15" hidden="false" customHeight="false" outlineLevel="0" collapsed="false">
      <c r="A9782" s="7" t="s">
        <v>25</v>
      </c>
      <c r="B9782" s="7" t="s">
        <v>828</v>
      </c>
      <c r="C9782" s="7" t="s">
        <v>1038</v>
      </c>
      <c r="D9782" s="7" t="n">
        <v>6</v>
      </c>
      <c r="E9782" s="7" t="n">
        <v>805</v>
      </c>
      <c r="F9782" s="7" t="n">
        <v>0</v>
      </c>
      <c r="G9782" s="7" t="n">
        <v>0</v>
      </c>
    </row>
    <row r="9783" customFormat="false" ht="15" hidden="false" customHeight="false" outlineLevel="0" collapsed="false">
      <c r="A9783" s="7" t="s">
        <v>25</v>
      </c>
      <c r="B9783" s="7" t="s">
        <v>828</v>
      </c>
      <c r="C9783" s="7" t="s">
        <v>1038</v>
      </c>
      <c r="D9783" s="7" t="n">
        <v>18</v>
      </c>
      <c r="E9783" s="7" t="n">
        <v>2472.72</v>
      </c>
      <c r="F9783" s="7" t="n">
        <v>0</v>
      </c>
      <c r="G9783" s="7" t="n">
        <v>0</v>
      </c>
    </row>
    <row r="9784" customFormat="false" ht="15" hidden="false" customHeight="false" outlineLevel="0" collapsed="false">
      <c r="A9784" s="7" t="s">
        <v>25</v>
      </c>
      <c r="B9784" s="7" t="s">
        <v>828</v>
      </c>
      <c r="C9784" s="7" t="s">
        <v>1038</v>
      </c>
      <c r="D9784" s="7" t="n">
        <v>4</v>
      </c>
      <c r="E9784" s="7" t="n">
        <v>539.39</v>
      </c>
      <c r="F9784" s="7" t="n">
        <v>0</v>
      </c>
      <c r="G9784" s="7" t="n">
        <v>0</v>
      </c>
    </row>
    <row r="9785" customFormat="false" ht="15" hidden="false" customHeight="false" outlineLevel="0" collapsed="false">
      <c r="A9785" s="7" t="s">
        <v>25</v>
      </c>
      <c r="B9785" s="7" t="s">
        <v>828</v>
      </c>
      <c r="C9785" s="7" t="s">
        <v>1038</v>
      </c>
      <c r="D9785" s="7" t="n">
        <v>10</v>
      </c>
      <c r="E9785" s="7" t="n">
        <v>1370.13</v>
      </c>
      <c r="F9785" s="7" t="n">
        <v>0</v>
      </c>
      <c r="G9785" s="7" t="n">
        <v>0</v>
      </c>
    </row>
    <row r="9786" customFormat="false" ht="15" hidden="false" customHeight="false" outlineLevel="0" collapsed="false">
      <c r="A9786" s="7" t="s">
        <v>25</v>
      </c>
      <c r="B9786" s="7" t="s">
        <v>828</v>
      </c>
      <c r="C9786" s="7" t="s">
        <v>1038</v>
      </c>
      <c r="D9786" s="7" t="n">
        <v>12</v>
      </c>
      <c r="E9786" s="7" t="n">
        <v>1634.08</v>
      </c>
      <c r="F9786" s="7" t="n">
        <v>0</v>
      </c>
      <c r="G9786" s="7" t="n">
        <v>0</v>
      </c>
    </row>
    <row r="9787" customFormat="false" ht="15" hidden="false" customHeight="false" outlineLevel="0" collapsed="false">
      <c r="A9787" s="7" t="s">
        <v>25</v>
      </c>
      <c r="B9787" s="7" t="s">
        <v>828</v>
      </c>
      <c r="C9787" s="7" t="s">
        <v>1038</v>
      </c>
      <c r="D9787" s="7" t="n">
        <v>0</v>
      </c>
      <c r="E9787" s="7" t="n">
        <v>0</v>
      </c>
      <c r="F9787" s="7" t="n">
        <v>1</v>
      </c>
      <c r="G9787" s="7" t="n">
        <v>133.98</v>
      </c>
    </row>
    <row r="9788" customFormat="false" ht="15" hidden="false" customHeight="false" outlineLevel="0" collapsed="false">
      <c r="A9788" s="7" t="s">
        <v>25</v>
      </c>
      <c r="B9788" s="7" t="s">
        <v>828</v>
      </c>
      <c r="C9788" s="7" t="s">
        <v>1038</v>
      </c>
      <c r="D9788" s="7" t="n">
        <v>20</v>
      </c>
      <c r="E9788" s="7" t="n">
        <v>2691.86</v>
      </c>
      <c r="F9788" s="7" t="n">
        <v>0</v>
      </c>
      <c r="G9788" s="7" t="n">
        <v>0</v>
      </c>
    </row>
    <row r="9789" customFormat="false" ht="15" hidden="false" customHeight="false" outlineLevel="0" collapsed="false">
      <c r="A9789" s="7" t="s">
        <v>25</v>
      </c>
      <c r="B9789" s="7" t="s">
        <v>828</v>
      </c>
      <c r="C9789" s="7" t="s">
        <v>1038</v>
      </c>
      <c r="D9789" s="7" t="n">
        <v>31</v>
      </c>
      <c r="E9789" s="7" t="n">
        <v>4457.62</v>
      </c>
      <c r="F9789" s="7" t="n">
        <v>0</v>
      </c>
      <c r="G9789" s="7" t="n">
        <v>0</v>
      </c>
    </row>
    <row r="9790" customFormat="false" ht="15" hidden="false" customHeight="false" outlineLevel="0" collapsed="false">
      <c r="A9790" s="7" t="s">
        <v>25</v>
      </c>
      <c r="B9790" s="7" t="s">
        <v>828</v>
      </c>
      <c r="C9790" s="7" t="s">
        <v>1038</v>
      </c>
      <c r="D9790" s="7" t="n">
        <v>0</v>
      </c>
      <c r="E9790" s="7" t="n">
        <v>0</v>
      </c>
      <c r="F9790" s="7" t="n">
        <v>1</v>
      </c>
      <c r="G9790" s="7" t="n">
        <v>126.47</v>
      </c>
    </row>
    <row r="9791" customFormat="false" ht="15" hidden="false" customHeight="false" outlineLevel="0" collapsed="false">
      <c r="A9791" s="7" t="s">
        <v>25</v>
      </c>
      <c r="B9791" s="7" t="s">
        <v>828</v>
      </c>
      <c r="C9791" s="7" t="s">
        <v>1038</v>
      </c>
      <c r="D9791" s="7" t="n">
        <v>0</v>
      </c>
      <c r="E9791" s="7" t="n">
        <v>0</v>
      </c>
      <c r="F9791" s="7" t="n">
        <v>21</v>
      </c>
      <c r="G9791" s="7" t="n">
        <v>2776.3</v>
      </c>
    </row>
    <row r="9792" customFormat="false" ht="15" hidden="false" customHeight="false" outlineLevel="0" collapsed="false">
      <c r="A9792" s="7" t="s">
        <v>25</v>
      </c>
      <c r="B9792" s="7" t="s">
        <v>828</v>
      </c>
      <c r="C9792" s="7" t="s">
        <v>1038</v>
      </c>
      <c r="D9792" s="7" t="n">
        <v>0</v>
      </c>
      <c r="E9792" s="7" t="n">
        <v>0</v>
      </c>
      <c r="F9792" s="7" t="n">
        <v>1</v>
      </c>
      <c r="G9792" s="7" t="n">
        <v>132.9</v>
      </c>
    </row>
    <row r="9793" customFormat="false" ht="15" hidden="false" customHeight="false" outlineLevel="0" collapsed="false">
      <c r="A9793" s="7" t="s">
        <v>25</v>
      </c>
      <c r="B9793" s="7" t="s">
        <v>828</v>
      </c>
      <c r="C9793" s="7" t="s">
        <v>1038</v>
      </c>
      <c r="D9793" s="7" t="n">
        <v>0</v>
      </c>
      <c r="E9793" s="7" t="n">
        <v>0</v>
      </c>
      <c r="F9793" s="7" t="n">
        <v>3</v>
      </c>
      <c r="G9793" s="7" t="n">
        <v>368.16</v>
      </c>
    </row>
    <row r="9794" customFormat="false" ht="15" hidden="false" customHeight="false" outlineLevel="0" collapsed="false">
      <c r="A9794" s="7" t="s">
        <v>25</v>
      </c>
      <c r="B9794" s="7" t="s">
        <v>852</v>
      </c>
      <c r="C9794" s="7" t="s">
        <v>1193</v>
      </c>
      <c r="D9794" s="7" t="n">
        <v>0</v>
      </c>
      <c r="E9794" s="7" t="n">
        <v>0</v>
      </c>
      <c r="F9794" s="7" t="n">
        <v>15</v>
      </c>
      <c r="G9794" s="7" t="n">
        <v>1993.54</v>
      </c>
    </row>
    <row r="9795" customFormat="false" ht="15" hidden="false" customHeight="false" outlineLevel="0" collapsed="false">
      <c r="A9795" s="7" t="s">
        <v>25</v>
      </c>
      <c r="B9795" s="7" t="s">
        <v>852</v>
      </c>
      <c r="C9795" s="7" t="s">
        <v>1193</v>
      </c>
      <c r="D9795" s="7" t="n">
        <v>3</v>
      </c>
      <c r="E9795" s="7" t="n">
        <v>436.33</v>
      </c>
      <c r="F9795" s="7" t="n">
        <v>0</v>
      </c>
      <c r="G9795" s="7" t="n">
        <v>0</v>
      </c>
    </row>
    <row r="9796" customFormat="false" ht="15" hidden="false" customHeight="false" outlineLevel="0" collapsed="false">
      <c r="A9796" s="7" t="s">
        <v>25</v>
      </c>
      <c r="B9796" s="7" t="s">
        <v>852</v>
      </c>
      <c r="C9796" s="7" t="s">
        <v>1193</v>
      </c>
      <c r="D9796" s="7" t="n">
        <v>10</v>
      </c>
      <c r="E9796" s="7" t="n">
        <v>1370.13</v>
      </c>
      <c r="F9796" s="7" t="n">
        <v>0</v>
      </c>
      <c r="G9796" s="7" t="n">
        <v>0</v>
      </c>
    </row>
    <row r="9797" customFormat="false" ht="15" hidden="false" customHeight="false" outlineLevel="0" collapsed="false">
      <c r="A9797" s="7" t="s">
        <v>25</v>
      </c>
      <c r="B9797" s="7" t="s">
        <v>852</v>
      </c>
      <c r="C9797" s="7" t="s">
        <v>1193</v>
      </c>
      <c r="D9797" s="7" t="n">
        <v>0</v>
      </c>
      <c r="E9797" s="7" t="n">
        <v>0</v>
      </c>
      <c r="F9797" s="7" t="n">
        <v>22</v>
      </c>
      <c r="G9797" s="7" t="n">
        <v>3022.73</v>
      </c>
    </row>
    <row r="9798" customFormat="false" ht="15" hidden="false" customHeight="false" outlineLevel="0" collapsed="false">
      <c r="A9798" s="7" t="s">
        <v>25</v>
      </c>
      <c r="B9798" s="7" t="s">
        <v>852</v>
      </c>
      <c r="C9798" s="7" t="s">
        <v>1193</v>
      </c>
      <c r="D9798" s="7" t="n">
        <v>4</v>
      </c>
      <c r="E9798" s="7" t="n">
        <v>594.73</v>
      </c>
      <c r="F9798" s="7" t="n">
        <v>0</v>
      </c>
      <c r="G9798" s="7" t="n">
        <v>0</v>
      </c>
    </row>
    <row r="9799" customFormat="false" ht="15" hidden="false" customHeight="false" outlineLevel="0" collapsed="false">
      <c r="A9799" s="7" t="s">
        <v>25</v>
      </c>
      <c r="B9799" s="7" t="s">
        <v>852</v>
      </c>
      <c r="C9799" s="7" t="s">
        <v>1193</v>
      </c>
      <c r="D9799" s="7" t="n">
        <v>6</v>
      </c>
      <c r="E9799" s="7" t="n">
        <v>805</v>
      </c>
      <c r="F9799" s="7" t="n">
        <v>0</v>
      </c>
      <c r="G9799" s="7" t="n">
        <v>0</v>
      </c>
    </row>
    <row r="9800" customFormat="false" ht="15" hidden="false" customHeight="false" outlineLevel="0" collapsed="false">
      <c r="A9800" s="7" t="s">
        <v>25</v>
      </c>
      <c r="B9800" s="7" t="s">
        <v>852</v>
      </c>
      <c r="C9800" s="7" t="s">
        <v>1193</v>
      </c>
      <c r="D9800" s="7" t="n">
        <v>6</v>
      </c>
      <c r="E9800" s="7" t="n">
        <v>803.69</v>
      </c>
      <c r="F9800" s="7" t="n">
        <v>0</v>
      </c>
      <c r="G9800" s="7" t="n">
        <v>0</v>
      </c>
    </row>
    <row r="9801" customFormat="false" ht="15" hidden="false" customHeight="false" outlineLevel="0" collapsed="false">
      <c r="A9801" s="7" t="s">
        <v>25</v>
      </c>
      <c r="B9801" s="7" t="s">
        <v>852</v>
      </c>
      <c r="C9801" s="7" t="s">
        <v>1193</v>
      </c>
      <c r="D9801" s="7" t="n">
        <v>0</v>
      </c>
      <c r="E9801" s="7" t="n">
        <v>0</v>
      </c>
      <c r="F9801" s="7" t="n">
        <v>18</v>
      </c>
      <c r="G9801" s="7" t="n">
        <v>2276.4</v>
      </c>
    </row>
    <row r="9802" customFormat="false" ht="15" hidden="false" customHeight="false" outlineLevel="0" collapsed="false">
      <c r="A9802" s="7" t="s">
        <v>25</v>
      </c>
      <c r="B9802" s="7" t="s">
        <v>852</v>
      </c>
      <c r="C9802" s="7" t="s">
        <v>1193</v>
      </c>
      <c r="D9802" s="7" t="n">
        <v>14</v>
      </c>
      <c r="E9802" s="7" t="n">
        <v>1894.59</v>
      </c>
      <c r="F9802" s="7" t="n">
        <v>0</v>
      </c>
      <c r="G9802" s="7" t="n">
        <v>0</v>
      </c>
    </row>
    <row r="9803" customFormat="false" ht="15" hidden="false" customHeight="false" outlineLevel="0" collapsed="false">
      <c r="A9803" s="7" t="s">
        <v>25</v>
      </c>
      <c r="B9803" s="7" t="s">
        <v>852</v>
      </c>
      <c r="C9803" s="7" t="s">
        <v>1193</v>
      </c>
      <c r="D9803" s="7" t="n">
        <v>14</v>
      </c>
      <c r="E9803" s="7" t="n">
        <v>1892.08</v>
      </c>
      <c r="F9803" s="7" t="n">
        <v>0</v>
      </c>
      <c r="G9803" s="7" t="n">
        <v>0</v>
      </c>
    </row>
    <row r="9804" customFormat="false" ht="15" hidden="false" customHeight="false" outlineLevel="0" collapsed="false">
      <c r="A9804" s="7" t="s">
        <v>25</v>
      </c>
      <c r="B9804" s="7" t="s">
        <v>852</v>
      </c>
      <c r="C9804" s="7" t="s">
        <v>1193</v>
      </c>
      <c r="D9804" s="7" t="n">
        <v>0</v>
      </c>
      <c r="E9804" s="7" t="n">
        <v>0</v>
      </c>
      <c r="F9804" s="7" t="n">
        <v>19</v>
      </c>
      <c r="G9804" s="7" t="n">
        <v>2554.17</v>
      </c>
    </row>
    <row r="9805" customFormat="false" ht="15" hidden="false" customHeight="false" outlineLevel="0" collapsed="false">
      <c r="A9805" s="7" t="s">
        <v>25</v>
      </c>
      <c r="B9805" s="7" t="s">
        <v>852</v>
      </c>
      <c r="C9805" s="7" t="s">
        <v>1193</v>
      </c>
      <c r="D9805" s="7" t="n">
        <v>0</v>
      </c>
      <c r="E9805" s="7" t="n">
        <v>0</v>
      </c>
      <c r="F9805" s="7" t="n">
        <v>15</v>
      </c>
      <c r="G9805" s="7" t="n">
        <v>1768.49</v>
      </c>
    </row>
    <row r="9806" customFormat="false" ht="15" hidden="false" customHeight="false" outlineLevel="0" collapsed="false">
      <c r="A9806" s="7" t="s">
        <v>25</v>
      </c>
      <c r="B9806" s="7" t="s">
        <v>852</v>
      </c>
      <c r="C9806" s="7" t="s">
        <v>1193</v>
      </c>
      <c r="D9806" s="7" t="n">
        <v>6</v>
      </c>
      <c r="E9806" s="7" t="n">
        <v>809.08</v>
      </c>
      <c r="F9806" s="7" t="n">
        <v>0</v>
      </c>
      <c r="G9806" s="7" t="n">
        <v>0</v>
      </c>
    </row>
    <row r="9807" customFormat="false" ht="15" hidden="false" customHeight="false" outlineLevel="0" collapsed="false">
      <c r="A9807" s="7" t="s">
        <v>25</v>
      </c>
      <c r="B9807" s="7" t="s">
        <v>852</v>
      </c>
      <c r="C9807" s="7" t="s">
        <v>1193</v>
      </c>
      <c r="D9807" s="7" t="n">
        <v>13</v>
      </c>
      <c r="E9807" s="7" t="n">
        <v>1804.65</v>
      </c>
      <c r="F9807" s="7" t="n">
        <v>0</v>
      </c>
      <c r="G9807" s="7" t="n">
        <v>0</v>
      </c>
    </row>
    <row r="9808" customFormat="false" ht="15" hidden="false" customHeight="false" outlineLevel="0" collapsed="false">
      <c r="A9808" s="7" t="s">
        <v>25</v>
      </c>
      <c r="B9808" s="7" t="s">
        <v>852</v>
      </c>
      <c r="C9808" s="7" t="s">
        <v>1193</v>
      </c>
      <c r="D9808" s="7" t="n">
        <v>0</v>
      </c>
      <c r="E9808" s="7" t="n">
        <v>0</v>
      </c>
      <c r="F9808" s="7" t="n">
        <v>12</v>
      </c>
      <c r="G9808" s="7" t="n">
        <v>1532.59</v>
      </c>
    </row>
    <row r="9809" customFormat="false" ht="15" hidden="false" customHeight="false" outlineLevel="0" collapsed="false">
      <c r="A9809" s="7" t="s">
        <v>25</v>
      </c>
      <c r="B9809" s="7" t="s">
        <v>852</v>
      </c>
      <c r="C9809" s="7" t="s">
        <v>1193</v>
      </c>
      <c r="D9809" s="7" t="n">
        <v>0</v>
      </c>
      <c r="E9809" s="7" t="n">
        <v>0</v>
      </c>
      <c r="F9809" s="7" t="n">
        <v>19</v>
      </c>
      <c r="G9809" s="7" t="n">
        <v>2484.74</v>
      </c>
    </row>
    <row r="9810" customFormat="false" ht="15" hidden="false" customHeight="false" outlineLevel="0" collapsed="false">
      <c r="A9810" s="7" t="s">
        <v>25</v>
      </c>
      <c r="B9810" s="7" t="s">
        <v>852</v>
      </c>
      <c r="C9810" s="7" t="s">
        <v>1193</v>
      </c>
      <c r="D9810" s="7" t="n">
        <v>0</v>
      </c>
      <c r="E9810" s="7" t="n">
        <v>0</v>
      </c>
      <c r="F9810" s="7" t="n">
        <v>6</v>
      </c>
      <c r="G9810" s="7" t="n">
        <v>798.32</v>
      </c>
    </row>
    <row r="9811" customFormat="false" ht="15" hidden="false" customHeight="false" outlineLevel="0" collapsed="false">
      <c r="A9811" s="7" t="s">
        <v>25</v>
      </c>
      <c r="B9811" s="7" t="s">
        <v>852</v>
      </c>
      <c r="C9811" s="7" t="s">
        <v>1193</v>
      </c>
      <c r="D9811" s="7" t="n">
        <v>8</v>
      </c>
      <c r="E9811" s="7" t="n">
        <v>1089.39</v>
      </c>
      <c r="F9811" s="7" t="n">
        <v>0</v>
      </c>
      <c r="G9811" s="7" t="n">
        <v>0</v>
      </c>
    </row>
    <row r="9812" customFormat="false" ht="15" hidden="false" customHeight="false" outlineLevel="0" collapsed="false">
      <c r="A9812" s="7" t="s">
        <v>25</v>
      </c>
      <c r="B9812" s="7" t="s">
        <v>852</v>
      </c>
      <c r="C9812" s="7" t="s">
        <v>1193</v>
      </c>
      <c r="D9812" s="7" t="n">
        <v>7</v>
      </c>
      <c r="E9812" s="7" t="n">
        <v>984.79</v>
      </c>
      <c r="F9812" s="7" t="n">
        <v>0</v>
      </c>
      <c r="G9812" s="7" t="n">
        <v>0</v>
      </c>
    </row>
    <row r="9813" customFormat="false" ht="15" hidden="false" customHeight="false" outlineLevel="0" collapsed="false">
      <c r="A9813" s="7" t="s">
        <v>25</v>
      </c>
      <c r="B9813" s="7" t="s">
        <v>844</v>
      </c>
      <c r="C9813" s="7" t="s">
        <v>1193</v>
      </c>
      <c r="D9813" s="7" t="n">
        <v>1</v>
      </c>
      <c r="E9813" s="7" t="n">
        <v>145.44</v>
      </c>
      <c r="F9813" s="7" t="n">
        <v>0</v>
      </c>
      <c r="G9813" s="7" t="n">
        <v>0</v>
      </c>
    </row>
    <row r="9814" customFormat="false" ht="15" hidden="false" customHeight="false" outlineLevel="0" collapsed="false">
      <c r="A9814" s="7" t="s">
        <v>25</v>
      </c>
      <c r="B9814" s="7" t="s">
        <v>844</v>
      </c>
      <c r="C9814" s="7" t="s">
        <v>1193</v>
      </c>
      <c r="D9814" s="7" t="n">
        <v>0</v>
      </c>
      <c r="E9814" s="7" t="n">
        <v>0</v>
      </c>
      <c r="F9814" s="7" t="n">
        <v>3</v>
      </c>
      <c r="G9814" s="7" t="n">
        <v>259.92</v>
      </c>
    </row>
    <row r="9815" customFormat="false" ht="15" hidden="false" customHeight="false" outlineLevel="0" collapsed="false">
      <c r="A9815" s="7" t="s">
        <v>25</v>
      </c>
      <c r="B9815" s="7" t="s">
        <v>844</v>
      </c>
      <c r="C9815" s="7" t="s">
        <v>1193</v>
      </c>
      <c r="D9815" s="7" t="n">
        <v>1</v>
      </c>
      <c r="E9815" s="7" t="n">
        <v>133.11</v>
      </c>
      <c r="F9815" s="7" t="n">
        <v>0</v>
      </c>
      <c r="G9815" s="7" t="n">
        <v>0</v>
      </c>
    </row>
    <row r="9816" customFormat="false" ht="15" hidden="false" customHeight="false" outlineLevel="0" collapsed="false">
      <c r="A9816" s="7" t="s">
        <v>25</v>
      </c>
      <c r="B9816" s="7" t="s">
        <v>844</v>
      </c>
      <c r="C9816" s="7" t="s">
        <v>1193</v>
      </c>
      <c r="D9816" s="7" t="n">
        <v>0</v>
      </c>
      <c r="E9816" s="7" t="n">
        <v>0</v>
      </c>
      <c r="F9816" s="7" t="n">
        <v>10</v>
      </c>
      <c r="G9816" s="7" t="n">
        <v>1159.18</v>
      </c>
    </row>
    <row r="9817" customFormat="false" ht="15" hidden="false" customHeight="false" outlineLevel="0" collapsed="false">
      <c r="A9817" s="7" t="s">
        <v>25</v>
      </c>
      <c r="B9817" s="7" t="s">
        <v>844</v>
      </c>
      <c r="C9817" s="7" t="s">
        <v>1193</v>
      </c>
      <c r="D9817" s="7" t="n">
        <v>5</v>
      </c>
      <c r="E9817" s="7" t="n">
        <v>669.74</v>
      </c>
      <c r="F9817" s="7" t="n">
        <v>0</v>
      </c>
      <c r="G9817" s="7" t="n">
        <v>0</v>
      </c>
    </row>
    <row r="9818" customFormat="false" ht="15" hidden="false" customHeight="false" outlineLevel="0" collapsed="false">
      <c r="A9818" s="7" t="s">
        <v>25</v>
      </c>
      <c r="B9818" s="7" t="s">
        <v>844</v>
      </c>
      <c r="C9818" s="7" t="s">
        <v>1193</v>
      </c>
      <c r="D9818" s="7" t="n">
        <v>1</v>
      </c>
      <c r="E9818" s="7" t="n">
        <v>140.68</v>
      </c>
      <c r="F9818" s="7" t="n">
        <v>0</v>
      </c>
      <c r="G9818" s="7" t="n">
        <v>0</v>
      </c>
    </row>
    <row r="9819" customFormat="false" ht="15" hidden="false" customHeight="false" outlineLevel="0" collapsed="false">
      <c r="A9819" s="7" t="s">
        <v>25</v>
      </c>
      <c r="B9819" s="7" t="s">
        <v>844</v>
      </c>
      <c r="C9819" s="7" t="s">
        <v>1193</v>
      </c>
      <c r="D9819" s="7" t="n">
        <v>0</v>
      </c>
      <c r="E9819" s="7" t="n">
        <v>0</v>
      </c>
      <c r="F9819" s="7" t="n">
        <v>9</v>
      </c>
      <c r="G9819" s="7" t="n">
        <v>1209.87</v>
      </c>
    </row>
    <row r="9820" customFormat="false" ht="15" hidden="false" customHeight="false" outlineLevel="0" collapsed="false">
      <c r="A9820" s="7" t="s">
        <v>25</v>
      </c>
      <c r="B9820" s="7" t="s">
        <v>844</v>
      </c>
      <c r="C9820" s="7" t="s">
        <v>1193</v>
      </c>
      <c r="D9820" s="7" t="n">
        <v>0</v>
      </c>
      <c r="E9820" s="7" t="n">
        <v>0</v>
      </c>
      <c r="F9820" s="7" t="n">
        <v>7</v>
      </c>
      <c r="G9820" s="7" t="n">
        <v>983.21</v>
      </c>
    </row>
    <row r="9821" customFormat="false" ht="15" hidden="false" customHeight="false" outlineLevel="0" collapsed="false">
      <c r="A9821" s="7" t="s">
        <v>25</v>
      </c>
      <c r="B9821" s="7" t="s">
        <v>844</v>
      </c>
      <c r="C9821" s="7" t="s">
        <v>1193</v>
      </c>
      <c r="D9821" s="7" t="n">
        <v>0</v>
      </c>
      <c r="E9821" s="7" t="n">
        <v>0</v>
      </c>
      <c r="F9821" s="7" t="n">
        <v>14</v>
      </c>
      <c r="G9821" s="7" t="n">
        <v>1708.72</v>
      </c>
    </row>
    <row r="9822" customFormat="false" ht="15" hidden="false" customHeight="false" outlineLevel="0" collapsed="false">
      <c r="A9822" s="7" t="s">
        <v>25</v>
      </c>
      <c r="B9822" s="7" t="s">
        <v>844</v>
      </c>
      <c r="C9822" s="7" t="s">
        <v>1193</v>
      </c>
      <c r="D9822" s="7" t="n">
        <v>1</v>
      </c>
      <c r="E9822" s="7" t="n">
        <v>138.82</v>
      </c>
      <c r="F9822" s="7" t="n">
        <v>0</v>
      </c>
      <c r="G9822" s="7" t="n">
        <v>0</v>
      </c>
    </row>
    <row r="9823" customFormat="false" ht="15" hidden="false" customHeight="false" outlineLevel="0" collapsed="false">
      <c r="A9823" s="7" t="s">
        <v>25</v>
      </c>
      <c r="B9823" s="7" t="s">
        <v>844</v>
      </c>
      <c r="C9823" s="7" t="s">
        <v>1193</v>
      </c>
      <c r="D9823" s="7" t="n">
        <v>3</v>
      </c>
      <c r="E9823" s="7" t="n">
        <v>411.04</v>
      </c>
      <c r="F9823" s="7" t="n">
        <v>0</v>
      </c>
      <c r="G9823" s="7" t="n">
        <v>0</v>
      </c>
    </row>
    <row r="9824" customFormat="false" ht="15" hidden="false" customHeight="false" outlineLevel="0" collapsed="false">
      <c r="A9824" s="7" t="s">
        <v>25</v>
      </c>
      <c r="B9824" s="7" t="s">
        <v>844</v>
      </c>
      <c r="C9824" s="7" t="s">
        <v>1193</v>
      </c>
      <c r="D9824" s="7" t="n">
        <v>0</v>
      </c>
      <c r="E9824" s="7" t="n">
        <v>0</v>
      </c>
      <c r="F9824" s="7" t="n">
        <v>11</v>
      </c>
      <c r="G9824" s="7" t="n">
        <v>1232.15</v>
      </c>
    </row>
    <row r="9825" customFormat="false" ht="15" hidden="false" customHeight="false" outlineLevel="0" collapsed="false">
      <c r="A9825" s="7" t="s">
        <v>25</v>
      </c>
      <c r="B9825" s="7" t="s">
        <v>844</v>
      </c>
      <c r="C9825" s="7" t="s">
        <v>1193</v>
      </c>
      <c r="D9825" s="7" t="n">
        <v>4</v>
      </c>
      <c r="E9825" s="7" t="n">
        <v>544.69</v>
      </c>
      <c r="F9825" s="7" t="n">
        <v>0</v>
      </c>
      <c r="G9825" s="7" t="n">
        <v>0</v>
      </c>
    </row>
    <row r="9826" customFormat="false" ht="15" hidden="false" customHeight="false" outlineLevel="0" collapsed="false">
      <c r="A9826" s="7" t="s">
        <v>25</v>
      </c>
      <c r="B9826" s="7" t="s">
        <v>844</v>
      </c>
      <c r="C9826" s="7" t="s">
        <v>1193</v>
      </c>
      <c r="D9826" s="7" t="n">
        <v>0</v>
      </c>
      <c r="E9826" s="7" t="n">
        <v>0</v>
      </c>
      <c r="F9826" s="7" t="n">
        <v>16</v>
      </c>
      <c r="G9826" s="7" t="n">
        <v>1770.54</v>
      </c>
    </row>
    <row r="9827" customFormat="false" ht="15" hidden="false" customHeight="false" outlineLevel="0" collapsed="false">
      <c r="A9827" s="7" t="s">
        <v>25</v>
      </c>
      <c r="B9827" s="7" t="s">
        <v>844</v>
      </c>
      <c r="C9827" s="7" t="s">
        <v>1193</v>
      </c>
      <c r="D9827" s="7" t="n">
        <v>0</v>
      </c>
      <c r="E9827" s="7" t="n">
        <v>0</v>
      </c>
      <c r="F9827" s="7" t="n">
        <v>7</v>
      </c>
      <c r="G9827" s="7" t="n">
        <v>825.21</v>
      </c>
    </row>
    <row r="9828" customFormat="false" ht="15" hidden="false" customHeight="false" outlineLevel="0" collapsed="false">
      <c r="A9828" s="7" t="s">
        <v>25</v>
      </c>
      <c r="B9828" s="7" t="s">
        <v>855</v>
      </c>
      <c r="C9828" s="7" t="s">
        <v>1193</v>
      </c>
      <c r="D9828" s="7" t="n">
        <v>0</v>
      </c>
      <c r="E9828" s="7" t="n">
        <v>0</v>
      </c>
      <c r="F9828" s="7" t="n">
        <v>3</v>
      </c>
      <c r="G9828" s="7" t="n">
        <v>348.34</v>
      </c>
    </row>
    <row r="9829" customFormat="false" ht="15" hidden="false" customHeight="false" outlineLevel="0" collapsed="false">
      <c r="A9829" s="7" t="s">
        <v>25</v>
      </c>
      <c r="B9829" s="7" t="s">
        <v>855</v>
      </c>
      <c r="C9829" s="7" t="s">
        <v>1193</v>
      </c>
      <c r="D9829" s="7" t="n">
        <v>0</v>
      </c>
      <c r="E9829" s="7" t="n">
        <v>0</v>
      </c>
      <c r="F9829" s="7" t="n">
        <v>2</v>
      </c>
      <c r="G9829" s="7" t="n">
        <v>280.92</v>
      </c>
    </row>
    <row r="9830" customFormat="false" ht="15" hidden="false" customHeight="false" outlineLevel="0" collapsed="false">
      <c r="A9830" s="7" t="s">
        <v>25</v>
      </c>
      <c r="B9830" s="7" t="s">
        <v>855</v>
      </c>
      <c r="C9830" s="7" t="s">
        <v>1193</v>
      </c>
      <c r="D9830" s="7" t="n">
        <v>0</v>
      </c>
      <c r="E9830" s="7" t="n">
        <v>0</v>
      </c>
      <c r="F9830" s="7" t="n">
        <v>1</v>
      </c>
      <c r="G9830" s="7" t="n">
        <v>142.39</v>
      </c>
    </row>
    <row r="9831" customFormat="false" ht="15" hidden="false" customHeight="false" outlineLevel="0" collapsed="false">
      <c r="A9831" s="7" t="s">
        <v>25</v>
      </c>
      <c r="B9831" s="7" t="s">
        <v>855</v>
      </c>
      <c r="C9831" s="7" t="s">
        <v>1193</v>
      </c>
      <c r="D9831" s="7" t="n">
        <v>0</v>
      </c>
      <c r="E9831" s="7" t="n">
        <v>0</v>
      </c>
      <c r="F9831" s="7" t="n">
        <v>4</v>
      </c>
      <c r="G9831" s="7" t="n">
        <v>437.84</v>
      </c>
    </row>
    <row r="9832" customFormat="false" ht="15" hidden="false" customHeight="false" outlineLevel="0" collapsed="false">
      <c r="A9832" s="7" t="s">
        <v>25</v>
      </c>
      <c r="B9832" s="7" t="s">
        <v>855</v>
      </c>
      <c r="C9832" s="7" t="s">
        <v>1193</v>
      </c>
      <c r="D9832" s="7" t="n">
        <v>0</v>
      </c>
      <c r="E9832" s="7" t="n">
        <v>0</v>
      </c>
      <c r="F9832" s="7" t="n">
        <v>3</v>
      </c>
      <c r="G9832" s="7" t="n">
        <v>412.6</v>
      </c>
    </row>
    <row r="9833" customFormat="false" ht="15" hidden="false" customHeight="false" outlineLevel="0" collapsed="false">
      <c r="A9833" s="7" t="s">
        <v>25</v>
      </c>
      <c r="B9833" s="7" t="s">
        <v>855</v>
      </c>
      <c r="C9833" s="7" t="s">
        <v>1193</v>
      </c>
      <c r="D9833" s="7" t="n">
        <v>0</v>
      </c>
      <c r="E9833" s="7" t="n">
        <v>0</v>
      </c>
      <c r="F9833" s="7" t="n">
        <v>5</v>
      </c>
      <c r="G9833" s="7" t="n">
        <v>663.83</v>
      </c>
    </row>
    <row r="9834" customFormat="false" ht="15" hidden="false" customHeight="false" outlineLevel="0" collapsed="false">
      <c r="A9834" s="7" t="s">
        <v>25</v>
      </c>
      <c r="B9834" s="7" t="s">
        <v>855</v>
      </c>
      <c r="C9834" s="7" t="s">
        <v>1193</v>
      </c>
      <c r="D9834" s="7" t="n">
        <v>1</v>
      </c>
      <c r="E9834" s="7" t="n">
        <v>137.01</v>
      </c>
      <c r="F9834" s="7" t="n">
        <v>0</v>
      </c>
      <c r="G9834" s="7" t="n">
        <v>0</v>
      </c>
    </row>
    <row r="9835" customFormat="false" ht="15" hidden="false" customHeight="false" outlineLevel="0" collapsed="false">
      <c r="A9835" s="7" t="s">
        <v>25</v>
      </c>
      <c r="B9835" s="7" t="s">
        <v>855</v>
      </c>
      <c r="C9835" s="7" t="s">
        <v>1193</v>
      </c>
      <c r="D9835" s="7" t="n">
        <v>0</v>
      </c>
      <c r="E9835" s="7" t="n">
        <v>0</v>
      </c>
      <c r="F9835" s="7" t="n">
        <v>2</v>
      </c>
      <c r="G9835" s="7" t="n">
        <v>269.2</v>
      </c>
    </row>
    <row r="9836" customFormat="false" ht="15" hidden="false" customHeight="false" outlineLevel="0" collapsed="false">
      <c r="A9836" s="7" t="s">
        <v>25</v>
      </c>
      <c r="B9836" s="7" t="s">
        <v>843</v>
      </c>
      <c r="C9836" s="7" t="s">
        <v>1193</v>
      </c>
      <c r="D9836" s="7" t="n">
        <v>8</v>
      </c>
      <c r="E9836" s="7" t="n">
        <v>1071.58</v>
      </c>
      <c r="F9836" s="7" t="n">
        <v>0</v>
      </c>
      <c r="G9836" s="7" t="n">
        <v>0</v>
      </c>
    </row>
    <row r="9837" customFormat="false" ht="15" hidden="false" customHeight="false" outlineLevel="0" collapsed="false">
      <c r="A9837" s="7" t="s">
        <v>25</v>
      </c>
      <c r="B9837" s="7" t="s">
        <v>843</v>
      </c>
      <c r="C9837" s="7" t="s">
        <v>1193</v>
      </c>
      <c r="D9837" s="7" t="n">
        <v>9</v>
      </c>
      <c r="E9837" s="7" t="n">
        <v>1212.55</v>
      </c>
      <c r="F9837" s="7" t="n">
        <v>0</v>
      </c>
      <c r="G9837" s="7" t="n">
        <v>0</v>
      </c>
    </row>
    <row r="9838" customFormat="false" ht="15" hidden="false" customHeight="false" outlineLevel="0" collapsed="false">
      <c r="A9838" s="7" t="s">
        <v>25</v>
      </c>
      <c r="B9838" s="7" t="s">
        <v>843</v>
      </c>
      <c r="C9838" s="7" t="s">
        <v>1193</v>
      </c>
      <c r="D9838" s="7" t="n">
        <v>0</v>
      </c>
      <c r="E9838" s="7" t="n">
        <v>0</v>
      </c>
      <c r="F9838" s="7" t="n">
        <v>20</v>
      </c>
      <c r="G9838" s="7" t="n">
        <v>2402.84</v>
      </c>
    </row>
    <row r="9839" customFormat="false" ht="15" hidden="false" customHeight="false" outlineLevel="0" collapsed="false">
      <c r="A9839" s="7" t="s">
        <v>25</v>
      </c>
      <c r="B9839" s="7" t="s">
        <v>843</v>
      </c>
      <c r="C9839" s="7" t="s">
        <v>1193</v>
      </c>
      <c r="D9839" s="7" t="n">
        <v>3</v>
      </c>
      <c r="E9839" s="7" t="n">
        <v>402.5</v>
      </c>
      <c r="F9839" s="7" t="n">
        <v>0</v>
      </c>
      <c r="G9839" s="7" t="n">
        <v>0</v>
      </c>
    </row>
    <row r="9840" customFormat="false" ht="15" hidden="false" customHeight="false" outlineLevel="0" collapsed="false">
      <c r="A9840" s="7" t="s">
        <v>25</v>
      </c>
      <c r="B9840" s="7" t="s">
        <v>843</v>
      </c>
      <c r="C9840" s="7" t="s">
        <v>1193</v>
      </c>
      <c r="D9840" s="7" t="n">
        <v>8</v>
      </c>
      <c r="E9840" s="7" t="n">
        <v>1110.55</v>
      </c>
      <c r="F9840" s="7" t="n">
        <v>0</v>
      </c>
      <c r="G9840" s="7" t="n">
        <v>0</v>
      </c>
    </row>
    <row r="9841" customFormat="false" ht="15" hidden="false" customHeight="false" outlineLevel="0" collapsed="false">
      <c r="A9841" s="7" t="s">
        <v>25</v>
      </c>
      <c r="B9841" s="7" t="s">
        <v>843</v>
      </c>
      <c r="C9841" s="7" t="s">
        <v>1193</v>
      </c>
      <c r="D9841" s="7" t="n">
        <v>0</v>
      </c>
      <c r="E9841" s="7" t="n">
        <v>0</v>
      </c>
      <c r="F9841" s="7" t="n">
        <v>37</v>
      </c>
      <c r="G9841" s="7" t="n">
        <v>4871.6</v>
      </c>
    </row>
    <row r="9842" customFormat="false" ht="15" hidden="false" customHeight="false" outlineLevel="0" collapsed="false">
      <c r="A9842" s="7" t="s">
        <v>25</v>
      </c>
      <c r="B9842" s="7" t="s">
        <v>843</v>
      </c>
      <c r="C9842" s="7" t="s">
        <v>1193</v>
      </c>
      <c r="D9842" s="7" t="n">
        <v>0</v>
      </c>
      <c r="E9842" s="7" t="n">
        <v>0</v>
      </c>
      <c r="F9842" s="7" t="n">
        <v>20</v>
      </c>
      <c r="G9842" s="7" t="n">
        <v>2626</v>
      </c>
    </row>
    <row r="9843" customFormat="false" ht="15" hidden="false" customHeight="false" outlineLevel="0" collapsed="false">
      <c r="A9843" s="7" t="s">
        <v>25</v>
      </c>
      <c r="B9843" s="7" t="s">
        <v>843</v>
      </c>
      <c r="C9843" s="7" t="s">
        <v>1193</v>
      </c>
      <c r="D9843" s="7" t="n">
        <v>14</v>
      </c>
      <c r="E9843" s="7" t="n">
        <v>1828.94</v>
      </c>
      <c r="F9843" s="7" t="n">
        <v>0</v>
      </c>
      <c r="G9843" s="7" t="n">
        <v>0</v>
      </c>
    </row>
    <row r="9844" customFormat="false" ht="15" hidden="false" customHeight="false" outlineLevel="0" collapsed="false">
      <c r="A9844" s="7" t="s">
        <v>25</v>
      </c>
      <c r="B9844" s="7" t="s">
        <v>843</v>
      </c>
      <c r="C9844" s="7" t="s">
        <v>1193</v>
      </c>
      <c r="D9844" s="7" t="n">
        <v>2</v>
      </c>
      <c r="E9844" s="7" t="n">
        <v>297.37</v>
      </c>
      <c r="F9844" s="7" t="n">
        <v>0</v>
      </c>
      <c r="G9844" s="7" t="n">
        <v>0</v>
      </c>
    </row>
    <row r="9845" customFormat="false" ht="15" hidden="false" customHeight="false" outlineLevel="0" collapsed="false">
      <c r="A9845" s="7" t="s">
        <v>25</v>
      </c>
      <c r="B9845" s="7" t="s">
        <v>843</v>
      </c>
      <c r="C9845" s="7" t="s">
        <v>1193</v>
      </c>
      <c r="D9845" s="7" t="n">
        <v>4</v>
      </c>
      <c r="E9845" s="7" t="n">
        <v>539.39</v>
      </c>
      <c r="F9845" s="7" t="n">
        <v>0</v>
      </c>
      <c r="G9845" s="7" t="n">
        <v>0</v>
      </c>
    </row>
    <row r="9846" customFormat="false" ht="15" hidden="false" customHeight="false" outlineLevel="0" collapsed="false">
      <c r="A9846" s="7" t="s">
        <v>25</v>
      </c>
      <c r="B9846" s="7" t="s">
        <v>843</v>
      </c>
      <c r="C9846" s="7" t="s">
        <v>1193</v>
      </c>
      <c r="D9846" s="7" t="n">
        <v>0</v>
      </c>
      <c r="E9846" s="7" t="n">
        <v>0</v>
      </c>
      <c r="F9846" s="7" t="n">
        <v>10</v>
      </c>
      <c r="G9846" s="7" t="n">
        <v>1404.59</v>
      </c>
    </row>
    <row r="9847" customFormat="false" ht="15" hidden="false" customHeight="false" outlineLevel="0" collapsed="false">
      <c r="A9847" s="7" t="s">
        <v>25</v>
      </c>
      <c r="B9847" s="7" t="s">
        <v>843</v>
      </c>
      <c r="C9847" s="7" t="s">
        <v>1193</v>
      </c>
      <c r="D9847" s="7" t="n">
        <v>7</v>
      </c>
      <c r="E9847" s="7" t="n">
        <v>953.21</v>
      </c>
      <c r="F9847" s="7" t="n">
        <v>0</v>
      </c>
      <c r="G9847" s="7" t="n">
        <v>0</v>
      </c>
    </row>
    <row r="9848" customFormat="false" ht="15" hidden="false" customHeight="false" outlineLevel="0" collapsed="false">
      <c r="A9848" s="7" t="s">
        <v>25</v>
      </c>
      <c r="B9848" s="7" t="s">
        <v>843</v>
      </c>
      <c r="C9848" s="7" t="s">
        <v>1193</v>
      </c>
      <c r="D9848" s="7" t="n">
        <v>10</v>
      </c>
      <c r="E9848" s="7" t="n">
        <v>1454.44</v>
      </c>
      <c r="F9848" s="7" t="n">
        <v>0</v>
      </c>
      <c r="G9848" s="7" t="n">
        <v>0</v>
      </c>
    </row>
    <row r="9849" customFormat="false" ht="15" hidden="false" customHeight="false" outlineLevel="0" collapsed="false">
      <c r="A9849" s="7" t="s">
        <v>25</v>
      </c>
      <c r="B9849" s="7" t="s">
        <v>843</v>
      </c>
      <c r="C9849" s="7" t="s">
        <v>1193</v>
      </c>
      <c r="D9849" s="7" t="n">
        <v>0</v>
      </c>
      <c r="E9849" s="7" t="n">
        <v>0</v>
      </c>
      <c r="F9849" s="7" t="n">
        <v>10</v>
      </c>
      <c r="G9849" s="7" t="n">
        <v>1169.63</v>
      </c>
    </row>
    <row r="9850" customFormat="false" ht="15" hidden="false" customHeight="false" outlineLevel="0" collapsed="false">
      <c r="A9850" s="7" t="s">
        <v>25</v>
      </c>
      <c r="B9850" s="7" t="s">
        <v>843</v>
      </c>
      <c r="C9850" s="7" t="s">
        <v>1193</v>
      </c>
      <c r="D9850" s="7" t="n">
        <v>0</v>
      </c>
      <c r="E9850" s="7" t="n">
        <v>0</v>
      </c>
      <c r="F9850" s="7" t="n">
        <v>17</v>
      </c>
      <c r="G9850" s="7" t="n">
        <v>2420.69</v>
      </c>
    </row>
    <row r="9851" customFormat="false" ht="15" hidden="false" customHeight="false" outlineLevel="0" collapsed="false">
      <c r="A9851" s="7" t="s">
        <v>25</v>
      </c>
      <c r="B9851" s="7" t="s">
        <v>843</v>
      </c>
      <c r="C9851" s="7" t="s">
        <v>1193</v>
      </c>
      <c r="D9851" s="7" t="n">
        <v>0</v>
      </c>
      <c r="E9851" s="7" t="n">
        <v>0</v>
      </c>
      <c r="F9851" s="7" t="n">
        <v>3</v>
      </c>
      <c r="G9851" s="7" t="n">
        <v>381.18</v>
      </c>
    </row>
    <row r="9852" customFormat="false" ht="15" hidden="false" customHeight="false" outlineLevel="0" collapsed="false">
      <c r="A9852" s="7" t="s">
        <v>25</v>
      </c>
      <c r="B9852" s="7" t="s">
        <v>843</v>
      </c>
      <c r="C9852" s="7" t="s">
        <v>1193</v>
      </c>
      <c r="D9852" s="7" t="n">
        <v>0</v>
      </c>
      <c r="E9852" s="7" t="n">
        <v>0</v>
      </c>
      <c r="F9852" s="7" t="n">
        <v>24</v>
      </c>
      <c r="G9852" s="7" t="n">
        <v>3281.23</v>
      </c>
    </row>
    <row r="9853" customFormat="false" ht="15" hidden="false" customHeight="false" outlineLevel="0" collapsed="false">
      <c r="A9853" s="7" t="s">
        <v>25</v>
      </c>
      <c r="B9853" s="7" t="s">
        <v>843</v>
      </c>
      <c r="C9853" s="7" t="s">
        <v>1193</v>
      </c>
      <c r="D9853" s="7" t="n">
        <v>6</v>
      </c>
      <c r="E9853" s="7" t="n">
        <v>822.08</v>
      </c>
      <c r="F9853" s="7" t="n">
        <v>0</v>
      </c>
      <c r="G9853" s="7" t="n">
        <v>0</v>
      </c>
    </row>
    <row r="9854" customFormat="false" ht="15" hidden="false" customHeight="false" outlineLevel="0" collapsed="false">
      <c r="A9854" s="7" t="s">
        <v>25</v>
      </c>
      <c r="B9854" s="7" t="s">
        <v>843</v>
      </c>
      <c r="C9854" s="7" t="s">
        <v>1193</v>
      </c>
      <c r="D9854" s="7" t="n">
        <v>15</v>
      </c>
      <c r="E9854" s="7" t="n">
        <v>1884.49</v>
      </c>
      <c r="F9854" s="7" t="n">
        <v>0</v>
      </c>
      <c r="G9854" s="7" t="n">
        <v>0</v>
      </c>
    </row>
    <row r="9855" customFormat="false" ht="15" hidden="false" customHeight="false" outlineLevel="0" collapsed="false">
      <c r="A9855" s="7" t="s">
        <v>25</v>
      </c>
      <c r="B9855" s="7" t="s">
        <v>841</v>
      </c>
      <c r="C9855" s="7" t="s">
        <v>1193</v>
      </c>
      <c r="D9855" s="7" t="n">
        <v>10</v>
      </c>
      <c r="E9855" s="7" t="n">
        <v>1125.48</v>
      </c>
      <c r="F9855" s="7" t="n">
        <v>0</v>
      </c>
      <c r="G9855" s="7" t="n">
        <v>0</v>
      </c>
    </row>
    <row r="9856" customFormat="false" ht="15" hidden="false" customHeight="false" outlineLevel="0" collapsed="false">
      <c r="A9856" s="7" t="s">
        <v>25</v>
      </c>
      <c r="B9856" s="7" t="s">
        <v>841</v>
      </c>
      <c r="C9856" s="7" t="s">
        <v>1193</v>
      </c>
      <c r="D9856" s="7" t="n">
        <v>4</v>
      </c>
      <c r="E9856" s="7" t="n">
        <v>436.33</v>
      </c>
      <c r="F9856" s="7" t="n">
        <v>0</v>
      </c>
      <c r="G9856" s="7" t="n">
        <v>0</v>
      </c>
    </row>
    <row r="9857" customFormat="false" ht="15" hidden="false" customHeight="false" outlineLevel="0" collapsed="false">
      <c r="A9857" s="7" t="s">
        <v>25</v>
      </c>
      <c r="B9857" s="7" t="s">
        <v>841</v>
      </c>
      <c r="C9857" s="7" t="s">
        <v>1193</v>
      </c>
      <c r="D9857" s="7" t="n">
        <v>11</v>
      </c>
      <c r="E9857" s="7" t="n">
        <v>1332.5</v>
      </c>
      <c r="F9857" s="7" t="n">
        <v>0</v>
      </c>
      <c r="G9857" s="7" t="n">
        <v>0</v>
      </c>
    </row>
    <row r="9858" customFormat="false" ht="15" hidden="false" customHeight="false" outlineLevel="0" collapsed="false">
      <c r="A9858" s="7" t="s">
        <v>25</v>
      </c>
      <c r="B9858" s="7" t="s">
        <v>841</v>
      </c>
      <c r="C9858" s="7" t="s">
        <v>1193</v>
      </c>
      <c r="D9858" s="7" t="n">
        <v>11</v>
      </c>
      <c r="E9858" s="7" t="n">
        <v>1473.43</v>
      </c>
      <c r="F9858" s="7" t="n">
        <v>0</v>
      </c>
      <c r="G9858" s="7" t="n">
        <v>0</v>
      </c>
    </row>
    <row r="9859" customFormat="false" ht="15" hidden="false" customHeight="false" outlineLevel="0" collapsed="false">
      <c r="A9859" s="7" t="s">
        <v>25</v>
      </c>
      <c r="B9859" s="7" t="s">
        <v>841</v>
      </c>
      <c r="C9859" s="7" t="s">
        <v>1193</v>
      </c>
      <c r="D9859" s="7" t="n">
        <v>5</v>
      </c>
      <c r="E9859" s="7" t="n">
        <v>536.67</v>
      </c>
      <c r="F9859" s="7" t="n">
        <v>0</v>
      </c>
      <c r="G9859" s="7" t="n">
        <v>0</v>
      </c>
    </row>
    <row r="9860" customFormat="false" ht="15" hidden="false" customHeight="false" outlineLevel="0" collapsed="false">
      <c r="A9860" s="7" t="s">
        <v>25</v>
      </c>
      <c r="B9860" s="7" t="s">
        <v>841</v>
      </c>
      <c r="C9860" s="7" t="s">
        <v>1193</v>
      </c>
      <c r="D9860" s="7" t="n">
        <v>0</v>
      </c>
      <c r="E9860" s="7" t="n">
        <v>0</v>
      </c>
      <c r="F9860" s="7" t="n">
        <v>20</v>
      </c>
      <c r="G9860" s="7" t="n">
        <v>2529.34</v>
      </c>
    </row>
    <row r="9861" customFormat="false" ht="15" hidden="false" customHeight="false" outlineLevel="0" collapsed="false">
      <c r="A9861" s="7" t="s">
        <v>25</v>
      </c>
      <c r="B9861" s="7" t="s">
        <v>841</v>
      </c>
      <c r="C9861" s="7" t="s">
        <v>1193</v>
      </c>
      <c r="D9861" s="7" t="n">
        <v>0</v>
      </c>
      <c r="E9861" s="7" t="n">
        <v>0</v>
      </c>
      <c r="F9861" s="7" t="n">
        <v>35</v>
      </c>
      <c r="G9861" s="7" t="n">
        <v>4653.55</v>
      </c>
    </row>
    <row r="9862" customFormat="false" ht="15" hidden="false" customHeight="false" outlineLevel="0" collapsed="false">
      <c r="A9862" s="7" t="s">
        <v>25</v>
      </c>
      <c r="B9862" s="7" t="s">
        <v>841</v>
      </c>
      <c r="C9862" s="7" t="s">
        <v>1193</v>
      </c>
      <c r="D9862" s="7" t="n">
        <v>0</v>
      </c>
      <c r="E9862" s="7" t="n">
        <v>0</v>
      </c>
      <c r="F9862" s="7" t="n">
        <v>10</v>
      </c>
      <c r="G9862" s="7" t="n">
        <v>1178.92</v>
      </c>
    </row>
    <row r="9863" customFormat="false" ht="15" hidden="false" customHeight="false" outlineLevel="0" collapsed="false">
      <c r="A9863" s="7" t="s">
        <v>25</v>
      </c>
      <c r="B9863" s="7" t="s">
        <v>841</v>
      </c>
      <c r="C9863" s="7" t="s">
        <v>1193</v>
      </c>
      <c r="D9863" s="7" t="n">
        <v>0</v>
      </c>
      <c r="E9863" s="7" t="n">
        <v>0</v>
      </c>
      <c r="F9863" s="7" t="n">
        <v>22</v>
      </c>
      <c r="G9863" s="7" t="n">
        <v>2892.54</v>
      </c>
    </row>
    <row r="9864" customFormat="false" ht="15" hidden="false" customHeight="false" outlineLevel="0" collapsed="false">
      <c r="A9864" s="7" t="s">
        <v>25</v>
      </c>
      <c r="B9864" s="7" t="s">
        <v>841</v>
      </c>
      <c r="C9864" s="7" t="s">
        <v>1193</v>
      </c>
      <c r="D9864" s="7" t="n">
        <v>14</v>
      </c>
      <c r="E9864" s="7" t="n">
        <v>1804.65</v>
      </c>
      <c r="F9864" s="7" t="n">
        <v>0</v>
      </c>
      <c r="G9864" s="7" t="n">
        <v>0</v>
      </c>
    </row>
    <row r="9865" customFormat="false" ht="15" hidden="false" customHeight="false" outlineLevel="0" collapsed="false">
      <c r="A9865" s="7" t="s">
        <v>25</v>
      </c>
      <c r="B9865" s="7" t="s">
        <v>841</v>
      </c>
      <c r="C9865" s="7" t="s">
        <v>1193</v>
      </c>
      <c r="D9865" s="7" t="n">
        <v>10</v>
      </c>
      <c r="E9865" s="7" t="n">
        <v>1211.46</v>
      </c>
      <c r="F9865" s="7" t="n">
        <v>0</v>
      </c>
      <c r="G9865" s="7" t="n">
        <v>0</v>
      </c>
    </row>
    <row r="9866" customFormat="false" ht="15" hidden="false" customHeight="false" outlineLevel="0" collapsed="false">
      <c r="A9866" s="7" t="s">
        <v>25</v>
      </c>
      <c r="B9866" s="7" t="s">
        <v>841</v>
      </c>
      <c r="C9866" s="7" t="s">
        <v>1193</v>
      </c>
      <c r="D9866" s="7" t="n">
        <v>8</v>
      </c>
      <c r="E9866" s="7" t="n">
        <v>544.69</v>
      </c>
      <c r="F9866" s="7" t="n">
        <v>0</v>
      </c>
      <c r="G9866" s="7" t="n">
        <v>0</v>
      </c>
    </row>
    <row r="9867" customFormat="false" ht="15" hidden="false" customHeight="false" outlineLevel="0" collapsed="false">
      <c r="A9867" s="7" t="s">
        <v>25</v>
      </c>
      <c r="B9867" s="7" t="s">
        <v>841</v>
      </c>
      <c r="C9867" s="7" t="s">
        <v>1193</v>
      </c>
      <c r="D9867" s="7" t="n">
        <v>0</v>
      </c>
      <c r="E9867" s="7" t="n">
        <v>0</v>
      </c>
      <c r="F9867" s="7" t="n">
        <v>14</v>
      </c>
      <c r="G9867" s="7" t="n">
        <v>1835.33</v>
      </c>
    </row>
    <row r="9868" customFormat="false" ht="15" hidden="false" customHeight="false" outlineLevel="0" collapsed="false">
      <c r="A9868" s="7" t="s">
        <v>25</v>
      </c>
      <c r="B9868" s="7" t="s">
        <v>841</v>
      </c>
      <c r="C9868" s="7" t="s">
        <v>1193</v>
      </c>
      <c r="D9868" s="7" t="n">
        <v>0</v>
      </c>
      <c r="E9868" s="7" t="n">
        <v>0</v>
      </c>
      <c r="F9868" s="7" t="n">
        <v>7</v>
      </c>
      <c r="G9868" s="7" t="n">
        <v>675.14</v>
      </c>
    </row>
    <row r="9869" customFormat="false" ht="15" hidden="false" customHeight="false" outlineLevel="0" collapsed="false">
      <c r="A9869" s="7" t="s">
        <v>25</v>
      </c>
      <c r="B9869" s="7" t="s">
        <v>841</v>
      </c>
      <c r="C9869" s="7" t="s">
        <v>1193</v>
      </c>
      <c r="D9869" s="7" t="n">
        <v>11</v>
      </c>
      <c r="E9869" s="7" t="n">
        <v>1370.13</v>
      </c>
      <c r="F9869" s="7" t="n">
        <v>0</v>
      </c>
      <c r="G9869" s="7" t="n">
        <v>0</v>
      </c>
    </row>
    <row r="9870" customFormat="false" ht="15" hidden="false" customHeight="false" outlineLevel="0" collapsed="false">
      <c r="A9870" s="7" t="s">
        <v>25</v>
      </c>
      <c r="B9870" s="7" t="s">
        <v>841</v>
      </c>
      <c r="C9870" s="7" t="s">
        <v>1193</v>
      </c>
      <c r="D9870" s="7" t="n">
        <v>0</v>
      </c>
      <c r="E9870" s="7" t="n">
        <v>0</v>
      </c>
      <c r="F9870" s="7" t="n">
        <v>30</v>
      </c>
      <c r="G9870" s="7" t="n">
        <v>3426.9</v>
      </c>
    </row>
    <row r="9871" customFormat="false" ht="15" hidden="false" customHeight="false" outlineLevel="0" collapsed="false">
      <c r="A9871" s="7" t="s">
        <v>25</v>
      </c>
      <c r="B9871" s="7" t="s">
        <v>841</v>
      </c>
      <c r="C9871" s="7" t="s">
        <v>1193</v>
      </c>
      <c r="D9871" s="7" t="n">
        <v>0</v>
      </c>
      <c r="E9871" s="7" t="n">
        <v>0</v>
      </c>
      <c r="F9871" s="7" t="n">
        <v>13</v>
      </c>
      <c r="G9871" s="7" t="n">
        <v>1708.72</v>
      </c>
    </row>
    <row r="9872" customFormat="false" ht="15" hidden="false" customHeight="false" outlineLevel="0" collapsed="false">
      <c r="A9872" s="7" t="s">
        <v>25</v>
      </c>
      <c r="B9872" s="7" t="s">
        <v>841</v>
      </c>
      <c r="C9872" s="7" t="s">
        <v>1193</v>
      </c>
      <c r="D9872" s="7" t="n">
        <v>2</v>
      </c>
      <c r="E9872" s="7" t="n">
        <v>269.69</v>
      </c>
      <c r="F9872" s="7" t="n">
        <v>0</v>
      </c>
      <c r="G9872" s="7" t="n">
        <v>0</v>
      </c>
    </row>
    <row r="9873" customFormat="false" ht="15" hidden="false" customHeight="false" outlineLevel="0" collapsed="false">
      <c r="A9873" s="7" t="s">
        <v>25</v>
      </c>
      <c r="B9873" s="7" t="s">
        <v>697</v>
      </c>
      <c r="C9873" s="7" t="s">
        <v>1195</v>
      </c>
      <c r="D9873" s="7" t="n">
        <v>6</v>
      </c>
      <c r="E9873" s="7" t="n">
        <v>290.57</v>
      </c>
      <c r="F9873" s="7" t="n">
        <v>0</v>
      </c>
      <c r="G9873" s="7" t="n">
        <v>0</v>
      </c>
    </row>
    <row r="9874" customFormat="false" ht="15" hidden="false" customHeight="false" outlineLevel="0" collapsed="false">
      <c r="A9874" s="7" t="s">
        <v>25</v>
      </c>
      <c r="B9874" s="7" t="s">
        <v>697</v>
      </c>
      <c r="C9874" s="7" t="s">
        <v>1195</v>
      </c>
      <c r="D9874" s="7" t="n">
        <v>7</v>
      </c>
      <c r="E9874" s="7" t="n">
        <v>250.14</v>
      </c>
      <c r="F9874" s="7" t="n">
        <v>0</v>
      </c>
      <c r="G9874" s="7" t="n">
        <v>0</v>
      </c>
    </row>
    <row r="9875" customFormat="false" ht="15" hidden="false" customHeight="false" outlineLevel="0" collapsed="false">
      <c r="A9875" s="7" t="s">
        <v>25</v>
      </c>
      <c r="B9875" s="7" t="s">
        <v>697</v>
      </c>
      <c r="C9875" s="7" t="s">
        <v>1195</v>
      </c>
      <c r="D9875" s="7" t="n">
        <v>1</v>
      </c>
      <c r="E9875" s="7" t="n">
        <v>48.3</v>
      </c>
      <c r="F9875" s="7" t="n">
        <v>0</v>
      </c>
      <c r="G9875" s="7" t="n">
        <v>0</v>
      </c>
    </row>
    <row r="9876" customFormat="false" ht="15" hidden="false" customHeight="false" outlineLevel="0" collapsed="false">
      <c r="A9876" s="7" t="s">
        <v>25</v>
      </c>
      <c r="B9876" s="7" t="s">
        <v>697</v>
      </c>
      <c r="C9876" s="7" t="s">
        <v>1195</v>
      </c>
      <c r="D9876" s="7" t="n">
        <v>1</v>
      </c>
      <c r="E9876" s="7" t="n">
        <v>47.24</v>
      </c>
      <c r="F9876" s="7" t="n">
        <v>0</v>
      </c>
      <c r="G9876" s="7" t="n">
        <v>0</v>
      </c>
    </row>
    <row r="9877" customFormat="false" ht="15" hidden="false" customHeight="false" outlineLevel="0" collapsed="false">
      <c r="A9877" s="7" t="s">
        <v>25</v>
      </c>
      <c r="B9877" s="7" t="s">
        <v>697</v>
      </c>
      <c r="C9877" s="7" t="s">
        <v>1195</v>
      </c>
      <c r="D9877" s="7" t="n">
        <v>0</v>
      </c>
      <c r="E9877" s="7" t="n">
        <v>0</v>
      </c>
      <c r="F9877" s="7" t="n">
        <v>1</v>
      </c>
      <c r="G9877" s="7" t="n">
        <v>40.55</v>
      </c>
    </row>
    <row r="9878" customFormat="false" ht="15" hidden="false" customHeight="false" outlineLevel="0" collapsed="false">
      <c r="A9878" s="7" t="s">
        <v>25</v>
      </c>
      <c r="B9878" s="7" t="s">
        <v>697</v>
      </c>
      <c r="C9878" s="7" t="s">
        <v>1195</v>
      </c>
      <c r="D9878" s="7" t="n">
        <v>0</v>
      </c>
      <c r="E9878" s="7" t="n">
        <v>0</v>
      </c>
      <c r="F9878" s="7" t="n">
        <v>1</v>
      </c>
      <c r="G9878" s="7" t="n">
        <v>41.11</v>
      </c>
    </row>
    <row r="9879" customFormat="false" ht="15" hidden="false" customHeight="false" outlineLevel="0" collapsed="false">
      <c r="A9879" s="7" t="s">
        <v>25</v>
      </c>
      <c r="B9879" s="7" t="s">
        <v>588</v>
      </c>
      <c r="C9879" s="7" t="s">
        <v>1195</v>
      </c>
      <c r="D9879" s="7" t="n">
        <v>16</v>
      </c>
      <c r="E9879" s="7" t="n">
        <v>571.75</v>
      </c>
      <c r="F9879" s="7" t="n">
        <v>0</v>
      </c>
      <c r="G9879" s="7" t="n">
        <v>0</v>
      </c>
    </row>
    <row r="9880" customFormat="false" ht="15" hidden="false" customHeight="false" outlineLevel="0" collapsed="false">
      <c r="A9880" s="7" t="s">
        <v>25</v>
      </c>
      <c r="B9880" s="7" t="s">
        <v>588</v>
      </c>
      <c r="C9880" s="7" t="s">
        <v>1195</v>
      </c>
      <c r="D9880" s="7" t="n">
        <v>3</v>
      </c>
      <c r="E9880" s="7" t="n">
        <v>144.89</v>
      </c>
      <c r="F9880" s="7" t="n">
        <v>0</v>
      </c>
      <c r="G9880" s="7" t="n">
        <v>0</v>
      </c>
    </row>
    <row r="9881" customFormat="false" ht="15" hidden="false" customHeight="false" outlineLevel="0" collapsed="false">
      <c r="A9881" s="7" t="s">
        <v>25</v>
      </c>
      <c r="B9881" s="7" t="s">
        <v>588</v>
      </c>
      <c r="C9881" s="7" t="s">
        <v>1195</v>
      </c>
      <c r="D9881" s="7" t="n">
        <v>9</v>
      </c>
      <c r="E9881" s="7" t="n">
        <v>423.26</v>
      </c>
      <c r="F9881" s="7" t="n">
        <v>0</v>
      </c>
      <c r="G9881" s="7" t="n">
        <v>0</v>
      </c>
    </row>
    <row r="9882" customFormat="false" ht="15" hidden="false" customHeight="false" outlineLevel="0" collapsed="false">
      <c r="A9882" s="7" t="s">
        <v>25</v>
      </c>
      <c r="B9882" s="7" t="s">
        <v>323</v>
      </c>
      <c r="C9882" s="7" t="s">
        <v>1138</v>
      </c>
      <c r="D9882" s="7" t="n">
        <v>6</v>
      </c>
      <c r="E9882" s="7" t="n">
        <v>289.52</v>
      </c>
      <c r="F9882" s="7" t="n">
        <v>0</v>
      </c>
      <c r="G9882" s="7" t="n">
        <v>0</v>
      </c>
    </row>
    <row r="9883" customFormat="false" ht="15" hidden="false" customHeight="false" outlineLevel="0" collapsed="false">
      <c r="A9883" s="7" t="s">
        <v>25</v>
      </c>
      <c r="B9883" s="7" t="s">
        <v>323</v>
      </c>
      <c r="C9883" s="7" t="s">
        <v>1138</v>
      </c>
      <c r="D9883" s="7" t="n">
        <v>25</v>
      </c>
      <c r="E9883" s="7" t="n">
        <v>770.95</v>
      </c>
      <c r="F9883" s="7" t="n">
        <v>0</v>
      </c>
      <c r="G9883" s="7" t="n">
        <v>0</v>
      </c>
    </row>
    <row r="9884" customFormat="false" ht="15" hidden="false" customHeight="false" outlineLevel="0" collapsed="false">
      <c r="A9884" s="7" t="s">
        <v>25</v>
      </c>
      <c r="B9884" s="7" t="s">
        <v>220</v>
      </c>
      <c r="C9884" s="7" t="s">
        <v>1138</v>
      </c>
      <c r="D9884" s="7" t="n">
        <v>32</v>
      </c>
      <c r="E9884" s="7" t="n">
        <v>1492.29</v>
      </c>
      <c r="F9884" s="7" t="n">
        <v>0</v>
      </c>
      <c r="G9884" s="7" t="n">
        <v>0</v>
      </c>
    </row>
    <row r="9885" customFormat="false" ht="15" hidden="false" customHeight="false" outlineLevel="0" collapsed="false">
      <c r="A9885" s="7" t="s">
        <v>25</v>
      </c>
      <c r="B9885" s="7" t="s">
        <v>220</v>
      </c>
      <c r="C9885" s="7" t="s">
        <v>1138</v>
      </c>
      <c r="D9885" s="7" t="n">
        <v>6</v>
      </c>
      <c r="E9885" s="7" t="n">
        <v>278.79</v>
      </c>
      <c r="F9885" s="7" t="n">
        <v>0</v>
      </c>
      <c r="G9885" s="7" t="n">
        <v>0</v>
      </c>
    </row>
    <row r="9886" customFormat="false" ht="15" hidden="false" customHeight="false" outlineLevel="0" collapsed="false">
      <c r="A9886" s="7" t="s">
        <v>25</v>
      </c>
      <c r="B9886" s="7" t="s">
        <v>220</v>
      </c>
      <c r="C9886" s="7" t="s">
        <v>1138</v>
      </c>
      <c r="D9886" s="7" t="n">
        <v>7</v>
      </c>
      <c r="E9886" s="7" t="n">
        <v>338.08</v>
      </c>
      <c r="F9886" s="7" t="n">
        <v>0</v>
      </c>
      <c r="G9886" s="7" t="n">
        <v>0</v>
      </c>
    </row>
    <row r="9887" customFormat="false" ht="15" hidden="false" customHeight="false" outlineLevel="0" collapsed="false">
      <c r="A9887" s="7" t="s">
        <v>25</v>
      </c>
      <c r="B9887" s="7" t="s">
        <v>683</v>
      </c>
      <c r="C9887" s="7" t="s">
        <v>1201</v>
      </c>
      <c r="D9887" s="7" t="n">
        <v>0</v>
      </c>
      <c r="E9887" s="7" t="n">
        <v>0</v>
      </c>
      <c r="F9887" s="7" t="n">
        <v>37</v>
      </c>
      <c r="G9887" s="7" t="n">
        <v>1484.86</v>
      </c>
    </row>
    <row r="9888" customFormat="false" ht="15" hidden="false" customHeight="false" outlineLevel="0" collapsed="false">
      <c r="A9888" s="7" t="s">
        <v>25</v>
      </c>
      <c r="B9888" s="7" t="s">
        <v>683</v>
      </c>
      <c r="C9888" s="7" t="s">
        <v>1201</v>
      </c>
      <c r="D9888" s="7" t="n">
        <v>0</v>
      </c>
      <c r="E9888" s="7" t="n">
        <v>0</v>
      </c>
      <c r="F9888" s="7" t="n">
        <v>26</v>
      </c>
      <c r="G9888" s="7" t="n">
        <v>1337.47</v>
      </c>
    </row>
    <row r="9889" customFormat="false" ht="15" hidden="false" customHeight="false" outlineLevel="0" collapsed="false">
      <c r="A9889" s="7" t="s">
        <v>25</v>
      </c>
      <c r="B9889" s="7" t="s">
        <v>683</v>
      </c>
      <c r="C9889" s="7" t="s">
        <v>1201</v>
      </c>
      <c r="D9889" s="7" t="n">
        <v>0</v>
      </c>
      <c r="E9889" s="7" t="n">
        <v>0</v>
      </c>
      <c r="F9889" s="7" t="n">
        <v>29</v>
      </c>
      <c r="G9889" s="7" t="n">
        <v>1679.67</v>
      </c>
    </row>
    <row r="9890" customFormat="false" ht="15" hidden="false" customHeight="false" outlineLevel="0" collapsed="false">
      <c r="A9890" s="7" t="s">
        <v>25</v>
      </c>
      <c r="B9890" s="7" t="s">
        <v>683</v>
      </c>
      <c r="C9890" s="7" t="s">
        <v>1201</v>
      </c>
      <c r="D9890" s="7" t="n">
        <v>8</v>
      </c>
      <c r="E9890" s="7" t="n">
        <v>467.02</v>
      </c>
      <c r="F9890" s="7" t="n">
        <v>0</v>
      </c>
      <c r="G9890" s="7" t="n">
        <v>0</v>
      </c>
    </row>
    <row r="9891" customFormat="false" ht="15" hidden="false" customHeight="false" outlineLevel="0" collapsed="false">
      <c r="A9891" s="7" t="s">
        <v>25</v>
      </c>
      <c r="B9891" s="7" t="s">
        <v>683</v>
      </c>
      <c r="C9891" s="7" t="s">
        <v>1201</v>
      </c>
      <c r="D9891" s="7" t="n">
        <v>0</v>
      </c>
      <c r="E9891" s="7" t="n">
        <v>0</v>
      </c>
      <c r="F9891" s="7" t="n">
        <v>39</v>
      </c>
      <c r="G9891" s="7" t="n">
        <v>1609.51</v>
      </c>
    </row>
    <row r="9892" customFormat="false" ht="15" hidden="false" customHeight="false" outlineLevel="0" collapsed="false">
      <c r="A9892" s="7" t="s">
        <v>25</v>
      </c>
      <c r="B9892" s="7" t="s">
        <v>683</v>
      </c>
      <c r="C9892" s="7" t="s">
        <v>1201</v>
      </c>
      <c r="D9892" s="7" t="n">
        <v>4</v>
      </c>
      <c r="E9892" s="7" t="n">
        <v>238.85</v>
      </c>
      <c r="F9892" s="7" t="n">
        <v>0</v>
      </c>
      <c r="G9892" s="7" t="n">
        <v>0</v>
      </c>
    </row>
    <row r="9893" customFormat="false" ht="15" hidden="false" customHeight="false" outlineLevel="0" collapsed="false">
      <c r="A9893" s="7" t="s">
        <v>25</v>
      </c>
      <c r="B9893" s="7" t="s">
        <v>683</v>
      </c>
      <c r="C9893" s="7" t="s">
        <v>1201</v>
      </c>
      <c r="D9893" s="7" t="n">
        <v>0</v>
      </c>
      <c r="E9893" s="7" t="n">
        <v>0</v>
      </c>
      <c r="F9893" s="7" t="n">
        <v>16</v>
      </c>
      <c r="G9893" s="7" t="n">
        <v>903.15</v>
      </c>
    </row>
    <row r="9894" customFormat="false" ht="15" hidden="false" customHeight="false" outlineLevel="0" collapsed="false">
      <c r="A9894" s="7" t="s">
        <v>25</v>
      </c>
      <c r="B9894" s="7" t="s">
        <v>683</v>
      </c>
      <c r="C9894" s="7" t="s">
        <v>1201</v>
      </c>
      <c r="D9894" s="7" t="n">
        <v>0</v>
      </c>
      <c r="E9894" s="7" t="n">
        <v>0</v>
      </c>
      <c r="F9894" s="7" t="n">
        <v>29</v>
      </c>
      <c r="G9894" s="7" t="n">
        <v>1563.17</v>
      </c>
    </row>
    <row r="9895" customFormat="false" ht="15" hidden="false" customHeight="false" outlineLevel="0" collapsed="false">
      <c r="A9895" s="7" t="s">
        <v>25</v>
      </c>
      <c r="B9895" s="7" t="s">
        <v>683</v>
      </c>
      <c r="C9895" s="7" t="s">
        <v>1201</v>
      </c>
      <c r="D9895" s="7" t="n">
        <v>0</v>
      </c>
      <c r="E9895" s="7" t="n">
        <v>0</v>
      </c>
      <c r="F9895" s="7" t="n">
        <v>19</v>
      </c>
      <c r="G9895" s="7" t="n">
        <v>766.42</v>
      </c>
    </row>
    <row r="9896" customFormat="false" ht="15" hidden="false" customHeight="false" outlineLevel="0" collapsed="false">
      <c r="A9896" s="7" t="s">
        <v>25</v>
      </c>
      <c r="B9896" s="7" t="s">
        <v>161</v>
      </c>
      <c r="C9896" s="7" t="s">
        <v>1048</v>
      </c>
      <c r="D9896" s="7" t="n">
        <v>1</v>
      </c>
      <c r="E9896" s="7" t="n">
        <v>107.24</v>
      </c>
      <c r="F9896" s="7" t="n">
        <v>0</v>
      </c>
      <c r="G9896" s="7" t="n">
        <v>0</v>
      </c>
    </row>
    <row r="9897" customFormat="false" ht="15" hidden="false" customHeight="false" outlineLevel="0" collapsed="false">
      <c r="A9897" s="7" t="s">
        <v>25</v>
      </c>
      <c r="B9897" s="7" t="s">
        <v>161</v>
      </c>
      <c r="C9897" s="7" t="s">
        <v>1048</v>
      </c>
      <c r="D9897" s="7" t="n">
        <v>1</v>
      </c>
      <c r="E9897" s="7" t="n">
        <v>111.47</v>
      </c>
      <c r="F9897" s="7" t="n">
        <v>0</v>
      </c>
      <c r="G9897" s="7" t="n">
        <v>0</v>
      </c>
    </row>
    <row r="9898" customFormat="false" ht="15" hidden="false" customHeight="false" outlineLevel="0" collapsed="false">
      <c r="A9898" s="7" t="s">
        <v>25</v>
      </c>
      <c r="B9898" s="7" t="s">
        <v>469</v>
      </c>
      <c r="C9898" s="7" t="s">
        <v>1143</v>
      </c>
      <c r="D9898" s="7" t="n">
        <v>6</v>
      </c>
      <c r="E9898" s="7" t="n">
        <v>587.14</v>
      </c>
      <c r="F9898" s="7" t="n">
        <v>0</v>
      </c>
      <c r="G9898" s="7" t="n">
        <v>0</v>
      </c>
    </row>
    <row r="9899" customFormat="false" ht="15" hidden="false" customHeight="false" outlineLevel="0" collapsed="false">
      <c r="A9899" s="7" t="s">
        <v>25</v>
      </c>
      <c r="B9899" s="7" t="s">
        <v>469</v>
      </c>
      <c r="C9899" s="7" t="s">
        <v>1143</v>
      </c>
      <c r="D9899" s="7" t="n">
        <v>4</v>
      </c>
      <c r="E9899" s="7" t="n">
        <v>382.67</v>
      </c>
      <c r="F9899" s="7" t="n">
        <v>0</v>
      </c>
      <c r="G9899" s="7" t="n">
        <v>0</v>
      </c>
    </row>
    <row r="9900" customFormat="false" ht="15" hidden="false" customHeight="false" outlineLevel="0" collapsed="false">
      <c r="A9900" s="7" t="s">
        <v>25</v>
      </c>
      <c r="B9900" s="7" t="s">
        <v>342</v>
      </c>
      <c r="C9900" s="7" t="s">
        <v>1143</v>
      </c>
      <c r="D9900" s="7" t="n">
        <v>0</v>
      </c>
      <c r="E9900" s="7" t="n">
        <v>0</v>
      </c>
      <c r="F9900" s="7" t="n">
        <v>2</v>
      </c>
      <c r="G9900" s="7" t="n">
        <v>177</v>
      </c>
    </row>
    <row r="9901" customFormat="false" ht="15" hidden="false" customHeight="false" outlineLevel="0" collapsed="false">
      <c r="A9901" s="7" t="s">
        <v>25</v>
      </c>
      <c r="B9901" s="7" t="s">
        <v>342</v>
      </c>
      <c r="C9901" s="7" t="s">
        <v>1143</v>
      </c>
      <c r="D9901" s="7" t="n">
        <v>0</v>
      </c>
      <c r="E9901" s="7" t="n">
        <v>0</v>
      </c>
      <c r="F9901" s="7" t="n">
        <v>1</v>
      </c>
      <c r="G9901" s="7" t="n">
        <v>93.63</v>
      </c>
    </row>
    <row r="9902" customFormat="false" ht="15" hidden="false" customHeight="false" outlineLevel="0" collapsed="false">
      <c r="A9902" s="7" t="s">
        <v>25</v>
      </c>
      <c r="B9902" s="7" t="s">
        <v>342</v>
      </c>
      <c r="C9902" s="7" t="s">
        <v>1143</v>
      </c>
      <c r="D9902" s="7" t="n">
        <v>2</v>
      </c>
      <c r="E9902" s="7" t="n">
        <v>191.34</v>
      </c>
      <c r="F9902" s="7" t="n">
        <v>0</v>
      </c>
      <c r="G9902" s="7" t="n">
        <v>0</v>
      </c>
    </row>
    <row r="9903" customFormat="false" ht="15" hidden="false" customHeight="false" outlineLevel="0" collapsed="false">
      <c r="A9903" s="7" t="s">
        <v>25</v>
      </c>
      <c r="B9903" s="7" t="s">
        <v>342</v>
      </c>
      <c r="C9903" s="7" t="s">
        <v>1143</v>
      </c>
      <c r="D9903" s="7" t="n">
        <v>0</v>
      </c>
      <c r="E9903" s="7" t="n">
        <v>0</v>
      </c>
      <c r="F9903" s="7" t="n">
        <v>2</v>
      </c>
      <c r="G9903" s="7" t="n">
        <v>185.64</v>
      </c>
    </row>
    <row r="9904" customFormat="false" ht="15" hidden="false" customHeight="false" outlineLevel="0" collapsed="false">
      <c r="A9904" s="7" t="s">
        <v>25</v>
      </c>
      <c r="B9904" s="7" t="s">
        <v>342</v>
      </c>
      <c r="C9904" s="7" t="s">
        <v>1143</v>
      </c>
      <c r="D9904" s="7" t="n">
        <v>0</v>
      </c>
      <c r="E9904" s="7" t="n">
        <v>0</v>
      </c>
      <c r="F9904" s="7" t="n">
        <v>2</v>
      </c>
      <c r="G9904" s="7" t="n">
        <v>189.84</v>
      </c>
    </row>
    <row r="9905" customFormat="false" ht="15" hidden="false" customHeight="false" outlineLevel="0" collapsed="false">
      <c r="A9905" s="7" t="s">
        <v>25</v>
      </c>
      <c r="B9905" s="7" t="s">
        <v>689</v>
      </c>
      <c r="C9905" s="7" t="s">
        <v>1168</v>
      </c>
      <c r="D9905" s="7" t="n">
        <v>6</v>
      </c>
      <c r="E9905" s="7" t="n">
        <v>669.71</v>
      </c>
      <c r="F9905" s="7" t="n">
        <v>0</v>
      </c>
      <c r="G9905" s="7" t="n">
        <v>0</v>
      </c>
    </row>
    <row r="9906" customFormat="false" ht="15" hidden="false" customHeight="false" outlineLevel="0" collapsed="false">
      <c r="A9906" s="7" t="s">
        <v>25</v>
      </c>
      <c r="B9906" s="7" t="s">
        <v>689</v>
      </c>
      <c r="C9906" s="7" t="s">
        <v>1168</v>
      </c>
      <c r="D9906" s="7" t="n">
        <v>0</v>
      </c>
      <c r="E9906" s="7" t="n">
        <v>0</v>
      </c>
      <c r="F9906" s="7" t="n">
        <v>2</v>
      </c>
      <c r="G9906" s="7" t="n">
        <v>187.55</v>
      </c>
    </row>
    <row r="9907" customFormat="false" ht="15" hidden="false" customHeight="false" outlineLevel="0" collapsed="false">
      <c r="A9907" s="7" t="s">
        <v>25</v>
      </c>
      <c r="B9907" s="7" t="s">
        <v>689</v>
      </c>
      <c r="C9907" s="7" t="s">
        <v>1168</v>
      </c>
      <c r="D9907" s="7" t="n">
        <v>0</v>
      </c>
      <c r="E9907" s="7" t="n">
        <v>0</v>
      </c>
      <c r="F9907" s="7" t="n">
        <v>5</v>
      </c>
      <c r="G9907" s="7" t="n">
        <v>546.19</v>
      </c>
    </row>
    <row r="9908" customFormat="false" ht="15" hidden="false" customHeight="false" outlineLevel="0" collapsed="false">
      <c r="A9908" s="7" t="s">
        <v>25</v>
      </c>
      <c r="B9908" s="7" t="s">
        <v>689</v>
      </c>
      <c r="C9908" s="7" t="s">
        <v>1168</v>
      </c>
      <c r="D9908" s="7" t="n">
        <v>0</v>
      </c>
      <c r="E9908" s="7" t="n">
        <v>0</v>
      </c>
      <c r="F9908" s="7" t="n">
        <v>3</v>
      </c>
      <c r="G9908" s="7" t="n">
        <v>332.23</v>
      </c>
    </row>
    <row r="9909" customFormat="false" ht="15" hidden="false" customHeight="false" outlineLevel="0" collapsed="false">
      <c r="A9909" s="7" t="s">
        <v>25</v>
      </c>
      <c r="B9909" s="7" t="s">
        <v>689</v>
      </c>
      <c r="C9909" s="7" t="s">
        <v>1168</v>
      </c>
      <c r="D9909" s="7" t="n">
        <v>0</v>
      </c>
      <c r="E9909" s="7" t="n">
        <v>0</v>
      </c>
      <c r="F9909" s="7" t="n">
        <v>1</v>
      </c>
      <c r="G9909" s="7" t="n">
        <v>98.36</v>
      </c>
    </row>
    <row r="9910" customFormat="false" ht="15" hidden="false" customHeight="false" outlineLevel="0" collapsed="false">
      <c r="A9910" s="7" t="s">
        <v>25</v>
      </c>
      <c r="B9910" s="7" t="s">
        <v>689</v>
      </c>
      <c r="C9910" s="7" t="s">
        <v>1168</v>
      </c>
      <c r="D9910" s="7" t="n">
        <v>0</v>
      </c>
      <c r="E9910" s="7" t="n">
        <v>0</v>
      </c>
      <c r="F9910" s="7" t="n">
        <v>1</v>
      </c>
      <c r="G9910" s="7" t="n">
        <v>103.26</v>
      </c>
    </row>
    <row r="9911" customFormat="false" ht="15" hidden="false" customHeight="false" outlineLevel="0" collapsed="false">
      <c r="A9911" s="7" t="s">
        <v>25</v>
      </c>
      <c r="B9911" s="7" t="s">
        <v>689</v>
      </c>
      <c r="C9911" s="7" t="s">
        <v>1168</v>
      </c>
      <c r="D9911" s="7" t="n">
        <v>1</v>
      </c>
      <c r="E9911" s="7" t="n">
        <v>114.17</v>
      </c>
      <c r="F9911" s="7" t="n">
        <v>0</v>
      </c>
      <c r="G9911" s="7" t="n">
        <v>0</v>
      </c>
    </row>
    <row r="9912" customFormat="false" ht="15" hidden="false" customHeight="false" outlineLevel="0" collapsed="false">
      <c r="A9912" s="7" t="s">
        <v>25</v>
      </c>
      <c r="B9912" s="7" t="s">
        <v>741</v>
      </c>
      <c r="C9912" s="7" t="s">
        <v>1168</v>
      </c>
      <c r="D9912" s="7" t="n">
        <v>2</v>
      </c>
      <c r="E9912" s="7" t="n">
        <v>228.34</v>
      </c>
      <c r="F9912" s="7" t="n">
        <v>0</v>
      </c>
      <c r="G9912" s="7" t="n">
        <v>0</v>
      </c>
    </row>
    <row r="9913" customFormat="false" ht="15" hidden="false" customHeight="false" outlineLevel="0" collapsed="false">
      <c r="A9913" s="7" t="s">
        <v>25</v>
      </c>
      <c r="B9913" s="7" t="s">
        <v>741</v>
      </c>
      <c r="C9913" s="7" t="s">
        <v>1168</v>
      </c>
      <c r="D9913" s="7" t="n">
        <v>0</v>
      </c>
      <c r="E9913" s="7" t="n">
        <v>0</v>
      </c>
      <c r="F9913" s="7" t="n">
        <v>1</v>
      </c>
      <c r="G9913" s="7" t="n">
        <v>103.26</v>
      </c>
    </row>
    <row r="9914" customFormat="false" ht="15" hidden="false" customHeight="false" outlineLevel="0" collapsed="false">
      <c r="A9914" s="7" t="s">
        <v>25</v>
      </c>
      <c r="B9914" s="7" t="s">
        <v>741</v>
      </c>
      <c r="C9914" s="7" t="s">
        <v>1168</v>
      </c>
      <c r="D9914" s="7" t="n">
        <v>5</v>
      </c>
      <c r="E9914" s="7" t="n">
        <v>558.09</v>
      </c>
      <c r="F9914" s="7" t="n">
        <v>0</v>
      </c>
      <c r="G9914" s="7" t="n">
        <v>0</v>
      </c>
    </row>
    <row r="9915" customFormat="false" ht="15" hidden="false" customHeight="false" outlineLevel="0" collapsed="false">
      <c r="A9915" s="7" t="s">
        <v>25</v>
      </c>
      <c r="B9915" s="7" t="s">
        <v>741</v>
      </c>
      <c r="C9915" s="7" t="s">
        <v>1168</v>
      </c>
      <c r="D9915" s="7" t="n">
        <v>0</v>
      </c>
      <c r="E9915" s="7" t="n">
        <v>0</v>
      </c>
      <c r="F9915" s="7" t="n">
        <v>1</v>
      </c>
      <c r="G9915" s="7" t="n">
        <v>104.55</v>
      </c>
    </row>
    <row r="9916" customFormat="false" ht="15" hidden="false" customHeight="false" outlineLevel="0" collapsed="false">
      <c r="A9916" s="7" t="s">
        <v>25</v>
      </c>
      <c r="B9916" s="7" t="s">
        <v>798</v>
      </c>
      <c r="C9916" s="7" t="s">
        <v>1219</v>
      </c>
      <c r="D9916" s="7" t="n">
        <v>0</v>
      </c>
      <c r="E9916" s="7" t="n">
        <v>0</v>
      </c>
      <c r="F9916" s="7" t="n">
        <v>2</v>
      </c>
      <c r="G9916" s="7" t="n">
        <v>49.89</v>
      </c>
    </row>
    <row r="9917" customFormat="false" ht="15" hidden="false" customHeight="false" outlineLevel="0" collapsed="false">
      <c r="A9917" s="7" t="s">
        <v>25</v>
      </c>
      <c r="B9917" s="7" t="s">
        <v>798</v>
      </c>
      <c r="C9917" s="7" t="s">
        <v>1219</v>
      </c>
      <c r="D9917" s="7" t="n">
        <v>0</v>
      </c>
      <c r="E9917" s="7" t="n">
        <v>0</v>
      </c>
      <c r="F9917" s="7" t="n">
        <v>2</v>
      </c>
      <c r="G9917" s="7" t="n">
        <v>44.92</v>
      </c>
    </row>
    <row r="9918" customFormat="false" ht="15" hidden="false" customHeight="false" outlineLevel="0" collapsed="false">
      <c r="A9918" s="7" t="s">
        <v>25</v>
      </c>
      <c r="B9918" s="7" t="s">
        <v>798</v>
      </c>
      <c r="C9918" s="7" t="s">
        <v>1219</v>
      </c>
      <c r="D9918" s="7" t="n">
        <v>1</v>
      </c>
      <c r="E9918" s="7" t="n">
        <v>32.6</v>
      </c>
      <c r="F9918" s="7" t="n">
        <v>0</v>
      </c>
      <c r="G9918" s="7" t="n">
        <v>0</v>
      </c>
    </row>
    <row r="9919" customFormat="false" ht="15" hidden="false" customHeight="false" outlineLevel="0" collapsed="false">
      <c r="A9919" s="7" t="s">
        <v>25</v>
      </c>
      <c r="B9919" s="7" t="s">
        <v>798</v>
      </c>
      <c r="C9919" s="7" t="s">
        <v>1219</v>
      </c>
      <c r="D9919" s="7" t="n">
        <v>0</v>
      </c>
      <c r="E9919" s="7" t="n">
        <v>0</v>
      </c>
      <c r="F9919" s="7" t="n">
        <v>1</v>
      </c>
      <c r="G9919" s="7" t="n">
        <v>23.58</v>
      </c>
    </row>
    <row r="9920" customFormat="false" ht="15" hidden="false" customHeight="false" outlineLevel="0" collapsed="false">
      <c r="A9920" s="7" t="s">
        <v>25</v>
      </c>
      <c r="B9920" s="7" t="s">
        <v>798</v>
      </c>
      <c r="C9920" s="7" t="s">
        <v>1219</v>
      </c>
      <c r="D9920" s="7" t="n">
        <v>0</v>
      </c>
      <c r="E9920" s="7" t="n">
        <v>0</v>
      </c>
      <c r="F9920" s="7" t="n">
        <v>2</v>
      </c>
      <c r="G9920" s="7" t="n">
        <v>47.41</v>
      </c>
    </row>
    <row r="9921" customFormat="false" ht="15" hidden="false" customHeight="false" outlineLevel="0" collapsed="false">
      <c r="A9921" s="7" t="s">
        <v>25</v>
      </c>
      <c r="B9921" s="7" t="s">
        <v>798</v>
      </c>
      <c r="C9921" s="7" t="s">
        <v>1219</v>
      </c>
      <c r="D9921" s="7" t="n">
        <v>0</v>
      </c>
      <c r="E9921" s="7" t="n">
        <v>0</v>
      </c>
      <c r="F9921" s="7" t="n">
        <v>1</v>
      </c>
      <c r="G9921" s="7" t="n">
        <v>24.73</v>
      </c>
    </row>
    <row r="9922" customFormat="false" ht="15" hidden="false" customHeight="false" outlineLevel="0" collapsed="false">
      <c r="A9922" s="7" t="s">
        <v>25</v>
      </c>
      <c r="B9922" s="7" t="s">
        <v>418</v>
      </c>
      <c r="C9922" s="7" t="s">
        <v>1169</v>
      </c>
      <c r="D9922" s="7" t="n">
        <v>0</v>
      </c>
      <c r="E9922" s="7" t="n">
        <v>0</v>
      </c>
      <c r="F9922" s="7" t="n">
        <v>3</v>
      </c>
      <c r="G9922" s="7" t="n">
        <v>94.86</v>
      </c>
    </row>
    <row r="9923" customFormat="false" ht="15" hidden="false" customHeight="false" outlineLevel="0" collapsed="false">
      <c r="A9923" s="7" t="s">
        <v>25</v>
      </c>
      <c r="B9923" s="7" t="s">
        <v>418</v>
      </c>
      <c r="C9923" s="7" t="s">
        <v>1169</v>
      </c>
      <c r="D9923" s="7" t="n">
        <v>2</v>
      </c>
      <c r="E9923" s="7" t="n">
        <v>143.42</v>
      </c>
      <c r="F9923" s="7" t="n">
        <v>0</v>
      </c>
      <c r="G9923" s="7" t="n">
        <v>0</v>
      </c>
    </row>
    <row r="9924" customFormat="false" ht="15" hidden="false" customHeight="false" outlineLevel="0" collapsed="false">
      <c r="A9924" s="7" t="s">
        <v>25</v>
      </c>
      <c r="B9924" s="7" t="s">
        <v>418</v>
      </c>
      <c r="C9924" s="7" t="s">
        <v>1169</v>
      </c>
      <c r="D9924" s="7" t="n">
        <v>0</v>
      </c>
      <c r="E9924" s="7" t="n">
        <v>0</v>
      </c>
      <c r="F9924" s="7" t="n">
        <v>3</v>
      </c>
      <c r="G9924" s="7" t="n">
        <v>91.62</v>
      </c>
    </row>
    <row r="9925" customFormat="false" ht="15" hidden="false" customHeight="false" outlineLevel="0" collapsed="false">
      <c r="A9925" s="7" t="s">
        <v>25</v>
      </c>
      <c r="B9925" s="7" t="s">
        <v>418</v>
      </c>
      <c r="C9925" s="7" t="s">
        <v>1169</v>
      </c>
      <c r="D9925" s="7" t="n">
        <v>0</v>
      </c>
      <c r="E9925" s="7" t="n">
        <v>0</v>
      </c>
      <c r="F9925" s="7" t="n">
        <v>5</v>
      </c>
      <c r="G9925" s="7" t="n">
        <v>147.4</v>
      </c>
    </row>
    <row r="9926" customFormat="false" ht="15" hidden="false" customHeight="false" outlineLevel="0" collapsed="false">
      <c r="A9926" s="7" t="s">
        <v>25</v>
      </c>
      <c r="B9926" s="7" t="s">
        <v>418</v>
      </c>
      <c r="C9926" s="7" t="s">
        <v>1169</v>
      </c>
      <c r="D9926" s="7" t="n">
        <v>0</v>
      </c>
      <c r="E9926" s="7" t="n">
        <v>0</v>
      </c>
      <c r="F9926" s="7" t="n">
        <v>5</v>
      </c>
      <c r="G9926" s="7" t="n">
        <v>149.25</v>
      </c>
    </row>
    <row r="9927" customFormat="false" ht="15" hidden="false" customHeight="false" outlineLevel="0" collapsed="false">
      <c r="A9927" s="7" t="s">
        <v>25</v>
      </c>
      <c r="B9927" s="7" t="s">
        <v>418</v>
      </c>
      <c r="C9927" s="7" t="s">
        <v>1169</v>
      </c>
      <c r="D9927" s="7" t="n">
        <v>0</v>
      </c>
      <c r="E9927" s="7" t="n">
        <v>0</v>
      </c>
      <c r="F9927" s="7" t="n">
        <v>2</v>
      </c>
      <c r="G9927" s="7" t="n">
        <v>59.5</v>
      </c>
    </row>
    <row r="9928" customFormat="false" ht="15" hidden="false" customHeight="false" outlineLevel="0" collapsed="false">
      <c r="A9928" s="7" t="s">
        <v>25</v>
      </c>
      <c r="B9928" s="7" t="s">
        <v>418</v>
      </c>
      <c r="C9928" s="7" t="s">
        <v>1169</v>
      </c>
      <c r="D9928" s="7" t="n">
        <v>4</v>
      </c>
      <c r="E9928" s="7" t="n">
        <v>195.65</v>
      </c>
      <c r="F9928" s="7" t="n">
        <v>0</v>
      </c>
      <c r="G9928" s="7" t="n">
        <v>0</v>
      </c>
    </row>
    <row r="9929" customFormat="false" ht="15" hidden="false" customHeight="false" outlineLevel="0" collapsed="false">
      <c r="A9929" s="7" t="s">
        <v>25</v>
      </c>
      <c r="B9929" s="7" t="s">
        <v>418</v>
      </c>
      <c r="C9929" s="7" t="s">
        <v>1169</v>
      </c>
      <c r="D9929" s="7" t="n">
        <v>0</v>
      </c>
      <c r="E9929" s="7" t="n">
        <v>0</v>
      </c>
      <c r="F9929" s="7" t="n">
        <v>1</v>
      </c>
      <c r="G9929" s="7" t="n">
        <v>31.19</v>
      </c>
    </row>
    <row r="9930" customFormat="false" ht="15" hidden="false" customHeight="false" outlineLevel="0" collapsed="false">
      <c r="A9930" s="7" t="s">
        <v>25</v>
      </c>
      <c r="B9930" s="7" t="s">
        <v>216</v>
      </c>
      <c r="C9930" s="7" t="s">
        <v>1051</v>
      </c>
      <c r="D9930" s="7" t="n">
        <v>0</v>
      </c>
      <c r="E9930" s="7" t="n">
        <v>0</v>
      </c>
      <c r="F9930" s="7" t="n">
        <v>2</v>
      </c>
      <c r="G9930" s="7" t="n">
        <v>152.98</v>
      </c>
    </row>
    <row r="9931" customFormat="false" ht="15" hidden="false" customHeight="false" outlineLevel="0" collapsed="false">
      <c r="A9931" s="7" t="s">
        <v>25</v>
      </c>
      <c r="B9931" s="7" t="s">
        <v>216</v>
      </c>
      <c r="C9931" s="7" t="s">
        <v>1051</v>
      </c>
      <c r="D9931" s="7" t="n">
        <v>3</v>
      </c>
      <c r="E9931" s="7" t="n">
        <v>260.65</v>
      </c>
      <c r="F9931" s="7" t="n">
        <v>0</v>
      </c>
      <c r="G9931" s="7" t="n">
        <v>0</v>
      </c>
    </row>
    <row r="9932" customFormat="false" ht="15" hidden="false" customHeight="false" outlineLevel="0" collapsed="false">
      <c r="A9932" s="7" t="s">
        <v>25</v>
      </c>
      <c r="B9932" s="7" t="s">
        <v>216</v>
      </c>
      <c r="C9932" s="7" t="s">
        <v>1051</v>
      </c>
      <c r="D9932" s="7" t="n">
        <v>0</v>
      </c>
      <c r="E9932" s="7" t="n">
        <v>0</v>
      </c>
      <c r="F9932" s="7" t="n">
        <v>20</v>
      </c>
      <c r="G9932" s="7" t="n">
        <v>1580.12</v>
      </c>
    </row>
    <row r="9933" customFormat="false" ht="15" hidden="false" customHeight="false" outlineLevel="0" collapsed="false">
      <c r="A9933" s="7" t="s">
        <v>25</v>
      </c>
      <c r="B9933" s="7" t="s">
        <v>216</v>
      </c>
      <c r="C9933" s="7" t="s">
        <v>1051</v>
      </c>
      <c r="D9933" s="7" t="n">
        <v>9</v>
      </c>
      <c r="E9933" s="7" t="n">
        <v>599.11</v>
      </c>
      <c r="F9933" s="7" t="n">
        <v>0</v>
      </c>
      <c r="G9933" s="7" t="n">
        <v>0</v>
      </c>
    </row>
    <row r="9934" customFormat="false" ht="15" hidden="false" customHeight="false" outlineLevel="0" collapsed="false">
      <c r="A9934" s="7" t="s">
        <v>25</v>
      </c>
      <c r="B9934" s="7" t="s">
        <v>216</v>
      </c>
      <c r="C9934" s="7" t="s">
        <v>1051</v>
      </c>
      <c r="D9934" s="7" t="n">
        <v>0</v>
      </c>
      <c r="E9934" s="7" t="n">
        <v>0</v>
      </c>
      <c r="F9934" s="7" t="n">
        <v>2</v>
      </c>
      <c r="G9934" s="7" t="n">
        <v>101.25</v>
      </c>
    </row>
    <row r="9935" customFormat="false" ht="15" hidden="false" customHeight="false" outlineLevel="0" collapsed="false">
      <c r="A9935" s="7" t="s">
        <v>25</v>
      </c>
      <c r="B9935" s="7" t="s">
        <v>216</v>
      </c>
      <c r="C9935" s="7" t="s">
        <v>1051</v>
      </c>
      <c r="D9935" s="7" t="n">
        <v>0</v>
      </c>
      <c r="E9935" s="7" t="n">
        <v>0</v>
      </c>
      <c r="F9935" s="7" t="n">
        <v>5</v>
      </c>
      <c r="G9935" s="7" t="n">
        <v>404.61</v>
      </c>
    </row>
    <row r="9936" customFormat="false" ht="15" hidden="false" customHeight="false" outlineLevel="0" collapsed="false">
      <c r="A9936" s="7" t="s">
        <v>25</v>
      </c>
      <c r="B9936" s="7" t="s">
        <v>650</v>
      </c>
      <c r="C9936" s="7" t="s">
        <v>1088</v>
      </c>
      <c r="D9936" s="7" t="n">
        <v>0</v>
      </c>
      <c r="E9936" s="7" t="n">
        <v>0</v>
      </c>
      <c r="F9936" s="7" t="n">
        <v>15</v>
      </c>
      <c r="G9936" s="7" t="n">
        <v>463.79</v>
      </c>
    </row>
    <row r="9937" customFormat="false" ht="15" hidden="false" customHeight="false" outlineLevel="0" collapsed="false">
      <c r="A9937" s="7" t="s">
        <v>25</v>
      </c>
      <c r="B9937" s="7" t="s">
        <v>650</v>
      </c>
      <c r="C9937" s="7" t="s">
        <v>1088</v>
      </c>
      <c r="D9937" s="7" t="n">
        <v>0</v>
      </c>
      <c r="E9937" s="7" t="n">
        <v>0</v>
      </c>
      <c r="F9937" s="7" t="n">
        <v>8</v>
      </c>
      <c r="G9937" s="7" t="n">
        <v>235.84</v>
      </c>
    </row>
    <row r="9938" customFormat="false" ht="15" hidden="false" customHeight="false" outlineLevel="0" collapsed="false">
      <c r="A9938" s="7" t="s">
        <v>25</v>
      </c>
      <c r="B9938" s="7" t="s">
        <v>650</v>
      </c>
      <c r="C9938" s="7" t="s">
        <v>1088</v>
      </c>
      <c r="D9938" s="7" t="n">
        <v>1</v>
      </c>
      <c r="E9938" s="7" t="n">
        <v>27.08</v>
      </c>
      <c r="F9938" s="7" t="n">
        <v>0</v>
      </c>
      <c r="G9938" s="7" t="n">
        <v>0</v>
      </c>
    </row>
    <row r="9939" customFormat="false" ht="15" hidden="false" customHeight="false" outlineLevel="0" collapsed="false">
      <c r="A9939" s="7" t="s">
        <v>25</v>
      </c>
      <c r="B9939" s="7" t="s">
        <v>650</v>
      </c>
      <c r="C9939" s="7" t="s">
        <v>1088</v>
      </c>
      <c r="D9939" s="7" t="n">
        <v>0</v>
      </c>
      <c r="E9939" s="7" t="n">
        <v>0</v>
      </c>
      <c r="F9939" s="7" t="n">
        <v>17</v>
      </c>
      <c r="G9939" s="7" t="n">
        <v>534.35</v>
      </c>
    </row>
    <row r="9940" customFormat="false" ht="15" hidden="false" customHeight="false" outlineLevel="0" collapsed="false">
      <c r="A9940" s="7" t="s">
        <v>25</v>
      </c>
      <c r="B9940" s="7" t="s">
        <v>650</v>
      </c>
      <c r="C9940" s="7" t="s">
        <v>1088</v>
      </c>
      <c r="D9940" s="7" t="n">
        <v>23</v>
      </c>
      <c r="E9940" s="7" t="n">
        <v>768.92</v>
      </c>
      <c r="F9940" s="7" t="n">
        <v>0</v>
      </c>
      <c r="G9940" s="7" t="n">
        <v>0</v>
      </c>
    </row>
    <row r="9941" customFormat="false" ht="15" hidden="false" customHeight="false" outlineLevel="0" collapsed="false">
      <c r="A9941" s="7" t="s">
        <v>25</v>
      </c>
      <c r="B9941" s="7" t="s">
        <v>650</v>
      </c>
      <c r="C9941" s="7" t="s">
        <v>1088</v>
      </c>
      <c r="D9941" s="7" t="n">
        <v>0</v>
      </c>
      <c r="E9941" s="7" t="n">
        <v>0</v>
      </c>
      <c r="F9941" s="7" t="n">
        <v>1</v>
      </c>
      <c r="G9941" s="7" t="n">
        <v>31.19</v>
      </c>
    </row>
    <row r="9942" customFormat="false" ht="15" hidden="false" customHeight="false" outlineLevel="0" collapsed="false">
      <c r="A9942" s="7" t="s">
        <v>25</v>
      </c>
      <c r="B9942" s="7" t="s">
        <v>650</v>
      </c>
      <c r="C9942" s="7" t="s">
        <v>1088</v>
      </c>
      <c r="D9942" s="7" t="n">
        <v>0</v>
      </c>
      <c r="E9942" s="7" t="n">
        <v>0</v>
      </c>
      <c r="F9942" s="7" t="n">
        <v>17</v>
      </c>
      <c r="G9942" s="7" t="n">
        <v>505.75</v>
      </c>
    </row>
    <row r="9943" customFormat="false" ht="15" hidden="false" customHeight="false" outlineLevel="0" collapsed="false">
      <c r="A9943" s="7" t="s">
        <v>25</v>
      </c>
      <c r="B9943" s="7" t="s">
        <v>650</v>
      </c>
      <c r="C9943" s="7" t="s">
        <v>1088</v>
      </c>
      <c r="D9943" s="7" t="n">
        <v>0</v>
      </c>
      <c r="E9943" s="7" t="n">
        <v>0</v>
      </c>
      <c r="F9943" s="7" t="n">
        <v>6</v>
      </c>
      <c r="G9943" s="7" t="n">
        <v>165.68</v>
      </c>
    </row>
    <row r="9944" customFormat="false" ht="15" hidden="false" customHeight="false" outlineLevel="0" collapsed="false">
      <c r="A9944" s="7" t="s">
        <v>25</v>
      </c>
      <c r="B9944" s="7" t="s">
        <v>650</v>
      </c>
      <c r="C9944" s="7" t="s">
        <v>1088</v>
      </c>
      <c r="D9944" s="7" t="n">
        <v>0</v>
      </c>
      <c r="E9944" s="7" t="n">
        <v>0</v>
      </c>
      <c r="F9944" s="7" t="n">
        <v>4</v>
      </c>
      <c r="G9944" s="7" t="n">
        <v>122.16</v>
      </c>
    </row>
    <row r="9945" customFormat="false" ht="15" hidden="false" customHeight="false" outlineLevel="0" collapsed="false">
      <c r="A9945" s="7" t="s">
        <v>25</v>
      </c>
      <c r="B9945" s="7" t="s">
        <v>650</v>
      </c>
      <c r="C9945" s="7" t="s">
        <v>1088</v>
      </c>
      <c r="D9945" s="7" t="n">
        <v>0</v>
      </c>
      <c r="E9945" s="7" t="n">
        <v>0</v>
      </c>
      <c r="F9945" s="7" t="n">
        <v>5</v>
      </c>
      <c r="G9945" s="7" t="n">
        <v>149.25</v>
      </c>
    </row>
    <row r="9946" customFormat="false" ht="15" hidden="false" customHeight="false" outlineLevel="0" collapsed="false">
      <c r="A9946" s="7" t="s">
        <v>25</v>
      </c>
      <c r="B9946" s="7" t="s">
        <v>650</v>
      </c>
      <c r="C9946" s="7" t="s">
        <v>1088</v>
      </c>
      <c r="D9946" s="7" t="n">
        <v>9</v>
      </c>
      <c r="E9946" s="7" t="n">
        <v>286.62</v>
      </c>
      <c r="F9946" s="7" t="n">
        <v>0</v>
      </c>
      <c r="G9946" s="7" t="n">
        <v>0</v>
      </c>
    </row>
    <row r="9947" customFormat="false" ht="15" hidden="false" customHeight="false" outlineLevel="0" collapsed="false">
      <c r="A9947" s="7" t="s">
        <v>25</v>
      </c>
      <c r="B9947" s="7" t="s">
        <v>779</v>
      </c>
      <c r="C9947" s="7" t="s">
        <v>1089</v>
      </c>
      <c r="D9947" s="7" t="n">
        <v>0</v>
      </c>
      <c r="E9947" s="7" t="n">
        <v>0</v>
      </c>
      <c r="F9947" s="7" t="n">
        <v>2</v>
      </c>
      <c r="G9947" s="7" t="n">
        <v>88.47</v>
      </c>
    </row>
    <row r="9948" customFormat="false" ht="15" hidden="false" customHeight="false" outlineLevel="0" collapsed="false">
      <c r="A9948" s="7" t="s">
        <v>25</v>
      </c>
      <c r="B9948" s="7" t="s">
        <v>779</v>
      </c>
      <c r="C9948" s="7" t="s">
        <v>1089</v>
      </c>
      <c r="D9948" s="7" t="n">
        <v>0</v>
      </c>
      <c r="E9948" s="7" t="n">
        <v>0</v>
      </c>
      <c r="F9948" s="7" t="n">
        <v>6</v>
      </c>
      <c r="G9948" s="7" t="n">
        <v>278.36</v>
      </c>
    </row>
    <row r="9949" customFormat="false" ht="15" hidden="false" customHeight="false" outlineLevel="0" collapsed="false">
      <c r="A9949" s="7" t="s">
        <v>25</v>
      </c>
      <c r="B9949" s="7" t="s">
        <v>779</v>
      </c>
      <c r="C9949" s="7" t="s">
        <v>1089</v>
      </c>
      <c r="D9949" s="7" t="n">
        <v>4</v>
      </c>
      <c r="E9949" s="7" t="n">
        <v>169.55</v>
      </c>
      <c r="F9949" s="7" t="n">
        <v>0</v>
      </c>
      <c r="G9949" s="7" t="n">
        <v>0</v>
      </c>
    </row>
    <row r="9950" customFormat="false" ht="15" hidden="false" customHeight="false" outlineLevel="0" collapsed="false">
      <c r="A9950" s="7" t="s">
        <v>25</v>
      </c>
      <c r="B9950" s="7" t="s">
        <v>779</v>
      </c>
      <c r="C9950" s="7" t="s">
        <v>1089</v>
      </c>
      <c r="D9950" s="7" t="n">
        <v>5</v>
      </c>
      <c r="E9950" s="7" t="n">
        <v>235.9</v>
      </c>
      <c r="F9950" s="7" t="n">
        <v>0</v>
      </c>
      <c r="G9950" s="7" t="n">
        <v>0</v>
      </c>
    </row>
    <row r="9951" customFormat="false" ht="15" hidden="false" customHeight="false" outlineLevel="0" collapsed="false">
      <c r="A9951" s="7" t="s">
        <v>25</v>
      </c>
      <c r="B9951" s="7" t="s">
        <v>779</v>
      </c>
      <c r="C9951" s="7" t="s">
        <v>1089</v>
      </c>
      <c r="D9951" s="7" t="n">
        <v>0</v>
      </c>
      <c r="E9951" s="7" t="n">
        <v>0</v>
      </c>
      <c r="F9951" s="7" t="n">
        <v>3</v>
      </c>
      <c r="G9951" s="7" t="n">
        <v>137.47</v>
      </c>
    </row>
    <row r="9952" customFormat="false" ht="15" hidden="false" customHeight="false" outlineLevel="0" collapsed="false">
      <c r="A9952" s="7" t="s">
        <v>25</v>
      </c>
      <c r="B9952" s="7" t="s">
        <v>779</v>
      </c>
      <c r="C9952" s="7" t="s">
        <v>1089</v>
      </c>
      <c r="D9952" s="7" t="n">
        <v>1</v>
      </c>
      <c r="E9952" s="7" t="n">
        <v>42.13</v>
      </c>
      <c r="F9952" s="7" t="n">
        <v>0</v>
      </c>
      <c r="G9952" s="7" t="n">
        <v>0</v>
      </c>
    </row>
    <row r="9953" customFormat="false" ht="15" hidden="false" customHeight="false" outlineLevel="0" collapsed="false">
      <c r="A9953" s="7" t="s">
        <v>25</v>
      </c>
      <c r="B9953" s="7" t="s">
        <v>779</v>
      </c>
      <c r="C9953" s="7" t="s">
        <v>1089</v>
      </c>
      <c r="D9953" s="7" t="n">
        <v>0</v>
      </c>
      <c r="E9953" s="7" t="n">
        <v>0</v>
      </c>
      <c r="F9953" s="7" t="n">
        <v>1</v>
      </c>
      <c r="G9953" s="7" t="n">
        <v>31.69</v>
      </c>
    </row>
    <row r="9954" customFormat="false" ht="15" hidden="false" customHeight="false" outlineLevel="0" collapsed="false">
      <c r="A9954" s="7" t="s">
        <v>25</v>
      </c>
      <c r="B9954" s="7" t="s">
        <v>779</v>
      </c>
      <c r="C9954" s="7" t="s">
        <v>1089</v>
      </c>
      <c r="D9954" s="7" t="n">
        <v>0</v>
      </c>
      <c r="E9954" s="7" t="n">
        <v>0</v>
      </c>
      <c r="F9954" s="7" t="n">
        <v>5</v>
      </c>
      <c r="G9954" s="7" t="n">
        <v>210.68</v>
      </c>
    </row>
    <row r="9955" customFormat="false" ht="15" hidden="false" customHeight="false" outlineLevel="0" collapsed="false">
      <c r="A9955" s="7" t="s">
        <v>25</v>
      </c>
      <c r="B9955" s="7" t="s">
        <v>779</v>
      </c>
      <c r="C9955" s="7" t="s">
        <v>1089</v>
      </c>
      <c r="D9955" s="7" t="n">
        <v>0</v>
      </c>
      <c r="E9955" s="7" t="n">
        <v>0</v>
      </c>
      <c r="F9955" s="7" t="n">
        <v>1</v>
      </c>
      <c r="G9955" s="7" t="n">
        <v>44.79</v>
      </c>
    </row>
    <row r="9956" customFormat="false" ht="15" hidden="false" customHeight="false" outlineLevel="0" collapsed="false">
      <c r="A9956" s="7" t="s">
        <v>25</v>
      </c>
      <c r="B9956" s="7" t="s">
        <v>779</v>
      </c>
      <c r="C9956" s="7" t="s">
        <v>1089</v>
      </c>
      <c r="D9956" s="7" t="n">
        <v>0</v>
      </c>
      <c r="E9956" s="7" t="n">
        <v>0</v>
      </c>
      <c r="F9956" s="7" t="n">
        <v>1</v>
      </c>
      <c r="G9956" s="7" t="n">
        <v>46.8</v>
      </c>
    </row>
    <row r="9957" customFormat="false" ht="15" hidden="false" customHeight="false" outlineLevel="0" collapsed="false">
      <c r="A9957" s="7" t="s">
        <v>25</v>
      </c>
      <c r="B9957" s="7" t="s">
        <v>225</v>
      </c>
      <c r="C9957" s="7" t="s">
        <v>1091</v>
      </c>
      <c r="D9957" s="7" t="n">
        <v>0</v>
      </c>
      <c r="E9957" s="7" t="n">
        <v>0</v>
      </c>
      <c r="F9957" s="7" t="n">
        <v>3</v>
      </c>
      <c r="G9957" s="7" t="n">
        <v>89.55</v>
      </c>
    </row>
    <row r="9958" customFormat="false" ht="15" hidden="false" customHeight="false" outlineLevel="0" collapsed="false">
      <c r="A9958" s="7" t="s">
        <v>25</v>
      </c>
      <c r="B9958" s="7" t="s">
        <v>225</v>
      </c>
      <c r="C9958" s="7" t="s">
        <v>1091</v>
      </c>
      <c r="D9958" s="7" t="n">
        <v>0</v>
      </c>
      <c r="E9958" s="7" t="n">
        <v>0</v>
      </c>
      <c r="F9958" s="7" t="n">
        <v>2</v>
      </c>
      <c r="G9958" s="7" t="n">
        <v>68.43</v>
      </c>
    </row>
    <row r="9959" customFormat="false" ht="15" hidden="false" customHeight="false" outlineLevel="0" collapsed="false">
      <c r="A9959" s="7" t="s">
        <v>25</v>
      </c>
      <c r="B9959" s="7" t="s">
        <v>225</v>
      </c>
      <c r="C9959" s="7" t="s">
        <v>1091</v>
      </c>
      <c r="D9959" s="7" t="n">
        <v>23</v>
      </c>
      <c r="E9959" s="7" t="n">
        <v>974.89</v>
      </c>
      <c r="F9959" s="7" t="n">
        <v>0</v>
      </c>
      <c r="G9959" s="7" t="n">
        <v>0</v>
      </c>
    </row>
    <row r="9960" customFormat="false" ht="15" hidden="false" customHeight="false" outlineLevel="0" collapsed="false">
      <c r="A9960" s="7" t="s">
        <v>25</v>
      </c>
      <c r="B9960" s="7" t="s">
        <v>225</v>
      </c>
      <c r="C9960" s="7" t="s">
        <v>1091</v>
      </c>
      <c r="D9960" s="7" t="n">
        <v>0</v>
      </c>
      <c r="E9960" s="7" t="n">
        <v>0</v>
      </c>
      <c r="F9960" s="7" t="n">
        <v>3</v>
      </c>
      <c r="G9960" s="7" t="n">
        <v>115</v>
      </c>
    </row>
    <row r="9961" customFormat="false" ht="15" hidden="false" customHeight="false" outlineLevel="0" collapsed="false">
      <c r="A9961" s="7" t="s">
        <v>25</v>
      </c>
      <c r="B9961" s="7" t="s">
        <v>225</v>
      </c>
      <c r="C9961" s="7" t="s">
        <v>1091</v>
      </c>
      <c r="D9961" s="7" t="n">
        <v>0</v>
      </c>
      <c r="E9961" s="7" t="n">
        <v>0</v>
      </c>
      <c r="F9961" s="7" t="n">
        <v>4</v>
      </c>
      <c r="G9961" s="7" t="n">
        <v>122.16</v>
      </c>
    </row>
    <row r="9962" customFormat="false" ht="15" hidden="false" customHeight="false" outlineLevel="0" collapsed="false">
      <c r="A9962" s="7" t="s">
        <v>25</v>
      </c>
      <c r="B9962" s="7" t="s">
        <v>225</v>
      </c>
      <c r="C9962" s="7" t="s">
        <v>1091</v>
      </c>
      <c r="D9962" s="7" t="n">
        <v>0</v>
      </c>
      <c r="E9962" s="7" t="n">
        <v>0</v>
      </c>
      <c r="F9962" s="7" t="n">
        <v>50</v>
      </c>
      <c r="G9962" s="7" t="n">
        <v>2062.08</v>
      </c>
    </row>
    <row r="9963" customFormat="false" ht="15" hidden="false" customHeight="false" outlineLevel="0" collapsed="false">
      <c r="A9963" s="7" t="s">
        <v>25</v>
      </c>
      <c r="B9963" s="7" t="s">
        <v>225</v>
      </c>
      <c r="C9963" s="7" t="s">
        <v>1091</v>
      </c>
      <c r="D9963" s="7" t="n">
        <v>5</v>
      </c>
      <c r="E9963" s="7" t="n">
        <v>207.19</v>
      </c>
      <c r="F9963" s="7" t="n">
        <v>0</v>
      </c>
      <c r="G9963" s="7" t="n">
        <v>0</v>
      </c>
    </row>
    <row r="9964" customFormat="false" ht="15" hidden="false" customHeight="false" outlineLevel="0" collapsed="false">
      <c r="A9964" s="7" t="s">
        <v>25</v>
      </c>
      <c r="B9964" s="7" t="s">
        <v>225</v>
      </c>
      <c r="C9964" s="7" t="s">
        <v>1091</v>
      </c>
      <c r="D9964" s="7" t="n">
        <v>0</v>
      </c>
      <c r="E9964" s="7" t="n">
        <v>0</v>
      </c>
      <c r="F9964" s="7" t="n">
        <v>2</v>
      </c>
      <c r="G9964" s="7" t="n">
        <v>73.03</v>
      </c>
    </row>
    <row r="9965" customFormat="false" ht="15" hidden="false" customHeight="false" outlineLevel="0" collapsed="false">
      <c r="A9965" s="7" t="s">
        <v>25</v>
      </c>
      <c r="B9965" s="7" t="s">
        <v>225</v>
      </c>
      <c r="C9965" s="7" t="s">
        <v>1091</v>
      </c>
      <c r="D9965" s="7" t="n">
        <v>0</v>
      </c>
      <c r="E9965" s="7" t="n">
        <v>0</v>
      </c>
      <c r="F9965" s="7" t="n">
        <v>65</v>
      </c>
      <c r="G9965" s="7" t="n">
        <v>2613.26</v>
      </c>
    </row>
    <row r="9966" customFormat="false" ht="15" hidden="false" customHeight="false" outlineLevel="0" collapsed="false">
      <c r="A9966" s="7" t="s">
        <v>25</v>
      </c>
      <c r="B9966" s="7" t="s">
        <v>225</v>
      </c>
      <c r="C9966" s="7" t="s">
        <v>1091</v>
      </c>
      <c r="D9966" s="7" t="n">
        <v>0</v>
      </c>
      <c r="E9966" s="7" t="n">
        <v>0</v>
      </c>
      <c r="F9966" s="7" t="n">
        <v>6</v>
      </c>
      <c r="G9966" s="7" t="n">
        <v>246.68</v>
      </c>
    </row>
    <row r="9967" customFormat="false" ht="15" hidden="false" customHeight="false" outlineLevel="0" collapsed="false">
      <c r="A9967" s="7" t="s">
        <v>25</v>
      </c>
      <c r="B9967" s="7" t="s">
        <v>134</v>
      </c>
      <c r="C9967" s="7" t="s">
        <v>1093</v>
      </c>
      <c r="D9967" s="7" t="n">
        <v>0</v>
      </c>
      <c r="E9967" s="7" t="n">
        <v>0</v>
      </c>
      <c r="F9967" s="7" t="n">
        <v>4</v>
      </c>
      <c r="G9967" s="7" t="n">
        <v>290.8</v>
      </c>
    </row>
    <row r="9968" customFormat="false" ht="15" hidden="false" customHeight="false" outlineLevel="0" collapsed="false">
      <c r="A9968" s="7" t="s">
        <v>25</v>
      </c>
      <c r="B9968" s="7" t="s">
        <v>134</v>
      </c>
      <c r="C9968" s="7" t="s">
        <v>1093</v>
      </c>
      <c r="D9968" s="7" t="n">
        <v>0</v>
      </c>
      <c r="E9968" s="7" t="n">
        <v>0</v>
      </c>
      <c r="F9968" s="7" t="n">
        <v>4</v>
      </c>
      <c r="G9968" s="7" t="n">
        <v>155.38</v>
      </c>
    </row>
    <row r="9969" customFormat="false" ht="15" hidden="false" customHeight="false" outlineLevel="0" collapsed="false">
      <c r="A9969" s="7" t="s">
        <v>25</v>
      </c>
      <c r="B9969" s="7" t="s">
        <v>134</v>
      </c>
      <c r="C9969" s="7" t="s">
        <v>1093</v>
      </c>
      <c r="D9969" s="7" t="n">
        <v>0</v>
      </c>
      <c r="E9969" s="7" t="n">
        <v>0</v>
      </c>
      <c r="F9969" s="7" t="n">
        <v>1</v>
      </c>
      <c r="G9969" s="7" t="n">
        <v>0</v>
      </c>
    </row>
    <row r="9970" customFormat="false" ht="15" hidden="false" customHeight="false" outlineLevel="0" collapsed="false">
      <c r="A9970" s="7" t="s">
        <v>25</v>
      </c>
      <c r="B9970" s="7" t="s">
        <v>134</v>
      </c>
      <c r="C9970" s="7" t="s">
        <v>1093</v>
      </c>
      <c r="D9970" s="7" t="n">
        <v>0</v>
      </c>
      <c r="E9970" s="7" t="n">
        <v>0</v>
      </c>
      <c r="F9970" s="7" t="n">
        <v>1</v>
      </c>
      <c r="G9970" s="7" t="n">
        <v>71.71</v>
      </c>
    </row>
    <row r="9971" customFormat="false" ht="15" hidden="false" customHeight="false" outlineLevel="0" collapsed="false">
      <c r="A9971" s="7" t="s">
        <v>25</v>
      </c>
      <c r="B9971" s="7" t="s">
        <v>134</v>
      </c>
      <c r="C9971" s="7" t="s">
        <v>1093</v>
      </c>
      <c r="D9971" s="7" t="n">
        <v>3</v>
      </c>
      <c r="E9971" s="7" t="n">
        <v>210.25</v>
      </c>
      <c r="F9971" s="7" t="n">
        <v>0</v>
      </c>
      <c r="G9971" s="7" t="n">
        <v>0</v>
      </c>
    </row>
    <row r="9972" customFormat="false" ht="15" hidden="false" customHeight="false" outlineLevel="0" collapsed="false">
      <c r="A9972" s="7" t="s">
        <v>25</v>
      </c>
      <c r="B9972" s="7" t="s">
        <v>134</v>
      </c>
      <c r="C9972" s="7" t="s">
        <v>1093</v>
      </c>
      <c r="D9972" s="7" t="n">
        <v>13</v>
      </c>
      <c r="E9972" s="7" t="n">
        <v>857.71</v>
      </c>
      <c r="F9972" s="7" t="n">
        <v>0</v>
      </c>
      <c r="G9972" s="7" t="n">
        <v>0</v>
      </c>
    </row>
    <row r="9973" customFormat="false" ht="15" hidden="false" customHeight="false" outlineLevel="0" collapsed="false">
      <c r="A9973" s="7" t="s">
        <v>25</v>
      </c>
      <c r="B9973" s="7" t="s">
        <v>217</v>
      </c>
      <c r="C9973" s="7" t="s">
        <v>1094</v>
      </c>
      <c r="D9973" s="7" t="n">
        <v>38</v>
      </c>
      <c r="E9973" s="7" t="n">
        <v>2004.62</v>
      </c>
      <c r="F9973" s="7" t="n">
        <v>0</v>
      </c>
      <c r="G9973" s="7" t="n">
        <v>0</v>
      </c>
    </row>
    <row r="9974" customFormat="false" ht="15" hidden="false" customHeight="false" outlineLevel="0" collapsed="false">
      <c r="A9974" s="7" t="s">
        <v>25</v>
      </c>
      <c r="B9974" s="7" t="s">
        <v>217</v>
      </c>
      <c r="C9974" s="7" t="s">
        <v>1094</v>
      </c>
      <c r="D9974" s="7" t="n">
        <v>0</v>
      </c>
      <c r="E9974" s="7" t="n">
        <v>0</v>
      </c>
      <c r="F9974" s="7" t="n">
        <v>2</v>
      </c>
      <c r="G9974" s="7" t="n">
        <v>79.48</v>
      </c>
    </row>
    <row r="9975" customFormat="false" ht="15" hidden="false" customHeight="false" outlineLevel="0" collapsed="false">
      <c r="A9975" s="7" t="s">
        <v>25</v>
      </c>
      <c r="B9975" s="7" t="s">
        <v>217</v>
      </c>
      <c r="C9975" s="7" t="s">
        <v>1094</v>
      </c>
      <c r="D9975" s="7" t="n">
        <v>5</v>
      </c>
      <c r="E9975" s="7" t="n">
        <v>267</v>
      </c>
      <c r="F9975" s="7" t="n">
        <v>0</v>
      </c>
      <c r="G9975" s="7" t="n">
        <v>0</v>
      </c>
    </row>
    <row r="9976" customFormat="false" ht="15" hidden="false" customHeight="false" outlineLevel="0" collapsed="false">
      <c r="A9976" s="7" t="s">
        <v>25</v>
      </c>
      <c r="B9976" s="7" t="s">
        <v>217</v>
      </c>
      <c r="C9976" s="7" t="s">
        <v>1094</v>
      </c>
      <c r="D9976" s="7" t="n">
        <v>0</v>
      </c>
      <c r="E9976" s="7" t="n">
        <v>0</v>
      </c>
      <c r="F9976" s="7" t="n">
        <v>2</v>
      </c>
      <c r="G9976" s="7" t="n">
        <v>77.43</v>
      </c>
    </row>
    <row r="9977" customFormat="false" ht="15" hidden="false" customHeight="false" outlineLevel="0" collapsed="false">
      <c r="A9977" s="7" t="s">
        <v>25</v>
      </c>
      <c r="B9977" s="7" t="s">
        <v>217</v>
      </c>
      <c r="C9977" s="7" t="s">
        <v>1094</v>
      </c>
      <c r="D9977" s="7" t="n">
        <v>0</v>
      </c>
      <c r="E9977" s="7" t="n">
        <v>0</v>
      </c>
      <c r="F9977" s="7" t="n">
        <v>2</v>
      </c>
      <c r="G9977" s="7" t="n">
        <v>111.03</v>
      </c>
    </row>
    <row r="9978" customFormat="false" ht="15" hidden="false" customHeight="false" outlineLevel="0" collapsed="false">
      <c r="A9978" s="7" t="s">
        <v>25</v>
      </c>
      <c r="B9978" s="7" t="s">
        <v>217</v>
      </c>
      <c r="C9978" s="7" t="s">
        <v>1094</v>
      </c>
      <c r="D9978" s="7" t="n">
        <v>3</v>
      </c>
      <c r="E9978" s="7" t="n">
        <v>170.65</v>
      </c>
      <c r="F9978" s="7" t="n">
        <v>0</v>
      </c>
      <c r="G9978" s="7" t="n">
        <v>0</v>
      </c>
    </row>
    <row r="9979" customFormat="false" ht="15" hidden="false" customHeight="false" outlineLevel="0" collapsed="false">
      <c r="A9979" s="7" t="s">
        <v>25</v>
      </c>
      <c r="B9979" s="7" t="s">
        <v>217</v>
      </c>
      <c r="C9979" s="7" t="s">
        <v>1094</v>
      </c>
      <c r="D9979" s="7" t="n">
        <v>0</v>
      </c>
      <c r="E9979" s="7" t="n">
        <v>0</v>
      </c>
      <c r="F9979" s="7" t="n">
        <v>1</v>
      </c>
      <c r="G9979" s="7" t="n">
        <v>38.84</v>
      </c>
    </row>
    <row r="9980" customFormat="false" ht="15" hidden="false" customHeight="false" outlineLevel="0" collapsed="false">
      <c r="A9980" s="7" t="s">
        <v>25</v>
      </c>
      <c r="B9980" s="7" t="s">
        <v>217</v>
      </c>
      <c r="C9980" s="7" t="s">
        <v>1094</v>
      </c>
      <c r="D9980" s="7" t="n">
        <v>0</v>
      </c>
      <c r="E9980" s="7" t="n">
        <v>0</v>
      </c>
      <c r="F9980" s="7" t="n">
        <v>1</v>
      </c>
      <c r="G9980" s="7" t="n">
        <v>54.76</v>
      </c>
    </row>
    <row r="9981" customFormat="false" ht="15" hidden="false" customHeight="false" outlineLevel="0" collapsed="false">
      <c r="A9981" s="7" t="s">
        <v>25</v>
      </c>
      <c r="B9981" s="7" t="s">
        <v>872</v>
      </c>
      <c r="C9981" s="7" t="s">
        <v>1100</v>
      </c>
      <c r="D9981" s="7" t="n">
        <v>0</v>
      </c>
      <c r="E9981" s="7" t="n">
        <v>0</v>
      </c>
      <c r="F9981" s="7" t="n">
        <v>1</v>
      </c>
      <c r="G9981" s="7" t="n">
        <v>59.47</v>
      </c>
    </row>
    <row r="9982" customFormat="false" ht="15" hidden="false" customHeight="false" outlineLevel="0" collapsed="false">
      <c r="A9982" s="7" t="s">
        <v>25</v>
      </c>
      <c r="B9982" s="7" t="s">
        <v>119</v>
      </c>
      <c r="C9982" s="7" t="s">
        <v>1100</v>
      </c>
      <c r="D9982" s="7" t="n">
        <v>0</v>
      </c>
      <c r="E9982" s="7" t="n">
        <v>0</v>
      </c>
      <c r="F9982" s="7" t="n">
        <v>6</v>
      </c>
      <c r="G9982" s="7" t="n">
        <v>353.59</v>
      </c>
    </row>
    <row r="9983" customFormat="false" ht="15" hidden="false" customHeight="false" outlineLevel="0" collapsed="false">
      <c r="A9983" s="7" t="s">
        <v>25</v>
      </c>
      <c r="B9983" s="7" t="s">
        <v>119</v>
      </c>
      <c r="C9983" s="7" t="s">
        <v>1100</v>
      </c>
      <c r="D9983" s="7" t="n">
        <v>0</v>
      </c>
      <c r="E9983" s="7" t="n">
        <v>0</v>
      </c>
      <c r="F9983" s="7" t="n">
        <v>23</v>
      </c>
      <c r="G9983" s="7" t="n">
        <v>1459.1</v>
      </c>
    </row>
    <row r="9984" customFormat="false" ht="15" hidden="false" customHeight="false" outlineLevel="0" collapsed="false">
      <c r="A9984" s="7" t="s">
        <v>25</v>
      </c>
      <c r="B9984" s="7" t="s">
        <v>119</v>
      </c>
      <c r="C9984" s="7" t="s">
        <v>1100</v>
      </c>
      <c r="D9984" s="7" t="n">
        <v>0</v>
      </c>
      <c r="E9984" s="7" t="n">
        <v>0</v>
      </c>
      <c r="F9984" s="7" t="n">
        <v>2</v>
      </c>
      <c r="G9984" s="7" t="n">
        <v>119.34</v>
      </c>
    </row>
    <row r="9985" customFormat="false" ht="15" hidden="false" customHeight="false" outlineLevel="0" collapsed="false">
      <c r="A9985" s="7" t="s">
        <v>25</v>
      </c>
      <c r="B9985" s="7" t="s">
        <v>119</v>
      </c>
      <c r="C9985" s="7" t="s">
        <v>1100</v>
      </c>
      <c r="D9985" s="7" t="n">
        <v>0</v>
      </c>
      <c r="E9985" s="7" t="n">
        <v>0</v>
      </c>
      <c r="F9985" s="7" t="n">
        <v>7</v>
      </c>
      <c r="G9985" s="7" t="n">
        <v>442.44</v>
      </c>
    </row>
    <row r="9986" customFormat="false" ht="15" hidden="false" customHeight="false" outlineLevel="0" collapsed="false">
      <c r="A9986" s="7" t="s">
        <v>25</v>
      </c>
      <c r="B9986" s="7" t="s">
        <v>119</v>
      </c>
      <c r="C9986" s="7" t="s">
        <v>1100</v>
      </c>
      <c r="D9986" s="7" t="n">
        <v>8</v>
      </c>
      <c r="E9986" s="7" t="n">
        <v>675</v>
      </c>
      <c r="F9986" s="7" t="n">
        <v>0</v>
      </c>
      <c r="G9986" s="7" t="n">
        <v>0</v>
      </c>
    </row>
    <row r="9987" customFormat="false" ht="15" hidden="false" customHeight="false" outlineLevel="0" collapsed="false">
      <c r="A9987" s="7" t="s">
        <v>25</v>
      </c>
      <c r="B9987" s="7" t="s">
        <v>119</v>
      </c>
      <c r="C9987" s="7" t="s">
        <v>1100</v>
      </c>
      <c r="D9987" s="7" t="n">
        <v>1</v>
      </c>
      <c r="E9987" s="7" t="n">
        <v>88.44</v>
      </c>
      <c r="F9987" s="7" t="n">
        <v>0</v>
      </c>
      <c r="G9987" s="7" t="n">
        <v>0</v>
      </c>
    </row>
    <row r="9988" customFormat="false" ht="15" hidden="false" customHeight="false" outlineLevel="0" collapsed="false">
      <c r="A9988" s="7" t="s">
        <v>25</v>
      </c>
      <c r="B9988" s="7" t="s">
        <v>119</v>
      </c>
      <c r="C9988" s="7" t="s">
        <v>1100</v>
      </c>
      <c r="D9988" s="7" t="n">
        <v>42</v>
      </c>
      <c r="E9988" s="7" t="n">
        <v>3737.24</v>
      </c>
      <c r="F9988" s="7" t="n">
        <v>0</v>
      </c>
      <c r="G9988" s="7" t="n">
        <v>0</v>
      </c>
    </row>
    <row r="9989" customFormat="false" ht="15" hidden="false" customHeight="false" outlineLevel="0" collapsed="false">
      <c r="A9989" s="7" t="s">
        <v>25</v>
      </c>
      <c r="B9989" s="7" t="s">
        <v>119</v>
      </c>
      <c r="C9989" s="7" t="s">
        <v>1100</v>
      </c>
      <c r="D9989" s="7" t="n">
        <v>0</v>
      </c>
      <c r="E9989" s="7" t="n">
        <v>0</v>
      </c>
      <c r="F9989" s="7" t="n">
        <v>11</v>
      </c>
      <c r="G9989" s="7" t="n">
        <v>816.74</v>
      </c>
    </row>
    <row r="9990" customFormat="false" ht="15" hidden="false" customHeight="false" outlineLevel="0" collapsed="false">
      <c r="A9990" s="7" t="s">
        <v>25</v>
      </c>
      <c r="B9990" s="7" t="s">
        <v>110</v>
      </c>
      <c r="C9990" s="7" t="s">
        <v>1105</v>
      </c>
      <c r="D9990" s="7" t="n">
        <v>0</v>
      </c>
      <c r="E9990" s="7" t="n">
        <v>0</v>
      </c>
      <c r="F9990" s="7" t="n">
        <v>1</v>
      </c>
      <c r="G9990" s="7" t="n">
        <v>58.77</v>
      </c>
    </row>
    <row r="9991" customFormat="false" ht="15" hidden="false" customHeight="false" outlineLevel="0" collapsed="false">
      <c r="A9991" s="7" t="s">
        <v>25</v>
      </c>
      <c r="B9991" s="7" t="s">
        <v>110</v>
      </c>
      <c r="C9991" s="7" t="s">
        <v>1105</v>
      </c>
      <c r="D9991" s="7" t="n">
        <v>0</v>
      </c>
      <c r="E9991" s="7" t="n">
        <v>0</v>
      </c>
      <c r="F9991" s="7" t="n">
        <v>1</v>
      </c>
      <c r="G9991" s="7" t="n">
        <v>56.55</v>
      </c>
    </row>
    <row r="9992" customFormat="false" ht="15" hidden="false" customHeight="false" outlineLevel="0" collapsed="false">
      <c r="A9992" s="7" t="s">
        <v>25</v>
      </c>
      <c r="B9992" s="7" t="s">
        <v>110</v>
      </c>
      <c r="C9992" s="7" t="s">
        <v>1105</v>
      </c>
      <c r="D9992" s="7" t="n">
        <v>0</v>
      </c>
      <c r="E9992" s="7" t="n">
        <v>0</v>
      </c>
      <c r="F9992" s="7" t="n">
        <v>2</v>
      </c>
      <c r="G9992" s="7" t="n">
        <v>120.21</v>
      </c>
    </row>
    <row r="9993" customFormat="false" ht="15" hidden="false" customHeight="false" outlineLevel="0" collapsed="false">
      <c r="A9993" s="7" t="s">
        <v>25</v>
      </c>
      <c r="B9993" s="7" t="s">
        <v>104</v>
      </c>
      <c r="C9993" s="7" t="s">
        <v>1105</v>
      </c>
      <c r="D9993" s="7" t="n">
        <v>0</v>
      </c>
      <c r="E9993" s="7" t="n">
        <v>0</v>
      </c>
      <c r="F9993" s="7" t="n">
        <v>1</v>
      </c>
      <c r="G9993" s="7" t="n">
        <v>40.34</v>
      </c>
    </row>
    <row r="9994" customFormat="false" ht="15" hidden="false" customHeight="false" outlineLevel="0" collapsed="false">
      <c r="A9994" s="7" t="s">
        <v>25</v>
      </c>
      <c r="B9994" s="7" t="s">
        <v>104</v>
      </c>
      <c r="C9994" s="7" t="s">
        <v>1105</v>
      </c>
      <c r="D9994" s="7" t="n">
        <v>0</v>
      </c>
      <c r="E9994" s="7" t="n">
        <v>0</v>
      </c>
      <c r="F9994" s="7" t="n">
        <v>1</v>
      </c>
      <c r="G9994" s="7" t="n">
        <v>58.77</v>
      </c>
    </row>
    <row r="9995" customFormat="false" ht="15" hidden="false" customHeight="false" outlineLevel="0" collapsed="false">
      <c r="A9995" s="7" t="s">
        <v>25</v>
      </c>
      <c r="B9995" s="7" t="s">
        <v>104</v>
      </c>
      <c r="C9995" s="7" t="s">
        <v>1105</v>
      </c>
      <c r="D9995" s="7" t="n">
        <v>0</v>
      </c>
      <c r="E9995" s="7" t="n">
        <v>0</v>
      </c>
      <c r="F9995" s="7" t="n">
        <v>2</v>
      </c>
      <c r="G9995" s="7" t="n">
        <v>106.76</v>
      </c>
    </row>
    <row r="9996" customFormat="false" ht="15" hidden="false" customHeight="false" outlineLevel="0" collapsed="false">
      <c r="A9996" s="7" t="s">
        <v>25</v>
      </c>
      <c r="B9996" s="7" t="s">
        <v>106</v>
      </c>
      <c r="C9996" s="7" t="s">
        <v>1105</v>
      </c>
      <c r="D9996" s="7" t="n">
        <v>0</v>
      </c>
      <c r="E9996" s="7" t="n">
        <v>0</v>
      </c>
      <c r="F9996" s="7" t="n">
        <v>3</v>
      </c>
      <c r="G9996" s="7" t="n">
        <v>168.12</v>
      </c>
    </row>
    <row r="9997" customFormat="false" ht="15" hidden="false" customHeight="false" outlineLevel="0" collapsed="false">
      <c r="A9997" s="7" t="s">
        <v>25</v>
      </c>
      <c r="B9997" s="7" t="s">
        <v>106</v>
      </c>
      <c r="C9997" s="7" t="s">
        <v>1105</v>
      </c>
      <c r="D9997" s="7" t="n">
        <v>0</v>
      </c>
      <c r="E9997" s="7" t="n">
        <v>0</v>
      </c>
      <c r="F9997" s="7" t="n">
        <v>2</v>
      </c>
      <c r="G9997" s="7" t="n">
        <v>117.55</v>
      </c>
    </row>
    <row r="9998" customFormat="false" ht="15" hidden="false" customHeight="false" outlineLevel="0" collapsed="false">
      <c r="A9998" s="7" t="s">
        <v>25</v>
      </c>
      <c r="B9998" s="7" t="s">
        <v>838</v>
      </c>
      <c r="C9998" s="7" t="s">
        <v>1316</v>
      </c>
      <c r="D9998" s="7" t="n">
        <v>6</v>
      </c>
      <c r="E9998" s="7" t="n">
        <v>1184.48</v>
      </c>
      <c r="F9998" s="7" t="n">
        <v>0</v>
      </c>
      <c r="G9998" s="7" t="n">
        <v>0</v>
      </c>
    </row>
    <row r="9999" customFormat="false" ht="15" hidden="false" customHeight="false" outlineLevel="0" collapsed="false">
      <c r="A9999" s="7" t="s">
        <v>25</v>
      </c>
      <c r="B9999" s="7" t="s">
        <v>838</v>
      </c>
      <c r="C9999" s="7" t="s">
        <v>1316</v>
      </c>
      <c r="D9999" s="7" t="n">
        <v>0</v>
      </c>
      <c r="E9999" s="7" t="n">
        <v>0</v>
      </c>
      <c r="F9999" s="7" t="n">
        <v>6</v>
      </c>
      <c r="G9999" s="7" t="n">
        <v>991.36</v>
      </c>
    </row>
    <row r="10000" customFormat="false" ht="15" hidden="false" customHeight="false" outlineLevel="0" collapsed="false">
      <c r="A10000" s="7" t="s">
        <v>25</v>
      </c>
      <c r="B10000" s="7" t="s">
        <v>838</v>
      </c>
      <c r="C10000" s="7" t="s">
        <v>1316</v>
      </c>
      <c r="D10000" s="7" t="n">
        <v>7</v>
      </c>
      <c r="E10000" s="7" t="n">
        <v>1325.47</v>
      </c>
      <c r="F10000" s="7" t="n">
        <v>0</v>
      </c>
      <c r="G10000" s="7" t="n">
        <v>0</v>
      </c>
    </row>
    <row r="10001" customFormat="false" ht="15" hidden="false" customHeight="false" outlineLevel="0" collapsed="false">
      <c r="A10001" s="7" t="s">
        <v>25</v>
      </c>
      <c r="B10001" s="7" t="s">
        <v>838</v>
      </c>
      <c r="C10001" s="7" t="s">
        <v>1316</v>
      </c>
      <c r="D10001" s="7" t="n">
        <v>0</v>
      </c>
      <c r="E10001" s="7" t="n">
        <v>0</v>
      </c>
      <c r="F10001" s="7" t="n">
        <v>9</v>
      </c>
      <c r="G10001" s="7" t="n">
        <v>1433.94</v>
      </c>
    </row>
    <row r="10002" customFormat="false" ht="15" hidden="false" customHeight="false" outlineLevel="0" collapsed="false">
      <c r="A10002" s="7" t="s">
        <v>25</v>
      </c>
      <c r="B10002" s="7" t="s">
        <v>838</v>
      </c>
      <c r="C10002" s="7" t="s">
        <v>1316</v>
      </c>
      <c r="D10002" s="7" t="n">
        <v>8</v>
      </c>
      <c r="E10002" s="7" t="n">
        <v>1547.64</v>
      </c>
      <c r="F10002" s="7" t="n">
        <v>0</v>
      </c>
      <c r="G10002" s="7" t="n">
        <v>0</v>
      </c>
    </row>
    <row r="10003" customFormat="false" ht="15" hidden="false" customHeight="false" outlineLevel="0" collapsed="false">
      <c r="A10003" s="7" t="s">
        <v>25</v>
      </c>
      <c r="B10003" s="7" t="s">
        <v>838</v>
      </c>
      <c r="C10003" s="7" t="s">
        <v>1316</v>
      </c>
      <c r="D10003" s="7" t="n">
        <v>16</v>
      </c>
      <c r="E10003" s="7" t="n">
        <v>3271.25</v>
      </c>
      <c r="F10003" s="7" t="n">
        <v>0</v>
      </c>
      <c r="G10003" s="7" t="n">
        <v>0</v>
      </c>
    </row>
    <row r="10004" customFormat="false" ht="15" hidden="false" customHeight="false" outlineLevel="0" collapsed="false">
      <c r="A10004" s="7" t="s">
        <v>25</v>
      </c>
      <c r="B10004" s="7" t="s">
        <v>838</v>
      </c>
      <c r="C10004" s="7" t="s">
        <v>1316</v>
      </c>
      <c r="D10004" s="7" t="n">
        <v>0</v>
      </c>
      <c r="E10004" s="7" t="n">
        <v>0</v>
      </c>
      <c r="F10004" s="7" t="n">
        <v>16</v>
      </c>
      <c r="G10004" s="7" t="n">
        <v>2793.72</v>
      </c>
    </row>
    <row r="10005" customFormat="false" ht="15" hidden="false" customHeight="false" outlineLevel="0" collapsed="false">
      <c r="A10005" s="7" t="s">
        <v>25</v>
      </c>
      <c r="B10005" s="7" t="s">
        <v>838</v>
      </c>
      <c r="C10005" s="7" t="s">
        <v>1316</v>
      </c>
      <c r="D10005" s="7" t="n">
        <v>0</v>
      </c>
      <c r="E10005" s="7" t="n">
        <v>0</v>
      </c>
      <c r="F10005" s="7" t="n">
        <v>10</v>
      </c>
      <c r="G10005" s="7" t="n">
        <v>1772.08</v>
      </c>
    </row>
    <row r="10006" customFormat="false" ht="15" hidden="false" customHeight="false" outlineLevel="0" collapsed="false">
      <c r="A10006" s="7" t="s">
        <v>25</v>
      </c>
      <c r="B10006" s="7" t="s">
        <v>838</v>
      </c>
      <c r="C10006" s="7" t="s">
        <v>1316</v>
      </c>
      <c r="D10006" s="7" t="n">
        <v>0</v>
      </c>
      <c r="E10006" s="7" t="n">
        <v>0</v>
      </c>
      <c r="F10006" s="7" t="n">
        <v>6</v>
      </c>
      <c r="G10006" s="7" t="n">
        <v>1003.79</v>
      </c>
    </row>
    <row r="10007" customFormat="false" ht="15" hidden="false" customHeight="false" outlineLevel="0" collapsed="false">
      <c r="A10007" s="7" t="s">
        <v>25</v>
      </c>
      <c r="B10007" s="7" t="s">
        <v>838</v>
      </c>
      <c r="C10007" s="7" t="s">
        <v>1316</v>
      </c>
      <c r="D10007" s="7" t="n">
        <v>7</v>
      </c>
      <c r="E10007" s="7" t="n">
        <v>1293.73</v>
      </c>
      <c r="F10007" s="7" t="n">
        <v>0</v>
      </c>
      <c r="G10007" s="7" t="n">
        <v>0</v>
      </c>
    </row>
    <row r="10008" customFormat="false" ht="15" hidden="false" customHeight="false" outlineLevel="0" collapsed="false">
      <c r="A10008" s="7" t="s">
        <v>25</v>
      </c>
      <c r="B10008" s="7" t="s">
        <v>838</v>
      </c>
      <c r="C10008" s="7" t="s">
        <v>1316</v>
      </c>
      <c r="D10008" s="7" t="n">
        <v>15</v>
      </c>
      <c r="E10008" s="7" t="n">
        <v>2789.38</v>
      </c>
      <c r="F10008" s="7" t="n">
        <v>0</v>
      </c>
      <c r="G10008" s="7" t="n">
        <v>0</v>
      </c>
    </row>
    <row r="10009" customFormat="false" ht="15" hidden="false" customHeight="false" outlineLevel="0" collapsed="false">
      <c r="A10009" s="7" t="s">
        <v>25</v>
      </c>
      <c r="B10009" s="7" t="s">
        <v>838</v>
      </c>
      <c r="C10009" s="7" t="s">
        <v>1316</v>
      </c>
      <c r="D10009" s="7" t="n">
        <v>6</v>
      </c>
      <c r="E10009" s="7" t="n">
        <v>1180.2</v>
      </c>
      <c r="F10009" s="7" t="n">
        <v>0</v>
      </c>
      <c r="G10009" s="7" t="n">
        <v>0</v>
      </c>
    </row>
    <row r="10010" customFormat="false" ht="15" hidden="false" customHeight="false" outlineLevel="0" collapsed="false">
      <c r="A10010" s="7" t="s">
        <v>25</v>
      </c>
      <c r="B10010" s="7" t="s">
        <v>838</v>
      </c>
      <c r="C10010" s="7" t="s">
        <v>1316</v>
      </c>
      <c r="D10010" s="7" t="n">
        <v>13</v>
      </c>
      <c r="E10010" s="7" t="n">
        <v>2385.67</v>
      </c>
      <c r="F10010" s="7" t="n">
        <v>0</v>
      </c>
      <c r="G10010" s="7" t="n">
        <v>0</v>
      </c>
    </row>
    <row r="10011" customFormat="false" ht="15" hidden="false" customHeight="false" outlineLevel="0" collapsed="false">
      <c r="A10011" s="7" t="s">
        <v>25</v>
      </c>
      <c r="B10011" s="7" t="s">
        <v>838</v>
      </c>
      <c r="C10011" s="7" t="s">
        <v>1316</v>
      </c>
      <c r="D10011" s="7" t="n">
        <v>0</v>
      </c>
      <c r="E10011" s="7" t="n">
        <v>0</v>
      </c>
      <c r="F10011" s="7" t="n">
        <v>8</v>
      </c>
      <c r="G10011" s="7" t="n">
        <v>1369.29</v>
      </c>
    </row>
    <row r="10012" customFormat="false" ht="15" hidden="false" customHeight="false" outlineLevel="0" collapsed="false">
      <c r="A10012" s="7" t="s">
        <v>25</v>
      </c>
      <c r="B10012" s="7" t="s">
        <v>838</v>
      </c>
      <c r="C10012" s="7" t="s">
        <v>1316</v>
      </c>
      <c r="D10012" s="7" t="n">
        <v>9</v>
      </c>
      <c r="E10012" s="7" t="n">
        <v>1665.87</v>
      </c>
      <c r="F10012" s="7" t="n">
        <v>0</v>
      </c>
      <c r="G10012" s="7" t="n">
        <v>0</v>
      </c>
    </row>
    <row r="10013" customFormat="false" ht="15" hidden="false" customHeight="false" outlineLevel="0" collapsed="false">
      <c r="A10013" s="7" t="s">
        <v>25</v>
      </c>
      <c r="B10013" s="7" t="s">
        <v>838</v>
      </c>
      <c r="C10013" s="7" t="s">
        <v>1316</v>
      </c>
      <c r="D10013" s="7" t="n">
        <v>0</v>
      </c>
      <c r="E10013" s="7" t="n">
        <v>0</v>
      </c>
      <c r="F10013" s="7" t="n">
        <v>14</v>
      </c>
      <c r="G10013" s="7" t="n">
        <v>2203.43</v>
      </c>
    </row>
    <row r="10014" customFormat="false" ht="15" hidden="false" customHeight="false" outlineLevel="0" collapsed="false">
      <c r="A10014" s="7" t="s">
        <v>25</v>
      </c>
      <c r="B10014" s="7" t="s">
        <v>838</v>
      </c>
      <c r="C10014" s="7" t="s">
        <v>1316</v>
      </c>
      <c r="D10014" s="7" t="n">
        <v>7</v>
      </c>
      <c r="E10014" s="7" t="n">
        <v>1291.44</v>
      </c>
      <c r="F10014" s="7" t="n">
        <v>0</v>
      </c>
      <c r="G10014" s="7" t="n">
        <v>0</v>
      </c>
    </row>
    <row r="10015" customFormat="false" ht="15" hidden="false" customHeight="false" outlineLevel="0" collapsed="false">
      <c r="A10015" s="7" t="s">
        <v>25</v>
      </c>
      <c r="B10015" s="7" t="s">
        <v>838</v>
      </c>
      <c r="C10015" s="7" t="s">
        <v>1316</v>
      </c>
      <c r="D10015" s="7" t="n">
        <v>2</v>
      </c>
      <c r="E10015" s="7" t="n">
        <v>370.85</v>
      </c>
      <c r="F10015" s="7" t="n">
        <v>0</v>
      </c>
      <c r="G10015" s="7" t="n">
        <v>0</v>
      </c>
    </row>
    <row r="10016" customFormat="false" ht="15" hidden="false" customHeight="false" outlineLevel="0" collapsed="false">
      <c r="A10016" s="7" t="s">
        <v>25</v>
      </c>
      <c r="B10016" s="7" t="s">
        <v>838</v>
      </c>
      <c r="C10016" s="7" t="s">
        <v>1316</v>
      </c>
      <c r="D10016" s="7" t="n">
        <v>0</v>
      </c>
      <c r="E10016" s="7" t="n">
        <v>0</v>
      </c>
      <c r="F10016" s="7" t="n">
        <v>7</v>
      </c>
      <c r="G10016" s="7" t="n">
        <v>1206.83</v>
      </c>
    </row>
    <row r="10017" customFormat="false" ht="15" hidden="false" customHeight="false" outlineLevel="0" collapsed="false">
      <c r="A10017" s="7" t="s">
        <v>25</v>
      </c>
      <c r="B10017" s="7" t="s">
        <v>838</v>
      </c>
      <c r="C10017" s="7" t="s">
        <v>1316</v>
      </c>
      <c r="D10017" s="7" t="n">
        <v>14</v>
      </c>
      <c r="E10017" s="7" t="n">
        <v>2799.98</v>
      </c>
      <c r="F10017" s="7" t="n">
        <v>0</v>
      </c>
      <c r="G10017" s="7" t="n">
        <v>0</v>
      </c>
    </row>
    <row r="10018" customFormat="false" ht="15" hidden="false" customHeight="false" outlineLevel="0" collapsed="false">
      <c r="A10018" s="7" t="s">
        <v>25</v>
      </c>
      <c r="B10018" s="7" t="s">
        <v>838</v>
      </c>
      <c r="C10018" s="7" t="s">
        <v>1316</v>
      </c>
      <c r="D10018" s="7" t="n">
        <v>15</v>
      </c>
      <c r="E10018" s="7" t="n">
        <v>2761.76</v>
      </c>
      <c r="F10018" s="7" t="n">
        <v>0</v>
      </c>
      <c r="G10018" s="7" t="n">
        <v>0</v>
      </c>
    </row>
    <row r="10019" customFormat="false" ht="15" hidden="false" customHeight="false" outlineLevel="0" collapsed="false">
      <c r="A10019" s="7" t="s">
        <v>25</v>
      </c>
      <c r="B10019" s="7" t="s">
        <v>827</v>
      </c>
      <c r="C10019" s="7" t="s">
        <v>1316</v>
      </c>
      <c r="D10019" s="7" t="n">
        <v>0</v>
      </c>
      <c r="E10019" s="7" t="n">
        <v>0</v>
      </c>
      <c r="F10019" s="7" t="n">
        <v>27</v>
      </c>
      <c r="G10019" s="7" t="n">
        <v>4511.07</v>
      </c>
    </row>
    <row r="10020" customFormat="false" ht="15" hidden="false" customHeight="false" outlineLevel="0" collapsed="false">
      <c r="A10020" s="7" t="s">
        <v>25</v>
      </c>
      <c r="B10020" s="7" t="s">
        <v>827</v>
      </c>
      <c r="C10020" s="7" t="s">
        <v>1316</v>
      </c>
      <c r="D10020" s="7" t="n">
        <v>24</v>
      </c>
      <c r="E10020" s="7" t="n">
        <v>4417.43</v>
      </c>
      <c r="F10020" s="7" t="n">
        <v>0</v>
      </c>
      <c r="G10020" s="7" t="n">
        <v>0</v>
      </c>
    </row>
    <row r="10021" customFormat="false" ht="15" hidden="false" customHeight="false" outlineLevel="0" collapsed="false">
      <c r="A10021" s="7" t="s">
        <v>25</v>
      </c>
      <c r="B10021" s="7" t="s">
        <v>827</v>
      </c>
      <c r="C10021" s="7" t="s">
        <v>1316</v>
      </c>
      <c r="D10021" s="7" t="n">
        <v>0</v>
      </c>
      <c r="E10021" s="7" t="n">
        <v>0</v>
      </c>
      <c r="F10021" s="7" t="n">
        <v>20</v>
      </c>
      <c r="G10021" s="7" t="n">
        <v>3454.41</v>
      </c>
    </row>
    <row r="10022" customFormat="false" ht="15" hidden="false" customHeight="false" outlineLevel="0" collapsed="false">
      <c r="A10022" s="7" t="s">
        <v>25</v>
      </c>
      <c r="B10022" s="7" t="s">
        <v>827</v>
      </c>
      <c r="C10022" s="7" t="s">
        <v>1316</v>
      </c>
      <c r="D10022" s="7" t="n">
        <v>0</v>
      </c>
      <c r="E10022" s="7" t="n">
        <v>0</v>
      </c>
      <c r="F10022" s="7" t="n">
        <v>17</v>
      </c>
      <c r="G10022" s="7" t="n">
        <v>2805.9</v>
      </c>
    </row>
    <row r="10023" customFormat="false" ht="15" hidden="false" customHeight="false" outlineLevel="0" collapsed="false">
      <c r="A10023" s="7" t="s">
        <v>25</v>
      </c>
      <c r="B10023" s="7" t="s">
        <v>827</v>
      </c>
      <c r="C10023" s="7" t="s">
        <v>1316</v>
      </c>
      <c r="D10023" s="7" t="n">
        <v>23</v>
      </c>
      <c r="E10023" s="7" t="n">
        <v>4243.3</v>
      </c>
      <c r="F10023" s="7" t="n">
        <v>0</v>
      </c>
      <c r="G10023" s="7" t="n">
        <v>0</v>
      </c>
    </row>
    <row r="10024" customFormat="false" ht="15" hidden="false" customHeight="false" outlineLevel="0" collapsed="false">
      <c r="A10024" s="7" t="s">
        <v>25</v>
      </c>
      <c r="B10024" s="7" t="s">
        <v>827</v>
      </c>
      <c r="C10024" s="7" t="s">
        <v>1316</v>
      </c>
      <c r="D10024" s="7" t="n">
        <v>28</v>
      </c>
      <c r="E10024" s="7" t="n">
        <v>5599.96</v>
      </c>
      <c r="F10024" s="7" t="n">
        <v>0</v>
      </c>
      <c r="G10024" s="7" t="n">
        <v>0</v>
      </c>
    </row>
    <row r="10025" customFormat="false" ht="15" hidden="false" customHeight="false" outlineLevel="0" collapsed="false">
      <c r="A10025" s="7" t="s">
        <v>25</v>
      </c>
      <c r="B10025" s="7" t="s">
        <v>827</v>
      </c>
      <c r="C10025" s="7" t="s">
        <v>1316</v>
      </c>
      <c r="D10025" s="7" t="n">
        <v>19</v>
      </c>
      <c r="E10025" s="7" t="n">
        <v>3492.09</v>
      </c>
      <c r="F10025" s="7" t="n">
        <v>0</v>
      </c>
      <c r="G10025" s="7" t="n">
        <v>0</v>
      </c>
    </row>
    <row r="10026" customFormat="false" ht="15" hidden="false" customHeight="false" outlineLevel="0" collapsed="false">
      <c r="A10026" s="7" t="s">
        <v>25</v>
      </c>
      <c r="B10026" s="7" t="s">
        <v>827</v>
      </c>
      <c r="C10026" s="7" t="s">
        <v>1316</v>
      </c>
      <c r="D10026" s="7" t="n">
        <v>29</v>
      </c>
      <c r="E10026" s="7" t="n">
        <v>5704.28</v>
      </c>
      <c r="F10026" s="7" t="n">
        <v>0</v>
      </c>
      <c r="G10026" s="7" t="n">
        <v>0</v>
      </c>
    </row>
    <row r="10027" customFormat="false" ht="15" hidden="false" customHeight="false" outlineLevel="0" collapsed="false">
      <c r="A10027" s="7" t="s">
        <v>25</v>
      </c>
      <c r="B10027" s="7" t="s">
        <v>827</v>
      </c>
      <c r="C10027" s="7" t="s">
        <v>1316</v>
      </c>
      <c r="D10027" s="7" t="n">
        <v>26</v>
      </c>
      <c r="E10027" s="7" t="n">
        <v>4627.41</v>
      </c>
      <c r="F10027" s="7" t="n">
        <v>0</v>
      </c>
      <c r="G10027" s="7" t="n">
        <v>0</v>
      </c>
    </row>
    <row r="10028" customFormat="false" ht="15" hidden="false" customHeight="false" outlineLevel="0" collapsed="false">
      <c r="A10028" s="7" t="s">
        <v>25</v>
      </c>
      <c r="B10028" s="7" t="s">
        <v>827</v>
      </c>
      <c r="C10028" s="7" t="s">
        <v>1316</v>
      </c>
      <c r="D10028" s="7" t="n">
        <v>0</v>
      </c>
      <c r="E10028" s="7" t="n">
        <v>0</v>
      </c>
      <c r="F10028" s="7" t="n">
        <v>20</v>
      </c>
      <c r="G10028" s="7" t="n">
        <v>3508.72</v>
      </c>
    </row>
    <row r="10029" customFormat="false" ht="15" hidden="false" customHeight="false" outlineLevel="0" collapsed="false">
      <c r="A10029" s="7" t="s">
        <v>25</v>
      </c>
      <c r="B10029" s="7" t="s">
        <v>827</v>
      </c>
      <c r="C10029" s="7" t="s">
        <v>1316</v>
      </c>
      <c r="D10029" s="7" t="n">
        <v>0</v>
      </c>
      <c r="E10029" s="7" t="n">
        <v>0</v>
      </c>
      <c r="F10029" s="7" t="n">
        <v>12</v>
      </c>
      <c r="G10029" s="7" t="n">
        <v>2076.37</v>
      </c>
    </row>
    <row r="10030" customFormat="false" ht="15" hidden="false" customHeight="false" outlineLevel="0" collapsed="false">
      <c r="A10030" s="7" t="s">
        <v>25</v>
      </c>
      <c r="B10030" s="7" t="s">
        <v>827</v>
      </c>
      <c r="C10030" s="7" t="s">
        <v>1316</v>
      </c>
      <c r="D10030" s="7" t="n">
        <v>0</v>
      </c>
      <c r="E10030" s="7" t="n">
        <v>0</v>
      </c>
      <c r="F10030" s="7" t="n">
        <v>22</v>
      </c>
      <c r="G10030" s="7" t="n">
        <v>3842.53</v>
      </c>
    </row>
    <row r="10031" customFormat="false" ht="15" hidden="false" customHeight="false" outlineLevel="0" collapsed="false">
      <c r="A10031" s="7" t="s">
        <v>25</v>
      </c>
      <c r="B10031" s="7" t="s">
        <v>827</v>
      </c>
      <c r="C10031" s="7" t="s">
        <v>1316</v>
      </c>
      <c r="D10031" s="7" t="n">
        <v>44</v>
      </c>
      <c r="E10031" s="7" t="n">
        <v>8175.71</v>
      </c>
      <c r="F10031" s="7" t="n">
        <v>0</v>
      </c>
      <c r="G10031" s="7" t="n">
        <v>0</v>
      </c>
    </row>
    <row r="10032" customFormat="false" ht="15" hidden="false" customHeight="false" outlineLevel="0" collapsed="false">
      <c r="A10032" s="7" t="s">
        <v>25</v>
      </c>
      <c r="B10032" s="7" t="s">
        <v>827</v>
      </c>
      <c r="C10032" s="7" t="s">
        <v>1316</v>
      </c>
      <c r="D10032" s="7" t="n">
        <v>0</v>
      </c>
      <c r="E10032" s="7" t="n">
        <v>0</v>
      </c>
      <c r="F10032" s="7" t="n">
        <v>12</v>
      </c>
      <c r="G10032" s="7" t="n">
        <v>1931.17</v>
      </c>
    </row>
    <row r="10033" customFormat="false" ht="15" hidden="false" customHeight="false" outlineLevel="0" collapsed="false">
      <c r="A10033" s="7" t="s">
        <v>25</v>
      </c>
      <c r="B10033" s="7" t="s">
        <v>827</v>
      </c>
      <c r="C10033" s="7" t="s">
        <v>1316</v>
      </c>
      <c r="D10033" s="7" t="n">
        <v>0</v>
      </c>
      <c r="E10033" s="7" t="n">
        <v>0</v>
      </c>
      <c r="F10033" s="7" t="n">
        <v>17</v>
      </c>
      <c r="G10033" s="7" t="n">
        <v>2675.59</v>
      </c>
    </row>
    <row r="10034" customFormat="false" ht="15" hidden="false" customHeight="false" outlineLevel="0" collapsed="false">
      <c r="A10034" s="7" t="s">
        <v>25</v>
      </c>
      <c r="B10034" s="7" t="s">
        <v>827</v>
      </c>
      <c r="C10034" s="7" t="s">
        <v>1316</v>
      </c>
      <c r="D10034" s="7" t="n">
        <v>31</v>
      </c>
      <c r="E10034" s="7" t="n">
        <v>5670.86</v>
      </c>
      <c r="F10034" s="7" t="n">
        <v>0</v>
      </c>
      <c r="G10034" s="7" t="n">
        <v>0</v>
      </c>
    </row>
    <row r="10035" customFormat="false" ht="15" hidden="false" customHeight="false" outlineLevel="0" collapsed="false">
      <c r="A10035" s="7" t="s">
        <v>25</v>
      </c>
      <c r="B10035" s="7" t="s">
        <v>827</v>
      </c>
      <c r="C10035" s="7" t="s">
        <v>1316</v>
      </c>
      <c r="D10035" s="7" t="n">
        <v>27</v>
      </c>
      <c r="E10035" s="7" t="n">
        <v>5100.27</v>
      </c>
      <c r="F10035" s="7" t="n">
        <v>0</v>
      </c>
      <c r="G10035" s="7" t="n">
        <v>0</v>
      </c>
    </row>
    <row r="10036" customFormat="false" ht="15" hidden="false" customHeight="false" outlineLevel="0" collapsed="false">
      <c r="A10036" s="7" t="s">
        <v>25</v>
      </c>
      <c r="B10036" s="7" t="s">
        <v>827</v>
      </c>
      <c r="C10036" s="7" t="s">
        <v>1316</v>
      </c>
      <c r="D10036" s="7" t="n">
        <v>48</v>
      </c>
      <c r="E10036" s="7" t="n">
        <v>9813.74</v>
      </c>
      <c r="F10036" s="7" t="n">
        <v>0</v>
      </c>
      <c r="G10036" s="7" t="n">
        <v>0</v>
      </c>
    </row>
    <row r="10037" customFormat="false" ht="15" hidden="false" customHeight="false" outlineLevel="0" collapsed="false">
      <c r="A10037" s="7" t="s">
        <v>25</v>
      </c>
      <c r="B10037" s="7" t="s">
        <v>827</v>
      </c>
      <c r="C10037" s="7" t="s">
        <v>1316</v>
      </c>
      <c r="D10037" s="7" t="n">
        <v>3</v>
      </c>
      <c r="E10037" s="7" t="n">
        <v>556.28</v>
      </c>
      <c r="F10037" s="7" t="n">
        <v>0</v>
      </c>
      <c r="G10037" s="7" t="n">
        <v>0</v>
      </c>
    </row>
    <row r="10038" customFormat="false" ht="15" hidden="false" customHeight="false" outlineLevel="0" collapsed="false">
      <c r="A10038" s="7" t="s">
        <v>25</v>
      </c>
      <c r="B10038" s="7" t="s">
        <v>827</v>
      </c>
      <c r="C10038" s="7" t="s">
        <v>1316</v>
      </c>
      <c r="D10038" s="7" t="n">
        <v>20</v>
      </c>
      <c r="E10038" s="7" t="n">
        <v>3869.1</v>
      </c>
      <c r="F10038" s="7" t="n">
        <v>0</v>
      </c>
      <c r="G10038" s="7" t="n">
        <v>0</v>
      </c>
    </row>
    <row r="10039" customFormat="false" ht="15" hidden="false" customHeight="false" outlineLevel="0" collapsed="false">
      <c r="A10039" s="7" t="s">
        <v>25</v>
      </c>
      <c r="B10039" s="7" t="s">
        <v>827</v>
      </c>
      <c r="C10039" s="7" t="s">
        <v>1316</v>
      </c>
      <c r="D10039" s="7" t="n">
        <v>24</v>
      </c>
      <c r="E10039" s="7" t="n">
        <v>4737.94</v>
      </c>
      <c r="F10039" s="7" t="n">
        <v>0</v>
      </c>
      <c r="G10039" s="7" t="n">
        <v>0</v>
      </c>
    </row>
    <row r="10040" customFormat="false" ht="15" hidden="false" customHeight="false" outlineLevel="0" collapsed="false">
      <c r="A10040" s="7" t="s">
        <v>25</v>
      </c>
      <c r="B10040" s="7" t="s">
        <v>834</v>
      </c>
      <c r="C10040" s="7" t="s">
        <v>1316</v>
      </c>
      <c r="D10040" s="7" t="n">
        <v>0</v>
      </c>
      <c r="E10040" s="7" t="n">
        <v>0</v>
      </c>
      <c r="F10040" s="7" t="n">
        <v>9</v>
      </c>
      <c r="G10040" s="7" t="n">
        <v>1569.67</v>
      </c>
    </row>
    <row r="10041" customFormat="false" ht="15" hidden="false" customHeight="false" outlineLevel="0" collapsed="false">
      <c r="A10041" s="7" t="s">
        <v>25</v>
      </c>
      <c r="B10041" s="7" t="s">
        <v>834</v>
      </c>
      <c r="C10041" s="7" t="s">
        <v>1316</v>
      </c>
      <c r="D10041" s="7" t="n">
        <v>0</v>
      </c>
      <c r="E10041" s="7" t="n">
        <v>0</v>
      </c>
      <c r="F10041" s="7" t="n">
        <v>11</v>
      </c>
      <c r="G10041" s="7" t="n">
        <v>2200.67</v>
      </c>
    </row>
    <row r="10042" customFormat="false" ht="15" hidden="false" customHeight="false" outlineLevel="0" collapsed="false">
      <c r="A10042" s="7" t="s">
        <v>25</v>
      </c>
      <c r="B10042" s="7" t="s">
        <v>834</v>
      </c>
      <c r="C10042" s="7" t="s">
        <v>1316</v>
      </c>
      <c r="D10042" s="7" t="n">
        <v>0</v>
      </c>
      <c r="E10042" s="7" t="n">
        <v>0</v>
      </c>
      <c r="F10042" s="7" t="n">
        <v>8</v>
      </c>
      <c r="G10042" s="7" t="n">
        <v>1386.31</v>
      </c>
    </row>
    <row r="10043" customFormat="false" ht="15" hidden="false" customHeight="false" outlineLevel="0" collapsed="false">
      <c r="A10043" s="7" t="s">
        <v>25</v>
      </c>
      <c r="B10043" s="7" t="s">
        <v>834</v>
      </c>
      <c r="C10043" s="7" t="s">
        <v>1316</v>
      </c>
      <c r="D10043" s="7" t="n">
        <v>29</v>
      </c>
      <c r="E10043" s="7" t="n">
        <v>5929.13</v>
      </c>
      <c r="F10043" s="7" t="n">
        <v>0</v>
      </c>
      <c r="G10043" s="7" t="n">
        <v>0</v>
      </c>
    </row>
    <row r="10044" customFormat="false" ht="15" hidden="false" customHeight="false" outlineLevel="0" collapsed="false">
      <c r="A10044" s="7" t="s">
        <v>25</v>
      </c>
      <c r="B10044" s="7" t="s">
        <v>834</v>
      </c>
      <c r="C10044" s="7" t="s">
        <v>1316</v>
      </c>
      <c r="D10044" s="7" t="n">
        <v>11</v>
      </c>
      <c r="E10044" s="7" t="n">
        <v>2128</v>
      </c>
      <c r="F10044" s="7" t="n">
        <v>0</v>
      </c>
      <c r="G10044" s="7" t="n">
        <v>0</v>
      </c>
    </row>
    <row r="10045" customFormat="false" ht="15" hidden="false" customHeight="false" outlineLevel="0" collapsed="false">
      <c r="A10045" s="7" t="s">
        <v>25</v>
      </c>
      <c r="B10045" s="7" t="s">
        <v>834</v>
      </c>
      <c r="C10045" s="7" t="s">
        <v>1316</v>
      </c>
      <c r="D10045" s="7" t="n">
        <v>9</v>
      </c>
      <c r="E10045" s="7" t="n">
        <v>1669.03</v>
      </c>
      <c r="F10045" s="7" t="n">
        <v>0</v>
      </c>
      <c r="G10045" s="7" t="n">
        <v>0</v>
      </c>
    </row>
    <row r="10046" customFormat="false" ht="15" hidden="false" customHeight="false" outlineLevel="0" collapsed="false">
      <c r="A10046" s="7" t="s">
        <v>25</v>
      </c>
      <c r="B10046" s="7" t="s">
        <v>834</v>
      </c>
      <c r="C10046" s="7" t="s">
        <v>1316</v>
      </c>
      <c r="D10046" s="7" t="n">
        <v>12</v>
      </c>
      <c r="E10046" s="7" t="n">
        <v>2217.82</v>
      </c>
      <c r="F10046" s="7" t="n">
        <v>0</v>
      </c>
      <c r="G10046" s="7" t="n">
        <v>0</v>
      </c>
    </row>
    <row r="10047" customFormat="false" ht="15" hidden="false" customHeight="false" outlineLevel="0" collapsed="false">
      <c r="A10047" s="7" t="s">
        <v>25</v>
      </c>
      <c r="B10047" s="7" t="s">
        <v>834</v>
      </c>
      <c r="C10047" s="7" t="s">
        <v>1316</v>
      </c>
      <c r="D10047" s="7" t="n">
        <v>11</v>
      </c>
      <c r="E10047" s="7" t="n">
        <v>2171.56</v>
      </c>
      <c r="F10047" s="7" t="n">
        <v>0</v>
      </c>
      <c r="G10047" s="7" t="n">
        <v>0</v>
      </c>
    </row>
    <row r="10048" customFormat="false" ht="15" hidden="false" customHeight="false" outlineLevel="0" collapsed="false">
      <c r="A10048" s="7" t="s">
        <v>25</v>
      </c>
      <c r="B10048" s="7" t="s">
        <v>834</v>
      </c>
      <c r="C10048" s="7" t="s">
        <v>1316</v>
      </c>
      <c r="D10048" s="7" t="n">
        <v>0</v>
      </c>
      <c r="E10048" s="7" t="n">
        <v>0</v>
      </c>
      <c r="F10048" s="7" t="n">
        <v>8</v>
      </c>
      <c r="G10048" s="7" t="n">
        <v>1349.06</v>
      </c>
    </row>
    <row r="10049" customFormat="false" ht="15" hidden="false" customHeight="false" outlineLevel="0" collapsed="false">
      <c r="A10049" s="7" t="s">
        <v>25</v>
      </c>
      <c r="B10049" s="7" t="s">
        <v>834</v>
      </c>
      <c r="C10049" s="7" t="s">
        <v>1316</v>
      </c>
      <c r="D10049" s="7" t="n">
        <v>1</v>
      </c>
      <c r="E10049" s="7" t="n">
        <v>185.43</v>
      </c>
      <c r="F10049" s="7" t="n">
        <v>0</v>
      </c>
      <c r="G10049" s="7" t="n">
        <v>0</v>
      </c>
    </row>
    <row r="10050" customFormat="false" ht="15" hidden="false" customHeight="false" outlineLevel="0" collapsed="false">
      <c r="A10050" s="7" t="s">
        <v>25</v>
      </c>
      <c r="B10050" s="7" t="s">
        <v>834</v>
      </c>
      <c r="C10050" s="7" t="s">
        <v>1316</v>
      </c>
      <c r="D10050" s="7" t="n">
        <v>0</v>
      </c>
      <c r="E10050" s="7" t="n">
        <v>0</v>
      </c>
      <c r="F10050" s="7" t="n">
        <v>11</v>
      </c>
      <c r="G10050" s="7" t="n">
        <v>1922.81</v>
      </c>
    </row>
    <row r="10051" customFormat="false" ht="15" hidden="false" customHeight="false" outlineLevel="0" collapsed="false">
      <c r="A10051" s="7" t="s">
        <v>25</v>
      </c>
      <c r="B10051" s="7" t="s">
        <v>834</v>
      </c>
      <c r="C10051" s="7" t="s">
        <v>1316</v>
      </c>
      <c r="D10051" s="7" t="n">
        <v>12</v>
      </c>
      <c r="E10051" s="7" t="n">
        <v>2221.16</v>
      </c>
      <c r="F10051" s="7" t="n">
        <v>0</v>
      </c>
      <c r="G10051" s="7" t="n">
        <v>0</v>
      </c>
    </row>
    <row r="10052" customFormat="false" ht="15" hidden="false" customHeight="false" outlineLevel="0" collapsed="false">
      <c r="A10052" s="7" t="s">
        <v>25</v>
      </c>
      <c r="B10052" s="7" t="s">
        <v>834</v>
      </c>
      <c r="C10052" s="7" t="s">
        <v>1316</v>
      </c>
      <c r="D10052" s="7" t="n">
        <v>14</v>
      </c>
      <c r="E10052" s="7" t="n">
        <v>2637.73</v>
      </c>
      <c r="F10052" s="7" t="n">
        <v>0</v>
      </c>
      <c r="G10052" s="7" t="n">
        <v>0</v>
      </c>
    </row>
    <row r="10053" customFormat="false" ht="15" hidden="false" customHeight="false" outlineLevel="0" collapsed="false">
      <c r="A10053" s="7" t="s">
        <v>25</v>
      </c>
      <c r="B10053" s="7" t="s">
        <v>834</v>
      </c>
      <c r="C10053" s="7" t="s">
        <v>1316</v>
      </c>
      <c r="D10053" s="7" t="n">
        <v>12</v>
      </c>
      <c r="E10053" s="7" t="n">
        <v>2231.5</v>
      </c>
      <c r="F10053" s="7" t="n">
        <v>0</v>
      </c>
      <c r="G10053" s="7" t="n">
        <v>0</v>
      </c>
    </row>
    <row r="10054" customFormat="false" ht="15" hidden="false" customHeight="false" outlineLevel="0" collapsed="false">
      <c r="A10054" s="7" t="s">
        <v>25</v>
      </c>
      <c r="B10054" s="7" t="s">
        <v>834</v>
      </c>
      <c r="C10054" s="7" t="s">
        <v>1316</v>
      </c>
      <c r="D10054" s="7" t="n">
        <v>13</v>
      </c>
      <c r="E10054" s="7" t="n">
        <v>2557.09</v>
      </c>
      <c r="F10054" s="7" t="n">
        <v>0</v>
      </c>
      <c r="G10054" s="7" t="n">
        <v>0</v>
      </c>
    </row>
    <row r="10055" customFormat="false" ht="15" hidden="false" customHeight="false" outlineLevel="0" collapsed="false">
      <c r="A10055" s="7" t="s">
        <v>25</v>
      </c>
      <c r="B10055" s="7" t="s">
        <v>834</v>
      </c>
      <c r="C10055" s="7" t="s">
        <v>1316</v>
      </c>
      <c r="D10055" s="7" t="n">
        <v>20</v>
      </c>
      <c r="E10055" s="7" t="n">
        <v>3999.97</v>
      </c>
      <c r="F10055" s="7" t="n">
        <v>0</v>
      </c>
      <c r="G10055" s="7" t="n">
        <v>0</v>
      </c>
    </row>
    <row r="10056" customFormat="false" ht="15" hidden="false" customHeight="false" outlineLevel="0" collapsed="false">
      <c r="A10056" s="7" t="s">
        <v>25</v>
      </c>
      <c r="B10056" s="7" t="s">
        <v>834</v>
      </c>
      <c r="C10056" s="7" t="s">
        <v>1316</v>
      </c>
      <c r="D10056" s="7" t="n">
        <v>0</v>
      </c>
      <c r="E10056" s="7" t="n">
        <v>0</v>
      </c>
      <c r="F10056" s="7" t="n">
        <v>17</v>
      </c>
      <c r="G10056" s="7" t="n">
        <v>3047.25</v>
      </c>
    </row>
    <row r="10057" customFormat="false" ht="15" hidden="false" customHeight="false" outlineLevel="0" collapsed="false">
      <c r="A10057" s="7" t="s">
        <v>25</v>
      </c>
      <c r="B10057" s="7" t="s">
        <v>834</v>
      </c>
      <c r="C10057" s="7" t="s">
        <v>1316</v>
      </c>
      <c r="D10057" s="7" t="n">
        <v>0</v>
      </c>
      <c r="E10057" s="7" t="n">
        <v>0</v>
      </c>
      <c r="F10057" s="7" t="n">
        <v>13</v>
      </c>
      <c r="G10057" s="7" t="n">
        <v>2285.98</v>
      </c>
    </row>
    <row r="10058" customFormat="false" ht="15" hidden="false" customHeight="false" outlineLevel="0" collapsed="false">
      <c r="A10058" s="7" t="s">
        <v>25</v>
      </c>
      <c r="B10058" s="7" t="s">
        <v>834</v>
      </c>
      <c r="C10058" s="7" t="s">
        <v>1316</v>
      </c>
      <c r="D10058" s="7" t="n">
        <v>18</v>
      </c>
      <c r="E10058" s="7" t="n">
        <v>3304.3</v>
      </c>
      <c r="F10058" s="7" t="n">
        <v>0</v>
      </c>
      <c r="G10058" s="7" t="n">
        <v>0</v>
      </c>
    </row>
    <row r="10059" customFormat="false" ht="15" hidden="false" customHeight="false" outlineLevel="0" collapsed="false">
      <c r="A10059" s="7" t="s">
        <v>25</v>
      </c>
      <c r="B10059" s="7" t="s">
        <v>834</v>
      </c>
      <c r="C10059" s="7" t="s">
        <v>1316</v>
      </c>
      <c r="D10059" s="7" t="n">
        <v>13</v>
      </c>
      <c r="E10059" s="7" t="n">
        <v>2398.39</v>
      </c>
      <c r="F10059" s="7" t="n">
        <v>0</v>
      </c>
      <c r="G10059" s="7" t="n">
        <v>0</v>
      </c>
    </row>
    <row r="10060" customFormat="false" ht="15" hidden="false" customHeight="false" outlineLevel="0" collapsed="false">
      <c r="A10060" s="7" t="s">
        <v>25</v>
      </c>
      <c r="B10060" s="7" t="s">
        <v>834</v>
      </c>
      <c r="C10060" s="7" t="s">
        <v>1316</v>
      </c>
      <c r="D10060" s="7" t="n">
        <v>0</v>
      </c>
      <c r="E10060" s="7" t="n">
        <v>0</v>
      </c>
      <c r="F10060" s="7" t="n">
        <v>13</v>
      </c>
      <c r="G10060" s="7" t="n">
        <v>2215.24</v>
      </c>
    </row>
    <row r="10061" customFormat="false" ht="15" hidden="false" customHeight="false" outlineLevel="0" collapsed="false">
      <c r="A10061" s="7" t="s">
        <v>25</v>
      </c>
      <c r="B10061" s="7" t="s">
        <v>847</v>
      </c>
      <c r="C10061" s="7" t="s">
        <v>1316</v>
      </c>
      <c r="D10061" s="7" t="n">
        <v>0</v>
      </c>
      <c r="E10061" s="7" t="n">
        <v>0</v>
      </c>
      <c r="F10061" s="7" t="n">
        <v>1</v>
      </c>
      <c r="G10061" s="7" t="n">
        <v>187.29</v>
      </c>
    </row>
    <row r="10062" customFormat="false" ht="15" hidden="false" customHeight="false" outlineLevel="0" collapsed="false">
      <c r="A10062" s="7" t="s">
        <v>25</v>
      </c>
      <c r="B10062" s="7" t="s">
        <v>847</v>
      </c>
      <c r="C10062" s="7" t="s">
        <v>1316</v>
      </c>
      <c r="D10062" s="7" t="n">
        <v>3</v>
      </c>
      <c r="E10062" s="7" t="n">
        <v>549.68</v>
      </c>
      <c r="F10062" s="7" t="n">
        <v>0</v>
      </c>
      <c r="G10062" s="7" t="n">
        <v>0</v>
      </c>
    </row>
    <row r="10063" customFormat="false" ht="15" hidden="false" customHeight="false" outlineLevel="0" collapsed="false">
      <c r="A10063" s="7" t="s">
        <v>25</v>
      </c>
      <c r="B10063" s="7" t="s">
        <v>847</v>
      </c>
      <c r="C10063" s="7" t="s">
        <v>1316</v>
      </c>
      <c r="D10063" s="7" t="n">
        <v>2</v>
      </c>
      <c r="E10063" s="7" t="n">
        <v>368.98</v>
      </c>
      <c r="F10063" s="7" t="n">
        <v>0</v>
      </c>
      <c r="G10063" s="7" t="n">
        <v>0</v>
      </c>
    </row>
    <row r="10064" customFormat="false" ht="15" hidden="false" customHeight="false" outlineLevel="0" collapsed="false">
      <c r="A10064" s="7" t="s">
        <v>25</v>
      </c>
      <c r="B10064" s="7" t="s">
        <v>847</v>
      </c>
      <c r="C10064" s="7" t="s">
        <v>1316</v>
      </c>
      <c r="D10064" s="7" t="n">
        <v>9</v>
      </c>
      <c r="E10064" s="7" t="n">
        <v>1799.99</v>
      </c>
      <c r="F10064" s="7" t="n">
        <v>0</v>
      </c>
      <c r="G10064" s="7" t="n">
        <v>0</v>
      </c>
    </row>
    <row r="10065" customFormat="false" ht="15" hidden="false" customHeight="false" outlineLevel="0" collapsed="false">
      <c r="A10065" s="7" t="s">
        <v>25</v>
      </c>
      <c r="B10065" s="7" t="s">
        <v>847</v>
      </c>
      <c r="C10065" s="7" t="s">
        <v>1316</v>
      </c>
      <c r="D10065" s="7" t="n">
        <v>1</v>
      </c>
      <c r="E10065" s="7" t="n">
        <v>196.7</v>
      </c>
      <c r="F10065" s="7" t="n">
        <v>0</v>
      </c>
      <c r="G10065" s="7" t="n">
        <v>0</v>
      </c>
    </row>
    <row r="10066" customFormat="false" ht="15" hidden="false" customHeight="false" outlineLevel="0" collapsed="false">
      <c r="A10066" s="7" t="s">
        <v>25</v>
      </c>
      <c r="B10066" s="7" t="s">
        <v>847</v>
      </c>
      <c r="C10066" s="7" t="s">
        <v>1316</v>
      </c>
      <c r="D10066" s="7" t="n">
        <v>4</v>
      </c>
      <c r="E10066" s="7" t="n">
        <v>713.33</v>
      </c>
      <c r="F10066" s="7" t="n">
        <v>0</v>
      </c>
      <c r="G10066" s="7" t="n">
        <v>0</v>
      </c>
    </row>
    <row r="10067" customFormat="false" ht="15" hidden="false" customHeight="false" outlineLevel="0" collapsed="false">
      <c r="A10067" s="7" t="s">
        <v>25</v>
      </c>
      <c r="B10067" s="7" t="s">
        <v>847</v>
      </c>
      <c r="C10067" s="7" t="s">
        <v>1316</v>
      </c>
      <c r="D10067" s="7" t="n">
        <v>3</v>
      </c>
      <c r="E10067" s="7" t="n">
        <v>545.39</v>
      </c>
      <c r="F10067" s="7" t="n">
        <v>0</v>
      </c>
      <c r="G10067" s="7" t="n">
        <v>0</v>
      </c>
    </row>
    <row r="10068" customFormat="false" ht="15" hidden="false" customHeight="false" outlineLevel="0" collapsed="false">
      <c r="A10068" s="7" t="s">
        <v>25</v>
      </c>
      <c r="B10068" s="7" t="s">
        <v>847</v>
      </c>
      <c r="C10068" s="7" t="s">
        <v>1316</v>
      </c>
      <c r="D10068" s="7" t="n">
        <v>2</v>
      </c>
      <c r="E10068" s="7" t="n">
        <v>394.83</v>
      </c>
      <c r="F10068" s="7" t="n">
        <v>0</v>
      </c>
      <c r="G10068" s="7" t="n">
        <v>0</v>
      </c>
    </row>
    <row r="10069" customFormat="false" ht="15" hidden="false" customHeight="false" outlineLevel="0" collapsed="false">
      <c r="A10069" s="7" t="s">
        <v>25</v>
      </c>
      <c r="B10069" s="7" t="s">
        <v>847</v>
      </c>
      <c r="C10069" s="7" t="s">
        <v>1316</v>
      </c>
      <c r="D10069" s="7" t="n">
        <v>0</v>
      </c>
      <c r="E10069" s="7" t="n">
        <v>0</v>
      </c>
      <c r="F10069" s="7" t="n">
        <v>1</v>
      </c>
      <c r="G10069" s="7" t="n">
        <v>170.19</v>
      </c>
    </row>
    <row r="10070" customFormat="false" ht="15" hidden="false" customHeight="false" outlineLevel="0" collapsed="false">
      <c r="A10070" s="7" t="s">
        <v>25</v>
      </c>
      <c r="B10070" s="7" t="s">
        <v>847</v>
      </c>
      <c r="C10070" s="7" t="s">
        <v>1316</v>
      </c>
      <c r="D10070" s="7" t="n">
        <v>2</v>
      </c>
      <c r="E10070" s="7" t="n">
        <v>350.84</v>
      </c>
      <c r="F10070" s="7" t="n">
        <v>0</v>
      </c>
      <c r="G10070" s="7" t="n">
        <v>0</v>
      </c>
    </row>
    <row r="10071" customFormat="false" ht="15" hidden="false" customHeight="false" outlineLevel="0" collapsed="false">
      <c r="A10071" s="7" t="s">
        <v>25</v>
      </c>
      <c r="B10071" s="7" t="s">
        <v>847</v>
      </c>
      <c r="C10071" s="7" t="s">
        <v>1316</v>
      </c>
      <c r="D10071" s="7" t="n">
        <v>8</v>
      </c>
      <c r="E10071" s="7" t="n">
        <v>1435.46</v>
      </c>
      <c r="F10071" s="7" t="n">
        <v>0</v>
      </c>
      <c r="G10071" s="7" t="n">
        <v>0</v>
      </c>
    </row>
    <row r="10072" customFormat="false" ht="15" hidden="false" customHeight="false" outlineLevel="0" collapsed="false">
      <c r="A10072" s="7" t="s">
        <v>25</v>
      </c>
      <c r="B10072" s="7" t="s">
        <v>860</v>
      </c>
      <c r="C10072" s="7" t="s">
        <v>1316</v>
      </c>
      <c r="D10072" s="7" t="n">
        <v>0</v>
      </c>
      <c r="E10072" s="7" t="n">
        <v>0</v>
      </c>
      <c r="F10072" s="7" t="n">
        <v>1</v>
      </c>
      <c r="G10072" s="7" t="n">
        <v>147.46</v>
      </c>
    </row>
    <row r="10073" customFormat="false" ht="15" hidden="false" customHeight="false" outlineLevel="0" collapsed="false">
      <c r="A10073" s="7" t="s">
        <v>25</v>
      </c>
      <c r="B10073" s="7" t="s">
        <v>860</v>
      </c>
      <c r="C10073" s="7" t="s">
        <v>1316</v>
      </c>
      <c r="D10073" s="7" t="n">
        <v>2</v>
      </c>
      <c r="E10073" s="7" t="n">
        <v>394.83</v>
      </c>
      <c r="F10073" s="7" t="n">
        <v>0</v>
      </c>
      <c r="G10073" s="7" t="n">
        <v>0</v>
      </c>
    </row>
    <row r="10074" customFormat="false" ht="15" hidden="false" customHeight="false" outlineLevel="0" collapsed="false">
      <c r="A10074" s="7" t="s">
        <v>25</v>
      </c>
      <c r="B10074" s="7" t="s">
        <v>860</v>
      </c>
      <c r="C10074" s="7" t="s">
        <v>1316</v>
      </c>
      <c r="D10074" s="7" t="n">
        <v>2</v>
      </c>
      <c r="E10074" s="7" t="n">
        <v>408.91</v>
      </c>
      <c r="F10074" s="7" t="n">
        <v>0</v>
      </c>
      <c r="G10074" s="7" t="n">
        <v>0</v>
      </c>
    </row>
    <row r="10075" customFormat="false" ht="15" hidden="false" customHeight="false" outlineLevel="0" collapsed="false">
      <c r="A10075" s="7" t="s">
        <v>25</v>
      </c>
      <c r="B10075" s="7" t="s">
        <v>860</v>
      </c>
      <c r="C10075" s="7" t="s">
        <v>1316</v>
      </c>
      <c r="D10075" s="7" t="n">
        <v>0</v>
      </c>
      <c r="E10075" s="7" t="n">
        <v>0</v>
      </c>
      <c r="F10075" s="7" t="n">
        <v>2</v>
      </c>
      <c r="G10075" s="7" t="n">
        <v>346.58</v>
      </c>
    </row>
    <row r="10076" customFormat="false" ht="15" hidden="false" customHeight="false" outlineLevel="0" collapsed="false">
      <c r="A10076" s="7" t="s">
        <v>25</v>
      </c>
      <c r="B10076" s="7" t="s">
        <v>860</v>
      </c>
      <c r="C10076" s="7" t="s">
        <v>1316</v>
      </c>
      <c r="D10076" s="7" t="n">
        <v>2</v>
      </c>
      <c r="E10076" s="7" t="n">
        <v>354.03</v>
      </c>
      <c r="F10076" s="7" t="n">
        <v>0</v>
      </c>
      <c r="G10076" s="7" t="n">
        <v>0</v>
      </c>
    </row>
    <row r="10077" customFormat="false" ht="15" hidden="false" customHeight="false" outlineLevel="0" collapsed="false">
      <c r="A10077" s="7" t="s">
        <v>25</v>
      </c>
      <c r="B10077" s="7" t="s">
        <v>860</v>
      </c>
      <c r="C10077" s="7" t="s">
        <v>1316</v>
      </c>
      <c r="D10077" s="7" t="n">
        <v>2</v>
      </c>
      <c r="E10077" s="7" t="n">
        <v>386.91</v>
      </c>
      <c r="F10077" s="7" t="n">
        <v>0</v>
      </c>
      <c r="G10077" s="7" t="n">
        <v>0</v>
      </c>
    </row>
    <row r="10078" customFormat="false" ht="15" hidden="false" customHeight="false" outlineLevel="0" collapsed="false">
      <c r="A10078" s="7" t="s">
        <v>25</v>
      </c>
      <c r="B10078" s="7" t="s">
        <v>860</v>
      </c>
      <c r="C10078" s="7" t="s">
        <v>1316</v>
      </c>
      <c r="D10078" s="7" t="n">
        <v>3</v>
      </c>
      <c r="E10078" s="7" t="n">
        <v>590.1</v>
      </c>
      <c r="F10078" s="7" t="n">
        <v>0</v>
      </c>
      <c r="G10078" s="7" t="n">
        <v>0</v>
      </c>
    </row>
    <row r="10079" customFormat="false" ht="15" hidden="false" customHeight="false" outlineLevel="0" collapsed="false">
      <c r="A10079" s="7" t="s">
        <v>25</v>
      </c>
      <c r="B10079" s="7" t="s">
        <v>860</v>
      </c>
      <c r="C10079" s="7" t="s">
        <v>1316</v>
      </c>
      <c r="D10079" s="7" t="n">
        <v>1</v>
      </c>
      <c r="E10079" s="7" t="n">
        <v>200</v>
      </c>
      <c r="F10079" s="7" t="n">
        <v>0</v>
      </c>
      <c r="G10079" s="7" t="n">
        <v>0</v>
      </c>
    </row>
    <row r="10080" customFormat="false" ht="15" hidden="false" customHeight="false" outlineLevel="0" collapsed="false">
      <c r="A10080" s="7" t="s">
        <v>25</v>
      </c>
      <c r="B10080" s="7" t="s">
        <v>860</v>
      </c>
      <c r="C10080" s="7" t="s">
        <v>1316</v>
      </c>
      <c r="D10080" s="7" t="n">
        <v>0</v>
      </c>
      <c r="E10080" s="7" t="n">
        <v>0</v>
      </c>
      <c r="F10080" s="7" t="n">
        <v>2</v>
      </c>
      <c r="G10080" s="7" t="n">
        <v>322.64</v>
      </c>
    </row>
    <row r="10081" customFormat="false" ht="15" hidden="false" customHeight="false" outlineLevel="0" collapsed="false">
      <c r="A10081" s="7" t="s">
        <v>25</v>
      </c>
      <c r="B10081" s="7" t="s">
        <v>829</v>
      </c>
      <c r="C10081" s="7" t="s">
        <v>1316</v>
      </c>
      <c r="D10081" s="7" t="n">
        <v>0</v>
      </c>
      <c r="E10081" s="7" t="n">
        <v>0</v>
      </c>
      <c r="F10081" s="7" t="n">
        <v>13</v>
      </c>
      <c r="G10081" s="7" t="n">
        <v>2172.29</v>
      </c>
    </row>
    <row r="10082" customFormat="false" ht="15" hidden="false" customHeight="false" outlineLevel="0" collapsed="false">
      <c r="A10082" s="7" t="s">
        <v>25</v>
      </c>
      <c r="B10082" s="7" t="s">
        <v>829</v>
      </c>
      <c r="C10082" s="7" t="s">
        <v>1316</v>
      </c>
      <c r="D10082" s="7" t="n">
        <v>38</v>
      </c>
      <c r="E10082" s="7" t="n">
        <v>7066.79</v>
      </c>
      <c r="F10082" s="7" t="n">
        <v>0</v>
      </c>
      <c r="G10082" s="7" t="n">
        <v>0</v>
      </c>
    </row>
    <row r="10083" customFormat="false" ht="15" hidden="false" customHeight="false" outlineLevel="0" collapsed="false">
      <c r="A10083" s="7" t="s">
        <v>25</v>
      </c>
      <c r="B10083" s="7" t="s">
        <v>829</v>
      </c>
      <c r="C10083" s="7" t="s">
        <v>1316</v>
      </c>
      <c r="D10083" s="7" t="n">
        <v>26</v>
      </c>
      <c r="E10083" s="7" t="n">
        <v>4552.33</v>
      </c>
      <c r="F10083" s="7" t="n">
        <v>0</v>
      </c>
      <c r="G10083" s="7" t="n">
        <v>0</v>
      </c>
    </row>
    <row r="10084" customFormat="false" ht="15" hidden="false" customHeight="false" outlineLevel="0" collapsed="false">
      <c r="A10084" s="7" t="s">
        <v>25</v>
      </c>
      <c r="B10084" s="7" t="s">
        <v>829</v>
      </c>
      <c r="C10084" s="7" t="s">
        <v>1316</v>
      </c>
      <c r="D10084" s="7" t="n">
        <v>11</v>
      </c>
      <c r="E10084" s="7" t="n">
        <v>2079.97</v>
      </c>
      <c r="F10084" s="7" t="n">
        <v>0</v>
      </c>
      <c r="G10084" s="7" t="n">
        <v>0</v>
      </c>
    </row>
    <row r="10085" customFormat="false" ht="15" hidden="false" customHeight="false" outlineLevel="0" collapsed="false">
      <c r="A10085" s="7" t="s">
        <v>25</v>
      </c>
      <c r="B10085" s="7" t="s">
        <v>829</v>
      </c>
      <c r="C10085" s="7" t="s">
        <v>1316</v>
      </c>
      <c r="D10085" s="7" t="n">
        <v>0</v>
      </c>
      <c r="E10085" s="7" t="n">
        <v>0</v>
      </c>
      <c r="F10085" s="7" t="n">
        <v>20</v>
      </c>
      <c r="G10085" s="7" t="n">
        <v>3226.44</v>
      </c>
    </row>
    <row r="10086" customFormat="false" ht="15" hidden="false" customHeight="false" outlineLevel="0" collapsed="false">
      <c r="A10086" s="7" t="s">
        <v>25</v>
      </c>
      <c r="B10086" s="7" t="s">
        <v>829</v>
      </c>
      <c r="C10086" s="7" t="s">
        <v>1316</v>
      </c>
      <c r="D10086" s="7" t="n">
        <v>0</v>
      </c>
      <c r="E10086" s="7" t="n">
        <v>0</v>
      </c>
      <c r="F10086" s="7" t="n">
        <v>11</v>
      </c>
      <c r="G10086" s="7" t="n">
        <v>1870.61</v>
      </c>
    </row>
    <row r="10087" customFormat="false" ht="15" hidden="false" customHeight="false" outlineLevel="0" collapsed="false">
      <c r="A10087" s="7" t="s">
        <v>25</v>
      </c>
      <c r="B10087" s="7" t="s">
        <v>829</v>
      </c>
      <c r="C10087" s="7" t="s">
        <v>1316</v>
      </c>
      <c r="D10087" s="7" t="n">
        <v>0</v>
      </c>
      <c r="E10087" s="7" t="n">
        <v>0</v>
      </c>
      <c r="F10087" s="7" t="n">
        <v>6</v>
      </c>
      <c r="G10087" s="7" t="n">
        <v>1179.9</v>
      </c>
    </row>
    <row r="10088" customFormat="false" ht="15" hidden="false" customHeight="false" outlineLevel="0" collapsed="false">
      <c r="A10088" s="7" t="s">
        <v>25</v>
      </c>
      <c r="B10088" s="7" t="s">
        <v>829</v>
      </c>
      <c r="C10088" s="7" t="s">
        <v>1316</v>
      </c>
      <c r="D10088" s="7" t="n">
        <v>0</v>
      </c>
      <c r="E10088" s="7" t="n">
        <v>0</v>
      </c>
      <c r="F10088" s="7" t="n">
        <v>19</v>
      </c>
      <c r="G10088" s="7" t="n">
        <v>2928.53</v>
      </c>
    </row>
    <row r="10089" customFormat="false" ht="15" hidden="false" customHeight="false" outlineLevel="0" collapsed="false">
      <c r="A10089" s="7" t="s">
        <v>25</v>
      </c>
      <c r="B10089" s="7" t="s">
        <v>829</v>
      </c>
      <c r="C10089" s="7" t="s">
        <v>1316</v>
      </c>
      <c r="D10089" s="7" t="n">
        <v>0</v>
      </c>
      <c r="E10089" s="7" t="n">
        <v>0</v>
      </c>
      <c r="F10089" s="7" t="n">
        <v>14</v>
      </c>
      <c r="G10089" s="7" t="n">
        <v>2343.65</v>
      </c>
    </row>
    <row r="10090" customFormat="false" ht="15" hidden="false" customHeight="false" outlineLevel="0" collapsed="false">
      <c r="A10090" s="7" t="s">
        <v>25</v>
      </c>
      <c r="B10090" s="7" t="s">
        <v>829</v>
      </c>
      <c r="C10090" s="7" t="s">
        <v>1316</v>
      </c>
      <c r="D10090" s="7" t="n">
        <v>15</v>
      </c>
      <c r="E10090" s="7" t="n">
        <v>2642.54</v>
      </c>
      <c r="F10090" s="7" t="n">
        <v>0</v>
      </c>
      <c r="G10090" s="7" t="n">
        <v>0</v>
      </c>
    </row>
    <row r="10091" customFormat="false" ht="15" hidden="false" customHeight="false" outlineLevel="0" collapsed="false">
      <c r="A10091" s="7" t="s">
        <v>25</v>
      </c>
      <c r="B10091" s="7" t="s">
        <v>829</v>
      </c>
      <c r="C10091" s="7" t="s">
        <v>1316</v>
      </c>
      <c r="D10091" s="7" t="n">
        <v>14</v>
      </c>
      <c r="E10091" s="7" t="n">
        <v>2498.87</v>
      </c>
      <c r="F10091" s="7" t="n">
        <v>0</v>
      </c>
      <c r="G10091" s="7" t="n">
        <v>0</v>
      </c>
    </row>
    <row r="10092" customFormat="false" ht="15" hidden="false" customHeight="false" outlineLevel="0" collapsed="false">
      <c r="A10092" s="7" t="s">
        <v>25</v>
      </c>
      <c r="B10092" s="7" t="s">
        <v>829</v>
      </c>
      <c r="C10092" s="7" t="s">
        <v>1316</v>
      </c>
      <c r="D10092" s="7" t="n">
        <v>23</v>
      </c>
      <c r="E10092" s="7" t="n">
        <v>4292.81</v>
      </c>
      <c r="F10092" s="7" t="n">
        <v>0</v>
      </c>
      <c r="G10092" s="7" t="n">
        <v>0</v>
      </c>
    </row>
    <row r="10093" customFormat="false" ht="15" hidden="false" customHeight="false" outlineLevel="0" collapsed="false">
      <c r="A10093" s="7" t="s">
        <v>25</v>
      </c>
      <c r="B10093" s="7" t="s">
        <v>829</v>
      </c>
      <c r="C10093" s="7" t="s">
        <v>1316</v>
      </c>
      <c r="D10093" s="7" t="n">
        <v>36</v>
      </c>
      <c r="E10093" s="7" t="n">
        <v>6958.76</v>
      </c>
      <c r="F10093" s="7" t="n">
        <v>0</v>
      </c>
      <c r="G10093" s="7" t="n">
        <v>0</v>
      </c>
    </row>
    <row r="10094" customFormat="false" ht="15" hidden="false" customHeight="false" outlineLevel="0" collapsed="false">
      <c r="A10094" s="7" t="s">
        <v>25</v>
      </c>
      <c r="B10094" s="7" t="s">
        <v>829</v>
      </c>
      <c r="C10094" s="7" t="s">
        <v>1316</v>
      </c>
      <c r="D10094" s="7" t="n">
        <v>0</v>
      </c>
      <c r="E10094" s="7" t="n">
        <v>0</v>
      </c>
      <c r="F10094" s="7" t="n">
        <v>14</v>
      </c>
      <c r="G10094" s="7" t="n">
        <v>2375.21</v>
      </c>
    </row>
    <row r="10095" customFormat="false" ht="15" hidden="false" customHeight="false" outlineLevel="0" collapsed="false">
      <c r="A10095" s="7" t="s">
        <v>25</v>
      </c>
      <c r="B10095" s="7" t="s">
        <v>829</v>
      </c>
      <c r="C10095" s="7" t="s">
        <v>1316</v>
      </c>
      <c r="D10095" s="7" t="n">
        <v>6</v>
      </c>
      <c r="E10095" s="7" t="n">
        <v>1078.77</v>
      </c>
      <c r="F10095" s="7" t="n">
        <v>0</v>
      </c>
      <c r="G10095" s="7" t="n">
        <v>0</v>
      </c>
    </row>
    <row r="10096" customFormat="false" ht="15" hidden="false" customHeight="false" outlineLevel="0" collapsed="false">
      <c r="A10096" s="7" t="s">
        <v>25</v>
      </c>
      <c r="B10096" s="7" t="s">
        <v>829</v>
      </c>
      <c r="C10096" s="7" t="s">
        <v>1316</v>
      </c>
      <c r="D10096" s="7" t="n">
        <v>13</v>
      </c>
      <c r="E10096" s="7" t="n">
        <v>2278.65</v>
      </c>
      <c r="F10096" s="7" t="n">
        <v>0</v>
      </c>
      <c r="G10096" s="7" t="n">
        <v>0</v>
      </c>
    </row>
    <row r="10097" customFormat="false" ht="15" hidden="false" customHeight="false" outlineLevel="0" collapsed="false">
      <c r="A10097" s="7" t="s">
        <v>25</v>
      </c>
      <c r="B10097" s="7" t="s">
        <v>829</v>
      </c>
      <c r="C10097" s="7" t="s">
        <v>1316</v>
      </c>
      <c r="D10097" s="7" t="n">
        <v>6</v>
      </c>
      <c r="E10097" s="7" t="n">
        <v>1051.86</v>
      </c>
      <c r="F10097" s="7" t="n">
        <v>0</v>
      </c>
      <c r="G10097" s="7" t="n">
        <v>0</v>
      </c>
    </row>
    <row r="10098" customFormat="false" ht="15" hidden="false" customHeight="false" outlineLevel="0" collapsed="false">
      <c r="A10098" s="7" t="s">
        <v>25</v>
      </c>
      <c r="B10098" s="7" t="s">
        <v>829</v>
      </c>
      <c r="C10098" s="7" t="s">
        <v>1316</v>
      </c>
      <c r="D10098" s="7" t="n">
        <v>11</v>
      </c>
      <c r="E10098" s="7" t="n">
        <v>1924.98</v>
      </c>
      <c r="F10098" s="7" t="n">
        <v>0</v>
      </c>
      <c r="G10098" s="7" t="n">
        <v>0</v>
      </c>
    </row>
    <row r="10099" customFormat="false" ht="15" hidden="false" customHeight="false" outlineLevel="0" collapsed="false">
      <c r="A10099" s="7" t="s">
        <v>25</v>
      </c>
      <c r="B10099" s="7" t="s">
        <v>829</v>
      </c>
      <c r="C10099" s="7" t="s">
        <v>1316</v>
      </c>
      <c r="D10099" s="7" t="n">
        <v>1</v>
      </c>
      <c r="E10099" s="7" t="n">
        <v>174.43</v>
      </c>
      <c r="F10099" s="7" t="n">
        <v>0</v>
      </c>
      <c r="G10099" s="7" t="n">
        <v>0</v>
      </c>
    </row>
    <row r="10100" customFormat="false" ht="15" hidden="false" customHeight="false" outlineLevel="0" collapsed="false">
      <c r="A10100" s="7" t="s">
        <v>25</v>
      </c>
      <c r="B10100" s="7" t="s">
        <v>829</v>
      </c>
      <c r="C10100" s="7" t="s">
        <v>1316</v>
      </c>
      <c r="D10100" s="7" t="n">
        <v>0</v>
      </c>
      <c r="E10100" s="7" t="n">
        <v>0</v>
      </c>
      <c r="F10100" s="7" t="n">
        <v>16</v>
      </c>
      <c r="G10100" s="7" t="n">
        <v>2347.38</v>
      </c>
    </row>
    <row r="10101" customFormat="false" ht="15" hidden="false" customHeight="false" outlineLevel="0" collapsed="false">
      <c r="A10101" s="7" t="s">
        <v>25</v>
      </c>
      <c r="B10101" s="7" t="s">
        <v>829</v>
      </c>
      <c r="C10101" s="7" t="s">
        <v>1316</v>
      </c>
      <c r="D10101" s="7" t="n">
        <v>0</v>
      </c>
      <c r="E10101" s="7" t="n">
        <v>0</v>
      </c>
      <c r="F10101" s="7" t="n">
        <v>1</v>
      </c>
      <c r="G10101" s="7" t="n">
        <v>176.97</v>
      </c>
    </row>
    <row r="10102" customFormat="false" ht="15" hidden="false" customHeight="false" outlineLevel="0" collapsed="false">
      <c r="A10102" s="7" t="s">
        <v>25</v>
      </c>
      <c r="B10102" s="7" t="s">
        <v>829</v>
      </c>
      <c r="C10102" s="7" t="s">
        <v>1316</v>
      </c>
      <c r="D10102" s="7" t="n">
        <v>12</v>
      </c>
      <c r="E10102" s="7" t="n">
        <v>2066.74</v>
      </c>
      <c r="F10102" s="7" t="n">
        <v>0</v>
      </c>
      <c r="G10102" s="7" t="n">
        <v>0</v>
      </c>
    </row>
    <row r="10103" customFormat="false" ht="15" hidden="false" customHeight="false" outlineLevel="0" collapsed="false">
      <c r="A10103" s="7" t="s">
        <v>25</v>
      </c>
      <c r="B10103" s="7" t="s">
        <v>829</v>
      </c>
      <c r="C10103" s="7" t="s">
        <v>1316</v>
      </c>
      <c r="D10103" s="7" t="n">
        <v>13</v>
      </c>
      <c r="E10103" s="7" t="n">
        <v>2377.71</v>
      </c>
      <c r="F10103" s="7" t="n">
        <v>0</v>
      </c>
      <c r="G10103" s="7" t="n">
        <v>0</v>
      </c>
    </row>
    <row r="10104" customFormat="false" ht="15" hidden="false" customHeight="false" outlineLevel="0" collapsed="false">
      <c r="A10104" s="7" t="s">
        <v>25</v>
      </c>
      <c r="B10104" s="7" t="s">
        <v>821</v>
      </c>
      <c r="C10104" s="7" t="s">
        <v>1316</v>
      </c>
      <c r="D10104" s="7" t="n">
        <v>0</v>
      </c>
      <c r="E10104" s="7" t="n">
        <v>0</v>
      </c>
      <c r="F10104" s="7" t="n">
        <v>32</v>
      </c>
      <c r="G10104" s="7" t="n">
        <v>4833.21</v>
      </c>
    </row>
    <row r="10105" customFormat="false" ht="15" hidden="false" customHeight="false" outlineLevel="0" collapsed="false">
      <c r="A10105" s="7" t="s">
        <v>25</v>
      </c>
      <c r="B10105" s="7" t="s">
        <v>821</v>
      </c>
      <c r="C10105" s="7" t="s">
        <v>1316</v>
      </c>
      <c r="D10105" s="7" t="n">
        <v>66</v>
      </c>
      <c r="E10105" s="7" t="n">
        <v>12757.72</v>
      </c>
      <c r="F10105" s="7" t="n">
        <v>0</v>
      </c>
      <c r="G10105" s="7" t="n">
        <v>0</v>
      </c>
    </row>
    <row r="10106" customFormat="false" ht="15" hidden="false" customHeight="false" outlineLevel="0" collapsed="false">
      <c r="A10106" s="7" t="s">
        <v>25</v>
      </c>
      <c r="B10106" s="7" t="s">
        <v>821</v>
      </c>
      <c r="C10106" s="7" t="s">
        <v>1316</v>
      </c>
      <c r="D10106" s="7" t="n">
        <v>75</v>
      </c>
      <c r="E10106" s="7" t="n">
        <v>12860.3</v>
      </c>
      <c r="F10106" s="7" t="n">
        <v>0</v>
      </c>
      <c r="G10106" s="7" t="n">
        <v>0</v>
      </c>
    </row>
    <row r="10107" customFormat="false" ht="15" hidden="false" customHeight="false" outlineLevel="0" collapsed="false">
      <c r="A10107" s="7" t="s">
        <v>25</v>
      </c>
      <c r="B10107" s="7" t="s">
        <v>821</v>
      </c>
      <c r="C10107" s="7" t="s">
        <v>1316</v>
      </c>
      <c r="D10107" s="7" t="n">
        <v>0</v>
      </c>
      <c r="E10107" s="7" t="n">
        <v>0</v>
      </c>
      <c r="F10107" s="7" t="n">
        <v>45</v>
      </c>
      <c r="G10107" s="7" t="n">
        <v>7129.99</v>
      </c>
    </row>
    <row r="10108" customFormat="false" ht="15" hidden="false" customHeight="false" outlineLevel="0" collapsed="false">
      <c r="A10108" s="7" t="s">
        <v>25</v>
      </c>
      <c r="B10108" s="7" t="s">
        <v>821</v>
      </c>
      <c r="C10108" s="7" t="s">
        <v>1316</v>
      </c>
      <c r="D10108" s="7" t="n">
        <v>50</v>
      </c>
      <c r="E10108" s="7" t="n">
        <v>8707.11</v>
      </c>
      <c r="F10108" s="7" t="n">
        <v>0</v>
      </c>
      <c r="G10108" s="7" t="n">
        <v>0</v>
      </c>
    </row>
    <row r="10109" customFormat="false" ht="15" hidden="false" customHeight="false" outlineLevel="0" collapsed="false">
      <c r="A10109" s="7" t="s">
        <v>25</v>
      </c>
      <c r="B10109" s="7" t="s">
        <v>821</v>
      </c>
      <c r="C10109" s="7" t="s">
        <v>1316</v>
      </c>
      <c r="D10109" s="7" t="n">
        <v>48</v>
      </c>
      <c r="E10109" s="7" t="n">
        <v>8779.24</v>
      </c>
      <c r="F10109" s="7" t="n">
        <v>0</v>
      </c>
      <c r="G10109" s="7" t="n">
        <v>0</v>
      </c>
    </row>
    <row r="10110" customFormat="false" ht="15" hidden="false" customHeight="false" outlineLevel="0" collapsed="false">
      <c r="A10110" s="7" t="s">
        <v>25</v>
      </c>
      <c r="B10110" s="7" t="s">
        <v>821</v>
      </c>
      <c r="C10110" s="7" t="s">
        <v>1316</v>
      </c>
      <c r="D10110" s="7" t="n">
        <v>0</v>
      </c>
      <c r="E10110" s="7" t="n">
        <v>0</v>
      </c>
      <c r="F10110" s="7" t="n">
        <v>22</v>
      </c>
      <c r="G10110" s="7" t="n">
        <v>3708.25</v>
      </c>
    </row>
    <row r="10111" customFormat="false" ht="15" hidden="false" customHeight="false" outlineLevel="0" collapsed="false">
      <c r="A10111" s="7" t="s">
        <v>25</v>
      </c>
      <c r="B10111" s="7" t="s">
        <v>821</v>
      </c>
      <c r="C10111" s="7" t="s">
        <v>1316</v>
      </c>
      <c r="D10111" s="7" t="n">
        <v>52</v>
      </c>
      <c r="E10111" s="7" t="n">
        <v>9281.53</v>
      </c>
      <c r="F10111" s="7" t="n">
        <v>0</v>
      </c>
      <c r="G10111" s="7" t="n">
        <v>0</v>
      </c>
    </row>
    <row r="10112" customFormat="false" ht="15" hidden="false" customHeight="false" outlineLevel="0" collapsed="false">
      <c r="A10112" s="7" t="s">
        <v>25</v>
      </c>
      <c r="B10112" s="7" t="s">
        <v>821</v>
      </c>
      <c r="C10112" s="7" t="s">
        <v>1316</v>
      </c>
      <c r="D10112" s="7" t="n">
        <v>0</v>
      </c>
      <c r="E10112" s="7" t="n">
        <v>0</v>
      </c>
      <c r="F10112" s="7" t="n">
        <v>38</v>
      </c>
      <c r="G10112" s="7" t="n">
        <v>6425.08</v>
      </c>
    </row>
    <row r="10113" customFormat="false" ht="15" hidden="false" customHeight="false" outlineLevel="0" collapsed="false">
      <c r="A10113" s="7" t="s">
        <v>25</v>
      </c>
      <c r="B10113" s="7" t="s">
        <v>821</v>
      </c>
      <c r="C10113" s="7" t="s">
        <v>1316</v>
      </c>
      <c r="D10113" s="7" t="n">
        <v>47</v>
      </c>
      <c r="E10113" s="7" t="n">
        <v>8229.21</v>
      </c>
      <c r="F10113" s="7" t="n">
        <v>0</v>
      </c>
      <c r="G10113" s="7" t="n">
        <v>0</v>
      </c>
    </row>
    <row r="10114" customFormat="false" ht="15" hidden="false" customHeight="false" outlineLevel="0" collapsed="false">
      <c r="A10114" s="7" t="s">
        <v>25</v>
      </c>
      <c r="B10114" s="7" t="s">
        <v>821</v>
      </c>
      <c r="C10114" s="7" t="s">
        <v>1316</v>
      </c>
      <c r="D10114" s="7" t="n">
        <v>28</v>
      </c>
      <c r="E10114" s="7" t="n">
        <v>4883.94</v>
      </c>
      <c r="F10114" s="7" t="n">
        <v>0</v>
      </c>
      <c r="G10114" s="7" t="n">
        <v>0</v>
      </c>
    </row>
    <row r="10115" customFormat="false" ht="15" hidden="false" customHeight="false" outlineLevel="0" collapsed="false">
      <c r="A10115" s="7" t="s">
        <v>25</v>
      </c>
      <c r="B10115" s="7" t="s">
        <v>821</v>
      </c>
      <c r="C10115" s="7" t="s">
        <v>1316</v>
      </c>
      <c r="D10115" s="7" t="n">
        <v>0</v>
      </c>
      <c r="E10115" s="7" t="n">
        <v>0</v>
      </c>
      <c r="F10115" s="7" t="n">
        <v>59</v>
      </c>
      <c r="G10115" s="7" t="n">
        <v>8936.38</v>
      </c>
    </row>
    <row r="10116" customFormat="false" ht="15" hidden="false" customHeight="false" outlineLevel="0" collapsed="false">
      <c r="A10116" s="7" t="s">
        <v>25</v>
      </c>
      <c r="B10116" s="7" t="s">
        <v>821</v>
      </c>
      <c r="C10116" s="7" t="s">
        <v>1316</v>
      </c>
      <c r="D10116" s="7" t="n">
        <v>51</v>
      </c>
      <c r="E10116" s="7" t="n">
        <v>8688.02</v>
      </c>
      <c r="F10116" s="7" t="n">
        <v>0</v>
      </c>
      <c r="G10116" s="7" t="n">
        <v>0</v>
      </c>
    </row>
    <row r="10117" customFormat="false" ht="15" hidden="false" customHeight="false" outlineLevel="0" collapsed="false">
      <c r="A10117" s="7" t="s">
        <v>25</v>
      </c>
      <c r="B10117" s="7" t="s">
        <v>821</v>
      </c>
      <c r="C10117" s="7" t="s">
        <v>1316</v>
      </c>
      <c r="D10117" s="7" t="n">
        <v>53</v>
      </c>
      <c r="E10117" s="7" t="n">
        <v>9892.14</v>
      </c>
      <c r="F10117" s="7" t="n">
        <v>0</v>
      </c>
      <c r="G10117" s="7" t="n">
        <v>0</v>
      </c>
    </row>
    <row r="10118" customFormat="false" ht="15" hidden="false" customHeight="false" outlineLevel="0" collapsed="false">
      <c r="A10118" s="7" t="s">
        <v>25</v>
      </c>
      <c r="B10118" s="7" t="s">
        <v>821</v>
      </c>
      <c r="C10118" s="7" t="s">
        <v>1316</v>
      </c>
      <c r="D10118" s="7" t="n">
        <v>56</v>
      </c>
      <c r="E10118" s="7" t="n">
        <v>9394.34</v>
      </c>
      <c r="F10118" s="7" t="n">
        <v>0</v>
      </c>
      <c r="G10118" s="7" t="n">
        <v>0</v>
      </c>
    </row>
    <row r="10119" customFormat="false" ht="15" hidden="false" customHeight="false" outlineLevel="0" collapsed="false">
      <c r="A10119" s="7" t="s">
        <v>25</v>
      </c>
      <c r="B10119" s="7" t="s">
        <v>821</v>
      </c>
      <c r="C10119" s="7" t="s">
        <v>1316</v>
      </c>
      <c r="D10119" s="7" t="n">
        <v>82</v>
      </c>
      <c r="E10119" s="7" t="n">
        <v>15063.43</v>
      </c>
      <c r="F10119" s="7" t="n">
        <v>0</v>
      </c>
      <c r="G10119" s="7" t="n">
        <v>0</v>
      </c>
    </row>
    <row r="10120" customFormat="false" ht="15" hidden="false" customHeight="false" outlineLevel="0" collapsed="false">
      <c r="A10120" s="7" t="s">
        <v>25</v>
      </c>
      <c r="B10120" s="7" t="s">
        <v>821</v>
      </c>
      <c r="C10120" s="7" t="s">
        <v>1316</v>
      </c>
      <c r="D10120" s="7" t="n">
        <v>41</v>
      </c>
      <c r="E10120" s="7" t="n">
        <v>7563.51</v>
      </c>
      <c r="F10120" s="7" t="n">
        <v>0</v>
      </c>
      <c r="G10120" s="7" t="n">
        <v>0</v>
      </c>
    </row>
    <row r="10121" customFormat="false" ht="15" hidden="false" customHeight="false" outlineLevel="0" collapsed="false">
      <c r="A10121" s="7" t="s">
        <v>25</v>
      </c>
      <c r="B10121" s="7" t="s">
        <v>821</v>
      </c>
      <c r="C10121" s="7" t="s">
        <v>1316</v>
      </c>
      <c r="D10121" s="7" t="n">
        <v>0</v>
      </c>
      <c r="E10121" s="7" t="n">
        <v>0</v>
      </c>
      <c r="F10121" s="7" t="n">
        <v>59</v>
      </c>
      <c r="G10121" s="7" t="n">
        <v>9353.69</v>
      </c>
    </row>
    <row r="10122" customFormat="false" ht="15" hidden="false" customHeight="false" outlineLevel="0" collapsed="false">
      <c r="A10122" s="7" t="s">
        <v>25</v>
      </c>
      <c r="B10122" s="7" t="s">
        <v>821</v>
      </c>
      <c r="C10122" s="7" t="s">
        <v>1316</v>
      </c>
      <c r="D10122" s="7" t="n">
        <v>0</v>
      </c>
      <c r="E10122" s="7" t="n">
        <v>0</v>
      </c>
      <c r="F10122" s="7" t="n">
        <v>19</v>
      </c>
      <c r="G10122" s="7" t="n">
        <v>3027.17</v>
      </c>
    </row>
    <row r="10123" customFormat="false" ht="15" hidden="false" customHeight="false" outlineLevel="0" collapsed="false">
      <c r="A10123" s="7" t="s">
        <v>25</v>
      </c>
      <c r="B10123" s="7" t="s">
        <v>821</v>
      </c>
      <c r="C10123" s="7" t="s">
        <v>1316</v>
      </c>
      <c r="D10123" s="7" t="n">
        <v>0</v>
      </c>
      <c r="E10123" s="7" t="n">
        <v>0</v>
      </c>
      <c r="F10123" s="7" t="n">
        <v>39</v>
      </c>
      <c r="G10123" s="7" t="n">
        <v>6513.74</v>
      </c>
    </row>
    <row r="10124" customFormat="false" ht="15" hidden="false" customHeight="false" outlineLevel="0" collapsed="false">
      <c r="A10124" s="7" t="s">
        <v>25</v>
      </c>
      <c r="B10124" s="7" t="s">
        <v>821</v>
      </c>
      <c r="C10124" s="7" t="s">
        <v>1316</v>
      </c>
      <c r="D10124" s="7" t="n">
        <v>21</v>
      </c>
      <c r="E10124" s="7" t="n">
        <v>3681.52</v>
      </c>
      <c r="F10124" s="7" t="n">
        <v>0</v>
      </c>
      <c r="G10124" s="7" t="n">
        <v>0</v>
      </c>
    </row>
    <row r="10125" customFormat="false" ht="15" hidden="false" customHeight="false" outlineLevel="0" collapsed="false">
      <c r="A10125" s="7" t="s">
        <v>25</v>
      </c>
      <c r="B10125" s="7" t="s">
        <v>830</v>
      </c>
      <c r="C10125" s="7" t="s">
        <v>1316</v>
      </c>
      <c r="D10125" s="7" t="n">
        <v>17</v>
      </c>
      <c r="E10125" s="7" t="n">
        <v>3109.31</v>
      </c>
      <c r="F10125" s="7" t="n">
        <v>0</v>
      </c>
      <c r="G10125" s="7" t="n">
        <v>0</v>
      </c>
    </row>
    <row r="10126" customFormat="false" ht="15" hidden="false" customHeight="false" outlineLevel="0" collapsed="false">
      <c r="A10126" s="7" t="s">
        <v>25</v>
      </c>
      <c r="B10126" s="7" t="s">
        <v>830</v>
      </c>
      <c r="C10126" s="7" t="s">
        <v>1316</v>
      </c>
      <c r="D10126" s="7" t="n">
        <v>20</v>
      </c>
      <c r="E10126" s="7" t="n">
        <v>3732.88</v>
      </c>
      <c r="F10126" s="7" t="n">
        <v>0</v>
      </c>
      <c r="G10126" s="7" t="n">
        <v>0</v>
      </c>
    </row>
    <row r="10127" customFormat="false" ht="15" hidden="false" customHeight="false" outlineLevel="0" collapsed="false">
      <c r="A10127" s="7" t="s">
        <v>25</v>
      </c>
      <c r="B10127" s="7" t="s">
        <v>830</v>
      </c>
      <c r="C10127" s="7" t="s">
        <v>1316</v>
      </c>
      <c r="D10127" s="7" t="n">
        <v>20</v>
      </c>
      <c r="E10127" s="7" t="n">
        <v>3865.98</v>
      </c>
      <c r="F10127" s="7" t="n">
        <v>0</v>
      </c>
      <c r="G10127" s="7" t="n">
        <v>0</v>
      </c>
    </row>
    <row r="10128" customFormat="false" ht="15" hidden="false" customHeight="false" outlineLevel="0" collapsed="false">
      <c r="A10128" s="7" t="s">
        <v>25</v>
      </c>
      <c r="B10128" s="7" t="s">
        <v>830</v>
      </c>
      <c r="C10128" s="7" t="s">
        <v>1316</v>
      </c>
      <c r="D10128" s="7" t="n">
        <v>0</v>
      </c>
      <c r="E10128" s="7" t="n">
        <v>0</v>
      </c>
      <c r="F10128" s="7" t="n">
        <v>17</v>
      </c>
      <c r="G10128" s="7" t="n">
        <v>2837.59</v>
      </c>
    </row>
    <row r="10129" customFormat="false" ht="15" hidden="false" customHeight="false" outlineLevel="0" collapsed="false">
      <c r="A10129" s="7" t="s">
        <v>25</v>
      </c>
      <c r="B10129" s="7" t="s">
        <v>830</v>
      </c>
      <c r="C10129" s="7" t="s">
        <v>1316</v>
      </c>
      <c r="D10129" s="7" t="n">
        <v>16</v>
      </c>
      <c r="E10129" s="7" t="n">
        <v>2801.43</v>
      </c>
      <c r="F10129" s="7" t="n">
        <v>0</v>
      </c>
      <c r="G10129" s="7" t="n">
        <v>0</v>
      </c>
    </row>
    <row r="10130" customFormat="false" ht="15" hidden="false" customHeight="false" outlineLevel="0" collapsed="false">
      <c r="A10130" s="7" t="s">
        <v>25</v>
      </c>
      <c r="B10130" s="7" t="s">
        <v>830</v>
      </c>
      <c r="C10130" s="7" t="s">
        <v>1316</v>
      </c>
      <c r="D10130" s="7" t="n">
        <v>0</v>
      </c>
      <c r="E10130" s="7" t="n">
        <v>0</v>
      </c>
      <c r="F10130" s="7" t="n">
        <v>8</v>
      </c>
      <c r="G10130" s="7" t="n">
        <v>1392.64</v>
      </c>
    </row>
    <row r="10131" customFormat="false" ht="15" hidden="false" customHeight="false" outlineLevel="0" collapsed="false">
      <c r="A10131" s="7" t="s">
        <v>25</v>
      </c>
      <c r="B10131" s="7" t="s">
        <v>830</v>
      </c>
      <c r="C10131" s="7" t="s">
        <v>1316</v>
      </c>
      <c r="D10131" s="7" t="n">
        <v>0</v>
      </c>
      <c r="E10131" s="7" t="n">
        <v>0</v>
      </c>
      <c r="F10131" s="7" t="n">
        <v>21</v>
      </c>
      <c r="G10131" s="7" t="n">
        <v>3338.85</v>
      </c>
    </row>
    <row r="10132" customFormat="false" ht="15" hidden="false" customHeight="false" outlineLevel="0" collapsed="false">
      <c r="A10132" s="7" t="s">
        <v>25</v>
      </c>
      <c r="B10132" s="7" t="s">
        <v>830</v>
      </c>
      <c r="C10132" s="7" t="s">
        <v>1316</v>
      </c>
      <c r="D10132" s="7" t="n">
        <v>9</v>
      </c>
      <c r="E10132" s="7" t="n">
        <v>1585.52</v>
      </c>
      <c r="F10132" s="7" t="n">
        <v>0</v>
      </c>
      <c r="G10132" s="7" t="n">
        <v>0</v>
      </c>
    </row>
    <row r="10133" customFormat="false" ht="15" hidden="false" customHeight="false" outlineLevel="0" collapsed="false">
      <c r="A10133" s="7" t="s">
        <v>25</v>
      </c>
      <c r="B10133" s="7" t="s">
        <v>830</v>
      </c>
      <c r="C10133" s="7" t="s">
        <v>1316</v>
      </c>
      <c r="D10133" s="7" t="n">
        <v>0</v>
      </c>
      <c r="E10133" s="7" t="n">
        <v>0</v>
      </c>
      <c r="F10133" s="7" t="n">
        <v>15</v>
      </c>
      <c r="G10133" s="7" t="n">
        <v>2343.71</v>
      </c>
    </row>
    <row r="10134" customFormat="false" ht="15" hidden="false" customHeight="false" outlineLevel="0" collapsed="false">
      <c r="A10134" s="7" t="s">
        <v>25</v>
      </c>
      <c r="B10134" s="7" t="s">
        <v>830</v>
      </c>
      <c r="C10134" s="7" t="s">
        <v>1316</v>
      </c>
      <c r="D10134" s="7" t="n">
        <v>25</v>
      </c>
      <c r="E10134" s="7" t="n">
        <v>4649.21</v>
      </c>
      <c r="F10134" s="7" t="n">
        <v>0</v>
      </c>
      <c r="G10134" s="7" t="n">
        <v>0</v>
      </c>
    </row>
    <row r="10135" customFormat="false" ht="15" hidden="false" customHeight="false" outlineLevel="0" collapsed="false">
      <c r="A10135" s="7" t="s">
        <v>25</v>
      </c>
      <c r="B10135" s="7" t="s">
        <v>830</v>
      </c>
      <c r="C10135" s="7" t="s">
        <v>1316</v>
      </c>
      <c r="D10135" s="7" t="n">
        <v>20</v>
      </c>
      <c r="E10135" s="7" t="n">
        <v>3318.01</v>
      </c>
      <c r="F10135" s="7" t="n">
        <v>0</v>
      </c>
      <c r="G10135" s="7" t="n">
        <v>0</v>
      </c>
    </row>
    <row r="10136" customFormat="false" ht="15" hidden="false" customHeight="false" outlineLevel="0" collapsed="false">
      <c r="A10136" s="7" t="s">
        <v>25</v>
      </c>
      <c r="B10136" s="7" t="s">
        <v>830</v>
      </c>
      <c r="C10136" s="7" t="s">
        <v>1316</v>
      </c>
      <c r="D10136" s="7" t="n">
        <v>0</v>
      </c>
      <c r="E10136" s="7" t="n">
        <v>0</v>
      </c>
      <c r="F10136" s="7" t="n">
        <v>7</v>
      </c>
      <c r="G10136" s="7" t="n">
        <v>1179.9</v>
      </c>
    </row>
    <row r="10137" customFormat="false" ht="15" hidden="false" customHeight="false" outlineLevel="0" collapsed="false">
      <c r="A10137" s="7" t="s">
        <v>25</v>
      </c>
      <c r="B10137" s="7" t="s">
        <v>830</v>
      </c>
      <c r="C10137" s="7" t="s">
        <v>1316</v>
      </c>
      <c r="D10137" s="7" t="n">
        <v>0</v>
      </c>
      <c r="E10137" s="7" t="n">
        <v>0</v>
      </c>
      <c r="F10137" s="7" t="n">
        <v>13</v>
      </c>
      <c r="G10137" s="7" t="n">
        <v>2201.16</v>
      </c>
    </row>
    <row r="10138" customFormat="false" ht="15" hidden="false" customHeight="false" outlineLevel="0" collapsed="false">
      <c r="A10138" s="7" t="s">
        <v>25</v>
      </c>
      <c r="B10138" s="7" t="s">
        <v>830</v>
      </c>
      <c r="C10138" s="7" t="s">
        <v>1316</v>
      </c>
      <c r="D10138" s="7" t="n">
        <v>22</v>
      </c>
      <c r="E10138" s="7" t="n">
        <v>4159.93</v>
      </c>
      <c r="F10138" s="7" t="n">
        <v>0</v>
      </c>
      <c r="G10138" s="7" t="n">
        <v>0</v>
      </c>
    </row>
    <row r="10139" customFormat="false" ht="15" hidden="false" customHeight="false" outlineLevel="0" collapsed="false">
      <c r="A10139" s="7" t="s">
        <v>25</v>
      </c>
      <c r="B10139" s="7" t="s">
        <v>830</v>
      </c>
      <c r="C10139" s="7" t="s">
        <v>1316</v>
      </c>
      <c r="D10139" s="7" t="n">
        <v>0</v>
      </c>
      <c r="E10139" s="7" t="n">
        <v>0</v>
      </c>
      <c r="F10139" s="7" t="n">
        <v>14</v>
      </c>
      <c r="G10139" s="7" t="n">
        <v>2090.14</v>
      </c>
    </row>
    <row r="10140" customFormat="false" ht="15" hidden="false" customHeight="false" outlineLevel="0" collapsed="false">
      <c r="A10140" s="7" t="s">
        <v>25</v>
      </c>
      <c r="B10140" s="7" t="s">
        <v>830</v>
      </c>
      <c r="C10140" s="7" t="s">
        <v>1316</v>
      </c>
      <c r="D10140" s="7" t="n">
        <v>18</v>
      </c>
      <c r="E10140" s="7" t="n">
        <v>3212.84</v>
      </c>
      <c r="F10140" s="7" t="n">
        <v>0</v>
      </c>
      <c r="G10140" s="7" t="n">
        <v>0</v>
      </c>
    </row>
    <row r="10141" customFormat="false" ht="15" hidden="false" customHeight="false" outlineLevel="0" collapsed="false">
      <c r="A10141" s="7" t="s">
        <v>25</v>
      </c>
      <c r="B10141" s="7" t="s">
        <v>830</v>
      </c>
      <c r="C10141" s="7" t="s">
        <v>1316</v>
      </c>
      <c r="D10141" s="7" t="n">
        <v>0</v>
      </c>
      <c r="E10141" s="7" t="n">
        <v>0</v>
      </c>
      <c r="F10141" s="7" t="n">
        <v>25</v>
      </c>
      <c r="G10141" s="7" t="n">
        <v>4033.05</v>
      </c>
    </row>
    <row r="10142" customFormat="false" ht="15" hidden="false" customHeight="false" outlineLevel="0" collapsed="false">
      <c r="A10142" s="7" t="s">
        <v>25</v>
      </c>
      <c r="B10142" s="7" t="s">
        <v>830</v>
      </c>
      <c r="C10142" s="7" t="s">
        <v>1316</v>
      </c>
      <c r="D10142" s="7" t="n">
        <v>9</v>
      </c>
      <c r="E10142" s="7" t="n">
        <v>1577.79</v>
      </c>
      <c r="F10142" s="7" t="n">
        <v>0</v>
      </c>
      <c r="G10142" s="7" t="n">
        <v>0</v>
      </c>
    </row>
    <row r="10143" customFormat="false" ht="15" hidden="false" customHeight="false" outlineLevel="0" collapsed="false">
      <c r="A10143" s="7" t="s">
        <v>25</v>
      </c>
      <c r="B10143" s="7" t="s">
        <v>830</v>
      </c>
      <c r="C10143" s="7" t="s">
        <v>1316</v>
      </c>
      <c r="D10143" s="7" t="n">
        <v>17</v>
      </c>
      <c r="E10143" s="7" t="n">
        <v>2956.56</v>
      </c>
      <c r="F10143" s="7" t="n">
        <v>0</v>
      </c>
      <c r="G10143" s="7" t="n">
        <v>0</v>
      </c>
    </row>
    <row r="10144" customFormat="false" ht="15" hidden="false" customHeight="false" outlineLevel="0" collapsed="false">
      <c r="A10144" s="7" t="s">
        <v>25</v>
      </c>
      <c r="B10144" s="7" t="s">
        <v>830</v>
      </c>
      <c r="C10144" s="7" t="s">
        <v>1316</v>
      </c>
      <c r="D10144" s="7" t="n">
        <v>17</v>
      </c>
      <c r="E10144" s="7" t="n">
        <v>3149.97</v>
      </c>
      <c r="F10144" s="7" t="n">
        <v>0</v>
      </c>
      <c r="G10144" s="7" t="n">
        <v>0</v>
      </c>
    </row>
    <row r="10145" customFormat="false" ht="15" hidden="false" customHeight="false" outlineLevel="0" collapsed="false">
      <c r="A10145" s="7" t="s">
        <v>25</v>
      </c>
      <c r="B10145" s="7" t="s">
        <v>830</v>
      </c>
      <c r="C10145" s="7" t="s">
        <v>1316</v>
      </c>
      <c r="D10145" s="7" t="n">
        <v>12</v>
      </c>
      <c r="E10145" s="7" t="n">
        <v>2093.12</v>
      </c>
      <c r="F10145" s="7" t="n">
        <v>0</v>
      </c>
      <c r="G10145" s="7" t="n">
        <v>0</v>
      </c>
    </row>
    <row r="10146" customFormat="false" ht="15" hidden="false" customHeight="false" outlineLevel="0" collapsed="false">
      <c r="A10146" s="7" t="s">
        <v>25</v>
      </c>
      <c r="B10146" s="7" t="s">
        <v>849</v>
      </c>
      <c r="C10146" s="7" t="s">
        <v>1316</v>
      </c>
      <c r="D10146" s="7" t="n">
        <v>2</v>
      </c>
      <c r="E10146" s="7" t="n">
        <v>331.7</v>
      </c>
      <c r="F10146" s="7" t="n">
        <v>0</v>
      </c>
      <c r="G10146" s="7" t="n">
        <v>0</v>
      </c>
    </row>
    <row r="10147" customFormat="false" ht="15" hidden="false" customHeight="false" outlineLevel="0" collapsed="false">
      <c r="A10147" s="7" t="s">
        <v>25</v>
      </c>
      <c r="B10147" s="7" t="s">
        <v>849</v>
      </c>
      <c r="C10147" s="7" t="s">
        <v>1316</v>
      </c>
      <c r="D10147" s="7" t="n">
        <v>0</v>
      </c>
      <c r="E10147" s="7" t="n">
        <v>0</v>
      </c>
      <c r="F10147" s="7" t="n">
        <v>2</v>
      </c>
      <c r="G10147" s="7" t="n">
        <v>316.31</v>
      </c>
    </row>
    <row r="10148" customFormat="false" ht="15" hidden="false" customHeight="false" outlineLevel="0" collapsed="false">
      <c r="A10148" s="7" t="s">
        <v>25</v>
      </c>
      <c r="B10148" s="7" t="s">
        <v>849</v>
      </c>
      <c r="C10148" s="7" t="s">
        <v>1316</v>
      </c>
      <c r="D10148" s="7" t="n">
        <v>3</v>
      </c>
      <c r="E10148" s="7" t="n">
        <v>546.16</v>
      </c>
      <c r="F10148" s="7" t="n">
        <v>0</v>
      </c>
      <c r="G10148" s="7" t="n">
        <v>0</v>
      </c>
    </row>
    <row r="10149" customFormat="false" ht="15" hidden="false" customHeight="false" outlineLevel="0" collapsed="false">
      <c r="A10149" s="7" t="s">
        <v>25</v>
      </c>
      <c r="B10149" s="7" t="s">
        <v>849</v>
      </c>
      <c r="C10149" s="7" t="s">
        <v>1316</v>
      </c>
      <c r="D10149" s="7" t="n">
        <v>0</v>
      </c>
      <c r="E10149" s="7" t="n">
        <v>0</v>
      </c>
      <c r="F10149" s="7" t="n">
        <v>2</v>
      </c>
      <c r="G10149" s="7" t="n">
        <v>321.56</v>
      </c>
    </row>
    <row r="10150" customFormat="false" ht="15" hidden="false" customHeight="false" outlineLevel="0" collapsed="false">
      <c r="A10150" s="7" t="s">
        <v>25</v>
      </c>
      <c r="B10150" s="7" t="s">
        <v>849</v>
      </c>
      <c r="C10150" s="7" t="s">
        <v>1316</v>
      </c>
      <c r="D10150" s="7" t="n">
        <v>3</v>
      </c>
      <c r="E10150" s="7" t="n">
        <v>567.26</v>
      </c>
      <c r="F10150" s="7" t="n">
        <v>0</v>
      </c>
      <c r="G10150" s="7" t="n">
        <v>0</v>
      </c>
    </row>
    <row r="10151" customFormat="false" ht="15" hidden="false" customHeight="false" outlineLevel="0" collapsed="false">
      <c r="A10151" s="7" t="s">
        <v>25</v>
      </c>
      <c r="B10151" s="7" t="s">
        <v>849</v>
      </c>
      <c r="C10151" s="7" t="s">
        <v>1316</v>
      </c>
      <c r="D10151" s="7" t="n">
        <v>0</v>
      </c>
      <c r="E10151" s="7" t="n">
        <v>0</v>
      </c>
      <c r="F10151" s="7" t="n">
        <v>1</v>
      </c>
      <c r="G10151" s="7" t="n">
        <v>167.1</v>
      </c>
    </row>
    <row r="10152" customFormat="false" ht="15" hidden="false" customHeight="false" outlineLevel="0" collapsed="false">
      <c r="A10152" s="7" t="s">
        <v>25</v>
      </c>
      <c r="B10152" s="7" t="s">
        <v>849</v>
      </c>
      <c r="C10152" s="7" t="s">
        <v>1316</v>
      </c>
      <c r="D10152" s="7" t="n">
        <v>0</v>
      </c>
      <c r="E10152" s="7" t="n">
        <v>0</v>
      </c>
      <c r="F10152" s="7" t="n">
        <v>2</v>
      </c>
      <c r="G10152" s="7" t="n">
        <v>303.53</v>
      </c>
    </row>
    <row r="10153" customFormat="false" ht="15" hidden="false" customHeight="false" outlineLevel="0" collapsed="false">
      <c r="A10153" s="7" t="s">
        <v>25</v>
      </c>
      <c r="B10153" s="7" t="s">
        <v>849</v>
      </c>
      <c r="C10153" s="7" t="s">
        <v>1316</v>
      </c>
      <c r="D10153" s="7" t="n">
        <v>6</v>
      </c>
      <c r="E10153" s="7" t="n">
        <v>1159.79</v>
      </c>
      <c r="F10153" s="7" t="n">
        <v>0</v>
      </c>
      <c r="G10153" s="7" t="n">
        <v>0</v>
      </c>
    </row>
    <row r="10154" customFormat="false" ht="15" hidden="false" customHeight="false" outlineLevel="0" collapsed="false">
      <c r="A10154" s="7" t="s">
        <v>25</v>
      </c>
      <c r="B10154" s="7" t="s">
        <v>849</v>
      </c>
      <c r="C10154" s="7" t="s">
        <v>1316</v>
      </c>
      <c r="D10154" s="7" t="n">
        <v>5</v>
      </c>
      <c r="E10154" s="7" t="n">
        <v>933.22</v>
      </c>
      <c r="F10154" s="7" t="n">
        <v>0</v>
      </c>
      <c r="G10154" s="7" t="n">
        <v>0</v>
      </c>
    </row>
    <row r="10155" customFormat="false" ht="15" hidden="false" customHeight="false" outlineLevel="0" collapsed="false">
      <c r="A10155" s="7" t="s">
        <v>25</v>
      </c>
      <c r="B10155" s="7" t="s">
        <v>849</v>
      </c>
      <c r="C10155" s="7" t="s">
        <v>1316</v>
      </c>
      <c r="D10155" s="7" t="n">
        <v>4</v>
      </c>
      <c r="E10155" s="7" t="n">
        <v>674.41</v>
      </c>
      <c r="F10155" s="7" t="n">
        <v>0</v>
      </c>
      <c r="G10155" s="7" t="n">
        <v>0</v>
      </c>
    </row>
    <row r="10156" customFormat="false" ht="15" hidden="false" customHeight="false" outlineLevel="0" collapsed="false">
      <c r="A10156" s="7" t="s">
        <v>25</v>
      </c>
      <c r="B10156" s="7" t="s">
        <v>849</v>
      </c>
      <c r="C10156" s="7" t="s">
        <v>1316</v>
      </c>
      <c r="D10156" s="7" t="n">
        <v>0</v>
      </c>
      <c r="E10156" s="7" t="n">
        <v>0</v>
      </c>
      <c r="F10156" s="7" t="n">
        <v>4</v>
      </c>
      <c r="G10156" s="7" t="n">
        <v>625.43</v>
      </c>
    </row>
    <row r="10157" customFormat="false" ht="15" hidden="false" customHeight="false" outlineLevel="0" collapsed="false">
      <c r="A10157" s="7" t="s">
        <v>25</v>
      </c>
      <c r="B10157" s="7" t="s">
        <v>849</v>
      </c>
      <c r="C10157" s="7" t="s">
        <v>1316</v>
      </c>
      <c r="D10157" s="7" t="n">
        <v>1</v>
      </c>
      <c r="E10157" s="7" t="n">
        <v>174.43</v>
      </c>
      <c r="F10157" s="7" t="n">
        <v>0</v>
      </c>
      <c r="G10157" s="7" t="n">
        <v>0</v>
      </c>
    </row>
    <row r="10158" customFormat="false" ht="15" hidden="false" customHeight="false" outlineLevel="0" collapsed="false">
      <c r="A10158" s="7" t="s">
        <v>25</v>
      </c>
      <c r="B10158" s="7" t="s">
        <v>849</v>
      </c>
      <c r="C10158" s="7" t="s">
        <v>1316</v>
      </c>
      <c r="D10158" s="7" t="n">
        <v>1</v>
      </c>
      <c r="E10158" s="7" t="n">
        <v>169.64</v>
      </c>
      <c r="F10158" s="7" t="n">
        <v>0</v>
      </c>
      <c r="G10158" s="7" t="n">
        <v>0</v>
      </c>
    </row>
    <row r="10159" customFormat="false" ht="15" hidden="false" customHeight="false" outlineLevel="0" collapsed="false">
      <c r="A10159" s="7" t="s">
        <v>25</v>
      </c>
      <c r="B10159" s="7" t="s">
        <v>849</v>
      </c>
      <c r="C10159" s="7" t="s">
        <v>1316</v>
      </c>
      <c r="D10159" s="7" t="n">
        <v>3</v>
      </c>
      <c r="E10159" s="7" t="n">
        <v>548.7</v>
      </c>
      <c r="F10159" s="7" t="n">
        <v>0</v>
      </c>
      <c r="G10159" s="7" t="n">
        <v>0</v>
      </c>
    </row>
    <row r="10160" customFormat="false" ht="15" hidden="false" customHeight="false" outlineLevel="0" collapsed="false">
      <c r="A10160" s="7" t="s">
        <v>25</v>
      </c>
      <c r="B10160" s="7" t="s">
        <v>849</v>
      </c>
      <c r="C10160" s="7" t="s">
        <v>1316</v>
      </c>
      <c r="D10160" s="7" t="n">
        <v>2</v>
      </c>
      <c r="E10160" s="7" t="n">
        <v>371.94</v>
      </c>
      <c r="F10160" s="7" t="n">
        <v>0</v>
      </c>
      <c r="G10160" s="7" t="n">
        <v>0</v>
      </c>
    </row>
    <row r="10161" customFormat="false" ht="15" hidden="false" customHeight="false" outlineLevel="0" collapsed="false">
      <c r="A10161" s="7" t="s">
        <v>25</v>
      </c>
      <c r="B10161" s="7" t="s">
        <v>849</v>
      </c>
      <c r="C10161" s="7" t="s">
        <v>1316</v>
      </c>
      <c r="D10161" s="7" t="n">
        <v>3</v>
      </c>
      <c r="E10161" s="7" t="n">
        <v>519.69</v>
      </c>
      <c r="F10161" s="7" t="n">
        <v>0</v>
      </c>
      <c r="G10161" s="7" t="n">
        <v>0</v>
      </c>
    </row>
    <row r="10162" customFormat="false" ht="15" hidden="false" customHeight="false" outlineLevel="0" collapsed="false">
      <c r="A10162" s="7" t="s">
        <v>25</v>
      </c>
      <c r="B10162" s="7" t="s">
        <v>849</v>
      </c>
      <c r="C10162" s="7" t="s">
        <v>1316</v>
      </c>
      <c r="D10162" s="7" t="n">
        <v>4</v>
      </c>
      <c r="E10162" s="7" t="n">
        <v>687.52</v>
      </c>
      <c r="F10162" s="7" t="n">
        <v>0</v>
      </c>
      <c r="G10162" s="7" t="n">
        <v>0</v>
      </c>
    </row>
    <row r="10163" customFormat="false" ht="15" hidden="false" customHeight="false" outlineLevel="0" collapsed="false">
      <c r="A10163" s="7" t="s">
        <v>25</v>
      </c>
      <c r="B10163" s="7" t="s">
        <v>824</v>
      </c>
      <c r="C10163" s="7" t="s">
        <v>1316</v>
      </c>
      <c r="D10163" s="7" t="n">
        <v>0</v>
      </c>
      <c r="E10163" s="7" t="n">
        <v>0</v>
      </c>
      <c r="F10163" s="7" t="n">
        <v>3</v>
      </c>
      <c r="G10163" s="7" t="n">
        <v>483.97</v>
      </c>
    </row>
    <row r="10164" customFormat="false" ht="15" hidden="false" customHeight="false" outlineLevel="0" collapsed="false">
      <c r="A10164" s="7" t="s">
        <v>25</v>
      </c>
      <c r="B10164" s="7" t="s">
        <v>824</v>
      </c>
      <c r="C10164" s="7" t="s">
        <v>1316</v>
      </c>
      <c r="D10164" s="7" t="n">
        <v>22</v>
      </c>
      <c r="E10164" s="7" t="n">
        <v>4051.9</v>
      </c>
      <c r="F10164" s="7" t="n">
        <v>0</v>
      </c>
      <c r="G10164" s="7" t="n">
        <v>0</v>
      </c>
    </row>
    <row r="10165" customFormat="false" ht="15" hidden="false" customHeight="false" outlineLevel="0" collapsed="false">
      <c r="A10165" s="7" t="s">
        <v>25</v>
      </c>
      <c r="B10165" s="7" t="s">
        <v>824</v>
      </c>
      <c r="C10165" s="7" t="s">
        <v>1316</v>
      </c>
      <c r="D10165" s="7" t="n">
        <v>13</v>
      </c>
      <c r="E10165" s="7" t="n">
        <v>2251.73</v>
      </c>
      <c r="F10165" s="7" t="n">
        <v>0</v>
      </c>
      <c r="G10165" s="7" t="n">
        <v>0</v>
      </c>
    </row>
    <row r="10166" customFormat="false" ht="15" hidden="false" customHeight="false" outlineLevel="0" collapsed="false">
      <c r="A10166" s="7" t="s">
        <v>25</v>
      </c>
      <c r="B10166" s="7" t="s">
        <v>824</v>
      </c>
      <c r="C10166" s="7" t="s">
        <v>1316</v>
      </c>
      <c r="D10166" s="7" t="n">
        <v>0</v>
      </c>
      <c r="E10166" s="7" t="n">
        <v>0</v>
      </c>
      <c r="F10166" s="7" t="n">
        <v>27</v>
      </c>
      <c r="G10166" s="7" t="n">
        <v>4097.68</v>
      </c>
    </row>
    <row r="10167" customFormat="false" ht="15" hidden="false" customHeight="false" outlineLevel="0" collapsed="false">
      <c r="A10167" s="7" t="s">
        <v>25</v>
      </c>
      <c r="B10167" s="7" t="s">
        <v>824</v>
      </c>
      <c r="C10167" s="7" t="s">
        <v>1316</v>
      </c>
      <c r="D10167" s="7" t="n">
        <v>54</v>
      </c>
      <c r="E10167" s="7" t="n">
        <v>10021.61</v>
      </c>
      <c r="F10167" s="7" t="n">
        <v>0</v>
      </c>
      <c r="G10167" s="7" t="n">
        <v>0</v>
      </c>
    </row>
    <row r="10168" customFormat="false" ht="15" hidden="false" customHeight="false" outlineLevel="0" collapsed="false">
      <c r="A10168" s="7" t="s">
        <v>25</v>
      </c>
      <c r="B10168" s="7" t="s">
        <v>824</v>
      </c>
      <c r="C10168" s="7" t="s">
        <v>1316</v>
      </c>
      <c r="D10168" s="7" t="n">
        <v>0</v>
      </c>
      <c r="E10168" s="7" t="n">
        <v>0</v>
      </c>
      <c r="F10168" s="7" t="n">
        <v>14</v>
      </c>
      <c r="G10168" s="7" t="n">
        <v>2359.79</v>
      </c>
    </row>
    <row r="10169" customFormat="false" ht="15" hidden="false" customHeight="false" outlineLevel="0" collapsed="false">
      <c r="A10169" s="7" t="s">
        <v>25</v>
      </c>
      <c r="B10169" s="7" t="s">
        <v>824</v>
      </c>
      <c r="C10169" s="7" t="s">
        <v>1316</v>
      </c>
      <c r="D10169" s="7" t="n">
        <v>35</v>
      </c>
      <c r="E10169" s="7" t="n">
        <v>6322.99</v>
      </c>
      <c r="F10169" s="7" t="n">
        <v>0</v>
      </c>
      <c r="G10169" s="7" t="n">
        <v>0</v>
      </c>
    </row>
    <row r="10170" customFormat="false" ht="15" hidden="false" customHeight="false" outlineLevel="0" collapsed="false">
      <c r="A10170" s="7" t="s">
        <v>25</v>
      </c>
      <c r="B10170" s="7" t="s">
        <v>824</v>
      </c>
      <c r="C10170" s="7" t="s">
        <v>1316</v>
      </c>
      <c r="D10170" s="7" t="n">
        <v>45</v>
      </c>
      <c r="E10170" s="7" t="n">
        <v>8698.45</v>
      </c>
      <c r="F10170" s="7" t="n">
        <v>0</v>
      </c>
      <c r="G10170" s="7" t="n">
        <v>0</v>
      </c>
    </row>
    <row r="10171" customFormat="false" ht="15" hidden="false" customHeight="false" outlineLevel="0" collapsed="false">
      <c r="A10171" s="7" t="s">
        <v>25</v>
      </c>
      <c r="B10171" s="7" t="s">
        <v>824</v>
      </c>
      <c r="C10171" s="7" t="s">
        <v>1316</v>
      </c>
      <c r="D10171" s="7" t="n">
        <v>0</v>
      </c>
      <c r="E10171" s="7" t="n">
        <v>0</v>
      </c>
      <c r="F10171" s="7" t="n">
        <v>18</v>
      </c>
      <c r="G10171" s="7" t="n">
        <v>2879.64</v>
      </c>
    </row>
    <row r="10172" customFormat="false" ht="15" hidden="false" customHeight="false" outlineLevel="0" collapsed="false">
      <c r="A10172" s="7" t="s">
        <v>25</v>
      </c>
      <c r="B10172" s="7" t="s">
        <v>824</v>
      </c>
      <c r="C10172" s="7" t="s">
        <v>1316</v>
      </c>
      <c r="D10172" s="7" t="n">
        <v>0</v>
      </c>
      <c r="E10172" s="7" t="n">
        <v>0</v>
      </c>
      <c r="F10172" s="7" t="n">
        <v>16</v>
      </c>
      <c r="G10172" s="7" t="n">
        <v>2500.33</v>
      </c>
    </row>
    <row r="10173" customFormat="false" ht="15" hidden="false" customHeight="false" outlineLevel="0" collapsed="false">
      <c r="A10173" s="7" t="s">
        <v>25</v>
      </c>
      <c r="B10173" s="7" t="s">
        <v>824</v>
      </c>
      <c r="C10173" s="7" t="s">
        <v>1316</v>
      </c>
      <c r="D10173" s="7" t="n">
        <v>0</v>
      </c>
      <c r="E10173" s="7" t="n">
        <v>0</v>
      </c>
      <c r="F10173" s="7" t="n">
        <v>38</v>
      </c>
      <c r="G10173" s="7" t="n">
        <v>5981.04</v>
      </c>
    </row>
    <row r="10174" customFormat="false" ht="15" hidden="false" customHeight="false" outlineLevel="0" collapsed="false">
      <c r="A10174" s="7" t="s">
        <v>25</v>
      </c>
      <c r="B10174" s="7" t="s">
        <v>824</v>
      </c>
      <c r="C10174" s="7" t="s">
        <v>1316</v>
      </c>
      <c r="D10174" s="7" t="n">
        <v>31</v>
      </c>
      <c r="E10174" s="7" t="n">
        <v>5396.81</v>
      </c>
      <c r="F10174" s="7" t="n">
        <v>0</v>
      </c>
      <c r="G10174" s="7" t="n">
        <v>0</v>
      </c>
    </row>
    <row r="10175" customFormat="false" ht="15" hidden="false" customHeight="false" outlineLevel="0" collapsed="false">
      <c r="A10175" s="7" t="s">
        <v>25</v>
      </c>
      <c r="B10175" s="7" t="s">
        <v>824</v>
      </c>
      <c r="C10175" s="7" t="s">
        <v>1316</v>
      </c>
      <c r="D10175" s="7" t="n">
        <v>15</v>
      </c>
      <c r="E10175" s="7" t="n">
        <v>2632.83</v>
      </c>
      <c r="F10175" s="7" t="n">
        <v>0</v>
      </c>
      <c r="G10175" s="7" t="n">
        <v>0</v>
      </c>
    </row>
    <row r="10176" customFormat="false" ht="15" hidden="false" customHeight="false" outlineLevel="0" collapsed="false">
      <c r="A10176" s="7" t="s">
        <v>25</v>
      </c>
      <c r="B10176" s="7" t="s">
        <v>824</v>
      </c>
      <c r="C10176" s="7" t="s">
        <v>1316</v>
      </c>
      <c r="D10176" s="7" t="n">
        <v>33</v>
      </c>
      <c r="E10176" s="7" t="n">
        <v>5774.95</v>
      </c>
      <c r="F10176" s="7" t="n">
        <v>0</v>
      </c>
      <c r="G10176" s="7" t="n">
        <v>0</v>
      </c>
    </row>
    <row r="10177" customFormat="false" ht="15" hidden="false" customHeight="false" outlineLevel="0" collapsed="false">
      <c r="A10177" s="7" t="s">
        <v>25</v>
      </c>
      <c r="B10177" s="7" t="s">
        <v>824</v>
      </c>
      <c r="C10177" s="7" t="s">
        <v>1316</v>
      </c>
      <c r="D10177" s="7" t="n">
        <v>44</v>
      </c>
      <c r="E10177" s="7" t="n">
        <v>8212.34</v>
      </c>
      <c r="F10177" s="7" t="n">
        <v>0</v>
      </c>
      <c r="G10177" s="7" t="n">
        <v>0</v>
      </c>
    </row>
    <row r="10178" customFormat="false" ht="15" hidden="false" customHeight="false" outlineLevel="0" collapsed="false">
      <c r="A10178" s="7" t="s">
        <v>25</v>
      </c>
      <c r="B10178" s="7" t="s">
        <v>824</v>
      </c>
      <c r="C10178" s="7" t="s">
        <v>1316</v>
      </c>
      <c r="D10178" s="7" t="n">
        <v>0</v>
      </c>
      <c r="E10178" s="7" t="n">
        <v>0</v>
      </c>
      <c r="F10178" s="7" t="n">
        <v>15</v>
      </c>
      <c r="G10178" s="7" t="n">
        <v>2563.18</v>
      </c>
    </row>
    <row r="10179" customFormat="false" ht="15" hidden="false" customHeight="false" outlineLevel="0" collapsed="false">
      <c r="A10179" s="7" t="s">
        <v>25</v>
      </c>
      <c r="B10179" s="7" t="s">
        <v>824</v>
      </c>
      <c r="C10179" s="7" t="s">
        <v>1316</v>
      </c>
      <c r="D10179" s="7" t="n">
        <v>38</v>
      </c>
      <c r="E10179" s="7" t="n">
        <v>6782.66</v>
      </c>
      <c r="F10179" s="7" t="n">
        <v>0</v>
      </c>
      <c r="G10179" s="7" t="n">
        <v>0</v>
      </c>
    </row>
    <row r="10180" customFormat="false" ht="15" hidden="false" customHeight="false" outlineLevel="0" collapsed="false">
      <c r="A10180" s="7" t="s">
        <v>25</v>
      </c>
      <c r="B10180" s="7" t="s">
        <v>824</v>
      </c>
      <c r="C10180" s="7" t="s">
        <v>1316</v>
      </c>
      <c r="D10180" s="7" t="n">
        <v>0</v>
      </c>
      <c r="E10180" s="7" t="n">
        <v>0</v>
      </c>
      <c r="F10180" s="7" t="n">
        <v>10</v>
      </c>
      <c r="G10180" s="7" t="n">
        <v>1650.47</v>
      </c>
    </row>
    <row r="10181" customFormat="false" ht="15" hidden="false" customHeight="false" outlineLevel="0" collapsed="false">
      <c r="A10181" s="7" t="s">
        <v>25</v>
      </c>
      <c r="B10181" s="7" t="s">
        <v>824</v>
      </c>
      <c r="C10181" s="7" t="s">
        <v>1316</v>
      </c>
      <c r="D10181" s="7" t="n">
        <v>6</v>
      </c>
      <c r="E10181" s="7" t="n">
        <v>1051.86</v>
      </c>
      <c r="F10181" s="7" t="n">
        <v>0</v>
      </c>
      <c r="G10181" s="7" t="n">
        <v>0</v>
      </c>
    </row>
    <row r="10182" customFormat="false" ht="15" hidden="false" customHeight="false" outlineLevel="0" collapsed="false">
      <c r="A10182" s="7" t="s">
        <v>25</v>
      </c>
      <c r="B10182" s="7" t="s">
        <v>824</v>
      </c>
      <c r="C10182" s="7" t="s">
        <v>1316</v>
      </c>
      <c r="D10182" s="7" t="n">
        <v>53</v>
      </c>
      <c r="E10182" s="7" t="n">
        <v>9693.74</v>
      </c>
      <c r="F10182" s="7" t="n">
        <v>0</v>
      </c>
      <c r="G10182" s="7" t="n">
        <v>0</v>
      </c>
    </row>
    <row r="10183" customFormat="false" ht="15" hidden="false" customHeight="false" outlineLevel="0" collapsed="false">
      <c r="A10183" s="7" t="s">
        <v>25</v>
      </c>
      <c r="B10183" s="7" t="s">
        <v>824</v>
      </c>
      <c r="C10183" s="7" t="s">
        <v>1316</v>
      </c>
      <c r="D10183" s="7" t="n">
        <v>14</v>
      </c>
      <c r="E10183" s="7" t="n">
        <v>2441.97</v>
      </c>
      <c r="F10183" s="7" t="n">
        <v>0</v>
      </c>
      <c r="G10183" s="7" t="n">
        <v>0</v>
      </c>
    </row>
    <row r="10184" customFormat="false" ht="15" hidden="false" customHeight="false" outlineLevel="0" collapsed="false">
      <c r="A10184" s="7" t="s">
        <v>25</v>
      </c>
      <c r="B10184" s="7" t="s">
        <v>820</v>
      </c>
      <c r="C10184" s="7" t="s">
        <v>1316</v>
      </c>
      <c r="D10184" s="7" t="n">
        <v>0</v>
      </c>
      <c r="E10184" s="7" t="n">
        <v>0</v>
      </c>
      <c r="F10184" s="7" t="n">
        <v>29</v>
      </c>
      <c r="G10184" s="7" t="n">
        <v>4713.31</v>
      </c>
    </row>
    <row r="10185" customFormat="false" ht="15" hidden="false" customHeight="false" outlineLevel="0" collapsed="false">
      <c r="A10185" s="7" t="s">
        <v>25</v>
      </c>
      <c r="B10185" s="7" t="s">
        <v>820</v>
      </c>
      <c r="C10185" s="7" t="s">
        <v>1316</v>
      </c>
      <c r="D10185" s="7" t="n">
        <v>1</v>
      </c>
      <c r="E10185" s="7" t="n">
        <v>134.13</v>
      </c>
      <c r="F10185" s="7" t="n">
        <v>0</v>
      </c>
      <c r="G10185" s="7" t="n">
        <v>0</v>
      </c>
    </row>
    <row r="10186" customFormat="false" ht="15" hidden="false" customHeight="false" outlineLevel="0" collapsed="false">
      <c r="A10186" s="7" t="s">
        <v>25</v>
      </c>
      <c r="B10186" s="7" t="s">
        <v>820</v>
      </c>
      <c r="C10186" s="7" t="s">
        <v>1316</v>
      </c>
      <c r="D10186" s="7" t="n">
        <v>43</v>
      </c>
      <c r="E10186" s="7" t="n">
        <v>7353.7</v>
      </c>
      <c r="F10186" s="7" t="n">
        <v>0</v>
      </c>
      <c r="G10186" s="7" t="n">
        <v>0</v>
      </c>
    </row>
    <row r="10187" customFormat="false" ht="15" hidden="false" customHeight="false" outlineLevel="0" collapsed="false">
      <c r="A10187" s="7" t="s">
        <v>25</v>
      </c>
      <c r="B10187" s="7" t="s">
        <v>820</v>
      </c>
      <c r="C10187" s="7" t="s">
        <v>1316</v>
      </c>
      <c r="D10187" s="7" t="n">
        <v>164</v>
      </c>
      <c r="E10187" s="7" t="n">
        <v>26147.41</v>
      </c>
      <c r="F10187" s="7" t="n">
        <v>0</v>
      </c>
      <c r="G10187" s="7" t="n">
        <v>0</v>
      </c>
    </row>
    <row r="10188" customFormat="false" ht="15" hidden="false" customHeight="false" outlineLevel="0" collapsed="false">
      <c r="A10188" s="7" t="s">
        <v>25</v>
      </c>
      <c r="B10188" s="7" t="s">
        <v>820</v>
      </c>
      <c r="C10188" s="7" t="s">
        <v>1316</v>
      </c>
      <c r="D10188" s="7" t="n">
        <v>61</v>
      </c>
      <c r="E10188" s="7" t="n">
        <v>10318.04</v>
      </c>
      <c r="F10188" s="7" t="n">
        <v>0</v>
      </c>
      <c r="G10188" s="7" t="n">
        <v>0</v>
      </c>
    </row>
    <row r="10189" customFormat="false" ht="15" hidden="false" customHeight="false" outlineLevel="0" collapsed="false">
      <c r="A10189" s="7" t="s">
        <v>25</v>
      </c>
      <c r="B10189" s="7" t="s">
        <v>820</v>
      </c>
      <c r="C10189" s="7" t="s">
        <v>1316</v>
      </c>
      <c r="D10189" s="7" t="n">
        <v>0</v>
      </c>
      <c r="E10189" s="7" t="n">
        <v>0</v>
      </c>
      <c r="F10189" s="7" t="n">
        <v>29</v>
      </c>
      <c r="G10189" s="7" t="n">
        <v>4707.62</v>
      </c>
    </row>
    <row r="10190" customFormat="false" ht="15" hidden="false" customHeight="false" outlineLevel="0" collapsed="false">
      <c r="A10190" s="7" t="s">
        <v>25</v>
      </c>
      <c r="B10190" s="7" t="s">
        <v>820</v>
      </c>
      <c r="C10190" s="7" t="s">
        <v>1316</v>
      </c>
      <c r="D10190" s="7" t="n">
        <v>106</v>
      </c>
      <c r="E10190" s="7" t="n">
        <v>19387.49</v>
      </c>
      <c r="F10190" s="7" t="n">
        <v>0</v>
      </c>
      <c r="G10190" s="7" t="n">
        <v>0</v>
      </c>
    </row>
    <row r="10191" customFormat="false" ht="15" hidden="false" customHeight="false" outlineLevel="0" collapsed="false">
      <c r="A10191" s="7" t="s">
        <v>25</v>
      </c>
      <c r="B10191" s="7" t="s">
        <v>820</v>
      </c>
      <c r="C10191" s="7" t="s">
        <v>1316</v>
      </c>
      <c r="D10191" s="7" t="n">
        <v>0</v>
      </c>
      <c r="E10191" s="7" t="n">
        <v>0</v>
      </c>
      <c r="F10191" s="7" t="n">
        <v>41</v>
      </c>
      <c r="G10191" s="7" t="n">
        <v>6934.52</v>
      </c>
    </row>
    <row r="10192" customFormat="false" ht="15" hidden="false" customHeight="false" outlineLevel="0" collapsed="false">
      <c r="A10192" s="7" t="s">
        <v>25</v>
      </c>
      <c r="B10192" s="7" t="s">
        <v>820</v>
      </c>
      <c r="C10192" s="7" t="s">
        <v>1316</v>
      </c>
      <c r="D10192" s="7" t="n">
        <v>152</v>
      </c>
      <c r="E10192" s="7" t="n">
        <v>21656.27</v>
      </c>
      <c r="F10192" s="7" t="n">
        <v>0</v>
      </c>
      <c r="G10192" s="7" t="n">
        <v>0</v>
      </c>
    </row>
    <row r="10193" customFormat="false" ht="15" hidden="false" customHeight="false" outlineLevel="0" collapsed="false">
      <c r="A10193" s="7" t="s">
        <v>25</v>
      </c>
      <c r="B10193" s="7" t="s">
        <v>820</v>
      </c>
      <c r="C10193" s="7" t="s">
        <v>1316</v>
      </c>
      <c r="D10193" s="7" t="n">
        <v>0</v>
      </c>
      <c r="E10193" s="7" t="n">
        <v>0</v>
      </c>
      <c r="F10193" s="7" t="n">
        <v>50</v>
      </c>
      <c r="G10193" s="7" t="n">
        <v>7582.67</v>
      </c>
    </row>
    <row r="10194" customFormat="false" ht="15" hidden="false" customHeight="false" outlineLevel="0" collapsed="false">
      <c r="A10194" s="7" t="s">
        <v>25</v>
      </c>
      <c r="B10194" s="7" t="s">
        <v>820</v>
      </c>
      <c r="C10194" s="7" t="s">
        <v>1316</v>
      </c>
      <c r="D10194" s="7" t="n">
        <v>1</v>
      </c>
      <c r="E10194" s="7" t="n">
        <v>151.03</v>
      </c>
      <c r="F10194" s="7" t="n">
        <v>0</v>
      </c>
      <c r="G10194" s="7" t="n">
        <v>0</v>
      </c>
    </row>
    <row r="10195" customFormat="false" ht="15" hidden="false" customHeight="false" outlineLevel="0" collapsed="false">
      <c r="A10195" s="7" t="s">
        <v>25</v>
      </c>
      <c r="B10195" s="7" t="s">
        <v>820</v>
      </c>
      <c r="C10195" s="7" t="s">
        <v>1316</v>
      </c>
      <c r="D10195" s="7" t="n">
        <v>89</v>
      </c>
      <c r="E10195" s="7" t="n">
        <v>15720.33</v>
      </c>
      <c r="F10195" s="7" t="n">
        <v>0</v>
      </c>
      <c r="G10195" s="7" t="n">
        <v>0</v>
      </c>
    </row>
    <row r="10196" customFormat="false" ht="15" hidden="false" customHeight="false" outlineLevel="0" collapsed="false">
      <c r="A10196" s="7" t="s">
        <v>25</v>
      </c>
      <c r="B10196" s="7" t="s">
        <v>820</v>
      </c>
      <c r="C10196" s="7" t="s">
        <v>1316</v>
      </c>
      <c r="D10196" s="7" t="n">
        <v>0</v>
      </c>
      <c r="E10196" s="7" t="n">
        <v>0</v>
      </c>
      <c r="F10196" s="7" t="n">
        <v>48</v>
      </c>
      <c r="G10196" s="7" t="n">
        <v>8081.18</v>
      </c>
    </row>
    <row r="10197" customFormat="false" ht="15" hidden="false" customHeight="false" outlineLevel="0" collapsed="false">
      <c r="A10197" s="7" t="s">
        <v>25</v>
      </c>
      <c r="B10197" s="7" t="s">
        <v>820</v>
      </c>
      <c r="C10197" s="7" t="s">
        <v>1316</v>
      </c>
      <c r="D10197" s="7" t="n">
        <v>0</v>
      </c>
      <c r="E10197" s="7" t="n">
        <v>0</v>
      </c>
      <c r="F10197" s="7" t="n">
        <v>54</v>
      </c>
      <c r="G10197" s="7" t="n">
        <v>8249.18</v>
      </c>
    </row>
    <row r="10198" customFormat="false" ht="15" hidden="false" customHeight="false" outlineLevel="0" collapsed="false">
      <c r="A10198" s="7" t="s">
        <v>25</v>
      </c>
      <c r="B10198" s="7" t="s">
        <v>820</v>
      </c>
      <c r="C10198" s="7" t="s">
        <v>1316</v>
      </c>
      <c r="D10198" s="7" t="n">
        <v>85</v>
      </c>
      <c r="E10198" s="7" t="n">
        <v>16072.45</v>
      </c>
      <c r="F10198" s="7" t="n">
        <v>0</v>
      </c>
      <c r="G10198" s="7" t="n">
        <v>0</v>
      </c>
    </row>
    <row r="10199" customFormat="false" ht="15" hidden="false" customHeight="false" outlineLevel="0" collapsed="false">
      <c r="A10199" s="7" t="s">
        <v>25</v>
      </c>
      <c r="B10199" s="7" t="s">
        <v>820</v>
      </c>
      <c r="C10199" s="7" t="s">
        <v>1316</v>
      </c>
      <c r="D10199" s="7" t="n">
        <v>32</v>
      </c>
      <c r="E10199" s="7" t="n">
        <v>5390.14</v>
      </c>
      <c r="F10199" s="7" t="n">
        <v>0</v>
      </c>
      <c r="G10199" s="7" t="n">
        <v>0</v>
      </c>
    </row>
    <row r="10200" customFormat="false" ht="15" hidden="false" customHeight="false" outlineLevel="0" collapsed="false">
      <c r="A10200" s="7" t="s">
        <v>25</v>
      </c>
      <c r="B10200" s="7" t="s">
        <v>820</v>
      </c>
      <c r="C10200" s="7" t="s">
        <v>1316</v>
      </c>
      <c r="D10200" s="7" t="n">
        <v>1</v>
      </c>
      <c r="E10200" s="7" t="n">
        <v>156.87</v>
      </c>
      <c r="F10200" s="7" t="n">
        <v>0</v>
      </c>
      <c r="G10200" s="7" t="n">
        <v>0</v>
      </c>
    </row>
    <row r="10201" customFormat="false" ht="15" hidden="false" customHeight="false" outlineLevel="0" collapsed="false">
      <c r="A10201" s="7" t="s">
        <v>25</v>
      </c>
      <c r="B10201" s="7" t="s">
        <v>820</v>
      </c>
      <c r="C10201" s="7" t="s">
        <v>1316</v>
      </c>
      <c r="D10201" s="7" t="n">
        <v>0</v>
      </c>
      <c r="E10201" s="7" t="n">
        <v>0</v>
      </c>
      <c r="F10201" s="7" t="n">
        <v>51</v>
      </c>
      <c r="G10201" s="7" t="n">
        <v>8090.79</v>
      </c>
    </row>
    <row r="10202" customFormat="false" ht="15" hidden="false" customHeight="false" outlineLevel="0" collapsed="false">
      <c r="A10202" s="7" t="s">
        <v>25</v>
      </c>
      <c r="B10202" s="7" t="s">
        <v>820</v>
      </c>
      <c r="C10202" s="7" t="s">
        <v>1316</v>
      </c>
      <c r="D10202" s="7" t="n">
        <v>13</v>
      </c>
      <c r="E10202" s="7" t="n">
        <v>2454.34</v>
      </c>
      <c r="F10202" s="7" t="n">
        <v>0</v>
      </c>
      <c r="G10202" s="7" t="n">
        <v>0</v>
      </c>
    </row>
    <row r="10203" customFormat="false" ht="15" hidden="false" customHeight="false" outlineLevel="0" collapsed="false">
      <c r="A10203" s="7" t="s">
        <v>25</v>
      </c>
      <c r="B10203" s="7" t="s">
        <v>820</v>
      </c>
      <c r="C10203" s="7" t="s">
        <v>1316</v>
      </c>
      <c r="D10203" s="7" t="n">
        <v>108</v>
      </c>
      <c r="E10203" s="7" t="n">
        <v>18671.5</v>
      </c>
      <c r="F10203" s="7" t="n">
        <v>0</v>
      </c>
      <c r="G10203" s="7" t="n">
        <v>0</v>
      </c>
    </row>
    <row r="10204" customFormat="false" ht="15" hidden="false" customHeight="false" outlineLevel="0" collapsed="false">
      <c r="A10204" s="7" t="s">
        <v>25</v>
      </c>
      <c r="B10204" s="7" t="s">
        <v>820</v>
      </c>
      <c r="C10204" s="7" t="s">
        <v>1316</v>
      </c>
      <c r="D10204" s="7" t="n">
        <v>23</v>
      </c>
      <c r="E10204" s="7" t="n">
        <v>3752.58</v>
      </c>
      <c r="F10204" s="7" t="n">
        <v>0</v>
      </c>
      <c r="G10204" s="7" t="n">
        <v>0</v>
      </c>
    </row>
    <row r="10205" customFormat="false" ht="15" hidden="false" customHeight="false" outlineLevel="0" collapsed="false">
      <c r="A10205" s="7" t="s">
        <v>25</v>
      </c>
      <c r="B10205" s="7" t="s">
        <v>820</v>
      </c>
      <c r="C10205" s="7" t="s">
        <v>1316</v>
      </c>
      <c r="D10205" s="7" t="n">
        <v>0</v>
      </c>
      <c r="E10205" s="7" t="n">
        <v>0</v>
      </c>
      <c r="F10205" s="7" t="n">
        <v>41</v>
      </c>
      <c r="G10205" s="7" t="n">
        <v>6848.03</v>
      </c>
    </row>
    <row r="10206" customFormat="false" ht="15" hidden="false" customHeight="false" outlineLevel="0" collapsed="false">
      <c r="A10206" s="7" t="s">
        <v>25</v>
      </c>
      <c r="B10206" s="7" t="s">
        <v>820</v>
      </c>
      <c r="C10206" s="7" t="s">
        <v>1316</v>
      </c>
      <c r="D10206" s="7" t="n">
        <v>188</v>
      </c>
      <c r="E10206" s="7" t="n">
        <v>30562.37</v>
      </c>
      <c r="F10206" s="7" t="n">
        <v>0</v>
      </c>
      <c r="G10206" s="7" t="n">
        <v>0</v>
      </c>
    </row>
    <row r="10207" customFormat="false" ht="15" hidden="false" customHeight="false" outlineLevel="0" collapsed="false">
      <c r="A10207" s="7" t="s">
        <v>25</v>
      </c>
      <c r="B10207" s="7" t="s">
        <v>820</v>
      </c>
      <c r="C10207" s="7" t="s">
        <v>1316</v>
      </c>
      <c r="D10207" s="7" t="n">
        <v>38</v>
      </c>
      <c r="E10207" s="7" t="n">
        <v>6628.21</v>
      </c>
      <c r="F10207" s="7" t="n">
        <v>0</v>
      </c>
      <c r="G10207" s="7" t="n">
        <v>0</v>
      </c>
    </row>
    <row r="10208" customFormat="false" ht="15" hidden="false" customHeight="false" outlineLevel="0" collapsed="false">
      <c r="A10208" s="7" t="s">
        <v>25</v>
      </c>
      <c r="B10208" s="7" t="s">
        <v>820</v>
      </c>
      <c r="C10208" s="7" t="s">
        <v>1316</v>
      </c>
      <c r="D10208" s="7" t="n">
        <v>36</v>
      </c>
      <c r="E10208" s="7" t="n">
        <v>6518.3</v>
      </c>
      <c r="F10208" s="7" t="n">
        <v>0</v>
      </c>
      <c r="G10208" s="7" t="n">
        <v>0</v>
      </c>
    </row>
    <row r="10209" customFormat="false" ht="15" hidden="false" customHeight="false" outlineLevel="0" collapsed="false">
      <c r="A10209" s="7" t="s">
        <v>25</v>
      </c>
      <c r="B10209" s="7" t="s">
        <v>822</v>
      </c>
      <c r="C10209" s="7" t="s">
        <v>1316</v>
      </c>
      <c r="D10209" s="7" t="n">
        <v>0</v>
      </c>
      <c r="E10209" s="7" t="n">
        <v>0</v>
      </c>
      <c r="F10209" s="7" t="n">
        <v>24</v>
      </c>
      <c r="G10209" s="7" t="n">
        <v>4101.08</v>
      </c>
    </row>
    <row r="10210" customFormat="false" ht="15" hidden="false" customHeight="false" outlineLevel="0" collapsed="false">
      <c r="A10210" s="7" t="s">
        <v>25</v>
      </c>
      <c r="B10210" s="7" t="s">
        <v>822</v>
      </c>
      <c r="C10210" s="7" t="s">
        <v>1316</v>
      </c>
      <c r="D10210" s="7" t="n">
        <v>0</v>
      </c>
      <c r="E10210" s="7" t="n">
        <v>0</v>
      </c>
      <c r="F10210" s="7" t="n">
        <v>24</v>
      </c>
      <c r="G10210" s="7" t="n">
        <v>3804.87</v>
      </c>
    </row>
    <row r="10211" customFormat="false" ht="15" hidden="false" customHeight="false" outlineLevel="0" collapsed="false">
      <c r="A10211" s="7" t="s">
        <v>25</v>
      </c>
      <c r="B10211" s="7" t="s">
        <v>822</v>
      </c>
      <c r="C10211" s="7" t="s">
        <v>1316</v>
      </c>
      <c r="D10211" s="7" t="n">
        <v>42</v>
      </c>
      <c r="E10211" s="7" t="n">
        <v>7941.68</v>
      </c>
      <c r="F10211" s="7" t="n">
        <v>0</v>
      </c>
      <c r="G10211" s="7" t="n">
        <v>0</v>
      </c>
    </row>
    <row r="10212" customFormat="false" ht="15" hidden="false" customHeight="false" outlineLevel="0" collapsed="false">
      <c r="A10212" s="7" t="s">
        <v>25</v>
      </c>
      <c r="B10212" s="7" t="s">
        <v>822</v>
      </c>
      <c r="C10212" s="7" t="s">
        <v>1316</v>
      </c>
      <c r="D10212" s="7" t="n">
        <v>18</v>
      </c>
      <c r="E10212" s="7" t="n">
        <v>3138.42</v>
      </c>
      <c r="F10212" s="7" t="n">
        <v>0</v>
      </c>
      <c r="G10212" s="7" t="n">
        <v>0</v>
      </c>
    </row>
    <row r="10213" customFormat="false" ht="15" hidden="false" customHeight="false" outlineLevel="0" collapsed="false">
      <c r="A10213" s="7" t="s">
        <v>25</v>
      </c>
      <c r="B10213" s="7" t="s">
        <v>822</v>
      </c>
      <c r="C10213" s="7" t="s">
        <v>1316</v>
      </c>
      <c r="D10213" s="7" t="n">
        <v>49</v>
      </c>
      <c r="E10213" s="7" t="n">
        <v>8759.35</v>
      </c>
      <c r="F10213" s="7" t="n">
        <v>0</v>
      </c>
      <c r="G10213" s="7" t="n">
        <v>0</v>
      </c>
    </row>
    <row r="10214" customFormat="false" ht="15" hidden="false" customHeight="false" outlineLevel="0" collapsed="false">
      <c r="A10214" s="7" t="s">
        <v>25</v>
      </c>
      <c r="B10214" s="7" t="s">
        <v>822</v>
      </c>
      <c r="C10214" s="7" t="s">
        <v>1316</v>
      </c>
      <c r="D10214" s="7" t="n">
        <v>57</v>
      </c>
      <c r="E10214" s="7" t="n">
        <v>10638.71</v>
      </c>
      <c r="F10214" s="7" t="n">
        <v>0</v>
      </c>
      <c r="G10214" s="7" t="n">
        <v>0</v>
      </c>
    </row>
    <row r="10215" customFormat="false" ht="15" hidden="false" customHeight="false" outlineLevel="0" collapsed="false">
      <c r="A10215" s="7" t="s">
        <v>25</v>
      </c>
      <c r="B10215" s="7" t="s">
        <v>822</v>
      </c>
      <c r="C10215" s="7" t="s">
        <v>1316</v>
      </c>
      <c r="D10215" s="7" t="n">
        <v>0</v>
      </c>
      <c r="E10215" s="7" t="n">
        <v>0</v>
      </c>
      <c r="F10215" s="7" t="n">
        <v>17</v>
      </c>
      <c r="G10215" s="7" t="n">
        <v>2580.02</v>
      </c>
    </row>
    <row r="10216" customFormat="false" ht="15" hidden="false" customHeight="false" outlineLevel="0" collapsed="false">
      <c r="A10216" s="7" t="s">
        <v>25</v>
      </c>
      <c r="B10216" s="7" t="s">
        <v>822</v>
      </c>
      <c r="C10216" s="7" t="s">
        <v>1316</v>
      </c>
      <c r="D10216" s="7" t="n">
        <v>0</v>
      </c>
      <c r="E10216" s="7" t="n">
        <v>0</v>
      </c>
      <c r="F10216" s="7" t="n">
        <v>11</v>
      </c>
      <c r="G10216" s="7" t="n">
        <v>1774.54</v>
      </c>
    </row>
    <row r="10217" customFormat="false" ht="15" hidden="false" customHeight="false" outlineLevel="0" collapsed="false">
      <c r="A10217" s="7" t="s">
        <v>25</v>
      </c>
      <c r="B10217" s="7" t="s">
        <v>822</v>
      </c>
      <c r="C10217" s="7" t="s">
        <v>1316</v>
      </c>
      <c r="D10217" s="7" t="n">
        <v>18</v>
      </c>
      <c r="E10217" s="7" t="n">
        <v>2976.56</v>
      </c>
      <c r="F10217" s="7" t="n">
        <v>0</v>
      </c>
      <c r="G10217" s="7" t="n">
        <v>0</v>
      </c>
    </row>
    <row r="10218" customFormat="false" ht="15" hidden="false" customHeight="false" outlineLevel="0" collapsed="false">
      <c r="A10218" s="7" t="s">
        <v>25</v>
      </c>
      <c r="B10218" s="7" t="s">
        <v>822</v>
      </c>
      <c r="C10218" s="7" t="s">
        <v>1316</v>
      </c>
      <c r="D10218" s="7" t="n">
        <v>35</v>
      </c>
      <c r="E10218" s="7" t="n">
        <v>6802.67</v>
      </c>
      <c r="F10218" s="7" t="n">
        <v>0</v>
      </c>
      <c r="G10218" s="7" t="n">
        <v>0</v>
      </c>
    </row>
    <row r="10219" customFormat="false" ht="15" hidden="false" customHeight="false" outlineLevel="0" collapsed="false">
      <c r="A10219" s="7" t="s">
        <v>25</v>
      </c>
      <c r="B10219" s="7" t="s">
        <v>822</v>
      </c>
      <c r="C10219" s="7" t="s">
        <v>1316</v>
      </c>
      <c r="D10219" s="7" t="n">
        <v>17</v>
      </c>
      <c r="E10219" s="7" t="n">
        <v>2994.88</v>
      </c>
      <c r="F10219" s="7" t="n">
        <v>0</v>
      </c>
      <c r="G10219" s="7" t="n">
        <v>0</v>
      </c>
    </row>
    <row r="10220" customFormat="false" ht="15" hidden="false" customHeight="false" outlineLevel="0" collapsed="false">
      <c r="A10220" s="7" t="s">
        <v>25</v>
      </c>
      <c r="B10220" s="7" t="s">
        <v>822</v>
      </c>
      <c r="C10220" s="7" t="s">
        <v>1316</v>
      </c>
      <c r="D10220" s="7" t="n">
        <v>0</v>
      </c>
      <c r="E10220" s="7" t="n">
        <v>0</v>
      </c>
      <c r="F10220" s="7" t="n">
        <v>32</v>
      </c>
      <c r="G10220" s="7" t="n">
        <v>4694.76</v>
      </c>
    </row>
    <row r="10221" customFormat="false" ht="15" hidden="false" customHeight="false" outlineLevel="0" collapsed="false">
      <c r="A10221" s="7" t="s">
        <v>25</v>
      </c>
      <c r="B10221" s="7" t="s">
        <v>822</v>
      </c>
      <c r="C10221" s="7" t="s">
        <v>1316</v>
      </c>
      <c r="D10221" s="7" t="n">
        <v>0</v>
      </c>
      <c r="E10221" s="7" t="n">
        <v>0</v>
      </c>
      <c r="F10221" s="7" t="n">
        <v>17</v>
      </c>
      <c r="G10221" s="7" t="n">
        <v>2831.43</v>
      </c>
    </row>
    <row r="10222" customFormat="false" ht="15" hidden="false" customHeight="false" outlineLevel="0" collapsed="false">
      <c r="A10222" s="7" t="s">
        <v>25</v>
      </c>
      <c r="B10222" s="7" t="s">
        <v>822</v>
      </c>
      <c r="C10222" s="7" t="s">
        <v>1316</v>
      </c>
      <c r="D10222" s="7" t="n">
        <v>0</v>
      </c>
      <c r="E10222" s="7" t="n">
        <v>0</v>
      </c>
      <c r="F10222" s="7" t="n">
        <v>26</v>
      </c>
      <c r="G10222" s="7" t="n">
        <v>4379.39</v>
      </c>
    </row>
    <row r="10223" customFormat="false" ht="15" hidden="false" customHeight="false" outlineLevel="0" collapsed="false">
      <c r="A10223" s="7" t="s">
        <v>25</v>
      </c>
      <c r="B10223" s="7" t="s">
        <v>822</v>
      </c>
      <c r="C10223" s="7" t="s">
        <v>1316</v>
      </c>
      <c r="D10223" s="7" t="n">
        <v>13</v>
      </c>
      <c r="E10223" s="7" t="n">
        <v>2103.72</v>
      </c>
      <c r="F10223" s="7" t="n">
        <v>0</v>
      </c>
      <c r="G10223" s="7" t="n">
        <v>0</v>
      </c>
    </row>
    <row r="10224" customFormat="false" ht="15" hidden="false" customHeight="false" outlineLevel="0" collapsed="false">
      <c r="A10224" s="7" t="s">
        <v>25</v>
      </c>
      <c r="B10224" s="7" t="s">
        <v>822</v>
      </c>
      <c r="C10224" s="7" t="s">
        <v>1316</v>
      </c>
      <c r="D10224" s="7" t="n">
        <v>61</v>
      </c>
      <c r="E10224" s="7" t="n">
        <v>11888.52</v>
      </c>
      <c r="F10224" s="7" t="n">
        <v>0</v>
      </c>
      <c r="G10224" s="7" t="n">
        <v>0</v>
      </c>
    </row>
    <row r="10225" customFormat="false" ht="15" hidden="false" customHeight="false" outlineLevel="0" collapsed="false">
      <c r="A10225" s="7" t="s">
        <v>25</v>
      </c>
      <c r="B10225" s="7" t="s">
        <v>822</v>
      </c>
      <c r="C10225" s="7" t="s">
        <v>1316</v>
      </c>
      <c r="D10225" s="7" t="n">
        <v>54</v>
      </c>
      <c r="E10225" s="7" t="n">
        <v>9449.91</v>
      </c>
      <c r="F10225" s="7" t="n">
        <v>0</v>
      </c>
      <c r="G10225" s="7" t="n">
        <v>0</v>
      </c>
    </row>
    <row r="10226" customFormat="false" ht="15" hidden="false" customHeight="false" outlineLevel="0" collapsed="false">
      <c r="A10226" s="7" t="s">
        <v>25</v>
      </c>
      <c r="B10226" s="7" t="s">
        <v>822</v>
      </c>
      <c r="C10226" s="7" t="s">
        <v>1316</v>
      </c>
      <c r="D10226" s="7" t="n">
        <v>60</v>
      </c>
      <c r="E10226" s="7" t="n">
        <v>11597.93</v>
      </c>
      <c r="F10226" s="7" t="n">
        <v>0</v>
      </c>
      <c r="G10226" s="7" t="n">
        <v>0</v>
      </c>
    </row>
    <row r="10227" customFormat="false" ht="15" hidden="false" customHeight="false" outlineLevel="0" collapsed="false">
      <c r="A10227" s="7" t="s">
        <v>25</v>
      </c>
      <c r="B10227" s="7" t="s">
        <v>822</v>
      </c>
      <c r="C10227" s="7" t="s">
        <v>1316</v>
      </c>
      <c r="D10227" s="7" t="n">
        <v>0</v>
      </c>
      <c r="E10227" s="7" t="n">
        <v>0</v>
      </c>
      <c r="F10227" s="7" t="n">
        <v>38</v>
      </c>
      <c r="G10227" s="7" t="n">
        <v>6259.6</v>
      </c>
    </row>
    <row r="10228" customFormat="false" ht="15" hidden="false" customHeight="false" outlineLevel="0" collapsed="false">
      <c r="A10228" s="7" t="s">
        <v>25</v>
      </c>
      <c r="B10228" s="7" t="s">
        <v>822</v>
      </c>
      <c r="C10228" s="7" t="s">
        <v>1316</v>
      </c>
      <c r="D10228" s="7" t="n">
        <v>32</v>
      </c>
      <c r="E10228" s="7" t="n">
        <v>5950.98</v>
      </c>
      <c r="F10228" s="7" t="n">
        <v>0</v>
      </c>
      <c r="G10228" s="7" t="n">
        <v>0</v>
      </c>
    </row>
    <row r="10229" customFormat="false" ht="15" hidden="false" customHeight="false" outlineLevel="0" collapsed="false">
      <c r="A10229" s="7" t="s">
        <v>25</v>
      </c>
      <c r="B10229" s="7" t="s">
        <v>822</v>
      </c>
      <c r="C10229" s="7" t="s">
        <v>1316</v>
      </c>
      <c r="D10229" s="7" t="n">
        <v>46</v>
      </c>
      <c r="E10229" s="7" t="n">
        <v>8195.15</v>
      </c>
      <c r="F10229" s="7" t="n">
        <v>0</v>
      </c>
      <c r="G10229" s="7" t="n">
        <v>0</v>
      </c>
    </row>
    <row r="10230" customFormat="false" ht="15" hidden="false" customHeight="false" outlineLevel="0" collapsed="false">
      <c r="A10230" s="7" t="s">
        <v>25</v>
      </c>
      <c r="B10230" s="7" t="s">
        <v>842</v>
      </c>
      <c r="C10230" s="7" t="s">
        <v>1316</v>
      </c>
      <c r="D10230" s="7" t="n">
        <v>0</v>
      </c>
      <c r="E10230" s="7" t="n">
        <v>0</v>
      </c>
      <c r="F10230" s="7" t="n">
        <v>2</v>
      </c>
      <c r="G10230" s="7" t="n">
        <v>324.63</v>
      </c>
    </row>
    <row r="10231" customFormat="false" ht="15" hidden="false" customHeight="false" outlineLevel="0" collapsed="false">
      <c r="A10231" s="7" t="s">
        <v>25</v>
      </c>
      <c r="B10231" s="7" t="s">
        <v>842</v>
      </c>
      <c r="C10231" s="7" t="s">
        <v>1316</v>
      </c>
      <c r="D10231" s="7" t="n">
        <v>0</v>
      </c>
      <c r="E10231" s="7" t="n">
        <v>0</v>
      </c>
      <c r="F10231" s="7" t="n">
        <v>1</v>
      </c>
      <c r="G10231" s="7" t="n">
        <v>153.42</v>
      </c>
    </row>
    <row r="10232" customFormat="false" ht="15" hidden="false" customHeight="false" outlineLevel="0" collapsed="false">
      <c r="A10232" s="7" t="s">
        <v>25</v>
      </c>
      <c r="B10232" s="7" t="s">
        <v>842</v>
      </c>
      <c r="C10232" s="7" t="s">
        <v>1316</v>
      </c>
      <c r="D10232" s="7" t="n">
        <v>0</v>
      </c>
      <c r="E10232" s="7" t="n">
        <v>0</v>
      </c>
      <c r="F10232" s="7" t="n">
        <v>2</v>
      </c>
      <c r="G10232" s="7" t="n">
        <v>329.1</v>
      </c>
    </row>
    <row r="10233" customFormat="false" ht="15" hidden="false" customHeight="false" outlineLevel="0" collapsed="false">
      <c r="A10233" s="7" t="s">
        <v>25</v>
      </c>
      <c r="B10233" s="7" t="s">
        <v>842</v>
      </c>
      <c r="C10233" s="7" t="s">
        <v>1316</v>
      </c>
      <c r="D10233" s="7" t="n">
        <v>6</v>
      </c>
      <c r="E10233" s="7" t="n">
        <v>1003.64</v>
      </c>
      <c r="F10233" s="7" t="n">
        <v>0</v>
      </c>
      <c r="G10233" s="7" t="n">
        <v>0</v>
      </c>
    </row>
    <row r="10234" customFormat="false" ht="15" hidden="false" customHeight="false" outlineLevel="0" collapsed="false">
      <c r="A10234" s="7" t="s">
        <v>25</v>
      </c>
      <c r="B10234" s="7" t="s">
        <v>842</v>
      </c>
      <c r="C10234" s="7" t="s">
        <v>1316</v>
      </c>
      <c r="D10234" s="7" t="n">
        <v>1</v>
      </c>
      <c r="E10234" s="7" t="n">
        <v>151.71</v>
      </c>
      <c r="F10234" s="7" t="n">
        <v>0</v>
      </c>
      <c r="G10234" s="7" t="n">
        <v>0</v>
      </c>
    </row>
    <row r="10235" customFormat="false" ht="15" hidden="false" customHeight="false" outlineLevel="0" collapsed="false">
      <c r="A10235" s="7" t="s">
        <v>25</v>
      </c>
      <c r="B10235" s="7" t="s">
        <v>842</v>
      </c>
      <c r="C10235" s="7" t="s">
        <v>1316</v>
      </c>
      <c r="D10235" s="7" t="n">
        <v>12</v>
      </c>
      <c r="E10235" s="7" t="n">
        <v>1899.3</v>
      </c>
      <c r="F10235" s="7" t="n">
        <v>0</v>
      </c>
      <c r="G10235" s="7" t="n">
        <v>0</v>
      </c>
    </row>
    <row r="10236" customFormat="false" ht="15" hidden="false" customHeight="false" outlineLevel="0" collapsed="false">
      <c r="A10236" s="7" t="s">
        <v>25</v>
      </c>
      <c r="B10236" s="7" t="s">
        <v>842</v>
      </c>
      <c r="C10236" s="7" t="s">
        <v>1316</v>
      </c>
      <c r="D10236" s="7" t="n">
        <v>1</v>
      </c>
      <c r="E10236" s="7" t="n">
        <v>174.43</v>
      </c>
      <c r="F10236" s="7" t="n">
        <v>0</v>
      </c>
      <c r="G10236" s="7" t="n">
        <v>0</v>
      </c>
    </row>
    <row r="10237" customFormat="false" ht="15" hidden="false" customHeight="false" outlineLevel="0" collapsed="false">
      <c r="A10237" s="7" t="s">
        <v>25</v>
      </c>
      <c r="B10237" s="7" t="s">
        <v>842</v>
      </c>
      <c r="C10237" s="7" t="s">
        <v>1316</v>
      </c>
      <c r="D10237" s="7" t="n">
        <v>8</v>
      </c>
      <c r="E10237" s="7" t="n">
        <v>1274.13</v>
      </c>
      <c r="F10237" s="7" t="n">
        <v>0</v>
      </c>
      <c r="G10237" s="7" t="n">
        <v>0</v>
      </c>
    </row>
    <row r="10238" customFormat="false" ht="15" hidden="false" customHeight="false" outlineLevel="0" collapsed="false">
      <c r="A10238" s="7" t="s">
        <v>25</v>
      </c>
      <c r="B10238" s="7" t="s">
        <v>842</v>
      </c>
      <c r="C10238" s="7" t="s">
        <v>1316</v>
      </c>
      <c r="D10238" s="7" t="n">
        <v>5</v>
      </c>
      <c r="E10238" s="7" t="n">
        <v>829.24</v>
      </c>
      <c r="F10238" s="7" t="n">
        <v>0</v>
      </c>
      <c r="G10238" s="7" t="n">
        <v>0</v>
      </c>
    </row>
    <row r="10239" customFormat="false" ht="15" hidden="false" customHeight="false" outlineLevel="0" collapsed="false">
      <c r="A10239" s="7" t="s">
        <v>25</v>
      </c>
      <c r="B10239" s="7" t="s">
        <v>842</v>
      </c>
      <c r="C10239" s="7" t="s">
        <v>1316</v>
      </c>
      <c r="D10239" s="7" t="n">
        <v>0</v>
      </c>
      <c r="E10239" s="7" t="n">
        <v>0</v>
      </c>
      <c r="F10239" s="7" t="n">
        <v>1</v>
      </c>
      <c r="G10239" s="7" t="n">
        <v>146.14</v>
      </c>
    </row>
    <row r="10240" customFormat="false" ht="15" hidden="false" customHeight="false" outlineLevel="0" collapsed="false">
      <c r="A10240" s="7" t="s">
        <v>25</v>
      </c>
      <c r="B10240" s="7" t="s">
        <v>842</v>
      </c>
      <c r="C10240" s="7" t="s">
        <v>1316</v>
      </c>
      <c r="D10240" s="7" t="n">
        <v>2</v>
      </c>
      <c r="E10240" s="7" t="n">
        <v>346.46</v>
      </c>
      <c r="F10240" s="7" t="n">
        <v>0</v>
      </c>
      <c r="G10240" s="7" t="n">
        <v>0</v>
      </c>
    </row>
    <row r="10241" customFormat="false" ht="15" hidden="false" customHeight="false" outlineLevel="0" collapsed="false">
      <c r="A10241" s="7" t="s">
        <v>25</v>
      </c>
      <c r="B10241" s="7" t="s">
        <v>842</v>
      </c>
      <c r="C10241" s="7" t="s">
        <v>1316</v>
      </c>
      <c r="D10241" s="7" t="n">
        <v>6</v>
      </c>
      <c r="E10241" s="7" t="n">
        <v>981.77</v>
      </c>
      <c r="F10241" s="7" t="n">
        <v>0</v>
      </c>
      <c r="G10241" s="7" t="n">
        <v>0</v>
      </c>
    </row>
    <row r="10242" customFormat="false" ht="15" hidden="false" customHeight="false" outlineLevel="0" collapsed="false">
      <c r="A10242" s="7" t="s">
        <v>25</v>
      </c>
      <c r="B10242" s="7" t="s">
        <v>842</v>
      </c>
      <c r="C10242" s="7" t="s">
        <v>1316</v>
      </c>
      <c r="D10242" s="7" t="n">
        <v>1</v>
      </c>
      <c r="E10242" s="7" t="n">
        <v>175</v>
      </c>
      <c r="F10242" s="7" t="n">
        <v>0</v>
      </c>
      <c r="G10242" s="7" t="n">
        <v>0</v>
      </c>
    </row>
    <row r="10243" customFormat="false" ht="15" hidden="false" customHeight="false" outlineLevel="0" collapsed="false">
      <c r="A10243" s="7" t="s">
        <v>25</v>
      </c>
      <c r="B10243" s="7" t="s">
        <v>842</v>
      </c>
      <c r="C10243" s="7" t="s">
        <v>1316</v>
      </c>
      <c r="D10243" s="7" t="n">
        <v>5</v>
      </c>
      <c r="E10243" s="7" t="n">
        <v>687.52</v>
      </c>
      <c r="F10243" s="7" t="n">
        <v>0</v>
      </c>
      <c r="G10243" s="7" t="n">
        <v>0</v>
      </c>
    </row>
    <row r="10244" customFormat="false" ht="15" hidden="false" customHeight="false" outlineLevel="0" collapsed="false">
      <c r="A10244" s="7" t="s">
        <v>25</v>
      </c>
      <c r="B10244" s="7" t="s">
        <v>842</v>
      </c>
      <c r="C10244" s="7" t="s">
        <v>1316</v>
      </c>
      <c r="D10244" s="7" t="n">
        <v>1</v>
      </c>
      <c r="E10244" s="7" t="n">
        <v>169.64</v>
      </c>
      <c r="F10244" s="7" t="n">
        <v>0</v>
      </c>
      <c r="G10244" s="7" t="n">
        <v>0</v>
      </c>
    </row>
    <row r="10245" customFormat="false" ht="15" hidden="false" customHeight="false" outlineLevel="0" collapsed="false">
      <c r="A10245" s="7" t="s">
        <v>25</v>
      </c>
      <c r="B10245" s="7" t="s">
        <v>842</v>
      </c>
      <c r="C10245" s="7" t="s">
        <v>1316</v>
      </c>
      <c r="D10245" s="7" t="n">
        <v>6</v>
      </c>
      <c r="E10245" s="7" t="n">
        <v>857.98</v>
      </c>
      <c r="F10245" s="7" t="n">
        <v>0</v>
      </c>
      <c r="G10245" s="7" t="n">
        <v>0</v>
      </c>
    </row>
    <row r="10246" customFormat="false" ht="15" hidden="false" customHeight="false" outlineLevel="0" collapsed="false">
      <c r="A10246" s="7" t="s">
        <v>25</v>
      </c>
      <c r="B10246" s="7" t="s">
        <v>842</v>
      </c>
      <c r="C10246" s="7" t="s">
        <v>1316</v>
      </c>
      <c r="D10246" s="7" t="n">
        <v>0</v>
      </c>
      <c r="E10246" s="7" t="n">
        <v>0</v>
      </c>
      <c r="F10246" s="7" t="n">
        <v>1</v>
      </c>
      <c r="G10246" s="7" t="n">
        <v>151.85</v>
      </c>
    </row>
    <row r="10247" customFormat="false" ht="15" hidden="false" customHeight="false" outlineLevel="0" collapsed="false">
      <c r="A10247" s="7" t="s">
        <v>25</v>
      </c>
      <c r="B10247" s="7" t="s">
        <v>851</v>
      </c>
      <c r="C10247" s="7" t="s">
        <v>1316</v>
      </c>
      <c r="D10247" s="7" t="n">
        <v>3</v>
      </c>
      <c r="E10247" s="7" t="n">
        <v>579.9</v>
      </c>
      <c r="F10247" s="7" t="n">
        <v>0</v>
      </c>
      <c r="G10247" s="7" t="n">
        <v>0</v>
      </c>
    </row>
    <row r="10248" customFormat="false" ht="15" hidden="false" customHeight="false" outlineLevel="0" collapsed="false">
      <c r="A10248" s="7" t="s">
        <v>25</v>
      </c>
      <c r="B10248" s="7" t="s">
        <v>851</v>
      </c>
      <c r="C10248" s="7" t="s">
        <v>1316</v>
      </c>
      <c r="D10248" s="7" t="n">
        <v>2</v>
      </c>
      <c r="E10248" s="7" t="n">
        <v>373.29</v>
      </c>
      <c r="F10248" s="7" t="n">
        <v>0</v>
      </c>
      <c r="G10248" s="7" t="n">
        <v>0</v>
      </c>
    </row>
    <row r="10249" customFormat="false" ht="15" hidden="false" customHeight="false" outlineLevel="0" collapsed="false">
      <c r="A10249" s="7" t="s">
        <v>25</v>
      </c>
      <c r="B10249" s="7" t="s">
        <v>851</v>
      </c>
      <c r="C10249" s="7" t="s">
        <v>1316</v>
      </c>
      <c r="D10249" s="7" t="n">
        <v>1</v>
      </c>
      <c r="E10249" s="7" t="n">
        <v>181.8</v>
      </c>
      <c r="F10249" s="7" t="n">
        <v>0</v>
      </c>
      <c r="G10249" s="7" t="n">
        <v>0</v>
      </c>
    </row>
    <row r="10250" customFormat="false" ht="15" hidden="false" customHeight="false" outlineLevel="0" collapsed="false">
      <c r="A10250" s="7" t="s">
        <v>25</v>
      </c>
      <c r="B10250" s="7" t="s">
        <v>851</v>
      </c>
      <c r="C10250" s="7" t="s">
        <v>1316</v>
      </c>
      <c r="D10250" s="7" t="n">
        <v>1</v>
      </c>
      <c r="E10250" s="7" t="n">
        <v>171.88</v>
      </c>
      <c r="F10250" s="7" t="n">
        <v>0</v>
      </c>
      <c r="G10250" s="7" t="n">
        <v>0</v>
      </c>
    </row>
    <row r="10251" customFormat="false" ht="15" hidden="false" customHeight="false" outlineLevel="0" collapsed="false">
      <c r="A10251" s="7" t="s">
        <v>25</v>
      </c>
      <c r="B10251" s="7" t="s">
        <v>851</v>
      </c>
      <c r="C10251" s="7" t="s">
        <v>1316</v>
      </c>
      <c r="D10251" s="7" t="n">
        <v>3</v>
      </c>
      <c r="E10251" s="7" t="n">
        <v>557.9</v>
      </c>
      <c r="F10251" s="7" t="n">
        <v>0</v>
      </c>
      <c r="G10251" s="7" t="n">
        <v>0</v>
      </c>
    </row>
    <row r="10252" customFormat="false" ht="15" hidden="false" customHeight="false" outlineLevel="0" collapsed="false">
      <c r="A10252" s="7" t="s">
        <v>25</v>
      </c>
      <c r="B10252" s="7" t="s">
        <v>851</v>
      </c>
      <c r="C10252" s="7" t="s">
        <v>1316</v>
      </c>
      <c r="D10252" s="7" t="n">
        <v>1</v>
      </c>
      <c r="E10252" s="7" t="n">
        <v>175</v>
      </c>
      <c r="F10252" s="7" t="n">
        <v>0</v>
      </c>
      <c r="G10252" s="7" t="n">
        <v>0</v>
      </c>
    </row>
    <row r="10253" customFormat="false" ht="15" hidden="false" customHeight="false" outlineLevel="0" collapsed="false">
      <c r="A10253" s="7" t="s">
        <v>25</v>
      </c>
      <c r="B10253" s="7" t="s">
        <v>851</v>
      </c>
      <c r="C10253" s="7" t="s">
        <v>1316</v>
      </c>
      <c r="D10253" s="7" t="n">
        <v>4</v>
      </c>
      <c r="E10253" s="7" t="n">
        <v>756.35</v>
      </c>
      <c r="F10253" s="7" t="n">
        <v>0</v>
      </c>
      <c r="G10253" s="7" t="n">
        <v>0</v>
      </c>
    </row>
    <row r="10254" customFormat="false" ht="15" hidden="false" customHeight="false" outlineLevel="0" collapsed="false">
      <c r="A10254" s="7" t="s">
        <v>25</v>
      </c>
      <c r="B10254" s="7" t="s">
        <v>851</v>
      </c>
      <c r="C10254" s="7" t="s">
        <v>1316</v>
      </c>
      <c r="D10254" s="7" t="n">
        <v>5</v>
      </c>
      <c r="E10254" s="7" t="n">
        <v>914.5</v>
      </c>
      <c r="F10254" s="7" t="n">
        <v>0</v>
      </c>
      <c r="G10254" s="7" t="n">
        <v>0</v>
      </c>
    </row>
    <row r="10255" customFormat="false" ht="15" hidden="false" customHeight="false" outlineLevel="0" collapsed="false">
      <c r="A10255" s="7" t="s">
        <v>25</v>
      </c>
      <c r="B10255" s="7" t="s">
        <v>851</v>
      </c>
      <c r="C10255" s="7" t="s">
        <v>1316</v>
      </c>
      <c r="D10255" s="7" t="n">
        <v>1</v>
      </c>
      <c r="E10255" s="7" t="n">
        <v>174.43</v>
      </c>
      <c r="F10255" s="7" t="n">
        <v>0</v>
      </c>
      <c r="G10255" s="7" t="n">
        <v>0</v>
      </c>
    </row>
    <row r="10256" customFormat="false" ht="15" hidden="false" customHeight="false" outlineLevel="0" collapsed="false">
      <c r="A10256" s="7" t="s">
        <v>25</v>
      </c>
      <c r="B10256" s="7" t="s">
        <v>851</v>
      </c>
      <c r="C10256" s="7" t="s">
        <v>1316</v>
      </c>
      <c r="D10256" s="7" t="n">
        <v>1</v>
      </c>
      <c r="E10256" s="7" t="n">
        <v>175.09</v>
      </c>
      <c r="F10256" s="7" t="n">
        <v>0</v>
      </c>
      <c r="G10256" s="7" t="n">
        <v>0</v>
      </c>
    </row>
    <row r="10257" customFormat="false" ht="15" hidden="false" customHeight="false" outlineLevel="0" collapsed="false">
      <c r="A10257" s="7" t="s">
        <v>25</v>
      </c>
      <c r="B10257" s="7" t="s">
        <v>851</v>
      </c>
      <c r="C10257" s="7" t="s">
        <v>1316</v>
      </c>
      <c r="D10257" s="7" t="n">
        <v>1</v>
      </c>
      <c r="E10257" s="7" t="n">
        <v>173.23</v>
      </c>
      <c r="F10257" s="7" t="n">
        <v>0</v>
      </c>
      <c r="G10257" s="7" t="n">
        <v>0</v>
      </c>
    </row>
    <row r="10258" customFormat="false" ht="15" hidden="false" customHeight="false" outlineLevel="0" collapsed="false">
      <c r="A10258" s="7" t="s">
        <v>25</v>
      </c>
      <c r="B10258" s="7" t="s">
        <v>859</v>
      </c>
      <c r="C10258" s="7" t="s">
        <v>1253</v>
      </c>
      <c r="D10258" s="7" t="n">
        <v>0</v>
      </c>
      <c r="E10258" s="7" t="n">
        <v>0</v>
      </c>
      <c r="F10258" s="7" t="n">
        <v>7</v>
      </c>
      <c r="G10258" s="7" t="n">
        <v>1167.17</v>
      </c>
    </row>
    <row r="10259" customFormat="false" ht="15" hidden="false" customHeight="false" outlineLevel="0" collapsed="false">
      <c r="A10259" s="7" t="s">
        <v>25</v>
      </c>
      <c r="B10259" s="7" t="s">
        <v>859</v>
      </c>
      <c r="C10259" s="7" t="s">
        <v>1253</v>
      </c>
      <c r="D10259" s="7" t="n">
        <v>2</v>
      </c>
      <c r="E10259" s="7" t="n">
        <v>556.28</v>
      </c>
      <c r="F10259" s="7" t="n">
        <v>0</v>
      </c>
      <c r="G10259" s="7" t="n">
        <v>0</v>
      </c>
    </row>
    <row r="10260" customFormat="false" ht="15" hidden="false" customHeight="false" outlineLevel="0" collapsed="false">
      <c r="A10260" s="7" t="s">
        <v>25</v>
      </c>
      <c r="B10260" s="7" t="s">
        <v>859</v>
      </c>
      <c r="C10260" s="7" t="s">
        <v>1253</v>
      </c>
      <c r="D10260" s="7" t="n">
        <v>0</v>
      </c>
      <c r="E10260" s="7" t="n">
        <v>0</v>
      </c>
      <c r="F10260" s="7" t="n">
        <v>13</v>
      </c>
      <c r="G10260" s="7" t="n">
        <v>2079.47</v>
      </c>
    </row>
    <row r="10261" customFormat="false" ht="15" hidden="false" customHeight="false" outlineLevel="0" collapsed="false">
      <c r="A10261" s="7" t="s">
        <v>25</v>
      </c>
      <c r="B10261" s="7" t="s">
        <v>859</v>
      </c>
      <c r="C10261" s="7" t="s">
        <v>1253</v>
      </c>
      <c r="D10261" s="7" t="n">
        <v>0</v>
      </c>
      <c r="E10261" s="7" t="n">
        <v>0</v>
      </c>
      <c r="F10261" s="7" t="n">
        <v>8</v>
      </c>
      <c r="G10261" s="7" t="n">
        <v>1417.67</v>
      </c>
    </row>
    <row r="10262" customFormat="false" ht="15" hidden="false" customHeight="false" outlineLevel="0" collapsed="false">
      <c r="A10262" s="7" t="s">
        <v>25</v>
      </c>
      <c r="B10262" s="7" t="s">
        <v>859</v>
      </c>
      <c r="C10262" s="7" t="s">
        <v>1253</v>
      </c>
      <c r="D10262" s="7" t="n">
        <v>3</v>
      </c>
      <c r="E10262" s="7" t="n">
        <v>549.68</v>
      </c>
      <c r="F10262" s="7" t="n">
        <v>0</v>
      </c>
      <c r="G10262" s="7" t="n">
        <v>0</v>
      </c>
    </row>
    <row r="10263" customFormat="false" ht="15" hidden="false" customHeight="false" outlineLevel="0" collapsed="false">
      <c r="A10263" s="7" t="s">
        <v>25</v>
      </c>
      <c r="B10263" s="7" t="s">
        <v>859</v>
      </c>
      <c r="C10263" s="7" t="s">
        <v>1253</v>
      </c>
      <c r="D10263" s="7" t="n">
        <v>4</v>
      </c>
      <c r="E10263" s="7" t="n">
        <v>924.09</v>
      </c>
      <c r="F10263" s="7" t="n">
        <v>0</v>
      </c>
      <c r="G10263" s="7" t="n">
        <v>0</v>
      </c>
    </row>
    <row r="10264" customFormat="false" ht="15" hidden="false" customHeight="false" outlineLevel="0" collapsed="false">
      <c r="A10264" s="7" t="s">
        <v>25</v>
      </c>
      <c r="B10264" s="7" t="s">
        <v>859</v>
      </c>
      <c r="C10264" s="7" t="s">
        <v>1253</v>
      </c>
      <c r="D10264" s="7" t="n">
        <v>0</v>
      </c>
      <c r="E10264" s="7" t="n">
        <v>0</v>
      </c>
      <c r="F10264" s="7" t="n">
        <v>7</v>
      </c>
      <c r="G10264" s="7" t="n">
        <v>1198.13</v>
      </c>
    </row>
    <row r="10265" customFormat="false" ht="15" hidden="false" customHeight="false" outlineLevel="0" collapsed="false">
      <c r="A10265" s="7" t="s">
        <v>25</v>
      </c>
      <c r="B10265" s="7" t="s">
        <v>859</v>
      </c>
      <c r="C10265" s="7" t="s">
        <v>1253</v>
      </c>
      <c r="D10265" s="7" t="n">
        <v>9</v>
      </c>
      <c r="E10265" s="7" t="n">
        <v>1673.63</v>
      </c>
      <c r="F10265" s="7" t="n">
        <v>0</v>
      </c>
      <c r="G10265" s="7" t="n">
        <v>0</v>
      </c>
    </row>
    <row r="10266" customFormat="false" ht="15" hidden="false" customHeight="false" outlineLevel="0" collapsed="false">
      <c r="A10266" s="7" t="s">
        <v>25</v>
      </c>
      <c r="B10266" s="7" t="s">
        <v>859</v>
      </c>
      <c r="C10266" s="7" t="s">
        <v>1253</v>
      </c>
      <c r="D10266" s="7" t="n">
        <v>0</v>
      </c>
      <c r="E10266" s="7" t="n">
        <v>0</v>
      </c>
      <c r="F10266" s="7" t="n">
        <v>3</v>
      </c>
      <c r="G10266" s="7" t="n">
        <v>495.68</v>
      </c>
    </row>
    <row r="10267" customFormat="false" ht="15" hidden="false" customHeight="false" outlineLevel="0" collapsed="false">
      <c r="A10267" s="7" t="s">
        <v>25</v>
      </c>
      <c r="B10267" s="7" t="s">
        <v>859</v>
      </c>
      <c r="C10267" s="7" t="s">
        <v>1253</v>
      </c>
      <c r="D10267" s="7" t="n">
        <v>5</v>
      </c>
      <c r="E10267" s="7" t="n">
        <v>786.8</v>
      </c>
      <c r="F10267" s="7" t="n">
        <v>0</v>
      </c>
      <c r="G10267" s="7" t="n">
        <v>0</v>
      </c>
    </row>
    <row r="10268" customFormat="false" ht="15" hidden="false" customHeight="false" outlineLevel="0" collapsed="false">
      <c r="A10268" s="7" t="s">
        <v>25</v>
      </c>
      <c r="B10268" s="7" t="s">
        <v>859</v>
      </c>
      <c r="C10268" s="7" t="s">
        <v>1253</v>
      </c>
      <c r="D10268" s="7" t="n">
        <v>7</v>
      </c>
      <c r="E10268" s="7" t="n">
        <v>1399.99</v>
      </c>
      <c r="F10268" s="7" t="n">
        <v>0</v>
      </c>
      <c r="G10268" s="7" t="n">
        <v>0</v>
      </c>
    </row>
    <row r="10269" customFormat="false" ht="15" hidden="false" customHeight="false" outlineLevel="0" collapsed="false">
      <c r="A10269" s="7" t="s">
        <v>25</v>
      </c>
      <c r="B10269" s="7" t="s">
        <v>859</v>
      </c>
      <c r="C10269" s="7" t="s">
        <v>1253</v>
      </c>
      <c r="D10269" s="7" t="n">
        <v>4</v>
      </c>
      <c r="E10269" s="7" t="n">
        <v>789.66</v>
      </c>
      <c r="F10269" s="7" t="n">
        <v>0</v>
      </c>
      <c r="G10269" s="7" t="n">
        <v>0</v>
      </c>
    </row>
    <row r="10270" customFormat="false" ht="15" hidden="false" customHeight="false" outlineLevel="0" collapsed="false">
      <c r="A10270" s="7" t="s">
        <v>25</v>
      </c>
      <c r="B10270" s="7" t="s">
        <v>859</v>
      </c>
      <c r="C10270" s="7" t="s">
        <v>1253</v>
      </c>
      <c r="D10270" s="7" t="n">
        <v>4</v>
      </c>
      <c r="E10270" s="7" t="n">
        <v>740.39</v>
      </c>
      <c r="F10270" s="7" t="n">
        <v>0</v>
      </c>
      <c r="G10270" s="7" t="n">
        <v>0</v>
      </c>
    </row>
    <row r="10271" customFormat="false" ht="15" hidden="false" customHeight="false" outlineLevel="0" collapsed="false">
      <c r="A10271" s="7" t="s">
        <v>25</v>
      </c>
      <c r="B10271" s="7" t="s">
        <v>859</v>
      </c>
      <c r="C10271" s="7" t="s">
        <v>1253</v>
      </c>
      <c r="D10271" s="7" t="n">
        <v>0</v>
      </c>
      <c r="E10271" s="7" t="n">
        <v>0</v>
      </c>
      <c r="F10271" s="7" t="n">
        <v>8</v>
      </c>
      <c r="G10271" s="7" t="n">
        <v>1259.1</v>
      </c>
    </row>
    <row r="10272" customFormat="false" ht="15" hidden="false" customHeight="false" outlineLevel="0" collapsed="false">
      <c r="A10272" s="7" t="s">
        <v>25</v>
      </c>
      <c r="B10272" s="7" t="s">
        <v>859</v>
      </c>
      <c r="C10272" s="7" t="s">
        <v>1253</v>
      </c>
      <c r="D10272" s="7" t="n">
        <v>0</v>
      </c>
      <c r="E10272" s="7" t="n">
        <v>0</v>
      </c>
      <c r="F10272" s="7" t="n">
        <v>5</v>
      </c>
      <c r="G10272" s="7" t="n">
        <v>874</v>
      </c>
    </row>
    <row r="10273" customFormat="false" ht="15" hidden="false" customHeight="false" outlineLevel="0" collapsed="false">
      <c r="A10273" s="7" t="s">
        <v>25</v>
      </c>
      <c r="B10273" s="7" t="s">
        <v>859</v>
      </c>
      <c r="C10273" s="7" t="s">
        <v>1253</v>
      </c>
      <c r="D10273" s="7" t="n">
        <v>3</v>
      </c>
      <c r="E10273" s="7" t="n">
        <v>548.58</v>
      </c>
      <c r="F10273" s="7" t="n">
        <v>0</v>
      </c>
      <c r="G10273" s="7" t="n">
        <v>0</v>
      </c>
    </row>
    <row r="10274" customFormat="false" ht="15" hidden="false" customHeight="false" outlineLevel="0" collapsed="false">
      <c r="A10274" s="7" t="s">
        <v>25</v>
      </c>
      <c r="B10274" s="7" t="s">
        <v>859</v>
      </c>
      <c r="C10274" s="7" t="s">
        <v>1253</v>
      </c>
      <c r="D10274" s="7" t="n">
        <v>7</v>
      </c>
      <c r="E10274" s="7" t="n">
        <v>1318.86</v>
      </c>
      <c r="F10274" s="7" t="n">
        <v>0</v>
      </c>
      <c r="G10274" s="7" t="n">
        <v>0</v>
      </c>
    </row>
    <row r="10275" customFormat="false" ht="15" hidden="false" customHeight="false" outlineLevel="0" collapsed="false">
      <c r="A10275" s="7" t="s">
        <v>25</v>
      </c>
      <c r="B10275" s="7" t="s">
        <v>859</v>
      </c>
      <c r="C10275" s="7" t="s">
        <v>1253</v>
      </c>
      <c r="D10275" s="7" t="n">
        <v>0</v>
      </c>
      <c r="E10275" s="7" t="n">
        <v>0</v>
      </c>
      <c r="F10275" s="7" t="n">
        <v>7</v>
      </c>
      <c r="G10275" s="7" t="n">
        <v>1171.09</v>
      </c>
    </row>
    <row r="10276" customFormat="false" ht="15" hidden="false" customHeight="false" outlineLevel="0" collapsed="false">
      <c r="A10276" s="7" t="s">
        <v>25</v>
      </c>
      <c r="B10276" s="7" t="s">
        <v>859</v>
      </c>
      <c r="C10276" s="7" t="s">
        <v>1253</v>
      </c>
      <c r="D10276" s="7" t="n">
        <v>5</v>
      </c>
      <c r="E10276" s="7" t="n">
        <v>737.97</v>
      </c>
      <c r="F10276" s="7" t="n">
        <v>0</v>
      </c>
      <c r="G10276" s="7" t="n">
        <v>0</v>
      </c>
    </row>
    <row r="10277" customFormat="false" ht="15" hidden="false" customHeight="false" outlineLevel="0" collapsed="false">
      <c r="A10277" s="7" t="s">
        <v>25</v>
      </c>
      <c r="B10277" s="7" t="s">
        <v>859</v>
      </c>
      <c r="C10277" s="7" t="s">
        <v>1253</v>
      </c>
      <c r="D10277" s="7" t="n">
        <v>3</v>
      </c>
      <c r="E10277" s="7" t="n">
        <v>613.36</v>
      </c>
      <c r="F10277" s="7" t="n">
        <v>0</v>
      </c>
      <c r="G10277" s="7" t="n">
        <v>0</v>
      </c>
    </row>
    <row r="10278" customFormat="false" ht="15" hidden="false" customHeight="false" outlineLevel="0" collapsed="false">
      <c r="A10278" s="7" t="s">
        <v>25</v>
      </c>
      <c r="B10278" s="7" t="s">
        <v>859</v>
      </c>
      <c r="C10278" s="7" t="s">
        <v>1253</v>
      </c>
      <c r="D10278" s="7" t="n">
        <v>4</v>
      </c>
      <c r="E10278" s="7" t="n">
        <v>773.82</v>
      </c>
      <c r="F10278" s="7" t="n">
        <v>0</v>
      </c>
      <c r="G10278" s="7" t="n">
        <v>0</v>
      </c>
    </row>
    <row r="10279" customFormat="false" ht="15" hidden="false" customHeight="false" outlineLevel="0" collapsed="false">
      <c r="A10279" s="7" t="s">
        <v>25</v>
      </c>
      <c r="B10279" s="7" t="s">
        <v>858</v>
      </c>
      <c r="C10279" s="7" t="s">
        <v>1253</v>
      </c>
      <c r="D10279" s="7" t="n">
        <v>0</v>
      </c>
      <c r="E10279" s="7" t="n">
        <v>0</v>
      </c>
      <c r="F10279" s="7" t="n">
        <v>26</v>
      </c>
      <c r="G10279" s="7" t="n">
        <v>4544.82</v>
      </c>
    </row>
    <row r="10280" customFormat="false" ht="15" hidden="false" customHeight="false" outlineLevel="0" collapsed="false">
      <c r="A10280" s="7" t="s">
        <v>25</v>
      </c>
      <c r="B10280" s="7" t="s">
        <v>858</v>
      </c>
      <c r="C10280" s="7" t="s">
        <v>1253</v>
      </c>
      <c r="D10280" s="7" t="n">
        <v>0</v>
      </c>
      <c r="E10280" s="7" t="n">
        <v>0</v>
      </c>
      <c r="F10280" s="7" t="n">
        <v>33</v>
      </c>
      <c r="G10280" s="7" t="n">
        <v>5548.38</v>
      </c>
    </row>
    <row r="10281" customFormat="false" ht="15" hidden="false" customHeight="false" outlineLevel="0" collapsed="false">
      <c r="A10281" s="7" t="s">
        <v>25</v>
      </c>
      <c r="B10281" s="7" t="s">
        <v>858</v>
      </c>
      <c r="C10281" s="7" t="s">
        <v>1253</v>
      </c>
      <c r="D10281" s="7" t="n">
        <v>0</v>
      </c>
      <c r="E10281" s="7" t="n">
        <v>0</v>
      </c>
      <c r="F10281" s="7" t="n">
        <v>14</v>
      </c>
      <c r="G10281" s="7" t="n">
        <v>2390.15</v>
      </c>
    </row>
    <row r="10282" customFormat="false" ht="15" hidden="false" customHeight="false" outlineLevel="0" collapsed="false">
      <c r="A10282" s="7" t="s">
        <v>25</v>
      </c>
      <c r="B10282" s="7" t="s">
        <v>858</v>
      </c>
      <c r="C10282" s="7" t="s">
        <v>1253</v>
      </c>
      <c r="D10282" s="7" t="n">
        <v>2</v>
      </c>
      <c r="E10282" s="7" t="n">
        <v>371.92</v>
      </c>
      <c r="F10282" s="7" t="n">
        <v>0</v>
      </c>
      <c r="G10282" s="7" t="n">
        <v>0</v>
      </c>
    </row>
    <row r="10283" customFormat="false" ht="15" hidden="false" customHeight="false" outlineLevel="0" collapsed="false">
      <c r="A10283" s="7" t="s">
        <v>25</v>
      </c>
      <c r="B10283" s="7" t="s">
        <v>858</v>
      </c>
      <c r="C10283" s="7" t="s">
        <v>1253</v>
      </c>
      <c r="D10283" s="7" t="n">
        <v>0</v>
      </c>
      <c r="E10283" s="7" t="n">
        <v>0</v>
      </c>
      <c r="F10283" s="7" t="n">
        <v>12</v>
      </c>
      <c r="G10283" s="7" t="n">
        <v>2007.58</v>
      </c>
    </row>
    <row r="10284" customFormat="false" ht="15" hidden="false" customHeight="false" outlineLevel="0" collapsed="false">
      <c r="A10284" s="7" t="s">
        <v>25</v>
      </c>
      <c r="B10284" s="7" t="s">
        <v>858</v>
      </c>
      <c r="C10284" s="7" t="s">
        <v>1253</v>
      </c>
      <c r="D10284" s="7" t="n">
        <v>0</v>
      </c>
      <c r="E10284" s="7" t="n">
        <v>0</v>
      </c>
      <c r="F10284" s="7" t="n">
        <v>13</v>
      </c>
      <c r="G10284" s="7" t="n">
        <v>2131.42</v>
      </c>
    </row>
    <row r="10285" customFormat="false" ht="15" hidden="false" customHeight="false" outlineLevel="0" collapsed="false">
      <c r="A10285" s="7" t="s">
        <v>25</v>
      </c>
      <c r="B10285" s="7" t="s">
        <v>858</v>
      </c>
      <c r="C10285" s="7" t="s">
        <v>1253</v>
      </c>
      <c r="D10285" s="7" t="n">
        <v>9</v>
      </c>
      <c r="E10285" s="7" t="n">
        <v>1660.42</v>
      </c>
      <c r="F10285" s="7" t="n">
        <v>0</v>
      </c>
      <c r="G10285" s="7" t="n">
        <v>0</v>
      </c>
    </row>
    <row r="10286" customFormat="false" ht="15" hidden="false" customHeight="false" outlineLevel="0" collapsed="false">
      <c r="A10286" s="7" t="s">
        <v>25</v>
      </c>
      <c r="B10286" s="7" t="s">
        <v>858</v>
      </c>
      <c r="C10286" s="7" t="s">
        <v>1253</v>
      </c>
      <c r="D10286" s="7" t="n">
        <v>0</v>
      </c>
      <c r="E10286" s="7" t="n">
        <v>0</v>
      </c>
      <c r="F10286" s="7" t="n">
        <v>16</v>
      </c>
      <c r="G10286" s="7" t="n">
        <v>2509.75</v>
      </c>
    </row>
    <row r="10287" customFormat="false" ht="15" hidden="false" customHeight="false" outlineLevel="0" collapsed="false">
      <c r="A10287" s="7" t="s">
        <v>25</v>
      </c>
      <c r="B10287" s="7" t="s">
        <v>858</v>
      </c>
      <c r="C10287" s="7" t="s">
        <v>1253</v>
      </c>
      <c r="D10287" s="7" t="n">
        <v>0</v>
      </c>
      <c r="E10287" s="7" t="n">
        <v>0</v>
      </c>
      <c r="F10287" s="7" t="n">
        <v>16</v>
      </c>
      <c r="G10287" s="7" t="n">
        <v>2401.04</v>
      </c>
    </row>
    <row r="10288" customFormat="false" ht="15" hidden="false" customHeight="false" outlineLevel="0" collapsed="false">
      <c r="A10288" s="7" t="s">
        <v>25</v>
      </c>
      <c r="B10288" s="7" t="s">
        <v>858</v>
      </c>
      <c r="C10288" s="7" t="s">
        <v>1253</v>
      </c>
      <c r="D10288" s="7" t="n">
        <v>16</v>
      </c>
      <c r="E10288" s="7" t="n">
        <v>3095.28</v>
      </c>
      <c r="F10288" s="7" t="n">
        <v>0</v>
      </c>
      <c r="G10288" s="7" t="n">
        <v>0</v>
      </c>
    </row>
    <row r="10289" customFormat="false" ht="15" hidden="false" customHeight="false" outlineLevel="0" collapsed="false">
      <c r="A10289" s="7" t="s">
        <v>25</v>
      </c>
      <c r="B10289" s="7" t="s">
        <v>858</v>
      </c>
      <c r="C10289" s="7" t="s">
        <v>1253</v>
      </c>
      <c r="D10289" s="7" t="n">
        <v>16</v>
      </c>
      <c r="E10289" s="7" t="n">
        <v>3014.54</v>
      </c>
      <c r="F10289" s="7" t="n">
        <v>0</v>
      </c>
      <c r="G10289" s="7" t="n">
        <v>0</v>
      </c>
    </row>
    <row r="10290" customFormat="false" ht="15" hidden="false" customHeight="false" outlineLevel="0" collapsed="false">
      <c r="A10290" s="7" t="s">
        <v>25</v>
      </c>
      <c r="B10290" s="7" t="s">
        <v>858</v>
      </c>
      <c r="C10290" s="7" t="s">
        <v>1253</v>
      </c>
      <c r="D10290" s="7" t="n">
        <v>14</v>
      </c>
      <c r="E10290" s="7" t="n">
        <v>2378.16</v>
      </c>
      <c r="F10290" s="7" t="n">
        <v>0</v>
      </c>
      <c r="G10290" s="7" t="n">
        <v>0</v>
      </c>
    </row>
    <row r="10291" customFormat="false" ht="15" hidden="false" customHeight="false" outlineLevel="0" collapsed="false">
      <c r="A10291" s="7" t="s">
        <v>25</v>
      </c>
      <c r="B10291" s="7" t="s">
        <v>858</v>
      </c>
      <c r="C10291" s="7" t="s">
        <v>1253</v>
      </c>
      <c r="D10291" s="7" t="n">
        <v>8</v>
      </c>
      <c r="E10291" s="7" t="n">
        <v>1453.06</v>
      </c>
      <c r="F10291" s="7" t="n">
        <v>0</v>
      </c>
      <c r="G10291" s="7" t="n">
        <v>0</v>
      </c>
    </row>
    <row r="10292" customFormat="false" ht="15" hidden="false" customHeight="false" outlineLevel="0" collapsed="false">
      <c r="A10292" s="7" t="s">
        <v>25</v>
      </c>
      <c r="B10292" s="7" t="s">
        <v>858</v>
      </c>
      <c r="C10292" s="7" t="s">
        <v>1253</v>
      </c>
      <c r="D10292" s="7" t="n">
        <v>20</v>
      </c>
      <c r="E10292" s="7" t="n">
        <v>3701.93</v>
      </c>
      <c r="F10292" s="7" t="n">
        <v>0</v>
      </c>
      <c r="G10292" s="7" t="n">
        <v>0</v>
      </c>
    </row>
    <row r="10293" customFormat="false" ht="15" hidden="false" customHeight="false" outlineLevel="0" collapsed="false">
      <c r="A10293" s="7" t="s">
        <v>25</v>
      </c>
      <c r="B10293" s="7" t="s">
        <v>858</v>
      </c>
      <c r="C10293" s="7" t="s">
        <v>1253</v>
      </c>
      <c r="D10293" s="7" t="n">
        <v>14</v>
      </c>
      <c r="E10293" s="7" t="n">
        <v>2591.8</v>
      </c>
      <c r="F10293" s="7" t="n">
        <v>0</v>
      </c>
      <c r="G10293" s="7" t="n">
        <v>0</v>
      </c>
    </row>
    <row r="10294" customFormat="false" ht="15" hidden="false" customHeight="false" outlineLevel="0" collapsed="false">
      <c r="A10294" s="7" t="s">
        <v>25</v>
      </c>
      <c r="B10294" s="7" t="s">
        <v>858</v>
      </c>
      <c r="C10294" s="7" t="s">
        <v>1253</v>
      </c>
      <c r="D10294" s="7" t="n">
        <v>0</v>
      </c>
      <c r="E10294" s="7" t="n">
        <v>0</v>
      </c>
      <c r="F10294" s="7" t="n">
        <v>21</v>
      </c>
      <c r="G10294" s="7" t="n">
        <v>3721.38</v>
      </c>
    </row>
    <row r="10295" customFormat="false" ht="15" hidden="false" customHeight="false" outlineLevel="0" collapsed="false">
      <c r="A10295" s="7" t="s">
        <v>25</v>
      </c>
      <c r="B10295" s="7" t="s">
        <v>858</v>
      </c>
      <c r="C10295" s="7" t="s">
        <v>1253</v>
      </c>
      <c r="D10295" s="7" t="n">
        <v>1</v>
      </c>
      <c r="E10295" s="7" t="n">
        <v>181.8</v>
      </c>
      <c r="F10295" s="7" t="n">
        <v>0</v>
      </c>
      <c r="G10295" s="7" t="n">
        <v>0</v>
      </c>
    </row>
    <row r="10296" customFormat="false" ht="15" hidden="false" customHeight="false" outlineLevel="0" collapsed="false">
      <c r="A10296" s="7" t="s">
        <v>25</v>
      </c>
      <c r="B10296" s="7" t="s">
        <v>858</v>
      </c>
      <c r="C10296" s="7" t="s">
        <v>1253</v>
      </c>
      <c r="D10296" s="7" t="n">
        <v>8</v>
      </c>
      <c r="E10296" s="7" t="n">
        <v>1546.39</v>
      </c>
      <c r="F10296" s="7" t="n">
        <v>0</v>
      </c>
      <c r="G10296" s="7" t="n">
        <v>0</v>
      </c>
    </row>
    <row r="10297" customFormat="false" ht="15" hidden="false" customHeight="false" outlineLevel="0" collapsed="false">
      <c r="A10297" s="7" t="s">
        <v>25</v>
      </c>
      <c r="B10297" s="7" t="s">
        <v>858</v>
      </c>
      <c r="C10297" s="7" t="s">
        <v>1253</v>
      </c>
      <c r="D10297" s="7" t="n">
        <v>17</v>
      </c>
      <c r="E10297" s="7" t="n">
        <v>3141.92</v>
      </c>
      <c r="F10297" s="7" t="n">
        <v>0</v>
      </c>
      <c r="G10297" s="7" t="n">
        <v>0</v>
      </c>
    </row>
    <row r="10298" customFormat="false" ht="15" hidden="false" customHeight="false" outlineLevel="0" collapsed="false">
      <c r="A10298" s="7" t="s">
        <v>25</v>
      </c>
      <c r="B10298" s="7" t="s">
        <v>848</v>
      </c>
      <c r="C10298" s="7" t="s">
        <v>1253</v>
      </c>
      <c r="D10298" s="7" t="n">
        <v>2</v>
      </c>
      <c r="E10298" s="7" t="n">
        <v>394.83</v>
      </c>
      <c r="F10298" s="7" t="n">
        <v>0</v>
      </c>
      <c r="G10298" s="7" t="n">
        <v>0</v>
      </c>
    </row>
    <row r="10299" customFormat="false" ht="15" hidden="false" customHeight="false" outlineLevel="0" collapsed="false">
      <c r="A10299" s="7" t="s">
        <v>25</v>
      </c>
      <c r="B10299" s="7" t="s">
        <v>848</v>
      </c>
      <c r="C10299" s="7" t="s">
        <v>1253</v>
      </c>
      <c r="D10299" s="7" t="n">
        <v>1</v>
      </c>
      <c r="E10299" s="7" t="n">
        <v>204.45</v>
      </c>
      <c r="F10299" s="7" t="n">
        <v>0</v>
      </c>
      <c r="G10299" s="7" t="n">
        <v>0</v>
      </c>
    </row>
    <row r="10300" customFormat="false" ht="15" hidden="false" customHeight="false" outlineLevel="0" collapsed="false">
      <c r="A10300" s="7" t="s">
        <v>25</v>
      </c>
      <c r="B10300" s="7" t="s">
        <v>848</v>
      </c>
      <c r="C10300" s="7" t="s">
        <v>1253</v>
      </c>
      <c r="D10300" s="7" t="n">
        <v>0</v>
      </c>
      <c r="E10300" s="7" t="n">
        <v>0</v>
      </c>
      <c r="F10300" s="7" t="n">
        <v>12</v>
      </c>
      <c r="G10300" s="7" t="n">
        <v>2126.5</v>
      </c>
    </row>
    <row r="10301" customFormat="false" ht="15" hidden="false" customHeight="false" outlineLevel="0" collapsed="false">
      <c r="A10301" s="7" t="s">
        <v>25</v>
      </c>
      <c r="B10301" s="7" t="s">
        <v>848</v>
      </c>
      <c r="C10301" s="7" t="s">
        <v>1253</v>
      </c>
      <c r="D10301" s="7" t="n">
        <v>3</v>
      </c>
      <c r="E10301" s="7" t="n">
        <v>590.1</v>
      </c>
      <c r="F10301" s="7" t="n">
        <v>0</v>
      </c>
      <c r="G10301" s="7" t="n">
        <v>0</v>
      </c>
    </row>
    <row r="10302" customFormat="false" ht="15" hidden="false" customHeight="false" outlineLevel="0" collapsed="false">
      <c r="A10302" s="7" t="s">
        <v>25</v>
      </c>
      <c r="B10302" s="7" t="s">
        <v>848</v>
      </c>
      <c r="C10302" s="7" t="s">
        <v>1253</v>
      </c>
      <c r="D10302" s="7" t="n">
        <v>0</v>
      </c>
      <c r="E10302" s="7" t="n">
        <v>0</v>
      </c>
      <c r="F10302" s="7" t="n">
        <v>6</v>
      </c>
      <c r="G10302" s="7" t="n">
        <v>991.36</v>
      </c>
    </row>
    <row r="10303" customFormat="false" ht="15" hidden="false" customHeight="false" outlineLevel="0" collapsed="false">
      <c r="A10303" s="7" t="s">
        <v>25</v>
      </c>
      <c r="B10303" s="7" t="s">
        <v>848</v>
      </c>
      <c r="C10303" s="7" t="s">
        <v>1253</v>
      </c>
      <c r="D10303" s="7" t="n">
        <v>0</v>
      </c>
      <c r="E10303" s="7" t="n">
        <v>0</v>
      </c>
      <c r="F10303" s="7" t="n">
        <v>8</v>
      </c>
      <c r="G10303" s="7" t="n">
        <v>1338.38</v>
      </c>
    </row>
    <row r="10304" customFormat="false" ht="15" hidden="false" customHeight="false" outlineLevel="0" collapsed="false">
      <c r="A10304" s="7" t="s">
        <v>25</v>
      </c>
      <c r="B10304" s="7" t="s">
        <v>848</v>
      </c>
      <c r="C10304" s="7" t="s">
        <v>1253</v>
      </c>
      <c r="D10304" s="7" t="n">
        <v>0</v>
      </c>
      <c r="E10304" s="7" t="n">
        <v>0</v>
      </c>
      <c r="F10304" s="7" t="n">
        <v>7</v>
      </c>
      <c r="G10304" s="7" t="n">
        <v>1160.83</v>
      </c>
    </row>
    <row r="10305" customFormat="false" ht="15" hidden="false" customHeight="false" outlineLevel="0" collapsed="false">
      <c r="A10305" s="7" t="s">
        <v>25</v>
      </c>
      <c r="B10305" s="7" t="s">
        <v>848</v>
      </c>
      <c r="C10305" s="7" t="s">
        <v>1253</v>
      </c>
      <c r="D10305" s="7" t="n">
        <v>12</v>
      </c>
      <c r="E10305" s="7" t="n">
        <v>2231.5</v>
      </c>
      <c r="F10305" s="7" t="n">
        <v>0</v>
      </c>
      <c r="G10305" s="7" t="n">
        <v>0</v>
      </c>
    </row>
    <row r="10306" customFormat="false" ht="15" hidden="false" customHeight="false" outlineLevel="0" collapsed="false">
      <c r="A10306" s="7" t="s">
        <v>25</v>
      </c>
      <c r="B10306" s="7" t="s">
        <v>848</v>
      </c>
      <c r="C10306" s="7" t="s">
        <v>1253</v>
      </c>
      <c r="D10306" s="7" t="n">
        <v>0</v>
      </c>
      <c r="E10306" s="7" t="n">
        <v>0</v>
      </c>
      <c r="F10306" s="7" t="n">
        <v>15</v>
      </c>
      <c r="G10306" s="7" t="n">
        <v>2605.53</v>
      </c>
    </row>
    <row r="10307" customFormat="false" ht="15" hidden="false" customHeight="false" outlineLevel="0" collapsed="false">
      <c r="A10307" s="7" t="s">
        <v>25</v>
      </c>
      <c r="B10307" s="7" t="s">
        <v>848</v>
      </c>
      <c r="C10307" s="7" t="s">
        <v>1253</v>
      </c>
      <c r="D10307" s="7" t="n">
        <v>1</v>
      </c>
      <c r="E10307" s="7" t="n">
        <v>181.8</v>
      </c>
      <c r="F10307" s="7" t="n">
        <v>0</v>
      </c>
      <c r="G10307" s="7" t="n">
        <v>0</v>
      </c>
    </row>
    <row r="10308" customFormat="false" ht="15" hidden="false" customHeight="false" outlineLevel="0" collapsed="false">
      <c r="A10308" s="7" t="s">
        <v>25</v>
      </c>
      <c r="B10308" s="7" t="s">
        <v>848</v>
      </c>
      <c r="C10308" s="7" t="s">
        <v>1253</v>
      </c>
      <c r="D10308" s="7" t="n">
        <v>7</v>
      </c>
      <c r="E10308" s="7" t="n">
        <v>1318.86</v>
      </c>
      <c r="F10308" s="7" t="n">
        <v>0</v>
      </c>
      <c r="G10308" s="7" t="n">
        <v>0</v>
      </c>
    </row>
    <row r="10309" customFormat="false" ht="15" hidden="false" customHeight="false" outlineLevel="0" collapsed="false">
      <c r="A10309" s="7" t="s">
        <v>25</v>
      </c>
      <c r="B10309" s="7" t="s">
        <v>848</v>
      </c>
      <c r="C10309" s="7" t="s">
        <v>1253</v>
      </c>
      <c r="D10309" s="7" t="n">
        <v>1</v>
      </c>
      <c r="E10309" s="7" t="n">
        <v>193.45</v>
      </c>
      <c r="F10309" s="7" t="n">
        <v>0</v>
      </c>
      <c r="G10309" s="7" t="n">
        <v>0</v>
      </c>
    </row>
    <row r="10310" customFormat="false" ht="15" hidden="false" customHeight="false" outlineLevel="0" collapsed="false">
      <c r="A10310" s="7" t="s">
        <v>25</v>
      </c>
      <c r="B10310" s="7" t="s">
        <v>848</v>
      </c>
      <c r="C10310" s="7" t="s">
        <v>1253</v>
      </c>
      <c r="D10310" s="7" t="n">
        <v>0</v>
      </c>
      <c r="E10310" s="7" t="n">
        <v>0</v>
      </c>
      <c r="F10310" s="7" t="n">
        <v>13</v>
      </c>
      <c r="G10310" s="7" t="n">
        <v>2100.89</v>
      </c>
    </row>
    <row r="10311" customFormat="false" ht="15" hidden="false" customHeight="false" outlineLevel="0" collapsed="false">
      <c r="A10311" s="7" t="s">
        <v>25</v>
      </c>
      <c r="B10311" s="7" t="s">
        <v>848</v>
      </c>
      <c r="C10311" s="7" t="s">
        <v>1253</v>
      </c>
      <c r="D10311" s="7" t="n">
        <v>6</v>
      </c>
      <c r="E10311" s="7" t="n">
        <v>1099.36</v>
      </c>
      <c r="F10311" s="7" t="n">
        <v>0</v>
      </c>
      <c r="G10311" s="7" t="n">
        <v>0</v>
      </c>
    </row>
    <row r="10312" customFormat="false" ht="15" hidden="false" customHeight="false" outlineLevel="0" collapsed="false">
      <c r="A10312" s="7" t="s">
        <v>25</v>
      </c>
      <c r="B10312" s="7" t="s">
        <v>848</v>
      </c>
      <c r="C10312" s="7" t="s">
        <v>1253</v>
      </c>
      <c r="D10312" s="7" t="n">
        <v>0</v>
      </c>
      <c r="E10312" s="7" t="n">
        <v>0</v>
      </c>
      <c r="F10312" s="7" t="n">
        <v>6</v>
      </c>
      <c r="G10312" s="7" t="n">
        <v>941.52</v>
      </c>
    </row>
    <row r="10313" customFormat="false" ht="15" hidden="false" customHeight="false" outlineLevel="0" collapsed="false">
      <c r="A10313" s="7" t="s">
        <v>25</v>
      </c>
      <c r="B10313" s="7" t="s">
        <v>848</v>
      </c>
      <c r="C10313" s="7" t="s">
        <v>1253</v>
      </c>
      <c r="D10313" s="7" t="n">
        <v>0</v>
      </c>
      <c r="E10313" s="7" t="n">
        <v>0</v>
      </c>
      <c r="F10313" s="7" t="n">
        <v>17</v>
      </c>
      <c r="G10313" s="7" t="n">
        <v>2968.49</v>
      </c>
    </row>
    <row r="10314" customFormat="false" ht="15" hidden="false" customHeight="false" outlineLevel="0" collapsed="false">
      <c r="A10314" s="7" t="s">
        <v>25</v>
      </c>
      <c r="B10314" s="7" t="s">
        <v>848</v>
      </c>
      <c r="C10314" s="7" t="s">
        <v>1253</v>
      </c>
      <c r="D10314" s="7" t="n">
        <v>16</v>
      </c>
      <c r="E10314" s="7" t="n">
        <v>2957.1</v>
      </c>
      <c r="F10314" s="7" t="n">
        <v>0</v>
      </c>
      <c r="G10314" s="7" t="n">
        <v>0</v>
      </c>
    </row>
    <row r="10315" customFormat="false" ht="15" hidden="false" customHeight="false" outlineLevel="0" collapsed="false">
      <c r="A10315" s="7" t="s">
        <v>25</v>
      </c>
      <c r="B10315" s="7" t="s">
        <v>854</v>
      </c>
      <c r="C10315" s="7" t="s">
        <v>1253</v>
      </c>
      <c r="D10315" s="7" t="n">
        <v>0</v>
      </c>
      <c r="E10315" s="7" t="n">
        <v>0</v>
      </c>
      <c r="F10315" s="7" t="n">
        <v>2</v>
      </c>
      <c r="G10315" s="7" t="n">
        <v>354.42</v>
      </c>
    </row>
    <row r="10316" customFormat="false" ht="15" hidden="false" customHeight="false" outlineLevel="0" collapsed="false">
      <c r="A10316" s="7" t="s">
        <v>25</v>
      </c>
      <c r="B10316" s="7" t="s">
        <v>854</v>
      </c>
      <c r="C10316" s="7" t="s">
        <v>1253</v>
      </c>
      <c r="D10316" s="7" t="n">
        <v>0</v>
      </c>
      <c r="E10316" s="7" t="n">
        <v>0</v>
      </c>
      <c r="F10316" s="7" t="n">
        <v>2</v>
      </c>
      <c r="G10316" s="7" t="n">
        <v>349.6</v>
      </c>
    </row>
    <row r="10317" customFormat="false" ht="15" hidden="false" customHeight="false" outlineLevel="0" collapsed="false">
      <c r="A10317" s="7" t="s">
        <v>25</v>
      </c>
      <c r="B10317" s="7" t="s">
        <v>854</v>
      </c>
      <c r="C10317" s="7" t="s">
        <v>1253</v>
      </c>
      <c r="D10317" s="7" t="n">
        <v>1</v>
      </c>
      <c r="E10317" s="7" t="n">
        <v>178.61</v>
      </c>
      <c r="F10317" s="7" t="n">
        <v>0</v>
      </c>
      <c r="G10317" s="7" t="n">
        <v>0</v>
      </c>
    </row>
    <row r="10318" customFormat="false" ht="15" hidden="false" customHeight="false" outlineLevel="0" collapsed="false">
      <c r="A10318" s="7" t="s">
        <v>25</v>
      </c>
      <c r="B10318" s="7" t="s">
        <v>854</v>
      </c>
      <c r="C10318" s="7" t="s">
        <v>1253</v>
      </c>
      <c r="D10318" s="7" t="n">
        <v>1</v>
      </c>
      <c r="E10318" s="7" t="n">
        <v>184.82</v>
      </c>
      <c r="F10318" s="7" t="n">
        <v>0</v>
      </c>
      <c r="G10318" s="7" t="n">
        <v>0</v>
      </c>
    </row>
    <row r="10319" customFormat="false" ht="15" hidden="false" customHeight="false" outlineLevel="0" collapsed="false">
      <c r="A10319" s="7" t="s">
        <v>25</v>
      </c>
      <c r="B10319" s="7" t="s">
        <v>854</v>
      </c>
      <c r="C10319" s="7" t="s">
        <v>1253</v>
      </c>
      <c r="D10319" s="7" t="n">
        <v>0</v>
      </c>
      <c r="E10319" s="7" t="n">
        <v>0</v>
      </c>
      <c r="F10319" s="7" t="n">
        <v>5</v>
      </c>
      <c r="G10319" s="7" t="n">
        <v>866.45</v>
      </c>
    </row>
    <row r="10320" customFormat="false" ht="15" hidden="false" customHeight="false" outlineLevel="0" collapsed="false">
      <c r="A10320" s="7" t="s">
        <v>25</v>
      </c>
      <c r="B10320" s="7" t="s">
        <v>854</v>
      </c>
      <c r="C10320" s="7" t="s">
        <v>1253</v>
      </c>
      <c r="D10320" s="7" t="n">
        <v>0</v>
      </c>
      <c r="E10320" s="7" t="n">
        <v>0</v>
      </c>
      <c r="F10320" s="7" t="n">
        <v>1</v>
      </c>
      <c r="G10320" s="7" t="n">
        <v>167.3</v>
      </c>
    </row>
    <row r="10321" customFormat="false" ht="15" hidden="false" customHeight="false" outlineLevel="0" collapsed="false">
      <c r="A10321" s="7" t="s">
        <v>25</v>
      </c>
      <c r="B10321" s="7" t="s">
        <v>854</v>
      </c>
      <c r="C10321" s="7" t="s">
        <v>1253</v>
      </c>
      <c r="D10321" s="7" t="n">
        <v>0</v>
      </c>
      <c r="E10321" s="7" t="n">
        <v>0</v>
      </c>
      <c r="F10321" s="7" t="n">
        <v>3</v>
      </c>
      <c r="G10321" s="7" t="n">
        <v>495.68</v>
      </c>
    </row>
    <row r="10322" customFormat="false" ht="15" hidden="false" customHeight="false" outlineLevel="0" collapsed="false">
      <c r="A10322" s="7" t="s">
        <v>25</v>
      </c>
      <c r="B10322" s="7" t="s">
        <v>854</v>
      </c>
      <c r="C10322" s="7" t="s">
        <v>1253</v>
      </c>
      <c r="D10322" s="7" t="n">
        <v>0</v>
      </c>
      <c r="E10322" s="7" t="n">
        <v>0</v>
      </c>
      <c r="F10322" s="7" t="n">
        <v>2</v>
      </c>
      <c r="G10322" s="7" t="n">
        <v>314.78</v>
      </c>
    </row>
    <row r="10323" customFormat="false" ht="15" hidden="false" customHeight="false" outlineLevel="0" collapsed="false">
      <c r="A10323" s="7" t="s">
        <v>25</v>
      </c>
      <c r="B10323" s="7" t="s">
        <v>854</v>
      </c>
      <c r="C10323" s="7" t="s">
        <v>1253</v>
      </c>
      <c r="D10323" s="7" t="n">
        <v>0</v>
      </c>
      <c r="E10323" s="7" t="n">
        <v>0</v>
      </c>
      <c r="F10323" s="7" t="n">
        <v>5</v>
      </c>
      <c r="G10323" s="7" t="n">
        <v>833.69</v>
      </c>
    </row>
    <row r="10324" customFormat="false" ht="15" hidden="false" customHeight="false" outlineLevel="0" collapsed="false">
      <c r="A10324" s="7" t="s">
        <v>25</v>
      </c>
      <c r="B10324" s="7" t="s">
        <v>854</v>
      </c>
      <c r="C10324" s="7" t="s">
        <v>1253</v>
      </c>
      <c r="D10324" s="7" t="n">
        <v>1</v>
      </c>
      <c r="E10324" s="7" t="n">
        <v>185.1</v>
      </c>
      <c r="F10324" s="7" t="n">
        <v>0</v>
      </c>
      <c r="G10324" s="7" t="n">
        <v>0</v>
      </c>
    </row>
    <row r="10325" customFormat="false" ht="15" hidden="false" customHeight="false" outlineLevel="0" collapsed="false">
      <c r="A10325" s="7" t="s">
        <v>25</v>
      </c>
      <c r="B10325" s="7" t="s">
        <v>854</v>
      </c>
      <c r="C10325" s="7" t="s">
        <v>1253</v>
      </c>
      <c r="D10325" s="7" t="n">
        <v>2</v>
      </c>
      <c r="E10325" s="7" t="n">
        <v>366.45</v>
      </c>
      <c r="F10325" s="7" t="n">
        <v>0</v>
      </c>
      <c r="G10325" s="7" t="n">
        <v>0</v>
      </c>
    </row>
    <row r="10326" customFormat="false" ht="15" hidden="false" customHeight="false" outlineLevel="0" collapsed="false">
      <c r="A10326" s="7" t="s">
        <v>25</v>
      </c>
      <c r="B10326" s="7" t="s">
        <v>854</v>
      </c>
      <c r="C10326" s="7" t="s">
        <v>1253</v>
      </c>
      <c r="D10326" s="7" t="n">
        <v>1</v>
      </c>
      <c r="E10326" s="7" t="n">
        <v>188.41</v>
      </c>
      <c r="F10326" s="7" t="n">
        <v>0</v>
      </c>
      <c r="G10326" s="7" t="n">
        <v>0</v>
      </c>
    </row>
    <row r="10327" customFormat="false" ht="15" hidden="false" customHeight="false" outlineLevel="0" collapsed="false">
      <c r="A10327" s="7" t="s">
        <v>25</v>
      </c>
      <c r="B10327" s="7" t="s">
        <v>854</v>
      </c>
      <c r="C10327" s="7" t="s">
        <v>1253</v>
      </c>
      <c r="D10327" s="7" t="n">
        <v>1</v>
      </c>
      <c r="E10327" s="7" t="n">
        <v>185.96</v>
      </c>
      <c r="F10327" s="7" t="n">
        <v>0</v>
      </c>
      <c r="G10327" s="7" t="n">
        <v>0</v>
      </c>
    </row>
    <row r="10328" customFormat="false" ht="15" hidden="false" customHeight="false" outlineLevel="0" collapsed="false">
      <c r="A10328" s="7" t="s">
        <v>25</v>
      </c>
      <c r="B10328" s="7" t="s">
        <v>854</v>
      </c>
      <c r="C10328" s="7" t="s">
        <v>1253</v>
      </c>
      <c r="D10328" s="7" t="n">
        <v>0</v>
      </c>
      <c r="E10328" s="7" t="n">
        <v>0</v>
      </c>
      <c r="F10328" s="7" t="n">
        <v>2</v>
      </c>
      <c r="G10328" s="7" t="n">
        <v>342.32</v>
      </c>
    </row>
    <row r="10329" customFormat="false" ht="15" hidden="false" customHeight="false" outlineLevel="0" collapsed="false">
      <c r="A10329" s="7" t="s">
        <v>25</v>
      </c>
      <c r="B10329" s="7" t="s">
        <v>866</v>
      </c>
      <c r="C10329" s="7" t="s">
        <v>1253</v>
      </c>
      <c r="D10329" s="7" t="n">
        <v>3</v>
      </c>
      <c r="E10329" s="7" t="n">
        <v>535.47</v>
      </c>
      <c r="F10329" s="7" t="n">
        <v>0</v>
      </c>
      <c r="G10329" s="7" t="n">
        <v>0</v>
      </c>
    </row>
    <row r="10330" customFormat="false" ht="15" hidden="false" customHeight="false" outlineLevel="0" collapsed="false">
      <c r="A10330" s="7" t="s">
        <v>25</v>
      </c>
      <c r="B10330" s="7" t="s">
        <v>866</v>
      </c>
      <c r="C10330" s="7" t="s">
        <v>1253</v>
      </c>
      <c r="D10330" s="7" t="n">
        <v>0</v>
      </c>
      <c r="E10330" s="7" t="n">
        <v>0</v>
      </c>
      <c r="F10330" s="7" t="n">
        <v>2</v>
      </c>
      <c r="G10330" s="7" t="n">
        <v>346.58</v>
      </c>
    </row>
    <row r="10331" customFormat="false" ht="15" hidden="false" customHeight="false" outlineLevel="0" collapsed="false">
      <c r="A10331" s="7" t="s">
        <v>25</v>
      </c>
      <c r="B10331" s="7" t="s">
        <v>866</v>
      </c>
      <c r="C10331" s="7" t="s">
        <v>1253</v>
      </c>
      <c r="D10331" s="7" t="n">
        <v>1</v>
      </c>
      <c r="E10331" s="7" t="n">
        <v>183.23</v>
      </c>
      <c r="F10331" s="7" t="n">
        <v>0</v>
      </c>
      <c r="G10331" s="7" t="n">
        <v>0</v>
      </c>
    </row>
    <row r="10332" customFormat="false" ht="15" hidden="false" customHeight="false" outlineLevel="0" collapsed="false">
      <c r="A10332" s="7" t="s">
        <v>25</v>
      </c>
      <c r="B10332" s="7" t="s">
        <v>866</v>
      </c>
      <c r="C10332" s="7" t="s">
        <v>1253</v>
      </c>
      <c r="D10332" s="7" t="n">
        <v>0</v>
      </c>
      <c r="E10332" s="7" t="n">
        <v>0</v>
      </c>
      <c r="F10332" s="7" t="n">
        <v>2</v>
      </c>
      <c r="G10332" s="7" t="n">
        <v>331.61</v>
      </c>
    </row>
    <row r="10333" customFormat="false" ht="15" hidden="false" customHeight="false" outlineLevel="0" collapsed="false">
      <c r="A10333" s="7" t="s">
        <v>25</v>
      </c>
      <c r="B10333" s="7" t="s">
        <v>866</v>
      </c>
      <c r="C10333" s="7" t="s">
        <v>1253</v>
      </c>
      <c r="D10333" s="7" t="n">
        <v>0</v>
      </c>
      <c r="E10333" s="7" t="n">
        <v>0</v>
      </c>
      <c r="F10333" s="7" t="n">
        <v>1</v>
      </c>
      <c r="G10333" s="7" t="n">
        <v>174.8</v>
      </c>
    </row>
    <row r="10334" customFormat="false" ht="15" hidden="false" customHeight="false" outlineLevel="0" collapsed="false">
      <c r="A10334" s="7" t="s">
        <v>25</v>
      </c>
      <c r="B10334" s="7" t="s">
        <v>866</v>
      </c>
      <c r="C10334" s="7" t="s">
        <v>1253</v>
      </c>
      <c r="D10334" s="7" t="n">
        <v>0</v>
      </c>
      <c r="E10334" s="7" t="n">
        <v>0</v>
      </c>
      <c r="F10334" s="7" t="n">
        <v>1</v>
      </c>
      <c r="G10334" s="7" t="n">
        <v>166.74</v>
      </c>
    </row>
    <row r="10335" customFormat="false" ht="15" hidden="false" customHeight="false" outlineLevel="0" collapsed="false">
      <c r="A10335" s="7" t="s">
        <v>25</v>
      </c>
      <c r="B10335" s="7" t="s">
        <v>866</v>
      </c>
      <c r="C10335" s="7" t="s">
        <v>1253</v>
      </c>
      <c r="D10335" s="7" t="n">
        <v>1</v>
      </c>
      <c r="E10335" s="7" t="n">
        <v>184.49</v>
      </c>
      <c r="F10335" s="7" t="n">
        <v>0</v>
      </c>
      <c r="G10335" s="7" t="n">
        <v>0</v>
      </c>
    </row>
    <row r="10336" customFormat="false" ht="15" hidden="false" customHeight="false" outlineLevel="0" collapsed="false">
      <c r="A10336" s="7" t="s">
        <v>25</v>
      </c>
      <c r="B10336" s="7" t="s">
        <v>866</v>
      </c>
      <c r="C10336" s="7" t="s">
        <v>1253</v>
      </c>
      <c r="D10336" s="7" t="n">
        <v>1</v>
      </c>
      <c r="E10336" s="7" t="n">
        <v>175.42</v>
      </c>
      <c r="F10336" s="7" t="n">
        <v>0</v>
      </c>
      <c r="G10336" s="7" t="n">
        <v>0</v>
      </c>
    </row>
    <row r="10337" customFormat="false" ht="15" hidden="false" customHeight="false" outlineLevel="0" collapsed="false">
      <c r="A10337" s="7" t="s">
        <v>25</v>
      </c>
      <c r="B10337" s="7" t="s">
        <v>866</v>
      </c>
      <c r="C10337" s="7" t="s">
        <v>1253</v>
      </c>
      <c r="D10337" s="7" t="n">
        <v>0</v>
      </c>
      <c r="E10337" s="7" t="n">
        <v>0</v>
      </c>
      <c r="F10337" s="7" t="n">
        <v>4</v>
      </c>
      <c r="G10337" s="7" t="n">
        <v>626.74</v>
      </c>
    </row>
    <row r="10338" customFormat="false" ht="15" hidden="false" customHeight="false" outlineLevel="0" collapsed="false">
      <c r="A10338" s="7" t="s">
        <v>25</v>
      </c>
      <c r="B10338" s="7" t="s">
        <v>866</v>
      </c>
      <c r="C10338" s="7" t="s">
        <v>1253</v>
      </c>
      <c r="D10338" s="7" t="n">
        <v>0</v>
      </c>
      <c r="E10338" s="7" t="n">
        <v>0</v>
      </c>
      <c r="F10338" s="7" t="n">
        <v>2</v>
      </c>
      <c r="G10338" s="7" t="n">
        <v>354.42</v>
      </c>
    </row>
    <row r="10339" customFormat="false" ht="15" hidden="false" customHeight="false" outlineLevel="0" collapsed="false">
      <c r="A10339" s="7" t="s">
        <v>25</v>
      </c>
      <c r="B10339" s="7" t="s">
        <v>866</v>
      </c>
      <c r="C10339" s="7" t="s">
        <v>1253</v>
      </c>
      <c r="D10339" s="7" t="n">
        <v>0</v>
      </c>
      <c r="E10339" s="7" t="n">
        <v>0</v>
      </c>
      <c r="F10339" s="7" t="n">
        <v>1</v>
      </c>
      <c r="G10339" s="7" t="n">
        <v>165.23</v>
      </c>
    </row>
    <row r="10340" customFormat="false" ht="15" hidden="false" customHeight="false" outlineLevel="0" collapsed="false">
      <c r="A10340" s="7" t="s">
        <v>25</v>
      </c>
      <c r="B10340" s="7" t="s">
        <v>866</v>
      </c>
      <c r="C10340" s="7" t="s">
        <v>1253</v>
      </c>
      <c r="D10340" s="7" t="n">
        <v>0</v>
      </c>
      <c r="E10340" s="7" t="n">
        <v>0</v>
      </c>
      <c r="F10340" s="7" t="n">
        <v>4</v>
      </c>
      <c r="G10340" s="7" t="n">
        <v>684.65</v>
      </c>
    </row>
    <row r="10341" customFormat="false" ht="15" hidden="false" customHeight="false" outlineLevel="0" collapsed="false">
      <c r="A10341" s="7" t="s">
        <v>25</v>
      </c>
      <c r="B10341" s="7" t="s">
        <v>866</v>
      </c>
      <c r="C10341" s="7" t="s">
        <v>1253</v>
      </c>
      <c r="D10341" s="7" t="n">
        <v>3</v>
      </c>
      <c r="E10341" s="7" t="n">
        <v>555.29</v>
      </c>
      <c r="F10341" s="7" t="n">
        <v>0</v>
      </c>
      <c r="G10341" s="7" t="n">
        <v>0</v>
      </c>
    </row>
    <row r="10342" customFormat="false" ht="15" hidden="false" customHeight="false" outlineLevel="0" collapsed="false">
      <c r="A10342" s="7" t="s">
        <v>25</v>
      </c>
      <c r="B10342" s="7" t="s">
        <v>866</v>
      </c>
      <c r="C10342" s="7" t="s">
        <v>1253</v>
      </c>
      <c r="D10342" s="7" t="n">
        <v>2</v>
      </c>
      <c r="E10342" s="7" t="n">
        <v>350.18</v>
      </c>
      <c r="F10342" s="7" t="n">
        <v>0</v>
      </c>
      <c r="G10342" s="7" t="n">
        <v>0</v>
      </c>
    </row>
    <row r="10343" customFormat="false" ht="15" hidden="false" customHeight="false" outlineLevel="0" collapsed="false">
      <c r="A10343" s="7" t="s">
        <v>25</v>
      </c>
      <c r="B10343" s="7" t="s">
        <v>850</v>
      </c>
      <c r="C10343" s="7" t="s">
        <v>1253</v>
      </c>
      <c r="D10343" s="7" t="n">
        <v>17</v>
      </c>
      <c r="E10343" s="7" t="n">
        <v>2994.88</v>
      </c>
      <c r="F10343" s="7" t="n">
        <v>0</v>
      </c>
      <c r="G10343" s="7" t="n">
        <v>0</v>
      </c>
    </row>
    <row r="10344" customFormat="false" ht="15" hidden="false" customHeight="false" outlineLevel="0" collapsed="false">
      <c r="A10344" s="7" t="s">
        <v>25</v>
      </c>
      <c r="B10344" s="7" t="s">
        <v>850</v>
      </c>
      <c r="C10344" s="7" t="s">
        <v>1253</v>
      </c>
      <c r="D10344" s="7" t="n">
        <v>0</v>
      </c>
      <c r="E10344" s="7" t="n">
        <v>0</v>
      </c>
      <c r="F10344" s="7" t="n">
        <v>16</v>
      </c>
      <c r="G10344" s="7" t="n">
        <v>2581.15</v>
      </c>
    </row>
    <row r="10345" customFormat="false" ht="15" hidden="false" customHeight="false" outlineLevel="0" collapsed="false">
      <c r="A10345" s="7" t="s">
        <v>25</v>
      </c>
      <c r="B10345" s="7" t="s">
        <v>850</v>
      </c>
      <c r="C10345" s="7" t="s">
        <v>1253</v>
      </c>
      <c r="D10345" s="7" t="n">
        <v>16</v>
      </c>
      <c r="E10345" s="7" t="n">
        <v>2785.02</v>
      </c>
      <c r="F10345" s="7" t="n">
        <v>0</v>
      </c>
      <c r="G10345" s="7" t="n">
        <v>0</v>
      </c>
    </row>
    <row r="10346" customFormat="false" ht="15" hidden="false" customHeight="false" outlineLevel="0" collapsed="false">
      <c r="A10346" s="7" t="s">
        <v>25</v>
      </c>
      <c r="B10346" s="7" t="s">
        <v>850</v>
      </c>
      <c r="C10346" s="7" t="s">
        <v>1253</v>
      </c>
      <c r="D10346" s="7" t="n">
        <v>11</v>
      </c>
      <c r="E10346" s="7" t="n">
        <v>1932.79</v>
      </c>
      <c r="F10346" s="7" t="n">
        <v>0</v>
      </c>
      <c r="G10346" s="7" t="n">
        <v>0</v>
      </c>
    </row>
    <row r="10347" customFormat="false" ht="15" hidden="false" customHeight="false" outlineLevel="0" collapsed="false">
      <c r="A10347" s="7" t="s">
        <v>25</v>
      </c>
      <c r="B10347" s="7" t="s">
        <v>850</v>
      </c>
      <c r="C10347" s="7" t="s">
        <v>1253</v>
      </c>
      <c r="D10347" s="7" t="n">
        <v>0</v>
      </c>
      <c r="E10347" s="7" t="n">
        <v>0</v>
      </c>
      <c r="F10347" s="7" t="n">
        <v>8</v>
      </c>
      <c r="G10347" s="7" t="n">
        <v>1349.94</v>
      </c>
    </row>
    <row r="10348" customFormat="false" ht="15" hidden="false" customHeight="false" outlineLevel="0" collapsed="false">
      <c r="A10348" s="7" t="s">
        <v>25</v>
      </c>
      <c r="B10348" s="7" t="s">
        <v>850</v>
      </c>
      <c r="C10348" s="7" t="s">
        <v>1253</v>
      </c>
      <c r="D10348" s="7" t="n">
        <v>3</v>
      </c>
      <c r="E10348" s="7" t="n">
        <v>579.9</v>
      </c>
      <c r="F10348" s="7" t="n">
        <v>0</v>
      </c>
      <c r="G10348" s="7" t="n">
        <v>0</v>
      </c>
    </row>
    <row r="10349" customFormat="false" ht="15" hidden="false" customHeight="false" outlineLevel="0" collapsed="false">
      <c r="A10349" s="7" t="s">
        <v>25</v>
      </c>
      <c r="B10349" s="7" t="s">
        <v>850</v>
      </c>
      <c r="C10349" s="7" t="s">
        <v>1253</v>
      </c>
      <c r="D10349" s="7" t="n">
        <v>19</v>
      </c>
      <c r="E10349" s="7" t="n">
        <v>3475.12</v>
      </c>
      <c r="F10349" s="7" t="n">
        <v>0</v>
      </c>
      <c r="G10349" s="7" t="n">
        <v>0</v>
      </c>
    </row>
    <row r="10350" customFormat="false" ht="15" hidden="false" customHeight="false" outlineLevel="0" collapsed="false">
      <c r="A10350" s="7" t="s">
        <v>25</v>
      </c>
      <c r="B10350" s="7" t="s">
        <v>850</v>
      </c>
      <c r="C10350" s="7" t="s">
        <v>1253</v>
      </c>
      <c r="D10350" s="7" t="n">
        <v>0</v>
      </c>
      <c r="E10350" s="7" t="n">
        <v>0</v>
      </c>
      <c r="F10350" s="7" t="n">
        <v>19</v>
      </c>
      <c r="G10350" s="7" t="n">
        <v>2756.5</v>
      </c>
    </row>
    <row r="10351" customFormat="false" ht="15" hidden="false" customHeight="false" outlineLevel="0" collapsed="false">
      <c r="A10351" s="7" t="s">
        <v>25</v>
      </c>
      <c r="B10351" s="7" t="s">
        <v>850</v>
      </c>
      <c r="C10351" s="7" t="s">
        <v>1253</v>
      </c>
      <c r="D10351" s="7" t="n">
        <v>14</v>
      </c>
      <c r="E10351" s="7" t="n">
        <v>2647.23</v>
      </c>
      <c r="F10351" s="7" t="n">
        <v>0</v>
      </c>
      <c r="G10351" s="7" t="n">
        <v>0</v>
      </c>
    </row>
    <row r="10352" customFormat="false" ht="15" hidden="false" customHeight="false" outlineLevel="0" collapsed="false">
      <c r="A10352" s="7" t="s">
        <v>25</v>
      </c>
      <c r="B10352" s="7" t="s">
        <v>850</v>
      </c>
      <c r="C10352" s="7" t="s">
        <v>1253</v>
      </c>
      <c r="D10352" s="7" t="n">
        <v>2</v>
      </c>
      <c r="E10352" s="7" t="n">
        <v>350.62</v>
      </c>
      <c r="F10352" s="7" t="n">
        <v>0</v>
      </c>
      <c r="G10352" s="7" t="n">
        <v>0</v>
      </c>
    </row>
    <row r="10353" customFormat="false" ht="15" hidden="false" customHeight="false" outlineLevel="0" collapsed="false">
      <c r="A10353" s="7" t="s">
        <v>25</v>
      </c>
      <c r="B10353" s="7" t="s">
        <v>850</v>
      </c>
      <c r="C10353" s="7" t="s">
        <v>1253</v>
      </c>
      <c r="D10353" s="7" t="n">
        <v>0</v>
      </c>
      <c r="E10353" s="7" t="n">
        <v>0</v>
      </c>
      <c r="F10353" s="7" t="n">
        <v>16</v>
      </c>
      <c r="G10353" s="7" t="n">
        <v>2696.91</v>
      </c>
    </row>
    <row r="10354" customFormat="false" ht="15" hidden="false" customHeight="false" outlineLevel="0" collapsed="false">
      <c r="A10354" s="7" t="s">
        <v>25</v>
      </c>
      <c r="B10354" s="7" t="s">
        <v>850</v>
      </c>
      <c r="C10354" s="7" t="s">
        <v>1253</v>
      </c>
      <c r="D10354" s="7" t="n">
        <v>4</v>
      </c>
      <c r="E10354" s="7" t="n">
        <v>727.19</v>
      </c>
      <c r="F10354" s="7" t="n">
        <v>0</v>
      </c>
      <c r="G10354" s="7" t="n">
        <v>0</v>
      </c>
    </row>
    <row r="10355" customFormat="false" ht="15" hidden="false" customHeight="false" outlineLevel="0" collapsed="false">
      <c r="A10355" s="7" t="s">
        <v>25</v>
      </c>
      <c r="B10355" s="7" t="s">
        <v>850</v>
      </c>
      <c r="C10355" s="7" t="s">
        <v>1253</v>
      </c>
      <c r="D10355" s="7" t="n">
        <v>0</v>
      </c>
      <c r="E10355" s="7" t="n">
        <v>0</v>
      </c>
      <c r="F10355" s="7" t="n">
        <v>10</v>
      </c>
      <c r="G10355" s="7" t="n">
        <v>1514.85</v>
      </c>
    </row>
    <row r="10356" customFormat="false" ht="15" hidden="false" customHeight="false" outlineLevel="0" collapsed="false">
      <c r="A10356" s="7" t="s">
        <v>25</v>
      </c>
      <c r="B10356" s="7" t="s">
        <v>850</v>
      </c>
      <c r="C10356" s="7" t="s">
        <v>1253</v>
      </c>
      <c r="D10356" s="7" t="n">
        <v>10</v>
      </c>
      <c r="E10356" s="7" t="n">
        <v>1744.26</v>
      </c>
      <c r="F10356" s="7" t="n">
        <v>0</v>
      </c>
      <c r="G10356" s="7" t="n">
        <v>0</v>
      </c>
    </row>
    <row r="10357" customFormat="false" ht="15" hidden="false" customHeight="false" outlineLevel="0" collapsed="false">
      <c r="A10357" s="7" t="s">
        <v>25</v>
      </c>
      <c r="B10357" s="7" t="s">
        <v>850</v>
      </c>
      <c r="C10357" s="7" t="s">
        <v>1253</v>
      </c>
      <c r="D10357" s="7" t="n">
        <v>0</v>
      </c>
      <c r="E10357" s="7" t="n">
        <v>0</v>
      </c>
      <c r="F10357" s="7" t="n">
        <v>27</v>
      </c>
      <c r="G10357" s="7" t="n">
        <v>4453.22</v>
      </c>
    </row>
    <row r="10358" customFormat="false" ht="15" hidden="false" customHeight="false" outlineLevel="0" collapsed="false">
      <c r="A10358" s="7" t="s">
        <v>25</v>
      </c>
      <c r="B10358" s="7" t="s">
        <v>850</v>
      </c>
      <c r="C10358" s="7" t="s">
        <v>1253</v>
      </c>
      <c r="D10358" s="7" t="n">
        <v>17</v>
      </c>
      <c r="E10358" s="7" t="n">
        <v>2974.97</v>
      </c>
      <c r="F10358" s="7" t="n">
        <v>0</v>
      </c>
      <c r="G10358" s="7" t="n">
        <v>0</v>
      </c>
    </row>
    <row r="10359" customFormat="false" ht="15" hidden="false" customHeight="false" outlineLevel="0" collapsed="false">
      <c r="A10359" s="7" t="s">
        <v>25</v>
      </c>
      <c r="B10359" s="7" t="s">
        <v>850</v>
      </c>
      <c r="C10359" s="7" t="s">
        <v>1253</v>
      </c>
      <c r="D10359" s="7" t="n">
        <v>15</v>
      </c>
      <c r="E10359" s="7" t="n">
        <v>2626.34</v>
      </c>
      <c r="F10359" s="7" t="n">
        <v>0</v>
      </c>
      <c r="G10359" s="7" t="n">
        <v>0</v>
      </c>
    </row>
    <row r="10360" customFormat="false" ht="15" hidden="false" customHeight="false" outlineLevel="0" collapsed="false">
      <c r="A10360" s="7" t="s">
        <v>25</v>
      </c>
      <c r="B10360" s="7" t="s">
        <v>850</v>
      </c>
      <c r="C10360" s="7" t="s">
        <v>1253</v>
      </c>
      <c r="D10360" s="7" t="n">
        <v>0</v>
      </c>
      <c r="E10360" s="7" t="n">
        <v>0</v>
      </c>
      <c r="F10360" s="7" t="n">
        <v>10</v>
      </c>
      <c r="G10360" s="7" t="n">
        <v>1593.24</v>
      </c>
    </row>
    <row r="10361" customFormat="false" ht="15" hidden="false" customHeight="false" outlineLevel="0" collapsed="false">
      <c r="A10361" s="7" t="s">
        <v>25</v>
      </c>
      <c r="B10361" s="7" t="s">
        <v>850</v>
      </c>
      <c r="C10361" s="7" t="s">
        <v>1253</v>
      </c>
      <c r="D10361" s="7" t="n">
        <v>0</v>
      </c>
      <c r="E10361" s="7" t="n">
        <v>0</v>
      </c>
      <c r="F10361" s="7" t="n">
        <v>9</v>
      </c>
      <c r="G10361" s="7" t="n">
        <v>1500.8</v>
      </c>
    </row>
    <row r="10362" customFormat="false" ht="15" hidden="false" customHeight="false" outlineLevel="0" collapsed="false">
      <c r="A10362" s="7" t="s">
        <v>25</v>
      </c>
      <c r="B10362" s="7" t="s">
        <v>856</v>
      </c>
      <c r="C10362" s="7" t="s">
        <v>1253</v>
      </c>
      <c r="D10362" s="7" t="n">
        <v>0</v>
      </c>
      <c r="E10362" s="7" t="n">
        <v>0</v>
      </c>
      <c r="F10362" s="7" t="n">
        <v>54</v>
      </c>
      <c r="G10362" s="7" t="n">
        <v>8065.2</v>
      </c>
    </row>
    <row r="10363" customFormat="false" ht="15" hidden="false" customHeight="false" outlineLevel="0" collapsed="false">
      <c r="A10363" s="7" t="s">
        <v>25</v>
      </c>
      <c r="B10363" s="7" t="s">
        <v>856</v>
      </c>
      <c r="C10363" s="7" t="s">
        <v>1253</v>
      </c>
      <c r="D10363" s="7" t="n">
        <v>0</v>
      </c>
      <c r="E10363" s="7" t="n">
        <v>0</v>
      </c>
      <c r="F10363" s="7" t="n">
        <v>44</v>
      </c>
      <c r="G10363" s="7" t="n">
        <v>6819.14</v>
      </c>
    </row>
    <row r="10364" customFormat="false" ht="15" hidden="false" customHeight="false" outlineLevel="0" collapsed="false">
      <c r="A10364" s="7" t="s">
        <v>25</v>
      </c>
      <c r="B10364" s="7" t="s">
        <v>856</v>
      </c>
      <c r="C10364" s="7" t="s">
        <v>1253</v>
      </c>
      <c r="D10364" s="7" t="n">
        <v>1</v>
      </c>
      <c r="E10364" s="7" t="n">
        <v>172.23</v>
      </c>
      <c r="F10364" s="7" t="n">
        <v>0</v>
      </c>
      <c r="G10364" s="7" t="n">
        <v>0</v>
      </c>
    </row>
    <row r="10365" customFormat="false" ht="15" hidden="false" customHeight="false" outlineLevel="0" collapsed="false">
      <c r="A10365" s="7" t="s">
        <v>25</v>
      </c>
      <c r="B10365" s="7" t="s">
        <v>856</v>
      </c>
      <c r="C10365" s="7" t="s">
        <v>1253</v>
      </c>
      <c r="D10365" s="7" t="n">
        <v>33</v>
      </c>
      <c r="E10365" s="7" t="n">
        <v>5743.24</v>
      </c>
      <c r="F10365" s="7" t="n">
        <v>0</v>
      </c>
      <c r="G10365" s="7" t="n">
        <v>0</v>
      </c>
    </row>
    <row r="10366" customFormat="false" ht="15" hidden="false" customHeight="false" outlineLevel="0" collapsed="false">
      <c r="A10366" s="7" t="s">
        <v>25</v>
      </c>
      <c r="B10366" s="7" t="s">
        <v>856</v>
      </c>
      <c r="C10366" s="7" t="s">
        <v>1253</v>
      </c>
      <c r="D10366" s="7" t="n">
        <v>0</v>
      </c>
      <c r="E10366" s="7" t="n">
        <v>0</v>
      </c>
      <c r="F10366" s="7" t="n">
        <v>44</v>
      </c>
      <c r="G10366" s="7" t="n">
        <v>7464.21</v>
      </c>
    </row>
    <row r="10367" customFormat="false" ht="15" hidden="false" customHeight="false" outlineLevel="0" collapsed="false">
      <c r="A10367" s="7" t="s">
        <v>25</v>
      </c>
      <c r="B10367" s="7" t="s">
        <v>856</v>
      </c>
      <c r="C10367" s="7" t="s">
        <v>1253</v>
      </c>
      <c r="D10367" s="7" t="n">
        <v>14</v>
      </c>
      <c r="E10367" s="7" t="n">
        <v>2451.25</v>
      </c>
      <c r="F10367" s="7" t="n">
        <v>0</v>
      </c>
      <c r="G10367" s="7" t="n">
        <v>0</v>
      </c>
    </row>
    <row r="10368" customFormat="false" ht="15" hidden="false" customHeight="false" outlineLevel="0" collapsed="false">
      <c r="A10368" s="7" t="s">
        <v>25</v>
      </c>
      <c r="B10368" s="7" t="s">
        <v>856</v>
      </c>
      <c r="C10368" s="7" t="s">
        <v>1253</v>
      </c>
      <c r="D10368" s="7" t="n">
        <v>0</v>
      </c>
      <c r="E10368" s="7" t="n">
        <v>0</v>
      </c>
      <c r="F10368" s="7" t="n">
        <v>55</v>
      </c>
      <c r="G10368" s="7" t="n">
        <v>8903.42</v>
      </c>
    </row>
    <row r="10369" customFormat="false" ht="15" hidden="false" customHeight="false" outlineLevel="0" collapsed="false">
      <c r="A10369" s="7" t="s">
        <v>25</v>
      </c>
      <c r="B10369" s="7" t="s">
        <v>856</v>
      </c>
      <c r="C10369" s="7" t="s">
        <v>1253</v>
      </c>
      <c r="D10369" s="7" t="n">
        <v>0</v>
      </c>
      <c r="E10369" s="7" t="n">
        <v>0</v>
      </c>
      <c r="F10369" s="7" t="n">
        <v>34</v>
      </c>
      <c r="G10369" s="7" t="n">
        <v>5868.3</v>
      </c>
    </row>
    <row r="10370" customFormat="false" ht="15" hidden="false" customHeight="false" outlineLevel="0" collapsed="false">
      <c r="A10370" s="7" t="s">
        <v>25</v>
      </c>
      <c r="B10370" s="7" t="s">
        <v>856</v>
      </c>
      <c r="C10370" s="7" t="s">
        <v>1253</v>
      </c>
      <c r="D10370" s="7" t="n">
        <v>30</v>
      </c>
      <c r="E10370" s="7" t="n">
        <v>5599.32</v>
      </c>
      <c r="F10370" s="7" t="n">
        <v>0</v>
      </c>
      <c r="G10370" s="7" t="n">
        <v>0</v>
      </c>
    </row>
    <row r="10371" customFormat="false" ht="15" hidden="false" customHeight="false" outlineLevel="0" collapsed="false">
      <c r="A10371" s="7" t="s">
        <v>25</v>
      </c>
      <c r="B10371" s="7" t="s">
        <v>856</v>
      </c>
      <c r="C10371" s="7" t="s">
        <v>1253</v>
      </c>
      <c r="D10371" s="7" t="n">
        <v>1</v>
      </c>
      <c r="E10371" s="7" t="n">
        <v>176.17</v>
      </c>
      <c r="F10371" s="7" t="n">
        <v>0</v>
      </c>
      <c r="G10371" s="7" t="n">
        <v>0</v>
      </c>
    </row>
    <row r="10372" customFormat="false" ht="15" hidden="false" customHeight="false" outlineLevel="0" collapsed="false">
      <c r="A10372" s="7" t="s">
        <v>25</v>
      </c>
      <c r="B10372" s="7" t="s">
        <v>856</v>
      </c>
      <c r="C10372" s="7" t="s">
        <v>1253</v>
      </c>
      <c r="D10372" s="7" t="n">
        <v>28</v>
      </c>
      <c r="E10372" s="7" t="n">
        <v>4819.29</v>
      </c>
      <c r="F10372" s="7" t="n">
        <v>0</v>
      </c>
      <c r="G10372" s="7" t="n">
        <v>0</v>
      </c>
    </row>
    <row r="10373" customFormat="false" ht="15" hidden="false" customHeight="false" outlineLevel="0" collapsed="false">
      <c r="A10373" s="7" t="s">
        <v>25</v>
      </c>
      <c r="B10373" s="7" t="s">
        <v>856</v>
      </c>
      <c r="C10373" s="7" t="s">
        <v>1253</v>
      </c>
      <c r="D10373" s="7" t="n">
        <v>45</v>
      </c>
      <c r="E10373" s="7" t="n">
        <v>8230.54</v>
      </c>
      <c r="F10373" s="7" t="n">
        <v>0</v>
      </c>
      <c r="G10373" s="7" t="n">
        <v>0</v>
      </c>
    </row>
    <row r="10374" customFormat="false" ht="15" hidden="false" customHeight="false" outlineLevel="0" collapsed="false">
      <c r="A10374" s="7" t="s">
        <v>25</v>
      </c>
      <c r="B10374" s="7" t="s">
        <v>856</v>
      </c>
      <c r="C10374" s="7" t="s">
        <v>1253</v>
      </c>
      <c r="D10374" s="7" t="n">
        <v>43</v>
      </c>
      <c r="E10374" s="7" t="n">
        <v>7500.34</v>
      </c>
      <c r="F10374" s="7" t="n">
        <v>0</v>
      </c>
      <c r="G10374" s="7" t="n">
        <v>0</v>
      </c>
    </row>
    <row r="10375" customFormat="false" ht="15" hidden="false" customHeight="false" outlineLevel="0" collapsed="false">
      <c r="A10375" s="7" t="s">
        <v>25</v>
      </c>
      <c r="B10375" s="7" t="s">
        <v>856</v>
      </c>
      <c r="C10375" s="7" t="s">
        <v>1253</v>
      </c>
      <c r="D10375" s="7" t="n">
        <v>0</v>
      </c>
      <c r="E10375" s="7" t="n">
        <v>0</v>
      </c>
      <c r="F10375" s="7" t="n">
        <v>37</v>
      </c>
      <c r="G10375" s="7" t="n">
        <v>5457.98</v>
      </c>
    </row>
    <row r="10376" customFormat="false" ht="15" hidden="false" customHeight="false" outlineLevel="0" collapsed="false">
      <c r="A10376" s="7" t="s">
        <v>25</v>
      </c>
      <c r="B10376" s="7" t="s">
        <v>856</v>
      </c>
      <c r="C10376" s="7" t="s">
        <v>1253</v>
      </c>
      <c r="D10376" s="7" t="n">
        <v>0</v>
      </c>
      <c r="E10376" s="7" t="n">
        <v>0</v>
      </c>
      <c r="F10376" s="7" t="n">
        <v>60</v>
      </c>
      <c r="G10376" s="7" t="n">
        <v>9676.28</v>
      </c>
    </row>
    <row r="10377" customFormat="false" ht="15" hidden="false" customHeight="false" outlineLevel="0" collapsed="false">
      <c r="A10377" s="7" t="s">
        <v>25</v>
      </c>
      <c r="B10377" s="7" t="s">
        <v>856</v>
      </c>
      <c r="C10377" s="7" t="s">
        <v>1253</v>
      </c>
      <c r="D10377" s="7" t="n">
        <v>16</v>
      </c>
      <c r="E10377" s="7" t="n">
        <v>2804.96</v>
      </c>
      <c r="F10377" s="7" t="n">
        <v>0</v>
      </c>
      <c r="G10377" s="7" t="n">
        <v>0</v>
      </c>
    </row>
    <row r="10378" customFormat="false" ht="15" hidden="false" customHeight="false" outlineLevel="0" collapsed="false">
      <c r="A10378" s="7" t="s">
        <v>25</v>
      </c>
      <c r="B10378" s="7" t="s">
        <v>856</v>
      </c>
      <c r="C10378" s="7" t="s">
        <v>1253</v>
      </c>
      <c r="D10378" s="7" t="n">
        <v>9</v>
      </c>
      <c r="E10378" s="7" t="n">
        <v>1673.71</v>
      </c>
      <c r="F10378" s="7" t="n">
        <v>0</v>
      </c>
      <c r="G10378" s="7" t="n">
        <v>0</v>
      </c>
    </row>
    <row r="10379" customFormat="false" ht="15" hidden="false" customHeight="false" outlineLevel="0" collapsed="false">
      <c r="A10379" s="7" t="s">
        <v>25</v>
      </c>
      <c r="B10379" s="7" t="s">
        <v>856</v>
      </c>
      <c r="C10379" s="7" t="s">
        <v>1253</v>
      </c>
      <c r="D10379" s="7" t="n">
        <v>41</v>
      </c>
      <c r="E10379" s="7" t="n">
        <v>7752.59</v>
      </c>
      <c r="F10379" s="7" t="n">
        <v>0</v>
      </c>
      <c r="G10379" s="7" t="n">
        <v>0</v>
      </c>
    </row>
    <row r="10380" customFormat="false" ht="15" hidden="false" customHeight="false" outlineLevel="0" collapsed="false">
      <c r="A10380" s="7" t="s">
        <v>25</v>
      </c>
      <c r="B10380" s="7" t="s">
        <v>856</v>
      </c>
      <c r="C10380" s="7" t="s">
        <v>1253</v>
      </c>
      <c r="D10380" s="7" t="n">
        <v>27</v>
      </c>
      <c r="E10380" s="7" t="n">
        <v>5219.07</v>
      </c>
      <c r="F10380" s="7" t="n">
        <v>0</v>
      </c>
      <c r="G10380" s="7" t="n">
        <v>0</v>
      </c>
    </row>
    <row r="10381" customFormat="false" ht="15" hidden="false" customHeight="false" outlineLevel="0" collapsed="false">
      <c r="A10381" s="7" t="s">
        <v>25</v>
      </c>
      <c r="B10381" s="7" t="s">
        <v>856</v>
      </c>
      <c r="C10381" s="7" t="s">
        <v>1253</v>
      </c>
      <c r="D10381" s="7" t="n">
        <v>36</v>
      </c>
      <c r="E10381" s="7" t="n">
        <v>6299.94</v>
      </c>
      <c r="F10381" s="7" t="n">
        <v>0</v>
      </c>
      <c r="G10381" s="7" t="n">
        <v>0</v>
      </c>
    </row>
    <row r="10382" customFormat="false" ht="15" hidden="false" customHeight="false" outlineLevel="0" collapsed="false">
      <c r="A10382" s="7" t="s">
        <v>25</v>
      </c>
      <c r="B10382" s="7" t="s">
        <v>856</v>
      </c>
      <c r="C10382" s="7" t="s">
        <v>1253</v>
      </c>
      <c r="D10382" s="7" t="n">
        <v>0</v>
      </c>
      <c r="E10382" s="7" t="n">
        <v>0</v>
      </c>
      <c r="F10382" s="7" t="n">
        <v>22</v>
      </c>
      <c r="G10382" s="7" t="n">
        <v>3936.16</v>
      </c>
    </row>
    <row r="10383" customFormat="false" ht="15" hidden="false" customHeight="false" outlineLevel="0" collapsed="false">
      <c r="A10383" s="7" t="s">
        <v>25</v>
      </c>
      <c r="B10383" s="7" t="s">
        <v>837</v>
      </c>
      <c r="C10383" s="7" t="s">
        <v>1253</v>
      </c>
      <c r="D10383" s="7" t="n">
        <v>6</v>
      </c>
      <c r="E10383" s="7" t="n">
        <v>1051.86</v>
      </c>
      <c r="F10383" s="7" t="n">
        <v>0</v>
      </c>
      <c r="G10383" s="7" t="n">
        <v>0</v>
      </c>
    </row>
    <row r="10384" customFormat="false" ht="15" hidden="false" customHeight="false" outlineLevel="0" collapsed="false">
      <c r="A10384" s="7" t="s">
        <v>25</v>
      </c>
      <c r="B10384" s="7" t="s">
        <v>837</v>
      </c>
      <c r="C10384" s="7" t="s">
        <v>1253</v>
      </c>
      <c r="D10384" s="7" t="n">
        <v>0</v>
      </c>
      <c r="E10384" s="7" t="n">
        <v>0</v>
      </c>
      <c r="F10384" s="7" t="n">
        <v>31</v>
      </c>
      <c r="G10384" s="7" t="n">
        <v>5116.47</v>
      </c>
    </row>
    <row r="10385" customFormat="false" ht="15" hidden="false" customHeight="false" outlineLevel="0" collapsed="false">
      <c r="A10385" s="7" t="s">
        <v>25</v>
      </c>
      <c r="B10385" s="7" t="s">
        <v>837</v>
      </c>
      <c r="C10385" s="7" t="s">
        <v>1253</v>
      </c>
      <c r="D10385" s="7" t="n">
        <v>25</v>
      </c>
      <c r="E10385" s="7" t="n">
        <v>4572.52</v>
      </c>
      <c r="F10385" s="7" t="n">
        <v>0</v>
      </c>
      <c r="G10385" s="7" t="n">
        <v>0</v>
      </c>
    </row>
    <row r="10386" customFormat="false" ht="15" hidden="false" customHeight="false" outlineLevel="0" collapsed="false">
      <c r="A10386" s="7" t="s">
        <v>25</v>
      </c>
      <c r="B10386" s="7" t="s">
        <v>837</v>
      </c>
      <c r="C10386" s="7" t="s">
        <v>1253</v>
      </c>
      <c r="D10386" s="7" t="n">
        <v>0</v>
      </c>
      <c r="E10386" s="7" t="n">
        <v>0</v>
      </c>
      <c r="F10386" s="7" t="n">
        <v>14</v>
      </c>
      <c r="G10386" s="7" t="n">
        <v>2094.83</v>
      </c>
    </row>
    <row r="10387" customFormat="false" ht="15" hidden="false" customHeight="false" outlineLevel="0" collapsed="false">
      <c r="A10387" s="7" t="s">
        <v>25</v>
      </c>
      <c r="B10387" s="7" t="s">
        <v>837</v>
      </c>
      <c r="C10387" s="7" t="s">
        <v>1253</v>
      </c>
      <c r="D10387" s="7" t="n">
        <v>21</v>
      </c>
      <c r="E10387" s="7" t="n">
        <v>4059.28</v>
      </c>
      <c r="F10387" s="7" t="n">
        <v>0</v>
      </c>
      <c r="G10387" s="7" t="n">
        <v>0</v>
      </c>
    </row>
    <row r="10388" customFormat="false" ht="15" hidden="false" customHeight="false" outlineLevel="0" collapsed="false">
      <c r="A10388" s="7" t="s">
        <v>25</v>
      </c>
      <c r="B10388" s="7" t="s">
        <v>837</v>
      </c>
      <c r="C10388" s="7" t="s">
        <v>1253</v>
      </c>
      <c r="D10388" s="7" t="n">
        <v>0</v>
      </c>
      <c r="E10388" s="7" t="n">
        <v>0</v>
      </c>
      <c r="F10388" s="7" t="n">
        <v>13</v>
      </c>
      <c r="G10388" s="7" t="n">
        <v>1972.96</v>
      </c>
    </row>
    <row r="10389" customFormat="false" ht="15" hidden="false" customHeight="false" outlineLevel="0" collapsed="false">
      <c r="A10389" s="7" t="s">
        <v>25</v>
      </c>
      <c r="B10389" s="7" t="s">
        <v>837</v>
      </c>
      <c r="C10389" s="7" t="s">
        <v>1253</v>
      </c>
      <c r="D10389" s="7" t="n">
        <v>24</v>
      </c>
      <c r="E10389" s="7" t="n">
        <v>4228.06</v>
      </c>
      <c r="F10389" s="7" t="n">
        <v>0</v>
      </c>
      <c r="G10389" s="7" t="n">
        <v>0</v>
      </c>
    </row>
    <row r="10390" customFormat="false" ht="15" hidden="false" customHeight="false" outlineLevel="0" collapsed="false">
      <c r="A10390" s="7" t="s">
        <v>25</v>
      </c>
      <c r="B10390" s="7" t="s">
        <v>837</v>
      </c>
      <c r="C10390" s="7" t="s">
        <v>1253</v>
      </c>
      <c r="D10390" s="7" t="n">
        <v>0</v>
      </c>
      <c r="E10390" s="7" t="n">
        <v>0</v>
      </c>
      <c r="F10390" s="7" t="n">
        <v>19</v>
      </c>
      <c r="G10390" s="7" t="n">
        <v>3202.58</v>
      </c>
    </row>
    <row r="10391" customFormat="false" ht="15" hidden="false" customHeight="false" outlineLevel="0" collapsed="false">
      <c r="A10391" s="7" t="s">
        <v>25</v>
      </c>
      <c r="B10391" s="7" t="s">
        <v>837</v>
      </c>
      <c r="C10391" s="7" t="s">
        <v>1253</v>
      </c>
      <c r="D10391" s="7" t="n">
        <v>23</v>
      </c>
      <c r="E10391" s="7" t="n">
        <v>4024.96</v>
      </c>
      <c r="F10391" s="7" t="n">
        <v>0</v>
      </c>
      <c r="G10391" s="7" t="n">
        <v>0</v>
      </c>
    </row>
    <row r="10392" customFormat="false" ht="15" hidden="false" customHeight="false" outlineLevel="0" collapsed="false">
      <c r="A10392" s="7" t="s">
        <v>25</v>
      </c>
      <c r="B10392" s="7" t="s">
        <v>837</v>
      </c>
      <c r="C10392" s="7" t="s">
        <v>1253</v>
      </c>
      <c r="D10392" s="7" t="n">
        <v>14</v>
      </c>
      <c r="E10392" s="7" t="n">
        <v>2647.23</v>
      </c>
      <c r="F10392" s="7" t="n">
        <v>0</v>
      </c>
      <c r="G10392" s="7" t="n">
        <v>0</v>
      </c>
    </row>
    <row r="10393" customFormat="false" ht="15" hidden="false" customHeight="false" outlineLevel="0" collapsed="false">
      <c r="A10393" s="7" t="s">
        <v>25</v>
      </c>
      <c r="B10393" s="7" t="s">
        <v>837</v>
      </c>
      <c r="C10393" s="7" t="s">
        <v>1253</v>
      </c>
      <c r="D10393" s="7" t="n">
        <v>0</v>
      </c>
      <c r="E10393" s="7" t="n">
        <v>0</v>
      </c>
      <c r="F10393" s="7" t="n">
        <v>18</v>
      </c>
      <c r="G10393" s="7" t="n">
        <v>2837.59</v>
      </c>
    </row>
    <row r="10394" customFormat="false" ht="15" hidden="false" customHeight="false" outlineLevel="0" collapsed="false">
      <c r="A10394" s="7" t="s">
        <v>25</v>
      </c>
      <c r="B10394" s="7" t="s">
        <v>837</v>
      </c>
      <c r="C10394" s="7" t="s">
        <v>1253</v>
      </c>
      <c r="D10394" s="7" t="n">
        <v>0</v>
      </c>
      <c r="E10394" s="7" t="n">
        <v>0</v>
      </c>
      <c r="F10394" s="7" t="n">
        <v>25</v>
      </c>
      <c r="G10394" s="7" t="n">
        <v>4254.87</v>
      </c>
    </row>
    <row r="10395" customFormat="false" ht="15" hidden="false" customHeight="false" outlineLevel="0" collapsed="false">
      <c r="A10395" s="7" t="s">
        <v>25</v>
      </c>
      <c r="B10395" s="7" t="s">
        <v>837</v>
      </c>
      <c r="C10395" s="7" t="s">
        <v>1253</v>
      </c>
      <c r="D10395" s="7" t="n">
        <v>0</v>
      </c>
      <c r="E10395" s="7" t="n">
        <v>0</v>
      </c>
      <c r="F10395" s="7" t="n">
        <v>33</v>
      </c>
      <c r="G10395" s="7" t="n">
        <v>5016.41</v>
      </c>
    </row>
    <row r="10396" customFormat="false" ht="15" hidden="false" customHeight="false" outlineLevel="0" collapsed="false">
      <c r="A10396" s="7" t="s">
        <v>25</v>
      </c>
      <c r="B10396" s="7" t="s">
        <v>837</v>
      </c>
      <c r="C10396" s="7" t="s">
        <v>1253</v>
      </c>
      <c r="D10396" s="7" t="n">
        <v>10</v>
      </c>
      <c r="E10396" s="7" t="n">
        <v>1863.26</v>
      </c>
      <c r="F10396" s="7" t="n">
        <v>0</v>
      </c>
      <c r="G10396" s="7" t="n">
        <v>0</v>
      </c>
    </row>
    <row r="10397" customFormat="false" ht="15" hidden="false" customHeight="false" outlineLevel="0" collapsed="false">
      <c r="A10397" s="7" t="s">
        <v>25</v>
      </c>
      <c r="B10397" s="7" t="s">
        <v>837</v>
      </c>
      <c r="C10397" s="7" t="s">
        <v>1253</v>
      </c>
      <c r="D10397" s="7" t="n">
        <v>22</v>
      </c>
      <c r="E10397" s="7" t="n">
        <v>4106.17</v>
      </c>
      <c r="F10397" s="7" t="n">
        <v>0</v>
      </c>
      <c r="G10397" s="7" t="n">
        <v>0</v>
      </c>
    </row>
    <row r="10398" customFormat="false" ht="15" hidden="false" customHeight="false" outlineLevel="0" collapsed="false">
      <c r="A10398" s="7" t="s">
        <v>25</v>
      </c>
      <c r="B10398" s="7" t="s">
        <v>837</v>
      </c>
      <c r="C10398" s="7" t="s">
        <v>1253</v>
      </c>
      <c r="D10398" s="7" t="n">
        <v>18</v>
      </c>
      <c r="E10398" s="7" t="n">
        <v>2964.91</v>
      </c>
      <c r="F10398" s="7" t="n">
        <v>0</v>
      </c>
      <c r="G10398" s="7" t="n">
        <v>0</v>
      </c>
    </row>
    <row r="10399" customFormat="false" ht="15" hidden="false" customHeight="false" outlineLevel="0" collapsed="false">
      <c r="A10399" s="7" t="s">
        <v>25</v>
      </c>
      <c r="B10399" s="7" t="s">
        <v>837</v>
      </c>
      <c r="C10399" s="7" t="s">
        <v>1253</v>
      </c>
      <c r="D10399" s="7" t="n">
        <v>13</v>
      </c>
      <c r="E10399" s="7" t="n">
        <v>2320.38</v>
      </c>
      <c r="F10399" s="7" t="n">
        <v>0</v>
      </c>
      <c r="G10399" s="7" t="n">
        <v>0</v>
      </c>
    </row>
    <row r="10400" customFormat="false" ht="15" hidden="false" customHeight="false" outlineLevel="0" collapsed="false">
      <c r="A10400" s="7" t="s">
        <v>25</v>
      </c>
      <c r="B10400" s="7" t="s">
        <v>837</v>
      </c>
      <c r="C10400" s="7" t="s">
        <v>1253</v>
      </c>
      <c r="D10400" s="7" t="n">
        <v>0</v>
      </c>
      <c r="E10400" s="7" t="n">
        <v>0</v>
      </c>
      <c r="F10400" s="7" t="n">
        <v>32</v>
      </c>
      <c r="G10400" s="7" t="n">
        <v>5162.31</v>
      </c>
    </row>
    <row r="10401" customFormat="false" ht="15" hidden="false" customHeight="false" outlineLevel="0" collapsed="false">
      <c r="A10401" s="7" t="s">
        <v>25</v>
      </c>
      <c r="B10401" s="7" t="s">
        <v>837</v>
      </c>
      <c r="C10401" s="7" t="s">
        <v>1253</v>
      </c>
      <c r="D10401" s="7" t="n">
        <v>22</v>
      </c>
      <c r="E10401" s="7" t="n">
        <v>3837.38</v>
      </c>
      <c r="F10401" s="7" t="n">
        <v>0</v>
      </c>
      <c r="G10401" s="7" t="n">
        <v>0</v>
      </c>
    </row>
    <row r="10402" customFormat="false" ht="15" hidden="false" customHeight="false" outlineLevel="0" collapsed="false">
      <c r="A10402" s="7" t="s">
        <v>25</v>
      </c>
      <c r="B10402" s="7" t="s">
        <v>837</v>
      </c>
      <c r="C10402" s="7" t="s">
        <v>1253</v>
      </c>
      <c r="D10402" s="7" t="n">
        <v>16</v>
      </c>
      <c r="E10402" s="7" t="n">
        <v>2803.53</v>
      </c>
      <c r="F10402" s="7" t="n">
        <v>0</v>
      </c>
      <c r="G10402" s="7" t="n">
        <v>0</v>
      </c>
    </row>
    <row r="10403" customFormat="false" ht="15" hidden="false" customHeight="false" outlineLevel="0" collapsed="false">
      <c r="A10403" s="7" t="s">
        <v>25</v>
      </c>
      <c r="B10403" s="7" t="s">
        <v>837</v>
      </c>
      <c r="C10403" s="7" t="s">
        <v>1253</v>
      </c>
      <c r="D10403" s="7" t="n">
        <v>29</v>
      </c>
      <c r="E10403" s="7" t="n">
        <v>5077.6</v>
      </c>
      <c r="F10403" s="7" t="n">
        <v>0</v>
      </c>
      <c r="G10403" s="7" t="n">
        <v>0</v>
      </c>
    </row>
    <row r="10404" customFormat="false" ht="15" hidden="false" customHeight="false" outlineLevel="0" collapsed="false">
      <c r="A10404" s="7" t="s">
        <v>25</v>
      </c>
      <c r="B10404" s="7" t="s">
        <v>863</v>
      </c>
      <c r="C10404" s="7" t="s">
        <v>1253</v>
      </c>
      <c r="D10404" s="7" t="n">
        <v>4</v>
      </c>
      <c r="E10404" s="7" t="n">
        <v>688.91</v>
      </c>
      <c r="F10404" s="7" t="n">
        <v>0</v>
      </c>
      <c r="G10404" s="7" t="n">
        <v>0</v>
      </c>
    </row>
    <row r="10405" customFormat="false" ht="15" hidden="false" customHeight="false" outlineLevel="0" collapsed="false">
      <c r="A10405" s="7" t="s">
        <v>25</v>
      </c>
      <c r="B10405" s="7" t="s">
        <v>863</v>
      </c>
      <c r="C10405" s="7" t="s">
        <v>1253</v>
      </c>
      <c r="D10405" s="7" t="n">
        <v>0</v>
      </c>
      <c r="E10405" s="7" t="n">
        <v>0</v>
      </c>
      <c r="F10405" s="7" t="n">
        <v>7</v>
      </c>
      <c r="G10405" s="7" t="n">
        <v>1169.69</v>
      </c>
    </row>
    <row r="10406" customFormat="false" ht="15" hidden="false" customHeight="false" outlineLevel="0" collapsed="false">
      <c r="A10406" s="7" t="s">
        <v>25</v>
      </c>
      <c r="B10406" s="7" t="s">
        <v>863</v>
      </c>
      <c r="C10406" s="7" t="s">
        <v>1253</v>
      </c>
      <c r="D10406" s="7" t="n">
        <v>2</v>
      </c>
      <c r="E10406" s="7" t="n">
        <v>348.85</v>
      </c>
      <c r="F10406" s="7" t="n">
        <v>0</v>
      </c>
      <c r="G10406" s="7" t="n">
        <v>0</v>
      </c>
    </row>
    <row r="10407" customFormat="false" ht="15" hidden="false" customHeight="false" outlineLevel="0" collapsed="false">
      <c r="A10407" s="7" t="s">
        <v>25</v>
      </c>
      <c r="B10407" s="7" t="s">
        <v>863</v>
      </c>
      <c r="C10407" s="7" t="s">
        <v>1253</v>
      </c>
      <c r="D10407" s="7" t="n">
        <v>2</v>
      </c>
      <c r="E10407" s="7" t="n">
        <v>365.8</v>
      </c>
      <c r="F10407" s="7" t="n">
        <v>0</v>
      </c>
      <c r="G10407" s="7" t="n">
        <v>0</v>
      </c>
    </row>
    <row r="10408" customFormat="false" ht="15" hidden="false" customHeight="false" outlineLevel="0" collapsed="false">
      <c r="A10408" s="7" t="s">
        <v>25</v>
      </c>
      <c r="B10408" s="7" t="s">
        <v>863</v>
      </c>
      <c r="C10408" s="7" t="s">
        <v>1253</v>
      </c>
      <c r="D10408" s="7" t="n">
        <v>5</v>
      </c>
      <c r="E10408" s="7" t="n">
        <v>700.36</v>
      </c>
      <c r="F10408" s="7" t="n">
        <v>0</v>
      </c>
      <c r="G10408" s="7" t="n">
        <v>0</v>
      </c>
    </row>
    <row r="10409" customFormat="false" ht="15" hidden="false" customHeight="false" outlineLevel="0" collapsed="false">
      <c r="A10409" s="7" t="s">
        <v>25</v>
      </c>
      <c r="B10409" s="7" t="s">
        <v>863</v>
      </c>
      <c r="C10409" s="7" t="s">
        <v>1253</v>
      </c>
      <c r="D10409" s="7" t="n">
        <v>0</v>
      </c>
      <c r="E10409" s="7" t="n">
        <v>0</v>
      </c>
      <c r="F10409" s="7" t="n">
        <v>3</v>
      </c>
      <c r="G10409" s="7" t="n">
        <v>505.67</v>
      </c>
    </row>
    <row r="10410" customFormat="false" ht="15" hidden="false" customHeight="false" outlineLevel="0" collapsed="false">
      <c r="A10410" s="7" t="s">
        <v>25</v>
      </c>
      <c r="B10410" s="7" t="s">
        <v>863</v>
      </c>
      <c r="C10410" s="7" t="s">
        <v>1253</v>
      </c>
      <c r="D10410" s="7" t="n">
        <v>3</v>
      </c>
      <c r="E10410" s="7" t="n">
        <v>525</v>
      </c>
      <c r="F10410" s="7" t="n">
        <v>0</v>
      </c>
      <c r="G10410" s="7" t="n">
        <v>0</v>
      </c>
    </row>
    <row r="10411" customFormat="false" ht="15" hidden="false" customHeight="false" outlineLevel="0" collapsed="false">
      <c r="A10411" s="7" t="s">
        <v>25</v>
      </c>
      <c r="B10411" s="7" t="s">
        <v>863</v>
      </c>
      <c r="C10411" s="7" t="s">
        <v>1253</v>
      </c>
      <c r="D10411" s="7" t="n">
        <v>0</v>
      </c>
      <c r="E10411" s="7" t="n">
        <v>0</v>
      </c>
      <c r="F10411" s="7" t="n">
        <v>4</v>
      </c>
      <c r="G10411" s="7" t="n">
        <v>680.35</v>
      </c>
    </row>
    <row r="10412" customFormat="false" ht="15" hidden="false" customHeight="false" outlineLevel="0" collapsed="false">
      <c r="A10412" s="7" t="s">
        <v>25</v>
      </c>
      <c r="B10412" s="7" t="s">
        <v>863</v>
      </c>
      <c r="C10412" s="7" t="s">
        <v>1253</v>
      </c>
      <c r="D10412" s="7" t="n">
        <v>2</v>
      </c>
      <c r="E10412" s="7" t="n">
        <v>346.46</v>
      </c>
      <c r="F10412" s="7" t="n">
        <v>0</v>
      </c>
      <c r="G10412" s="7" t="n">
        <v>0</v>
      </c>
    </row>
    <row r="10413" customFormat="false" ht="15" hidden="false" customHeight="false" outlineLevel="0" collapsed="false">
      <c r="A10413" s="7" t="s">
        <v>25</v>
      </c>
      <c r="B10413" s="7" t="s">
        <v>863</v>
      </c>
      <c r="C10413" s="7" t="s">
        <v>1253</v>
      </c>
      <c r="D10413" s="7" t="n">
        <v>3</v>
      </c>
      <c r="E10413" s="7" t="n">
        <v>528.51</v>
      </c>
      <c r="F10413" s="7" t="n">
        <v>0</v>
      </c>
      <c r="G10413" s="7" t="n">
        <v>0</v>
      </c>
    </row>
    <row r="10414" customFormat="false" ht="15" hidden="false" customHeight="false" outlineLevel="0" collapsed="false">
      <c r="A10414" s="7" t="s">
        <v>25</v>
      </c>
      <c r="B10414" s="7" t="s">
        <v>865</v>
      </c>
      <c r="C10414" s="7" t="s">
        <v>1253</v>
      </c>
      <c r="D10414" s="7" t="n">
        <v>1</v>
      </c>
      <c r="E10414" s="7" t="n">
        <v>173.23</v>
      </c>
      <c r="F10414" s="7" t="n">
        <v>0</v>
      </c>
      <c r="G10414" s="7" t="n">
        <v>0</v>
      </c>
    </row>
    <row r="10415" customFormat="false" ht="15" hidden="false" customHeight="false" outlineLevel="0" collapsed="false">
      <c r="A10415" s="7" t="s">
        <v>25</v>
      </c>
      <c r="B10415" s="7" t="s">
        <v>865</v>
      </c>
      <c r="C10415" s="7" t="s">
        <v>1253</v>
      </c>
      <c r="D10415" s="7" t="n">
        <v>2</v>
      </c>
      <c r="E10415" s="7" t="n">
        <v>352.34</v>
      </c>
      <c r="F10415" s="7" t="n">
        <v>0</v>
      </c>
      <c r="G10415" s="7" t="n">
        <v>0</v>
      </c>
    </row>
    <row r="10416" customFormat="false" ht="15" hidden="false" customHeight="false" outlineLevel="0" collapsed="false">
      <c r="A10416" s="7" t="s">
        <v>25</v>
      </c>
      <c r="B10416" s="7" t="s">
        <v>865</v>
      </c>
      <c r="C10416" s="7" t="s">
        <v>1253</v>
      </c>
      <c r="D10416" s="7" t="n">
        <v>0</v>
      </c>
      <c r="E10416" s="7" t="n">
        <v>0</v>
      </c>
      <c r="F10416" s="7" t="n">
        <v>3</v>
      </c>
      <c r="G10416" s="7" t="n">
        <v>477.97</v>
      </c>
    </row>
    <row r="10417" customFormat="false" ht="15" hidden="false" customHeight="false" outlineLevel="0" collapsed="false">
      <c r="A10417" s="7" t="s">
        <v>25</v>
      </c>
      <c r="B10417" s="7" t="s">
        <v>865</v>
      </c>
      <c r="C10417" s="7" t="s">
        <v>1253</v>
      </c>
      <c r="D10417" s="7" t="n">
        <v>0</v>
      </c>
      <c r="E10417" s="7" t="n">
        <v>0</v>
      </c>
      <c r="F10417" s="7" t="n">
        <v>1</v>
      </c>
      <c r="G10417" s="7" t="n">
        <v>168.56</v>
      </c>
    </row>
    <row r="10418" customFormat="false" ht="15" hidden="false" customHeight="false" outlineLevel="0" collapsed="false">
      <c r="A10418" s="7" t="s">
        <v>25</v>
      </c>
      <c r="B10418" s="7" t="s">
        <v>865</v>
      </c>
      <c r="C10418" s="7" t="s">
        <v>1253</v>
      </c>
      <c r="D10418" s="7" t="n">
        <v>0</v>
      </c>
      <c r="E10418" s="7" t="n">
        <v>0</v>
      </c>
      <c r="F10418" s="7" t="n">
        <v>4</v>
      </c>
      <c r="G10418" s="7" t="n">
        <v>693.21</v>
      </c>
    </row>
    <row r="10419" customFormat="false" ht="15" hidden="false" customHeight="false" outlineLevel="0" collapsed="false">
      <c r="A10419" s="7" t="s">
        <v>25</v>
      </c>
      <c r="B10419" s="7" t="s">
        <v>865</v>
      </c>
      <c r="C10419" s="7" t="s">
        <v>1253</v>
      </c>
      <c r="D10419" s="7" t="n">
        <v>1</v>
      </c>
      <c r="E10419" s="7" t="n">
        <v>172.23</v>
      </c>
      <c r="F10419" s="7" t="n">
        <v>0</v>
      </c>
      <c r="G10419" s="7" t="n">
        <v>0</v>
      </c>
    </row>
    <row r="10420" customFormat="false" ht="15" hidden="false" customHeight="false" outlineLevel="0" collapsed="false">
      <c r="A10420" s="7" t="s">
        <v>25</v>
      </c>
      <c r="B10420" s="7" t="s">
        <v>865</v>
      </c>
      <c r="C10420" s="7" t="s">
        <v>1253</v>
      </c>
      <c r="D10420" s="7" t="n">
        <v>0</v>
      </c>
      <c r="E10420" s="7" t="n">
        <v>0</v>
      </c>
      <c r="F10420" s="7" t="n">
        <v>2</v>
      </c>
      <c r="G10420" s="7" t="n">
        <v>341.76</v>
      </c>
    </row>
    <row r="10421" customFormat="false" ht="15" hidden="false" customHeight="false" outlineLevel="0" collapsed="false">
      <c r="A10421" s="7" t="s">
        <v>25</v>
      </c>
      <c r="B10421" s="7" t="s">
        <v>865</v>
      </c>
      <c r="C10421" s="7" t="s">
        <v>1253</v>
      </c>
      <c r="D10421" s="7" t="n">
        <v>1</v>
      </c>
      <c r="E10421" s="7" t="n">
        <v>175</v>
      </c>
      <c r="F10421" s="7" t="n">
        <v>0</v>
      </c>
      <c r="G10421" s="7" t="n">
        <v>0</v>
      </c>
    </row>
    <row r="10422" customFormat="false" ht="15" hidden="false" customHeight="false" outlineLevel="0" collapsed="false">
      <c r="A10422" s="7" t="s">
        <v>25</v>
      </c>
      <c r="B10422" s="7" t="s">
        <v>865</v>
      </c>
      <c r="C10422" s="7" t="s">
        <v>1253</v>
      </c>
      <c r="D10422" s="7" t="n">
        <v>1</v>
      </c>
      <c r="E10422" s="7" t="n">
        <v>175.09</v>
      </c>
      <c r="F10422" s="7" t="n">
        <v>0</v>
      </c>
      <c r="G10422" s="7" t="n">
        <v>0</v>
      </c>
    </row>
    <row r="10423" customFormat="false" ht="15" hidden="false" customHeight="false" outlineLevel="0" collapsed="false">
      <c r="A10423" s="7" t="s">
        <v>25</v>
      </c>
      <c r="B10423" s="7" t="s">
        <v>865</v>
      </c>
      <c r="C10423" s="7" t="s">
        <v>1253</v>
      </c>
      <c r="D10423" s="7" t="n">
        <v>0</v>
      </c>
      <c r="E10423" s="7" t="n">
        <v>0</v>
      </c>
      <c r="F10423" s="7" t="n">
        <v>1</v>
      </c>
      <c r="G10423" s="7" t="n">
        <v>128.62</v>
      </c>
    </row>
    <row r="10424" customFormat="false" ht="15" hidden="false" customHeight="false" outlineLevel="0" collapsed="false">
      <c r="A10424" s="7" t="s">
        <v>25</v>
      </c>
      <c r="B10424" s="7" t="s">
        <v>865</v>
      </c>
      <c r="C10424" s="7" t="s">
        <v>1253</v>
      </c>
      <c r="D10424" s="7" t="n">
        <v>1</v>
      </c>
      <c r="E10424" s="7" t="n">
        <v>182.9</v>
      </c>
      <c r="F10424" s="7" t="n">
        <v>0</v>
      </c>
      <c r="G10424" s="7" t="n">
        <v>0</v>
      </c>
    </row>
    <row r="10425" customFormat="false" ht="15" hidden="false" customHeight="false" outlineLevel="0" collapsed="false">
      <c r="A10425" s="7" t="s">
        <v>25</v>
      </c>
      <c r="B10425" s="7" t="s">
        <v>865</v>
      </c>
      <c r="C10425" s="7" t="s">
        <v>1253</v>
      </c>
      <c r="D10425" s="7" t="n">
        <v>0</v>
      </c>
      <c r="E10425" s="7" t="n">
        <v>0</v>
      </c>
      <c r="F10425" s="7" t="n">
        <v>2</v>
      </c>
      <c r="G10425" s="7" t="n">
        <v>322.64</v>
      </c>
    </row>
    <row r="10426" customFormat="false" ht="15" hidden="false" customHeight="false" outlineLevel="0" collapsed="false">
      <c r="A10426" s="7" t="s">
        <v>25</v>
      </c>
      <c r="B10426" s="7" t="s">
        <v>836</v>
      </c>
      <c r="C10426" s="7" t="s">
        <v>1253</v>
      </c>
      <c r="D10426" s="7" t="n">
        <v>30</v>
      </c>
      <c r="E10426" s="7" t="n">
        <v>5285.08</v>
      </c>
      <c r="F10426" s="7" t="n">
        <v>0</v>
      </c>
      <c r="G10426" s="7" t="n">
        <v>0</v>
      </c>
    </row>
    <row r="10427" customFormat="false" ht="15" hidden="false" customHeight="false" outlineLevel="0" collapsed="false">
      <c r="A10427" s="7" t="s">
        <v>25</v>
      </c>
      <c r="B10427" s="7" t="s">
        <v>836</v>
      </c>
      <c r="C10427" s="7" t="s">
        <v>1253</v>
      </c>
      <c r="D10427" s="7" t="n">
        <v>0</v>
      </c>
      <c r="E10427" s="7" t="n">
        <v>0</v>
      </c>
      <c r="F10427" s="7" t="n">
        <v>37</v>
      </c>
      <c r="G10427" s="7" t="n">
        <v>6236.6</v>
      </c>
    </row>
    <row r="10428" customFormat="false" ht="15" hidden="false" customHeight="false" outlineLevel="0" collapsed="false">
      <c r="A10428" s="7" t="s">
        <v>25</v>
      </c>
      <c r="B10428" s="7" t="s">
        <v>836</v>
      </c>
      <c r="C10428" s="7" t="s">
        <v>1253</v>
      </c>
      <c r="D10428" s="7" t="n">
        <v>37</v>
      </c>
      <c r="E10428" s="7" t="n">
        <v>6407.5</v>
      </c>
      <c r="F10428" s="7" t="n">
        <v>0</v>
      </c>
      <c r="G10428" s="7" t="n">
        <v>0</v>
      </c>
    </row>
    <row r="10429" customFormat="false" ht="15" hidden="false" customHeight="false" outlineLevel="0" collapsed="false">
      <c r="A10429" s="7" t="s">
        <v>25</v>
      </c>
      <c r="B10429" s="7" t="s">
        <v>836</v>
      </c>
      <c r="C10429" s="7" t="s">
        <v>1253</v>
      </c>
      <c r="D10429" s="7" t="n">
        <v>25</v>
      </c>
      <c r="E10429" s="7" t="n">
        <v>4350.76</v>
      </c>
      <c r="F10429" s="7" t="n">
        <v>0</v>
      </c>
      <c r="G10429" s="7" t="n">
        <v>0</v>
      </c>
    </row>
    <row r="10430" customFormat="false" ht="15" hidden="false" customHeight="false" outlineLevel="0" collapsed="false">
      <c r="A10430" s="7" t="s">
        <v>25</v>
      </c>
      <c r="B10430" s="7" t="s">
        <v>836</v>
      </c>
      <c r="C10430" s="7" t="s">
        <v>1253</v>
      </c>
      <c r="D10430" s="7" t="n">
        <v>14</v>
      </c>
      <c r="E10430" s="7" t="n">
        <v>2458.1</v>
      </c>
      <c r="F10430" s="7" t="n">
        <v>0</v>
      </c>
      <c r="G10430" s="7" t="n">
        <v>0</v>
      </c>
    </row>
    <row r="10431" customFormat="false" ht="15" hidden="false" customHeight="false" outlineLevel="0" collapsed="false">
      <c r="A10431" s="7" t="s">
        <v>25</v>
      </c>
      <c r="B10431" s="7" t="s">
        <v>836</v>
      </c>
      <c r="C10431" s="7" t="s">
        <v>1253</v>
      </c>
      <c r="D10431" s="7" t="n">
        <v>0</v>
      </c>
      <c r="E10431" s="7" t="n">
        <v>0</v>
      </c>
      <c r="F10431" s="7" t="n">
        <v>38</v>
      </c>
      <c r="G10431" s="7" t="n">
        <v>5764.32</v>
      </c>
    </row>
    <row r="10432" customFormat="false" ht="15" hidden="false" customHeight="false" outlineLevel="0" collapsed="false">
      <c r="A10432" s="7" t="s">
        <v>25</v>
      </c>
      <c r="B10432" s="7" t="s">
        <v>836</v>
      </c>
      <c r="C10432" s="7" t="s">
        <v>1253</v>
      </c>
      <c r="D10432" s="7" t="n">
        <v>12</v>
      </c>
      <c r="E10432" s="7" t="n">
        <v>2103.72</v>
      </c>
      <c r="F10432" s="7" t="n">
        <v>0</v>
      </c>
      <c r="G10432" s="7" t="n">
        <v>0</v>
      </c>
    </row>
    <row r="10433" customFormat="false" ht="15" hidden="false" customHeight="false" outlineLevel="0" collapsed="false">
      <c r="A10433" s="7" t="s">
        <v>25</v>
      </c>
      <c r="B10433" s="7" t="s">
        <v>836</v>
      </c>
      <c r="C10433" s="7" t="s">
        <v>1253</v>
      </c>
      <c r="D10433" s="7" t="n">
        <v>0</v>
      </c>
      <c r="E10433" s="7" t="n">
        <v>0</v>
      </c>
      <c r="F10433" s="7" t="n">
        <v>45</v>
      </c>
      <c r="G10433" s="7" t="n">
        <v>7102.94</v>
      </c>
    </row>
    <row r="10434" customFormat="false" ht="15" hidden="false" customHeight="false" outlineLevel="0" collapsed="false">
      <c r="A10434" s="7" t="s">
        <v>25</v>
      </c>
      <c r="B10434" s="7" t="s">
        <v>836</v>
      </c>
      <c r="C10434" s="7" t="s">
        <v>1253</v>
      </c>
      <c r="D10434" s="7" t="n">
        <v>0</v>
      </c>
      <c r="E10434" s="7" t="n">
        <v>0</v>
      </c>
      <c r="F10434" s="7" t="n">
        <v>32</v>
      </c>
      <c r="G10434" s="7" t="n">
        <v>5450.98</v>
      </c>
    </row>
    <row r="10435" customFormat="false" ht="15" hidden="false" customHeight="false" outlineLevel="0" collapsed="false">
      <c r="A10435" s="7" t="s">
        <v>25</v>
      </c>
      <c r="B10435" s="7" t="s">
        <v>836</v>
      </c>
      <c r="C10435" s="7" t="s">
        <v>1253</v>
      </c>
      <c r="D10435" s="7" t="n">
        <v>22</v>
      </c>
      <c r="E10435" s="7" t="n">
        <v>3662.96</v>
      </c>
      <c r="F10435" s="7" t="n">
        <v>0</v>
      </c>
      <c r="G10435" s="7" t="n">
        <v>0</v>
      </c>
    </row>
    <row r="10436" customFormat="false" ht="15" hidden="false" customHeight="false" outlineLevel="0" collapsed="false">
      <c r="A10436" s="7" t="s">
        <v>25</v>
      </c>
      <c r="B10436" s="7" t="s">
        <v>836</v>
      </c>
      <c r="C10436" s="7" t="s">
        <v>1253</v>
      </c>
      <c r="D10436" s="7" t="n">
        <v>28</v>
      </c>
      <c r="E10436" s="7" t="n">
        <v>4899.95</v>
      </c>
      <c r="F10436" s="7" t="n">
        <v>0</v>
      </c>
      <c r="G10436" s="7" t="n">
        <v>0</v>
      </c>
    </row>
    <row r="10437" customFormat="false" ht="15" hidden="false" customHeight="false" outlineLevel="0" collapsed="false">
      <c r="A10437" s="7" t="s">
        <v>25</v>
      </c>
      <c r="B10437" s="7" t="s">
        <v>836</v>
      </c>
      <c r="C10437" s="7" t="s">
        <v>1253</v>
      </c>
      <c r="D10437" s="7" t="n">
        <v>2</v>
      </c>
      <c r="E10437" s="7" t="n">
        <v>371.94</v>
      </c>
      <c r="F10437" s="7" t="n">
        <v>0</v>
      </c>
      <c r="G10437" s="7" t="n">
        <v>0</v>
      </c>
    </row>
    <row r="10438" customFormat="false" ht="15" hidden="false" customHeight="false" outlineLevel="0" collapsed="false">
      <c r="A10438" s="7" t="s">
        <v>25</v>
      </c>
      <c r="B10438" s="7" t="s">
        <v>836</v>
      </c>
      <c r="C10438" s="7" t="s">
        <v>1253</v>
      </c>
      <c r="D10438" s="7" t="n">
        <v>0</v>
      </c>
      <c r="E10438" s="7" t="n">
        <v>0</v>
      </c>
      <c r="F10438" s="7" t="n">
        <v>11</v>
      </c>
      <c r="G10438" s="7" t="n">
        <v>1768.6</v>
      </c>
    </row>
    <row r="10439" customFormat="false" ht="15" hidden="false" customHeight="false" outlineLevel="0" collapsed="false">
      <c r="A10439" s="7" t="s">
        <v>25</v>
      </c>
      <c r="B10439" s="7" t="s">
        <v>836</v>
      </c>
      <c r="C10439" s="7" t="s">
        <v>1253</v>
      </c>
      <c r="D10439" s="7" t="n">
        <v>32</v>
      </c>
      <c r="E10439" s="7" t="n">
        <v>5602.87</v>
      </c>
      <c r="F10439" s="7" t="n">
        <v>0</v>
      </c>
      <c r="G10439" s="7" t="n">
        <v>0</v>
      </c>
    </row>
    <row r="10440" customFormat="false" ht="15" hidden="false" customHeight="false" outlineLevel="0" collapsed="false">
      <c r="A10440" s="7" t="s">
        <v>25</v>
      </c>
      <c r="B10440" s="7" t="s">
        <v>836</v>
      </c>
      <c r="C10440" s="7" t="s">
        <v>1253</v>
      </c>
      <c r="D10440" s="7" t="n">
        <v>0</v>
      </c>
      <c r="E10440" s="7" t="n">
        <v>0</v>
      </c>
      <c r="F10440" s="7" t="n">
        <v>2</v>
      </c>
      <c r="G10440" s="7" t="n">
        <v>322.64</v>
      </c>
    </row>
    <row r="10441" customFormat="false" ht="15" hidden="false" customHeight="false" outlineLevel="0" collapsed="false">
      <c r="A10441" s="7" t="s">
        <v>25</v>
      </c>
      <c r="B10441" s="7" t="s">
        <v>836</v>
      </c>
      <c r="C10441" s="7" t="s">
        <v>1253</v>
      </c>
      <c r="D10441" s="7" t="n">
        <v>9</v>
      </c>
      <c r="E10441" s="7" t="n">
        <v>1866.44</v>
      </c>
      <c r="F10441" s="7" t="n">
        <v>0</v>
      </c>
      <c r="G10441" s="7" t="n">
        <v>0</v>
      </c>
    </row>
    <row r="10442" customFormat="false" ht="15" hidden="false" customHeight="false" outlineLevel="0" collapsed="false">
      <c r="A10442" s="7" t="s">
        <v>25</v>
      </c>
      <c r="B10442" s="7" t="s">
        <v>836</v>
      </c>
      <c r="C10442" s="7" t="s">
        <v>1253</v>
      </c>
      <c r="D10442" s="7" t="n">
        <v>15</v>
      </c>
      <c r="E10442" s="7" t="n">
        <v>2690.62</v>
      </c>
      <c r="F10442" s="7" t="n">
        <v>0</v>
      </c>
      <c r="G10442" s="7" t="n">
        <v>0</v>
      </c>
    </row>
    <row r="10443" customFormat="false" ht="15" hidden="false" customHeight="false" outlineLevel="0" collapsed="false">
      <c r="A10443" s="7" t="s">
        <v>25</v>
      </c>
      <c r="B10443" s="7" t="s">
        <v>836</v>
      </c>
      <c r="C10443" s="7" t="s">
        <v>1253</v>
      </c>
      <c r="D10443" s="7" t="n">
        <v>0</v>
      </c>
      <c r="E10443" s="7" t="n">
        <v>0</v>
      </c>
      <c r="F10443" s="7" t="n">
        <v>38</v>
      </c>
      <c r="G10443" s="7" t="n">
        <v>6343.54</v>
      </c>
    </row>
    <row r="10444" customFormat="false" ht="15" hidden="false" customHeight="false" outlineLevel="0" collapsed="false">
      <c r="A10444" s="7" t="s">
        <v>25</v>
      </c>
      <c r="B10444" s="7" t="s">
        <v>836</v>
      </c>
      <c r="C10444" s="7" t="s">
        <v>1253</v>
      </c>
      <c r="D10444" s="7" t="n">
        <v>15</v>
      </c>
      <c r="E10444" s="7" t="n">
        <v>2899.48</v>
      </c>
      <c r="F10444" s="7" t="n">
        <v>0</v>
      </c>
      <c r="G10444" s="7" t="n">
        <v>0</v>
      </c>
    </row>
    <row r="10445" customFormat="false" ht="15" hidden="false" customHeight="false" outlineLevel="0" collapsed="false">
      <c r="A10445" s="7" t="s">
        <v>25</v>
      </c>
      <c r="B10445" s="7" t="s">
        <v>836</v>
      </c>
      <c r="C10445" s="7" t="s">
        <v>1253</v>
      </c>
      <c r="D10445" s="7" t="n">
        <v>27</v>
      </c>
      <c r="E10445" s="7" t="n">
        <v>4755.39</v>
      </c>
      <c r="F10445" s="7" t="n">
        <v>0</v>
      </c>
      <c r="G10445" s="7" t="n">
        <v>0</v>
      </c>
    </row>
    <row r="10446" customFormat="false" ht="15" hidden="false" customHeight="false" outlineLevel="0" collapsed="false">
      <c r="A10446" s="7" t="s">
        <v>25</v>
      </c>
      <c r="B10446" s="7" t="s">
        <v>825</v>
      </c>
      <c r="C10446" s="7" t="s">
        <v>1253</v>
      </c>
      <c r="D10446" s="7" t="n">
        <v>109</v>
      </c>
      <c r="E10446" s="7" t="n">
        <v>19189.31</v>
      </c>
      <c r="F10446" s="7" t="n">
        <v>0</v>
      </c>
      <c r="G10446" s="7" t="n">
        <v>0</v>
      </c>
    </row>
    <row r="10447" customFormat="false" ht="15" hidden="false" customHeight="false" outlineLevel="0" collapsed="false">
      <c r="A10447" s="7" t="s">
        <v>25</v>
      </c>
      <c r="B10447" s="7" t="s">
        <v>825</v>
      </c>
      <c r="C10447" s="7" t="s">
        <v>1253</v>
      </c>
      <c r="D10447" s="7" t="n">
        <v>0</v>
      </c>
      <c r="E10447" s="7" t="n">
        <v>0</v>
      </c>
      <c r="F10447" s="7" t="n">
        <v>151</v>
      </c>
      <c r="G10447" s="7" t="n">
        <v>24966.95</v>
      </c>
    </row>
    <row r="10448" customFormat="false" ht="15" hidden="false" customHeight="false" outlineLevel="0" collapsed="false">
      <c r="A10448" s="7" t="s">
        <v>25</v>
      </c>
      <c r="B10448" s="7" t="s">
        <v>825</v>
      </c>
      <c r="C10448" s="7" t="s">
        <v>1253</v>
      </c>
      <c r="D10448" s="7" t="n">
        <v>0</v>
      </c>
      <c r="E10448" s="7" t="n">
        <v>0</v>
      </c>
      <c r="F10448" s="7" t="n">
        <v>126</v>
      </c>
      <c r="G10448" s="7" t="n">
        <v>21076.84</v>
      </c>
    </row>
    <row r="10449" customFormat="false" ht="15" hidden="false" customHeight="false" outlineLevel="0" collapsed="false">
      <c r="A10449" s="7" t="s">
        <v>25</v>
      </c>
      <c r="B10449" s="7" t="s">
        <v>825</v>
      </c>
      <c r="C10449" s="7" t="s">
        <v>1253</v>
      </c>
      <c r="D10449" s="7" t="n">
        <v>0</v>
      </c>
      <c r="E10449" s="7" t="n">
        <v>0</v>
      </c>
      <c r="F10449" s="7" t="n">
        <v>155</v>
      </c>
      <c r="G10449" s="7" t="n">
        <v>24655.27</v>
      </c>
    </row>
    <row r="10450" customFormat="false" ht="15" hidden="false" customHeight="false" outlineLevel="0" collapsed="false">
      <c r="A10450" s="7" t="s">
        <v>25</v>
      </c>
      <c r="B10450" s="7" t="s">
        <v>825</v>
      </c>
      <c r="C10450" s="7" t="s">
        <v>1253</v>
      </c>
      <c r="D10450" s="7" t="n">
        <v>97</v>
      </c>
      <c r="E10450" s="7" t="n">
        <v>17741.38</v>
      </c>
      <c r="F10450" s="7" t="n">
        <v>0</v>
      </c>
      <c r="G10450" s="7" t="n">
        <v>0</v>
      </c>
    </row>
    <row r="10451" customFormat="false" ht="15" hidden="false" customHeight="false" outlineLevel="0" collapsed="false">
      <c r="A10451" s="7" t="s">
        <v>25</v>
      </c>
      <c r="B10451" s="7" t="s">
        <v>825</v>
      </c>
      <c r="C10451" s="7" t="s">
        <v>1253</v>
      </c>
      <c r="D10451" s="7" t="n">
        <v>0</v>
      </c>
      <c r="E10451" s="7" t="n">
        <v>0</v>
      </c>
      <c r="F10451" s="7" t="n">
        <v>140</v>
      </c>
      <c r="G10451" s="7" t="n">
        <v>21224.79</v>
      </c>
    </row>
    <row r="10452" customFormat="false" ht="15" hidden="false" customHeight="false" outlineLevel="0" collapsed="false">
      <c r="A10452" s="7" t="s">
        <v>25</v>
      </c>
      <c r="B10452" s="7" t="s">
        <v>825</v>
      </c>
      <c r="C10452" s="7" t="s">
        <v>1253</v>
      </c>
      <c r="D10452" s="7" t="n">
        <v>37</v>
      </c>
      <c r="E10452" s="7" t="n">
        <v>6590.94</v>
      </c>
      <c r="F10452" s="7" t="n">
        <v>0</v>
      </c>
      <c r="G10452" s="7" t="n">
        <v>0</v>
      </c>
    </row>
    <row r="10453" customFormat="false" ht="15" hidden="false" customHeight="false" outlineLevel="0" collapsed="false">
      <c r="A10453" s="7" t="s">
        <v>25</v>
      </c>
      <c r="B10453" s="7" t="s">
        <v>825</v>
      </c>
      <c r="C10453" s="7" t="s">
        <v>1253</v>
      </c>
      <c r="D10453" s="7" t="n">
        <v>0</v>
      </c>
      <c r="E10453" s="7" t="n">
        <v>0</v>
      </c>
      <c r="F10453" s="7" t="n">
        <v>159</v>
      </c>
      <c r="G10453" s="7" t="n">
        <v>26571.69</v>
      </c>
    </row>
    <row r="10454" customFormat="false" ht="15" hidden="false" customHeight="false" outlineLevel="0" collapsed="false">
      <c r="A10454" s="7" t="s">
        <v>25</v>
      </c>
      <c r="B10454" s="7" t="s">
        <v>825</v>
      </c>
      <c r="C10454" s="7" t="s">
        <v>1253</v>
      </c>
      <c r="D10454" s="7" t="n">
        <v>17</v>
      </c>
      <c r="E10454" s="7" t="n">
        <v>3172.95</v>
      </c>
      <c r="F10454" s="7" t="n">
        <v>0</v>
      </c>
      <c r="G10454" s="7" t="n">
        <v>0</v>
      </c>
    </row>
    <row r="10455" customFormat="false" ht="15" hidden="false" customHeight="false" outlineLevel="0" collapsed="false">
      <c r="A10455" s="7" t="s">
        <v>25</v>
      </c>
      <c r="B10455" s="7" t="s">
        <v>825</v>
      </c>
      <c r="C10455" s="7" t="s">
        <v>1253</v>
      </c>
      <c r="D10455" s="7" t="n">
        <v>54</v>
      </c>
      <c r="E10455" s="7" t="n">
        <v>10021.61</v>
      </c>
      <c r="F10455" s="7" t="n">
        <v>0</v>
      </c>
      <c r="G10455" s="7" t="n">
        <v>0</v>
      </c>
    </row>
    <row r="10456" customFormat="false" ht="15" hidden="false" customHeight="false" outlineLevel="0" collapsed="false">
      <c r="A10456" s="7" t="s">
        <v>25</v>
      </c>
      <c r="B10456" s="7" t="s">
        <v>825</v>
      </c>
      <c r="C10456" s="7" t="s">
        <v>1253</v>
      </c>
      <c r="D10456" s="7" t="n">
        <v>90</v>
      </c>
      <c r="E10456" s="7" t="n">
        <v>15523.85</v>
      </c>
      <c r="F10456" s="7" t="n">
        <v>0</v>
      </c>
      <c r="G10456" s="7" t="n">
        <v>0</v>
      </c>
    </row>
    <row r="10457" customFormat="false" ht="15" hidden="false" customHeight="false" outlineLevel="0" collapsed="false">
      <c r="A10457" s="7" t="s">
        <v>25</v>
      </c>
      <c r="B10457" s="7" t="s">
        <v>825</v>
      </c>
      <c r="C10457" s="7" t="s">
        <v>1253</v>
      </c>
      <c r="D10457" s="7" t="n">
        <v>31</v>
      </c>
      <c r="E10457" s="7" t="n">
        <v>5992.26</v>
      </c>
      <c r="F10457" s="7" t="n">
        <v>0</v>
      </c>
      <c r="G10457" s="7" t="n">
        <v>0</v>
      </c>
    </row>
    <row r="10458" customFormat="false" ht="15" hidden="false" customHeight="false" outlineLevel="0" collapsed="false">
      <c r="A10458" s="7" t="s">
        <v>25</v>
      </c>
      <c r="B10458" s="7" t="s">
        <v>825</v>
      </c>
      <c r="C10458" s="7" t="s">
        <v>1253</v>
      </c>
      <c r="D10458" s="7" t="n">
        <v>115</v>
      </c>
      <c r="E10458" s="7" t="n">
        <v>20128.98</v>
      </c>
      <c r="F10458" s="7" t="n">
        <v>0</v>
      </c>
      <c r="G10458" s="7" t="n">
        <v>0</v>
      </c>
    </row>
    <row r="10459" customFormat="false" ht="15" hidden="false" customHeight="false" outlineLevel="0" collapsed="false">
      <c r="A10459" s="7" t="s">
        <v>25</v>
      </c>
      <c r="B10459" s="7" t="s">
        <v>825</v>
      </c>
      <c r="C10459" s="7" t="s">
        <v>1253</v>
      </c>
      <c r="D10459" s="7" t="n">
        <v>29</v>
      </c>
      <c r="E10459" s="7" t="n">
        <v>5084</v>
      </c>
      <c r="F10459" s="7" t="n">
        <v>0</v>
      </c>
      <c r="G10459" s="7" t="n">
        <v>0</v>
      </c>
    </row>
    <row r="10460" customFormat="false" ht="15" hidden="false" customHeight="false" outlineLevel="0" collapsed="false">
      <c r="A10460" s="7" t="s">
        <v>25</v>
      </c>
      <c r="B10460" s="7" t="s">
        <v>825</v>
      </c>
      <c r="C10460" s="7" t="s">
        <v>1253</v>
      </c>
      <c r="D10460" s="7" t="n">
        <v>83</v>
      </c>
      <c r="E10460" s="7" t="n">
        <v>14174.8</v>
      </c>
      <c r="F10460" s="7" t="n">
        <v>0</v>
      </c>
      <c r="G10460" s="7" t="n">
        <v>0</v>
      </c>
    </row>
    <row r="10461" customFormat="false" ht="15" hidden="false" customHeight="false" outlineLevel="0" collapsed="false">
      <c r="A10461" s="7" t="s">
        <v>25</v>
      </c>
      <c r="B10461" s="7" t="s">
        <v>825</v>
      </c>
      <c r="C10461" s="7" t="s">
        <v>1253</v>
      </c>
      <c r="D10461" s="7" t="n">
        <v>0</v>
      </c>
      <c r="E10461" s="7" t="n">
        <v>0</v>
      </c>
      <c r="F10461" s="7" t="n">
        <v>177</v>
      </c>
      <c r="G10461" s="7" t="n">
        <v>26911.92</v>
      </c>
    </row>
    <row r="10462" customFormat="false" ht="15" hidden="false" customHeight="false" outlineLevel="0" collapsed="false">
      <c r="A10462" s="7" t="s">
        <v>25</v>
      </c>
      <c r="B10462" s="7" t="s">
        <v>825</v>
      </c>
      <c r="C10462" s="7" t="s">
        <v>1253</v>
      </c>
      <c r="D10462" s="7" t="n">
        <v>0</v>
      </c>
      <c r="E10462" s="7" t="n">
        <v>0</v>
      </c>
      <c r="F10462" s="7" t="n">
        <v>125</v>
      </c>
      <c r="G10462" s="7" t="n">
        <v>19415.75</v>
      </c>
    </row>
    <row r="10463" customFormat="false" ht="15" hidden="false" customHeight="false" outlineLevel="0" collapsed="false">
      <c r="A10463" s="7" t="s">
        <v>25</v>
      </c>
      <c r="B10463" s="7" t="s">
        <v>825</v>
      </c>
      <c r="C10463" s="7" t="s">
        <v>1253</v>
      </c>
      <c r="D10463" s="7" t="n">
        <v>95</v>
      </c>
      <c r="E10463" s="7" t="n">
        <v>16195.92</v>
      </c>
      <c r="F10463" s="7" t="n">
        <v>0</v>
      </c>
      <c r="G10463" s="7" t="n">
        <v>0</v>
      </c>
    </row>
    <row r="10464" customFormat="false" ht="15" hidden="false" customHeight="false" outlineLevel="0" collapsed="false">
      <c r="A10464" s="7" t="s">
        <v>25</v>
      </c>
      <c r="B10464" s="7" t="s">
        <v>825</v>
      </c>
      <c r="C10464" s="7" t="s">
        <v>1253</v>
      </c>
      <c r="D10464" s="7" t="n">
        <v>0</v>
      </c>
      <c r="E10464" s="7" t="n">
        <v>0</v>
      </c>
      <c r="F10464" s="7" t="n">
        <v>113</v>
      </c>
      <c r="G10464" s="7" t="n">
        <v>19040.58</v>
      </c>
    </row>
    <row r="10465" customFormat="false" ht="15" hidden="false" customHeight="false" outlineLevel="0" collapsed="false">
      <c r="A10465" s="7" t="s">
        <v>25</v>
      </c>
      <c r="B10465" s="7" t="s">
        <v>825</v>
      </c>
      <c r="C10465" s="7" t="s">
        <v>1253</v>
      </c>
      <c r="D10465" s="7" t="n">
        <v>12</v>
      </c>
      <c r="E10465" s="7" t="n">
        <v>2078.77</v>
      </c>
      <c r="F10465" s="7" t="n">
        <v>0</v>
      </c>
      <c r="G10465" s="7" t="n">
        <v>0</v>
      </c>
    </row>
    <row r="10466" customFormat="false" ht="15" hidden="false" customHeight="false" outlineLevel="0" collapsed="false">
      <c r="A10466" s="7" t="s">
        <v>25</v>
      </c>
      <c r="B10466" s="7" t="s">
        <v>835</v>
      </c>
      <c r="C10466" s="7" t="s">
        <v>1253</v>
      </c>
      <c r="D10466" s="7" t="n">
        <v>0</v>
      </c>
      <c r="E10466" s="7" t="n">
        <v>0</v>
      </c>
      <c r="F10466" s="7" t="n">
        <v>50</v>
      </c>
      <c r="G10466" s="7" t="n">
        <v>8285.39</v>
      </c>
    </row>
    <row r="10467" customFormat="false" ht="15" hidden="false" customHeight="false" outlineLevel="0" collapsed="false">
      <c r="A10467" s="7" t="s">
        <v>25</v>
      </c>
      <c r="B10467" s="7" t="s">
        <v>835</v>
      </c>
      <c r="C10467" s="7" t="s">
        <v>1253</v>
      </c>
      <c r="D10467" s="7" t="n">
        <v>31</v>
      </c>
      <c r="E10467" s="7" t="n">
        <v>5390.18</v>
      </c>
      <c r="F10467" s="7" t="n">
        <v>0</v>
      </c>
      <c r="G10467" s="7" t="n">
        <v>0</v>
      </c>
    </row>
    <row r="10468" customFormat="false" ht="15" hidden="false" customHeight="false" outlineLevel="0" collapsed="false">
      <c r="A10468" s="7" t="s">
        <v>25</v>
      </c>
      <c r="B10468" s="7" t="s">
        <v>835</v>
      </c>
      <c r="C10468" s="7" t="s">
        <v>1253</v>
      </c>
      <c r="D10468" s="7" t="n">
        <v>0</v>
      </c>
      <c r="E10468" s="7" t="n">
        <v>0</v>
      </c>
      <c r="F10468" s="7" t="n">
        <v>30</v>
      </c>
      <c r="G10468" s="7" t="n">
        <v>5012.97</v>
      </c>
    </row>
    <row r="10469" customFormat="false" ht="15" hidden="false" customHeight="false" outlineLevel="0" collapsed="false">
      <c r="A10469" s="7" t="s">
        <v>25</v>
      </c>
      <c r="B10469" s="7" t="s">
        <v>835</v>
      </c>
      <c r="C10469" s="7" t="s">
        <v>1253</v>
      </c>
      <c r="D10469" s="7" t="n">
        <v>47</v>
      </c>
      <c r="E10469" s="7" t="n">
        <v>8049.96</v>
      </c>
      <c r="F10469" s="7" t="n">
        <v>0</v>
      </c>
      <c r="G10469" s="7" t="n">
        <v>0</v>
      </c>
    </row>
    <row r="10470" customFormat="false" ht="15" hidden="false" customHeight="false" outlineLevel="0" collapsed="false">
      <c r="A10470" s="7" t="s">
        <v>25</v>
      </c>
      <c r="B10470" s="7" t="s">
        <v>835</v>
      </c>
      <c r="C10470" s="7" t="s">
        <v>1253</v>
      </c>
      <c r="D10470" s="7" t="n">
        <v>21</v>
      </c>
      <c r="E10470" s="7" t="n">
        <v>3748.31</v>
      </c>
      <c r="F10470" s="7" t="n">
        <v>0</v>
      </c>
      <c r="G10470" s="7" t="n">
        <v>0</v>
      </c>
    </row>
    <row r="10471" customFormat="false" ht="15" hidden="false" customHeight="false" outlineLevel="0" collapsed="false">
      <c r="A10471" s="7" t="s">
        <v>25</v>
      </c>
      <c r="B10471" s="7" t="s">
        <v>835</v>
      </c>
      <c r="C10471" s="7" t="s">
        <v>1253</v>
      </c>
      <c r="D10471" s="7" t="n">
        <v>27</v>
      </c>
      <c r="E10471" s="7" t="n">
        <v>5219.07</v>
      </c>
      <c r="F10471" s="7" t="n">
        <v>0</v>
      </c>
      <c r="G10471" s="7" t="n">
        <v>0</v>
      </c>
    </row>
    <row r="10472" customFormat="false" ht="15" hidden="false" customHeight="false" outlineLevel="0" collapsed="false">
      <c r="A10472" s="7" t="s">
        <v>25</v>
      </c>
      <c r="B10472" s="7" t="s">
        <v>835</v>
      </c>
      <c r="C10472" s="7" t="s">
        <v>1253</v>
      </c>
      <c r="D10472" s="7" t="n">
        <v>20</v>
      </c>
      <c r="E10472" s="7" t="n">
        <v>3506.21</v>
      </c>
      <c r="F10472" s="7" t="n">
        <v>0</v>
      </c>
      <c r="G10472" s="7" t="n">
        <v>0</v>
      </c>
    </row>
    <row r="10473" customFormat="false" ht="15" hidden="false" customHeight="false" outlineLevel="0" collapsed="false">
      <c r="A10473" s="7" t="s">
        <v>25</v>
      </c>
      <c r="B10473" s="7" t="s">
        <v>835</v>
      </c>
      <c r="C10473" s="7" t="s">
        <v>1253</v>
      </c>
      <c r="D10473" s="7" t="n">
        <v>28</v>
      </c>
      <c r="E10473" s="7" t="n">
        <v>5226.03</v>
      </c>
      <c r="F10473" s="7" t="n">
        <v>0</v>
      </c>
      <c r="G10473" s="7" t="n">
        <v>0</v>
      </c>
    </row>
    <row r="10474" customFormat="false" ht="15" hidden="false" customHeight="false" outlineLevel="0" collapsed="false">
      <c r="A10474" s="7" t="s">
        <v>25</v>
      </c>
      <c r="B10474" s="7" t="s">
        <v>835</v>
      </c>
      <c r="C10474" s="7" t="s">
        <v>1253</v>
      </c>
      <c r="D10474" s="7" t="n">
        <v>37</v>
      </c>
      <c r="E10474" s="7" t="n">
        <v>6283.22</v>
      </c>
      <c r="F10474" s="7" t="n">
        <v>0</v>
      </c>
      <c r="G10474" s="7" t="n">
        <v>0</v>
      </c>
    </row>
    <row r="10475" customFormat="false" ht="15" hidden="false" customHeight="false" outlineLevel="0" collapsed="false">
      <c r="A10475" s="7" t="s">
        <v>25</v>
      </c>
      <c r="B10475" s="7" t="s">
        <v>835</v>
      </c>
      <c r="C10475" s="7" t="s">
        <v>1253</v>
      </c>
      <c r="D10475" s="7" t="n">
        <v>0</v>
      </c>
      <c r="E10475" s="7" t="n">
        <v>0</v>
      </c>
      <c r="F10475" s="7" t="n">
        <v>6</v>
      </c>
      <c r="G10475" s="7" t="n">
        <v>839.66</v>
      </c>
    </row>
    <row r="10476" customFormat="false" ht="15" hidden="false" customHeight="false" outlineLevel="0" collapsed="false">
      <c r="A10476" s="7" t="s">
        <v>25</v>
      </c>
      <c r="B10476" s="7" t="s">
        <v>835</v>
      </c>
      <c r="C10476" s="7" t="s">
        <v>1253</v>
      </c>
      <c r="D10476" s="7" t="n">
        <v>0</v>
      </c>
      <c r="E10476" s="7" t="n">
        <v>0</v>
      </c>
      <c r="F10476" s="7" t="n">
        <v>47</v>
      </c>
      <c r="G10476" s="7" t="n">
        <v>7042.11</v>
      </c>
    </row>
    <row r="10477" customFormat="false" ht="15" hidden="false" customHeight="false" outlineLevel="0" collapsed="false">
      <c r="A10477" s="7" t="s">
        <v>25</v>
      </c>
      <c r="B10477" s="7" t="s">
        <v>835</v>
      </c>
      <c r="C10477" s="7" t="s">
        <v>1253</v>
      </c>
      <c r="D10477" s="7" t="n">
        <v>0</v>
      </c>
      <c r="E10477" s="7" t="n">
        <v>0</v>
      </c>
      <c r="F10477" s="7" t="n">
        <v>41</v>
      </c>
      <c r="G10477" s="7" t="n">
        <v>7002.91</v>
      </c>
    </row>
    <row r="10478" customFormat="false" ht="15" hidden="false" customHeight="false" outlineLevel="0" collapsed="false">
      <c r="A10478" s="7" t="s">
        <v>25</v>
      </c>
      <c r="B10478" s="7" t="s">
        <v>835</v>
      </c>
      <c r="C10478" s="7" t="s">
        <v>1253</v>
      </c>
      <c r="D10478" s="7" t="n">
        <v>35</v>
      </c>
      <c r="E10478" s="7" t="n">
        <v>6165.93</v>
      </c>
      <c r="F10478" s="7" t="n">
        <v>0</v>
      </c>
      <c r="G10478" s="7" t="n">
        <v>0</v>
      </c>
    </row>
    <row r="10479" customFormat="false" ht="15" hidden="false" customHeight="false" outlineLevel="0" collapsed="false">
      <c r="A10479" s="7" t="s">
        <v>25</v>
      </c>
      <c r="B10479" s="7" t="s">
        <v>835</v>
      </c>
      <c r="C10479" s="7" t="s">
        <v>1253</v>
      </c>
      <c r="D10479" s="7" t="n">
        <v>3</v>
      </c>
      <c r="E10479" s="7" t="n">
        <v>557.9</v>
      </c>
      <c r="F10479" s="7" t="n">
        <v>0</v>
      </c>
      <c r="G10479" s="7" t="n">
        <v>0</v>
      </c>
    </row>
    <row r="10480" customFormat="false" ht="15" hidden="false" customHeight="false" outlineLevel="0" collapsed="false">
      <c r="A10480" s="7" t="s">
        <v>25</v>
      </c>
      <c r="B10480" s="7" t="s">
        <v>835</v>
      </c>
      <c r="C10480" s="7" t="s">
        <v>1253</v>
      </c>
      <c r="D10480" s="7" t="n">
        <v>25</v>
      </c>
      <c r="E10480" s="7" t="n">
        <v>4727.19</v>
      </c>
      <c r="F10480" s="7" t="n">
        <v>0</v>
      </c>
      <c r="G10480" s="7" t="n">
        <v>0</v>
      </c>
    </row>
    <row r="10481" customFormat="false" ht="15" hidden="false" customHeight="false" outlineLevel="0" collapsed="false">
      <c r="A10481" s="7" t="s">
        <v>25</v>
      </c>
      <c r="B10481" s="7" t="s">
        <v>835</v>
      </c>
      <c r="C10481" s="7" t="s">
        <v>1253</v>
      </c>
      <c r="D10481" s="7" t="n">
        <v>0</v>
      </c>
      <c r="E10481" s="7" t="n">
        <v>0</v>
      </c>
      <c r="F10481" s="7" t="n">
        <v>67</v>
      </c>
      <c r="G10481" s="7" t="n">
        <v>9844.18</v>
      </c>
    </row>
    <row r="10482" customFormat="false" ht="15" hidden="false" customHeight="false" outlineLevel="0" collapsed="false">
      <c r="A10482" s="7" t="s">
        <v>25</v>
      </c>
      <c r="B10482" s="7" t="s">
        <v>835</v>
      </c>
      <c r="C10482" s="7" t="s">
        <v>1253</v>
      </c>
      <c r="D10482" s="7" t="n">
        <v>0</v>
      </c>
      <c r="E10482" s="7" t="n">
        <v>0</v>
      </c>
      <c r="F10482" s="7" t="n">
        <v>45</v>
      </c>
      <c r="G10482" s="7" t="n">
        <v>7137.73</v>
      </c>
    </row>
    <row r="10483" customFormat="false" ht="15" hidden="false" customHeight="false" outlineLevel="0" collapsed="false">
      <c r="A10483" s="7" t="s">
        <v>25</v>
      </c>
      <c r="B10483" s="7" t="s">
        <v>835</v>
      </c>
      <c r="C10483" s="7" t="s">
        <v>1253</v>
      </c>
      <c r="D10483" s="7" t="n">
        <v>42</v>
      </c>
      <c r="E10483" s="7" t="n">
        <v>7353.76</v>
      </c>
      <c r="F10483" s="7" t="n">
        <v>0</v>
      </c>
      <c r="G10483" s="7" t="n">
        <v>0</v>
      </c>
    </row>
    <row r="10484" customFormat="false" ht="15" hidden="false" customHeight="false" outlineLevel="0" collapsed="false">
      <c r="A10484" s="7" t="s">
        <v>25</v>
      </c>
      <c r="B10484" s="7" t="s">
        <v>835</v>
      </c>
      <c r="C10484" s="7" t="s">
        <v>1253</v>
      </c>
      <c r="D10484" s="7" t="n">
        <v>29</v>
      </c>
      <c r="E10484" s="7" t="n">
        <v>5058.37</v>
      </c>
      <c r="F10484" s="7" t="n">
        <v>0</v>
      </c>
      <c r="G10484" s="7" t="n">
        <v>0</v>
      </c>
    </row>
    <row r="10485" customFormat="false" ht="15" hidden="false" customHeight="false" outlineLevel="0" collapsed="false">
      <c r="A10485" s="7" t="s">
        <v>25</v>
      </c>
      <c r="B10485" s="7" t="s">
        <v>835</v>
      </c>
      <c r="C10485" s="7" t="s">
        <v>1253</v>
      </c>
      <c r="D10485" s="7" t="n">
        <v>39</v>
      </c>
      <c r="E10485" s="7" t="n">
        <v>7316.03</v>
      </c>
      <c r="F10485" s="7" t="n">
        <v>0</v>
      </c>
      <c r="G10485" s="7" t="n">
        <v>0</v>
      </c>
    </row>
    <row r="10486" customFormat="false" ht="15" hidden="false" customHeight="false" outlineLevel="0" collapsed="false">
      <c r="A10486" s="7" t="s">
        <v>25</v>
      </c>
      <c r="B10486" s="7" t="s">
        <v>835</v>
      </c>
      <c r="C10486" s="7" t="s">
        <v>1253</v>
      </c>
      <c r="D10486" s="7" t="n">
        <v>0</v>
      </c>
      <c r="E10486" s="7" t="n">
        <v>0</v>
      </c>
      <c r="F10486" s="7" t="n">
        <v>40</v>
      </c>
      <c r="G10486" s="7" t="n">
        <v>6452.88</v>
      </c>
    </row>
    <row r="10487" customFormat="false" ht="15" hidden="false" customHeight="false" outlineLevel="0" collapsed="false">
      <c r="A10487" s="7" t="s">
        <v>25</v>
      </c>
      <c r="B10487" s="7" t="s">
        <v>846</v>
      </c>
      <c r="C10487" s="7" t="s">
        <v>1253</v>
      </c>
      <c r="D10487" s="7" t="n">
        <v>4</v>
      </c>
      <c r="E10487" s="7" t="n">
        <v>699.59</v>
      </c>
      <c r="F10487" s="7" t="n">
        <v>0</v>
      </c>
      <c r="G10487" s="7" t="n">
        <v>0</v>
      </c>
    </row>
    <row r="10488" customFormat="false" ht="15" hidden="false" customHeight="false" outlineLevel="0" collapsed="false">
      <c r="A10488" s="7" t="s">
        <v>25</v>
      </c>
      <c r="B10488" s="7" t="s">
        <v>846</v>
      </c>
      <c r="C10488" s="7" t="s">
        <v>1253</v>
      </c>
      <c r="D10488" s="7" t="n">
        <v>3</v>
      </c>
      <c r="E10488" s="7" t="n">
        <v>528.51</v>
      </c>
      <c r="F10488" s="7" t="n">
        <v>0</v>
      </c>
      <c r="G10488" s="7" t="n">
        <v>0</v>
      </c>
    </row>
    <row r="10489" customFormat="false" ht="15" hidden="false" customHeight="false" outlineLevel="0" collapsed="false">
      <c r="A10489" s="7" t="s">
        <v>25</v>
      </c>
      <c r="B10489" s="7" t="s">
        <v>846</v>
      </c>
      <c r="C10489" s="7" t="s">
        <v>1253</v>
      </c>
      <c r="D10489" s="7" t="n">
        <v>1</v>
      </c>
      <c r="E10489" s="7" t="n">
        <v>182.9</v>
      </c>
      <c r="F10489" s="7" t="n">
        <v>0</v>
      </c>
      <c r="G10489" s="7" t="n">
        <v>0</v>
      </c>
    </row>
    <row r="10490" customFormat="false" ht="15" hidden="false" customHeight="false" outlineLevel="0" collapsed="false">
      <c r="A10490" s="7" t="s">
        <v>25</v>
      </c>
      <c r="B10490" s="7" t="s">
        <v>846</v>
      </c>
      <c r="C10490" s="7" t="s">
        <v>1253</v>
      </c>
      <c r="D10490" s="7" t="n">
        <v>4</v>
      </c>
      <c r="E10490" s="7" t="n">
        <v>713.96</v>
      </c>
      <c r="F10490" s="7" t="n">
        <v>0</v>
      </c>
      <c r="G10490" s="7" t="n">
        <v>0</v>
      </c>
    </row>
    <row r="10491" customFormat="false" ht="15" hidden="false" customHeight="false" outlineLevel="0" collapsed="false">
      <c r="A10491" s="7" t="s">
        <v>25</v>
      </c>
      <c r="B10491" s="7" t="s">
        <v>846</v>
      </c>
      <c r="C10491" s="7" t="s">
        <v>1253</v>
      </c>
      <c r="D10491" s="7" t="n">
        <v>1</v>
      </c>
      <c r="E10491" s="7" t="n">
        <v>175.31</v>
      </c>
      <c r="F10491" s="7" t="n">
        <v>0</v>
      </c>
      <c r="G10491" s="7" t="n">
        <v>0</v>
      </c>
    </row>
    <row r="10492" customFormat="false" ht="15" hidden="false" customHeight="false" outlineLevel="0" collapsed="false">
      <c r="A10492" s="7" t="s">
        <v>25</v>
      </c>
      <c r="B10492" s="7" t="s">
        <v>846</v>
      </c>
      <c r="C10492" s="7" t="s">
        <v>1253</v>
      </c>
      <c r="D10492" s="7" t="n">
        <v>2</v>
      </c>
      <c r="E10492" s="7" t="n">
        <v>348.85</v>
      </c>
      <c r="F10492" s="7" t="n">
        <v>0</v>
      </c>
      <c r="G10492" s="7" t="n">
        <v>0</v>
      </c>
    </row>
    <row r="10493" customFormat="false" ht="15" hidden="false" customHeight="false" outlineLevel="0" collapsed="false">
      <c r="A10493" s="7" t="s">
        <v>25</v>
      </c>
      <c r="B10493" s="7" t="s">
        <v>846</v>
      </c>
      <c r="C10493" s="7" t="s">
        <v>1253</v>
      </c>
      <c r="D10493" s="7" t="n">
        <v>1</v>
      </c>
      <c r="E10493" s="7" t="n">
        <v>184.99</v>
      </c>
      <c r="F10493" s="7" t="n">
        <v>0</v>
      </c>
      <c r="G10493" s="7" t="n">
        <v>0</v>
      </c>
    </row>
    <row r="10494" customFormat="false" ht="15" hidden="false" customHeight="false" outlineLevel="0" collapsed="false">
      <c r="A10494" s="7" t="s">
        <v>25</v>
      </c>
      <c r="B10494" s="7" t="s">
        <v>846</v>
      </c>
      <c r="C10494" s="7" t="s">
        <v>1253</v>
      </c>
      <c r="D10494" s="7" t="n">
        <v>13</v>
      </c>
      <c r="E10494" s="7" t="n">
        <v>2276.16</v>
      </c>
      <c r="F10494" s="7" t="n">
        <v>0</v>
      </c>
      <c r="G10494" s="7" t="n">
        <v>0</v>
      </c>
    </row>
    <row r="10495" customFormat="false" ht="15" hidden="false" customHeight="false" outlineLevel="0" collapsed="false">
      <c r="A10495" s="7" t="s">
        <v>25</v>
      </c>
      <c r="B10495" s="7" t="s">
        <v>846</v>
      </c>
      <c r="C10495" s="7" t="s">
        <v>1253</v>
      </c>
      <c r="D10495" s="7" t="n">
        <v>8</v>
      </c>
      <c r="E10495" s="7" t="n">
        <v>1399.99</v>
      </c>
      <c r="F10495" s="7" t="n">
        <v>0</v>
      </c>
      <c r="G10495" s="7" t="n">
        <v>0</v>
      </c>
    </row>
    <row r="10496" customFormat="false" ht="15" hidden="false" customHeight="false" outlineLevel="0" collapsed="false">
      <c r="A10496" s="7" t="s">
        <v>25</v>
      </c>
      <c r="B10496" s="7" t="s">
        <v>869</v>
      </c>
      <c r="C10496" s="7" t="s">
        <v>1253</v>
      </c>
      <c r="D10496" s="7" t="n">
        <v>0</v>
      </c>
      <c r="E10496" s="7" t="n">
        <v>0</v>
      </c>
      <c r="F10496" s="7" t="n">
        <v>8</v>
      </c>
      <c r="G10496" s="7" t="n">
        <v>1115.27</v>
      </c>
    </row>
    <row r="10497" customFormat="false" ht="15" hidden="false" customHeight="false" outlineLevel="0" collapsed="false">
      <c r="A10497" s="7" t="s">
        <v>25</v>
      </c>
      <c r="B10497" s="7" t="s">
        <v>869</v>
      </c>
      <c r="C10497" s="7" t="s">
        <v>1253</v>
      </c>
      <c r="D10497" s="7" t="n">
        <v>1</v>
      </c>
      <c r="E10497" s="7" t="n">
        <v>175.09</v>
      </c>
      <c r="F10497" s="7" t="n">
        <v>0</v>
      </c>
      <c r="G10497" s="7" t="n">
        <v>0</v>
      </c>
    </row>
    <row r="10498" customFormat="false" ht="15" hidden="false" customHeight="false" outlineLevel="0" collapsed="false">
      <c r="A10498" s="7" t="s">
        <v>25</v>
      </c>
      <c r="B10498" s="7" t="s">
        <v>869</v>
      </c>
      <c r="C10498" s="7" t="s">
        <v>1253</v>
      </c>
      <c r="D10498" s="7" t="n">
        <v>0</v>
      </c>
      <c r="E10498" s="7" t="n">
        <v>0</v>
      </c>
      <c r="F10498" s="7" t="n">
        <v>1</v>
      </c>
      <c r="G10498" s="7" t="n">
        <v>154.72</v>
      </c>
    </row>
    <row r="10499" customFormat="false" ht="15" hidden="false" customHeight="false" outlineLevel="0" collapsed="false">
      <c r="A10499" s="7" t="s">
        <v>25</v>
      </c>
      <c r="B10499" s="7" t="s">
        <v>869</v>
      </c>
      <c r="C10499" s="7" t="s">
        <v>1253</v>
      </c>
      <c r="D10499" s="7" t="n">
        <v>0</v>
      </c>
      <c r="E10499" s="7" t="n">
        <v>0</v>
      </c>
      <c r="F10499" s="7" t="n">
        <v>4</v>
      </c>
      <c r="G10499" s="7" t="n">
        <v>674.23</v>
      </c>
    </row>
    <row r="10500" customFormat="false" ht="15" hidden="false" customHeight="false" outlineLevel="0" collapsed="false">
      <c r="A10500" s="7" t="s">
        <v>25</v>
      </c>
      <c r="B10500" s="7" t="s">
        <v>869</v>
      </c>
      <c r="C10500" s="7" t="s">
        <v>1253</v>
      </c>
      <c r="D10500" s="7" t="n">
        <v>0</v>
      </c>
      <c r="E10500" s="7" t="n">
        <v>0</v>
      </c>
      <c r="F10500" s="7" t="n">
        <v>2</v>
      </c>
      <c r="G10500" s="7" t="n">
        <v>321.5</v>
      </c>
    </row>
    <row r="10501" customFormat="false" ht="15" hidden="false" customHeight="false" outlineLevel="0" collapsed="false">
      <c r="A10501" s="7" t="s">
        <v>25</v>
      </c>
      <c r="B10501" s="7" t="s">
        <v>869</v>
      </c>
      <c r="C10501" s="7" t="s">
        <v>1253</v>
      </c>
      <c r="D10501" s="7" t="n">
        <v>1</v>
      </c>
      <c r="E10501" s="7" t="n">
        <v>178.49</v>
      </c>
      <c r="F10501" s="7" t="n">
        <v>0</v>
      </c>
      <c r="G10501" s="7" t="n">
        <v>0</v>
      </c>
    </row>
    <row r="10502" customFormat="false" ht="15" hidden="false" customHeight="false" outlineLevel="0" collapsed="false">
      <c r="A10502" s="7" t="s">
        <v>25</v>
      </c>
      <c r="B10502" s="7" t="s">
        <v>869</v>
      </c>
      <c r="C10502" s="7" t="s">
        <v>1253</v>
      </c>
      <c r="D10502" s="7" t="n">
        <v>7</v>
      </c>
      <c r="E10502" s="7" t="n">
        <v>1233.19</v>
      </c>
      <c r="F10502" s="7" t="n">
        <v>0</v>
      </c>
      <c r="G10502" s="7" t="n">
        <v>0</v>
      </c>
    </row>
    <row r="10503" customFormat="false" ht="15" hidden="false" customHeight="false" outlineLevel="0" collapsed="false">
      <c r="A10503" s="7" t="s">
        <v>25</v>
      </c>
      <c r="B10503" s="7" t="s">
        <v>869</v>
      </c>
      <c r="C10503" s="7" t="s">
        <v>1253</v>
      </c>
      <c r="D10503" s="7" t="n">
        <v>4</v>
      </c>
      <c r="E10503" s="7" t="n">
        <v>711.24</v>
      </c>
      <c r="F10503" s="7" t="n">
        <v>0</v>
      </c>
      <c r="G10503" s="7" t="n">
        <v>0</v>
      </c>
    </row>
    <row r="10504" customFormat="false" ht="15" hidden="false" customHeight="false" outlineLevel="0" collapsed="false">
      <c r="A10504" s="7" t="s">
        <v>25</v>
      </c>
      <c r="B10504" s="7" t="s">
        <v>869</v>
      </c>
      <c r="C10504" s="7" t="s">
        <v>1253</v>
      </c>
      <c r="D10504" s="7" t="n">
        <v>2</v>
      </c>
      <c r="E10504" s="7" t="n">
        <v>346.46</v>
      </c>
      <c r="F10504" s="7" t="n">
        <v>0</v>
      </c>
      <c r="G10504" s="7" t="n">
        <v>0</v>
      </c>
    </row>
    <row r="10505" customFormat="false" ht="15" hidden="false" customHeight="false" outlineLevel="0" collapsed="false">
      <c r="A10505" s="7" t="s">
        <v>25</v>
      </c>
      <c r="B10505" s="7" t="s">
        <v>826</v>
      </c>
      <c r="C10505" s="7" t="s">
        <v>1317</v>
      </c>
      <c r="D10505" s="7" t="n">
        <v>0</v>
      </c>
      <c r="E10505" s="7" t="n">
        <v>42266.02</v>
      </c>
      <c r="F10505" s="7" t="n">
        <v>0</v>
      </c>
      <c r="G10505" s="7" t="n">
        <v>0</v>
      </c>
    </row>
    <row r="10506" customFormat="false" ht="15" hidden="false" customHeight="false" outlineLevel="0" collapsed="false">
      <c r="A10506" s="7" t="s">
        <v>25</v>
      </c>
      <c r="B10506" s="7" t="s">
        <v>245</v>
      </c>
      <c r="C10506" s="7" t="s">
        <v>1161</v>
      </c>
      <c r="D10506" s="7" t="n">
        <v>0</v>
      </c>
      <c r="E10506" s="7" t="n">
        <v>0</v>
      </c>
      <c r="F10506" s="7" t="n">
        <v>1</v>
      </c>
      <c r="G10506" s="7" t="n">
        <v>58.93</v>
      </c>
    </row>
    <row r="10507" customFormat="false" ht="15" hidden="false" customHeight="false" outlineLevel="0" collapsed="false">
      <c r="A10507" s="7" t="s">
        <v>25</v>
      </c>
      <c r="B10507" s="7" t="s">
        <v>245</v>
      </c>
      <c r="C10507" s="7" t="s">
        <v>1161</v>
      </c>
      <c r="D10507" s="7" t="n">
        <v>0</v>
      </c>
      <c r="E10507" s="7" t="n">
        <v>0</v>
      </c>
      <c r="F10507" s="7" t="n">
        <v>4</v>
      </c>
      <c r="G10507" s="7" t="n">
        <v>244.19</v>
      </c>
    </row>
    <row r="10508" customFormat="false" ht="15" hidden="false" customHeight="false" outlineLevel="0" collapsed="false">
      <c r="A10508" s="7" t="s">
        <v>25</v>
      </c>
      <c r="B10508" s="7" t="s">
        <v>245</v>
      </c>
      <c r="C10508" s="7" t="s">
        <v>1161</v>
      </c>
      <c r="D10508" s="7" t="n">
        <v>0</v>
      </c>
      <c r="E10508" s="7" t="n">
        <v>0</v>
      </c>
      <c r="F10508" s="7" t="n">
        <v>1</v>
      </c>
      <c r="G10508" s="7" t="n">
        <v>63.21</v>
      </c>
    </row>
    <row r="10509" customFormat="false" ht="15" hidden="false" customHeight="false" outlineLevel="0" collapsed="false">
      <c r="A10509" s="7" t="s">
        <v>25</v>
      </c>
      <c r="B10509" s="7" t="s">
        <v>245</v>
      </c>
      <c r="C10509" s="7" t="s">
        <v>1161</v>
      </c>
      <c r="D10509" s="7" t="n">
        <v>0</v>
      </c>
      <c r="E10509" s="7" t="n">
        <v>0</v>
      </c>
      <c r="F10509" s="7" t="n">
        <v>1</v>
      </c>
      <c r="G10509" s="7" t="n">
        <v>56.14</v>
      </c>
    </row>
    <row r="10510" customFormat="false" ht="15" hidden="false" customHeight="false" outlineLevel="0" collapsed="false">
      <c r="A10510" s="7" t="s">
        <v>25</v>
      </c>
      <c r="B10510" s="7" t="s">
        <v>245</v>
      </c>
      <c r="C10510" s="7" t="s">
        <v>1161</v>
      </c>
      <c r="D10510" s="7" t="n">
        <v>0</v>
      </c>
      <c r="E10510" s="7" t="n">
        <v>0</v>
      </c>
      <c r="F10510" s="7" t="n">
        <v>3</v>
      </c>
      <c r="G10510" s="7" t="n">
        <v>187.04</v>
      </c>
    </row>
    <row r="10511" customFormat="false" ht="15" hidden="false" customHeight="false" outlineLevel="0" collapsed="false">
      <c r="A10511" s="7" t="s">
        <v>25</v>
      </c>
      <c r="B10511" s="7" t="s">
        <v>245</v>
      </c>
      <c r="C10511" s="7" t="s">
        <v>1161</v>
      </c>
      <c r="D10511" s="7" t="n">
        <v>0</v>
      </c>
      <c r="E10511" s="7" t="n">
        <v>0</v>
      </c>
      <c r="F10511" s="7" t="n">
        <v>1</v>
      </c>
      <c r="G10511" s="7" t="n">
        <v>59.47</v>
      </c>
    </row>
    <row r="10512" customFormat="false" ht="15" hidden="false" customHeight="false" outlineLevel="0" collapsed="false">
      <c r="A10512" s="7" t="s">
        <v>25</v>
      </c>
      <c r="B10512" s="7" t="s">
        <v>245</v>
      </c>
      <c r="C10512" s="7" t="s">
        <v>1161</v>
      </c>
      <c r="D10512" s="7" t="n">
        <v>3</v>
      </c>
      <c r="E10512" s="7" t="n">
        <v>219.63</v>
      </c>
      <c r="F10512" s="7" t="n">
        <v>0</v>
      </c>
      <c r="G10512" s="7" t="n">
        <v>0</v>
      </c>
    </row>
    <row r="10513" customFormat="false" ht="15" hidden="false" customHeight="false" outlineLevel="0" collapsed="false">
      <c r="A10513" s="7" t="s">
        <v>25</v>
      </c>
      <c r="B10513" s="7" t="s">
        <v>245</v>
      </c>
      <c r="C10513" s="7" t="s">
        <v>1161</v>
      </c>
      <c r="D10513" s="7" t="n">
        <v>0</v>
      </c>
      <c r="E10513" s="7" t="n">
        <v>0</v>
      </c>
      <c r="F10513" s="7" t="n">
        <v>10</v>
      </c>
      <c r="G10513" s="7" t="n">
        <v>627.29</v>
      </c>
    </row>
    <row r="10514" customFormat="false" ht="15" hidden="false" customHeight="false" outlineLevel="0" collapsed="false">
      <c r="A10514" s="7" t="s">
        <v>25</v>
      </c>
      <c r="B10514" s="7" t="s">
        <v>245</v>
      </c>
      <c r="C10514" s="7" t="s">
        <v>1161</v>
      </c>
      <c r="D10514" s="7" t="n">
        <v>0</v>
      </c>
      <c r="E10514" s="7" t="n">
        <v>0</v>
      </c>
      <c r="F10514" s="7" t="n">
        <v>1</v>
      </c>
      <c r="G10514" s="7" t="n">
        <v>59.67</v>
      </c>
    </row>
    <row r="10515" customFormat="false" ht="15" hidden="false" customHeight="false" outlineLevel="0" collapsed="false">
      <c r="A10515" s="7" t="s">
        <v>25</v>
      </c>
      <c r="B10515" s="7" t="s">
        <v>870</v>
      </c>
      <c r="C10515" s="7" t="s">
        <v>1069</v>
      </c>
      <c r="D10515" s="7" t="n">
        <v>0</v>
      </c>
      <c r="E10515" s="7" t="n">
        <v>0</v>
      </c>
      <c r="F10515" s="7" t="n">
        <v>1</v>
      </c>
      <c r="G10515" s="7" t="n">
        <v>41.69</v>
      </c>
    </row>
    <row r="10516" customFormat="false" ht="15" hidden="false" customHeight="false" outlineLevel="0" collapsed="false">
      <c r="A10516" s="7" t="s">
        <v>25</v>
      </c>
      <c r="B10516" s="7" t="s">
        <v>870</v>
      </c>
      <c r="C10516" s="7" t="s">
        <v>1069</v>
      </c>
      <c r="D10516" s="7" t="n">
        <v>0</v>
      </c>
      <c r="E10516" s="7" t="n">
        <v>0</v>
      </c>
      <c r="F10516" s="7" t="n">
        <v>3</v>
      </c>
      <c r="G10516" s="7" t="n">
        <v>140.81</v>
      </c>
    </row>
    <row r="10517" customFormat="false" ht="15" hidden="false" customHeight="false" outlineLevel="0" collapsed="false">
      <c r="A10517" s="7" t="s">
        <v>25</v>
      </c>
      <c r="B10517" s="7" t="s">
        <v>870</v>
      </c>
      <c r="C10517" s="7" t="s">
        <v>1069</v>
      </c>
      <c r="D10517" s="7" t="n">
        <v>0</v>
      </c>
      <c r="E10517" s="7" t="n">
        <v>0</v>
      </c>
      <c r="F10517" s="7" t="n">
        <v>2</v>
      </c>
      <c r="G10517" s="7" t="n">
        <v>88.33</v>
      </c>
    </row>
    <row r="10518" customFormat="false" ht="15" hidden="false" customHeight="false" outlineLevel="0" collapsed="false">
      <c r="A10518" s="7" t="s">
        <v>25</v>
      </c>
      <c r="B10518" s="7" t="s">
        <v>870</v>
      </c>
      <c r="C10518" s="7" t="s">
        <v>1069</v>
      </c>
      <c r="D10518" s="7" t="n">
        <v>0</v>
      </c>
      <c r="E10518" s="7" t="n">
        <v>0</v>
      </c>
      <c r="F10518" s="7" t="n">
        <v>1</v>
      </c>
      <c r="G10518" s="7" t="n">
        <v>43.76</v>
      </c>
    </row>
    <row r="10519" customFormat="false" ht="15" hidden="false" customHeight="false" outlineLevel="0" collapsed="false">
      <c r="A10519" s="7" t="s">
        <v>25</v>
      </c>
      <c r="B10519" s="7" t="s">
        <v>873</v>
      </c>
      <c r="C10519" s="7" t="s">
        <v>1318</v>
      </c>
      <c r="D10519" s="7" t="n">
        <v>1</v>
      </c>
      <c r="E10519" s="7" t="n">
        <v>46.39</v>
      </c>
      <c r="F10519" s="7" t="n">
        <v>0</v>
      </c>
      <c r="G10519" s="7" t="n">
        <v>0</v>
      </c>
    </row>
    <row r="10520" customFormat="false" ht="15" hidden="false" customHeight="false" outlineLevel="0" collapsed="false">
      <c r="A10520" s="7" t="s">
        <v>25</v>
      </c>
      <c r="B10520" s="7" t="s">
        <v>270</v>
      </c>
      <c r="C10520" s="7" t="s">
        <v>1275</v>
      </c>
      <c r="D10520" s="7" t="n">
        <v>0</v>
      </c>
      <c r="E10520" s="7" t="n">
        <v>0</v>
      </c>
      <c r="F10520" s="7" t="n">
        <v>1380</v>
      </c>
      <c r="G10520" s="7" t="n">
        <v>82242.01</v>
      </c>
    </row>
    <row r="10521" customFormat="false" ht="15" hidden="false" customHeight="false" outlineLevel="0" collapsed="false">
      <c r="A10521" s="7" t="s">
        <v>25</v>
      </c>
      <c r="B10521" s="7" t="s">
        <v>270</v>
      </c>
      <c r="C10521" s="7" t="s">
        <v>1275</v>
      </c>
      <c r="D10521" s="7" t="n">
        <v>1350</v>
      </c>
      <c r="E10521" s="7" t="n">
        <v>88637.21</v>
      </c>
      <c r="F10521" s="7" t="n">
        <v>0</v>
      </c>
      <c r="G10521" s="7" t="n">
        <v>0</v>
      </c>
    </row>
    <row r="10522" customFormat="false" ht="15" hidden="false" customHeight="false" outlineLevel="0" collapsed="false">
      <c r="A10522" s="7" t="s">
        <v>25</v>
      </c>
      <c r="B10522" s="7" t="s">
        <v>270</v>
      </c>
      <c r="C10522" s="7" t="s">
        <v>1275</v>
      </c>
      <c r="D10522" s="7" t="n">
        <v>0</v>
      </c>
      <c r="E10522" s="7" t="n">
        <v>0</v>
      </c>
      <c r="F10522" s="7" t="n">
        <v>1968</v>
      </c>
      <c r="G10522" s="7" t="n">
        <v>110469.46</v>
      </c>
    </row>
    <row r="10523" customFormat="false" ht="15" hidden="false" customHeight="false" outlineLevel="0" collapsed="false">
      <c r="A10523" s="7" t="s">
        <v>25</v>
      </c>
      <c r="B10523" s="7" t="s">
        <v>270</v>
      </c>
      <c r="C10523" s="7" t="s">
        <v>1275</v>
      </c>
      <c r="D10523" s="7" t="n">
        <v>0</v>
      </c>
      <c r="E10523" s="7" t="n">
        <v>0</v>
      </c>
      <c r="F10523" s="7" t="n">
        <v>1235</v>
      </c>
      <c r="G10523" s="7" t="n">
        <v>76885.93</v>
      </c>
    </row>
    <row r="10524" customFormat="false" ht="15" hidden="false" customHeight="false" outlineLevel="0" collapsed="false">
      <c r="A10524" s="7" t="s">
        <v>25</v>
      </c>
      <c r="B10524" s="7" t="s">
        <v>270</v>
      </c>
      <c r="C10524" s="7" t="s">
        <v>1275</v>
      </c>
      <c r="D10524" s="7" t="n">
        <v>0</v>
      </c>
      <c r="E10524" s="7" t="n">
        <v>0</v>
      </c>
      <c r="F10524" s="7" t="n">
        <v>1611</v>
      </c>
      <c r="G10524" s="7" t="n">
        <v>95457.02</v>
      </c>
    </row>
    <row r="10525" customFormat="false" ht="15" hidden="false" customHeight="false" outlineLevel="0" collapsed="false">
      <c r="A10525" s="7" t="s">
        <v>25</v>
      </c>
      <c r="B10525" s="7" t="s">
        <v>270</v>
      </c>
      <c r="C10525" s="7" t="s">
        <v>1275</v>
      </c>
      <c r="D10525" s="7" t="n">
        <v>846</v>
      </c>
      <c r="E10525" s="7" t="n">
        <v>52699.27</v>
      </c>
      <c r="F10525" s="7" t="n">
        <v>0</v>
      </c>
      <c r="G10525" s="7" t="n">
        <v>0</v>
      </c>
    </row>
    <row r="10526" customFormat="false" ht="15" hidden="false" customHeight="false" outlineLevel="0" collapsed="false">
      <c r="A10526" s="7" t="s">
        <v>25</v>
      </c>
      <c r="B10526" s="7" t="s">
        <v>270</v>
      </c>
      <c r="C10526" s="7" t="s">
        <v>1275</v>
      </c>
      <c r="D10526" s="7" t="n">
        <v>0</v>
      </c>
      <c r="E10526" s="7" t="n">
        <v>0</v>
      </c>
      <c r="F10526" s="7" t="n">
        <v>1023</v>
      </c>
      <c r="G10526" s="7" t="n">
        <v>63073.56</v>
      </c>
    </row>
    <row r="10527" customFormat="false" ht="15" hidden="false" customHeight="false" outlineLevel="0" collapsed="false">
      <c r="A10527" s="7" t="s">
        <v>25</v>
      </c>
      <c r="B10527" s="7" t="s">
        <v>270</v>
      </c>
      <c r="C10527" s="7" t="s">
        <v>1275</v>
      </c>
      <c r="D10527" s="7" t="n">
        <v>0</v>
      </c>
      <c r="E10527" s="7" t="n">
        <v>0</v>
      </c>
      <c r="F10527" s="7" t="n">
        <v>1234</v>
      </c>
      <c r="G10527" s="7" t="n">
        <v>77866.15</v>
      </c>
    </row>
    <row r="10528" customFormat="false" ht="15" hidden="false" customHeight="false" outlineLevel="0" collapsed="false">
      <c r="A10528" s="7" t="s">
        <v>25</v>
      </c>
      <c r="B10528" s="7" t="s">
        <v>270</v>
      </c>
      <c r="C10528" s="7" t="s">
        <v>1275</v>
      </c>
      <c r="D10528" s="7" t="n">
        <v>1386</v>
      </c>
      <c r="E10528" s="7" t="n">
        <v>97089.87</v>
      </c>
      <c r="F10528" s="7" t="n">
        <v>0</v>
      </c>
      <c r="G10528" s="7" t="n">
        <v>0</v>
      </c>
    </row>
    <row r="10529" customFormat="false" ht="15" hidden="false" customHeight="false" outlineLevel="0" collapsed="false">
      <c r="A10529" s="7" t="s">
        <v>25</v>
      </c>
      <c r="B10529" s="7" t="s">
        <v>270</v>
      </c>
      <c r="C10529" s="7" t="s">
        <v>1275</v>
      </c>
      <c r="D10529" s="7" t="n">
        <v>1257</v>
      </c>
      <c r="E10529" s="7" t="n">
        <v>80064.28</v>
      </c>
      <c r="F10529" s="7" t="n">
        <v>0</v>
      </c>
      <c r="G10529" s="7" t="n">
        <v>0</v>
      </c>
    </row>
    <row r="10530" customFormat="false" ht="15" hidden="false" customHeight="false" outlineLevel="0" collapsed="false">
      <c r="A10530" s="7" t="s">
        <v>25</v>
      </c>
      <c r="B10530" s="7" t="s">
        <v>270</v>
      </c>
      <c r="C10530" s="7" t="s">
        <v>1275</v>
      </c>
      <c r="D10530" s="7" t="n">
        <v>1162</v>
      </c>
      <c r="E10530" s="7" t="n">
        <v>78856.61</v>
      </c>
      <c r="F10530" s="7" t="n">
        <v>0</v>
      </c>
      <c r="G10530" s="7" t="n">
        <v>0</v>
      </c>
    </row>
    <row r="10531" customFormat="false" ht="15" hidden="false" customHeight="false" outlineLevel="0" collapsed="false">
      <c r="A10531" s="7" t="s">
        <v>25</v>
      </c>
      <c r="B10531" s="7" t="s">
        <v>270</v>
      </c>
      <c r="C10531" s="7" t="s">
        <v>1275</v>
      </c>
      <c r="D10531" s="7" t="n">
        <v>415</v>
      </c>
      <c r="E10531" s="7" t="n">
        <v>27878.45</v>
      </c>
      <c r="F10531" s="7" t="n">
        <v>0</v>
      </c>
      <c r="G10531" s="7" t="n">
        <v>0</v>
      </c>
    </row>
    <row r="10532" customFormat="false" ht="15" hidden="false" customHeight="false" outlineLevel="0" collapsed="false">
      <c r="A10532" s="7" t="s">
        <v>25</v>
      </c>
      <c r="B10532" s="7" t="s">
        <v>270</v>
      </c>
      <c r="C10532" s="7" t="s">
        <v>1275</v>
      </c>
      <c r="D10532" s="7" t="n">
        <v>854</v>
      </c>
      <c r="E10532" s="7" t="n">
        <v>60995.28</v>
      </c>
      <c r="F10532" s="7" t="n">
        <v>0</v>
      </c>
      <c r="G10532" s="7" t="n">
        <v>0</v>
      </c>
    </row>
    <row r="10533" customFormat="false" ht="15" hidden="false" customHeight="false" outlineLevel="0" collapsed="false">
      <c r="A10533" s="7" t="s">
        <v>25</v>
      </c>
      <c r="B10533" s="7" t="s">
        <v>270</v>
      </c>
      <c r="C10533" s="7" t="s">
        <v>1275</v>
      </c>
      <c r="D10533" s="7" t="n">
        <v>1533</v>
      </c>
      <c r="E10533" s="7" t="n">
        <v>99458.33</v>
      </c>
      <c r="F10533" s="7" t="n">
        <v>0</v>
      </c>
      <c r="G10533" s="7" t="n">
        <v>0</v>
      </c>
    </row>
    <row r="10534" customFormat="false" ht="15" hidden="false" customHeight="false" outlineLevel="0" collapsed="false">
      <c r="A10534" s="7" t="s">
        <v>25</v>
      </c>
      <c r="B10534" s="7" t="s">
        <v>270</v>
      </c>
      <c r="C10534" s="7" t="s">
        <v>1275</v>
      </c>
      <c r="D10534" s="7" t="n">
        <v>1598</v>
      </c>
      <c r="E10534" s="7" t="n">
        <v>103200.59</v>
      </c>
      <c r="F10534" s="7" t="n">
        <v>0</v>
      </c>
      <c r="G10534" s="7" t="n">
        <v>0</v>
      </c>
    </row>
    <row r="10535" customFormat="false" ht="15" hidden="false" customHeight="false" outlineLevel="0" collapsed="false">
      <c r="A10535" s="7" t="s">
        <v>25</v>
      </c>
      <c r="B10535" s="7" t="s">
        <v>270</v>
      </c>
      <c r="C10535" s="7" t="s">
        <v>1275</v>
      </c>
      <c r="D10535" s="7" t="n">
        <v>1912</v>
      </c>
      <c r="E10535" s="7" t="n">
        <v>125947.36</v>
      </c>
      <c r="F10535" s="7" t="n">
        <v>0</v>
      </c>
      <c r="G10535" s="7" t="n">
        <v>0</v>
      </c>
    </row>
    <row r="10536" customFormat="false" ht="15" hidden="false" customHeight="false" outlineLevel="0" collapsed="false">
      <c r="A10536" s="7" t="s">
        <v>25</v>
      </c>
      <c r="B10536" s="7" t="s">
        <v>270</v>
      </c>
      <c r="C10536" s="7" t="s">
        <v>1275</v>
      </c>
      <c r="D10536" s="7" t="n">
        <v>0</v>
      </c>
      <c r="E10536" s="7" t="n">
        <v>0</v>
      </c>
      <c r="F10536" s="7" t="n">
        <v>1689</v>
      </c>
      <c r="G10536" s="7" t="n">
        <v>99714.67</v>
      </c>
    </row>
    <row r="10537" customFormat="false" ht="15" hidden="false" customHeight="false" outlineLevel="0" collapsed="false">
      <c r="A10537" s="7" t="s">
        <v>25</v>
      </c>
      <c r="B10537" s="7" t="s">
        <v>270</v>
      </c>
      <c r="C10537" s="7" t="s">
        <v>1275</v>
      </c>
      <c r="D10537" s="7" t="n">
        <v>868</v>
      </c>
      <c r="E10537" s="7" t="n">
        <v>64350.85</v>
      </c>
      <c r="F10537" s="7" t="n">
        <v>0</v>
      </c>
      <c r="G10537" s="7" t="n">
        <v>0</v>
      </c>
    </row>
    <row r="10538" customFormat="false" ht="15" hidden="false" customHeight="false" outlineLevel="0" collapsed="false">
      <c r="A10538" s="7" t="s">
        <v>25</v>
      </c>
      <c r="B10538" s="7" t="s">
        <v>270</v>
      </c>
      <c r="C10538" s="7" t="s">
        <v>1275</v>
      </c>
      <c r="D10538" s="7" t="n">
        <v>1320</v>
      </c>
      <c r="E10538" s="7" t="n">
        <v>95680.74</v>
      </c>
      <c r="F10538" s="7" t="n">
        <v>0</v>
      </c>
      <c r="G10538" s="7" t="n">
        <v>0</v>
      </c>
    </row>
    <row r="10539" customFormat="false" ht="15" hidden="false" customHeight="false" outlineLevel="0" collapsed="false">
      <c r="A10539" s="7" t="s">
        <v>25</v>
      </c>
      <c r="B10539" s="7" t="s">
        <v>270</v>
      </c>
      <c r="C10539" s="7" t="s">
        <v>1275</v>
      </c>
      <c r="D10539" s="7" t="n">
        <v>1840</v>
      </c>
      <c r="E10539" s="7" t="n">
        <v>122525.64</v>
      </c>
      <c r="F10539" s="7" t="n">
        <v>0</v>
      </c>
      <c r="G10539" s="7" t="n">
        <v>0</v>
      </c>
    </row>
    <row r="10540" customFormat="false" ht="15" hidden="false" customHeight="false" outlineLevel="0" collapsed="false">
      <c r="A10540" s="7" t="s">
        <v>25</v>
      </c>
      <c r="B10540" s="7" t="s">
        <v>270</v>
      </c>
      <c r="C10540" s="7" t="s">
        <v>1275</v>
      </c>
      <c r="D10540" s="7" t="n">
        <v>0</v>
      </c>
      <c r="E10540" s="7" t="n">
        <v>0</v>
      </c>
      <c r="F10540" s="7" t="n">
        <v>1645</v>
      </c>
      <c r="G10540" s="7" t="n">
        <v>100253.46</v>
      </c>
    </row>
    <row r="10541" customFormat="false" ht="15" hidden="false" customHeight="false" outlineLevel="0" collapsed="false">
      <c r="A10541" s="7" t="s">
        <v>25</v>
      </c>
      <c r="B10541" s="7" t="s">
        <v>177</v>
      </c>
      <c r="C10541" s="7" t="s">
        <v>1275</v>
      </c>
      <c r="D10541" s="7" t="n">
        <v>0</v>
      </c>
      <c r="E10541" s="7" t="n">
        <v>0</v>
      </c>
      <c r="F10541" s="7" t="n">
        <v>79</v>
      </c>
      <c r="G10541" s="7" t="n">
        <v>5885.25</v>
      </c>
    </row>
    <row r="10542" customFormat="false" ht="15" hidden="false" customHeight="false" outlineLevel="0" collapsed="false">
      <c r="A10542" s="7" t="s">
        <v>25</v>
      </c>
      <c r="B10542" s="7" t="s">
        <v>177</v>
      </c>
      <c r="C10542" s="7" t="s">
        <v>1275</v>
      </c>
      <c r="D10542" s="7" t="n">
        <v>95</v>
      </c>
      <c r="E10542" s="7" t="n">
        <v>7557.46</v>
      </c>
      <c r="F10542" s="7" t="n">
        <v>0</v>
      </c>
      <c r="G10542" s="7" t="n">
        <v>0</v>
      </c>
    </row>
    <row r="10543" customFormat="false" ht="15" hidden="false" customHeight="false" outlineLevel="0" collapsed="false">
      <c r="A10543" s="7" t="s">
        <v>25</v>
      </c>
      <c r="B10543" s="7" t="s">
        <v>177</v>
      </c>
      <c r="C10543" s="7" t="s">
        <v>1275</v>
      </c>
      <c r="D10543" s="7" t="n">
        <v>0</v>
      </c>
      <c r="E10543" s="7" t="n">
        <v>0</v>
      </c>
      <c r="F10543" s="7" t="n">
        <v>92</v>
      </c>
      <c r="G10543" s="7" t="n">
        <v>6766.94</v>
      </c>
    </row>
    <row r="10544" customFormat="false" ht="15" hidden="false" customHeight="false" outlineLevel="0" collapsed="false">
      <c r="A10544" s="7" t="s">
        <v>25</v>
      </c>
      <c r="B10544" s="7" t="s">
        <v>177</v>
      </c>
      <c r="C10544" s="7" t="s">
        <v>1275</v>
      </c>
      <c r="D10544" s="7" t="n">
        <v>0</v>
      </c>
      <c r="E10544" s="7" t="n">
        <v>0</v>
      </c>
      <c r="F10544" s="7" t="n">
        <v>97</v>
      </c>
      <c r="G10544" s="7" t="n">
        <v>7480.59</v>
      </c>
    </row>
    <row r="10545" customFormat="false" ht="15" hidden="false" customHeight="false" outlineLevel="0" collapsed="false">
      <c r="A10545" s="7" t="s">
        <v>25</v>
      </c>
      <c r="B10545" s="7" t="s">
        <v>177</v>
      </c>
      <c r="C10545" s="7" t="s">
        <v>1275</v>
      </c>
      <c r="D10545" s="7" t="n">
        <v>101</v>
      </c>
      <c r="E10545" s="7" t="n">
        <v>8509.87</v>
      </c>
      <c r="F10545" s="7" t="n">
        <v>0</v>
      </c>
      <c r="G10545" s="7" t="n">
        <v>0</v>
      </c>
    </row>
    <row r="10546" customFormat="false" ht="15" hidden="false" customHeight="false" outlineLevel="0" collapsed="false">
      <c r="A10546" s="7" t="s">
        <v>25</v>
      </c>
      <c r="B10546" s="7" t="s">
        <v>177</v>
      </c>
      <c r="C10546" s="7" t="s">
        <v>1275</v>
      </c>
      <c r="D10546" s="7" t="n">
        <v>116</v>
      </c>
      <c r="E10546" s="7" t="n">
        <v>9391.06</v>
      </c>
      <c r="F10546" s="7" t="n">
        <v>0</v>
      </c>
      <c r="G10546" s="7" t="n">
        <v>0</v>
      </c>
    </row>
    <row r="10547" customFormat="false" ht="15" hidden="false" customHeight="false" outlineLevel="0" collapsed="false">
      <c r="A10547" s="7" t="s">
        <v>25</v>
      </c>
      <c r="B10547" s="7" t="s">
        <v>177</v>
      </c>
      <c r="C10547" s="7" t="s">
        <v>1275</v>
      </c>
      <c r="D10547" s="7" t="n">
        <v>0</v>
      </c>
      <c r="E10547" s="7" t="n">
        <v>0</v>
      </c>
      <c r="F10547" s="7" t="n">
        <v>75</v>
      </c>
      <c r="G10547" s="7" t="n">
        <v>5725</v>
      </c>
    </row>
    <row r="10548" customFormat="false" ht="15" hidden="false" customHeight="false" outlineLevel="0" collapsed="false">
      <c r="A10548" s="7" t="s">
        <v>25</v>
      </c>
      <c r="B10548" s="7" t="s">
        <v>177</v>
      </c>
      <c r="C10548" s="7" t="s">
        <v>1275</v>
      </c>
      <c r="D10548" s="7" t="n">
        <v>0</v>
      </c>
      <c r="E10548" s="7" t="n">
        <v>0</v>
      </c>
      <c r="F10548" s="7" t="n">
        <v>124</v>
      </c>
      <c r="G10548" s="7" t="n">
        <v>9864.48</v>
      </c>
    </row>
    <row r="10549" customFormat="false" ht="15" hidden="false" customHeight="false" outlineLevel="0" collapsed="false">
      <c r="A10549" s="7" t="s">
        <v>25</v>
      </c>
      <c r="B10549" s="7" t="s">
        <v>177</v>
      </c>
      <c r="C10549" s="7" t="s">
        <v>1275</v>
      </c>
      <c r="D10549" s="7" t="n">
        <v>119</v>
      </c>
      <c r="E10549" s="7" t="n">
        <v>9717.39</v>
      </c>
      <c r="F10549" s="7" t="n">
        <v>0</v>
      </c>
      <c r="G10549" s="7" t="n">
        <v>0</v>
      </c>
    </row>
    <row r="10550" customFormat="false" ht="15" hidden="false" customHeight="false" outlineLevel="0" collapsed="false">
      <c r="A10550" s="7" t="s">
        <v>25</v>
      </c>
      <c r="B10550" s="7" t="s">
        <v>177</v>
      </c>
      <c r="C10550" s="7" t="s">
        <v>1275</v>
      </c>
      <c r="D10550" s="7" t="n">
        <v>0</v>
      </c>
      <c r="E10550" s="7" t="n">
        <v>0</v>
      </c>
      <c r="F10550" s="7" t="n">
        <v>97</v>
      </c>
      <c r="G10550" s="7" t="n">
        <v>6875.85</v>
      </c>
    </row>
    <row r="10551" customFormat="false" ht="15" hidden="false" customHeight="false" outlineLevel="0" collapsed="false">
      <c r="A10551" s="7" t="s">
        <v>25</v>
      </c>
      <c r="B10551" s="7" t="s">
        <v>177</v>
      </c>
      <c r="C10551" s="7" t="s">
        <v>1275</v>
      </c>
      <c r="D10551" s="7" t="n">
        <v>107</v>
      </c>
      <c r="E10551" s="7" t="n">
        <v>8217.54</v>
      </c>
      <c r="F10551" s="7" t="n">
        <v>0</v>
      </c>
      <c r="G10551" s="7" t="n">
        <v>0</v>
      </c>
    </row>
    <row r="10552" customFormat="false" ht="15" hidden="false" customHeight="false" outlineLevel="0" collapsed="false">
      <c r="A10552" s="7" t="s">
        <v>25</v>
      </c>
      <c r="B10552" s="7" t="s">
        <v>177</v>
      </c>
      <c r="C10552" s="7" t="s">
        <v>1275</v>
      </c>
      <c r="D10552" s="7" t="n">
        <v>153</v>
      </c>
      <c r="E10552" s="7" t="n">
        <v>12509.07</v>
      </c>
      <c r="F10552" s="7" t="n">
        <v>0</v>
      </c>
      <c r="G10552" s="7" t="n">
        <v>0</v>
      </c>
    </row>
    <row r="10553" customFormat="false" ht="15" hidden="false" customHeight="false" outlineLevel="0" collapsed="false">
      <c r="A10553" s="7" t="s">
        <v>25</v>
      </c>
      <c r="B10553" s="7" t="s">
        <v>177</v>
      </c>
      <c r="C10553" s="7" t="s">
        <v>1275</v>
      </c>
      <c r="D10553" s="7" t="n">
        <v>85</v>
      </c>
      <c r="E10553" s="7" t="n">
        <v>7437.78</v>
      </c>
      <c r="F10553" s="7" t="n">
        <v>0</v>
      </c>
      <c r="G10553" s="7" t="n">
        <v>0</v>
      </c>
    </row>
    <row r="10554" customFormat="false" ht="15" hidden="false" customHeight="false" outlineLevel="0" collapsed="false">
      <c r="A10554" s="7" t="s">
        <v>25</v>
      </c>
      <c r="B10554" s="7" t="s">
        <v>177</v>
      </c>
      <c r="C10554" s="7" t="s">
        <v>1275</v>
      </c>
      <c r="D10554" s="7" t="n">
        <v>150</v>
      </c>
      <c r="E10554" s="7" t="n">
        <v>11258.43</v>
      </c>
      <c r="F10554" s="7" t="n">
        <v>0</v>
      </c>
      <c r="G10554" s="7" t="n">
        <v>0</v>
      </c>
    </row>
    <row r="10555" customFormat="false" ht="15" hidden="false" customHeight="false" outlineLevel="0" collapsed="false">
      <c r="A10555" s="7" t="s">
        <v>25</v>
      </c>
      <c r="B10555" s="7" t="s">
        <v>177</v>
      </c>
      <c r="C10555" s="7" t="s">
        <v>1275</v>
      </c>
      <c r="D10555" s="7" t="n">
        <v>64</v>
      </c>
      <c r="E10555" s="7" t="n">
        <v>5160.28</v>
      </c>
      <c r="F10555" s="7" t="n">
        <v>0</v>
      </c>
      <c r="G10555" s="7" t="n">
        <v>0</v>
      </c>
    </row>
    <row r="10556" customFormat="false" ht="15" hidden="false" customHeight="false" outlineLevel="0" collapsed="false">
      <c r="A10556" s="7" t="s">
        <v>25</v>
      </c>
      <c r="B10556" s="7" t="s">
        <v>177</v>
      </c>
      <c r="C10556" s="7" t="s">
        <v>1275</v>
      </c>
      <c r="D10556" s="7" t="n">
        <v>146</v>
      </c>
      <c r="E10556" s="7" t="n">
        <v>11740.5</v>
      </c>
      <c r="F10556" s="7" t="n">
        <v>0</v>
      </c>
      <c r="G10556" s="7" t="n">
        <v>0</v>
      </c>
    </row>
    <row r="10557" customFormat="false" ht="15" hidden="false" customHeight="false" outlineLevel="0" collapsed="false">
      <c r="A10557" s="7" t="s">
        <v>25</v>
      </c>
      <c r="B10557" s="7" t="s">
        <v>177</v>
      </c>
      <c r="C10557" s="7" t="s">
        <v>1275</v>
      </c>
      <c r="D10557" s="7" t="n">
        <v>0</v>
      </c>
      <c r="E10557" s="7" t="n">
        <v>0</v>
      </c>
      <c r="F10557" s="7" t="n">
        <v>104</v>
      </c>
      <c r="G10557" s="7" t="n">
        <v>7660.32</v>
      </c>
    </row>
    <row r="10558" customFormat="false" ht="15" hidden="false" customHeight="false" outlineLevel="0" collapsed="false">
      <c r="A10558" s="7" t="s">
        <v>25</v>
      </c>
      <c r="B10558" s="7" t="s">
        <v>177</v>
      </c>
      <c r="C10558" s="7" t="s">
        <v>1275</v>
      </c>
      <c r="D10558" s="7" t="n">
        <v>0</v>
      </c>
      <c r="E10558" s="7" t="n">
        <v>0</v>
      </c>
      <c r="F10558" s="7" t="n">
        <v>82</v>
      </c>
      <c r="G10558" s="7" t="n">
        <v>6334.1</v>
      </c>
    </row>
    <row r="10559" customFormat="false" ht="15" hidden="false" customHeight="false" outlineLevel="0" collapsed="false">
      <c r="A10559" s="7" t="s">
        <v>25</v>
      </c>
      <c r="B10559" s="7" t="s">
        <v>177</v>
      </c>
      <c r="C10559" s="7" t="s">
        <v>1275</v>
      </c>
      <c r="D10559" s="7" t="n">
        <v>97</v>
      </c>
      <c r="E10559" s="7" t="n">
        <v>7903.28</v>
      </c>
      <c r="F10559" s="7" t="n">
        <v>0</v>
      </c>
      <c r="G10559" s="7" t="n">
        <v>0</v>
      </c>
    </row>
    <row r="10560" customFormat="false" ht="15" hidden="false" customHeight="false" outlineLevel="0" collapsed="false">
      <c r="A10560" s="7" t="s">
        <v>25</v>
      </c>
      <c r="B10560" s="7" t="s">
        <v>177</v>
      </c>
      <c r="C10560" s="7" t="s">
        <v>1275</v>
      </c>
      <c r="D10560" s="7" t="n">
        <v>42</v>
      </c>
      <c r="E10560" s="7" t="n">
        <v>3391.32</v>
      </c>
      <c r="F10560" s="7" t="n">
        <v>0</v>
      </c>
      <c r="G10560" s="7" t="n">
        <v>0</v>
      </c>
    </row>
    <row r="10561" customFormat="false" ht="15" hidden="false" customHeight="false" outlineLevel="0" collapsed="false">
      <c r="A10561" s="7" t="s">
        <v>25</v>
      </c>
      <c r="B10561" s="7" t="s">
        <v>177</v>
      </c>
      <c r="C10561" s="7" t="s">
        <v>1275</v>
      </c>
      <c r="D10561" s="7" t="n">
        <v>80</v>
      </c>
      <c r="E10561" s="7" t="n">
        <v>6974.31</v>
      </c>
      <c r="F10561" s="7" t="n">
        <v>0</v>
      </c>
      <c r="G10561" s="7" t="n">
        <v>0</v>
      </c>
    </row>
    <row r="10562" customFormat="false" ht="15" hidden="false" customHeight="false" outlineLevel="0" collapsed="false">
      <c r="A10562" s="7" t="s">
        <v>25</v>
      </c>
      <c r="B10562" s="7" t="s">
        <v>823</v>
      </c>
      <c r="C10562" s="7" t="s">
        <v>1319</v>
      </c>
      <c r="D10562" s="7" t="n">
        <v>133</v>
      </c>
      <c r="E10562" s="7" t="n">
        <v>9534.52</v>
      </c>
      <c r="F10562" s="7" t="n">
        <v>0</v>
      </c>
      <c r="G10562" s="7" t="n">
        <v>0</v>
      </c>
    </row>
    <row r="10563" customFormat="false" ht="15" hidden="false" customHeight="false" outlineLevel="0" collapsed="false">
      <c r="A10563" s="7" t="s">
        <v>25</v>
      </c>
      <c r="B10563" s="7" t="s">
        <v>823</v>
      </c>
      <c r="C10563" s="7" t="s">
        <v>1319</v>
      </c>
      <c r="D10563" s="7" t="n">
        <v>12</v>
      </c>
      <c r="E10563" s="7" t="n">
        <v>887.41</v>
      </c>
      <c r="F10563" s="7" t="n">
        <v>0</v>
      </c>
      <c r="G10563" s="7" t="n">
        <v>0</v>
      </c>
    </row>
    <row r="10564" customFormat="false" ht="15" hidden="false" customHeight="false" outlineLevel="0" collapsed="false">
      <c r="A10564" s="7" t="s">
        <v>25</v>
      </c>
      <c r="B10564" s="7" t="s">
        <v>823</v>
      </c>
      <c r="C10564" s="7" t="s">
        <v>1319</v>
      </c>
      <c r="D10564" s="7" t="n">
        <v>0</v>
      </c>
      <c r="E10564" s="7" t="n">
        <v>0</v>
      </c>
      <c r="F10564" s="7" t="n">
        <v>64</v>
      </c>
      <c r="G10564" s="7" t="n">
        <v>4372</v>
      </c>
    </row>
    <row r="10565" customFormat="false" ht="15" hidden="false" customHeight="false" outlineLevel="0" collapsed="false">
      <c r="A10565" s="7" t="s">
        <v>25</v>
      </c>
      <c r="B10565" s="7" t="s">
        <v>823</v>
      </c>
      <c r="C10565" s="7" t="s">
        <v>1319</v>
      </c>
      <c r="D10565" s="7" t="n">
        <v>78</v>
      </c>
      <c r="E10565" s="7" t="n">
        <v>5460.1</v>
      </c>
      <c r="F10565" s="7" t="n">
        <v>0</v>
      </c>
      <c r="G10565" s="7" t="n">
        <v>0</v>
      </c>
    </row>
    <row r="10566" customFormat="false" ht="15" hidden="false" customHeight="false" outlineLevel="0" collapsed="false">
      <c r="A10566" s="7" t="s">
        <v>25</v>
      </c>
      <c r="B10566" s="7" t="s">
        <v>823</v>
      </c>
      <c r="C10566" s="7" t="s">
        <v>1319</v>
      </c>
      <c r="D10566" s="7" t="n">
        <v>191</v>
      </c>
      <c r="E10566" s="7" t="n">
        <v>13981.97</v>
      </c>
      <c r="F10566" s="7" t="n">
        <v>0</v>
      </c>
      <c r="G10566" s="7" t="n">
        <v>0</v>
      </c>
    </row>
    <row r="10567" customFormat="false" ht="15" hidden="false" customHeight="false" outlineLevel="0" collapsed="false">
      <c r="A10567" s="7" t="s">
        <v>25</v>
      </c>
      <c r="B10567" s="7" t="s">
        <v>823</v>
      </c>
      <c r="C10567" s="7" t="s">
        <v>1319</v>
      </c>
      <c r="D10567" s="7" t="n">
        <v>0</v>
      </c>
      <c r="E10567" s="7" t="n">
        <v>0</v>
      </c>
      <c r="F10567" s="7" t="n">
        <v>62</v>
      </c>
      <c r="G10567" s="7" t="n">
        <v>4479.14</v>
      </c>
    </row>
    <row r="10568" customFormat="false" ht="15" hidden="false" customHeight="false" outlineLevel="0" collapsed="false">
      <c r="A10568" s="7" t="s">
        <v>25</v>
      </c>
      <c r="B10568" s="7" t="s">
        <v>823</v>
      </c>
      <c r="C10568" s="7" t="s">
        <v>1319</v>
      </c>
      <c r="D10568" s="7" t="n">
        <v>94</v>
      </c>
      <c r="E10568" s="7" t="n">
        <v>6533.81</v>
      </c>
      <c r="F10568" s="7" t="n">
        <v>0</v>
      </c>
      <c r="G10568" s="7" t="n">
        <v>0</v>
      </c>
    </row>
    <row r="10569" customFormat="false" ht="15" hidden="false" customHeight="false" outlineLevel="0" collapsed="false">
      <c r="A10569" s="7" t="s">
        <v>25</v>
      </c>
      <c r="B10569" s="7" t="s">
        <v>823</v>
      </c>
      <c r="C10569" s="7" t="s">
        <v>1319</v>
      </c>
      <c r="D10569" s="7" t="n">
        <v>0</v>
      </c>
      <c r="E10569" s="7" t="n">
        <v>0</v>
      </c>
      <c r="F10569" s="7" t="n">
        <v>93</v>
      </c>
      <c r="G10569" s="7" t="n">
        <v>5934.84</v>
      </c>
    </row>
    <row r="10570" customFormat="false" ht="15" hidden="false" customHeight="false" outlineLevel="0" collapsed="false">
      <c r="A10570" s="7" t="s">
        <v>25</v>
      </c>
      <c r="B10570" s="7" t="s">
        <v>823</v>
      </c>
      <c r="C10570" s="7" t="s">
        <v>1319</v>
      </c>
      <c r="D10570" s="7" t="n">
        <v>206</v>
      </c>
      <c r="E10570" s="7" t="n">
        <v>15034.63</v>
      </c>
      <c r="F10570" s="7" t="n">
        <v>0</v>
      </c>
      <c r="G10570" s="7" t="n">
        <v>0</v>
      </c>
    </row>
    <row r="10571" customFormat="false" ht="15" hidden="false" customHeight="false" outlineLevel="0" collapsed="false">
      <c r="A10571" s="7" t="s">
        <v>25</v>
      </c>
      <c r="B10571" s="7" t="s">
        <v>823</v>
      </c>
      <c r="C10571" s="7" t="s">
        <v>1319</v>
      </c>
      <c r="D10571" s="7" t="n">
        <v>120</v>
      </c>
      <c r="E10571" s="7" t="n">
        <v>8549.85</v>
      </c>
      <c r="F10571" s="7" t="n">
        <v>0</v>
      </c>
      <c r="G10571" s="7" t="n">
        <v>0</v>
      </c>
    </row>
    <row r="10572" customFormat="false" ht="15" hidden="false" customHeight="false" outlineLevel="0" collapsed="false">
      <c r="A10572" s="7" t="s">
        <v>25</v>
      </c>
      <c r="B10572" s="7" t="s">
        <v>823</v>
      </c>
      <c r="C10572" s="7" t="s">
        <v>1319</v>
      </c>
      <c r="D10572" s="7" t="n">
        <v>2</v>
      </c>
      <c r="E10572" s="7" t="n">
        <v>71.69</v>
      </c>
      <c r="F10572" s="7" t="n">
        <v>0</v>
      </c>
      <c r="G10572" s="7" t="n">
        <v>0</v>
      </c>
    </row>
    <row r="10573" customFormat="false" ht="15" hidden="false" customHeight="false" outlineLevel="0" collapsed="false">
      <c r="A10573" s="7" t="s">
        <v>25</v>
      </c>
      <c r="B10573" s="7" t="s">
        <v>823</v>
      </c>
      <c r="C10573" s="7" t="s">
        <v>1319</v>
      </c>
      <c r="D10573" s="7" t="n">
        <v>0</v>
      </c>
      <c r="E10573" s="7" t="n">
        <v>0</v>
      </c>
      <c r="F10573" s="7" t="n">
        <v>60</v>
      </c>
      <c r="G10573" s="7" t="n">
        <v>4302.74</v>
      </c>
    </row>
    <row r="10574" customFormat="false" ht="15" hidden="false" customHeight="false" outlineLevel="0" collapsed="false">
      <c r="A10574" s="7" t="s">
        <v>25</v>
      </c>
      <c r="B10574" s="7" t="s">
        <v>823</v>
      </c>
      <c r="C10574" s="7" t="s">
        <v>1319</v>
      </c>
      <c r="D10574" s="7" t="n">
        <v>0</v>
      </c>
      <c r="E10574" s="7" t="n">
        <v>0</v>
      </c>
      <c r="F10574" s="7" t="n">
        <v>59</v>
      </c>
      <c r="G10574" s="7" t="n">
        <v>3996.33</v>
      </c>
    </row>
    <row r="10575" customFormat="false" ht="15" hidden="false" customHeight="false" outlineLevel="0" collapsed="false">
      <c r="A10575" s="7" t="s">
        <v>25</v>
      </c>
      <c r="B10575" s="7" t="s">
        <v>823</v>
      </c>
      <c r="C10575" s="7" t="s">
        <v>1319</v>
      </c>
      <c r="D10575" s="7" t="n">
        <v>0</v>
      </c>
      <c r="E10575" s="7" t="n">
        <v>0</v>
      </c>
      <c r="F10575" s="7" t="n">
        <v>33</v>
      </c>
      <c r="G10575" s="7" t="n">
        <v>2317.24</v>
      </c>
    </row>
    <row r="10576" customFormat="false" ht="15" hidden="false" customHeight="false" outlineLevel="0" collapsed="false">
      <c r="A10576" s="7" t="s">
        <v>25</v>
      </c>
      <c r="B10576" s="7" t="s">
        <v>823</v>
      </c>
      <c r="C10576" s="7" t="s">
        <v>1319</v>
      </c>
      <c r="D10576" s="7" t="n">
        <v>143</v>
      </c>
      <c r="E10576" s="7" t="n">
        <v>10241.36</v>
      </c>
      <c r="F10576" s="7" t="n">
        <v>0</v>
      </c>
      <c r="G10576" s="7" t="n">
        <v>0</v>
      </c>
    </row>
    <row r="10577" customFormat="false" ht="15" hidden="false" customHeight="false" outlineLevel="0" collapsed="false">
      <c r="A10577" s="7" t="s">
        <v>25</v>
      </c>
      <c r="B10577" s="7" t="s">
        <v>823</v>
      </c>
      <c r="C10577" s="7" t="s">
        <v>1319</v>
      </c>
      <c r="D10577" s="7" t="n">
        <v>209</v>
      </c>
      <c r="E10577" s="7" t="n">
        <v>15369.51</v>
      </c>
      <c r="F10577" s="7" t="n">
        <v>0</v>
      </c>
      <c r="G10577" s="7" t="n">
        <v>0</v>
      </c>
    </row>
    <row r="10578" customFormat="false" ht="15" hidden="false" customHeight="false" outlineLevel="0" collapsed="false">
      <c r="A10578" s="7" t="s">
        <v>25</v>
      </c>
      <c r="B10578" s="7" t="s">
        <v>823</v>
      </c>
      <c r="C10578" s="7" t="s">
        <v>1319</v>
      </c>
      <c r="D10578" s="7" t="n">
        <v>0</v>
      </c>
      <c r="E10578" s="7" t="n">
        <v>0</v>
      </c>
      <c r="F10578" s="7" t="n">
        <v>66</v>
      </c>
      <c r="G10578" s="7" t="n">
        <v>4617.74</v>
      </c>
    </row>
    <row r="10579" customFormat="false" ht="15" hidden="false" customHeight="false" outlineLevel="0" collapsed="false">
      <c r="A10579" s="7" t="s">
        <v>25</v>
      </c>
      <c r="B10579" s="7" t="s">
        <v>823</v>
      </c>
      <c r="C10579" s="7" t="s">
        <v>1319</v>
      </c>
      <c r="D10579" s="7" t="n">
        <v>1</v>
      </c>
      <c r="E10579" s="7" t="n">
        <v>67</v>
      </c>
      <c r="F10579" s="7" t="n">
        <v>0</v>
      </c>
      <c r="G10579" s="7" t="n">
        <v>0</v>
      </c>
    </row>
    <row r="10580" customFormat="false" ht="15" hidden="false" customHeight="false" outlineLevel="0" collapsed="false">
      <c r="A10580" s="7" t="s">
        <v>25</v>
      </c>
      <c r="B10580" s="7" t="s">
        <v>823</v>
      </c>
      <c r="C10580" s="7" t="s">
        <v>1319</v>
      </c>
      <c r="D10580" s="7" t="n">
        <v>0</v>
      </c>
      <c r="E10580" s="7" t="n">
        <v>0</v>
      </c>
      <c r="F10580" s="7" t="n">
        <v>38</v>
      </c>
      <c r="G10580" s="7" t="n">
        <v>2608.11</v>
      </c>
    </row>
    <row r="10581" customFormat="false" ht="15" hidden="false" customHeight="false" outlineLevel="0" collapsed="false">
      <c r="A10581" s="7" t="s">
        <v>25</v>
      </c>
      <c r="B10581" s="7" t="s">
        <v>857</v>
      </c>
      <c r="C10581" s="7" t="s">
        <v>1320</v>
      </c>
      <c r="D10581" s="7" t="n">
        <v>0</v>
      </c>
      <c r="E10581" s="7" t="n">
        <v>0</v>
      </c>
      <c r="F10581" s="7" t="n">
        <v>26</v>
      </c>
      <c r="G10581" s="7" t="n">
        <v>2172.93</v>
      </c>
    </row>
    <row r="10582" customFormat="false" ht="15" hidden="false" customHeight="false" outlineLevel="0" collapsed="false">
      <c r="A10582" s="7" t="s">
        <v>29</v>
      </c>
      <c r="B10582" s="7" t="s">
        <v>349</v>
      </c>
      <c r="C10582" s="7" t="s">
        <v>1034</v>
      </c>
      <c r="D10582" s="7" t="n">
        <v>1</v>
      </c>
      <c r="E10582" s="7" t="n">
        <v>0.04</v>
      </c>
      <c r="F10582" s="7" t="n">
        <v>0</v>
      </c>
      <c r="G10582" s="7" t="n">
        <v>0</v>
      </c>
    </row>
    <row r="10583" customFormat="false" ht="15" hidden="false" customHeight="false" outlineLevel="0" collapsed="false">
      <c r="A10583" s="7" t="s">
        <v>29</v>
      </c>
      <c r="B10583" s="7" t="s">
        <v>349</v>
      </c>
      <c r="C10583" s="7" t="s">
        <v>1034</v>
      </c>
      <c r="D10583" s="7" t="n">
        <v>0</v>
      </c>
      <c r="E10583" s="7" t="n">
        <v>0</v>
      </c>
      <c r="F10583" s="7" t="n">
        <v>1</v>
      </c>
      <c r="G10583" s="7" t="n">
        <v>0.03</v>
      </c>
    </row>
    <row r="10584" customFormat="false" ht="15" hidden="false" customHeight="false" outlineLevel="0" collapsed="false">
      <c r="A10584" s="7" t="s">
        <v>29</v>
      </c>
      <c r="B10584" s="7" t="s">
        <v>349</v>
      </c>
      <c r="C10584" s="7" t="s">
        <v>1034</v>
      </c>
      <c r="D10584" s="7" t="n">
        <v>0</v>
      </c>
      <c r="E10584" s="7" t="n">
        <v>0</v>
      </c>
      <c r="F10584" s="7" t="n">
        <v>10</v>
      </c>
      <c r="G10584" s="7" t="n">
        <v>453.49</v>
      </c>
    </row>
    <row r="10585" customFormat="false" ht="15" hidden="false" customHeight="false" outlineLevel="0" collapsed="false">
      <c r="A10585" s="7" t="s">
        <v>29</v>
      </c>
      <c r="B10585" s="7" t="s">
        <v>349</v>
      </c>
      <c r="C10585" s="7" t="s">
        <v>1034</v>
      </c>
      <c r="D10585" s="7" t="n">
        <v>0</v>
      </c>
      <c r="E10585" s="7" t="n">
        <v>0</v>
      </c>
      <c r="F10585" s="7" t="n">
        <v>30</v>
      </c>
      <c r="G10585" s="7" t="n">
        <v>1450.8</v>
      </c>
    </row>
    <row r="10586" customFormat="false" ht="15" hidden="false" customHeight="false" outlineLevel="0" collapsed="false">
      <c r="A10586" s="7" t="s">
        <v>29</v>
      </c>
      <c r="B10586" s="7" t="s">
        <v>349</v>
      </c>
      <c r="C10586" s="7" t="s">
        <v>1034</v>
      </c>
      <c r="D10586" s="7" t="n">
        <v>20</v>
      </c>
      <c r="E10586" s="7" t="n">
        <v>1149.41</v>
      </c>
      <c r="F10586" s="7" t="n">
        <v>0</v>
      </c>
      <c r="G10586" s="7" t="n">
        <v>0</v>
      </c>
    </row>
    <row r="10587" customFormat="false" ht="15" hidden="false" customHeight="false" outlineLevel="0" collapsed="false">
      <c r="A10587" s="7" t="s">
        <v>29</v>
      </c>
      <c r="B10587" s="7" t="s">
        <v>160</v>
      </c>
      <c r="C10587" s="7" t="s">
        <v>1034</v>
      </c>
      <c r="D10587" s="7" t="n">
        <v>10</v>
      </c>
      <c r="E10587" s="7" t="n">
        <v>574.7</v>
      </c>
      <c r="F10587" s="7" t="n">
        <v>0</v>
      </c>
      <c r="G10587" s="7" t="n">
        <v>0</v>
      </c>
    </row>
    <row r="10588" customFormat="false" ht="15" hidden="false" customHeight="false" outlineLevel="0" collapsed="false">
      <c r="A10588" s="7" t="s">
        <v>29</v>
      </c>
      <c r="B10588" s="7" t="s">
        <v>160</v>
      </c>
      <c r="C10588" s="7" t="s">
        <v>1034</v>
      </c>
      <c r="D10588" s="7" t="n">
        <v>0</v>
      </c>
      <c r="E10588" s="7" t="n">
        <v>0</v>
      </c>
      <c r="F10588" s="7" t="n">
        <v>10</v>
      </c>
      <c r="G10588" s="7" t="n">
        <v>476.89</v>
      </c>
    </row>
    <row r="10589" customFormat="false" ht="15" hidden="false" customHeight="false" outlineLevel="0" collapsed="false">
      <c r="A10589" s="7" t="s">
        <v>29</v>
      </c>
      <c r="B10589" s="7" t="s">
        <v>160</v>
      </c>
      <c r="C10589" s="7" t="s">
        <v>1034</v>
      </c>
      <c r="D10589" s="7" t="n">
        <v>0</v>
      </c>
      <c r="E10589" s="7" t="n">
        <v>0</v>
      </c>
      <c r="F10589" s="7" t="n">
        <v>10</v>
      </c>
      <c r="G10589" s="7" t="n">
        <v>483.6</v>
      </c>
    </row>
    <row r="10590" customFormat="false" ht="15" hidden="false" customHeight="false" outlineLevel="0" collapsed="false">
      <c r="A10590" s="7" t="s">
        <v>29</v>
      </c>
      <c r="B10590" s="7" t="s">
        <v>763</v>
      </c>
      <c r="C10590" s="7" t="s">
        <v>1034</v>
      </c>
      <c r="D10590" s="7" t="n">
        <v>10</v>
      </c>
      <c r="E10590" s="7" t="n">
        <v>574.7</v>
      </c>
      <c r="F10590" s="7" t="n">
        <v>0</v>
      </c>
      <c r="G10590" s="7" t="n">
        <v>0</v>
      </c>
    </row>
    <row r="10591" customFormat="false" ht="15" hidden="false" customHeight="false" outlineLevel="0" collapsed="false">
      <c r="A10591" s="7" t="s">
        <v>29</v>
      </c>
      <c r="B10591" s="7" t="s">
        <v>297</v>
      </c>
      <c r="C10591" s="7" t="s">
        <v>1034</v>
      </c>
      <c r="D10591" s="7" t="n">
        <v>0</v>
      </c>
      <c r="E10591" s="7" t="n">
        <v>0</v>
      </c>
      <c r="F10591" s="7" t="n">
        <v>10</v>
      </c>
      <c r="G10591" s="7" t="n">
        <v>476.89</v>
      </c>
    </row>
    <row r="10592" customFormat="false" ht="15" hidden="false" customHeight="false" outlineLevel="0" collapsed="false">
      <c r="A10592" s="7" t="s">
        <v>29</v>
      </c>
      <c r="B10592" s="7" t="s">
        <v>297</v>
      </c>
      <c r="C10592" s="7" t="s">
        <v>1034</v>
      </c>
      <c r="D10592" s="7" t="n">
        <v>0</v>
      </c>
      <c r="E10592" s="7" t="n">
        <v>0</v>
      </c>
      <c r="F10592" s="7" t="n">
        <v>10</v>
      </c>
      <c r="G10592" s="7" t="n">
        <v>483.6</v>
      </c>
    </row>
    <row r="10593" customFormat="false" ht="15" hidden="false" customHeight="false" outlineLevel="0" collapsed="false">
      <c r="A10593" s="7" t="s">
        <v>29</v>
      </c>
      <c r="B10593" s="7" t="s">
        <v>297</v>
      </c>
      <c r="C10593" s="7" t="s">
        <v>1034</v>
      </c>
      <c r="D10593" s="7" t="n">
        <v>20</v>
      </c>
      <c r="E10593" s="7" t="n">
        <v>1149.41</v>
      </c>
      <c r="F10593" s="7" t="n">
        <v>0</v>
      </c>
      <c r="G10593" s="7" t="n">
        <v>0</v>
      </c>
    </row>
    <row r="10594" customFormat="false" ht="15" hidden="false" customHeight="false" outlineLevel="0" collapsed="false">
      <c r="A10594" s="7" t="s">
        <v>29</v>
      </c>
      <c r="B10594" s="7" t="s">
        <v>327</v>
      </c>
      <c r="C10594" s="7" t="s">
        <v>1034</v>
      </c>
      <c r="D10594" s="7" t="n">
        <v>10</v>
      </c>
      <c r="E10594" s="7" t="n">
        <v>574.7</v>
      </c>
      <c r="F10594" s="7" t="n">
        <v>0</v>
      </c>
      <c r="G10594" s="7" t="n">
        <v>0</v>
      </c>
    </row>
    <row r="10595" customFormat="false" ht="15" hidden="false" customHeight="false" outlineLevel="0" collapsed="false">
      <c r="A10595" s="7" t="s">
        <v>29</v>
      </c>
      <c r="B10595" s="7" t="s">
        <v>626</v>
      </c>
      <c r="C10595" s="7" t="s">
        <v>1036</v>
      </c>
      <c r="D10595" s="7" t="n">
        <v>0</v>
      </c>
      <c r="E10595" s="7" t="n">
        <v>0</v>
      </c>
      <c r="F10595" s="7" t="n">
        <v>4</v>
      </c>
      <c r="G10595" s="7" t="n">
        <v>0.03</v>
      </c>
    </row>
    <row r="10596" customFormat="false" ht="15" hidden="false" customHeight="false" outlineLevel="0" collapsed="false">
      <c r="A10596" s="7" t="s">
        <v>29</v>
      </c>
      <c r="B10596" s="7" t="s">
        <v>626</v>
      </c>
      <c r="C10596" s="7" t="s">
        <v>1036</v>
      </c>
      <c r="D10596" s="7" t="n">
        <v>0</v>
      </c>
      <c r="E10596" s="7" t="n">
        <v>0</v>
      </c>
      <c r="F10596" s="7" t="n">
        <v>30</v>
      </c>
      <c r="G10596" s="7" t="n">
        <v>1441.95</v>
      </c>
    </row>
    <row r="10597" customFormat="false" ht="15" hidden="false" customHeight="false" outlineLevel="0" collapsed="false">
      <c r="A10597" s="7" t="s">
        <v>29</v>
      </c>
      <c r="B10597" s="7" t="s">
        <v>626</v>
      </c>
      <c r="C10597" s="7" t="s">
        <v>1036</v>
      </c>
      <c r="D10597" s="7" t="n">
        <v>0</v>
      </c>
      <c r="E10597" s="7" t="n">
        <v>0</v>
      </c>
      <c r="F10597" s="7" t="n">
        <v>40</v>
      </c>
      <c r="G10597" s="7" t="n">
        <v>1931.93</v>
      </c>
    </row>
    <row r="10598" customFormat="false" ht="15" hidden="false" customHeight="false" outlineLevel="0" collapsed="false">
      <c r="A10598" s="7" t="s">
        <v>29</v>
      </c>
      <c r="B10598" s="7" t="s">
        <v>626</v>
      </c>
      <c r="C10598" s="7" t="s">
        <v>1036</v>
      </c>
      <c r="D10598" s="7" t="n">
        <v>0</v>
      </c>
      <c r="E10598" s="7" t="n">
        <v>0</v>
      </c>
      <c r="F10598" s="7" t="n">
        <v>6</v>
      </c>
      <c r="G10598" s="7" t="n">
        <v>0.03</v>
      </c>
    </row>
    <row r="10599" customFormat="false" ht="15" hidden="false" customHeight="false" outlineLevel="0" collapsed="false">
      <c r="A10599" s="7" t="s">
        <v>29</v>
      </c>
      <c r="B10599" s="7" t="s">
        <v>626</v>
      </c>
      <c r="C10599" s="7" t="s">
        <v>1036</v>
      </c>
      <c r="D10599" s="7" t="n">
        <v>4</v>
      </c>
      <c r="E10599" s="7" t="n">
        <v>0.13</v>
      </c>
      <c r="F10599" s="7" t="n">
        <v>0</v>
      </c>
      <c r="G10599" s="7" t="n">
        <v>0</v>
      </c>
    </row>
    <row r="10600" customFormat="false" ht="15" hidden="false" customHeight="false" outlineLevel="0" collapsed="false">
      <c r="A10600" s="7" t="s">
        <v>29</v>
      </c>
      <c r="B10600" s="7" t="s">
        <v>626</v>
      </c>
      <c r="C10600" s="7" t="s">
        <v>1036</v>
      </c>
      <c r="D10600" s="7" t="n">
        <v>20</v>
      </c>
      <c r="E10600" s="7" t="n">
        <v>1046.83</v>
      </c>
      <c r="F10600" s="7" t="n">
        <v>0</v>
      </c>
      <c r="G10600" s="7" t="n">
        <v>0</v>
      </c>
    </row>
    <row r="10601" customFormat="false" ht="15" hidden="false" customHeight="false" outlineLevel="0" collapsed="false">
      <c r="A10601" s="7" t="s">
        <v>29</v>
      </c>
      <c r="B10601" s="7" t="s">
        <v>626</v>
      </c>
      <c r="C10601" s="7" t="s">
        <v>1036</v>
      </c>
      <c r="D10601" s="7" t="n">
        <v>20</v>
      </c>
      <c r="E10601" s="7" t="n">
        <v>1036.25</v>
      </c>
      <c r="F10601" s="7" t="n">
        <v>0</v>
      </c>
      <c r="G10601" s="7" t="n">
        <v>0</v>
      </c>
    </row>
    <row r="10602" customFormat="false" ht="15" hidden="false" customHeight="false" outlineLevel="0" collapsed="false">
      <c r="A10602" s="7" t="s">
        <v>29</v>
      </c>
      <c r="B10602" s="7" t="s">
        <v>626</v>
      </c>
      <c r="C10602" s="7" t="s">
        <v>1036</v>
      </c>
      <c r="D10602" s="7" t="n">
        <v>4</v>
      </c>
      <c r="E10602" s="7" t="n">
        <v>0.03</v>
      </c>
      <c r="F10602" s="7" t="n">
        <v>10</v>
      </c>
      <c r="G10602" s="7" t="n">
        <v>0.06</v>
      </c>
    </row>
    <row r="10603" customFormat="false" ht="15" hidden="false" customHeight="false" outlineLevel="0" collapsed="false">
      <c r="A10603" s="7" t="s">
        <v>29</v>
      </c>
      <c r="B10603" s="7" t="s">
        <v>626</v>
      </c>
      <c r="C10603" s="7" t="s">
        <v>1036</v>
      </c>
      <c r="D10603" s="7" t="n">
        <v>0</v>
      </c>
      <c r="E10603" s="7" t="n">
        <v>0</v>
      </c>
      <c r="F10603" s="7" t="n">
        <v>100</v>
      </c>
      <c r="G10603" s="7" t="n">
        <v>4753.63</v>
      </c>
    </row>
    <row r="10604" customFormat="false" ht="15" hidden="false" customHeight="false" outlineLevel="0" collapsed="false">
      <c r="A10604" s="7" t="s">
        <v>29</v>
      </c>
      <c r="B10604" s="7" t="s">
        <v>325</v>
      </c>
      <c r="C10604" s="7" t="s">
        <v>1036</v>
      </c>
      <c r="D10604" s="7" t="n">
        <v>0</v>
      </c>
      <c r="E10604" s="7" t="n">
        <v>0</v>
      </c>
      <c r="F10604" s="7" t="n">
        <v>20</v>
      </c>
      <c r="G10604" s="7" t="n">
        <v>961.3</v>
      </c>
    </row>
    <row r="10605" customFormat="false" ht="15" hidden="false" customHeight="false" outlineLevel="0" collapsed="false">
      <c r="A10605" s="7" t="s">
        <v>29</v>
      </c>
      <c r="B10605" s="7" t="s">
        <v>325</v>
      </c>
      <c r="C10605" s="7" t="s">
        <v>1036</v>
      </c>
      <c r="D10605" s="7" t="n">
        <v>0</v>
      </c>
      <c r="E10605" s="7" t="n">
        <v>0</v>
      </c>
      <c r="F10605" s="7" t="n">
        <v>3</v>
      </c>
      <c r="G10605" s="7" t="n">
        <v>0.03</v>
      </c>
    </row>
    <row r="10606" customFormat="false" ht="15" hidden="false" customHeight="false" outlineLevel="0" collapsed="false">
      <c r="A10606" s="7" t="s">
        <v>29</v>
      </c>
      <c r="B10606" s="7" t="s">
        <v>325</v>
      </c>
      <c r="C10606" s="7" t="s">
        <v>1036</v>
      </c>
      <c r="D10606" s="7" t="n">
        <v>0</v>
      </c>
      <c r="E10606" s="7" t="n">
        <v>0</v>
      </c>
      <c r="F10606" s="7" t="n">
        <v>40</v>
      </c>
      <c r="G10606" s="7" t="n">
        <v>1931.93</v>
      </c>
    </row>
    <row r="10607" customFormat="false" ht="15" hidden="false" customHeight="false" outlineLevel="0" collapsed="false">
      <c r="A10607" s="7" t="s">
        <v>29</v>
      </c>
      <c r="B10607" s="7" t="s">
        <v>325</v>
      </c>
      <c r="C10607" s="7" t="s">
        <v>1036</v>
      </c>
      <c r="D10607" s="7" t="n">
        <v>0</v>
      </c>
      <c r="E10607" s="7" t="n">
        <v>0</v>
      </c>
      <c r="F10607" s="7" t="n">
        <v>60</v>
      </c>
      <c r="G10607" s="7" t="n">
        <v>2852.18</v>
      </c>
    </row>
    <row r="10608" customFormat="false" ht="15" hidden="false" customHeight="false" outlineLevel="0" collapsed="false">
      <c r="A10608" s="7" t="s">
        <v>29</v>
      </c>
      <c r="B10608" s="7" t="s">
        <v>325</v>
      </c>
      <c r="C10608" s="7" t="s">
        <v>1036</v>
      </c>
      <c r="D10608" s="7" t="n">
        <v>4</v>
      </c>
      <c r="E10608" s="7" t="n">
        <v>0.03</v>
      </c>
      <c r="F10608" s="7" t="n">
        <v>7</v>
      </c>
      <c r="G10608" s="7" t="n">
        <v>0.06</v>
      </c>
    </row>
    <row r="10609" customFormat="false" ht="15" hidden="false" customHeight="false" outlineLevel="0" collapsed="false">
      <c r="A10609" s="7" t="s">
        <v>29</v>
      </c>
      <c r="B10609" s="7" t="s">
        <v>325</v>
      </c>
      <c r="C10609" s="7" t="s">
        <v>1036</v>
      </c>
      <c r="D10609" s="7" t="n">
        <v>20</v>
      </c>
      <c r="E10609" s="7" t="n">
        <v>1046.83</v>
      </c>
      <c r="F10609" s="7" t="n">
        <v>0</v>
      </c>
      <c r="G10609" s="7" t="n">
        <v>0</v>
      </c>
    </row>
    <row r="10610" customFormat="false" ht="15" hidden="false" customHeight="false" outlineLevel="0" collapsed="false">
      <c r="A10610" s="7" t="s">
        <v>29</v>
      </c>
      <c r="B10610" s="7" t="s">
        <v>325</v>
      </c>
      <c r="C10610" s="7" t="s">
        <v>1036</v>
      </c>
      <c r="D10610" s="7" t="n">
        <v>0</v>
      </c>
      <c r="E10610" s="7" t="n">
        <v>0</v>
      </c>
      <c r="F10610" s="7" t="n">
        <v>4</v>
      </c>
      <c r="G10610" s="7" t="n">
        <v>0.03</v>
      </c>
    </row>
    <row r="10611" customFormat="false" ht="15" hidden="false" customHeight="false" outlineLevel="0" collapsed="false">
      <c r="A10611" s="7" t="s">
        <v>29</v>
      </c>
      <c r="B10611" s="7" t="s">
        <v>576</v>
      </c>
      <c r="C10611" s="7" t="s">
        <v>1036</v>
      </c>
      <c r="D10611" s="7" t="n">
        <v>0</v>
      </c>
      <c r="E10611" s="7" t="n">
        <v>0</v>
      </c>
      <c r="F10611" s="7" t="n">
        <v>2</v>
      </c>
      <c r="G10611" s="7" t="n">
        <v>0.03</v>
      </c>
    </row>
    <row r="10612" customFormat="false" ht="15" hidden="false" customHeight="false" outlineLevel="0" collapsed="false">
      <c r="A10612" s="7" t="s">
        <v>29</v>
      </c>
      <c r="B10612" s="7" t="s">
        <v>576</v>
      </c>
      <c r="C10612" s="7" t="s">
        <v>1036</v>
      </c>
      <c r="D10612" s="7" t="n">
        <v>0</v>
      </c>
      <c r="E10612" s="7" t="n">
        <v>0</v>
      </c>
      <c r="F10612" s="7" t="n">
        <v>3</v>
      </c>
      <c r="G10612" s="7" t="n">
        <v>0.03</v>
      </c>
    </row>
    <row r="10613" customFormat="false" ht="15" hidden="false" customHeight="false" outlineLevel="0" collapsed="false">
      <c r="A10613" s="7" t="s">
        <v>29</v>
      </c>
      <c r="B10613" s="7" t="s">
        <v>576</v>
      </c>
      <c r="C10613" s="7" t="s">
        <v>1036</v>
      </c>
      <c r="D10613" s="7" t="n">
        <v>0</v>
      </c>
      <c r="E10613" s="7" t="n">
        <v>0</v>
      </c>
      <c r="F10613" s="7" t="n">
        <v>50</v>
      </c>
      <c r="G10613" s="7" t="n">
        <v>2376.82</v>
      </c>
    </row>
    <row r="10614" customFormat="false" ht="15" hidden="false" customHeight="false" outlineLevel="0" collapsed="false">
      <c r="A10614" s="7" t="s">
        <v>29</v>
      </c>
      <c r="B10614" s="7" t="s">
        <v>797</v>
      </c>
      <c r="C10614" s="7" t="s">
        <v>1036</v>
      </c>
      <c r="D10614" s="7" t="n">
        <v>0</v>
      </c>
      <c r="E10614" s="7" t="n">
        <v>0</v>
      </c>
      <c r="F10614" s="7" t="n">
        <v>6</v>
      </c>
      <c r="G10614" s="7" t="n">
        <v>0.03</v>
      </c>
    </row>
    <row r="10615" customFormat="false" ht="15" hidden="false" customHeight="false" outlineLevel="0" collapsed="false">
      <c r="A10615" s="7" t="s">
        <v>29</v>
      </c>
      <c r="B10615" s="7" t="s">
        <v>797</v>
      </c>
      <c r="C10615" s="7" t="s">
        <v>1036</v>
      </c>
      <c r="D10615" s="7" t="n">
        <v>4</v>
      </c>
      <c r="E10615" s="7" t="n">
        <v>0.13</v>
      </c>
      <c r="F10615" s="7" t="n">
        <v>0</v>
      </c>
      <c r="G10615" s="7" t="n">
        <v>0</v>
      </c>
    </row>
    <row r="10616" customFormat="false" ht="15" hidden="false" customHeight="false" outlineLevel="0" collapsed="false">
      <c r="A10616" s="7" t="s">
        <v>29</v>
      </c>
      <c r="B10616" s="7" t="s">
        <v>797</v>
      </c>
      <c r="C10616" s="7" t="s">
        <v>1036</v>
      </c>
      <c r="D10616" s="7" t="n">
        <v>0</v>
      </c>
      <c r="E10616" s="7" t="n">
        <v>0</v>
      </c>
      <c r="F10616" s="7" t="n">
        <v>100</v>
      </c>
      <c r="G10616" s="7" t="n">
        <v>4753.63</v>
      </c>
    </row>
    <row r="10617" customFormat="false" ht="15" hidden="false" customHeight="false" outlineLevel="0" collapsed="false">
      <c r="A10617" s="7" t="s">
        <v>29</v>
      </c>
      <c r="B10617" s="7" t="s">
        <v>797</v>
      </c>
      <c r="C10617" s="7" t="s">
        <v>1036</v>
      </c>
      <c r="D10617" s="7" t="n">
        <v>20</v>
      </c>
      <c r="E10617" s="7" t="n">
        <v>1014.79</v>
      </c>
      <c r="F10617" s="7" t="n">
        <v>0</v>
      </c>
      <c r="G10617" s="7" t="n">
        <v>0</v>
      </c>
    </row>
    <row r="10618" customFormat="false" ht="15" hidden="false" customHeight="false" outlineLevel="0" collapsed="false">
      <c r="A10618" s="7" t="s">
        <v>29</v>
      </c>
      <c r="B10618" s="7" t="s">
        <v>797</v>
      </c>
      <c r="C10618" s="7" t="s">
        <v>1036</v>
      </c>
      <c r="D10618" s="7" t="n">
        <v>30</v>
      </c>
      <c r="E10618" s="7" t="n">
        <v>1718.59</v>
      </c>
      <c r="F10618" s="7" t="n">
        <v>0</v>
      </c>
      <c r="G10618" s="7" t="n">
        <v>0</v>
      </c>
    </row>
    <row r="10619" customFormat="false" ht="15" hidden="false" customHeight="false" outlineLevel="0" collapsed="false">
      <c r="A10619" s="7" t="s">
        <v>29</v>
      </c>
      <c r="B10619" s="7" t="s">
        <v>797</v>
      </c>
      <c r="C10619" s="7" t="s">
        <v>1036</v>
      </c>
      <c r="D10619" s="7" t="n">
        <v>12</v>
      </c>
      <c r="E10619" s="7" t="n">
        <v>0.07</v>
      </c>
      <c r="F10619" s="7" t="n">
        <v>4</v>
      </c>
      <c r="G10619" s="7" t="n">
        <v>0.03</v>
      </c>
    </row>
    <row r="10620" customFormat="false" ht="15" hidden="false" customHeight="false" outlineLevel="0" collapsed="false">
      <c r="A10620" s="7" t="s">
        <v>29</v>
      </c>
      <c r="B10620" s="7" t="s">
        <v>797</v>
      </c>
      <c r="C10620" s="7" t="s">
        <v>1036</v>
      </c>
      <c r="D10620" s="7" t="n">
        <v>10</v>
      </c>
      <c r="E10620" s="7" t="n">
        <v>523.41</v>
      </c>
      <c r="F10620" s="7" t="n">
        <v>0</v>
      </c>
      <c r="G10620" s="7" t="n">
        <v>0</v>
      </c>
    </row>
    <row r="10621" customFormat="false" ht="15" hidden="false" customHeight="false" outlineLevel="0" collapsed="false">
      <c r="A10621" s="7" t="s">
        <v>29</v>
      </c>
      <c r="B10621" s="7" t="s">
        <v>797</v>
      </c>
      <c r="C10621" s="7" t="s">
        <v>1036</v>
      </c>
      <c r="D10621" s="7" t="n">
        <v>20</v>
      </c>
      <c r="E10621" s="7" t="n">
        <v>1036.25</v>
      </c>
      <c r="F10621" s="7" t="n">
        <v>0</v>
      </c>
      <c r="G10621" s="7" t="n">
        <v>0</v>
      </c>
    </row>
    <row r="10622" customFormat="false" ht="15" hidden="false" customHeight="false" outlineLevel="0" collapsed="false">
      <c r="A10622" s="7" t="s">
        <v>29</v>
      </c>
      <c r="B10622" s="7" t="s">
        <v>797</v>
      </c>
      <c r="C10622" s="7" t="s">
        <v>1036</v>
      </c>
      <c r="D10622" s="7" t="n">
        <v>0</v>
      </c>
      <c r="E10622" s="7" t="n">
        <v>0</v>
      </c>
      <c r="F10622" s="7" t="n">
        <v>5</v>
      </c>
      <c r="G10622" s="7" t="n">
        <v>0.03</v>
      </c>
    </row>
    <row r="10623" customFormat="false" ht="15" hidden="false" customHeight="false" outlineLevel="0" collapsed="false">
      <c r="A10623" s="7" t="s">
        <v>29</v>
      </c>
      <c r="B10623" s="7" t="s">
        <v>797</v>
      </c>
      <c r="C10623" s="7" t="s">
        <v>1036</v>
      </c>
      <c r="D10623" s="7" t="n">
        <v>0</v>
      </c>
      <c r="E10623" s="7" t="n">
        <v>0</v>
      </c>
      <c r="F10623" s="7" t="n">
        <v>50</v>
      </c>
      <c r="G10623" s="7" t="n">
        <v>2414.92</v>
      </c>
    </row>
    <row r="10624" customFormat="false" ht="15" hidden="false" customHeight="false" outlineLevel="0" collapsed="false">
      <c r="A10624" s="7" t="s">
        <v>29</v>
      </c>
      <c r="B10624" s="7" t="s">
        <v>724</v>
      </c>
      <c r="C10624" s="7" t="s">
        <v>1036</v>
      </c>
      <c r="D10624" s="7" t="n">
        <v>6</v>
      </c>
      <c r="E10624" s="7" t="n">
        <v>0.07</v>
      </c>
      <c r="F10624" s="7" t="n">
        <v>3</v>
      </c>
      <c r="G10624" s="7" t="n">
        <v>0.03</v>
      </c>
    </row>
    <row r="10625" customFormat="false" ht="15" hidden="false" customHeight="false" outlineLevel="0" collapsed="false">
      <c r="A10625" s="7" t="s">
        <v>29</v>
      </c>
      <c r="B10625" s="7" t="s">
        <v>724</v>
      </c>
      <c r="C10625" s="7" t="s">
        <v>1036</v>
      </c>
      <c r="D10625" s="7" t="n">
        <v>20</v>
      </c>
      <c r="E10625" s="7" t="n">
        <v>1119.6</v>
      </c>
      <c r="F10625" s="7" t="n">
        <v>0</v>
      </c>
      <c r="G10625" s="7" t="n">
        <v>0</v>
      </c>
    </row>
    <row r="10626" customFormat="false" ht="15" hidden="false" customHeight="false" outlineLevel="0" collapsed="false">
      <c r="A10626" s="7" t="s">
        <v>29</v>
      </c>
      <c r="B10626" s="7" t="s">
        <v>724</v>
      </c>
      <c r="C10626" s="7" t="s">
        <v>1036</v>
      </c>
      <c r="D10626" s="7" t="n">
        <v>0</v>
      </c>
      <c r="E10626" s="7" t="n">
        <v>0</v>
      </c>
      <c r="F10626" s="7" t="n">
        <v>70</v>
      </c>
      <c r="G10626" s="7" t="n">
        <v>3327.54</v>
      </c>
    </row>
    <row r="10627" customFormat="false" ht="15" hidden="false" customHeight="false" outlineLevel="0" collapsed="false">
      <c r="A10627" s="7" t="s">
        <v>29</v>
      </c>
      <c r="B10627" s="7" t="s">
        <v>724</v>
      </c>
      <c r="C10627" s="7" t="s">
        <v>1036</v>
      </c>
      <c r="D10627" s="7" t="n">
        <v>10</v>
      </c>
      <c r="E10627" s="7" t="n">
        <v>523.41</v>
      </c>
      <c r="F10627" s="7" t="n">
        <v>0</v>
      </c>
      <c r="G10627" s="7" t="n">
        <v>0</v>
      </c>
    </row>
    <row r="10628" customFormat="false" ht="15" hidden="false" customHeight="false" outlineLevel="0" collapsed="false">
      <c r="A10628" s="7" t="s">
        <v>29</v>
      </c>
      <c r="B10628" s="7" t="s">
        <v>724</v>
      </c>
      <c r="C10628" s="7" t="s">
        <v>1036</v>
      </c>
      <c r="D10628" s="7" t="n">
        <v>20</v>
      </c>
      <c r="E10628" s="7" t="n">
        <v>1036.25</v>
      </c>
      <c r="F10628" s="7" t="n">
        <v>0</v>
      </c>
      <c r="G10628" s="7" t="n">
        <v>0</v>
      </c>
    </row>
    <row r="10629" customFormat="false" ht="15" hidden="false" customHeight="false" outlineLevel="0" collapsed="false">
      <c r="A10629" s="7" t="s">
        <v>29</v>
      </c>
      <c r="B10629" s="7" t="s">
        <v>724</v>
      </c>
      <c r="C10629" s="7" t="s">
        <v>1036</v>
      </c>
      <c r="D10629" s="7" t="n">
        <v>0</v>
      </c>
      <c r="E10629" s="7" t="n">
        <v>0</v>
      </c>
      <c r="F10629" s="7" t="n">
        <v>4</v>
      </c>
      <c r="G10629" s="7" t="n">
        <v>0.03</v>
      </c>
    </row>
    <row r="10630" customFormat="false" ht="15" hidden="false" customHeight="false" outlineLevel="0" collapsed="false">
      <c r="A10630" s="7" t="s">
        <v>29</v>
      </c>
      <c r="B10630" s="7" t="s">
        <v>724</v>
      </c>
      <c r="C10630" s="7" t="s">
        <v>1036</v>
      </c>
      <c r="D10630" s="7" t="n">
        <v>4</v>
      </c>
      <c r="E10630" s="7" t="n">
        <v>0.13</v>
      </c>
      <c r="F10630" s="7" t="n">
        <v>0</v>
      </c>
      <c r="G10630" s="7" t="n">
        <v>0</v>
      </c>
    </row>
    <row r="10631" customFormat="false" ht="15" hidden="false" customHeight="false" outlineLevel="0" collapsed="false">
      <c r="A10631" s="7" t="s">
        <v>29</v>
      </c>
      <c r="B10631" s="7" t="s">
        <v>352</v>
      </c>
      <c r="C10631" s="7" t="s">
        <v>1192</v>
      </c>
      <c r="D10631" s="7" t="n">
        <v>0</v>
      </c>
      <c r="E10631" s="7" t="n">
        <v>0</v>
      </c>
      <c r="F10631" s="7" t="n">
        <v>30</v>
      </c>
      <c r="G10631" s="7" t="n">
        <v>1761.87</v>
      </c>
    </row>
    <row r="10632" customFormat="false" ht="15" hidden="false" customHeight="false" outlineLevel="0" collapsed="false">
      <c r="A10632" s="7" t="s">
        <v>29</v>
      </c>
      <c r="B10632" s="7" t="s">
        <v>352</v>
      </c>
      <c r="C10632" s="7" t="s">
        <v>1192</v>
      </c>
      <c r="D10632" s="7" t="n">
        <v>20</v>
      </c>
      <c r="E10632" s="7" t="n">
        <v>1239.94</v>
      </c>
      <c r="F10632" s="7" t="n">
        <v>0</v>
      </c>
      <c r="G10632" s="7" t="n">
        <v>0</v>
      </c>
    </row>
    <row r="10633" customFormat="false" ht="15" hidden="false" customHeight="false" outlineLevel="0" collapsed="false">
      <c r="A10633" s="7" t="s">
        <v>29</v>
      </c>
      <c r="B10633" s="7" t="s">
        <v>352</v>
      </c>
      <c r="C10633" s="7" t="s">
        <v>1192</v>
      </c>
      <c r="D10633" s="7" t="n">
        <v>10</v>
      </c>
      <c r="E10633" s="7" t="n">
        <v>0.06</v>
      </c>
      <c r="F10633" s="7" t="n">
        <v>8</v>
      </c>
      <c r="G10633" s="7" t="n">
        <v>0.03</v>
      </c>
    </row>
    <row r="10634" customFormat="false" ht="15" hidden="false" customHeight="false" outlineLevel="0" collapsed="false">
      <c r="A10634" s="7" t="s">
        <v>29</v>
      </c>
      <c r="B10634" s="7" t="s">
        <v>352</v>
      </c>
      <c r="C10634" s="7" t="s">
        <v>1192</v>
      </c>
      <c r="D10634" s="7" t="n">
        <v>30</v>
      </c>
      <c r="E10634" s="7" t="n">
        <v>1918.62</v>
      </c>
      <c r="F10634" s="7" t="n">
        <v>0</v>
      </c>
      <c r="G10634" s="7" t="n">
        <v>0</v>
      </c>
    </row>
    <row r="10635" customFormat="false" ht="15" hidden="false" customHeight="false" outlineLevel="0" collapsed="false">
      <c r="A10635" s="7" t="s">
        <v>29</v>
      </c>
      <c r="B10635" s="7" t="s">
        <v>352</v>
      </c>
      <c r="C10635" s="7" t="s">
        <v>1192</v>
      </c>
      <c r="D10635" s="7" t="n">
        <v>0</v>
      </c>
      <c r="E10635" s="7" t="n">
        <v>0</v>
      </c>
      <c r="F10635" s="7" t="n">
        <v>20</v>
      </c>
      <c r="G10635" s="7" t="n">
        <v>1161.66</v>
      </c>
    </row>
    <row r="10636" customFormat="false" ht="15" hidden="false" customHeight="false" outlineLevel="0" collapsed="false">
      <c r="A10636" s="7" t="s">
        <v>29</v>
      </c>
      <c r="B10636" s="7" t="s">
        <v>438</v>
      </c>
      <c r="C10636" s="7" t="s">
        <v>1192</v>
      </c>
      <c r="D10636" s="7" t="n">
        <v>0</v>
      </c>
      <c r="E10636" s="7" t="n">
        <v>0</v>
      </c>
      <c r="F10636" s="7" t="n">
        <v>20</v>
      </c>
      <c r="G10636" s="7" t="n">
        <v>1103.14</v>
      </c>
    </row>
    <row r="10637" customFormat="false" ht="15" hidden="false" customHeight="false" outlineLevel="0" collapsed="false">
      <c r="A10637" s="7" t="s">
        <v>29</v>
      </c>
      <c r="B10637" s="7" t="s">
        <v>438</v>
      </c>
      <c r="C10637" s="7" t="s">
        <v>1192</v>
      </c>
      <c r="D10637" s="7" t="n">
        <v>10</v>
      </c>
      <c r="E10637" s="7" t="n">
        <v>0.03</v>
      </c>
      <c r="F10637" s="7" t="n">
        <v>6</v>
      </c>
      <c r="G10637" s="7" t="n">
        <v>0.06</v>
      </c>
    </row>
    <row r="10638" customFormat="false" ht="15" hidden="false" customHeight="false" outlineLevel="0" collapsed="false">
      <c r="A10638" s="7" t="s">
        <v>29</v>
      </c>
      <c r="B10638" s="7" t="s">
        <v>438</v>
      </c>
      <c r="C10638" s="7" t="s">
        <v>1192</v>
      </c>
      <c r="D10638" s="7" t="n">
        <v>0</v>
      </c>
      <c r="E10638" s="7" t="n">
        <v>0</v>
      </c>
      <c r="F10638" s="7" t="n">
        <v>20</v>
      </c>
      <c r="G10638" s="7" t="n">
        <v>1174.58</v>
      </c>
    </row>
    <row r="10639" customFormat="false" ht="15" hidden="false" customHeight="false" outlineLevel="0" collapsed="false">
      <c r="A10639" s="7" t="s">
        <v>29</v>
      </c>
      <c r="B10639" s="7" t="s">
        <v>438</v>
      </c>
      <c r="C10639" s="7" t="s">
        <v>1192</v>
      </c>
      <c r="D10639" s="7" t="n">
        <v>50</v>
      </c>
      <c r="E10639" s="7" t="n">
        <v>3197.7</v>
      </c>
      <c r="F10639" s="7" t="n">
        <v>0</v>
      </c>
      <c r="G10639" s="7" t="n">
        <v>0</v>
      </c>
    </row>
    <row r="10640" customFormat="false" ht="15" hidden="false" customHeight="false" outlineLevel="0" collapsed="false">
      <c r="A10640" s="7" t="s">
        <v>29</v>
      </c>
      <c r="B10640" s="7" t="s">
        <v>439</v>
      </c>
      <c r="C10640" s="7" t="s">
        <v>1192</v>
      </c>
      <c r="D10640" s="7" t="n">
        <v>20</v>
      </c>
      <c r="E10640" s="7" t="n">
        <v>1279.08</v>
      </c>
      <c r="F10640" s="7" t="n">
        <v>0</v>
      </c>
      <c r="G10640" s="7" t="n">
        <v>0</v>
      </c>
    </row>
    <row r="10641" customFormat="false" ht="15" hidden="false" customHeight="false" outlineLevel="0" collapsed="false">
      <c r="A10641" s="7" t="s">
        <v>29</v>
      </c>
      <c r="B10641" s="7" t="s">
        <v>439</v>
      </c>
      <c r="C10641" s="7" t="s">
        <v>1192</v>
      </c>
      <c r="D10641" s="7" t="n">
        <v>0</v>
      </c>
      <c r="E10641" s="7" t="n">
        <v>0</v>
      </c>
      <c r="F10641" s="7" t="n">
        <v>10</v>
      </c>
      <c r="G10641" s="7" t="n">
        <v>551.57</v>
      </c>
    </row>
    <row r="10642" customFormat="false" ht="15" hidden="false" customHeight="false" outlineLevel="0" collapsed="false">
      <c r="A10642" s="7" t="s">
        <v>29</v>
      </c>
      <c r="B10642" s="7" t="s">
        <v>439</v>
      </c>
      <c r="C10642" s="7" t="s">
        <v>1192</v>
      </c>
      <c r="D10642" s="7" t="n">
        <v>4</v>
      </c>
      <c r="E10642" s="7" t="n">
        <v>0.03</v>
      </c>
      <c r="F10642" s="7" t="n">
        <v>2</v>
      </c>
      <c r="G10642" s="7" t="n">
        <v>0.03</v>
      </c>
    </row>
    <row r="10643" customFormat="false" ht="15" hidden="false" customHeight="false" outlineLevel="0" collapsed="false">
      <c r="A10643" s="7" t="s">
        <v>29</v>
      </c>
      <c r="B10643" s="7" t="s">
        <v>439</v>
      </c>
      <c r="C10643" s="7" t="s">
        <v>1192</v>
      </c>
      <c r="D10643" s="7" t="n">
        <v>0</v>
      </c>
      <c r="E10643" s="7" t="n">
        <v>0</v>
      </c>
      <c r="F10643" s="7" t="n">
        <v>10</v>
      </c>
      <c r="G10643" s="7" t="n">
        <v>587.29</v>
      </c>
    </row>
    <row r="10644" customFormat="false" ht="15" hidden="false" customHeight="false" outlineLevel="0" collapsed="false">
      <c r="A10644" s="7" t="s">
        <v>29</v>
      </c>
      <c r="B10644" s="7" t="s">
        <v>439</v>
      </c>
      <c r="C10644" s="7" t="s">
        <v>1192</v>
      </c>
      <c r="D10644" s="7" t="n">
        <v>0</v>
      </c>
      <c r="E10644" s="7" t="n">
        <v>0</v>
      </c>
      <c r="F10644" s="7" t="n">
        <v>1</v>
      </c>
      <c r="G10644" s="7" t="n">
        <v>0.03</v>
      </c>
    </row>
    <row r="10645" customFormat="false" ht="15" hidden="false" customHeight="false" outlineLevel="0" collapsed="false">
      <c r="A10645" s="7" t="s">
        <v>29</v>
      </c>
      <c r="B10645" s="7" t="s">
        <v>346</v>
      </c>
      <c r="C10645" s="7" t="s">
        <v>1192</v>
      </c>
      <c r="D10645" s="7" t="n">
        <v>4</v>
      </c>
      <c r="E10645" s="7" t="n">
        <v>0.13</v>
      </c>
      <c r="F10645" s="7" t="n">
        <v>0</v>
      </c>
      <c r="G10645" s="7" t="n">
        <v>0</v>
      </c>
    </row>
    <row r="10646" customFormat="false" ht="15" hidden="false" customHeight="false" outlineLevel="0" collapsed="false">
      <c r="A10646" s="7" t="s">
        <v>29</v>
      </c>
      <c r="B10646" s="7" t="s">
        <v>346</v>
      </c>
      <c r="C10646" s="7" t="s">
        <v>1192</v>
      </c>
      <c r="D10646" s="7" t="n">
        <v>10</v>
      </c>
      <c r="E10646" s="7" t="n">
        <v>639.54</v>
      </c>
      <c r="F10646" s="7" t="n">
        <v>0</v>
      </c>
      <c r="G10646" s="7" t="n">
        <v>0</v>
      </c>
    </row>
    <row r="10647" customFormat="false" ht="15" hidden="false" customHeight="false" outlineLevel="0" collapsed="false">
      <c r="A10647" s="7" t="s">
        <v>29</v>
      </c>
      <c r="B10647" s="7" t="s">
        <v>346</v>
      </c>
      <c r="C10647" s="7" t="s">
        <v>1192</v>
      </c>
      <c r="D10647" s="7" t="n">
        <v>10</v>
      </c>
      <c r="E10647" s="7" t="n">
        <v>0.07</v>
      </c>
      <c r="F10647" s="7" t="n">
        <v>4</v>
      </c>
      <c r="G10647" s="7" t="n">
        <v>0.03</v>
      </c>
    </row>
    <row r="10648" customFormat="false" ht="15" hidden="false" customHeight="false" outlineLevel="0" collapsed="false">
      <c r="A10648" s="7" t="s">
        <v>29</v>
      </c>
      <c r="B10648" s="7" t="s">
        <v>346</v>
      </c>
      <c r="C10648" s="7" t="s">
        <v>1192</v>
      </c>
      <c r="D10648" s="7" t="n">
        <v>0</v>
      </c>
      <c r="E10648" s="7" t="n">
        <v>0</v>
      </c>
      <c r="F10648" s="7" t="n">
        <v>40</v>
      </c>
      <c r="G10648" s="7" t="n">
        <v>2323.32</v>
      </c>
    </row>
    <row r="10649" customFormat="false" ht="15" hidden="false" customHeight="false" outlineLevel="0" collapsed="false">
      <c r="A10649" s="7" t="s">
        <v>29</v>
      </c>
      <c r="B10649" s="7" t="s">
        <v>346</v>
      </c>
      <c r="C10649" s="7" t="s">
        <v>1192</v>
      </c>
      <c r="D10649" s="7" t="n">
        <v>20</v>
      </c>
      <c r="E10649" s="7" t="n">
        <v>1266.16</v>
      </c>
      <c r="F10649" s="7" t="n">
        <v>0</v>
      </c>
      <c r="G10649" s="7" t="n">
        <v>0</v>
      </c>
    </row>
    <row r="10650" customFormat="false" ht="15" hidden="false" customHeight="false" outlineLevel="0" collapsed="false">
      <c r="A10650" s="7" t="s">
        <v>29</v>
      </c>
      <c r="B10650" s="7" t="s">
        <v>346</v>
      </c>
      <c r="C10650" s="7" t="s">
        <v>1192</v>
      </c>
      <c r="D10650" s="7" t="n">
        <v>40</v>
      </c>
      <c r="E10650" s="7" t="n">
        <v>2799.84</v>
      </c>
      <c r="F10650" s="7" t="n">
        <v>0</v>
      </c>
      <c r="G10650" s="7" t="n">
        <v>0</v>
      </c>
    </row>
    <row r="10651" customFormat="false" ht="15" hidden="false" customHeight="false" outlineLevel="0" collapsed="false">
      <c r="A10651" s="7" t="s">
        <v>29</v>
      </c>
      <c r="B10651" s="7" t="s">
        <v>453</v>
      </c>
      <c r="C10651" s="7" t="s">
        <v>1192</v>
      </c>
      <c r="D10651" s="7" t="n">
        <v>10</v>
      </c>
      <c r="E10651" s="7" t="n">
        <v>633.08</v>
      </c>
      <c r="F10651" s="7" t="n">
        <v>0</v>
      </c>
      <c r="G10651" s="7" t="n">
        <v>0</v>
      </c>
    </row>
    <row r="10652" customFormat="false" ht="15" hidden="false" customHeight="false" outlineLevel="0" collapsed="false">
      <c r="A10652" s="7" t="s">
        <v>29</v>
      </c>
      <c r="B10652" s="7" t="s">
        <v>453</v>
      </c>
      <c r="C10652" s="7" t="s">
        <v>1192</v>
      </c>
      <c r="D10652" s="7" t="n">
        <v>2</v>
      </c>
      <c r="E10652" s="7" t="n">
        <v>0.07</v>
      </c>
      <c r="F10652" s="7" t="n">
        <v>0</v>
      </c>
      <c r="G10652" s="7" t="n">
        <v>0</v>
      </c>
    </row>
    <row r="10653" customFormat="false" ht="15" hidden="false" customHeight="false" outlineLevel="0" collapsed="false">
      <c r="A10653" s="7" t="s">
        <v>29</v>
      </c>
      <c r="B10653" s="7" t="s">
        <v>778</v>
      </c>
      <c r="C10653" s="7" t="s">
        <v>1042</v>
      </c>
      <c r="D10653" s="7" t="n">
        <v>10</v>
      </c>
      <c r="E10653" s="7" t="n">
        <v>669.6</v>
      </c>
      <c r="F10653" s="7" t="n">
        <v>0</v>
      </c>
      <c r="G10653" s="7" t="n">
        <v>0</v>
      </c>
    </row>
    <row r="10654" customFormat="false" ht="15" hidden="false" customHeight="false" outlineLevel="0" collapsed="false">
      <c r="A10654" s="7" t="s">
        <v>29</v>
      </c>
      <c r="B10654" s="7" t="s">
        <v>778</v>
      </c>
      <c r="C10654" s="7" t="s">
        <v>1042</v>
      </c>
      <c r="D10654" s="7" t="n">
        <v>4</v>
      </c>
      <c r="E10654" s="7" t="n">
        <v>0.08</v>
      </c>
      <c r="F10654" s="7" t="n">
        <v>2</v>
      </c>
      <c r="G10654" s="7" t="n">
        <v>0.03</v>
      </c>
    </row>
    <row r="10655" customFormat="false" ht="15" hidden="false" customHeight="false" outlineLevel="0" collapsed="false">
      <c r="A10655" s="7" t="s">
        <v>29</v>
      </c>
      <c r="B10655" s="7" t="s">
        <v>778</v>
      </c>
      <c r="C10655" s="7" t="s">
        <v>1042</v>
      </c>
      <c r="D10655" s="7" t="n">
        <v>0</v>
      </c>
      <c r="E10655" s="7" t="n">
        <v>0</v>
      </c>
      <c r="F10655" s="7" t="n">
        <v>10</v>
      </c>
      <c r="G10655" s="7" t="n">
        <v>574.93</v>
      </c>
    </row>
    <row r="10656" customFormat="false" ht="15" hidden="false" customHeight="false" outlineLevel="0" collapsed="false">
      <c r="A10656" s="7" t="s">
        <v>29</v>
      </c>
      <c r="B10656" s="7" t="s">
        <v>778</v>
      </c>
      <c r="C10656" s="7" t="s">
        <v>1042</v>
      </c>
      <c r="D10656" s="7" t="n">
        <v>10</v>
      </c>
      <c r="E10656" s="7" t="n">
        <v>665.14</v>
      </c>
      <c r="F10656" s="7" t="n">
        <v>0</v>
      </c>
      <c r="G10656" s="7" t="n">
        <v>0</v>
      </c>
    </row>
    <row r="10657" customFormat="false" ht="15" hidden="false" customHeight="false" outlineLevel="0" collapsed="false">
      <c r="A10657" s="7" t="s">
        <v>29</v>
      </c>
      <c r="B10657" s="7" t="s">
        <v>778</v>
      </c>
      <c r="C10657" s="7" t="s">
        <v>1042</v>
      </c>
      <c r="D10657" s="7" t="n">
        <v>2</v>
      </c>
      <c r="E10657" s="7" t="n">
        <v>0.07</v>
      </c>
      <c r="F10657" s="7" t="n">
        <v>0</v>
      </c>
      <c r="G10657" s="7" t="n">
        <v>0</v>
      </c>
    </row>
    <row r="10658" customFormat="false" ht="15" hidden="false" customHeight="false" outlineLevel="0" collapsed="false">
      <c r="A10658" s="7" t="s">
        <v>29</v>
      </c>
      <c r="B10658" s="7" t="s">
        <v>778</v>
      </c>
      <c r="C10658" s="7" t="s">
        <v>1042</v>
      </c>
      <c r="D10658" s="7" t="n">
        <v>10</v>
      </c>
      <c r="E10658" s="7" t="n">
        <v>619.75</v>
      </c>
      <c r="F10658" s="7" t="n">
        <v>0</v>
      </c>
      <c r="G10658" s="7" t="n">
        <v>0</v>
      </c>
    </row>
    <row r="10659" customFormat="false" ht="15" hidden="false" customHeight="false" outlineLevel="0" collapsed="false">
      <c r="A10659" s="7" t="s">
        <v>29</v>
      </c>
      <c r="B10659" s="7" t="s">
        <v>445</v>
      </c>
      <c r="C10659" s="7" t="s">
        <v>1042</v>
      </c>
      <c r="D10659" s="7" t="n">
        <v>2</v>
      </c>
      <c r="E10659" s="7" t="n">
        <v>0.04</v>
      </c>
      <c r="F10659" s="7" t="n">
        <v>0</v>
      </c>
      <c r="G10659" s="7" t="n">
        <v>0</v>
      </c>
    </row>
    <row r="10660" customFormat="false" ht="15" hidden="false" customHeight="false" outlineLevel="0" collapsed="false">
      <c r="A10660" s="7" t="s">
        <v>29</v>
      </c>
      <c r="B10660" s="7" t="s">
        <v>445</v>
      </c>
      <c r="C10660" s="7" t="s">
        <v>1042</v>
      </c>
      <c r="D10660" s="7" t="n">
        <v>10</v>
      </c>
      <c r="E10660" s="7" t="n">
        <v>669.6</v>
      </c>
      <c r="F10660" s="7" t="n">
        <v>0</v>
      </c>
      <c r="G10660" s="7" t="n">
        <v>0</v>
      </c>
    </row>
    <row r="10661" customFormat="false" ht="15" hidden="false" customHeight="false" outlineLevel="0" collapsed="false">
      <c r="A10661" s="7" t="s">
        <v>29</v>
      </c>
      <c r="B10661" s="7" t="s">
        <v>414</v>
      </c>
      <c r="C10661" s="7" t="s">
        <v>1042</v>
      </c>
      <c r="D10661" s="7" t="n">
        <v>10</v>
      </c>
      <c r="E10661" s="7" t="n">
        <v>626.08</v>
      </c>
      <c r="F10661" s="7" t="n">
        <v>0</v>
      </c>
      <c r="G10661" s="7" t="n">
        <v>0</v>
      </c>
    </row>
    <row r="10662" customFormat="false" ht="15" hidden="false" customHeight="false" outlineLevel="0" collapsed="false">
      <c r="A10662" s="7" t="s">
        <v>29</v>
      </c>
      <c r="B10662" s="7" t="s">
        <v>414</v>
      </c>
      <c r="C10662" s="7" t="s">
        <v>1042</v>
      </c>
      <c r="D10662" s="7" t="n">
        <v>0</v>
      </c>
      <c r="E10662" s="7" t="n">
        <v>0</v>
      </c>
      <c r="F10662" s="7" t="n">
        <v>1</v>
      </c>
      <c r="G10662" s="7" t="n">
        <v>0.03</v>
      </c>
    </row>
    <row r="10663" customFormat="false" ht="15" hidden="false" customHeight="false" outlineLevel="0" collapsed="false">
      <c r="A10663" s="7" t="s">
        <v>29</v>
      </c>
      <c r="B10663" s="7" t="s">
        <v>414</v>
      </c>
      <c r="C10663" s="7" t="s">
        <v>1042</v>
      </c>
      <c r="D10663" s="7" t="n">
        <v>2</v>
      </c>
      <c r="E10663" s="7" t="n">
        <v>0.03</v>
      </c>
      <c r="F10663" s="7" t="n">
        <v>0</v>
      </c>
      <c r="G10663" s="7" t="n">
        <v>0</v>
      </c>
    </row>
    <row r="10664" customFormat="false" ht="15" hidden="false" customHeight="false" outlineLevel="0" collapsed="false">
      <c r="A10664" s="7" t="s">
        <v>29</v>
      </c>
      <c r="B10664" s="7" t="s">
        <v>414</v>
      </c>
      <c r="C10664" s="7" t="s">
        <v>1042</v>
      </c>
      <c r="D10664" s="7" t="n">
        <v>0</v>
      </c>
      <c r="E10664" s="7" t="n">
        <v>0</v>
      </c>
      <c r="F10664" s="7" t="n">
        <v>10</v>
      </c>
      <c r="G10664" s="7" t="n">
        <v>540.7</v>
      </c>
    </row>
    <row r="10665" customFormat="false" ht="15" hidden="false" customHeight="false" outlineLevel="0" collapsed="false">
      <c r="A10665" s="7" t="s">
        <v>29</v>
      </c>
      <c r="B10665" s="7" t="s">
        <v>750</v>
      </c>
      <c r="C10665" s="7" t="s">
        <v>1196</v>
      </c>
      <c r="D10665" s="7" t="n">
        <v>10</v>
      </c>
      <c r="E10665" s="7" t="n">
        <v>551.62</v>
      </c>
      <c r="F10665" s="7" t="n">
        <v>0</v>
      </c>
      <c r="G10665" s="7" t="n">
        <v>0</v>
      </c>
    </row>
    <row r="10666" customFormat="false" ht="15" hidden="false" customHeight="false" outlineLevel="0" collapsed="false">
      <c r="A10666" s="7" t="s">
        <v>29</v>
      </c>
      <c r="B10666" s="7" t="s">
        <v>750</v>
      </c>
      <c r="C10666" s="7" t="s">
        <v>1196</v>
      </c>
      <c r="D10666" s="7" t="n">
        <v>2</v>
      </c>
      <c r="E10666" s="7" t="n">
        <v>0.07</v>
      </c>
      <c r="F10666" s="7" t="n">
        <v>0</v>
      </c>
      <c r="G10666" s="7" t="n">
        <v>0</v>
      </c>
    </row>
    <row r="10667" customFormat="false" ht="15" hidden="false" customHeight="false" outlineLevel="0" collapsed="false">
      <c r="A10667" s="7" t="s">
        <v>29</v>
      </c>
      <c r="B10667" s="7" t="s">
        <v>228</v>
      </c>
      <c r="C10667" s="7" t="s">
        <v>1196</v>
      </c>
      <c r="D10667" s="7" t="n">
        <v>10</v>
      </c>
      <c r="E10667" s="7" t="n">
        <v>593.62</v>
      </c>
      <c r="F10667" s="7" t="n">
        <v>0</v>
      </c>
      <c r="G10667" s="7" t="n">
        <v>0</v>
      </c>
    </row>
    <row r="10668" customFormat="false" ht="15" hidden="false" customHeight="false" outlineLevel="0" collapsed="false">
      <c r="A10668" s="7" t="s">
        <v>29</v>
      </c>
      <c r="B10668" s="7" t="s">
        <v>228</v>
      </c>
      <c r="C10668" s="7" t="s">
        <v>1196</v>
      </c>
      <c r="D10668" s="7" t="n">
        <v>2</v>
      </c>
      <c r="E10668" s="7" t="n">
        <v>0.04</v>
      </c>
      <c r="F10668" s="7" t="n">
        <v>2</v>
      </c>
      <c r="G10668" s="7" t="n">
        <v>0.03</v>
      </c>
    </row>
    <row r="10669" customFormat="false" ht="15" hidden="false" customHeight="false" outlineLevel="0" collapsed="false">
      <c r="A10669" s="7" t="s">
        <v>29</v>
      </c>
      <c r="B10669" s="7" t="s">
        <v>228</v>
      </c>
      <c r="C10669" s="7" t="s">
        <v>1196</v>
      </c>
      <c r="D10669" s="7" t="n">
        <v>0</v>
      </c>
      <c r="E10669" s="7" t="n">
        <v>0</v>
      </c>
      <c r="F10669" s="7" t="n">
        <v>10</v>
      </c>
      <c r="G10669" s="7" t="n">
        <v>513.11</v>
      </c>
    </row>
    <row r="10670" customFormat="false" ht="15" hidden="false" customHeight="false" outlineLevel="0" collapsed="false">
      <c r="A10670" s="7" t="s">
        <v>29</v>
      </c>
      <c r="B10670" s="7" t="s">
        <v>430</v>
      </c>
      <c r="C10670" s="7" t="s">
        <v>1196</v>
      </c>
      <c r="D10670" s="7" t="n">
        <v>0</v>
      </c>
      <c r="E10670" s="7" t="n">
        <v>0</v>
      </c>
      <c r="F10670" s="7" t="n">
        <v>10</v>
      </c>
      <c r="G10670" s="7" t="n">
        <v>514.6</v>
      </c>
    </row>
    <row r="10671" customFormat="false" ht="15" hidden="false" customHeight="false" outlineLevel="0" collapsed="false">
      <c r="A10671" s="7" t="s">
        <v>29</v>
      </c>
      <c r="B10671" s="7" t="s">
        <v>430</v>
      </c>
      <c r="C10671" s="7" t="s">
        <v>1196</v>
      </c>
      <c r="D10671" s="7" t="n">
        <v>1</v>
      </c>
      <c r="E10671" s="7" t="n">
        <v>0.03</v>
      </c>
      <c r="F10671" s="7" t="n">
        <v>0</v>
      </c>
      <c r="G10671" s="7" t="n">
        <v>0</v>
      </c>
    </row>
    <row r="10672" customFormat="false" ht="15" hidden="false" customHeight="false" outlineLevel="0" collapsed="false">
      <c r="A10672" s="7" t="s">
        <v>29</v>
      </c>
      <c r="B10672" s="7" t="s">
        <v>430</v>
      </c>
      <c r="C10672" s="7" t="s">
        <v>1196</v>
      </c>
      <c r="D10672" s="7" t="n">
        <v>5</v>
      </c>
      <c r="E10672" s="7" t="n">
        <v>276.56</v>
      </c>
      <c r="F10672" s="7" t="n">
        <v>0</v>
      </c>
      <c r="G10672" s="7" t="n">
        <v>0</v>
      </c>
    </row>
    <row r="10673" customFormat="false" ht="15" hidden="false" customHeight="false" outlineLevel="0" collapsed="false">
      <c r="A10673" s="7" t="s">
        <v>29</v>
      </c>
      <c r="B10673" s="7" t="s">
        <v>430</v>
      </c>
      <c r="C10673" s="7" t="s">
        <v>1196</v>
      </c>
      <c r="D10673" s="7" t="n">
        <v>0</v>
      </c>
      <c r="E10673" s="7" t="n">
        <v>0</v>
      </c>
      <c r="F10673" s="7" t="n">
        <v>1</v>
      </c>
      <c r="G10673" s="7" t="n">
        <v>0.03</v>
      </c>
    </row>
    <row r="10674" customFormat="false" ht="15" hidden="false" customHeight="false" outlineLevel="0" collapsed="false">
      <c r="A10674" s="7" t="s">
        <v>29</v>
      </c>
      <c r="B10674" s="7" t="s">
        <v>547</v>
      </c>
      <c r="C10674" s="7" t="s">
        <v>1196</v>
      </c>
      <c r="D10674" s="7" t="n">
        <v>10</v>
      </c>
      <c r="E10674" s="7" t="n">
        <v>593.62</v>
      </c>
      <c r="F10674" s="7" t="n">
        <v>0</v>
      </c>
      <c r="G10674" s="7" t="n">
        <v>0</v>
      </c>
    </row>
    <row r="10675" customFormat="false" ht="15" hidden="false" customHeight="false" outlineLevel="0" collapsed="false">
      <c r="A10675" s="7" t="s">
        <v>29</v>
      </c>
      <c r="B10675" s="7" t="s">
        <v>547</v>
      </c>
      <c r="C10675" s="7" t="s">
        <v>1196</v>
      </c>
      <c r="D10675" s="7" t="n">
        <v>2</v>
      </c>
      <c r="E10675" s="7" t="n">
        <v>0.04</v>
      </c>
      <c r="F10675" s="7" t="n">
        <v>0</v>
      </c>
      <c r="G10675" s="7" t="n">
        <v>0</v>
      </c>
    </row>
    <row r="10676" customFormat="false" ht="15" hidden="false" customHeight="false" outlineLevel="0" collapsed="false">
      <c r="A10676" s="7" t="s">
        <v>29</v>
      </c>
      <c r="B10676" s="7" t="s">
        <v>927</v>
      </c>
      <c r="C10676" s="7" t="s">
        <v>1196</v>
      </c>
      <c r="D10676" s="7" t="n">
        <v>1</v>
      </c>
      <c r="E10676" s="7" t="n">
        <v>0.03</v>
      </c>
      <c r="F10676" s="7" t="n">
        <v>0</v>
      </c>
      <c r="G10676" s="7" t="n">
        <v>0</v>
      </c>
    </row>
    <row r="10677" customFormat="false" ht="15" hidden="false" customHeight="false" outlineLevel="0" collapsed="false">
      <c r="A10677" s="7" t="s">
        <v>29</v>
      </c>
      <c r="B10677" s="7" t="s">
        <v>927</v>
      </c>
      <c r="C10677" s="7" t="s">
        <v>1196</v>
      </c>
      <c r="D10677" s="7" t="n">
        <v>5</v>
      </c>
      <c r="E10677" s="7" t="n">
        <v>276.56</v>
      </c>
      <c r="F10677" s="7" t="n">
        <v>0</v>
      </c>
      <c r="G10677" s="7" t="n">
        <v>0</v>
      </c>
    </row>
    <row r="10678" customFormat="false" ht="15" hidden="false" customHeight="false" outlineLevel="0" collapsed="false">
      <c r="A10678" s="7" t="s">
        <v>29</v>
      </c>
      <c r="B10678" s="7" t="s">
        <v>574</v>
      </c>
      <c r="C10678" s="7" t="s">
        <v>1196</v>
      </c>
      <c r="D10678" s="7" t="n">
        <v>2</v>
      </c>
      <c r="E10678" s="7" t="n">
        <v>0.04</v>
      </c>
      <c r="F10678" s="7" t="n">
        <v>0</v>
      </c>
      <c r="G10678" s="7" t="n">
        <v>0</v>
      </c>
    </row>
    <row r="10679" customFormat="false" ht="15" hidden="false" customHeight="false" outlineLevel="0" collapsed="false">
      <c r="A10679" s="7" t="s">
        <v>29</v>
      </c>
      <c r="B10679" s="7" t="s">
        <v>574</v>
      </c>
      <c r="C10679" s="7" t="s">
        <v>1196</v>
      </c>
      <c r="D10679" s="7" t="n">
        <v>10</v>
      </c>
      <c r="E10679" s="7" t="n">
        <v>611.54</v>
      </c>
      <c r="F10679" s="7" t="n">
        <v>0</v>
      </c>
      <c r="G10679" s="7" t="n">
        <v>0</v>
      </c>
    </row>
    <row r="10680" customFormat="false" ht="15" hidden="false" customHeight="false" outlineLevel="0" collapsed="false">
      <c r="A10680" s="7" t="s">
        <v>29</v>
      </c>
      <c r="B10680" s="7" t="s">
        <v>638</v>
      </c>
      <c r="C10680" s="7" t="s">
        <v>1139</v>
      </c>
      <c r="D10680" s="7" t="n">
        <v>10</v>
      </c>
      <c r="E10680" s="7" t="n">
        <v>161.52</v>
      </c>
      <c r="F10680" s="7" t="n">
        <v>0</v>
      </c>
      <c r="G10680" s="7" t="n">
        <v>0</v>
      </c>
    </row>
    <row r="10681" customFormat="false" ht="15" hidden="false" customHeight="false" outlineLevel="0" collapsed="false">
      <c r="A10681" s="7" t="s">
        <v>29</v>
      </c>
      <c r="B10681" s="7" t="s">
        <v>638</v>
      </c>
      <c r="C10681" s="7" t="s">
        <v>1139</v>
      </c>
      <c r="D10681" s="7" t="n">
        <v>2</v>
      </c>
      <c r="E10681" s="7" t="n">
        <v>0</v>
      </c>
      <c r="F10681" s="7" t="n">
        <v>0</v>
      </c>
      <c r="G10681" s="7" t="n">
        <v>0</v>
      </c>
    </row>
    <row r="10682" customFormat="false" ht="15" hidden="false" customHeight="false" outlineLevel="0" collapsed="false">
      <c r="A10682" s="7" t="s">
        <v>29</v>
      </c>
      <c r="B10682" s="7" t="s">
        <v>640</v>
      </c>
      <c r="C10682" s="7" t="s">
        <v>1139</v>
      </c>
      <c r="D10682" s="7" t="n">
        <v>2</v>
      </c>
      <c r="E10682" s="7" t="n">
        <v>0.07</v>
      </c>
      <c r="F10682" s="7" t="n">
        <v>0</v>
      </c>
      <c r="G10682" s="7" t="n">
        <v>0</v>
      </c>
    </row>
    <row r="10683" customFormat="false" ht="15" hidden="false" customHeight="false" outlineLevel="0" collapsed="false">
      <c r="A10683" s="7" t="s">
        <v>29</v>
      </c>
      <c r="B10683" s="7" t="s">
        <v>640</v>
      </c>
      <c r="C10683" s="7" t="s">
        <v>1139</v>
      </c>
      <c r="D10683" s="7" t="n">
        <v>0</v>
      </c>
      <c r="E10683" s="7" t="n">
        <v>0</v>
      </c>
      <c r="F10683" s="7" t="n">
        <v>10</v>
      </c>
      <c r="G10683" s="7" t="n">
        <v>143.9</v>
      </c>
    </row>
    <row r="10684" customFormat="false" ht="15" hidden="false" customHeight="false" outlineLevel="0" collapsed="false">
      <c r="A10684" s="7" t="s">
        <v>29</v>
      </c>
      <c r="B10684" s="7" t="s">
        <v>640</v>
      </c>
      <c r="C10684" s="7" t="s">
        <v>1139</v>
      </c>
      <c r="D10684" s="7" t="n">
        <v>10</v>
      </c>
      <c r="E10684" s="7" t="n">
        <v>164.93</v>
      </c>
      <c r="F10684" s="7" t="n">
        <v>0</v>
      </c>
      <c r="G10684" s="7" t="n">
        <v>0</v>
      </c>
    </row>
    <row r="10685" customFormat="false" ht="15" hidden="false" customHeight="false" outlineLevel="0" collapsed="false">
      <c r="A10685" s="7" t="s">
        <v>29</v>
      </c>
      <c r="B10685" s="7" t="s">
        <v>640</v>
      </c>
      <c r="C10685" s="7" t="s">
        <v>1139</v>
      </c>
      <c r="D10685" s="7" t="n">
        <v>0</v>
      </c>
      <c r="E10685" s="7" t="n">
        <v>0</v>
      </c>
      <c r="F10685" s="7" t="n">
        <v>10</v>
      </c>
      <c r="G10685" s="7" t="n">
        <v>153</v>
      </c>
    </row>
    <row r="10686" customFormat="false" ht="15" hidden="false" customHeight="false" outlineLevel="0" collapsed="false">
      <c r="A10686" s="7" t="s">
        <v>29</v>
      </c>
      <c r="B10686" s="7" t="s">
        <v>640</v>
      </c>
      <c r="C10686" s="7" t="s">
        <v>1139</v>
      </c>
      <c r="D10686" s="7" t="n">
        <v>0</v>
      </c>
      <c r="E10686" s="7" t="n">
        <v>0</v>
      </c>
      <c r="F10686" s="7" t="n">
        <v>2</v>
      </c>
      <c r="G10686" s="7" t="n">
        <v>0.03</v>
      </c>
    </row>
    <row r="10687" customFormat="false" ht="15" hidden="false" customHeight="false" outlineLevel="0" collapsed="false">
      <c r="A10687" s="7" t="s">
        <v>29</v>
      </c>
      <c r="B10687" s="7" t="s">
        <v>640</v>
      </c>
      <c r="C10687" s="7" t="s">
        <v>1139</v>
      </c>
      <c r="D10687" s="7" t="n">
        <v>0</v>
      </c>
      <c r="E10687" s="7" t="n">
        <v>0</v>
      </c>
      <c r="F10687" s="7" t="n">
        <v>1</v>
      </c>
      <c r="G10687" s="7" t="n">
        <v>0.03</v>
      </c>
    </row>
    <row r="10688" customFormat="false" ht="15" hidden="false" customHeight="false" outlineLevel="0" collapsed="false">
      <c r="A10688" s="7" t="s">
        <v>29</v>
      </c>
      <c r="B10688" s="7" t="s">
        <v>381</v>
      </c>
      <c r="C10688" s="7" t="s">
        <v>1139</v>
      </c>
      <c r="D10688" s="7" t="n">
        <v>2</v>
      </c>
      <c r="E10688" s="7" t="n">
        <v>0</v>
      </c>
      <c r="F10688" s="7" t="n">
        <v>0</v>
      </c>
      <c r="G10688" s="7" t="n">
        <v>0</v>
      </c>
    </row>
    <row r="10689" customFormat="false" ht="15" hidden="false" customHeight="false" outlineLevel="0" collapsed="false">
      <c r="A10689" s="7" t="s">
        <v>29</v>
      </c>
      <c r="B10689" s="7" t="s">
        <v>381</v>
      </c>
      <c r="C10689" s="7" t="s">
        <v>1139</v>
      </c>
      <c r="D10689" s="7" t="n">
        <v>10</v>
      </c>
      <c r="E10689" s="7" t="n">
        <v>161.52</v>
      </c>
      <c r="F10689" s="7" t="n">
        <v>0</v>
      </c>
      <c r="G10689" s="7" t="n">
        <v>0</v>
      </c>
    </row>
    <row r="10690" customFormat="false" ht="15" hidden="false" customHeight="false" outlineLevel="0" collapsed="false">
      <c r="A10690" s="7" t="s">
        <v>29</v>
      </c>
      <c r="B10690" s="7" t="s">
        <v>139</v>
      </c>
      <c r="C10690" s="7" t="s">
        <v>1043</v>
      </c>
      <c r="D10690" s="7" t="n">
        <v>0</v>
      </c>
      <c r="E10690" s="7" t="n">
        <v>0</v>
      </c>
      <c r="F10690" s="7" t="n">
        <v>10</v>
      </c>
      <c r="G10690" s="7" t="n">
        <v>364.25</v>
      </c>
    </row>
    <row r="10691" customFormat="false" ht="15" hidden="false" customHeight="false" outlineLevel="0" collapsed="false">
      <c r="A10691" s="7" t="s">
        <v>29</v>
      </c>
      <c r="B10691" s="7" t="s">
        <v>139</v>
      </c>
      <c r="C10691" s="7" t="s">
        <v>1043</v>
      </c>
      <c r="D10691" s="7" t="n">
        <v>15</v>
      </c>
      <c r="E10691" s="7" t="n">
        <v>575.1</v>
      </c>
      <c r="F10691" s="7" t="n">
        <v>0</v>
      </c>
      <c r="G10691" s="7" t="n">
        <v>0</v>
      </c>
    </row>
    <row r="10692" customFormat="false" ht="15" hidden="false" customHeight="false" outlineLevel="0" collapsed="false">
      <c r="A10692" s="7" t="s">
        <v>29</v>
      </c>
      <c r="B10692" s="7" t="s">
        <v>146</v>
      </c>
      <c r="C10692" s="7" t="s">
        <v>1043</v>
      </c>
      <c r="D10692" s="7" t="n">
        <v>0</v>
      </c>
      <c r="E10692" s="7" t="n">
        <v>0</v>
      </c>
      <c r="F10692" s="7" t="n">
        <v>20</v>
      </c>
      <c r="G10692" s="7" t="n">
        <v>718.4</v>
      </c>
    </row>
    <row r="10693" customFormat="false" ht="15" hidden="false" customHeight="false" outlineLevel="0" collapsed="false">
      <c r="A10693" s="7" t="s">
        <v>29</v>
      </c>
      <c r="B10693" s="7" t="s">
        <v>146</v>
      </c>
      <c r="C10693" s="7" t="s">
        <v>1043</v>
      </c>
      <c r="D10693" s="7" t="n">
        <v>15</v>
      </c>
      <c r="E10693" s="7" t="n">
        <v>575.1</v>
      </c>
      <c r="F10693" s="7" t="n">
        <v>0</v>
      </c>
      <c r="G10693" s="7" t="n">
        <v>0</v>
      </c>
    </row>
    <row r="10694" customFormat="false" ht="15" hidden="false" customHeight="false" outlineLevel="0" collapsed="false">
      <c r="A10694" s="7" t="s">
        <v>29</v>
      </c>
      <c r="B10694" s="7" t="s">
        <v>146</v>
      </c>
      <c r="C10694" s="7" t="s">
        <v>1043</v>
      </c>
      <c r="D10694" s="7" t="n">
        <v>0</v>
      </c>
      <c r="E10694" s="7" t="n">
        <v>0</v>
      </c>
      <c r="F10694" s="7" t="n">
        <v>30</v>
      </c>
      <c r="G10694" s="7" t="n">
        <v>1092.75</v>
      </c>
    </row>
    <row r="10695" customFormat="false" ht="15" hidden="false" customHeight="false" outlineLevel="0" collapsed="false">
      <c r="A10695" s="7" t="s">
        <v>29</v>
      </c>
      <c r="B10695" s="7" t="s">
        <v>121</v>
      </c>
      <c r="C10695" s="7" t="s">
        <v>1043</v>
      </c>
      <c r="D10695" s="7" t="n">
        <v>15</v>
      </c>
      <c r="E10695" s="7" t="n">
        <v>575.1</v>
      </c>
      <c r="F10695" s="7" t="n">
        <v>0</v>
      </c>
      <c r="G10695" s="7" t="n">
        <v>0</v>
      </c>
    </row>
    <row r="10696" customFormat="false" ht="15" hidden="false" customHeight="false" outlineLevel="0" collapsed="false">
      <c r="A10696" s="7" t="s">
        <v>29</v>
      </c>
      <c r="B10696" s="7" t="s">
        <v>121</v>
      </c>
      <c r="C10696" s="7" t="s">
        <v>1043</v>
      </c>
      <c r="D10696" s="7" t="n">
        <v>0</v>
      </c>
      <c r="E10696" s="7" t="n">
        <v>0</v>
      </c>
      <c r="F10696" s="7" t="n">
        <v>20</v>
      </c>
      <c r="G10696" s="7" t="n">
        <v>728.5</v>
      </c>
    </row>
    <row r="10697" customFormat="false" ht="15" hidden="false" customHeight="false" outlineLevel="0" collapsed="false">
      <c r="A10697" s="7" t="s">
        <v>29</v>
      </c>
      <c r="B10697" s="7" t="s">
        <v>121</v>
      </c>
      <c r="C10697" s="7" t="s">
        <v>1043</v>
      </c>
      <c r="D10697" s="7" t="n">
        <v>0</v>
      </c>
      <c r="E10697" s="7" t="n">
        <v>0</v>
      </c>
      <c r="F10697" s="7" t="n">
        <v>20</v>
      </c>
      <c r="G10697" s="7" t="n">
        <v>718.4</v>
      </c>
    </row>
    <row r="10698" customFormat="false" ht="15" hidden="false" customHeight="false" outlineLevel="0" collapsed="false">
      <c r="A10698" s="7" t="s">
        <v>29</v>
      </c>
      <c r="B10698" s="7" t="s">
        <v>120</v>
      </c>
      <c r="C10698" s="7" t="s">
        <v>1044</v>
      </c>
      <c r="D10698" s="7" t="n">
        <v>0</v>
      </c>
      <c r="E10698" s="7" t="n">
        <v>0</v>
      </c>
      <c r="F10698" s="7" t="n">
        <v>10</v>
      </c>
      <c r="G10698" s="7" t="n">
        <v>359.2</v>
      </c>
    </row>
    <row r="10699" customFormat="false" ht="15" hidden="false" customHeight="false" outlineLevel="0" collapsed="false">
      <c r="A10699" s="7" t="s">
        <v>29</v>
      </c>
      <c r="B10699" s="7" t="s">
        <v>120</v>
      </c>
      <c r="C10699" s="7" t="s">
        <v>1044</v>
      </c>
      <c r="D10699" s="7" t="n">
        <v>0</v>
      </c>
      <c r="E10699" s="7" t="n">
        <v>0</v>
      </c>
      <c r="F10699" s="7" t="n">
        <v>10</v>
      </c>
      <c r="G10699" s="7" t="n">
        <v>364.25</v>
      </c>
    </row>
    <row r="10700" customFormat="false" ht="15" hidden="false" customHeight="false" outlineLevel="0" collapsed="false">
      <c r="A10700" s="7" t="s">
        <v>29</v>
      </c>
      <c r="B10700" s="7" t="s">
        <v>120</v>
      </c>
      <c r="C10700" s="7" t="s">
        <v>1044</v>
      </c>
      <c r="D10700" s="7" t="n">
        <v>15</v>
      </c>
      <c r="E10700" s="7" t="n">
        <v>575.1</v>
      </c>
      <c r="F10700" s="7" t="n">
        <v>0</v>
      </c>
      <c r="G10700" s="7" t="n">
        <v>0</v>
      </c>
    </row>
    <row r="10701" customFormat="false" ht="15" hidden="false" customHeight="false" outlineLevel="0" collapsed="false">
      <c r="A10701" s="7" t="s">
        <v>29</v>
      </c>
      <c r="B10701" s="7" t="s">
        <v>116</v>
      </c>
      <c r="C10701" s="7" t="s">
        <v>1044</v>
      </c>
      <c r="D10701" s="7" t="n">
        <v>15</v>
      </c>
      <c r="E10701" s="7" t="n">
        <v>575.1</v>
      </c>
      <c r="F10701" s="7" t="n">
        <v>0</v>
      </c>
      <c r="G10701" s="7" t="n">
        <v>0</v>
      </c>
    </row>
    <row r="10702" customFormat="false" ht="15" hidden="false" customHeight="false" outlineLevel="0" collapsed="false">
      <c r="A10702" s="7" t="s">
        <v>29</v>
      </c>
      <c r="B10702" s="7" t="s">
        <v>116</v>
      </c>
      <c r="C10702" s="7" t="s">
        <v>1044</v>
      </c>
      <c r="D10702" s="7" t="n">
        <v>0</v>
      </c>
      <c r="E10702" s="7" t="n">
        <v>0</v>
      </c>
      <c r="F10702" s="7" t="n">
        <v>10</v>
      </c>
      <c r="G10702" s="7" t="n">
        <v>341.57</v>
      </c>
    </row>
    <row r="10703" customFormat="false" ht="15" hidden="false" customHeight="false" outlineLevel="0" collapsed="false">
      <c r="A10703" s="7" t="s">
        <v>29</v>
      </c>
      <c r="B10703" s="7" t="s">
        <v>116</v>
      </c>
      <c r="C10703" s="7" t="s">
        <v>1044</v>
      </c>
      <c r="D10703" s="7" t="n">
        <v>0</v>
      </c>
      <c r="E10703" s="7" t="n">
        <v>0</v>
      </c>
      <c r="F10703" s="7" t="n">
        <v>20</v>
      </c>
      <c r="G10703" s="7" t="n">
        <v>718.4</v>
      </c>
    </row>
    <row r="10704" customFormat="false" ht="15" hidden="false" customHeight="false" outlineLevel="0" collapsed="false">
      <c r="A10704" s="7" t="s">
        <v>29</v>
      </c>
      <c r="B10704" s="7" t="s">
        <v>116</v>
      </c>
      <c r="C10704" s="7" t="s">
        <v>1044</v>
      </c>
      <c r="D10704" s="7" t="n">
        <v>0</v>
      </c>
      <c r="E10704" s="7" t="n">
        <v>0</v>
      </c>
      <c r="F10704" s="7" t="n">
        <v>20</v>
      </c>
      <c r="G10704" s="7" t="n">
        <v>728.5</v>
      </c>
    </row>
    <row r="10705" customFormat="false" ht="15" hidden="false" customHeight="false" outlineLevel="0" collapsed="false">
      <c r="A10705" s="7" t="s">
        <v>29</v>
      </c>
      <c r="B10705" s="7" t="s">
        <v>114</v>
      </c>
      <c r="C10705" s="7" t="s">
        <v>1044</v>
      </c>
      <c r="D10705" s="7" t="n">
        <v>15</v>
      </c>
      <c r="E10705" s="7" t="n">
        <v>575.1</v>
      </c>
      <c r="F10705" s="7" t="n">
        <v>0</v>
      </c>
      <c r="G10705" s="7" t="n">
        <v>0</v>
      </c>
    </row>
    <row r="10706" customFormat="false" ht="15" hidden="false" customHeight="false" outlineLevel="0" collapsed="false">
      <c r="A10706" s="7" t="s">
        <v>29</v>
      </c>
      <c r="B10706" s="7" t="s">
        <v>114</v>
      </c>
      <c r="C10706" s="7" t="s">
        <v>1044</v>
      </c>
      <c r="D10706" s="7" t="n">
        <v>0</v>
      </c>
      <c r="E10706" s="7" t="n">
        <v>0</v>
      </c>
      <c r="F10706" s="7" t="n">
        <v>10</v>
      </c>
      <c r="G10706" s="7" t="n">
        <v>364.25</v>
      </c>
    </row>
    <row r="10707" customFormat="false" ht="15" hidden="false" customHeight="false" outlineLevel="0" collapsed="false">
      <c r="A10707" s="7" t="s">
        <v>29</v>
      </c>
      <c r="B10707" s="7" t="s">
        <v>114</v>
      </c>
      <c r="C10707" s="7" t="s">
        <v>1044</v>
      </c>
      <c r="D10707" s="7" t="n">
        <v>0</v>
      </c>
      <c r="E10707" s="7" t="n">
        <v>0</v>
      </c>
      <c r="F10707" s="7" t="n">
        <v>20</v>
      </c>
      <c r="G10707" s="7" t="n">
        <v>718.4</v>
      </c>
    </row>
    <row r="10708" customFormat="false" ht="15" hidden="false" customHeight="false" outlineLevel="0" collapsed="false">
      <c r="A10708" s="7" t="s">
        <v>29</v>
      </c>
      <c r="B10708" s="7" t="s">
        <v>405</v>
      </c>
      <c r="C10708" s="7" t="s">
        <v>1141</v>
      </c>
      <c r="D10708" s="7" t="n">
        <v>0</v>
      </c>
      <c r="E10708" s="7" t="n">
        <v>0</v>
      </c>
      <c r="F10708" s="7" t="n">
        <v>50</v>
      </c>
      <c r="G10708" s="7" t="n">
        <v>455.92</v>
      </c>
    </row>
    <row r="10709" customFormat="false" ht="15" hidden="false" customHeight="false" outlineLevel="0" collapsed="false">
      <c r="A10709" s="7" t="s">
        <v>29</v>
      </c>
      <c r="B10709" s="7" t="s">
        <v>405</v>
      </c>
      <c r="C10709" s="7" t="s">
        <v>1141</v>
      </c>
      <c r="D10709" s="7" t="n">
        <v>20</v>
      </c>
      <c r="E10709" s="7" t="n">
        <v>0.03</v>
      </c>
      <c r="F10709" s="7" t="n">
        <v>0</v>
      </c>
      <c r="G10709" s="7" t="n">
        <v>0</v>
      </c>
    </row>
    <row r="10710" customFormat="false" ht="15" hidden="false" customHeight="false" outlineLevel="0" collapsed="false">
      <c r="A10710" s="7" t="s">
        <v>29</v>
      </c>
      <c r="B10710" s="7" t="s">
        <v>405</v>
      </c>
      <c r="C10710" s="7" t="s">
        <v>1141</v>
      </c>
      <c r="D10710" s="7" t="n">
        <v>10</v>
      </c>
      <c r="E10710" s="7" t="n">
        <v>0.06</v>
      </c>
      <c r="F10710" s="7" t="n">
        <v>10</v>
      </c>
      <c r="G10710" s="7" t="n">
        <v>0.03</v>
      </c>
    </row>
    <row r="10711" customFormat="false" ht="15" hidden="false" customHeight="false" outlineLevel="0" collapsed="false">
      <c r="A10711" s="7" t="s">
        <v>29</v>
      </c>
      <c r="B10711" s="7" t="s">
        <v>405</v>
      </c>
      <c r="C10711" s="7" t="s">
        <v>1141</v>
      </c>
      <c r="D10711" s="7" t="n">
        <v>0</v>
      </c>
      <c r="E10711" s="7" t="n">
        <v>0</v>
      </c>
      <c r="F10711" s="7" t="n">
        <v>3</v>
      </c>
      <c r="G10711" s="7" t="n">
        <v>0.09</v>
      </c>
    </row>
    <row r="10712" customFormat="false" ht="15" hidden="false" customHeight="false" outlineLevel="0" collapsed="false">
      <c r="A10712" s="7" t="s">
        <v>29</v>
      </c>
      <c r="B10712" s="7" t="s">
        <v>405</v>
      </c>
      <c r="C10712" s="7" t="s">
        <v>1141</v>
      </c>
      <c r="D10712" s="7" t="n">
        <v>100</v>
      </c>
      <c r="E10712" s="7" t="n">
        <v>982.94</v>
      </c>
      <c r="F10712" s="7" t="n">
        <v>0</v>
      </c>
      <c r="G10712" s="7" t="n">
        <v>0</v>
      </c>
    </row>
    <row r="10713" customFormat="false" ht="15" hidden="false" customHeight="false" outlineLevel="0" collapsed="false">
      <c r="A10713" s="7" t="s">
        <v>29</v>
      </c>
      <c r="B10713" s="7" t="s">
        <v>405</v>
      </c>
      <c r="C10713" s="7" t="s">
        <v>1141</v>
      </c>
      <c r="D10713" s="7" t="n">
        <v>50</v>
      </c>
      <c r="E10713" s="7" t="n">
        <v>496.48</v>
      </c>
      <c r="F10713" s="7" t="n">
        <v>0</v>
      </c>
      <c r="G10713" s="7" t="n">
        <v>0</v>
      </c>
    </row>
    <row r="10714" customFormat="false" ht="15" hidden="false" customHeight="false" outlineLevel="0" collapsed="false">
      <c r="A10714" s="7" t="s">
        <v>29</v>
      </c>
      <c r="B10714" s="7" t="s">
        <v>405</v>
      </c>
      <c r="C10714" s="7" t="s">
        <v>1141</v>
      </c>
      <c r="D10714" s="7" t="n">
        <v>0</v>
      </c>
      <c r="E10714" s="7" t="n">
        <v>0</v>
      </c>
      <c r="F10714" s="7" t="n">
        <v>30</v>
      </c>
      <c r="G10714" s="7" t="n">
        <v>257.27</v>
      </c>
    </row>
    <row r="10715" customFormat="false" ht="15" hidden="false" customHeight="false" outlineLevel="0" collapsed="false">
      <c r="A10715" s="7" t="s">
        <v>29</v>
      </c>
      <c r="B10715" s="7" t="s">
        <v>696</v>
      </c>
      <c r="C10715" s="7" t="s">
        <v>1141</v>
      </c>
      <c r="D10715" s="7" t="n">
        <v>2</v>
      </c>
      <c r="E10715" s="7" t="n">
        <v>0.03</v>
      </c>
      <c r="F10715" s="7" t="n">
        <v>10</v>
      </c>
      <c r="G10715" s="7" t="n">
        <v>0.03</v>
      </c>
    </row>
    <row r="10716" customFormat="false" ht="15" hidden="false" customHeight="false" outlineLevel="0" collapsed="false">
      <c r="A10716" s="7" t="s">
        <v>29</v>
      </c>
      <c r="B10716" s="7" t="s">
        <v>696</v>
      </c>
      <c r="C10716" s="7" t="s">
        <v>1141</v>
      </c>
      <c r="D10716" s="7" t="n">
        <v>0</v>
      </c>
      <c r="E10716" s="7" t="n">
        <v>0</v>
      </c>
      <c r="F10716" s="7" t="n">
        <v>50</v>
      </c>
      <c r="G10716" s="7" t="n">
        <v>455.92</v>
      </c>
    </row>
    <row r="10717" customFormat="false" ht="15" hidden="false" customHeight="false" outlineLevel="0" collapsed="false">
      <c r="A10717" s="7" t="s">
        <v>29</v>
      </c>
      <c r="B10717" s="7" t="s">
        <v>696</v>
      </c>
      <c r="C10717" s="7" t="s">
        <v>1141</v>
      </c>
      <c r="D10717" s="7" t="n">
        <v>0</v>
      </c>
      <c r="E10717" s="7" t="n">
        <v>0</v>
      </c>
      <c r="F10717" s="7" t="n">
        <v>40</v>
      </c>
      <c r="G10717" s="7" t="n">
        <v>343.03</v>
      </c>
    </row>
    <row r="10718" customFormat="false" ht="15" hidden="false" customHeight="false" outlineLevel="0" collapsed="false">
      <c r="A10718" s="7" t="s">
        <v>29</v>
      </c>
      <c r="B10718" s="7" t="s">
        <v>696</v>
      </c>
      <c r="C10718" s="7" t="s">
        <v>1141</v>
      </c>
      <c r="D10718" s="7" t="n">
        <v>20</v>
      </c>
      <c r="E10718" s="7" t="n">
        <v>0.03</v>
      </c>
      <c r="F10718" s="7" t="n">
        <v>0</v>
      </c>
      <c r="G10718" s="7" t="n">
        <v>0</v>
      </c>
    </row>
    <row r="10719" customFormat="false" ht="15" hidden="false" customHeight="false" outlineLevel="0" collapsed="false">
      <c r="A10719" s="7" t="s">
        <v>29</v>
      </c>
      <c r="B10719" s="7" t="s">
        <v>696</v>
      </c>
      <c r="C10719" s="7" t="s">
        <v>1141</v>
      </c>
      <c r="D10719" s="7" t="n">
        <v>10</v>
      </c>
      <c r="E10719" s="7" t="n">
        <v>99.3</v>
      </c>
      <c r="F10719" s="7" t="n">
        <v>0</v>
      </c>
      <c r="G10719" s="7" t="n">
        <v>0</v>
      </c>
    </row>
    <row r="10720" customFormat="false" ht="15" hidden="false" customHeight="false" outlineLevel="0" collapsed="false">
      <c r="A10720" s="7" t="s">
        <v>29</v>
      </c>
      <c r="B10720" s="7" t="s">
        <v>696</v>
      </c>
      <c r="C10720" s="7" t="s">
        <v>1141</v>
      </c>
      <c r="D10720" s="7" t="n">
        <v>0</v>
      </c>
      <c r="E10720" s="7" t="n">
        <v>0</v>
      </c>
      <c r="F10720" s="7" t="n">
        <v>4</v>
      </c>
      <c r="G10720" s="7" t="n">
        <v>0.12</v>
      </c>
    </row>
    <row r="10721" customFormat="false" ht="15" hidden="false" customHeight="false" outlineLevel="0" collapsed="false">
      <c r="A10721" s="7" t="s">
        <v>29</v>
      </c>
      <c r="B10721" s="7" t="s">
        <v>696</v>
      </c>
      <c r="C10721" s="7" t="s">
        <v>1141</v>
      </c>
      <c r="D10721" s="7" t="n">
        <v>100</v>
      </c>
      <c r="E10721" s="7" t="n">
        <v>982.94</v>
      </c>
      <c r="F10721" s="7" t="n">
        <v>0</v>
      </c>
      <c r="G10721" s="7" t="n">
        <v>0</v>
      </c>
    </row>
    <row r="10722" customFormat="false" ht="15" hidden="false" customHeight="false" outlineLevel="0" collapsed="false">
      <c r="A10722" s="7" t="s">
        <v>29</v>
      </c>
      <c r="B10722" s="7" t="s">
        <v>700</v>
      </c>
      <c r="C10722" s="7" t="s">
        <v>1141</v>
      </c>
      <c r="D10722" s="7" t="n">
        <v>4</v>
      </c>
      <c r="E10722" s="7" t="n">
        <v>0.04</v>
      </c>
      <c r="F10722" s="7" t="n">
        <v>10</v>
      </c>
      <c r="G10722" s="7" t="n">
        <v>0</v>
      </c>
    </row>
    <row r="10723" customFormat="false" ht="15" hidden="false" customHeight="false" outlineLevel="0" collapsed="false">
      <c r="A10723" s="7" t="s">
        <v>29</v>
      </c>
      <c r="B10723" s="7" t="s">
        <v>700</v>
      </c>
      <c r="C10723" s="7" t="s">
        <v>1141</v>
      </c>
      <c r="D10723" s="7" t="n">
        <v>0</v>
      </c>
      <c r="E10723" s="7" t="n">
        <v>0</v>
      </c>
      <c r="F10723" s="7" t="n">
        <v>50</v>
      </c>
      <c r="G10723" s="7" t="n">
        <v>455.92</v>
      </c>
    </row>
    <row r="10724" customFormat="false" ht="15" hidden="false" customHeight="false" outlineLevel="0" collapsed="false">
      <c r="A10724" s="7" t="s">
        <v>29</v>
      </c>
      <c r="B10724" s="7" t="s">
        <v>700</v>
      </c>
      <c r="C10724" s="7" t="s">
        <v>1141</v>
      </c>
      <c r="D10724" s="7" t="n">
        <v>0</v>
      </c>
      <c r="E10724" s="7" t="n">
        <v>0</v>
      </c>
      <c r="F10724" s="7" t="n">
        <v>20</v>
      </c>
      <c r="G10724" s="7" t="n">
        <v>171.51</v>
      </c>
    </row>
    <row r="10725" customFormat="false" ht="15" hidden="false" customHeight="false" outlineLevel="0" collapsed="false">
      <c r="A10725" s="7" t="s">
        <v>29</v>
      </c>
      <c r="B10725" s="7" t="s">
        <v>700</v>
      </c>
      <c r="C10725" s="7" t="s">
        <v>1141</v>
      </c>
      <c r="D10725" s="7" t="n">
        <v>14</v>
      </c>
      <c r="E10725" s="7" t="n">
        <v>0.03</v>
      </c>
      <c r="F10725" s="7" t="n">
        <v>0</v>
      </c>
      <c r="G10725" s="7" t="n">
        <v>0</v>
      </c>
    </row>
    <row r="10726" customFormat="false" ht="15" hidden="false" customHeight="false" outlineLevel="0" collapsed="false">
      <c r="A10726" s="7" t="s">
        <v>29</v>
      </c>
      <c r="B10726" s="7" t="s">
        <v>700</v>
      </c>
      <c r="C10726" s="7" t="s">
        <v>1141</v>
      </c>
      <c r="D10726" s="7" t="n">
        <v>70</v>
      </c>
      <c r="E10726" s="7" t="n">
        <v>688.06</v>
      </c>
      <c r="F10726" s="7" t="n">
        <v>0</v>
      </c>
      <c r="G10726" s="7" t="n">
        <v>0</v>
      </c>
    </row>
    <row r="10727" customFormat="false" ht="15" hidden="false" customHeight="false" outlineLevel="0" collapsed="false">
      <c r="A10727" s="7" t="s">
        <v>29</v>
      </c>
      <c r="B10727" s="7" t="s">
        <v>700</v>
      </c>
      <c r="C10727" s="7" t="s">
        <v>1141</v>
      </c>
      <c r="D10727" s="7" t="n">
        <v>10</v>
      </c>
      <c r="E10727" s="7" t="n">
        <v>99.3</v>
      </c>
      <c r="F10727" s="7" t="n">
        <v>0</v>
      </c>
      <c r="G10727" s="7" t="n">
        <v>0</v>
      </c>
    </row>
    <row r="10728" customFormat="false" ht="15" hidden="false" customHeight="false" outlineLevel="0" collapsed="false">
      <c r="A10728" s="7" t="s">
        <v>29</v>
      </c>
      <c r="B10728" s="7" t="s">
        <v>700</v>
      </c>
      <c r="C10728" s="7" t="s">
        <v>1141</v>
      </c>
      <c r="D10728" s="7" t="n">
        <v>2</v>
      </c>
      <c r="E10728" s="7" t="n">
        <v>0.03</v>
      </c>
      <c r="F10728" s="7" t="n">
        <v>0</v>
      </c>
      <c r="G10728" s="7" t="n">
        <v>0</v>
      </c>
    </row>
    <row r="10729" customFormat="false" ht="15" hidden="false" customHeight="false" outlineLevel="0" collapsed="false">
      <c r="A10729" s="7" t="s">
        <v>29</v>
      </c>
      <c r="B10729" s="7" t="s">
        <v>700</v>
      </c>
      <c r="C10729" s="7" t="s">
        <v>1141</v>
      </c>
      <c r="D10729" s="7" t="n">
        <v>20</v>
      </c>
      <c r="E10729" s="7" t="n">
        <v>210.98</v>
      </c>
      <c r="F10729" s="7" t="n">
        <v>0</v>
      </c>
      <c r="G10729" s="7" t="n">
        <v>0</v>
      </c>
    </row>
    <row r="10730" customFormat="false" ht="15" hidden="false" customHeight="false" outlineLevel="0" collapsed="false">
      <c r="A10730" s="7" t="s">
        <v>29</v>
      </c>
      <c r="B10730" s="7" t="s">
        <v>700</v>
      </c>
      <c r="C10730" s="7" t="s">
        <v>1141</v>
      </c>
      <c r="D10730" s="7" t="n">
        <v>0</v>
      </c>
      <c r="E10730" s="7" t="n">
        <v>0</v>
      </c>
      <c r="F10730" s="7" t="n">
        <v>2</v>
      </c>
      <c r="G10730" s="7" t="n">
        <v>0.06</v>
      </c>
    </row>
    <row r="10731" customFormat="false" ht="15" hidden="false" customHeight="false" outlineLevel="0" collapsed="false">
      <c r="A10731" s="7" t="s">
        <v>29</v>
      </c>
      <c r="B10731" s="7" t="s">
        <v>567</v>
      </c>
      <c r="C10731" s="7" t="s">
        <v>1141</v>
      </c>
      <c r="D10731" s="7" t="n">
        <v>50</v>
      </c>
      <c r="E10731" s="7" t="n">
        <v>491.47</v>
      </c>
      <c r="F10731" s="7" t="n">
        <v>0</v>
      </c>
      <c r="G10731" s="7" t="n">
        <v>0</v>
      </c>
    </row>
    <row r="10732" customFormat="false" ht="15" hidden="false" customHeight="false" outlineLevel="0" collapsed="false">
      <c r="A10732" s="7" t="s">
        <v>29</v>
      </c>
      <c r="B10732" s="7" t="s">
        <v>567</v>
      </c>
      <c r="C10732" s="7" t="s">
        <v>1141</v>
      </c>
      <c r="D10732" s="7" t="n">
        <v>0</v>
      </c>
      <c r="E10732" s="7" t="n">
        <v>0</v>
      </c>
      <c r="F10732" s="7" t="n">
        <v>8</v>
      </c>
      <c r="G10732" s="7" t="n">
        <v>0.03</v>
      </c>
    </row>
    <row r="10733" customFormat="false" ht="15" hidden="false" customHeight="false" outlineLevel="0" collapsed="false">
      <c r="A10733" s="7" t="s">
        <v>29</v>
      </c>
      <c r="B10733" s="7" t="s">
        <v>567</v>
      </c>
      <c r="C10733" s="7" t="s">
        <v>1141</v>
      </c>
      <c r="D10733" s="7" t="n">
        <v>0</v>
      </c>
      <c r="E10733" s="7" t="n">
        <v>0</v>
      </c>
      <c r="F10733" s="7" t="n">
        <v>40</v>
      </c>
      <c r="G10733" s="7" t="n">
        <v>364.74</v>
      </c>
    </row>
    <row r="10734" customFormat="false" ht="15" hidden="false" customHeight="false" outlineLevel="0" collapsed="false">
      <c r="A10734" s="7" t="s">
        <v>29</v>
      </c>
      <c r="B10734" s="7" t="s">
        <v>567</v>
      </c>
      <c r="C10734" s="7" t="s">
        <v>1141</v>
      </c>
      <c r="D10734" s="7" t="n">
        <v>10</v>
      </c>
      <c r="E10734" s="7" t="n">
        <v>0.03</v>
      </c>
      <c r="F10734" s="7" t="n">
        <v>0</v>
      </c>
      <c r="G10734" s="7" t="n">
        <v>0</v>
      </c>
    </row>
    <row r="10735" customFormat="false" ht="15" hidden="false" customHeight="false" outlineLevel="0" collapsed="false">
      <c r="A10735" s="7" t="s">
        <v>29</v>
      </c>
      <c r="B10735" s="7" t="s">
        <v>316</v>
      </c>
      <c r="C10735" s="7" t="s">
        <v>1047</v>
      </c>
      <c r="D10735" s="7" t="n">
        <v>10</v>
      </c>
      <c r="E10735" s="7" t="n">
        <v>499.8</v>
      </c>
      <c r="F10735" s="7" t="n">
        <v>0</v>
      </c>
      <c r="G10735" s="7" t="n">
        <v>0</v>
      </c>
    </row>
    <row r="10736" customFormat="false" ht="15" hidden="false" customHeight="false" outlineLevel="0" collapsed="false">
      <c r="A10736" s="7" t="s">
        <v>29</v>
      </c>
      <c r="B10736" s="7" t="s">
        <v>316</v>
      </c>
      <c r="C10736" s="7" t="s">
        <v>1047</v>
      </c>
      <c r="D10736" s="7" t="n">
        <v>0</v>
      </c>
      <c r="E10736" s="7" t="n">
        <v>0</v>
      </c>
      <c r="F10736" s="7" t="n">
        <v>10</v>
      </c>
      <c r="G10736" s="7" t="n">
        <v>436.05</v>
      </c>
    </row>
    <row r="10737" customFormat="false" ht="15" hidden="false" customHeight="false" outlineLevel="0" collapsed="false">
      <c r="A10737" s="7" t="s">
        <v>29</v>
      </c>
      <c r="B10737" s="7" t="s">
        <v>316</v>
      </c>
      <c r="C10737" s="7" t="s">
        <v>1047</v>
      </c>
      <c r="D10737" s="7" t="n">
        <v>0</v>
      </c>
      <c r="E10737" s="7" t="n">
        <v>0</v>
      </c>
      <c r="F10737" s="7" t="n">
        <v>1</v>
      </c>
      <c r="G10737" s="7" t="n">
        <v>0.03</v>
      </c>
    </row>
    <row r="10738" customFormat="false" ht="15" hidden="false" customHeight="false" outlineLevel="0" collapsed="false">
      <c r="A10738" s="7" t="s">
        <v>29</v>
      </c>
      <c r="B10738" s="7" t="s">
        <v>316</v>
      </c>
      <c r="C10738" s="7" t="s">
        <v>1047</v>
      </c>
      <c r="D10738" s="7" t="n">
        <v>2</v>
      </c>
      <c r="E10738" s="7" t="n">
        <v>0.03</v>
      </c>
      <c r="F10738" s="7" t="n">
        <v>0</v>
      </c>
      <c r="G10738" s="7" t="n">
        <v>0</v>
      </c>
    </row>
    <row r="10739" customFormat="false" ht="15" hidden="false" customHeight="false" outlineLevel="0" collapsed="false">
      <c r="A10739" s="7" t="s">
        <v>29</v>
      </c>
      <c r="B10739" s="7" t="s">
        <v>202</v>
      </c>
      <c r="C10739" s="7" t="s">
        <v>1047</v>
      </c>
      <c r="D10739" s="7" t="n">
        <v>0</v>
      </c>
      <c r="E10739" s="7" t="n">
        <v>0</v>
      </c>
      <c r="F10739" s="7" t="n">
        <v>1</v>
      </c>
      <c r="G10739" s="7" t="n">
        <v>0.03</v>
      </c>
    </row>
    <row r="10740" customFormat="false" ht="15" hidden="false" customHeight="false" outlineLevel="0" collapsed="false">
      <c r="A10740" s="7" t="s">
        <v>29</v>
      </c>
      <c r="B10740" s="7" t="s">
        <v>202</v>
      </c>
      <c r="C10740" s="7" t="s">
        <v>1047</v>
      </c>
      <c r="D10740" s="7" t="n">
        <v>10</v>
      </c>
      <c r="E10740" s="7" t="n">
        <v>499.8</v>
      </c>
      <c r="F10740" s="7" t="n">
        <v>0</v>
      </c>
      <c r="G10740" s="7" t="n">
        <v>0</v>
      </c>
    </row>
    <row r="10741" customFormat="false" ht="15" hidden="false" customHeight="false" outlineLevel="0" collapsed="false">
      <c r="A10741" s="7" t="s">
        <v>29</v>
      </c>
      <c r="B10741" s="7" t="s">
        <v>202</v>
      </c>
      <c r="C10741" s="7" t="s">
        <v>1047</v>
      </c>
      <c r="D10741" s="7" t="n">
        <v>0</v>
      </c>
      <c r="E10741" s="7" t="n">
        <v>0</v>
      </c>
      <c r="F10741" s="7" t="n">
        <v>10</v>
      </c>
      <c r="G10741" s="7" t="n">
        <v>436.05</v>
      </c>
    </row>
    <row r="10742" customFormat="false" ht="15" hidden="false" customHeight="false" outlineLevel="0" collapsed="false">
      <c r="A10742" s="7" t="s">
        <v>29</v>
      </c>
      <c r="B10742" s="7" t="s">
        <v>202</v>
      </c>
      <c r="C10742" s="7" t="s">
        <v>1047</v>
      </c>
      <c r="D10742" s="7" t="n">
        <v>2</v>
      </c>
      <c r="E10742" s="7" t="n">
        <v>0.03</v>
      </c>
      <c r="F10742" s="7" t="n">
        <v>0</v>
      </c>
      <c r="G10742" s="7" t="n">
        <v>0</v>
      </c>
    </row>
    <row r="10743" customFormat="false" ht="15" hidden="false" customHeight="false" outlineLevel="0" collapsed="false">
      <c r="A10743" s="7" t="s">
        <v>29</v>
      </c>
      <c r="B10743" s="7" t="s">
        <v>353</v>
      </c>
      <c r="C10743" s="7" t="s">
        <v>1047</v>
      </c>
      <c r="D10743" s="7" t="n">
        <v>5</v>
      </c>
      <c r="E10743" s="7" t="n">
        <v>276.3</v>
      </c>
      <c r="F10743" s="7" t="n">
        <v>0</v>
      </c>
      <c r="G10743" s="7" t="n">
        <v>0</v>
      </c>
    </row>
    <row r="10744" customFormat="false" ht="15" hidden="false" customHeight="false" outlineLevel="0" collapsed="false">
      <c r="A10744" s="7" t="s">
        <v>29</v>
      </c>
      <c r="B10744" s="7" t="s">
        <v>353</v>
      </c>
      <c r="C10744" s="7" t="s">
        <v>1047</v>
      </c>
      <c r="D10744" s="7" t="n">
        <v>10</v>
      </c>
      <c r="E10744" s="7" t="n">
        <v>489.45</v>
      </c>
      <c r="F10744" s="7" t="n">
        <v>0</v>
      </c>
      <c r="G10744" s="7" t="n">
        <v>0</v>
      </c>
    </row>
    <row r="10745" customFormat="false" ht="15" hidden="false" customHeight="false" outlineLevel="0" collapsed="false">
      <c r="A10745" s="7" t="s">
        <v>29</v>
      </c>
      <c r="B10745" s="7" t="s">
        <v>353</v>
      </c>
      <c r="C10745" s="7" t="s">
        <v>1047</v>
      </c>
      <c r="D10745" s="7" t="n">
        <v>2</v>
      </c>
      <c r="E10745" s="7" t="n">
        <v>0</v>
      </c>
      <c r="F10745" s="7" t="n">
        <v>0</v>
      </c>
      <c r="G10745" s="7" t="n">
        <v>0</v>
      </c>
    </row>
    <row r="10746" customFormat="false" ht="15" hidden="false" customHeight="false" outlineLevel="0" collapsed="false">
      <c r="A10746" s="7" t="s">
        <v>29</v>
      </c>
      <c r="B10746" s="7" t="s">
        <v>485</v>
      </c>
      <c r="C10746" s="7" t="s">
        <v>1047</v>
      </c>
      <c r="D10746" s="7" t="n">
        <v>2</v>
      </c>
      <c r="E10746" s="7" t="n">
        <v>0.03</v>
      </c>
      <c r="F10746" s="7" t="n">
        <v>0</v>
      </c>
      <c r="G10746" s="7" t="n">
        <v>0</v>
      </c>
    </row>
    <row r="10747" customFormat="false" ht="15" hidden="false" customHeight="false" outlineLevel="0" collapsed="false">
      <c r="A10747" s="7" t="s">
        <v>29</v>
      </c>
      <c r="B10747" s="7" t="s">
        <v>485</v>
      </c>
      <c r="C10747" s="7" t="s">
        <v>1047</v>
      </c>
      <c r="D10747" s="7" t="n">
        <v>0</v>
      </c>
      <c r="E10747" s="7" t="n">
        <v>0</v>
      </c>
      <c r="F10747" s="7" t="n">
        <v>5</v>
      </c>
      <c r="G10747" s="7" t="n">
        <v>218.03</v>
      </c>
    </row>
    <row r="10748" customFormat="false" ht="15" hidden="false" customHeight="false" outlineLevel="0" collapsed="false">
      <c r="A10748" s="7" t="s">
        <v>29</v>
      </c>
      <c r="B10748" s="7" t="s">
        <v>485</v>
      </c>
      <c r="C10748" s="7" t="s">
        <v>1047</v>
      </c>
      <c r="D10748" s="7" t="n">
        <v>0</v>
      </c>
      <c r="E10748" s="7" t="n">
        <v>0</v>
      </c>
      <c r="F10748" s="7" t="n">
        <v>1</v>
      </c>
      <c r="G10748" s="7" t="n">
        <v>0.03</v>
      </c>
    </row>
    <row r="10749" customFormat="false" ht="15" hidden="false" customHeight="false" outlineLevel="0" collapsed="false">
      <c r="A10749" s="7" t="s">
        <v>29</v>
      </c>
      <c r="B10749" s="7" t="s">
        <v>485</v>
      </c>
      <c r="C10749" s="7" t="s">
        <v>1047</v>
      </c>
      <c r="D10749" s="7" t="n">
        <v>10</v>
      </c>
      <c r="E10749" s="7" t="n">
        <v>499.8</v>
      </c>
      <c r="F10749" s="7" t="n">
        <v>0</v>
      </c>
      <c r="G10749" s="7" t="n">
        <v>0</v>
      </c>
    </row>
    <row r="10750" customFormat="false" ht="15" hidden="false" customHeight="false" outlineLevel="0" collapsed="false">
      <c r="A10750" s="7" t="s">
        <v>29</v>
      </c>
      <c r="B10750" s="7" t="s">
        <v>476</v>
      </c>
      <c r="C10750" s="7" t="s">
        <v>1047</v>
      </c>
      <c r="D10750" s="7" t="n">
        <v>5</v>
      </c>
      <c r="E10750" s="7" t="n">
        <v>270</v>
      </c>
      <c r="F10750" s="7" t="n">
        <v>0</v>
      </c>
      <c r="G10750" s="7" t="n">
        <v>0</v>
      </c>
    </row>
    <row r="10751" customFormat="false" ht="15" hidden="false" customHeight="false" outlineLevel="0" collapsed="false">
      <c r="A10751" s="7" t="s">
        <v>29</v>
      </c>
      <c r="B10751" s="7" t="s">
        <v>476</v>
      </c>
      <c r="C10751" s="7" t="s">
        <v>1047</v>
      </c>
      <c r="D10751" s="7" t="n">
        <v>0</v>
      </c>
      <c r="E10751" s="7" t="n">
        <v>0</v>
      </c>
      <c r="F10751" s="7" t="n">
        <v>5</v>
      </c>
      <c r="G10751" s="7" t="n">
        <v>218.03</v>
      </c>
    </row>
    <row r="10752" customFormat="false" ht="15" hidden="false" customHeight="false" outlineLevel="0" collapsed="false">
      <c r="A10752" s="7" t="s">
        <v>29</v>
      </c>
      <c r="B10752" s="7" t="s">
        <v>143</v>
      </c>
      <c r="C10752" s="7" t="s">
        <v>1047</v>
      </c>
      <c r="D10752" s="7" t="n">
        <v>4</v>
      </c>
      <c r="E10752" s="7" t="n">
        <v>0.04</v>
      </c>
      <c r="F10752" s="7" t="n">
        <v>3</v>
      </c>
      <c r="G10752" s="7" t="n">
        <v>0.03</v>
      </c>
    </row>
    <row r="10753" customFormat="false" ht="15" hidden="false" customHeight="false" outlineLevel="0" collapsed="false">
      <c r="A10753" s="7" t="s">
        <v>29</v>
      </c>
      <c r="B10753" s="7" t="s">
        <v>143</v>
      </c>
      <c r="C10753" s="7" t="s">
        <v>1047</v>
      </c>
      <c r="D10753" s="7" t="n">
        <v>0</v>
      </c>
      <c r="E10753" s="7" t="n">
        <v>0</v>
      </c>
      <c r="F10753" s="7" t="n">
        <v>30</v>
      </c>
      <c r="G10753" s="7" t="n">
        <v>880.42</v>
      </c>
    </row>
    <row r="10754" customFormat="false" ht="15" hidden="false" customHeight="false" outlineLevel="0" collapsed="false">
      <c r="A10754" s="7" t="s">
        <v>29</v>
      </c>
      <c r="B10754" s="7" t="s">
        <v>143</v>
      </c>
      <c r="C10754" s="7" t="s">
        <v>1047</v>
      </c>
      <c r="D10754" s="7" t="n">
        <v>20</v>
      </c>
      <c r="E10754" s="7" t="n">
        <v>691.2</v>
      </c>
      <c r="F10754" s="7" t="n">
        <v>0</v>
      </c>
      <c r="G10754" s="7" t="n">
        <v>0</v>
      </c>
    </row>
    <row r="10755" customFormat="false" ht="15" hidden="false" customHeight="false" outlineLevel="0" collapsed="false">
      <c r="A10755" s="7" t="s">
        <v>29</v>
      </c>
      <c r="B10755" s="7" t="s">
        <v>319</v>
      </c>
      <c r="C10755" s="7" t="s">
        <v>1083</v>
      </c>
      <c r="D10755" s="7" t="n">
        <v>0</v>
      </c>
      <c r="E10755" s="7" t="n">
        <v>0</v>
      </c>
      <c r="F10755" s="7" t="n">
        <v>1</v>
      </c>
      <c r="G10755" s="7" t="n">
        <v>34.26</v>
      </c>
    </row>
    <row r="10756" customFormat="false" ht="15" hidden="false" customHeight="false" outlineLevel="0" collapsed="false">
      <c r="A10756" s="7" t="s">
        <v>29</v>
      </c>
      <c r="B10756" s="7" t="s">
        <v>208</v>
      </c>
      <c r="C10756" s="7" t="s">
        <v>1083</v>
      </c>
      <c r="D10756" s="7" t="n">
        <v>0</v>
      </c>
      <c r="E10756" s="7" t="n">
        <v>0</v>
      </c>
      <c r="F10756" s="7" t="n">
        <v>4</v>
      </c>
      <c r="G10756" s="7" t="n">
        <v>137.02</v>
      </c>
    </row>
    <row r="10757" customFormat="false" ht="15" hidden="false" customHeight="false" outlineLevel="0" collapsed="false">
      <c r="A10757" s="7" t="s">
        <v>29</v>
      </c>
      <c r="B10757" s="7" t="s">
        <v>208</v>
      </c>
      <c r="C10757" s="7" t="s">
        <v>1083</v>
      </c>
      <c r="D10757" s="7" t="n">
        <v>0</v>
      </c>
      <c r="E10757" s="7" t="n">
        <v>0</v>
      </c>
      <c r="F10757" s="7" t="n">
        <v>0</v>
      </c>
      <c r="G10757" s="7" t="n">
        <v>0.03</v>
      </c>
    </row>
    <row r="10758" customFormat="false" ht="15" hidden="false" customHeight="false" outlineLevel="0" collapsed="false">
      <c r="A10758" s="7" t="s">
        <v>29</v>
      </c>
      <c r="B10758" s="7" t="s">
        <v>563</v>
      </c>
      <c r="C10758" s="7" t="s">
        <v>1150</v>
      </c>
      <c r="D10758" s="7" t="n">
        <v>0</v>
      </c>
      <c r="E10758" s="7" t="n">
        <v>0</v>
      </c>
      <c r="F10758" s="7" t="n">
        <v>10</v>
      </c>
      <c r="G10758" s="7" t="n">
        <v>114.64</v>
      </c>
    </row>
    <row r="10759" customFormat="false" ht="15" hidden="false" customHeight="false" outlineLevel="0" collapsed="false">
      <c r="A10759" s="7" t="s">
        <v>29</v>
      </c>
      <c r="B10759" s="7" t="s">
        <v>563</v>
      </c>
      <c r="C10759" s="7" t="s">
        <v>1150</v>
      </c>
      <c r="D10759" s="7" t="n">
        <v>0</v>
      </c>
      <c r="E10759" s="7" t="n">
        <v>0</v>
      </c>
      <c r="F10759" s="7" t="n">
        <v>1</v>
      </c>
      <c r="G10759" s="7" t="n">
        <v>0.03</v>
      </c>
    </row>
    <row r="10760" customFormat="false" ht="15" hidden="false" customHeight="false" outlineLevel="0" collapsed="false">
      <c r="A10760" s="7" t="s">
        <v>29</v>
      </c>
      <c r="B10760" s="7" t="s">
        <v>522</v>
      </c>
      <c r="C10760" s="7" t="s">
        <v>1150</v>
      </c>
      <c r="D10760" s="7" t="n">
        <v>0</v>
      </c>
      <c r="E10760" s="7" t="n">
        <v>0</v>
      </c>
      <c r="F10760" s="7" t="n">
        <v>1</v>
      </c>
      <c r="G10760" s="7" t="n">
        <v>0.03</v>
      </c>
    </row>
    <row r="10761" customFormat="false" ht="15" hidden="false" customHeight="false" outlineLevel="0" collapsed="false">
      <c r="A10761" s="7" t="s">
        <v>29</v>
      </c>
      <c r="B10761" s="7" t="s">
        <v>522</v>
      </c>
      <c r="C10761" s="7" t="s">
        <v>1150</v>
      </c>
      <c r="D10761" s="7" t="n">
        <v>0</v>
      </c>
      <c r="E10761" s="7" t="n">
        <v>0</v>
      </c>
      <c r="F10761" s="7" t="n">
        <v>10</v>
      </c>
      <c r="G10761" s="7" t="n">
        <v>116.25</v>
      </c>
    </row>
    <row r="10762" customFormat="false" ht="15" hidden="false" customHeight="false" outlineLevel="0" collapsed="false">
      <c r="A10762" s="7" t="s">
        <v>29</v>
      </c>
      <c r="B10762" s="7" t="s">
        <v>401</v>
      </c>
      <c r="C10762" s="7" t="s">
        <v>1150</v>
      </c>
      <c r="D10762" s="7" t="n">
        <v>0</v>
      </c>
      <c r="E10762" s="7" t="n">
        <v>0</v>
      </c>
      <c r="F10762" s="7" t="n">
        <v>5</v>
      </c>
      <c r="G10762" s="7" t="n">
        <v>58.13</v>
      </c>
    </row>
    <row r="10763" customFormat="false" ht="15" hidden="false" customHeight="false" outlineLevel="0" collapsed="false">
      <c r="A10763" s="7" t="s">
        <v>29</v>
      </c>
      <c r="B10763" s="7" t="s">
        <v>924</v>
      </c>
      <c r="C10763" s="7" t="s">
        <v>1321</v>
      </c>
      <c r="D10763" s="7" t="n">
        <v>0</v>
      </c>
      <c r="E10763" s="7" t="n">
        <v>0</v>
      </c>
      <c r="F10763" s="7" t="n">
        <v>30</v>
      </c>
      <c r="G10763" s="7" t="n">
        <v>1028.74</v>
      </c>
    </row>
    <row r="10764" customFormat="false" ht="15" hidden="false" customHeight="false" outlineLevel="0" collapsed="false">
      <c r="A10764" s="7" t="s">
        <v>29</v>
      </c>
      <c r="B10764" s="7" t="s">
        <v>924</v>
      </c>
      <c r="C10764" s="7" t="s">
        <v>1321</v>
      </c>
      <c r="D10764" s="7" t="n">
        <v>0</v>
      </c>
      <c r="E10764" s="7" t="n">
        <v>0</v>
      </c>
      <c r="F10764" s="7" t="n">
        <v>20</v>
      </c>
      <c r="G10764" s="7" t="n">
        <v>683.82</v>
      </c>
    </row>
    <row r="10765" customFormat="false" ht="15" hidden="false" customHeight="false" outlineLevel="0" collapsed="false">
      <c r="A10765" s="7" t="s">
        <v>29</v>
      </c>
      <c r="B10765" s="7" t="s">
        <v>924</v>
      </c>
      <c r="C10765" s="7" t="s">
        <v>1321</v>
      </c>
      <c r="D10765" s="7" t="n">
        <v>0</v>
      </c>
      <c r="E10765" s="7" t="n">
        <v>0</v>
      </c>
      <c r="F10765" s="7" t="n">
        <v>20</v>
      </c>
      <c r="G10765" s="7" t="n">
        <v>676.3</v>
      </c>
    </row>
    <row r="10766" customFormat="false" ht="15" hidden="false" customHeight="false" outlineLevel="0" collapsed="false">
      <c r="A10766" s="7" t="s">
        <v>29</v>
      </c>
      <c r="B10766" s="7" t="s">
        <v>924</v>
      </c>
      <c r="C10766" s="7" t="s">
        <v>1321</v>
      </c>
      <c r="D10766" s="7" t="n">
        <v>20</v>
      </c>
      <c r="E10766" s="7" t="n">
        <v>737.14</v>
      </c>
      <c r="F10766" s="7" t="n">
        <v>0</v>
      </c>
      <c r="G10766" s="7" t="n">
        <v>0</v>
      </c>
    </row>
    <row r="10767" customFormat="false" ht="15" hidden="false" customHeight="false" outlineLevel="0" collapsed="false">
      <c r="A10767" s="7" t="s">
        <v>29</v>
      </c>
      <c r="B10767" s="7" t="s">
        <v>924</v>
      </c>
      <c r="C10767" s="7" t="s">
        <v>1321</v>
      </c>
      <c r="D10767" s="7" t="n">
        <v>6</v>
      </c>
      <c r="E10767" s="7" t="n">
        <v>0.04</v>
      </c>
      <c r="F10767" s="7" t="n">
        <v>9</v>
      </c>
      <c r="G10767" s="7" t="n">
        <v>0.09</v>
      </c>
    </row>
    <row r="10768" customFormat="false" ht="15" hidden="false" customHeight="false" outlineLevel="0" collapsed="false">
      <c r="A10768" s="7" t="s">
        <v>29</v>
      </c>
      <c r="B10768" s="7" t="s">
        <v>924</v>
      </c>
      <c r="C10768" s="7" t="s">
        <v>1321</v>
      </c>
      <c r="D10768" s="7" t="n">
        <v>4</v>
      </c>
      <c r="E10768" s="7" t="n">
        <v>0.03</v>
      </c>
      <c r="F10768" s="7" t="n">
        <v>0</v>
      </c>
      <c r="G10768" s="7" t="n">
        <v>0</v>
      </c>
    </row>
    <row r="10769" customFormat="false" ht="15" hidden="false" customHeight="false" outlineLevel="0" collapsed="false">
      <c r="A10769" s="7" t="s">
        <v>29</v>
      </c>
      <c r="B10769" s="7" t="s">
        <v>924</v>
      </c>
      <c r="C10769" s="7" t="s">
        <v>1321</v>
      </c>
      <c r="D10769" s="7" t="n">
        <v>30</v>
      </c>
      <c r="E10769" s="7" t="n">
        <v>1194.66</v>
      </c>
      <c r="F10769" s="7" t="n">
        <v>0</v>
      </c>
      <c r="G10769" s="7" t="n">
        <v>0</v>
      </c>
    </row>
    <row r="10770" customFormat="false" ht="15" hidden="false" customHeight="false" outlineLevel="0" collapsed="false">
      <c r="A10770" s="7" t="s">
        <v>29</v>
      </c>
      <c r="B10770" s="7" t="s">
        <v>916</v>
      </c>
      <c r="C10770" s="7" t="s">
        <v>1099</v>
      </c>
      <c r="D10770" s="7" t="n">
        <v>8</v>
      </c>
      <c r="E10770" s="7" t="n">
        <v>0.08</v>
      </c>
      <c r="F10770" s="7" t="n">
        <v>13</v>
      </c>
      <c r="G10770" s="7" t="n">
        <v>0.09</v>
      </c>
    </row>
    <row r="10771" customFormat="false" ht="15" hidden="false" customHeight="false" outlineLevel="0" collapsed="false">
      <c r="A10771" s="7" t="s">
        <v>29</v>
      </c>
      <c r="B10771" s="7" t="s">
        <v>916</v>
      </c>
      <c r="C10771" s="7" t="s">
        <v>1099</v>
      </c>
      <c r="D10771" s="7" t="n">
        <v>20</v>
      </c>
      <c r="E10771" s="7" t="n">
        <v>791.12</v>
      </c>
      <c r="F10771" s="7" t="n">
        <v>0</v>
      </c>
      <c r="G10771" s="7" t="n">
        <v>0</v>
      </c>
    </row>
    <row r="10772" customFormat="false" ht="15" hidden="false" customHeight="false" outlineLevel="0" collapsed="false">
      <c r="A10772" s="7" t="s">
        <v>29</v>
      </c>
      <c r="B10772" s="7" t="s">
        <v>916</v>
      </c>
      <c r="C10772" s="7" t="s">
        <v>1099</v>
      </c>
      <c r="D10772" s="7" t="n">
        <v>0</v>
      </c>
      <c r="E10772" s="7" t="n">
        <v>0</v>
      </c>
      <c r="F10772" s="7" t="n">
        <v>20</v>
      </c>
      <c r="G10772" s="7" t="n">
        <v>683.82</v>
      </c>
    </row>
    <row r="10773" customFormat="false" ht="15" hidden="false" customHeight="false" outlineLevel="0" collapsed="false">
      <c r="A10773" s="7" t="s">
        <v>29</v>
      </c>
      <c r="B10773" s="7" t="s">
        <v>916</v>
      </c>
      <c r="C10773" s="7" t="s">
        <v>1099</v>
      </c>
      <c r="D10773" s="7" t="n">
        <v>20</v>
      </c>
      <c r="E10773" s="7" t="n">
        <v>796.43</v>
      </c>
      <c r="F10773" s="7" t="n">
        <v>0</v>
      </c>
      <c r="G10773" s="7" t="n">
        <v>0</v>
      </c>
    </row>
    <row r="10774" customFormat="false" ht="15" hidden="false" customHeight="false" outlineLevel="0" collapsed="false">
      <c r="A10774" s="7" t="s">
        <v>29</v>
      </c>
      <c r="B10774" s="7" t="s">
        <v>916</v>
      </c>
      <c r="C10774" s="7" t="s">
        <v>1099</v>
      </c>
      <c r="D10774" s="7" t="n">
        <v>0</v>
      </c>
      <c r="E10774" s="7" t="n">
        <v>0</v>
      </c>
      <c r="F10774" s="7" t="n">
        <v>60</v>
      </c>
      <c r="G10774" s="7" t="n">
        <v>2057.47</v>
      </c>
    </row>
    <row r="10775" customFormat="false" ht="15" hidden="false" customHeight="false" outlineLevel="0" collapsed="false">
      <c r="A10775" s="7" t="s">
        <v>29</v>
      </c>
      <c r="B10775" s="7" t="s">
        <v>916</v>
      </c>
      <c r="C10775" s="7" t="s">
        <v>1099</v>
      </c>
      <c r="D10775" s="7" t="n">
        <v>0</v>
      </c>
      <c r="E10775" s="7" t="n">
        <v>0</v>
      </c>
      <c r="F10775" s="7" t="n">
        <v>30</v>
      </c>
      <c r="G10775" s="7" t="n">
        <v>1014.47</v>
      </c>
    </row>
    <row r="10776" customFormat="false" ht="15" hidden="false" customHeight="false" outlineLevel="0" collapsed="false">
      <c r="A10776" s="7" t="s">
        <v>29</v>
      </c>
      <c r="B10776" s="7" t="s">
        <v>119</v>
      </c>
      <c r="C10776" s="7" t="s">
        <v>1100</v>
      </c>
      <c r="D10776" s="7" t="n">
        <v>1</v>
      </c>
      <c r="E10776" s="7" t="n">
        <v>0.03</v>
      </c>
      <c r="F10776" s="7" t="n">
        <v>0</v>
      </c>
      <c r="G10776" s="7" t="n">
        <v>0</v>
      </c>
    </row>
    <row r="10777" customFormat="false" ht="15" hidden="false" customHeight="false" outlineLevel="0" collapsed="false">
      <c r="A10777" s="7" t="s">
        <v>29</v>
      </c>
      <c r="B10777" s="7" t="s">
        <v>517</v>
      </c>
      <c r="C10777" s="7" t="s">
        <v>1101</v>
      </c>
      <c r="D10777" s="7" t="n">
        <v>1</v>
      </c>
      <c r="E10777" s="7" t="n">
        <v>0.03</v>
      </c>
      <c r="F10777" s="7" t="n">
        <v>0</v>
      </c>
      <c r="G10777" s="7" t="n">
        <v>0</v>
      </c>
    </row>
    <row r="10778" customFormat="false" ht="15" hidden="false" customHeight="false" outlineLevel="0" collapsed="false">
      <c r="A10778" s="7" t="s">
        <v>29</v>
      </c>
      <c r="B10778" s="7" t="s">
        <v>334</v>
      </c>
      <c r="C10778" s="7" t="s">
        <v>1101</v>
      </c>
      <c r="D10778" s="7" t="n">
        <v>1</v>
      </c>
      <c r="E10778" s="7" t="n">
        <v>0.03</v>
      </c>
      <c r="F10778" s="7" t="n">
        <v>0</v>
      </c>
      <c r="G10778" s="7" t="n">
        <v>0</v>
      </c>
    </row>
    <row r="10779" customFormat="false" ht="15" hidden="false" customHeight="false" outlineLevel="0" collapsed="false">
      <c r="A10779" s="7" t="s">
        <v>29</v>
      </c>
      <c r="B10779" s="7" t="s">
        <v>919</v>
      </c>
      <c r="C10779" s="7" t="s">
        <v>1244</v>
      </c>
      <c r="D10779" s="7" t="n">
        <v>10</v>
      </c>
      <c r="E10779" s="7" t="n">
        <v>884.65</v>
      </c>
      <c r="F10779" s="7" t="n">
        <v>0</v>
      </c>
      <c r="G10779" s="7" t="n">
        <v>0</v>
      </c>
    </row>
    <row r="10780" customFormat="false" ht="15" hidden="false" customHeight="false" outlineLevel="0" collapsed="false">
      <c r="A10780" s="7" t="s">
        <v>29</v>
      </c>
      <c r="B10780" s="7" t="s">
        <v>919</v>
      </c>
      <c r="C10780" s="7" t="s">
        <v>1244</v>
      </c>
      <c r="D10780" s="7" t="n">
        <v>10</v>
      </c>
      <c r="E10780" s="7" t="n">
        <v>882.26</v>
      </c>
      <c r="F10780" s="7" t="n">
        <v>0</v>
      </c>
      <c r="G10780" s="7" t="n">
        <v>0</v>
      </c>
    </row>
    <row r="10781" customFormat="false" ht="15" hidden="false" customHeight="false" outlineLevel="0" collapsed="false">
      <c r="A10781" s="7" t="s">
        <v>29</v>
      </c>
      <c r="B10781" s="7" t="s">
        <v>919</v>
      </c>
      <c r="C10781" s="7" t="s">
        <v>1244</v>
      </c>
      <c r="D10781" s="7" t="n">
        <v>2</v>
      </c>
      <c r="E10781" s="7" t="n">
        <v>0.03</v>
      </c>
      <c r="F10781" s="7" t="n">
        <v>0</v>
      </c>
      <c r="G10781" s="7" t="n">
        <v>0</v>
      </c>
    </row>
    <row r="10782" customFormat="false" ht="15" hidden="false" customHeight="false" outlineLevel="0" collapsed="false">
      <c r="A10782" s="7" t="s">
        <v>29</v>
      </c>
      <c r="B10782" s="7" t="s">
        <v>919</v>
      </c>
      <c r="C10782" s="7" t="s">
        <v>1244</v>
      </c>
      <c r="D10782" s="7" t="n">
        <v>2</v>
      </c>
      <c r="E10782" s="7" t="n">
        <v>0.07</v>
      </c>
      <c r="F10782" s="7" t="n">
        <v>0</v>
      </c>
      <c r="G10782" s="7" t="n">
        <v>0</v>
      </c>
    </row>
    <row r="10783" customFormat="false" ht="15" hidden="false" customHeight="false" outlineLevel="0" collapsed="false">
      <c r="A10783" s="7" t="s">
        <v>29</v>
      </c>
      <c r="B10783" s="7" t="s">
        <v>917</v>
      </c>
      <c r="C10783" s="7" t="s">
        <v>1244</v>
      </c>
      <c r="D10783" s="7" t="n">
        <v>10</v>
      </c>
      <c r="E10783" s="7" t="n">
        <v>884.65</v>
      </c>
      <c r="F10783" s="7" t="n">
        <v>0</v>
      </c>
      <c r="G10783" s="7" t="n">
        <v>0</v>
      </c>
    </row>
    <row r="10784" customFormat="false" ht="15" hidden="false" customHeight="false" outlineLevel="0" collapsed="false">
      <c r="A10784" s="7" t="s">
        <v>29</v>
      </c>
      <c r="B10784" s="7" t="s">
        <v>917</v>
      </c>
      <c r="C10784" s="7" t="s">
        <v>1244</v>
      </c>
      <c r="D10784" s="7" t="n">
        <v>10</v>
      </c>
      <c r="E10784" s="7" t="n">
        <v>955.8</v>
      </c>
      <c r="F10784" s="7" t="n">
        <v>0</v>
      </c>
      <c r="G10784" s="7" t="n">
        <v>0</v>
      </c>
    </row>
    <row r="10785" customFormat="false" ht="15" hidden="false" customHeight="false" outlineLevel="0" collapsed="false">
      <c r="A10785" s="7" t="s">
        <v>29</v>
      </c>
      <c r="B10785" s="7" t="s">
        <v>917</v>
      </c>
      <c r="C10785" s="7" t="s">
        <v>1244</v>
      </c>
      <c r="D10785" s="7" t="n">
        <v>2</v>
      </c>
      <c r="E10785" s="7" t="n">
        <v>0.03</v>
      </c>
      <c r="F10785" s="7" t="n">
        <v>0</v>
      </c>
      <c r="G10785" s="7" t="n">
        <v>0</v>
      </c>
    </row>
    <row r="10786" customFormat="false" ht="15" hidden="false" customHeight="false" outlineLevel="0" collapsed="false">
      <c r="A10786" s="7" t="s">
        <v>29</v>
      </c>
      <c r="B10786" s="7" t="s">
        <v>917</v>
      </c>
      <c r="C10786" s="7" t="s">
        <v>1244</v>
      </c>
      <c r="D10786" s="7" t="n">
        <v>2</v>
      </c>
      <c r="E10786" s="7" t="n">
        <v>0.04</v>
      </c>
      <c r="F10786" s="7" t="n">
        <v>0</v>
      </c>
      <c r="G10786" s="7" t="n">
        <v>0</v>
      </c>
    </row>
    <row r="10787" customFormat="false" ht="15" hidden="false" customHeight="false" outlineLevel="0" collapsed="false">
      <c r="A10787" s="7" t="s">
        <v>29</v>
      </c>
      <c r="B10787" s="7" t="s">
        <v>918</v>
      </c>
      <c r="C10787" s="7" t="s">
        <v>1244</v>
      </c>
      <c r="D10787" s="7" t="n">
        <v>2</v>
      </c>
      <c r="E10787" s="7" t="n">
        <v>0.03</v>
      </c>
      <c r="F10787" s="7" t="n">
        <v>0</v>
      </c>
      <c r="G10787" s="7" t="n">
        <v>0</v>
      </c>
    </row>
    <row r="10788" customFormat="false" ht="15" hidden="false" customHeight="false" outlineLevel="0" collapsed="false">
      <c r="A10788" s="7" t="s">
        <v>29</v>
      </c>
      <c r="B10788" s="7" t="s">
        <v>918</v>
      </c>
      <c r="C10788" s="7" t="s">
        <v>1244</v>
      </c>
      <c r="D10788" s="7" t="n">
        <v>10</v>
      </c>
      <c r="E10788" s="7" t="n">
        <v>884.65</v>
      </c>
      <c r="F10788" s="7" t="n">
        <v>0</v>
      </c>
      <c r="G10788" s="7" t="n">
        <v>0</v>
      </c>
    </row>
    <row r="10789" customFormat="false" ht="15" hidden="false" customHeight="false" outlineLevel="0" collapsed="false">
      <c r="A10789" s="7" t="s">
        <v>29</v>
      </c>
      <c r="B10789" s="7" t="s">
        <v>918</v>
      </c>
      <c r="C10789" s="7" t="s">
        <v>1244</v>
      </c>
      <c r="D10789" s="7" t="n">
        <v>10</v>
      </c>
      <c r="E10789" s="7" t="n">
        <v>882.26</v>
      </c>
      <c r="F10789" s="7" t="n">
        <v>0</v>
      </c>
      <c r="G10789" s="7" t="n">
        <v>0</v>
      </c>
    </row>
    <row r="10790" customFormat="false" ht="15" hidden="false" customHeight="false" outlineLevel="0" collapsed="false">
      <c r="A10790" s="7" t="s">
        <v>29</v>
      </c>
      <c r="B10790" s="7" t="s">
        <v>918</v>
      </c>
      <c r="C10790" s="7" t="s">
        <v>1244</v>
      </c>
      <c r="D10790" s="7" t="n">
        <v>2</v>
      </c>
      <c r="E10790" s="7" t="n">
        <v>0.07</v>
      </c>
      <c r="F10790" s="7" t="n">
        <v>0</v>
      </c>
      <c r="G10790" s="7" t="n">
        <v>0</v>
      </c>
    </row>
    <row r="10791" customFormat="false" ht="15" hidden="false" customHeight="false" outlineLevel="0" collapsed="false">
      <c r="A10791" s="7" t="s">
        <v>29</v>
      </c>
      <c r="B10791" s="7" t="s">
        <v>915</v>
      </c>
      <c r="C10791" s="7" t="s">
        <v>1245</v>
      </c>
      <c r="D10791" s="7" t="n">
        <v>20</v>
      </c>
      <c r="E10791" s="7" t="n">
        <v>2317.25</v>
      </c>
      <c r="F10791" s="7" t="n">
        <v>0</v>
      </c>
      <c r="G10791" s="7" t="n">
        <v>0</v>
      </c>
    </row>
    <row r="10792" customFormat="false" ht="15" hidden="false" customHeight="false" outlineLevel="0" collapsed="false">
      <c r="A10792" s="7" t="s">
        <v>29</v>
      </c>
      <c r="B10792" s="7" t="s">
        <v>915</v>
      </c>
      <c r="C10792" s="7" t="s">
        <v>1245</v>
      </c>
      <c r="D10792" s="7" t="n">
        <v>4</v>
      </c>
      <c r="E10792" s="7" t="n">
        <v>0.04</v>
      </c>
      <c r="F10792" s="7" t="n">
        <v>0</v>
      </c>
      <c r="G10792" s="7" t="n">
        <v>0</v>
      </c>
    </row>
    <row r="10793" customFormat="false" ht="15" hidden="false" customHeight="false" outlineLevel="0" collapsed="false">
      <c r="A10793" s="7" t="s">
        <v>29</v>
      </c>
      <c r="B10793" s="7" t="s">
        <v>556</v>
      </c>
      <c r="C10793" s="7" t="s">
        <v>1079</v>
      </c>
      <c r="D10793" s="7" t="n">
        <v>2</v>
      </c>
      <c r="E10793" s="7" t="n">
        <v>0.04</v>
      </c>
      <c r="F10793" s="7" t="n">
        <v>1</v>
      </c>
      <c r="G10793" s="7" t="n">
        <v>0.03</v>
      </c>
    </row>
    <row r="10794" customFormat="false" ht="15" hidden="false" customHeight="false" outlineLevel="0" collapsed="false">
      <c r="A10794" s="7" t="s">
        <v>29</v>
      </c>
      <c r="B10794" s="7" t="s">
        <v>556</v>
      </c>
      <c r="C10794" s="7" t="s">
        <v>1079</v>
      </c>
      <c r="D10794" s="7" t="n">
        <v>10</v>
      </c>
      <c r="E10794" s="7" t="n">
        <v>134.1</v>
      </c>
      <c r="F10794" s="7" t="n">
        <v>0</v>
      </c>
      <c r="G10794" s="7" t="n">
        <v>0</v>
      </c>
    </row>
    <row r="10795" customFormat="false" ht="15" hidden="false" customHeight="false" outlineLevel="0" collapsed="false">
      <c r="A10795" s="7" t="s">
        <v>29</v>
      </c>
      <c r="B10795" s="7" t="s">
        <v>556</v>
      </c>
      <c r="C10795" s="7" t="s">
        <v>1079</v>
      </c>
      <c r="D10795" s="7" t="n">
        <v>0</v>
      </c>
      <c r="E10795" s="7" t="n">
        <v>0</v>
      </c>
      <c r="F10795" s="7" t="n">
        <v>10</v>
      </c>
      <c r="G10795" s="7" t="n">
        <v>114.64</v>
      </c>
    </row>
    <row r="10796" customFormat="false" ht="15" hidden="false" customHeight="false" outlineLevel="0" collapsed="false">
      <c r="A10796" s="7" t="s">
        <v>29</v>
      </c>
      <c r="B10796" s="7" t="s">
        <v>580</v>
      </c>
      <c r="C10796" s="7" t="s">
        <v>1079</v>
      </c>
      <c r="D10796" s="7" t="n">
        <v>30</v>
      </c>
      <c r="E10796" s="7" t="n">
        <v>405</v>
      </c>
      <c r="F10796" s="7" t="n">
        <v>0</v>
      </c>
      <c r="G10796" s="7" t="n">
        <v>0</v>
      </c>
    </row>
    <row r="10797" customFormat="false" ht="15" hidden="false" customHeight="false" outlineLevel="0" collapsed="false">
      <c r="A10797" s="7" t="s">
        <v>29</v>
      </c>
      <c r="B10797" s="7" t="s">
        <v>580</v>
      </c>
      <c r="C10797" s="7" t="s">
        <v>1079</v>
      </c>
      <c r="D10797" s="7" t="n">
        <v>1</v>
      </c>
      <c r="E10797" s="7" t="n">
        <v>0.03</v>
      </c>
      <c r="F10797" s="7" t="n">
        <v>0</v>
      </c>
      <c r="G10797" s="7" t="n">
        <v>0</v>
      </c>
    </row>
    <row r="10798" customFormat="false" ht="15" hidden="false" customHeight="false" outlineLevel="0" collapsed="false">
      <c r="A10798" s="7" t="s">
        <v>29</v>
      </c>
      <c r="B10798" s="7" t="s">
        <v>580</v>
      </c>
      <c r="C10798" s="7" t="s">
        <v>1079</v>
      </c>
      <c r="D10798" s="7" t="n">
        <v>6</v>
      </c>
      <c r="E10798" s="7" t="n">
        <v>0.04</v>
      </c>
      <c r="F10798" s="7" t="n">
        <v>0</v>
      </c>
      <c r="G10798" s="7" t="n">
        <v>0</v>
      </c>
    </row>
    <row r="10799" customFormat="false" ht="15" hidden="false" customHeight="false" outlineLevel="0" collapsed="false">
      <c r="A10799" s="7" t="s">
        <v>29</v>
      </c>
      <c r="B10799" s="7" t="s">
        <v>580</v>
      </c>
      <c r="C10799" s="7" t="s">
        <v>1079</v>
      </c>
      <c r="D10799" s="7" t="n">
        <v>5</v>
      </c>
      <c r="E10799" s="7" t="n">
        <v>62.48</v>
      </c>
      <c r="F10799" s="7" t="n">
        <v>0</v>
      </c>
      <c r="G10799" s="7" t="n">
        <v>0</v>
      </c>
    </row>
    <row r="10800" customFormat="false" ht="15" hidden="false" customHeight="false" outlineLevel="0" collapsed="false">
      <c r="A10800" s="7" t="s">
        <v>29</v>
      </c>
      <c r="B10800" s="7" t="s">
        <v>572</v>
      </c>
      <c r="C10800" s="7" t="s">
        <v>1079</v>
      </c>
      <c r="D10800" s="7" t="n">
        <v>1</v>
      </c>
      <c r="E10800" s="7" t="n">
        <v>0.03</v>
      </c>
      <c r="F10800" s="7" t="n">
        <v>0</v>
      </c>
      <c r="G10800" s="7" t="n">
        <v>0</v>
      </c>
    </row>
    <row r="10801" customFormat="false" ht="15" hidden="false" customHeight="false" outlineLevel="0" collapsed="false">
      <c r="A10801" s="7" t="s">
        <v>29</v>
      </c>
      <c r="B10801" s="7" t="s">
        <v>572</v>
      </c>
      <c r="C10801" s="7" t="s">
        <v>1079</v>
      </c>
      <c r="D10801" s="7" t="n">
        <v>5</v>
      </c>
      <c r="E10801" s="7" t="n">
        <v>62.48</v>
      </c>
      <c r="F10801" s="7" t="n">
        <v>0</v>
      </c>
      <c r="G10801" s="7" t="n">
        <v>0</v>
      </c>
    </row>
    <row r="10802" customFormat="false" ht="15" hidden="false" customHeight="false" outlineLevel="0" collapsed="false">
      <c r="A10802" s="7" t="s">
        <v>29</v>
      </c>
      <c r="B10802" s="7" t="s">
        <v>578</v>
      </c>
      <c r="C10802" s="7" t="s">
        <v>1079</v>
      </c>
      <c r="D10802" s="7" t="n">
        <v>4</v>
      </c>
      <c r="E10802" s="7" t="n">
        <v>0.07</v>
      </c>
      <c r="F10802" s="7" t="n">
        <v>0</v>
      </c>
      <c r="G10802" s="7" t="n">
        <v>0</v>
      </c>
    </row>
    <row r="10803" customFormat="false" ht="15" hidden="false" customHeight="false" outlineLevel="0" collapsed="false">
      <c r="A10803" s="7" t="s">
        <v>29</v>
      </c>
      <c r="B10803" s="7" t="s">
        <v>578</v>
      </c>
      <c r="C10803" s="7" t="s">
        <v>1079</v>
      </c>
      <c r="D10803" s="7" t="n">
        <v>10</v>
      </c>
      <c r="E10803" s="7" t="n">
        <v>135</v>
      </c>
      <c r="F10803" s="7" t="n">
        <v>0</v>
      </c>
      <c r="G10803" s="7" t="n">
        <v>0</v>
      </c>
    </row>
    <row r="10804" customFormat="false" ht="15" hidden="false" customHeight="false" outlineLevel="0" collapsed="false">
      <c r="A10804" s="7" t="s">
        <v>29</v>
      </c>
      <c r="B10804" s="7" t="s">
        <v>578</v>
      </c>
      <c r="C10804" s="7" t="s">
        <v>1079</v>
      </c>
      <c r="D10804" s="7" t="n">
        <v>10</v>
      </c>
      <c r="E10804" s="7" t="n">
        <v>121.09</v>
      </c>
      <c r="F10804" s="7" t="n">
        <v>0</v>
      </c>
      <c r="G10804" s="7" t="n">
        <v>0</v>
      </c>
    </row>
    <row r="10805" customFormat="false" ht="15" hidden="false" customHeight="false" outlineLevel="0" collapsed="false">
      <c r="A10805" s="7" t="s">
        <v>29</v>
      </c>
      <c r="B10805" s="7" t="s">
        <v>641</v>
      </c>
      <c r="C10805" s="7" t="s">
        <v>1079</v>
      </c>
      <c r="D10805" s="7" t="n">
        <v>10</v>
      </c>
      <c r="E10805" s="7" t="n">
        <v>124.61</v>
      </c>
      <c r="F10805" s="7" t="n">
        <v>0</v>
      </c>
      <c r="G10805" s="7" t="n">
        <v>0</v>
      </c>
    </row>
    <row r="10806" customFormat="false" ht="15" hidden="false" customHeight="false" outlineLevel="0" collapsed="false">
      <c r="A10806" s="7" t="s">
        <v>29</v>
      </c>
      <c r="B10806" s="7" t="s">
        <v>641</v>
      </c>
      <c r="C10806" s="7" t="s">
        <v>1079</v>
      </c>
      <c r="D10806" s="7" t="n">
        <v>2</v>
      </c>
      <c r="E10806" s="7" t="n">
        <v>0.07</v>
      </c>
      <c r="F10806" s="7" t="n">
        <v>0</v>
      </c>
      <c r="G10806" s="7" t="n">
        <v>0</v>
      </c>
    </row>
    <row r="10807" customFormat="false" ht="15" hidden="false" customHeight="false" outlineLevel="0" collapsed="false">
      <c r="A10807" s="7" t="s">
        <v>29</v>
      </c>
      <c r="B10807" s="7" t="s">
        <v>338</v>
      </c>
      <c r="C10807" s="7" t="s">
        <v>1250</v>
      </c>
      <c r="D10807" s="7" t="n">
        <v>1</v>
      </c>
      <c r="E10807" s="7" t="n">
        <v>0.03</v>
      </c>
      <c r="F10807" s="7" t="n">
        <v>0</v>
      </c>
      <c r="G10807" s="7" t="n">
        <v>0</v>
      </c>
    </row>
    <row r="10808" customFormat="false" ht="15" hidden="false" customHeight="false" outlineLevel="0" collapsed="false">
      <c r="A10808" s="7" t="s">
        <v>29</v>
      </c>
      <c r="B10808" s="7" t="s">
        <v>338</v>
      </c>
      <c r="C10808" s="7" t="s">
        <v>1250</v>
      </c>
      <c r="D10808" s="7" t="n">
        <v>0</v>
      </c>
      <c r="E10808" s="7" t="n">
        <v>0</v>
      </c>
      <c r="F10808" s="7" t="n">
        <v>200</v>
      </c>
      <c r="G10808" s="7" t="n">
        <v>12584.25</v>
      </c>
    </row>
    <row r="10809" customFormat="false" ht="15" hidden="false" customHeight="false" outlineLevel="0" collapsed="false">
      <c r="A10809" s="7" t="s">
        <v>29</v>
      </c>
      <c r="B10809" s="7" t="s">
        <v>338</v>
      </c>
      <c r="C10809" s="7" t="s">
        <v>1250</v>
      </c>
      <c r="D10809" s="7" t="n">
        <v>0</v>
      </c>
      <c r="E10809" s="7" t="n">
        <v>0</v>
      </c>
      <c r="F10809" s="7" t="n">
        <v>500</v>
      </c>
      <c r="G10809" s="7" t="n">
        <v>32841.88</v>
      </c>
    </row>
    <row r="10810" customFormat="false" ht="15" hidden="false" customHeight="false" outlineLevel="0" collapsed="false">
      <c r="A10810" s="7" t="s">
        <v>29</v>
      </c>
      <c r="B10810" s="7" t="s">
        <v>338</v>
      </c>
      <c r="C10810" s="7" t="s">
        <v>1250</v>
      </c>
      <c r="D10810" s="7" t="n">
        <v>0</v>
      </c>
      <c r="E10810" s="7" t="n">
        <v>0</v>
      </c>
      <c r="F10810" s="7" t="n">
        <v>3</v>
      </c>
      <c r="G10810" s="7" t="n">
        <v>0.09</v>
      </c>
    </row>
    <row r="10811" customFormat="false" ht="15" hidden="false" customHeight="false" outlineLevel="0" collapsed="false">
      <c r="A10811" s="7" t="s">
        <v>29</v>
      </c>
      <c r="B10811" s="7" t="s">
        <v>338</v>
      </c>
      <c r="C10811" s="7" t="s">
        <v>1250</v>
      </c>
      <c r="D10811" s="7" t="n">
        <v>0</v>
      </c>
      <c r="E10811" s="7" t="n">
        <v>0</v>
      </c>
      <c r="F10811" s="7" t="n">
        <v>700</v>
      </c>
      <c r="G10811" s="7" t="n">
        <v>43241.63</v>
      </c>
    </row>
    <row r="10812" customFormat="false" ht="15" hidden="false" customHeight="false" outlineLevel="0" collapsed="false">
      <c r="A10812" s="7" t="s">
        <v>29</v>
      </c>
      <c r="B10812" s="7" t="s">
        <v>338</v>
      </c>
      <c r="C10812" s="7" t="s">
        <v>1250</v>
      </c>
      <c r="D10812" s="7" t="n">
        <v>160</v>
      </c>
      <c r="E10812" s="7" t="n">
        <v>0.06</v>
      </c>
      <c r="F10812" s="7" t="n">
        <v>192</v>
      </c>
      <c r="G10812" s="7" t="n">
        <v>0.06</v>
      </c>
    </row>
    <row r="10813" customFormat="false" ht="15" hidden="false" customHeight="false" outlineLevel="0" collapsed="false">
      <c r="A10813" s="7" t="s">
        <v>29</v>
      </c>
      <c r="B10813" s="7" t="s">
        <v>338</v>
      </c>
      <c r="C10813" s="7" t="s">
        <v>1250</v>
      </c>
      <c r="D10813" s="7" t="n">
        <v>500</v>
      </c>
      <c r="E10813" s="7" t="n">
        <v>35763.75</v>
      </c>
      <c r="F10813" s="7" t="n">
        <v>0</v>
      </c>
      <c r="G10813" s="7" t="n">
        <v>0</v>
      </c>
    </row>
    <row r="10814" customFormat="false" ht="15" hidden="false" customHeight="false" outlineLevel="0" collapsed="false">
      <c r="A10814" s="7" t="s">
        <v>29</v>
      </c>
      <c r="B10814" s="7" t="s">
        <v>338</v>
      </c>
      <c r="C10814" s="7" t="s">
        <v>1250</v>
      </c>
      <c r="D10814" s="7" t="n">
        <v>300</v>
      </c>
      <c r="E10814" s="7" t="n">
        <v>20801.63</v>
      </c>
      <c r="F10814" s="7" t="n">
        <v>0</v>
      </c>
      <c r="G10814" s="7" t="n">
        <v>0</v>
      </c>
    </row>
    <row r="10815" customFormat="false" ht="15" hidden="false" customHeight="false" outlineLevel="0" collapsed="false">
      <c r="A10815" s="7" t="s">
        <v>29</v>
      </c>
      <c r="B10815" s="7" t="s">
        <v>420</v>
      </c>
      <c r="C10815" s="7" t="s">
        <v>1250</v>
      </c>
      <c r="D10815" s="7" t="n">
        <v>0</v>
      </c>
      <c r="E10815" s="7" t="n">
        <v>0</v>
      </c>
      <c r="F10815" s="7" t="n">
        <v>780</v>
      </c>
      <c r="G10815" s="7" t="n">
        <v>51233.33</v>
      </c>
    </row>
    <row r="10816" customFormat="false" ht="15" hidden="false" customHeight="false" outlineLevel="0" collapsed="false">
      <c r="A10816" s="7" t="s">
        <v>29</v>
      </c>
      <c r="B10816" s="7" t="s">
        <v>420</v>
      </c>
      <c r="C10816" s="7" t="s">
        <v>1250</v>
      </c>
      <c r="D10816" s="7" t="n">
        <v>200</v>
      </c>
      <c r="E10816" s="7" t="n">
        <v>0.03</v>
      </c>
      <c r="F10816" s="7" t="n">
        <v>156</v>
      </c>
      <c r="G10816" s="7" t="n">
        <v>0</v>
      </c>
    </row>
    <row r="10817" customFormat="false" ht="15" hidden="false" customHeight="false" outlineLevel="0" collapsed="false">
      <c r="A10817" s="7" t="s">
        <v>29</v>
      </c>
      <c r="B10817" s="7" t="s">
        <v>420</v>
      </c>
      <c r="C10817" s="7" t="s">
        <v>1250</v>
      </c>
      <c r="D10817" s="7" t="n">
        <v>1000</v>
      </c>
      <c r="E10817" s="7" t="n">
        <v>71527.5</v>
      </c>
      <c r="F10817" s="7" t="n">
        <v>0</v>
      </c>
      <c r="G10817" s="7" t="n">
        <v>0</v>
      </c>
    </row>
    <row r="10818" customFormat="false" ht="15" hidden="false" customHeight="false" outlineLevel="0" collapsed="false">
      <c r="A10818" s="7" t="s">
        <v>29</v>
      </c>
      <c r="B10818" s="7" t="s">
        <v>420</v>
      </c>
      <c r="C10818" s="7" t="s">
        <v>1250</v>
      </c>
      <c r="D10818" s="7" t="n">
        <v>1</v>
      </c>
      <c r="E10818" s="7" t="n">
        <v>0.03</v>
      </c>
      <c r="F10818" s="7" t="n">
        <v>0</v>
      </c>
      <c r="G10818" s="7" t="n">
        <v>0</v>
      </c>
    </row>
    <row r="10819" customFormat="false" ht="15" hidden="false" customHeight="false" outlineLevel="0" collapsed="false">
      <c r="A10819" s="7" t="s">
        <v>29</v>
      </c>
      <c r="B10819" s="7" t="s">
        <v>912</v>
      </c>
      <c r="C10819" s="7" t="s">
        <v>1250</v>
      </c>
      <c r="D10819" s="7" t="n">
        <v>16</v>
      </c>
      <c r="E10819" s="7" t="n">
        <v>0.03</v>
      </c>
      <c r="F10819" s="7" t="n">
        <v>2</v>
      </c>
      <c r="G10819" s="7" t="n">
        <v>0.03</v>
      </c>
    </row>
    <row r="10820" customFormat="false" ht="15" hidden="false" customHeight="false" outlineLevel="0" collapsed="false">
      <c r="A10820" s="7" t="s">
        <v>29</v>
      </c>
      <c r="B10820" s="7" t="s">
        <v>912</v>
      </c>
      <c r="C10820" s="7" t="s">
        <v>1250</v>
      </c>
      <c r="D10820" s="7" t="n">
        <v>80</v>
      </c>
      <c r="E10820" s="7" t="n">
        <v>5547.1</v>
      </c>
      <c r="F10820" s="7" t="n">
        <v>0</v>
      </c>
      <c r="G10820" s="7" t="n">
        <v>0</v>
      </c>
    </row>
    <row r="10821" customFormat="false" ht="15" hidden="false" customHeight="false" outlineLevel="0" collapsed="false">
      <c r="A10821" s="7" t="s">
        <v>29</v>
      </c>
      <c r="B10821" s="7" t="s">
        <v>912</v>
      </c>
      <c r="C10821" s="7" t="s">
        <v>1250</v>
      </c>
      <c r="D10821" s="7" t="n">
        <v>0</v>
      </c>
      <c r="E10821" s="7" t="n">
        <v>0</v>
      </c>
      <c r="F10821" s="7" t="n">
        <v>20</v>
      </c>
      <c r="G10821" s="7" t="n">
        <v>1299.23</v>
      </c>
    </row>
    <row r="10822" customFormat="false" ht="15" hidden="false" customHeight="false" outlineLevel="0" collapsed="false">
      <c r="A10822" s="7" t="s">
        <v>29</v>
      </c>
      <c r="B10822" s="7" t="s">
        <v>912</v>
      </c>
      <c r="C10822" s="7" t="s">
        <v>1250</v>
      </c>
      <c r="D10822" s="7" t="n">
        <v>1</v>
      </c>
      <c r="E10822" s="7" t="n">
        <v>0.03</v>
      </c>
      <c r="F10822" s="7" t="n">
        <v>0</v>
      </c>
      <c r="G10822" s="7" t="n">
        <v>0</v>
      </c>
    </row>
    <row r="10823" customFormat="false" ht="15" hidden="false" customHeight="false" outlineLevel="0" collapsed="false">
      <c r="A10823" s="7" t="s">
        <v>29</v>
      </c>
      <c r="B10823" s="7" t="s">
        <v>564</v>
      </c>
      <c r="C10823" s="7" t="s">
        <v>1250</v>
      </c>
      <c r="D10823" s="7" t="n">
        <v>0</v>
      </c>
      <c r="E10823" s="7" t="n">
        <v>0</v>
      </c>
      <c r="F10823" s="7" t="n">
        <v>200</v>
      </c>
      <c r="G10823" s="7" t="n">
        <v>12992.25</v>
      </c>
    </row>
    <row r="10824" customFormat="false" ht="15" hidden="false" customHeight="false" outlineLevel="0" collapsed="false">
      <c r="A10824" s="7" t="s">
        <v>29</v>
      </c>
      <c r="B10824" s="7" t="s">
        <v>564</v>
      </c>
      <c r="C10824" s="7" t="s">
        <v>1250</v>
      </c>
      <c r="D10824" s="7" t="n">
        <v>1</v>
      </c>
      <c r="E10824" s="7" t="n">
        <v>0.03</v>
      </c>
      <c r="F10824" s="7" t="n">
        <v>0</v>
      </c>
      <c r="G10824" s="7" t="n">
        <v>0</v>
      </c>
    </row>
    <row r="10825" customFormat="false" ht="15" hidden="false" customHeight="false" outlineLevel="0" collapsed="false">
      <c r="A10825" s="7" t="s">
        <v>29</v>
      </c>
      <c r="B10825" s="7" t="s">
        <v>564</v>
      </c>
      <c r="C10825" s="7" t="s">
        <v>1250</v>
      </c>
      <c r="D10825" s="7" t="n">
        <v>16</v>
      </c>
      <c r="E10825" s="7" t="n">
        <v>0.03</v>
      </c>
      <c r="F10825" s="7" t="n">
        <v>50</v>
      </c>
      <c r="G10825" s="7" t="n">
        <v>0.06</v>
      </c>
    </row>
    <row r="10826" customFormat="false" ht="15" hidden="false" customHeight="false" outlineLevel="0" collapsed="false">
      <c r="A10826" s="7" t="s">
        <v>29</v>
      </c>
      <c r="B10826" s="7" t="s">
        <v>564</v>
      </c>
      <c r="C10826" s="7" t="s">
        <v>1250</v>
      </c>
      <c r="D10826" s="7" t="n">
        <v>60</v>
      </c>
      <c r="E10826" s="7" t="n">
        <v>0.03</v>
      </c>
      <c r="F10826" s="7" t="n">
        <v>0</v>
      </c>
      <c r="G10826" s="7" t="n">
        <v>0</v>
      </c>
    </row>
    <row r="10827" customFormat="false" ht="15" hidden="false" customHeight="false" outlineLevel="0" collapsed="false">
      <c r="A10827" s="7" t="s">
        <v>29</v>
      </c>
      <c r="B10827" s="7" t="s">
        <v>564</v>
      </c>
      <c r="C10827" s="7" t="s">
        <v>1250</v>
      </c>
      <c r="D10827" s="7" t="n">
        <v>80</v>
      </c>
      <c r="E10827" s="7" t="n">
        <v>5722.2</v>
      </c>
      <c r="F10827" s="7" t="n">
        <v>0</v>
      </c>
      <c r="G10827" s="7" t="n">
        <v>0</v>
      </c>
    </row>
    <row r="10828" customFormat="false" ht="15" hidden="false" customHeight="false" outlineLevel="0" collapsed="false">
      <c r="A10828" s="7" t="s">
        <v>29</v>
      </c>
      <c r="B10828" s="7" t="s">
        <v>564</v>
      </c>
      <c r="C10828" s="7" t="s">
        <v>1250</v>
      </c>
      <c r="D10828" s="7" t="n">
        <v>300</v>
      </c>
      <c r="E10828" s="7" t="n">
        <v>21241.5</v>
      </c>
      <c r="F10828" s="7" t="n">
        <v>0</v>
      </c>
      <c r="G10828" s="7" t="n">
        <v>0</v>
      </c>
    </row>
    <row r="10829" customFormat="false" ht="15" hidden="false" customHeight="false" outlineLevel="0" collapsed="false">
      <c r="A10829" s="7" t="s">
        <v>29</v>
      </c>
      <c r="B10829" s="7" t="s">
        <v>564</v>
      </c>
      <c r="C10829" s="7" t="s">
        <v>1250</v>
      </c>
      <c r="D10829" s="7" t="n">
        <v>0</v>
      </c>
      <c r="E10829" s="7" t="n">
        <v>0</v>
      </c>
      <c r="F10829" s="7" t="n">
        <v>300</v>
      </c>
      <c r="G10829" s="7" t="n">
        <v>18876.38</v>
      </c>
    </row>
    <row r="10830" customFormat="false" ht="15" hidden="false" customHeight="false" outlineLevel="0" collapsed="false">
      <c r="A10830" s="7" t="s">
        <v>29</v>
      </c>
      <c r="B10830" s="7" t="s">
        <v>423</v>
      </c>
      <c r="C10830" s="7" t="s">
        <v>1250</v>
      </c>
      <c r="D10830" s="7" t="n">
        <v>1</v>
      </c>
      <c r="E10830" s="7" t="n">
        <v>0.03</v>
      </c>
      <c r="F10830" s="7" t="n">
        <v>0</v>
      </c>
      <c r="G10830" s="7" t="n">
        <v>0</v>
      </c>
    </row>
    <row r="10831" customFormat="false" ht="15" hidden="false" customHeight="false" outlineLevel="0" collapsed="false">
      <c r="A10831" s="7" t="s">
        <v>29</v>
      </c>
      <c r="B10831" s="7" t="s">
        <v>423</v>
      </c>
      <c r="C10831" s="7" t="s">
        <v>1250</v>
      </c>
      <c r="D10831" s="7" t="n">
        <v>10</v>
      </c>
      <c r="E10831" s="7" t="n">
        <v>0.03</v>
      </c>
      <c r="F10831" s="7" t="n">
        <v>4</v>
      </c>
      <c r="G10831" s="7" t="n">
        <v>0.03</v>
      </c>
    </row>
    <row r="10832" customFormat="false" ht="15" hidden="false" customHeight="false" outlineLevel="0" collapsed="false">
      <c r="A10832" s="7" t="s">
        <v>29</v>
      </c>
      <c r="B10832" s="7" t="s">
        <v>423</v>
      </c>
      <c r="C10832" s="7" t="s">
        <v>1250</v>
      </c>
      <c r="D10832" s="7" t="n">
        <v>50</v>
      </c>
      <c r="E10832" s="7" t="n">
        <v>3466.94</v>
      </c>
      <c r="F10832" s="7" t="n">
        <v>0</v>
      </c>
      <c r="G10832" s="7" t="n">
        <v>0</v>
      </c>
    </row>
    <row r="10833" customFormat="false" ht="15" hidden="false" customHeight="false" outlineLevel="0" collapsed="false">
      <c r="A10833" s="7" t="s">
        <v>29</v>
      </c>
      <c r="B10833" s="7" t="s">
        <v>423</v>
      </c>
      <c r="C10833" s="7" t="s">
        <v>1250</v>
      </c>
      <c r="D10833" s="7" t="n">
        <v>0</v>
      </c>
      <c r="E10833" s="7" t="n">
        <v>0</v>
      </c>
      <c r="F10833" s="7" t="n">
        <v>40</v>
      </c>
      <c r="G10833" s="7" t="n">
        <v>2598.45</v>
      </c>
    </row>
    <row r="10834" customFormat="false" ht="15" hidden="false" customHeight="false" outlineLevel="0" collapsed="false">
      <c r="A10834" s="7" t="s">
        <v>29</v>
      </c>
      <c r="B10834" s="7" t="s">
        <v>465</v>
      </c>
      <c r="C10834" s="7" t="s">
        <v>1107</v>
      </c>
      <c r="D10834" s="7" t="n">
        <v>10</v>
      </c>
      <c r="E10834" s="7" t="n">
        <v>288</v>
      </c>
      <c r="F10834" s="7" t="n">
        <v>0</v>
      </c>
      <c r="G10834" s="7" t="n">
        <v>0</v>
      </c>
    </row>
    <row r="10835" customFormat="false" ht="15" hidden="false" customHeight="false" outlineLevel="0" collapsed="false">
      <c r="A10835" s="7" t="s">
        <v>29</v>
      </c>
      <c r="B10835" s="7" t="s">
        <v>465</v>
      </c>
      <c r="C10835" s="7" t="s">
        <v>1107</v>
      </c>
      <c r="D10835" s="7" t="n">
        <v>8</v>
      </c>
      <c r="E10835" s="7" t="n">
        <v>0.07</v>
      </c>
      <c r="F10835" s="7" t="n">
        <v>0</v>
      </c>
      <c r="G10835" s="7" t="n">
        <v>0</v>
      </c>
    </row>
    <row r="10836" customFormat="false" ht="15" hidden="false" customHeight="false" outlineLevel="0" collapsed="false">
      <c r="A10836" s="7" t="s">
        <v>29</v>
      </c>
      <c r="B10836" s="7" t="s">
        <v>465</v>
      </c>
      <c r="C10836" s="7" t="s">
        <v>1107</v>
      </c>
      <c r="D10836" s="7" t="n">
        <v>10</v>
      </c>
      <c r="E10836" s="7" t="n">
        <v>261.04</v>
      </c>
      <c r="F10836" s="7" t="n">
        <v>0</v>
      </c>
      <c r="G10836" s="7" t="n">
        <v>0</v>
      </c>
    </row>
    <row r="10837" customFormat="false" ht="15" hidden="false" customHeight="false" outlineLevel="0" collapsed="false">
      <c r="A10837" s="7" t="s">
        <v>29</v>
      </c>
      <c r="B10837" s="7" t="s">
        <v>465</v>
      </c>
      <c r="C10837" s="7" t="s">
        <v>1107</v>
      </c>
      <c r="D10837" s="7" t="n">
        <v>2</v>
      </c>
      <c r="E10837" s="7" t="n">
        <v>0.07</v>
      </c>
      <c r="F10837" s="7" t="n">
        <v>0</v>
      </c>
      <c r="G10837" s="7" t="n">
        <v>0</v>
      </c>
    </row>
    <row r="10838" customFormat="false" ht="15" hidden="false" customHeight="false" outlineLevel="0" collapsed="false">
      <c r="A10838" s="7" t="s">
        <v>29</v>
      </c>
      <c r="B10838" s="7" t="s">
        <v>465</v>
      </c>
      <c r="C10838" s="7" t="s">
        <v>1107</v>
      </c>
      <c r="D10838" s="7" t="n">
        <v>0</v>
      </c>
      <c r="E10838" s="7" t="n">
        <v>0</v>
      </c>
      <c r="F10838" s="7" t="n">
        <v>1</v>
      </c>
      <c r="G10838" s="7" t="n">
        <v>0.03</v>
      </c>
    </row>
    <row r="10839" customFormat="false" ht="15" hidden="false" customHeight="false" outlineLevel="0" collapsed="false">
      <c r="A10839" s="7" t="s">
        <v>29</v>
      </c>
      <c r="B10839" s="7" t="s">
        <v>465</v>
      </c>
      <c r="C10839" s="7" t="s">
        <v>1107</v>
      </c>
      <c r="D10839" s="7" t="n">
        <v>0</v>
      </c>
      <c r="E10839" s="7" t="n">
        <v>0</v>
      </c>
      <c r="F10839" s="7" t="n">
        <v>10</v>
      </c>
      <c r="G10839" s="7" t="n">
        <v>232.56</v>
      </c>
    </row>
    <row r="10840" customFormat="false" ht="15" hidden="false" customHeight="false" outlineLevel="0" collapsed="false">
      <c r="A10840" s="7" t="s">
        <v>29</v>
      </c>
      <c r="B10840" s="7" t="s">
        <v>465</v>
      </c>
      <c r="C10840" s="7" t="s">
        <v>1107</v>
      </c>
      <c r="D10840" s="7" t="n">
        <v>20</v>
      </c>
      <c r="E10840" s="7" t="n">
        <v>538.56</v>
      </c>
      <c r="F10840" s="7" t="n">
        <v>0</v>
      </c>
      <c r="G10840" s="7" t="n">
        <v>0</v>
      </c>
    </row>
    <row r="10841" customFormat="false" ht="15" hidden="false" customHeight="false" outlineLevel="0" collapsed="false">
      <c r="A10841" s="7" t="s">
        <v>29</v>
      </c>
      <c r="B10841" s="7" t="s">
        <v>465</v>
      </c>
      <c r="C10841" s="7" t="s">
        <v>1107</v>
      </c>
      <c r="D10841" s="7" t="n">
        <v>10</v>
      </c>
      <c r="E10841" s="7" t="n">
        <v>265.84</v>
      </c>
      <c r="F10841" s="7" t="n">
        <v>0</v>
      </c>
      <c r="G10841" s="7" t="n">
        <v>0</v>
      </c>
    </row>
    <row r="10842" customFormat="false" ht="15" hidden="false" customHeight="false" outlineLevel="0" collapsed="false">
      <c r="A10842" s="7" t="s">
        <v>29</v>
      </c>
      <c r="B10842" s="7" t="s">
        <v>262</v>
      </c>
      <c r="C10842" s="7" t="s">
        <v>1107</v>
      </c>
      <c r="D10842" s="7" t="n">
        <v>20</v>
      </c>
      <c r="E10842" s="7" t="n">
        <v>576</v>
      </c>
      <c r="F10842" s="7" t="n">
        <v>0</v>
      </c>
      <c r="G10842" s="7" t="n">
        <v>0</v>
      </c>
    </row>
    <row r="10843" customFormat="false" ht="15" hidden="false" customHeight="false" outlineLevel="0" collapsed="false">
      <c r="A10843" s="7" t="s">
        <v>29</v>
      </c>
      <c r="B10843" s="7" t="s">
        <v>262</v>
      </c>
      <c r="C10843" s="7" t="s">
        <v>1107</v>
      </c>
      <c r="D10843" s="7" t="n">
        <v>0</v>
      </c>
      <c r="E10843" s="7" t="n">
        <v>0</v>
      </c>
      <c r="F10843" s="7" t="n">
        <v>30</v>
      </c>
      <c r="G10843" s="7" t="n">
        <v>741.84</v>
      </c>
    </row>
    <row r="10844" customFormat="false" ht="15" hidden="false" customHeight="false" outlineLevel="0" collapsed="false">
      <c r="A10844" s="7" t="s">
        <v>29</v>
      </c>
      <c r="B10844" s="7" t="s">
        <v>262</v>
      </c>
      <c r="C10844" s="7" t="s">
        <v>1107</v>
      </c>
      <c r="D10844" s="7" t="n">
        <v>0</v>
      </c>
      <c r="E10844" s="7" t="n">
        <v>0</v>
      </c>
      <c r="F10844" s="7" t="n">
        <v>30</v>
      </c>
      <c r="G10844" s="7" t="n">
        <v>697.68</v>
      </c>
    </row>
    <row r="10845" customFormat="false" ht="15" hidden="false" customHeight="false" outlineLevel="0" collapsed="false">
      <c r="A10845" s="7" t="s">
        <v>29</v>
      </c>
      <c r="B10845" s="7" t="s">
        <v>262</v>
      </c>
      <c r="C10845" s="7" t="s">
        <v>1107</v>
      </c>
      <c r="D10845" s="7" t="n">
        <v>14</v>
      </c>
      <c r="E10845" s="7" t="n">
        <v>0.07</v>
      </c>
      <c r="F10845" s="7" t="n">
        <v>6</v>
      </c>
      <c r="G10845" s="7" t="n">
        <v>0.03</v>
      </c>
    </row>
    <row r="10846" customFormat="false" ht="15" hidden="false" customHeight="false" outlineLevel="0" collapsed="false">
      <c r="A10846" s="7" t="s">
        <v>29</v>
      </c>
      <c r="B10846" s="7" t="s">
        <v>262</v>
      </c>
      <c r="C10846" s="7" t="s">
        <v>1107</v>
      </c>
      <c r="D10846" s="7" t="n">
        <v>4</v>
      </c>
      <c r="E10846" s="7" t="n">
        <v>0.13</v>
      </c>
      <c r="F10846" s="7" t="n">
        <v>0</v>
      </c>
      <c r="G10846" s="7" t="n">
        <v>0</v>
      </c>
    </row>
    <row r="10847" customFormat="false" ht="15" hidden="false" customHeight="false" outlineLevel="0" collapsed="false">
      <c r="A10847" s="7" t="s">
        <v>29</v>
      </c>
      <c r="B10847" s="7" t="s">
        <v>262</v>
      </c>
      <c r="C10847" s="7" t="s">
        <v>1107</v>
      </c>
      <c r="D10847" s="7" t="n">
        <v>20</v>
      </c>
      <c r="E10847" s="7" t="n">
        <v>531.68</v>
      </c>
      <c r="F10847" s="7" t="n">
        <v>0</v>
      </c>
      <c r="G10847" s="7" t="n">
        <v>0</v>
      </c>
    </row>
    <row r="10848" customFormat="false" ht="15" hidden="false" customHeight="false" outlineLevel="0" collapsed="false">
      <c r="A10848" s="7" t="s">
        <v>29</v>
      </c>
      <c r="B10848" s="7" t="s">
        <v>262</v>
      </c>
      <c r="C10848" s="7" t="s">
        <v>1107</v>
      </c>
      <c r="D10848" s="7" t="n">
        <v>50</v>
      </c>
      <c r="E10848" s="7" t="n">
        <v>1346.4</v>
      </c>
      <c r="F10848" s="7" t="n">
        <v>0</v>
      </c>
      <c r="G10848" s="7" t="n">
        <v>0</v>
      </c>
    </row>
    <row r="10849" customFormat="false" ht="15" hidden="false" customHeight="false" outlineLevel="0" collapsed="false">
      <c r="A10849" s="7" t="s">
        <v>29</v>
      </c>
      <c r="B10849" s="7" t="s">
        <v>262</v>
      </c>
      <c r="C10849" s="7" t="s">
        <v>1107</v>
      </c>
      <c r="D10849" s="7" t="n">
        <v>0</v>
      </c>
      <c r="E10849" s="7" t="n">
        <v>0</v>
      </c>
      <c r="F10849" s="7" t="n">
        <v>3</v>
      </c>
      <c r="G10849" s="7" t="n">
        <v>0.09</v>
      </c>
    </row>
    <row r="10850" customFormat="false" ht="15" hidden="false" customHeight="false" outlineLevel="0" collapsed="false">
      <c r="A10850" s="7" t="s">
        <v>29</v>
      </c>
      <c r="B10850" s="7" t="s">
        <v>596</v>
      </c>
      <c r="C10850" s="7" t="s">
        <v>1107</v>
      </c>
      <c r="D10850" s="7" t="n">
        <v>0</v>
      </c>
      <c r="E10850" s="7" t="n">
        <v>0</v>
      </c>
      <c r="F10850" s="7" t="n">
        <v>2</v>
      </c>
      <c r="G10850" s="7" t="n">
        <v>0.06</v>
      </c>
    </row>
    <row r="10851" customFormat="false" ht="15" hidden="false" customHeight="false" outlineLevel="0" collapsed="false">
      <c r="A10851" s="7" t="s">
        <v>29</v>
      </c>
      <c r="B10851" s="7" t="s">
        <v>596</v>
      </c>
      <c r="C10851" s="7" t="s">
        <v>1107</v>
      </c>
      <c r="D10851" s="7" t="n">
        <v>4</v>
      </c>
      <c r="E10851" s="7" t="n">
        <v>0.04</v>
      </c>
      <c r="F10851" s="7" t="n">
        <v>2</v>
      </c>
      <c r="G10851" s="7" t="n">
        <v>0.03</v>
      </c>
    </row>
    <row r="10852" customFormat="false" ht="15" hidden="false" customHeight="false" outlineLevel="0" collapsed="false">
      <c r="A10852" s="7" t="s">
        <v>29</v>
      </c>
      <c r="B10852" s="7" t="s">
        <v>596</v>
      </c>
      <c r="C10852" s="7" t="s">
        <v>1107</v>
      </c>
      <c r="D10852" s="7" t="n">
        <v>0</v>
      </c>
      <c r="E10852" s="7" t="n">
        <v>0</v>
      </c>
      <c r="F10852" s="7" t="n">
        <v>20</v>
      </c>
      <c r="G10852" s="7" t="n">
        <v>496</v>
      </c>
    </row>
    <row r="10853" customFormat="false" ht="15" hidden="false" customHeight="false" outlineLevel="0" collapsed="false">
      <c r="A10853" s="7" t="s">
        <v>29</v>
      </c>
      <c r="B10853" s="7" t="s">
        <v>596</v>
      </c>
      <c r="C10853" s="7" t="s">
        <v>1107</v>
      </c>
      <c r="D10853" s="7" t="n">
        <v>10</v>
      </c>
      <c r="E10853" s="7" t="n">
        <v>266.56</v>
      </c>
      <c r="F10853" s="7" t="n">
        <v>0</v>
      </c>
      <c r="G10853" s="7" t="n">
        <v>0</v>
      </c>
    </row>
    <row r="10854" customFormat="false" ht="15" hidden="false" customHeight="false" outlineLevel="0" collapsed="false">
      <c r="A10854" s="7" t="s">
        <v>29</v>
      </c>
      <c r="B10854" s="7" t="s">
        <v>596</v>
      </c>
      <c r="C10854" s="7" t="s">
        <v>1107</v>
      </c>
      <c r="D10854" s="7" t="n">
        <v>20</v>
      </c>
      <c r="E10854" s="7" t="n">
        <v>531.68</v>
      </c>
      <c r="F10854" s="7" t="n">
        <v>0</v>
      </c>
      <c r="G10854" s="7" t="n">
        <v>0</v>
      </c>
    </row>
    <row r="10855" customFormat="false" ht="15" hidden="false" customHeight="false" outlineLevel="0" collapsed="false">
      <c r="A10855" s="7" t="s">
        <v>29</v>
      </c>
      <c r="B10855" s="7" t="s">
        <v>596</v>
      </c>
      <c r="C10855" s="7" t="s">
        <v>1107</v>
      </c>
      <c r="D10855" s="7" t="n">
        <v>0</v>
      </c>
      <c r="E10855" s="7" t="n">
        <v>0</v>
      </c>
      <c r="F10855" s="7" t="n">
        <v>20</v>
      </c>
      <c r="G10855" s="7" t="n">
        <v>465.12</v>
      </c>
    </row>
    <row r="10856" customFormat="false" ht="15" hidden="false" customHeight="false" outlineLevel="0" collapsed="false">
      <c r="A10856" s="7" t="s">
        <v>29</v>
      </c>
      <c r="B10856" s="7" t="s">
        <v>596</v>
      </c>
      <c r="C10856" s="7" t="s">
        <v>1107</v>
      </c>
      <c r="D10856" s="7" t="n">
        <v>4</v>
      </c>
      <c r="E10856" s="7" t="n">
        <v>0.13</v>
      </c>
      <c r="F10856" s="7" t="n">
        <v>0</v>
      </c>
      <c r="G10856" s="7" t="n">
        <v>0</v>
      </c>
    </row>
    <row r="10857" customFormat="false" ht="15" hidden="false" customHeight="false" outlineLevel="0" collapsed="false">
      <c r="A10857" s="7" t="s">
        <v>29</v>
      </c>
      <c r="B10857" s="7" t="s">
        <v>596</v>
      </c>
      <c r="C10857" s="7" t="s">
        <v>1107</v>
      </c>
      <c r="D10857" s="7" t="n">
        <v>2</v>
      </c>
      <c r="E10857" s="7" t="n">
        <v>0.03</v>
      </c>
      <c r="F10857" s="7" t="n">
        <v>0</v>
      </c>
      <c r="G10857" s="7" t="n">
        <v>0</v>
      </c>
    </row>
    <row r="10858" customFormat="false" ht="15" hidden="false" customHeight="false" outlineLevel="0" collapsed="false">
      <c r="A10858" s="7" t="s">
        <v>29</v>
      </c>
      <c r="B10858" s="7" t="s">
        <v>596</v>
      </c>
      <c r="C10858" s="7" t="s">
        <v>1107</v>
      </c>
      <c r="D10858" s="7" t="n">
        <v>20</v>
      </c>
      <c r="E10858" s="7" t="n">
        <v>576</v>
      </c>
      <c r="F10858" s="7" t="n">
        <v>0</v>
      </c>
      <c r="G10858" s="7" t="n">
        <v>0</v>
      </c>
    </row>
    <row r="10859" customFormat="false" ht="15" hidden="false" customHeight="false" outlineLevel="0" collapsed="false">
      <c r="A10859" s="7" t="s">
        <v>29</v>
      </c>
      <c r="B10859" s="7" t="s">
        <v>460</v>
      </c>
      <c r="C10859" s="7" t="s">
        <v>1107</v>
      </c>
      <c r="D10859" s="7" t="n">
        <v>2</v>
      </c>
      <c r="E10859" s="7" t="n">
        <v>0.04</v>
      </c>
      <c r="F10859" s="7" t="n">
        <v>0</v>
      </c>
      <c r="G10859" s="7" t="n">
        <v>0</v>
      </c>
    </row>
    <row r="10860" customFormat="false" ht="15" hidden="false" customHeight="false" outlineLevel="0" collapsed="false">
      <c r="A10860" s="7" t="s">
        <v>29</v>
      </c>
      <c r="B10860" s="7" t="s">
        <v>460</v>
      </c>
      <c r="C10860" s="7" t="s">
        <v>1107</v>
      </c>
      <c r="D10860" s="7" t="n">
        <v>10</v>
      </c>
      <c r="E10860" s="7" t="n">
        <v>286.08</v>
      </c>
      <c r="F10860" s="7" t="n">
        <v>0</v>
      </c>
      <c r="G10860" s="7" t="n">
        <v>0</v>
      </c>
    </row>
    <row r="10861" customFormat="false" ht="15" hidden="false" customHeight="false" outlineLevel="0" collapsed="false">
      <c r="A10861" s="7" t="s">
        <v>29</v>
      </c>
      <c r="B10861" s="7" t="s">
        <v>921</v>
      </c>
      <c r="C10861" s="7" t="s">
        <v>1322</v>
      </c>
      <c r="D10861" s="7" t="n">
        <v>10</v>
      </c>
      <c r="E10861" s="7" t="n">
        <v>0.06</v>
      </c>
      <c r="F10861" s="7" t="n">
        <v>0</v>
      </c>
      <c r="G10861" s="7" t="n">
        <v>0</v>
      </c>
    </row>
    <row r="10862" customFormat="false" ht="15" hidden="false" customHeight="false" outlineLevel="0" collapsed="false">
      <c r="A10862" s="7" t="s">
        <v>29</v>
      </c>
      <c r="B10862" s="7" t="s">
        <v>921</v>
      </c>
      <c r="C10862" s="7" t="s">
        <v>1322</v>
      </c>
      <c r="D10862" s="7" t="n">
        <v>30</v>
      </c>
      <c r="E10862" s="7" t="n">
        <v>881.01</v>
      </c>
      <c r="F10862" s="7" t="n">
        <v>0</v>
      </c>
      <c r="G10862" s="7" t="n">
        <v>0</v>
      </c>
    </row>
    <row r="10863" customFormat="false" ht="15" hidden="false" customHeight="false" outlineLevel="0" collapsed="false">
      <c r="A10863" s="7" t="s">
        <v>29</v>
      </c>
      <c r="B10863" s="7" t="s">
        <v>921</v>
      </c>
      <c r="C10863" s="7" t="s">
        <v>1322</v>
      </c>
      <c r="D10863" s="7" t="n">
        <v>20</v>
      </c>
      <c r="E10863" s="7" t="n">
        <v>596.7</v>
      </c>
      <c r="F10863" s="7" t="n">
        <v>0</v>
      </c>
      <c r="G10863" s="7" t="n">
        <v>0</v>
      </c>
    </row>
    <row r="10864" customFormat="false" ht="15" hidden="false" customHeight="false" outlineLevel="0" collapsed="false">
      <c r="A10864" s="7" t="s">
        <v>29</v>
      </c>
      <c r="B10864" s="7" t="s">
        <v>914</v>
      </c>
      <c r="C10864" s="7" t="s">
        <v>1322</v>
      </c>
      <c r="D10864" s="7" t="n">
        <v>20</v>
      </c>
      <c r="E10864" s="7" t="n">
        <v>599.76</v>
      </c>
      <c r="F10864" s="7" t="n">
        <v>0</v>
      </c>
      <c r="G10864" s="7" t="n">
        <v>0</v>
      </c>
    </row>
    <row r="10865" customFormat="false" ht="15" hidden="false" customHeight="false" outlineLevel="0" collapsed="false">
      <c r="A10865" s="7" t="s">
        <v>29</v>
      </c>
      <c r="B10865" s="7" t="s">
        <v>914</v>
      </c>
      <c r="C10865" s="7" t="s">
        <v>1322</v>
      </c>
      <c r="D10865" s="7" t="n">
        <v>40</v>
      </c>
      <c r="E10865" s="7" t="n">
        <v>1174.68</v>
      </c>
      <c r="F10865" s="7" t="n">
        <v>0</v>
      </c>
      <c r="G10865" s="7" t="n">
        <v>0</v>
      </c>
    </row>
    <row r="10866" customFormat="false" ht="15" hidden="false" customHeight="false" outlineLevel="0" collapsed="false">
      <c r="A10866" s="7" t="s">
        <v>29</v>
      </c>
      <c r="B10866" s="7" t="s">
        <v>914</v>
      </c>
      <c r="C10866" s="7" t="s">
        <v>1322</v>
      </c>
      <c r="D10866" s="7" t="n">
        <v>4</v>
      </c>
      <c r="E10866" s="7" t="n">
        <v>0.03</v>
      </c>
      <c r="F10866" s="7" t="n">
        <v>0</v>
      </c>
      <c r="G10866" s="7" t="n">
        <v>0</v>
      </c>
    </row>
    <row r="10867" customFormat="false" ht="15" hidden="false" customHeight="false" outlineLevel="0" collapsed="false">
      <c r="A10867" s="7" t="s">
        <v>29</v>
      </c>
      <c r="B10867" s="7" t="s">
        <v>914</v>
      </c>
      <c r="C10867" s="7" t="s">
        <v>1322</v>
      </c>
      <c r="D10867" s="7" t="n">
        <v>20</v>
      </c>
      <c r="E10867" s="7" t="n">
        <v>648.54</v>
      </c>
      <c r="F10867" s="7" t="n">
        <v>0</v>
      </c>
      <c r="G10867" s="7" t="n">
        <v>0</v>
      </c>
    </row>
    <row r="10868" customFormat="false" ht="15" hidden="false" customHeight="false" outlineLevel="0" collapsed="false">
      <c r="A10868" s="7" t="s">
        <v>29</v>
      </c>
      <c r="B10868" s="7" t="s">
        <v>914</v>
      </c>
      <c r="C10868" s="7" t="s">
        <v>1322</v>
      </c>
      <c r="D10868" s="7" t="n">
        <v>12</v>
      </c>
      <c r="E10868" s="7" t="n">
        <v>0.07</v>
      </c>
      <c r="F10868" s="7" t="n">
        <v>0</v>
      </c>
      <c r="G10868" s="7" t="n">
        <v>0</v>
      </c>
    </row>
    <row r="10869" customFormat="false" ht="15" hidden="false" customHeight="false" outlineLevel="0" collapsed="false">
      <c r="A10869" s="7" t="s">
        <v>29</v>
      </c>
      <c r="B10869" s="7" t="s">
        <v>923</v>
      </c>
      <c r="C10869" s="7" t="s">
        <v>1322</v>
      </c>
      <c r="D10869" s="7" t="n">
        <v>20</v>
      </c>
      <c r="E10869" s="7" t="n">
        <v>587.34</v>
      </c>
      <c r="F10869" s="7" t="n">
        <v>0</v>
      </c>
      <c r="G10869" s="7" t="n">
        <v>0</v>
      </c>
    </row>
    <row r="10870" customFormat="false" ht="15" hidden="false" customHeight="false" outlineLevel="0" collapsed="false">
      <c r="A10870" s="7" t="s">
        <v>29</v>
      </c>
      <c r="B10870" s="7" t="s">
        <v>923</v>
      </c>
      <c r="C10870" s="7" t="s">
        <v>1322</v>
      </c>
      <c r="D10870" s="7" t="n">
        <v>0</v>
      </c>
      <c r="E10870" s="7" t="n">
        <v>0</v>
      </c>
      <c r="F10870" s="7" t="n">
        <v>5</v>
      </c>
      <c r="G10870" s="7" t="n">
        <v>130.82</v>
      </c>
    </row>
    <row r="10871" customFormat="false" ht="15" hidden="false" customHeight="false" outlineLevel="0" collapsed="false">
      <c r="A10871" s="7" t="s">
        <v>29</v>
      </c>
      <c r="B10871" s="7" t="s">
        <v>923</v>
      </c>
      <c r="C10871" s="7" t="s">
        <v>1322</v>
      </c>
      <c r="D10871" s="7" t="n">
        <v>2</v>
      </c>
      <c r="E10871" s="7" t="n">
        <v>0.03</v>
      </c>
      <c r="F10871" s="7" t="n">
        <v>0</v>
      </c>
      <c r="G10871" s="7" t="n">
        <v>0</v>
      </c>
    </row>
    <row r="10872" customFormat="false" ht="15" hidden="false" customHeight="false" outlineLevel="0" collapsed="false">
      <c r="A10872" s="7" t="s">
        <v>29</v>
      </c>
      <c r="B10872" s="7" t="s">
        <v>923</v>
      </c>
      <c r="C10872" s="7" t="s">
        <v>1322</v>
      </c>
      <c r="D10872" s="7" t="n">
        <v>10</v>
      </c>
      <c r="E10872" s="7" t="n">
        <v>299.88</v>
      </c>
      <c r="F10872" s="7" t="n">
        <v>0</v>
      </c>
      <c r="G10872" s="7" t="n">
        <v>0</v>
      </c>
    </row>
    <row r="10873" customFormat="false" ht="15" hidden="false" customHeight="false" outlineLevel="0" collapsed="false">
      <c r="A10873" s="7" t="s">
        <v>29</v>
      </c>
      <c r="B10873" s="7" t="s">
        <v>923</v>
      </c>
      <c r="C10873" s="7" t="s">
        <v>1322</v>
      </c>
      <c r="D10873" s="7" t="n">
        <v>4</v>
      </c>
      <c r="E10873" s="7" t="n">
        <v>0.03</v>
      </c>
      <c r="F10873" s="7" t="n">
        <v>0</v>
      </c>
      <c r="G10873" s="7" t="n">
        <v>0</v>
      </c>
    </row>
    <row r="10874" customFormat="false" ht="15" hidden="false" customHeight="false" outlineLevel="0" collapsed="false">
      <c r="A10874" s="7" t="s">
        <v>29</v>
      </c>
      <c r="B10874" s="7" t="s">
        <v>926</v>
      </c>
      <c r="C10874" s="7" t="s">
        <v>1322</v>
      </c>
      <c r="D10874" s="7" t="n">
        <v>10</v>
      </c>
      <c r="E10874" s="7" t="n">
        <v>293.67</v>
      </c>
      <c r="F10874" s="7" t="n">
        <v>0</v>
      </c>
      <c r="G10874" s="7" t="n">
        <v>0</v>
      </c>
    </row>
    <row r="10875" customFormat="false" ht="15" hidden="false" customHeight="false" outlineLevel="0" collapsed="false">
      <c r="A10875" s="7" t="s">
        <v>29</v>
      </c>
      <c r="B10875" s="7" t="s">
        <v>926</v>
      </c>
      <c r="C10875" s="7" t="s">
        <v>1322</v>
      </c>
      <c r="D10875" s="7" t="n">
        <v>2</v>
      </c>
      <c r="E10875" s="7" t="n">
        <v>0.03</v>
      </c>
      <c r="F10875" s="7" t="n">
        <v>0</v>
      </c>
      <c r="G10875" s="7" t="n">
        <v>0</v>
      </c>
    </row>
    <row r="10876" customFormat="false" ht="15" hidden="false" customHeight="false" outlineLevel="0" collapsed="false">
      <c r="A10876" s="7" t="s">
        <v>29</v>
      </c>
      <c r="B10876" s="7" t="s">
        <v>925</v>
      </c>
      <c r="C10876" s="7" t="s">
        <v>1322</v>
      </c>
      <c r="D10876" s="7" t="n">
        <v>0</v>
      </c>
      <c r="E10876" s="7" t="n">
        <v>0</v>
      </c>
      <c r="F10876" s="7" t="n">
        <v>1</v>
      </c>
      <c r="G10876" s="7" t="n">
        <v>0.03</v>
      </c>
    </row>
    <row r="10877" customFormat="false" ht="15" hidden="false" customHeight="false" outlineLevel="0" collapsed="false">
      <c r="A10877" s="7" t="s">
        <v>29</v>
      </c>
      <c r="B10877" s="7" t="s">
        <v>925</v>
      </c>
      <c r="C10877" s="7" t="s">
        <v>1322</v>
      </c>
      <c r="D10877" s="7" t="n">
        <v>0</v>
      </c>
      <c r="E10877" s="7" t="n">
        <v>0</v>
      </c>
      <c r="F10877" s="7" t="n">
        <v>5</v>
      </c>
      <c r="G10877" s="7" t="n">
        <v>139.77</v>
      </c>
    </row>
    <row r="10878" customFormat="false" ht="15" hidden="false" customHeight="false" outlineLevel="0" collapsed="false">
      <c r="A10878" s="7" t="s">
        <v>29</v>
      </c>
      <c r="B10878" s="7" t="s">
        <v>925</v>
      </c>
      <c r="C10878" s="7" t="s">
        <v>1322</v>
      </c>
      <c r="D10878" s="7" t="n">
        <v>0</v>
      </c>
      <c r="E10878" s="7" t="n">
        <v>0</v>
      </c>
      <c r="F10878" s="7" t="n">
        <v>10</v>
      </c>
      <c r="G10878" s="7" t="n">
        <v>261.27</v>
      </c>
    </row>
    <row r="10879" customFormat="false" ht="15" hidden="false" customHeight="false" outlineLevel="0" collapsed="false">
      <c r="A10879" s="7" t="s">
        <v>29</v>
      </c>
      <c r="B10879" s="7" t="s">
        <v>277</v>
      </c>
      <c r="C10879" s="7" t="s">
        <v>1108</v>
      </c>
      <c r="D10879" s="7" t="n">
        <v>4</v>
      </c>
      <c r="E10879" s="7" t="n">
        <v>0.07</v>
      </c>
      <c r="F10879" s="7" t="n">
        <v>1</v>
      </c>
      <c r="G10879" s="7" t="n">
        <v>0.03</v>
      </c>
    </row>
    <row r="10880" customFormat="false" ht="15" hidden="false" customHeight="false" outlineLevel="0" collapsed="false">
      <c r="A10880" s="7" t="s">
        <v>29</v>
      </c>
      <c r="B10880" s="7" t="s">
        <v>277</v>
      </c>
      <c r="C10880" s="7" t="s">
        <v>1108</v>
      </c>
      <c r="D10880" s="7" t="n">
        <v>0</v>
      </c>
      <c r="E10880" s="7" t="n">
        <v>0</v>
      </c>
      <c r="F10880" s="7" t="n">
        <v>15</v>
      </c>
      <c r="G10880" s="7" t="n">
        <v>1286.23</v>
      </c>
    </row>
    <row r="10881" customFormat="false" ht="15" hidden="false" customHeight="false" outlineLevel="0" collapsed="false">
      <c r="A10881" s="7" t="s">
        <v>29</v>
      </c>
      <c r="B10881" s="7" t="s">
        <v>277</v>
      </c>
      <c r="C10881" s="7" t="s">
        <v>1108</v>
      </c>
      <c r="D10881" s="7" t="n">
        <v>10</v>
      </c>
      <c r="E10881" s="7" t="n">
        <v>1009.8</v>
      </c>
      <c r="F10881" s="7" t="n">
        <v>0</v>
      </c>
      <c r="G10881" s="7" t="n">
        <v>0</v>
      </c>
    </row>
    <row r="10882" customFormat="false" ht="15" hidden="false" customHeight="false" outlineLevel="0" collapsed="false">
      <c r="A10882" s="7" t="s">
        <v>29</v>
      </c>
      <c r="B10882" s="7" t="s">
        <v>277</v>
      </c>
      <c r="C10882" s="7" t="s">
        <v>1108</v>
      </c>
      <c r="D10882" s="7" t="n">
        <v>0</v>
      </c>
      <c r="E10882" s="7" t="n">
        <v>0</v>
      </c>
      <c r="F10882" s="7" t="n">
        <v>10</v>
      </c>
      <c r="G10882" s="7" t="n">
        <v>869.55</v>
      </c>
    </row>
    <row r="10883" customFormat="false" ht="15" hidden="false" customHeight="false" outlineLevel="0" collapsed="false">
      <c r="A10883" s="7" t="s">
        <v>29</v>
      </c>
      <c r="B10883" s="7" t="s">
        <v>277</v>
      </c>
      <c r="C10883" s="7" t="s">
        <v>1108</v>
      </c>
      <c r="D10883" s="7" t="n">
        <v>0</v>
      </c>
      <c r="E10883" s="7" t="n">
        <v>0</v>
      </c>
      <c r="F10883" s="7" t="n">
        <v>1</v>
      </c>
      <c r="G10883" s="7" t="n">
        <v>0.03</v>
      </c>
    </row>
    <row r="10884" customFormat="false" ht="15" hidden="false" customHeight="false" outlineLevel="0" collapsed="false">
      <c r="A10884" s="7" t="s">
        <v>29</v>
      </c>
      <c r="B10884" s="7" t="s">
        <v>277</v>
      </c>
      <c r="C10884" s="7" t="s">
        <v>1108</v>
      </c>
      <c r="D10884" s="7" t="n">
        <v>10</v>
      </c>
      <c r="E10884" s="7" t="n">
        <v>944.16</v>
      </c>
      <c r="F10884" s="7" t="n">
        <v>0</v>
      </c>
      <c r="G10884" s="7" t="n">
        <v>0</v>
      </c>
    </row>
    <row r="10885" customFormat="false" ht="15" hidden="false" customHeight="false" outlineLevel="0" collapsed="false">
      <c r="A10885" s="7" t="s">
        <v>29</v>
      </c>
      <c r="B10885" s="7" t="s">
        <v>708</v>
      </c>
      <c r="C10885" s="7" t="s">
        <v>1108</v>
      </c>
      <c r="D10885" s="7" t="n">
        <v>10</v>
      </c>
      <c r="E10885" s="7" t="n">
        <v>934.63</v>
      </c>
      <c r="F10885" s="7" t="n">
        <v>0</v>
      </c>
      <c r="G10885" s="7" t="n">
        <v>0</v>
      </c>
    </row>
    <row r="10886" customFormat="false" ht="15" hidden="false" customHeight="false" outlineLevel="0" collapsed="false">
      <c r="A10886" s="7" t="s">
        <v>29</v>
      </c>
      <c r="B10886" s="7" t="s">
        <v>708</v>
      </c>
      <c r="C10886" s="7" t="s">
        <v>1108</v>
      </c>
      <c r="D10886" s="7" t="n">
        <v>0</v>
      </c>
      <c r="E10886" s="7" t="n">
        <v>0</v>
      </c>
      <c r="F10886" s="7" t="n">
        <v>5</v>
      </c>
      <c r="G10886" s="7" t="n">
        <v>407.71</v>
      </c>
    </row>
    <row r="10887" customFormat="false" ht="15" hidden="false" customHeight="false" outlineLevel="0" collapsed="false">
      <c r="A10887" s="7" t="s">
        <v>29</v>
      </c>
      <c r="B10887" s="7" t="s">
        <v>708</v>
      </c>
      <c r="C10887" s="7" t="s">
        <v>1108</v>
      </c>
      <c r="D10887" s="7" t="n">
        <v>2</v>
      </c>
      <c r="E10887" s="7" t="n">
        <v>0.03</v>
      </c>
      <c r="F10887" s="7" t="n">
        <v>0</v>
      </c>
      <c r="G10887" s="7" t="n">
        <v>0</v>
      </c>
    </row>
    <row r="10888" customFormat="false" ht="15" hidden="false" customHeight="false" outlineLevel="0" collapsed="false">
      <c r="A10888" s="7" t="s">
        <v>29</v>
      </c>
      <c r="B10888" s="7" t="s">
        <v>911</v>
      </c>
      <c r="C10888" s="7" t="s">
        <v>1264</v>
      </c>
      <c r="D10888" s="7" t="n">
        <v>0</v>
      </c>
      <c r="E10888" s="7" t="n">
        <v>0</v>
      </c>
      <c r="F10888" s="7" t="n">
        <v>20</v>
      </c>
      <c r="G10888" s="7" t="n">
        <v>1996.22</v>
      </c>
    </row>
    <row r="10889" customFormat="false" ht="15" hidden="false" customHeight="false" outlineLevel="0" collapsed="false">
      <c r="A10889" s="7" t="s">
        <v>29</v>
      </c>
      <c r="B10889" s="7" t="s">
        <v>911</v>
      </c>
      <c r="C10889" s="7" t="s">
        <v>1264</v>
      </c>
      <c r="D10889" s="7" t="n">
        <v>60</v>
      </c>
      <c r="E10889" s="7" t="n">
        <v>6593.99</v>
      </c>
      <c r="F10889" s="7" t="n">
        <v>0</v>
      </c>
      <c r="G10889" s="7" t="n">
        <v>0</v>
      </c>
    </row>
    <row r="10890" customFormat="false" ht="15" hidden="false" customHeight="false" outlineLevel="0" collapsed="false">
      <c r="A10890" s="7" t="s">
        <v>29</v>
      </c>
      <c r="B10890" s="7" t="s">
        <v>911</v>
      </c>
      <c r="C10890" s="7" t="s">
        <v>1264</v>
      </c>
      <c r="D10890" s="7" t="n">
        <v>30</v>
      </c>
      <c r="E10890" s="7" t="n">
        <v>3502.69</v>
      </c>
      <c r="F10890" s="7" t="n">
        <v>0</v>
      </c>
      <c r="G10890" s="7" t="n">
        <v>0</v>
      </c>
    </row>
    <row r="10891" customFormat="false" ht="15" hidden="false" customHeight="false" outlineLevel="0" collapsed="false">
      <c r="A10891" s="7" t="s">
        <v>29</v>
      </c>
      <c r="B10891" s="7" t="s">
        <v>911</v>
      </c>
      <c r="C10891" s="7" t="s">
        <v>1264</v>
      </c>
      <c r="D10891" s="7" t="n">
        <v>0</v>
      </c>
      <c r="E10891" s="7" t="n">
        <v>0</v>
      </c>
      <c r="F10891" s="7" t="n">
        <v>2</v>
      </c>
      <c r="G10891" s="7" t="n">
        <v>0.06</v>
      </c>
    </row>
    <row r="10892" customFormat="false" ht="15" hidden="false" customHeight="false" outlineLevel="0" collapsed="false">
      <c r="A10892" s="7" t="s">
        <v>29</v>
      </c>
      <c r="B10892" s="7" t="s">
        <v>911</v>
      </c>
      <c r="C10892" s="7" t="s">
        <v>1264</v>
      </c>
      <c r="D10892" s="7" t="n">
        <v>20</v>
      </c>
      <c r="E10892" s="7" t="n">
        <v>2350.8</v>
      </c>
      <c r="F10892" s="7" t="n">
        <v>0</v>
      </c>
      <c r="G10892" s="7" t="n">
        <v>0</v>
      </c>
    </row>
    <row r="10893" customFormat="false" ht="15" hidden="false" customHeight="false" outlineLevel="0" collapsed="false">
      <c r="A10893" s="7" t="s">
        <v>29</v>
      </c>
      <c r="B10893" s="7" t="s">
        <v>911</v>
      </c>
      <c r="C10893" s="7" t="s">
        <v>1264</v>
      </c>
      <c r="D10893" s="7" t="n">
        <v>50</v>
      </c>
      <c r="E10893" s="7" t="n">
        <v>5326.85</v>
      </c>
      <c r="F10893" s="7" t="n">
        <v>0</v>
      </c>
      <c r="G10893" s="7" t="n">
        <v>0</v>
      </c>
    </row>
    <row r="10894" customFormat="false" ht="15" hidden="false" customHeight="false" outlineLevel="0" collapsed="false">
      <c r="A10894" s="7" t="s">
        <v>29</v>
      </c>
      <c r="B10894" s="7" t="s">
        <v>911</v>
      </c>
      <c r="C10894" s="7" t="s">
        <v>1264</v>
      </c>
      <c r="D10894" s="7" t="n">
        <v>0</v>
      </c>
      <c r="E10894" s="7" t="n">
        <v>0</v>
      </c>
      <c r="F10894" s="7" t="n">
        <v>20</v>
      </c>
      <c r="G10894" s="7" t="n">
        <v>1949.86</v>
      </c>
    </row>
    <row r="10895" customFormat="false" ht="15" hidden="false" customHeight="false" outlineLevel="0" collapsed="false">
      <c r="A10895" s="7" t="s">
        <v>29</v>
      </c>
      <c r="B10895" s="7" t="s">
        <v>911</v>
      </c>
      <c r="C10895" s="7" t="s">
        <v>1264</v>
      </c>
      <c r="D10895" s="7" t="n">
        <v>32</v>
      </c>
      <c r="E10895" s="7" t="n">
        <v>0.14</v>
      </c>
      <c r="F10895" s="7" t="n">
        <v>18</v>
      </c>
      <c r="G10895" s="7" t="n">
        <v>0.03</v>
      </c>
    </row>
    <row r="10896" customFormat="false" ht="15" hidden="false" customHeight="false" outlineLevel="0" collapsed="false">
      <c r="A10896" s="7" t="s">
        <v>29</v>
      </c>
      <c r="B10896" s="7" t="s">
        <v>911</v>
      </c>
      <c r="C10896" s="7" t="s">
        <v>1264</v>
      </c>
      <c r="D10896" s="7" t="n">
        <v>0</v>
      </c>
      <c r="E10896" s="7" t="n">
        <v>0</v>
      </c>
      <c r="F10896" s="7" t="n">
        <v>80</v>
      </c>
      <c r="G10896" s="7" t="n">
        <v>8073.69</v>
      </c>
    </row>
    <row r="10897" customFormat="false" ht="15" hidden="false" customHeight="false" outlineLevel="0" collapsed="false">
      <c r="A10897" s="7" t="s">
        <v>29</v>
      </c>
      <c r="B10897" s="7" t="s">
        <v>913</v>
      </c>
      <c r="C10897" s="7" t="s">
        <v>1264</v>
      </c>
      <c r="D10897" s="7" t="n">
        <v>12</v>
      </c>
      <c r="E10897" s="7" t="n">
        <v>0.08</v>
      </c>
      <c r="F10897" s="7" t="n">
        <v>15</v>
      </c>
      <c r="G10897" s="7" t="n">
        <v>0.03</v>
      </c>
    </row>
    <row r="10898" customFormat="false" ht="15" hidden="false" customHeight="false" outlineLevel="0" collapsed="false">
      <c r="A10898" s="7" t="s">
        <v>29</v>
      </c>
      <c r="B10898" s="7" t="s">
        <v>913</v>
      </c>
      <c r="C10898" s="7" t="s">
        <v>1264</v>
      </c>
      <c r="D10898" s="7" t="n">
        <v>0</v>
      </c>
      <c r="E10898" s="7" t="n">
        <v>0</v>
      </c>
      <c r="F10898" s="7" t="n">
        <v>50</v>
      </c>
      <c r="G10898" s="7" t="n">
        <v>5046.06</v>
      </c>
    </row>
    <row r="10899" customFormat="false" ht="15" hidden="false" customHeight="false" outlineLevel="0" collapsed="false">
      <c r="A10899" s="7" t="s">
        <v>29</v>
      </c>
      <c r="B10899" s="7" t="s">
        <v>913</v>
      </c>
      <c r="C10899" s="7" t="s">
        <v>1264</v>
      </c>
      <c r="D10899" s="7" t="n">
        <v>30</v>
      </c>
      <c r="E10899" s="7" t="n">
        <v>3526.2</v>
      </c>
      <c r="F10899" s="7" t="n">
        <v>0</v>
      </c>
      <c r="G10899" s="7" t="n">
        <v>0</v>
      </c>
    </row>
    <row r="10900" customFormat="false" ht="15" hidden="false" customHeight="false" outlineLevel="0" collapsed="false">
      <c r="A10900" s="7" t="s">
        <v>29</v>
      </c>
      <c r="B10900" s="7" t="s">
        <v>913</v>
      </c>
      <c r="C10900" s="7" t="s">
        <v>1264</v>
      </c>
      <c r="D10900" s="7" t="n">
        <v>30</v>
      </c>
      <c r="E10900" s="7" t="n">
        <v>3263.69</v>
      </c>
      <c r="F10900" s="7" t="n">
        <v>0</v>
      </c>
      <c r="G10900" s="7" t="n">
        <v>0</v>
      </c>
    </row>
    <row r="10901" customFormat="false" ht="15" hidden="false" customHeight="false" outlineLevel="0" collapsed="false">
      <c r="A10901" s="7" t="s">
        <v>29</v>
      </c>
      <c r="B10901" s="7" t="s">
        <v>913</v>
      </c>
      <c r="C10901" s="7" t="s">
        <v>1264</v>
      </c>
      <c r="D10901" s="7" t="n">
        <v>0</v>
      </c>
      <c r="E10901" s="7" t="n">
        <v>0</v>
      </c>
      <c r="F10901" s="7" t="n">
        <v>50</v>
      </c>
      <c r="G10901" s="7" t="n">
        <v>4990.55</v>
      </c>
    </row>
    <row r="10902" customFormat="false" ht="15" hidden="false" customHeight="false" outlineLevel="0" collapsed="false">
      <c r="A10902" s="7" t="s">
        <v>29</v>
      </c>
      <c r="B10902" s="7" t="s">
        <v>913</v>
      </c>
      <c r="C10902" s="7" t="s">
        <v>1264</v>
      </c>
      <c r="D10902" s="7" t="n">
        <v>6</v>
      </c>
      <c r="E10902" s="7" t="n">
        <v>0.03</v>
      </c>
      <c r="F10902" s="7" t="n">
        <v>0</v>
      </c>
      <c r="G10902" s="7" t="n">
        <v>0</v>
      </c>
    </row>
    <row r="10903" customFormat="false" ht="15" hidden="false" customHeight="false" outlineLevel="0" collapsed="false">
      <c r="A10903" s="7" t="s">
        <v>29</v>
      </c>
      <c r="B10903" s="7" t="s">
        <v>913</v>
      </c>
      <c r="C10903" s="7" t="s">
        <v>1264</v>
      </c>
      <c r="D10903" s="7" t="n">
        <v>30</v>
      </c>
      <c r="E10903" s="7" t="n">
        <v>3254.88</v>
      </c>
      <c r="F10903" s="7" t="n">
        <v>0</v>
      </c>
      <c r="G10903" s="7" t="n">
        <v>0</v>
      </c>
    </row>
    <row r="10904" customFormat="false" ht="15" hidden="false" customHeight="false" outlineLevel="0" collapsed="false">
      <c r="A10904" s="7" t="s">
        <v>29</v>
      </c>
      <c r="B10904" s="7" t="s">
        <v>913</v>
      </c>
      <c r="C10904" s="7" t="s">
        <v>1264</v>
      </c>
      <c r="D10904" s="7" t="n">
        <v>30</v>
      </c>
      <c r="E10904" s="7" t="n">
        <v>3502.69</v>
      </c>
      <c r="F10904" s="7" t="n">
        <v>0</v>
      </c>
      <c r="G10904" s="7" t="n">
        <v>0</v>
      </c>
    </row>
    <row r="10905" customFormat="false" ht="15" hidden="false" customHeight="false" outlineLevel="0" collapsed="false">
      <c r="A10905" s="7" t="s">
        <v>29</v>
      </c>
      <c r="B10905" s="7" t="s">
        <v>913</v>
      </c>
      <c r="C10905" s="7" t="s">
        <v>1264</v>
      </c>
      <c r="D10905" s="7" t="n">
        <v>6</v>
      </c>
      <c r="E10905" s="7" t="n">
        <v>0.2</v>
      </c>
      <c r="F10905" s="7" t="n">
        <v>0</v>
      </c>
      <c r="G10905" s="7" t="n">
        <v>0</v>
      </c>
    </row>
    <row r="10906" customFormat="false" ht="15" hidden="false" customHeight="false" outlineLevel="0" collapsed="false">
      <c r="A10906" s="7" t="s">
        <v>29</v>
      </c>
      <c r="B10906" s="7" t="s">
        <v>587</v>
      </c>
      <c r="C10906" s="7" t="s">
        <v>1264</v>
      </c>
      <c r="D10906" s="7" t="n">
        <v>2</v>
      </c>
      <c r="E10906" s="7" t="n">
        <v>0.03</v>
      </c>
      <c r="F10906" s="7" t="n">
        <v>0</v>
      </c>
      <c r="G10906" s="7" t="n">
        <v>0</v>
      </c>
    </row>
    <row r="10907" customFormat="false" ht="15" hidden="false" customHeight="false" outlineLevel="0" collapsed="false">
      <c r="A10907" s="7" t="s">
        <v>29</v>
      </c>
      <c r="B10907" s="7" t="s">
        <v>587</v>
      </c>
      <c r="C10907" s="7" t="s">
        <v>1264</v>
      </c>
      <c r="D10907" s="7" t="n">
        <v>10</v>
      </c>
      <c r="E10907" s="7" t="n">
        <v>1087.9</v>
      </c>
      <c r="F10907" s="7" t="n">
        <v>0</v>
      </c>
      <c r="G10907" s="7" t="n">
        <v>0</v>
      </c>
    </row>
    <row r="10908" customFormat="false" ht="15" hidden="false" customHeight="false" outlineLevel="0" collapsed="false">
      <c r="A10908" s="7" t="s">
        <v>29</v>
      </c>
      <c r="B10908" s="7" t="s">
        <v>587</v>
      </c>
      <c r="C10908" s="7" t="s">
        <v>1264</v>
      </c>
      <c r="D10908" s="7" t="n">
        <v>12</v>
      </c>
      <c r="E10908" s="7" t="n">
        <v>0.03</v>
      </c>
      <c r="F10908" s="7" t="n">
        <v>13</v>
      </c>
      <c r="G10908" s="7" t="n">
        <v>0.03</v>
      </c>
    </row>
    <row r="10909" customFormat="false" ht="15" hidden="false" customHeight="false" outlineLevel="0" collapsed="false">
      <c r="A10909" s="7" t="s">
        <v>29</v>
      </c>
      <c r="B10909" s="7" t="s">
        <v>587</v>
      </c>
      <c r="C10909" s="7" t="s">
        <v>1264</v>
      </c>
      <c r="D10909" s="7" t="n">
        <v>30</v>
      </c>
      <c r="E10909" s="7" t="n">
        <v>3254.88</v>
      </c>
      <c r="F10909" s="7" t="n">
        <v>0</v>
      </c>
      <c r="G10909" s="7" t="n">
        <v>0</v>
      </c>
    </row>
    <row r="10910" customFormat="false" ht="15" hidden="false" customHeight="false" outlineLevel="0" collapsed="false">
      <c r="A10910" s="7" t="s">
        <v>29</v>
      </c>
      <c r="B10910" s="7" t="s">
        <v>587</v>
      </c>
      <c r="C10910" s="7" t="s">
        <v>1264</v>
      </c>
      <c r="D10910" s="7" t="n">
        <v>60</v>
      </c>
      <c r="E10910" s="7" t="n">
        <v>6593.99</v>
      </c>
      <c r="F10910" s="7" t="n">
        <v>0</v>
      </c>
      <c r="G10910" s="7" t="n">
        <v>0</v>
      </c>
    </row>
    <row r="10911" customFormat="false" ht="15" hidden="false" customHeight="false" outlineLevel="0" collapsed="false">
      <c r="A10911" s="7" t="s">
        <v>29</v>
      </c>
      <c r="B10911" s="7" t="s">
        <v>587</v>
      </c>
      <c r="C10911" s="7" t="s">
        <v>1264</v>
      </c>
      <c r="D10911" s="7" t="n">
        <v>0</v>
      </c>
      <c r="E10911" s="7" t="n">
        <v>0</v>
      </c>
      <c r="F10911" s="7" t="n">
        <v>20</v>
      </c>
      <c r="G10911" s="7" t="n">
        <v>1949.86</v>
      </c>
    </row>
    <row r="10912" customFormat="false" ht="15" hidden="false" customHeight="false" outlineLevel="0" collapsed="false">
      <c r="A10912" s="7" t="s">
        <v>29</v>
      </c>
      <c r="B10912" s="7" t="s">
        <v>587</v>
      </c>
      <c r="C10912" s="7" t="s">
        <v>1264</v>
      </c>
      <c r="D10912" s="7" t="n">
        <v>0</v>
      </c>
      <c r="E10912" s="7" t="n">
        <v>0</v>
      </c>
      <c r="F10912" s="7" t="n">
        <v>30</v>
      </c>
      <c r="G10912" s="7" t="n">
        <v>2994.33</v>
      </c>
    </row>
    <row r="10913" customFormat="false" ht="15" hidden="false" customHeight="false" outlineLevel="0" collapsed="false">
      <c r="A10913" s="7" t="s">
        <v>29</v>
      </c>
      <c r="B10913" s="7" t="s">
        <v>587</v>
      </c>
      <c r="C10913" s="7" t="s">
        <v>1264</v>
      </c>
      <c r="D10913" s="7" t="n">
        <v>6</v>
      </c>
      <c r="E10913" s="7" t="n">
        <v>0.2</v>
      </c>
      <c r="F10913" s="7" t="n">
        <v>0</v>
      </c>
      <c r="G10913" s="7" t="n">
        <v>0</v>
      </c>
    </row>
    <row r="10914" customFormat="false" ht="15" hidden="false" customHeight="false" outlineLevel="0" collapsed="false">
      <c r="A10914" s="7" t="s">
        <v>29</v>
      </c>
      <c r="B10914" s="7" t="s">
        <v>587</v>
      </c>
      <c r="C10914" s="7" t="s">
        <v>1264</v>
      </c>
      <c r="D10914" s="7" t="n">
        <v>0</v>
      </c>
      <c r="E10914" s="7" t="n">
        <v>0</v>
      </c>
      <c r="F10914" s="7" t="n">
        <v>50</v>
      </c>
      <c r="G10914" s="7" t="n">
        <v>5046.06</v>
      </c>
    </row>
    <row r="10915" customFormat="false" ht="15" hidden="false" customHeight="false" outlineLevel="0" collapsed="false">
      <c r="A10915" s="7" t="s">
        <v>29</v>
      </c>
      <c r="B10915" s="7" t="s">
        <v>587</v>
      </c>
      <c r="C10915" s="7" t="s">
        <v>1264</v>
      </c>
      <c r="D10915" s="7" t="n">
        <v>0</v>
      </c>
      <c r="E10915" s="7" t="n">
        <v>0</v>
      </c>
      <c r="F10915" s="7" t="n">
        <v>2</v>
      </c>
      <c r="G10915" s="7" t="n">
        <v>0.06</v>
      </c>
    </row>
    <row r="10916" customFormat="false" ht="15" hidden="false" customHeight="false" outlineLevel="0" collapsed="false">
      <c r="A10916" s="7" t="s">
        <v>29</v>
      </c>
      <c r="B10916" s="7" t="s">
        <v>493</v>
      </c>
      <c r="C10916" s="7" t="s">
        <v>1264</v>
      </c>
      <c r="D10916" s="7" t="n">
        <v>0</v>
      </c>
      <c r="E10916" s="7" t="n">
        <v>0</v>
      </c>
      <c r="F10916" s="7" t="n">
        <v>5</v>
      </c>
      <c r="G10916" s="7" t="n">
        <v>487.46</v>
      </c>
    </row>
    <row r="10917" customFormat="false" ht="15" hidden="false" customHeight="false" outlineLevel="0" collapsed="false">
      <c r="A10917" s="7" t="s">
        <v>29</v>
      </c>
      <c r="B10917" s="7" t="s">
        <v>154</v>
      </c>
      <c r="C10917" s="7" t="s">
        <v>1162</v>
      </c>
      <c r="D10917" s="7" t="n">
        <v>20</v>
      </c>
      <c r="E10917" s="7" t="n">
        <v>864.72</v>
      </c>
      <c r="F10917" s="7" t="n">
        <v>0</v>
      </c>
      <c r="G10917" s="7" t="n">
        <v>0</v>
      </c>
    </row>
    <row r="10918" customFormat="false" ht="15" hidden="false" customHeight="false" outlineLevel="0" collapsed="false">
      <c r="A10918" s="7" t="s">
        <v>29</v>
      </c>
      <c r="B10918" s="7" t="s">
        <v>154</v>
      </c>
      <c r="C10918" s="7" t="s">
        <v>1162</v>
      </c>
      <c r="D10918" s="7" t="n">
        <v>0</v>
      </c>
      <c r="E10918" s="7" t="n">
        <v>0</v>
      </c>
      <c r="F10918" s="7" t="n">
        <v>50</v>
      </c>
      <c r="G10918" s="7" t="n">
        <v>1834.2</v>
      </c>
    </row>
    <row r="10919" customFormat="false" ht="15" hidden="false" customHeight="false" outlineLevel="0" collapsed="false">
      <c r="A10919" s="7" t="s">
        <v>29</v>
      </c>
      <c r="B10919" s="7" t="s">
        <v>154</v>
      </c>
      <c r="C10919" s="7" t="s">
        <v>1162</v>
      </c>
      <c r="D10919" s="7" t="n">
        <v>20</v>
      </c>
      <c r="E10919" s="7" t="n">
        <v>783.12</v>
      </c>
      <c r="F10919" s="7" t="n">
        <v>0</v>
      </c>
      <c r="G10919" s="7" t="n">
        <v>0</v>
      </c>
    </row>
    <row r="10920" customFormat="false" ht="15" hidden="false" customHeight="false" outlineLevel="0" collapsed="false">
      <c r="A10920" s="7" t="s">
        <v>29</v>
      </c>
      <c r="B10920" s="7" t="s">
        <v>154</v>
      </c>
      <c r="C10920" s="7" t="s">
        <v>1162</v>
      </c>
      <c r="D10920" s="7" t="n">
        <v>60</v>
      </c>
      <c r="E10920" s="7" t="n">
        <v>2423.52</v>
      </c>
      <c r="F10920" s="7" t="n">
        <v>0</v>
      </c>
      <c r="G10920" s="7" t="n">
        <v>0</v>
      </c>
    </row>
    <row r="10921" customFormat="false" ht="15" hidden="false" customHeight="false" outlineLevel="0" collapsed="false">
      <c r="A10921" s="7" t="s">
        <v>29</v>
      </c>
      <c r="B10921" s="7" t="s">
        <v>154</v>
      </c>
      <c r="C10921" s="7" t="s">
        <v>1162</v>
      </c>
      <c r="D10921" s="7" t="n">
        <v>0</v>
      </c>
      <c r="E10921" s="7" t="n">
        <v>0</v>
      </c>
      <c r="F10921" s="7" t="n">
        <v>40</v>
      </c>
      <c r="G10921" s="7" t="n">
        <v>1393.44</v>
      </c>
    </row>
    <row r="10922" customFormat="false" ht="15" hidden="false" customHeight="false" outlineLevel="0" collapsed="false">
      <c r="A10922" s="7" t="s">
        <v>29</v>
      </c>
      <c r="B10922" s="7" t="s">
        <v>154</v>
      </c>
      <c r="C10922" s="7" t="s">
        <v>1162</v>
      </c>
      <c r="D10922" s="7" t="n">
        <v>0</v>
      </c>
      <c r="E10922" s="7" t="n">
        <v>0</v>
      </c>
      <c r="F10922" s="7" t="n">
        <v>40</v>
      </c>
      <c r="G10922" s="7" t="n">
        <v>1488</v>
      </c>
    </row>
    <row r="10923" customFormat="false" ht="15" hidden="false" customHeight="false" outlineLevel="0" collapsed="false">
      <c r="A10923" s="7" t="s">
        <v>29</v>
      </c>
      <c r="B10923" s="7" t="s">
        <v>473</v>
      </c>
      <c r="C10923" s="7" t="s">
        <v>1164</v>
      </c>
      <c r="D10923" s="7" t="n">
        <v>0</v>
      </c>
      <c r="E10923" s="7" t="n">
        <v>0</v>
      </c>
      <c r="F10923" s="7" t="n">
        <v>0</v>
      </c>
      <c r="G10923" s="7" t="n">
        <v>0.03</v>
      </c>
    </row>
    <row r="10924" customFormat="false" ht="15" hidden="false" customHeight="false" outlineLevel="0" collapsed="false">
      <c r="A10924" s="7" t="s">
        <v>29</v>
      </c>
      <c r="B10924" s="7" t="s">
        <v>582</v>
      </c>
      <c r="C10924" s="7" t="s">
        <v>1269</v>
      </c>
      <c r="D10924" s="7" t="n">
        <v>0</v>
      </c>
      <c r="E10924" s="7" t="n">
        <v>0</v>
      </c>
      <c r="F10924" s="7" t="n">
        <v>1</v>
      </c>
      <c r="G10924" s="7" t="n">
        <v>0.03</v>
      </c>
    </row>
    <row r="10925" customFormat="false" ht="15" hidden="false" customHeight="false" outlineLevel="0" collapsed="false">
      <c r="A10925" s="7" t="s">
        <v>29</v>
      </c>
      <c r="B10925" s="7" t="s">
        <v>582</v>
      </c>
      <c r="C10925" s="7" t="s">
        <v>1269</v>
      </c>
      <c r="D10925" s="7" t="n">
        <v>0</v>
      </c>
      <c r="E10925" s="7" t="n">
        <v>0</v>
      </c>
      <c r="F10925" s="7" t="n">
        <v>10</v>
      </c>
      <c r="G10925" s="7" t="n">
        <v>161.24</v>
      </c>
    </row>
    <row r="10926" customFormat="false" ht="15" hidden="false" customHeight="false" outlineLevel="0" collapsed="false">
      <c r="A10926" s="7" t="s">
        <v>29</v>
      </c>
      <c r="B10926" s="7" t="s">
        <v>441</v>
      </c>
      <c r="C10926" s="7" t="s">
        <v>1185</v>
      </c>
      <c r="D10926" s="7" t="n">
        <v>0</v>
      </c>
      <c r="E10926" s="7" t="n">
        <v>0</v>
      </c>
      <c r="F10926" s="7" t="n">
        <v>20</v>
      </c>
      <c r="G10926" s="7" t="n">
        <v>445.1</v>
      </c>
    </row>
    <row r="10927" customFormat="false" ht="15" hidden="false" customHeight="false" outlineLevel="0" collapsed="false">
      <c r="A10927" s="7" t="s">
        <v>29</v>
      </c>
      <c r="B10927" s="7" t="s">
        <v>441</v>
      </c>
      <c r="C10927" s="7" t="s">
        <v>1185</v>
      </c>
      <c r="D10927" s="7" t="n">
        <v>2</v>
      </c>
      <c r="E10927" s="7" t="n">
        <v>0.04</v>
      </c>
      <c r="F10927" s="7" t="n">
        <v>6</v>
      </c>
      <c r="G10927" s="7" t="n">
        <v>0.06</v>
      </c>
    </row>
    <row r="10928" customFormat="false" ht="15" hidden="false" customHeight="false" outlineLevel="0" collapsed="false">
      <c r="A10928" s="7" t="s">
        <v>29</v>
      </c>
      <c r="B10928" s="7" t="s">
        <v>441</v>
      </c>
      <c r="C10928" s="7" t="s">
        <v>1185</v>
      </c>
      <c r="D10928" s="7" t="n">
        <v>0</v>
      </c>
      <c r="E10928" s="7" t="n">
        <v>0</v>
      </c>
      <c r="F10928" s="7" t="n">
        <v>20</v>
      </c>
      <c r="G10928" s="7" t="n">
        <v>440.21</v>
      </c>
    </row>
    <row r="10929" customFormat="false" ht="15" hidden="false" customHeight="false" outlineLevel="0" collapsed="false">
      <c r="A10929" s="7" t="s">
        <v>29</v>
      </c>
      <c r="B10929" s="7" t="s">
        <v>441</v>
      </c>
      <c r="C10929" s="7" t="s">
        <v>1185</v>
      </c>
      <c r="D10929" s="7" t="n">
        <v>20</v>
      </c>
      <c r="E10929" s="7" t="n">
        <v>479.81</v>
      </c>
      <c r="F10929" s="7" t="n">
        <v>0</v>
      </c>
      <c r="G10929" s="7" t="n">
        <v>0</v>
      </c>
    </row>
    <row r="10930" customFormat="false" ht="15" hidden="false" customHeight="false" outlineLevel="0" collapsed="false">
      <c r="A10930" s="7" t="s">
        <v>29</v>
      </c>
      <c r="B10930" s="7" t="s">
        <v>441</v>
      </c>
      <c r="C10930" s="7" t="s">
        <v>1185</v>
      </c>
      <c r="D10930" s="7" t="n">
        <v>10</v>
      </c>
      <c r="E10930" s="7" t="n">
        <v>259.2</v>
      </c>
      <c r="F10930" s="7" t="n">
        <v>0</v>
      </c>
      <c r="G10930" s="7" t="n">
        <v>0</v>
      </c>
    </row>
    <row r="10931" customFormat="false" ht="15" hidden="false" customHeight="false" outlineLevel="0" collapsed="false">
      <c r="A10931" s="7" t="s">
        <v>29</v>
      </c>
      <c r="B10931" s="7" t="s">
        <v>441</v>
      </c>
      <c r="C10931" s="7" t="s">
        <v>1185</v>
      </c>
      <c r="D10931" s="7" t="n">
        <v>4</v>
      </c>
      <c r="E10931" s="7" t="n">
        <v>0.03</v>
      </c>
      <c r="F10931" s="7" t="n">
        <v>0</v>
      </c>
      <c r="G10931" s="7" t="n">
        <v>0</v>
      </c>
    </row>
    <row r="10932" customFormat="false" ht="15" hidden="false" customHeight="false" outlineLevel="0" collapsed="false">
      <c r="A10932" s="7" t="s">
        <v>29</v>
      </c>
      <c r="B10932" s="7" t="s">
        <v>311</v>
      </c>
      <c r="C10932" s="7" t="s">
        <v>1272</v>
      </c>
      <c r="D10932" s="7" t="n">
        <v>0</v>
      </c>
      <c r="E10932" s="7" t="n">
        <v>0</v>
      </c>
      <c r="F10932" s="7" t="n">
        <v>40</v>
      </c>
      <c r="G10932" s="7" t="n">
        <v>2238.2</v>
      </c>
    </row>
    <row r="10933" customFormat="false" ht="15" hidden="false" customHeight="false" outlineLevel="0" collapsed="false">
      <c r="A10933" s="7" t="s">
        <v>29</v>
      </c>
      <c r="B10933" s="7" t="s">
        <v>311</v>
      </c>
      <c r="C10933" s="7" t="s">
        <v>1272</v>
      </c>
      <c r="D10933" s="7" t="n">
        <v>20</v>
      </c>
      <c r="E10933" s="7" t="n">
        <v>1177.94</v>
      </c>
      <c r="F10933" s="7" t="n">
        <v>0</v>
      </c>
      <c r="G10933" s="7" t="n">
        <v>0</v>
      </c>
    </row>
    <row r="10934" customFormat="false" ht="15" hidden="false" customHeight="false" outlineLevel="0" collapsed="false">
      <c r="A10934" s="7" t="s">
        <v>29</v>
      </c>
      <c r="B10934" s="7" t="s">
        <v>311</v>
      </c>
      <c r="C10934" s="7" t="s">
        <v>1272</v>
      </c>
      <c r="D10934" s="7" t="n">
        <v>0</v>
      </c>
      <c r="E10934" s="7" t="n">
        <v>0</v>
      </c>
      <c r="F10934" s="7" t="n">
        <v>20</v>
      </c>
      <c r="G10934" s="7" t="n">
        <v>1103.58</v>
      </c>
    </row>
    <row r="10935" customFormat="false" ht="15" hidden="false" customHeight="false" outlineLevel="0" collapsed="false">
      <c r="A10935" s="7" t="s">
        <v>29</v>
      </c>
      <c r="B10935" s="7" t="s">
        <v>311</v>
      </c>
      <c r="C10935" s="7" t="s">
        <v>1272</v>
      </c>
      <c r="D10935" s="7" t="n">
        <v>0</v>
      </c>
      <c r="E10935" s="7" t="n">
        <v>0</v>
      </c>
      <c r="F10935" s="7" t="n">
        <v>50</v>
      </c>
      <c r="G10935" s="7" t="n">
        <v>2623.57</v>
      </c>
    </row>
    <row r="10936" customFormat="false" ht="15" hidden="false" customHeight="false" outlineLevel="0" collapsed="false">
      <c r="A10936" s="7" t="s">
        <v>29</v>
      </c>
      <c r="B10936" s="7" t="s">
        <v>311</v>
      </c>
      <c r="C10936" s="7" t="s">
        <v>1272</v>
      </c>
      <c r="D10936" s="7" t="n">
        <v>0</v>
      </c>
      <c r="E10936" s="7" t="n">
        <v>0</v>
      </c>
      <c r="F10936" s="7" t="n">
        <v>5</v>
      </c>
      <c r="G10936" s="7" t="n">
        <v>0.15</v>
      </c>
    </row>
    <row r="10937" customFormat="false" ht="15" hidden="false" customHeight="false" outlineLevel="0" collapsed="false">
      <c r="A10937" s="7" t="s">
        <v>29</v>
      </c>
      <c r="B10937" s="7" t="s">
        <v>311</v>
      </c>
      <c r="C10937" s="7" t="s">
        <v>1272</v>
      </c>
      <c r="D10937" s="7" t="n">
        <v>4</v>
      </c>
      <c r="E10937" s="7" t="n">
        <v>0.03</v>
      </c>
      <c r="F10937" s="7" t="n">
        <v>2</v>
      </c>
      <c r="G10937" s="7" t="n">
        <v>0.03</v>
      </c>
    </row>
    <row r="10938" customFormat="false" ht="15" hidden="false" customHeight="false" outlineLevel="0" collapsed="false">
      <c r="A10938" s="7" t="s">
        <v>29</v>
      </c>
      <c r="B10938" s="7" t="s">
        <v>755</v>
      </c>
      <c r="C10938" s="7" t="s">
        <v>1127</v>
      </c>
      <c r="D10938" s="7" t="n">
        <v>0</v>
      </c>
      <c r="E10938" s="7" t="n">
        <v>0</v>
      </c>
      <c r="F10938" s="7" t="n">
        <v>1</v>
      </c>
      <c r="G10938" s="7" t="n">
        <v>0.03</v>
      </c>
    </row>
    <row r="10939" customFormat="false" ht="15" hidden="false" customHeight="false" outlineLevel="0" collapsed="false">
      <c r="A10939" s="7" t="s">
        <v>29</v>
      </c>
      <c r="B10939" s="7" t="s">
        <v>187</v>
      </c>
      <c r="C10939" s="7" t="s">
        <v>1296</v>
      </c>
      <c r="D10939" s="7" t="n">
        <v>1</v>
      </c>
      <c r="E10939" s="7" t="n">
        <v>0.03</v>
      </c>
      <c r="F10939" s="7" t="n">
        <v>0</v>
      </c>
      <c r="G10939" s="7" t="n">
        <v>0</v>
      </c>
    </row>
    <row r="10940" customFormat="false" ht="15" hidden="false" customHeight="false" outlineLevel="0" collapsed="false">
      <c r="A10940" s="7" t="s">
        <v>29</v>
      </c>
      <c r="B10940" s="7" t="s">
        <v>201</v>
      </c>
      <c r="C10940" s="7" t="s">
        <v>1130</v>
      </c>
      <c r="D10940" s="7" t="n">
        <v>3</v>
      </c>
      <c r="E10940" s="7" t="n">
        <v>262.35</v>
      </c>
      <c r="F10940" s="7" t="n">
        <v>0</v>
      </c>
      <c r="G10940" s="7" t="n">
        <v>0</v>
      </c>
    </row>
    <row r="10941" customFormat="false" ht="15" hidden="false" customHeight="false" outlineLevel="0" collapsed="false">
      <c r="A10941" s="7" t="s">
        <v>29</v>
      </c>
      <c r="B10941" s="7" t="s">
        <v>201</v>
      </c>
      <c r="C10941" s="7" t="s">
        <v>1130</v>
      </c>
      <c r="D10941" s="7" t="n">
        <v>0</v>
      </c>
      <c r="E10941" s="7" t="n">
        <v>0</v>
      </c>
      <c r="F10941" s="7" t="n">
        <v>2</v>
      </c>
      <c r="G10941" s="7" t="n">
        <v>163.86</v>
      </c>
    </row>
    <row r="10942" customFormat="false" ht="15" hidden="false" customHeight="false" outlineLevel="0" collapsed="false">
      <c r="A10942" s="7" t="s">
        <v>29</v>
      </c>
      <c r="B10942" s="7" t="s">
        <v>132</v>
      </c>
      <c r="C10942" s="7" t="s">
        <v>1130</v>
      </c>
      <c r="D10942" s="7" t="n">
        <v>0</v>
      </c>
      <c r="E10942" s="7" t="n">
        <v>0</v>
      </c>
      <c r="F10942" s="7" t="n">
        <v>10</v>
      </c>
      <c r="G10942" s="7" t="n">
        <v>819.28</v>
      </c>
    </row>
    <row r="10943" customFormat="false" ht="15" hidden="false" customHeight="false" outlineLevel="0" collapsed="false">
      <c r="A10943" s="7" t="s">
        <v>29</v>
      </c>
      <c r="B10943" s="7" t="s">
        <v>132</v>
      </c>
      <c r="C10943" s="7" t="s">
        <v>1130</v>
      </c>
      <c r="D10943" s="7" t="n">
        <v>5</v>
      </c>
      <c r="E10943" s="7" t="n">
        <v>437.24</v>
      </c>
      <c r="F10943" s="7" t="n">
        <v>0</v>
      </c>
      <c r="G10943" s="7" t="n">
        <v>0</v>
      </c>
    </row>
    <row r="10944" customFormat="false" ht="15" hidden="false" customHeight="false" outlineLevel="0" collapsed="false">
      <c r="A10944" s="7" t="s">
        <v>29</v>
      </c>
      <c r="B10944" s="7" t="s">
        <v>132</v>
      </c>
      <c r="C10944" s="7" t="s">
        <v>1130</v>
      </c>
      <c r="D10944" s="7" t="n">
        <v>0</v>
      </c>
      <c r="E10944" s="7" t="n">
        <v>0</v>
      </c>
      <c r="F10944" s="7" t="n">
        <v>5</v>
      </c>
      <c r="G10944" s="7" t="n">
        <v>415.4</v>
      </c>
    </row>
    <row r="10945" customFormat="false" ht="15" hidden="false" customHeight="false" outlineLevel="0" collapsed="false">
      <c r="A10945" s="7" t="s">
        <v>29</v>
      </c>
      <c r="B10945" s="7" t="s">
        <v>122</v>
      </c>
      <c r="C10945" s="7" t="s">
        <v>1130</v>
      </c>
      <c r="D10945" s="7" t="n">
        <v>1</v>
      </c>
      <c r="E10945" s="7" t="n">
        <v>0.03</v>
      </c>
      <c r="F10945" s="7" t="n">
        <v>0</v>
      </c>
      <c r="G10945" s="7" t="n">
        <v>0</v>
      </c>
    </row>
    <row r="10946" customFormat="false" ht="15" hidden="false" customHeight="false" outlineLevel="0" collapsed="false">
      <c r="A10946" s="7" t="s">
        <v>29</v>
      </c>
      <c r="B10946" s="7" t="s">
        <v>122</v>
      </c>
      <c r="C10946" s="7" t="s">
        <v>1130</v>
      </c>
      <c r="D10946" s="7" t="n">
        <v>0</v>
      </c>
      <c r="E10946" s="7" t="n">
        <v>0</v>
      </c>
      <c r="F10946" s="7" t="n">
        <v>10</v>
      </c>
      <c r="G10946" s="7" t="n">
        <v>830.8</v>
      </c>
    </row>
    <row r="10947" customFormat="false" ht="15" hidden="false" customHeight="false" outlineLevel="0" collapsed="false">
      <c r="A10947" s="7" t="s">
        <v>29</v>
      </c>
      <c r="B10947" s="7" t="s">
        <v>122</v>
      </c>
      <c r="C10947" s="7" t="s">
        <v>1130</v>
      </c>
      <c r="D10947" s="7" t="n">
        <v>0</v>
      </c>
      <c r="E10947" s="7" t="n">
        <v>0</v>
      </c>
      <c r="F10947" s="7" t="n">
        <v>10</v>
      </c>
      <c r="G10947" s="7" t="n">
        <v>779.08</v>
      </c>
    </row>
    <row r="10948" customFormat="false" ht="15" hidden="false" customHeight="false" outlineLevel="0" collapsed="false">
      <c r="A10948" s="7" t="s">
        <v>29</v>
      </c>
      <c r="B10948" s="7" t="s">
        <v>122</v>
      </c>
      <c r="C10948" s="7" t="s">
        <v>1130</v>
      </c>
      <c r="D10948" s="7" t="n">
        <v>6</v>
      </c>
      <c r="E10948" s="7" t="n">
        <v>524.69</v>
      </c>
      <c r="F10948" s="7" t="n">
        <v>0</v>
      </c>
      <c r="G10948" s="7" t="n">
        <v>0</v>
      </c>
    </row>
    <row r="10949" customFormat="false" ht="15" hidden="false" customHeight="false" outlineLevel="0" collapsed="false">
      <c r="A10949" s="7" t="s">
        <v>29</v>
      </c>
      <c r="B10949" s="7" t="s">
        <v>128</v>
      </c>
      <c r="C10949" s="7" t="s">
        <v>1130</v>
      </c>
      <c r="D10949" s="7" t="n">
        <v>6</v>
      </c>
      <c r="E10949" s="7" t="n">
        <v>524.69</v>
      </c>
      <c r="F10949" s="7" t="n">
        <v>0</v>
      </c>
      <c r="G10949" s="7" t="n">
        <v>0</v>
      </c>
    </row>
    <row r="10950" customFormat="false" ht="15" hidden="false" customHeight="false" outlineLevel="0" collapsed="false">
      <c r="A10950" s="7" t="s">
        <v>29</v>
      </c>
      <c r="B10950" s="7" t="s">
        <v>128</v>
      </c>
      <c r="C10950" s="7" t="s">
        <v>1130</v>
      </c>
      <c r="D10950" s="7" t="n">
        <v>0</v>
      </c>
      <c r="E10950" s="7" t="n">
        <v>0</v>
      </c>
      <c r="F10950" s="7" t="n">
        <v>10</v>
      </c>
      <c r="G10950" s="7" t="n">
        <v>830.8</v>
      </c>
    </row>
    <row r="10951" customFormat="false" ht="15" hidden="false" customHeight="false" outlineLevel="0" collapsed="false">
      <c r="A10951" s="7" t="s">
        <v>29</v>
      </c>
      <c r="B10951" s="7" t="s">
        <v>128</v>
      </c>
      <c r="C10951" s="7" t="s">
        <v>1130</v>
      </c>
      <c r="D10951" s="7" t="n">
        <v>0</v>
      </c>
      <c r="E10951" s="7" t="n">
        <v>0</v>
      </c>
      <c r="F10951" s="7" t="n">
        <v>10</v>
      </c>
      <c r="G10951" s="7" t="n">
        <v>819.28</v>
      </c>
    </row>
    <row r="10952" customFormat="false" ht="15" hidden="false" customHeight="false" outlineLevel="0" collapsed="false">
      <c r="A10952" s="7" t="s">
        <v>29</v>
      </c>
      <c r="B10952" s="7" t="s">
        <v>128</v>
      </c>
      <c r="C10952" s="7" t="s">
        <v>1130</v>
      </c>
      <c r="D10952" s="7" t="n">
        <v>0</v>
      </c>
      <c r="E10952" s="7" t="n">
        <v>0</v>
      </c>
      <c r="F10952" s="7" t="n">
        <v>10</v>
      </c>
      <c r="G10952" s="7" t="n">
        <v>779.08</v>
      </c>
    </row>
    <row r="10953" customFormat="false" ht="15" hidden="false" customHeight="false" outlineLevel="0" collapsed="false">
      <c r="A10953" s="7" t="s">
        <v>29</v>
      </c>
      <c r="B10953" s="7" t="s">
        <v>152</v>
      </c>
      <c r="C10953" s="7" t="s">
        <v>1130</v>
      </c>
      <c r="D10953" s="7" t="n">
        <v>5</v>
      </c>
      <c r="E10953" s="7" t="n">
        <v>437.24</v>
      </c>
      <c r="F10953" s="7" t="n">
        <v>0</v>
      </c>
      <c r="G10953" s="7" t="n">
        <v>0</v>
      </c>
    </row>
    <row r="10954" customFormat="false" ht="15" hidden="false" customHeight="false" outlineLevel="0" collapsed="false">
      <c r="A10954" s="7" t="s">
        <v>29</v>
      </c>
      <c r="B10954" s="7" t="s">
        <v>152</v>
      </c>
      <c r="C10954" s="7" t="s">
        <v>1130</v>
      </c>
      <c r="D10954" s="7" t="n">
        <v>0</v>
      </c>
      <c r="E10954" s="7" t="n">
        <v>0</v>
      </c>
      <c r="F10954" s="7" t="n">
        <v>15</v>
      </c>
      <c r="G10954" s="7" t="n">
        <v>1228.91</v>
      </c>
    </row>
    <row r="10955" customFormat="false" ht="15" hidden="false" customHeight="false" outlineLevel="0" collapsed="false">
      <c r="A10955" s="7" t="s">
        <v>29</v>
      </c>
      <c r="B10955" s="7" t="s">
        <v>152</v>
      </c>
      <c r="C10955" s="7" t="s">
        <v>1130</v>
      </c>
      <c r="D10955" s="7" t="n">
        <v>0</v>
      </c>
      <c r="E10955" s="7" t="n">
        <v>0</v>
      </c>
      <c r="F10955" s="7" t="n">
        <v>10</v>
      </c>
      <c r="G10955" s="7" t="n">
        <v>830.8</v>
      </c>
    </row>
    <row r="10956" customFormat="false" ht="15" hidden="false" customHeight="false" outlineLevel="0" collapsed="false">
      <c r="A10956" s="7" t="s">
        <v>29</v>
      </c>
      <c r="B10956" s="7" t="s">
        <v>252</v>
      </c>
      <c r="C10956" s="7" t="s">
        <v>1130</v>
      </c>
      <c r="D10956" s="7" t="n">
        <v>0</v>
      </c>
      <c r="E10956" s="7" t="n">
        <v>0</v>
      </c>
      <c r="F10956" s="7" t="n">
        <v>20</v>
      </c>
      <c r="G10956" s="7" t="n">
        <v>1556.01</v>
      </c>
    </row>
    <row r="10957" customFormat="false" ht="15" hidden="false" customHeight="false" outlineLevel="0" collapsed="false">
      <c r="A10957" s="7" t="s">
        <v>29</v>
      </c>
      <c r="B10957" s="7" t="s">
        <v>252</v>
      </c>
      <c r="C10957" s="7" t="s">
        <v>1130</v>
      </c>
      <c r="D10957" s="7" t="n">
        <v>5</v>
      </c>
      <c r="E10957" s="7" t="n">
        <v>437.24</v>
      </c>
      <c r="F10957" s="7" t="n">
        <v>0</v>
      </c>
      <c r="G10957" s="7" t="n">
        <v>0</v>
      </c>
    </row>
    <row r="10958" customFormat="false" ht="15" hidden="false" customHeight="false" outlineLevel="0" collapsed="false">
      <c r="A10958" s="7" t="s">
        <v>29</v>
      </c>
      <c r="B10958" s="7" t="s">
        <v>252</v>
      </c>
      <c r="C10958" s="7" t="s">
        <v>1130</v>
      </c>
      <c r="D10958" s="7" t="n">
        <v>0</v>
      </c>
      <c r="E10958" s="7" t="n">
        <v>0</v>
      </c>
      <c r="F10958" s="7" t="n">
        <v>10</v>
      </c>
      <c r="G10958" s="7" t="n">
        <v>779.08</v>
      </c>
    </row>
    <row r="10959" customFormat="false" ht="15" hidden="false" customHeight="false" outlineLevel="0" collapsed="false">
      <c r="A10959" s="7" t="s">
        <v>29</v>
      </c>
      <c r="B10959" s="7" t="s">
        <v>646</v>
      </c>
      <c r="C10959" s="7" t="s">
        <v>1183</v>
      </c>
      <c r="D10959" s="7" t="n">
        <v>0</v>
      </c>
      <c r="E10959" s="7" t="n">
        <v>0</v>
      </c>
      <c r="F10959" s="7" t="n">
        <v>60</v>
      </c>
      <c r="G10959" s="7" t="n">
        <v>704.75</v>
      </c>
    </row>
    <row r="10960" customFormat="false" ht="15" hidden="false" customHeight="false" outlineLevel="0" collapsed="false">
      <c r="A10960" s="7" t="s">
        <v>29</v>
      </c>
      <c r="B10960" s="7" t="s">
        <v>646</v>
      </c>
      <c r="C10960" s="7" t="s">
        <v>1183</v>
      </c>
      <c r="D10960" s="7" t="n">
        <v>50</v>
      </c>
      <c r="E10960" s="7" t="n">
        <v>633.08</v>
      </c>
      <c r="F10960" s="7" t="n">
        <v>0</v>
      </c>
      <c r="G10960" s="7" t="n">
        <v>0</v>
      </c>
    </row>
    <row r="10961" customFormat="false" ht="15" hidden="false" customHeight="false" outlineLevel="0" collapsed="false">
      <c r="A10961" s="7" t="s">
        <v>29</v>
      </c>
      <c r="B10961" s="7" t="s">
        <v>646</v>
      </c>
      <c r="C10961" s="7" t="s">
        <v>1183</v>
      </c>
      <c r="D10961" s="7" t="n">
        <v>10</v>
      </c>
      <c r="E10961" s="7" t="n">
        <v>0.03</v>
      </c>
      <c r="F10961" s="7" t="n">
        <v>0</v>
      </c>
      <c r="G10961" s="7" t="n">
        <v>0</v>
      </c>
    </row>
    <row r="10962" customFormat="false" ht="15" hidden="false" customHeight="false" outlineLevel="0" collapsed="false">
      <c r="A10962" s="7" t="s">
        <v>29</v>
      </c>
      <c r="B10962" s="7" t="s">
        <v>646</v>
      </c>
      <c r="C10962" s="7" t="s">
        <v>1183</v>
      </c>
      <c r="D10962" s="7" t="n">
        <v>0</v>
      </c>
      <c r="E10962" s="7" t="n">
        <v>0</v>
      </c>
      <c r="F10962" s="7" t="n">
        <v>50</v>
      </c>
      <c r="G10962" s="7" t="n">
        <v>580.83</v>
      </c>
    </row>
    <row r="10963" customFormat="false" ht="15" hidden="false" customHeight="false" outlineLevel="0" collapsed="false">
      <c r="A10963" s="7" t="s">
        <v>29</v>
      </c>
      <c r="B10963" s="7" t="s">
        <v>646</v>
      </c>
      <c r="C10963" s="7" t="s">
        <v>1183</v>
      </c>
      <c r="D10963" s="7" t="n">
        <v>0</v>
      </c>
      <c r="E10963" s="7" t="n">
        <v>0</v>
      </c>
      <c r="F10963" s="7" t="n">
        <v>40</v>
      </c>
      <c r="G10963" s="7" t="n">
        <v>441.86</v>
      </c>
    </row>
    <row r="10964" customFormat="false" ht="15" hidden="false" customHeight="false" outlineLevel="0" collapsed="false">
      <c r="A10964" s="7" t="s">
        <v>29</v>
      </c>
      <c r="B10964" s="7" t="s">
        <v>646</v>
      </c>
      <c r="C10964" s="7" t="s">
        <v>1183</v>
      </c>
      <c r="D10964" s="7" t="n">
        <v>6</v>
      </c>
      <c r="E10964" s="7" t="n">
        <v>0.03</v>
      </c>
      <c r="F10964" s="7" t="n">
        <v>0</v>
      </c>
      <c r="G10964" s="7" t="n">
        <v>0</v>
      </c>
    </row>
    <row r="10965" customFormat="false" ht="15" hidden="false" customHeight="false" outlineLevel="0" collapsed="false">
      <c r="A10965" s="7" t="s">
        <v>29</v>
      </c>
      <c r="B10965" s="7" t="s">
        <v>646</v>
      </c>
      <c r="C10965" s="7" t="s">
        <v>1183</v>
      </c>
      <c r="D10965" s="7" t="n">
        <v>30</v>
      </c>
      <c r="E10965" s="7" t="n">
        <v>383.72</v>
      </c>
      <c r="F10965" s="7" t="n">
        <v>0</v>
      </c>
      <c r="G10965" s="7" t="n">
        <v>0</v>
      </c>
    </row>
    <row r="10966" customFormat="false" ht="15" hidden="false" customHeight="false" outlineLevel="0" collapsed="false">
      <c r="A10966" s="7" t="s">
        <v>29</v>
      </c>
      <c r="B10966" s="7" t="s">
        <v>646</v>
      </c>
      <c r="C10966" s="7" t="s">
        <v>1183</v>
      </c>
      <c r="D10966" s="7" t="n">
        <v>0</v>
      </c>
      <c r="E10966" s="7" t="n">
        <v>0</v>
      </c>
      <c r="F10966" s="7" t="n">
        <v>4</v>
      </c>
      <c r="G10966" s="7" t="n">
        <v>0.12</v>
      </c>
    </row>
    <row r="10967" customFormat="false" ht="15" hidden="false" customHeight="false" outlineLevel="0" collapsed="false">
      <c r="A10967" s="7" t="s">
        <v>29</v>
      </c>
      <c r="B10967" s="7" t="s">
        <v>646</v>
      </c>
      <c r="C10967" s="7" t="s">
        <v>1183</v>
      </c>
      <c r="D10967" s="7" t="n">
        <v>0</v>
      </c>
      <c r="E10967" s="7" t="n">
        <v>0</v>
      </c>
      <c r="F10967" s="7" t="n">
        <v>17</v>
      </c>
      <c r="G10967" s="7" t="n">
        <v>0.06</v>
      </c>
    </row>
    <row r="10968" customFormat="false" ht="15" hidden="false" customHeight="false" outlineLevel="0" collapsed="false">
      <c r="A10968" s="7" t="s">
        <v>29</v>
      </c>
      <c r="B10968" s="7" t="s">
        <v>176</v>
      </c>
      <c r="C10968" s="7" t="s">
        <v>1183</v>
      </c>
      <c r="D10968" s="7" t="n">
        <v>100</v>
      </c>
      <c r="E10968" s="7" t="n">
        <v>1599.36</v>
      </c>
      <c r="F10968" s="7" t="n">
        <v>0</v>
      </c>
      <c r="G10968" s="7" t="n">
        <v>0</v>
      </c>
    </row>
    <row r="10969" customFormat="false" ht="15" hidden="false" customHeight="false" outlineLevel="0" collapsed="false">
      <c r="A10969" s="7" t="s">
        <v>29</v>
      </c>
      <c r="B10969" s="7" t="s">
        <v>176</v>
      </c>
      <c r="C10969" s="7" t="s">
        <v>1183</v>
      </c>
      <c r="D10969" s="7" t="n">
        <v>4</v>
      </c>
      <c r="E10969" s="7" t="n">
        <v>0.03</v>
      </c>
      <c r="F10969" s="7" t="n">
        <v>5</v>
      </c>
      <c r="G10969" s="7" t="n">
        <v>0.03</v>
      </c>
    </row>
    <row r="10970" customFormat="false" ht="15" hidden="false" customHeight="false" outlineLevel="0" collapsed="false">
      <c r="A10970" s="7" t="s">
        <v>29</v>
      </c>
      <c r="B10970" s="7" t="s">
        <v>176</v>
      </c>
      <c r="C10970" s="7" t="s">
        <v>1183</v>
      </c>
      <c r="D10970" s="7" t="n">
        <v>80</v>
      </c>
      <c r="E10970" s="7" t="n">
        <v>1292.55</v>
      </c>
      <c r="F10970" s="7" t="n">
        <v>0</v>
      </c>
      <c r="G10970" s="7" t="n">
        <v>0</v>
      </c>
    </row>
    <row r="10971" customFormat="false" ht="15" hidden="false" customHeight="false" outlineLevel="0" collapsed="false">
      <c r="A10971" s="7" t="s">
        <v>29</v>
      </c>
      <c r="B10971" s="7" t="s">
        <v>176</v>
      </c>
      <c r="C10971" s="7" t="s">
        <v>1183</v>
      </c>
      <c r="D10971" s="7" t="n">
        <v>0</v>
      </c>
      <c r="E10971" s="7" t="n">
        <v>0</v>
      </c>
      <c r="F10971" s="7" t="n">
        <v>50</v>
      </c>
      <c r="G10971" s="7" t="n">
        <v>733.68</v>
      </c>
    </row>
    <row r="10972" customFormat="false" ht="15" hidden="false" customHeight="false" outlineLevel="0" collapsed="false">
      <c r="A10972" s="7" t="s">
        <v>29</v>
      </c>
      <c r="B10972" s="7" t="s">
        <v>176</v>
      </c>
      <c r="C10972" s="7" t="s">
        <v>1183</v>
      </c>
      <c r="D10972" s="7" t="n">
        <v>0</v>
      </c>
      <c r="E10972" s="7" t="n">
        <v>0</v>
      </c>
      <c r="F10972" s="7" t="n">
        <v>8</v>
      </c>
      <c r="G10972" s="7" t="n">
        <v>0.23</v>
      </c>
    </row>
    <row r="10973" customFormat="false" ht="15" hidden="false" customHeight="false" outlineLevel="0" collapsed="false">
      <c r="A10973" s="7" t="s">
        <v>29</v>
      </c>
      <c r="B10973" s="7" t="s">
        <v>176</v>
      </c>
      <c r="C10973" s="7" t="s">
        <v>1183</v>
      </c>
      <c r="D10973" s="7" t="n">
        <v>20</v>
      </c>
      <c r="E10973" s="7" t="n">
        <v>0.03</v>
      </c>
      <c r="F10973" s="7" t="n">
        <v>0</v>
      </c>
      <c r="G10973" s="7" t="n">
        <v>0</v>
      </c>
    </row>
    <row r="10974" customFormat="false" ht="15" hidden="false" customHeight="false" outlineLevel="0" collapsed="false">
      <c r="A10974" s="7" t="s">
        <v>29</v>
      </c>
      <c r="B10974" s="7" t="s">
        <v>176</v>
      </c>
      <c r="C10974" s="7" t="s">
        <v>1183</v>
      </c>
      <c r="D10974" s="7" t="n">
        <v>0</v>
      </c>
      <c r="E10974" s="7" t="n">
        <v>0</v>
      </c>
      <c r="F10974" s="7" t="n">
        <v>80</v>
      </c>
      <c r="G10974" s="7" t="n">
        <v>1116.29</v>
      </c>
    </row>
    <row r="10975" customFormat="false" ht="15" hidden="false" customHeight="false" outlineLevel="0" collapsed="false">
      <c r="A10975" s="7" t="s">
        <v>29</v>
      </c>
      <c r="B10975" s="7" t="s">
        <v>176</v>
      </c>
      <c r="C10975" s="7" t="s">
        <v>1183</v>
      </c>
      <c r="D10975" s="7" t="n">
        <v>12</v>
      </c>
      <c r="E10975" s="7" t="n">
        <v>0.03</v>
      </c>
      <c r="F10975" s="7" t="n">
        <v>0</v>
      </c>
      <c r="G10975" s="7" t="n">
        <v>0</v>
      </c>
    </row>
    <row r="10976" customFormat="false" ht="15" hidden="false" customHeight="false" outlineLevel="0" collapsed="false">
      <c r="A10976" s="7" t="s">
        <v>29</v>
      </c>
      <c r="B10976" s="7" t="s">
        <v>96</v>
      </c>
      <c r="C10976" s="7" t="s">
        <v>1184</v>
      </c>
      <c r="D10976" s="7" t="n">
        <v>10</v>
      </c>
      <c r="E10976" s="7" t="n">
        <v>194.89</v>
      </c>
      <c r="F10976" s="7" t="n">
        <v>0</v>
      </c>
      <c r="G10976" s="7" t="n">
        <v>0</v>
      </c>
    </row>
    <row r="10977" customFormat="false" ht="15" hidden="false" customHeight="false" outlineLevel="0" collapsed="false">
      <c r="A10977" s="7" t="s">
        <v>29</v>
      </c>
      <c r="B10977" s="7" t="s">
        <v>96</v>
      </c>
      <c r="C10977" s="7" t="s">
        <v>1184</v>
      </c>
      <c r="D10977" s="7" t="n">
        <v>10</v>
      </c>
      <c r="E10977" s="7" t="n">
        <v>188.93</v>
      </c>
      <c r="F10977" s="7" t="n">
        <v>0</v>
      </c>
      <c r="G10977" s="7" t="n">
        <v>0</v>
      </c>
    </row>
    <row r="10978" customFormat="false" ht="15" hidden="false" customHeight="false" outlineLevel="0" collapsed="false">
      <c r="A10978" s="7" t="s">
        <v>29</v>
      </c>
      <c r="B10978" s="7" t="s">
        <v>96</v>
      </c>
      <c r="C10978" s="7" t="s">
        <v>1184</v>
      </c>
      <c r="D10978" s="7" t="n">
        <v>2</v>
      </c>
      <c r="E10978" s="7" t="n">
        <v>0.03</v>
      </c>
      <c r="F10978" s="7" t="n">
        <v>0</v>
      </c>
      <c r="G10978" s="7" t="n">
        <v>0</v>
      </c>
    </row>
    <row r="10979" customFormat="false" ht="15" hidden="false" customHeight="false" outlineLevel="0" collapsed="false">
      <c r="A10979" s="7" t="s">
        <v>29</v>
      </c>
      <c r="B10979" s="7" t="s">
        <v>96</v>
      </c>
      <c r="C10979" s="7" t="s">
        <v>1184</v>
      </c>
      <c r="D10979" s="7" t="n">
        <v>2</v>
      </c>
      <c r="E10979" s="7" t="n">
        <v>0.03</v>
      </c>
      <c r="F10979" s="7" t="n">
        <v>0</v>
      </c>
      <c r="G10979" s="7" t="n">
        <v>0</v>
      </c>
    </row>
    <row r="10980" customFormat="false" ht="15" hidden="false" customHeight="false" outlineLevel="0" collapsed="false">
      <c r="A10980" s="7" t="s">
        <v>29</v>
      </c>
      <c r="B10980" s="7" t="s">
        <v>213</v>
      </c>
      <c r="C10980" s="7" t="s">
        <v>1184</v>
      </c>
      <c r="D10980" s="7" t="n">
        <v>2</v>
      </c>
      <c r="E10980" s="7" t="n">
        <v>0.03</v>
      </c>
      <c r="F10980" s="7" t="n">
        <v>0</v>
      </c>
      <c r="G10980" s="7" t="n">
        <v>0</v>
      </c>
    </row>
    <row r="10981" customFormat="false" ht="15" hidden="false" customHeight="false" outlineLevel="0" collapsed="false">
      <c r="A10981" s="7" t="s">
        <v>29</v>
      </c>
      <c r="B10981" s="7" t="s">
        <v>213</v>
      </c>
      <c r="C10981" s="7" t="s">
        <v>1184</v>
      </c>
      <c r="D10981" s="7" t="n">
        <v>10</v>
      </c>
      <c r="E10981" s="7" t="n">
        <v>194.89</v>
      </c>
      <c r="F10981" s="7" t="n">
        <v>0</v>
      </c>
      <c r="G10981" s="7" t="n">
        <v>0</v>
      </c>
    </row>
    <row r="10982" customFormat="false" ht="15" hidden="false" customHeight="false" outlineLevel="0" collapsed="false">
      <c r="A10982" s="7" t="s">
        <v>29</v>
      </c>
      <c r="B10982" s="7" t="s">
        <v>213</v>
      </c>
      <c r="C10982" s="7" t="s">
        <v>1184</v>
      </c>
      <c r="D10982" s="7" t="n">
        <v>10</v>
      </c>
      <c r="E10982" s="7" t="n">
        <v>188.93</v>
      </c>
      <c r="F10982" s="7" t="n">
        <v>0</v>
      </c>
      <c r="G10982" s="7" t="n">
        <v>0</v>
      </c>
    </row>
    <row r="10983" customFormat="false" ht="15" hidden="false" customHeight="false" outlineLevel="0" collapsed="false">
      <c r="A10983" s="7" t="s">
        <v>29</v>
      </c>
      <c r="B10983" s="7" t="s">
        <v>213</v>
      </c>
      <c r="C10983" s="7" t="s">
        <v>1184</v>
      </c>
      <c r="D10983" s="7" t="n">
        <v>2</v>
      </c>
      <c r="E10983" s="7" t="n">
        <v>0.03</v>
      </c>
      <c r="F10983" s="7" t="n">
        <v>0</v>
      </c>
      <c r="G10983" s="7" t="n">
        <v>0</v>
      </c>
    </row>
    <row r="10984" customFormat="false" ht="15" hidden="false" customHeight="false" outlineLevel="0" collapsed="false">
      <c r="A10984" s="7" t="s">
        <v>29</v>
      </c>
      <c r="B10984" s="7" t="s">
        <v>133</v>
      </c>
      <c r="C10984" s="7" t="s">
        <v>1184</v>
      </c>
      <c r="D10984" s="7" t="n">
        <v>0</v>
      </c>
      <c r="E10984" s="7" t="n">
        <v>0</v>
      </c>
      <c r="F10984" s="7" t="n">
        <v>1</v>
      </c>
      <c r="G10984" s="7" t="n">
        <v>0.03</v>
      </c>
    </row>
    <row r="10985" customFormat="false" ht="15" hidden="false" customHeight="false" outlineLevel="0" collapsed="false">
      <c r="A10985" s="7" t="s">
        <v>29</v>
      </c>
      <c r="B10985" s="7" t="s">
        <v>133</v>
      </c>
      <c r="C10985" s="7" t="s">
        <v>1184</v>
      </c>
      <c r="D10985" s="7" t="n">
        <v>0</v>
      </c>
      <c r="E10985" s="7" t="n">
        <v>0</v>
      </c>
      <c r="F10985" s="7" t="n">
        <v>10</v>
      </c>
      <c r="G10985" s="7" t="n">
        <v>167.22</v>
      </c>
    </row>
    <row r="10986" customFormat="false" ht="15" hidden="false" customHeight="false" outlineLevel="0" collapsed="false">
      <c r="A10986" s="7" t="s">
        <v>29</v>
      </c>
      <c r="B10986" s="7" t="s">
        <v>554</v>
      </c>
      <c r="C10986" s="7" t="s">
        <v>1131</v>
      </c>
      <c r="D10986" s="7" t="n">
        <v>60</v>
      </c>
      <c r="E10986" s="7" t="n">
        <v>1312.74</v>
      </c>
      <c r="F10986" s="7" t="n">
        <v>0</v>
      </c>
      <c r="G10986" s="7" t="n">
        <v>0</v>
      </c>
    </row>
    <row r="10987" customFormat="false" ht="15" hidden="false" customHeight="false" outlineLevel="0" collapsed="false">
      <c r="A10987" s="7" t="s">
        <v>29</v>
      </c>
      <c r="B10987" s="7" t="s">
        <v>554</v>
      </c>
      <c r="C10987" s="7" t="s">
        <v>1131</v>
      </c>
      <c r="D10987" s="7" t="n">
        <v>12</v>
      </c>
      <c r="E10987" s="7" t="n">
        <v>0.03</v>
      </c>
      <c r="F10987" s="7" t="n">
        <v>19</v>
      </c>
      <c r="G10987" s="7" t="n">
        <v>0.06</v>
      </c>
    </row>
    <row r="10988" customFormat="false" ht="15" hidden="false" customHeight="false" outlineLevel="0" collapsed="false">
      <c r="A10988" s="7" t="s">
        <v>29</v>
      </c>
      <c r="B10988" s="7" t="s">
        <v>554</v>
      </c>
      <c r="C10988" s="7" t="s">
        <v>1131</v>
      </c>
      <c r="D10988" s="7" t="n">
        <v>0</v>
      </c>
      <c r="E10988" s="7" t="n">
        <v>0</v>
      </c>
      <c r="F10988" s="7" t="n">
        <v>50</v>
      </c>
      <c r="G10988" s="7" t="n">
        <v>993.53</v>
      </c>
    </row>
    <row r="10989" customFormat="false" ht="15" hidden="false" customHeight="false" outlineLevel="0" collapsed="false">
      <c r="A10989" s="7" t="s">
        <v>29</v>
      </c>
      <c r="B10989" s="7" t="s">
        <v>554</v>
      </c>
      <c r="C10989" s="7" t="s">
        <v>1131</v>
      </c>
      <c r="D10989" s="7" t="n">
        <v>0</v>
      </c>
      <c r="E10989" s="7" t="n">
        <v>0</v>
      </c>
      <c r="F10989" s="7" t="n">
        <v>70</v>
      </c>
      <c r="G10989" s="7" t="n">
        <v>1406.41</v>
      </c>
    </row>
    <row r="10990" customFormat="false" ht="15" hidden="false" customHeight="false" outlineLevel="0" collapsed="false">
      <c r="A10990" s="7" t="s">
        <v>29</v>
      </c>
      <c r="B10990" s="7" t="s">
        <v>335</v>
      </c>
      <c r="C10990" s="7" t="s">
        <v>1307</v>
      </c>
      <c r="D10990" s="7" t="n">
        <v>90</v>
      </c>
      <c r="E10990" s="7" t="n">
        <v>12723.48</v>
      </c>
      <c r="F10990" s="7" t="n">
        <v>0</v>
      </c>
      <c r="G10990" s="7" t="n">
        <v>0</v>
      </c>
    </row>
    <row r="10991" customFormat="false" ht="15" hidden="false" customHeight="false" outlineLevel="0" collapsed="false">
      <c r="A10991" s="7" t="s">
        <v>29</v>
      </c>
      <c r="B10991" s="7" t="s">
        <v>335</v>
      </c>
      <c r="C10991" s="7" t="s">
        <v>1307</v>
      </c>
      <c r="D10991" s="7" t="n">
        <v>0</v>
      </c>
      <c r="E10991" s="7" t="n">
        <v>0</v>
      </c>
      <c r="F10991" s="7" t="n">
        <v>50</v>
      </c>
      <c r="G10991" s="7" t="n">
        <v>6491.1</v>
      </c>
    </row>
    <row r="10992" customFormat="false" ht="15" hidden="false" customHeight="false" outlineLevel="0" collapsed="false">
      <c r="A10992" s="7" t="s">
        <v>29</v>
      </c>
      <c r="B10992" s="7" t="s">
        <v>335</v>
      </c>
      <c r="C10992" s="7" t="s">
        <v>1307</v>
      </c>
      <c r="D10992" s="7" t="n">
        <v>80</v>
      </c>
      <c r="E10992" s="7" t="n">
        <v>12015.36</v>
      </c>
      <c r="F10992" s="7" t="n">
        <v>0</v>
      </c>
      <c r="G10992" s="7" t="n">
        <v>0</v>
      </c>
    </row>
    <row r="10993" customFormat="false" ht="15" hidden="false" customHeight="false" outlineLevel="0" collapsed="false">
      <c r="A10993" s="7" t="s">
        <v>29</v>
      </c>
      <c r="B10993" s="7" t="s">
        <v>335</v>
      </c>
      <c r="C10993" s="7" t="s">
        <v>1307</v>
      </c>
      <c r="D10993" s="7" t="n">
        <v>34</v>
      </c>
      <c r="E10993" s="7" t="n">
        <v>0.07</v>
      </c>
      <c r="F10993" s="7" t="n">
        <v>15</v>
      </c>
      <c r="G10993" s="7" t="n">
        <v>0.06</v>
      </c>
    </row>
    <row r="10994" customFormat="false" ht="15" hidden="false" customHeight="false" outlineLevel="0" collapsed="false">
      <c r="A10994" s="7" t="s">
        <v>29</v>
      </c>
      <c r="B10994" s="7" t="s">
        <v>335</v>
      </c>
      <c r="C10994" s="7" t="s">
        <v>1307</v>
      </c>
      <c r="D10994" s="7" t="n">
        <v>10</v>
      </c>
      <c r="E10994" s="7" t="n">
        <v>0.03</v>
      </c>
      <c r="F10994" s="7" t="n">
        <v>0</v>
      </c>
      <c r="G10994" s="7" t="n">
        <v>0</v>
      </c>
    </row>
    <row r="10995" customFormat="false" ht="15" hidden="false" customHeight="false" outlineLevel="0" collapsed="false">
      <c r="A10995" s="7" t="s">
        <v>29</v>
      </c>
      <c r="B10995" s="7" t="s">
        <v>335</v>
      </c>
      <c r="C10995" s="7" t="s">
        <v>1307</v>
      </c>
      <c r="D10995" s="7" t="n">
        <v>50</v>
      </c>
      <c r="E10995" s="7" t="n">
        <v>6997.2</v>
      </c>
      <c r="F10995" s="7" t="n">
        <v>0</v>
      </c>
      <c r="G10995" s="7" t="n">
        <v>0</v>
      </c>
    </row>
    <row r="10996" customFormat="false" ht="15" hidden="false" customHeight="false" outlineLevel="0" collapsed="false">
      <c r="A10996" s="7" t="s">
        <v>29</v>
      </c>
      <c r="B10996" s="7" t="s">
        <v>335</v>
      </c>
      <c r="C10996" s="7" t="s">
        <v>1307</v>
      </c>
      <c r="D10996" s="7" t="n">
        <v>0</v>
      </c>
      <c r="E10996" s="7" t="n">
        <v>0</v>
      </c>
      <c r="F10996" s="7" t="n">
        <v>50</v>
      </c>
      <c r="G10996" s="7" t="n">
        <v>6419.7</v>
      </c>
    </row>
    <row r="10997" customFormat="false" ht="15" hidden="false" customHeight="false" outlineLevel="0" collapsed="false">
      <c r="A10997" s="7" t="s">
        <v>29</v>
      </c>
      <c r="B10997" s="7" t="s">
        <v>350</v>
      </c>
      <c r="C10997" s="7" t="s">
        <v>1307</v>
      </c>
      <c r="D10997" s="7" t="n">
        <v>42</v>
      </c>
      <c r="E10997" s="7" t="n">
        <v>0.07</v>
      </c>
      <c r="F10997" s="7" t="n">
        <v>5</v>
      </c>
      <c r="G10997" s="7" t="n">
        <v>0.03</v>
      </c>
    </row>
    <row r="10998" customFormat="false" ht="15" hidden="false" customHeight="false" outlineLevel="0" collapsed="false">
      <c r="A10998" s="7" t="s">
        <v>29</v>
      </c>
      <c r="B10998" s="7" t="s">
        <v>350</v>
      </c>
      <c r="C10998" s="7" t="s">
        <v>1307</v>
      </c>
      <c r="D10998" s="7" t="n">
        <v>180</v>
      </c>
      <c r="E10998" s="7" t="n">
        <v>25446.96</v>
      </c>
      <c r="F10998" s="7" t="n">
        <v>0</v>
      </c>
      <c r="G10998" s="7" t="n">
        <v>0</v>
      </c>
    </row>
    <row r="10999" customFormat="false" ht="15" hidden="false" customHeight="false" outlineLevel="0" collapsed="false">
      <c r="A10999" s="7" t="s">
        <v>29</v>
      </c>
      <c r="B10999" s="7" t="s">
        <v>350</v>
      </c>
      <c r="C10999" s="7" t="s">
        <v>1307</v>
      </c>
      <c r="D10999" s="7" t="n">
        <v>30</v>
      </c>
      <c r="E10999" s="7" t="n">
        <v>4505.76</v>
      </c>
      <c r="F10999" s="7" t="n">
        <v>0</v>
      </c>
      <c r="G10999" s="7" t="n">
        <v>0</v>
      </c>
    </row>
    <row r="11000" customFormat="false" ht="15" hidden="false" customHeight="false" outlineLevel="0" collapsed="false">
      <c r="A11000" s="7" t="s">
        <v>29</v>
      </c>
      <c r="B11000" s="7" t="s">
        <v>350</v>
      </c>
      <c r="C11000" s="7" t="s">
        <v>1307</v>
      </c>
      <c r="D11000" s="7" t="n">
        <v>0</v>
      </c>
      <c r="E11000" s="7" t="n">
        <v>0</v>
      </c>
      <c r="F11000" s="7" t="n">
        <v>50</v>
      </c>
      <c r="G11000" s="7" t="n">
        <v>6419.7</v>
      </c>
    </row>
    <row r="11001" customFormat="false" ht="15" hidden="false" customHeight="false" outlineLevel="0" collapsed="false">
      <c r="A11001" s="7" t="s">
        <v>29</v>
      </c>
      <c r="B11001" s="7" t="s">
        <v>910</v>
      </c>
      <c r="C11001" s="7" t="s">
        <v>1307</v>
      </c>
      <c r="D11001" s="7" t="n">
        <v>50</v>
      </c>
      <c r="E11001" s="7" t="n">
        <v>7068.6</v>
      </c>
      <c r="F11001" s="7" t="n">
        <v>0</v>
      </c>
      <c r="G11001" s="7" t="n">
        <v>0</v>
      </c>
    </row>
    <row r="11002" customFormat="false" ht="15" hidden="false" customHeight="false" outlineLevel="0" collapsed="false">
      <c r="A11002" s="7" t="s">
        <v>29</v>
      </c>
      <c r="B11002" s="7" t="s">
        <v>910</v>
      </c>
      <c r="C11002" s="7" t="s">
        <v>1307</v>
      </c>
      <c r="D11002" s="7" t="n">
        <v>0</v>
      </c>
      <c r="E11002" s="7" t="n">
        <v>0</v>
      </c>
      <c r="F11002" s="7" t="n">
        <v>20</v>
      </c>
      <c r="G11002" s="7" t="n">
        <v>2508.24</v>
      </c>
    </row>
    <row r="11003" customFormat="false" ht="15" hidden="false" customHeight="false" outlineLevel="0" collapsed="false">
      <c r="A11003" s="7" t="s">
        <v>29</v>
      </c>
      <c r="B11003" s="7" t="s">
        <v>910</v>
      </c>
      <c r="C11003" s="7" t="s">
        <v>1307</v>
      </c>
      <c r="D11003" s="7" t="n">
        <v>6</v>
      </c>
      <c r="E11003" s="7" t="n">
        <v>0.03</v>
      </c>
      <c r="F11003" s="7" t="n">
        <v>0</v>
      </c>
      <c r="G11003" s="7" t="n">
        <v>0</v>
      </c>
    </row>
    <row r="11004" customFormat="false" ht="15" hidden="false" customHeight="false" outlineLevel="0" collapsed="false">
      <c r="A11004" s="7" t="s">
        <v>29</v>
      </c>
      <c r="B11004" s="7" t="s">
        <v>910</v>
      </c>
      <c r="C11004" s="7" t="s">
        <v>1307</v>
      </c>
      <c r="D11004" s="7" t="n">
        <v>10</v>
      </c>
      <c r="E11004" s="7" t="n">
        <v>0.03</v>
      </c>
      <c r="F11004" s="7" t="n">
        <v>0</v>
      </c>
      <c r="G11004" s="7" t="n">
        <v>0</v>
      </c>
    </row>
    <row r="11005" customFormat="false" ht="15" hidden="false" customHeight="false" outlineLevel="0" collapsed="false">
      <c r="A11005" s="7" t="s">
        <v>29</v>
      </c>
      <c r="B11005" s="7" t="s">
        <v>910</v>
      </c>
      <c r="C11005" s="7" t="s">
        <v>1307</v>
      </c>
      <c r="D11005" s="7" t="n">
        <v>0</v>
      </c>
      <c r="E11005" s="7" t="n">
        <v>0</v>
      </c>
      <c r="F11005" s="7" t="n">
        <v>2</v>
      </c>
      <c r="G11005" s="7" t="n">
        <v>0.06</v>
      </c>
    </row>
    <row r="11006" customFormat="false" ht="15" hidden="false" customHeight="false" outlineLevel="0" collapsed="false">
      <c r="A11006" s="7" t="s">
        <v>29</v>
      </c>
      <c r="B11006" s="7" t="s">
        <v>910</v>
      </c>
      <c r="C11006" s="7" t="s">
        <v>1307</v>
      </c>
      <c r="D11006" s="7" t="n">
        <v>30</v>
      </c>
      <c r="E11006" s="7" t="n">
        <v>4198.32</v>
      </c>
      <c r="F11006" s="7" t="n">
        <v>0</v>
      </c>
      <c r="G11006" s="7" t="n">
        <v>0</v>
      </c>
    </row>
    <row r="11007" customFormat="false" ht="15" hidden="false" customHeight="false" outlineLevel="0" collapsed="false">
      <c r="A11007" s="7" t="s">
        <v>29</v>
      </c>
      <c r="B11007" s="7" t="s">
        <v>241</v>
      </c>
      <c r="C11007" s="7" t="s">
        <v>1307</v>
      </c>
      <c r="D11007" s="7" t="n">
        <v>30</v>
      </c>
      <c r="E11007" s="7" t="n">
        <v>4198.32</v>
      </c>
      <c r="F11007" s="7" t="n">
        <v>0</v>
      </c>
      <c r="G11007" s="7" t="n">
        <v>0</v>
      </c>
    </row>
    <row r="11008" customFormat="false" ht="15" hidden="false" customHeight="false" outlineLevel="0" collapsed="false">
      <c r="A11008" s="7" t="s">
        <v>29</v>
      </c>
      <c r="B11008" s="7" t="s">
        <v>241</v>
      </c>
      <c r="C11008" s="7" t="s">
        <v>1307</v>
      </c>
      <c r="D11008" s="7" t="n">
        <v>80</v>
      </c>
      <c r="E11008" s="7" t="n">
        <v>12378.24</v>
      </c>
      <c r="F11008" s="7" t="n">
        <v>0</v>
      </c>
      <c r="G11008" s="7" t="n">
        <v>0</v>
      </c>
    </row>
    <row r="11009" customFormat="false" ht="15" hidden="false" customHeight="false" outlineLevel="0" collapsed="false">
      <c r="A11009" s="7" t="s">
        <v>29</v>
      </c>
      <c r="B11009" s="7" t="s">
        <v>241</v>
      </c>
      <c r="C11009" s="7" t="s">
        <v>1307</v>
      </c>
      <c r="D11009" s="7" t="n">
        <v>20</v>
      </c>
      <c r="E11009" s="7" t="n">
        <v>3003.84</v>
      </c>
      <c r="F11009" s="7" t="n">
        <v>0</v>
      </c>
      <c r="G11009" s="7" t="n">
        <v>0</v>
      </c>
    </row>
    <row r="11010" customFormat="false" ht="15" hidden="false" customHeight="false" outlineLevel="0" collapsed="false">
      <c r="A11010" s="7" t="s">
        <v>29</v>
      </c>
      <c r="B11010" s="7" t="s">
        <v>241</v>
      </c>
      <c r="C11010" s="7" t="s">
        <v>1307</v>
      </c>
      <c r="D11010" s="7" t="n">
        <v>6</v>
      </c>
      <c r="E11010" s="7" t="n">
        <v>0.03</v>
      </c>
      <c r="F11010" s="7" t="n">
        <v>0</v>
      </c>
      <c r="G11010" s="7" t="n">
        <v>0</v>
      </c>
    </row>
    <row r="11011" customFormat="false" ht="15" hidden="false" customHeight="false" outlineLevel="0" collapsed="false">
      <c r="A11011" s="7" t="s">
        <v>29</v>
      </c>
      <c r="B11011" s="7" t="s">
        <v>241</v>
      </c>
      <c r="C11011" s="7" t="s">
        <v>1307</v>
      </c>
      <c r="D11011" s="7" t="n">
        <v>20</v>
      </c>
      <c r="E11011" s="7" t="n">
        <v>0.08</v>
      </c>
      <c r="F11011" s="7" t="n">
        <v>6</v>
      </c>
      <c r="G11011" s="7" t="n">
        <v>0.03</v>
      </c>
    </row>
    <row r="11012" customFormat="false" ht="15" hidden="false" customHeight="false" outlineLevel="0" collapsed="false">
      <c r="A11012" s="7" t="s">
        <v>29</v>
      </c>
      <c r="B11012" s="7" t="s">
        <v>241</v>
      </c>
      <c r="C11012" s="7" t="s">
        <v>1307</v>
      </c>
      <c r="D11012" s="7" t="n">
        <v>0</v>
      </c>
      <c r="E11012" s="7" t="n">
        <v>0</v>
      </c>
      <c r="F11012" s="7" t="n">
        <v>60</v>
      </c>
      <c r="G11012" s="7" t="n">
        <v>7703.64</v>
      </c>
    </row>
    <row r="11013" customFormat="false" ht="15" hidden="false" customHeight="false" outlineLevel="0" collapsed="false">
      <c r="A11013" s="7" t="s">
        <v>29</v>
      </c>
      <c r="B11013" s="7" t="s">
        <v>920</v>
      </c>
      <c r="C11013" s="7" t="s">
        <v>1307</v>
      </c>
      <c r="D11013" s="7" t="n">
        <v>2</v>
      </c>
      <c r="E11013" s="7" t="n">
        <v>0.04</v>
      </c>
      <c r="F11013" s="7" t="n">
        <v>0</v>
      </c>
      <c r="G11013" s="7" t="n">
        <v>0</v>
      </c>
    </row>
    <row r="11014" customFormat="false" ht="15" hidden="false" customHeight="false" outlineLevel="0" collapsed="false">
      <c r="A11014" s="7" t="s">
        <v>29</v>
      </c>
      <c r="B11014" s="7" t="s">
        <v>920</v>
      </c>
      <c r="C11014" s="7" t="s">
        <v>1307</v>
      </c>
      <c r="D11014" s="7" t="n">
        <v>10</v>
      </c>
      <c r="E11014" s="7" t="n">
        <v>1547.28</v>
      </c>
      <c r="F11014" s="7" t="n">
        <v>0</v>
      </c>
      <c r="G11014" s="7" t="n">
        <v>0</v>
      </c>
    </row>
    <row r="11015" customFormat="false" ht="15" hidden="false" customHeight="false" outlineLevel="0" collapsed="false">
      <c r="A11015" s="7" t="s">
        <v>29</v>
      </c>
      <c r="B11015" s="7" t="s">
        <v>803</v>
      </c>
      <c r="C11015" s="7" t="s">
        <v>1307</v>
      </c>
      <c r="D11015" s="7" t="n">
        <v>20</v>
      </c>
      <c r="E11015" s="7" t="n">
        <v>3094.56</v>
      </c>
      <c r="F11015" s="7" t="n">
        <v>0</v>
      </c>
      <c r="G11015" s="7" t="n">
        <v>0</v>
      </c>
    </row>
    <row r="11016" customFormat="false" ht="15" hidden="false" customHeight="false" outlineLevel="0" collapsed="false">
      <c r="A11016" s="7" t="s">
        <v>29</v>
      </c>
      <c r="B11016" s="7" t="s">
        <v>803</v>
      </c>
      <c r="C11016" s="7" t="s">
        <v>1307</v>
      </c>
      <c r="D11016" s="7" t="n">
        <v>16</v>
      </c>
      <c r="E11016" s="7" t="n">
        <v>0.15</v>
      </c>
      <c r="F11016" s="7" t="n">
        <v>5</v>
      </c>
      <c r="G11016" s="7" t="n">
        <v>0.03</v>
      </c>
    </row>
    <row r="11017" customFormat="false" ht="15" hidden="false" customHeight="false" outlineLevel="0" collapsed="false">
      <c r="A11017" s="7" t="s">
        <v>29</v>
      </c>
      <c r="B11017" s="7" t="s">
        <v>803</v>
      </c>
      <c r="C11017" s="7" t="s">
        <v>1307</v>
      </c>
      <c r="D11017" s="7" t="n">
        <v>0</v>
      </c>
      <c r="E11017" s="7" t="n">
        <v>0</v>
      </c>
      <c r="F11017" s="7" t="n">
        <v>50</v>
      </c>
      <c r="G11017" s="7" t="n">
        <v>6419.7</v>
      </c>
    </row>
    <row r="11018" customFormat="false" ht="15" hidden="false" customHeight="false" outlineLevel="0" collapsed="false">
      <c r="A11018" s="7" t="s">
        <v>29</v>
      </c>
      <c r="B11018" s="7" t="s">
        <v>803</v>
      </c>
      <c r="C11018" s="7" t="s">
        <v>1307</v>
      </c>
      <c r="D11018" s="7" t="n">
        <v>20</v>
      </c>
      <c r="E11018" s="7" t="n">
        <v>2827.44</v>
      </c>
      <c r="F11018" s="7" t="n">
        <v>0</v>
      </c>
      <c r="G11018" s="7" t="n">
        <v>0</v>
      </c>
    </row>
    <row r="11019" customFormat="false" ht="15" hidden="false" customHeight="false" outlineLevel="0" collapsed="false">
      <c r="A11019" s="7" t="s">
        <v>29</v>
      </c>
      <c r="B11019" s="7" t="s">
        <v>803</v>
      </c>
      <c r="C11019" s="7" t="s">
        <v>1307</v>
      </c>
      <c r="D11019" s="7" t="n">
        <v>20</v>
      </c>
      <c r="E11019" s="7" t="n">
        <v>3024</v>
      </c>
      <c r="F11019" s="7" t="n">
        <v>0</v>
      </c>
      <c r="G11019" s="7" t="n">
        <v>0</v>
      </c>
    </row>
    <row r="11020" customFormat="false" ht="15" hidden="false" customHeight="false" outlineLevel="0" collapsed="false">
      <c r="A11020" s="7" t="s">
        <v>29</v>
      </c>
      <c r="B11020" s="7" t="s">
        <v>803</v>
      </c>
      <c r="C11020" s="7" t="s">
        <v>1307</v>
      </c>
      <c r="D11020" s="7" t="n">
        <v>20</v>
      </c>
      <c r="E11020" s="7" t="n">
        <v>3003.84</v>
      </c>
      <c r="F11020" s="7" t="n">
        <v>0</v>
      </c>
      <c r="G11020" s="7" t="n">
        <v>0</v>
      </c>
    </row>
    <row r="11021" customFormat="false" ht="15" hidden="false" customHeight="false" outlineLevel="0" collapsed="false">
      <c r="A11021" s="7" t="s">
        <v>29</v>
      </c>
      <c r="B11021" s="7" t="s">
        <v>803</v>
      </c>
      <c r="C11021" s="7" t="s">
        <v>1307</v>
      </c>
      <c r="D11021" s="7" t="n">
        <v>0</v>
      </c>
      <c r="E11021" s="7" t="n">
        <v>0</v>
      </c>
      <c r="F11021" s="7" t="n">
        <v>1</v>
      </c>
      <c r="G11021" s="7" t="n">
        <v>0.03</v>
      </c>
    </row>
    <row r="11022" customFormat="false" ht="15" hidden="false" customHeight="false" outlineLevel="0" collapsed="false">
      <c r="A11022" s="7" t="s">
        <v>29</v>
      </c>
      <c r="B11022" s="7" t="s">
        <v>803</v>
      </c>
      <c r="C11022" s="7" t="s">
        <v>1307</v>
      </c>
      <c r="D11022" s="7" t="n">
        <v>30</v>
      </c>
      <c r="E11022" s="7" t="n">
        <v>4198.32</v>
      </c>
      <c r="F11022" s="7" t="n">
        <v>0</v>
      </c>
      <c r="G11022" s="7" t="n">
        <v>0</v>
      </c>
    </row>
    <row r="11023" customFormat="false" ht="15" hidden="false" customHeight="false" outlineLevel="0" collapsed="false">
      <c r="A11023" s="7" t="s">
        <v>29</v>
      </c>
      <c r="B11023" s="7" t="s">
        <v>803</v>
      </c>
      <c r="C11023" s="7" t="s">
        <v>1307</v>
      </c>
      <c r="D11023" s="7" t="n">
        <v>6</v>
      </c>
      <c r="E11023" s="7" t="n">
        <v>0.03</v>
      </c>
      <c r="F11023" s="7" t="n">
        <v>0</v>
      </c>
      <c r="G11023" s="7" t="n">
        <v>0</v>
      </c>
    </row>
    <row r="11024" customFormat="false" ht="15" hidden="false" customHeight="false" outlineLevel="0" collapsed="false">
      <c r="A11024" s="7" t="s">
        <v>29</v>
      </c>
      <c r="B11024" s="7" t="s">
        <v>803</v>
      </c>
      <c r="C11024" s="7" t="s">
        <v>1307</v>
      </c>
      <c r="D11024" s="7" t="n">
        <v>0</v>
      </c>
      <c r="E11024" s="7" t="n">
        <v>0</v>
      </c>
      <c r="F11024" s="7" t="n">
        <v>10</v>
      </c>
      <c r="G11024" s="7" t="n">
        <v>1254.12</v>
      </c>
    </row>
    <row r="11025" customFormat="false" ht="15" hidden="false" customHeight="false" outlineLevel="0" collapsed="false">
      <c r="A11025" s="7" t="s">
        <v>29</v>
      </c>
      <c r="B11025" s="7" t="s">
        <v>922</v>
      </c>
      <c r="C11025" s="7" t="s">
        <v>1307</v>
      </c>
      <c r="D11025" s="7" t="n">
        <v>30</v>
      </c>
      <c r="E11025" s="7" t="n">
        <v>4111.38</v>
      </c>
      <c r="F11025" s="7" t="n">
        <v>0</v>
      </c>
      <c r="G11025" s="7" t="n">
        <v>0</v>
      </c>
    </row>
    <row r="11026" customFormat="false" ht="15" hidden="false" customHeight="false" outlineLevel="0" collapsed="false">
      <c r="A11026" s="7" t="s">
        <v>29</v>
      </c>
      <c r="B11026" s="7" t="s">
        <v>922</v>
      </c>
      <c r="C11026" s="7" t="s">
        <v>1307</v>
      </c>
      <c r="D11026" s="7" t="n">
        <v>0</v>
      </c>
      <c r="E11026" s="7" t="n">
        <v>0</v>
      </c>
      <c r="F11026" s="7" t="n">
        <v>20</v>
      </c>
      <c r="G11026" s="7" t="n">
        <v>2508.24</v>
      </c>
    </row>
    <row r="11027" customFormat="false" ht="15" hidden="false" customHeight="false" outlineLevel="0" collapsed="false">
      <c r="A11027" s="7" t="s">
        <v>29</v>
      </c>
      <c r="B11027" s="7" t="s">
        <v>922</v>
      </c>
      <c r="C11027" s="7" t="s">
        <v>1307</v>
      </c>
      <c r="D11027" s="7" t="n">
        <v>0</v>
      </c>
      <c r="E11027" s="7" t="n">
        <v>0</v>
      </c>
      <c r="F11027" s="7" t="n">
        <v>2</v>
      </c>
      <c r="G11027" s="7" t="n">
        <v>0.06</v>
      </c>
    </row>
    <row r="11028" customFormat="false" ht="15" hidden="false" customHeight="false" outlineLevel="0" collapsed="false">
      <c r="A11028" s="7" t="s">
        <v>29</v>
      </c>
      <c r="B11028" s="7" t="s">
        <v>922</v>
      </c>
      <c r="C11028" s="7" t="s">
        <v>1307</v>
      </c>
      <c r="D11028" s="7" t="n">
        <v>0</v>
      </c>
      <c r="E11028" s="7" t="n">
        <v>0</v>
      </c>
      <c r="F11028" s="7" t="n">
        <v>20</v>
      </c>
      <c r="G11028" s="7" t="n">
        <v>2596.44</v>
      </c>
    </row>
    <row r="11029" customFormat="false" ht="15" hidden="false" customHeight="false" outlineLevel="0" collapsed="false">
      <c r="A11029" s="7" t="s">
        <v>29</v>
      </c>
      <c r="B11029" s="7" t="s">
        <v>922</v>
      </c>
      <c r="C11029" s="7" t="s">
        <v>1307</v>
      </c>
      <c r="D11029" s="7" t="n">
        <v>6</v>
      </c>
      <c r="E11029" s="7" t="n">
        <v>0.03</v>
      </c>
      <c r="F11029" s="7" t="n">
        <v>4</v>
      </c>
      <c r="G11029" s="7" t="n">
        <v>0</v>
      </c>
    </row>
    <row r="11030" customFormat="false" ht="15" hidden="false" customHeight="false" outlineLevel="0" collapsed="false">
      <c r="A11030" s="7" t="s">
        <v>29</v>
      </c>
      <c r="B11030" s="7" t="s">
        <v>712</v>
      </c>
      <c r="C11030" s="7" t="s">
        <v>1309</v>
      </c>
      <c r="D11030" s="7" t="n">
        <v>1</v>
      </c>
      <c r="E11030" s="7" t="n">
        <v>0.04</v>
      </c>
      <c r="F11030" s="7" t="n">
        <v>0</v>
      </c>
      <c r="G11030" s="7" t="n">
        <v>0</v>
      </c>
    </row>
    <row r="11031" customFormat="false" ht="15" hidden="false" customHeight="false" outlineLevel="0" collapsed="false">
      <c r="A11031" s="7" t="s">
        <v>29</v>
      </c>
      <c r="B11031" s="7" t="s">
        <v>452</v>
      </c>
      <c r="C11031" s="7" t="s">
        <v>1309</v>
      </c>
      <c r="D11031" s="7" t="n">
        <v>5</v>
      </c>
      <c r="E11031" s="7" t="n">
        <v>239.59</v>
      </c>
      <c r="F11031" s="7" t="n">
        <v>0</v>
      </c>
      <c r="G11031" s="7" t="n">
        <v>0</v>
      </c>
    </row>
    <row r="11032" customFormat="false" ht="15" hidden="false" customHeight="false" outlineLevel="0" collapsed="false">
      <c r="A11032" s="7" t="s">
        <v>29</v>
      </c>
      <c r="B11032" s="7" t="s">
        <v>452</v>
      </c>
      <c r="C11032" s="7" t="s">
        <v>1309</v>
      </c>
      <c r="D11032" s="7" t="n">
        <v>1</v>
      </c>
      <c r="E11032" s="7" t="n">
        <v>0.04</v>
      </c>
      <c r="F11032" s="7" t="n">
        <v>0</v>
      </c>
      <c r="G11032" s="7" t="n">
        <v>0</v>
      </c>
    </row>
    <row r="11033" customFormat="false" ht="15" hidden="false" customHeight="false" outlineLevel="0" collapsed="false">
      <c r="A11033" s="7" t="s">
        <v>29</v>
      </c>
      <c r="B11033" s="7" t="s">
        <v>652</v>
      </c>
      <c r="C11033" s="7" t="s">
        <v>1309</v>
      </c>
      <c r="D11033" s="7" t="n">
        <v>5</v>
      </c>
      <c r="E11033" s="7" t="n">
        <v>239.59</v>
      </c>
      <c r="F11033" s="7" t="n">
        <v>0</v>
      </c>
      <c r="G11033" s="7" t="n">
        <v>0</v>
      </c>
    </row>
    <row r="11034" customFormat="false" ht="15" hidden="false" customHeight="false" outlineLevel="0" collapsed="false">
      <c r="A11034" s="7" t="s">
        <v>38</v>
      </c>
      <c r="B11034" s="7" t="s">
        <v>212</v>
      </c>
      <c r="C11034" s="7" t="s">
        <v>1035</v>
      </c>
      <c r="D11034" s="7" t="n">
        <v>0</v>
      </c>
      <c r="E11034" s="7" t="n">
        <v>0</v>
      </c>
      <c r="F11034" s="7" t="n">
        <v>10</v>
      </c>
      <c r="G11034" s="7" t="n">
        <v>439.07</v>
      </c>
    </row>
    <row r="11035" customFormat="false" ht="15" hidden="false" customHeight="false" outlineLevel="0" collapsed="false">
      <c r="A11035" s="7" t="s">
        <v>38</v>
      </c>
      <c r="B11035" s="7" t="s">
        <v>390</v>
      </c>
      <c r="C11035" s="7" t="s">
        <v>1035</v>
      </c>
      <c r="D11035" s="7" t="n">
        <v>0</v>
      </c>
      <c r="E11035" s="7" t="n">
        <v>0</v>
      </c>
      <c r="F11035" s="7" t="n">
        <v>3</v>
      </c>
      <c r="G11035" s="7" t="n">
        <v>131.72</v>
      </c>
    </row>
    <row r="11036" customFormat="false" ht="15" hidden="false" customHeight="false" outlineLevel="0" collapsed="false">
      <c r="A11036" s="7" t="s">
        <v>38</v>
      </c>
      <c r="B11036" s="7" t="s">
        <v>292</v>
      </c>
      <c r="C11036" s="7" t="s">
        <v>1035</v>
      </c>
      <c r="D11036" s="7" t="n">
        <v>0</v>
      </c>
      <c r="E11036" s="7" t="n">
        <v>0</v>
      </c>
      <c r="F11036" s="7" t="n">
        <v>3</v>
      </c>
      <c r="G11036" s="7" t="n">
        <v>131.72</v>
      </c>
    </row>
    <row r="11037" customFormat="false" ht="15" hidden="false" customHeight="false" outlineLevel="0" collapsed="false">
      <c r="A11037" s="7" t="s">
        <v>38</v>
      </c>
      <c r="B11037" s="7" t="s">
        <v>232</v>
      </c>
      <c r="C11037" s="7" t="s">
        <v>1035</v>
      </c>
      <c r="D11037" s="7" t="n">
        <v>0</v>
      </c>
      <c r="E11037" s="7" t="n">
        <v>0</v>
      </c>
      <c r="F11037" s="7" t="n">
        <v>6</v>
      </c>
      <c r="G11037" s="7" t="n">
        <v>263.44</v>
      </c>
    </row>
    <row r="11038" customFormat="false" ht="15" hidden="false" customHeight="false" outlineLevel="0" collapsed="false">
      <c r="A11038" s="7" t="s">
        <v>38</v>
      </c>
      <c r="B11038" s="7" t="s">
        <v>214</v>
      </c>
      <c r="C11038" s="7" t="s">
        <v>1035</v>
      </c>
      <c r="D11038" s="7" t="n">
        <v>0</v>
      </c>
      <c r="E11038" s="7" t="n">
        <v>0</v>
      </c>
      <c r="F11038" s="7" t="n">
        <v>10</v>
      </c>
      <c r="G11038" s="7" t="n">
        <v>439.07</v>
      </c>
    </row>
    <row r="11039" customFormat="false" ht="15" hidden="false" customHeight="false" outlineLevel="0" collapsed="false">
      <c r="A11039" s="7" t="s">
        <v>38</v>
      </c>
      <c r="B11039" s="7" t="s">
        <v>206</v>
      </c>
      <c r="C11039" s="7" t="s">
        <v>1136</v>
      </c>
      <c r="D11039" s="7" t="n">
        <v>0</v>
      </c>
      <c r="E11039" s="7" t="n">
        <v>0</v>
      </c>
      <c r="F11039" s="7" t="n">
        <v>4</v>
      </c>
      <c r="G11039" s="7" t="n">
        <v>441.73</v>
      </c>
    </row>
    <row r="11040" customFormat="false" ht="15" hidden="false" customHeight="false" outlineLevel="0" collapsed="false">
      <c r="A11040" s="7" t="s">
        <v>38</v>
      </c>
      <c r="B11040" s="7" t="s">
        <v>206</v>
      </c>
      <c r="C11040" s="7" t="s">
        <v>1136</v>
      </c>
      <c r="D11040" s="7" t="n">
        <v>3</v>
      </c>
      <c r="E11040" s="7" t="n">
        <v>395.81</v>
      </c>
      <c r="F11040" s="7" t="n">
        <v>0</v>
      </c>
      <c r="G11040" s="7" t="n">
        <v>0</v>
      </c>
    </row>
    <row r="11041" customFormat="false" ht="15" hidden="false" customHeight="false" outlineLevel="0" collapsed="false">
      <c r="A11041" s="7" t="s">
        <v>38</v>
      </c>
      <c r="B11041" s="7" t="s">
        <v>466</v>
      </c>
      <c r="C11041" s="7" t="s">
        <v>1136</v>
      </c>
      <c r="D11041" s="7" t="n">
        <v>3</v>
      </c>
      <c r="E11041" s="7" t="n">
        <v>395.81</v>
      </c>
      <c r="F11041" s="7" t="n">
        <v>0</v>
      </c>
      <c r="G11041" s="7" t="n">
        <v>0</v>
      </c>
    </row>
    <row r="11042" customFormat="false" ht="15" hidden="false" customHeight="false" outlineLevel="0" collapsed="false">
      <c r="A11042" s="7" t="s">
        <v>38</v>
      </c>
      <c r="B11042" s="7" t="s">
        <v>466</v>
      </c>
      <c r="C11042" s="7" t="s">
        <v>1136</v>
      </c>
      <c r="D11042" s="7" t="n">
        <v>0</v>
      </c>
      <c r="E11042" s="7" t="n">
        <v>0</v>
      </c>
      <c r="F11042" s="7" t="n">
        <v>2</v>
      </c>
      <c r="G11042" s="7" t="n">
        <v>220.87</v>
      </c>
    </row>
    <row r="11043" customFormat="false" ht="15" hidden="false" customHeight="false" outlineLevel="0" collapsed="false">
      <c r="A11043" s="7" t="s">
        <v>38</v>
      </c>
      <c r="B11043" s="7" t="s">
        <v>428</v>
      </c>
      <c r="C11043" s="7" t="s">
        <v>1136</v>
      </c>
      <c r="D11043" s="7" t="n">
        <v>2</v>
      </c>
      <c r="E11043" s="7" t="n">
        <v>263.87</v>
      </c>
      <c r="F11043" s="7" t="n">
        <v>0</v>
      </c>
      <c r="G11043" s="7" t="n">
        <v>0</v>
      </c>
    </row>
    <row r="11044" customFormat="false" ht="15" hidden="false" customHeight="false" outlineLevel="0" collapsed="false">
      <c r="A11044" s="7" t="s">
        <v>38</v>
      </c>
      <c r="B11044" s="7" t="s">
        <v>400</v>
      </c>
      <c r="C11044" s="7" t="s">
        <v>1136</v>
      </c>
      <c r="D11044" s="7" t="n">
        <v>0</v>
      </c>
      <c r="E11044" s="7" t="n">
        <v>0</v>
      </c>
      <c r="F11044" s="7" t="n">
        <v>6</v>
      </c>
      <c r="G11044" s="7" t="n">
        <v>662.6</v>
      </c>
    </row>
    <row r="11045" customFormat="false" ht="15" hidden="false" customHeight="false" outlineLevel="0" collapsed="false">
      <c r="A11045" s="7" t="s">
        <v>38</v>
      </c>
      <c r="B11045" s="7" t="s">
        <v>400</v>
      </c>
      <c r="C11045" s="7" t="s">
        <v>1136</v>
      </c>
      <c r="D11045" s="7" t="n">
        <v>6</v>
      </c>
      <c r="E11045" s="7" t="n">
        <v>751.76</v>
      </c>
      <c r="F11045" s="7" t="n">
        <v>0</v>
      </c>
      <c r="G11045" s="7" t="n">
        <v>0</v>
      </c>
    </row>
    <row r="11046" customFormat="false" ht="15" hidden="false" customHeight="false" outlineLevel="0" collapsed="false">
      <c r="A11046" s="7" t="s">
        <v>38</v>
      </c>
      <c r="B11046" s="7" t="s">
        <v>513</v>
      </c>
      <c r="C11046" s="7" t="s">
        <v>1136</v>
      </c>
      <c r="D11046" s="7" t="n">
        <v>0</v>
      </c>
      <c r="E11046" s="7" t="n">
        <v>0</v>
      </c>
      <c r="F11046" s="7" t="n">
        <v>6</v>
      </c>
      <c r="G11046" s="7" t="n">
        <v>662.6</v>
      </c>
    </row>
    <row r="11047" customFormat="false" ht="15" hidden="false" customHeight="false" outlineLevel="0" collapsed="false">
      <c r="A11047" s="7" t="s">
        <v>38</v>
      </c>
      <c r="B11047" s="7" t="s">
        <v>513</v>
      </c>
      <c r="C11047" s="7" t="s">
        <v>1136</v>
      </c>
      <c r="D11047" s="7" t="n">
        <v>3</v>
      </c>
      <c r="E11047" s="7" t="n">
        <v>375.88</v>
      </c>
      <c r="F11047" s="7" t="n">
        <v>0</v>
      </c>
      <c r="G11047" s="7" t="n">
        <v>0</v>
      </c>
    </row>
    <row r="11048" customFormat="false" ht="15" hidden="false" customHeight="false" outlineLevel="0" collapsed="false">
      <c r="A11048" s="7" t="s">
        <v>38</v>
      </c>
      <c r="B11048" s="7" t="s">
        <v>272</v>
      </c>
      <c r="C11048" s="7" t="s">
        <v>1191</v>
      </c>
      <c r="D11048" s="7" t="n">
        <v>6</v>
      </c>
      <c r="E11048" s="7" t="n">
        <v>467.34</v>
      </c>
      <c r="F11048" s="7" t="n">
        <v>0</v>
      </c>
      <c r="G11048" s="7" t="n">
        <v>0</v>
      </c>
    </row>
    <row r="11049" customFormat="false" ht="15" hidden="false" customHeight="false" outlineLevel="0" collapsed="false">
      <c r="A11049" s="7" t="s">
        <v>38</v>
      </c>
      <c r="B11049" s="7" t="s">
        <v>425</v>
      </c>
      <c r="C11049" s="7" t="s">
        <v>1191</v>
      </c>
      <c r="D11049" s="7" t="n">
        <v>0</v>
      </c>
      <c r="E11049" s="7" t="n">
        <v>0</v>
      </c>
      <c r="F11049" s="7" t="n">
        <v>2</v>
      </c>
      <c r="G11049" s="7" t="n">
        <v>130.39</v>
      </c>
    </row>
    <row r="11050" customFormat="false" ht="15" hidden="false" customHeight="false" outlineLevel="0" collapsed="false">
      <c r="A11050" s="7" t="s">
        <v>38</v>
      </c>
      <c r="B11050" s="7" t="s">
        <v>425</v>
      </c>
      <c r="C11050" s="7" t="s">
        <v>1191</v>
      </c>
      <c r="D11050" s="7" t="n">
        <v>2</v>
      </c>
      <c r="E11050" s="7" t="n">
        <v>155.78</v>
      </c>
      <c r="F11050" s="7" t="n">
        <v>0</v>
      </c>
      <c r="G11050" s="7" t="n">
        <v>0</v>
      </c>
    </row>
    <row r="11051" customFormat="false" ht="15" hidden="false" customHeight="false" outlineLevel="0" collapsed="false">
      <c r="A11051" s="7" t="s">
        <v>38</v>
      </c>
      <c r="B11051" s="7" t="s">
        <v>426</v>
      </c>
      <c r="C11051" s="7" t="s">
        <v>1191</v>
      </c>
      <c r="D11051" s="7" t="n">
        <v>0</v>
      </c>
      <c r="E11051" s="7" t="n">
        <v>0</v>
      </c>
      <c r="F11051" s="7" t="n">
        <v>4</v>
      </c>
      <c r="G11051" s="7" t="n">
        <v>260.78</v>
      </c>
    </row>
    <row r="11052" customFormat="false" ht="15" hidden="false" customHeight="false" outlineLevel="0" collapsed="false">
      <c r="A11052" s="7" t="s">
        <v>38</v>
      </c>
      <c r="B11052" s="7" t="s">
        <v>426</v>
      </c>
      <c r="C11052" s="7" t="s">
        <v>1191</v>
      </c>
      <c r="D11052" s="7" t="n">
        <v>6</v>
      </c>
      <c r="E11052" s="7" t="n">
        <v>467.34</v>
      </c>
      <c r="F11052" s="7" t="n">
        <v>0</v>
      </c>
      <c r="G11052" s="7" t="n">
        <v>0</v>
      </c>
    </row>
    <row r="11053" customFormat="false" ht="15" hidden="false" customHeight="false" outlineLevel="0" collapsed="false">
      <c r="A11053" s="7" t="s">
        <v>38</v>
      </c>
      <c r="B11053" s="7" t="s">
        <v>331</v>
      </c>
      <c r="C11053" s="7" t="s">
        <v>1191</v>
      </c>
      <c r="D11053" s="7" t="n">
        <v>0</v>
      </c>
      <c r="E11053" s="7" t="n">
        <v>0</v>
      </c>
      <c r="F11053" s="7" t="n">
        <v>4</v>
      </c>
      <c r="G11053" s="7" t="n">
        <v>260.78</v>
      </c>
    </row>
    <row r="11054" customFormat="false" ht="15" hidden="false" customHeight="false" outlineLevel="0" collapsed="false">
      <c r="A11054" s="7" t="s">
        <v>38</v>
      </c>
      <c r="B11054" s="7" t="s">
        <v>331</v>
      </c>
      <c r="C11054" s="7" t="s">
        <v>1191</v>
      </c>
      <c r="D11054" s="7" t="n">
        <v>2</v>
      </c>
      <c r="E11054" s="7" t="n">
        <v>155.78</v>
      </c>
      <c r="F11054" s="7" t="n">
        <v>0</v>
      </c>
      <c r="G11054" s="7" t="n">
        <v>0</v>
      </c>
    </row>
    <row r="11055" customFormat="false" ht="15" hidden="false" customHeight="false" outlineLevel="0" collapsed="false">
      <c r="A11055" s="7" t="s">
        <v>38</v>
      </c>
      <c r="B11055" s="7" t="s">
        <v>545</v>
      </c>
      <c r="C11055" s="7" t="s">
        <v>1082</v>
      </c>
      <c r="D11055" s="7" t="n">
        <v>3</v>
      </c>
      <c r="E11055" s="7" t="n">
        <v>140.39</v>
      </c>
      <c r="F11055" s="7" t="n">
        <v>0</v>
      </c>
      <c r="G11055" s="7" t="n">
        <v>0</v>
      </c>
    </row>
    <row r="11056" customFormat="false" ht="15" hidden="false" customHeight="false" outlineLevel="0" collapsed="false">
      <c r="A11056" s="7" t="s">
        <v>38</v>
      </c>
      <c r="B11056" s="7" t="s">
        <v>545</v>
      </c>
      <c r="C11056" s="7" t="s">
        <v>1082</v>
      </c>
      <c r="D11056" s="7" t="n">
        <v>2</v>
      </c>
      <c r="E11056" s="7" t="n">
        <v>98.56</v>
      </c>
      <c r="F11056" s="7" t="n">
        <v>0</v>
      </c>
      <c r="G11056" s="7" t="n">
        <v>0</v>
      </c>
    </row>
    <row r="11057" customFormat="false" ht="15" hidden="false" customHeight="false" outlineLevel="0" collapsed="false">
      <c r="A11057" s="7" t="s">
        <v>38</v>
      </c>
      <c r="B11057" s="7" t="s">
        <v>482</v>
      </c>
      <c r="C11057" s="7" t="s">
        <v>1082</v>
      </c>
      <c r="D11057" s="7" t="n">
        <v>0</v>
      </c>
      <c r="E11057" s="7" t="n">
        <v>0</v>
      </c>
      <c r="F11057" s="7" t="n">
        <v>2</v>
      </c>
      <c r="G11057" s="7" t="n">
        <v>82.49</v>
      </c>
    </row>
    <row r="11058" customFormat="false" ht="15" hidden="false" customHeight="false" outlineLevel="0" collapsed="false">
      <c r="A11058" s="7" t="s">
        <v>38</v>
      </c>
      <c r="B11058" s="7" t="s">
        <v>247</v>
      </c>
      <c r="C11058" s="7" t="s">
        <v>1082</v>
      </c>
      <c r="D11058" s="7" t="n">
        <v>0</v>
      </c>
      <c r="E11058" s="7" t="n">
        <v>0</v>
      </c>
      <c r="F11058" s="7" t="n">
        <v>4</v>
      </c>
      <c r="G11058" s="7" t="n">
        <v>164.98</v>
      </c>
    </row>
    <row r="11059" customFormat="false" ht="15" hidden="false" customHeight="false" outlineLevel="0" collapsed="false">
      <c r="A11059" s="7" t="s">
        <v>38</v>
      </c>
      <c r="B11059" s="7" t="s">
        <v>402</v>
      </c>
      <c r="C11059" s="7" t="s">
        <v>1040</v>
      </c>
      <c r="D11059" s="7" t="n">
        <v>0</v>
      </c>
      <c r="E11059" s="7" t="n">
        <v>0</v>
      </c>
      <c r="F11059" s="7" t="n">
        <v>6</v>
      </c>
      <c r="G11059" s="7" t="n">
        <v>324.31</v>
      </c>
    </row>
    <row r="11060" customFormat="false" ht="15" hidden="false" customHeight="false" outlineLevel="0" collapsed="false">
      <c r="A11060" s="7" t="s">
        <v>38</v>
      </c>
      <c r="B11060" s="7" t="s">
        <v>402</v>
      </c>
      <c r="C11060" s="7" t="s">
        <v>1040</v>
      </c>
      <c r="D11060" s="7" t="n">
        <v>6</v>
      </c>
      <c r="E11060" s="7" t="n">
        <v>367.96</v>
      </c>
      <c r="F11060" s="7" t="n">
        <v>0</v>
      </c>
      <c r="G11060" s="7" t="n">
        <v>0</v>
      </c>
    </row>
    <row r="11061" customFormat="false" ht="15" hidden="false" customHeight="false" outlineLevel="0" collapsed="false">
      <c r="A11061" s="7" t="s">
        <v>38</v>
      </c>
      <c r="B11061" s="7" t="s">
        <v>402</v>
      </c>
      <c r="C11061" s="7" t="s">
        <v>1040</v>
      </c>
      <c r="D11061" s="7" t="n">
        <v>4</v>
      </c>
      <c r="E11061" s="7" t="n">
        <v>258.31</v>
      </c>
      <c r="F11061" s="7" t="n">
        <v>0</v>
      </c>
      <c r="G11061" s="7" t="n">
        <v>0</v>
      </c>
    </row>
    <row r="11062" customFormat="false" ht="15" hidden="false" customHeight="false" outlineLevel="0" collapsed="false">
      <c r="A11062" s="7" t="s">
        <v>38</v>
      </c>
      <c r="B11062" s="7" t="s">
        <v>257</v>
      </c>
      <c r="C11062" s="7" t="s">
        <v>1040</v>
      </c>
      <c r="D11062" s="7" t="n">
        <v>0</v>
      </c>
      <c r="E11062" s="7" t="n">
        <v>0</v>
      </c>
      <c r="F11062" s="7" t="n">
        <v>3</v>
      </c>
      <c r="G11062" s="7" t="n">
        <v>162.16</v>
      </c>
    </row>
    <row r="11063" customFormat="false" ht="15" hidden="false" customHeight="false" outlineLevel="0" collapsed="false">
      <c r="A11063" s="7" t="s">
        <v>38</v>
      </c>
      <c r="B11063" s="7" t="s">
        <v>257</v>
      </c>
      <c r="C11063" s="7" t="s">
        <v>1040</v>
      </c>
      <c r="D11063" s="7" t="n">
        <v>2</v>
      </c>
      <c r="E11063" s="7" t="n">
        <v>122.65</v>
      </c>
      <c r="F11063" s="7" t="n">
        <v>0</v>
      </c>
      <c r="G11063" s="7" t="n">
        <v>0</v>
      </c>
    </row>
    <row r="11064" customFormat="false" ht="15" hidden="false" customHeight="false" outlineLevel="0" collapsed="false">
      <c r="A11064" s="7" t="s">
        <v>38</v>
      </c>
      <c r="B11064" s="7" t="s">
        <v>309</v>
      </c>
      <c r="C11064" s="7" t="s">
        <v>1040</v>
      </c>
      <c r="D11064" s="7" t="n">
        <v>8</v>
      </c>
      <c r="E11064" s="7" t="n">
        <v>516.62</v>
      </c>
      <c r="F11064" s="7" t="n">
        <v>0</v>
      </c>
      <c r="G11064" s="7" t="n">
        <v>0</v>
      </c>
    </row>
    <row r="11065" customFormat="false" ht="15" hidden="false" customHeight="false" outlineLevel="0" collapsed="false">
      <c r="A11065" s="7" t="s">
        <v>38</v>
      </c>
      <c r="B11065" s="7" t="s">
        <v>309</v>
      </c>
      <c r="C11065" s="7" t="s">
        <v>1040</v>
      </c>
      <c r="D11065" s="7" t="n">
        <v>0</v>
      </c>
      <c r="E11065" s="7" t="n">
        <v>0</v>
      </c>
      <c r="F11065" s="7" t="n">
        <v>6</v>
      </c>
      <c r="G11065" s="7" t="n">
        <v>324.31</v>
      </c>
    </row>
    <row r="11066" customFormat="false" ht="15" hidden="false" customHeight="false" outlineLevel="0" collapsed="false">
      <c r="A11066" s="7" t="s">
        <v>38</v>
      </c>
      <c r="B11066" s="7" t="s">
        <v>309</v>
      </c>
      <c r="C11066" s="7" t="s">
        <v>1040</v>
      </c>
      <c r="D11066" s="7" t="n">
        <v>2</v>
      </c>
      <c r="E11066" s="7" t="n">
        <v>122.65</v>
      </c>
      <c r="F11066" s="7" t="n">
        <v>0</v>
      </c>
      <c r="G11066" s="7" t="n">
        <v>0</v>
      </c>
    </row>
    <row r="11067" customFormat="false" ht="15" hidden="false" customHeight="false" outlineLevel="0" collapsed="false">
      <c r="A11067" s="7" t="s">
        <v>38</v>
      </c>
      <c r="B11067" s="7" t="s">
        <v>236</v>
      </c>
      <c r="C11067" s="7" t="s">
        <v>1040</v>
      </c>
      <c r="D11067" s="7" t="n">
        <v>0</v>
      </c>
      <c r="E11067" s="7" t="n">
        <v>0</v>
      </c>
      <c r="F11067" s="7" t="n">
        <v>4</v>
      </c>
      <c r="G11067" s="7" t="n">
        <v>216.21</v>
      </c>
    </row>
    <row r="11068" customFormat="false" ht="15" hidden="false" customHeight="false" outlineLevel="0" collapsed="false">
      <c r="A11068" s="7" t="s">
        <v>38</v>
      </c>
      <c r="B11068" s="7" t="s">
        <v>236</v>
      </c>
      <c r="C11068" s="7" t="s">
        <v>1040</v>
      </c>
      <c r="D11068" s="7" t="n">
        <v>8</v>
      </c>
      <c r="E11068" s="7" t="n">
        <v>516.62</v>
      </c>
      <c r="F11068" s="7" t="n">
        <v>0</v>
      </c>
      <c r="G11068" s="7" t="n">
        <v>0</v>
      </c>
    </row>
    <row r="11069" customFormat="false" ht="15" hidden="false" customHeight="false" outlineLevel="0" collapsed="false">
      <c r="A11069" s="7" t="s">
        <v>38</v>
      </c>
      <c r="B11069" s="7" t="s">
        <v>750</v>
      </c>
      <c r="C11069" s="7" t="s">
        <v>1196</v>
      </c>
      <c r="D11069" s="7" t="n">
        <v>0</v>
      </c>
      <c r="E11069" s="7" t="n">
        <v>0</v>
      </c>
      <c r="F11069" s="7" t="n">
        <v>3</v>
      </c>
      <c r="G11069" s="7" t="n">
        <v>136.21</v>
      </c>
    </row>
    <row r="11070" customFormat="false" ht="15" hidden="false" customHeight="false" outlineLevel="0" collapsed="false">
      <c r="A11070" s="7" t="s">
        <v>38</v>
      </c>
      <c r="B11070" s="7" t="s">
        <v>430</v>
      </c>
      <c r="C11070" s="7" t="s">
        <v>1196</v>
      </c>
      <c r="D11070" s="7" t="n">
        <v>0</v>
      </c>
      <c r="E11070" s="7" t="n">
        <v>0</v>
      </c>
      <c r="F11070" s="7" t="n">
        <v>2</v>
      </c>
      <c r="G11070" s="7" t="n">
        <v>90.81</v>
      </c>
    </row>
    <row r="11071" customFormat="false" ht="15" hidden="false" customHeight="false" outlineLevel="0" collapsed="false">
      <c r="A11071" s="7" t="s">
        <v>38</v>
      </c>
      <c r="B11071" s="7" t="s">
        <v>794</v>
      </c>
      <c r="C11071" s="7" t="s">
        <v>1138</v>
      </c>
      <c r="D11071" s="7" t="n">
        <v>2</v>
      </c>
      <c r="E11071" s="7" t="n">
        <v>102.13</v>
      </c>
      <c r="F11071" s="7" t="n">
        <v>0</v>
      </c>
      <c r="G11071" s="7" t="n">
        <v>0</v>
      </c>
    </row>
    <row r="11072" customFormat="false" ht="15" hidden="false" customHeight="false" outlineLevel="0" collapsed="false">
      <c r="A11072" s="7" t="s">
        <v>38</v>
      </c>
      <c r="B11072" s="7" t="s">
        <v>794</v>
      </c>
      <c r="C11072" s="7" t="s">
        <v>1138</v>
      </c>
      <c r="D11072" s="7" t="n">
        <v>0</v>
      </c>
      <c r="E11072" s="7" t="n">
        <v>0</v>
      </c>
      <c r="F11072" s="7" t="n">
        <v>4</v>
      </c>
      <c r="G11072" s="7" t="n">
        <v>170.97</v>
      </c>
    </row>
    <row r="11073" customFormat="false" ht="15" hidden="false" customHeight="false" outlineLevel="0" collapsed="false">
      <c r="A11073" s="7" t="s">
        <v>38</v>
      </c>
      <c r="B11073" s="7" t="s">
        <v>323</v>
      </c>
      <c r="C11073" s="7" t="s">
        <v>1138</v>
      </c>
      <c r="D11073" s="7" t="n">
        <v>0</v>
      </c>
      <c r="E11073" s="7" t="n">
        <v>0</v>
      </c>
      <c r="F11073" s="7" t="n">
        <v>4</v>
      </c>
      <c r="G11073" s="7" t="n">
        <v>170.97</v>
      </c>
    </row>
    <row r="11074" customFormat="false" ht="15" hidden="false" customHeight="false" outlineLevel="0" collapsed="false">
      <c r="A11074" s="7" t="s">
        <v>38</v>
      </c>
      <c r="B11074" s="7" t="s">
        <v>220</v>
      </c>
      <c r="C11074" s="7" t="s">
        <v>1138</v>
      </c>
      <c r="D11074" s="7" t="n">
        <v>3</v>
      </c>
      <c r="E11074" s="7" t="n">
        <v>145.48</v>
      </c>
      <c r="F11074" s="7" t="n">
        <v>0</v>
      </c>
      <c r="G11074" s="7" t="n">
        <v>0</v>
      </c>
    </row>
    <row r="11075" customFormat="false" ht="15" hidden="false" customHeight="false" outlineLevel="0" collapsed="false">
      <c r="A11075" s="7" t="s">
        <v>38</v>
      </c>
      <c r="B11075" s="7" t="s">
        <v>220</v>
      </c>
      <c r="C11075" s="7" t="s">
        <v>1138</v>
      </c>
      <c r="D11075" s="7" t="n">
        <v>0</v>
      </c>
      <c r="E11075" s="7" t="n">
        <v>0</v>
      </c>
      <c r="F11075" s="7" t="n">
        <v>4</v>
      </c>
      <c r="G11075" s="7" t="n">
        <v>170.97</v>
      </c>
    </row>
    <row r="11076" customFormat="false" ht="15" hidden="false" customHeight="false" outlineLevel="0" collapsed="false">
      <c r="A11076" s="7" t="s">
        <v>38</v>
      </c>
      <c r="B11076" s="7" t="s">
        <v>220</v>
      </c>
      <c r="C11076" s="7" t="s">
        <v>1138</v>
      </c>
      <c r="D11076" s="7" t="n">
        <v>2</v>
      </c>
      <c r="E11076" s="7" t="n">
        <v>102.13</v>
      </c>
      <c r="F11076" s="7" t="n">
        <v>0</v>
      </c>
      <c r="G11076" s="7" t="n">
        <v>0</v>
      </c>
    </row>
    <row r="11077" customFormat="false" ht="15" hidden="false" customHeight="false" outlineLevel="0" collapsed="false">
      <c r="A11077" s="7" t="s">
        <v>38</v>
      </c>
      <c r="B11077" s="7" t="s">
        <v>683</v>
      </c>
      <c r="C11077" s="7" t="s">
        <v>1201</v>
      </c>
      <c r="D11077" s="7" t="n">
        <v>0</v>
      </c>
      <c r="E11077" s="7" t="n">
        <v>0</v>
      </c>
      <c r="F11077" s="7" t="n">
        <v>15</v>
      </c>
      <c r="G11077" s="7" t="n">
        <v>194.59</v>
      </c>
    </row>
    <row r="11078" customFormat="false" ht="15" hidden="false" customHeight="false" outlineLevel="0" collapsed="false">
      <c r="A11078" s="7" t="s">
        <v>38</v>
      </c>
      <c r="B11078" s="7" t="s">
        <v>683</v>
      </c>
      <c r="C11078" s="7" t="s">
        <v>1201</v>
      </c>
      <c r="D11078" s="7" t="n">
        <v>10</v>
      </c>
      <c r="E11078" s="7" t="n">
        <v>147.18</v>
      </c>
      <c r="F11078" s="7" t="n">
        <v>0</v>
      </c>
      <c r="G11078" s="7" t="n">
        <v>0</v>
      </c>
    </row>
    <row r="11079" customFormat="false" ht="15" hidden="false" customHeight="false" outlineLevel="0" collapsed="false">
      <c r="A11079" s="7" t="s">
        <v>38</v>
      </c>
      <c r="B11079" s="7" t="s">
        <v>683</v>
      </c>
      <c r="C11079" s="7" t="s">
        <v>1201</v>
      </c>
      <c r="D11079" s="7" t="n">
        <v>10</v>
      </c>
      <c r="E11079" s="7" t="n">
        <v>154.99</v>
      </c>
      <c r="F11079" s="7" t="n">
        <v>0</v>
      </c>
      <c r="G11079" s="7" t="n">
        <v>0</v>
      </c>
    </row>
    <row r="11080" customFormat="false" ht="15" hidden="false" customHeight="false" outlineLevel="0" collapsed="false">
      <c r="A11080" s="7" t="s">
        <v>38</v>
      </c>
      <c r="B11080" s="7" t="s">
        <v>405</v>
      </c>
      <c r="C11080" s="7" t="s">
        <v>1141</v>
      </c>
      <c r="D11080" s="7" t="n">
        <v>8</v>
      </c>
      <c r="E11080" s="7" t="n">
        <v>76.3</v>
      </c>
      <c r="F11080" s="7" t="n">
        <v>0</v>
      </c>
      <c r="G11080" s="7" t="n">
        <v>0</v>
      </c>
    </row>
    <row r="11081" customFormat="false" ht="15" hidden="false" customHeight="false" outlineLevel="0" collapsed="false">
      <c r="A11081" s="7" t="s">
        <v>38</v>
      </c>
      <c r="B11081" s="7" t="s">
        <v>405</v>
      </c>
      <c r="C11081" s="7" t="s">
        <v>1141</v>
      </c>
      <c r="D11081" s="7" t="n">
        <v>0</v>
      </c>
      <c r="E11081" s="7" t="n">
        <v>0</v>
      </c>
      <c r="F11081" s="7" t="n">
        <v>5</v>
      </c>
      <c r="G11081" s="7" t="n">
        <v>39.92</v>
      </c>
    </row>
    <row r="11082" customFormat="false" ht="15" hidden="false" customHeight="false" outlineLevel="0" collapsed="false">
      <c r="A11082" s="7" t="s">
        <v>38</v>
      </c>
      <c r="B11082" s="7" t="s">
        <v>696</v>
      </c>
      <c r="C11082" s="7" t="s">
        <v>1141</v>
      </c>
      <c r="D11082" s="7" t="n">
        <v>5</v>
      </c>
      <c r="E11082" s="7" t="n">
        <v>45.29</v>
      </c>
      <c r="F11082" s="7" t="n">
        <v>0</v>
      </c>
      <c r="G11082" s="7" t="n">
        <v>0</v>
      </c>
    </row>
    <row r="11083" customFormat="false" ht="15" hidden="false" customHeight="false" outlineLevel="0" collapsed="false">
      <c r="A11083" s="7" t="s">
        <v>38</v>
      </c>
      <c r="B11083" s="7" t="s">
        <v>696</v>
      </c>
      <c r="C11083" s="7" t="s">
        <v>1141</v>
      </c>
      <c r="D11083" s="7" t="n">
        <v>0</v>
      </c>
      <c r="E11083" s="7" t="n">
        <v>0</v>
      </c>
      <c r="F11083" s="7" t="n">
        <v>5</v>
      </c>
      <c r="G11083" s="7" t="n">
        <v>39.92</v>
      </c>
    </row>
    <row r="11084" customFormat="false" ht="15" hidden="false" customHeight="false" outlineLevel="0" collapsed="false">
      <c r="A11084" s="7" t="s">
        <v>38</v>
      </c>
      <c r="B11084" s="7" t="s">
        <v>696</v>
      </c>
      <c r="C11084" s="7" t="s">
        <v>1141</v>
      </c>
      <c r="D11084" s="7" t="n">
        <v>10</v>
      </c>
      <c r="E11084" s="7" t="n">
        <v>95.38</v>
      </c>
      <c r="F11084" s="7" t="n">
        <v>0</v>
      </c>
      <c r="G11084" s="7" t="n">
        <v>0</v>
      </c>
    </row>
    <row r="11085" customFormat="false" ht="15" hidden="false" customHeight="false" outlineLevel="0" collapsed="false">
      <c r="A11085" s="7" t="s">
        <v>38</v>
      </c>
      <c r="B11085" s="7" t="s">
        <v>700</v>
      </c>
      <c r="C11085" s="7" t="s">
        <v>1141</v>
      </c>
      <c r="D11085" s="7" t="n">
        <v>15</v>
      </c>
      <c r="E11085" s="7" t="n">
        <v>135.86</v>
      </c>
      <c r="F11085" s="7" t="n">
        <v>0</v>
      </c>
      <c r="G11085" s="7" t="n">
        <v>0</v>
      </c>
    </row>
    <row r="11086" customFormat="false" ht="15" hidden="false" customHeight="false" outlineLevel="0" collapsed="false">
      <c r="A11086" s="7" t="s">
        <v>38</v>
      </c>
      <c r="B11086" s="7" t="s">
        <v>700</v>
      </c>
      <c r="C11086" s="7" t="s">
        <v>1141</v>
      </c>
      <c r="D11086" s="7" t="n">
        <v>0</v>
      </c>
      <c r="E11086" s="7" t="n">
        <v>0</v>
      </c>
      <c r="F11086" s="7" t="n">
        <v>10</v>
      </c>
      <c r="G11086" s="7" t="n">
        <v>79.83</v>
      </c>
    </row>
    <row r="11087" customFormat="false" ht="15" hidden="false" customHeight="false" outlineLevel="0" collapsed="false">
      <c r="A11087" s="7" t="s">
        <v>38</v>
      </c>
      <c r="B11087" s="7" t="s">
        <v>700</v>
      </c>
      <c r="C11087" s="7" t="s">
        <v>1141</v>
      </c>
      <c r="D11087" s="7" t="n">
        <v>8</v>
      </c>
      <c r="E11087" s="7" t="n">
        <v>76.3</v>
      </c>
      <c r="F11087" s="7" t="n">
        <v>0</v>
      </c>
      <c r="G11087" s="7" t="n">
        <v>0</v>
      </c>
    </row>
    <row r="11088" customFormat="false" ht="15" hidden="false" customHeight="false" outlineLevel="0" collapsed="false">
      <c r="A11088" s="7" t="s">
        <v>38</v>
      </c>
      <c r="B11088" s="7" t="s">
        <v>316</v>
      </c>
      <c r="C11088" s="7" t="s">
        <v>1047</v>
      </c>
      <c r="D11088" s="7" t="n">
        <v>0</v>
      </c>
      <c r="E11088" s="7" t="n">
        <v>0</v>
      </c>
      <c r="F11088" s="7" t="n">
        <v>2</v>
      </c>
      <c r="G11088" s="7" t="n">
        <v>81.83</v>
      </c>
    </row>
    <row r="11089" customFormat="false" ht="15" hidden="false" customHeight="false" outlineLevel="0" collapsed="false">
      <c r="A11089" s="7" t="s">
        <v>38</v>
      </c>
      <c r="B11089" s="7" t="s">
        <v>202</v>
      </c>
      <c r="C11089" s="7" t="s">
        <v>1047</v>
      </c>
      <c r="D11089" s="7" t="n">
        <v>0</v>
      </c>
      <c r="E11089" s="7" t="n">
        <v>0</v>
      </c>
      <c r="F11089" s="7" t="n">
        <v>4</v>
      </c>
      <c r="G11089" s="7" t="n">
        <v>163.65</v>
      </c>
    </row>
    <row r="11090" customFormat="false" ht="15" hidden="false" customHeight="false" outlineLevel="0" collapsed="false">
      <c r="A11090" s="7" t="s">
        <v>38</v>
      </c>
      <c r="B11090" s="7" t="s">
        <v>202</v>
      </c>
      <c r="C11090" s="7" t="s">
        <v>1047</v>
      </c>
      <c r="D11090" s="7" t="n">
        <v>4</v>
      </c>
      <c r="E11090" s="7" t="n">
        <v>185.68</v>
      </c>
      <c r="F11090" s="7" t="n">
        <v>0</v>
      </c>
      <c r="G11090" s="7" t="n">
        <v>0</v>
      </c>
    </row>
    <row r="11091" customFormat="false" ht="15" hidden="false" customHeight="false" outlineLevel="0" collapsed="false">
      <c r="A11091" s="7" t="s">
        <v>38</v>
      </c>
      <c r="B11091" s="7" t="s">
        <v>353</v>
      </c>
      <c r="C11091" s="7" t="s">
        <v>1047</v>
      </c>
      <c r="D11091" s="7" t="n">
        <v>2</v>
      </c>
      <c r="E11091" s="7" t="n">
        <v>92.84</v>
      </c>
      <c r="F11091" s="7" t="n">
        <v>0</v>
      </c>
      <c r="G11091" s="7" t="n">
        <v>0</v>
      </c>
    </row>
    <row r="11092" customFormat="false" ht="15" hidden="false" customHeight="false" outlineLevel="0" collapsed="false">
      <c r="A11092" s="7" t="s">
        <v>38</v>
      </c>
      <c r="B11092" s="7" t="s">
        <v>143</v>
      </c>
      <c r="C11092" s="7" t="s">
        <v>1047</v>
      </c>
      <c r="D11092" s="7" t="n">
        <v>30</v>
      </c>
      <c r="E11092" s="7" t="n">
        <v>751.09</v>
      </c>
      <c r="F11092" s="7" t="n">
        <v>0</v>
      </c>
      <c r="G11092" s="7" t="n">
        <v>0</v>
      </c>
    </row>
    <row r="11093" customFormat="false" ht="15" hidden="false" customHeight="false" outlineLevel="0" collapsed="false">
      <c r="A11093" s="7" t="s">
        <v>38</v>
      </c>
      <c r="B11093" s="7" t="s">
        <v>143</v>
      </c>
      <c r="C11093" s="7" t="s">
        <v>1047</v>
      </c>
      <c r="D11093" s="7" t="n">
        <v>0</v>
      </c>
      <c r="E11093" s="7" t="n">
        <v>0</v>
      </c>
      <c r="F11093" s="7" t="n">
        <v>10</v>
      </c>
      <c r="G11093" s="7" t="n">
        <v>209.56</v>
      </c>
    </row>
    <row r="11094" customFormat="false" ht="15" hidden="false" customHeight="false" outlineLevel="0" collapsed="false">
      <c r="A11094" s="7" t="s">
        <v>38</v>
      </c>
      <c r="B11094" s="7" t="s">
        <v>161</v>
      </c>
      <c r="C11094" s="7" t="s">
        <v>1048</v>
      </c>
      <c r="D11094" s="7" t="n">
        <v>0</v>
      </c>
      <c r="E11094" s="7" t="n">
        <v>0</v>
      </c>
      <c r="F11094" s="7" t="n">
        <v>10</v>
      </c>
      <c r="G11094" s="7" t="n">
        <v>324.31</v>
      </c>
    </row>
    <row r="11095" customFormat="false" ht="15" hidden="false" customHeight="false" outlineLevel="0" collapsed="false">
      <c r="A11095" s="7" t="s">
        <v>38</v>
      </c>
      <c r="B11095" s="7" t="s">
        <v>161</v>
      </c>
      <c r="C11095" s="7" t="s">
        <v>1048</v>
      </c>
      <c r="D11095" s="7" t="n">
        <v>10</v>
      </c>
      <c r="E11095" s="7" t="n">
        <v>367.96</v>
      </c>
      <c r="F11095" s="7" t="n">
        <v>0</v>
      </c>
      <c r="G11095" s="7" t="n">
        <v>0</v>
      </c>
    </row>
    <row r="11096" customFormat="false" ht="15" hidden="false" customHeight="false" outlineLevel="0" collapsed="false">
      <c r="A11096" s="7" t="s">
        <v>38</v>
      </c>
      <c r="B11096" s="7" t="s">
        <v>614</v>
      </c>
      <c r="C11096" s="7" t="s">
        <v>1142</v>
      </c>
      <c r="D11096" s="7" t="n">
        <v>0</v>
      </c>
      <c r="E11096" s="7" t="n">
        <v>0</v>
      </c>
      <c r="F11096" s="7" t="n">
        <v>4</v>
      </c>
      <c r="G11096" s="7" t="n">
        <v>137.04</v>
      </c>
    </row>
    <row r="11097" customFormat="false" ht="15" hidden="false" customHeight="false" outlineLevel="0" collapsed="false">
      <c r="A11097" s="7" t="s">
        <v>38</v>
      </c>
      <c r="B11097" s="7" t="s">
        <v>614</v>
      </c>
      <c r="C11097" s="7" t="s">
        <v>1142</v>
      </c>
      <c r="D11097" s="7" t="n">
        <v>4</v>
      </c>
      <c r="E11097" s="7" t="n">
        <v>163.73</v>
      </c>
      <c r="F11097" s="7" t="n">
        <v>0</v>
      </c>
      <c r="G11097" s="7" t="n">
        <v>0</v>
      </c>
    </row>
    <row r="11098" customFormat="false" ht="15" hidden="false" customHeight="false" outlineLevel="0" collapsed="false">
      <c r="A11098" s="7" t="s">
        <v>38</v>
      </c>
      <c r="B11098" s="7" t="s">
        <v>614</v>
      </c>
      <c r="C11098" s="7" t="s">
        <v>1142</v>
      </c>
      <c r="D11098" s="7" t="n">
        <v>6</v>
      </c>
      <c r="E11098" s="7" t="n">
        <v>233.23</v>
      </c>
      <c r="F11098" s="7" t="n">
        <v>0</v>
      </c>
      <c r="G11098" s="7" t="n">
        <v>0</v>
      </c>
    </row>
    <row r="11099" customFormat="false" ht="15" hidden="false" customHeight="false" outlineLevel="0" collapsed="false">
      <c r="A11099" s="7" t="s">
        <v>38</v>
      </c>
      <c r="B11099" s="7" t="s">
        <v>429</v>
      </c>
      <c r="C11099" s="7" t="s">
        <v>1142</v>
      </c>
      <c r="D11099" s="7" t="n">
        <v>2</v>
      </c>
      <c r="E11099" s="7" t="n">
        <v>77.74</v>
      </c>
      <c r="F11099" s="7" t="n">
        <v>0</v>
      </c>
      <c r="G11099" s="7" t="n">
        <v>0</v>
      </c>
    </row>
    <row r="11100" customFormat="false" ht="15" hidden="false" customHeight="false" outlineLevel="0" collapsed="false">
      <c r="A11100" s="7" t="s">
        <v>38</v>
      </c>
      <c r="B11100" s="7" t="s">
        <v>429</v>
      </c>
      <c r="C11100" s="7" t="s">
        <v>1142</v>
      </c>
      <c r="D11100" s="7" t="n">
        <v>0</v>
      </c>
      <c r="E11100" s="7" t="n">
        <v>0</v>
      </c>
      <c r="F11100" s="7" t="n">
        <v>2</v>
      </c>
      <c r="G11100" s="7" t="n">
        <v>68.52</v>
      </c>
    </row>
    <row r="11101" customFormat="false" ht="15" hidden="false" customHeight="false" outlineLevel="0" collapsed="false">
      <c r="A11101" s="7" t="s">
        <v>38</v>
      </c>
      <c r="B11101" s="7" t="s">
        <v>615</v>
      </c>
      <c r="C11101" s="7" t="s">
        <v>1212</v>
      </c>
      <c r="D11101" s="7" t="n">
        <v>15</v>
      </c>
      <c r="E11101" s="7" t="n">
        <v>503.7</v>
      </c>
      <c r="F11101" s="7" t="n">
        <v>0</v>
      </c>
      <c r="G11101" s="7" t="n">
        <v>0</v>
      </c>
    </row>
    <row r="11102" customFormat="false" ht="15" hidden="false" customHeight="false" outlineLevel="0" collapsed="false">
      <c r="A11102" s="7" t="s">
        <v>38</v>
      </c>
      <c r="B11102" s="7" t="s">
        <v>450</v>
      </c>
      <c r="C11102" s="7" t="s">
        <v>1212</v>
      </c>
      <c r="D11102" s="7" t="n">
        <v>15</v>
      </c>
      <c r="E11102" s="7" t="n">
        <v>503.7</v>
      </c>
      <c r="F11102" s="7" t="n">
        <v>0</v>
      </c>
      <c r="G11102" s="7" t="n">
        <v>0</v>
      </c>
    </row>
    <row r="11103" customFormat="false" ht="15" hidden="false" customHeight="false" outlineLevel="0" collapsed="false">
      <c r="A11103" s="7" t="s">
        <v>38</v>
      </c>
      <c r="B11103" s="7" t="s">
        <v>944</v>
      </c>
      <c r="C11103" s="7" t="s">
        <v>1212</v>
      </c>
      <c r="D11103" s="7" t="n">
        <v>0</v>
      </c>
      <c r="E11103" s="7" t="n">
        <v>0</v>
      </c>
      <c r="F11103" s="7" t="n">
        <v>4</v>
      </c>
      <c r="G11103" s="7" t="n">
        <v>112.43</v>
      </c>
    </row>
    <row r="11104" customFormat="false" ht="15" hidden="false" customHeight="false" outlineLevel="0" collapsed="false">
      <c r="A11104" s="7" t="s">
        <v>38</v>
      </c>
      <c r="B11104" s="7" t="s">
        <v>434</v>
      </c>
      <c r="C11104" s="7" t="s">
        <v>1212</v>
      </c>
      <c r="D11104" s="7" t="n">
        <v>0</v>
      </c>
      <c r="E11104" s="7" t="n">
        <v>0</v>
      </c>
      <c r="F11104" s="7" t="n">
        <v>6</v>
      </c>
      <c r="G11104" s="7" t="n">
        <v>168.64</v>
      </c>
    </row>
    <row r="11105" customFormat="false" ht="15" hidden="false" customHeight="false" outlineLevel="0" collapsed="false">
      <c r="A11105" s="7" t="s">
        <v>38</v>
      </c>
      <c r="B11105" s="7" t="s">
        <v>434</v>
      </c>
      <c r="C11105" s="7" t="s">
        <v>1212</v>
      </c>
      <c r="D11105" s="7" t="n">
        <v>6</v>
      </c>
      <c r="E11105" s="7" t="n">
        <v>201.48</v>
      </c>
      <c r="F11105" s="7" t="n">
        <v>0</v>
      </c>
      <c r="G11105" s="7" t="n">
        <v>0</v>
      </c>
    </row>
    <row r="11106" customFormat="false" ht="15" hidden="false" customHeight="false" outlineLevel="0" collapsed="false">
      <c r="A11106" s="7" t="s">
        <v>38</v>
      </c>
      <c r="B11106" s="7" t="s">
        <v>222</v>
      </c>
      <c r="C11106" s="7" t="s">
        <v>1215</v>
      </c>
      <c r="D11106" s="7" t="n">
        <v>10</v>
      </c>
      <c r="E11106" s="7" t="n">
        <v>320.78</v>
      </c>
      <c r="F11106" s="7" t="n">
        <v>0</v>
      </c>
      <c r="G11106" s="7" t="n">
        <v>0</v>
      </c>
    </row>
    <row r="11107" customFormat="false" ht="15" hidden="false" customHeight="false" outlineLevel="0" collapsed="false">
      <c r="A11107" s="7" t="s">
        <v>38</v>
      </c>
      <c r="B11107" s="7" t="s">
        <v>773</v>
      </c>
      <c r="C11107" s="7" t="s">
        <v>1215</v>
      </c>
      <c r="D11107" s="7" t="n">
        <v>0</v>
      </c>
      <c r="E11107" s="7" t="n">
        <v>0</v>
      </c>
      <c r="F11107" s="7" t="n">
        <v>30</v>
      </c>
      <c r="G11107" s="7" t="n">
        <v>808.29</v>
      </c>
    </row>
    <row r="11108" customFormat="false" ht="15" hidden="false" customHeight="false" outlineLevel="0" collapsed="false">
      <c r="A11108" s="7" t="s">
        <v>38</v>
      </c>
      <c r="B11108" s="7" t="s">
        <v>668</v>
      </c>
      <c r="C11108" s="7" t="s">
        <v>1217</v>
      </c>
      <c r="D11108" s="7" t="n">
        <v>30</v>
      </c>
      <c r="E11108" s="7" t="n">
        <v>917.06</v>
      </c>
      <c r="F11108" s="7" t="n">
        <v>0</v>
      </c>
      <c r="G11108" s="7" t="n">
        <v>0</v>
      </c>
    </row>
    <row r="11109" customFormat="false" ht="15" hidden="false" customHeight="false" outlineLevel="0" collapsed="false">
      <c r="A11109" s="7" t="s">
        <v>38</v>
      </c>
      <c r="B11109" s="7" t="s">
        <v>469</v>
      </c>
      <c r="C11109" s="7" t="s">
        <v>1143</v>
      </c>
      <c r="D11109" s="7" t="n">
        <v>0</v>
      </c>
      <c r="E11109" s="7" t="n">
        <v>0</v>
      </c>
      <c r="F11109" s="7" t="n">
        <v>10</v>
      </c>
      <c r="G11109" s="7" t="n">
        <v>261.11</v>
      </c>
    </row>
    <row r="11110" customFormat="false" ht="15" hidden="false" customHeight="false" outlineLevel="0" collapsed="false">
      <c r="A11110" s="7" t="s">
        <v>38</v>
      </c>
      <c r="B11110" s="7" t="s">
        <v>342</v>
      </c>
      <c r="C11110" s="7" t="s">
        <v>1143</v>
      </c>
      <c r="D11110" s="7" t="n">
        <v>10</v>
      </c>
      <c r="E11110" s="7" t="n">
        <v>277.38</v>
      </c>
      <c r="F11110" s="7" t="n">
        <v>0</v>
      </c>
      <c r="G11110" s="7" t="n">
        <v>0</v>
      </c>
    </row>
    <row r="11111" customFormat="false" ht="15" hidden="false" customHeight="false" outlineLevel="0" collapsed="false">
      <c r="A11111" s="7" t="s">
        <v>38</v>
      </c>
      <c r="B11111" s="7" t="s">
        <v>342</v>
      </c>
      <c r="C11111" s="7" t="s">
        <v>1143</v>
      </c>
      <c r="D11111" s="7" t="n">
        <v>0</v>
      </c>
      <c r="E11111" s="7" t="n">
        <v>0</v>
      </c>
      <c r="F11111" s="7" t="n">
        <v>10</v>
      </c>
      <c r="G11111" s="7" t="n">
        <v>244.48</v>
      </c>
    </row>
    <row r="11112" customFormat="false" ht="15" hidden="false" customHeight="false" outlineLevel="0" collapsed="false">
      <c r="A11112" s="7" t="s">
        <v>38</v>
      </c>
      <c r="B11112" s="7" t="s">
        <v>483</v>
      </c>
      <c r="C11112" s="7" t="s">
        <v>1144</v>
      </c>
      <c r="D11112" s="7" t="n">
        <v>10</v>
      </c>
      <c r="E11112" s="7" t="n">
        <v>296.25</v>
      </c>
      <c r="F11112" s="7" t="n">
        <v>0</v>
      </c>
      <c r="G11112" s="7" t="n">
        <v>0</v>
      </c>
    </row>
    <row r="11113" customFormat="false" ht="15" hidden="false" customHeight="false" outlineLevel="0" collapsed="false">
      <c r="A11113" s="7" t="s">
        <v>38</v>
      </c>
      <c r="B11113" s="7" t="s">
        <v>483</v>
      </c>
      <c r="C11113" s="7" t="s">
        <v>1144</v>
      </c>
      <c r="D11113" s="7" t="n">
        <v>0</v>
      </c>
      <c r="E11113" s="7" t="n">
        <v>0</v>
      </c>
      <c r="F11113" s="7" t="n">
        <v>25</v>
      </c>
      <c r="G11113" s="7" t="n">
        <v>652.79</v>
      </c>
    </row>
    <row r="11114" customFormat="false" ht="15" hidden="false" customHeight="false" outlineLevel="0" collapsed="false">
      <c r="A11114" s="7" t="s">
        <v>38</v>
      </c>
      <c r="B11114" s="7" t="s">
        <v>483</v>
      </c>
      <c r="C11114" s="7" t="s">
        <v>1144</v>
      </c>
      <c r="D11114" s="7" t="n">
        <v>15</v>
      </c>
      <c r="E11114" s="7" t="n">
        <v>467.94</v>
      </c>
      <c r="F11114" s="7" t="n">
        <v>0</v>
      </c>
      <c r="G11114" s="7" t="n">
        <v>0</v>
      </c>
    </row>
    <row r="11115" customFormat="false" ht="15" hidden="false" customHeight="false" outlineLevel="0" collapsed="false">
      <c r="A11115" s="7" t="s">
        <v>38</v>
      </c>
      <c r="B11115" s="7" t="s">
        <v>649</v>
      </c>
      <c r="C11115" s="7" t="s">
        <v>1144</v>
      </c>
      <c r="D11115" s="7" t="n">
        <v>30</v>
      </c>
      <c r="E11115" s="7" t="n">
        <v>935.88</v>
      </c>
      <c r="F11115" s="7" t="n">
        <v>0</v>
      </c>
      <c r="G11115" s="7" t="n">
        <v>0</v>
      </c>
    </row>
    <row r="11116" customFormat="false" ht="15" hidden="false" customHeight="false" outlineLevel="0" collapsed="false">
      <c r="A11116" s="7" t="s">
        <v>38</v>
      </c>
      <c r="B11116" s="7" t="s">
        <v>649</v>
      </c>
      <c r="C11116" s="7" t="s">
        <v>1144</v>
      </c>
      <c r="D11116" s="7" t="n">
        <v>15</v>
      </c>
      <c r="E11116" s="7" t="n">
        <v>444.38</v>
      </c>
      <c r="F11116" s="7" t="n">
        <v>0</v>
      </c>
      <c r="G11116" s="7" t="n">
        <v>0</v>
      </c>
    </row>
    <row r="11117" customFormat="false" ht="15" hidden="false" customHeight="false" outlineLevel="0" collapsed="false">
      <c r="A11117" s="7" t="s">
        <v>38</v>
      </c>
      <c r="B11117" s="7" t="s">
        <v>649</v>
      </c>
      <c r="C11117" s="7" t="s">
        <v>1144</v>
      </c>
      <c r="D11117" s="7" t="n">
        <v>0</v>
      </c>
      <c r="E11117" s="7" t="n">
        <v>0</v>
      </c>
      <c r="F11117" s="7" t="n">
        <v>40</v>
      </c>
      <c r="G11117" s="7" t="n">
        <v>1044.46</v>
      </c>
    </row>
    <row r="11118" customFormat="false" ht="15" hidden="false" customHeight="false" outlineLevel="0" collapsed="false">
      <c r="A11118" s="7" t="s">
        <v>38</v>
      </c>
      <c r="B11118" s="7" t="s">
        <v>643</v>
      </c>
      <c r="C11118" s="7" t="s">
        <v>1144</v>
      </c>
      <c r="D11118" s="7" t="n">
        <v>0</v>
      </c>
      <c r="E11118" s="7" t="n">
        <v>0</v>
      </c>
      <c r="F11118" s="7" t="n">
        <v>10</v>
      </c>
      <c r="G11118" s="7" t="n">
        <v>261.11</v>
      </c>
    </row>
    <row r="11119" customFormat="false" ht="15" hidden="false" customHeight="false" outlineLevel="0" collapsed="false">
      <c r="A11119" s="7" t="s">
        <v>38</v>
      </c>
      <c r="B11119" s="7" t="s">
        <v>643</v>
      </c>
      <c r="C11119" s="7" t="s">
        <v>1144</v>
      </c>
      <c r="D11119" s="7" t="n">
        <v>20</v>
      </c>
      <c r="E11119" s="7" t="n">
        <v>592.5</v>
      </c>
      <c r="F11119" s="7" t="n">
        <v>0</v>
      </c>
      <c r="G11119" s="7" t="n">
        <v>0</v>
      </c>
    </row>
    <row r="11120" customFormat="false" ht="15" hidden="false" customHeight="false" outlineLevel="0" collapsed="false">
      <c r="A11120" s="7" t="s">
        <v>38</v>
      </c>
      <c r="B11120" s="7" t="s">
        <v>689</v>
      </c>
      <c r="C11120" s="7" t="s">
        <v>1168</v>
      </c>
      <c r="D11120" s="7" t="n">
        <v>10</v>
      </c>
      <c r="E11120" s="7" t="n">
        <v>250.96</v>
      </c>
      <c r="F11120" s="7" t="n">
        <v>0</v>
      </c>
      <c r="G11120" s="7" t="n">
        <v>0</v>
      </c>
    </row>
    <row r="11121" customFormat="false" ht="15" hidden="false" customHeight="false" outlineLevel="0" collapsed="false">
      <c r="A11121" s="7" t="s">
        <v>38</v>
      </c>
      <c r="B11121" s="7" t="s">
        <v>689</v>
      </c>
      <c r="C11121" s="7" t="s">
        <v>1168</v>
      </c>
      <c r="D11121" s="7" t="n">
        <v>10</v>
      </c>
      <c r="E11121" s="7" t="n">
        <v>264.27</v>
      </c>
      <c r="F11121" s="7" t="n">
        <v>0</v>
      </c>
      <c r="G11121" s="7" t="n">
        <v>0</v>
      </c>
    </row>
    <row r="11122" customFormat="false" ht="15" hidden="false" customHeight="false" outlineLevel="0" collapsed="false">
      <c r="A11122" s="7" t="s">
        <v>38</v>
      </c>
      <c r="B11122" s="7" t="s">
        <v>741</v>
      </c>
      <c r="C11122" s="7" t="s">
        <v>1168</v>
      </c>
      <c r="D11122" s="7" t="n">
        <v>10</v>
      </c>
      <c r="E11122" s="7" t="n">
        <v>250.96</v>
      </c>
      <c r="F11122" s="7" t="n">
        <v>0</v>
      </c>
      <c r="G11122" s="7" t="n">
        <v>0</v>
      </c>
    </row>
    <row r="11123" customFormat="false" ht="15" hidden="false" customHeight="false" outlineLevel="0" collapsed="false">
      <c r="A11123" s="7" t="s">
        <v>38</v>
      </c>
      <c r="B11123" s="7" t="s">
        <v>741</v>
      </c>
      <c r="C11123" s="7" t="s">
        <v>1168</v>
      </c>
      <c r="D11123" s="7" t="n">
        <v>0</v>
      </c>
      <c r="E11123" s="7" t="n">
        <v>0</v>
      </c>
      <c r="F11123" s="7" t="n">
        <v>15</v>
      </c>
      <c r="G11123" s="7" t="n">
        <v>331.8</v>
      </c>
    </row>
    <row r="11124" customFormat="false" ht="15" hidden="false" customHeight="false" outlineLevel="0" collapsed="false">
      <c r="A11124" s="7" t="s">
        <v>38</v>
      </c>
      <c r="B11124" s="7" t="s">
        <v>741</v>
      </c>
      <c r="C11124" s="7" t="s">
        <v>1168</v>
      </c>
      <c r="D11124" s="7" t="n">
        <v>15</v>
      </c>
      <c r="E11124" s="7" t="n">
        <v>396.41</v>
      </c>
      <c r="F11124" s="7" t="n">
        <v>0</v>
      </c>
      <c r="G11124" s="7" t="n">
        <v>0</v>
      </c>
    </row>
    <row r="11125" customFormat="false" ht="15" hidden="false" customHeight="false" outlineLevel="0" collapsed="false">
      <c r="A11125" s="7" t="s">
        <v>38</v>
      </c>
      <c r="B11125" s="7" t="s">
        <v>478</v>
      </c>
      <c r="C11125" s="7" t="s">
        <v>1220</v>
      </c>
      <c r="D11125" s="7" t="n">
        <v>0</v>
      </c>
      <c r="E11125" s="7" t="n">
        <v>0</v>
      </c>
      <c r="F11125" s="7" t="n">
        <v>10</v>
      </c>
      <c r="G11125" s="7" t="n">
        <v>69.85</v>
      </c>
    </row>
    <row r="11126" customFormat="false" ht="15" hidden="false" customHeight="false" outlineLevel="0" collapsed="false">
      <c r="A11126" s="7" t="s">
        <v>38</v>
      </c>
      <c r="B11126" s="7" t="s">
        <v>478</v>
      </c>
      <c r="C11126" s="7" t="s">
        <v>1220</v>
      </c>
      <c r="D11126" s="7" t="n">
        <v>10</v>
      </c>
      <c r="E11126" s="7" t="n">
        <v>79.25</v>
      </c>
      <c r="F11126" s="7" t="n">
        <v>0</v>
      </c>
      <c r="G11126" s="7" t="n">
        <v>0</v>
      </c>
    </row>
    <row r="11127" customFormat="false" ht="15" hidden="false" customHeight="false" outlineLevel="0" collapsed="false">
      <c r="A11127" s="7" t="s">
        <v>38</v>
      </c>
      <c r="B11127" s="7" t="s">
        <v>936</v>
      </c>
      <c r="C11127" s="7" t="s">
        <v>1146</v>
      </c>
      <c r="D11127" s="7" t="n">
        <v>0</v>
      </c>
      <c r="E11127" s="7" t="n">
        <v>0</v>
      </c>
      <c r="F11127" s="7" t="n">
        <v>8</v>
      </c>
      <c r="G11127" s="7" t="n">
        <v>493.62</v>
      </c>
    </row>
    <row r="11128" customFormat="false" ht="15" hidden="false" customHeight="false" outlineLevel="0" collapsed="false">
      <c r="A11128" s="7" t="s">
        <v>38</v>
      </c>
      <c r="B11128" s="7" t="s">
        <v>579</v>
      </c>
      <c r="C11128" s="7" t="s">
        <v>1147</v>
      </c>
      <c r="D11128" s="7" t="n">
        <v>0</v>
      </c>
      <c r="E11128" s="7" t="n">
        <v>0</v>
      </c>
      <c r="F11128" s="7" t="n">
        <v>8</v>
      </c>
      <c r="G11128" s="7" t="n">
        <v>493.62</v>
      </c>
    </row>
    <row r="11129" customFormat="false" ht="15" hidden="false" customHeight="false" outlineLevel="0" collapsed="false">
      <c r="A11129" s="7" t="s">
        <v>38</v>
      </c>
      <c r="B11129" s="7" t="s">
        <v>1004</v>
      </c>
      <c r="C11129" s="7" t="s">
        <v>1323</v>
      </c>
      <c r="D11129" s="7" t="n">
        <v>0</v>
      </c>
      <c r="E11129" s="7" t="n">
        <v>0</v>
      </c>
      <c r="F11129" s="7" t="n">
        <v>4</v>
      </c>
      <c r="G11129" s="7" t="n">
        <v>246.81</v>
      </c>
    </row>
    <row r="11130" customFormat="false" ht="15" hidden="false" customHeight="false" outlineLevel="0" collapsed="false">
      <c r="A11130" s="7" t="s">
        <v>38</v>
      </c>
      <c r="B11130" s="7" t="s">
        <v>943</v>
      </c>
      <c r="C11130" s="7" t="s">
        <v>1148</v>
      </c>
      <c r="D11130" s="7" t="n">
        <v>0</v>
      </c>
      <c r="E11130" s="7" t="n">
        <v>0</v>
      </c>
      <c r="F11130" s="7" t="n">
        <v>2</v>
      </c>
      <c r="G11130" s="7" t="n">
        <v>123.41</v>
      </c>
    </row>
    <row r="11131" customFormat="false" ht="15" hidden="false" customHeight="false" outlineLevel="0" collapsed="false">
      <c r="A11131" s="7" t="s">
        <v>38</v>
      </c>
      <c r="B11131" s="7" t="s">
        <v>1003</v>
      </c>
      <c r="C11131" s="7" t="s">
        <v>1324</v>
      </c>
      <c r="D11131" s="7" t="n">
        <v>0</v>
      </c>
      <c r="E11131" s="7" t="n">
        <v>0</v>
      </c>
      <c r="F11131" s="7" t="n">
        <v>4</v>
      </c>
      <c r="G11131" s="7" t="n">
        <v>246.81</v>
      </c>
    </row>
    <row r="11132" customFormat="false" ht="15" hidden="false" customHeight="false" outlineLevel="0" collapsed="false">
      <c r="A11132" s="7" t="s">
        <v>38</v>
      </c>
      <c r="B11132" s="7" t="s">
        <v>343</v>
      </c>
      <c r="C11132" s="7" t="s">
        <v>1151</v>
      </c>
      <c r="D11132" s="7" t="n">
        <v>15</v>
      </c>
      <c r="E11132" s="7" t="n">
        <v>175.49</v>
      </c>
      <c r="F11132" s="7" t="n">
        <v>0</v>
      </c>
      <c r="G11132" s="7" t="n">
        <v>0</v>
      </c>
    </row>
    <row r="11133" customFormat="false" ht="15" hidden="false" customHeight="false" outlineLevel="0" collapsed="false">
      <c r="A11133" s="7" t="s">
        <v>38</v>
      </c>
      <c r="B11133" s="7" t="s">
        <v>343</v>
      </c>
      <c r="C11133" s="7" t="s">
        <v>1151</v>
      </c>
      <c r="D11133" s="7" t="n">
        <v>10</v>
      </c>
      <c r="E11133" s="7" t="n">
        <v>123.19</v>
      </c>
      <c r="F11133" s="7" t="n">
        <v>0</v>
      </c>
      <c r="G11133" s="7" t="n">
        <v>0</v>
      </c>
    </row>
    <row r="11134" customFormat="false" ht="15" hidden="false" customHeight="false" outlineLevel="0" collapsed="false">
      <c r="A11134" s="7" t="s">
        <v>38</v>
      </c>
      <c r="B11134" s="7" t="s">
        <v>802</v>
      </c>
      <c r="C11134" s="7" t="s">
        <v>1151</v>
      </c>
      <c r="D11134" s="7" t="n">
        <v>0</v>
      </c>
      <c r="E11134" s="7" t="n">
        <v>0</v>
      </c>
      <c r="F11134" s="7" t="n">
        <v>10</v>
      </c>
      <c r="G11134" s="7" t="n">
        <v>103.12</v>
      </c>
    </row>
    <row r="11135" customFormat="false" ht="15" hidden="false" customHeight="false" outlineLevel="0" collapsed="false">
      <c r="A11135" s="7" t="s">
        <v>38</v>
      </c>
      <c r="B11135" s="7" t="s">
        <v>802</v>
      </c>
      <c r="C11135" s="7" t="s">
        <v>1151</v>
      </c>
      <c r="D11135" s="7" t="n">
        <v>10</v>
      </c>
      <c r="E11135" s="7" t="n">
        <v>116.99</v>
      </c>
      <c r="F11135" s="7" t="n">
        <v>0</v>
      </c>
      <c r="G11135" s="7" t="n">
        <v>0</v>
      </c>
    </row>
    <row r="11136" customFormat="false" ht="15" hidden="false" customHeight="false" outlineLevel="0" collapsed="false">
      <c r="A11136" s="7" t="s">
        <v>38</v>
      </c>
      <c r="B11136" s="7" t="s">
        <v>802</v>
      </c>
      <c r="C11136" s="7" t="s">
        <v>1151</v>
      </c>
      <c r="D11136" s="7" t="n">
        <v>10</v>
      </c>
      <c r="E11136" s="7" t="n">
        <v>123.19</v>
      </c>
      <c r="F11136" s="7" t="n">
        <v>0</v>
      </c>
      <c r="G11136" s="7" t="n">
        <v>0</v>
      </c>
    </row>
    <row r="11137" customFormat="false" ht="15" hidden="false" customHeight="false" outlineLevel="0" collapsed="false">
      <c r="A11137" s="7" t="s">
        <v>38</v>
      </c>
      <c r="B11137" s="7" t="s">
        <v>704</v>
      </c>
      <c r="C11137" s="7" t="s">
        <v>1151</v>
      </c>
      <c r="D11137" s="7" t="n">
        <v>0</v>
      </c>
      <c r="E11137" s="7" t="n">
        <v>0</v>
      </c>
      <c r="F11137" s="7" t="n">
        <v>4</v>
      </c>
      <c r="G11137" s="7" t="n">
        <v>41.25</v>
      </c>
    </row>
    <row r="11138" customFormat="false" ht="15" hidden="false" customHeight="false" outlineLevel="0" collapsed="false">
      <c r="A11138" s="7" t="s">
        <v>38</v>
      </c>
      <c r="B11138" s="7" t="s">
        <v>704</v>
      </c>
      <c r="C11138" s="7" t="s">
        <v>1151</v>
      </c>
      <c r="D11138" s="7" t="n">
        <v>7</v>
      </c>
      <c r="E11138" s="7" t="n">
        <v>81.89</v>
      </c>
      <c r="F11138" s="7" t="n">
        <v>0</v>
      </c>
      <c r="G11138" s="7" t="n">
        <v>0</v>
      </c>
    </row>
    <row r="11139" customFormat="false" ht="15" hidden="false" customHeight="false" outlineLevel="0" collapsed="false">
      <c r="A11139" s="7" t="s">
        <v>38</v>
      </c>
      <c r="B11139" s="7" t="s">
        <v>704</v>
      </c>
      <c r="C11139" s="7" t="s">
        <v>1151</v>
      </c>
      <c r="D11139" s="7" t="n">
        <v>10</v>
      </c>
      <c r="E11139" s="7" t="n">
        <v>123.19</v>
      </c>
      <c r="F11139" s="7" t="n">
        <v>0</v>
      </c>
      <c r="G11139" s="7" t="n">
        <v>0</v>
      </c>
    </row>
    <row r="11140" customFormat="false" ht="15" hidden="false" customHeight="false" outlineLevel="0" collapsed="false">
      <c r="A11140" s="7" t="s">
        <v>38</v>
      </c>
      <c r="B11140" s="7" t="s">
        <v>710</v>
      </c>
      <c r="C11140" s="7" t="s">
        <v>1151</v>
      </c>
      <c r="D11140" s="7" t="n">
        <v>10</v>
      </c>
      <c r="E11140" s="7" t="n">
        <v>123.19</v>
      </c>
      <c r="F11140" s="7" t="n">
        <v>0</v>
      </c>
      <c r="G11140" s="7" t="n">
        <v>0</v>
      </c>
    </row>
    <row r="11141" customFormat="false" ht="15" hidden="false" customHeight="false" outlineLevel="0" collapsed="false">
      <c r="A11141" s="7" t="s">
        <v>38</v>
      </c>
      <c r="B11141" s="7" t="s">
        <v>710</v>
      </c>
      <c r="C11141" s="7" t="s">
        <v>1151</v>
      </c>
      <c r="D11141" s="7" t="n">
        <v>10</v>
      </c>
      <c r="E11141" s="7" t="n">
        <v>116.99</v>
      </c>
      <c r="F11141" s="7" t="n">
        <v>0</v>
      </c>
      <c r="G11141" s="7" t="n">
        <v>0</v>
      </c>
    </row>
    <row r="11142" customFormat="false" ht="15" hidden="false" customHeight="false" outlineLevel="0" collapsed="false">
      <c r="A11142" s="7" t="s">
        <v>38</v>
      </c>
      <c r="B11142" s="7" t="s">
        <v>464</v>
      </c>
      <c r="C11142" s="7" t="s">
        <v>1151</v>
      </c>
      <c r="D11142" s="7" t="n">
        <v>0</v>
      </c>
      <c r="E11142" s="7" t="n">
        <v>0</v>
      </c>
      <c r="F11142" s="7" t="n">
        <v>9</v>
      </c>
      <c r="G11142" s="7" t="n">
        <v>92.8</v>
      </c>
    </row>
    <row r="11143" customFormat="false" ht="15" hidden="false" customHeight="false" outlineLevel="0" collapsed="false">
      <c r="A11143" s="7" t="s">
        <v>38</v>
      </c>
      <c r="B11143" s="7" t="s">
        <v>605</v>
      </c>
      <c r="C11143" s="7" t="s">
        <v>1152</v>
      </c>
      <c r="D11143" s="7" t="n">
        <v>10</v>
      </c>
      <c r="E11143" s="7" t="n">
        <v>117.23</v>
      </c>
      <c r="F11143" s="7" t="n">
        <v>0</v>
      </c>
      <c r="G11143" s="7" t="n">
        <v>0</v>
      </c>
    </row>
    <row r="11144" customFormat="false" ht="15" hidden="false" customHeight="false" outlineLevel="0" collapsed="false">
      <c r="A11144" s="7" t="s">
        <v>38</v>
      </c>
      <c r="B11144" s="7" t="s">
        <v>618</v>
      </c>
      <c r="C11144" s="7" t="s">
        <v>1152</v>
      </c>
      <c r="D11144" s="7" t="n">
        <v>15</v>
      </c>
      <c r="E11144" s="7" t="n">
        <v>175.85</v>
      </c>
      <c r="F11144" s="7" t="n">
        <v>0</v>
      </c>
      <c r="G11144" s="7" t="n">
        <v>0</v>
      </c>
    </row>
    <row r="11145" customFormat="false" ht="15" hidden="false" customHeight="false" outlineLevel="0" collapsed="false">
      <c r="A11145" s="7" t="s">
        <v>38</v>
      </c>
      <c r="B11145" s="7" t="s">
        <v>618</v>
      </c>
      <c r="C11145" s="7" t="s">
        <v>1152</v>
      </c>
      <c r="D11145" s="7" t="n">
        <v>4</v>
      </c>
      <c r="E11145" s="7" t="n">
        <v>44.53</v>
      </c>
      <c r="F11145" s="7" t="n">
        <v>0</v>
      </c>
      <c r="G11145" s="7" t="n">
        <v>0</v>
      </c>
    </row>
    <row r="11146" customFormat="false" ht="15" hidden="false" customHeight="false" outlineLevel="0" collapsed="false">
      <c r="A11146" s="7" t="s">
        <v>38</v>
      </c>
      <c r="B11146" s="7" t="s">
        <v>702</v>
      </c>
      <c r="C11146" s="7" t="s">
        <v>1152</v>
      </c>
      <c r="D11146" s="7" t="n">
        <v>0</v>
      </c>
      <c r="E11146" s="7" t="n">
        <v>0</v>
      </c>
      <c r="F11146" s="7" t="n">
        <v>6</v>
      </c>
      <c r="G11146" s="7" t="n">
        <v>58.88</v>
      </c>
    </row>
    <row r="11147" customFormat="false" ht="15" hidden="false" customHeight="false" outlineLevel="0" collapsed="false">
      <c r="A11147" s="7" t="s">
        <v>38</v>
      </c>
      <c r="B11147" s="7" t="s">
        <v>702</v>
      </c>
      <c r="C11147" s="7" t="s">
        <v>1152</v>
      </c>
      <c r="D11147" s="7" t="n">
        <v>2</v>
      </c>
      <c r="E11147" s="7" t="n">
        <v>22.27</v>
      </c>
      <c r="F11147" s="7" t="n">
        <v>0</v>
      </c>
      <c r="G11147" s="7" t="n">
        <v>0</v>
      </c>
    </row>
    <row r="11148" customFormat="false" ht="15" hidden="false" customHeight="false" outlineLevel="0" collapsed="false">
      <c r="A11148" s="7" t="s">
        <v>38</v>
      </c>
      <c r="B11148" s="7" t="s">
        <v>702</v>
      </c>
      <c r="C11148" s="7" t="s">
        <v>1152</v>
      </c>
      <c r="D11148" s="7" t="n">
        <v>6</v>
      </c>
      <c r="E11148" s="7" t="n">
        <v>70.34</v>
      </c>
      <c r="F11148" s="7" t="n">
        <v>0</v>
      </c>
      <c r="G11148" s="7" t="n">
        <v>0</v>
      </c>
    </row>
    <row r="11149" customFormat="false" ht="15" hidden="false" customHeight="false" outlineLevel="0" collapsed="false">
      <c r="A11149" s="7" t="s">
        <v>38</v>
      </c>
      <c r="B11149" s="7" t="s">
        <v>635</v>
      </c>
      <c r="C11149" s="7" t="s">
        <v>1152</v>
      </c>
      <c r="D11149" s="7" t="n">
        <v>10</v>
      </c>
      <c r="E11149" s="7" t="n">
        <v>117.23</v>
      </c>
      <c r="F11149" s="7" t="n">
        <v>0</v>
      </c>
      <c r="G11149" s="7" t="n">
        <v>0</v>
      </c>
    </row>
    <row r="11150" customFormat="false" ht="15" hidden="false" customHeight="false" outlineLevel="0" collapsed="false">
      <c r="A11150" s="7" t="s">
        <v>38</v>
      </c>
      <c r="B11150" s="7" t="s">
        <v>613</v>
      </c>
      <c r="C11150" s="7" t="s">
        <v>1152</v>
      </c>
      <c r="D11150" s="7" t="n">
        <v>4</v>
      </c>
      <c r="E11150" s="7" t="n">
        <v>46.89</v>
      </c>
      <c r="F11150" s="7" t="n">
        <v>0</v>
      </c>
      <c r="G11150" s="7" t="n">
        <v>0</v>
      </c>
    </row>
    <row r="11151" customFormat="false" ht="15" hidden="false" customHeight="false" outlineLevel="0" collapsed="false">
      <c r="A11151" s="7" t="s">
        <v>38</v>
      </c>
      <c r="B11151" s="7" t="s">
        <v>216</v>
      </c>
      <c r="C11151" s="7" t="s">
        <v>1051</v>
      </c>
      <c r="D11151" s="7" t="n">
        <v>10</v>
      </c>
      <c r="E11151" s="7" t="n">
        <v>282.15</v>
      </c>
      <c r="F11151" s="7" t="n">
        <v>0</v>
      </c>
      <c r="G11151" s="7" t="n">
        <v>0</v>
      </c>
    </row>
    <row r="11152" customFormat="false" ht="15" hidden="false" customHeight="false" outlineLevel="0" collapsed="false">
      <c r="A11152" s="7" t="s">
        <v>38</v>
      </c>
      <c r="B11152" s="7" t="s">
        <v>216</v>
      </c>
      <c r="C11152" s="7" t="s">
        <v>1051</v>
      </c>
      <c r="D11152" s="7" t="n">
        <v>0</v>
      </c>
      <c r="E11152" s="7" t="n">
        <v>0</v>
      </c>
      <c r="F11152" s="7" t="n">
        <v>5</v>
      </c>
      <c r="G11152" s="7" t="n">
        <v>118.08</v>
      </c>
    </row>
    <row r="11153" customFormat="false" ht="15" hidden="false" customHeight="false" outlineLevel="0" collapsed="false">
      <c r="A11153" s="7" t="s">
        <v>38</v>
      </c>
      <c r="B11153" s="7" t="s">
        <v>125</v>
      </c>
      <c r="C11153" s="7" t="s">
        <v>1052</v>
      </c>
      <c r="D11153" s="7" t="n">
        <v>5</v>
      </c>
      <c r="E11153" s="7" t="n">
        <v>141.52</v>
      </c>
      <c r="F11153" s="7" t="n">
        <v>0</v>
      </c>
      <c r="G11153" s="7" t="n">
        <v>0</v>
      </c>
    </row>
    <row r="11154" customFormat="false" ht="15" hidden="false" customHeight="false" outlineLevel="0" collapsed="false">
      <c r="A11154" s="7" t="s">
        <v>38</v>
      </c>
      <c r="B11154" s="7" t="s">
        <v>125</v>
      </c>
      <c r="C11154" s="7" t="s">
        <v>1052</v>
      </c>
      <c r="D11154" s="7" t="n">
        <v>5</v>
      </c>
      <c r="E11154" s="7" t="n">
        <v>149.03</v>
      </c>
      <c r="F11154" s="7" t="n">
        <v>0</v>
      </c>
      <c r="G11154" s="7" t="n">
        <v>0</v>
      </c>
    </row>
    <row r="11155" customFormat="false" ht="15" hidden="false" customHeight="false" outlineLevel="0" collapsed="false">
      <c r="A11155" s="7" t="s">
        <v>38</v>
      </c>
      <c r="B11155" s="7" t="s">
        <v>159</v>
      </c>
      <c r="C11155" s="7" t="s">
        <v>1087</v>
      </c>
      <c r="D11155" s="7" t="n">
        <v>0</v>
      </c>
      <c r="E11155" s="7" t="n">
        <v>0</v>
      </c>
      <c r="F11155" s="7" t="n">
        <v>40</v>
      </c>
      <c r="G11155" s="7" t="n">
        <v>532.21</v>
      </c>
    </row>
    <row r="11156" customFormat="false" ht="15" hidden="false" customHeight="false" outlineLevel="0" collapsed="false">
      <c r="A11156" s="7" t="s">
        <v>38</v>
      </c>
      <c r="B11156" s="7" t="s">
        <v>159</v>
      </c>
      <c r="C11156" s="7" t="s">
        <v>1087</v>
      </c>
      <c r="D11156" s="7" t="n">
        <v>20</v>
      </c>
      <c r="E11156" s="7" t="n">
        <v>317.92</v>
      </c>
      <c r="F11156" s="7" t="n">
        <v>0</v>
      </c>
      <c r="G11156" s="7" t="n">
        <v>0</v>
      </c>
    </row>
    <row r="11157" customFormat="false" ht="15" hidden="false" customHeight="false" outlineLevel="0" collapsed="false">
      <c r="A11157" s="7" t="s">
        <v>38</v>
      </c>
      <c r="B11157" s="7" t="s">
        <v>159</v>
      </c>
      <c r="C11157" s="7" t="s">
        <v>1087</v>
      </c>
      <c r="D11157" s="7" t="n">
        <v>40</v>
      </c>
      <c r="E11157" s="7" t="n">
        <v>603.82</v>
      </c>
      <c r="F11157" s="7" t="n">
        <v>0</v>
      </c>
      <c r="G11157" s="7" t="n">
        <v>0</v>
      </c>
    </row>
    <row r="11158" customFormat="false" ht="15" hidden="false" customHeight="false" outlineLevel="0" collapsed="false">
      <c r="A11158" s="7" t="s">
        <v>38</v>
      </c>
      <c r="B11158" s="7" t="s">
        <v>185</v>
      </c>
      <c r="C11158" s="7" t="s">
        <v>1053</v>
      </c>
      <c r="D11158" s="7" t="n">
        <v>0</v>
      </c>
      <c r="E11158" s="7" t="n">
        <v>0</v>
      </c>
      <c r="F11158" s="7" t="n">
        <v>30</v>
      </c>
      <c r="G11158" s="7" t="n">
        <v>439.07</v>
      </c>
    </row>
    <row r="11159" customFormat="false" ht="15" hidden="false" customHeight="false" outlineLevel="0" collapsed="false">
      <c r="A11159" s="7" t="s">
        <v>38</v>
      </c>
      <c r="B11159" s="7" t="s">
        <v>185</v>
      </c>
      <c r="C11159" s="7" t="s">
        <v>1053</v>
      </c>
      <c r="D11159" s="7" t="n">
        <v>60</v>
      </c>
      <c r="E11159" s="7" t="n">
        <v>1049.14</v>
      </c>
      <c r="F11159" s="7" t="n">
        <v>0</v>
      </c>
      <c r="G11159" s="7" t="n">
        <v>0</v>
      </c>
    </row>
    <row r="11160" customFormat="false" ht="15" hidden="false" customHeight="false" outlineLevel="0" collapsed="false">
      <c r="A11160" s="7" t="s">
        <v>38</v>
      </c>
      <c r="B11160" s="7" t="s">
        <v>185</v>
      </c>
      <c r="C11160" s="7" t="s">
        <v>1053</v>
      </c>
      <c r="D11160" s="7" t="n">
        <v>80</v>
      </c>
      <c r="E11160" s="7" t="n">
        <v>1328.41</v>
      </c>
      <c r="F11160" s="7" t="n">
        <v>0</v>
      </c>
      <c r="G11160" s="7" t="n">
        <v>0</v>
      </c>
    </row>
    <row r="11161" customFormat="false" ht="15" hidden="false" customHeight="false" outlineLevel="0" collapsed="false">
      <c r="A11161" s="7" t="s">
        <v>38</v>
      </c>
      <c r="B11161" s="7" t="s">
        <v>494</v>
      </c>
      <c r="C11161" s="7" t="s">
        <v>1054</v>
      </c>
      <c r="D11161" s="7" t="n">
        <v>40</v>
      </c>
      <c r="E11161" s="7" t="n">
        <v>524.57</v>
      </c>
      <c r="F11161" s="7" t="n">
        <v>0</v>
      </c>
      <c r="G11161" s="7" t="n">
        <v>0</v>
      </c>
    </row>
    <row r="11162" customFormat="false" ht="15" hidden="false" customHeight="false" outlineLevel="0" collapsed="false">
      <c r="A11162" s="7" t="s">
        <v>38</v>
      </c>
      <c r="B11162" s="7" t="s">
        <v>494</v>
      </c>
      <c r="C11162" s="7" t="s">
        <v>1054</v>
      </c>
      <c r="D11162" s="7" t="n">
        <v>35</v>
      </c>
      <c r="E11162" s="7" t="n">
        <v>435.89</v>
      </c>
      <c r="F11162" s="7" t="n">
        <v>0</v>
      </c>
      <c r="G11162" s="7" t="n">
        <v>0</v>
      </c>
    </row>
    <row r="11163" customFormat="false" ht="15" hidden="false" customHeight="false" outlineLevel="0" collapsed="false">
      <c r="A11163" s="7" t="s">
        <v>38</v>
      </c>
      <c r="B11163" s="7" t="s">
        <v>494</v>
      </c>
      <c r="C11163" s="7" t="s">
        <v>1054</v>
      </c>
      <c r="D11163" s="7" t="n">
        <v>0</v>
      </c>
      <c r="E11163" s="7" t="n">
        <v>0</v>
      </c>
      <c r="F11163" s="7" t="n">
        <v>35</v>
      </c>
      <c r="G11163" s="7" t="n">
        <v>384.19</v>
      </c>
    </row>
    <row r="11164" customFormat="false" ht="15" hidden="false" customHeight="false" outlineLevel="0" collapsed="false">
      <c r="A11164" s="7" t="s">
        <v>38</v>
      </c>
      <c r="B11164" s="7" t="s">
        <v>650</v>
      </c>
      <c r="C11164" s="7" t="s">
        <v>1088</v>
      </c>
      <c r="D11164" s="7" t="n">
        <v>10</v>
      </c>
      <c r="E11164" s="7" t="n">
        <v>64.16</v>
      </c>
      <c r="F11164" s="7" t="n">
        <v>0</v>
      </c>
      <c r="G11164" s="7" t="n">
        <v>0</v>
      </c>
    </row>
    <row r="11165" customFormat="false" ht="15" hidden="false" customHeight="false" outlineLevel="0" collapsed="false">
      <c r="A11165" s="7" t="s">
        <v>38</v>
      </c>
      <c r="B11165" s="7" t="s">
        <v>650</v>
      </c>
      <c r="C11165" s="7" t="s">
        <v>1088</v>
      </c>
      <c r="D11165" s="7" t="n">
        <v>0</v>
      </c>
      <c r="E11165" s="7" t="n">
        <v>0</v>
      </c>
      <c r="F11165" s="7" t="n">
        <v>10</v>
      </c>
      <c r="G11165" s="7" t="n">
        <v>56.55</v>
      </c>
    </row>
    <row r="11166" customFormat="false" ht="15" hidden="false" customHeight="false" outlineLevel="0" collapsed="false">
      <c r="A11166" s="7" t="s">
        <v>38</v>
      </c>
      <c r="B11166" s="7" t="s">
        <v>502</v>
      </c>
      <c r="C11166" s="7" t="s">
        <v>1090</v>
      </c>
      <c r="D11166" s="7" t="n">
        <v>10</v>
      </c>
      <c r="E11166" s="7" t="n">
        <v>67.56</v>
      </c>
      <c r="F11166" s="7" t="n">
        <v>0</v>
      </c>
      <c r="G11166" s="7" t="n">
        <v>0</v>
      </c>
    </row>
    <row r="11167" customFormat="false" ht="15" hidden="false" customHeight="false" outlineLevel="0" collapsed="false">
      <c r="A11167" s="7" t="s">
        <v>38</v>
      </c>
      <c r="B11167" s="7" t="s">
        <v>502</v>
      </c>
      <c r="C11167" s="7" t="s">
        <v>1090</v>
      </c>
      <c r="D11167" s="7" t="n">
        <v>10</v>
      </c>
      <c r="E11167" s="7" t="n">
        <v>64.16</v>
      </c>
      <c r="F11167" s="7" t="n">
        <v>0</v>
      </c>
      <c r="G11167" s="7" t="n">
        <v>0</v>
      </c>
    </row>
    <row r="11168" customFormat="false" ht="15" hidden="false" customHeight="false" outlineLevel="0" collapsed="false">
      <c r="A11168" s="7" t="s">
        <v>38</v>
      </c>
      <c r="B11168" s="7" t="s">
        <v>516</v>
      </c>
      <c r="C11168" s="7" t="s">
        <v>1171</v>
      </c>
      <c r="D11168" s="7" t="n">
        <v>10</v>
      </c>
      <c r="E11168" s="7" t="n">
        <v>67.93</v>
      </c>
      <c r="F11168" s="7" t="n">
        <v>0</v>
      </c>
      <c r="G11168" s="7" t="n">
        <v>0</v>
      </c>
    </row>
    <row r="11169" customFormat="false" ht="15" hidden="false" customHeight="false" outlineLevel="0" collapsed="false">
      <c r="A11169" s="7" t="s">
        <v>38</v>
      </c>
      <c r="B11169" s="7" t="s">
        <v>516</v>
      </c>
      <c r="C11169" s="7" t="s">
        <v>1171</v>
      </c>
      <c r="D11169" s="7" t="n">
        <v>15</v>
      </c>
      <c r="E11169" s="7" t="n">
        <v>107.3</v>
      </c>
      <c r="F11169" s="7" t="n">
        <v>0</v>
      </c>
      <c r="G11169" s="7" t="n">
        <v>0</v>
      </c>
    </row>
    <row r="11170" customFormat="false" ht="15" hidden="false" customHeight="false" outlineLevel="0" collapsed="false">
      <c r="A11170" s="7" t="s">
        <v>38</v>
      </c>
      <c r="B11170" s="7" t="s">
        <v>225</v>
      </c>
      <c r="C11170" s="7" t="s">
        <v>1091</v>
      </c>
      <c r="D11170" s="7" t="n">
        <v>40</v>
      </c>
      <c r="E11170" s="7" t="n">
        <v>381.5</v>
      </c>
      <c r="F11170" s="7" t="n">
        <v>0</v>
      </c>
      <c r="G11170" s="7" t="n">
        <v>0</v>
      </c>
    </row>
    <row r="11171" customFormat="false" ht="15" hidden="false" customHeight="false" outlineLevel="0" collapsed="false">
      <c r="A11171" s="7" t="s">
        <v>38</v>
      </c>
      <c r="B11171" s="7" t="s">
        <v>225</v>
      </c>
      <c r="C11171" s="7" t="s">
        <v>1091</v>
      </c>
      <c r="D11171" s="7" t="n">
        <v>25</v>
      </c>
      <c r="E11171" s="7" t="n">
        <v>226.43</v>
      </c>
      <c r="F11171" s="7" t="n">
        <v>0</v>
      </c>
      <c r="G11171" s="7" t="n">
        <v>0</v>
      </c>
    </row>
    <row r="11172" customFormat="false" ht="15" hidden="false" customHeight="false" outlineLevel="0" collapsed="false">
      <c r="A11172" s="7" t="s">
        <v>38</v>
      </c>
      <c r="B11172" s="7" t="s">
        <v>225</v>
      </c>
      <c r="C11172" s="7" t="s">
        <v>1091</v>
      </c>
      <c r="D11172" s="7" t="n">
        <v>0</v>
      </c>
      <c r="E11172" s="7" t="n">
        <v>0</v>
      </c>
      <c r="F11172" s="7" t="n">
        <v>30</v>
      </c>
      <c r="G11172" s="7" t="n">
        <v>239.49</v>
      </c>
    </row>
    <row r="11173" customFormat="false" ht="15" hidden="false" customHeight="false" outlineLevel="0" collapsed="false">
      <c r="A11173" s="7" t="s">
        <v>38</v>
      </c>
      <c r="B11173" s="7" t="s">
        <v>504</v>
      </c>
      <c r="C11173" s="7" t="s">
        <v>1172</v>
      </c>
      <c r="D11173" s="7" t="n">
        <v>10</v>
      </c>
      <c r="E11173" s="7" t="n">
        <v>79.25</v>
      </c>
      <c r="F11173" s="7" t="n">
        <v>0</v>
      </c>
      <c r="G11173" s="7" t="n">
        <v>0</v>
      </c>
    </row>
    <row r="11174" customFormat="false" ht="15" hidden="false" customHeight="false" outlineLevel="0" collapsed="false">
      <c r="A11174" s="7" t="s">
        <v>38</v>
      </c>
      <c r="B11174" s="7" t="s">
        <v>286</v>
      </c>
      <c r="C11174" s="7" t="s">
        <v>1092</v>
      </c>
      <c r="D11174" s="7" t="n">
        <v>10</v>
      </c>
      <c r="E11174" s="7" t="n">
        <v>194.36</v>
      </c>
      <c r="F11174" s="7" t="n">
        <v>0</v>
      </c>
      <c r="G11174" s="7" t="n">
        <v>0</v>
      </c>
    </row>
    <row r="11175" customFormat="false" ht="15" hidden="false" customHeight="false" outlineLevel="0" collapsed="false">
      <c r="A11175" s="7" t="s">
        <v>38</v>
      </c>
      <c r="B11175" s="7" t="s">
        <v>286</v>
      </c>
      <c r="C11175" s="7" t="s">
        <v>1092</v>
      </c>
      <c r="D11175" s="7" t="n">
        <v>0</v>
      </c>
      <c r="E11175" s="7" t="n">
        <v>0</v>
      </c>
      <c r="F11175" s="7" t="n">
        <v>10</v>
      </c>
      <c r="G11175" s="7" t="n">
        <v>171.3</v>
      </c>
    </row>
    <row r="11176" customFormat="false" ht="15" hidden="false" customHeight="false" outlineLevel="0" collapsed="false">
      <c r="A11176" s="7" t="s">
        <v>38</v>
      </c>
      <c r="B11176" s="7" t="s">
        <v>134</v>
      </c>
      <c r="C11176" s="7" t="s">
        <v>1093</v>
      </c>
      <c r="D11176" s="7" t="n">
        <v>100</v>
      </c>
      <c r="E11176" s="7" t="n">
        <v>1754.86</v>
      </c>
      <c r="F11176" s="7" t="n">
        <v>0</v>
      </c>
      <c r="G11176" s="7" t="n">
        <v>0</v>
      </c>
    </row>
    <row r="11177" customFormat="false" ht="15" hidden="false" customHeight="false" outlineLevel="0" collapsed="false">
      <c r="A11177" s="7" t="s">
        <v>38</v>
      </c>
      <c r="B11177" s="7" t="s">
        <v>134</v>
      </c>
      <c r="C11177" s="7" t="s">
        <v>1093</v>
      </c>
      <c r="D11177" s="7" t="n">
        <v>100</v>
      </c>
      <c r="E11177" s="7" t="n">
        <v>1847.91</v>
      </c>
      <c r="F11177" s="7" t="n">
        <v>0</v>
      </c>
      <c r="G11177" s="7" t="n">
        <v>0</v>
      </c>
    </row>
    <row r="11178" customFormat="false" ht="15" hidden="false" customHeight="false" outlineLevel="0" collapsed="false">
      <c r="A11178" s="7" t="s">
        <v>38</v>
      </c>
      <c r="B11178" s="7" t="s">
        <v>134</v>
      </c>
      <c r="C11178" s="7" t="s">
        <v>1093</v>
      </c>
      <c r="D11178" s="7" t="n">
        <v>0</v>
      </c>
      <c r="E11178" s="7" t="n">
        <v>0</v>
      </c>
      <c r="F11178" s="7" t="n">
        <v>40</v>
      </c>
      <c r="G11178" s="7" t="n">
        <v>618.69</v>
      </c>
    </row>
    <row r="11179" customFormat="false" ht="15" hidden="false" customHeight="false" outlineLevel="0" collapsed="false">
      <c r="A11179" s="7" t="s">
        <v>38</v>
      </c>
      <c r="B11179" s="7" t="s">
        <v>217</v>
      </c>
      <c r="C11179" s="7" t="s">
        <v>1094</v>
      </c>
      <c r="D11179" s="7" t="n">
        <v>10</v>
      </c>
      <c r="E11179" s="7" t="n">
        <v>143.41</v>
      </c>
      <c r="F11179" s="7" t="n">
        <v>0</v>
      </c>
      <c r="G11179" s="7" t="n">
        <v>0</v>
      </c>
    </row>
    <row r="11180" customFormat="false" ht="15" hidden="false" customHeight="false" outlineLevel="0" collapsed="false">
      <c r="A11180" s="7" t="s">
        <v>38</v>
      </c>
      <c r="B11180" s="7" t="s">
        <v>217</v>
      </c>
      <c r="C11180" s="7" t="s">
        <v>1094</v>
      </c>
      <c r="D11180" s="7" t="n">
        <v>0</v>
      </c>
      <c r="E11180" s="7" t="n">
        <v>0</v>
      </c>
      <c r="F11180" s="7" t="n">
        <v>25</v>
      </c>
      <c r="G11180" s="7" t="n">
        <v>316</v>
      </c>
    </row>
    <row r="11181" customFormat="false" ht="15" hidden="false" customHeight="false" outlineLevel="0" collapsed="false">
      <c r="A11181" s="7" t="s">
        <v>38</v>
      </c>
      <c r="B11181" s="7" t="s">
        <v>387</v>
      </c>
      <c r="C11181" s="7" t="s">
        <v>1095</v>
      </c>
      <c r="D11181" s="7" t="n">
        <v>10</v>
      </c>
      <c r="E11181" s="7" t="n">
        <v>107.3</v>
      </c>
      <c r="F11181" s="7" t="n">
        <v>0</v>
      </c>
      <c r="G11181" s="7" t="n">
        <v>0</v>
      </c>
    </row>
    <row r="11182" customFormat="false" ht="15" hidden="false" customHeight="false" outlineLevel="0" collapsed="false">
      <c r="A11182" s="7" t="s">
        <v>38</v>
      </c>
      <c r="B11182" s="7" t="s">
        <v>387</v>
      </c>
      <c r="C11182" s="7" t="s">
        <v>1095</v>
      </c>
      <c r="D11182" s="7" t="n">
        <v>0</v>
      </c>
      <c r="E11182" s="7" t="n">
        <v>0</v>
      </c>
      <c r="F11182" s="7" t="n">
        <v>10</v>
      </c>
      <c r="G11182" s="7" t="n">
        <v>89.81</v>
      </c>
    </row>
    <row r="11183" customFormat="false" ht="15" hidden="false" customHeight="false" outlineLevel="0" collapsed="false">
      <c r="A11183" s="7" t="s">
        <v>38</v>
      </c>
      <c r="B11183" s="7" t="s">
        <v>367</v>
      </c>
      <c r="C11183" s="7" t="s">
        <v>1095</v>
      </c>
      <c r="D11183" s="7" t="n">
        <v>10</v>
      </c>
      <c r="E11183" s="7" t="n">
        <v>119.22</v>
      </c>
      <c r="F11183" s="7" t="n">
        <v>0</v>
      </c>
      <c r="G11183" s="7" t="n">
        <v>0</v>
      </c>
    </row>
    <row r="11184" customFormat="false" ht="15" hidden="false" customHeight="false" outlineLevel="0" collapsed="false">
      <c r="A11184" s="7" t="s">
        <v>38</v>
      </c>
      <c r="B11184" s="7" t="s">
        <v>367</v>
      </c>
      <c r="C11184" s="7" t="s">
        <v>1095</v>
      </c>
      <c r="D11184" s="7" t="n">
        <v>0</v>
      </c>
      <c r="E11184" s="7" t="n">
        <v>0</v>
      </c>
      <c r="F11184" s="7" t="n">
        <v>20</v>
      </c>
      <c r="G11184" s="7" t="n">
        <v>199.58</v>
      </c>
    </row>
    <row r="11185" customFormat="false" ht="15" hidden="false" customHeight="false" outlineLevel="0" collapsed="false">
      <c r="A11185" s="7" t="s">
        <v>38</v>
      </c>
      <c r="B11185" s="7" t="s">
        <v>661</v>
      </c>
      <c r="C11185" s="7" t="s">
        <v>1096</v>
      </c>
      <c r="D11185" s="7" t="n">
        <v>15</v>
      </c>
      <c r="E11185" s="7" t="n">
        <v>107.3</v>
      </c>
      <c r="F11185" s="7" t="n">
        <v>0</v>
      </c>
      <c r="G11185" s="7" t="n">
        <v>0</v>
      </c>
    </row>
    <row r="11186" customFormat="false" ht="15" hidden="false" customHeight="false" outlineLevel="0" collapsed="false">
      <c r="A11186" s="7" t="s">
        <v>38</v>
      </c>
      <c r="B11186" s="7" t="s">
        <v>661</v>
      </c>
      <c r="C11186" s="7" t="s">
        <v>1096</v>
      </c>
      <c r="D11186" s="7" t="n">
        <v>0</v>
      </c>
      <c r="E11186" s="7" t="n">
        <v>0</v>
      </c>
      <c r="F11186" s="7" t="n">
        <v>12</v>
      </c>
      <c r="G11186" s="7" t="n">
        <v>71.85</v>
      </c>
    </row>
    <row r="11187" customFormat="false" ht="15" hidden="false" customHeight="false" outlineLevel="0" collapsed="false">
      <c r="A11187" s="7" t="s">
        <v>38</v>
      </c>
      <c r="B11187" s="7" t="s">
        <v>590</v>
      </c>
      <c r="C11187" s="7" t="s">
        <v>1097</v>
      </c>
      <c r="D11187" s="7" t="n">
        <v>30</v>
      </c>
      <c r="E11187" s="7" t="n">
        <v>238.44</v>
      </c>
      <c r="F11187" s="7" t="n">
        <v>0</v>
      </c>
      <c r="G11187" s="7" t="n">
        <v>0</v>
      </c>
    </row>
    <row r="11188" customFormat="false" ht="15" hidden="false" customHeight="false" outlineLevel="0" collapsed="false">
      <c r="A11188" s="7" t="s">
        <v>38</v>
      </c>
      <c r="B11188" s="7" t="s">
        <v>590</v>
      </c>
      <c r="C11188" s="7" t="s">
        <v>1097</v>
      </c>
      <c r="D11188" s="7" t="n">
        <v>20</v>
      </c>
      <c r="E11188" s="7" t="n">
        <v>150.96</v>
      </c>
      <c r="F11188" s="7" t="n">
        <v>0</v>
      </c>
      <c r="G11188" s="7" t="n">
        <v>0</v>
      </c>
    </row>
    <row r="11189" customFormat="false" ht="15" hidden="false" customHeight="false" outlineLevel="0" collapsed="false">
      <c r="A11189" s="7" t="s">
        <v>38</v>
      </c>
      <c r="B11189" s="7" t="s">
        <v>590</v>
      </c>
      <c r="C11189" s="7" t="s">
        <v>1097</v>
      </c>
      <c r="D11189" s="7" t="n">
        <v>0</v>
      </c>
      <c r="E11189" s="7" t="n">
        <v>0</v>
      </c>
      <c r="F11189" s="7" t="n">
        <v>20</v>
      </c>
      <c r="G11189" s="7" t="n">
        <v>133.05</v>
      </c>
    </row>
    <row r="11190" customFormat="false" ht="15" hidden="false" customHeight="false" outlineLevel="0" collapsed="false">
      <c r="A11190" s="7" t="s">
        <v>38</v>
      </c>
      <c r="B11190" s="7" t="s">
        <v>642</v>
      </c>
      <c r="C11190" s="7" t="s">
        <v>1231</v>
      </c>
      <c r="D11190" s="7" t="n">
        <v>12</v>
      </c>
      <c r="E11190" s="7" t="n">
        <v>200.29</v>
      </c>
      <c r="F11190" s="7" t="n">
        <v>0</v>
      </c>
      <c r="G11190" s="7" t="n">
        <v>0</v>
      </c>
    </row>
    <row r="11191" customFormat="false" ht="15" hidden="false" customHeight="false" outlineLevel="0" collapsed="false">
      <c r="A11191" s="7" t="s">
        <v>38</v>
      </c>
      <c r="B11191" s="7" t="s">
        <v>570</v>
      </c>
      <c r="C11191" s="7" t="s">
        <v>1231</v>
      </c>
      <c r="D11191" s="7" t="n">
        <v>0</v>
      </c>
      <c r="E11191" s="7" t="n">
        <v>0</v>
      </c>
      <c r="F11191" s="7" t="n">
        <v>10</v>
      </c>
      <c r="G11191" s="7" t="n">
        <v>139.7</v>
      </c>
    </row>
    <row r="11192" customFormat="false" ht="15" hidden="false" customHeight="false" outlineLevel="0" collapsed="false">
      <c r="A11192" s="7" t="s">
        <v>38</v>
      </c>
      <c r="B11192" s="7" t="s">
        <v>317</v>
      </c>
      <c r="C11192" s="7" t="s">
        <v>1231</v>
      </c>
      <c r="D11192" s="7" t="n">
        <v>10</v>
      </c>
      <c r="E11192" s="7" t="n">
        <v>158.5</v>
      </c>
      <c r="F11192" s="7" t="n">
        <v>0</v>
      </c>
      <c r="G11192" s="7" t="n">
        <v>0</v>
      </c>
    </row>
    <row r="11193" customFormat="false" ht="15" hidden="false" customHeight="false" outlineLevel="0" collapsed="false">
      <c r="A11193" s="7" t="s">
        <v>38</v>
      </c>
      <c r="B11193" s="7" t="s">
        <v>317</v>
      </c>
      <c r="C11193" s="7" t="s">
        <v>1231</v>
      </c>
      <c r="D11193" s="7" t="n">
        <v>0</v>
      </c>
      <c r="E11193" s="7" t="n">
        <v>0</v>
      </c>
      <c r="F11193" s="7" t="n">
        <v>8</v>
      </c>
      <c r="G11193" s="7" t="n">
        <v>111.76</v>
      </c>
    </row>
    <row r="11194" customFormat="false" ht="15" hidden="false" customHeight="false" outlineLevel="0" collapsed="false">
      <c r="A11194" s="7" t="s">
        <v>38</v>
      </c>
      <c r="B11194" s="7" t="s">
        <v>409</v>
      </c>
      <c r="C11194" s="7" t="s">
        <v>1231</v>
      </c>
      <c r="D11194" s="7" t="n">
        <v>8</v>
      </c>
      <c r="E11194" s="7" t="n">
        <v>126.8</v>
      </c>
      <c r="F11194" s="7" t="n">
        <v>0</v>
      </c>
      <c r="G11194" s="7" t="n">
        <v>0</v>
      </c>
    </row>
    <row r="11195" customFormat="false" ht="15" hidden="false" customHeight="false" outlineLevel="0" collapsed="false">
      <c r="A11195" s="7" t="s">
        <v>38</v>
      </c>
      <c r="B11195" s="7" t="s">
        <v>409</v>
      </c>
      <c r="C11195" s="7" t="s">
        <v>1231</v>
      </c>
      <c r="D11195" s="7" t="n">
        <v>0</v>
      </c>
      <c r="E11195" s="7" t="n">
        <v>0</v>
      </c>
      <c r="F11195" s="7" t="n">
        <v>4</v>
      </c>
      <c r="G11195" s="7" t="n">
        <v>55.88</v>
      </c>
    </row>
    <row r="11196" customFormat="false" ht="15" hidden="false" customHeight="false" outlineLevel="0" collapsed="false">
      <c r="A11196" s="7" t="s">
        <v>38</v>
      </c>
      <c r="B11196" s="7" t="s">
        <v>119</v>
      </c>
      <c r="C11196" s="7" t="s">
        <v>1100</v>
      </c>
      <c r="D11196" s="7" t="n">
        <v>0</v>
      </c>
      <c r="E11196" s="7" t="n">
        <v>0</v>
      </c>
      <c r="F11196" s="7" t="n">
        <v>30</v>
      </c>
      <c r="G11196" s="7" t="n">
        <v>469.01</v>
      </c>
    </row>
    <row r="11197" customFormat="false" ht="15" hidden="false" customHeight="false" outlineLevel="0" collapsed="false">
      <c r="A11197" s="7" t="s">
        <v>38</v>
      </c>
      <c r="B11197" s="7" t="s">
        <v>119</v>
      </c>
      <c r="C11197" s="7" t="s">
        <v>1100</v>
      </c>
      <c r="D11197" s="7" t="n">
        <v>40</v>
      </c>
      <c r="E11197" s="7" t="n">
        <v>747.11</v>
      </c>
      <c r="F11197" s="7" t="n">
        <v>0</v>
      </c>
      <c r="G11197" s="7" t="n">
        <v>0</v>
      </c>
    </row>
    <row r="11198" customFormat="false" ht="15" hidden="false" customHeight="false" outlineLevel="0" collapsed="false">
      <c r="A11198" s="7" t="s">
        <v>38</v>
      </c>
      <c r="B11198" s="7" t="s">
        <v>119</v>
      </c>
      <c r="C11198" s="7" t="s">
        <v>1100</v>
      </c>
      <c r="D11198" s="7" t="n">
        <v>30</v>
      </c>
      <c r="E11198" s="7" t="n">
        <v>532.12</v>
      </c>
      <c r="F11198" s="7" t="n">
        <v>0</v>
      </c>
      <c r="G11198" s="7" t="n">
        <v>0</v>
      </c>
    </row>
    <row r="11199" customFormat="false" ht="15" hidden="false" customHeight="false" outlineLevel="0" collapsed="false">
      <c r="A11199" s="7" t="s">
        <v>38</v>
      </c>
      <c r="B11199" s="7" t="s">
        <v>339</v>
      </c>
      <c r="C11199" s="7" t="s">
        <v>1155</v>
      </c>
      <c r="D11199" s="7" t="n">
        <v>30</v>
      </c>
      <c r="E11199" s="7" t="n">
        <v>1573.72</v>
      </c>
      <c r="F11199" s="7" t="n">
        <v>0</v>
      </c>
      <c r="G11199" s="7" t="n">
        <v>0</v>
      </c>
    </row>
    <row r="11200" customFormat="false" ht="15" hidden="false" customHeight="false" outlineLevel="0" collapsed="false">
      <c r="A11200" s="7" t="s">
        <v>38</v>
      </c>
      <c r="B11200" s="7" t="s">
        <v>780</v>
      </c>
      <c r="C11200" s="7" t="s">
        <v>1155</v>
      </c>
      <c r="D11200" s="7" t="n">
        <v>30</v>
      </c>
      <c r="E11200" s="7" t="n">
        <v>1573.72</v>
      </c>
      <c r="F11200" s="7" t="n">
        <v>0</v>
      </c>
      <c r="G11200" s="7" t="n">
        <v>0</v>
      </c>
    </row>
    <row r="11201" customFormat="false" ht="15" hidden="false" customHeight="false" outlineLevel="0" collapsed="false">
      <c r="A11201" s="7" t="s">
        <v>38</v>
      </c>
      <c r="B11201" s="7" t="s">
        <v>593</v>
      </c>
      <c r="C11201" s="7" t="s">
        <v>1155</v>
      </c>
      <c r="D11201" s="7" t="n">
        <v>10</v>
      </c>
      <c r="E11201" s="7" t="n">
        <v>524.57</v>
      </c>
      <c r="F11201" s="7" t="n">
        <v>0</v>
      </c>
      <c r="G11201" s="7" t="n">
        <v>0</v>
      </c>
    </row>
    <row r="11202" customFormat="false" ht="15" hidden="false" customHeight="false" outlineLevel="0" collapsed="false">
      <c r="A11202" s="7" t="s">
        <v>38</v>
      </c>
      <c r="B11202" s="7" t="s">
        <v>276</v>
      </c>
      <c r="C11202" s="7" t="s">
        <v>1155</v>
      </c>
      <c r="D11202" s="7" t="n">
        <v>25</v>
      </c>
      <c r="E11202" s="7" t="n">
        <v>1311.43</v>
      </c>
      <c r="F11202" s="7" t="n">
        <v>0</v>
      </c>
      <c r="G11202" s="7" t="n">
        <v>0</v>
      </c>
    </row>
    <row r="11203" customFormat="false" ht="15" hidden="false" customHeight="false" outlineLevel="0" collapsed="false">
      <c r="A11203" s="7" t="s">
        <v>38</v>
      </c>
      <c r="B11203" s="7" t="s">
        <v>288</v>
      </c>
      <c r="C11203" s="7" t="s">
        <v>1155</v>
      </c>
      <c r="D11203" s="7" t="n">
        <v>15</v>
      </c>
      <c r="E11203" s="7" t="n">
        <v>786.86</v>
      </c>
      <c r="F11203" s="7" t="n">
        <v>0</v>
      </c>
      <c r="G11203" s="7" t="n">
        <v>0</v>
      </c>
    </row>
    <row r="11204" customFormat="false" ht="15" hidden="false" customHeight="false" outlineLevel="0" collapsed="false">
      <c r="A11204" s="7" t="s">
        <v>38</v>
      </c>
      <c r="B11204" s="7" t="s">
        <v>369</v>
      </c>
      <c r="C11204" s="7" t="s">
        <v>1246</v>
      </c>
      <c r="D11204" s="7" t="n">
        <v>0</v>
      </c>
      <c r="E11204" s="7" t="n">
        <v>0</v>
      </c>
      <c r="F11204" s="7" t="n">
        <v>10</v>
      </c>
      <c r="G11204" s="7" t="n">
        <v>104.78</v>
      </c>
    </row>
    <row r="11205" customFormat="false" ht="15" hidden="false" customHeight="false" outlineLevel="0" collapsed="false">
      <c r="A11205" s="7" t="s">
        <v>38</v>
      </c>
      <c r="B11205" s="7" t="s">
        <v>369</v>
      </c>
      <c r="C11205" s="7" t="s">
        <v>1246</v>
      </c>
      <c r="D11205" s="7" t="n">
        <v>20</v>
      </c>
      <c r="E11205" s="7" t="n">
        <v>250.36</v>
      </c>
      <c r="F11205" s="7" t="n">
        <v>0</v>
      </c>
      <c r="G11205" s="7" t="n">
        <v>0</v>
      </c>
    </row>
    <row r="11206" customFormat="false" ht="15" hidden="false" customHeight="false" outlineLevel="0" collapsed="false">
      <c r="A11206" s="7" t="s">
        <v>38</v>
      </c>
      <c r="B11206" s="7" t="s">
        <v>435</v>
      </c>
      <c r="C11206" s="7" t="s">
        <v>1246</v>
      </c>
      <c r="D11206" s="7" t="n">
        <v>10</v>
      </c>
      <c r="E11206" s="7" t="n">
        <v>118.88</v>
      </c>
      <c r="F11206" s="7" t="n">
        <v>0</v>
      </c>
      <c r="G11206" s="7" t="n">
        <v>0</v>
      </c>
    </row>
    <row r="11207" customFormat="false" ht="15" hidden="false" customHeight="false" outlineLevel="0" collapsed="false">
      <c r="A11207" s="7" t="s">
        <v>38</v>
      </c>
      <c r="B11207" s="7" t="s">
        <v>435</v>
      </c>
      <c r="C11207" s="7" t="s">
        <v>1246</v>
      </c>
      <c r="D11207" s="7" t="n">
        <v>0</v>
      </c>
      <c r="E11207" s="7" t="n">
        <v>0</v>
      </c>
      <c r="F11207" s="7" t="n">
        <v>8</v>
      </c>
      <c r="G11207" s="7" t="n">
        <v>83.82</v>
      </c>
    </row>
    <row r="11208" customFormat="false" ht="15" hidden="false" customHeight="false" outlineLevel="0" collapsed="false">
      <c r="A11208" s="7" t="s">
        <v>38</v>
      </c>
      <c r="B11208" s="7" t="s">
        <v>435</v>
      </c>
      <c r="C11208" s="7" t="s">
        <v>1246</v>
      </c>
      <c r="D11208" s="7" t="n">
        <v>20</v>
      </c>
      <c r="E11208" s="7" t="n">
        <v>250.36</v>
      </c>
      <c r="F11208" s="7" t="n">
        <v>0</v>
      </c>
      <c r="G11208" s="7" t="n">
        <v>0</v>
      </c>
    </row>
    <row r="11209" customFormat="false" ht="15" hidden="false" customHeight="false" outlineLevel="0" collapsed="false">
      <c r="A11209" s="7" t="s">
        <v>38</v>
      </c>
      <c r="B11209" s="7" t="s">
        <v>560</v>
      </c>
      <c r="C11209" s="7" t="s">
        <v>1246</v>
      </c>
      <c r="D11209" s="7" t="n">
        <v>10</v>
      </c>
      <c r="E11209" s="7" t="n">
        <v>125.18</v>
      </c>
      <c r="F11209" s="7" t="n">
        <v>0</v>
      </c>
      <c r="G11209" s="7" t="n">
        <v>0</v>
      </c>
    </row>
    <row r="11210" customFormat="false" ht="15" hidden="false" customHeight="false" outlineLevel="0" collapsed="false">
      <c r="A11210" s="7" t="s">
        <v>38</v>
      </c>
      <c r="B11210" s="7" t="s">
        <v>676</v>
      </c>
      <c r="C11210" s="7" t="s">
        <v>1246</v>
      </c>
      <c r="D11210" s="7" t="n">
        <v>15</v>
      </c>
      <c r="E11210" s="7" t="n">
        <v>187.77</v>
      </c>
      <c r="F11210" s="7" t="n">
        <v>0</v>
      </c>
      <c r="G11210" s="7" t="n">
        <v>0</v>
      </c>
    </row>
    <row r="11211" customFormat="false" ht="15" hidden="false" customHeight="false" outlineLevel="0" collapsed="false">
      <c r="A11211" s="7" t="s">
        <v>38</v>
      </c>
      <c r="B11211" s="7" t="s">
        <v>676</v>
      </c>
      <c r="C11211" s="7" t="s">
        <v>1246</v>
      </c>
      <c r="D11211" s="7" t="n">
        <v>0</v>
      </c>
      <c r="E11211" s="7" t="n">
        <v>0</v>
      </c>
      <c r="F11211" s="7" t="n">
        <v>10</v>
      </c>
      <c r="G11211" s="7" t="n">
        <v>104.78</v>
      </c>
    </row>
    <row r="11212" customFormat="false" ht="15" hidden="false" customHeight="false" outlineLevel="0" collapsed="false">
      <c r="A11212" s="7" t="s">
        <v>38</v>
      </c>
      <c r="B11212" s="7" t="s">
        <v>782</v>
      </c>
      <c r="C11212" s="7" t="s">
        <v>1246</v>
      </c>
      <c r="D11212" s="7" t="n">
        <v>0</v>
      </c>
      <c r="E11212" s="7" t="n">
        <v>0</v>
      </c>
      <c r="F11212" s="7" t="n">
        <v>8</v>
      </c>
      <c r="G11212" s="7" t="n">
        <v>83.82</v>
      </c>
    </row>
    <row r="11213" customFormat="false" ht="15" hidden="false" customHeight="false" outlineLevel="0" collapsed="false">
      <c r="A11213" s="7" t="s">
        <v>38</v>
      </c>
      <c r="B11213" s="7" t="s">
        <v>782</v>
      </c>
      <c r="C11213" s="7" t="s">
        <v>1246</v>
      </c>
      <c r="D11213" s="7" t="n">
        <v>4</v>
      </c>
      <c r="E11213" s="7" t="n">
        <v>50.07</v>
      </c>
      <c r="F11213" s="7" t="n">
        <v>0</v>
      </c>
      <c r="G11213" s="7" t="n">
        <v>0</v>
      </c>
    </row>
    <row r="11214" customFormat="false" ht="15" hidden="false" customHeight="false" outlineLevel="0" collapsed="false">
      <c r="A11214" s="7" t="s">
        <v>38</v>
      </c>
      <c r="B11214" s="7" t="s">
        <v>698</v>
      </c>
      <c r="C11214" s="7" t="s">
        <v>1056</v>
      </c>
      <c r="D11214" s="7" t="n">
        <v>0</v>
      </c>
      <c r="E11214" s="7" t="n">
        <v>0</v>
      </c>
      <c r="F11214" s="7" t="n">
        <v>10</v>
      </c>
      <c r="G11214" s="7" t="n">
        <v>98.13</v>
      </c>
    </row>
    <row r="11215" customFormat="false" ht="15" hidden="false" customHeight="false" outlineLevel="0" collapsed="false">
      <c r="A11215" s="7" t="s">
        <v>38</v>
      </c>
      <c r="B11215" s="7" t="s">
        <v>698</v>
      </c>
      <c r="C11215" s="7" t="s">
        <v>1056</v>
      </c>
      <c r="D11215" s="7" t="n">
        <v>20</v>
      </c>
      <c r="E11215" s="7" t="n">
        <v>234.47</v>
      </c>
      <c r="F11215" s="7" t="n">
        <v>0</v>
      </c>
      <c r="G11215" s="7" t="n">
        <v>0</v>
      </c>
    </row>
    <row r="11216" customFormat="false" ht="15" hidden="false" customHeight="false" outlineLevel="0" collapsed="false">
      <c r="A11216" s="7" t="s">
        <v>38</v>
      </c>
      <c r="B11216" s="7" t="s">
        <v>698</v>
      </c>
      <c r="C11216" s="7" t="s">
        <v>1056</v>
      </c>
      <c r="D11216" s="7" t="n">
        <v>10</v>
      </c>
      <c r="E11216" s="7" t="n">
        <v>111.33</v>
      </c>
      <c r="F11216" s="7" t="n">
        <v>0</v>
      </c>
      <c r="G11216" s="7" t="n">
        <v>0</v>
      </c>
    </row>
    <row r="11217" customFormat="false" ht="15" hidden="false" customHeight="false" outlineLevel="0" collapsed="false">
      <c r="A11217" s="7" t="s">
        <v>38</v>
      </c>
      <c r="B11217" s="7" t="s">
        <v>505</v>
      </c>
      <c r="C11217" s="7" t="s">
        <v>1056</v>
      </c>
      <c r="D11217" s="7" t="n">
        <v>10</v>
      </c>
      <c r="E11217" s="7" t="n">
        <v>111.33</v>
      </c>
      <c r="F11217" s="7" t="n">
        <v>0</v>
      </c>
      <c r="G11217" s="7" t="n">
        <v>0</v>
      </c>
    </row>
    <row r="11218" customFormat="false" ht="15" hidden="false" customHeight="false" outlineLevel="0" collapsed="false">
      <c r="A11218" s="7" t="s">
        <v>38</v>
      </c>
      <c r="B11218" s="7" t="s">
        <v>505</v>
      </c>
      <c r="C11218" s="7" t="s">
        <v>1056</v>
      </c>
      <c r="D11218" s="7" t="n">
        <v>0</v>
      </c>
      <c r="E11218" s="7" t="n">
        <v>0</v>
      </c>
      <c r="F11218" s="7" t="n">
        <v>4</v>
      </c>
      <c r="G11218" s="7" t="n">
        <v>39.25</v>
      </c>
    </row>
    <row r="11219" customFormat="false" ht="15" hidden="false" customHeight="false" outlineLevel="0" collapsed="false">
      <c r="A11219" s="7" t="s">
        <v>38</v>
      </c>
      <c r="B11219" s="7" t="s">
        <v>505</v>
      </c>
      <c r="C11219" s="7" t="s">
        <v>1056</v>
      </c>
      <c r="D11219" s="7" t="n">
        <v>10</v>
      </c>
      <c r="E11219" s="7" t="n">
        <v>117.23</v>
      </c>
      <c r="F11219" s="7" t="n">
        <v>0</v>
      </c>
      <c r="G11219" s="7" t="n">
        <v>0</v>
      </c>
    </row>
    <row r="11220" customFormat="false" ht="15" hidden="false" customHeight="false" outlineLevel="0" collapsed="false">
      <c r="A11220" s="7" t="s">
        <v>38</v>
      </c>
      <c r="B11220" s="7" t="s">
        <v>805</v>
      </c>
      <c r="C11220" s="7" t="s">
        <v>1056</v>
      </c>
      <c r="D11220" s="7" t="n">
        <v>20</v>
      </c>
      <c r="E11220" s="7" t="n">
        <v>234.47</v>
      </c>
      <c r="F11220" s="7" t="n">
        <v>0</v>
      </c>
      <c r="G11220" s="7" t="n">
        <v>0</v>
      </c>
    </row>
    <row r="11221" customFormat="false" ht="15" hidden="false" customHeight="false" outlineLevel="0" collapsed="false">
      <c r="A11221" s="7" t="s">
        <v>38</v>
      </c>
      <c r="B11221" s="7" t="s">
        <v>805</v>
      </c>
      <c r="C11221" s="7" t="s">
        <v>1056</v>
      </c>
      <c r="D11221" s="7" t="n">
        <v>0</v>
      </c>
      <c r="E11221" s="7" t="n">
        <v>0</v>
      </c>
      <c r="F11221" s="7" t="n">
        <v>10</v>
      </c>
      <c r="G11221" s="7" t="n">
        <v>98.13</v>
      </c>
    </row>
    <row r="11222" customFormat="false" ht="15" hidden="false" customHeight="false" outlineLevel="0" collapsed="false">
      <c r="A11222" s="7" t="s">
        <v>38</v>
      </c>
      <c r="B11222" s="7" t="s">
        <v>657</v>
      </c>
      <c r="C11222" s="7" t="s">
        <v>1056</v>
      </c>
      <c r="D11222" s="7" t="n">
        <v>4</v>
      </c>
      <c r="E11222" s="7" t="n">
        <v>46.89</v>
      </c>
      <c r="F11222" s="7" t="n">
        <v>0</v>
      </c>
      <c r="G11222" s="7" t="n">
        <v>0</v>
      </c>
    </row>
    <row r="11223" customFormat="false" ht="15" hidden="false" customHeight="false" outlineLevel="0" collapsed="false">
      <c r="A11223" s="7" t="s">
        <v>38</v>
      </c>
      <c r="B11223" s="7" t="s">
        <v>657</v>
      </c>
      <c r="C11223" s="7" t="s">
        <v>1056</v>
      </c>
      <c r="D11223" s="7" t="n">
        <v>5</v>
      </c>
      <c r="E11223" s="7" t="n">
        <v>55.67</v>
      </c>
      <c r="F11223" s="7" t="n">
        <v>0</v>
      </c>
      <c r="G11223" s="7" t="n">
        <v>0</v>
      </c>
    </row>
    <row r="11224" customFormat="false" ht="15" hidden="false" customHeight="false" outlineLevel="0" collapsed="false">
      <c r="A11224" s="7" t="s">
        <v>38</v>
      </c>
      <c r="B11224" s="7" t="s">
        <v>657</v>
      </c>
      <c r="C11224" s="7" t="s">
        <v>1056</v>
      </c>
      <c r="D11224" s="7" t="n">
        <v>0</v>
      </c>
      <c r="E11224" s="7" t="n">
        <v>0</v>
      </c>
      <c r="F11224" s="7" t="n">
        <v>10</v>
      </c>
      <c r="G11224" s="7" t="n">
        <v>98.13</v>
      </c>
    </row>
    <row r="11225" customFormat="false" ht="15" hidden="false" customHeight="false" outlineLevel="0" collapsed="false">
      <c r="A11225" s="7" t="s">
        <v>38</v>
      </c>
      <c r="B11225" s="7" t="s">
        <v>785</v>
      </c>
      <c r="C11225" s="7" t="s">
        <v>1057</v>
      </c>
      <c r="D11225" s="7" t="n">
        <v>10</v>
      </c>
      <c r="E11225" s="7" t="n">
        <v>476.88</v>
      </c>
      <c r="F11225" s="7" t="n">
        <v>0</v>
      </c>
      <c r="G11225" s="7" t="n">
        <v>0</v>
      </c>
    </row>
    <row r="11226" customFormat="false" ht="15" hidden="false" customHeight="false" outlineLevel="0" collapsed="false">
      <c r="A11226" s="7" t="s">
        <v>38</v>
      </c>
      <c r="B11226" s="7" t="s">
        <v>785</v>
      </c>
      <c r="C11226" s="7" t="s">
        <v>1057</v>
      </c>
      <c r="D11226" s="7" t="n">
        <v>0</v>
      </c>
      <c r="E11226" s="7" t="n">
        <v>0</v>
      </c>
      <c r="F11226" s="7" t="n">
        <v>8</v>
      </c>
      <c r="G11226" s="7" t="n">
        <v>319.32</v>
      </c>
    </row>
    <row r="11227" customFormat="false" ht="15" hidden="false" customHeight="false" outlineLevel="0" collapsed="false">
      <c r="A11227" s="7" t="s">
        <v>38</v>
      </c>
      <c r="B11227" s="7" t="s">
        <v>581</v>
      </c>
      <c r="C11227" s="7" t="s">
        <v>1057</v>
      </c>
      <c r="D11227" s="7" t="n">
        <v>10</v>
      </c>
      <c r="E11227" s="7" t="n">
        <v>476.88</v>
      </c>
      <c r="F11227" s="7" t="n">
        <v>0</v>
      </c>
      <c r="G11227" s="7" t="n">
        <v>0</v>
      </c>
    </row>
    <row r="11228" customFormat="false" ht="15" hidden="false" customHeight="false" outlineLevel="0" collapsed="false">
      <c r="A11228" s="7" t="s">
        <v>38</v>
      </c>
      <c r="B11228" s="7" t="s">
        <v>581</v>
      </c>
      <c r="C11228" s="7" t="s">
        <v>1057</v>
      </c>
      <c r="D11228" s="7" t="n">
        <v>0</v>
      </c>
      <c r="E11228" s="7" t="n">
        <v>0</v>
      </c>
      <c r="F11228" s="7" t="n">
        <v>2</v>
      </c>
      <c r="G11228" s="7" t="n">
        <v>79.83</v>
      </c>
    </row>
    <row r="11229" customFormat="false" ht="15" hidden="false" customHeight="false" outlineLevel="0" collapsed="false">
      <c r="A11229" s="7" t="s">
        <v>38</v>
      </c>
      <c r="B11229" s="7" t="s">
        <v>610</v>
      </c>
      <c r="C11229" s="7" t="s">
        <v>1057</v>
      </c>
      <c r="D11229" s="7" t="n">
        <v>0</v>
      </c>
      <c r="E11229" s="7" t="n">
        <v>0</v>
      </c>
      <c r="F11229" s="7" t="n">
        <v>2</v>
      </c>
      <c r="G11229" s="7" t="n">
        <v>79.83</v>
      </c>
    </row>
    <row r="11230" customFormat="false" ht="15" hidden="false" customHeight="false" outlineLevel="0" collapsed="false">
      <c r="A11230" s="7" t="s">
        <v>38</v>
      </c>
      <c r="B11230" s="7" t="s">
        <v>784</v>
      </c>
      <c r="C11230" s="7" t="s">
        <v>1057</v>
      </c>
      <c r="D11230" s="7" t="n">
        <v>4</v>
      </c>
      <c r="E11230" s="7" t="n">
        <v>190.75</v>
      </c>
      <c r="F11230" s="7" t="n">
        <v>0</v>
      </c>
      <c r="G11230" s="7" t="n">
        <v>0</v>
      </c>
    </row>
    <row r="11231" customFormat="false" ht="15" hidden="false" customHeight="false" outlineLevel="0" collapsed="false">
      <c r="A11231" s="7" t="s">
        <v>38</v>
      </c>
      <c r="B11231" s="7" t="s">
        <v>784</v>
      </c>
      <c r="C11231" s="7" t="s">
        <v>1057</v>
      </c>
      <c r="D11231" s="7" t="n">
        <v>0</v>
      </c>
      <c r="E11231" s="7" t="n">
        <v>0</v>
      </c>
      <c r="F11231" s="7" t="n">
        <v>3</v>
      </c>
      <c r="G11231" s="7" t="n">
        <v>119.75</v>
      </c>
    </row>
    <row r="11232" customFormat="false" ht="15" hidden="false" customHeight="false" outlineLevel="0" collapsed="false">
      <c r="A11232" s="7" t="s">
        <v>38</v>
      </c>
      <c r="B11232" s="7" t="s">
        <v>786</v>
      </c>
      <c r="C11232" s="7" t="s">
        <v>1057</v>
      </c>
      <c r="D11232" s="7" t="n">
        <v>0</v>
      </c>
      <c r="E11232" s="7" t="n">
        <v>0</v>
      </c>
      <c r="F11232" s="7" t="n">
        <v>2</v>
      </c>
      <c r="G11232" s="7" t="n">
        <v>79.83</v>
      </c>
    </row>
    <row r="11233" customFormat="false" ht="15" hidden="false" customHeight="false" outlineLevel="0" collapsed="false">
      <c r="A11233" s="7" t="s">
        <v>38</v>
      </c>
      <c r="B11233" s="7" t="s">
        <v>403</v>
      </c>
      <c r="C11233" s="7" t="s">
        <v>1058</v>
      </c>
      <c r="D11233" s="7" t="n">
        <v>6</v>
      </c>
      <c r="E11233" s="7" t="n">
        <v>604.45</v>
      </c>
      <c r="F11233" s="7" t="n">
        <v>0</v>
      </c>
      <c r="G11233" s="7" t="n">
        <v>0</v>
      </c>
    </row>
    <row r="11234" customFormat="false" ht="15" hidden="false" customHeight="false" outlineLevel="0" collapsed="false">
      <c r="A11234" s="7" t="s">
        <v>38</v>
      </c>
      <c r="B11234" s="7" t="s">
        <v>403</v>
      </c>
      <c r="C11234" s="7" t="s">
        <v>1058</v>
      </c>
      <c r="D11234" s="7" t="n">
        <v>0</v>
      </c>
      <c r="E11234" s="7" t="n">
        <v>0</v>
      </c>
      <c r="F11234" s="7" t="n">
        <v>2</v>
      </c>
      <c r="G11234" s="7" t="n">
        <v>168.64</v>
      </c>
    </row>
    <row r="11235" customFormat="false" ht="15" hidden="false" customHeight="false" outlineLevel="0" collapsed="false">
      <c r="A11235" s="7" t="s">
        <v>38</v>
      </c>
      <c r="B11235" s="7" t="s">
        <v>169</v>
      </c>
      <c r="C11235" s="7" t="s">
        <v>1058</v>
      </c>
      <c r="D11235" s="7" t="n">
        <v>6</v>
      </c>
      <c r="E11235" s="7" t="n">
        <v>604.45</v>
      </c>
      <c r="F11235" s="7" t="n">
        <v>0</v>
      </c>
      <c r="G11235" s="7" t="n">
        <v>0</v>
      </c>
    </row>
    <row r="11236" customFormat="false" ht="15" hidden="false" customHeight="false" outlineLevel="0" collapsed="false">
      <c r="A11236" s="7" t="s">
        <v>38</v>
      </c>
      <c r="B11236" s="7" t="s">
        <v>169</v>
      </c>
      <c r="C11236" s="7" t="s">
        <v>1058</v>
      </c>
      <c r="D11236" s="7" t="n">
        <v>0</v>
      </c>
      <c r="E11236" s="7" t="n">
        <v>0</v>
      </c>
      <c r="F11236" s="7" t="n">
        <v>6</v>
      </c>
      <c r="G11236" s="7" t="n">
        <v>505.93</v>
      </c>
    </row>
    <row r="11237" customFormat="false" ht="15" hidden="false" customHeight="false" outlineLevel="0" collapsed="false">
      <c r="A11237" s="7" t="s">
        <v>38</v>
      </c>
      <c r="B11237" s="7" t="s">
        <v>385</v>
      </c>
      <c r="C11237" s="7" t="s">
        <v>1058</v>
      </c>
      <c r="D11237" s="7" t="n">
        <v>0</v>
      </c>
      <c r="E11237" s="7" t="n">
        <v>0</v>
      </c>
      <c r="F11237" s="7" t="n">
        <v>2</v>
      </c>
      <c r="G11237" s="7" t="n">
        <v>168.64</v>
      </c>
    </row>
    <row r="11238" customFormat="false" ht="15" hidden="false" customHeight="false" outlineLevel="0" collapsed="false">
      <c r="A11238" s="7" t="s">
        <v>38</v>
      </c>
      <c r="B11238" s="7" t="s">
        <v>407</v>
      </c>
      <c r="C11238" s="7" t="s">
        <v>1058</v>
      </c>
      <c r="D11238" s="7" t="n">
        <v>3</v>
      </c>
      <c r="E11238" s="7" t="n">
        <v>302.22</v>
      </c>
      <c r="F11238" s="7" t="n">
        <v>0</v>
      </c>
      <c r="G11238" s="7" t="n">
        <v>0</v>
      </c>
    </row>
    <row r="11239" customFormat="false" ht="15" hidden="false" customHeight="false" outlineLevel="0" collapsed="false">
      <c r="A11239" s="7" t="s">
        <v>38</v>
      </c>
      <c r="B11239" s="7" t="s">
        <v>262</v>
      </c>
      <c r="C11239" s="7" t="s">
        <v>1107</v>
      </c>
      <c r="D11239" s="7" t="n">
        <v>6</v>
      </c>
      <c r="E11239" s="7" t="n">
        <v>148.31</v>
      </c>
      <c r="F11239" s="7" t="n">
        <v>0</v>
      </c>
      <c r="G11239" s="7" t="n">
        <v>0</v>
      </c>
    </row>
    <row r="11240" customFormat="false" ht="15" hidden="false" customHeight="false" outlineLevel="0" collapsed="false">
      <c r="A11240" s="7" t="s">
        <v>38</v>
      </c>
      <c r="B11240" s="7" t="s">
        <v>262</v>
      </c>
      <c r="C11240" s="7" t="s">
        <v>1107</v>
      </c>
      <c r="D11240" s="7" t="n">
        <v>3</v>
      </c>
      <c r="E11240" s="7" t="n">
        <v>78.09</v>
      </c>
      <c r="F11240" s="7" t="n">
        <v>0</v>
      </c>
      <c r="G11240" s="7" t="n">
        <v>0</v>
      </c>
    </row>
    <row r="11241" customFormat="false" ht="15" hidden="false" customHeight="false" outlineLevel="0" collapsed="false">
      <c r="A11241" s="7" t="s">
        <v>38</v>
      </c>
      <c r="B11241" s="7" t="s">
        <v>262</v>
      </c>
      <c r="C11241" s="7" t="s">
        <v>1107</v>
      </c>
      <c r="D11241" s="7" t="n">
        <v>0</v>
      </c>
      <c r="E11241" s="7" t="n">
        <v>0</v>
      </c>
      <c r="F11241" s="7" t="n">
        <v>6</v>
      </c>
      <c r="G11241" s="7" t="n">
        <v>130.72</v>
      </c>
    </row>
    <row r="11242" customFormat="false" ht="15" hidden="false" customHeight="false" outlineLevel="0" collapsed="false">
      <c r="A11242" s="7" t="s">
        <v>38</v>
      </c>
      <c r="B11242" s="7" t="s">
        <v>596</v>
      </c>
      <c r="C11242" s="7" t="s">
        <v>1107</v>
      </c>
      <c r="D11242" s="7" t="n">
        <v>0</v>
      </c>
      <c r="E11242" s="7" t="n">
        <v>0</v>
      </c>
      <c r="F11242" s="7" t="n">
        <v>3</v>
      </c>
      <c r="G11242" s="7" t="n">
        <v>65.36</v>
      </c>
    </row>
    <row r="11243" customFormat="false" ht="15" hidden="false" customHeight="false" outlineLevel="0" collapsed="false">
      <c r="A11243" s="7" t="s">
        <v>38</v>
      </c>
      <c r="B11243" s="7" t="s">
        <v>596</v>
      </c>
      <c r="C11243" s="7" t="s">
        <v>1107</v>
      </c>
      <c r="D11243" s="7" t="n">
        <v>6</v>
      </c>
      <c r="E11243" s="7" t="n">
        <v>148.31</v>
      </c>
      <c r="F11243" s="7" t="n">
        <v>0</v>
      </c>
      <c r="G11243" s="7" t="n">
        <v>0</v>
      </c>
    </row>
    <row r="11244" customFormat="false" ht="15" hidden="false" customHeight="false" outlineLevel="0" collapsed="false">
      <c r="A11244" s="7" t="s">
        <v>38</v>
      </c>
      <c r="B11244" s="7" t="s">
        <v>596</v>
      </c>
      <c r="C11244" s="7" t="s">
        <v>1107</v>
      </c>
      <c r="D11244" s="7" t="n">
        <v>2</v>
      </c>
      <c r="E11244" s="7" t="n">
        <v>52.06</v>
      </c>
      <c r="F11244" s="7" t="n">
        <v>0</v>
      </c>
      <c r="G11244" s="7" t="n">
        <v>0</v>
      </c>
    </row>
    <row r="11245" customFormat="false" ht="15" hidden="false" customHeight="false" outlineLevel="0" collapsed="false">
      <c r="A11245" s="7" t="s">
        <v>38</v>
      </c>
      <c r="B11245" s="7" t="s">
        <v>541</v>
      </c>
      <c r="C11245" s="7" t="s">
        <v>1254</v>
      </c>
      <c r="D11245" s="7" t="n">
        <v>0</v>
      </c>
      <c r="E11245" s="7" t="n">
        <v>0</v>
      </c>
      <c r="F11245" s="7" t="n">
        <v>10</v>
      </c>
      <c r="G11245" s="7" t="n">
        <v>249.47</v>
      </c>
    </row>
    <row r="11246" customFormat="false" ht="15" hidden="false" customHeight="false" outlineLevel="0" collapsed="false">
      <c r="A11246" s="7" t="s">
        <v>38</v>
      </c>
      <c r="B11246" s="7" t="s">
        <v>313</v>
      </c>
      <c r="C11246" s="7" t="s">
        <v>1254</v>
      </c>
      <c r="D11246" s="7" t="n">
        <v>0</v>
      </c>
      <c r="E11246" s="7" t="n">
        <v>0</v>
      </c>
      <c r="F11246" s="7" t="n">
        <v>15</v>
      </c>
      <c r="G11246" s="7" t="n">
        <v>374.21</v>
      </c>
    </row>
    <row r="11247" customFormat="false" ht="15" hidden="false" customHeight="false" outlineLevel="0" collapsed="false">
      <c r="A11247" s="7" t="s">
        <v>38</v>
      </c>
      <c r="B11247" s="7" t="s">
        <v>313</v>
      </c>
      <c r="C11247" s="7" t="s">
        <v>1254</v>
      </c>
      <c r="D11247" s="7" t="n">
        <v>8</v>
      </c>
      <c r="E11247" s="7" t="n">
        <v>238.44</v>
      </c>
      <c r="F11247" s="7" t="n">
        <v>0</v>
      </c>
      <c r="G11247" s="7" t="n">
        <v>0</v>
      </c>
    </row>
    <row r="11248" customFormat="false" ht="15" hidden="false" customHeight="false" outlineLevel="0" collapsed="false">
      <c r="A11248" s="7" t="s">
        <v>38</v>
      </c>
      <c r="B11248" s="7" t="s">
        <v>313</v>
      </c>
      <c r="C11248" s="7" t="s">
        <v>1254</v>
      </c>
      <c r="D11248" s="7" t="n">
        <v>15</v>
      </c>
      <c r="E11248" s="7" t="n">
        <v>424.56</v>
      </c>
      <c r="F11248" s="7" t="n">
        <v>0</v>
      </c>
      <c r="G11248" s="7" t="n">
        <v>0</v>
      </c>
    </row>
    <row r="11249" customFormat="false" ht="15" hidden="false" customHeight="false" outlineLevel="0" collapsed="false">
      <c r="A11249" s="7" t="s">
        <v>38</v>
      </c>
      <c r="B11249" s="7" t="s">
        <v>558</v>
      </c>
      <c r="C11249" s="7" t="s">
        <v>1254</v>
      </c>
      <c r="D11249" s="7" t="n">
        <v>0</v>
      </c>
      <c r="E11249" s="7" t="n">
        <v>0</v>
      </c>
      <c r="F11249" s="7" t="n">
        <v>10</v>
      </c>
      <c r="G11249" s="7" t="n">
        <v>249.47</v>
      </c>
    </row>
    <row r="11250" customFormat="false" ht="15" hidden="false" customHeight="false" outlineLevel="0" collapsed="false">
      <c r="A11250" s="7" t="s">
        <v>38</v>
      </c>
      <c r="B11250" s="7" t="s">
        <v>558</v>
      </c>
      <c r="C11250" s="7" t="s">
        <v>1254</v>
      </c>
      <c r="D11250" s="7" t="n">
        <v>8</v>
      </c>
      <c r="E11250" s="7" t="n">
        <v>238.44</v>
      </c>
      <c r="F11250" s="7" t="n">
        <v>0</v>
      </c>
      <c r="G11250" s="7" t="n">
        <v>0</v>
      </c>
    </row>
    <row r="11251" customFormat="false" ht="15" hidden="false" customHeight="false" outlineLevel="0" collapsed="false">
      <c r="A11251" s="7" t="s">
        <v>38</v>
      </c>
      <c r="B11251" s="7" t="s">
        <v>558</v>
      </c>
      <c r="C11251" s="7" t="s">
        <v>1254</v>
      </c>
      <c r="D11251" s="7" t="n">
        <v>10</v>
      </c>
      <c r="E11251" s="7" t="n">
        <v>283.04</v>
      </c>
      <c r="F11251" s="7" t="n">
        <v>0</v>
      </c>
      <c r="G11251" s="7" t="n">
        <v>0</v>
      </c>
    </row>
    <row r="11252" customFormat="false" ht="15" hidden="false" customHeight="false" outlineLevel="0" collapsed="false">
      <c r="A11252" s="7" t="s">
        <v>38</v>
      </c>
      <c r="B11252" s="7" t="s">
        <v>550</v>
      </c>
      <c r="C11252" s="7" t="s">
        <v>1254</v>
      </c>
      <c r="D11252" s="7" t="n">
        <v>0</v>
      </c>
      <c r="E11252" s="7" t="n">
        <v>0</v>
      </c>
      <c r="F11252" s="7" t="n">
        <v>5</v>
      </c>
      <c r="G11252" s="7" t="n">
        <v>124.74</v>
      </c>
    </row>
    <row r="11253" customFormat="false" ht="15" hidden="false" customHeight="false" outlineLevel="0" collapsed="false">
      <c r="A11253" s="7" t="s">
        <v>38</v>
      </c>
      <c r="B11253" s="7" t="s">
        <v>623</v>
      </c>
      <c r="C11253" s="7" t="s">
        <v>1107</v>
      </c>
      <c r="D11253" s="7" t="n">
        <v>10</v>
      </c>
      <c r="E11253" s="7" t="n">
        <v>283.04</v>
      </c>
      <c r="F11253" s="7" t="n">
        <v>0</v>
      </c>
      <c r="G11253" s="7" t="n">
        <v>0</v>
      </c>
    </row>
    <row r="11254" customFormat="false" ht="15" hidden="false" customHeight="false" outlineLevel="0" collapsed="false">
      <c r="A11254" s="7" t="s">
        <v>38</v>
      </c>
      <c r="B11254" s="7" t="s">
        <v>695</v>
      </c>
      <c r="C11254" s="7" t="s">
        <v>1062</v>
      </c>
      <c r="D11254" s="7" t="n">
        <v>0</v>
      </c>
      <c r="E11254" s="7" t="n">
        <v>0</v>
      </c>
      <c r="F11254" s="7" t="n">
        <v>3</v>
      </c>
      <c r="G11254" s="7" t="n">
        <v>74.84</v>
      </c>
    </row>
    <row r="11255" customFormat="false" ht="15" hidden="false" customHeight="false" outlineLevel="0" collapsed="false">
      <c r="A11255" s="7" t="s">
        <v>38</v>
      </c>
      <c r="B11255" s="7" t="s">
        <v>290</v>
      </c>
      <c r="C11255" s="7" t="s">
        <v>1062</v>
      </c>
      <c r="D11255" s="7" t="n">
        <v>0</v>
      </c>
      <c r="E11255" s="7" t="n">
        <v>0</v>
      </c>
      <c r="F11255" s="7" t="n">
        <v>3</v>
      </c>
      <c r="G11255" s="7" t="n">
        <v>74.84</v>
      </c>
    </row>
    <row r="11256" customFormat="false" ht="15" hidden="false" customHeight="false" outlineLevel="0" collapsed="false">
      <c r="A11256" s="7" t="s">
        <v>38</v>
      </c>
      <c r="B11256" s="7" t="s">
        <v>290</v>
      </c>
      <c r="C11256" s="7" t="s">
        <v>1062</v>
      </c>
      <c r="D11256" s="7" t="n">
        <v>2</v>
      </c>
      <c r="E11256" s="7" t="n">
        <v>56.61</v>
      </c>
      <c r="F11256" s="7" t="n">
        <v>0</v>
      </c>
      <c r="G11256" s="7" t="n">
        <v>0</v>
      </c>
    </row>
    <row r="11257" customFormat="false" ht="15" hidden="false" customHeight="false" outlineLevel="0" collapsed="false">
      <c r="A11257" s="7" t="s">
        <v>38</v>
      </c>
      <c r="B11257" s="7" t="s">
        <v>472</v>
      </c>
      <c r="C11257" s="7" t="s">
        <v>1062</v>
      </c>
      <c r="D11257" s="7" t="n">
        <v>0</v>
      </c>
      <c r="E11257" s="7" t="n">
        <v>0</v>
      </c>
      <c r="F11257" s="7" t="n">
        <v>2</v>
      </c>
      <c r="G11257" s="7" t="n">
        <v>49.89</v>
      </c>
    </row>
    <row r="11258" customFormat="false" ht="15" hidden="false" customHeight="false" outlineLevel="0" collapsed="false">
      <c r="A11258" s="7" t="s">
        <v>38</v>
      </c>
      <c r="B11258" s="7" t="s">
        <v>472</v>
      </c>
      <c r="C11258" s="7" t="s">
        <v>1062</v>
      </c>
      <c r="D11258" s="7" t="n">
        <v>2</v>
      </c>
      <c r="E11258" s="7" t="n">
        <v>56.61</v>
      </c>
      <c r="F11258" s="7" t="n">
        <v>0</v>
      </c>
      <c r="G11258" s="7" t="n">
        <v>0</v>
      </c>
    </row>
    <row r="11259" customFormat="false" ht="15" hidden="false" customHeight="false" outlineLevel="0" collapsed="false">
      <c r="A11259" s="7" t="s">
        <v>38</v>
      </c>
      <c r="B11259" s="7" t="s">
        <v>223</v>
      </c>
      <c r="C11259" s="7" t="s">
        <v>1065</v>
      </c>
      <c r="D11259" s="7" t="n">
        <v>0</v>
      </c>
      <c r="E11259" s="7" t="n">
        <v>0</v>
      </c>
      <c r="F11259" s="7" t="n">
        <v>4</v>
      </c>
      <c r="G11259" s="7" t="n">
        <v>345.94</v>
      </c>
    </row>
    <row r="11260" customFormat="false" ht="15" hidden="false" customHeight="false" outlineLevel="0" collapsed="false">
      <c r="A11260" s="7" t="s">
        <v>38</v>
      </c>
      <c r="B11260" s="7" t="s">
        <v>260</v>
      </c>
      <c r="C11260" s="7" t="s">
        <v>1065</v>
      </c>
      <c r="D11260" s="7" t="n">
        <v>0</v>
      </c>
      <c r="E11260" s="7" t="n">
        <v>0</v>
      </c>
      <c r="F11260" s="7" t="n">
        <v>2</v>
      </c>
      <c r="G11260" s="7" t="n">
        <v>172.97</v>
      </c>
    </row>
    <row r="11261" customFormat="false" ht="15" hidden="false" customHeight="false" outlineLevel="0" collapsed="false">
      <c r="A11261" s="7" t="s">
        <v>38</v>
      </c>
      <c r="B11261" s="7" t="s">
        <v>260</v>
      </c>
      <c r="C11261" s="7" t="s">
        <v>1065</v>
      </c>
      <c r="D11261" s="7" t="n">
        <v>3</v>
      </c>
      <c r="E11261" s="7" t="n">
        <v>309.97</v>
      </c>
      <c r="F11261" s="7" t="n">
        <v>0</v>
      </c>
      <c r="G11261" s="7" t="n">
        <v>0</v>
      </c>
    </row>
    <row r="11262" customFormat="false" ht="15" hidden="false" customHeight="false" outlineLevel="0" collapsed="false">
      <c r="A11262" s="7" t="s">
        <v>38</v>
      </c>
      <c r="B11262" s="7" t="s">
        <v>291</v>
      </c>
      <c r="C11262" s="7" t="s">
        <v>1065</v>
      </c>
      <c r="D11262" s="7" t="n">
        <v>0</v>
      </c>
      <c r="E11262" s="7" t="n">
        <v>0</v>
      </c>
      <c r="F11262" s="7" t="n">
        <v>2</v>
      </c>
      <c r="G11262" s="7" t="n">
        <v>172.97</v>
      </c>
    </row>
    <row r="11263" customFormat="false" ht="15" hidden="false" customHeight="false" outlineLevel="0" collapsed="false">
      <c r="A11263" s="7" t="s">
        <v>38</v>
      </c>
      <c r="B11263" s="7" t="s">
        <v>347</v>
      </c>
      <c r="C11263" s="7" t="s">
        <v>1065</v>
      </c>
      <c r="D11263" s="7" t="n">
        <v>0</v>
      </c>
      <c r="E11263" s="7" t="n">
        <v>0</v>
      </c>
      <c r="F11263" s="7" t="n">
        <v>2</v>
      </c>
      <c r="G11263" s="7" t="n">
        <v>172.97</v>
      </c>
    </row>
    <row r="11264" customFormat="false" ht="15" hidden="false" customHeight="false" outlineLevel="0" collapsed="false">
      <c r="A11264" s="7" t="s">
        <v>38</v>
      </c>
      <c r="B11264" s="7" t="s">
        <v>1002</v>
      </c>
      <c r="C11264" s="7" t="s">
        <v>1325</v>
      </c>
      <c r="D11264" s="7" t="n">
        <v>4</v>
      </c>
      <c r="E11264" s="7" t="n">
        <v>273.41</v>
      </c>
      <c r="F11264" s="7" t="n">
        <v>0</v>
      </c>
      <c r="G11264" s="7" t="n">
        <v>0</v>
      </c>
    </row>
    <row r="11265" customFormat="false" ht="15" hidden="false" customHeight="false" outlineLevel="0" collapsed="false">
      <c r="A11265" s="7" t="s">
        <v>38</v>
      </c>
      <c r="B11265" s="7" t="s">
        <v>1000</v>
      </c>
      <c r="C11265" s="7" t="s">
        <v>1325</v>
      </c>
      <c r="D11265" s="7" t="n">
        <v>6</v>
      </c>
      <c r="E11265" s="7" t="n">
        <v>410.12</v>
      </c>
      <c r="F11265" s="7" t="n">
        <v>0</v>
      </c>
      <c r="G11265" s="7" t="n">
        <v>0</v>
      </c>
    </row>
    <row r="11266" customFormat="false" ht="15" hidden="false" customHeight="false" outlineLevel="0" collapsed="false">
      <c r="A11266" s="7" t="s">
        <v>38</v>
      </c>
      <c r="B11266" s="7" t="s">
        <v>398</v>
      </c>
      <c r="C11266" s="7" t="s">
        <v>1259</v>
      </c>
      <c r="D11266" s="7" t="n">
        <v>0</v>
      </c>
      <c r="E11266" s="7" t="n">
        <v>0</v>
      </c>
      <c r="F11266" s="7" t="n">
        <v>12</v>
      </c>
      <c r="G11266" s="7" t="n">
        <v>99.79</v>
      </c>
    </row>
    <row r="11267" customFormat="false" ht="15" hidden="false" customHeight="false" outlineLevel="0" collapsed="false">
      <c r="A11267" s="7" t="s">
        <v>38</v>
      </c>
      <c r="B11267" s="7" t="s">
        <v>617</v>
      </c>
      <c r="C11267" s="7" t="s">
        <v>1111</v>
      </c>
      <c r="D11267" s="7" t="n">
        <v>12</v>
      </c>
      <c r="E11267" s="7" t="n">
        <v>85.84</v>
      </c>
      <c r="F11267" s="7" t="n">
        <v>0</v>
      </c>
      <c r="G11267" s="7" t="n">
        <v>0</v>
      </c>
    </row>
    <row r="11268" customFormat="false" ht="15" hidden="false" customHeight="false" outlineLevel="0" collapsed="false">
      <c r="A11268" s="7" t="s">
        <v>38</v>
      </c>
      <c r="B11268" s="7" t="s">
        <v>761</v>
      </c>
      <c r="C11268" s="7" t="s">
        <v>1113</v>
      </c>
      <c r="D11268" s="7" t="n">
        <v>12</v>
      </c>
      <c r="E11268" s="7" t="n">
        <v>85.84</v>
      </c>
      <c r="F11268" s="7" t="n">
        <v>0</v>
      </c>
      <c r="G11268" s="7" t="n">
        <v>0</v>
      </c>
    </row>
    <row r="11269" customFormat="false" ht="15" hidden="false" customHeight="false" outlineLevel="0" collapsed="false">
      <c r="A11269" s="7" t="s">
        <v>38</v>
      </c>
      <c r="B11269" s="7" t="s">
        <v>603</v>
      </c>
      <c r="C11269" s="7" t="s">
        <v>1067</v>
      </c>
      <c r="D11269" s="7" t="n">
        <v>12</v>
      </c>
      <c r="E11269" s="7" t="n">
        <v>169.29</v>
      </c>
      <c r="F11269" s="7" t="n">
        <v>0</v>
      </c>
      <c r="G11269" s="7" t="n">
        <v>0</v>
      </c>
    </row>
    <row r="11270" customFormat="false" ht="15" hidden="false" customHeight="false" outlineLevel="0" collapsed="false">
      <c r="A11270" s="7" t="s">
        <v>38</v>
      </c>
      <c r="B11270" s="7" t="s">
        <v>416</v>
      </c>
      <c r="C11270" s="7" t="s">
        <v>1067</v>
      </c>
      <c r="D11270" s="7" t="n">
        <v>12</v>
      </c>
      <c r="E11270" s="7" t="n">
        <v>169.29</v>
      </c>
      <c r="F11270" s="7" t="n">
        <v>0</v>
      </c>
      <c r="G11270" s="7" t="n">
        <v>0</v>
      </c>
    </row>
    <row r="11271" customFormat="false" ht="15" hidden="false" customHeight="false" outlineLevel="0" collapsed="false">
      <c r="A11271" s="7" t="s">
        <v>38</v>
      </c>
      <c r="B11271" s="7" t="s">
        <v>595</v>
      </c>
      <c r="C11271" s="7" t="s">
        <v>1118</v>
      </c>
      <c r="D11271" s="7" t="n">
        <v>0</v>
      </c>
      <c r="E11271" s="7" t="n">
        <v>0</v>
      </c>
      <c r="F11271" s="7" t="n">
        <v>3</v>
      </c>
      <c r="G11271" s="7" t="n">
        <v>54.88</v>
      </c>
    </row>
    <row r="11272" customFormat="false" ht="15" hidden="false" customHeight="false" outlineLevel="0" collapsed="false">
      <c r="A11272" s="7" t="s">
        <v>38</v>
      </c>
      <c r="B11272" s="7" t="s">
        <v>693</v>
      </c>
      <c r="C11272" s="7" t="s">
        <v>1118</v>
      </c>
      <c r="D11272" s="7" t="n">
        <v>0</v>
      </c>
      <c r="E11272" s="7" t="n">
        <v>0</v>
      </c>
      <c r="F11272" s="7" t="n">
        <v>4</v>
      </c>
      <c r="G11272" s="7" t="n">
        <v>73.18</v>
      </c>
    </row>
    <row r="11273" customFormat="false" ht="15" hidden="false" customHeight="false" outlineLevel="0" collapsed="false">
      <c r="A11273" s="7" t="s">
        <v>38</v>
      </c>
      <c r="B11273" s="7" t="s">
        <v>692</v>
      </c>
      <c r="C11273" s="7" t="s">
        <v>1118</v>
      </c>
      <c r="D11273" s="7" t="n">
        <v>2</v>
      </c>
      <c r="E11273" s="7" t="n">
        <v>41.51</v>
      </c>
      <c r="F11273" s="7" t="n">
        <v>0</v>
      </c>
      <c r="G11273" s="7" t="n">
        <v>0</v>
      </c>
    </row>
    <row r="11274" customFormat="false" ht="15" hidden="false" customHeight="false" outlineLevel="0" collapsed="false">
      <c r="A11274" s="7" t="s">
        <v>38</v>
      </c>
      <c r="B11274" s="7" t="s">
        <v>533</v>
      </c>
      <c r="C11274" s="7" t="s">
        <v>1118</v>
      </c>
      <c r="D11274" s="7" t="n">
        <v>0</v>
      </c>
      <c r="E11274" s="7" t="n">
        <v>0</v>
      </c>
      <c r="F11274" s="7" t="n">
        <v>2</v>
      </c>
      <c r="G11274" s="7" t="n">
        <v>36.59</v>
      </c>
    </row>
    <row r="11275" customFormat="false" ht="15" hidden="false" customHeight="false" outlineLevel="0" collapsed="false">
      <c r="A11275" s="7" t="s">
        <v>38</v>
      </c>
      <c r="B11275" s="7" t="s">
        <v>154</v>
      </c>
      <c r="C11275" s="7" t="s">
        <v>1162</v>
      </c>
      <c r="D11275" s="7" t="n">
        <v>0</v>
      </c>
      <c r="E11275" s="7" t="n">
        <v>0</v>
      </c>
      <c r="F11275" s="7" t="n">
        <v>15</v>
      </c>
      <c r="G11275" s="7" t="n">
        <v>598.73</v>
      </c>
    </row>
    <row r="11276" customFormat="false" ht="15" hidden="false" customHeight="false" outlineLevel="0" collapsed="false">
      <c r="A11276" s="7" t="s">
        <v>38</v>
      </c>
      <c r="B11276" s="7" t="s">
        <v>714</v>
      </c>
      <c r="C11276" s="7" t="s">
        <v>1069</v>
      </c>
      <c r="D11276" s="7" t="n">
        <v>0</v>
      </c>
      <c r="E11276" s="7" t="n">
        <v>0</v>
      </c>
      <c r="F11276" s="7" t="n">
        <v>5</v>
      </c>
      <c r="G11276" s="7" t="n">
        <v>51.56</v>
      </c>
    </row>
    <row r="11277" customFormat="false" ht="15" hidden="false" customHeight="false" outlineLevel="0" collapsed="false">
      <c r="A11277" s="7" t="s">
        <v>38</v>
      </c>
      <c r="B11277" s="7" t="s">
        <v>799</v>
      </c>
      <c r="C11277" s="7" t="s">
        <v>1069</v>
      </c>
      <c r="D11277" s="7" t="n">
        <v>0</v>
      </c>
      <c r="E11277" s="7" t="n">
        <v>0</v>
      </c>
      <c r="F11277" s="7" t="n">
        <v>3</v>
      </c>
      <c r="G11277" s="7" t="n">
        <v>30.93</v>
      </c>
    </row>
    <row r="11278" customFormat="false" ht="15" hidden="false" customHeight="false" outlineLevel="0" collapsed="false">
      <c r="A11278" s="7" t="s">
        <v>38</v>
      </c>
      <c r="B11278" s="7" t="s">
        <v>686</v>
      </c>
      <c r="C11278" s="7" t="s">
        <v>1164</v>
      </c>
      <c r="D11278" s="7" t="n">
        <v>0</v>
      </c>
      <c r="E11278" s="7" t="n">
        <v>0</v>
      </c>
      <c r="F11278" s="7" t="n">
        <v>4</v>
      </c>
      <c r="G11278" s="7" t="n">
        <v>41.25</v>
      </c>
    </row>
    <row r="11279" customFormat="false" ht="15" hidden="false" customHeight="false" outlineLevel="0" collapsed="false">
      <c r="A11279" s="7" t="s">
        <v>38</v>
      </c>
      <c r="B11279" s="7" t="s">
        <v>437</v>
      </c>
      <c r="C11279" s="7" t="s">
        <v>1268</v>
      </c>
      <c r="D11279" s="7" t="n">
        <v>35</v>
      </c>
      <c r="E11279" s="7" t="n">
        <v>1954.88</v>
      </c>
      <c r="F11279" s="7" t="n">
        <v>0</v>
      </c>
      <c r="G11279" s="7" t="n">
        <v>0</v>
      </c>
    </row>
    <row r="11280" customFormat="false" ht="15" hidden="false" customHeight="false" outlineLevel="0" collapsed="false">
      <c r="A11280" s="7" t="s">
        <v>38</v>
      </c>
      <c r="B11280" s="7" t="s">
        <v>437</v>
      </c>
      <c r="C11280" s="7" t="s">
        <v>1268</v>
      </c>
      <c r="D11280" s="7" t="n">
        <v>0</v>
      </c>
      <c r="E11280" s="7" t="n">
        <v>0</v>
      </c>
      <c r="F11280" s="7" t="n">
        <v>40</v>
      </c>
      <c r="G11280" s="7" t="n">
        <v>1969.17</v>
      </c>
    </row>
    <row r="11281" customFormat="false" ht="15" hidden="false" customHeight="false" outlineLevel="0" collapsed="false">
      <c r="A11281" s="7" t="s">
        <v>38</v>
      </c>
      <c r="B11281" s="7" t="s">
        <v>582</v>
      </c>
      <c r="C11281" s="7" t="s">
        <v>1269</v>
      </c>
      <c r="D11281" s="7" t="n">
        <v>0</v>
      </c>
      <c r="E11281" s="7" t="n">
        <v>0</v>
      </c>
      <c r="F11281" s="7" t="n">
        <v>40</v>
      </c>
      <c r="G11281" s="7" t="n">
        <v>565.47</v>
      </c>
    </row>
    <row r="11282" customFormat="false" ht="15" hidden="false" customHeight="false" outlineLevel="0" collapsed="false">
      <c r="A11282" s="7" t="s">
        <v>38</v>
      </c>
      <c r="B11282" s="7" t="s">
        <v>582</v>
      </c>
      <c r="C11282" s="7" t="s">
        <v>1269</v>
      </c>
      <c r="D11282" s="7" t="n">
        <v>40</v>
      </c>
      <c r="E11282" s="7" t="n">
        <v>641.56</v>
      </c>
      <c r="F11282" s="7" t="n">
        <v>0</v>
      </c>
      <c r="G11282" s="7" t="n">
        <v>0</v>
      </c>
    </row>
    <row r="11283" customFormat="false" ht="15" hidden="false" customHeight="false" outlineLevel="0" collapsed="false">
      <c r="A11283" s="7" t="s">
        <v>38</v>
      </c>
      <c r="B11283" s="7" t="s">
        <v>582</v>
      </c>
      <c r="C11283" s="7" t="s">
        <v>1269</v>
      </c>
      <c r="D11283" s="7" t="n">
        <v>30</v>
      </c>
      <c r="E11283" s="7" t="n">
        <v>506.69</v>
      </c>
      <c r="F11283" s="7" t="n">
        <v>0</v>
      </c>
      <c r="G11283" s="7" t="n">
        <v>0</v>
      </c>
    </row>
    <row r="11284" customFormat="false" ht="15" hidden="false" customHeight="false" outlineLevel="0" collapsed="false">
      <c r="A11284" s="7" t="s">
        <v>38</v>
      </c>
      <c r="B11284" s="7" t="s">
        <v>253</v>
      </c>
      <c r="C11284" s="7" t="s">
        <v>1142</v>
      </c>
      <c r="D11284" s="7" t="n">
        <v>25</v>
      </c>
      <c r="E11284" s="7" t="n">
        <v>420.25</v>
      </c>
      <c r="F11284" s="7" t="n">
        <v>0</v>
      </c>
      <c r="G11284" s="7" t="n">
        <v>0</v>
      </c>
    </row>
    <row r="11285" customFormat="false" ht="15" hidden="false" customHeight="false" outlineLevel="0" collapsed="false">
      <c r="A11285" s="7" t="s">
        <v>38</v>
      </c>
      <c r="B11285" s="7" t="s">
        <v>253</v>
      </c>
      <c r="C11285" s="7" t="s">
        <v>1142</v>
      </c>
      <c r="D11285" s="7" t="n">
        <v>0</v>
      </c>
      <c r="E11285" s="7" t="n">
        <v>0</v>
      </c>
      <c r="F11285" s="7" t="n">
        <v>25</v>
      </c>
      <c r="G11285" s="7" t="n">
        <v>351.76</v>
      </c>
    </row>
    <row r="11286" customFormat="false" ht="15" hidden="false" customHeight="false" outlineLevel="0" collapsed="false">
      <c r="A11286" s="7" t="s">
        <v>38</v>
      </c>
      <c r="B11286" s="7" t="s">
        <v>253</v>
      </c>
      <c r="C11286" s="7" t="s">
        <v>1142</v>
      </c>
      <c r="D11286" s="7" t="n">
        <v>25</v>
      </c>
      <c r="E11286" s="7" t="n">
        <v>399.09</v>
      </c>
      <c r="F11286" s="7" t="n">
        <v>0</v>
      </c>
      <c r="G11286" s="7" t="n">
        <v>0</v>
      </c>
    </row>
    <row r="11287" customFormat="false" ht="15" hidden="false" customHeight="false" outlineLevel="0" collapsed="false">
      <c r="A11287" s="7" t="s">
        <v>38</v>
      </c>
      <c r="B11287" s="7" t="s">
        <v>441</v>
      </c>
      <c r="C11287" s="7" t="s">
        <v>1185</v>
      </c>
      <c r="D11287" s="7" t="n">
        <v>0</v>
      </c>
      <c r="E11287" s="7" t="n">
        <v>0</v>
      </c>
      <c r="F11287" s="7" t="n">
        <v>15</v>
      </c>
      <c r="G11287" s="7" t="n">
        <v>261.95</v>
      </c>
    </row>
    <row r="11288" customFormat="false" ht="15" hidden="false" customHeight="false" outlineLevel="0" collapsed="false">
      <c r="A11288" s="7" t="s">
        <v>38</v>
      </c>
      <c r="B11288" s="7" t="s">
        <v>441</v>
      </c>
      <c r="C11288" s="7" t="s">
        <v>1185</v>
      </c>
      <c r="D11288" s="7" t="n">
        <v>10</v>
      </c>
      <c r="E11288" s="7" t="n">
        <v>208.64</v>
      </c>
      <c r="F11288" s="7" t="n">
        <v>0</v>
      </c>
      <c r="G11288" s="7" t="n">
        <v>0</v>
      </c>
    </row>
    <row r="11289" customFormat="false" ht="15" hidden="false" customHeight="false" outlineLevel="0" collapsed="false">
      <c r="A11289" s="7" t="s">
        <v>38</v>
      </c>
      <c r="B11289" s="7" t="s">
        <v>441</v>
      </c>
      <c r="C11289" s="7" t="s">
        <v>1185</v>
      </c>
      <c r="D11289" s="7" t="n">
        <v>10</v>
      </c>
      <c r="E11289" s="7" t="n">
        <v>198.13</v>
      </c>
      <c r="F11289" s="7" t="n">
        <v>0</v>
      </c>
      <c r="G11289" s="7" t="n">
        <v>0</v>
      </c>
    </row>
    <row r="11290" customFormat="false" ht="15" hidden="false" customHeight="false" outlineLevel="0" collapsed="false">
      <c r="A11290" s="7" t="s">
        <v>38</v>
      </c>
      <c r="B11290" s="7" t="s">
        <v>209</v>
      </c>
      <c r="C11290" s="7" t="s">
        <v>1271</v>
      </c>
      <c r="D11290" s="7" t="n">
        <v>15</v>
      </c>
      <c r="E11290" s="7" t="n">
        <v>503.7</v>
      </c>
      <c r="F11290" s="7" t="n">
        <v>0</v>
      </c>
      <c r="G11290" s="7" t="n">
        <v>0</v>
      </c>
    </row>
    <row r="11291" customFormat="false" ht="15" hidden="false" customHeight="false" outlineLevel="0" collapsed="false">
      <c r="A11291" s="7" t="s">
        <v>38</v>
      </c>
      <c r="B11291" s="7" t="s">
        <v>101</v>
      </c>
      <c r="C11291" s="7" t="s">
        <v>1121</v>
      </c>
      <c r="D11291" s="7" t="n">
        <v>35</v>
      </c>
      <c r="E11291" s="7" t="n">
        <v>1265.72</v>
      </c>
      <c r="F11291" s="7" t="n">
        <v>0</v>
      </c>
      <c r="G11291" s="7" t="n">
        <v>0</v>
      </c>
    </row>
    <row r="11292" customFormat="false" ht="15" hidden="false" customHeight="false" outlineLevel="0" collapsed="false">
      <c r="A11292" s="7" t="s">
        <v>38</v>
      </c>
      <c r="B11292" s="7" t="s">
        <v>245</v>
      </c>
      <c r="C11292" s="7" t="s">
        <v>1161</v>
      </c>
      <c r="D11292" s="7" t="n">
        <v>0</v>
      </c>
      <c r="E11292" s="7" t="n">
        <v>0</v>
      </c>
      <c r="F11292" s="7" t="n">
        <v>30</v>
      </c>
      <c r="G11292" s="7" t="n">
        <v>444.06</v>
      </c>
    </row>
    <row r="11293" customFormat="false" ht="15" hidden="false" customHeight="false" outlineLevel="0" collapsed="false">
      <c r="A11293" s="7" t="s">
        <v>38</v>
      </c>
      <c r="B11293" s="7" t="s">
        <v>899</v>
      </c>
      <c r="C11293" s="7" t="s">
        <v>1122</v>
      </c>
      <c r="D11293" s="7" t="n">
        <v>20</v>
      </c>
      <c r="E11293" s="7" t="n">
        <v>246.39</v>
      </c>
      <c r="F11293" s="7" t="n">
        <v>0</v>
      </c>
      <c r="G11293" s="7" t="n">
        <v>0</v>
      </c>
    </row>
    <row r="11294" customFormat="false" ht="15" hidden="false" customHeight="false" outlineLevel="0" collapsed="false">
      <c r="A11294" s="7" t="s">
        <v>38</v>
      </c>
      <c r="B11294" s="7" t="s">
        <v>899</v>
      </c>
      <c r="C11294" s="7" t="s">
        <v>1122</v>
      </c>
      <c r="D11294" s="7" t="n">
        <v>0</v>
      </c>
      <c r="E11294" s="7" t="n">
        <v>0</v>
      </c>
      <c r="F11294" s="7" t="n">
        <v>20</v>
      </c>
      <c r="G11294" s="7" t="n">
        <v>206.23</v>
      </c>
    </row>
    <row r="11295" customFormat="false" ht="15" hidden="false" customHeight="false" outlineLevel="0" collapsed="false">
      <c r="A11295" s="7" t="s">
        <v>38</v>
      </c>
      <c r="B11295" s="7" t="s">
        <v>907</v>
      </c>
      <c r="C11295" s="7" t="s">
        <v>1310</v>
      </c>
      <c r="D11295" s="7" t="n">
        <v>20</v>
      </c>
      <c r="E11295" s="7" t="n">
        <v>278.18</v>
      </c>
      <c r="F11295" s="7" t="n">
        <v>0</v>
      </c>
      <c r="G11295" s="7" t="n">
        <v>0</v>
      </c>
    </row>
    <row r="11296" customFormat="false" ht="15" hidden="false" customHeight="false" outlineLevel="0" collapsed="false">
      <c r="A11296" s="7" t="s">
        <v>38</v>
      </c>
      <c r="B11296" s="7" t="s">
        <v>192</v>
      </c>
      <c r="C11296" s="7" t="s">
        <v>1123</v>
      </c>
      <c r="D11296" s="7" t="n">
        <v>0</v>
      </c>
      <c r="E11296" s="7" t="n">
        <v>0</v>
      </c>
      <c r="F11296" s="7" t="n">
        <v>12</v>
      </c>
      <c r="G11296" s="7" t="n">
        <v>1436.96</v>
      </c>
    </row>
    <row r="11297" customFormat="false" ht="15" hidden="false" customHeight="false" outlineLevel="0" collapsed="false">
      <c r="A11297" s="7" t="s">
        <v>38</v>
      </c>
      <c r="B11297" s="7" t="s">
        <v>269</v>
      </c>
      <c r="C11297" s="7" t="s">
        <v>1123</v>
      </c>
      <c r="D11297" s="7" t="n">
        <v>0</v>
      </c>
      <c r="E11297" s="7" t="n">
        <v>0</v>
      </c>
      <c r="F11297" s="7" t="n">
        <v>10</v>
      </c>
      <c r="G11297" s="7" t="n">
        <v>1197.47</v>
      </c>
    </row>
    <row r="11298" customFormat="false" ht="15" hidden="false" customHeight="false" outlineLevel="0" collapsed="false">
      <c r="A11298" s="7" t="s">
        <v>38</v>
      </c>
      <c r="B11298" s="7" t="s">
        <v>186</v>
      </c>
      <c r="C11298" s="7" t="s">
        <v>1123</v>
      </c>
      <c r="D11298" s="7" t="n">
        <v>0</v>
      </c>
      <c r="E11298" s="7" t="n">
        <v>0</v>
      </c>
      <c r="F11298" s="7" t="n">
        <v>8</v>
      </c>
      <c r="G11298" s="7" t="n">
        <v>957.97</v>
      </c>
    </row>
    <row r="11299" customFormat="false" ht="15" hidden="false" customHeight="false" outlineLevel="0" collapsed="false">
      <c r="A11299" s="7" t="s">
        <v>38</v>
      </c>
      <c r="B11299" s="7" t="s">
        <v>132</v>
      </c>
      <c r="C11299" s="7" t="s">
        <v>1130</v>
      </c>
      <c r="D11299" s="7" t="n">
        <v>0</v>
      </c>
      <c r="E11299" s="7" t="n">
        <v>0</v>
      </c>
      <c r="F11299" s="7" t="n">
        <v>2</v>
      </c>
      <c r="G11299" s="7" t="n">
        <v>178.29</v>
      </c>
    </row>
    <row r="11300" customFormat="false" ht="15" hidden="false" customHeight="false" outlineLevel="0" collapsed="false">
      <c r="A11300" s="7" t="s">
        <v>38</v>
      </c>
      <c r="B11300" s="7" t="s">
        <v>122</v>
      </c>
      <c r="C11300" s="7" t="s">
        <v>1130</v>
      </c>
      <c r="D11300" s="7" t="n">
        <v>0</v>
      </c>
      <c r="E11300" s="7" t="n">
        <v>0</v>
      </c>
      <c r="F11300" s="7" t="n">
        <v>6</v>
      </c>
      <c r="G11300" s="7" t="n">
        <v>534.87</v>
      </c>
    </row>
    <row r="11301" customFormat="false" ht="15" hidden="false" customHeight="false" outlineLevel="0" collapsed="false">
      <c r="A11301" s="7" t="s">
        <v>38</v>
      </c>
      <c r="B11301" s="7" t="s">
        <v>128</v>
      </c>
      <c r="C11301" s="7" t="s">
        <v>1130</v>
      </c>
      <c r="D11301" s="7" t="n">
        <v>0</v>
      </c>
      <c r="E11301" s="7" t="n">
        <v>0</v>
      </c>
      <c r="F11301" s="7" t="n">
        <v>10</v>
      </c>
      <c r="G11301" s="7" t="n">
        <v>891.45</v>
      </c>
    </row>
    <row r="11302" customFormat="false" ht="15" hidden="false" customHeight="false" outlineLevel="0" collapsed="false">
      <c r="A11302" s="7" t="s">
        <v>38</v>
      </c>
      <c r="B11302" s="7" t="s">
        <v>152</v>
      </c>
      <c r="C11302" s="7" t="s">
        <v>1130</v>
      </c>
      <c r="D11302" s="7" t="n">
        <v>0</v>
      </c>
      <c r="E11302" s="7" t="n">
        <v>0</v>
      </c>
      <c r="F11302" s="7" t="n">
        <v>8</v>
      </c>
      <c r="G11302" s="7" t="n">
        <v>713.16</v>
      </c>
    </row>
    <row r="11303" customFormat="false" ht="15" hidden="false" customHeight="false" outlineLevel="0" collapsed="false">
      <c r="A11303" s="7" t="s">
        <v>38</v>
      </c>
      <c r="B11303" s="7" t="s">
        <v>252</v>
      </c>
      <c r="C11303" s="7" t="s">
        <v>1130</v>
      </c>
      <c r="D11303" s="7" t="n">
        <v>0</v>
      </c>
      <c r="E11303" s="7" t="n">
        <v>0</v>
      </c>
      <c r="F11303" s="7" t="n">
        <v>4</v>
      </c>
      <c r="G11303" s="7" t="n">
        <v>356.58</v>
      </c>
    </row>
    <row r="11304" customFormat="false" ht="15" hidden="false" customHeight="false" outlineLevel="0" collapsed="false">
      <c r="A11304" s="7" t="s">
        <v>38</v>
      </c>
      <c r="B11304" s="7" t="s">
        <v>305</v>
      </c>
      <c r="C11304" s="7" t="s">
        <v>1182</v>
      </c>
      <c r="D11304" s="7" t="n">
        <v>0</v>
      </c>
      <c r="E11304" s="7" t="n">
        <v>0</v>
      </c>
      <c r="F11304" s="7" t="n">
        <v>25</v>
      </c>
      <c r="G11304" s="7" t="n">
        <v>594.58</v>
      </c>
    </row>
    <row r="11305" customFormat="false" ht="15" hidden="false" customHeight="false" outlineLevel="0" collapsed="false">
      <c r="A11305" s="7" t="s">
        <v>38</v>
      </c>
      <c r="B11305" s="7" t="s">
        <v>176</v>
      </c>
      <c r="C11305" s="7" t="s">
        <v>1183</v>
      </c>
      <c r="D11305" s="7" t="n">
        <v>0</v>
      </c>
      <c r="E11305" s="7" t="n">
        <v>0</v>
      </c>
      <c r="F11305" s="7" t="n">
        <v>30</v>
      </c>
      <c r="G11305" s="7" t="n">
        <v>374.21</v>
      </c>
    </row>
    <row r="11306" customFormat="false" ht="15" hidden="false" customHeight="false" outlineLevel="0" collapsed="false">
      <c r="A11306" s="7" t="s">
        <v>38</v>
      </c>
      <c r="B11306" s="7" t="s">
        <v>176</v>
      </c>
      <c r="C11306" s="7" t="s">
        <v>1183</v>
      </c>
      <c r="D11306" s="7" t="n">
        <v>40</v>
      </c>
      <c r="E11306" s="7" t="n">
        <v>566.09</v>
      </c>
      <c r="F11306" s="7" t="n">
        <v>0</v>
      </c>
      <c r="G11306" s="7" t="n">
        <v>0</v>
      </c>
    </row>
    <row r="11307" customFormat="false" ht="15" hidden="false" customHeight="false" outlineLevel="0" collapsed="false">
      <c r="A11307" s="7" t="s">
        <v>38</v>
      </c>
      <c r="B11307" s="7" t="s">
        <v>176</v>
      </c>
      <c r="C11307" s="7" t="s">
        <v>1183</v>
      </c>
      <c r="D11307" s="7" t="n">
        <v>40</v>
      </c>
      <c r="E11307" s="7" t="n">
        <v>596.1</v>
      </c>
      <c r="F11307" s="7" t="n">
        <v>0</v>
      </c>
      <c r="G11307" s="7" t="n">
        <v>0</v>
      </c>
    </row>
    <row r="11308" customFormat="false" ht="15" hidden="false" customHeight="false" outlineLevel="0" collapsed="false">
      <c r="A11308" s="7" t="s">
        <v>38</v>
      </c>
      <c r="B11308" s="7" t="s">
        <v>96</v>
      </c>
      <c r="C11308" s="7" t="s">
        <v>1184</v>
      </c>
      <c r="D11308" s="7" t="n">
        <v>0</v>
      </c>
      <c r="E11308" s="7" t="n">
        <v>0</v>
      </c>
      <c r="F11308" s="7" t="n">
        <v>15</v>
      </c>
      <c r="G11308" s="7" t="n">
        <v>237</v>
      </c>
    </row>
    <row r="11309" customFormat="false" ht="15" hidden="false" customHeight="false" outlineLevel="0" collapsed="false">
      <c r="A11309" s="7" t="s">
        <v>38</v>
      </c>
      <c r="B11309" s="7" t="s">
        <v>96</v>
      </c>
      <c r="C11309" s="7" t="s">
        <v>1184</v>
      </c>
      <c r="D11309" s="7" t="n">
        <v>30</v>
      </c>
      <c r="E11309" s="7" t="n">
        <v>566.3</v>
      </c>
      <c r="F11309" s="7" t="n">
        <v>0</v>
      </c>
      <c r="G11309" s="7" t="n">
        <v>0</v>
      </c>
    </row>
    <row r="11310" customFormat="false" ht="15" hidden="false" customHeight="false" outlineLevel="0" collapsed="false">
      <c r="A11310" s="7" t="s">
        <v>38</v>
      </c>
      <c r="B11310" s="7" t="s">
        <v>96</v>
      </c>
      <c r="C11310" s="7" t="s">
        <v>1184</v>
      </c>
      <c r="D11310" s="7" t="n">
        <v>20</v>
      </c>
      <c r="E11310" s="7" t="n">
        <v>358.52</v>
      </c>
      <c r="F11310" s="7" t="n">
        <v>0</v>
      </c>
      <c r="G11310" s="7" t="n">
        <v>0</v>
      </c>
    </row>
    <row r="11311" customFormat="false" ht="15" hidden="false" customHeight="false" outlineLevel="0" collapsed="false">
      <c r="A11311" s="7" t="s">
        <v>38</v>
      </c>
      <c r="B11311" s="7" t="s">
        <v>213</v>
      </c>
      <c r="C11311" s="7" t="s">
        <v>1184</v>
      </c>
      <c r="D11311" s="7" t="n">
        <v>0</v>
      </c>
      <c r="E11311" s="7" t="n">
        <v>0</v>
      </c>
      <c r="F11311" s="7" t="n">
        <v>20</v>
      </c>
      <c r="G11311" s="7" t="n">
        <v>316</v>
      </c>
    </row>
    <row r="11312" customFormat="false" ht="15" hidden="false" customHeight="false" outlineLevel="0" collapsed="false">
      <c r="A11312" s="7" t="s">
        <v>38</v>
      </c>
      <c r="B11312" s="7" t="s">
        <v>213</v>
      </c>
      <c r="C11312" s="7" t="s">
        <v>1184</v>
      </c>
      <c r="D11312" s="7" t="n">
        <v>30</v>
      </c>
      <c r="E11312" s="7" t="n">
        <v>566.3</v>
      </c>
      <c r="F11312" s="7" t="n">
        <v>0</v>
      </c>
      <c r="G11312" s="7" t="n">
        <v>0</v>
      </c>
    </row>
    <row r="11313" customFormat="false" ht="15" hidden="false" customHeight="false" outlineLevel="0" collapsed="false">
      <c r="A11313" s="7" t="s">
        <v>38</v>
      </c>
      <c r="B11313" s="7" t="s">
        <v>213</v>
      </c>
      <c r="C11313" s="7" t="s">
        <v>1184</v>
      </c>
      <c r="D11313" s="7" t="n">
        <v>30</v>
      </c>
      <c r="E11313" s="7" t="n">
        <v>537.78</v>
      </c>
      <c r="F11313" s="7" t="n">
        <v>0</v>
      </c>
      <c r="G11313" s="7" t="n">
        <v>0</v>
      </c>
    </row>
    <row r="11314" customFormat="false" ht="15" hidden="false" customHeight="false" outlineLevel="0" collapsed="false">
      <c r="A11314" s="7" t="s">
        <v>38</v>
      </c>
      <c r="B11314" s="7" t="s">
        <v>133</v>
      </c>
      <c r="C11314" s="7" t="s">
        <v>1184</v>
      </c>
      <c r="D11314" s="7" t="n">
        <v>25</v>
      </c>
      <c r="E11314" s="7" t="n">
        <v>419.85</v>
      </c>
      <c r="F11314" s="7" t="n">
        <v>0</v>
      </c>
      <c r="G11314" s="7" t="n">
        <v>0</v>
      </c>
    </row>
    <row r="11315" customFormat="false" ht="15" hidden="false" customHeight="false" outlineLevel="0" collapsed="false">
      <c r="A11315" s="7" t="s">
        <v>38</v>
      </c>
      <c r="B11315" s="7" t="s">
        <v>133</v>
      </c>
      <c r="C11315" s="7" t="s">
        <v>1184</v>
      </c>
      <c r="D11315" s="7" t="n">
        <v>25</v>
      </c>
      <c r="E11315" s="7" t="n">
        <v>442.11</v>
      </c>
      <c r="F11315" s="7" t="n">
        <v>0</v>
      </c>
      <c r="G11315" s="7" t="n">
        <v>0</v>
      </c>
    </row>
    <row r="11316" customFormat="false" ht="15" hidden="false" customHeight="false" outlineLevel="0" collapsed="false">
      <c r="A11316" s="7" t="s">
        <v>38</v>
      </c>
      <c r="B11316" s="7" t="s">
        <v>133</v>
      </c>
      <c r="C11316" s="7" t="s">
        <v>1184</v>
      </c>
      <c r="D11316" s="7" t="n">
        <v>0</v>
      </c>
      <c r="E11316" s="7" t="n">
        <v>0</v>
      </c>
      <c r="F11316" s="7" t="n">
        <v>25</v>
      </c>
      <c r="G11316" s="7" t="n">
        <v>370.05</v>
      </c>
    </row>
    <row r="11317" customFormat="false" ht="15" hidden="false" customHeight="false" outlineLevel="0" collapsed="false">
      <c r="A11317" s="7" t="s">
        <v>38</v>
      </c>
      <c r="B11317" s="7" t="s">
        <v>998</v>
      </c>
      <c r="C11317" s="7" t="s">
        <v>1077</v>
      </c>
      <c r="D11317" s="7" t="n">
        <v>45</v>
      </c>
      <c r="E11317" s="7" t="n">
        <v>1681.27</v>
      </c>
      <c r="F11317" s="7" t="n">
        <v>0</v>
      </c>
      <c r="G11317" s="7" t="n">
        <v>0</v>
      </c>
    </row>
    <row r="11318" customFormat="false" ht="15" hidden="false" customHeight="false" outlineLevel="0" collapsed="false">
      <c r="A11318" s="7" t="s">
        <v>38</v>
      </c>
      <c r="B11318" s="7" t="s">
        <v>998</v>
      </c>
      <c r="C11318" s="7" t="s">
        <v>1077</v>
      </c>
      <c r="D11318" s="7" t="n">
        <v>0</v>
      </c>
      <c r="E11318" s="7" t="n">
        <v>0</v>
      </c>
      <c r="F11318" s="7" t="n">
        <v>15</v>
      </c>
      <c r="G11318" s="7" t="n">
        <v>493.96</v>
      </c>
    </row>
    <row r="11319" customFormat="false" ht="15" hidden="false" customHeight="false" outlineLevel="0" collapsed="false">
      <c r="A11319" s="7" t="s">
        <v>38</v>
      </c>
      <c r="B11319" s="7" t="s">
        <v>998</v>
      </c>
      <c r="C11319" s="7" t="s">
        <v>1077</v>
      </c>
      <c r="D11319" s="7" t="n">
        <v>15</v>
      </c>
      <c r="E11319" s="7" t="n">
        <v>590.14</v>
      </c>
      <c r="F11319" s="7" t="n">
        <v>0</v>
      </c>
      <c r="G11319" s="7" t="n">
        <v>0</v>
      </c>
    </row>
    <row r="11320" customFormat="false" ht="15" hidden="false" customHeight="false" outlineLevel="0" collapsed="false">
      <c r="A11320" s="7" t="s">
        <v>38</v>
      </c>
      <c r="B11320" s="7" t="s">
        <v>999</v>
      </c>
      <c r="C11320" s="7" t="s">
        <v>1077</v>
      </c>
      <c r="D11320" s="7" t="n">
        <v>20</v>
      </c>
      <c r="E11320" s="7" t="n">
        <v>786.85</v>
      </c>
      <c r="F11320" s="7" t="n">
        <v>0</v>
      </c>
      <c r="G11320" s="7" t="n">
        <v>0</v>
      </c>
    </row>
    <row r="11321" customFormat="false" ht="15" hidden="false" customHeight="false" outlineLevel="0" collapsed="false">
      <c r="A11321" s="7" t="s">
        <v>38</v>
      </c>
      <c r="B11321" s="7" t="s">
        <v>999</v>
      </c>
      <c r="C11321" s="7" t="s">
        <v>1077</v>
      </c>
      <c r="D11321" s="7" t="n">
        <v>50</v>
      </c>
      <c r="E11321" s="7" t="n">
        <v>1868.08</v>
      </c>
      <c r="F11321" s="7" t="n">
        <v>0</v>
      </c>
      <c r="G11321" s="7" t="n">
        <v>0</v>
      </c>
    </row>
    <row r="11322" customFormat="false" ht="15" hidden="false" customHeight="false" outlineLevel="0" collapsed="false">
      <c r="A11322" s="7" t="s">
        <v>38</v>
      </c>
      <c r="B11322" s="7" t="s">
        <v>999</v>
      </c>
      <c r="C11322" s="7" t="s">
        <v>1077</v>
      </c>
      <c r="D11322" s="7" t="n">
        <v>0</v>
      </c>
      <c r="E11322" s="7" t="n">
        <v>0</v>
      </c>
      <c r="F11322" s="7" t="n">
        <v>40</v>
      </c>
      <c r="G11322" s="7" t="n">
        <v>1317.21</v>
      </c>
    </row>
    <row r="11323" customFormat="false" ht="15" hidden="false" customHeight="false" outlineLevel="0" collapsed="false">
      <c r="A11323" s="7" t="s">
        <v>38</v>
      </c>
      <c r="B11323" s="7" t="s">
        <v>575</v>
      </c>
      <c r="C11323" s="7" t="s">
        <v>1185</v>
      </c>
      <c r="D11323" s="7" t="n">
        <v>0</v>
      </c>
      <c r="E11323" s="7" t="n">
        <v>0</v>
      </c>
      <c r="F11323" s="7" t="n">
        <v>20</v>
      </c>
      <c r="G11323" s="7" t="n">
        <v>292.71</v>
      </c>
    </row>
    <row r="11324" customFormat="false" ht="15" hidden="false" customHeight="false" outlineLevel="0" collapsed="false">
      <c r="A11324" s="7" t="s">
        <v>38</v>
      </c>
      <c r="B11324" s="7" t="s">
        <v>575</v>
      </c>
      <c r="C11324" s="7" t="s">
        <v>1185</v>
      </c>
      <c r="D11324" s="7" t="n">
        <v>10</v>
      </c>
      <c r="E11324" s="7" t="n">
        <v>174.86</v>
      </c>
      <c r="F11324" s="7" t="n">
        <v>0</v>
      </c>
      <c r="G11324" s="7" t="n">
        <v>0</v>
      </c>
    </row>
    <row r="11325" customFormat="false" ht="15" hidden="false" customHeight="false" outlineLevel="0" collapsed="false">
      <c r="A11325" s="7" t="s">
        <v>38</v>
      </c>
      <c r="B11325" s="7" t="s">
        <v>575</v>
      </c>
      <c r="C11325" s="7" t="s">
        <v>1185</v>
      </c>
      <c r="D11325" s="7" t="n">
        <v>10</v>
      </c>
      <c r="E11325" s="7" t="n">
        <v>166.05</v>
      </c>
      <c r="F11325" s="7" t="n">
        <v>0</v>
      </c>
      <c r="G11325" s="7" t="n">
        <v>0</v>
      </c>
    </row>
    <row r="11326" customFormat="false" ht="15" hidden="false" customHeight="false" outlineLevel="0" collapsed="false">
      <c r="A11326" s="7" t="s">
        <v>38</v>
      </c>
      <c r="B11326" s="7" t="s">
        <v>956</v>
      </c>
      <c r="C11326" s="7" t="s">
        <v>1326</v>
      </c>
      <c r="D11326" s="7" t="n">
        <v>0</v>
      </c>
      <c r="E11326" s="7" t="n">
        <v>0</v>
      </c>
      <c r="F11326" s="7" t="n">
        <v>30</v>
      </c>
      <c r="G11326" s="7" t="n">
        <v>1866.05</v>
      </c>
    </row>
    <row r="11327" customFormat="false" ht="15" hidden="false" customHeight="false" outlineLevel="0" collapsed="false">
      <c r="A11327" s="7" t="s">
        <v>38</v>
      </c>
      <c r="B11327" s="7" t="s">
        <v>956</v>
      </c>
      <c r="C11327" s="7" t="s">
        <v>1326</v>
      </c>
      <c r="D11327" s="7" t="n">
        <v>20</v>
      </c>
      <c r="E11327" s="7" t="n">
        <v>1411.44</v>
      </c>
      <c r="F11327" s="7" t="n">
        <v>0</v>
      </c>
      <c r="G11327" s="7" t="n">
        <v>0</v>
      </c>
    </row>
    <row r="11328" customFormat="false" ht="15" hidden="false" customHeight="false" outlineLevel="0" collapsed="false">
      <c r="A11328" s="7" t="s">
        <v>38</v>
      </c>
      <c r="B11328" s="7" t="s">
        <v>280</v>
      </c>
      <c r="C11328" s="7" t="s">
        <v>1299</v>
      </c>
      <c r="D11328" s="7" t="n">
        <v>70</v>
      </c>
      <c r="E11328" s="7" t="n">
        <v>1363.08</v>
      </c>
      <c r="F11328" s="7" t="n">
        <v>0</v>
      </c>
      <c r="G11328" s="7" t="n">
        <v>0</v>
      </c>
    </row>
    <row r="11329" customFormat="false" ht="15" hidden="false" customHeight="false" outlineLevel="0" collapsed="false">
      <c r="A11329" s="7" t="s">
        <v>38</v>
      </c>
      <c r="B11329" s="7" t="s">
        <v>280</v>
      </c>
      <c r="C11329" s="7" t="s">
        <v>1299</v>
      </c>
      <c r="D11329" s="7" t="n">
        <v>0</v>
      </c>
      <c r="E11329" s="7" t="n">
        <v>0</v>
      </c>
      <c r="F11329" s="7" t="n">
        <v>60</v>
      </c>
      <c r="G11329" s="7" t="n">
        <v>977.93</v>
      </c>
    </row>
    <row r="11330" customFormat="false" ht="15" hidden="false" customHeight="false" outlineLevel="0" collapsed="false">
      <c r="A11330" s="7" t="s">
        <v>38</v>
      </c>
      <c r="B11330" s="7" t="s">
        <v>280</v>
      </c>
      <c r="C11330" s="7" t="s">
        <v>1299</v>
      </c>
      <c r="D11330" s="7" t="n">
        <v>35</v>
      </c>
      <c r="E11330" s="7" t="n">
        <v>647.22</v>
      </c>
      <c r="F11330" s="7" t="n">
        <v>0</v>
      </c>
      <c r="G11330" s="7" t="n">
        <v>0</v>
      </c>
    </row>
    <row r="11331" customFormat="false" ht="15" hidden="false" customHeight="false" outlineLevel="0" collapsed="false">
      <c r="A11331" s="7" t="s">
        <v>38</v>
      </c>
      <c r="B11331" s="7" t="s">
        <v>732</v>
      </c>
      <c r="C11331" s="7" t="s">
        <v>1249</v>
      </c>
      <c r="D11331" s="7" t="n">
        <v>0</v>
      </c>
      <c r="E11331" s="7" t="n">
        <v>0</v>
      </c>
      <c r="F11331" s="7" t="n">
        <v>6</v>
      </c>
      <c r="G11331" s="7" t="n">
        <v>93.8</v>
      </c>
    </row>
    <row r="11332" customFormat="false" ht="15" hidden="false" customHeight="false" outlineLevel="0" collapsed="false">
      <c r="A11332" s="7" t="s">
        <v>38</v>
      </c>
      <c r="B11332" s="7" t="s">
        <v>732</v>
      </c>
      <c r="C11332" s="7" t="s">
        <v>1249</v>
      </c>
      <c r="D11332" s="7" t="n">
        <v>4</v>
      </c>
      <c r="E11332" s="7" t="n">
        <v>70.95</v>
      </c>
      <c r="F11332" s="7" t="n">
        <v>0</v>
      </c>
      <c r="G11332" s="7" t="n">
        <v>0</v>
      </c>
    </row>
    <row r="11333" customFormat="false" ht="15" hidden="false" customHeight="false" outlineLevel="0" collapsed="false">
      <c r="A11333" s="7" t="s">
        <v>38</v>
      </c>
      <c r="B11333" s="7" t="s">
        <v>945</v>
      </c>
      <c r="C11333" s="7" t="s">
        <v>1069</v>
      </c>
      <c r="D11333" s="7" t="n">
        <v>0</v>
      </c>
      <c r="E11333" s="7" t="n">
        <v>0</v>
      </c>
      <c r="F11333" s="7" t="n">
        <v>10</v>
      </c>
      <c r="G11333" s="7" t="n">
        <v>176.29</v>
      </c>
    </row>
    <row r="11334" customFormat="false" ht="15" hidden="false" customHeight="false" outlineLevel="0" collapsed="false">
      <c r="A11334" s="7" t="s">
        <v>38</v>
      </c>
      <c r="B11334" s="7" t="s">
        <v>945</v>
      </c>
      <c r="C11334" s="7" t="s">
        <v>1069</v>
      </c>
      <c r="D11334" s="7" t="n">
        <v>20</v>
      </c>
      <c r="E11334" s="7" t="n">
        <v>421.24</v>
      </c>
      <c r="F11334" s="7" t="n">
        <v>0</v>
      </c>
      <c r="G11334" s="7" t="n">
        <v>0</v>
      </c>
    </row>
    <row r="11335" customFormat="false" ht="15" hidden="false" customHeight="false" outlineLevel="0" collapsed="false">
      <c r="A11335" s="7" t="s">
        <v>38</v>
      </c>
      <c r="B11335" s="7" t="s">
        <v>945</v>
      </c>
      <c r="C11335" s="7" t="s">
        <v>1069</v>
      </c>
      <c r="D11335" s="7" t="n">
        <v>10</v>
      </c>
      <c r="E11335" s="7" t="n">
        <v>200.02</v>
      </c>
      <c r="F11335" s="7" t="n">
        <v>0</v>
      </c>
      <c r="G11335" s="7" t="n">
        <v>0</v>
      </c>
    </row>
    <row r="11336" customFormat="false" ht="15" hidden="false" customHeight="false" outlineLevel="0" collapsed="false">
      <c r="A11336" s="7" t="s">
        <v>38</v>
      </c>
      <c r="B11336" s="7" t="s">
        <v>210</v>
      </c>
      <c r="C11336" s="7" t="s">
        <v>1300</v>
      </c>
      <c r="D11336" s="7" t="n">
        <v>3</v>
      </c>
      <c r="E11336" s="7" t="n">
        <v>152.01</v>
      </c>
      <c r="F11336" s="7" t="n">
        <v>0</v>
      </c>
      <c r="G11336" s="7" t="n">
        <v>0</v>
      </c>
    </row>
    <row r="11337" customFormat="false" ht="15" hidden="false" customHeight="false" outlineLevel="0" collapsed="false">
      <c r="A11337" s="7" t="s">
        <v>38</v>
      </c>
      <c r="B11337" s="7" t="s">
        <v>210</v>
      </c>
      <c r="C11337" s="7" t="s">
        <v>1300</v>
      </c>
      <c r="D11337" s="7" t="n">
        <v>3</v>
      </c>
      <c r="E11337" s="7" t="n">
        <v>144.35</v>
      </c>
      <c r="F11337" s="7" t="n">
        <v>0</v>
      </c>
      <c r="G11337" s="7" t="n">
        <v>0</v>
      </c>
    </row>
    <row r="11338" customFormat="false" ht="15" hidden="false" customHeight="false" outlineLevel="0" collapsed="false">
      <c r="A11338" s="7" t="s">
        <v>38</v>
      </c>
      <c r="B11338" s="7" t="s">
        <v>210</v>
      </c>
      <c r="C11338" s="7" t="s">
        <v>1300</v>
      </c>
      <c r="D11338" s="7" t="n">
        <v>0</v>
      </c>
      <c r="E11338" s="7" t="n">
        <v>0</v>
      </c>
      <c r="F11338" s="7" t="n">
        <v>5</v>
      </c>
      <c r="G11338" s="7" t="n">
        <v>212.05</v>
      </c>
    </row>
    <row r="11339" customFormat="false" ht="15" hidden="false" customHeight="false" outlineLevel="0" collapsed="false">
      <c r="A11339" s="7" t="s">
        <v>38</v>
      </c>
      <c r="B11339" s="7" t="s">
        <v>744</v>
      </c>
      <c r="C11339" s="7" t="s">
        <v>1300</v>
      </c>
      <c r="D11339" s="7" t="n">
        <v>0</v>
      </c>
      <c r="E11339" s="7" t="n">
        <v>0</v>
      </c>
      <c r="F11339" s="7" t="n">
        <v>5</v>
      </c>
      <c r="G11339" s="7" t="n">
        <v>212.05</v>
      </c>
    </row>
    <row r="11340" customFormat="false" ht="15" hidden="false" customHeight="false" outlineLevel="0" collapsed="false">
      <c r="A11340" s="7" t="s">
        <v>38</v>
      </c>
      <c r="B11340" s="7" t="s">
        <v>744</v>
      </c>
      <c r="C11340" s="7" t="s">
        <v>1300</v>
      </c>
      <c r="D11340" s="7" t="n">
        <v>3</v>
      </c>
      <c r="E11340" s="7" t="n">
        <v>144.35</v>
      </c>
      <c r="F11340" s="7" t="n">
        <v>0</v>
      </c>
      <c r="G11340" s="7" t="n">
        <v>0</v>
      </c>
    </row>
    <row r="11341" customFormat="false" ht="15" hidden="false" customHeight="false" outlineLevel="0" collapsed="false">
      <c r="A11341" s="7" t="s">
        <v>38</v>
      </c>
      <c r="B11341" s="7" t="s">
        <v>744</v>
      </c>
      <c r="C11341" s="7" t="s">
        <v>1300</v>
      </c>
      <c r="D11341" s="7" t="n">
        <v>2</v>
      </c>
      <c r="E11341" s="7" t="n">
        <v>101.34</v>
      </c>
      <c r="F11341" s="7" t="n">
        <v>0</v>
      </c>
      <c r="G11341" s="7" t="n">
        <v>0</v>
      </c>
    </row>
    <row r="11342" customFormat="false" ht="15" hidden="false" customHeight="false" outlineLevel="0" collapsed="false">
      <c r="A11342" s="7" t="s">
        <v>38</v>
      </c>
      <c r="B11342" s="7" t="s">
        <v>365</v>
      </c>
      <c r="C11342" s="7" t="s">
        <v>1300</v>
      </c>
      <c r="D11342" s="7" t="n">
        <v>0</v>
      </c>
      <c r="E11342" s="7" t="n">
        <v>0</v>
      </c>
      <c r="F11342" s="7" t="n">
        <v>2</v>
      </c>
      <c r="G11342" s="7" t="n">
        <v>84.82</v>
      </c>
    </row>
    <row r="11343" customFormat="false" ht="15" hidden="false" customHeight="false" outlineLevel="0" collapsed="false">
      <c r="A11343" s="7" t="s">
        <v>38</v>
      </c>
      <c r="B11343" s="7" t="s">
        <v>256</v>
      </c>
      <c r="C11343" s="7" t="s">
        <v>1300</v>
      </c>
      <c r="D11343" s="7" t="n">
        <v>0</v>
      </c>
      <c r="E11343" s="7" t="n">
        <v>0</v>
      </c>
      <c r="F11343" s="7" t="n">
        <v>5</v>
      </c>
      <c r="G11343" s="7" t="n">
        <v>212.05</v>
      </c>
    </row>
    <row r="11344" customFormat="false" ht="15" hidden="false" customHeight="false" outlineLevel="0" collapsed="false">
      <c r="A11344" s="7" t="s">
        <v>38</v>
      </c>
      <c r="B11344" s="7" t="s">
        <v>611</v>
      </c>
      <c r="C11344" s="7" t="s">
        <v>1300</v>
      </c>
      <c r="D11344" s="7" t="n">
        <v>0</v>
      </c>
      <c r="E11344" s="7" t="n">
        <v>0</v>
      </c>
      <c r="F11344" s="7" t="n">
        <v>5</v>
      </c>
      <c r="G11344" s="7" t="n">
        <v>212.05</v>
      </c>
    </row>
    <row r="11345" customFormat="false" ht="15" hidden="false" customHeight="false" outlineLevel="0" collapsed="false">
      <c r="A11345" s="7" t="s">
        <v>38</v>
      </c>
      <c r="B11345" s="7" t="s">
        <v>506</v>
      </c>
      <c r="C11345" s="7" t="s">
        <v>1078</v>
      </c>
      <c r="D11345" s="7" t="n">
        <v>0</v>
      </c>
      <c r="E11345" s="7" t="n">
        <v>0</v>
      </c>
      <c r="F11345" s="7" t="n">
        <v>3</v>
      </c>
      <c r="G11345" s="7" t="n">
        <v>109.27</v>
      </c>
    </row>
    <row r="11346" customFormat="false" ht="15" hidden="false" customHeight="false" outlineLevel="0" collapsed="false">
      <c r="A11346" s="7" t="s">
        <v>38</v>
      </c>
      <c r="B11346" s="7" t="s">
        <v>345</v>
      </c>
      <c r="C11346" s="7" t="s">
        <v>1078</v>
      </c>
      <c r="D11346" s="7" t="n">
        <v>0</v>
      </c>
      <c r="E11346" s="7" t="n">
        <v>0</v>
      </c>
      <c r="F11346" s="7" t="n">
        <v>3</v>
      </c>
      <c r="G11346" s="7" t="n">
        <v>109.27</v>
      </c>
    </row>
    <row r="11347" customFormat="false" ht="15" hidden="false" customHeight="false" outlineLevel="0" collapsed="false">
      <c r="A11347" s="7" t="s">
        <v>38</v>
      </c>
      <c r="B11347" s="7" t="s">
        <v>1001</v>
      </c>
      <c r="C11347" s="7" t="s">
        <v>1327</v>
      </c>
      <c r="D11347" s="7" t="n">
        <v>0</v>
      </c>
      <c r="E11347" s="7" t="n">
        <v>0</v>
      </c>
      <c r="F11347" s="7" t="n">
        <v>3</v>
      </c>
      <c r="G11347" s="7" t="n">
        <v>299.37</v>
      </c>
    </row>
    <row r="11348" customFormat="false" ht="15" hidden="false" customHeight="false" outlineLevel="0" collapsed="false">
      <c r="A11348" s="7" t="s">
        <v>38</v>
      </c>
      <c r="B11348" s="7" t="s">
        <v>351</v>
      </c>
      <c r="C11348" s="7" t="s">
        <v>1080</v>
      </c>
      <c r="D11348" s="7" t="n">
        <v>4</v>
      </c>
      <c r="E11348" s="7" t="n">
        <v>321.1</v>
      </c>
      <c r="F11348" s="7" t="n">
        <v>0</v>
      </c>
      <c r="G11348" s="7" t="n">
        <v>0</v>
      </c>
    </row>
    <row r="11349" customFormat="false" ht="15" hidden="false" customHeight="false" outlineLevel="0" collapsed="false">
      <c r="A11349" s="7" t="s">
        <v>38</v>
      </c>
      <c r="B11349" s="7" t="s">
        <v>351</v>
      </c>
      <c r="C11349" s="7" t="s">
        <v>1080</v>
      </c>
      <c r="D11349" s="7" t="n">
        <v>0</v>
      </c>
      <c r="E11349" s="7" t="n">
        <v>0</v>
      </c>
      <c r="F11349" s="7" t="n">
        <v>6</v>
      </c>
      <c r="G11349" s="7" t="n">
        <v>403.15</v>
      </c>
    </row>
    <row r="11350" customFormat="false" ht="15" hidden="false" customHeight="false" outlineLevel="0" collapsed="false">
      <c r="A11350" s="7" t="s">
        <v>38</v>
      </c>
      <c r="B11350" s="7" t="s">
        <v>248</v>
      </c>
      <c r="C11350" s="7" t="s">
        <v>1080</v>
      </c>
      <c r="D11350" s="7" t="n">
        <v>2</v>
      </c>
      <c r="E11350" s="7" t="n">
        <v>152.47</v>
      </c>
      <c r="F11350" s="7" t="n">
        <v>0</v>
      </c>
      <c r="G11350" s="7" t="n">
        <v>0</v>
      </c>
    </row>
    <row r="11351" customFormat="false" ht="15" hidden="false" customHeight="false" outlineLevel="0" collapsed="false">
      <c r="A11351" s="7" t="s">
        <v>38</v>
      </c>
      <c r="B11351" s="7" t="s">
        <v>248</v>
      </c>
      <c r="C11351" s="7" t="s">
        <v>1080</v>
      </c>
      <c r="D11351" s="7" t="n">
        <v>0</v>
      </c>
      <c r="E11351" s="7" t="n">
        <v>0</v>
      </c>
      <c r="F11351" s="7" t="n">
        <v>3</v>
      </c>
      <c r="G11351" s="7" t="n">
        <v>201.57</v>
      </c>
    </row>
    <row r="11352" customFormat="false" ht="15" hidden="false" customHeight="false" outlineLevel="0" collapsed="false">
      <c r="A11352" s="7" t="s">
        <v>38</v>
      </c>
      <c r="B11352" s="7" t="s">
        <v>378</v>
      </c>
      <c r="C11352" s="7" t="s">
        <v>1080</v>
      </c>
      <c r="D11352" s="7" t="n">
        <v>2</v>
      </c>
      <c r="E11352" s="7" t="n">
        <v>160.55</v>
      </c>
      <c r="F11352" s="7" t="n">
        <v>0</v>
      </c>
      <c r="G11352" s="7" t="n">
        <v>0</v>
      </c>
    </row>
    <row r="11353" customFormat="false" ht="15" hidden="false" customHeight="false" outlineLevel="0" collapsed="false">
      <c r="A11353" s="7" t="s">
        <v>38</v>
      </c>
      <c r="B11353" s="7" t="s">
        <v>378</v>
      </c>
      <c r="C11353" s="7" t="s">
        <v>1080</v>
      </c>
      <c r="D11353" s="7" t="n">
        <v>0</v>
      </c>
      <c r="E11353" s="7" t="n">
        <v>0</v>
      </c>
      <c r="F11353" s="7" t="n">
        <v>3</v>
      </c>
      <c r="G11353" s="7" t="n">
        <v>201.57</v>
      </c>
    </row>
    <row r="11354" customFormat="false" ht="15" hidden="false" customHeight="false" outlineLevel="0" collapsed="false">
      <c r="A11354" s="7" t="s">
        <v>38</v>
      </c>
      <c r="B11354" s="7" t="s">
        <v>462</v>
      </c>
      <c r="C11354" s="7" t="s">
        <v>1080</v>
      </c>
      <c r="D11354" s="7" t="n">
        <v>0</v>
      </c>
      <c r="E11354" s="7" t="n">
        <v>0</v>
      </c>
      <c r="F11354" s="7" t="n">
        <v>6</v>
      </c>
      <c r="G11354" s="7" t="n">
        <v>403.15</v>
      </c>
    </row>
    <row r="11355" customFormat="false" ht="15" hidden="false" customHeight="false" outlineLevel="0" collapsed="false">
      <c r="A11355" s="7" t="s">
        <v>38</v>
      </c>
      <c r="B11355" s="7" t="s">
        <v>462</v>
      </c>
      <c r="C11355" s="7" t="s">
        <v>1080</v>
      </c>
      <c r="D11355" s="7" t="n">
        <v>4</v>
      </c>
      <c r="E11355" s="7" t="n">
        <v>321.1</v>
      </c>
      <c r="F11355" s="7" t="n">
        <v>0</v>
      </c>
      <c r="G11355" s="7" t="n">
        <v>0</v>
      </c>
    </row>
    <row r="11356" customFormat="false" ht="15" hidden="false" customHeight="false" outlineLevel="0" collapsed="false">
      <c r="A11356" s="7" t="s">
        <v>38</v>
      </c>
      <c r="B11356" s="7" t="s">
        <v>757</v>
      </c>
      <c r="C11356" s="7" t="s">
        <v>1080</v>
      </c>
      <c r="D11356" s="7" t="n">
        <v>0</v>
      </c>
      <c r="E11356" s="7" t="n">
        <v>0</v>
      </c>
      <c r="F11356" s="7" t="n">
        <v>6</v>
      </c>
      <c r="G11356" s="7" t="n">
        <v>403.15</v>
      </c>
    </row>
    <row r="11357" customFormat="false" ht="15" hidden="false" customHeight="false" outlineLevel="0" collapsed="false">
      <c r="A11357" s="7" t="s">
        <v>31</v>
      </c>
      <c r="B11357" s="7" t="s">
        <v>349</v>
      </c>
      <c r="C11357" s="7" t="s">
        <v>1034</v>
      </c>
      <c r="D11357" s="7" t="n">
        <v>30</v>
      </c>
      <c r="E11357" s="7" t="n">
        <v>1589.09</v>
      </c>
      <c r="F11357" s="7" t="n">
        <v>0</v>
      </c>
      <c r="G11357" s="7" t="n">
        <v>0</v>
      </c>
    </row>
    <row r="11358" customFormat="false" ht="15" hidden="false" customHeight="false" outlineLevel="0" collapsed="false">
      <c r="A11358" s="7" t="s">
        <v>31</v>
      </c>
      <c r="B11358" s="7" t="s">
        <v>349</v>
      </c>
      <c r="C11358" s="7" t="s">
        <v>1034</v>
      </c>
      <c r="D11358" s="7" t="n">
        <v>30</v>
      </c>
      <c r="E11358" s="7" t="n">
        <v>1532.71</v>
      </c>
      <c r="F11358" s="7" t="n">
        <v>0</v>
      </c>
      <c r="G11358" s="7" t="n">
        <v>0</v>
      </c>
    </row>
    <row r="11359" customFormat="false" ht="15" hidden="false" customHeight="false" outlineLevel="0" collapsed="false">
      <c r="A11359" s="7" t="s">
        <v>31</v>
      </c>
      <c r="B11359" s="7" t="s">
        <v>349</v>
      </c>
      <c r="C11359" s="7" t="s">
        <v>1034</v>
      </c>
      <c r="D11359" s="7" t="n">
        <v>0</v>
      </c>
      <c r="E11359" s="7" t="n">
        <v>0</v>
      </c>
      <c r="F11359" s="7" t="n">
        <v>50</v>
      </c>
      <c r="G11359" s="7" t="n">
        <v>2307.38</v>
      </c>
    </row>
    <row r="11360" customFormat="false" ht="15" hidden="false" customHeight="false" outlineLevel="0" collapsed="false">
      <c r="A11360" s="7" t="s">
        <v>31</v>
      </c>
      <c r="B11360" s="7" t="s">
        <v>349</v>
      </c>
      <c r="C11360" s="7" t="s">
        <v>1034</v>
      </c>
      <c r="D11360" s="7" t="n">
        <v>0</v>
      </c>
      <c r="E11360" s="7" t="n">
        <v>0</v>
      </c>
      <c r="F11360" s="7" t="n">
        <v>30</v>
      </c>
      <c r="G11360" s="7" t="n">
        <v>1390.82</v>
      </c>
    </row>
    <row r="11361" customFormat="false" ht="15" hidden="false" customHeight="false" outlineLevel="0" collapsed="false">
      <c r="A11361" s="7" t="s">
        <v>31</v>
      </c>
      <c r="B11361" s="7" t="s">
        <v>349</v>
      </c>
      <c r="C11361" s="7" t="s">
        <v>1034</v>
      </c>
      <c r="D11361" s="7" t="n">
        <v>30</v>
      </c>
      <c r="E11361" s="7" t="n">
        <v>1599.41</v>
      </c>
      <c r="F11361" s="7" t="n">
        <v>0</v>
      </c>
      <c r="G11361" s="7" t="n">
        <v>0</v>
      </c>
    </row>
    <row r="11362" customFormat="false" ht="15" hidden="false" customHeight="false" outlineLevel="0" collapsed="false">
      <c r="A11362" s="7" t="s">
        <v>31</v>
      </c>
      <c r="B11362" s="7" t="s">
        <v>349</v>
      </c>
      <c r="C11362" s="7" t="s">
        <v>1034</v>
      </c>
      <c r="D11362" s="7" t="n">
        <v>0</v>
      </c>
      <c r="E11362" s="7" t="n">
        <v>0</v>
      </c>
      <c r="F11362" s="7" t="n">
        <v>30</v>
      </c>
      <c r="G11362" s="7" t="n">
        <v>1485.37</v>
      </c>
    </row>
    <row r="11363" customFormat="false" ht="15" hidden="false" customHeight="false" outlineLevel="0" collapsed="false">
      <c r="A11363" s="7" t="s">
        <v>31</v>
      </c>
      <c r="B11363" s="7" t="s">
        <v>349</v>
      </c>
      <c r="C11363" s="7" t="s">
        <v>1034</v>
      </c>
      <c r="D11363" s="7" t="n">
        <v>10</v>
      </c>
      <c r="E11363" s="7" t="n">
        <v>559.93</v>
      </c>
      <c r="F11363" s="7" t="n">
        <v>0</v>
      </c>
      <c r="G11363" s="7" t="n">
        <v>0</v>
      </c>
    </row>
    <row r="11364" customFormat="false" ht="15" hidden="false" customHeight="false" outlineLevel="0" collapsed="false">
      <c r="A11364" s="7" t="s">
        <v>31</v>
      </c>
      <c r="B11364" s="7" t="s">
        <v>349</v>
      </c>
      <c r="C11364" s="7" t="s">
        <v>1034</v>
      </c>
      <c r="D11364" s="7" t="n">
        <v>0</v>
      </c>
      <c r="E11364" s="7" t="n">
        <v>0</v>
      </c>
      <c r="F11364" s="7" t="n">
        <v>6</v>
      </c>
      <c r="G11364" s="7" t="n">
        <v>290.43</v>
      </c>
    </row>
    <row r="11365" customFormat="false" ht="15" hidden="false" customHeight="false" outlineLevel="0" collapsed="false">
      <c r="A11365" s="7" t="s">
        <v>31</v>
      </c>
      <c r="B11365" s="7" t="s">
        <v>160</v>
      </c>
      <c r="C11365" s="7" t="s">
        <v>1034</v>
      </c>
      <c r="D11365" s="7" t="n">
        <v>6</v>
      </c>
      <c r="E11365" s="7" t="n">
        <v>317.82</v>
      </c>
      <c r="F11365" s="7" t="n">
        <v>0</v>
      </c>
      <c r="G11365" s="7" t="n">
        <v>0</v>
      </c>
    </row>
    <row r="11366" customFormat="false" ht="15" hidden="false" customHeight="false" outlineLevel="0" collapsed="false">
      <c r="A11366" s="7" t="s">
        <v>31</v>
      </c>
      <c r="B11366" s="7" t="s">
        <v>160</v>
      </c>
      <c r="C11366" s="7" t="s">
        <v>1034</v>
      </c>
      <c r="D11366" s="7" t="n">
        <v>0</v>
      </c>
      <c r="E11366" s="7" t="n">
        <v>0</v>
      </c>
      <c r="F11366" s="7" t="n">
        <v>10</v>
      </c>
      <c r="G11366" s="7" t="n">
        <v>463.61</v>
      </c>
    </row>
    <row r="11367" customFormat="false" ht="15" hidden="false" customHeight="false" outlineLevel="0" collapsed="false">
      <c r="A11367" s="7" t="s">
        <v>31</v>
      </c>
      <c r="B11367" s="7" t="s">
        <v>160</v>
      </c>
      <c r="C11367" s="7" t="s">
        <v>1034</v>
      </c>
      <c r="D11367" s="7" t="n">
        <v>30</v>
      </c>
      <c r="E11367" s="7" t="n">
        <v>1532.71</v>
      </c>
      <c r="F11367" s="7" t="n">
        <v>0</v>
      </c>
      <c r="G11367" s="7" t="n">
        <v>0</v>
      </c>
    </row>
    <row r="11368" customFormat="false" ht="15" hidden="false" customHeight="false" outlineLevel="0" collapsed="false">
      <c r="A11368" s="7" t="s">
        <v>31</v>
      </c>
      <c r="B11368" s="7" t="s">
        <v>160</v>
      </c>
      <c r="C11368" s="7" t="s">
        <v>1034</v>
      </c>
      <c r="D11368" s="7" t="n">
        <v>20</v>
      </c>
      <c r="E11368" s="7" t="n">
        <v>1066.27</v>
      </c>
      <c r="F11368" s="7" t="n">
        <v>0</v>
      </c>
      <c r="G11368" s="7" t="n">
        <v>0</v>
      </c>
    </row>
    <row r="11369" customFormat="false" ht="15" hidden="false" customHeight="false" outlineLevel="0" collapsed="false">
      <c r="A11369" s="7" t="s">
        <v>31</v>
      </c>
      <c r="B11369" s="7" t="s">
        <v>160</v>
      </c>
      <c r="C11369" s="7" t="s">
        <v>1034</v>
      </c>
      <c r="D11369" s="7" t="n">
        <v>0</v>
      </c>
      <c r="E11369" s="7" t="n">
        <v>0</v>
      </c>
      <c r="F11369" s="7" t="n">
        <v>30</v>
      </c>
      <c r="G11369" s="7" t="n">
        <v>1485.37</v>
      </c>
    </row>
    <row r="11370" customFormat="false" ht="15" hidden="false" customHeight="false" outlineLevel="0" collapsed="false">
      <c r="A11370" s="7" t="s">
        <v>31</v>
      </c>
      <c r="B11370" s="7" t="s">
        <v>160</v>
      </c>
      <c r="C11370" s="7" t="s">
        <v>1034</v>
      </c>
      <c r="D11370" s="7" t="n">
        <v>0</v>
      </c>
      <c r="E11370" s="7" t="n">
        <v>0</v>
      </c>
      <c r="F11370" s="7" t="n">
        <v>6</v>
      </c>
      <c r="G11370" s="7" t="n">
        <v>276.89</v>
      </c>
    </row>
    <row r="11371" customFormat="false" ht="15" hidden="false" customHeight="false" outlineLevel="0" collapsed="false">
      <c r="A11371" s="7" t="s">
        <v>31</v>
      </c>
      <c r="B11371" s="7" t="s">
        <v>763</v>
      </c>
      <c r="C11371" s="7" t="s">
        <v>1034</v>
      </c>
      <c r="D11371" s="7" t="n">
        <v>0</v>
      </c>
      <c r="E11371" s="7" t="n">
        <v>0</v>
      </c>
      <c r="F11371" s="7" t="n">
        <v>15</v>
      </c>
      <c r="G11371" s="7" t="n">
        <v>742.69</v>
      </c>
    </row>
    <row r="11372" customFormat="false" ht="15" hidden="false" customHeight="false" outlineLevel="0" collapsed="false">
      <c r="A11372" s="7" t="s">
        <v>31</v>
      </c>
      <c r="B11372" s="7" t="s">
        <v>763</v>
      </c>
      <c r="C11372" s="7" t="s">
        <v>1034</v>
      </c>
      <c r="D11372" s="7" t="n">
        <v>0</v>
      </c>
      <c r="E11372" s="7" t="n">
        <v>0</v>
      </c>
      <c r="F11372" s="7" t="n">
        <v>6</v>
      </c>
      <c r="G11372" s="7" t="n">
        <v>278.16</v>
      </c>
    </row>
    <row r="11373" customFormat="false" ht="15" hidden="false" customHeight="false" outlineLevel="0" collapsed="false">
      <c r="A11373" s="7" t="s">
        <v>31</v>
      </c>
      <c r="B11373" s="7" t="s">
        <v>763</v>
      </c>
      <c r="C11373" s="7" t="s">
        <v>1034</v>
      </c>
      <c r="D11373" s="7" t="n">
        <v>5</v>
      </c>
      <c r="E11373" s="7" t="n">
        <v>266.57</v>
      </c>
      <c r="F11373" s="7" t="n">
        <v>0</v>
      </c>
      <c r="G11373" s="7" t="n">
        <v>0</v>
      </c>
    </row>
    <row r="11374" customFormat="false" ht="15" hidden="false" customHeight="false" outlineLevel="0" collapsed="false">
      <c r="A11374" s="7" t="s">
        <v>31</v>
      </c>
      <c r="B11374" s="7" t="s">
        <v>763</v>
      </c>
      <c r="C11374" s="7" t="s">
        <v>1034</v>
      </c>
      <c r="D11374" s="7" t="n">
        <v>6</v>
      </c>
      <c r="E11374" s="7" t="n">
        <v>317.82</v>
      </c>
      <c r="F11374" s="7" t="n">
        <v>0</v>
      </c>
      <c r="G11374" s="7" t="n">
        <v>0</v>
      </c>
    </row>
    <row r="11375" customFormat="false" ht="15" hidden="false" customHeight="false" outlineLevel="0" collapsed="false">
      <c r="A11375" s="7" t="s">
        <v>31</v>
      </c>
      <c r="B11375" s="7" t="s">
        <v>297</v>
      </c>
      <c r="C11375" s="7" t="s">
        <v>1034</v>
      </c>
      <c r="D11375" s="7" t="n">
        <v>40</v>
      </c>
      <c r="E11375" s="7" t="n">
        <v>2118.79</v>
      </c>
      <c r="F11375" s="7" t="n">
        <v>0</v>
      </c>
      <c r="G11375" s="7" t="n">
        <v>0</v>
      </c>
    </row>
    <row r="11376" customFormat="false" ht="15" hidden="false" customHeight="false" outlineLevel="0" collapsed="false">
      <c r="A11376" s="7" t="s">
        <v>31</v>
      </c>
      <c r="B11376" s="7" t="s">
        <v>297</v>
      </c>
      <c r="C11376" s="7" t="s">
        <v>1034</v>
      </c>
      <c r="D11376" s="7" t="n">
        <v>20</v>
      </c>
      <c r="E11376" s="7" t="n">
        <v>1021.81</v>
      </c>
      <c r="F11376" s="7" t="n">
        <v>0</v>
      </c>
      <c r="G11376" s="7" t="n">
        <v>0</v>
      </c>
    </row>
    <row r="11377" customFormat="false" ht="15" hidden="false" customHeight="false" outlineLevel="0" collapsed="false">
      <c r="A11377" s="7" t="s">
        <v>31</v>
      </c>
      <c r="B11377" s="7" t="s">
        <v>297</v>
      </c>
      <c r="C11377" s="7" t="s">
        <v>1034</v>
      </c>
      <c r="D11377" s="7" t="n">
        <v>0</v>
      </c>
      <c r="E11377" s="7" t="n">
        <v>0</v>
      </c>
      <c r="F11377" s="7" t="n">
        <v>30</v>
      </c>
      <c r="G11377" s="7" t="n">
        <v>1384.43</v>
      </c>
    </row>
    <row r="11378" customFormat="false" ht="15" hidden="false" customHeight="false" outlineLevel="0" collapsed="false">
      <c r="A11378" s="7" t="s">
        <v>31</v>
      </c>
      <c r="B11378" s="7" t="s">
        <v>297</v>
      </c>
      <c r="C11378" s="7" t="s">
        <v>1034</v>
      </c>
      <c r="D11378" s="7" t="n">
        <v>0</v>
      </c>
      <c r="E11378" s="7" t="n">
        <v>0</v>
      </c>
      <c r="F11378" s="7" t="n">
        <v>15</v>
      </c>
      <c r="G11378" s="7" t="n">
        <v>726.07</v>
      </c>
    </row>
    <row r="11379" customFormat="false" ht="15" hidden="false" customHeight="false" outlineLevel="0" collapsed="false">
      <c r="A11379" s="7" t="s">
        <v>31</v>
      </c>
      <c r="B11379" s="7" t="s">
        <v>297</v>
      </c>
      <c r="C11379" s="7" t="s">
        <v>1034</v>
      </c>
      <c r="D11379" s="7" t="n">
        <v>0</v>
      </c>
      <c r="E11379" s="7" t="n">
        <v>0</v>
      </c>
      <c r="F11379" s="7" t="n">
        <v>30</v>
      </c>
      <c r="G11379" s="7" t="n">
        <v>1390.82</v>
      </c>
    </row>
    <row r="11380" customFormat="false" ht="15" hidden="false" customHeight="false" outlineLevel="0" collapsed="false">
      <c r="A11380" s="7" t="s">
        <v>31</v>
      </c>
      <c r="B11380" s="7" t="s">
        <v>297</v>
      </c>
      <c r="C11380" s="7" t="s">
        <v>1034</v>
      </c>
      <c r="D11380" s="7" t="n">
        <v>10</v>
      </c>
      <c r="E11380" s="7" t="n">
        <v>559.93</v>
      </c>
      <c r="F11380" s="7" t="n">
        <v>0</v>
      </c>
      <c r="G11380" s="7" t="n">
        <v>0</v>
      </c>
    </row>
    <row r="11381" customFormat="false" ht="15" hidden="false" customHeight="false" outlineLevel="0" collapsed="false">
      <c r="A11381" s="7" t="s">
        <v>31</v>
      </c>
      <c r="B11381" s="7" t="s">
        <v>297</v>
      </c>
      <c r="C11381" s="7" t="s">
        <v>1034</v>
      </c>
      <c r="D11381" s="7" t="n">
        <v>0</v>
      </c>
      <c r="E11381" s="7" t="n">
        <v>0</v>
      </c>
      <c r="F11381" s="7" t="n">
        <v>20</v>
      </c>
      <c r="G11381" s="7" t="n">
        <v>990.25</v>
      </c>
    </row>
    <row r="11382" customFormat="false" ht="15" hidden="false" customHeight="false" outlineLevel="0" collapsed="false">
      <c r="A11382" s="7" t="s">
        <v>31</v>
      </c>
      <c r="B11382" s="7" t="s">
        <v>297</v>
      </c>
      <c r="C11382" s="7" t="s">
        <v>1034</v>
      </c>
      <c r="D11382" s="7" t="n">
        <v>40</v>
      </c>
      <c r="E11382" s="7" t="n">
        <v>2132.54</v>
      </c>
      <c r="F11382" s="7" t="n">
        <v>0</v>
      </c>
      <c r="G11382" s="7" t="n">
        <v>0</v>
      </c>
    </row>
    <row r="11383" customFormat="false" ht="15" hidden="false" customHeight="false" outlineLevel="0" collapsed="false">
      <c r="A11383" s="7" t="s">
        <v>31</v>
      </c>
      <c r="B11383" s="7" t="s">
        <v>327</v>
      </c>
      <c r="C11383" s="7" t="s">
        <v>1034</v>
      </c>
      <c r="D11383" s="7" t="n">
        <v>0</v>
      </c>
      <c r="E11383" s="7" t="n">
        <v>0</v>
      </c>
      <c r="F11383" s="7" t="n">
        <v>30</v>
      </c>
      <c r="G11383" s="7" t="n">
        <v>1452.15</v>
      </c>
    </row>
    <row r="11384" customFormat="false" ht="15" hidden="false" customHeight="false" outlineLevel="0" collapsed="false">
      <c r="A11384" s="7" t="s">
        <v>31</v>
      </c>
      <c r="B11384" s="7" t="s">
        <v>327</v>
      </c>
      <c r="C11384" s="7" t="s">
        <v>1034</v>
      </c>
      <c r="D11384" s="7" t="n">
        <v>0</v>
      </c>
      <c r="E11384" s="7" t="n">
        <v>0</v>
      </c>
      <c r="F11384" s="7" t="n">
        <v>10</v>
      </c>
      <c r="G11384" s="7" t="n">
        <v>463.61</v>
      </c>
    </row>
    <row r="11385" customFormat="false" ht="15" hidden="false" customHeight="false" outlineLevel="0" collapsed="false">
      <c r="A11385" s="7" t="s">
        <v>31</v>
      </c>
      <c r="B11385" s="7" t="s">
        <v>327</v>
      </c>
      <c r="C11385" s="7" t="s">
        <v>1034</v>
      </c>
      <c r="D11385" s="7" t="n">
        <v>10</v>
      </c>
      <c r="E11385" s="7" t="n">
        <v>559.93</v>
      </c>
      <c r="F11385" s="7" t="n">
        <v>0</v>
      </c>
      <c r="G11385" s="7" t="n">
        <v>0</v>
      </c>
    </row>
    <row r="11386" customFormat="false" ht="15" hidden="false" customHeight="false" outlineLevel="0" collapsed="false">
      <c r="A11386" s="7" t="s">
        <v>31</v>
      </c>
      <c r="B11386" s="7" t="s">
        <v>327</v>
      </c>
      <c r="C11386" s="7" t="s">
        <v>1034</v>
      </c>
      <c r="D11386" s="7" t="n">
        <v>0</v>
      </c>
      <c r="E11386" s="7" t="n">
        <v>0</v>
      </c>
      <c r="F11386" s="7" t="n">
        <v>10</v>
      </c>
      <c r="G11386" s="7" t="n">
        <v>461.48</v>
      </c>
    </row>
    <row r="11387" customFormat="false" ht="15" hidden="false" customHeight="false" outlineLevel="0" collapsed="false">
      <c r="A11387" s="7" t="s">
        <v>31</v>
      </c>
      <c r="B11387" s="7" t="s">
        <v>327</v>
      </c>
      <c r="C11387" s="7" t="s">
        <v>1034</v>
      </c>
      <c r="D11387" s="7" t="n">
        <v>40</v>
      </c>
      <c r="E11387" s="7" t="n">
        <v>2118.79</v>
      </c>
      <c r="F11387" s="7" t="n">
        <v>0</v>
      </c>
      <c r="G11387" s="7" t="n">
        <v>0</v>
      </c>
    </row>
    <row r="11388" customFormat="false" ht="15" hidden="false" customHeight="false" outlineLevel="0" collapsed="false">
      <c r="A11388" s="7" t="s">
        <v>31</v>
      </c>
      <c r="B11388" s="7" t="s">
        <v>327</v>
      </c>
      <c r="C11388" s="7" t="s">
        <v>1034</v>
      </c>
      <c r="D11388" s="7" t="n">
        <v>10</v>
      </c>
      <c r="E11388" s="7" t="n">
        <v>510.9</v>
      </c>
      <c r="F11388" s="7" t="n">
        <v>0</v>
      </c>
      <c r="G11388" s="7" t="n">
        <v>0</v>
      </c>
    </row>
    <row r="11389" customFormat="false" ht="15" hidden="false" customHeight="false" outlineLevel="0" collapsed="false">
      <c r="A11389" s="7" t="s">
        <v>31</v>
      </c>
      <c r="B11389" s="7" t="s">
        <v>327</v>
      </c>
      <c r="C11389" s="7" t="s">
        <v>1034</v>
      </c>
      <c r="D11389" s="7" t="n">
        <v>25</v>
      </c>
      <c r="E11389" s="7" t="n">
        <v>1332.84</v>
      </c>
      <c r="F11389" s="7" t="n">
        <v>0</v>
      </c>
      <c r="G11389" s="7" t="n">
        <v>0</v>
      </c>
    </row>
    <row r="11390" customFormat="false" ht="15" hidden="false" customHeight="false" outlineLevel="0" collapsed="false">
      <c r="A11390" s="7" t="s">
        <v>31</v>
      </c>
      <c r="B11390" s="7" t="s">
        <v>272</v>
      </c>
      <c r="C11390" s="7" t="s">
        <v>1191</v>
      </c>
      <c r="D11390" s="7" t="n">
        <v>5</v>
      </c>
      <c r="E11390" s="7" t="n">
        <v>329.27</v>
      </c>
      <c r="F11390" s="7" t="n">
        <v>0</v>
      </c>
      <c r="G11390" s="7" t="n">
        <v>0</v>
      </c>
    </row>
    <row r="11391" customFormat="false" ht="15" hidden="false" customHeight="false" outlineLevel="0" collapsed="false">
      <c r="A11391" s="7" t="s">
        <v>31</v>
      </c>
      <c r="B11391" s="7" t="s">
        <v>577</v>
      </c>
      <c r="C11391" s="7" t="s">
        <v>1191</v>
      </c>
      <c r="D11391" s="7" t="n">
        <v>2</v>
      </c>
      <c r="E11391" s="7" t="n">
        <v>131.71</v>
      </c>
      <c r="F11391" s="7" t="n">
        <v>0</v>
      </c>
      <c r="G11391" s="7" t="n">
        <v>0</v>
      </c>
    </row>
    <row r="11392" customFormat="false" ht="15" hidden="false" customHeight="false" outlineLevel="0" collapsed="false">
      <c r="A11392" s="7" t="s">
        <v>31</v>
      </c>
      <c r="B11392" s="7" t="s">
        <v>331</v>
      </c>
      <c r="C11392" s="7" t="s">
        <v>1191</v>
      </c>
      <c r="D11392" s="7" t="n">
        <v>2</v>
      </c>
      <c r="E11392" s="7" t="n">
        <v>131.71</v>
      </c>
      <c r="F11392" s="7" t="n">
        <v>0</v>
      </c>
      <c r="G11392" s="7" t="n">
        <v>0</v>
      </c>
    </row>
    <row r="11393" customFormat="false" ht="15" hidden="false" customHeight="false" outlineLevel="0" collapsed="false">
      <c r="A11393" s="7" t="s">
        <v>31</v>
      </c>
      <c r="B11393" s="7" t="s">
        <v>471</v>
      </c>
      <c r="C11393" s="7" t="s">
        <v>1082</v>
      </c>
      <c r="D11393" s="7" t="n">
        <v>30</v>
      </c>
      <c r="E11393" s="7" t="n">
        <v>1304.95</v>
      </c>
      <c r="F11393" s="7" t="n">
        <v>0</v>
      </c>
      <c r="G11393" s="7" t="n">
        <v>0</v>
      </c>
    </row>
    <row r="11394" customFormat="false" ht="15" hidden="false" customHeight="false" outlineLevel="0" collapsed="false">
      <c r="A11394" s="7" t="s">
        <v>31</v>
      </c>
      <c r="B11394" s="7" t="s">
        <v>471</v>
      </c>
      <c r="C11394" s="7" t="s">
        <v>1082</v>
      </c>
      <c r="D11394" s="7" t="n">
        <v>10</v>
      </c>
      <c r="E11394" s="7" t="n">
        <v>459.8</v>
      </c>
      <c r="F11394" s="7" t="n">
        <v>0</v>
      </c>
      <c r="G11394" s="7" t="n">
        <v>0</v>
      </c>
    </row>
    <row r="11395" customFormat="false" ht="15" hidden="false" customHeight="false" outlineLevel="0" collapsed="false">
      <c r="A11395" s="7" t="s">
        <v>31</v>
      </c>
      <c r="B11395" s="7" t="s">
        <v>289</v>
      </c>
      <c r="C11395" s="7" t="s">
        <v>1082</v>
      </c>
      <c r="D11395" s="7" t="n">
        <v>0</v>
      </c>
      <c r="E11395" s="7" t="n">
        <v>0</v>
      </c>
      <c r="F11395" s="7" t="n">
        <v>6</v>
      </c>
      <c r="G11395" s="7" t="n">
        <v>228.43</v>
      </c>
    </row>
    <row r="11396" customFormat="false" ht="15" hidden="false" customHeight="false" outlineLevel="0" collapsed="false">
      <c r="A11396" s="7" t="s">
        <v>31</v>
      </c>
      <c r="B11396" s="7" t="s">
        <v>289</v>
      </c>
      <c r="C11396" s="7" t="s">
        <v>1082</v>
      </c>
      <c r="D11396" s="7" t="n">
        <v>0</v>
      </c>
      <c r="E11396" s="7" t="n">
        <v>0</v>
      </c>
      <c r="F11396" s="7" t="n">
        <v>12</v>
      </c>
      <c r="G11396" s="7" t="n">
        <v>477</v>
      </c>
    </row>
    <row r="11397" customFormat="false" ht="15" hidden="false" customHeight="false" outlineLevel="0" collapsed="false">
      <c r="A11397" s="7" t="s">
        <v>31</v>
      </c>
      <c r="B11397" s="7" t="s">
        <v>289</v>
      </c>
      <c r="C11397" s="7" t="s">
        <v>1082</v>
      </c>
      <c r="D11397" s="7" t="n">
        <v>6</v>
      </c>
      <c r="E11397" s="7" t="n">
        <v>275.89</v>
      </c>
      <c r="F11397" s="7" t="n">
        <v>0</v>
      </c>
      <c r="G11397" s="7" t="n">
        <v>0</v>
      </c>
    </row>
    <row r="11398" customFormat="false" ht="15" hidden="false" customHeight="false" outlineLevel="0" collapsed="false">
      <c r="A11398" s="7" t="s">
        <v>31</v>
      </c>
      <c r="B11398" s="7" t="s">
        <v>289</v>
      </c>
      <c r="C11398" s="7" t="s">
        <v>1082</v>
      </c>
      <c r="D11398" s="7" t="n">
        <v>20</v>
      </c>
      <c r="E11398" s="7" t="n">
        <v>869.97</v>
      </c>
      <c r="F11398" s="7" t="n">
        <v>0</v>
      </c>
      <c r="G11398" s="7" t="n">
        <v>0</v>
      </c>
    </row>
    <row r="11399" customFormat="false" ht="15" hidden="false" customHeight="false" outlineLevel="0" collapsed="false">
      <c r="A11399" s="7" t="s">
        <v>31</v>
      </c>
      <c r="B11399" s="7" t="s">
        <v>545</v>
      </c>
      <c r="C11399" s="7" t="s">
        <v>1082</v>
      </c>
      <c r="D11399" s="7" t="n">
        <v>3</v>
      </c>
      <c r="E11399" s="7" t="n">
        <v>125.87</v>
      </c>
      <c r="F11399" s="7" t="n">
        <v>0</v>
      </c>
      <c r="G11399" s="7" t="n">
        <v>0</v>
      </c>
    </row>
    <row r="11400" customFormat="false" ht="15" hidden="false" customHeight="false" outlineLevel="0" collapsed="false">
      <c r="A11400" s="7" t="s">
        <v>31</v>
      </c>
      <c r="B11400" s="7" t="s">
        <v>545</v>
      </c>
      <c r="C11400" s="7" t="s">
        <v>1082</v>
      </c>
      <c r="D11400" s="7" t="n">
        <v>6</v>
      </c>
      <c r="E11400" s="7" t="n">
        <v>260.99</v>
      </c>
      <c r="F11400" s="7" t="n">
        <v>0</v>
      </c>
      <c r="G11400" s="7" t="n">
        <v>0</v>
      </c>
    </row>
    <row r="11401" customFormat="false" ht="15" hidden="false" customHeight="false" outlineLevel="0" collapsed="false">
      <c r="A11401" s="7" t="s">
        <v>31</v>
      </c>
      <c r="B11401" s="7" t="s">
        <v>545</v>
      </c>
      <c r="C11401" s="7" t="s">
        <v>1082</v>
      </c>
      <c r="D11401" s="7" t="n">
        <v>0</v>
      </c>
      <c r="E11401" s="7" t="n">
        <v>0</v>
      </c>
      <c r="F11401" s="7" t="n">
        <v>6</v>
      </c>
      <c r="G11401" s="7" t="n">
        <v>238.5</v>
      </c>
    </row>
    <row r="11402" customFormat="false" ht="15" hidden="false" customHeight="false" outlineLevel="0" collapsed="false">
      <c r="A11402" s="7" t="s">
        <v>31</v>
      </c>
      <c r="B11402" s="7" t="s">
        <v>545</v>
      </c>
      <c r="C11402" s="7" t="s">
        <v>1082</v>
      </c>
      <c r="D11402" s="7" t="n">
        <v>3</v>
      </c>
      <c r="E11402" s="7" t="n">
        <v>137.94</v>
      </c>
      <c r="F11402" s="7" t="n">
        <v>0</v>
      </c>
      <c r="G11402" s="7" t="n">
        <v>0</v>
      </c>
    </row>
    <row r="11403" customFormat="false" ht="15" hidden="false" customHeight="false" outlineLevel="0" collapsed="false">
      <c r="A11403" s="7" t="s">
        <v>31</v>
      </c>
      <c r="B11403" s="7" t="s">
        <v>482</v>
      </c>
      <c r="C11403" s="7" t="s">
        <v>1082</v>
      </c>
      <c r="D11403" s="7" t="n">
        <v>10</v>
      </c>
      <c r="E11403" s="7" t="n">
        <v>459.8</v>
      </c>
      <c r="F11403" s="7" t="n">
        <v>0</v>
      </c>
      <c r="G11403" s="7" t="n">
        <v>0</v>
      </c>
    </row>
    <row r="11404" customFormat="false" ht="15" hidden="false" customHeight="false" outlineLevel="0" collapsed="false">
      <c r="A11404" s="7" t="s">
        <v>31</v>
      </c>
      <c r="B11404" s="7" t="s">
        <v>482</v>
      </c>
      <c r="C11404" s="7" t="s">
        <v>1082</v>
      </c>
      <c r="D11404" s="7" t="n">
        <v>0</v>
      </c>
      <c r="E11404" s="7" t="n">
        <v>0</v>
      </c>
      <c r="F11404" s="7" t="n">
        <v>5</v>
      </c>
      <c r="G11404" s="7" t="n">
        <v>198.75</v>
      </c>
    </row>
    <row r="11405" customFormat="false" ht="15" hidden="false" customHeight="false" outlineLevel="0" collapsed="false">
      <c r="A11405" s="7" t="s">
        <v>31</v>
      </c>
      <c r="B11405" s="7" t="s">
        <v>482</v>
      </c>
      <c r="C11405" s="7" t="s">
        <v>1082</v>
      </c>
      <c r="D11405" s="7" t="n">
        <v>30</v>
      </c>
      <c r="E11405" s="7" t="n">
        <v>1304.95</v>
      </c>
      <c r="F11405" s="7" t="n">
        <v>0</v>
      </c>
      <c r="G11405" s="7" t="n">
        <v>0</v>
      </c>
    </row>
    <row r="11406" customFormat="false" ht="15" hidden="false" customHeight="false" outlineLevel="0" collapsed="false">
      <c r="A11406" s="7" t="s">
        <v>31</v>
      </c>
      <c r="B11406" s="7" t="s">
        <v>247</v>
      </c>
      <c r="C11406" s="7" t="s">
        <v>1082</v>
      </c>
      <c r="D11406" s="7" t="n">
        <v>20</v>
      </c>
      <c r="E11406" s="7" t="n">
        <v>869.97</v>
      </c>
      <c r="F11406" s="7" t="n">
        <v>0</v>
      </c>
      <c r="G11406" s="7" t="n">
        <v>0</v>
      </c>
    </row>
    <row r="11407" customFormat="false" ht="15" hidden="false" customHeight="false" outlineLevel="0" collapsed="false">
      <c r="A11407" s="7" t="s">
        <v>31</v>
      </c>
      <c r="B11407" s="7" t="s">
        <v>247</v>
      </c>
      <c r="C11407" s="7" t="s">
        <v>1082</v>
      </c>
      <c r="D11407" s="7" t="n">
        <v>6</v>
      </c>
      <c r="E11407" s="7" t="n">
        <v>275.89</v>
      </c>
      <c r="F11407" s="7" t="n">
        <v>0</v>
      </c>
      <c r="G11407" s="7" t="n">
        <v>0</v>
      </c>
    </row>
    <row r="11408" customFormat="false" ht="15" hidden="false" customHeight="false" outlineLevel="0" collapsed="false">
      <c r="A11408" s="7" t="s">
        <v>31</v>
      </c>
      <c r="B11408" s="7" t="s">
        <v>247</v>
      </c>
      <c r="C11408" s="7" t="s">
        <v>1082</v>
      </c>
      <c r="D11408" s="7" t="n">
        <v>0</v>
      </c>
      <c r="E11408" s="7" t="n">
        <v>0</v>
      </c>
      <c r="F11408" s="7" t="n">
        <v>5</v>
      </c>
      <c r="G11408" s="7" t="n">
        <v>198.75</v>
      </c>
    </row>
    <row r="11409" customFormat="false" ht="15" hidden="false" customHeight="false" outlineLevel="0" collapsed="false">
      <c r="A11409" s="7" t="s">
        <v>31</v>
      </c>
      <c r="B11409" s="7" t="s">
        <v>638</v>
      </c>
      <c r="C11409" s="7" t="s">
        <v>1139</v>
      </c>
      <c r="D11409" s="7" t="n">
        <v>0</v>
      </c>
      <c r="E11409" s="7" t="n">
        <v>0</v>
      </c>
      <c r="F11409" s="7" t="n">
        <v>10</v>
      </c>
      <c r="G11409" s="7" t="n">
        <v>144.28</v>
      </c>
    </row>
    <row r="11410" customFormat="false" ht="15" hidden="false" customHeight="false" outlineLevel="0" collapsed="false">
      <c r="A11410" s="7" t="s">
        <v>31</v>
      </c>
      <c r="B11410" s="7" t="s">
        <v>638</v>
      </c>
      <c r="C11410" s="7" t="s">
        <v>1139</v>
      </c>
      <c r="D11410" s="7" t="n">
        <v>15</v>
      </c>
      <c r="E11410" s="7" t="n">
        <v>223.31</v>
      </c>
      <c r="F11410" s="7" t="n">
        <v>0</v>
      </c>
      <c r="G11410" s="7" t="n">
        <v>0</v>
      </c>
    </row>
    <row r="11411" customFormat="false" ht="15" hidden="false" customHeight="false" outlineLevel="0" collapsed="false">
      <c r="A11411" s="7" t="s">
        <v>31</v>
      </c>
      <c r="B11411" s="7" t="s">
        <v>638</v>
      </c>
      <c r="C11411" s="7" t="s">
        <v>1139</v>
      </c>
      <c r="D11411" s="7" t="n">
        <v>0</v>
      </c>
      <c r="E11411" s="7" t="n">
        <v>0</v>
      </c>
      <c r="F11411" s="7" t="n">
        <v>30</v>
      </c>
      <c r="G11411" s="7" t="n">
        <v>403.41</v>
      </c>
    </row>
    <row r="11412" customFormat="false" ht="15" hidden="false" customHeight="false" outlineLevel="0" collapsed="false">
      <c r="A11412" s="7" t="s">
        <v>31</v>
      </c>
      <c r="B11412" s="7" t="s">
        <v>638</v>
      </c>
      <c r="C11412" s="7" t="s">
        <v>1139</v>
      </c>
      <c r="D11412" s="7" t="n">
        <v>15</v>
      </c>
      <c r="E11412" s="7" t="n">
        <v>244.74</v>
      </c>
      <c r="F11412" s="7" t="n">
        <v>0</v>
      </c>
      <c r="G11412" s="7" t="n">
        <v>0</v>
      </c>
    </row>
    <row r="11413" customFormat="false" ht="15" hidden="false" customHeight="false" outlineLevel="0" collapsed="false">
      <c r="A11413" s="7" t="s">
        <v>31</v>
      </c>
      <c r="B11413" s="7" t="s">
        <v>638</v>
      </c>
      <c r="C11413" s="7" t="s">
        <v>1139</v>
      </c>
      <c r="D11413" s="7" t="n">
        <v>10</v>
      </c>
      <c r="E11413" s="7" t="n">
        <v>155.35</v>
      </c>
      <c r="F11413" s="7" t="n">
        <v>0</v>
      </c>
      <c r="G11413" s="7" t="n">
        <v>0</v>
      </c>
    </row>
    <row r="11414" customFormat="false" ht="15" hidden="false" customHeight="false" outlineLevel="0" collapsed="false">
      <c r="A11414" s="7" t="s">
        <v>31</v>
      </c>
      <c r="B11414" s="7" t="s">
        <v>638</v>
      </c>
      <c r="C11414" s="7" t="s">
        <v>1139</v>
      </c>
      <c r="D11414" s="7" t="n">
        <v>10</v>
      </c>
      <c r="E11414" s="7" t="n">
        <v>154.35</v>
      </c>
      <c r="F11414" s="7" t="n">
        <v>0</v>
      </c>
      <c r="G11414" s="7" t="n">
        <v>0</v>
      </c>
    </row>
    <row r="11415" customFormat="false" ht="15" hidden="false" customHeight="false" outlineLevel="0" collapsed="false">
      <c r="A11415" s="7" t="s">
        <v>31</v>
      </c>
      <c r="B11415" s="7" t="s">
        <v>638</v>
      </c>
      <c r="C11415" s="7" t="s">
        <v>1139</v>
      </c>
      <c r="D11415" s="7" t="n">
        <v>10</v>
      </c>
      <c r="E11415" s="7" t="n">
        <v>147.83</v>
      </c>
      <c r="F11415" s="7" t="n">
        <v>0</v>
      </c>
      <c r="G11415" s="7" t="n">
        <v>0</v>
      </c>
    </row>
    <row r="11416" customFormat="false" ht="15" hidden="false" customHeight="false" outlineLevel="0" collapsed="false">
      <c r="A11416" s="7" t="s">
        <v>31</v>
      </c>
      <c r="B11416" s="7" t="s">
        <v>638</v>
      </c>
      <c r="C11416" s="7" t="s">
        <v>1139</v>
      </c>
      <c r="D11416" s="7" t="n">
        <v>0</v>
      </c>
      <c r="E11416" s="7" t="n">
        <v>0</v>
      </c>
      <c r="F11416" s="7" t="n">
        <v>40</v>
      </c>
      <c r="G11416" s="7" t="n">
        <v>540.37</v>
      </c>
    </row>
    <row r="11417" customFormat="false" ht="15" hidden="false" customHeight="false" outlineLevel="0" collapsed="false">
      <c r="A11417" s="7" t="s">
        <v>31</v>
      </c>
      <c r="B11417" s="7" t="s">
        <v>640</v>
      </c>
      <c r="C11417" s="7" t="s">
        <v>1139</v>
      </c>
      <c r="D11417" s="7" t="n">
        <v>0</v>
      </c>
      <c r="E11417" s="7" t="n">
        <v>0</v>
      </c>
      <c r="F11417" s="7" t="n">
        <v>15</v>
      </c>
      <c r="G11417" s="7" t="n">
        <v>216.41</v>
      </c>
    </row>
    <row r="11418" customFormat="false" ht="15" hidden="false" customHeight="false" outlineLevel="0" collapsed="false">
      <c r="A11418" s="7" t="s">
        <v>31</v>
      </c>
      <c r="B11418" s="7" t="s">
        <v>640</v>
      </c>
      <c r="C11418" s="7" t="s">
        <v>1139</v>
      </c>
      <c r="D11418" s="7" t="n">
        <v>10</v>
      </c>
      <c r="E11418" s="7" t="n">
        <v>148.87</v>
      </c>
      <c r="F11418" s="7" t="n">
        <v>0</v>
      </c>
      <c r="G11418" s="7" t="n">
        <v>0</v>
      </c>
    </row>
    <row r="11419" customFormat="false" ht="15" hidden="false" customHeight="false" outlineLevel="0" collapsed="false">
      <c r="A11419" s="7" t="s">
        <v>31</v>
      </c>
      <c r="B11419" s="7" t="s">
        <v>640</v>
      </c>
      <c r="C11419" s="7" t="s">
        <v>1139</v>
      </c>
      <c r="D11419" s="7" t="n">
        <v>20</v>
      </c>
      <c r="E11419" s="7" t="n">
        <v>308.7</v>
      </c>
      <c r="F11419" s="7" t="n">
        <v>0</v>
      </c>
      <c r="G11419" s="7" t="n">
        <v>0</v>
      </c>
    </row>
    <row r="11420" customFormat="false" ht="15" hidden="false" customHeight="false" outlineLevel="0" collapsed="false">
      <c r="A11420" s="7" t="s">
        <v>31</v>
      </c>
      <c r="B11420" s="7" t="s">
        <v>640</v>
      </c>
      <c r="C11420" s="7" t="s">
        <v>1139</v>
      </c>
      <c r="D11420" s="7" t="n">
        <v>10</v>
      </c>
      <c r="E11420" s="7" t="n">
        <v>155.35</v>
      </c>
      <c r="F11420" s="7" t="n">
        <v>0</v>
      </c>
      <c r="G11420" s="7" t="n">
        <v>0</v>
      </c>
    </row>
    <row r="11421" customFormat="false" ht="15" hidden="false" customHeight="false" outlineLevel="0" collapsed="false">
      <c r="A11421" s="7" t="s">
        <v>31</v>
      </c>
      <c r="B11421" s="7" t="s">
        <v>640</v>
      </c>
      <c r="C11421" s="7" t="s">
        <v>1139</v>
      </c>
      <c r="D11421" s="7" t="n">
        <v>0</v>
      </c>
      <c r="E11421" s="7" t="n">
        <v>0</v>
      </c>
      <c r="F11421" s="7" t="n">
        <v>30</v>
      </c>
      <c r="G11421" s="7" t="n">
        <v>403.41</v>
      </c>
    </row>
    <row r="11422" customFormat="false" ht="15" hidden="false" customHeight="false" outlineLevel="0" collapsed="false">
      <c r="A11422" s="7" t="s">
        <v>31</v>
      </c>
      <c r="B11422" s="7" t="s">
        <v>640</v>
      </c>
      <c r="C11422" s="7" t="s">
        <v>1139</v>
      </c>
      <c r="D11422" s="7" t="n">
        <v>20</v>
      </c>
      <c r="E11422" s="7" t="n">
        <v>326.31</v>
      </c>
      <c r="F11422" s="7" t="n">
        <v>0</v>
      </c>
      <c r="G11422" s="7" t="n">
        <v>0</v>
      </c>
    </row>
    <row r="11423" customFormat="false" ht="15" hidden="false" customHeight="false" outlineLevel="0" collapsed="false">
      <c r="A11423" s="7" t="s">
        <v>31</v>
      </c>
      <c r="B11423" s="7" t="s">
        <v>640</v>
      </c>
      <c r="C11423" s="7" t="s">
        <v>1139</v>
      </c>
      <c r="D11423" s="7" t="n">
        <v>10</v>
      </c>
      <c r="E11423" s="7" t="n">
        <v>147.83</v>
      </c>
      <c r="F11423" s="7" t="n">
        <v>0</v>
      </c>
      <c r="G11423" s="7" t="n">
        <v>0</v>
      </c>
    </row>
    <row r="11424" customFormat="false" ht="15" hidden="false" customHeight="false" outlineLevel="0" collapsed="false">
      <c r="A11424" s="7" t="s">
        <v>31</v>
      </c>
      <c r="B11424" s="7" t="s">
        <v>640</v>
      </c>
      <c r="C11424" s="7" t="s">
        <v>1139</v>
      </c>
      <c r="D11424" s="7" t="n">
        <v>0</v>
      </c>
      <c r="E11424" s="7" t="n">
        <v>0</v>
      </c>
      <c r="F11424" s="7" t="n">
        <v>40</v>
      </c>
      <c r="G11424" s="7" t="n">
        <v>540.37</v>
      </c>
    </row>
    <row r="11425" customFormat="false" ht="15" hidden="false" customHeight="false" outlineLevel="0" collapsed="false">
      <c r="A11425" s="7" t="s">
        <v>31</v>
      </c>
      <c r="B11425" s="7" t="s">
        <v>640</v>
      </c>
      <c r="C11425" s="7" t="s">
        <v>1139</v>
      </c>
      <c r="D11425" s="7" t="n">
        <v>0</v>
      </c>
      <c r="E11425" s="7" t="n">
        <v>0</v>
      </c>
      <c r="F11425" s="7" t="n">
        <v>25</v>
      </c>
      <c r="G11425" s="7" t="n">
        <v>352.62</v>
      </c>
    </row>
    <row r="11426" customFormat="false" ht="15" hidden="false" customHeight="false" outlineLevel="0" collapsed="false">
      <c r="A11426" s="7" t="s">
        <v>31</v>
      </c>
      <c r="B11426" s="7" t="s">
        <v>381</v>
      </c>
      <c r="C11426" s="7" t="s">
        <v>1139</v>
      </c>
      <c r="D11426" s="7" t="n">
        <v>0</v>
      </c>
      <c r="E11426" s="7" t="n">
        <v>0</v>
      </c>
      <c r="F11426" s="7" t="n">
        <v>10</v>
      </c>
      <c r="G11426" s="7" t="n">
        <v>144.28</v>
      </c>
    </row>
    <row r="11427" customFormat="false" ht="15" hidden="false" customHeight="false" outlineLevel="0" collapsed="false">
      <c r="A11427" s="7" t="s">
        <v>31</v>
      </c>
      <c r="B11427" s="7" t="s">
        <v>381</v>
      </c>
      <c r="C11427" s="7" t="s">
        <v>1139</v>
      </c>
      <c r="D11427" s="7" t="n">
        <v>0</v>
      </c>
      <c r="E11427" s="7" t="n">
        <v>0</v>
      </c>
      <c r="F11427" s="7" t="n">
        <v>12</v>
      </c>
      <c r="G11427" s="7" t="n">
        <v>169.25</v>
      </c>
    </row>
    <row r="11428" customFormat="false" ht="15" hidden="false" customHeight="false" outlineLevel="0" collapsed="false">
      <c r="A11428" s="7" t="s">
        <v>31</v>
      </c>
      <c r="B11428" s="7" t="s">
        <v>381</v>
      </c>
      <c r="C11428" s="7" t="s">
        <v>1139</v>
      </c>
      <c r="D11428" s="7" t="n">
        <v>6</v>
      </c>
      <c r="E11428" s="7" t="n">
        <v>93.21</v>
      </c>
      <c r="F11428" s="7" t="n">
        <v>0</v>
      </c>
      <c r="G11428" s="7" t="n">
        <v>0</v>
      </c>
    </row>
    <row r="11429" customFormat="false" ht="15" hidden="false" customHeight="false" outlineLevel="0" collapsed="false">
      <c r="A11429" s="7" t="s">
        <v>31</v>
      </c>
      <c r="B11429" s="7" t="s">
        <v>381</v>
      </c>
      <c r="C11429" s="7" t="s">
        <v>1139</v>
      </c>
      <c r="D11429" s="7" t="n">
        <v>15</v>
      </c>
      <c r="E11429" s="7" t="n">
        <v>244.74</v>
      </c>
      <c r="F11429" s="7" t="n">
        <v>0</v>
      </c>
      <c r="G11429" s="7" t="n">
        <v>0</v>
      </c>
    </row>
    <row r="11430" customFormat="false" ht="15" hidden="false" customHeight="false" outlineLevel="0" collapsed="false">
      <c r="A11430" s="7" t="s">
        <v>31</v>
      </c>
      <c r="B11430" s="7" t="s">
        <v>381</v>
      </c>
      <c r="C11430" s="7" t="s">
        <v>1139</v>
      </c>
      <c r="D11430" s="7" t="n">
        <v>15</v>
      </c>
      <c r="E11430" s="7" t="n">
        <v>231.52</v>
      </c>
      <c r="F11430" s="7" t="n">
        <v>0</v>
      </c>
      <c r="G11430" s="7" t="n">
        <v>0</v>
      </c>
    </row>
    <row r="11431" customFormat="false" ht="15" hidden="false" customHeight="false" outlineLevel="0" collapsed="false">
      <c r="A11431" s="7" t="s">
        <v>31</v>
      </c>
      <c r="B11431" s="7" t="s">
        <v>381</v>
      </c>
      <c r="C11431" s="7" t="s">
        <v>1139</v>
      </c>
      <c r="D11431" s="7" t="n">
        <v>0</v>
      </c>
      <c r="E11431" s="7" t="n">
        <v>0</v>
      </c>
      <c r="F11431" s="7" t="n">
        <v>30</v>
      </c>
      <c r="G11431" s="7" t="n">
        <v>405.27</v>
      </c>
    </row>
    <row r="11432" customFormat="false" ht="15" hidden="false" customHeight="false" outlineLevel="0" collapsed="false">
      <c r="A11432" s="7" t="s">
        <v>31</v>
      </c>
      <c r="B11432" s="7" t="s">
        <v>381</v>
      </c>
      <c r="C11432" s="7" t="s">
        <v>1139</v>
      </c>
      <c r="D11432" s="7" t="n">
        <v>0</v>
      </c>
      <c r="E11432" s="7" t="n">
        <v>0</v>
      </c>
      <c r="F11432" s="7" t="n">
        <v>20</v>
      </c>
      <c r="G11432" s="7" t="n">
        <v>268.94</v>
      </c>
    </row>
    <row r="11433" customFormat="false" ht="15" hidden="false" customHeight="false" outlineLevel="0" collapsed="false">
      <c r="A11433" s="7" t="s">
        <v>31</v>
      </c>
      <c r="B11433" s="7" t="s">
        <v>680</v>
      </c>
      <c r="C11433" s="7" t="s">
        <v>1139</v>
      </c>
      <c r="D11433" s="7" t="n">
        <v>0</v>
      </c>
      <c r="E11433" s="7" t="n">
        <v>0</v>
      </c>
      <c r="F11433" s="7" t="n">
        <v>6</v>
      </c>
      <c r="G11433" s="7" t="n">
        <v>86.56</v>
      </c>
    </row>
    <row r="11434" customFormat="false" ht="15" hidden="false" customHeight="false" outlineLevel="0" collapsed="false">
      <c r="A11434" s="7" t="s">
        <v>31</v>
      </c>
      <c r="B11434" s="7" t="s">
        <v>680</v>
      </c>
      <c r="C11434" s="7" t="s">
        <v>1139</v>
      </c>
      <c r="D11434" s="7" t="n">
        <v>10</v>
      </c>
      <c r="E11434" s="7" t="n">
        <v>147.83</v>
      </c>
      <c r="F11434" s="7" t="n">
        <v>0</v>
      </c>
      <c r="G11434" s="7" t="n">
        <v>0</v>
      </c>
    </row>
    <row r="11435" customFormat="false" ht="15" hidden="false" customHeight="false" outlineLevel="0" collapsed="false">
      <c r="A11435" s="7" t="s">
        <v>31</v>
      </c>
      <c r="B11435" s="7" t="s">
        <v>680</v>
      </c>
      <c r="C11435" s="7" t="s">
        <v>1139</v>
      </c>
      <c r="D11435" s="7" t="n">
        <v>10</v>
      </c>
      <c r="E11435" s="7" t="n">
        <v>154.35</v>
      </c>
      <c r="F11435" s="7" t="n">
        <v>0</v>
      </c>
      <c r="G11435" s="7" t="n">
        <v>0</v>
      </c>
    </row>
    <row r="11436" customFormat="false" ht="15" hidden="false" customHeight="false" outlineLevel="0" collapsed="false">
      <c r="A11436" s="7" t="s">
        <v>31</v>
      </c>
      <c r="B11436" s="7" t="s">
        <v>568</v>
      </c>
      <c r="C11436" s="7" t="s">
        <v>1198</v>
      </c>
      <c r="D11436" s="7" t="n">
        <v>0</v>
      </c>
      <c r="E11436" s="7" t="n">
        <v>0</v>
      </c>
      <c r="F11436" s="7" t="n">
        <v>1</v>
      </c>
      <c r="G11436" s="7" t="n">
        <v>0.03</v>
      </c>
    </row>
    <row r="11437" customFormat="false" ht="15" hidden="false" customHeight="false" outlineLevel="0" collapsed="false">
      <c r="A11437" s="7" t="s">
        <v>31</v>
      </c>
      <c r="B11437" s="7" t="s">
        <v>524</v>
      </c>
      <c r="C11437" s="7" t="s">
        <v>1140</v>
      </c>
      <c r="D11437" s="7" t="n">
        <v>0</v>
      </c>
      <c r="E11437" s="7" t="n">
        <v>0</v>
      </c>
      <c r="F11437" s="7" t="n">
        <v>10</v>
      </c>
      <c r="G11437" s="7" t="n">
        <v>147.46</v>
      </c>
    </row>
    <row r="11438" customFormat="false" ht="15" hidden="false" customHeight="false" outlineLevel="0" collapsed="false">
      <c r="A11438" s="7" t="s">
        <v>31</v>
      </c>
      <c r="B11438" s="7" t="s">
        <v>524</v>
      </c>
      <c r="C11438" s="7" t="s">
        <v>1140</v>
      </c>
      <c r="D11438" s="7" t="n">
        <v>30</v>
      </c>
      <c r="E11438" s="7" t="n">
        <v>466.92</v>
      </c>
      <c r="F11438" s="7" t="n">
        <v>0</v>
      </c>
      <c r="G11438" s="7" t="n">
        <v>0</v>
      </c>
    </row>
    <row r="11439" customFormat="false" ht="15" hidden="false" customHeight="false" outlineLevel="0" collapsed="false">
      <c r="A11439" s="7" t="s">
        <v>31</v>
      </c>
      <c r="B11439" s="7" t="s">
        <v>524</v>
      </c>
      <c r="C11439" s="7" t="s">
        <v>1140</v>
      </c>
      <c r="D11439" s="7" t="n">
        <v>0</v>
      </c>
      <c r="E11439" s="7" t="n">
        <v>0</v>
      </c>
      <c r="F11439" s="7" t="n">
        <v>50</v>
      </c>
      <c r="G11439" s="7" t="n">
        <v>702.91</v>
      </c>
    </row>
    <row r="11440" customFormat="false" ht="15" hidden="false" customHeight="false" outlineLevel="0" collapsed="false">
      <c r="A11440" s="7" t="s">
        <v>31</v>
      </c>
      <c r="B11440" s="7" t="s">
        <v>524</v>
      </c>
      <c r="C11440" s="7" t="s">
        <v>1140</v>
      </c>
      <c r="D11440" s="7" t="n">
        <v>30</v>
      </c>
      <c r="E11440" s="7" t="n">
        <v>511.71</v>
      </c>
      <c r="F11440" s="7" t="n">
        <v>0</v>
      </c>
      <c r="G11440" s="7" t="n">
        <v>0</v>
      </c>
    </row>
    <row r="11441" customFormat="false" ht="15" hidden="false" customHeight="false" outlineLevel="0" collapsed="false">
      <c r="A11441" s="7" t="s">
        <v>31</v>
      </c>
      <c r="B11441" s="7" t="s">
        <v>524</v>
      </c>
      <c r="C11441" s="7" t="s">
        <v>1140</v>
      </c>
      <c r="D11441" s="7" t="n">
        <v>0</v>
      </c>
      <c r="E11441" s="7" t="n">
        <v>0</v>
      </c>
      <c r="F11441" s="7" t="n">
        <v>30</v>
      </c>
      <c r="G11441" s="7" t="n">
        <v>452.5</v>
      </c>
    </row>
    <row r="11442" customFormat="false" ht="15" hidden="false" customHeight="false" outlineLevel="0" collapsed="false">
      <c r="A11442" s="7" t="s">
        <v>31</v>
      </c>
      <c r="B11442" s="7" t="s">
        <v>524</v>
      </c>
      <c r="C11442" s="7" t="s">
        <v>1140</v>
      </c>
      <c r="D11442" s="7" t="n">
        <v>0</v>
      </c>
      <c r="E11442" s="7" t="n">
        <v>0</v>
      </c>
      <c r="F11442" s="7" t="n">
        <v>60</v>
      </c>
      <c r="G11442" s="7" t="n">
        <v>847.4</v>
      </c>
    </row>
    <row r="11443" customFormat="false" ht="15" hidden="false" customHeight="false" outlineLevel="0" collapsed="false">
      <c r="A11443" s="7" t="s">
        <v>31</v>
      </c>
      <c r="B11443" s="7" t="s">
        <v>524</v>
      </c>
      <c r="C11443" s="7" t="s">
        <v>1140</v>
      </c>
      <c r="D11443" s="7" t="n">
        <v>30</v>
      </c>
      <c r="E11443" s="7" t="n">
        <v>484.09</v>
      </c>
      <c r="F11443" s="7" t="n">
        <v>0</v>
      </c>
      <c r="G11443" s="7" t="n">
        <v>0</v>
      </c>
    </row>
    <row r="11444" customFormat="false" ht="15" hidden="false" customHeight="false" outlineLevel="0" collapsed="false">
      <c r="A11444" s="7" t="s">
        <v>31</v>
      </c>
      <c r="B11444" s="7" t="s">
        <v>524</v>
      </c>
      <c r="C11444" s="7" t="s">
        <v>1140</v>
      </c>
      <c r="D11444" s="7" t="n">
        <v>20</v>
      </c>
      <c r="E11444" s="7" t="n">
        <v>309.11</v>
      </c>
      <c r="F11444" s="7" t="n">
        <v>0</v>
      </c>
      <c r="G11444" s="7" t="n">
        <v>0</v>
      </c>
    </row>
    <row r="11445" customFormat="false" ht="15" hidden="false" customHeight="false" outlineLevel="0" collapsed="false">
      <c r="A11445" s="7" t="s">
        <v>31</v>
      </c>
      <c r="B11445" s="7" t="s">
        <v>524</v>
      </c>
      <c r="C11445" s="7" t="s">
        <v>1140</v>
      </c>
      <c r="D11445" s="7" t="n">
        <v>50</v>
      </c>
      <c r="E11445" s="7" t="n">
        <v>812.06</v>
      </c>
      <c r="F11445" s="7" t="n">
        <v>0</v>
      </c>
      <c r="G11445" s="7" t="n">
        <v>0</v>
      </c>
    </row>
    <row r="11446" customFormat="false" ht="15" hidden="false" customHeight="false" outlineLevel="0" collapsed="false">
      <c r="A11446" s="7" t="s">
        <v>31</v>
      </c>
      <c r="B11446" s="7" t="s">
        <v>795</v>
      </c>
      <c r="C11446" s="7" t="s">
        <v>1140</v>
      </c>
      <c r="D11446" s="7" t="n">
        <v>0</v>
      </c>
      <c r="E11446" s="7" t="n">
        <v>0</v>
      </c>
      <c r="F11446" s="7" t="n">
        <v>60</v>
      </c>
      <c r="G11446" s="7" t="n">
        <v>884.75</v>
      </c>
    </row>
    <row r="11447" customFormat="false" ht="15" hidden="false" customHeight="false" outlineLevel="0" collapsed="false">
      <c r="A11447" s="7" t="s">
        <v>31</v>
      </c>
      <c r="B11447" s="7" t="s">
        <v>795</v>
      </c>
      <c r="C11447" s="7" t="s">
        <v>1140</v>
      </c>
      <c r="D11447" s="7" t="n">
        <v>0</v>
      </c>
      <c r="E11447" s="7" t="n">
        <v>0</v>
      </c>
      <c r="F11447" s="7" t="n">
        <v>60</v>
      </c>
      <c r="G11447" s="7" t="n">
        <v>847.4</v>
      </c>
    </row>
    <row r="11448" customFormat="false" ht="15" hidden="false" customHeight="false" outlineLevel="0" collapsed="false">
      <c r="A11448" s="7" t="s">
        <v>31</v>
      </c>
      <c r="B11448" s="7" t="s">
        <v>795</v>
      </c>
      <c r="C11448" s="7" t="s">
        <v>1140</v>
      </c>
      <c r="D11448" s="7" t="n">
        <v>40</v>
      </c>
      <c r="E11448" s="7" t="n">
        <v>649.65</v>
      </c>
      <c r="F11448" s="7" t="n">
        <v>0</v>
      </c>
      <c r="G11448" s="7" t="n">
        <v>0</v>
      </c>
    </row>
    <row r="11449" customFormat="false" ht="15" hidden="false" customHeight="false" outlineLevel="0" collapsed="false">
      <c r="A11449" s="7" t="s">
        <v>31</v>
      </c>
      <c r="B11449" s="7" t="s">
        <v>795</v>
      </c>
      <c r="C11449" s="7" t="s">
        <v>1140</v>
      </c>
      <c r="D11449" s="7" t="n">
        <v>40</v>
      </c>
      <c r="E11449" s="7" t="n">
        <v>622.56</v>
      </c>
      <c r="F11449" s="7" t="n">
        <v>0</v>
      </c>
      <c r="G11449" s="7" t="n">
        <v>0</v>
      </c>
    </row>
    <row r="11450" customFormat="false" ht="15" hidden="false" customHeight="false" outlineLevel="0" collapsed="false">
      <c r="A11450" s="7" t="s">
        <v>31</v>
      </c>
      <c r="B11450" s="7" t="s">
        <v>795</v>
      </c>
      <c r="C11450" s="7" t="s">
        <v>1140</v>
      </c>
      <c r="D11450" s="7" t="n">
        <v>40</v>
      </c>
      <c r="E11450" s="7" t="n">
        <v>682.29</v>
      </c>
      <c r="F11450" s="7" t="n">
        <v>0</v>
      </c>
      <c r="G11450" s="7" t="n">
        <v>0</v>
      </c>
    </row>
    <row r="11451" customFormat="false" ht="15" hidden="false" customHeight="false" outlineLevel="0" collapsed="false">
      <c r="A11451" s="7" t="s">
        <v>31</v>
      </c>
      <c r="B11451" s="7" t="s">
        <v>795</v>
      </c>
      <c r="C11451" s="7" t="s">
        <v>1140</v>
      </c>
      <c r="D11451" s="7" t="n">
        <v>0</v>
      </c>
      <c r="E11451" s="7" t="n">
        <v>0</v>
      </c>
      <c r="F11451" s="7" t="n">
        <v>50</v>
      </c>
      <c r="G11451" s="7" t="n">
        <v>754.16</v>
      </c>
    </row>
    <row r="11452" customFormat="false" ht="15" hidden="false" customHeight="false" outlineLevel="0" collapsed="false">
      <c r="A11452" s="7" t="s">
        <v>31</v>
      </c>
      <c r="B11452" s="7" t="s">
        <v>795</v>
      </c>
      <c r="C11452" s="7" t="s">
        <v>1140</v>
      </c>
      <c r="D11452" s="7" t="n">
        <v>40</v>
      </c>
      <c r="E11452" s="7" t="n">
        <v>618.22</v>
      </c>
      <c r="F11452" s="7" t="n">
        <v>0</v>
      </c>
      <c r="G11452" s="7" t="n">
        <v>0</v>
      </c>
    </row>
    <row r="11453" customFormat="false" ht="15" hidden="false" customHeight="false" outlineLevel="0" collapsed="false">
      <c r="A11453" s="7" t="s">
        <v>31</v>
      </c>
      <c r="B11453" s="7" t="s">
        <v>795</v>
      </c>
      <c r="C11453" s="7" t="s">
        <v>1140</v>
      </c>
      <c r="D11453" s="7" t="n">
        <v>0</v>
      </c>
      <c r="E11453" s="7" t="n">
        <v>0</v>
      </c>
      <c r="F11453" s="7" t="n">
        <v>70</v>
      </c>
      <c r="G11453" s="7" t="n">
        <v>984.08</v>
      </c>
    </row>
    <row r="11454" customFormat="false" ht="15" hidden="false" customHeight="false" outlineLevel="0" collapsed="false">
      <c r="A11454" s="7" t="s">
        <v>31</v>
      </c>
      <c r="B11454" s="7" t="s">
        <v>795</v>
      </c>
      <c r="C11454" s="7" t="s">
        <v>1140</v>
      </c>
      <c r="D11454" s="7" t="n">
        <v>50</v>
      </c>
      <c r="E11454" s="7" t="n">
        <v>806.82</v>
      </c>
      <c r="F11454" s="7" t="n">
        <v>0</v>
      </c>
      <c r="G11454" s="7" t="n">
        <v>0</v>
      </c>
    </row>
    <row r="11455" customFormat="false" ht="15" hidden="false" customHeight="false" outlineLevel="0" collapsed="false">
      <c r="A11455" s="7" t="s">
        <v>31</v>
      </c>
      <c r="B11455" s="7" t="s">
        <v>654</v>
      </c>
      <c r="C11455" s="7" t="s">
        <v>1140</v>
      </c>
      <c r="D11455" s="7" t="n">
        <v>0</v>
      </c>
      <c r="E11455" s="7" t="n">
        <v>0</v>
      </c>
      <c r="F11455" s="7" t="n">
        <v>40</v>
      </c>
      <c r="G11455" s="7" t="n">
        <v>562.33</v>
      </c>
    </row>
    <row r="11456" customFormat="false" ht="15" hidden="false" customHeight="false" outlineLevel="0" collapsed="false">
      <c r="A11456" s="7" t="s">
        <v>31</v>
      </c>
      <c r="B11456" s="7" t="s">
        <v>654</v>
      </c>
      <c r="C11456" s="7" t="s">
        <v>1140</v>
      </c>
      <c r="D11456" s="7" t="n">
        <v>30</v>
      </c>
      <c r="E11456" s="7" t="n">
        <v>484.09</v>
      </c>
      <c r="F11456" s="7" t="n">
        <v>0</v>
      </c>
      <c r="G11456" s="7" t="n">
        <v>0</v>
      </c>
    </row>
    <row r="11457" customFormat="false" ht="15" hidden="false" customHeight="false" outlineLevel="0" collapsed="false">
      <c r="A11457" s="7" t="s">
        <v>31</v>
      </c>
      <c r="B11457" s="7" t="s">
        <v>654</v>
      </c>
      <c r="C11457" s="7" t="s">
        <v>1140</v>
      </c>
      <c r="D11457" s="7" t="n">
        <v>0</v>
      </c>
      <c r="E11457" s="7" t="n">
        <v>0</v>
      </c>
      <c r="F11457" s="7" t="n">
        <v>20</v>
      </c>
      <c r="G11457" s="7" t="n">
        <v>301.66</v>
      </c>
    </row>
    <row r="11458" customFormat="false" ht="15" hidden="false" customHeight="false" outlineLevel="0" collapsed="false">
      <c r="A11458" s="7" t="s">
        <v>31</v>
      </c>
      <c r="B11458" s="7" t="s">
        <v>654</v>
      </c>
      <c r="C11458" s="7" t="s">
        <v>1140</v>
      </c>
      <c r="D11458" s="7" t="n">
        <v>15</v>
      </c>
      <c r="E11458" s="7" t="n">
        <v>231.83</v>
      </c>
      <c r="F11458" s="7" t="n">
        <v>0</v>
      </c>
      <c r="G11458" s="7" t="n">
        <v>0</v>
      </c>
    </row>
    <row r="11459" customFormat="false" ht="15" hidden="false" customHeight="false" outlineLevel="0" collapsed="false">
      <c r="A11459" s="7" t="s">
        <v>31</v>
      </c>
      <c r="B11459" s="7" t="s">
        <v>654</v>
      </c>
      <c r="C11459" s="7" t="s">
        <v>1140</v>
      </c>
      <c r="D11459" s="7" t="n">
        <v>0</v>
      </c>
      <c r="E11459" s="7" t="n">
        <v>0</v>
      </c>
      <c r="F11459" s="7" t="n">
        <v>40</v>
      </c>
      <c r="G11459" s="7" t="n">
        <v>564.93</v>
      </c>
    </row>
    <row r="11460" customFormat="false" ht="15" hidden="false" customHeight="false" outlineLevel="0" collapsed="false">
      <c r="A11460" s="7" t="s">
        <v>31</v>
      </c>
      <c r="B11460" s="7" t="s">
        <v>654</v>
      </c>
      <c r="C11460" s="7" t="s">
        <v>1140</v>
      </c>
      <c r="D11460" s="7" t="n">
        <v>10</v>
      </c>
      <c r="E11460" s="7" t="n">
        <v>162.41</v>
      </c>
      <c r="F11460" s="7" t="n">
        <v>0</v>
      </c>
      <c r="G11460" s="7" t="n">
        <v>0</v>
      </c>
    </row>
    <row r="11461" customFormat="false" ht="15" hidden="false" customHeight="false" outlineLevel="0" collapsed="false">
      <c r="A11461" s="7" t="s">
        <v>31</v>
      </c>
      <c r="B11461" s="7" t="s">
        <v>654</v>
      </c>
      <c r="C11461" s="7" t="s">
        <v>1140</v>
      </c>
      <c r="D11461" s="7" t="n">
        <v>20</v>
      </c>
      <c r="E11461" s="7" t="n">
        <v>311.27</v>
      </c>
      <c r="F11461" s="7" t="n">
        <v>0</v>
      </c>
      <c r="G11461" s="7" t="n">
        <v>0</v>
      </c>
    </row>
    <row r="11462" customFormat="false" ht="15" hidden="false" customHeight="false" outlineLevel="0" collapsed="false">
      <c r="A11462" s="7" t="s">
        <v>31</v>
      </c>
      <c r="B11462" s="7" t="s">
        <v>654</v>
      </c>
      <c r="C11462" s="7" t="s">
        <v>1140</v>
      </c>
      <c r="D11462" s="7" t="n">
        <v>20</v>
      </c>
      <c r="E11462" s="7" t="n">
        <v>341.15</v>
      </c>
      <c r="F11462" s="7" t="n">
        <v>0</v>
      </c>
      <c r="G11462" s="7" t="n">
        <v>0</v>
      </c>
    </row>
    <row r="11463" customFormat="false" ht="15" hidden="false" customHeight="false" outlineLevel="0" collapsed="false">
      <c r="A11463" s="7" t="s">
        <v>31</v>
      </c>
      <c r="B11463" s="7" t="s">
        <v>675</v>
      </c>
      <c r="C11463" s="7" t="s">
        <v>1140</v>
      </c>
      <c r="D11463" s="7" t="n">
        <v>0</v>
      </c>
      <c r="E11463" s="7" t="n">
        <v>0</v>
      </c>
      <c r="F11463" s="7" t="n">
        <v>6</v>
      </c>
      <c r="G11463" s="7" t="n">
        <v>88.48</v>
      </c>
    </row>
    <row r="11464" customFormat="false" ht="15" hidden="false" customHeight="false" outlineLevel="0" collapsed="false">
      <c r="A11464" s="7" t="s">
        <v>31</v>
      </c>
      <c r="B11464" s="7" t="s">
        <v>675</v>
      </c>
      <c r="C11464" s="7" t="s">
        <v>1140</v>
      </c>
      <c r="D11464" s="7" t="n">
        <v>10</v>
      </c>
      <c r="E11464" s="7" t="n">
        <v>162.41</v>
      </c>
      <c r="F11464" s="7" t="n">
        <v>0</v>
      </c>
      <c r="G11464" s="7" t="n">
        <v>0</v>
      </c>
    </row>
    <row r="11465" customFormat="false" ht="15" hidden="false" customHeight="false" outlineLevel="0" collapsed="false">
      <c r="A11465" s="7" t="s">
        <v>31</v>
      </c>
      <c r="B11465" s="7" t="s">
        <v>675</v>
      </c>
      <c r="C11465" s="7" t="s">
        <v>1140</v>
      </c>
      <c r="D11465" s="7" t="n">
        <v>10</v>
      </c>
      <c r="E11465" s="7" t="n">
        <v>161.36</v>
      </c>
      <c r="F11465" s="7" t="n">
        <v>0</v>
      </c>
      <c r="G11465" s="7" t="n">
        <v>0</v>
      </c>
    </row>
    <row r="11466" customFormat="false" ht="15" hidden="false" customHeight="false" outlineLevel="0" collapsed="false">
      <c r="A11466" s="7" t="s">
        <v>31</v>
      </c>
      <c r="B11466" s="7" t="s">
        <v>675</v>
      </c>
      <c r="C11466" s="7" t="s">
        <v>1140</v>
      </c>
      <c r="D11466" s="7" t="n">
        <v>10</v>
      </c>
      <c r="E11466" s="7" t="n">
        <v>154.56</v>
      </c>
      <c r="F11466" s="7" t="n">
        <v>0</v>
      </c>
      <c r="G11466" s="7" t="n">
        <v>0</v>
      </c>
    </row>
    <row r="11467" customFormat="false" ht="15" hidden="false" customHeight="false" outlineLevel="0" collapsed="false">
      <c r="A11467" s="7" t="s">
        <v>31</v>
      </c>
      <c r="B11467" s="7" t="s">
        <v>675</v>
      </c>
      <c r="C11467" s="7" t="s">
        <v>1140</v>
      </c>
      <c r="D11467" s="7" t="n">
        <v>0</v>
      </c>
      <c r="E11467" s="7" t="n">
        <v>0</v>
      </c>
      <c r="F11467" s="7" t="n">
        <v>10</v>
      </c>
      <c r="G11467" s="7" t="n">
        <v>150.83</v>
      </c>
    </row>
    <row r="11468" customFormat="false" ht="15" hidden="false" customHeight="false" outlineLevel="0" collapsed="false">
      <c r="A11468" s="7" t="s">
        <v>31</v>
      </c>
      <c r="B11468" s="7" t="s">
        <v>146</v>
      </c>
      <c r="C11468" s="7" t="s">
        <v>1043</v>
      </c>
      <c r="D11468" s="7" t="n">
        <v>0</v>
      </c>
      <c r="E11468" s="7" t="n">
        <v>0</v>
      </c>
      <c r="F11468" s="7" t="n">
        <v>1</v>
      </c>
      <c r="G11468" s="7" t="n">
        <v>0.03</v>
      </c>
    </row>
    <row r="11469" customFormat="false" ht="15" hidden="false" customHeight="false" outlineLevel="0" collapsed="false">
      <c r="A11469" s="7" t="s">
        <v>31</v>
      </c>
      <c r="B11469" s="7" t="s">
        <v>116</v>
      </c>
      <c r="C11469" s="7" t="s">
        <v>1044</v>
      </c>
      <c r="D11469" s="7" t="n">
        <v>0</v>
      </c>
      <c r="E11469" s="7" t="n">
        <v>0</v>
      </c>
      <c r="F11469" s="7" t="n">
        <v>1</v>
      </c>
      <c r="G11469" s="7" t="n">
        <v>0.03</v>
      </c>
    </row>
    <row r="11470" customFormat="false" ht="15" hidden="false" customHeight="false" outlineLevel="0" collapsed="false">
      <c r="A11470" s="7" t="s">
        <v>31</v>
      </c>
      <c r="B11470" s="7" t="s">
        <v>683</v>
      </c>
      <c r="C11470" s="7" t="s">
        <v>1201</v>
      </c>
      <c r="D11470" s="7" t="n">
        <v>25</v>
      </c>
      <c r="E11470" s="7" t="n">
        <v>342.03</v>
      </c>
      <c r="F11470" s="7" t="n">
        <v>0</v>
      </c>
      <c r="G11470" s="7" t="n">
        <v>0</v>
      </c>
    </row>
    <row r="11471" customFormat="false" ht="15" hidden="false" customHeight="false" outlineLevel="0" collapsed="false">
      <c r="A11471" s="7" t="s">
        <v>31</v>
      </c>
      <c r="B11471" s="7" t="s">
        <v>683</v>
      </c>
      <c r="C11471" s="7" t="s">
        <v>1201</v>
      </c>
      <c r="D11471" s="7" t="n">
        <v>30</v>
      </c>
      <c r="E11471" s="7" t="n">
        <v>433.85</v>
      </c>
      <c r="F11471" s="7" t="n">
        <v>0</v>
      </c>
      <c r="G11471" s="7" t="n">
        <v>0</v>
      </c>
    </row>
    <row r="11472" customFormat="false" ht="15" hidden="false" customHeight="false" outlineLevel="0" collapsed="false">
      <c r="A11472" s="7" t="s">
        <v>31</v>
      </c>
      <c r="B11472" s="7" t="s">
        <v>683</v>
      </c>
      <c r="C11472" s="7" t="s">
        <v>1201</v>
      </c>
      <c r="D11472" s="7" t="n">
        <v>15</v>
      </c>
      <c r="E11472" s="7" t="n">
        <v>196.55</v>
      </c>
      <c r="F11472" s="7" t="n">
        <v>0</v>
      </c>
      <c r="G11472" s="7" t="n">
        <v>0</v>
      </c>
    </row>
    <row r="11473" customFormat="false" ht="15" hidden="false" customHeight="false" outlineLevel="0" collapsed="false">
      <c r="A11473" s="7" t="s">
        <v>31</v>
      </c>
      <c r="B11473" s="7" t="s">
        <v>683</v>
      </c>
      <c r="C11473" s="7" t="s">
        <v>1201</v>
      </c>
      <c r="D11473" s="7" t="n">
        <v>30</v>
      </c>
      <c r="E11473" s="7" t="n">
        <v>413.09</v>
      </c>
      <c r="F11473" s="7" t="n">
        <v>0</v>
      </c>
      <c r="G11473" s="7" t="n">
        <v>0</v>
      </c>
    </row>
    <row r="11474" customFormat="false" ht="15" hidden="false" customHeight="false" outlineLevel="0" collapsed="false">
      <c r="A11474" s="7" t="s">
        <v>31</v>
      </c>
      <c r="B11474" s="7" t="s">
        <v>683</v>
      </c>
      <c r="C11474" s="7" t="s">
        <v>1201</v>
      </c>
      <c r="D11474" s="7" t="n">
        <v>50</v>
      </c>
      <c r="E11474" s="7" t="n">
        <v>659.77</v>
      </c>
      <c r="F11474" s="7" t="n">
        <v>0</v>
      </c>
      <c r="G11474" s="7" t="n">
        <v>0</v>
      </c>
    </row>
    <row r="11475" customFormat="false" ht="15" hidden="false" customHeight="false" outlineLevel="0" collapsed="false">
      <c r="A11475" s="7" t="s">
        <v>31</v>
      </c>
      <c r="B11475" s="7" t="s">
        <v>683</v>
      </c>
      <c r="C11475" s="7" t="s">
        <v>1201</v>
      </c>
      <c r="D11475" s="7" t="n">
        <v>0</v>
      </c>
      <c r="E11475" s="7" t="n">
        <v>0</v>
      </c>
      <c r="F11475" s="7" t="n">
        <v>30</v>
      </c>
      <c r="G11475" s="7" t="n">
        <v>357.57</v>
      </c>
    </row>
    <row r="11476" customFormat="false" ht="15" hidden="false" customHeight="false" outlineLevel="0" collapsed="false">
      <c r="A11476" s="7" t="s">
        <v>31</v>
      </c>
      <c r="B11476" s="7" t="s">
        <v>683</v>
      </c>
      <c r="C11476" s="7" t="s">
        <v>1201</v>
      </c>
      <c r="D11476" s="7" t="n">
        <v>0</v>
      </c>
      <c r="E11476" s="7" t="n">
        <v>0</v>
      </c>
      <c r="F11476" s="7" t="n">
        <v>35</v>
      </c>
      <c r="G11476" s="7" t="n">
        <v>437.57</v>
      </c>
    </row>
    <row r="11477" customFormat="false" ht="15" hidden="false" customHeight="false" outlineLevel="0" collapsed="false">
      <c r="A11477" s="7" t="s">
        <v>31</v>
      </c>
      <c r="B11477" s="7" t="s">
        <v>683</v>
      </c>
      <c r="C11477" s="7" t="s">
        <v>1201</v>
      </c>
      <c r="D11477" s="7" t="n">
        <v>0</v>
      </c>
      <c r="E11477" s="7" t="n">
        <v>0</v>
      </c>
      <c r="F11477" s="7" t="n">
        <v>10</v>
      </c>
      <c r="G11477" s="7" t="n">
        <v>127.88</v>
      </c>
    </row>
    <row r="11478" customFormat="false" ht="15" hidden="false" customHeight="false" outlineLevel="0" collapsed="false">
      <c r="A11478" s="7" t="s">
        <v>31</v>
      </c>
      <c r="B11478" s="7" t="s">
        <v>405</v>
      </c>
      <c r="C11478" s="7" t="s">
        <v>1141</v>
      </c>
      <c r="D11478" s="7" t="n">
        <v>100</v>
      </c>
      <c r="E11478" s="7" t="n">
        <v>847.37</v>
      </c>
      <c r="F11478" s="7" t="n">
        <v>0</v>
      </c>
      <c r="G11478" s="7" t="n">
        <v>0</v>
      </c>
    </row>
    <row r="11479" customFormat="false" ht="15" hidden="false" customHeight="false" outlineLevel="0" collapsed="false">
      <c r="A11479" s="7" t="s">
        <v>31</v>
      </c>
      <c r="B11479" s="7" t="s">
        <v>405</v>
      </c>
      <c r="C11479" s="7" t="s">
        <v>1141</v>
      </c>
      <c r="D11479" s="7" t="n">
        <v>0</v>
      </c>
      <c r="E11479" s="7" t="n">
        <v>0</v>
      </c>
      <c r="F11479" s="7" t="n">
        <v>100</v>
      </c>
      <c r="G11479" s="7" t="n">
        <v>786.95</v>
      </c>
    </row>
    <row r="11480" customFormat="false" ht="15" hidden="false" customHeight="false" outlineLevel="0" collapsed="false">
      <c r="A11480" s="7" t="s">
        <v>31</v>
      </c>
      <c r="B11480" s="7" t="s">
        <v>405</v>
      </c>
      <c r="C11480" s="7" t="s">
        <v>1141</v>
      </c>
      <c r="D11480" s="7" t="n">
        <v>50</v>
      </c>
      <c r="E11480" s="7" t="n">
        <v>406.02</v>
      </c>
      <c r="F11480" s="7" t="n">
        <v>0</v>
      </c>
      <c r="G11480" s="7" t="n">
        <v>0</v>
      </c>
    </row>
    <row r="11481" customFormat="false" ht="15" hidden="false" customHeight="false" outlineLevel="0" collapsed="false">
      <c r="A11481" s="7" t="s">
        <v>31</v>
      </c>
      <c r="B11481" s="7" t="s">
        <v>405</v>
      </c>
      <c r="C11481" s="7" t="s">
        <v>1141</v>
      </c>
      <c r="D11481" s="7" t="n">
        <v>0</v>
      </c>
      <c r="E11481" s="7" t="n">
        <v>0</v>
      </c>
      <c r="F11481" s="7" t="n">
        <v>100</v>
      </c>
      <c r="G11481" s="7" t="n">
        <v>733.47</v>
      </c>
    </row>
    <row r="11482" customFormat="false" ht="15" hidden="false" customHeight="false" outlineLevel="0" collapsed="false">
      <c r="A11482" s="7" t="s">
        <v>31</v>
      </c>
      <c r="B11482" s="7" t="s">
        <v>405</v>
      </c>
      <c r="C11482" s="7" t="s">
        <v>1141</v>
      </c>
      <c r="D11482" s="7" t="n">
        <v>120</v>
      </c>
      <c r="E11482" s="7" t="n">
        <v>1067.93</v>
      </c>
      <c r="F11482" s="7" t="n">
        <v>0</v>
      </c>
      <c r="G11482" s="7" t="n">
        <v>0</v>
      </c>
    </row>
    <row r="11483" customFormat="false" ht="15" hidden="false" customHeight="false" outlineLevel="0" collapsed="false">
      <c r="A11483" s="7" t="s">
        <v>31</v>
      </c>
      <c r="B11483" s="7" t="s">
        <v>405</v>
      </c>
      <c r="C11483" s="7" t="s">
        <v>1141</v>
      </c>
      <c r="D11483" s="7" t="n">
        <v>80</v>
      </c>
      <c r="E11483" s="7" t="n">
        <v>673.52</v>
      </c>
      <c r="F11483" s="7" t="n">
        <v>0</v>
      </c>
      <c r="G11483" s="7" t="n">
        <v>0</v>
      </c>
    </row>
    <row r="11484" customFormat="false" ht="15" hidden="false" customHeight="false" outlineLevel="0" collapsed="false">
      <c r="A11484" s="7" t="s">
        <v>31</v>
      </c>
      <c r="B11484" s="7" t="s">
        <v>405</v>
      </c>
      <c r="C11484" s="7" t="s">
        <v>1141</v>
      </c>
      <c r="D11484" s="7" t="n">
        <v>90</v>
      </c>
      <c r="E11484" s="7" t="n">
        <v>725.73</v>
      </c>
      <c r="F11484" s="7" t="n">
        <v>0</v>
      </c>
      <c r="G11484" s="7" t="n">
        <v>0</v>
      </c>
    </row>
    <row r="11485" customFormat="false" ht="15" hidden="false" customHeight="false" outlineLevel="0" collapsed="false">
      <c r="A11485" s="7" t="s">
        <v>31</v>
      </c>
      <c r="B11485" s="7" t="s">
        <v>405</v>
      </c>
      <c r="C11485" s="7" t="s">
        <v>1141</v>
      </c>
      <c r="D11485" s="7" t="n">
        <v>0</v>
      </c>
      <c r="E11485" s="7" t="n">
        <v>0</v>
      </c>
      <c r="F11485" s="7" t="n">
        <v>130</v>
      </c>
      <c r="G11485" s="7" t="n">
        <v>1000.15</v>
      </c>
    </row>
    <row r="11486" customFormat="false" ht="15" hidden="false" customHeight="false" outlineLevel="0" collapsed="false">
      <c r="A11486" s="7" t="s">
        <v>31</v>
      </c>
      <c r="B11486" s="7" t="s">
        <v>405</v>
      </c>
      <c r="C11486" s="7" t="s">
        <v>1141</v>
      </c>
      <c r="D11486" s="7" t="n">
        <v>0</v>
      </c>
      <c r="E11486" s="7" t="n">
        <v>0</v>
      </c>
      <c r="F11486" s="7" t="n">
        <v>70</v>
      </c>
      <c r="G11486" s="7" t="n">
        <v>515.81</v>
      </c>
    </row>
    <row r="11487" customFormat="false" ht="15" hidden="false" customHeight="false" outlineLevel="0" collapsed="false">
      <c r="A11487" s="7" t="s">
        <v>31</v>
      </c>
      <c r="B11487" s="7" t="s">
        <v>696</v>
      </c>
      <c r="C11487" s="7" t="s">
        <v>1141</v>
      </c>
      <c r="D11487" s="7" t="n">
        <v>0</v>
      </c>
      <c r="E11487" s="7" t="n">
        <v>0</v>
      </c>
      <c r="F11487" s="7" t="n">
        <v>70</v>
      </c>
      <c r="G11487" s="7" t="n">
        <v>515.81</v>
      </c>
    </row>
    <row r="11488" customFormat="false" ht="15" hidden="false" customHeight="false" outlineLevel="0" collapsed="false">
      <c r="A11488" s="7" t="s">
        <v>31</v>
      </c>
      <c r="B11488" s="7" t="s">
        <v>696</v>
      </c>
      <c r="C11488" s="7" t="s">
        <v>1141</v>
      </c>
      <c r="D11488" s="7" t="n">
        <v>100</v>
      </c>
      <c r="E11488" s="7" t="n">
        <v>841.9</v>
      </c>
      <c r="F11488" s="7" t="n">
        <v>0</v>
      </c>
      <c r="G11488" s="7" t="n">
        <v>0</v>
      </c>
    </row>
    <row r="11489" customFormat="false" ht="15" hidden="false" customHeight="false" outlineLevel="0" collapsed="false">
      <c r="A11489" s="7" t="s">
        <v>31</v>
      </c>
      <c r="B11489" s="7" t="s">
        <v>696</v>
      </c>
      <c r="C11489" s="7" t="s">
        <v>1141</v>
      </c>
      <c r="D11489" s="7" t="n">
        <v>0</v>
      </c>
      <c r="E11489" s="7" t="n">
        <v>0</v>
      </c>
      <c r="F11489" s="7" t="n">
        <v>130</v>
      </c>
      <c r="G11489" s="7" t="n">
        <v>953.51</v>
      </c>
    </row>
    <row r="11490" customFormat="false" ht="15" hidden="false" customHeight="false" outlineLevel="0" collapsed="false">
      <c r="A11490" s="7" t="s">
        <v>31</v>
      </c>
      <c r="B11490" s="7" t="s">
        <v>696</v>
      </c>
      <c r="C11490" s="7" t="s">
        <v>1141</v>
      </c>
      <c r="D11490" s="7" t="n">
        <v>150</v>
      </c>
      <c r="E11490" s="7" t="n">
        <v>1334.92</v>
      </c>
      <c r="F11490" s="7" t="n">
        <v>0</v>
      </c>
      <c r="G11490" s="7" t="n">
        <v>0</v>
      </c>
    </row>
    <row r="11491" customFormat="false" ht="15" hidden="false" customHeight="false" outlineLevel="0" collapsed="false">
      <c r="A11491" s="7" t="s">
        <v>31</v>
      </c>
      <c r="B11491" s="7" t="s">
        <v>696</v>
      </c>
      <c r="C11491" s="7" t="s">
        <v>1141</v>
      </c>
      <c r="D11491" s="7" t="n">
        <v>0</v>
      </c>
      <c r="E11491" s="7" t="n">
        <v>0</v>
      </c>
      <c r="F11491" s="7" t="n">
        <v>130</v>
      </c>
      <c r="G11491" s="7" t="n">
        <v>1000.15</v>
      </c>
    </row>
    <row r="11492" customFormat="false" ht="15" hidden="false" customHeight="false" outlineLevel="0" collapsed="false">
      <c r="A11492" s="7" t="s">
        <v>31</v>
      </c>
      <c r="B11492" s="7" t="s">
        <v>696</v>
      </c>
      <c r="C11492" s="7" t="s">
        <v>1141</v>
      </c>
      <c r="D11492" s="7" t="n">
        <v>100</v>
      </c>
      <c r="E11492" s="7" t="n">
        <v>806.37</v>
      </c>
      <c r="F11492" s="7" t="n">
        <v>0</v>
      </c>
      <c r="G11492" s="7" t="n">
        <v>0</v>
      </c>
    </row>
    <row r="11493" customFormat="false" ht="15" hidden="false" customHeight="false" outlineLevel="0" collapsed="false">
      <c r="A11493" s="7" t="s">
        <v>31</v>
      </c>
      <c r="B11493" s="7" t="s">
        <v>696</v>
      </c>
      <c r="C11493" s="7" t="s">
        <v>1141</v>
      </c>
      <c r="D11493" s="7" t="n">
        <v>100</v>
      </c>
      <c r="E11493" s="7" t="n">
        <v>847.37</v>
      </c>
      <c r="F11493" s="7" t="n">
        <v>0</v>
      </c>
      <c r="G11493" s="7" t="n">
        <v>0</v>
      </c>
    </row>
    <row r="11494" customFormat="false" ht="15" hidden="false" customHeight="false" outlineLevel="0" collapsed="false">
      <c r="A11494" s="7" t="s">
        <v>31</v>
      </c>
      <c r="B11494" s="7" t="s">
        <v>696</v>
      </c>
      <c r="C11494" s="7" t="s">
        <v>1141</v>
      </c>
      <c r="D11494" s="7" t="n">
        <v>0</v>
      </c>
      <c r="E11494" s="7" t="n">
        <v>0</v>
      </c>
      <c r="F11494" s="7" t="n">
        <v>100</v>
      </c>
      <c r="G11494" s="7" t="n">
        <v>786.95</v>
      </c>
    </row>
    <row r="11495" customFormat="false" ht="15" hidden="false" customHeight="false" outlineLevel="0" collapsed="false">
      <c r="A11495" s="7" t="s">
        <v>31</v>
      </c>
      <c r="B11495" s="7" t="s">
        <v>696</v>
      </c>
      <c r="C11495" s="7" t="s">
        <v>1141</v>
      </c>
      <c r="D11495" s="7" t="n">
        <v>100</v>
      </c>
      <c r="E11495" s="7" t="n">
        <v>812.03</v>
      </c>
      <c r="F11495" s="7" t="n">
        <v>0</v>
      </c>
      <c r="G11495" s="7" t="n">
        <v>0</v>
      </c>
    </row>
    <row r="11496" customFormat="false" ht="15" hidden="false" customHeight="false" outlineLevel="0" collapsed="false">
      <c r="A11496" s="7" t="s">
        <v>31</v>
      </c>
      <c r="B11496" s="7" t="s">
        <v>700</v>
      </c>
      <c r="C11496" s="7" t="s">
        <v>1141</v>
      </c>
      <c r="D11496" s="7" t="n">
        <v>70</v>
      </c>
      <c r="E11496" s="7" t="n">
        <v>564.46</v>
      </c>
      <c r="F11496" s="7" t="n">
        <v>0</v>
      </c>
      <c r="G11496" s="7" t="n">
        <v>0</v>
      </c>
    </row>
    <row r="11497" customFormat="false" ht="15" hidden="false" customHeight="false" outlineLevel="0" collapsed="false">
      <c r="A11497" s="7" t="s">
        <v>31</v>
      </c>
      <c r="B11497" s="7" t="s">
        <v>700</v>
      </c>
      <c r="C11497" s="7" t="s">
        <v>1141</v>
      </c>
      <c r="D11497" s="7" t="n">
        <v>0</v>
      </c>
      <c r="E11497" s="7" t="n">
        <v>0</v>
      </c>
      <c r="F11497" s="7" t="n">
        <v>70</v>
      </c>
      <c r="G11497" s="7" t="n">
        <v>550.86</v>
      </c>
    </row>
    <row r="11498" customFormat="false" ht="15" hidden="false" customHeight="false" outlineLevel="0" collapsed="false">
      <c r="A11498" s="7" t="s">
        <v>31</v>
      </c>
      <c r="B11498" s="7" t="s">
        <v>700</v>
      </c>
      <c r="C11498" s="7" t="s">
        <v>1141</v>
      </c>
      <c r="D11498" s="7" t="n">
        <v>60</v>
      </c>
      <c r="E11498" s="7" t="n">
        <v>505.14</v>
      </c>
      <c r="F11498" s="7" t="n">
        <v>0</v>
      </c>
      <c r="G11498" s="7" t="n">
        <v>0</v>
      </c>
    </row>
    <row r="11499" customFormat="false" ht="15" hidden="false" customHeight="false" outlineLevel="0" collapsed="false">
      <c r="A11499" s="7" t="s">
        <v>31</v>
      </c>
      <c r="B11499" s="7" t="s">
        <v>700</v>
      </c>
      <c r="C11499" s="7" t="s">
        <v>1141</v>
      </c>
      <c r="D11499" s="7" t="n">
        <v>120</v>
      </c>
      <c r="E11499" s="7" t="n">
        <v>1067.93</v>
      </c>
      <c r="F11499" s="7" t="n">
        <v>0</v>
      </c>
      <c r="G11499" s="7" t="n">
        <v>0</v>
      </c>
    </row>
    <row r="11500" customFormat="false" ht="15" hidden="false" customHeight="false" outlineLevel="0" collapsed="false">
      <c r="A11500" s="7" t="s">
        <v>31</v>
      </c>
      <c r="B11500" s="7" t="s">
        <v>700</v>
      </c>
      <c r="C11500" s="7" t="s">
        <v>1141</v>
      </c>
      <c r="D11500" s="7" t="n">
        <v>0</v>
      </c>
      <c r="E11500" s="7" t="n">
        <v>0</v>
      </c>
      <c r="F11500" s="7" t="n">
        <v>60</v>
      </c>
      <c r="G11500" s="7" t="n">
        <v>461.61</v>
      </c>
    </row>
    <row r="11501" customFormat="false" ht="15" hidden="false" customHeight="false" outlineLevel="0" collapsed="false">
      <c r="A11501" s="7" t="s">
        <v>31</v>
      </c>
      <c r="B11501" s="7" t="s">
        <v>700</v>
      </c>
      <c r="C11501" s="7" t="s">
        <v>1141</v>
      </c>
      <c r="D11501" s="7" t="n">
        <v>0</v>
      </c>
      <c r="E11501" s="7" t="n">
        <v>0</v>
      </c>
      <c r="F11501" s="7" t="n">
        <v>80</v>
      </c>
      <c r="G11501" s="7" t="n">
        <v>586.77</v>
      </c>
    </row>
    <row r="11502" customFormat="false" ht="15" hidden="false" customHeight="false" outlineLevel="0" collapsed="false">
      <c r="A11502" s="7" t="s">
        <v>31</v>
      </c>
      <c r="B11502" s="7" t="s">
        <v>700</v>
      </c>
      <c r="C11502" s="7" t="s">
        <v>1141</v>
      </c>
      <c r="D11502" s="7" t="n">
        <v>60</v>
      </c>
      <c r="E11502" s="7" t="n">
        <v>508.42</v>
      </c>
      <c r="F11502" s="7" t="n">
        <v>0</v>
      </c>
      <c r="G11502" s="7" t="n">
        <v>0</v>
      </c>
    </row>
    <row r="11503" customFormat="false" ht="15" hidden="false" customHeight="false" outlineLevel="0" collapsed="false">
      <c r="A11503" s="7" t="s">
        <v>31</v>
      </c>
      <c r="B11503" s="7" t="s">
        <v>700</v>
      </c>
      <c r="C11503" s="7" t="s">
        <v>1141</v>
      </c>
      <c r="D11503" s="7" t="n">
        <v>0</v>
      </c>
      <c r="E11503" s="7" t="n">
        <v>0</v>
      </c>
      <c r="F11503" s="7" t="n">
        <v>50</v>
      </c>
      <c r="G11503" s="7" t="n">
        <v>368.43</v>
      </c>
    </row>
    <row r="11504" customFormat="false" ht="15" hidden="false" customHeight="false" outlineLevel="0" collapsed="false">
      <c r="A11504" s="7" t="s">
        <v>31</v>
      </c>
      <c r="B11504" s="7" t="s">
        <v>700</v>
      </c>
      <c r="C11504" s="7" t="s">
        <v>1141</v>
      </c>
      <c r="D11504" s="7" t="n">
        <v>70</v>
      </c>
      <c r="E11504" s="7" t="n">
        <v>568.42</v>
      </c>
      <c r="F11504" s="7" t="n">
        <v>0</v>
      </c>
      <c r="G11504" s="7" t="n">
        <v>0</v>
      </c>
    </row>
    <row r="11505" customFormat="false" ht="15" hidden="false" customHeight="false" outlineLevel="0" collapsed="false">
      <c r="A11505" s="7" t="s">
        <v>31</v>
      </c>
      <c r="B11505" s="7" t="s">
        <v>567</v>
      </c>
      <c r="C11505" s="7" t="s">
        <v>1141</v>
      </c>
      <c r="D11505" s="7" t="n">
        <v>50</v>
      </c>
      <c r="E11505" s="7" t="n">
        <v>420.95</v>
      </c>
      <c r="F11505" s="7" t="n">
        <v>0</v>
      </c>
      <c r="G11505" s="7" t="n">
        <v>0</v>
      </c>
    </row>
    <row r="11506" customFormat="false" ht="15" hidden="false" customHeight="false" outlineLevel="0" collapsed="false">
      <c r="A11506" s="7" t="s">
        <v>31</v>
      </c>
      <c r="B11506" s="7" t="s">
        <v>567</v>
      </c>
      <c r="C11506" s="7" t="s">
        <v>1141</v>
      </c>
      <c r="D11506" s="7" t="n">
        <v>0</v>
      </c>
      <c r="E11506" s="7" t="n">
        <v>0</v>
      </c>
      <c r="F11506" s="7" t="n">
        <v>20</v>
      </c>
      <c r="G11506" s="7" t="n">
        <v>153.87</v>
      </c>
    </row>
    <row r="11507" customFormat="false" ht="15" hidden="false" customHeight="false" outlineLevel="0" collapsed="false">
      <c r="A11507" s="7" t="s">
        <v>31</v>
      </c>
      <c r="B11507" s="7" t="s">
        <v>567</v>
      </c>
      <c r="C11507" s="7" t="s">
        <v>1141</v>
      </c>
      <c r="D11507" s="7" t="n">
        <v>30</v>
      </c>
      <c r="E11507" s="7" t="n">
        <v>266.99</v>
      </c>
      <c r="F11507" s="7" t="n">
        <v>0</v>
      </c>
      <c r="G11507" s="7" t="n">
        <v>0</v>
      </c>
    </row>
    <row r="11508" customFormat="false" ht="15" hidden="false" customHeight="false" outlineLevel="0" collapsed="false">
      <c r="A11508" s="7" t="s">
        <v>31</v>
      </c>
      <c r="B11508" s="7" t="s">
        <v>567</v>
      </c>
      <c r="C11508" s="7" t="s">
        <v>1141</v>
      </c>
      <c r="D11508" s="7" t="n">
        <v>0</v>
      </c>
      <c r="E11508" s="7" t="n">
        <v>0</v>
      </c>
      <c r="F11508" s="7" t="n">
        <v>30</v>
      </c>
      <c r="G11508" s="7" t="n">
        <v>221.06</v>
      </c>
    </row>
    <row r="11509" customFormat="false" ht="15" hidden="false" customHeight="false" outlineLevel="0" collapsed="false">
      <c r="A11509" s="7" t="s">
        <v>31</v>
      </c>
      <c r="B11509" s="7" t="s">
        <v>567</v>
      </c>
      <c r="C11509" s="7" t="s">
        <v>1141</v>
      </c>
      <c r="D11509" s="7" t="n">
        <v>20</v>
      </c>
      <c r="E11509" s="7" t="n">
        <v>161.27</v>
      </c>
      <c r="F11509" s="7" t="n">
        <v>0</v>
      </c>
      <c r="G11509" s="7" t="n">
        <v>0</v>
      </c>
    </row>
    <row r="11510" customFormat="false" ht="15" hidden="false" customHeight="false" outlineLevel="0" collapsed="false">
      <c r="A11510" s="7" t="s">
        <v>31</v>
      </c>
      <c r="B11510" s="7" t="s">
        <v>567</v>
      </c>
      <c r="C11510" s="7" t="s">
        <v>1141</v>
      </c>
      <c r="D11510" s="7" t="n">
        <v>0</v>
      </c>
      <c r="E11510" s="7" t="n">
        <v>0</v>
      </c>
      <c r="F11510" s="7" t="n">
        <v>30</v>
      </c>
      <c r="G11510" s="7" t="n">
        <v>236.09</v>
      </c>
    </row>
    <row r="11511" customFormat="false" ht="15" hidden="false" customHeight="false" outlineLevel="0" collapsed="false">
      <c r="A11511" s="7" t="s">
        <v>31</v>
      </c>
      <c r="B11511" s="7" t="s">
        <v>567</v>
      </c>
      <c r="C11511" s="7" t="s">
        <v>1141</v>
      </c>
      <c r="D11511" s="7" t="n">
        <v>0</v>
      </c>
      <c r="E11511" s="7" t="n">
        <v>0</v>
      </c>
      <c r="F11511" s="7" t="n">
        <v>20</v>
      </c>
      <c r="G11511" s="7" t="n">
        <v>146.69</v>
      </c>
    </row>
    <row r="11512" customFormat="false" ht="15" hidden="false" customHeight="false" outlineLevel="0" collapsed="false">
      <c r="A11512" s="7" t="s">
        <v>31</v>
      </c>
      <c r="B11512" s="7" t="s">
        <v>567</v>
      </c>
      <c r="C11512" s="7" t="s">
        <v>1141</v>
      </c>
      <c r="D11512" s="7" t="n">
        <v>15</v>
      </c>
      <c r="E11512" s="7" t="n">
        <v>121.81</v>
      </c>
      <c r="F11512" s="7" t="n">
        <v>0</v>
      </c>
      <c r="G11512" s="7" t="n">
        <v>0</v>
      </c>
    </row>
    <row r="11513" customFormat="false" ht="15" hidden="false" customHeight="false" outlineLevel="0" collapsed="false">
      <c r="A11513" s="7" t="s">
        <v>31</v>
      </c>
      <c r="B11513" s="7" t="s">
        <v>567</v>
      </c>
      <c r="C11513" s="7" t="s">
        <v>1141</v>
      </c>
      <c r="D11513" s="7" t="n">
        <v>20</v>
      </c>
      <c r="E11513" s="7" t="n">
        <v>169.47</v>
      </c>
      <c r="F11513" s="7" t="n">
        <v>0</v>
      </c>
      <c r="G11513" s="7" t="n">
        <v>0</v>
      </c>
    </row>
    <row r="11514" customFormat="false" ht="15" hidden="false" customHeight="false" outlineLevel="0" collapsed="false">
      <c r="A11514" s="7" t="s">
        <v>31</v>
      </c>
      <c r="B11514" s="7" t="s">
        <v>728</v>
      </c>
      <c r="C11514" s="7" t="s">
        <v>1204</v>
      </c>
      <c r="D11514" s="7" t="n">
        <v>1</v>
      </c>
      <c r="E11514" s="7" t="n">
        <v>0.04</v>
      </c>
      <c r="F11514" s="7" t="n">
        <v>0</v>
      </c>
      <c r="G11514" s="7" t="n">
        <v>0</v>
      </c>
    </row>
    <row r="11515" customFormat="false" ht="15" hidden="false" customHeight="false" outlineLevel="0" collapsed="false">
      <c r="A11515" s="7" t="s">
        <v>31</v>
      </c>
      <c r="B11515" s="7" t="s">
        <v>765</v>
      </c>
      <c r="C11515" s="7" t="s">
        <v>1205</v>
      </c>
      <c r="D11515" s="7" t="n">
        <v>1</v>
      </c>
      <c r="E11515" s="7" t="n">
        <v>0.04</v>
      </c>
      <c r="F11515" s="7" t="n">
        <v>0</v>
      </c>
      <c r="G11515" s="7" t="n">
        <v>0</v>
      </c>
    </row>
    <row r="11516" customFormat="false" ht="15" hidden="false" customHeight="false" outlineLevel="0" collapsed="false">
      <c r="A11516" s="7" t="s">
        <v>31</v>
      </c>
      <c r="B11516" s="7" t="s">
        <v>356</v>
      </c>
      <c r="C11516" s="7" t="s">
        <v>1045</v>
      </c>
      <c r="D11516" s="7" t="n">
        <v>0</v>
      </c>
      <c r="E11516" s="7" t="n">
        <v>0</v>
      </c>
      <c r="F11516" s="7" t="n">
        <v>50</v>
      </c>
      <c r="G11516" s="7" t="n">
        <v>821.3</v>
      </c>
    </row>
    <row r="11517" customFormat="false" ht="15" hidden="false" customHeight="false" outlineLevel="0" collapsed="false">
      <c r="A11517" s="7" t="s">
        <v>31</v>
      </c>
      <c r="B11517" s="7" t="s">
        <v>356</v>
      </c>
      <c r="C11517" s="7" t="s">
        <v>1045</v>
      </c>
      <c r="D11517" s="7" t="n">
        <v>30</v>
      </c>
      <c r="E11517" s="7" t="n">
        <v>566.68</v>
      </c>
      <c r="F11517" s="7" t="n">
        <v>0</v>
      </c>
      <c r="G11517" s="7" t="n">
        <v>0</v>
      </c>
    </row>
    <row r="11518" customFormat="false" ht="15" hidden="false" customHeight="false" outlineLevel="0" collapsed="false">
      <c r="A11518" s="7" t="s">
        <v>31</v>
      </c>
      <c r="B11518" s="7" t="s">
        <v>356</v>
      </c>
      <c r="C11518" s="7" t="s">
        <v>1045</v>
      </c>
      <c r="D11518" s="7" t="n">
        <v>0</v>
      </c>
      <c r="E11518" s="7" t="n">
        <v>0</v>
      </c>
      <c r="F11518" s="7" t="n">
        <v>20</v>
      </c>
      <c r="G11518" s="7" t="n">
        <v>343</v>
      </c>
    </row>
    <row r="11519" customFormat="false" ht="15" hidden="false" customHeight="false" outlineLevel="0" collapsed="false">
      <c r="A11519" s="7" t="s">
        <v>31</v>
      </c>
      <c r="B11519" s="7" t="s">
        <v>356</v>
      </c>
      <c r="C11519" s="7" t="s">
        <v>1045</v>
      </c>
      <c r="D11519" s="7" t="n">
        <v>70</v>
      </c>
      <c r="E11519" s="7" t="n">
        <v>1313.72</v>
      </c>
      <c r="F11519" s="7" t="n">
        <v>0</v>
      </c>
      <c r="G11519" s="7" t="n">
        <v>0</v>
      </c>
    </row>
    <row r="11520" customFormat="false" ht="15" hidden="false" customHeight="false" outlineLevel="0" collapsed="false">
      <c r="A11520" s="7" t="s">
        <v>31</v>
      </c>
      <c r="B11520" s="7" t="s">
        <v>356</v>
      </c>
      <c r="C11520" s="7" t="s">
        <v>1045</v>
      </c>
      <c r="D11520" s="7" t="n">
        <v>0</v>
      </c>
      <c r="E11520" s="7" t="n">
        <v>0</v>
      </c>
      <c r="F11520" s="7" t="n">
        <v>50</v>
      </c>
      <c r="G11520" s="7" t="n">
        <v>817.52</v>
      </c>
    </row>
    <row r="11521" customFormat="false" ht="15" hidden="false" customHeight="false" outlineLevel="0" collapsed="false">
      <c r="A11521" s="7" t="s">
        <v>31</v>
      </c>
      <c r="B11521" s="7" t="s">
        <v>356</v>
      </c>
      <c r="C11521" s="7" t="s">
        <v>1045</v>
      </c>
      <c r="D11521" s="7" t="n">
        <v>0</v>
      </c>
      <c r="E11521" s="7" t="n">
        <v>0</v>
      </c>
      <c r="F11521" s="7" t="n">
        <v>25</v>
      </c>
      <c r="G11521" s="7" t="n">
        <v>438.56</v>
      </c>
    </row>
    <row r="11522" customFormat="false" ht="15" hidden="false" customHeight="false" outlineLevel="0" collapsed="false">
      <c r="A11522" s="7" t="s">
        <v>31</v>
      </c>
      <c r="B11522" s="7" t="s">
        <v>356</v>
      </c>
      <c r="C11522" s="7" t="s">
        <v>1045</v>
      </c>
      <c r="D11522" s="7" t="n">
        <v>6</v>
      </c>
      <c r="E11522" s="7" t="n">
        <v>107.86</v>
      </c>
      <c r="F11522" s="7" t="n">
        <v>0</v>
      </c>
      <c r="G11522" s="7" t="n">
        <v>0</v>
      </c>
    </row>
    <row r="11523" customFormat="false" ht="15" hidden="false" customHeight="false" outlineLevel="0" collapsed="false">
      <c r="A11523" s="7" t="s">
        <v>31</v>
      </c>
      <c r="B11523" s="7" t="s">
        <v>356</v>
      </c>
      <c r="C11523" s="7" t="s">
        <v>1045</v>
      </c>
      <c r="D11523" s="7" t="n">
        <v>70</v>
      </c>
      <c r="E11523" s="7" t="n">
        <v>1267.11</v>
      </c>
      <c r="F11523" s="7" t="n">
        <v>0</v>
      </c>
      <c r="G11523" s="7" t="n">
        <v>0</v>
      </c>
    </row>
    <row r="11524" customFormat="false" ht="15" hidden="false" customHeight="false" outlineLevel="0" collapsed="false">
      <c r="A11524" s="7" t="s">
        <v>31</v>
      </c>
      <c r="B11524" s="7" t="s">
        <v>163</v>
      </c>
      <c r="C11524" s="7" t="s">
        <v>1046</v>
      </c>
      <c r="D11524" s="7" t="n">
        <v>25</v>
      </c>
      <c r="E11524" s="7" t="n">
        <v>491.38</v>
      </c>
      <c r="F11524" s="7" t="n">
        <v>0</v>
      </c>
      <c r="G11524" s="7" t="n">
        <v>0</v>
      </c>
    </row>
    <row r="11525" customFormat="false" ht="15" hidden="false" customHeight="false" outlineLevel="0" collapsed="false">
      <c r="A11525" s="7" t="s">
        <v>31</v>
      </c>
      <c r="B11525" s="7" t="s">
        <v>163</v>
      </c>
      <c r="C11525" s="7" t="s">
        <v>1046</v>
      </c>
      <c r="D11525" s="7" t="n">
        <v>0</v>
      </c>
      <c r="E11525" s="7" t="n">
        <v>0</v>
      </c>
      <c r="F11525" s="7" t="n">
        <v>50</v>
      </c>
      <c r="G11525" s="7" t="n">
        <v>937.65</v>
      </c>
    </row>
    <row r="11526" customFormat="false" ht="15" hidden="false" customHeight="false" outlineLevel="0" collapsed="false">
      <c r="A11526" s="7" t="s">
        <v>31</v>
      </c>
      <c r="B11526" s="7" t="s">
        <v>163</v>
      </c>
      <c r="C11526" s="7" t="s">
        <v>1046</v>
      </c>
      <c r="D11526" s="7" t="n">
        <v>110</v>
      </c>
      <c r="E11526" s="7" t="n">
        <v>2177.25</v>
      </c>
      <c r="F11526" s="7" t="n">
        <v>0</v>
      </c>
      <c r="G11526" s="7" t="n">
        <v>0</v>
      </c>
    </row>
    <row r="11527" customFormat="false" ht="15" hidden="false" customHeight="false" outlineLevel="0" collapsed="false">
      <c r="A11527" s="7" t="s">
        <v>31</v>
      </c>
      <c r="B11527" s="7" t="s">
        <v>163</v>
      </c>
      <c r="C11527" s="7" t="s">
        <v>1046</v>
      </c>
      <c r="D11527" s="7" t="n">
        <v>90</v>
      </c>
      <c r="E11527" s="7" t="n">
        <v>1846.93</v>
      </c>
      <c r="F11527" s="7" t="n">
        <v>0</v>
      </c>
      <c r="G11527" s="7" t="n">
        <v>0</v>
      </c>
    </row>
    <row r="11528" customFormat="false" ht="15" hidden="false" customHeight="false" outlineLevel="0" collapsed="false">
      <c r="A11528" s="7" t="s">
        <v>31</v>
      </c>
      <c r="B11528" s="7" t="s">
        <v>163</v>
      </c>
      <c r="C11528" s="7" t="s">
        <v>1046</v>
      </c>
      <c r="D11528" s="7" t="n">
        <v>0</v>
      </c>
      <c r="E11528" s="7" t="n">
        <v>0</v>
      </c>
      <c r="F11528" s="7" t="n">
        <v>30</v>
      </c>
      <c r="G11528" s="7" t="n">
        <v>575.46</v>
      </c>
    </row>
    <row r="11529" customFormat="false" ht="15" hidden="false" customHeight="false" outlineLevel="0" collapsed="false">
      <c r="A11529" s="7" t="s">
        <v>31</v>
      </c>
      <c r="B11529" s="7" t="s">
        <v>163</v>
      </c>
      <c r="C11529" s="7" t="s">
        <v>1046</v>
      </c>
      <c r="D11529" s="7" t="n">
        <v>0</v>
      </c>
      <c r="E11529" s="7" t="n">
        <v>0</v>
      </c>
      <c r="F11529" s="7" t="n">
        <v>70</v>
      </c>
      <c r="G11529" s="7" t="n">
        <v>1257.27</v>
      </c>
    </row>
    <row r="11530" customFormat="false" ht="15" hidden="false" customHeight="false" outlineLevel="0" collapsed="false">
      <c r="A11530" s="7" t="s">
        <v>31</v>
      </c>
      <c r="B11530" s="7" t="s">
        <v>163</v>
      </c>
      <c r="C11530" s="7" t="s">
        <v>1046</v>
      </c>
      <c r="D11530" s="7" t="n">
        <v>40</v>
      </c>
      <c r="E11530" s="7" t="n">
        <v>867.69</v>
      </c>
      <c r="F11530" s="7" t="n">
        <v>0</v>
      </c>
      <c r="G11530" s="7" t="n">
        <v>0</v>
      </c>
    </row>
    <row r="11531" customFormat="false" ht="15" hidden="false" customHeight="false" outlineLevel="0" collapsed="false">
      <c r="A11531" s="7" t="s">
        <v>31</v>
      </c>
      <c r="B11531" s="7" t="s">
        <v>163</v>
      </c>
      <c r="C11531" s="7" t="s">
        <v>1046</v>
      </c>
      <c r="D11531" s="7" t="n">
        <v>60</v>
      </c>
      <c r="E11531" s="7" t="n">
        <v>1239.27</v>
      </c>
      <c r="F11531" s="7" t="n">
        <v>0</v>
      </c>
      <c r="G11531" s="7" t="n">
        <v>0</v>
      </c>
    </row>
    <row r="11532" customFormat="false" ht="15" hidden="false" customHeight="false" outlineLevel="0" collapsed="false">
      <c r="A11532" s="7" t="s">
        <v>31</v>
      </c>
      <c r="B11532" s="7" t="s">
        <v>163</v>
      </c>
      <c r="C11532" s="7" t="s">
        <v>1046</v>
      </c>
      <c r="D11532" s="7" t="n">
        <v>0</v>
      </c>
      <c r="E11532" s="7" t="n">
        <v>0</v>
      </c>
      <c r="F11532" s="7" t="n">
        <v>70</v>
      </c>
      <c r="G11532" s="7" t="n">
        <v>1251.49</v>
      </c>
    </row>
    <row r="11533" customFormat="false" ht="15" hidden="false" customHeight="false" outlineLevel="0" collapsed="false">
      <c r="A11533" s="7" t="s">
        <v>31</v>
      </c>
      <c r="B11533" s="7" t="s">
        <v>316</v>
      </c>
      <c r="C11533" s="7" t="s">
        <v>1047</v>
      </c>
      <c r="D11533" s="7" t="n">
        <v>6</v>
      </c>
      <c r="E11533" s="7" t="n">
        <v>247.96</v>
      </c>
      <c r="F11533" s="7" t="n">
        <v>0</v>
      </c>
      <c r="G11533" s="7" t="n">
        <v>0</v>
      </c>
    </row>
    <row r="11534" customFormat="false" ht="15" hidden="false" customHeight="false" outlineLevel="0" collapsed="false">
      <c r="A11534" s="7" t="s">
        <v>31</v>
      </c>
      <c r="B11534" s="7" t="s">
        <v>316</v>
      </c>
      <c r="C11534" s="7" t="s">
        <v>1047</v>
      </c>
      <c r="D11534" s="7" t="n">
        <v>20</v>
      </c>
      <c r="E11534" s="7" t="n">
        <v>832.33</v>
      </c>
      <c r="F11534" s="7" t="n">
        <v>0</v>
      </c>
      <c r="G11534" s="7" t="n">
        <v>0</v>
      </c>
    </row>
    <row r="11535" customFormat="false" ht="15" hidden="false" customHeight="false" outlineLevel="0" collapsed="false">
      <c r="A11535" s="7" t="s">
        <v>31</v>
      </c>
      <c r="B11535" s="7" t="s">
        <v>316</v>
      </c>
      <c r="C11535" s="7" t="s">
        <v>1047</v>
      </c>
      <c r="D11535" s="7" t="n">
        <v>12</v>
      </c>
      <c r="E11535" s="7" t="n">
        <v>521.13</v>
      </c>
      <c r="F11535" s="7" t="n">
        <v>0</v>
      </c>
      <c r="G11535" s="7" t="n">
        <v>0</v>
      </c>
    </row>
    <row r="11536" customFormat="false" ht="15" hidden="false" customHeight="false" outlineLevel="0" collapsed="false">
      <c r="A11536" s="7" t="s">
        <v>31</v>
      </c>
      <c r="B11536" s="7" t="s">
        <v>316</v>
      </c>
      <c r="C11536" s="7" t="s">
        <v>1047</v>
      </c>
      <c r="D11536" s="7" t="n">
        <v>30</v>
      </c>
      <c r="E11536" s="7" t="n">
        <v>1368.29</v>
      </c>
      <c r="F11536" s="7" t="n">
        <v>0</v>
      </c>
      <c r="G11536" s="7" t="n">
        <v>0</v>
      </c>
    </row>
    <row r="11537" customFormat="false" ht="15" hidden="false" customHeight="false" outlineLevel="0" collapsed="false">
      <c r="A11537" s="7" t="s">
        <v>31</v>
      </c>
      <c r="B11537" s="7" t="s">
        <v>316</v>
      </c>
      <c r="C11537" s="7" t="s">
        <v>1047</v>
      </c>
      <c r="D11537" s="7" t="n">
        <v>10</v>
      </c>
      <c r="E11537" s="7" t="n">
        <v>431.48</v>
      </c>
      <c r="F11537" s="7" t="n">
        <v>0</v>
      </c>
      <c r="G11537" s="7" t="n">
        <v>0</v>
      </c>
    </row>
    <row r="11538" customFormat="false" ht="15" hidden="false" customHeight="false" outlineLevel="0" collapsed="false">
      <c r="A11538" s="7" t="s">
        <v>31</v>
      </c>
      <c r="B11538" s="7" t="s">
        <v>316</v>
      </c>
      <c r="C11538" s="7" t="s">
        <v>1047</v>
      </c>
      <c r="D11538" s="7" t="n">
        <v>0</v>
      </c>
      <c r="E11538" s="7" t="n">
        <v>0</v>
      </c>
      <c r="F11538" s="7" t="n">
        <v>10</v>
      </c>
      <c r="G11538" s="7" t="n">
        <v>377.64</v>
      </c>
    </row>
    <row r="11539" customFormat="false" ht="15" hidden="false" customHeight="false" outlineLevel="0" collapsed="false">
      <c r="A11539" s="7" t="s">
        <v>31</v>
      </c>
      <c r="B11539" s="7" t="s">
        <v>316</v>
      </c>
      <c r="C11539" s="7" t="s">
        <v>1047</v>
      </c>
      <c r="D11539" s="7" t="n">
        <v>0</v>
      </c>
      <c r="E11539" s="7" t="n">
        <v>0</v>
      </c>
      <c r="F11539" s="7" t="n">
        <v>10</v>
      </c>
      <c r="G11539" s="7" t="n">
        <v>403.32</v>
      </c>
    </row>
    <row r="11540" customFormat="false" ht="15" hidden="false" customHeight="false" outlineLevel="0" collapsed="false">
      <c r="A11540" s="7" t="s">
        <v>31</v>
      </c>
      <c r="B11540" s="7" t="s">
        <v>202</v>
      </c>
      <c r="C11540" s="7" t="s">
        <v>1047</v>
      </c>
      <c r="D11540" s="7" t="n">
        <v>12</v>
      </c>
      <c r="E11540" s="7" t="n">
        <v>521.13</v>
      </c>
      <c r="F11540" s="7" t="n">
        <v>0</v>
      </c>
      <c r="G11540" s="7" t="n">
        <v>0</v>
      </c>
    </row>
    <row r="11541" customFormat="false" ht="15" hidden="false" customHeight="false" outlineLevel="0" collapsed="false">
      <c r="A11541" s="7" t="s">
        <v>31</v>
      </c>
      <c r="B11541" s="7" t="s">
        <v>202</v>
      </c>
      <c r="C11541" s="7" t="s">
        <v>1047</v>
      </c>
      <c r="D11541" s="7" t="n">
        <v>0</v>
      </c>
      <c r="E11541" s="7" t="n">
        <v>0</v>
      </c>
      <c r="F11541" s="7" t="n">
        <v>10</v>
      </c>
      <c r="G11541" s="7" t="n">
        <v>403.32</v>
      </c>
    </row>
    <row r="11542" customFormat="false" ht="15" hidden="false" customHeight="false" outlineLevel="0" collapsed="false">
      <c r="A11542" s="7" t="s">
        <v>31</v>
      </c>
      <c r="B11542" s="7" t="s">
        <v>202</v>
      </c>
      <c r="C11542" s="7" t="s">
        <v>1047</v>
      </c>
      <c r="D11542" s="7" t="n">
        <v>0</v>
      </c>
      <c r="E11542" s="7" t="n">
        <v>0</v>
      </c>
      <c r="F11542" s="7" t="n">
        <v>15</v>
      </c>
      <c r="G11542" s="7" t="n">
        <v>591.43</v>
      </c>
    </row>
    <row r="11543" customFormat="false" ht="15" hidden="false" customHeight="false" outlineLevel="0" collapsed="false">
      <c r="A11543" s="7" t="s">
        <v>31</v>
      </c>
      <c r="B11543" s="7" t="s">
        <v>202</v>
      </c>
      <c r="C11543" s="7" t="s">
        <v>1047</v>
      </c>
      <c r="D11543" s="7" t="n">
        <v>0</v>
      </c>
      <c r="E11543" s="7" t="n">
        <v>0</v>
      </c>
      <c r="F11543" s="7" t="n">
        <v>10</v>
      </c>
      <c r="G11543" s="7" t="n">
        <v>377.64</v>
      </c>
    </row>
    <row r="11544" customFormat="false" ht="15" hidden="false" customHeight="false" outlineLevel="0" collapsed="false">
      <c r="A11544" s="7" t="s">
        <v>31</v>
      </c>
      <c r="B11544" s="7" t="s">
        <v>202</v>
      </c>
      <c r="C11544" s="7" t="s">
        <v>1047</v>
      </c>
      <c r="D11544" s="7" t="n">
        <v>10</v>
      </c>
      <c r="E11544" s="7" t="n">
        <v>431.48</v>
      </c>
      <c r="F11544" s="7" t="n">
        <v>0</v>
      </c>
      <c r="G11544" s="7" t="n">
        <v>0</v>
      </c>
    </row>
    <row r="11545" customFormat="false" ht="15" hidden="false" customHeight="false" outlineLevel="0" collapsed="false">
      <c r="A11545" s="7" t="s">
        <v>31</v>
      </c>
      <c r="B11545" s="7" t="s">
        <v>202</v>
      </c>
      <c r="C11545" s="7" t="s">
        <v>1047</v>
      </c>
      <c r="D11545" s="7" t="n">
        <v>6</v>
      </c>
      <c r="E11545" s="7" t="n">
        <v>249.7</v>
      </c>
      <c r="F11545" s="7" t="n">
        <v>0</v>
      </c>
      <c r="G11545" s="7" t="n">
        <v>0</v>
      </c>
    </row>
    <row r="11546" customFormat="false" ht="15" hidden="false" customHeight="false" outlineLevel="0" collapsed="false">
      <c r="A11546" s="7" t="s">
        <v>31</v>
      </c>
      <c r="B11546" s="7" t="s">
        <v>202</v>
      </c>
      <c r="C11546" s="7" t="s">
        <v>1047</v>
      </c>
      <c r="D11546" s="7" t="n">
        <v>15</v>
      </c>
      <c r="E11546" s="7" t="n">
        <v>619.9</v>
      </c>
      <c r="F11546" s="7" t="n">
        <v>0</v>
      </c>
      <c r="G11546" s="7" t="n">
        <v>0</v>
      </c>
    </row>
    <row r="11547" customFormat="false" ht="15" hidden="false" customHeight="false" outlineLevel="0" collapsed="false">
      <c r="A11547" s="7" t="s">
        <v>31</v>
      </c>
      <c r="B11547" s="7" t="s">
        <v>202</v>
      </c>
      <c r="C11547" s="7" t="s">
        <v>1047</v>
      </c>
      <c r="D11547" s="7" t="n">
        <v>30</v>
      </c>
      <c r="E11547" s="7" t="n">
        <v>1368.29</v>
      </c>
      <c r="F11547" s="7" t="n">
        <v>0</v>
      </c>
      <c r="G11547" s="7" t="n">
        <v>0</v>
      </c>
    </row>
    <row r="11548" customFormat="false" ht="15" hidden="false" customHeight="false" outlineLevel="0" collapsed="false">
      <c r="A11548" s="7" t="s">
        <v>31</v>
      </c>
      <c r="B11548" s="7" t="s">
        <v>353</v>
      </c>
      <c r="C11548" s="7" t="s">
        <v>1047</v>
      </c>
      <c r="D11548" s="7" t="n">
        <v>10</v>
      </c>
      <c r="E11548" s="7" t="n">
        <v>431.48</v>
      </c>
      <c r="F11548" s="7" t="n">
        <v>0</v>
      </c>
      <c r="G11548" s="7" t="n">
        <v>0</v>
      </c>
    </row>
    <row r="11549" customFormat="false" ht="15" hidden="false" customHeight="false" outlineLevel="0" collapsed="false">
      <c r="A11549" s="7" t="s">
        <v>31</v>
      </c>
      <c r="B11549" s="7" t="s">
        <v>353</v>
      </c>
      <c r="C11549" s="7" t="s">
        <v>1047</v>
      </c>
      <c r="D11549" s="7" t="n">
        <v>6</v>
      </c>
      <c r="E11549" s="7" t="n">
        <v>260.57</v>
      </c>
      <c r="F11549" s="7" t="n">
        <v>0</v>
      </c>
      <c r="G11549" s="7" t="n">
        <v>0</v>
      </c>
    </row>
    <row r="11550" customFormat="false" ht="15" hidden="false" customHeight="false" outlineLevel="0" collapsed="false">
      <c r="A11550" s="7" t="s">
        <v>31</v>
      </c>
      <c r="B11550" s="7" t="s">
        <v>353</v>
      </c>
      <c r="C11550" s="7" t="s">
        <v>1047</v>
      </c>
      <c r="D11550" s="7" t="n">
        <v>6</v>
      </c>
      <c r="E11550" s="7" t="n">
        <v>247.96</v>
      </c>
      <c r="F11550" s="7" t="n">
        <v>0</v>
      </c>
      <c r="G11550" s="7" t="n">
        <v>0</v>
      </c>
    </row>
    <row r="11551" customFormat="false" ht="15" hidden="false" customHeight="false" outlineLevel="0" collapsed="false">
      <c r="A11551" s="7" t="s">
        <v>31</v>
      </c>
      <c r="B11551" s="7" t="s">
        <v>353</v>
      </c>
      <c r="C11551" s="7" t="s">
        <v>1047</v>
      </c>
      <c r="D11551" s="7" t="n">
        <v>6</v>
      </c>
      <c r="E11551" s="7" t="n">
        <v>273.65</v>
      </c>
      <c r="F11551" s="7" t="n">
        <v>0</v>
      </c>
      <c r="G11551" s="7" t="n">
        <v>0</v>
      </c>
    </row>
    <row r="11552" customFormat="false" ht="15" hidden="false" customHeight="false" outlineLevel="0" collapsed="false">
      <c r="A11552" s="7" t="s">
        <v>31</v>
      </c>
      <c r="B11552" s="7" t="s">
        <v>353</v>
      </c>
      <c r="C11552" s="7" t="s">
        <v>1047</v>
      </c>
      <c r="D11552" s="7" t="n">
        <v>0</v>
      </c>
      <c r="E11552" s="7" t="n">
        <v>0</v>
      </c>
      <c r="F11552" s="7" t="n">
        <v>6</v>
      </c>
      <c r="G11552" s="7" t="n">
        <v>241.99</v>
      </c>
    </row>
    <row r="11553" customFormat="false" ht="15" hidden="false" customHeight="false" outlineLevel="0" collapsed="false">
      <c r="A11553" s="7" t="s">
        <v>31</v>
      </c>
      <c r="B11553" s="7" t="s">
        <v>353</v>
      </c>
      <c r="C11553" s="7" t="s">
        <v>1047</v>
      </c>
      <c r="D11553" s="7" t="n">
        <v>6</v>
      </c>
      <c r="E11553" s="7" t="n">
        <v>249.7</v>
      </c>
      <c r="F11553" s="7" t="n">
        <v>0</v>
      </c>
      <c r="G11553" s="7" t="n">
        <v>0</v>
      </c>
    </row>
    <row r="11554" customFormat="false" ht="15" hidden="false" customHeight="false" outlineLevel="0" collapsed="false">
      <c r="A11554" s="7" t="s">
        <v>31</v>
      </c>
      <c r="B11554" s="7" t="s">
        <v>353</v>
      </c>
      <c r="C11554" s="7" t="s">
        <v>1047</v>
      </c>
      <c r="D11554" s="7" t="n">
        <v>0</v>
      </c>
      <c r="E11554" s="7" t="n">
        <v>0</v>
      </c>
      <c r="F11554" s="7" t="n">
        <v>10</v>
      </c>
      <c r="G11554" s="7" t="n">
        <v>394.29</v>
      </c>
    </row>
    <row r="11555" customFormat="false" ht="15" hidden="false" customHeight="false" outlineLevel="0" collapsed="false">
      <c r="A11555" s="7" t="s">
        <v>31</v>
      </c>
      <c r="B11555" s="7" t="s">
        <v>485</v>
      </c>
      <c r="C11555" s="7" t="s">
        <v>1047</v>
      </c>
      <c r="D11555" s="7" t="n">
        <v>6</v>
      </c>
      <c r="E11555" s="7" t="n">
        <v>247.96</v>
      </c>
      <c r="F11555" s="7" t="n">
        <v>0</v>
      </c>
      <c r="G11555" s="7" t="n">
        <v>0</v>
      </c>
    </row>
    <row r="11556" customFormat="false" ht="15" hidden="false" customHeight="false" outlineLevel="0" collapsed="false">
      <c r="A11556" s="7" t="s">
        <v>31</v>
      </c>
      <c r="B11556" s="7" t="s">
        <v>485</v>
      </c>
      <c r="C11556" s="7" t="s">
        <v>1047</v>
      </c>
      <c r="D11556" s="7" t="n">
        <v>0</v>
      </c>
      <c r="E11556" s="7" t="n">
        <v>0</v>
      </c>
      <c r="F11556" s="7" t="n">
        <v>6</v>
      </c>
      <c r="G11556" s="7" t="n">
        <v>236.57</v>
      </c>
    </row>
    <row r="11557" customFormat="false" ht="15" hidden="false" customHeight="false" outlineLevel="0" collapsed="false">
      <c r="A11557" s="7" t="s">
        <v>31</v>
      </c>
      <c r="B11557" s="7" t="s">
        <v>485</v>
      </c>
      <c r="C11557" s="7" t="s">
        <v>1047</v>
      </c>
      <c r="D11557" s="7" t="n">
        <v>15</v>
      </c>
      <c r="E11557" s="7" t="n">
        <v>684.14</v>
      </c>
      <c r="F11557" s="7" t="n">
        <v>0</v>
      </c>
      <c r="G11557" s="7" t="n">
        <v>0</v>
      </c>
    </row>
    <row r="11558" customFormat="false" ht="15" hidden="false" customHeight="false" outlineLevel="0" collapsed="false">
      <c r="A11558" s="7" t="s">
        <v>31</v>
      </c>
      <c r="B11558" s="7" t="s">
        <v>143</v>
      </c>
      <c r="C11558" s="7" t="s">
        <v>1047</v>
      </c>
      <c r="D11558" s="7" t="n">
        <v>130</v>
      </c>
      <c r="E11558" s="7" t="n">
        <v>2873</v>
      </c>
      <c r="F11558" s="7" t="n">
        <v>0</v>
      </c>
      <c r="G11558" s="7" t="n">
        <v>0</v>
      </c>
    </row>
    <row r="11559" customFormat="false" ht="15" hidden="false" customHeight="false" outlineLevel="0" collapsed="false">
      <c r="A11559" s="7" t="s">
        <v>31</v>
      </c>
      <c r="B11559" s="7" t="s">
        <v>143</v>
      </c>
      <c r="C11559" s="7" t="s">
        <v>1047</v>
      </c>
      <c r="D11559" s="7" t="n">
        <v>140</v>
      </c>
      <c r="E11559" s="7" t="n">
        <v>3114.08</v>
      </c>
      <c r="F11559" s="7" t="n">
        <v>0</v>
      </c>
      <c r="G11559" s="7" t="n">
        <v>0</v>
      </c>
    </row>
    <row r="11560" customFormat="false" ht="15" hidden="false" customHeight="false" outlineLevel="0" collapsed="false">
      <c r="A11560" s="7" t="s">
        <v>31</v>
      </c>
      <c r="B11560" s="7" t="s">
        <v>143</v>
      </c>
      <c r="C11560" s="7" t="s">
        <v>1047</v>
      </c>
      <c r="D11560" s="7" t="n">
        <v>0</v>
      </c>
      <c r="E11560" s="7" t="n">
        <v>0</v>
      </c>
      <c r="F11560" s="7" t="n">
        <v>120</v>
      </c>
      <c r="G11560" s="7" t="n">
        <v>2321.12</v>
      </c>
    </row>
    <row r="11561" customFormat="false" ht="15" hidden="false" customHeight="false" outlineLevel="0" collapsed="false">
      <c r="A11561" s="7" t="s">
        <v>31</v>
      </c>
      <c r="B11561" s="7" t="s">
        <v>143</v>
      </c>
      <c r="C11561" s="7" t="s">
        <v>1047</v>
      </c>
      <c r="D11561" s="7" t="n">
        <v>100</v>
      </c>
      <c r="E11561" s="7" t="n">
        <v>2116.73</v>
      </c>
      <c r="F11561" s="7" t="n">
        <v>0</v>
      </c>
      <c r="G11561" s="7" t="n">
        <v>0</v>
      </c>
    </row>
    <row r="11562" customFormat="false" ht="15" hidden="false" customHeight="false" outlineLevel="0" collapsed="false">
      <c r="A11562" s="7" t="s">
        <v>31</v>
      </c>
      <c r="B11562" s="7" t="s">
        <v>143</v>
      </c>
      <c r="C11562" s="7" t="s">
        <v>1047</v>
      </c>
      <c r="D11562" s="7" t="n">
        <v>0</v>
      </c>
      <c r="E11562" s="7" t="n">
        <v>0</v>
      </c>
      <c r="F11562" s="7" t="n">
        <v>200</v>
      </c>
      <c r="G11562" s="7" t="n">
        <v>3850.72</v>
      </c>
    </row>
    <row r="11563" customFormat="false" ht="15" hidden="false" customHeight="false" outlineLevel="0" collapsed="false">
      <c r="A11563" s="7" t="s">
        <v>31</v>
      </c>
      <c r="B11563" s="7" t="s">
        <v>143</v>
      </c>
      <c r="C11563" s="7" t="s">
        <v>1047</v>
      </c>
      <c r="D11563" s="7" t="n">
        <v>0</v>
      </c>
      <c r="E11563" s="7" t="n">
        <v>0</v>
      </c>
      <c r="F11563" s="7" t="n">
        <v>140</v>
      </c>
      <c r="G11563" s="7" t="n">
        <v>2827.36</v>
      </c>
    </row>
    <row r="11564" customFormat="false" ht="15" hidden="false" customHeight="false" outlineLevel="0" collapsed="false">
      <c r="A11564" s="7" t="s">
        <v>31</v>
      </c>
      <c r="B11564" s="7" t="s">
        <v>143</v>
      </c>
      <c r="C11564" s="7" t="s">
        <v>1047</v>
      </c>
      <c r="D11564" s="7" t="n">
        <v>140</v>
      </c>
      <c r="E11564" s="7" t="n">
        <v>2984.21</v>
      </c>
      <c r="F11564" s="7" t="n">
        <v>0</v>
      </c>
      <c r="G11564" s="7" t="n">
        <v>0</v>
      </c>
    </row>
    <row r="11565" customFormat="false" ht="15" hidden="false" customHeight="false" outlineLevel="0" collapsed="false">
      <c r="A11565" s="7" t="s">
        <v>31</v>
      </c>
      <c r="B11565" s="7" t="s">
        <v>143</v>
      </c>
      <c r="C11565" s="7" t="s">
        <v>1047</v>
      </c>
      <c r="D11565" s="7" t="n">
        <v>0</v>
      </c>
      <c r="E11565" s="7" t="n">
        <v>0</v>
      </c>
      <c r="F11565" s="7" t="n">
        <v>80</v>
      </c>
      <c r="G11565" s="7" t="n">
        <v>1652.6</v>
      </c>
    </row>
    <row r="11566" customFormat="false" ht="15" hidden="false" customHeight="false" outlineLevel="0" collapsed="false">
      <c r="A11566" s="7" t="s">
        <v>31</v>
      </c>
      <c r="B11566" s="7" t="s">
        <v>143</v>
      </c>
      <c r="C11566" s="7" t="s">
        <v>1047</v>
      </c>
      <c r="D11566" s="7" t="n">
        <v>120</v>
      </c>
      <c r="E11566" s="7" t="n">
        <v>2803.32</v>
      </c>
      <c r="F11566" s="7" t="n">
        <v>0</v>
      </c>
      <c r="G11566" s="7" t="n">
        <v>0</v>
      </c>
    </row>
    <row r="11567" customFormat="false" ht="15" hidden="false" customHeight="false" outlineLevel="0" collapsed="false">
      <c r="A11567" s="7" t="s">
        <v>31</v>
      </c>
      <c r="B11567" s="7" t="s">
        <v>161</v>
      </c>
      <c r="C11567" s="7" t="s">
        <v>1048</v>
      </c>
      <c r="D11567" s="7" t="n">
        <v>0</v>
      </c>
      <c r="E11567" s="7" t="n">
        <v>0</v>
      </c>
      <c r="F11567" s="7" t="n">
        <v>40</v>
      </c>
      <c r="G11567" s="7" t="n">
        <v>1278.8</v>
      </c>
    </row>
    <row r="11568" customFormat="false" ht="15" hidden="false" customHeight="false" outlineLevel="0" collapsed="false">
      <c r="A11568" s="7" t="s">
        <v>31</v>
      </c>
      <c r="B11568" s="7" t="s">
        <v>161</v>
      </c>
      <c r="C11568" s="7" t="s">
        <v>1048</v>
      </c>
      <c r="D11568" s="7" t="n">
        <v>0</v>
      </c>
      <c r="E11568" s="7" t="n">
        <v>0</v>
      </c>
      <c r="F11568" s="7" t="n">
        <v>80</v>
      </c>
      <c r="G11568" s="7" t="n">
        <v>2383.79</v>
      </c>
    </row>
    <row r="11569" customFormat="false" ht="15" hidden="false" customHeight="false" outlineLevel="0" collapsed="false">
      <c r="A11569" s="7" t="s">
        <v>31</v>
      </c>
      <c r="B11569" s="7" t="s">
        <v>161</v>
      </c>
      <c r="C11569" s="7" t="s">
        <v>1048</v>
      </c>
      <c r="D11569" s="7" t="n">
        <v>80</v>
      </c>
      <c r="E11569" s="7" t="n">
        <v>2753.95</v>
      </c>
      <c r="F11569" s="7" t="n">
        <v>0</v>
      </c>
      <c r="G11569" s="7" t="n">
        <v>0</v>
      </c>
    </row>
    <row r="11570" customFormat="false" ht="15" hidden="false" customHeight="false" outlineLevel="0" collapsed="false">
      <c r="A11570" s="7" t="s">
        <v>31</v>
      </c>
      <c r="B11570" s="7" t="s">
        <v>161</v>
      </c>
      <c r="C11570" s="7" t="s">
        <v>1048</v>
      </c>
      <c r="D11570" s="7" t="n">
        <v>80</v>
      </c>
      <c r="E11570" s="7" t="n">
        <v>2639.1</v>
      </c>
      <c r="F11570" s="7" t="n">
        <v>0</v>
      </c>
      <c r="G11570" s="7" t="n">
        <v>0</v>
      </c>
    </row>
    <row r="11571" customFormat="false" ht="15" hidden="false" customHeight="false" outlineLevel="0" collapsed="false">
      <c r="A11571" s="7" t="s">
        <v>31</v>
      </c>
      <c r="B11571" s="7" t="s">
        <v>161</v>
      </c>
      <c r="C11571" s="7" t="s">
        <v>1048</v>
      </c>
      <c r="D11571" s="7" t="n">
        <v>0</v>
      </c>
      <c r="E11571" s="7" t="n">
        <v>0</v>
      </c>
      <c r="F11571" s="7" t="n">
        <v>100</v>
      </c>
      <c r="G11571" s="7" t="n">
        <v>3125.48</v>
      </c>
    </row>
    <row r="11572" customFormat="false" ht="15" hidden="false" customHeight="false" outlineLevel="0" collapsed="false">
      <c r="A11572" s="7" t="s">
        <v>31</v>
      </c>
      <c r="B11572" s="7" t="s">
        <v>161</v>
      </c>
      <c r="C11572" s="7" t="s">
        <v>1048</v>
      </c>
      <c r="D11572" s="7" t="n">
        <v>100</v>
      </c>
      <c r="E11572" s="7" t="n">
        <v>3275.88</v>
      </c>
      <c r="F11572" s="7" t="n">
        <v>0</v>
      </c>
      <c r="G11572" s="7" t="n">
        <v>0</v>
      </c>
    </row>
    <row r="11573" customFormat="false" ht="15" hidden="false" customHeight="false" outlineLevel="0" collapsed="false">
      <c r="A11573" s="7" t="s">
        <v>31</v>
      </c>
      <c r="B11573" s="7" t="s">
        <v>161</v>
      </c>
      <c r="C11573" s="7" t="s">
        <v>1048</v>
      </c>
      <c r="D11573" s="7" t="n">
        <v>80</v>
      </c>
      <c r="E11573" s="7" t="n">
        <v>2892.31</v>
      </c>
      <c r="F11573" s="7" t="n">
        <v>0</v>
      </c>
      <c r="G11573" s="7" t="n">
        <v>0</v>
      </c>
    </row>
    <row r="11574" customFormat="false" ht="15" hidden="false" customHeight="false" outlineLevel="0" collapsed="false">
      <c r="A11574" s="7" t="s">
        <v>31</v>
      </c>
      <c r="B11574" s="7" t="s">
        <v>161</v>
      </c>
      <c r="C11574" s="7" t="s">
        <v>1048</v>
      </c>
      <c r="D11574" s="7" t="n">
        <v>60</v>
      </c>
      <c r="E11574" s="7" t="n">
        <v>2052.13</v>
      </c>
      <c r="F11574" s="7" t="n">
        <v>0</v>
      </c>
      <c r="G11574" s="7" t="n">
        <v>0</v>
      </c>
    </row>
    <row r="11575" customFormat="false" ht="15" hidden="false" customHeight="false" outlineLevel="0" collapsed="false">
      <c r="A11575" s="7" t="s">
        <v>31</v>
      </c>
      <c r="B11575" s="7" t="s">
        <v>161</v>
      </c>
      <c r="C11575" s="7" t="s">
        <v>1048</v>
      </c>
      <c r="D11575" s="7" t="n">
        <v>0</v>
      </c>
      <c r="E11575" s="7" t="n">
        <v>0</v>
      </c>
      <c r="F11575" s="7" t="n">
        <v>60</v>
      </c>
      <c r="G11575" s="7" t="n">
        <v>1796.1</v>
      </c>
    </row>
    <row r="11576" customFormat="false" ht="15" hidden="false" customHeight="false" outlineLevel="0" collapsed="false">
      <c r="A11576" s="7" t="s">
        <v>31</v>
      </c>
      <c r="B11576" s="7" t="s">
        <v>792</v>
      </c>
      <c r="C11576" s="7" t="s">
        <v>1142</v>
      </c>
      <c r="D11576" s="7" t="n">
        <v>0</v>
      </c>
      <c r="E11576" s="7" t="n">
        <v>0</v>
      </c>
      <c r="F11576" s="7" t="n">
        <v>6</v>
      </c>
      <c r="G11576" s="7" t="n">
        <v>188.87</v>
      </c>
    </row>
    <row r="11577" customFormat="false" ht="15" hidden="false" customHeight="false" outlineLevel="0" collapsed="false">
      <c r="A11577" s="7" t="s">
        <v>31</v>
      </c>
      <c r="B11577" s="7" t="s">
        <v>792</v>
      </c>
      <c r="C11577" s="7" t="s">
        <v>1142</v>
      </c>
      <c r="D11577" s="7" t="n">
        <v>0</v>
      </c>
      <c r="E11577" s="7" t="n">
        <v>0</v>
      </c>
      <c r="F11577" s="7" t="n">
        <v>10</v>
      </c>
      <c r="G11577" s="7" t="n">
        <v>316.23</v>
      </c>
    </row>
    <row r="11578" customFormat="false" ht="15" hidden="false" customHeight="false" outlineLevel="0" collapsed="false">
      <c r="A11578" s="7" t="s">
        <v>31</v>
      </c>
      <c r="B11578" s="7" t="s">
        <v>792</v>
      </c>
      <c r="C11578" s="7" t="s">
        <v>1142</v>
      </c>
      <c r="D11578" s="7" t="n">
        <v>0</v>
      </c>
      <c r="E11578" s="7" t="n">
        <v>0</v>
      </c>
      <c r="F11578" s="7" t="n">
        <v>15</v>
      </c>
      <c r="G11578" s="7" t="n">
        <v>506.6</v>
      </c>
    </row>
    <row r="11579" customFormat="false" ht="15" hidden="false" customHeight="false" outlineLevel="0" collapsed="false">
      <c r="A11579" s="7" t="s">
        <v>31</v>
      </c>
      <c r="B11579" s="7" t="s">
        <v>792</v>
      </c>
      <c r="C11579" s="7" t="s">
        <v>1142</v>
      </c>
      <c r="D11579" s="7" t="n">
        <v>10</v>
      </c>
      <c r="E11579" s="7" t="n">
        <v>346.07</v>
      </c>
      <c r="F11579" s="7" t="n">
        <v>0</v>
      </c>
      <c r="G11579" s="7" t="n">
        <v>0</v>
      </c>
    </row>
    <row r="11580" customFormat="false" ht="15" hidden="false" customHeight="false" outlineLevel="0" collapsed="false">
      <c r="A11580" s="7" t="s">
        <v>31</v>
      </c>
      <c r="B11580" s="7" t="s">
        <v>792</v>
      </c>
      <c r="C11580" s="7" t="s">
        <v>1142</v>
      </c>
      <c r="D11580" s="7" t="n">
        <v>6</v>
      </c>
      <c r="E11580" s="7" t="n">
        <v>209.1</v>
      </c>
      <c r="F11580" s="7" t="n">
        <v>0</v>
      </c>
      <c r="G11580" s="7" t="n">
        <v>0</v>
      </c>
    </row>
    <row r="11581" customFormat="false" ht="15" hidden="false" customHeight="false" outlineLevel="0" collapsed="false">
      <c r="A11581" s="7" t="s">
        <v>31</v>
      </c>
      <c r="B11581" s="7" t="s">
        <v>614</v>
      </c>
      <c r="C11581" s="7" t="s">
        <v>1142</v>
      </c>
      <c r="D11581" s="7" t="n">
        <v>20</v>
      </c>
      <c r="E11581" s="7" t="n">
        <v>763.87</v>
      </c>
      <c r="F11581" s="7" t="n">
        <v>0</v>
      </c>
      <c r="G11581" s="7" t="n">
        <v>0</v>
      </c>
    </row>
    <row r="11582" customFormat="false" ht="15" hidden="false" customHeight="false" outlineLevel="0" collapsed="false">
      <c r="A11582" s="7" t="s">
        <v>31</v>
      </c>
      <c r="B11582" s="7" t="s">
        <v>614</v>
      </c>
      <c r="C11582" s="7" t="s">
        <v>1142</v>
      </c>
      <c r="D11582" s="7" t="n">
        <v>0</v>
      </c>
      <c r="E11582" s="7" t="n">
        <v>0</v>
      </c>
      <c r="F11582" s="7" t="n">
        <v>15</v>
      </c>
      <c r="G11582" s="7" t="n">
        <v>472.18</v>
      </c>
    </row>
    <row r="11583" customFormat="false" ht="15" hidden="false" customHeight="false" outlineLevel="0" collapsed="false">
      <c r="A11583" s="7" t="s">
        <v>31</v>
      </c>
      <c r="B11583" s="7" t="s">
        <v>614</v>
      </c>
      <c r="C11583" s="7" t="s">
        <v>1142</v>
      </c>
      <c r="D11583" s="7" t="n">
        <v>15</v>
      </c>
      <c r="E11583" s="7" t="n">
        <v>519.1</v>
      </c>
      <c r="F11583" s="7" t="n">
        <v>0</v>
      </c>
      <c r="G11583" s="7" t="n">
        <v>0</v>
      </c>
    </row>
    <row r="11584" customFormat="false" ht="15" hidden="false" customHeight="false" outlineLevel="0" collapsed="false">
      <c r="A11584" s="7" t="s">
        <v>31</v>
      </c>
      <c r="B11584" s="7" t="s">
        <v>614</v>
      </c>
      <c r="C11584" s="7" t="s">
        <v>1142</v>
      </c>
      <c r="D11584" s="7" t="n">
        <v>0</v>
      </c>
      <c r="E11584" s="7" t="n">
        <v>0</v>
      </c>
      <c r="F11584" s="7" t="n">
        <v>15</v>
      </c>
      <c r="G11584" s="7" t="n">
        <v>474.35</v>
      </c>
    </row>
    <row r="11585" customFormat="false" ht="15" hidden="false" customHeight="false" outlineLevel="0" collapsed="false">
      <c r="A11585" s="7" t="s">
        <v>31</v>
      </c>
      <c r="B11585" s="7" t="s">
        <v>614</v>
      </c>
      <c r="C11585" s="7" t="s">
        <v>1142</v>
      </c>
      <c r="D11585" s="7" t="n">
        <v>10</v>
      </c>
      <c r="E11585" s="7" t="n">
        <v>363.66</v>
      </c>
      <c r="F11585" s="7" t="n">
        <v>0</v>
      </c>
      <c r="G11585" s="7" t="n">
        <v>0</v>
      </c>
    </row>
    <row r="11586" customFormat="false" ht="15" hidden="false" customHeight="false" outlineLevel="0" collapsed="false">
      <c r="A11586" s="7" t="s">
        <v>31</v>
      </c>
      <c r="B11586" s="7" t="s">
        <v>614</v>
      </c>
      <c r="C11586" s="7" t="s">
        <v>1142</v>
      </c>
      <c r="D11586" s="7" t="n">
        <v>6</v>
      </c>
      <c r="E11586" s="7" t="n">
        <v>209.1</v>
      </c>
      <c r="F11586" s="7" t="n">
        <v>0</v>
      </c>
      <c r="G11586" s="7" t="n">
        <v>0</v>
      </c>
    </row>
    <row r="11587" customFormat="false" ht="15" hidden="false" customHeight="false" outlineLevel="0" collapsed="false">
      <c r="A11587" s="7" t="s">
        <v>31</v>
      </c>
      <c r="B11587" s="7" t="s">
        <v>614</v>
      </c>
      <c r="C11587" s="7" t="s">
        <v>1142</v>
      </c>
      <c r="D11587" s="7" t="n">
        <v>10</v>
      </c>
      <c r="E11587" s="7" t="n">
        <v>361.31</v>
      </c>
      <c r="F11587" s="7" t="n">
        <v>0</v>
      </c>
      <c r="G11587" s="7" t="n">
        <v>0</v>
      </c>
    </row>
    <row r="11588" customFormat="false" ht="15" hidden="false" customHeight="false" outlineLevel="0" collapsed="false">
      <c r="A11588" s="7" t="s">
        <v>31</v>
      </c>
      <c r="B11588" s="7" t="s">
        <v>614</v>
      </c>
      <c r="C11588" s="7" t="s">
        <v>1142</v>
      </c>
      <c r="D11588" s="7" t="n">
        <v>0</v>
      </c>
      <c r="E11588" s="7" t="n">
        <v>0</v>
      </c>
      <c r="F11588" s="7" t="n">
        <v>15</v>
      </c>
      <c r="G11588" s="7" t="n">
        <v>506.6</v>
      </c>
    </row>
    <row r="11589" customFormat="false" ht="15" hidden="false" customHeight="false" outlineLevel="0" collapsed="false">
      <c r="A11589" s="7" t="s">
        <v>31</v>
      </c>
      <c r="B11589" s="7" t="s">
        <v>429</v>
      </c>
      <c r="C11589" s="7" t="s">
        <v>1142</v>
      </c>
      <c r="D11589" s="7" t="n">
        <v>6</v>
      </c>
      <c r="E11589" s="7" t="n">
        <v>207.64</v>
      </c>
      <c r="F11589" s="7" t="n">
        <v>0</v>
      </c>
      <c r="G11589" s="7" t="n">
        <v>0</v>
      </c>
    </row>
    <row r="11590" customFormat="false" ht="15" hidden="false" customHeight="false" outlineLevel="0" collapsed="false">
      <c r="A11590" s="7" t="s">
        <v>31</v>
      </c>
      <c r="B11590" s="7" t="s">
        <v>429</v>
      </c>
      <c r="C11590" s="7" t="s">
        <v>1142</v>
      </c>
      <c r="D11590" s="7" t="n">
        <v>0</v>
      </c>
      <c r="E11590" s="7" t="n">
        <v>0</v>
      </c>
      <c r="F11590" s="7" t="n">
        <v>25</v>
      </c>
      <c r="G11590" s="7" t="n">
        <v>825.44</v>
      </c>
    </row>
    <row r="11591" customFormat="false" ht="15" hidden="false" customHeight="false" outlineLevel="0" collapsed="false">
      <c r="A11591" s="7" t="s">
        <v>31</v>
      </c>
      <c r="B11591" s="7" t="s">
        <v>429</v>
      </c>
      <c r="C11591" s="7" t="s">
        <v>1142</v>
      </c>
      <c r="D11591" s="7" t="n">
        <v>0</v>
      </c>
      <c r="E11591" s="7" t="n">
        <v>0</v>
      </c>
      <c r="F11591" s="7" t="n">
        <v>10</v>
      </c>
      <c r="G11591" s="7" t="n">
        <v>316.23</v>
      </c>
    </row>
    <row r="11592" customFormat="false" ht="15" hidden="false" customHeight="false" outlineLevel="0" collapsed="false">
      <c r="A11592" s="7" t="s">
        <v>31</v>
      </c>
      <c r="B11592" s="7" t="s">
        <v>429</v>
      </c>
      <c r="C11592" s="7" t="s">
        <v>1142</v>
      </c>
      <c r="D11592" s="7" t="n">
        <v>6</v>
      </c>
      <c r="E11592" s="7" t="n">
        <v>218.2</v>
      </c>
      <c r="F11592" s="7" t="n">
        <v>0</v>
      </c>
      <c r="G11592" s="7" t="n">
        <v>0</v>
      </c>
    </row>
    <row r="11593" customFormat="false" ht="15" hidden="false" customHeight="false" outlineLevel="0" collapsed="false">
      <c r="A11593" s="7" t="s">
        <v>31</v>
      </c>
      <c r="B11593" s="7" t="s">
        <v>429</v>
      </c>
      <c r="C11593" s="7" t="s">
        <v>1142</v>
      </c>
      <c r="D11593" s="7" t="n">
        <v>15</v>
      </c>
      <c r="E11593" s="7" t="n">
        <v>541.97</v>
      </c>
      <c r="F11593" s="7" t="n">
        <v>0</v>
      </c>
      <c r="G11593" s="7" t="n">
        <v>0</v>
      </c>
    </row>
    <row r="11594" customFormat="false" ht="15" hidden="false" customHeight="false" outlineLevel="0" collapsed="false">
      <c r="A11594" s="7" t="s">
        <v>31</v>
      </c>
      <c r="B11594" s="7" t="s">
        <v>429</v>
      </c>
      <c r="C11594" s="7" t="s">
        <v>1142</v>
      </c>
      <c r="D11594" s="7" t="n">
        <v>0</v>
      </c>
      <c r="E11594" s="7" t="n">
        <v>0</v>
      </c>
      <c r="F11594" s="7" t="n">
        <v>15</v>
      </c>
      <c r="G11594" s="7" t="n">
        <v>472.18</v>
      </c>
    </row>
    <row r="11595" customFormat="false" ht="15" hidden="false" customHeight="false" outlineLevel="0" collapsed="false">
      <c r="A11595" s="7" t="s">
        <v>31</v>
      </c>
      <c r="B11595" s="7" t="s">
        <v>429</v>
      </c>
      <c r="C11595" s="7" t="s">
        <v>1142</v>
      </c>
      <c r="D11595" s="7" t="n">
        <v>0</v>
      </c>
      <c r="E11595" s="7" t="n">
        <v>0</v>
      </c>
      <c r="F11595" s="7" t="n">
        <v>10</v>
      </c>
      <c r="G11595" s="7" t="n">
        <v>337.73</v>
      </c>
    </row>
    <row r="11596" customFormat="false" ht="15" hidden="false" customHeight="false" outlineLevel="0" collapsed="false">
      <c r="A11596" s="7" t="s">
        <v>31</v>
      </c>
      <c r="B11596" s="7" t="s">
        <v>477</v>
      </c>
      <c r="C11596" s="7" t="s">
        <v>1142</v>
      </c>
      <c r="D11596" s="7" t="n">
        <v>0</v>
      </c>
      <c r="E11596" s="7" t="n">
        <v>0</v>
      </c>
      <c r="F11596" s="7" t="n">
        <v>6</v>
      </c>
      <c r="G11596" s="7" t="n">
        <v>202.64</v>
      </c>
    </row>
    <row r="11597" customFormat="false" ht="15" hidden="false" customHeight="false" outlineLevel="0" collapsed="false">
      <c r="A11597" s="7" t="s">
        <v>31</v>
      </c>
      <c r="B11597" s="7" t="s">
        <v>477</v>
      </c>
      <c r="C11597" s="7" t="s">
        <v>1142</v>
      </c>
      <c r="D11597" s="7" t="n">
        <v>0</v>
      </c>
      <c r="E11597" s="7" t="n">
        <v>0</v>
      </c>
      <c r="F11597" s="7" t="n">
        <v>6</v>
      </c>
      <c r="G11597" s="7" t="n">
        <v>189.74</v>
      </c>
    </row>
    <row r="11598" customFormat="false" ht="15" hidden="false" customHeight="false" outlineLevel="0" collapsed="false">
      <c r="A11598" s="7" t="s">
        <v>31</v>
      </c>
      <c r="B11598" s="7" t="s">
        <v>615</v>
      </c>
      <c r="C11598" s="7" t="s">
        <v>1212</v>
      </c>
      <c r="D11598" s="7" t="n">
        <v>10</v>
      </c>
      <c r="E11598" s="7" t="n">
        <v>296.42</v>
      </c>
      <c r="F11598" s="7" t="n">
        <v>0</v>
      </c>
      <c r="G11598" s="7" t="n">
        <v>0</v>
      </c>
    </row>
    <row r="11599" customFormat="false" ht="15" hidden="false" customHeight="false" outlineLevel="0" collapsed="false">
      <c r="A11599" s="7" t="s">
        <v>31</v>
      </c>
      <c r="B11599" s="7" t="s">
        <v>450</v>
      </c>
      <c r="C11599" s="7" t="s">
        <v>1212</v>
      </c>
      <c r="D11599" s="7" t="n">
        <v>10</v>
      </c>
      <c r="E11599" s="7" t="n">
        <v>296.42</v>
      </c>
      <c r="F11599" s="7" t="n">
        <v>0</v>
      </c>
      <c r="G11599" s="7" t="n">
        <v>0</v>
      </c>
    </row>
    <row r="11600" customFormat="false" ht="15" hidden="false" customHeight="false" outlineLevel="0" collapsed="false">
      <c r="A11600" s="7" t="s">
        <v>31</v>
      </c>
      <c r="B11600" s="7" t="s">
        <v>944</v>
      </c>
      <c r="C11600" s="7" t="s">
        <v>1212</v>
      </c>
      <c r="D11600" s="7" t="n">
        <v>6</v>
      </c>
      <c r="E11600" s="7" t="n">
        <v>177.85</v>
      </c>
      <c r="F11600" s="7" t="n">
        <v>0</v>
      </c>
      <c r="G11600" s="7" t="n">
        <v>0</v>
      </c>
    </row>
    <row r="11601" customFormat="false" ht="15" hidden="false" customHeight="false" outlineLevel="0" collapsed="false">
      <c r="A11601" s="7" t="s">
        <v>31</v>
      </c>
      <c r="B11601" s="7" t="s">
        <v>469</v>
      </c>
      <c r="C11601" s="7" t="s">
        <v>1143</v>
      </c>
      <c r="D11601" s="7" t="n">
        <v>50</v>
      </c>
      <c r="E11601" s="7" t="n">
        <v>1328</v>
      </c>
      <c r="F11601" s="7" t="n">
        <v>0</v>
      </c>
      <c r="G11601" s="7" t="n">
        <v>0</v>
      </c>
    </row>
    <row r="11602" customFormat="false" ht="15" hidden="false" customHeight="false" outlineLevel="0" collapsed="false">
      <c r="A11602" s="7" t="s">
        <v>31</v>
      </c>
      <c r="B11602" s="7" t="s">
        <v>469</v>
      </c>
      <c r="C11602" s="7" t="s">
        <v>1143</v>
      </c>
      <c r="D11602" s="7" t="n">
        <v>20</v>
      </c>
      <c r="E11602" s="7" t="n">
        <v>527.5</v>
      </c>
      <c r="F11602" s="7" t="n">
        <v>0</v>
      </c>
      <c r="G11602" s="7" t="n">
        <v>0</v>
      </c>
    </row>
    <row r="11603" customFormat="false" ht="15" hidden="false" customHeight="false" outlineLevel="0" collapsed="false">
      <c r="A11603" s="7" t="s">
        <v>31</v>
      </c>
      <c r="B11603" s="7" t="s">
        <v>469</v>
      </c>
      <c r="C11603" s="7" t="s">
        <v>1143</v>
      </c>
      <c r="D11603" s="7" t="n">
        <v>25</v>
      </c>
      <c r="E11603" s="7" t="n">
        <v>692.9</v>
      </c>
      <c r="F11603" s="7" t="n">
        <v>0</v>
      </c>
      <c r="G11603" s="7" t="n">
        <v>0</v>
      </c>
    </row>
    <row r="11604" customFormat="false" ht="15" hidden="false" customHeight="false" outlineLevel="0" collapsed="false">
      <c r="A11604" s="7" t="s">
        <v>31</v>
      </c>
      <c r="B11604" s="7" t="s">
        <v>469</v>
      </c>
      <c r="C11604" s="7" t="s">
        <v>1143</v>
      </c>
      <c r="D11604" s="7" t="n">
        <v>0</v>
      </c>
      <c r="E11604" s="7" t="n">
        <v>0</v>
      </c>
      <c r="F11604" s="7" t="n">
        <v>50</v>
      </c>
      <c r="G11604" s="7" t="n">
        <v>1205.07</v>
      </c>
    </row>
    <row r="11605" customFormat="false" ht="15" hidden="false" customHeight="false" outlineLevel="0" collapsed="false">
      <c r="A11605" s="7" t="s">
        <v>31</v>
      </c>
      <c r="B11605" s="7" t="s">
        <v>469</v>
      </c>
      <c r="C11605" s="7" t="s">
        <v>1143</v>
      </c>
      <c r="D11605" s="7" t="n">
        <v>0</v>
      </c>
      <c r="E11605" s="7" t="n">
        <v>0</v>
      </c>
      <c r="F11605" s="7" t="n">
        <v>70</v>
      </c>
      <c r="G11605" s="7" t="n">
        <v>1679.35</v>
      </c>
    </row>
    <row r="11606" customFormat="false" ht="15" hidden="false" customHeight="false" outlineLevel="0" collapsed="false">
      <c r="A11606" s="7" t="s">
        <v>31</v>
      </c>
      <c r="B11606" s="7" t="s">
        <v>469</v>
      </c>
      <c r="C11606" s="7" t="s">
        <v>1143</v>
      </c>
      <c r="D11606" s="7" t="n">
        <v>25</v>
      </c>
      <c r="E11606" s="7" t="n">
        <v>727.71</v>
      </c>
      <c r="F11606" s="7" t="n">
        <v>0</v>
      </c>
      <c r="G11606" s="7" t="n">
        <v>0</v>
      </c>
    </row>
    <row r="11607" customFormat="false" ht="15" hidden="false" customHeight="false" outlineLevel="0" collapsed="false">
      <c r="A11607" s="7" t="s">
        <v>31</v>
      </c>
      <c r="B11607" s="7" t="s">
        <v>469</v>
      </c>
      <c r="C11607" s="7" t="s">
        <v>1143</v>
      </c>
      <c r="D11607" s="7" t="n">
        <v>0</v>
      </c>
      <c r="E11607" s="7" t="n">
        <v>0</v>
      </c>
      <c r="F11607" s="7" t="n">
        <v>50</v>
      </c>
      <c r="G11607" s="7" t="n">
        <v>1258.21</v>
      </c>
    </row>
    <row r="11608" customFormat="false" ht="15" hidden="false" customHeight="false" outlineLevel="0" collapsed="false">
      <c r="A11608" s="7" t="s">
        <v>31</v>
      </c>
      <c r="B11608" s="7" t="s">
        <v>342</v>
      </c>
      <c r="C11608" s="7" t="s">
        <v>1143</v>
      </c>
      <c r="D11608" s="7" t="n">
        <v>15</v>
      </c>
      <c r="E11608" s="7" t="n">
        <v>408.82</v>
      </c>
      <c r="F11608" s="7" t="n">
        <v>0</v>
      </c>
      <c r="G11608" s="7" t="n">
        <v>0</v>
      </c>
    </row>
    <row r="11609" customFormat="false" ht="15" hidden="false" customHeight="false" outlineLevel="0" collapsed="false">
      <c r="A11609" s="7" t="s">
        <v>31</v>
      </c>
      <c r="B11609" s="7" t="s">
        <v>342</v>
      </c>
      <c r="C11609" s="7" t="s">
        <v>1143</v>
      </c>
      <c r="D11609" s="7" t="n">
        <v>10</v>
      </c>
      <c r="E11609" s="7" t="n">
        <v>257.83</v>
      </c>
      <c r="F11609" s="7" t="n">
        <v>0</v>
      </c>
      <c r="G11609" s="7" t="n">
        <v>0</v>
      </c>
    </row>
    <row r="11610" customFormat="false" ht="15" hidden="false" customHeight="false" outlineLevel="0" collapsed="false">
      <c r="A11610" s="7" t="s">
        <v>31</v>
      </c>
      <c r="B11610" s="7" t="s">
        <v>342</v>
      </c>
      <c r="C11610" s="7" t="s">
        <v>1143</v>
      </c>
      <c r="D11610" s="7" t="n">
        <v>30</v>
      </c>
      <c r="E11610" s="7" t="n">
        <v>746.06</v>
      </c>
      <c r="F11610" s="7" t="n">
        <v>0</v>
      </c>
      <c r="G11610" s="7" t="n">
        <v>0</v>
      </c>
    </row>
    <row r="11611" customFormat="false" ht="15" hidden="false" customHeight="false" outlineLevel="0" collapsed="false">
      <c r="A11611" s="7" t="s">
        <v>31</v>
      </c>
      <c r="B11611" s="7" t="s">
        <v>342</v>
      </c>
      <c r="C11611" s="7" t="s">
        <v>1143</v>
      </c>
      <c r="D11611" s="7" t="n">
        <v>35</v>
      </c>
      <c r="E11611" s="7" t="n">
        <v>908.27</v>
      </c>
      <c r="F11611" s="7" t="n">
        <v>0</v>
      </c>
      <c r="G11611" s="7" t="n">
        <v>0</v>
      </c>
    </row>
    <row r="11612" customFormat="false" ht="15" hidden="false" customHeight="false" outlineLevel="0" collapsed="false">
      <c r="A11612" s="7" t="s">
        <v>31</v>
      </c>
      <c r="B11612" s="7" t="s">
        <v>342</v>
      </c>
      <c r="C11612" s="7" t="s">
        <v>1143</v>
      </c>
      <c r="D11612" s="7" t="n">
        <v>0</v>
      </c>
      <c r="E11612" s="7" t="n">
        <v>0</v>
      </c>
      <c r="F11612" s="7" t="n">
        <v>90</v>
      </c>
      <c r="G11612" s="7" t="n">
        <v>2120.52</v>
      </c>
    </row>
    <row r="11613" customFormat="false" ht="15" hidden="false" customHeight="false" outlineLevel="0" collapsed="false">
      <c r="A11613" s="7" t="s">
        <v>31</v>
      </c>
      <c r="B11613" s="7" t="s">
        <v>342</v>
      </c>
      <c r="C11613" s="7" t="s">
        <v>1143</v>
      </c>
      <c r="D11613" s="7" t="n">
        <v>0</v>
      </c>
      <c r="E11613" s="7" t="n">
        <v>0</v>
      </c>
      <c r="F11613" s="7" t="n">
        <v>10</v>
      </c>
      <c r="G11613" s="7" t="n">
        <v>241</v>
      </c>
    </row>
    <row r="11614" customFormat="false" ht="15" hidden="false" customHeight="false" outlineLevel="0" collapsed="false">
      <c r="A11614" s="7" t="s">
        <v>31</v>
      </c>
      <c r="B11614" s="7" t="s">
        <v>361</v>
      </c>
      <c r="C11614" s="7" t="s">
        <v>1083</v>
      </c>
      <c r="D11614" s="7" t="n">
        <v>0</v>
      </c>
      <c r="E11614" s="7" t="n">
        <v>0</v>
      </c>
      <c r="F11614" s="7" t="n">
        <v>6</v>
      </c>
      <c r="G11614" s="7" t="n">
        <v>194.77</v>
      </c>
    </row>
    <row r="11615" customFormat="false" ht="15" hidden="false" customHeight="false" outlineLevel="0" collapsed="false">
      <c r="A11615" s="7" t="s">
        <v>31</v>
      </c>
      <c r="B11615" s="7" t="s">
        <v>361</v>
      </c>
      <c r="C11615" s="7" t="s">
        <v>1083</v>
      </c>
      <c r="D11615" s="7" t="n">
        <v>0</v>
      </c>
      <c r="E11615" s="7" t="n">
        <v>0</v>
      </c>
      <c r="F11615" s="7" t="n">
        <v>6</v>
      </c>
      <c r="G11615" s="7" t="n">
        <v>190.41</v>
      </c>
    </row>
    <row r="11616" customFormat="false" ht="15" hidden="false" customHeight="false" outlineLevel="0" collapsed="false">
      <c r="A11616" s="7" t="s">
        <v>31</v>
      </c>
      <c r="B11616" s="7" t="s">
        <v>361</v>
      </c>
      <c r="C11616" s="7" t="s">
        <v>1083</v>
      </c>
      <c r="D11616" s="7" t="n">
        <v>6</v>
      </c>
      <c r="E11616" s="7" t="n">
        <v>200.98</v>
      </c>
      <c r="F11616" s="7" t="n">
        <v>0</v>
      </c>
      <c r="G11616" s="7" t="n">
        <v>0</v>
      </c>
    </row>
    <row r="11617" customFormat="false" ht="15" hidden="false" customHeight="false" outlineLevel="0" collapsed="false">
      <c r="A11617" s="7" t="s">
        <v>31</v>
      </c>
      <c r="B11617" s="7" t="s">
        <v>361</v>
      </c>
      <c r="C11617" s="7" t="s">
        <v>1083</v>
      </c>
      <c r="D11617" s="7" t="n">
        <v>0</v>
      </c>
      <c r="E11617" s="7" t="n">
        <v>0</v>
      </c>
      <c r="F11617" s="7" t="n">
        <v>15</v>
      </c>
      <c r="G11617" s="7" t="n">
        <v>455.93</v>
      </c>
    </row>
    <row r="11618" customFormat="false" ht="15" hidden="false" customHeight="false" outlineLevel="0" collapsed="false">
      <c r="A11618" s="7" t="s">
        <v>31</v>
      </c>
      <c r="B11618" s="7" t="s">
        <v>319</v>
      </c>
      <c r="C11618" s="7" t="s">
        <v>1083</v>
      </c>
      <c r="D11618" s="7" t="n">
        <v>0</v>
      </c>
      <c r="E11618" s="7" t="n">
        <v>0</v>
      </c>
      <c r="F11618" s="7" t="n">
        <v>20</v>
      </c>
      <c r="G11618" s="7" t="n">
        <v>649.23</v>
      </c>
    </row>
    <row r="11619" customFormat="false" ht="15" hidden="false" customHeight="false" outlineLevel="0" collapsed="false">
      <c r="A11619" s="7" t="s">
        <v>31</v>
      </c>
      <c r="B11619" s="7" t="s">
        <v>319</v>
      </c>
      <c r="C11619" s="7" t="s">
        <v>1083</v>
      </c>
      <c r="D11619" s="7" t="n">
        <v>0</v>
      </c>
      <c r="E11619" s="7" t="n">
        <v>0</v>
      </c>
      <c r="F11619" s="7" t="n">
        <v>13</v>
      </c>
      <c r="G11619" s="7" t="n">
        <v>395.15</v>
      </c>
    </row>
    <row r="11620" customFormat="false" ht="15" hidden="false" customHeight="false" outlineLevel="0" collapsed="false">
      <c r="A11620" s="7" t="s">
        <v>31</v>
      </c>
      <c r="B11620" s="7" t="s">
        <v>319</v>
      </c>
      <c r="C11620" s="7" t="s">
        <v>1083</v>
      </c>
      <c r="D11620" s="7" t="n">
        <v>12</v>
      </c>
      <c r="E11620" s="7" t="n">
        <v>401.96</v>
      </c>
      <c r="F11620" s="7" t="n">
        <v>0</v>
      </c>
      <c r="G11620" s="7" t="n">
        <v>0</v>
      </c>
    </row>
    <row r="11621" customFormat="false" ht="15" hidden="false" customHeight="false" outlineLevel="0" collapsed="false">
      <c r="A11621" s="7" t="s">
        <v>31</v>
      </c>
      <c r="B11621" s="7" t="s">
        <v>319</v>
      </c>
      <c r="C11621" s="7" t="s">
        <v>1083</v>
      </c>
      <c r="D11621" s="7" t="n">
        <v>0</v>
      </c>
      <c r="E11621" s="7" t="n">
        <v>0</v>
      </c>
      <c r="F11621" s="7" t="n">
        <v>12</v>
      </c>
      <c r="G11621" s="7" t="n">
        <v>363.07</v>
      </c>
    </row>
    <row r="11622" customFormat="false" ht="15" hidden="false" customHeight="false" outlineLevel="0" collapsed="false">
      <c r="A11622" s="7" t="s">
        <v>31</v>
      </c>
      <c r="B11622" s="7" t="s">
        <v>319</v>
      </c>
      <c r="C11622" s="7" t="s">
        <v>1083</v>
      </c>
      <c r="D11622" s="7" t="n">
        <v>12</v>
      </c>
      <c r="E11622" s="7" t="n">
        <v>419.44</v>
      </c>
      <c r="F11622" s="7" t="n">
        <v>0</v>
      </c>
      <c r="G11622" s="7" t="n">
        <v>0</v>
      </c>
    </row>
    <row r="11623" customFormat="false" ht="15" hidden="false" customHeight="false" outlineLevel="0" collapsed="false">
      <c r="A11623" s="7" t="s">
        <v>31</v>
      </c>
      <c r="B11623" s="7" t="s">
        <v>319</v>
      </c>
      <c r="C11623" s="7" t="s">
        <v>1083</v>
      </c>
      <c r="D11623" s="7" t="n">
        <v>0</v>
      </c>
      <c r="E11623" s="7" t="n">
        <v>0</v>
      </c>
      <c r="F11623" s="7" t="n">
        <v>50</v>
      </c>
      <c r="G11623" s="7" t="n">
        <v>1586.78</v>
      </c>
    </row>
    <row r="11624" customFormat="false" ht="15" hidden="false" customHeight="false" outlineLevel="0" collapsed="false">
      <c r="A11624" s="7" t="s">
        <v>31</v>
      </c>
      <c r="B11624" s="7" t="s">
        <v>319</v>
      </c>
      <c r="C11624" s="7" t="s">
        <v>1083</v>
      </c>
      <c r="D11624" s="7" t="n">
        <v>15</v>
      </c>
      <c r="E11624" s="7" t="n">
        <v>498.94</v>
      </c>
      <c r="F11624" s="7" t="n">
        <v>0</v>
      </c>
      <c r="G11624" s="7" t="n">
        <v>0</v>
      </c>
    </row>
    <row r="11625" customFormat="false" ht="15" hidden="false" customHeight="false" outlineLevel="0" collapsed="false">
      <c r="A11625" s="7" t="s">
        <v>31</v>
      </c>
      <c r="B11625" s="7" t="s">
        <v>319</v>
      </c>
      <c r="C11625" s="7" t="s">
        <v>1083</v>
      </c>
      <c r="D11625" s="7" t="n">
        <v>6</v>
      </c>
      <c r="E11625" s="7" t="n">
        <v>208.37</v>
      </c>
      <c r="F11625" s="7" t="n">
        <v>0</v>
      </c>
      <c r="G11625" s="7" t="n">
        <v>0</v>
      </c>
    </row>
    <row r="11626" customFormat="false" ht="15" hidden="false" customHeight="false" outlineLevel="0" collapsed="false">
      <c r="A11626" s="7" t="s">
        <v>31</v>
      </c>
      <c r="B11626" s="7" t="s">
        <v>319</v>
      </c>
      <c r="C11626" s="7" t="s">
        <v>1083</v>
      </c>
      <c r="D11626" s="7" t="n">
        <v>30</v>
      </c>
      <c r="E11626" s="7" t="n">
        <v>1101.3</v>
      </c>
      <c r="F11626" s="7" t="n">
        <v>0</v>
      </c>
      <c r="G11626" s="7" t="n">
        <v>0</v>
      </c>
    </row>
    <row r="11627" customFormat="false" ht="15" hidden="false" customHeight="false" outlineLevel="0" collapsed="false">
      <c r="A11627" s="7" t="s">
        <v>31</v>
      </c>
      <c r="B11627" s="7" t="s">
        <v>208</v>
      </c>
      <c r="C11627" s="7" t="s">
        <v>1083</v>
      </c>
      <c r="D11627" s="7" t="n">
        <v>10</v>
      </c>
      <c r="E11627" s="7" t="n">
        <v>347.28</v>
      </c>
      <c r="F11627" s="7" t="n">
        <v>0</v>
      </c>
      <c r="G11627" s="7" t="n">
        <v>0</v>
      </c>
    </row>
    <row r="11628" customFormat="false" ht="15" hidden="false" customHeight="false" outlineLevel="0" collapsed="false">
      <c r="A11628" s="7" t="s">
        <v>31</v>
      </c>
      <c r="B11628" s="7" t="s">
        <v>208</v>
      </c>
      <c r="C11628" s="7" t="s">
        <v>1083</v>
      </c>
      <c r="D11628" s="7" t="n">
        <v>0</v>
      </c>
      <c r="E11628" s="7" t="n">
        <v>0</v>
      </c>
      <c r="F11628" s="7" t="n">
        <v>25</v>
      </c>
      <c r="G11628" s="7" t="n">
        <v>756.4</v>
      </c>
    </row>
    <row r="11629" customFormat="false" ht="15" hidden="false" customHeight="false" outlineLevel="0" collapsed="false">
      <c r="A11629" s="7" t="s">
        <v>31</v>
      </c>
      <c r="B11629" s="7" t="s">
        <v>208</v>
      </c>
      <c r="C11629" s="7" t="s">
        <v>1083</v>
      </c>
      <c r="D11629" s="7" t="n">
        <v>20</v>
      </c>
      <c r="E11629" s="7" t="n">
        <v>699.07</v>
      </c>
      <c r="F11629" s="7" t="n">
        <v>0</v>
      </c>
      <c r="G11629" s="7" t="n">
        <v>0</v>
      </c>
    </row>
    <row r="11630" customFormat="false" ht="15" hidden="false" customHeight="false" outlineLevel="0" collapsed="false">
      <c r="A11630" s="7" t="s">
        <v>31</v>
      </c>
      <c r="B11630" s="7" t="s">
        <v>208</v>
      </c>
      <c r="C11630" s="7" t="s">
        <v>1083</v>
      </c>
      <c r="D11630" s="7" t="n">
        <v>20</v>
      </c>
      <c r="E11630" s="7" t="n">
        <v>665.25</v>
      </c>
      <c r="F11630" s="7" t="n">
        <v>0</v>
      </c>
      <c r="G11630" s="7" t="n">
        <v>0</v>
      </c>
    </row>
    <row r="11631" customFormat="false" ht="15" hidden="false" customHeight="false" outlineLevel="0" collapsed="false">
      <c r="A11631" s="7" t="s">
        <v>31</v>
      </c>
      <c r="B11631" s="7" t="s">
        <v>208</v>
      </c>
      <c r="C11631" s="7" t="s">
        <v>1083</v>
      </c>
      <c r="D11631" s="7" t="n">
        <v>0</v>
      </c>
      <c r="E11631" s="7" t="n">
        <v>0</v>
      </c>
      <c r="F11631" s="7" t="n">
        <v>40</v>
      </c>
      <c r="G11631" s="7" t="n">
        <v>1215.82</v>
      </c>
    </row>
    <row r="11632" customFormat="false" ht="15" hidden="false" customHeight="false" outlineLevel="0" collapsed="false">
      <c r="A11632" s="7" t="s">
        <v>31</v>
      </c>
      <c r="B11632" s="7" t="s">
        <v>208</v>
      </c>
      <c r="C11632" s="7" t="s">
        <v>1083</v>
      </c>
      <c r="D11632" s="7" t="n">
        <v>10</v>
      </c>
      <c r="E11632" s="7" t="n">
        <v>334.96</v>
      </c>
      <c r="F11632" s="7" t="n">
        <v>0</v>
      </c>
      <c r="G11632" s="7" t="n">
        <v>0</v>
      </c>
    </row>
    <row r="11633" customFormat="false" ht="15" hidden="false" customHeight="false" outlineLevel="0" collapsed="false">
      <c r="A11633" s="7" t="s">
        <v>31</v>
      </c>
      <c r="B11633" s="7" t="s">
        <v>208</v>
      </c>
      <c r="C11633" s="7" t="s">
        <v>1083</v>
      </c>
      <c r="D11633" s="7" t="n">
        <v>0</v>
      </c>
      <c r="E11633" s="7" t="n">
        <v>0</v>
      </c>
      <c r="F11633" s="7" t="n">
        <v>90</v>
      </c>
      <c r="G11633" s="7" t="n">
        <v>2856.2</v>
      </c>
    </row>
    <row r="11634" customFormat="false" ht="15" hidden="false" customHeight="false" outlineLevel="0" collapsed="false">
      <c r="A11634" s="7" t="s">
        <v>31</v>
      </c>
      <c r="B11634" s="7" t="s">
        <v>208</v>
      </c>
      <c r="C11634" s="7" t="s">
        <v>1083</v>
      </c>
      <c r="D11634" s="7" t="n">
        <v>80</v>
      </c>
      <c r="E11634" s="7" t="n">
        <v>2936.81</v>
      </c>
      <c r="F11634" s="7" t="n">
        <v>0</v>
      </c>
      <c r="G11634" s="7" t="n">
        <v>0</v>
      </c>
    </row>
    <row r="11635" customFormat="false" ht="15" hidden="false" customHeight="false" outlineLevel="0" collapsed="false">
      <c r="A11635" s="7" t="s">
        <v>31</v>
      </c>
      <c r="B11635" s="7" t="s">
        <v>208</v>
      </c>
      <c r="C11635" s="7" t="s">
        <v>1083</v>
      </c>
      <c r="D11635" s="7" t="n">
        <v>0</v>
      </c>
      <c r="E11635" s="7" t="n">
        <v>0</v>
      </c>
      <c r="F11635" s="7" t="n">
        <v>25</v>
      </c>
      <c r="G11635" s="7" t="n">
        <v>811.55</v>
      </c>
    </row>
    <row r="11636" customFormat="false" ht="15" hidden="false" customHeight="false" outlineLevel="0" collapsed="false">
      <c r="A11636" s="7" t="s">
        <v>31</v>
      </c>
      <c r="B11636" s="7" t="s">
        <v>162</v>
      </c>
      <c r="C11636" s="7" t="s">
        <v>1083</v>
      </c>
      <c r="D11636" s="7" t="n">
        <v>0</v>
      </c>
      <c r="E11636" s="7" t="n">
        <v>0</v>
      </c>
      <c r="F11636" s="7" t="n">
        <v>30</v>
      </c>
      <c r="G11636" s="7" t="n">
        <v>973.85</v>
      </c>
    </row>
    <row r="11637" customFormat="false" ht="15" hidden="false" customHeight="false" outlineLevel="0" collapsed="false">
      <c r="A11637" s="7" t="s">
        <v>31</v>
      </c>
      <c r="B11637" s="7" t="s">
        <v>162</v>
      </c>
      <c r="C11637" s="7" t="s">
        <v>1083</v>
      </c>
      <c r="D11637" s="7" t="n">
        <v>15</v>
      </c>
      <c r="E11637" s="7" t="n">
        <v>502.44</v>
      </c>
      <c r="F11637" s="7" t="n">
        <v>0</v>
      </c>
      <c r="G11637" s="7" t="n">
        <v>0</v>
      </c>
    </row>
    <row r="11638" customFormat="false" ht="15" hidden="false" customHeight="false" outlineLevel="0" collapsed="false">
      <c r="A11638" s="7" t="s">
        <v>31</v>
      </c>
      <c r="B11638" s="7" t="s">
        <v>162</v>
      </c>
      <c r="C11638" s="7" t="s">
        <v>1083</v>
      </c>
      <c r="D11638" s="7" t="n">
        <v>0</v>
      </c>
      <c r="E11638" s="7" t="n">
        <v>0</v>
      </c>
      <c r="F11638" s="7" t="n">
        <v>25</v>
      </c>
      <c r="G11638" s="7" t="n">
        <v>756.4</v>
      </c>
    </row>
    <row r="11639" customFormat="false" ht="15" hidden="false" customHeight="false" outlineLevel="0" collapsed="false">
      <c r="A11639" s="7" t="s">
        <v>31</v>
      </c>
      <c r="B11639" s="7" t="s">
        <v>162</v>
      </c>
      <c r="C11639" s="7" t="s">
        <v>1083</v>
      </c>
      <c r="D11639" s="7" t="n">
        <v>80</v>
      </c>
      <c r="E11639" s="7" t="n">
        <v>2936.81</v>
      </c>
      <c r="F11639" s="7" t="n">
        <v>0</v>
      </c>
      <c r="G11639" s="7" t="n">
        <v>0</v>
      </c>
    </row>
    <row r="11640" customFormat="false" ht="15" hidden="false" customHeight="false" outlineLevel="0" collapsed="false">
      <c r="A11640" s="7" t="s">
        <v>31</v>
      </c>
      <c r="B11640" s="7" t="s">
        <v>162</v>
      </c>
      <c r="C11640" s="7" t="s">
        <v>1083</v>
      </c>
      <c r="D11640" s="7" t="n">
        <v>0</v>
      </c>
      <c r="E11640" s="7" t="n">
        <v>0</v>
      </c>
      <c r="F11640" s="7" t="n">
        <v>40</v>
      </c>
      <c r="G11640" s="7" t="n">
        <v>1269.42</v>
      </c>
    </row>
    <row r="11641" customFormat="false" ht="15" hidden="false" customHeight="false" outlineLevel="0" collapsed="false">
      <c r="A11641" s="7" t="s">
        <v>31</v>
      </c>
      <c r="B11641" s="7" t="s">
        <v>162</v>
      </c>
      <c r="C11641" s="7" t="s">
        <v>1083</v>
      </c>
      <c r="D11641" s="7" t="n">
        <v>25</v>
      </c>
      <c r="E11641" s="7" t="n">
        <v>831.57</v>
      </c>
      <c r="F11641" s="7" t="n">
        <v>0</v>
      </c>
      <c r="G11641" s="7" t="n">
        <v>0</v>
      </c>
    </row>
    <row r="11642" customFormat="false" ht="15" hidden="false" customHeight="false" outlineLevel="0" collapsed="false">
      <c r="A11642" s="7" t="s">
        <v>31</v>
      </c>
      <c r="B11642" s="7" t="s">
        <v>162</v>
      </c>
      <c r="C11642" s="7" t="s">
        <v>1083</v>
      </c>
      <c r="D11642" s="7" t="n">
        <v>10</v>
      </c>
      <c r="E11642" s="7" t="n">
        <v>347.28</v>
      </c>
      <c r="F11642" s="7" t="n">
        <v>0</v>
      </c>
      <c r="G11642" s="7" t="n">
        <v>0</v>
      </c>
    </row>
    <row r="11643" customFormat="false" ht="15" hidden="false" customHeight="false" outlineLevel="0" collapsed="false">
      <c r="A11643" s="7" t="s">
        <v>31</v>
      </c>
      <c r="B11643" s="7" t="s">
        <v>162</v>
      </c>
      <c r="C11643" s="7" t="s">
        <v>1083</v>
      </c>
      <c r="D11643" s="7" t="n">
        <v>15</v>
      </c>
      <c r="E11643" s="7" t="n">
        <v>524.31</v>
      </c>
      <c r="F11643" s="7" t="n">
        <v>0</v>
      </c>
      <c r="G11643" s="7" t="n">
        <v>0</v>
      </c>
    </row>
    <row r="11644" customFormat="false" ht="15" hidden="false" customHeight="false" outlineLevel="0" collapsed="false">
      <c r="A11644" s="7" t="s">
        <v>31</v>
      </c>
      <c r="B11644" s="7" t="s">
        <v>162</v>
      </c>
      <c r="C11644" s="7" t="s">
        <v>1083</v>
      </c>
      <c r="D11644" s="7" t="n">
        <v>0</v>
      </c>
      <c r="E11644" s="7" t="n">
        <v>0</v>
      </c>
      <c r="F11644" s="7" t="n">
        <v>40</v>
      </c>
      <c r="G11644" s="7" t="n">
        <v>1215.82</v>
      </c>
    </row>
    <row r="11645" customFormat="false" ht="15" hidden="false" customHeight="false" outlineLevel="0" collapsed="false">
      <c r="A11645" s="7" t="s">
        <v>31</v>
      </c>
      <c r="B11645" s="7" t="s">
        <v>171</v>
      </c>
      <c r="C11645" s="7" t="s">
        <v>1083</v>
      </c>
      <c r="D11645" s="7" t="n">
        <v>30</v>
      </c>
      <c r="E11645" s="7" t="n">
        <v>997.88</v>
      </c>
      <c r="F11645" s="7" t="n">
        <v>0</v>
      </c>
      <c r="G11645" s="7" t="n">
        <v>0</v>
      </c>
    </row>
    <row r="11646" customFormat="false" ht="15" hidden="false" customHeight="false" outlineLevel="0" collapsed="false">
      <c r="A11646" s="7" t="s">
        <v>31</v>
      </c>
      <c r="B11646" s="7" t="s">
        <v>171</v>
      </c>
      <c r="C11646" s="7" t="s">
        <v>1083</v>
      </c>
      <c r="D11646" s="7" t="n">
        <v>70</v>
      </c>
      <c r="E11646" s="7" t="n">
        <v>2569.71</v>
      </c>
      <c r="F11646" s="7" t="n">
        <v>0</v>
      </c>
      <c r="G11646" s="7" t="n">
        <v>0</v>
      </c>
    </row>
    <row r="11647" customFormat="false" ht="15" hidden="false" customHeight="false" outlineLevel="0" collapsed="false">
      <c r="A11647" s="7" t="s">
        <v>31</v>
      </c>
      <c r="B11647" s="7" t="s">
        <v>171</v>
      </c>
      <c r="C11647" s="7" t="s">
        <v>1083</v>
      </c>
      <c r="D11647" s="7" t="n">
        <v>0</v>
      </c>
      <c r="E11647" s="7" t="n">
        <v>0</v>
      </c>
      <c r="F11647" s="7" t="n">
        <v>20</v>
      </c>
      <c r="G11647" s="7" t="n">
        <v>605.12</v>
      </c>
    </row>
    <row r="11648" customFormat="false" ht="15" hidden="false" customHeight="false" outlineLevel="0" collapsed="false">
      <c r="A11648" s="7" t="s">
        <v>31</v>
      </c>
      <c r="B11648" s="7" t="s">
        <v>171</v>
      </c>
      <c r="C11648" s="7" t="s">
        <v>1083</v>
      </c>
      <c r="D11648" s="7" t="n">
        <v>0</v>
      </c>
      <c r="E11648" s="7" t="n">
        <v>0</v>
      </c>
      <c r="F11648" s="7" t="n">
        <v>40</v>
      </c>
      <c r="G11648" s="7" t="n">
        <v>1298.47</v>
      </c>
    </row>
    <row r="11649" customFormat="false" ht="15" hidden="false" customHeight="false" outlineLevel="0" collapsed="false">
      <c r="A11649" s="7" t="s">
        <v>31</v>
      </c>
      <c r="B11649" s="7" t="s">
        <v>171</v>
      </c>
      <c r="C11649" s="7" t="s">
        <v>1083</v>
      </c>
      <c r="D11649" s="7" t="n">
        <v>20</v>
      </c>
      <c r="E11649" s="7" t="n">
        <v>694.57</v>
      </c>
      <c r="F11649" s="7" t="n">
        <v>0</v>
      </c>
      <c r="G11649" s="7" t="n">
        <v>0</v>
      </c>
    </row>
    <row r="11650" customFormat="false" ht="15" hidden="false" customHeight="false" outlineLevel="0" collapsed="false">
      <c r="A11650" s="7" t="s">
        <v>31</v>
      </c>
      <c r="B11650" s="7" t="s">
        <v>171</v>
      </c>
      <c r="C11650" s="7" t="s">
        <v>1083</v>
      </c>
      <c r="D11650" s="7" t="n">
        <v>0</v>
      </c>
      <c r="E11650" s="7" t="n">
        <v>0</v>
      </c>
      <c r="F11650" s="7" t="n">
        <v>80</v>
      </c>
      <c r="G11650" s="7" t="n">
        <v>2538.85</v>
      </c>
    </row>
    <row r="11651" customFormat="false" ht="15" hidden="false" customHeight="false" outlineLevel="0" collapsed="false">
      <c r="A11651" s="7" t="s">
        <v>31</v>
      </c>
      <c r="B11651" s="7" t="s">
        <v>171</v>
      </c>
      <c r="C11651" s="7" t="s">
        <v>1083</v>
      </c>
      <c r="D11651" s="7" t="n">
        <v>25</v>
      </c>
      <c r="E11651" s="7" t="n">
        <v>837.41</v>
      </c>
      <c r="F11651" s="7" t="n">
        <v>0</v>
      </c>
      <c r="G11651" s="7" t="n">
        <v>0</v>
      </c>
    </row>
    <row r="11652" customFormat="false" ht="15" hidden="false" customHeight="false" outlineLevel="0" collapsed="false">
      <c r="A11652" s="7" t="s">
        <v>31</v>
      </c>
      <c r="B11652" s="7" t="s">
        <v>171</v>
      </c>
      <c r="C11652" s="7" t="s">
        <v>1083</v>
      </c>
      <c r="D11652" s="7" t="n">
        <v>20</v>
      </c>
      <c r="E11652" s="7" t="n">
        <v>699.07</v>
      </c>
      <c r="F11652" s="7" t="n">
        <v>0</v>
      </c>
      <c r="G11652" s="7" t="n">
        <v>0</v>
      </c>
    </row>
    <row r="11653" customFormat="false" ht="15" hidden="false" customHeight="false" outlineLevel="0" collapsed="false">
      <c r="A11653" s="7" t="s">
        <v>31</v>
      </c>
      <c r="B11653" s="7" t="s">
        <v>171</v>
      </c>
      <c r="C11653" s="7" t="s">
        <v>1083</v>
      </c>
      <c r="D11653" s="7" t="n">
        <v>0</v>
      </c>
      <c r="E11653" s="7" t="n">
        <v>0</v>
      </c>
      <c r="F11653" s="7" t="n">
        <v>40</v>
      </c>
      <c r="G11653" s="7" t="n">
        <v>1215.82</v>
      </c>
    </row>
    <row r="11654" customFormat="false" ht="15" hidden="false" customHeight="false" outlineLevel="0" collapsed="false">
      <c r="A11654" s="7" t="s">
        <v>31</v>
      </c>
      <c r="B11654" s="7" t="s">
        <v>329</v>
      </c>
      <c r="C11654" s="7" t="s">
        <v>1083</v>
      </c>
      <c r="D11654" s="7" t="n">
        <v>35</v>
      </c>
      <c r="E11654" s="7" t="n">
        <v>1164.2</v>
      </c>
      <c r="F11654" s="7" t="n">
        <v>0</v>
      </c>
      <c r="G11654" s="7" t="n">
        <v>0</v>
      </c>
    </row>
    <row r="11655" customFormat="false" ht="15" hidden="false" customHeight="false" outlineLevel="0" collapsed="false">
      <c r="A11655" s="7" t="s">
        <v>31</v>
      </c>
      <c r="B11655" s="7" t="s">
        <v>329</v>
      </c>
      <c r="C11655" s="7" t="s">
        <v>1083</v>
      </c>
      <c r="D11655" s="7" t="n">
        <v>25</v>
      </c>
      <c r="E11655" s="7" t="n">
        <v>837.41</v>
      </c>
      <c r="F11655" s="7" t="n">
        <v>0</v>
      </c>
      <c r="G11655" s="7" t="n">
        <v>0</v>
      </c>
    </row>
    <row r="11656" customFormat="false" ht="15" hidden="false" customHeight="false" outlineLevel="0" collapsed="false">
      <c r="A11656" s="7" t="s">
        <v>31</v>
      </c>
      <c r="B11656" s="7" t="s">
        <v>329</v>
      </c>
      <c r="C11656" s="7" t="s">
        <v>1083</v>
      </c>
      <c r="D11656" s="7" t="n">
        <v>20</v>
      </c>
      <c r="E11656" s="7" t="n">
        <v>699.07</v>
      </c>
      <c r="F11656" s="7" t="n">
        <v>0</v>
      </c>
      <c r="G11656" s="7" t="n">
        <v>0</v>
      </c>
    </row>
    <row r="11657" customFormat="false" ht="15" hidden="false" customHeight="false" outlineLevel="0" collapsed="false">
      <c r="A11657" s="7" t="s">
        <v>31</v>
      </c>
      <c r="B11657" s="7" t="s">
        <v>329</v>
      </c>
      <c r="C11657" s="7" t="s">
        <v>1083</v>
      </c>
      <c r="D11657" s="7" t="n">
        <v>0</v>
      </c>
      <c r="E11657" s="7" t="n">
        <v>0</v>
      </c>
      <c r="F11657" s="7" t="n">
        <v>30</v>
      </c>
      <c r="G11657" s="7" t="n">
        <v>911.87</v>
      </c>
    </row>
    <row r="11658" customFormat="false" ht="15" hidden="false" customHeight="false" outlineLevel="0" collapsed="false">
      <c r="A11658" s="7" t="s">
        <v>31</v>
      </c>
      <c r="B11658" s="7" t="s">
        <v>329</v>
      </c>
      <c r="C11658" s="7" t="s">
        <v>1083</v>
      </c>
      <c r="D11658" s="7" t="n">
        <v>0</v>
      </c>
      <c r="E11658" s="7" t="n">
        <v>0</v>
      </c>
      <c r="F11658" s="7" t="n">
        <v>40</v>
      </c>
      <c r="G11658" s="7" t="n">
        <v>1210.23</v>
      </c>
    </row>
    <row r="11659" customFormat="false" ht="15" hidden="false" customHeight="false" outlineLevel="0" collapsed="false">
      <c r="A11659" s="7" t="s">
        <v>31</v>
      </c>
      <c r="B11659" s="7" t="s">
        <v>329</v>
      </c>
      <c r="C11659" s="7" t="s">
        <v>1083</v>
      </c>
      <c r="D11659" s="7" t="n">
        <v>0</v>
      </c>
      <c r="E11659" s="7" t="n">
        <v>0</v>
      </c>
      <c r="F11659" s="7" t="n">
        <v>25</v>
      </c>
      <c r="G11659" s="7" t="n">
        <v>811.55</v>
      </c>
    </row>
    <row r="11660" customFormat="false" ht="15" hidden="false" customHeight="false" outlineLevel="0" collapsed="false">
      <c r="A11660" s="7" t="s">
        <v>31</v>
      </c>
      <c r="B11660" s="7" t="s">
        <v>329</v>
      </c>
      <c r="C11660" s="7" t="s">
        <v>1083</v>
      </c>
      <c r="D11660" s="7" t="n">
        <v>60</v>
      </c>
      <c r="E11660" s="7" t="n">
        <v>2202.61</v>
      </c>
      <c r="F11660" s="7" t="n">
        <v>0</v>
      </c>
      <c r="G11660" s="7" t="n">
        <v>0</v>
      </c>
    </row>
    <row r="11661" customFormat="false" ht="15" hidden="false" customHeight="false" outlineLevel="0" collapsed="false">
      <c r="A11661" s="7" t="s">
        <v>31</v>
      </c>
      <c r="B11661" s="7" t="s">
        <v>329</v>
      </c>
      <c r="C11661" s="7" t="s">
        <v>1083</v>
      </c>
      <c r="D11661" s="7" t="n">
        <v>0</v>
      </c>
      <c r="E11661" s="7" t="n">
        <v>0</v>
      </c>
      <c r="F11661" s="7" t="n">
        <v>50</v>
      </c>
      <c r="G11661" s="7" t="n">
        <v>1586.78</v>
      </c>
    </row>
    <row r="11662" customFormat="false" ht="15" hidden="false" customHeight="false" outlineLevel="0" collapsed="false">
      <c r="A11662" s="7" t="s">
        <v>31</v>
      </c>
      <c r="B11662" s="7" t="s">
        <v>418</v>
      </c>
      <c r="C11662" s="7" t="s">
        <v>1169</v>
      </c>
      <c r="D11662" s="7" t="n">
        <v>10</v>
      </c>
      <c r="E11662" s="7" t="n">
        <v>119.28</v>
      </c>
      <c r="F11662" s="7" t="n">
        <v>0</v>
      </c>
      <c r="G11662" s="7" t="n">
        <v>0</v>
      </c>
    </row>
    <row r="11663" customFormat="false" ht="15" hidden="false" customHeight="false" outlineLevel="0" collapsed="false">
      <c r="A11663" s="7" t="s">
        <v>31</v>
      </c>
      <c r="B11663" s="7" t="s">
        <v>418</v>
      </c>
      <c r="C11663" s="7" t="s">
        <v>1169</v>
      </c>
      <c r="D11663" s="7" t="n">
        <v>10</v>
      </c>
      <c r="E11663" s="7" t="n">
        <v>125.34</v>
      </c>
      <c r="F11663" s="7" t="n">
        <v>0</v>
      </c>
      <c r="G11663" s="7" t="n">
        <v>0</v>
      </c>
    </row>
    <row r="11664" customFormat="false" ht="15" hidden="false" customHeight="false" outlineLevel="0" collapsed="false">
      <c r="A11664" s="7" t="s">
        <v>31</v>
      </c>
      <c r="B11664" s="7" t="s">
        <v>418</v>
      </c>
      <c r="C11664" s="7" t="s">
        <v>1169</v>
      </c>
      <c r="D11664" s="7" t="n">
        <v>15</v>
      </c>
      <c r="E11664" s="7" t="n">
        <v>180.17</v>
      </c>
      <c r="F11664" s="7" t="n">
        <v>0</v>
      </c>
      <c r="G11664" s="7" t="n">
        <v>0</v>
      </c>
    </row>
    <row r="11665" customFormat="false" ht="15" hidden="false" customHeight="false" outlineLevel="0" collapsed="false">
      <c r="A11665" s="7" t="s">
        <v>31</v>
      </c>
      <c r="B11665" s="7" t="s">
        <v>725</v>
      </c>
      <c r="C11665" s="7" t="s">
        <v>1222</v>
      </c>
      <c r="D11665" s="7" t="n">
        <v>15</v>
      </c>
      <c r="E11665" s="7" t="n">
        <v>92.73</v>
      </c>
      <c r="F11665" s="7" t="n">
        <v>0</v>
      </c>
      <c r="G11665" s="7" t="n">
        <v>0</v>
      </c>
    </row>
    <row r="11666" customFormat="false" ht="15" hidden="false" customHeight="false" outlineLevel="0" collapsed="false">
      <c r="A11666" s="7" t="s">
        <v>31</v>
      </c>
      <c r="B11666" s="7" t="s">
        <v>725</v>
      </c>
      <c r="C11666" s="7" t="s">
        <v>1222</v>
      </c>
      <c r="D11666" s="7" t="n">
        <v>15</v>
      </c>
      <c r="E11666" s="7" t="n">
        <v>88.81</v>
      </c>
      <c r="F11666" s="7" t="n">
        <v>0</v>
      </c>
      <c r="G11666" s="7" t="n">
        <v>0</v>
      </c>
    </row>
    <row r="11667" customFormat="false" ht="15" hidden="false" customHeight="false" outlineLevel="0" collapsed="false">
      <c r="A11667" s="7" t="s">
        <v>31</v>
      </c>
      <c r="B11667" s="7" t="s">
        <v>725</v>
      </c>
      <c r="C11667" s="7" t="s">
        <v>1222</v>
      </c>
      <c r="D11667" s="7" t="n">
        <v>0</v>
      </c>
      <c r="E11667" s="7" t="n">
        <v>0</v>
      </c>
      <c r="F11667" s="7" t="n">
        <v>10</v>
      </c>
      <c r="G11667" s="7" t="n">
        <v>57.38</v>
      </c>
    </row>
    <row r="11668" customFormat="false" ht="15" hidden="false" customHeight="false" outlineLevel="0" collapsed="false">
      <c r="A11668" s="7" t="s">
        <v>31</v>
      </c>
      <c r="B11668" s="7" t="s">
        <v>936</v>
      </c>
      <c r="C11668" s="7" t="s">
        <v>1146</v>
      </c>
      <c r="D11668" s="7" t="n">
        <v>3</v>
      </c>
      <c r="E11668" s="7" t="n">
        <v>188.29</v>
      </c>
      <c r="F11668" s="7" t="n">
        <v>0</v>
      </c>
      <c r="G11668" s="7" t="n">
        <v>0</v>
      </c>
    </row>
    <row r="11669" customFormat="false" ht="15" hidden="false" customHeight="false" outlineLevel="0" collapsed="false">
      <c r="A11669" s="7" t="s">
        <v>31</v>
      </c>
      <c r="B11669" s="7" t="s">
        <v>936</v>
      </c>
      <c r="C11669" s="7" t="s">
        <v>1146</v>
      </c>
      <c r="D11669" s="7" t="n">
        <v>10</v>
      </c>
      <c r="E11669" s="7" t="n">
        <v>623.26</v>
      </c>
      <c r="F11669" s="7" t="n">
        <v>0</v>
      </c>
      <c r="G11669" s="7" t="n">
        <v>0</v>
      </c>
    </row>
    <row r="11670" customFormat="false" ht="15" hidden="false" customHeight="false" outlineLevel="0" collapsed="false">
      <c r="A11670" s="7" t="s">
        <v>31</v>
      </c>
      <c r="B11670" s="7" t="s">
        <v>579</v>
      </c>
      <c r="C11670" s="7" t="s">
        <v>1147</v>
      </c>
      <c r="D11670" s="7" t="n">
        <v>10</v>
      </c>
      <c r="E11670" s="7" t="n">
        <v>623.26</v>
      </c>
      <c r="F11670" s="7" t="n">
        <v>0</v>
      </c>
      <c r="G11670" s="7" t="n">
        <v>0</v>
      </c>
    </row>
    <row r="11671" customFormat="false" ht="15" hidden="false" customHeight="false" outlineLevel="0" collapsed="false">
      <c r="A11671" s="7" t="s">
        <v>31</v>
      </c>
      <c r="B11671" s="7" t="s">
        <v>943</v>
      </c>
      <c r="C11671" s="7" t="s">
        <v>1148</v>
      </c>
      <c r="D11671" s="7" t="n">
        <v>0</v>
      </c>
      <c r="E11671" s="7" t="n">
        <v>0</v>
      </c>
      <c r="F11671" s="7" t="n">
        <v>3</v>
      </c>
      <c r="G11671" s="7" t="n">
        <v>178.39</v>
      </c>
    </row>
    <row r="11672" customFormat="false" ht="15" hidden="false" customHeight="false" outlineLevel="0" collapsed="false">
      <c r="A11672" s="7" t="s">
        <v>31</v>
      </c>
      <c r="B11672" s="7" t="s">
        <v>503</v>
      </c>
      <c r="C11672" s="7" t="s">
        <v>1050</v>
      </c>
      <c r="D11672" s="7" t="n">
        <v>0</v>
      </c>
      <c r="E11672" s="7" t="n">
        <v>0</v>
      </c>
      <c r="F11672" s="7" t="n">
        <v>20</v>
      </c>
      <c r="G11672" s="7" t="n">
        <v>368.43</v>
      </c>
    </row>
    <row r="11673" customFormat="false" ht="15" hidden="false" customHeight="false" outlineLevel="0" collapsed="false">
      <c r="A11673" s="7" t="s">
        <v>31</v>
      </c>
      <c r="B11673" s="7" t="s">
        <v>503</v>
      </c>
      <c r="C11673" s="7" t="s">
        <v>1050</v>
      </c>
      <c r="D11673" s="7" t="n">
        <v>10</v>
      </c>
      <c r="E11673" s="7" t="n">
        <v>201.59</v>
      </c>
      <c r="F11673" s="7" t="n">
        <v>0</v>
      </c>
      <c r="G11673" s="7" t="n">
        <v>0</v>
      </c>
    </row>
    <row r="11674" customFormat="false" ht="15" hidden="false" customHeight="false" outlineLevel="0" collapsed="false">
      <c r="A11674" s="7" t="s">
        <v>31</v>
      </c>
      <c r="B11674" s="7" t="s">
        <v>503</v>
      </c>
      <c r="C11674" s="7" t="s">
        <v>1050</v>
      </c>
      <c r="D11674" s="7" t="n">
        <v>0</v>
      </c>
      <c r="E11674" s="7" t="n">
        <v>0</v>
      </c>
      <c r="F11674" s="7" t="n">
        <v>30</v>
      </c>
      <c r="G11674" s="7" t="n">
        <v>577.01</v>
      </c>
    </row>
    <row r="11675" customFormat="false" ht="15" hidden="false" customHeight="false" outlineLevel="0" collapsed="false">
      <c r="A11675" s="7" t="s">
        <v>31</v>
      </c>
      <c r="B11675" s="7" t="s">
        <v>503</v>
      </c>
      <c r="C11675" s="7" t="s">
        <v>1050</v>
      </c>
      <c r="D11675" s="7" t="n">
        <v>0</v>
      </c>
      <c r="E11675" s="7" t="n">
        <v>0</v>
      </c>
      <c r="F11675" s="7" t="n">
        <v>10</v>
      </c>
      <c r="G11675" s="7" t="n">
        <v>196.74</v>
      </c>
    </row>
    <row r="11676" customFormat="false" ht="15" hidden="false" customHeight="false" outlineLevel="0" collapsed="false">
      <c r="A11676" s="7" t="s">
        <v>31</v>
      </c>
      <c r="B11676" s="7" t="s">
        <v>503</v>
      </c>
      <c r="C11676" s="7" t="s">
        <v>1050</v>
      </c>
      <c r="D11676" s="7" t="n">
        <v>10</v>
      </c>
      <c r="E11676" s="7" t="n">
        <v>211.84</v>
      </c>
      <c r="F11676" s="7" t="n">
        <v>0</v>
      </c>
      <c r="G11676" s="7" t="n">
        <v>0</v>
      </c>
    </row>
    <row r="11677" customFormat="false" ht="15" hidden="false" customHeight="false" outlineLevel="0" collapsed="false">
      <c r="A11677" s="7" t="s">
        <v>31</v>
      </c>
      <c r="B11677" s="7" t="s">
        <v>503</v>
      </c>
      <c r="C11677" s="7" t="s">
        <v>1050</v>
      </c>
      <c r="D11677" s="7" t="n">
        <v>10</v>
      </c>
      <c r="E11677" s="7" t="n">
        <v>210.47</v>
      </c>
      <c r="F11677" s="7" t="n">
        <v>0</v>
      </c>
      <c r="G11677" s="7" t="n">
        <v>0</v>
      </c>
    </row>
    <row r="11678" customFormat="false" ht="15" hidden="false" customHeight="false" outlineLevel="0" collapsed="false">
      <c r="A11678" s="7" t="s">
        <v>31</v>
      </c>
      <c r="B11678" s="7" t="s">
        <v>503</v>
      </c>
      <c r="C11678" s="7" t="s">
        <v>1050</v>
      </c>
      <c r="D11678" s="7" t="n">
        <v>0</v>
      </c>
      <c r="E11678" s="7" t="n">
        <v>0</v>
      </c>
      <c r="F11678" s="7" t="n">
        <v>30</v>
      </c>
      <c r="G11678" s="7" t="n">
        <v>550.11</v>
      </c>
    </row>
    <row r="11679" customFormat="false" ht="15" hidden="false" customHeight="false" outlineLevel="0" collapsed="false">
      <c r="A11679" s="7" t="s">
        <v>31</v>
      </c>
      <c r="B11679" s="7" t="s">
        <v>503</v>
      </c>
      <c r="C11679" s="7" t="s">
        <v>1050</v>
      </c>
      <c r="D11679" s="7" t="n">
        <v>15</v>
      </c>
      <c r="E11679" s="7" t="n">
        <v>304.52</v>
      </c>
      <c r="F11679" s="7" t="n">
        <v>0</v>
      </c>
      <c r="G11679" s="7" t="n">
        <v>0</v>
      </c>
    </row>
    <row r="11680" customFormat="false" ht="15" hidden="false" customHeight="false" outlineLevel="0" collapsed="false">
      <c r="A11680" s="7" t="s">
        <v>31</v>
      </c>
      <c r="B11680" s="7" t="s">
        <v>597</v>
      </c>
      <c r="C11680" s="7" t="s">
        <v>1050</v>
      </c>
      <c r="D11680" s="7" t="n">
        <v>0</v>
      </c>
      <c r="E11680" s="7" t="n">
        <v>0</v>
      </c>
      <c r="F11680" s="7" t="n">
        <v>6</v>
      </c>
      <c r="G11680" s="7" t="n">
        <v>118.04</v>
      </c>
    </row>
    <row r="11681" customFormat="false" ht="15" hidden="false" customHeight="false" outlineLevel="0" collapsed="false">
      <c r="A11681" s="7" t="s">
        <v>31</v>
      </c>
      <c r="B11681" s="7" t="s">
        <v>597</v>
      </c>
      <c r="C11681" s="7" t="s">
        <v>1050</v>
      </c>
      <c r="D11681" s="7" t="n">
        <v>20</v>
      </c>
      <c r="E11681" s="7" t="n">
        <v>406.02</v>
      </c>
      <c r="F11681" s="7" t="n">
        <v>0</v>
      </c>
      <c r="G11681" s="7" t="n">
        <v>0</v>
      </c>
    </row>
    <row r="11682" customFormat="false" ht="15" hidden="false" customHeight="false" outlineLevel="0" collapsed="false">
      <c r="A11682" s="7" t="s">
        <v>31</v>
      </c>
      <c r="B11682" s="7" t="s">
        <v>597</v>
      </c>
      <c r="C11682" s="7" t="s">
        <v>1050</v>
      </c>
      <c r="D11682" s="7" t="n">
        <v>15</v>
      </c>
      <c r="E11682" s="7" t="n">
        <v>315.71</v>
      </c>
      <c r="F11682" s="7" t="n">
        <v>0</v>
      </c>
      <c r="G11682" s="7" t="n">
        <v>0</v>
      </c>
    </row>
    <row r="11683" customFormat="false" ht="15" hidden="false" customHeight="false" outlineLevel="0" collapsed="false">
      <c r="A11683" s="7" t="s">
        <v>31</v>
      </c>
      <c r="B11683" s="7" t="s">
        <v>597</v>
      </c>
      <c r="C11683" s="7" t="s">
        <v>1050</v>
      </c>
      <c r="D11683" s="7" t="n">
        <v>10</v>
      </c>
      <c r="E11683" s="7" t="n">
        <v>222.49</v>
      </c>
      <c r="F11683" s="7" t="n">
        <v>0</v>
      </c>
      <c r="G11683" s="7" t="n">
        <v>0</v>
      </c>
    </row>
    <row r="11684" customFormat="false" ht="15" hidden="false" customHeight="false" outlineLevel="0" collapsed="false">
      <c r="A11684" s="7" t="s">
        <v>31</v>
      </c>
      <c r="B11684" s="7" t="s">
        <v>597</v>
      </c>
      <c r="C11684" s="7" t="s">
        <v>1050</v>
      </c>
      <c r="D11684" s="7" t="n">
        <v>10</v>
      </c>
      <c r="E11684" s="7" t="n">
        <v>211.84</v>
      </c>
      <c r="F11684" s="7" t="n">
        <v>0</v>
      </c>
      <c r="G11684" s="7" t="n">
        <v>0</v>
      </c>
    </row>
    <row r="11685" customFormat="false" ht="15" hidden="false" customHeight="false" outlineLevel="0" collapsed="false">
      <c r="A11685" s="7" t="s">
        <v>31</v>
      </c>
      <c r="B11685" s="7" t="s">
        <v>597</v>
      </c>
      <c r="C11685" s="7" t="s">
        <v>1050</v>
      </c>
      <c r="D11685" s="7" t="n">
        <v>0</v>
      </c>
      <c r="E11685" s="7" t="n">
        <v>0</v>
      </c>
      <c r="F11685" s="7" t="n">
        <v>35</v>
      </c>
      <c r="G11685" s="7" t="n">
        <v>673.18</v>
      </c>
    </row>
    <row r="11686" customFormat="false" ht="15" hidden="false" customHeight="false" outlineLevel="0" collapsed="false">
      <c r="A11686" s="7" t="s">
        <v>31</v>
      </c>
      <c r="B11686" s="7" t="s">
        <v>597</v>
      </c>
      <c r="C11686" s="7" t="s">
        <v>1050</v>
      </c>
      <c r="D11686" s="7" t="n">
        <v>10</v>
      </c>
      <c r="E11686" s="7" t="n">
        <v>201.59</v>
      </c>
      <c r="F11686" s="7" t="n">
        <v>0</v>
      </c>
      <c r="G11686" s="7" t="n">
        <v>0</v>
      </c>
    </row>
    <row r="11687" customFormat="false" ht="15" hidden="false" customHeight="false" outlineLevel="0" collapsed="false">
      <c r="A11687" s="7" t="s">
        <v>31</v>
      </c>
      <c r="B11687" s="7" t="s">
        <v>597</v>
      </c>
      <c r="C11687" s="7" t="s">
        <v>1050</v>
      </c>
      <c r="D11687" s="7" t="n">
        <v>0</v>
      </c>
      <c r="E11687" s="7" t="n">
        <v>0</v>
      </c>
      <c r="F11687" s="7" t="n">
        <v>15</v>
      </c>
      <c r="G11687" s="7" t="n">
        <v>275.05</v>
      </c>
    </row>
    <row r="11688" customFormat="false" ht="15" hidden="false" customHeight="false" outlineLevel="0" collapsed="false">
      <c r="A11688" s="7" t="s">
        <v>31</v>
      </c>
      <c r="B11688" s="7" t="s">
        <v>597</v>
      </c>
      <c r="C11688" s="7" t="s">
        <v>1050</v>
      </c>
      <c r="D11688" s="7" t="n">
        <v>0</v>
      </c>
      <c r="E11688" s="7" t="n">
        <v>0</v>
      </c>
      <c r="F11688" s="7" t="n">
        <v>20</v>
      </c>
      <c r="G11688" s="7" t="n">
        <v>368.43</v>
      </c>
    </row>
    <row r="11689" customFormat="false" ht="15" hidden="false" customHeight="false" outlineLevel="0" collapsed="false">
      <c r="A11689" s="7" t="s">
        <v>31</v>
      </c>
      <c r="B11689" s="7" t="s">
        <v>544</v>
      </c>
      <c r="C11689" s="7" t="s">
        <v>1050</v>
      </c>
      <c r="D11689" s="7" t="n">
        <v>10</v>
      </c>
      <c r="E11689" s="7" t="n">
        <v>203</v>
      </c>
      <c r="F11689" s="7" t="n">
        <v>0</v>
      </c>
      <c r="G11689" s="7" t="n">
        <v>0</v>
      </c>
    </row>
    <row r="11690" customFormat="false" ht="15" hidden="false" customHeight="false" outlineLevel="0" collapsed="false">
      <c r="A11690" s="7" t="s">
        <v>31</v>
      </c>
      <c r="B11690" s="7" t="s">
        <v>544</v>
      </c>
      <c r="C11690" s="7" t="s">
        <v>1050</v>
      </c>
      <c r="D11690" s="7" t="n">
        <v>0</v>
      </c>
      <c r="E11690" s="7" t="n">
        <v>0</v>
      </c>
      <c r="F11690" s="7" t="n">
        <v>6</v>
      </c>
      <c r="G11690" s="7" t="n">
        <v>118.04</v>
      </c>
    </row>
    <row r="11691" customFormat="false" ht="15" hidden="false" customHeight="false" outlineLevel="0" collapsed="false">
      <c r="A11691" s="7" t="s">
        <v>31</v>
      </c>
      <c r="B11691" s="7" t="s">
        <v>544</v>
      </c>
      <c r="C11691" s="7" t="s">
        <v>1050</v>
      </c>
      <c r="D11691" s="7" t="n">
        <v>6</v>
      </c>
      <c r="E11691" s="7" t="n">
        <v>120.96</v>
      </c>
      <c r="F11691" s="7" t="n">
        <v>0</v>
      </c>
      <c r="G11691" s="7" t="n">
        <v>0</v>
      </c>
    </row>
    <row r="11692" customFormat="false" ht="15" hidden="false" customHeight="false" outlineLevel="0" collapsed="false">
      <c r="A11692" s="7" t="s">
        <v>31</v>
      </c>
      <c r="B11692" s="7" t="s">
        <v>544</v>
      </c>
      <c r="C11692" s="7" t="s">
        <v>1050</v>
      </c>
      <c r="D11692" s="7" t="n">
        <v>0</v>
      </c>
      <c r="E11692" s="7" t="n">
        <v>0</v>
      </c>
      <c r="F11692" s="7" t="n">
        <v>15</v>
      </c>
      <c r="G11692" s="7" t="n">
        <v>275.05</v>
      </c>
    </row>
    <row r="11693" customFormat="false" ht="15" hidden="false" customHeight="false" outlineLevel="0" collapsed="false">
      <c r="A11693" s="7" t="s">
        <v>31</v>
      </c>
      <c r="B11693" s="7" t="s">
        <v>544</v>
      </c>
      <c r="C11693" s="7" t="s">
        <v>1050</v>
      </c>
      <c r="D11693" s="7" t="n">
        <v>0</v>
      </c>
      <c r="E11693" s="7" t="n">
        <v>0</v>
      </c>
      <c r="F11693" s="7" t="n">
        <v>20</v>
      </c>
      <c r="G11693" s="7" t="n">
        <v>368.43</v>
      </c>
    </row>
    <row r="11694" customFormat="false" ht="15" hidden="false" customHeight="false" outlineLevel="0" collapsed="false">
      <c r="A11694" s="7" t="s">
        <v>31</v>
      </c>
      <c r="B11694" s="7" t="s">
        <v>544</v>
      </c>
      <c r="C11694" s="7" t="s">
        <v>1050</v>
      </c>
      <c r="D11694" s="7" t="n">
        <v>0</v>
      </c>
      <c r="E11694" s="7" t="n">
        <v>0</v>
      </c>
      <c r="F11694" s="7" t="n">
        <v>12</v>
      </c>
      <c r="G11694" s="7" t="n">
        <v>230.8</v>
      </c>
    </row>
    <row r="11695" customFormat="false" ht="15" hidden="false" customHeight="false" outlineLevel="0" collapsed="false">
      <c r="A11695" s="7" t="s">
        <v>31</v>
      </c>
      <c r="B11695" s="7" t="s">
        <v>616</v>
      </c>
      <c r="C11695" s="7" t="s">
        <v>1050</v>
      </c>
      <c r="D11695" s="7" t="n">
        <v>10</v>
      </c>
      <c r="E11695" s="7" t="n">
        <v>203</v>
      </c>
      <c r="F11695" s="7" t="n">
        <v>0</v>
      </c>
      <c r="G11695" s="7" t="n">
        <v>0</v>
      </c>
    </row>
    <row r="11696" customFormat="false" ht="15" hidden="false" customHeight="false" outlineLevel="0" collapsed="false">
      <c r="A11696" s="7" t="s">
        <v>31</v>
      </c>
      <c r="B11696" s="7" t="s">
        <v>616</v>
      </c>
      <c r="C11696" s="7" t="s">
        <v>1050</v>
      </c>
      <c r="D11696" s="7" t="n">
        <v>0</v>
      </c>
      <c r="E11696" s="7" t="n">
        <v>0</v>
      </c>
      <c r="F11696" s="7" t="n">
        <v>10</v>
      </c>
      <c r="G11696" s="7" t="n">
        <v>192.34</v>
      </c>
    </row>
    <row r="11697" customFormat="false" ht="15" hidden="false" customHeight="false" outlineLevel="0" collapsed="false">
      <c r="A11697" s="7" t="s">
        <v>31</v>
      </c>
      <c r="B11697" s="7" t="s">
        <v>616</v>
      </c>
      <c r="C11697" s="7" t="s">
        <v>1050</v>
      </c>
      <c r="D11697" s="7" t="n">
        <v>0</v>
      </c>
      <c r="E11697" s="7" t="n">
        <v>0</v>
      </c>
      <c r="F11697" s="7" t="n">
        <v>6</v>
      </c>
      <c r="G11697" s="7" t="n">
        <v>110.53</v>
      </c>
    </row>
    <row r="11698" customFormat="false" ht="15" hidden="false" customHeight="false" outlineLevel="0" collapsed="false">
      <c r="A11698" s="7" t="s">
        <v>31</v>
      </c>
      <c r="B11698" s="7" t="s">
        <v>616</v>
      </c>
      <c r="C11698" s="7" t="s">
        <v>1050</v>
      </c>
      <c r="D11698" s="7" t="n">
        <v>6</v>
      </c>
      <c r="E11698" s="7" t="n">
        <v>127.11</v>
      </c>
      <c r="F11698" s="7" t="n">
        <v>0</v>
      </c>
      <c r="G11698" s="7" t="n">
        <v>0</v>
      </c>
    </row>
    <row r="11699" customFormat="false" ht="15" hidden="false" customHeight="false" outlineLevel="0" collapsed="false">
      <c r="A11699" s="7" t="s">
        <v>31</v>
      </c>
      <c r="B11699" s="7" t="s">
        <v>616</v>
      </c>
      <c r="C11699" s="7" t="s">
        <v>1050</v>
      </c>
      <c r="D11699" s="7" t="n">
        <v>0</v>
      </c>
      <c r="E11699" s="7" t="n">
        <v>0</v>
      </c>
      <c r="F11699" s="7" t="n">
        <v>6</v>
      </c>
      <c r="G11699" s="7" t="n">
        <v>110.03</v>
      </c>
    </row>
    <row r="11700" customFormat="false" ht="15" hidden="false" customHeight="false" outlineLevel="0" collapsed="false">
      <c r="A11700" s="7" t="s">
        <v>31</v>
      </c>
      <c r="B11700" s="7" t="s">
        <v>341</v>
      </c>
      <c r="C11700" s="7" t="s">
        <v>1050</v>
      </c>
      <c r="D11700" s="7" t="n">
        <v>0</v>
      </c>
      <c r="E11700" s="7" t="n">
        <v>0</v>
      </c>
      <c r="F11700" s="7" t="n">
        <v>6</v>
      </c>
      <c r="G11700" s="7" t="n">
        <v>115.4</v>
      </c>
    </row>
    <row r="11701" customFormat="false" ht="15" hidden="false" customHeight="false" outlineLevel="0" collapsed="false">
      <c r="A11701" s="7" t="s">
        <v>31</v>
      </c>
      <c r="B11701" s="7" t="s">
        <v>341</v>
      </c>
      <c r="C11701" s="7" t="s">
        <v>1050</v>
      </c>
      <c r="D11701" s="7" t="n">
        <v>6</v>
      </c>
      <c r="E11701" s="7" t="n">
        <v>133.49</v>
      </c>
      <c r="F11701" s="7" t="n">
        <v>0</v>
      </c>
      <c r="G11701" s="7" t="n">
        <v>0</v>
      </c>
    </row>
    <row r="11702" customFormat="false" ht="15" hidden="false" customHeight="false" outlineLevel="0" collapsed="false">
      <c r="A11702" s="7" t="s">
        <v>31</v>
      </c>
      <c r="B11702" s="7" t="s">
        <v>251</v>
      </c>
      <c r="C11702" s="7" t="s">
        <v>1085</v>
      </c>
      <c r="D11702" s="7" t="n">
        <v>1</v>
      </c>
      <c r="E11702" s="7" t="n">
        <v>0.04</v>
      </c>
      <c r="F11702" s="7" t="n">
        <v>0</v>
      </c>
      <c r="G11702" s="7" t="n">
        <v>0</v>
      </c>
    </row>
    <row r="11703" customFormat="false" ht="15" hidden="false" customHeight="false" outlineLevel="0" collapsed="false">
      <c r="A11703" s="7" t="s">
        <v>31</v>
      </c>
      <c r="B11703" s="7" t="s">
        <v>251</v>
      </c>
      <c r="C11703" s="7" t="s">
        <v>1085</v>
      </c>
      <c r="D11703" s="7" t="n">
        <v>0</v>
      </c>
      <c r="E11703" s="7" t="n">
        <v>0</v>
      </c>
      <c r="F11703" s="7" t="n">
        <v>10</v>
      </c>
      <c r="G11703" s="7" t="n">
        <v>176.7</v>
      </c>
    </row>
    <row r="11704" customFormat="false" ht="15" hidden="false" customHeight="false" outlineLevel="0" collapsed="false">
      <c r="A11704" s="7" t="s">
        <v>31</v>
      </c>
      <c r="B11704" s="7" t="s">
        <v>251</v>
      </c>
      <c r="C11704" s="7" t="s">
        <v>1085</v>
      </c>
      <c r="D11704" s="7" t="n">
        <v>0</v>
      </c>
      <c r="E11704" s="7" t="n">
        <v>0</v>
      </c>
      <c r="F11704" s="7" t="n">
        <v>10</v>
      </c>
      <c r="G11704" s="7" t="n">
        <v>172.75</v>
      </c>
    </row>
    <row r="11705" customFormat="false" ht="15" hidden="false" customHeight="false" outlineLevel="0" collapsed="false">
      <c r="A11705" s="7" t="s">
        <v>31</v>
      </c>
      <c r="B11705" s="7" t="s">
        <v>251</v>
      </c>
      <c r="C11705" s="7" t="s">
        <v>1085</v>
      </c>
      <c r="D11705" s="7" t="n">
        <v>0</v>
      </c>
      <c r="E11705" s="7" t="n">
        <v>0</v>
      </c>
      <c r="F11705" s="7" t="n">
        <v>6</v>
      </c>
      <c r="G11705" s="7" t="n">
        <v>99.27</v>
      </c>
    </row>
    <row r="11706" customFormat="false" ht="15" hidden="false" customHeight="false" outlineLevel="0" collapsed="false">
      <c r="A11706" s="7" t="s">
        <v>31</v>
      </c>
      <c r="B11706" s="7" t="s">
        <v>563</v>
      </c>
      <c r="C11706" s="7" t="s">
        <v>1150</v>
      </c>
      <c r="D11706" s="7" t="n">
        <v>10</v>
      </c>
      <c r="E11706" s="7" t="n">
        <v>97.43</v>
      </c>
      <c r="F11706" s="7" t="n">
        <v>0</v>
      </c>
      <c r="G11706" s="7" t="n">
        <v>0</v>
      </c>
    </row>
    <row r="11707" customFormat="false" ht="15" hidden="false" customHeight="false" outlineLevel="0" collapsed="false">
      <c r="A11707" s="7" t="s">
        <v>31</v>
      </c>
      <c r="B11707" s="7" t="s">
        <v>563</v>
      </c>
      <c r="C11707" s="7" t="s">
        <v>1150</v>
      </c>
      <c r="D11707" s="7" t="n">
        <v>10</v>
      </c>
      <c r="E11707" s="7" t="n">
        <v>102.39</v>
      </c>
      <c r="F11707" s="7" t="n">
        <v>0</v>
      </c>
      <c r="G11707" s="7" t="n">
        <v>0</v>
      </c>
    </row>
    <row r="11708" customFormat="false" ht="15" hidden="false" customHeight="false" outlineLevel="0" collapsed="false">
      <c r="A11708" s="7" t="s">
        <v>31</v>
      </c>
      <c r="B11708" s="7" t="s">
        <v>522</v>
      </c>
      <c r="C11708" s="7" t="s">
        <v>1150</v>
      </c>
      <c r="D11708" s="7" t="n">
        <v>0</v>
      </c>
      <c r="E11708" s="7" t="n">
        <v>0</v>
      </c>
      <c r="F11708" s="7" t="n">
        <v>6</v>
      </c>
      <c r="G11708" s="7" t="n">
        <v>53.18</v>
      </c>
    </row>
    <row r="11709" customFormat="false" ht="15" hidden="false" customHeight="false" outlineLevel="0" collapsed="false">
      <c r="A11709" s="7" t="s">
        <v>31</v>
      </c>
      <c r="B11709" s="7" t="s">
        <v>522</v>
      </c>
      <c r="C11709" s="7" t="s">
        <v>1150</v>
      </c>
      <c r="D11709" s="7" t="n">
        <v>10</v>
      </c>
      <c r="E11709" s="7" t="n">
        <v>102.39</v>
      </c>
      <c r="F11709" s="7" t="n">
        <v>0</v>
      </c>
      <c r="G11709" s="7" t="n">
        <v>0</v>
      </c>
    </row>
    <row r="11710" customFormat="false" ht="15" hidden="false" customHeight="false" outlineLevel="0" collapsed="false">
      <c r="A11710" s="7" t="s">
        <v>31</v>
      </c>
      <c r="B11710" s="7" t="s">
        <v>522</v>
      </c>
      <c r="C11710" s="7" t="s">
        <v>1150</v>
      </c>
      <c r="D11710" s="7" t="n">
        <v>10</v>
      </c>
      <c r="E11710" s="7" t="n">
        <v>97.43</v>
      </c>
      <c r="F11710" s="7" t="n">
        <v>0</v>
      </c>
      <c r="G11710" s="7" t="n">
        <v>0</v>
      </c>
    </row>
    <row r="11711" customFormat="false" ht="15" hidden="false" customHeight="false" outlineLevel="0" collapsed="false">
      <c r="A11711" s="7" t="s">
        <v>31</v>
      </c>
      <c r="B11711" s="7" t="s">
        <v>401</v>
      </c>
      <c r="C11711" s="7" t="s">
        <v>1150</v>
      </c>
      <c r="D11711" s="7" t="n">
        <v>10</v>
      </c>
      <c r="E11711" s="7" t="n">
        <v>97.43</v>
      </c>
      <c r="F11711" s="7" t="n">
        <v>0</v>
      </c>
      <c r="G11711" s="7" t="n">
        <v>0</v>
      </c>
    </row>
    <row r="11712" customFormat="false" ht="15" hidden="false" customHeight="false" outlineLevel="0" collapsed="false">
      <c r="A11712" s="7" t="s">
        <v>31</v>
      </c>
      <c r="B11712" s="7" t="s">
        <v>343</v>
      </c>
      <c r="C11712" s="7" t="s">
        <v>1151</v>
      </c>
      <c r="D11712" s="7" t="n">
        <v>50</v>
      </c>
      <c r="E11712" s="7" t="n">
        <v>543.73</v>
      </c>
      <c r="F11712" s="7" t="n">
        <v>0</v>
      </c>
      <c r="G11712" s="7" t="n">
        <v>0</v>
      </c>
    </row>
    <row r="11713" customFormat="false" ht="15" hidden="false" customHeight="false" outlineLevel="0" collapsed="false">
      <c r="A11713" s="7" t="s">
        <v>31</v>
      </c>
      <c r="B11713" s="7" t="s">
        <v>343</v>
      </c>
      <c r="C11713" s="7" t="s">
        <v>1151</v>
      </c>
      <c r="D11713" s="7" t="n">
        <v>0</v>
      </c>
      <c r="E11713" s="7" t="n">
        <v>0</v>
      </c>
      <c r="F11713" s="7" t="n">
        <v>30</v>
      </c>
      <c r="G11713" s="7" t="n">
        <v>298.12</v>
      </c>
    </row>
    <row r="11714" customFormat="false" ht="15" hidden="false" customHeight="false" outlineLevel="0" collapsed="false">
      <c r="A11714" s="7" t="s">
        <v>31</v>
      </c>
      <c r="B11714" s="7" t="s">
        <v>343</v>
      </c>
      <c r="C11714" s="7" t="s">
        <v>1151</v>
      </c>
      <c r="D11714" s="7" t="n">
        <v>0</v>
      </c>
      <c r="E11714" s="7" t="n">
        <v>0</v>
      </c>
      <c r="F11714" s="7" t="n">
        <v>40</v>
      </c>
      <c r="G11714" s="7" t="n">
        <v>380.71</v>
      </c>
    </row>
    <row r="11715" customFormat="false" ht="15" hidden="false" customHeight="false" outlineLevel="0" collapsed="false">
      <c r="A11715" s="7" t="s">
        <v>31</v>
      </c>
      <c r="B11715" s="7" t="s">
        <v>343</v>
      </c>
      <c r="C11715" s="7" t="s">
        <v>1151</v>
      </c>
      <c r="D11715" s="7" t="n">
        <v>60</v>
      </c>
      <c r="E11715" s="7" t="n">
        <v>656.71</v>
      </c>
      <c r="F11715" s="7" t="n">
        <v>0</v>
      </c>
      <c r="G11715" s="7" t="n">
        <v>0</v>
      </c>
    </row>
    <row r="11716" customFormat="false" ht="15" hidden="false" customHeight="false" outlineLevel="0" collapsed="false">
      <c r="A11716" s="7" t="s">
        <v>31</v>
      </c>
      <c r="B11716" s="7" t="s">
        <v>343</v>
      </c>
      <c r="C11716" s="7" t="s">
        <v>1151</v>
      </c>
      <c r="D11716" s="7" t="n">
        <v>30</v>
      </c>
      <c r="E11716" s="7" t="n">
        <v>314.66</v>
      </c>
      <c r="F11716" s="7" t="n">
        <v>0</v>
      </c>
      <c r="G11716" s="7" t="n">
        <v>0</v>
      </c>
    </row>
    <row r="11717" customFormat="false" ht="15" hidden="false" customHeight="false" outlineLevel="0" collapsed="false">
      <c r="A11717" s="7" t="s">
        <v>31</v>
      </c>
      <c r="B11717" s="7" t="s">
        <v>343</v>
      </c>
      <c r="C11717" s="7" t="s">
        <v>1151</v>
      </c>
      <c r="D11717" s="7" t="n">
        <v>50</v>
      </c>
      <c r="E11717" s="7" t="n">
        <v>574.76</v>
      </c>
      <c r="F11717" s="7" t="n">
        <v>0</v>
      </c>
      <c r="G11717" s="7" t="n">
        <v>0</v>
      </c>
    </row>
    <row r="11718" customFormat="false" ht="15" hidden="false" customHeight="false" outlineLevel="0" collapsed="false">
      <c r="A11718" s="7" t="s">
        <v>31</v>
      </c>
      <c r="B11718" s="7" t="s">
        <v>343</v>
      </c>
      <c r="C11718" s="7" t="s">
        <v>1151</v>
      </c>
      <c r="D11718" s="7" t="n">
        <v>0</v>
      </c>
      <c r="E11718" s="7" t="n">
        <v>0</v>
      </c>
      <c r="F11718" s="7" t="n">
        <v>50</v>
      </c>
      <c r="G11718" s="7" t="n">
        <v>508.24</v>
      </c>
    </row>
    <row r="11719" customFormat="false" ht="15" hidden="false" customHeight="false" outlineLevel="0" collapsed="false">
      <c r="A11719" s="7" t="s">
        <v>31</v>
      </c>
      <c r="B11719" s="7" t="s">
        <v>343</v>
      </c>
      <c r="C11719" s="7" t="s">
        <v>1151</v>
      </c>
      <c r="D11719" s="7" t="n">
        <v>40</v>
      </c>
      <c r="E11719" s="7" t="n">
        <v>416.63</v>
      </c>
      <c r="F11719" s="7" t="n">
        <v>0</v>
      </c>
      <c r="G11719" s="7" t="n">
        <v>0</v>
      </c>
    </row>
    <row r="11720" customFormat="false" ht="15" hidden="false" customHeight="false" outlineLevel="0" collapsed="false">
      <c r="A11720" s="7" t="s">
        <v>31</v>
      </c>
      <c r="B11720" s="7" t="s">
        <v>343</v>
      </c>
      <c r="C11720" s="7" t="s">
        <v>1151</v>
      </c>
      <c r="D11720" s="7" t="n">
        <v>0</v>
      </c>
      <c r="E11720" s="7" t="n">
        <v>0</v>
      </c>
      <c r="F11720" s="7" t="n">
        <v>60</v>
      </c>
      <c r="G11720" s="7" t="n">
        <v>568.44</v>
      </c>
    </row>
    <row r="11721" customFormat="false" ht="15" hidden="false" customHeight="false" outlineLevel="0" collapsed="false">
      <c r="A11721" s="7" t="s">
        <v>31</v>
      </c>
      <c r="B11721" s="7" t="s">
        <v>802</v>
      </c>
      <c r="C11721" s="7" t="s">
        <v>1151</v>
      </c>
      <c r="D11721" s="7" t="n">
        <v>60</v>
      </c>
      <c r="E11721" s="7" t="n">
        <v>629.33</v>
      </c>
      <c r="F11721" s="7" t="n">
        <v>0</v>
      </c>
      <c r="G11721" s="7" t="n">
        <v>0</v>
      </c>
    </row>
    <row r="11722" customFormat="false" ht="15" hidden="false" customHeight="false" outlineLevel="0" collapsed="false">
      <c r="A11722" s="7" t="s">
        <v>31</v>
      </c>
      <c r="B11722" s="7" t="s">
        <v>802</v>
      </c>
      <c r="C11722" s="7" t="s">
        <v>1151</v>
      </c>
      <c r="D11722" s="7" t="n">
        <v>30</v>
      </c>
      <c r="E11722" s="7" t="n">
        <v>344.85</v>
      </c>
      <c r="F11722" s="7" t="n">
        <v>0</v>
      </c>
      <c r="G11722" s="7" t="n">
        <v>0</v>
      </c>
    </row>
    <row r="11723" customFormat="false" ht="15" hidden="false" customHeight="false" outlineLevel="0" collapsed="false">
      <c r="A11723" s="7" t="s">
        <v>31</v>
      </c>
      <c r="B11723" s="7" t="s">
        <v>802</v>
      </c>
      <c r="C11723" s="7" t="s">
        <v>1151</v>
      </c>
      <c r="D11723" s="7" t="n">
        <v>50</v>
      </c>
      <c r="E11723" s="7" t="n">
        <v>547.26</v>
      </c>
      <c r="F11723" s="7" t="n">
        <v>0</v>
      </c>
      <c r="G11723" s="7" t="n">
        <v>0</v>
      </c>
    </row>
    <row r="11724" customFormat="false" ht="15" hidden="false" customHeight="false" outlineLevel="0" collapsed="false">
      <c r="A11724" s="7" t="s">
        <v>31</v>
      </c>
      <c r="B11724" s="7" t="s">
        <v>802</v>
      </c>
      <c r="C11724" s="7" t="s">
        <v>1151</v>
      </c>
      <c r="D11724" s="7" t="n">
        <v>0</v>
      </c>
      <c r="E11724" s="7" t="n">
        <v>0</v>
      </c>
      <c r="F11724" s="7" t="n">
        <v>50</v>
      </c>
      <c r="G11724" s="7" t="n">
        <v>508.24</v>
      </c>
    </row>
    <row r="11725" customFormat="false" ht="15" hidden="false" customHeight="false" outlineLevel="0" collapsed="false">
      <c r="A11725" s="7" t="s">
        <v>31</v>
      </c>
      <c r="B11725" s="7" t="s">
        <v>802</v>
      </c>
      <c r="C11725" s="7" t="s">
        <v>1151</v>
      </c>
      <c r="D11725" s="7" t="n">
        <v>10</v>
      </c>
      <c r="E11725" s="7" t="n">
        <v>104.16</v>
      </c>
      <c r="F11725" s="7" t="n">
        <v>0</v>
      </c>
      <c r="G11725" s="7" t="n">
        <v>0</v>
      </c>
    </row>
    <row r="11726" customFormat="false" ht="15" hidden="false" customHeight="false" outlineLevel="0" collapsed="false">
      <c r="A11726" s="7" t="s">
        <v>31</v>
      </c>
      <c r="B11726" s="7" t="s">
        <v>802</v>
      </c>
      <c r="C11726" s="7" t="s">
        <v>1151</v>
      </c>
      <c r="D11726" s="7" t="n">
        <v>0</v>
      </c>
      <c r="E11726" s="7" t="n">
        <v>0</v>
      </c>
      <c r="F11726" s="7" t="n">
        <v>60</v>
      </c>
      <c r="G11726" s="7" t="n">
        <v>596.24</v>
      </c>
    </row>
    <row r="11727" customFormat="false" ht="15" hidden="false" customHeight="false" outlineLevel="0" collapsed="false">
      <c r="A11727" s="7" t="s">
        <v>31</v>
      </c>
      <c r="B11727" s="7" t="s">
        <v>802</v>
      </c>
      <c r="C11727" s="7" t="s">
        <v>1151</v>
      </c>
      <c r="D11727" s="7" t="n">
        <v>50</v>
      </c>
      <c r="E11727" s="7" t="n">
        <v>543.73</v>
      </c>
      <c r="F11727" s="7" t="n">
        <v>0</v>
      </c>
      <c r="G11727" s="7" t="n">
        <v>0</v>
      </c>
    </row>
    <row r="11728" customFormat="false" ht="15" hidden="false" customHeight="false" outlineLevel="0" collapsed="false">
      <c r="A11728" s="7" t="s">
        <v>31</v>
      </c>
      <c r="B11728" s="7" t="s">
        <v>802</v>
      </c>
      <c r="C11728" s="7" t="s">
        <v>1151</v>
      </c>
      <c r="D11728" s="7" t="n">
        <v>0</v>
      </c>
      <c r="E11728" s="7" t="n">
        <v>0</v>
      </c>
      <c r="F11728" s="7" t="n">
        <v>70</v>
      </c>
      <c r="G11728" s="7" t="n">
        <v>663.18</v>
      </c>
    </row>
    <row r="11729" customFormat="false" ht="15" hidden="false" customHeight="false" outlineLevel="0" collapsed="false">
      <c r="A11729" s="7" t="s">
        <v>31</v>
      </c>
      <c r="B11729" s="7" t="s">
        <v>704</v>
      </c>
      <c r="C11729" s="7" t="s">
        <v>1151</v>
      </c>
      <c r="D11729" s="7" t="n">
        <v>20</v>
      </c>
      <c r="E11729" s="7" t="n">
        <v>218.91</v>
      </c>
      <c r="F11729" s="7" t="n">
        <v>0</v>
      </c>
      <c r="G11729" s="7" t="n">
        <v>0</v>
      </c>
    </row>
    <row r="11730" customFormat="false" ht="15" hidden="false" customHeight="false" outlineLevel="0" collapsed="false">
      <c r="A11730" s="7" t="s">
        <v>31</v>
      </c>
      <c r="B11730" s="7" t="s">
        <v>704</v>
      </c>
      <c r="C11730" s="7" t="s">
        <v>1151</v>
      </c>
      <c r="D11730" s="7" t="n">
        <v>10</v>
      </c>
      <c r="E11730" s="7" t="n">
        <v>114.95</v>
      </c>
      <c r="F11730" s="7" t="n">
        <v>0</v>
      </c>
      <c r="G11730" s="7" t="n">
        <v>0</v>
      </c>
    </row>
    <row r="11731" customFormat="false" ht="15" hidden="false" customHeight="false" outlineLevel="0" collapsed="false">
      <c r="A11731" s="7" t="s">
        <v>31</v>
      </c>
      <c r="B11731" s="7" t="s">
        <v>704</v>
      </c>
      <c r="C11731" s="7" t="s">
        <v>1151</v>
      </c>
      <c r="D11731" s="7" t="n">
        <v>20</v>
      </c>
      <c r="E11731" s="7" t="n">
        <v>217.49</v>
      </c>
      <c r="F11731" s="7" t="n">
        <v>0</v>
      </c>
      <c r="G11731" s="7" t="n">
        <v>0</v>
      </c>
    </row>
    <row r="11732" customFormat="false" ht="15" hidden="false" customHeight="false" outlineLevel="0" collapsed="false">
      <c r="A11732" s="7" t="s">
        <v>31</v>
      </c>
      <c r="B11732" s="7" t="s">
        <v>704</v>
      </c>
      <c r="C11732" s="7" t="s">
        <v>1151</v>
      </c>
      <c r="D11732" s="7" t="n">
        <v>0</v>
      </c>
      <c r="E11732" s="7" t="n">
        <v>0</v>
      </c>
      <c r="F11732" s="7" t="n">
        <v>30</v>
      </c>
      <c r="G11732" s="7" t="n">
        <v>285.53</v>
      </c>
    </row>
    <row r="11733" customFormat="false" ht="15" hidden="false" customHeight="false" outlineLevel="0" collapsed="false">
      <c r="A11733" s="7" t="s">
        <v>31</v>
      </c>
      <c r="B11733" s="7" t="s">
        <v>704</v>
      </c>
      <c r="C11733" s="7" t="s">
        <v>1151</v>
      </c>
      <c r="D11733" s="7" t="n">
        <v>10</v>
      </c>
      <c r="E11733" s="7" t="n">
        <v>104.16</v>
      </c>
      <c r="F11733" s="7" t="n">
        <v>0</v>
      </c>
      <c r="G11733" s="7" t="n">
        <v>0</v>
      </c>
    </row>
    <row r="11734" customFormat="false" ht="15" hidden="false" customHeight="false" outlineLevel="0" collapsed="false">
      <c r="A11734" s="7" t="s">
        <v>31</v>
      </c>
      <c r="B11734" s="7" t="s">
        <v>704</v>
      </c>
      <c r="C11734" s="7" t="s">
        <v>1151</v>
      </c>
      <c r="D11734" s="7" t="n">
        <v>0</v>
      </c>
      <c r="E11734" s="7" t="n">
        <v>0</v>
      </c>
      <c r="F11734" s="7" t="n">
        <v>50</v>
      </c>
      <c r="G11734" s="7" t="n">
        <v>473.7</v>
      </c>
    </row>
    <row r="11735" customFormat="false" ht="15" hidden="false" customHeight="false" outlineLevel="0" collapsed="false">
      <c r="A11735" s="7" t="s">
        <v>31</v>
      </c>
      <c r="B11735" s="7" t="s">
        <v>704</v>
      </c>
      <c r="C11735" s="7" t="s">
        <v>1151</v>
      </c>
      <c r="D11735" s="7" t="n">
        <v>0</v>
      </c>
      <c r="E11735" s="7" t="n">
        <v>0</v>
      </c>
      <c r="F11735" s="7" t="n">
        <v>20</v>
      </c>
      <c r="G11735" s="7" t="n">
        <v>203.29</v>
      </c>
    </row>
    <row r="11736" customFormat="false" ht="15" hidden="false" customHeight="false" outlineLevel="0" collapsed="false">
      <c r="A11736" s="7" t="s">
        <v>31</v>
      </c>
      <c r="B11736" s="7" t="s">
        <v>704</v>
      </c>
      <c r="C11736" s="7" t="s">
        <v>1151</v>
      </c>
      <c r="D11736" s="7" t="n">
        <v>10</v>
      </c>
      <c r="E11736" s="7" t="n">
        <v>104.89</v>
      </c>
      <c r="F11736" s="7" t="n">
        <v>0</v>
      </c>
      <c r="G11736" s="7" t="n">
        <v>0</v>
      </c>
    </row>
    <row r="11737" customFormat="false" ht="15" hidden="false" customHeight="false" outlineLevel="0" collapsed="false">
      <c r="A11737" s="7" t="s">
        <v>31</v>
      </c>
      <c r="B11737" s="7" t="s">
        <v>704</v>
      </c>
      <c r="C11737" s="7" t="s">
        <v>1151</v>
      </c>
      <c r="D11737" s="7" t="n">
        <v>0</v>
      </c>
      <c r="E11737" s="7" t="n">
        <v>0</v>
      </c>
      <c r="F11737" s="7" t="n">
        <v>20</v>
      </c>
      <c r="G11737" s="7" t="n">
        <v>198.75</v>
      </c>
    </row>
    <row r="11738" customFormat="false" ht="15" hidden="false" customHeight="false" outlineLevel="0" collapsed="false">
      <c r="A11738" s="7" t="s">
        <v>31</v>
      </c>
      <c r="B11738" s="7" t="s">
        <v>710</v>
      </c>
      <c r="C11738" s="7" t="s">
        <v>1151</v>
      </c>
      <c r="D11738" s="7" t="n">
        <v>40</v>
      </c>
      <c r="E11738" s="7" t="n">
        <v>459.8</v>
      </c>
      <c r="F11738" s="7" t="n">
        <v>0</v>
      </c>
      <c r="G11738" s="7" t="n">
        <v>0</v>
      </c>
    </row>
    <row r="11739" customFormat="false" ht="15" hidden="false" customHeight="false" outlineLevel="0" collapsed="false">
      <c r="A11739" s="7" t="s">
        <v>31</v>
      </c>
      <c r="B11739" s="7" t="s">
        <v>710</v>
      </c>
      <c r="C11739" s="7" t="s">
        <v>1151</v>
      </c>
      <c r="D11739" s="7" t="n">
        <v>0</v>
      </c>
      <c r="E11739" s="7" t="n">
        <v>0</v>
      </c>
      <c r="F11739" s="7" t="n">
        <v>30</v>
      </c>
      <c r="G11739" s="7" t="n">
        <v>284.22</v>
      </c>
    </row>
    <row r="11740" customFormat="false" ht="15" hidden="false" customHeight="false" outlineLevel="0" collapsed="false">
      <c r="A11740" s="7" t="s">
        <v>31</v>
      </c>
      <c r="B11740" s="7" t="s">
        <v>710</v>
      </c>
      <c r="C11740" s="7" t="s">
        <v>1151</v>
      </c>
      <c r="D11740" s="7" t="n">
        <v>10</v>
      </c>
      <c r="E11740" s="7" t="n">
        <v>108.75</v>
      </c>
      <c r="F11740" s="7" t="n">
        <v>0</v>
      </c>
      <c r="G11740" s="7" t="n">
        <v>0</v>
      </c>
    </row>
    <row r="11741" customFormat="false" ht="15" hidden="false" customHeight="false" outlineLevel="0" collapsed="false">
      <c r="A11741" s="7" t="s">
        <v>31</v>
      </c>
      <c r="B11741" s="7" t="s">
        <v>710</v>
      </c>
      <c r="C11741" s="7" t="s">
        <v>1151</v>
      </c>
      <c r="D11741" s="7" t="n">
        <v>15</v>
      </c>
      <c r="E11741" s="7" t="n">
        <v>156.23</v>
      </c>
      <c r="F11741" s="7" t="n">
        <v>0</v>
      </c>
      <c r="G11741" s="7" t="n">
        <v>0</v>
      </c>
    </row>
    <row r="11742" customFormat="false" ht="15" hidden="false" customHeight="false" outlineLevel="0" collapsed="false">
      <c r="A11742" s="7" t="s">
        <v>31</v>
      </c>
      <c r="B11742" s="7" t="s">
        <v>710</v>
      </c>
      <c r="C11742" s="7" t="s">
        <v>1151</v>
      </c>
      <c r="D11742" s="7" t="n">
        <v>0</v>
      </c>
      <c r="E11742" s="7" t="n">
        <v>0</v>
      </c>
      <c r="F11742" s="7" t="n">
        <v>30</v>
      </c>
      <c r="G11742" s="7" t="n">
        <v>285.53</v>
      </c>
    </row>
    <row r="11743" customFormat="false" ht="15" hidden="false" customHeight="false" outlineLevel="0" collapsed="false">
      <c r="A11743" s="7" t="s">
        <v>31</v>
      </c>
      <c r="B11743" s="7" t="s">
        <v>710</v>
      </c>
      <c r="C11743" s="7" t="s">
        <v>1151</v>
      </c>
      <c r="D11743" s="7" t="n">
        <v>40</v>
      </c>
      <c r="E11743" s="7" t="n">
        <v>419.55</v>
      </c>
      <c r="F11743" s="7" t="n">
        <v>0</v>
      </c>
      <c r="G11743" s="7" t="n">
        <v>0</v>
      </c>
    </row>
    <row r="11744" customFormat="false" ht="15" hidden="false" customHeight="false" outlineLevel="0" collapsed="false">
      <c r="A11744" s="7" t="s">
        <v>31</v>
      </c>
      <c r="B11744" s="7" t="s">
        <v>710</v>
      </c>
      <c r="C11744" s="7" t="s">
        <v>1151</v>
      </c>
      <c r="D11744" s="7" t="n">
        <v>0</v>
      </c>
      <c r="E11744" s="7" t="n">
        <v>0</v>
      </c>
      <c r="F11744" s="7" t="n">
        <v>15</v>
      </c>
      <c r="G11744" s="7" t="n">
        <v>149.06</v>
      </c>
    </row>
    <row r="11745" customFormat="false" ht="15" hidden="false" customHeight="false" outlineLevel="0" collapsed="false">
      <c r="A11745" s="7" t="s">
        <v>31</v>
      </c>
      <c r="B11745" s="7" t="s">
        <v>710</v>
      </c>
      <c r="C11745" s="7" t="s">
        <v>1151</v>
      </c>
      <c r="D11745" s="7" t="n">
        <v>0</v>
      </c>
      <c r="E11745" s="7" t="n">
        <v>0</v>
      </c>
      <c r="F11745" s="7" t="n">
        <v>20</v>
      </c>
      <c r="G11745" s="7" t="n">
        <v>203.29</v>
      </c>
    </row>
    <row r="11746" customFormat="false" ht="15" hidden="false" customHeight="false" outlineLevel="0" collapsed="false">
      <c r="A11746" s="7" t="s">
        <v>31</v>
      </c>
      <c r="B11746" s="7" t="s">
        <v>710</v>
      </c>
      <c r="C11746" s="7" t="s">
        <v>1151</v>
      </c>
      <c r="D11746" s="7" t="n">
        <v>50</v>
      </c>
      <c r="E11746" s="7" t="n">
        <v>547.26</v>
      </c>
      <c r="F11746" s="7" t="n">
        <v>0</v>
      </c>
      <c r="G11746" s="7" t="n">
        <v>0</v>
      </c>
    </row>
    <row r="11747" customFormat="false" ht="15" hidden="false" customHeight="false" outlineLevel="0" collapsed="false">
      <c r="A11747" s="7" t="s">
        <v>31</v>
      </c>
      <c r="B11747" s="7" t="s">
        <v>464</v>
      </c>
      <c r="C11747" s="7" t="s">
        <v>1151</v>
      </c>
      <c r="D11747" s="7" t="n">
        <v>0</v>
      </c>
      <c r="E11747" s="7" t="n">
        <v>0</v>
      </c>
      <c r="F11747" s="7" t="n">
        <v>15</v>
      </c>
      <c r="G11747" s="7" t="n">
        <v>152.47</v>
      </c>
    </row>
    <row r="11748" customFormat="false" ht="15" hidden="false" customHeight="false" outlineLevel="0" collapsed="false">
      <c r="A11748" s="7" t="s">
        <v>31</v>
      </c>
      <c r="B11748" s="7" t="s">
        <v>464</v>
      </c>
      <c r="C11748" s="7" t="s">
        <v>1151</v>
      </c>
      <c r="D11748" s="7" t="n">
        <v>10</v>
      </c>
      <c r="E11748" s="7" t="n">
        <v>114.95</v>
      </c>
      <c r="F11748" s="7" t="n">
        <v>0</v>
      </c>
      <c r="G11748" s="7" t="n">
        <v>0</v>
      </c>
    </row>
    <row r="11749" customFormat="false" ht="15" hidden="false" customHeight="false" outlineLevel="0" collapsed="false">
      <c r="A11749" s="7" t="s">
        <v>31</v>
      </c>
      <c r="B11749" s="7" t="s">
        <v>464</v>
      </c>
      <c r="C11749" s="7" t="s">
        <v>1151</v>
      </c>
      <c r="D11749" s="7" t="n">
        <v>5</v>
      </c>
      <c r="E11749" s="7" t="n">
        <v>52.07</v>
      </c>
      <c r="F11749" s="7" t="n">
        <v>0</v>
      </c>
      <c r="G11749" s="7" t="n">
        <v>0</v>
      </c>
    </row>
    <row r="11750" customFormat="false" ht="15" hidden="false" customHeight="false" outlineLevel="0" collapsed="false">
      <c r="A11750" s="7" t="s">
        <v>31</v>
      </c>
      <c r="B11750" s="7" t="s">
        <v>464</v>
      </c>
      <c r="C11750" s="7" t="s">
        <v>1151</v>
      </c>
      <c r="D11750" s="7" t="n">
        <v>0</v>
      </c>
      <c r="E11750" s="7" t="n">
        <v>0</v>
      </c>
      <c r="F11750" s="7" t="n">
        <v>6</v>
      </c>
      <c r="G11750" s="7" t="n">
        <v>57.11</v>
      </c>
    </row>
    <row r="11751" customFormat="false" ht="15" hidden="false" customHeight="false" outlineLevel="0" collapsed="false">
      <c r="A11751" s="7" t="s">
        <v>31</v>
      </c>
      <c r="B11751" s="7" t="s">
        <v>464</v>
      </c>
      <c r="C11751" s="7" t="s">
        <v>1151</v>
      </c>
      <c r="D11751" s="7" t="n">
        <v>20</v>
      </c>
      <c r="E11751" s="7" t="n">
        <v>218.91</v>
      </c>
      <c r="F11751" s="7" t="n">
        <v>0</v>
      </c>
      <c r="G11751" s="7" t="n">
        <v>0</v>
      </c>
    </row>
    <row r="11752" customFormat="false" ht="15" hidden="false" customHeight="false" outlineLevel="0" collapsed="false">
      <c r="A11752" s="7" t="s">
        <v>31</v>
      </c>
      <c r="B11752" s="7" t="s">
        <v>464</v>
      </c>
      <c r="C11752" s="7" t="s">
        <v>1151</v>
      </c>
      <c r="D11752" s="7" t="n">
        <v>0</v>
      </c>
      <c r="E11752" s="7" t="n">
        <v>0</v>
      </c>
      <c r="F11752" s="7" t="n">
        <v>10</v>
      </c>
      <c r="G11752" s="7" t="n">
        <v>99.38</v>
      </c>
    </row>
    <row r="11753" customFormat="false" ht="15" hidden="false" customHeight="false" outlineLevel="0" collapsed="false">
      <c r="A11753" s="7" t="s">
        <v>31</v>
      </c>
      <c r="B11753" s="7" t="s">
        <v>605</v>
      </c>
      <c r="C11753" s="7" t="s">
        <v>1152</v>
      </c>
      <c r="D11753" s="7" t="n">
        <v>20</v>
      </c>
      <c r="E11753" s="7" t="n">
        <v>198.23</v>
      </c>
      <c r="F11753" s="7" t="n">
        <v>0</v>
      </c>
      <c r="G11753" s="7" t="n">
        <v>0</v>
      </c>
    </row>
    <row r="11754" customFormat="false" ht="15" hidden="false" customHeight="false" outlineLevel="0" collapsed="false">
      <c r="A11754" s="7" t="s">
        <v>31</v>
      </c>
      <c r="B11754" s="7" t="s">
        <v>605</v>
      </c>
      <c r="C11754" s="7" t="s">
        <v>1152</v>
      </c>
      <c r="D11754" s="7" t="n">
        <v>0</v>
      </c>
      <c r="E11754" s="7" t="n">
        <v>0</v>
      </c>
      <c r="F11754" s="7" t="n">
        <v>20</v>
      </c>
      <c r="G11754" s="7" t="n">
        <v>180.32</v>
      </c>
    </row>
    <row r="11755" customFormat="false" ht="15" hidden="false" customHeight="false" outlineLevel="0" collapsed="false">
      <c r="A11755" s="7" t="s">
        <v>31</v>
      </c>
      <c r="B11755" s="7" t="s">
        <v>605</v>
      </c>
      <c r="C11755" s="7" t="s">
        <v>1152</v>
      </c>
      <c r="D11755" s="7" t="n">
        <v>0</v>
      </c>
      <c r="E11755" s="7" t="n">
        <v>0</v>
      </c>
      <c r="F11755" s="7" t="n">
        <v>40</v>
      </c>
      <c r="G11755" s="7" t="n">
        <v>378.26</v>
      </c>
    </row>
    <row r="11756" customFormat="false" ht="15" hidden="false" customHeight="false" outlineLevel="0" collapsed="false">
      <c r="A11756" s="7" t="s">
        <v>31</v>
      </c>
      <c r="B11756" s="7" t="s">
        <v>605</v>
      </c>
      <c r="C11756" s="7" t="s">
        <v>1152</v>
      </c>
      <c r="D11756" s="7" t="n">
        <v>10</v>
      </c>
      <c r="E11756" s="7" t="n">
        <v>109.39</v>
      </c>
      <c r="F11756" s="7" t="n">
        <v>0</v>
      </c>
      <c r="G11756" s="7" t="n">
        <v>0</v>
      </c>
    </row>
    <row r="11757" customFormat="false" ht="15" hidden="false" customHeight="false" outlineLevel="0" collapsed="false">
      <c r="A11757" s="7" t="s">
        <v>31</v>
      </c>
      <c r="B11757" s="7" t="s">
        <v>605</v>
      </c>
      <c r="C11757" s="7" t="s">
        <v>1152</v>
      </c>
      <c r="D11757" s="7" t="n">
        <v>25</v>
      </c>
      <c r="E11757" s="7" t="n">
        <v>249.53</v>
      </c>
      <c r="F11757" s="7" t="n">
        <v>0</v>
      </c>
      <c r="G11757" s="7" t="n">
        <v>0</v>
      </c>
    </row>
    <row r="11758" customFormat="false" ht="15" hidden="false" customHeight="false" outlineLevel="0" collapsed="false">
      <c r="A11758" s="7" t="s">
        <v>31</v>
      </c>
      <c r="B11758" s="7" t="s">
        <v>605</v>
      </c>
      <c r="C11758" s="7" t="s">
        <v>1152</v>
      </c>
      <c r="D11758" s="7" t="n">
        <v>0</v>
      </c>
      <c r="E11758" s="7" t="n">
        <v>0</v>
      </c>
      <c r="F11758" s="7" t="n">
        <v>30</v>
      </c>
      <c r="G11758" s="7" t="n">
        <v>290.19</v>
      </c>
    </row>
    <row r="11759" customFormat="false" ht="15" hidden="false" customHeight="false" outlineLevel="0" collapsed="false">
      <c r="A11759" s="7" t="s">
        <v>31</v>
      </c>
      <c r="B11759" s="7" t="s">
        <v>605</v>
      </c>
      <c r="C11759" s="7" t="s">
        <v>1152</v>
      </c>
      <c r="D11759" s="7" t="n">
        <v>0</v>
      </c>
      <c r="E11759" s="7" t="n">
        <v>0</v>
      </c>
      <c r="F11759" s="7" t="n">
        <v>30</v>
      </c>
      <c r="G11759" s="7" t="n">
        <v>271.72</v>
      </c>
    </row>
    <row r="11760" customFormat="false" ht="15" hidden="false" customHeight="false" outlineLevel="0" collapsed="false">
      <c r="A11760" s="7" t="s">
        <v>31</v>
      </c>
      <c r="B11760" s="7" t="s">
        <v>605</v>
      </c>
      <c r="C11760" s="7" t="s">
        <v>1152</v>
      </c>
      <c r="D11760" s="7" t="n">
        <v>15</v>
      </c>
      <c r="E11760" s="7" t="n">
        <v>155.22</v>
      </c>
      <c r="F11760" s="7" t="n">
        <v>0</v>
      </c>
      <c r="G11760" s="7" t="n">
        <v>0</v>
      </c>
    </row>
    <row r="11761" customFormat="false" ht="15" hidden="false" customHeight="false" outlineLevel="0" collapsed="false">
      <c r="A11761" s="7" t="s">
        <v>31</v>
      </c>
      <c r="B11761" s="7" t="s">
        <v>605</v>
      </c>
      <c r="C11761" s="7" t="s">
        <v>1152</v>
      </c>
      <c r="D11761" s="7" t="n">
        <v>30</v>
      </c>
      <c r="E11761" s="7" t="n">
        <v>312.47</v>
      </c>
      <c r="F11761" s="7" t="n">
        <v>0</v>
      </c>
      <c r="G11761" s="7" t="n">
        <v>0</v>
      </c>
    </row>
    <row r="11762" customFormat="false" ht="15" hidden="false" customHeight="false" outlineLevel="0" collapsed="false">
      <c r="A11762" s="7" t="s">
        <v>31</v>
      </c>
      <c r="B11762" s="7" t="s">
        <v>618</v>
      </c>
      <c r="C11762" s="7" t="s">
        <v>1152</v>
      </c>
      <c r="D11762" s="7" t="n">
        <v>30</v>
      </c>
      <c r="E11762" s="7" t="n">
        <v>310.45</v>
      </c>
      <c r="F11762" s="7" t="n">
        <v>0</v>
      </c>
      <c r="G11762" s="7" t="n">
        <v>0</v>
      </c>
    </row>
    <row r="11763" customFormat="false" ht="15" hidden="false" customHeight="false" outlineLevel="0" collapsed="false">
      <c r="A11763" s="7" t="s">
        <v>31</v>
      </c>
      <c r="B11763" s="7" t="s">
        <v>618</v>
      </c>
      <c r="C11763" s="7" t="s">
        <v>1152</v>
      </c>
      <c r="D11763" s="7" t="n">
        <v>0</v>
      </c>
      <c r="E11763" s="7" t="n">
        <v>0</v>
      </c>
      <c r="F11763" s="7" t="n">
        <v>30</v>
      </c>
      <c r="G11763" s="7" t="n">
        <v>271.72</v>
      </c>
    </row>
    <row r="11764" customFormat="false" ht="15" hidden="false" customHeight="false" outlineLevel="0" collapsed="false">
      <c r="A11764" s="7" t="s">
        <v>31</v>
      </c>
      <c r="B11764" s="7" t="s">
        <v>618</v>
      </c>
      <c r="C11764" s="7" t="s">
        <v>1152</v>
      </c>
      <c r="D11764" s="7" t="n">
        <v>0</v>
      </c>
      <c r="E11764" s="7" t="n">
        <v>0</v>
      </c>
      <c r="F11764" s="7" t="n">
        <v>20</v>
      </c>
      <c r="G11764" s="7" t="n">
        <v>180.32</v>
      </c>
    </row>
    <row r="11765" customFormat="false" ht="15" hidden="false" customHeight="false" outlineLevel="0" collapsed="false">
      <c r="A11765" s="7" t="s">
        <v>31</v>
      </c>
      <c r="B11765" s="7" t="s">
        <v>618</v>
      </c>
      <c r="C11765" s="7" t="s">
        <v>1152</v>
      </c>
      <c r="D11765" s="7" t="n">
        <v>0</v>
      </c>
      <c r="E11765" s="7" t="n">
        <v>0</v>
      </c>
      <c r="F11765" s="7" t="n">
        <v>70</v>
      </c>
      <c r="G11765" s="7" t="n">
        <v>661.96</v>
      </c>
    </row>
    <row r="11766" customFormat="false" ht="15" hidden="false" customHeight="false" outlineLevel="0" collapsed="false">
      <c r="A11766" s="7" t="s">
        <v>31</v>
      </c>
      <c r="B11766" s="7" t="s">
        <v>618</v>
      </c>
      <c r="C11766" s="7" t="s">
        <v>1152</v>
      </c>
      <c r="D11766" s="7" t="n">
        <v>40</v>
      </c>
      <c r="E11766" s="7" t="n">
        <v>396.47</v>
      </c>
      <c r="F11766" s="7" t="n">
        <v>0</v>
      </c>
      <c r="G11766" s="7" t="n">
        <v>0</v>
      </c>
    </row>
    <row r="11767" customFormat="false" ht="15" hidden="false" customHeight="false" outlineLevel="0" collapsed="false">
      <c r="A11767" s="7" t="s">
        <v>31</v>
      </c>
      <c r="B11767" s="7" t="s">
        <v>618</v>
      </c>
      <c r="C11767" s="7" t="s">
        <v>1152</v>
      </c>
      <c r="D11767" s="7" t="n">
        <v>10</v>
      </c>
      <c r="E11767" s="7" t="n">
        <v>109.39</v>
      </c>
      <c r="F11767" s="7" t="n">
        <v>0</v>
      </c>
      <c r="G11767" s="7" t="n">
        <v>0</v>
      </c>
    </row>
    <row r="11768" customFormat="false" ht="15" hidden="false" customHeight="false" outlineLevel="0" collapsed="false">
      <c r="A11768" s="7" t="s">
        <v>31</v>
      </c>
      <c r="B11768" s="7" t="s">
        <v>618</v>
      </c>
      <c r="C11768" s="7" t="s">
        <v>1152</v>
      </c>
      <c r="D11768" s="7" t="n">
        <v>0</v>
      </c>
      <c r="E11768" s="7" t="n">
        <v>0</v>
      </c>
      <c r="F11768" s="7" t="n">
        <v>30</v>
      </c>
      <c r="G11768" s="7" t="n">
        <v>290.19</v>
      </c>
    </row>
    <row r="11769" customFormat="false" ht="15" hidden="false" customHeight="false" outlineLevel="0" collapsed="false">
      <c r="A11769" s="7" t="s">
        <v>31</v>
      </c>
      <c r="B11769" s="7" t="s">
        <v>618</v>
      </c>
      <c r="C11769" s="7" t="s">
        <v>1152</v>
      </c>
      <c r="D11769" s="7" t="n">
        <v>30</v>
      </c>
      <c r="E11769" s="7" t="n">
        <v>312.47</v>
      </c>
      <c r="F11769" s="7" t="n">
        <v>0</v>
      </c>
      <c r="G11769" s="7" t="n">
        <v>0</v>
      </c>
    </row>
    <row r="11770" customFormat="false" ht="15" hidden="false" customHeight="false" outlineLevel="0" collapsed="false">
      <c r="A11770" s="7" t="s">
        <v>31</v>
      </c>
      <c r="B11770" s="7" t="s">
        <v>618</v>
      </c>
      <c r="C11770" s="7" t="s">
        <v>1152</v>
      </c>
      <c r="D11770" s="7" t="n">
        <v>25</v>
      </c>
      <c r="E11770" s="7" t="n">
        <v>249.53</v>
      </c>
      <c r="F11770" s="7" t="n">
        <v>0</v>
      </c>
      <c r="G11770" s="7" t="n">
        <v>0</v>
      </c>
    </row>
    <row r="11771" customFormat="false" ht="15" hidden="false" customHeight="false" outlineLevel="0" collapsed="false">
      <c r="A11771" s="7" t="s">
        <v>31</v>
      </c>
      <c r="B11771" s="7" t="s">
        <v>702</v>
      </c>
      <c r="C11771" s="7" t="s">
        <v>1152</v>
      </c>
      <c r="D11771" s="7" t="n">
        <v>10</v>
      </c>
      <c r="E11771" s="7" t="n">
        <v>104.16</v>
      </c>
      <c r="F11771" s="7" t="n">
        <v>0</v>
      </c>
      <c r="G11771" s="7" t="n">
        <v>0</v>
      </c>
    </row>
    <row r="11772" customFormat="false" ht="15" hidden="false" customHeight="false" outlineLevel="0" collapsed="false">
      <c r="A11772" s="7" t="s">
        <v>31</v>
      </c>
      <c r="B11772" s="7" t="s">
        <v>702</v>
      </c>
      <c r="C11772" s="7" t="s">
        <v>1152</v>
      </c>
      <c r="D11772" s="7" t="n">
        <v>0</v>
      </c>
      <c r="E11772" s="7" t="n">
        <v>0</v>
      </c>
      <c r="F11772" s="7" t="n">
        <v>15</v>
      </c>
      <c r="G11772" s="7" t="n">
        <v>141.85</v>
      </c>
    </row>
    <row r="11773" customFormat="false" ht="15" hidden="false" customHeight="false" outlineLevel="0" collapsed="false">
      <c r="A11773" s="7" t="s">
        <v>31</v>
      </c>
      <c r="B11773" s="7" t="s">
        <v>702</v>
      </c>
      <c r="C11773" s="7" t="s">
        <v>1152</v>
      </c>
      <c r="D11773" s="7" t="n">
        <v>0</v>
      </c>
      <c r="E11773" s="7" t="n">
        <v>0</v>
      </c>
      <c r="F11773" s="7" t="n">
        <v>15</v>
      </c>
      <c r="G11773" s="7" t="n">
        <v>145.1</v>
      </c>
    </row>
    <row r="11774" customFormat="false" ht="15" hidden="false" customHeight="false" outlineLevel="0" collapsed="false">
      <c r="A11774" s="7" t="s">
        <v>31</v>
      </c>
      <c r="B11774" s="7" t="s">
        <v>702</v>
      </c>
      <c r="C11774" s="7" t="s">
        <v>1152</v>
      </c>
      <c r="D11774" s="7" t="n">
        <v>0</v>
      </c>
      <c r="E11774" s="7" t="n">
        <v>0</v>
      </c>
      <c r="F11774" s="7" t="n">
        <v>30</v>
      </c>
      <c r="G11774" s="7" t="n">
        <v>270.47</v>
      </c>
    </row>
    <row r="11775" customFormat="false" ht="15" hidden="false" customHeight="false" outlineLevel="0" collapsed="false">
      <c r="A11775" s="7" t="s">
        <v>31</v>
      </c>
      <c r="B11775" s="7" t="s">
        <v>702</v>
      </c>
      <c r="C11775" s="7" t="s">
        <v>1152</v>
      </c>
      <c r="D11775" s="7" t="n">
        <v>15</v>
      </c>
      <c r="E11775" s="7" t="n">
        <v>148.67</v>
      </c>
      <c r="F11775" s="7" t="n">
        <v>0</v>
      </c>
      <c r="G11775" s="7" t="n">
        <v>0</v>
      </c>
    </row>
    <row r="11776" customFormat="false" ht="15" hidden="false" customHeight="false" outlineLevel="0" collapsed="false">
      <c r="A11776" s="7" t="s">
        <v>31</v>
      </c>
      <c r="B11776" s="7" t="s">
        <v>702</v>
      </c>
      <c r="C11776" s="7" t="s">
        <v>1152</v>
      </c>
      <c r="D11776" s="7" t="n">
        <v>10</v>
      </c>
      <c r="E11776" s="7" t="n">
        <v>99.81</v>
      </c>
      <c r="F11776" s="7" t="n">
        <v>0</v>
      </c>
      <c r="G11776" s="7" t="n">
        <v>0</v>
      </c>
    </row>
    <row r="11777" customFormat="false" ht="15" hidden="false" customHeight="false" outlineLevel="0" collapsed="false">
      <c r="A11777" s="7" t="s">
        <v>31</v>
      </c>
      <c r="B11777" s="7" t="s">
        <v>635</v>
      </c>
      <c r="C11777" s="7" t="s">
        <v>1152</v>
      </c>
      <c r="D11777" s="7" t="n">
        <v>0</v>
      </c>
      <c r="E11777" s="7" t="n">
        <v>0</v>
      </c>
      <c r="F11777" s="7" t="n">
        <v>10</v>
      </c>
      <c r="G11777" s="7" t="n">
        <v>96.73</v>
      </c>
    </row>
    <row r="11778" customFormat="false" ht="15" hidden="false" customHeight="false" outlineLevel="0" collapsed="false">
      <c r="A11778" s="7" t="s">
        <v>31</v>
      </c>
      <c r="B11778" s="7" t="s">
        <v>635</v>
      </c>
      <c r="C11778" s="7" t="s">
        <v>1152</v>
      </c>
      <c r="D11778" s="7" t="n">
        <v>10</v>
      </c>
      <c r="E11778" s="7" t="n">
        <v>99.12</v>
      </c>
      <c r="F11778" s="7" t="n">
        <v>0</v>
      </c>
      <c r="G11778" s="7" t="n">
        <v>0</v>
      </c>
    </row>
    <row r="11779" customFormat="false" ht="15" hidden="false" customHeight="false" outlineLevel="0" collapsed="false">
      <c r="A11779" s="7" t="s">
        <v>31</v>
      </c>
      <c r="B11779" s="7" t="s">
        <v>635</v>
      </c>
      <c r="C11779" s="7" t="s">
        <v>1152</v>
      </c>
      <c r="D11779" s="7" t="n">
        <v>0</v>
      </c>
      <c r="E11779" s="7" t="n">
        <v>0</v>
      </c>
      <c r="F11779" s="7" t="n">
        <v>15</v>
      </c>
      <c r="G11779" s="7" t="n">
        <v>135.23</v>
      </c>
    </row>
    <row r="11780" customFormat="false" ht="15" hidden="false" customHeight="false" outlineLevel="0" collapsed="false">
      <c r="A11780" s="7" t="s">
        <v>31</v>
      </c>
      <c r="B11780" s="7" t="s">
        <v>635</v>
      </c>
      <c r="C11780" s="7" t="s">
        <v>1152</v>
      </c>
      <c r="D11780" s="7" t="n">
        <v>10</v>
      </c>
      <c r="E11780" s="7" t="n">
        <v>109.39</v>
      </c>
      <c r="F11780" s="7" t="n">
        <v>0</v>
      </c>
      <c r="G11780" s="7" t="n">
        <v>0</v>
      </c>
    </row>
    <row r="11781" customFormat="false" ht="15" hidden="false" customHeight="false" outlineLevel="0" collapsed="false">
      <c r="A11781" s="7" t="s">
        <v>31</v>
      </c>
      <c r="B11781" s="7" t="s">
        <v>635</v>
      </c>
      <c r="C11781" s="7" t="s">
        <v>1152</v>
      </c>
      <c r="D11781" s="7" t="n">
        <v>0</v>
      </c>
      <c r="E11781" s="7" t="n">
        <v>0</v>
      </c>
      <c r="F11781" s="7" t="n">
        <v>6</v>
      </c>
      <c r="G11781" s="7" t="n">
        <v>56.74</v>
      </c>
    </row>
    <row r="11782" customFormat="false" ht="15" hidden="false" customHeight="false" outlineLevel="0" collapsed="false">
      <c r="A11782" s="7" t="s">
        <v>31</v>
      </c>
      <c r="B11782" s="7" t="s">
        <v>635</v>
      </c>
      <c r="C11782" s="7" t="s">
        <v>1152</v>
      </c>
      <c r="D11782" s="7" t="n">
        <v>20</v>
      </c>
      <c r="E11782" s="7" t="n">
        <v>208.31</v>
      </c>
      <c r="F11782" s="7" t="n">
        <v>0</v>
      </c>
      <c r="G11782" s="7" t="n">
        <v>0</v>
      </c>
    </row>
    <row r="11783" customFormat="false" ht="15" hidden="false" customHeight="false" outlineLevel="0" collapsed="false">
      <c r="A11783" s="7" t="s">
        <v>31</v>
      </c>
      <c r="B11783" s="7" t="s">
        <v>635</v>
      </c>
      <c r="C11783" s="7" t="s">
        <v>1152</v>
      </c>
      <c r="D11783" s="7" t="n">
        <v>20</v>
      </c>
      <c r="E11783" s="7" t="n">
        <v>199.62</v>
      </c>
      <c r="F11783" s="7" t="n">
        <v>0</v>
      </c>
      <c r="G11783" s="7" t="n">
        <v>0</v>
      </c>
    </row>
    <row r="11784" customFormat="false" ht="15" hidden="false" customHeight="false" outlineLevel="0" collapsed="false">
      <c r="A11784" s="7" t="s">
        <v>31</v>
      </c>
      <c r="B11784" s="7" t="s">
        <v>635</v>
      </c>
      <c r="C11784" s="7" t="s">
        <v>1152</v>
      </c>
      <c r="D11784" s="7" t="n">
        <v>0</v>
      </c>
      <c r="E11784" s="7" t="n">
        <v>0</v>
      </c>
      <c r="F11784" s="7" t="n">
        <v>20</v>
      </c>
      <c r="G11784" s="7" t="n">
        <v>181.14</v>
      </c>
    </row>
    <row r="11785" customFormat="false" ht="15" hidden="false" customHeight="false" outlineLevel="0" collapsed="false">
      <c r="A11785" s="7" t="s">
        <v>31</v>
      </c>
      <c r="B11785" s="7" t="s">
        <v>613</v>
      </c>
      <c r="C11785" s="7" t="s">
        <v>1152</v>
      </c>
      <c r="D11785" s="7" t="n">
        <v>6</v>
      </c>
      <c r="E11785" s="7" t="n">
        <v>59.89</v>
      </c>
      <c r="F11785" s="7" t="n">
        <v>0</v>
      </c>
      <c r="G11785" s="7" t="n">
        <v>0</v>
      </c>
    </row>
    <row r="11786" customFormat="false" ht="15" hidden="false" customHeight="false" outlineLevel="0" collapsed="false">
      <c r="A11786" s="7" t="s">
        <v>31</v>
      </c>
      <c r="B11786" s="7" t="s">
        <v>613</v>
      </c>
      <c r="C11786" s="7" t="s">
        <v>1152</v>
      </c>
      <c r="D11786" s="7" t="n">
        <v>0</v>
      </c>
      <c r="E11786" s="7" t="n">
        <v>0</v>
      </c>
      <c r="F11786" s="7" t="n">
        <v>6</v>
      </c>
      <c r="G11786" s="7" t="n">
        <v>54.34</v>
      </c>
    </row>
    <row r="11787" customFormat="false" ht="15" hidden="false" customHeight="false" outlineLevel="0" collapsed="false">
      <c r="A11787" s="7" t="s">
        <v>31</v>
      </c>
      <c r="B11787" s="7" t="s">
        <v>613</v>
      </c>
      <c r="C11787" s="7" t="s">
        <v>1152</v>
      </c>
      <c r="D11787" s="7" t="n">
        <v>0</v>
      </c>
      <c r="E11787" s="7" t="n">
        <v>0</v>
      </c>
      <c r="F11787" s="7" t="n">
        <v>6</v>
      </c>
      <c r="G11787" s="7" t="n">
        <v>56.74</v>
      </c>
    </row>
    <row r="11788" customFormat="false" ht="15" hidden="false" customHeight="false" outlineLevel="0" collapsed="false">
      <c r="A11788" s="7" t="s">
        <v>31</v>
      </c>
      <c r="B11788" s="7" t="s">
        <v>613</v>
      </c>
      <c r="C11788" s="7" t="s">
        <v>1152</v>
      </c>
      <c r="D11788" s="7" t="n">
        <v>0</v>
      </c>
      <c r="E11788" s="7" t="n">
        <v>0</v>
      </c>
      <c r="F11788" s="7" t="n">
        <v>6</v>
      </c>
      <c r="G11788" s="7" t="n">
        <v>58.04</v>
      </c>
    </row>
    <row r="11789" customFormat="false" ht="15" hidden="false" customHeight="false" outlineLevel="0" collapsed="false">
      <c r="A11789" s="7" t="s">
        <v>31</v>
      </c>
      <c r="B11789" s="7" t="s">
        <v>613</v>
      </c>
      <c r="C11789" s="7" t="s">
        <v>1152</v>
      </c>
      <c r="D11789" s="7" t="n">
        <v>0</v>
      </c>
      <c r="E11789" s="7" t="n">
        <v>0</v>
      </c>
      <c r="F11789" s="7" t="n">
        <v>6</v>
      </c>
      <c r="G11789" s="7" t="n">
        <v>54.09</v>
      </c>
    </row>
    <row r="11790" customFormat="false" ht="15" hidden="false" customHeight="false" outlineLevel="0" collapsed="false">
      <c r="A11790" s="7" t="s">
        <v>31</v>
      </c>
      <c r="B11790" s="7" t="s">
        <v>216</v>
      </c>
      <c r="C11790" s="7" t="s">
        <v>1051</v>
      </c>
      <c r="D11790" s="7" t="n">
        <v>0</v>
      </c>
      <c r="E11790" s="7" t="n">
        <v>0</v>
      </c>
      <c r="F11790" s="7" t="n">
        <v>30</v>
      </c>
      <c r="G11790" s="7" t="n">
        <v>698.42</v>
      </c>
    </row>
    <row r="11791" customFormat="false" ht="15" hidden="false" customHeight="false" outlineLevel="0" collapsed="false">
      <c r="A11791" s="7" t="s">
        <v>31</v>
      </c>
      <c r="B11791" s="7" t="s">
        <v>216</v>
      </c>
      <c r="C11791" s="7" t="s">
        <v>1051</v>
      </c>
      <c r="D11791" s="7" t="n">
        <v>60</v>
      </c>
      <c r="E11791" s="7" t="n">
        <v>1441.35</v>
      </c>
      <c r="F11791" s="7" t="n">
        <v>0</v>
      </c>
      <c r="G11791" s="7" t="n">
        <v>0</v>
      </c>
    </row>
    <row r="11792" customFormat="false" ht="15" hidden="false" customHeight="false" outlineLevel="0" collapsed="false">
      <c r="A11792" s="7" t="s">
        <v>31</v>
      </c>
      <c r="B11792" s="7" t="s">
        <v>216</v>
      </c>
      <c r="C11792" s="7" t="s">
        <v>1051</v>
      </c>
      <c r="D11792" s="7" t="n">
        <v>20</v>
      </c>
      <c r="E11792" s="7" t="n">
        <v>477.1</v>
      </c>
      <c r="F11792" s="7" t="n">
        <v>0</v>
      </c>
      <c r="G11792" s="7" t="n">
        <v>0</v>
      </c>
    </row>
    <row r="11793" customFormat="false" ht="15" hidden="false" customHeight="false" outlineLevel="0" collapsed="false">
      <c r="A11793" s="7" t="s">
        <v>31</v>
      </c>
      <c r="B11793" s="7" t="s">
        <v>216</v>
      </c>
      <c r="C11793" s="7" t="s">
        <v>1051</v>
      </c>
      <c r="D11793" s="7" t="n">
        <v>60</v>
      </c>
      <c r="E11793" s="7" t="n">
        <v>1494.38</v>
      </c>
      <c r="F11793" s="7" t="n">
        <v>0</v>
      </c>
      <c r="G11793" s="7" t="n">
        <v>0</v>
      </c>
    </row>
    <row r="11794" customFormat="false" ht="15" hidden="false" customHeight="false" outlineLevel="0" collapsed="false">
      <c r="A11794" s="7" t="s">
        <v>31</v>
      </c>
      <c r="B11794" s="7" t="s">
        <v>216</v>
      </c>
      <c r="C11794" s="7" t="s">
        <v>1051</v>
      </c>
      <c r="D11794" s="7" t="n">
        <v>0</v>
      </c>
      <c r="E11794" s="7" t="n">
        <v>0</v>
      </c>
      <c r="F11794" s="7" t="n">
        <v>60</v>
      </c>
      <c r="G11794" s="7" t="n">
        <v>1307.93</v>
      </c>
    </row>
    <row r="11795" customFormat="false" ht="15" hidden="false" customHeight="false" outlineLevel="0" collapsed="false">
      <c r="A11795" s="7" t="s">
        <v>31</v>
      </c>
      <c r="B11795" s="7" t="s">
        <v>216</v>
      </c>
      <c r="C11795" s="7" t="s">
        <v>1051</v>
      </c>
      <c r="D11795" s="7" t="n">
        <v>0</v>
      </c>
      <c r="E11795" s="7" t="n">
        <v>0</v>
      </c>
      <c r="F11795" s="7" t="n">
        <v>70</v>
      </c>
      <c r="G11795" s="7" t="n">
        <v>1518.89</v>
      </c>
    </row>
    <row r="11796" customFormat="false" ht="15" hidden="false" customHeight="false" outlineLevel="0" collapsed="false">
      <c r="A11796" s="7" t="s">
        <v>31</v>
      </c>
      <c r="B11796" s="7" t="s">
        <v>216</v>
      </c>
      <c r="C11796" s="7" t="s">
        <v>1051</v>
      </c>
      <c r="D11796" s="7" t="n">
        <v>50</v>
      </c>
      <c r="E11796" s="7" t="n">
        <v>1253.4</v>
      </c>
      <c r="F11796" s="7" t="n">
        <v>0</v>
      </c>
      <c r="G11796" s="7" t="n">
        <v>0</v>
      </c>
    </row>
    <row r="11797" customFormat="false" ht="15" hidden="false" customHeight="false" outlineLevel="0" collapsed="false">
      <c r="A11797" s="7" t="s">
        <v>31</v>
      </c>
      <c r="B11797" s="7" t="s">
        <v>216</v>
      </c>
      <c r="C11797" s="7" t="s">
        <v>1051</v>
      </c>
      <c r="D11797" s="7" t="n">
        <v>30</v>
      </c>
      <c r="E11797" s="7" t="n">
        <v>789.82</v>
      </c>
      <c r="F11797" s="7" t="n">
        <v>0</v>
      </c>
      <c r="G11797" s="7" t="n">
        <v>0</v>
      </c>
    </row>
    <row r="11798" customFormat="false" ht="15" hidden="false" customHeight="false" outlineLevel="0" collapsed="false">
      <c r="A11798" s="7" t="s">
        <v>31</v>
      </c>
      <c r="B11798" s="7" t="s">
        <v>125</v>
      </c>
      <c r="C11798" s="7" t="s">
        <v>1052</v>
      </c>
      <c r="D11798" s="7" t="n">
        <v>0</v>
      </c>
      <c r="E11798" s="7" t="n">
        <v>0</v>
      </c>
      <c r="F11798" s="7" t="n">
        <v>60</v>
      </c>
      <c r="G11798" s="7" t="n">
        <v>1381.62</v>
      </c>
    </row>
    <row r="11799" customFormat="false" ht="15" hidden="false" customHeight="false" outlineLevel="0" collapsed="false">
      <c r="A11799" s="7" t="s">
        <v>31</v>
      </c>
      <c r="B11799" s="7" t="s">
        <v>125</v>
      </c>
      <c r="C11799" s="7" t="s">
        <v>1052</v>
      </c>
      <c r="D11799" s="7" t="n">
        <v>20</v>
      </c>
      <c r="E11799" s="7" t="n">
        <v>503.98</v>
      </c>
      <c r="F11799" s="7" t="n">
        <v>0</v>
      </c>
      <c r="G11799" s="7" t="n">
        <v>0</v>
      </c>
    </row>
    <row r="11800" customFormat="false" ht="15" hidden="false" customHeight="false" outlineLevel="0" collapsed="false">
      <c r="A11800" s="7" t="s">
        <v>31</v>
      </c>
      <c r="B11800" s="7" t="s">
        <v>125</v>
      </c>
      <c r="C11800" s="7" t="s">
        <v>1052</v>
      </c>
      <c r="D11800" s="7" t="n">
        <v>60</v>
      </c>
      <c r="E11800" s="7" t="n">
        <v>1588.81</v>
      </c>
      <c r="F11800" s="7" t="n">
        <v>0</v>
      </c>
      <c r="G11800" s="7" t="n">
        <v>0</v>
      </c>
    </row>
    <row r="11801" customFormat="false" ht="15" hidden="false" customHeight="false" outlineLevel="0" collapsed="false">
      <c r="A11801" s="7" t="s">
        <v>31</v>
      </c>
      <c r="B11801" s="7" t="s">
        <v>125</v>
      </c>
      <c r="C11801" s="7" t="s">
        <v>1052</v>
      </c>
      <c r="D11801" s="7" t="n">
        <v>0</v>
      </c>
      <c r="E11801" s="7" t="n">
        <v>0</v>
      </c>
      <c r="F11801" s="7" t="n">
        <v>50</v>
      </c>
      <c r="G11801" s="7" t="n">
        <v>1202.11</v>
      </c>
    </row>
    <row r="11802" customFormat="false" ht="15" hidden="false" customHeight="false" outlineLevel="0" collapsed="false">
      <c r="A11802" s="7" t="s">
        <v>31</v>
      </c>
      <c r="B11802" s="7" t="s">
        <v>125</v>
      </c>
      <c r="C11802" s="7" t="s">
        <v>1052</v>
      </c>
      <c r="D11802" s="7" t="n">
        <v>0</v>
      </c>
      <c r="E11802" s="7" t="n">
        <v>0</v>
      </c>
      <c r="F11802" s="7" t="n">
        <v>20</v>
      </c>
      <c r="G11802" s="7" t="n">
        <v>458.42</v>
      </c>
    </row>
    <row r="11803" customFormat="false" ht="15" hidden="false" customHeight="false" outlineLevel="0" collapsed="false">
      <c r="A11803" s="7" t="s">
        <v>31</v>
      </c>
      <c r="B11803" s="7" t="s">
        <v>125</v>
      </c>
      <c r="C11803" s="7" t="s">
        <v>1052</v>
      </c>
      <c r="D11803" s="7" t="n">
        <v>50</v>
      </c>
      <c r="E11803" s="7" t="n">
        <v>1390.54</v>
      </c>
      <c r="F11803" s="7" t="n">
        <v>0</v>
      </c>
      <c r="G11803" s="7" t="n">
        <v>0</v>
      </c>
    </row>
    <row r="11804" customFormat="false" ht="15" hidden="false" customHeight="false" outlineLevel="0" collapsed="false">
      <c r="A11804" s="7" t="s">
        <v>31</v>
      </c>
      <c r="B11804" s="7" t="s">
        <v>125</v>
      </c>
      <c r="C11804" s="7" t="s">
        <v>1052</v>
      </c>
      <c r="D11804" s="7" t="n">
        <v>60</v>
      </c>
      <c r="E11804" s="7" t="n">
        <v>1578.57</v>
      </c>
      <c r="F11804" s="7" t="n">
        <v>0</v>
      </c>
      <c r="G11804" s="7" t="n">
        <v>0</v>
      </c>
    </row>
    <row r="11805" customFormat="false" ht="15" hidden="false" customHeight="false" outlineLevel="0" collapsed="false">
      <c r="A11805" s="7" t="s">
        <v>31</v>
      </c>
      <c r="B11805" s="7" t="s">
        <v>125</v>
      </c>
      <c r="C11805" s="7" t="s">
        <v>1052</v>
      </c>
      <c r="D11805" s="7" t="n">
        <v>50</v>
      </c>
      <c r="E11805" s="7" t="n">
        <v>1268.8</v>
      </c>
      <c r="F11805" s="7" t="n">
        <v>0</v>
      </c>
      <c r="G11805" s="7" t="n">
        <v>0</v>
      </c>
    </row>
    <row r="11806" customFormat="false" ht="15" hidden="false" customHeight="false" outlineLevel="0" collapsed="false">
      <c r="A11806" s="7" t="s">
        <v>31</v>
      </c>
      <c r="B11806" s="7" t="s">
        <v>125</v>
      </c>
      <c r="C11806" s="7" t="s">
        <v>1052</v>
      </c>
      <c r="D11806" s="7" t="n">
        <v>0</v>
      </c>
      <c r="E11806" s="7" t="n">
        <v>0</v>
      </c>
      <c r="F11806" s="7" t="n">
        <v>40</v>
      </c>
      <c r="G11806" s="7" t="n">
        <v>983.69</v>
      </c>
    </row>
    <row r="11807" customFormat="false" ht="15" hidden="false" customHeight="false" outlineLevel="0" collapsed="false">
      <c r="A11807" s="7" t="s">
        <v>31</v>
      </c>
      <c r="B11807" s="7" t="s">
        <v>639</v>
      </c>
      <c r="C11807" s="7" t="s">
        <v>1224</v>
      </c>
      <c r="D11807" s="7" t="n">
        <v>0</v>
      </c>
      <c r="E11807" s="7" t="n">
        <v>0</v>
      </c>
      <c r="F11807" s="7" t="n">
        <v>6</v>
      </c>
      <c r="G11807" s="7" t="n">
        <v>173.11</v>
      </c>
    </row>
    <row r="11808" customFormat="false" ht="15" hidden="false" customHeight="false" outlineLevel="0" collapsed="false">
      <c r="A11808" s="7" t="s">
        <v>31</v>
      </c>
      <c r="B11808" s="7" t="s">
        <v>639</v>
      </c>
      <c r="C11808" s="7" t="s">
        <v>1224</v>
      </c>
      <c r="D11808" s="7" t="n">
        <v>0</v>
      </c>
      <c r="E11808" s="7" t="n">
        <v>0</v>
      </c>
      <c r="F11808" s="7" t="n">
        <v>15</v>
      </c>
      <c r="G11808" s="7" t="n">
        <v>414.49</v>
      </c>
    </row>
    <row r="11809" customFormat="false" ht="15" hidden="false" customHeight="false" outlineLevel="0" collapsed="false">
      <c r="A11809" s="7" t="s">
        <v>31</v>
      </c>
      <c r="B11809" s="7" t="s">
        <v>159</v>
      </c>
      <c r="C11809" s="7" t="s">
        <v>1087</v>
      </c>
      <c r="D11809" s="7" t="n">
        <v>6</v>
      </c>
      <c r="E11809" s="7" t="n">
        <v>84.19</v>
      </c>
      <c r="F11809" s="7" t="n">
        <v>0</v>
      </c>
      <c r="G11809" s="7" t="n">
        <v>0</v>
      </c>
    </row>
    <row r="11810" customFormat="false" ht="15" hidden="false" customHeight="false" outlineLevel="0" collapsed="false">
      <c r="A11810" s="7" t="s">
        <v>31</v>
      </c>
      <c r="B11810" s="7" t="s">
        <v>159</v>
      </c>
      <c r="C11810" s="7" t="s">
        <v>1087</v>
      </c>
      <c r="D11810" s="7" t="n">
        <v>0</v>
      </c>
      <c r="E11810" s="7" t="n">
        <v>0</v>
      </c>
      <c r="F11810" s="7" t="n">
        <v>6</v>
      </c>
      <c r="G11810" s="7" t="n">
        <v>78.7</v>
      </c>
    </row>
    <row r="11811" customFormat="false" ht="15" hidden="false" customHeight="false" outlineLevel="0" collapsed="false">
      <c r="A11811" s="7" t="s">
        <v>31</v>
      </c>
      <c r="B11811" s="7" t="s">
        <v>159</v>
      </c>
      <c r="C11811" s="7" t="s">
        <v>1087</v>
      </c>
      <c r="D11811" s="7" t="n">
        <v>0</v>
      </c>
      <c r="E11811" s="7" t="n">
        <v>0</v>
      </c>
      <c r="F11811" s="7" t="n">
        <v>6</v>
      </c>
      <c r="G11811" s="7" t="n">
        <v>73.35</v>
      </c>
    </row>
    <row r="11812" customFormat="false" ht="15" hidden="false" customHeight="false" outlineLevel="0" collapsed="false">
      <c r="A11812" s="7" t="s">
        <v>31</v>
      </c>
      <c r="B11812" s="7" t="s">
        <v>159</v>
      </c>
      <c r="C11812" s="7" t="s">
        <v>1087</v>
      </c>
      <c r="D11812" s="7" t="n">
        <v>0</v>
      </c>
      <c r="E11812" s="7" t="n">
        <v>0</v>
      </c>
      <c r="F11812" s="7" t="n">
        <v>6</v>
      </c>
      <c r="G11812" s="7" t="n">
        <v>73.68</v>
      </c>
    </row>
    <row r="11813" customFormat="false" ht="15" hidden="false" customHeight="false" outlineLevel="0" collapsed="false">
      <c r="A11813" s="7" t="s">
        <v>31</v>
      </c>
      <c r="B11813" s="7" t="s">
        <v>185</v>
      </c>
      <c r="C11813" s="7" t="s">
        <v>1053</v>
      </c>
      <c r="D11813" s="7" t="n">
        <v>0</v>
      </c>
      <c r="E11813" s="7" t="n">
        <v>0</v>
      </c>
      <c r="F11813" s="7" t="n">
        <v>90</v>
      </c>
      <c r="G11813" s="7" t="n">
        <v>1269.42</v>
      </c>
    </row>
    <row r="11814" customFormat="false" ht="15" hidden="false" customHeight="false" outlineLevel="0" collapsed="false">
      <c r="A11814" s="7" t="s">
        <v>31</v>
      </c>
      <c r="B11814" s="7" t="s">
        <v>185</v>
      </c>
      <c r="C11814" s="7" t="s">
        <v>1053</v>
      </c>
      <c r="D11814" s="7" t="n">
        <v>10</v>
      </c>
      <c r="E11814" s="7" t="n">
        <v>148.87</v>
      </c>
      <c r="F11814" s="7" t="n">
        <v>0</v>
      </c>
      <c r="G11814" s="7" t="n">
        <v>0</v>
      </c>
    </row>
    <row r="11815" customFormat="false" ht="15" hidden="false" customHeight="false" outlineLevel="0" collapsed="false">
      <c r="A11815" s="7" t="s">
        <v>31</v>
      </c>
      <c r="B11815" s="7" t="s">
        <v>185</v>
      </c>
      <c r="C11815" s="7" t="s">
        <v>1053</v>
      </c>
      <c r="D11815" s="7" t="n">
        <v>50</v>
      </c>
      <c r="E11815" s="7" t="n">
        <v>771.74</v>
      </c>
      <c r="F11815" s="7" t="n">
        <v>0</v>
      </c>
      <c r="G11815" s="7" t="n">
        <v>0</v>
      </c>
    </row>
    <row r="11816" customFormat="false" ht="15" hidden="false" customHeight="false" outlineLevel="0" collapsed="false">
      <c r="A11816" s="7" t="s">
        <v>31</v>
      </c>
      <c r="B11816" s="7" t="s">
        <v>185</v>
      </c>
      <c r="C11816" s="7" t="s">
        <v>1053</v>
      </c>
      <c r="D11816" s="7" t="n">
        <v>50</v>
      </c>
      <c r="E11816" s="7" t="n">
        <v>815.78</v>
      </c>
      <c r="F11816" s="7" t="n">
        <v>0</v>
      </c>
      <c r="G11816" s="7" t="n">
        <v>0</v>
      </c>
    </row>
    <row r="11817" customFormat="false" ht="15" hidden="false" customHeight="false" outlineLevel="0" collapsed="false">
      <c r="A11817" s="7" t="s">
        <v>31</v>
      </c>
      <c r="B11817" s="7" t="s">
        <v>185</v>
      </c>
      <c r="C11817" s="7" t="s">
        <v>1053</v>
      </c>
      <c r="D11817" s="7" t="n">
        <v>20</v>
      </c>
      <c r="E11817" s="7" t="n">
        <v>310.7</v>
      </c>
      <c r="F11817" s="7" t="n">
        <v>0</v>
      </c>
      <c r="G11817" s="7" t="n">
        <v>0</v>
      </c>
    </row>
    <row r="11818" customFormat="false" ht="15" hidden="false" customHeight="false" outlineLevel="0" collapsed="false">
      <c r="A11818" s="7" t="s">
        <v>31</v>
      </c>
      <c r="B11818" s="7" t="s">
        <v>185</v>
      </c>
      <c r="C11818" s="7" t="s">
        <v>1053</v>
      </c>
      <c r="D11818" s="7" t="n">
        <v>0</v>
      </c>
      <c r="E11818" s="7" t="n">
        <v>0</v>
      </c>
      <c r="F11818" s="7" t="n">
        <v>25</v>
      </c>
      <c r="G11818" s="7" t="n">
        <v>336.18</v>
      </c>
    </row>
    <row r="11819" customFormat="false" ht="15" hidden="false" customHeight="false" outlineLevel="0" collapsed="false">
      <c r="A11819" s="7" t="s">
        <v>31</v>
      </c>
      <c r="B11819" s="7" t="s">
        <v>185</v>
      </c>
      <c r="C11819" s="7" t="s">
        <v>1053</v>
      </c>
      <c r="D11819" s="7" t="n">
        <v>0</v>
      </c>
      <c r="E11819" s="7" t="n">
        <v>0</v>
      </c>
      <c r="F11819" s="7" t="n">
        <v>15</v>
      </c>
      <c r="G11819" s="7" t="n">
        <v>216.41</v>
      </c>
    </row>
    <row r="11820" customFormat="false" ht="15" hidden="false" customHeight="false" outlineLevel="0" collapsed="false">
      <c r="A11820" s="7" t="s">
        <v>31</v>
      </c>
      <c r="B11820" s="7" t="s">
        <v>185</v>
      </c>
      <c r="C11820" s="7" t="s">
        <v>1053</v>
      </c>
      <c r="D11820" s="7" t="n">
        <v>0</v>
      </c>
      <c r="E11820" s="7" t="n">
        <v>0</v>
      </c>
      <c r="F11820" s="7" t="n">
        <v>40</v>
      </c>
      <c r="G11820" s="7" t="n">
        <v>540.37</v>
      </c>
    </row>
    <row r="11821" customFormat="false" ht="15" hidden="false" customHeight="false" outlineLevel="0" collapsed="false">
      <c r="A11821" s="7" t="s">
        <v>31</v>
      </c>
      <c r="B11821" s="7" t="s">
        <v>185</v>
      </c>
      <c r="C11821" s="7" t="s">
        <v>1053</v>
      </c>
      <c r="D11821" s="7" t="n">
        <v>6</v>
      </c>
      <c r="E11821" s="7" t="n">
        <v>88.7</v>
      </c>
      <c r="F11821" s="7" t="n">
        <v>0</v>
      </c>
      <c r="G11821" s="7" t="n">
        <v>0</v>
      </c>
    </row>
    <row r="11822" customFormat="false" ht="15" hidden="false" customHeight="false" outlineLevel="0" collapsed="false">
      <c r="A11822" s="7" t="s">
        <v>31</v>
      </c>
      <c r="B11822" s="7" t="s">
        <v>948</v>
      </c>
      <c r="C11822" s="7" t="s">
        <v>1328</v>
      </c>
      <c r="D11822" s="7" t="n">
        <v>0</v>
      </c>
      <c r="E11822" s="7" t="n">
        <v>0</v>
      </c>
      <c r="F11822" s="7" t="n">
        <v>1</v>
      </c>
      <c r="G11822" s="7" t="n">
        <v>0.03</v>
      </c>
    </row>
    <row r="11823" customFormat="false" ht="15" hidden="false" customHeight="false" outlineLevel="0" collapsed="false">
      <c r="A11823" s="7" t="s">
        <v>31</v>
      </c>
      <c r="B11823" s="7" t="s">
        <v>502</v>
      </c>
      <c r="C11823" s="7" t="s">
        <v>1090</v>
      </c>
      <c r="D11823" s="7" t="n">
        <v>30</v>
      </c>
      <c r="E11823" s="7" t="n">
        <v>158.89</v>
      </c>
      <c r="F11823" s="7" t="n">
        <v>0</v>
      </c>
      <c r="G11823" s="7" t="n">
        <v>0</v>
      </c>
    </row>
    <row r="11824" customFormat="false" ht="15" hidden="false" customHeight="false" outlineLevel="0" collapsed="false">
      <c r="A11824" s="7" t="s">
        <v>31</v>
      </c>
      <c r="B11824" s="7" t="s">
        <v>502</v>
      </c>
      <c r="C11824" s="7" t="s">
        <v>1090</v>
      </c>
      <c r="D11824" s="7" t="n">
        <v>0</v>
      </c>
      <c r="E11824" s="7" t="n">
        <v>0</v>
      </c>
      <c r="F11824" s="7" t="n">
        <v>40</v>
      </c>
      <c r="G11824" s="7" t="n">
        <v>196.74</v>
      </c>
    </row>
    <row r="11825" customFormat="false" ht="15" hidden="false" customHeight="false" outlineLevel="0" collapsed="false">
      <c r="A11825" s="7" t="s">
        <v>31</v>
      </c>
      <c r="B11825" s="7" t="s">
        <v>502</v>
      </c>
      <c r="C11825" s="7" t="s">
        <v>1090</v>
      </c>
      <c r="D11825" s="7" t="n">
        <v>80</v>
      </c>
      <c r="E11825" s="7" t="n">
        <v>420.95</v>
      </c>
      <c r="F11825" s="7" t="n">
        <v>0</v>
      </c>
      <c r="G11825" s="7" t="n">
        <v>0</v>
      </c>
    </row>
    <row r="11826" customFormat="false" ht="15" hidden="false" customHeight="false" outlineLevel="0" collapsed="false">
      <c r="A11826" s="7" t="s">
        <v>31</v>
      </c>
      <c r="B11826" s="7" t="s">
        <v>502</v>
      </c>
      <c r="C11826" s="7" t="s">
        <v>1090</v>
      </c>
      <c r="D11826" s="7" t="n">
        <v>50</v>
      </c>
      <c r="E11826" s="7" t="n">
        <v>251.99</v>
      </c>
      <c r="F11826" s="7" t="n">
        <v>0</v>
      </c>
      <c r="G11826" s="7" t="n">
        <v>0</v>
      </c>
    </row>
    <row r="11827" customFormat="false" ht="15" hidden="false" customHeight="false" outlineLevel="0" collapsed="false">
      <c r="A11827" s="7" t="s">
        <v>31</v>
      </c>
      <c r="B11827" s="7" t="s">
        <v>502</v>
      </c>
      <c r="C11827" s="7" t="s">
        <v>1090</v>
      </c>
      <c r="D11827" s="7" t="n">
        <v>70</v>
      </c>
      <c r="E11827" s="7" t="n">
        <v>389.35</v>
      </c>
      <c r="F11827" s="7" t="n">
        <v>0</v>
      </c>
      <c r="G11827" s="7" t="n">
        <v>0</v>
      </c>
    </row>
    <row r="11828" customFormat="false" ht="15" hidden="false" customHeight="false" outlineLevel="0" collapsed="false">
      <c r="A11828" s="7" t="s">
        <v>31</v>
      </c>
      <c r="B11828" s="7" t="s">
        <v>502</v>
      </c>
      <c r="C11828" s="7" t="s">
        <v>1090</v>
      </c>
      <c r="D11828" s="7" t="n">
        <v>70</v>
      </c>
      <c r="E11828" s="7" t="n">
        <v>355.27</v>
      </c>
      <c r="F11828" s="7" t="n">
        <v>0</v>
      </c>
      <c r="G11828" s="7" t="n">
        <v>0</v>
      </c>
    </row>
    <row r="11829" customFormat="false" ht="15" hidden="false" customHeight="false" outlineLevel="0" collapsed="false">
      <c r="A11829" s="7" t="s">
        <v>31</v>
      </c>
      <c r="B11829" s="7" t="s">
        <v>225</v>
      </c>
      <c r="C11829" s="7" t="s">
        <v>1091</v>
      </c>
      <c r="D11829" s="7" t="n">
        <v>0</v>
      </c>
      <c r="E11829" s="7" t="n">
        <v>0</v>
      </c>
      <c r="F11829" s="7" t="n">
        <v>70</v>
      </c>
      <c r="G11829" s="7" t="n">
        <v>550.86</v>
      </c>
    </row>
    <row r="11830" customFormat="false" ht="15" hidden="false" customHeight="false" outlineLevel="0" collapsed="false">
      <c r="A11830" s="7" t="s">
        <v>31</v>
      </c>
      <c r="B11830" s="7" t="s">
        <v>225</v>
      </c>
      <c r="C11830" s="7" t="s">
        <v>1091</v>
      </c>
      <c r="D11830" s="7" t="n">
        <v>30</v>
      </c>
      <c r="E11830" s="7" t="n">
        <v>243.61</v>
      </c>
      <c r="F11830" s="7" t="n">
        <v>0</v>
      </c>
      <c r="G11830" s="7" t="n">
        <v>0</v>
      </c>
    </row>
    <row r="11831" customFormat="false" ht="15" hidden="false" customHeight="false" outlineLevel="0" collapsed="false">
      <c r="A11831" s="7" t="s">
        <v>31</v>
      </c>
      <c r="B11831" s="7" t="s">
        <v>225</v>
      </c>
      <c r="C11831" s="7" t="s">
        <v>1091</v>
      </c>
      <c r="D11831" s="7" t="n">
        <v>0</v>
      </c>
      <c r="E11831" s="7" t="n">
        <v>0</v>
      </c>
      <c r="F11831" s="7" t="n">
        <v>200</v>
      </c>
      <c r="G11831" s="7" t="n">
        <v>1538.69</v>
      </c>
    </row>
    <row r="11832" customFormat="false" ht="15" hidden="false" customHeight="false" outlineLevel="0" collapsed="false">
      <c r="A11832" s="7" t="s">
        <v>31</v>
      </c>
      <c r="B11832" s="7" t="s">
        <v>225</v>
      </c>
      <c r="C11832" s="7" t="s">
        <v>1091</v>
      </c>
      <c r="D11832" s="7" t="n">
        <v>60</v>
      </c>
      <c r="E11832" s="7" t="n">
        <v>508.42</v>
      </c>
      <c r="F11832" s="7" t="n">
        <v>0</v>
      </c>
      <c r="G11832" s="7" t="n">
        <v>0</v>
      </c>
    </row>
    <row r="11833" customFormat="false" ht="15" hidden="false" customHeight="false" outlineLevel="0" collapsed="false">
      <c r="A11833" s="7" t="s">
        <v>31</v>
      </c>
      <c r="B11833" s="7" t="s">
        <v>225</v>
      </c>
      <c r="C11833" s="7" t="s">
        <v>1091</v>
      </c>
      <c r="D11833" s="7" t="n">
        <v>0</v>
      </c>
      <c r="E11833" s="7" t="n">
        <v>0</v>
      </c>
      <c r="F11833" s="7" t="n">
        <v>50</v>
      </c>
      <c r="G11833" s="7" t="n">
        <v>368.43</v>
      </c>
    </row>
    <row r="11834" customFormat="false" ht="15" hidden="false" customHeight="false" outlineLevel="0" collapsed="false">
      <c r="A11834" s="7" t="s">
        <v>31</v>
      </c>
      <c r="B11834" s="7" t="s">
        <v>225</v>
      </c>
      <c r="C11834" s="7" t="s">
        <v>1091</v>
      </c>
      <c r="D11834" s="7" t="n">
        <v>100</v>
      </c>
      <c r="E11834" s="7" t="n">
        <v>841.9</v>
      </c>
      <c r="F11834" s="7" t="n">
        <v>0</v>
      </c>
      <c r="G11834" s="7" t="n">
        <v>0</v>
      </c>
    </row>
    <row r="11835" customFormat="false" ht="15" hidden="false" customHeight="false" outlineLevel="0" collapsed="false">
      <c r="A11835" s="7" t="s">
        <v>31</v>
      </c>
      <c r="B11835" s="7" t="s">
        <v>225</v>
      </c>
      <c r="C11835" s="7" t="s">
        <v>1091</v>
      </c>
      <c r="D11835" s="7" t="n">
        <v>100</v>
      </c>
      <c r="E11835" s="7" t="n">
        <v>889.94</v>
      </c>
      <c r="F11835" s="7" t="n">
        <v>0</v>
      </c>
      <c r="G11835" s="7" t="n">
        <v>0</v>
      </c>
    </row>
    <row r="11836" customFormat="false" ht="15" hidden="false" customHeight="false" outlineLevel="0" collapsed="false">
      <c r="A11836" s="7" t="s">
        <v>31</v>
      </c>
      <c r="B11836" s="7" t="s">
        <v>225</v>
      </c>
      <c r="C11836" s="7" t="s">
        <v>1091</v>
      </c>
      <c r="D11836" s="7" t="n">
        <v>0</v>
      </c>
      <c r="E11836" s="7" t="n">
        <v>0</v>
      </c>
      <c r="F11836" s="7" t="n">
        <v>50</v>
      </c>
      <c r="G11836" s="7" t="n">
        <v>366.73</v>
      </c>
    </row>
    <row r="11837" customFormat="false" ht="15" hidden="false" customHeight="false" outlineLevel="0" collapsed="false">
      <c r="A11837" s="7" t="s">
        <v>31</v>
      </c>
      <c r="B11837" s="7" t="s">
        <v>419</v>
      </c>
      <c r="C11837" s="7" t="s">
        <v>1228</v>
      </c>
      <c r="D11837" s="7" t="n">
        <v>0</v>
      </c>
      <c r="E11837" s="7" t="n">
        <v>0</v>
      </c>
      <c r="F11837" s="7" t="n">
        <v>6</v>
      </c>
      <c r="G11837" s="7" t="n">
        <v>83.43</v>
      </c>
    </row>
    <row r="11838" customFormat="false" ht="15" hidden="false" customHeight="false" outlineLevel="0" collapsed="false">
      <c r="A11838" s="7" t="s">
        <v>31</v>
      </c>
      <c r="B11838" s="7" t="s">
        <v>419</v>
      </c>
      <c r="C11838" s="7" t="s">
        <v>1228</v>
      </c>
      <c r="D11838" s="7" t="n">
        <v>0</v>
      </c>
      <c r="E11838" s="7" t="n">
        <v>0</v>
      </c>
      <c r="F11838" s="7" t="n">
        <v>10</v>
      </c>
      <c r="G11838" s="7" t="n">
        <v>139.7</v>
      </c>
    </row>
    <row r="11839" customFormat="false" ht="15" hidden="false" customHeight="false" outlineLevel="0" collapsed="false">
      <c r="A11839" s="7" t="s">
        <v>31</v>
      </c>
      <c r="B11839" s="7" t="s">
        <v>419</v>
      </c>
      <c r="C11839" s="7" t="s">
        <v>1228</v>
      </c>
      <c r="D11839" s="7" t="n">
        <v>0</v>
      </c>
      <c r="E11839" s="7" t="n">
        <v>0</v>
      </c>
      <c r="F11839" s="7" t="n">
        <v>12</v>
      </c>
      <c r="G11839" s="7" t="n">
        <v>175.02</v>
      </c>
    </row>
    <row r="11840" customFormat="false" ht="15" hidden="false" customHeight="false" outlineLevel="0" collapsed="false">
      <c r="A11840" s="7" t="s">
        <v>31</v>
      </c>
      <c r="B11840" s="7" t="s">
        <v>419</v>
      </c>
      <c r="C11840" s="7" t="s">
        <v>1228</v>
      </c>
      <c r="D11840" s="7" t="n">
        <v>6</v>
      </c>
      <c r="E11840" s="7" t="n">
        <v>91.73</v>
      </c>
      <c r="F11840" s="7" t="n">
        <v>0</v>
      </c>
      <c r="G11840" s="7" t="n">
        <v>0</v>
      </c>
    </row>
    <row r="11841" customFormat="false" ht="15" hidden="false" customHeight="false" outlineLevel="0" collapsed="false">
      <c r="A11841" s="7" t="s">
        <v>31</v>
      </c>
      <c r="B11841" s="7" t="s">
        <v>419</v>
      </c>
      <c r="C11841" s="7" t="s">
        <v>1228</v>
      </c>
      <c r="D11841" s="7" t="n">
        <v>0</v>
      </c>
      <c r="E11841" s="7" t="n">
        <v>0</v>
      </c>
      <c r="F11841" s="7" t="n">
        <v>10</v>
      </c>
      <c r="G11841" s="7" t="n">
        <v>149.19</v>
      </c>
    </row>
    <row r="11842" customFormat="false" ht="15" hidden="false" customHeight="false" outlineLevel="0" collapsed="false">
      <c r="A11842" s="7" t="s">
        <v>31</v>
      </c>
      <c r="B11842" s="7" t="s">
        <v>419</v>
      </c>
      <c r="C11842" s="7" t="s">
        <v>1228</v>
      </c>
      <c r="D11842" s="7" t="n">
        <v>10</v>
      </c>
      <c r="E11842" s="7" t="n">
        <v>153.95</v>
      </c>
      <c r="F11842" s="7" t="n">
        <v>0</v>
      </c>
      <c r="G11842" s="7" t="n">
        <v>0</v>
      </c>
    </row>
    <row r="11843" customFormat="false" ht="15" hidden="false" customHeight="false" outlineLevel="0" collapsed="false">
      <c r="A11843" s="7" t="s">
        <v>31</v>
      </c>
      <c r="B11843" s="7" t="s">
        <v>286</v>
      </c>
      <c r="C11843" s="7" t="s">
        <v>1092</v>
      </c>
      <c r="D11843" s="7" t="n">
        <v>0</v>
      </c>
      <c r="E11843" s="7" t="n">
        <v>0</v>
      </c>
      <c r="F11843" s="7" t="n">
        <v>20</v>
      </c>
      <c r="G11843" s="7" t="n">
        <v>337.73</v>
      </c>
    </row>
    <row r="11844" customFormat="false" ht="15" hidden="false" customHeight="false" outlineLevel="0" collapsed="false">
      <c r="A11844" s="7" t="s">
        <v>31</v>
      </c>
      <c r="B11844" s="7" t="s">
        <v>286</v>
      </c>
      <c r="C11844" s="7" t="s">
        <v>1092</v>
      </c>
      <c r="D11844" s="7" t="n">
        <v>6</v>
      </c>
      <c r="E11844" s="7" t="n">
        <v>104.55</v>
      </c>
      <c r="F11844" s="7" t="n">
        <v>0</v>
      </c>
      <c r="G11844" s="7" t="n">
        <v>0</v>
      </c>
    </row>
    <row r="11845" customFormat="false" ht="15" hidden="false" customHeight="false" outlineLevel="0" collapsed="false">
      <c r="A11845" s="7" t="s">
        <v>31</v>
      </c>
      <c r="B11845" s="7" t="s">
        <v>286</v>
      </c>
      <c r="C11845" s="7" t="s">
        <v>1092</v>
      </c>
      <c r="D11845" s="7" t="n">
        <v>10</v>
      </c>
      <c r="E11845" s="7" t="n">
        <v>173.03</v>
      </c>
      <c r="F11845" s="7" t="n">
        <v>0</v>
      </c>
      <c r="G11845" s="7" t="n">
        <v>0</v>
      </c>
    </row>
    <row r="11846" customFormat="false" ht="15" hidden="false" customHeight="false" outlineLevel="0" collapsed="false">
      <c r="A11846" s="7" t="s">
        <v>31</v>
      </c>
      <c r="B11846" s="7" t="s">
        <v>286</v>
      </c>
      <c r="C11846" s="7" t="s">
        <v>1092</v>
      </c>
      <c r="D11846" s="7" t="n">
        <v>0</v>
      </c>
      <c r="E11846" s="7" t="n">
        <v>0</v>
      </c>
      <c r="F11846" s="7" t="n">
        <v>20</v>
      </c>
      <c r="G11846" s="7" t="n">
        <v>330.18</v>
      </c>
    </row>
    <row r="11847" customFormat="false" ht="15" hidden="false" customHeight="false" outlineLevel="0" collapsed="false">
      <c r="A11847" s="7" t="s">
        <v>31</v>
      </c>
      <c r="B11847" s="7" t="s">
        <v>286</v>
      </c>
      <c r="C11847" s="7" t="s">
        <v>1092</v>
      </c>
      <c r="D11847" s="7" t="n">
        <v>0</v>
      </c>
      <c r="E11847" s="7" t="n">
        <v>0</v>
      </c>
      <c r="F11847" s="7" t="n">
        <v>6</v>
      </c>
      <c r="G11847" s="7" t="n">
        <v>94.87</v>
      </c>
    </row>
    <row r="11848" customFormat="false" ht="15" hidden="false" customHeight="false" outlineLevel="0" collapsed="false">
      <c r="A11848" s="7" t="s">
        <v>31</v>
      </c>
      <c r="B11848" s="7" t="s">
        <v>134</v>
      </c>
      <c r="C11848" s="7" t="s">
        <v>1093</v>
      </c>
      <c r="D11848" s="7" t="n">
        <v>0</v>
      </c>
      <c r="E11848" s="7" t="n">
        <v>0</v>
      </c>
      <c r="F11848" s="7" t="n">
        <v>10</v>
      </c>
      <c r="G11848" s="7" t="n">
        <v>142.11</v>
      </c>
    </row>
    <row r="11849" customFormat="false" ht="15" hidden="false" customHeight="false" outlineLevel="0" collapsed="false">
      <c r="A11849" s="7" t="s">
        <v>31</v>
      </c>
      <c r="B11849" s="7" t="s">
        <v>134</v>
      </c>
      <c r="C11849" s="7" t="s">
        <v>1093</v>
      </c>
      <c r="D11849" s="7" t="n">
        <v>12</v>
      </c>
      <c r="E11849" s="7" t="n">
        <v>188.79</v>
      </c>
      <c r="F11849" s="7" t="n">
        <v>0</v>
      </c>
      <c r="G11849" s="7" t="n">
        <v>0</v>
      </c>
    </row>
    <row r="11850" customFormat="false" ht="15" hidden="false" customHeight="false" outlineLevel="0" collapsed="false">
      <c r="A11850" s="7" t="s">
        <v>31</v>
      </c>
      <c r="B11850" s="7" t="s">
        <v>134</v>
      </c>
      <c r="C11850" s="7" t="s">
        <v>1093</v>
      </c>
      <c r="D11850" s="7" t="n">
        <v>20</v>
      </c>
      <c r="E11850" s="7" t="n">
        <v>326.24</v>
      </c>
      <c r="F11850" s="7" t="n">
        <v>0</v>
      </c>
      <c r="G11850" s="7" t="n">
        <v>0</v>
      </c>
    </row>
    <row r="11851" customFormat="false" ht="15" hidden="false" customHeight="false" outlineLevel="0" collapsed="false">
      <c r="A11851" s="7" t="s">
        <v>31</v>
      </c>
      <c r="B11851" s="7" t="s">
        <v>134</v>
      </c>
      <c r="C11851" s="7" t="s">
        <v>1093</v>
      </c>
      <c r="D11851" s="7" t="n">
        <v>6</v>
      </c>
      <c r="E11851" s="7" t="n">
        <v>93.74</v>
      </c>
      <c r="F11851" s="7" t="n">
        <v>0</v>
      </c>
      <c r="G11851" s="7" t="n">
        <v>0</v>
      </c>
    </row>
    <row r="11852" customFormat="false" ht="15" hidden="false" customHeight="false" outlineLevel="0" collapsed="false">
      <c r="A11852" s="7" t="s">
        <v>31</v>
      </c>
      <c r="B11852" s="7" t="s">
        <v>134</v>
      </c>
      <c r="C11852" s="7" t="s">
        <v>1093</v>
      </c>
      <c r="D11852" s="7" t="n">
        <v>0</v>
      </c>
      <c r="E11852" s="7" t="n">
        <v>0</v>
      </c>
      <c r="F11852" s="7" t="n">
        <v>25</v>
      </c>
      <c r="G11852" s="7" t="n">
        <v>372.65</v>
      </c>
    </row>
    <row r="11853" customFormat="false" ht="15" hidden="false" customHeight="false" outlineLevel="0" collapsed="false">
      <c r="A11853" s="7" t="s">
        <v>31</v>
      </c>
      <c r="B11853" s="7" t="s">
        <v>134</v>
      </c>
      <c r="C11853" s="7" t="s">
        <v>1093</v>
      </c>
      <c r="D11853" s="7" t="n">
        <v>0</v>
      </c>
      <c r="E11853" s="7" t="n">
        <v>0</v>
      </c>
      <c r="F11853" s="7" t="n">
        <v>15</v>
      </c>
      <c r="G11853" s="7" t="n">
        <v>214.16</v>
      </c>
    </row>
    <row r="11854" customFormat="false" ht="15" hidden="false" customHeight="false" outlineLevel="0" collapsed="false">
      <c r="A11854" s="7" t="s">
        <v>31</v>
      </c>
      <c r="B11854" s="7" t="s">
        <v>134</v>
      </c>
      <c r="C11854" s="7" t="s">
        <v>1093</v>
      </c>
      <c r="D11854" s="7" t="n">
        <v>0</v>
      </c>
      <c r="E11854" s="7" t="n">
        <v>0</v>
      </c>
      <c r="F11854" s="7" t="n">
        <v>6</v>
      </c>
      <c r="G11854" s="7" t="n">
        <v>91.48</v>
      </c>
    </row>
    <row r="11855" customFormat="false" ht="15" hidden="false" customHeight="false" outlineLevel="0" collapsed="false">
      <c r="A11855" s="7" t="s">
        <v>31</v>
      </c>
      <c r="B11855" s="7" t="s">
        <v>217</v>
      </c>
      <c r="C11855" s="7" t="s">
        <v>1094</v>
      </c>
      <c r="D11855" s="7" t="n">
        <v>0</v>
      </c>
      <c r="E11855" s="7" t="n">
        <v>0</v>
      </c>
      <c r="F11855" s="7" t="n">
        <v>12</v>
      </c>
      <c r="G11855" s="7" t="n">
        <v>149.52</v>
      </c>
    </row>
    <row r="11856" customFormat="false" ht="15" hidden="false" customHeight="false" outlineLevel="0" collapsed="false">
      <c r="A11856" s="7" t="s">
        <v>31</v>
      </c>
      <c r="B11856" s="7" t="s">
        <v>217</v>
      </c>
      <c r="C11856" s="7" t="s">
        <v>1094</v>
      </c>
      <c r="D11856" s="7" t="n">
        <v>0</v>
      </c>
      <c r="E11856" s="7" t="n">
        <v>0</v>
      </c>
      <c r="F11856" s="7" t="n">
        <v>20</v>
      </c>
      <c r="G11856" s="7" t="n">
        <v>243.63</v>
      </c>
    </row>
    <row r="11857" customFormat="false" ht="15" hidden="false" customHeight="false" outlineLevel="0" collapsed="false">
      <c r="A11857" s="7" t="s">
        <v>31</v>
      </c>
      <c r="B11857" s="7" t="s">
        <v>217</v>
      </c>
      <c r="C11857" s="7" t="s">
        <v>1094</v>
      </c>
      <c r="D11857" s="7" t="n">
        <v>0</v>
      </c>
      <c r="E11857" s="7" t="n">
        <v>0</v>
      </c>
      <c r="F11857" s="7" t="n">
        <v>6</v>
      </c>
      <c r="G11857" s="7" t="n">
        <v>69.68</v>
      </c>
    </row>
    <row r="11858" customFormat="false" ht="15" hidden="false" customHeight="false" outlineLevel="0" collapsed="false">
      <c r="A11858" s="7" t="s">
        <v>31</v>
      </c>
      <c r="B11858" s="7" t="s">
        <v>661</v>
      </c>
      <c r="C11858" s="7" t="s">
        <v>1096</v>
      </c>
      <c r="D11858" s="7" t="n">
        <v>0</v>
      </c>
      <c r="E11858" s="7" t="n">
        <v>0</v>
      </c>
      <c r="F11858" s="7" t="n">
        <v>10</v>
      </c>
      <c r="G11858" s="7" t="n">
        <v>57.7</v>
      </c>
    </row>
    <row r="11859" customFormat="false" ht="15" hidden="false" customHeight="false" outlineLevel="0" collapsed="false">
      <c r="A11859" s="7" t="s">
        <v>31</v>
      </c>
      <c r="B11859" s="7" t="s">
        <v>661</v>
      </c>
      <c r="C11859" s="7" t="s">
        <v>1096</v>
      </c>
      <c r="D11859" s="7" t="n">
        <v>60</v>
      </c>
      <c r="E11859" s="7" t="n">
        <v>378.85</v>
      </c>
      <c r="F11859" s="7" t="n">
        <v>0</v>
      </c>
      <c r="G11859" s="7" t="n">
        <v>0</v>
      </c>
    </row>
    <row r="11860" customFormat="false" ht="15" hidden="false" customHeight="false" outlineLevel="0" collapsed="false">
      <c r="A11860" s="7" t="s">
        <v>31</v>
      </c>
      <c r="B11860" s="7" t="s">
        <v>661</v>
      </c>
      <c r="C11860" s="7" t="s">
        <v>1096</v>
      </c>
      <c r="D11860" s="7" t="n">
        <v>20</v>
      </c>
      <c r="E11860" s="7" t="n">
        <v>120.96</v>
      </c>
      <c r="F11860" s="7" t="n">
        <v>0</v>
      </c>
      <c r="G11860" s="7" t="n">
        <v>0</v>
      </c>
    </row>
    <row r="11861" customFormat="false" ht="15" hidden="false" customHeight="false" outlineLevel="0" collapsed="false">
      <c r="A11861" s="7" t="s">
        <v>31</v>
      </c>
      <c r="B11861" s="7" t="s">
        <v>661</v>
      </c>
      <c r="C11861" s="7" t="s">
        <v>1096</v>
      </c>
      <c r="D11861" s="7" t="n">
        <v>0</v>
      </c>
      <c r="E11861" s="7" t="n">
        <v>0</v>
      </c>
      <c r="F11861" s="7" t="n">
        <v>40</v>
      </c>
      <c r="G11861" s="7" t="n">
        <v>221.06</v>
      </c>
    </row>
    <row r="11862" customFormat="false" ht="15" hidden="false" customHeight="false" outlineLevel="0" collapsed="false">
      <c r="A11862" s="7" t="s">
        <v>31</v>
      </c>
      <c r="B11862" s="7" t="s">
        <v>661</v>
      </c>
      <c r="C11862" s="7" t="s">
        <v>1096</v>
      </c>
      <c r="D11862" s="7" t="n">
        <v>0</v>
      </c>
      <c r="E11862" s="7" t="n">
        <v>0</v>
      </c>
      <c r="F11862" s="7" t="n">
        <v>40</v>
      </c>
      <c r="G11862" s="7" t="n">
        <v>220.04</v>
      </c>
    </row>
    <row r="11863" customFormat="false" ht="15" hidden="false" customHeight="false" outlineLevel="0" collapsed="false">
      <c r="A11863" s="7" t="s">
        <v>31</v>
      </c>
      <c r="B11863" s="7" t="s">
        <v>661</v>
      </c>
      <c r="C11863" s="7" t="s">
        <v>1096</v>
      </c>
      <c r="D11863" s="7" t="n">
        <v>30</v>
      </c>
      <c r="E11863" s="7" t="n">
        <v>182.71</v>
      </c>
      <c r="F11863" s="7" t="n">
        <v>0</v>
      </c>
      <c r="G11863" s="7" t="n">
        <v>0</v>
      </c>
    </row>
    <row r="11864" customFormat="false" ht="15" hidden="false" customHeight="false" outlineLevel="0" collapsed="false">
      <c r="A11864" s="7" t="s">
        <v>31</v>
      </c>
      <c r="B11864" s="7" t="s">
        <v>661</v>
      </c>
      <c r="C11864" s="7" t="s">
        <v>1096</v>
      </c>
      <c r="D11864" s="7" t="n">
        <v>0</v>
      </c>
      <c r="E11864" s="7" t="n">
        <v>0</v>
      </c>
      <c r="F11864" s="7" t="n">
        <v>30</v>
      </c>
      <c r="G11864" s="7" t="n">
        <v>177.07</v>
      </c>
    </row>
    <row r="11865" customFormat="false" ht="15" hidden="false" customHeight="false" outlineLevel="0" collapsed="false">
      <c r="A11865" s="7" t="s">
        <v>31</v>
      </c>
      <c r="B11865" s="7" t="s">
        <v>606</v>
      </c>
      <c r="C11865" s="7" t="s">
        <v>1229</v>
      </c>
      <c r="D11865" s="7" t="n">
        <v>0</v>
      </c>
      <c r="E11865" s="7" t="n">
        <v>0</v>
      </c>
      <c r="F11865" s="7" t="n">
        <v>30</v>
      </c>
      <c r="G11865" s="7" t="n">
        <v>175.01</v>
      </c>
    </row>
    <row r="11866" customFormat="false" ht="15" hidden="false" customHeight="false" outlineLevel="0" collapsed="false">
      <c r="A11866" s="7" t="s">
        <v>31</v>
      </c>
      <c r="B11866" s="7" t="s">
        <v>606</v>
      </c>
      <c r="C11866" s="7" t="s">
        <v>1229</v>
      </c>
      <c r="D11866" s="7" t="n">
        <v>15</v>
      </c>
      <c r="E11866" s="7" t="n">
        <v>96.43</v>
      </c>
      <c r="F11866" s="7" t="n">
        <v>0</v>
      </c>
      <c r="G11866" s="7" t="n">
        <v>0</v>
      </c>
    </row>
    <row r="11867" customFormat="false" ht="15" hidden="false" customHeight="false" outlineLevel="0" collapsed="false">
      <c r="A11867" s="7" t="s">
        <v>31</v>
      </c>
      <c r="B11867" s="7" t="s">
        <v>606</v>
      </c>
      <c r="C11867" s="7" t="s">
        <v>1229</v>
      </c>
      <c r="D11867" s="7" t="n">
        <v>20</v>
      </c>
      <c r="E11867" s="7" t="n">
        <v>127.67</v>
      </c>
      <c r="F11867" s="7" t="n">
        <v>0</v>
      </c>
      <c r="G11867" s="7" t="n">
        <v>0</v>
      </c>
    </row>
    <row r="11868" customFormat="false" ht="15" hidden="false" customHeight="false" outlineLevel="0" collapsed="false">
      <c r="A11868" s="7" t="s">
        <v>31</v>
      </c>
      <c r="B11868" s="7" t="s">
        <v>606</v>
      </c>
      <c r="C11868" s="7" t="s">
        <v>1229</v>
      </c>
      <c r="D11868" s="7" t="n">
        <v>0</v>
      </c>
      <c r="E11868" s="7" t="n">
        <v>0</v>
      </c>
      <c r="F11868" s="7" t="n">
        <v>15</v>
      </c>
      <c r="G11868" s="7" t="n">
        <v>93.45</v>
      </c>
    </row>
    <row r="11869" customFormat="false" ht="15" hidden="false" customHeight="false" outlineLevel="0" collapsed="false">
      <c r="A11869" s="7" t="s">
        <v>31</v>
      </c>
      <c r="B11869" s="7" t="s">
        <v>606</v>
      </c>
      <c r="C11869" s="7" t="s">
        <v>1229</v>
      </c>
      <c r="D11869" s="7" t="n">
        <v>0</v>
      </c>
      <c r="E11869" s="7" t="n">
        <v>0</v>
      </c>
      <c r="F11869" s="7" t="n">
        <v>15</v>
      </c>
      <c r="G11869" s="7" t="n">
        <v>91.36</v>
      </c>
    </row>
    <row r="11870" customFormat="false" ht="15" hidden="false" customHeight="false" outlineLevel="0" collapsed="false">
      <c r="A11870" s="7" t="s">
        <v>31</v>
      </c>
      <c r="B11870" s="7" t="s">
        <v>606</v>
      </c>
      <c r="C11870" s="7" t="s">
        <v>1229</v>
      </c>
      <c r="D11870" s="7" t="n">
        <v>10</v>
      </c>
      <c r="E11870" s="7" t="n">
        <v>67.09</v>
      </c>
      <c r="F11870" s="7" t="n">
        <v>0</v>
      </c>
      <c r="G11870" s="7" t="n">
        <v>0</v>
      </c>
    </row>
    <row r="11871" customFormat="false" ht="15" hidden="false" customHeight="false" outlineLevel="0" collapsed="false">
      <c r="A11871" s="7" t="s">
        <v>31</v>
      </c>
      <c r="B11871" s="7" t="s">
        <v>606</v>
      </c>
      <c r="C11871" s="7" t="s">
        <v>1229</v>
      </c>
      <c r="D11871" s="7" t="n">
        <v>0</v>
      </c>
      <c r="E11871" s="7" t="n">
        <v>0</v>
      </c>
      <c r="F11871" s="7" t="n">
        <v>20</v>
      </c>
      <c r="G11871" s="7" t="n">
        <v>116.14</v>
      </c>
    </row>
    <row r="11872" customFormat="false" ht="15" hidden="false" customHeight="false" outlineLevel="0" collapsed="false">
      <c r="A11872" s="7" t="s">
        <v>31</v>
      </c>
      <c r="B11872" s="7" t="s">
        <v>566</v>
      </c>
      <c r="C11872" s="7" t="s">
        <v>1230</v>
      </c>
      <c r="D11872" s="7" t="n">
        <v>100</v>
      </c>
      <c r="E11872" s="7" t="n">
        <v>613.89</v>
      </c>
      <c r="F11872" s="7" t="n">
        <v>0</v>
      </c>
      <c r="G11872" s="7" t="n">
        <v>0</v>
      </c>
    </row>
    <row r="11873" customFormat="false" ht="15" hidden="false" customHeight="false" outlineLevel="0" collapsed="false">
      <c r="A11873" s="7" t="s">
        <v>31</v>
      </c>
      <c r="B11873" s="7" t="s">
        <v>566</v>
      </c>
      <c r="C11873" s="7" t="s">
        <v>1230</v>
      </c>
      <c r="D11873" s="7" t="n">
        <v>0</v>
      </c>
      <c r="E11873" s="7" t="n">
        <v>0</v>
      </c>
      <c r="F11873" s="7" t="n">
        <v>90</v>
      </c>
      <c r="G11873" s="7" t="n">
        <v>481.34</v>
      </c>
    </row>
    <row r="11874" customFormat="false" ht="15" hidden="false" customHeight="false" outlineLevel="0" collapsed="false">
      <c r="A11874" s="7" t="s">
        <v>31</v>
      </c>
      <c r="B11874" s="7" t="s">
        <v>566</v>
      </c>
      <c r="C11874" s="7" t="s">
        <v>1230</v>
      </c>
      <c r="D11874" s="7" t="n">
        <v>0</v>
      </c>
      <c r="E11874" s="7" t="n">
        <v>0</v>
      </c>
      <c r="F11874" s="7" t="n">
        <v>20</v>
      </c>
      <c r="G11874" s="7" t="n">
        <v>107.46</v>
      </c>
    </row>
    <row r="11875" customFormat="false" ht="15" hidden="false" customHeight="false" outlineLevel="0" collapsed="false">
      <c r="A11875" s="7" t="s">
        <v>31</v>
      </c>
      <c r="B11875" s="7" t="s">
        <v>590</v>
      </c>
      <c r="C11875" s="7" t="s">
        <v>1097</v>
      </c>
      <c r="D11875" s="7" t="n">
        <v>20</v>
      </c>
      <c r="E11875" s="7" t="n">
        <v>134.4</v>
      </c>
      <c r="F11875" s="7" t="n">
        <v>0</v>
      </c>
      <c r="G11875" s="7" t="n">
        <v>0</v>
      </c>
    </row>
    <row r="11876" customFormat="false" ht="15" hidden="false" customHeight="false" outlineLevel="0" collapsed="false">
      <c r="A11876" s="7" t="s">
        <v>31</v>
      </c>
      <c r="B11876" s="7" t="s">
        <v>590</v>
      </c>
      <c r="C11876" s="7" t="s">
        <v>1097</v>
      </c>
      <c r="D11876" s="7" t="n">
        <v>0</v>
      </c>
      <c r="E11876" s="7" t="n">
        <v>0</v>
      </c>
      <c r="F11876" s="7" t="n">
        <v>100</v>
      </c>
      <c r="G11876" s="7" t="n">
        <v>655.79</v>
      </c>
    </row>
    <row r="11877" customFormat="false" ht="15" hidden="false" customHeight="false" outlineLevel="0" collapsed="false">
      <c r="A11877" s="7" t="s">
        <v>31</v>
      </c>
      <c r="B11877" s="7" t="s">
        <v>590</v>
      </c>
      <c r="C11877" s="7" t="s">
        <v>1097</v>
      </c>
      <c r="D11877" s="7" t="n">
        <v>20</v>
      </c>
      <c r="E11877" s="7" t="n">
        <v>148.32</v>
      </c>
      <c r="F11877" s="7" t="n">
        <v>0</v>
      </c>
      <c r="G11877" s="7" t="n">
        <v>0</v>
      </c>
    </row>
    <row r="11878" customFormat="false" ht="15" hidden="false" customHeight="false" outlineLevel="0" collapsed="false">
      <c r="A11878" s="7" t="s">
        <v>31</v>
      </c>
      <c r="B11878" s="7" t="s">
        <v>590</v>
      </c>
      <c r="C11878" s="7" t="s">
        <v>1097</v>
      </c>
      <c r="D11878" s="7" t="n">
        <v>100</v>
      </c>
      <c r="E11878" s="7" t="n">
        <v>706.14</v>
      </c>
      <c r="F11878" s="7" t="n">
        <v>0</v>
      </c>
      <c r="G11878" s="7" t="n">
        <v>0</v>
      </c>
    </row>
    <row r="11879" customFormat="false" ht="15" hidden="false" customHeight="false" outlineLevel="0" collapsed="false">
      <c r="A11879" s="7" t="s">
        <v>31</v>
      </c>
      <c r="B11879" s="7" t="s">
        <v>590</v>
      </c>
      <c r="C11879" s="7" t="s">
        <v>1097</v>
      </c>
      <c r="D11879" s="7" t="n">
        <v>0</v>
      </c>
      <c r="E11879" s="7" t="n">
        <v>0</v>
      </c>
      <c r="F11879" s="7" t="n">
        <v>15</v>
      </c>
      <c r="G11879" s="7" t="n">
        <v>91.68</v>
      </c>
    </row>
    <row r="11880" customFormat="false" ht="15" hidden="false" customHeight="false" outlineLevel="0" collapsed="false">
      <c r="A11880" s="7" t="s">
        <v>31</v>
      </c>
      <c r="B11880" s="7" t="s">
        <v>590</v>
      </c>
      <c r="C11880" s="7" t="s">
        <v>1097</v>
      </c>
      <c r="D11880" s="7" t="n">
        <v>0</v>
      </c>
      <c r="E11880" s="7" t="n">
        <v>0</v>
      </c>
      <c r="F11880" s="7" t="n">
        <v>50</v>
      </c>
      <c r="G11880" s="7" t="n">
        <v>307.03</v>
      </c>
    </row>
    <row r="11881" customFormat="false" ht="15" hidden="false" customHeight="false" outlineLevel="0" collapsed="false">
      <c r="A11881" s="7" t="s">
        <v>31</v>
      </c>
      <c r="B11881" s="7" t="s">
        <v>590</v>
      </c>
      <c r="C11881" s="7" t="s">
        <v>1097</v>
      </c>
      <c r="D11881" s="7" t="n">
        <v>15</v>
      </c>
      <c r="E11881" s="7" t="n">
        <v>101.5</v>
      </c>
      <c r="F11881" s="7" t="n">
        <v>0</v>
      </c>
      <c r="G11881" s="7" t="n">
        <v>0</v>
      </c>
    </row>
    <row r="11882" customFormat="false" ht="15" hidden="false" customHeight="false" outlineLevel="0" collapsed="false">
      <c r="A11882" s="7" t="s">
        <v>31</v>
      </c>
      <c r="B11882" s="7" t="s">
        <v>590</v>
      </c>
      <c r="C11882" s="7" t="s">
        <v>1097</v>
      </c>
      <c r="D11882" s="7" t="n">
        <v>0</v>
      </c>
      <c r="E11882" s="7" t="n">
        <v>0</v>
      </c>
      <c r="F11882" s="7" t="n">
        <v>20</v>
      </c>
      <c r="G11882" s="7" t="n">
        <v>128.22</v>
      </c>
    </row>
    <row r="11883" customFormat="false" ht="15" hidden="false" customHeight="false" outlineLevel="0" collapsed="false">
      <c r="A11883" s="7" t="s">
        <v>31</v>
      </c>
      <c r="B11883" s="7" t="s">
        <v>735</v>
      </c>
      <c r="C11883" s="7" t="s">
        <v>1098</v>
      </c>
      <c r="D11883" s="7" t="n">
        <v>20</v>
      </c>
      <c r="E11883" s="7" t="n">
        <v>168.38</v>
      </c>
      <c r="F11883" s="7" t="n">
        <v>0</v>
      </c>
      <c r="G11883" s="7" t="n">
        <v>0</v>
      </c>
    </row>
    <row r="11884" customFormat="false" ht="15" hidden="false" customHeight="false" outlineLevel="0" collapsed="false">
      <c r="A11884" s="7" t="s">
        <v>31</v>
      </c>
      <c r="B11884" s="7" t="s">
        <v>735</v>
      </c>
      <c r="C11884" s="7" t="s">
        <v>1098</v>
      </c>
      <c r="D11884" s="7" t="n">
        <v>20</v>
      </c>
      <c r="E11884" s="7" t="n">
        <v>177.98</v>
      </c>
      <c r="F11884" s="7" t="n">
        <v>0</v>
      </c>
      <c r="G11884" s="7" t="n">
        <v>0</v>
      </c>
    </row>
    <row r="11885" customFormat="false" ht="15" hidden="false" customHeight="false" outlineLevel="0" collapsed="false">
      <c r="A11885" s="7" t="s">
        <v>31</v>
      </c>
      <c r="B11885" s="7" t="s">
        <v>735</v>
      </c>
      <c r="C11885" s="7" t="s">
        <v>1098</v>
      </c>
      <c r="D11885" s="7" t="n">
        <v>10</v>
      </c>
      <c r="E11885" s="7" t="n">
        <v>84.73</v>
      </c>
      <c r="F11885" s="7" t="n">
        <v>0</v>
      </c>
      <c r="G11885" s="7" t="n">
        <v>0</v>
      </c>
    </row>
    <row r="11886" customFormat="false" ht="15" hidden="false" customHeight="false" outlineLevel="0" collapsed="false">
      <c r="A11886" s="7" t="s">
        <v>31</v>
      </c>
      <c r="B11886" s="7" t="s">
        <v>735</v>
      </c>
      <c r="C11886" s="7" t="s">
        <v>1098</v>
      </c>
      <c r="D11886" s="7" t="n">
        <v>0</v>
      </c>
      <c r="E11886" s="7" t="n">
        <v>0</v>
      </c>
      <c r="F11886" s="7" t="n">
        <v>20</v>
      </c>
      <c r="G11886" s="7" t="n">
        <v>147.38</v>
      </c>
    </row>
    <row r="11887" customFormat="false" ht="15" hidden="false" customHeight="false" outlineLevel="0" collapsed="false">
      <c r="A11887" s="7" t="s">
        <v>31</v>
      </c>
      <c r="B11887" s="7" t="s">
        <v>735</v>
      </c>
      <c r="C11887" s="7" t="s">
        <v>1098</v>
      </c>
      <c r="D11887" s="7" t="n">
        <v>0</v>
      </c>
      <c r="E11887" s="7" t="n">
        <v>0</v>
      </c>
      <c r="F11887" s="7" t="n">
        <v>10</v>
      </c>
      <c r="G11887" s="7" t="n">
        <v>76.93</v>
      </c>
    </row>
    <row r="11888" customFormat="false" ht="15" hidden="false" customHeight="false" outlineLevel="0" collapsed="false">
      <c r="A11888" s="7" t="s">
        <v>31</v>
      </c>
      <c r="B11888" s="7" t="s">
        <v>735</v>
      </c>
      <c r="C11888" s="7" t="s">
        <v>1098</v>
      </c>
      <c r="D11888" s="7" t="n">
        <v>0</v>
      </c>
      <c r="E11888" s="7" t="n">
        <v>0</v>
      </c>
      <c r="F11888" s="7" t="n">
        <v>40</v>
      </c>
      <c r="G11888" s="7" t="n">
        <v>314.78</v>
      </c>
    </row>
    <row r="11889" customFormat="false" ht="15" hidden="false" customHeight="false" outlineLevel="0" collapsed="false">
      <c r="A11889" s="7" t="s">
        <v>31</v>
      </c>
      <c r="B11889" s="7" t="s">
        <v>735</v>
      </c>
      <c r="C11889" s="7" t="s">
        <v>1098</v>
      </c>
      <c r="D11889" s="7" t="n">
        <v>15</v>
      </c>
      <c r="E11889" s="7" t="n">
        <v>121.81</v>
      </c>
      <c r="F11889" s="7" t="n">
        <v>0</v>
      </c>
      <c r="G11889" s="7" t="n">
        <v>0</v>
      </c>
    </row>
    <row r="11890" customFormat="false" ht="15" hidden="false" customHeight="false" outlineLevel="0" collapsed="false">
      <c r="A11890" s="7" t="s">
        <v>31</v>
      </c>
      <c r="B11890" s="7" t="s">
        <v>642</v>
      </c>
      <c r="C11890" s="7" t="s">
        <v>1231</v>
      </c>
      <c r="D11890" s="7" t="n">
        <v>0</v>
      </c>
      <c r="E11890" s="7" t="n">
        <v>0</v>
      </c>
      <c r="F11890" s="7" t="n">
        <v>10</v>
      </c>
      <c r="G11890" s="7" t="n">
        <v>128.95</v>
      </c>
    </row>
    <row r="11891" customFormat="false" ht="15" hidden="false" customHeight="false" outlineLevel="0" collapsed="false">
      <c r="A11891" s="7" t="s">
        <v>31</v>
      </c>
      <c r="B11891" s="7" t="s">
        <v>642</v>
      </c>
      <c r="C11891" s="7" t="s">
        <v>1231</v>
      </c>
      <c r="D11891" s="7" t="n">
        <v>12</v>
      </c>
      <c r="E11891" s="7" t="n">
        <v>170.52</v>
      </c>
      <c r="F11891" s="7" t="n">
        <v>0</v>
      </c>
      <c r="G11891" s="7" t="n">
        <v>0</v>
      </c>
    </row>
    <row r="11892" customFormat="false" ht="15" hidden="false" customHeight="false" outlineLevel="0" collapsed="false">
      <c r="A11892" s="7" t="s">
        <v>31</v>
      </c>
      <c r="B11892" s="7" t="s">
        <v>642</v>
      </c>
      <c r="C11892" s="7" t="s">
        <v>1231</v>
      </c>
      <c r="D11892" s="7" t="n">
        <v>10</v>
      </c>
      <c r="E11892" s="7" t="n">
        <v>148.29</v>
      </c>
      <c r="F11892" s="7" t="n">
        <v>0</v>
      </c>
      <c r="G11892" s="7" t="n">
        <v>0</v>
      </c>
    </row>
    <row r="11893" customFormat="false" ht="15" hidden="false" customHeight="false" outlineLevel="0" collapsed="false">
      <c r="A11893" s="7" t="s">
        <v>31</v>
      </c>
      <c r="B11893" s="7" t="s">
        <v>642</v>
      </c>
      <c r="C11893" s="7" t="s">
        <v>1231</v>
      </c>
      <c r="D11893" s="7" t="n">
        <v>10</v>
      </c>
      <c r="E11893" s="7" t="n">
        <v>141.11</v>
      </c>
      <c r="F11893" s="7" t="n">
        <v>0</v>
      </c>
      <c r="G11893" s="7" t="n">
        <v>0</v>
      </c>
    </row>
    <row r="11894" customFormat="false" ht="15" hidden="false" customHeight="false" outlineLevel="0" collapsed="false">
      <c r="A11894" s="7" t="s">
        <v>31</v>
      </c>
      <c r="B11894" s="7" t="s">
        <v>642</v>
      </c>
      <c r="C11894" s="7" t="s">
        <v>1231</v>
      </c>
      <c r="D11894" s="7" t="n">
        <v>0</v>
      </c>
      <c r="E11894" s="7" t="n">
        <v>0</v>
      </c>
      <c r="F11894" s="7" t="n">
        <v>40</v>
      </c>
      <c r="G11894" s="7" t="n">
        <v>538.54</v>
      </c>
    </row>
    <row r="11895" customFormat="false" ht="15" hidden="false" customHeight="false" outlineLevel="0" collapsed="false">
      <c r="A11895" s="7" t="s">
        <v>31</v>
      </c>
      <c r="B11895" s="7" t="s">
        <v>642</v>
      </c>
      <c r="C11895" s="7" t="s">
        <v>1231</v>
      </c>
      <c r="D11895" s="7" t="n">
        <v>0</v>
      </c>
      <c r="E11895" s="7" t="n">
        <v>0</v>
      </c>
      <c r="F11895" s="7" t="n">
        <v>10</v>
      </c>
      <c r="G11895" s="7" t="n">
        <v>128.36</v>
      </c>
    </row>
    <row r="11896" customFormat="false" ht="15" hidden="false" customHeight="false" outlineLevel="0" collapsed="false">
      <c r="A11896" s="7" t="s">
        <v>31</v>
      </c>
      <c r="B11896" s="7" t="s">
        <v>642</v>
      </c>
      <c r="C11896" s="7" t="s">
        <v>1231</v>
      </c>
      <c r="D11896" s="7" t="n">
        <v>40</v>
      </c>
      <c r="E11896" s="7" t="n">
        <v>589.33</v>
      </c>
      <c r="F11896" s="7" t="n">
        <v>0</v>
      </c>
      <c r="G11896" s="7" t="n">
        <v>0</v>
      </c>
    </row>
    <row r="11897" customFormat="false" ht="15" hidden="false" customHeight="false" outlineLevel="0" collapsed="false">
      <c r="A11897" s="7" t="s">
        <v>31</v>
      </c>
      <c r="B11897" s="7" t="s">
        <v>570</v>
      </c>
      <c r="C11897" s="7" t="s">
        <v>1231</v>
      </c>
      <c r="D11897" s="7" t="n">
        <v>0</v>
      </c>
      <c r="E11897" s="7" t="n">
        <v>0</v>
      </c>
      <c r="F11897" s="7" t="n">
        <v>50</v>
      </c>
      <c r="G11897" s="7" t="n">
        <v>688.58</v>
      </c>
    </row>
    <row r="11898" customFormat="false" ht="15" hidden="false" customHeight="false" outlineLevel="0" collapsed="false">
      <c r="A11898" s="7" t="s">
        <v>31</v>
      </c>
      <c r="B11898" s="7" t="s">
        <v>570</v>
      </c>
      <c r="C11898" s="7" t="s">
        <v>1231</v>
      </c>
      <c r="D11898" s="7" t="n">
        <v>40</v>
      </c>
      <c r="E11898" s="7" t="n">
        <v>564.46</v>
      </c>
      <c r="F11898" s="7" t="n">
        <v>0</v>
      </c>
      <c r="G11898" s="7" t="n">
        <v>0</v>
      </c>
    </row>
    <row r="11899" customFormat="false" ht="15" hidden="false" customHeight="false" outlineLevel="0" collapsed="false">
      <c r="A11899" s="7" t="s">
        <v>31</v>
      </c>
      <c r="B11899" s="7" t="s">
        <v>570</v>
      </c>
      <c r="C11899" s="7" t="s">
        <v>1231</v>
      </c>
      <c r="D11899" s="7" t="n">
        <v>40</v>
      </c>
      <c r="E11899" s="7" t="n">
        <v>593.15</v>
      </c>
      <c r="F11899" s="7" t="n">
        <v>0</v>
      </c>
      <c r="G11899" s="7" t="n">
        <v>0</v>
      </c>
    </row>
    <row r="11900" customFormat="false" ht="15" hidden="false" customHeight="false" outlineLevel="0" collapsed="false">
      <c r="A11900" s="7" t="s">
        <v>31</v>
      </c>
      <c r="B11900" s="7" t="s">
        <v>570</v>
      </c>
      <c r="C11900" s="7" t="s">
        <v>1231</v>
      </c>
      <c r="D11900" s="7" t="n">
        <v>40</v>
      </c>
      <c r="E11900" s="7" t="n">
        <v>568.42</v>
      </c>
      <c r="F11900" s="7" t="n">
        <v>0</v>
      </c>
      <c r="G11900" s="7" t="n">
        <v>0</v>
      </c>
    </row>
    <row r="11901" customFormat="false" ht="15" hidden="false" customHeight="false" outlineLevel="0" collapsed="false">
      <c r="A11901" s="7" t="s">
        <v>31</v>
      </c>
      <c r="B11901" s="7" t="s">
        <v>570</v>
      </c>
      <c r="C11901" s="7" t="s">
        <v>1231</v>
      </c>
      <c r="D11901" s="7" t="n">
        <v>30</v>
      </c>
      <c r="E11901" s="7" t="n">
        <v>442</v>
      </c>
      <c r="F11901" s="7" t="n">
        <v>0</v>
      </c>
      <c r="G11901" s="7" t="n">
        <v>0</v>
      </c>
    </row>
    <row r="11902" customFormat="false" ht="15" hidden="false" customHeight="false" outlineLevel="0" collapsed="false">
      <c r="A11902" s="7" t="s">
        <v>31</v>
      </c>
      <c r="B11902" s="7" t="s">
        <v>570</v>
      </c>
      <c r="C11902" s="7" t="s">
        <v>1231</v>
      </c>
      <c r="D11902" s="7" t="n">
        <v>0</v>
      </c>
      <c r="E11902" s="7" t="n">
        <v>0</v>
      </c>
      <c r="F11902" s="7" t="n">
        <v>30</v>
      </c>
      <c r="G11902" s="7" t="n">
        <v>403.91</v>
      </c>
    </row>
    <row r="11903" customFormat="false" ht="15" hidden="false" customHeight="false" outlineLevel="0" collapsed="false">
      <c r="A11903" s="7" t="s">
        <v>31</v>
      </c>
      <c r="B11903" s="7" t="s">
        <v>570</v>
      </c>
      <c r="C11903" s="7" t="s">
        <v>1231</v>
      </c>
      <c r="D11903" s="7" t="n">
        <v>20</v>
      </c>
      <c r="E11903" s="7" t="n">
        <v>311.48</v>
      </c>
      <c r="F11903" s="7" t="n">
        <v>0</v>
      </c>
      <c r="G11903" s="7" t="n">
        <v>0</v>
      </c>
    </row>
    <row r="11904" customFormat="false" ht="15" hidden="false" customHeight="false" outlineLevel="0" collapsed="false">
      <c r="A11904" s="7" t="s">
        <v>31</v>
      </c>
      <c r="B11904" s="7" t="s">
        <v>317</v>
      </c>
      <c r="C11904" s="7" t="s">
        <v>1231</v>
      </c>
      <c r="D11904" s="7" t="n">
        <v>40</v>
      </c>
      <c r="E11904" s="7" t="n">
        <v>568.42</v>
      </c>
      <c r="F11904" s="7" t="n">
        <v>0</v>
      </c>
      <c r="G11904" s="7" t="n">
        <v>0</v>
      </c>
    </row>
    <row r="11905" customFormat="false" ht="15" hidden="false" customHeight="false" outlineLevel="0" collapsed="false">
      <c r="A11905" s="7" t="s">
        <v>31</v>
      </c>
      <c r="B11905" s="7" t="s">
        <v>317</v>
      </c>
      <c r="C11905" s="7" t="s">
        <v>1231</v>
      </c>
      <c r="D11905" s="7" t="n">
        <v>0</v>
      </c>
      <c r="E11905" s="7" t="n">
        <v>0</v>
      </c>
      <c r="F11905" s="7" t="n">
        <v>100</v>
      </c>
      <c r="G11905" s="7" t="n">
        <v>1346.36</v>
      </c>
    </row>
    <row r="11906" customFormat="false" ht="15" hidden="false" customHeight="false" outlineLevel="0" collapsed="false">
      <c r="A11906" s="7" t="s">
        <v>31</v>
      </c>
      <c r="B11906" s="7" t="s">
        <v>317</v>
      </c>
      <c r="C11906" s="7" t="s">
        <v>1231</v>
      </c>
      <c r="D11906" s="7" t="n">
        <v>80</v>
      </c>
      <c r="E11906" s="7" t="n">
        <v>1178.67</v>
      </c>
      <c r="F11906" s="7" t="n">
        <v>0</v>
      </c>
      <c r="G11906" s="7" t="n">
        <v>0</v>
      </c>
    </row>
    <row r="11907" customFormat="false" ht="15" hidden="false" customHeight="false" outlineLevel="0" collapsed="false">
      <c r="A11907" s="7" t="s">
        <v>31</v>
      </c>
      <c r="B11907" s="7" t="s">
        <v>317</v>
      </c>
      <c r="C11907" s="7" t="s">
        <v>1231</v>
      </c>
      <c r="D11907" s="7" t="n">
        <v>0</v>
      </c>
      <c r="E11907" s="7" t="n">
        <v>0</v>
      </c>
      <c r="F11907" s="7" t="n">
        <v>40</v>
      </c>
      <c r="G11907" s="7" t="n">
        <v>513.43</v>
      </c>
    </row>
    <row r="11908" customFormat="false" ht="15" hidden="false" customHeight="false" outlineLevel="0" collapsed="false">
      <c r="A11908" s="7" t="s">
        <v>31</v>
      </c>
      <c r="B11908" s="7" t="s">
        <v>317</v>
      </c>
      <c r="C11908" s="7" t="s">
        <v>1231</v>
      </c>
      <c r="D11908" s="7" t="n">
        <v>150</v>
      </c>
      <c r="E11908" s="7" t="n">
        <v>2116.73</v>
      </c>
      <c r="F11908" s="7" t="n">
        <v>0</v>
      </c>
      <c r="G11908" s="7" t="n">
        <v>0</v>
      </c>
    </row>
    <row r="11909" customFormat="false" ht="15" hidden="false" customHeight="false" outlineLevel="0" collapsed="false">
      <c r="A11909" s="7" t="s">
        <v>31</v>
      </c>
      <c r="B11909" s="7" t="s">
        <v>317</v>
      </c>
      <c r="C11909" s="7" t="s">
        <v>1231</v>
      </c>
      <c r="D11909" s="7" t="n">
        <v>70</v>
      </c>
      <c r="E11909" s="7" t="n">
        <v>1038.02</v>
      </c>
      <c r="F11909" s="7" t="n">
        <v>0</v>
      </c>
      <c r="G11909" s="7" t="n">
        <v>0</v>
      </c>
    </row>
    <row r="11910" customFormat="false" ht="15" hidden="false" customHeight="false" outlineLevel="0" collapsed="false">
      <c r="A11910" s="7" t="s">
        <v>31</v>
      </c>
      <c r="B11910" s="7" t="s">
        <v>317</v>
      </c>
      <c r="C11910" s="7" t="s">
        <v>1231</v>
      </c>
      <c r="D11910" s="7" t="n">
        <v>0</v>
      </c>
      <c r="E11910" s="7" t="n">
        <v>0</v>
      </c>
      <c r="F11910" s="7" t="n">
        <v>50</v>
      </c>
      <c r="G11910" s="7" t="n">
        <v>644.75</v>
      </c>
    </row>
    <row r="11911" customFormat="false" ht="15" hidden="false" customHeight="false" outlineLevel="0" collapsed="false">
      <c r="A11911" s="7" t="s">
        <v>31</v>
      </c>
      <c r="B11911" s="7" t="s">
        <v>317</v>
      </c>
      <c r="C11911" s="7" t="s">
        <v>1231</v>
      </c>
      <c r="D11911" s="7" t="n">
        <v>70</v>
      </c>
      <c r="E11911" s="7" t="n">
        <v>1090.18</v>
      </c>
      <c r="F11911" s="7" t="n">
        <v>0</v>
      </c>
      <c r="G11911" s="7" t="n">
        <v>0</v>
      </c>
    </row>
    <row r="11912" customFormat="false" ht="15" hidden="false" customHeight="false" outlineLevel="0" collapsed="false">
      <c r="A11912" s="7" t="s">
        <v>31</v>
      </c>
      <c r="B11912" s="7" t="s">
        <v>409</v>
      </c>
      <c r="C11912" s="7" t="s">
        <v>1231</v>
      </c>
      <c r="D11912" s="7" t="n">
        <v>0</v>
      </c>
      <c r="E11912" s="7" t="n">
        <v>0</v>
      </c>
      <c r="F11912" s="7" t="n">
        <v>30</v>
      </c>
      <c r="G11912" s="7" t="n">
        <v>403.91</v>
      </c>
    </row>
    <row r="11913" customFormat="false" ht="15" hidden="false" customHeight="false" outlineLevel="0" collapsed="false">
      <c r="A11913" s="7" t="s">
        <v>31</v>
      </c>
      <c r="B11913" s="7" t="s">
        <v>409</v>
      </c>
      <c r="C11913" s="7" t="s">
        <v>1231</v>
      </c>
      <c r="D11913" s="7" t="n">
        <v>40</v>
      </c>
      <c r="E11913" s="7" t="n">
        <v>593.15</v>
      </c>
      <c r="F11913" s="7" t="n">
        <v>0</v>
      </c>
      <c r="G11913" s="7" t="n">
        <v>0</v>
      </c>
    </row>
    <row r="11914" customFormat="false" ht="15" hidden="false" customHeight="false" outlineLevel="0" collapsed="false">
      <c r="A11914" s="7" t="s">
        <v>31</v>
      </c>
      <c r="B11914" s="7" t="s">
        <v>409</v>
      </c>
      <c r="C11914" s="7" t="s">
        <v>1231</v>
      </c>
      <c r="D11914" s="7" t="n">
        <v>0</v>
      </c>
      <c r="E11914" s="7" t="n">
        <v>0</v>
      </c>
      <c r="F11914" s="7" t="n">
        <v>40</v>
      </c>
      <c r="G11914" s="7" t="n">
        <v>515.81</v>
      </c>
    </row>
    <row r="11915" customFormat="false" ht="15" hidden="false" customHeight="false" outlineLevel="0" collapsed="false">
      <c r="A11915" s="7" t="s">
        <v>31</v>
      </c>
      <c r="B11915" s="7" t="s">
        <v>409</v>
      </c>
      <c r="C11915" s="7" t="s">
        <v>1231</v>
      </c>
      <c r="D11915" s="7" t="n">
        <v>40</v>
      </c>
      <c r="E11915" s="7" t="n">
        <v>622.96</v>
      </c>
      <c r="F11915" s="7" t="n">
        <v>0</v>
      </c>
      <c r="G11915" s="7" t="n">
        <v>0</v>
      </c>
    </row>
    <row r="11916" customFormat="false" ht="15" hidden="false" customHeight="false" outlineLevel="0" collapsed="false">
      <c r="A11916" s="7" t="s">
        <v>31</v>
      </c>
      <c r="B11916" s="7" t="s">
        <v>409</v>
      </c>
      <c r="C11916" s="7" t="s">
        <v>1231</v>
      </c>
      <c r="D11916" s="7" t="n">
        <v>30</v>
      </c>
      <c r="E11916" s="7" t="n">
        <v>423.34</v>
      </c>
      <c r="F11916" s="7" t="n">
        <v>0</v>
      </c>
      <c r="G11916" s="7" t="n">
        <v>0</v>
      </c>
    </row>
    <row r="11917" customFormat="false" ht="15" hidden="false" customHeight="false" outlineLevel="0" collapsed="false">
      <c r="A11917" s="7" t="s">
        <v>31</v>
      </c>
      <c r="B11917" s="7" t="s">
        <v>409</v>
      </c>
      <c r="C11917" s="7" t="s">
        <v>1231</v>
      </c>
      <c r="D11917" s="7" t="n">
        <v>40</v>
      </c>
      <c r="E11917" s="7" t="n">
        <v>568.42</v>
      </c>
      <c r="F11917" s="7" t="n">
        <v>0</v>
      </c>
      <c r="G11917" s="7" t="n">
        <v>0</v>
      </c>
    </row>
    <row r="11918" customFormat="false" ht="15" hidden="false" customHeight="false" outlineLevel="0" collapsed="false">
      <c r="A11918" s="7" t="s">
        <v>31</v>
      </c>
      <c r="B11918" s="7" t="s">
        <v>409</v>
      </c>
      <c r="C11918" s="7" t="s">
        <v>1231</v>
      </c>
      <c r="D11918" s="7" t="n">
        <v>30</v>
      </c>
      <c r="E11918" s="7" t="n">
        <v>442</v>
      </c>
      <c r="F11918" s="7" t="n">
        <v>0</v>
      </c>
      <c r="G11918" s="7" t="n">
        <v>0</v>
      </c>
    </row>
    <row r="11919" customFormat="false" ht="15" hidden="false" customHeight="false" outlineLevel="0" collapsed="false">
      <c r="A11919" s="7" t="s">
        <v>31</v>
      </c>
      <c r="B11919" s="7" t="s">
        <v>409</v>
      </c>
      <c r="C11919" s="7" t="s">
        <v>1231</v>
      </c>
      <c r="D11919" s="7" t="n">
        <v>0</v>
      </c>
      <c r="E11919" s="7" t="n">
        <v>0</v>
      </c>
      <c r="F11919" s="7" t="n">
        <v>60</v>
      </c>
      <c r="G11919" s="7" t="n">
        <v>826.3</v>
      </c>
    </row>
    <row r="11920" customFormat="false" ht="15" hidden="false" customHeight="false" outlineLevel="0" collapsed="false">
      <c r="A11920" s="7" t="s">
        <v>31</v>
      </c>
      <c r="B11920" s="7" t="s">
        <v>409</v>
      </c>
      <c r="C11920" s="7" t="s">
        <v>1231</v>
      </c>
      <c r="D11920" s="7" t="n">
        <v>0</v>
      </c>
      <c r="E11920" s="7" t="n">
        <v>0</v>
      </c>
      <c r="F11920" s="7" t="n">
        <v>40</v>
      </c>
      <c r="G11920" s="7" t="n">
        <v>513.43</v>
      </c>
    </row>
    <row r="11921" customFormat="false" ht="15" hidden="false" customHeight="false" outlineLevel="0" collapsed="false">
      <c r="A11921" s="7" t="s">
        <v>31</v>
      </c>
      <c r="B11921" s="7" t="s">
        <v>660</v>
      </c>
      <c r="C11921" s="7" t="s">
        <v>1231</v>
      </c>
      <c r="D11921" s="7" t="n">
        <v>0</v>
      </c>
      <c r="E11921" s="7" t="n">
        <v>0</v>
      </c>
      <c r="F11921" s="7" t="n">
        <v>15</v>
      </c>
      <c r="G11921" s="7" t="n">
        <v>192.54</v>
      </c>
    </row>
    <row r="11922" customFormat="false" ht="15" hidden="false" customHeight="false" outlineLevel="0" collapsed="false">
      <c r="A11922" s="7" t="s">
        <v>31</v>
      </c>
      <c r="B11922" s="7" t="s">
        <v>660</v>
      </c>
      <c r="C11922" s="7" t="s">
        <v>1231</v>
      </c>
      <c r="D11922" s="7" t="n">
        <v>10</v>
      </c>
      <c r="E11922" s="7" t="n">
        <v>141.11</v>
      </c>
      <c r="F11922" s="7" t="n">
        <v>0</v>
      </c>
      <c r="G11922" s="7" t="n">
        <v>0</v>
      </c>
    </row>
    <row r="11923" customFormat="false" ht="15" hidden="false" customHeight="false" outlineLevel="0" collapsed="false">
      <c r="A11923" s="7" t="s">
        <v>31</v>
      </c>
      <c r="B11923" s="7" t="s">
        <v>660</v>
      </c>
      <c r="C11923" s="7" t="s">
        <v>1231</v>
      </c>
      <c r="D11923" s="7" t="n">
        <v>10</v>
      </c>
      <c r="E11923" s="7" t="n">
        <v>147.33</v>
      </c>
      <c r="F11923" s="7" t="n">
        <v>0</v>
      </c>
      <c r="G11923" s="7" t="n">
        <v>0</v>
      </c>
    </row>
    <row r="11924" customFormat="false" ht="15" hidden="false" customHeight="false" outlineLevel="0" collapsed="false">
      <c r="A11924" s="7" t="s">
        <v>31</v>
      </c>
      <c r="B11924" s="7" t="s">
        <v>660</v>
      </c>
      <c r="C11924" s="7" t="s">
        <v>1231</v>
      </c>
      <c r="D11924" s="7" t="n">
        <v>10</v>
      </c>
      <c r="E11924" s="7" t="n">
        <v>148.29</v>
      </c>
      <c r="F11924" s="7" t="n">
        <v>0</v>
      </c>
      <c r="G11924" s="7" t="n">
        <v>0</v>
      </c>
    </row>
    <row r="11925" customFormat="false" ht="15" hidden="false" customHeight="false" outlineLevel="0" collapsed="false">
      <c r="A11925" s="7" t="s">
        <v>31</v>
      </c>
      <c r="B11925" s="7" t="s">
        <v>660</v>
      </c>
      <c r="C11925" s="7" t="s">
        <v>1231</v>
      </c>
      <c r="D11925" s="7" t="n">
        <v>0</v>
      </c>
      <c r="E11925" s="7" t="n">
        <v>0</v>
      </c>
      <c r="F11925" s="7" t="n">
        <v>15</v>
      </c>
      <c r="G11925" s="7" t="n">
        <v>193.43</v>
      </c>
    </row>
    <row r="11926" customFormat="false" ht="15" hidden="false" customHeight="false" outlineLevel="0" collapsed="false">
      <c r="A11926" s="7" t="s">
        <v>31</v>
      </c>
      <c r="B11926" s="7" t="s">
        <v>660</v>
      </c>
      <c r="C11926" s="7" t="s">
        <v>1231</v>
      </c>
      <c r="D11926" s="7" t="n">
        <v>40</v>
      </c>
      <c r="E11926" s="7" t="n">
        <v>568.42</v>
      </c>
      <c r="F11926" s="7" t="n">
        <v>0</v>
      </c>
      <c r="G11926" s="7" t="n">
        <v>0</v>
      </c>
    </row>
    <row r="11927" customFormat="false" ht="15" hidden="false" customHeight="false" outlineLevel="0" collapsed="false">
      <c r="A11927" s="7" t="s">
        <v>31</v>
      </c>
      <c r="B11927" s="7" t="s">
        <v>660</v>
      </c>
      <c r="C11927" s="7" t="s">
        <v>1231</v>
      </c>
      <c r="D11927" s="7" t="n">
        <v>10</v>
      </c>
      <c r="E11927" s="7" t="n">
        <v>155.74</v>
      </c>
      <c r="F11927" s="7" t="n">
        <v>0</v>
      </c>
      <c r="G11927" s="7" t="n">
        <v>0</v>
      </c>
    </row>
    <row r="11928" customFormat="false" ht="15" hidden="false" customHeight="false" outlineLevel="0" collapsed="false">
      <c r="A11928" s="7" t="s">
        <v>31</v>
      </c>
      <c r="B11928" s="7" t="s">
        <v>229</v>
      </c>
      <c r="C11928" s="7" t="s">
        <v>1099</v>
      </c>
      <c r="D11928" s="7" t="n">
        <v>0</v>
      </c>
      <c r="E11928" s="7" t="n">
        <v>0</v>
      </c>
      <c r="F11928" s="7" t="n">
        <v>15</v>
      </c>
      <c r="G11928" s="7" t="n">
        <v>442.38</v>
      </c>
    </row>
    <row r="11929" customFormat="false" ht="15" hidden="false" customHeight="false" outlineLevel="0" collapsed="false">
      <c r="A11929" s="7" t="s">
        <v>31</v>
      </c>
      <c r="B11929" s="7" t="s">
        <v>119</v>
      </c>
      <c r="C11929" s="7" t="s">
        <v>1100</v>
      </c>
      <c r="D11929" s="7" t="n">
        <v>20</v>
      </c>
      <c r="E11929" s="7" t="n">
        <v>315.83</v>
      </c>
      <c r="F11929" s="7" t="n">
        <v>0</v>
      </c>
      <c r="G11929" s="7" t="n">
        <v>0</v>
      </c>
    </row>
    <row r="11930" customFormat="false" ht="15" hidden="false" customHeight="false" outlineLevel="0" collapsed="false">
      <c r="A11930" s="7" t="s">
        <v>31</v>
      </c>
      <c r="B11930" s="7" t="s">
        <v>119</v>
      </c>
      <c r="C11930" s="7" t="s">
        <v>1100</v>
      </c>
      <c r="D11930" s="7" t="n">
        <v>0</v>
      </c>
      <c r="E11930" s="7" t="n">
        <v>0</v>
      </c>
      <c r="F11930" s="7" t="n">
        <v>90</v>
      </c>
      <c r="G11930" s="7" t="n">
        <v>1355.98</v>
      </c>
    </row>
    <row r="11931" customFormat="false" ht="15" hidden="false" customHeight="false" outlineLevel="0" collapsed="false">
      <c r="A11931" s="7" t="s">
        <v>31</v>
      </c>
      <c r="B11931" s="7" t="s">
        <v>119</v>
      </c>
      <c r="C11931" s="7" t="s">
        <v>1100</v>
      </c>
      <c r="D11931" s="7" t="n">
        <v>50</v>
      </c>
      <c r="E11931" s="7" t="n">
        <v>829.72</v>
      </c>
      <c r="F11931" s="7" t="n">
        <v>0</v>
      </c>
      <c r="G11931" s="7" t="n">
        <v>0</v>
      </c>
    </row>
    <row r="11932" customFormat="false" ht="15" hidden="false" customHeight="false" outlineLevel="0" collapsed="false">
      <c r="A11932" s="7" t="s">
        <v>31</v>
      </c>
      <c r="B11932" s="7" t="s">
        <v>119</v>
      </c>
      <c r="C11932" s="7" t="s">
        <v>1100</v>
      </c>
      <c r="D11932" s="7" t="n">
        <v>0</v>
      </c>
      <c r="E11932" s="7" t="n">
        <v>0</v>
      </c>
      <c r="F11932" s="7" t="n">
        <v>30</v>
      </c>
      <c r="G11932" s="7" t="n">
        <v>462.34</v>
      </c>
    </row>
    <row r="11933" customFormat="false" ht="15" hidden="false" customHeight="false" outlineLevel="0" collapsed="false">
      <c r="A11933" s="7" t="s">
        <v>31</v>
      </c>
      <c r="B11933" s="7" t="s">
        <v>119</v>
      </c>
      <c r="C11933" s="7" t="s">
        <v>1100</v>
      </c>
      <c r="D11933" s="7" t="n">
        <v>0</v>
      </c>
      <c r="E11933" s="7" t="n">
        <v>0</v>
      </c>
      <c r="F11933" s="7" t="n">
        <v>20</v>
      </c>
      <c r="G11933" s="7" t="n">
        <v>288.6</v>
      </c>
    </row>
    <row r="11934" customFormat="false" ht="15" hidden="false" customHeight="false" outlineLevel="0" collapsed="false">
      <c r="A11934" s="7" t="s">
        <v>31</v>
      </c>
      <c r="B11934" s="7" t="s">
        <v>119</v>
      </c>
      <c r="C11934" s="7" t="s">
        <v>1100</v>
      </c>
      <c r="D11934" s="7" t="n">
        <v>30</v>
      </c>
      <c r="E11934" s="7" t="n">
        <v>522.84</v>
      </c>
      <c r="F11934" s="7" t="n">
        <v>0</v>
      </c>
      <c r="G11934" s="7" t="n">
        <v>0</v>
      </c>
    </row>
    <row r="11935" customFormat="false" ht="15" hidden="false" customHeight="false" outlineLevel="0" collapsed="false">
      <c r="A11935" s="7" t="s">
        <v>31</v>
      </c>
      <c r="B11935" s="7" t="s">
        <v>119</v>
      </c>
      <c r="C11935" s="7" t="s">
        <v>1100</v>
      </c>
      <c r="D11935" s="7" t="n">
        <v>80</v>
      </c>
      <c r="E11935" s="7" t="n">
        <v>1318.99</v>
      </c>
      <c r="F11935" s="7" t="n">
        <v>0</v>
      </c>
      <c r="G11935" s="7" t="n">
        <v>0</v>
      </c>
    </row>
    <row r="11936" customFormat="false" ht="15" hidden="false" customHeight="false" outlineLevel="0" collapsed="false">
      <c r="A11936" s="7" t="s">
        <v>31</v>
      </c>
      <c r="B11936" s="7" t="s">
        <v>119</v>
      </c>
      <c r="C11936" s="7" t="s">
        <v>1100</v>
      </c>
      <c r="D11936" s="7" t="n">
        <v>50</v>
      </c>
      <c r="E11936" s="7" t="n">
        <v>795.11</v>
      </c>
      <c r="F11936" s="7" t="n">
        <v>0</v>
      </c>
      <c r="G11936" s="7" t="n">
        <v>0</v>
      </c>
    </row>
    <row r="11937" customFormat="false" ht="15" hidden="false" customHeight="false" outlineLevel="0" collapsed="false">
      <c r="A11937" s="7" t="s">
        <v>31</v>
      </c>
      <c r="B11937" s="7" t="s">
        <v>517</v>
      </c>
      <c r="C11937" s="7" t="s">
        <v>1101</v>
      </c>
      <c r="D11937" s="7" t="n">
        <v>0</v>
      </c>
      <c r="E11937" s="7" t="n">
        <v>0</v>
      </c>
      <c r="F11937" s="7" t="n">
        <v>10</v>
      </c>
      <c r="G11937" s="7" t="n">
        <v>324.12</v>
      </c>
    </row>
    <row r="11938" customFormat="false" ht="15" hidden="false" customHeight="false" outlineLevel="0" collapsed="false">
      <c r="A11938" s="7" t="s">
        <v>31</v>
      </c>
      <c r="B11938" s="7" t="s">
        <v>517</v>
      </c>
      <c r="C11938" s="7" t="s">
        <v>1101</v>
      </c>
      <c r="D11938" s="7" t="n">
        <v>0</v>
      </c>
      <c r="E11938" s="7" t="n">
        <v>0</v>
      </c>
      <c r="F11938" s="7" t="n">
        <v>20</v>
      </c>
      <c r="G11938" s="7" t="n">
        <v>620.87</v>
      </c>
    </row>
    <row r="11939" customFormat="false" ht="15" hidden="false" customHeight="false" outlineLevel="0" collapsed="false">
      <c r="A11939" s="7" t="s">
        <v>31</v>
      </c>
      <c r="B11939" s="7" t="s">
        <v>517</v>
      </c>
      <c r="C11939" s="7" t="s">
        <v>1101</v>
      </c>
      <c r="D11939" s="7" t="n">
        <v>0</v>
      </c>
      <c r="E11939" s="7" t="n">
        <v>0</v>
      </c>
      <c r="F11939" s="7" t="n">
        <v>6</v>
      </c>
      <c r="G11939" s="7" t="n">
        <v>198.92</v>
      </c>
    </row>
    <row r="11940" customFormat="false" ht="15" hidden="false" customHeight="false" outlineLevel="0" collapsed="false">
      <c r="A11940" s="7" t="s">
        <v>31</v>
      </c>
      <c r="B11940" s="7" t="s">
        <v>517</v>
      </c>
      <c r="C11940" s="7" t="s">
        <v>1101</v>
      </c>
      <c r="D11940" s="7" t="n">
        <v>20</v>
      </c>
      <c r="E11940" s="7" t="n">
        <v>679.44</v>
      </c>
      <c r="F11940" s="7" t="n">
        <v>0</v>
      </c>
      <c r="G11940" s="7" t="n">
        <v>0</v>
      </c>
    </row>
    <row r="11941" customFormat="false" ht="15" hidden="false" customHeight="false" outlineLevel="0" collapsed="false">
      <c r="A11941" s="7" t="s">
        <v>31</v>
      </c>
      <c r="B11941" s="7" t="s">
        <v>517</v>
      </c>
      <c r="C11941" s="7" t="s">
        <v>1101</v>
      </c>
      <c r="D11941" s="7" t="n">
        <v>10</v>
      </c>
      <c r="E11941" s="7" t="n">
        <v>342.11</v>
      </c>
      <c r="F11941" s="7" t="n">
        <v>0</v>
      </c>
      <c r="G11941" s="7" t="n">
        <v>0</v>
      </c>
    </row>
    <row r="11942" customFormat="false" ht="15" hidden="false" customHeight="false" outlineLevel="0" collapsed="false">
      <c r="A11942" s="7" t="s">
        <v>31</v>
      </c>
      <c r="B11942" s="7" t="s">
        <v>517</v>
      </c>
      <c r="C11942" s="7" t="s">
        <v>1101</v>
      </c>
      <c r="D11942" s="7" t="n">
        <v>20</v>
      </c>
      <c r="E11942" s="7" t="n">
        <v>713.99</v>
      </c>
      <c r="F11942" s="7" t="n">
        <v>0</v>
      </c>
      <c r="G11942" s="7" t="n">
        <v>0</v>
      </c>
    </row>
    <row r="11943" customFormat="false" ht="15" hidden="false" customHeight="false" outlineLevel="0" collapsed="false">
      <c r="A11943" s="7" t="s">
        <v>31</v>
      </c>
      <c r="B11943" s="7" t="s">
        <v>517</v>
      </c>
      <c r="C11943" s="7" t="s">
        <v>1101</v>
      </c>
      <c r="D11943" s="7" t="n">
        <v>0</v>
      </c>
      <c r="E11943" s="7" t="n">
        <v>0</v>
      </c>
      <c r="F11943" s="7" t="n">
        <v>6</v>
      </c>
      <c r="G11943" s="7" t="n">
        <v>185.41</v>
      </c>
    </row>
    <row r="11944" customFormat="false" ht="15" hidden="false" customHeight="false" outlineLevel="0" collapsed="false">
      <c r="A11944" s="7" t="s">
        <v>31</v>
      </c>
      <c r="B11944" s="7" t="s">
        <v>334</v>
      </c>
      <c r="C11944" s="7" t="s">
        <v>1101</v>
      </c>
      <c r="D11944" s="7" t="n">
        <v>10</v>
      </c>
      <c r="E11944" s="7" t="n">
        <v>356.99</v>
      </c>
      <c r="F11944" s="7" t="n">
        <v>0</v>
      </c>
      <c r="G11944" s="7" t="n">
        <v>0</v>
      </c>
    </row>
    <row r="11945" customFormat="false" ht="15" hidden="false" customHeight="false" outlineLevel="0" collapsed="false">
      <c r="A11945" s="7" t="s">
        <v>31</v>
      </c>
      <c r="B11945" s="7" t="s">
        <v>334</v>
      </c>
      <c r="C11945" s="7" t="s">
        <v>1101</v>
      </c>
      <c r="D11945" s="7" t="n">
        <v>20</v>
      </c>
      <c r="E11945" s="7" t="n">
        <v>684.21</v>
      </c>
      <c r="F11945" s="7" t="n">
        <v>0</v>
      </c>
      <c r="G11945" s="7" t="n">
        <v>0</v>
      </c>
    </row>
    <row r="11946" customFormat="false" ht="15" hidden="false" customHeight="false" outlineLevel="0" collapsed="false">
      <c r="A11946" s="7" t="s">
        <v>31</v>
      </c>
      <c r="B11946" s="7" t="s">
        <v>334</v>
      </c>
      <c r="C11946" s="7" t="s">
        <v>1101</v>
      </c>
      <c r="D11946" s="7" t="n">
        <v>30</v>
      </c>
      <c r="E11946" s="7" t="n">
        <v>1019.16</v>
      </c>
      <c r="F11946" s="7" t="n">
        <v>0</v>
      </c>
      <c r="G11946" s="7" t="n">
        <v>0</v>
      </c>
    </row>
    <row r="11947" customFormat="false" ht="15" hidden="false" customHeight="false" outlineLevel="0" collapsed="false">
      <c r="A11947" s="7" t="s">
        <v>31</v>
      </c>
      <c r="B11947" s="7" t="s">
        <v>334</v>
      </c>
      <c r="C11947" s="7" t="s">
        <v>1101</v>
      </c>
      <c r="D11947" s="7" t="n">
        <v>0</v>
      </c>
      <c r="E11947" s="7" t="n">
        <v>0</v>
      </c>
      <c r="F11947" s="7" t="n">
        <v>10</v>
      </c>
      <c r="G11947" s="7" t="n">
        <v>309.01</v>
      </c>
    </row>
    <row r="11948" customFormat="false" ht="15" hidden="false" customHeight="false" outlineLevel="0" collapsed="false">
      <c r="A11948" s="7" t="s">
        <v>31</v>
      </c>
      <c r="B11948" s="7" t="s">
        <v>334</v>
      </c>
      <c r="C11948" s="7" t="s">
        <v>1101</v>
      </c>
      <c r="D11948" s="7" t="n">
        <v>0</v>
      </c>
      <c r="E11948" s="7" t="n">
        <v>0</v>
      </c>
      <c r="F11948" s="7" t="n">
        <v>20</v>
      </c>
      <c r="G11948" s="7" t="n">
        <v>648.25</v>
      </c>
    </row>
    <row r="11949" customFormat="false" ht="15" hidden="false" customHeight="false" outlineLevel="0" collapsed="false">
      <c r="A11949" s="7" t="s">
        <v>31</v>
      </c>
      <c r="B11949" s="7" t="s">
        <v>334</v>
      </c>
      <c r="C11949" s="7" t="s">
        <v>1101</v>
      </c>
      <c r="D11949" s="7" t="n">
        <v>0</v>
      </c>
      <c r="E11949" s="7" t="n">
        <v>0</v>
      </c>
      <c r="F11949" s="7" t="n">
        <v>6</v>
      </c>
      <c r="G11949" s="7" t="n">
        <v>198.92</v>
      </c>
    </row>
    <row r="11950" customFormat="false" ht="15" hidden="false" customHeight="false" outlineLevel="0" collapsed="false">
      <c r="A11950" s="7" t="s">
        <v>31</v>
      </c>
      <c r="B11950" s="7" t="s">
        <v>334</v>
      </c>
      <c r="C11950" s="7" t="s">
        <v>1101</v>
      </c>
      <c r="D11950" s="7" t="n">
        <v>0</v>
      </c>
      <c r="E11950" s="7" t="n">
        <v>0</v>
      </c>
      <c r="F11950" s="7" t="n">
        <v>20</v>
      </c>
      <c r="G11950" s="7" t="n">
        <v>620.87</v>
      </c>
    </row>
    <row r="11951" customFormat="false" ht="15" hidden="false" customHeight="false" outlineLevel="0" collapsed="false">
      <c r="A11951" s="7" t="s">
        <v>31</v>
      </c>
      <c r="B11951" s="7" t="s">
        <v>470</v>
      </c>
      <c r="C11951" s="7" t="s">
        <v>1235</v>
      </c>
      <c r="D11951" s="7" t="n">
        <v>0</v>
      </c>
      <c r="E11951" s="7" t="n">
        <v>0</v>
      </c>
      <c r="F11951" s="7" t="n">
        <v>10</v>
      </c>
      <c r="G11951" s="7" t="n">
        <v>193.43</v>
      </c>
    </row>
    <row r="11952" customFormat="false" ht="15" hidden="false" customHeight="false" outlineLevel="0" collapsed="false">
      <c r="A11952" s="7" t="s">
        <v>31</v>
      </c>
      <c r="B11952" s="7" t="s">
        <v>470</v>
      </c>
      <c r="C11952" s="7" t="s">
        <v>1235</v>
      </c>
      <c r="D11952" s="7" t="n">
        <v>0</v>
      </c>
      <c r="E11952" s="7" t="n">
        <v>0</v>
      </c>
      <c r="F11952" s="7" t="n">
        <v>6</v>
      </c>
      <c r="G11952" s="7" t="n">
        <v>121.18</v>
      </c>
    </row>
    <row r="11953" customFormat="false" ht="15" hidden="false" customHeight="false" outlineLevel="0" collapsed="false">
      <c r="A11953" s="7" t="s">
        <v>31</v>
      </c>
      <c r="B11953" s="7" t="s">
        <v>470</v>
      </c>
      <c r="C11953" s="7" t="s">
        <v>1235</v>
      </c>
      <c r="D11953" s="7" t="n">
        <v>10</v>
      </c>
      <c r="E11953" s="7" t="n">
        <v>213.16</v>
      </c>
      <c r="F11953" s="7" t="n">
        <v>0</v>
      </c>
      <c r="G11953" s="7" t="n">
        <v>0</v>
      </c>
    </row>
    <row r="11954" customFormat="false" ht="15" hidden="false" customHeight="false" outlineLevel="0" collapsed="false">
      <c r="A11954" s="7" t="s">
        <v>31</v>
      </c>
      <c r="B11954" s="7" t="s">
        <v>173</v>
      </c>
      <c r="C11954" s="7" t="s">
        <v>1235</v>
      </c>
      <c r="D11954" s="7" t="n">
        <v>0</v>
      </c>
      <c r="E11954" s="7" t="n">
        <v>0</v>
      </c>
      <c r="F11954" s="7" t="n">
        <v>6</v>
      </c>
      <c r="G11954" s="7" t="n">
        <v>121.18</v>
      </c>
    </row>
    <row r="11955" customFormat="false" ht="15" hidden="false" customHeight="false" outlineLevel="0" collapsed="false">
      <c r="A11955" s="7" t="s">
        <v>31</v>
      </c>
      <c r="B11955" s="7" t="s">
        <v>173</v>
      </c>
      <c r="C11955" s="7" t="s">
        <v>1235</v>
      </c>
      <c r="D11955" s="7" t="n">
        <v>30</v>
      </c>
      <c r="E11955" s="7" t="n">
        <v>663</v>
      </c>
      <c r="F11955" s="7" t="n">
        <v>0</v>
      </c>
      <c r="G11955" s="7" t="n">
        <v>0</v>
      </c>
    </row>
    <row r="11956" customFormat="false" ht="15" hidden="false" customHeight="false" outlineLevel="0" collapsed="false">
      <c r="A11956" s="7" t="s">
        <v>31</v>
      </c>
      <c r="B11956" s="7" t="s">
        <v>173</v>
      </c>
      <c r="C11956" s="7" t="s">
        <v>1235</v>
      </c>
      <c r="D11956" s="7" t="n">
        <v>0</v>
      </c>
      <c r="E11956" s="7" t="n">
        <v>0</v>
      </c>
      <c r="F11956" s="7" t="n">
        <v>10</v>
      </c>
      <c r="G11956" s="7" t="n">
        <v>206.58</v>
      </c>
    </row>
    <row r="11957" customFormat="false" ht="15" hidden="false" customHeight="false" outlineLevel="0" collapsed="false">
      <c r="A11957" s="7" t="s">
        <v>31</v>
      </c>
      <c r="B11957" s="7" t="s">
        <v>173</v>
      </c>
      <c r="C11957" s="7" t="s">
        <v>1235</v>
      </c>
      <c r="D11957" s="7" t="n">
        <v>15</v>
      </c>
      <c r="E11957" s="7" t="n">
        <v>319.73</v>
      </c>
      <c r="F11957" s="7" t="n">
        <v>0</v>
      </c>
      <c r="G11957" s="7" t="n">
        <v>0</v>
      </c>
    </row>
    <row r="11958" customFormat="false" ht="15" hidden="false" customHeight="false" outlineLevel="0" collapsed="false">
      <c r="A11958" s="7" t="s">
        <v>31</v>
      </c>
      <c r="B11958" s="7" t="s">
        <v>468</v>
      </c>
      <c r="C11958" s="7" t="s">
        <v>1236</v>
      </c>
      <c r="D11958" s="7" t="n">
        <v>0</v>
      </c>
      <c r="E11958" s="7" t="n">
        <v>0</v>
      </c>
      <c r="F11958" s="7" t="n">
        <v>10</v>
      </c>
      <c r="G11958" s="7" t="n">
        <v>178.07</v>
      </c>
    </row>
    <row r="11959" customFormat="false" ht="15" hidden="false" customHeight="false" outlineLevel="0" collapsed="false">
      <c r="A11959" s="7" t="s">
        <v>31</v>
      </c>
      <c r="B11959" s="7" t="s">
        <v>468</v>
      </c>
      <c r="C11959" s="7" t="s">
        <v>1236</v>
      </c>
      <c r="D11959" s="7" t="n">
        <v>6</v>
      </c>
      <c r="E11959" s="7" t="n">
        <v>129.04</v>
      </c>
      <c r="F11959" s="7" t="n">
        <v>0</v>
      </c>
      <c r="G11959" s="7" t="n">
        <v>0</v>
      </c>
    </row>
    <row r="11960" customFormat="false" ht="15" hidden="false" customHeight="false" outlineLevel="0" collapsed="false">
      <c r="A11960" s="7" t="s">
        <v>31</v>
      </c>
      <c r="B11960" s="7" t="s">
        <v>468</v>
      </c>
      <c r="C11960" s="7" t="s">
        <v>1236</v>
      </c>
      <c r="D11960" s="7" t="n">
        <v>6</v>
      </c>
      <c r="E11960" s="7" t="n">
        <v>122.08</v>
      </c>
      <c r="F11960" s="7" t="n">
        <v>0</v>
      </c>
      <c r="G11960" s="7" t="n">
        <v>0</v>
      </c>
    </row>
    <row r="11961" customFormat="false" ht="15" hidden="false" customHeight="false" outlineLevel="0" collapsed="false">
      <c r="A11961" s="7" t="s">
        <v>31</v>
      </c>
      <c r="B11961" s="7" t="s">
        <v>226</v>
      </c>
      <c r="C11961" s="7" t="s">
        <v>1236</v>
      </c>
      <c r="D11961" s="7" t="n">
        <v>0</v>
      </c>
      <c r="E11961" s="7" t="n">
        <v>0</v>
      </c>
      <c r="F11961" s="7" t="n">
        <v>6</v>
      </c>
      <c r="G11961" s="7" t="n">
        <v>111.55</v>
      </c>
    </row>
    <row r="11962" customFormat="false" ht="15" hidden="false" customHeight="false" outlineLevel="0" collapsed="false">
      <c r="A11962" s="7" t="s">
        <v>31</v>
      </c>
      <c r="B11962" s="7" t="s">
        <v>583</v>
      </c>
      <c r="C11962" s="7" t="s">
        <v>1239</v>
      </c>
      <c r="D11962" s="7" t="n">
        <v>1</v>
      </c>
      <c r="E11962" s="7" t="n">
        <v>0.04</v>
      </c>
      <c r="F11962" s="7" t="n">
        <v>0</v>
      </c>
      <c r="G11962" s="7" t="n">
        <v>0</v>
      </c>
    </row>
    <row r="11963" customFormat="false" ht="15" hidden="false" customHeight="false" outlineLevel="0" collapsed="false">
      <c r="A11963" s="7" t="s">
        <v>31</v>
      </c>
      <c r="B11963" s="7" t="s">
        <v>941</v>
      </c>
      <c r="C11963" s="7" t="s">
        <v>1329</v>
      </c>
      <c r="D11963" s="7" t="n">
        <v>10</v>
      </c>
      <c r="E11963" s="7" t="n">
        <v>194.88</v>
      </c>
      <c r="F11963" s="7" t="n">
        <v>0</v>
      </c>
      <c r="G11963" s="7" t="n">
        <v>0</v>
      </c>
    </row>
    <row r="11964" customFormat="false" ht="15" hidden="false" customHeight="false" outlineLevel="0" collapsed="false">
      <c r="A11964" s="7" t="s">
        <v>31</v>
      </c>
      <c r="B11964" s="7" t="s">
        <v>937</v>
      </c>
      <c r="C11964" s="7" t="s">
        <v>1329</v>
      </c>
      <c r="D11964" s="7" t="n">
        <v>20</v>
      </c>
      <c r="E11964" s="7" t="n">
        <v>389.75</v>
      </c>
      <c r="F11964" s="7" t="n">
        <v>0</v>
      </c>
      <c r="G11964" s="7" t="n">
        <v>0</v>
      </c>
    </row>
    <row r="11965" customFormat="false" ht="15" hidden="false" customHeight="false" outlineLevel="0" collapsed="false">
      <c r="A11965" s="7" t="s">
        <v>31</v>
      </c>
      <c r="B11965" s="7" t="s">
        <v>299</v>
      </c>
      <c r="C11965" s="7" t="s">
        <v>1104</v>
      </c>
      <c r="D11965" s="7" t="n">
        <v>0</v>
      </c>
      <c r="E11965" s="7" t="n">
        <v>0</v>
      </c>
      <c r="F11965" s="7" t="n">
        <v>6</v>
      </c>
      <c r="G11965" s="7" t="n">
        <v>123.95</v>
      </c>
    </row>
    <row r="11966" customFormat="false" ht="15" hidden="false" customHeight="false" outlineLevel="0" collapsed="false">
      <c r="A11966" s="7" t="s">
        <v>31</v>
      </c>
      <c r="B11966" s="7" t="s">
        <v>153</v>
      </c>
      <c r="C11966" s="7" t="s">
        <v>1104</v>
      </c>
      <c r="D11966" s="7" t="n">
        <v>0</v>
      </c>
      <c r="E11966" s="7" t="n">
        <v>0</v>
      </c>
      <c r="F11966" s="7" t="n">
        <v>20</v>
      </c>
      <c r="G11966" s="7" t="n">
        <v>393.9</v>
      </c>
    </row>
    <row r="11967" customFormat="false" ht="15" hidden="false" customHeight="false" outlineLevel="0" collapsed="false">
      <c r="A11967" s="7" t="s">
        <v>31</v>
      </c>
      <c r="B11967" s="7" t="s">
        <v>153</v>
      </c>
      <c r="C11967" s="7" t="s">
        <v>1104</v>
      </c>
      <c r="D11967" s="7" t="n">
        <v>0</v>
      </c>
      <c r="E11967" s="7" t="n">
        <v>0</v>
      </c>
      <c r="F11967" s="7" t="n">
        <v>10</v>
      </c>
      <c r="G11967" s="7" t="n">
        <v>206.58</v>
      </c>
    </row>
    <row r="11968" customFormat="false" ht="15" hidden="false" customHeight="false" outlineLevel="0" collapsed="false">
      <c r="A11968" s="7" t="s">
        <v>31</v>
      </c>
      <c r="B11968" s="7" t="s">
        <v>118</v>
      </c>
      <c r="C11968" s="7" t="s">
        <v>1104</v>
      </c>
      <c r="D11968" s="7" t="n">
        <v>1</v>
      </c>
      <c r="E11968" s="7" t="n">
        <v>0.04</v>
      </c>
      <c r="F11968" s="7" t="n">
        <v>0</v>
      </c>
      <c r="G11968" s="7" t="n">
        <v>0</v>
      </c>
    </row>
    <row r="11969" customFormat="false" ht="15" hidden="false" customHeight="false" outlineLevel="0" collapsed="false">
      <c r="A11969" s="7" t="s">
        <v>31</v>
      </c>
      <c r="B11969" s="7" t="s">
        <v>118</v>
      </c>
      <c r="C11969" s="7" t="s">
        <v>1104</v>
      </c>
      <c r="D11969" s="7" t="n">
        <v>0</v>
      </c>
      <c r="E11969" s="7" t="n">
        <v>0</v>
      </c>
      <c r="F11969" s="7" t="n">
        <v>50</v>
      </c>
      <c r="G11969" s="7" t="n">
        <v>984.75</v>
      </c>
    </row>
    <row r="11970" customFormat="false" ht="15" hidden="false" customHeight="false" outlineLevel="0" collapsed="false">
      <c r="A11970" s="7" t="s">
        <v>31</v>
      </c>
      <c r="B11970" s="7" t="s">
        <v>118</v>
      </c>
      <c r="C11970" s="7" t="s">
        <v>1104</v>
      </c>
      <c r="D11970" s="7" t="n">
        <v>0</v>
      </c>
      <c r="E11970" s="7" t="n">
        <v>0</v>
      </c>
      <c r="F11970" s="7" t="n">
        <v>10</v>
      </c>
      <c r="G11970" s="7" t="n">
        <v>206.58</v>
      </c>
    </row>
    <row r="11971" customFormat="false" ht="15" hidden="false" customHeight="false" outlineLevel="0" collapsed="false">
      <c r="A11971" s="7" t="s">
        <v>31</v>
      </c>
      <c r="B11971" s="7" t="s">
        <v>106</v>
      </c>
      <c r="C11971" s="7" t="s">
        <v>1105</v>
      </c>
      <c r="D11971" s="7" t="n">
        <v>1</v>
      </c>
      <c r="E11971" s="7" t="n">
        <v>0.04</v>
      </c>
      <c r="F11971" s="7" t="n">
        <v>0</v>
      </c>
      <c r="G11971" s="7" t="n">
        <v>0</v>
      </c>
    </row>
    <row r="11972" customFormat="false" ht="15" hidden="false" customHeight="false" outlineLevel="0" collapsed="false">
      <c r="A11972" s="7" t="s">
        <v>31</v>
      </c>
      <c r="B11972" s="7" t="s">
        <v>556</v>
      </c>
      <c r="C11972" s="7" t="s">
        <v>1079</v>
      </c>
      <c r="D11972" s="7" t="n">
        <v>10</v>
      </c>
      <c r="E11972" s="7" t="n">
        <v>99.12</v>
      </c>
      <c r="F11972" s="7" t="n">
        <v>0</v>
      </c>
      <c r="G11972" s="7" t="n">
        <v>0</v>
      </c>
    </row>
    <row r="11973" customFormat="false" ht="15" hidden="false" customHeight="false" outlineLevel="0" collapsed="false">
      <c r="A11973" s="7" t="s">
        <v>31</v>
      </c>
      <c r="B11973" s="7" t="s">
        <v>556</v>
      </c>
      <c r="C11973" s="7" t="s">
        <v>1079</v>
      </c>
      <c r="D11973" s="7" t="n">
        <v>6</v>
      </c>
      <c r="E11973" s="7" t="n">
        <v>65.64</v>
      </c>
      <c r="F11973" s="7" t="n">
        <v>0</v>
      </c>
      <c r="G11973" s="7" t="n">
        <v>0</v>
      </c>
    </row>
    <row r="11974" customFormat="false" ht="15" hidden="false" customHeight="false" outlineLevel="0" collapsed="false">
      <c r="A11974" s="7" t="s">
        <v>31</v>
      </c>
      <c r="B11974" s="7" t="s">
        <v>556</v>
      </c>
      <c r="C11974" s="7" t="s">
        <v>1079</v>
      </c>
      <c r="D11974" s="7" t="n">
        <v>0</v>
      </c>
      <c r="E11974" s="7" t="n">
        <v>0</v>
      </c>
      <c r="F11974" s="7" t="n">
        <v>16</v>
      </c>
      <c r="G11974" s="7" t="n">
        <v>151.3</v>
      </c>
    </row>
    <row r="11975" customFormat="false" ht="15" hidden="false" customHeight="false" outlineLevel="0" collapsed="false">
      <c r="A11975" s="7" t="s">
        <v>31</v>
      </c>
      <c r="B11975" s="7" t="s">
        <v>556</v>
      </c>
      <c r="C11975" s="7" t="s">
        <v>1079</v>
      </c>
      <c r="D11975" s="7" t="n">
        <v>10</v>
      </c>
      <c r="E11975" s="7" t="n">
        <v>104.16</v>
      </c>
      <c r="F11975" s="7" t="n">
        <v>0</v>
      </c>
      <c r="G11975" s="7" t="n">
        <v>0</v>
      </c>
    </row>
    <row r="11976" customFormat="false" ht="15" hidden="false" customHeight="false" outlineLevel="0" collapsed="false">
      <c r="A11976" s="7" t="s">
        <v>31</v>
      </c>
      <c r="B11976" s="7" t="s">
        <v>580</v>
      </c>
      <c r="C11976" s="7" t="s">
        <v>1079</v>
      </c>
      <c r="D11976" s="7" t="n">
        <v>0</v>
      </c>
      <c r="E11976" s="7" t="n">
        <v>0</v>
      </c>
      <c r="F11976" s="7" t="n">
        <v>50</v>
      </c>
      <c r="G11976" s="7" t="n">
        <v>472.83</v>
      </c>
    </row>
    <row r="11977" customFormat="false" ht="15" hidden="false" customHeight="false" outlineLevel="0" collapsed="false">
      <c r="A11977" s="7" t="s">
        <v>31</v>
      </c>
      <c r="B11977" s="7" t="s">
        <v>580</v>
      </c>
      <c r="C11977" s="7" t="s">
        <v>1079</v>
      </c>
      <c r="D11977" s="7" t="n">
        <v>6</v>
      </c>
      <c r="E11977" s="7" t="n">
        <v>59.89</v>
      </c>
      <c r="F11977" s="7" t="n">
        <v>0</v>
      </c>
      <c r="G11977" s="7" t="n">
        <v>0</v>
      </c>
    </row>
    <row r="11978" customFormat="false" ht="15" hidden="false" customHeight="false" outlineLevel="0" collapsed="false">
      <c r="A11978" s="7" t="s">
        <v>31</v>
      </c>
      <c r="B11978" s="7" t="s">
        <v>580</v>
      </c>
      <c r="C11978" s="7" t="s">
        <v>1079</v>
      </c>
      <c r="D11978" s="7" t="n">
        <v>10</v>
      </c>
      <c r="E11978" s="7" t="n">
        <v>99.12</v>
      </c>
      <c r="F11978" s="7" t="n">
        <v>0</v>
      </c>
      <c r="G11978" s="7" t="n">
        <v>0</v>
      </c>
    </row>
    <row r="11979" customFormat="false" ht="15" hidden="false" customHeight="false" outlineLevel="0" collapsed="false">
      <c r="A11979" s="7" t="s">
        <v>31</v>
      </c>
      <c r="B11979" s="7" t="s">
        <v>580</v>
      </c>
      <c r="C11979" s="7" t="s">
        <v>1079</v>
      </c>
      <c r="D11979" s="7" t="n">
        <v>6</v>
      </c>
      <c r="E11979" s="7" t="n">
        <v>62.09</v>
      </c>
      <c r="F11979" s="7" t="n">
        <v>0</v>
      </c>
      <c r="G11979" s="7" t="n">
        <v>0</v>
      </c>
    </row>
    <row r="11980" customFormat="false" ht="15" hidden="false" customHeight="false" outlineLevel="0" collapsed="false">
      <c r="A11980" s="7" t="s">
        <v>31</v>
      </c>
      <c r="B11980" s="7" t="s">
        <v>572</v>
      </c>
      <c r="C11980" s="7" t="s">
        <v>1079</v>
      </c>
      <c r="D11980" s="7" t="n">
        <v>6</v>
      </c>
      <c r="E11980" s="7" t="n">
        <v>59.89</v>
      </c>
      <c r="F11980" s="7" t="n">
        <v>0</v>
      </c>
      <c r="G11980" s="7" t="n">
        <v>0</v>
      </c>
    </row>
    <row r="11981" customFormat="false" ht="15" hidden="false" customHeight="false" outlineLevel="0" collapsed="false">
      <c r="A11981" s="7" t="s">
        <v>31</v>
      </c>
      <c r="B11981" s="7" t="s">
        <v>572</v>
      </c>
      <c r="C11981" s="7" t="s">
        <v>1079</v>
      </c>
      <c r="D11981" s="7" t="n">
        <v>0</v>
      </c>
      <c r="E11981" s="7" t="n">
        <v>0</v>
      </c>
      <c r="F11981" s="7" t="n">
        <v>20</v>
      </c>
      <c r="G11981" s="7" t="n">
        <v>189.13</v>
      </c>
    </row>
    <row r="11982" customFormat="false" ht="15" hidden="false" customHeight="false" outlineLevel="0" collapsed="false">
      <c r="A11982" s="7" t="s">
        <v>31</v>
      </c>
      <c r="B11982" s="7" t="s">
        <v>578</v>
      </c>
      <c r="C11982" s="7" t="s">
        <v>1079</v>
      </c>
      <c r="D11982" s="7" t="n">
        <v>6</v>
      </c>
      <c r="E11982" s="7" t="n">
        <v>65.64</v>
      </c>
      <c r="F11982" s="7" t="n">
        <v>0</v>
      </c>
      <c r="G11982" s="7" t="n">
        <v>0</v>
      </c>
    </row>
    <row r="11983" customFormat="false" ht="15" hidden="false" customHeight="false" outlineLevel="0" collapsed="false">
      <c r="A11983" s="7" t="s">
        <v>31</v>
      </c>
      <c r="B11983" s="7" t="s">
        <v>578</v>
      </c>
      <c r="C11983" s="7" t="s">
        <v>1079</v>
      </c>
      <c r="D11983" s="7" t="n">
        <v>10</v>
      </c>
      <c r="E11983" s="7" t="n">
        <v>99.12</v>
      </c>
      <c r="F11983" s="7" t="n">
        <v>0</v>
      </c>
      <c r="G11983" s="7" t="n">
        <v>0</v>
      </c>
    </row>
    <row r="11984" customFormat="false" ht="15" hidden="false" customHeight="false" outlineLevel="0" collapsed="false">
      <c r="A11984" s="7" t="s">
        <v>31</v>
      </c>
      <c r="B11984" s="7" t="s">
        <v>578</v>
      </c>
      <c r="C11984" s="7" t="s">
        <v>1079</v>
      </c>
      <c r="D11984" s="7" t="n">
        <v>6</v>
      </c>
      <c r="E11984" s="7" t="n">
        <v>62.09</v>
      </c>
      <c r="F11984" s="7" t="n">
        <v>0</v>
      </c>
      <c r="G11984" s="7" t="n">
        <v>0</v>
      </c>
    </row>
    <row r="11985" customFormat="false" ht="15" hidden="false" customHeight="false" outlineLevel="0" collapsed="false">
      <c r="A11985" s="7" t="s">
        <v>31</v>
      </c>
      <c r="B11985" s="7" t="s">
        <v>369</v>
      </c>
      <c r="C11985" s="7" t="s">
        <v>1246</v>
      </c>
      <c r="D11985" s="7" t="n">
        <v>100</v>
      </c>
      <c r="E11985" s="7" t="n">
        <v>1112.17</v>
      </c>
      <c r="F11985" s="7" t="n">
        <v>0</v>
      </c>
      <c r="G11985" s="7" t="n">
        <v>0</v>
      </c>
    </row>
    <row r="11986" customFormat="false" ht="15" hidden="false" customHeight="false" outlineLevel="0" collapsed="false">
      <c r="A11986" s="7" t="s">
        <v>31</v>
      </c>
      <c r="B11986" s="7" t="s">
        <v>369</v>
      </c>
      <c r="C11986" s="7" t="s">
        <v>1246</v>
      </c>
      <c r="D11986" s="7" t="n">
        <v>60</v>
      </c>
      <c r="E11986" s="7" t="n">
        <v>663</v>
      </c>
      <c r="F11986" s="7" t="n">
        <v>0</v>
      </c>
      <c r="G11986" s="7" t="n">
        <v>0</v>
      </c>
    </row>
    <row r="11987" customFormat="false" ht="15" hidden="false" customHeight="false" outlineLevel="0" collapsed="false">
      <c r="A11987" s="7" t="s">
        <v>31</v>
      </c>
      <c r="B11987" s="7" t="s">
        <v>369</v>
      </c>
      <c r="C11987" s="7" t="s">
        <v>1246</v>
      </c>
      <c r="D11987" s="7" t="n">
        <v>40</v>
      </c>
      <c r="E11987" s="7" t="n">
        <v>423.34</v>
      </c>
      <c r="F11987" s="7" t="n">
        <v>0</v>
      </c>
      <c r="G11987" s="7" t="n">
        <v>0</v>
      </c>
    </row>
    <row r="11988" customFormat="false" ht="15" hidden="false" customHeight="false" outlineLevel="0" collapsed="false">
      <c r="A11988" s="7" t="s">
        <v>31</v>
      </c>
      <c r="B11988" s="7" t="s">
        <v>369</v>
      </c>
      <c r="C11988" s="7" t="s">
        <v>1246</v>
      </c>
      <c r="D11988" s="7" t="n">
        <v>70</v>
      </c>
      <c r="E11988" s="7" t="n">
        <v>746.06</v>
      </c>
      <c r="F11988" s="7" t="n">
        <v>0</v>
      </c>
      <c r="G11988" s="7" t="n">
        <v>0</v>
      </c>
    </row>
    <row r="11989" customFormat="false" ht="15" hidden="false" customHeight="false" outlineLevel="0" collapsed="false">
      <c r="A11989" s="7" t="s">
        <v>31</v>
      </c>
      <c r="B11989" s="7" t="s">
        <v>369</v>
      </c>
      <c r="C11989" s="7" t="s">
        <v>1246</v>
      </c>
      <c r="D11989" s="7" t="n">
        <v>0</v>
      </c>
      <c r="E11989" s="7" t="n">
        <v>0</v>
      </c>
      <c r="F11989" s="7" t="n">
        <v>50</v>
      </c>
      <c r="G11989" s="7" t="n">
        <v>516.44</v>
      </c>
    </row>
    <row r="11990" customFormat="false" ht="15" hidden="false" customHeight="false" outlineLevel="0" collapsed="false">
      <c r="A11990" s="7" t="s">
        <v>31</v>
      </c>
      <c r="B11990" s="7" t="s">
        <v>369</v>
      </c>
      <c r="C11990" s="7" t="s">
        <v>1246</v>
      </c>
      <c r="D11990" s="7" t="n">
        <v>0</v>
      </c>
      <c r="E11990" s="7" t="n">
        <v>0</v>
      </c>
      <c r="F11990" s="7" t="n">
        <v>90</v>
      </c>
      <c r="G11990" s="7" t="n">
        <v>908.79</v>
      </c>
    </row>
    <row r="11991" customFormat="false" ht="15" hidden="false" customHeight="false" outlineLevel="0" collapsed="false">
      <c r="A11991" s="7" t="s">
        <v>31</v>
      </c>
      <c r="B11991" s="7" t="s">
        <v>435</v>
      </c>
      <c r="C11991" s="7" t="s">
        <v>1246</v>
      </c>
      <c r="D11991" s="7" t="n">
        <v>50</v>
      </c>
      <c r="E11991" s="7" t="n">
        <v>529.18</v>
      </c>
      <c r="F11991" s="7" t="n">
        <v>0</v>
      </c>
      <c r="G11991" s="7" t="n">
        <v>0</v>
      </c>
    </row>
    <row r="11992" customFormat="false" ht="15" hidden="false" customHeight="false" outlineLevel="0" collapsed="false">
      <c r="A11992" s="7" t="s">
        <v>31</v>
      </c>
      <c r="B11992" s="7" t="s">
        <v>435</v>
      </c>
      <c r="C11992" s="7" t="s">
        <v>1246</v>
      </c>
      <c r="D11992" s="7" t="n">
        <v>0</v>
      </c>
      <c r="E11992" s="7" t="n">
        <v>0</v>
      </c>
      <c r="F11992" s="7" t="n">
        <v>40</v>
      </c>
      <c r="G11992" s="7" t="n">
        <v>413.15</v>
      </c>
    </row>
    <row r="11993" customFormat="false" ht="15" hidden="false" customHeight="false" outlineLevel="0" collapsed="false">
      <c r="A11993" s="7" t="s">
        <v>31</v>
      </c>
      <c r="B11993" s="7" t="s">
        <v>435</v>
      </c>
      <c r="C11993" s="7" t="s">
        <v>1246</v>
      </c>
      <c r="D11993" s="7" t="n">
        <v>20</v>
      </c>
      <c r="E11993" s="7" t="n">
        <v>213.16</v>
      </c>
      <c r="F11993" s="7" t="n">
        <v>0</v>
      </c>
      <c r="G11993" s="7" t="n">
        <v>0</v>
      </c>
    </row>
    <row r="11994" customFormat="false" ht="15" hidden="false" customHeight="false" outlineLevel="0" collapsed="false">
      <c r="A11994" s="7" t="s">
        <v>31</v>
      </c>
      <c r="B11994" s="7" t="s">
        <v>435</v>
      </c>
      <c r="C11994" s="7" t="s">
        <v>1246</v>
      </c>
      <c r="D11994" s="7" t="n">
        <v>120</v>
      </c>
      <c r="E11994" s="7" t="n">
        <v>1326</v>
      </c>
      <c r="F11994" s="7" t="n">
        <v>0</v>
      </c>
      <c r="G11994" s="7" t="n">
        <v>0</v>
      </c>
    </row>
    <row r="11995" customFormat="false" ht="15" hidden="false" customHeight="false" outlineLevel="0" collapsed="false">
      <c r="A11995" s="7" t="s">
        <v>31</v>
      </c>
      <c r="B11995" s="7" t="s">
        <v>435</v>
      </c>
      <c r="C11995" s="7" t="s">
        <v>1246</v>
      </c>
      <c r="D11995" s="7" t="n">
        <v>100</v>
      </c>
      <c r="E11995" s="7" t="n">
        <v>1168.05</v>
      </c>
      <c r="F11995" s="7" t="n">
        <v>0</v>
      </c>
      <c r="G11995" s="7" t="n">
        <v>0</v>
      </c>
    </row>
    <row r="11996" customFormat="false" ht="15" hidden="false" customHeight="false" outlineLevel="0" collapsed="false">
      <c r="A11996" s="7" t="s">
        <v>31</v>
      </c>
      <c r="B11996" s="7" t="s">
        <v>435</v>
      </c>
      <c r="C11996" s="7" t="s">
        <v>1246</v>
      </c>
      <c r="D11996" s="7" t="n">
        <v>0</v>
      </c>
      <c r="E11996" s="7" t="n">
        <v>0</v>
      </c>
      <c r="F11996" s="7" t="n">
        <v>70</v>
      </c>
      <c r="G11996" s="7" t="n">
        <v>706.84</v>
      </c>
    </row>
    <row r="11997" customFormat="false" ht="15" hidden="false" customHeight="false" outlineLevel="0" collapsed="false">
      <c r="A11997" s="7" t="s">
        <v>31</v>
      </c>
      <c r="B11997" s="7" t="s">
        <v>435</v>
      </c>
      <c r="C11997" s="7" t="s">
        <v>1246</v>
      </c>
      <c r="D11997" s="7" t="n">
        <v>0</v>
      </c>
      <c r="E11997" s="7" t="n">
        <v>0</v>
      </c>
      <c r="F11997" s="7" t="n">
        <v>40</v>
      </c>
      <c r="G11997" s="7" t="n">
        <v>385.07</v>
      </c>
    </row>
    <row r="11998" customFormat="false" ht="15" hidden="false" customHeight="false" outlineLevel="0" collapsed="false">
      <c r="A11998" s="7" t="s">
        <v>31</v>
      </c>
      <c r="B11998" s="7" t="s">
        <v>435</v>
      </c>
      <c r="C11998" s="7" t="s">
        <v>1246</v>
      </c>
      <c r="D11998" s="7" t="n">
        <v>0</v>
      </c>
      <c r="E11998" s="7" t="n">
        <v>0</v>
      </c>
      <c r="F11998" s="7" t="n">
        <v>50</v>
      </c>
      <c r="G11998" s="7" t="n">
        <v>483.57</v>
      </c>
    </row>
    <row r="11999" customFormat="false" ht="15" hidden="false" customHeight="false" outlineLevel="0" collapsed="false">
      <c r="A11999" s="7" t="s">
        <v>31</v>
      </c>
      <c r="B11999" s="7" t="s">
        <v>560</v>
      </c>
      <c r="C11999" s="7" t="s">
        <v>1246</v>
      </c>
      <c r="D11999" s="7" t="n">
        <v>0</v>
      </c>
      <c r="E11999" s="7" t="n">
        <v>0</v>
      </c>
      <c r="F11999" s="7" t="n">
        <v>10</v>
      </c>
      <c r="G11999" s="7" t="n">
        <v>103.28</v>
      </c>
    </row>
    <row r="12000" customFormat="false" ht="15" hidden="false" customHeight="false" outlineLevel="0" collapsed="false">
      <c r="A12000" s="7" t="s">
        <v>31</v>
      </c>
      <c r="B12000" s="7" t="s">
        <v>560</v>
      </c>
      <c r="C12000" s="7" t="s">
        <v>1246</v>
      </c>
      <c r="D12000" s="7" t="n">
        <v>0</v>
      </c>
      <c r="E12000" s="7" t="n">
        <v>0</v>
      </c>
      <c r="F12000" s="7" t="n">
        <v>40</v>
      </c>
      <c r="G12000" s="7" t="n">
        <v>385.07</v>
      </c>
    </row>
    <row r="12001" customFormat="false" ht="15" hidden="false" customHeight="false" outlineLevel="0" collapsed="false">
      <c r="A12001" s="7" t="s">
        <v>31</v>
      </c>
      <c r="B12001" s="7" t="s">
        <v>560</v>
      </c>
      <c r="C12001" s="7" t="s">
        <v>1246</v>
      </c>
      <c r="D12001" s="7" t="n">
        <v>10</v>
      </c>
      <c r="E12001" s="7" t="n">
        <v>105.84</v>
      </c>
      <c r="F12001" s="7" t="n">
        <v>0</v>
      </c>
      <c r="G12001" s="7" t="n">
        <v>0</v>
      </c>
    </row>
    <row r="12002" customFormat="false" ht="15" hidden="false" customHeight="false" outlineLevel="0" collapsed="false">
      <c r="A12002" s="7" t="s">
        <v>31</v>
      </c>
      <c r="B12002" s="7" t="s">
        <v>560</v>
      </c>
      <c r="C12002" s="7" t="s">
        <v>1246</v>
      </c>
      <c r="D12002" s="7" t="n">
        <v>0</v>
      </c>
      <c r="E12002" s="7" t="n">
        <v>0</v>
      </c>
      <c r="F12002" s="7" t="n">
        <v>30</v>
      </c>
      <c r="G12002" s="7" t="n">
        <v>290.14</v>
      </c>
    </row>
    <row r="12003" customFormat="false" ht="15" hidden="false" customHeight="false" outlineLevel="0" collapsed="false">
      <c r="A12003" s="7" t="s">
        <v>31</v>
      </c>
      <c r="B12003" s="7" t="s">
        <v>560</v>
      </c>
      <c r="C12003" s="7" t="s">
        <v>1246</v>
      </c>
      <c r="D12003" s="7" t="n">
        <v>20</v>
      </c>
      <c r="E12003" s="7" t="n">
        <v>233.61</v>
      </c>
      <c r="F12003" s="7" t="n">
        <v>0</v>
      </c>
      <c r="G12003" s="7" t="n">
        <v>0</v>
      </c>
    </row>
    <row r="12004" customFormat="false" ht="15" hidden="false" customHeight="false" outlineLevel="0" collapsed="false">
      <c r="A12004" s="7" t="s">
        <v>31</v>
      </c>
      <c r="B12004" s="7" t="s">
        <v>560</v>
      </c>
      <c r="C12004" s="7" t="s">
        <v>1246</v>
      </c>
      <c r="D12004" s="7" t="n">
        <v>0</v>
      </c>
      <c r="E12004" s="7" t="n">
        <v>0</v>
      </c>
      <c r="F12004" s="7" t="n">
        <v>10</v>
      </c>
      <c r="G12004" s="7" t="n">
        <v>100.98</v>
      </c>
    </row>
    <row r="12005" customFormat="false" ht="15" hidden="false" customHeight="false" outlineLevel="0" collapsed="false">
      <c r="A12005" s="7" t="s">
        <v>31</v>
      </c>
      <c r="B12005" s="7" t="s">
        <v>560</v>
      </c>
      <c r="C12005" s="7" t="s">
        <v>1246</v>
      </c>
      <c r="D12005" s="7" t="n">
        <v>30</v>
      </c>
      <c r="E12005" s="7" t="n">
        <v>319.73</v>
      </c>
      <c r="F12005" s="7" t="n">
        <v>0</v>
      </c>
      <c r="G12005" s="7" t="n">
        <v>0</v>
      </c>
    </row>
    <row r="12006" customFormat="false" ht="15" hidden="false" customHeight="false" outlineLevel="0" collapsed="false">
      <c r="A12006" s="7" t="s">
        <v>31</v>
      </c>
      <c r="B12006" s="7" t="s">
        <v>560</v>
      </c>
      <c r="C12006" s="7" t="s">
        <v>1246</v>
      </c>
      <c r="D12006" s="7" t="n">
        <v>30</v>
      </c>
      <c r="E12006" s="7" t="n">
        <v>333.65</v>
      </c>
      <c r="F12006" s="7" t="n">
        <v>0</v>
      </c>
      <c r="G12006" s="7" t="n">
        <v>0</v>
      </c>
    </row>
    <row r="12007" customFormat="false" ht="15" hidden="false" customHeight="false" outlineLevel="0" collapsed="false">
      <c r="A12007" s="7" t="s">
        <v>31</v>
      </c>
      <c r="B12007" s="7" t="s">
        <v>676</v>
      </c>
      <c r="C12007" s="7" t="s">
        <v>1246</v>
      </c>
      <c r="D12007" s="7" t="n">
        <v>40</v>
      </c>
      <c r="E12007" s="7" t="n">
        <v>426.31</v>
      </c>
      <c r="F12007" s="7" t="n">
        <v>0</v>
      </c>
      <c r="G12007" s="7" t="n">
        <v>0</v>
      </c>
    </row>
    <row r="12008" customFormat="false" ht="15" hidden="false" customHeight="false" outlineLevel="0" collapsed="false">
      <c r="A12008" s="7" t="s">
        <v>31</v>
      </c>
      <c r="B12008" s="7" t="s">
        <v>676</v>
      </c>
      <c r="C12008" s="7" t="s">
        <v>1246</v>
      </c>
      <c r="D12008" s="7" t="n">
        <v>20</v>
      </c>
      <c r="E12008" s="7" t="n">
        <v>221</v>
      </c>
      <c r="F12008" s="7" t="n">
        <v>0</v>
      </c>
      <c r="G12008" s="7" t="n">
        <v>0</v>
      </c>
    </row>
    <row r="12009" customFormat="false" ht="15" hidden="false" customHeight="false" outlineLevel="0" collapsed="false">
      <c r="A12009" s="7" t="s">
        <v>31</v>
      </c>
      <c r="B12009" s="7" t="s">
        <v>676</v>
      </c>
      <c r="C12009" s="7" t="s">
        <v>1246</v>
      </c>
      <c r="D12009" s="7" t="n">
        <v>0</v>
      </c>
      <c r="E12009" s="7" t="n">
        <v>0</v>
      </c>
      <c r="F12009" s="7" t="n">
        <v>30</v>
      </c>
      <c r="G12009" s="7" t="n">
        <v>288.8</v>
      </c>
    </row>
    <row r="12010" customFormat="false" ht="15" hidden="false" customHeight="false" outlineLevel="0" collapsed="false">
      <c r="A12010" s="7" t="s">
        <v>31</v>
      </c>
      <c r="B12010" s="7" t="s">
        <v>676</v>
      </c>
      <c r="C12010" s="7" t="s">
        <v>1246</v>
      </c>
      <c r="D12010" s="7" t="n">
        <v>0</v>
      </c>
      <c r="E12010" s="7" t="n">
        <v>0</v>
      </c>
      <c r="F12010" s="7" t="n">
        <v>40</v>
      </c>
      <c r="G12010" s="7" t="n">
        <v>403.91</v>
      </c>
    </row>
    <row r="12011" customFormat="false" ht="15" hidden="false" customHeight="false" outlineLevel="0" collapsed="false">
      <c r="A12011" s="7" t="s">
        <v>31</v>
      </c>
      <c r="B12011" s="7" t="s">
        <v>676</v>
      </c>
      <c r="C12011" s="7" t="s">
        <v>1246</v>
      </c>
      <c r="D12011" s="7" t="n">
        <v>0</v>
      </c>
      <c r="E12011" s="7" t="n">
        <v>0</v>
      </c>
      <c r="F12011" s="7" t="n">
        <v>20</v>
      </c>
      <c r="G12011" s="7" t="n">
        <v>193.43</v>
      </c>
    </row>
    <row r="12012" customFormat="false" ht="15" hidden="false" customHeight="false" outlineLevel="0" collapsed="false">
      <c r="A12012" s="7" t="s">
        <v>31</v>
      </c>
      <c r="B12012" s="7" t="s">
        <v>676</v>
      </c>
      <c r="C12012" s="7" t="s">
        <v>1246</v>
      </c>
      <c r="D12012" s="7" t="n">
        <v>0</v>
      </c>
      <c r="E12012" s="7" t="n">
        <v>0</v>
      </c>
      <c r="F12012" s="7" t="n">
        <v>15</v>
      </c>
      <c r="G12012" s="7" t="n">
        <v>154.93</v>
      </c>
    </row>
    <row r="12013" customFormat="false" ht="15" hidden="false" customHeight="false" outlineLevel="0" collapsed="false">
      <c r="A12013" s="7" t="s">
        <v>31</v>
      </c>
      <c r="B12013" s="7" t="s">
        <v>676</v>
      </c>
      <c r="C12013" s="7" t="s">
        <v>1246</v>
      </c>
      <c r="D12013" s="7" t="n">
        <v>50</v>
      </c>
      <c r="E12013" s="7" t="n">
        <v>556.08</v>
      </c>
      <c r="F12013" s="7" t="n">
        <v>0</v>
      </c>
      <c r="G12013" s="7" t="n">
        <v>0</v>
      </c>
    </row>
    <row r="12014" customFormat="false" ht="15" hidden="false" customHeight="false" outlineLevel="0" collapsed="false">
      <c r="A12014" s="7" t="s">
        <v>31</v>
      </c>
      <c r="B12014" s="7" t="s">
        <v>676</v>
      </c>
      <c r="C12014" s="7" t="s">
        <v>1246</v>
      </c>
      <c r="D12014" s="7" t="n">
        <v>50</v>
      </c>
      <c r="E12014" s="7" t="n">
        <v>584.03</v>
      </c>
      <c r="F12014" s="7" t="n">
        <v>0</v>
      </c>
      <c r="G12014" s="7" t="n">
        <v>0</v>
      </c>
    </row>
    <row r="12015" customFormat="false" ht="15" hidden="false" customHeight="false" outlineLevel="0" collapsed="false">
      <c r="A12015" s="7" t="s">
        <v>31</v>
      </c>
      <c r="B12015" s="7" t="s">
        <v>676</v>
      </c>
      <c r="C12015" s="7" t="s">
        <v>1246</v>
      </c>
      <c r="D12015" s="7" t="n">
        <v>40</v>
      </c>
      <c r="E12015" s="7" t="n">
        <v>423.34</v>
      </c>
      <c r="F12015" s="7" t="n">
        <v>0</v>
      </c>
      <c r="G12015" s="7" t="n">
        <v>0</v>
      </c>
    </row>
    <row r="12016" customFormat="false" ht="15" hidden="false" customHeight="false" outlineLevel="0" collapsed="false">
      <c r="A12016" s="7" t="s">
        <v>31</v>
      </c>
      <c r="B12016" s="7" t="s">
        <v>782</v>
      </c>
      <c r="C12016" s="7" t="s">
        <v>1246</v>
      </c>
      <c r="D12016" s="7" t="n">
        <v>0</v>
      </c>
      <c r="E12016" s="7" t="n">
        <v>0</v>
      </c>
      <c r="F12016" s="7" t="n">
        <v>20</v>
      </c>
      <c r="G12016" s="7" t="n">
        <v>193.43</v>
      </c>
    </row>
    <row r="12017" customFormat="false" ht="15" hidden="false" customHeight="false" outlineLevel="0" collapsed="false">
      <c r="A12017" s="7" t="s">
        <v>31</v>
      </c>
      <c r="B12017" s="7" t="s">
        <v>782</v>
      </c>
      <c r="C12017" s="7" t="s">
        <v>1246</v>
      </c>
      <c r="D12017" s="7" t="n">
        <v>40</v>
      </c>
      <c r="E12017" s="7" t="n">
        <v>467.22</v>
      </c>
      <c r="F12017" s="7" t="n">
        <v>0</v>
      </c>
      <c r="G12017" s="7" t="n">
        <v>0</v>
      </c>
    </row>
    <row r="12018" customFormat="false" ht="15" hidden="false" customHeight="false" outlineLevel="0" collapsed="false">
      <c r="A12018" s="7" t="s">
        <v>31</v>
      </c>
      <c r="B12018" s="7" t="s">
        <v>782</v>
      </c>
      <c r="C12018" s="7" t="s">
        <v>1246</v>
      </c>
      <c r="D12018" s="7" t="n">
        <v>0</v>
      </c>
      <c r="E12018" s="7" t="n">
        <v>0</v>
      </c>
      <c r="F12018" s="7" t="n">
        <v>20</v>
      </c>
      <c r="G12018" s="7" t="n">
        <v>192.54</v>
      </c>
    </row>
    <row r="12019" customFormat="false" ht="15" hidden="false" customHeight="false" outlineLevel="0" collapsed="false">
      <c r="A12019" s="7" t="s">
        <v>31</v>
      </c>
      <c r="B12019" s="7" t="s">
        <v>782</v>
      </c>
      <c r="C12019" s="7" t="s">
        <v>1246</v>
      </c>
      <c r="D12019" s="7" t="n">
        <v>30</v>
      </c>
      <c r="E12019" s="7" t="n">
        <v>333.65</v>
      </c>
      <c r="F12019" s="7" t="n">
        <v>0</v>
      </c>
      <c r="G12019" s="7" t="n">
        <v>0</v>
      </c>
    </row>
    <row r="12020" customFormat="false" ht="15" hidden="false" customHeight="false" outlineLevel="0" collapsed="false">
      <c r="A12020" s="7" t="s">
        <v>31</v>
      </c>
      <c r="B12020" s="7" t="s">
        <v>782</v>
      </c>
      <c r="C12020" s="7" t="s">
        <v>1246</v>
      </c>
      <c r="D12020" s="7" t="n">
        <v>10</v>
      </c>
      <c r="E12020" s="7" t="n">
        <v>106.58</v>
      </c>
      <c r="F12020" s="7" t="n">
        <v>0</v>
      </c>
      <c r="G12020" s="7" t="n">
        <v>0</v>
      </c>
    </row>
    <row r="12021" customFormat="false" ht="15" hidden="false" customHeight="false" outlineLevel="0" collapsed="false">
      <c r="A12021" s="7" t="s">
        <v>31</v>
      </c>
      <c r="B12021" s="7" t="s">
        <v>782</v>
      </c>
      <c r="C12021" s="7" t="s">
        <v>1246</v>
      </c>
      <c r="D12021" s="7" t="n">
        <v>0</v>
      </c>
      <c r="E12021" s="7" t="n">
        <v>0</v>
      </c>
      <c r="F12021" s="7" t="n">
        <v>18</v>
      </c>
      <c r="G12021" s="7" t="n">
        <v>181.75</v>
      </c>
    </row>
    <row r="12022" customFormat="false" ht="15" hidden="false" customHeight="false" outlineLevel="0" collapsed="false">
      <c r="A12022" s="7" t="s">
        <v>31</v>
      </c>
      <c r="B12022" s="7" t="s">
        <v>782</v>
      </c>
      <c r="C12022" s="7" t="s">
        <v>1246</v>
      </c>
      <c r="D12022" s="7" t="n">
        <v>0</v>
      </c>
      <c r="E12022" s="7" t="n">
        <v>0</v>
      </c>
      <c r="F12022" s="7" t="n">
        <v>15</v>
      </c>
      <c r="G12022" s="7" t="n">
        <v>154.93</v>
      </c>
    </row>
    <row r="12023" customFormat="false" ht="15" hidden="false" customHeight="false" outlineLevel="0" collapsed="false">
      <c r="A12023" s="7" t="s">
        <v>31</v>
      </c>
      <c r="B12023" s="7" t="s">
        <v>698</v>
      </c>
      <c r="C12023" s="7" t="s">
        <v>1056</v>
      </c>
      <c r="D12023" s="7" t="n">
        <v>0</v>
      </c>
      <c r="E12023" s="7" t="n">
        <v>0</v>
      </c>
      <c r="F12023" s="7" t="n">
        <v>20</v>
      </c>
      <c r="G12023" s="7" t="n">
        <v>193.45</v>
      </c>
    </row>
    <row r="12024" customFormat="false" ht="15" hidden="false" customHeight="false" outlineLevel="0" collapsed="false">
      <c r="A12024" s="7" t="s">
        <v>31</v>
      </c>
      <c r="B12024" s="7" t="s">
        <v>698</v>
      </c>
      <c r="C12024" s="7" t="s">
        <v>1056</v>
      </c>
      <c r="D12024" s="7" t="n">
        <v>0</v>
      </c>
      <c r="E12024" s="7" t="n">
        <v>0</v>
      </c>
      <c r="F12024" s="7" t="n">
        <v>6</v>
      </c>
      <c r="G12024" s="7" t="n">
        <v>56.74</v>
      </c>
    </row>
    <row r="12025" customFormat="false" ht="15" hidden="false" customHeight="false" outlineLevel="0" collapsed="false">
      <c r="A12025" s="7" t="s">
        <v>31</v>
      </c>
      <c r="B12025" s="7" t="s">
        <v>698</v>
      </c>
      <c r="C12025" s="7" t="s">
        <v>1056</v>
      </c>
      <c r="D12025" s="7" t="n">
        <v>50</v>
      </c>
      <c r="E12025" s="7" t="n">
        <v>520.78</v>
      </c>
      <c r="F12025" s="7" t="n">
        <v>0</v>
      </c>
      <c r="G12025" s="7" t="n">
        <v>0</v>
      </c>
    </row>
    <row r="12026" customFormat="false" ht="15" hidden="false" customHeight="false" outlineLevel="0" collapsed="false">
      <c r="A12026" s="7" t="s">
        <v>31</v>
      </c>
      <c r="B12026" s="7" t="s">
        <v>698</v>
      </c>
      <c r="C12026" s="7" t="s">
        <v>1056</v>
      </c>
      <c r="D12026" s="7" t="n">
        <v>40</v>
      </c>
      <c r="E12026" s="7" t="n">
        <v>413.94</v>
      </c>
      <c r="F12026" s="7" t="n">
        <v>0</v>
      </c>
      <c r="G12026" s="7" t="n">
        <v>0</v>
      </c>
    </row>
    <row r="12027" customFormat="false" ht="15" hidden="false" customHeight="false" outlineLevel="0" collapsed="false">
      <c r="A12027" s="7" t="s">
        <v>31</v>
      </c>
      <c r="B12027" s="7" t="s">
        <v>698</v>
      </c>
      <c r="C12027" s="7" t="s">
        <v>1056</v>
      </c>
      <c r="D12027" s="7" t="n">
        <v>0</v>
      </c>
      <c r="E12027" s="7" t="n">
        <v>0</v>
      </c>
      <c r="F12027" s="7" t="n">
        <v>50</v>
      </c>
      <c r="G12027" s="7" t="n">
        <v>450.78</v>
      </c>
    </row>
    <row r="12028" customFormat="false" ht="15" hidden="false" customHeight="false" outlineLevel="0" collapsed="false">
      <c r="A12028" s="7" t="s">
        <v>31</v>
      </c>
      <c r="B12028" s="7" t="s">
        <v>698</v>
      </c>
      <c r="C12028" s="7" t="s">
        <v>1056</v>
      </c>
      <c r="D12028" s="7" t="n">
        <v>20</v>
      </c>
      <c r="E12028" s="7" t="n">
        <v>198.23</v>
      </c>
      <c r="F12028" s="7" t="n">
        <v>0</v>
      </c>
      <c r="G12028" s="7" t="n">
        <v>0</v>
      </c>
    </row>
    <row r="12029" customFormat="false" ht="15" hidden="false" customHeight="false" outlineLevel="0" collapsed="false">
      <c r="A12029" s="7" t="s">
        <v>31</v>
      </c>
      <c r="B12029" s="7" t="s">
        <v>698</v>
      </c>
      <c r="C12029" s="7" t="s">
        <v>1056</v>
      </c>
      <c r="D12029" s="7" t="n">
        <v>30</v>
      </c>
      <c r="E12029" s="7" t="n">
        <v>328.17</v>
      </c>
      <c r="F12029" s="7" t="n">
        <v>0</v>
      </c>
      <c r="G12029" s="7" t="n">
        <v>0</v>
      </c>
    </row>
    <row r="12030" customFormat="false" ht="15" hidden="false" customHeight="false" outlineLevel="0" collapsed="false">
      <c r="A12030" s="7" t="s">
        <v>31</v>
      </c>
      <c r="B12030" s="7" t="s">
        <v>698</v>
      </c>
      <c r="C12030" s="7" t="s">
        <v>1056</v>
      </c>
      <c r="D12030" s="7" t="n">
        <v>0</v>
      </c>
      <c r="E12030" s="7" t="n">
        <v>0</v>
      </c>
      <c r="F12030" s="7" t="n">
        <v>40</v>
      </c>
      <c r="G12030" s="7" t="n">
        <v>362.3</v>
      </c>
    </row>
    <row r="12031" customFormat="false" ht="15" hidden="false" customHeight="false" outlineLevel="0" collapsed="false">
      <c r="A12031" s="7" t="s">
        <v>31</v>
      </c>
      <c r="B12031" s="7" t="s">
        <v>698</v>
      </c>
      <c r="C12031" s="7" t="s">
        <v>1056</v>
      </c>
      <c r="D12031" s="7" t="n">
        <v>80</v>
      </c>
      <c r="E12031" s="7" t="n">
        <v>798.5</v>
      </c>
      <c r="F12031" s="7" t="n">
        <v>0</v>
      </c>
      <c r="G12031" s="7" t="n">
        <v>0</v>
      </c>
    </row>
    <row r="12032" customFormat="false" ht="15" hidden="false" customHeight="false" outlineLevel="0" collapsed="false">
      <c r="A12032" s="7" t="s">
        <v>31</v>
      </c>
      <c r="B12032" s="7" t="s">
        <v>505</v>
      </c>
      <c r="C12032" s="7" t="s">
        <v>1056</v>
      </c>
      <c r="D12032" s="7" t="n">
        <v>0</v>
      </c>
      <c r="E12032" s="7" t="n">
        <v>0</v>
      </c>
      <c r="F12032" s="7" t="n">
        <v>10</v>
      </c>
      <c r="G12032" s="7" t="n">
        <v>96.73</v>
      </c>
    </row>
    <row r="12033" customFormat="false" ht="15" hidden="false" customHeight="false" outlineLevel="0" collapsed="false">
      <c r="A12033" s="7" t="s">
        <v>31</v>
      </c>
      <c r="B12033" s="7" t="s">
        <v>505</v>
      </c>
      <c r="C12033" s="7" t="s">
        <v>1056</v>
      </c>
      <c r="D12033" s="7" t="n">
        <v>0</v>
      </c>
      <c r="E12033" s="7" t="n">
        <v>0</v>
      </c>
      <c r="F12033" s="7" t="n">
        <v>6</v>
      </c>
      <c r="G12033" s="7" t="n">
        <v>56.74</v>
      </c>
    </row>
    <row r="12034" customFormat="false" ht="15" hidden="false" customHeight="false" outlineLevel="0" collapsed="false">
      <c r="A12034" s="7" t="s">
        <v>31</v>
      </c>
      <c r="B12034" s="7" t="s">
        <v>505</v>
      </c>
      <c r="C12034" s="7" t="s">
        <v>1056</v>
      </c>
      <c r="D12034" s="7" t="n">
        <v>40</v>
      </c>
      <c r="E12034" s="7" t="n">
        <v>416.62</v>
      </c>
      <c r="F12034" s="7" t="n">
        <v>0</v>
      </c>
      <c r="G12034" s="7" t="n">
        <v>0</v>
      </c>
    </row>
    <row r="12035" customFormat="false" ht="15" hidden="false" customHeight="false" outlineLevel="0" collapsed="false">
      <c r="A12035" s="7" t="s">
        <v>31</v>
      </c>
      <c r="B12035" s="7" t="s">
        <v>505</v>
      </c>
      <c r="C12035" s="7" t="s">
        <v>1056</v>
      </c>
      <c r="D12035" s="7" t="n">
        <v>40</v>
      </c>
      <c r="E12035" s="7" t="n">
        <v>399.25</v>
      </c>
      <c r="F12035" s="7" t="n">
        <v>0</v>
      </c>
      <c r="G12035" s="7" t="n">
        <v>0</v>
      </c>
    </row>
    <row r="12036" customFormat="false" ht="15" hidden="false" customHeight="false" outlineLevel="0" collapsed="false">
      <c r="A12036" s="7" t="s">
        <v>31</v>
      </c>
      <c r="B12036" s="7" t="s">
        <v>505</v>
      </c>
      <c r="C12036" s="7" t="s">
        <v>1056</v>
      </c>
      <c r="D12036" s="7" t="n">
        <v>10</v>
      </c>
      <c r="E12036" s="7" t="n">
        <v>103.48</v>
      </c>
      <c r="F12036" s="7" t="n">
        <v>0</v>
      </c>
      <c r="G12036" s="7" t="n">
        <v>0</v>
      </c>
    </row>
    <row r="12037" customFormat="false" ht="15" hidden="false" customHeight="false" outlineLevel="0" collapsed="false">
      <c r="A12037" s="7" t="s">
        <v>31</v>
      </c>
      <c r="B12037" s="7" t="s">
        <v>505</v>
      </c>
      <c r="C12037" s="7" t="s">
        <v>1056</v>
      </c>
      <c r="D12037" s="7" t="n">
        <v>20</v>
      </c>
      <c r="E12037" s="7" t="n">
        <v>198.23</v>
      </c>
      <c r="F12037" s="7" t="n">
        <v>0</v>
      </c>
      <c r="G12037" s="7" t="n">
        <v>0</v>
      </c>
    </row>
    <row r="12038" customFormat="false" ht="15" hidden="false" customHeight="false" outlineLevel="0" collapsed="false">
      <c r="A12038" s="7" t="s">
        <v>31</v>
      </c>
      <c r="B12038" s="7" t="s">
        <v>505</v>
      </c>
      <c r="C12038" s="7" t="s">
        <v>1056</v>
      </c>
      <c r="D12038" s="7" t="n">
        <v>40</v>
      </c>
      <c r="E12038" s="7" t="n">
        <v>437.55</v>
      </c>
      <c r="F12038" s="7" t="n">
        <v>0</v>
      </c>
      <c r="G12038" s="7" t="n">
        <v>0</v>
      </c>
    </row>
    <row r="12039" customFormat="false" ht="15" hidden="false" customHeight="false" outlineLevel="0" collapsed="false">
      <c r="A12039" s="7" t="s">
        <v>31</v>
      </c>
      <c r="B12039" s="7" t="s">
        <v>505</v>
      </c>
      <c r="C12039" s="7" t="s">
        <v>1056</v>
      </c>
      <c r="D12039" s="7" t="n">
        <v>0</v>
      </c>
      <c r="E12039" s="7" t="n">
        <v>0</v>
      </c>
      <c r="F12039" s="7" t="n">
        <v>70</v>
      </c>
      <c r="G12039" s="7" t="n">
        <v>631.09</v>
      </c>
    </row>
    <row r="12040" customFormat="false" ht="15" hidden="false" customHeight="false" outlineLevel="0" collapsed="false">
      <c r="A12040" s="7" t="s">
        <v>31</v>
      </c>
      <c r="B12040" s="7" t="s">
        <v>505</v>
      </c>
      <c r="C12040" s="7" t="s">
        <v>1056</v>
      </c>
      <c r="D12040" s="7" t="n">
        <v>0</v>
      </c>
      <c r="E12040" s="7" t="n">
        <v>0</v>
      </c>
      <c r="F12040" s="7" t="n">
        <v>50</v>
      </c>
      <c r="G12040" s="7" t="n">
        <v>452.86</v>
      </c>
    </row>
    <row r="12041" customFormat="false" ht="15" hidden="false" customHeight="false" outlineLevel="0" collapsed="false">
      <c r="A12041" s="7" t="s">
        <v>31</v>
      </c>
      <c r="B12041" s="7" t="s">
        <v>777</v>
      </c>
      <c r="C12041" s="7" t="s">
        <v>1056</v>
      </c>
      <c r="D12041" s="7" t="n">
        <v>0</v>
      </c>
      <c r="E12041" s="7" t="n">
        <v>0</v>
      </c>
      <c r="F12041" s="7" t="n">
        <v>10</v>
      </c>
      <c r="G12041" s="7" t="n">
        <v>90.15</v>
      </c>
    </row>
    <row r="12042" customFormat="false" ht="15" hidden="false" customHeight="false" outlineLevel="0" collapsed="false">
      <c r="A12042" s="7" t="s">
        <v>31</v>
      </c>
      <c r="B12042" s="7" t="s">
        <v>777</v>
      </c>
      <c r="C12042" s="7" t="s">
        <v>1056</v>
      </c>
      <c r="D12042" s="7" t="n">
        <v>0</v>
      </c>
      <c r="E12042" s="7" t="n">
        <v>0</v>
      </c>
      <c r="F12042" s="7" t="n">
        <v>3</v>
      </c>
      <c r="G12042" s="7" t="n">
        <v>28.37</v>
      </c>
    </row>
    <row r="12043" customFormat="false" ht="15" hidden="false" customHeight="false" outlineLevel="0" collapsed="false">
      <c r="A12043" s="7" t="s">
        <v>31</v>
      </c>
      <c r="B12043" s="7" t="s">
        <v>777</v>
      </c>
      <c r="C12043" s="7" t="s">
        <v>1056</v>
      </c>
      <c r="D12043" s="7" t="n">
        <v>20</v>
      </c>
      <c r="E12043" s="7" t="n">
        <v>199.62</v>
      </c>
      <c r="F12043" s="7" t="n">
        <v>0</v>
      </c>
      <c r="G12043" s="7" t="n">
        <v>0</v>
      </c>
    </row>
    <row r="12044" customFormat="false" ht="15" hidden="false" customHeight="false" outlineLevel="0" collapsed="false">
      <c r="A12044" s="7" t="s">
        <v>31</v>
      </c>
      <c r="B12044" s="7" t="s">
        <v>777</v>
      </c>
      <c r="C12044" s="7" t="s">
        <v>1056</v>
      </c>
      <c r="D12044" s="7" t="n">
        <v>6</v>
      </c>
      <c r="E12044" s="7" t="n">
        <v>65.64</v>
      </c>
      <c r="F12044" s="7" t="n">
        <v>0</v>
      </c>
      <c r="G12044" s="7" t="n">
        <v>0</v>
      </c>
    </row>
    <row r="12045" customFormat="false" ht="15" hidden="false" customHeight="false" outlineLevel="0" collapsed="false">
      <c r="A12045" s="7" t="s">
        <v>31</v>
      </c>
      <c r="B12045" s="7" t="s">
        <v>777</v>
      </c>
      <c r="C12045" s="7" t="s">
        <v>1056</v>
      </c>
      <c r="D12045" s="7" t="n">
        <v>10</v>
      </c>
      <c r="E12045" s="7" t="n">
        <v>103.48</v>
      </c>
      <c r="F12045" s="7" t="n">
        <v>0</v>
      </c>
      <c r="G12045" s="7" t="n">
        <v>0</v>
      </c>
    </row>
    <row r="12046" customFormat="false" ht="15" hidden="false" customHeight="false" outlineLevel="0" collapsed="false">
      <c r="A12046" s="7" t="s">
        <v>31</v>
      </c>
      <c r="B12046" s="7" t="s">
        <v>777</v>
      </c>
      <c r="C12046" s="7" t="s">
        <v>1056</v>
      </c>
      <c r="D12046" s="7" t="n">
        <v>6</v>
      </c>
      <c r="E12046" s="7" t="n">
        <v>62.5</v>
      </c>
      <c r="F12046" s="7" t="n">
        <v>0</v>
      </c>
      <c r="G12046" s="7" t="n">
        <v>0</v>
      </c>
    </row>
    <row r="12047" customFormat="false" ht="15" hidden="false" customHeight="false" outlineLevel="0" collapsed="false">
      <c r="A12047" s="7" t="s">
        <v>31</v>
      </c>
      <c r="B12047" s="7" t="s">
        <v>777</v>
      </c>
      <c r="C12047" s="7" t="s">
        <v>1056</v>
      </c>
      <c r="D12047" s="7" t="n">
        <v>0</v>
      </c>
      <c r="E12047" s="7" t="n">
        <v>0</v>
      </c>
      <c r="F12047" s="7" t="n">
        <v>10</v>
      </c>
      <c r="G12047" s="7" t="n">
        <v>96.73</v>
      </c>
    </row>
    <row r="12048" customFormat="false" ht="15" hidden="false" customHeight="false" outlineLevel="0" collapsed="false">
      <c r="A12048" s="7" t="s">
        <v>31</v>
      </c>
      <c r="B12048" s="7" t="s">
        <v>777</v>
      </c>
      <c r="C12048" s="7" t="s">
        <v>1056</v>
      </c>
      <c r="D12048" s="7" t="n">
        <v>0</v>
      </c>
      <c r="E12048" s="7" t="n">
        <v>0</v>
      </c>
      <c r="F12048" s="7" t="n">
        <v>10</v>
      </c>
      <c r="G12048" s="7" t="n">
        <v>90.58</v>
      </c>
    </row>
    <row r="12049" customFormat="false" ht="15" hidden="false" customHeight="false" outlineLevel="0" collapsed="false">
      <c r="A12049" s="7" t="s">
        <v>31</v>
      </c>
      <c r="B12049" s="7" t="s">
        <v>805</v>
      </c>
      <c r="C12049" s="7" t="s">
        <v>1056</v>
      </c>
      <c r="D12049" s="7" t="n">
        <v>10</v>
      </c>
      <c r="E12049" s="7" t="n">
        <v>103.48</v>
      </c>
      <c r="F12049" s="7" t="n">
        <v>0</v>
      </c>
      <c r="G12049" s="7" t="n">
        <v>0</v>
      </c>
    </row>
    <row r="12050" customFormat="false" ht="15" hidden="false" customHeight="false" outlineLevel="0" collapsed="false">
      <c r="A12050" s="7" t="s">
        <v>31</v>
      </c>
      <c r="B12050" s="7" t="s">
        <v>805</v>
      </c>
      <c r="C12050" s="7" t="s">
        <v>1056</v>
      </c>
      <c r="D12050" s="7" t="n">
        <v>0</v>
      </c>
      <c r="E12050" s="7" t="n">
        <v>0</v>
      </c>
      <c r="F12050" s="7" t="n">
        <v>15</v>
      </c>
      <c r="G12050" s="7" t="n">
        <v>145.1</v>
      </c>
    </row>
    <row r="12051" customFormat="false" ht="15" hidden="false" customHeight="false" outlineLevel="0" collapsed="false">
      <c r="A12051" s="7" t="s">
        <v>31</v>
      </c>
      <c r="B12051" s="7" t="s">
        <v>805</v>
      </c>
      <c r="C12051" s="7" t="s">
        <v>1056</v>
      </c>
      <c r="D12051" s="7" t="n">
        <v>20</v>
      </c>
      <c r="E12051" s="7" t="n">
        <v>198.23</v>
      </c>
      <c r="F12051" s="7" t="n">
        <v>0</v>
      </c>
      <c r="G12051" s="7" t="n">
        <v>0</v>
      </c>
    </row>
    <row r="12052" customFormat="false" ht="15" hidden="false" customHeight="false" outlineLevel="0" collapsed="false">
      <c r="A12052" s="7" t="s">
        <v>31</v>
      </c>
      <c r="B12052" s="7" t="s">
        <v>805</v>
      </c>
      <c r="C12052" s="7" t="s">
        <v>1056</v>
      </c>
      <c r="D12052" s="7" t="n">
        <v>0</v>
      </c>
      <c r="E12052" s="7" t="n">
        <v>0</v>
      </c>
      <c r="F12052" s="7" t="n">
        <v>30</v>
      </c>
      <c r="G12052" s="7" t="n">
        <v>270.47</v>
      </c>
    </row>
    <row r="12053" customFormat="false" ht="15" hidden="false" customHeight="false" outlineLevel="0" collapsed="false">
      <c r="A12053" s="7" t="s">
        <v>31</v>
      </c>
      <c r="B12053" s="7" t="s">
        <v>805</v>
      </c>
      <c r="C12053" s="7" t="s">
        <v>1056</v>
      </c>
      <c r="D12053" s="7" t="n">
        <v>0</v>
      </c>
      <c r="E12053" s="7" t="n">
        <v>0</v>
      </c>
      <c r="F12053" s="7" t="n">
        <v>6</v>
      </c>
      <c r="G12053" s="7" t="n">
        <v>56.74</v>
      </c>
    </row>
    <row r="12054" customFormat="false" ht="15" hidden="false" customHeight="false" outlineLevel="0" collapsed="false">
      <c r="A12054" s="7" t="s">
        <v>31</v>
      </c>
      <c r="B12054" s="7" t="s">
        <v>805</v>
      </c>
      <c r="C12054" s="7" t="s">
        <v>1056</v>
      </c>
      <c r="D12054" s="7" t="n">
        <v>0</v>
      </c>
      <c r="E12054" s="7" t="n">
        <v>0</v>
      </c>
      <c r="F12054" s="7" t="n">
        <v>30</v>
      </c>
      <c r="G12054" s="7" t="n">
        <v>271.72</v>
      </c>
    </row>
    <row r="12055" customFormat="false" ht="15" hidden="false" customHeight="false" outlineLevel="0" collapsed="false">
      <c r="A12055" s="7" t="s">
        <v>31</v>
      </c>
      <c r="B12055" s="7" t="s">
        <v>805</v>
      </c>
      <c r="C12055" s="7" t="s">
        <v>1056</v>
      </c>
      <c r="D12055" s="7" t="n">
        <v>50</v>
      </c>
      <c r="E12055" s="7" t="n">
        <v>520.78</v>
      </c>
      <c r="F12055" s="7" t="n">
        <v>0</v>
      </c>
      <c r="G12055" s="7" t="n">
        <v>0</v>
      </c>
    </row>
    <row r="12056" customFormat="false" ht="15" hidden="false" customHeight="false" outlineLevel="0" collapsed="false">
      <c r="A12056" s="7" t="s">
        <v>31</v>
      </c>
      <c r="B12056" s="7" t="s">
        <v>805</v>
      </c>
      <c r="C12056" s="7" t="s">
        <v>1056</v>
      </c>
      <c r="D12056" s="7" t="n">
        <v>30</v>
      </c>
      <c r="E12056" s="7" t="n">
        <v>299.44</v>
      </c>
      <c r="F12056" s="7" t="n">
        <v>0</v>
      </c>
      <c r="G12056" s="7" t="n">
        <v>0</v>
      </c>
    </row>
    <row r="12057" customFormat="false" ht="15" hidden="false" customHeight="false" outlineLevel="0" collapsed="false">
      <c r="A12057" s="7" t="s">
        <v>31</v>
      </c>
      <c r="B12057" s="7" t="s">
        <v>805</v>
      </c>
      <c r="C12057" s="7" t="s">
        <v>1056</v>
      </c>
      <c r="D12057" s="7" t="n">
        <v>40</v>
      </c>
      <c r="E12057" s="7" t="n">
        <v>437.55</v>
      </c>
      <c r="F12057" s="7" t="n">
        <v>0</v>
      </c>
      <c r="G12057" s="7" t="n">
        <v>0</v>
      </c>
    </row>
    <row r="12058" customFormat="false" ht="15" hidden="false" customHeight="false" outlineLevel="0" collapsed="false">
      <c r="A12058" s="7" t="s">
        <v>31</v>
      </c>
      <c r="B12058" s="7" t="s">
        <v>657</v>
      </c>
      <c r="C12058" s="7" t="s">
        <v>1056</v>
      </c>
      <c r="D12058" s="7" t="n">
        <v>30</v>
      </c>
      <c r="E12058" s="7" t="n">
        <v>328.17</v>
      </c>
      <c r="F12058" s="7" t="n">
        <v>0</v>
      </c>
      <c r="G12058" s="7" t="n">
        <v>0</v>
      </c>
    </row>
    <row r="12059" customFormat="false" ht="15" hidden="false" customHeight="false" outlineLevel="0" collapsed="false">
      <c r="A12059" s="7" t="s">
        <v>31</v>
      </c>
      <c r="B12059" s="7" t="s">
        <v>657</v>
      </c>
      <c r="C12059" s="7" t="s">
        <v>1056</v>
      </c>
      <c r="D12059" s="7" t="n">
        <v>15</v>
      </c>
      <c r="E12059" s="7" t="n">
        <v>149.72</v>
      </c>
      <c r="F12059" s="7" t="n">
        <v>0</v>
      </c>
      <c r="G12059" s="7" t="n">
        <v>0</v>
      </c>
    </row>
    <row r="12060" customFormat="false" ht="15" hidden="false" customHeight="false" outlineLevel="0" collapsed="false">
      <c r="A12060" s="7" t="s">
        <v>31</v>
      </c>
      <c r="B12060" s="7" t="s">
        <v>657</v>
      </c>
      <c r="C12060" s="7" t="s">
        <v>1056</v>
      </c>
      <c r="D12060" s="7" t="n">
        <v>10</v>
      </c>
      <c r="E12060" s="7" t="n">
        <v>99.12</v>
      </c>
      <c r="F12060" s="7" t="n">
        <v>0</v>
      </c>
      <c r="G12060" s="7" t="n">
        <v>0</v>
      </c>
    </row>
    <row r="12061" customFormat="false" ht="15" hidden="false" customHeight="false" outlineLevel="0" collapsed="false">
      <c r="A12061" s="7" t="s">
        <v>31</v>
      </c>
      <c r="B12061" s="7" t="s">
        <v>657</v>
      </c>
      <c r="C12061" s="7" t="s">
        <v>1056</v>
      </c>
      <c r="D12061" s="7" t="n">
        <v>0</v>
      </c>
      <c r="E12061" s="7" t="n">
        <v>0</v>
      </c>
      <c r="F12061" s="7" t="n">
        <v>6</v>
      </c>
      <c r="G12061" s="7" t="n">
        <v>54.34</v>
      </c>
    </row>
    <row r="12062" customFormat="false" ht="15" hidden="false" customHeight="false" outlineLevel="0" collapsed="false">
      <c r="A12062" s="7" t="s">
        <v>31</v>
      </c>
      <c r="B12062" s="7" t="s">
        <v>657</v>
      </c>
      <c r="C12062" s="7" t="s">
        <v>1056</v>
      </c>
      <c r="D12062" s="7" t="n">
        <v>10</v>
      </c>
      <c r="E12062" s="7" t="n">
        <v>104.16</v>
      </c>
      <c r="F12062" s="7" t="n">
        <v>0</v>
      </c>
      <c r="G12062" s="7" t="n">
        <v>0</v>
      </c>
    </row>
    <row r="12063" customFormat="false" ht="15" hidden="false" customHeight="false" outlineLevel="0" collapsed="false">
      <c r="A12063" s="7" t="s">
        <v>31</v>
      </c>
      <c r="B12063" s="7" t="s">
        <v>657</v>
      </c>
      <c r="C12063" s="7" t="s">
        <v>1056</v>
      </c>
      <c r="D12063" s="7" t="n">
        <v>0</v>
      </c>
      <c r="E12063" s="7" t="n">
        <v>0</v>
      </c>
      <c r="F12063" s="7" t="n">
        <v>15</v>
      </c>
      <c r="G12063" s="7" t="n">
        <v>145.1</v>
      </c>
    </row>
    <row r="12064" customFormat="false" ht="15" hidden="false" customHeight="false" outlineLevel="0" collapsed="false">
      <c r="A12064" s="7" t="s">
        <v>31</v>
      </c>
      <c r="B12064" s="7" t="s">
        <v>677</v>
      </c>
      <c r="C12064" s="7" t="s">
        <v>1159</v>
      </c>
      <c r="D12064" s="7" t="n">
        <v>6</v>
      </c>
      <c r="E12064" s="7" t="n">
        <v>69.91</v>
      </c>
      <c r="F12064" s="7" t="n">
        <v>0</v>
      </c>
      <c r="G12064" s="7" t="n">
        <v>0</v>
      </c>
    </row>
    <row r="12065" customFormat="false" ht="15" hidden="false" customHeight="false" outlineLevel="0" collapsed="false">
      <c r="A12065" s="7" t="s">
        <v>31</v>
      </c>
      <c r="B12065" s="7" t="s">
        <v>688</v>
      </c>
      <c r="C12065" s="7" t="s">
        <v>1159</v>
      </c>
      <c r="D12065" s="7" t="n">
        <v>6</v>
      </c>
      <c r="E12065" s="7" t="n">
        <v>69.91</v>
      </c>
      <c r="F12065" s="7" t="n">
        <v>0</v>
      </c>
      <c r="G12065" s="7" t="n">
        <v>0</v>
      </c>
    </row>
    <row r="12066" customFormat="false" ht="15" hidden="false" customHeight="false" outlineLevel="0" collapsed="false">
      <c r="A12066" s="7" t="s">
        <v>31</v>
      </c>
      <c r="B12066" s="7" t="s">
        <v>766</v>
      </c>
      <c r="C12066" s="7" t="s">
        <v>1159</v>
      </c>
      <c r="D12066" s="7" t="n">
        <v>10</v>
      </c>
      <c r="E12066" s="7" t="n">
        <v>116.51</v>
      </c>
      <c r="F12066" s="7" t="n">
        <v>0</v>
      </c>
      <c r="G12066" s="7" t="n">
        <v>0</v>
      </c>
    </row>
    <row r="12067" customFormat="false" ht="15" hidden="false" customHeight="false" outlineLevel="0" collapsed="false">
      <c r="A12067" s="7" t="s">
        <v>31</v>
      </c>
      <c r="B12067" s="7" t="s">
        <v>932</v>
      </c>
      <c r="C12067" s="7" t="s">
        <v>1251</v>
      </c>
      <c r="D12067" s="7" t="n">
        <v>0</v>
      </c>
      <c r="E12067" s="7" t="n">
        <v>0</v>
      </c>
      <c r="F12067" s="7" t="n">
        <v>6</v>
      </c>
      <c r="G12067" s="7" t="n">
        <v>166.72</v>
      </c>
    </row>
    <row r="12068" customFormat="false" ht="15" hidden="false" customHeight="false" outlineLevel="0" collapsed="false">
      <c r="A12068" s="7" t="s">
        <v>31</v>
      </c>
      <c r="B12068" s="7" t="s">
        <v>932</v>
      </c>
      <c r="C12068" s="7" t="s">
        <v>1251</v>
      </c>
      <c r="D12068" s="7" t="n">
        <v>20</v>
      </c>
      <c r="E12068" s="7" t="n">
        <v>634.93</v>
      </c>
      <c r="F12068" s="7" t="n">
        <v>0</v>
      </c>
      <c r="G12068" s="7" t="n">
        <v>0</v>
      </c>
    </row>
    <row r="12069" customFormat="false" ht="15" hidden="false" customHeight="false" outlineLevel="0" collapsed="false">
      <c r="A12069" s="7" t="s">
        <v>31</v>
      </c>
      <c r="B12069" s="7" t="s">
        <v>932</v>
      </c>
      <c r="C12069" s="7" t="s">
        <v>1251</v>
      </c>
      <c r="D12069" s="7" t="n">
        <v>25</v>
      </c>
      <c r="E12069" s="7" t="n">
        <v>760.18</v>
      </c>
      <c r="F12069" s="7" t="n">
        <v>0</v>
      </c>
      <c r="G12069" s="7" t="n">
        <v>0</v>
      </c>
    </row>
    <row r="12070" customFormat="false" ht="15" hidden="false" customHeight="false" outlineLevel="0" collapsed="false">
      <c r="A12070" s="7" t="s">
        <v>31</v>
      </c>
      <c r="B12070" s="7" t="s">
        <v>932</v>
      </c>
      <c r="C12070" s="7" t="s">
        <v>1251</v>
      </c>
      <c r="D12070" s="7" t="n">
        <v>0</v>
      </c>
      <c r="E12070" s="7" t="n">
        <v>0</v>
      </c>
      <c r="F12070" s="7" t="n">
        <v>12</v>
      </c>
      <c r="G12070" s="7" t="n">
        <v>356.09</v>
      </c>
    </row>
    <row r="12071" customFormat="false" ht="15" hidden="false" customHeight="false" outlineLevel="0" collapsed="false">
      <c r="A12071" s="7" t="s">
        <v>31</v>
      </c>
      <c r="B12071" s="7" t="s">
        <v>932</v>
      </c>
      <c r="C12071" s="7" t="s">
        <v>1251</v>
      </c>
      <c r="D12071" s="7" t="n">
        <v>20</v>
      </c>
      <c r="E12071" s="7" t="n">
        <v>639.05</v>
      </c>
      <c r="F12071" s="7" t="n">
        <v>0</v>
      </c>
      <c r="G12071" s="7" t="n">
        <v>0</v>
      </c>
    </row>
    <row r="12072" customFormat="false" ht="15" hidden="false" customHeight="false" outlineLevel="0" collapsed="false">
      <c r="A12072" s="7" t="s">
        <v>31</v>
      </c>
      <c r="B12072" s="7" t="s">
        <v>932</v>
      </c>
      <c r="C12072" s="7" t="s">
        <v>1251</v>
      </c>
      <c r="D12072" s="7" t="n">
        <v>25</v>
      </c>
      <c r="E12072" s="7" t="n">
        <v>765.5</v>
      </c>
      <c r="F12072" s="7" t="n">
        <v>0</v>
      </c>
      <c r="G12072" s="7" t="n">
        <v>0</v>
      </c>
    </row>
    <row r="12073" customFormat="false" ht="15" hidden="false" customHeight="false" outlineLevel="0" collapsed="false">
      <c r="A12073" s="7" t="s">
        <v>31</v>
      </c>
      <c r="B12073" s="7" t="s">
        <v>932</v>
      </c>
      <c r="C12073" s="7" t="s">
        <v>1251</v>
      </c>
      <c r="D12073" s="7" t="n">
        <v>10</v>
      </c>
      <c r="E12073" s="7" t="n">
        <v>335.58</v>
      </c>
      <c r="F12073" s="7" t="n">
        <v>0</v>
      </c>
      <c r="G12073" s="7" t="n">
        <v>0</v>
      </c>
    </row>
    <row r="12074" customFormat="false" ht="15" hidden="false" customHeight="false" outlineLevel="0" collapsed="false">
      <c r="A12074" s="7" t="s">
        <v>31</v>
      </c>
      <c r="B12074" s="7" t="s">
        <v>536</v>
      </c>
      <c r="C12074" s="7" t="s">
        <v>1251</v>
      </c>
      <c r="D12074" s="7" t="n">
        <v>0</v>
      </c>
      <c r="E12074" s="7" t="n">
        <v>0</v>
      </c>
      <c r="F12074" s="7" t="n">
        <v>6</v>
      </c>
      <c r="G12074" s="7" t="n">
        <v>166.72</v>
      </c>
    </row>
    <row r="12075" customFormat="false" ht="15" hidden="false" customHeight="false" outlineLevel="0" collapsed="false">
      <c r="A12075" s="7" t="s">
        <v>31</v>
      </c>
      <c r="B12075" s="7" t="s">
        <v>536</v>
      </c>
      <c r="C12075" s="7" t="s">
        <v>1251</v>
      </c>
      <c r="D12075" s="7" t="n">
        <v>10</v>
      </c>
      <c r="E12075" s="7" t="n">
        <v>335.58</v>
      </c>
      <c r="F12075" s="7" t="n">
        <v>0</v>
      </c>
      <c r="G12075" s="7" t="n">
        <v>0</v>
      </c>
    </row>
    <row r="12076" customFormat="false" ht="15" hidden="false" customHeight="false" outlineLevel="0" collapsed="false">
      <c r="A12076" s="7" t="s">
        <v>31</v>
      </c>
      <c r="B12076" s="7" t="s">
        <v>536</v>
      </c>
      <c r="C12076" s="7" t="s">
        <v>1251</v>
      </c>
      <c r="D12076" s="7" t="n">
        <v>0</v>
      </c>
      <c r="E12076" s="7" t="n">
        <v>0</v>
      </c>
      <c r="F12076" s="7" t="n">
        <v>-10</v>
      </c>
      <c r="G12076" s="7" t="n">
        <v>-278.07</v>
      </c>
    </row>
    <row r="12077" customFormat="false" ht="15" hidden="false" customHeight="false" outlineLevel="0" collapsed="false">
      <c r="A12077" s="7" t="s">
        <v>31</v>
      </c>
      <c r="B12077" s="7" t="s">
        <v>536</v>
      </c>
      <c r="C12077" s="7" t="s">
        <v>1251</v>
      </c>
      <c r="D12077" s="7" t="n">
        <v>0</v>
      </c>
      <c r="E12077" s="7" t="n">
        <v>0</v>
      </c>
      <c r="F12077" s="7" t="n">
        <v>10</v>
      </c>
      <c r="G12077" s="7" t="n">
        <v>296.75</v>
      </c>
    </row>
    <row r="12078" customFormat="false" ht="15" hidden="false" customHeight="false" outlineLevel="0" collapsed="false">
      <c r="A12078" s="7" t="s">
        <v>31</v>
      </c>
      <c r="B12078" s="7" t="s">
        <v>536</v>
      </c>
      <c r="C12078" s="7" t="s">
        <v>1251</v>
      </c>
      <c r="D12078" s="7" t="n">
        <v>0</v>
      </c>
      <c r="E12078" s="7" t="n">
        <v>0</v>
      </c>
      <c r="F12078" s="7" t="n">
        <v>20</v>
      </c>
      <c r="G12078" s="7" t="n">
        <v>553.16</v>
      </c>
    </row>
    <row r="12079" customFormat="false" ht="15" hidden="false" customHeight="false" outlineLevel="0" collapsed="false">
      <c r="A12079" s="7" t="s">
        <v>31</v>
      </c>
      <c r="B12079" s="7" t="s">
        <v>536</v>
      </c>
      <c r="C12079" s="7" t="s">
        <v>1251</v>
      </c>
      <c r="D12079" s="7" t="n">
        <v>10</v>
      </c>
      <c r="E12079" s="7" t="n">
        <v>304.07</v>
      </c>
      <c r="F12079" s="7" t="n">
        <v>0</v>
      </c>
      <c r="G12079" s="7" t="n">
        <v>0</v>
      </c>
    </row>
    <row r="12080" customFormat="false" ht="15" hidden="false" customHeight="false" outlineLevel="0" collapsed="false">
      <c r="A12080" s="7" t="s">
        <v>31</v>
      </c>
      <c r="B12080" s="7" t="s">
        <v>536</v>
      </c>
      <c r="C12080" s="7" t="s">
        <v>1251</v>
      </c>
      <c r="D12080" s="7" t="n">
        <v>10</v>
      </c>
      <c r="E12080" s="7" t="n">
        <v>306.21</v>
      </c>
      <c r="F12080" s="7" t="n">
        <v>0</v>
      </c>
      <c r="G12080" s="7" t="n">
        <v>0</v>
      </c>
    </row>
    <row r="12081" customFormat="false" ht="15" hidden="false" customHeight="false" outlineLevel="0" collapsed="false">
      <c r="A12081" s="7" t="s">
        <v>31</v>
      </c>
      <c r="B12081" s="7" t="s">
        <v>536</v>
      </c>
      <c r="C12081" s="7" t="s">
        <v>1251</v>
      </c>
      <c r="D12081" s="7" t="n">
        <v>20</v>
      </c>
      <c r="E12081" s="7" t="n">
        <v>639.05</v>
      </c>
      <c r="F12081" s="7" t="n">
        <v>0</v>
      </c>
      <c r="G12081" s="7" t="n">
        <v>0</v>
      </c>
    </row>
    <row r="12082" customFormat="false" ht="15" hidden="false" customHeight="false" outlineLevel="0" collapsed="false">
      <c r="A12082" s="7" t="s">
        <v>31</v>
      </c>
      <c r="B12082" s="7" t="s">
        <v>942</v>
      </c>
      <c r="C12082" s="7" t="s">
        <v>1251</v>
      </c>
      <c r="D12082" s="7" t="n">
        <v>6</v>
      </c>
      <c r="E12082" s="7" t="n">
        <v>183.73</v>
      </c>
      <c r="F12082" s="7" t="n">
        <v>0</v>
      </c>
      <c r="G12082" s="7" t="n">
        <v>0</v>
      </c>
    </row>
    <row r="12083" customFormat="false" ht="15" hidden="false" customHeight="false" outlineLevel="0" collapsed="false">
      <c r="A12083" s="7" t="s">
        <v>31</v>
      </c>
      <c r="B12083" s="7" t="s">
        <v>446</v>
      </c>
      <c r="C12083" s="7" t="s">
        <v>1251</v>
      </c>
      <c r="D12083" s="7" t="n">
        <v>0</v>
      </c>
      <c r="E12083" s="7" t="n">
        <v>0</v>
      </c>
      <c r="F12083" s="7" t="n">
        <v>6</v>
      </c>
      <c r="G12083" s="7" t="n">
        <v>174.07</v>
      </c>
    </row>
    <row r="12084" customFormat="false" ht="15" hidden="false" customHeight="false" outlineLevel="0" collapsed="false">
      <c r="A12084" s="7" t="s">
        <v>31</v>
      </c>
      <c r="B12084" s="7" t="s">
        <v>446</v>
      </c>
      <c r="C12084" s="7" t="s">
        <v>1251</v>
      </c>
      <c r="D12084" s="7" t="n">
        <v>6</v>
      </c>
      <c r="E12084" s="7" t="n">
        <v>183.73</v>
      </c>
      <c r="F12084" s="7" t="n">
        <v>0</v>
      </c>
      <c r="G12084" s="7" t="n">
        <v>0</v>
      </c>
    </row>
    <row r="12085" customFormat="false" ht="15" hidden="false" customHeight="false" outlineLevel="0" collapsed="false">
      <c r="A12085" s="7" t="s">
        <v>31</v>
      </c>
      <c r="B12085" s="7" t="s">
        <v>446</v>
      </c>
      <c r="C12085" s="7" t="s">
        <v>1251</v>
      </c>
      <c r="D12085" s="7" t="n">
        <v>0</v>
      </c>
      <c r="E12085" s="7" t="n">
        <v>0</v>
      </c>
      <c r="F12085" s="7" t="n">
        <v>6</v>
      </c>
      <c r="G12085" s="7" t="n">
        <v>166.72</v>
      </c>
    </row>
    <row r="12086" customFormat="false" ht="15" hidden="false" customHeight="false" outlineLevel="0" collapsed="false">
      <c r="A12086" s="7" t="s">
        <v>31</v>
      </c>
      <c r="B12086" s="7" t="s">
        <v>446</v>
      </c>
      <c r="C12086" s="7" t="s">
        <v>1251</v>
      </c>
      <c r="D12086" s="7" t="n">
        <v>10</v>
      </c>
      <c r="E12086" s="7" t="n">
        <v>304.07</v>
      </c>
      <c r="F12086" s="7" t="n">
        <v>0</v>
      </c>
      <c r="G12086" s="7" t="n">
        <v>0</v>
      </c>
    </row>
    <row r="12087" customFormat="false" ht="15" hidden="false" customHeight="false" outlineLevel="0" collapsed="false">
      <c r="A12087" s="7" t="s">
        <v>31</v>
      </c>
      <c r="B12087" s="7" t="s">
        <v>446</v>
      </c>
      <c r="C12087" s="7" t="s">
        <v>1251</v>
      </c>
      <c r="D12087" s="7" t="n">
        <v>0</v>
      </c>
      <c r="E12087" s="7" t="n">
        <v>0</v>
      </c>
      <c r="F12087" s="7" t="n">
        <v>10</v>
      </c>
      <c r="G12087" s="7" t="n">
        <v>296.75</v>
      </c>
    </row>
    <row r="12088" customFormat="false" ht="15" hidden="false" customHeight="false" outlineLevel="0" collapsed="false">
      <c r="A12088" s="7" t="s">
        <v>31</v>
      </c>
      <c r="B12088" s="7" t="s">
        <v>446</v>
      </c>
      <c r="C12088" s="7" t="s">
        <v>1251</v>
      </c>
      <c r="D12088" s="7" t="n">
        <v>15</v>
      </c>
      <c r="E12088" s="7" t="n">
        <v>503.37</v>
      </c>
      <c r="F12088" s="7" t="n">
        <v>0</v>
      </c>
      <c r="G12088" s="7" t="n">
        <v>0</v>
      </c>
    </row>
    <row r="12089" customFormat="false" ht="15" hidden="false" customHeight="false" outlineLevel="0" collapsed="false">
      <c r="A12089" s="7" t="s">
        <v>31</v>
      </c>
      <c r="B12089" s="7" t="s">
        <v>521</v>
      </c>
      <c r="C12089" s="7" t="s">
        <v>1251</v>
      </c>
      <c r="D12089" s="7" t="n">
        <v>0</v>
      </c>
      <c r="E12089" s="7" t="n">
        <v>0</v>
      </c>
      <c r="F12089" s="7" t="n">
        <v>6</v>
      </c>
      <c r="G12089" s="7" t="n">
        <v>178.05</v>
      </c>
    </row>
    <row r="12090" customFormat="false" ht="15" hidden="false" customHeight="false" outlineLevel="0" collapsed="false">
      <c r="A12090" s="7" t="s">
        <v>31</v>
      </c>
      <c r="B12090" s="7" t="s">
        <v>521</v>
      </c>
      <c r="C12090" s="7" t="s">
        <v>1251</v>
      </c>
      <c r="D12090" s="7" t="n">
        <v>10</v>
      </c>
      <c r="E12090" s="7" t="n">
        <v>335.58</v>
      </c>
      <c r="F12090" s="7" t="n">
        <v>0</v>
      </c>
      <c r="G12090" s="7" t="n">
        <v>0</v>
      </c>
    </row>
    <row r="12091" customFormat="false" ht="15" hidden="false" customHeight="false" outlineLevel="0" collapsed="false">
      <c r="A12091" s="7" t="s">
        <v>31</v>
      </c>
      <c r="B12091" s="7" t="s">
        <v>521</v>
      </c>
      <c r="C12091" s="7" t="s">
        <v>1251</v>
      </c>
      <c r="D12091" s="7" t="n">
        <v>6</v>
      </c>
      <c r="E12091" s="7" t="n">
        <v>183.73</v>
      </c>
      <c r="F12091" s="7" t="n">
        <v>0</v>
      </c>
      <c r="G12091" s="7" t="n">
        <v>0</v>
      </c>
    </row>
    <row r="12092" customFormat="false" ht="15" hidden="false" customHeight="false" outlineLevel="0" collapsed="false">
      <c r="A12092" s="7" t="s">
        <v>31</v>
      </c>
      <c r="B12092" s="7" t="s">
        <v>521</v>
      </c>
      <c r="C12092" s="7" t="s">
        <v>1251</v>
      </c>
      <c r="D12092" s="7" t="n">
        <v>10</v>
      </c>
      <c r="E12092" s="7" t="n">
        <v>304.07</v>
      </c>
      <c r="F12092" s="7" t="n">
        <v>0</v>
      </c>
      <c r="G12092" s="7" t="n">
        <v>0</v>
      </c>
    </row>
    <row r="12093" customFormat="false" ht="15" hidden="false" customHeight="false" outlineLevel="0" collapsed="false">
      <c r="A12093" s="7" t="s">
        <v>31</v>
      </c>
      <c r="B12093" s="7" t="s">
        <v>465</v>
      </c>
      <c r="C12093" s="7" t="s">
        <v>1107</v>
      </c>
      <c r="D12093" s="7" t="n">
        <v>6</v>
      </c>
      <c r="E12093" s="7" t="n">
        <v>138.75</v>
      </c>
      <c r="F12093" s="7" t="n">
        <v>0</v>
      </c>
      <c r="G12093" s="7" t="n">
        <v>0</v>
      </c>
    </row>
    <row r="12094" customFormat="false" ht="15" hidden="false" customHeight="false" outlineLevel="0" collapsed="false">
      <c r="A12094" s="7" t="s">
        <v>31</v>
      </c>
      <c r="B12094" s="7" t="s">
        <v>465</v>
      </c>
      <c r="C12094" s="7" t="s">
        <v>1107</v>
      </c>
      <c r="D12094" s="7" t="n">
        <v>0</v>
      </c>
      <c r="E12094" s="7" t="n">
        <v>0</v>
      </c>
      <c r="F12094" s="7" t="n">
        <v>6</v>
      </c>
      <c r="G12094" s="7" t="n">
        <v>120.11</v>
      </c>
    </row>
    <row r="12095" customFormat="false" ht="15" hidden="false" customHeight="false" outlineLevel="0" collapsed="false">
      <c r="A12095" s="7" t="s">
        <v>31</v>
      </c>
      <c r="B12095" s="7" t="s">
        <v>465</v>
      </c>
      <c r="C12095" s="7" t="s">
        <v>1107</v>
      </c>
      <c r="D12095" s="7" t="n">
        <v>6</v>
      </c>
      <c r="E12095" s="7" t="n">
        <v>145.73</v>
      </c>
      <c r="F12095" s="7" t="n">
        <v>0</v>
      </c>
      <c r="G12095" s="7" t="n">
        <v>0</v>
      </c>
    </row>
    <row r="12096" customFormat="false" ht="15" hidden="false" customHeight="false" outlineLevel="0" collapsed="false">
      <c r="A12096" s="7" t="s">
        <v>31</v>
      </c>
      <c r="B12096" s="7" t="s">
        <v>465</v>
      </c>
      <c r="C12096" s="7" t="s">
        <v>1107</v>
      </c>
      <c r="D12096" s="7" t="n">
        <v>0</v>
      </c>
      <c r="E12096" s="7" t="n">
        <v>0</v>
      </c>
      <c r="F12096" s="7" t="n">
        <v>10</v>
      </c>
      <c r="G12096" s="7" t="n">
        <v>201.11</v>
      </c>
    </row>
    <row r="12097" customFormat="false" ht="15" hidden="false" customHeight="false" outlineLevel="0" collapsed="false">
      <c r="A12097" s="7" t="s">
        <v>31</v>
      </c>
      <c r="B12097" s="7" t="s">
        <v>465</v>
      </c>
      <c r="C12097" s="7" t="s">
        <v>1107</v>
      </c>
      <c r="D12097" s="7" t="n">
        <v>15</v>
      </c>
      <c r="E12097" s="7" t="n">
        <v>330.11</v>
      </c>
      <c r="F12097" s="7" t="n">
        <v>0</v>
      </c>
      <c r="G12097" s="7" t="n">
        <v>0</v>
      </c>
    </row>
    <row r="12098" customFormat="false" ht="15" hidden="false" customHeight="false" outlineLevel="0" collapsed="false">
      <c r="A12098" s="7" t="s">
        <v>31</v>
      </c>
      <c r="B12098" s="7" t="s">
        <v>465</v>
      </c>
      <c r="C12098" s="7" t="s">
        <v>1107</v>
      </c>
      <c r="D12098" s="7" t="n">
        <v>10</v>
      </c>
      <c r="E12098" s="7" t="n">
        <v>229.77</v>
      </c>
      <c r="F12098" s="7" t="n">
        <v>0</v>
      </c>
      <c r="G12098" s="7" t="n">
        <v>0</v>
      </c>
    </row>
    <row r="12099" customFormat="false" ht="15" hidden="false" customHeight="false" outlineLevel="0" collapsed="false">
      <c r="A12099" s="7" t="s">
        <v>31</v>
      </c>
      <c r="B12099" s="7" t="s">
        <v>262</v>
      </c>
      <c r="C12099" s="7" t="s">
        <v>1107</v>
      </c>
      <c r="D12099" s="7" t="n">
        <v>0</v>
      </c>
      <c r="E12099" s="7" t="n">
        <v>0</v>
      </c>
      <c r="F12099" s="7" t="n">
        <v>10</v>
      </c>
      <c r="G12099" s="7" t="n">
        <v>201.11</v>
      </c>
    </row>
    <row r="12100" customFormat="false" ht="15" hidden="false" customHeight="false" outlineLevel="0" collapsed="false">
      <c r="A12100" s="7" t="s">
        <v>31</v>
      </c>
      <c r="B12100" s="7" t="s">
        <v>262</v>
      </c>
      <c r="C12100" s="7" t="s">
        <v>1107</v>
      </c>
      <c r="D12100" s="7" t="n">
        <v>0</v>
      </c>
      <c r="E12100" s="7" t="n">
        <v>0</v>
      </c>
      <c r="F12100" s="7" t="n">
        <v>6</v>
      </c>
      <c r="G12100" s="7" t="n">
        <v>120.11</v>
      </c>
    </row>
    <row r="12101" customFormat="false" ht="15" hidden="false" customHeight="false" outlineLevel="0" collapsed="false">
      <c r="A12101" s="7" t="s">
        <v>31</v>
      </c>
      <c r="B12101" s="7" t="s">
        <v>262</v>
      </c>
      <c r="C12101" s="7" t="s">
        <v>1107</v>
      </c>
      <c r="D12101" s="7" t="n">
        <v>10</v>
      </c>
      <c r="E12101" s="7" t="n">
        <v>221.62</v>
      </c>
      <c r="F12101" s="7" t="n">
        <v>0</v>
      </c>
      <c r="G12101" s="7" t="n">
        <v>0</v>
      </c>
    </row>
    <row r="12102" customFormat="false" ht="15" hidden="false" customHeight="false" outlineLevel="0" collapsed="false">
      <c r="A12102" s="7" t="s">
        <v>31</v>
      </c>
      <c r="B12102" s="7" t="s">
        <v>262</v>
      </c>
      <c r="C12102" s="7" t="s">
        <v>1107</v>
      </c>
      <c r="D12102" s="7" t="n">
        <v>0</v>
      </c>
      <c r="E12102" s="7" t="n">
        <v>0</v>
      </c>
      <c r="F12102" s="7" t="n">
        <v>6</v>
      </c>
      <c r="G12102" s="7" t="n">
        <v>128.86</v>
      </c>
    </row>
    <row r="12103" customFormat="false" ht="15" hidden="false" customHeight="false" outlineLevel="0" collapsed="false">
      <c r="A12103" s="7" t="s">
        <v>31</v>
      </c>
      <c r="B12103" s="7" t="s">
        <v>262</v>
      </c>
      <c r="C12103" s="7" t="s">
        <v>1107</v>
      </c>
      <c r="D12103" s="7" t="n">
        <v>0</v>
      </c>
      <c r="E12103" s="7" t="n">
        <v>0</v>
      </c>
      <c r="F12103" s="7" t="n">
        <v>6</v>
      </c>
      <c r="G12103" s="7" t="n">
        <v>125.98</v>
      </c>
    </row>
    <row r="12104" customFormat="false" ht="15" hidden="false" customHeight="false" outlineLevel="0" collapsed="false">
      <c r="A12104" s="7" t="s">
        <v>31</v>
      </c>
      <c r="B12104" s="7" t="s">
        <v>262</v>
      </c>
      <c r="C12104" s="7" t="s">
        <v>1107</v>
      </c>
      <c r="D12104" s="7" t="n">
        <v>15</v>
      </c>
      <c r="E12104" s="7" t="n">
        <v>344.65</v>
      </c>
      <c r="F12104" s="7" t="n">
        <v>0</v>
      </c>
      <c r="G12104" s="7" t="n">
        <v>0</v>
      </c>
    </row>
    <row r="12105" customFormat="false" ht="15" hidden="false" customHeight="false" outlineLevel="0" collapsed="false">
      <c r="A12105" s="7" t="s">
        <v>31</v>
      </c>
      <c r="B12105" s="7" t="s">
        <v>262</v>
      </c>
      <c r="C12105" s="7" t="s">
        <v>1107</v>
      </c>
      <c r="D12105" s="7" t="n">
        <v>10</v>
      </c>
      <c r="E12105" s="7" t="n">
        <v>231.26</v>
      </c>
      <c r="F12105" s="7" t="n">
        <v>0</v>
      </c>
      <c r="G12105" s="7" t="n">
        <v>0</v>
      </c>
    </row>
    <row r="12106" customFormat="false" ht="15" hidden="false" customHeight="false" outlineLevel="0" collapsed="false">
      <c r="A12106" s="7" t="s">
        <v>31</v>
      </c>
      <c r="B12106" s="7" t="s">
        <v>262</v>
      </c>
      <c r="C12106" s="7" t="s">
        <v>1107</v>
      </c>
      <c r="D12106" s="7" t="n">
        <v>15</v>
      </c>
      <c r="E12106" s="7" t="n">
        <v>330.11</v>
      </c>
      <c r="F12106" s="7" t="n">
        <v>0</v>
      </c>
      <c r="G12106" s="7" t="n">
        <v>0</v>
      </c>
    </row>
    <row r="12107" customFormat="false" ht="15" hidden="false" customHeight="false" outlineLevel="0" collapsed="false">
      <c r="A12107" s="7" t="s">
        <v>31</v>
      </c>
      <c r="B12107" s="7" t="s">
        <v>596</v>
      </c>
      <c r="C12107" s="7" t="s">
        <v>1107</v>
      </c>
      <c r="D12107" s="7" t="n">
        <v>6</v>
      </c>
      <c r="E12107" s="7" t="n">
        <v>145.73</v>
      </c>
      <c r="F12107" s="7" t="n">
        <v>0</v>
      </c>
      <c r="G12107" s="7" t="n">
        <v>0</v>
      </c>
    </row>
    <row r="12108" customFormat="false" ht="15" hidden="false" customHeight="false" outlineLevel="0" collapsed="false">
      <c r="A12108" s="7" t="s">
        <v>31</v>
      </c>
      <c r="B12108" s="7" t="s">
        <v>596</v>
      </c>
      <c r="C12108" s="7" t="s">
        <v>1107</v>
      </c>
      <c r="D12108" s="7" t="n">
        <v>10</v>
      </c>
      <c r="E12108" s="7" t="n">
        <v>229.77</v>
      </c>
      <c r="F12108" s="7" t="n">
        <v>0</v>
      </c>
      <c r="G12108" s="7" t="n">
        <v>0</v>
      </c>
    </row>
    <row r="12109" customFormat="false" ht="15" hidden="false" customHeight="false" outlineLevel="0" collapsed="false">
      <c r="A12109" s="7" t="s">
        <v>31</v>
      </c>
      <c r="B12109" s="7" t="s">
        <v>596</v>
      </c>
      <c r="C12109" s="7" t="s">
        <v>1107</v>
      </c>
      <c r="D12109" s="7" t="n">
        <v>0</v>
      </c>
      <c r="E12109" s="7" t="n">
        <v>0</v>
      </c>
      <c r="F12109" s="7" t="n">
        <v>6</v>
      </c>
      <c r="G12109" s="7" t="n">
        <v>125.98</v>
      </c>
    </row>
    <row r="12110" customFormat="false" ht="15" hidden="false" customHeight="false" outlineLevel="0" collapsed="false">
      <c r="A12110" s="7" t="s">
        <v>31</v>
      </c>
      <c r="B12110" s="7" t="s">
        <v>596</v>
      </c>
      <c r="C12110" s="7" t="s">
        <v>1107</v>
      </c>
      <c r="D12110" s="7" t="n">
        <v>0</v>
      </c>
      <c r="E12110" s="7" t="n">
        <v>0</v>
      </c>
      <c r="F12110" s="7" t="n">
        <v>6</v>
      </c>
      <c r="G12110" s="7" t="n">
        <v>120.66</v>
      </c>
    </row>
    <row r="12111" customFormat="false" ht="15" hidden="false" customHeight="false" outlineLevel="0" collapsed="false">
      <c r="A12111" s="7" t="s">
        <v>31</v>
      </c>
      <c r="B12111" s="7" t="s">
        <v>596</v>
      </c>
      <c r="C12111" s="7" t="s">
        <v>1107</v>
      </c>
      <c r="D12111" s="7" t="n">
        <v>10</v>
      </c>
      <c r="E12111" s="7" t="n">
        <v>220.07</v>
      </c>
      <c r="F12111" s="7" t="n">
        <v>0</v>
      </c>
      <c r="G12111" s="7" t="n">
        <v>0</v>
      </c>
    </row>
    <row r="12112" customFormat="false" ht="15" hidden="false" customHeight="false" outlineLevel="0" collapsed="false">
      <c r="A12112" s="7" t="s">
        <v>31</v>
      </c>
      <c r="B12112" s="7" t="s">
        <v>933</v>
      </c>
      <c r="C12112" s="7" t="s">
        <v>1061</v>
      </c>
      <c r="D12112" s="7" t="n">
        <v>30</v>
      </c>
      <c r="E12112" s="7" t="n">
        <v>561.78</v>
      </c>
      <c r="F12112" s="7" t="n">
        <v>0</v>
      </c>
      <c r="G12112" s="7" t="n">
        <v>0</v>
      </c>
    </row>
    <row r="12113" customFormat="false" ht="15" hidden="false" customHeight="false" outlineLevel="0" collapsed="false">
      <c r="A12113" s="7" t="s">
        <v>31</v>
      </c>
      <c r="B12113" s="7" t="s">
        <v>933</v>
      </c>
      <c r="C12113" s="7" t="s">
        <v>1061</v>
      </c>
      <c r="D12113" s="7" t="n">
        <v>20</v>
      </c>
      <c r="E12113" s="7" t="n">
        <v>356.6</v>
      </c>
      <c r="F12113" s="7" t="n">
        <v>0</v>
      </c>
      <c r="G12113" s="7" t="n">
        <v>0</v>
      </c>
    </row>
    <row r="12114" customFormat="false" ht="15" hidden="false" customHeight="false" outlineLevel="0" collapsed="false">
      <c r="A12114" s="7" t="s">
        <v>31</v>
      </c>
      <c r="B12114" s="7" t="s">
        <v>933</v>
      </c>
      <c r="C12114" s="7" t="s">
        <v>1061</v>
      </c>
      <c r="D12114" s="7" t="n">
        <v>0</v>
      </c>
      <c r="E12114" s="7" t="n">
        <v>0</v>
      </c>
      <c r="F12114" s="7" t="n">
        <v>10</v>
      </c>
      <c r="G12114" s="7" t="n">
        <v>155.05</v>
      </c>
    </row>
    <row r="12115" customFormat="false" ht="15" hidden="false" customHeight="false" outlineLevel="0" collapsed="false">
      <c r="A12115" s="7" t="s">
        <v>31</v>
      </c>
      <c r="B12115" s="7" t="s">
        <v>933</v>
      </c>
      <c r="C12115" s="7" t="s">
        <v>1061</v>
      </c>
      <c r="D12115" s="7" t="n">
        <v>0</v>
      </c>
      <c r="E12115" s="7" t="n">
        <v>0</v>
      </c>
      <c r="F12115" s="7" t="n">
        <v>10</v>
      </c>
      <c r="G12115" s="7" t="n">
        <v>161.88</v>
      </c>
    </row>
    <row r="12116" customFormat="false" ht="15" hidden="false" customHeight="false" outlineLevel="0" collapsed="false">
      <c r="A12116" s="7" t="s">
        <v>31</v>
      </c>
      <c r="B12116" s="7" t="s">
        <v>933</v>
      </c>
      <c r="C12116" s="7" t="s">
        <v>1061</v>
      </c>
      <c r="D12116" s="7" t="n">
        <v>40</v>
      </c>
      <c r="E12116" s="7" t="n">
        <v>708.61</v>
      </c>
      <c r="F12116" s="7" t="n">
        <v>0</v>
      </c>
      <c r="G12116" s="7" t="n">
        <v>0</v>
      </c>
    </row>
    <row r="12117" customFormat="false" ht="15" hidden="false" customHeight="false" outlineLevel="0" collapsed="false">
      <c r="A12117" s="7" t="s">
        <v>31</v>
      </c>
      <c r="B12117" s="7" t="s">
        <v>933</v>
      </c>
      <c r="C12117" s="7" t="s">
        <v>1061</v>
      </c>
      <c r="D12117" s="7" t="n">
        <v>70</v>
      </c>
      <c r="E12117" s="7" t="n">
        <v>1187.72</v>
      </c>
      <c r="F12117" s="7" t="n">
        <v>0</v>
      </c>
      <c r="G12117" s="7" t="n">
        <v>0</v>
      </c>
    </row>
    <row r="12118" customFormat="false" ht="15" hidden="false" customHeight="false" outlineLevel="0" collapsed="false">
      <c r="A12118" s="7" t="s">
        <v>31</v>
      </c>
      <c r="B12118" s="7" t="s">
        <v>935</v>
      </c>
      <c r="C12118" s="7" t="s">
        <v>1061</v>
      </c>
      <c r="D12118" s="7" t="n">
        <v>6</v>
      </c>
      <c r="E12118" s="7" t="n">
        <v>102.52</v>
      </c>
      <c r="F12118" s="7" t="n">
        <v>0</v>
      </c>
      <c r="G12118" s="7" t="n">
        <v>0</v>
      </c>
    </row>
    <row r="12119" customFormat="false" ht="15" hidden="false" customHeight="false" outlineLevel="0" collapsed="false">
      <c r="A12119" s="7" t="s">
        <v>31</v>
      </c>
      <c r="B12119" s="7" t="s">
        <v>935</v>
      </c>
      <c r="C12119" s="7" t="s">
        <v>1061</v>
      </c>
      <c r="D12119" s="7" t="n">
        <v>0</v>
      </c>
      <c r="E12119" s="7" t="n">
        <v>0</v>
      </c>
      <c r="F12119" s="7" t="n">
        <v>20</v>
      </c>
      <c r="G12119" s="7" t="n">
        <v>331.17</v>
      </c>
    </row>
    <row r="12120" customFormat="false" ht="15" hidden="false" customHeight="false" outlineLevel="0" collapsed="false">
      <c r="A12120" s="7" t="s">
        <v>31</v>
      </c>
      <c r="B12120" s="7" t="s">
        <v>935</v>
      </c>
      <c r="C12120" s="7" t="s">
        <v>1061</v>
      </c>
      <c r="D12120" s="7" t="n">
        <v>30</v>
      </c>
      <c r="E12120" s="7" t="n">
        <v>534.9</v>
      </c>
      <c r="F12120" s="7" t="n">
        <v>0</v>
      </c>
      <c r="G12120" s="7" t="n">
        <v>0</v>
      </c>
    </row>
    <row r="12121" customFormat="false" ht="15" hidden="false" customHeight="false" outlineLevel="0" collapsed="false">
      <c r="A12121" s="7" t="s">
        <v>31</v>
      </c>
      <c r="B12121" s="7" t="s">
        <v>935</v>
      </c>
      <c r="C12121" s="7" t="s">
        <v>1061</v>
      </c>
      <c r="D12121" s="7" t="n">
        <v>0</v>
      </c>
      <c r="E12121" s="7" t="n">
        <v>0</v>
      </c>
      <c r="F12121" s="7" t="n">
        <v>30</v>
      </c>
      <c r="G12121" s="7" t="n">
        <v>465.15</v>
      </c>
    </row>
    <row r="12122" customFormat="false" ht="15" hidden="false" customHeight="false" outlineLevel="0" collapsed="false">
      <c r="A12122" s="7" t="s">
        <v>31</v>
      </c>
      <c r="B12122" s="7" t="s">
        <v>935</v>
      </c>
      <c r="C12122" s="7" t="s">
        <v>1061</v>
      </c>
      <c r="D12122" s="7" t="n">
        <v>70</v>
      </c>
      <c r="E12122" s="7" t="n">
        <v>1240.06</v>
      </c>
      <c r="F12122" s="7" t="n">
        <v>0</v>
      </c>
      <c r="G12122" s="7" t="n">
        <v>0</v>
      </c>
    </row>
    <row r="12123" customFormat="false" ht="15" hidden="false" customHeight="false" outlineLevel="0" collapsed="false">
      <c r="A12123" s="7" t="s">
        <v>31</v>
      </c>
      <c r="B12123" s="7" t="s">
        <v>935</v>
      </c>
      <c r="C12123" s="7" t="s">
        <v>1061</v>
      </c>
      <c r="D12123" s="7" t="n">
        <v>0</v>
      </c>
      <c r="E12123" s="7" t="n">
        <v>0</v>
      </c>
      <c r="F12123" s="7" t="n">
        <v>50</v>
      </c>
      <c r="G12123" s="7" t="n">
        <v>771.67</v>
      </c>
    </row>
    <row r="12124" customFormat="false" ht="15" hidden="false" customHeight="false" outlineLevel="0" collapsed="false">
      <c r="A12124" s="7" t="s">
        <v>31</v>
      </c>
      <c r="B12124" s="7" t="s">
        <v>935</v>
      </c>
      <c r="C12124" s="7" t="s">
        <v>1061</v>
      </c>
      <c r="D12124" s="7" t="n">
        <v>0</v>
      </c>
      <c r="E12124" s="7" t="n">
        <v>0</v>
      </c>
      <c r="F12124" s="7" t="n">
        <v>50</v>
      </c>
      <c r="G12124" s="7" t="n">
        <v>809.41</v>
      </c>
    </row>
    <row r="12125" customFormat="false" ht="15" hidden="false" customHeight="false" outlineLevel="0" collapsed="false">
      <c r="A12125" s="7" t="s">
        <v>31</v>
      </c>
      <c r="B12125" s="7" t="s">
        <v>935</v>
      </c>
      <c r="C12125" s="7" t="s">
        <v>1061</v>
      </c>
      <c r="D12125" s="7" t="n">
        <v>70</v>
      </c>
      <c r="E12125" s="7" t="n">
        <v>1187.72</v>
      </c>
      <c r="F12125" s="7" t="n">
        <v>0</v>
      </c>
      <c r="G12125" s="7" t="n">
        <v>0</v>
      </c>
    </row>
    <row r="12126" customFormat="false" ht="15" hidden="false" customHeight="false" outlineLevel="0" collapsed="false">
      <c r="A12126" s="7" t="s">
        <v>31</v>
      </c>
      <c r="B12126" s="7" t="s">
        <v>935</v>
      </c>
      <c r="C12126" s="7" t="s">
        <v>1061</v>
      </c>
      <c r="D12126" s="7" t="n">
        <v>40</v>
      </c>
      <c r="E12126" s="7" t="n">
        <v>749.03</v>
      </c>
      <c r="F12126" s="7" t="n">
        <v>0</v>
      </c>
      <c r="G12126" s="7" t="n">
        <v>0</v>
      </c>
    </row>
    <row r="12127" customFormat="false" ht="15" hidden="false" customHeight="false" outlineLevel="0" collapsed="false">
      <c r="A12127" s="7" t="s">
        <v>31</v>
      </c>
      <c r="B12127" s="7" t="s">
        <v>939</v>
      </c>
      <c r="C12127" s="7" t="s">
        <v>1061</v>
      </c>
      <c r="D12127" s="7" t="n">
        <v>0</v>
      </c>
      <c r="E12127" s="7" t="n">
        <v>0</v>
      </c>
      <c r="F12127" s="7" t="n">
        <v>15</v>
      </c>
      <c r="G12127" s="7" t="n">
        <v>232.57</v>
      </c>
    </row>
    <row r="12128" customFormat="false" ht="15" hidden="false" customHeight="false" outlineLevel="0" collapsed="false">
      <c r="A12128" s="7" t="s">
        <v>31</v>
      </c>
      <c r="B12128" s="7" t="s">
        <v>939</v>
      </c>
      <c r="C12128" s="7" t="s">
        <v>1061</v>
      </c>
      <c r="D12128" s="7" t="n">
        <v>0</v>
      </c>
      <c r="E12128" s="7" t="n">
        <v>0</v>
      </c>
      <c r="F12128" s="7" t="n">
        <v>30</v>
      </c>
      <c r="G12128" s="7" t="n">
        <v>463.01</v>
      </c>
    </row>
    <row r="12129" customFormat="false" ht="15" hidden="false" customHeight="false" outlineLevel="0" collapsed="false">
      <c r="A12129" s="7" t="s">
        <v>31</v>
      </c>
      <c r="B12129" s="7" t="s">
        <v>939</v>
      </c>
      <c r="C12129" s="7" t="s">
        <v>1061</v>
      </c>
      <c r="D12129" s="7" t="n">
        <v>0</v>
      </c>
      <c r="E12129" s="7" t="n">
        <v>0</v>
      </c>
      <c r="F12129" s="7" t="n">
        <v>15</v>
      </c>
      <c r="G12129" s="7" t="n">
        <v>248.38</v>
      </c>
    </row>
    <row r="12130" customFormat="false" ht="15" hidden="false" customHeight="false" outlineLevel="0" collapsed="false">
      <c r="A12130" s="7" t="s">
        <v>31</v>
      </c>
      <c r="B12130" s="7" t="s">
        <v>939</v>
      </c>
      <c r="C12130" s="7" t="s">
        <v>1061</v>
      </c>
      <c r="D12130" s="7" t="n">
        <v>30</v>
      </c>
      <c r="E12130" s="7" t="n">
        <v>531.45</v>
      </c>
      <c r="F12130" s="7" t="n">
        <v>0</v>
      </c>
      <c r="G12130" s="7" t="n">
        <v>0</v>
      </c>
    </row>
    <row r="12131" customFormat="false" ht="15" hidden="false" customHeight="false" outlineLevel="0" collapsed="false">
      <c r="A12131" s="7" t="s">
        <v>31</v>
      </c>
      <c r="B12131" s="7" t="s">
        <v>939</v>
      </c>
      <c r="C12131" s="7" t="s">
        <v>1061</v>
      </c>
      <c r="D12131" s="7" t="n">
        <v>20</v>
      </c>
      <c r="E12131" s="7" t="n">
        <v>374.52</v>
      </c>
      <c r="F12131" s="7" t="n">
        <v>0</v>
      </c>
      <c r="G12131" s="7" t="n">
        <v>0</v>
      </c>
    </row>
    <row r="12132" customFormat="false" ht="15" hidden="false" customHeight="false" outlineLevel="0" collapsed="false">
      <c r="A12132" s="7" t="s">
        <v>31</v>
      </c>
      <c r="B12132" s="7" t="s">
        <v>939</v>
      </c>
      <c r="C12132" s="7" t="s">
        <v>1061</v>
      </c>
      <c r="D12132" s="7" t="n">
        <v>15</v>
      </c>
      <c r="E12132" s="7" t="n">
        <v>267.45</v>
      </c>
      <c r="F12132" s="7" t="n">
        <v>0</v>
      </c>
      <c r="G12132" s="7" t="n">
        <v>0</v>
      </c>
    </row>
    <row r="12133" customFormat="false" ht="15" hidden="false" customHeight="false" outlineLevel="0" collapsed="false">
      <c r="A12133" s="7" t="s">
        <v>31</v>
      </c>
      <c r="B12133" s="7" t="s">
        <v>939</v>
      </c>
      <c r="C12133" s="7" t="s">
        <v>1061</v>
      </c>
      <c r="D12133" s="7" t="n">
        <v>0</v>
      </c>
      <c r="E12133" s="7" t="n">
        <v>0</v>
      </c>
      <c r="F12133" s="7" t="n">
        <v>25</v>
      </c>
      <c r="G12133" s="7" t="n">
        <v>404.71</v>
      </c>
    </row>
    <row r="12134" customFormat="false" ht="15" hidden="false" customHeight="false" outlineLevel="0" collapsed="false">
      <c r="A12134" s="7" t="s">
        <v>31</v>
      </c>
      <c r="B12134" s="7" t="s">
        <v>939</v>
      </c>
      <c r="C12134" s="7" t="s">
        <v>1061</v>
      </c>
      <c r="D12134" s="7" t="n">
        <v>30</v>
      </c>
      <c r="E12134" s="7" t="n">
        <v>509.02</v>
      </c>
      <c r="F12134" s="7" t="n">
        <v>0</v>
      </c>
      <c r="G12134" s="7" t="n">
        <v>0</v>
      </c>
    </row>
    <row r="12135" customFormat="false" ht="15" hidden="false" customHeight="false" outlineLevel="0" collapsed="false">
      <c r="A12135" s="7" t="s">
        <v>31</v>
      </c>
      <c r="B12135" s="7" t="s">
        <v>938</v>
      </c>
      <c r="C12135" s="7" t="s">
        <v>1061</v>
      </c>
      <c r="D12135" s="7" t="n">
        <v>10</v>
      </c>
      <c r="E12135" s="7" t="n">
        <v>177.15</v>
      </c>
      <c r="F12135" s="7" t="n">
        <v>0</v>
      </c>
      <c r="G12135" s="7" t="n">
        <v>0</v>
      </c>
    </row>
    <row r="12136" customFormat="false" ht="15" hidden="false" customHeight="false" outlineLevel="0" collapsed="false">
      <c r="A12136" s="7" t="s">
        <v>31</v>
      </c>
      <c r="B12136" s="7" t="s">
        <v>938</v>
      </c>
      <c r="C12136" s="7" t="s">
        <v>1061</v>
      </c>
      <c r="D12136" s="7" t="n">
        <v>10</v>
      </c>
      <c r="E12136" s="7" t="n">
        <v>169.68</v>
      </c>
      <c r="F12136" s="7" t="n">
        <v>0</v>
      </c>
      <c r="G12136" s="7" t="n">
        <v>0</v>
      </c>
    </row>
    <row r="12137" customFormat="false" ht="15" hidden="false" customHeight="false" outlineLevel="0" collapsed="false">
      <c r="A12137" s="7" t="s">
        <v>31</v>
      </c>
      <c r="B12137" s="7" t="s">
        <v>100</v>
      </c>
      <c r="C12137" s="7" t="s">
        <v>1160</v>
      </c>
      <c r="D12137" s="7" t="n">
        <v>12</v>
      </c>
      <c r="E12137" s="7" t="n">
        <v>1116.54</v>
      </c>
      <c r="F12137" s="7" t="n">
        <v>0</v>
      </c>
      <c r="G12137" s="7" t="n">
        <v>0</v>
      </c>
    </row>
    <row r="12138" customFormat="false" ht="15" hidden="false" customHeight="false" outlineLevel="0" collapsed="false">
      <c r="A12138" s="7" t="s">
        <v>31</v>
      </c>
      <c r="B12138" s="7" t="s">
        <v>100</v>
      </c>
      <c r="C12138" s="7" t="s">
        <v>1160</v>
      </c>
      <c r="D12138" s="7" t="n">
        <v>10</v>
      </c>
      <c r="E12138" s="7" t="n">
        <v>1019.73</v>
      </c>
      <c r="F12138" s="7" t="n">
        <v>0</v>
      </c>
      <c r="G12138" s="7" t="n">
        <v>0</v>
      </c>
    </row>
    <row r="12139" customFormat="false" ht="15" hidden="false" customHeight="false" outlineLevel="0" collapsed="false">
      <c r="A12139" s="7" t="s">
        <v>31</v>
      </c>
      <c r="B12139" s="7" t="s">
        <v>100</v>
      </c>
      <c r="C12139" s="7" t="s">
        <v>1160</v>
      </c>
      <c r="D12139" s="7" t="n">
        <v>3</v>
      </c>
      <c r="E12139" s="7" t="n">
        <v>291.28</v>
      </c>
      <c r="F12139" s="7" t="n">
        <v>0</v>
      </c>
      <c r="G12139" s="7" t="n">
        <v>0</v>
      </c>
    </row>
    <row r="12140" customFormat="false" ht="15" hidden="false" customHeight="false" outlineLevel="0" collapsed="false">
      <c r="A12140" s="7" t="s">
        <v>31</v>
      </c>
      <c r="B12140" s="7" t="s">
        <v>100</v>
      </c>
      <c r="C12140" s="7" t="s">
        <v>1160</v>
      </c>
      <c r="D12140" s="7" t="n">
        <v>6</v>
      </c>
      <c r="E12140" s="7" t="n">
        <v>578.81</v>
      </c>
      <c r="F12140" s="7" t="n">
        <v>0</v>
      </c>
      <c r="G12140" s="7" t="n">
        <v>0</v>
      </c>
    </row>
    <row r="12141" customFormat="false" ht="15" hidden="false" customHeight="false" outlineLevel="0" collapsed="false">
      <c r="A12141" s="7" t="s">
        <v>31</v>
      </c>
      <c r="B12141" s="7" t="s">
        <v>946</v>
      </c>
      <c r="C12141" s="7" t="s">
        <v>1330</v>
      </c>
      <c r="D12141" s="7" t="n">
        <v>6</v>
      </c>
      <c r="E12141" s="7" t="n">
        <v>0.23</v>
      </c>
      <c r="F12141" s="7" t="n">
        <v>0</v>
      </c>
      <c r="G12141" s="7" t="n">
        <v>0</v>
      </c>
    </row>
    <row r="12142" customFormat="false" ht="15" hidden="false" customHeight="false" outlineLevel="0" collapsed="false">
      <c r="A12142" s="7" t="s">
        <v>31</v>
      </c>
      <c r="B12142" s="7" t="s">
        <v>946</v>
      </c>
      <c r="C12142" s="7" t="s">
        <v>1330</v>
      </c>
      <c r="D12142" s="7" t="n">
        <v>10</v>
      </c>
      <c r="E12142" s="7" t="n">
        <v>0.34</v>
      </c>
      <c r="F12142" s="7" t="n">
        <v>0</v>
      </c>
      <c r="G12142" s="7" t="n">
        <v>0</v>
      </c>
    </row>
    <row r="12143" customFormat="false" ht="15" hidden="false" customHeight="false" outlineLevel="0" collapsed="false">
      <c r="A12143" s="7" t="s">
        <v>31</v>
      </c>
      <c r="B12143" s="7" t="s">
        <v>589</v>
      </c>
      <c r="C12143" s="7" t="s">
        <v>1109</v>
      </c>
      <c r="D12143" s="7" t="n">
        <v>3</v>
      </c>
      <c r="E12143" s="7" t="n">
        <v>189.5</v>
      </c>
      <c r="F12143" s="7" t="n">
        <v>0</v>
      </c>
      <c r="G12143" s="7" t="n">
        <v>0</v>
      </c>
    </row>
    <row r="12144" customFormat="false" ht="15" hidden="false" customHeight="false" outlineLevel="0" collapsed="false">
      <c r="A12144" s="7" t="s">
        <v>31</v>
      </c>
      <c r="B12144" s="7" t="s">
        <v>665</v>
      </c>
      <c r="C12144" s="7" t="s">
        <v>1181</v>
      </c>
      <c r="D12144" s="7" t="n">
        <v>20</v>
      </c>
      <c r="E12144" s="7" t="n">
        <v>196.44</v>
      </c>
      <c r="F12144" s="7" t="n">
        <v>0</v>
      </c>
      <c r="G12144" s="7" t="n">
        <v>0</v>
      </c>
    </row>
    <row r="12145" customFormat="false" ht="15" hidden="false" customHeight="false" outlineLevel="0" collapsed="false">
      <c r="A12145" s="7" t="s">
        <v>31</v>
      </c>
      <c r="B12145" s="7" t="s">
        <v>665</v>
      </c>
      <c r="C12145" s="7" t="s">
        <v>1181</v>
      </c>
      <c r="D12145" s="7" t="n">
        <v>0</v>
      </c>
      <c r="E12145" s="7" t="n">
        <v>0</v>
      </c>
      <c r="F12145" s="7" t="n">
        <v>15</v>
      </c>
      <c r="G12145" s="7" t="n">
        <v>134.64</v>
      </c>
    </row>
    <row r="12146" customFormat="false" ht="15" hidden="false" customHeight="false" outlineLevel="0" collapsed="false">
      <c r="A12146" s="7" t="s">
        <v>31</v>
      </c>
      <c r="B12146" s="7" t="s">
        <v>665</v>
      </c>
      <c r="C12146" s="7" t="s">
        <v>1181</v>
      </c>
      <c r="D12146" s="7" t="n">
        <v>20</v>
      </c>
      <c r="E12146" s="7" t="n">
        <v>207.66</v>
      </c>
      <c r="F12146" s="7" t="n">
        <v>0</v>
      </c>
      <c r="G12146" s="7" t="n">
        <v>0</v>
      </c>
    </row>
    <row r="12147" customFormat="false" ht="15" hidden="false" customHeight="false" outlineLevel="0" collapsed="false">
      <c r="A12147" s="7" t="s">
        <v>31</v>
      </c>
      <c r="B12147" s="7" t="s">
        <v>665</v>
      </c>
      <c r="C12147" s="7" t="s">
        <v>1181</v>
      </c>
      <c r="D12147" s="7" t="n">
        <v>0</v>
      </c>
      <c r="E12147" s="7" t="n">
        <v>0</v>
      </c>
      <c r="F12147" s="7" t="n">
        <v>10</v>
      </c>
      <c r="G12147" s="7" t="n">
        <v>85.97</v>
      </c>
    </row>
    <row r="12148" customFormat="false" ht="15" hidden="false" customHeight="false" outlineLevel="0" collapsed="false">
      <c r="A12148" s="7" t="s">
        <v>31</v>
      </c>
      <c r="B12148" s="7" t="s">
        <v>665</v>
      </c>
      <c r="C12148" s="7" t="s">
        <v>1181</v>
      </c>
      <c r="D12148" s="7" t="n">
        <v>10</v>
      </c>
      <c r="E12148" s="7" t="n">
        <v>94.06</v>
      </c>
      <c r="F12148" s="7" t="n">
        <v>0</v>
      </c>
      <c r="G12148" s="7" t="n">
        <v>0</v>
      </c>
    </row>
    <row r="12149" customFormat="false" ht="15" hidden="false" customHeight="false" outlineLevel="0" collapsed="false">
      <c r="A12149" s="7" t="s">
        <v>31</v>
      </c>
      <c r="B12149" s="7" t="s">
        <v>374</v>
      </c>
      <c r="C12149" s="7" t="s">
        <v>1261</v>
      </c>
      <c r="D12149" s="7" t="n">
        <v>30</v>
      </c>
      <c r="E12149" s="7" t="n">
        <v>258.83</v>
      </c>
      <c r="F12149" s="7" t="n">
        <v>0</v>
      </c>
      <c r="G12149" s="7" t="n">
        <v>0</v>
      </c>
    </row>
    <row r="12150" customFormat="false" ht="15" hidden="false" customHeight="false" outlineLevel="0" collapsed="false">
      <c r="A12150" s="7" t="s">
        <v>31</v>
      </c>
      <c r="B12150" s="7" t="s">
        <v>374</v>
      </c>
      <c r="C12150" s="7" t="s">
        <v>1261</v>
      </c>
      <c r="D12150" s="7" t="n">
        <v>20</v>
      </c>
      <c r="E12150" s="7" t="n">
        <v>189.12</v>
      </c>
      <c r="F12150" s="7" t="n">
        <v>0</v>
      </c>
      <c r="G12150" s="7" t="n">
        <v>0</v>
      </c>
    </row>
    <row r="12151" customFormat="false" ht="15" hidden="false" customHeight="false" outlineLevel="0" collapsed="false">
      <c r="A12151" s="7" t="s">
        <v>31</v>
      </c>
      <c r="B12151" s="7" t="s">
        <v>374</v>
      </c>
      <c r="C12151" s="7" t="s">
        <v>1261</v>
      </c>
      <c r="D12151" s="7" t="n">
        <v>0</v>
      </c>
      <c r="E12151" s="7" t="n">
        <v>0</v>
      </c>
      <c r="F12151" s="7" t="n">
        <v>20</v>
      </c>
      <c r="G12151" s="7" t="n">
        <v>167.23</v>
      </c>
    </row>
    <row r="12152" customFormat="false" ht="15" hidden="false" customHeight="false" outlineLevel="0" collapsed="false">
      <c r="A12152" s="7" t="s">
        <v>31</v>
      </c>
      <c r="B12152" s="7" t="s">
        <v>374</v>
      </c>
      <c r="C12152" s="7" t="s">
        <v>1261</v>
      </c>
      <c r="D12152" s="7" t="n">
        <v>0</v>
      </c>
      <c r="E12152" s="7" t="n">
        <v>0</v>
      </c>
      <c r="F12152" s="7" t="n">
        <v>20</v>
      </c>
      <c r="G12152" s="7" t="n">
        <v>155.86</v>
      </c>
    </row>
    <row r="12153" customFormat="false" ht="15" hidden="false" customHeight="false" outlineLevel="0" collapsed="false">
      <c r="A12153" s="7" t="s">
        <v>31</v>
      </c>
      <c r="B12153" s="7" t="s">
        <v>374</v>
      </c>
      <c r="C12153" s="7" t="s">
        <v>1261</v>
      </c>
      <c r="D12153" s="7" t="n">
        <v>0</v>
      </c>
      <c r="E12153" s="7" t="n">
        <v>0</v>
      </c>
      <c r="F12153" s="7" t="n">
        <v>30</v>
      </c>
      <c r="G12153" s="7" t="n">
        <v>234.87</v>
      </c>
    </row>
    <row r="12154" customFormat="false" ht="15" hidden="false" customHeight="false" outlineLevel="0" collapsed="false">
      <c r="A12154" s="7" t="s">
        <v>31</v>
      </c>
      <c r="B12154" s="7" t="s">
        <v>374</v>
      </c>
      <c r="C12154" s="7" t="s">
        <v>1261</v>
      </c>
      <c r="D12154" s="7" t="n">
        <v>6</v>
      </c>
      <c r="E12154" s="7" t="n">
        <v>54.02</v>
      </c>
      <c r="F12154" s="7" t="n">
        <v>0</v>
      </c>
      <c r="G12154" s="7" t="n">
        <v>0</v>
      </c>
    </row>
    <row r="12155" customFormat="false" ht="15" hidden="false" customHeight="false" outlineLevel="0" collapsed="false">
      <c r="A12155" s="7" t="s">
        <v>31</v>
      </c>
      <c r="B12155" s="7" t="s">
        <v>754</v>
      </c>
      <c r="C12155" s="7" t="s">
        <v>1261</v>
      </c>
      <c r="D12155" s="7" t="n">
        <v>0</v>
      </c>
      <c r="E12155" s="7" t="n">
        <v>0</v>
      </c>
      <c r="F12155" s="7" t="n">
        <v>30</v>
      </c>
      <c r="G12155" s="7" t="n">
        <v>233.79</v>
      </c>
    </row>
    <row r="12156" customFormat="false" ht="15" hidden="false" customHeight="false" outlineLevel="0" collapsed="false">
      <c r="A12156" s="7" t="s">
        <v>31</v>
      </c>
      <c r="B12156" s="7" t="s">
        <v>754</v>
      </c>
      <c r="C12156" s="7" t="s">
        <v>1261</v>
      </c>
      <c r="D12156" s="7" t="n">
        <v>30</v>
      </c>
      <c r="E12156" s="7" t="n">
        <v>258.83</v>
      </c>
      <c r="F12156" s="7" t="n">
        <v>0</v>
      </c>
      <c r="G12156" s="7" t="n">
        <v>0</v>
      </c>
    </row>
    <row r="12157" customFormat="false" ht="15" hidden="false" customHeight="false" outlineLevel="0" collapsed="false">
      <c r="A12157" s="7" t="s">
        <v>31</v>
      </c>
      <c r="B12157" s="7" t="s">
        <v>754</v>
      </c>
      <c r="C12157" s="7" t="s">
        <v>1261</v>
      </c>
      <c r="D12157" s="7" t="n">
        <v>20</v>
      </c>
      <c r="E12157" s="7" t="n">
        <v>171.35</v>
      </c>
      <c r="F12157" s="7" t="n">
        <v>0</v>
      </c>
      <c r="G12157" s="7" t="n">
        <v>0</v>
      </c>
    </row>
    <row r="12158" customFormat="false" ht="15" hidden="false" customHeight="false" outlineLevel="0" collapsed="false">
      <c r="A12158" s="7" t="s">
        <v>31</v>
      </c>
      <c r="B12158" s="7" t="s">
        <v>754</v>
      </c>
      <c r="C12158" s="7" t="s">
        <v>1261</v>
      </c>
      <c r="D12158" s="7" t="n">
        <v>0</v>
      </c>
      <c r="E12158" s="7" t="n">
        <v>0</v>
      </c>
      <c r="F12158" s="7" t="n">
        <v>30</v>
      </c>
      <c r="G12158" s="7" t="n">
        <v>234.87</v>
      </c>
    </row>
    <row r="12159" customFormat="false" ht="15" hidden="false" customHeight="false" outlineLevel="0" collapsed="false">
      <c r="A12159" s="7" t="s">
        <v>31</v>
      </c>
      <c r="B12159" s="7" t="s">
        <v>754</v>
      </c>
      <c r="C12159" s="7" t="s">
        <v>1261</v>
      </c>
      <c r="D12159" s="7" t="n">
        <v>0</v>
      </c>
      <c r="E12159" s="7" t="n">
        <v>0</v>
      </c>
      <c r="F12159" s="7" t="n">
        <v>10</v>
      </c>
      <c r="G12159" s="7" t="n">
        <v>81.75</v>
      </c>
    </row>
    <row r="12160" customFormat="false" ht="15" hidden="false" customHeight="false" outlineLevel="0" collapsed="false">
      <c r="A12160" s="7" t="s">
        <v>31</v>
      </c>
      <c r="B12160" s="7" t="s">
        <v>754</v>
      </c>
      <c r="C12160" s="7" t="s">
        <v>1261</v>
      </c>
      <c r="D12160" s="7" t="n">
        <v>6</v>
      </c>
      <c r="E12160" s="7" t="n">
        <v>54.02</v>
      </c>
      <c r="F12160" s="7" t="n">
        <v>0</v>
      </c>
      <c r="G12160" s="7" t="n">
        <v>0</v>
      </c>
    </row>
    <row r="12161" customFormat="false" ht="15" hidden="false" customHeight="false" outlineLevel="0" collapsed="false">
      <c r="A12161" s="7" t="s">
        <v>31</v>
      </c>
      <c r="B12161" s="7" t="s">
        <v>754</v>
      </c>
      <c r="C12161" s="7" t="s">
        <v>1261</v>
      </c>
      <c r="D12161" s="7" t="n">
        <v>6</v>
      </c>
      <c r="E12161" s="7" t="n">
        <v>53.67</v>
      </c>
      <c r="F12161" s="7" t="n">
        <v>0</v>
      </c>
      <c r="G12161" s="7" t="n">
        <v>0</v>
      </c>
    </row>
    <row r="12162" customFormat="false" ht="15" hidden="false" customHeight="false" outlineLevel="0" collapsed="false">
      <c r="A12162" s="7" t="s">
        <v>31</v>
      </c>
      <c r="B12162" s="7" t="s">
        <v>754</v>
      </c>
      <c r="C12162" s="7" t="s">
        <v>1261</v>
      </c>
      <c r="D12162" s="7" t="n">
        <v>0</v>
      </c>
      <c r="E12162" s="7" t="n">
        <v>0</v>
      </c>
      <c r="F12162" s="7" t="n">
        <v>20</v>
      </c>
      <c r="G12162" s="7" t="n">
        <v>167.23</v>
      </c>
    </row>
    <row r="12163" customFormat="false" ht="15" hidden="false" customHeight="false" outlineLevel="0" collapsed="false">
      <c r="A12163" s="7" t="s">
        <v>31</v>
      </c>
      <c r="B12163" s="7" t="s">
        <v>703</v>
      </c>
      <c r="C12163" s="7" t="s">
        <v>1261</v>
      </c>
      <c r="D12163" s="7" t="n">
        <v>30</v>
      </c>
      <c r="E12163" s="7" t="n">
        <v>258.83</v>
      </c>
      <c r="F12163" s="7" t="n">
        <v>0</v>
      </c>
      <c r="G12163" s="7" t="n">
        <v>0</v>
      </c>
    </row>
    <row r="12164" customFormat="false" ht="15" hidden="false" customHeight="false" outlineLevel="0" collapsed="false">
      <c r="A12164" s="7" t="s">
        <v>31</v>
      </c>
      <c r="B12164" s="7" t="s">
        <v>703</v>
      </c>
      <c r="C12164" s="7" t="s">
        <v>1261</v>
      </c>
      <c r="D12164" s="7" t="n">
        <v>0</v>
      </c>
      <c r="E12164" s="7" t="n">
        <v>0</v>
      </c>
      <c r="F12164" s="7" t="n">
        <v>60</v>
      </c>
      <c r="G12164" s="7" t="n">
        <v>467.59</v>
      </c>
    </row>
    <row r="12165" customFormat="false" ht="15" hidden="false" customHeight="false" outlineLevel="0" collapsed="false">
      <c r="A12165" s="7" t="s">
        <v>31</v>
      </c>
      <c r="B12165" s="7" t="s">
        <v>703</v>
      </c>
      <c r="C12165" s="7" t="s">
        <v>1261</v>
      </c>
      <c r="D12165" s="7" t="n">
        <v>0</v>
      </c>
      <c r="E12165" s="7" t="n">
        <v>0</v>
      </c>
      <c r="F12165" s="7" t="n">
        <v>40</v>
      </c>
      <c r="G12165" s="7" t="n">
        <v>334.46</v>
      </c>
    </row>
    <row r="12166" customFormat="false" ht="15" hidden="false" customHeight="false" outlineLevel="0" collapsed="false">
      <c r="A12166" s="7" t="s">
        <v>31</v>
      </c>
      <c r="B12166" s="7" t="s">
        <v>703</v>
      </c>
      <c r="C12166" s="7" t="s">
        <v>1261</v>
      </c>
      <c r="D12166" s="7" t="n">
        <v>30</v>
      </c>
      <c r="E12166" s="7" t="n">
        <v>268.35</v>
      </c>
      <c r="F12166" s="7" t="n">
        <v>0</v>
      </c>
      <c r="G12166" s="7" t="n">
        <v>0</v>
      </c>
    </row>
    <row r="12167" customFormat="false" ht="15" hidden="false" customHeight="false" outlineLevel="0" collapsed="false">
      <c r="A12167" s="7" t="s">
        <v>31</v>
      </c>
      <c r="B12167" s="7" t="s">
        <v>703</v>
      </c>
      <c r="C12167" s="7" t="s">
        <v>1261</v>
      </c>
      <c r="D12167" s="7" t="n">
        <v>0</v>
      </c>
      <c r="E12167" s="7" t="n">
        <v>0</v>
      </c>
      <c r="F12167" s="7" t="n">
        <v>30</v>
      </c>
      <c r="G12167" s="7" t="n">
        <v>234.87</v>
      </c>
    </row>
    <row r="12168" customFormat="false" ht="15" hidden="false" customHeight="false" outlineLevel="0" collapsed="false">
      <c r="A12168" s="7" t="s">
        <v>31</v>
      </c>
      <c r="B12168" s="7" t="s">
        <v>703</v>
      </c>
      <c r="C12168" s="7" t="s">
        <v>1261</v>
      </c>
      <c r="D12168" s="7" t="n">
        <v>15</v>
      </c>
      <c r="E12168" s="7" t="n">
        <v>141.83</v>
      </c>
      <c r="F12168" s="7" t="n">
        <v>0</v>
      </c>
      <c r="G12168" s="7" t="n">
        <v>0</v>
      </c>
    </row>
    <row r="12169" customFormat="false" ht="15" hidden="false" customHeight="false" outlineLevel="0" collapsed="false">
      <c r="A12169" s="7" t="s">
        <v>31</v>
      </c>
      <c r="B12169" s="7" t="s">
        <v>703</v>
      </c>
      <c r="C12169" s="7" t="s">
        <v>1261</v>
      </c>
      <c r="D12169" s="7" t="n">
        <v>20</v>
      </c>
      <c r="E12169" s="7" t="n">
        <v>171.35</v>
      </c>
      <c r="F12169" s="7" t="n">
        <v>0</v>
      </c>
      <c r="G12169" s="7" t="n">
        <v>0</v>
      </c>
    </row>
    <row r="12170" customFormat="false" ht="15" hidden="false" customHeight="false" outlineLevel="0" collapsed="false">
      <c r="A12170" s="7" t="s">
        <v>31</v>
      </c>
      <c r="B12170" s="7" t="s">
        <v>772</v>
      </c>
      <c r="C12170" s="7" t="s">
        <v>1261</v>
      </c>
      <c r="D12170" s="7" t="n">
        <v>20</v>
      </c>
      <c r="E12170" s="7" t="n">
        <v>172.56</v>
      </c>
      <c r="F12170" s="7" t="n">
        <v>0</v>
      </c>
      <c r="G12170" s="7" t="n">
        <v>0</v>
      </c>
    </row>
    <row r="12171" customFormat="false" ht="15" hidden="false" customHeight="false" outlineLevel="0" collapsed="false">
      <c r="A12171" s="7" t="s">
        <v>31</v>
      </c>
      <c r="B12171" s="7" t="s">
        <v>772</v>
      </c>
      <c r="C12171" s="7" t="s">
        <v>1261</v>
      </c>
      <c r="D12171" s="7" t="n">
        <v>0</v>
      </c>
      <c r="E12171" s="7" t="n">
        <v>0</v>
      </c>
      <c r="F12171" s="7" t="n">
        <v>30</v>
      </c>
      <c r="G12171" s="7" t="n">
        <v>234.87</v>
      </c>
    </row>
    <row r="12172" customFormat="false" ht="15" hidden="false" customHeight="false" outlineLevel="0" collapsed="false">
      <c r="A12172" s="7" t="s">
        <v>31</v>
      </c>
      <c r="B12172" s="7" t="s">
        <v>772</v>
      </c>
      <c r="C12172" s="7" t="s">
        <v>1261</v>
      </c>
      <c r="D12172" s="7" t="n">
        <v>10</v>
      </c>
      <c r="E12172" s="7" t="n">
        <v>85.68</v>
      </c>
      <c r="F12172" s="7" t="n">
        <v>0</v>
      </c>
      <c r="G12172" s="7" t="n">
        <v>0</v>
      </c>
    </row>
    <row r="12173" customFormat="false" ht="15" hidden="false" customHeight="false" outlineLevel="0" collapsed="false">
      <c r="A12173" s="7" t="s">
        <v>31</v>
      </c>
      <c r="B12173" s="7" t="s">
        <v>772</v>
      </c>
      <c r="C12173" s="7" t="s">
        <v>1261</v>
      </c>
      <c r="D12173" s="7" t="n">
        <v>0</v>
      </c>
      <c r="E12173" s="7" t="n">
        <v>0</v>
      </c>
      <c r="F12173" s="7" t="n">
        <v>12</v>
      </c>
      <c r="G12173" s="7" t="n">
        <v>98.09</v>
      </c>
    </row>
    <row r="12174" customFormat="false" ht="15" hidden="false" customHeight="false" outlineLevel="0" collapsed="false">
      <c r="A12174" s="7" t="s">
        <v>31</v>
      </c>
      <c r="B12174" s="7" t="s">
        <v>772</v>
      </c>
      <c r="C12174" s="7" t="s">
        <v>1261</v>
      </c>
      <c r="D12174" s="7" t="n">
        <v>15</v>
      </c>
      <c r="E12174" s="7" t="n">
        <v>141.83</v>
      </c>
      <c r="F12174" s="7" t="n">
        <v>0</v>
      </c>
      <c r="G12174" s="7" t="n">
        <v>0</v>
      </c>
    </row>
    <row r="12175" customFormat="false" ht="15" hidden="false" customHeight="false" outlineLevel="0" collapsed="false">
      <c r="A12175" s="7" t="s">
        <v>31</v>
      </c>
      <c r="B12175" s="7" t="s">
        <v>772</v>
      </c>
      <c r="C12175" s="7" t="s">
        <v>1261</v>
      </c>
      <c r="D12175" s="7" t="n">
        <v>0</v>
      </c>
      <c r="E12175" s="7" t="n">
        <v>0</v>
      </c>
      <c r="F12175" s="7" t="n">
        <v>25</v>
      </c>
      <c r="G12175" s="7" t="n">
        <v>194.83</v>
      </c>
    </row>
    <row r="12176" customFormat="false" ht="15" hidden="false" customHeight="false" outlineLevel="0" collapsed="false">
      <c r="A12176" s="7" t="s">
        <v>31</v>
      </c>
      <c r="B12176" s="7" t="s">
        <v>772</v>
      </c>
      <c r="C12176" s="7" t="s">
        <v>1261</v>
      </c>
      <c r="D12176" s="7" t="n">
        <v>0</v>
      </c>
      <c r="E12176" s="7" t="n">
        <v>0</v>
      </c>
      <c r="F12176" s="7" t="n">
        <v>30</v>
      </c>
      <c r="G12176" s="7" t="n">
        <v>250.84</v>
      </c>
    </row>
    <row r="12177" customFormat="false" ht="15" hidden="false" customHeight="false" outlineLevel="0" collapsed="false">
      <c r="A12177" s="7" t="s">
        <v>31</v>
      </c>
      <c r="B12177" s="7" t="s">
        <v>772</v>
      </c>
      <c r="C12177" s="7" t="s">
        <v>1261</v>
      </c>
      <c r="D12177" s="7" t="n">
        <v>10</v>
      </c>
      <c r="E12177" s="7" t="n">
        <v>90.04</v>
      </c>
      <c r="F12177" s="7" t="n">
        <v>0</v>
      </c>
      <c r="G12177" s="7" t="n">
        <v>0</v>
      </c>
    </row>
    <row r="12178" customFormat="false" ht="15" hidden="false" customHeight="false" outlineLevel="0" collapsed="false">
      <c r="A12178" s="7" t="s">
        <v>31</v>
      </c>
      <c r="B12178" s="7" t="s">
        <v>627</v>
      </c>
      <c r="C12178" s="7" t="s">
        <v>1110</v>
      </c>
      <c r="D12178" s="7" t="n">
        <v>0</v>
      </c>
      <c r="E12178" s="7" t="n">
        <v>0</v>
      </c>
      <c r="F12178" s="7" t="n">
        <v>40</v>
      </c>
      <c r="G12178" s="7" t="n">
        <v>220.04</v>
      </c>
    </row>
    <row r="12179" customFormat="false" ht="15" hidden="false" customHeight="false" outlineLevel="0" collapsed="false">
      <c r="A12179" s="7" t="s">
        <v>31</v>
      </c>
      <c r="B12179" s="7" t="s">
        <v>627</v>
      </c>
      <c r="C12179" s="7" t="s">
        <v>1110</v>
      </c>
      <c r="D12179" s="7" t="n">
        <v>0</v>
      </c>
      <c r="E12179" s="7" t="n">
        <v>0</v>
      </c>
      <c r="F12179" s="7" t="n">
        <v>20</v>
      </c>
      <c r="G12179" s="7" t="n">
        <v>118.04</v>
      </c>
    </row>
    <row r="12180" customFormat="false" ht="15" hidden="false" customHeight="false" outlineLevel="0" collapsed="false">
      <c r="A12180" s="7" t="s">
        <v>31</v>
      </c>
      <c r="B12180" s="7" t="s">
        <v>627</v>
      </c>
      <c r="C12180" s="7" t="s">
        <v>1110</v>
      </c>
      <c r="D12180" s="7" t="n">
        <v>15</v>
      </c>
      <c r="E12180" s="7" t="n">
        <v>90.72</v>
      </c>
      <c r="F12180" s="7" t="n">
        <v>0</v>
      </c>
      <c r="G12180" s="7" t="n">
        <v>0</v>
      </c>
    </row>
    <row r="12181" customFormat="false" ht="15" hidden="false" customHeight="false" outlineLevel="0" collapsed="false">
      <c r="A12181" s="7" t="s">
        <v>31</v>
      </c>
      <c r="B12181" s="7" t="s">
        <v>627</v>
      </c>
      <c r="C12181" s="7" t="s">
        <v>1110</v>
      </c>
      <c r="D12181" s="7" t="n">
        <v>0</v>
      </c>
      <c r="E12181" s="7" t="n">
        <v>0</v>
      </c>
      <c r="F12181" s="7" t="n">
        <v>10</v>
      </c>
      <c r="G12181" s="7" t="n">
        <v>57.7</v>
      </c>
    </row>
    <row r="12182" customFormat="false" ht="15" hidden="false" customHeight="false" outlineLevel="0" collapsed="false">
      <c r="A12182" s="7" t="s">
        <v>31</v>
      </c>
      <c r="B12182" s="7" t="s">
        <v>627</v>
      </c>
      <c r="C12182" s="7" t="s">
        <v>1110</v>
      </c>
      <c r="D12182" s="7" t="n">
        <v>0</v>
      </c>
      <c r="E12182" s="7" t="n">
        <v>0</v>
      </c>
      <c r="F12182" s="7" t="n">
        <v>20</v>
      </c>
      <c r="G12182" s="7" t="n">
        <v>110.53</v>
      </c>
    </row>
    <row r="12183" customFormat="false" ht="15" hidden="false" customHeight="false" outlineLevel="0" collapsed="false">
      <c r="A12183" s="7" t="s">
        <v>31</v>
      </c>
      <c r="B12183" s="7" t="s">
        <v>627</v>
      </c>
      <c r="C12183" s="7" t="s">
        <v>1110</v>
      </c>
      <c r="D12183" s="7" t="n">
        <v>30</v>
      </c>
      <c r="E12183" s="7" t="n">
        <v>182.71</v>
      </c>
      <c r="F12183" s="7" t="n">
        <v>0</v>
      </c>
      <c r="G12183" s="7" t="n">
        <v>0</v>
      </c>
    </row>
    <row r="12184" customFormat="false" ht="15" hidden="false" customHeight="false" outlineLevel="0" collapsed="false">
      <c r="A12184" s="7" t="s">
        <v>31</v>
      </c>
      <c r="B12184" s="7" t="s">
        <v>627</v>
      </c>
      <c r="C12184" s="7" t="s">
        <v>1110</v>
      </c>
      <c r="D12184" s="7" t="n">
        <v>15</v>
      </c>
      <c r="E12184" s="7" t="n">
        <v>95.33</v>
      </c>
      <c r="F12184" s="7" t="n">
        <v>0</v>
      </c>
      <c r="G12184" s="7" t="n">
        <v>0</v>
      </c>
    </row>
    <row r="12185" customFormat="false" ht="15" hidden="false" customHeight="false" outlineLevel="0" collapsed="false">
      <c r="A12185" s="7" t="s">
        <v>31</v>
      </c>
      <c r="B12185" s="7" t="s">
        <v>627</v>
      </c>
      <c r="C12185" s="7" t="s">
        <v>1110</v>
      </c>
      <c r="D12185" s="7" t="n">
        <v>20</v>
      </c>
      <c r="E12185" s="7" t="n">
        <v>126.29</v>
      </c>
      <c r="F12185" s="7" t="n">
        <v>0</v>
      </c>
      <c r="G12185" s="7" t="n">
        <v>0</v>
      </c>
    </row>
    <row r="12186" customFormat="false" ht="15" hidden="false" customHeight="false" outlineLevel="0" collapsed="false">
      <c r="A12186" s="7" t="s">
        <v>31</v>
      </c>
      <c r="B12186" s="7" t="s">
        <v>627</v>
      </c>
      <c r="C12186" s="7" t="s">
        <v>1110</v>
      </c>
      <c r="D12186" s="7" t="n">
        <v>10</v>
      </c>
      <c r="E12186" s="7" t="n">
        <v>66.74</v>
      </c>
      <c r="F12186" s="7" t="n">
        <v>0</v>
      </c>
      <c r="G12186" s="7" t="n">
        <v>0</v>
      </c>
    </row>
    <row r="12187" customFormat="false" ht="15" hidden="false" customHeight="false" outlineLevel="0" collapsed="false">
      <c r="A12187" s="7" t="s">
        <v>31</v>
      </c>
      <c r="B12187" s="7" t="s">
        <v>617</v>
      </c>
      <c r="C12187" s="7" t="s">
        <v>1111</v>
      </c>
      <c r="D12187" s="7" t="n">
        <v>0</v>
      </c>
      <c r="E12187" s="7" t="n">
        <v>0</v>
      </c>
      <c r="F12187" s="7" t="n">
        <v>20</v>
      </c>
      <c r="G12187" s="7" t="n">
        <v>118.04</v>
      </c>
    </row>
    <row r="12188" customFormat="false" ht="15" hidden="false" customHeight="false" outlineLevel="0" collapsed="false">
      <c r="A12188" s="7" t="s">
        <v>31</v>
      </c>
      <c r="B12188" s="7" t="s">
        <v>617</v>
      </c>
      <c r="C12188" s="7" t="s">
        <v>1111</v>
      </c>
      <c r="D12188" s="7" t="n">
        <v>10</v>
      </c>
      <c r="E12188" s="7" t="n">
        <v>60.48</v>
      </c>
      <c r="F12188" s="7" t="n">
        <v>0</v>
      </c>
      <c r="G12188" s="7" t="n">
        <v>0</v>
      </c>
    </row>
    <row r="12189" customFormat="false" ht="15" hidden="false" customHeight="false" outlineLevel="0" collapsed="false">
      <c r="A12189" s="7" t="s">
        <v>31</v>
      </c>
      <c r="B12189" s="7" t="s">
        <v>617</v>
      </c>
      <c r="C12189" s="7" t="s">
        <v>1111</v>
      </c>
      <c r="D12189" s="7" t="n">
        <v>20</v>
      </c>
      <c r="E12189" s="7" t="n">
        <v>126.29</v>
      </c>
      <c r="F12189" s="7" t="n">
        <v>0</v>
      </c>
      <c r="G12189" s="7" t="n">
        <v>0</v>
      </c>
    </row>
    <row r="12190" customFormat="false" ht="15" hidden="false" customHeight="false" outlineLevel="0" collapsed="false">
      <c r="A12190" s="7" t="s">
        <v>31</v>
      </c>
      <c r="B12190" s="7" t="s">
        <v>617</v>
      </c>
      <c r="C12190" s="7" t="s">
        <v>1111</v>
      </c>
      <c r="D12190" s="7" t="n">
        <v>20</v>
      </c>
      <c r="E12190" s="7" t="n">
        <v>133.49</v>
      </c>
      <c r="F12190" s="7" t="n">
        <v>0</v>
      </c>
      <c r="G12190" s="7" t="n">
        <v>0</v>
      </c>
    </row>
    <row r="12191" customFormat="false" ht="15" hidden="false" customHeight="false" outlineLevel="0" collapsed="false">
      <c r="A12191" s="7" t="s">
        <v>31</v>
      </c>
      <c r="B12191" s="7" t="s">
        <v>617</v>
      </c>
      <c r="C12191" s="7" t="s">
        <v>1111</v>
      </c>
      <c r="D12191" s="7" t="n">
        <v>0</v>
      </c>
      <c r="E12191" s="7" t="n">
        <v>0</v>
      </c>
      <c r="F12191" s="7" t="n">
        <v>40</v>
      </c>
      <c r="G12191" s="7" t="n">
        <v>220.04</v>
      </c>
    </row>
    <row r="12192" customFormat="false" ht="15" hidden="false" customHeight="false" outlineLevel="0" collapsed="false">
      <c r="A12192" s="7" t="s">
        <v>31</v>
      </c>
      <c r="B12192" s="7" t="s">
        <v>617</v>
      </c>
      <c r="C12192" s="7" t="s">
        <v>1111</v>
      </c>
      <c r="D12192" s="7" t="n">
        <v>0</v>
      </c>
      <c r="E12192" s="7" t="n">
        <v>0</v>
      </c>
      <c r="F12192" s="7" t="n">
        <v>20</v>
      </c>
      <c r="G12192" s="7" t="n">
        <v>115.4</v>
      </c>
    </row>
    <row r="12193" customFormat="false" ht="15" hidden="false" customHeight="false" outlineLevel="0" collapsed="false">
      <c r="A12193" s="7" t="s">
        <v>31</v>
      </c>
      <c r="B12193" s="7" t="s">
        <v>617</v>
      </c>
      <c r="C12193" s="7" t="s">
        <v>1111</v>
      </c>
      <c r="D12193" s="7" t="n">
        <v>50</v>
      </c>
      <c r="E12193" s="7" t="n">
        <v>304.52</v>
      </c>
      <c r="F12193" s="7" t="n">
        <v>0</v>
      </c>
      <c r="G12193" s="7" t="n">
        <v>0</v>
      </c>
    </row>
    <row r="12194" customFormat="false" ht="15" hidden="false" customHeight="false" outlineLevel="0" collapsed="false">
      <c r="A12194" s="7" t="s">
        <v>31</v>
      </c>
      <c r="B12194" s="7" t="s">
        <v>617</v>
      </c>
      <c r="C12194" s="7" t="s">
        <v>1111</v>
      </c>
      <c r="D12194" s="7" t="n">
        <v>0</v>
      </c>
      <c r="E12194" s="7" t="n">
        <v>0</v>
      </c>
      <c r="F12194" s="7" t="n">
        <v>20</v>
      </c>
      <c r="G12194" s="7" t="n">
        <v>110.53</v>
      </c>
    </row>
    <row r="12195" customFormat="false" ht="15" hidden="false" customHeight="false" outlineLevel="0" collapsed="false">
      <c r="A12195" s="7" t="s">
        <v>31</v>
      </c>
      <c r="B12195" s="7" t="s">
        <v>617</v>
      </c>
      <c r="C12195" s="7" t="s">
        <v>1111</v>
      </c>
      <c r="D12195" s="7" t="n">
        <v>10</v>
      </c>
      <c r="E12195" s="7" t="n">
        <v>63.55</v>
      </c>
      <c r="F12195" s="7" t="n">
        <v>0</v>
      </c>
      <c r="G12195" s="7" t="n">
        <v>0</v>
      </c>
    </row>
    <row r="12196" customFormat="false" ht="15" hidden="false" customHeight="false" outlineLevel="0" collapsed="false">
      <c r="A12196" s="7" t="s">
        <v>31</v>
      </c>
      <c r="B12196" s="7" t="s">
        <v>701</v>
      </c>
      <c r="C12196" s="7" t="s">
        <v>1112</v>
      </c>
      <c r="D12196" s="7" t="n">
        <v>0</v>
      </c>
      <c r="E12196" s="7" t="n">
        <v>0</v>
      </c>
      <c r="F12196" s="7" t="n">
        <v>10</v>
      </c>
      <c r="G12196" s="7" t="n">
        <v>55.01</v>
      </c>
    </row>
    <row r="12197" customFormat="false" ht="15" hidden="false" customHeight="false" outlineLevel="0" collapsed="false">
      <c r="A12197" s="7" t="s">
        <v>31</v>
      </c>
      <c r="B12197" s="7" t="s">
        <v>701</v>
      </c>
      <c r="C12197" s="7" t="s">
        <v>1112</v>
      </c>
      <c r="D12197" s="7" t="n">
        <v>0</v>
      </c>
      <c r="E12197" s="7" t="n">
        <v>0</v>
      </c>
      <c r="F12197" s="7" t="n">
        <v>10</v>
      </c>
      <c r="G12197" s="7" t="n">
        <v>55.27</v>
      </c>
    </row>
    <row r="12198" customFormat="false" ht="15" hidden="false" customHeight="false" outlineLevel="0" collapsed="false">
      <c r="A12198" s="7" t="s">
        <v>31</v>
      </c>
      <c r="B12198" s="7" t="s">
        <v>701</v>
      </c>
      <c r="C12198" s="7" t="s">
        <v>1112</v>
      </c>
      <c r="D12198" s="7" t="n">
        <v>10</v>
      </c>
      <c r="E12198" s="7" t="n">
        <v>63.14</v>
      </c>
      <c r="F12198" s="7" t="n">
        <v>0</v>
      </c>
      <c r="G12198" s="7" t="n">
        <v>0</v>
      </c>
    </row>
    <row r="12199" customFormat="false" ht="15" hidden="false" customHeight="false" outlineLevel="0" collapsed="false">
      <c r="A12199" s="7" t="s">
        <v>31</v>
      </c>
      <c r="B12199" s="7" t="s">
        <v>701</v>
      </c>
      <c r="C12199" s="7" t="s">
        <v>1112</v>
      </c>
      <c r="D12199" s="7" t="n">
        <v>20</v>
      </c>
      <c r="E12199" s="7" t="n">
        <v>121.81</v>
      </c>
      <c r="F12199" s="7" t="n">
        <v>0</v>
      </c>
      <c r="G12199" s="7" t="n">
        <v>0</v>
      </c>
    </row>
    <row r="12200" customFormat="false" ht="15" hidden="false" customHeight="false" outlineLevel="0" collapsed="false">
      <c r="A12200" s="7" t="s">
        <v>31</v>
      </c>
      <c r="B12200" s="7" t="s">
        <v>701</v>
      </c>
      <c r="C12200" s="7" t="s">
        <v>1112</v>
      </c>
      <c r="D12200" s="7" t="n">
        <v>20</v>
      </c>
      <c r="E12200" s="7" t="n">
        <v>133.49</v>
      </c>
      <c r="F12200" s="7" t="n">
        <v>0</v>
      </c>
      <c r="G12200" s="7" t="n">
        <v>0</v>
      </c>
    </row>
    <row r="12201" customFormat="false" ht="15" hidden="false" customHeight="false" outlineLevel="0" collapsed="false">
      <c r="A12201" s="7" t="s">
        <v>31</v>
      </c>
      <c r="B12201" s="7" t="s">
        <v>701</v>
      </c>
      <c r="C12201" s="7" t="s">
        <v>1112</v>
      </c>
      <c r="D12201" s="7" t="n">
        <v>0</v>
      </c>
      <c r="E12201" s="7" t="n">
        <v>0</v>
      </c>
      <c r="F12201" s="7" t="n">
        <v>10</v>
      </c>
      <c r="G12201" s="7" t="n">
        <v>59.02</v>
      </c>
    </row>
    <row r="12202" customFormat="false" ht="15" hidden="false" customHeight="false" outlineLevel="0" collapsed="false">
      <c r="A12202" s="7" t="s">
        <v>31</v>
      </c>
      <c r="B12202" s="7" t="s">
        <v>761</v>
      </c>
      <c r="C12202" s="7" t="s">
        <v>1113</v>
      </c>
      <c r="D12202" s="7" t="n">
        <v>10</v>
      </c>
      <c r="E12202" s="7" t="n">
        <v>60.9</v>
      </c>
      <c r="F12202" s="7" t="n">
        <v>0</v>
      </c>
      <c r="G12202" s="7" t="n">
        <v>0</v>
      </c>
    </row>
    <row r="12203" customFormat="false" ht="15" hidden="false" customHeight="false" outlineLevel="0" collapsed="false">
      <c r="A12203" s="7" t="s">
        <v>31</v>
      </c>
      <c r="B12203" s="7" t="s">
        <v>761</v>
      </c>
      <c r="C12203" s="7" t="s">
        <v>1113</v>
      </c>
      <c r="D12203" s="7" t="n">
        <v>15</v>
      </c>
      <c r="E12203" s="7" t="n">
        <v>95.33</v>
      </c>
      <c r="F12203" s="7" t="n">
        <v>0</v>
      </c>
      <c r="G12203" s="7" t="n">
        <v>0</v>
      </c>
    </row>
    <row r="12204" customFormat="false" ht="15" hidden="false" customHeight="false" outlineLevel="0" collapsed="false">
      <c r="A12204" s="7" t="s">
        <v>31</v>
      </c>
      <c r="B12204" s="7" t="s">
        <v>761</v>
      </c>
      <c r="C12204" s="7" t="s">
        <v>1113</v>
      </c>
      <c r="D12204" s="7" t="n">
        <v>6</v>
      </c>
      <c r="E12204" s="7" t="n">
        <v>36.29</v>
      </c>
      <c r="F12204" s="7" t="n">
        <v>0</v>
      </c>
      <c r="G12204" s="7" t="n">
        <v>0</v>
      </c>
    </row>
    <row r="12205" customFormat="false" ht="15" hidden="false" customHeight="false" outlineLevel="0" collapsed="false">
      <c r="A12205" s="7" t="s">
        <v>31</v>
      </c>
      <c r="B12205" s="7" t="s">
        <v>761</v>
      </c>
      <c r="C12205" s="7" t="s">
        <v>1113</v>
      </c>
      <c r="D12205" s="7" t="n">
        <v>0</v>
      </c>
      <c r="E12205" s="7" t="n">
        <v>0</v>
      </c>
      <c r="F12205" s="7" t="n">
        <v>10</v>
      </c>
      <c r="G12205" s="7" t="n">
        <v>55.27</v>
      </c>
    </row>
    <row r="12206" customFormat="false" ht="15" hidden="false" customHeight="false" outlineLevel="0" collapsed="false">
      <c r="A12206" s="7" t="s">
        <v>31</v>
      </c>
      <c r="B12206" s="7" t="s">
        <v>761</v>
      </c>
      <c r="C12206" s="7" t="s">
        <v>1113</v>
      </c>
      <c r="D12206" s="7" t="n">
        <v>0</v>
      </c>
      <c r="E12206" s="7" t="n">
        <v>0</v>
      </c>
      <c r="F12206" s="7" t="n">
        <v>10</v>
      </c>
      <c r="G12206" s="7" t="n">
        <v>55.01</v>
      </c>
    </row>
    <row r="12207" customFormat="false" ht="15" hidden="false" customHeight="false" outlineLevel="0" collapsed="false">
      <c r="A12207" s="7" t="s">
        <v>31</v>
      </c>
      <c r="B12207" s="7" t="s">
        <v>761</v>
      </c>
      <c r="C12207" s="7" t="s">
        <v>1113</v>
      </c>
      <c r="D12207" s="7" t="n">
        <v>10</v>
      </c>
      <c r="E12207" s="7" t="n">
        <v>63.14</v>
      </c>
      <c r="F12207" s="7" t="n">
        <v>0</v>
      </c>
      <c r="G12207" s="7" t="n">
        <v>0</v>
      </c>
    </row>
    <row r="12208" customFormat="false" ht="15" hidden="false" customHeight="false" outlineLevel="0" collapsed="false">
      <c r="A12208" s="7" t="s">
        <v>31</v>
      </c>
      <c r="B12208" s="7" t="s">
        <v>761</v>
      </c>
      <c r="C12208" s="7" t="s">
        <v>1113</v>
      </c>
      <c r="D12208" s="7" t="n">
        <v>0</v>
      </c>
      <c r="E12208" s="7" t="n">
        <v>0</v>
      </c>
      <c r="F12208" s="7" t="n">
        <v>10</v>
      </c>
      <c r="G12208" s="7" t="n">
        <v>59.02</v>
      </c>
    </row>
    <row r="12209" customFormat="false" ht="15" hidden="false" customHeight="false" outlineLevel="0" collapsed="false">
      <c r="A12209" s="7" t="s">
        <v>31</v>
      </c>
      <c r="B12209" s="7" t="s">
        <v>603</v>
      </c>
      <c r="C12209" s="7" t="s">
        <v>1067</v>
      </c>
      <c r="D12209" s="7" t="n">
        <v>0</v>
      </c>
      <c r="E12209" s="7" t="n">
        <v>0</v>
      </c>
      <c r="F12209" s="7" t="n">
        <v>10</v>
      </c>
      <c r="G12209" s="7" t="n">
        <v>108.99</v>
      </c>
    </row>
    <row r="12210" customFormat="false" ht="15" hidden="false" customHeight="false" outlineLevel="0" collapsed="false">
      <c r="A12210" s="7" t="s">
        <v>31</v>
      </c>
      <c r="B12210" s="7" t="s">
        <v>603</v>
      </c>
      <c r="C12210" s="7" t="s">
        <v>1067</v>
      </c>
      <c r="D12210" s="7" t="n">
        <v>0</v>
      </c>
      <c r="E12210" s="7" t="n">
        <v>0</v>
      </c>
      <c r="F12210" s="7" t="n">
        <v>10</v>
      </c>
      <c r="G12210" s="7" t="n">
        <v>116.41</v>
      </c>
    </row>
    <row r="12211" customFormat="false" ht="15" hidden="false" customHeight="false" outlineLevel="0" collapsed="false">
      <c r="A12211" s="7" t="s">
        <v>31</v>
      </c>
      <c r="B12211" s="7" t="s">
        <v>603</v>
      </c>
      <c r="C12211" s="7" t="s">
        <v>1067</v>
      </c>
      <c r="D12211" s="7" t="n">
        <v>0</v>
      </c>
      <c r="E12211" s="7" t="n">
        <v>0</v>
      </c>
      <c r="F12211" s="7" t="n">
        <v>20</v>
      </c>
      <c r="G12211" s="7" t="n">
        <v>227.6</v>
      </c>
    </row>
    <row r="12212" customFormat="false" ht="15" hidden="false" customHeight="false" outlineLevel="0" collapsed="false">
      <c r="A12212" s="7" t="s">
        <v>31</v>
      </c>
      <c r="B12212" s="7" t="s">
        <v>603</v>
      </c>
      <c r="C12212" s="7" t="s">
        <v>1067</v>
      </c>
      <c r="D12212" s="7" t="n">
        <v>10</v>
      </c>
      <c r="E12212" s="7" t="n">
        <v>120.11</v>
      </c>
      <c r="F12212" s="7" t="n">
        <v>0</v>
      </c>
      <c r="G12212" s="7" t="n">
        <v>0</v>
      </c>
    </row>
    <row r="12213" customFormat="false" ht="15" hidden="false" customHeight="false" outlineLevel="0" collapsed="false">
      <c r="A12213" s="7" t="s">
        <v>31</v>
      </c>
      <c r="B12213" s="7" t="s">
        <v>603</v>
      </c>
      <c r="C12213" s="7" t="s">
        <v>1067</v>
      </c>
      <c r="D12213" s="7" t="n">
        <v>0</v>
      </c>
      <c r="E12213" s="7" t="n">
        <v>0</v>
      </c>
      <c r="F12213" s="7" t="n">
        <v>10</v>
      </c>
      <c r="G12213" s="7" t="n">
        <v>108.5</v>
      </c>
    </row>
    <row r="12214" customFormat="false" ht="15" hidden="false" customHeight="false" outlineLevel="0" collapsed="false">
      <c r="A12214" s="7" t="s">
        <v>31</v>
      </c>
      <c r="B12214" s="7" t="s">
        <v>603</v>
      </c>
      <c r="C12214" s="7" t="s">
        <v>1067</v>
      </c>
      <c r="D12214" s="7" t="n">
        <v>10</v>
      </c>
      <c r="E12214" s="7" t="n">
        <v>119.28</v>
      </c>
      <c r="F12214" s="7" t="n">
        <v>0</v>
      </c>
      <c r="G12214" s="7" t="n">
        <v>0</v>
      </c>
    </row>
    <row r="12215" customFormat="false" ht="15" hidden="false" customHeight="false" outlineLevel="0" collapsed="false">
      <c r="A12215" s="7" t="s">
        <v>31</v>
      </c>
      <c r="B12215" s="7" t="s">
        <v>601</v>
      </c>
      <c r="C12215" s="7" t="s">
        <v>1067</v>
      </c>
      <c r="D12215" s="7" t="n">
        <v>0</v>
      </c>
      <c r="E12215" s="7" t="n">
        <v>0</v>
      </c>
      <c r="F12215" s="7" t="n">
        <v>20</v>
      </c>
      <c r="G12215" s="7" t="n">
        <v>232.8</v>
      </c>
    </row>
    <row r="12216" customFormat="false" ht="15" hidden="false" customHeight="false" outlineLevel="0" collapsed="false">
      <c r="A12216" s="7" t="s">
        <v>31</v>
      </c>
      <c r="B12216" s="7" t="s">
        <v>601</v>
      </c>
      <c r="C12216" s="7" t="s">
        <v>1067</v>
      </c>
      <c r="D12216" s="7" t="n">
        <v>20</v>
      </c>
      <c r="E12216" s="7" t="n">
        <v>250.68</v>
      </c>
      <c r="F12216" s="7" t="n">
        <v>0</v>
      </c>
      <c r="G12216" s="7" t="n">
        <v>0</v>
      </c>
    </row>
    <row r="12217" customFormat="false" ht="15" hidden="false" customHeight="false" outlineLevel="0" collapsed="false">
      <c r="A12217" s="7" t="s">
        <v>31</v>
      </c>
      <c r="B12217" s="7" t="s">
        <v>601</v>
      </c>
      <c r="C12217" s="7" t="s">
        <v>1067</v>
      </c>
      <c r="D12217" s="7" t="n">
        <v>0</v>
      </c>
      <c r="E12217" s="7" t="n">
        <v>0</v>
      </c>
      <c r="F12217" s="7" t="n">
        <v>10</v>
      </c>
      <c r="G12217" s="7" t="n">
        <v>108.5</v>
      </c>
    </row>
    <row r="12218" customFormat="false" ht="15" hidden="false" customHeight="false" outlineLevel="0" collapsed="false">
      <c r="A12218" s="7" t="s">
        <v>31</v>
      </c>
      <c r="B12218" s="7" t="s">
        <v>601</v>
      </c>
      <c r="C12218" s="7" t="s">
        <v>1067</v>
      </c>
      <c r="D12218" s="7" t="n">
        <v>0</v>
      </c>
      <c r="E12218" s="7" t="n">
        <v>0</v>
      </c>
      <c r="F12218" s="7" t="n">
        <v>10</v>
      </c>
      <c r="G12218" s="7" t="n">
        <v>113.8</v>
      </c>
    </row>
    <row r="12219" customFormat="false" ht="15" hidden="false" customHeight="false" outlineLevel="0" collapsed="false">
      <c r="A12219" s="7" t="s">
        <v>31</v>
      </c>
      <c r="B12219" s="7" t="s">
        <v>601</v>
      </c>
      <c r="C12219" s="7" t="s">
        <v>1067</v>
      </c>
      <c r="D12219" s="7" t="n">
        <v>6</v>
      </c>
      <c r="E12219" s="7" t="n">
        <v>72.07</v>
      </c>
      <c r="F12219" s="7" t="n">
        <v>0</v>
      </c>
      <c r="G12219" s="7" t="n">
        <v>0</v>
      </c>
    </row>
    <row r="12220" customFormat="false" ht="15" hidden="false" customHeight="false" outlineLevel="0" collapsed="false">
      <c r="A12220" s="7" t="s">
        <v>31</v>
      </c>
      <c r="B12220" s="7" t="s">
        <v>601</v>
      </c>
      <c r="C12220" s="7" t="s">
        <v>1067</v>
      </c>
      <c r="D12220" s="7" t="n">
        <v>0</v>
      </c>
      <c r="E12220" s="7" t="n">
        <v>0</v>
      </c>
      <c r="F12220" s="7" t="n">
        <v>10</v>
      </c>
      <c r="G12220" s="7" t="n">
        <v>108.99</v>
      </c>
    </row>
    <row r="12221" customFormat="false" ht="15" hidden="false" customHeight="false" outlineLevel="0" collapsed="false">
      <c r="A12221" s="7" t="s">
        <v>31</v>
      </c>
      <c r="B12221" s="7" t="s">
        <v>296</v>
      </c>
      <c r="C12221" s="7" t="s">
        <v>1067</v>
      </c>
      <c r="D12221" s="7" t="n">
        <v>0</v>
      </c>
      <c r="E12221" s="7" t="n">
        <v>0</v>
      </c>
      <c r="F12221" s="7" t="n">
        <v>10</v>
      </c>
      <c r="G12221" s="7" t="n">
        <v>108.99</v>
      </c>
    </row>
    <row r="12222" customFormat="false" ht="15" hidden="false" customHeight="false" outlineLevel="0" collapsed="false">
      <c r="A12222" s="7" t="s">
        <v>31</v>
      </c>
      <c r="B12222" s="7" t="s">
        <v>296</v>
      </c>
      <c r="C12222" s="7" t="s">
        <v>1067</v>
      </c>
      <c r="D12222" s="7" t="n">
        <v>0</v>
      </c>
      <c r="E12222" s="7" t="n">
        <v>0</v>
      </c>
      <c r="F12222" s="7" t="n">
        <v>10</v>
      </c>
      <c r="G12222" s="7" t="n">
        <v>108.5</v>
      </c>
    </row>
    <row r="12223" customFormat="false" ht="15" hidden="false" customHeight="false" outlineLevel="0" collapsed="false">
      <c r="A12223" s="7" t="s">
        <v>31</v>
      </c>
      <c r="B12223" s="7" t="s">
        <v>296</v>
      </c>
      <c r="C12223" s="7" t="s">
        <v>1067</v>
      </c>
      <c r="D12223" s="7" t="n">
        <v>20</v>
      </c>
      <c r="E12223" s="7" t="n">
        <v>240.23</v>
      </c>
      <c r="F12223" s="7" t="n">
        <v>0</v>
      </c>
      <c r="G12223" s="7" t="n">
        <v>0</v>
      </c>
    </row>
    <row r="12224" customFormat="false" ht="15" hidden="false" customHeight="false" outlineLevel="0" collapsed="false">
      <c r="A12224" s="7" t="s">
        <v>31</v>
      </c>
      <c r="B12224" s="7" t="s">
        <v>296</v>
      </c>
      <c r="C12224" s="7" t="s">
        <v>1067</v>
      </c>
      <c r="D12224" s="7" t="n">
        <v>0</v>
      </c>
      <c r="E12224" s="7" t="n">
        <v>0</v>
      </c>
      <c r="F12224" s="7" t="n">
        <v>20</v>
      </c>
      <c r="G12224" s="7" t="n">
        <v>227.6</v>
      </c>
    </row>
    <row r="12225" customFormat="false" ht="15" hidden="false" customHeight="false" outlineLevel="0" collapsed="false">
      <c r="A12225" s="7" t="s">
        <v>31</v>
      </c>
      <c r="B12225" s="7" t="s">
        <v>296</v>
      </c>
      <c r="C12225" s="7" t="s">
        <v>1067</v>
      </c>
      <c r="D12225" s="7" t="n">
        <v>10</v>
      </c>
      <c r="E12225" s="7" t="n">
        <v>119.28</v>
      </c>
      <c r="F12225" s="7" t="n">
        <v>0</v>
      </c>
      <c r="G12225" s="7" t="n">
        <v>0</v>
      </c>
    </row>
    <row r="12226" customFormat="false" ht="15" hidden="false" customHeight="false" outlineLevel="0" collapsed="false">
      <c r="A12226" s="7" t="s">
        <v>31</v>
      </c>
      <c r="B12226" s="7" t="s">
        <v>416</v>
      </c>
      <c r="C12226" s="7" t="s">
        <v>1067</v>
      </c>
      <c r="D12226" s="7" t="n">
        <v>20</v>
      </c>
      <c r="E12226" s="7" t="n">
        <v>250.68</v>
      </c>
      <c r="F12226" s="7" t="n">
        <v>0</v>
      </c>
      <c r="G12226" s="7" t="n">
        <v>0</v>
      </c>
    </row>
    <row r="12227" customFormat="false" ht="15" hidden="false" customHeight="false" outlineLevel="0" collapsed="false">
      <c r="A12227" s="7" t="s">
        <v>31</v>
      </c>
      <c r="B12227" s="7" t="s">
        <v>416</v>
      </c>
      <c r="C12227" s="7" t="s">
        <v>1067</v>
      </c>
      <c r="D12227" s="7" t="n">
        <v>0</v>
      </c>
      <c r="E12227" s="7" t="n">
        <v>0</v>
      </c>
      <c r="F12227" s="7" t="n">
        <v>10</v>
      </c>
      <c r="G12227" s="7" t="n">
        <v>113.8</v>
      </c>
    </row>
    <row r="12228" customFormat="false" ht="15" hidden="false" customHeight="false" outlineLevel="0" collapsed="false">
      <c r="A12228" s="7" t="s">
        <v>31</v>
      </c>
      <c r="B12228" s="7" t="s">
        <v>416</v>
      </c>
      <c r="C12228" s="7" t="s">
        <v>1067</v>
      </c>
      <c r="D12228" s="7" t="n">
        <v>0</v>
      </c>
      <c r="E12228" s="7" t="n">
        <v>0</v>
      </c>
      <c r="F12228" s="7" t="n">
        <v>10</v>
      </c>
      <c r="G12228" s="7" t="n">
        <v>108.99</v>
      </c>
    </row>
    <row r="12229" customFormat="false" ht="15" hidden="false" customHeight="false" outlineLevel="0" collapsed="false">
      <c r="A12229" s="7" t="s">
        <v>31</v>
      </c>
      <c r="B12229" s="7" t="s">
        <v>416</v>
      </c>
      <c r="C12229" s="7" t="s">
        <v>1067</v>
      </c>
      <c r="D12229" s="7" t="n">
        <v>0</v>
      </c>
      <c r="E12229" s="7" t="n">
        <v>0</v>
      </c>
      <c r="F12229" s="7" t="n">
        <v>10</v>
      </c>
      <c r="G12229" s="7" t="n">
        <v>116.41</v>
      </c>
    </row>
    <row r="12230" customFormat="false" ht="15" hidden="false" customHeight="false" outlineLevel="0" collapsed="false">
      <c r="A12230" s="7" t="s">
        <v>31</v>
      </c>
      <c r="B12230" s="7" t="s">
        <v>947</v>
      </c>
      <c r="C12230" s="7" t="s">
        <v>1331</v>
      </c>
      <c r="D12230" s="7" t="n">
        <v>0</v>
      </c>
      <c r="E12230" s="7" t="n">
        <v>0</v>
      </c>
      <c r="F12230" s="7" t="n">
        <v>1</v>
      </c>
      <c r="G12230" s="7" t="n">
        <v>0.03</v>
      </c>
    </row>
    <row r="12231" customFormat="false" ht="15" hidden="false" customHeight="false" outlineLevel="0" collapsed="false">
      <c r="A12231" s="7" t="s">
        <v>31</v>
      </c>
      <c r="B12231" s="7" t="s">
        <v>934</v>
      </c>
      <c r="C12231" s="7" t="s">
        <v>1315</v>
      </c>
      <c r="D12231" s="7" t="n">
        <v>20</v>
      </c>
      <c r="E12231" s="7" t="n">
        <v>550.79</v>
      </c>
      <c r="F12231" s="7" t="n">
        <v>0</v>
      </c>
      <c r="G12231" s="7" t="n">
        <v>0</v>
      </c>
    </row>
    <row r="12232" customFormat="false" ht="15" hidden="false" customHeight="false" outlineLevel="0" collapsed="false">
      <c r="A12232" s="7" t="s">
        <v>31</v>
      </c>
      <c r="B12232" s="7" t="s">
        <v>934</v>
      </c>
      <c r="C12232" s="7" t="s">
        <v>1315</v>
      </c>
      <c r="D12232" s="7" t="n">
        <v>0</v>
      </c>
      <c r="E12232" s="7" t="n">
        <v>0</v>
      </c>
      <c r="F12232" s="7" t="n">
        <v>40</v>
      </c>
      <c r="G12232" s="7" t="n">
        <v>957.92</v>
      </c>
    </row>
    <row r="12233" customFormat="false" ht="15" hidden="false" customHeight="false" outlineLevel="0" collapsed="false">
      <c r="A12233" s="7" t="s">
        <v>31</v>
      </c>
      <c r="B12233" s="7" t="s">
        <v>934</v>
      </c>
      <c r="C12233" s="7" t="s">
        <v>1315</v>
      </c>
      <c r="D12233" s="7" t="n">
        <v>70</v>
      </c>
      <c r="E12233" s="7" t="n">
        <v>2024.61</v>
      </c>
      <c r="F12233" s="7" t="n">
        <v>0</v>
      </c>
      <c r="G12233" s="7" t="n">
        <v>0</v>
      </c>
    </row>
    <row r="12234" customFormat="false" ht="15" hidden="false" customHeight="false" outlineLevel="0" collapsed="false">
      <c r="A12234" s="7" t="s">
        <v>31</v>
      </c>
      <c r="B12234" s="7" t="s">
        <v>934</v>
      </c>
      <c r="C12234" s="7" t="s">
        <v>1315</v>
      </c>
      <c r="D12234" s="7" t="n">
        <v>0</v>
      </c>
      <c r="E12234" s="7" t="n">
        <v>0</v>
      </c>
      <c r="F12234" s="7" t="n">
        <v>30</v>
      </c>
      <c r="G12234" s="7" t="n">
        <v>767.28</v>
      </c>
    </row>
    <row r="12235" customFormat="false" ht="15" hidden="false" customHeight="false" outlineLevel="0" collapsed="false">
      <c r="A12235" s="7" t="s">
        <v>31</v>
      </c>
      <c r="B12235" s="7" t="s">
        <v>934</v>
      </c>
      <c r="C12235" s="7" t="s">
        <v>1315</v>
      </c>
      <c r="D12235" s="7" t="n">
        <v>0</v>
      </c>
      <c r="E12235" s="7" t="n">
        <v>0</v>
      </c>
      <c r="F12235" s="7" t="n">
        <v>40</v>
      </c>
      <c r="G12235" s="7" t="n">
        <v>953.51</v>
      </c>
    </row>
    <row r="12236" customFormat="false" ht="15" hidden="false" customHeight="false" outlineLevel="0" collapsed="false">
      <c r="A12236" s="7" t="s">
        <v>31</v>
      </c>
      <c r="B12236" s="7" t="s">
        <v>934</v>
      </c>
      <c r="C12236" s="7" t="s">
        <v>1315</v>
      </c>
      <c r="D12236" s="7" t="n">
        <v>40</v>
      </c>
      <c r="E12236" s="7" t="n">
        <v>1094.47</v>
      </c>
      <c r="F12236" s="7" t="n">
        <v>0</v>
      </c>
      <c r="G12236" s="7" t="n">
        <v>0</v>
      </c>
    </row>
    <row r="12237" customFormat="false" ht="15" hidden="false" customHeight="false" outlineLevel="0" collapsed="false">
      <c r="A12237" s="7" t="s">
        <v>31</v>
      </c>
      <c r="B12237" s="7" t="s">
        <v>934</v>
      </c>
      <c r="C12237" s="7" t="s">
        <v>1315</v>
      </c>
      <c r="D12237" s="7" t="n">
        <v>40</v>
      </c>
      <c r="E12237" s="7" t="n">
        <v>1055.64</v>
      </c>
      <c r="F12237" s="7" t="n">
        <v>0</v>
      </c>
      <c r="G12237" s="7" t="n">
        <v>0</v>
      </c>
    </row>
    <row r="12238" customFormat="false" ht="15" hidden="false" customHeight="false" outlineLevel="0" collapsed="false">
      <c r="A12238" s="7" t="s">
        <v>31</v>
      </c>
      <c r="B12238" s="7" t="s">
        <v>219</v>
      </c>
      <c r="C12238" s="7" t="s">
        <v>1263</v>
      </c>
      <c r="D12238" s="7" t="n">
        <v>15</v>
      </c>
      <c r="E12238" s="7" t="n">
        <v>332.34</v>
      </c>
      <c r="F12238" s="7" t="n">
        <v>0</v>
      </c>
      <c r="G12238" s="7" t="n">
        <v>0</v>
      </c>
    </row>
    <row r="12239" customFormat="false" ht="15" hidden="false" customHeight="false" outlineLevel="0" collapsed="false">
      <c r="A12239" s="7" t="s">
        <v>31</v>
      </c>
      <c r="B12239" s="7" t="s">
        <v>219</v>
      </c>
      <c r="C12239" s="7" t="s">
        <v>1263</v>
      </c>
      <c r="D12239" s="7" t="n">
        <v>0</v>
      </c>
      <c r="E12239" s="7" t="n">
        <v>0</v>
      </c>
      <c r="F12239" s="7" t="n">
        <v>6</v>
      </c>
      <c r="G12239" s="7" t="n">
        <v>128.94</v>
      </c>
    </row>
    <row r="12240" customFormat="false" ht="15" hidden="false" customHeight="false" outlineLevel="0" collapsed="false">
      <c r="A12240" s="7" t="s">
        <v>31</v>
      </c>
      <c r="B12240" s="7" t="s">
        <v>219</v>
      </c>
      <c r="C12240" s="7" t="s">
        <v>1263</v>
      </c>
      <c r="D12240" s="7" t="n">
        <v>0</v>
      </c>
      <c r="E12240" s="7" t="n">
        <v>0</v>
      </c>
      <c r="F12240" s="7" t="n">
        <v>10</v>
      </c>
      <c r="G12240" s="7" t="n">
        <v>201.05</v>
      </c>
    </row>
    <row r="12241" customFormat="false" ht="15" hidden="false" customHeight="false" outlineLevel="0" collapsed="false">
      <c r="A12241" s="7" t="s">
        <v>31</v>
      </c>
      <c r="B12241" s="7" t="s">
        <v>219</v>
      </c>
      <c r="C12241" s="7" t="s">
        <v>1263</v>
      </c>
      <c r="D12241" s="7" t="n">
        <v>6</v>
      </c>
      <c r="E12241" s="7" t="n">
        <v>137.89</v>
      </c>
      <c r="F12241" s="7" t="n">
        <v>0</v>
      </c>
      <c r="G12241" s="7" t="n">
        <v>0</v>
      </c>
    </row>
    <row r="12242" customFormat="false" ht="15" hidden="false" customHeight="false" outlineLevel="0" collapsed="false">
      <c r="A12242" s="7" t="s">
        <v>31</v>
      </c>
      <c r="B12242" s="7" t="s">
        <v>219</v>
      </c>
      <c r="C12242" s="7" t="s">
        <v>1263</v>
      </c>
      <c r="D12242" s="7" t="n">
        <v>30</v>
      </c>
      <c r="E12242" s="7" t="n">
        <v>728.56</v>
      </c>
      <c r="F12242" s="7" t="n">
        <v>0</v>
      </c>
      <c r="G12242" s="7" t="n">
        <v>0</v>
      </c>
    </row>
    <row r="12243" customFormat="false" ht="15" hidden="false" customHeight="false" outlineLevel="0" collapsed="false">
      <c r="A12243" s="7" t="s">
        <v>31</v>
      </c>
      <c r="B12243" s="7" t="s">
        <v>219</v>
      </c>
      <c r="C12243" s="7" t="s">
        <v>1263</v>
      </c>
      <c r="D12243" s="7" t="n">
        <v>0</v>
      </c>
      <c r="E12243" s="7" t="n">
        <v>0</v>
      </c>
      <c r="F12243" s="7" t="n">
        <v>15</v>
      </c>
      <c r="G12243" s="7" t="n">
        <v>315.01</v>
      </c>
    </row>
    <row r="12244" customFormat="false" ht="15" hidden="false" customHeight="false" outlineLevel="0" collapsed="false">
      <c r="A12244" s="7" t="s">
        <v>31</v>
      </c>
      <c r="B12244" s="7" t="s">
        <v>595</v>
      </c>
      <c r="C12244" s="7" t="s">
        <v>1118</v>
      </c>
      <c r="D12244" s="7" t="n">
        <v>0</v>
      </c>
      <c r="E12244" s="7" t="n">
        <v>0</v>
      </c>
      <c r="F12244" s="7" t="n">
        <v>70</v>
      </c>
      <c r="G12244" s="7" t="n">
        <v>1182.05</v>
      </c>
    </row>
    <row r="12245" customFormat="false" ht="15" hidden="false" customHeight="false" outlineLevel="0" collapsed="false">
      <c r="A12245" s="7" t="s">
        <v>31</v>
      </c>
      <c r="B12245" s="7" t="s">
        <v>595</v>
      </c>
      <c r="C12245" s="7" t="s">
        <v>1118</v>
      </c>
      <c r="D12245" s="7" t="n">
        <v>80</v>
      </c>
      <c r="E12245" s="7" t="n">
        <v>1553.51</v>
      </c>
      <c r="F12245" s="7" t="n">
        <v>0</v>
      </c>
      <c r="G12245" s="7" t="n">
        <v>0</v>
      </c>
    </row>
    <row r="12246" customFormat="false" ht="15" hidden="false" customHeight="false" outlineLevel="0" collapsed="false">
      <c r="A12246" s="7" t="s">
        <v>31</v>
      </c>
      <c r="B12246" s="7" t="s">
        <v>595</v>
      </c>
      <c r="C12246" s="7" t="s">
        <v>1118</v>
      </c>
      <c r="D12246" s="7" t="n">
        <v>50</v>
      </c>
      <c r="E12246" s="7" t="n">
        <v>923.97</v>
      </c>
      <c r="F12246" s="7" t="n">
        <v>0</v>
      </c>
      <c r="G12246" s="7" t="n">
        <v>0</v>
      </c>
    </row>
    <row r="12247" customFormat="false" ht="15" hidden="false" customHeight="false" outlineLevel="0" collapsed="false">
      <c r="A12247" s="7" t="s">
        <v>31</v>
      </c>
      <c r="B12247" s="7" t="s">
        <v>595</v>
      </c>
      <c r="C12247" s="7" t="s">
        <v>1118</v>
      </c>
      <c r="D12247" s="7" t="n">
        <v>10</v>
      </c>
      <c r="E12247" s="7" t="n">
        <v>203.95</v>
      </c>
      <c r="F12247" s="7" t="n">
        <v>0</v>
      </c>
      <c r="G12247" s="7" t="n">
        <v>0</v>
      </c>
    </row>
    <row r="12248" customFormat="false" ht="15" hidden="false" customHeight="false" outlineLevel="0" collapsed="false">
      <c r="A12248" s="7" t="s">
        <v>31</v>
      </c>
      <c r="B12248" s="7" t="s">
        <v>595</v>
      </c>
      <c r="C12248" s="7" t="s">
        <v>1118</v>
      </c>
      <c r="D12248" s="7" t="n">
        <v>0</v>
      </c>
      <c r="E12248" s="7" t="n">
        <v>0</v>
      </c>
      <c r="F12248" s="7" t="n">
        <v>20</v>
      </c>
      <c r="G12248" s="7" t="n">
        <v>360.68</v>
      </c>
    </row>
    <row r="12249" customFormat="false" ht="15" hidden="false" customHeight="false" outlineLevel="0" collapsed="false">
      <c r="A12249" s="7" t="s">
        <v>31</v>
      </c>
      <c r="B12249" s="7" t="s">
        <v>595</v>
      </c>
      <c r="C12249" s="7" t="s">
        <v>1118</v>
      </c>
      <c r="D12249" s="7" t="n">
        <v>0</v>
      </c>
      <c r="E12249" s="7" t="n">
        <v>0</v>
      </c>
      <c r="F12249" s="7" t="n">
        <v>100</v>
      </c>
      <c r="G12249" s="7" t="n">
        <v>1680.88</v>
      </c>
    </row>
    <row r="12250" customFormat="false" ht="15" hidden="false" customHeight="false" outlineLevel="0" collapsed="false">
      <c r="A12250" s="7" t="s">
        <v>31</v>
      </c>
      <c r="B12250" s="7" t="s">
        <v>595</v>
      </c>
      <c r="C12250" s="7" t="s">
        <v>1118</v>
      </c>
      <c r="D12250" s="7" t="n">
        <v>40</v>
      </c>
      <c r="E12250" s="7" t="n">
        <v>744.36</v>
      </c>
      <c r="F12250" s="7" t="n">
        <v>0</v>
      </c>
      <c r="G12250" s="7" t="n">
        <v>0</v>
      </c>
    </row>
    <row r="12251" customFormat="false" ht="15" hidden="false" customHeight="false" outlineLevel="0" collapsed="false">
      <c r="A12251" s="7" t="s">
        <v>31</v>
      </c>
      <c r="B12251" s="7" t="s">
        <v>595</v>
      </c>
      <c r="C12251" s="7" t="s">
        <v>1118</v>
      </c>
      <c r="D12251" s="7" t="n">
        <v>100</v>
      </c>
      <c r="E12251" s="7" t="n">
        <v>1929.37</v>
      </c>
      <c r="F12251" s="7" t="n">
        <v>0</v>
      </c>
      <c r="G12251" s="7" t="n">
        <v>0</v>
      </c>
    </row>
    <row r="12252" customFormat="false" ht="15" hidden="false" customHeight="false" outlineLevel="0" collapsed="false">
      <c r="A12252" s="7" t="s">
        <v>31</v>
      </c>
      <c r="B12252" s="7" t="s">
        <v>693</v>
      </c>
      <c r="C12252" s="7" t="s">
        <v>1118</v>
      </c>
      <c r="D12252" s="7" t="n">
        <v>0</v>
      </c>
      <c r="E12252" s="7" t="n">
        <v>0</v>
      </c>
      <c r="F12252" s="7" t="n">
        <v>100</v>
      </c>
      <c r="G12252" s="7" t="n">
        <v>1680.88</v>
      </c>
    </row>
    <row r="12253" customFormat="false" ht="15" hidden="false" customHeight="false" outlineLevel="0" collapsed="false">
      <c r="A12253" s="7" t="s">
        <v>31</v>
      </c>
      <c r="B12253" s="7" t="s">
        <v>693</v>
      </c>
      <c r="C12253" s="7" t="s">
        <v>1118</v>
      </c>
      <c r="D12253" s="7" t="n">
        <v>20</v>
      </c>
      <c r="E12253" s="7" t="n">
        <v>407.89</v>
      </c>
      <c r="F12253" s="7" t="n">
        <v>0</v>
      </c>
      <c r="G12253" s="7" t="n">
        <v>0</v>
      </c>
    </row>
    <row r="12254" customFormat="false" ht="15" hidden="false" customHeight="false" outlineLevel="0" collapsed="false">
      <c r="A12254" s="7" t="s">
        <v>31</v>
      </c>
      <c r="B12254" s="7" t="s">
        <v>693</v>
      </c>
      <c r="C12254" s="7" t="s">
        <v>1118</v>
      </c>
      <c r="D12254" s="7" t="n">
        <v>0</v>
      </c>
      <c r="E12254" s="7" t="n">
        <v>0</v>
      </c>
      <c r="F12254" s="7" t="n">
        <v>70</v>
      </c>
      <c r="G12254" s="7" t="n">
        <v>1182.05</v>
      </c>
    </row>
    <row r="12255" customFormat="false" ht="15" hidden="false" customHeight="false" outlineLevel="0" collapsed="false">
      <c r="A12255" s="7" t="s">
        <v>31</v>
      </c>
      <c r="B12255" s="7" t="s">
        <v>693</v>
      </c>
      <c r="C12255" s="7" t="s">
        <v>1118</v>
      </c>
      <c r="D12255" s="7" t="n">
        <v>50</v>
      </c>
      <c r="E12255" s="7" t="n">
        <v>930.46</v>
      </c>
      <c r="F12255" s="7" t="n">
        <v>0</v>
      </c>
      <c r="G12255" s="7" t="n">
        <v>0</v>
      </c>
    </row>
    <row r="12256" customFormat="false" ht="15" hidden="false" customHeight="false" outlineLevel="0" collapsed="false">
      <c r="A12256" s="7" t="s">
        <v>31</v>
      </c>
      <c r="B12256" s="7" t="s">
        <v>693</v>
      </c>
      <c r="C12256" s="7" t="s">
        <v>1118</v>
      </c>
      <c r="D12256" s="7" t="n">
        <v>0</v>
      </c>
      <c r="E12256" s="7" t="n">
        <v>0</v>
      </c>
      <c r="F12256" s="7" t="n">
        <v>10</v>
      </c>
      <c r="G12256" s="7" t="n">
        <v>176.31</v>
      </c>
    </row>
    <row r="12257" customFormat="false" ht="15" hidden="false" customHeight="false" outlineLevel="0" collapsed="false">
      <c r="A12257" s="7" t="s">
        <v>31</v>
      </c>
      <c r="B12257" s="7" t="s">
        <v>693</v>
      </c>
      <c r="C12257" s="7" t="s">
        <v>1118</v>
      </c>
      <c r="D12257" s="7" t="n">
        <v>0</v>
      </c>
      <c r="E12257" s="7" t="n">
        <v>0</v>
      </c>
      <c r="F12257" s="7" t="n">
        <v>30</v>
      </c>
      <c r="G12257" s="7" t="n">
        <v>541.03</v>
      </c>
    </row>
    <row r="12258" customFormat="false" ht="15" hidden="false" customHeight="false" outlineLevel="0" collapsed="false">
      <c r="A12258" s="7" t="s">
        <v>31</v>
      </c>
      <c r="B12258" s="7" t="s">
        <v>693</v>
      </c>
      <c r="C12258" s="7" t="s">
        <v>1118</v>
      </c>
      <c r="D12258" s="7" t="n">
        <v>120</v>
      </c>
      <c r="E12258" s="7" t="n">
        <v>2315.23</v>
      </c>
      <c r="F12258" s="7" t="n">
        <v>0</v>
      </c>
      <c r="G12258" s="7" t="n">
        <v>0</v>
      </c>
    </row>
    <row r="12259" customFormat="false" ht="15" hidden="false" customHeight="false" outlineLevel="0" collapsed="false">
      <c r="A12259" s="7" t="s">
        <v>31</v>
      </c>
      <c r="B12259" s="7" t="s">
        <v>693</v>
      </c>
      <c r="C12259" s="7" t="s">
        <v>1118</v>
      </c>
      <c r="D12259" s="7" t="n">
        <v>30</v>
      </c>
      <c r="E12259" s="7" t="n">
        <v>554.38</v>
      </c>
      <c r="F12259" s="7" t="n">
        <v>0</v>
      </c>
      <c r="G12259" s="7" t="n">
        <v>0</v>
      </c>
    </row>
    <row r="12260" customFormat="false" ht="15" hidden="false" customHeight="false" outlineLevel="0" collapsed="false">
      <c r="A12260" s="7" t="s">
        <v>31</v>
      </c>
      <c r="B12260" s="7" t="s">
        <v>692</v>
      </c>
      <c r="C12260" s="7" t="s">
        <v>1118</v>
      </c>
      <c r="D12260" s="7" t="n">
        <v>0</v>
      </c>
      <c r="E12260" s="7" t="n">
        <v>0</v>
      </c>
      <c r="F12260" s="7" t="n">
        <v>10</v>
      </c>
      <c r="G12260" s="7" t="n">
        <v>180.34</v>
      </c>
    </row>
    <row r="12261" customFormat="false" ht="15" hidden="false" customHeight="false" outlineLevel="0" collapsed="false">
      <c r="A12261" s="7" t="s">
        <v>31</v>
      </c>
      <c r="B12261" s="7" t="s">
        <v>692</v>
      </c>
      <c r="C12261" s="7" t="s">
        <v>1118</v>
      </c>
      <c r="D12261" s="7" t="n">
        <v>10</v>
      </c>
      <c r="E12261" s="7" t="n">
        <v>184.8</v>
      </c>
      <c r="F12261" s="7" t="n">
        <v>0</v>
      </c>
      <c r="G12261" s="7" t="n">
        <v>0</v>
      </c>
    </row>
    <row r="12262" customFormat="false" ht="15" hidden="false" customHeight="false" outlineLevel="0" collapsed="false">
      <c r="A12262" s="7" t="s">
        <v>31</v>
      </c>
      <c r="B12262" s="7" t="s">
        <v>692</v>
      </c>
      <c r="C12262" s="7" t="s">
        <v>1118</v>
      </c>
      <c r="D12262" s="7" t="n">
        <v>6</v>
      </c>
      <c r="E12262" s="7" t="n">
        <v>122.36</v>
      </c>
      <c r="F12262" s="7" t="n">
        <v>0</v>
      </c>
      <c r="G12262" s="7" t="n">
        <v>0</v>
      </c>
    </row>
    <row r="12263" customFormat="false" ht="15" hidden="false" customHeight="false" outlineLevel="0" collapsed="false">
      <c r="A12263" s="7" t="s">
        <v>31</v>
      </c>
      <c r="B12263" s="7" t="s">
        <v>692</v>
      </c>
      <c r="C12263" s="7" t="s">
        <v>1118</v>
      </c>
      <c r="D12263" s="7" t="n">
        <v>0</v>
      </c>
      <c r="E12263" s="7" t="n">
        <v>0</v>
      </c>
      <c r="F12263" s="7" t="n">
        <v>10</v>
      </c>
      <c r="G12263" s="7" t="n">
        <v>168.08</v>
      </c>
    </row>
    <row r="12264" customFormat="false" ht="15" hidden="false" customHeight="false" outlineLevel="0" collapsed="false">
      <c r="A12264" s="7" t="s">
        <v>31</v>
      </c>
      <c r="B12264" s="7" t="s">
        <v>692</v>
      </c>
      <c r="C12264" s="7" t="s">
        <v>1118</v>
      </c>
      <c r="D12264" s="7" t="n">
        <v>0</v>
      </c>
      <c r="E12264" s="7" t="n">
        <v>0</v>
      </c>
      <c r="F12264" s="7" t="n">
        <v>20</v>
      </c>
      <c r="G12264" s="7" t="n">
        <v>337.73</v>
      </c>
    </row>
    <row r="12265" customFormat="false" ht="15" hidden="false" customHeight="false" outlineLevel="0" collapsed="false">
      <c r="A12265" s="7" t="s">
        <v>31</v>
      </c>
      <c r="B12265" s="7" t="s">
        <v>692</v>
      </c>
      <c r="C12265" s="7" t="s">
        <v>1118</v>
      </c>
      <c r="D12265" s="7" t="n">
        <v>20</v>
      </c>
      <c r="E12265" s="7" t="n">
        <v>372.18</v>
      </c>
      <c r="F12265" s="7" t="n">
        <v>0</v>
      </c>
      <c r="G12265" s="7" t="n">
        <v>0</v>
      </c>
    </row>
    <row r="12266" customFormat="false" ht="15" hidden="false" customHeight="false" outlineLevel="0" collapsed="false">
      <c r="A12266" s="7" t="s">
        <v>31</v>
      </c>
      <c r="B12266" s="7" t="s">
        <v>692</v>
      </c>
      <c r="C12266" s="7" t="s">
        <v>1118</v>
      </c>
      <c r="D12266" s="7" t="n">
        <v>20</v>
      </c>
      <c r="E12266" s="7" t="n">
        <v>385.87</v>
      </c>
      <c r="F12266" s="7" t="n">
        <v>0</v>
      </c>
      <c r="G12266" s="7" t="n">
        <v>0</v>
      </c>
    </row>
    <row r="12267" customFormat="false" ht="15" hidden="false" customHeight="false" outlineLevel="0" collapsed="false">
      <c r="A12267" s="7" t="s">
        <v>31</v>
      </c>
      <c r="B12267" s="7" t="s">
        <v>533</v>
      </c>
      <c r="C12267" s="7" t="s">
        <v>1118</v>
      </c>
      <c r="D12267" s="7" t="n">
        <v>10</v>
      </c>
      <c r="E12267" s="7" t="n">
        <v>184.8</v>
      </c>
      <c r="F12267" s="7" t="n">
        <v>0</v>
      </c>
      <c r="G12267" s="7" t="n">
        <v>0</v>
      </c>
    </row>
    <row r="12268" customFormat="false" ht="15" hidden="false" customHeight="false" outlineLevel="0" collapsed="false">
      <c r="A12268" s="7" t="s">
        <v>31</v>
      </c>
      <c r="B12268" s="7" t="s">
        <v>533</v>
      </c>
      <c r="C12268" s="7" t="s">
        <v>1118</v>
      </c>
      <c r="D12268" s="7" t="n">
        <v>0</v>
      </c>
      <c r="E12268" s="7" t="n">
        <v>0</v>
      </c>
      <c r="F12268" s="7" t="n">
        <v>10</v>
      </c>
      <c r="G12268" s="7" t="n">
        <v>176.31</v>
      </c>
    </row>
    <row r="12269" customFormat="false" ht="15" hidden="false" customHeight="false" outlineLevel="0" collapsed="false">
      <c r="A12269" s="7" t="s">
        <v>31</v>
      </c>
      <c r="B12269" s="7" t="s">
        <v>533</v>
      </c>
      <c r="C12269" s="7" t="s">
        <v>1118</v>
      </c>
      <c r="D12269" s="7" t="n">
        <v>10</v>
      </c>
      <c r="E12269" s="7" t="n">
        <v>186.09</v>
      </c>
      <c r="F12269" s="7" t="n">
        <v>0</v>
      </c>
      <c r="G12269" s="7" t="n">
        <v>0</v>
      </c>
    </row>
    <row r="12270" customFormat="false" ht="15" hidden="false" customHeight="false" outlineLevel="0" collapsed="false">
      <c r="A12270" s="7" t="s">
        <v>31</v>
      </c>
      <c r="B12270" s="7" t="s">
        <v>533</v>
      </c>
      <c r="C12270" s="7" t="s">
        <v>1118</v>
      </c>
      <c r="D12270" s="7" t="n">
        <v>0</v>
      </c>
      <c r="E12270" s="7" t="n">
        <v>0</v>
      </c>
      <c r="F12270" s="7" t="n">
        <v>10</v>
      </c>
      <c r="G12270" s="7" t="n">
        <v>168.87</v>
      </c>
    </row>
    <row r="12271" customFormat="false" ht="15" hidden="false" customHeight="false" outlineLevel="0" collapsed="false">
      <c r="A12271" s="7" t="s">
        <v>31</v>
      </c>
      <c r="B12271" s="7" t="s">
        <v>533</v>
      </c>
      <c r="C12271" s="7" t="s">
        <v>1118</v>
      </c>
      <c r="D12271" s="7" t="n">
        <v>30</v>
      </c>
      <c r="E12271" s="7" t="n">
        <v>578.81</v>
      </c>
      <c r="F12271" s="7" t="n">
        <v>0</v>
      </c>
      <c r="G12271" s="7" t="n">
        <v>0</v>
      </c>
    </row>
    <row r="12272" customFormat="false" ht="15" hidden="false" customHeight="false" outlineLevel="0" collapsed="false">
      <c r="A12272" s="7" t="s">
        <v>31</v>
      </c>
      <c r="B12272" s="7" t="s">
        <v>533</v>
      </c>
      <c r="C12272" s="7" t="s">
        <v>1118</v>
      </c>
      <c r="D12272" s="7" t="n">
        <v>0</v>
      </c>
      <c r="E12272" s="7" t="n">
        <v>0</v>
      </c>
      <c r="F12272" s="7" t="n">
        <v>6</v>
      </c>
      <c r="G12272" s="7" t="n">
        <v>100.85</v>
      </c>
    </row>
    <row r="12273" customFormat="false" ht="15" hidden="false" customHeight="false" outlineLevel="0" collapsed="false">
      <c r="A12273" s="7" t="s">
        <v>31</v>
      </c>
      <c r="B12273" s="7" t="s">
        <v>533</v>
      </c>
      <c r="C12273" s="7" t="s">
        <v>1118</v>
      </c>
      <c r="D12273" s="7" t="n">
        <v>0</v>
      </c>
      <c r="E12273" s="7" t="n">
        <v>0</v>
      </c>
      <c r="F12273" s="7" t="n">
        <v>6</v>
      </c>
      <c r="G12273" s="7" t="n">
        <v>108.21</v>
      </c>
    </row>
    <row r="12274" customFormat="false" ht="15" hidden="false" customHeight="false" outlineLevel="0" collapsed="false">
      <c r="A12274" s="7" t="s">
        <v>31</v>
      </c>
      <c r="B12274" s="7" t="s">
        <v>940</v>
      </c>
      <c r="C12274" s="7" t="s">
        <v>1161</v>
      </c>
      <c r="D12274" s="7" t="n">
        <v>0</v>
      </c>
      <c r="E12274" s="7" t="n">
        <v>0</v>
      </c>
      <c r="F12274" s="7" t="n">
        <v>6</v>
      </c>
      <c r="G12274" s="7" t="n">
        <v>184.64</v>
      </c>
    </row>
    <row r="12275" customFormat="false" ht="15" hidden="false" customHeight="false" outlineLevel="0" collapsed="false">
      <c r="A12275" s="7" t="s">
        <v>31</v>
      </c>
      <c r="B12275" s="7" t="s">
        <v>940</v>
      </c>
      <c r="C12275" s="7" t="s">
        <v>1161</v>
      </c>
      <c r="D12275" s="7" t="n">
        <v>0</v>
      </c>
      <c r="E12275" s="7" t="n">
        <v>0</v>
      </c>
      <c r="F12275" s="7" t="n">
        <v>2</v>
      </c>
      <c r="G12275" s="7" t="n">
        <v>62.95</v>
      </c>
    </row>
    <row r="12276" customFormat="false" ht="15" hidden="false" customHeight="false" outlineLevel="0" collapsed="false">
      <c r="A12276" s="7" t="s">
        <v>31</v>
      </c>
      <c r="B12276" s="7" t="s">
        <v>154</v>
      </c>
      <c r="C12276" s="7" t="s">
        <v>1162</v>
      </c>
      <c r="D12276" s="7" t="n">
        <v>0</v>
      </c>
      <c r="E12276" s="7" t="n">
        <v>0</v>
      </c>
      <c r="F12276" s="7" t="n">
        <v>1</v>
      </c>
      <c r="G12276" s="7" t="n">
        <v>0.03</v>
      </c>
    </row>
    <row r="12277" customFormat="false" ht="15" hidden="false" customHeight="false" outlineLevel="0" collapsed="false">
      <c r="A12277" s="7" t="s">
        <v>31</v>
      </c>
      <c r="B12277" s="7" t="s">
        <v>473</v>
      </c>
      <c r="C12277" s="7" t="s">
        <v>1164</v>
      </c>
      <c r="D12277" s="7" t="n">
        <v>0</v>
      </c>
      <c r="E12277" s="7" t="n">
        <v>0</v>
      </c>
      <c r="F12277" s="7" t="n">
        <v>30</v>
      </c>
      <c r="G12277" s="7" t="n">
        <v>285.53</v>
      </c>
    </row>
    <row r="12278" customFormat="false" ht="15" hidden="false" customHeight="false" outlineLevel="0" collapsed="false">
      <c r="A12278" s="7" t="s">
        <v>31</v>
      </c>
      <c r="B12278" s="7" t="s">
        <v>473</v>
      </c>
      <c r="C12278" s="7" t="s">
        <v>1164</v>
      </c>
      <c r="D12278" s="7" t="n">
        <v>20</v>
      </c>
      <c r="E12278" s="7" t="n">
        <v>209.77</v>
      </c>
      <c r="F12278" s="7" t="n">
        <v>0</v>
      </c>
      <c r="G12278" s="7" t="n">
        <v>0</v>
      </c>
    </row>
    <row r="12279" customFormat="false" ht="15" hidden="false" customHeight="false" outlineLevel="0" collapsed="false">
      <c r="A12279" s="7" t="s">
        <v>31</v>
      </c>
      <c r="B12279" s="7" t="s">
        <v>473</v>
      </c>
      <c r="C12279" s="7" t="s">
        <v>1164</v>
      </c>
      <c r="D12279" s="7" t="n">
        <v>50</v>
      </c>
      <c r="E12279" s="7" t="n">
        <v>543.73</v>
      </c>
      <c r="F12279" s="7" t="n">
        <v>0</v>
      </c>
      <c r="G12279" s="7" t="n">
        <v>0</v>
      </c>
    </row>
    <row r="12280" customFormat="false" ht="15" hidden="false" customHeight="false" outlineLevel="0" collapsed="false">
      <c r="A12280" s="7" t="s">
        <v>31</v>
      </c>
      <c r="B12280" s="7" t="s">
        <v>473</v>
      </c>
      <c r="C12280" s="7" t="s">
        <v>1164</v>
      </c>
      <c r="D12280" s="7" t="n">
        <v>0</v>
      </c>
      <c r="E12280" s="7" t="n">
        <v>0</v>
      </c>
      <c r="F12280" s="7" t="n">
        <v>15</v>
      </c>
      <c r="G12280" s="7" t="n">
        <v>152.47</v>
      </c>
    </row>
    <row r="12281" customFormat="false" ht="15" hidden="false" customHeight="false" outlineLevel="0" collapsed="false">
      <c r="A12281" s="7" t="s">
        <v>31</v>
      </c>
      <c r="B12281" s="7" t="s">
        <v>473</v>
      </c>
      <c r="C12281" s="7" t="s">
        <v>1164</v>
      </c>
      <c r="D12281" s="7" t="n">
        <v>10</v>
      </c>
      <c r="E12281" s="7" t="n">
        <v>104.16</v>
      </c>
      <c r="F12281" s="7" t="n">
        <v>0</v>
      </c>
      <c r="G12281" s="7" t="n">
        <v>0</v>
      </c>
    </row>
    <row r="12282" customFormat="false" ht="15" hidden="false" customHeight="false" outlineLevel="0" collapsed="false">
      <c r="A12282" s="7" t="s">
        <v>31</v>
      </c>
      <c r="B12282" s="7" t="s">
        <v>473</v>
      </c>
      <c r="C12282" s="7" t="s">
        <v>1164</v>
      </c>
      <c r="D12282" s="7" t="n">
        <v>0</v>
      </c>
      <c r="E12282" s="7" t="n">
        <v>0</v>
      </c>
      <c r="F12282" s="7" t="n">
        <v>10</v>
      </c>
      <c r="G12282" s="7" t="n">
        <v>99.38</v>
      </c>
    </row>
    <row r="12283" customFormat="false" ht="15" hidden="false" customHeight="false" outlineLevel="0" collapsed="false">
      <c r="A12283" s="7" t="s">
        <v>31</v>
      </c>
      <c r="B12283" s="7" t="s">
        <v>473</v>
      </c>
      <c r="C12283" s="7" t="s">
        <v>1164</v>
      </c>
      <c r="D12283" s="7" t="n">
        <v>10</v>
      </c>
      <c r="E12283" s="7" t="n">
        <v>109.45</v>
      </c>
      <c r="F12283" s="7" t="n">
        <v>0</v>
      </c>
      <c r="G12283" s="7" t="n">
        <v>0</v>
      </c>
    </row>
    <row r="12284" customFormat="false" ht="15" hidden="false" customHeight="false" outlineLevel="0" collapsed="false">
      <c r="A12284" s="7" t="s">
        <v>31</v>
      </c>
      <c r="B12284" s="7" t="s">
        <v>473</v>
      </c>
      <c r="C12284" s="7" t="s">
        <v>1164</v>
      </c>
      <c r="D12284" s="7" t="n">
        <v>0</v>
      </c>
      <c r="E12284" s="7" t="n">
        <v>0</v>
      </c>
      <c r="F12284" s="7" t="n">
        <v>20</v>
      </c>
      <c r="G12284" s="7" t="n">
        <v>189.48</v>
      </c>
    </row>
    <row r="12285" customFormat="false" ht="15" hidden="false" customHeight="false" outlineLevel="0" collapsed="false">
      <c r="A12285" s="7" t="s">
        <v>31</v>
      </c>
      <c r="B12285" s="7" t="s">
        <v>684</v>
      </c>
      <c r="C12285" s="7" t="s">
        <v>1164</v>
      </c>
      <c r="D12285" s="7" t="n">
        <v>0</v>
      </c>
      <c r="E12285" s="7" t="n">
        <v>0</v>
      </c>
      <c r="F12285" s="7" t="n">
        <v>30</v>
      </c>
      <c r="G12285" s="7" t="n">
        <v>285.53</v>
      </c>
    </row>
    <row r="12286" customFormat="false" ht="15" hidden="false" customHeight="false" outlineLevel="0" collapsed="false">
      <c r="A12286" s="7" t="s">
        <v>31</v>
      </c>
      <c r="B12286" s="7" t="s">
        <v>684</v>
      </c>
      <c r="C12286" s="7" t="s">
        <v>1164</v>
      </c>
      <c r="D12286" s="7" t="n">
        <v>40</v>
      </c>
      <c r="E12286" s="7" t="n">
        <v>459.8</v>
      </c>
      <c r="F12286" s="7" t="n">
        <v>0</v>
      </c>
      <c r="G12286" s="7" t="n">
        <v>0</v>
      </c>
    </row>
    <row r="12287" customFormat="false" ht="15" hidden="false" customHeight="false" outlineLevel="0" collapsed="false">
      <c r="A12287" s="7" t="s">
        <v>31</v>
      </c>
      <c r="B12287" s="7" t="s">
        <v>684</v>
      </c>
      <c r="C12287" s="7" t="s">
        <v>1164</v>
      </c>
      <c r="D12287" s="7" t="n">
        <v>30</v>
      </c>
      <c r="E12287" s="7" t="n">
        <v>326.24</v>
      </c>
      <c r="F12287" s="7" t="n">
        <v>0</v>
      </c>
      <c r="G12287" s="7" t="n">
        <v>0</v>
      </c>
    </row>
    <row r="12288" customFormat="false" ht="15" hidden="false" customHeight="false" outlineLevel="0" collapsed="false">
      <c r="A12288" s="7" t="s">
        <v>31</v>
      </c>
      <c r="B12288" s="7" t="s">
        <v>684</v>
      </c>
      <c r="C12288" s="7" t="s">
        <v>1164</v>
      </c>
      <c r="D12288" s="7" t="n">
        <v>15</v>
      </c>
      <c r="E12288" s="7" t="n">
        <v>156.23</v>
      </c>
      <c r="F12288" s="7" t="n">
        <v>0</v>
      </c>
      <c r="G12288" s="7" t="n">
        <v>0</v>
      </c>
    </row>
    <row r="12289" customFormat="false" ht="15" hidden="false" customHeight="false" outlineLevel="0" collapsed="false">
      <c r="A12289" s="7" t="s">
        <v>31</v>
      </c>
      <c r="B12289" s="7" t="s">
        <v>684</v>
      </c>
      <c r="C12289" s="7" t="s">
        <v>1164</v>
      </c>
      <c r="D12289" s="7" t="n">
        <v>0</v>
      </c>
      <c r="E12289" s="7" t="n">
        <v>0</v>
      </c>
      <c r="F12289" s="7" t="n">
        <v>40</v>
      </c>
      <c r="G12289" s="7" t="n">
        <v>378.96</v>
      </c>
    </row>
    <row r="12290" customFormat="false" ht="15" hidden="false" customHeight="false" outlineLevel="0" collapsed="false">
      <c r="A12290" s="7" t="s">
        <v>31</v>
      </c>
      <c r="B12290" s="7" t="s">
        <v>684</v>
      </c>
      <c r="C12290" s="7" t="s">
        <v>1164</v>
      </c>
      <c r="D12290" s="7" t="n">
        <v>60</v>
      </c>
      <c r="E12290" s="7" t="n">
        <v>629.33</v>
      </c>
      <c r="F12290" s="7" t="n">
        <v>0</v>
      </c>
      <c r="G12290" s="7" t="n">
        <v>0</v>
      </c>
    </row>
    <row r="12291" customFormat="false" ht="15" hidden="false" customHeight="false" outlineLevel="0" collapsed="false">
      <c r="A12291" s="7" t="s">
        <v>31</v>
      </c>
      <c r="B12291" s="7" t="s">
        <v>684</v>
      </c>
      <c r="C12291" s="7" t="s">
        <v>1164</v>
      </c>
      <c r="D12291" s="7" t="n">
        <v>0</v>
      </c>
      <c r="E12291" s="7" t="n">
        <v>0</v>
      </c>
      <c r="F12291" s="7" t="n">
        <v>15</v>
      </c>
      <c r="G12291" s="7" t="n">
        <v>152.47</v>
      </c>
    </row>
    <row r="12292" customFormat="false" ht="15" hidden="false" customHeight="false" outlineLevel="0" collapsed="false">
      <c r="A12292" s="7" t="s">
        <v>31</v>
      </c>
      <c r="B12292" s="7" t="s">
        <v>686</v>
      </c>
      <c r="C12292" s="7" t="s">
        <v>1164</v>
      </c>
      <c r="D12292" s="7" t="n">
        <v>0</v>
      </c>
      <c r="E12292" s="7" t="n">
        <v>0</v>
      </c>
      <c r="F12292" s="7" t="n">
        <v>20</v>
      </c>
      <c r="G12292" s="7" t="n">
        <v>190.36</v>
      </c>
    </row>
    <row r="12293" customFormat="false" ht="15" hidden="false" customHeight="false" outlineLevel="0" collapsed="false">
      <c r="A12293" s="7" t="s">
        <v>31</v>
      </c>
      <c r="B12293" s="7" t="s">
        <v>686</v>
      </c>
      <c r="C12293" s="7" t="s">
        <v>1164</v>
      </c>
      <c r="D12293" s="7" t="n">
        <v>15</v>
      </c>
      <c r="E12293" s="7" t="n">
        <v>163.12</v>
      </c>
      <c r="F12293" s="7" t="n">
        <v>0</v>
      </c>
      <c r="G12293" s="7" t="n">
        <v>0</v>
      </c>
    </row>
    <row r="12294" customFormat="false" ht="15" hidden="false" customHeight="false" outlineLevel="0" collapsed="false">
      <c r="A12294" s="7" t="s">
        <v>31</v>
      </c>
      <c r="B12294" s="7" t="s">
        <v>686</v>
      </c>
      <c r="C12294" s="7" t="s">
        <v>1164</v>
      </c>
      <c r="D12294" s="7" t="n">
        <v>0</v>
      </c>
      <c r="E12294" s="7" t="n">
        <v>0</v>
      </c>
      <c r="F12294" s="7" t="n">
        <v>10</v>
      </c>
      <c r="G12294" s="7" t="n">
        <v>101.65</v>
      </c>
    </row>
    <row r="12295" customFormat="false" ht="15" hidden="false" customHeight="false" outlineLevel="0" collapsed="false">
      <c r="A12295" s="7" t="s">
        <v>31</v>
      </c>
      <c r="B12295" s="7" t="s">
        <v>686</v>
      </c>
      <c r="C12295" s="7" t="s">
        <v>1164</v>
      </c>
      <c r="D12295" s="7" t="n">
        <v>20</v>
      </c>
      <c r="E12295" s="7" t="n">
        <v>209.77</v>
      </c>
      <c r="F12295" s="7" t="n">
        <v>0</v>
      </c>
      <c r="G12295" s="7" t="n">
        <v>0</v>
      </c>
    </row>
    <row r="12296" customFormat="false" ht="15" hidden="false" customHeight="false" outlineLevel="0" collapsed="false">
      <c r="A12296" s="7" t="s">
        <v>31</v>
      </c>
      <c r="B12296" s="7" t="s">
        <v>686</v>
      </c>
      <c r="C12296" s="7" t="s">
        <v>1164</v>
      </c>
      <c r="D12296" s="7" t="n">
        <v>0</v>
      </c>
      <c r="E12296" s="7" t="n">
        <v>0</v>
      </c>
      <c r="F12296" s="7" t="n">
        <v>20</v>
      </c>
      <c r="G12296" s="7" t="n">
        <v>189.48</v>
      </c>
    </row>
    <row r="12297" customFormat="false" ht="15" hidden="false" customHeight="false" outlineLevel="0" collapsed="false">
      <c r="A12297" s="7" t="s">
        <v>31</v>
      </c>
      <c r="B12297" s="7" t="s">
        <v>686</v>
      </c>
      <c r="C12297" s="7" t="s">
        <v>1164</v>
      </c>
      <c r="D12297" s="7" t="n">
        <v>0</v>
      </c>
      <c r="E12297" s="7" t="n">
        <v>0</v>
      </c>
      <c r="F12297" s="7" t="n">
        <v>10</v>
      </c>
      <c r="G12297" s="7" t="n">
        <v>99.38</v>
      </c>
    </row>
    <row r="12298" customFormat="false" ht="15" hidden="false" customHeight="false" outlineLevel="0" collapsed="false">
      <c r="A12298" s="7" t="s">
        <v>31</v>
      </c>
      <c r="B12298" s="7" t="s">
        <v>681</v>
      </c>
      <c r="C12298" s="7" t="s">
        <v>1164</v>
      </c>
      <c r="D12298" s="7" t="n">
        <v>6</v>
      </c>
      <c r="E12298" s="7" t="n">
        <v>62.5</v>
      </c>
      <c r="F12298" s="7" t="n">
        <v>0</v>
      </c>
      <c r="G12298" s="7" t="n">
        <v>0</v>
      </c>
    </row>
    <row r="12299" customFormat="false" ht="15" hidden="false" customHeight="false" outlineLevel="0" collapsed="false">
      <c r="A12299" s="7" t="s">
        <v>31</v>
      </c>
      <c r="B12299" s="7" t="s">
        <v>681</v>
      </c>
      <c r="C12299" s="7" t="s">
        <v>1164</v>
      </c>
      <c r="D12299" s="7" t="n">
        <v>0</v>
      </c>
      <c r="E12299" s="7" t="n">
        <v>0</v>
      </c>
      <c r="F12299" s="7" t="n">
        <v>10</v>
      </c>
      <c r="G12299" s="7" t="n">
        <v>101.65</v>
      </c>
    </row>
    <row r="12300" customFormat="false" ht="15" hidden="false" customHeight="false" outlineLevel="0" collapsed="false">
      <c r="A12300" s="7" t="s">
        <v>31</v>
      </c>
      <c r="B12300" s="7" t="s">
        <v>681</v>
      </c>
      <c r="C12300" s="7" t="s">
        <v>1164</v>
      </c>
      <c r="D12300" s="7" t="n">
        <v>20</v>
      </c>
      <c r="E12300" s="7" t="n">
        <v>229.91</v>
      </c>
      <c r="F12300" s="7" t="n">
        <v>0</v>
      </c>
      <c r="G12300" s="7" t="n">
        <v>0</v>
      </c>
    </row>
    <row r="12301" customFormat="false" ht="15" hidden="false" customHeight="false" outlineLevel="0" collapsed="false">
      <c r="A12301" s="7" t="s">
        <v>31</v>
      </c>
      <c r="B12301" s="7" t="s">
        <v>681</v>
      </c>
      <c r="C12301" s="7" t="s">
        <v>1164</v>
      </c>
      <c r="D12301" s="7" t="n">
        <v>20</v>
      </c>
      <c r="E12301" s="7" t="n">
        <v>218.91</v>
      </c>
      <c r="F12301" s="7" t="n">
        <v>0</v>
      </c>
      <c r="G12301" s="7" t="n">
        <v>0</v>
      </c>
    </row>
    <row r="12302" customFormat="false" ht="15" hidden="false" customHeight="false" outlineLevel="0" collapsed="false">
      <c r="A12302" s="7" t="s">
        <v>31</v>
      </c>
      <c r="B12302" s="7" t="s">
        <v>681</v>
      </c>
      <c r="C12302" s="7" t="s">
        <v>1164</v>
      </c>
      <c r="D12302" s="7" t="n">
        <v>0</v>
      </c>
      <c r="E12302" s="7" t="n">
        <v>0</v>
      </c>
      <c r="F12302" s="7" t="n">
        <v>6</v>
      </c>
      <c r="G12302" s="7" t="n">
        <v>57.11</v>
      </c>
    </row>
    <row r="12303" customFormat="false" ht="15" hidden="false" customHeight="false" outlineLevel="0" collapsed="false">
      <c r="A12303" s="7" t="s">
        <v>31</v>
      </c>
      <c r="B12303" s="7" t="s">
        <v>681</v>
      </c>
      <c r="C12303" s="7" t="s">
        <v>1164</v>
      </c>
      <c r="D12303" s="7" t="n">
        <v>10</v>
      </c>
      <c r="E12303" s="7" t="n">
        <v>104.89</v>
      </c>
      <c r="F12303" s="7" t="n">
        <v>0</v>
      </c>
      <c r="G12303" s="7" t="n">
        <v>0</v>
      </c>
    </row>
    <row r="12304" customFormat="false" ht="15" hidden="false" customHeight="false" outlineLevel="0" collapsed="false">
      <c r="A12304" s="7" t="s">
        <v>31</v>
      </c>
      <c r="B12304" s="7" t="s">
        <v>811</v>
      </c>
      <c r="C12304" s="7" t="s">
        <v>1164</v>
      </c>
      <c r="D12304" s="7" t="n">
        <v>6</v>
      </c>
      <c r="E12304" s="7" t="n">
        <v>68.97</v>
      </c>
      <c r="F12304" s="7" t="n">
        <v>0</v>
      </c>
      <c r="G12304" s="7" t="n">
        <v>0</v>
      </c>
    </row>
    <row r="12305" customFormat="false" ht="15" hidden="false" customHeight="false" outlineLevel="0" collapsed="false">
      <c r="A12305" s="7" t="s">
        <v>31</v>
      </c>
      <c r="B12305" s="7" t="s">
        <v>811</v>
      </c>
      <c r="C12305" s="7" t="s">
        <v>1164</v>
      </c>
      <c r="D12305" s="7" t="n">
        <v>0</v>
      </c>
      <c r="E12305" s="7" t="n">
        <v>0</v>
      </c>
      <c r="F12305" s="7" t="n">
        <v>6</v>
      </c>
      <c r="G12305" s="7" t="n">
        <v>56.84</v>
      </c>
    </row>
    <row r="12306" customFormat="false" ht="15" hidden="false" customHeight="false" outlineLevel="0" collapsed="false">
      <c r="A12306" s="7" t="s">
        <v>31</v>
      </c>
      <c r="B12306" s="7" t="s">
        <v>811</v>
      </c>
      <c r="C12306" s="7" t="s">
        <v>1164</v>
      </c>
      <c r="D12306" s="7" t="n">
        <v>0</v>
      </c>
      <c r="E12306" s="7" t="n">
        <v>0</v>
      </c>
      <c r="F12306" s="7" t="n">
        <v>6</v>
      </c>
      <c r="G12306" s="7" t="n">
        <v>57.11</v>
      </c>
    </row>
    <row r="12307" customFormat="false" ht="15" hidden="false" customHeight="false" outlineLevel="0" collapsed="false">
      <c r="A12307" s="7" t="s">
        <v>31</v>
      </c>
      <c r="B12307" s="7" t="s">
        <v>437</v>
      </c>
      <c r="C12307" s="7" t="s">
        <v>1268</v>
      </c>
      <c r="D12307" s="7" t="n">
        <v>0</v>
      </c>
      <c r="E12307" s="7" t="n">
        <v>0</v>
      </c>
      <c r="F12307" s="7" t="n">
        <v>150</v>
      </c>
      <c r="G12307" s="7" t="n">
        <v>5157.22</v>
      </c>
    </row>
    <row r="12308" customFormat="false" ht="15" hidden="false" customHeight="false" outlineLevel="0" collapsed="false">
      <c r="A12308" s="7" t="s">
        <v>31</v>
      </c>
      <c r="B12308" s="7" t="s">
        <v>437</v>
      </c>
      <c r="C12308" s="7" t="s">
        <v>1268</v>
      </c>
      <c r="D12308" s="7" t="n">
        <v>0</v>
      </c>
      <c r="E12308" s="7" t="n">
        <v>0</v>
      </c>
      <c r="F12308" s="7" t="n">
        <v>160</v>
      </c>
      <c r="G12308" s="7" t="n">
        <v>5902.15</v>
      </c>
    </row>
    <row r="12309" customFormat="false" ht="15" hidden="false" customHeight="false" outlineLevel="0" collapsed="false">
      <c r="A12309" s="7" t="s">
        <v>31</v>
      </c>
      <c r="B12309" s="7" t="s">
        <v>437</v>
      </c>
      <c r="C12309" s="7" t="s">
        <v>1268</v>
      </c>
      <c r="D12309" s="7" t="n">
        <v>150</v>
      </c>
      <c r="E12309" s="7" t="n">
        <v>5919.63</v>
      </c>
      <c r="F12309" s="7" t="n">
        <v>0</v>
      </c>
      <c r="G12309" s="7" t="n">
        <v>0</v>
      </c>
    </row>
    <row r="12310" customFormat="false" ht="15" hidden="false" customHeight="false" outlineLevel="0" collapsed="false">
      <c r="A12310" s="7" t="s">
        <v>31</v>
      </c>
      <c r="B12310" s="7" t="s">
        <v>437</v>
      </c>
      <c r="C12310" s="7" t="s">
        <v>1268</v>
      </c>
      <c r="D12310" s="7" t="n">
        <v>0</v>
      </c>
      <c r="E12310" s="7" t="n">
        <v>0</v>
      </c>
      <c r="F12310" s="7" t="n">
        <v>100</v>
      </c>
      <c r="G12310" s="7" t="n">
        <v>3454.05</v>
      </c>
    </row>
    <row r="12311" customFormat="false" ht="15" hidden="false" customHeight="false" outlineLevel="0" collapsed="false">
      <c r="A12311" s="7" t="s">
        <v>31</v>
      </c>
      <c r="B12311" s="7" t="s">
        <v>437</v>
      </c>
      <c r="C12311" s="7" t="s">
        <v>1268</v>
      </c>
      <c r="D12311" s="7" t="n">
        <v>150</v>
      </c>
      <c r="E12311" s="7" t="n">
        <v>6257.4</v>
      </c>
      <c r="F12311" s="7" t="n">
        <v>0</v>
      </c>
      <c r="G12311" s="7" t="n">
        <v>0</v>
      </c>
    </row>
    <row r="12312" customFormat="false" ht="15" hidden="false" customHeight="false" outlineLevel="0" collapsed="false">
      <c r="A12312" s="7" t="s">
        <v>31</v>
      </c>
      <c r="B12312" s="7" t="s">
        <v>437</v>
      </c>
      <c r="C12312" s="7" t="s">
        <v>1268</v>
      </c>
      <c r="D12312" s="7" t="n">
        <v>250</v>
      </c>
      <c r="E12312" s="7" t="n">
        <v>9515.98</v>
      </c>
      <c r="F12312" s="7" t="n">
        <v>0</v>
      </c>
      <c r="G12312" s="7" t="n">
        <v>0</v>
      </c>
    </row>
    <row r="12313" customFormat="false" ht="15" hidden="false" customHeight="false" outlineLevel="0" collapsed="false">
      <c r="A12313" s="7" t="s">
        <v>31</v>
      </c>
      <c r="B12313" s="7" t="s">
        <v>437</v>
      </c>
      <c r="C12313" s="7" t="s">
        <v>1268</v>
      </c>
      <c r="D12313" s="7" t="n">
        <v>0</v>
      </c>
      <c r="E12313" s="7" t="n">
        <v>0</v>
      </c>
      <c r="F12313" s="7" t="n">
        <v>230</v>
      </c>
      <c r="G12313" s="7" t="n">
        <v>8294.54</v>
      </c>
    </row>
    <row r="12314" customFormat="false" ht="15" hidden="false" customHeight="false" outlineLevel="0" collapsed="false">
      <c r="A12314" s="7" t="s">
        <v>31</v>
      </c>
      <c r="B12314" s="7" t="s">
        <v>300</v>
      </c>
      <c r="C12314" s="7" t="s">
        <v>1182</v>
      </c>
      <c r="D12314" s="7" t="n">
        <v>100</v>
      </c>
      <c r="E12314" s="7" t="n">
        <v>3292.69</v>
      </c>
      <c r="F12314" s="7" t="n">
        <v>0</v>
      </c>
      <c r="G12314" s="7" t="n">
        <v>0</v>
      </c>
    </row>
    <row r="12315" customFormat="false" ht="15" hidden="false" customHeight="false" outlineLevel="0" collapsed="false">
      <c r="A12315" s="7" t="s">
        <v>31</v>
      </c>
      <c r="B12315" s="7" t="s">
        <v>300</v>
      </c>
      <c r="C12315" s="7" t="s">
        <v>1182</v>
      </c>
      <c r="D12315" s="7" t="n">
        <v>80</v>
      </c>
      <c r="E12315" s="7" t="n">
        <v>2652.63</v>
      </c>
      <c r="F12315" s="7" t="n">
        <v>0</v>
      </c>
      <c r="G12315" s="7" t="n">
        <v>0</v>
      </c>
    </row>
    <row r="12316" customFormat="false" ht="15" hidden="false" customHeight="false" outlineLevel="0" collapsed="false">
      <c r="A12316" s="7" t="s">
        <v>31</v>
      </c>
      <c r="B12316" s="7" t="s">
        <v>300</v>
      </c>
      <c r="C12316" s="7" t="s">
        <v>1182</v>
      </c>
      <c r="D12316" s="7" t="n">
        <v>90</v>
      </c>
      <c r="E12316" s="7" t="n">
        <v>3270.54</v>
      </c>
      <c r="F12316" s="7" t="n">
        <v>0</v>
      </c>
      <c r="G12316" s="7" t="n">
        <v>0</v>
      </c>
    </row>
    <row r="12317" customFormat="false" ht="15" hidden="false" customHeight="false" outlineLevel="0" collapsed="false">
      <c r="A12317" s="7" t="s">
        <v>31</v>
      </c>
      <c r="B12317" s="7" t="s">
        <v>300</v>
      </c>
      <c r="C12317" s="7" t="s">
        <v>1182</v>
      </c>
      <c r="D12317" s="7" t="n">
        <v>70</v>
      </c>
      <c r="E12317" s="7" t="n">
        <v>2422.06</v>
      </c>
      <c r="F12317" s="7" t="n">
        <v>0</v>
      </c>
      <c r="G12317" s="7" t="n">
        <v>0</v>
      </c>
    </row>
    <row r="12318" customFormat="false" ht="15" hidden="false" customHeight="false" outlineLevel="0" collapsed="false">
      <c r="A12318" s="7" t="s">
        <v>31</v>
      </c>
      <c r="B12318" s="7" t="s">
        <v>300</v>
      </c>
      <c r="C12318" s="7" t="s">
        <v>1182</v>
      </c>
      <c r="D12318" s="7" t="n">
        <v>0</v>
      </c>
      <c r="E12318" s="7" t="n">
        <v>0</v>
      </c>
      <c r="F12318" s="7" t="n">
        <v>40</v>
      </c>
      <c r="G12318" s="7" t="n">
        <v>1198</v>
      </c>
    </row>
    <row r="12319" customFormat="false" ht="15" hidden="false" customHeight="false" outlineLevel="0" collapsed="false">
      <c r="A12319" s="7" t="s">
        <v>31</v>
      </c>
      <c r="B12319" s="7" t="s">
        <v>300</v>
      </c>
      <c r="C12319" s="7" t="s">
        <v>1182</v>
      </c>
      <c r="D12319" s="7" t="n">
        <v>0</v>
      </c>
      <c r="E12319" s="7" t="n">
        <v>0</v>
      </c>
      <c r="F12319" s="7" t="n">
        <v>70</v>
      </c>
      <c r="G12319" s="7" t="n">
        <v>2249.37</v>
      </c>
    </row>
    <row r="12320" customFormat="false" ht="15" hidden="false" customHeight="false" outlineLevel="0" collapsed="false">
      <c r="A12320" s="7" t="s">
        <v>31</v>
      </c>
      <c r="B12320" s="7" t="s">
        <v>300</v>
      </c>
      <c r="C12320" s="7" t="s">
        <v>1182</v>
      </c>
      <c r="D12320" s="7" t="n">
        <v>50</v>
      </c>
      <c r="E12320" s="7" t="n">
        <v>1718.88</v>
      </c>
      <c r="F12320" s="7" t="n">
        <v>0</v>
      </c>
      <c r="G12320" s="7" t="n">
        <v>0</v>
      </c>
    </row>
    <row r="12321" customFormat="false" ht="15" hidden="false" customHeight="false" outlineLevel="0" collapsed="false">
      <c r="A12321" s="7" t="s">
        <v>31</v>
      </c>
      <c r="B12321" s="7" t="s">
        <v>300</v>
      </c>
      <c r="C12321" s="7" t="s">
        <v>1182</v>
      </c>
      <c r="D12321" s="7" t="n">
        <v>0</v>
      </c>
      <c r="E12321" s="7" t="n">
        <v>0</v>
      </c>
      <c r="F12321" s="7" t="n">
        <v>50</v>
      </c>
      <c r="G12321" s="7" t="n">
        <v>1504.43</v>
      </c>
    </row>
    <row r="12322" customFormat="false" ht="15" hidden="false" customHeight="false" outlineLevel="0" collapsed="false">
      <c r="A12322" s="7" t="s">
        <v>31</v>
      </c>
      <c r="B12322" s="7" t="s">
        <v>300</v>
      </c>
      <c r="C12322" s="7" t="s">
        <v>1182</v>
      </c>
      <c r="D12322" s="7" t="n">
        <v>0</v>
      </c>
      <c r="E12322" s="7" t="n">
        <v>0</v>
      </c>
      <c r="F12322" s="7" t="n">
        <v>50</v>
      </c>
      <c r="G12322" s="7" t="n">
        <v>1570.75</v>
      </c>
    </row>
    <row r="12323" customFormat="false" ht="15" hidden="false" customHeight="false" outlineLevel="0" collapsed="false">
      <c r="A12323" s="7" t="s">
        <v>31</v>
      </c>
      <c r="B12323" s="7" t="s">
        <v>582</v>
      </c>
      <c r="C12323" s="7" t="s">
        <v>1269</v>
      </c>
      <c r="D12323" s="7" t="n">
        <v>300</v>
      </c>
      <c r="E12323" s="7" t="n">
        <v>4283.85</v>
      </c>
      <c r="F12323" s="7" t="n">
        <v>0</v>
      </c>
      <c r="G12323" s="7" t="n">
        <v>0</v>
      </c>
    </row>
    <row r="12324" customFormat="false" ht="15" hidden="false" customHeight="false" outlineLevel="0" collapsed="false">
      <c r="A12324" s="7" t="s">
        <v>31</v>
      </c>
      <c r="B12324" s="7" t="s">
        <v>582</v>
      </c>
      <c r="C12324" s="7" t="s">
        <v>1269</v>
      </c>
      <c r="D12324" s="7" t="n">
        <v>0</v>
      </c>
      <c r="E12324" s="7" t="n">
        <v>0</v>
      </c>
      <c r="F12324" s="7" t="n">
        <v>200</v>
      </c>
      <c r="G12324" s="7" t="n">
        <v>2724.78</v>
      </c>
    </row>
    <row r="12325" customFormat="false" ht="15" hidden="false" customHeight="false" outlineLevel="0" collapsed="false">
      <c r="A12325" s="7" t="s">
        <v>31</v>
      </c>
      <c r="B12325" s="7" t="s">
        <v>582</v>
      </c>
      <c r="C12325" s="7" t="s">
        <v>1269</v>
      </c>
      <c r="D12325" s="7" t="n">
        <v>200</v>
      </c>
      <c r="E12325" s="7" t="n">
        <v>3151.88</v>
      </c>
      <c r="F12325" s="7" t="n">
        <v>0</v>
      </c>
      <c r="G12325" s="7" t="n">
        <v>0</v>
      </c>
    </row>
    <row r="12326" customFormat="false" ht="15" hidden="false" customHeight="false" outlineLevel="0" collapsed="false">
      <c r="A12326" s="7" t="s">
        <v>31</v>
      </c>
      <c r="B12326" s="7" t="s">
        <v>582</v>
      </c>
      <c r="C12326" s="7" t="s">
        <v>1269</v>
      </c>
      <c r="D12326" s="7" t="n">
        <v>0</v>
      </c>
      <c r="E12326" s="7" t="n">
        <v>0</v>
      </c>
      <c r="F12326" s="7" t="n">
        <v>200</v>
      </c>
      <c r="G12326" s="7" t="n">
        <v>2609.72</v>
      </c>
    </row>
    <row r="12327" customFormat="false" ht="15" hidden="false" customHeight="false" outlineLevel="0" collapsed="false">
      <c r="A12327" s="7" t="s">
        <v>31</v>
      </c>
      <c r="B12327" s="7" t="s">
        <v>582</v>
      </c>
      <c r="C12327" s="7" t="s">
        <v>1269</v>
      </c>
      <c r="D12327" s="7" t="n">
        <v>180</v>
      </c>
      <c r="E12327" s="7" t="n">
        <v>2588.35</v>
      </c>
      <c r="F12327" s="7" t="n">
        <v>0</v>
      </c>
      <c r="G12327" s="7" t="n">
        <v>0</v>
      </c>
    </row>
    <row r="12328" customFormat="false" ht="15" hidden="false" customHeight="false" outlineLevel="0" collapsed="false">
      <c r="A12328" s="7" t="s">
        <v>31</v>
      </c>
      <c r="B12328" s="7" t="s">
        <v>582</v>
      </c>
      <c r="C12328" s="7" t="s">
        <v>1269</v>
      </c>
      <c r="D12328" s="7" t="n">
        <v>200</v>
      </c>
      <c r="E12328" s="7" t="n">
        <v>3001.09</v>
      </c>
      <c r="F12328" s="7" t="n">
        <v>0</v>
      </c>
      <c r="G12328" s="7" t="n">
        <v>0</v>
      </c>
    </row>
    <row r="12329" customFormat="false" ht="15" hidden="false" customHeight="false" outlineLevel="0" collapsed="false">
      <c r="A12329" s="7" t="s">
        <v>31</v>
      </c>
      <c r="B12329" s="7" t="s">
        <v>582</v>
      </c>
      <c r="C12329" s="7" t="s">
        <v>1269</v>
      </c>
      <c r="D12329" s="7" t="n">
        <v>0</v>
      </c>
      <c r="E12329" s="7" t="n">
        <v>0</v>
      </c>
      <c r="F12329" s="7" t="n">
        <v>350</v>
      </c>
      <c r="G12329" s="7" t="n">
        <v>4545.99</v>
      </c>
    </row>
    <row r="12330" customFormat="false" ht="15" hidden="false" customHeight="false" outlineLevel="0" collapsed="false">
      <c r="A12330" s="7" t="s">
        <v>31</v>
      </c>
      <c r="B12330" s="7" t="s">
        <v>582</v>
      </c>
      <c r="C12330" s="7" t="s">
        <v>1269</v>
      </c>
      <c r="D12330" s="7" t="n">
        <v>200</v>
      </c>
      <c r="E12330" s="7" t="n">
        <v>2981.74</v>
      </c>
      <c r="F12330" s="7" t="n">
        <v>0</v>
      </c>
      <c r="G12330" s="7" t="n">
        <v>0</v>
      </c>
    </row>
    <row r="12331" customFormat="false" ht="15" hidden="false" customHeight="false" outlineLevel="0" collapsed="false">
      <c r="A12331" s="7" t="s">
        <v>31</v>
      </c>
      <c r="B12331" s="7" t="s">
        <v>582</v>
      </c>
      <c r="C12331" s="7" t="s">
        <v>1269</v>
      </c>
      <c r="D12331" s="7" t="n">
        <v>0</v>
      </c>
      <c r="E12331" s="7" t="n">
        <v>0</v>
      </c>
      <c r="F12331" s="7" t="n">
        <v>240</v>
      </c>
      <c r="G12331" s="7" t="n">
        <v>3344.55</v>
      </c>
    </row>
    <row r="12332" customFormat="false" ht="15" hidden="false" customHeight="false" outlineLevel="0" collapsed="false">
      <c r="A12332" s="7" t="s">
        <v>31</v>
      </c>
      <c r="B12332" s="7" t="s">
        <v>174</v>
      </c>
      <c r="C12332" s="7" t="s">
        <v>1270</v>
      </c>
      <c r="D12332" s="7" t="n">
        <v>0</v>
      </c>
      <c r="E12332" s="7" t="n">
        <v>0</v>
      </c>
      <c r="F12332" s="7" t="n">
        <v>120</v>
      </c>
      <c r="G12332" s="7" t="n">
        <v>1961.84</v>
      </c>
    </row>
    <row r="12333" customFormat="false" ht="15" hidden="false" customHeight="false" outlineLevel="0" collapsed="false">
      <c r="A12333" s="7" t="s">
        <v>31</v>
      </c>
      <c r="B12333" s="7" t="s">
        <v>174</v>
      </c>
      <c r="C12333" s="7" t="s">
        <v>1270</v>
      </c>
      <c r="D12333" s="7" t="n">
        <v>90</v>
      </c>
      <c r="E12333" s="7" t="n">
        <v>1620.59</v>
      </c>
      <c r="F12333" s="7" t="n">
        <v>0</v>
      </c>
      <c r="G12333" s="7" t="n">
        <v>0</v>
      </c>
    </row>
    <row r="12334" customFormat="false" ht="15" hidden="false" customHeight="false" outlineLevel="0" collapsed="false">
      <c r="A12334" s="7" t="s">
        <v>31</v>
      </c>
      <c r="B12334" s="7" t="s">
        <v>174</v>
      </c>
      <c r="C12334" s="7" t="s">
        <v>1270</v>
      </c>
      <c r="D12334" s="7" t="n">
        <v>50</v>
      </c>
      <c r="E12334" s="7" t="n">
        <v>894.52</v>
      </c>
      <c r="F12334" s="7" t="n">
        <v>0</v>
      </c>
      <c r="G12334" s="7" t="n">
        <v>0</v>
      </c>
    </row>
    <row r="12335" customFormat="false" ht="15" hidden="false" customHeight="false" outlineLevel="0" collapsed="false">
      <c r="A12335" s="7" t="s">
        <v>31</v>
      </c>
      <c r="B12335" s="7" t="s">
        <v>174</v>
      </c>
      <c r="C12335" s="7" t="s">
        <v>1270</v>
      </c>
      <c r="D12335" s="7" t="n">
        <v>0</v>
      </c>
      <c r="E12335" s="7" t="n">
        <v>0</v>
      </c>
      <c r="F12335" s="7" t="n">
        <v>70</v>
      </c>
      <c r="G12335" s="7" t="n">
        <v>1170.59</v>
      </c>
    </row>
    <row r="12336" customFormat="false" ht="15" hidden="false" customHeight="false" outlineLevel="0" collapsed="false">
      <c r="A12336" s="7" t="s">
        <v>31</v>
      </c>
      <c r="B12336" s="7" t="s">
        <v>174</v>
      </c>
      <c r="C12336" s="7" t="s">
        <v>1270</v>
      </c>
      <c r="D12336" s="7" t="n">
        <v>80</v>
      </c>
      <c r="E12336" s="7" t="n">
        <v>1512.9</v>
      </c>
      <c r="F12336" s="7" t="n">
        <v>0</v>
      </c>
      <c r="G12336" s="7" t="n">
        <v>0</v>
      </c>
    </row>
    <row r="12337" customFormat="false" ht="15" hidden="false" customHeight="false" outlineLevel="0" collapsed="false">
      <c r="A12337" s="7" t="s">
        <v>31</v>
      </c>
      <c r="B12337" s="7" t="s">
        <v>174</v>
      </c>
      <c r="C12337" s="7" t="s">
        <v>1270</v>
      </c>
      <c r="D12337" s="7" t="n">
        <v>0</v>
      </c>
      <c r="E12337" s="7" t="n">
        <v>0</v>
      </c>
      <c r="F12337" s="7" t="n">
        <v>40</v>
      </c>
      <c r="G12337" s="7" t="n">
        <v>623.45</v>
      </c>
    </row>
    <row r="12338" customFormat="false" ht="15" hidden="false" customHeight="false" outlineLevel="0" collapsed="false">
      <c r="A12338" s="7" t="s">
        <v>31</v>
      </c>
      <c r="B12338" s="7" t="s">
        <v>174</v>
      </c>
      <c r="C12338" s="7" t="s">
        <v>1270</v>
      </c>
      <c r="D12338" s="7" t="n">
        <v>50</v>
      </c>
      <c r="E12338" s="7" t="n">
        <v>862.79</v>
      </c>
      <c r="F12338" s="7" t="n">
        <v>0</v>
      </c>
      <c r="G12338" s="7" t="n">
        <v>0</v>
      </c>
    </row>
    <row r="12339" customFormat="false" ht="15" hidden="false" customHeight="false" outlineLevel="0" collapsed="false">
      <c r="A12339" s="7" t="s">
        <v>31</v>
      </c>
      <c r="B12339" s="7" t="s">
        <v>174</v>
      </c>
      <c r="C12339" s="7" t="s">
        <v>1270</v>
      </c>
      <c r="D12339" s="7" t="n">
        <v>100</v>
      </c>
      <c r="E12339" s="7" t="n">
        <v>1713.54</v>
      </c>
      <c r="F12339" s="7" t="n">
        <v>0</v>
      </c>
      <c r="G12339" s="7" t="n">
        <v>0</v>
      </c>
    </row>
    <row r="12340" customFormat="false" ht="15" hidden="false" customHeight="false" outlineLevel="0" collapsed="false">
      <c r="A12340" s="7" t="s">
        <v>31</v>
      </c>
      <c r="B12340" s="7" t="s">
        <v>174</v>
      </c>
      <c r="C12340" s="7" t="s">
        <v>1270</v>
      </c>
      <c r="D12340" s="7" t="n">
        <v>0</v>
      </c>
      <c r="E12340" s="7" t="n">
        <v>0</v>
      </c>
      <c r="F12340" s="7" t="n">
        <v>40</v>
      </c>
      <c r="G12340" s="7" t="n">
        <v>626.34</v>
      </c>
    </row>
    <row r="12341" customFormat="false" ht="15" hidden="false" customHeight="false" outlineLevel="0" collapsed="false">
      <c r="A12341" s="7" t="s">
        <v>31</v>
      </c>
      <c r="B12341" s="7" t="s">
        <v>156</v>
      </c>
      <c r="C12341" s="7" t="s">
        <v>1270</v>
      </c>
      <c r="D12341" s="7" t="n">
        <v>0</v>
      </c>
      <c r="E12341" s="7" t="n">
        <v>0</v>
      </c>
      <c r="F12341" s="7" t="n">
        <v>170</v>
      </c>
      <c r="G12341" s="7" t="n">
        <v>2779.27</v>
      </c>
    </row>
    <row r="12342" customFormat="false" ht="15" hidden="false" customHeight="false" outlineLevel="0" collapsed="false">
      <c r="A12342" s="7" t="s">
        <v>31</v>
      </c>
      <c r="B12342" s="7" t="s">
        <v>156</v>
      </c>
      <c r="C12342" s="7" t="s">
        <v>1270</v>
      </c>
      <c r="D12342" s="7" t="n">
        <v>0</v>
      </c>
      <c r="E12342" s="7" t="n">
        <v>0</v>
      </c>
      <c r="F12342" s="7" t="n">
        <v>40</v>
      </c>
      <c r="G12342" s="7" t="n">
        <v>623.45</v>
      </c>
    </row>
    <row r="12343" customFormat="false" ht="15" hidden="false" customHeight="false" outlineLevel="0" collapsed="false">
      <c r="A12343" s="7" t="s">
        <v>31</v>
      </c>
      <c r="B12343" s="7" t="s">
        <v>156</v>
      </c>
      <c r="C12343" s="7" t="s">
        <v>1270</v>
      </c>
      <c r="D12343" s="7" t="n">
        <v>0</v>
      </c>
      <c r="E12343" s="7" t="n">
        <v>0</v>
      </c>
      <c r="F12343" s="7" t="n">
        <v>60</v>
      </c>
      <c r="G12343" s="7" t="n">
        <v>939.5</v>
      </c>
    </row>
    <row r="12344" customFormat="false" ht="15" hidden="false" customHeight="false" outlineLevel="0" collapsed="false">
      <c r="A12344" s="7" t="s">
        <v>31</v>
      </c>
      <c r="B12344" s="7" t="s">
        <v>156</v>
      </c>
      <c r="C12344" s="7" t="s">
        <v>1270</v>
      </c>
      <c r="D12344" s="7" t="n">
        <v>100</v>
      </c>
      <c r="E12344" s="7" t="n">
        <v>1891.13</v>
      </c>
      <c r="F12344" s="7" t="n">
        <v>0</v>
      </c>
      <c r="G12344" s="7" t="n">
        <v>0</v>
      </c>
    </row>
    <row r="12345" customFormat="false" ht="15" hidden="false" customHeight="false" outlineLevel="0" collapsed="false">
      <c r="A12345" s="7" t="s">
        <v>31</v>
      </c>
      <c r="B12345" s="7" t="s">
        <v>156</v>
      </c>
      <c r="C12345" s="7" t="s">
        <v>1270</v>
      </c>
      <c r="D12345" s="7" t="n">
        <v>80</v>
      </c>
      <c r="E12345" s="7" t="n">
        <v>1440.52</v>
      </c>
      <c r="F12345" s="7" t="n">
        <v>0</v>
      </c>
      <c r="G12345" s="7" t="n">
        <v>0</v>
      </c>
    </row>
    <row r="12346" customFormat="false" ht="15" hidden="false" customHeight="false" outlineLevel="0" collapsed="false">
      <c r="A12346" s="7" t="s">
        <v>31</v>
      </c>
      <c r="B12346" s="7" t="s">
        <v>156</v>
      </c>
      <c r="C12346" s="7" t="s">
        <v>1270</v>
      </c>
      <c r="D12346" s="7" t="n">
        <v>100</v>
      </c>
      <c r="E12346" s="7" t="n">
        <v>1713.54</v>
      </c>
      <c r="F12346" s="7" t="n">
        <v>0</v>
      </c>
      <c r="G12346" s="7" t="n">
        <v>0</v>
      </c>
    </row>
    <row r="12347" customFormat="false" ht="15" hidden="false" customHeight="false" outlineLevel="0" collapsed="false">
      <c r="A12347" s="7" t="s">
        <v>31</v>
      </c>
      <c r="B12347" s="7" t="s">
        <v>156</v>
      </c>
      <c r="C12347" s="7" t="s">
        <v>1270</v>
      </c>
      <c r="D12347" s="7" t="n">
        <v>80</v>
      </c>
      <c r="E12347" s="7" t="n">
        <v>1380.46</v>
      </c>
      <c r="F12347" s="7" t="n">
        <v>0</v>
      </c>
      <c r="G12347" s="7" t="n">
        <v>0</v>
      </c>
    </row>
    <row r="12348" customFormat="false" ht="15" hidden="false" customHeight="false" outlineLevel="0" collapsed="false">
      <c r="A12348" s="7" t="s">
        <v>31</v>
      </c>
      <c r="B12348" s="7" t="s">
        <v>156</v>
      </c>
      <c r="C12348" s="7" t="s">
        <v>1270</v>
      </c>
      <c r="D12348" s="7" t="n">
        <v>0</v>
      </c>
      <c r="E12348" s="7" t="n">
        <v>0</v>
      </c>
      <c r="F12348" s="7" t="n">
        <v>80</v>
      </c>
      <c r="G12348" s="7" t="n">
        <v>1337.82</v>
      </c>
    </row>
    <row r="12349" customFormat="false" ht="15" hidden="false" customHeight="false" outlineLevel="0" collapsed="false">
      <c r="A12349" s="7" t="s">
        <v>31</v>
      </c>
      <c r="B12349" s="7" t="s">
        <v>156</v>
      </c>
      <c r="C12349" s="7" t="s">
        <v>1270</v>
      </c>
      <c r="D12349" s="7" t="n">
        <v>40</v>
      </c>
      <c r="E12349" s="7" t="n">
        <v>715.62</v>
      </c>
      <c r="F12349" s="7" t="n">
        <v>0</v>
      </c>
      <c r="G12349" s="7" t="n">
        <v>0</v>
      </c>
    </row>
    <row r="12350" customFormat="false" ht="15" hidden="false" customHeight="false" outlineLevel="0" collapsed="false">
      <c r="A12350" s="7" t="s">
        <v>31</v>
      </c>
      <c r="B12350" s="7" t="s">
        <v>253</v>
      </c>
      <c r="C12350" s="7" t="s">
        <v>1142</v>
      </c>
      <c r="D12350" s="7" t="n">
        <v>0</v>
      </c>
      <c r="E12350" s="7" t="n">
        <v>0</v>
      </c>
      <c r="F12350" s="7" t="n">
        <v>250</v>
      </c>
      <c r="G12350" s="7" t="n">
        <v>3483.91</v>
      </c>
    </row>
    <row r="12351" customFormat="false" ht="15" hidden="false" customHeight="false" outlineLevel="0" collapsed="false">
      <c r="A12351" s="7" t="s">
        <v>31</v>
      </c>
      <c r="B12351" s="7" t="s">
        <v>253</v>
      </c>
      <c r="C12351" s="7" t="s">
        <v>1142</v>
      </c>
      <c r="D12351" s="7" t="n">
        <v>200</v>
      </c>
      <c r="E12351" s="7" t="n">
        <v>2981.74</v>
      </c>
      <c r="F12351" s="7" t="n">
        <v>0</v>
      </c>
      <c r="G12351" s="7" t="n">
        <v>0</v>
      </c>
    </row>
    <row r="12352" customFormat="false" ht="15" hidden="false" customHeight="false" outlineLevel="0" collapsed="false">
      <c r="A12352" s="7" t="s">
        <v>31</v>
      </c>
      <c r="B12352" s="7" t="s">
        <v>253</v>
      </c>
      <c r="C12352" s="7" t="s">
        <v>1142</v>
      </c>
      <c r="D12352" s="7" t="n">
        <v>100</v>
      </c>
      <c r="E12352" s="7" t="n">
        <v>1437.98</v>
      </c>
      <c r="F12352" s="7" t="n">
        <v>0</v>
      </c>
      <c r="G12352" s="7" t="n">
        <v>0</v>
      </c>
    </row>
    <row r="12353" customFormat="false" ht="15" hidden="false" customHeight="false" outlineLevel="0" collapsed="false">
      <c r="A12353" s="7" t="s">
        <v>31</v>
      </c>
      <c r="B12353" s="7" t="s">
        <v>253</v>
      </c>
      <c r="C12353" s="7" t="s">
        <v>1142</v>
      </c>
      <c r="D12353" s="7" t="n">
        <v>200</v>
      </c>
      <c r="E12353" s="7" t="n">
        <v>2855.9</v>
      </c>
      <c r="F12353" s="7" t="n">
        <v>0</v>
      </c>
      <c r="G12353" s="7" t="n">
        <v>0</v>
      </c>
    </row>
    <row r="12354" customFormat="false" ht="15" hidden="false" customHeight="false" outlineLevel="0" collapsed="false">
      <c r="A12354" s="7" t="s">
        <v>31</v>
      </c>
      <c r="B12354" s="7" t="s">
        <v>253</v>
      </c>
      <c r="C12354" s="7" t="s">
        <v>1142</v>
      </c>
      <c r="D12354" s="7" t="n">
        <v>0</v>
      </c>
      <c r="E12354" s="7" t="n">
        <v>0</v>
      </c>
      <c r="F12354" s="7" t="n">
        <v>150</v>
      </c>
      <c r="G12354" s="7" t="n">
        <v>1957.29</v>
      </c>
    </row>
    <row r="12355" customFormat="false" ht="15" hidden="false" customHeight="false" outlineLevel="0" collapsed="false">
      <c r="A12355" s="7" t="s">
        <v>31</v>
      </c>
      <c r="B12355" s="7" t="s">
        <v>253</v>
      </c>
      <c r="C12355" s="7" t="s">
        <v>1142</v>
      </c>
      <c r="D12355" s="7" t="n">
        <v>50</v>
      </c>
      <c r="E12355" s="7" t="n">
        <v>750.28</v>
      </c>
      <c r="F12355" s="7" t="n">
        <v>0</v>
      </c>
      <c r="G12355" s="7" t="n">
        <v>0</v>
      </c>
    </row>
    <row r="12356" customFormat="false" ht="15" hidden="false" customHeight="false" outlineLevel="0" collapsed="false">
      <c r="A12356" s="7" t="s">
        <v>31</v>
      </c>
      <c r="B12356" s="7" t="s">
        <v>253</v>
      </c>
      <c r="C12356" s="7" t="s">
        <v>1142</v>
      </c>
      <c r="D12356" s="7" t="n">
        <v>0</v>
      </c>
      <c r="E12356" s="7" t="n">
        <v>0</v>
      </c>
      <c r="F12356" s="7" t="n">
        <v>220</v>
      </c>
      <c r="G12356" s="7" t="n">
        <v>2997.25</v>
      </c>
    </row>
    <row r="12357" customFormat="false" ht="15" hidden="false" customHeight="false" outlineLevel="0" collapsed="false">
      <c r="A12357" s="7" t="s">
        <v>31</v>
      </c>
      <c r="B12357" s="7" t="s">
        <v>253</v>
      </c>
      <c r="C12357" s="7" t="s">
        <v>1142</v>
      </c>
      <c r="D12357" s="7" t="n">
        <v>0</v>
      </c>
      <c r="E12357" s="7" t="n">
        <v>0</v>
      </c>
      <c r="F12357" s="7" t="n">
        <v>250</v>
      </c>
      <c r="G12357" s="7" t="n">
        <v>3247.14</v>
      </c>
    </row>
    <row r="12358" customFormat="false" ht="15" hidden="false" customHeight="false" outlineLevel="0" collapsed="false">
      <c r="A12358" s="7" t="s">
        <v>31</v>
      </c>
      <c r="B12358" s="7" t="s">
        <v>253</v>
      </c>
      <c r="C12358" s="7" t="s">
        <v>1142</v>
      </c>
      <c r="D12358" s="7" t="n">
        <v>150</v>
      </c>
      <c r="E12358" s="7" t="n">
        <v>2363.9</v>
      </c>
      <c r="F12358" s="7" t="n">
        <v>0</v>
      </c>
      <c r="G12358" s="7" t="n">
        <v>0</v>
      </c>
    </row>
    <row r="12359" customFormat="false" ht="15" hidden="false" customHeight="false" outlineLevel="0" collapsed="false">
      <c r="A12359" s="7" t="s">
        <v>31</v>
      </c>
      <c r="B12359" s="7" t="s">
        <v>441</v>
      </c>
      <c r="C12359" s="7" t="s">
        <v>1185</v>
      </c>
      <c r="D12359" s="7" t="n">
        <v>0</v>
      </c>
      <c r="E12359" s="7" t="n">
        <v>0</v>
      </c>
      <c r="F12359" s="7" t="n">
        <v>50</v>
      </c>
      <c r="G12359" s="7" t="n">
        <v>860.73</v>
      </c>
    </row>
    <row r="12360" customFormat="false" ht="15" hidden="false" customHeight="false" outlineLevel="0" collapsed="false">
      <c r="A12360" s="7" t="s">
        <v>31</v>
      </c>
      <c r="B12360" s="7" t="s">
        <v>441</v>
      </c>
      <c r="C12360" s="7" t="s">
        <v>1185</v>
      </c>
      <c r="D12360" s="7" t="n">
        <v>0</v>
      </c>
      <c r="E12360" s="7" t="n">
        <v>0</v>
      </c>
      <c r="F12360" s="7" t="n">
        <v>60</v>
      </c>
      <c r="G12360" s="7" t="n">
        <v>2.04</v>
      </c>
    </row>
    <row r="12361" customFormat="false" ht="15" hidden="false" customHeight="false" outlineLevel="0" collapsed="false">
      <c r="A12361" s="7" t="s">
        <v>31</v>
      </c>
      <c r="B12361" s="7" t="s">
        <v>441</v>
      </c>
      <c r="C12361" s="7" t="s">
        <v>1185</v>
      </c>
      <c r="D12361" s="7" t="n">
        <v>0</v>
      </c>
      <c r="E12361" s="7" t="n">
        <v>0</v>
      </c>
      <c r="F12361" s="7" t="n">
        <v>150</v>
      </c>
      <c r="G12361" s="7" t="n">
        <v>2417.83</v>
      </c>
    </row>
    <row r="12362" customFormat="false" ht="15" hidden="false" customHeight="false" outlineLevel="0" collapsed="false">
      <c r="A12362" s="7" t="s">
        <v>31</v>
      </c>
      <c r="B12362" s="7" t="s">
        <v>441</v>
      </c>
      <c r="C12362" s="7" t="s">
        <v>1185</v>
      </c>
      <c r="D12362" s="7" t="n">
        <v>80</v>
      </c>
      <c r="E12362" s="7" t="n">
        <v>1473.33</v>
      </c>
      <c r="F12362" s="7" t="n">
        <v>0</v>
      </c>
      <c r="G12362" s="7" t="n">
        <v>0</v>
      </c>
    </row>
    <row r="12363" customFormat="false" ht="15" hidden="false" customHeight="false" outlineLevel="0" collapsed="false">
      <c r="A12363" s="7" t="s">
        <v>31</v>
      </c>
      <c r="B12363" s="7" t="s">
        <v>441</v>
      </c>
      <c r="C12363" s="7" t="s">
        <v>1185</v>
      </c>
      <c r="D12363" s="7" t="n">
        <v>0</v>
      </c>
      <c r="E12363" s="7" t="n">
        <v>0</v>
      </c>
      <c r="F12363" s="7" t="n">
        <v>70</v>
      </c>
      <c r="G12363" s="7" t="n">
        <v>1178.06</v>
      </c>
    </row>
    <row r="12364" customFormat="false" ht="15" hidden="false" customHeight="false" outlineLevel="0" collapsed="false">
      <c r="A12364" s="7" t="s">
        <v>31</v>
      </c>
      <c r="B12364" s="7" t="s">
        <v>441</v>
      </c>
      <c r="C12364" s="7" t="s">
        <v>1185</v>
      </c>
      <c r="D12364" s="7" t="n">
        <v>0</v>
      </c>
      <c r="E12364" s="7" t="n">
        <v>0</v>
      </c>
      <c r="F12364" s="7" t="n">
        <v>200</v>
      </c>
      <c r="G12364" s="7" t="n">
        <v>4174.68</v>
      </c>
    </row>
    <row r="12365" customFormat="false" ht="15" hidden="false" customHeight="false" outlineLevel="0" collapsed="false">
      <c r="A12365" s="7" t="s">
        <v>31</v>
      </c>
      <c r="B12365" s="7" t="s">
        <v>441</v>
      </c>
      <c r="C12365" s="7" t="s">
        <v>1185</v>
      </c>
      <c r="D12365" s="7" t="n">
        <v>100</v>
      </c>
      <c r="E12365" s="7" t="n">
        <v>1946.75</v>
      </c>
      <c r="F12365" s="7" t="n">
        <v>0</v>
      </c>
      <c r="G12365" s="7" t="n">
        <v>0</v>
      </c>
    </row>
    <row r="12366" customFormat="false" ht="15" hidden="false" customHeight="false" outlineLevel="0" collapsed="false">
      <c r="A12366" s="7" t="s">
        <v>31</v>
      </c>
      <c r="B12366" s="7" t="s">
        <v>441</v>
      </c>
      <c r="C12366" s="7" t="s">
        <v>1185</v>
      </c>
      <c r="D12366" s="7" t="n">
        <v>60</v>
      </c>
      <c r="E12366" s="7" t="n">
        <v>1112.17</v>
      </c>
      <c r="F12366" s="7" t="n">
        <v>0</v>
      </c>
      <c r="G12366" s="7" t="n">
        <v>0</v>
      </c>
    </row>
    <row r="12367" customFormat="false" ht="15" hidden="false" customHeight="false" outlineLevel="0" collapsed="false">
      <c r="A12367" s="7" t="s">
        <v>31</v>
      </c>
      <c r="B12367" s="7" t="s">
        <v>441</v>
      </c>
      <c r="C12367" s="7" t="s">
        <v>1185</v>
      </c>
      <c r="D12367" s="7" t="n">
        <v>60</v>
      </c>
      <c r="E12367" s="7" t="n">
        <v>1058.36</v>
      </c>
      <c r="F12367" s="7" t="n">
        <v>0</v>
      </c>
      <c r="G12367" s="7" t="n">
        <v>0</v>
      </c>
    </row>
    <row r="12368" customFormat="false" ht="15" hidden="false" customHeight="false" outlineLevel="0" collapsed="false">
      <c r="A12368" s="7" t="s">
        <v>31</v>
      </c>
      <c r="B12368" s="7" t="s">
        <v>441</v>
      </c>
      <c r="C12368" s="7" t="s">
        <v>1185</v>
      </c>
      <c r="D12368" s="7" t="n">
        <v>80</v>
      </c>
      <c r="E12368" s="7" t="n">
        <v>1421.06</v>
      </c>
      <c r="F12368" s="7" t="n">
        <v>0</v>
      </c>
      <c r="G12368" s="7" t="n">
        <v>0</v>
      </c>
    </row>
    <row r="12369" customFormat="false" ht="15" hidden="false" customHeight="false" outlineLevel="0" collapsed="false">
      <c r="A12369" s="7" t="s">
        <v>31</v>
      </c>
      <c r="B12369" s="7" t="s">
        <v>311</v>
      </c>
      <c r="C12369" s="7" t="s">
        <v>1272</v>
      </c>
      <c r="D12369" s="7" t="n">
        <v>100</v>
      </c>
      <c r="E12369" s="7" t="n">
        <v>4161.65</v>
      </c>
      <c r="F12369" s="7" t="n">
        <v>0</v>
      </c>
      <c r="G12369" s="7" t="n">
        <v>0</v>
      </c>
    </row>
    <row r="12370" customFormat="false" ht="15" hidden="false" customHeight="false" outlineLevel="0" collapsed="false">
      <c r="A12370" s="7" t="s">
        <v>31</v>
      </c>
      <c r="B12370" s="7" t="s">
        <v>311</v>
      </c>
      <c r="C12370" s="7" t="s">
        <v>1272</v>
      </c>
      <c r="D12370" s="7" t="n">
        <v>30</v>
      </c>
      <c r="E12370" s="7" t="n">
        <v>1294.42</v>
      </c>
      <c r="F12370" s="7" t="n">
        <v>0</v>
      </c>
      <c r="G12370" s="7" t="n">
        <v>0</v>
      </c>
    </row>
    <row r="12371" customFormat="false" ht="15" hidden="false" customHeight="false" outlineLevel="0" collapsed="false">
      <c r="A12371" s="7" t="s">
        <v>31</v>
      </c>
      <c r="B12371" s="7" t="s">
        <v>311</v>
      </c>
      <c r="C12371" s="7" t="s">
        <v>1272</v>
      </c>
      <c r="D12371" s="7" t="n">
        <v>0</v>
      </c>
      <c r="E12371" s="7" t="n">
        <v>0</v>
      </c>
      <c r="F12371" s="7" t="n">
        <v>130</v>
      </c>
      <c r="G12371" s="7" t="n">
        <v>5125.79</v>
      </c>
    </row>
    <row r="12372" customFormat="false" ht="15" hidden="false" customHeight="false" outlineLevel="0" collapsed="false">
      <c r="A12372" s="7" t="s">
        <v>31</v>
      </c>
      <c r="B12372" s="7" t="s">
        <v>311</v>
      </c>
      <c r="C12372" s="7" t="s">
        <v>1272</v>
      </c>
      <c r="D12372" s="7" t="n">
        <v>0</v>
      </c>
      <c r="E12372" s="7" t="n">
        <v>0</v>
      </c>
      <c r="F12372" s="7" t="n">
        <v>60</v>
      </c>
      <c r="G12372" s="7" t="n">
        <v>2419.88</v>
      </c>
    </row>
    <row r="12373" customFormat="false" ht="15" hidden="false" customHeight="false" outlineLevel="0" collapsed="false">
      <c r="A12373" s="7" t="s">
        <v>31</v>
      </c>
      <c r="B12373" s="7" t="s">
        <v>311</v>
      </c>
      <c r="C12373" s="7" t="s">
        <v>1272</v>
      </c>
      <c r="D12373" s="7" t="n">
        <v>0</v>
      </c>
      <c r="E12373" s="7" t="n">
        <v>0</v>
      </c>
      <c r="F12373" s="7" t="n">
        <v>50</v>
      </c>
      <c r="G12373" s="7" t="n">
        <v>1888.21</v>
      </c>
    </row>
    <row r="12374" customFormat="false" ht="15" hidden="false" customHeight="false" outlineLevel="0" collapsed="false">
      <c r="A12374" s="7" t="s">
        <v>31</v>
      </c>
      <c r="B12374" s="7" t="s">
        <v>311</v>
      </c>
      <c r="C12374" s="7" t="s">
        <v>1272</v>
      </c>
      <c r="D12374" s="7" t="n">
        <v>70</v>
      </c>
      <c r="E12374" s="7" t="n">
        <v>3192.67</v>
      </c>
      <c r="F12374" s="7" t="n">
        <v>0</v>
      </c>
      <c r="G12374" s="7" t="n">
        <v>0</v>
      </c>
    </row>
    <row r="12375" customFormat="false" ht="15" hidden="false" customHeight="false" outlineLevel="0" collapsed="false">
      <c r="A12375" s="7" t="s">
        <v>31</v>
      </c>
      <c r="B12375" s="7" t="s">
        <v>311</v>
      </c>
      <c r="C12375" s="7" t="s">
        <v>1272</v>
      </c>
      <c r="D12375" s="7" t="n">
        <v>50</v>
      </c>
      <c r="E12375" s="7" t="n">
        <v>2171.38</v>
      </c>
      <c r="F12375" s="7" t="n">
        <v>0</v>
      </c>
      <c r="G12375" s="7" t="n">
        <v>0</v>
      </c>
    </row>
    <row r="12376" customFormat="false" ht="15" hidden="false" customHeight="false" outlineLevel="0" collapsed="false">
      <c r="A12376" s="7" t="s">
        <v>31</v>
      </c>
      <c r="B12376" s="7" t="s">
        <v>311</v>
      </c>
      <c r="C12376" s="7" t="s">
        <v>1272</v>
      </c>
      <c r="D12376" s="7" t="n">
        <v>60</v>
      </c>
      <c r="E12376" s="7" t="n">
        <v>2479.59</v>
      </c>
      <c r="F12376" s="7" t="n">
        <v>0</v>
      </c>
      <c r="G12376" s="7" t="n">
        <v>0</v>
      </c>
    </row>
    <row r="12377" customFormat="false" ht="15" hidden="false" customHeight="false" outlineLevel="0" collapsed="false">
      <c r="A12377" s="7" t="s">
        <v>31</v>
      </c>
      <c r="B12377" s="7" t="s">
        <v>311</v>
      </c>
      <c r="C12377" s="7" t="s">
        <v>1272</v>
      </c>
      <c r="D12377" s="7" t="n">
        <v>0</v>
      </c>
      <c r="E12377" s="7" t="n">
        <v>0</v>
      </c>
      <c r="F12377" s="7" t="n">
        <v>10</v>
      </c>
      <c r="G12377" s="7" t="n">
        <v>375.9</v>
      </c>
    </row>
    <row r="12378" customFormat="false" ht="15" hidden="false" customHeight="false" outlineLevel="0" collapsed="false">
      <c r="A12378" s="7" t="s">
        <v>31</v>
      </c>
      <c r="B12378" s="7" t="s">
        <v>135</v>
      </c>
      <c r="C12378" s="7" t="s">
        <v>1273</v>
      </c>
      <c r="D12378" s="7" t="n">
        <v>0</v>
      </c>
      <c r="E12378" s="7" t="n">
        <v>0</v>
      </c>
      <c r="F12378" s="7" t="n">
        <v>160</v>
      </c>
      <c r="G12378" s="7" t="n">
        <v>4898.19</v>
      </c>
    </row>
    <row r="12379" customFormat="false" ht="15" hidden="false" customHeight="false" outlineLevel="0" collapsed="false">
      <c r="A12379" s="7" t="s">
        <v>31</v>
      </c>
      <c r="B12379" s="7" t="s">
        <v>135</v>
      </c>
      <c r="C12379" s="7" t="s">
        <v>1273</v>
      </c>
      <c r="D12379" s="7" t="n">
        <v>0</v>
      </c>
      <c r="E12379" s="7" t="n">
        <v>0</v>
      </c>
      <c r="F12379" s="7" t="n">
        <v>100</v>
      </c>
      <c r="G12379" s="7" t="n">
        <v>3131.41</v>
      </c>
    </row>
    <row r="12380" customFormat="false" ht="15" hidden="false" customHeight="false" outlineLevel="0" collapsed="false">
      <c r="A12380" s="7" t="s">
        <v>31</v>
      </c>
      <c r="B12380" s="7" t="s">
        <v>135</v>
      </c>
      <c r="C12380" s="7" t="s">
        <v>1273</v>
      </c>
      <c r="D12380" s="7" t="n">
        <v>0</v>
      </c>
      <c r="E12380" s="7" t="n">
        <v>0</v>
      </c>
      <c r="F12380" s="7" t="n">
        <v>150</v>
      </c>
      <c r="G12380" s="7" t="n">
        <v>4377.91</v>
      </c>
    </row>
    <row r="12381" customFormat="false" ht="15" hidden="false" customHeight="false" outlineLevel="0" collapsed="false">
      <c r="A12381" s="7" t="s">
        <v>31</v>
      </c>
      <c r="B12381" s="7" t="s">
        <v>135</v>
      </c>
      <c r="C12381" s="7" t="s">
        <v>1273</v>
      </c>
      <c r="D12381" s="7" t="n">
        <v>80</v>
      </c>
      <c r="E12381" s="7" t="n">
        <v>2832.98</v>
      </c>
      <c r="F12381" s="7" t="n">
        <v>0</v>
      </c>
      <c r="G12381" s="7" t="n">
        <v>0</v>
      </c>
    </row>
    <row r="12382" customFormat="false" ht="15" hidden="false" customHeight="false" outlineLevel="0" collapsed="false">
      <c r="A12382" s="7" t="s">
        <v>31</v>
      </c>
      <c r="B12382" s="7" t="s">
        <v>135</v>
      </c>
      <c r="C12382" s="7" t="s">
        <v>1273</v>
      </c>
      <c r="D12382" s="7" t="n">
        <v>80</v>
      </c>
      <c r="E12382" s="7" t="n">
        <v>2584.96</v>
      </c>
      <c r="F12382" s="7" t="n">
        <v>0</v>
      </c>
      <c r="G12382" s="7" t="n">
        <v>0</v>
      </c>
    </row>
    <row r="12383" customFormat="false" ht="15" hidden="false" customHeight="false" outlineLevel="0" collapsed="false">
      <c r="A12383" s="7" t="s">
        <v>31</v>
      </c>
      <c r="B12383" s="7" t="s">
        <v>135</v>
      </c>
      <c r="C12383" s="7" t="s">
        <v>1273</v>
      </c>
      <c r="D12383" s="7" t="n">
        <v>70</v>
      </c>
      <c r="E12383" s="7" t="n">
        <v>2360.28</v>
      </c>
      <c r="F12383" s="7" t="n">
        <v>0</v>
      </c>
      <c r="G12383" s="7" t="n">
        <v>0</v>
      </c>
    </row>
    <row r="12384" customFormat="false" ht="15" hidden="false" customHeight="false" outlineLevel="0" collapsed="false">
      <c r="A12384" s="7" t="s">
        <v>31</v>
      </c>
      <c r="B12384" s="7" t="s">
        <v>135</v>
      </c>
      <c r="C12384" s="7" t="s">
        <v>1273</v>
      </c>
      <c r="D12384" s="7" t="n">
        <v>150</v>
      </c>
      <c r="E12384" s="7" t="n">
        <v>5025.11</v>
      </c>
      <c r="F12384" s="7" t="n">
        <v>0</v>
      </c>
      <c r="G12384" s="7" t="n">
        <v>0</v>
      </c>
    </row>
    <row r="12385" customFormat="false" ht="15" hidden="false" customHeight="false" outlineLevel="0" collapsed="false">
      <c r="A12385" s="7" t="s">
        <v>31</v>
      </c>
      <c r="B12385" s="7" t="s">
        <v>135</v>
      </c>
      <c r="C12385" s="7" t="s">
        <v>1273</v>
      </c>
      <c r="D12385" s="7" t="n">
        <v>0</v>
      </c>
      <c r="E12385" s="7" t="n">
        <v>0</v>
      </c>
      <c r="F12385" s="7" t="n">
        <v>70</v>
      </c>
      <c r="G12385" s="7" t="n">
        <v>2052.47</v>
      </c>
    </row>
    <row r="12386" customFormat="false" ht="15" hidden="false" customHeight="false" outlineLevel="0" collapsed="false">
      <c r="A12386" s="7" t="s">
        <v>31</v>
      </c>
      <c r="B12386" s="7" t="s">
        <v>135</v>
      </c>
      <c r="C12386" s="7" t="s">
        <v>1273</v>
      </c>
      <c r="D12386" s="7" t="n">
        <v>100</v>
      </c>
      <c r="E12386" s="7" t="n">
        <v>3208.69</v>
      </c>
      <c r="F12386" s="7" t="n">
        <v>0</v>
      </c>
      <c r="G12386" s="7" t="n">
        <v>0</v>
      </c>
    </row>
    <row r="12387" customFormat="false" ht="15" hidden="false" customHeight="false" outlineLevel="0" collapsed="false">
      <c r="A12387" s="7" t="s">
        <v>31</v>
      </c>
      <c r="B12387" s="7" t="s">
        <v>101</v>
      </c>
      <c r="C12387" s="7" t="s">
        <v>1121</v>
      </c>
      <c r="D12387" s="7" t="n">
        <v>0</v>
      </c>
      <c r="E12387" s="7" t="n">
        <v>0</v>
      </c>
      <c r="F12387" s="7" t="n">
        <v>30</v>
      </c>
      <c r="G12387" s="7" t="n">
        <v>875.13</v>
      </c>
    </row>
    <row r="12388" customFormat="false" ht="15" hidden="false" customHeight="false" outlineLevel="0" collapsed="false">
      <c r="A12388" s="7" t="s">
        <v>31</v>
      </c>
      <c r="B12388" s="7" t="s">
        <v>101</v>
      </c>
      <c r="C12388" s="7" t="s">
        <v>1121</v>
      </c>
      <c r="D12388" s="7" t="n">
        <v>0</v>
      </c>
      <c r="E12388" s="7" t="n">
        <v>0</v>
      </c>
      <c r="F12388" s="7" t="n">
        <v>10</v>
      </c>
      <c r="G12388" s="7" t="n">
        <v>278.11</v>
      </c>
    </row>
    <row r="12389" customFormat="false" ht="15" hidden="false" customHeight="false" outlineLevel="0" collapsed="false">
      <c r="A12389" s="7" t="s">
        <v>31</v>
      </c>
      <c r="B12389" s="7" t="s">
        <v>101</v>
      </c>
      <c r="C12389" s="7" t="s">
        <v>1121</v>
      </c>
      <c r="D12389" s="7" t="n">
        <v>40</v>
      </c>
      <c r="E12389" s="7" t="n">
        <v>1222.99</v>
      </c>
      <c r="F12389" s="7" t="n">
        <v>0</v>
      </c>
      <c r="G12389" s="7" t="n">
        <v>0</v>
      </c>
    </row>
    <row r="12390" customFormat="false" ht="15" hidden="false" customHeight="false" outlineLevel="0" collapsed="false">
      <c r="A12390" s="7" t="s">
        <v>31</v>
      </c>
      <c r="B12390" s="7" t="s">
        <v>101</v>
      </c>
      <c r="C12390" s="7" t="s">
        <v>1121</v>
      </c>
      <c r="D12390" s="7" t="n">
        <v>0</v>
      </c>
      <c r="E12390" s="7" t="n">
        <v>0</v>
      </c>
      <c r="F12390" s="7" t="n">
        <v>25</v>
      </c>
      <c r="G12390" s="7" t="n">
        <v>698.48</v>
      </c>
    </row>
    <row r="12391" customFormat="false" ht="15" hidden="false" customHeight="false" outlineLevel="0" collapsed="false">
      <c r="A12391" s="7" t="s">
        <v>31</v>
      </c>
      <c r="B12391" s="7" t="s">
        <v>101</v>
      </c>
      <c r="C12391" s="7" t="s">
        <v>1121</v>
      </c>
      <c r="D12391" s="7" t="n">
        <v>10</v>
      </c>
      <c r="E12391" s="7" t="n">
        <v>319.22</v>
      </c>
      <c r="F12391" s="7" t="n">
        <v>0</v>
      </c>
      <c r="G12391" s="7" t="n">
        <v>0</v>
      </c>
    </row>
    <row r="12392" customFormat="false" ht="15" hidden="false" customHeight="false" outlineLevel="0" collapsed="false">
      <c r="A12392" s="7" t="s">
        <v>31</v>
      </c>
      <c r="B12392" s="7" t="s">
        <v>101</v>
      </c>
      <c r="C12392" s="7" t="s">
        <v>1121</v>
      </c>
      <c r="D12392" s="7" t="n">
        <v>15</v>
      </c>
      <c r="E12392" s="7" t="n">
        <v>461.84</v>
      </c>
      <c r="F12392" s="7" t="n">
        <v>0</v>
      </c>
      <c r="G12392" s="7" t="n">
        <v>0</v>
      </c>
    </row>
    <row r="12393" customFormat="false" ht="15" hidden="false" customHeight="false" outlineLevel="0" collapsed="false">
      <c r="A12393" s="7" t="s">
        <v>31</v>
      </c>
      <c r="B12393" s="7" t="s">
        <v>101</v>
      </c>
      <c r="C12393" s="7" t="s">
        <v>1121</v>
      </c>
      <c r="D12393" s="7" t="n">
        <v>0</v>
      </c>
      <c r="E12393" s="7" t="n">
        <v>0</v>
      </c>
      <c r="F12393" s="7" t="n">
        <v>10</v>
      </c>
      <c r="G12393" s="7" t="n">
        <v>298.39</v>
      </c>
    </row>
    <row r="12394" customFormat="false" ht="15" hidden="false" customHeight="false" outlineLevel="0" collapsed="false">
      <c r="A12394" s="7" t="s">
        <v>31</v>
      </c>
      <c r="B12394" s="7" t="s">
        <v>101</v>
      </c>
      <c r="C12394" s="7" t="s">
        <v>1121</v>
      </c>
      <c r="D12394" s="7" t="n">
        <v>40</v>
      </c>
      <c r="E12394" s="7" t="n">
        <v>1349.75</v>
      </c>
      <c r="F12394" s="7" t="n">
        <v>0</v>
      </c>
      <c r="G12394" s="7" t="n">
        <v>0</v>
      </c>
    </row>
    <row r="12395" customFormat="false" ht="15" hidden="false" customHeight="false" outlineLevel="0" collapsed="false">
      <c r="A12395" s="7" t="s">
        <v>31</v>
      </c>
      <c r="B12395" s="7" t="s">
        <v>101</v>
      </c>
      <c r="C12395" s="7" t="s">
        <v>1121</v>
      </c>
      <c r="D12395" s="7" t="n">
        <v>10</v>
      </c>
      <c r="E12395" s="7" t="n">
        <v>321.29</v>
      </c>
      <c r="F12395" s="7" t="n">
        <v>0</v>
      </c>
      <c r="G12395" s="7" t="n">
        <v>0</v>
      </c>
    </row>
    <row r="12396" customFormat="false" ht="15" hidden="false" customHeight="false" outlineLevel="0" collapsed="false">
      <c r="A12396" s="7" t="s">
        <v>31</v>
      </c>
      <c r="B12396" s="7" t="s">
        <v>245</v>
      </c>
      <c r="C12396" s="7" t="s">
        <v>1161</v>
      </c>
      <c r="D12396" s="7" t="n">
        <v>0</v>
      </c>
      <c r="E12396" s="7" t="n">
        <v>0</v>
      </c>
      <c r="F12396" s="7" t="n">
        <v>100</v>
      </c>
      <c r="G12396" s="7" t="n">
        <v>1359.98</v>
      </c>
    </row>
    <row r="12397" customFormat="false" ht="15" hidden="false" customHeight="false" outlineLevel="0" collapsed="false">
      <c r="A12397" s="7" t="s">
        <v>31</v>
      </c>
      <c r="B12397" s="7" t="s">
        <v>245</v>
      </c>
      <c r="C12397" s="7" t="s">
        <v>1161</v>
      </c>
      <c r="D12397" s="7" t="n">
        <v>100</v>
      </c>
      <c r="E12397" s="7" t="n">
        <v>1561.03</v>
      </c>
      <c r="F12397" s="7" t="n">
        <v>0</v>
      </c>
      <c r="G12397" s="7" t="n">
        <v>0</v>
      </c>
    </row>
    <row r="12398" customFormat="false" ht="15" hidden="false" customHeight="false" outlineLevel="0" collapsed="false">
      <c r="A12398" s="7" t="s">
        <v>31</v>
      </c>
      <c r="B12398" s="7" t="s">
        <v>245</v>
      </c>
      <c r="C12398" s="7" t="s">
        <v>1161</v>
      </c>
      <c r="D12398" s="7" t="n">
        <v>0</v>
      </c>
      <c r="E12398" s="7" t="n">
        <v>0</v>
      </c>
      <c r="F12398" s="7" t="n">
        <v>90</v>
      </c>
      <c r="G12398" s="7" t="n">
        <v>1313.23</v>
      </c>
    </row>
    <row r="12399" customFormat="false" ht="15" hidden="false" customHeight="false" outlineLevel="0" collapsed="false">
      <c r="A12399" s="7" t="s">
        <v>31</v>
      </c>
      <c r="B12399" s="7" t="s">
        <v>245</v>
      </c>
      <c r="C12399" s="7" t="s">
        <v>1161</v>
      </c>
      <c r="D12399" s="7" t="n">
        <v>100</v>
      </c>
      <c r="E12399" s="7" t="n">
        <v>1650.1</v>
      </c>
      <c r="F12399" s="7" t="n">
        <v>0</v>
      </c>
      <c r="G12399" s="7" t="n">
        <v>0</v>
      </c>
    </row>
    <row r="12400" customFormat="false" ht="15" hidden="false" customHeight="false" outlineLevel="0" collapsed="false">
      <c r="A12400" s="7" t="s">
        <v>31</v>
      </c>
      <c r="B12400" s="7" t="s">
        <v>245</v>
      </c>
      <c r="C12400" s="7" t="s">
        <v>1161</v>
      </c>
      <c r="D12400" s="7" t="n">
        <v>80</v>
      </c>
      <c r="E12400" s="7" t="n">
        <v>1204.52</v>
      </c>
      <c r="F12400" s="7" t="n">
        <v>0</v>
      </c>
      <c r="G12400" s="7" t="n">
        <v>0</v>
      </c>
    </row>
    <row r="12401" customFormat="false" ht="15" hidden="false" customHeight="false" outlineLevel="0" collapsed="false">
      <c r="A12401" s="7" t="s">
        <v>31</v>
      </c>
      <c r="B12401" s="7" t="s">
        <v>245</v>
      </c>
      <c r="C12401" s="7" t="s">
        <v>1161</v>
      </c>
      <c r="D12401" s="7" t="n">
        <v>80</v>
      </c>
      <c r="E12401" s="7" t="n">
        <v>1196.12</v>
      </c>
      <c r="F12401" s="7" t="n">
        <v>0</v>
      </c>
      <c r="G12401" s="7" t="n">
        <v>0</v>
      </c>
    </row>
    <row r="12402" customFormat="false" ht="15" hidden="false" customHeight="false" outlineLevel="0" collapsed="false">
      <c r="A12402" s="7" t="s">
        <v>31</v>
      </c>
      <c r="B12402" s="7" t="s">
        <v>245</v>
      </c>
      <c r="C12402" s="7" t="s">
        <v>1161</v>
      </c>
      <c r="D12402" s="7" t="n">
        <v>0</v>
      </c>
      <c r="E12402" s="7" t="n">
        <v>0</v>
      </c>
      <c r="F12402" s="7" t="n">
        <v>120</v>
      </c>
      <c r="G12402" s="7" t="n">
        <v>1711.8</v>
      </c>
    </row>
    <row r="12403" customFormat="false" ht="15" hidden="false" customHeight="false" outlineLevel="0" collapsed="false">
      <c r="A12403" s="7" t="s">
        <v>31</v>
      </c>
      <c r="B12403" s="7" t="s">
        <v>245</v>
      </c>
      <c r="C12403" s="7" t="s">
        <v>1161</v>
      </c>
      <c r="D12403" s="7" t="n">
        <v>70</v>
      </c>
      <c r="E12403" s="7" t="n">
        <v>1099.81</v>
      </c>
      <c r="F12403" s="7" t="n">
        <v>0</v>
      </c>
      <c r="G12403" s="7" t="n">
        <v>0</v>
      </c>
    </row>
    <row r="12404" customFormat="false" ht="15" hidden="false" customHeight="false" outlineLevel="0" collapsed="false">
      <c r="A12404" s="7" t="s">
        <v>31</v>
      </c>
      <c r="B12404" s="7" t="s">
        <v>245</v>
      </c>
      <c r="C12404" s="7" t="s">
        <v>1161</v>
      </c>
      <c r="D12404" s="7" t="n">
        <v>0</v>
      </c>
      <c r="E12404" s="7" t="n">
        <v>0</v>
      </c>
      <c r="F12404" s="7" t="n">
        <v>70</v>
      </c>
      <c r="G12404" s="7" t="n">
        <v>956.39</v>
      </c>
    </row>
    <row r="12405" customFormat="false" ht="15" hidden="false" customHeight="false" outlineLevel="0" collapsed="false">
      <c r="A12405" s="7" t="s">
        <v>31</v>
      </c>
      <c r="B12405" s="7" t="s">
        <v>237</v>
      </c>
      <c r="C12405" s="7" t="s">
        <v>1069</v>
      </c>
      <c r="D12405" s="7" t="n">
        <v>0</v>
      </c>
      <c r="E12405" s="7" t="n">
        <v>0</v>
      </c>
      <c r="F12405" s="7" t="n">
        <v>20</v>
      </c>
      <c r="G12405" s="7" t="n">
        <v>298.12</v>
      </c>
    </row>
    <row r="12406" customFormat="false" ht="15" hidden="false" customHeight="false" outlineLevel="0" collapsed="false">
      <c r="A12406" s="7" t="s">
        <v>31</v>
      </c>
      <c r="B12406" s="7" t="s">
        <v>237</v>
      </c>
      <c r="C12406" s="7" t="s">
        <v>1069</v>
      </c>
      <c r="D12406" s="7" t="n">
        <v>0</v>
      </c>
      <c r="E12406" s="7" t="n">
        <v>0</v>
      </c>
      <c r="F12406" s="7" t="n">
        <v>40</v>
      </c>
      <c r="G12406" s="7" t="n">
        <v>571.07</v>
      </c>
    </row>
    <row r="12407" customFormat="false" ht="15" hidden="false" customHeight="false" outlineLevel="0" collapsed="false">
      <c r="A12407" s="7" t="s">
        <v>31</v>
      </c>
      <c r="B12407" s="7" t="s">
        <v>237</v>
      </c>
      <c r="C12407" s="7" t="s">
        <v>1069</v>
      </c>
      <c r="D12407" s="7" t="n">
        <v>25</v>
      </c>
      <c r="E12407" s="7" t="n">
        <v>410.44</v>
      </c>
      <c r="F12407" s="7" t="n">
        <v>0</v>
      </c>
      <c r="G12407" s="7" t="n">
        <v>0</v>
      </c>
    </row>
    <row r="12408" customFormat="false" ht="15" hidden="false" customHeight="false" outlineLevel="0" collapsed="false">
      <c r="A12408" s="7" t="s">
        <v>31</v>
      </c>
      <c r="B12408" s="7" t="s">
        <v>237</v>
      </c>
      <c r="C12408" s="7" t="s">
        <v>1069</v>
      </c>
      <c r="D12408" s="7" t="n">
        <v>10</v>
      </c>
      <c r="E12408" s="7" t="n">
        <v>163.12</v>
      </c>
      <c r="F12408" s="7" t="n">
        <v>0</v>
      </c>
      <c r="G12408" s="7" t="n">
        <v>0</v>
      </c>
    </row>
    <row r="12409" customFormat="false" ht="15" hidden="false" customHeight="false" outlineLevel="0" collapsed="false">
      <c r="A12409" s="7" t="s">
        <v>31</v>
      </c>
      <c r="B12409" s="7" t="s">
        <v>237</v>
      </c>
      <c r="C12409" s="7" t="s">
        <v>1069</v>
      </c>
      <c r="D12409" s="7" t="n">
        <v>20</v>
      </c>
      <c r="E12409" s="7" t="n">
        <v>344.85</v>
      </c>
      <c r="F12409" s="7" t="n">
        <v>0</v>
      </c>
      <c r="G12409" s="7" t="n">
        <v>0</v>
      </c>
    </row>
    <row r="12410" customFormat="false" ht="15" hidden="false" customHeight="false" outlineLevel="0" collapsed="false">
      <c r="A12410" s="7" t="s">
        <v>31</v>
      </c>
      <c r="B12410" s="7" t="s">
        <v>237</v>
      </c>
      <c r="C12410" s="7" t="s">
        <v>1069</v>
      </c>
      <c r="D12410" s="7" t="n">
        <v>50</v>
      </c>
      <c r="E12410" s="7" t="n">
        <v>781.17</v>
      </c>
      <c r="F12410" s="7" t="n">
        <v>0</v>
      </c>
      <c r="G12410" s="7" t="n">
        <v>0</v>
      </c>
    </row>
    <row r="12411" customFormat="false" ht="15" hidden="false" customHeight="false" outlineLevel="0" collapsed="false">
      <c r="A12411" s="7" t="s">
        <v>31</v>
      </c>
      <c r="B12411" s="7" t="s">
        <v>237</v>
      </c>
      <c r="C12411" s="7" t="s">
        <v>1069</v>
      </c>
      <c r="D12411" s="7" t="n">
        <v>0</v>
      </c>
      <c r="E12411" s="7" t="n">
        <v>0</v>
      </c>
      <c r="F12411" s="7" t="n">
        <v>20</v>
      </c>
      <c r="G12411" s="7" t="n">
        <v>304.95</v>
      </c>
    </row>
    <row r="12412" customFormat="false" ht="15" hidden="false" customHeight="false" outlineLevel="0" collapsed="false">
      <c r="A12412" s="7" t="s">
        <v>31</v>
      </c>
      <c r="B12412" s="7" t="s">
        <v>237</v>
      </c>
      <c r="C12412" s="7" t="s">
        <v>1069</v>
      </c>
      <c r="D12412" s="7" t="n">
        <v>80</v>
      </c>
      <c r="E12412" s="7" t="n">
        <v>1258.65</v>
      </c>
      <c r="F12412" s="7" t="n">
        <v>0</v>
      </c>
      <c r="G12412" s="7" t="n">
        <v>0</v>
      </c>
    </row>
    <row r="12413" customFormat="false" ht="15" hidden="false" customHeight="false" outlineLevel="0" collapsed="false">
      <c r="A12413" s="7" t="s">
        <v>31</v>
      </c>
      <c r="B12413" s="7" t="s">
        <v>237</v>
      </c>
      <c r="C12413" s="7" t="s">
        <v>1069</v>
      </c>
      <c r="D12413" s="7" t="n">
        <v>0</v>
      </c>
      <c r="E12413" s="7" t="n">
        <v>0</v>
      </c>
      <c r="F12413" s="7" t="n">
        <v>50</v>
      </c>
      <c r="G12413" s="7" t="n">
        <v>710.55</v>
      </c>
    </row>
    <row r="12414" customFormat="false" ht="15" hidden="false" customHeight="false" outlineLevel="0" collapsed="false">
      <c r="A12414" s="7" t="s">
        <v>31</v>
      </c>
      <c r="B12414" s="7" t="s">
        <v>899</v>
      </c>
      <c r="C12414" s="7" t="s">
        <v>1122</v>
      </c>
      <c r="D12414" s="7" t="n">
        <v>0</v>
      </c>
      <c r="E12414" s="7" t="n">
        <v>0</v>
      </c>
      <c r="F12414" s="7" t="n">
        <v>20</v>
      </c>
      <c r="G12414" s="7" t="n">
        <v>189.48</v>
      </c>
    </row>
    <row r="12415" customFormat="false" ht="15" hidden="false" customHeight="false" outlineLevel="0" collapsed="false">
      <c r="A12415" s="7" t="s">
        <v>31</v>
      </c>
      <c r="B12415" s="7" t="s">
        <v>899</v>
      </c>
      <c r="C12415" s="7" t="s">
        <v>1122</v>
      </c>
      <c r="D12415" s="7" t="n">
        <v>50</v>
      </c>
      <c r="E12415" s="7" t="n">
        <v>547.26</v>
      </c>
      <c r="F12415" s="7" t="n">
        <v>0</v>
      </c>
      <c r="G12415" s="7" t="n">
        <v>0</v>
      </c>
    </row>
    <row r="12416" customFormat="false" ht="15" hidden="false" customHeight="false" outlineLevel="0" collapsed="false">
      <c r="A12416" s="7" t="s">
        <v>31</v>
      </c>
      <c r="B12416" s="7" t="s">
        <v>899</v>
      </c>
      <c r="C12416" s="7" t="s">
        <v>1122</v>
      </c>
      <c r="D12416" s="7" t="n">
        <v>30</v>
      </c>
      <c r="E12416" s="7" t="n">
        <v>314.66</v>
      </c>
      <c r="F12416" s="7" t="n">
        <v>0</v>
      </c>
      <c r="G12416" s="7" t="n">
        <v>0</v>
      </c>
    </row>
    <row r="12417" customFormat="false" ht="15" hidden="false" customHeight="false" outlineLevel="0" collapsed="false">
      <c r="A12417" s="7" t="s">
        <v>31</v>
      </c>
      <c r="B12417" s="7" t="s">
        <v>899</v>
      </c>
      <c r="C12417" s="7" t="s">
        <v>1122</v>
      </c>
      <c r="D12417" s="7" t="n">
        <v>20</v>
      </c>
      <c r="E12417" s="7" t="n">
        <v>229.91</v>
      </c>
      <c r="F12417" s="7" t="n">
        <v>0</v>
      </c>
      <c r="G12417" s="7" t="n">
        <v>0</v>
      </c>
    </row>
    <row r="12418" customFormat="false" ht="15" hidden="false" customHeight="false" outlineLevel="0" collapsed="false">
      <c r="A12418" s="7" t="s">
        <v>31</v>
      </c>
      <c r="B12418" s="7" t="s">
        <v>899</v>
      </c>
      <c r="C12418" s="7" t="s">
        <v>1122</v>
      </c>
      <c r="D12418" s="7" t="n">
        <v>0</v>
      </c>
      <c r="E12418" s="7" t="n">
        <v>0</v>
      </c>
      <c r="F12418" s="7" t="n">
        <v>40</v>
      </c>
      <c r="G12418" s="7" t="n">
        <v>406.59</v>
      </c>
    </row>
    <row r="12419" customFormat="false" ht="15" hidden="false" customHeight="false" outlineLevel="0" collapsed="false">
      <c r="A12419" s="7" t="s">
        <v>31</v>
      </c>
      <c r="B12419" s="7" t="s">
        <v>899</v>
      </c>
      <c r="C12419" s="7" t="s">
        <v>1122</v>
      </c>
      <c r="D12419" s="7" t="n">
        <v>40</v>
      </c>
      <c r="E12419" s="7" t="n">
        <v>416.63</v>
      </c>
      <c r="F12419" s="7" t="n">
        <v>0</v>
      </c>
      <c r="G12419" s="7" t="n">
        <v>0</v>
      </c>
    </row>
    <row r="12420" customFormat="false" ht="15" hidden="false" customHeight="false" outlineLevel="0" collapsed="false">
      <c r="A12420" s="7" t="s">
        <v>31</v>
      </c>
      <c r="B12420" s="7" t="s">
        <v>899</v>
      </c>
      <c r="C12420" s="7" t="s">
        <v>1122</v>
      </c>
      <c r="D12420" s="7" t="n">
        <v>50</v>
      </c>
      <c r="E12420" s="7" t="n">
        <v>543.73</v>
      </c>
      <c r="F12420" s="7" t="n">
        <v>0</v>
      </c>
      <c r="G12420" s="7" t="n">
        <v>0</v>
      </c>
    </row>
    <row r="12421" customFormat="false" ht="15" hidden="false" customHeight="false" outlineLevel="0" collapsed="false">
      <c r="A12421" s="7" t="s">
        <v>31</v>
      </c>
      <c r="B12421" s="7" t="s">
        <v>899</v>
      </c>
      <c r="C12421" s="7" t="s">
        <v>1122</v>
      </c>
      <c r="D12421" s="7" t="n">
        <v>0</v>
      </c>
      <c r="E12421" s="7" t="n">
        <v>0</v>
      </c>
      <c r="F12421" s="7" t="n">
        <v>50</v>
      </c>
      <c r="G12421" s="7" t="n">
        <v>475.89</v>
      </c>
    </row>
    <row r="12422" customFormat="false" ht="15" hidden="false" customHeight="false" outlineLevel="0" collapsed="false">
      <c r="A12422" s="7" t="s">
        <v>31</v>
      </c>
      <c r="B12422" s="7" t="s">
        <v>899</v>
      </c>
      <c r="C12422" s="7" t="s">
        <v>1122</v>
      </c>
      <c r="D12422" s="7" t="n">
        <v>0</v>
      </c>
      <c r="E12422" s="7" t="n">
        <v>0</v>
      </c>
      <c r="F12422" s="7" t="n">
        <v>70</v>
      </c>
      <c r="G12422" s="7" t="n">
        <v>695.62</v>
      </c>
    </row>
    <row r="12423" customFormat="false" ht="15" hidden="false" customHeight="false" outlineLevel="0" collapsed="false">
      <c r="A12423" s="7" t="s">
        <v>31</v>
      </c>
      <c r="B12423" s="7" t="s">
        <v>903</v>
      </c>
      <c r="C12423" s="7" t="s">
        <v>1174</v>
      </c>
      <c r="D12423" s="7" t="n">
        <v>10</v>
      </c>
      <c r="E12423" s="7" t="n">
        <v>60.9</v>
      </c>
      <c r="F12423" s="7" t="n">
        <v>0</v>
      </c>
      <c r="G12423" s="7" t="n">
        <v>0</v>
      </c>
    </row>
    <row r="12424" customFormat="false" ht="15" hidden="false" customHeight="false" outlineLevel="0" collapsed="false">
      <c r="A12424" s="7" t="s">
        <v>31</v>
      </c>
      <c r="B12424" s="7" t="s">
        <v>903</v>
      </c>
      <c r="C12424" s="7" t="s">
        <v>1174</v>
      </c>
      <c r="D12424" s="7" t="n">
        <v>0</v>
      </c>
      <c r="E12424" s="7" t="n">
        <v>0</v>
      </c>
      <c r="F12424" s="7" t="n">
        <v>60</v>
      </c>
      <c r="G12424" s="7" t="n">
        <v>346.2</v>
      </c>
    </row>
    <row r="12425" customFormat="false" ht="15" hidden="false" customHeight="false" outlineLevel="0" collapsed="false">
      <c r="A12425" s="7" t="s">
        <v>31</v>
      </c>
      <c r="B12425" s="7" t="s">
        <v>903</v>
      </c>
      <c r="C12425" s="7" t="s">
        <v>1174</v>
      </c>
      <c r="D12425" s="7" t="n">
        <v>0</v>
      </c>
      <c r="E12425" s="7" t="n">
        <v>0</v>
      </c>
      <c r="F12425" s="7" t="n">
        <v>10</v>
      </c>
      <c r="G12425" s="7" t="n">
        <v>55.27</v>
      </c>
    </row>
    <row r="12426" customFormat="false" ht="15" hidden="false" customHeight="false" outlineLevel="0" collapsed="false">
      <c r="A12426" s="7" t="s">
        <v>31</v>
      </c>
      <c r="B12426" s="7" t="s">
        <v>903</v>
      </c>
      <c r="C12426" s="7" t="s">
        <v>1174</v>
      </c>
      <c r="D12426" s="7" t="n">
        <v>10</v>
      </c>
      <c r="E12426" s="7" t="n">
        <v>63.55</v>
      </c>
      <c r="F12426" s="7" t="n">
        <v>0</v>
      </c>
      <c r="G12426" s="7" t="n">
        <v>0</v>
      </c>
    </row>
    <row r="12427" customFormat="false" ht="15" hidden="false" customHeight="false" outlineLevel="0" collapsed="false">
      <c r="A12427" s="7" t="s">
        <v>31</v>
      </c>
      <c r="B12427" s="7" t="s">
        <v>903</v>
      </c>
      <c r="C12427" s="7" t="s">
        <v>1174</v>
      </c>
      <c r="D12427" s="7" t="n">
        <v>0</v>
      </c>
      <c r="E12427" s="7" t="n">
        <v>0</v>
      </c>
      <c r="F12427" s="7" t="n">
        <v>20</v>
      </c>
      <c r="G12427" s="7" t="n">
        <v>118.04</v>
      </c>
    </row>
    <row r="12428" customFormat="false" ht="15" hidden="false" customHeight="false" outlineLevel="0" collapsed="false">
      <c r="A12428" s="7" t="s">
        <v>31</v>
      </c>
      <c r="B12428" s="7" t="s">
        <v>903</v>
      </c>
      <c r="C12428" s="7" t="s">
        <v>1174</v>
      </c>
      <c r="D12428" s="7" t="n">
        <v>20</v>
      </c>
      <c r="E12428" s="7" t="n">
        <v>120.96</v>
      </c>
      <c r="F12428" s="7" t="n">
        <v>0</v>
      </c>
      <c r="G12428" s="7" t="n">
        <v>0</v>
      </c>
    </row>
    <row r="12429" customFormat="false" ht="15" hidden="false" customHeight="false" outlineLevel="0" collapsed="false">
      <c r="A12429" s="7" t="s">
        <v>31</v>
      </c>
      <c r="B12429" s="7" t="s">
        <v>907</v>
      </c>
      <c r="C12429" s="7" t="s">
        <v>1310</v>
      </c>
      <c r="D12429" s="7" t="n">
        <v>0</v>
      </c>
      <c r="E12429" s="7" t="n">
        <v>0</v>
      </c>
      <c r="F12429" s="7" t="n">
        <v>10</v>
      </c>
      <c r="G12429" s="7" t="n">
        <v>107.46</v>
      </c>
    </row>
    <row r="12430" customFormat="false" ht="15" hidden="false" customHeight="false" outlineLevel="0" collapsed="false">
      <c r="A12430" s="7" t="s">
        <v>31</v>
      </c>
      <c r="B12430" s="7" t="s">
        <v>907</v>
      </c>
      <c r="C12430" s="7" t="s">
        <v>1310</v>
      </c>
      <c r="D12430" s="7" t="n">
        <v>6</v>
      </c>
      <c r="E12430" s="7" t="n">
        <v>74.14</v>
      </c>
      <c r="F12430" s="7" t="n">
        <v>0</v>
      </c>
      <c r="G12430" s="7" t="n">
        <v>0</v>
      </c>
    </row>
    <row r="12431" customFormat="false" ht="15" hidden="false" customHeight="false" outlineLevel="0" collapsed="false">
      <c r="A12431" s="7" t="s">
        <v>31</v>
      </c>
      <c r="B12431" s="7" t="s">
        <v>898</v>
      </c>
      <c r="C12431" s="7" t="s">
        <v>1175</v>
      </c>
      <c r="D12431" s="7" t="n">
        <v>0</v>
      </c>
      <c r="E12431" s="7" t="n">
        <v>0</v>
      </c>
      <c r="F12431" s="7" t="n">
        <v>30</v>
      </c>
      <c r="G12431" s="7" t="n">
        <v>244.09</v>
      </c>
    </row>
    <row r="12432" customFormat="false" ht="15" hidden="false" customHeight="false" outlineLevel="0" collapsed="false">
      <c r="A12432" s="7" t="s">
        <v>31</v>
      </c>
      <c r="B12432" s="7" t="s">
        <v>898</v>
      </c>
      <c r="C12432" s="7" t="s">
        <v>1175</v>
      </c>
      <c r="D12432" s="7" t="n">
        <v>50</v>
      </c>
      <c r="E12432" s="7" t="n">
        <v>445.19</v>
      </c>
      <c r="F12432" s="7" t="n">
        <v>0</v>
      </c>
      <c r="G12432" s="7" t="n">
        <v>0</v>
      </c>
    </row>
    <row r="12433" customFormat="false" ht="15" hidden="false" customHeight="false" outlineLevel="0" collapsed="false">
      <c r="A12433" s="7" t="s">
        <v>31</v>
      </c>
      <c r="B12433" s="7" t="s">
        <v>898</v>
      </c>
      <c r="C12433" s="7" t="s">
        <v>1175</v>
      </c>
      <c r="D12433" s="7" t="n">
        <v>30</v>
      </c>
      <c r="E12433" s="7" t="n">
        <v>268.98</v>
      </c>
      <c r="F12433" s="7" t="n">
        <v>0</v>
      </c>
      <c r="G12433" s="7" t="n">
        <v>0</v>
      </c>
    </row>
    <row r="12434" customFormat="false" ht="15" hidden="false" customHeight="false" outlineLevel="0" collapsed="false">
      <c r="A12434" s="7" t="s">
        <v>31</v>
      </c>
      <c r="B12434" s="7" t="s">
        <v>898</v>
      </c>
      <c r="C12434" s="7" t="s">
        <v>1175</v>
      </c>
      <c r="D12434" s="7" t="n">
        <v>50</v>
      </c>
      <c r="E12434" s="7" t="n">
        <v>467.82</v>
      </c>
      <c r="F12434" s="7" t="n">
        <v>0</v>
      </c>
      <c r="G12434" s="7" t="n">
        <v>0</v>
      </c>
    </row>
    <row r="12435" customFormat="false" ht="15" hidden="false" customHeight="false" outlineLevel="0" collapsed="false">
      <c r="A12435" s="7" t="s">
        <v>31</v>
      </c>
      <c r="B12435" s="7" t="s">
        <v>898</v>
      </c>
      <c r="C12435" s="7" t="s">
        <v>1175</v>
      </c>
      <c r="D12435" s="7" t="n">
        <v>0</v>
      </c>
      <c r="E12435" s="7" t="n">
        <v>0</v>
      </c>
      <c r="F12435" s="7" t="n">
        <v>25</v>
      </c>
      <c r="G12435" s="7" t="n">
        <v>217.23</v>
      </c>
    </row>
    <row r="12436" customFormat="false" ht="15" hidden="false" customHeight="false" outlineLevel="0" collapsed="false">
      <c r="A12436" s="7" t="s">
        <v>31</v>
      </c>
      <c r="B12436" s="7" t="s">
        <v>898</v>
      </c>
      <c r="C12436" s="7" t="s">
        <v>1175</v>
      </c>
      <c r="D12436" s="7" t="n">
        <v>0</v>
      </c>
      <c r="E12436" s="7" t="n">
        <v>0</v>
      </c>
      <c r="F12436" s="7" t="n">
        <v>30</v>
      </c>
      <c r="G12436" s="7" t="n">
        <v>242.96</v>
      </c>
    </row>
    <row r="12437" customFormat="false" ht="15" hidden="false" customHeight="false" outlineLevel="0" collapsed="false">
      <c r="A12437" s="7" t="s">
        <v>31</v>
      </c>
      <c r="B12437" s="7" t="s">
        <v>898</v>
      </c>
      <c r="C12437" s="7" t="s">
        <v>1175</v>
      </c>
      <c r="D12437" s="7" t="n">
        <v>50</v>
      </c>
      <c r="E12437" s="7" t="n">
        <v>464.8</v>
      </c>
      <c r="F12437" s="7" t="n">
        <v>0</v>
      </c>
      <c r="G12437" s="7" t="n">
        <v>0</v>
      </c>
    </row>
    <row r="12438" customFormat="false" ht="15" hidden="false" customHeight="false" outlineLevel="0" collapsed="false">
      <c r="A12438" s="7" t="s">
        <v>31</v>
      </c>
      <c r="B12438" s="7" t="s">
        <v>898</v>
      </c>
      <c r="C12438" s="7" t="s">
        <v>1175</v>
      </c>
      <c r="D12438" s="7" t="n">
        <v>0</v>
      </c>
      <c r="E12438" s="7" t="n">
        <v>0</v>
      </c>
      <c r="F12438" s="7" t="n">
        <v>60</v>
      </c>
      <c r="G12438" s="7" t="n">
        <v>509.7</v>
      </c>
    </row>
    <row r="12439" customFormat="false" ht="15" hidden="false" customHeight="false" outlineLevel="0" collapsed="false">
      <c r="A12439" s="7" t="s">
        <v>31</v>
      </c>
      <c r="B12439" s="7" t="s">
        <v>901</v>
      </c>
      <c r="C12439" s="7" t="s">
        <v>1311</v>
      </c>
      <c r="D12439" s="7" t="n">
        <v>15</v>
      </c>
      <c r="E12439" s="7" t="n">
        <v>153.71</v>
      </c>
      <c r="F12439" s="7" t="n">
        <v>0</v>
      </c>
      <c r="G12439" s="7" t="n">
        <v>0</v>
      </c>
    </row>
    <row r="12440" customFormat="false" ht="15" hidden="false" customHeight="false" outlineLevel="0" collapsed="false">
      <c r="A12440" s="7" t="s">
        <v>31</v>
      </c>
      <c r="B12440" s="7" t="s">
        <v>901</v>
      </c>
      <c r="C12440" s="7" t="s">
        <v>1311</v>
      </c>
      <c r="D12440" s="7" t="n">
        <v>10</v>
      </c>
      <c r="E12440" s="7" t="n">
        <v>107.68</v>
      </c>
      <c r="F12440" s="7" t="n">
        <v>0</v>
      </c>
      <c r="G12440" s="7" t="n">
        <v>0</v>
      </c>
    </row>
    <row r="12441" customFormat="false" ht="15" hidden="false" customHeight="false" outlineLevel="0" collapsed="false">
      <c r="A12441" s="7" t="s">
        <v>31</v>
      </c>
      <c r="B12441" s="7" t="s">
        <v>901</v>
      </c>
      <c r="C12441" s="7" t="s">
        <v>1311</v>
      </c>
      <c r="D12441" s="7" t="n">
        <v>0</v>
      </c>
      <c r="E12441" s="7" t="n">
        <v>0</v>
      </c>
      <c r="F12441" s="7" t="n">
        <v>10</v>
      </c>
      <c r="G12441" s="7" t="n">
        <v>93.65</v>
      </c>
    </row>
    <row r="12442" customFormat="false" ht="15" hidden="false" customHeight="false" outlineLevel="0" collapsed="false">
      <c r="A12442" s="7" t="s">
        <v>31</v>
      </c>
      <c r="B12442" s="7" t="s">
        <v>901</v>
      </c>
      <c r="C12442" s="7" t="s">
        <v>1311</v>
      </c>
      <c r="D12442" s="7" t="n">
        <v>6</v>
      </c>
      <c r="E12442" s="7" t="n">
        <v>61.92</v>
      </c>
      <c r="F12442" s="7" t="n">
        <v>0</v>
      </c>
      <c r="G12442" s="7" t="n">
        <v>0</v>
      </c>
    </row>
    <row r="12443" customFormat="false" ht="15" hidden="false" customHeight="false" outlineLevel="0" collapsed="false">
      <c r="A12443" s="7" t="s">
        <v>31</v>
      </c>
      <c r="B12443" s="7" t="s">
        <v>901</v>
      </c>
      <c r="C12443" s="7" t="s">
        <v>1311</v>
      </c>
      <c r="D12443" s="7" t="n">
        <v>0</v>
      </c>
      <c r="E12443" s="7" t="n">
        <v>0</v>
      </c>
      <c r="F12443" s="7" t="n">
        <v>20</v>
      </c>
      <c r="G12443" s="7" t="n">
        <v>195.54</v>
      </c>
    </row>
    <row r="12444" customFormat="false" ht="15" hidden="false" customHeight="false" outlineLevel="0" collapsed="false">
      <c r="A12444" s="7" t="s">
        <v>31</v>
      </c>
      <c r="B12444" s="7" t="s">
        <v>901</v>
      </c>
      <c r="C12444" s="7" t="s">
        <v>1311</v>
      </c>
      <c r="D12444" s="7" t="n">
        <v>10</v>
      </c>
      <c r="E12444" s="7" t="n">
        <v>106.99</v>
      </c>
      <c r="F12444" s="7" t="n">
        <v>0</v>
      </c>
      <c r="G12444" s="7" t="n">
        <v>0</v>
      </c>
    </row>
    <row r="12445" customFormat="false" ht="15" hidden="false" customHeight="false" outlineLevel="0" collapsed="false">
      <c r="A12445" s="7" t="s">
        <v>31</v>
      </c>
      <c r="B12445" s="7" t="s">
        <v>906</v>
      </c>
      <c r="C12445" s="7" t="s">
        <v>1312</v>
      </c>
      <c r="D12445" s="7" t="n">
        <v>6</v>
      </c>
      <c r="E12445" s="7" t="n">
        <v>120.14</v>
      </c>
      <c r="F12445" s="7" t="n">
        <v>0</v>
      </c>
      <c r="G12445" s="7" t="n">
        <v>0</v>
      </c>
    </row>
    <row r="12446" customFormat="false" ht="15" hidden="false" customHeight="false" outlineLevel="0" collapsed="false">
      <c r="A12446" s="7" t="s">
        <v>31</v>
      </c>
      <c r="B12446" s="7" t="s">
        <v>906</v>
      </c>
      <c r="C12446" s="7" t="s">
        <v>1312</v>
      </c>
      <c r="D12446" s="7" t="n">
        <v>6</v>
      </c>
      <c r="E12446" s="7" t="n">
        <v>113.66</v>
      </c>
      <c r="F12446" s="7" t="n">
        <v>0</v>
      </c>
      <c r="G12446" s="7" t="n">
        <v>0</v>
      </c>
    </row>
    <row r="12447" customFormat="false" ht="15" hidden="false" customHeight="false" outlineLevel="0" collapsed="false">
      <c r="A12447" s="7" t="s">
        <v>31</v>
      </c>
      <c r="B12447" s="7" t="s">
        <v>904</v>
      </c>
      <c r="C12447" s="7" t="s">
        <v>1312</v>
      </c>
      <c r="D12447" s="7" t="n">
        <v>6</v>
      </c>
      <c r="E12447" s="7" t="n">
        <v>108.86</v>
      </c>
      <c r="F12447" s="7" t="n">
        <v>0</v>
      </c>
      <c r="G12447" s="7" t="n">
        <v>0</v>
      </c>
    </row>
    <row r="12448" customFormat="false" ht="15" hidden="false" customHeight="false" outlineLevel="0" collapsed="false">
      <c r="A12448" s="7" t="s">
        <v>31</v>
      </c>
      <c r="B12448" s="7" t="s">
        <v>904</v>
      </c>
      <c r="C12448" s="7" t="s">
        <v>1312</v>
      </c>
      <c r="D12448" s="7" t="n">
        <v>0</v>
      </c>
      <c r="E12448" s="7" t="n">
        <v>0</v>
      </c>
      <c r="F12448" s="7" t="n">
        <v>6</v>
      </c>
      <c r="G12448" s="7" t="n">
        <v>99.02</v>
      </c>
    </row>
    <row r="12449" customFormat="false" ht="15" hidden="false" customHeight="false" outlineLevel="0" collapsed="false">
      <c r="A12449" s="7" t="s">
        <v>31</v>
      </c>
      <c r="B12449" s="7" t="s">
        <v>904</v>
      </c>
      <c r="C12449" s="7" t="s">
        <v>1312</v>
      </c>
      <c r="D12449" s="7" t="n">
        <v>0</v>
      </c>
      <c r="E12449" s="7" t="n">
        <v>0</v>
      </c>
      <c r="F12449" s="7" t="n">
        <v>10</v>
      </c>
      <c r="G12449" s="7" t="n">
        <v>173.11</v>
      </c>
    </row>
    <row r="12450" customFormat="false" ht="15" hidden="false" customHeight="false" outlineLevel="0" collapsed="false">
      <c r="A12450" s="7" t="s">
        <v>31</v>
      </c>
      <c r="B12450" s="7" t="s">
        <v>904</v>
      </c>
      <c r="C12450" s="7" t="s">
        <v>1312</v>
      </c>
      <c r="D12450" s="7" t="n">
        <v>0</v>
      </c>
      <c r="E12450" s="7" t="n">
        <v>0</v>
      </c>
      <c r="F12450" s="7" t="n">
        <v>10</v>
      </c>
      <c r="G12450" s="7" t="n">
        <v>165.8</v>
      </c>
    </row>
    <row r="12451" customFormat="false" ht="15" hidden="false" customHeight="false" outlineLevel="0" collapsed="false">
      <c r="A12451" s="7" t="s">
        <v>31</v>
      </c>
      <c r="B12451" s="7" t="s">
        <v>905</v>
      </c>
      <c r="C12451" s="7" t="s">
        <v>1312</v>
      </c>
      <c r="D12451" s="7" t="n">
        <v>0</v>
      </c>
      <c r="E12451" s="7" t="n">
        <v>0</v>
      </c>
      <c r="F12451" s="7" t="n">
        <v>6</v>
      </c>
      <c r="G12451" s="7" t="n">
        <v>99.48</v>
      </c>
    </row>
    <row r="12452" customFormat="false" ht="15" hidden="false" customHeight="false" outlineLevel="0" collapsed="false">
      <c r="A12452" s="7" t="s">
        <v>31</v>
      </c>
      <c r="B12452" s="7" t="s">
        <v>187</v>
      </c>
      <c r="C12452" s="7" t="s">
        <v>1296</v>
      </c>
      <c r="D12452" s="7" t="n">
        <v>0</v>
      </c>
      <c r="E12452" s="7" t="n">
        <v>0</v>
      </c>
      <c r="F12452" s="7" t="n">
        <v>1</v>
      </c>
      <c r="G12452" s="7" t="n">
        <v>0.03</v>
      </c>
    </row>
    <row r="12453" customFormat="false" ht="15" hidden="false" customHeight="false" outlineLevel="0" collapsed="false">
      <c r="A12453" s="7" t="s">
        <v>31</v>
      </c>
      <c r="B12453" s="7" t="s">
        <v>122</v>
      </c>
      <c r="C12453" s="7" t="s">
        <v>1130</v>
      </c>
      <c r="D12453" s="7" t="n">
        <v>0</v>
      </c>
      <c r="E12453" s="7" t="n">
        <v>0</v>
      </c>
      <c r="F12453" s="7" t="n">
        <v>1</v>
      </c>
      <c r="G12453" s="7" t="n">
        <v>0.03</v>
      </c>
    </row>
    <row r="12454" customFormat="false" ht="15" hidden="false" customHeight="false" outlineLevel="0" collapsed="false">
      <c r="A12454" s="7" t="s">
        <v>31</v>
      </c>
      <c r="B12454" s="7" t="s">
        <v>305</v>
      </c>
      <c r="C12454" s="7" t="s">
        <v>1182</v>
      </c>
      <c r="D12454" s="7" t="n">
        <v>3</v>
      </c>
      <c r="E12454" s="7" t="n">
        <v>75.25</v>
      </c>
      <c r="F12454" s="7" t="n">
        <v>0</v>
      </c>
      <c r="G12454" s="7" t="n">
        <v>0</v>
      </c>
    </row>
    <row r="12455" customFormat="false" ht="15" hidden="false" customHeight="false" outlineLevel="0" collapsed="false">
      <c r="A12455" s="7" t="s">
        <v>31</v>
      </c>
      <c r="B12455" s="7" t="s">
        <v>305</v>
      </c>
      <c r="C12455" s="7" t="s">
        <v>1182</v>
      </c>
      <c r="D12455" s="7" t="n">
        <v>8</v>
      </c>
      <c r="E12455" s="7" t="n">
        <v>212.1</v>
      </c>
      <c r="F12455" s="7" t="n">
        <v>0</v>
      </c>
      <c r="G12455" s="7" t="n">
        <v>0</v>
      </c>
    </row>
    <row r="12456" customFormat="false" ht="15" hidden="false" customHeight="false" outlineLevel="0" collapsed="false">
      <c r="A12456" s="7" t="s">
        <v>31</v>
      </c>
      <c r="B12456" s="7" t="s">
        <v>305</v>
      </c>
      <c r="C12456" s="7" t="s">
        <v>1182</v>
      </c>
      <c r="D12456" s="7" t="n">
        <v>2</v>
      </c>
      <c r="E12456" s="7" t="n">
        <v>48.04</v>
      </c>
      <c r="F12456" s="7" t="n">
        <v>0</v>
      </c>
      <c r="G12456" s="7" t="n">
        <v>0</v>
      </c>
    </row>
    <row r="12457" customFormat="false" ht="15" hidden="false" customHeight="false" outlineLevel="0" collapsed="false">
      <c r="A12457" s="7" t="s">
        <v>31</v>
      </c>
      <c r="B12457" s="7" t="s">
        <v>646</v>
      </c>
      <c r="C12457" s="7" t="s">
        <v>1183</v>
      </c>
      <c r="D12457" s="7" t="n">
        <v>80</v>
      </c>
      <c r="E12457" s="7" t="n">
        <v>847.37</v>
      </c>
      <c r="F12457" s="7" t="n">
        <v>0</v>
      </c>
      <c r="G12457" s="7" t="n">
        <v>0</v>
      </c>
    </row>
    <row r="12458" customFormat="false" ht="15" hidden="false" customHeight="false" outlineLevel="0" collapsed="false">
      <c r="A12458" s="7" t="s">
        <v>31</v>
      </c>
      <c r="B12458" s="7" t="s">
        <v>646</v>
      </c>
      <c r="C12458" s="7" t="s">
        <v>1183</v>
      </c>
      <c r="D12458" s="7" t="n">
        <v>0</v>
      </c>
      <c r="E12458" s="7" t="n">
        <v>0</v>
      </c>
      <c r="F12458" s="7" t="n">
        <v>120</v>
      </c>
      <c r="G12458" s="7" t="n">
        <v>1105.29</v>
      </c>
    </row>
    <row r="12459" customFormat="false" ht="15" hidden="false" customHeight="false" outlineLevel="0" collapsed="false">
      <c r="A12459" s="7" t="s">
        <v>31</v>
      </c>
      <c r="B12459" s="7" t="s">
        <v>646</v>
      </c>
      <c r="C12459" s="7" t="s">
        <v>1183</v>
      </c>
      <c r="D12459" s="7" t="n">
        <v>70</v>
      </c>
      <c r="E12459" s="7" t="n">
        <v>778.7</v>
      </c>
      <c r="F12459" s="7" t="n">
        <v>0</v>
      </c>
      <c r="G12459" s="7" t="n">
        <v>0</v>
      </c>
    </row>
    <row r="12460" customFormat="false" ht="15" hidden="false" customHeight="false" outlineLevel="0" collapsed="false">
      <c r="A12460" s="7" t="s">
        <v>31</v>
      </c>
      <c r="B12460" s="7" t="s">
        <v>646</v>
      </c>
      <c r="C12460" s="7" t="s">
        <v>1183</v>
      </c>
      <c r="D12460" s="7" t="n">
        <v>120</v>
      </c>
      <c r="E12460" s="7" t="n">
        <v>1262.85</v>
      </c>
      <c r="F12460" s="7" t="n">
        <v>0</v>
      </c>
      <c r="G12460" s="7" t="n">
        <v>0</v>
      </c>
    </row>
    <row r="12461" customFormat="false" ht="15" hidden="false" customHeight="false" outlineLevel="0" collapsed="false">
      <c r="A12461" s="7" t="s">
        <v>31</v>
      </c>
      <c r="B12461" s="7" t="s">
        <v>646</v>
      </c>
      <c r="C12461" s="7" t="s">
        <v>1183</v>
      </c>
      <c r="D12461" s="7" t="n">
        <v>120</v>
      </c>
      <c r="E12461" s="7" t="n">
        <v>1218.04</v>
      </c>
      <c r="F12461" s="7" t="n">
        <v>0</v>
      </c>
      <c r="G12461" s="7" t="n">
        <v>0</v>
      </c>
    </row>
    <row r="12462" customFormat="false" ht="15" hidden="false" customHeight="false" outlineLevel="0" collapsed="false">
      <c r="A12462" s="7" t="s">
        <v>31</v>
      </c>
      <c r="B12462" s="7" t="s">
        <v>646</v>
      </c>
      <c r="C12462" s="7" t="s">
        <v>1183</v>
      </c>
      <c r="D12462" s="7" t="n">
        <v>0</v>
      </c>
      <c r="E12462" s="7" t="n">
        <v>0</v>
      </c>
      <c r="F12462" s="7" t="n">
        <v>50</v>
      </c>
      <c r="G12462" s="7" t="n">
        <v>480.84</v>
      </c>
    </row>
    <row r="12463" customFormat="false" ht="15" hidden="false" customHeight="false" outlineLevel="0" collapsed="false">
      <c r="A12463" s="7" t="s">
        <v>31</v>
      </c>
      <c r="B12463" s="7" t="s">
        <v>646</v>
      </c>
      <c r="C12463" s="7" t="s">
        <v>1183</v>
      </c>
      <c r="D12463" s="7" t="n">
        <v>0</v>
      </c>
      <c r="E12463" s="7" t="n">
        <v>0</v>
      </c>
      <c r="F12463" s="7" t="n">
        <v>90</v>
      </c>
      <c r="G12463" s="7" t="n">
        <v>885.32</v>
      </c>
    </row>
    <row r="12464" customFormat="false" ht="15" hidden="false" customHeight="false" outlineLevel="0" collapsed="false">
      <c r="A12464" s="7" t="s">
        <v>31</v>
      </c>
      <c r="B12464" s="7" t="s">
        <v>646</v>
      </c>
      <c r="C12464" s="7" t="s">
        <v>1183</v>
      </c>
      <c r="D12464" s="7" t="n">
        <v>0</v>
      </c>
      <c r="E12464" s="7" t="n">
        <v>0</v>
      </c>
      <c r="F12464" s="7" t="n">
        <v>150</v>
      </c>
      <c r="G12464" s="7" t="n">
        <v>1375.26</v>
      </c>
    </row>
    <row r="12465" customFormat="false" ht="15" hidden="false" customHeight="false" outlineLevel="0" collapsed="false">
      <c r="A12465" s="7" t="s">
        <v>31</v>
      </c>
      <c r="B12465" s="7" t="s">
        <v>176</v>
      </c>
      <c r="C12465" s="7" t="s">
        <v>1183</v>
      </c>
      <c r="D12465" s="7" t="n">
        <v>12</v>
      </c>
      <c r="E12465" s="7" t="n">
        <v>151.19</v>
      </c>
      <c r="F12465" s="7" t="n">
        <v>0</v>
      </c>
      <c r="G12465" s="7" t="n">
        <v>0</v>
      </c>
    </row>
    <row r="12466" customFormat="false" ht="15" hidden="false" customHeight="false" outlineLevel="0" collapsed="false">
      <c r="A12466" s="7" t="s">
        <v>31</v>
      </c>
      <c r="B12466" s="7" t="s">
        <v>176</v>
      </c>
      <c r="C12466" s="7" t="s">
        <v>1183</v>
      </c>
      <c r="D12466" s="7" t="n">
        <v>0</v>
      </c>
      <c r="E12466" s="7" t="n">
        <v>0</v>
      </c>
      <c r="F12466" s="7" t="n">
        <v>15</v>
      </c>
      <c r="G12466" s="7" t="n">
        <v>180.31</v>
      </c>
    </row>
    <row r="12467" customFormat="false" ht="15" hidden="false" customHeight="false" outlineLevel="0" collapsed="false">
      <c r="A12467" s="7" t="s">
        <v>31</v>
      </c>
      <c r="B12467" s="7" t="s">
        <v>176</v>
      </c>
      <c r="C12467" s="7" t="s">
        <v>1183</v>
      </c>
      <c r="D12467" s="7" t="n">
        <v>15</v>
      </c>
      <c r="E12467" s="7" t="n">
        <v>208.58</v>
      </c>
      <c r="F12467" s="7" t="n">
        <v>0</v>
      </c>
      <c r="G12467" s="7" t="n">
        <v>0</v>
      </c>
    </row>
    <row r="12468" customFormat="false" ht="15" hidden="false" customHeight="false" outlineLevel="0" collapsed="false">
      <c r="A12468" s="7" t="s">
        <v>31</v>
      </c>
      <c r="B12468" s="7" t="s">
        <v>280</v>
      </c>
      <c r="C12468" s="7" t="s">
        <v>1299</v>
      </c>
      <c r="D12468" s="7" t="n">
        <v>3</v>
      </c>
      <c r="E12468" s="7" t="n">
        <v>51.57</v>
      </c>
      <c r="F12468" s="7" t="n">
        <v>0</v>
      </c>
      <c r="G12468" s="7" t="n">
        <v>0</v>
      </c>
    </row>
    <row r="12469" customFormat="false" ht="15" hidden="false" customHeight="false" outlineLevel="0" collapsed="false">
      <c r="A12469" s="7" t="s">
        <v>31</v>
      </c>
      <c r="B12469" s="7" t="s">
        <v>732</v>
      </c>
      <c r="C12469" s="7" t="s">
        <v>1249</v>
      </c>
      <c r="D12469" s="7" t="n">
        <v>0</v>
      </c>
      <c r="E12469" s="7" t="n">
        <v>0</v>
      </c>
      <c r="F12469" s="7" t="n">
        <v>6</v>
      </c>
      <c r="G12469" s="7" t="n">
        <v>86.18</v>
      </c>
    </row>
    <row r="12470" customFormat="false" ht="15" hidden="false" customHeight="false" outlineLevel="0" collapsed="false">
      <c r="A12470" s="7" t="s">
        <v>31</v>
      </c>
      <c r="B12470" s="7" t="s">
        <v>732</v>
      </c>
      <c r="C12470" s="7" t="s">
        <v>1249</v>
      </c>
      <c r="D12470" s="7" t="n">
        <v>0</v>
      </c>
      <c r="E12470" s="7" t="n">
        <v>0</v>
      </c>
      <c r="F12470" s="7" t="n">
        <v>6</v>
      </c>
      <c r="G12470" s="7" t="n">
        <v>92.47</v>
      </c>
    </row>
    <row r="12471" customFormat="false" ht="15" hidden="false" customHeight="false" outlineLevel="0" collapsed="false">
      <c r="A12471" s="7" t="s">
        <v>31</v>
      </c>
      <c r="B12471" s="7" t="s">
        <v>732</v>
      </c>
      <c r="C12471" s="7" t="s">
        <v>1249</v>
      </c>
      <c r="D12471" s="7" t="n">
        <v>6</v>
      </c>
      <c r="E12471" s="7" t="n">
        <v>95.42</v>
      </c>
      <c r="F12471" s="7" t="n">
        <v>0</v>
      </c>
      <c r="G12471" s="7" t="n">
        <v>0</v>
      </c>
    </row>
    <row r="12472" customFormat="false" ht="15" hidden="false" customHeight="false" outlineLevel="0" collapsed="false">
      <c r="A12472" s="7" t="s">
        <v>31</v>
      </c>
      <c r="B12472" s="7" t="s">
        <v>732</v>
      </c>
      <c r="C12472" s="7" t="s">
        <v>1249</v>
      </c>
      <c r="D12472" s="7" t="n">
        <v>6</v>
      </c>
      <c r="E12472" s="7" t="n">
        <v>94.75</v>
      </c>
      <c r="F12472" s="7" t="n">
        <v>0</v>
      </c>
      <c r="G12472" s="7" t="n">
        <v>0</v>
      </c>
    </row>
    <row r="12473" customFormat="false" ht="15" hidden="false" customHeight="false" outlineLevel="0" collapsed="false">
      <c r="A12473" s="7" t="s">
        <v>31</v>
      </c>
      <c r="B12473" s="7" t="s">
        <v>732</v>
      </c>
      <c r="C12473" s="7" t="s">
        <v>1249</v>
      </c>
      <c r="D12473" s="7" t="n">
        <v>6</v>
      </c>
      <c r="E12473" s="7" t="n">
        <v>99.57</v>
      </c>
      <c r="F12473" s="7" t="n">
        <v>0</v>
      </c>
      <c r="G12473" s="7" t="n">
        <v>0</v>
      </c>
    </row>
    <row r="12474" customFormat="false" ht="15" hidden="false" customHeight="false" outlineLevel="0" collapsed="false">
      <c r="A12474" s="7" t="s">
        <v>31</v>
      </c>
      <c r="B12474" s="7" t="s">
        <v>732</v>
      </c>
      <c r="C12474" s="7" t="s">
        <v>1249</v>
      </c>
      <c r="D12474" s="7" t="n">
        <v>0</v>
      </c>
      <c r="E12474" s="7" t="n">
        <v>0</v>
      </c>
      <c r="F12474" s="7" t="n">
        <v>10</v>
      </c>
      <c r="G12474" s="7" t="n">
        <v>144.31</v>
      </c>
    </row>
    <row r="12475" customFormat="false" ht="15" hidden="false" customHeight="false" outlineLevel="0" collapsed="false">
      <c r="A12475" s="7" t="s">
        <v>31</v>
      </c>
      <c r="B12475" s="7" t="s">
        <v>732</v>
      </c>
      <c r="C12475" s="7" t="s">
        <v>1249</v>
      </c>
      <c r="D12475" s="7" t="n">
        <v>10</v>
      </c>
      <c r="E12475" s="7" t="n">
        <v>164.87</v>
      </c>
      <c r="F12475" s="7" t="n">
        <v>0</v>
      </c>
      <c r="G12475" s="7" t="n">
        <v>0</v>
      </c>
    </row>
    <row r="12476" customFormat="false" ht="15" hidden="false" customHeight="false" outlineLevel="0" collapsed="false">
      <c r="A12476" s="7" t="s">
        <v>31</v>
      </c>
      <c r="B12476" s="7" t="s">
        <v>945</v>
      </c>
      <c r="C12476" s="7" t="s">
        <v>1069</v>
      </c>
      <c r="D12476" s="7" t="n">
        <v>2</v>
      </c>
      <c r="E12476" s="7" t="n">
        <v>35.61</v>
      </c>
      <c r="F12476" s="7" t="n">
        <v>0</v>
      </c>
      <c r="G12476" s="7" t="n">
        <v>0</v>
      </c>
    </row>
    <row r="12477" customFormat="false" ht="15" hidden="false" customHeight="false" outlineLevel="0" collapsed="false">
      <c r="A12477" s="7" t="s">
        <v>31</v>
      </c>
      <c r="B12477" s="7" t="s">
        <v>554</v>
      </c>
      <c r="C12477" s="7" t="s">
        <v>1131</v>
      </c>
      <c r="D12477" s="7" t="n">
        <v>15</v>
      </c>
      <c r="E12477" s="7" t="n">
        <v>246.95</v>
      </c>
      <c r="F12477" s="7" t="n">
        <v>0</v>
      </c>
      <c r="G12477" s="7" t="n">
        <v>0</v>
      </c>
    </row>
    <row r="12478" customFormat="false" ht="15" hidden="false" customHeight="false" outlineLevel="0" collapsed="false">
      <c r="A12478" s="7" t="s">
        <v>31</v>
      </c>
      <c r="B12478" s="7" t="s">
        <v>554</v>
      </c>
      <c r="C12478" s="7" t="s">
        <v>1131</v>
      </c>
      <c r="D12478" s="7" t="n">
        <v>25</v>
      </c>
      <c r="E12478" s="7" t="n">
        <v>429.72</v>
      </c>
      <c r="F12478" s="7" t="n">
        <v>0</v>
      </c>
      <c r="G12478" s="7" t="n">
        <v>0</v>
      </c>
    </row>
    <row r="12479" customFormat="false" ht="15" hidden="false" customHeight="false" outlineLevel="0" collapsed="false">
      <c r="A12479" s="7" t="s">
        <v>31</v>
      </c>
      <c r="B12479" s="7" t="s">
        <v>554</v>
      </c>
      <c r="C12479" s="7" t="s">
        <v>1131</v>
      </c>
      <c r="D12479" s="7" t="n">
        <v>0</v>
      </c>
      <c r="E12479" s="7" t="n">
        <v>0</v>
      </c>
      <c r="F12479" s="7" t="n">
        <v>30</v>
      </c>
      <c r="G12479" s="7" t="n">
        <v>451.33</v>
      </c>
    </row>
    <row r="12480" customFormat="false" ht="15" hidden="false" customHeight="false" outlineLevel="0" collapsed="false">
      <c r="A12480" s="7" t="s">
        <v>31</v>
      </c>
      <c r="B12480" s="7" t="s">
        <v>554</v>
      </c>
      <c r="C12480" s="7" t="s">
        <v>1131</v>
      </c>
      <c r="D12480" s="7" t="n">
        <v>0</v>
      </c>
      <c r="E12480" s="7" t="n">
        <v>0</v>
      </c>
      <c r="F12480" s="7" t="n">
        <v>20</v>
      </c>
      <c r="G12480" s="7" t="n">
        <v>314.15</v>
      </c>
    </row>
    <row r="12481" customFormat="false" ht="15" hidden="false" customHeight="false" outlineLevel="0" collapsed="false">
      <c r="A12481" s="7" t="s">
        <v>31</v>
      </c>
      <c r="B12481" s="7" t="s">
        <v>554</v>
      </c>
      <c r="C12481" s="7" t="s">
        <v>1131</v>
      </c>
      <c r="D12481" s="7" t="n">
        <v>0</v>
      </c>
      <c r="E12481" s="7" t="n">
        <v>0</v>
      </c>
      <c r="F12481" s="7" t="n">
        <v>30</v>
      </c>
      <c r="G12481" s="7" t="n">
        <v>449.15</v>
      </c>
    </row>
    <row r="12482" customFormat="false" ht="15" hidden="false" customHeight="false" outlineLevel="0" collapsed="false">
      <c r="A12482" s="7" t="s">
        <v>31</v>
      </c>
      <c r="B12482" s="7" t="s">
        <v>261</v>
      </c>
      <c r="C12482" s="7" t="s">
        <v>1303</v>
      </c>
      <c r="D12482" s="7" t="n">
        <v>0</v>
      </c>
      <c r="E12482" s="7" t="n">
        <v>0</v>
      </c>
      <c r="F12482" s="7" t="n">
        <v>1</v>
      </c>
      <c r="G12482" s="7" t="n">
        <v>0.03</v>
      </c>
    </row>
    <row r="12483" customFormat="false" ht="15" hidden="false" customHeight="false" outlineLevel="0" collapsed="false">
      <c r="A12483" s="7" t="s">
        <v>32</v>
      </c>
      <c r="B12483" s="7" t="s">
        <v>349</v>
      </c>
      <c r="C12483" s="7" t="s">
        <v>1034</v>
      </c>
      <c r="D12483" s="7" t="n">
        <v>5</v>
      </c>
      <c r="E12483" s="7" t="n">
        <v>262.52</v>
      </c>
      <c r="F12483" s="7" t="n">
        <v>0</v>
      </c>
      <c r="G12483" s="7" t="n">
        <v>0</v>
      </c>
    </row>
    <row r="12484" customFormat="false" ht="15" hidden="false" customHeight="false" outlineLevel="0" collapsed="false">
      <c r="A12484" s="7" t="s">
        <v>32</v>
      </c>
      <c r="B12484" s="7" t="s">
        <v>349</v>
      </c>
      <c r="C12484" s="7" t="s">
        <v>1034</v>
      </c>
      <c r="D12484" s="7" t="n">
        <v>0</v>
      </c>
      <c r="E12484" s="7" t="n">
        <v>0</v>
      </c>
      <c r="F12484" s="7" t="n">
        <v>5</v>
      </c>
      <c r="G12484" s="7" t="n">
        <v>251.63</v>
      </c>
    </row>
    <row r="12485" customFormat="false" ht="15" hidden="false" customHeight="false" outlineLevel="0" collapsed="false">
      <c r="A12485" s="7" t="s">
        <v>32</v>
      </c>
      <c r="B12485" s="7" t="s">
        <v>160</v>
      </c>
      <c r="C12485" s="7" t="s">
        <v>1034</v>
      </c>
      <c r="D12485" s="7" t="n">
        <v>5</v>
      </c>
      <c r="E12485" s="7" t="n">
        <v>262.52</v>
      </c>
      <c r="F12485" s="7" t="n">
        <v>0</v>
      </c>
      <c r="G12485" s="7" t="n">
        <v>0</v>
      </c>
    </row>
    <row r="12486" customFormat="false" ht="15" hidden="false" customHeight="false" outlineLevel="0" collapsed="false">
      <c r="A12486" s="7" t="s">
        <v>32</v>
      </c>
      <c r="B12486" s="7" t="s">
        <v>297</v>
      </c>
      <c r="C12486" s="7" t="s">
        <v>1034</v>
      </c>
      <c r="D12486" s="7" t="n">
        <v>5</v>
      </c>
      <c r="E12486" s="7" t="n">
        <v>262.52</v>
      </c>
      <c r="F12486" s="7" t="n">
        <v>0</v>
      </c>
      <c r="G12486" s="7" t="n">
        <v>0</v>
      </c>
    </row>
    <row r="12487" customFormat="false" ht="15" hidden="false" customHeight="false" outlineLevel="0" collapsed="false">
      <c r="A12487" s="7" t="s">
        <v>32</v>
      </c>
      <c r="B12487" s="7" t="s">
        <v>327</v>
      </c>
      <c r="C12487" s="7" t="s">
        <v>1034</v>
      </c>
      <c r="D12487" s="7" t="n">
        <v>5</v>
      </c>
      <c r="E12487" s="7" t="n">
        <v>262.52</v>
      </c>
      <c r="F12487" s="7" t="n">
        <v>0</v>
      </c>
      <c r="G12487" s="7" t="n">
        <v>0</v>
      </c>
    </row>
    <row r="12488" customFormat="false" ht="15" hidden="false" customHeight="false" outlineLevel="0" collapsed="false">
      <c r="A12488" s="7" t="s">
        <v>32</v>
      </c>
      <c r="B12488" s="7" t="s">
        <v>471</v>
      </c>
      <c r="C12488" s="7" t="s">
        <v>1082</v>
      </c>
      <c r="D12488" s="7" t="n">
        <v>10</v>
      </c>
      <c r="E12488" s="7" t="n">
        <v>494.8</v>
      </c>
      <c r="F12488" s="7" t="n">
        <v>0</v>
      </c>
      <c r="G12488" s="7" t="n">
        <v>0</v>
      </c>
    </row>
    <row r="12489" customFormat="false" ht="15" hidden="false" customHeight="false" outlineLevel="0" collapsed="false">
      <c r="A12489" s="7" t="s">
        <v>32</v>
      </c>
      <c r="B12489" s="7" t="s">
        <v>289</v>
      </c>
      <c r="C12489" s="7" t="s">
        <v>1082</v>
      </c>
      <c r="D12489" s="7" t="n">
        <v>10</v>
      </c>
      <c r="E12489" s="7" t="n">
        <v>494.8</v>
      </c>
      <c r="F12489" s="7" t="n">
        <v>0</v>
      </c>
      <c r="G12489" s="7" t="n">
        <v>0</v>
      </c>
    </row>
    <row r="12490" customFormat="false" ht="15" hidden="false" customHeight="false" outlineLevel="0" collapsed="false">
      <c r="A12490" s="7" t="s">
        <v>32</v>
      </c>
      <c r="B12490" s="7" t="s">
        <v>545</v>
      </c>
      <c r="C12490" s="7" t="s">
        <v>1082</v>
      </c>
      <c r="D12490" s="7" t="n">
        <v>5</v>
      </c>
      <c r="E12490" s="7" t="n">
        <v>247.4</v>
      </c>
      <c r="F12490" s="7" t="n">
        <v>0</v>
      </c>
      <c r="G12490" s="7" t="n">
        <v>0</v>
      </c>
    </row>
    <row r="12491" customFormat="false" ht="15" hidden="false" customHeight="false" outlineLevel="0" collapsed="false">
      <c r="A12491" s="7" t="s">
        <v>32</v>
      </c>
      <c r="B12491" s="7" t="s">
        <v>482</v>
      </c>
      <c r="C12491" s="7" t="s">
        <v>1082</v>
      </c>
      <c r="D12491" s="7" t="n">
        <v>10</v>
      </c>
      <c r="E12491" s="7" t="n">
        <v>494.8</v>
      </c>
      <c r="F12491" s="7" t="n">
        <v>0</v>
      </c>
      <c r="G12491" s="7" t="n">
        <v>0</v>
      </c>
    </row>
    <row r="12492" customFormat="false" ht="15" hidden="false" customHeight="false" outlineLevel="0" collapsed="false">
      <c r="A12492" s="7" t="s">
        <v>32</v>
      </c>
      <c r="B12492" s="7" t="s">
        <v>247</v>
      </c>
      <c r="C12492" s="7" t="s">
        <v>1082</v>
      </c>
      <c r="D12492" s="7" t="n">
        <v>10</v>
      </c>
      <c r="E12492" s="7" t="n">
        <v>494.8</v>
      </c>
      <c r="F12492" s="7" t="n">
        <v>0</v>
      </c>
      <c r="G12492" s="7" t="n">
        <v>0</v>
      </c>
    </row>
    <row r="12493" customFormat="false" ht="15" hidden="false" customHeight="false" outlineLevel="0" collapsed="false">
      <c r="A12493" s="7" t="s">
        <v>32</v>
      </c>
      <c r="B12493" s="7" t="s">
        <v>147</v>
      </c>
      <c r="C12493" s="7" t="s">
        <v>1041</v>
      </c>
      <c r="D12493" s="7" t="n">
        <v>120</v>
      </c>
      <c r="E12493" s="7" t="n">
        <v>9947.75</v>
      </c>
      <c r="F12493" s="7" t="n">
        <v>0</v>
      </c>
      <c r="G12493" s="7" t="n">
        <v>0</v>
      </c>
    </row>
    <row r="12494" customFormat="false" ht="15" hidden="false" customHeight="false" outlineLevel="0" collapsed="false">
      <c r="A12494" s="7" t="s">
        <v>32</v>
      </c>
      <c r="B12494" s="7" t="s">
        <v>147</v>
      </c>
      <c r="C12494" s="7" t="s">
        <v>1041</v>
      </c>
      <c r="D12494" s="7" t="n">
        <v>0</v>
      </c>
      <c r="E12494" s="7" t="n">
        <v>0</v>
      </c>
      <c r="F12494" s="7" t="n">
        <v>80</v>
      </c>
      <c r="G12494" s="7" t="n">
        <v>6737.63</v>
      </c>
    </row>
    <row r="12495" customFormat="false" ht="15" hidden="false" customHeight="false" outlineLevel="0" collapsed="false">
      <c r="A12495" s="7" t="s">
        <v>32</v>
      </c>
      <c r="B12495" s="7" t="s">
        <v>147</v>
      </c>
      <c r="C12495" s="7" t="s">
        <v>1041</v>
      </c>
      <c r="D12495" s="7" t="n">
        <v>0</v>
      </c>
      <c r="E12495" s="7" t="n">
        <v>0</v>
      </c>
      <c r="F12495" s="7" t="n">
        <v>200</v>
      </c>
      <c r="G12495" s="7" t="n">
        <v>14284.68</v>
      </c>
    </row>
    <row r="12496" customFormat="false" ht="15" hidden="false" customHeight="false" outlineLevel="0" collapsed="false">
      <c r="A12496" s="7" t="s">
        <v>32</v>
      </c>
      <c r="B12496" s="7" t="s">
        <v>147</v>
      </c>
      <c r="C12496" s="7" t="s">
        <v>1041</v>
      </c>
      <c r="D12496" s="7" t="n">
        <v>65</v>
      </c>
      <c r="E12496" s="7" t="n">
        <v>4843.44</v>
      </c>
      <c r="F12496" s="7" t="n">
        <v>0</v>
      </c>
      <c r="G12496" s="7" t="n">
        <v>0</v>
      </c>
    </row>
    <row r="12497" customFormat="false" ht="15" hidden="false" customHeight="false" outlineLevel="0" collapsed="false">
      <c r="A12497" s="7" t="s">
        <v>32</v>
      </c>
      <c r="B12497" s="7" t="s">
        <v>638</v>
      </c>
      <c r="C12497" s="7" t="s">
        <v>1139</v>
      </c>
      <c r="D12497" s="7" t="n">
        <v>0</v>
      </c>
      <c r="E12497" s="7" t="n">
        <v>0</v>
      </c>
      <c r="F12497" s="7" t="n">
        <v>15</v>
      </c>
      <c r="G12497" s="7" t="n">
        <v>206.11</v>
      </c>
    </row>
    <row r="12498" customFormat="false" ht="15" hidden="false" customHeight="false" outlineLevel="0" collapsed="false">
      <c r="A12498" s="7" t="s">
        <v>32</v>
      </c>
      <c r="B12498" s="7" t="s">
        <v>638</v>
      </c>
      <c r="C12498" s="7" t="s">
        <v>1139</v>
      </c>
      <c r="D12498" s="7" t="n">
        <v>5</v>
      </c>
      <c r="E12498" s="7" t="n">
        <v>71.67</v>
      </c>
      <c r="F12498" s="7" t="n">
        <v>0</v>
      </c>
      <c r="G12498" s="7" t="n">
        <v>0</v>
      </c>
    </row>
    <row r="12499" customFormat="false" ht="15" hidden="false" customHeight="false" outlineLevel="0" collapsed="false">
      <c r="A12499" s="7" t="s">
        <v>32</v>
      </c>
      <c r="B12499" s="7" t="s">
        <v>638</v>
      </c>
      <c r="C12499" s="7" t="s">
        <v>1139</v>
      </c>
      <c r="D12499" s="7" t="n">
        <v>0</v>
      </c>
      <c r="E12499" s="7" t="n">
        <v>0</v>
      </c>
      <c r="F12499" s="7" t="n">
        <v>10</v>
      </c>
      <c r="G12499" s="7" t="n">
        <v>162.02</v>
      </c>
    </row>
    <row r="12500" customFormat="false" ht="15" hidden="false" customHeight="false" outlineLevel="0" collapsed="false">
      <c r="A12500" s="7" t="s">
        <v>32</v>
      </c>
      <c r="B12500" s="7" t="s">
        <v>640</v>
      </c>
      <c r="C12500" s="7" t="s">
        <v>1139</v>
      </c>
      <c r="D12500" s="7" t="n">
        <v>15</v>
      </c>
      <c r="E12500" s="7" t="n">
        <v>215.02</v>
      </c>
      <c r="F12500" s="7" t="n">
        <v>0</v>
      </c>
      <c r="G12500" s="7" t="n">
        <v>0</v>
      </c>
    </row>
    <row r="12501" customFormat="false" ht="15" hidden="false" customHeight="false" outlineLevel="0" collapsed="false">
      <c r="A12501" s="7" t="s">
        <v>32</v>
      </c>
      <c r="B12501" s="7" t="s">
        <v>640</v>
      </c>
      <c r="C12501" s="7" t="s">
        <v>1139</v>
      </c>
      <c r="D12501" s="7" t="n">
        <v>0</v>
      </c>
      <c r="E12501" s="7" t="n">
        <v>0</v>
      </c>
      <c r="F12501" s="7" t="n">
        <v>30</v>
      </c>
      <c r="G12501" s="7" t="n">
        <v>412.21</v>
      </c>
    </row>
    <row r="12502" customFormat="false" ht="15" hidden="false" customHeight="false" outlineLevel="0" collapsed="false">
      <c r="A12502" s="7" t="s">
        <v>32</v>
      </c>
      <c r="B12502" s="7" t="s">
        <v>640</v>
      </c>
      <c r="C12502" s="7" t="s">
        <v>1139</v>
      </c>
      <c r="D12502" s="7" t="n">
        <v>0</v>
      </c>
      <c r="E12502" s="7" t="n">
        <v>0</v>
      </c>
      <c r="F12502" s="7" t="n">
        <v>5</v>
      </c>
      <c r="G12502" s="7" t="n">
        <v>81.01</v>
      </c>
    </row>
    <row r="12503" customFormat="false" ht="15" hidden="false" customHeight="false" outlineLevel="0" collapsed="false">
      <c r="A12503" s="7" t="s">
        <v>32</v>
      </c>
      <c r="B12503" s="7" t="s">
        <v>381</v>
      </c>
      <c r="C12503" s="7" t="s">
        <v>1139</v>
      </c>
      <c r="D12503" s="7" t="n">
        <v>12</v>
      </c>
      <c r="E12503" s="7" t="n">
        <v>191.37</v>
      </c>
      <c r="F12503" s="7" t="n">
        <v>0</v>
      </c>
      <c r="G12503" s="7" t="n">
        <v>0</v>
      </c>
    </row>
    <row r="12504" customFormat="false" ht="15" hidden="false" customHeight="false" outlineLevel="0" collapsed="false">
      <c r="A12504" s="7" t="s">
        <v>32</v>
      </c>
      <c r="B12504" s="7" t="s">
        <v>381</v>
      </c>
      <c r="C12504" s="7" t="s">
        <v>1139</v>
      </c>
      <c r="D12504" s="7" t="n">
        <v>0</v>
      </c>
      <c r="E12504" s="7" t="n">
        <v>0</v>
      </c>
      <c r="F12504" s="7" t="n">
        <v>15</v>
      </c>
      <c r="G12504" s="7" t="n">
        <v>206.11</v>
      </c>
    </row>
    <row r="12505" customFormat="false" ht="15" hidden="false" customHeight="false" outlineLevel="0" collapsed="false">
      <c r="A12505" s="7" t="s">
        <v>32</v>
      </c>
      <c r="B12505" s="7" t="s">
        <v>680</v>
      </c>
      <c r="C12505" s="7" t="s">
        <v>1139</v>
      </c>
      <c r="D12505" s="7" t="n">
        <v>5</v>
      </c>
      <c r="E12505" s="7" t="n">
        <v>71.67</v>
      </c>
      <c r="F12505" s="7" t="n">
        <v>0</v>
      </c>
      <c r="G12505" s="7" t="n">
        <v>0</v>
      </c>
    </row>
    <row r="12506" customFormat="false" ht="15" hidden="false" customHeight="false" outlineLevel="0" collapsed="false">
      <c r="A12506" s="7" t="s">
        <v>32</v>
      </c>
      <c r="B12506" s="7" t="s">
        <v>680</v>
      </c>
      <c r="C12506" s="7" t="s">
        <v>1139</v>
      </c>
      <c r="D12506" s="7" t="n">
        <v>0</v>
      </c>
      <c r="E12506" s="7" t="n">
        <v>0</v>
      </c>
      <c r="F12506" s="7" t="n">
        <v>5</v>
      </c>
      <c r="G12506" s="7" t="n">
        <v>81.01</v>
      </c>
    </row>
    <row r="12507" customFormat="false" ht="15" hidden="false" customHeight="false" outlineLevel="0" collapsed="false">
      <c r="A12507" s="7" t="s">
        <v>32</v>
      </c>
      <c r="B12507" s="7" t="s">
        <v>568</v>
      </c>
      <c r="C12507" s="7" t="s">
        <v>1198</v>
      </c>
      <c r="D12507" s="7" t="n">
        <v>0</v>
      </c>
      <c r="E12507" s="7" t="n">
        <v>0</v>
      </c>
      <c r="F12507" s="7" t="n">
        <v>1</v>
      </c>
      <c r="G12507" s="7" t="n">
        <v>0.03</v>
      </c>
    </row>
    <row r="12508" customFormat="false" ht="15" hidden="false" customHeight="false" outlineLevel="0" collapsed="false">
      <c r="A12508" s="7" t="s">
        <v>32</v>
      </c>
      <c r="B12508" s="7" t="s">
        <v>139</v>
      </c>
      <c r="C12508" s="7" t="s">
        <v>1043</v>
      </c>
      <c r="D12508" s="7" t="n">
        <v>5</v>
      </c>
      <c r="E12508" s="7" t="n">
        <v>186.94</v>
      </c>
      <c r="F12508" s="7" t="n">
        <v>0</v>
      </c>
      <c r="G12508" s="7" t="n">
        <v>0</v>
      </c>
    </row>
    <row r="12509" customFormat="false" ht="15" hidden="false" customHeight="false" outlineLevel="0" collapsed="false">
      <c r="A12509" s="7" t="s">
        <v>32</v>
      </c>
      <c r="B12509" s="7" t="s">
        <v>146</v>
      </c>
      <c r="C12509" s="7" t="s">
        <v>1043</v>
      </c>
      <c r="D12509" s="7" t="n">
        <v>10</v>
      </c>
      <c r="E12509" s="7" t="n">
        <v>373.89</v>
      </c>
      <c r="F12509" s="7" t="n">
        <v>0</v>
      </c>
      <c r="G12509" s="7" t="n">
        <v>0</v>
      </c>
    </row>
    <row r="12510" customFormat="false" ht="15" hidden="false" customHeight="false" outlineLevel="0" collapsed="false">
      <c r="A12510" s="7" t="s">
        <v>32</v>
      </c>
      <c r="B12510" s="7" t="s">
        <v>121</v>
      </c>
      <c r="C12510" s="7" t="s">
        <v>1043</v>
      </c>
      <c r="D12510" s="7" t="n">
        <v>10</v>
      </c>
      <c r="E12510" s="7" t="n">
        <v>373.89</v>
      </c>
      <c r="F12510" s="7" t="n">
        <v>0</v>
      </c>
      <c r="G12510" s="7" t="n">
        <v>0</v>
      </c>
    </row>
    <row r="12511" customFormat="false" ht="15" hidden="false" customHeight="false" outlineLevel="0" collapsed="false">
      <c r="A12511" s="7" t="s">
        <v>32</v>
      </c>
      <c r="B12511" s="7" t="s">
        <v>120</v>
      </c>
      <c r="C12511" s="7" t="s">
        <v>1044</v>
      </c>
      <c r="D12511" s="7" t="n">
        <v>5</v>
      </c>
      <c r="E12511" s="7" t="n">
        <v>186.94</v>
      </c>
      <c r="F12511" s="7" t="n">
        <v>0</v>
      </c>
      <c r="G12511" s="7" t="n">
        <v>0</v>
      </c>
    </row>
    <row r="12512" customFormat="false" ht="15" hidden="false" customHeight="false" outlineLevel="0" collapsed="false">
      <c r="A12512" s="7" t="s">
        <v>32</v>
      </c>
      <c r="B12512" s="7" t="s">
        <v>116</v>
      </c>
      <c r="C12512" s="7" t="s">
        <v>1044</v>
      </c>
      <c r="D12512" s="7" t="n">
        <v>10</v>
      </c>
      <c r="E12512" s="7" t="n">
        <v>373.89</v>
      </c>
      <c r="F12512" s="7" t="n">
        <v>0</v>
      </c>
      <c r="G12512" s="7" t="n">
        <v>0</v>
      </c>
    </row>
    <row r="12513" customFormat="false" ht="15" hidden="false" customHeight="false" outlineLevel="0" collapsed="false">
      <c r="A12513" s="7" t="s">
        <v>32</v>
      </c>
      <c r="B12513" s="7" t="s">
        <v>114</v>
      </c>
      <c r="C12513" s="7" t="s">
        <v>1044</v>
      </c>
      <c r="D12513" s="7" t="n">
        <v>10</v>
      </c>
      <c r="E12513" s="7" t="n">
        <v>373.89</v>
      </c>
      <c r="F12513" s="7" t="n">
        <v>0</v>
      </c>
      <c r="G12513" s="7" t="n">
        <v>0</v>
      </c>
    </row>
    <row r="12514" customFormat="false" ht="15" hidden="false" customHeight="false" outlineLevel="0" collapsed="false">
      <c r="A12514" s="7" t="s">
        <v>32</v>
      </c>
      <c r="B12514" s="7" t="s">
        <v>683</v>
      </c>
      <c r="C12514" s="7" t="s">
        <v>1201</v>
      </c>
      <c r="D12514" s="7" t="n">
        <v>0</v>
      </c>
      <c r="E12514" s="7" t="n">
        <v>0</v>
      </c>
      <c r="F12514" s="7" t="n">
        <v>50</v>
      </c>
      <c r="G12514" s="7" t="n">
        <v>709.13</v>
      </c>
    </row>
    <row r="12515" customFormat="false" ht="15" hidden="false" customHeight="false" outlineLevel="0" collapsed="false">
      <c r="A12515" s="7" t="s">
        <v>32</v>
      </c>
      <c r="B12515" s="7" t="s">
        <v>683</v>
      </c>
      <c r="C12515" s="7" t="s">
        <v>1201</v>
      </c>
      <c r="D12515" s="7" t="n">
        <v>10</v>
      </c>
      <c r="E12515" s="7" t="n">
        <v>147.96</v>
      </c>
      <c r="F12515" s="7" t="n">
        <v>0</v>
      </c>
      <c r="G12515" s="7" t="n">
        <v>0</v>
      </c>
    </row>
    <row r="12516" customFormat="false" ht="15" hidden="false" customHeight="false" outlineLevel="0" collapsed="false">
      <c r="A12516" s="7" t="s">
        <v>32</v>
      </c>
      <c r="B12516" s="7" t="s">
        <v>405</v>
      </c>
      <c r="C12516" s="7" t="s">
        <v>1141</v>
      </c>
      <c r="D12516" s="7" t="n">
        <v>240</v>
      </c>
      <c r="E12516" s="7" t="n">
        <v>2130.37</v>
      </c>
      <c r="F12516" s="7" t="n">
        <v>0</v>
      </c>
      <c r="G12516" s="7" t="n">
        <v>0</v>
      </c>
    </row>
    <row r="12517" customFormat="false" ht="15" hidden="false" customHeight="false" outlineLevel="0" collapsed="false">
      <c r="A12517" s="7" t="s">
        <v>32</v>
      </c>
      <c r="B12517" s="7" t="s">
        <v>405</v>
      </c>
      <c r="C12517" s="7" t="s">
        <v>1141</v>
      </c>
      <c r="D12517" s="7" t="n">
        <v>0</v>
      </c>
      <c r="E12517" s="7" t="n">
        <v>0</v>
      </c>
      <c r="F12517" s="7" t="n">
        <v>150</v>
      </c>
      <c r="G12517" s="7" t="n">
        <v>1352.72</v>
      </c>
    </row>
    <row r="12518" customFormat="false" ht="15" hidden="false" customHeight="false" outlineLevel="0" collapsed="false">
      <c r="A12518" s="7" t="s">
        <v>32</v>
      </c>
      <c r="B12518" s="7" t="s">
        <v>405</v>
      </c>
      <c r="C12518" s="7" t="s">
        <v>1141</v>
      </c>
      <c r="D12518" s="7" t="n">
        <v>0</v>
      </c>
      <c r="E12518" s="7" t="n">
        <v>0</v>
      </c>
      <c r="F12518" s="7" t="n">
        <v>170</v>
      </c>
      <c r="G12518" s="7" t="n">
        <v>1300.14</v>
      </c>
    </row>
    <row r="12519" customFormat="false" ht="15" hidden="false" customHeight="false" outlineLevel="0" collapsed="false">
      <c r="A12519" s="7" t="s">
        <v>32</v>
      </c>
      <c r="B12519" s="7" t="s">
        <v>405</v>
      </c>
      <c r="C12519" s="7" t="s">
        <v>1141</v>
      </c>
      <c r="D12519" s="7" t="n">
        <v>80</v>
      </c>
      <c r="E12519" s="7" t="n">
        <v>638.31</v>
      </c>
      <c r="F12519" s="7" t="n">
        <v>0</v>
      </c>
      <c r="G12519" s="7" t="n">
        <v>0</v>
      </c>
    </row>
    <row r="12520" customFormat="false" ht="15" hidden="false" customHeight="false" outlineLevel="0" collapsed="false">
      <c r="A12520" s="7" t="s">
        <v>32</v>
      </c>
      <c r="B12520" s="7" t="s">
        <v>696</v>
      </c>
      <c r="C12520" s="7" t="s">
        <v>1141</v>
      </c>
      <c r="D12520" s="7" t="n">
        <v>0</v>
      </c>
      <c r="E12520" s="7" t="n">
        <v>0</v>
      </c>
      <c r="F12520" s="7" t="n">
        <v>220</v>
      </c>
      <c r="G12520" s="7" t="n">
        <v>1682.53</v>
      </c>
    </row>
    <row r="12521" customFormat="false" ht="15" hidden="false" customHeight="false" outlineLevel="0" collapsed="false">
      <c r="A12521" s="7" t="s">
        <v>32</v>
      </c>
      <c r="B12521" s="7" t="s">
        <v>696</v>
      </c>
      <c r="C12521" s="7" t="s">
        <v>1141</v>
      </c>
      <c r="D12521" s="7" t="n">
        <v>0</v>
      </c>
      <c r="E12521" s="7" t="n">
        <v>0</v>
      </c>
      <c r="F12521" s="7" t="n">
        <v>180</v>
      </c>
      <c r="G12521" s="7" t="n">
        <v>1623.27</v>
      </c>
    </row>
    <row r="12522" customFormat="false" ht="15" hidden="false" customHeight="false" outlineLevel="0" collapsed="false">
      <c r="A12522" s="7" t="s">
        <v>32</v>
      </c>
      <c r="B12522" s="7" t="s">
        <v>696</v>
      </c>
      <c r="C12522" s="7" t="s">
        <v>1141</v>
      </c>
      <c r="D12522" s="7" t="n">
        <v>240</v>
      </c>
      <c r="E12522" s="7" t="n">
        <v>2130.37</v>
      </c>
      <c r="F12522" s="7" t="n">
        <v>0</v>
      </c>
      <c r="G12522" s="7" t="n">
        <v>0</v>
      </c>
    </row>
    <row r="12523" customFormat="false" ht="15" hidden="false" customHeight="false" outlineLevel="0" collapsed="false">
      <c r="A12523" s="7" t="s">
        <v>32</v>
      </c>
      <c r="B12523" s="7" t="s">
        <v>696</v>
      </c>
      <c r="C12523" s="7" t="s">
        <v>1141</v>
      </c>
      <c r="D12523" s="7" t="n">
        <v>150</v>
      </c>
      <c r="E12523" s="7" t="n">
        <v>1196.83</v>
      </c>
      <c r="F12523" s="7" t="n">
        <v>0</v>
      </c>
      <c r="G12523" s="7" t="n">
        <v>0</v>
      </c>
    </row>
    <row r="12524" customFormat="false" ht="15" hidden="false" customHeight="false" outlineLevel="0" collapsed="false">
      <c r="A12524" s="7" t="s">
        <v>32</v>
      </c>
      <c r="B12524" s="7" t="s">
        <v>700</v>
      </c>
      <c r="C12524" s="7" t="s">
        <v>1141</v>
      </c>
      <c r="D12524" s="7" t="n">
        <v>100</v>
      </c>
      <c r="E12524" s="7" t="n">
        <v>797.89</v>
      </c>
      <c r="F12524" s="7" t="n">
        <v>0</v>
      </c>
      <c r="G12524" s="7" t="n">
        <v>0</v>
      </c>
    </row>
    <row r="12525" customFormat="false" ht="15" hidden="false" customHeight="false" outlineLevel="0" collapsed="false">
      <c r="A12525" s="7" t="s">
        <v>32</v>
      </c>
      <c r="B12525" s="7" t="s">
        <v>700</v>
      </c>
      <c r="C12525" s="7" t="s">
        <v>1141</v>
      </c>
      <c r="D12525" s="7" t="n">
        <v>0</v>
      </c>
      <c r="E12525" s="7" t="n">
        <v>0</v>
      </c>
      <c r="F12525" s="7" t="n">
        <v>160</v>
      </c>
      <c r="G12525" s="7" t="n">
        <v>1223.66</v>
      </c>
    </row>
    <row r="12526" customFormat="false" ht="15" hidden="false" customHeight="false" outlineLevel="0" collapsed="false">
      <c r="A12526" s="7" t="s">
        <v>32</v>
      </c>
      <c r="B12526" s="7" t="s">
        <v>700</v>
      </c>
      <c r="C12526" s="7" t="s">
        <v>1141</v>
      </c>
      <c r="D12526" s="7" t="n">
        <v>0</v>
      </c>
      <c r="E12526" s="7" t="n">
        <v>0</v>
      </c>
      <c r="F12526" s="7" t="n">
        <v>120</v>
      </c>
      <c r="G12526" s="7" t="n">
        <v>1082.18</v>
      </c>
    </row>
    <row r="12527" customFormat="false" ht="15" hidden="false" customHeight="false" outlineLevel="0" collapsed="false">
      <c r="A12527" s="7" t="s">
        <v>32</v>
      </c>
      <c r="B12527" s="7" t="s">
        <v>700</v>
      </c>
      <c r="C12527" s="7" t="s">
        <v>1141</v>
      </c>
      <c r="D12527" s="7" t="n">
        <v>120</v>
      </c>
      <c r="E12527" s="7" t="n">
        <v>1065.19</v>
      </c>
      <c r="F12527" s="7" t="n">
        <v>0</v>
      </c>
      <c r="G12527" s="7" t="n">
        <v>0</v>
      </c>
    </row>
    <row r="12528" customFormat="false" ht="15" hidden="false" customHeight="false" outlineLevel="0" collapsed="false">
      <c r="A12528" s="7" t="s">
        <v>32</v>
      </c>
      <c r="B12528" s="7" t="s">
        <v>567</v>
      </c>
      <c r="C12528" s="7" t="s">
        <v>1141</v>
      </c>
      <c r="D12528" s="7" t="n">
        <v>120</v>
      </c>
      <c r="E12528" s="7" t="n">
        <v>1065.19</v>
      </c>
      <c r="F12528" s="7" t="n">
        <v>0</v>
      </c>
      <c r="G12528" s="7" t="n">
        <v>0</v>
      </c>
    </row>
    <row r="12529" customFormat="false" ht="15" hidden="false" customHeight="false" outlineLevel="0" collapsed="false">
      <c r="A12529" s="7" t="s">
        <v>32</v>
      </c>
      <c r="B12529" s="7" t="s">
        <v>567</v>
      </c>
      <c r="C12529" s="7" t="s">
        <v>1141</v>
      </c>
      <c r="D12529" s="7" t="n">
        <v>80</v>
      </c>
      <c r="E12529" s="7" t="n">
        <v>638.31</v>
      </c>
      <c r="F12529" s="7" t="n">
        <v>0</v>
      </c>
      <c r="G12529" s="7" t="n">
        <v>0</v>
      </c>
    </row>
    <row r="12530" customFormat="false" ht="15" hidden="false" customHeight="false" outlineLevel="0" collapsed="false">
      <c r="A12530" s="7" t="s">
        <v>32</v>
      </c>
      <c r="B12530" s="7" t="s">
        <v>567</v>
      </c>
      <c r="C12530" s="7" t="s">
        <v>1141</v>
      </c>
      <c r="D12530" s="7" t="n">
        <v>0</v>
      </c>
      <c r="E12530" s="7" t="n">
        <v>0</v>
      </c>
      <c r="F12530" s="7" t="n">
        <v>90</v>
      </c>
      <c r="G12530" s="7" t="n">
        <v>811.63</v>
      </c>
    </row>
    <row r="12531" customFormat="false" ht="15" hidden="false" customHeight="false" outlineLevel="0" collapsed="false">
      <c r="A12531" s="7" t="s">
        <v>32</v>
      </c>
      <c r="B12531" s="7" t="s">
        <v>567</v>
      </c>
      <c r="C12531" s="7" t="s">
        <v>1141</v>
      </c>
      <c r="D12531" s="7" t="n">
        <v>0</v>
      </c>
      <c r="E12531" s="7" t="n">
        <v>0</v>
      </c>
      <c r="F12531" s="7" t="n">
        <v>120</v>
      </c>
      <c r="G12531" s="7" t="n">
        <v>917.75</v>
      </c>
    </row>
    <row r="12532" customFormat="false" ht="15" hidden="false" customHeight="false" outlineLevel="0" collapsed="false">
      <c r="A12532" s="7" t="s">
        <v>32</v>
      </c>
      <c r="B12532" s="7" t="s">
        <v>728</v>
      </c>
      <c r="C12532" s="7" t="s">
        <v>1204</v>
      </c>
      <c r="D12532" s="7" t="n">
        <v>0</v>
      </c>
      <c r="E12532" s="7" t="n">
        <v>0</v>
      </c>
      <c r="F12532" s="7" t="n">
        <v>70</v>
      </c>
      <c r="G12532" s="7" t="n">
        <v>734.98</v>
      </c>
    </row>
    <row r="12533" customFormat="false" ht="15" hidden="false" customHeight="false" outlineLevel="0" collapsed="false">
      <c r="A12533" s="7" t="s">
        <v>32</v>
      </c>
      <c r="B12533" s="7" t="s">
        <v>356</v>
      </c>
      <c r="C12533" s="7" t="s">
        <v>1045</v>
      </c>
      <c r="D12533" s="7" t="n">
        <v>0</v>
      </c>
      <c r="E12533" s="7" t="n">
        <v>0</v>
      </c>
      <c r="F12533" s="7" t="n">
        <v>10</v>
      </c>
      <c r="G12533" s="7" t="n">
        <v>201.3</v>
      </c>
    </row>
    <row r="12534" customFormat="false" ht="15" hidden="false" customHeight="false" outlineLevel="0" collapsed="false">
      <c r="A12534" s="7" t="s">
        <v>32</v>
      </c>
      <c r="B12534" s="7" t="s">
        <v>356</v>
      </c>
      <c r="C12534" s="7" t="s">
        <v>1045</v>
      </c>
      <c r="D12534" s="7" t="n">
        <v>10</v>
      </c>
      <c r="E12534" s="7" t="n">
        <v>210.01</v>
      </c>
      <c r="F12534" s="7" t="n">
        <v>0</v>
      </c>
      <c r="G12534" s="7" t="n">
        <v>0</v>
      </c>
    </row>
    <row r="12535" customFormat="false" ht="15" hidden="false" customHeight="false" outlineLevel="0" collapsed="false">
      <c r="A12535" s="7" t="s">
        <v>32</v>
      </c>
      <c r="B12535" s="7" t="s">
        <v>163</v>
      </c>
      <c r="C12535" s="7" t="s">
        <v>1046</v>
      </c>
      <c r="D12535" s="7" t="n">
        <v>0</v>
      </c>
      <c r="E12535" s="7" t="n">
        <v>0</v>
      </c>
      <c r="F12535" s="7" t="n">
        <v>10</v>
      </c>
      <c r="G12535" s="7" t="n">
        <v>228.75</v>
      </c>
    </row>
    <row r="12536" customFormat="false" ht="15" hidden="false" customHeight="false" outlineLevel="0" collapsed="false">
      <c r="A12536" s="7" t="s">
        <v>32</v>
      </c>
      <c r="B12536" s="7" t="s">
        <v>163</v>
      </c>
      <c r="C12536" s="7" t="s">
        <v>1046</v>
      </c>
      <c r="D12536" s="7" t="n">
        <v>10</v>
      </c>
      <c r="E12536" s="7" t="n">
        <v>238.65</v>
      </c>
      <c r="F12536" s="7" t="n">
        <v>0</v>
      </c>
      <c r="G12536" s="7" t="n">
        <v>0</v>
      </c>
    </row>
    <row r="12537" customFormat="false" ht="15" hidden="false" customHeight="false" outlineLevel="0" collapsed="false">
      <c r="A12537" s="7" t="s">
        <v>32</v>
      </c>
      <c r="B12537" s="7" t="s">
        <v>143</v>
      </c>
      <c r="C12537" s="7" t="s">
        <v>1047</v>
      </c>
      <c r="D12537" s="7" t="n">
        <v>0</v>
      </c>
      <c r="E12537" s="7" t="n">
        <v>0</v>
      </c>
      <c r="F12537" s="7" t="n">
        <v>150</v>
      </c>
      <c r="G12537" s="7" t="n">
        <v>3507.91</v>
      </c>
    </row>
    <row r="12538" customFormat="false" ht="15" hidden="false" customHeight="false" outlineLevel="0" collapsed="false">
      <c r="A12538" s="7" t="s">
        <v>32</v>
      </c>
      <c r="B12538" s="7" t="s">
        <v>143</v>
      </c>
      <c r="C12538" s="7" t="s">
        <v>1047</v>
      </c>
      <c r="D12538" s="7" t="n">
        <v>130</v>
      </c>
      <c r="E12538" s="7" t="n">
        <v>2689.82</v>
      </c>
      <c r="F12538" s="7" t="n">
        <v>0</v>
      </c>
      <c r="G12538" s="7" t="n">
        <v>0</v>
      </c>
    </row>
    <row r="12539" customFormat="false" ht="15" hidden="false" customHeight="false" outlineLevel="0" collapsed="false">
      <c r="A12539" s="7" t="s">
        <v>32</v>
      </c>
      <c r="B12539" s="7" t="s">
        <v>143</v>
      </c>
      <c r="C12539" s="7" t="s">
        <v>1047</v>
      </c>
      <c r="D12539" s="7" t="n">
        <v>0</v>
      </c>
      <c r="E12539" s="7" t="n">
        <v>0</v>
      </c>
      <c r="F12539" s="7" t="n">
        <v>100</v>
      </c>
      <c r="G12539" s="7" t="n">
        <v>1983.26</v>
      </c>
    </row>
    <row r="12540" customFormat="false" ht="15" hidden="false" customHeight="false" outlineLevel="0" collapsed="false">
      <c r="A12540" s="7" t="s">
        <v>32</v>
      </c>
      <c r="B12540" s="7" t="s">
        <v>143</v>
      </c>
      <c r="C12540" s="7" t="s">
        <v>1047</v>
      </c>
      <c r="D12540" s="7" t="n">
        <v>180</v>
      </c>
      <c r="E12540" s="7" t="n">
        <v>4143.39</v>
      </c>
      <c r="F12540" s="7" t="n">
        <v>0</v>
      </c>
      <c r="G12540" s="7" t="n">
        <v>0</v>
      </c>
    </row>
    <row r="12541" customFormat="false" ht="15" hidden="false" customHeight="false" outlineLevel="0" collapsed="false">
      <c r="A12541" s="7" t="s">
        <v>32</v>
      </c>
      <c r="B12541" s="7" t="s">
        <v>792</v>
      </c>
      <c r="C12541" s="7" t="s">
        <v>1142</v>
      </c>
      <c r="D12541" s="7" t="n">
        <v>6</v>
      </c>
      <c r="E12541" s="7" t="n">
        <v>225.67</v>
      </c>
      <c r="F12541" s="7" t="n">
        <v>0</v>
      </c>
      <c r="G12541" s="7" t="n">
        <v>0</v>
      </c>
    </row>
    <row r="12542" customFormat="false" ht="15" hidden="false" customHeight="false" outlineLevel="0" collapsed="false">
      <c r="A12542" s="7" t="s">
        <v>32</v>
      </c>
      <c r="B12542" s="7" t="s">
        <v>614</v>
      </c>
      <c r="C12542" s="7" t="s">
        <v>1142</v>
      </c>
      <c r="D12542" s="7" t="n">
        <v>5</v>
      </c>
      <c r="E12542" s="7" t="n">
        <v>169.05</v>
      </c>
      <c r="F12542" s="7" t="n">
        <v>0</v>
      </c>
      <c r="G12542" s="7" t="n">
        <v>0</v>
      </c>
    </row>
    <row r="12543" customFormat="false" ht="15" hidden="false" customHeight="false" outlineLevel="0" collapsed="false">
      <c r="A12543" s="7" t="s">
        <v>32</v>
      </c>
      <c r="B12543" s="7" t="s">
        <v>614</v>
      </c>
      <c r="C12543" s="7" t="s">
        <v>1142</v>
      </c>
      <c r="D12543" s="7" t="n">
        <v>6</v>
      </c>
      <c r="E12543" s="7" t="n">
        <v>225.67</v>
      </c>
      <c r="F12543" s="7" t="n">
        <v>0</v>
      </c>
      <c r="G12543" s="7" t="n">
        <v>0</v>
      </c>
    </row>
    <row r="12544" customFormat="false" ht="15" hidden="false" customHeight="false" outlineLevel="0" collapsed="false">
      <c r="A12544" s="7" t="s">
        <v>32</v>
      </c>
      <c r="B12544" s="7" t="s">
        <v>614</v>
      </c>
      <c r="C12544" s="7" t="s">
        <v>1142</v>
      </c>
      <c r="D12544" s="7" t="n">
        <v>0</v>
      </c>
      <c r="E12544" s="7" t="n">
        <v>0</v>
      </c>
      <c r="F12544" s="7" t="n">
        <v>5</v>
      </c>
      <c r="G12544" s="7" t="n">
        <v>191.06</v>
      </c>
    </row>
    <row r="12545" customFormat="false" ht="15" hidden="false" customHeight="false" outlineLevel="0" collapsed="false">
      <c r="A12545" s="7" t="s">
        <v>32</v>
      </c>
      <c r="B12545" s="7" t="s">
        <v>429</v>
      </c>
      <c r="C12545" s="7" t="s">
        <v>1142</v>
      </c>
      <c r="D12545" s="7" t="n">
        <v>5</v>
      </c>
      <c r="E12545" s="7" t="n">
        <v>169.05</v>
      </c>
      <c r="F12545" s="7" t="n">
        <v>0</v>
      </c>
      <c r="G12545" s="7" t="n">
        <v>0</v>
      </c>
    </row>
    <row r="12546" customFormat="false" ht="15" hidden="false" customHeight="false" outlineLevel="0" collapsed="false">
      <c r="A12546" s="7" t="s">
        <v>32</v>
      </c>
      <c r="B12546" s="7" t="s">
        <v>429</v>
      </c>
      <c r="C12546" s="7" t="s">
        <v>1142</v>
      </c>
      <c r="D12546" s="7" t="n">
        <v>5</v>
      </c>
      <c r="E12546" s="7" t="n">
        <v>188.06</v>
      </c>
      <c r="F12546" s="7" t="n">
        <v>0</v>
      </c>
      <c r="G12546" s="7" t="n">
        <v>0</v>
      </c>
    </row>
    <row r="12547" customFormat="false" ht="15" hidden="false" customHeight="false" outlineLevel="0" collapsed="false">
      <c r="A12547" s="7" t="s">
        <v>32</v>
      </c>
      <c r="B12547" s="7" t="s">
        <v>222</v>
      </c>
      <c r="C12547" s="7" t="s">
        <v>1215</v>
      </c>
      <c r="D12547" s="7" t="n">
        <v>36</v>
      </c>
      <c r="E12547" s="7" t="n">
        <v>1061.57</v>
      </c>
      <c r="F12547" s="7" t="n">
        <v>0</v>
      </c>
      <c r="G12547" s="7" t="n">
        <v>0</v>
      </c>
    </row>
    <row r="12548" customFormat="false" ht="15" hidden="false" customHeight="false" outlineLevel="0" collapsed="false">
      <c r="A12548" s="7" t="s">
        <v>32</v>
      </c>
      <c r="B12548" s="7" t="s">
        <v>469</v>
      </c>
      <c r="C12548" s="7" t="s">
        <v>1143</v>
      </c>
      <c r="D12548" s="7" t="n">
        <v>24</v>
      </c>
      <c r="E12548" s="7" t="n">
        <v>689.66</v>
      </c>
      <c r="F12548" s="7" t="n">
        <v>0</v>
      </c>
      <c r="G12548" s="7" t="n">
        <v>0</v>
      </c>
    </row>
    <row r="12549" customFormat="false" ht="15" hidden="false" customHeight="false" outlineLevel="0" collapsed="false">
      <c r="A12549" s="7" t="s">
        <v>32</v>
      </c>
      <c r="B12549" s="7" t="s">
        <v>469</v>
      </c>
      <c r="C12549" s="7" t="s">
        <v>1143</v>
      </c>
      <c r="D12549" s="7" t="n">
        <v>0</v>
      </c>
      <c r="E12549" s="7" t="n">
        <v>0</v>
      </c>
      <c r="F12549" s="7" t="n">
        <v>40</v>
      </c>
      <c r="G12549" s="7" t="n">
        <v>990.34</v>
      </c>
    </row>
    <row r="12550" customFormat="false" ht="15" hidden="false" customHeight="false" outlineLevel="0" collapsed="false">
      <c r="A12550" s="7" t="s">
        <v>32</v>
      </c>
      <c r="B12550" s="7" t="s">
        <v>469</v>
      </c>
      <c r="C12550" s="7" t="s">
        <v>1143</v>
      </c>
      <c r="D12550" s="7" t="n">
        <v>0</v>
      </c>
      <c r="E12550" s="7" t="n">
        <v>0</v>
      </c>
      <c r="F12550" s="7" t="n">
        <v>33</v>
      </c>
      <c r="G12550" s="7" t="n">
        <v>963.41</v>
      </c>
    </row>
    <row r="12551" customFormat="false" ht="15" hidden="false" customHeight="false" outlineLevel="0" collapsed="false">
      <c r="A12551" s="7" t="s">
        <v>32</v>
      </c>
      <c r="B12551" s="7" t="s">
        <v>342</v>
      </c>
      <c r="C12551" s="7" t="s">
        <v>1143</v>
      </c>
      <c r="D12551" s="7" t="n">
        <v>0</v>
      </c>
      <c r="E12551" s="7" t="n">
        <v>0</v>
      </c>
      <c r="F12551" s="7" t="n">
        <v>20</v>
      </c>
      <c r="G12551" s="7" t="n">
        <v>464.06</v>
      </c>
    </row>
    <row r="12552" customFormat="false" ht="15" hidden="false" customHeight="false" outlineLevel="0" collapsed="false">
      <c r="A12552" s="7" t="s">
        <v>32</v>
      </c>
      <c r="B12552" s="7" t="s">
        <v>342</v>
      </c>
      <c r="C12552" s="7" t="s">
        <v>1143</v>
      </c>
      <c r="D12552" s="7" t="n">
        <v>0</v>
      </c>
      <c r="E12552" s="7" t="n">
        <v>0</v>
      </c>
      <c r="F12552" s="7" t="n">
        <v>9</v>
      </c>
      <c r="G12552" s="7" t="n">
        <v>246.24</v>
      </c>
    </row>
    <row r="12553" customFormat="false" ht="15" hidden="false" customHeight="false" outlineLevel="0" collapsed="false">
      <c r="A12553" s="7" t="s">
        <v>32</v>
      </c>
      <c r="B12553" s="7" t="s">
        <v>342</v>
      </c>
      <c r="C12553" s="7" t="s">
        <v>1143</v>
      </c>
      <c r="D12553" s="7" t="n">
        <v>10</v>
      </c>
      <c r="E12553" s="7" t="n">
        <v>242.07</v>
      </c>
      <c r="F12553" s="7" t="n">
        <v>0</v>
      </c>
      <c r="G12553" s="7" t="n">
        <v>0</v>
      </c>
    </row>
    <row r="12554" customFormat="false" ht="15" hidden="false" customHeight="false" outlineLevel="0" collapsed="false">
      <c r="A12554" s="7" t="s">
        <v>32</v>
      </c>
      <c r="B12554" s="7" t="s">
        <v>162</v>
      </c>
      <c r="C12554" s="7" t="s">
        <v>1083</v>
      </c>
      <c r="D12554" s="7" t="n">
        <v>0</v>
      </c>
      <c r="E12554" s="7" t="n">
        <v>0</v>
      </c>
      <c r="F12554" s="7" t="n">
        <v>5</v>
      </c>
      <c r="G12554" s="7" t="n">
        <v>184.18</v>
      </c>
    </row>
    <row r="12555" customFormat="false" ht="15" hidden="false" customHeight="false" outlineLevel="0" collapsed="false">
      <c r="A12555" s="7" t="s">
        <v>32</v>
      </c>
      <c r="B12555" s="7" t="s">
        <v>162</v>
      </c>
      <c r="C12555" s="7" t="s">
        <v>1083</v>
      </c>
      <c r="D12555" s="7" t="n">
        <v>10</v>
      </c>
      <c r="E12555" s="7" t="n">
        <v>325.92</v>
      </c>
      <c r="F12555" s="7" t="n">
        <v>0</v>
      </c>
      <c r="G12555" s="7" t="n">
        <v>0</v>
      </c>
    </row>
    <row r="12556" customFormat="false" ht="15" hidden="false" customHeight="false" outlineLevel="0" collapsed="false">
      <c r="A12556" s="7" t="s">
        <v>32</v>
      </c>
      <c r="B12556" s="7" t="s">
        <v>162</v>
      </c>
      <c r="C12556" s="7" t="s">
        <v>1083</v>
      </c>
      <c r="D12556" s="7" t="n">
        <v>0</v>
      </c>
      <c r="E12556" s="7" t="n">
        <v>0</v>
      </c>
      <c r="F12556" s="7" t="n">
        <v>10</v>
      </c>
      <c r="G12556" s="7" t="n">
        <v>312.4</v>
      </c>
    </row>
    <row r="12557" customFormat="false" ht="15" hidden="false" customHeight="false" outlineLevel="0" collapsed="false">
      <c r="A12557" s="7" t="s">
        <v>32</v>
      </c>
      <c r="B12557" s="7" t="s">
        <v>171</v>
      </c>
      <c r="C12557" s="7" t="s">
        <v>1083</v>
      </c>
      <c r="D12557" s="7" t="n">
        <v>0</v>
      </c>
      <c r="E12557" s="7" t="n">
        <v>0</v>
      </c>
      <c r="F12557" s="7" t="n">
        <v>10</v>
      </c>
      <c r="G12557" s="7" t="n">
        <v>312.4</v>
      </c>
    </row>
    <row r="12558" customFormat="false" ht="15" hidden="false" customHeight="false" outlineLevel="0" collapsed="false">
      <c r="A12558" s="7" t="s">
        <v>32</v>
      </c>
      <c r="B12558" s="7" t="s">
        <v>171</v>
      </c>
      <c r="C12558" s="7" t="s">
        <v>1083</v>
      </c>
      <c r="D12558" s="7" t="n">
        <v>0</v>
      </c>
      <c r="E12558" s="7" t="n">
        <v>0</v>
      </c>
      <c r="F12558" s="7" t="n">
        <v>14</v>
      </c>
      <c r="G12558" s="7" t="n">
        <v>515.72</v>
      </c>
    </row>
    <row r="12559" customFormat="false" ht="15" hidden="false" customHeight="false" outlineLevel="0" collapsed="false">
      <c r="A12559" s="7" t="s">
        <v>32</v>
      </c>
      <c r="B12559" s="7" t="s">
        <v>329</v>
      </c>
      <c r="C12559" s="7" t="s">
        <v>1083</v>
      </c>
      <c r="D12559" s="7" t="n">
        <v>0</v>
      </c>
      <c r="E12559" s="7" t="n">
        <v>0</v>
      </c>
      <c r="F12559" s="7" t="n">
        <v>4</v>
      </c>
      <c r="G12559" s="7" t="n">
        <v>147.35</v>
      </c>
    </row>
    <row r="12560" customFormat="false" ht="15" hidden="false" customHeight="false" outlineLevel="0" collapsed="false">
      <c r="A12560" s="7" t="s">
        <v>32</v>
      </c>
      <c r="B12560" s="7" t="s">
        <v>329</v>
      </c>
      <c r="C12560" s="7" t="s">
        <v>1083</v>
      </c>
      <c r="D12560" s="7" t="n">
        <v>0</v>
      </c>
      <c r="E12560" s="7" t="n">
        <v>0</v>
      </c>
      <c r="F12560" s="7" t="n">
        <v>5</v>
      </c>
      <c r="G12560" s="7" t="n">
        <v>156.2</v>
      </c>
    </row>
    <row r="12561" customFormat="false" ht="15" hidden="false" customHeight="false" outlineLevel="0" collapsed="false">
      <c r="A12561" s="7" t="s">
        <v>32</v>
      </c>
      <c r="B12561" s="7" t="s">
        <v>329</v>
      </c>
      <c r="C12561" s="7" t="s">
        <v>1083</v>
      </c>
      <c r="D12561" s="7" t="n">
        <v>5</v>
      </c>
      <c r="E12561" s="7" t="n">
        <v>162.96</v>
      </c>
      <c r="F12561" s="7" t="n">
        <v>0</v>
      </c>
      <c r="G12561" s="7" t="n">
        <v>0</v>
      </c>
    </row>
    <row r="12562" customFormat="false" ht="15" hidden="false" customHeight="false" outlineLevel="0" collapsed="false">
      <c r="A12562" s="7" t="s">
        <v>32</v>
      </c>
      <c r="B12562" s="7" t="s">
        <v>483</v>
      </c>
      <c r="C12562" s="7" t="s">
        <v>1144</v>
      </c>
      <c r="D12562" s="7" t="n">
        <v>0</v>
      </c>
      <c r="E12562" s="7" t="n">
        <v>0</v>
      </c>
      <c r="F12562" s="7" t="n">
        <v>50</v>
      </c>
      <c r="G12562" s="7" t="n">
        <v>1237.92</v>
      </c>
    </row>
    <row r="12563" customFormat="false" ht="15" hidden="false" customHeight="false" outlineLevel="0" collapsed="false">
      <c r="A12563" s="7" t="s">
        <v>32</v>
      </c>
      <c r="B12563" s="7" t="s">
        <v>483</v>
      </c>
      <c r="C12563" s="7" t="s">
        <v>1144</v>
      </c>
      <c r="D12563" s="7" t="n">
        <v>0</v>
      </c>
      <c r="E12563" s="7" t="n">
        <v>0</v>
      </c>
      <c r="F12563" s="7" t="n">
        <v>88</v>
      </c>
      <c r="G12563" s="7" t="n">
        <v>2569.1</v>
      </c>
    </row>
    <row r="12564" customFormat="false" ht="15" hidden="false" customHeight="false" outlineLevel="0" collapsed="false">
      <c r="A12564" s="7" t="s">
        <v>32</v>
      </c>
      <c r="B12564" s="7" t="s">
        <v>483</v>
      </c>
      <c r="C12564" s="7" t="s">
        <v>1144</v>
      </c>
      <c r="D12564" s="7" t="n">
        <v>55</v>
      </c>
      <c r="E12564" s="7" t="n">
        <v>1420.65</v>
      </c>
      <c r="F12564" s="7" t="n">
        <v>0</v>
      </c>
      <c r="G12564" s="7" t="n">
        <v>0</v>
      </c>
    </row>
    <row r="12565" customFormat="false" ht="15" hidden="false" customHeight="false" outlineLevel="0" collapsed="false">
      <c r="A12565" s="7" t="s">
        <v>32</v>
      </c>
      <c r="B12565" s="7" t="s">
        <v>649</v>
      </c>
      <c r="C12565" s="7" t="s">
        <v>1144</v>
      </c>
      <c r="D12565" s="7" t="n">
        <v>0</v>
      </c>
      <c r="E12565" s="7" t="n">
        <v>0</v>
      </c>
      <c r="F12565" s="7" t="n">
        <v>20</v>
      </c>
      <c r="G12565" s="7" t="n">
        <v>495.17</v>
      </c>
    </row>
    <row r="12566" customFormat="false" ht="15" hidden="false" customHeight="false" outlineLevel="0" collapsed="false">
      <c r="A12566" s="7" t="s">
        <v>32</v>
      </c>
      <c r="B12566" s="7" t="s">
        <v>649</v>
      </c>
      <c r="C12566" s="7" t="s">
        <v>1144</v>
      </c>
      <c r="D12566" s="7" t="n">
        <v>105</v>
      </c>
      <c r="E12566" s="7" t="n">
        <v>2712.14</v>
      </c>
      <c r="F12566" s="7" t="n">
        <v>0</v>
      </c>
      <c r="G12566" s="7" t="n">
        <v>0</v>
      </c>
    </row>
    <row r="12567" customFormat="false" ht="15" hidden="false" customHeight="false" outlineLevel="0" collapsed="false">
      <c r="A12567" s="7" t="s">
        <v>32</v>
      </c>
      <c r="B12567" s="7" t="s">
        <v>649</v>
      </c>
      <c r="C12567" s="7" t="s">
        <v>1144</v>
      </c>
      <c r="D12567" s="7" t="n">
        <v>0</v>
      </c>
      <c r="E12567" s="7" t="n">
        <v>0</v>
      </c>
      <c r="F12567" s="7" t="n">
        <v>80</v>
      </c>
      <c r="G12567" s="7" t="n">
        <v>2335.55</v>
      </c>
    </row>
    <row r="12568" customFormat="false" ht="15" hidden="false" customHeight="false" outlineLevel="0" collapsed="false">
      <c r="A12568" s="7" t="s">
        <v>32</v>
      </c>
      <c r="B12568" s="7" t="s">
        <v>643</v>
      </c>
      <c r="C12568" s="7" t="s">
        <v>1144</v>
      </c>
      <c r="D12568" s="7" t="n">
        <v>25</v>
      </c>
      <c r="E12568" s="7" t="n">
        <v>645.74</v>
      </c>
      <c r="F12568" s="7" t="n">
        <v>0</v>
      </c>
      <c r="G12568" s="7" t="n">
        <v>0</v>
      </c>
    </row>
    <row r="12569" customFormat="false" ht="15" hidden="false" customHeight="false" outlineLevel="0" collapsed="false">
      <c r="A12569" s="7" t="s">
        <v>32</v>
      </c>
      <c r="B12569" s="7" t="s">
        <v>643</v>
      </c>
      <c r="C12569" s="7" t="s">
        <v>1144</v>
      </c>
      <c r="D12569" s="7" t="n">
        <v>0</v>
      </c>
      <c r="E12569" s="7" t="n">
        <v>0</v>
      </c>
      <c r="F12569" s="7" t="n">
        <v>20</v>
      </c>
      <c r="G12569" s="7" t="n">
        <v>583.89</v>
      </c>
    </row>
    <row r="12570" customFormat="false" ht="15" hidden="false" customHeight="false" outlineLevel="0" collapsed="false">
      <c r="A12570" s="7" t="s">
        <v>32</v>
      </c>
      <c r="B12570" s="7" t="s">
        <v>227</v>
      </c>
      <c r="C12570" s="7" t="s">
        <v>1144</v>
      </c>
      <c r="D12570" s="7" t="n">
        <v>25</v>
      </c>
      <c r="E12570" s="7" t="n">
        <v>645.74</v>
      </c>
      <c r="F12570" s="7" t="n">
        <v>0</v>
      </c>
      <c r="G12570" s="7" t="n">
        <v>0</v>
      </c>
    </row>
    <row r="12571" customFormat="false" ht="15" hidden="false" customHeight="false" outlineLevel="0" collapsed="false">
      <c r="A12571" s="7" t="s">
        <v>32</v>
      </c>
      <c r="B12571" s="7" t="s">
        <v>227</v>
      </c>
      <c r="C12571" s="7" t="s">
        <v>1144</v>
      </c>
      <c r="D12571" s="7" t="n">
        <v>0</v>
      </c>
      <c r="E12571" s="7" t="n">
        <v>0</v>
      </c>
      <c r="F12571" s="7" t="n">
        <v>34</v>
      </c>
      <c r="G12571" s="7" t="n">
        <v>992.61</v>
      </c>
    </row>
    <row r="12572" customFormat="false" ht="15" hidden="false" customHeight="false" outlineLevel="0" collapsed="false">
      <c r="A12572" s="7" t="s">
        <v>32</v>
      </c>
      <c r="B12572" s="7" t="s">
        <v>227</v>
      </c>
      <c r="C12572" s="7" t="s">
        <v>1144</v>
      </c>
      <c r="D12572" s="7" t="n">
        <v>0</v>
      </c>
      <c r="E12572" s="7" t="n">
        <v>0</v>
      </c>
      <c r="F12572" s="7" t="n">
        <v>25</v>
      </c>
      <c r="G12572" s="7" t="n">
        <v>618.96</v>
      </c>
    </row>
    <row r="12573" customFormat="false" ht="15" hidden="false" customHeight="false" outlineLevel="0" collapsed="false">
      <c r="A12573" s="7" t="s">
        <v>32</v>
      </c>
      <c r="B12573" s="7" t="s">
        <v>689</v>
      </c>
      <c r="C12573" s="7" t="s">
        <v>1168</v>
      </c>
      <c r="D12573" s="7" t="n">
        <v>12</v>
      </c>
      <c r="E12573" s="7" t="n">
        <v>288.86</v>
      </c>
      <c r="F12573" s="7" t="n">
        <v>0</v>
      </c>
      <c r="G12573" s="7" t="n">
        <v>0</v>
      </c>
    </row>
    <row r="12574" customFormat="false" ht="15" hidden="false" customHeight="false" outlineLevel="0" collapsed="false">
      <c r="A12574" s="7" t="s">
        <v>32</v>
      </c>
      <c r="B12574" s="7" t="s">
        <v>689</v>
      </c>
      <c r="C12574" s="7" t="s">
        <v>1168</v>
      </c>
      <c r="D12574" s="7" t="n">
        <v>0</v>
      </c>
      <c r="E12574" s="7" t="n">
        <v>0</v>
      </c>
      <c r="F12574" s="7" t="n">
        <v>20</v>
      </c>
      <c r="G12574" s="7" t="n">
        <v>414.8</v>
      </c>
    </row>
    <row r="12575" customFormat="false" ht="15" hidden="false" customHeight="false" outlineLevel="0" collapsed="false">
      <c r="A12575" s="7" t="s">
        <v>32</v>
      </c>
      <c r="B12575" s="7" t="s">
        <v>741</v>
      </c>
      <c r="C12575" s="7" t="s">
        <v>1168</v>
      </c>
      <c r="D12575" s="7" t="n">
        <v>24</v>
      </c>
      <c r="E12575" s="7" t="n">
        <v>577.73</v>
      </c>
      <c r="F12575" s="7" t="n">
        <v>0</v>
      </c>
      <c r="G12575" s="7" t="n">
        <v>0</v>
      </c>
    </row>
    <row r="12576" customFormat="false" ht="15" hidden="false" customHeight="false" outlineLevel="0" collapsed="false">
      <c r="A12576" s="7" t="s">
        <v>32</v>
      </c>
      <c r="B12576" s="7" t="s">
        <v>741</v>
      </c>
      <c r="C12576" s="7" t="s">
        <v>1168</v>
      </c>
      <c r="D12576" s="7" t="n">
        <v>0</v>
      </c>
      <c r="E12576" s="7" t="n">
        <v>0</v>
      </c>
      <c r="F12576" s="7" t="n">
        <v>20</v>
      </c>
      <c r="G12576" s="7" t="n">
        <v>414.8</v>
      </c>
    </row>
    <row r="12577" customFormat="false" ht="15" hidden="false" customHeight="false" outlineLevel="0" collapsed="false">
      <c r="A12577" s="7" t="s">
        <v>32</v>
      </c>
      <c r="B12577" s="7" t="s">
        <v>741</v>
      </c>
      <c r="C12577" s="7" t="s">
        <v>1168</v>
      </c>
      <c r="D12577" s="7" t="n">
        <v>15</v>
      </c>
      <c r="E12577" s="7" t="n">
        <v>324.56</v>
      </c>
      <c r="F12577" s="7" t="n">
        <v>0</v>
      </c>
      <c r="G12577" s="7" t="n">
        <v>0</v>
      </c>
    </row>
    <row r="12578" customFormat="false" ht="15" hidden="false" customHeight="false" outlineLevel="0" collapsed="false">
      <c r="A12578" s="7" t="s">
        <v>32</v>
      </c>
      <c r="B12578" s="7" t="s">
        <v>418</v>
      </c>
      <c r="C12578" s="7" t="s">
        <v>1169</v>
      </c>
      <c r="D12578" s="7" t="n">
        <v>10</v>
      </c>
      <c r="E12578" s="7" t="n">
        <v>135.24</v>
      </c>
      <c r="F12578" s="7" t="n">
        <v>0</v>
      </c>
      <c r="G12578" s="7" t="n">
        <v>0</v>
      </c>
    </row>
    <row r="12579" customFormat="false" ht="15" hidden="false" customHeight="false" outlineLevel="0" collapsed="false">
      <c r="A12579" s="7" t="s">
        <v>32</v>
      </c>
      <c r="B12579" s="7" t="s">
        <v>411</v>
      </c>
      <c r="C12579" s="7" t="s">
        <v>1221</v>
      </c>
      <c r="D12579" s="7" t="n">
        <v>0</v>
      </c>
      <c r="E12579" s="7" t="n">
        <v>0</v>
      </c>
      <c r="F12579" s="7" t="n">
        <v>5</v>
      </c>
      <c r="G12579" s="7" t="n">
        <v>345.45</v>
      </c>
    </row>
    <row r="12580" customFormat="false" ht="15" hidden="false" customHeight="false" outlineLevel="0" collapsed="false">
      <c r="A12580" s="7" t="s">
        <v>32</v>
      </c>
      <c r="B12580" s="7" t="s">
        <v>411</v>
      </c>
      <c r="C12580" s="7" t="s">
        <v>1221</v>
      </c>
      <c r="D12580" s="7" t="n">
        <v>10</v>
      </c>
      <c r="E12580" s="7" t="n">
        <v>720.8</v>
      </c>
      <c r="F12580" s="7" t="n">
        <v>0</v>
      </c>
      <c r="G12580" s="7" t="n">
        <v>0</v>
      </c>
    </row>
    <row r="12581" customFormat="false" ht="15" hidden="false" customHeight="false" outlineLevel="0" collapsed="false">
      <c r="A12581" s="7" t="s">
        <v>32</v>
      </c>
      <c r="B12581" s="7" t="s">
        <v>662</v>
      </c>
      <c r="C12581" s="7" t="s">
        <v>1221</v>
      </c>
      <c r="D12581" s="7" t="n">
        <v>20</v>
      </c>
      <c r="E12581" s="7" t="n">
        <v>1441.61</v>
      </c>
      <c r="F12581" s="7" t="n">
        <v>0</v>
      </c>
      <c r="G12581" s="7" t="n">
        <v>0</v>
      </c>
    </row>
    <row r="12582" customFormat="false" ht="15" hidden="false" customHeight="false" outlineLevel="0" collapsed="false">
      <c r="A12582" s="7" t="s">
        <v>32</v>
      </c>
      <c r="B12582" s="7" t="s">
        <v>662</v>
      </c>
      <c r="C12582" s="7" t="s">
        <v>1221</v>
      </c>
      <c r="D12582" s="7" t="n">
        <v>0</v>
      </c>
      <c r="E12582" s="7" t="n">
        <v>0</v>
      </c>
      <c r="F12582" s="7" t="n">
        <v>10</v>
      </c>
      <c r="G12582" s="7" t="n">
        <v>814.69</v>
      </c>
    </row>
    <row r="12583" customFormat="false" ht="15" hidden="false" customHeight="false" outlineLevel="0" collapsed="false">
      <c r="A12583" s="7" t="s">
        <v>32</v>
      </c>
      <c r="B12583" s="7" t="s">
        <v>662</v>
      </c>
      <c r="C12583" s="7" t="s">
        <v>1221</v>
      </c>
      <c r="D12583" s="7" t="n">
        <v>0</v>
      </c>
      <c r="E12583" s="7" t="n">
        <v>0</v>
      </c>
      <c r="F12583" s="7" t="n">
        <v>5</v>
      </c>
      <c r="G12583" s="7" t="n">
        <v>345.45</v>
      </c>
    </row>
    <row r="12584" customFormat="false" ht="15" hidden="false" customHeight="false" outlineLevel="0" collapsed="false">
      <c r="A12584" s="7" t="s">
        <v>32</v>
      </c>
      <c r="B12584" s="7" t="s">
        <v>224</v>
      </c>
      <c r="C12584" s="7" t="s">
        <v>1221</v>
      </c>
      <c r="D12584" s="7" t="n">
        <v>25</v>
      </c>
      <c r="E12584" s="7" t="n">
        <v>1802.01</v>
      </c>
      <c r="F12584" s="7" t="n">
        <v>0</v>
      </c>
      <c r="G12584" s="7" t="n">
        <v>0</v>
      </c>
    </row>
    <row r="12585" customFormat="false" ht="15" hidden="false" customHeight="false" outlineLevel="0" collapsed="false">
      <c r="A12585" s="7" t="s">
        <v>32</v>
      </c>
      <c r="B12585" s="7" t="s">
        <v>484</v>
      </c>
      <c r="C12585" s="7" t="s">
        <v>1221</v>
      </c>
      <c r="D12585" s="7" t="n">
        <v>12</v>
      </c>
      <c r="E12585" s="7" t="n">
        <v>962.28</v>
      </c>
      <c r="F12585" s="7" t="n">
        <v>0</v>
      </c>
      <c r="G12585" s="7" t="n">
        <v>0</v>
      </c>
    </row>
    <row r="12586" customFormat="false" ht="15" hidden="false" customHeight="false" outlineLevel="0" collapsed="false">
      <c r="A12586" s="7" t="s">
        <v>32</v>
      </c>
      <c r="B12586" s="7" t="s">
        <v>484</v>
      </c>
      <c r="C12586" s="7" t="s">
        <v>1221</v>
      </c>
      <c r="D12586" s="7" t="n">
        <v>10</v>
      </c>
      <c r="E12586" s="7" t="n">
        <v>720.8</v>
      </c>
      <c r="F12586" s="7" t="n">
        <v>0</v>
      </c>
      <c r="G12586" s="7" t="n">
        <v>0</v>
      </c>
    </row>
    <row r="12587" customFormat="false" ht="15" hidden="false" customHeight="false" outlineLevel="0" collapsed="false">
      <c r="A12587" s="7" t="s">
        <v>32</v>
      </c>
      <c r="B12587" s="7" t="s">
        <v>725</v>
      </c>
      <c r="C12587" s="7" t="s">
        <v>1222</v>
      </c>
      <c r="D12587" s="7" t="n">
        <v>24</v>
      </c>
      <c r="E12587" s="7" t="n">
        <v>155.32</v>
      </c>
      <c r="F12587" s="7" t="n">
        <v>0</v>
      </c>
      <c r="G12587" s="7" t="n">
        <v>0</v>
      </c>
    </row>
    <row r="12588" customFormat="false" ht="15" hidden="false" customHeight="false" outlineLevel="0" collapsed="false">
      <c r="A12588" s="7" t="s">
        <v>32</v>
      </c>
      <c r="B12588" s="7" t="s">
        <v>943</v>
      </c>
      <c r="C12588" s="7" t="s">
        <v>1148</v>
      </c>
      <c r="D12588" s="7" t="n">
        <v>1</v>
      </c>
      <c r="E12588" s="7" t="n">
        <v>60.86</v>
      </c>
      <c r="F12588" s="7" t="n">
        <v>0</v>
      </c>
      <c r="G12588" s="7" t="n">
        <v>0</v>
      </c>
    </row>
    <row r="12589" customFormat="false" ht="15" hidden="false" customHeight="false" outlineLevel="0" collapsed="false">
      <c r="A12589" s="7" t="s">
        <v>32</v>
      </c>
      <c r="B12589" s="7" t="s">
        <v>503</v>
      </c>
      <c r="C12589" s="7" t="s">
        <v>1050</v>
      </c>
      <c r="D12589" s="7" t="n">
        <v>0</v>
      </c>
      <c r="E12589" s="7" t="n">
        <v>0</v>
      </c>
      <c r="F12589" s="7" t="n">
        <v>10</v>
      </c>
      <c r="G12589" s="7" t="n">
        <v>187.96</v>
      </c>
    </row>
    <row r="12590" customFormat="false" ht="15" hidden="false" customHeight="false" outlineLevel="0" collapsed="false">
      <c r="A12590" s="7" t="s">
        <v>32</v>
      </c>
      <c r="B12590" s="7" t="s">
        <v>503</v>
      </c>
      <c r="C12590" s="7" t="s">
        <v>1050</v>
      </c>
      <c r="D12590" s="7" t="n">
        <v>24</v>
      </c>
      <c r="E12590" s="7" t="n">
        <v>523.57</v>
      </c>
      <c r="F12590" s="7" t="n">
        <v>0</v>
      </c>
      <c r="G12590" s="7" t="n">
        <v>0</v>
      </c>
    </row>
    <row r="12591" customFormat="false" ht="15" hidden="false" customHeight="false" outlineLevel="0" collapsed="false">
      <c r="A12591" s="7" t="s">
        <v>32</v>
      </c>
      <c r="B12591" s="7" t="s">
        <v>503</v>
      </c>
      <c r="C12591" s="7" t="s">
        <v>1050</v>
      </c>
      <c r="D12591" s="7" t="n">
        <v>0</v>
      </c>
      <c r="E12591" s="7" t="n">
        <v>0</v>
      </c>
      <c r="F12591" s="7" t="n">
        <v>16</v>
      </c>
      <c r="G12591" s="7" t="n">
        <v>354.61</v>
      </c>
    </row>
    <row r="12592" customFormat="false" ht="15" hidden="false" customHeight="false" outlineLevel="0" collapsed="false">
      <c r="A12592" s="7" t="s">
        <v>32</v>
      </c>
      <c r="B12592" s="7" t="s">
        <v>503</v>
      </c>
      <c r="C12592" s="7" t="s">
        <v>1050</v>
      </c>
      <c r="D12592" s="7" t="n">
        <v>10</v>
      </c>
      <c r="E12592" s="7" t="n">
        <v>196.09</v>
      </c>
      <c r="F12592" s="7" t="n">
        <v>0</v>
      </c>
      <c r="G12592" s="7" t="n">
        <v>0</v>
      </c>
    </row>
    <row r="12593" customFormat="false" ht="15" hidden="false" customHeight="false" outlineLevel="0" collapsed="false">
      <c r="A12593" s="7" t="s">
        <v>32</v>
      </c>
      <c r="B12593" s="7" t="s">
        <v>597</v>
      </c>
      <c r="C12593" s="7" t="s">
        <v>1050</v>
      </c>
      <c r="D12593" s="7" t="n">
        <v>20</v>
      </c>
      <c r="E12593" s="7" t="n">
        <v>392.18</v>
      </c>
      <c r="F12593" s="7" t="n">
        <v>0</v>
      </c>
      <c r="G12593" s="7" t="n">
        <v>0</v>
      </c>
    </row>
    <row r="12594" customFormat="false" ht="15" hidden="false" customHeight="false" outlineLevel="0" collapsed="false">
      <c r="A12594" s="7" t="s">
        <v>32</v>
      </c>
      <c r="B12594" s="7" t="s">
        <v>597</v>
      </c>
      <c r="C12594" s="7" t="s">
        <v>1050</v>
      </c>
      <c r="D12594" s="7" t="n">
        <v>24</v>
      </c>
      <c r="E12594" s="7" t="n">
        <v>523.57</v>
      </c>
      <c r="F12594" s="7" t="n">
        <v>0</v>
      </c>
      <c r="G12594" s="7" t="n">
        <v>0</v>
      </c>
    </row>
    <row r="12595" customFormat="false" ht="15" hidden="false" customHeight="false" outlineLevel="0" collapsed="false">
      <c r="A12595" s="7" t="s">
        <v>32</v>
      </c>
      <c r="B12595" s="7" t="s">
        <v>597</v>
      </c>
      <c r="C12595" s="7" t="s">
        <v>1050</v>
      </c>
      <c r="D12595" s="7" t="n">
        <v>0</v>
      </c>
      <c r="E12595" s="7" t="n">
        <v>0</v>
      </c>
      <c r="F12595" s="7" t="n">
        <v>10</v>
      </c>
      <c r="G12595" s="7" t="n">
        <v>221.63</v>
      </c>
    </row>
    <row r="12596" customFormat="false" ht="15" hidden="false" customHeight="false" outlineLevel="0" collapsed="false">
      <c r="A12596" s="7" t="s">
        <v>32</v>
      </c>
      <c r="B12596" s="7" t="s">
        <v>597</v>
      </c>
      <c r="C12596" s="7" t="s">
        <v>1050</v>
      </c>
      <c r="D12596" s="7" t="n">
        <v>0</v>
      </c>
      <c r="E12596" s="7" t="n">
        <v>0</v>
      </c>
      <c r="F12596" s="7" t="n">
        <v>15</v>
      </c>
      <c r="G12596" s="7" t="n">
        <v>281.94</v>
      </c>
    </row>
    <row r="12597" customFormat="false" ht="15" hidden="false" customHeight="false" outlineLevel="0" collapsed="false">
      <c r="A12597" s="7" t="s">
        <v>32</v>
      </c>
      <c r="B12597" s="7" t="s">
        <v>544</v>
      </c>
      <c r="C12597" s="7" t="s">
        <v>1050</v>
      </c>
      <c r="D12597" s="7" t="n">
        <v>0</v>
      </c>
      <c r="E12597" s="7" t="n">
        <v>0</v>
      </c>
      <c r="F12597" s="7" t="n">
        <v>5</v>
      </c>
      <c r="G12597" s="7" t="n">
        <v>93.98</v>
      </c>
    </row>
    <row r="12598" customFormat="false" ht="15" hidden="false" customHeight="false" outlineLevel="0" collapsed="false">
      <c r="A12598" s="7" t="s">
        <v>32</v>
      </c>
      <c r="B12598" s="7" t="s">
        <v>544</v>
      </c>
      <c r="C12598" s="7" t="s">
        <v>1050</v>
      </c>
      <c r="D12598" s="7" t="n">
        <v>15</v>
      </c>
      <c r="E12598" s="7" t="n">
        <v>294.13</v>
      </c>
      <c r="F12598" s="7" t="n">
        <v>0</v>
      </c>
      <c r="G12598" s="7" t="n">
        <v>0</v>
      </c>
    </row>
    <row r="12599" customFormat="false" ht="15" hidden="false" customHeight="false" outlineLevel="0" collapsed="false">
      <c r="A12599" s="7" t="s">
        <v>32</v>
      </c>
      <c r="B12599" s="7" t="s">
        <v>616</v>
      </c>
      <c r="C12599" s="7" t="s">
        <v>1050</v>
      </c>
      <c r="D12599" s="7" t="n">
        <v>60</v>
      </c>
      <c r="E12599" s="7" t="n">
        <v>1308.91</v>
      </c>
      <c r="F12599" s="7" t="n">
        <v>0</v>
      </c>
      <c r="G12599" s="7" t="n">
        <v>0</v>
      </c>
    </row>
    <row r="12600" customFormat="false" ht="15" hidden="false" customHeight="false" outlineLevel="0" collapsed="false">
      <c r="A12600" s="7" t="s">
        <v>32</v>
      </c>
      <c r="B12600" s="7" t="s">
        <v>726</v>
      </c>
      <c r="C12600" s="7" t="s">
        <v>1050</v>
      </c>
      <c r="D12600" s="7" t="n">
        <v>6</v>
      </c>
      <c r="E12600" s="7" t="n">
        <v>117.66</v>
      </c>
      <c r="F12600" s="7" t="n">
        <v>0</v>
      </c>
      <c r="G12600" s="7" t="n">
        <v>0</v>
      </c>
    </row>
    <row r="12601" customFormat="false" ht="15" hidden="false" customHeight="false" outlineLevel="0" collapsed="false">
      <c r="A12601" s="7" t="s">
        <v>32</v>
      </c>
      <c r="B12601" s="7" t="s">
        <v>726</v>
      </c>
      <c r="C12601" s="7" t="s">
        <v>1050</v>
      </c>
      <c r="D12601" s="7" t="n">
        <v>0</v>
      </c>
      <c r="E12601" s="7" t="n">
        <v>0</v>
      </c>
      <c r="F12601" s="7" t="n">
        <v>5</v>
      </c>
      <c r="G12601" s="7" t="n">
        <v>110.82</v>
      </c>
    </row>
    <row r="12602" customFormat="false" ht="15" hidden="false" customHeight="false" outlineLevel="0" collapsed="false">
      <c r="A12602" s="7" t="s">
        <v>32</v>
      </c>
      <c r="B12602" s="7" t="s">
        <v>181</v>
      </c>
      <c r="C12602" s="7" t="s">
        <v>1149</v>
      </c>
      <c r="D12602" s="7" t="n">
        <v>25</v>
      </c>
      <c r="E12602" s="7" t="n">
        <v>709.99</v>
      </c>
      <c r="F12602" s="7" t="n">
        <v>0</v>
      </c>
      <c r="G12602" s="7" t="n">
        <v>0</v>
      </c>
    </row>
    <row r="12603" customFormat="false" ht="15" hidden="false" customHeight="false" outlineLevel="0" collapsed="false">
      <c r="A12603" s="7" t="s">
        <v>32</v>
      </c>
      <c r="B12603" s="7" t="s">
        <v>181</v>
      </c>
      <c r="C12603" s="7" t="s">
        <v>1149</v>
      </c>
      <c r="D12603" s="7" t="n">
        <v>0</v>
      </c>
      <c r="E12603" s="7" t="n">
        <v>0</v>
      </c>
      <c r="F12603" s="7" t="n">
        <v>20</v>
      </c>
      <c r="G12603" s="7" t="n">
        <v>544.43</v>
      </c>
    </row>
    <row r="12604" customFormat="false" ht="15" hidden="false" customHeight="false" outlineLevel="0" collapsed="false">
      <c r="A12604" s="7" t="s">
        <v>32</v>
      </c>
      <c r="B12604" s="7" t="s">
        <v>394</v>
      </c>
      <c r="C12604" s="7" t="s">
        <v>1149</v>
      </c>
      <c r="D12604" s="7" t="n">
        <v>15</v>
      </c>
      <c r="E12604" s="7" t="n">
        <v>425.99</v>
      </c>
      <c r="F12604" s="7" t="n">
        <v>0</v>
      </c>
      <c r="G12604" s="7" t="n">
        <v>0</v>
      </c>
    </row>
    <row r="12605" customFormat="false" ht="15" hidden="false" customHeight="false" outlineLevel="0" collapsed="false">
      <c r="A12605" s="7" t="s">
        <v>32</v>
      </c>
      <c r="B12605" s="7" t="s">
        <v>394</v>
      </c>
      <c r="C12605" s="7" t="s">
        <v>1149</v>
      </c>
      <c r="D12605" s="7" t="n">
        <v>24</v>
      </c>
      <c r="E12605" s="7" t="n">
        <v>758.27</v>
      </c>
      <c r="F12605" s="7" t="n">
        <v>0</v>
      </c>
      <c r="G12605" s="7" t="n">
        <v>0</v>
      </c>
    </row>
    <row r="12606" customFormat="false" ht="15" hidden="false" customHeight="false" outlineLevel="0" collapsed="false">
      <c r="A12606" s="7" t="s">
        <v>32</v>
      </c>
      <c r="B12606" s="7" t="s">
        <v>394</v>
      </c>
      <c r="C12606" s="7" t="s">
        <v>1149</v>
      </c>
      <c r="D12606" s="7" t="n">
        <v>0</v>
      </c>
      <c r="E12606" s="7" t="n">
        <v>0</v>
      </c>
      <c r="F12606" s="7" t="n">
        <v>40</v>
      </c>
      <c r="G12606" s="7" t="n">
        <v>1088.85</v>
      </c>
    </row>
    <row r="12607" customFormat="false" ht="15" hidden="false" customHeight="false" outlineLevel="0" collapsed="false">
      <c r="A12607" s="7" t="s">
        <v>32</v>
      </c>
      <c r="B12607" s="7" t="s">
        <v>758</v>
      </c>
      <c r="C12607" s="7" t="s">
        <v>1149</v>
      </c>
      <c r="D12607" s="7" t="n">
        <v>8</v>
      </c>
      <c r="E12607" s="7" t="n">
        <v>227.2</v>
      </c>
      <c r="F12607" s="7" t="n">
        <v>0</v>
      </c>
      <c r="G12607" s="7" t="n">
        <v>0</v>
      </c>
    </row>
    <row r="12608" customFormat="false" ht="15" hidden="false" customHeight="false" outlineLevel="0" collapsed="false">
      <c r="A12608" s="7" t="s">
        <v>32</v>
      </c>
      <c r="B12608" s="7" t="s">
        <v>758</v>
      </c>
      <c r="C12608" s="7" t="s">
        <v>1149</v>
      </c>
      <c r="D12608" s="7" t="n">
        <v>0</v>
      </c>
      <c r="E12608" s="7" t="n">
        <v>0</v>
      </c>
      <c r="F12608" s="7" t="n">
        <v>10</v>
      </c>
      <c r="G12608" s="7" t="n">
        <v>272.21</v>
      </c>
    </row>
    <row r="12609" customFormat="false" ht="15" hidden="false" customHeight="false" outlineLevel="0" collapsed="false">
      <c r="A12609" s="7" t="s">
        <v>32</v>
      </c>
      <c r="B12609" s="7" t="s">
        <v>758</v>
      </c>
      <c r="C12609" s="7" t="s">
        <v>1149</v>
      </c>
      <c r="D12609" s="7" t="n">
        <v>0</v>
      </c>
      <c r="E12609" s="7" t="n">
        <v>0</v>
      </c>
      <c r="F12609" s="7" t="n">
        <v>10</v>
      </c>
      <c r="G12609" s="7" t="n">
        <v>320.99</v>
      </c>
    </row>
    <row r="12610" customFormat="false" ht="15" hidden="false" customHeight="false" outlineLevel="0" collapsed="false">
      <c r="A12610" s="7" t="s">
        <v>32</v>
      </c>
      <c r="B12610" s="7" t="s">
        <v>382</v>
      </c>
      <c r="C12610" s="7" t="s">
        <v>1149</v>
      </c>
      <c r="D12610" s="7" t="n">
        <v>0</v>
      </c>
      <c r="E12610" s="7" t="n">
        <v>0</v>
      </c>
      <c r="F12610" s="7" t="n">
        <v>10</v>
      </c>
      <c r="G12610" s="7" t="n">
        <v>272.21</v>
      </c>
    </row>
    <row r="12611" customFormat="false" ht="15" hidden="false" customHeight="false" outlineLevel="0" collapsed="false">
      <c r="A12611" s="7" t="s">
        <v>32</v>
      </c>
      <c r="B12611" s="7" t="s">
        <v>382</v>
      </c>
      <c r="C12611" s="7" t="s">
        <v>1149</v>
      </c>
      <c r="D12611" s="7" t="n">
        <v>5</v>
      </c>
      <c r="E12611" s="7" t="n">
        <v>142</v>
      </c>
      <c r="F12611" s="7" t="n">
        <v>0</v>
      </c>
      <c r="G12611" s="7" t="n">
        <v>0</v>
      </c>
    </row>
    <row r="12612" customFormat="false" ht="15" hidden="false" customHeight="false" outlineLevel="0" collapsed="false">
      <c r="A12612" s="7" t="s">
        <v>32</v>
      </c>
      <c r="B12612" s="7" t="s">
        <v>457</v>
      </c>
      <c r="C12612" s="7" t="s">
        <v>1149</v>
      </c>
      <c r="D12612" s="7" t="n">
        <v>0</v>
      </c>
      <c r="E12612" s="7" t="n">
        <v>0</v>
      </c>
      <c r="F12612" s="7" t="n">
        <v>10</v>
      </c>
      <c r="G12612" s="7" t="n">
        <v>272.21</v>
      </c>
    </row>
    <row r="12613" customFormat="false" ht="15" hidden="false" customHeight="false" outlineLevel="0" collapsed="false">
      <c r="A12613" s="7" t="s">
        <v>32</v>
      </c>
      <c r="B12613" s="7" t="s">
        <v>457</v>
      </c>
      <c r="C12613" s="7" t="s">
        <v>1149</v>
      </c>
      <c r="D12613" s="7" t="n">
        <v>5</v>
      </c>
      <c r="E12613" s="7" t="n">
        <v>142</v>
      </c>
      <c r="F12613" s="7" t="n">
        <v>0</v>
      </c>
      <c r="G12613" s="7" t="n">
        <v>0</v>
      </c>
    </row>
    <row r="12614" customFormat="false" ht="15" hidden="false" customHeight="false" outlineLevel="0" collapsed="false">
      <c r="A12614" s="7" t="s">
        <v>32</v>
      </c>
      <c r="B12614" s="7" t="s">
        <v>251</v>
      </c>
      <c r="C12614" s="7" t="s">
        <v>1085</v>
      </c>
      <c r="D12614" s="7" t="n">
        <v>0</v>
      </c>
      <c r="E12614" s="7" t="n">
        <v>0</v>
      </c>
      <c r="F12614" s="7" t="n">
        <v>10</v>
      </c>
      <c r="G12614" s="7" t="n">
        <v>148.26</v>
      </c>
    </row>
    <row r="12615" customFormat="false" ht="15" hidden="false" customHeight="false" outlineLevel="0" collapsed="false">
      <c r="A12615" s="7" t="s">
        <v>32</v>
      </c>
      <c r="B12615" s="7" t="s">
        <v>251</v>
      </c>
      <c r="C12615" s="7" t="s">
        <v>1085</v>
      </c>
      <c r="D12615" s="7" t="n">
        <v>10</v>
      </c>
      <c r="E12615" s="7" t="n">
        <v>171.69</v>
      </c>
      <c r="F12615" s="7" t="n">
        <v>0</v>
      </c>
      <c r="G12615" s="7" t="n">
        <v>0</v>
      </c>
    </row>
    <row r="12616" customFormat="false" ht="15" hidden="false" customHeight="false" outlineLevel="0" collapsed="false">
      <c r="A12616" s="7" t="s">
        <v>32</v>
      </c>
      <c r="B12616" s="7" t="s">
        <v>251</v>
      </c>
      <c r="C12616" s="7" t="s">
        <v>1085</v>
      </c>
      <c r="D12616" s="7" t="n">
        <v>1</v>
      </c>
      <c r="E12616" s="7" t="n">
        <v>0.03</v>
      </c>
      <c r="F12616" s="7" t="n">
        <v>0</v>
      </c>
      <c r="G12616" s="7" t="n">
        <v>0</v>
      </c>
    </row>
    <row r="12617" customFormat="false" ht="15" hidden="false" customHeight="false" outlineLevel="0" collapsed="false">
      <c r="A12617" s="7" t="s">
        <v>32</v>
      </c>
      <c r="B12617" s="7" t="s">
        <v>563</v>
      </c>
      <c r="C12617" s="7" t="s">
        <v>1150</v>
      </c>
      <c r="D12617" s="7" t="n">
        <v>0</v>
      </c>
      <c r="E12617" s="7" t="n">
        <v>0</v>
      </c>
      <c r="F12617" s="7" t="n">
        <v>20</v>
      </c>
      <c r="G12617" s="7" t="n">
        <v>194.44</v>
      </c>
    </row>
    <row r="12618" customFormat="false" ht="15" hidden="false" customHeight="false" outlineLevel="0" collapsed="false">
      <c r="A12618" s="7" t="s">
        <v>32</v>
      </c>
      <c r="B12618" s="7" t="s">
        <v>563</v>
      </c>
      <c r="C12618" s="7" t="s">
        <v>1150</v>
      </c>
      <c r="D12618" s="7" t="n">
        <v>60</v>
      </c>
      <c r="E12618" s="7" t="n">
        <v>608.56</v>
      </c>
      <c r="F12618" s="7" t="n">
        <v>0</v>
      </c>
      <c r="G12618" s="7" t="n">
        <v>0</v>
      </c>
    </row>
    <row r="12619" customFormat="false" ht="15" hidden="false" customHeight="false" outlineLevel="0" collapsed="false">
      <c r="A12619" s="7" t="s">
        <v>32</v>
      </c>
      <c r="B12619" s="7" t="s">
        <v>563</v>
      </c>
      <c r="C12619" s="7" t="s">
        <v>1150</v>
      </c>
      <c r="D12619" s="7" t="n">
        <v>0</v>
      </c>
      <c r="E12619" s="7" t="n">
        <v>0</v>
      </c>
      <c r="F12619" s="7" t="n">
        <v>59</v>
      </c>
      <c r="G12619" s="7" t="n">
        <v>676.36</v>
      </c>
    </row>
    <row r="12620" customFormat="false" ht="15" hidden="false" customHeight="false" outlineLevel="0" collapsed="false">
      <c r="A12620" s="7" t="s">
        <v>32</v>
      </c>
      <c r="B12620" s="7" t="s">
        <v>563</v>
      </c>
      <c r="C12620" s="7" t="s">
        <v>1150</v>
      </c>
      <c r="D12620" s="7" t="n">
        <v>120</v>
      </c>
      <c r="E12620" s="7" t="n">
        <v>1354.05</v>
      </c>
      <c r="F12620" s="7" t="n">
        <v>0</v>
      </c>
      <c r="G12620" s="7" t="n">
        <v>0</v>
      </c>
    </row>
    <row r="12621" customFormat="false" ht="15" hidden="false" customHeight="false" outlineLevel="0" collapsed="false">
      <c r="A12621" s="7" t="s">
        <v>32</v>
      </c>
      <c r="B12621" s="7" t="s">
        <v>522</v>
      </c>
      <c r="C12621" s="7" t="s">
        <v>1150</v>
      </c>
      <c r="D12621" s="7" t="n">
        <v>60</v>
      </c>
      <c r="E12621" s="7" t="n">
        <v>677.02</v>
      </c>
      <c r="F12621" s="7" t="n">
        <v>0</v>
      </c>
      <c r="G12621" s="7" t="n">
        <v>0</v>
      </c>
    </row>
    <row r="12622" customFormat="false" ht="15" hidden="false" customHeight="false" outlineLevel="0" collapsed="false">
      <c r="A12622" s="7" t="s">
        <v>32</v>
      </c>
      <c r="B12622" s="7" t="s">
        <v>522</v>
      </c>
      <c r="C12622" s="7" t="s">
        <v>1150</v>
      </c>
      <c r="D12622" s="7" t="n">
        <v>90</v>
      </c>
      <c r="E12622" s="7" t="n">
        <v>912.84</v>
      </c>
      <c r="F12622" s="7" t="n">
        <v>0</v>
      </c>
      <c r="G12622" s="7" t="n">
        <v>0</v>
      </c>
    </row>
    <row r="12623" customFormat="false" ht="15" hidden="false" customHeight="false" outlineLevel="0" collapsed="false">
      <c r="A12623" s="7" t="s">
        <v>32</v>
      </c>
      <c r="B12623" s="7" t="s">
        <v>522</v>
      </c>
      <c r="C12623" s="7" t="s">
        <v>1150</v>
      </c>
      <c r="D12623" s="7" t="n">
        <v>0</v>
      </c>
      <c r="E12623" s="7" t="n">
        <v>0</v>
      </c>
      <c r="F12623" s="7" t="n">
        <v>80</v>
      </c>
      <c r="G12623" s="7" t="n">
        <v>777.75</v>
      </c>
    </row>
    <row r="12624" customFormat="false" ht="15" hidden="false" customHeight="false" outlineLevel="0" collapsed="false">
      <c r="A12624" s="7" t="s">
        <v>32</v>
      </c>
      <c r="B12624" s="7" t="s">
        <v>522</v>
      </c>
      <c r="C12624" s="7" t="s">
        <v>1150</v>
      </c>
      <c r="D12624" s="7" t="n">
        <v>0</v>
      </c>
      <c r="E12624" s="7" t="n">
        <v>0</v>
      </c>
      <c r="F12624" s="7" t="n">
        <v>27</v>
      </c>
      <c r="G12624" s="7" t="n">
        <v>309.52</v>
      </c>
    </row>
    <row r="12625" customFormat="false" ht="15" hidden="false" customHeight="false" outlineLevel="0" collapsed="false">
      <c r="A12625" s="7" t="s">
        <v>32</v>
      </c>
      <c r="B12625" s="7" t="s">
        <v>512</v>
      </c>
      <c r="C12625" s="7" t="s">
        <v>1150</v>
      </c>
      <c r="D12625" s="7" t="n">
        <v>0</v>
      </c>
      <c r="E12625" s="7" t="n">
        <v>0</v>
      </c>
      <c r="F12625" s="7" t="n">
        <v>40</v>
      </c>
      <c r="G12625" s="7" t="n">
        <v>388.88</v>
      </c>
    </row>
    <row r="12626" customFormat="false" ht="15" hidden="false" customHeight="false" outlineLevel="0" collapsed="false">
      <c r="A12626" s="7" t="s">
        <v>32</v>
      </c>
      <c r="B12626" s="7" t="s">
        <v>512</v>
      </c>
      <c r="C12626" s="7" t="s">
        <v>1150</v>
      </c>
      <c r="D12626" s="7" t="n">
        <v>55</v>
      </c>
      <c r="E12626" s="7" t="n">
        <v>557.85</v>
      </c>
      <c r="F12626" s="7" t="n">
        <v>0</v>
      </c>
      <c r="G12626" s="7" t="n">
        <v>0</v>
      </c>
    </row>
    <row r="12627" customFormat="false" ht="15" hidden="false" customHeight="false" outlineLevel="0" collapsed="false">
      <c r="A12627" s="7" t="s">
        <v>32</v>
      </c>
      <c r="B12627" s="7" t="s">
        <v>512</v>
      </c>
      <c r="C12627" s="7" t="s">
        <v>1150</v>
      </c>
      <c r="D12627" s="7" t="n">
        <v>0</v>
      </c>
      <c r="E12627" s="7" t="n">
        <v>0</v>
      </c>
      <c r="F12627" s="7" t="n">
        <v>10</v>
      </c>
      <c r="G12627" s="7" t="n">
        <v>114.64</v>
      </c>
    </row>
    <row r="12628" customFormat="false" ht="15" hidden="false" customHeight="false" outlineLevel="0" collapsed="false">
      <c r="A12628" s="7" t="s">
        <v>32</v>
      </c>
      <c r="B12628" s="7" t="s">
        <v>512</v>
      </c>
      <c r="C12628" s="7" t="s">
        <v>1150</v>
      </c>
      <c r="D12628" s="7" t="n">
        <v>24</v>
      </c>
      <c r="E12628" s="7" t="n">
        <v>270.81</v>
      </c>
      <c r="F12628" s="7" t="n">
        <v>0</v>
      </c>
      <c r="G12628" s="7" t="n">
        <v>0</v>
      </c>
    </row>
    <row r="12629" customFormat="false" ht="15" hidden="false" customHeight="false" outlineLevel="0" collapsed="false">
      <c r="A12629" s="7" t="s">
        <v>32</v>
      </c>
      <c r="B12629" s="7" t="s">
        <v>401</v>
      </c>
      <c r="C12629" s="7" t="s">
        <v>1150</v>
      </c>
      <c r="D12629" s="7" t="n">
        <v>0</v>
      </c>
      <c r="E12629" s="7" t="n">
        <v>0</v>
      </c>
      <c r="F12629" s="7" t="n">
        <v>25</v>
      </c>
      <c r="G12629" s="7" t="n">
        <v>286.59</v>
      </c>
    </row>
    <row r="12630" customFormat="false" ht="15" hidden="false" customHeight="false" outlineLevel="0" collapsed="false">
      <c r="A12630" s="7" t="s">
        <v>32</v>
      </c>
      <c r="B12630" s="7" t="s">
        <v>401</v>
      </c>
      <c r="C12630" s="7" t="s">
        <v>1150</v>
      </c>
      <c r="D12630" s="7" t="n">
        <v>60</v>
      </c>
      <c r="E12630" s="7" t="n">
        <v>677.02</v>
      </c>
      <c r="F12630" s="7" t="n">
        <v>0</v>
      </c>
      <c r="G12630" s="7" t="n">
        <v>0</v>
      </c>
    </row>
    <row r="12631" customFormat="false" ht="15" hidden="false" customHeight="false" outlineLevel="0" collapsed="false">
      <c r="A12631" s="7" t="s">
        <v>32</v>
      </c>
      <c r="B12631" s="7" t="s">
        <v>401</v>
      </c>
      <c r="C12631" s="7" t="s">
        <v>1150</v>
      </c>
      <c r="D12631" s="7" t="n">
        <v>0</v>
      </c>
      <c r="E12631" s="7" t="n">
        <v>0</v>
      </c>
      <c r="F12631" s="7" t="n">
        <v>60</v>
      </c>
      <c r="G12631" s="7" t="n">
        <v>583.31</v>
      </c>
    </row>
    <row r="12632" customFormat="false" ht="15" hidden="false" customHeight="false" outlineLevel="0" collapsed="false">
      <c r="A12632" s="7" t="s">
        <v>32</v>
      </c>
      <c r="B12632" s="7" t="s">
        <v>401</v>
      </c>
      <c r="C12632" s="7" t="s">
        <v>1150</v>
      </c>
      <c r="D12632" s="7" t="n">
        <v>45</v>
      </c>
      <c r="E12632" s="7" t="n">
        <v>456.42</v>
      </c>
      <c r="F12632" s="7" t="n">
        <v>0</v>
      </c>
      <c r="G12632" s="7" t="n">
        <v>0</v>
      </c>
    </row>
    <row r="12633" customFormat="false" ht="15" hidden="false" customHeight="false" outlineLevel="0" collapsed="false">
      <c r="A12633" s="7" t="s">
        <v>32</v>
      </c>
      <c r="B12633" s="7" t="s">
        <v>497</v>
      </c>
      <c r="C12633" s="7" t="s">
        <v>1150</v>
      </c>
      <c r="D12633" s="7" t="n">
        <v>0</v>
      </c>
      <c r="E12633" s="7" t="n">
        <v>0</v>
      </c>
      <c r="F12633" s="7" t="n">
        <v>10</v>
      </c>
      <c r="G12633" s="7" t="n">
        <v>114.64</v>
      </c>
    </row>
    <row r="12634" customFormat="false" ht="15" hidden="false" customHeight="false" outlineLevel="0" collapsed="false">
      <c r="A12634" s="7" t="s">
        <v>32</v>
      </c>
      <c r="B12634" s="7" t="s">
        <v>497</v>
      </c>
      <c r="C12634" s="7" t="s">
        <v>1150</v>
      </c>
      <c r="D12634" s="7" t="n">
        <v>30</v>
      </c>
      <c r="E12634" s="7" t="n">
        <v>304.28</v>
      </c>
      <c r="F12634" s="7" t="n">
        <v>0</v>
      </c>
      <c r="G12634" s="7" t="n">
        <v>0</v>
      </c>
    </row>
    <row r="12635" customFormat="false" ht="15" hidden="false" customHeight="false" outlineLevel="0" collapsed="false">
      <c r="A12635" s="7" t="s">
        <v>32</v>
      </c>
      <c r="B12635" s="7" t="s">
        <v>497</v>
      </c>
      <c r="C12635" s="7" t="s">
        <v>1150</v>
      </c>
      <c r="D12635" s="7" t="n">
        <v>0</v>
      </c>
      <c r="E12635" s="7" t="n">
        <v>0</v>
      </c>
      <c r="F12635" s="7" t="n">
        <v>40</v>
      </c>
      <c r="G12635" s="7" t="n">
        <v>388.88</v>
      </c>
    </row>
    <row r="12636" customFormat="false" ht="15" hidden="false" customHeight="false" outlineLevel="0" collapsed="false">
      <c r="A12636" s="7" t="s">
        <v>32</v>
      </c>
      <c r="B12636" s="7" t="s">
        <v>497</v>
      </c>
      <c r="C12636" s="7" t="s">
        <v>1150</v>
      </c>
      <c r="D12636" s="7" t="n">
        <v>24</v>
      </c>
      <c r="E12636" s="7" t="n">
        <v>270.81</v>
      </c>
      <c r="F12636" s="7" t="n">
        <v>0</v>
      </c>
      <c r="G12636" s="7" t="n">
        <v>0</v>
      </c>
    </row>
    <row r="12637" customFormat="false" ht="15" hidden="false" customHeight="false" outlineLevel="0" collapsed="false">
      <c r="A12637" s="7" t="s">
        <v>32</v>
      </c>
      <c r="B12637" s="7" t="s">
        <v>216</v>
      </c>
      <c r="C12637" s="7" t="s">
        <v>1051</v>
      </c>
      <c r="D12637" s="7" t="n">
        <v>10</v>
      </c>
      <c r="E12637" s="7" t="n">
        <v>275.24</v>
      </c>
      <c r="F12637" s="7" t="n">
        <v>0</v>
      </c>
      <c r="G12637" s="7" t="n">
        <v>0</v>
      </c>
    </row>
    <row r="12638" customFormat="false" ht="15" hidden="false" customHeight="false" outlineLevel="0" collapsed="false">
      <c r="A12638" s="7" t="s">
        <v>32</v>
      </c>
      <c r="B12638" s="7" t="s">
        <v>216</v>
      </c>
      <c r="C12638" s="7" t="s">
        <v>1051</v>
      </c>
      <c r="D12638" s="7" t="n">
        <v>0</v>
      </c>
      <c r="E12638" s="7" t="n">
        <v>0</v>
      </c>
      <c r="F12638" s="7" t="n">
        <v>10</v>
      </c>
      <c r="G12638" s="7" t="n">
        <v>263.83</v>
      </c>
    </row>
    <row r="12639" customFormat="false" ht="15" hidden="false" customHeight="false" outlineLevel="0" collapsed="false">
      <c r="A12639" s="7" t="s">
        <v>32</v>
      </c>
      <c r="B12639" s="7" t="s">
        <v>125</v>
      </c>
      <c r="C12639" s="7" t="s">
        <v>1052</v>
      </c>
      <c r="D12639" s="7" t="n">
        <v>0</v>
      </c>
      <c r="E12639" s="7" t="n">
        <v>0</v>
      </c>
      <c r="F12639" s="7" t="n">
        <v>10</v>
      </c>
      <c r="G12639" s="7" t="n">
        <v>279.08</v>
      </c>
    </row>
    <row r="12640" customFormat="false" ht="15" hidden="false" customHeight="false" outlineLevel="0" collapsed="false">
      <c r="A12640" s="7" t="s">
        <v>32</v>
      </c>
      <c r="B12640" s="7" t="s">
        <v>125</v>
      </c>
      <c r="C12640" s="7" t="s">
        <v>1052</v>
      </c>
      <c r="D12640" s="7" t="n">
        <v>10</v>
      </c>
      <c r="E12640" s="7" t="n">
        <v>291.15</v>
      </c>
      <c r="F12640" s="7" t="n">
        <v>0</v>
      </c>
      <c r="G12640" s="7" t="n">
        <v>0</v>
      </c>
    </row>
    <row r="12641" customFormat="false" ht="15" hidden="false" customHeight="false" outlineLevel="0" collapsed="false">
      <c r="A12641" s="7" t="s">
        <v>32</v>
      </c>
      <c r="B12641" s="7" t="s">
        <v>639</v>
      </c>
      <c r="C12641" s="7" t="s">
        <v>1224</v>
      </c>
      <c r="D12641" s="7" t="n">
        <v>10</v>
      </c>
      <c r="E12641" s="7" t="n">
        <v>297.52</v>
      </c>
      <c r="F12641" s="7" t="n">
        <v>0</v>
      </c>
      <c r="G12641" s="7" t="n">
        <v>0</v>
      </c>
    </row>
    <row r="12642" customFormat="false" ht="15" hidden="false" customHeight="false" outlineLevel="0" collapsed="false">
      <c r="A12642" s="7" t="s">
        <v>32</v>
      </c>
      <c r="B12642" s="7" t="s">
        <v>185</v>
      </c>
      <c r="C12642" s="7" t="s">
        <v>1053</v>
      </c>
      <c r="D12642" s="7" t="n">
        <v>0</v>
      </c>
      <c r="E12642" s="7" t="n">
        <v>0</v>
      </c>
      <c r="F12642" s="7" t="n">
        <v>40</v>
      </c>
      <c r="G12642" s="7" t="n">
        <v>554.8</v>
      </c>
    </row>
    <row r="12643" customFormat="false" ht="15" hidden="false" customHeight="false" outlineLevel="0" collapsed="false">
      <c r="A12643" s="7" t="s">
        <v>32</v>
      </c>
      <c r="B12643" s="7" t="s">
        <v>185</v>
      </c>
      <c r="C12643" s="7" t="s">
        <v>1053</v>
      </c>
      <c r="D12643" s="7" t="n">
        <v>5</v>
      </c>
      <c r="E12643" s="7" t="n">
        <v>72.35</v>
      </c>
      <c r="F12643" s="7" t="n">
        <v>0</v>
      </c>
      <c r="G12643" s="7" t="n">
        <v>0</v>
      </c>
    </row>
    <row r="12644" customFormat="false" ht="15" hidden="false" customHeight="false" outlineLevel="0" collapsed="false">
      <c r="A12644" s="7" t="s">
        <v>32</v>
      </c>
      <c r="B12644" s="7" t="s">
        <v>185</v>
      </c>
      <c r="C12644" s="7" t="s">
        <v>1053</v>
      </c>
      <c r="D12644" s="7" t="n">
        <v>0</v>
      </c>
      <c r="E12644" s="7" t="n">
        <v>0</v>
      </c>
      <c r="F12644" s="7" t="n">
        <v>80</v>
      </c>
      <c r="G12644" s="7" t="n">
        <v>1308.4</v>
      </c>
    </row>
    <row r="12645" customFormat="false" ht="15" hidden="false" customHeight="false" outlineLevel="0" collapsed="false">
      <c r="A12645" s="7" t="s">
        <v>32</v>
      </c>
      <c r="B12645" s="7" t="s">
        <v>185</v>
      </c>
      <c r="C12645" s="7" t="s">
        <v>1053</v>
      </c>
      <c r="D12645" s="7" t="n">
        <v>240</v>
      </c>
      <c r="E12645" s="7" t="n">
        <v>3863.56</v>
      </c>
      <c r="F12645" s="7" t="n">
        <v>0</v>
      </c>
      <c r="G12645" s="7" t="n">
        <v>0</v>
      </c>
    </row>
    <row r="12646" customFormat="false" ht="15" hidden="false" customHeight="false" outlineLevel="0" collapsed="false">
      <c r="A12646" s="7" t="s">
        <v>32</v>
      </c>
      <c r="B12646" s="7" t="s">
        <v>494</v>
      </c>
      <c r="C12646" s="7" t="s">
        <v>1054</v>
      </c>
      <c r="D12646" s="7" t="n">
        <v>60</v>
      </c>
      <c r="E12646" s="7" t="n">
        <v>722.16</v>
      </c>
      <c r="F12646" s="7" t="n">
        <v>0</v>
      </c>
      <c r="G12646" s="7" t="n">
        <v>0</v>
      </c>
    </row>
    <row r="12647" customFormat="false" ht="15" hidden="false" customHeight="false" outlineLevel="0" collapsed="false">
      <c r="A12647" s="7" t="s">
        <v>32</v>
      </c>
      <c r="B12647" s="7" t="s">
        <v>494</v>
      </c>
      <c r="C12647" s="7" t="s">
        <v>1054</v>
      </c>
      <c r="D12647" s="7" t="n">
        <v>0</v>
      </c>
      <c r="E12647" s="7" t="n">
        <v>0</v>
      </c>
      <c r="F12647" s="7" t="n">
        <v>20</v>
      </c>
      <c r="G12647" s="7" t="n">
        <v>244.56</v>
      </c>
    </row>
    <row r="12648" customFormat="false" ht="15" hidden="false" customHeight="false" outlineLevel="0" collapsed="false">
      <c r="A12648" s="7" t="s">
        <v>32</v>
      </c>
      <c r="B12648" s="7" t="s">
        <v>494</v>
      </c>
      <c r="C12648" s="7" t="s">
        <v>1054</v>
      </c>
      <c r="D12648" s="7" t="n">
        <v>0</v>
      </c>
      <c r="E12648" s="7" t="n">
        <v>0</v>
      </c>
      <c r="F12648" s="7" t="n">
        <v>50</v>
      </c>
      <c r="G12648" s="7" t="n">
        <v>518.5</v>
      </c>
    </row>
    <row r="12649" customFormat="false" ht="15" hidden="false" customHeight="false" outlineLevel="0" collapsed="false">
      <c r="A12649" s="7" t="s">
        <v>32</v>
      </c>
      <c r="B12649" s="7" t="s">
        <v>494</v>
      </c>
      <c r="C12649" s="7" t="s">
        <v>1054</v>
      </c>
      <c r="D12649" s="7" t="n">
        <v>10</v>
      </c>
      <c r="E12649" s="7" t="n">
        <v>108.19</v>
      </c>
      <c r="F12649" s="7" t="n">
        <v>0</v>
      </c>
      <c r="G12649" s="7" t="n">
        <v>0</v>
      </c>
    </row>
    <row r="12650" customFormat="false" ht="15" hidden="false" customHeight="false" outlineLevel="0" collapsed="false">
      <c r="A12650" s="7" t="s">
        <v>32</v>
      </c>
      <c r="B12650" s="7" t="s">
        <v>650</v>
      </c>
      <c r="C12650" s="7" t="s">
        <v>1088</v>
      </c>
      <c r="D12650" s="7" t="n">
        <v>48</v>
      </c>
      <c r="E12650" s="7" t="n">
        <v>296.09</v>
      </c>
      <c r="F12650" s="7" t="n">
        <v>0</v>
      </c>
      <c r="G12650" s="7" t="n">
        <v>0</v>
      </c>
    </row>
    <row r="12651" customFormat="false" ht="15" hidden="false" customHeight="false" outlineLevel="0" collapsed="false">
      <c r="A12651" s="7" t="s">
        <v>32</v>
      </c>
      <c r="B12651" s="7" t="s">
        <v>779</v>
      </c>
      <c r="C12651" s="7" t="s">
        <v>1089</v>
      </c>
      <c r="D12651" s="7" t="n">
        <v>0</v>
      </c>
      <c r="E12651" s="7" t="n">
        <v>0</v>
      </c>
      <c r="F12651" s="7" t="n">
        <v>5</v>
      </c>
      <c r="G12651" s="7" t="n">
        <v>24.46</v>
      </c>
    </row>
    <row r="12652" customFormat="false" ht="15" hidden="false" customHeight="false" outlineLevel="0" collapsed="false">
      <c r="A12652" s="7" t="s">
        <v>32</v>
      </c>
      <c r="B12652" s="7" t="s">
        <v>779</v>
      </c>
      <c r="C12652" s="7" t="s">
        <v>1089</v>
      </c>
      <c r="D12652" s="7" t="n">
        <v>0</v>
      </c>
      <c r="E12652" s="7" t="n">
        <v>0</v>
      </c>
      <c r="F12652" s="7" t="n">
        <v>1</v>
      </c>
      <c r="G12652" s="7" t="n">
        <v>0.03</v>
      </c>
    </row>
    <row r="12653" customFormat="false" ht="15" hidden="false" customHeight="false" outlineLevel="0" collapsed="false">
      <c r="A12653" s="7" t="s">
        <v>32</v>
      </c>
      <c r="B12653" s="7" t="s">
        <v>779</v>
      </c>
      <c r="C12653" s="7" t="s">
        <v>1089</v>
      </c>
      <c r="D12653" s="7" t="n">
        <v>12</v>
      </c>
      <c r="E12653" s="7" t="n">
        <v>57.77</v>
      </c>
      <c r="F12653" s="7" t="n">
        <v>0</v>
      </c>
      <c r="G12653" s="7" t="n">
        <v>0</v>
      </c>
    </row>
    <row r="12654" customFormat="false" ht="15" hidden="false" customHeight="false" outlineLevel="0" collapsed="false">
      <c r="A12654" s="7" t="s">
        <v>32</v>
      </c>
      <c r="B12654" s="7" t="s">
        <v>502</v>
      </c>
      <c r="C12654" s="7" t="s">
        <v>1090</v>
      </c>
      <c r="D12654" s="7" t="n">
        <v>15</v>
      </c>
      <c r="E12654" s="7" t="n">
        <v>119.33</v>
      </c>
      <c r="F12654" s="7" t="n">
        <v>0</v>
      </c>
      <c r="G12654" s="7" t="n">
        <v>0</v>
      </c>
    </row>
    <row r="12655" customFormat="false" ht="15" hidden="false" customHeight="false" outlineLevel="0" collapsed="false">
      <c r="A12655" s="7" t="s">
        <v>32</v>
      </c>
      <c r="B12655" s="7" t="s">
        <v>516</v>
      </c>
      <c r="C12655" s="7" t="s">
        <v>1171</v>
      </c>
      <c r="D12655" s="7" t="n">
        <v>60</v>
      </c>
      <c r="E12655" s="7" t="n">
        <v>388.16</v>
      </c>
      <c r="F12655" s="7" t="n">
        <v>0</v>
      </c>
      <c r="G12655" s="7" t="n">
        <v>0</v>
      </c>
    </row>
    <row r="12656" customFormat="false" ht="15" hidden="false" customHeight="false" outlineLevel="0" collapsed="false">
      <c r="A12656" s="7" t="s">
        <v>32</v>
      </c>
      <c r="B12656" s="7" t="s">
        <v>516</v>
      </c>
      <c r="C12656" s="7" t="s">
        <v>1171</v>
      </c>
      <c r="D12656" s="7" t="n">
        <v>0</v>
      </c>
      <c r="E12656" s="7" t="n">
        <v>0</v>
      </c>
      <c r="F12656" s="7" t="n">
        <v>75</v>
      </c>
      <c r="G12656" s="7" t="n">
        <v>417.96</v>
      </c>
    </row>
    <row r="12657" customFormat="false" ht="15" hidden="false" customHeight="false" outlineLevel="0" collapsed="false">
      <c r="A12657" s="7" t="s">
        <v>32</v>
      </c>
      <c r="B12657" s="7" t="s">
        <v>515</v>
      </c>
      <c r="C12657" s="7" t="s">
        <v>1226</v>
      </c>
      <c r="D12657" s="7" t="n">
        <v>0</v>
      </c>
      <c r="E12657" s="7" t="n">
        <v>0</v>
      </c>
      <c r="F12657" s="7" t="n">
        <v>15</v>
      </c>
      <c r="G12657" s="7" t="n">
        <v>96.3</v>
      </c>
    </row>
    <row r="12658" customFormat="false" ht="15" hidden="false" customHeight="false" outlineLevel="0" collapsed="false">
      <c r="A12658" s="7" t="s">
        <v>32</v>
      </c>
      <c r="B12658" s="7" t="s">
        <v>225</v>
      </c>
      <c r="C12658" s="7" t="s">
        <v>1091</v>
      </c>
      <c r="D12658" s="7" t="n">
        <v>0</v>
      </c>
      <c r="E12658" s="7" t="n">
        <v>0</v>
      </c>
      <c r="F12658" s="7" t="n">
        <v>320</v>
      </c>
      <c r="G12658" s="7" t="n">
        <v>2447.32</v>
      </c>
    </row>
    <row r="12659" customFormat="false" ht="15" hidden="false" customHeight="false" outlineLevel="0" collapsed="false">
      <c r="A12659" s="7" t="s">
        <v>32</v>
      </c>
      <c r="B12659" s="7" t="s">
        <v>225</v>
      </c>
      <c r="C12659" s="7" t="s">
        <v>1091</v>
      </c>
      <c r="D12659" s="7" t="n">
        <v>0</v>
      </c>
      <c r="E12659" s="7" t="n">
        <v>0</v>
      </c>
      <c r="F12659" s="7" t="n">
        <v>90</v>
      </c>
      <c r="G12659" s="7" t="n">
        <v>811.63</v>
      </c>
    </row>
    <row r="12660" customFormat="false" ht="15" hidden="false" customHeight="false" outlineLevel="0" collapsed="false">
      <c r="A12660" s="7" t="s">
        <v>32</v>
      </c>
      <c r="B12660" s="7" t="s">
        <v>225</v>
      </c>
      <c r="C12660" s="7" t="s">
        <v>1091</v>
      </c>
      <c r="D12660" s="7" t="n">
        <v>60</v>
      </c>
      <c r="E12660" s="7" t="n">
        <v>478.75</v>
      </c>
      <c r="F12660" s="7" t="n">
        <v>0</v>
      </c>
      <c r="G12660" s="7" t="n">
        <v>0</v>
      </c>
    </row>
    <row r="12661" customFormat="false" ht="15" hidden="false" customHeight="false" outlineLevel="0" collapsed="false">
      <c r="A12661" s="7" t="s">
        <v>32</v>
      </c>
      <c r="B12661" s="7" t="s">
        <v>225</v>
      </c>
      <c r="C12661" s="7" t="s">
        <v>1091</v>
      </c>
      <c r="D12661" s="7" t="n">
        <v>360</v>
      </c>
      <c r="E12661" s="7" t="n">
        <v>3195.56</v>
      </c>
      <c r="F12661" s="7" t="n">
        <v>0</v>
      </c>
      <c r="G12661" s="7" t="n">
        <v>0</v>
      </c>
    </row>
    <row r="12662" customFormat="false" ht="15" hidden="false" customHeight="false" outlineLevel="0" collapsed="false">
      <c r="A12662" s="7" t="s">
        <v>32</v>
      </c>
      <c r="B12662" s="7" t="s">
        <v>504</v>
      </c>
      <c r="C12662" s="7" t="s">
        <v>1172</v>
      </c>
      <c r="D12662" s="7" t="n">
        <v>0</v>
      </c>
      <c r="E12662" s="7" t="n">
        <v>0</v>
      </c>
      <c r="F12662" s="7" t="n">
        <v>15</v>
      </c>
      <c r="G12662" s="7" t="n">
        <v>99.16</v>
      </c>
    </row>
    <row r="12663" customFormat="false" ht="15" hidden="false" customHeight="false" outlineLevel="0" collapsed="false">
      <c r="A12663" s="7" t="s">
        <v>32</v>
      </c>
      <c r="B12663" s="7" t="s">
        <v>504</v>
      </c>
      <c r="C12663" s="7" t="s">
        <v>1172</v>
      </c>
      <c r="D12663" s="7" t="n">
        <v>10</v>
      </c>
      <c r="E12663" s="7" t="n">
        <v>68.97</v>
      </c>
      <c r="F12663" s="7" t="n">
        <v>0</v>
      </c>
      <c r="G12663" s="7" t="n">
        <v>0</v>
      </c>
    </row>
    <row r="12664" customFormat="false" ht="15" hidden="false" customHeight="false" outlineLevel="0" collapsed="false">
      <c r="A12664" s="7" t="s">
        <v>32</v>
      </c>
      <c r="B12664" s="7" t="s">
        <v>134</v>
      </c>
      <c r="C12664" s="7" t="s">
        <v>1093</v>
      </c>
      <c r="D12664" s="7" t="n">
        <v>0</v>
      </c>
      <c r="E12664" s="7" t="n">
        <v>0</v>
      </c>
      <c r="F12664" s="7" t="n">
        <v>10</v>
      </c>
      <c r="G12664" s="7" t="n">
        <v>172.72</v>
      </c>
    </row>
    <row r="12665" customFormat="false" ht="15" hidden="false" customHeight="false" outlineLevel="0" collapsed="false">
      <c r="A12665" s="7" t="s">
        <v>32</v>
      </c>
      <c r="B12665" s="7" t="s">
        <v>134</v>
      </c>
      <c r="C12665" s="7" t="s">
        <v>1093</v>
      </c>
      <c r="D12665" s="7" t="n">
        <v>40</v>
      </c>
      <c r="E12665" s="7" t="n">
        <v>611.26</v>
      </c>
      <c r="F12665" s="7" t="n">
        <v>0</v>
      </c>
      <c r="G12665" s="7" t="n">
        <v>0</v>
      </c>
    </row>
    <row r="12666" customFormat="false" ht="15" hidden="false" customHeight="false" outlineLevel="0" collapsed="false">
      <c r="A12666" s="7" t="s">
        <v>32</v>
      </c>
      <c r="B12666" s="7" t="s">
        <v>134</v>
      </c>
      <c r="C12666" s="7" t="s">
        <v>1093</v>
      </c>
      <c r="D12666" s="7" t="n">
        <v>0</v>
      </c>
      <c r="E12666" s="7" t="n">
        <v>0</v>
      </c>
      <c r="F12666" s="7" t="n">
        <v>25</v>
      </c>
      <c r="G12666" s="7" t="n">
        <v>366.19</v>
      </c>
    </row>
    <row r="12667" customFormat="false" ht="15" hidden="false" customHeight="false" outlineLevel="0" collapsed="false">
      <c r="A12667" s="7" t="s">
        <v>32</v>
      </c>
      <c r="B12667" s="7" t="s">
        <v>217</v>
      </c>
      <c r="C12667" s="7" t="s">
        <v>1094</v>
      </c>
      <c r="D12667" s="7" t="n">
        <v>25</v>
      </c>
      <c r="E12667" s="7" t="n">
        <v>314.42</v>
      </c>
      <c r="F12667" s="7" t="n">
        <v>0</v>
      </c>
      <c r="G12667" s="7" t="n">
        <v>0</v>
      </c>
    </row>
    <row r="12668" customFormat="false" ht="15" hidden="false" customHeight="false" outlineLevel="0" collapsed="false">
      <c r="A12668" s="7" t="s">
        <v>32</v>
      </c>
      <c r="B12668" s="7" t="s">
        <v>217</v>
      </c>
      <c r="C12668" s="7" t="s">
        <v>1094</v>
      </c>
      <c r="D12668" s="7" t="n">
        <v>0</v>
      </c>
      <c r="E12668" s="7" t="n">
        <v>0</v>
      </c>
      <c r="F12668" s="7" t="n">
        <v>15</v>
      </c>
      <c r="G12668" s="7" t="n">
        <v>180.83</v>
      </c>
    </row>
    <row r="12669" customFormat="false" ht="15" hidden="false" customHeight="false" outlineLevel="0" collapsed="false">
      <c r="A12669" s="7" t="s">
        <v>32</v>
      </c>
      <c r="B12669" s="7" t="s">
        <v>217</v>
      </c>
      <c r="C12669" s="7" t="s">
        <v>1094</v>
      </c>
      <c r="D12669" s="7" t="n">
        <v>0</v>
      </c>
      <c r="E12669" s="7" t="n">
        <v>0</v>
      </c>
      <c r="F12669" s="7" t="n">
        <v>5</v>
      </c>
      <c r="G12669" s="7" t="n">
        <v>71.08</v>
      </c>
    </row>
    <row r="12670" customFormat="false" ht="15" hidden="false" customHeight="false" outlineLevel="0" collapsed="false">
      <c r="A12670" s="7" t="s">
        <v>32</v>
      </c>
      <c r="B12670" s="7" t="s">
        <v>740</v>
      </c>
      <c r="C12670" s="7" t="s">
        <v>1173</v>
      </c>
      <c r="D12670" s="7" t="n">
        <v>17</v>
      </c>
      <c r="E12670" s="7" t="n">
        <v>168.8</v>
      </c>
      <c r="F12670" s="7" t="n">
        <v>0</v>
      </c>
      <c r="G12670" s="7" t="n">
        <v>0</v>
      </c>
    </row>
    <row r="12671" customFormat="false" ht="15" hidden="false" customHeight="false" outlineLevel="0" collapsed="false">
      <c r="A12671" s="7" t="s">
        <v>32</v>
      </c>
      <c r="B12671" s="7" t="s">
        <v>740</v>
      </c>
      <c r="C12671" s="7" t="s">
        <v>1173</v>
      </c>
      <c r="D12671" s="7" t="n">
        <v>0</v>
      </c>
      <c r="E12671" s="7" t="n">
        <v>0</v>
      </c>
      <c r="F12671" s="7" t="n">
        <v>5</v>
      </c>
      <c r="G12671" s="7" t="n">
        <v>50.44</v>
      </c>
    </row>
    <row r="12672" customFormat="false" ht="15" hidden="false" customHeight="false" outlineLevel="0" collapsed="false">
      <c r="A12672" s="7" t="s">
        <v>32</v>
      </c>
      <c r="B12672" s="7" t="s">
        <v>740</v>
      </c>
      <c r="C12672" s="7" t="s">
        <v>1173</v>
      </c>
      <c r="D12672" s="7" t="n">
        <v>0</v>
      </c>
      <c r="E12672" s="7" t="n">
        <v>0</v>
      </c>
      <c r="F12672" s="7" t="n">
        <v>15</v>
      </c>
      <c r="G12672" s="7" t="n">
        <v>128.33</v>
      </c>
    </row>
    <row r="12673" customFormat="false" ht="15" hidden="false" customHeight="false" outlineLevel="0" collapsed="false">
      <c r="A12673" s="7" t="s">
        <v>32</v>
      </c>
      <c r="B12673" s="7" t="s">
        <v>387</v>
      </c>
      <c r="C12673" s="7" t="s">
        <v>1095</v>
      </c>
      <c r="D12673" s="7" t="n">
        <v>24</v>
      </c>
      <c r="E12673" s="7" t="n">
        <v>234.7</v>
      </c>
      <c r="F12673" s="7" t="n">
        <v>0</v>
      </c>
      <c r="G12673" s="7" t="n">
        <v>0</v>
      </c>
    </row>
    <row r="12674" customFormat="false" ht="15" hidden="false" customHeight="false" outlineLevel="0" collapsed="false">
      <c r="A12674" s="7" t="s">
        <v>32</v>
      </c>
      <c r="B12674" s="7" t="s">
        <v>387</v>
      </c>
      <c r="C12674" s="7" t="s">
        <v>1095</v>
      </c>
      <c r="D12674" s="7" t="n">
        <v>0</v>
      </c>
      <c r="E12674" s="7" t="n">
        <v>0</v>
      </c>
      <c r="F12674" s="7" t="n">
        <v>20</v>
      </c>
      <c r="G12674" s="7" t="n">
        <v>168.51</v>
      </c>
    </row>
    <row r="12675" customFormat="false" ht="15" hidden="false" customHeight="false" outlineLevel="0" collapsed="false">
      <c r="A12675" s="7" t="s">
        <v>32</v>
      </c>
      <c r="B12675" s="7" t="s">
        <v>387</v>
      </c>
      <c r="C12675" s="7" t="s">
        <v>1095</v>
      </c>
      <c r="D12675" s="7" t="n">
        <v>0</v>
      </c>
      <c r="E12675" s="7" t="n">
        <v>0</v>
      </c>
      <c r="F12675" s="7" t="n">
        <v>10</v>
      </c>
      <c r="G12675" s="7" t="n">
        <v>99.35</v>
      </c>
    </row>
    <row r="12676" customFormat="false" ht="15" hidden="false" customHeight="false" outlineLevel="0" collapsed="false">
      <c r="A12676" s="7" t="s">
        <v>32</v>
      </c>
      <c r="B12676" s="7" t="s">
        <v>387</v>
      </c>
      <c r="C12676" s="7" t="s">
        <v>1095</v>
      </c>
      <c r="D12676" s="7" t="n">
        <v>30</v>
      </c>
      <c r="E12676" s="7" t="n">
        <v>263.71</v>
      </c>
      <c r="F12676" s="7" t="n">
        <v>0</v>
      </c>
      <c r="G12676" s="7" t="n">
        <v>0</v>
      </c>
    </row>
    <row r="12677" customFormat="false" ht="15" hidden="false" customHeight="false" outlineLevel="0" collapsed="false">
      <c r="A12677" s="7" t="s">
        <v>32</v>
      </c>
      <c r="B12677" s="7" t="s">
        <v>367</v>
      </c>
      <c r="C12677" s="7" t="s">
        <v>1095</v>
      </c>
      <c r="D12677" s="7" t="n">
        <v>0</v>
      </c>
      <c r="E12677" s="7" t="n">
        <v>0</v>
      </c>
      <c r="F12677" s="7" t="n">
        <v>10</v>
      </c>
      <c r="G12677" s="7" t="n">
        <v>94.63</v>
      </c>
    </row>
    <row r="12678" customFormat="false" ht="15" hidden="false" customHeight="false" outlineLevel="0" collapsed="false">
      <c r="A12678" s="7" t="s">
        <v>32</v>
      </c>
      <c r="B12678" s="7" t="s">
        <v>367</v>
      </c>
      <c r="C12678" s="7" t="s">
        <v>1095</v>
      </c>
      <c r="D12678" s="7" t="n">
        <v>0</v>
      </c>
      <c r="E12678" s="7" t="n">
        <v>0</v>
      </c>
      <c r="F12678" s="7" t="n">
        <v>25</v>
      </c>
      <c r="G12678" s="7" t="n">
        <v>278.95</v>
      </c>
    </row>
    <row r="12679" customFormat="false" ht="15" hidden="false" customHeight="false" outlineLevel="0" collapsed="false">
      <c r="A12679" s="7" t="s">
        <v>32</v>
      </c>
      <c r="B12679" s="7" t="s">
        <v>367</v>
      </c>
      <c r="C12679" s="7" t="s">
        <v>1095</v>
      </c>
      <c r="D12679" s="7" t="n">
        <v>36</v>
      </c>
      <c r="E12679" s="7" t="n">
        <v>395.39</v>
      </c>
      <c r="F12679" s="7" t="n">
        <v>0</v>
      </c>
      <c r="G12679" s="7" t="n">
        <v>0</v>
      </c>
    </row>
    <row r="12680" customFormat="false" ht="15" hidden="false" customHeight="false" outlineLevel="0" collapsed="false">
      <c r="A12680" s="7" t="s">
        <v>32</v>
      </c>
      <c r="B12680" s="7" t="s">
        <v>661</v>
      </c>
      <c r="C12680" s="7" t="s">
        <v>1096</v>
      </c>
      <c r="D12680" s="7" t="n">
        <v>10</v>
      </c>
      <c r="E12680" s="7" t="n">
        <v>82.73</v>
      </c>
      <c r="F12680" s="7" t="n">
        <v>0</v>
      </c>
      <c r="G12680" s="7" t="n">
        <v>0</v>
      </c>
    </row>
    <row r="12681" customFormat="false" ht="15" hidden="false" customHeight="false" outlineLevel="0" collapsed="false">
      <c r="A12681" s="7" t="s">
        <v>32</v>
      </c>
      <c r="B12681" s="7" t="s">
        <v>566</v>
      </c>
      <c r="C12681" s="7" t="s">
        <v>1230</v>
      </c>
      <c r="D12681" s="7" t="n">
        <v>10</v>
      </c>
      <c r="E12681" s="7" t="n">
        <v>82.73</v>
      </c>
      <c r="F12681" s="7" t="n">
        <v>0</v>
      </c>
      <c r="G12681" s="7" t="n">
        <v>0</v>
      </c>
    </row>
    <row r="12682" customFormat="false" ht="15" hidden="false" customHeight="false" outlineLevel="0" collapsed="false">
      <c r="A12682" s="7" t="s">
        <v>32</v>
      </c>
      <c r="B12682" s="7" t="s">
        <v>590</v>
      </c>
      <c r="C12682" s="7" t="s">
        <v>1097</v>
      </c>
      <c r="D12682" s="7" t="n">
        <v>10</v>
      </c>
      <c r="E12682" s="7" t="n">
        <v>98.64</v>
      </c>
      <c r="F12682" s="7" t="n">
        <v>0</v>
      </c>
      <c r="G12682" s="7" t="n">
        <v>0</v>
      </c>
    </row>
    <row r="12683" customFormat="false" ht="15" hidden="false" customHeight="false" outlineLevel="0" collapsed="false">
      <c r="A12683" s="7" t="s">
        <v>32</v>
      </c>
      <c r="B12683" s="7" t="s">
        <v>735</v>
      </c>
      <c r="C12683" s="7" t="s">
        <v>1098</v>
      </c>
      <c r="D12683" s="7" t="n">
        <v>10</v>
      </c>
      <c r="E12683" s="7" t="n">
        <v>98.64</v>
      </c>
      <c r="F12683" s="7" t="n">
        <v>0</v>
      </c>
      <c r="G12683" s="7" t="n">
        <v>0</v>
      </c>
    </row>
    <row r="12684" customFormat="false" ht="15" hidden="false" customHeight="false" outlineLevel="0" collapsed="false">
      <c r="A12684" s="7" t="s">
        <v>32</v>
      </c>
      <c r="B12684" s="7" t="s">
        <v>642</v>
      </c>
      <c r="C12684" s="7" t="s">
        <v>1231</v>
      </c>
      <c r="D12684" s="7" t="n">
        <v>0</v>
      </c>
      <c r="E12684" s="7" t="n">
        <v>0</v>
      </c>
      <c r="F12684" s="7" t="n">
        <v>20</v>
      </c>
      <c r="G12684" s="7" t="n">
        <v>264.44</v>
      </c>
    </row>
    <row r="12685" customFormat="false" ht="15" hidden="false" customHeight="false" outlineLevel="0" collapsed="false">
      <c r="A12685" s="7" t="s">
        <v>32</v>
      </c>
      <c r="B12685" s="7" t="s">
        <v>570</v>
      </c>
      <c r="C12685" s="7" t="s">
        <v>1231</v>
      </c>
      <c r="D12685" s="7" t="n">
        <v>40</v>
      </c>
      <c r="E12685" s="7" t="n">
        <v>551.76</v>
      </c>
      <c r="F12685" s="7" t="n">
        <v>0</v>
      </c>
      <c r="G12685" s="7" t="n">
        <v>0</v>
      </c>
    </row>
    <row r="12686" customFormat="false" ht="15" hidden="false" customHeight="false" outlineLevel="0" collapsed="false">
      <c r="A12686" s="7" t="s">
        <v>32</v>
      </c>
      <c r="B12686" s="7" t="s">
        <v>317</v>
      </c>
      <c r="C12686" s="7" t="s">
        <v>1231</v>
      </c>
      <c r="D12686" s="7" t="n">
        <v>50</v>
      </c>
      <c r="E12686" s="7" t="n">
        <v>689.7</v>
      </c>
      <c r="F12686" s="7" t="n">
        <v>0</v>
      </c>
      <c r="G12686" s="7" t="n">
        <v>0</v>
      </c>
    </row>
    <row r="12687" customFormat="false" ht="15" hidden="false" customHeight="false" outlineLevel="0" collapsed="false">
      <c r="A12687" s="7" t="s">
        <v>32</v>
      </c>
      <c r="B12687" s="7" t="s">
        <v>317</v>
      </c>
      <c r="C12687" s="7" t="s">
        <v>1231</v>
      </c>
      <c r="D12687" s="7" t="n">
        <v>0</v>
      </c>
      <c r="E12687" s="7" t="n">
        <v>0</v>
      </c>
      <c r="F12687" s="7" t="n">
        <v>10</v>
      </c>
      <c r="G12687" s="7" t="n">
        <v>155.91</v>
      </c>
    </row>
    <row r="12688" customFormat="false" ht="15" hidden="false" customHeight="false" outlineLevel="0" collapsed="false">
      <c r="A12688" s="7" t="s">
        <v>32</v>
      </c>
      <c r="B12688" s="7" t="s">
        <v>317</v>
      </c>
      <c r="C12688" s="7" t="s">
        <v>1231</v>
      </c>
      <c r="D12688" s="7" t="n">
        <v>0</v>
      </c>
      <c r="E12688" s="7" t="n">
        <v>0</v>
      </c>
      <c r="F12688" s="7" t="n">
        <v>-50</v>
      </c>
      <c r="G12688" s="7" t="n">
        <v>-682.98</v>
      </c>
    </row>
    <row r="12689" customFormat="false" ht="15" hidden="false" customHeight="false" outlineLevel="0" collapsed="false">
      <c r="A12689" s="7" t="s">
        <v>32</v>
      </c>
      <c r="B12689" s="7" t="s">
        <v>317</v>
      </c>
      <c r="C12689" s="7" t="s">
        <v>1231</v>
      </c>
      <c r="D12689" s="7" t="n">
        <v>0</v>
      </c>
      <c r="E12689" s="7" t="n">
        <v>0</v>
      </c>
      <c r="F12689" s="7" t="n">
        <v>70</v>
      </c>
      <c r="G12689" s="7" t="n">
        <v>925.52</v>
      </c>
    </row>
    <row r="12690" customFormat="false" ht="15" hidden="false" customHeight="false" outlineLevel="0" collapsed="false">
      <c r="A12690" s="7" t="s">
        <v>32</v>
      </c>
      <c r="B12690" s="7" t="s">
        <v>409</v>
      </c>
      <c r="C12690" s="7" t="s">
        <v>1231</v>
      </c>
      <c r="D12690" s="7" t="n">
        <v>0</v>
      </c>
      <c r="E12690" s="7" t="n">
        <v>0</v>
      </c>
      <c r="F12690" s="7" t="n">
        <v>10</v>
      </c>
      <c r="G12690" s="7" t="n">
        <v>155.91</v>
      </c>
    </row>
    <row r="12691" customFormat="false" ht="15" hidden="false" customHeight="false" outlineLevel="0" collapsed="false">
      <c r="A12691" s="7" t="s">
        <v>32</v>
      </c>
      <c r="B12691" s="7" t="s">
        <v>409</v>
      </c>
      <c r="C12691" s="7" t="s">
        <v>1231</v>
      </c>
      <c r="D12691" s="7" t="n">
        <v>5</v>
      </c>
      <c r="E12691" s="7" t="n">
        <v>68.97</v>
      </c>
      <c r="F12691" s="7" t="n">
        <v>0</v>
      </c>
      <c r="G12691" s="7" t="n">
        <v>0</v>
      </c>
    </row>
    <row r="12692" customFormat="false" ht="15" hidden="false" customHeight="false" outlineLevel="0" collapsed="false">
      <c r="A12692" s="7" t="s">
        <v>32</v>
      </c>
      <c r="B12692" s="7" t="s">
        <v>409</v>
      </c>
      <c r="C12692" s="7" t="s">
        <v>1231</v>
      </c>
      <c r="D12692" s="7" t="n">
        <v>0</v>
      </c>
      <c r="E12692" s="7" t="n">
        <v>0</v>
      </c>
      <c r="F12692" s="7" t="n">
        <v>25</v>
      </c>
      <c r="G12692" s="7" t="n">
        <v>330.55</v>
      </c>
    </row>
    <row r="12693" customFormat="false" ht="15" hidden="false" customHeight="false" outlineLevel="0" collapsed="false">
      <c r="A12693" s="7" t="s">
        <v>32</v>
      </c>
      <c r="B12693" s="7" t="s">
        <v>182</v>
      </c>
      <c r="C12693" s="7" t="s">
        <v>1232</v>
      </c>
      <c r="D12693" s="7" t="n">
        <v>6</v>
      </c>
      <c r="E12693" s="7" t="n">
        <v>249.57</v>
      </c>
      <c r="F12693" s="7" t="n">
        <v>0</v>
      </c>
      <c r="G12693" s="7" t="n">
        <v>0</v>
      </c>
    </row>
    <row r="12694" customFormat="false" ht="15" hidden="false" customHeight="false" outlineLevel="0" collapsed="false">
      <c r="A12694" s="7" t="s">
        <v>32</v>
      </c>
      <c r="B12694" s="7" t="s">
        <v>306</v>
      </c>
      <c r="C12694" s="7" t="s">
        <v>1232</v>
      </c>
      <c r="D12694" s="7" t="n">
        <v>0</v>
      </c>
      <c r="E12694" s="7" t="n">
        <v>0</v>
      </c>
      <c r="F12694" s="7" t="n">
        <v>5</v>
      </c>
      <c r="G12694" s="7" t="n">
        <v>179.19</v>
      </c>
    </row>
    <row r="12695" customFormat="false" ht="15" hidden="false" customHeight="false" outlineLevel="0" collapsed="false">
      <c r="A12695" s="7" t="s">
        <v>32</v>
      </c>
      <c r="B12695" s="7" t="s">
        <v>306</v>
      </c>
      <c r="C12695" s="7" t="s">
        <v>1232</v>
      </c>
      <c r="D12695" s="7" t="n">
        <v>6</v>
      </c>
      <c r="E12695" s="7" t="n">
        <v>249.57</v>
      </c>
      <c r="F12695" s="7" t="n">
        <v>0</v>
      </c>
      <c r="G12695" s="7" t="n">
        <v>0</v>
      </c>
    </row>
    <row r="12696" customFormat="false" ht="15" hidden="false" customHeight="false" outlineLevel="0" collapsed="false">
      <c r="A12696" s="7" t="s">
        <v>32</v>
      </c>
      <c r="B12696" s="7" t="s">
        <v>306</v>
      </c>
      <c r="C12696" s="7" t="s">
        <v>1232</v>
      </c>
      <c r="D12696" s="7" t="n">
        <v>1</v>
      </c>
      <c r="E12696" s="7" t="n">
        <v>0.03</v>
      </c>
      <c r="F12696" s="7" t="n">
        <v>0</v>
      </c>
      <c r="G12696" s="7" t="n">
        <v>0</v>
      </c>
    </row>
    <row r="12697" customFormat="false" ht="15" hidden="false" customHeight="false" outlineLevel="0" collapsed="false">
      <c r="A12697" s="7" t="s">
        <v>32</v>
      </c>
      <c r="B12697" s="7" t="s">
        <v>191</v>
      </c>
      <c r="C12697" s="7" t="s">
        <v>1232</v>
      </c>
      <c r="D12697" s="7" t="n">
        <v>0</v>
      </c>
      <c r="E12697" s="7" t="n">
        <v>0</v>
      </c>
      <c r="F12697" s="7" t="n">
        <v>10</v>
      </c>
      <c r="G12697" s="7" t="n">
        <v>358.38</v>
      </c>
    </row>
    <row r="12698" customFormat="false" ht="15" hidden="false" customHeight="false" outlineLevel="0" collapsed="false">
      <c r="A12698" s="7" t="s">
        <v>32</v>
      </c>
      <c r="B12698" s="7" t="s">
        <v>191</v>
      </c>
      <c r="C12698" s="7" t="s">
        <v>1232</v>
      </c>
      <c r="D12698" s="7" t="n">
        <v>3</v>
      </c>
      <c r="E12698" s="7" t="n">
        <v>124.79</v>
      </c>
      <c r="F12698" s="7" t="n">
        <v>0</v>
      </c>
      <c r="G12698" s="7" t="n">
        <v>0</v>
      </c>
    </row>
    <row r="12699" customFormat="false" ht="15" hidden="false" customHeight="false" outlineLevel="0" collapsed="false">
      <c r="A12699" s="7" t="s">
        <v>32</v>
      </c>
      <c r="B12699" s="7" t="s">
        <v>461</v>
      </c>
      <c r="C12699" s="7" t="s">
        <v>1233</v>
      </c>
      <c r="D12699" s="7" t="n">
        <v>6</v>
      </c>
      <c r="E12699" s="7" t="n">
        <v>249.57</v>
      </c>
      <c r="F12699" s="7" t="n">
        <v>0</v>
      </c>
      <c r="G12699" s="7" t="n">
        <v>0</v>
      </c>
    </row>
    <row r="12700" customFormat="false" ht="15" hidden="false" customHeight="false" outlineLevel="0" collapsed="false">
      <c r="A12700" s="7" t="s">
        <v>32</v>
      </c>
      <c r="B12700" s="7" t="s">
        <v>230</v>
      </c>
      <c r="C12700" s="7" t="s">
        <v>1233</v>
      </c>
      <c r="D12700" s="7" t="n">
        <v>6</v>
      </c>
      <c r="E12700" s="7" t="n">
        <v>249.57</v>
      </c>
      <c r="F12700" s="7" t="n">
        <v>0</v>
      </c>
      <c r="G12700" s="7" t="n">
        <v>0</v>
      </c>
    </row>
    <row r="12701" customFormat="false" ht="15" hidden="false" customHeight="false" outlineLevel="0" collapsed="false">
      <c r="A12701" s="7" t="s">
        <v>32</v>
      </c>
      <c r="B12701" s="7" t="s">
        <v>230</v>
      </c>
      <c r="C12701" s="7" t="s">
        <v>1233</v>
      </c>
      <c r="D12701" s="7" t="n">
        <v>0</v>
      </c>
      <c r="E12701" s="7" t="n">
        <v>0</v>
      </c>
      <c r="F12701" s="7" t="n">
        <v>3</v>
      </c>
      <c r="G12701" s="7" t="n">
        <v>107.51</v>
      </c>
    </row>
    <row r="12702" customFormat="false" ht="15" hidden="false" customHeight="false" outlineLevel="0" collapsed="false">
      <c r="A12702" s="7" t="s">
        <v>32</v>
      </c>
      <c r="B12702" s="7" t="s">
        <v>328</v>
      </c>
      <c r="C12702" s="7" t="s">
        <v>1233</v>
      </c>
      <c r="D12702" s="7" t="n">
        <v>3</v>
      </c>
      <c r="E12702" s="7" t="n">
        <v>124.79</v>
      </c>
      <c r="F12702" s="7" t="n">
        <v>0</v>
      </c>
      <c r="G12702" s="7" t="n">
        <v>0</v>
      </c>
    </row>
    <row r="12703" customFormat="false" ht="15" hidden="false" customHeight="false" outlineLevel="0" collapsed="false">
      <c r="A12703" s="7" t="s">
        <v>32</v>
      </c>
      <c r="B12703" s="7" t="s">
        <v>328</v>
      </c>
      <c r="C12703" s="7" t="s">
        <v>1233</v>
      </c>
      <c r="D12703" s="7" t="n">
        <v>0</v>
      </c>
      <c r="E12703" s="7" t="n">
        <v>0</v>
      </c>
      <c r="F12703" s="7" t="n">
        <v>3</v>
      </c>
      <c r="G12703" s="7" t="n">
        <v>107.51</v>
      </c>
    </row>
    <row r="12704" customFormat="false" ht="15" hidden="false" customHeight="false" outlineLevel="0" collapsed="false">
      <c r="A12704" s="7" t="s">
        <v>32</v>
      </c>
      <c r="B12704" s="7" t="s">
        <v>328</v>
      </c>
      <c r="C12704" s="7" t="s">
        <v>1233</v>
      </c>
      <c r="D12704" s="7" t="n">
        <v>1</v>
      </c>
      <c r="E12704" s="7" t="n">
        <v>0.03</v>
      </c>
      <c r="F12704" s="7" t="n">
        <v>0</v>
      </c>
      <c r="G12704" s="7" t="n">
        <v>0</v>
      </c>
    </row>
    <row r="12705" customFormat="false" ht="15" hidden="false" customHeight="false" outlineLevel="0" collapsed="false">
      <c r="A12705" s="7" t="s">
        <v>32</v>
      </c>
      <c r="B12705" s="7" t="s">
        <v>495</v>
      </c>
      <c r="C12705" s="7" t="s">
        <v>1234</v>
      </c>
      <c r="D12705" s="7" t="n">
        <v>0</v>
      </c>
      <c r="E12705" s="7" t="n">
        <v>0</v>
      </c>
      <c r="F12705" s="7" t="n">
        <v>5</v>
      </c>
      <c r="G12705" s="7" t="n">
        <v>179.19</v>
      </c>
    </row>
    <row r="12706" customFormat="false" ht="15" hidden="false" customHeight="false" outlineLevel="0" collapsed="false">
      <c r="A12706" s="7" t="s">
        <v>32</v>
      </c>
      <c r="B12706" s="7" t="s">
        <v>495</v>
      </c>
      <c r="C12706" s="7" t="s">
        <v>1234</v>
      </c>
      <c r="D12706" s="7" t="n">
        <v>6</v>
      </c>
      <c r="E12706" s="7" t="n">
        <v>249.57</v>
      </c>
      <c r="F12706" s="7" t="n">
        <v>0</v>
      </c>
      <c r="G12706" s="7" t="n">
        <v>0</v>
      </c>
    </row>
    <row r="12707" customFormat="false" ht="15" hidden="false" customHeight="false" outlineLevel="0" collapsed="false">
      <c r="A12707" s="7" t="s">
        <v>32</v>
      </c>
      <c r="B12707" s="7" t="s">
        <v>250</v>
      </c>
      <c r="C12707" s="7" t="s">
        <v>1234</v>
      </c>
      <c r="D12707" s="7" t="n">
        <v>1</v>
      </c>
      <c r="E12707" s="7" t="n">
        <v>0.03</v>
      </c>
      <c r="F12707" s="7" t="n">
        <v>0</v>
      </c>
      <c r="G12707" s="7" t="n">
        <v>0</v>
      </c>
    </row>
    <row r="12708" customFormat="false" ht="15" hidden="false" customHeight="false" outlineLevel="0" collapsed="false">
      <c r="A12708" s="7" t="s">
        <v>32</v>
      </c>
      <c r="B12708" s="7" t="s">
        <v>250</v>
      </c>
      <c r="C12708" s="7" t="s">
        <v>1234</v>
      </c>
      <c r="D12708" s="7" t="n">
        <v>0</v>
      </c>
      <c r="E12708" s="7" t="n">
        <v>0</v>
      </c>
      <c r="F12708" s="7" t="n">
        <v>10</v>
      </c>
      <c r="G12708" s="7" t="n">
        <v>358.38</v>
      </c>
    </row>
    <row r="12709" customFormat="false" ht="15" hidden="false" customHeight="false" outlineLevel="0" collapsed="false">
      <c r="A12709" s="7" t="s">
        <v>32</v>
      </c>
      <c r="B12709" s="7" t="s">
        <v>250</v>
      </c>
      <c r="C12709" s="7" t="s">
        <v>1234</v>
      </c>
      <c r="D12709" s="7" t="n">
        <v>6</v>
      </c>
      <c r="E12709" s="7" t="n">
        <v>249.57</v>
      </c>
      <c r="F12709" s="7" t="n">
        <v>0</v>
      </c>
      <c r="G12709" s="7" t="n">
        <v>0</v>
      </c>
    </row>
    <row r="12710" customFormat="false" ht="15" hidden="false" customHeight="false" outlineLevel="0" collapsed="false">
      <c r="A12710" s="7" t="s">
        <v>32</v>
      </c>
      <c r="B12710" s="7" t="s">
        <v>172</v>
      </c>
      <c r="C12710" s="7" t="s">
        <v>1234</v>
      </c>
      <c r="D12710" s="7" t="n">
        <v>3</v>
      </c>
      <c r="E12710" s="7" t="n">
        <v>124.79</v>
      </c>
      <c r="F12710" s="7" t="n">
        <v>0</v>
      </c>
      <c r="G12710" s="7" t="n">
        <v>0</v>
      </c>
    </row>
    <row r="12711" customFormat="false" ht="15" hidden="false" customHeight="false" outlineLevel="0" collapsed="false">
      <c r="A12711" s="7" t="s">
        <v>32</v>
      </c>
      <c r="B12711" s="7" t="s">
        <v>172</v>
      </c>
      <c r="C12711" s="7" t="s">
        <v>1234</v>
      </c>
      <c r="D12711" s="7" t="n">
        <v>0</v>
      </c>
      <c r="E12711" s="7" t="n">
        <v>0</v>
      </c>
      <c r="F12711" s="7" t="n">
        <v>10</v>
      </c>
      <c r="G12711" s="7" t="n">
        <v>358.38</v>
      </c>
    </row>
    <row r="12712" customFormat="false" ht="15" hidden="false" customHeight="false" outlineLevel="0" collapsed="false">
      <c r="A12712" s="7" t="s">
        <v>32</v>
      </c>
      <c r="B12712" s="7" t="s">
        <v>229</v>
      </c>
      <c r="C12712" s="7" t="s">
        <v>1099</v>
      </c>
      <c r="D12712" s="7" t="n">
        <v>0</v>
      </c>
      <c r="E12712" s="7" t="n">
        <v>0</v>
      </c>
      <c r="F12712" s="7" t="n">
        <v>55</v>
      </c>
      <c r="G12712" s="7" t="n">
        <v>1596.98</v>
      </c>
    </row>
    <row r="12713" customFormat="false" ht="15" hidden="false" customHeight="false" outlineLevel="0" collapsed="false">
      <c r="A12713" s="7" t="s">
        <v>32</v>
      </c>
      <c r="B12713" s="7" t="s">
        <v>229</v>
      </c>
      <c r="C12713" s="7" t="s">
        <v>1099</v>
      </c>
      <c r="D12713" s="7" t="n">
        <v>20</v>
      </c>
      <c r="E12713" s="7" t="n">
        <v>605.85</v>
      </c>
      <c r="F12713" s="7" t="n">
        <v>0</v>
      </c>
      <c r="G12713" s="7" t="n">
        <v>0</v>
      </c>
    </row>
    <row r="12714" customFormat="false" ht="15" hidden="false" customHeight="false" outlineLevel="0" collapsed="false">
      <c r="A12714" s="7" t="s">
        <v>32</v>
      </c>
      <c r="B12714" s="7" t="s">
        <v>229</v>
      </c>
      <c r="C12714" s="7" t="s">
        <v>1099</v>
      </c>
      <c r="D12714" s="7" t="n">
        <v>0</v>
      </c>
      <c r="E12714" s="7" t="n">
        <v>0</v>
      </c>
      <c r="F12714" s="7" t="n">
        <v>20</v>
      </c>
      <c r="G12714" s="7" t="n">
        <v>684.77</v>
      </c>
    </row>
    <row r="12715" customFormat="false" ht="15" hidden="false" customHeight="false" outlineLevel="0" collapsed="false">
      <c r="A12715" s="7" t="s">
        <v>32</v>
      </c>
      <c r="B12715" s="7" t="s">
        <v>119</v>
      </c>
      <c r="C12715" s="7" t="s">
        <v>1100</v>
      </c>
      <c r="D12715" s="7" t="n">
        <v>24</v>
      </c>
      <c r="E12715" s="7" t="n">
        <v>411.63</v>
      </c>
      <c r="F12715" s="7" t="n">
        <v>0</v>
      </c>
      <c r="G12715" s="7" t="n">
        <v>0</v>
      </c>
    </row>
    <row r="12716" customFormat="false" ht="15" hidden="false" customHeight="false" outlineLevel="0" collapsed="false">
      <c r="A12716" s="7" t="s">
        <v>32</v>
      </c>
      <c r="B12716" s="7" t="s">
        <v>119</v>
      </c>
      <c r="C12716" s="7" t="s">
        <v>1100</v>
      </c>
      <c r="D12716" s="7" t="n">
        <v>0</v>
      </c>
      <c r="E12716" s="7" t="n">
        <v>0</v>
      </c>
      <c r="F12716" s="7" t="n">
        <v>16</v>
      </c>
      <c r="G12716" s="7" t="n">
        <v>278.8</v>
      </c>
    </row>
    <row r="12717" customFormat="false" ht="15" hidden="false" customHeight="false" outlineLevel="0" collapsed="false">
      <c r="A12717" s="7" t="s">
        <v>32</v>
      </c>
      <c r="B12717" s="7" t="s">
        <v>119</v>
      </c>
      <c r="C12717" s="7" t="s">
        <v>1100</v>
      </c>
      <c r="D12717" s="7" t="n">
        <v>30</v>
      </c>
      <c r="E12717" s="7" t="n">
        <v>462.5</v>
      </c>
      <c r="F12717" s="7" t="n">
        <v>0</v>
      </c>
      <c r="G12717" s="7" t="n">
        <v>0</v>
      </c>
    </row>
    <row r="12718" customFormat="false" ht="15" hidden="false" customHeight="false" outlineLevel="0" collapsed="false">
      <c r="A12718" s="7" t="s">
        <v>32</v>
      </c>
      <c r="B12718" s="7" t="s">
        <v>119</v>
      </c>
      <c r="C12718" s="7" t="s">
        <v>1100</v>
      </c>
      <c r="D12718" s="7" t="n">
        <v>0</v>
      </c>
      <c r="E12718" s="7" t="n">
        <v>0</v>
      </c>
      <c r="F12718" s="7" t="n">
        <v>30</v>
      </c>
      <c r="G12718" s="7" t="n">
        <v>443.32</v>
      </c>
    </row>
    <row r="12719" customFormat="false" ht="15" hidden="false" customHeight="false" outlineLevel="0" collapsed="false">
      <c r="A12719" s="7" t="s">
        <v>32</v>
      </c>
      <c r="B12719" s="7" t="s">
        <v>517</v>
      </c>
      <c r="C12719" s="7" t="s">
        <v>1101</v>
      </c>
      <c r="D12719" s="7" t="n">
        <v>1</v>
      </c>
      <c r="E12719" s="7" t="n">
        <v>0.03</v>
      </c>
      <c r="F12719" s="7" t="n">
        <v>0</v>
      </c>
      <c r="G12719" s="7" t="n">
        <v>0</v>
      </c>
    </row>
    <row r="12720" customFormat="false" ht="15" hidden="false" customHeight="false" outlineLevel="0" collapsed="false">
      <c r="A12720" s="7" t="s">
        <v>32</v>
      </c>
      <c r="B12720" s="7" t="s">
        <v>334</v>
      </c>
      <c r="C12720" s="7" t="s">
        <v>1101</v>
      </c>
      <c r="D12720" s="7" t="n">
        <v>1</v>
      </c>
      <c r="E12720" s="7" t="n">
        <v>0.03</v>
      </c>
      <c r="F12720" s="7" t="n">
        <v>0</v>
      </c>
      <c r="G12720" s="7" t="n">
        <v>0</v>
      </c>
    </row>
    <row r="12721" customFormat="false" ht="15" hidden="false" customHeight="false" outlineLevel="0" collapsed="false">
      <c r="A12721" s="7" t="s">
        <v>32</v>
      </c>
      <c r="B12721" s="7" t="s">
        <v>738</v>
      </c>
      <c r="C12721" s="7" t="s">
        <v>1239</v>
      </c>
      <c r="D12721" s="7" t="n">
        <v>1</v>
      </c>
      <c r="E12721" s="7" t="n">
        <v>0.03</v>
      </c>
      <c r="F12721" s="7" t="n">
        <v>0</v>
      </c>
      <c r="G12721" s="7" t="n">
        <v>0</v>
      </c>
    </row>
    <row r="12722" customFormat="false" ht="15" hidden="false" customHeight="false" outlineLevel="0" collapsed="false">
      <c r="A12722" s="7" t="s">
        <v>32</v>
      </c>
      <c r="B12722" s="7" t="s">
        <v>118</v>
      </c>
      <c r="C12722" s="7" t="s">
        <v>1104</v>
      </c>
      <c r="D12722" s="7" t="n">
        <v>1</v>
      </c>
      <c r="E12722" s="7" t="n">
        <v>0.03</v>
      </c>
      <c r="F12722" s="7" t="n">
        <v>0</v>
      </c>
      <c r="G12722" s="7" t="n">
        <v>0</v>
      </c>
    </row>
    <row r="12723" customFormat="false" ht="15" hidden="false" customHeight="false" outlineLevel="0" collapsed="false">
      <c r="A12723" s="7" t="s">
        <v>32</v>
      </c>
      <c r="B12723" s="7" t="s">
        <v>110</v>
      </c>
      <c r="C12723" s="7" t="s">
        <v>1105</v>
      </c>
      <c r="D12723" s="7" t="n">
        <v>1</v>
      </c>
      <c r="E12723" s="7" t="n">
        <v>0.03</v>
      </c>
      <c r="F12723" s="7" t="n">
        <v>0</v>
      </c>
      <c r="G12723" s="7" t="n">
        <v>0</v>
      </c>
    </row>
    <row r="12724" customFormat="false" ht="15" hidden="false" customHeight="false" outlineLevel="0" collapsed="false">
      <c r="A12724" s="7" t="s">
        <v>32</v>
      </c>
      <c r="B12724" s="7" t="s">
        <v>242</v>
      </c>
      <c r="C12724" s="7" t="s">
        <v>1153</v>
      </c>
      <c r="D12724" s="7" t="n">
        <v>0</v>
      </c>
      <c r="E12724" s="7" t="n">
        <v>0</v>
      </c>
      <c r="F12724" s="7" t="n">
        <v>10</v>
      </c>
      <c r="G12724" s="7" t="n">
        <v>230.8</v>
      </c>
    </row>
    <row r="12725" customFormat="false" ht="15" hidden="false" customHeight="false" outlineLevel="0" collapsed="false">
      <c r="A12725" s="7" t="s">
        <v>32</v>
      </c>
      <c r="B12725" s="7" t="s">
        <v>242</v>
      </c>
      <c r="C12725" s="7" t="s">
        <v>1153</v>
      </c>
      <c r="D12725" s="7" t="n">
        <v>60</v>
      </c>
      <c r="E12725" s="7" t="n">
        <v>1363.08</v>
      </c>
      <c r="F12725" s="7" t="n">
        <v>0</v>
      </c>
      <c r="G12725" s="7" t="n">
        <v>0</v>
      </c>
    </row>
    <row r="12726" customFormat="false" ht="15" hidden="false" customHeight="false" outlineLevel="0" collapsed="false">
      <c r="A12726" s="7" t="s">
        <v>32</v>
      </c>
      <c r="B12726" s="7" t="s">
        <v>242</v>
      </c>
      <c r="C12726" s="7" t="s">
        <v>1153</v>
      </c>
      <c r="D12726" s="7" t="n">
        <v>0</v>
      </c>
      <c r="E12726" s="7" t="n">
        <v>0</v>
      </c>
      <c r="F12726" s="7" t="n">
        <v>30</v>
      </c>
      <c r="G12726" s="7" t="n">
        <v>587.21</v>
      </c>
    </row>
    <row r="12727" customFormat="false" ht="15" hidden="false" customHeight="false" outlineLevel="0" collapsed="false">
      <c r="A12727" s="7" t="s">
        <v>32</v>
      </c>
      <c r="B12727" s="7" t="s">
        <v>339</v>
      </c>
      <c r="C12727" s="7" t="s">
        <v>1155</v>
      </c>
      <c r="D12727" s="7" t="n">
        <v>6</v>
      </c>
      <c r="E12727" s="7" t="n">
        <v>305.12</v>
      </c>
      <c r="F12727" s="7" t="n">
        <v>0</v>
      </c>
      <c r="G12727" s="7" t="n">
        <v>0</v>
      </c>
    </row>
    <row r="12728" customFormat="false" ht="15" hidden="false" customHeight="false" outlineLevel="0" collapsed="false">
      <c r="A12728" s="7" t="s">
        <v>32</v>
      </c>
      <c r="B12728" s="7" t="s">
        <v>276</v>
      </c>
      <c r="C12728" s="7" t="s">
        <v>1155</v>
      </c>
      <c r="D12728" s="7" t="n">
        <v>6</v>
      </c>
      <c r="E12728" s="7" t="n">
        <v>305.12</v>
      </c>
      <c r="F12728" s="7" t="n">
        <v>0</v>
      </c>
      <c r="G12728" s="7" t="n">
        <v>0</v>
      </c>
    </row>
    <row r="12729" customFormat="false" ht="15" hidden="false" customHeight="false" outlineLevel="0" collapsed="false">
      <c r="A12729" s="7" t="s">
        <v>32</v>
      </c>
      <c r="B12729" s="7" t="s">
        <v>951</v>
      </c>
      <c r="C12729" s="7" t="s">
        <v>1332</v>
      </c>
      <c r="D12729" s="7" t="n">
        <v>0</v>
      </c>
      <c r="E12729" s="7" t="n">
        <v>0</v>
      </c>
      <c r="F12729" s="7" t="n">
        <v>50</v>
      </c>
      <c r="G12729" s="7" t="n">
        <v>4784.21</v>
      </c>
    </row>
    <row r="12730" customFormat="false" ht="15" hidden="false" customHeight="false" outlineLevel="0" collapsed="false">
      <c r="A12730" s="7" t="s">
        <v>32</v>
      </c>
      <c r="B12730" s="7" t="s">
        <v>951</v>
      </c>
      <c r="C12730" s="7" t="s">
        <v>1332</v>
      </c>
      <c r="D12730" s="7" t="n">
        <v>15</v>
      </c>
      <c r="E12730" s="7" t="n">
        <v>1269.86</v>
      </c>
      <c r="F12730" s="7" t="n">
        <v>0</v>
      </c>
      <c r="G12730" s="7" t="n">
        <v>0</v>
      </c>
    </row>
    <row r="12731" customFormat="false" ht="15" hidden="false" customHeight="false" outlineLevel="0" collapsed="false">
      <c r="A12731" s="7" t="s">
        <v>32</v>
      </c>
      <c r="B12731" s="7" t="s">
        <v>951</v>
      </c>
      <c r="C12731" s="7" t="s">
        <v>1332</v>
      </c>
      <c r="D12731" s="7" t="n">
        <v>0</v>
      </c>
      <c r="E12731" s="7" t="n">
        <v>0</v>
      </c>
      <c r="F12731" s="7" t="n">
        <v>40</v>
      </c>
      <c r="G12731" s="7" t="n">
        <v>3245.81</v>
      </c>
    </row>
    <row r="12732" customFormat="false" ht="15" hidden="false" customHeight="false" outlineLevel="0" collapsed="false">
      <c r="A12732" s="7" t="s">
        <v>32</v>
      </c>
      <c r="B12732" s="7" t="s">
        <v>953</v>
      </c>
      <c r="C12732" s="7" t="s">
        <v>1332</v>
      </c>
      <c r="D12732" s="7" t="n">
        <v>20</v>
      </c>
      <c r="E12732" s="7" t="n">
        <v>1693.14</v>
      </c>
      <c r="F12732" s="7" t="n">
        <v>0</v>
      </c>
      <c r="G12732" s="7" t="n">
        <v>0</v>
      </c>
    </row>
    <row r="12733" customFormat="false" ht="15" hidden="false" customHeight="false" outlineLevel="0" collapsed="false">
      <c r="A12733" s="7" t="s">
        <v>32</v>
      </c>
      <c r="B12733" s="7" t="s">
        <v>953</v>
      </c>
      <c r="C12733" s="7" t="s">
        <v>1332</v>
      </c>
      <c r="D12733" s="7" t="n">
        <v>0</v>
      </c>
      <c r="E12733" s="7" t="n">
        <v>0</v>
      </c>
      <c r="F12733" s="7" t="n">
        <v>45</v>
      </c>
      <c r="G12733" s="7" t="n">
        <v>4305.78</v>
      </c>
    </row>
    <row r="12734" customFormat="false" ht="15" hidden="false" customHeight="false" outlineLevel="0" collapsed="false">
      <c r="A12734" s="7" t="s">
        <v>32</v>
      </c>
      <c r="B12734" s="7" t="s">
        <v>953</v>
      </c>
      <c r="C12734" s="7" t="s">
        <v>1332</v>
      </c>
      <c r="D12734" s="7" t="n">
        <v>0</v>
      </c>
      <c r="E12734" s="7" t="n">
        <v>0</v>
      </c>
      <c r="F12734" s="7" t="n">
        <v>30</v>
      </c>
      <c r="G12734" s="7" t="n">
        <v>2434.36</v>
      </c>
    </row>
    <row r="12735" customFormat="false" ht="15" hidden="false" customHeight="false" outlineLevel="0" collapsed="false">
      <c r="A12735" s="7" t="s">
        <v>32</v>
      </c>
      <c r="B12735" s="7" t="s">
        <v>955</v>
      </c>
      <c r="C12735" s="7" t="s">
        <v>1332</v>
      </c>
      <c r="D12735" s="7" t="n">
        <v>0</v>
      </c>
      <c r="E12735" s="7" t="n">
        <v>0</v>
      </c>
      <c r="F12735" s="7" t="n">
        <v>10</v>
      </c>
      <c r="G12735" s="7" t="n">
        <v>811.45</v>
      </c>
    </row>
    <row r="12736" customFormat="false" ht="15" hidden="false" customHeight="false" outlineLevel="0" collapsed="false">
      <c r="A12736" s="7" t="s">
        <v>32</v>
      </c>
      <c r="B12736" s="7" t="s">
        <v>955</v>
      </c>
      <c r="C12736" s="7" t="s">
        <v>1332</v>
      </c>
      <c r="D12736" s="7" t="n">
        <v>0</v>
      </c>
      <c r="E12736" s="7" t="n">
        <v>0</v>
      </c>
      <c r="F12736" s="7" t="n">
        <v>5</v>
      </c>
      <c r="G12736" s="7" t="n">
        <v>478.42</v>
      </c>
    </row>
    <row r="12737" customFormat="false" ht="15" hidden="false" customHeight="false" outlineLevel="0" collapsed="false">
      <c r="A12737" s="7" t="s">
        <v>32</v>
      </c>
      <c r="B12737" s="7" t="s">
        <v>952</v>
      </c>
      <c r="C12737" s="7" t="s">
        <v>1332</v>
      </c>
      <c r="D12737" s="7" t="n">
        <v>0</v>
      </c>
      <c r="E12737" s="7" t="n">
        <v>0</v>
      </c>
      <c r="F12737" s="7" t="n">
        <v>50</v>
      </c>
      <c r="G12737" s="7" t="n">
        <v>4784.21</v>
      </c>
    </row>
    <row r="12738" customFormat="false" ht="15" hidden="false" customHeight="false" outlineLevel="0" collapsed="false">
      <c r="A12738" s="7" t="s">
        <v>32</v>
      </c>
      <c r="B12738" s="7" t="s">
        <v>952</v>
      </c>
      <c r="C12738" s="7" t="s">
        <v>1332</v>
      </c>
      <c r="D12738" s="7" t="n">
        <v>35</v>
      </c>
      <c r="E12738" s="7" t="n">
        <v>2963</v>
      </c>
      <c r="F12738" s="7" t="n">
        <v>0</v>
      </c>
      <c r="G12738" s="7" t="n">
        <v>0</v>
      </c>
    </row>
    <row r="12739" customFormat="false" ht="15" hidden="false" customHeight="false" outlineLevel="0" collapsed="false">
      <c r="A12739" s="7" t="s">
        <v>32</v>
      </c>
      <c r="B12739" s="7" t="s">
        <v>952</v>
      </c>
      <c r="C12739" s="7" t="s">
        <v>1332</v>
      </c>
      <c r="D12739" s="7" t="n">
        <v>0</v>
      </c>
      <c r="E12739" s="7" t="n">
        <v>0</v>
      </c>
      <c r="F12739" s="7" t="n">
        <v>50</v>
      </c>
      <c r="G12739" s="7" t="n">
        <v>4057.26</v>
      </c>
    </row>
    <row r="12740" customFormat="false" ht="15" hidden="false" customHeight="false" outlineLevel="0" collapsed="false">
      <c r="A12740" s="7" t="s">
        <v>32</v>
      </c>
      <c r="B12740" s="7" t="s">
        <v>957</v>
      </c>
      <c r="C12740" s="7" t="s">
        <v>1332</v>
      </c>
      <c r="D12740" s="7" t="n">
        <v>0</v>
      </c>
      <c r="E12740" s="7" t="n">
        <v>0</v>
      </c>
      <c r="F12740" s="7" t="n">
        <v>20</v>
      </c>
      <c r="G12740" s="7" t="n">
        <v>1913.68</v>
      </c>
    </row>
    <row r="12741" customFormat="false" ht="15" hidden="false" customHeight="false" outlineLevel="0" collapsed="false">
      <c r="A12741" s="7" t="s">
        <v>32</v>
      </c>
      <c r="B12741" s="7" t="s">
        <v>957</v>
      </c>
      <c r="C12741" s="7" t="s">
        <v>1332</v>
      </c>
      <c r="D12741" s="7" t="n">
        <v>25</v>
      </c>
      <c r="E12741" s="7" t="n">
        <v>2116.43</v>
      </c>
      <c r="F12741" s="7" t="n">
        <v>0</v>
      </c>
      <c r="G12741" s="7" t="n">
        <v>0</v>
      </c>
    </row>
    <row r="12742" customFormat="false" ht="15" hidden="false" customHeight="false" outlineLevel="0" collapsed="false">
      <c r="A12742" s="7" t="s">
        <v>32</v>
      </c>
      <c r="B12742" s="7" t="s">
        <v>957</v>
      </c>
      <c r="C12742" s="7" t="s">
        <v>1332</v>
      </c>
      <c r="D12742" s="7" t="n">
        <v>0</v>
      </c>
      <c r="E12742" s="7" t="n">
        <v>0</v>
      </c>
      <c r="F12742" s="7" t="n">
        <v>10</v>
      </c>
      <c r="G12742" s="7" t="n">
        <v>811.45</v>
      </c>
    </row>
    <row r="12743" customFormat="false" ht="15" hidden="false" customHeight="false" outlineLevel="0" collapsed="false">
      <c r="A12743" s="7" t="s">
        <v>32</v>
      </c>
      <c r="B12743" s="7" t="s">
        <v>556</v>
      </c>
      <c r="C12743" s="7" t="s">
        <v>1079</v>
      </c>
      <c r="D12743" s="7" t="n">
        <v>0</v>
      </c>
      <c r="E12743" s="7" t="n">
        <v>0</v>
      </c>
      <c r="F12743" s="7" t="n">
        <v>40</v>
      </c>
      <c r="G12743" s="7" t="n">
        <v>458.55</v>
      </c>
    </row>
    <row r="12744" customFormat="false" ht="15" hidden="false" customHeight="false" outlineLevel="0" collapsed="false">
      <c r="A12744" s="7" t="s">
        <v>32</v>
      </c>
      <c r="B12744" s="7" t="s">
        <v>556</v>
      </c>
      <c r="C12744" s="7" t="s">
        <v>1079</v>
      </c>
      <c r="D12744" s="7" t="n">
        <v>0</v>
      </c>
      <c r="E12744" s="7" t="n">
        <v>0</v>
      </c>
      <c r="F12744" s="7" t="n">
        <v>120</v>
      </c>
      <c r="G12744" s="7" t="n">
        <v>1166.63</v>
      </c>
    </row>
    <row r="12745" customFormat="false" ht="15" hidden="false" customHeight="false" outlineLevel="0" collapsed="false">
      <c r="A12745" s="7" t="s">
        <v>32</v>
      </c>
      <c r="B12745" s="7" t="s">
        <v>556</v>
      </c>
      <c r="C12745" s="7" t="s">
        <v>1079</v>
      </c>
      <c r="D12745" s="7" t="n">
        <v>140</v>
      </c>
      <c r="E12745" s="7" t="n">
        <v>1419.97</v>
      </c>
      <c r="F12745" s="7" t="n">
        <v>0</v>
      </c>
      <c r="G12745" s="7" t="n">
        <v>0</v>
      </c>
    </row>
    <row r="12746" customFormat="false" ht="15" hidden="false" customHeight="false" outlineLevel="0" collapsed="false">
      <c r="A12746" s="7" t="s">
        <v>32</v>
      </c>
      <c r="B12746" s="7" t="s">
        <v>556</v>
      </c>
      <c r="C12746" s="7" t="s">
        <v>1079</v>
      </c>
      <c r="D12746" s="7" t="n">
        <v>60</v>
      </c>
      <c r="E12746" s="7" t="n">
        <v>677.02</v>
      </c>
      <c r="F12746" s="7" t="n">
        <v>0</v>
      </c>
      <c r="G12746" s="7" t="n">
        <v>0</v>
      </c>
    </row>
    <row r="12747" customFormat="false" ht="15" hidden="false" customHeight="false" outlineLevel="0" collapsed="false">
      <c r="A12747" s="7" t="s">
        <v>32</v>
      </c>
      <c r="B12747" s="7" t="s">
        <v>580</v>
      </c>
      <c r="C12747" s="7" t="s">
        <v>1079</v>
      </c>
      <c r="D12747" s="7" t="n">
        <v>36</v>
      </c>
      <c r="E12747" s="7" t="n">
        <v>406.21</v>
      </c>
      <c r="F12747" s="7" t="n">
        <v>0</v>
      </c>
      <c r="G12747" s="7" t="n">
        <v>0</v>
      </c>
    </row>
    <row r="12748" customFormat="false" ht="15" hidden="false" customHeight="false" outlineLevel="0" collapsed="false">
      <c r="A12748" s="7" t="s">
        <v>32</v>
      </c>
      <c r="B12748" s="7" t="s">
        <v>580</v>
      </c>
      <c r="C12748" s="7" t="s">
        <v>1079</v>
      </c>
      <c r="D12748" s="7" t="n">
        <v>0</v>
      </c>
      <c r="E12748" s="7" t="n">
        <v>0</v>
      </c>
      <c r="F12748" s="7" t="n">
        <v>47</v>
      </c>
      <c r="G12748" s="7" t="n">
        <v>538.8</v>
      </c>
    </row>
    <row r="12749" customFormat="false" ht="15" hidden="false" customHeight="false" outlineLevel="0" collapsed="false">
      <c r="A12749" s="7" t="s">
        <v>32</v>
      </c>
      <c r="B12749" s="7" t="s">
        <v>580</v>
      </c>
      <c r="C12749" s="7" t="s">
        <v>1079</v>
      </c>
      <c r="D12749" s="7" t="n">
        <v>0</v>
      </c>
      <c r="E12749" s="7" t="n">
        <v>0</v>
      </c>
      <c r="F12749" s="7" t="n">
        <v>90</v>
      </c>
      <c r="G12749" s="7" t="n">
        <v>874.97</v>
      </c>
    </row>
    <row r="12750" customFormat="false" ht="15" hidden="false" customHeight="false" outlineLevel="0" collapsed="false">
      <c r="A12750" s="7" t="s">
        <v>32</v>
      </c>
      <c r="B12750" s="7" t="s">
        <v>580</v>
      </c>
      <c r="C12750" s="7" t="s">
        <v>1079</v>
      </c>
      <c r="D12750" s="7" t="n">
        <v>90</v>
      </c>
      <c r="E12750" s="7" t="n">
        <v>912.84</v>
      </c>
      <c r="F12750" s="7" t="n">
        <v>0</v>
      </c>
      <c r="G12750" s="7" t="n">
        <v>0</v>
      </c>
    </row>
    <row r="12751" customFormat="false" ht="15" hidden="false" customHeight="false" outlineLevel="0" collapsed="false">
      <c r="A12751" s="7" t="s">
        <v>32</v>
      </c>
      <c r="B12751" s="7" t="s">
        <v>572</v>
      </c>
      <c r="C12751" s="7" t="s">
        <v>1079</v>
      </c>
      <c r="D12751" s="7" t="n">
        <v>0</v>
      </c>
      <c r="E12751" s="7" t="n">
        <v>0</v>
      </c>
      <c r="F12751" s="7" t="n">
        <v>20</v>
      </c>
      <c r="G12751" s="7" t="n">
        <v>229.28</v>
      </c>
    </row>
    <row r="12752" customFormat="false" ht="15" hidden="false" customHeight="false" outlineLevel="0" collapsed="false">
      <c r="A12752" s="7" t="s">
        <v>32</v>
      </c>
      <c r="B12752" s="7" t="s">
        <v>572</v>
      </c>
      <c r="C12752" s="7" t="s">
        <v>1079</v>
      </c>
      <c r="D12752" s="7" t="n">
        <v>60</v>
      </c>
      <c r="E12752" s="7" t="n">
        <v>677.02</v>
      </c>
      <c r="F12752" s="7" t="n">
        <v>0</v>
      </c>
      <c r="G12752" s="7" t="n">
        <v>0</v>
      </c>
    </row>
    <row r="12753" customFormat="false" ht="15" hidden="false" customHeight="false" outlineLevel="0" collapsed="false">
      <c r="A12753" s="7" t="s">
        <v>32</v>
      </c>
      <c r="B12753" s="7" t="s">
        <v>572</v>
      </c>
      <c r="C12753" s="7" t="s">
        <v>1079</v>
      </c>
      <c r="D12753" s="7" t="n">
        <v>0</v>
      </c>
      <c r="E12753" s="7" t="n">
        <v>0</v>
      </c>
      <c r="F12753" s="7" t="n">
        <v>10</v>
      </c>
      <c r="G12753" s="7" t="n">
        <v>97.22</v>
      </c>
    </row>
    <row r="12754" customFormat="false" ht="15" hidden="false" customHeight="false" outlineLevel="0" collapsed="false">
      <c r="A12754" s="7" t="s">
        <v>32</v>
      </c>
      <c r="B12754" s="7" t="s">
        <v>578</v>
      </c>
      <c r="C12754" s="7" t="s">
        <v>1079</v>
      </c>
      <c r="D12754" s="7" t="n">
        <v>0</v>
      </c>
      <c r="E12754" s="7" t="n">
        <v>0</v>
      </c>
      <c r="F12754" s="7" t="n">
        <v>20</v>
      </c>
      <c r="G12754" s="7" t="n">
        <v>229.28</v>
      </c>
    </row>
    <row r="12755" customFormat="false" ht="15" hidden="false" customHeight="false" outlineLevel="0" collapsed="false">
      <c r="A12755" s="7" t="s">
        <v>32</v>
      </c>
      <c r="B12755" s="7" t="s">
        <v>578</v>
      </c>
      <c r="C12755" s="7" t="s">
        <v>1079</v>
      </c>
      <c r="D12755" s="7" t="n">
        <v>110</v>
      </c>
      <c r="E12755" s="7" t="n">
        <v>1115.69</v>
      </c>
      <c r="F12755" s="7" t="n">
        <v>0</v>
      </c>
      <c r="G12755" s="7" t="n">
        <v>0</v>
      </c>
    </row>
    <row r="12756" customFormat="false" ht="15" hidden="false" customHeight="false" outlineLevel="0" collapsed="false">
      <c r="A12756" s="7" t="s">
        <v>32</v>
      </c>
      <c r="B12756" s="7" t="s">
        <v>578</v>
      </c>
      <c r="C12756" s="7" t="s">
        <v>1079</v>
      </c>
      <c r="D12756" s="7" t="n">
        <v>0</v>
      </c>
      <c r="E12756" s="7" t="n">
        <v>0</v>
      </c>
      <c r="F12756" s="7" t="n">
        <v>60</v>
      </c>
      <c r="G12756" s="7" t="n">
        <v>583.31</v>
      </c>
    </row>
    <row r="12757" customFormat="false" ht="15" hidden="false" customHeight="false" outlineLevel="0" collapsed="false">
      <c r="A12757" s="7" t="s">
        <v>32</v>
      </c>
      <c r="B12757" s="7" t="s">
        <v>717</v>
      </c>
      <c r="C12757" s="7" t="s">
        <v>1079</v>
      </c>
      <c r="D12757" s="7" t="n">
        <v>0</v>
      </c>
      <c r="E12757" s="7" t="n">
        <v>0</v>
      </c>
      <c r="F12757" s="7" t="n">
        <v>5</v>
      </c>
      <c r="G12757" s="7" t="n">
        <v>48.61</v>
      </c>
    </row>
    <row r="12758" customFormat="false" ht="15" hidden="false" customHeight="false" outlineLevel="0" collapsed="false">
      <c r="A12758" s="7" t="s">
        <v>32</v>
      </c>
      <c r="B12758" s="7" t="s">
        <v>717</v>
      </c>
      <c r="C12758" s="7" t="s">
        <v>1079</v>
      </c>
      <c r="D12758" s="7" t="n">
        <v>10</v>
      </c>
      <c r="E12758" s="7" t="n">
        <v>101.43</v>
      </c>
      <c r="F12758" s="7" t="n">
        <v>0</v>
      </c>
      <c r="G12758" s="7" t="n">
        <v>0</v>
      </c>
    </row>
    <row r="12759" customFormat="false" ht="15" hidden="false" customHeight="false" outlineLevel="0" collapsed="false">
      <c r="A12759" s="7" t="s">
        <v>32</v>
      </c>
      <c r="B12759" s="7" t="s">
        <v>677</v>
      </c>
      <c r="C12759" s="7" t="s">
        <v>1159</v>
      </c>
      <c r="D12759" s="7" t="n">
        <v>0</v>
      </c>
      <c r="E12759" s="7" t="n">
        <v>0</v>
      </c>
      <c r="F12759" s="7" t="n">
        <v>30</v>
      </c>
      <c r="G12759" s="7" t="n">
        <v>371.43</v>
      </c>
    </row>
    <row r="12760" customFormat="false" ht="15" hidden="false" customHeight="false" outlineLevel="0" collapsed="false">
      <c r="A12760" s="7" t="s">
        <v>32</v>
      </c>
      <c r="B12760" s="7" t="s">
        <v>677</v>
      </c>
      <c r="C12760" s="7" t="s">
        <v>1159</v>
      </c>
      <c r="D12760" s="7" t="n">
        <v>75</v>
      </c>
      <c r="E12760" s="7" t="n">
        <v>821.55</v>
      </c>
      <c r="F12760" s="7" t="n">
        <v>0</v>
      </c>
      <c r="G12760" s="7" t="n">
        <v>0</v>
      </c>
    </row>
    <row r="12761" customFormat="false" ht="15" hidden="false" customHeight="false" outlineLevel="0" collapsed="false">
      <c r="A12761" s="7" t="s">
        <v>32</v>
      </c>
      <c r="B12761" s="7" t="s">
        <v>677</v>
      </c>
      <c r="C12761" s="7" t="s">
        <v>1159</v>
      </c>
      <c r="D12761" s="7" t="n">
        <v>0</v>
      </c>
      <c r="E12761" s="7" t="n">
        <v>0</v>
      </c>
      <c r="F12761" s="7" t="n">
        <v>70</v>
      </c>
      <c r="G12761" s="7" t="n">
        <v>734.98</v>
      </c>
    </row>
    <row r="12762" customFormat="false" ht="15" hidden="false" customHeight="false" outlineLevel="0" collapsed="false">
      <c r="A12762" s="7" t="s">
        <v>32</v>
      </c>
      <c r="B12762" s="7" t="s">
        <v>688</v>
      </c>
      <c r="C12762" s="7" t="s">
        <v>1159</v>
      </c>
      <c r="D12762" s="7" t="n">
        <v>50</v>
      </c>
      <c r="E12762" s="7" t="n">
        <v>547.71</v>
      </c>
      <c r="F12762" s="7" t="n">
        <v>0</v>
      </c>
      <c r="G12762" s="7" t="n">
        <v>0</v>
      </c>
    </row>
    <row r="12763" customFormat="false" ht="15" hidden="false" customHeight="false" outlineLevel="0" collapsed="false">
      <c r="A12763" s="7" t="s">
        <v>32</v>
      </c>
      <c r="B12763" s="7" t="s">
        <v>688</v>
      </c>
      <c r="C12763" s="7" t="s">
        <v>1159</v>
      </c>
      <c r="D12763" s="7" t="n">
        <v>0</v>
      </c>
      <c r="E12763" s="7" t="n">
        <v>0</v>
      </c>
      <c r="F12763" s="7" t="n">
        <v>40</v>
      </c>
      <c r="G12763" s="7" t="n">
        <v>419.99</v>
      </c>
    </row>
    <row r="12764" customFormat="false" ht="15" hidden="false" customHeight="false" outlineLevel="0" collapsed="false">
      <c r="A12764" s="7" t="s">
        <v>32</v>
      </c>
      <c r="B12764" s="7" t="s">
        <v>688</v>
      </c>
      <c r="C12764" s="7" t="s">
        <v>1159</v>
      </c>
      <c r="D12764" s="7" t="n">
        <v>0</v>
      </c>
      <c r="E12764" s="7" t="n">
        <v>0</v>
      </c>
      <c r="F12764" s="7" t="n">
        <v>25</v>
      </c>
      <c r="G12764" s="7" t="n">
        <v>309.52</v>
      </c>
    </row>
    <row r="12765" customFormat="false" ht="15" hidden="false" customHeight="false" outlineLevel="0" collapsed="false">
      <c r="A12765" s="7" t="s">
        <v>32</v>
      </c>
      <c r="B12765" s="7" t="s">
        <v>707</v>
      </c>
      <c r="C12765" s="7" t="s">
        <v>1159</v>
      </c>
      <c r="D12765" s="7" t="n">
        <v>0</v>
      </c>
      <c r="E12765" s="7" t="n">
        <v>0</v>
      </c>
      <c r="F12765" s="7" t="n">
        <v>10</v>
      </c>
      <c r="G12765" s="7" t="n">
        <v>123.81</v>
      </c>
    </row>
    <row r="12766" customFormat="false" ht="15" hidden="false" customHeight="false" outlineLevel="0" collapsed="false">
      <c r="A12766" s="7" t="s">
        <v>32</v>
      </c>
      <c r="B12766" s="7" t="s">
        <v>707</v>
      </c>
      <c r="C12766" s="7" t="s">
        <v>1159</v>
      </c>
      <c r="D12766" s="7" t="n">
        <v>20</v>
      </c>
      <c r="E12766" s="7" t="n">
        <v>219.08</v>
      </c>
      <c r="F12766" s="7" t="n">
        <v>0</v>
      </c>
      <c r="G12766" s="7" t="n">
        <v>0</v>
      </c>
    </row>
    <row r="12767" customFormat="false" ht="15" hidden="false" customHeight="false" outlineLevel="0" collapsed="false">
      <c r="A12767" s="7" t="s">
        <v>32</v>
      </c>
      <c r="B12767" s="7" t="s">
        <v>707</v>
      </c>
      <c r="C12767" s="7" t="s">
        <v>1159</v>
      </c>
      <c r="D12767" s="7" t="n">
        <v>0</v>
      </c>
      <c r="E12767" s="7" t="n">
        <v>0</v>
      </c>
      <c r="F12767" s="7" t="n">
        <v>15</v>
      </c>
      <c r="G12767" s="7" t="n">
        <v>157.5</v>
      </c>
    </row>
    <row r="12768" customFormat="false" ht="15" hidden="false" customHeight="false" outlineLevel="0" collapsed="false">
      <c r="A12768" s="7" t="s">
        <v>32</v>
      </c>
      <c r="B12768" s="7" t="s">
        <v>766</v>
      </c>
      <c r="C12768" s="7" t="s">
        <v>1159</v>
      </c>
      <c r="D12768" s="7" t="n">
        <v>0</v>
      </c>
      <c r="E12768" s="7" t="n">
        <v>0</v>
      </c>
      <c r="F12768" s="7" t="n">
        <v>130</v>
      </c>
      <c r="G12768" s="7" t="n">
        <v>1364.96</v>
      </c>
    </row>
    <row r="12769" customFormat="false" ht="15" hidden="false" customHeight="false" outlineLevel="0" collapsed="false">
      <c r="A12769" s="7" t="s">
        <v>32</v>
      </c>
      <c r="B12769" s="7" t="s">
        <v>628</v>
      </c>
      <c r="C12769" s="7" t="s">
        <v>1159</v>
      </c>
      <c r="D12769" s="7" t="n">
        <v>0</v>
      </c>
      <c r="E12769" s="7" t="n">
        <v>0</v>
      </c>
      <c r="F12769" s="7" t="n">
        <v>70</v>
      </c>
      <c r="G12769" s="7" t="n">
        <v>734.98</v>
      </c>
    </row>
    <row r="12770" customFormat="false" ht="15" hidden="false" customHeight="false" outlineLevel="0" collapsed="false">
      <c r="A12770" s="7" t="s">
        <v>32</v>
      </c>
      <c r="B12770" s="7" t="s">
        <v>628</v>
      </c>
      <c r="C12770" s="7" t="s">
        <v>1159</v>
      </c>
      <c r="D12770" s="7" t="n">
        <v>20</v>
      </c>
      <c r="E12770" s="7" t="n">
        <v>219.08</v>
      </c>
      <c r="F12770" s="7" t="n">
        <v>0</v>
      </c>
      <c r="G12770" s="7" t="n">
        <v>0</v>
      </c>
    </row>
    <row r="12771" customFormat="false" ht="15" hidden="false" customHeight="false" outlineLevel="0" collapsed="false">
      <c r="A12771" s="7" t="s">
        <v>32</v>
      </c>
      <c r="B12771" s="7" t="s">
        <v>628</v>
      </c>
      <c r="C12771" s="7" t="s">
        <v>1159</v>
      </c>
      <c r="D12771" s="7" t="n">
        <v>0</v>
      </c>
      <c r="E12771" s="7" t="n">
        <v>0</v>
      </c>
      <c r="F12771" s="7" t="n">
        <v>30</v>
      </c>
      <c r="G12771" s="7" t="n">
        <v>371.43</v>
      </c>
    </row>
    <row r="12772" customFormat="false" ht="15" hidden="false" customHeight="false" outlineLevel="0" collapsed="false">
      <c r="A12772" s="7" t="s">
        <v>32</v>
      </c>
      <c r="B12772" s="7" t="s">
        <v>628</v>
      </c>
      <c r="C12772" s="7" t="s">
        <v>1159</v>
      </c>
      <c r="D12772" s="7" t="n">
        <v>120</v>
      </c>
      <c r="E12772" s="7" t="n">
        <v>1462.37</v>
      </c>
      <c r="F12772" s="7" t="n">
        <v>0</v>
      </c>
      <c r="G12772" s="7" t="n">
        <v>0</v>
      </c>
    </row>
    <row r="12773" customFormat="false" ht="15" hidden="false" customHeight="false" outlineLevel="0" collapsed="false">
      <c r="A12773" s="7" t="s">
        <v>32</v>
      </c>
      <c r="B12773" s="7" t="s">
        <v>711</v>
      </c>
      <c r="C12773" s="7" t="s">
        <v>1249</v>
      </c>
      <c r="D12773" s="7" t="n">
        <v>0</v>
      </c>
      <c r="E12773" s="7" t="n">
        <v>0</v>
      </c>
      <c r="F12773" s="7" t="n">
        <v>10</v>
      </c>
      <c r="G12773" s="7" t="n">
        <v>117.69</v>
      </c>
    </row>
    <row r="12774" customFormat="false" ht="15" hidden="false" customHeight="false" outlineLevel="0" collapsed="false">
      <c r="A12774" s="7" t="s">
        <v>32</v>
      </c>
      <c r="B12774" s="7" t="s">
        <v>711</v>
      </c>
      <c r="C12774" s="7" t="s">
        <v>1249</v>
      </c>
      <c r="D12774" s="7" t="n">
        <v>20</v>
      </c>
      <c r="E12774" s="7" t="n">
        <v>208.26</v>
      </c>
      <c r="F12774" s="7" t="n">
        <v>0</v>
      </c>
      <c r="G12774" s="7" t="n">
        <v>0</v>
      </c>
    </row>
    <row r="12775" customFormat="false" ht="15" hidden="false" customHeight="false" outlineLevel="0" collapsed="false">
      <c r="A12775" s="7" t="s">
        <v>32</v>
      </c>
      <c r="B12775" s="7" t="s">
        <v>711</v>
      </c>
      <c r="C12775" s="7" t="s">
        <v>1249</v>
      </c>
      <c r="D12775" s="7" t="n">
        <v>0</v>
      </c>
      <c r="E12775" s="7" t="n">
        <v>0</v>
      </c>
      <c r="F12775" s="7" t="n">
        <v>20</v>
      </c>
      <c r="G12775" s="7" t="n">
        <v>199.62</v>
      </c>
    </row>
    <row r="12776" customFormat="false" ht="15" hidden="false" customHeight="false" outlineLevel="0" collapsed="false">
      <c r="A12776" s="7" t="s">
        <v>32</v>
      </c>
      <c r="B12776" s="7" t="s">
        <v>711</v>
      </c>
      <c r="C12776" s="7" t="s">
        <v>1249</v>
      </c>
      <c r="D12776" s="7" t="n">
        <v>24</v>
      </c>
      <c r="E12776" s="7" t="n">
        <v>278.03</v>
      </c>
      <c r="F12776" s="7" t="n">
        <v>0</v>
      </c>
      <c r="G12776" s="7" t="n">
        <v>0</v>
      </c>
    </row>
    <row r="12777" customFormat="false" ht="15" hidden="false" customHeight="false" outlineLevel="0" collapsed="false">
      <c r="A12777" s="7" t="s">
        <v>32</v>
      </c>
      <c r="B12777" s="7" t="s">
        <v>449</v>
      </c>
      <c r="C12777" s="7" t="s">
        <v>1249</v>
      </c>
      <c r="D12777" s="7" t="n">
        <v>24</v>
      </c>
      <c r="E12777" s="7" t="n">
        <v>278.03</v>
      </c>
      <c r="F12777" s="7" t="n">
        <v>0</v>
      </c>
      <c r="G12777" s="7" t="n">
        <v>0</v>
      </c>
    </row>
    <row r="12778" customFormat="false" ht="15" hidden="false" customHeight="false" outlineLevel="0" collapsed="false">
      <c r="A12778" s="7" t="s">
        <v>32</v>
      </c>
      <c r="B12778" s="7" t="s">
        <v>449</v>
      </c>
      <c r="C12778" s="7" t="s">
        <v>1249</v>
      </c>
      <c r="D12778" s="7" t="n">
        <v>0</v>
      </c>
      <c r="E12778" s="7" t="n">
        <v>0</v>
      </c>
      <c r="F12778" s="7" t="n">
        <v>10</v>
      </c>
      <c r="G12778" s="7" t="n">
        <v>99.82</v>
      </c>
    </row>
    <row r="12779" customFormat="false" ht="15" hidden="false" customHeight="false" outlineLevel="0" collapsed="false">
      <c r="A12779" s="7" t="s">
        <v>32</v>
      </c>
      <c r="B12779" s="7" t="s">
        <v>748</v>
      </c>
      <c r="C12779" s="7" t="s">
        <v>1249</v>
      </c>
      <c r="D12779" s="7" t="n">
        <v>5</v>
      </c>
      <c r="E12779" s="7" t="n">
        <v>52.06</v>
      </c>
      <c r="F12779" s="7" t="n">
        <v>0</v>
      </c>
      <c r="G12779" s="7" t="n">
        <v>0</v>
      </c>
    </row>
    <row r="12780" customFormat="false" ht="15" hidden="false" customHeight="false" outlineLevel="0" collapsed="false">
      <c r="A12780" s="7" t="s">
        <v>32</v>
      </c>
      <c r="B12780" s="7" t="s">
        <v>748</v>
      </c>
      <c r="C12780" s="7" t="s">
        <v>1249</v>
      </c>
      <c r="D12780" s="7" t="n">
        <v>0</v>
      </c>
      <c r="E12780" s="7" t="n">
        <v>0</v>
      </c>
      <c r="F12780" s="7" t="n">
        <v>5</v>
      </c>
      <c r="G12780" s="7" t="n">
        <v>49.9</v>
      </c>
    </row>
    <row r="12781" customFormat="false" ht="15" hidden="false" customHeight="false" outlineLevel="0" collapsed="false">
      <c r="A12781" s="7" t="s">
        <v>32</v>
      </c>
      <c r="B12781" s="7" t="s">
        <v>682</v>
      </c>
      <c r="C12781" s="7" t="s">
        <v>1249</v>
      </c>
      <c r="D12781" s="7" t="n">
        <v>24</v>
      </c>
      <c r="E12781" s="7" t="n">
        <v>278.03</v>
      </c>
      <c r="F12781" s="7" t="n">
        <v>0</v>
      </c>
      <c r="G12781" s="7" t="n">
        <v>0</v>
      </c>
    </row>
    <row r="12782" customFormat="false" ht="15" hidden="false" customHeight="false" outlineLevel="0" collapsed="false">
      <c r="A12782" s="7" t="s">
        <v>32</v>
      </c>
      <c r="B12782" s="7" t="s">
        <v>682</v>
      </c>
      <c r="C12782" s="7" t="s">
        <v>1249</v>
      </c>
      <c r="D12782" s="7" t="n">
        <v>0</v>
      </c>
      <c r="E12782" s="7" t="n">
        <v>0</v>
      </c>
      <c r="F12782" s="7" t="n">
        <v>20</v>
      </c>
      <c r="G12782" s="7" t="n">
        <v>235.39</v>
      </c>
    </row>
    <row r="12783" customFormat="false" ht="15" hidden="false" customHeight="false" outlineLevel="0" collapsed="false">
      <c r="A12783" s="7" t="s">
        <v>32</v>
      </c>
      <c r="B12783" s="7" t="s">
        <v>682</v>
      </c>
      <c r="C12783" s="7" t="s">
        <v>1249</v>
      </c>
      <c r="D12783" s="7" t="n">
        <v>10</v>
      </c>
      <c r="E12783" s="7" t="n">
        <v>104.13</v>
      </c>
      <c r="F12783" s="7" t="n">
        <v>0</v>
      </c>
      <c r="G12783" s="7" t="n">
        <v>0</v>
      </c>
    </row>
    <row r="12784" customFormat="false" ht="15" hidden="false" customHeight="false" outlineLevel="0" collapsed="false">
      <c r="A12784" s="7" t="s">
        <v>32</v>
      </c>
      <c r="B12784" s="7" t="s">
        <v>682</v>
      </c>
      <c r="C12784" s="7" t="s">
        <v>1249</v>
      </c>
      <c r="D12784" s="7" t="n">
        <v>0</v>
      </c>
      <c r="E12784" s="7" t="n">
        <v>0</v>
      </c>
      <c r="F12784" s="7" t="n">
        <v>5</v>
      </c>
      <c r="G12784" s="7" t="n">
        <v>49.9</v>
      </c>
    </row>
    <row r="12785" customFormat="false" ht="15" hidden="false" customHeight="false" outlineLevel="0" collapsed="false">
      <c r="A12785" s="7" t="s">
        <v>32</v>
      </c>
      <c r="B12785" s="7" t="s">
        <v>690</v>
      </c>
      <c r="C12785" s="7" t="s">
        <v>1249</v>
      </c>
      <c r="D12785" s="7" t="n">
        <v>15</v>
      </c>
      <c r="E12785" s="7" t="n">
        <v>156.2</v>
      </c>
      <c r="F12785" s="7" t="n">
        <v>0</v>
      </c>
      <c r="G12785" s="7" t="n">
        <v>0</v>
      </c>
    </row>
    <row r="12786" customFormat="false" ht="15" hidden="false" customHeight="false" outlineLevel="0" collapsed="false">
      <c r="A12786" s="7" t="s">
        <v>32</v>
      </c>
      <c r="B12786" s="7" t="s">
        <v>690</v>
      </c>
      <c r="C12786" s="7" t="s">
        <v>1249</v>
      </c>
      <c r="D12786" s="7" t="n">
        <v>0</v>
      </c>
      <c r="E12786" s="7" t="n">
        <v>0</v>
      </c>
      <c r="F12786" s="7" t="n">
        <v>20</v>
      </c>
      <c r="G12786" s="7" t="n">
        <v>235.39</v>
      </c>
    </row>
    <row r="12787" customFormat="false" ht="15" hidden="false" customHeight="false" outlineLevel="0" collapsed="false">
      <c r="A12787" s="7" t="s">
        <v>32</v>
      </c>
      <c r="B12787" s="7" t="s">
        <v>690</v>
      </c>
      <c r="C12787" s="7" t="s">
        <v>1249</v>
      </c>
      <c r="D12787" s="7" t="n">
        <v>12</v>
      </c>
      <c r="E12787" s="7" t="n">
        <v>139.02</v>
      </c>
      <c r="F12787" s="7" t="n">
        <v>0</v>
      </c>
      <c r="G12787" s="7" t="n">
        <v>0</v>
      </c>
    </row>
    <row r="12788" customFormat="false" ht="15" hidden="false" customHeight="false" outlineLevel="0" collapsed="false">
      <c r="A12788" s="7" t="s">
        <v>32</v>
      </c>
      <c r="B12788" s="7" t="s">
        <v>271</v>
      </c>
      <c r="C12788" s="7" t="s">
        <v>1253</v>
      </c>
      <c r="D12788" s="7" t="n">
        <v>5</v>
      </c>
      <c r="E12788" s="7" t="n">
        <v>445.48</v>
      </c>
      <c r="F12788" s="7" t="n">
        <v>0</v>
      </c>
      <c r="G12788" s="7" t="n">
        <v>0</v>
      </c>
    </row>
    <row r="12789" customFormat="false" ht="15" hidden="false" customHeight="false" outlineLevel="0" collapsed="false">
      <c r="A12789" s="7" t="s">
        <v>32</v>
      </c>
      <c r="B12789" s="7" t="s">
        <v>281</v>
      </c>
      <c r="C12789" s="7" t="s">
        <v>1253</v>
      </c>
      <c r="D12789" s="7" t="n">
        <v>5</v>
      </c>
      <c r="E12789" s="7" t="n">
        <v>445.48</v>
      </c>
      <c r="F12789" s="7" t="n">
        <v>0</v>
      </c>
      <c r="G12789" s="7" t="n">
        <v>0</v>
      </c>
    </row>
    <row r="12790" customFormat="false" ht="15" hidden="false" customHeight="false" outlineLevel="0" collapsed="false">
      <c r="A12790" s="7" t="s">
        <v>32</v>
      </c>
      <c r="B12790" s="7" t="s">
        <v>384</v>
      </c>
      <c r="C12790" s="7" t="s">
        <v>1253</v>
      </c>
      <c r="D12790" s="7" t="n">
        <v>5</v>
      </c>
      <c r="E12790" s="7" t="n">
        <v>445.48</v>
      </c>
      <c r="F12790" s="7" t="n">
        <v>0</v>
      </c>
      <c r="G12790" s="7" t="n">
        <v>0</v>
      </c>
    </row>
    <row r="12791" customFormat="false" ht="15" hidden="false" customHeight="false" outlineLevel="0" collapsed="false">
      <c r="A12791" s="7" t="s">
        <v>32</v>
      </c>
      <c r="B12791" s="7" t="s">
        <v>421</v>
      </c>
      <c r="C12791" s="7" t="s">
        <v>1253</v>
      </c>
      <c r="D12791" s="7" t="n">
        <v>5</v>
      </c>
      <c r="E12791" s="7" t="n">
        <v>445.48</v>
      </c>
      <c r="F12791" s="7" t="n">
        <v>0</v>
      </c>
      <c r="G12791" s="7" t="n">
        <v>0</v>
      </c>
    </row>
    <row r="12792" customFormat="false" ht="15" hidden="false" customHeight="false" outlineLevel="0" collapsed="false">
      <c r="A12792" s="7" t="s">
        <v>32</v>
      </c>
      <c r="B12792" s="7" t="s">
        <v>958</v>
      </c>
      <c r="C12792" s="7" t="s">
        <v>1253</v>
      </c>
      <c r="D12792" s="7" t="n">
        <v>5</v>
      </c>
      <c r="E12792" s="7" t="n">
        <v>445.48</v>
      </c>
      <c r="F12792" s="7" t="n">
        <v>0</v>
      </c>
      <c r="G12792" s="7" t="n">
        <v>0</v>
      </c>
    </row>
    <row r="12793" customFormat="false" ht="15" hidden="false" customHeight="false" outlineLevel="0" collapsed="false">
      <c r="A12793" s="7" t="s">
        <v>32</v>
      </c>
      <c r="B12793" s="7" t="s">
        <v>519</v>
      </c>
      <c r="C12793" s="7" t="s">
        <v>1253</v>
      </c>
      <c r="D12793" s="7" t="n">
        <v>5</v>
      </c>
      <c r="E12793" s="7" t="n">
        <v>405.71</v>
      </c>
      <c r="F12793" s="7" t="n">
        <v>0</v>
      </c>
      <c r="G12793" s="7" t="n">
        <v>0</v>
      </c>
    </row>
    <row r="12794" customFormat="false" ht="15" hidden="false" customHeight="false" outlineLevel="0" collapsed="false">
      <c r="A12794" s="7" t="s">
        <v>32</v>
      </c>
      <c r="B12794" s="7" t="s">
        <v>519</v>
      </c>
      <c r="C12794" s="7" t="s">
        <v>1253</v>
      </c>
      <c r="D12794" s="7" t="n">
        <v>0</v>
      </c>
      <c r="E12794" s="7" t="n">
        <v>0</v>
      </c>
      <c r="F12794" s="7" t="n">
        <v>3</v>
      </c>
      <c r="G12794" s="7" t="n">
        <v>233.33</v>
      </c>
    </row>
    <row r="12795" customFormat="false" ht="15" hidden="false" customHeight="false" outlineLevel="0" collapsed="false">
      <c r="A12795" s="7" t="s">
        <v>32</v>
      </c>
      <c r="B12795" s="7" t="s">
        <v>207</v>
      </c>
      <c r="C12795" s="7" t="s">
        <v>1253</v>
      </c>
      <c r="D12795" s="7" t="n">
        <v>0</v>
      </c>
      <c r="E12795" s="7" t="n">
        <v>0</v>
      </c>
      <c r="F12795" s="7" t="n">
        <v>3</v>
      </c>
      <c r="G12795" s="7" t="n">
        <v>233.33</v>
      </c>
    </row>
    <row r="12796" customFormat="false" ht="15" hidden="false" customHeight="false" outlineLevel="0" collapsed="false">
      <c r="A12796" s="7" t="s">
        <v>32</v>
      </c>
      <c r="B12796" s="7" t="s">
        <v>207</v>
      </c>
      <c r="C12796" s="7" t="s">
        <v>1253</v>
      </c>
      <c r="D12796" s="7" t="n">
        <v>5</v>
      </c>
      <c r="E12796" s="7" t="n">
        <v>405.71</v>
      </c>
      <c r="F12796" s="7" t="n">
        <v>0</v>
      </c>
      <c r="G12796" s="7" t="n">
        <v>0</v>
      </c>
    </row>
    <row r="12797" customFormat="false" ht="15" hidden="false" customHeight="false" outlineLevel="0" collapsed="false">
      <c r="A12797" s="7" t="s">
        <v>32</v>
      </c>
      <c r="B12797" s="7" t="s">
        <v>961</v>
      </c>
      <c r="C12797" s="7" t="s">
        <v>1253</v>
      </c>
      <c r="D12797" s="7" t="n">
        <v>5</v>
      </c>
      <c r="E12797" s="7" t="n">
        <v>405.71</v>
      </c>
      <c r="F12797" s="7" t="n">
        <v>0</v>
      </c>
      <c r="G12797" s="7" t="n">
        <v>0</v>
      </c>
    </row>
    <row r="12798" customFormat="false" ht="15" hidden="false" customHeight="false" outlineLevel="0" collapsed="false">
      <c r="A12798" s="7" t="s">
        <v>32</v>
      </c>
      <c r="B12798" s="7" t="s">
        <v>960</v>
      </c>
      <c r="C12798" s="7" t="s">
        <v>1253</v>
      </c>
      <c r="D12798" s="7" t="n">
        <v>5</v>
      </c>
      <c r="E12798" s="7" t="n">
        <v>405.71</v>
      </c>
      <c r="F12798" s="7" t="n">
        <v>0</v>
      </c>
      <c r="G12798" s="7" t="n">
        <v>0</v>
      </c>
    </row>
    <row r="12799" customFormat="false" ht="15" hidden="false" customHeight="false" outlineLevel="0" collapsed="false">
      <c r="A12799" s="7" t="s">
        <v>32</v>
      </c>
      <c r="B12799" s="7" t="s">
        <v>962</v>
      </c>
      <c r="C12799" s="7" t="s">
        <v>1253</v>
      </c>
      <c r="D12799" s="7" t="n">
        <v>5</v>
      </c>
      <c r="E12799" s="7" t="n">
        <v>405.71</v>
      </c>
      <c r="F12799" s="7" t="n">
        <v>0</v>
      </c>
      <c r="G12799" s="7" t="n">
        <v>0</v>
      </c>
    </row>
    <row r="12800" customFormat="false" ht="15" hidden="false" customHeight="false" outlineLevel="0" collapsed="false">
      <c r="A12800" s="7" t="s">
        <v>32</v>
      </c>
      <c r="B12800" s="7" t="s">
        <v>336</v>
      </c>
      <c r="C12800" s="7" t="s">
        <v>1253</v>
      </c>
      <c r="D12800" s="7" t="n">
        <v>5</v>
      </c>
      <c r="E12800" s="7" t="n">
        <v>405.71</v>
      </c>
      <c r="F12800" s="7" t="n">
        <v>0</v>
      </c>
      <c r="G12800" s="7" t="n">
        <v>0</v>
      </c>
    </row>
    <row r="12801" customFormat="false" ht="15" hidden="false" customHeight="false" outlineLevel="0" collapsed="false">
      <c r="A12801" s="7" t="s">
        <v>32</v>
      </c>
      <c r="B12801" s="7" t="s">
        <v>336</v>
      </c>
      <c r="C12801" s="7" t="s">
        <v>1253</v>
      </c>
      <c r="D12801" s="7" t="n">
        <v>0</v>
      </c>
      <c r="E12801" s="7" t="n">
        <v>0</v>
      </c>
      <c r="F12801" s="7" t="n">
        <v>3</v>
      </c>
      <c r="G12801" s="7" t="n">
        <v>233.33</v>
      </c>
    </row>
    <row r="12802" customFormat="false" ht="15" hidden="false" customHeight="false" outlineLevel="0" collapsed="false">
      <c r="A12802" s="7" t="s">
        <v>32</v>
      </c>
      <c r="B12802" s="7" t="s">
        <v>215</v>
      </c>
      <c r="C12802" s="7" t="s">
        <v>1253</v>
      </c>
      <c r="D12802" s="7" t="n">
        <v>5</v>
      </c>
      <c r="E12802" s="7" t="n">
        <v>405.71</v>
      </c>
      <c r="F12802" s="7" t="n">
        <v>0</v>
      </c>
      <c r="G12802" s="7" t="n">
        <v>0</v>
      </c>
    </row>
    <row r="12803" customFormat="false" ht="15" hidden="false" customHeight="false" outlineLevel="0" collapsed="false">
      <c r="A12803" s="7" t="s">
        <v>32</v>
      </c>
      <c r="B12803" s="7" t="s">
        <v>215</v>
      </c>
      <c r="C12803" s="7" t="s">
        <v>1253</v>
      </c>
      <c r="D12803" s="7" t="n">
        <v>0</v>
      </c>
      <c r="E12803" s="7" t="n">
        <v>0</v>
      </c>
      <c r="F12803" s="7" t="n">
        <v>3</v>
      </c>
      <c r="G12803" s="7" t="n">
        <v>233.33</v>
      </c>
    </row>
    <row r="12804" customFormat="false" ht="15" hidden="false" customHeight="false" outlineLevel="0" collapsed="false">
      <c r="A12804" s="7" t="s">
        <v>32</v>
      </c>
      <c r="B12804" s="7" t="s">
        <v>959</v>
      </c>
      <c r="C12804" s="7" t="s">
        <v>1253</v>
      </c>
      <c r="D12804" s="7" t="n">
        <v>5</v>
      </c>
      <c r="E12804" s="7" t="n">
        <v>405.71</v>
      </c>
      <c r="F12804" s="7" t="n">
        <v>0</v>
      </c>
      <c r="G12804" s="7" t="n">
        <v>0</v>
      </c>
    </row>
    <row r="12805" customFormat="false" ht="15" hidden="false" customHeight="false" outlineLevel="0" collapsed="false">
      <c r="A12805" s="7" t="s">
        <v>32</v>
      </c>
      <c r="B12805" s="7" t="s">
        <v>489</v>
      </c>
      <c r="C12805" s="7" t="s">
        <v>1253</v>
      </c>
      <c r="D12805" s="7" t="n">
        <v>5</v>
      </c>
      <c r="E12805" s="7" t="n">
        <v>405.71</v>
      </c>
      <c r="F12805" s="7" t="n">
        <v>0</v>
      </c>
      <c r="G12805" s="7" t="n">
        <v>0</v>
      </c>
    </row>
    <row r="12806" customFormat="false" ht="15" hidden="false" customHeight="false" outlineLevel="0" collapsed="false">
      <c r="A12806" s="7" t="s">
        <v>32</v>
      </c>
      <c r="B12806" s="7" t="s">
        <v>538</v>
      </c>
      <c r="C12806" s="7" t="s">
        <v>1253</v>
      </c>
      <c r="D12806" s="7" t="n">
        <v>5</v>
      </c>
      <c r="E12806" s="7" t="n">
        <v>405.71</v>
      </c>
      <c r="F12806" s="7" t="n">
        <v>0</v>
      </c>
      <c r="G12806" s="7" t="n">
        <v>0</v>
      </c>
    </row>
    <row r="12807" customFormat="false" ht="15" hidden="false" customHeight="false" outlineLevel="0" collapsed="false">
      <c r="A12807" s="7" t="s">
        <v>32</v>
      </c>
      <c r="B12807" s="7" t="s">
        <v>935</v>
      </c>
      <c r="C12807" s="7" t="s">
        <v>1061</v>
      </c>
      <c r="D12807" s="7" t="n">
        <v>0</v>
      </c>
      <c r="E12807" s="7" t="n">
        <v>0</v>
      </c>
      <c r="F12807" s="7" t="n">
        <v>1</v>
      </c>
      <c r="G12807" s="7" t="n">
        <v>0.03</v>
      </c>
    </row>
    <row r="12808" customFormat="false" ht="15" hidden="false" customHeight="false" outlineLevel="0" collapsed="false">
      <c r="A12808" s="7" t="s">
        <v>32</v>
      </c>
      <c r="B12808" s="7" t="s">
        <v>589</v>
      </c>
      <c r="C12808" s="7" t="s">
        <v>1109</v>
      </c>
      <c r="D12808" s="7" t="n">
        <v>0</v>
      </c>
      <c r="E12808" s="7" t="n">
        <v>0</v>
      </c>
      <c r="F12808" s="7" t="n">
        <v>7</v>
      </c>
      <c r="G12808" s="7" t="n">
        <v>488.97</v>
      </c>
    </row>
    <row r="12809" customFormat="false" ht="15" hidden="false" customHeight="false" outlineLevel="0" collapsed="false">
      <c r="A12809" s="7" t="s">
        <v>32</v>
      </c>
      <c r="B12809" s="7" t="s">
        <v>589</v>
      </c>
      <c r="C12809" s="7" t="s">
        <v>1109</v>
      </c>
      <c r="D12809" s="7" t="n">
        <v>6</v>
      </c>
      <c r="E12809" s="7" t="n">
        <v>412.53</v>
      </c>
      <c r="F12809" s="7" t="n">
        <v>0</v>
      </c>
      <c r="G12809" s="7" t="n">
        <v>0</v>
      </c>
    </row>
    <row r="12810" customFormat="false" ht="15" hidden="false" customHeight="false" outlineLevel="0" collapsed="false">
      <c r="A12810" s="7" t="s">
        <v>32</v>
      </c>
      <c r="B12810" s="7" t="s">
        <v>203</v>
      </c>
      <c r="C12810" s="7" t="s">
        <v>1109</v>
      </c>
      <c r="D12810" s="7" t="n">
        <v>0</v>
      </c>
      <c r="E12810" s="7" t="n">
        <v>0</v>
      </c>
      <c r="F12810" s="7" t="n">
        <v>5</v>
      </c>
      <c r="G12810" s="7" t="n">
        <v>349.26</v>
      </c>
    </row>
    <row r="12811" customFormat="false" ht="15" hidden="false" customHeight="false" outlineLevel="0" collapsed="false">
      <c r="A12811" s="7" t="s">
        <v>32</v>
      </c>
      <c r="B12811" s="7" t="s">
        <v>203</v>
      </c>
      <c r="C12811" s="7" t="s">
        <v>1109</v>
      </c>
      <c r="D12811" s="7" t="n">
        <v>5</v>
      </c>
      <c r="E12811" s="7" t="n">
        <v>343.78</v>
      </c>
      <c r="F12811" s="7" t="n">
        <v>0</v>
      </c>
      <c r="G12811" s="7" t="n">
        <v>0</v>
      </c>
    </row>
    <row r="12812" customFormat="false" ht="15" hidden="false" customHeight="false" outlineLevel="0" collapsed="false">
      <c r="A12812" s="7" t="s">
        <v>32</v>
      </c>
      <c r="B12812" s="7" t="s">
        <v>543</v>
      </c>
      <c r="C12812" s="7" t="s">
        <v>1109</v>
      </c>
      <c r="D12812" s="7" t="n">
        <v>0</v>
      </c>
      <c r="E12812" s="7" t="n">
        <v>0</v>
      </c>
      <c r="F12812" s="7" t="n">
        <v>3</v>
      </c>
      <c r="G12812" s="7" t="n">
        <v>209.56</v>
      </c>
    </row>
    <row r="12813" customFormat="false" ht="15" hidden="false" customHeight="false" outlineLevel="0" collapsed="false">
      <c r="A12813" s="7" t="s">
        <v>32</v>
      </c>
      <c r="B12813" s="7" t="s">
        <v>543</v>
      </c>
      <c r="C12813" s="7" t="s">
        <v>1109</v>
      </c>
      <c r="D12813" s="7" t="n">
        <v>2</v>
      </c>
      <c r="E12813" s="7" t="n">
        <v>123.61</v>
      </c>
      <c r="F12813" s="7" t="n">
        <v>0</v>
      </c>
      <c r="G12813" s="7" t="n">
        <v>0</v>
      </c>
    </row>
    <row r="12814" customFormat="false" ht="15" hidden="false" customHeight="false" outlineLevel="0" collapsed="false">
      <c r="A12814" s="7" t="s">
        <v>32</v>
      </c>
      <c r="B12814" s="7" t="s">
        <v>399</v>
      </c>
      <c r="C12814" s="7" t="s">
        <v>1109</v>
      </c>
      <c r="D12814" s="7" t="n">
        <v>6</v>
      </c>
      <c r="E12814" s="7" t="n">
        <v>412.53</v>
      </c>
      <c r="F12814" s="7" t="n">
        <v>0</v>
      </c>
      <c r="G12814" s="7" t="n">
        <v>0</v>
      </c>
    </row>
    <row r="12815" customFormat="false" ht="15" hidden="false" customHeight="false" outlineLevel="0" collapsed="false">
      <c r="A12815" s="7" t="s">
        <v>32</v>
      </c>
      <c r="B12815" s="7" t="s">
        <v>665</v>
      </c>
      <c r="C12815" s="7" t="s">
        <v>1181</v>
      </c>
      <c r="D12815" s="7" t="n">
        <v>200</v>
      </c>
      <c r="E12815" s="7" t="n">
        <v>1812.15</v>
      </c>
      <c r="F12815" s="7" t="n">
        <v>0</v>
      </c>
      <c r="G12815" s="7" t="n">
        <v>0</v>
      </c>
    </row>
    <row r="12816" customFormat="false" ht="15" hidden="false" customHeight="false" outlineLevel="0" collapsed="false">
      <c r="A12816" s="7" t="s">
        <v>32</v>
      </c>
      <c r="B12816" s="7" t="s">
        <v>665</v>
      </c>
      <c r="C12816" s="7" t="s">
        <v>1181</v>
      </c>
      <c r="D12816" s="7" t="n">
        <v>0</v>
      </c>
      <c r="E12816" s="7" t="n">
        <v>0</v>
      </c>
      <c r="F12816" s="7" t="n">
        <v>80</v>
      </c>
      <c r="G12816" s="7" t="n">
        <v>694.79</v>
      </c>
    </row>
    <row r="12817" customFormat="false" ht="15" hidden="false" customHeight="false" outlineLevel="0" collapsed="false">
      <c r="A12817" s="7" t="s">
        <v>32</v>
      </c>
      <c r="B12817" s="7" t="s">
        <v>665</v>
      </c>
      <c r="C12817" s="7" t="s">
        <v>1181</v>
      </c>
      <c r="D12817" s="7" t="n">
        <v>0</v>
      </c>
      <c r="E12817" s="7" t="n">
        <v>0</v>
      </c>
      <c r="F12817" s="7" t="n">
        <v>50</v>
      </c>
      <c r="G12817" s="7" t="n">
        <v>512.05</v>
      </c>
    </row>
    <row r="12818" customFormat="false" ht="15" hidden="false" customHeight="false" outlineLevel="0" collapsed="false">
      <c r="A12818" s="7" t="s">
        <v>32</v>
      </c>
      <c r="B12818" s="7" t="s">
        <v>665</v>
      </c>
      <c r="C12818" s="7" t="s">
        <v>1181</v>
      </c>
      <c r="D12818" s="7" t="n">
        <v>30</v>
      </c>
      <c r="E12818" s="7" t="n">
        <v>302.4</v>
      </c>
      <c r="F12818" s="7" t="n">
        <v>0</v>
      </c>
      <c r="G12818" s="7" t="n">
        <v>0</v>
      </c>
    </row>
    <row r="12819" customFormat="false" ht="15" hidden="false" customHeight="false" outlineLevel="0" collapsed="false">
      <c r="A12819" s="7" t="s">
        <v>32</v>
      </c>
      <c r="B12819" s="7" t="s">
        <v>627</v>
      </c>
      <c r="C12819" s="7" t="s">
        <v>1110</v>
      </c>
      <c r="D12819" s="7" t="n">
        <v>0</v>
      </c>
      <c r="E12819" s="7" t="n">
        <v>0</v>
      </c>
      <c r="F12819" s="7" t="n">
        <v>100</v>
      </c>
      <c r="G12819" s="7" t="n">
        <v>570.35</v>
      </c>
    </row>
    <row r="12820" customFormat="false" ht="15" hidden="false" customHeight="false" outlineLevel="0" collapsed="false">
      <c r="A12820" s="7" t="s">
        <v>32</v>
      </c>
      <c r="B12820" s="7" t="s">
        <v>627</v>
      </c>
      <c r="C12820" s="7" t="s">
        <v>1110</v>
      </c>
      <c r="D12820" s="7" t="n">
        <v>250</v>
      </c>
      <c r="E12820" s="7" t="n">
        <v>1487.58</v>
      </c>
      <c r="F12820" s="7" t="n">
        <v>0</v>
      </c>
      <c r="G12820" s="7" t="n">
        <v>0</v>
      </c>
    </row>
    <row r="12821" customFormat="false" ht="15" hidden="false" customHeight="false" outlineLevel="0" collapsed="false">
      <c r="A12821" s="7" t="s">
        <v>32</v>
      </c>
      <c r="B12821" s="7" t="s">
        <v>617</v>
      </c>
      <c r="C12821" s="7" t="s">
        <v>1111</v>
      </c>
      <c r="D12821" s="7" t="n">
        <v>240</v>
      </c>
      <c r="E12821" s="7" t="n">
        <v>1588.75</v>
      </c>
      <c r="F12821" s="7" t="n">
        <v>0</v>
      </c>
      <c r="G12821" s="7" t="n">
        <v>0</v>
      </c>
    </row>
    <row r="12822" customFormat="false" ht="15" hidden="false" customHeight="false" outlineLevel="0" collapsed="false">
      <c r="A12822" s="7" t="s">
        <v>32</v>
      </c>
      <c r="B12822" s="7" t="s">
        <v>617</v>
      </c>
      <c r="C12822" s="7" t="s">
        <v>1111</v>
      </c>
      <c r="D12822" s="7" t="n">
        <v>0</v>
      </c>
      <c r="E12822" s="7" t="n">
        <v>0</v>
      </c>
      <c r="F12822" s="7" t="n">
        <v>100</v>
      </c>
      <c r="G12822" s="7" t="n">
        <v>570.35</v>
      </c>
    </row>
    <row r="12823" customFormat="false" ht="15" hidden="false" customHeight="false" outlineLevel="0" collapsed="false">
      <c r="A12823" s="7" t="s">
        <v>32</v>
      </c>
      <c r="B12823" s="7" t="s">
        <v>617</v>
      </c>
      <c r="C12823" s="7" t="s">
        <v>1111</v>
      </c>
      <c r="D12823" s="7" t="n">
        <v>0</v>
      </c>
      <c r="E12823" s="7" t="n">
        <v>0</v>
      </c>
      <c r="F12823" s="7" t="n">
        <v>120</v>
      </c>
      <c r="G12823" s="7" t="n">
        <v>807.05</v>
      </c>
    </row>
    <row r="12824" customFormat="false" ht="15" hidden="false" customHeight="false" outlineLevel="0" collapsed="false">
      <c r="A12824" s="7" t="s">
        <v>32</v>
      </c>
      <c r="B12824" s="7" t="s">
        <v>701</v>
      </c>
      <c r="C12824" s="7" t="s">
        <v>1112</v>
      </c>
      <c r="D12824" s="7" t="n">
        <v>0</v>
      </c>
      <c r="E12824" s="7" t="n">
        <v>0</v>
      </c>
      <c r="F12824" s="7" t="n">
        <v>100</v>
      </c>
      <c r="G12824" s="7" t="n">
        <v>570.35</v>
      </c>
    </row>
    <row r="12825" customFormat="false" ht="15" hidden="false" customHeight="false" outlineLevel="0" collapsed="false">
      <c r="A12825" s="7" t="s">
        <v>32</v>
      </c>
      <c r="B12825" s="7" t="s">
        <v>701</v>
      </c>
      <c r="C12825" s="7" t="s">
        <v>1112</v>
      </c>
      <c r="D12825" s="7" t="n">
        <v>120</v>
      </c>
      <c r="E12825" s="7" t="n">
        <v>794.38</v>
      </c>
      <c r="F12825" s="7" t="n">
        <v>0</v>
      </c>
      <c r="G12825" s="7" t="n">
        <v>0</v>
      </c>
    </row>
    <row r="12826" customFormat="false" ht="15" hidden="false" customHeight="false" outlineLevel="0" collapsed="false">
      <c r="A12826" s="7" t="s">
        <v>32</v>
      </c>
      <c r="B12826" s="7" t="s">
        <v>701</v>
      </c>
      <c r="C12826" s="7" t="s">
        <v>1112</v>
      </c>
      <c r="D12826" s="7" t="n">
        <v>100</v>
      </c>
      <c r="E12826" s="7" t="n">
        <v>595.03</v>
      </c>
      <c r="F12826" s="7" t="n">
        <v>0</v>
      </c>
      <c r="G12826" s="7" t="n">
        <v>0</v>
      </c>
    </row>
    <row r="12827" customFormat="false" ht="15" hidden="false" customHeight="false" outlineLevel="0" collapsed="false">
      <c r="A12827" s="7" t="s">
        <v>32</v>
      </c>
      <c r="B12827" s="7" t="s">
        <v>701</v>
      </c>
      <c r="C12827" s="7" t="s">
        <v>1112</v>
      </c>
      <c r="D12827" s="7" t="n">
        <v>0</v>
      </c>
      <c r="E12827" s="7" t="n">
        <v>0</v>
      </c>
      <c r="F12827" s="7" t="n">
        <v>50</v>
      </c>
      <c r="G12827" s="7" t="n">
        <v>336.27</v>
      </c>
    </row>
    <row r="12828" customFormat="false" ht="15" hidden="false" customHeight="false" outlineLevel="0" collapsed="false">
      <c r="A12828" s="7" t="s">
        <v>32</v>
      </c>
      <c r="B12828" s="7" t="s">
        <v>761</v>
      </c>
      <c r="C12828" s="7" t="s">
        <v>1113</v>
      </c>
      <c r="D12828" s="7" t="n">
        <v>0</v>
      </c>
      <c r="E12828" s="7" t="n">
        <v>0</v>
      </c>
      <c r="F12828" s="7" t="n">
        <v>100</v>
      </c>
      <c r="G12828" s="7" t="n">
        <v>570.35</v>
      </c>
    </row>
    <row r="12829" customFormat="false" ht="15" hidden="false" customHeight="false" outlineLevel="0" collapsed="false">
      <c r="A12829" s="7" t="s">
        <v>32</v>
      </c>
      <c r="B12829" s="7" t="s">
        <v>761</v>
      </c>
      <c r="C12829" s="7" t="s">
        <v>1113</v>
      </c>
      <c r="D12829" s="7" t="n">
        <v>150</v>
      </c>
      <c r="E12829" s="7" t="n">
        <v>892.55</v>
      </c>
      <c r="F12829" s="7" t="n">
        <v>0</v>
      </c>
      <c r="G12829" s="7" t="n">
        <v>0</v>
      </c>
    </row>
    <row r="12830" customFormat="false" ht="15" hidden="false" customHeight="false" outlineLevel="0" collapsed="false">
      <c r="A12830" s="7" t="s">
        <v>32</v>
      </c>
      <c r="B12830" s="7" t="s">
        <v>947</v>
      </c>
      <c r="C12830" s="7" t="s">
        <v>1331</v>
      </c>
      <c r="D12830" s="7" t="n">
        <v>0</v>
      </c>
      <c r="E12830" s="7" t="n">
        <v>0</v>
      </c>
      <c r="F12830" s="7" t="n">
        <v>1</v>
      </c>
      <c r="G12830" s="7" t="n">
        <v>0.03</v>
      </c>
    </row>
    <row r="12831" customFormat="false" ht="15" hidden="false" customHeight="false" outlineLevel="0" collapsed="false">
      <c r="A12831" s="7" t="s">
        <v>32</v>
      </c>
      <c r="B12831" s="7" t="s">
        <v>595</v>
      </c>
      <c r="C12831" s="7" t="s">
        <v>1118</v>
      </c>
      <c r="D12831" s="7" t="n">
        <v>0</v>
      </c>
      <c r="E12831" s="7" t="n">
        <v>0</v>
      </c>
      <c r="F12831" s="7" t="n">
        <v>70</v>
      </c>
      <c r="G12831" s="7" t="n">
        <v>1433.73</v>
      </c>
    </row>
    <row r="12832" customFormat="false" ht="15" hidden="false" customHeight="false" outlineLevel="0" collapsed="false">
      <c r="A12832" s="7" t="s">
        <v>32</v>
      </c>
      <c r="B12832" s="7" t="s">
        <v>595</v>
      </c>
      <c r="C12832" s="7" t="s">
        <v>1118</v>
      </c>
      <c r="D12832" s="7" t="n">
        <v>180</v>
      </c>
      <c r="E12832" s="7" t="n">
        <v>3261.87</v>
      </c>
      <c r="F12832" s="7" t="n">
        <v>0</v>
      </c>
      <c r="G12832" s="7" t="n">
        <v>0</v>
      </c>
    </row>
    <row r="12833" customFormat="false" ht="15" hidden="false" customHeight="false" outlineLevel="0" collapsed="false">
      <c r="A12833" s="7" t="s">
        <v>32</v>
      </c>
      <c r="B12833" s="7" t="s">
        <v>595</v>
      </c>
      <c r="C12833" s="7" t="s">
        <v>1118</v>
      </c>
      <c r="D12833" s="7" t="n">
        <v>0</v>
      </c>
      <c r="E12833" s="7" t="n">
        <v>0</v>
      </c>
      <c r="F12833" s="7" t="n">
        <v>230</v>
      </c>
      <c r="G12833" s="7" t="n">
        <v>3995.04</v>
      </c>
    </row>
    <row r="12834" customFormat="false" ht="15" hidden="false" customHeight="false" outlineLevel="0" collapsed="false">
      <c r="A12834" s="7" t="s">
        <v>32</v>
      </c>
      <c r="B12834" s="7" t="s">
        <v>595</v>
      </c>
      <c r="C12834" s="7" t="s">
        <v>1118</v>
      </c>
      <c r="D12834" s="7" t="n">
        <v>60</v>
      </c>
      <c r="E12834" s="7" t="n">
        <v>1209.62</v>
      </c>
      <c r="F12834" s="7" t="n">
        <v>0</v>
      </c>
      <c r="G12834" s="7" t="n">
        <v>0</v>
      </c>
    </row>
    <row r="12835" customFormat="false" ht="15" hidden="false" customHeight="false" outlineLevel="0" collapsed="false">
      <c r="A12835" s="7" t="s">
        <v>32</v>
      </c>
      <c r="B12835" s="7" t="s">
        <v>693</v>
      </c>
      <c r="C12835" s="7" t="s">
        <v>1118</v>
      </c>
      <c r="D12835" s="7" t="n">
        <v>60</v>
      </c>
      <c r="E12835" s="7" t="n">
        <v>1209.62</v>
      </c>
      <c r="F12835" s="7" t="n">
        <v>0</v>
      </c>
      <c r="G12835" s="7" t="n">
        <v>0</v>
      </c>
    </row>
    <row r="12836" customFormat="false" ht="15" hidden="false" customHeight="false" outlineLevel="0" collapsed="false">
      <c r="A12836" s="7" t="s">
        <v>32</v>
      </c>
      <c r="B12836" s="7" t="s">
        <v>693</v>
      </c>
      <c r="C12836" s="7" t="s">
        <v>1118</v>
      </c>
      <c r="D12836" s="7" t="n">
        <v>180</v>
      </c>
      <c r="E12836" s="7" t="n">
        <v>3261.87</v>
      </c>
      <c r="F12836" s="7" t="n">
        <v>0</v>
      </c>
      <c r="G12836" s="7" t="n">
        <v>0</v>
      </c>
    </row>
    <row r="12837" customFormat="false" ht="15" hidden="false" customHeight="false" outlineLevel="0" collapsed="false">
      <c r="A12837" s="7" t="s">
        <v>32</v>
      </c>
      <c r="B12837" s="7" t="s">
        <v>693</v>
      </c>
      <c r="C12837" s="7" t="s">
        <v>1118</v>
      </c>
      <c r="D12837" s="7" t="n">
        <v>0</v>
      </c>
      <c r="E12837" s="7" t="n">
        <v>0</v>
      </c>
      <c r="F12837" s="7" t="n">
        <v>180</v>
      </c>
      <c r="G12837" s="7" t="n">
        <v>3126.56</v>
      </c>
    </row>
    <row r="12838" customFormat="false" ht="15" hidden="false" customHeight="false" outlineLevel="0" collapsed="false">
      <c r="A12838" s="7" t="s">
        <v>32</v>
      </c>
      <c r="B12838" s="7" t="s">
        <v>693</v>
      </c>
      <c r="C12838" s="7" t="s">
        <v>1118</v>
      </c>
      <c r="D12838" s="7" t="n">
        <v>0</v>
      </c>
      <c r="E12838" s="7" t="n">
        <v>0</v>
      </c>
      <c r="F12838" s="7" t="n">
        <v>30</v>
      </c>
      <c r="G12838" s="7" t="n">
        <v>614.46</v>
      </c>
    </row>
    <row r="12839" customFormat="false" ht="15" hidden="false" customHeight="false" outlineLevel="0" collapsed="false">
      <c r="A12839" s="7" t="s">
        <v>32</v>
      </c>
      <c r="B12839" s="7" t="s">
        <v>692</v>
      </c>
      <c r="C12839" s="7" t="s">
        <v>1118</v>
      </c>
      <c r="D12839" s="7" t="n">
        <v>0</v>
      </c>
      <c r="E12839" s="7" t="n">
        <v>0</v>
      </c>
      <c r="F12839" s="7" t="n">
        <v>30</v>
      </c>
      <c r="G12839" s="7" t="n">
        <v>614.46</v>
      </c>
    </row>
    <row r="12840" customFormat="false" ht="15" hidden="false" customHeight="false" outlineLevel="0" collapsed="false">
      <c r="A12840" s="7" t="s">
        <v>32</v>
      </c>
      <c r="B12840" s="7" t="s">
        <v>692</v>
      </c>
      <c r="C12840" s="7" t="s">
        <v>1118</v>
      </c>
      <c r="D12840" s="7" t="n">
        <v>0</v>
      </c>
      <c r="E12840" s="7" t="n">
        <v>0</v>
      </c>
      <c r="F12840" s="7" t="n">
        <v>60</v>
      </c>
      <c r="G12840" s="7" t="n">
        <v>1042.19</v>
      </c>
    </row>
    <row r="12841" customFormat="false" ht="15" hidden="false" customHeight="false" outlineLevel="0" collapsed="false">
      <c r="A12841" s="7" t="s">
        <v>32</v>
      </c>
      <c r="B12841" s="7" t="s">
        <v>692</v>
      </c>
      <c r="C12841" s="7" t="s">
        <v>1118</v>
      </c>
      <c r="D12841" s="7" t="n">
        <v>80</v>
      </c>
      <c r="E12841" s="7" t="n">
        <v>1449.72</v>
      </c>
      <c r="F12841" s="7" t="n">
        <v>0</v>
      </c>
      <c r="G12841" s="7" t="n">
        <v>0</v>
      </c>
    </row>
    <row r="12842" customFormat="false" ht="15" hidden="false" customHeight="false" outlineLevel="0" collapsed="false">
      <c r="A12842" s="7" t="s">
        <v>32</v>
      </c>
      <c r="B12842" s="7" t="s">
        <v>692</v>
      </c>
      <c r="C12842" s="7" t="s">
        <v>1118</v>
      </c>
      <c r="D12842" s="7" t="n">
        <v>36</v>
      </c>
      <c r="E12842" s="7" t="n">
        <v>725.77</v>
      </c>
      <c r="F12842" s="7" t="n">
        <v>0</v>
      </c>
      <c r="G12842" s="7" t="n">
        <v>0</v>
      </c>
    </row>
    <row r="12843" customFormat="false" ht="15" hidden="false" customHeight="false" outlineLevel="0" collapsed="false">
      <c r="A12843" s="7" t="s">
        <v>32</v>
      </c>
      <c r="B12843" s="7" t="s">
        <v>533</v>
      </c>
      <c r="C12843" s="7" t="s">
        <v>1118</v>
      </c>
      <c r="D12843" s="7" t="n">
        <v>100</v>
      </c>
      <c r="E12843" s="7" t="n">
        <v>1812.15</v>
      </c>
      <c r="F12843" s="7" t="n">
        <v>0</v>
      </c>
      <c r="G12843" s="7" t="n">
        <v>0</v>
      </c>
    </row>
    <row r="12844" customFormat="false" ht="15" hidden="false" customHeight="false" outlineLevel="0" collapsed="false">
      <c r="A12844" s="7" t="s">
        <v>32</v>
      </c>
      <c r="B12844" s="7" t="s">
        <v>533</v>
      </c>
      <c r="C12844" s="7" t="s">
        <v>1118</v>
      </c>
      <c r="D12844" s="7" t="n">
        <v>0</v>
      </c>
      <c r="E12844" s="7" t="n">
        <v>0</v>
      </c>
      <c r="F12844" s="7" t="n">
        <v>100</v>
      </c>
      <c r="G12844" s="7" t="n">
        <v>1736.98</v>
      </c>
    </row>
    <row r="12845" customFormat="false" ht="15" hidden="false" customHeight="false" outlineLevel="0" collapsed="false">
      <c r="A12845" s="7" t="s">
        <v>32</v>
      </c>
      <c r="B12845" s="7" t="s">
        <v>533</v>
      </c>
      <c r="C12845" s="7" t="s">
        <v>1118</v>
      </c>
      <c r="D12845" s="7" t="n">
        <v>0</v>
      </c>
      <c r="E12845" s="7" t="n">
        <v>0</v>
      </c>
      <c r="F12845" s="7" t="n">
        <v>30</v>
      </c>
      <c r="G12845" s="7" t="n">
        <v>614.46</v>
      </c>
    </row>
    <row r="12846" customFormat="false" ht="15" hidden="false" customHeight="false" outlineLevel="0" collapsed="false">
      <c r="A12846" s="7" t="s">
        <v>32</v>
      </c>
      <c r="B12846" s="7" t="s">
        <v>533</v>
      </c>
      <c r="C12846" s="7" t="s">
        <v>1118</v>
      </c>
      <c r="D12846" s="7" t="n">
        <v>36</v>
      </c>
      <c r="E12846" s="7" t="n">
        <v>725.77</v>
      </c>
      <c r="F12846" s="7" t="n">
        <v>0</v>
      </c>
      <c r="G12846" s="7" t="n">
        <v>0</v>
      </c>
    </row>
    <row r="12847" customFormat="false" ht="15" hidden="false" customHeight="false" outlineLevel="0" collapsed="false">
      <c r="A12847" s="7" t="s">
        <v>32</v>
      </c>
      <c r="B12847" s="7" t="s">
        <v>179</v>
      </c>
      <c r="C12847" s="7" t="s">
        <v>1120</v>
      </c>
      <c r="D12847" s="7" t="n">
        <v>150</v>
      </c>
      <c r="E12847" s="7" t="n">
        <v>3994.45</v>
      </c>
      <c r="F12847" s="7" t="n">
        <v>0</v>
      </c>
      <c r="G12847" s="7" t="n">
        <v>0</v>
      </c>
    </row>
    <row r="12848" customFormat="false" ht="15" hidden="false" customHeight="false" outlineLevel="0" collapsed="false">
      <c r="A12848" s="7" t="s">
        <v>32</v>
      </c>
      <c r="B12848" s="7" t="s">
        <v>154</v>
      </c>
      <c r="C12848" s="7" t="s">
        <v>1162</v>
      </c>
      <c r="D12848" s="7" t="n">
        <v>0</v>
      </c>
      <c r="E12848" s="7" t="n">
        <v>0</v>
      </c>
      <c r="F12848" s="7" t="n">
        <v>20</v>
      </c>
      <c r="G12848" s="7" t="n">
        <v>732</v>
      </c>
    </row>
    <row r="12849" customFormat="false" ht="15" hidden="false" customHeight="false" outlineLevel="0" collapsed="false">
      <c r="A12849" s="7" t="s">
        <v>32</v>
      </c>
      <c r="B12849" s="7" t="s">
        <v>154</v>
      </c>
      <c r="C12849" s="7" t="s">
        <v>1162</v>
      </c>
      <c r="D12849" s="7" t="n">
        <v>1</v>
      </c>
      <c r="E12849" s="7" t="n">
        <v>0.03</v>
      </c>
      <c r="F12849" s="7" t="n">
        <v>0</v>
      </c>
      <c r="G12849" s="7" t="n">
        <v>0</v>
      </c>
    </row>
    <row r="12850" customFormat="false" ht="15" hidden="false" customHeight="false" outlineLevel="0" collapsed="false">
      <c r="A12850" s="7" t="s">
        <v>32</v>
      </c>
      <c r="B12850" s="7" t="s">
        <v>801</v>
      </c>
      <c r="C12850" s="7" t="s">
        <v>1069</v>
      </c>
      <c r="D12850" s="7" t="n">
        <v>5</v>
      </c>
      <c r="E12850" s="7" t="n">
        <v>50.71</v>
      </c>
      <c r="F12850" s="7" t="n">
        <v>0</v>
      </c>
      <c r="G12850" s="7" t="n">
        <v>0</v>
      </c>
    </row>
    <row r="12851" customFormat="false" ht="15" hidden="false" customHeight="false" outlineLevel="0" collapsed="false">
      <c r="A12851" s="7" t="s">
        <v>32</v>
      </c>
      <c r="B12851" s="7" t="s">
        <v>801</v>
      </c>
      <c r="C12851" s="7" t="s">
        <v>1069</v>
      </c>
      <c r="D12851" s="7" t="n">
        <v>0</v>
      </c>
      <c r="E12851" s="7" t="n">
        <v>0</v>
      </c>
      <c r="F12851" s="7" t="n">
        <v>15</v>
      </c>
      <c r="G12851" s="7" t="n">
        <v>145.83</v>
      </c>
    </row>
    <row r="12852" customFormat="false" ht="15" hidden="false" customHeight="false" outlineLevel="0" collapsed="false">
      <c r="A12852" s="7" t="s">
        <v>32</v>
      </c>
      <c r="B12852" s="7" t="s">
        <v>714</v>
      </c>
      <c r="C12852" s="7" t="s">
        <v>1069</v>
      </c>
      <c r="D12852" s="7" t="n">
        <v>0</v>
      </c>
      <c r="E12852" s="7" t="n">
        <v>0</v>
      </c>
      <c r="F12852" s="7" t="n">
        <v>30</v>
      </c>
      <c r="G12852" s="7" t="n">
        <v>291.66</v>
      </c>
    </row>
    <row r="12853" customFormat="false" ht="15" hidden="false" customHeight="false" outlineLevel="0" collapsed="false">
      <c r="A12853" s="7" t="s">
        <v>32</v>
      </c>
      <c r="B12853" s="7" t="s">
        <v>714</v>
      </c>
      <c r="C12853" s="7" t="s">
        <v>1069</v>
      </c>
      <c r="D12853" s="7" t="n">
        <v>0</v>
      </c>
      <c r="E12853" s="7" t="n">
        <v>0</v>
      </c>
      <c r="F12853" s="7" t="n">
        <v>10</v>
      </c>
      <c r="G12853" s="7" t="n">
        <v>114.64</v>
      </c>
    </row>
    <row r="12854" customFormat="false" ht="15" hidden="false" customHeight="false" outlineLevel="0" collapsed="false">
      <c r="A12854" s="7" t="s">
        <v>32</v>
      </c>
      <c r="B12854" s="7" t="s">
        <v>714</v>
      </c>
      <c r="C12854" s="7" t="s">
        <v>1069</v>
      </c>
      <c r="D12854" s="7" t="n">
        <v>36</v>
      </c>
      <c r="E12854" s="7" t="n">
        <v>406.21</v>
      </c>
      <c r="F12854" s="7" t="n">
        <v>0</v>
      </c>
      <c r="G12854" s="7" t="n">
        <v>0</v>
      </c>
    </row>
    <row r="12855" customFormat="false" ht="15" hidden="false" customHeight="false" outlineLevel="0" collapsed="false">
      <c r="A12855" s="7" t="s">
        <v>32</v>
      </c>
      <c r="B12855" s="7" t="s">
        <v>799</v>
      </c>
      <c r="C12855" s="7" t="s">
        <v>1069</v>
      </c>
      <c r="D12855" s="7" t="n">
        <v>0</v>
      </c>
      <c r="E12855" s="7" t="n">
        <v>0</v>
      </c>
      <c r="F12855" s="7" t="n">
        <v>10</v>
      </c>
      <c r="G12855" s="7" t="n">
        <v>97.22</v>
      </c>
    </row>
    <row r="12856" customFormat="false" ht="15" hidden="false" customHeight="false" outlineLevel="0" collapsed="false">
      <c r="A12856" s="7" t="s">
        <v>32</v>
      </c>
      <c r="B12856" s="7" t="s">
        <v>799</v>
      </c>
      <c r="C12856" s="7" t="s">
        <v>1069</v>
      </c>
      <c r="D12856" s="7" t="n">
        <v>10</v>
      </c>
      <c r="E12856" s="7" t="n">
        <v>101.43</v>
      </c>
      <c r="F12856" s="7" t="n">
        <v>0</v>
      </c>
      <c r="G12856" s="7" t="n">
        <v>0</v>
      </c>
    </row>
    <row r="12857" customFormat="false" ht="15" hidden="false" customHeight="false" outlineLevel="0" collapsed="false">
      <c r="A12857" s="7" t="s">
        <v>32</v>
      </c>
      <c r="B12857" s="7" t="s">
        <v>799</v>
      </c>
      <c r="C12857" s="7" t="s">
        <v>1069</v>
      </c>
      <c r="D12857" s="7" t="n">
        <v>24</v>
      </c>
      <c r="E12857" s="7" t="n">
        <v>270.81</v>
      </c>
      <c r="F12857" s="7" t="n">
        <v>0</v>
      </c>
      <c r="G12857" s="7" t="n">
        <v>0</v>
      </c>
    </row>
    <row r="12858" customFormat="false" ht="15" hidden="false" customHeight="false" outlineLevel="0" collapsed="false">
      <c r="A12858" s="7" t="s">
        <v>32</v>
      </c>
      <c r="B12858" s="7" t="s">
        <v>775</v>
      </c>
      <c r="C12858" s="7" t="s">
        <v>1069</v>
      </c>
      <c r="D12858" s="7" t="n">
        <v>24</v>
      </c>
      <c r="E12858" s="7" t="n">
        <v>270.81</v>
      </c>
      <c r="F12858" s="7" t="n">
        <v>0</v>
      </c>
      <c r="G12858" s="7" t="n">
        <v>0</v>
      </c>
    </row>
    <row r="12859" customFormat="false" ht="15" hidden="false" customHeight="false" outlineLevel="0" collapsed="false">
      <c r="A12859" s="7" t="s">
        <v>32</v>
      </c>
      <c r="B12859" s="7" t="s">
        <v>775</v>
      </c>
      <c r="C12859" s="7" t="s">
        <v>1069</v>
      </c>
      <c r="D12859" s="7" t="n">
        <v>0</v>
      </c>
      <c r="E12859" s="7" t="n">
        <v>0</v>
      </c>
      <c r="F12859" s="7" t="n">
        <v>5</v>
      </c>
      <c r="G12859" s="7" t="n">
        <v>48.61</v>
      </c>
    </row>
    <row r="12860" customFormat="false" ht="15" hidden="false" customHeight="false" outlineLevel="0" collapsed="false">
      <c r="A12860" s="7" t="s">
        <v>32</v>
      </c>
      <c r="B12860" s="7" t="s">
        <v>437</v>
      </c>
      <c r="C12860" s="7" t="s">
        <v>1268</v>
      </c>
      <c r="D12860" s="7" t="n">
        <v>48</v>
      </c>
      <c r="E12860" s="7" t="n">
        <v>1971.5</v>
      </c>
      <c r="F12860" s="7" t="n">
        <v>0</v>
      </c>
      <c r="G12860" s="7" t="n">
        <v>0</v>
      </c>
    </row>
    <row r="12861" customFormat="false" ht="15" hidden="false" customHeight="false" outlineLevel="0" collapsed="false">
      <c r="A12861" s="7" t="s">
        <v>32</v>
      </c>
      <c r="B12861" s="7" t="s">
        <v>437</v>
      </c>
      <c r="C12861" s="7" t="s">
        <v>1268</v>
      </c>
      <c r="D12861" s="7" t="n">
        <v>15</v>
      </c>
      <c r="E12861" s="7" t="n">
        <v>553.78</v>
      </c>
      <c r="F12861" s="7" t="n">
        <v>0</v>
      </c>
      <c r="G12861" s="7" t="n">
        <v>0</v>
      </c>
    </row>
    <row r="12862" customFormat="false" ht="15" hidden="false" customHeight="false" outlineLevel="0" collapsed="false">
      <c r="A12862" s="7" t="s">
        <v>32</v>
      </c>
      <c r="B12862" s="7" t="s">
        <v>437</v>
      </c>
      <c r="C12862" s="7" t="s">
        <v>1268</v>
      </c>
      <c r="D12862" s="7" t="n">
        <v>0</v>
      </c>
      <c r="E12862" s="7" t="n">
        <v>0</v>
      </c>
      <c r="F12862" s="7" t="n">
        <v>40</v>
      </c>
      <c r="G12862" s="7" t="n">
        <v>1669.12</v>
      </c>
    </row>
    <row r="12863" customFormat="false" ht="15" hidden="false" customHeight="false" outlineLevel="0" collapsed="false">
      <c r="A12863" s="7" t="s">
        <v>32</v>
      </c>
      <c r="B12863" s="7" t="s">
        <v>437</v>
      </c>
      <c r="C12863" s="7" t="s">
        <v>1268</v>
      </c>
      <c r="D12863" s="7" t="n">
        <v>0</v>
      </c>
      <c r="E12863" s="7" t="n">
        <v>0</v>
      </c>
      <c r="F12863" s="7" t="n">
        <v>90</v>
      </c>
      <c r="G12863" s="7" t="n">
        <v>3184.89</v>
      </c>
    </row>
    <row r="12864" customFormat="false" ht="15" hidden="false" customHeight="false" outlineLevel="0" collapsed="false">
      <c r="A12864" s="7" t="s">
        <v>32</v>
      </c>
      <c r="B12864" s="7" t="s">
        <v>300</v>
      </c>
      <c r="C12864" s="7" t="s">
        <v>1182</v>
      </c>
      <c r="D12864" s="7" t="n">
        <v>0</v>
      </c>
      <c r="E12864" s="7" t="n">
        <v>0</v>
      </c>
      <c r="F12864" s="7" t="n">
        <v>5</v>
      </c>
      <c r="G12864" s="7" t="n">
        <v>181.89</v>
      </c>
    </row>
    <row r="12865" customFormat="false" ht="15" hidden="false" customHeight="false" outlineLevel="0" collapsed="false">
      <c r="A12865" s="7" t="s">
        <v>32</v>
      </c>
      <c r="B12865" s="7" t="s">
        <v>300</v>
      </c>
      <c r="C12865" s="7" t="s">
        <v>1182</v>
      </c>
      <c r="D12865" s="7" t="n">
        <v>50</v>
      </c>
      <c r="E12865" s="7" t="n">
        <v>1609.3</v>
      </c>
      <c r="F12865" s="7" t="n">
        <v>0</v>
      </c>
      <c r="G12865" s="7" t="n">
        <v>0</v>
      </c>
    </row>
    <row r="12866" customFormat="false" ht="15" hidden="false" customHeight="false" outlineLevel="0" collapsed="false">
      <c r="A12866" s="7" t="s">
        <v>32</v>
      </c>
      <c r="B12866" s="7" t="s">
        <v>300</v>
      </c>
      <c r="C12866" s="7" t="s">
        <v>1182</v>
      </c>
      <c r="D12866" s="7" t="n">
        <v>0</v>
      </c>
      <c r="E12866" s="7" t="n">
        <v>0</v>
      </c>
      <c r="F12866" s="7" t="n">
        <v>30</v>
      </c>
      <c r="G12866" s="7" t="n">
        <v>925.52</v>
      </c>
    </row>
    <row r="12867" customFormat="false" ht="15" hidden="false" customHeight="false" outlineLevel="0" collapsed="false">
      <c r="A12867" s="7" t="s">
        <v>32</v>
      </c>
      <c r="B12867" s="7" t="s">
        <v>582</v>
      </c>
      <c r="C12867" s="7" t="s">
        <v>1269</v>
      </c>
      <c r="D12867" s="7" t="n">
        <v>0</v>
      </c>
      <c r="E12867" s="7" t="n">
        <v>0</v>
      </c>
      <c r="F12867" s="7" t="n">
        <v>500</v>
      </c>
      <c r="G12867" s="7" t="n">
        <v>7871.78</v>
      </c>
    </row>
    <row r="12868" customFormat="false" ht="15" hidden="false" customHeight="false" outlineLevel="0" collapsed="false">
      <c r="A12868" s="7" t="s">
        <v>32</v>
      </c>
      <c r="B12868" s="7" t="s">
        <v>582</v>
      </c>
      <c r="C12868" s="7" t="s">
        <v>1269</v>
      </c>
      <c r="D12868" s="7" t="n">
        <v>840</v>
      </c>
      <c r="E12868" s="7" t="n">
        <v>13016.93</v>
      </c>
      <c r="F12868" s="7" t="n">
        <v>0</v>
      </c>
      <c r="G12868" s="7" t="n">
        <v>0</v>
      </c>
    </row>
    <row r="12869" customFormat="false" ht="15" hidden="false" customHeight="false" outlineLevel="0" collapsed="false">
      <c r="A12869" s="7" t="s">
        <v>32</v>
      </c>
      <c r="B12869" s="7" t="s">
        <v>582</v>
      </c>
      <c r="C12869" s="7" t="s">
        <v>1269</v>
      </c>
      <c r="D12869" s="7" t="n">
        <v>0</v>
      </c>
      <c r="E12869" s="7" t="n">
        <v>0</v>
      </c>
      <c r="F12869" s="7" t="n">
        <v>500</v>
      </c>
      <c r="G12869" s="7" t="n">
        <v>6675.69</v>
      </c>
    </row>
    <row r="12870" customFormat="false" ht="15" hidden="false" customHeight="false" outlineLevel="0" collapsed="false">
      <c r="A12870" s="7" t="s">
        <v>32</v>
      </c>
      <c r="B12870" s="7" t="s">
        <v>582</v>
      </c>
      <c r="C12870" s="7" t="s">
        <v>1269</v>
      </c>
      <c r="D12870" s="7" t="n">
        <v>250</v>
      </c>
      <c r="E12870" s="7" t="n">
        <v>3482.31</v>
      </c>
      <c r="F12870" s="7" t="n">
        <v>0</v>
      </c>
      <c r="G12870" s="7" t="n">
        <v>0</v>
      </c>
    </row>
    <row r="12871" customFormat="false" ht="15" hidden="false" customHeight="false" outlineLevel="0" collapsed="false">
      <c r="A12871" s="7" t="s">
        <v>32</v>
      </c>
      <c r="B12871" s="7" t="s">
        <v>156</v>
      </c>
      <c r="C12871" s="7" t="s">
        <v>1270</v>
      </c>
      <c r="D12871" s="7" t="n">
        <v>10</v>
      </c>
      <c r="E12871" s="7" t="n">
        <v>167.69</v>
      </c>
      <c r="F12871" s="7" t="n">
        <v>0</v>
      </c>
      <c r="G12871" s="7" t="n">
        <v>0</v>
      </c>
    </row>
    <row r="12872" customFormat="false" ht="15" hidden="false" customHeight="false" outlineLevel="0" collapsed="false">
      <c r="A12872" s="7" t="s">
        <v>32</v>
      </c>
      <c r="B12872" s="7" t="s">
        <v>253</v>
      </c>
      <c r="C12872" s="7" t="s">
        <v>1142</v>
      </c>
      <c r="D12872" s="7" t="n">
        <v>180</v>
      </c>
      <c r="E12872" s="7" t="n">
        <v>2502.39</v>
      </c>
      <c r="F12872" s="7" t="n">
        <v>0</v>
      </c>
      <c r="G12872" s="7" t="n">
        <v>0</v>
      </c>
    </row>
    <row r="12873" customFormat="false" ht="15" hidden="false" customHeight="false" outlineLevel="0" collapsed="false">
      <c r="A12873" s="7" t="s">
        <v>32</v>
      </c>
      <c r="B12873" s="7" t="s">
        <v>253</v>
      </c>
      <c r="C12873" s="7" t="s">
        <v>1142</v>
      </c>
      <c r="D12873" s="7" t="n">
        <v>0</v>
      </c>
      <c r="E12873" s="7" t="n">
        <v>0</v>
      </c>
      <c r="F12873" s="7" t="n">
        <v>130</v>
      </c>
      <c r="G12873" s="7" t="n">
        <v>1732.31</v>
      </c>
    </row>
    <row r="12874" customFormat="false" ht="15" hidden="false" customHeight="false" outlineLevel="0" collapsed="false">
      <c r="A12874" s="7" t="s">
        <v>32</v>
      </c>
      <c r="B12874" s="7" t="s">
        <v>253</v>
      </c>
      <c r="C12874" s="7" t="s">
        <v>1142</v>
      </c>
      <c r="D12874" s="7" t="n">
        <v>0</v>
      </c>
      <c r="E12874" s="7" t="n">
        <v>0</v>
      </c>
      <c r="F12874" s="7" t="n">
        <v>120</v>
      </c>
      <c r="G12874" s="7" t="n">
        <v>1885.56</v>
      </c>
    </row>
    <row r="12875" customFormat="false" ht="15" hidden="false" customHeight="false" outlineLevel="0" collapsed="false">
      <c r="A12875" s="7" t="s">
        <v>32</v>
      </c>
      <c r="B12875" s="7" t="s">
        <v>441</v>
      </c>
      <c r="C12875" s="7" t="s">
        <v>1185</v>
      </c>
      <c r="D12875" s="7" t="n">
        <v>0</v>
      </c>
      <c r="E12875" s="7" t="n">
        <v>0</v>
      </c>
      <c r="F12875" s="7" t="n">
        <v>50</v>
      </c>
      <c r="G12875" s="7" t="n">
        <v>823.12</v>
      </c>
    </row>
    <row r="12876" customFormat="false" ht="15" hidden="false" customHeight="false" outlineLevel="0" collapsed="false">
      <c r="A12876" s="7" t="s">
        <v>32</v>
      </c>
      <c r="B12876" s="7" t="s">
        <v>441</v>
      </c>
      <c r="C12876" s="7" t="s">
        <v>1185</v>
      </c>
      <c r="D12876" s="7" t="n">
        <v>144</v>
      </c>
      <c r="E12876" s="7" t="n">
        <v>2751.43</v>
      </c>
      <c r="F12876" s="7" t="n">
        <v>0</v>
      </c>
      <c r="G12876" s="7" t="n">
        <v>0</v>
      </c>
    </row>
    <row r="12877" customFormat="false" ht="15" hidden="false" customHeight="false" outlineLevel="0" collapsed="false">
      <c r="A12877" s="7" t="s">
        <v>32</v>
      </c>
      <c r="B12877" s="7" t="s">
        <v>311</v>
      </c>
      <c r="C12877" s="7" t="s">
        <v>1272</v>
      </c>
      <c r="D12877" s="7" t="n">
        <v>180</v>
      </c>
      <c r="E12877" s="7" t="n">
        <v>7254</v>
      </c>
      <c r="F12877" s="7" t="n">
        <v>0</v>
      </c>
      <c r="G12877" s="7" t="n">
        <v>0</v>
      </c>
    </row>
    <row r="12878" customFormat="false" ht="15" hidden="false" customHeight="false" outlineLevel="0" collapsed="false">
      <c r="A12878" s="7" t="s">
        <v>32</v>
      </c>
      <c r="B12878" s="7" t="s">
        <v>311</v>
      </c>
      <c r="C12878" s="7" t="s">
        <v>1272</v>
      </c>
      <c r="D12878" s="7" t="n">
        <v>0</v>
      </c>
      <c r="E12878" s="7" t="n">
        <v>0</v>
      </c>
      <c r="F12878" s="7" t="n">
        <v>240</v>
      </c>
      <c r="G12878" s="7" t="n">
        <v>10931.83</v>
      </c>
    </row>
    <row r="12879" customFormat="false" ht="15" hidden="false" customHeight="false" outlineLevel="0" collapsed="false">
      <c r="A12879" s="7" t="s">
        <v>32</v>
      </c>
      <c r="B12879" s="7" t="s">
        <v>311</v>
      </c>
      <c r="C12879" s="7" t="s">
        <v>1272</v>
      </c>
      <c r="D12879" s="7" t="n">
        <v>300</v>
      </c>
      <c r="E12879" s="7" t="n">
        <v>13450.23</v>
      </c>
      <c r="F12879" s="7" t="n">
        <v>0</v>
      </c>
      <c r="G12879" s="7" t="n">
        <v>0</v>
      </c>
    </row>
    <row r="12880" customFormat="false" ht="15" hidden="false" customHeight="false" outlineLevel="0" collapsed="false">
      <c r="A12880" s="7" t="s">
        <v>32</v>
      </c>
      <c r="B12880" s="7" t="s">
        <v>311</v>
      </c>
      <c r="C12880" s="7" t="s">
        <v>1272</v>
      </c>
      <c r="D12880" s="7" t="n">
        <v>0</v>
      </c>
      <c r="E12880" s="7" t="n">
        <v>0</v>
      </c>
      <c r="F12880" s="7" t="n">
        <v>410</v>
      </c>
      <c r="G12880" s="7" t="n">
        <v>15837.58</v>
      </c>
    </row>
    <row r="12881" customFormat="false" ht="15" hidden="false" customHeight="false" outlineLevel="0" collapsed="false">
      <c r="A12881" s="7" t="s">
        <v>32</v>
      </c>
      <c r="B12881" s="7" t="s">
        <v>135</v>
      </c>
      <c r="C12881" s="7" t="s">
        <v>1273</v>
      </c>
      <c r="D12881" s="7" t="n">
        <v>0</v>
      </c>
      <c r="E12881" s="7" t="n">
        <v>0</v>
      </c>
      <c r="F12881" s="7" t="n">
        <v>30</v>
      </c>
      <c r="G12881" s="7" t="n">
        <v>1063.84</v>
      </c>
    </row>
    <row r="12882" customFormat="false" ht="15" hidden="false" customHeight="false" outlineLevel="0" collapsed="false">
      <c r="A12882" s="7" t="s">
        <v>32</v>
      </c>
      <c r="B12882" s="7" t="s">
        <v>135</v>
      </c>
      <c r="C12882" s="7" t="s">
        <v>1273</v>
      </c>
      <c r="D12882" s="7" t="n">
        <v>0</v>
      </c>
      <c r="E12882" s="7" t="n">
        <v>0</v>
      </c>
      <c r="F12882" s="7" t="n">
        <v>25</v>
      </c>
      <c r="G12882" s="7" t="n">
        <v>751.83</v>
      </c>
    </row>
    <row r="12883" customFormat="false" ht="15" hidden="false" customHeight="false" outlineLevel="0" collapsed="false">
      <c r="A12883" s="7" t="s">
        <v>32</v>
      </c>
      <c r="B12883" s="7" t="s">
        <v>135</v>
      </c>
      <c r="C12883" s="7" t="s">
        <v>1273</v>
      </c>
      <c r="D12883" s="7" t="n">
        <v>55</v>
      </c>
      <c r="E12883" s="7" t="n">
        <v>1725.6</v>
      </c>
      <c r="F12883" s="7" t="n">
        <v>0</v>
      </c>
      <c r="G12883" s="7" t="n">
        <v>0</v>
      </c>
    </row>
    <row r="12884" customFormat="false" ht="15" hidden="false" customHeight="false" outlineLevel="0" collapsed="false">
      <c r="A12884" s="7" t="s">
        <v>32</v>
      </c>
      <c r="B12884" s="7" t="s">
        <v>404</v>
      </c>
      <c r="C12884" s="7" t="s">
        <v>1249</v>
      </c>
      <c r="D12884" s="7" t="n">
        <v>12</v>
      </c>
      <c r="E12884" s="7" t="n">
        <v>391.77</v>
      </c>
      <c r="F12884" s="7" t="n">
        <v>0</v>
      </c>
      <c r="G12884" s="7" t="n">
        <v>0</v>
      </c>
    </row>
    <row r="12885" customFormat="false" ht="15" hidden="false" customHeight="false" outlineLevel="0" collapsed="false">
      <c r="A12885" s="7" t="s">
        <v>32</v>
      </c>
      <c r="B12885" s="7" t="s">
        <v>245</v>
      </c>
      <c r="C12885" s="7" t="s">
        <v>1161</v>
      </c>
      <c r="D12885" s="7" t="n">
        <v>180</v>
      </c>
      <c r="E12885" s="7" t="n">
        <v>2628.96</v>
      </c>
      <c r="F12885" s="7" t="n">
        <v>0</v>
      </c>
      <c r="G12885" s="7" t="n">
        <v>0</v>
      </c>
    </row>
    <row r="12886" customFormat="false" ht="15" hidden="false" customHeight="false" outlineLevel="0" collapsed="false">
      <c r="A12886" s="7" t="s">
        <v>32</v>
      </c>
      <c r="B12886" s="7" t="s">
        <v>245</v>
      </c>
      <c r="C12886" s="7" t="s">
        <v>1161</v>
      </c>
      <c r="D12886" s="7" t="n">
        <v>0</v>
      </c>
      <c r="E12886" s="7" t="n">
        <v>0</v>
      </c>
      <c r="F12886" s="7" t="n">
        <v>150</v>
      </c>
      <c r="G12886" s="7" t="n">
        <v>2099.93</v>
      </c>
    </row>
    <row r="12887" customFormat="false" ht="15" hidden="false" customHeight="false" outlineLevel="0" collapsed="false">
      <c r="A12887" s="7" t="s">
        <v>32</v>
      </c>
      <c r="B12887" s="7" t="s">
        <v>245</v>
      </c>
      <c r="C12887" s="7" t="s">
        <v>1161</v>
      </c>
      <c r="D12887" s="7" t="n">
        <v>0</v>
      </c>
      <c r="E12887" s="7" t="n">
        <v>0</v>
      </c>
      <c r="F12887" s="7" t="n">
        <v>30</v>
      </c>
      <c r="G12887" s="7" t="n">
        <v>495.23</v>
      </c>
    </row>
    <row r="12888" customFormat="false" ht="15" hidden="false" customHeight="false" outlineLevel="0" collapsed="false">
      <c r="A12888" s="7" t="s">
        <v>32</v>
      </c>
      <c r="B12888" s="7" t="s">
        <v>237</v>
      </c>
      <c r="C12888" s="7" t="s">
        <v>1069</v>
      </c>
      <c r="D12888" s="7" t="n">
        <v>0</v>
      </c>
      <c r="E12888" s="7" t="n">
        <v>0</v>
      </c>
      <c r="F12888" s="7" t="n">
        <v>50</v>
      </c>
      <c r="G12888" s="7" t="n">
        <v>871.25</v>
      </c>
    </row>
    <row r="12889" customFormat="false" ht="15" hidden="false" customHeight="false" outlineLevel="0" collapsed="false">
      <c r="A12889" s="7" t="s">
        <v>32</v>
      </c>
      <c r="B12889" s="7" t="s">
        <v>237</v>
      </c>
      <c r="C12889" s="7" t="s">
        <v>1069</v>
      </c>
      <c r="D12889" s="7" t="n">
        <v>40</v>
      </c>
      <c r="E12889" s="7" t="n">
        <v>616.67</v>
      </c>
      <c r="F12889" s="7" t="n">
        <v>0</v>
      </c>
      <c r="G12889" s="7" t="n">
        <v>0</v>
      </c>
    </row>
    <row r="12890" customFormat="false" ht="15" hidden="false" customHeight="false" outlineLevel="0" collapsed="false">
      <c r="A12890" s="7" t="s">
        <v>32</v>
      </c>
      <c r="B12890" s="7" t="s">
        <v>237</v>
      </c>
      <c r="C12890" s="7" t="s">
        <v>1069</v>
      </c>
      <c r="D12890" s="7" t="n">
        <v>0</v>
      </c>
      <c r="E12890" s="7" t="n">
        <v>0</v>
      </c>
      <c r="F12890" s="7" t="n">
        <v>110</v>
      </c>
      <c r="G12890" s="7" t="n">
        <v>1625.5</v>
      </c>
    </row>
    <row r="12891" customFormat="false" ht="15" hidden="false" customHeight="false" outlineLevel="0" collapsed="false">
      <c r="A12891" s="7" t="s">
        <v>32</v>
      </c>
      <c r="B12891" s="7" t="s">
        <v>237</v>
      </c>
      <c r="C12891" s="7" t="s">
        <v>1069</v>
      </c>
      <c r="D12891" s="7" t="n">
        <v>120</v>
      </c>
      <c r="E12891" s="7" t="n">
        <v>2058.16</v>
      </c>
      <c r="F12891" s="7" t="n">
        <v>0</v>
      </c>
      <c r="G12891" s="7" t="n">
        <v>0</v>
      </c>
    </row>
    <row r="12892" customFormat="false" ht="15" hidden="false" customHeight="false" outlineLevel="0" collapsed="false">
      <c r="A12892" s="7" t="s">
        <v>32</v>
      </c>
      <c r="B12892" s="7" t="s">
        <v>320</v>
      </c>
      <c r="C12892" s="7" t="s">
        <v>1070</v>
      </c>
      <c r="D12892" s="7" t="n">
        <v>0</v>
      </c>
      <c r="E12892" s="7" t="n">
        <v>0</v>
      </c>
      <c r="F12892" s="7" t="n">
        <v>-30</v>
      </c>
      <c r="G12892" s="7" t="n">
        <v>-278.86</v>
      </c>
    </row>
    <row r="12893" customFormat="false" ht="15" hidden="false" customHeight="false" outlineLevel="0" collapsed="false">
      <c r="A12893" s="7" t="s">
        <v>32</v>
      </c>
      <c r="B12893" s="7" t="s">
        <v>320</v>
      </c>
      <c r="C12893" s="7" t="s">
        <v>1070</v>
      </c>
      <c r="D12893" s="7" t="n">
        <v>30</v>
      </c>
      <c r="E12893" s="7" t="n">
        <v>281.61</v>
      </c>
      <c r="F12893" s="7" t="n">
        <v>0</v>
      </c>
      <c r="G12893" s="7" t="n">
        <v>0</v>
      </c>
    </row>
    <row r="12894" customFormat="false" ht="15" hidden="false" customHeight="false" outlineLevel="0" collapsed="false">
      <c r="A12894" s="7" t="s">
        <v>32</v>
      </c>
      <c r="B12894" s="7" t="s">
        <v>320</v>
      </c>
      <c r="C12894" s="7" t="s">
        <v>1070</v>
      </c>
      <c r="D12894" s="7" t="n">
        <v>1</v>
      </c>
      <c r="E12894" s="7" t="n">
        <v>0.03</v>
      </c>
      <c r="F12894" s="7" t="n">
        <v>0</v>
      </c>
      <c r="G12894" s="7" t="n">
        <v>0</v>
      </c>
    </row>
    <row r="12895" customFormat="false" ht="15" hidden="false" customHeight="false" outlineLevel="0" collapsed="false">
      <c r="A12895" s="7" t="s">
        <v>32</v>
      </c>
      <c r="B12895" s="7" t="s">
        <v>190</v>
      </c>
      <c r="C12895" s="7" t="s">
        <v>1071</v>
      </c>
      <c r="D12895" s="7" t="n">
        <v>0</v>
      </c>
      <c r="E12895" s="7" t="n">
        <v>0</v>
      </c>
      <c r="F12895" s="7" t="n">
        <v>-30</v>
      </c>
      <c r="G12895" s="7" t="n">
        <v>-307.22</v>
      </c>
    </row>
    <row r="12896" customFormat="false" ht="15" hidden="false" customHeight="false" outlineLevel="0" collapsed="false">
      <c r="A12896" s="7" t="s">
        <v>32</v>
      </c>
      <c r="B12896" s="7" t="s">
        <v>190</v>
      </c>
      <c r="C12896" s="7" t="s">
        <v>1071</v>
      </c>
      <c r="D12896" s="7" t="n">
        <v>30</v>
      </c>
      <c r="E12896" s="7" t="n">
        <v>310.25</v>
      </c>
      <c r="F12896" s="7" t="n">
        <v>0</v>
      </c>
      <c r="G12896" s="7" t="n">
        <v>0</v>
      </c>
    </row>
    <row r="12897" customFormat="false" ht="15" hidden="false" customHeight="false" outlineLevel="0" collapsed="false">
      <c r="A12897" s="7" t="s">
        <v>32</v>
      </c>
      <c r="B12897" s="7" t="s">
        <v>964</v>
      </c>
      <c r="C12897" s="7" t="s">
        <v>1333</v>
      </c>
      <c r="D12897" s="7" t="n">
        <v>0</v>
      </c>
      <c r="E12897" s="7" t="n">
        <v>0</v>
      </c>
      <c r="F12897" s="7" t="n">
        <v>1</v>
      </c>
      <c r="G12897" s="7" t="n">
        <v>0.03</v>
      </c>
    </row>
    <row r="12898" customFormat="false" ht="15" hidden="false" customHeight="false" outlineLevel="0" collapsed="false">
      <c r="A12898" s="7" t="s">
        <v>32</v>
      </c>
      <c r="B12898" s="7" t="s">
        <v>132</v>
      </c>
      <c r="C12898" s="7" t="s">
        <v>1130</v>
      </c>
      <c r="D12898" s="7" t="n">
        <v>3</v>
      </c>
      <c r="E12898" s="7" t="n">
        <v>255.83</v>
      </c>
      <c r="F12898" s="7" t="n">
        <v>0</v>
      </c>
      <c r="G12898" s="7" t="n">
        <v>0</v>
      </c>
    </row>
    <row r="12899" customFormat="false" ht="15" hidden="false" customHeight="false" outlineLevel="0" collapsed="false">
      <c r="A12899" s="7" t="s">
        <v>32</v>
      </c>
      <c r="B12899" s="7" t="s">
        <v>122</v>
      </c>
      <c r="C12899" s="7" t="s">
        <v>1130</v>
      </c>
      <c r="D12899" s="7" t="n">
        <v>5</v>
      </c>
      <c r="E12899" s="7" t="n">
        <v>426.39</v>
      </c>
      <c r="F12899" s="7" t="n">
        <v>0</v>
      </c>
      <c r="G12899" s="7" t="n">
        <v>0</v>
      </c>
    </row>
    <row r="12900" customFormat="false" ht="15" hidden="false" customHeight="false" outlineLevel="0" collapsed="false">
      <c r="A12900" s="7" t="s">
        <v>32</v>
      </c>
      <c r="B12900" s="7" t="s">
        <v>128</v>
      </c>
      <c r="C12900" s="7" t="s">
        <v>1130</v>
      </c>
      <c r="D12900" s="7" t="n">
        <v>5</v>
      </c>
      <c r="E12900" s="7" t="n">
        <v>426.39</v>
      </c>
      <c r="F12900" s="7" t="n">
        <v>0</v>
      </c>
      <c r="G12900" s="7" t="n">
        <v>0</v>
      </c>
    </row>
    <row r="12901" customFormat="false" ht="15" hidden="false" customHeight="false" outlineLevel="0" collapsed="false">
      <c r="A12901" s="7" t="s">
        <v>32</v>
      </c>
      <c r="B12901" s="7" t="s">
        <v>152</v>
      </c>
      <c r="C12901" s="7" t="s">
        <v>1130</v>
      </c>
      <c r="D12901" s="7" t="n">
        <v>5</v>
      </c>
      <c r="E12901" s="7" t="n">
        <v>426.39</v>
      </c>
      <c r="F12901" s="7" t="n">
        <v>0</v>
      </c>
      <c r="G12901" s="7" t="n">
        <v>0</v>
      </c>
    </row>
    <row r="12902" customFormat="false" ht="15" hidden="false" customHeight="false" outlineLevel="0" collapsed="false">
      <c r="A12902" s="7" t="s">
        <v>32</v>
      </c>
      <c r="B12902" s="7" t="s">
        <v>252</v>
      </c>
      <c r="C12902" s="7" t="s">
        <v>1130</v>
      </c>
      <c r="D12902" s="7" t="n">
        <v>5</v>
      </c>
      <c r="E12902" s="7" t="n">
        <v>426.39</v>
      </c>
      <c r="F12902" s="7" t="n">
        <v>0</v>
      </c>
      <c r="G12902" s="7" t="n">
        <v>0</v>
      </c>
    </row>
    <row r="12903" customFormat="false" ht="15" hidden="false" customHeight="false" outlineLevel="0" collapsed="false">
      <c r="A12903" s="7" t="s">
        <v>32</v>
      </c>
      <c r="B12903" s="7" t="s">
        <v>967</v>
      </c>
      <c r="C12903" s="7" t="s">
        <v>1334</v>
      </c>
      <c r="D12903" s="7" t="n">
        <v>0</v>
      </c>
      <c r="E12903" s="7" t="n">
        <v>0</v>
      </c>
      <c r="F12903" s="7" t="n">
        <v>1</v>
      </c>
      <c r="G12903" s="7" t="n">
        <v>0.03</v>
      </c>
    </row>
    <row r="12904" customFormat="false" ht="15" hidden="false" customHeight="false" outlineLevel="0" collapsed="false">
      <c r="A12904" s="7" t="s">
        <v>32</v>
      </c>
      <c r="B12904" s="7" t="s">
        <v>954</v>
      </c>
      <c r="C12904" s="7" t="s">
        <v>1335</v>
      </c>
      <c r="D12904" s="7" t="n">
        <v>30</v>
      </c>
      <c r="E12904" s="7" t="n">
        <v>1557.91</v>
      </c>
      <c r="F12904" s="7" t="n">
        <v>0</v>
      </c>
      <c r="G12904" s="7" t="n">
        <v>0</v>
      </c>
    </row>
    <row r="12905" customFormat="false" ht="15" hidden="false" customHeight="false" outlineLevel="0" collapsed="false">
      <c r="A12905" s="7" t="s">
        <v>32</v>
      </c>
      <c r="B12905" s="7" t="s">
        <v>305</v>
      </c>
      <c r="C12905" s="7" t="s">
        <v>1182</v>
      </c>
      <c r="D12905" s="7" t="n">
        <v>0</v>
      </c>
      <c r="E12905" s="7" t="n">
        <v>0</v>
      </c>
      <c r="F12905" s="7" t="n">
        <v>380</v>
      </c>
      <c r="G12905" s="7" t="n">
        <v>8570.81</v>
      </c>
    </row>
    <row r="12906" customFormat="false" ht="15" hidden="false" customHeight="false" outlineLevel="0" collapsed="false">
      <c r="A12906" s="7" t="s">
        <v>32</v>
      </c>
      <c r="B12906" s="7" t="s">
        <v>305</v>
      </c>
      <c r="C12906" s="7" t="s">
        <v>1182</v>
      </c>
      <c r="D12906" s="7" t="n">
        <v>0</v>
      </c>
      <c r="E12906" s="7" t="n">
        <v>0</v>
      </c>
      <c r="F12906" s="7" t="n">
        <v>250</v>
      </c>
      <c r="G12906" s="7" t="n">
        <v>19714.59</v>
      </c>
    </row>
    <row r="12907" customFormat="false" ht="15" hidden="false" customHeight="false" outlineLevel="0" collapsed="false">
      <c r="A12907" s="7" t="s">
        <v>32</v>
      </c>
      <c r="B12907" s="7" t="s">
        <v>176</v>
      </c>
      <c r="C12907" s="7" t="s">
        <v>1183</v>
      </c>
      <c r="D12907" s="7" t="n">
        <v>0</v>
      </c>
      <c r="E12907" s="7" t="n">
        <v>0</v>
      </c>
      <c r="F12907" s="7" t="n">
        <v>2000</v>
      </c>
      <c r="G12907" s="7" t="n">
        <v>27818.7</v>
      </c>
    </row>
    <row r="12908" customFormat="false" ht="15" hidden="false" customHeight="false" outlineLevel="0" collapsed="false">
      <c r="A12908" s="7" t="s">
        <v>32</v>
      </c>
      <c r="B12908" s="7" t="s">
        <v>176</v>
      </c>
      <c r="C12908" s="7" t="s">
        <v>1183</v>
      </c>
      <c r="D12908" s="7" t="n">
        <v>0</v>
      </c>
      <c r="E12908" s="7" t="n">
        <v>0</v>
      </c>
      <c r="F12908" s="7" t="n">
        <v>2000</v>
      </c>
      <c r="G12908" s="7" t="n">
        <v>24610.3</v>
      </c>
    </row>
    <row r="12909" customFormat="false" ht="15" hidden="false" customHeight="false" outlineLevel="0" collapsed="false">
      <c r="A12909" s="7" t="s">
        <v>32</v>
      </c>
      <c r="B12909" s="7" t="s">
        <v>176</v>
      </c>
      <c r="C12909" s="7" t="s">
        <v>1183</v>
      </c>
      <c r="D12909" s="7" t="n">
        <v>0</v>
      </c>
      <c r="E12909" s="7" t="n">
        <v>0</v>
      </c>
      <c r="F12909" s="7" t="n">
        <v>3500</v>
      </c>
      <c r="G12909" s="7" t="n">
        <v>46729.81</v>
      </c>
    </row>
    <row r="12910" customFormat="false" ht="15" hidden="false" customHeight="false" outlineLevel="0" collapsed="false">
      <c r="A12910" s="7" t="s">
        <v>32</v>
      </c>
      <c r="B12910" s="7" t="s">
        <v>176</v>
      </c>
      <c r="C12910" s="7" t="s">
        <v>1183</v>
      </c>
      <c r="D12910" s="7" t="n">
        <v>2400</v>
      </c>
      <c r="E12910" s="7" t="n">
        <v>29535.32</v>
      </c>
      <c r="F12910" s="7" t="n">
        <v>0</v>
      </c>
      <c r="G12910" s="7" t="n">
        <v>0</v>
      </c>
    </row>
    <row r="12911" customFormat="false" ht="15" hidden="false" customHeight="false" outlineLevel="0" collapsed="false">
      <c r="A12911" s="7" t="s">
        <v>32</v>
      </c>
      <c r="B12911" s="7" t="s">
        <v>176</v>
      </c>
      <c r="C12911" s="7" t="s">
        <v>1183</v>
      </c>
      <c r="D12911" s="7" t="n">
        <v>0</v>
      </c>
      <c r="E12911" s="7" t="n">
        <v>0</v>
      </c>
      <c r="F12911" s="7" t="n">
        <v>-2000</v>
      </c>
      <c r="G12911" s="7" t="n">
        <v>-21743.08</v>
      </c>
    </row>
    <row r="12912" customFormat="false" ht="15" hidden="false" customHeight="false" outlineLevel="0" collapsed="false">
      <c r="A12912" s="7" t="s">
        <v>32</v>
      </c>
      <c r="B12912" s="7" t="s">
        <v>176</v>
      </c>
      <c r="C12912" s="7" t="s">
        <v>1183</v>
      </c>
      <c r="D12912" s="7" t="n">
        <v>2400</v>
      </c>
      <c r="E12912" s="7" t="n">
        <v>37191.24</v>
      </c>
      <c r="F12912" s="7" t="n">
        <v>0</v>
      </c>
      <c r="G12912" s="7" t="n">
        <v>0</v>
      </c>
    </row>
    <row r="12913" customFormat="false" ht="15" hidden="false" customHeight="false" outlineLevel="0" collapsed="false">
      <c r="A12913" s="7" t="s">
        <v>32</v>
      </c>
      <c r="B12913" s="7" t="s">
        <v>96</v>
      </c>
      <c r="C12913" s="7" t="s">
        <v>1184</v>
      </c>
      <c r="D12913" s="7" t="n">
        <v>5</v>
      </c>
      <c r="E12913" s="7" t="n">
        <v>78.44</v>
      </c>
      <c r="F12913" s="7" t="n">
        <v>0</v>
      </c>
      <c r="G12913" s="7" t="n">
        <v>0</v>
      </c>
    </row>
    <row r="12914" customFormat="false" ht="15" hidden="false" customHeight="false" outlineLevel="0" collapsed="false">
      <c r="A12914" s="7" t="s">
        <v>32</v>
      </c>
      <c r="B12914" s="7" t="s">
        <v>96</v>
      </c>
      <c r="C12914" s="7" t="s">
        <v>1184</v>
      </c>
      <c r="D12914" s="7" t="n">
        <v>0</v>
      </c>
      <c r="E12914" s="7" t="n">
        <v>0</v>
      </c>
      <c r="F12914" s="7" t="n">
        <v>70</v>
      </c>
      <c r="G12914" s="7" t="n">
        <v>1052.56</v>
      </c>
    </row>
    <row r="12915" customFormat="false" ht="15" hidden="false" customHeight="false" outlineLevel="0" collapsed="false">
      <c r="A12915" s="7" t="s">
        <v>32</v>
      </c>
      <c r="B12915" s="7" t="s">
        <v>96</v>
      </c>
      <c r="C12915" s="7" t="s">
        <v>1184</v>
      </c>
      <c r="D12915" s="7" t="n">
        <v>0</v>
      </c>
      <c r="E12915" s="7" t="n">
        <v>0</v>
      </c>
      <c r="F12915" s="7" t="n">
        <v>65</v>
      </c>
      <c r="G12915" s="7" t="n">
        <v>1152.49</v>
      </c>
    </row>
    <row r="12916" customFormat="false" ht="15" hidden="false" customHeight="false" outlineLevel="0" collapsed="false">
      <c r="A12916" s="7" t="s">
        <v>32</v>
      </c>
      <c r="B12916" s="7" t="s">
        <v>213</v>
      </c>
      <c r="C12916" s="7" t="s">
        <v>1184</v>
      </c>
      <c r="D12916" s="7" t="n">
        <v>84</v>
      </c>
      <c r="E12916" s="7" t="n">
        <v>1465.99</v>
      </c>
      <c r="F12916" s="7" t="n">
        <v>0</v>
      </c>
      <c r="G12916" s="7" t="n">
        <v>0</v>
      </c>
    </row>
    <row r="12917" customFormat="false" ht="15" hidden="false" customHeight="false" outlineLevel="0" collapsed="false">
      <c r="A12917" s="7" t="s">
        <v>32</v>
      </c>
      <c r="B12917" s="7" t="s">
        <v>213</v>
      </c>
      <c r="C12917" s="7" t="s">
        <v>1184</v>
      </c>
      <c r="D12917" s="7" t="n">
        <v>0</v>
      </c>
      <c r="E12917" s="7" t="n">
        <v>0</v>
      </c>
      <c r="F12917" s="7" t="n">
        <v>80</v>
      </c>
      <c r="G12917" s="7" t="n">
        <v>1202.92</v>
      </c>
    </row>
    <row r="12918" customFormat="false" ht="15" hidden="false" customHeight="false" outlineLevel="0" collapsed="false">
      <c r="A12918" s="7" t="s">
        <v>32</v>
      </c>
      <c r="B12918" s="7" t="s">
        <v>213</v>
      </c>
      <c r="C12918" s="7" t="s">
        <v>1184</v>
      </c>
      <c r="D12918" s="7" t="n">
        <v>0</v>
      </c>
      <c r="E12918" s="7" t="n">
        <v>0</v>
      </c>
      <c r="F12918" s="7" t="n">
        <v>75</v>
      </c>
      <c r="G12918" s="7" t="n">
        <v>1329.8</v>
      </c>
    </row>
    <row r="12919" customFormat="false" ht="15" hidden="false" customHeight="false" outlineLevel="0" collapsed="false">
      <c r="A12919" s="7" t="s">
        <v>32</v>
      </c>
      <c r="B12919" s="7" t="s">
        <v>213</v>
      </c>
      <c r="C12919" s="7" t="s">
        <v>1184</v>
      </c>
      <c r="D12919" s="7" t="n">
        <v>75</v>
      </c>
      <c r="E12919" s="7" t="n">
        <v>1176.54</v>
      </c>
      <c r="F12919" s="7" t="n">
        <v>0</v>
      </c>
      <c r="G12919" s="7" t="n">
        <v>0</v>
      </c>
    </row>
    <row r="12920" customFormat="false" ht="15" hidden="false" customHeight="false" outlineLevel="0" collapsed="false">
      <c r="A12920" s="7" t="s">
        <v>32</v>
      </c>
      <c r="B12920" s="7" t="s">
        <v>133</v>
      </c>
      <c r="C12920" s="7" t="s">
        <v>1184</v>
      </c>
      <c r="D12920" s="7" t="n">
        <v>0</v>
      </c>
      <c r="E12920" s="7" t="n">
        <v>0</v>
      </c>
      <c r="F12920" s="7" t="n">
        <v>150</v>
      </c>
      <c r="G12920" s="7" t="n">
        <v>2099.93</v>
      </c>
    </row>
    <row r="12921" customFormat="false" ht="15" hidden="false" customHeight="false" outlineLevel="0" collapsed="false">
      <c r="A12921" s="7" t="s">
        <v>32</v>
      </c>
      <c r="B12921" s="7" t="s">
        <v>133</v>
      </c>
      <c r="C12921" s="7" t="s">
        <v>1184</v>
      </c>
      <c r="D12921" s="7" t="n">
        <v>120</v>
      </c>
      <c r="E12921" s="7" t="n">
        <v>1949.83</v>
      </c>
      <c r="F12921" s="7" t="n">
        <v>0</v>
      </c>
      <c r="G12921" s="7" t="n">
        <v>0</v>
      </c>
    </row>
    <row r="12922" customFormat="false" ht="15" hidden="false" customHeight="false" outlineLevel="0" collapsed="false">
      <c r="A12922" s="7" t="s">
        <v>32</v>
      </c>
      <c r="B12922" s="7" t="s">
        <v>133</v>
      </c>
      <c r="C12922" s="7" t="s">
        <v>1184</v>
      </c>
      <c r="D12922" s="7" t="n">
        <v>130</v>
      </c>
      <c r="E12922" s="7" t="n">
        <v>1898.7</v>
      </c>
      <c r="F12922" s="7" t="n">
        <v>0</v>
      </c>
      <c r="G12922" s="7" t="n">
        <v>0</v>
      </c>
    </row>
    <row r="12923" customFormat="false" ht="15" hidden="false" customHeight="false" outlineLevel="0" collapsed="false">
      <c r="A12923" s="7" t="s">
        <v>32</v>
      </c>
      <c r="B12923" s="7" t="s">
        <v>133</v>
      </c>
      <c r="C12923" s="7" t="s">
        <v>1184</v>
      </c>
      <c r="D12923" s="7" t="n">
        <v>0</v>
      </c>
      <c r="E12923" s="7" t="n">
        <v>0</v>
      </c>
      <c r="F12923" s="7" t="n">
        <v>150</v>
      </c>
      <c r="G12923" s="7" t="n">
        <v>2476.17</v>
      </c>
    </row>
    <row r="12924" customFormat="false" ht="15" hidden="false" customHeight="false" outlineLevel="0" collapsed="false">
      <c r="A12924" s="7" t="s">
        <v>32</v>
      </c>
      <c r="B12924" s="7" t="s">
        <v>575</v>
      </c>
      <c r="C12924" s="7" t="s">
        <v>1185</v>
      </c>
      <c r="D12924" s="7" t="n">
        <v>0</v>
      </c>
      <c r="E12924" s="7" t="n">
        <v>0</v>
      </c>
      <c r="F12924" s="7" t="n">
        <v>50</v>
      </c>
      <c r="G12924" s="7" t="n">
        <v>817.75</v>
      </c>
    </row>
    <row r="12925" customFormat="false" ht="15" hidden="false" customHeight="false" outlineLevel="0" collapsed="false">
      <c r="A12925" s="7" t="s">
        <v>32</v>
      </c>
      <c r="B12925" s="7" t="s">
        <v>575</v>
      </c>
      <c r="C12925" s="7" t="s">
        <v>1185</v>
      </c>
      <c r="D12925" s="7" t="n">
        <v>480</v>
      </c>
      <c r="E12925" s="7" t="n">
        <v>7727.11</v>
      </c>
      <c r="F12925" s="7" t="n">
        <v>0</v>
      </c>
      <c r="G12925" s="7" t="n">
        <v>0</v>
      </c>
    </row>
    <row r="12926" customFormat="false" ht="15" hidden="false" customHeight="false" outlineLevel="0" collapsed="false">
      <c r="A12926" s="7" t="s">
        <v>32</v>
      </c>
      <c r="B12926" s="7" t="s">
        <v>575</v>
      </c>
      <c r="C12926" s="7" t="s">
        <v>1185</v>
      </c>
      <c r="D12926" s="7" t="n">
        <v>70</v>
      </c>
      <c r="E12926" s="7" t="n">
        <v>1012.91</v>
      </c>
      <c r="F12926" s="7" t="n">
        <v>0</v>
      </c>
      <c r="G12926" s="7" t="n">
        <v>0</v>
      </c>
    </row>
    <row r="12927" customFormat="false" ht="15" hidden="false" customHeight="false" outlineLevel="0" collapsed="false">
      <c r="A12927" s="7" t="s">
        <v>32</v>
      </c>
      <c r="B12927" s="7" t="s">
        <v>575</v>
      </c>
      <c r="C12927" s="7" t="s">
        <v>1185</v>
      </c>
      <c r="D12927" s="7" t="n">
        <v>0</v>
      </c>
      <c r="E12927" s="7" t="n">
        <v>0</v>
      </c>
      <c r="F12927" s="7" t="n">
        <v>440</v>
      </c>
      <c r="G12927" s="7" t="n">
        <v>6102.75</v>
      </c>
    </row>
    <row r="12928" customFormat="false" ht="15" hidden="false" customHeight="false" outlineLevel="0" collapsed="false">
      <c r="A12928" s="7" t="s">
        <v>32</v>
      </c>
      <c r="B12928" s="7" t="s">
        <v>746</v>
      </c>
      <c r="C12928" s="7" t="s">
        <v>1186</v>
      </c>
      <c r="D12928" s="7" t="n">
        <v>20</v>
      </c>
      <c r="E12928" s="7" t="n">
        <v>586.92</v>
      </c>
      <c r="F12928" s="7" t="n">
        <v>0</v>
      </c>
      <c r="G12928" s="7" t="n">
        <v>0</v>
      </c>
    </row>
    <row r="12929" customFormat="false" ht="15" hidden="false" customHeight="false" outlineLevel="0" collapsed="false">
      <c r="A12929" s="7" t="s">
        <v>32</v>
      </c>
      <c r="B12929" s="7" t="s">
        <v>746</v>
      </c>
      <c r="C12929" s="7" t="s">
        <v>1186</v>
      </c>
      <c r="D12929" s="7" t="n">
        <v>0</v>
      </c>
      <c r="E12929" s="7" t="n">
        <v>0</v>
      </c>
      <c r="F12929" s="7" t="n">
        <v>15</v>
      </c>
      <c r="G12929" s="7" t="n">
        <v>497.53</v>
      </c>
    </row>
    <row r="12930" customFormat="false" ht="15" hidden="false" customHeight="false" outlineLevel="0" collapsed="false">
      <c r="A12930" s="7" t="s">
        <v>32</v>
      </c>
      <c r="B12930" s="7" t="s">
        <v>746</v>
      </c>
      <c r="C12930" s="7" t="s">
        <v>1186</v>
      </c>
      <c r="D12930" s="7" t="n">
        <v>0</v>
      </c>
      <c r="E12930" s="7" t="n">
        <v>0</v>
      </c>
      <c r="F12930" s="7" t="n">
        <v>10</v>
      </c>
      <c r="G12930" s="7" t="n">
        <v>281.29</v>
      </c>
    </row>
    <row r="12931" customFormat="false" ht="15" hidden="false" customHeight="false" outlineLevel="0" collapsed="false">
      <c r="A12931" s="7" t="s">
        <v>32</v>
      </c>
      <c r="B12931" s="7" t="s">
        <v>956</v>
      </c>
      <c r="C12931" s="7" t="s">
        <v>1326</v>
      </c>
      <c r="D12931" s="7" t="n">
        <v>60</v>
      </c>
      <c r="E12931" s="7" t="n">
        <v>4107.28</v>
      </c>
      <c r="F12931" s="7" t="n">
        <v>0</v>
      </c>
      <c r="G12931" s="7" t="n">
        <v>0</v>
      </c>
    </row>
    <row r="12932" customFormat="false" ht="15" hidden="false" customHeight="false" outlineLevel="0" collapsed="false">
      <c r="A12932" s="7" t="s">
        <v>32</v>
      </c>
      <c r="B12932" s="7" t="s">
        <v>956</v>
      </c>
      <c r="C12932" s="7" t="s">
        <v>1326</v>
      </c>
      <c r="D12932" s="7" t="n">
        <v>0</v>
      </c>
      <c r="E12932" s="7" t="n">
        <v>0</v>
      </c>
      <c r="F12932" s="7" t="n">
        <v>30</v>
      </c>
      <c r="G12932" s="7" t="n">
        <v>2086.4</v>
      </c>
    </row>
    <row r="12933" customFormat="false" ht="15" hidden="false" customHeight="false" outlineLevel="0" collapsed="false">
      <c r="A12933" s="7" t="s">
        <v>32</v>
      </c>
      <c r="B12933" s="7" t="s">
        <v>956</v>
      </c>
      <c r="C12933" s="7" t="s">
        <v>1326</v>
      </c>
      <c r="D12933" s="7" t="n">
        <v>0</v>
      </c>
      <c r="E12933" s="7" t="n">
        <v>0</v>
      </c>
      <c r="F12933" s="7" t="n">
        <v>20</v>
      </c>
      <c r="G12933" s="7" t="n">
        <v>1179.59</v>
      </c>
    </row>
    <row r="12934" customFormat="false" ht="15" hidden="false" customHeight="false" outlineLevel="0" collapsed="false">
      <c r="A12934" s="7" t="s">
        <v>32</v>
      </c>
      <c r="B12934" s="7" t="s">
        <v>280</v>
      </c>
      <c r="C12934" s="7" t="s">
        <v>1299</v>
      </c>
      <c r="D12934" s="7" t="n">
        <v>0</v>
      </c>
      <c r="E12934" s="7" t="n">
        <v>0</v>
      </c>
      <c r="F12934" s="7" t="n">
        <v>1800</v>
      </c>
      <c r="G12934" s="7" t="n">
        <v>27765.68</v>
      </c>
    </row>
    <row r="12935" customFormat="false" ht="15" hidden="false" customHeight="false" outlineLevel="0" collapsed="false">
      <c r="A12935" s="7" t="s">
        <v>32</v>
      </c>
      <c r="B12935" s="7" t="s">
        <v>280</v>
      </c>
      <c r="C12935" s="7" t="s">
        <v>1299</v>
      </c>
      <c r="D12935" s="7" t="n">
        <v>1200</v>
      </c>
      <c r="E12935" s="7" t="n">
        <v>21484.26</v>
      </c>
      <c r="F12935" s="7" t="n">
        <v>0</v>
      </c>
      <c r="G12935" s="7" t="n">
        <v>0</v>
      </c>
    </row>
    <row r="12936" customFormat="false" ht="15" hidden="false" customHeight="false" outlineLevel="0" collapsed="false">
      <c r="A12936" s="7" t="s">
        <v>32</v>
      </c>
      <c r="B12936" s="7" t="s">
        <v>280</v>
      </c>
      <c r="C12936" s="7" t="s">
        <v>1299</v>
      </c>
      <c r="D12936" s="7" t="n">
        <v>350</v>
      </c>
      <c r="E12936" s="7" t="n">
        <v>5632.54</v>
      </c>
      <c r="F12936" s="7" t="n">
        <v>0</v>
      </c>
      <c r="G12936" s="7" t="n">
        <v>0</v>
      </c>
    </row>
    <row r="12937" customFormat="false" ht="15" hidden="false" customHeight="false" outlineLevel="0" collapsed="false">
      <c r="A12937" s="7" t="s">
        <v>32</v>
      </c>
      <c r="B12937" s="7" t="s">
        <v>280</v>
      </c>
      <c r="C12937" s="7" t="s">
        <v>1299</v>
      </c>
      <c r="D12937" s="7" t="n">
        <v>0</v>
      </c>
      <c r="E12937" s="7" t="n">
        <v>0</v>
      </c>
      <c r="F12937" s="7" t="n">
        <v>1128</v>
      </c>
      <c r="G12937" s="7" t="n">
        <v>20517.36</v>
      </c>
    </row>
    <row r="12938" customFormat="false" ht="15" hidden="false" customHeight="false" outlineLevel="0" collapsed="false">
      <c r="A12938" s="7" t="s">
        <v>32</v>
      </c>
      <c r="B12938" s="7" t="s">
        <v>732</v>
      </c>
      <c r="C12938" s="7" t="s">
        <v>1249</v>
      </c>
      <c r="D12938" s="7" t="n">
        <v>0</v>
      </c>
      <c r="E12938" s="7" t="n">
        <v>0</v>
      </c>
      <c r="F12938" s="7" t="n">
        <v>75</v>
      </c>
      <c r="G12938" s="7" t="n">
        <v>1118.01</v>
      </c>
    </row>
    <row r="12939" customFormat="false" ht="15" hidden="false" customHeight="false" outlineLevel="0" collapsed="false">
      <c r="A12939" s="7" t="s">
        <v>32</v>
      </c>
      <c r="B12939" s="7" t="s">
        <v>732</v>
      </c>
      <c r="C12939" s="7" t="s">
        <v>1249</v>
      </c>
      <c r="D12939" s="7" t="n">
        <v>60</v>
      </c>
      <c r="E12939" s="7" t="n">
        <v>1038.1</v>
      </c>
      <c r="F12939" s="7" t="n">
        <v>0</v>
      </c>
      <c r="G12939" s="7" t="n">
        <v>0</v>
      </c>
    </row>
    <row r="12940" customFormat="false" ht="15" hidden="false" customHeight="false" outlineLevel="0" collapsed="false">
      <c r="A12940" s="7" t="s">
        <v>32</v>
      </c>
      <c r="B12940" s="7" t="s">
        <v>732</v>
      </c>
      <c r="C12940" s="7" t="s">
        <v>1249</v>
      </c>
      <c r="D12940" s="7" t="n">
        <v>15</v>
      </c>
      <c r="E12940" s="7" t="n">
        <v>233.28</v>
      </c>
      <c r="F12940" s="7" t="n">
        <v>0</v>
      </c>
      <c r="G12940" s="7" t="n">
        <v>0</v>
      </c>
    </row>
    <row r="12941" customFormat="false" ht="15" hidden="false" customHeight="false" outlineLevel="0" collapsed="false">
      <c r="A12941" s="7" t="s">
        <v>32</v>
      </c>
      <c r="B12941" s="7" t="s">
        <v>732</v>
      </c>
      <c r="C12941" s="7" t="s">
        <v>1249</v>
      </c>
      <c r="D12941" s="7" t="n">
        <v>0</v>
      </c>
      <c r="E12941" s="7" t="n">
        <v>0</v>
      </c>
      <c r="F12941" s="7" t="n">
        <v>40</v>
      </c>
      <c r="G12941" s="7" t="n">
        <v>703.11</v>
      </c>
    </row>
    <row r="12942" customFormat="false" ht="15" hidden="false" customHeight="false" outlineLevel="0" collapsed="false">
      <c r="A12942" s="7" t="s">
        <v>32</v>
      </c>
      <c r="B12942" s="7" t="s">
        <v>963</v>
      </c>
      <c r="C12942" s="7" t="s">
        <v>1161</v>
      </c>
      <c r="D12942" s="7" t="n">
        <v>0</v>
      </c>
      <c r="E12942" s="7" t="n">
        <v>0</v>
      </c>
      <c r="F12942" s="7" t="n">
        <v>180</v>
      </c>
      <c r="G12942" s="7" t="n">
        <v>2822.83</v>
      </c>
    </row>
    <row r="12943" customFormat="false" ht="15" hidden="false" customHeight="false" outlineLevel="0" collapsed="false">
      <c r="A12943" s="7" t="s">
        <v>32</v>
      </c>
      <c r="B12943" s="7" t="s">
        <v>963</v>
      </c>
      <c r="C12943" s="7" t="s">
        <v>1161</v>
      </c>
      <c r="D12943" s="7" t="n">
        <v>120</v>
      </c>
      <c r="E12943" s="7" t="n">
        <v>1852.34</v>
      </c>
      <c r="F12943" s="7" t="n">
        <v>0</v>
      </c>
      <c r="G12943" s="7" t="n">
        <v>0</v>
      </c>
    </row>
    <row r="12944" customFormat="false" ht="15" hidden="false" customHeight="false" outlineLevel="0" collapsed="false">
      <c r="A12944" s="7" t="s">
        <v>32</v>
      </c>
      <c r="B12944" s="7" t="s">
        <v>963</v>
      </c>
      <c r="C12944" s="7" t="s">
        <v>1161</v>
      </c>
      <c r="D12944" s="7" t="n">
        <v>220</v>
      </c>
      <c r="E12944" s="7" t="n">
        <v>3052.53</v>
      </c>
      <c r="F12944" s="7" t="n">
        <v>0</v>
      </c>
      <c r="G12944" s="7" t="n">
        <v>0</v>
      </c>
    </row>
    <row r="12945" customFormat="false" ht="15" hidden="false" customHeight="false" outlineLevel="0" collapsed="false">
      <c r="A12945" s="7" t="s">
        <v>32</v>
      </c>
      <c r="B12945" s="7" t="s">
        <v>963</v>
      </c>
      <c r="C12945" s="7" t="s">
        <v>1161</v>
      </c>
      <c r="D12945" s="7" t="n">
        <v>0</v>
      </c>
      <c r="E12945" s="7" t="n">
        <v>0</v>
      </c>
      <c r="F12945" s="7" t="n">
        <v>180</v>
      </c>
      <c r="G12945" s="7" t="n">
        <v>2393.91</v>
      </c>
    </row>
    <row r="12946" customFormat="false" ht="15" hidden="false" customHeight="false" outlineLevel="0" collapsed="false">
      <c r="A12946" s="7" t="s">
        <v>32</v>
      </c>
      <c r="B12946" s="7" t="s">
        <v>945</v>
      </c>
      <c r="C12946" s="7" t="s">
        <v>1069</v>
      </c>
      <c r="D12946" s="7" t="n">
        <v>0</v>
      </c>
      <c r="E12946" s="7" t="n">
        <v>0</v>
      </c>
      <c r="F12946" s="7" t="n">
        <v>110</v>
      </c>
      <c r="G12946" s="7" t="n">
        <v>2152.13</v>
      </c>
    </row>
    <row r="12947" customFormat="false" ht="15" hidden="false" customHeight="false" outlineLevel="0" collapsed="false">
      <c r="A12947" s="7" t="s">
        <v>32</v>
      </c>
      <c r="B12947" s="7" t="s">
        <v>945</v>
      </c>
      <c r="C12947" s="7" t="s">
        <v>1069</v>
      </c>
      <c r="D12947" s="7" t="n">
        <v>160</v>
      </c>
      <c r="E12947" s="7" t="n">
        <v>2769.61</v>
      </c>
      <c r="F12947" s="7" t="n">
        <v>0</v>
      </c>
      <c r="G12947" s="7" t="n">
        <v>0</v>
      </c>
    </row>
    <row r="12948" customFormat="false" ht="15" hidden="false" customHeight="false" outlineLevel="0" collapsed="false">
      <c r="A12948" s="7" t="s">
        <v>32</v>
      </c>
      <c r="B12948" s="7" t="s">
        <v>945</v>
      </c>
      <c r="C12948" s="7" t="s">
        <v>1069</v>
      </c>
      <c r="D12948" s="7" t="n">
        <v>0</v>
      </c>
      <c r="E12948" s="7" t="n">
        <v>0</v>
      </c>
      <c r="F12948" s="7" t="n">
        <v>260</v>
      </c>
      <c r="G12948" s="7" t="n">
        <v>4313.92</v>
      </c>
    </row>
    <row r="12949" customFormat="false" ht="15" hidden="false" customHeight="false" outlineLevel="0" collapsed="false">
      <c r="A12949" s="7" t="s">
        <v>32</v>
      </c>
      <c r="B12949" s="7" t="s">
        <v>966</v>
      </c>
      <c r="C12949" s="7" t="s">
        <v>1336</v>
      </c>
      <c r="D12949" s="7" t="n">
        <v>0</v>
      </c>
      <c r="E12949" s="7" t="n">
        <v>0</v>
      </c>
      <c r="F12949" s="7" t="n">
        <v>1</v>
      </c>
      <c r="G12949" s="7" t="n">
        <v>0.03</v>
      </c>
    </row>
    <row r="12950" customFormat="false" ht="15" hidden="false" customHeight="false" outlineLevel="0" collapsed="false">
      <c r="A12950" s="7" t="s">
        <v>32</v>
      </c>
      <c r="B12950" s="7" t="s">
        <v>324</v>
      </c>
      <c r="C12950" s="7" t="s">
        <v>1165</v>
      </c>
      <c r="D12950" s="7" t="n">
        <v>0</v>
      </c>
      <c r="E12950" s="7" t="n">
        <v>0</v>
      </c>
      <c r="F12950" s="7" t="n">
        <v>10</v>
      </c>
      <c r="G12950" s="7" t="n">
        <v>232.03</v>
      </c>
    </row>
    <row r="12951" customFormat="false" ht="15" hidden="false" customHeight="false" outlineLevel="0" collapsed="false">
      <c r="A12951" s="7" t="s">
        <v>32</v>
      </c>
      <c r="B12951" s="7" t="s">
        <v>324</v>
      </c>
      <c r="C12951" s="7" t="s">
        <v>1165</v>
      </c>
      <c r="D12951" s="7" t="n">
        <v>0</v>
      </c>
      <c r="E12951" s="7" t="n">
        <v>0</v>
      </c>
      <c r="F12951" s="7" t="n">
        <v>10</v>
      </c>
      <c r="G12951" s="7" t="n">
        <v>273.6</v>
      </c>
    </row>
    <row r="12952" customFormat="false" ht="15" hidden="false" customHeight="false" outlineLevel="0" collapsed="false">
      <c r="A12952" s="7" t="s">
        <v>32</v>
      </c>
      <c r="B12952" s="7" t="s">
        <v>527</v>
      </c>
      <c r="C12952" s="7" t="s">
        <v>1165</v>
      </c>
      <c r="D12952" s="7" t="n">
        <v>0</v>
      </c>
      <c r="E12952" s="7" t="n">
        <v>0</v>
      </c>
      <c r="F12952" s="7" t="n">
        <v>5</v>
      </c>
      <c r="G12952" s="7" t="n">
        <v>136.8</v>
      </c>
    </row>
    <row r="12953" customFormat="false" ht="15" hidden="false" customHeight="false" outlineLevel="0" collapsed="false">
      <c r="A12953" s="7" t="s">
        <v>32</v>
      </c>
      <c r="B12953" s="7" t="s">
        <v>527</v>
      </c>
      <c r="C12953" s="7" t="s">
        <v>1165</v>
      </c>
      <c r="D12953" s="7" t="n">
        <v>12</v>
      </c>
      <c r="E12953" s="7" t="n">
        <v>323.17</v>
      </c>
      <c r="F12953" s="7" t="n">
        <v>0</v>
      </c>
      <c r="G12953" s="7" t="n">
        <v>0</v>
      </c>
    </row>
    <row r="12954" customFormat="false" ht="15" hidden="false" customHeight="false" outlineLevel="0" collapsed="false">
      <c r="A12954" s="7" t="s">
        <v>32</v>
      </c>
      <c r="B12954" s="7" t="s">
        <v>527</v>
      </c>
      <c r="C12954" s="7" t="s">
        <v>1165</v>
      </c>
      <c r="D12954" s="7" t="n">
        <v>10</v>
      </c>
      <c r="E12954" s="7" t="n">
        <v>242.07</v>
      </c>
      <c r="F12954" s="7" t="n">
        <v>0</v>
      </c>
      <c r="G12954" s="7" t="n">
        <v>0</v>
      </c>
    </row>
    <row r="12955" customFormat="false" ht="15" hidden="false" customHeight="false" outlineLevel="0" collapsed="false">
      <c r="A12955" s="7" t="s">
        <v>32</v>
      </c>
      <c r="B12955" s="7" t="s">
        <v>527</v>
      </c>
      <c r="C12955" s="7" t="s">
        <v>1165</v>
      </c>
      <c r="D12955" s="7" t="n">
        <v>0</v>
      </c>
      <c r="E12955" s="7" t="n">
        <v>0</v>
      </c>
      <c r="F12955" s="7" t="n">
        <v>20</v>
      </c>
      <c r="G12955" s="7" t="n">
        <v>464.06</v>
      </c>
    </row>
    <row r="12956" customFormat="false" ht="15" hidden="false" customHeight="false" outlineLevel="0" collapsed="false">
      <c r="A12956" s="7" t="s">
        <v>32</v>
      </c>
      <c r="B12956" s="7" t="s">
        <v>968</v>
      </c>
      <c r="C12956" s="7" t="s">
        <v>1337</v>
      </c>
      <c r="D12956" s="7" t="n">
        <v>0</v>
      </c>
      <c r="E12956" s="7" t="n">
        <v>0</v>
      </c>
      <c r="F12956" s="7" t="n">
        <v>1</v>
      </c>
      <c r="G12956" s="7" t="n">
        <v>0.03</v>
      </c>
    </row>
    <row r="12957" customFormat="false" ht="15" hidden="false" customHeight="false" outlineLevel="0" collapsed="false">
      <c r="A12957" s="7" t="s">
        <v>32</v>
      </c>
      <c r="B12957" s="7" t="s">
        <v>602</v>
      </c>
      <c r="C12957" s="7" t="s">
        <v>1078</v>
      </c>
      <c r="D12957" s="7" t="n">
        <v>5</v>
      </c>
      <c r="E12957" s="7" t="n">
        <v>218.76</v>
      </c>
      <c r="F12957" s="7" t="n">
        <v>0</v>
      </c>
      <c r="G12957" s="7" t="n">
        <v>0</v>
      </c>
    </row>
    <row r="12958" customFormat="false" ht="15" hidden="false" customHeight="false" outlineLevel="0" collapsed="false">
      <c r="A12958" s="7" t="s">
        <v>32</v>
      </c>
      <c r="B12958" s="7" t="s">
        <v>318</v>
      </c>
      <c r="C12958" s="7" t="s">
        <v>1078</v>
      </c>
      <c r="D12958" s="7" t="n">
        <v>5</v>
      </c>
      <c r="E12958" s="7" t="n">
        <v>218.76</v>
      </c>
      <c r="F12958" s="7" t="n">
        <v>0</v>
      </c>
      <c r="G12958" s="7" t="n">
        <v>0</v>
      </c>
    </row>
    <row r="12959" customFormat="false" ht="15" hidden="false" customHeight="false" outlineLevel="0" collapsed="false">
      <c r="A12959" s="7" t="s">
        <v>32</v>
      </c>
      <c r="B12959" s="7" t="s">
        <v>647</v>
      </c>
      <c r="C12959" s="7" t="s">
        <v>1078</v>
      </c>
      <c r="D12959" s="7" t="n">
        <v>5</v>
      </c>
      <c r="E12959" s="7" t="n">
        <v>218.76</v>
      </c>
      <c r="F12959" s="7" t="n">
        <v>0</v>
      </c>
      <c r="G12959" s="7" t="n">
        <v>0</v>
      </c>
    </row>
    <row r="12960" customFormat="false" ht="15" hidden="false" customHeight="false" outlineLevel="0" collapsed="false">
      <c r="A12960" s="7" t="s">
        <v>32</v>
      </c>
      <c r="B12960" s="7" t="s">
        <v>506</v>
      </c>
      <c r="C12960" s="7" t="s">
        <v>1078</v>
      </c>
      <c r="D12960" s="7" t="n">
        <v>5</v>
      </c>
      <c r="E12960" s="7" t="n">
        <v>218.76</v>
      </c>
      <c r="F12960" s="7" t="n">
        <v>0</v>
      </c>
      <c r="G12960" s="7" t="n">
        <v>0</v>
      </c>
    </row>
    <row r="12961" customFormat="false" ht="15" hidden="false" customHeight="false" outlineLevel="0" collapsed="false">
      <c r="A12961" s="7" t="s">
        <v>32</v>
      </c>
      <c r="B12961" s="7" t="s">
        <v>345</v>
      </c>
      <c r="C12961" s="7" t="s">
        <v>1078</v>
      </c>
      <c r="D12961" s="7" t="n">
        <v>5</v>
      </c>
      <c r="E12961" s="7" t="n">
        <v>218.76</v>
      </c>
      <c r="F12961" s="7" t="n">
        <v>0</v>
      </c>
      <c r="G12961" s="7" t="n">
        <v>0</v>
      </c>
    </row>
    <row r="12962" customFormat="false" ht="15" hidden="false" customHeight="false" outlineLevel="0" collapsed="false">
      <c r="A12962" s="7" t="s">
        <v>32</v>
      </c>
      <c r="B12962" s="7" t="s">
        <v>261</v>
      </c>
      <c r="C12962" s="7" t="s">
        <v>1303</v>
      </c>
      <c r="D12962" s="7" t="n">
        <v>0</v>
      </c>
      <c r="E12962" s="7" t="n">
        <v>0</v>
      </c>
      <c r="F12962" s="7" t="n">
        <v>10</v>
      </c>
      <c r="G12962" s="7" t="n">
        <v>333.98</v>
      </c>
    </row>
    <row r="12963" customFormat="false" ht="15" hidden="false" customHeight="false" outlineLevel="0" collapsed="false">
      <c r="A12963" s="7" t="s">
        <v>32</v>
      </c>
      <c r="B12963" s="7" t="s">
        <v>965</v>
      </c>
      <c r="C12963" s="7" t="s">
        <v>1338</v>
      </c>
      <c r="D12963" s="7" t="n">
        <v>0</v>
      </c>
      <c r="E12963" s="7" t="n">
        <v>0</v>
      </c>
      <c r="F12963" s="7" t="n">
        <v>1</v>
      </c>
      <c r="G12963" s="7" t="n">
        <v>0.03</v>
      </c>
    </row>
    <row r="12964" customFormat="false" ht="15" hidden="false" customHeight="false" outlineLevel="0" collapsed="false">
      <c r="A12964" s="7" t="s">
        <v>32</v>
      </c>
      <c r="B12964" s="7" t="s">
        <v>351</v>
      </c>
      <c r="C12964" s="7" t="s">
        <v>1080</v>
      </c>
      <c r="D12964" s="7" t="n">
        <v>0</v>
      </c>
      <c r="E12964" s="7" t="n">
        <v>0</v>
      </c>
      <c r="F12964" s="7" t="n">
        <v>20</v>
      </c>
      <c r="G12964" s="7" t="n">
        <v>1491.45</v>
      </c>
    </row>
    <row r="12965" customFormat="false" ht="15" hidden="false" customHeight="false" outlineLevel="0" collapsed="false">
      <c r="A12965" s="7" t="s">
        <v>32</v>
      </c>
      <c r="B12965" s="7" t="s">
        <v>248</v>
      </c>
      <c r="C12965" s="7" t="s">
        <v>1080</v>
      </c>
      <c r="D12965" s="7" t="n">
        <v>0</v>
      </c>
      <c r="E12965" s="7" t="n">
        <v>0</v>
      </c>
      <c r="F12965" s="7" t="n">
        <v>15</v>
      </c>
      <c r="G12965" s="7" t="n">
        <v>1118.59</v>
      </c>
    </row>
    <row r="12966" customFormat="false" ht="15" hidden="false" customHeight="false" outlineLevel="0" collapsed="false">
      <c r="A12966" s="7" t="s">
        <v>32</v>
      </c>
      <c r="B12966" s="7" t="s">
        <v>462</v>
      </c>
      <c r="C12966" s="7" t="s">
        <v>1080</v>
      </c>
      <c r="D12966" s="7" t="n">
        <v>0</v>
      </c>
      <c r="E12966" s="7" t="n">
        <v>0</v>
      </c>
      <c r="F12966" s="7" t="n">
        <v>10</v>
      </c>
      <c r="G12966" s="7" t="n">
        <v>745.73</v>
      </c>
    </row>
    <row r="12967" customFormat="false" ht="15" hidden="false" customHeight="false" outlineLevel="0" collapsed="false">
      <c r="A12967" s="7" t="s">
        <v>32</v>
      </c>
      <c r="B12967" s="7" t="s">
        <v>757</v>
      </c>
      <c r="C12967" s="7" t="s">
        <v>1080</v>
      </c>
      <c r="D12967" s="7" t="n">
        <v>0</v>
      </c>
      <c r="E12967" s="7" t="n">
        <v>0</v>
      </c>
      <c r="F12967" s="7" t="n">
        <v>5</v>
      </c>
      <c r="G12967" s="7" t="n">
        <v>372.86</v>
      </c>
    </row>
    <row r="12968" customFormat="false" ht="15" hidden="false" customHeight="false" outlineLevel="0" collapsed="false">
      <c r="A12968" s="7" t="s">
        <v>32</v>
      </c>
      <c r="B12968" s="7" t="s">
        <v>622</v>
      </c>
      <c r="C12968" s="7" t="s">
        <v>622</v>
      </c>
      <c r="D12968" s="7" t="n">
        <v>0</v>
      </c>
      <c r="E12968" s="7" t="n">
        <v>0</v>
      </c>
      <c r="F12968" s="7" t="n">
        <v>-1</v>
      </c>
      <c r="G12968" s="7" t="n">
        <v>-22807.55</v>
      </c>
    </row>
    <row r="12969" customFormat="false" ht="15" hidden="false" customHeight="false" outlineLevel="0" collapsed="false">
      <c r="A12969" s="7" t="s">
        <v>33</v>
      </c>
      <c r="B12969" s="7" t="s">
        <v>972</v>
      </c>
      <c r="C12969" s="7" t="s">
        <v>1339</v>
      </c>
      <c r="D12969" s="7" t="n">
        <v>10</v>
      </c>
      <c r="E12969" s="7" t="n">
        <v>1756.68</v>
      </c>
      <c r="F12969" s="7" t="n">
        <v>0</v>
      </c>
      <c r="G12969" s="7" t="n">
        <v>0</v>
      </c>
    </row>
    <row r="12970" customFormat="false" ht="15" hidden="false" customHeight="false" outlineLevel="0" collapsed="false">
      <c r="A12970" s="7" t="s">
        <v>33</v>
      </c>
      <c r="B12970" s="7" t="s">
        <v>971</v>
      </c>
      <c r="C12970" s="7" t="s">
        <v>1339</v>
      </c>
      <c r="D12970" s="7" t="n">
        <v>20</v>
      </c>
      <c r="E12970" s="7" t="n">
        <v>3513.36</v>
      </c>
      <c r="F12970" s="7" t="n">
        <v>0</v>
      </c>
      <c r="G12970" s="7" t="n">
        <v>0</v>
      </c>
    </row>
    <row r="12971" customFormat="false" ht="15" hidden="false" customHeight="false" outlineLevel="0" collapsed="false">
      <c r="A12971" s="7" t="s">
        <v>33</v>
      </c>
      <c r="B12971" s="7" t="s">
        <v>974</v>
      </c>
      <c r="C12971" s="7" t="s">
        <v>1339</v>
      </c>
      <c r="D12971" s="7" t="n">
        <v>5</v>
      </c>
      <c r="E12971" s="7" t="n">
        <v>878.34</v>
      </c>
      <c r="F12971" s="7" t="n">
        <v>0</v>
      </c>
      <c r="G12971" s="7" t="n">
        <v>0</v>
      </c>
    </row>
    <row r="12972" customFormat="false" ht="15" hidden="false" customHeight="false" outlineLevel="0" collapsed="false">
      <c r="A12972" s="7" t="s">
        <v>33</v>
      </c>
      <c r="B12972" s="7" t="s">
        <v>980</v>
      </c>
      <c r="C12972" s="7" t="s">
        <v>1339</v>
      </c>
      <c r="D12972" s="7" t="n">
        <v>5</v>
      </c>
      <c r="E12972" s="7" t="n">
        <v>0.03</v>
      </c>
      <c r="F12972" s="7" t="n">
        <v>0</v>
      </c>
      <c r="G12972" s="7" t="n">
        <v>0</v>
      </c>
    </row>
    <row r="12973" customFormat="false" ht="15" hidden="false" customHeight="false" outlineLevel="0" collapsed="false">
      <c r="A12973" s="7" t="s">
        <v>33</v>
      </c>
      <c r="B12973" s="7" t="s">
        <v>973</v>
      </c>
      <c r="C12973" s="7" t="s">
        <v>1339</v>
      </c>
      <c r="D12973" s="7" t="n">
        <v>10</v>
      </c>
      <c r="E12973" s="7" t="n">
        <v>1756.68</v>
      </c>
      <c r="F12973" s="7" t="n">
        <v>0</v>
      </c>
      <c r="G12973" s="7" t="n">
        <v>0</v>
      </c>
    </row>
    <row r="12974" customFormat="false" ht="15" hidden="false" customHeight="false" outlineLevel="0" collapsed="false">
      <c r="A12974" s="7" t="s">
        <v>33</v>
      </c>
      <c r="B12974" s="7" t="s">
        <v>272</v>
      </c>
      <c r="C12974" s="7" t="s">
        <v>1191</v>
      </c>
      <c r="D12974" s="7" t="n">
        <v>5</v>
      </c>
      <c r="E12974" s="7" t="n">
        <v>399.72</v>
      </c>
      <c r="F12974" s="7" t="n">
        <v>0</v>
      </c>
      <c r="G12974" s="7" t="n">
        <v>0</v>
      </c>
    </row>
    <row r="12975" customFormat="false" ht="15" hidden="false" customHeight="false" outlineLevel="0" collapsed="false">
      <c r="A12975" s="7" t="s">
        <v>33</v>
      </c>
      <c r="B12975" s="7" t="s">
        <v>425</v>
      </c>
      <c r="C12975" s="7" t="s">
        <v>1191</v>
      </c>
      <c r="D12975" s="7" t="n">
        <v>10</v>
      </c>
      <c r="E12975" s="7" t="n">
        <v>799.45</v>
      </c>
      <c r="F12975" s="7" t="n">
        <v>0</v>
      </c>
      <c r="G12975" s="7" t="n">
        <v>0</v>
      </c>
    </row>
    <row r="12976" customFormat="false" ht="15" hidden="false" customHeight="false" outlineLevel="0" collapsed="false">
      <c r="A12976" s="7" t="s">
        <v>33</v>
      </c>
      <c r="B12976" s="7" t="s">
        <v>577</v>
      </c>
      <c r="C12976" s="7" t="s">
        <v>1191</v>
      </c>
      <c r="D12976" s="7" t="n">
        <v>5</v>
      </c>
      <c r="E12976" s="7" t="n">
        <v>399.72</v>
      </c>
      <c r="F12976" s="7" t="n">
        <v>0</v>
      </c>
      <c r="G12976" s="7" t="n">
        <v>0</v>
      </c>
    </row>
    <row r="12977" customFormat="false" ht="15" hidden="false" customHeight="false" outlineLevel="0" collapsed="false">
      <c r="A12977" s="7" t="s">
        <v>33</v>
      </c>
      <c r="B12977" s="7" t="s">
        <v>426</v>
      </c>
      <c r="C12977" s="7" t="s">
        <v>1191</v>
      </c>
      <c r="D12977" s="7" t="n">
        <v>5</v>
      </c>
      <c r="E12977" s="7" t="n">
        <v>0.03</v>
      </c>
      <c r="F12977" s="7" t="n">
        <v>0</v>
      </c>
      <c r="G12977" s="7" t="n">
        <v>0</v>
      </c>
    </row>
    <row r="12978" customFormat="false" ht="15" hidden="false" customHeight="false" outlineLevel="0" collapsed="false">
      <c r="A12978" s="7" t="s">
        <v>33</v>
      </c>
      <c r="B12978" s="7" t="s">
        <v>975</v>
      </c>
      <c r="C12978" s="7" t="s">
        <v>1191</v>
      </c>
      <c r="D12978" s="7" t="n">
        <v>5</v>
      </c>
      <c r="E12978" s="7" t="n">
        <v>399.72</v>
      </c>
      <c r="F12978" s="7" t="n">
        <v>0</v>
      </c>
      <c r="G12978" s="7" t="n">
        <v>0</v>
      </c>
    </row>
    <row r="12979" customFormat="false" ht="15" hidden="false" customHeight="false" outlineLevel="0" collapsed="false">
      <c r="A12979" s="7" t="s">
        <v>33</v>
      </c>
      <c r="B12979" s="7" t="s">
        <v>331</v>
      </c>
      <c r="C12979" s="7" t="s">
        <v>1191</v>
      </c>
      <c r="D12979" s="7" t="n">
        <v>20</v>
      </c>
      <c r="E12979" s="7" t="n">
        <v>1598.91</v>
      </c>
      <c r="F12979" s="7" t="n">
        <v>0</v>
      </c>
      <c r="G12979" s="7" t="n">
        <v>0</v>
      </c>
    </row>
    <row r="12980" customFormat="false" ht="15" hidden="false" customHeight="false" outlineLevel="0" collapsed="false">
      <c r="A12980" s="7" t="s">
        <v>33</v>
      </c>
      <c r="B12980" s="7" t="s">
        <v>978</v>
      </c>
      <c r="C12980" s="7" t="s">
        <v>1340</v>
      </c>
      <c r="D12980" s="7" t="n">
        <v>5</v>
      </c>
      <c r="E12980" s="7" t="n">
        <v>0.18</v>
      </c>
      <c r="F12980" s="7" t="n">
        <v>0</v>
      </c>
      <c r="G12980" s="7" t="n">
        <v>0</v>
      </c>
    </row>
    <row r="12981" customFormat="false" ht="15" hidden="false" customHeight="false" outlineLevel="0" collapsed="false">
      <c r="A12981" s="7" t="s">
        <v>33</v>
      </c>
      <c r="B12981" s="7" t="s">
        <v>147</v>
      </c>
      <c r="C12981" s="7" t="s">
        <v>1041</v>
      </c>
      <c r="D12981" s="7" t="n">
        <v>5</v>
      </c>
      <c r="E12981" s="7" t="n">
        <v>0.03</v>
      </c>
      <c r="F12981" s="7" t="n">
        <v>0</v>
      </c>
      <c r="G12981" s="7" t="n">
        <v>0</v>
      </c>
    </row>
    <row r="12982" customFormat="false" ht="15" hidden="false" customHeight="false" outlineLevel="0" collapsed="false">
      <c r="A12982" s="7" t="s">
        <v>33</v>
      </c>
      <c r="B12982" s="7" t="s">
        <v>147</v>
      </c>
      <c r="C12982" s="7" t="s">
        <v>1041</v>
      </c>
      <c r="D12982" s="7" t="n">
        <v>50</v>
      </c>
      <c r="E12982" s="7" t="n">
        <v>3595.82</v>
      </c>
      <c r="F12982" s="7" t="n">
        <v>0</v>
      </c>
      <c r="G12982" s="7" t="n">
        <v>0</v>
      </c>
    </row>
    <row r="12983" customFormat="false" ht="15" hidden="false" customHeight="false" outlineLevel="0" collapsed="false">
      <c r="A12983" s="7" t="s">
        <v>33</v>
      </c>
      <c r="B12983" s="7" t="s">
        <v>778</v>
      </c>
      <c r="C12983" s="7" t="s">
        <v>1042</v>
      </c>
      <c r="D12983" s="7" t="n">
        <v>2</v>
      </c>
      <c r="E12983" s="7" t="n">
        <v>0.03</v>
      </c>
      <c r="F12983" s="7" t="n">
        <v>0</v>
      </c>
      <c r="G12983" s="7" t="n">
        <v>0</v>
      </c>
    </row>
    <row r="12984" customFormat="false" ht="15" hidden="false" customHeight="false" outlineLevel="0" collapsed="false">
      <c r="A12984" s="7" t="s">
        <v>33</v>
      </c>
      <c r="B12984" s="7" t="s">
        <v>778</v>
      </c>
      <c r="C12984" s="7" t="s">
        <v>1042</v>
      </c>
      <c r="D12984" s="7" t="n">
        <v>20</v>
      </c>
      <c r="E12984" s="7" t="n">
        <v>1060.15</v>
      </c>
      <c r="F12984" s="7" t="n">
        <v>0</v>
      </c>
      <c r="G12984" s="7" t="n">
        <v>0</v>
      </c>
    </row>
    <row r="12985" customFormat="false" ht="15" hidden="false" customHeight="false" outlineLevel="0" collapsed="false">
      <c r="A12985" s="7" t="s">
        <v>33</v>
      </c>
      <c r="B12985" s="7" t="s">
        <v>445</v>
      </c>
      <c r="C12985" s="7" t="s">
        <v>1042</v>
      </c>
      <c r="D12985" s="7" t="n">
        <v>6</v>
      </c>
      <c r="E12985" s="7" t="n">
        <v>318.04</v>
      </c>
      <c r="F12985" s="7" t="n">
        <v>0</v>
      </c>
      <c r="G12985" s="7" t="n">
        <v>0</v>
      </c>
    </row>
    <row r="12986" customFormat="false" ht="15" hidden="false" customHeight="false" outlineLevel="0" collapsed="false">
      <c r="A12986" s="7" t="s">
        <v>33</v>
      </c>
      <c r="B12986" s="7" t="s">
        <v>976</v>
      </c>
      <c r="C12986" s="7" t="s">
        <v>1042</v>
      </c>
      <c r="D12986" s="7" t="n">
        <v>4</v>
      </c>
      <c r="E12986" s="7" t="n">
        <v>212.03</v>
      </c>
      <c r="F12986" s="7" t="n">
        <v>0</v>
      </c>
      <c r="G12986" s="7" t="n">
        <v>0</v>
      </c>
    </row>
    <row r="12987" customFormat="false" ht="15" hidden="false" customHeight="false" outlineLevel="0" collapsed="false">
      <c r="A12987" s="7" t="s">
        <v>33</v>
      </c>
      <c r="B12987" s="7" t="s">
        <v>976</v>
      </c>
      <c r="C12987" s="7" t="s">
        <v>1042</v>
      </c>
      <c r="D12987" s="7" t="n">
        <v>1</v>
      </c>
      <c r="E12987" s="7" t="n">
        <v>0.03</v>
      </c>
      <c r="F12987" s="7" t="n">
        <v>0</v>
      </c>
      <c r="G12987" s="7" t="n">
        <v>0</v>
      </c>
    </row>
    <row r="12988" customFormat="false" ht="15" hidden="false" customHeight="false" outlineLevel="0" collapsed="false">
      <c r="A12988" s="7" t="s">
        <v>33</v>
      </c>
      <c r="B12988" s="7" t="s">
        <v>414</v>
      </c>
      <c r="C12988" s="7" t="s">
        <v>1042</v>
      </c>
      <c r="D12988" s="7" t="n">
        <v>10</v>
      </c>
      <c r="E12988" s="7" t="n">
        <v>530.07</v>
      </c>
      <c r="F12988" s="7" t="n">
        <v>0</v>
      </c>
      <c r="G12988" s="7" t="n">
        <v>0</v>
      </c>
    </row>
    <row r="12989" customFormat="false" ht="15" hidden="false" customHeight="false" outlineLevel="0" collapsed="false">
      <c r="A12989" s="7" t="s">
        <v>33</v>
      </c>
      <c r="B12989" s="7" t="s">
        <v>414</v>
      </c>
      <c r="C12989" s="7" t="s">
        <v>1042</v>
      </c>
      <c r="D12989" s="7" t="n">
        <v>2</v>
      </c>
      <c r="E12989" s="7" t="n">
        <v>0.03</v>
      </c>
      <c r="F12989" s="7" t="n">
        <v>0</v>
      </c>
      <c r="G12989" s="7" t="n">
        <v>0</v>
      </c>
    </row>
    <row r="12990" customFormat="false" ht="15" hidden="false" customHeight="false" outlineLevel="0" collapsed="false">
      <c r="A12990" s="7" t="s">
        <v>33</v>
      </c>
      <c r="B12990" s="7" t="s">
        <v>706</v>
      </c>
      <c r="C12990" s="7" t="s">
        <v>1042</v>
      </c>
      <c r="D12990" s="7" t="n">
        <v>2</v>
      </c>
      <c r="E12990" s="7" t="n">
        <v>0.03</v>
      </c>
      <c r="F12990" s="7" t="n">
        <v>0</v>
      </c>
      <c r="G12990" s="7" t="n">
        <v>0</v>
      </c>
    </row>
    <row r="12991" customFormat="false" ht="15" hidden="false" customHeight="false" outlineLevel="0" collapsed="false">
      <c r="A12991" s="7" t="s">
        <v>33</v>
      </c>
      <c r="B12991" s="7" t="s">
        <v>706</v>
      </c>
      <c r="C12991" s="7" t="s">
        <v>1042</v>
      </c>
      <c r="D12991" s="7" t="n">
        <v>10</v>
      </c>
      <c r="E12991" s="7" t="n">
        <v>530.07</v>
      </c>
      <c r="F12991" s="7" t="n">
        <v>0</v>
      </c>
      <c r="G12991" s="7" t="n">
        <v>0</v>
      </c>
    </row>
    <row r="12992" customFormat="false" ht="15" hidden="false" customHeight="false" outlineLevel="0" collapsed="false">
      <c r="A12992" s="7" t="s">
        <v>33</v>
      </c>
      <c r="B12992" s="7" t="s">
        <v>750</v>
      </c>
      <c r="C12992" s="7" t="s">
        <v>1196</v>
      </c>
      <c r="D12992" s="7" t="n">
        <v>2</v>
      </c>
      <c r="E12992" s="7" t="n">
        <v>0.03</v>
      </c>
      <c r="F12992" s="7" t="n">
        <v>0</v>
      </c>
      <c r="G12992" s="7" t="n">
        <v>0</v>
      </c>
    </row>
    <row r="12993" customFormat="false" ht="15" hidden="false" customHeight="false" outlineLevel="0" collapsed="false">
      <c r="A12993" s="7" t="s">
        <v>33</v>
      </c>
      <c r="B12993" s="7" t="s">
        <v>750</v>
      </c>
      <c r="C12993" s="7" t="s">
        <v>1196</v>
      </c>
      <c r="D12993" s="7" t="n">
        <v>20</v>
      </c>
      <c r="E12993" s="7" t="n">
        <v>976.46</v>
      </c>
      <c r="F12993" s="7" t="n">
        <v>0</v>
      </c>
      <c r="G12993" s="7" t="n">
        <v>0</v>
      </c>
    </row>
    <row r="12994" customFormat="false" ht="15" hidden="false" customHeight="false" outlineLevel="0" collapsed="false">
      <c r="A12994" s="7" t="s">
        <v>33</v>
      </c>
      <c r="B12994" s="7" t="s">
        <v>228</v>
      </c>
      <c r="C12994" s="7" t="s">
        <v>1196</v>
      </c>
      <c r="D12994" s="7" t="n">
        <v>2</v>
      </c>
      <c r="E12994" s="7" t="n">
        <v>0.03</v>
      </c>
      <c r="F12994" s="7" t="n">
        <v>0</v>
      </c>
      <c r="G12994" s="7" t="n">
        <v>0</v>
      </c>
    </row>
    <row r="12995" customFormat="false" ht="15" hidden="false" customHeight="false" outlineLevel="0" collapsed="false">
      <c r="A12995" s="7" t="s">
        <v>33</v>
      </c>
      <c r="B12995" s="7" t="s">
        <v>228</v>
      </c>
      <c r="C12995" s="7" t="s">
        <v>1196</v>
      </c>
      <c r="D12995" s="7" t="n">
        <v>5</v>
      </c>
      <c r="E12995" s="7" t="n">
        <v>244.11</v>
      </c>
      <c r="F12995" s="7" t="n">
        <v>0</v>
      </c>
      <c r="G12995" s="7" t="n">
        <v>0</v>
      </c>
    </row>
    <row r="12996" customFormat="false" ht="15" hidden="false" customHeight="false" outlineLevel="0" collapsed="false">
      <c r="A12996" s="7" t="s">
        <v>33</v>
      </c>
      <c r="B12996" s="7" t="s">
        <v>430</v>
      </c>
      <c r="C12996" s="7" t="s">
        <v>1196</v>
      </c>
      <c r="D12996" s="7" t="n">
        <v>5</v>
      </c>
      <c r="E12996" s="7" t="n">
        <v>244.11</v>
      </c>
      <c r="F12996" s="7" t="n">
        <v>0</v>
      </c>
      <c r="G12996" s="7" t="n">
        <v>0</v>
      </c>
    </row>
    <row r="12997" customFormat="false" ht="15" hidden="false" customHeight="false" outlineLevel="0" collapsed="false">
      <c r="A12997" s="7" t="s">
        <v>33</v>
      </c>
      <c r="B12997" s="7" t="s">
        <v>547</v>
      </c>
      <c r="C12997" s="7" t="s">
        <v>1196</v>
      </c>
      <c r="D12997" s="7" t="n">
        <v>10</v>
      </c>
      <c r="E12997" s="7" t="n">
        <v>488.22</v>
      </c>
      <c r="F12997" s="7" t="n">
        <v>0</v>
      </c>
      <c r="G12997" s="7" t="n">
        <v>0</v>
      </c>
    </row>
    <row r="12998" customFormat="false" ht="15" hidden="false" customHeight="false" outlineLevel="0" collapsed="false">
      <c r="A12998" s="7" t="s">
        <v>33</v>
      </c>
      <c r="B12998" s="7" t="s">
        <v>547</v>
      </c>
      <c r="C12998" s="7" t="s">
        <v>1196</v>
      </c>
      <c r="D12998" s="7" t="n">
        <v>1</v>
      </c>
      <c r="E12998" s="7" t="n">
        <v>0</v>
      </c>
      <c r="F12998" s="7" t="n">
        <v>0</v>
      </c>
      <c r="G12998" s="7" t="n">
        <v>0</v>
      </c>
    </row>
    <row r="12999" customFormat="false" ht="15" hidden="false" customHeight="false" outlineLevel="0" collapsed="false">
      <c r="A12999" s="7" t="s">
        <v>33</v>
      </c>
      <c r="B12999" s="7" t="s">
        <v>574</v>
      </c>
      <c r="C12999" s="7" t="s">
        <v>1196</v>
      </c>
      <c r="D12999" s="7" t="n">
        <v>10</v>
      </c>
      <c r="E12999" s="7" t="n">
        <v>488.22</v>
      </c>
      <c r="F12999" s="7" t="n">
        <v>0</v>
      </c>
      <c r="G12999" s="7" t="n">
        <v>0</v>
      </c>
    </row>
    <row r="13000" customFormat="false" ht="15" hidden="false" customHeight="false" outlineLevel="0" collapsed="false">
      <c r="A13000" s="7" t="s">
        <v>33</v>
      </c>
      <c r="B13000" s="7" t="s">
        <v>638</v>
      </c>
      <c r="C13000" s="7" t="s">
        <v>1139</v>
      </c>
      <c r="D13000" s="7" t="n">
        <v>10</v>
      </c>
      <c r="E13000" s="7" t="n">
        <v>139.5</v>
      </c>
      <c r="F13000" s="7" t="n">
        <v>0</v>
      </c>
      <c r="G13000" s="7" t="n">
        <v>0</v>
      </c>
    </row>
    <row r="13001" customFormat="false" ht="15" hidden="false" customHeight="false" outlineLevel="0" collapsed="false">
      <c r="A13001" s="7" t="s">
        <v>33</v>
      </c>
      <c r="B13001" s="7" t="s">
        <v>680</v>
      </c>
      <c r="C13001" s="7" t="s">
        <v>1139</v>
      </c>
      <c r="D13001" s="7" t="n">
        <v>10</v>
      </c>
      <c r="E13001" s="7" t="n">
        <v>139.5</v>
      </c>
      <c r="F13001" s="7" t="n">
        <v>0</v>
      </c>
      <c r="G13001" s="7" t="n">
        <v>0</v>
      </c>
    </row>
    <row r="13002" customFormat="false" ht="15" hidden="false" customHeight="false" outlineLevel="0" collapsed="false">
      <c r="A13002" s="7" t="s">
        <v>33</v>
      </c>
      <c r="B13002" s="7" t="s">
        <v>977</v>
      </c>
      <c r="C13002" s="7" t="s">
        <v>1139</v>
      </c>
      <c r="D13002" s="7" t="n">
        <v>10</v>
      </c>
      <c r="E13002" s="7" t="n">
        <v>139.5</v>
      </c>
      <c r="F13002" s="7" t="n">
        <v>0</v>
      </c>
      <c r="G13002" s="7" t="n">
        <v>0</v>
      </c>
    </row>
    <row r="13003" customFormat="false" ht="15" hidden="false" customHeight="false" outlineLevel="0" collapsed="false">
      <c r="A13003" s="7" t="s">
        <v>33</v>
      </c>
      <c r="B13003" s="7" t="s">
        <v>524</v>
      </c>
      <c r="C13003" s="7" t="s">
        <v>1140</v>
      </c>
      <c r="D13003" s="7" t="n">
        <v>10</v>
      </c>
      <c r="E13003" s="7" t="n">
        <v>177.62</v>
      </c>
      <c r="F13003" s="7" t="n">
        <v>0</v>
      </c>
      <c r="G13003" s="7" t="n">
        <v>0</v>
      </c>
    </row>
    <row r="13004" customFormat="false" ht="15" hidden="false" customHeight="false" outlineLevel="0" collapsed="false">
      <c r="A13004" s="7" t="s">
        <v>33</v>
      </c>
      <c r="B13004" s="7" t="s">
        <v>405</v>
      </c>
      <c r="C13004" s="7" t="s">
        <v>1141</v>
      </c>
      <c r="D13004" s="7" t="n">
        <v>30</v>
      </c>
      <c r="E13004" s="7" t="n">
        <v>241.78</v>
      </c>
      <c r="F13004" s="7" t="n">
        <v>0</v>
      </c>
      <c r="G13004" s="7" t="n">
        <v>0</v>
      </c>
    </row>
    <row r="13005" customFormat="false" ht="15" hidden="false" customHeight="false" outlineLevel="0" collapsed="false">
      <c r="A13005" s="7" t="s">
        <v>33</v>
      </c>
      <c r="B13005" s="7" t="s">
        <v>405</v>
      </c>
      <c r="C13005" s="7" t="s">
        <v>1141</v>
      </c>
      <c r="D13005" s="7" t="n">
        <v>3</v>
      </c>
      <c r="E13005" s="7" t="n">
        <v>0.03</v>
      </c>
      <c r="F13005" s="7" t="n">
        <v>0</v>
      </c>
      <c r="G13005" s="7" t="n">
        <v>0</v>
      </c>
    </row>
    <row r="13006" customFormat="false" ht="15" hidden="false" customHeight="false" outlineLevel="0" collapsed="false">
      <c r="A13006" s="7" t="s">
        <v>33</v>
      </c>
      <c r="B13006" s="7" t="s">
        <v>696</v>
      </c>
      <c r="C13006" s="7" t="s">
        <v>1141</v>
      </c>
      <c r="D13006" s="7" t="n">
        <v>2</v>
      </c>
      <c r="E13006" s="7" t="n">
        <v>0.03</v>
      </c>
      <c r="F13006" s="7" t="n">
        <v>0</v>
      </c>
      <c r="G13006" s="7" t="n">
        <v>0</v>
      </c>
    </row>
    <row r="13007" customFormat="false" ht="15" hidden="false" customHeight="false" outlineLevel="0" collapsed="false">
      <c r="A13007" s="7" t="s">
        <v>33</v>
      </c>
      <c r="B13007" s="7" t="s">
        <v>696</v>
      </c>
      <c r="C13007" s="7" t="s">
        <v>1141</v>
      </c>
      <c r="D13007" s="7" t="n">
        <v>20</v>
      </c>
      <c r="E13007" s="7" t="n">
        <v>161.2</v>
      </c>
      <c r="F13007" s="7" t="n">
        <v>0</v>
      </c>
      <c r="G13007" s="7" t="n">
        <v>0</v>
      </c>
    </row>
    <row r="13008" customFormat="false" ht="15" hidden="false" customHeight="false" outlineLevel="0" collapsed="false">
      <c r="A13008" s="7" t="s">
        <v>33</v>
      </c>
      <c r="B13008" s="7" t="s">
        <v>700</v>
      </c>
      <c r="C13008" s="7" t="s">
        <v>1141</v>
      </c>
      <c r="D13008" s="7" t="n">
        <v>3</v>
      </c>
      <c r="E13008" s="7" t="n">
        <v>0.03</v>
      </c>
      <c r="F13008" s="7" t="n">
        <v>0</v>
      </c>
      <c r="G13008" s="7" t="n">
        <v>0</v>
      </c>
    </row>
    <row r="13009" customFormat="false" ht="15" hidden="false" customHeight="false" outlineLevel="0" collapsed="false">
      <c r="A13009" s="7" t="s">
        <v>33</v>
      </c>
      <c r="B13009" s="7" t="s">
        <v>700</v>
      </c>
      <c r="C13009" s="7" t="s">
        <v>1141</v>
      </c>
      <c r="D13009" s="7" t="n">
        <v>30</v>
      </c>
      <c r="E13009" s="7" t="n">
        <v>241.77</v>
      </c>
      <c r="F13009" s="7" t="n">
        <v>0</v>
      </c>
      <c r="G13009" s="7" t="n">
        <v>0</v>
      </c>
    </row>
    <row r="13010" customFormat="false" ht="15" hidden="false" customHeight="false" outlineLevel="0" collapsed="false">
      <c r="A13010" s="7" t="s">
        <v>33</v>
      </c>
      <c r="B13010" s="7" t="s">
        <v>567</v>
      </c>
      <c r="C13010" s="7" t="s">
        <v>1141</v>
      </c>
      <c r="D13010" s="7" t="n">
        <v>2</v>
      </c>
      <c r="E13010" s="7" t="n">
        <v>0.03</v>
      </c>
      <c r="F13010" s="7" t="n">
        <v>0</v>
      </c>
      <c r="G13010" s="7" t="n">
        <v>0</v>
      </c>
    </row>
    <row r="13011" customFormat="false" ht="15" hidden="false" customHeight="false" outlineLevel="0" collapsed="false">
      <c r="A13011" s="7" t="s">
        <v>33</v>
      </c>
      <c r="B13011" s="7" t="s">
        <v>567</v>
      </c>
      <c r="C13011" s="7" t="s">
        <v>1141</v>
      </c>
      <c r="D13011" s="7" t="n">
        <v>20</v>
      </c>
      <c r="E13011" s="7" t="n">
        <v>161.2</v>
      </c>
      <c r="F13011" s="7" t="n">
        <v>0</v>
      </c>
      <c r="G13011" s="7" t="n">
        <v>0</v>
      </c>
    </row>
    <row r="13012" customFormat="false" ht="15" hidden="false" customHeight="false" outlineLevel="0" collapsed="false">
      <c r="A13012" s="7" t="s">
        <v>33</v>
      </c>
      <c r="B13012" s="7" t="s">
        <v>342</v>
      </c>
      <c r="C13012" s="7" t="s">
        <v>1143</v>
      </c>
      <c r="D13012" s="7" t="n">
        <v>50</v>
      </c>
      <c r="E13012" s="7" t="n">
        <v>1317.44</v>
      </c>
      <c r="F13012" s="7" t="n">
        <v>0</v>
      </c>
      <c r="G13012" s="7" t="n">
        <v>0</v>
      </c>
    </row>
    <row r="13013" customFormat="false" ht="15" hidden="false" customHeight="false" outlineLevel="0" collapsed="false">
      <c r="A13013" s="7" t="s">
        <v>33</v>
      </c>
      <c r="B13013" s="7" t="s">
        <v>342</v>
      </c>
      <c r="C13013" s="7" t="s">
        <v>1143</v>
      </c>
      <c r="D13013" s="7" t="n">
        <v>5</v>
      </c>
      <c r="E13013" s="7" t="n">
        <v>0.03</v>
      </c>
      <c r="F13013" s="7" t="n">
        <v>0</v>
      </c>
      <c r="G13013" s="7" t="n">
        <v>0</v>
      </c>
    </row>
    <row r="13014" customFormat="false" ht="15" hidden="false" customHeight="false" outlineLevel="0" collapsed="false">
      <c r="A13014" s="7" t="s">
        <v>33</v>
      </c>
      <c r="B13014" s="7" t="s">
        <v>361</v>
      </c>
      <c r="C13014" s="7" t="s">
        <v>1083</v>
      </c>
      <c r="D13014" s="7" t="n">
        <v>100</v>
      </c>
      <c r="E13014" s="7" t="n">
        <v>3208.35</v>
      </c>
      <c r="F13014" s="7" t="n">
        <v>0</v>
      </c>
      <c r="G13014" s="7" t="n">
        <v>0</v>
      </c>
    </row>
    <row r="13015" customFormat="false" ht="15" hidden="false" customHeight="false" outlineLevel="0" collapsed="false">
      <c r="A13015" s="7" t="s">
        <v>33</v>
      </c>
      <c r="B13015" s="7" t="s">
        <v>319</v>
      </c>
      <c r="C13015" s="7" t="s">
        <v>1083</v>
      </c>
      <c r="D13015" s="7" t="n">
        <v>100</v>
      </c>
      <c r="E13015" s="7" t="n">
        <v>3208.35</v>
      </c>
      <c r="F13015" s="7" t="n">
        <v>0</v>
      </c>
      <c r="G13015" s="7" t="n">
        <v>0</v>
      </c>
    </row>
    <row r="13016" customFormat="false" ht="15" hidden="false" customHeight="false" outlineLevel="0" collapsed="false">
      <c r="A13016" s="7" t="s">
        <v>33</v>
      </c>
      <c r="B13016" s="7" t="s">
        <v>208</v>
      </c>
      <c r="C13016" s="7" t="s">
        <v>1083</v>
      </c>
      <c r="D13016" s="7" t="n">
        <v>200</v>
      </c>
      <c r="E13016" s="7" t="n">
        <v>6416.69</v>
      </c>
      <c r="F13016" s="7" t="n">
        <v>0</v>
      </c>
      <c r="G13016" s="7" t="n">
        <v>0</v>
      </c>
    </row>
    <row r="13017" customFormat="false" ht="15" hidden="false" customHeight="false" outlineLevel="0" collapsed="false">
      <c r="A13017" s="7" t="s">
        <v>33</v>
      </c>
      <c r="B13017" s="7" t="s">
        <v>162</v>
      </c>
      <c r="C13017" s="7" t="s">
        <v>1083</v>
      </c>
      <c r="D13017" s="7" t="n">
        <v>300</v>
      </c>
      <c r="E13017" s="7" t="n">
        <v>9625.04</v>
      </c>
      <c r="F13017" s="7" t="n">
        <v>0</v>
      </c>
      <c r="G13017" s="7" t="n">
        <v>0</v>
      </c>
    </row>
    <row r="13018" customFormat="false" ht="15" hidden="false" customHeight="false" outlineLevel="0" collapsed="false">
      <c r="A13018" s="7" t="s">
        <v>33</v>
      </c>
      <c r="B13018" s="7" t="s">
        <v>171</v>
      </c>
      <c r="C13018" s="7" t="s">
        <v>1083</v>
      </c>
      <c r="D13018" s="7" t="n">
        <v>300</v>
      </c>
      <c r="E13018" s="7" t="n">
        <v>9625.03</v>
      </c>
      <c r="F13018" s="7" t="n">
        <v>0</v>
      </c>
      <c r="G13018" s="7" t="n">
        <v>0</v>
      </c>
    </row>
    <row r="13019" customFormat="false" ht="15" hidden="false" customHeight="false" outlineLevel="0" collapsed="false">
      <c r="A13019" s="7" t="s">
        <v>33</v>
      </c>
      <c r="B13019" s="7" t="s">
        <v>329</v>
      </c>
      <c r="C13019" s="7" t="s">
        <v>1083</v>
      </c>
      <c r="D13019" s="7" t="n">
        <v>100</v>
      </c>
      <c r="E13019" s="7" t="n">
        <v>0.03</v>
      </c>
      <c r="F13019" s="7" t="n">
        <v>0</v>
      </c>
      <c r="G13019" s="7" t="n">
        <v>0</v>
      </c>
    </row>
    <row r="13020" customFormat="false" ht="15" hidden="false" customHeight="false" outlineLevel="0" collapsed="false">
      <c r="A13020" s="7" t="s">
        <v>33</v>
      </c>
      <c r="B13020" s="7" t="s">
        <v>483</v>
      </c>
      <c r="C13020" s="7" t="s">
        <v>1144</v>
      </c>
      <c r="D13020" s="7" t="n">
        <v>10</v>
      </c>
      <c r="E13020" s="7" t="n">
        <v>244.89</v>
      </c>
      <c r="F13020" s="7" t="n">
        <v>0</v>
      </c>
      <c r="G13020" s="7" t="n">
        <v>0</v>
      </c>
    </row>
    <row r="13021" customFormat="false" ht="15" hidden="false" customHeight="false" outlineLevel="0" collapsed="false">
      <c r="A13021" s="7" t="s">
        <v>33</v>
      </c>
      <c r="B13021" s="7" t="s">
        <v>649</v>
      </c>
      <c r="C13021" s="7" t="s">
        <v>1144</v>
      </c>
      <c r="D13021" s="7" t="n">
        <v>20</v>
      </c>
      <c r="E13021" s="7" t="n">
        <v>489.77</v>
      </c>
      <c r="F13021" s="7" t="n">
        <v>0</v>
      </c>
      <c r="G13021" s="7" t="n">
        <v>0</v>
      </c>
    </row>
    <row r="13022" customFormat="false" ht="15" hidden="false" customHeight="false" outlineLevel="0" collapsed="false">
      <c r="A13022" s="7" t="s">
        <v>33</v>
      </c>
      <c r="B13022" s="7" t="s">
        <v>643</v>
      </c>
      <c r="C13022" s="7" t="s">
        <v>1144</v>
      </c>
      <c r="D13022" s="7" t="n">
        <v>20</v>
      </c>
      <c r="E13022" s="7" t="n">
        <v>489.77</v>
      </c>
      <c r="F13022" s="7" t="n">
        <v>0</v>
      </c>
      <c r="G13022" s="7" t="n">
        <v>0</v>
      </c>
    </row>
    <row r="13023" customFormat="false" ht="15" hidden="false" customHeight="false" outlineLevel="0" collapsed="false">
      <c r="A13023" s="7" t="s">
        <v>33</v>
      </c>
      <c r="B13023" s="7" t="s">
        <v>227</v>
      </c>
      <c r="C13023" s="7" t="s">
        <v>1144</v>
      </c>
      <c r="D13023" s="7" t="n">
        <v>5</v>
      </c>
      <c r="E13023" s="7" t="n">
        <v>0.03</v>
      </c>
      <c r="F13023" s="7" t="n">
        <v>0</v>
      </c>
      <c r="G13023" s="7" t="n">
        <v>0</v>
      </c>
    </row>
    <row r="13024" customFormat="false" ht="15" hidden="false" customHeight="false" outlineLevel="0" collapsed="false">
      <c r="A13024" s="7" t="s">
        <v>33</v>
      </c>
      <c r="B13024" s="7" t="s">
        <v>478</v>
      </c>
      <c r="C13024" s="7" t="s">
        <v>1220</v>
      </c>
      <c r="D13024" s="7" t="n">
        <v>50</v>
      </c>
      <c r="E13024" s="7" t="n">
        <v>387.49</v>
      </c>
      <c r="F13024" s="7" t="n">
        <v>0</v>
      </c>
      <c r="G13024" s="7" t="n">
        <v>0</v>
      </c>
    </row>
    <row r="13025" customFormat="false" ht="15" hidden="false" customHeight="false" outlineLevel="0" collapsed="false">
      <c r="A13025" s="7" t="s">
        <v>33</v>
      </c>
      <c r="B13025" s="7" t="s">
        <v>478</v>
      </c>
      <c r="C13025" s="7" t="s">
        <v>1220</v>
      </c>
      <c r="D13025" s="7" t="n">
        <v>5</v>
      </c>
      <c r="E13025" s="7" t="n">
        <v>0.03</v>
      </c>
      <c r="F13025" s="7" t="n">
        <v>0</v>
      </c>
      <c r="G13025" s="7" t="n">
        <v>0</v>
      </c>
    </row>
    <row r="13026" customFormat="false" ht="15" hidden="false" customHeight="false" outlineLevel="0" collapsed="false">
      <c r="A13026" s="7" t="s">
        <v>33</v>
      </c>
      <c r="B13026" s="7" t="s">
        <v>503</v>
      </c>
      <c r="C13026" s="7" t="s">
        <v>1050</v>
      </c>
      <c r="D13026" s="7" t="n">
        <v>10</v>
      </c>
      <c r="E13026" s="7" t="n">
        <v>241.78</v>
      </c>
      <c r="F13026" s="7" t="n">
        <v>0</v>
      </c>
      <c r="G13026" s="7" t="n">
        <v>0</v>
      </c>
    </row>
    <row r="13027" customFormat="false" ht="15" hidden="false" customHeight="false" outlineLevel="0" collapsed="false">
      <c r="A13027" s="7" t="s">
        <v>33</v>
      </c>
      <c r="B13027" s="7" t="s">
        <v>597</v>
      </c>
      <c r="C13027" s="7" t="s">
        <v>1050</v>
      </c>
      <c r="D13027" s="7" t="n">
        <v>20</v>
      </c>
      <c r="E13027" s="7" t="n">
        <v>483.58</v>
      </c>
      <c r="F13027" s="7" t="n">
        <v>0</v>
      </c>
      <c r="G13027" s="7" t="n">
        <v>0</v>
      </c>
    </row>
    <row r="13028" customFormat="false" ht="15" hidden="false" customHeight="false" outlineLevel="0" collapsed="false">
      <c r="A13028" s="7" t="s">
        <v>33</v>
      </c>
      <c r="B13028" s="7" t="s">
        <v>544</v>
      </c>
      <c r="C13028" s="7" t="s">
        <v>1050</v>
      </c>
      <c r="D13028" s="7" t="n">
        <v>10</v>
      </c>
      <c r="E13028" s="7" t="n">
        <v>241.78</v>
      </c>
      <c r="F13028" s="7" t="n">
        <v>0</v>
      </c>
      <c r="G13028" s="7" t="n">
        <v>0</v>
      </c>
    </row>
    <row r="13029" customFormat="false" ht="15" hidden="false" customHeight="false" outlineLevel="0" collapsed="false">
      <c r="A13029" s="7" t="s">
        <v>33</v>
      </c>
      <c r="B13029" s="7" t="s">
        <v>616</v>
      </c>
      <c r="C13029" s="7" t="s">
        <v>1050</v>
      </c>
      <c r="D13029" s="7" t="n">
        <v>10</v>
      </c>
      <c r="E13029" s="7" t="n">
        <v>241.78</v>
      </c>
      <c r="F13029" s="7" t="n">
        <v>0</v>
      </c>
      <c r="G13029" s="7" t="n">
        <v>0</v>
      </c>
    </row>
    <row r="13030" customFormat="false" ht="15" hidden="false" customHeight="false" outlineLevel="0" collapsed="false">
      <c r="A13030" s="7" t="s">
        <v>33</v>
      </c>
      <c r="B13030" s="7" t="s">
        <v>341</v>
      </c>
      <c r="C13030" s="7" t="s">
        <v>1050</v>
      </c>
      <c r="D13030" s="7" t="n">
        <v>5</v>
      </c>
      <c r="E13030" s="7" t="n">
        <v>0.03</v>
      </c>
      <c r="F13030" s="7" t="n">
        <v>0</v>
      </c>
      <c r="G13030" s="7" t="n">
        <v>0</v>
      </c>
    </row>
    <row r="13031" customFormat="false" ht="15" hidden="false" customHeight="false" outlineLevel="0" collapsed="false">
      <c r="A13031" s="7" t="s">
        <v>33</v>
      </c>
      <c r="B13031" s="7" t="s">
        <v>181</v>
      </c>
      <c r="C13031" s="7" t="s">
        <v>1149</v>
      </c>
      <c r="D13031" s="7" t="n">
        <v>20</v>
      </c>
      <c r="E13031" s="7" t="n">
        <v>647.87</v>
      </c>
      <c r="F13031" s="7" t="n">
        <v>0</v>
      </c>
      <c r="G13031" s="7" t="n">
        <v>0</v>
      </c>
    </row>
    <row r="13032" customFormat="false" ht="15" hidden="false" customHeight="false" outlineLevel="0" collapsed="false">
      <c r="A13032" s="7" t="s">
        <v>33</v>
      </c>
      <c r="B13032" s="7" t="s">
        <v>394</v>
      </c>
      <c r="C13032" s="7" t="s">
        <v>1149</v>
      </c>
      <c r="D13032" s="7" t="n">
        <v>20</v>
      </c>
      <c r="E13032" s="7" t="n">
        <v>647.87</v>
      </c>
      <c r="F13032" s="7" t="n">
        <v>0</v>
      </c>
      <c r="G13032" s="7" t="n">
        <v>0</v>
      </c>
    </row>
    <row r="13033" customFormat="false" ht="15" hidden="false" customHeight="false" outlineLevel="0" collapsed="false">
      <c r="A13033" s="7" t="s">
        <v>33</v>
      </c>
      <c r="B13033" s="7" t="s">
        <v>758</v>
      </c>
      <c r="C13033" s="7" t="s">
        <v>1149</v>
      </c>
      <c r="D13033" s="7" t="n">
        <v>5</v>
      </c>
      <c r="E13033" s="7" t="n">
        <v>0.03</v>
      </c>
      <c r="F13033" s="7" t="n">
        <v>0</v>
      </c>
      <c r="G13033" s="7" t="n">
        <v>0</v>
      </c>
    </row>
    <row r="13034" customFormat="false" ht="15" hidden="false" customHeight="false" outlineLevel="0" collapsed="false">
      <c r="A13034" s="7" t="s">
        <v>33</v>
      </c>
      <c r="B13034" s="7" t="s">
        <v>382</v>
      </c>
      <c r="C13034" s="7" t="s">
        <v>1149</v>
      </c>
      <c r="D13034" s="7" t="n">
        <v>5</v>
      </c>
      <c r="E13034" s="7" t="n">
        <v>161.97</v>
      </c>
      <c r="F13034" s="7" t="n">
        <v>0</v>
      </c>
      <c r="G13034" s="7" t="n">
        <v>0</v>
      </c>
    </row>
    <row r="13035" customFormat="false" ht="15" hidden="false" customHeight="false" outlineLevel="0" collapsed="false">
      <c r="A13035" s="7" t="s">
        <v>33</v>
      </c>
      <c r="B13035" s="7" t="s">
        <v>535</v>
      </c>
      <c r="C13035" s="7" t="s">
        <v>1149</v>
      </c>
      <c r="D13035" s="7" t="n">
        <v>5</v>
      </c>
      <c r="E13035" s="7" t="n">
        <v>161.97</v>
      </c>
      <c r="F13035" s="7" t="n">
        <v>0</v>
      </c>
      <c r="G13035" s="7" t="n">
        <v>0</v>
      </c>
    </row>
    <row r="13036" customFormat="false" ht="15" hidden="false" customHeight="false" outlineLevel="0" collapsed="false">
      <c r="A13036" s="7" t="s">
        <v>33</v>
      </c>
      <c r="B13036" s="7" t="s">
        <v>639</v>
      </c>
      <c r="C13036" s="7" t="s">
        <v>1224</v>
      </c>
      <c r="D13036" s="7" t="n">
        <v>50</v>
      </c>
      <c r="E13036" s="7" t="n">
        <v>1450.73</v>
      </c>
      <c r="F13036" s="7" t="n">
        <v>0</v>
      </c>
      <c r="G13036" s="7" t="n">
        <v>0</v>
      </c>
    </row>
    <row r="13037" customFormat="false" ht="15" hidden="false" customHeight="false" outlineLevel="0" collapsed="false">
      <c r="A13037" s="7" t="s">
        <v>33</v>
      </c>
      <c r="B13037" s="7" t="s">
        <v>639</v>
      </c>
      <c r="C13037" s="7" t="s">
        <v>1224</v>
      </c>
      <c r="D13037" s="7" t="n">
        <v>5</v>
      </c>
      <c r="E13037" s="7" t="n">
        <v>0.03</v>
      </c>
      <c r="F13037" s="7" t="n">
        <v>0</v>
      </c>
      <c r="G13037" s="7" t="n">
        <v>0</v>
      </c>
    </row>
    <row r="13038" customFormat="false" ht="15" hidden="false" customHeight="false" outlineLevel="0" collapsed="false">
      <c r="A13038" s="7" t="s">
        <v>33</v>
      </c>
      <c r="B13038" s="7" t="s">
        <v>502</v>
      </c>
      <c r="C13038" s="7" t="s">
        <v>1090</v>
      </c>
      <c r="D13038" s="7" t="n">
        <v>50</v>
      </c>
      <c r="E13038" s="7" t="n">
        <v>247.99</v>
      </c>
      <c r="F13038" s="7" t="n">
        <v>0</v>
      </c>
      <c r="G13038" s="7" t="n">
        <v>0</v>
      </c>
    </row>
    <row r="13039" customFormat="false" ht="15" hidden="false" customHeight="false" outlineLevel="0" collapsed="false">
      <c r="A13039" s="7" t="s">
        <v>33</v>
      </c>
      <c r="B13039" s="7" t="s">
        <v>502</v>
      </c>
      <c r="C13039" s="7" t="s">
        <v>1090</v>
      </c>
      <c r="D13039" s="7" t="n">
        <v>5</v>
      </c>
      <c r="E13039" s="7" t="n">
        <v>0.03</v>
      </c>
      <c r="F13039" s="7" t="n">
        <v>0</v>
      </c>
      <c r="G13039" s="7" t="n">
        <v>0</v>
      </c>
    </row>
    <row r="13040" customFormat="false" ht="15" hidden="false" customHeight="false" outlineLevel="0" collapsed="false">
      <c r="A13040" s="7" t="s">
        <v>33</v>
      </c>
      <c r="B13040" s="7" t="s">
        <v>225</v>
      </c>
      <c r="C13040" s="7" t="s">
        <v>1091</v>
      </c>
      <c r="D13040" s="7" t="n">
        <v>50</v>
      </c>
      <c r="E13040" s="7" t="n">
        <v>402.98</v>
      </c>
      <c r="F13040" s="7" t="n">
        <v>0</v>
      </c>
      <c r="G13040" s="7" t="n">
        <v>0</v>
      </c>
    </row>
    <row r="13041" customFormat="false" ht="15" hidden="false" customHeight="false" outlineLevel="0" collapsed="false">
      <c r="A13041" s="7" t="s">
        <v>33</v>
      </c>
      <c r="B13041" s="7" t="s">
        <v>225</v>
      </c>
      <c r="C13041" s="7" t="s">
        <v>1091</v>
      </c>
      <c r="D13041" s="7" t="n">
        <v>5</v>
      </c>
      <c r="E13041" s="7" t="n">
        <v>0.03</v>
      </c>
      <c r="F13041" s="7" t="n">
        <v>0</v>
      </c>
      <c r="G13041" s="7" t="n">
        <v>0</v>
      </c>
    </row>
    <row r="13042" customFormat="false" ht="15" hidden="false" customHeight="false" outlineLevel="0" collapsed="false">
      <c r="A13042" s="7" t="s">
        <v>33</v>
      </c>
      <c r="B13042" s="7" t="s">
        <v>134</v>
      </c>
      <c r="C13042" s="7" t="s">
        <v>1093</v>
      </c>
      <c r="D13042" s="7" t="n">
        <v>50</v>
      </c>
      <c r="E13042" s="7" t="n">
        <v>805.96</v>
      </c>
      <c r="F13042" s="7" t="n">
        <v>0</v>
      </c>
      <c r="G13042" s="7" t="n">
        <v>0</v>
      </c>
    </row>
    <row r="13043" customFormat="false" ht="15" hidden="false" customHeight="false" outlineLevel="0" collapsed="false">
      <c r="A13043" s="7" t="s">
        <v>33</v>
      </c>
      <c r="B13043" s="7" t="s">
        <v>134</v>
      </c>
      <c r="C13043" s="7" t="s">
        <v>1093</v>
      </c>
      <c r="D13043" s="7" t="n">
        <v>5</v>
      </c>
      <c r="E13043" s="7" t="n">
        <v>0.03</v>
      </c>
      <c r="F13043" s="7" t="n">
        <v>0</v>
      </c>
      <c r="G13043" s="7" t="n">
        <v>0</v>
      </c>
    </row>
    <row r="13044" customFormat="false" ht="15" hidden="false" customHeight="false" outlineLevel="0" collapsed="false">
      <c r="A13044" s="7" t="s">
        <v>33</v>
      </c>
      <c r="B13044" s="7" t="s">
        <v>661</v>
      </c>
      <c r="C13044" s="7" t="s">
        <v>1096</v>
      </c>
      <c r="D13044" s="7" t="n">
        <v>5</v>
      </c>
      <c r="E13044" s="7" t="n">
        <v>0.03</v>
      </c>
      <c r="F13044" s="7" t="n">
        <v>0</v>
      </c>
      <c r="G13044" s="7" t="n">
        <v>0</v>
      </c>
    </row>
    <row r="13045" customFormat="false" ht="15" hidden="false" customHeight="false" outlineLevel="0" collapsed="false">
      <c r="A13045" s="7" t="s">
        <v>33</v>
      </c>
      <c r="B13045" s="7" t="s">
        <v>661</v>
      </c>
      <c r="C13045" s="7" t="s">
        <v>1096</v>
      </c>
      <c r="D13045" s="7" t="n">
        <v>50</v>
      </c>
      <c r="E13045" s="7" t="n">
        <v>278.99</v>
      </c>
      <c r="F13045" s="7" t="n">
        <v>0</v>
      </c>
      <c r="G13045" s="7" t="n">
        <v>0</v>
      </c>
    </row>
    <row r="13046" customFormat="false" ht="15" hidden="false" customHeight="false" outlineLevel="0" collapsed="false">
      <c r="A13046" s="7" t="s">
        <v>33</v>
      </c>
      <c r="B13046" s="7" t="s">
        <v>735</v>
      </c>
      <c r="C13046" s="7" t="s">
        <v>1098</v>
      </c>
      <c r="D13046" s="7" t="n">
        <v>50</v>
      </c>
      <c r="E13046" s="7" t="n">
        <v>379.73</v>
      </c>
      <c r="F13046" s="7" t="n">
        <v>0</v>
      </c>
      <c r="G13046" s="7" t="n">
        <v>0</v>
      </c>
    </row>
    <row r="13047" customFormat="false" ht="15" hidden="false" customHeight="false" outlineLevel="0" collapsed="false">
      <c r="A13047" s="7" t="s">
        <v>33</v>
      </c>
      <c r="B13047" s="7" t="s">
        <v>735</v>
      </c>
      <c r="C13047" s="7" t="s">
        <v>1098</v>
      </c>
      <c r="D13047" s="7" t="n">
        <v>5</v>
      </c>
      <c r="E13047" s="7" t="n">
        <v>0.03</v>
      </c>
      <c r="F13047" s="7" t="n">
        <v>0</v>
      </c>
      <c r="G13047" s="7" t="n">
        <v>0</v>
      </c>
    </row>
    <row r="13048" customFormat="false" ht="15" hidden="false" customHeight="false" outlineLevel="0" collapsed="false">
      <c r="A13048" s="7" t="s">
        <v>33</v>
      </c>
      <c r="B13048" s="7" t="s">
        <v>677</v>
      </c>
      <c r="C13048" s="7" t="s">
        <v>1159</v>
      </c>
      <c r="D13048" s="7" t="n">
        <v>20</v>
      </c>
      <c r="E13048" s="7" t="n">
        <v>270.93</v>
      </c>
      <c r="F13048" s="7" t="n">
        <v>0</v>
      </c>
      <c r="G13048" s="7" t="n">
        <v>0</v>
      </c>
    </row>
    <row r="13049" customFormat="false" ht="15" hidden="false" customHeight="false" outlineLevel="0" collapsed="false">
      <c r="A13049" s="7" t="s">
        <v>33</v>
      </c>
      <c r="B13049" s="7" t="s">
        <v>688</v>
      </c>
      <c r="C13049" s="7" t="s">
        <v>1159</v>
      </c>
      <c r="D13049" s="7" t="n">
        <v>20</v>
      </c>
      <c r="E13049" s="7" t="n">
        <v>270.93</v>
      </c>
      <c r="F13049" s="7" t="n">
        <v>0</v>
      </c>
      <c r="G13049" s="7" t="n">
        <v>0</v>
      </c>
    </row>
    <row r="13050" customFormat="false" ht="15" hidden="false" customHeight="false" outlineLevel="0" collapsed="false">
      <c r="A13050" s="7" t="s">
        <v>33</v>
      </c>
      <c r="B13050" s="7" t="s">
        <v>766</v>
      </c>
      <c r="C13050" s="7" t="s">
        <v>1159</v>
      </c>
      <c r="D13050" s="7" t="n">
        <v>5</v>
      </c>
      <c r="E13050" s="7" t="n">
        <v>0.03</v>
      </c>
      <c r="F13050" s="7" t="n">
        <v>0</v>
      </c>
      <c r="G13050" s="7" t="n">
        <v>0</v>
      </c>
    </row>
    <row r="13051" customFormat="false" ht="15" hidden="false" customHeight="false" outlineLevel="0" collapsed="false">
      <c r="A13051" s="7" t="s">
        <v>33</v>
      </c>
      <c r="B13051" s="7" t="s">
        <v>766</v>
      </c>
      <c r="C13051" s="7" t="s">
        <v>1159</v>
      </c>
      <c r="D13051" s="7" t="n">
        <v>10</v>
      </c>
      <c r="E13051" s="7" t="n">
        <v>135.46</v>
      </c>
      <c r="F13051" s="7" t="n">
        <v>0</v>
      </c>
      <c r="G13051" s="7" t="n">
        <v>0</v>
      </c>
    </row>
    <row r="13052" customFormat="false" ht="15" hidden="false" customHeight="false" outlineLevel="0" collapsed="false">
      <c r="A13052" s="7" t="s">
        <v>33</v>
      </c>
      <c r="B13052" s="7" t="s">
        <v>785</v>
      </c>
      <c r="C13052" s="7" t="s">
        <v>1057</v>
      </c>
      <c r="D13052" s="7" t="n">
        <v>10</v>
      </c>
      <c r="E13052" s="7" t="n">
        <v>452.58</v>
      </c>
      <c r="F13052" s="7" t="n">
        <v>0</v>
      </c>
      <c r="G13052" s="7" t="n">
        <v>0</v>
      </c>
    </row>
    <row r="13053" customFormat="false" ht="15" hidden="false" customHeight="false" outlineLevel="0" collapsed="false">
      <c r="A13053" s="7" t="s">
        <v>33</v>
      </c>
      <c r="B13053" s="7" t="s">
        <v>581</v>
      </c>
      <c r="C13053" s="7" t="s">
        <v>1057</v>
      </c>
      <c r="D13053" s="7" t="n">
        <v>20</v>
      </c>
      <c r="E13053" s="7" t="n">
        <v>905.16</v>
      </c>
      <c r="F13053" s="7" t="n">
        <v>0</v>
      </c>
      <c r="G13053" s="7" t="n">
        <v>0</v>
      </c>
    </row>
    <row r="13054" customFormat="false" ht="15" hidden="false" customHeight="false" outlineLevel="0" collapsed="false">
      <c r="A13054" s="7" t="s">
        <v>33</v>
      </c>
      <c r="B13054" s="7" t="s">
        <v>610</v>
      </c>
      <c r="C13054" s="7" t="s">
        <v>1057</v>
      </c>
      <c r="D13054" s="7" t="n">
        <v>5</v>
      </c>
      <c r="E13054" s="7" t="n">
        <v>226.29</v>
      </c>
      <c r="F13054" s="7" t="n">
        <v>0</v>
      </c>
      <c r="G13054" s="7" t="n">
        <v>0</v>
      </c>
    </row>
    <row r="13055" customFormat="false" ht="15" hidden="false" customHeight="false" outlineLevel="0" collapsed="false">
      <c r="A13055" s="7" t="s">
        <v>33</v>
      </c>
      <c r="B13055" s="7" t="s">
        <v>784</v>
      </c>
      <c r="C13055" s="7" t="s">
        <v>1057</v>
      </c>
      <c r="D13055" s="7" t="n">
        <v>10</v>
      </c>
      <c r="E13055" s="7" t="n">
        <v>452.58</v>
      </c>
      <c r="F13055" s="7" t="n">
        <v>0</v>
      </c>
      <c r="G13055" s="7" t="n">
        <v>0</v>
      </c>
    </row>
    <row r="13056" customFormat="false" ht="15" hidden="false" customHeight="false" outlineLevel="0" collapsed="false">
      <c r="A13056" s="7" t="s">
        <v>33</v>
      </c>
      <c r="B13056" s="7" t="s">
        <v>786</v>
      </c>
      <c r="C13056" s="7" t="s">
        <v>1057</v>
      </c>
      <c r="D13056" s="7" t="n">
        <v>5</v>
      </c>
      <c r="E13056" s="7" t="n">
        <v>0.03</v>
      </c>
      <c r="F13056" s="7" t="n">
        <v>0</v>
      </c>
      <c r="G13056" s="7" t="n">
        <v>0</v>
      </c>
    </row>
    <row r="13057" customFormat="false" ht="15" hidden="false" customHeight="false" outlineLevel="0" collapsed="false">
      <c r="A13057" s="7" t="s">
        <v>33</v>
      </c>
      <c r="B13057" s="7" t="s">
        <v>465</v>
      </c>
      <c r="C13057" s="7" t="s">
        <v>1107</v>
      </c>
      <c r="D13057" s="7" t="n">
        <v>20</v>
      </c>
      <c r="E13057" s="7" t="n">
        <v>554.25</v>
      </c>
      <c r="F13057" s="7" t="n">
        <v>0</v>
      </c>
      <c r="G13057" s="7" t="n">
        <v>0</v>
      </c>
    </row>
    <row r="13058" customFormat="false" ht="15" hidden="false" customHeight="false" outlineLevel="0" collapsed="false">
      <c r="A13058" s="7" t="s">
        <v>33</v>
      </c>
      <c r="B13058" s="7" t="s">
        <v>262</v>
      </c>
      <c r="C13058" s="7" t="s">
        <v>1107</v>
      </c>
      <c r="D13058" s="7" t="n">
        <v>10</v>
      </c>
      <c r="E13058" s="7" t="n">
        <v>277.12</v>
      </c>
      <c r="F13058" s="7" t="n">
        <v>0</v>
      </c>
      <c r="G13058" s="7" t="n">
        <v>0</v>
      </c>
    </row>
    <row r="13059" customFormat="false" ht="15" hidden="false" customHeight="false" outlineLevel="0" collapsed="false">
      <c r="A13059" s="7" t="s">
        <v>33</v>
      </c>
      <c r="B13059" s="7" t="s">
        <v>596</v>
      </c>
      <c r="C13059" s="7" t="s">
        <v>1107</v>
      </c>
      <c r="D13059" s="7" t="n">
        <v>5</v>
      </c>
      <c r="E13059" s="7" t="n">
        <v>138.57</v>
      </c>
      <c r="F13059" s="7" t="n">
        <v>0</v>
      </c>
      <c r="G13059" s="7" t="n">
        <v>0</v>
      </c>
    </row>
    <row r="13060" customFormat="false" ht="15" hidden="false" customHeight="false" outlineLevel="0" collapsed="false">
      <c r="A13060" s="7" t="s">
        <v>33</v>
      </c>
      <c r="B13060" s="7" t="s">
        <v>551</v>
      </c>
      <c r="C13060" s="7" t="s">
        <v>1107</v>
      </c>
      <c r="D13060" s="7" t="n">
        <v>10</v>
      </c>
      <c r="E13060" s="7" t="n">
        <v>277.12</v>
      </c>
      <c r="F13060" s="7" t="n">
        <v>0</v>
      </c>
      <c r="G13060" s="7" t="n">
        <v>0</v>
      </c>
    </row>
    <row r="13061" customFormat="false" ht="15" hidden="false" customHeight="false" outlineLevel="0" collapsed="false">
      <c r="A13061" s="7" t="s">
        <v>33</v>
      </c>
      <c r="B13061" s="7" t="s">
        <v>460</v>
      </c>
      <c r="C13061" s="7" t="s">
        <v>1107</v>
      </c>
      <c r="D13061" s="7" t="n">
        <v>5</v>
      </c>
      <c r="E13061" s="7" t="n">
        <v>0.03</v>
      </c>
      <c r="F13061" s="7" t="n">
        <v>0</v>
      </c>
      <c r="G13061" s="7" t="n">
        <v>0</v>
      </c>
    </row>
    <row r="13062" customFormat="false" ht="15" hidden="false" customHeight="false" outlineLevel="0" collapsed="false">
      <c r="A13062" s="7" t="s">
        <v>33</v>
      </c>
      <c r="B13062" s="7" t="s">
        <v>720</v>
      </c>
      <c r="C13062" s="7" t="s">
        <v>1107</v>
      </c>
      <c r="D13062" s="7" t="n">
        <v>5</v>
      </c>
      <c r="E13062" s="7" t="n">
        <v>138.57</v>
      </c>
      <c r="F13062" s="7" t="n">
        <v>0</v>
      </c>
      <c r="G13062" s="7" t="n">
        <v>0</v>
      </c>
    </row>
    <row r="13063" customFormat="false" ht="15" hidden="false" customHeight="false" outlineLevel="0" collapsed="false">
      <c r="A13063" s="7" t="s">
        <v>33</v>
      </c>
      <c r="B13063" s="7" t="s">
        <v>100</v>
      </c>
      <c r="C13063" s="7" t="s">
        <v>1160</v>
      </c>
      <c r="D13063" s="7" t="n">
        <v>100</v>
      </c>
      <c r="E13063" s="7" t="n">
        <v>14683.5</v>
      </c>
      <c r="F13063" s="7" t="n">
        <v>0</v>
      </c>
      <c r="G13063" s="7" t="n">
        <v>0</v>
      </c>
    </row>
    <row r="13064" customFormat="false" ht="15" hidden="false" customHeight="false" outlineLevel="0" collapsed="false">
      <c r="A13064" s="7" t="s">
        <v>33</v>
      </c>
      <c r="B13064" s="7" t="s">
        <v>100</v>
      </c>
      <c r="C13064" s="7" t="s">
        <v>1160</v>
      </c>
      <c r="D13064" s="7" t="n">
        <v>42</v>
      </c>
      <c r="E13064" s="7" t="n">
        <v>0.06</v>
      </c>
      <c r="F13064" s="7" t="n">
        <v>0</v>
      </c>
      <c r="G13064" s="7" t="n">
        <v>0</v>
      </c>
    </row>
    <row r="13065" customFormat="false" ht="15" hidden="false" customHeight="false" outlineLevel="0" collapsed="false">
      <c r="A13065" s="7" t="s">
        <v>33</v>
      </c>
      <c r="B13065" s="7" t="s">
        <v>979</v>
      </c>
      <c r="C13065" s="7" t="s">
        <v>1063</v>
      </c>
      <c r="D13065" s="7" t="n">
        <v>1</v>
      </c>
      <c r="E13065" s="7" t="n">
        <v>0.04</v>
      </c>
      <c r="F13065" s="7" t="n">
        <v>0</v>
      </c>
      <c r="G13065" s="7" t="n">
        <v>0</v>
      </c>
    </row>
    <row r="13066" customFormat="false" ht="15" hidden="false" customHeight="false" outlineLevel="0" collapsed="false">
      <c r="A13066" s="7" t="s">
        <v>33</v>
      </c>
      <c r="B13066" s="7" t="s">
        <v>981</v>
      </c>
      <c r="C13066" s="7" t="s">
        <v>1064</v>
      </c>
      <c r="D13066" s="7" t="n">
        <v>50</v>
      </c>
      <c r="E13066" s="7" t="n">
        <v>0.03</v>
      </c>
      <c r="F13066" s="7" t="n">
        <v>0</v>
      </c>
      <c r="G13066" s="7" t="n">
        <v>0</v>
      </c>
    </row>
    <row r="13067" customFormat="false" ht="15" hidden="false" customHeight="false" outlineLevel="0" collapsed="false">
      <c r="A13067" s="7" t="s">
        <v>33</v>
      </c>
      <c r="B13067" s="7" t="s">
        <v>372</v>
      </c>
      <c r="C13067" s="7" t="s">
        <v>1064</v>
      </c>
      <c r="D13067" s="7" t="n">
        <v>100</v>
      </c>
      <c r="E13067" s="7" t="n">
        <v>16212.21</v>
      </c>
      <c r="F13067" s="7" t="n">
        <v>0</v>
      </c>
      <c r="G13067" s="7" t="n">
        <v>0</v>
      </c>
    </row>
    <row r="13068" customFormat="false" ht="15" hidden="false" customHeight="false" outlineLevel="0" collapsed="false">
      <c r="A13068" s="7" t="s">
        <v>33</v>
      </c>
      <c r="B13068" s="7" t="s">
        <v>138</v>
      </c>
      <c r="C13068" s="7" t="s">
        <v>1064</v>
      </c>
      <c r="D13068" s="7" t="n">
        <v>200</v>
      </c>
      <c r="E13068" s="7" t="n">
        <v>32424.43</v>
      </c>
      <c r="F13068" s="7" t="n">
        <v>0</v>
      </c>
      <c r="G13068" s="7" t="n">
        <v>0</v>
      </c>
    </row>
    <row r="13069" customFormat="false" ht="15" hidden="false" customHeight="false" outlineLevel="0" collapsed="false">
      <c r="A13069" s="7" t="s">
        <v>33</v>
      </c>
      <c r="B13069" s="7" t="s">
        <v>200</v>
      </c>
      <c r="C13069" s="7" t="s">
        <v>1064</v>
      </c>
      <c r="D13069" s="7" t="n">
        <v>200</v>
      </c>
      <c r="E13069" s="7" t="n">
        <v>32424.43</v>
      </c>
      <c r="F13069" s="7" t="n">
        <v>0</v>
      </c>
      <c r="G13069" s="7" t="n">
        <v>0</v>
      </c>
    </row>
    <row r="13070" customFormat="false" ht="15" hidden="false" customHeight="false" outlineLevel="0" collapsed="false">
      <c r="A13070" s="7" t="s">
        <v>33</v>
      </c>
      <c r="B13070" s="7" t="s">
        <v>437</v>
      </c>
      <c r="C13070" s="7" t="s">
        <v>1268</v>
      </c>
      <c r="D13070" s="7" t="n">
        <v>50</v>
      </c>
      <c r="E13070" s="7" t="n">
        <v>0.03</v>
      </c>
      <c r="F13070" s="7" t="n">
        <v>0</v>
      </c>
      <c r="G13070" s="7" t="n">
        <v>0</v>
      </c>
    </row>
    <row r="13071" customFormat="false" ht="15" hidden="false" customHeight="false" outlineLevel="0" collapsed="false">
      <c r="A13071" s="7" t="s">
        <v>33</v>
      </c>
      <c r="B13071" s="7" t="s">
        <v>437</v>
      </c>
      <c r="C13071" s="7" t="s">
        <v>1268</v>
      </c>
      <c r="D13071" s="7" t="n">
        <v>500</v>
      </c>
      <c r="E13071" s="7" t="n">
        <v>25232.76</v>
      </c>
      <c r="F13071" s="7" t="n">
        <v>0</v>
      </c>
      <c r="G13071" s="7" t="n">
        <v>0</v>
      </c>
    </row>
    <row r="13072" customFormat="false" ht="15" hidden="false" customHeight="false" outlineLevel="0" collapsed="false">
      <c r="A13072" s="7" t="s">
        <v>33</v>
      </c>
      <c r="B13072" s="7" t="s">
        <v>582</v>
      </c>
      <c r="C13072" s="7" t="s">
        <v>1269</v>
      </c>
      <c r="D13072" s="7" t="n">
        <v>200</v>
      </c>
      <c r="E13072" s="7" t="n">
        <v>3254.84</v>
      </c>
      <c r="F13072" s="7" t="n">
        <v>0</v>
      </c>
      <c r="G13072" s="7" t="n">
        <v>0</v>
      </c>
    </row>
    <row r="13073" customFormat="false" ht="15" hidden="false" customHeight="false" outlineLevel="0" collapsed="false">
      <c r="A13073" s="7" t="s">
        <v>33</v>
      </c>
      <c r="B13073" s="7" t="s">
        <v>582</v>
      </c>
      <c r="C13073" s="7" t="s">
        <v>1269</v>
      </c>
      <c r="D13073" s="7" t="n">
        <v>20</v>
      </c>
      <c r="E13073" s="7" t="n">
        <v>0.03</v>
      </c>
      <c r="F13073" s="7" t="n">
        <v>0</v>
      </c>
      <c r="G13073" s="7" t="n">
        <v>0</v>
      </c>
    </row>
    <row r="13074" customFormat="false" ht="15" hidden="false" customHeight="false" outlineLevel="0" collapsed="false">
      <c r="A13074" s="7" t="s">
        <v>33</v>
      </c>
      <c r="B13074" s="7" t="s">
        <v>174</v>
      </c>
      <c r="C13074" s="7" t="s">
        <v>1270</v>
      </c>
      <c r="D13074" s="7" t="n">
        <v>300</v>
      </c>
      <c r="E13074" s="7" t="n">
        <v>6453.89</v>
      </c>
      <c r="F13074" s="7" t="n">
        <v>0</v>
      </c>
      <c r="G13074" s="7" t="n">
        <v>0</v>
      </c>
    </row>
    <row r="13075" customFormat="false" ht="15" hidden="false" customHeight="false" outlineLevel="0" collapsed="false">
      <c r="A13075" s="7" t="s">
        <v>33</v>
      </c>
      <c r="B13075" s="7" t="s">
        <v>174</v>
      </c>
      <c r="C13075" s="7" t="s">
        <v>1270</v>
      </c>
      <c r="D13075" s="7" t="n">
        <v>30</v>
      </c>
      <c r="E13075" s="7" t="n">
        <v>0.03</v>
      </c>
      <c r="F13075" s="7" t="n">
        <v>0</v>
      </c>
      <c r="G13075" s="7" t="n">
        <v>0</v>
      </c>
    </row>
    <row r="13076" customFormat="false" ht="15" hidden="false" customHeight="false" outlineLevel="0" collapsed="false">
      <c r="A13076" s="7" t="s">
        <v>33</v>
      </c>
      <c r="B13076" s="7" t="s">
        <v>156</v>
      </c>
      <c r="C13076" s="7" t="s">
        <v>1270</v>
      </c>
      <c r="D13076" s="7" t="n">
        <v>30</v>
      </c>
      <c r="E13076" s="7" t="n">
        <v>0.03</v>
      </c>
      <c r="F13076" s="7" t="n">
        <v>0</v>
      </c>
      <c r="G13076" s="7" t="n">
        <v>0</v>
      </c>
    </row>
    <row r="13077" customFormat="false" ht="15" hidden="false" customHeight="false" outlineLevel="0" collapsed="false">
      <c r="A13077" s="7" t="s">
        <v>33</v>
      </c>
      <c r="B13077" s="7" t="s">
        <v>156</v>
      </c>
      <c r="C13077" s="7" t="s">
        <v>1270</v>
      </c>
      <c r="D13077" s="7" t="n">
        <v>300</v>
      </c>
      <c r="E13077" s="7" t="n">
        <v>6453.89</v>
      </c>
      <c r="F13077" s="7" t="n">
        <v>0</v>
      </c>
      <c r="G13077" s="7" t="n">
        <v>0</v>
      </c>
    </row>
    <row r="13078" customFormat="false" ht="15" hidden="false" customHeight="false" outlineLevel="0" collapsed="false">
      <c r="A13078" s="7" t="s">
        <v>33</v>
      </c>
      <c r="B13078" s="7" t="s">
        <v>253</v>
      </c>
      <c r="C13078" s="7" t="s">
        <v>1142</v>
      </c>
      <c r="D13078" s="7" t="n">
        <v>500</v>
      </c>
      <c r="E13078" s="7" t="n">
        <v>7501.64</v>
      </c>
      <c r="F13078" s="7" t="n">
        <v>0</v>
      </c>
      <c r="G13078" s="7" t="n">
        <v>0</v>
      </c>
    </row>
    <row r="13079" customFormat="false" ht="15" hidden="false" customHeight="false" outlineLevel="0" collapsed="false">
      <c r="A13079" s="7" t="s">
        <v>33</v>
      </c>
      <c r="B13079" s="7" t="s">
        <v>253</v>
      </c>
      <c r="C13079" s="7" t="s">
        <v>1142</v>
      </c>
      <c r="D13079" s="7" t="n">
        <v>50</v>
      </c>
      <c r="E13079" s="7" t="n">
        <v>0.03</v>
      </c>
      <c r="F13079" s="7" t="n">
        <v>0</v>
      </c>
      <c r="G13079" s="7" t="n">
        <v>0</v>
      </c>
    </row>
    <row r="13080" customFormat="false" ht="15" hidden="false" customHeight="false" outlineLevel="0" collapsed="false">
      <c r="A13080" s="7" t="s">
        <v>33</v>
      </c>
      <c r="B13080" s="7" t="s">
        <v>441</v>
      </c>
      <c r="C13080" s="7" t="s">
        <v>1185</v>
      </c>
      <c r="D13080" s="7" t="n">
        <v>20</v>
      </c>
      <c r="E13080" s="7" t="n">
        <v>0.03</v>
      </c>
      <c r="F13080" s="7" t="n">
        <v>0</v>
      </c>
      <c r="G13080" s="7" t="n">
        <v>0</v>
      </c>
    </row>
    <row r="13081" customFormat="false" ht="15" hidden="false" customHeight="false" outlineLevel="0" collapsed="false">
      <c r="A13081" s="7" t="s">
        <v>33</v>
      </c>
      <c r="B13081" s="7" t="s">
        <v>441</v>
      </c>
      <c r="C13081" s="7" t="s">
        <v>1185</v>
      </c>
      <c r="D13081" s="7" t="n">
        <v>200</v>
      </c>
      <c r="E13081" s="7" t="n">
        <v>3409.83</v>
      </c>
      <c r="F13081" s="7" t="n">
        <v>0</v>
      </c>
      <c r="G13081" s="7" t="n">
        <v>0</v>
      </c>
    </row>
    <row r="13082" customFormat="false" ht="15" hidden="false" customHeight="false" outlineLevel="0" collapsed="false">
      <c r="A13082" s="7" t="s">
        <v>33</v>
      </c>
      <c r="B13082" s="7" t="s">
        <v>311</v>
      </c>
      <c r="C13082" s="7" t="s">
        <v>1272</v>
      </c>
      <c r="D13082" s="7" t="n">
        <v>300</v>
      </c>
      <c r="E13082" s="7" t="n">
        <v>15083.87</v>
      </c>
      <c r="F13082" s="7" t="n">
        <v>0</v>
      </c>
      <c r="G13082" s="7" t="n">
        <v>0</v>
      </c>
    </row>
    <row r="13083" customFormat="false" ht="15" hidden="false" customHeight="false" outlineLevel="0" collapsed="false">
      <c r="A13083" s="7" t="s">
        <v>33</v>
      </c>
      <c r="B13083" s="7" t="s">
        <v>311</v>
      </c>
      <c r="C13083" s="7" t="s">
        <v>1272</v>
      </c>
      <c r="D13083" s="7" t="n">
        <v>30</v>
      </c>
      <c r="E13083" s="7" t="n">
        <v>0.03</v>
      </c>
      <c r="F13083" s="7" t="n">
        <v>0</v>
      </c>
      <c r="G13083" s="7" t="n">
        <v>0</v>
      </c>
    </row>
    <row r="13084" customFormat="false" ht="15" hidden="false" customHeight="false" outlineLevel="0" collapsed="false">
      <c r="A13084" s="7" t="s">
        <v>33</v>
      </c>
      <c r="B13084" s="7" t="s">
        <v>135</v>
      </c>
      <c r="C13084" s="7" t="s">
        <v>1273</v>
      </c>
      <c r="D13084" s="7" t="n">
        <v>300</v>
      </c>
      <c r="E13084" s="7" t="n">
        <v>10155.11</v>
      </c>
      <c r="F13084" s="7" t="n">
        <v>0</v>
      </c>
      <c r="G13084" s="7" t="n">
        <v>0</v>
      </c>
    </row>
    <row r="13085" customFormat="false" ht="15" hidden="false" customHeight="false" outlineLevel="0" collapsed="false">
      <c r="A13085" s="7" t="s">
        <v>33</v>
      </c>
      <c r="B13085" s="7" t="s">
        <v>135</v>
      </c>
      <c r="C13085" s="7" t="s">
        <v>1273</v>
      </c>
      <c r="D13085" s="7" t="n">
        <v>30</v>
      </c>
      <c r="E13085" s="7" t="n">
        <v>0.03</v>
      </c>
      <c r="F13085" s="7" t="n">
        <v>0</v>
      </c>
      <c r="G13085" s="7" t="n">
        <v>0</v>
      </c>
    </row>
    <row r="13086" customFormat="false" ht="15" hidden="false" customHeight="false" outlineLevel="0" collapsed="false">
      <c r="A13086" s="7" t="s">
        <v>33</v>
      </c>
      <c r="B13086" s="7" t="s">
        <v>101</v>
      </c>
      <c r="C13086" s="7" t="s">
        <v>1121</v>
      </c>
      <c r="D13086" s="7" t="n">
        <v>30</v>
      </c>
      <c r="E13086" s="7" t="n">
        <v>0.03</v>
      </c>
      <c r="F13086" s="7" t="n">
        <v>0</v>
      </c>
      <c r="G13086" s="7" t="n">
        <v>0</v>
      </c>
    </row>
    <row r="13087" customFormat="false" ht="15" hidden="false" customHeight="false" outlineLevel="0" collapsed="false">
      <c r="A13087" s="7" t="s">
        <v>33</v>
      </c>
      <c r="B13087" s="7" t="s">
        <v>101</v>
      </c>
      <c r="C13087" s="7" t="s">
        <v>1121</v>
      </c>
      <c r="D13087" s="7" t="n">
        <v>300</v>
      </c>
      <c r="E13087" s="7" t="n">
        <v>8648.58</v>
      </c>
      <c r="F13087" s="7" t="n">
        <v>0</v>
      </c>
      <c r="G13087" s="7" t="n">
        <v>0</v>
      </c>
    </row>
    <row r="13088" customFormat="false" ht="15" hidden="false" customHeight="false" outlineLevel="0" collapsed="false">
      <c r="A13088" s="7" t="s">
        <v>33</v>
      </c>
      <c r="B13088" s="7" t="s">
        <v>245</v>
      </c>
      <c r="C13088" s="7" t="s">
        <v>1161</v>
      </c>
      <c r="D13088" s="7" t="n">
        <v>310</v>
      </c>
      <c r="E13088" s="7" t="n">
        <v>4612.57</v>
      </c>
      <c r="F13088" s="7" t="n">
        <v>0</v>
      </c>
      <c r="G13088" s="7" t="n">
        <v>0</v>
      </c>
    </row>
    <row r="13089" customFormat="false" ht="15" hidden="false" customHeight="false" outlineLevel="0" collapsed="false">
      <c r="A13089" s="7" t="s">
        <v>33</v>
      </c>
      <c r="B13089" s="7" t="s">
        <v>245</v>
      </c>
      <c r="C13089" s="7" t="s">
        <v>1161</v>
      </c>
      <c r="D13089" s="7" t="n">
        <v>31</v>
      </c>
      <c r="E13089" s="7" t="n">
        <v>0.06</v>
      </c>
      <c r="F13089" s="7" t="n">
        <v>0</v>
      </c>
      <c r="G13089" s="7" t="n">
        <v>0</v>
      </c>
    </row>
    <row r="13090" customFormat="false" ht="15" hidden="false" customHeight="false" outlineLevel="0" collapsed="false">
      <c r="A13090" s="7" t="s">
        <v>33</v>
      </c>
      <c r="B13090" s="7" t="s">
        <v>237</v>
      </c>
      <c r="C13090" s="7" t="s">
        <v>1069</v>
      </c>
      <c r="D13090" s="7" t="n">
        <v>160</v>
      </c>
      <c r="E13090" s="7" t="n">
        <v>3119.7</v>
      </c>
      <c r="F13090" s="7" t="n">
        <v>0</v>
      </c>
      <c r="G13090" s="7" t="n">
        <v>0</v>
      </c>
    </row>
    <row r="13091" customFormat="false" ht="15" hidden="false" customHeight="false" outlineLevel="0" collapsed="false">
      <c r="A13091" s="7" t="s">
        <v>33</v>
      </c>
      <c r="B13091" s="7" t="s">
        <v>237</v>
      </c>
      <c r="C13091" s="7" t="s">
        <v>1069</v>
      </c>
      <c r="D13091" s="7" t="n">
        <v>16</v>
      </c>
      <c r="E13091" s="7" t="n">
        <v>0.06</v>
      </c>
      <c r="F13091" s="7" t="n">
        <v>0</v>
      </c>
      <c r="G13091" s="7" t="n">
        <v>0</v>
      </c>
    </row>
    <row r="13092" customFormat="false" ht="15" hidden="false" customHeight="false" outlineLevel="0" collapsed="false">
      <c r="A13092" s="7" t="s">
        <v>30</v>
      </c>
      <c r="B13092" s="7" t="s">
        <v>160</v>
      </c>
      <c r="C13092" s="7" t="s">
        <v>1034</v>
      </c>
      <c r="D13092" s="7" t="n">
        <v>1</v>
      </c>
      <c r="E13092" s="7" t="n">
        <v>0.04</v>
      </c>
      <c r="F13092" s="7" t="n">
        <v>0</v>
      </c>
      <c r="G13092" s="7" t="n">
        <v>0</v>
      </c>
    </row>
    <row r="13093" customFormat="false" ht="15" hidden="false" customHeight="false" outlineLevel="0" collapsed="false">
      <c r="A13093" s="7" t="s">
        <v>30</v>
      </c>
      <c r="B13093" s="7" t="s">
        <v>327</v>
      </c>
      <c r="C13093" s="7" t="s">
        <v>1034</v>
      </c>
      <c r="D13093" s="7" t="n">
        <v>1</v>
      </c>
      <c r="E13093" s="7" t="n">
        <v>53.62</v>
      </c>
      <c r="F13093" s="7" t="n">
        <v>0</v>
      </c>
      <c r="G13093" s="7" t="n">
        <v>0</v>
      </c>
    </row>
    <row r="13094" customFormat="false" ht="15" hidden="false" customHeight="false" outlineLevel="0" collapsed="false">
      <c r="A13094" s="7" t="s">
        <v>30</v>
      </c>
      <c r="B13094" s="7" t="s">
        <v>391</v>
      </c>
      <c r="C13094" s="7" t="s">
        <v>1038</v>
      </c>
      <c r="D13094" s="7" t="n">
        <v>70</v>
      </c>
      <c r="E13094" s="7" t="n">
        <v>4143.41</v>
      </c>
      <c r="F13094" s="7" t="n">
        <v>0</v>
      </c>
      <c r="G13094" s="7" t="n">
        <v>0</v>
      </c>
    </row>
    <row r="13095" customFormat="false" ht="15" hidden="false" customHeight="false" outlineLevel="0" collapsed="false">
      <c r="A13095" s="7" t="s">
        <v>30</v>
      </c>
      <c r="B13095" s="7" t="s">
        <v>391</v>
      </c>
      <c r="C13095" s="7" t="s">
        <v>1038</v>
      </c>
      <c r="D13095" s="7" t="n">
        <v>0</v>
      </c>
      <c r="E13095" s="7" t="n">
        <v>0</v>
      </c>
      <c r="F13095" s="7" t="n">
        <v>15</v>
      </c>
      <c r="G13095" s="7" t="n">
        <v>921.73</v>
      </c>
    </row>
    <row r="13096" customFormat="false" ht="15" hidden="false" customHeight="false" outlineLevel="0" collapsed="false">
      <c r="A13096" s="7" t="s">
        <v>30</v>
      </c>
      <c r="B13096" s="7" t="s">
        <v>391</v>
      </c>
      <c r="C13096" s="7" t="s">
        <v>1038</v>
      </c>
      <c r="D13096" s="7" t="n">
        <v>0</v>
      </c>
      <c r="E13096" s="7" t="n">
        <v>0</v>
      </c>
      <c r="F13096" s="7" t="n">
        <v>60</v>
      </c>
      <c r="G13096" s="7" t="n">
        <v>3883.04</v>
      </c>
    </row>
    <row r="13097" customFormat="false" ht="15" hidden="false" customHeight="false" outlineLevel="0" collapsed="false">
      <c r="A13097" s="7" t="s">
        <v>30</v>
      </c>
      <c r="B13097" s="7" t="s">
        <v>391</v>
      </c>
      <c r="C13097" s="7" t="s">
        <v>1038</v>
      </c>
      <c r="D13097" s="7" t="n">
        <v>1</v>
      </c>
      <c r="E13097" s="7" t="n">
        <v>0.04</v>
      </c>
      <c r="F13097" s="7" t="n">
        <v>0</v>
      </c>
      <c r="G13097" s="7" t="n">
        <v>0</v>
      </c>
    </row>
    <row r="13098" customFormat="false" ht="15" hidden="false" customHeight="false" outlineLevel="0" collapsed="false">
      <c r="A13098" s="7" t="s">
        <v>30</v>
      </c>
      <c r="B13098" s="7" t="s">
        <v>391</v>
      </c>
      <c r="C13098" s="7" t="s">
        <v>1038</v>
      </c>
      <c r="D13098" s="7" t="n">
        <v>20</v>
      </c>
      <c r="E13098" s="7" t="n">
        <v>1245.74</v>
      </c>
      <c r="F13098" s="7" t="n">
        <v>0</v>
      </c>
      <c r="G13098" s="7" t="n">
        <v>0</v>
      </c>
    </row>
    <row r="13099" customFormat="false" ht="15" hidden="false" customHeight="false" outlineLevel="0" collapsed="false">
      <c r="A13099" s="7" t="s">
        <v>30</v>
      </c>
      <c r="B13099" s="7" t="s">
        <v>391</v>
      </c>
      <c r="C13099" s="7" t="s">
        <v>1038</v>
      </c>
      <c r="D13099" s="7" t="n">
        <v>55</v>
      </c>
      <c r="E13099" s="7" t="n">
        <v>3599.63</v>
      </c>
      <c r="F13099" s="7" t="n">
        <v>0</v>
      </c>
      <c r="G13099" s="7" t="n">
        <v>0</v>
      </c>
    </row>
    <row r="13100" customFormat="false" ht="15" hidden="false" customHeight="false" outlineLevel="0" collapsed="false">
      <c r="A13100" s="7" t="s">
        <v>30</v>
      </c>
      <c r="B13100" s="7" t="s">
        <v>391</v>
      </c>
      <c r="C13100" s="7" t="s">
        <v>1038</v>
      </c>
      <c r="D13100" s="7" t="n">
        <v>0</v>
      </c>
      <c r="E13100" s="7" t="n">
        <v>0</v>
      </c>
      <c r="F13100" s="7" t="n">
        <v>50</v>
      </c>
      <c r="G13100" s="7" t="n">
        <v>3058.66</v>
      </c>
    </row>
    <row r="13101" customFormat="false" ht="15" hidden="false" customHeight="false" outlineLevel="0" collapsed="false">
      <c r="A13101" s="7" t="s">
        <v>30</v>
      </c>
      <c r="B13101" s="7" t="s">
        <v>391</v>
      </c>
      <c r="C13101" s="7" t="s">
        <v>1038</v>
      </c>
      <c r="D13101" s="7" t="n">
        <v>59</v>
      </c>
      <c r="E13101" s="7" t="n">
        <v>3532.45</v>
      </c>
      <c r="F13101" s="7" t="n">
        <v>0</v>
      </c>
      <c r="G13101" s="7" t="n">
        <v>0</v>
      </c>
    </row>
    <row r="13102" customFormat="false" ht="15" hidden="false" customHeight="false" outlineLevel="0" collapsed="false">
      <c r="A13102" s="7" t="s">
        <v>30</v>
      </c>
      <c r="B13102" s="7" t="s">
        <v>391</v>
      </c>
      <c r="C13102" s="7" t="s">
        <v>1038</v>
      </c>
      <c r="D13102" s="7" t="n">
        <v>0</v>
      </c>
      <c r="E13102" s="7" t="n">
        <v>0</v>
      </c>
      <c r="F13102" s="7" t="n">
        <v>70</v>
      </c>
      <c r="G13102" s="7" t="n">
        <v>4223.8</v>
      </c>
    </row>
    <row r="13103" customFormat="false" ht="15" hidden="false" customHeight="false" outlineLevel="0" collapsed="false">
      <c r="A13103" s="7" t="s">
        <v>30</v>
      </c>
      <c r="B13103" s="7" t="s">
        <v>391</v>
      </c>
      <c r="C13103" s="7" t="s">
        <v>1038</v>
      </c>
      <c r="D13103" s="7" t="n">
        <v>45</v>
      </c>
      <c r="E13103" s="7" t="n">
        <v>2823.13</v>
      </c>
      <c r="F13103" s="7" t="n">
        <v>0</v>
      </c>
      <c r="G13103" s="7" t="n">
        <v>0</v>
      </c>
    </row>
    <row r="13104" customFormat="false" ht="15" hidden="false" customHeight="false" outlineLevel="0" collapsed="false">
      <c r="A13104" s="7" t="s">
        <v>30</v>
      </c>
      <c r="B13104" s="7" t="s">
        <v>391</v>
      </c>
      <c r="C13104" s="7" t="s">
        <v>1038</v>
      </c>
      <c r="D13104" s="7" t="n">
        <v>0</v>
      </c>
      <c r="E13104" s="7" t="n">
        <v>0</v>
      </c>
      <c r="F13104" s="7" t="n">
        <v>50</v>
      </c>
      <c r="G13104" s="7" t="n">
        <v>3208.77</v>
      </c>
    </row>
    <row r="13105" customFormat="false" ht="15" hidden="false" customHeight="false" outlineLevel="0" collapsed="false">
      <c r="A13105" s="7" t="s">
        <v>30</v>
      </c>
      <c r="B13105" s="7" t="s">
        <v>391</v>
      </c>
      <c r="C13105" s="7" t="s">
        <v>1038</v>
      </c>
      <c r="D13105" s="7" t="n">
        <v>0</v>
      </c>
      <c r="E13105" s="7" t="n">
        <v>0</v>
      </c>
      <c r="F13105" s="7" t="n">
        <v>100</v>
      </c>
      <c r="G13105" s="7" t="n">
        <v>5993.41</v>
      </c>
    </row>
    <row r="13106" customFormat="false" ht="15" hidden="false" customHeight="false" outlineLevel="0" collapsed="false">
      <c r="A13106" s="7" t="s">
        <v>30</v>
      </c>
      <c r="B13106" s="7" t="s">
        <v>391</v>
      </c>
      <c r="C13106" s="7" t="s">
        <v>1038</v>
      </c>
      <c r="D13106" s="7" t="n">
        <v>0</v>
      </c>
      <c r="E13106" s="7" t="n">
        <v>0</v>
      </c>
      <c r="F13106" s="7" t="n">
        <v>12</v>
      </c>
      <c r="G13106" s="7" t="n">
        <v>786.84</v>
      </c>
    </row>
    <row r="13107" customFormat="false" ht="15" hidden="false" customHeight="false" outlineLevel="0" collapsed="false">
      <c r="A13107" s="7" t="s">
        <v>30</v>
      </c>
      <c r="B13107" s="7" t="s">
        <v>391</v>
      </c>
      <c r="C13107" s="7" t="s">
        <v>1038</v>
      </c>
      <c r="D13107" s="7" t="n">
        <v>40</v>
      </c>
      <c r="E13107" s="7" t="n">
        <v>2429.33</v>
      </c>
      <c r="F13107" s="7" t="n">
        <v>0</v>
      </c>
      <c r="G13107" s="7" t="n">
        <v>0</v>
      </c>
    </row>
    <row r="13108" customFormat="false" ht="15" hidden="false" customHeight="false" outlineLevel="0" collapsed="false">
      <c r="A13108" s="7" t="s">
        <v>30</v>
      </c>
      <c r="B13108" s="7" t="s">
        <v>391</v>
      </c>
      <c r="C13108" s="7" t="s">
        <v>1038</v>
      </c>
      <c r="D13108" s="7" t="n">
        <v>55</v>
      </c>
      <c r="E13108" s="7" t="n">
        <v>3286.15</v>
      </c>
      <c r="F13108" s="7" t="n">
        <v>0</v>
      </c>
      <c r="G13108" s="7" t="n">
        <v>0</v>
      </c>
    </row>
    <row r="13109" customFormat="false" ht="15" hidden="false" customHeight="false" outlineLevel="0" collapsed="false">
      <c r="A13109" s="7" t="s">
        <v>30</v>
      </c>
      <c r="B13109" s="7" t="s">
        <v>391</v>
      </c>
      <c r="C13109" s="7" t="s">
        <v>1038</v>
      </c>
      <c r="D13109" s="7" t="n">
        <v>55</v>
      </c>
      <c r="E13109" s="7" t="n">
        <v>3414.76</v>
      </c>
      <c r="F13109" s="7" t="n">
        <v>0</v>
      </c>
      <c r="G13109" s="7" t="n">
        <v>0</v>
      </c>
    </row>
    <row r="13110" customFormat="false" ht="15" hidden="false" customHeight="false" outlineLevel="0" collapsed="false">
      <c r="A13110" s="7" t="s">
        <v>30</v>
      </c>
      <c r="B13110" s="7" t="s">
        <v>391</v>
      </c>
      <c r="C13110" s="7" t="s">
        <v>1038</v>
      </c>
      <c r="D13110" s="7" t="n">
        <v>20</v>
      </c>
      <c r="E13110" s="7" t="n">
        <v>1250.43</v>
      </c>
      <c r="F13110" s="7" t="n">
        <v>0</v>
      </c>
      <c r="G13110" s="7" t="n">
        <v>0</v>
      </c>
    </row>
    <row r="13111" customFormat="false" ht="15" hidden="false" customHeight="false" outlineLevel="0" collapsed="false">
      <c r="A13111" s="7" t="s">
        <v>30</v>
      </c>
      <c r="B13111" s="7" t="s">
        <v>391</v>
      </c>
      <c r="C13111" s="7" t="s">
        <v>1038</v>
      </c>
      <c r="D13111" s="7" t="n">
        <v>30</v>
      </c>
      <c r="E13111" s="7" t="n">
        <v>1947.37</v>
      </c>
      <c r="F13111" s="7" t="n">
        <v>0</v>
      </c>
      <c r="G13111" s="7" t="n">
        <v>0</v>
      </c>
    </row>
    <row r="13112" customFormat="false" ht="15" hidden="false" customHeight="false" outlineLevel="0" collapsed="false">
      <c r="A13112" s="7" t="s">
        <v>30</v>
      </c>
      <c r="B13112" s="7" t="s">
        <v>391</v>
      </c>
      <c r="C13112" s="7" t="s">
        <v>1038</v>
      </c>
      <c r="D13112" s="7" t="n">
        <v>0</v>
      </c>
      <c r="E13112" s="7" t="n">
        <v>0</v>
      </c>
      <c r="F13112" s="7" t="n">
        <v>40</v>
      </c>
      <c r="G13112" s="7" t="n">
        <v>2446.85</v>
      </c>
    </row>
    <row r="13113" customFormat="false" ht="15" hidden="false" customHeight="false" outlineLevel="0" collapsed="false">
      <c r="A13113" s="7" t="s">
        <v>30</v>
      </c>
      <c r="B13113" s="7" t="s">
        <v>391</v>
      </c>
      <c r="C13113" s="7" t="s">
        <v>1038</v>
      </c>
      <c r="D13113" s="7" t="n">
        <v>45</v>
      </c>
      <c r="E13113" s="7" t="n">
        <v>2840.72</v>
      </c>
      <c r="F13113" s="7" t="n">
        <v>0</v>
      </c>
      <c r="G13113" s="7" t="n">
        <v>0</v>
      </c>
    </row>
    <row r="13114" customFormat="false" ht="15" hidden="false" customHeight="false" outlineLevel="0" collapsed="false">
      <c r="A13114" s="7" t="s">
        <v>30</v>
      </c>
      <c r="B13114" s="7" t="s">
        <v>279</v>
      </c>
      <c r="C13114" s="7" t="s">
        <v>1038</v>
      </c>
      <c r="D13114" s="7" t="n">
        <v>10</v>
      </c>
      <c r="E13114" s="7" t="n">
        <v>627.36</v>
      </c>
      <c r="F13114" s="7" t="n">
        <v>0</v>
      </c>
      <c r="G13114" s="7" t="n">
        <v>0</v>
      </c>
    </row>
    <row r="13115" customFormat="false" ht="15" hidden="false" customHeight="false" outlineLevel="0" collapsed="false">
      <c r="A13115" s="7" t="s">
        <v>30</v>
      </c>
      <c r="B13115" s="7" t="s">
        <v>279</v>
      </c>
      <c r="C13115" s="7" t="s">
        <v>1038</v>
      </c>
      <c r="D13115" s="7" t="n">
        <v>50</v>
      </c>
      <c r="E13115" s="7" t="n">
        <v>3114.33</v>
      </c>
      <c r="F13115" s="7" t="n">
        <v>0</v>
      </c>
      <c r="G13115" s="7" t="n">
        <v>0</v>
      </c>
    </row>
    <row r="13116" customFormat="false" ht="15" hidden="false" customHeight="false" outlineLevel="0" collapsed="false">
      <c r="A13116" s="7" t="s">
        <v>30</v>
      </c>
      <c r="B13116" s="7" t="s">
        <v>279</v>
      </c>
      <c r="C13116" s="7" t="s">
        <v>1038</v>
      </c>
      <c r="D13116" s="7" t="n">
        <v>0</v>
      </c>
      <c r="E13116" s="7" t="n">
        <v>0</v>
      </c>
      <c r="F13116" s="7" t="n">
        <v>20</v>
      </c>
      <c r="G13116" s="7" t="n">
        <v>1223.46</v>
      </c>
    </row>
    <row r="13117" customFormat="false" ht="15" hidden="false" customHeight="false" outlineLevel="0" collapsed="false">
      <c r="A13117" s="7" t="s">
        <v>30</v>
      </c>
      <c r="B13117" s="7" t="s">
        <v>279</v>
      </c>
      <c r="C13117" s="7" t="s">
        <v>1038</v>
      </c>
      <c r="D13117" s="7" t="n">
        <v>0</v>
      </c>
      <c r="E13117" s="7" t="n">
        <v>0</v>
      </c>
      <c r="F13117" s="7" t="n">
        <v>25</v>
      </c>
      <c r="G13117" s="7" t="n">
        <v>1617.93</v>
      </c>
    </row>
    <row r="13118" customFormat="false" ht="15" hidden="false" customHeight="false" outlineLevel="0" collapsed="false">
      <c r="A13118" s="7" t="s">
        <v>30</v>
      </c>
      <c r="B13118" s="7" t="s">
        <v>279</v>
      </c>
      <c r="C13118" s="7" t="s">
        <v>1038</v>
      </c>
      <c r="D13118" s="7" t="n">
        <v>0</v>
      </c>
      <c r="E13118" s="7" t="n">
        <v>0</v>
      </c>
      <c r="F13118" s="7" t="n">
        <v>20</v>
      </c>
      <c r="G13118" s="7" t="n">
        <v>1228.97</v>
      </c>
    </row>
    <row r="13119" customFormat="false" ht="15" hidden="false" customHeight="false" outlineLevel="0" collapsed="false">
      <c r="A13119" s="7" t="s">
        <v>30</v>
      </c>
      <c r="B13119" s="7" t="s">
        <v>279</v>
      </c>
      <c r="C13119" s="7" t="s">
        <v>1038</v>
      </c>
      <c r="D13119" s="7" t="n">
        <v>0</v>
      </c>
      <c r="E13119" s="7" t="n">
        <v>0</v>
      </c>
      <c r="F13119" s="7" t="n">
        <v>20</v>
      </c>
      <c r="G13119" s="7" t="n">
        <v>1223.43</v>
      </c>
    </row>
    <row r="13120" customFormat="false" ht="15" hidden="false" customHeight="false" outlineLevel="0" collapsed="false">
      <c r="A13120" s="7" t="s">
        <v>30</v>
      </c>
      <c r="B13120" s="7" t="s">
        <v>279</v>
      </c>
      <c r="C13120" s="7" t="s">
        <v>1038</v>
      </c>
      <c r="D13120" s="7" t="n">
        <v>40</v>
      </c>
      <c r="E13120" s="7" t="n">
        <v>2617.91</v>
      </c>
      <c r="F13120" s="7" t="n">
        <v>0</v>
      </c>
      <c r="G13120" s="7" t="n">
        <v>0</v>
      </c>
    </row>
    <row r="13121" customFormat="false" ht="15" hidden="false" customHeight="false" outlineLevel="0" collapsed="false">
      <c r="A13121" s="7" t="s">
        <v>30</v>
      </c>
      <c r="B13121" s="7" t="s">
        <v>279</v>
      </c>
      <c r="C13121" s="7" t="s">
        <v>1038</v>
      </c>
      <c r="D13121" s="7" t="n">
        <v>18</v>
      </c>
      <c r="E13121" s="7" t="n">
        <v>1125.4</v>
      </c>
      <c r="F13121" s="7" t="n">
        <v>0</v>
      </c>
      <c r="G13121" s="7" t="n">
        <v>0</v>
      </c>
    </row>
    <row r="13122" customFormat="false" ht="15" hidden="false" customHeight="false" outlineLevel="0" collapsed="false">
      <c r="A13122" s="7" t="s">
        <v>30</v>
      </c>
      <c r="B13122" s="7" t="s">
        <v>279</v>
      </c>
      <c r="C13122" s="7" t="s">
        <v>1038</v>
      </c>
      <c r="D13122" s="7" t="n">
        <v>50</v>
      </c>
      <c r="E13122" s="7" t="n">
        <v>3036.65</v>
      </c>
      <c r="F13122" s="7" t="n">
        <v>0</v>
      </c>
      <c r="G13122" s="7" t="n">
        <v>0</v>
      </c>
    </row>
    <row r="13123" customFormat="false" ht="15" hidden="false" customHeight="false" outlineLevel="0" collapsed="false">
      <c r="A13123" s="7" t="s">
        <v>30</v>
      </c>
      <c r="B13123" s="7" t="s">
        <v>279</v>
      </c>
      <c r="C13123" s="7" t="s">
        <v>1038</v>
      </c>
      <c r="D13123" s="7" t="n">
        <v>0</v>
      </c>
      <c r="E13123" s="7" t="n">
        <v>0</v>
      </c>
      <c r="F13123" s="7" t="n">
        <v>50</v>
      </c>
      <c r="G13123" s="7" t="n">
        <v>2996.71</v>
      </c>
    </row>
    <row r="13124" customFormat="false" ht="15" hidden="false" customHeight="false" outlineLevel="0" collapsed="false">
      <c r="A13124" s="7" t="s">
        <v>30</v>
      </c>
      <c r="B13124" s="7" t="s">
        <v>279</v>
      </c>
      <c r="C13124" s="7" t="s">
        <v>1038</v>
      </c>
      <c r="D13124" s="7" t="n">
        <v>40</v>
      </c>
      <c r="E13124" s="7" t="n">
        <v>2389.91</v>
      </c>
      <c r="F13124" s="7" t="n">
        <v>0</v>
      </c>
      <c r="G13124" s="7" t="n">
        <v>0</v>
      </c>
    </row>
    <row r="13125" customFormat="false" ht="15" hidden="false" customHeight="false" outlineLevel="0" collapsed="false">
      <c r="A13125" s="7" t="s">
        <v>30</v>
      </c>
      <c r="B13125" s="7" t="s">
        <v>279</v>
      </c>
      <c r="C13125" s="7" t="s">
        <v>1038</v>
      </c>
      <c r="D13125" s="7" t="n">
        <v>0</v>
      </c>
      <c r="E13125" s="7" t="n">
        <v>0</v>
      </c>
      <c r="F13125" s="7" t="n">
        <v>20</v>
      </c>
      <c r="G13125" s="7" t="n">
        <v>1311.4</v>
      </c>
    </row>
    <row r="13126" customFormat="false" ht="15" hidden="false" customHeight="false" outlineLevel="0" collapsed="false">
      <c r="A13126" s="7" t="s">
        <v>30</v>
      </c>
      <c r="B13126" s="7" t="s">
        <v>279</v>
      </c>
      <c r="C13126" s="7" t="s">
        <v>1038</v>
      </c>
      <c r="D13126" s="7" t="n">
        <v>80</v>
      </c>
      <c r="E13126" s="7" t="n">
        <v>4735.39</v>
      </c>
      <c r="F13126" s="7" t="n">
        <v>0</v>
      </c>
      <c r="G13126" s="7" t="n">
        <v>0</v>
      </c>
    </row>
    <row r="13127" customFormat="false" ht="15" hidden="false" customHeight="false" outlineLevel="0" collapsed="false">
      <c r="A13127" s="7" t="s">
        <v>30</v>
      </c>
      <c r="B13127" s="7" t="s">
        <v>279</v>
      </c>
      <c r="C13127" s="7" t="s">
        <v>1038</v>
      </c>
      <c r="D13127" s="7" t="n">
        <v>30</v>
      </c>
      <c r="E13127" s="7" t="n">
        <v>1796.21</v>
      </c>
      <c r="F13127" s="7" t="n">
        <v>0</v>
      </c>
      <c r="G13127" s="7" t="n">
        <v>0</v>
      </c>
    </row>
    <row r="13128" customFormat="false" ht="15" hidden="false" customHeight="false" outlineLevel="0" collapsed="false">
      <c r="A13128" s="7" t="s">
        <v>30</v>
      </c>
      <c r="B13128" s="7" t="s">
        <v>279</v>
      </c>
      <c r="C13128" s="7" t="s">
        <v>1038</v>
      </c>
      <c r="D13128" s="7" t="n">
        <v>0</v>
      </c>
      <c r="E13128" s="7" t="n">
        <v>0</v>
      </c>
      <c r="F13128" s="7" t="n">
        <v>60</v>
      </c>
      <c r="G13128" s="7" t="n">
        <v>3850.53</v>
      </c>
    </row>
    <row r="13129" customFormat="false" ht="15" hidden="false" customHeight="false" outlineLevel="0" collapsed="false">
      <c r="A13129" s="7" t="s">
        <v>30</v>
      </c>
      <c r="B13129" s="7" t="s">
        <v>279</v>
      </c>
      <c r="C13129" s="7" t="s">
        <v>1038</v>
      </c>
      <c r="D13129" s="7" t="n">
        <v>20</v>
      </c>
      <c r="E13129" s="7" t="n">
        <v>1241.73</v>
      </c>
      <c r="F13129" s="7" t="n">
        <v>0</v>
      </c>
      <c r="G13129" s="7" t="n">
        <v>0</v>
      </c>
    </row>
    <row r="13130" customFormat="false" ht="15" hidden="false" customHeight="false" outlineLevel="0" collapsed="false">
      <c r="A13130" s="7" t="s">
        <v>30</v>
      </c>
      <c r="B13130" s="7" t="s">
        <v>279</v>
      </c>
      <c r="C13130" s="7" t="s">
        <v>1038</v>
      </c>
      <c r="D13130" s="7" t="n">
        <v>10</v>
      </c>
      <c r="E13130" s="7" t="n">
        <v>631.27</v>
      </c>
      <c r="F13130" s="7" t="n">
        <v>0</v>
      </c>
      <c r="G13130" s="7" t="n">
        <v>0</v>
      </c>
    </row>
    <row r="13131" customFormat="false" ht="15" hidden="false" customHeight="false" outlineLevel="0" collapsed="false">
      <c r="A13131" s="7" t="s">
        <v>30</v>
      </c>
      <c r="B13131" s="7" t="s">
        <v>279</v>
      </c>
      <c r="C13131" s="7" t="s">
        <v>1038</v>
      </c>
      <c r="D13131" s="7" t="n">
        <v>25</v>
      </c>
      <c r="E13131" s="7" t="n">
        <v>1622.81</v>
      </c>
      <c r="F13131" s="7" t="n">
        <v>0</v>
      </c>
      <c r="G13131" s="7" t="n">
        <v>0</v>
      </c>
    </row>
    <row r="13132" customFormat="false" ht="15" hidden="false" customHeight="false" outlineLevel="0" collapsed="false">
      <c r="A13132" s="7" t="s">
        <v>30</v>
      </c>
      <c r="B13132" s="7" t="s">
        <v>279</v>
      </c>
      <c r="C13132" s="7" t="s">
        <v>1038</v>
      </c>
      <c r="D13132" s="7" t="n">
        <v>0</v>
      </c>
      <c r="E13132" s="7" t="n">
        <v>0</v>
      </c>
      <c r="F13132" s="7" t="n">
        <v>35</v>
      </c>
      <c r="G13132" s="7" t="n">
        <v>2111.9</v>
      </c>
    </row>
    <row r="13133" customFormat="false" ht="15" hidden="false" customHeight="false" outlineLevel="0" collapsed="false">
      <c r="A13133" s="7" t="s">
        <v>30</v>
      </c>
      <c r="B13133" s="7" t="s">
        <v>274</v>
      </c>
      <c r="C13133" s="7" t="s">
        <v>1038</v>
      </c>
      <c r="D13133" s="7" t="n">
        <v>12</v>
      </c>
      <c r="E13133" s="7" t="n">
        <v>728.8</v>
      </c>
      <c r="F13133" s="7" t="n">
        <v>0</v>
      </c>
      <c r="G13133" s="7" t="n">
        <v>0</v>
      </c>
    </row>
    <row r="13134" customFormat="false" ht="15" hidden="false" customHeight="false" outlineLevel="0" collapsed="false">
      <c r="A13134" s="7" t="s">
        <v>30</v>
      </c>
      <c r="B13134" s="7" t="s">
        <v>274</v>
      </c>
      <c r="C13134" s="7" t="s">
        <v>1038</v>
      </c>
      <c r="D13134" s="7" t="n">
        <v>20</v>
      </c>
      <c r="E13134" s="7" t="n">
        <v>1245.71</v>
      </c>
      <c r="F13134" s="7" t="n">
        <v>0</v>
      </c>
      <c r="G13134" s="7" t="n">
        <v>0</v>
      </c>
    </row>
    <row r="13135" customFormat="false" ht="15" hidden="false" customHeight="false" outlineLevel="0" collapsed="false">
      <c r="A13135" s="7" t="s">
        <v>30</v>
      </c>
      <c r="B13135" s="7" t="s">
        <v>274</v>
      </c>
      <c r="C13135" s="7" t="s">
        <v>1038</v>
      </c>
      <c r="D13135" s="7" t="n">
        <v>8</v>
      </c>
      <c r="E13135" s="7" t="n">
        <v>473.54</v>
      </c>
      <c r="F13135" s="7" t="n">
        <v>0</v>
      </c>
      <c r="G13135" s="7" t="n">
        <v>0</v>
      </c>
    </row>
    <row r="13136" customFormat="false" ht="15" hidden="false" customHeight="false" outlineLevel="0" collapsed="false">
      <c r="A13136" s="7" t="s">
        <v>30</v>
      </c>
      <c r="B13136" s="7" t="s">
        <v>274</v>
      </c>
      <c r="C13136" s="7" t="s">
        <v>1038</v>
      </c>
      <c r="D13136" s="7" t="n">
        <v>5</v>
      </c>
      <c r="E13136" s="7" t="n">
        <v>324.58</v>
      </c>
      <c r="F13136" s="7" t="n">
        <v>0</v>
      </c>
      <c r="G13136" s="7" t="n">
        <v>0</v>
      </c>
    </row>
    <row r="13137" customFormat="false" ht="15" hidden="false" customHeight="false" outlineLevel="0" collapsed="false">
      <c r="A13137" s="7" t="s">
        <v>30</v>
      </c>
      <c r="B13137" s="7" t="s">
        <v>274</v>
      </c>
      <c r="C13137" s="7" t="s">
        <v>1038</v>
      </c>
      <c r="D13137" s="7" t="n">
        <v>0</v>
      </c>
      <c r="E13137" s="7" t="n">
        <v>0</v>
      </c>
      <c r="F13137" s="7" t="n">
        <v>10</v>
      </c>
      <c r="G13137" s="7" t="n">
        <v>611.73</v>
      </c>
    </row>
    <row r="13138" customFormat="false" ht="15" hidden="false" customHeight="false" outlineLevel="0" collapsed="false">
      <c r="A13138" s="7" t="s">
        <v>30</v>
      </c>
      <c r="B13138" s="7" t="s">
        <v>274</v>
      </c>
      <c r="C13138" s="7" t="s">
        <v>1038</v>
      </c>
      <c r="D13138" s="7" t="n">
        <v>15</v>
      </c>
      <c r="E13138" s="7" t="n">
        <v>946.85</v>
      </c>
      <c r="F13138" s="7" t="n">
        <v>0</v>
      </c>
      <c r="G13138" s="7" t="n">
        <v>0</v>
      </c>
    </row>
    <row r="13139" customFormat="false" ht="15" hidden="false" customHeight="false" outlineLevel="0" collapsed="false">
      <c r="A13139" s="7" t="s">
        <v>30</v>
      </c>
      <c r="B13139" s="7" t="s">
        <v>274</v>
      </c>
      <c r="C13139" s="7" t="s">
        <v>1038</v>
      </c>
      <c r="D13139" s="7" t="n">
        <v>0</v>
      </c>
      <c r="E13139" s="7" t="n">
        <v>0</v>
      </c>
      <c r="F13139" s="7" t="n">
        <v>12</v>
      </c>
      <c r="G13139" s="7" t="n">
        <v>770.1</v>
      </c>
    </row>
    <row r="13140" customFormat="false" ht="15" hidden="false" customHeight="false" outlineLevel="0" collapsed="false">
      <c r="A13140" s="7" t="s">
        <v>30</v>
      </c>
      <c r="B13140" s="7" t="s">
        <v>274</v>
      </c>
      <c r="C13140" s="7" t="s">
        <v>1038</v>
      </c>
      <c r="D13140" s="7" t="n">
        <v>0</v>
      </c>
      <c r="E13140" s="7" t="n">
        <v>0</v>
      </c>
      <c r="F13140" s="7" t="n">
        <v>10</v>
      </c>
      <c r="G13140" s="7" t="n">
        <v>599.34</v>
      </c>
    </row>
    <row r="13141" customFormat="false" ht="15" hidden="false" customHeight="false" outlineLevel="0" collapsed="false">
      <c r="A13141" s="7" t="s">
        <v>30</v>
      </c>
      <c r="B13141" s="7" t="s">
        <v>274</v>
      </c>
      <c r="C13141" s="7" t="s">
        <v>1038</v>
      </c>
      <c r="D13141" s="7" t="n">
        <v>2</v>
      </c>
      <c r="E13141" s="7" t="n">
        <v>124.21</v>
      </c>
      <c r="F13141" s="7" t="n">
        <v>0</v>
      </c>
      <c r="G13141" s="7" t="n">
        <v>0</v>
      </c>
    </row>
    <row r="13142" customFormat="false" ht="15" hidden="false" customHeight="false" outlineLevel="0" collapsed="false">
      <c r="A13142" s="7" t="s">
        <v>30</v>
      </c>
      <c r="B13142" s="7" t="s">
        <v>274</v>
      </c>
      <c r="C13142" s="7" t="s">
        <v>1038</v>
      </c>
      <c r="D13142" s="7" t="n">
        <v>10</v>
      </c>
      <c r="E13142" s="7" t="n">
        <v>654.49</v>
      </c>
      <c r="F13142" s="7" t="n">
        <v>0</v>
      </c>
      <c r="G13142" s="7" t="n">
        <v>0</v>
      </c>
    </row>
    <row r="13143" customFormat="false" ht="15" hidden="false" customHeight="false" outlineLevel="0" collapsed="false">
      <c r="A13143" s="7" t="s">
        <v>30</v>
      </c>
      <c r="B13143" s="7" t="s">
        <v>274</v>
      </c>
      <c r="C13143" s="7" t="s">
        <v>1038</v>
      </c>
      <c r="D13143" s="7" t="n">
        <v>2</v>
      </c>
      <c r="E13143" s="7" t="n">
        <v>125.04</v>
      </c>
      <c r="F13143" s="7" t="n">
        <v>0</v>
      </c>
      <c r="G13143" s="7" t="n">
        <v>0</v>
      </c>
    </row>
    <row r="13144" customFormat="false" ht="15" hidden="false" customHeight="false" outlineLevel="0" collapsed="false">
      <c r="A13144" s="7" t="s">
        <v>30</v>
      </c>
      <c r="B13144" s="7" t="s">
        <v>274</v>
      </c>
      <c r="C13144" s="7" t="s">
        <v>1038</v>
      </c>
      <c r="D13144" s="7" t="n">
        <v>8</v>
      </c>
      <c r="E13144" s="7" t="n">
        <v>501.91</v>
      </c>
      <c r="F13144" s="7" t="n">
        <v>0</v>
      </c>
      <c r="G13144" s="7" t="n">
        <v>0</v>
      </c>
    </row>
    <row r="13145" customFormat="false" ht="15" hidden="false" customHeight="false" outlineLevel="0" collapsed="false">
      <c r="A13145" s="7" t="s">
        <v>30</v>
      </c>
      <c r="B13145" s="7" t="s">
        <v>274</v>
      </c>
      <c r="C13145" s="7" t="s">
        <v>1038</v>
      </c>
      <c r="D13145" s="7" t="n">
        <v>0</v>
      </c>
      <c r="E13145" s="7" t="n">
        <v>0</v>
      </c>
      <c r="F13145" s="7" t="n">
        <v>5</v>
      </c>
      <c r="G13145" s="7" t="n">
        <v>301.7</v>
      </c>
    </row>
    <row r="13146" customFormat="false" ht="15" hidden="false" customHeight="false" outlineLevel="0" collapsed="false">
      <c r="A13146" s="7" t="s">
        <v>30</v>
      </c>
      <c r="B13146" s="7" t="s">
        <v>196</v>
      </c>
      <c r="C13146" s="7" t="s">
        <v>1038</v>
      </c>
      <c r="D13146" s="7" t="n">
        <v>0</v>
      </c>
      <c r="E13146" s="7" t="n">
        <v>0</v>
      </c>
      <c r="F13146" s="7" t="n">
        <v>30</v>
      </c>
      <c r="G13146" s="7" t="n">
        <v>1941.52</v>
      </c>
    </row>
    <row r="13147" customFormat="false" ht="15" hidden="false" customHeight="false" outlineLevel="0" collapsed="false">
      <c r="A13147" s="7" t="s">
        <v>30</v>
      </c>
      <c r="B13147" s="7" t="s">
        <v>196</v>
      </c>
      <c r="C13147" s="7" t="s">
        <v>1038</v>
      </c>
      <c r="D13147" s="7" t="n">
        <v>50</v>
      </c>
      <c r="E13147" s="7" t="n">
        <v>3036.65</v>
      </c>
      <c r="F13147" s="7" t="n">
        <v>0</v>
      </c>
      <c r="G13147" s="7" t="n">
        <v>0</v>
      </c>
    </row>
    <row r="13148" customFormat="false" ht="15" hidden="false" customHeight="false" outlineLevel="0" collapsed="false">
      <c r="A13148" s="7" t="s">
        <v>30</v>
      </c>
      <c r="B13148" s="7" t="s">
        <v>196</v>
      </c>
      <c r="C13148" s="7" t="s">
        <v>1038</v>
      </c>
      <c r="D13148" s="7" t="n">
        <v>0</v>
      </c>
      <c r="E13148" s="7" t="n">
        <v>0</v>
      </c>
      <c r="F13148" s="7" t="n">
        <v>15</v>
      </c>
      <c r="G13148" s="7" t="n">
        <v>983.55</v>
      </c>
    </row>
    <row r="13149" customFormat="false" ht="15" hidden="false" customHeight="false" outlineLevel="0" collapsed="false">
      <c r="A13149" s="7" t="s">
        <v>30</v>
      </c>
      <c r="B13149" s="7" t="s">
        <v>196</v>
      </c>
      <c r="C13149" s="7" t="s">
        <v>1038</v>
      </c>
      <c r="D13149" s="7" t="n">
        <v>0</v>
      </c>
      <c r="E13149" s="7" t="n">
        <v>0</v>
      </c>
      <c r="F13149" s="7" t="n">
        <v>15</v>
      </c>
      <c r="G13149" s="7" t="n">
        <v>917.6</v>
      </c>
    </row>
    <row r="13150" customFormat="false" ht="15" hidden="false" customHeight="false" outlineLevel="0" collapsed="false">
      <c r="A13150" s="7" t="s">
        <v>30</v>
      </c>
      <c r="B13150" s="7" t="s">
        <v>196</v>
      </c>
      <c r="C13150" s="7" t="s">
        <v>1038</v>
      </c>
      <c r="D13150" s="7" t="n">
        <v>0</v>
      </c>
      <c r="E13150" s="7" t="n">
        <v>0</v>
      </c>
      <c r="F13150" s="7" t="n">
        <v>45</v>
      </c>
      <c r="G13150" s="7" t="n">
        <v>2697.03</v>
      </c>
    </row>
    <row r="13151" customFormat="false" ht="15" hidden="false" customHeight="false" outlineLevel="0" collapsed="false">
      <c r="A13151" s="7" t="s">
        <v>30</v>
      </c>
      <c r="B13151" s="7" t="s">
        <v>196</v>
      </c>
      <c r="C13151" s="7" t="s">
        <v>1038</v>
      </c>
      <c r="D13151" s="7" t="n">
        <v>40</v>
      </c>
      <c r="E13151" s="7" t="n">
        <v>2483.46</v>
      </c>
      <c r="F13151" s="7" t="n">
        <v>0</v>
      </c>
      <c r="G13151" s="7" t="n">
        <v>0</v>
      </c>
    </row>
    <row r="13152" customFormat="false" ht="15" hidden="false" customHeight="false" outlineLevel="0" collapsed="false">
      <c r="A13152" s="7" t="s">
        <v>30</v>
      </c>
      <c r="B13152" s="7" t="s">
        <v>196</v>
      </c>
      <c r="C13152" s="7" t="s">
        <v>1038</v>
      </c>
      <c r="D13152" s="7" t="n">
        <v>0</v>
      </c>
      <c r="E13152" s="7" t="n">
        <v>0</v>
      </c>
      <c r="F13152" s="7" t="n">
        <v>50</v>
      </c>
      <c r="G13152" s="7" t="n">
        <v>3017</v>
      </c>
    </row>
    <row r="13153" customFormat="false" ht="15" hidden="false" customHeight="false" outlineLevel="0" collapsed="false">
      <c r="A13153" s="7" t="s">
        <v>30</v>
      </c>
      <c r="B13153" s="7" t="s">
        <v>196</v>
      </c>
      <c r="C13153" s="7" t="s">
        <v>1038</v>
      </c>
      <c r="D13153" s="7" t="n">
        <v>20</v>
      </c>
      <c r="E13153" s="7" t="n">
        <v>1197.44</v>
      </c>
      <c r="F13153" s="7" t="n">
        <v>0</v>
      </c>
      <c r="G13153" s="7" t="n">
        <v>0</v>
      </c>
    </row>
    <row r="13154" customFormat="false" ht="15" hidden="false" customHeight="false" outlineLevel="0" collapsed="false">
      <c r="A13154" s="7" t="s">
        <v>30</v>
      </c>
      <c r="B13154" s="7" t="s">
        <v>196</v>
      </c>
      <c r="C13154" s="7" t="s">
        <v>1038</v>
      </c>
      <c r="D13154" s="7" t="n">
        <v>25</v>
      </c>
      <c r="E13154" s="7" t="n">
        <v>1557.17</v>
      </c>
      <c r="F13154" s="7" t="n">
        <v>0</v>
      </c>
      <c r="G13154" s="7" t="n">
        <v>0</v>
      </c>
    </row>
    <row r="13155" customFormat="false" ht="15" hidden="false" customHeight="false" outlineLevel="0" collapsed="false">
      <c r="A13155" s="7" t="s">
        <v>30</v>
      </c>
      <c r="B13155" s="7" t="s">
        <v>196</v>
      </c>
      <c r="C13155" s="7" t="s">
        <v>1038</v>
      </c>
      <c r="D13155" s="7" t="n">
        <v>30</v>
      </c>
      <c r="E13155" s="7" t="n">
        <v>1792.45</v>
      </c>
      <c r="F13155" s="7" t="n">
        <v>0</v>
      </c>
      <c r="G13155" s="7" t="n">
        <v>0</v>
      </c>
    </row>
    <row r="13156" customFormat="false" ht="15" hidden="false" customHeight="false" outlineLevel="0" collapsed="false">
      <c r="A13156" s="7" t="s">
        <v>30</v>
      </c>
      <c r="B13156" s="7" t="s">
        <v>196</v>
      </c>
      <c r="C13156" s="7" t="s">
        <v>1038</v>
      </c>
      <c r="D13156" s="7" t="n">
        <v>20</v>
      </c>
      <c r="E13156" s="7" t="n">
        <v>1250.43</v>
      </c>
      <c r="F13156" s="7" t="n">
        <v>0</v>
      </c>
      <c r="G13156" s="7" t="n">
        <v>0</v>
      </c>
    </row>
    <row r="13157" customFormat="false" ht="15" hidden="false" customHeight="false" outlineLevel="0" collapsed="false">
      <c r="A13157" s="7" t="s">
        <v>30</v>
      </c>
      <c r="B13157" s="7" t="s">
        <v>196</v>
      </c>
      <c r="C13157" s="7" t="s">
        <v>1038</v>
      </c>
      <c r="D13157" s="7" t="n">
        <v>40</v>
      </c>
      <c r="E13157" s="7" t="n">
        <v>2617.91</v>
      </c>
      <c r="F13157" s="7" t="n">
        <v>0</v>
      </c>
      <c r="G13157" s="7" t="n">
        <v>0</v>
      </c>
    </row>
    <row r="13158" customFormat="false" ht="15" hidden="false" customHeight="false" outlineLevel="0" collapsed="false">
      <c r="A13158" s="7" t="s">
        <v>30</v>
      </c>
      <c r="B13158" s="7" t="s">
        <v>196</v>
      </c>
      <c r="C13158" s="7" t="s">
        <v>1038</v>
      </c>
      <c r="D13158" s="7" t="n">
        <v>25</v>
      </c>
      <c r="E13158" s="7" t="n">
        <v>1568.4</v>
      </c>
      <c r="F13158" s="7" t="n">
        <v>0</v>
      </c>
      <c r="G13158" s="7" t="n">
        <v>0</v>
      </c>
    </row>
    <row r="13159" customFormat="false" ht="15" hidden="false" customHeight="false" outlineLevel="0" collapsed="false">
      <c r="A13159" s="7" t="s">
        <v>30</v>
      </c>
      <c r="B13159" s="7" t="s">
        <v>196</v>
      </c>
      <c r="C13159" s="7" t="s">
        <v>1038</v>
      </c>
      <c r="D13159" s="7" t="n">
        <v>0</v>
      </c>
      <c r="E13159" s="7" t="n">
        <v>0</v>
      </c>
      <c r="F13159" s="7" t="n">
        <v>30</v>
      </c>
      <c r="G13159" s="7" t="n">
        <v>1835.14</v>
      </c>
    </row>
    <row r="13160" customFormat="false" ht="15" hidden="false" customHeight="false" outlineLevel="0" collapsed="false">
      <c r="A13160" s="7" t="s">
        <v>30</v>
      </c>
      <c r="B13160" s="7" t="s">
        <v>196</v>
      </c>
      <c r="C13160" s="7" t="s">
        <v>1038</v>
      </c>
      <c r="D13160" s="7" t="n">
        <v>0</v>
      </c>
      <c r="E13160" s="7" t="n">
        <v>0</v>
      </c>
      <c r="F13160" s="7" t="n">
        <v>60</v>
      </c>
      <c r="G13160" s="7" t="n">
        <v>3850.52</v>
      </c>
    </row>
    <row r="13161" customFormat="false" ht="15" hidden="false" customHeight="false" outlineLevel="0" collapsed="false">
      <c r="A13161" s="7" t="s">
        <v>30</v>
      </c>
      <c r="B13161" s="7" t="s">
        <v>196</v>
      </c>
      <c r="C13161" s="7" t="s">
        <v>1038</v>
      </c>
      <c r="D13161" s="7" t="n">
        <v>60</v>
      </c>
      <c r="E13161" s="7" t="n">
        <v>3551.54</v>
      </c>
      <c r="F13161" s="7" t="n">
        <v>0</v>
      </c>
      <c r="G13161" s="7" t="n">
        <v>0</v>
      </c>
    </row>
    <row r="13162" customFormat="false" ht="15" hidden="false" customHeight="false" outlineLevel="0" collapsed="false">
      <c r="A13162" s="7" t="s">
        <v>30</v>
      </c>
      <c r="B13162" s="7" t="s">
        <v>196</v>
      </c>
      <c r="C13162" s="7" t="s">
        <v>1038</v>
      </c>
      <c r="D13162" s="7" t="n">
        <v>25</v>
      </c>
      <c r="E13162" s="7" t="n">
        <v>1622.81</v>
      </c>
      <c r="F13162" s="7" t="n">
        <v>0</v>
      </c>
      <c r="G13162" s="7" t="n">
        <v>0</v>
      </c>
    </row>
    <row r="13163" customFormat="false" ht="15" hidden="false" customHeight="false" outlineLevel="0" collapsed="false">
      <c r="A13163" s="7" t="s">
        <v>30</v>
      </c>
      <c r="B13163" s="7" t="s">
        <v>196</v>
      </c>
      <c r="C13163" s="7" t="s">
        <v>1038</v>
      </c>
      <c r="D13163" s="7" t="n">
        <v>15</v>
      </c>
      <c r="E13163" s="7" t="n">
        <v>946.91</v>
      </c>
      <c r="F13163" s="7" t="n">
        <v>0</v>
      </c>
      <c r="G13163" s="7" t="n">
        <v>0</v>
      </c>
    </row>
    <row r="13164" customFormat="false" ht="15" hidden="false" customHeight="false" outlineLevel="0" collapsed="false">
      <c r="A13164" s="7" t="s">
        <v>30</v>
      </c>
      <c r="B13164" s="7" t="s">
        <v>196</v>
      </c>
      <c r="C13164" s="7" t="s">
        <v>1038</v>
      </c>
      <c r="D13164" s="7" t="n">
        <v>0</v>
      </c>
      <c r="E13164" s="7" t="n">
        <v>0</v>
      </c>
      <c r="F13164" s="7" t="n">
        <v>10</v>
      </c>
      <c r="G13164" s="7" t="n">
        <v>614.48</v>
      </c>
    </row>
    <row r="13165" customFormat="false" ht="15" hidden="false" customHeight="false" outlineLevel="0" collapsed="false">
      <c r="A13165" s="7" t="s">
        <v>30</v>
      </c>
      <c r="B13165" s="7" t="s">
        <v>197</v>
      </c>
      <c r="C13165" s="7" t="s">
        <v>1038</v>
      </c>
      <c r="D13165" s="7" t="n">
        <v>15</v>
      </c>
      <c r="E13165" s="7" t="n">
        <v>981.72</v>
      </c>
      <c r="F13165" s="7" t="n">
        <v>0</v>
      </c>
      <c r="G13165" s="7" t="n">
        <v>0</v>
      </c>
    </row>
    <row r="13166" customFormat="false" ht="15" hidden="false" customHeight="false" outlineLevel="0" collapsed="false">
      <c r="A13166" s="7" t="s">
        <v>30</v>
      </c>
      <c r="B13166" s="7" t="s">
        <v>197</v>
      </c>
      <c r="C13166" s="7" t="s">
        <v>1038</v>
      </c>
      <c r="D13166" s="7" t="n">
        <v>10</v>
      </c>
      <c r="E13166" s="7" t="n">
        <v>597.48</v>
      </c>
      <c r="F13166" s="7" t="n">
        <v>0</v>
      </c>
      <c r="G13166" s="7" t="n">
        <v>0</v>
      </c>
    </row>
    <row r="13167" customFormat="false" ht="15" hidden="false" customHeight="false" outlineLevel="0" collapsed="false">
      <c r="A13167" s="7" t="s">
        <v>30</v>
      </c>
      <c r="B13167" s="7" t="s">
        <v>197</v>
      </c>
      <c r="C13167" s="7" t="s">
        <v>1038</v>
      </c>
      <c r="D13167" s="7" t="n">
        <v>15</v>
      </c>
      <c r="E13167" s="7" t="n">
        <v>937.83</v>
      </c>
      <c r="F13167" s="7" t="n">
        <v>0</v>
      </c>
      <c r="G13167" s="7" t="n">
        <v>0</v>
      </c>
    </row>
    <row r="13168" customFormat="false" ht="15" hidden="false" customHeight="false" outlineLevel="0" collapsed="false">
      <c r="A13168" s="7" t="s">
        <v>30</v>
      </c>
      <c r="B13168" s="7" t="s">
        <v>197</v>
      </c>
      <c r="C13168" s="7" t="s">
        <v>1038</v>
      </c>
      <c r="D13168" s="7" t="n">
        <v>25</v>
      </c>
      <c r="E13168" s="7" t="n">
        <v>1578.18</v>
      </c>
      <c r="F13168" s="7" t="n">
        <v>0</v>
      </c>
      <c r="G13168" s="7" t="n">
        <v>0</v>
      </c>
    </row>
    <row r="13169" customFormat="false" ht="15" hidden="false" customHeight="false" outlineLevel="0" collapsed="false">
      <c r="A13169" s="7" t="s">
        <v>30</v>
      </c>
      <c r="B13169" s="7" t="s">
        <v>197</v>
      </c>
      <c r="C13169" s="7" t="s">
        <v>1038</v>
      </c>
      <c r="D13169" s="7" t="n">
        <v>30</v>
      </c>
      <c r="E13169" s="7" t="n">
        <v>1862.59</v>
      </c>
      <c r="F13169" s="7" t="n">
        <v>0</v>
      </c>
      <c r="G13169" s="7" t="n">
        <v>0</v>
      </c>
    </row>
    <row r="13170" customFormat="false" ht="15" hidden="false" customHeight="false" outlineLevel="0" collapsed="false">
      <c r="A13170" s="7" t="s">
        <v>30</v>
      </c>
      <c r="B13170" s="7" t="s">
        <v>197</v>
      </c>
      <c r="C13170" s="7" t="s">
        <v>1038</v>
      </c>
      <c r="D13170" s="7" t="n">
        <v>0</v>
      </c>
      <c r="E13170" s="7" t="n">
        <v>0</v>
      </c>
      <c r="F13170" s="7" t="n">
        <v>5</v>
      </c>
      <c r="G13170" s="7" t="n">
        <v>305.86</v>
      </c>
    </row>
    <row r="13171" customFormat="false" ht="15" hidden="false" customHeight="false" outlineLevel="0" collapsed="false">
      <c r="A13171" s="7" t="s">
        <v>30</v>
      </c>
      <c r="B13171" s="7" t="s">
        <v>197</v>
      </c>
      <c r="C13171" s="7" t="s">
        <v>1038</v>
      </c>
      <c r="D13171" s="7" t="n">
        <v>0</v>
      </c>
      <c r="E13171" s="7" t="n">
        <v>0</v>
      </c>
      <c r="F13171" s="7" t="n">
        <v>5</v>
      </c>
      <c r="G13171" s="7" t="n">
        <v>301.7</v>
      </c>
    </row>
    <row r="13172" customFormat="false" ht="15" hidden="false" customHeight="false" outlineLevel="0" collapsed="false">
      <c r="A13172" s="7" t="s">
        <v>30</v>
      </c>
      <c r="B13172" s="7" t="s">
        <v>197</v>
      </c>
      <c r="C13172" s="7" t="s">
        <v>1038</v>
      </c>
      <c r="D13172" s="7" t="n">
        <v>0</v>
      </c>
      <c r="E13172" s="7" t="n">
        <v>0</v>
      </c>
      <c r="F13172" s="7" t="n">
        <v>27</v>
      </c>
      <c r="G13172" s="7" t="n">
        <v>1732.74</v>
      </c>
    </row>
    <row r="13173" customFormat="false" ht="15" hidden="false" customHeight="false" outlineLevel="0" collapsed="false">
      <c r="A13173" s="7" t="s">
        <v>30</v>
      </c>
      <c r="B13173" s="7" t="s">
        <v>197</v>
      </c>
      <c r="C13173" s="7" t="s">
        <v>1038</v>
      </c>
      <c r="D13173" s="7" t="n">
        <v>0</v>
      </c>
      <c r="E13173" s="7" t="n">
        <v>0</v>
      </c>
      <c r="F13173" s="7" t="n">
        <v>10</v>
      </c>
      <c r="G13173" s="7" t="n">
        <v>655.7</v>
      </c>
    </row>
    <row r="13174" customFormat="false" ht="15" hidden="false" customHeight="false" outlineLevel="0" collapsed="false">
      <c r="A13174" s="7" t="s">
        <v>30</v>
      </c>
      <c r="B13174" s="7" t="s">
        <v>197</v>
      </c>
      <c r="C13174" s="7" t="s">
        <v>1038</v>
      </c>
      <c r="D13174" s="7" t="n">
        <v>30</v>
      </c>
      <c r="E13174" s="7" t="n">
        <v>1796.17</v>
      </c>
      <c r="F13174" s="7" t="n">
        <v>0</v>
      </c>
      <c r="G13174" s="7" t="n">
        <v>0</v>
      </c>
    </row>
    <row r="13175" customFormat="false" ht="15" hidden="false" customHeight="false" outlineLevel="0" collapsed="false">
      <c r="A13175" s="7" t="s">
        <v>30</v>
      </c>
      <c r="B13175" s="7" t="s">
        <v>197</v>
      </c>
      <c r="C13175" s="7" t="s">
        <v>1038</v>
      </c>
      <c r="D13175" s="7" t="n">
        <v>0</v>
      </c>
      <c r="E13175" s="7" t="n">
        <v>0</v>
      </c>
      <c r="F13175" s="7" t="n">
        <v>25</v>
      </c>
      <c r="G13175" s="7" t="n">
        <v>1529.33</v>
      </c>
    </row>
    <row r="13176" customFormat="false" ht="15" hidden="false" customHeight="false" outlineLevel="0" collapsed="false">
      <c r="A13176" s="7" t="s">
        <v>30</v>
      </c>
      <c r="B13176" s="7" t="s">
        <v>197</v>
      </c>
      <c r="C13176" s="7" t="s">
        <v>1038</v>
      </c>
      <c r="D13176" s="7" t="n">
        <v>12</v>
      </c>
      <c r="E13176" s="7" t="n">
        <v>778.95</v>
      </c>
      <c r="F13176" s="7" t="n">
        <v>0</v>
      </c>
      <c r="G13176" s="7" t="n">
        <v>0</v>
      </c>
    </row>
    <row r="13177" customFormat="false" ht="15" hidden="false" customHeight="false" outlineLevel="0" collapsed="false">
      <c r="A13177" s="7" t="s">
        <v>30</v>
      </c>
      <c r="B13177" s="7" t="s">
        <v>197</v>
      </c>
      <c r="C13177" s="7" t="s">
        <v>1038</v>
      </c>
      <c r="D13177" s="7" t="n">
        <v>20</v>
      </c>
      <c r="E13177" s="7" t="n">
        <v>1254.73</v>
      </c>
      <c r="F13177" s="7" t="n">
        <v>0</v>
      </c>
      <c r="G13177" s="7" t="n">
        <v>0</v>
      </c>
    </row>
    <row r="13178" customFormat="false" ht="15" hidden="false" customHeight="false" outlineLevel="0" collapsed="false">
      <c r="A13178" s="7" t="s">
        <v>30</v>
      </c>
      <c r="B13178" s="7" t="s">
        <v>197</v>
      </c>
      <c r="C13178" s="7" t="s">
        <v>1038</v>
      </c>
      <c r="D13178" s="7" t="n">
        <v>10</v>
      </c>
      <c r="E13178" s="7" t="n">
        <v>622.86</v>
      </c>
      <c r="F13178" s="7" t="n">
        <v>0</v>
      </c>
      <c r="G13178" s="7" t="n">
        <v>0</v>
      </c>
    </row>
    <row r="13179" customFormat="false" ht="15" hidden="false" customHeight="false" outlineLevel="0" collapsed="false">
      <c r="A13179" s="7" t="s">
        <v>30</v>
      </c>
      <c r="B13179" s="7" t="s">
        <v>197</v>
      </c>
      <c r="C13179" s="7" t="s">
        <v>1038</v>
      </c>
      <c r="D13179" s="7" t="n">
        <v>20</v>
      </c>
      <c r="E13179" s="7" t="n">
        <v>1214.66</v>
      </c>
      <c r="F13179" s="7" t="n">
        <v>0</v>
      </c>
      <c r="G13179" s="7" t="n">
        <v>0</v>
      </c>
    </row>
    <row r="13180" customFormat="false" ht="15" hidden="false" customHeight="false" outlineLevel="0" collapsed="false">
      <c r="A13180" s="7" t="s">
        <v>30</v>
      </c>
      <c r="B13180" s="7" t="s">
        <v>197</v>
      </c>
      <c r="C13180" s="7" t="s">
        <v>1038</v>
      </c>
      <c r="D13180" s="7" t="n">
        <v>0</v>
      </c>
      <c r="E13180" s="7" t="n">
        <v>0</v>
      </c>
      <c r="F13180" s="7" t="n">
        <v>25</v>
      </c>
      <c r="G13180" s="7" t="n">
        <v>1498.35</v>
      </c>
    </row>
    <row r="13181" customFormat="false" ht="15" hidden="false" customHeight="false" outlineLevel="0" collapsed="false">
      <c r="A13181" s="7" t="s">
        <v>30</v>
      </c>
      <c r="B13181" s="7" t="s">
        <v>197</v>
      </c>
      <c r="C13181" s="7" t="s">
        <v>1038</v>
      </c>
      <c r="D13181" s="7" t="n">
        <v>0</v>
      </c>
      <c r="E13181" s="7" t="n">
        <v>0</v>
      </c>
      <c r="F13181" s="7" t="n">
        <v>10</v>
      </c>
      <c r="G13181" s="7" t="n">
        <v>647.17</v>
      </c>
    </row>
    <row r="13182" customFormat="false" ht="15" hidden="false" customHeight="false" outlineLevel="0" collapsed="false">
      <c r="A13182" s="7" t="s">
        <v>30</v>
      </c>
      <c r="B13182" s="7" t="s">
        <v>197</v>
      </c>
      <c r="C13182" s="7" t="s">
        <v>1038</v>
      </c>
      <c r="D13182" s="7" t="n">
        <v>40</v>
      </c>
      <c r="E13182" s="7" t="n">
        <v>2367.69</v>
      </c>
      <c r="F13182" s="7" t="n">
        <v>0</v>
      </c>
      <c r="G13182" s="7" t="n">
        <v>0</v>
      </c>
    </row>
    <row r="13183" customFormat="false" ht="15" hidden="false" customHeight="false" outlineLevel="0" collapsed="false">
      <c r="A13183" s="7" t="s">
        <v>30</v>
      </c>
      <c r="B13183" s="7" t="s">
        <v>147</v>
      </c>
      <c r="C13183" s="7" t="s">
        <v>1041</v>
      </c>
      <c r="D13183" s="7" t="n">
        <v>115</v>
      </c>
      <c r="E13183" s="7" t="n">
        <v>9637.32</v>
      </c>
      <c r="F13183" s="7" t="n">
        <v>0</v>
      </c>
      <c r="G13183" s="7" t="n">
        <v>0</v>
      </c>
    </row>
    <row r="13184" customFormat="false" ht="15" hidden="false" customHeight="false" outlineLevel="0" collapsed="false">
      <c r="A13184" s="7" t="s">
        <v>30</v>
      </c>
      <c r="B13184" s="7" t="s">
        <v>147</v>
      </c>
      <c r="C13184" s="7" t="s">
        <v>1041</v>
      </c>
      <c r="D13184" s="7" t="n">
        <v>215</v>
      </c>
      <c r="E13184" s="7" t="n">
        <v>17870.23</v>
      </c>
      <c r="F13184" s="7" t="n">
        <v>0</v>
      </c>
      <c r="G13184" s="7" t="n">
        <v>0</v>
      </c>
    </row>
    <row r="13185" customFormat="false" ht="15" hidden="false" customHeight="false" outlineLevel="0" collapsed="false">
      <c r="A13185" s="7" t="s">
        <v>30</v>
      </c>
      <c r="B13185" s="7" t="s">
        <v>147</v>
      </c>
      <c r="C13185" s="7" t="s">
        <v>1041</v>
      </c>
      <c r="D13185" s="7" t="n">
        <v>0</v>
      </c>
      <c r="E13185" s="7" t="n">
        <v>0</v>
      </c>
      <c r="F13185" s="7" t="n">
        <v>180</v>
      </c>
      <c r="G13185" s="7" t="n">
        <v>14162.74</v>
      </c>
    </row>
    <row r="13186" customFormat="false" ht="15" hidden="false" customHeight="false" outlineLevel="0" collapsed="false">
      <c r="A13186" s="7" t="s">
        <v>30</v>
      </c>
      <c r="B13186" s="7" t="s">
        <v>147</v>
      </c>
      <c r="C13186" s="7" t="s">
        <v>1041</v>
      </c>
      <c r="D13186" s="7" t="n">
        <v>0</v>
      </c>
      <c r="E13186" s="7" t="n">
        <v>0</v>
      </c>
      <c r="F13186" s="7" t="n">
        <v>50</v>
      </c>
      <c r="G13186" s="7" t="n">
        <v>3916.47</v>
      </c>
    </row>
    <row r="13187" customFormat="false" ht="15" hidden="false" customHeight="false" outlineLevel="0" collapsed="false">
      <c r="A13187" s="7" t="s">
        <v>30</v>
      </c>
      <c r="B13187" s="7" t="s">
        <v>147</v>
      </c>
      <c r="C13187" s="7" t="s">
        <v>1041</v>
      </c>
      <c r="D13187" s="7" t="n">
        <v>50</v>
      </c>
      <c r="E13187" s="7" t="n">
        <v>4016.54</v>
      </c>
      <c r="F13187" s="7" t="n">
        <v>0</v>
      </c>
      <c r="G13187" s="7" t="n">
        <v>0</v>
      </c>
    </row>
    <row r="13188" customFormat="false" ht="15" hidden="false" customHeight="false" outlineLevel="0" collapsed="false">
      <c r="A13188" s="7" t="s">
        <v>30</v>
      </c>
      <c r="B13188" s="7" t="s">
        <v>147</v>
      </c>
      <c r="C13188" s="7" t="s">
        <v>1041</v>
      </c>
      <c r="D13188" s="7" t="n">
        <v>0</v>
      </c>
      <c r="E13188" s="7" t="n">
        <v>0</v>
      </c>
      <c r="F13188" s="7" t="n">
        <v>60</v>
      </c>
      <c r="G13188" s="7" t="n">
        <v>4635.76</v>
      </c>
    </row>
    <row r="13189" customFormat="false" ht="15" hidden="false" customHeight="false" outlineLevel="0" collapsed="false">
      <c r="A13189" s="7" t="s">
        <v>30</v>
      </c>
      <c r="B13189" s="7" t="s">
        <v>147</v>
      </c>
      <c r="C13189" s="7" t="s">
        <v>1041</v>
      </c>
      <c r="D13189" s="7" t="n">
        <v>165</v>
      </c>
      <c r="E13189" s="7" t="n">
        <v>13209.27</v>
      </c>
      <c r="F13189" s="7" t="n">
        <v>0</v>
      </c>
      <c r="G13189" s="7" t="n">
        <v>0</v>
      </c>
    </row>
    <row r="13190" customFormat="false" ht="15" hidden="false" customHeight="false" outlineLevel="0" collapsed="false">
      <c r="A13190" s="7" t="s">
        <v>30</v>
      </c>
      <c r="B13190" s="7" t="s">
        <v>147</v>
      </c>
      <c r="C13190" s="7" t="s">
        <v>1041</v>
      </c>
      <c r="D13190" s="7" t="n">
        <v>100</v>
      </c>
      <c r="E13190" s="7" t="n">
        <v>7666.35</v>
      </c>
      <c r="F13190" s="7" t="n">
        <v>0</v>
      </c>
      <c r="G13190" s="7" t="n">
        <v>0</v>
      </c>
    </row>
    <row r="13191" customFormat="false" ht="15" hidden="false" customHeight="false" outlineLevel="0" collapsed="false">
      <c r="A13191" s="7" t="s">
        <v>30</v>
      </c>
      <c r="B13191" s="7" t="s">
        <v>147</v>
      </c>
      <c r="C13191" s="7" t="s">
        <v>1041</v>
      </c>
      <c r="D13191" s="7" t="n">
        <v>0</v>
      </c>
      <c r="E13191" s="7" t="n">
        <v>0</v>
      </c>
      <c r="F13191" s="7" t="n">
        <v>60</v>
      </c>
      <c r="G13191" s="7" t="n">
        <v>4972.05</v>
      </c>
    </row>
    <row r="13192" customFormat="false" ht="15" hidden="false" customHeight="false" outlineLevel="0" collapsed="false">
      <c r="A13192" s="7" t="s">
        <v>30</v>
      </c>
      <c r="B13192" s="7" t="s">
        <v>147</v>
      </c>
      <c r="C13192" s="7" t="s">
        <v>1041</v>
      </c>
      <c r="D13192" s="7" t="n">
        <v>0</v>
      </c>
      <c r="E13192" s="7" t="n">
        <v>0</v>
      </c>
      <c r="F13192" s="7" t="n">
        <v>130</v>
      </c>
      <c r="G13192" s="7" t="n">
        <v>10182.52</v>
      </c>
    </row>
    <row r="13193" customFormat="false" ht="15" hidden="false" customHeight="false" outlineLevel="0" collapsed="false">
      <c r="A13193" s="7" t="s">
        <v>30</v>
      </c>
      <c r="B13193" s="7" t="s">
        <v>147</v>
      </c>
      <c r="C13193" s="7" t="s">
        <v>1041</v>
      </c>
      <c r="D13193" s="7" t="n">
        <v>0</v>
      </c>
      <c r="E13193" s="7" t="n">
        <v>0</v>
      </c>
      <c r="F13193" s="7" t="n">
        <v>70</v>
      </c>
      <c r="G13193" s="7" t="n">
        <v>5877.13</v>
      </c>
    </row>
    <row r="13194" customFormat="false" ht="15" hidden="false" customHeight="false" outlineLevel="0" collapsed="false">
      <c r="A13194" s="7" t="s">
        <v>30</v>
      </c>
      <c r="B13194" s="7" t="s">
        <v>147</v>
      </c>
      <c r="C13194" s="7" t="s">
        <v>1041</v>
      </c>
      <c r="D13194" s="7" t="n">
        <v>65</v>
      </c>
      <c r="E13194" s="7" t="n">
        <v>5054.79</v>
      </c>
      <c r="F13194" s="7" t="n">
        <v>0</v>
      </c>
      <c r="G13194" s="7" t="n">
        <v>0</v>
      </c>
    </row>
    <row r="13195" customFormat="false" ht="15" hidden="false" customHeight="false" outlineLevel="0" collapsed="false">
      <c r="A13195" s="7" t="s">
        <v>30</v>
      </c>
      <c r="B13195" s="7" t="s">
        <v>147</v>
      </c>
      <c r="C13195" s="7" t="s">
        <v>1041</v>
      </c>
      <c r="D13195" s="7" t="n">
        <v>20</v>
      </c>
      <c r="E13195" s="7" t="n">
        <v>1530.1</v>
      </c>
      <c r="F13195" s="7" t="n">
        <v>0</v>
      </c>
      <c r="G13195" s="7" t="n">
        <v>0</v>
      </c>
    </row>
    <row r="13196" customFormat="false" ht="15" hidden="false" customHeight="false" outlineLevel="0" collapsed="false">
      <c r="A13196" s="7" t="s">
        <v>30</v>
      </c>
      <c r="B13196" s="7" t="s">
        <v>147</v>
      </c>
      <c r="C13196" s="7" t="s">
        <v>1041</v>
      </c>
      <c r="D13196" s="7" t="n">
        <v>0</v>
      </c>
      <c r="E13196" s="7" t="n">
        <v>0</v>
      </c>
      <c r="F13196" s="7" t="n">
        <v>100</v>
      </c>
      <c r="G13196" s="7" t="n">
        <v>7674.28</v>
      </c>
    </row>
    <row r="13197" customFormat="false" ht="15" hidden="false" customHeight="false" outlineLevel="0" collapsed="false">
      <c r="A13197" s="7" t="s">
        <v>30</v>
      </c>
      <c r="B13197" s="7" t="s">
        <v>147</v>
      </c>
      <c r="C13197" s="7" t="s">
        <v>1041</v>
      </c>
      <c r="D13197" s="7" t="n">
        <v>100</v>
      </c>
      <c r="E13197" s="7" t="n">
        <v>7949.88</v>
      </c>
      <c r="F13197" s="7" t="n">
        <v>0</v>
      </c>
      <c r="G13197" s="7" t="n">
        <v>0</v>
      </c>
    </row>
    <row r="13198" customFormat="false" ht="15" hidden="false" customHeight="false" outlineLevel="0" collapsed="false">
      <c r="A13198" s="7" t="s">
        <v>30</v>
      </c>
      <c r="B13198" s="7" t="s">
        <v>147</v>
      </c>
      <c r="C13198" s="7" t="s">
        <v>1041</v>
      </c>
      <c r="D13198" s="7" t="n">
        <v>0</v>
      </c>
      <c r="E13198" s="7" t="n">
        <v>0</v>
      </c>
      <c r="F13198" s="7" t="n">
        <v>265</v>
      </c>
      <c r="G13198" s="7" t="n">
        <v>21776.01</v>
      </c>
    </row>
    <row r="13199" customFormat="false" ht="15" hidden="false" customHeight="false" outlineLevel="0" collapsed="false">
      <c r="A13199" s="7" t="s">
        <v>30</v>
      </c>
      <c r="B13199" s="7" t="s">
        <v>147</v>
      </c>
      <c r="C13199" s="7" t="s">
        <v>1041</v>
      </c>
      <c r="D13199" s="7" t="n">
        <v>30</v>
      </c>
      <c r="E13199" s="7" t="n">
        <v>2392.66</v>
      </c>
      <c r="F13199" s="7" t="n">
        <v>0</v>
      </c>
      <c r="G13199" s="7" t="n">
        <v>0</v>
      </c>
    </row>
    <row r="13200" customFormat="false" ht="15" hidden="false" customHeight="false" outlineLevel="0" collapsed="false">
      <c r="A13200" s="7" t="s">
        <v>30</v>
      </c>
      <c r="B13200" s="7" t="s">
        <v>147</v>
      </c>
      <c r="C13200" s="7" t="s">
        <v>1041</v>
      </c>
      <c r="D13200" s="7" t="n">
        <v>235</v>
      </c>
      <c r="E13200" s="7" t="n">
        <v>18995.32</v>
      </c>
      <c r="F13200" s="7" t="n">
        <v>0</v>
      </c>
      <c r="G13200" s="7" t="n">
        <v>0</v>
      </c>
    </row>
    <row r="13201" customFormat="false" ht="15" hidden="false" customHeight="false" outlineLevel="0" collapsed="false">
      <c r="A13201" s="7" t="s">
        <v>30</v>
      </c>
      <c r="B13201" s="7" t="s">
        <v>147</v>
      </c>
      <c r="C13201" s="7" t="s">
        <v>1041</v>
      </c>
      <c r="D13201" s="7" t="n">
        <v>120</v>
      </c>
      <c r="E13201" s="7" t="n">
        <v>9095.16</v>
      </c>
      <c r="F13201" s="7" t="n">
        <v>0</v>
      </c>
      <c r="G13201" s="7" t="n">
        <v>0</v>
      </c>
    </row>
    <row r="13202" customFormat="false" ht="15" hidden="false" customHeight="false" outlineLevel="0" collapsed="false">
      <c r="A13202" s="7" t="s">
        <v>30</v>
      </c>
      <c r="B13202" s="7" t="s">
        <v>524</v>
      </c>
      <c r="C13202" s="7" t="s">
        <v>1140</v>
      </c>
      <c r="D13202" s="7" t="n">
        <v>0</v>
      </c>
      <c r="E13202" s="7" t="n">
        <v>0</v>
      </c>
      <c r="F13202" s="7" t="n">
        <v>10</v>
      </c>
      <c r="G13202" s="7" t="n">
        <v>170.89</v>
      </c>
    </row>
    <row r="13203" customFormat="false" ht="15" hidden="false" customHeight="false" outlineLevel="0" collapsed="false">
      <c r="A13203" s="7" t="s">
        <v>30</v>
      </c>
      <c r="B13203" s="7" t="s">
        <v>524</v>
      </c>
      <c r="C13203" s="7" t="s">
        <v>1140</v>
      </c>
      <c r="D13203" s="7" t="n">
        <v>15</v>
      </c>
      <c r="E13203" s="7" t="n">
        <v>242.72</v>
      </c>
      <c r="F13203" s="7" t="n">
        <v>0</v>
      </c>
      <c r="G13203" s="7" t="n">
        <v>0</v>
      </c>
    </row>
    <row r="13204" customFormat="false" ht="15" hidden="false" customHeight="false" outlineLevel="0" collapsed="false">
      <c r="A13204" s="7" t="s">
        <v>30</v>
      </c>
      <c r="B13204" s="7" t="s">
        <v>524</v>
      </c>
      <c r="C13204" s="7" t="s">
        <v>1140</v>
      </c>
      <c r="D13204" s="7" t="n">
        <v>15</v>
      </c>
      <c r="E13204" s="7" t="n">
        <v>231.4</v>
      </c>
      <c r="F13204" s="7" t="n">
        <v>0</v>
      </c>
      <c r="G13204" s="7" t="n">
        <v>0</v>
      </c>
    </row>
    <row r="13205" customFormat="false" ht="15" hidden="false" customHeight="false" outlineLevel="0" collapsed="false">
      <c r="A13205" s="7" t="s">
        <v>30</v>
      </c>
      <c r="B13205" s="7" t="s">
        <v>524</v>
      </c>
      <c r="C13205" s="7" t="s">
        <v>1140</v>
      </c>
      <c r="D13205" s="7" t="n">
        <v>5</v>
      </c>
      <c r="E13205" s="7" t="n">
        <v>84.59</v>
      </c>
      <c r="F13205" s="7" t="n">
        <v>0</v>
      </c>
      <c r="G13205" s="7" t="n">
        <v>0</v>
      </c>
    </row>
    <row r="13206" customFormat="false" ht="15" hidden="false" customHeight="false" outlineLevel="0" collapsed="false">
      <c r="A13206" s="7" t="s">
        <v>30</v>
      </c>
      <c r="B13206" s="7" t="s">
        <v>524</v>
      </c>
      <c r="C13206" s="7" t="s">
        <v>1140</v>
      </c>
      <c r="D13206" s="7" t="n">
        <v>0</v>
      </c>
      <c r="E13206" s="7" t="n">
        <v>0</v>
      </c>
      <c r="F13206" s="7" t="n">
        <v>5</v>
      </c>
      <c r="G13206" s="7" t="n">
        <v>80.07</v>
      </c>
    </row>
    <row r="13207" customFormat="false" ht="15" hidden="false" customHeight="false" outlineLevel="0" collapsed="false">
      <c r="A13207" s="7" t="s">
        <v>30</v>
      </c>
      <c r="B13207" s="7" t="s">
        <v>524</v>
      </c>
      <c r="C13207" s="7" t="s">
        <v>1140</v>
      </c>
      <c r="D13207" s="7" t="n">
        <v>15</v>
      </c>
      <c r="E13207" s="7" t="n">
        <v>244.42</v>
      </c>
      <c r="F13207" s="7" t="n">
        <v>0</v>
      </c>
      <c r="G13207" s="7" t="n">
        <v>0</v>
      </c>
    </row>
    <row r="13208" customFormat="false" ht="15" hidden="false" customHeight="false" outlineLevel="0" collapsed="false">
      <c r="A13208" s="7" t="s">
        <v>30</v>
      </c>
      <c r="B13208" s="7" t="s">
        <v>524</v>
      </c>
      <c r="C13208" s="7" t="s">
        <v>1140</v>
      </c>
      <c r="D13208" s="7" t="n">
        <v>15</v>
      </c>
      <c r="E13208" s="7" t="n">
        <v>234.06</v>
      </c>
      <c r="F13208" s="7" t="n">
        <v>0</v>
      </c>
      <c r="G13208" s="7" t="n">
        <v>0</v>
      </c>
    </row>
    <row r="13209" customFormat="false" ht="15" hidden="false" customHeight="false" outlineLevel="0" collapsed="false">
      <c r="A13209" s="7" t="s">
        <v>30</v>
      </c>
      <c r="B13209" s="7" t="s">
        <v>524</v>
      </c>
      <c r="C13209" s="7" t="s">
        <v>1140</v>
      </c>
      <c r="D13209" s="7" t="n">
        <v>0</v>
      </c>
      <c r="E13209" s="7" t="n">
        <v>0</v>
      </c>
      <c r="F13209" s="7" t="n">
        <v>10</v>
      </c>
      <c r="G13209" s="7" t="n">
        <v>159.43</v>
      </c>
    </row>
    <row r="13210" customFormat="false" ht="15" hidden="false" customHeight="false" outlineLevel="0" collapsed="false">
      <c r="A13210" s="7" t="s">
        <v>30</v>
      </c>
      <c r="B13210" s="7" t="s">
        <v>524</v>
      </c>
      <c r="C13210" s="7" t="s">
        <v>1140</v>
      </c>
      <c r="D13210" s="7" t="n">
        <v>3</v>
      </c>
      <c r="E13210" s="7" t="n">
        <v>49.05</v>
      </c>
      <c r="F13210" s="7" t="n">
        <v>0</v>
      </c>
      <c r="G13210" s="7" t="n">
        <v>0</v>
      </c>
    </row>
    <row r="13211" customFormat="false" ht="15" hidden="false" customHeight="false" outlineLevel="0" collapsed="false">
      <c r="A13211" s="7" t="s">
        <v>30</v>
      </c>
      <c r="B13211" s="7" t="s">
        <v>524</v>
      </c>
      <c r="C13211" s="7" t="s">
        <v>1140</v>
      </c>
      <c r="D13211" s="7" t="n">
        <v>0</v>
      </c>
      <c r="E13211" s="7" t="n">
        <v>0</v>
      </c>
      <c r="F13211" s="7" t="n">
        <v>12</v>
      </c>
      <c r="G13211" s="7" t="n">
        <v>191.32</v>
      </c>
    </row>
    <row r="13212" customFormat="false" ht="15" hidden="false" customHeight="false" outlineLevel="0" collapsed="false">
      <c r="A13212" s="7" t="s">
        <v>30</v>
      </c>
      <c r="B13212" s="7" t="s">
        <v>524</v>
      </c>
      <c r="C13212" s="7" t="s">
        <v>1140</v>
      </c>
      <c r="D13212" s="7" t="n">
        <v>10</v>
      </c>
      <c r="E13212" s="7" t="n">
        <v>170.57</v>
      </c>
      <c r="F13212" s="7" t="n">
        <v>0</v>
      </c>
      <c r="G13212" s="7" t="n">
        <v>0</v>
      </c>
    </row>
    <row r="13213" customFormat="false" ht="15" hidden="false" customHeight="false" outlineLevel="0" collapsed="false">
      <c r="A13213" s="7" t="s">
        <v>30</v>
      </c>
      <c r="B13213" s="7" t="s">
        <v>524</v>
      </c>
      <c r="C13213" s="7" t="s">
        <v>1140</v>
      </c>
      <c r="D13213" s="7" t="n">
        <v>0</v>
      </c>
      <c r="E13213" s="7" t="n">
        <v>0</v>
      </c>
      <c r="F13213" s="7" t="n">
        <v>8</v>
      </c>
      <c r="G13213" s="7" t="n">
        <v>125.81</v>
      </c>
    </row>
    <row r="13214" customFormat="false" ht="15" hidden="false" customHeight="false" outlineLevel="0" collapsed="false">
      <c r="A13214" s="7" t="s">
        <v>30</v>
      </c>
      <c r="B13214" s="7" t="s">
        <v>524</v>
      </c>
      <c r="C13214" s="7" t="s">
        <v>1140</v>
      </c>
      <c r="D13214" s="7" t="n">
        <v>20</v>
      </c>
      <c r="E13214" s="7" t="n">
        <v>329.05</v>
      </c>
      <c r="F13214" s="7" t="n">
        <v>0</v>
      </c>
      <c r="G13214" s="7" t="n">
        <v>0</v>
      </c>
    </row>
    <row r="13215" customFormat="false" ht="15" hidden="false" customHeight="false" outlineLevel="0" collapsed="false">
      <c r="A13215" s="7" t="s">
        <v>30</v>
      </c>
      <c r="B13215" s="7" t="s">
        <v>524</v>
      </c>
      <c r="C13215" s="7" t="s">
        <v>1140</v>
      </c>
      <c r="D13215" s="7" t="n">
        <v>20</v>
      </c>
      <c r="E13215" s="7" t="n">
        <v>311.44</v>
      </c>
      <c r="F13215" s="7" t="n">
        <v>0</v>
      </c>
      <c r="G13215" s="7" t="n">
        <v>0</v>
      </c>
    </row>
    <row r="13216" customFormat="false" ht="15" hidden="false" customHeight="false" outlineLevel="0" collapsed="false">
      <c r="A13216" s="7" t="s">
        <v>30</v>
      </c>
      <c r="B13216" s="7" t="s">
        <v>524</v>
      </c>
      <c r="C13216" s="7" t="s">
        <v>1140</v>
      </c>
      <c r="D13216" s="7" t="n">
        <v>0</v>
      </c>
      <c r="E13216" s="7" t="n">
        <v>0</v>
      </c>
      <c r="F13216" s="7" t="n">
        <v>40</v>
      </c>
      <c r="G13216" s="7" t="n">
        <v>669.03</v>
      </c>
    </row>
    <row r="13217" customFormat="false" ht="15" hidden="false" customHeight="false" outlineLevel="0" collapsed="false">
      <c r="A13217" s="7" t="s">
        <v>30</v>
      </c>
      <c r="B13217" s="7" t="s">
        <v>524</v>
      </c>
      <c r="C13217" s="7" t="s">
        <v>1140</v>
      </c>
      <c r="D13217" s="7" t="n">
        <v>12</v>
      </c>
      <c r="E13217" s="7" t="n">
        <v>194.8</v>
      </c>
      <c r="F13217" s="7" t="n">
        <v>0</v>
      </c>
      <c r="G13217" s="7" t="n">
        <v>0</v>
      </c>
    </row>
    <row r="13218" customFormat="false" ht="15" hidden="false" customHeight="false" outlineLevel="0" collapsed="false">
      <c r="A13218" s="7" t="s">
        <v>30</v>
      </c>
      <c r="B13218" s="7" t="s">
        <v>524</v>
      </c>
      <c r="C13218" s="7" t="s">
        <v>1140</v>
      </c>
      <c r="D13218" s="7" t="n">
        <v>0</v>
      </c>
      <c r="E13218" s="7" t="n">
        <v>0</v>
      </c>
      <c r="F13218" s="7" t="n">
        <v>30</v>
      </c>
      <c r="G13218" s="7" t="n">
        <v>468.61</v>
      </c>
    </row>
    <row r="13219" customFormat="false" ht="15" hidden="false" customHeight="false" outlineLevel="0" collapsed="false">
      <c r="A13219" s="7" t="s">
        <v>30</v>
      </c>
      <c r="B13219" s="7" t="s">
        <v>524</v>
      </c>
      <c r="C13219" s="7" t="s">
        <v>1140</v>
      </c>
      <c r="D13219" s="7" t="n">
        <v>20</v>
      </c>
      <c r="E13219" s="7" t="n">
        <v>316.57</v>
      </c>
      <c r="F13219" s="7" t="n">
        <v>0</v>
      </c>
      <c r="G13219" s="7" t="n">
        <v>0</v>
      </c>
    </row>
    <row r="13220" customFormat="false" ht="15" hidden="false" customHeight="false" outlineLevel="0" collapsed="false">
      <c r="A13220" s="7" t="s">
        <v>30</v>
      </c>
      <c r="B13220" s="7" t="s">
        <v>795</v>
      </c>
      <c r="C13220" s="7" t="s">
        <v>1140</v>
      </c>
      <c r="D13220" s="7" t="n">
        <v>0</v>
      </c>
      <c r="E13220" s="7" t="n">
        <v>0</v>
      </c>
      <c r="F13220" s="7" t="n">
        <v>25</v>
      </c>
      <c r="G13220" s="7" t="n">
        <v>390.51</v>
      </c>
    </row>
    <row r="13221" customFormat="false" ht="15" hidden="false" customHeight="false" outlineLevel="0" collapsed="false">
      <c r="A13221" s="7" t="s">
        <v>30</v>
      </c>
      <c r="B13221" s="7" t="s">
        <v>795</v>
      </c>
      <c r="C13221" s="7" t="s">
        <v>1140</v>
      </c>
      <c r="D13221" s="7" t="n">
        <v>30</v>
      </c>
      <c r="E13221" s="7" t="n">
        <v>493.57</v>
      </c>
      <c r="F13221" s="7" t="n">
        <v>0</v>
      </c>
      <c r="G13221" s="7" t="n">
        <v>0</v>
      </c>
    </row>
    <row r="13222" customFormat="false" ht="15" hidden="false" customHeight="false" outlineLevel="0" collapsed="false">
      <c r="A13222" s="7" t="s">
        <v>30</v>
      </c>
      <c r="B13222" s="7" t="s">
        <v>795</v>
      </c>
      <c r="C13222" s="7" t="s">
        <v>1140</v>
      </c>
      <c r="D13222" s="7" t="n">
        <v>0</v>
      </c>
      <c r="E13222" s="7" t="n">
        <v>0</v>
      </c>
      <c r="F13222" s="7" t="n">
        <v>12</v>
      </c>
      <c r="G13222" s="7" t="n">
        <v>205.07</v>
      </c>
    </row>
    <row r="13223" customFormat="false" ht="15" hidden="false" customHeight="false" outlineLevel="0" collapsed="false">
      <c r="A13223" s="7" t="s">
        <v>30</v>
      </c>
      <c r="B13223" s="7" t="s">
        <v>795</v>
      </c>
      <c r="C13223" s="7" t="s">
        <v>1140</v>
      </c>
      <c r="D13223" s="7" t="n">
        <v>5</v>
      </c>
      <c r="E13223" s="7" t="n">
        <v>84.59</v>
      </c>
      <c r="F13223" s="7" t="n">
        <v>0</v>
      </c>
      <c r="G13223" s="7" t="n">
        <v>0</v>
      </c>
    </row>
    <row r="13224" customFormat="false" ht="15" hidden="false" customHeight="false" outlineLevel="0" collapsed="false">
      <c r="A13224" s="7" t="s">
        <v>30</v>
      </c>
      <c r="B13224" s="7" t="s">
        <v>795</v>
      </c>
      <c r="C13224" s="7" t="s">
        <v>1140</v>
      </c>
      <c r="D13224" s="7" t="n">
        <v>15</v>
      </c>
      <c r="E13224" s="7" t="n">
        <v>237.43</v>
      </c>
      <c r="F13224" s="7" t="n">
        <v>0</v>
      </c>
      <c r="G13224" s="7" t="n">
        <v>0</v>
      </c>
    </row>
    <row r="13225" customFormat="false" ht="15" hidden="false" customHeight="false" outlineLevel="0" collapsed="false">
      <c r="A13225" s="7" t="s">
        <v>30</v>
      </c>
      <c r="B13225" s="7" t="s">
        <v>795</v>
      </c>
      <c r="C13225" s="7" t="s">
        <v>1140</v>
      </c>
      <c r="D13225" s="7" t="n">
        <v>8</v>
      </c>
      <c r="E13225" s="7" t="n">
        <v>130.36</v>
      </c>
      <c r="F13225" s="7" t="n">
        <v>0</v>
      </c>
      <c r="G13225" s="7" t="n">
        <v>0</v>
      </c>
    </row>
    <row r="13226" customFormat="false" ht="15" hidden="false" customHeight="false" outlineLevel="0" collapsed="false">
      <c r="A13226" s="7" t="s">
        <v>30</v>
      </c>
      <c r="B13226" s="7" t="s">
        <v>795</v>
      </c>
      <c r="C13226" s="7" t="s">
        <v>1140</v>
      </c>
      <c r="D13226" s="7" t="n">
        <v>0</v>
      </c>
      <c r="E13226" s="7" t="n">
        <v>0</v>
      </c>
      <c r="F13226" s="7" t="n">
        <v>12</v>
      </c>
      <c r="G13226" s="7" t="n">
        <v>202.4</v>
      </c>
    </row>
    <row r="13227" customFormat="false" ht="15" hidden="false" customHeight="false" outlineLevel="0" collapsed="false">
      <c r="A13227" s="7" t="s">
        <v>30</v>
      </c>
      <c r="B13227" s="7" t="s">
        <v>795</v>
      </c>
      <c r="C13227" s="7" t="s">
        <v>1140</v>
      </c>
      <c r="D13227" s="7" t="n">
        <v>20</v>
      </c>
      <c r="E13227" s="7" t="n">
        <v>312.08</v>
      </c>
      <c r="F13227" s="7" t="n">
        <v>0</v>
      </c>
      <c r="G13227" s="7" t="n">
        <v>0</v>
      </c>
    </row>
    <row r="13228" customFormat="false" ht="15" hidden="false" customHeight="false" outlineLevel="0" collapsed="false">
      <c r="A13228" s="7" t="s">
        <v>30</v>
      </c>
      <c r="B13228" s="7" t="s">
        <v>795</v>
      </c>
      <c r="C13228" s="7" t="s">
        <v>1140</v>
      </c>
      <c r="D13228" s="7" t="n">
        <v>10</v>
      </c>
      <c r="E13228" s="7" t="n">
        <v>155.72</v>
      </c>
      <c r="F13228" s="7" t="n">
        <v>0</v>
      </c>
      <c r="G13228" s="7" t="n">
        <v>0</v>
      </c>
    </row>
    <row r="13229" customFormat="false" ht="15" hidden="false" customHeight="false" outlineLevel="0" collapsed="false">
      <c r="A13229" s="7" t="s">
        <v>30</v>
      </c>
      <c r="B13229" s="7" t="s">
        <v>795</v>
      </c>
      <c r="C13229" s="7" t="s">
        <v>1140</v>
      </c>
      <c r="D13229" s="7" t="n">
        <v>12</v>
      </c>
      <c r="E13229" s="7" t="n">
        <v>194.8</v>
      </c>
      <c r="F13229" s="7" t="n">
        <v>0</v>
      </c>
      <c r="G13229" s="7" t="n">
        <v>0</v>
      </c>
    </row>
    <row r="13230" customFormat="false" ht="15" hidden="false" customHeight="false" outlineLevel="0" collapsed="false">
      <c r="A13230" s="7" t="s">
        <v>30</v>
      </c>
      <c r="B13230" s="7" t="s">
        <v>795</v>
      </c>
      <c r="C13230" s="7" t="s">
        <v>1140</v>
      </c>
      <c r="D13230" s="7" t="n">
        <v>0</v>
      </c>
      <c r="E13230" s="7" t="n">
        <v>0</v>
      </c>
      <c r="F13230" s="7" t="n">
        <v>5</v>
      </c>
      <c r="G13230" s="7" t="n">
        <v>78.63</v>
      </c>
    </row>
    <row r="13231" customFormat="false" ht="15" hidden="false" customHeight="false" outlineLevel="0" collapsed="false">
      <c r="A13231" s="7" t="s">
        <v>30</v>
      </c>
      <c r="B13231" s="7" t="s">
        <v>795</v>
      </c>
      <c r="C13231" s="7" t="s">
        <v>1140</v>
      </c>
      <c r="D13231" s="7" t="n">
        <v>18</v>
      </c>
      <c r="E13231" s="7" t="n">
        <v>294.31</v>
      </c>
      <c r="F13231" s="7" t="n">
        <v>0</v>
      </c>
      <c r="G13231" s="7" t="n">
        <v>0</v>
      </c>
    </row>
    <row r="13232" customFormat="false" ht="15" hidden="false" customHeight="false" outlineLevel="0" collapsed="false">
      <c r="A13232" s="7" t="s">
        <v>30</v>
      </c>
      <c r="B13232" s="7" t="s">
        <v>795</v>
      </c>
      <c r="C13232" s="7" t="s">
        <v>1140</v>
      </c>
      <c r="D13232" s="7" t="n">
        <v>0</v>
      </c>
      <c r="E13232" s="7" t="n">
        <v>0</v>
      </c>
      <c r="F13232" s="7" t="n">
        <v>12</v>
      </c>
      <c r="G13232" s="7" t="n">
        <v>191.32</v>
      </c>
    </row>
    <row r="13233" customFormat="false" ht="15" hidden="false" customHeight="false" outlineLevel="0" collapsed="false">
      <c r="A13233" s="7" t="s">
        <v>30</v>
      </c>
      <c r="B13233" s="7" t="s">
        <v>795</v>
      </c>
      <c r="C13233" s="7" t="s">
        <v>1140</v>
      </c>
      <c r="D13233" s="7" t="n">
        <v>10</v>
      </c>
      <c r="E13233" s="7" t="n">
        <v>161.81</v>
      </c>
      <c r="F13233" s="7" t="n">
        <v>0</v>
      </c>
      <c r="G13233" s="7" t="n">
        <v>0</v>
      </c>
    </row>
    <row r="13234" customFormat="false" ht="15" hidden="false" customHeight="false" outlineLevel="0" collapsed="false">
      <c r="A13234" s="7" t="s">
        <v>30</v>
      </c>
      <c r="B13234" s="7" t="s">
        <v>795</v>
      </c>
      <c r="C13234" s="7" t="s">
        <v>1140</v>
      </c>
      <c r="D13234" s="7" t="n">
        <v>0</v>
      </c>
      <c r="E13234" s="7" t="n">
        <v>0</v>
      </c>
      <c r="F13234" s="7" t="n">
        <v>38</v>
      </c>
      <c r="G13234" s="7" t="n">
        <v>635.57</v>
      </c>
    </row>
    <row r="13235" customFormat="false" ht="15" hidden="false" customHeight="false" outlineLevel="0" collapsed="false">
      <c r="A13235" s="7" t="s">
        <v>30</v>
      </c>
      <c r="B13235" s="7" t="s">
        <v>795</v>
      </c>
      <c r="C13235" s="7" t="s">
        <v>1140</v>
      </c>
      <c r="D13235" s="7" t="n">
        <v>10</v>
      </c>
      <c r="E13235" s="7" t="n">
        <v>170.57</v>
      </c>
      <c r="F13235" s="7" t="n">
        <v>0</v>
      </c>
      <c r="G13235" s="7" t="n">
        <v>0</v>
      </c>
    </row>
    <row r="13236" customFormat="false" ht="15" hidden="false" customHeight="false" outlineLevel="0" collapsed="false">
      <c r="A13236" s="7" t="s">
        <v>30</v>
      </c>
      <c r="B13236" s="7" t="s">
        <v>795</v>
      </c>
      <c r="C13236" s="7" t="s">
        <v>1140</v>
      </c>
      <c r="D13236" s="7" t="n">
        <v>0</v>
      </c>
      <c r="E13236" s="7" t="n">
        <v>0</v>
      </c>
      <c r="F13236" s="7" t="n">
        <v>10</v>
      </c>
      <c r="G13236" s="7" t="n">
        <v>160.15</v>
      </c>
    </row>
    <row r="13237" customFormat="false" ht="15" hidden="false" customHeight="false" outlineLevel="0" collapsed="false">
      <c r="A13237" s="7" t="s">
        <v>30</v>
      </c>
      <c r="B13237" s="7" t="s">
        <v>795</v>
      </c>
      <c r="C13237" s="7" t="s">
        <v>1140</v>
      </c>
      <c r="D13237" s="7" t="n">
        <v>0</v>
      </c>
      <c r="E13237" s="7" t="n">
        <v>0</v>
      </c>
      <c r="F13237" s="7" t="n">
        <v>10</v>
      </c>
      <c r="G13237" s="7" t="n">
        <v>159.43</v>
      </c>
    </row>
    <row r="13238" customFormat="false" ht="15" hidden="false" customHeight="false" outlineLevel="0" collapsed="false">
      <c r="A13238" s="7" t="s">
        <v>30</v>
      </c>
      <c r="B13238" s="7" t="s">
        <v>795</v>
      </c>
      <c r="C13238" s="7" t="s">
        <v>1140</v>
      </c>
      <c r="D13238" s="7" t="n">
        <v>12</v>
      </c>
      <c r="E13238" s="7" t="n">
        <v>185.12</v>
      </c>
      <c r="F13238" s="7" t="n">
        <v>0</v>
      </c>
      <c r="G13238" s="7" t="n">
        <v>0</v>
      </c>
    </row>
    <row r="13239" customFormat="false" ht="15" hidden="false" customHeight="false" outlineLevel="0" collapsed="false">
      <c r="A13239" s="7" t="s">
        <v>30</v>
      </c>
      <c r="B13239" s="7" t="s">
        <v>654</v>
      </c>
      <c r="C13239" s="7" t="s">
        <v>1140</v>
      </c>
      <c r="D13239" s="7" t="n">
        <v>18</v>
      </c>
      <c r="E13239" s="7" t="n">
        <v>277.69</v>
      </c>
      <c r="F13239" s="7" t="n">
        <v>0</v>
      </c>
      <c r="G13239" s="7" t="n">
        <v>0</v>
      </c>
    </row>
    <row r="13240" customFormat="false" ht="15" hidden="false" customHeight="false" outlineLevel="0" collapsed="false">
      <c r="A13240" s="7" t="s">
        <v>30</v>
      </c>
      <c r="B13240" s="7" t="s">
        <v>654</v>
      </c>
      <c r="C13240" s="7" t="s">
        <v>1140</v>
      </c>
      <c r="D13240" s="7" t="n">
        <v>0</v>
      </c>
      <c r="E13240" s="7" t="n">
        <v>0</v>
      </c>
      <c r="F13240" s="7" t="n">
        <v>10</v>
      </c>
      <c r="G13240" s="7" t="n">
        <v>156.2</v>
      </c>
    </row>
    <row r="13241" customFormat="false" ht="15" hidden="false" customHeight="false" outlineLevel="0" collapsed="false">
      <c r="A13241" s="7" t="s">
        <v>30</v>
      </c>
      <c r="B13241" s="7" t="s">
        <v>654</v>
      </c>
      <c r="C13241" s="7" t="s">
        <v>1140</v>
      </c>
      <c r="D13241" s="7" t="n">
        <v>8</v>
      </c>
      <c r="E13241" s="7" t="n">
        <v>136.46</v>
      </c>
      <c r="F13241" s="7" t="n">
        <v>0</v>
      </c>
      <c r="G13241" s="7" t="n">
        <v>0</v>
      </c>
    </row>
    <row r="13242" customFormat="false" ht="15" hidden="false" customHeight="false" outlineLevel="0" collapsed="false">
      <c r="A13242" s="7" t="s">
        <v>30</v>
      </c>
      <c r="B13242" s="7" t="s">
        <v>654</v>
      </c>
      <c r="C13242" s="7" t="s">
        <v>1140</v>
      </c>
      <c r="D13242" s="7" t="n">
        <v>5</v>
      </c>
      <c r="E13242" s="7" t="n">
        <v>81.76</v>
      </c>
      <c r="F13242" s="7" t="n">
        <v>0</v>
      </c>
      <c r="G13242" s="7" t="n">
        <v>0</v>
      </c>
    </row>
    <row r="13243" customFormat="false" ht="15" hidden="false" customHeight="false" outlineLevel="0" collapsed="false">
      <c r="A13243" s="7" t="s">
        <v>30</v>
      </c>
      <c r="B13243" s="7" t="s">
        <v>654</v>
      </c>
      <c r="C13243" s="7" t="s">
        <v>1140</v>
      </c>
      <c r="D13243" s="7" t="n">
        <v>2</v>
      </c>
      <c r="E13243" s="7" t="n">
        <v>32.9</v>
      </c>
      <c r="F13243" s="7" t="n">
        <v>0</v>
      </c>
      <c r="G13243" s="7" t="n">
        <v>0</v>
      </c>
    </row>
    <row r="13244" customFormat="false" ht="15" hidden="false" customHeight="false" outlineLevel="0" collapsed="false">
      <c r="A13244" s="7" t="s">
        <v>30</v>
      </c>
      <c r="B13244" s="7" t="s">
        <v>654</v>
      </c>
      <c r="C13244" s="7" t="s">
        <v>1140</v>
      </c>
      <c r="D13244" s="7" t="n">
        <v>8</v>
      </c>
      <c r="E13244" s="7" t="n">
        <v>126.63</v>
      </c>
      <c r="F13244" s="7" t="n">
        <v>0</v>
      </c>
      <c r="G13244" s="7" t="n">
        <v>0</v>
      </c>
    </row>
    <row r="13245" customFormat="false" ht="15" hidden="false" customHeight="false" outlineLevel="0" collapsed="false">
      <c r="A13245" s="7" t="s">
        <v>30</v>
      </c>
      <c r="B13245" s="7" t="s">
        <v>654</v>
      </c>
      <c r="C13245" s="7" t="s">
        <v>1140</v>
      </c>
      <c r="D13245" s="7" t="n">
        <v>0</v>
      </c>
      <c r="E13245" s="7" t="n">
        <v>0</v>
      </c>
      <c r="F13245" s="7" t="n">
        <v>3</v>
      </c>
      <c r="G13245" s="7" t="n">
        <v>47.18</v>
      </c>
    </row>
    <row r="13246" customFormat="false" ht="15" hidden="false" customHeight="false" outlineLevel="0" collapsed="false">
      <c r="A13246" s="7" t="s">
        <v>30</v>
      </c>
      <c r="B13246" s="7" t="s">
        <v>654</v>
      </c>
      <c r="C13246" s="7" t="s">
        <v>1140</v>
      </c>
      <c r="D13246" s="7" t="n">
        <v>5</v>
      </c>
      <c r="E13246" s="7" t="n">
        <v>80.91</v>
      </c>
      <c r="F13246" s="7" t="n">
        <v>0</v>
      </c>
      <c r="G13246" s="7" t="n">
        <v>0</v>
      </c>
    </row>
    <row r="13247" customFormat="false" ht="15" hidden="false" customHeight="false" outlineLevel="0" collapsed="false">
      <c r="A13247" s="7" t="s">
        <v>30</v>
      </c>
      <c r="B13247" s="7" t="s">
        <v>654</v>
      </c>
      <c r="C13247" s="7" t="s">
        <v>1140</v>
      </c>
      <c r="D13247" s="7" t="n">
        <v>15</v>
      </c>
      <c r="E13247" s="7" t="n">
        <v>234.06</v>
      </c>
      <c r="F13247" s="7" t="n">
        <v>0</v>
      </c>
      <c r="G13247" s="7" t="n">
        <v>0</v>
      </c>
    </row>
    <row r="13248" customFormat="false" ht="15" hidden="false" customHeight="false" outlineLevel="0" collapsed="false">
      <c r="A13248" s="7" t="s">
        <v>30</v>
      </c>
      <c r="B13248" s="7" t="s">
        <v>654</v>
      </c>
      <c r="C13248" s="7" t="s">
        <v>1140</v>
      </c>
      <c r="D13248" s="7" t="n">
        <v>0</v>
      </c>
      <c r="E13248" s="7" t="n">
        <v>0</v>
      </c>
      <c r="F13248" s="7" t="n">
        <v>2</v>
      </c>
      <c r="G13248" s="7" t="n">
        <v>34.18</v>
      </c>
    </row>
    <row r="13249" customFormat="false" ht="15" hidden="false" customHeight="false" outlineLevel="0" collapsed="false">
      <c r="A13249" s="7" t="s">
        <v>30</v>
      </c>
      <c r="B13249" s="7" t="s">
        <v>654</v>
      </c>
      <c r="C13249" s="7" t="s">
        <v>1140</v>
      </c>
      <c r="D13249" s="7" t="n">
        <v>0</v>
      </c>
      <c r="E13249" s="7" t="n">
        <v>0</v>
      </c>
      <c r="F13249" s="7" t="n">
        <v>17</v>
      </c>
      <c r="G13249" s="7" t="n">
        <v>284.33</v>
      </c>
    </row>
    <row r="13250" customFormat="false" ht="15" hidden="false" customHeight="false" outlineLevel="0" collapsed="false">
      <c r="A13250" s="7" t="s">
        <v>30</v>
      </c>
      <c r="B13250" s="7" t="s">
        <v>654</v>
      </c>
      <c r="C13250" s="7" t="s">
        <v>1140</v>
      </c>
      <c r="D13250" s="7" t="n">
        <v>0</v>
      </c>
      <c r="E13250" s="7" t="n">
        <v>0</v>
      </c>
      <c r="F13250" s="7" t="n">
        <v>2</v>
      </c>
      <c r="G13250" s="7" t="n">
        <v>33.73</v>
      </c>
    </row>
    <row r="13251" customFormat="false" ht="15" hidden="false" customHeight="false" outlineLevel="0" collapsed="false">
      <c r="A13251" s="7" t="s">
        <v>30</v>
      </c>
      <c r="B13251" s="7" t="s">
        <v>654</v>
      </c>
      <c r="C13251" s="7" t="s">
        <v>1140</v>
      </c>
      <c r="D13251" s="7" t="n">
        <v>10</v>
      </c>
      <c r="E13251" s="7" t="n">
        <v>169.17</v>
      </c>
      <c r="F13251" s="7" t="n">
        <v>0</v>
      </c>
      <c r="G13251" s="7" t="n">
        <v>0</v>
      </c>
    </row>
    <row r="13252" customFormat="false" ht="15" hidden="false" customHeight="false" outlineLevel="0" collapsed="false">
      <c r="A13252" s="7" t="s">
        <v>30</v>
      </c>
      <c r="B13252" s="7" t="s">
        <v>654</v>
      </c>
      <c r="C13252" s="7" t="s">
        <v>1140</v>
      </c>
      <c r="D13252" s="7" t="n">
        <v>12</v>
      </c>
      <c r="E13252" s="7" t="n">
        <v>194.8</v>
      </c>
      <c r="F13252" s="7" t="n">
        <v>0</v>
      </c>
      <c r="G13252" s="7" t="n">
        <v>0</v>
      </c>
    </row>
    <row r="13253" customFormat="false" ht="15" hidden="false" customHeight="false" outlineLevel="0" collapsed="false">
      <c r="A13253" s="7" t="s">
        <v>30</v>
      </c>
      <c r="B13253" s="7" t="s">
        <v>675</v>
      </c>
      <c r="C13253" s="7" t="s">
        <v>1140</v>
      </c>
      <c r="D13253" s="7" t="n">
        <v>6</v>
      </c>
      <c r="E13253" s="7" t="n">
        <v>102.34</v>
      </c>
      <c r="F13253" s="7" t="n">
        <v>0</v>
      </c>
      <c r="G13253" s="7" t="n">
        <v>0</v>
      </c>
    </row>
    <row r="13254" customFormat="false" ht="15" hidden="false" customHeight="false" outlineLevel="0" collapsed="false">
      <c r="A13254" s="7" t="s">
        <v>30</v>
      </c>
      <c r="B13254" s="7" t="s">
        <v>675</v>
      </c>
      <c r="C13254" s="7" t="s">
        <v>1140</v>
      </c>
      <c r="D13254" s="7" t="n">
        <v>8</v>
      </c>
      <c r="E13254" s="7" t="n">
        <v>129.45</v>
      </c>
      <c r="F13254" s="7" t="n">
        <v>0</v>
      </c>
      <c r="G13254" s="7" t="n">
        <v>0</v>
      </c>
    </row>
    <row r="13255" customFormat="false" ht="15" hidden="false" customHeight="false" outlineLevel="0" collapsed="false">
      <c r="A13255" s="7" t="s">
        <v>30</v>
      </c>
      <c r="B13255" s="7" t="s">
        <v>675</v>
      </c>
      <c r="C13255" s="7" t="s">
        <v>1140</v>
      </c>
      <c r="D13255" s="7" t="n">
        <v>0</v>
      </c>
      <c r="E13255" s="7" t="n">
        <v>0</v>
      </c>
      <c r="F13255" s="7" t="n">
        <v>20</v>
      </c>
      <c r="G13255" s="7" t="n">
        <v>334.51</v>
      </c>
    </row>
    <row r="13256" customFormat="false" ht="15" hidden="false" customHeight="false" outlineLevel="0" collapsed="false">
      <c r="A13256" s="7" t="s">
        <v>30</v>
      </c>
      <c r="B13256" s="7" t="s">
        <v>675</v>
      </c>
      <c r="C13256" s="7" t="s">
        <v>1140</v>
      </c>
      <c r="D13256" s="7" t="n">
        <v>5</v>
      </c>
      <c r="E13256" s="7" t="n">
        <v>77.86</v>
      </c>
      <c r="F13256" s="7" t="n">
        <v>0</v>
      </c>
      <c r="G13256" s="7" t="n">
        <v>0</v>
      </c>
    </row>
    <row r="13257" customFormat="false" ht="15" hidden="false" customHeight="false" outlineLevel="0" collapsed="false">
      <c r="A13257" s="7" t="s">
        <v>30</v>
      </c>
      <c r="B13257" s="7" t="s">
        <v>675</v>
      </c>
      <c r="C13257" s="7" t="s">
        <v>1140</v>
      </c>
      <c r="D13257" s="7" t="n">
        <v>3</v>
      </c>
      <c r="E13257" s="7" t="n">
        <v>49.05</v>
      </c>
      <c r="F13257" s="7" t="n">
        <v>0</v>
      </c>
      <c r="G13257" s="7" t="n">
        <v>0</v>
      </c>
    </row>
    <row r="13258" customFormat="false" ht="15" hidden="false" customHeight="false" outlineLevel="0" collapsed="false">
      <c r="A13258" s="7" t="s">
        <v>30</v>
      </c>
      <c r="B13258" s="7" t="s">
        <v>675</v>
      </c>
      <c r="C13258" s="7" t="s">
        <v>1140</v>
      </c>
      <c r="D13258" s="7" t="n">
        <v>5</v>
      </c>
      <c r="E13258" s="7" t="n">
        <v>81.17</v>
      </c>
      <c r="F13258" s="7" t="n">
        <v>0</v>
      </c>
      <c r="G13258" s="7" t="n">
        <v>0</v>
      </c>
    </row>
    <row r="13259" customFormat="false" ht="15" hidden="false" customHeight="false" outlineLevel="0" collapsed="false">
      <c r="A13259" s="7" t="s">
        <v>30</v>
      </c>
      <c r="B13259" s="7" t="s">
        <v>675</v>
      </c>
      <c r="C13259" s="7" t="s">
        <v>1140</v>
      </c>
      <c r="D13259" s="7" t="n">
        <v>15</v>
      </c>
      <c r="E13259" s="7" t="n">
        <v>246.79</v>
      </c>
      <c r="F13259" s="7" t="n">
        <v>0</v>
      </c>
      <c r="G13259" s="7" t="n">
        <v>0</v>
      </c>
    </row>
    <row r="13260" customFormat="false" ht="15" hidden="false" customHeight="false" outlineLevel="0" collapsed="false">
      <c r="A13260" s="7" t="s">
        <v>30</v>
      </c>
      <c r="B13260" s="7" t="s">
        <v>675</v>
      </c>
      <c r="C13260" s="7" t="s">
        <v>1140</v>
      </c>
      <c r="D13260" s="7" t="n">
        <v>0</v>
      </c>
      <c r="E13260" s="7" t="n">
        <v>0</v>
      </c>
      <c r="F13260" s="7" t="n">
        <v>5</v>
      </c>
      <c r="G13260" s="7" t="n">
        <v>80.07</v>
      </c>
    </row>
    <row r="13261" customFormat="false" ht="15" hidden="false" customHeight="false" outlineLevel="0" collapsed="false">
      <c r="A13261" s="7" t="s">
        <v>30</v>
      </c>
      <c r="B13261" s="7" t="s">
        <v>675</v>
      </c>
      <c r="C13261" s="7" t="s">
        <v>1140</v>
      </c>
      <c r="D13261" s="7" t="n">
        <v>0</v>
      </c>
      <c r="E13261" s="7" t="n">
        <v>0</v>
      </c>
      <c r="F13261" s="7" t="n">
        <v>10</v>
      </c>
      <c r="G13261" s="7" t="n">
        <v>159.43</v>
      </c>
    </row>
    <row r="13262" customFormat="false" ht="15" hidden="false" customHeight="false" outlineLevel="0" collapsed="false">
      <c r="A13262" s="7" t="s">
        <v>30</v>
      </c>
      <c r="B13262" s="7" t="s">
        <v>675</v>
      </c>
      <c r="C13262" s="7" t="s">
        <v>1140</v>
      </c>
      <c r="D13262" s="7" t="n">
        <v>5</v>
      </c>
      <c r="E13262" s="7" t="n">
        <v>81.48</v>
      </c>
      <c r="F13262" s="7" t="n">
        <v>0</v>
      </c>
      <c r="G13262" s="7" t="n">
        <v>0</v>
      </c>
    </row>
    <row r="13263" customFormat="false" ht="15" hidden="false" customHeight="false" outlineLevel="0" collapsed="false">
      <c r="A13263" s="7" t="s">
        <v>30</v>
      </c>
      <c r="B13263" s="7" t="s">
        <v>675</v>
      </c>
      <c r="C13263" s="7" t="s">
        <v>1140</v>
      </c>
      <c r="D13263" s="7" t="n">
        <v>20</v>
      </c>
      <c r="E13263" s="7" t="n">
        <v>312.08</v>
      </c>
      <c r="F13263" s="7" t="n">
        <v>0</v>
      </c>
      <c r="G13263" s="7" t="n">
        <v>0</v>
      </c>
    </row>
    <row r="13264" customFormat="false" ht="15" hidden="false" customHeight="false" outlineLevel="0" collapsed="false">
      <c r="A13264" s="7" t="s">
        <v>30</v>
      </c>
      <c r="B13264" s="7" t="s">
        <v>675</v>
      </c>
      <c r="C13264" s="7" t="s">
        <v>1140</v>
      </c>
      <c r="D13264" s="7" t="n">
        <v>10</v>
      </c>
      <c r="E13264" s="7" t="n">
        <v>169.17</v>
      </c>
      <c r="F13264" s="7" t="n">
        <v>0</v>
      </c>
      <c r="G13264" s="7" t="n">
        <v>0</v>
      </c>
    </row>
    <row r="13265" customFormat="false" ht="15" hidden="false" customHeight="false" outlineLevel="0" collapsed="false">
      <c r="A13265" s="7" t="s">
        <v>30</v>
      </c>
      <c r="B13265" s="7" t="s">
        <v>675</v>
      </c>
      <c r="C13265" s="7" t="s">
        <v>1140</v>
      </c>
      <c r="D13265" s="7" t="n">
        <v>0</v>
      </c>
      <c r="E13265" s="7" t="n">
        <v>0</v>
      </c>
      <c r="F13265" s="7" t="n">
        <v>10</v>
      </c>
      <c r="G13265" s="7" t="n">
        <v>156.2</v>
      </c>
    </row>
    <row r="13266" customFormat="false" ht="15" hidden="false" customHeight="false" outlineLevel="0" collapsed="false">
      <c r="A13266" s="7" t="s">
        <v>30</v>
      </c>
      <c r="B13266" s="7" t="s">
        <v>675</v>
      </c>
      <c r="C13266" s="7" t="s">
        <v>1140</v>
      </c>
      <c r="D13266" s="7" t="n">
        <v>8</v>
      </c>
      <c r="E13266" s="7" t="n">
        <v>126.63</v>
      </c>
      <c r="F13266" s="7" t="n">
        <v>0</v>
      </c>
      <c r="G13266" s="7" t="n">
        <v>0</v>
      </c>
    </row>
    <row r="13267" customFormat="false" ht="15" hidden="false" customHeight="false" outlineLevel="0" collapsed="false">
      <c r="A13267" s="7" t="s">
        <v>30</v>
      </c>
      <c r="B13267" s="7" t="s">
        <v>675</v>
      </c>
      <c r="C13267" s="7" t="s">
        <v>1140</v>
      </c>
      <c r="D13267" s="7" t="n">
        <v>10</v>
      </c>
      <c r="E13267" s="7" t="n">
        <v>154.27</v>
      </c>
      <c r="F13267" s="7" t="n">
        <v>0</v>
      </c>
      <c r="G13267" s="7" t="n">
        <v>0</v>
      </c>
    </row>
    <row r="13268" customFormat="false" ht="15" hidden="false" customHeight="false" outlineLevel="0" collapsed="false">
      <c r="A13268" s="7" t="s">
        <v>30</v>
      </c>
      <c r="B13268" s="7" t="s">
        <v>139</v>
      </c>
      <c r="C13268" s="7" t="s">
        <v>1043</v>
      </c>
      <c r="D13268" s="7" t="n">
        <v>0</v>
      </c>
      <c r="E13268" s="7" t="n">
        <v>0</v>
      </c>
      <c r="F13268" s="7" t="n">
        <v>20</v>
      </c>
      <c r="G13268" s="7" t="n">
        <v>873.03</v>
      </c>
    </row>
    <row r="13269" customFormat="false" ht="15" hidden="false" customHeight="false" outlineLevel="0" collapsed="false">
      <c r="A13269" s="7" t="s">
        <v>30</v>
      </c>
      <c r="B13269" s="7" t="s">
        <v>146</v>
      </c>
      <c r="C13269" s="7" t="s">
        <v>1043</v>
      </c>
      <c r="D13269" s="7" t="n">
        <v>0</v>
      </c>
      <c r="E13269" s="7" t="n">
        <v>0</v>
      </c>
      <c r="F13269" s="7" t="n">
        <v>2</v>
      </c>
      <c r="G13269" s="7" t="n">
        <v>81.45</v>
      </c>
    </row>
    <row r="13270" customFormat="false" ht="15" hidden="false" customHeight="false" outlineLevel="0" collapsed="false">
      <c r="A13270" s="7" t="s">
        <v>30</v>
      </c>
      <c r="B13270" s="7" t="s">
        <v>146</v>
      </c>
      <c r="C13270" s="7" t="s">
        <v>1043</v>
      </c>
      <c r="D13270" s="7" t="n">
        <v>0</v>
      </c>
      <c r="E13270" s="7" t="n">
        <v>0</v>
      </c>
      <c r="F13270" s="7" t="n">
        <v>40</v>
      </c>
      <c r="G13270" s="7" t="n">
        <v>1746.05</v>
      </c>
    </row>
    <row r="13271" customFormat="false" ht="15" hidden="false" customHeight="false" outlineLevel="0" collapsed="false">
      <c r="A13271" s="7" t="s">
        <v>30</v>
      </c>
      <c r="B13271" s="7" t="s">
        <v>146</v>
      </c>
      <c r="C13271" s="7" t="s">
        <v>1043</v>
      </c>
      <c r="D13271" s="7" t="n">
        <v>0</v>
      </c>
      <c r="E13271" s="7" t="n">
        <v>0</v>
      </c>
      <c r="F13271" s="7" t="n">
        <v>2</v>
      </c>
      <c r="G13271" s="7" t="n">
        <v>81.82</v>
      </c>
    </row>
    <row r="13272" customFormat="false" ht="15" hidden="false" customHeight="false" outlineLevel="0" collapsed="false">
      <c r="A13272" s="7" t="s">
        <v>30</v>
      </c>
      <c r="B13272" s="7" t="s">
        <v>121</v>
      </c>
      <c r="C13272" s="7" t="s">
        <v>1043</v>
      </c>
      <c r="D13272" s="7" t="n">
        <v>0</v>
      </c>
      <c r="E13272" s="7" t="n">
        <v>0</v>
      </c>
      <c r="F13272" s="7" t="n">
        <v>25</v>
      </c>
      <c r="G13272" s="7" t="n">
        <v>1091.28</v>
      </c>
    </row>
    <row r="13273" customFormat="false" ht="15" hidden="false" customHeight="false" outlineLevel="0" collapsed="false">
      <c r="A13273" s="7" t="s">
        <v>30</v>
      </c>
      <c r="B13273" s="7" t="s">
        <v>121</v>
      </c>
      <c r="C13273" s="7" t="s">
        <v>1043</v>
      </c>
      <c r="D13273" s="7" t="n">
        <v>0</v>
      </c>
      <c r="E13273" s="7" t="n">
        <v>0</v>
      </c>
      <c r="F13273" s="7" t="n">
        <v>2</v>
      </c>
      <c r="G13273" s="7" t="n">
        <v>80.34</v>
      </c>
    </row>
    <row r="13274" customFormat="false" ht="15" hidden="false" customHeight="false" outlineLevel="0" collapsed="false">
      <c r="A13274" s="7" t="s">
        <v>30</v>
      </c>
      <c r="B13274" s="7" t="s">
        <v>120</v>
      </c>
      <c r="C13274" s="7" t="s">
        <v>1044</v>
      </c>
      <c r="D13274" s="7" t="n">
        <v>0</v>
      </c>
      <c r="E13274" s="7" t="n">
        <v>0</v>
      </c>
      <c r="F13274" s="7" t="n">
        <v>20</v>
      </c>
      <c r="G13274" s="7" t="n">
        <v>873.03</v>
      </c>
    </row>
    <row r="13275" customFormat="false" ht="15" hidden="false" customHeight="false" outlineLevel="0" collapsed="false">
      <c r="A13275" s="7" t="s">
        <v>30</v>
      </c>
      <c r="B13275" s="7" t="s">
        <v>120</v>
      </c>
      <c r="C13275" s="7" t="s">
        <v>1044</v>
      </c>
      <c r="D13275" s="7" t="n">
        <v>0</v>
      </c>
      <c r="E13275" s="7" t="n">
        <v>0</v>
      </c>
      <c r="F13275" s="7" t="n">
        <v>2</v>
      </c>
      <c r="G13275" s="7" t="n">
        <v>81.82</v>
      </c>
    </row>
    <row r="13276" customFormat="false" ht="15" hidden="false" customHeight="false" outlineLevel="0" collapsed="false">
      <c r="A13276" s="7" t="s">
        <v>30</v>
      </c>
      <c r="B13276" s="7" t="s">
        <v>116</v>
      </c>
      <c r="C13276" s="7" t="s">
        <v>1044</v>
      </c>
      <c r="D13276" s="7" t="n">
        <v>1</v>
      </c>
      <c r="E13276" s="7" t="n">
        <v>0.04</v>
      </c>
      <c r="F13276" s="7" t="n">
        <v>0</v>
      </c>
      <c r="G13276" s="7" t="n">
        <v>0</v>
      </c>
    </row>
    <row r="13277" customFormat="false" ht="15" hidden="false" customHeight="false" outlineLevel="0" collapsed="false">
      <c r="A13277" s="7" t="s">
        <v>30</v>
      </c>
      <c r="B13277" s="7" t="s">
        <v>116</v>
      </c>
      <c r="C13277" s="7" t="s">
        <v>1044</v>
      </c>
      <c r="D13277" s="7" t="n">
        <v>0</v>
      </c>
      <c r="E13277" s="7" t="n">
        <v>0</v>
      </c>
      <c r="F13277" s="7" t="n">
        <v>40</v>
      </c>
      <c r="G13277" s="7" t="n">
        <v>1746.05</v>
      </c>
    </row>
    <row r="13278" customFormat="false" ht="15" hidden="false" customHeight="false" outlineLevel="0" collapsed="false">
      <c r="A13278" s="7" t="s">
        <v>30</v>
      </c>
      <c r="B13278" s="7" t="s">
        <v>114</v>
      </c>
      <c r="C13278" s="7" t="s">
        <v>1044</v>
      </c>
      <c r="D13278" s="7" t="n">
        <v>0</v>
      </c>
      <c r="E13278" s="7" t="n">
        <v>0</v>
      </c>
      <c r="F13278" s="7" t="n">
        <v>25</v>
      </c>
      <c r="G13278" s="7" t="n">
        <v>1091.28</v>
      </c>
    </row>
    <row r="13279" customFormat="false" ht="15" hidden="false" customHeight="false" outlineLevel="0" collapsed="false">
      <c r="A13279" s="7" t="s">
        <v>30</v>
      </c>
      <c r="B13279" s="7" t="s">
        <v>683</v>
      </c>
      <c r="C13279" s="7" t="s">
        <v>1201</v>
      </c>
      <c r="D13279" s="7" t="n">
        <v>8</v>
      </c>
      <c r="E13279" s="7" t="n">
        <v>107.36</v>
      </c>
      <c r="F13279" s="7" t="n">
        <v>0</v>
      </c>
      <c r="G13279" s="7" t="n">
        <v>0</v>
      </c>
    </row>
    <row r="13280" customFormat="false" ht="15" hidden="false" customHeight="false" outlineLevel="0" collapsed="false">
      <c r="A13280" s="7" t="s">
        <v>30</v>
      </c>
      <c r="B13280" s="7" t="s">
        <v>683</v>
      </c>
      <c r="C13280" s="7" t="s">
        <v>1201</v>
      </c>
      <c r="D13280" s="7" t="n">
        <v>20</v>
      </c>
      <c r="E13280" s="7" t="n">
        <v>274.37</v>
      </c>
      <c r="F13280" s="7" t="n">
        <v>0</v>
      </c>
      <c r="G13280" s="7" t="n">
        <v>0</v>
      </c>
    </row>
    <row r="13281" customFormat="false" ht="15" hidden="false" customHeight="false" outlineLevel="0" collapsed="false">
      <c r="A13281" s="7" t="s">
        <v>30</v>
      </c>
      <c r="B13281" s="7" t="s">
        <v>683</v>
      </c>
      <c r="C13281" s="7" t="s">
        <v>1201</v>
      </c>
      <c r="D13281" s="7" t="n">
        <v>0</v>
      </c>
      <c r="E13281" s="7" t="n">
        <v>0</v>
      </c>
      <c r="F13281" s="7" t="n">
        <v>15</v>
      </c>
      <c r="G13281" s="7" t="n">
        <v>214.5</v>
      </c>
    </row>
    <row r="13282" customFormat="false" ht="15" hidden="false" customHeight="false" outlineLevel="0" collapsed="false">
      <c r="A13282" s="7" t="s">
        <v>30</v>
      </c>
      <c r="B13282" s="7" t="s">
        <v>683</v>
      </c>
      <c r="C13282" s="7" t="s">
        <v>1201</v>
      </c>
      <c r="D13282" s="7" t="n">
        <v>5</v>
      </c>
      <c r="E13282" s="7" t="n">
        <v>69.31</v>
      </c>
      <c r="F13282" s="7" t="n">
        <v>0</v>
      </c>
      <c r="G13282" s="7" t="n">
        <v>0</v>
      </c>
    </row>
    <row r="13283" customFormat="false" ht="15" hidden="false" customHeight="false" outlineLevel="0" collapsed="false">
      <c r="A13283" s="7" t="s">
        <v>30</v>
      </c>
      <c r="B13283" s="7" t="s">
        <v>683</v>
      </c>
      <c r="C13283" s="7" t="s">
        <v>1201</v>
      </c>
      <c r="D13283" s="7" t="n">
        <v>0</v>
      </c>
      <c r="E13283" s="7" t="n">
        <v>0</v>
      </c>
      <c r="F13283" s="7" t="n">
        <v>10</v>
      </c>
      <c r="G13283" s="7" t="n">
        <v>135.17</v>
      </c>
    </row>
    <row r="13284" customFormat="false" ht="15" hidden="false" customHeight="false" outlineLevel="0" collapsed="false">
      <c r="A13284" s="7" t="s">
        <v>30</v>
      </c>
      <c r="B13284" s="7" t="s">
        <v>683</v>
      </c>
      <c r="C13284" s="7" t="s">
        <v>1201</v>
      </c>
      <c r="D13284" s="7" t="n">
        <v>15</v>
      </c>
      <c r="E13284" s="7" t="n">
        <v>198.44</v>
      </c>
      <c r="F13284" s="7" t="n">
        <v>0</v>
      </c>
      <c r="G13284" s="7" t="n">
        <v>0</v>
      </c>
    </row>
    <row r="13285" customFormat="false" ht="15" hidden="false" customHeight="false" outlineLevel="0" collapsed="false">
      <c r="A13285" s="7" t="s">
        <v>30</v>
      </c>
      <c r="B13285" s="7" t="s">
        <v>683</v>
      </c>
      <c r="C13285" s="7" t="s">
        <v>1201</v>
      </c>
      <c r="D13285" s="7" t="n">
        <v>20</v>
      </c>
      <c r="E13285" s="7" t="n">
        <v>286.87</v>
      </c>
      <c r="F13285" s="7" t="n">
        <v>0</v>
      </c>
      <c r="G13285" s="7" t="n">
        <v>0</v>
      </c>
    </row>
    <row r="13286" customFormat="false" ht="15" hidden="false" customHeight="false" outlineLevel="0" collapsed="false">
      <c r="A13286" s="7" t="s">
        <v>30</v>
      </c>
      <c r="B13286" s="7" t="s">
        <v>683</v>
      </c>
      <c r="C13286" s="7" t="s">
        <v>1201</v>
      </c>
      <c r="D13286" s="7" t="n">
        <v>10</v>
      </c>
      <c r="E13286" s="7" t="n">
        <v>132.02</v>
      </c>
      <c r="F13286" s="7" t="n">
        <v>0</v>
      </c>
      <c r="G13286" s="7" t="n">
        <v>0</v>
      </c>
    </row>
    <row r="13287" customFormat="false" ht="15" hidden="false" customHeight="false" outlineLevel="0" collapsed="false">
      <c r="A13287" s="7" t="s">
        <v>30</v>
      </c>
      <c r="B13287" s="7" t="s">
        <v>683</v>
      </c>
      <c r="C13287" s="7" t="s">
        <v>1201</v>
      </c>
      <c r="D13287" s="7" t="n">
        <v>0</v>
      </c>
      <c r="E13287" s="7" t="n">
        <v>0</v>
      </c>
      <c r="F13287" s="7" t="n">
        <v>25</v>
      </c>
      <c r="G13287" s="7" t="n">
        <v>362.21</v>
      </c>
    </row>
    <row r="13288" customFormat="false" ht="15" hidden="false" customHeight="false" outlineLevel="0" collapsed="false">
      <c r="A13288" s="7" t="s">
        <v>30</v>
      </c>
      <c r="B13288" s="7" t="s">
        <v>683</v>
      </c>
      <c r="C13288" s="7" t="s">
        <v>1201</v>
      </c>
      <c r="D13288" s="7" t="n">
        <v>0</v>
      </c>
      <c r="E13288" s="7" t="n">
        <v>0</v>
      </c>
      <c r="F13288" s="7" t="n">
        <v>70</v>
      </c>
      <c r="G13288" s="7" t="n">
        <v>927.03</v>
      </c>
    </row>
    <row r="13289" customFormat="false" ht="15" hidden="false" customHeight="false" outlineLevel="0" collapsed="false">
      <c r="A13289" s="7" t="s">
        <v>30</v>
      </c>
      <c r="B13289" s="7" t="s">
        <v>683</v>
      </c>
      <c r="C13289" s="7" t="s">
        <v>1201</v>
      </c>
      <c r="D13289" s="7" t="n">
        <v>20</v>
      </c>
      <c r="E13289" s="7" t="n">
        <v>261.59</v>
      </c>
      <c r="F13289" s="7" t="n">
        <v>0</v>
      </c>
      <c r="G13289" s="7" t="n">
        <v>0</v>
      </c>
    </row>
    <row r="13290" customFormat="false" ht="15" hidden="false" customHeight="false" outlineLevel="0" collapsed="false">
      <c r="A13290" s="7" t="s">
        <v>30</v>
      </c>
      <c r="B13290" s="7" t="s">
        <v>683</v>
      </c>
      <c r="C13290" s="7" t="s">
        <v>1201</v>
      </c>
      <c r="D13290" s="7" t="n">
        <v>13</v>
      </c>
      <c r="E13290" s="7" t="n">
        <v>181.33</v>
      </c>
      <c r="F13290" s="7" t="n">
        <v>0</v>
      </c>
      <c r="G13290" s="7" t="n">
        <v>0</v>
      </c>
    </row>
    <row r="13291" customFormat="false" ht="15" hidden="false" customHeight="false" outlineLevel="0" collapsed="false">
      <c r="A13291" s="7" t="s">
        <v>30</v>
      </c>
      <c r="B13291" s="7" t="s">
        <v>405</v>
      </c>
      <c r="C13291" s="7" t="s">
        <v>1141</v>
      </c>
      <c r="D13291" s="7" t="n">
        <v>0</v>
      </c>
      <c r="E13291" s="7" t="n">
        <v>0</v>
      </c>
      <c r="F13291" s="7" t="n">
        <v>30</v>
      </c>
      <c r="G13291" s="7" t="n">
        <v>249.54</v>
      </c>
    </row>
    <row r="13292" customFormat="false" ht="15" hidden="false" customHeight="false" outlineLevel="0" collapsed="false">
      <c r="A13292" s="7" t="s">
        <v>30</v>
      </c>
      <c r="B13292" s="7" t="s">
        <v>405</v>
      </c>
      <c r="C13292" s="7" t="s">
        <v>1141</v>
      </c>
      <c r="D13292" s="7" t="n">
        <v>15</v>
      </c>
      <c r="E13292" s="7" t="n">
        <v>128.75</v>
      </c>
      <c r="F13292" s="7" t="n">
        <v>0</v>
      </c>
      <c r="G13292" s="7" t="n">
        <v>0</v>
      </c>
    </row>
    <row r="13293" customFormat="false" ht="15" hidden="false" customHeight="false" outlineLevel="0" collapsed="false">
      <c r="A13293" s="7" t="s">
        <v>30</v>
      </c>
      <c r="B13293" s="7" t="s">
        <v>405</v>
      </c>
      <c r="C13293" s="7" t="s">
        <v>1141</v>
      </c>
      <c r="D13293" s="7" t="n">
        <v>0</v>
      </c>
      <c r="E13293" s="7" t="n">
        <v>0</v>
      </c>
      <c r="F13293" s="7" t="n">
        <v>55</v>
      </c>
      <c r="G13293" s="7" t="n">
        <v>479.96</v>
      </c>
    </row>
    <row r="13294" customFormat="false" ht="15" hidden="false" customHeight="false" outlineLevel="0" collapsed="false">
      <c r="A13294" s="7" t="s">
        <v>30</v>
      </c>
      <c r="B13294" s="7" t="s">
        <v>405</v>
      </c>
      <c r="C13294" s="7" t="s">
        <v>1141</v>
      </c>
      <c r="D13294" s="7" t="n">
        <v>0</v>
      </c>
      <c r="E13294" s="7" t="n">
        <v>0</v>
      </c>
      <c r="F13294" s="7" t="n">
        <v>25</v>
      </c>
      <c r="G13294" s="7" t="n">
        <v>220</v>
      </c>
    </row>
    <row r="13295" customFormat="false" ht="15" hidden="false" customHeight="false" outlineLevel="0" collapsed="false">
      <c r="A13295" s="7" t="s">
        <v>30</v>
      </c>
      <c r="B13295" s="7" t="s">
        <v>405</v>
      </c>
      <c r="C13295" s="7" t="s">
        <v>1141</v>
      </c>
      <c r="D13295" s="7" t="n">
        <v>0</v>
      </c>
      <c r="E13295" s="7" t="n">
        <v>0</v>
      </c>
      <c r="F13295" s="7" t="n">
        <v>80</v>
      </c>
      <c r="G13295" s="7" t="n">
        <v>651.97</v>
      </c>
    </row>
    <row r="13296" customFormat="false" ht="15" hidden="false" customHeight="false" outlineLevel="0" collapsed="false">
      <c r="A13296" s="7" t="s">
        <v>30</v>
      </c>
      <c r="B13296" s="7" t="s">
        <v>405</v>
      </c>
      <c r="C13296" s="7" t="s">
        <v>1141</v>
      </c>
      <c r="D13296" s="7" t="n">
        <v>0</v>
      </c>
      <c r="E13296" s="7" t="n">
        <v>0</v>
      </c>
      <c r="F13296" s="7" t="n">
        <v>20</v>
      </c>
      <c r="G13296" s="7" t="n">
        <v>166.36</v>
      </c>
    </row>
    <row r="13297" customFormat="false" ht="15" hidden="false" customHeight="false" outlineLevel="0" collapsed="false">
      <c r="A13297" s="7" t="s">
        <v>30</v>
      </c>
      <c r="B13297" s="7" t="s">
        <v>405</v>
      </c>
      <c r="C13297" s="7" t="s">
        <v>1141</v>
      </c>
      <c r="D13297" s="7" t="n">
        <v>0</v>
      </c>
      <c r="E13297" s="7" t="n">
        <v>0</v>
      </c>
      <c r="F13297" s="7" t="n">
        <v>25</v>
      </c>
      <c r="G13297" s="7" t="n">
        <v>222.9</v>
      </c>
    </row>
    <row r="13298" customFormat="false" ht="15" hidden="false" customHeight="false" outlineLevel="0" collapsed="false">
      <c r="A13298" s="7" t="s">
        <v>30</v>
      </c>
      <c r="B13298" s="7" t="s">
        <v>405</v>
      </c>
      <c r="C13298" s="7" t="s">
        <v>1141</v>
      </c>
      <c r="D13298" s="7" t="n">
        <v>25</v>
      </c>
      <c r="E13298" s="7" t="n">
        <v>203.53</v>
      </c>
      <c r="F13298" s="7" t="n">
        <v>0</v>
      </c>
      <c r="G13298" s="7" t="n">
        <v>0</v>
      </c>
    </row>
    <row r="13299" customFormat="false" ht="15" hidden="false" customHeight="false" outlineLevel="0" collapsed="false">
      <c r="A13299" s="7" t="s">
        <v>30</v>
      </c>
      <c r="B13299" s="7" t="s">
        <v>405</v>
      </c>
      <c r="C13299" s="7" t="s">
        <v>1141</v>
      </c>
      <c r="D13299" s="7" t="n">
        <v>45</v>
      </c>
      <c r="E13299" s="7" t="n">
        <v>397.2</v>
      </c>
      <c r="F13299" s="7" t="n">
        <v>0</v>
      </c>
      <c r="G13299" s="7" t="n">
        <v>0</v>
      </c>
    </row>
    <row r="13300" customFormat="false" ht="15" hidden="false" customHeight="false" outlineLevel="0" collapsed="false">
      <c r="A13300" s="7" t="s">
        <v>30</v>
      </c>
      <c r="B13300" s="7" t="s">
        <v>405</v>
      </c>
      <c r="C13300" s="7" t="s">
        <v>1141</v>
      </c>
      <c r="D13300" s="7" t="n">
        <v>25</v>
      </c>
      <c r="E13300" s="7" t="n">
        <v>211.74</v>
      </c>
      <c r="F13300" s="7" t="n">
        <v>0</v>
      </c>
      <c r="G13300" s="7" t="n">
        <v>0</v>
      </c>
    </row>
    <row r="13301" customFormat="false" ht="15" hidden="false" customHeight="false" outlineLevel="0" collapsed="false">
      <c r="A13301" s="7" t="s">
        <v>30</v>
      </c>
      <c r="B13301" s="7" t="s">
        <v>405</v>
      </c>
      <c r="C13301" s="7" t="s">
        <v>1141</v>
      </c>
      <c r="D13301" s="7" t="n">
        <v>30</v>
      </c>
      <c r="E13301" s="7" t="n">
        <v>243.73</v>
      </c>
      <c r="F13301" s="7" t="n">
        <v>0</v>
      </c>
      <c r="G13301" s="7" t="n">
        <v>0</v>
      </c>
    </row>
    <row r="13302" customFormat="false" ht="15" hidden="false" customHeight="false" outlineLevel="0" collapsed="false">
      <c r="A13302" s="7" t="s">
        <v>30</v>
      </c>
      <c r="B13302" s="7" t="s">
        <v>405</v>
      </c>
      <c r="C13302" s="7" t="s">
        <v>1141</v>
      </c>
      <c r="D13302" s="7" t="n">
        <v>10</v>
      </c>
      <c r="E13302" s="7" t="n">
        <v>84.42</v>
      </c>
      <c r="F13302" s="7" t="n">
        <v>0</v>
      </c>
      <c r="G13302" s="7" t="n">
        <v>0</v>
      </c>
    </row>
    <row r="13303" customFormat="false" ht="15" hidden="false" customHeight="false" outlineLevel="0" collapsed="false">
      <c r="A13303" s="7" t="s">
        <v>30</v>
      </c>
      <c r="B13303" s="7" t="s">
        <v>405</v>
      </c>
      <c r="C13303" s="7" t="s">
        <v>1141</v>
      </c>
      <c r="D13303" s="7" t="n">
        <v>45</v>
      </c>
      <c r="E13303" s="7" t="n">
        <v>371.63</v>
      </c>
      <c r="F13303" s="7" t="n">
        <v>0</v>
      </c>
      <c r="G13303" s="7" t="n">
        <v>0</v>
      </c>
    </row>
    <row r="13304" customFormat="false" ht="15" hidden="false" customHeight="false" outlineLevel="0" collapsed="false">
      <c r="A13304" s="7" t="s">
        <v>30</v>
      </c>
      <c r="B13304" s="7" t="s">
        <v>405</v>
      </c>
      <c r="C13304" s="7" t="s">
        <v>1141</v>
      </c>
      <c r="D13304" s="7" t="n">
        <v>20</v>
      </c>
      <c r="E13304" s="7" t="n">
        <v>177.98</v>
      </c>
      <c r="F13304" s="7" t="n">
        <v>0</v>
      </c>
      <c r="G13304" s="7" t="n">
        <v>0</v>
      </c>
    </row>
    <row r="13305" customFormat="false" ht="15" hidden="false" customHeight="false" outlineLevel="0" collapsed="false">
      <c r="A13305" s="7" t="s">
        <v>30</v>
      </c>
      <c r="B13305" s="7" t="s">
        <v>405</v>
      </c>
      <c r="C13305" s="7" t="s">
        <v>1141</v>
      </c>
      <c r="D13305" s="7" t="n">
        <v>60</v>
      </c>
      <c r="E13305" s="7" t="n">
        <v>482.93</v>
      </c>
      <c r="F13305" s="7" t="n">
        <v>0</v>
      </c>
      <c r="G13305" s="7" t="n">
        <v>0</v>
      </c>
    </row>
    <row r="13306" customFormat="false" ht="15" hidden="false" customHeight="false" outlineLevel="0" collapsed="false">
      <c r="A13306" s="7" t="s">
        <v>30</v>
      </c>
      <c r="B13306" s="7" t="s">
        <v>405</v>
      </c>
      <c r="C13306" s="7" t="s">
        <v>1141</v>
      </c>
      <c r="D13306" s="7" t="n">
        <v>0</v>
      </c>
      <c r="E13306" s="7" t="n">
        <v>0</v>
      </c>
      <c r="F13306" s="7" t="n">
        <v>10</v>
      </c>
      <c r="G13306" s="7" t="n">
        <v>83.56</v>
      </c>
    </row>
    <row r="13307" customFormat="false" ht="15" hidden="false" customHeight="false" outlineLevel="0" collapsed="false">
      <c r="A13307" s="7" t="s">
        <v>30</v>
      </c>
      <c r="B13307" s="7" t="s">
        <v>405</v>
      </c>
      <c r="C13307" s="7" t="s">
        <v>1141</v>
      </c>
      <c r="D13307" s="7" t="n">
        <v>20</v>
      </c>
      <c r="E13307" s="7" t="n">
        <v>170.61</v>
      </c>
      <c r="F13307" s="7" t="n">
        <v>0</v>
      </c>
      <c r="G13307" s="7" t="n">
        <v>0</v>
      </c>
    </row>
    <row r="13308" customFormat="false" ht="15" hidden="false" customHeight="false" outlineLevel="0" collapsed="false">
      <c r="A13308" s="7" t="s">
        <v>30</v>
      </c>
      <c r="B13308" s="7" t="s">
        <v>405</v>
      </c>
      <c r="C13308" s="7" t="s">
        <v>1141</v>
      </c>
      <c r="D13308" s="7" t="n">
        <v>25</v>
      </c>
      <c r="E13308" s="7" t="n">
        <v>212.53</v>
      </c>
      <c r="F13308" s="7" t="n">
        <v>0</v>
      </c>
      <c r="G13308" s="7" t="n">
        <v>0</v>
      </c>
    </row>
    <row r="13309" customFormat="false" ht="15" hidden="false" customHeight="false" outlineLevel="0" collapsed="false">
      <c r="A13309" s="7" t="s">
        <v>30</v>
      </c>
      <c r="B13309" s="7" t="s">
        <v>405</v>
      </c>
      <c r="C13309" s="7" t="s">
        <v>1141</v>
      </c>
      <c r="D13309" s="7" t="n">
        <v>0</v>
      </c>
      <c r="E13309" s="7" t="n">
        <v>0</v>
      </c>
      <c r="F13309" s="7" t="n">
        <v>40</v>
      </c>
      <c r="G13309" s="7" t="n">
        <v>328.2</v>
      </c>
    </row>
    <row r="13310" customFormat="false" ht="15" hidden="false" customHeight="false" outlineLevel="0" collapsed="false">
      <c r="A13310" s="7" t="s">
        <v>30</v>
      </c>
      <c r="B13310" s="7" t="s">
        <v>696</v>
      </c>
      <c r="C13310" s="7" t="s">
        <v>1141</v>
      </c>
      <c r="D13310" s="7" t="n">
        <v>20</v>
      </c>
      <c r="E13310" s="7" t="n">
        <v>168.85</v>
      </c>
      <c r="F13310" s="7" t="n">
        <v>0</v>
      </c>
      <c r="G13310" s="7" t="n">
        <v>0</v>
      </c>
    </row>
    <row r="13311" customFormat="false" ht="15" hidden="false" customHeight="false" outlineLevel="0" collapsed="false">
      <c r="A13311" s="7" t="s">
        <v>30</v>
      </c>
      <c r="B13311" s="7" t="s">
        <v>696</v>
      </c>
      <c r="C13311" s="7" t="s">
        <v>1141</v>
      </c>
      <c r="D13311" s="7" t="n">
        <v>0</v>
      </c>
      <c r="E13311" s="7" t="n">
        <v>0</v>
      </c>
      <c r="F13311" s="7" t="n">
        <v>45</v>
      </c>
      <c r="G13311" s="7" t="n">
        <v>374.31</v>
      </c>
    </row>
    <row r="13312" customFormat="false" ht="15" hidden="false" customHeight="false" outlineLevel="0" collapsed="false">
      <c r="A13312" s="7" t="s">
        <v>30</v>
      </c>
      <c r="B13312" s="7" t="s">
        <v>696</v>
      </c>
      <c r="C13312" s="7" t="s">
        <v>1141</v>
      </c>
      <c r="D13312" s="7" t="n">
        <v>10</v>
      </c>
      <c r="E13312" s="7" t="n">
        <v>85.84</v>
      </c>
      <c r="F13312" s="7" t="n">
        <v>0</v>
      </c>
      <c r="G13312" s="7" t="n">
        <v>0</v>
      </c>
    </row>
    <row r="13313" customFormat="false" ht="15" hidden="false" customHeight="false" outlineLevel="0" collapsed="false">
      <c r="A13313" s="7" t="s">
        <v>30</v>
      </c>
      <c r="B13313" s="7" t="s">
        <v>696</v>
      </c>
      <c r="C13313" s="7" t="s">
        <v>1141</v>
      </c>
      <c r="D13313" s="7" t="n">
        <v>0</v>
      </c>
      <c r="E13313" s="7" t="n">
        <v>0</v>
      </c>
      <c r="F13313" s="7" t="n">
        <v>20</v>
      </c>
      <c r="G13313" s="7" t="n">
        <v>164.1</v>
      </c>
    </row>
    <row r="13314" customFormat="false" ht="15" hidden="false" customHeight="false" outlineLevel="0" collapsed="false">
      <c r="A13314" s="7" t="s">
        <v>30</v>
      </c>
      <c r="B13314" s="7" t="s">
        <v>696</v>
      </c>
      <c r="C13314" s="7" t="s">
        <v>1141</v>
      </c>
      <c r="D13314" s="7" t="n">
        <v>15</v>
      </c>
      <c r="E13314" s="7" t="n">
        <v>133.49</v>
      </c>
      <c r="F13314" s="7" t="n">
        <v>0</v>
      </c>
      <c r="G13314" s="7" t="n">
        <v>0</v>
      </c>
    </row>
    <row r="13315" customFormat="false" ht="15" hidden="false" customHeight="false" outlineLevel="0" collapsed="false">
      <c r="A13315" s="7" t="s">
        <v>30</v>
      </c>
      <c r="B13315" s="7" t="s">
        <v>696</v>
      </c>
      <c r="C13315" s="7" t="s">
        <v>1141</v>
      </c>
      <c r="D13315" s="7" t="n">
        <v>0</v>
      </c>
      <c r="E13315" s="7" t="n">
        <v>0</v>
      </c>
      <c r="F13315" s="7" t="n">
        <v>70</v>
      </c>
      <c r="G13315" s="7" t="n">
        <v>610.85</v>
      </c>
    </row>
    <row r="13316" customFormat="false" ht="15" hidden="false" customHeight="false" outlineLevel="0" collapsed="false">
      <c r="A13316" s="7" t="s">
        <v>30</v>
      </c>
      <c r="B13316" s="7" t="s">
        <v>696</v>
      </c>
      <c r="C13316" s="7" t="s">
        <v>1141</v>
      </c>
      <c r="D13316" s="7" t="n">
        <v>25</v>
      </c>
      <c r="E13316" s="7" t="n">
        <v>203.53</v>
      </c>
      <c r="F13316" s="7" t="n">
        <v>0</v>
      </c>
      <c r="G13316" s="7" t="n">
        <v>0</v>
      </c>
    </row>
    <row r="13317" customFormat="false" ht="15" hidden="false" customHeight="false" outlineLevel="0" collapsed="false">
      <c r="A13317" s="7" t="s">
        <v>30</v>
      </c>
      <c r="B13317" s="7" t="s">
        <v>696</v>
      </c>
      <c r="C13317" s="7" t="s">
        <v>1141</v>
      </c>
      <c r="D13317" s="7" t="n">
        <v>0</v>
      </c>
      <c r="E13317" s="7" t="n">
        <v>0</v>
      </c>
      <c r="F13317" s="7" t="n">
        <v>90</v>
      </c>
      <c r="G13317" s="7" t="n">
        <v>733.47</v>
      </c>
    </row>
    <row r="13318" customFormat="false" ht="15" hidden="false" customHeight="false" outlineLevel="0" collapsed="false">
      <c r="A13318" s="7" t="s">
        <v>30</v>
      </c>
      <c r="B13318" s="7" t="s">
        <v>696</v>
      </c>
      <c r="C13318" s="7" t="s">
        <v>1141</v>
      </c>
      <c r="D13318" s="7" t="n">
        <v>20</v>
      </c>
      <c r="E13318" s="7" t="n">
        <v>170.03</v>
      </c>
      <c r="F13318" s="7" t="n">
        <v>0</v>
      </c>
      <c r="G13318" s="7" t="n">
        <v>0</v>
      </c>
    </row>
    <row r="13319" customFormat="false" ht="15" hidden="false" customHeight="false" outlineLevel="0" collapsed="false">
      <c r="A13319" s="7" t="s">
        <v>30</v>
      </c>
      <c r="B13319" s="7" t="s">
        <v>696</v>
      </c>
      <c r="C13319" s="7" t="s">
        <v>1141</v>
      </c>
      <c r="D13319" s="7" t="n">
        <v>0</v>
      </c>
      <c r="E13319" s="7" t="n">
        <v>0</v>
      </c>
      <c r="F13319" s="7" t="n">
        <v>10</v>
      </c>
      <c r="G13319" s="7" t="n">
        <v>88</v>
      </c>
    </row>
    <row r="13320" customFormat="false" ht="15" hidden="false" customHeight="false" outlineLevel="0" collapsed="false">
      <c r="A13320" s="7" t="s">
        <v>30</v>
      </c>
      <c r="B13320" s="7" t="s">
        <v>696</v>
      </c>
      <c r="C13320" s="7" t="s">
        <v>1141</v>
      </c>
      <c r="D13320" s="7" t="n">
        <v>0</v>
      </c>
      <c r="E13320" s="7" t="n">
        <v>0</v>
      </c>
      <c r="F13320" s="7" t="n">
        <v>25</v>
      </c>
      <c r="G13320" s="7" t="n">
        <v>222.9</v>
      </c>
    </row>
    <row r="13321" customFormat="false" ht="15" hidden="false" customHeight="false" outlineLevel="0" collapsed="false">
      <c r="A13321" s="7" t="s">
        <v>30</v>
      </c>
      <c r="B13321" s="7" t="s">
        <v>696</v>
      </c>
      <c r="C13321" s="7" t="s">
        <v>1141</v>
      </c>
      <c r="D13321" s="7" t="n">
        <v>12</v>
      </c>
      <c r="E13321" s="7" t="n">
        <v>99.1</v>
      </c>
      <c r="F13321" s="7" t="n">
        <v>0</v>
      </c>
      <c r="G13321" s="7" t="n">
        <v>0</v>
      </c>
    </row>
    <row r="13322" customFormat="false" ht="15" hidden="false" customHeight="false" outlineLevel="0" collapsed="false">
      <c r="A13322" s="7" t="s">
        <v>30</v>
      </c>
      <c r="B13322" s="7" t="s">
        <v>696</v>
      </c>
      <c r="C13322" s="7" t="s">
        <v>1141</v>
      </c>
      <c r="D13322" s="7" t="n">
        <v>35</v>
      </c>
      <c r="E13322" s="7" t="n">
        <v>308.93</v>
      </c>
      <c r="F13322" s="7" t="n">
        <v>0</v>
      </c>
      <c r="G13322" s="7" t="n">
        <v>0</v>
      </c>
    </row>
    <row r="13323" customFormat="false" ht="15" hidden="false" customHeight="false" outlineLevel="0" collapsed="false">
      <c r="A13323" s="7" t="s">
        <v>30</v>
      </c>
      <c r="B13323" s="7" t="s">
        <v>696</v>
      </c>
      <c r="C13323" s="7" t="s">
        <v>1141</v>
      </c>
      <c r="D13323" s="7" t="n">
        <v>25</v>
      </c>
      <c r="E13323" s="7" t="n">
        <v>211.74</v>
      </c>
      <c r="F13323" s="7" t="n">
        <v>0</v>
      </c>
      <c r="G13323" s="7" t="n">
        <v>0</v>
      </c>
    </row>
    <row r="13324" customFormat="false" ht="15" hidden="false" customHeight="false" outlineLevel="0" collapsed="false">
      <c r="A13324" s="7" t="s">
        <v>30</v>
      </c>
      <c r="B13324" s="7" t="s">
        <v>696</v>
      </c>
      <c r="C13324" s="7" t="s">
        <v>1141</v>
      </c>
      <c r="D13324" s="7" t="n">
        <v>50</v>
      </c>
      <c r="E13324" s="7" t="n">
        <v>402.44</v>
      </c>
      <c r="F13324" s="7" t="n">
        <v>0</v>
      </c>
      <c r="G13324" s="7" t="n">
        <v>0</v>
      </c>
    </row>
    <row r="13325" customFormat="false" ht="15" hidden="false" customHeight="false" outlineLevel="0" collapsed="false">
      <c r="A13325" s="7" t="s">
        <v>30</v>
      </c>
      <c r="B13325" s="7" t="s">
        <v>696</v>
      </c>
      <c r="C13325" s="7" t="s">
        <v>1141</v>
      </c>
      <c r="D13325" s="7" t="n">
        <v>25</v>
      </c>
      <c r="E13325" s="7" t="n">
        <v>213.26</v>
      </c>
      <c r="F13325" s="7" t="n">
        <v>0</v>
      </c>
      <c r="G13325" s="7" t="n">
        <v>0</v>
      </c>
    </row>
    <row r="13326" customFormat="false" ht="15" hidden="false" customHeight="false" outlineLevel="0" collapsed="false">
      <c r="A13326" s="7" t="s">
        <v>30</v>
      </c>
      <c r="B13326" s="7" t="s">
        <v>696</v>
      </c>
      <c r="C13326" s="7" t="s">
        <v>1141</v>
      </c>
      <c r="D13326" s="7" t="n">
        <v>40</v>
      </c>
      <c r="E13326" s="7" t="n">
        <v>324.97</v>
      </c>
      <c r="F13326" s="7" t="n">
        <v>0</v>
      </c>
      <c r="G13326" s="7" t="n">
        <v>0</v>
      </c>
    </row>
    <row r="13327" customFormat="false" ht="15" hidden="false" customHeight="false" outlineLevel="0" collapsed="false">
      <c r="A13327" s="7" t="s">
        <v>30</v>
      </c>
      <c r="B13327" s="7" t="s">
        <v>700</v>
      </c>
      <c r="C13327" s="7" t="s">
        <v>1141</v>
      </c>
      <c r="D13327" s="7" t="n">
        <v>0</v>
      </c>
      <c r="E13327" s="7" t="n">
        <v>0</v>
      </c>
      <c r="F13327" s="7" t="n">
        <v>15</v>
      </c>
      <c r="G13327" s="7" t="n">
        <v>125.33</v>
      </c>
    </row>
    <row r="13328" customFormat="false" ht="15" hidden="false" customHeight="false" outlineLevel="0" collapsed="false">
      <c r="A13328" s="7" t="s">
        <v>30</v>
      </c>
      <c r="B13328" s="7" t="s">
        <v>700</v>
      </c>
      <c r="C13328" s="7" t="s">
        <v>1141</v>
      </c>
      <c r="D13328" s="7" t="n">
        <v>0</v>
      </c>
      <c r="E13328" s="7" t="n">
        <v>0</v>
      </c>
      <c r="F13328" s="7" t="n">
        <v>30</v>
      </c>
      <c r="G13328" s="7" t="n">
        <v>246.15</v>
      </c>
    </row>
    <row r="13329" customFormat="false" ht="15" hidden="false" customHeight="false" outlineLevel="0" collapsed="false">
      <c r="A13329" s="7" t="s">
        <v>30</v>
      </c>
      <c r="B13329" s="7" t="s">
        <v>700</v>
      </c>
      <c r="C13329" s="7" t="s">
        <v>1141</v>
      </c>
      <c r="D13329" s="7" t="n">
        <v>0</v>
      </c>
      <c r="E13329" s="7" t="n">
        <v>0</v>
      </c>
      <c r="F13329" s="7" t="n">
        <v>45</v>
      </c>
      <c r="G13329" s="7" t="n">
        <v>392.68</v>
      </c>
    </row>
    <row r="13330" customFormat="false" ht="15" hidden="false" customHeight="false" outlineLevel="0" collapsed="false">
      <c r="A13330" s="7" t="s">
        <v>30</v>
      </c>
      <c r="B13330" s="7" t="s">
        <v>700</v>
      </c>
      <c r="C13330" s="7" t="s">
        <v>1141</v>
      </c>
      <c r="D13330" s="7" t="n">
        <v>15</v>
      </c>
      <c r="E13330" s="7" t="n">
        <v>127.52</v>
      </c>
      <c r="F13330" s="7" t="n">
        <v>0</v>
      </c>
      <c r="G13330" s="7" t="n">
        <v>0</v>
      </c>
    </row>
    <row r="13331" customFormat="false" ht="15" hidden="false" customHeight="false" outlineLevel="0" collapsed="false">
      <c r="A13331" s="7" t="s">
        <v>30</v>
      </c>
      <c r="B13331" s="7" t="s">
        <v>700</v>
      </c>
      <c r="C13331" s="7" t="s">
        <v>1141</v>
      </c>
      <c r="D13331" s="7" t="n">
        <v>0</v>
      </c>
      <c r="E13331" s="7" t="n">
        <v>0</v>
      </c>
      <c r="F13331" s="7" t="n">
        <v>60</v>
      </c>
      <c r="G13331" s="7" t="n">
        <v>488.98</v>
      </c>
    </row>
    <row r="13332" customFormat="false" ht="15" hidden="false" customHeight="false" outlineLevel="0" collapsed="false">
      <c r="A13332" s="7" t="s">
        <v>30</v>
      </c>
      <c r="B13332" s="7" t="s">
        <v>700</v>
      </c>
      <c r="C13332" s="7" t="s">
        <v>1141</v>
      </c>
      <c r="D13332" s="7" t="n">
        <v>15</v>
      </c>
      <c r="E13332" s="7" t="n">
        <v>133.49</v>
      </c>
      <c r="F13332" s="7" t="n">
        <v>0</v>
      </c>
      <c r="G13332" s="7" t="n">
        <v>0</v>
      </c>
    </row>
    <row r="13333" customFormat="false" ht="15" hidden="false" customHeight="false" outlineLevel="0" collapsed="false">
      <c r="A13333" s="7" t="s">
        <v>30</v>
      </c>
      <c r="B13333" s="7" t="s">
        <v>700</v>
      </c>
      <c r="C13333" s="7" t="s">
        <v>1141</v>
      </c>
      <c r="D13333" s="7" t="n">
        <v>10</v>
      </c>
      <c r="E13333" s="7" t="n">
        <v>85.84</v>
      </c>
      <c r="F13333" s="7" t="n">
        <v>0</v>
      </c>
      <c r="G13333" s="7" t="n">
        <v>0</v>
      </c>
    </row>
    <row r="13334" customFormat="false" ht="15" hidden="false" customHeight="false" outlineLevel="0" collapsed="false">
      <c r="A13334" s="7" t="s">
        <v>30</v>
      </c>
      <c r="B13334" s="7" t="s">
        <v>700</v>
      </c>
      <c r="C13334" s="7" t="s">
        <v>1141</v>
      </c>
      <c r="D13334" s="7" t="n">
        <v>20</v>
      </c>
      <c r="E13334" s="7" t="n">
        <v>162.49</v>
      </c>
      <c r="F13334" s="7" t="n">
        <v>0</v>
      </c>
      <c r="G13334" s="7" t="n">
        <v>0</v>
      </c>
    </row>
    <row r="13335" customFormat="false" ht="15" hidden="false" customHeight="false" outlineLevel="0" collapsed="false">
      <c r="A13335" s="7" t="s">
        <v>30</v>
      </c>
      <c r="B13335" s="7" t="s">
        <v>700</v>
      </c>
      <c r="C13335" s="7" t="s">
        <v>1141</v>
      </c>
      <c r="D13335" s="7" t="n">
        <v>25</v>
      </c>
      <c r="E13335" s="7" t="n">
        <v>203.53</v>
      </c>
      <c r="F13335" s="7" t="n">
        <v>0</v>
      </c>
      <c r="G13335" s="7" t="n">
        <v>0</v>
      </c>
    </row>
    <row r="13336" customFormat="false" ht="15" hidden="false" customHeight="false" outlineLevel="0" collapsed="false">
      <c r="A13336" s="7" t="s">
        <v>30</v>
      </c>
      <c r="B13336" s="7" t="s">
        <v>700</v>
      </c>
      <c r="C13336" s="7" t="s">
        <v>1141</v>
      </c>
      <c r="D13336" s="7" t="n">
        <v>15</v>
      </c>
      <c r="E13336" s="7" t="n">
        <v>123.88</v>
      </c>
      <c r="F13336" s="7" t="n">
        <v>0</v>
      </c>
      <c r="G13336" s="7" t="n">
        <v>0</v>
      </c>
    </row>
    <row r="13337" customFormat="false" ht="15" hidden="false" customHeight="false" outlineLevel="0" collapsed="false">
      <c r="A13337" s="7" t="s">
        <v>30</v>
      </c>
      <c r="B13337" s="7" t="s">
        <v>700</v>
      </c>
      <c r="C13337" s="7" t="s">
        <v>1141</v>
      </c>
      <c r="D13337" s="7" t="n">
        <v>25</v>
      </c>
      <c r="E13337" s="7" t="n">
        <v>211.74</v>
      </c>
      <c r="F13337" s="7" t="n">
        <v>0</v>
      </c>
      <c r="G13337" s="7" t="n">
        <v>0</v>
      </c>
    </row>
    <row r="13338" customFormat="false" ht="15" hidden="false" customHeight="false" outlineLevel="0" collapsed="false">
      <c r="A13338" s="7" t="s">
        <v>30</v>
      </c>
      <c r="B13338" s="7" t="s">
        <v>700</v>
      </c>
      <c r="C13338" s="7" t="s">
        <v>1141</v>
      </c>
      <c r="D13338" s="7" t="n">
        <v>20</v>
      </c>
      <c r="E13338" s="7" t="n">
        <v>168.85</v>
      </c>
      <c r="F13338" s="7" t="n">
        <v>0</v>
      </c>
      <c r="G13338" s="7" t="n">
        <v>0</v>
      </c>
    </row>
    <row r="13339" customFormat="false" ht="15" hidden="false" customHeight="false" outlineLevel="0" collapsed="false">
      <c r="A13339" s="7" t="s">
        <v>30</v>
      </c>
      <c r="B13339" s="7" t="s">
        <v>700</v>
      </c>
      <c r="C13339" s="7" t="s">
        <v>1141</v>
      </c>
      <c r="D13339" s="7" t="n">
        <v>0</v>
      </c>
      <c r="E13339" s="7" t="n">
        <v>0</v>
      </c>
      <c r="F13339" s="7" t="n">
        <v>15</v>
      </c>
      <c r="G13339" s="7" t="n">
        <v>124.77</v>
      </c>
    </row>
    <row r="13340" customFormat="false" ht="15" hidden="false" customHeight="false" outlineLevel="0" collapsed="false">
      <c r="A13340" s="7" t="s">
        <v>30</v>
      </c>
      <c r="B13340" s="7" t="s">
        <v>700</v>
      </c>
      <c r="C13340" s="7" t="s">
        <v>1141</v>
      </c>
      <c r="D13340" s="7" t="n">
        <v>0</v>
      </c>
      <c r="E13340" s="7" t="n">
        <v>0</v>
      </c>
      <c r="F13340" s="7" t="n">
        <v>20</v>
      </c>
      <c r="G13340" s="7" t="n">
        <v>166.36</v>
      </c>
    </row>
    <row r="13341" customFormat="false" ht="15" hidden="false" customHeight="false" outlineLevel="0" collapsed="false">
      <c r="A13341" s="7" t="s">
        <v>30</v>
      </c>
      <c r="B13341" s="7" t="s">
        <v>700</v>
      </c>
      <c r="C13341" s="7" t="s">
        <v>1141</v>
      </c>
      <c r="D13341" s="7" t="n">
        <v>15</v>
      </c>
      <c r="E13341" s="7" t="n">
        <v>132.4</v>
      </c>
      <c r="F13341" s="7" t="n">
        <v>0</v>
      </c>
      <c r="G13341" s="7" t="n">
        <v>0</v>
      </c>
    </row>
    <row r="13342" customFormat="false" ht="15" hidden="false" customHeight="false" outlineLevel="0" collapsed="false">
      <c r="A13342" s="7" t="s">
        <v>30</v>
      </c>
      <c r="B13342" s="7" t="s">
        <v>700</v>
      </c>
      <c r="C13342" s="7" t="s">
        <v>1141</v>
      </c>
      <c r="D13342" s="7" t="n">
        <v>0</v>
      </c>
      <c r="E13342" s="7" t="n">
        <v>0</v>
      </c>
      <c r="F13342" s="7" t="n">
        <v>20</v>
      </c>
      <c r="G13342" s="7" t="n">
        <v>176</v>
      </c>
    </row>
    <row r="13343" customFormat="false" ht="15" hidden="false" customHeight="false" outlineLevel="0" collapsed="false">
      <c r="A13343" s="7" t="s">
        <v>30</v>
      </c>
      <c r="B13343" s="7" t="s">
        <v>700</v>
      </c>
      <c r="C13343" s="7" t="s">
        <v>1141</v>
      </c>
      <c r="D13343" s="7" t="n">
        <v>30</v>
      </c>
      <c r="E13343" s="7" t="n">
        <v>241.46</v>
      </c>
      <c r="F13343" s="7" t="n">
        <v>0</v>
      </c>
      <c r="G13343" s="7" t="n">
        <v>0</v>
      </c>
    </row>
    <row r="13344" customFormat="false" ht="15" hidden="false" customHeight="false" outlineLevel="0" collapsed="false">
      <c r="A13344" s="7" t="s">
        <v>30</v>
      </c>
      <c r="B13344" s="7" t="s">
        <v>700</v>
      </c>
      <c r="C13344" s="7" t="s">
        <v>1141</v>
      </c>
      <c r="D13344" s="7" t="n">
        <v>10</v>
      </c>
      <c r="E13344" s="7" t="n">
        <v>85.31</v>
      </c>
      <c r="F13344" s="7" t="n">
        <v>0</v>
      </c>
      <c r="G13344" s="7" t="n">
        <v>0</v>
      </c>
    </row>
    <row r="13345" customFormat="false" ht="15" hidden="false" customHeight="false" outlineLevel="0" collapsed="false">
      <c r="A13345" s="7" t="s">
        <v>30</v>
      </c>
      <c r="B13345" s="7" t="s">
        <v>567</v>
      </c>
      <c r="C13345" s="7" t="s">
        <v>1141</v>
      </c>
      <c r="D13345" s="7" t="n">
        <v>15</v>
      </c>
      <c r="E13345" s="7" t="n">
        <v>122.12</v>
      </c>
      <c r="F13345" s="7" t="n">
        <v>0</v>
      </c>
      <c r="G13345" s="7" t="n">
        <v>0</v>
      </c>
    </row>
    <row r="13346" customFormat="false" ht="15" hidden="false" customHeight="false" outlineLevel="0" collapsed="false">
      <c r="A13346" s="7" t="s">
        <v>30</v>
      </c>
      <c r="B13346" s="7" t="s">
        <v>567</v>
      </c>
      <c r="C13346" s="7" t="s">
        <v>1141</v>
      </c>
      <c r="D13346" s="7" t="n">
        <v>0</v>
      </c>
      <c r="E13346" s="7" t="n">
        <v>0</v>
      </c>
      <c r="F13346" s="7" t="n">
        <v>50</v>
      </c>
      <c r="G13346" s="7" t="n">
        <v>407.48</v>
      </c>
    </row>
    <row r="13347" customFormat="false" ht="15" hidden="false" customHeight="false" outlineLevel="0" collapsed="false">
      <c r="A13347" s="7" t="s">
        <v>30</v>
      </c>
      <c r="B13347" s="7" t="s">
        <v>567</v>
      </c>
      <c r="C13347" s="7" t="s">
        <v>1141</v>
      </c>
      <c r="D13347" s="7" t="n">
        <v>0</v>
      </c>
      <c r="E13347" s="7" t="n">
        <v>0</v>
      </c>
      <c r="F13347" s="7" t="n">
        <v>25</v>
      </c>
      <c r="G13347" s="7" t="n">
        <v>207.95</v>
      </c>
    </row>
    <row r="13348" customFormat="false" ht="15" hidden="false" customHeight="false" outlineLevel="0" collapsed="false">
      <c r="A13348" s="7" t="s">
        <v>30</v>
      </c>
      <c r="B13348" s="7" t="s">
        <v>567</v>
      </c>
      <c r="C13348" s="7" t="s">
        <v>1141</v>
      </c>
      <c r="D13348" s="7" t="n">
        <v>0</v>
      </c>
      <c r="E13348" s="7" t="n">
        <v>0</v>
      </c>
      <c r="F13348" s="7" t="n">
        <v>15</v>
      </c>
      <c r="G13348" s="7" t="n">
        <v>132</v>
      </c>
    </row>
    <row r="13349" customFormat="false" ht="15" hidden="false" customHeight="false" outlineLevel="0" collapsed="false">
      <c r="A13349" s="7" t="s">
        <v>30</v>
      </c>
      <c r="B13349" s="7" t="s">
        <v>567</v>
      </c>
      <c r="C13349" s="7" t="s">
        <v>1141</v>
      </c>
      <c r="D13349" s="7" t="n">
        <v>20</v>
      </c>
      <c r="E13349" s="7" t="n">
        <v>171.68</v>
      </c>
      <c r="F13349" s="7" t="n">
        <v>0</v>
      </c>
      <c r="G13349" s="7" t="n">
        <v>0</v>
      </c>
    </row>
    <row r="13350" customFormat="false" ht="15" hidden="false" customHeight="false" outlineLevel="0" collapsed="false">
      <c r="A13350" s="7" t="s">
        <v>30</v>
      </c>
      <c r="B13350" s="7" t="s">
        <v>567</v>
      </c>
      <c r="C13350" s="7" t="s">
        <v>1141</v>
      </c>
      <c r="D13350" s="7" t="n">
        <v>0</v>
      </c>
      <c r="E13350" s="7" t="n">
        <v>0</v>
      </c>
      <c r="F13350" s="7" t="n">
        <v>25</v>
      </c>
      <c r="G13350" s="7" t="n">
        <v>222.9</v>
      </c>
    </row>
    <row r="13351" customFormat="false" ht="15" hidden="false" customHeight="false" outlineLevel="0" collapsed="false">
      <c r="A13351" s="7" t="s">
        <v>30</v>
      </c>
      <c r="B13351" s="7" t="s">
        <v>567</v>
      </c>
      <c r="C13351" s="7" t="s">
        <v>1141</v>
      </c>
      <c r="D13351" s="7" t="n">
        <v>0</v>
      </c>
      <c r="E13351" s="7" t="n">
        <v>0</v>
      </c>
      <c r="F13351" s="7" t="n">
        <v>30</v>
      </c>
      <c r="G13351" s="7" t="n">
        <v>261.8</v>
      </c>
    </row>
    <row r="13352" customFormat="false" ht="15" hidden="false" customHeight="false" outlineLevel="0" collapsed="false">
      <c r="A13352" s="7" t="s">
        <v>30</v>
      </c>
      <c r="B13352" s="7" t="s">
        <v>567</v>
      </c>
      <c r="C13352" s="7" t="s">
        <v>1141</v>
      </c>
      <c r="D13352" s="7" t="n">
        <v>25</v>
      </c>
      <c r="E13352" s="7" t="n">
        <v>201.22</v>
      </c>
      <c r="F13352" s="7" t="n">
        <v>0</v>
      </c>
      <c r="G13352" s="7" t="n">
        <v>0</v>
      </c>
    </row>
    <row r="13353" customFormat="false" ht="15" hidden="false" customHeight="false" outlineLevel="0" collapsed="false">
      <c r="A13353" s="7" t="s">
        <v>30</v>
      </c>
      <c r="B13353" s="7" t="s">
        <v>567</v>
      </c>
      <c r="C13353" s="7" t="s">
        <v>1141</v>
      </c>
      <c r="D13353" s="7" t="n">
        <v>0</v>
      </c>
      <c r="E13353" s="7" t="n">
        <v>0</v>
      </c>
      <c r="F13353" s="7" t="n">
        <v>25</v>
      </c>
      <c r="G13353" s="7" t="n">
        <v>205.12</v>
      </c>
    </row>
    <row r="13354" customFormat="false" ht="15" hidden="false" customHeight="false" outlineLevel="0" collapsed="false">
      <c r="A13354" s="7" t="s">
        <v>30</v>
      </c>
      <c r="B13354" s="7" t="s">
        <v>567</v>
      </c>
      <c r="C13354" s="7" t="s">
        <v>1141</v>
      </c>
      <c r="D13354" s="7" t="n">
        <v>10</v>
      </c>
      <c r="E13354" s="7" t="n">
        <v>82.58</v>
      </c>
      <c r="F13354" s="7" t="n">
        <v>0</v>
      </c>
      <c r="G13354" s="7" t="n">
        <v>0</v>
      </c>
    </row>
    <row r="13355" customFormat="false" ht="15" hidden="false" customHeight="false" outlineLevel="0" collapsed="false">
      <c r="A13355" s="7" t="s">
        <v>30</v>
      </c>
      <c r="B13355" s="7" t="s">
        <v>567</v>
      </c>
      <c r="C13355" s="7" t="s">
        <v>1141</v>
      </c>
      <c r="D13355" s="7" t="n">
        <v>15</v>
      </c>
      <c r="E13355" s="7" t="n">
        <v>127.52</v>
      </c>
      <c r="F13355" s="7" t="n">
        <v>0</v>
      </c>
      <c r="G13355" s="7" t="n">
        <v>0</v>
      </c>
    </row>
    <row r="13356" customFormat="false" ht="15" hidden="false" customHeight="false" outlineLevel="0" collapsed="false">
      <c r="A13356" s="7" t="s">
        <v>30</v>
      </c>
      <c r="B13356" s="7" t="s">
        <v>567</v>
      </c>
      <c r="C13356" s="7" t="s">
        <v>1141</v>
      </c>
      <c r="D13356" s="7" t="n">
        <v>12</v>
      </c>
      <c r="E13356" s="7" t="n">
        <v>97.5</v>
      </c>
      <c r="F13356" s="7" t="n">
        <v>0</v>
      </c>
      <c r="G13356" s="7" t="n">
        <v>0</v>
      </c>
    </row>
    <row r="13357" customFormat="false" ht="15" hidden="false" customHeight="false" outlineLevel="0" collapsed="false">
      <c r="A13357" s="7" t="s">
        <v>30</v>
      </c>
      <c r="B13357" s="7" t="s">
        <v>567</v>
      </c>
      <c r="C13357" s="7" t="s">
        <v>1141</v>
      </c>
      <c r="D13357" s="7" t="n">
        <v>15</v>
      </c>
      <c r="E13357" s="7" t="n">
        <v>133.49</v>
      </c>
      <c r="F13357" s="7" t="n">
        <v>0</v>
      </c>
      <c r="G13357" s="7" t="n">
        <v>0</v>
      </c>
    </row>
    <row r="13358" customFormat="false" ht="15" hidden="false" customHeight="false" outlineLevel="0" collapsed="false">
      <c r="A13358" s="7" t="s">
        <v>30</v>
      </c>
      <c r="B13358" s="7" t="s">
        <v>567</v>
      </c>
      <c r="C13358" s="7" t="s">
        <v>1141</v>
      </c>
      <c r="D13358" s="7" t="n">
        <v>25</v>
      </c>
      <c r="E13358" s="7" t="n">
        <v>211.74</v>
      </c>
      <c r="F13358" s="7" t="n">
        <v>0</v>
      </c>
      <c r="G13358" s="7" t="n">
        <v>0</v>
      </c>
    </row>
    <row r="13359" customFormat="false" ht="15" hidden="false" customHeight="false" outlineLevel="0" collapsed="false">
      <c r="A13359" s="7" t="s">
        <v>30</v>
      </c>
      <c r="B13359" s="7" t="s">
        <v>567</v>
      </c>
      <c r="C13359" s="7" t="s">
        <v>1141</v>
      </c>
      <c r="D13359" s="7" t="n">
        <v>15</v>
      </c>
      <c r="E13359" s="7" t="n">
        <v>127.96</v>
      </c>
      <c r="F13359" s="7" t="n">
        <v>0</v>
      </c>
      <c r="G13359" s="7" t="n">
        <v>0</v>
      </c>
    </row>
    <row r="13360" customFormat="false" ht="15" hidden="false" customHeight="false" outlineLevel="0" collapsed="false">
      <c r="A13360" s="7" t="s">
        <v>30</v>
      </c>
      <c r="B13360" s="7" t="s">
        <v>567</v>
      </c>
      <c r="C13360" s="7" t="s">
        <v>1141</v>
      </c>
      <c r="D13360" s="7" t="n">
        <v>25</v>
      </c>
      <c r="E13360" s="7" t="n">
        <v>220.66</v>
      </c>
      <c r="F13360" s="7" t="n">
        <v>0</v>
      </c>
      <c r="G13360" s="7" t="n">
        <v>0</v>
      </c>
    </row>
    <row r="13361" customFormat="false" ht="15" hidden="false" customHeight="false" outlineLevel="0" collapsed="false">
      <c r="A13361" s="7" t="s">
        <v>30</v>
      </c>
      <c r="B13361" s="7" t="s">
        <v>567</v>
      </c>
      <c r="C13361" s="7" t="s">
        <v>1141</v>
      </c>
      <c r="D13361" s="7" t="n">
        <v>0</v>
      </c>
      <c r="E13361" s="7" t="n">
        <v>0</v>
      </c>
      <c r="F13361" s="7" t="n">
        <v>10</v>
      </c>
      <c r="G13361" s="7" t="n">
        <v>83.18</v>
      </c>
    </row>
    <row r="13362" customFormat="false" ht="15" hidden="false" customHeight="false" outlineLevel="0" collapsed="false">
      <c r="A13362" s="7" t="s">
        <v>30</v>
      </c>
      <c r="B13362" s="7" t="s">
        <v>448</v>
      </c>
      <c r="C13362" s="7" t="s">
        <v>1202</v>
      </c>
      <c r="D13362" s="7" t="n">
        <v>0</v>
      </c>
      <c r="E13362" s="7" t="n">
        <v>0</v>
      </c>
      <c r="F13362" s="7" t="n">
        <v>2</v>
      </c>
      <c r="G13362" s="7" t="n">
        <v>27.69</v>
      </c>
    </row>
    <row r="13363" customFormat="false" ht="15" hidden="false" customHeight="false" outlineLevel="0" collapsed="false">
      <c r="A13363" s="7" t="s">
        <v>30</v>
      </c>
      <c r="B13363" s="7" t="s">
        <v>448</v>
      </c>
      <c r="C13363" s="7" t="s">
        <v>1202</v>
      </c>
      <c r="D13363" s="7" t="n">
        <v>0</v>
      </c>
      <c r="E13363" s="7" t="n">
        <v>0</v>
      </c>
      <c r="F13363" s="7" t="n">
        <v>-5</v>
      </c>
      <c r="G13363" s="7" t="n">
        <v>-52.02</v>
      </c>
    </row>
    <row r="13364" customFormat="false" ht="15" hidden="false" customHeight="false" outlineLevel="0" collapsed="false">
      <c r="A13364" s="7" t="s">
        <v>30</v>
      </c>
      <c r="B13364" s="7" t="s">
        <v>448</v>
      </c>
      <c r="C13364" s="7" t="s">
        <v>1202</v>
      </c>
      <c r="D13364" s="7" t="n">
        <v>0</v>
      </c>
      <c r="E13364" s="7" t="n">
        <v>0</v>
      </c>
      <c r="F13364" s="7" t="n">
        <v>5</v>
      </c>
      <c r="G13364" s="7" t="n">
        <v>128.9</v>
      </c>
    </row>
    <row r="13365" customFormat="false" ht="15" hidden="false" customHeight="false" outlineLevel="0" collapsed="false">
      <c r="A13365" s="7" t="s">
        <v>30</v>
      </c>
      <c r="B13365" s="7" t="s">
        <v>370</v>
      </c>
      <c r="C13365" s="7" t="s">
        <v>1203</v>
      </c>
      <c r="D13365" s="7" t="n">
        <v>0</v>
      </c>
      <c r="E13365" s="7" t="n">
        <v>0</v>
      </c>
      <c r="F13365" s="7" t="n">
        <v>5</v>
      </c>
      <c r="G13365" s="7" t="n">
        <v>70.5</v>
      </c>
    </row>
    <row r="13366" customFormat="false" ht="15" hidden="false" customHeight="false" outlineLevel="0" collapsed="false">
      <c r="A13366" s="7" t="s">
        <v>30</v>
      </c>
      <c r="B13366" s="7" t="s">
        <v>370</v>
      </c>
      <c r="C13366" s="7" t="s">
        <v>1203</v>
      </c>
      <c r="D13366" s="7" t="n">
        <v>5</v>
      </c>
      <c r="E13366" s="7" t="n">
        <v>79.15</v>
      </c>
      <c r="F13366" s="7" t="n">
        <v>0</v>
      </c>
      <c r="G13366" s="7" t="n">
        <v>0</v>
      </c>
    </row>
    <row r="13367" customFormat="false" ht="15" hidden="false" customHeight="false" outlineLevel="0" collapsed="false">
      <c r="A13367" s="7" t="s">
        <v>30</v>
      </c>
      <c r="B13367" s="7" t="s">
        <v>370</v>
      </c>
      <c r="C13367" s="7" t="s">
        <v>1203</v>
      </c>
      <c r="D13367" s="7" t="n">
        <v>10</v>
      </c>
      <c r="E13367" s="7" t="n">
        <v>152.65</v>
      </c>
      <c r="F13367" s="7" t="n">
        <v>0</v>
      </c>
      <c r="G13367" s="7" t="n">
        <v>0</v>
      </c>
    </row>
    <row r="13368" customFormat="false" ht="15" hidden="false" customHeight="false" outlineLevel="0" collapsed="false">
      <c r="A13368" s="7" t="s">
        <v>30</v>
      </c>
      <c r="B13368" s="7" t="s">
        <v>370</v>
      </c>
      <c r="C13368" s="7" t="s">
        <v>1203</v>
      </c>
      <c r="D13368" s="7" t="n">
        <v>12</v>
      </c>
      <c r="E13368" s="7" t="n">
        <v>181.55</v>
      </c>
      <c r="F13368" s="7" t="n">
        <v>0</v>
      </c>
      <c r="G13368" s="7" t="n">
        <v>0</v>
      </c>
    </row>
    <row r="13369" customFormat="false" ht="15" hidden="false" customHeight="false" outlineLevel="0" collapsed="false">
      <c r="A13369" s="7" t="s">
        <v>30</v>
      </c>
      <c r="B13369" s="7" t="s">
        <v>728</v>
      </c>
      <c r="C13369" s="7" t="s">
        <v>1204</v>
      </c>
      <c r="D13369" s="7" t="n">
        <v>0</v>
      </c>
      <c r="E13369" s="7" t="n">
        <v>0</v>
      </c>
      <c r="F13369" s="7" t="n">
        <v>1</v>
      </c>
      <c r="G13369" s="7" t="n">
        <v>0.03</v>
      </c>
    </row>
    <row r="13370" customFormat="false" ht="15" hidden="false" customHeight="false" outlineLevel="0" collapsed="false">
      <c r="A13370" s="7" t="s">
        <v>30</v>
      </c>
      <c r="B13370" s="7" t="s">
        <v>361</v>
      </c>
      <c r="C13370" s="7" t="s">
        <v>1083</v>
      </c>
      <c r="D13370" s="7" t="n">
        <v>20</v>
      </c>
      <c r="E13370" s="7" t="n">
        <v>728.2</v>
      </c>
      <c r="F13370" s="7" t="n">
        <v>0</v>
      </c>
      <c r="G13370" s="7" t="n">
        <v>0</v>
      </c>
    </row>
    <row r="13371" customFormat="false" ht="15" hidden="false" customHeight="false" outlineLevel="0" collapsed="false">
      <c r="A13371" s="7" t="s">
        <v>30</v>
      </c>
      <c r="B13371" s="7" t="s">
        <v>361</v>
      </c>
      <c r="C13371" s="7" t="s">
        <v>1083</v>
      </c>
      <c r="D13371" s="7" t="n">
        <v>3</v>
      </c>
      <c r="E13371" s="7" t="n">
        <v>104.81</v>
      </c>
      <c r="F13371" s="7" t="n">
        <v>0</v>
      </c>
      <c r="G13371" s="7" t="n">
        <v>0</v>
      </c>
    </row>
    <row r="13372" customFormat="false" ht="15" hidden="false" customHeight="false" outlineLevel="0" collapsed="false">
      <c r="A13372" s="7" t="s">
        <v>30</v>
      </c>
      <c r="B13372" s="7" t="s">
        <v>361</v>
      </c>
      <c r="C13372" s="7" t="s">
        <v>1083</v>
      </c>
      <c r="D13372" s="7" t="n">
        <v>3</v>
      </c>
      <c r="E13372" s="7" t="n">
        <v>105.57</v>
      </c>
      <c r="F13372" s="7" t="n">
        <v>0</v>
      </c>
      <c r="G13372" s="7" t="n">
        <v>0</v>
      </c>
    </row>
    <row r="13373" customFormat="false" ht="15" hidden="false" customHeight="false" outlineLevel="0" collapsed="false">
      <c r="A13373" s="7" t="s">
        <v>30</v>
      </c>
      <c r="B13373" s="7" t="s">
        <v>361</v>
      </c>
      <c r="C13373" s="7" t="s">
        <v>1083</v>
      </c>
      <c r="D13373" s="7" t="n">
        <v>0</v>
      </c>
      <c r="E13373" s="7" t="n">
        <v>0</v>
      </c>
      <c r="F13373" s="7" t="n">
        <v>7</v>
      </c>
      <c r="G13373" s="7" t="n">
        <v>251.98</v>
      </c>
    </row>
    <row r="13374" customFormat="false" ht="15" hidden="false" customHeight="false" outlineLevel="0" collapsed="false">
      <c r="A13374" s="7" t="s">
        <v>30</v>
      </c>
      <c r="B13374" s="7" t="s">
        <v>361</v>
      </c>
      <c r="C13374" s="7" t="s">
        <v>1083</v>
      </c>
      <c r="D13374" s="7" t="n">
        <v>0</v>
      </c>
      <c r="E13374" s="7" t="n">
        <v>0</v>
      </c>
      <c r="F13374" s="7" t="n">
        <v>22</v>
      </c>
      <c r="G13374" s="7" t="n">
        <v>758.27</v>
      </c>
    </row>
    <row r="13375" customFormat="false" ht="15" hidden="false" customHeight="false" outlineLevel="0" collapsed="false">
      <c r="A13375" s="7" t="s">
        <v>30</v>
      </c>
      <c r="B13375" s="7" t="s">
        <v>361</v>
      </c>
      <c r="C13375" s="7" t="s">
        <v>1083</v>
      </c>
      <c r="D13375" s="7" t="n">
        <v>20</v>
      </c>
      <c r="E13375" s="7" t="n">
        <v>708.17</v>
      </c>
      <c r="F13375" s="7" t="n">
        <v>0</v>
      </c>
      <c r="G13375" s="7" t="n">
        <v>0</v>
      </c>
    </row>
    <row r="13376" customFormat="false" ht="15" hidden="false" customHeight="false" outlineLevel="0" collapsed="false">
      <c r="A13376" s="7" t="s">
        <v>30</v>
      </c>
      <c r="B13376" s="7" t="s">
        <v>361</v>
      </c>
      <c r="C13376" s="7" t="s">
        <v>1083</v>
      </c>
      <c r="D13376" s="7" t="n">
        <v>0</v>
      </c>
      <c r="E13376" s="7" t="n">
        <v>0</v>
      </c>
      <c r="F13376" s="7" t="n">
        <v>6</v>
      </c>
      <c r="G13376" s="7" t="n">
        <v>217.8</v>
      </c>
    </row>
    <row r="13377" customFormat="false" ht="15" hidden="false" customHeight="false" outlineLevel="0" collapsed="false">
      <c r="A13377" s="7" t="s">
        <v>30</v>
      </c>
      <c r="B13377" s="7" t="s">
        <v>361</v>
      </c>
      <c r="C13377" s="7" t="s">
        <v>1083</v>
      </c>
      <c r="D13377" s="7" t="n">
        <v>0</v>
      </c>
      <c r="E13377" s="7" t="n">
        <v>0</v>
      </c>
      <c r="F13377" s="7" t="n">
        <v>5</v>
      </c>
      <c r="G13377" s="7" t="n">
        <v>168.09</v>
      </c>
    </row>
    <row r="13378" customFormat="false" ht="15" hidden="false" customHeight="false" outlineLevel="0" collapsed="false">
      <c r="A13378" s="7" t="s">
        <v>30</v>
      </c>
      <c r="B13378" s="7" t="s">
        <v>361</v>
      </c>
      <c r="C13378" s="7" t="s">
        <v>1083</v>
      </c>
      <c r="D13378" s="7" t="n">
        <v>12</v>
      </c>
      <c r="E13378" s="7" t="n">
        <v>402.99</v>
      </c>
      <c r="F13378" s="7" t="n">
        <v>0</v>
      </c>
      <c r="G13378" s="7" t="n">
        <v>0</v>
      </c>
    </row>
    <row r="13379" customFormat="false" ht="15" hidden="false" customHeight="false" outlineLevel="0" collapsed="false">
      <c r="A13379" s="7" t="s">
        <v>30</v>
      </c>
      <c r="B13379" s="7" t="s">
        <v>361</v>
      </c>
      <c r="C13379" s="7" t="s">
        <v>1083</v>
      </c>
      <c r="D13379" s="7" t="n">
        <v>3</v>
      </c>
      <c r="E13379" s="7" t="n">
        <v>100.54</v>
      </c>
      <c r="F13379" s="7" t="n">
        <v>0</v>
      </c>
      <c r="G13379" s="7" t="n">
        <v>0</v>
      </c>
    </row>
    <row r="13380" customFormat="false" ht="15" hidden="false" customHeight="false" outlineLevel="0" collapsed="false">
      <c r="A13380" s="7" t="s">
        <v>30</v>
      </c>
      <c r="B13380" s="7" t="s">
        <v>361</v>
      </c>
      <c r="C13380" s="7" t="s">
        <v>1083</v>
      </c>
      <c r="D13380" s="7" t="n">
        <v>0</v>
      </c>
      <c r="E13380" s="7" t="n">
        <v>0</v>
      </c>
      <c r="F13380" s="7" t="n">
        <v>12</v>
      </c>
      <c r="G13380" s="7" t="n">
        <v>411.75</v>
      </c>
    </row>
    <row r="13381" customFormat="false" ht="15" hidden="false" customHeight="false" outlineLevel="0" collapsed="false">
      <c r="A13381" s="7" t="s">
        <v>30</v>
      </c>
      <c r="B13381" s="7" t="s">
        <v>361</v>
      </c>
      <c r="C13381" s="7" t="s">
        <v>1083</v>
      </c>
      <c r="D13381" s="7" t="n">
        <v>0</v>
      </c>
      <c r="E13381" s="7" t="n">
        <v>0</v>
      </c>
      <c r="F13381" s="7" t="n">
        <v>2</v>
      </c>
      <c r="G13381" s="7" t="n">
        <v>73.56</v>
      </c>
    </row>
    <row r="13382" customFormat="false" ht="15" hidden="false" customHeight="false" outlineLevel="0" collapsed="false">
      <c r="A13382" s="7" t="s">
        <v>30</v>
      </c>
      <c r="B13382" s="7" t="s">
        <v>361</v>
      </c>
      <c r="C13382" s="7" t="s">
        <v>1083</v>
      </c>
      <c r="D13382" s="7" t="n">
        <v>5</v>
      </c>
      <c r="E13382" s="7" t="n">
        <v>166.01</v>
      </c>
      <c r="F13382" s="7" t="n">
        <v>0</v>
      </c>
      <c r="G13382" s="7" t="n">
        <v>0</v>
      </c>
    </row>
    <row r="13383" customFormat="false" ht="15" hidden="false" customHeight="false" outlineLevel="0" collapsed="false">
      <c r="A13383" s="7" t="s">
        <v>30</v>
      </c>
      <c r="B13383" s="7" t="s">
        <v>361</v>
      </c>
      <c r="C13383" s="7" t="s">
        <v>1083</v>
      </c>
      <c r="D13383" s="7" t="n">
        <v>15</v>
      </c>
      <c r="E13383" s="7" t="n">
        <v>510.98</v>
      </c>
      <c r="F13383" s="7" t="n">
        <v>0</v>
      </c>
      <c r="G13383" s="7" t="n">
        <v>0</v>
      </c>
    </row>
    <row r="13384" customFormat="false" ht="15" hidden="false" customHeight="false" outlineLevel="0" collapsed="false">
      <c r="A13384" s="7" t="s">
        <v>30</v>
      </c>
      <c r="B13384" s="7" t="s">
        <v>361</v>
      </c>
      <c r="C13384" s="7" t="s">
        <v>1083</v>
      </c>
      <c r="D13384" s="7" t="n">
        <v>5</v>
      </c>
      <c r="E13384" s="7" t="n">
        <v>183.55</v>
      </c>
      <c r="F13384" s="7" t="n">
        <v>0</v>
      </c>
      <c r="G13384" s="7" t="n">
        <v>0</v>
      </c>
    </row>
    <row r="13385" customFormat="false" ht="15" hidden="false" customHeight="false" outlineLevel="0" collapsed="false">
      <c r="A13385" s="7" t="s">
        <v>30</v>
      </c>
      <c r="B13385" s="7" t="s">
        <v>319</v>
      </c>
      <c r="C13385" s="7" t="s">
        <v>1083</v>
      </c>
      <c r="D13385" s="7" t="n">
        <v>70</v>
      </c>
      <c r="E13385" s="7" t="n">
        <v>2548.69</v>
      </c>
      <c r="F13385" s="7" t="n">
        <v>0</v>
      </c>
      <c r="G13385" s="7" t="n">
        <v>0</v>
      </c>
    </row>
    <row r="13386" customFormat="false" ht="15" hidden="false" customHeight="false" outlineLevel="0" collapsed="false">
      <c r="A13386" s="7" t="s">
        <v>30</v>
      </c>
      <c r="B13386" s="7" t="s">
        <v>319</v>
      </c>
      <c r="C13386" s="7" t="s">
        <v>1083</v>
      </c>
      <c r="D13386" s="7" t="n">
        <v>33</v>
      </c>
      <c r="E13386" s="7" t="n">
        <v>1105.94</v>
      </c>
      <c r="F13386" s="7" t="n">
        <v>0</v>
      </c>
      <c r="G13386" s="7" t="n">
        <v>0</v>
      </c>
    </row>
    <row r="13387" customFormat="false" ht="15" hidden="false" customHeight="false" outlineLevel="0" collapsed="false">
      <c r="A13387" s="7" t="s">
        <v>30</v>
      </c>
      <c r="B13387" s="7" t="s">
        <v>319</v>
      </c>
      <c r="C13387" s="7" t="s">
        <v>1083</v>
      </c>
      <c r="D13387" s="7" t="n">
        <v>52</v>
      </c>
      <c r="E13387" s="7" t="n">
        <v>1816.72</v>
      </c>
      <c r="F13387" s="7" t="n">
        <v>0</v>
      </c>
      <c r="G13387" s="7" t="n">
        <v>0</v>
      </c>
    </row>
    <row r="13388" customFormat="false" ht="15" hidden="false" customHeight="false" outlineLevel="0" collapsed="false">
      <c r="A13388" s="7" t="s">
        <v>30</v>
      </c>
      <c r="B13388" s="7" t="s">
        <v>319</v>
      </c>
      <c r="C13388" s="7" t="s">
        <v>1083</v>
      </c>
      <c r="D13388" s="7" t="n">
        <v>35</v>
      </c>
      <c r="E13388" s="7" t="n">
        <v>1239.29</v>
      </c>
      <c r="F13388" s="7" t="n">
        <v>0</v>
      </c>
      <c r="G13388" s="7" t="n">
        <v>0</v>
      </c>
    </row>
    <row r="13389" customFormat="false" ht="15" hidden="false" customHeight="false" outlineLevel="0" collapsed="false">
      <c r="A13389" s="7" t="s">
        <v>30</v>
      </c>
      <c r="B13389" s="7" t="s">
        <v>319</v>
      </c>
      <c r="C13389" s="7" t="s">
        <v>1083</v>
      </c>
      <c r="D13389" s="7" t="n">
        <v>0</v>
      </c>
      <c r="E13389" s="7" t="n">
        <v>0</v>
      </c>
      <c r="F13389" s="7" t="n">
        <v>26</v>
      </c>
      <c r="G13389" s="7" t="n">
        <v>956.24</v>
      </c>
    </row>
    <row r="13390" customFormat="false" ht="15" hidden="false" customHeight="false" outlineLevel="0" collapsed="false">
      <c r="A13390" s="7" t="s">
        <v>30</v>
      </c>
      <c r="B13390" s="7" t="s">
        <v>319</v>
      </c>
      <c r="C13390" s="7" t="s">
        <v>1083</v>
      </c>
      <c r="D13390" s="7" t="n">
        <v>40</v>
      </c>
      <c r="E13390" s="7" t="n">
        <v>1362.63</v>
      </c>
      <c r="F13390" s="7" t="n">
        <v>0</v>
      </c>
      <c r="G13390" s="7" t="n">
        <v>0</v>
      </c>
    </row>
    <row r="13391" customFormat="false" ht="15" hidden="false" customHeight="false" outlineLevel="0" collapsed="false">
      <c r="A13391" s="7" t="s">
        <v>30</v>
      </c>
      <c r="B13391" s="7" t="s">
        <v>319</v>
      </c>
      <c r="C13391" s="7" t="s">
        <v>1083</v>
      </c>
      <c r="D13391" s="7" t="n">
        <v>0</v>
      </c>
      <c r="E13391" s="7" t="n">
        <v>0</v>
      </c>
      <c r="F13391" s="7" t="n">
        <v>27</v>
      </c>
      <c r="G13391" s="7" t="n">
        <v>980.11</v>
      </c>
    </row>
    <row r="13392" customFormat="false" ht="15" hidden="false" customHeight="false" outlineLevel="0" collapsed="false">
      <c r="A13392" s="7" t="s">
        <v>30</v>
      </c>
      <c r="B13392" s="7" t="s">
        <v>319</v>
      </c>
      <c r="C13392" s="7" t="s">
        <v>1083</v>
      </c>
      <c r="D13392" s="7" t="n">
        <v>15</v>
      </c>
      <c r="E13392" s="7" t="n">
        <v>527.84</v>
      </c>
      <c r="F13392" s="7" t="n">
        <v>0</v>
      </c>
      <c r="G13392" s="7" t="n">
        <v>0</v>
      </c>
    </row>
    <row r="13393" customFormat="false" ht="15" hidden="false" customHeight="false" outlineLevel="0" collapsed="false">
      <c r="A13393" s="7" t="s">
        <v>30</v>
      </c>
      <c r="B13393" s="7" t="s">
        <v>319</v>
      </c>
      <c r="C13393" s="7" t="s">
        <v>1083</v>
      </c>
      <c r="D13393" s="7" t="n">
        <v>30</v>
      </c>
      <c r="E13393" s="7" t="n">
        <v>1101.3</v>
      </c>
      <c r="F13393" s="7" t="n">
        <v>0</v>
      </c>
      <c r="G13393" s="7" t="n">
        <v>0</v>
      </c>
    </row>
    <row r="13394" customFormat="false" ht="15" hidden="false" customHeight="false" outlineLevel="0" collapsed="false">
      <c r="A13394" s="7" t="s">
        <v>30</v>
      </c>
      <c r="B13394" s="7" t="s">
        <v>319</v>
      </c>
      <c r="C13394" s="7" t="s">
        <v>1083</v>
      </c>
      <c r="D13394" s="7" t="n">
        <v>12</v>
      </c>
      <c r="E13394" s="7" t="n">
        <v>417.9</v>
      </c>
      <c r="F13394" s="7" t="n">
        <v>0</v>
      </c>
      <c r="G13394" s="7" t="n">
        <v>0</v>
      </c>
    </row>
    <row r="13395" customFormat="false" ht="15" hidden="false" customHeight="false" outlineLevel="0" collapsed="false">
      <c r="A13395" s="7" t="s">
        <v>30</v>
      </c>
      <c r="B13395" s="7" t="s">
        <v>319</v>
      </c>
      <c r="C13395" s="7" t="s">
        <v>1083</v>
      </c>
      <c r="D13395" s="7" t="n">
        <v>45</v>
      </c>
      <c r="E13395" s="7" t="n">
        <v>1511.22</v>
      </c>
      <c r="F13395" s="7" t="n">
        <v>0</v>
      </c>
      <c r="G13395" s="7" t="n">
        <v>0</v>
      </c>
    </row>
    <row r="13396" customFormat="false" ht="15" hidden="false" customHeight="false" outlineLevel="0" collapsed="false">
      <c r="A13396" s="7" t="s">
        <v>30</v>
      </c>
      <c r="B13396" s="7" t="s">
        <v>319</v>
      </c>
      <c r="C13396" s="7" t="s">
        <v>1083</v>
      </c>
      <c r="D13396" s="7" t="n">
        <v>0</v>
      </c>
      <c r="E13396" s="7" t="n">
        <v>0</v>
      </c>
      <c r="F13396" s="7" t="n">
        <v>65</v>
      </c>
      <c r="G13396" s="7" t="n">
        <v>2230.31</v>
      </c>
    </row>
    <row r="13397" customFormat="false" ht="15" hidden="false" customHeight="false" outlineLevel="0" collapsed="false">
      <c r="A13397" s="7" t="s">
        <v>30</v>
      </c>
      <c r="B13397" s="7" t="s">
        <v>319</v>
      </c>
      <c r="C13397" s="7" t="s">
        <v>1083</v>
      </c>
      <c r="D13397" s="7" t="n">
        <v>0</v>
      </c>
      <c r="E13397" s="7" t="n">
        <v>0</v>
      </c>
      <c r="F13397" s="7" t="n">
        <v>80</v>
      </c>
      <c r="G13397" s="7" t="n">
        <v>2689.39</v>
      </c>
    </row>
    <row r="13398" customFormat="false" ht="15" hidden="false" customHeight="false" outlineLevel="0" collapsed="false">
      <c r="A13398" s="7" t="s">
        <v>30</v>
      </c>
      <c r="B13398" s="7" t="s">
        <v>319</v>
      </c>
      <c r="C13398" s="7" t="s">
        <v>1083</v>
      </c>
      <c r="D13398" s="7" t="n">
        <v>40</v>
      </c>
      <c r="E13398" s="7" t="n">
        <v>1328.05</v>
      </c>
      <c r="F13398" s="7" t="n">
        <v>0</v>
      </c>
      <c r="G13398" s="7" t="n">
        <v>0</v>
      </c>
    </row>
    <row r="13399" customFormat="false" ht="15" hidden="false" customHeight="false" outlineLevel="0" collapsed="false">
      <c r="A13399" s="7" t="s">
        <v>30</v>
      </c>
      <c r="B13399" s="7" t="s">
        <v>319</v>
      </c>
      <c r="C13399" s="7" t="s">
        <v>1083</v>
      </c>
      <c r="D13399" s="7" t="n">
        <v>10</v>
      </c>
      <c r="E13399" s="7" t="n">
        <v>350.68</v>
      </c>
      <c r="F13399" s="7" t="n">
        <v>0</v>
      </c>
      <c r="G13399" s="7" t="n">
        <v>0</v>
      </c>
    </row>
    <row r="13400" customFormat="false" ht="15" hidden="false" customHeight="false" outlineLevel="0" collapsed="false">
      <c r="A13400" s="7" t="s">
        <v>30</v>
      </c>
      <c r="B13400" s="7" t="s">
        <v>319</v>
      </c>
      <c r="C13400" s="7" t="s">
        <v>1083</v>
      </c>
      <c r="D13400" s="7" t="n">
        <v>0</v>
      </c>
      <c r="E13400" s="7" t="n">
        <v>0</v>
      </c>
      <c r="F13400" s="7" t="n">
        <v>40</v>
      </c>
      <c r="G13400" s="7" t="n">
        <v>1439.86</v>
      </c>
    </row>
    <row r="13401" customFormat="false" ht="15" hidden="false" customHeight="false" outlineLevel="0" collapsed="false">
      <c r="A13401" s="7" t="s">
        <v>30</v>
      </c>
      <c r="B13401" s="7" t="s">
        <v>208</v>
      </c>
      <c r="C13401" s="7" t="s">
        <v>1083</v>
      </c>
      <c r="D13401" s="7" t="n">
        <v>0</v>
      </c>
      <c r="E13401" s="7" t="n">
        <v>0</v>
      </c>
      <c r="F13401" s="7" t="n">
        <v>65</v>
      </c>
      <c r="G13401" s="7" t="n">
        <v>2230.31</v>
      </c>
    </row>
    <row r="13402" customFormat="false" ht="15" hidden="false" customHeight="false" outlineLevel="0" collapsed="false">
      <c r="A13402" s="7" t="s">
        <v>30</v>
      </c>
      <c r="B13402" s="7" t="s">
        <v>208</v>
      </c>
      <c r="C13402" s="7" t="s">
        <v>1083</v>
      </c>
      <c r="D13402" s="7" t="n">
        <v>70</v>
      </c>
      <c r="E13402" s="7" t="n">
        <v>2324.1</v>
      </c>
      <c r="F13402" s="7" t="n">
        <v>0</v>
      </c>
      <c r="G13402" s="7" t="n">
        <v>0</v>
      </c>
    </row>
    <row r="13403" customFormat="false" ht="15" hidden="false" customHeight="false" outlineLevel="0" collapsed="false">
      <c r="A13403" s="7" t="s">
        <v>30</v>
      </c>
      <c r="B13403" s="7" t="s">
        <v>208</v>
      </c>
      <c r="C13403" s="7" t="s">
        <v>1083</v>
      </c>
      <c r="D13403" s="7" t="n">
        <v>35</v>
      </c>
      <c r="E13403" s="7" t="n">
        <v>1239.29</v>
      </c>
      <c r="F13403" s="7" t="n">
        <v>0</v>
      </c>
      <c r="G13403" s="7" t="n">
        <v>0</v>
      </c>
    </row>
    <row r="13404" customFormat="false" ht="15" hidden="false" customHeight="false" outlineLevel="0" collapsed="false">
      <c r="A13404" s="7" t="s">
        <v>30</v>
      </c>
      <c r="B13404" s="7" t="s">
        <v>208</v>
      </c>
      <c r="C13404" s="7" t="s">
        <v>1083</v>
      </c>
      <c r="D13404" s="7" t="n">
        <v>40</v>
      </c>
      <c r="E13404" s="7" t="n">
        <v>1407.56</v>
      </c>
      <c r="F13404" s="7" t="n">
        <v>0</v>
      </c>
      <c r="G13404" s="7" t="n">
        <v>0</v>
      </c>
    </row>
    <row r="13405" customFormat="false" ht="15" hidden="false" customHeight="false" outlineLevel="0" collapsed="false">
      <c r="A13405" s="7" t="s">
        <v>30</v>
      </c>
      <c r="B13405" s="7" t="s">
        <v>208</v>
      </c>
      <c r="C13405" s="7" t="s">
        <v>1083</v>
      </c>
      <c r="D13405" s="7" t="n">
        <v>30</v>
      </c>
      <c r="E13405" s="7" t="n">
        <v>1021.97</v>
      </c>
      <c r="F13405" s="7" t="n">
        <v>0</v>
      </c>
      <c r="G13405" s="7" t="n">
        <v>0</v>
      </c>
    </row>
    <row r="13406" customFormat="false" ht="15" hidden="false" customHeight="false" outlineLevel="0" collapsed="false">
      <c r="A13406" s="7" t="s">
        <v>30</v>
      </c>
      <c r="B13406" s="7" t="s">
        <v>208</v>
      </c>
      <c r="C13406" s="7" t="s">
        <v>1083</v>
      </c>
      <c r="D13406" s="7" t="n">
        <v>80</v>
      </c>
      <c r="E13406" s="7" t="n">
        <v>2686.62</v>
      </c>
      <c r="F13406" s="7" t="n">
        <v>0</v>
      </c>
      <c r="G13406" s="7" t="n">
        <v>0</v>
      </c>
    </row>
    <row r="13407" customFormat="false" ht="15" hidden="false" customHeight="false" outlineLevel="0" collapsed="false">
      <c r="A13407" s="7" t="s">
        <v>30</v>
      </c>
      <c r="B13407" s="7" t="s">
        <v>208</v>
      </c>
      <c r="C13407" s="7" t="s">
        <v>1083</v>
      </c>
      <c r="D13407" s="7" t="n">
        <v>43</v>
      </c>
      <c r="E13407" s="7" t="n">
        <v>1441.07</v>
      </c>
      <c r="F13407" s="7" t="n">
        <v>0</v>
      </c>
      <c r="G13407" s="7" t="n">
        <v>0</v>
      </c>
    </row>
    <row r="13408" customFormat="false" ht="15" hidden="false" customHeight="false" outlineLevel="0" collapsed="false">
      <c r="A13408" s="7" t="s">
        <v>30</v>
      </c>
      <c r="B13408" s="7" t="s">
        <v>208</v>
      </c>
      <c r="C13408" s="7" t="s">
        <v>1083</v>
      </c>
      <c r="D13408" s="7" t="n">
        <v>80</v>
      </c>
      <c r="E13408" s="7" t="n">
        <v>2912.79</v>
      </c>
      <c r="F13408" s="7" t="n">
        <v>0</v>
      </c>
      <c r="G13408" s="7" t="n">
        <v>0</v>
      </c>
    </row>
    <row r="13409" customFormat="false" ht="15" hidden="false" customHeight="false" outlineLevel="0" collapsed="false">
      <c r="A13409" s="7" t="s">
        <v>30</v>
      </c>
      <c r="B13409" s="7" t="s">
        <v>208</v>
      </c>
      <c r="C13409" s="7" t="s">
        <v>1083</v>
      </c>
      <c r="D13409" s="7" t="n">
        <v>0</v>
      </c>
      <c r="E13409" s="7" t="n">
        <v>0</v>
      </c>
      <c r="F13409" s="7" t="n">
        <v>67</v>
      </c>
      <c r="G13409" s="7" t="n">
        <v>2411.76</v>
      </c>
    </row>
    <row r="13410" customFormat="false" ht="15" hidden="false" customHeight="false" outlineLevel="0" collapsed="false">
      <c r="A13410" s="7" t="s">
        <v>30</v>
      </c>
      <c r="B13410" s="7" t="s">
        <v>208</v>
      </c>
      <c r="C13410" s="7" t="s">
        <v>1083</v>
      </c>
      <c r="D13410" s="7" t="n">
        <v>0</v>
      </c>
      <c r="E13410" s="7" t="n">
        <v>0</v>
      </c>
      <c r="F13410" s="7" t="n">
        <v>80</v>
      </c>
      <c r="G13410" s="7" t="n">
        <v>2689.39</v>
      </c>
    </row>
    <row r="13411" customFormat="false" ht="15" hidden="false" customHeight="false" outlineLevel="0" collapsed="false">
      <c r="A13411" s="7" t="s">
        <v>30</v>
      </c>
      <c r="B13411" s="7" t="s">
        <v>208</v>
      </c>
      <c r="C13411" s="7" t="s">
        <v>1083</v>
      </c>
      <c r="D13411" s="7" t="n">
        <v>40</v>
      </c>
      <c r="E13411" s="7" t="n">
        <v>1397.48</v>
      </c>
      <c r="F13411" s="7" t="n">
        <v>0</v>
      </c>
      <c r="G13411" s="7" t="n">
        <v>0</v>
      </c>
    </row>
    <row r="13412" customFormat="false" ht="15" hidden="false" customHeight="false" outlineLevel="0" collapsed="false">
      <c r="A13412" s="7" t="s">
        <v>30</v>
      </c>
      <c r="B13412" s="7" t="s">
        <v>208</v>
      </c>
      <c r="C13412" s="7" t="s">
        <v>1083</v>
      </c>
      <c r="D13412" s="7" t="n">
        <v>12</v>
      </c>
      <c r="E13412" s="7" t="n">
        <v>417.9</v>
      </c>
      <c r="F13412" s="7" t="n">
        <v>0</v>
      </c>
      <c r="G13412" s="7" t="n">
        <v>0</v>
      </c>
    </row>
    <row r="13413" customFormat="false" ht="15" hidden="false" customHeight="false" outlineLevel="0" collapsed="false">
      <c r="A13413" s="7" t="s">
        <v>30</v>
      </c>
      <c r="B13413" s="7" t="s">
        <v>208</v>
      </c>
      <c r="C13413" s="7" t="s">
        <v>1083</v>
      </c>
      <c r="D13413" s="7" t="n">
        <v>0</v>
      </c>
      <c r="E13413" s="7" t="n">
        <v>0</v>
      </c>
      <c r="F13413" s="7" t="n">
        <v>10</v>
      </c>
      <c r="G13413" s="7" t="n">
        <v>367.79</v>
      </c>
    </row>
    <row r="13414" customFormat="false" ht="15" hidden="false" customHeight="false" outlineLevel="0" collapsed="false">
      <c r="A13414" s="7" t="s">
        <v>30</v>
      </c>
      <c r="B13414" s="7" t="s">
        <v>208</v>
      </c>
      <c r="C13414" s="7" t="s">
        <v>1083</v>
      </c>
      <c r="D13414" s="7" t="n">
        <v>0</v>
      </c>
      <c r="E13414" s="7" t="n">
        <v>0</v>
      </c>
      <c r="F13414" s="7" t="n">
        <v>160</v>
      </c>
      <c r="G13414" s="7" t="n">
        <v>5514.7</v>
      </c>
    </row>
    <row r="13415" customFormat="false" ht="15" hidden="false" customHeight="false" outlineLevel="0" collapsed="false">
      <c r="A13415" s="7" t="s">
        <v>30</v>
      </c>
      <c r="B13415" s="7" t="s">
        <v>208</v>
      </c>
      <c r="C13415" s="7" t="s">
        <v>1083</v>
      </c>
      <c r="D13415" s="7" t="n">
        <v>10</v>
      </c>
      <c r="E13415" s="7" t="n">
        <v>367.1</v>
      </c>
      <c r="F13415" s="7" t="n">
        <v>0</v>
      </c>
      <c r="G13415" s="7" t="n">
        <v>0</v>
      </c>
    </row>
    <row r="13416" customFormat="false" ht="15" hidden="false" customHeight="false" outlineLevel="0" collapsed="false">
      <c r="A13416" s="7" t="s">
        <v>30</v>
      </c>
      <c r="B13416" s="7" t="s">
        <v>208</v>
      </c>
      <c r="C13416" s="7" t="s">
        <v>1083</v>
      </c>
      <c r="D13416" s="7" t="n">
        <v>15</v>
      </c>
      <c r="E13416" s="7" t="n">
        <v>526.03</v>
      </c>
      <c r="F13416" s="7" t="n">
        <v>0</v>
      </c>
      <c r="G13416" s="7" t="n">
        <v>0</v>
      </c>
    </row>
    <row r="13417" customFormat="false" ht="15" hidden="false" customHeight="false" outlineLevel="0" collapsed="false">
      <c r="A13417" s="7" t="s">
        <v>30</v>
      </c>
      <c r="B13417" s="7" t="s">
        <v>208</v>
      </c>
      <c r="C13417" s="7" t="s">
        <v>1083</v>
      </c>
      <c r="D13417" s="7" t="n">
        <v>0</v>
      </c>
      <c r="E13417" s="7" t="n">
        <v>0</v>
      </c>
      <c r="F13417" s="7" t="n">
        <v>40</v>
      </c>
      <c r="G13417" s="7" t="n">
        <v>1452.01</v>
      </c>
    </row>
    <row r="13418" customFormat="false" ht="15" hidden="false" customHeight="false" outlineLevel="0" collapsed="false">
      <c r="A13418" s="7" t="s">
        <v>30</v>
      </c>
      <c r="B13418" s="7" t="s">
        <v>162</v>
      </c>
      <c r="C13418" s="7" t="s">
        <v>1083</v>
      </c>
      <c r="D13418" s="7" t="n">
        <v>30</v>
      </c>
      <c r="E13418" s="7" t="n">
        <v>1044.74</v>
      </c>
      <c r="F13418" s="7" t="n">
        <v>0</v>
      </c>
      <c r="G13418" s="7" t="n">
        <v>0</v>
      </c>
    </row>
    <row r="13419" customFormat="false" ht="15" hidden="false" customHeight="false" outlineLevel="0" collapsed="false">
      <c r="A13419" s="7" t="s">
        <v>30</v>
      </c>
      <c r="B13419" s="7" t="s">
        <v>162</v>
      </c>
      <c r="C13419" s="7" t="s">
        <v>1083</v>
      </c>
      <c r="D13419" s="7" t="n">
        <v>25</v>
      </c>
      <c r="E13419" s="7" t="n">
        <v>837.83</v>
      </c>
      <c r="F13419" s="7" t="n">
        <v>0</v>
      </c>
      <c r="G13419" s="7" t="n">
        <v>0</v>
      </c>
    </row>
    <row r="13420" customFormat="false" ht="15" hidden="false" customHeight="false" outlineLevel="0" collapsed="false">
      <c r="A13420" s="7" t="s">
        <v>30</v>
      </c>
      <c r="B13420" s="7" t="s">
        <v>162</v>
      </c>
      <c r="C13420" s="7" t="s">
        <v>1083</v>
      </c>
      <c r="D13420" s="7" t="n">
        <v>0</v>
      </c>
      <c r="E13420" s="7" t="n">
        <v>0</v>
      </c>
      <c r="F13420" s="7" t="n">
        <v>56</v>
      </c>
      <c r="G13420" s="7" t="n">
        <v>1921.49</v>
      </c>
    </row>
    <row r="13421" customFormat="false" ht="15" hidden="false" customHeight="false" outlineLevel="0" collapsed="false">
      <c r="A13421" s="7" t="s">
        <v>30</v>
      </c>
      <c r="B13421" s="7" t="s">
        <v>162</v>
      </c>
      <c r="C13421" s="7" t="s">
        <v>1083</v>
      </c>
      <c r="D13421" s="7" t="n">
        <v>55</v>
      </c>
      <c r="E13421" s="7" t="n">
        <v>2002.53</v>
      </c>
      <c r="F13421" s="7" t="n">
        <v>0</v>
      </c>
      <c r="G13421" s="7" t="n">
        <v>0</v>
      </c>
    </row>
    <row r="13422" customFormat="false" ht="15" hidden="false" customHeight="false" outlineLevel="0" collapsed="false">
      <c r="A13422" s="7" t="s">
        <v>30</v>
      </c>
      <c r="B13422" s="7" t="s">
        <v>162</v>
      </c>
      <c r="C13422" s="7" t="s">
        <v>1083</v>
      </c>
      <c r="D13422" s="7" t="n">
        <v>5</v>
      </c>
      <c r="E13422" s="7" t="n">
        <v>175.35</v>
      </c>
      <c r="F13422" s="7" t="n">
        <v>0</v>
      </c>
      <c r="G13422" s="7" t="n">
        <v>0</v>
      </c>
    </row>
    <row r="13423" customFormat="false" ht="15" hidden="false" customHeight="false" outlineLevel="0" collapsed="false">
      <c r="A13423" s="7" t="s">
        <v>30</v>
      </c>
      <c r="B13423" s="7" t="s">
        <v>162</v>
      </c>
      <c r="C13423" s="7" t="s">
        <v>1083</v>
      </c>
      <c r="D13423" s="7" t="n">
        <v>50</v>
      </c>
      <c r="E13423" s="7" t="n">
        <v>1770.42</v>
      </c>
      <c r="F13423" s="7" t="n">
        <v>0</v>
      </c>
      <c r="G13423" s="7" t="n">
        <v>0</v>
      </c>
    </row>
    <row r="13424" customFormat="false" ht="15" hidden="false" customHeight="false" outlineLevel="0" collapsed="false">
      <c r="A13424" s="7" t="s">
        <v>30</v>
      </c>
      <c r="B13424" s="7" t="s">
        <v>162</v>
      </c>
      <c r="C13424" s="7" t="s">
        <v>1083</v>
      </c>
      <c r="D13424" s="7" t="n">
        <v>75</v>
      </c>
      <c r="E13424" s="7" t="n">
        <v>2518.7</v>
      </c>
      <c r="F13424" s="7" t="n">
        <v>0</v>
      </c>
      <c r="G13424" s="7" t="n">
        <v>0</v>
      </c>
    </row>
    <row r="13425" customFormat="false" ht="15" hidden="false" customHeight="false" outlineLevel="0" collapsed="false">
      <c r="A13425" s="7" t="s">
        <v>30</v>
      </c>
      <c r="B13425" s="7" t="s">
        <v>162</v>
      </c>
      <c r="C13425" s="7" t="s">
        <v>1083</v>
      </c>
      <c r="D13425" s="7" t="n">
        <v>20</v>
      </c>
      <c r="E13425" s="7" t="n">
        <v>698.74</v>
      </c>
      <c r="F13425" s="7" t="n">
        <v>0</v>
      </c>
      <c r="G13425" s="7" t="n">
        <v>0</v>
      </c>
    </row>
    <row r="13426" customFormat="false" ht="15" hidden="false" customHeight="false" outlineLevel="0" collapsed="false">
      <c r="A13426" s="7" t="s">
        <v>30</v>
      </c>
      <c r="B13426" s="7" t="s">
        <v>162</v>
      </c>
      <c r="C13426" s="7" t="s">
        <v>1083</v>
      </c>
      <c r="D13426" s="7" t="n">
        <v>30</v>
      </c>
      <c r="E13426" s="7" t="n">
        <v>1101.3</v>
      </c>
      <c r="F13426" s="7" t="n">
        <v>0</v>
      </c>
      <c r="G13426" s="7" t="n">
        <v>0</v>
      </c>
    </row>
    <row r="13427" customFormat="false" ht="15" hidden="false" customHeight="false" outlineLevel="0" collapsed="false">
      <c r="A13427" s="7" t="s">
        <v>30</v>
      </c>
      <c r="B13427" s="7" t="s">
        <v>162</v>
      </c>
      <c r="C13427" s="7" t="s">
        <v>1083</v>
      </c>
      <c r="D13427" s="7" t="n">
        <v>45</v>
      </c>
      <c r="E13427" s="7" t="n">
        <v>1532.95</v>
      </c>
      <c r="F13427" s="7" t="n">
        <v>0</v>
      </c>
      <c r="G13427" s="7" t="n">
        <v>0</v>
      </c>
    </row>
    <row r="13428" customFormat="false" ht="15" hidden="false" customHeight="false" outlineLevel="0" collapsed="false">
      <c r="A13428" s="7" t="s">
        <v>30</v>
      </c>
      <c r="B13428" s="7" t="s">
        <v>162</v>
      </c>
      <c r="C13428" s="7" t="s">
        <v>1083</v>
      </c>
      <c r="D13428" s="7" t="n">
        <v>0</v>
      </c>
      <c r="E13428" s="7" t="n">
        <v>0</v>
      </c>
      <c r="F13428" s="7" t="n">
        <v>80</v>
      </c>
      <c r="G13428" s="7" t="n">
        <v>2689.39</v>
      </c>
    </row>
    <row r="13429" customFormat="false" ht="15" hidden="false" customHeight="false" outlineLevel="0" collapsed="false">
      <c r="A13429" s="7" t="s">
        <v>30</v>
      </c>
      <c r="B13429" s="7" t="s">
        <v>162</v>
      </c>
      <c r="C13429" s="7" t="s">
        <v>1083</v>
      </c>
      <c r="D13429" s="7" t="n">
        <v>0</v>
      </c>
      <c r="E13429" s="7" t="n">
        <v>0</v>
      </c>
      <c r="F13429" s="7" t="n">
        <v>40</v>
      </c>
      <c r="G13429" s="7" t="n">
        <v>1452.01</v>
      </c>
    </row>
    <row r="13430" customFormat="false" ht="15" hidden="false" customHeight="false" outlineLevel="0" collapsed="false">
      <c r="A13430" s="7" t="s">
        <v>30</v>
      </c>
      <c r="B13430" s="7" t="s">
        <v>162</v>
      </c>
      <c r="C13430" s="7" t="s">
        <v>1083</v>
      </c>
      <c r="D13430" s="7" t="n">
        <v>60</v>
      </c>
      <c r="E13430" s="7" t="n">
        <v>1992.08</v>
      </c>
      <c r="F13430" s="7" t="n">
        <v>0</v>
      </c>
      <c r="G13430" s="7" t="n">
        <v>0</v>
      </c>
    </row>
    <row r="13431" customFormat="false" ht="15" hidden="false" customHeight="false" outlineLevel="0" collapsed="false">
      <c r="A13431" s="7" t="s">
        <v>30</v>
      </c>
      <c r="B13431" s="7" t="s">
        <v>162</v>
      </c>
      <c r="C13431" s="7" t="s">
        <v>1083</v>
      </c>
      <c r="D13431" s="7" t="n">
        <v>20</v>
      </c>
      <c r="E13431" s="7" t="n">
        <v>703.78</v>
      </c>
      <c r="F13431" s="7" t="n">
        <v>0</v>
      </c>
      <c r="G13431" s="7" t="n">
        <v>0</v>
      </c>
    </row>
    <row r="13432" customFormat="false" ht="15" hidden="false" customHeight="false" outlineLevel="0" collapsed="false">
      <c r="A13432" s="7" t="s">
        <v>30</v>
      </c>
      <c r="B13432" s="7" t="s">
        <v>162</v>
      </c>
      <c r="C13432" s="7" t="s">
        <v>1083</v>
      </c>
      <c r="D13432" s="7" t="n">
        <v>0</v>
      </c>
      <c r="E13432" s="7" t="n">
        <v>0</v>
      </c>
      <c r="F13432" s="7" t="n">
        <v>145</v>
      </c>
      <c r="G13432" s="7" t="n">
        <v>4997.69</v>
      </c>
    </row>
    <row r="13433" customFormat="false" ht="15" hidden="false" customHeight="false" outlineLevel="0" collapsed="false">
      <c r="A13433" s="7" t="s">
        <v>30</v>
      </c>
      <c r="B13433" s="7" t="s">
        <v>162</v>
      </c>
      <c r="C13433" s="7" t="s">
        <v>1083</v>
      </c>
      <c r="D13433" s="7" t="n">
        <v>0</v>
      </c>
      <c r="E13433" s="7" t="n">
        <v>0</v>
      </c>
      <c r="F13433" s="7" t="n">
        <v>24</v>
      </c>
      <c r="G13433" s="7" t="n">
        <v>882.68</v>
      </c>
    </row>
    <row r="13434" customFormat="false" ht="15" hidden="false" customHeight="false" outlineLevel="0" collapsed="false">
      <c r="A13434" s="7" t="s">
        <v>30</v>
      </c>
      <c r="B13434" s="7" t="s">
        <v>162</v>
      </c>
      <c r="C13434" s="7" t="s">
        <v>1083</v>
      </c>
      <c r="D13434" s="7" t="n">
        <v>0</v>
      </c>
      <c r="E13434" s="7" t="n">
        <v>0</v>
      </c>
      <c r="F13434" s="7" t="n">
        <v>58</v>
      </c>
      <c r="G13434" s="7" t="n">
        <v>2087.79</v>
      </c>
    </row>
    <row r="13435" customFormat="false" ht="15" hidden="false" customHeight="false" outlineLevel="0" collapsed="false">
      <c r="A13435" s="7" t="s">
        <v>30</v>
      </c>
      <c r="B13435" s="7" t="s">
        <v>171</v>
      </c>
      <c r="C13435" s="7" t="s">
        <v>1083</v>
      </c>
      <c r="D13435" s="7" t="n">
        <v>20</v>
      </c>
      <c r="E13435" s="7" t="n">
        <v>701.38</v>
      </c>
      <c r="F13435" s="7" t="n">
        <v>0</v>
      </c>
      <c r="G13435" s="7" t="n">
        <v>0</v>
      </c>
    </row>
    <row r="13436" customFormat="false" ht="15" hidden="false" customHeight="false" outlineLevel="0" collapsed="false">
      <c r="A13436" s="7" t="s">
        <v>30</v>
      </c>
      <c r="B13436" s="7" t="s">
        <v>171</v>
      </c>
      <c r="C13436" s="7" t="s">
        <v>1083</v>
      </c>
      <c r="D13436" s="7" t="n">
        <v>0</v>
      </c>
      <c r="E13436" s="7" t="n">
        <v>0</v>
      </c>
      <c r="F13436" s="7" t="n">
        <v>60</v>
      </c>
      <c r="G13436" s="7" t="n">
        <v>2058.74</v>
      </c>
    </row>
    <row r="13437" customFormat="false" ht="15" hidden="false" customHeight="false" outlineLevel="0" collapsed="false">
      <c r="A13437" s="7" t="s">
        <v>30</v>
      </c>
      <c r="B13437" s="7" t="s">
        <v>171</v>
      </c>
      <c r="C13437" s="7" t="s">
        <v>1083</v>
      </c>
      <c r="D13437" s="7" t="n">
        <v>0</v>
      </c>
      <c r="E13437" s="7" t="n">
        <v>0</v>
      </c>
      <c r="F13437" s="7" t="n">
        <v>90</v>
      </c>
      <c r="G13437" s="7" t="n">
        <v>3025.57</v>
      </c>
    </row>
    <row r="13438" customFormat="false" ht="15" hidden="false" customHeight="false" outlineLevel="0" collapsed="false">
      <c r="A13438" s="7" t="s">
        <v>30</v>
      </c>
      <c r="B13438" s="7" t="s">
        <v>171</v>
      </c>
      <c r="C13438" s="7" t="s">
        <v>1083</v>
      </c>
      <c r="D13438" s="7" t="n">
        <v>17</v>
      </c>
      <c r="E13438" s="7" t="n">
        <v>569.73</v>
      </c>
      <c r="F13438" s="7" t="n">
        <v>0</v>
      </c>
      <c r="G13438" s="7" t="n">
        <v>0</v>
      </c>
    </row>
    <row r="13439" customFormat="false" ht="15" hidden="false" customHeight="false" outlineLevel="0" collapsed="false">
      <c r="A13439" s="7" t="s">
        <v>30</v>
      </c>
      <c r="B13439" s="7" t="s">
        <v>171</v>
      </c>
      <c r="C13439" s="7" t="s">
        <v>1083</v>
      </c>
      <c r="D13439" s="7" t="n">
        <v>70</v>
      </c>
      <c r="E13439" s="7" t="n">
        <v>2548.69</v>
      </c>
      <c r="F13439" s="7" t="n">
        <v>0</v>
      </c>
      <c r="G13439" s="7" t="n">
        <v>0</v>
      </c>
    </row>
    <row r="13440" customFormat="false" ht="15" hidden="false" customHeight="false" outlineLevel="0" collapsed="false">
      <c r="A13440" s="7" t="s">
        <v>30</v>
      </c>
      <c r="B13440" s="7" t="s">
        <v>171</v>
      </c>
      <c r="C13440" s="7" t="s">
        <v>1083</v>
      </c>
      <c r="D13440" s="7" t="n">
        <v>0</v>
      </c>
      <c r="E13440" s="7" t="n">
        <v>0</v>
      </c>
      <c r="F13440" s="7" t="n">
        <v>30</v>
      </c>
      <c r="G13440" s="7" t="n">
        <v>1079.89</v>
      </c>
    </row>
    <row r="13441" customFormat="false" ht="15" hidden="false" customHeight="false" outlineLevel="0" collapsed="false">
      <c r="A13441" s="7" t="s">
        <v>30</v>
      </c>
      <c r="B13441" s="7" t="s">
        <v>171</v>
      </c>
      <c r="C13441" s="7" t="s">
        <v>1083</v>
      </c>
      <c r="D13441" s="7" t="n">
        <v>65</v>
      </c>
      <c r="E13441" s="7" t="n">
        <v>2182.88</v>
      </c>
      <c r="F13441" s="7" t="n">
        <v>0</v>
      </c>
      <c r="G13441" s="7" t="n">
        <v>0</v>
      </c>
    </row>
    <row r="13442" customFormat="false" ht="15" hidden="false" customHeight="false" outlineLevel="0" collapsed="false">
      <c r="A13442" s="7" t="s">
        <v>30</v>
      </c>
      <c r="B13442" s="7" t="s">
        <v>171</v>
      </c>
      <c r="C13442" s="7" t="s">
        <v>1083</v>
      </c>
      <c r="D13442" s="7" t="n">
        <v>15</v>
      </c>
      <c r="E13442" s="7" t="n">
        <v>522.37</v>
      </c>
      <c r="F13442" s="7" t="n">
        <v>0</v>
      </c>
      <c r="G13442" s="7" t="n">
        <v>0</v>
      </c>
    </row>
    <row r="13443" customFormat="false" ht="15" hidden="false" customHeight="false" outlineLevel="0" collapsed="false">
      <c r="A13443" s="7" t="s">
        <v>30</v>
      </c>
      <c r="B13443" s="7" t="s">
        <v>171</v>
      </c>
      <c r="C13443" s="7" t="s">
        <v>1083</v>
      </c>
      <c r="D13443" s="7" t="n">
        <v>52</v>
      </c>
      <c r="E13443" s="7" t="n">
        <v>1841.24</v>
      </c>
      <c r="F13443" s="7" t="n">
        <v>0</v>
      </c>
      <c r="G13443" s="7" t="n">
        <v>0</v>
      </c>
    </row>
    <row r="13444" customFormat="false" ht="15" hidden="false" customHeight="false" outlineLevel="0" collapsed="false">
      <c r="A13444" s="7" t="s">
        <v>30</v>
      </c>
      <c r="B13444" s="7" t="s">
        <v>171</v>
      </c>
      <c r="C13444" s="7" t="s">
        <v>1083</v>
      </c>
      <c r="D13444" s="7" t="n">
        <v>0</v>
      </c>
      <c r="E13444" s="7" t="n">
        <v>0</v>
      </c>
      <c r="F13444" s="7" t="n">
        <v>160</v>
      </c>
      <c r="G13444" s="7" t="n">
        <v>5514.7</v>
      </c>
    </row>
    <row r="13445" customFormat="false" ht="15" hidden="false" customHeight="false" outlineLevel="0" collapsed="false">
      <c r="A13445" s="7" t="s">
        <v>30</v>
      </c>
      <c r="B13445" s="7" t="s">
        <v>171</v>
      </c>
      <c r="C13445" s="7" t="s">
        <v>1083</v>
      </c>
      <c r="D13445" s="7" t="n">
        <v>30</v>
      </c>
      <c r="E13445" s="7" t="n">
        <v>1055.67</v>
      </c>
      <c r="F13445" s="7" t="n">
        <v>0</v>
      </c>
      <c r="G13445" s="7" t="n">
        <v>0</v>
      </c>
    </row>
    <row r="13446" customFormat="false" ht="15" hidden="false" customHeight="false" outlineLevel="0" collapsed="false">
      <c r="A13446" s="7" t="s">
        <v>30</v>
      </c>
      <c r="B13446" s="7" t="s">
        <v>171</v>
      </c>
      <c r="C13446" s="7" t="s">
        <v>1083</v>
      </c>
      <c r="D13446" s="7" t="n">
        <v>0</v>
      </c>
      <c r="E13446" s="7" t="n">
        <v>0</v>
      </c>
      <c r="F13446" s="7" t="n">
        <v>40</v>
      </c>
      <c r="G13446" s="7" t="n">
        <v>1452.01</v>
      </c>
    </row>
    <row r="13447" customFormat="false" ht="15" hidden="false" customHeight="false" outlineLevel="0" collapsed="false">
      <c r="A13447" s="7" t="s">
        <v>30</v>
      </c>
      <c r="B13447" s="7" t="s">
        <v>171</v>
      </c>
      <c r="C13447" s="7" t="s">
        <v>1083</v>
      </c>
      <c r="D13447" s="7" t="n">
        <v>30</v>
      </c>
      <c r="E13447" s="7" t="n">
        <v>1021.97</v>
      </c>
      <c r="F13447" s="7" t="n">
        <v>0</v>
      </c>
      <c r="G13447" s="7" t="n">
        <v>0</v>
      </c>
    </row>
    <row r="13448" customFormat="false" ht="15" hidden="false" customHeight="false" outlineLevel="0" collapsed="false">
      <c r="A13448" s="7" t="s">
        <v>30</v>
      </c>
      <c r="B13448" s="7" t="s">
        <v>171</v>
      </c>
      <c r="C13448" s="7" t="s">
        <v>1083</v>
      </c>
      <c r="D13448" s="7" t="n">
        <v>60</v>
      </c>
      <c r="E13448" s="7" t="n">
        <v>2096.22</v>
      </c>
      <c r="F13448" s="7" t="n">
        <v>0</v>
      </c>
      <c r="G13448" s="7" t="n">
        <v>0</v>
      </c>
    </row>
    <row r="13449" customFormat="false" ht="15" hidden="false" customHeight="false" outlineLevel="0" collapsed="false">
      <c r="A13449" s="7" t="s">
        <v>30</v>
      </c>
      <c r="B13449" s="7" t="s">
        <v>171</v>
      </c>
      <c r="C13449" s="7" t="s">
        <v>1083</v>
      </c>
      <c r="D13449" s="7" t="n">
        <v>10</v>
      </c>
      <c r="E13449" s="7" t="n">
        <v>367.1</v>
      </c>
      <c r="F13449" s="7" t="n">
        <v>0</v>
      </c>
      <c r="G13449" s="7" t="n">
        <v>0</v>
      </c>
    </row>
    <row r="13450" customFormat="false" ht="15" hidden="false" customHeight="false" outlineLevel="0" collapsed="false">
      <c r="A13450" s="7" t="s">
        <v>30</v>
      </c>
      <c r="B13450" s="7" t="s">
        <v>171</v>
      </c>
      <c r="C13450" s="7" t="s">
        <v>1083</v>
      </c>
      <c r="D13450" s="7" t="n">
        <v>0</v>
      </c>
      <c r="E13450" s="7" t="n">
        <v>0</v>
      </c>
      <c r="F13450" s="7" t="n">
        <v>20</v>
      </c>
      <c r="G13450" s="7" t="n">
        <v>735.57</v>
      </c>
    </row>
    <row r="13451" customFormat="false" ht="15" hidden="false" customHeight="false" outlineLevel="0" collapsed="false">
      <c r="A13451" s="7" t="s">
        <v>30</v>
      </c>
      <c r="B13451" s="7" t="s">
        <v>171</v>
      </c>
      <c r="C13451" s="7" t="s">
        <v>1083</v>
      </c>
      <c r="D13451" s="7" t="n">
        <v>60</v>
      </c>
      <c r="E13451" s="7" t="n">
        <v>1992.08</v>
      </c>
      <c r="F13451" s="7" t="n">
        <v>0</v>
      </c>
      <c r="G13451" s="7" t="n">
        <v>0</v>
      </c>
    </row>
    <row r="13452" customFormat="false" ht="15" hidden="false" customHeight="false" outlineLevel="0" collapsed="false">
      <c r="A13452" s="7" t="s">
        <v>30</v>
      </c>
      <c r="B13452" s="7" t="s">
        <v>329</v>
      </c>
      <c r="C13452" s="7" t="s">
        <v>1083</v>
      </c>
      <c r="D13452" s="7" t="n">
        <v>15</v>
      </c>
      <c r="E13452" s="7" t="n">
        <v>502.7</v>
      </c>
      <c r="F13452" s="7" t="n">
        <v>0</v>
      </c>
      <c r="G13452" s="7" t="n">
        <v>0</v>
      </c>
    </row>
    <row r="13453" customFormat="false" ht="15" hidden="false" customHeight="false" outlineLevel="0" collapsed="false">
      <c r="A13453" s="7" t="s">
        <v>30</v>
      </c>
      <c r="B13453" s="7" t="s">
        <v>329</v>
      </c>
      <c r="C13453" s="7" t="s">
        <v>1083</v>
      </c>
      <c r="D13453" s="7" t="n">
        <v>6</v>
      </c>
      <c r="E13453" s="7" t="n">
        <v>212.45</v>
      </c>
      <c r="F13453" s="7" t="n">
        <v>0</v>
      </c>
      <c r="G13453" s="7" t="n">
        <v>0</v>
      </c>
    </row>
    <row r="13454" customFormat="false" ht="15" hidden="false" customHeight="false" outlineLevel="0" collapsed="false">
      <c r="A13454" s="7" t="s">
        <v>30</v>
      </c>
      <c r="B13454" s="7" t="s">
        <v>329</v>
      </c>
      <c r="C13454" s="7" t="s">
        <v>1083</v>
      </c>
      <c r="D13454" s="7" t="n">
        <v>0</v>
      </c>
      <c r="E13454" s="7" t="n">
        <v>0</v>
      </c>
      <c r="F13454" s="7" t="n">
        <v>12</v>
      </c>
      <c r="G13454" s="7" t="n">
        <v>435.6</v>
      </c>
    </row>
    <row r="13455" customFormat="false" ht="15" hidden="false" customHeight="false" outlineLevel="0" collapsed="false">
      <c r="A13455" s="7" t="s">
        <v>30</v>
      </c>
      <c r="B13455" s="7" t="s">
        <v>329</v>
      </c>
      <c r="C13455" s="7" t="s">
        <v>1083</v>
      </c>
      <c r="D13455" s="7" t="n">
        <v>0</v>
      </c>
      <c r="E13455" s="7" t="n">
        <v>0</v>
      </c>
      <c r="F13455" s="7" t="n">
        <v>45</v>
      </c>
      <c r="G13455" s="7" t="n">
        <v>1512.78</v>
      </c>
    </row>
    <row r="13456" customFormat="false" ht="15" hidden="false" customHeight="false" outlineLevel="0" collapsed="false">
      <c r="A13456" s="7" t="s">
        <v>30</v>
      </c>
      <c r="B13456" s="7" t="s">
        <v>329</v>
      </c>
      <c r="C13456" s="7" t="s">
        <v>1083</v>
      </c>
      <c r="D13456" s="7" t="n">
        <v>5</v>
      </c>
      <c r="E13456" s="7" t="n">
        <v>175.95</v>
      </c>
      <c r="F13456" s="7" t="n">
        <v>0</v>
      </c>
      <c r="G13456" s="7" t="n">
        <v>0</v>
      </c>
    </row>
    <row r="13457" customFormat="false" ht="15" hidden="false" customHeight="false" outlineLevel="0" collapsed="false">
      <c r="A13457" s="7" t="s">
        <v>30</v>
      </c>
      <c r="B13457" s="7" t="s">
        <v>329</v>
      </c>
      <c r="C13457" s="7" t="s">
        <v>1083</v>
      </c>
      <c r="D13457" s="7" t="n">
        <v>32</v>
      </c>
      <c r="E13457" s="7" t="n">
        <v>1090.1</v>
      </c>
      <c r="F13457" s="7" t="n">
        <v>0</v>
      </c>
      <c r="G13457" s="7" t="n">
        <v>0</v>
      </c>
    </row>
    <row r="13458" customFormat="false" ht="15" hidden="false" customHeight="false" outlineLevel="0" collapsed="false">
      <c r="A13458" s="7" t="s">
        <v>30</v>
      </c>
      <c r="B13458" s="7" t="s">
        <v>329</v>
      </c>
      <c r="C13458" s="7" t="s">
        <v>1083</v>
      </c>
      <c r="D13458" s="7" t="n">
        <v>25</v>
      </c>
      <c r="E13458" s="7" t="n">
        <v>839.56</v>
      </c>
      <c r="F13458" s="7" t="n">
        <v>0</v>
      </c>
      <c r="G13458" s="7" t="n">
        <v>0</v>
      </c>
    </row>
    <row r="13459" customFormat="false" ht="15" hidden="false" customHeight="false" outlineLevel="0" collapsed="false">
      <c r="A13459" s="7" t="s">
        <v>30</v>
      </c>
      <c r="B13459" s="7" t="s">
        <v>329</v>
      </c>
      <c r="C13459" s="7" t="s">
        <v>1083</v>
      </c>
      <c r="D13459" s="7" t="n">
        <v>20</v>
      </c>
      <c r="E13459" s="7" t="n">
        <v>734.2</v>
      </c>
      <c r="F13459" s="7" t="n">
        <v>0</v>
      </c>
      <c r="G13459" s="7" t="n">
        <v>0</v>
      </c>
    </row>
    <row r="13460" customFormat="false" ht="15" hidden="false" customHeight="false" outlineLevel="0" collapsed="false">
      <c r="A13460" s="7" t="s">
        <v>30</v>
      </c>
      <c r="B13460" s="7" t="s">
        <v>329</v>
      </c>
      <c r="C13460" s="7" t="s">
        <v>1083</v>
      </c>
      <c r="D13460" s="7" t="n">
        <v>14</v>
      </c>
      <c r="E13460" s="7" t="n">
        <v>487.55</v>
      </c>
      <c r="F13460" s="7" t="n">
        <v>0</v>
      </c>
      <c r="G13460" s="7" t="n">
        <v>0</v>
      </c>
    </row>
    <row r="13461" customFormat="false" ht="15" hidden="false" customHeight="false" outlineLevel="0" collapsed="false">
      <c r="A13461" s="7" t="s">
        <v>30</v>
      </c>
      <c r="B13461" s="7" t="s">
        <v>329</v>
      </c>
      <c r="C13461" s="7" t="s">
        <v>1083</v>
      </c>
      <c r="D13461" s="7" t="n">
        <v>0</v>
      </c>
      <c r="E13461" s="7" t="n">
        <v>0</v>
      </c>
      <c r="F13461" s="7" t="n">
        <v>5</v>
      </c>
      <c r="G13461" s="7" t="n">
        <v>183.89</v>
      </c>
    </row>
    <row r="13462" customFormat="false" ht="15" hidden="false" customHeight="false" outlineLevel="0" collapsed="false">
      <c r="A13462" s="7" t="s">
        <v>30</v>
      </c>
      <c r="B13462" s="7" t="s">
        <v>329</v>
      </c>
      <c r="C13462" s="7" t="s">
        <v>1083</v>
      </c>
      <c r="D13462" s="7" t="n">
        <v>7</v>
      </c>
      <c r="E13462" s="7" t="n">
        <v>245.48</v>
      </c>
      <c r="F13462" s="7" t="n">
        <v>0</v>
      </c>
      <c r="G13462" s="7" t="n">
        <v>0</v>
      </c>
    </row>
    <row r="13463" customFormat="false" ht="15" hidden="false" customHeight="false" outlineLevel="0" collapsed="false">
      <c r="A13463" s="7" t="s">
        <v>30</v>
      </c>
      <c r="B13463" s="7" t="s">
        <v>329</v>
      </c>
      <c r="C13463" s="7" t="s">
        <v>1083</v>
      </c>
      <c r="D13463" s="7" t="n">
        <v>35</v>
      </c>
      <c r="E13463" s="7" t="n">
        <v>1222.79</v>
      </c>
      <c r="F13463" s="7" t="n">
        <v>0</v>
      </c>
      <c r="G13463" s="7" t="n">
        <v>0</v>
      </c>
    </row>
    <row r="13464" customFormat="false" ht="15" hidden="false" customHeight="false" outlineLevel="0" collapsed="false">
      <c r="A13464" s="7" t="s">
        <v>30</v>
      </c>
      <c r="B13464" s="7" t="s">
        <v>329</v>
      </c>
      <c r="C13464" s="7" t="s">
        <v>1083</v>
      </c>
      <c r="D13464" s="7" t="n">
        <v>0</v>
      </c>
      <c r="E13464" s="7" t="n">
        <v>0</v>
      </c>
      <c r="F13464" s="7" t="n">
        <v>24</v>
      </c>
      <c r="G13464" s="7" t="n">
        <v>823.5</v>
      </c>
    </row>
    <row r="13465" customFormat="false" ht="15" hidden="false" customHeight="false" outlineLevel="0" collapsed="false">
      <c r="A13465" s="7" t="s">
        <v>30</v>
      </c>
      <c r="B13465" s="7" t="s">
        <v>329</v>
      </c>
      <c r="C13465" s="7" t="s">
        <v>1083</v>
      </c>
      <c r="D13465" s="7" t="n">
        <v>45</v>
      </c>
      <c r="E13465" s="7" t="n">
        <v>1494.06</v>
      </c>
      <c r="F13465" s="7" t="n">
        <v>0</v>
      </c>
      <c r="G13465" s="7" t="n">
        <v>0</v>
      </c>
    </row>
    <row r="13466" customFormat="false" ht="15" hidden="false" customHeight="false" outlineLevel="0" collapsed="false">
      <c r="A13466" s="7" t="s">
        <v>30</v>
      </c>
      <c r="B13466" s="7" t="s">
        <v>329</v>
      </c>
      <c r="C13466" s="7" t="s">
        <v>1083</v>
      </c>
      <c r="D13466" s="7" t="n">
        <v>0</v>
      </c>
      <c r="E13466" s="7" t="n">
        <v>0</v>
      </c>
      <c r="F13466" s="7" t="n">
        <v>52</v>
      </c>
      <c r="G13466" s="7" t="n">
        <v>1792.28</v>
      </c>
    </row>
    <row r="13467" customFormat="false" ht="15" hidden="false" customHeight="false" outlineLevel="0" collapsed="false">
      <c r="A13467" s="7" t="s">
        <v>30</v>
      </c>
      <c r="B13467" s="7" t="s">
        <v>329</v>
      </c>
      <c r="C13467" s="7" t="s">
        <v>1083</v>
      </c>
      <c r="D13467" s="7" t="n">
        <v>55</v>
      </c>
      <c r="E13467" s="7" t="n">
        <v>2002.53</v>
      </c>
      <c r="F13467" s="7" t="n">
        <v>0</v>
      </c>
      <c r="G13467" s="7" t="n">
        <v>0</v>
      </c>
    </row>
    <row r="13468" customFormat="false" ht="15" hidden="false" customHeight="false" outlineLevel="0" collapsed="false">
      <c r="A13468" s="7" t="s">
        <v>30</v>
      </c>
      <c r="B13468" s="7" t="s">
        <v>329</v>
      </c>
      <c r="C13468" s="7" t="s">
        <v>1083</v>
      </c>
      <c r="D13468" s="7" t="n">
        <v>0</v>
      </c>
      <c r="E13468" s="7" t="n">
        <v>0</v>
      </c>
      <c r="F13468" s="7" t="n">
        <v>40</v>
      </c>
      <c r="G13468" s="7" t="n">
        <v>1439.86</v>
      </c>
    </row>
    <row r="13469" customFormat="false" ht="15" hidden="false" customHeight="false" outlineLevel="0" collapsed="false">
      <c r="A13469" s="7" t="s">
        <v>30</v>
      </c>
      <c r="B13469" s="7" t="s">
        <v>483</v>
      </c>
      <c r="C13469" s="7" t="s">
        <v>1144</v>
      </c>
      <c r="D13469" s="7" t="n">
        <v>0</v>
      </c>
      <c r="E13469" s="7" t="n">
        <v>0</v>
      </c>
      <c r="F13469" s="7" t="n">
        <v>100</v>
      </c>
      <c r="G13469" s="7" t="n">
        <v>2683.68</v>
      </c>
    </row>
    <row r="13470" customFormat="false" ht="15" hidden="false" customHeight="false" outlineLevel="0" collapsed="false">
      <c r="A13470" s="7" t="s">
        <v>30</v>
      </c>
      <c r="B13470" s="7" t="s">
        <v>483</v>
      </c>
      <c r="C13470" s="7" t="s">
        <v>1144</v>
      </c>
      <c r="D13470" s="7" t="n">
        <v>0</v>
      </c>
      <c r="E13470" s="7" t="n">
        <v>0</v>
      </c>
      <c r="F13470" s="7" t="n">
        <v>60</v>
      </c>
      <c r="G13470" s="7" t="n">
        <v>1632.44</v>
      </c>
    </row>
    <row r="13471" customFormat="false" ht="15" hidden="false" customHeight="false" outlineLevel="0" collapsed="false">
      <c r="A13471" s="7" t="s">
        <v>30</v>
      </c>
      <c r="B13471" s="7" t="s">
        <v>483</v>
      </c>
      <c r="C13471" s="7" t="s">
        <v>1144</v>
      </c>
      <c r="D13471" s="7" t="n">
        <v>0</v>
      </c>
      <c r="E13471" s="7" t="n">
        <v>0</v>
      </c>
      <c r="F13471" s="7" t="n">
        <v>20</v>
      </c>
      <c r="G13471" s="7" t="n">
        <v>546.6</v>
      </c>
    </row>
    <row r="13472" customFormat="false" ht="15" hidden="false" customHeight="false" outlineLevel="0" collapsed="false">
      <c r="A13472" s="7" t="s">
        <v>30</v>
      </c>
      <c r="B13472" s="7" t="s">
        <v>483</v>
      </c>
      <c r="C13472" s="7" t="s">
        <v>1144</v>
      </c>
      <c r="D13472" s="7" t="n">
        <v>0</v>
      </c>
      <c r="E13472" s="7" t="n">
        <v>0</v>
      </c>
      <c r="F13472" s="7" t="n">
        <v>65</v>
      </c>
      <c r="G13472" s="7" t="n">
        <v>1855.27</v>
      </c>
    </row>
    <row r="13473" customFormat="false" ht="15" hidden="false" customHeight="false" outlineLevel="0" collapsed="false">
      <c r="A13473" s="7" t="s">
        <v>30</v>
      </c>
      <c r="B13473" s="7" t="s">
        <v>483</v>
      </c>
      <c r="C13473" s="7" t="s">
        <v>1144</v>
      </c>
      <c r="D13473" s="7" t="n">
        <v>20</v>
      </c>
      <c r="E13473" s="7" t="n">
        <v>558.05</v>
      </c>
      <c r="F13473" s="7" t="n">
        <v>0</v>
      </c>
      <c r="G13473" s="7" t="n">
        <v>0</v>
      </c>
    </row>
    <row r="13474" customFormat="false" ht="15" hidden="false" customHeight="false" outlineLevel="0" collapsed="false">
      <c r="A13474" s="7" t="s">
        <v>30</v>
      </c>
      <c r="B13474" s="7" t="s">
        <v>483</v>
      </c>
      <c r="C13474" s="7" t="s">
        <v>1144</v>
      </c>
      <c r="D13474" s="7" t="n">
        <v>0</v>
      </c>
      <c r="E13474" s="7" t="n">
        <v>0</v>
      </c>
      <c r="F13474" s="7" t="n">
        <v>100</v>
      </c>
      <c r="G13474" s="7" t="n">
        <v>2665.62</v>
      </c>
    </row>
    <row r="13475" customFormat="false" ht="15" hidden="false" customHeight="false" outlineLevel="0" collapsed="false">
      <c r="A13475" s="7" t="s">
        <v>30</v>
      </c>
      <c r="B13475" s="7" t="s">
        <v>483</v>
      </c>
      <c r="C13475" s="7" t="s">
        <v>1144</v>
      </c>
      <c r="D13475" s="7" t="n">
        <v>0</v>
      </c>
      <c r="E13475" s="7" t="n">
        <v>0</v>
      </c>
      <c r="F13475" s="7" t="n">
        <v>50</v>
      </c>
      <c r="G13475" s="7" t="n">
        <v>1458.14</v>
      </c>
    </row>
    <row r="13476" customFormat="false" ht="15" hidden="false" customHeight="false" outlineLevel="0" collapsed="false">
      <c r="A13476" s="7" t="s">
        <v>30</v>
      </c>
      <c r="B13476" s="7" t="s">
        <v>483</v>
      </c>
      <c r="C13476" s="7" t="s">
        <v>1144</v>
      </c>
      <c r="D13476" s="7" t="n">
        <v>0</v>
      </c>
      <c r="E13476" s="7" t="n">
        <v>0</v>
      </c>
      <c r="F13476" s="7" t="n">
        <v>40</v>
      </c>
      <c r="G13476" s="7" t="n">
        <v>1151.34</v>
      </c>
    </row>
    <row r="13477" customFormat="false" ht="15" hidden="false" customHeight="false" outlineLevel="0" collapsed="false">
      <c r="A13477" s="7" t="s">
        <v>30</v>
      </c>
      <c r="B13477" s="7" t="s">
        <v>483</v>
      </c>
      <c r="C13477" s="7" t="s">
        <v>1144</v>
      </c>
      <c r="D13477" s="7" t="n">
        <v>60</v>
      </c>
      <c r="E13477" s="7" t="n">
        <v>1746.51</v>
      </c>
      <c r="F13477" s="7" t="n">
        <v>0</v>
      </c>
      <c r="G13477" s="7" t="n">
        <v>0</v>
      </c>
    </row>
    <row r="13478" customFormat="false" ht="15" hidden="false" customHeight="false" outlineLevel="0" collapsed="false">
      <c r="A13478" s="7" t="s">
        <v>30</v>
      </c>
      <c r="B13478" s="7" t="s">
        <v>483</v>
      </c>
      <c r="C13478" s="7" t="s">
        <v>1144</v>
      </c>
      <c r="D13478" s="7" t="n">
        <v>60</v>
      </c>
      <c r="E13478" s="7" t="n">
        <v>1579.58</v>
      </c>
      <c r="F13478" s="7" t="n">
        <v>0</v>
      </c>
      <c r="G13478" s="7" t="n">
        <v>0</v>
      </c>
    </row>
    <row r="13479" customFormat="false" ht="15" hidden="false" customHeight="false" outlineLevel="0" collapsed="false">
      <c r="A13479" s="7" t="s">
        <v>30</v>
      </c>
      <c r="B13479" s="7" t="s">
        <v>483</v>
      </c>
      <c r="C13479" s="7" t="s">
        <v>1144</v>
      </c>
      <c r="D13479" s="7" t="n">
        <v>30</v>
      </c>
      <c r="E13479" s="7" t="n">
        <v>831.08</v>
      </c>
      <c r="F13479" s="7" t="n">
        <v>0</v>
      </c>
      <c r="G13479" s="7" t="n">
        <v>0</v>
      </c>
    </row>
    <row r="13480" customFormat="false" ht="15" hidden="false" customHeight="false" outlineLevel="0" collapsed="false">
      <c r="A13480" s="7" t="s">
        <v>30</v>
      </c>
      <c r="B13480" s="7" t="s">
        <v>483</v>
      </c>
      <c r="C13480" s="7" t="s">
        <v>1144</v>
      </c>
      <c r="D13480" s="7" t="n">
        <v>0</v>
      </c>
      <c r="E13480" s="7" t="n">
        <v>0</v>
      </c>
      <c r="F13480" s="7" t="n">
        <v>30</v>
      </c>
      <c r="G13480" s="7" t="n">
        <v>816.2</v>
      </c>
    </row>
    <row r="13481" customFormat="false" ht="15" hidden="false" customHeight="false" outlineLevel="0" collapsed="false">
      <c r="A13481" s="7" t="s">
        <v>30</v>
      </c>
      <c r="B13481" s="7" t="s">
        <v>483</v>
      </c>
      <c r="C13481" s="7" t="s">
        <v>1144</v>
      </c>
      <c r="D13481" s="7" t="n">
        <v>25</v>
      </c>
      <c r="E13481" s="7" t="n">
        <v>701.91</v>
      </c>
      <c r="F13481" s="7" t="n">
        <v>0</v>
      </c>
      <c r="G13481" s="7" t="n">
        <v>0</v>
      </c>
    </row>
    <row r="13482" customFormat="false" ht="15" hidden="false" customHeight="false" outlineLevel="0" collapsed="false">
      <c r="A13482" s="7" t="s">
        <v>30</v>
      </c>
      <c r="B13482" s="7" t="s">
        <v>483</v>
      </c>
      <c r="C13482" s="7" t="s">
        <v>1144</v>
      </c>
      <c r="D13482" s="7" t="n">
        <v>20</v>
      </c>
      <c r="E13482" s="7" t="n">
        <v>556.15</v>
      </c>
      <c r="F13482" s="7" t="n">
        <v>0</v>
      </c>
      <c r="G13482" s="7" t="n">
        <v>0</v>
      </c>
    </row>
    <row r="13483" customFormat="false" ht="15" hidden="false" customHeight="false" outlineLevel="0" collapsed="false">
      <c r="A13483" s="7" t="s">
        <v>30</v>
      </c>
      <c r="B13483" s="7" t="s">
        <v>483</v>
      </c>
      <c r="C13483" s="7" t="s">
        <v>1144</v>
      </c>
      <c r="D13483" s="7" t="n">
        <v>40</v>
      </c>
      <c r="E13483" s="7" t="n">
        <v>1062.95</v>
      </c>
      <c r="F13483" s="7" t="n">
        <v>0</v>
      </c>
      <c r="G13483" s="7" t="n">
        <v>0</v>
      </c>
    </row>
    <row r="13484" customFormat="false" ht="15" hidden="false" customHeight="false" outlineLevel="0" collapsed="false">
      <c r="A13484" s="7" t="s">
        <v>30</v>
      </c>
      <c r="B13484" s="7" t="s">
        <v>483</v>
      </c>
      <c r="C13484" s="7" t="s">
        <v>1144</v>
      </c>
      <c r="D13484" s="7" t="n">
        <v>1</v>
      </c>
      <c r="E13484" s="7" t="n">
        <v>0.04</v>
      </c>
      <c r="F13484" s="7" t="n">
        <v>0</v>
      </c>
      <c r="G13484" s="7" t="n">
        <v>0</v>
      </c>
    </row>
    <row r="13485" customFormat="false" ht="15" hidden="false" customHeight="false" outlineLevel="0" collapsed="false">
      <c r="A13485" s="7" t="s">
        <v>30</v>
      </c>
      <c r="B13485" s="7" t="s">
        <v>483</v>
      </c>
      <c r="C13485" s="7" t="s">
        <v>1144</v>
      </c>
      <c r="D13485" s="7" t="n">
        <v>15</v>
      </c>
      <c r="E13485" s="7" t="n">
        <v>414.21</v>
      </c>
      <c r="F13485" s="7" t="n">
        <v>0</v>
      </c>
      <c r="G13485" s="7" t="n">
        <v>0</v>
      </c>
    </row>
    <row r="13486" customFormat="false" ht="15" hidden="false" customHeight="false" outlineLevel="0" collapsed="false">
      <c r="A13486" s="7" t="s">
        <v>30</v>
      </c>
      <c r="B13486" s="7" t="s">
        <v>483</v>
      </c>
      <c r="C13486" s="7" t="s">
        <v>1144</v>
      </c>
      <c r="D13486" s="7" t="n">
        <v>65</v>
      </c>
      <c r="E13486" s="7" t="n">
        <v>1730.86</v>
      </c>
      <c r="F13486" s="7" t="n">
        <v>0</v>
      </c>
      <c r="G13486" s="7" t="n">
        <v>0</v>
      </c>
    </row>
    <row r="13487" customFormat="false" ht="15" hidden="false" customHeight="false" outlineLevel="0" collapsed="false">
      <c r="A13487" s="7" t="s">
        <v>30</v>
      </c>
      <c r="B13487" s="7" t="s">
        <v>483</v>
      </c>
      <c r="C13487" s="7" t="s">
        <v>1144</v>
      </c>
      <c r="D13487" s="7" t="n">
        <v>60</v>
      </c>
      <c r="E13487" s="7" t="n">
        <v>1620.69</v>
      </c>
      <c r="F13487" s="7" t="n">
        <v>0</v>
      </c>
      <c r="G13487" s="7" t="n">
        <v>0</v>
      </c>
    </row>
    <row r="13488" customFormat="false" ht="15" hidden="false" customHeight="false" outlineLevel="0" collapsed="false">
      <c r="A13488" s="7" t="s">
        <v>30</v>
      </c>
      <c r="B13488" s="7" t="s">
        <v>483</v>
      </c>
      <c r="C13488" s="7" t="s">
        <v>1144</v>
      </c>
      <c r="D13488" s="7" t="n">
        <v>100</v>
      </c>
      <c r="E13488" s="7" t="n">
        <v>2887.04</v>
      </c>
      <c r="F13488" s="7" t="n">
        <v>0</v>
      </c>
      <c r="G13488" s="7" t="n">
        <v>0</v>
      </c>
    </row>
    <row r="13489" customFormat="false" ht="15" hidden="false" customHeight="false" outlineLevel="0" collapsed="false">
      <c r="A13489" s="7" t="s">
        <v>30</v>
      </c>
      <c r="B13489" s="7" t="s">
        <v>649</v>
      </c>
      <c r="C13489" s="7" t="s">
        <v>1144</v>
      </c>
      <c r="D13489" s="7" t="n">
        <v>60</v>
      </c>
      <c r="E13489" s="7" t="n">
        <v>1732.22</v>
      </c>
      <c r="F13489" s="7" t="n">
        <v>0</v>
      </c>
      <c r="G13489" s="7" t="n">
        <v>0</v>
      </c>
    </row>
    <row r="13490" customFormat="false" ht="15" hidden="false" customHeight="false" outlineLevel="0" collapsed="false">
      <c r="A13490" s="7" t="s">
        <v>30</v>
      </c>
      <c r="B13490" s="7" t="s">
        <v>649</v>
      </c>
      <c r="C13490" s="7" t="s">
        <v>1144</v>
      </c>
      <c r="D13490" s="7" t="n">
        <v>30</v>
      </c>
      <c r="E13490" s="7" t="n">
        <v>828.4</v>
      </c>
      <c r="F13490" s="7" t="n">
        <v>0</v>
      </c>
      <c r="G13490" s="7" t="n">
        <v>0</v>
      </c>
    </row>
    <row r="13491" customFormat="false" ht="15" hidden="false" customHeight="false" outlineLevel="0" collapsed="false">
      <c r="A13491" s="7" t="s">
        <v>30</v>
      </c>
      <c r="B13491" s="7" t="s">
        <v>649</v>
      </c>
      <c r="C13491" s="7" t="s">
        <v>1144</v>
      </c>
      <c r="D13491" s="7" t="n">
        <v>40</v>
      </c>
      <c r="E13491" s="7" t="n">
        <v>1112.28</v>
      </c>
      <c r="F13491" s="7" t="n">
        <v>0</v>
      </c>
      <c r="G13491" s="7" t="n">
        <v>0</v>
      </c>
    </row>
    <row r="13492" customFormat="false" ht="15" hidden="false" customHeight="false" outlineLevel="0" collapsed="false">
      <c r="A13492" s="7" t="s">
        <v>30</v>
      </c>
      <c r="B13492" s="7" t="s">
        <v>649</v>
      </c>
      <c r="C13492" s="7" t="s">
        <v>1144</v>
      </c>
      <c r="D13492" s="7" t="n">
        <v>60</v>
      </c>
      <c r="E13492" s="7" t="n">
        <v>1674.15</v>
      </c>
      <c r="F13492" s="7" t="n">
        <v>0</v>
      </c>
      <c r="G13492" s="7" t="n">
        <v>0</v>
      </c>
    </row>
    <row r="13493" customFormat="false" ht="15" hidden="false" customHeight="false" outlineLevel="0" collapsed="false">
      <c r="A13493" s="7" t="s">
        <v>30</v>
      </c>
      <c r="B13493" s="7" t="s">
        <v>649</v>
      </c>
      <c r="C13493" s="7" t="s">
        <v>1144</v>
      </c>
      <c r="D13493" s="7" t="n">
        <v>45</v>
      </c>
      <c r="E13493" s="7" t="n">
        <v>1215.52</v>
      </c>
      <c r="F13493" s="7" t="n">
        <v>0</v>
      </c>
      <c r="G13493" s="7" t="n">
        <v>0</v>
      </c>
    </row>
    <row r="13494" customFormat="false" ht="15" hidden="false" customHeight="false" outlineLevel="0" collapsed="false">
      <c r="A13494" s="7" t="s">
        <v>30</v>
      </c>
      <c r="B13494" s="7" t="s">
        <v>649</v>
      </c>
      <c r="C13494" s="7" t="s">
        <v>1144</v>
      </c>
      <c r="D13494" s="7" t="n">
        <v>0</v>
      </c>
      <c r="E13494" s="7" t="n">
        <v>0</v>
      </c>
      <c r="F13494" s="7" t="n">
        <v>40</v>
      </c>
      <c r="G13494" s="7" t="n">
        <v>1166.51</v>
      </c>
    </row>
    <row r="13495" customFormat="false" ht="15" hidden="false" customHeight="false" outlineLevel="0" collapsed="false">
      <c r="A13495" s="7" t="s">
        <v>30</v>
      </c>
      <c r="B13495" s="7" t="s">
        <v>649</v>
      </c>
      <c r="C13495" s="7" t="s">
        <v>1144</v>
      </c>
      <c r="D13495" s="7" t="n">
        <v>0</v>
      </c>
      <c r="E13495" s="7" t="n">
        <v>0</v>
      </c>
      <c r="F13495" s="7" t="n">
        <v>100</v>
      </c>
      <c r="G13495" s="7" t="n">
        <v>2665.62</v>
      </c>
    </row>
    <row r="13496" customFormat="false" ht="15" hidden="false" customHeight="false" outlineLevel="0" collapsed="false">
      <c r="A13496" s="7" t="s">
        <v>30</v>
      </c>
      <c r="B13496" s="7" t="s">
        <v>649</v>
      </c>
      <c r="C13496" s="7" t="s">
        <v>1144</v>
      </c>
      <c r="D13496" s="7" t="n">
        <v>65</v>
      </c>
      <c r="E13496" s="7" t="n">
        <v>1727.28</v>
      </c>
      <c r="F13496" s="7" t="n">
        <v>0</v>
      </c>
      <c r="G13496" s="7" t="n">
        <v>0</v>
      </c>
    </row>
    <row r="13497" customFormat="false" ht="15" hidden="false" customHeight="false" outlineLevel="0" collapsed="false">
      <c r="A13497" s="7" t="s">
        <v>30</v>
      </c>
      <c r="B13497" s="7" t="s">
        <v>649</v>
      </c>
      <c r="C13497" s="7" t="s">
        <v>1144</v>
      </c>
      <c r="D13497" s="7" t="n">
        <v>0</v>
      </c>
      <c r="E13497" s="7" t="n">
        <v>0</v>
      </c>
      <c r="F13497" s="7" t="n">
        <v>60</v>
      </c>
      <c r="G13497" s="7" t="n">
        <v>1727.02</v>
      </c>
    </row>
    <row r="13498" customFormat="false" ht="15" hidden="false" customHeight="false" outlineLevel="0" collapsed="false">
      <c r="A13498" s="7" t="s">
        <v>30</v>
      </c>
      <c r="B13498" s="7" t="s">
        <v>649</v>
      </c>
      <c r="C13498" s="7" t="s">
        <v>1144</v>
      </c>
      <c r="D13498" s="7" t="n">
        <v>0</v>
      </c>
      <c r="E13498" s="7" t="n">
        <v>0</v>
      </c>
      <c r="F13498" s="7" t="n">
        <v>70</v>
      </c>
      <c r="G13498" s="7" t="n">
        <v>1904.51</v>
      </c>
    </row>
    <row r="13499" customFormat="false" ht="15" hidden="false" customHeight="false" outlineLevel="0" collapsed="false">
      <c r="A13499" s="7" t="s">
        <v>30</v>
      </c>
      <c r="B13499" s="7" t="s">
        <v>649</v>
      </c>
      <c r="C13499" s="7" t="s">
        <v>1144</v>
      </c>
      <c r="D13499" s="7" t="n">
        <v>65</v>
      </c>
      <c r="E13499" s="7" t="n">
        <v>1824.96</v>
      </c>
      <c r="F13499" s="7" t="n">
        <v>0</v>
      </c>
      <c r="G13499" s="7" t="n">
        <v>0</v>
      </c>
    </row>
    <row r="13500" customFormat="false" ht="15" hidden="false" customHeight="false" outlineLevel="0" collapsed="false">
      <c r="A13500" s="7" t="s">
        <v>30</v>
      </c>
      <c r="B13500" s="7" t="s">
        <v>649</v>
      </c>
      <c r="C13500" s="7" t="s">
        <v>1144</v>
      </c>
      <c r="D13500" s="7" t="n">
        <v>20</v>
      </c>
      <c r="E13500" s="7" t="n">
        <v>554.05</v>
      </c>
      <c r="F13500" s="7" t="n">
        <v>0</v>
      </c>
      <c r="G13500" s="7" t="n">
        <v>0</v>
      </c>
    </row>
    <row r="13501" customFormat="false" ht="15" hidden="false" customHeight="false" outlineLevel="0" collapsed="false">
      <c r="A13501" s="7" t="s">
        <v>30</v>
      </c>
      <c r="B13501" s="7" t="s">
        <v>649</v>
      </c>
      <c r="C13501" s="7" t="s">
        <v>1144</v>
      </c>
      <c r="D13501" s="7" t="n">
        <v>0</v>
      </c>
      <c r="E13501" s="7" t="n">
        <v>0</v>
      </c>
      <c r="F13501" s="7" t="n">
        <v>80</v>
      </c>
      <c r="G13501" s="7" t="n">
        <v>2146.94</v>
      </c>
    </row>
    <row r="13502" customFormat="false" ht="15" hidden="false" customHeight="false" outlineLevel="0" collapsed="false">
      <c r="A13502" s="7" t="s">
        <v>30</v>
      </c>
      <c r="B13502" s="7" t="s">
        <v>649</v>
      </c>
      <c r="C13502" s="7" t="s">
        <v>1144</v>
      </c>
      <c r="D13502" s="7" t="n">
        <v>0</v>
      </c>
      <c r="E13502" s="7" t="n">
        <v>0</v>
      </c>
      <c r="F13502" s="7" t="n">
        <v>20</v>
      </c>
      <c r="G13502" s="7" t="n">
        <v>544.13</v>
      </c>
    </row>
    <row r="13503" customFormat="false" ht="15" hidden="false" customHeight="false" outlineLevel="0" collapsed="false">
      <c r="A13503" s="7" t="s">
        <v>30</v>
      </c>
      <c r="B13503" s="7" t="s">
        <v>649</v>
      </c>
      <c r="C13503" s="7" t="s">
        <v>1144</v>
      </c>
      <c r="D13503" s="7" t="n">
        <v>30</v>
      </c>
      <c r="E13503" s="7" t="n">
        <v>873.25</v>
      </c>
      <c r="F13503" s="7" t="n">
        <v>0</v>
      </c>
      <c r="G13503" s="7" t="n">
        <v>0</v>
      </c>
    </row>
    <row r="13504" customFormat="false" ht="15" hidden="false" customHeight="false" outlineLevel="0" collapsed="false">
      <c r="A13504" s="7" t="s">
        <v>30</v>
      </c>
      <c r="B13504" s="7" t="s">
        <v>649</v>
      </c>
      <c r="C13504" s="7" t="s">
        <v>1144</v>
      </c>
      <c r="D13504" s="7" t="n">
        <v>0</v>
      </c>
      <c r="E13504" s="7" t="n">
        <v>0</v>
      </c>
      <c r="F13504" s="7" t="n">
        <v>50</v>
      </c>
      <c r="G13504" s="7" t="n">
        <v>1427.13</v>
      </c>
    </row>
    <row r="13505" customFormat="false" ht="15" hidden="false" customHeight="false" outlineLevel="0" collapsed="false">
      <c r="A13505" s="7" t="s">
        <v>30</v>
      </c>
      <c r="B13505" s="7" t="s">
        <v>649</v>
      </c>
      <c r="C13505" s="7" t="s">
        <v>1144</v>
      </c>
      <c r="D13505" s="7" t="n">
        <v>0</v>
      </c>
      <c r="E13505" s="7" t="n">
        <v>0</v>
      </c>
      <c r="F13505" s="7" t="n">
        <v>20</v>
      </c>
      <c r="G13505" s="7" t="n">
        <v>546.6</v>
      </c>
    </row>
    <row r="13506" customFormat="false" ht="15" hidden="false" customHeight="false" outlineLevel="0" collapsed="false">
      <c r="A13506" s="7" t="s">
        <v>30</v>
      </c>
      <c r="B13506" s="7" t="s">
        <v>649</v>
      </c>
      <c r="C13506" s="7" t="s">
        <v>1144</v>
      </c>
      <c r="D13506" s="7" t="n">
        <v>55</v>
      </c>
      <c r="E13506" s="7" t="n">
        <v>1464.58</v>
      </c>
      <c r="F13506" s="7" t="n">
        <v>0</v>
      </c>
      <c r="G13506" s="7" t="n">
        <v>0</v>
      </c>
    </row>
    <row r="13507" customFormat="false" ht="15" hidden="false" customHeight="false" outlineLevel="0" collapsed="false">
      <c r="A13507" s="7" t="s">
        <v>30</v>
      </c>
      <c r="B13507" s="7" t="s">
        <v>649</v>
      </c>
      <c r="C13507" s="7" t="s">
        <v>1144</v>
      </c>
      <c r="D13507" s="7" t="n">
        <v>60</v>
      </c>
      <c r="E13507" s="7" t="n">
        <v>1579.58</v>
      </c>
      <c r="F13507" s="7" t="n">
        <v>0</v>
      </c>
      <c r="G13507" s="7" t="n">
        <v>0</v>
      </c>
    </row>
    <row r="13508" customFormat="false" ht="15" hidden="false" customHeight="false" outlineLevel="0" collapsed="false">
      <c r="A13508" s="7" t="s">
        <v>30</v>
      </c>
      <c r="B13508" s="7" t="s">
        <v>643</v>
      </c>
      <c r="C13508" s="7" t="s">
        <v>1144</v>
      </c>
      <c r="D13508" s="7" t="n">
        <v>15</v>
      </c>
      <c r="E13508" s="7" t="n">
        <v>436.63</v>
      </c>
      <c r="F13508" s="7" t="n">
        <v>0</v>
      </c>
      <c r="G13508" s="7" t="n">
        <v>0</v>
      </c>
    </row>
    <row r="13509" customFormat="false" ht="15" hidden="false" customHeight="false" outlineLevel="0" collapsed="false">
      <c r="A13509" s="7" t="s">
        <v>30</v>
      </c>
      <c r="B13509" s="7" t="s">
        <v>643</v>
      </c>
      <c r="C13509" s="7" t="s">
        <v>1144</v>
      </c>
      <c r="D13509" s="7" t="n">
        <v>10</v>
      </c>
      <c r="E13509" s="7" t="n">
        <v>279.03</v>
      </c>
      <c r="F13509" s="7" t="n">
        <v>0</v>
      </c>
      <c r="G13509" s="7" t="n">
        <v>0</v>
      </c>
    </row>
    <row r="13510" customFormat="false" ht="15" hidden="false" customHeight="false" outlineLevel="0" collapsed="false">
      <c r="A13510" s="7" t="s">
        <v>30</v>
      </c>
      <c r="B13510" s="7" t="s">
        <v>643</v>
      </c>
      <c r="C13510" s="7" t="s">
        <v>1144</v>
      </c>
      <c r="D13510" s="7" t="n">
        <v>25</v>
      </c>
      <c r="E13510" s="7" t="n">
        <v>721.76</v>
      </c>
      <c r="F13510" s="7" t="n">
        <v>0</v>
      </c>
      <c r="G13510" s="7" t="n">
        <v>0</v>
      </c>
    </row>
    <row r="13511" customFormat="false" ht="15" hidden="false" customHeight="false" outlineLevel="0" collapsed="false">
      <c r="A13511" s="7" t="s">
        <v>30</v>
      </c>
      <c r="B13511" s="7" t="s">
        <v>643</v>
      </c>
      <c r="C13511" s="7" t="s">
        <v>1144</v>
      </c>
      <c r="D13511" s="7" t="n">
        <v>0</v>
      </c>
      <c r="E13511" s="7" t="n">
        <v>0</v>
      </c>
      <c r="F13511" s="7" t="n">
        <v>5</v>
      </c>
      <c r="G13511" s="7" t="n">
        <v>143.92</v>
      </c>
    </row>
    <row r="13512" customFormat="false" ht="15" hidden="false" customHeight="false" outlineLevel="0" collapsed="false">
      <c r="A13512" s="7" t="s">
        <v>30</v>
      </c>
      <c r="B13512" s="7" t="s">
        <v>643</v>
      </c>
      <c r="C13512" s="7" t="s">
        <v>1144</v>
      </c>
      <c r="D13512" s="7" t="n">
        <v>0</v>
      </c>
      <c r="E13512" s="7" t="n">
        <v>0</v>
      </c>
      <c r="F13512" s="7" t="n">
        <v>20</v>
      </c>
      <c r="G13512" s="7" t="n">
        <v>570.85</v>
      </c>
    </row>
    <row r="13513" customFormat="false" ht="15" hidden="false" customHeight="false" outlineLevel="0" collapsed="false">
      <c r="A13513" s="7" t="s">
        <v>30</v>
      </c>
      <c r="B13513" s="7" t="s">
        <v>643</v>
      </c>
      <c r="C13513" s="7" t="s">
        <v>1144</v>
      </c>
      <c r="D13513" s="7" t="n">
        <v>5</v>
      </c>
      <c r="E13513" s="7" t="n">
        <v>139.03</v>
      </c>
      <c r="F13513" s="7" t="n">
        <v>0</v>
      </c>
      <c r="G13513" s="7" t="n">
        <v>0</v>
      </c>
    </row>
    <row r="13514" customFormat="false" ht="15" hidden="false" customHeight="false" outlineLevel="0" collapsed="false">
      <c r="A13514" s="7" t="s">
        <v>30</v>
      </c>
      <c r="B13514" s="7" t="s">
        <v>643</v>
      </c>
      <c r="C13514" s="7" t="s">
        <v>1144</v>
      </c>
      <c r="D13514" s="7" t="n">
        <v>0</v>
      </c>
      <c r="E13514" s="7" t="n">
        <v>0</v>
      </c>
      <c r="F13514" s="7" t="n">
        <v>15</v>
      </c>
      <c r="G13514" s="7" t="n">
        <v>437.44</v>
      </c>
    </row>
    <row r="13515" customFormat="false" ht="15" hidden="false" customHeight="false" outlineLevel="0" collapsed="false">
      <c r="A13515" s="7" t="s">
        <v>30</v>
      </c>
      <c r="B13515" s="7" t="s">
        <v>643</v>
      </c>
      <c r="C13515" s="7" t="s">
        <v>1144</v>
      </c>
      <c r="D13515" s="7" t="n">
        <v>0</v>
      </c>
      <c r="E13515" s="7" t="n">
        <v>0</v>
      </c>
      <c r="F13515" s="7" t="n">
        <v>40</v>
      </c>
      <c r="G13515" s="7" t="n">
        <v>1066.25</v>
      </c>
    </row>
    <row r="13516" customFormat="false" ht="15" hidden="false" customHeight="false" outlineLevel="0" collapsed="false">
      <c r="A13516" s="7" t="s">
        <v>30</v>
      </c>
      <c r="B13516" s="7" t="s">
        <v>643</v>
      </c>
      <c r="C13516" s="7" t="s">
        <v>1144</v>
      </c>
      <c r="D13516" s="7" t="n">
        <v>15</v>
      </c>
      <c r="E13516" s="7" t="n">
        <v>399.43</v>
      </c>
      <c r="F13516" s="7" t="n">
        <v>0</v>
      </c>
      <c r="G13516" s="7" t="n">
        <v>0</v>
      </c>
    </row>
    <row r="13517" customFormat="false" ht="15" hidden="false" customHeight="false" outlineLevel="0" collapsed="false">
      <c r="A13517" s="7" t="s">
        <v>30</v>
      </c>
      <c r="B13517" s="7" t="s">
        <v>643</v>
      </c>
      <c r="C13517" s="7" t="s">
        <v>1144</v>
      </c>
      <c r="D13517" s="7" t="n">
        <v>0</v>
      </c>
      <c r="E13517" s="7" t="n">
        <v>0</v>
      </c>
      <c r="F13517" s="7" t="n">
        <v>10</v>
      </c>
      <c r="G13517" s="7" t="n">
        <v>272.07</v>
      </c>
    </row>
    <row r="13518" customFormat="false" ht="15" hidden="false" customHeight="false" outlineLevel="0" collapsed="false">
      <c r="A13518" s="7" t="s">
        <v>30</v>
      </c>
      <c r="B13518" s="7" t="s">
        <v>643</v>
      </c>
      <c r="C13518" s="7" t="s">
        <v>1144</v>
      </c>
      <c r="D13518" s="7" t="n">
        <v>8</v>
      </c>
      <c r="E13518" s="7" t="n">
        <v>224.61</v>
      </c>
      <c r="F13518" s="7" t="n">
        <v>0</v>
      </c>
      <c r="G13518" s="7" t="n">
        <v>0</v>
      </c>
    </row>
    <row r="13519" customFormat="false" ht="15" hidden="false" customHeight="false" outlineLevel="0" collapsed="false">
      <c r="A13519" s="7" t="s">
        <v>30</v>
      </c>
      <c r="B13519" s="7" t="s">
        <v>643</v>
      </c>
      <c r="C13519" s="7" t="s">
        <v>1144</v>
      </c>
      <c r="D13519" s="7" t="n">
        <v>30</v>
      </c>
      <c r="E13519" s="7" t="n">
        <v>828.4</v>
      </c>
      <c r="F13519" s="7" t="n">
        <v>0</v>
      </c>
      <c r="G13519" s="7" t="n">
        <v>0</v>
      </c>
    </row>
    <row r="13520" customFormat="false" ht="15" hidden="false" customHeight="false" outlineLevel="0" collapsed="false">
      <c r="A13520" s="7" t="s">
        <v>30</v>
      </c>
      <c r="B13520" s="7" t="s">
        <v>643</v>
      </c>
      <c r="C13520" s="7" t="s">
        <v>1144</v>
      </c>
      <c r="D13520" s="7" t="n">
        <v>20</v>
      </c>
      <c r="E13520" s="7" t="n">
        <v>526.53</v>
      </c>
      <c r="F13520" s="7" t="n">
        <v>0</v>
      </c>
      <c r="G13520" s="7" t="n">
        <v>0</v>
      </c>
    </row>
    <row r="13521" customFormat="false" ht="15" hidden="false" customHeight="false" outlineLevel="0" collapsed="false">
      <c r="A13521" s="7" t="s">
        <v>30</v>
      </c>
      <c r="B13521" s="7" t="s">
        <v>643</v>
      </c>
      <c r="C13521" s="7" t="s">
        <v>1144</v>
      </c>
      <c r="D13521" s="7" t="n">
        <v>0</v>
      </c>
      <c r="E13521" s="7" t="n">
        <v>0</v>
      </c>
      <c r="F13521" s="7" t="n">
        <v>5</v>
      </c>
      <c r="G13521" s="7" t="n">
        <v>136.03</v>
      </c>
    </row>
    <row r="13522" customFormat="false" ht="15" hidden="false" customHeight="false" outlineLevel="0" collapsed="false">
      <c r="A13522" s="7" t="s">
        <v>30</v>
      </c>
      <c r="B13522" s="7" t="s">
        <v>643</v>
      </c>
      <c r="C13522" s="7" t="s">
        <v>1144</v>
      </c>
      <c r="D13522" s="7" t="n">
        <v>0</v>
      </c>
      <c r="E13522" s="7" t="n">
        <v>0</v>
      </c>
      <c r="F13522" s="7" t="n">
        <v>6</v>
      </c>
      <c r="G13522" s="7" t="n">
        <v>163.98</v>
      </c>
    </row>
    <row r="13523" customFormat="false" ht="15" hidden="false" customHeight="false" outlineLevel="0" collapsed="false">
      <c r="A13523" s="7" t="s">
        <v>30</v>
      </c>
      <c r="B13523" s="7" t="s">
        <v>643</v>
      </c>
      <c r="C13523" s="7" t="s">
        <v>1144</v>
      </c>
      <c r="D13523" s="7" t="n">
        <v>18</v>
      </c>
      <c r="E13523" s="7" t="n">
        <v>478.32</v>
      </c>
      <c r="F13523" s="7" t="n">
        <v>0</v>
      </c>
      <c r="G13523" s="7" t="n">
        <v>0</v>
      </c>
    </row>
    <row r="13524" customFormat="false" ht="15" hidden="false" customHeight="false" outlineLevel="0" collapsed="false">
      <c r="A13524" s="7" t="s">
        <v>30</v>
      </c>
      <c r="B13524" s="7" t="s">
        <v>643</v>
      </c>
      <c r="C13524" s="7" t="s">
        <v>1144</v>
      </c>
      <c r="D13524" s="7" t="n">
        <v>0</v>
      </c>
      <c r="E13524" s="7" t="n">
        <v>0</v>
      </c>
      <c r="F13524" s="7" t="n">
        <v>15</v>
      </c>
      <c r="G13524" s="7" t="n">
        <v>402.55</v>
      </c>
    </row>
    <row r="13525" customFormat="false" ht="15" hidden="false" customHeight="false" outlineLevel="0" collapsed="false">
      <c r="A13525" s="7" t="s">
        <v>30</v>
      </c>
      <c r="B13525" s="7" t="s">
        <v>227</v>
      </c>
      <c r="C13525" s="7" t="s">
        <v>1144</v>
      </c>
      <c r="D13525" s="7" t="n">
        <v>15</v>
      </c>
      <c r="E13525" s="7" t="n">
        <v>414.21</v>
      </c>
      <c r="F13525" s="7" t="n">
        <v>0</v>
      </c>
      <c r="G13525" s="7" t="n">
        <v>0</v>
      </c>
    </row>
    <row r="13526" customFormat="false" ht="15" hidden="false" customHeight="false" outlineLevel="0" collapsed="false">
      <c r="A13526" s="7" t="s">
        <v>30</v>
      </c>
      <c r="B13526" s="7" t="s">
        <v>227</v>
      </c>
      <c r="C13526" s="7" t="s">
        <v>1144</v>
      </c>
      <c r="D13526" s="7" t="n">
        <v>40</v>
      </c>
      <c r="E13526" s="7" t="n">
        <v>1062.95</v>
      </c>
      <c r="F13526" s="7" t="n">
        <v>0</v>
      </c>
      <c r="G13526" s="7" t="n">
        <v>0</v>
      </c>
    </row>
    <row r="13527" customFormat="false" ht="15" hidden="false" customHeight="false" outlineLevel="0" collapsed="false">
      <c r="A13527" s="7" t="s">
        <v>30</v>
      </c>
      <c r="B13527" s="7" t="s">
        <v>227</v>
      </c>
      <c r="C13527" s="7" t="s">
        <v>1144</v>
      </c>
      <c r="D13527" s="7" t="n">
        <v>0</v>
      </c>
      <c r="E13527" s="7" t="n">
        <v>0</v>
      </c>
      <c r="F13527" s="7" t="n">
        <v>5</v>
      </c>
      <c r="G13527" s="7" t="n">
        <v>136.65</v>
      </c>
    </row>
    <row r="13528" customFormat="false" ht="15" hidden="false" customHeight="false" outlineLevel="0" collapsed="false">
      <c r="A13528" s="7" t="s">
        <v>30</v>
      </c>
      <c r="B13528" s="7" t="s">
        <v>227</v>
      </c>
      <c r="C13528" s="7" t="s">
        <v>1144</v>
      </c>
      <c r="D13528" s="7" t="n">
        <v>0</v>
      </c>
      <c r="E13528" s="7" t="n">
        <v>0</v>
      </c>
      <c r="F13528" s="7" t="n">
        <v>1</v>
      </c>
      <c r="G13528" s="7" t="n">
        <v>0.04</v>
      </c>
    </row>
    <row r="13529" customFormat="false" ht="15" hidden="false" customHeight="false" outlineLevel="0" collapsed="false">
      <c r="A13529" s="7" t="s">
        <v>30</v>
      </c>
      <c r="B13529" s="7" t="s">
        <v>227</v>
      </c>
      <c r="C13529" s="7" t="s">
        <v>1144</v>
      </c>
      <c r="D13529" s="7" t="n">
        <v>0</v>
      </c>
      <c r="E13529" s="7" t="n">
        <v>0</v>
      </c>
      <c r="F13529" s="7" t="n">
        <v>30</v>
      </c>
      <c r="G13529" s="7" t="n">
        <v>856.28</v>
      </c>
    </row>
    <row r="13530" customFormat="false" ht="15" hidden="false" customHeight="false" outlineLevel="0" collapsed="false">
      <c r="A13530" s="7" t="s">
        <v>30</v>
      </c>
      <c r="B13530" s="7" t="s">
        <v>227</v>
      </c>
      <c r="C13530" s="7" t="s">
        <v>1144</v>
      </c>
      <c r="D13530" s="7" t="n">
        <v>0</v>
      </c>
      <c r="E13530" s="7" t="n">
        <v>0</v>
      </c>
      <c r="F13530" s="7" t="n">
        <v>10</v>
      </c>
      <c r="G13530" s="7" t="n">
        <v>291.63</v>
      </c>
    </row>
    <row r="13531" customFormat="false" ht="15" hidden="false" customHeight="false" outlineLevel="0" collapsed="false">
      <c r="A13531" s="7" t="s">
        <v>30</v>
      </c>
      <c r="B13531" s="7" t="s">
        <v>227</v>
      </c>
      <c r="C13531" s="7" t="s">
        <v>1144</v>
      </c>
      <c r="D13531" s="7" t="n">
        <v>15</v>
      </c>
      <c r="E13531" s="7" t="n">
        <v>433.05</v>
      </c>
      <c r="F13531" s="7" t="n">
        <v>0</v>
      </c>
      <c r="G13531" s="7" t="n">
        <v>0</v>
      </c>
    </row>
    <row r="13532" customFormat="false" ht="15" hidden="false" customHeight="false" outlineLevel="0" collapsed="false">
      <c r="A13532" s="7" t="s">
        <v>30</v>
      </c>
      <c r="B13532" s="7" t="s">
        <v>227</v>
      </c>
      <c r="C13532" s="7" t="s">
        <v>1144</v>
      </c>
      <c r="D13532" s="7" t="n">
        <v>0</v>
      </c>
      <c r="E13532" s="7" t="n">
        <v>0</v>
      </c>
      <c r="F13532" s="7" t="n">
        <v>50</v>
      </c>
      <c r="G13532" s="7" t="n">
        <v>1332.81</v>
      </c>
    </row>
    <row r="13533" customFormat="false" ht="15" hidden="false" customHeight="false" outlineLevel="0" collapsed="false">
      <c r="A13533" s="7" t="s">
        <v>30</v>
      </c>
      <c r="B13533" s="7" t="s">
        <v>227</v>
      </c>
      <c r="C13533" s="7" t="s">
        <v>1144</v>
      </c>
      <c r="D13533" s="7" t="n">
        <v>0</v>
      </c>
      <c r="E13533" s="7" t="n">
        <v>0</v>
      </c>
      <c r="F13533" s="7" t="n">
        <v>10</v>
      </c>
      <c r="G13533" s="7" t="n">
        <v>272.07</v>
      </c>
    </row>
    <row r="13534" customFormat="false" ht="15" hidden="false" customHeight="false" outlineLevel="0" collapsed="false">
      <c r="A13534" s="7" t="s">
        <v>30</v>
      </c>
      <c r="B13534" s="7" t="s">
        <v>227</v>
      </c>
      <c r="C13534" s="7" t="s">
        <v>1144</v>
      </c>
      <c r="D13534" s="7" t="n">
        <v>10</v>
      </c>
      <c r="E13534" s="7" t="n">
        <v>266.28</v>
      </c>
      <c r="F13534" s="7" t="n">
        <v>0</v>
      </c>
      <c r="G13534" s="7" t="n">
        <v>0</v>
      </c>
    </row>
    <row r="13535" customFormat="false" ht="15" hidden="false" customHeight="false" outlineLevel="0" collapsed="false">
      <c r="A13535" s="7" t="s">
        <v>30</v>
      </c>
      <c r="B13535" s="7" t="s">
        <v>227</v>
      </c>
      <c r="C13535" s="7" t="s">
        <v>1144</v>
      </c>
      <c r="D13535" s="7" t="n">
        <v>20</v>
      </c>
      <c r="E13535" s="7" t="n">
        <v>582.17</v>
      </c>
      <c r="F13535" s="7" t="n">
        <v>0</v>
      </c>
      <c r="G13535" s="7" t="n">
        <v>0</v>
      </c>
    </row>
    <row r="13536" customFormat="false" ht="15" hidden="false" customHeight="false" outlineLevel="0" collapsed="false">
      <c r="A13536" s="7" t="s">
        <v>30</v>
      </c>
      <c r="B13536" s="7" t="s">
        <v>227</v>
      </c>
      <c r="C13536" s="7" t="s">
        <v>1144</v>
      </c>
      <c r="D13536" s="7" t="n">
        <v>25</v>
      </c>
      <c r="E13536" s="7" t="n">
        <v>658.16</v>
      </c>
      <c r="F13536" s="7" t="n">
        <v>0</v>
      </c>
      <c r="G13536" s="7" t="n">
        <v>0</v>
      </c>
    </row>
    <row r="13537" customFormat="false" ht="15" hidden="false" customHeight="false" outlineLevel="0" collapsed="false">
      <c r="A13537" s="7" t="s">
        <v>30</v>
      </c>
      <c r="B13537" s="7" t="s">
        <v>227</v>
      </c>
      <c r="C13537" s="7" t="s">
        <v>1144</v>
      </c>
      <c r="D13537" s="7" t="n">
        <v>0</v>
      </c>
      <c r="E13537" s="7" t="n">
        <v>0</v>
      </c>
      <c r="F13537" s="7" t="n">
        <v>10</v>
      </c>
      <c r="G13537" s="7" t="n">
        <v>287.84</v>
      </c>
    </row>
    <row r="13538" customFormat="false" ht="15" hidden="false" customHeight="false" outlineLevel="0" collapsed="false">
      <c r="A13538" s="7" t="s">
        <v>30</v>
      </c>
      <c r="B13538" s="7" t="s">
        <v>227</v>
      </c>
      <c r="C13538" s="7" t="s">
        <v>1144</v>
      </c>
      <c r="D13538" s="7" t="n">
        <v>20</v>
      </c>
      <c r="E13538" s="7" t="n">
        <v>558.05</v>
      </c>
      <c r="F13538" s="7" t="n">
        <v>0</v>
      </c>
      <c r="G13538" s="7" t="n">
        <v>0</v>
      </c>
    </row>
    <row r="13539" customFormat="false" ht="15" hidden="false" customHeight="false" outlineLevel="0" collapsed="false">
      <c r="A13539" s="7" t="s">
        <v>30</v>
      </c>
      <c r="B13539" s="7" t="s">
        <v>227</v>
      </c>
      <c r="C13539" s="7" t="s">
        <v>1144</v>
      </c>
      <c r="D13539" s="7" t="n">
        <v>20</v>
      </c>
      <c r="E13539" s="7" t="n">
        <v>561.53</v>
      </c>
      <c r="F13539" s="7" t="n">
        <v>0</v>
      </c>
      <c r="G13539" s="7" t="n">
        <v>0</v>
      </c>
    </row>
    <row r="13540" customFormat="false" ht="15" hidden="false" customHeight="false" outlineLevel="0" collapsed="false">
      <c r="A13540" s="7" t="s">
        <v>30</v>
      </c>
      <c r="B13540" s="7" t="s">
        <v>227</v>
      </c>
      <c r="C13540" s="7" t="s">
        <v>1144</v>
      </c>
      <c r="D13540" s="7" t="n">
        <v>0</v>
      </c>
      <c r="E13540" s="7" t="n">
        <v>0</v>
      </c>
      <c r="F13540" s="7" t="n">
        <v>15</v>
      </c>
      <c r="G13540" s="7" t="n">
        <v>402.55</v>
      </c>
    </row>
    <row r="13541" customFormat="false" ht="15" hidden="false" customHeight="false" outlineLevel="0" collapsed="false">
      <c r="A13541" s="7" t="s">
        <v>30</v>
      </c>
      <c r="B13541" s="7" t="s">
        <v>227</v>
      </c>
      <c r="C13541" s="7" t="s">
        <v>1144</v>
      </c>
      <c r="D13541" s="7" t="n">
        <v>10</v>
      </c>
      <c r="E13541" s="7" t="n">
        <v>270.12</v>
      </c>
      <c r="F13541" s="7" t="n">
        <v>0</v>
      </c>
      <c r="G13541" s="7" t="n">
        <v>0</v>
      </c>
    </row>
    <row r="13542" customFormat="false" ht="15" hidden="false" customHeight="false" outlineLevel="0" collapsed="false">
      <c r="A13542" s="7" t="s">
        <v>30</v>
      </c>
      <c r="B13542" s="7" t="s">
        <v>227</v>
      </c>
      <c r="C13542" s="7" t="s">
        <v>1144</v>
      </c>
      <c r="D13542" s="7" t="n">
        <v>10</v>
      </c>
      <c r="E13542" s="7" t="n">
        <v>277.03</v>
      </c>
      <c r="F13542" s="7" t="n">
        <v>0</v>
      </c>
      <c r="G13542" s="7" t="n">
        <v>0</v>
      </c>
    </row>
    <row r="13543" customFormat="false" ht="15" hidden="false" customHeight="false" outlineLevel="0" collapsed="false">
      <c r="A13543" s="7" t="s">
        <v>30</v>
      </c>
      <c r="B13543" s="7" t="s">
        <v>227</v>
      </c>
      <c r="C13543" s="7" t="s">
        <v>1144</v>
      </c>
      <c r="D13543" s="7" t="n">
        <v>0</v>
      </c>
      <c r="E13543" s="7" t="n">
        <v>0</v>
      </c>
      <c r="F13543" s="7" t="n">
        <v>5</v>
      </c>
      <c r="G13543" s="7" t="n">
        <v>136.03</v>
      </c>
    </row>
    <row r="13544" customFormat="false" ht="15" hidden="false" customHeight="false" outlineLevel="0" collapsed="false">
      <c r="A13544" s="7" t="s">
        <v>30</v>
      </c>
      <c r="B13544" s="7" t="s">
        <v>227</v>
      </c>
      <c r="C13544" s="7" t="s">
        <v>1144</v>
      </c>
      <c r="D13544" s="7" t="n">
        <v>2</v>
      </c>
      <c r="E13544" s="7" t="n">
        <v>55.61</v>
      </c>
      <c r="F13544" s="7" t="n">
        <v>0</v>
      </c>
      <c r="G13544" s="7" t="n">
        <v>0</v>
      </c>
    </row>
    <row r="13545" customFormat="false" ht="15" hidden="false" customHeight="false" outlineLevel="0" collapsed="false">
      <c r="A13545" s="7" t="s">
        <v>30</v>
      </c>
      <c r="B13545" s="7" t="s">
        <v>798</v>
      </c>
      <c r="C13545" s="7" t="s">
        <v>1219</v>
      </c>
      <c r="D13545" s="7" t="n">
        <v>0</v>
      </c>
      <c r="E13545" s="7" t="n">
        <v>0</v>
      </c>
      <c r="F13545" s="7" t="n">
        <v>3</v>
      </c>
      <c r="G13545" s="7" t="n">
        <v>29.23</v>
      </c>
    </row>
    <row r="13546" customFormat="false" ht="15" hidden="false" customHeight="false" outlineLevel="0" collapsed="false">
      <c r="A13546" s="7" t="s">
        <v>30</v>
      </c>
      <c r="B13546" s="7" t="s">
        <v>798</v>
      </c>
      <c r="C13546" s="7" t="s">
        <v>1219</v>
      </c>
      <c r="D13546" s="7" t="n">
        <v>2</v>
      </c>
      <c r="E13546" s="7" t="n">
        <v>20.05</v>
      </c>
      <c r="F13546" s="7" t="n">
        <v>0</v>
      </c>
      <c r="G13546" s="7" t="n">
        <v>0</v>
      </c>
    </row>
    <row r="13547" customFormat="false" ht="15" hidden="false" customHeight="false" outlineLevel="0" collapsed="false">
      <c r="A13547" s="7" t="s">
        <v>30</v>
      </c>
      <c r="B13547" s="7" t="s">
        <v>563</v>
      </c>
      <c r="C13547" s="7" t="s">
        <v>1150</v>
      </c>
      <c r="D13547" s="7" t="n">
        <v>10</v>
      </c>
      <c r="E13547" s="7" t="n">
        <v>98.37</v>
      </c>
      <c r="F13547" s="7" t="n">
        <v>0</v>
      </c>
      <c r="G13547" s="7" t="n">
        <v>0</v>
      </c>
    </row>
    <row r="13548" customFormat="false" ht="15" hidden="false" customHeight="false" outlineLevel="0" collapsed="false">
      <c r="A13548" s="7" t="s">
        <v>30</v>
      </c>
      <c r="B13548" s="7" t="s">
        <v>563</v>
      </c>
      <c r="C13548" s="7" t="s">
        <v>1150</v>
      </c>
      <c r="D13548" s="7" t="n">
        <v>5</v>
      </c>
      <c r="E13548" s="7" t="n">
        <v>51.17</v>
      </c>
      <c r="F13548" s="7" t="n">
        <v>0</v>
      </c>
      <c r="G13548" s="7" t="n">
        <v>0</v>
      </c>
    </row>
    <row r="13549" customFormat="false" ht="15" hidden="false" customHeight="false" outlineLevel="0" collapsed="false">
      <c r="A13549" s="7" t="s">
        <v>30</v>
      </c>
      <c r="B13549" s="7" t="s">
        <v>563</v>
      </c>
      <c r="C13549" s="7" t="s">
        <v>1150</v>
      </c>
      <c r="D13549" s="7" t="n">
        <v>0</v>
      </c>
      <c r="E13549" s="7" t="n">
        <v>0</v>
      </c>
      <c r="F13549" s="7" t="n">
        <v>5</v>
      </c>
      <c r="G13549" s="7" t="n">
        <v>50.25</v>
      </c>
    </row>
    <row r="13550" customFormat="false" ht="15" hidden="false" customHeight="false" outlineLevel="0" collapsed="false">
      <c r="A13550" s="7" t="s">
        <v>30</v>
      </c>
      <c r="B13550" s="7" t="s">
        <v>563</v>
      </c>
      <c r="C13550" s="7" t="s">
        <v>1150</v>
      </c>
      <c r="D13550" s="7" t="n">
        <v>20</v>
      </c>
      <c r="E13550" s="7" t="n">
        <v>196.34</v>
      </c>
      <c r="F13550" s="7" t="n">
        <v>0</v>
      </c>
      <c r="G13550" s="7" t="n">
        <v>0</v>
      </c>
    </row>
    <row r="13551" customFormat="false" ht="15" hidden="false" customHeight="false" outlineLevel="0" collapsed="false">
      <c r="A13551" s="7" t="s">
        <v>30</v>
      </c>
      <c r="B13551" s="7" t="s">
        <v>563</v>
      </c>
      <c r="C13551" s="7" t="s">
        <v>1150</v>
      </c>
      <c r="D13551" s="7" t="n">
        <v>5</v>
      </c>
      <c r="E13551" s="7" t="n">
        <v>51</v>
      </c>
      <c r="F13551" s="7" t="n">
        <v>0</v>
      </c>
      <c r="G13551" s="7" t="n">
        <v>0</v>
      </c>
    </row>
    <row r="13552" customFormat="false" ht="15" hidden="false" customHeight="false" outlineLevel="0" collapsed="false">
      <c r="A13552" s="7" t="s">
        <v>30</v>
      </c>
      <c r="B13552" s="7" t="s">
        <v>563</v>
      </c>
      <c r="C13552" s="7" t="s">
        <v>1150</v>
      </c>
      <c r="D13552" s="7" t="n">
        <v>0</v>
      </c>
      <c r="E13552" s="7" t="n">
        <v>0</v>
      </c>
      <c r="F13552" s="7" t="n">
        <v>12</v>
      </c>
      <c r="G13552" s="7" t="n">
        <v>118.17</v>
      </c>
    </row>
    <row r="13553" customFormat="false" ht="15" hidden="false" customHeight="false" outlineLevel="0" collapsed="false">
      <c r="A13553" s="7" t="s">
        <v>30</v>
      </c>
      <c r="B13553" s="7" t="s">
        <v>563</v>
      </c>
      <c r="C13553" s="7" t="s">
        <v>1150</v>
      </c>
      <c r="D13553" s="7" t="n">
        <v>5</v>
      </c>
      <c r="E13553" s="7" t="n">
        <v>49.9</v>
      </c>
      <c r="F13553" s="7" t="n">
        <v>0</v>
      </c>
      <c r="G13553" s="7" t="n">
        <v>0</v>
      </c>
    </row>
    <row r="13554" customFormat="false" ht="15" hidden="false" customHeight="false" outlineLevel="0" collapsed="false">
      <c r="A13554" s="7" t="s">
        <v>30</v>
      </c>
      <c r="B13554" s="7" t="s">
        <v>563</v>
      </c>
      <c r="C13554" s="7" t="s">
        <v>1150</v>
      </c>
      <c r="D13554" s="7" t="n">
        <v>0</v>
      </c>
      <c r="E13554" s="7" t="n">
        <v>0</v>
      </c>
      <c r="F13554" s="7" t="n">
        <v>5</v>
      </c>
      <c r="G13554" s="7" t="n">
        <v>50.48</v>
      </c>
    </row>
    <row r="13555" customFormat="false" ht="15" hidden="false" customHeight="false" outlineLevel="0" collapsed="false">
      <c r="A13555" s="7" t="s">
        <v>30</v>
      </c>
      <c r="B13555" s="7" t="s">
        <v>563</v>
      </c>
      <c r="C13555" s="7" t="s">
        <v>1150</v>
      </c>
      <c r="D13555" s="7" t="n">
        <v>3</v>
      </c>
      <c r="E13555" s="7" t="n">
        <v>32.26</v>
      </c>
      <c r="F13555" s="7" t="n">
        <v>0</v>
      </c>
      <c r="G13555" s="7" t="n">
        <v>0</v>
      </c>
    </row>
    <row r="13556" customFormat="false" ht="15" hidden="false" customHeight="false" outlineLevel="0" collapsed="false">
      <c r="A13556" s="7" t="s">
        <v>30</v>
      </c>
      <c r="B13556" s="7" t="s">
        <v>563</v>
      </c>
      <c r="C13556" s="7" t="s">
        <v>1150</v>
      </c>
      <c r="D13556" s="7" t="n">
        <v>0</v>
      </c>
      <c r="E13556" s="7" t="n">
        <v>0</v>
      </c>
      <c r="F13556" s="7" t="n">
        <v>12</v>
      </c>
      <c r="G13556" s="7" t="n">
        <v>118.97</v>
      </c>
    </row>
    <row r="13557" customFormat="false" ht="15" hidden="false" customHeight="false" outlineLevel="0" collapsed="false">
      <c r="A13557" s="7" t="s">
        <v>30</v>
      </c>
      <c r="B13557" s="7" t="s">
        <v>563</v>
      </c>
      <c r="C13557" s="7" t="s">
        <v>1150</v>
      </c>
      <c r="D13557" s="7" t="n">
        <v>30</v>
      </c>
      <c r="E13557" s="7" t="n">
        <v>309.24</v>
      </c>
      <c r="F13557" s="7" t="n">
        <v>0</v>
      </c>
      <c r="G13557" s="7" t="n">
        <v>0</v>
      </c>
    </row>
    <row r="13558" customFormat="false" ht="15" hidden="false" customHeight="false" outlineLevel="0" collapsed="false">
      <c r="A13558" s="7" t="s">
        <v>30</v>
      </c>
      <c r="B13558" s="7" t="s">
        <v>563</v>
      </c>
      <c r="C13558" s="7" t="s">
        <v>1150</v>
      </c>
      <c r="D13558" s="7" t="n">
        <v>15</v>
      </c>
      <c r="E13558" s="7" t="n">
        <v>159.98</v>
      </c>
      <c r="F13558" s="7" t="n">
        <v>0</v>
      </c>
      <c r="G13558" s="7" t="n">
        <v>0</v>
      </c>
    </row>
    <row r="13559" customFormat="false" ht="15" hidden="false" customHeight="false" outlineLevel="0" collapsed="false">
      <c r="A13559" s="7" t="s">
        <v>30</v>
      </c>
      <c r="B13559" s="7" t="s">
        <v>522</v>
      </c>
      <c r="C13559" s="7" t="s">
        <v>1150</v>
      </c>
      <c r="D13559" s="7" t="n">
        <v>5</v>
      </c>
      <c r="E13559" s="7" t="n">
        <v>49.9</v>
      </c>
      <c r="F13559" s="7" t="n">
        <v>0</v>
      </c>
      <c r="G13559" s="7" t="n">
        <v>0</v>
      </c>
    </row>
    <row r="13560" customFormat="false" ht="15" hidden="false" customHeight="false" outlineLevel="0" collapsed="false">
      <c r="A13560" s="7" t="s">
        <v>30</v>
      </c>
      <c r="B13560" s="7" t="s">
        <v>522</v>
      </c>
      <c r="C13560" s="7" t="s">
        <v>1150</v>
      </c>
      <c r="D13560" s="7" t="n">
        <v>5</v>
      </c>
      <c r="E13560" s="7" t="n">
        <v>51</v>
      </c>
      <c r="F13560" s="7" t="n">
        <v>0</v>
      </c>
      <c r="G13560" s="7" t="n">
        <v>0</v>
      </c>
    </row>
    <row r="13561" customFormat="false" ht="15" hidden="false" customHeight="false" outlineLevel="0" collapsed="false">
      <c r="A13561" s="7" t="s">
        <v>30</v>
      </c>
      <c r="B13561" s="7" t="s">
        <v>522</v>
      </c>
      <c r="C13561" s="7" t="s">
        <v>1150</v>
      </c>
      <c r="D13561" s="7" t="n">
        <v>5</v>
      </c>
      <c r="E13561" s="7" t="n">
        <v>49.18</v>
      </c>
      <c r="F13561" s="7" t="n">
        <v>0</v>
      </c>
      <c r="G13561" s="7" t="n">
        <v>0</v>
      </c>
    </row>
    <row r="13562" customFormat="false" ht="15" hidden="false" customHeight="false" outlineLevel="0" collapsed="false">
      <c r="A13562" s="7" t="s">
        <v>30</v>
      </c>
      <c r="B13562" s="7" t="s">
        <v>522</v>
      </c>
      <c r="C13562" s="7" t="s">
        <v>1150</v>
      </c>
      <c r="D13562" s="7" t="n">
        <v>2</v>
      </c>
      <c r="E13562" s="7" t="n">
        <v>20.55</v>
      </c>
      <c r="F13562" s="7" t="n">
        <v>0</v>
      </c>
      <c r="G13562" s="7" t="n">
        <v>0</v>
      </c>
    </row>
    <row r="13563" customFormat="false" ht="15" hidden="false" customHeight="false" outlineLevel="0" collapsed="false">
      <c r="A13563" s="7" t="s">
        <v>30</v>
      </c>
      <c r="B13563" s="7" t="s">
        <v>522</v>
      </c>
      <c r="C13563" s="7" t="s">
        <v>1150</v>
      </c>
      <c r="D13563" s="7" t="n">
        <v>26</v>
      </c>
      <c r="E13563" s="7" t="n">
        <v>268</v>
      </c>
      <c r="F13563" s="7" t="n">
        <v>0</v>
      </c>
      <c r="G13563" s="7" t="n">
        <v>0</v>
      </c>
    </row>
    <row r="13564" customFormat="false" ht="15" hidden="false" customHeight="false" outlineLevel="0" collapsed="false">
      <c r="A13564" s="7" t="s">
        <v>30</v>
      </c>
      <c r="B13564" s="7" t="s">
        <v>522</v>
      </c>
      <c r="C13564" s="7" t="s">
        <v>1150</v>
      </c>
      <c r="D13564" s="7" t="n">
        <v>50</v>
      </c>
      <c r="E13564" s="7" t="n">
        <v>490.85</v>
      </c>
      <c r="F13564" s="7" t="n">
        <v>0</v>
      </c>
      <c r="G13564" s="7" t="n">
        <v>0</v>
      </c>
    </row>
    <row r="13565" customFormat="false" ht="15" hidden="false" customHeight="false" outlineLevel="0" collapsed="false">
      <c r="A13565" s="7" t="s">
        <v>30</v>
      </c>
      <c r="B13565" s="7" t="s">
        <v>522</v>
      </c>
      <c r="C13565" s="7" t="s">
        <v>1150</v>
      </c>
      <c r="D13565" s="7" t="n">
        <v>3</v>
      </c>
      <c r="E13565" s="7" t="n">
        <v>30.7</v>
      </c>
      <c r="F13565" s="7" t="n">
        <v>0</v>
      </c>
      <c r="G13565" s="7" t="n">
        <v>0</v>
      </c>
    </row>
    <row r="13566" customFormat="false" ht="15" hidden="false" customHeight="false" outlineLevel="0" collapsed="false">
      <c r="A13566" s="7" t="s">
        <v>30</v>
      </c>
      <c r="B13566" s="7" t="s">
        <v>512</v>
      </c>
      <c r="C13566" s="7" t="s">
        <v>1150</v>
      </c>
      <c r="D13566" s="7" t="n">
        <v>0</v>
      </c>
      <c r="E13566" s="7" t="n">
        <v>0</v>
      </c>
      <c r="F13566" s="7" t="n">
        <v>6</v>
      </c>
      <c r="G13566" s="7" t="n">
        <v>59.09</v>
      </c>
    </row>
    <row r="13567" customFormat="false" ht="15" hidden="false" customHeight="false" outlineLevel="0" collapsed="false">
      <c r="A13567" s="7" t="s">
        <v>30</v>
      </c>
      <c r="B13567" s="7" t="s">
        <v>512</v>
      </c>
      <c r="C13567" s="7" t="s">
        <v>1150</v>
      </c>
      <c r="D13567" s="7" t="n">
        <v>2</v>
      </c>
      <c r="E13567" s="7" t="n">
        <v>20.4</v>
      </c>
      <c r="F13567" s="7" t="n">
        <v>0</v>
      </c>
      <c r="G13567" s="7" t="n">
        <v>0</v>
      </c>
    </row>
    <row r="13568" customFormat="false" ht="15" hidden="false" customHeight="false" outlineLevel="0" collapsed="false">
      <c r="A13568" s="7" t="s">
        <v>30</v>
      </c>
      <c r="B13568" s="7" t="s">
        <v>512</v>
      </c>
      <c r="C13568" s="7" t="s">
        <v>1150</v>
      </c>
      <c r="D13568" s="7" t="n">
        <v>5</v>
      </c>
      <c r="E13568" s="7" t="n">
        <v>53.32</v>
      </c>
      <c r="F13568" s="7" t="n">
        <v>0</v>
      </c>
      <c r="G13568" s="7" t="n">
        <v>0</v>
      </c>
    </row>
    <row r="13569" customFormat="false" ht="15" hidden="false" customHeight="false" outlineLevel="0" collapsed="false">
      <c r="A13569" s="7" t="s">
        <v>30</v>
      </c>
      <c r="B13569" s="7" t="s">
        <v>512</v>
      </c>
      <c r="C13569" s="7" t="s">
        <v>1150</v>
      </c>
      <c r="D13569" s="7" t="n">
        <v>2</v>
      </c>
      <c r="E13569" s="7" t="n">
        <v>20.55</v>
      </c>
      <c r="F13569" s="7" t="n">
        <v>0</v>
      </c>
      <c r="G13569" s="7" t="n">
        <v>0</v>
      </c>
    </row>
    <row r="13570" customFormat="false" ht="15" hidden="false" customHeight="false" outlineLevel="0" collapsed="false">
      <c r="A13570" s="7" t="s">
        <v>30</v>
      </c>
      <c r="B13570" s="7" t="s">
        <v>512</v>
      </c>
      <c r="C13570" s="7" t="s">
        <v>1150</v>
      </c>
      <c r="D13570" s="7" t="n">
        <v>5</v>
      </c>
      <c r="E13570" s="7" t="n">
        <v>49.09</v>
      </c>
      <c r="F13570" s="7" t="n">
        <v>0</v>
      </c>
      <c r="G13570" s="7" t="n">
        <v>0</v>
      </c>
    </row>
    <row r="13571" customFormat="false" ht="15" hidden="false" customHeight="false" outlineLevel="0" collapsed="false">
      <c r="A13571" s="7" t="s">
        <v>30</v>
      </c>
      <c r="B13571" s="7" t="s">
        <v>512</v>
      </c>
      <c r="C13571" s="7" t="s">
        <v>1150</v>
      </c>
      <c r="D13571" s="7" t="n">
        <v>17</v>
      </c>
      <c r="E13571" s="7" t="n">
        <v>175.24</v>
      </c>
      <c r="F13571" s="7" t="n">
        <v>0</v>
      </c>
      <c r="G13571" s="7" t="n">
        <v>0</v>
      </c>
    </row>
    <row r="13572" customFormat="false" ht="15" hidden="false" customHeight="false" outlineLevel="0" collapsed="false">
      <c r="A13572" s="7" t="s">
        <v>30</v>
      </c>
      <c r="B13572" s="7" t="s">
        <v>401</v>
      </c>
      <c r="C13572" s="7" t="s">
        <v>1150</v>
      </c>
      <c r="D13572" s="7" t="n">
        <v>0</v>
      </c>
      <c r="E13572" s="7" t="n">
        <v>0</v>
      </c>
      <c r="F13572" s="7" t="n">
        <v>5</v>
      </c>
      <c r="G13572" s="7" t="n">
        <v>49.57</v>
      </c>
    </row>
    <row r="13573" customFormat="false" ht="15" hidden="false" customHeight="false" outlineLevel="0" collapsed="false">
      <c r="A13573" s="7" t="s">
        <v>30</v>
      </c>
      <c r="B13573" s="7" t="s">
        <v>401</v>
      </c>
      <c r="C13573" s="7" t="s">
        <v>1150</v>
      </c>
      <c r="D13573" s="7" t="n">
        <v>5</v>
      </c>
      <c r="E13573" s="7" t="n">
        <v>51.86</v>
      </c>
      <c r="F13573" s="7" t="n">
        <v>0</v>
      </c>
      <c r="G13573" s="7" t="n">
        <v>0</v>
      </c>
    </row>
    <row r="13574" customFormat="false" ht="15" hidden="false" customHeight="false" outlineLevel="0" collapsed="false">
      <c r="A13574" s="7" t="s">
        <v>30</v>
      </c>
      <c r="B13574" s="7" t="s">
        <v>401</v>
      </c>
      <c r="C13574" s="7" t="s">
        <v>1150</v>
      </c>
      <c r="D13574" s="7" t="n">
        <v>37</v>
      </c>
      <c r="E13574" s="7" t="n">
        <v>381.39</v>
      </c>
      <c r="F13574" s="7" t="n">
        <v>0</v>
      </c>
      <c r="G13574" s="7" t="n">
        <v>0</v>
      </c>
    </row>
    <row r="13575" customFormat="false" ht="15" hidden="false" customHeight="false" outlineLevel="0" collapsed="false">
      <c r="A13575" s="7" t="s">
        <v>30</v>
      </c>
      <c r="B13575" s="7" t="s">
        <v>401</v>
      </c>
      <c r="C13575" s="7" t="s">
        <v>1150</v>
      </c>
      <c r="D13575" s="7" t="n">
        <v>10</v>
      </c>
      <c r="E13575" s="7" t="n">
        <v>98.17</v>
      </c>
      <c r="F13575" s="7" t="n">
        <v>0</v>
      </c>
      <c r="G13575" s="7" t="n">
        <v>0</v>
      </c>
    </row>
    <row r="13576" customFormat="false" ht="15" hidden="false" customHeight="false" outlineLevel="0" collapsed="false">
      <c r="A13576" s="7" t="s">
        <v>30</v>
      </c>
      <c r="B13576" s="7" t="s">
        <v>401</v>
      </c>
      <c r="C13576" s="7" t="s">
        <v>1150</v>
      </c>
      <c r="D13576" s="7" t="n">
        <v>3</v>
      </c>
      <c r="E13576" s="7" t="n">
        <v>30.7</v>
      </c>
      <c r="F13576" s="7" t="n">
        <v>0</v>
      </c>
      <c r="G13576" s="7" t="n">
        <v>0</v>
      </c>
    </row>
    <row r="13577" customFormat="false" ht="15" hidden="false" customHeight="false" outlineLevel="0" collapsed="false">
      <c r="A13577" s="7" t="s">
        <v>30</v>
      </c>
      <c r="B13577" s="7" t="s">
        <v>401</v>
      </c>
      <c r="C13577" s="7" t="s">
        <v>1150</v>
      </c>
      <c r="D13577" s="7" t="n">
        <v>2</v>
      </c>
      <c r="E13577" s="7" t="n">
        <v>20.4</v>
      </c>
      <c r="F13577" s="7" t="n">
        <v>0</v>
      </c>
      <c r="G13577" s="7" t="n">
        <v>0</v>
      </c>
    </row>
    <row r="13578" customFormat="false" ht="15" hidden="false" customHeight="false" outlineLevel="0" collapsed="false">
      <c r="A13578" s="7" t="s">
        <v>30</v>
      </c>
      <c r="B13578" s="7" t="s">
        <v>401</v>
      </c>
      <c r="C13578" s="7" t="s">
        <v>1150</v>
      </c>
      <c r="D13578" s="7" t="n">
        <v>10</v>
      </c>
      <c r="E13578" s="7" t="n">
        <v>98.37</v>
      </c>
      <c r="F13578" s="7" t="n">
        <v>0</v>
      </c>
      <c r="G13578" s="7" t="n">
        <v>0</v>
      </c>
    </row>
    <row r="13579" customFormat="false" ht="15" hidden="false" customHeight="false" outlineLevel="0" collapsed="false">
      <c r="A13579" s="7" t="s">
        <v>30</v>
      </c>
      <c r="B13579" s="7" t="s">
        <v>401</v>
      </c>
      <c r="C13579" s="7" t="s">
        <v>1150</v>
      </c>
      <c r="D13579" s="7" t="n">
        <v>0</v>
      </c>
      <c r="E13579" s="7" t="n">
        <v>0</v>
      </c>
      <c r="F13579" s="7" t="n">
        <v>15</v>
      </c>
      <c r="G13579" s="7" t="n">
        <v>150.76</v>
      </c>
    </row>
    <row r="13580" customFormat="false" ht="15" hidden="false" customHeight="false" outlineLevel="0" collapsed="false">
      <c r="A13580" s="7" t="s">
        <v>30</v>
      </c>
      <c r="B13580" s="7" t="s">
        <v>401</v>
      </c>
      <c r="C13580" s="7" t="s">
        <v>1150</v>
      </c>
      <c r="D13580" s="7" t="n">
        <v>10</v>
      </c>
      <c r="E13580" s="7" t="n">
        <v>99.79</v>
      </c>
      <c r="F13580" s="7" t="n">
        <v>0</v>
      </c>
      <c r="G13580" s="7" t="n">
        <v>0</v>
      </c>
    </row>
    <row r="13581" customFormat="false" ht="15" hidden="false" customHeight="false" outlineLevel="0" collapsed="false">
      <c r="A13581" s="7" t="s">
        <v>30</v>
      </c>
      <c r="B13581" s="7" t="s">
        <v>401</v>
      </c>
      <c r="C13581" s="7" t="s">
        <v>1150</v>
      </c>
      <c r="D13581" s="7" t="n">
        <v>2</v>
      </c>
      <c r="E13581" s="7" t="n">
        <v>20.55</v>
      </c>
      <c r="F13581" s="7" t="n">
        <v>0</v>
      </c>
      <c r="G13581" s="7" t="n">
        <v>0</v>
      </c>
    </row>
    <row r="13582" customFormat="false" ht="15" hidden="false" customHeight="false" outlineLevel="0" collapsed="false">
      <c r="A13582" s="7" t="s">
        <v>30</v>
      </c>
      <c r="B13582" s="7" t="s">
        <v>401</v>
      </c>
      <c r="C13582" s="7" t="s">
        <v>1150</v>
      </c>
      <c r="D13582" s="7" t="n">
        <v>12</v>
      </c>
      <c r="E13582" s="7" t="n">
        <v>127.99</v>
      </c>
      <c r="F13582" s="7" t="n">
        <v>0</v>
      </c>
      <c r="G13582" s="7" t="n">
        <v>0</v>
      </c>
    </row>
    <row r="13583" customFormat="false" ht="15" hidden="false" customHeight="false" outlineLevel="0" collapsed="false">
      <c r="A13583" s="7" t="s">
        <v>30</v>
      </c>
      <c r="B13583" s="7" t="s">
        <v>639</v>
      </c>
      <c r="C13583" s="7" t="s">
        <v>1224</v>
      </c>
      <c r="D13583" s="7" t="n">
        <v>7</v>
      </c>
      <c r="E13583" s="7" t="n">
        <v>225.32</v>
      </c>
      <c r="F13583" s="7" t="n">
        <v>0</v>
      </c>
      <c r="G13583" s="7" t="n">
        <v>0</v>
      </c>
    </row>
    <row r="13584" customFormat="false" ht="15" hidden="false" customHeight="false" outlineLevel="0" collapsed="false">
      <c r="A13584" s="7" t="s">
        <v>30</v>
      </c>
      <c r="B13584" s="7" t="s">
        <v>639</v>
      </c>
      <c r="C13584" s="7" t="s">
        <v>1224</v>
      </c>
      <c r="D13584" s="7" t="n">
        <v>4</v>
      </c>
      <c r="E13584" s="7" t="n">
        <v>132.4</v>
      </c>
      <c r="F13584" s="7" t="n">
        <v>0</v>
      </c>
      <c r="G13584" s="7" t="n">
        <v>0</v>
      </c>
    </row>
    <row r="13585" customFormat="false" ht="15" hidden="false" customHeight="false" outlineLevel="0" collapsed="false">
      <c r="A13585" s="7" t="s">
        <v>30</v>
      </c>
      <c r="B13585" s="7" t="s">
        <v>159</v>
      </c>
      <c r="C13585" s="7" t="s">
        <v>1087</v>
      </c>
      <c r="D13585" s="7" t="n">
        <v>15</v>
      </c>
      <c r="E13585" s="7" t="n">
        <v>214.6</v>
      </c>
      <c r="F13585" s="7" t="n">
        <v>0</v>
      </c>
      <c r="G13585" s="7" t="n">
        <v>0</v>
      </c>
    </row>
    <row r="13586" customFormat="false" ht="15" hidden="false" customHeight="false" outlineLevel="0" collapsed="false">
      <c r="A13586" s="7" t="s">
        <v>30</v>
      </c>
      <c r="B13586" s="7" t="s">
        <v>159</v>
      </c>
      <c r="C13586" s="7" t="s">
        <v>1087</v>
      </c>
      <c r="D13586" s="7" t="n">
        <v>0</v>
      </c>
      <c r="E13586" s="7" t="n">
        <v>0</v>
      </c>
      <c r="F13586" s="7" t="n">
        <v>5</v>
      </c>
      <c r="G13586" s="7" t="n">
        <v>74.3</v>
      </c>
    </row>
    <row r="13587" customFormat="false" ht="15" hidden="false" customHeight="false" outlineLevel="0" collapsed="false">
      <c r="A13587" s="7" t="s">
        <v>30</v>
      </c>
      <c r="B13587" s="7" t="s">
        <v>159</v>
      </c>
      <c r="C13587" s="7" t="s">
        <v>1087</v>
      </c>
      <c r="D13587" s="7" t="n">
        <v>0</v>
      </c>
      <c r="E13587" s="7" t="n">
        <v>0</v>
      </c>
      <c r="F13587" s="7" t="n">
        <v>5</v>
      </c>
      <c r="G13587" s="7" t="n">
        <v>69.32</v>
      </c>
    </row>
    <row r="13588" customFormat="false" ht="15" hidden="false" customHeight="false" outlineLevel="0" collapsed="false">
      <c r="A13588" s="7" t="s">
        <v>30</v>
      </c>
      <c r="B13588" s="7" t="s">
        <v>159</v>
      </c>
      <c r="C13588" s="7" t="s">
        <v>1087</v>
      </c>
      <c r="D13588" s="7" t="n">
        <v>0</v>
      </c>
      <c r="E13588" s="7" t="n">
        <v>0</v>
      </c>
      <c r="F13588" s="7" t="n">
        <v>18</v>
      </c>
      <c r="G13588" s="7" t="n">
        <v>261.79</v>
      </c>
    </row>
    <row r="13589" customFormat="false" ht="15" hidden="false" customHeight="false" outlineLevel="0" collapsed="false">
      <c r="A13589" s="7" t="s">
        <v>30</v>
      </c>
      <c r="B13589" s="7" t="s">
        <v>159</v>
      </c>
      <c r="C13589" s="7" t="s">
        <v>1087</v>
      </c>
      <c r="D13589" s="7" t="n">
        <v>2</v>
      </c>
      <c r="E13589" s="7" t="n">
        <v>27.13</v>
      </c>
      <c r="F13589" s="7" t="n">
        <v>0</v>
      </c>
      <c r="G13589" s="7" t="n">
        <v>0</v>
      </c>
    </row>
    <row r="13590" customFormat="false" ht="15" hidden="false" customHeight="false" outlineLevel="0" collapsed="false">
      <c r="A13590" s="7" t="s">
        <v>30</v>
      </c>
      <c r="B13590" s="7" t="s">
        <v>159</v>
      </c>
      <c r="C13590" s="7" t="s">
        <v>1087</v>
      </c>
      <c r="D13590" s="7" t="n">
        <v>15</v>
      </c>
      <c r="E13590" s="7" t="n">
        <v>212.53</v>
      </c>
      <c r="F13590" s="7" t="n">
        <v>0</v>
      </c>
      <c r="G13590" s="7" t="n">
        <v>0</v>
      </c>
    </row>
    <row r="13591" customFormat="false" ht="15" hidden="false" customHeight="false" outlineLevel="0" collapsed="false">
      <c r="A13591" s="7" t="s">
        <v>30</v>
      </c>
      <c r="B13591" s="7" t="s">
        <v>159</v>
      </c>
      <c r="C13591" s="7" t="s">
        <v>1087</v>
      </c>
      <c r="D13591" s="7" t="n">
        <v>15</v>
      </c>
      <c r="E13591" s="7" t="n">
        <v>203.11</v>
      </c>
      <c r="F13591" s="7" t="n">
        <v>0</v>
      </c>
      <c r="G13591" s="7" t="n">
        <v>0</v>
      </c>
    </row>
    <row r="13592" customFormat="false" ht="15" hidden="false" customHeight="false" outlineLevel="0" collapsed="false">
      <c r="A13592" s="7" t="s">
        <v>30</v>
      </c>
      <c r="B13592" s="7" t="s">
        <v>159</v>
      </c>
      <c r="C13592" s="7" t="s">
        <v>1087</v>
      </c>
      <c r="D13592" s="7" t="n">
        <v>0</v>
      </c>
      <c r="E13592" s="7" t="n">
        <v>0</v>
      </c>
      <c r="F13592" s="7" t="n">
        <v>15</v>
      </c>
      <c r="G13592" s="7" t="n">
        <v>208.89</v>
      </c>
    </row>
    <row r="13593" customFormat="false" ht="15" hidden="false" customHeight="false" outlineLevel="0" collapsed="false">
      <c r="A13593" s="7" t="s">
        <v>30</v>
      </c>
      <c r="B13593" s="7" t="s">
        <v>159</v>
      </c>
      <c r="C13593" s="7" t="s">
        <v>1087</v>
      </c>
      <c r="D13593" s="7" t="n">
        <v>0</v>
      </c>
      <c r="E13593" s="7" t="n">
        <v>0</v>
      </c>
      <c r="F13593" s="7" t="n">
        <v>12</v>
      </c>
      <c r="G13593" s="7" t="n">
        <v>164.1</v>
      </c>
    </row>
    <row r="13594" customFormat="false" ht="15" hidden="false" customHeight="false" outlineLevel="0" collapsed="false">
      <c r="A13594" s="7" t="s">
        <v>30</v>
      </c>
      <c r="B13594" s="7" t="s">
        <v>159</v>
      </c>
      <c r="C13594" s="7" t="s">
        <v>1087</v>
      </c>
      <c r="D13594" s="7" t="n">
        <v>5</v>
      </c>
      <c r="E13594" s="7" t="n">
        <v>68.82</v>
      </c>
      <c r="F13594" s="7" t="n">
        <v>0</v>
      </c>
      <c r="G13594" s="7" t="n">
        <v>0</v>
      </c>
    </row>
    <row r="13595" customFormat="false" ht="15" hidden="false" customHeight="false" outlineLevel="0" collapsed="false">
      <c r="A13595" s="7" t="s">
        <v>30</v>
      </c>
      <c r="B13595" s="7" t="s">
        <v>159</v>
      </c>
      <c r="C13595" s="7" t="s">
        <v>1087</v>
      </c>
      <c r="D13595" s="7" t="n">
        <v>5</v>
      </c>
      <c r="E13595" s="7" t="n">
        <v>67.08</v>
      </c>
      <c r="F13595" s="7" t="n">
        <v>0</v>
      </c>
      <c r="G13595" s="7" t="n">
        <v>0</v>
      </c>
    </row>
    <row r="13596" customFormat="false" ht="15" hidden="false" customHeight="false" outlineLevel="0" collapsed="false">
      <c r="A13596" s="7" t="s">
        <v>30</v>
      </c>
      <c r="B13596" s="7" t="s">
        <v>159</v>
      </c>
      <c r="C13596" s="7" t="s">
        <v>1087</v>
      </c>
      <c r="D13596" s="7" t="n">
        <v>35</v>
      </c>
      <c r="E13596" s="7" t="n">
        <v>514.89</v>
      </c>
      <c r="F13596" s="7" t="n">
        <v>0</v>
      </c>
      <c r="G13596" s="7" t="n">
        <v>0</v>
      </c>
    </row>
    <row r="13597" customFormat="false" ht="15" hidden="false" customHeight="false" outlineLevel="0" collapsed="false">
      <c r="A13597" s="7" t="s">
        <v>30</v>
      </c>
      <c r="B13597" s="7" t="s">
        <v>159</v>
      </c>
      <c r="C13597" s="7" t="s">
        <v>1087</v>
      </c>
      <c r="D13597" s="7" t="n">
        <v>35</v>
      </c>
      <c r="E13597" s="7" t="n">
        <v>494.06</v>
      </c>
      <c r="F13597" s="7" t="n">
        <v>0</v>
      </c>
      <c r="G13597" s="7" t="n">
        <v>0</v>
      </c>
    </row>
    <row r="13598" customFormat="false" ht="15" hidden="false" customHeight="false" outlineLevel="0" collapsed="false">
      <c r="A13598" s="7" t="s">
        <v>30</v>
      </c>
      <c r="B13598" s="7" t="s">
        <v>159</v>
      </c>
      <c r="C13598" s="7" t="s">
        <v>1087</v>
      </c>
      <c r="D13598" s="7" t="n">
        <v>0</v>
      </c>
      <c r="E13598" s="7" t="n">
        <v>0</v>
      </c>
      <c r="F13598" s="7" t="n">
        <v>10</v>
      </c>
      <c r="G13598" s="7" t="n">
        <v>138.64</v>
      </c>
    </row>
    <row r="13599" customFormat="false" ht="15" hidden="false" customHeight="false" outlineLevel="0" collapsed="false">
      <c r="A13599" s="7" t="s">
        <v>30</v>
      </c>
      <c r="B13599" s="7" t="s">
        <v>159</v>
      </c>
      <c r="C13599" s="7" t="s">
        <v>1087</v>
      </c>
      <c r="D13599" s="7" t="n">
        <v>0</v>
      </c>
      <c r="E13599" s="7" t="n">
        <v>0</v>
      </c>
      <c r="F13599" s="7" t="n">
        <v>20</v>
      </c>
      <c r="G13599" s="7" t="n">
        <v>271.66</v>
      </c>
    </row>
    <row r="13600" customFormat="false" ht="15" hidden="false" customHeight="false" outlineLevel="0" collapsed="false">
      <c r="A13600" s="7" t="s">
        <v>30</v>
      </c>
      <c r="B13600" s="7" t="s">
        <v>159</v>
      </c>
      <c r="C13600" s="7" t="s">
        <v>1087</v>
      </c>
      <c r="D13600" s="7" t="n">
        <v>10</v>
      </c>
      <c r="E13600" s="7" t="n">
        <v>148.32</v>
      </c>
      <c r="F13600" s="7" t="n">
        <v>0</v>
      </c>
      <c r="G13600" s="7" t="n">
        <v>0</v>
      </c>
    </row>
    <row r="13601" customFormat="false" ht="15" hidden="false" customHeight="false" outlineLevel="0" collapsed="false">
      <c r="A13601" s="7" t="s">
        <v>30</v>
      </c>
      <c r="B13601" s="7" t="s">
        <v>185</v>
      </c>
      <c r="C13601" s="7" t="s">
        <v>1053</v>
      </c>
      <c r="D13601" s="7" t="n">
        <v>14</v>
      </c>
      <c r="E13601" s="7" t="n">
        <v>226.55</v>
      </c>
      <c r="F13601" s="7" t="n">
        <v>0</v>
      </c>
      <c r="G13601" s="7" t="n">
        <v>0</v>
      </c>
    </row>
    <row r="13602" customFormat="false" ht="15" hidden="false" customHeight="false" outlineLevel="0" collapsed="false">
      <c r="A13602" s="7" t="s">
        <v>30</v>
      </c>
      <c r="B13602" s="7" t="s">
        <v>185</v>
      </c>
      <c r="C13602" s="7" t="s">
        <v>1053</v>
      </c>
      <c r="D13602" s="7" t="n">
        <v>0</v>
      </c>
      <c r="E13602" s="7" t="n">
        <v>0</v>
      </c>
      <c r="F13602" s="7" t="n">
        <v>10</v>
      </c>
      <c r="G13602" s="7" t="n">
        <v>150.42</v>
      </c>
    </row>
    <row r="13603" customFormat="false" ht="15" hidden="false" customHeight="false" outlineLevel="0" collapsed="false">
      <c r="A13603" s="7" t="s">
        <v>30</v>
      </c>
      <c r="B13603" s="7" t="s">
        <v>185</v>
      </c>
      <c r="C13603" s="7" t="s">
        <v>1053</v>
      </c>
      <c r="D13603" s="7" t="n">
        <v>0</v>
      </c>
      <c r="E13603" s="7" t="n">
        <v>0</v>
      </c>
      <c r="F13603" s="7" t="n">
        <v>10</v>
      </c>
      <c r="G13603" s="7" t="n">
        <v>159.98</v>
      </c>
    </row>
    <row r="13604" customFormat="false" ht="15" hidden="false" customHeight="false" outlineLevel="0" collapsed="false">
      <c r="A13604" s="7" t="s">
        <v>30</v>
      </c>
      <c r="B13604" s="7" t="s">
        <v>185</v>
      </c>
      <c r="C13604" s="7" t="s">
        <v>1053</v>
      </c>
      <c r="D13604" s="7" t="n">
        <v>0</v>
      </c>
      <c r="E13604" s="7" t="n">
        <v>0</v>
      </c>
      <c r="F13604" s="7" t="n">
        <v>20</v>
      </c>
      <c r="G13604" s="7" t="n">
        <v>304.99</v>
      </c>
    </row>
    <row r="13605" customFormat="false" ht="15" hidden="false" customHeight="false" outlineLevel="0" collapsed="false">
      <c r="A13605" s="7" t="s">
        <v>30</v>
      </c>
      <c r="B13605" s="7" t="s">
        <v>185</v>
      </c>
      <c r="C13605" s="7" t="s">
        <v>1053</v>
      </c>
      <c r="D13605" s="7" t="n">
        <v>0</v>
      </c>
      <c r="E13605" s="7" t="n">
        <v>0</v>
      </c>
      <c r="F13605" s="7" t="n">
        <v>10</v>
      </c>
      <c r="G13605" s="7" t="n">
        <v>153.19</v>
      </c>
    </row>
    <row r="13606" customFormat="false" ht="15" hidden="false" customHeight="false" outlineLevel="0" collapsed="false">
      <c r="A13606" s="7" t="s">
        <v>30</v>
      </c>
      <c r="B13606" s="7" t="s">
        <v>185</v>
      </c>
      <c r="C13606" s="7" t="s">
        <v>1053</v>
      </c>
      <c r="D13606" s="7" t="n">
        <v>25</v>
      </c>
      <c r="E13606" s="7" t="n">
        <v>393.43</v>
      </c>
      <c r="F13606" s="7" t="n">
        <v>0</v>
      </c>
      <c r="G13606" s="7" t="n">
        <v>0</v>
      </c>
    </row>
    <row r="13607" customFormat="false" ht="15" hidden="false" customHeight="false" outlineLevel="0" collapsed="false">
      <c r="A13607" s="7" t="s">
        <v>30</v>
      </c>
      <c r="B13607" s="7" t="s">
        <v>185</v>
      </c>
      <c r="C13607" s="7" t="s">
        <v>1053</v>
      </c>
      <c r="D13607" s="7" t="n">
        <v>10</v>
      </c>
      <c r="E13607" s="7" t="n">
        <v>155.86</v>
      </c>
      <c r="F13607" s="7" t="n">
        <v>0</v>
      </c>
      <c r="G13607" s="7" t="n">
        <v>0</v>
      </c>
    </row>
    <row r="13608" customFormat="false" ht="15" hidden="false" customHeight="false" outlineLevel="0" collapsed="false">
      <c r="A13608" s="7" t="s">
        <v>30</v>
      </c>
      <c r="B13608" s="7" t="s">
        <v>494</v>
      </c>
      <c r="C13608" s="7" t="s">
        <v>1054</v>
      </c>
      <c r="D13608" s="7" t="n">
        <v>0</v>
      </c>
      <c r="E13608" s="7" t="n">
        <v>0</v>
      </c>
      <c r="F13608" s="7" t="n">
        <v>8</v>
      </c>
      <c r="G13608" s="7" t="n">
        <v>98.08</v>
      </c>
    </row>
    <row r="13609" customFormat="false" ht="15" hidden="false" customHeight="false" outlineLevel="0" collapsed="false">
      <c r="A13609" s="7" t="s">
        <v>30</v>
      </c>
      <c r="B13609" s="7" t="s">
        <v>494</v>
      </c>
      <c r="C13609" s="7" t="s">
        <v>1054</v>
      </c>
      <c r="D13609" s="7" t="n">
        <v>10</v>
      </c>
      <c r="E13609" s="7" t="n">
        <v>111.94</v>
      </c>
      <c r="F13609" s="7" t="n">
        <v>0</v>
      </c>
      <c r="G13609" s="7" t="n">
        <v>0</v>
      </c>
    </row>
    <row r="13610" customFormat="false" ht="15" hidden="false" customHeight="false" outlineLevel="0" collapsed="false">
      <c r="A13610" s="7" t="s">
        <v>30</v>
      </c>
      <c r="B13610" s="7" t="s">
        <v>494</v>
      </c>
      <c r="C13610" s="7" t="s">
        <v>1054</v>
      </c>
      <c r="D13610" s="7" t="n">
        <v>6</v>
      </c>
      <c r="E13610" s="7" t="n">
        <v>69.65</v>
      </c>
      <c r="F13610" s="7" t="n">
        <v>0</v>
      </c>
      <c r="G13610" s="7" t="n">
        <v>0</v>
      </c>
    </row>
    <row r="13611" customFormat="false" ht="15" hidden="false" customHeight="false" outlineLevel="0" collapsed="false">
      <c r="A13611" s="7" t="s">
        <v>30</v>
      </c>
      <c r="B13611" s="7" t="s">
        <v>494</v>
      </c>
      <c r="C13611" s="7" t="s">
        <v>1054</v>
      </c>
      <c r="D13611" s="7" t="n">
        <v>10</v>
      </c>
      <c r="E13611" s="7" t="n">
        <v>116.46</v>
      </c>
      <c r="F13611" s="7" t="n">
        <v>0</v>
      </c>
      <c r="G13611" s="7" t="n">
        <v>0</v>
      </c>
    </row>
    <row r="13612" customFormat="false" ht="15" hidden="false" customHeight="false" outlineLevel="0" collapsed="false">
      <c r="A13612" s="7" t="s">
        <v>30</v>
      </c>
      <c r="B13612" s="7" t="s">
        <v>494</v>
      </c>
      <c r="C13612" s="7" t="s">
        <v>1054</v>
      </c>
      <c r="D13612" s="7" t="n">
        <v>5</v>
      </c>
      <c r="E13612" s="7" t="n">
        <v>55.85</v>
      </c>
      <c r="F13612" s="7" t="n">
        <v>0</v>
      </c>
      <c r="G13612" s="7" t="n">
        <v>0</v>
      </c>
    </row>
    <row r="13613" customFormat="false" ht="15" hidden="false" customHeight="false" outlineLevel="0" collapsed="false">
      <c r="A13613" s="7" t="s">
        <v>30</v>
      </c>
      <c r="B13613" s="7" t="s">
        <v>494</v>
      </c>
      <c r="C13613" s="7" t="s">
        <v>1054</v>
      </c>
      <c r="D13613" s="7" t="n">
        <v>10</v>
      </c>
      <c r="E13613" s="7" t="n">
        <v>113.55</v>
      </c>
      <c r="F13613" s="7" t="n">
        <v>0</v>
      </c>
      <c r="G13613" s="7" t="n">
        <v>0</v>
      </c>
    </row>
    <row r="13614" customFormat="false" ht="15" hidden="false" customHeight="false" outlineLevel="0" collapsed="false">
      <c r="A13614" s="7" t="s">
        <v>30</v>
      </c>
      <c r="B13614" s="7" t="s">
        <v>494</v>
      </c>
      <c r="C13614" s="7" t="s">
        <v>1054</v>
      </c>
      <c r="D13614" s="7" t="n">
        <v>0</v>
      </c>
      <c r="E13614" s="7" t="n">
        <v>0</v>
      </c>
      <c r="F13614" s="7" t="n">
        <v>5</v>
      </c>
      <c r="G13614" s="7" t="n">
        <v>56.03</v>
      </c>
    </row>
    <row r="13615" customFormat="false" ht="15" hidden="false" customHeight="false" outlineLevel="0" collapsed="false">
      <c r="A13615" s="7" t="s">
        <v>30</v>
      </c>
      <c r="B13615" s="7" t="s">
        <v>494</v>
      </c>
      <c r="C13615" s="7" t="s">
        <v>1054</v>
      </c>
      <c r="D13615" s="7" t="n">
        <v>0</v>
      </c>
      <c r="E13615" s="7" t="n">
        <v>0</v>
      </c>
      <c r="F13615" s="7" t="n">
        <v>5</v>
      </c>
      <c r="G13615" s="7" t="n">
        <v>56.41</v>
      </c>
    </row>
    <row r="13616" customFormat="false" ht="15" hidden="false" customHeight="false" outlineLevel="0" collapsed="false">
      <c r="A13616" s="7" t="s">
        <v>30</v>
      </c>
      <c r="B13616" s="7" t="s">
        <v>494</v>
      </c>
      <c r="C13616" s="7" t="s">
        <v>1054</v>
      </c>
      <c r="D13616" s="7" t="n">
        <v>0</v>
      </c>
      <c r="E13616" s="7" t="n">
        <v>0</v>
      </c>
      <c r="F13616" s="7" t="n">
        <v>5</v>
      </c>
      <c r="G13616" s="7" t="n">
        <v>57.19</v>
      </c>
    </row>
    <row r="13617" customFormat="false" ht="15" hidden="false" customHeight="false" outlineLevel="0" collapsed="false">
      <c r="A13617" s="7" t="s">
        <v>30</v>
      </c>
      <c r="B13617" s="7" t="s">
        <v>494</v>
      </c>
      <c r="C13617" s="7" t="s">
        <v>1054</v>
      </c>
      <c r="D13617" s="7" t="n">
        <v>10</v>
      </c>
      <c r="E13617" s="7" t="n">
        <v>121.36</v>
      </c>
      <c r="F13617" s="7" t="n">
        <v>0</v>
      </c>
      <c r="G13617" s="7" t="n">
        <v>0</v>
      </c>
    </row>
    <row r="13618" customFormat="false" ht="15" hidden="false" customHeight="false" outlineLevel="0" collapsed="false">
      <c r="A13618" s="7" t="s">
        <v>30</v>
      </c>
      <c r="B13618" s="7" t="s">
        <v>494</v>
      </c>
      <c r="C13618" s="7" t="s">
        <v>1054</v>
      </c>
      <c r="D13618" s="7" t="n">
        <v>0</v>
      </c>
      <c r="E13618" s="7" t="n">
        <v>0</v>
      </c>
      <c r="F13618" s="7" t="n">
        <v>12</v>
      </c>
      <c r="G13618" s="7" t="n">
        <v>143.99</v>
      </c>
    </row>
    <row r="13619" customFormat="false" ht="15" hidden="false" customHeight="false" outlineLevel="0" collapsed="false">
      <c r="A13619" s="7" t="s">
        <v>30</v>
      </c>
      <c r="B13619" s="7" t="s">
        <v>494</v>
      </c>
      <c r="C13619" s="7" t="s">
        <v>1054</v>
      </c>
      <c r="D13619" s="7" t="n">
        <v>10</v>
      </c>
      <c r="E13619" s="7" t="n">
        <v>117.3</v>
      </c>
      <c r="F13619" s="7" t="n">
        <v>0</v>
      </c>
      <c r="G13619" s="7" t="n">
        <v>0</v>
      </c>
    </row>
    <row r="13620" customFormat="false" ht="15" hidden="false" customHeight="false" outlineLevel="0" collapsed="false">
      <c r="A13620" s="7" t="s">
        <v>30</v>
      </c>
      <c r="B13620" s="7" t="s">
        <v>494</v>
      </c>
      <c r="C13620" s="7" t="s">
        <v>1054</v>
      </c>
      <c r="D13620" s="7" t="n">
        <v>10</v>
      </c>
      <c r="E13620" s="7" t="n">
        <v>122.36</v>
      </c>
      <c r="F13620" s="7" t="n">
        <v>0</v>
      </c>
      <c r="G13620" s="7" t="n">
        <v>0</v>
      </c>
    </row>
    <row r="13621" customFormat="false" ht="15" hidden="false" customHeight="false" outlineLevel="0" collapsed="false">
      <c r="A13621" s="7" t="s">
        <v>30</v>
      </c>
      <c r="B13621" s="7" t="s">
        <v>494</v>
      </c>
      <c r="C13621" s="7" t="s">
        <v>1054</v>
      </c>
      <c r="D13621" s="7" t="n">
        <v>2</v>
      </c>
      <c r="E13621" s="7" t="n">
        <v>23.38</v>
      </c>
      <c r="F13621" s="7" t="n">
        <v>0</v>
      </c>
      <c r="G13621" s="7" t="n">
        <v>0</v>
      </c>
    </row>
    <row r="13622" customFormat="false" ht="15" hidden="false" customHeight="false" outlineLevel="0" collapsed="false">
      <c r="A13622" s="7" t="s">
        <v>30</v>
      </c>
      <c r="B13622" s="7" t="s">
        <v>494</v>
      </c>
      <c r="C13622" s="7" t="s">
        <v>1054</v>
      </c>
      <c r="D13622" s="7" t="n">
        <v>0</v>
      </c>
      <c r="E13622" s="7" t="n">
        <v>0</v>
      </c>
      <c r="F13622" s="7" t="n">
        <v>15</v>
      </c>
      <c r="G13622" s="7" t="n">
        <v>172.33</v>
      </c>
    </row>
    <row r="13623" customFormat="false" ht="15" hidden="false" customHeight="false" outlineLevel="0" collapsed="false">
      <c r="A13623" s="7" t="s">
        <v>30</v>
      </c>
      <c r="B13623" s="7" t="s">
        <v>650</v>
      </c>
      <c r="C13623" s="7" t="s">
        <v>1088</v>
      </c>
      <c r="D13623" s="7" t="n">
        <v>45</v>
      </c>
      <c r="E13623" s="7" t="n">
        <v>259.51</v>
      </c>
      <c r="F13623" s="7" t="n">
        <v>0</v>
      </c>
      <c r="G13623" s="7" t="n">
        <v>0</v>
      </c>
    </row>
    <row r="13624" customFormat="false" ht="15" hidden="false" customHeight="false" outlineLevel="0" collapsed="false">
      <c r="A13624" s="7" t="s">
        <v>30</v>
      </c>
      <c r="B13624" s="7" t="s">
        <v>650</v>
      </c>
      <c r="C13624" s="7" t="s">
        <v>1088</v>
      </c>
      <c r="D13624" s="7" t="n">
        <v>0</v>
      </c>
      <c r="E13624" s="7" t="n">
        <v>0</v>
      </c>
      <c r="F13624" s="7" t="n">
        <v>10</v>
      </c>
      <c r="G13624" s="7" t="n">
        <v>58.92</v>
      </c>
    </row>
    <row r="13625" customFormat="false" ht="15" hidden="false" customHeight="false" outlineLevel="0" collapsed="false">
      <c r="A13625" s="7" t="s">
        <v>30</v>
      </c>
      <c r="B13625" s="7" t="s">
        <v>650</v>
      </c>
      <c r="C13625" s="7" t="s">
        <v>1088</v>
      </c>
      <c r="D13625" s="7" t="n">
        <v>25</v>
      </c>
      <c r="E13625" s="7" t="n">
        <v>151.06</v>
      </c>
      <c r="F13625" s="7" t="n">
        <v>0</v>
      </c>
      <c r="G13625" s="7" t="n">
        <v>0</v>
      </c>
    </row>
    <row r="13626" customFormat="false" ht="15" hidden="false" customHeight="false" outlineLevel="0" collapsed="false">
      <c r="A13626" s="7" t="s">
        <v>30</v>
      </c>
      <c r="B13626" s="7" t="s">
        <v>650</v>
      </c>
      <c r="C13626" s="7" t="s">
        <v>1088</v>
      </c>
      <c r="D13626" s="7" t="n">
        <v>50</v>
      </c>
      <c r="E13626" s="7" t="n">
        <v>312.61</v>
      </c>
      <c r="F13626" s="7" t="n">
        <v>0</v>
      </c>
      <c r="G13626" s="7" t="n">
        <v>0</v>
      </c>
    </row>
    <row r="13627" customFormat="false" ht="15" hidden="false" customHeight="false" outlineLevel="0" collapsed="false">
      <c r="A13627" s="7" t="s">
        <v>30</v>
      </c>
      <c r="B13627" s="7" t="s">
        <v>650</v>
      </c>
      <c r="C13627" s="7" t="s">
        <v>1088</v>
      </c>
      <c r="D13627" s="7" t="n">
        <v>35</v>
      </c>
      <c r="E13627" s="7" t="n">
        <v>201.42</v>
      </c>
      <c r="F13627" s="7" t="n">
        <v>0</v>
      </c>
      <c r="G13627" s="7" t="n">
        <v>0</v>
      </c>
    </row>
    <row r="13628" customFormat="false" ht="15" hidden="false" customHeight="false" outlineLevel="0" collapsed="false">
      <c r="A13628" s="7" t="s">
        <v>30</v>
      </c>
      <c r="B13628" s="7" t="s">
        <v>650</v>
      </c>
      <c r="C13628" s="7" t="s">
        <v>1088</v>
      </c>
      <c r="D13628" s="7" t="n">
        <v>15</v>
      </c>
      <c r="E13628" s="7" t="n">
        <v>90.33</v>
      </c>
      <c r="F13628" s="7" t="n">
        <v>0</v>
      </c>
      <c r="G13628" s="7" t="n">
        <v>0</v>
      </c>
    </row>
    <row r="13629" customFormat="false" ht="15" hidden="false" customHeight="false" outlineLevel="0" collapsed="false">
      <c r="A13629" s="7" t="s">
        <v>30</v>
      </c>
      <c r="B13629" s="7" t="s">
        <v>650</v>
      </c>
      <c r="C13629" s="7" t="s">
        <v>1088</v>
      </c>
      <c r="D13629" s="7" t="n">
        <v>30</v>
      </c>
      <c r="E13629" s="7" t="n">
        <v>179.4</v>
      </c>
      <c r="F13629" s="7" t="n">
        <v>0</v>
      </c>
      <c r="G13629" s="7" t="n">
        <v>0</v>
      </c>
    </row>
    <row r="13630" customFormat="false" ht="15" hidden="false" customHeight="false" outlineLevel="0" collapsed="false">
      <c r="A13630" s="7" t="s">
        <v>30</v>
      </c>
      <c r="B13630" s="7" t="s">
        <v>650</v>
      </c>
      <c r="C13630" s="7" t="s">
        <v>1088</v>
      </c>
      <c r="D13630" s="7" t="n">
        <v>0</v>
      </c>
      <c r="E13630" s="7" t="n">
        <v>0</v>
      </c>
      <c r="F13630" s="7" t="n">
        <v>20</v>
      </c>
      <c r="G13630" s="7" t="n">
        <v>117.84</v>
      </c>
    </row>
    <row r="13631" customFormat="false" ht="15" hidden="false" customHeight="false" outlineLevel="0" collapsed="false">
      <c r="A13631" s="7" t="s">
        <v>30</v>
      </c>
      <c r="B13631" s="7" t="s">
        <v>650</v>
      </c>
      <c r="C13631" s="7" t="s">
        <v>1088</v>
      </c>
      <c r="D13631" s="7" t="n">
        <v>20</v>
      </c>
      <c r="E13631" s="7" t="n">
        <v>116.99</v>
      </c>
      <c r="F13631" s="7" t="n">
        <v>0</v>
      </c>
      <c r="G13631" s="7" t="n">
        <v>0</v>
      </c>
    </row>
    <row r="13632" customFormat="false" ht="15" hidden="false" customHeight="false" outlineLevel="0" collapsed="false">
      <c r="A13632" s="7" t="s">
        <v>30</v>
      </c>
      <c r="B13632" s="7" t="s">
        <v>650</v>
      </c>
      <c r="C13632" s="7" t="s">
        <v>1088</v>
      </c>
      <c r="D13632" s="7" t="n">
        <v>10</v>
      </c>
      <c r="E13632" s="7" t="n">
        <v>57.02</v>
      </c>
      <c r="F13632" s="7" t="n">
        <v>0</v>
      </c>
      <c r="G13632" s="7" t="n">
        <v>0</v>
      </c>
    </row>
    <row r="13633" customFormat="false" ht="15" hidden="false" customHeight="false" outlineLevel="0" collapsed="false">
      <c r="A13633" s="7" t="s">
        <v>30</v>
      </c>
      <c r="B13633" s="7" t="s">
        <v>650</v>
      </c>
      <c r="C13633" s="7" t="s">
        <v>1088</v>
      </c>
      <c r="D13633" s="7" t="n">
        <v>45</v>
      </c>
      <c r="E13633" s="7" t="n">
        <v>273.61</v>
      </c>
      <c r="F13633" s="7" t="n">
        <v>0</v>
      </c>
      <c r="G13633" s="7" t="n">
        <v>0</v>
      </c>
    </row>
    <row r="13634" customFormat="false" ht="15" hidden="false" customHeight="false" outlineLevel="0" collapsed="false">
      <c r="A13634" s="7" t="s">
        <v>30</v>
      </c>
      <c r="B13634" s="7" t="s">
        <v>650</v>
      </c>
      <c r="C13634" s="7" t="s">
        <v>1088</v>
      </c>
      <c r="D13634" s="7" t="n">
        <v>0</v>
      </c>
      <c r="E13634" s="7" t="n">
        <v>0</v>
      </c>
      <c r="F13634" s="7" t="n">
        <v>10</v>
      </c>
      <c r="G13634" s="7" t="n">
        <v>62.33</v>
      </c>
    </row>
    <row r="13635" customFormat="false" ht="15" hidden="false" customHeight="false" outlineLevel="0" collapsed="false">
      <c r="A13635" s="7" t="s">
        <v>30</v>
      </c>
      <c r="B13635" s="7" t="s">
        <v>650</v>
      </c>
      <c r="C13635" s="7" t="s">
        <v>1088</v>
      </c>
      <c r="D13635" s="7" t="n">
        <v>25</v>
      </c>
      <c r="E13635" s="7" t="n">
        <v>157.59</v>
      </c>
      <c r="F13635" s="7" t="n">
        <v>0</v>
      </c>
      <c r="G13635" s="7" t="n">
        <v>0</v>
      </c>
    </row>
    <row r="13636" customFormat="false" ht="15" hidden="false" customHeight="false" outlineLevel="0" collapsed="false">
      <c r="A13636" s="7" t="s">
        <v>30</v>
      </c>
      <c r="B13636" s="7" t="s">
        <v>650</v>
      </c>
      <c r="C13636" s="7" t="s">
        <v>1088</v>
      </c>
      <c r="D13636" s="7" t="n">
        <v>0</v>
      </c>
      <c r="E13636" s="7" t="n">
        <v>0</v>
      </c>
      <c r="F13636" s="7" t="n">
        <v>10</v>
      </c>
      <c r="G13636" s="7" t="n">
        <v>63.16</v>
      </c>
    </row>
    <row r="13637" customFormat="false" ht="15" hidden="false" customHeight="false" outlineLevel="0" collapsed="false">
      <c r="A13637" s="7" t="s">
        <v>30</v>
      </c>
      <c r="B13637" s="7" t="s">
        <v>650</v>
      </c>
      <c r="C13637" s="7" t="s">
        <v>1088</v>
      </c>
      <c r="D13637" s="7" t="n">
        <v>0</v>
      </c>
      <c r="E13637" s="7" t="n">
        <v>0</v>
      </c>
      <c r="F13637" s="7" t="n">
        <v>35</v>
      </c>
      <c r="G13637" s="7" t="n">
        <v>216.35</v>
      </c>
    </row>
    <row r="13638" customFormat="false" ht="15" hidden="false" customHeight="false" outlineLevel="0" collapsed="false">
      <c r="A13638" s="7" t="s">
        <v>30</v>
      </c>
      <c r="B13638" s="7" t="s">
        <v>650</v>
      </c>
      <c r="C13638" s="7" t="s">
        <v>1088</v>
      </c>
      <c r="D13638" s="7" t="n">
        <v>35</v>
      </c>
      <c r="E13638" s="7" t="n">
        <v>209.98</v>
      </c>
      <c r="F13638" s="7" t="n">
        <v>0</v>
      </c>
      <c r="G13638" s="7" t="n">
        <v>0</v>
      </c>
    </row>
    <row r="13639" customFormat="false" ht="15" hidden="false" customHeight="false" outlineLevel="0" collapsed="false">
      <c r="A13639" s="7" t="s">
        <v>30</v>
      </c>
      <c r="B13639" s="7" t="s">
        <v>650</v>
      </c>
      <c r="C13639" s="7" t="s">
        <v>1088</v>
      </c>
      <c r="D13639" s="7" t="n">
        <v>0</v>
      </c>
      <c r="E13639" s="7" t="n">
        <v>0</v>
      </c>
      <c r="F13639" s="7" t="n">
        <v>10</v>
      </c>
      <c r="G13639" s="7" t="n">
        <v>59.19</v>
      </c>
    </row>
    <row r="13640" customFormat="false" ht="15" hidden="false" customHeight="false" outlineLevel="0" collapsed="false">
      <c r="A13640" s="7" t="s">
        <v>30</v>
      </c>
      <c r="B13640" s="7" t="s">
        <v>779</v>
      </c>
      <c r="C13640" s="7" t="s">
        <v>1089</v>
      </c>
      <c r="D13640" s="7" t="n">
        <v>50</v>
      </c>
      <c r="E13640" s="7" t="n">
        <v>241.03</v>
      </c>
      <c r="F13640" s="7" t="n">
        <v>0</v>
      </c>
      <c r="G13640" s="7" t="n">
        <v>0</v>
      </c>
    </row>
    <row r="13641" customFormat="false" ht="15" hidden="false" customHeight="false" outlineLevel="0" collapsed="false">
      <c r="A13641" s="7" t="s">
        <v>30</v>
      </c>
      <c r="B13641" s="7" t="s">
        <v>779</v>
      </c>
      <c r="C13641" s="7" t="s">
        <v>1089</v>
      </c>
      <c r="D13641" s="7" t="n">
        <v>0</v>
      </c>
      <c r="E13641" s="7" t="n">
        <v>0</v>
      </c>
      <c r="F13641" s="7" t="n">
        <v>30</v>
      </c>
      <c r="G13641" s="7" t="n">
        <v>144.89</v>
      </c>
    </row>
    <row r="13642" customFormat="false" ht="15" hidden="false" customHeight="false" outlineLevel="0" collapsed="false">
      <c r="A13642" s="7" t="s">
        <v>30</v>
      </c>
      <c r="B13642" s="7" t="s">
        <v>779</v>
      </c>
      <c r="C13642" s="7" t="s">
        <v>1089</v>
      </c>
      <c r="D13642" s="7" t="n">
        <v>0</v>
      </c>
      <c r="E13642" s="7" t="n">
        <v>0</v>
      </c>
      <c r="F13642" s="7" t="n">
        <v>30</v>
      </c>
      <c r="G13642" s="7" t="n">
        <v>135.17</v>
      </c>
    </row>
    <row r="13643" customFormat="false" ht="15" hidden="false" customHeight="false" outlineLevel="0" collapsed="false">
      <c r="A13643" s="7" t="s">
        <v>30</v>
      </c>
      <c r="B13643" s="7" t="s">
        <v>779</v>
      </c>
      <c r="C13643" s="7" t="s">
        <v>1089</v>
      </c>
      <c r="D13643" s="7" t="n">
        <v>80</v>
      </c>
      <c r="E13643" s="7" t="n">
        <v>352.06</v>
      </c>
      <c r="F13643" s="7" t="n">
        <v>0</v>
      </c>
      <c r="G13643" s="7" t="n">
        <v>0</v>
      </c>
    </row>
    <row r="13644" customFormat="false" ht="15" hidden="false" customHeight="false" outlineLevel="0" collapsed="false">
      <c r="A13644" s="7" t="s">
        <v>30</v>
      </c>
      <c r="B13644" s="7" t="s">
        <v>779</v>
      </c>
      <c r="C13644" s="7" t="s">
        <v>1089</v>
      </c>
      <c r="D13644" s="7" t="n">
        <v>150</v>
      </c>
      <c r="E13644" s="7" t="n">
        <v>697.44</v>
      </c>
      <c r="F13644" s="7" t="n">
        <v>0</v>
      </c>
      <c r="G13644" s="7" t="n">
        <v>0</v>
      </c>
    </row>
    <row r="13645" customFormat="false" ht="15" hidden="false" customHeight="false" outlineLevel="0" collapsed="false">
      <c r="A13645" s="7" t="s">
        <v>30</v>
      </c>
      <c r="B13645" s="7" t="s">
        <v>779</v>
      </c>
      <c r="C13645" s="7" t="s">
        <v>1089</v>
      </c>
      <c r="D13645" s="7" t="n">
        <v>100</v>
      </c>
      <c r="E13645" s="7" t="n">
        <v>478.11</v>
      </c>
      <c r="F13645" s="7" t="n">
        <v>0</v>
      </c>
      <c r="G13645" s="7" t="n">
        <v>0</v>
      </c>
    </row>
    <row r="13646" customFormat="false" ht="15" hidden="false" customHeight="false" outlineLevel="0" collapsed="false">
      <c r="A13646" s="7" t="s">
        <v>30</v>
      </c>
      <c r="B13646" s="7" t="s">
        <v>779</v>
      </c>
      <c r="C13646" s="7" t="s">
        <v>1089</v>
      </c>
      <c r="D13646" s="7" t="n">
        <v>140</v>
      </c>
      <c r="E13646" s="7" t="n">
        <v>617.38</v>
      </c>
      <c r="F13646" s="7" t="n">
        <v>0</v>
      </c>
      <c r="G13646" s="7" t="n">
        <v>0</v>
      </c>
    </row>
    <row r="13647" customFormat="false" ht="15" hidden="false" customHeight="false" outlineLevel="0" collapsed="false">
      <c r="A13647" s="7" t="s">
        <v>30</v>
      </c>
      <c r="B13647" s="7" t="s">
        <v>779</v>
      </c>
      <c r="C13647" s="7" t="s">
        <v>1089</v>
      </c>
      <c r="D13647" s="7" t="n">
        <v>90</v>
      </c>
      <c r="E13647" s="7" t="n">
        <v>412.89</v>
      </c>
      <c r="F13647" s="7" t="n">
        <v>0</v>
      </c>
      <c r="G13647" s="7" t="n">
        <v>0</v>
      </c>
    </row>
    <row r="13648" customFormat="false" ht="15" hidden="false" customHeight="false" outlineLevel="0" collapsed="false">
      <c r="A13648" s="7" t="s">
        <v>30</v>
      </c>
      <c r="B13648" s="7" t="s">
        <v>779</v>
      </c>
      <c r="C13648" s="7" t="s">
        <v>1089</v>
      </c>
      <c r="D13648" s="7" t="n">
        <v>0</v>
      </c>
      <c r="E13648" s="7" t="n">
        <v>0</v>
      </c>
      <c r="F13648" s="7" t="n">
        <v>100</v>
      </c>
      <c r="G13648" s="7" t="n">
        <v>441.44</v>
      </c>
    </row>
    <row r="13649" customFormat="false" ht="15" hidden="false" customHeight="false" outlineLevel="0" collapsed="false">
      <c r="A13649" s="7" t="s">
        <v>30</v>
      </c>
      <c r="B13649" s="7" t="s">
        <v>779</v>
      </c>
      <c r="C13649" s="7" t="s">
        <v>1089</v>
      </c>
      <c r="D13649" s="7" t="n">
        <v>100</v>
      </c>
      <c r="E13649" s="7" t="n">
        <v>460.5</v>
      </c>
      <c r="F13649" s="7" t="n">
        <v>0</v>
      </c>
      <c r="G13649" s="7" t="n">
        <v>0</v>
      </c>
    </row>
    <row r="13650" customFormat="false" ht="15" hidden="false" customHeight="false" outlineLevel="0" collapsed="false">
      <c r="A13650" s="7" t="s">
        <v>30</v>
      </c>
      <c r="B13650" s="7" t="s">
        <v>779</v>
      </c>
      <c r="C13650" s="7" t="s">
        <v>1089</v>
      </c>
      <c r="D13650" s="7" t="n">
        <v>0</v>
      </c>
      <c r="E13650" s="7" t="n">
        <v>0</v>
      </c>
      <c r="F13650" s="7" t="n">
        <v>20</v>
      </c>
      <c r="G13650" s="7" t="n">
        <v>95.33</v>
      </c>
    </row>
    <row r="13651" customFormat="false" ht="15" hidden="false" customHeight="false" outlineLevel="0" collapsed="false">
      <c r="A13651" s="7" t="s">
        <v>30</v>
      </c>
      <c r="B13651" s="7" t="s">
        <v>779</v>
      </c>
      <c r="C13651" s="7" t="s">
        <v>1089</v>
      </c>
      <c r="D13651" s="7" t="n">
        <v>60</v>
      </c>
      <c r="E13651" s="7" t="n">
        <v>274.37</v>
      </c>
      <c r="F13651" s="7" t="n">
        <v>0</v>
      </c>
      <c r="G13651" s="7" t="n">
        <v>0</v>
      </c>
    </row>
    <row r="13652" customFormat="false" ht="15" hidden="false" customHeight="false" outlineLevel="0" collapsed="false">
      <c r="A13652" s="7" t="s">
        <v>30</v>
      </c>
      <c r="B13652" s="7" t="s">
        <v>779</v>
      </c>
      <c r="C13652" s="7" t="s">
        <v>1089</v>
      </c>
      <c r="D13652" s="7" t="n">
        <v>50</v>
      </c>
      <c r="E13652" s="7" t="n">
        <v>223.66</v>
      </c>
      <c r="F13652" s="7" t="n">
        <v>0</v>
      </c>
      <c r="G13652" s="7" t="n">
        <v>0</v>
      </c>
    </row>
    <row r="13653" customFormat="false" ht="15" hidden="false" customHeight="false" outlineLevel="0" collapsed="false">
      <c r="A13653" s="7" t="s">
        <v>30</v>
      </c>
      <c r="B13653" s="7" t="s">
        <v>779</v>
      </c>
      <c r="C13653" s="7" t="s">
        <v>1089</v>
      </c>
      <c r="D13653" s="7" t="n">
        <v>0</v>
      </c>
      <c r="E13653" s="7" t="n">
        <v>0</v>
      </c>
      <c r="F13653" s="7" t="n">
        <v>110</v>
      </c>
      <c r="G13653" s="7" t="n">
        <v>497.85</v>
      </c>
    </row>
    <row r="13654" customFormat="false" ht="15" hidden="false" customHeight="false" outlineLevel="0" collapsed="false">
      <c r="A13654" s="7" t="s">
        <v>30</v>
      </c>
      <c r="B13654" s="7" t="s">
        <v>779</v>
      </c>
      <c r="C13654" s="7" t="s">
        <v>1089</v>
      </c>
      <c r="D13654" s="7" t="n">
        <v>80</v>
      </c>
      <c r="E13654" s="7" t="n">
        <v>348.79</v>
      </c>
      <c r="F13654" s="7" t="n">
        <v>0</v>
      </c>
      <c r="G13654" s="7" t="n">
        <v>0</v>
      </c>
    </row>
    <row r="13655" customFormat="false" ht="15" hidden="false" customHeight="false" outlineLevel="0" collapsed="false">
      <c r="A13655" s="7" t="s">
        <v>30</v>
      </c>
      <c r="B13655" s="7" t="s">
        <v>779</v>
      </c>
      <c r="C13655" s="7" t="s">
        <v>1089</v>
      </c>
      <c r="D13655" s="7" t="n">
        <v>0</v>
      </c>
      <c r="E13655" s="7" t="n">
        <v>0</v>
      </c>
      <c r="F13655" s="7" t="n">
        <v>90</v>
      </c>
      <c r="G13655" s="7" t="n">
        <v>425.41</v>
      </c>
    </row>
    <row r="13656" customFormat="false" ht="15" hidden="false" customHeight="false" outlineLevel="0" collapsed="false">
      <c r="A13656" s="7" t="s">
        <v>30</v>
      </c>
      <c r="B13656" s="7" t="s">
        <v>779</v>
      </c>
      <c r="C13656" s="7" t="s">
        <v>1089</v>
      </c>
      <c r="D13656" s="7" t="n">
        <v>0</v>
      </c>
      <c r="E13656" s="7" t="n">
        <v>0</v>
      </c>
      <c r="F13656" s="7" t="n">
        <v>150</v>
      </c>
      <c r="G13656" s="7" t="n">
        <v>675.85</v>
      </c>
    </row>
    <row r="13657" customFormat="false" ht="15" hidden="false" customHeight="false" outlineLevel="0" collapsed="false">
      <c r="A13657" s="7" t="s">
        <v>30</v>
      </c>
      <c r="B13657" s="7" t="s">
        <v>779</v>
      </c>
      <c r="C13657" s="7" t="s">
        <v>1089</v>
      </c>
      <c r="D13657" s="7" t="n">
        <v>0</v>
      </c>
      <c r="E13657" s="7" t="n">
        <v>0</v>
      </c>
      <c r="F13657" s="7" t="n">
        <v>90</v>
      </c>
      <c r="G13657" s="7" t="n">
        <v>399.99</v>
      </c>
    </row>
    <row r="13658" customFormat="false" ht="15" hidden="false" customHeight="false" outlineLevel="0" collapsed="false">
      <c r="A13658" s="7" t="s">
        <v>30</v>
      </c>
      <c r="B13658" s="7" t="s">
        <v>779</v>
      </c>
      <c r="C13658" s="7" t="s">
        <v>1089</v>
      </c>
      <c r="D13658" s="7" t="n">
        <v>70</v>
      </c>
      <c r="E13658" s="7" t="n">
        <v>323.46</v>
      </c>
      <c r="F13658" s="7" t="n">
        <v>0</v>
      </c>
      <c r="G13658" s="7" t="n">
        <v>0</v>
      </c>
    </row>
    <row r="13659" customFormat="false" ht="15" hidden="false" customHeight="false" outlineLevel="0" collapsed="false">
      <c r="A13659" s="7" t="s">
        <v>30</v>
      </c>
      <c r="B13659" s="7" t="s">
        <v>502</v>
      </c>
      <c r="C13659" s="7" t="s">
        <v>1090</v>
      </c>
      <c r="D13659" s="7" t="n">
        <v>4</v>
      </c>
      <c r="E13659" s="7" t="n">
        <v>26.48</v>
      </c>
      <c r="F13659" s="7" t="n">
        <v>0</v>
      </c>
      <c r="G13659" s="7" t="n">
        <v>0</v>
      </c>
    </row>
    <row r="13660" customFormat="false" ht="15" hidden="false" customHeight="false" outlineLevel="0" collapsed="false">
      <c r="A13660" s="7" t="s">
        <v>30</v>
      </c>
      <c r="B13660" s="7" t="s">
        <v>516</v>
      </c>
      <c r="C13660" s="7" t="s">
        <v>1171</v>
      </c>
      <c r="D13660" s="7" t="n">
        <v>4</v>
      </c>
      <c r="E13660" s="7" t="n">
        <v>26.48</v>
      </c>
      <c r="F13660" s="7" t="n">
        <v>0</v>
      </c>
      <c r="G13660" s="7" t="n">
        <v>0</v>
      </c>
    </row>
    <row r="13661" customFormat="false" ht="15" hidden="false" customHeight="false" outlineLevel="0" collapsed="false">
      <c r="A13661" s="7" t="s">
        <v>30</v>
      </c>
      <c r="B13661" s="7" t="s">
        <v>515</v>
      </c>
      <c r="C13661" s="7" t="s">
        <v>1226</v>
      </c>
      <c r="D13661" s="7" t="n">
        <v>5</v>
      </c>
      <c r="E13661" s="7" t="n">
        <v>26.83</v>
      </c>
      <c r="F13661" s="7" t="n">
        <v>0</v>
      </c>
      <c r="G13661" s="7" t="n">
        <v>0</v>
      </c>
    </row>
    <row r="13662" customFormat="false" ht="15" hidden="false" customHeight="false" outlineLevel="0" collapsed="false">
      <c r="A13662" s="7" t="s">
        <v>30</v>
      </c>
      <c r="B13662" s="7" t="s">
        <v>515</v>
      </c>
      <c r="C13662" s="7" t="s">
        <v>1226</v>
      </c>
      <c r="D13662" s="7" t="n">
        <v>12</v>
      </c>
      <c r="E13662" s="7" t="n">
        <v>61.94</v>
      </c>
      <c r="F13662" s="7" t="n">
        <v>0</v>
      </c>
      <c r="G13662" s="7" t="n">
        <v>0</v>
      </c>
    </row>
    <row r="13663" customFormat="false" ht="15" hidden="false" customHeight="false" outlineLevel="0" collapsed="false">
      <c r="A13663" s="7" t="s">
        <v>30</v>
      </c>
      <c r="B13663" s="7" t="s">
        <v>515</v>
      </c>
      <c r="C13663" s="7" t="s">
        <v>1226</v>
      </c>
      <c r="D13663" s="7" t="n">
        <v>2</v>
      </c>
      <c r="E13663" s="7" t="n">
        <v>11.03</v>
      </c>
      <c r="F13663" s="7" t="n">
        <v>0</v>
      </c>
      <c r="G13663" s="7" t="n">
        <v>0</v>
      </c>
    </row>
    <row r="13664" customFormat="false" ht="15" hidden="false" customHeight="false" outlineLevel="0" collapsed="false">
      <c r="A13664" s="7" t="s">
        <v>30</v>
      </c>
      <c r="B13664" s="7" t="s">
        <v>225</v>
      </c>
      <c r="C13664" s="7" t="s">
        <v>1091</v>
      </c>
      <c r="D13664" s="7" t="n">
        <v>0</v>
      </c>
      <c r="E13664" s="7" t="n">
        <v>0</v>
      </c>
      <c r="F13664" s="7" t="n">
        <v>30</v>
      </c>
      <c r="G13664" s="7" t="n">
        <v>250.67</v>
      </c>
    </row>
    <row r="13665" customFormat="false" ht="15" hidden="false" customHeight="false" outlineLevel="0" collapsed="false">
      <c r="A13665" s="7" t="s">
        <v>30</v>
      </c>
      <c r="B13665" s="7" t="s">
        <v>225</v>
      </c>
      <c r="C13665" s="7" t="s">
        <v>1091</v>
      </c>
      <c r="D13665" s="7" t="n">
        <v>20</v>
      </c>
      <c r="E13665" s="7" t="n">
        <v>170.03</v>
      </c>
      <c r="F13665" s="7" t="n">
        <v>0</v>
      </c>
      <c r="G13665" s="7" t="n">
        <v>0</v>
      </c>
    </row>
    <row r="13666" customFormat="false" ht="15" hidden="false" customHeight="false" outlineLevel="0" collapsed="false">
      <c r="A13666" s="7" t="s">
        <v>30</v>
      </c>
      <c r="B13666" s="7" t="s">
        <v>225</v>
      </c>
      <c r="C13666" s="7" t="s">
        <v>1091</v>
      </c>
      <c r="D13666" s="7" t="n">
        <v>0</v>
      </c>
      <c r="E13666" s="7" t="n">
        <v>0</v>
      </c>
      <c r="F13666" s="7" t="n">
        <v>30</v>
      </c>
      <c r="G13666" s="7" t="n">
        <v>244.49</v>
      </c>
    </row>
    <row r="13667" customFormat="false" ht="15" hidden="false" customHeight="false" outlineLevel="0" collapsed="false">
      <c r="A13667" s="7" t="s">
        <v>30</v>
      </c>
      <c r="B13667" s="7" t="s">
        <v>225</v>
      </c>
      <c r="C13667" s="7" t="s">
        <v>1091</v>
      </c>
      <c r="D13667" s="7" t="n">
        <v>15</v>
      </c>
      <c r="E13667" s="7" t="n">
        <v>120.74</v>
      </c>
      <c r="F13667" s="7" t="n">
        <v>0</v>
      </c>
      <c r="G13667" s="7" t="n">
        <v>0</v>
      </c>
    </row>
    <row r="13668" customFormat="false" ht="15" hidden="false" customHeight="false" outlineLevel="0" collapsed="false">
      <c r="A13668" s="7" t="s">
        <v>30</v>
      </c>
      <c r="B13668" s="7" t="s">
        <v>225</v>
      </c>
      <c r="C13668" s="7" t="s">
        <v>1091</v>
      </c>
      <c r="D13668" s="7" t="n">
        <v>35</v>
      </c>
      <c r="E13668" s="7" t="n">
        <v>300.44</v>
      </c>
      <c r="F13668" s="7" t="n">
        <v>0</v>
      </c>
      <c r="G13668" s="7" t="n">
        <v>0</v>
      </c>
    </row>
    <row r="13669" customFormat="false" ht="15" hidden="false" customHeight="false" outlineLevel="0" collapsed="false">
      <c r="A13669" s="7" t="s">
        <v>30</v>
      </c>
      <c r="B13669" s="7" t="s">
        <v>225</v>
      </c>
      <c r="C13669" s="7" t="s">
        <v>1091</v>
      </c>
      <c r="D13669" s="7" t="n">
        <v>15</v>
      </c>
      <c r="E13669" s="7" t="n">
        <v>122.12</v>
      </c>
      <c r="F13669" s="7" t="n">
        <v>0</v>
      </c>
      <c r="G13669" s="7" t="n">
        <v>0</v>
      </c>
    </row>
    <row r="13670" customFormat="false" ht="15" hidden="false" customHeight="false" outlineLevel="0" collapsed="false">
      <c r="A13670" s="7" t="s">
        <v>30</v>
      </c>
      <c r="B13670" s="7" t="s">
        <v>225</v>
      </c>
      <c r="C13670" s="7" t="s">
        <v>1091</v>
      </c>
      <c r="D13670" s="7" t="n">
        <v>5</v>
      </c>
      <c r="E13670" s="7" t="n">
        <v>42.35</v>
      </c>
      <c r="F13670" s="7" t="n">
        <v>0</v>
      </c>
      <c r="G13670" s="7" t="n">
        <v>0</v>
      </c>
    </row>
    <row r="13671" customFormat="false" ht="15" hidden="false" customHeight="false" outlineLevel="0" collapsed="false">
      <c r="A13671" s="7" t="s">
        <v>30</v>
      </c>
      <c r="B13671" s="7" t="s">
        <v>225</v>
      </c>
      <c r="C13671" s="7" t="s">
        <v>1091</v>
      </c>
      <c r="D13671" s="7" t="n">
        <v>0</v>
      </c>
      <c r="E13671" s="7" t="n">
        <v>0</v>
      </c>
      <c r="F13671" s="7" t="n">
        <v>50</v>
      </c>
      <c r="G13671" s="7" t="n">
        <v>415.91</v>
      </c>
    </row>
    <row r="13672" customFormat="false" ht="15" hidden="false" customHeight="false" outlineLevel="0" collapsed="false">
      <c r="A13672" s="7" t="s">
        <v>30</v>
      </c>
      <c r="B13672" s="7" t="s">
        <v>225</v>
      </c>
      <c r="C13672" s="7" t="s">
        <v>1091</v>
      </c>
      <c r="D13672" s="7" t="n">
        <v>15</v>
      </c>
      <c r="E13672" s="7" t="n">
        <v>133.49</v>
      </c>
      <c r="F13672" s="7" t="n">
        <v>0</v>
      </c>
      <c r="G13672" s="7" t="n">
        <v>0</v>
      </c>
    </row>
    <row r="13673" customFormat="false" ht="15" hidden="false" customHeight="false" outlineLevel="0" collapsed="false">
      <c r="A13673" s="7" t="s">
        <v>30</v>
      </c>
      <c r="B13673" s="7" t="s">
        <v>225</v>
      </c>
      <c r="C13673" s="7" t="s">
        <v>1091</v>
      </c>
      <c r="D13673" s="7" t="n">
        <v>20</v>
      </c>
      <c r="E13673" s="7" t="n">
        <v>168.85</v>
      </c>
      <c r="F13673" s="7" t="n">
        <v>0</v>
      </c>
      <c r="G13673" s="7" t="n">
        <v>0</v>
      </c>
    </row>
    <row r="13674" customFormat="false" ht="15" hidden="false" customHeight="false" outlineLevel="0" collapsed="false">
      <c r="A13674" s="7" t="s">
        <v>30</v>
      </c>
      <c r="B13674" s="7" t="s">
        <v>225</v>
      </c>
      <c r="C13674" s="7" t="s">
        <v>1091</v>
      </c>
      <c r="D13674" s="7" t="n">
        <v>0</v>
      </c>
      <c r="E13674" s="7" t="n">
        <v>0</v>
      </c>
      <c r="F13674" s="7" t="n">
        <v>10</v>
      </c>
      <c r="G13674" s="7" t="n">
        <v>82.05</v>
      </c>
    </row>
    <row r="13675" customFormat="false" ht="15" hidden="false" customHeight="false" outlineLevel="0" collapsed="false">
      <c r="A13675" s="7" t="s">
        <v>30</v>
      </c>
      <c r="B13675" s="7" t="s">
        <v>225</v>
      </c>
      <c r="C13675" s="7" t="s">
        <v>1091</v>
      </c>
      <c r="D13675" s="7" t="n">
        <v>0</v>
      </c>
      <c r="E13675" s="7" t="n">
        <v>0</v>
      </c>
      <c r="F13675" s="7" t="n">
        <v>8</v>
      </c>
      <c r="G13675" s="7" t="n">
        <v>69.81</v>
      </c>
    </row>
    <row r="13676" customFormat="false" ht="15" hidden="false" customHeight="false" outlineLevel="0" collapsed="false">
      <c r="A13676" s="7" t="s">
        <v>30</v>
      </c>
      <c r="B13676" s="7" t="s">
        <v>225</v>
      </c>
      <c r="C13676" s="7" t="s">
        <v>1091</v>
      </c>
      <c r="D13676" s="7" t="n">
        <v>15</v>
      </c>
      <c r="E13676" s="7" t="n">
        <v>123.88</v>
      </c>
      <c r="F13676" s="7" t="n">
        <v>0</v>
      </c>
      <c r="G13676" s="7" t="n">
        <v>0</v>
      </c>
    </row>
    <row r="13677" customFormat="false" ht="15" hidden="false" customHeight="false" outlineLevel="0" collapsed="false">
      <c r="A13677" s="7" t="s">
        <v>30</v>
      </c>
      <c r="B13677" s="7" t="s">
        <v>225</v>
      </c>
      <c r="C13677" s="7" t="s">
        <v>1091</v>
      </c>
      <c r="D13677" s="7" t="n">
        <v>15</v>
      </c>
      <c r="E13677" s="7" t="n">
        <v>127.96</v>
      </c>
      <c r="F13677" s="7" t="n">
        <v>0</v>
      </c>
      <c r="G13677" s="7" t="n">
        <v>0</v>
      </c>
    </row>
    <row r="13678" customFormat="false" ht="15" hidden="false" customHeight="false" outlineLevel="0" collapsed="false">
      <c r="A13678" s="7" t="s">
        <v>30</v>
      </c>
      <c r="B13678" s="7" t="s">
        <v>225</v>
      </c>
      <c r="C13678" s="7" t="s">
        <v>1091</v>
      </c>
      <c r="D13678" s="7" t="n">
        <v>0</v>
      </c>
      <c r="E13678" s="7" t="n">
        <v>0</v>
      </c>
      <c r="F13678" s="7" t="n">
        <v>35</v>
      </c>
      <c r="G13678" s="7" t="n">
        <v>312.06</v>
      </c>
    </row>
    <row r="13679" customFormat="false" ht="15" hidden="false" customHeight="false" outlineLevel="0" collapsed="false">
      <c r="A13679" s="7" t="s">
        <v>30</v>
      </c>
      <c r="B13679" s="7" t="s">
        <v>225</v>
      </c>
      <c r="C13679" s="7" t="s">
        <v>1091</v>
      </c>
      <c r="D13679" s="7" t="n">
        <v>0</v>
      </c>
      <c r="E13679" s="7" t="n">
        <v>0</v>
      </c>
      <c r="F13679" s="7" t="n">
        <v>5</v>
      </c>
      <c r="G13679" s="7" t="n">
        <v>41.59</v>
      </c>
    </row>
    <row r="13680" customFormat="false" ht="15" hidden="false" customHeight="false" outlineLevel="0" collapsed="false">
      <c r="A13680" s="7" t="s">
        <v>30</v>
      </c>
      <c r="B13680" s="7" t="s">
        <v>225</v>
      </c>
      <c r="C13680" s="7" t="s">
        <v>1091</v>
      </c>
      <c r="D13680" s="7" t="n">
        <v>25</v>
      </c>
      <c r="E13680" s="7" t="n">
        <v>220.66</v>
      </c>
      <c r="F13680" s="7" t="n">
        <v>0</v>
      </c>
      <c r="G13680" s="7" t="n">
        <v>0</v>
      </c>
    </row>
    <row r="13681" customFormat="false" ht="15" hidden="false" customHeight="false" outlineLevel="0" collapsed="false">
      <c r="A13681" s="7" t="s">
        <v>30</v>
      </c>
      <c r="B13681" s="7" t="s">
        <v>337</v>
      </c>
      <c r="C13681" s="7" t="s">
        <v>1227</v>
      </c>
      <c r="D13681" s="7" t="n">
        <v>15</v>
      </c>
      <c r="E13681" s="7" t="n">
        <v>287.91</v>
      </c>
      <c r="F13681" s="7" t="n">
        <v>0</v>
      </c>
      <c r="G13681" s="7" t="n">
        <v>0</v>
      </c>
    </row>
    <row r="13682" customFormat="false" ht="15" hidden="false" customHeight="false" outlineLevel="0" collapsed="false">
      <c r="A13682" s="7" t="s">
        <v>30</v>
      </c>
      <c r="B13682" s="7" t="s">
        <v>337</v>
      </c>
      <c r="C13682" s="7" t="s">
        <v>1227</v>
      </c>
      <c r="D13682" s="7" t="n">
        <v>0</v>
      </c>
      <c r="E13682" s="7" t="n">
        <v>0</v>
      </c>
      <c r="F13682" s="7" t="n">
        <v>8</v>
      </c>
      <c r="G13682" s="7" t="n">
        <v>147.69</v>
      </c>
    </row>
    <row r="13683" customFormat="false" ht="15" hidden="false" customHeight="false" outlineLevel="0" collapsed="false">
      <c r="A13683" s="7" t="s">
        <v>30</v>
      </c>
      <c r="B13683" s="7" t="s">
        <v>337</v>
      </c>
      <c r="C13683" s="7" t="s">
        <v>1227</v>
      </c>
      <c r="D13683" s="7" t="n">
        <v>10</v>
      </c>
      <c r="E13683" s="7" t="n">
        <v>191.29</v>
      </c>
      <c r="F13683" s="7" t="n">
        <v>0</v>
      </c>
      <c r="G13683" s="7" t="n">
        <v>0</v>
      </c>
    </row>
    <row r="13684" customFormat="false" ht="15" hidden="false" customHeight="false" outlineLevel="0" collapsed="false">
      <c r="A13684" s="7" t="s">
        <v>30</v>
      </c>
      <c r="B13684" s="7" t="s">
        <v>337</v>
      </c>
      <c r="C13684" s="7" t="s">
        <v>1227</v>
      </c>
      <c r="D13684" s="7" t="n">
        <v>8</v>
      </c>
      <c r="E13684" s="7" t="n">
        <v>151.96</v>
      </c>
      <c r="F13684" s="7" t="n">
        <v>0</v>
      </c>
      <c r="G13684" s="7" t="n">
        <v>0</v>
      </c>
    </row>
    <row r="13685" customFormat="false" ht="15" hidden="false" customHeight="false" outlineLevel="0" collapsed="false">
      <c r="A13685" s="7" t="s">
        <v>30</v>
      </c>
      <c r="B13685" s="7" t="s">
        <v>337</v>
      </c>
      <c r="C13685" s="7" t="s">
        <v>1227</v>
      </c>
      <c r="D13685" s="7" t="n">
        <v>0</v>
      </c>
      <c r="E13685" s="7" t="n">
        <v>0</v>
      </c>
      <c r="F13685" s="7" t="n">
        <v>10</v>
      </c>
      <c r="G13685" s="7" t="n">
        <v>196.35</v>
      </c>
    </row>
    <row r="13686" customFormat="false" ht="15" hidden="false" customHeight="false" outlineLevel="0" collapsed="false">
      <c r="A13686" s="7" t="s">
        <v>30</v>
      </c>
      <c r="B13686" s="7" t="s">
        <v>337</v>
      </c>
      <c r="C13686" s="7" t="s">
        <v>1227</v>
      </c>
      <c r="D13686" s="7" t="n">
        <v>0</v>
      </c>
      <c r="E13686" s="7" t="n">
        <v>0</v>
      </c>
      <c r="F13686" s="7" t="n">
        <v>5</v>
      </c>
      <c r="G13686" s="7" t="n">
        <v>93.58</v>
      </c>
    </row>
    <row r="13687" customFormat="false" ht="15" hidden="false" customHeight="false" outlineLevel="0" collapsed="false">
      <c r="A13687" s="7" t="s">
        <v>30</v>
      </c>
      <c r="B13687" s="7" t="s">
        <v>337</v>
      </c>
      <c r="C13687" s="7" t="s">
        <v>1227</v>
      </c>
      <c r="D13687" s="7" t="n">
        <v>10</v>
      </c>
      <c r="E13687" s="7" t="n">
        <v>182.8</v>
      </c>
      <c r="F13687" s="7" t="n">
        <v>0</v>
      </c>
      <c r="G13687" s="7" t="n">
        <v>0</v>
      </c>
    </row>
    <row r="13688" customFormat="false" ht="15" hidden="false" customHeight="false" outlineLevel="0" collapsed="false">
      <c r="A13688" s="7" t="s">
        <v>30</v>
      </c>
      <c r="B13688" s="7" t="s">
        <v>337</v>
      </c>
      <c r="C13688" s="7" t="s">
        <v>1227</v>
      </c>
      <c r="D13688" s="7" t="n">
        <v>10</v>
      </c>
      <c r="E13688" s="7" t="n">
        <v>185.81</v>
      </c>
      <c r="F13688" s="7" t="n">
        <v>0</v>
      </c>
      <c r="G13688" s="7" t="n">
        <v>0</v>
      </c>
    </row>
    <row r="13689" customFormat="false" ht="15" hidden="false" customHeight="false" outlineLevel="0" collapsed="false">
      <c r="A13689" s="7" t="s">
        <v>30</v>
      </c>
      <c r="B13689" s="7" t="s">
        <v>337</v>
      </c>
      <c r="C13689" s="7" t="s">
        <v>1227</v>
      </c>
      <c r="D13689" s="7" t="n">
        <v>16</v>
      </c>
      <c r="E13689" s="7" t="n">
        <v>285.89</v>
      </c>
      <c r="F13689" s="7" t="n">
        <v>0</v>
      </c>
      <c r="G13689" s="7" t="n">
        <v>0</v>
      </c>
    </row>
    <row r="13690" customFormat="false" ht="15" hidden="false" customHeight="false" outlineLevel="0" collapsed="false">
      <c r="A13690" s="7" t="s">
        <v>30</v>
      </c>
      <c r="B13690" s="7" t="s">
        <v>337</v>
      </c>
      <c r="C13690" s="7" t="s">
        <v>1227</v>
      </c>
      <c r="D13690" s="7" t="n">
        <v>5</v>
      </c>
      <c r="E13690" s="7" t="n">
        <v>100.12</v>
      </c>
      <c r="F13690" s="7" t="n">
        <v>0</v>
      </c>
      <c r="G13690" s="7" t="n">
        <v>0</v>
      </c>
    </row>
    <row r="13691" customFormat="false" ht="15" hidden="false" customHeight="false" outlineLevel="0" collapsed="false">
      <c r="A13691" s="7" t="s">
        <v>30</v>
      </c>
      <c r="B13691" s="7" t="s">
        <v>337</v>
      </c>
      <c r="C13691" s="7" t="s">
        <v>1227</v>
      </c>
      <c r="D13691" s="7" t="n">
        <v>0</v>
      </c>
      <c r="E13691" s="7" t="n">
        <v>0</v>
      </c>
      <c r="F13691" s="7" t="n">
        <v>10</v>
      </c>
      <c r="G13691" s="7" t="n">
        <v>187.16</v>
      </c>
    </row>
    <row r="13692" customFormat="false" ht="15" hidden="false" customHeight="false" outlineLevel="0" collapsed="false">
      <c r="A13692" s="7" t="s">
        <v>30</v>
      </c>
      <c r="B13692" s="7" t="s">
        <v>337</v>
      </c>
      <c r="C13692" s="7" t="s">
        <v>1227</v>
      </c>
      <c r="D13692" s="7" t="n">
        <v>0</v>
      </c>
      <c r="E13692" s="7" t="n">
        <v>0</v>
      </c>
      <c r="F13692" s="7" t="n">
        <v>25</v>
      </c>
      <c r="G13692" s="7" t="n">
        <v>458.42</v>
      </c>
    </row>
    <row r="13693" customFormat="false" ht="15" hidden="false" customHeight="false" outlineLevel="0" collapsed="false">
      <c r="A13693" s="7" t="s">
        <v>30</v>
      </c>
      <c r="B13693" s="7" t="s">
        <v>337</v>
      </c>
      <c r="C13693" s="7" t="s">
        <v>1227</v>
      </c>
      <c r="D13693" s="7" t="n">
        <v>25</v>
      </c>
      <c r="E13693" s="7" t="n">
        <v>457.95</v>
      </c>
      <c r="F13693" s="7" t="n">
        <v>0</v>
      </c>
      <c r="G13693" s="7" t="n">
        <v>0</v>
      </c>
    </row>
    <row r="13694" customFormat="false" ht="15" hidden="false" customHeight="false" outlineLevel="0" collapsed="false">
      <c r="A13694" s="7" t="s">
        <v>30</v>
      </c>
      <c r="B13694" s="7" t="s">
        <v>337</v>
      </c>
      <c r="C13694" s="7" t="s">
        <v>1227</v>
      </c>
      <c r="D13694" s="7" t="n">
        <v>12</v>
      </c>
      <c r="E13694" s="7" t="n">
        <v>238.32</v>
      </c>
      <c r="F13694" s="7" t="n">
        <v>0</v>
      </c>
      <c r="G13694" s="7" t="n">
        <v>0</v>
      </c>
    </row>
    <row r="13695" customFormat="false" ht="15" hidden="false" customHeight="false" outlineLevel="0" collapsed="false">
      <c r="A13695" s="7" t="s">
        <v>30</v>
      </c>
      <c r="B13695" s="7" t="s">
        <v>419</v>
      </c>
      <c r="C13695" s="7" t="s">
        <v>1228</v>
      </c>
      <c r="D13695" s="7" t="n">
        <v>15</v>
      </c>
      <c r="E13695" s="7" t="n">
        <v>251.01</v>
      </c>
      <c r="F13695" s="7" t="n">
        <v>0</v>
      </c>
      <c r="G13695" s="7" t="n">
        <v>0</v>
      </c>
    </row>
    <row r="13696" customFormat="false" ht="15" hidden="false" customHeight="false" outlineLevel="0" collapsed="false">
      <c r="A13696" s="7" t="s">
        <v>30</v>
      </c>
      <c r="B13696" s="7" t="s">
        <v>419</v>
      </c>
      <c r="C13696" s="7" t="s">
        <v>1228</v>
      </c>
      <c r="D13696" s="7" t="n">
        <v>12</v>
      </c>
      <c r="E13696" s="7" t="n">
        <v>187.88</v>
      </c>
      <c r="F13696" s="7" t="n">
        <v>0</v>
      </c>
      <c r="G13696" s="7" t="n">
        <v>0</v>
      </c>
    </row>
    <row r="13697" customFormat="false" ht="15" hidden="false" customHeight="false" outlineLevel="0" collapsed="false">
      <c r="A13697" s="7" t="s">
        <v>30</v>
      </c>
      <c r="B13697" s="7" t="s">
        <v>419</v>
      </c>
      <c r="C13697" s="7" t="s">
        <v>1228</v>
      </c>
      <c r="D13697" s="7" t="n">
        <v>0</v>
      </c>
      <c r="E13697" s="7" t="n">
        <v>0</v>
      </c>
      <c r="F13697" s="7" t="n">
        <v>12</v>
      </c>
      <c r="G13697" s="7" t="n">
        <v>185.41</v>
      </c>
    </row>
    <row r="13698" customFormat="false" ht="15" hidden="false" customHeight="false" outlineLevel="0" collapsed="false">
      <c r="A13698" s="7" t="s">
        <v>30</v>
      </c>
      <c r="B13698" s="7" t="s">
        <v>419</v>
      </c>
      <c r="C13698" s="7" t="s">
        <v>1228</v>
      </c>
      <c r="D13698" s="7" t="n">
        <v>10</v>
      </c>
      <c r="E13698" s="7" t="n">
        <v>162.74</v>
      </c>
      <c r="F13698" s="7" t="n">
        <v>0</v>
      </c>
      <c r="G13698" s="7" t="n">
        <v>0</v>
      </c>
    </row>
    <row r="13699" customFormat="false" ht="15" hidden="false" customHeight="false" outlineLevel="0" collapsed="false">
      <c r="A13699" s="7" t="s">
        <v>30</v>
      </c>
      <c r="B13699" s="7" t="s">
        <v>419</v>
      </c>
      <c r="C13699" s="7" t="s">
        <v>1228</v>
      </c>
      <c r="D13699" s="7" t="n">
        <v>1</v>
      </c>
      <c r="E13699" s="7" t="n">
        <v>0.04</v>
      </c>
      <c r="F13699" s="7" t="n">
        <v>0</v>
      </c>
      <c r="G13699" s="7" t="n">
        <v>0</v>
      </c>
    </row>
    <row r="13700" customFormat="false" ht="15" hidden="false" customHeight="false" outlineLevel="0" collapsed="false">
      <c r="A13700" s="7" t="s">
        <v>30</v>
      </c>
      <c r="B13700" s="7" t="s">
        <v>419</v>
      </c>
      <c r="C13700" s="7" t="s">
        <v>1228</v>
      </c>
      <c r="D13700" s="7" t="n">
        <v>15</v>
      </c>
      <c r="E13700" s="7" t="n">
        <v>228.89</v>
      </c>
      <c r="F13700" s="7" t="n">
        <v>0</v>
      </c>
      <c r="G13700" s="7" t="n">
        <v>0</v>
      </c>
    </row>
    <row r="13701" customFormat="false" ht="15" hidden="false" customHeight="false" outlineLevel="0" collapsed="false">
      <c r="A13701" s="7" t="s">
        <v>30</v>
      </c>
      <c r="B13701" s="7" t="s">
        <v>419</v>
      </c>
      <c r="C13701" s="7" t="s">
        <v>1228</v>
      </c>
      <c r="D13701" s="7" t="n">
        <v>10</v>
      </c>
      <c r="E13701" s="7" t="n">
        <v>161.17</v>
      </c>
      <c r="F13701" s="7" t="n">
        <v>0</v>
      </c>
      <c r="G13701" s="7" t="n">
        <v>0</v>
      </c>
    </row>
    <row r="13702" customFormat="false" ht="15" hidden="false" customHeight="false" outlineLevel="0" collapsed="false">
      <c r="A13702" s="7" t="s">
        <v>30</v>
      </c>
      <c r="B13702" s="7" t="s">
        <v>419</v>
      </c>
      <c r="C13702" s="7" t="s">
        <v>1228</v>
      </c>
      <c r="D13702" s="7" t="n">
        <v>0</v>
      </c>
      <c r="E13702" s="7" t="n">
        <v>0</v>
      </c>
      <c r="F13702" s="7" t="n">
        <v>10</v>
      </c>
      <c r="G13702" s="7" t="n">
        <v>155.55</v>
      </c>
    </row>
    <row r="13703" customFormat="false" ht="15" hidden="false" customHeight="false" outlineLevel="0" collapsed="false">
      <c r="A13703" s="7" t="s">
        <v>30</v>
      </c>
      <c r="B13703" s="7" t="s">
        <v>419</v>
      </c>
      <c r="C13703" s="7" t="s">
        <v>1228</v>
      </c>
      <c r="D13703" s="7" t="n">
        <v>0</v>
      </c>
      <c r="E13703" s="7" t="n">
        <v>0</v>
      </c>
      <c r="F13703" s="7" t="n">
        <v>5</v>
      </c>
      <c r="G13703" s="7" t="n">
        <v>78.85</v>
      </c>
    </row>
    <row r="13704" customFormat="false" ht="15" hidden="false" customHeight="false" outlineLevel="0" collapsed="false">
      <c r="A13704" s="7" t="s">
        <v>30</v>
      </c>
      <c r="B13704" s="7" t="s">
        <v>419</v>
      </c>
      <c r="C13704" s="7" t="s">
        <v>1228</v>
      </c>
      <c r="D13704" s="7" t="n">
        <v>0</v>
      </c>
      <c r="E13704" s="7" t="n">
        <v>0</v>
      </c>
      <c r="F13704" s="7" t="n">
        <v>5</v>
      </c>
      <c r="G13704" s="7" t="n">
        <v>78.85</v>
      </c>
    </row>
    <row r="13705" customFormat="false" ht="15" hidden="false" customHeight="false" outlineLevel="0" collapsed="false">
      <c r="A13705" s="7" t="s">
        <v>30</v>
      </c>
      <c r="B13705" s="7" t="s">
        <v>419</v>
      </c>
      <c r="C13705" s="7" t="s">
        <v>1228</v>
      </c>
      <c r="D13705" s="7" t="n">
        <v>0</v>
      </c>
      <c r="E13705" s="7" t="n">
        <v>0</v>
      </c>
      <c r="F13705" s="7" t="n">
        <v>15</v>
      </c>
      <c r="G13705" s="7" t="n">
        <v>237.61</v>
      </c>
    </row>
    <row r="13706" customFormat="false" ht="15" hidden="false" customHeight="false" outlineLevel="0" collapsed="false">
      <c r="A13706" s="7" t="s">
        <v>30</v>
      </c>
      <c r="B13706" s="7" t="s">
        <v>419</v>
      </c>
      <c r="C13706" s="7" t="s">
        <v>1228</v>
      </c>
      <c r="D13706" s="7" t="n">
        <v>1</v>
      </c>
      <c r="E13706" s="7" t="n">
        <v>0.04</v>
      </c>
      <c r="F13706" s="7" t="n">
        <v>0</v>
      </c>
      <c r="G13706" s="7" t="n">
        <v>0</v>
      </c>
    </row>
    <row r="13707" customFormat="false" ht="15" hidden="false" customHeight="false" outlineLevel="0" collapsed="false">
      <c r="A13707" s="7" t="s">
        <v>30</v>
      </c>
      <c r="B13707" s="7" t="s">
        <v>504</v>
      </c>
      <c r="C13707" s="7" t="s">
        <v>1172</v>
      </c>
      <c r="D13707" s="7" t="n">
        <v>2</v>
      </c>
      <c r="E13707" s="7" t="n">
        <v>14.45</v>
      </c>
      <c r="F13707" s="7" t="n">
        <v>0</v>
      </c>
      <c r="G13707" s="7" t="n">
        <v>0</v>
      </c>
    </row>
    <row r="13708" customFormat="false" ht="15" hidden="false" customHeight="false" outlineLevel="0" collapsed="false">
      <c r="A13708" s="7" t="s">
        <v>30</v>
      </c>
      <c r="B13708" s="7" t="s">
        <v>504</v>
      </c>
      <c r="C13708" s="7" t="s">
        <v>1172</v>
      </c>
      <c r="D13708" s="7" t="n">
        <v>3</v>
      </c>
      <c r="E13708" s="7" t="n">
        <v>22.16</v>
      </c>
      <c r="F13708" s="7" t="n">
        <v>0</v>
      </c>
      <c r="G13708" s="7" t="n">
        <v>0</v>
      </c>
    </row>
    <row r="13709" customFormat="false" ht="15" hidden="false" customHeight="false" outlineLevel="0" collapsed="false">
      <c r="A13709" s="7" t="s">
        <v>30</v>
      </c>
      <c r="B13709" s="7" t="s">
        <v>504</v>
      </c>
      <c r="C13709" s="7" t="s">
        <v>1172</v>
      </c>
      <c r="D13709" s="7" t="n">
        <v>0</v>
      </c>
      <c r="E13709" s="7" t="n">
        <v>0</v>
      </c>
      <c r="F13709" s="7" t="n">
        <v>2</v>
      </c>
      <c r="G13709" s="7" t="n">
        <v>15.6</v>
      </c>
    </row>
    <row r="13710" customFormat="false" ht="15" hidden="false" customHeight="false" outlineLevel="0" collapsed="false">
      <c r="A13710" s="7" t="s">
        <v>30</v>
      </c>
      <c r="B13710" s="7" t="s">
        <v>504</v>
      </c>
      <c r="C13710" s="7" t="s">
        <v>1172</v>
      </c>
      <c r="D13710" s="7" t="n">
        <v>0</v>
      </c>
      <c r="E13710" s="7" t="n">
        <v>0</v>
      </c>
      <c r="F13710" s="7" t="n">
        <v>2</v>
      </c>
      <c r="G13710" s="7" t="n">
        <v>14.56</v>
      </c>
    </row>
    <row r="13711" customFormat="false" ht="15" hidden="false" customHeight="false" outlineLevel="0" collapsed="false">
      <c r="A13711" s="7" t="s">
        <v>30</v>
      </c>
      <c r="B13711" s="7" t="s">
        <v>504</v>
      </c>
      <c r="C13711" s="7" t="s">
        <v>1172</v>
      </c>
      <c r="D13711" s="7" t="n">
        <v>2</v>
      </c>
      <c r="E13711" s="7" t="n">
        <v>14.93</v>
      </c>
      <c r="F13711" s="7" t="n">
        <v>0</v>
      </c>
      <c r="G13711" s="7" t="n">
        <v>0</v>
      </c>
    </row>
    <row r="13712" customFormat="false" ht="15" hidden="false" customHeight="false" outlineLevel="0" collapsed="false">
      <c r="A13712" s="7" t="s">
        <v>30</v>
      </c>
      <c r="B13712" s="7" t="s">
        <v>504</v>
      </c>
      <c r="C13712" s="7" t="s">
        <v>1172</v>
      </c>
      <c r="D13712" s="7" t="n">
        <v>2</v>
      </c>
      <c r="E13712" s="7" t="n">
        <v>14.25</v>
      </c>
      <c r="F13712" s="7" t="n">
        <v>0</v>
      </c>
      <c r="G13712" s="7" t="n">
        <v>0</v>
      </c>
    </row>
    <row r="13713" customFormat="false" ht="15" hidden="false" customHeight="false" outlineLevel="0" collapsed="false">
      <c r="A13713" s="7" t="s">
        <v>30</v>
      </c>
      <c r="B13713" s="7" t="s">
        <v>504</v>
      </c>
      <c r="C13713" s="7" t="s">
        <v>1172</v>
      </c>
      <c r="D13713" s="7" t="n">
        <v>0</v>
      </c>
      <c r="E13713" s="7" t="n">
        <v>0</v>
      </c>
      <c r="F13713" s="7" t="n">
        <v>6</v>
      </c>
      <c r="G13713" s="7" t="n">
        <v>46.2</v>
      </c>
    </row>
    <row r="13714" customFormat="false" ht="15" hidden="false" customHeight="false" outlineLevel="0" collapsed="false">
      <c r="A13714" s="7" t="s">
        <v>30</v>
      </c>
      <c r="B13714" s="7" t="s">
        <v>504</v>
      </c>
      <c r="C13714" s="7" t="s">
        <v>1172</v>
      </c>
      <c r="D13714" s="7" t="n">
        <v>0</v>
      </c>
      <c r="E13714" s="7" t="n">
        <v>0</v>
      </c>
      <c r="F13714" s="7" t="n">
        <v>2</v>
      </c>
      <c r="G13714" s="7" t="n">
        <v>14.62</v>
      </c>
    </row>
    <row r="13715" customFormat="false" ht="15" hidden="false" customHeight="false" outlineLevel="0" collapsed="false">
      <c r="A13715" s="7" t="s">
        <v>30</v>
      </c>
      <c r="B13715" s="7" t="s">
        <v>286</v>
      </c>
      <c r="C13715" s="7" t="s">
        <v>1092</v>
      </c>
      <c r="D13715" s="7" t="n">
        <v>3</v>
      </c>
      <c r="E13715" s="7" t="n">
        <v>55.26</v>
      </c>
      <c r="F13715" s="7" t="n">
        <v>0</v>
      </c>
      <c r="G13715" s="7" t="n">
        <v>0</v>
      </c>
    </row>
    <row r="13716" customFormat="false" ht="15" hidden="false" customHeight="false" outlineLevel="0" collapsed="false">
      <c r="A13716" s="7" t="s">
        <v>30</v>
      </c>
      <c r="B13716" s="7" t="s">
        <v>286</v>
      </c>
      <c r="C13716" s="7" t="s">
        <v>1092</v>
      </c>
      <c r="D13716" s="7" t="n">
        <v>5</v>
      </c>
      <c r="E13716" s="7" t="n">
        <v>94.7</v>
      </c>
      <c r="F13716" s="7" t="n">
        <v>0</v>
      </c>
      <c r="G13716" s="7" t="n">
        <v>0</v>
      </c>
    </row>
    <row r="13717" customFormat="false" ht="15" hidden="false" customHeight="false" outlineLevel="0" collapsed="false">
      <c r="A13717" s="7" t="s">
        <v>30</v>
      </c>
      <c r="B13717" s="7" t="s">
        <v>134</v>
      </c>
      <c r="C13717" s="7" t="s">
        <v>1093</v>
      </c>
      <c r="D13717" s="7" t="n">
        <v>40</v>
      </c>
      <c r="E13717" s="7" t="n">
        <v>623.78</v>
      </c>
      <c r="F13717" s="7" t="n">
        <v>0</v>
      </c>
      <c r="G13717" s="7" t="n">
        <v>0</v>
      </c>
    </row>
    <row r="13718" customFormat="false" ht="15" hidden="false" customHeight="false" outlineLevel="0" collapsed="false">
      <c r="A13718" s="7" t="s">
        <v>30</v>
      </c>
      <c r="B13718" s="7" t="s">
        <v>134</v>
      </c>
      <c r="C13718" s="7" t="s">
        <v>1093</v>
      </c>
      <c r="D13718" s="7" t="n">
        <v>0</v>
      </c>
      <c r="E13718" s="7" t="n">
        <v>0</v>
      </c>
      <c r="F13718" s="7" t="n">
        <v>65</v>
      </c>
      <c r="G13718" s="7" t="n">
        <v>1047.57</v>
      </c>
    </row>
    <row r="13719" customFormat="false" ht="15" hidden="false" customHeight="false" outlineLevel="0" collapsed="false">
      <c r="A13719" s="7" t="s">
        <v>30</v>
      </c>
      <c r="B13719" s="7" t="s">
        <v>134</v>
      </c>
      <c r="C13719" s="7" t="s">
        <v>1093</v>
      </c>
      <c r="D13719" s="7" t="n">
        <v>60</v>
      </c>
      <c r="E13719" s="7" t="n">
        <v>997.88</v>
      </c>
      <c r="F13719" s="7" t="n">
        <v>0</v>
      </c>
      <c r="G13719" s="7" t="n">
        <v>0</v>
      </c>
    </row>
    <row r="13720" customFormat="false" ht="15" hidden="false" customHeight="false" outlineLevel="0" collapsed="false">
      <c r="A13720" s="7" t="s">
        <v>30</v>
      </c>
      <c r="B13720" s="7" t="s">
        <v>134</v>
      </c>
      <c r="C13720" s="7" t="s">
        <v>1093</v>
      </c>
      <c r="D13720" s="7" t="n">
        <v>0</v>
      </c>
      <c r="E13720" s="7" t="n">
        <v>0</v>
      </c>
      <c r="F13720" s="7" t="n">
        <v>60</v>
      </c>
      <c r="G13720" s="7" t="n">
        <v>966.96</v>
      </c>
    </row>
    <row r="13721" customFormat="false" ht="15" hidden="false" customHeight="false" outlineLevel="0" collapsed="false">
      <c r="A13721" s="7" t="s">
        <v>30</v>
      </c>
      <c r="B13721" s="7" t="s">
        <v>134</v>
      </c>
      <c r="C13721" s="7" t="s">
        <v>1093</v>
      </c>
      <c r="D13721" s="7" t="n">
        <v>40</v>
      </c>
      <c r="E13721" s="7" t="n">
        <v>640.02</v>
      </c>
      <c r="F13721" s="7" t="n">
        <v>0</v>
      </c>
      <c r="G13721" s="7" t="n">
        <v>0</v>
      </c>
    </row>
    <row r="13722" customFormat="false" ht="15" hidden="false" customHeight="false" outlineLevel="0" collapsed="false">
      <c r="A13722" s="7" t="s">
        <v>30</v>
      </c>
      <c r="B13722" s="7" t="s">
        <v>134</v>
      </c>
      <c r="C13722" s="7" t="s">
        <v>1093</v>
      </c>
      <c r="D13722" s="7" t="n">
        <v>0</v>
      </c>
      <c r="E13722" s="7" t="n">
        <v>0</v>
      </c>
      <c r="F13722" s="7" t="n">
        <v>1</v>
      </c>
      <c r="G13722" s="7" t="n">
        <v>0.03</v>
      </c>
    </row>
    <row r="13723" customFormat="false" ht="15" hidden="false" customHeight="false" outlineLevel="0" collapsed="false">
      <c r="A13723" s="7" t="s">
        <v>30</v>
      </c>
      <c r="B13723" s="7" t="s">
        <v>134</v>
      </c>
      <c r="C13723" s="7" t="s">
        <v>1093</v>
      </c>
      <c r="D13723" s="7" t="n">
        <v>25</v>
      </c>
      <c r="E13723" s="7" t="n">
        <v>410.25</v>
      </c>
      <c r="F13723" s="7" t="n">
        <v>0</v>
      </c>
      <c r="G13723" s="7" t="n">
        <v>0</v>
      </c>
    </row>
    <row r="13724" customFormat="false" ht="15" hidden="false" customHeight="false" outlineLevel="0" collapsed="false">
      <c r="A13724" s="7" t="s">
        <v>30</v>
      </c>
      <c r="B13724" s="7" t="s">
        <v>134</v>
      </c>
      <c r="C13724" s="7" t="s">
        <v>1093</v>
      </c>
      <c r="D13724" s="7" t="n">
        <v>0</v>
      </c>
      <c r="E13724" s="7" t="n">
        <v>0</v>
      </c>
      <c r="F13724" s="7" t="n">
        <v>40</v>
      </c>
      <c r="G13724" s="7" t="n">
        <v>690.99</v>
      </c>
    </row>
    <row r="13725" customFormat="false" ht="15" hidden="false" customHeight="false" outlineLevel="0" collapsed="false">
      <c r="A13725" s="7" t="s">
        <v>30</v>
      </c>
      <c r="B13725" s="7" t="s">
        <v>134</v>
      </c>
      <c r="C13725" s="7" t="s">
        <v>1093</v>
      </c>
      <c r="D13725" s="7" t="n">
        <v>60</v>
      </c>
      <c r="E13725" s="7" t="n">
        <v>991.69</v>
      </c>
      <c r="F13725" s="7" t="n">
        <v>0</v>
      </c>
      <c r="G13725" s="7" t="n">
        <v>0</v>
      </c>
    </row>
    <row r="13726" customFormat="false" ht="15" hidden="false" customHeight="false" outlineLevel="0" collapsed="false">
      <c r="A13726" s="7" t="s">
        <v>30</v>
      </c>
      <c r="B13726" s="7" t="s">
        <v>134</v>
      </c>
      <c r="C13726" s="7" t="s">
        <v>1093</v>
      </c>
      <c r="D13726" s="7" t="n">
        <v>25</v>
      </c>
      <c r="E13726" s="7" t="n">
        <v>393.53</v>
      </c>
      <c r="F13726" s="7" t="n">
        <v>0</v>
      </c>
      <c r="G13726" s="7" t="n">
        <v>0</v>
      </c>
    </row>
    <row r="13727" customFormat="false" ht="15" hidden="false" customHeight="false" outlineLevel="0" collapsed="false">
      <c r="A13727" s="7" t="s">
        <v>30</v>
      </c>
      <c r="B13727" s="7" t="s">
        <v>134</v>
      </c>
      <c r="C13727" s="7" t="s">
        <v>1093</v>
      </c>
      <c r="D13727" s="7" t="n">
        <v>60</v>
      </c>
      <c r="E13727" s="7" t="n">
        <v>1034.56</v>
      </c>
      <c r="F13727" s="7" t="n">
        <v>0</v>
      </c>
      <c r="G13727" s="7" t="n">
        <v>0</v>
      </c>
    </row>
    <row r="13728" customFormat="false" ht="15" hidden="false" customHeight="false" outlineLevel="0" collapsed="false">
      <c r="A13728" s="7" t="s">
        <v>30</v>
      </c>
      <c r="B13728" s="7" t="s">
        <v>134</v>
      </c>
      <c r="C13728" s="7" t="s">
        <v>1093</v>
      </c>
      <c r="D13728" s="7" t="n">
        <v>0</v>
      </c>
      <c r="E13728" s="7" t="n">
        <v>0</v>
      </c>
      <c r="F13728" s="7" t="n">
        <v>20</v>
      </c>
      <c r="G13728" s="7" t="n">
        <v>323.78</v>
      </c>
    </row>
    <row r="13729" customFormat="false" ht="15" hidden="false" customHeight="false" outlineLevel="0" collapsed="false">
      <c r="A13729" s="7" t="s">
        <v>30</v>
      </c>
      <c r="B13729" s="7" t="s">
        <v>134</v>
      </c>
      <c r="C13729" s="7" t="s">
        <v>1093</v>
      </c>
      <c r="D13729" s="7" t="n">
        <v>0</v>
      </c>
      <c r="E13729" s="7" t="n">
        <v>0</v>
      </c>
      <c r="F13729" s="7" t="n">
        <v>40</v>
      </c>
      <c r="G13729" s="7" t="n">
        <v>676.29</v>
      </c>
    </row>
    <row r="13730" customFormat="false" ht="15" hidden="false" customHeight="false" outlineLevel="0" collapsed="false">
      <c r="A13730" s="7" t="s">
        <v>30</v>
      </c>
      <c r="B13730" s="7" t="s">
        <v>134</v>
      </c>
      <c r="C13730" s="7" t="s">
        <v>1093</v>
      </c>
      <c r="D13730" s="7" t="n">
        <v>60</v>
      </c>
      <c r="E13730" s="7" t="n">
        <v>946.42</v>
      </c>
      <c r="F13730" s="7" t="n">
        <v>0</v>
      </c>
      <c r="G13730" s="7" t="n">
        <v>0</v>
      </c>
    </row>
    <row r="13731" customFormat="false" ht="15" hidden="false" customHeight="false" outlineLevel="0" collapsed="false">
      <c r="A13731" s="7" t="s">
        <v>30</v>
      </c>
      <c r="B13731" s="7" t="s">
        <v>134</v>
      </c>
      <c r="C13731" s="7" t="s">
        <v>1093</v>
      </c>
      <c r="D13731" s="7" t="n">
        <v>0</v>
      </c>
      <c r="E13731" s="7" t="n">
        <v>0</v>
      </c>
      <c r="F13731" s="7" t="n">
        <v>1</v>
      </c>
      <c r="G13731" s="7" t="n">
        <v>0.03</v>
      </c>
    </row>
    <row r="13732" customFormat="false" ht="15" hidden="false" customHeight="false" outlineLevel="0" collapsed="false">
      <c r="A13732" s="7" t="s">
        <v>30</v>
      </c>
      <c r="B13732" s="7" t="s">
        <v>134</v>
      </c>
      <c r="C13732" s="7" t="s">
        <v>1093</v>
      </c>
      <c r="D13732" s="7" t="n">
        <v>40</v>
      </c>
      <c r="E13732" s="7" t="n">
        <v>654.28</v>
      </c>
      <c r="F13732" s="7" t="n">
        <v>0</v>
      </c>
      <c r="G13732" s="7" t="n">
        <v>0</v>
      </c>
    </row>
    <row r="13733" customFormat="false" ht="15" hidden="false" customHeight="false" outlineLevel="0" collapsed="false">
      <c r="A13733" s="7" t="s">
        <v>30</v>
      </c>
      <c r="B13733" s="7" t="s">
        <v>134</v>
      </c>
      <c r="C13733" s="7" t="s">
        <v>1093</v>
      </c>
      <c r="D13733" s="7" t="n">
        <v>0</v>
      </c>
      <c r="E13733" s="7" t="n">
        <v>0</v>
      </c>
      <c r="F13733" s="7" t="n">
        <v>90</v>
      </c>
      <c r="G13733" s="7" t="n">
        <v>1421.1</v>
      </c>
    </row>
    <row r="13734" customFormat="false" ht="15" hidden="false" customHeight="false" outlineLevel="0" collapsed="false">
      <c r="A13734" s="7" t="s">
        <v>30</v>
      </c>
      <c r="B13734" s="7" t="s">
        <v>134</v>
      </c>
      <c r="C13734" s="7" t="s">
        <v>1093</v>
      </c>
      <c r="D13734" s="7" t="n">
        <v>40</v>
      </c>
      <c r="E13734" s="7" t="n">
        <v>658.87</v>
      </c>
      <c r="F13734" s="7" t="n">
        <v>0</v>
      </c>
      <c r="G13734" s="7" t="n">
        <v>0</v>
      </c>
    </row>
    <row r="13735" customFormat="false" ht="15" hidden="false" customHeight="false" outlineLevel="0" collapsed="false">
      <c r="A13735" s="7" t="s">
        <v>30</v>
      </c>
      <c r="B13735" s="7" t="s">
        <v>134</v>
      </c>
      <c r="C13735" s="7" t="s">
        <v>1093</v>
      </c>
      <c r="D13735" s="7" t="n">
        <v>0</v>
      </c>
      <c r="E13735" s="7" t="n">
        <v>0</v>
      </c>
      <c r="F13735" s="7" t="n">
        <v>80</v>
      </c>
      <c r="G13735" s="7" t="n">
        <v>1271.76</v>
      </c>
    </row>
    <row r="13736" customFormat="false" ht="15" hidden="false" customHeight="false" outlineLevel="0" collapsed="false">
      <c r="A13736" s="7" t="s">
        <v>30</v>
      </c>
      <c r="B13736" s="7" t="s">
        <v>134</v>
      </c>
      <c r="C13736" s="7" t="s">
        <v>1093</v>
      </c>
      <c r="D13736" s="7" t="n">
        <v>40</v>
      </c>
      <c r="E13736" s="7" t="n">
        <v>684.06</v>
      </c>
      <c r="F13736" s="7" t="n">
        <v>0</v>
      </c>
      <c r="G13736" s="7" t="n">
        <v>0</v>
      </c>
    </row>
    <row r="13737" customFormat="false" ht="15" hidden="false" customHeight="false" outlineLevel="0" collapsed="false">
      <c r="A13737" s="7" t="s">
        <v>30</v>
      </c>
      <c r="B13737" s="7" t="s">
        <v>217</v>
      </c>
      <c r="C13737" s="7" t="s">
        <v>1094</v>
      </c>
      <c r="D13737" s="7" t="n">
        <v>4</v>
      </c>
      <c r="E13737" s="7" t="n">
        <v>55.9</v>
      </c>
      <c r="F13737" s="7" t="n">
        <v>0</v>
      </c>
      <c r="G13737" s="7" t="n">
        <v>0</v>
      </c>
    </row>
    <row r="13738" customFormat="false" ht="15" hidden="false" customHeight="false" outlineLevel="0" collapsed="false">
      <c r="A13738" s="7" t="s">
        <v>30</v>
      </c>
      <c r="B13738" s="7" t="s">
        <v>740</v>
      </c>
      <c r="C13738" s="7" t="s">
        <v>1173</v>
      </c>
      <c r="D13738" s="7" t="n">
        <v>0</v>
      </c>
      <c r="E13738" s="7" t="n">
        <v>0</v>
      </c>
      <c r="F13738" s="7" t="n">
        <v>3</v>
      </c>
      <c r="G13738" s="7" t="n">
        <v>29.7</v>
      </c>
    </row>
    <row r="13739" customFormat="false" ht="15" hidden="false" customHeight="false" outlineLevel="0" collapsed="false">
      <c r="A13739" s="7" t="s">
        <v>30</v>
      </c>
      <c r="B13739" s="7" t="s">
        <v>740</v>
      </c>
      <c r="C13739" s="7" t="s">
        <v>1173</v>
      </c>
      <c r="D13739" s="7" t="n">
        <v>0</v>
      </c>
      <c r="E13739" s="7" t="n">
        <v>0</v>
      </c>
      <c r="F13739" s="7" t="n">
        <v>10</v>
      </c>
      <c r="G13739" s="7" t="n">
        <v>93.58</v>
      </c>
    </row>
    <row r="13740" customFormat="false" ht="15" hidden="false" customHeight="false" outlineLevel="0" collapsed="false">
      <c r="A13740" s="7" t="s">
        <v>30</v>
      </c>
      <c r="B13740" s="7" t="s">
        <v>740</v>
      </c>
      <c r="C13740" s="7" t="s">
        <v>1173</v>
      </c>
      <c r="D13740" s="7" t="n">
        <v>5</v>
      </c>
      <c r="E13740" s="7" t="n">
        <v>47.99</v>
      </c>
      <c r="F13740" s="7" t="n">
        <v>0</v>
      </c>
      <c r="G13740" s="7" t="n">
        <v>0</v>
      </c>
    </row>
    <row r="13741" customFormat="false" ht="15" hidden="false" customHeight="false" outlineLevel="0" collapsed="false">
      <c r="A13741" s="7" t="s">
        <v>30</v>
      </c>
      <c r="B13741" s="7" t="s">
        <v>740</v>
      </c>
      <c r="C13741" s="7" t="s">
        <v>1173</v>
      </c>
      <c r="D13741" s="7" t="n">
        <v>0</v>
      </c>
      <c r="E13741" s="7" t="n">
        <v>0</v>
      </c>
      <c r="F13741" s="7" t="n">
        <v>2</v>
      </c>
      <c r="G13741" s="7" t="n">
        <v>18.8</v>
      </c>
    </row>
    <row r="13742" customFormat="false" ht="15" hidden="false" customHeight="false" outlineLevel="0" collapsed="false">
      <c r="A13742" s="7" t="s">
        <v>30</v>
      </c>
      <c r="B13742" s="7" t="s">
        <v>740</v>
      </c>
      <c r="C13742" s="7" t="s">
        <v>1173</v>
      </c>
      <c r="D13742" s="7" t="n">
        <v>0</v>
      </c>
      <c r="E13742" s="7" t="n">
        <v>0</v>
      </c>
      <c r="F13742" s="7" t="n">
        <v>2</v>
      </c>
      <c r="G13742" s="7" t="n">
        <v>18.34</v>
      </c>
    </row>
    <row r="13743" customFormat="false" ht="15" hidden="false" customHeight="false" outlineLevel="0" collapsed="false">
      <c r="A13743" s="7" t="s">
        <v>30</v>
      </c>
      <c r="B13743" s="7" t="s">
        <v>740</v>
      </c>
      <c r="C13743" s="7" t="s">
        <v>1173</v>
      </c>
      <c r="D13743" s="7" t="n">
        <v>2</v>
      </c>
      <c r="E13743" s="7" t="n">
        <v>19.86</v>
      </c>
      <c r="F13743" s="7" t="n">
        <v>0</v>
      </c>
      <c r="G13743" s="7" t="n">
        <v>0</v>
      </c>
    </row>
    <row r="13744" customFormat="false" ht="15" hidden="false" customHeight="false" outlineLevel="0" collapsed="false">
      <c r="A13744" s="7" t="s">
        <v>30</v>
      </c>
      <c r="B13744" s="7" t="s">
        <v>740</v>
      </c>
      <c r="C13744" s="7" t="s">
        <v>1173</v>
      </c>
      <c r="D13744" s="7" t="n">
        <v>2</v>
      </c>
      <c r="E13744" s="7" t="n">
        <v>20.02</v>
      </c>
      <c r="F13744" s="7" t="n">
        <v>0</v>
      </c>
      <c r="G13744" s="7" t="n">
        <v>0</v>
      </c>
    </row>
    <row r="13745" customFormat="false" ht="15" hidden="false" customHeight="false" outlineLevel="0" collapsed="false">
      <c r="A13745" s="7" t="s">
        <v>30</v>
      </c>
      <c r="B13745" s="7" t="s">
        <v>740</v>
      </c>
      <c r="C13745" s="7" t="s">
        <v>1173</v>
      </c>
      <c r="D13745" s="7" t="n">
        <v>2</v>
      </c>
      <c r="E13745" s="7" t="n">
        <v>19.31</v>
      </c>
      <c r="F13745" s="7" t="n">
        <v>0</v>
      </c>
      <c r="G13745" s="7" t="n">
        <v>0</v>
      </c>
    </row>
    <row r="13746" customFormat="false" ht="15" hidden="false" customHeight="false" outlineLevel="0" collapsed="false">
      <c r="A13746" s="7" t="s">
        <v>30</v>
      </c>
      <c r="B13746" s="7" t="s">
        <v>387</v>
      </c>
      <c r="C13746" s="7" t="s">
        <v>1095</v>
      </c>
      <c r="D13746" s="7" t="n">
        <v>20</v>
      </c>
      <c r="E13746" s="7" t="n">
        <v>191.29</v>
      </c>
      <c r="F13746" s="7" t="n">
        <v>0</v>
      </c>
      <c r="G13746" s="7" t="n">
        <v>0</v>
      </c>
    </row>
    <row r="13747" customFormat="false" ht="15" hidden="false" customHeight="false" outlineLevel="0" collapsed="false">
      <c r="A13747" s="7" t="s">
        <v>30</v>
      </c>
      <c r="B13747" s="7" t="s">
        <v>387</v>
      </c>
      <c r="C13747" s="7" t="s">
        <v>1095</v>
      </c>
      <c r="D13747" s="7" t="n">
        <v>10</v>
      </c>
      <c r="E13747" s="7" t="n">
        <v>94.98</v>
      </c>
      <c r="F13747" s="7" t="n">
        <v>0</v>
      </c>
      <c r="G13747" s="7" t="n">
        <v>0</v>
      </c>
    </row>
    <row r="13748" customFormat="false" ht="15" hidden="false" customHeight="false" outlineLevel="0" collapsed="false">
      <c r="A13748" s="7" t="s">
        <v>30</v>
      </c>
      <c r="B13748" s="7" t="s">
        <v>387</v>
      </c>
      <c r="C13748" s="7" t="s">
        <v>1095</v>
      </c>
      <c r="D13748" s="7" t="n">
        <v>0</v>
      </c>
      <c r="E13748" s="7" t="n">
        <v>0</v>
      </c>
      <c r="F13748" s="7" t="n">
        <v>20</v>
      </c>
      <c r="G13748" s="7" t="n">
        <v>187.15</v>
      </c>
    </row>
    <row r="13749" customFormat="false" ht="15" hidden="false" customHeight="false" outlineLevel="0" collapsed="false">
      <c r="A13749" s="7" t="s">
        <v>30</v>
      </c>
      <c r="B13749" s="7" t="s">
        <v>387</v>
      </c>
      <c r="C13749" s="7" t="s">
        <v>1095</v>
      </c>
      <c r="D13749" s="7" t="n">
        <v>20</v>
      </c>
      <c r="E13749" s="7" t="n">
        <v>185.81</v>
      </c>
      <c r="F13749" s="7" t="n">
        <v>0</v>
      </c>
      <c r="G13749" s="7" t="n">
        <v>0</v>
      </c>
    </row>
    <row r="13750" customFormat="false" ht="15" hidden="false" customHeight="false" outlineLevel="0" collapsed="false">
      <c r="A13750" s="7" t="s">
        <v>30</v>
      </c>
      <c r="B13750" s="7" t="s">
        <v>387</v>
      </c>
      <c r="C13750" s="7" t="s">
        <v>1095</v>
      </c>
      <c r="D13750" s="7" t="n">
        <v>0</v>
      </c>
      <c r="E13750" s="7" t="n">
        <v>0</v>
      </c>
      <c r="F13750" s="7" t="n">
        <v>30</v>
      </c>
      <c r="G13750" s="7" t="n">
        <v>280.74</v>
      </c>
    </row>
    <row r="13751" customFormat="false" ht="15" hidden="false" customHeight="false" outlineLevel="0" collapsed="false">
      <c r="A13751" s="7" t="s">
        <v>30</v>
      </c>
      <c r="B13751" s="7" t="s">
        <v>387</v>
      </c>
      <c r="C13751" s="7" t="s">
        <v>1095</v>
      </c>
      <c r="D13751" s="7" t="n">
        <v>0</v>
      </c>
      <c r="E13751" s="7" t="n">
        <v>0</v>
      </c>
      <c r="F13751" s="7" t="n">
        <v>30</v>
      </c>
      <c r="G13751" s="7" t="n">
        <v>294.52</v>
      </c>
    </row>
    <row r="13752" customFormat="false" ht="15" hidden="false" customHeight="false" outlineLevel="0" collapsed="false">
      <c r="A13752" s="7" t="s">
        <v>30</v>
      </c>
      <c r="B13752" s="7" t="s">
        <v>387</v>
      </c>
      <c r="C13752" s="7" t="s">
        <v>1095</v>
      </c>
      <c r="D13752" s="7" t="n">
        <v>5</v>
      </c>
      <c r="E13752" s="7" t="n">
        <v>50.06</v>
      </c>
      <c r="F13752" s="7" t="n">
        <v>0</v>
      </c>
      <c r="G13752" s="7" t="n">
        <v>0</v>
      </c>
    </row>
    <row r="13753" customFormat="false" ht="15" hidden="false" customHeight="false" outlineLevel="0" collapsed="false">
      <c r="A13753" s="7" t="s">
        <v>30</v>
      </c>
      <c r="B13753" s="7" t="s">
        <v>387</v>
      </c>
      <c r="C13753" s="7" t="s">
        <v>1095</v>
      </c>
      <c r="D13753" s="7" t="n">
        <v>0</v>
      </c>
      <c r="E13753" s="7" t="n">
        <v>0</v>
      </c>
      <c r="F13753" s="7" t="n">
        <v>12</v>
      </c>
      <c r="G13753" s="7" t="n">
        <v>110.77</v>
      </c>
    </row>
    <row r="13754" customFormat="false" ht="15" hidden="false" customHeight="false" outlineLevel="0" collapsed="false">
      <c r="A13754" s="7" t="s">
        <v>30</v>
      </c>
      <c r="B13754" s="7" t="s">
        <v>387</v>
      </c>
      <c r="C13754" s="7" t="s">
        <v>1095</v>
      </c>
      <c r="D13754" s="7" t="n">
        <v>25</v>
      </c>
      <c r="E13754" s="7" t="n">
        <v>238.2</v>
      </c>
      <c r="F13754" s="7" t="n">
        <v>0</v>
      </c>
      <c r="G13754" s="7" t="n">
        <v>0</v>
      </c>
    </row>
    <row r="13755" customFormat="false" ht="15" hidden="false" customHeight="false" outlineLevel="0" collapsed="false">
      <c r="A13755" s="7" t="s">
        <v>30</v>
      </c>
      <c r="B13755" s="7" t="s">
        <v>387</v>
      </c>
      <c r="C13755" s="7" t="s">
        <v>1095</v>
      </c>
      <c r="D13755" s="7" t="n">
        <v>25</v>
      </c>
      <c r="E13755" s="7" t="n">
        <v>241.43</v>
      </c>
      <c r="F13755" s="7" t="n">
        <v>0</v>
      </c>
      <c r="G13755" s="7" t="n">
        <v>0</v>
      </c>
    </row>
    <row r="13756" customFormat="false" ht="15" hidden="false" customHeight="false" outlineLevel="0" collapsed="false">
      <c r="A13756" s="7" t="s">
        <v>30</v>
      </c>
      <c r="B13756" s="7" t="s">
        <v>387</v>
      </c>
      <c r="C13756" s="7" t="s">
        <v>1095</v>
      </c>
      <c r="D13756" s="7" t="n">
        <v>35</v>
      </c>
      <c r="E13756" s="7" t="n">
        <v>316.93</v>
      </c>
      <c r="F13756" s="7" t="n">
        <v>0</v>
      </c>
      <c r="G13756" s="7" t="n">
        <v>0</v>
      </c>
    </row>
    <row r="13757" customFormat="false" ht="15" hidden="false" customHeight="false" outlineLevel="0" collapsed="false">
      <c r="A13757" s="7" t="s">
        <v>30</v>
      </c>
      <c r="B13757" s="7" t="s">
        <v>387</v>
      </c>
      <c r="C13757" s="7" t="s">
        <v>1095</v>
      </c>
      <c r="D13757" s="7" t="n">
        <v>25</v>
      </c>
      <c r="E13757" s="7" t="n">
        <v>228.97</v>
      </c>
      <c r="F13757" s="7" t="n">
        <v>0</v>
      </c>
      <c r="G13757" s="7" t="n">
        <v>0</v>
      </c>
    </row>
    <row r="13758" customFormat="false" ht="15" hidden="false" customHeight="false" outlineLevel="0" collapsed="false">
      <c r="A13758" s="7" t="s">
        <v>30</v>
      </c>
      <c r="B13758" s="7" t="s">
        <v>387</v>
      </c>
      <c r="C13758" s="7" t="s">
        <v>1095</v>
      </c>
      <c r="D13758" s="7" t="n">
        <v>0</v>
      </c>
      <c r="E13758" s="7" t="n">
        <v>0</v>
      </c>
      <c r="F13758" s="7" t="n">
        <v>5</v>
      </c>
      <c r="G13758" s="7" t="n">
        <v>50.15</v>
      </c>
    </row>
    <row r="13759" customFormat="false" ht="15" hidden="false" customHeight="false" outlineLevel="0" collapsed="false">
      <c r="A13759" s="7" t="s">
        <v>30</v>
      </c>
      <c r="B13759" s="7" t="s">
        <v>387</v>
      </c>
      <c r="C13759" s="7" t="s">
        <v>1095</v>
      </c>
      <c r="D13759" s="7" t="n">
        <v>70</v>
      </c>
      <c r="E13759" s="7" t="n">
        <v>695.1</v>
      </c>
      <c r="F13759" s="7" t="n">
        <v>0</v>
      </c>
      <c r="G13759" s="7" t="n">
        <v>0</v>
      </c>
    </row>
    <row r="13760" customFormat="false" ht="15" hidden="false" customHeight="false" outlineLevel="0" collapsed="false">
      <c r="A13760" s="7" t="s">
        <v>30</v>
      </c>
      <c r="B13760" s="7" t="s">
        <v>387</v>
      </c>
      <c r="C13760" s="7" t="s">
        <v>1095</v>
      </c>
      <c r="D13760" s="7" t="n">
        <v>0</v>
      </c>
      <c r="E13760" s="7" t="n">
        <v>0</v>
      </c>
      <c r="F13760" s="7" t="n">
        <v>40</v>
      </c>
      <c r="G13760" s="7" t="n">
        <v>366.74</v>
      </c>
    </row>
    <row r="13761" customFormat="false" ht="15" hidden="false" customHeight="false" outlineLevel="0" collapsed="false">
      <c r="A13761" s="7" t="s">
        <v>30</v>
      </c>
      <c r="B13761" s="7" t="s">
        <v>387</v>
      </c>
      <c r="C13761" s="7" t="s">
        <v>1095</v>
      </c>
      <c r="D13761" s="7" t="n">
        <v>20</v>
      </c>
      <c r="E13761" s="7" t="n">
        <v>182.8</v>
      </c>
      <c r="F13761" s="7" t="n">
        <v>0</v>
      </c>
      <c r="G13761" s="7" t="n">
        <v>0</v>
      </c>
    </row>
    <row r="13762" customFormat="false" ht="15" hidden="false" customHeight="false" outlineLevel="0" collapsed="false">
      <c r="A13762" s="7" t="s">
        <v>30</v>
      </c>
      <c r="B13762" s="7" t="s">
        <v>387</v>
      </c>
      <c r="C13762" s="7" t="s">
        <v>1095</v>
      </c>
      <c r="D13762" s="7" t="n">
        <v>0</v>
      </c>
      <c r="E13762" s="7" t="n">
        <v>0</v>
      </c>
      <c r="F13762" s="7" t="n">
        <v>10</v>
      </c>
      <c r="G13762" s="7" t="n">
        <v>94</v>
      </c>
    </row>
    <row r="13763" customFormat="false" ht="15" hidden="false" customHeight="false" outlineLevel="0" collapsed="false">
      <c r="A13763" s="7" t="s">
        <v>30</v>
      </c>
      <c r="B13763" s="7" t="s">
        <v>367</v>
      </c>
      <c r="C13763" s="7" t="s">
        <v>1095</v>
      </c>
      <c r="D13763" s="7" t="n">
        <v>10</v>
      </c>
      <c r="E13763" s="7" t="n">
        <v>103.23</v>
      </c>
      <c r="F13763" s="7" t="n">
        <v>0</v>
      </c>
      <c r="G13763" s="7" t="n">
        <v>0</v>
      </c>
    </row>
    <row r="13764" customFormat="false" ht="15" hidden="false" customHeight="false" outlineLevel="0" collapsed="false">
      <c r="A13764" s="7" t="s">
        <v>30</v>
      </c>
      <c r="B13764" s="7" t="s">
        <v>367</v>
      </c>
      <c r="C13764" s="7" t="s">
        <v>1095</v>
      </c>
      <c r="D13764" s="7" t="n">
        <v>0</v>
      </c>
      <c r="E13764" s="7" t="n">
        <v>0</v>
      </c>
      <c r="F13764" s="7" t="n">
        <v>5</v>
      </c>
      <c r="G13764" s="7" t="n">
        <v>51.28</v>
      </c>
    </row>
    <row r="13765" customFormat="false" ht="15" hidden="false" customHeight="false" outlineLevel="0" collapsed="false">
      <c r="A13765" s="7" t="s">
        <v>30</v>
      </c>
      <c r="B13765" s="7" t="s">
        <v>367</v>
      </c>
      <c r="C13765" s="7" t="s">
        <v>1095</v>
      </c>
      <c r="D13765" s="7" t="n">
        <v>15</v>
      </c>
      <c r="E13765" s="7" t="n">
        <v>152.33</v>
      </c>
      <c r="F13765" s="7" t="n">
        <v>0</v>
      </c>
      <c r="G13765" s="7" t="n">
        <v>0</v>
      </c>
    </row>
    <row r="13766" customFormat="false" ht="15" hidden="false" customHeight="false" outlineLevel="0" collapsed="false">
      <c r="A13766" s="7" t="s">
        <v>30</v>
      </c>
      <c r="B13766" s="7" t="s">
        <v>367</v>
      </c>
      <c r="C13766" s="7" t="s">
        <v>1095</v>
      </c>
      <c r="D13766" s="7" t="n">
        <v>25</v>
      </c>
      <c r="E13766" s="7" t="n">
        <v>265.67</v>
      </c>
      <c r="F13766" s="7" t="n">
        <v>0</v>
      </c>
      <c r="G13766" s="7" t="n">
        <v>0</v>
      </c>
    </row>
    <row r="13767" customFormat="false" ht="15" hidden="false" customHeight="false" outlineLevel="0" collapsed="false">
      <c r="A13767" s="7" t="s">
        <v>30</v>
      </c>
      <c r="B13767" s="7" t="s">
        <v>367</v>
      </c>
      <c r="C13767" s="7" t="s">
        <v>1095</v>
      </c>
      <c r="D13767" s="7" t="n">
        <v>20</v>
      </c>
      <c r="E13767" s="7" t="n">
        <v>220.66</v>
      </c>
      <c r="F13767" s="7" t="n">
        <v>0</v>
      </c>
      <c r="G13767" s="7" t="n">
        <v>0</v>
      </c>
    </row>
    <row r="13768" customFormat="false" ht="15" hidden="false" customHeight="false" outlineLevel="0" collapsed="false">
      <c r="A13768" s="7" t="s">
        <v>30</v>
      </c>
      <c r="B13768" s="7" t="s">
        <v>367</v>
      </c>
      <c r="C13768" s="7" t="s">
        <v>1095</v>
      </c>
      <c r="D13768" s="7" t="n">
        <v>35</v>
      </c>
      <c r="E13768" s="7" t="n">
        <v>352.13</v>
      </c>
      <c r="F13768" s="7" t="n">
        <v>0</v>
      </c>
      <c r="G13768" s="7" t="n">
        <v>0</v>
      </c>
    </row>
    <row r="13769" customFormat="false" ht="15" hidden="false" customHeight="false" outlineLevel="0" collapsed="false">
      <c r="A13769" s="7" t="s">
        <v>30</v>
      </c>
      <c r="B13769" s="7" t="s">
        <v>367</v>
      </c>
      <c r="C13769" s="7" t="s">
        <v>1095</v>
      </c>
      <c r="D13769" s="7" t="n">
        <v>0</v>
      </c>
      <c r="E13769" s="7" t="n">
        <v>0</v>
      </c>
      <c r="F13769" s="7" t="n">
        <v>5</v>
      </c>
      <c r="G13769" s="7" t="n">
        <v>52.22</v>
      </c>
    </row>
    <row r="13770" customFormat="false" ht="15" hidden="false" customHeight="false" outlineLevel="0" collapsed="false">
      <c r="A13770" s="7" t="s">
        <v>30</v>
      </c>
      <c r="B13770" s="7" t="s">
        <v>367</v>
      </c>
      <c r="C13770" s="7" t="s">
        <v>1095</v>
      </c>
      <c r="D13770" s="7" t="n">
        <v>20</v>
      </c>
      <c r="E13770" s="7" t="n">
        <v>214.6</v>
      </c>
      <c r="F13770" s="7" t="n">
        <v>0</v>
      </c>
      <c r="G13770" s="7" t="n">
        <v>0</v>
      </c>
    </row>
    <row r="13771" customFormat="false" ht="15" hidden="false" customHeight="false" outlineLevel="0" collapsed="false">
      <c r="A13771" s="7" t="s">
        <v>30</v>
      </c>
      <c r="B13771" s="7" t="s">
        <v>367</v>
      </c>
      <c r="C13771" s="7" t="s">
        <v>1095</v>
      </c>
      <c r="D13771" s="7" t="n">
        <v>70</v>
      </c>
      <c r="E13771" s="7" t="n">
        <v>712.36</v>
      </c>
      <c r="F13771" s="7" t="n">
        <v>0</v>
      </c>
      <c r="G13771" s="7" t="n">
        <v>0</v>
      </c>
    </row>
    <row r="13772" customFormat="false" ht="15" hidden="false" customHeight="false" outlineLevel="0" collapsed="false">
      <c r="A13772" s="7" t="s">
        <v>30</v>
      </c>
      <c r="B13772" s="7" t="s">
        <v>367</v>
      </c>
      <c r="C13772" s="7" t="s">
        <v>1095</v>
      </c>
      <c r="D13772" s="7" t="n">
        <v>10</v>
      </c>
      <c r="E13772" s="7" t="n">
        <v>106.63</v>
      </c>
      <c r="F13772" s="7" t="n">
        <v>0</v>
      </c>
      <c r="G13772" s="7" t="n">
        <v>0</v>
      </c>
    </row>
    <row r="13773" customFormat="false" ht="15" hidden="false" customHeight="false" outlineLevel="0" collapsed="false">
      <c r="A13773" s="7" t="s">
        <v>30</v>
      </c>
      <c r="B13773" s="7" t="s">
        <v>367</v>
      </c>
      <c r="C13773" s="7" t="s">
        <v>1095</v>
      </c>
      <c r="D13773" s="7" t="n">
        <v>0</v>
      </c>
      <c r="E13773" s="7" t="n">
        <v>0</v>
      </c>
      <c r="F13773" s="7" t="n">
        <v>20</v>
      </c>
      <c r="G13773" s="7" t="n">
        <v>207.95</v>
      </c>
    </row>
    <row r="13774" customFormat="false" ht="15" hidden="false" customHeight="false" outlineLevel="0" collapsed="false">
      <c r="A13774" s="7" t="s">
        <v>30</v>
      </c>
      <c r="B13774" s="7" t="s">
        <v>367</v>
      </c>
      <c r="C13774" s="7" t="s">
        <v>1095</v>
      </c>
      <c r="D13774" s="7" t="n">
        <v>0</v>
      </c>
      <c r="E13774" s="7" t="n">
        <v>0</v>
      </c>
      <c r="F13774" s="7" t="n">
        <v>35</v>
      </c>
      <c r="G13774" s="7" t="n">
        <v>356.55</v>
      </c>
    </row>
    <row r="13775" customFormat="false" ht="15" hidden="false" customHeight="false" outlineLevel="0" collapsed="false">
      <c r="A13775" s="7" t="s">
        <v>30</v>
      </c>
      <c r="B13775" s="7" t="s">
        <v>367</v>
      </c>
      <c r="C13775" s="7" t="s">
        <v>1095</v>
      </c>
      <c r="D13775" s="7" t="n">
        <v>0</v>
      </c>
      <c r="E13775" s="7" t="n">
        <v>0</v>
      </c>
      <c r="F13775" s="7" t="n">
        <v>20</v>
      </c>
      <c r="G13775" s="7" t="n">
        <v>207.95</v>
      </c>
    </row>
    <row r="13776" customFormat="false" ht="15" hidden="false" customHeight="false" outlineLevel="0" collapsed="false">
      <c r="A13776" s="7" t="s">
        <v>30</v>
      </c>
      <c r="B13776" s="7" t="s">
        <v>367</v>
      </c>
      <c r="C13776" s="7" t="s">
        <v>1095</v>
      </c>
      <c r="D13776" s="7" t="n">
        <v>0</v>
      </c>
      <c r="E13776" s="7" t="n">
        <v>0</v>
      </c>
      <c r="F13776" s="7" t="n">
        <v>35</v>
      </c>
      <c r="G13776" s="7" t="n">
        <v>381.78</v>
      </c>
    </row>
    <row r="13777" customFormat="false" ht="15" hidden="false" customHeight="false" outlineLevel="0" collapsed="false">
      <c r="A13777" s="7" t="s">
        <v>30</v>
      </c>
      <c r="B13777" s="7" t="s">
        <v>367</v>
      </c>
      <c r="C13777" s="7" t="s">
        <v>1095</v>
      </c>
      <c r="D13777" s="7" t="n">
        <v>0</v>
      </c>
      <c r="E13777" s="7" t="n">
        <v>0</v>
      </c>
      <c r="F13777" s="7" t="n">
        <v>1</v>
      </c>
      <c r="G13777" s="7" t="n">
        <v>0.03</v>
      </c>
    </row>
    <row r="13778" customFormat="false" ht="15" hidden="false" customHeight="false" outlineLevel="0" collapsed="false">
      <c r="A13778" s="7" t="s">
        <v>30</v>
      </c>
      <c r="B13778" s="7" t="s">
        <v>367</v>
      </c>
      <c r="C13778" s="7" t="s">
        <v>1095</v>
      </c>
      <c r="D13778" s="7" t="n">
        <v>20</v>
      </c>
      <c r="E13778" s="7" t="n">
        <v>211.06</v>
      </c>
      <c r="F13778" s="7" t="n">
        <v>0</v>
      </c>
      <c r="G13778" s="7" t="n">
        <v>0</v>
      </c>
    </row>
    <row r="13779" customFormat="false" ht="15" hidden="false" customHeight="false" outlineLevel="0" collapsed="false">
      <c r="A13779" s="7" t="s">
        <v>30</v>
      </c>
      <c r="B13779" s="7" t="s">
        <v>182</v>
      </c>
      <c r="C13779" s="7" t="s">
        <v>1232</v>
      </c>
      <c r="D13779" s="7" t="n">
        <v>10</v>
      </c>
      <c r="E13779" s="7" t="n">
        <v>442.87</v>
      </c>
      <c r="F13779" s="7" t="n">
        <v>0</v>
      </c>
      <c r="G13779" s="7" t="n">
        <v>0</v>
      </c>
    </row>
    <row r="13780" customFormat="false" ht="15" hidden="false" customHeight="false" outlineLevel="0" collapsed="false">
      <c r="A13780" s="7" t="s">
        <v>30</v>
      </c>
      <c r="B13780" s="7" t="s">
        <v>182</v>
      </c>
      <c r="C13780" s="7" t="s">
        <v>1232</v>
      </c>
      <c r="D13780" s="7" t="n">
        <v>15</v>
      </c>
      <c r="E13780" s="7" t="n">
        <v>720.23</v>
      </c>
      <c r="F13780" s="7" t="n">
        <v>0</v>
      </c>
      <c r="G13780" s="7" t="n">
        <v>0</v>
      </c>
    </row>
    <row r="13781" customFormat="false" ht="15" hidden="false" customHeight="false" outlineLevel="0" collapsed="false">
      <c r="A13781" s="7" t="s">
        <v>30</v>
      </c>
      <c r="B13781" s="7" t="s">
        <v>182</v>
      </c>
      <c r="C13781" s="7" t="s">
        <v>1232</v>
      </c>
      <c r="D13781" s="7" t="n">
        <v>0</v>
      </c>
      <c r="E13781" s="7" t="n">
        <v>0</v>
      </c>
      <c r="F13781" s="7" t="n">
        <v>15</v>
      </c>
      <c r="G13781" s="7" t="n">
        <v>610.86</v>
      </c>
    </row>
    <row r="13782" customFormat="false" ht="15" hidden="false" customHeight="false" outlineLevel="0" collapsed="false">
      <c r="A13782" s="7" t="s">
        <v>30</v>
      </c>
      <c r="B13782" s="7" t="s">
        <v>182</v>
      </c>
      <c r="C13782" s="7" t="s">
        <v>1232</v>
      </c>
      <c r="D13782" s="7" t="n">
        <v>0</v>
      </c>
      <c r="E13782" s="7" t="n">
        <v>0</v>
      </c>
      <c r="F13782" s="7" t="n">
        <v>6</v>
      </c>
      <c r="G13782" s="7" t="n">
        <v>241.02</v>
      </c>
    </row>
    <row r="13783" customFormat="false" ht="15" hidden="false" customHeight="false" outlineLevel="0" collapsed="false">
      <c r="A13783" s="7" t="s">
        <v>30</v>
      </c>
      <c r="B13783" s="7" t="s">
        <v>182</v>
      </c>
      <c r="C13783" s="7" t="s">
        <v>1232</v>
      </c>
      <c r="D13783" s="7" t="n">
        <v>30</v>
      </c>
      <c r="E13783" s="7" t="n">
        <v>1452.34</v>
      </c>
      <c r="F13783" s="7" t="n">
        <v>0</v>
      </c>
      <c r="G13783" s="7" t="n">
        <v>0</v>
      </c>
    </row>
    <row r="13784" customFormat="false" ht="15" hidden="false" customHeight="false" outlineLevel="0" collapsed="false">
      <c r="A13784" s="7" t="s">
        <v>30</v>
      </c>
      <c r="B13784" s="7" t="s">
        <v>182</v>
      </c>
      <c r="C13784" s="7" t="s">
        <v>1232</v>
      </c>
      <c r="D13784" s="7" t="n">
        <v>20</v>
      </c>
      <c r="E13784" s="7" t="n">
        <v>898.48</v>
      </c>
      <c r="F13784" s="7" t="n">
        <v>0</v>
      </c>
      <c r="G13784" s="7" t="n">
        <v>0</v>
      </c>
    </row>
    <row r="13785" customFormat="false" ht="15" hidden="false" customHeight="false" outlineLevel="0" collapsed="false">
      <c r="A13785" s="7" t="s">
        <v>30</v>
      </c>
      <c r="B13785" s="7" t="s">
        <v>182</v>
      </c>
      <c r="C13785" s="7" t="s">
        <v>1232</v>
      </c>
      <c r="D13785" s="7" t="n">
        <v>0</v>
      </c>
      <c r="E13785" s="7" t="n">
        <v>0</v>
      </c>
      <c r="F13785" s="7" t="n">
        <v>20</v>
      </c>
      <c r="G13785" s="7" t="n">
        <v>797.99</v>
      </c>
    </row>
    <row r="13786" customFormat="false" ht="15" hidden="false" customHeight="false" outlineLevel="0" collapsed="false">
      <c r="A13786" s="7" t="s">
        <v>30</v>
      </c>
      <c r="B13786" s="7" t="s">
        <v>182</v>
      </c>
      <c r="C13786" s="7" t="s">
        <v>1232</v>
      </c>
      <c r="D13786" s="7" t="n">
        <v>30</v>
      </c>
      <c r="E13786" s="7" t="n">
        <v>1325.86</v>
      </c>
      <c r="F13786" s="7" t="n">
        <v>0</v>
      </c>
      <c r="G13786" s="7" t="n">
        <v>0</v>
      </c>
    </row>
    <row r="13787" customFormat="false" ht="15" hidden="false" customHeight="false" outlineLevel="0" collapsed="false">
      <c r="A13787" s="7" t="s">
        <v>30</v>
      </c>
      <c r="B13787" s="7" t="s">
        <v>182</v>
      </c>
      <c r="C13787" s="7" t="s">
        <v>1232</v>
      </c>
      <c r="D13787" s="7" t="n">
        <v>0</v>
      </c>
      <c r="E13787" s="7" t="n">
        <v>0</v>
      </c>
      <c r="F13787" s="7" t="n">
        <v>5</v>
      </c>
      <c r="G13787" s="7" t="n">
        <v>204.54</v>
      </c>
    </row>
    <row r="13788" customFormat="false" ht="15" hidden="false" customHeight="false" outlineLevel="0" collapsed="false">
      <c r="A13788" s="7" t="s">
        <v>30</v>
      </c>
      <c r="B13788" s="7" t="s">
        <v>306</v>
      </c>
      <c r="C13788" s="7" t="s">
        <v>1232</v>
      </c>
      <c r="D13788" s="7" t="n">
        <v>0</v>
      </c>
      <c r="E13788" s="7" t="n">
        <v>0</v>
      </c>
      <c r="F13788" s="7" t="n">
        <v>8</v>
      </c>
      <c r="G13788" s="7" t="n">
        <v>319.2</v>
      </c>
    </row>
    <row r="13789" customFormat="false" ht="15" hidden="false" customHeight="false" outlineLevel="0" collapsed="false">
      <c r="A13789" s="7" t="s">
        <v>30</v>
      </c>
      <c r="B13789" s="7" t="s">
        <v>306</v>
      </c>
      <c r="C13789" s="7" t="s">
        <v>1232</v>
      </c>
      <c r="D13789" s="7" t="n">
        <v>30</v>
      </c>
      <c r="E13789" s="7" t="n">
        <v>1452.34</v>
      </c>
      <c r="F13789" s="7" t="n">
        <v>0</v>
      </c>
      <c r="G13789" s="7" t="n">
        <v>0</v>
      </c>
    </row>
    <row r="13790" customFormat="false" ht="15" hidden="false" customHeight="false" outlineLevel="0" collapsed="false">
      <c r="A13790" s="7" t="s">
        <v>30</v>
      </c>
      <c r="B13790" s="7" t="s">
        <v>306</v>
      </c>
      <c r="C13790" s="7" t="s">
        <v>1232</v>
      </c>
      <c r="D13790" s="7" t="n">
        <v>15</v>
      </c>
      <c r="E13790" s="7" t="n">
        <v>720.23</v>
      </c>
      <c r="F13790" s="7" t="n">
        <v>0</v>
      </c>
      <c r="G13790" s="7" t="n">
        <v>0</v>
      </c>
    </row>
    <row r="13791" customFormat="false" ht="15" hidden="false" customHeight="false" outlineLevel="0" collapsed="false">
      <c r="A13791" s="7" t="s">
        <v>30</v>
      </c>
      <c r="B13791" s="7" t="s">
        <v>306</v>
      </c>
      <c r="C13791" s="7" t="s">
        <v>1232</v>
      </c>
      <c r="D13791" s="7" t="n">
        <v>0</v>
      </c>
      <c r="E13791" s="7" t="n">
        <v>0</v>
      </c>
      <c r="F13791" s="7" t="n">
        <v>6</v>
      </c>
      <c r="G13791" s="7" t="n">
        <v>241.02</v>
      </c>
    </row>
    <row r="13792" customFormat="false" ht="15" hidden="false" customHeight="false" outlineLevel="0" collapsed="false">
      <c r="A13792" s="7" t="s">
        <v>30</v>
      </c>
      <c r="B13792" s="7" t="s">
        <v>306</v>
      </c>
      <c r="C13792" s="7" t="s">
        <v>1232</v>
      </c>
      <c r="D13792" s="7" t="n">
        <v>30</v>
      </c>
      <c r="E13792" s="7" t="n">
        <v>1347.71</v>
      </c>
      <c r="F13792" s="7" t="n">
        <v>0</v>
      </c>
      <c r="G13792" s="7" t="n">
        <v>0</v>
      </c>
    </row>
    <row r="13793" customFormat="false" ht="15" hidden="false" customHeight="false" outlineLevel="0" collapsed="false">
      <c r="A13793" s="7" t="s">
        <v>30</v>
      </c>
      <c r="B13793" s="7" t="s">
        <v>306</v>
      </c>
      <c r="C13793" s="7" t="s">
        <v>1232</v>
      </c>
      <c r="D13793" s="7" t="n">
        <v>0</v>
      </c>
      <c r="E13793" s="7" t="n">
        <v>0</v>
      </c>
      <c r="F13793" s="7" t="n">
        <v>8</v>
      </c>
      <c r="G13793" s="7" t="n">
        <v>325.79</v>
      </c>
    </row>
    <row r="13794" customFormat="false" ht="15" hidden="false" customHeight="false" outlineLevel="0" collapsed="false">
      <c r="A13794" s="7" t="s">
        <v>30</v>
      </c>
      <c r="B13794" s="7" t="s">
        <v>306</v>
      </c>
      <c r="C13794" s="7" t="s">
        <v>1232</v>
      </c>
      <c r="D13794" s="7" t="n">
        <v>20</v>
      </c>
      <c r="E13794" s="7" t="n">
        <v>885.74</v>
      </c>
      <c r="F13794" s="7" t="n">
        <v>0</v>
      </c>
      <c r="G13794" s="7" t="n">
        <v>0</v>
      </c>
    </row>
    <row r="13795" customFormat="false" ht="15" hidden="false" customHeight="false" outlineLevel="0" collapsed="false">
      <c r="A13795" s="7" t="s">
        <v>30</v>
      </c>
      <c r="B13795" s="7" t="s">
        <v>306</v>
      </c>
      <c r="C13795" s="7" t="s">
        <v>1232</v>
      </c>
      <c r="D13795" s="7" t="n">
        <v>30</v>
      </c>
      <c r="E13795" s="7" t="n">
        <v>1325.86</v>
      </c>
      <c r="F13795" s="7" t="n">
        <v>0</v>
      </c>
      <c r="G13795" s="7" t="n">
        <v>0</v>
      </c>
    </row>
    <row r="13796" customFormat="false" ht="15" hidden="false" customHeight="false" outlineLevel="0" collapsed="false">
      <c r="A13796" s="7" t="s">
        <v>30</v>
      </c>
      <c r="B13796" s="7" t="s">
        <v>306</v>
      </c>
      <c r="C13796" s="7" t="s">
        <v>1232</v>
      </c>
      <c r="D13796" s="7" t="n">
        <v>0</v>
      </c>
      <c r="E13796" s="7" t="n">
        <v>0</v>
      </c>
      <c r="F13796" s="7" t="n">
        <v>5</v>
      </c>
      <c r="G13796" s="7" t="n">
        <v>204.54</v>
      </c>
    </row>
    <row r="13797" customFormat="false" ht="15" hidden="false" customHeight="false" outlineLevel="0" collapsed="false">
      <c r="A13797" s="7" t="s">
        <v>30</v>
      </c>
      <c r="B13797" s="7" t="s">
        <v>306</v>
      </c>
      <c r="C13797" s="7" t="s">
        <v>1232</v>
      </c>
      <c r="D13797" s="7" t="n">
        <v>0</v>
      </c>
      <c r="E13797" s="7" t="n">
        <v>0</v>
      </c>
      <c r="F13797" s="7" t="n">
        <v>10</v>
      </c>
      <c r="G13797" s="7" t="n">
        <v>407.24</v>
      </c>
    </row>
    <row r="13798" customFormat="false" ht="15" hidden="false" customHeight="false" outlineLevel="0" collapsed="false">
      <c r="A13798" s="7" t="s">
        <v>30</v>
      </c>
      <c r="B13798" s="7" t="s">
        <v>191</v>
      </c>
      <c r="C13798" s="7" t="s">
        <v>1232</v>
      </c>
      <c r="D13798" s="7" t="n">
        <v>30</v>
      </c>
      <c r="E13798" s="7" t="n">
        <v>1452.34</v>
      </c>
      <c r="F13798" s="7" t="n">
        <v>0</v>
      </c>
      <c r="G13798" s="7" t="n">
        <v>0</v>
      </c>
    </row>
    <row r="13799" customFormat="false" ht="15" hidden="false" customHeight="false" outlineLevel="0" collapsed="false">
      <c r="A13799" s="7" t="s">
        <v>30</v>
      </c>
      <c r="B13799" s="7" t="s">
        <v>191</v>
      </c>
      <c r="C13799" s="7" t="s">
        <v>1232</v>
      </c>
      <c r="D13799" s="7" t="n">
        <v>15</v>
      </c>
      <c r="E13799" s="7" t="n">
        <v>720.23</v>
      </c>
      <c r="F13799" s="7" t="n">
        <v>0</v>
      </c>
      <c r="G13799" s="7" t="n">
        <v>0</v>
      </c>
    </row>
    <row r="13800" customFormat="false" ht="15" hidden="false" customHeight="false" outlineLevel="0" collapsed="false">
      <c r="A13800" s="7" t="s">
        <v>30</v>
      </c>
      <c r="B13800" s="7" t="s">
        <v>191</v>
      </c>
      <c r="C13800" s="7" t="s">
        <v>1232</v>
      </c>
      <c r="D13800" s="7" t="n">
        <v>0</v>
      </c>
      <c r="E13800" s="7" t="n">
        <v>0</v>
      </c>
      <c r="F13800" s="7" t="n">
        <v>3</v>
      </c>
      <c r="G13800" s="7" t="n">
        <v>122.72</v>
      </c>
    </row>
    <row r="13801" customFormat="false" ht="15" hidden="false" customHeight="false" outlineLevel="0" collapsed="false">
      <c r="A13801" s="7" t="s">
        <v>30</v>
      </c>
      <c r="B13801" s="7" t="s">
        <v>191</v>
      </c>
      <c r="C13801" s="7" t="s">
        <v>1232</v>
      </c>
      <c r="D13801" s="7" t="n">
        <v>26</v>
      </c>
      <c r="E13801" s="7" t="n">
        <v>1151.46</v>
      </c>
      <c r="F13801" s="7" t="n">
        <v>0</v>
      </c>
      <c r="G13801" s="7" t="n">
        <v>0</v>
      </c>
    </row>
    <row r="13802" customFormat="false" ht="15" hidden="false" customHeight="false" outlineLevel="0" collapsed="false">
      <c r="A13802" s="7" t="s">
        <v>30</v>
      </c>
      <c r="B13802" s="7" t="s">
        <v>191</v>
      </c>
      <c r="C13802" s="7" t="s">
        <v>1232</v>
      </c>
      <c r="D13802" s="7" t="n">
        <v>0</v>
      </c>
      <c r="E13802" s="7" t="n">
        <v>0</v>
      </c>
      <c r="F13802" s="7" t="n">
        <v>2</v>
      </c>
      <c r="G13802" s="7" t="n">
        <v>81.45</v>
      </c>
    </row>
    <row r="13803" customFormat="false" ht="15" hidden="false" customHeight="false" outlineLevel="0" collapsed="false">
      <c r="A13803" s="7" t="s">
        <v>30</v>
      </c>
      <c r="B13803" s="7" t="s">
        <v>191</v>
      </c>
      <c r="C13803" s="7" t="s">
        <v>1232</v>
      </c>
      <c r="D13803" s="7" t="n">
        <v>15</v>
      </c>
      <c r="E13803" s="7" t="n">
        <v>662.93</v>
      </c>
      <c r="F13803" s="7" t="n">
        <v>0</v>
      </c>
      <c r="G13803" s="7" t="n">
        <v>0</v>
      </c>
    </row>
    <row r="13804" customFormat="false" ht="15" hidden="false" customHeight="false" outlineLevel="0" collapsed="false">
      <c r="A13804" s="7" t="s">
        <v>30</v>
      </c>
      <c r="B13804" s="7" t="s">
        <v>191</v>
      </c>
      <c r="C13804" s="7" t="s">
        <v>1232</v>
      </c>
      <c r="D13804" s="7" t="n">
        <v>15</v>
      </c>
      <c r="E13804" s="7" t="n">
        <v>673.86</v>
      </c>
      <c r="F13804" s="7" t="n">
        <v>0</v>
      </c>
      <c r="G13804" s="7" t="n">
        <v>0</v>
      </c>
    </row>
    <row r="13805" customFormat="false" ht="15" hidden="false" customHeight="false" outlineLevel="0" collapsed="false">
      <c r="A13805" s="7" t="s">
        <v>30</v>
      </c>
      <c r="B13805" s="7" t="s">
        <v>191</v>
      </c>
      <c r="C13805" s="7" t="s">
        <v>1232</v>
      </c>
      <c r="D13805" s="7" t="n">
        <v>0</v>
      </c>
      <c r="E13805" s="7" t="n">
        <v>0</v>
      </c>
      <c r="F13805" s="7" t="n">
        <v>6</v>
      </c>
      <c r="G13805" s="7" t="n">
        <v>241.02</v>
      </c>
    </row>
    <row r="13806" customFormat="false" ht="15" hidden="false" customHeight="false" outlineLevel="0" collapsed="false">
      <c r="A13806" s="7" t="s">
        <v>30</v>
      </c>
      <c r="B13806" s="7" t="s">
        <v>230</v>
      </c>
      <c r="C13806" s="7" t="s">
        <v>1233</v>
      </c>
      <c r="D13806" s="7" t="n">
        <v>1</v>
      </c>
      <c r="E13806" s="7" t="n">
        <v>0.04</v>
      </c>
      <c r="F13806" s="7" t="n">
        <v>0</v>
      </c>
      <c r="G13806" s="7" t="n">
        <v>0</v>
      </c>
    </row>
    <row r="13807" customFormat="false" ht="15" hidden="false" customHeight="false" outlineLevel="0" collapsed="false">
      <c r="A13807" s="7" t="s">
        <v>30</v>
      </c>
      <c r="B13807" s="7" t="s">
        <v>517</v>
      </c>
      <c r="C13807" s="7" t="s">
        <v>1101</v>
      </c>
      <c r="D13807" s="7" t="n">
        <v>0</v>
      </c>
      <c r="E13807" s="7" t="n">
        <v>0</v>
      </c>
      <c r="F13807" s="7" t="n">
        <v>2</v>
      </c>
      <c r="G13807" s="7" t="n">
        <v>0.07</v>
      </c>
    </row>
    <row r="13808" customFormat="false" ht="15" hidden="false" customHeight="false" outlineLevel="0" collapsed="false">
      <c r="A13808" s="7" t="s">
        <v>30</v>
      </c>
      <c r="B13808" s="7" t="s">
        <v>517</v>
      </c>
      <c r="C13808" s="7" t="s">
        <v>1101</v>
      </c>
      <c r="D13808" s="7" t="n">
        <v>0</v>
      </c>
      <c r="E13808" s="7" t="n">
        <v>0</v>
      </c>
      <c r="F13808" s="7" t="n">
        <v>1</v>
      </c>
      <c r="G13808" s="7" t="n">
        <v>0.04</v>
      </c>
    </row>
    <row r="13809" customFormat="false" ht="15" hidden="false" customHeight="false" outlineLevel="0" collapsed="false">
      <c r="A13809" s="7" t="s">
        <v>30</v>
      </c>
      <c r="B13809" s="7" t="s">
        <v>517</v>
      </c>
      <c r="C13809" s="7" t="s">
        <v>1101</v>
      </c>
      <c r="D13809" s="7" t="n">
        <v>0</v>
      </c>
      <c r="E13809" s="7" t="n">
        <v>0</v>
      </c>
      <c r="F13809" s="7" t="n">
        <v>45</v>
      </c>
      <c r="G13809" s="7" t="n">
        <v>1488.95</v>
      </c>
    </row>
    <row r="13810" customFormat="false" ht="15" hidden="false" customHeight="false" outlineLevel="0" collapsed="false">
      <c r="A13810" s="7" t="s">
        <v>30</v>
      </c>
      <c r="B13810" s="7" t="s">
        <v>517</v>
      </c>
      <c r="C13810" s="7" t="s">
        <v>1101</v>
      </c>
      <c r="D13810" s="7" t="n">
        <v>45</v>
      </c>
      <c r="E13810" s="7" t="n">
        <v>1673.38</v>
      </c>
      <c r="F13810" s="7" t="n">
        <v>0</v>
      </c>
      <c r="G13810" s="7" t="n">
        <v>0</v>
      </c>
    </row>
    <row r="13811" customFormat="false" ht="15" hidden="false" customHeight="false" outlineLevel="0" collapsed="false">
      <c r="A13811" s="7" t="s">
        <v>30</v>
      </c>
      <c r="B13811" s="7" t="s">
        <v>517</v>
      </c>
      <c r="C13811" s="7" t="s">
        <v>1101</v>
      </c>
      <c r="D13811" s="7" t="n">
        <v>0</v>
      </c>
      <c r="E13811" s="7" t="n">
        <v>0</v>
      </c>
      <c r="F13811" s="7" t="n">
        <v>5</v>
      </c>
      <c r="G13811" s="7" t="n">
        <v>169.03</v>
      </c>
    </row>
    <row r="13812" customFormat="false" ht="15" hidden="false" customHeight="false" outlineLevel="0" collapsed="false">
      <c r="A13812" s="7" t="s">
        <v>30</v>
      </c>
      <c r="B13812" s="7" t="s">
        <v>517</v>
      </c>
      <c r="C13812" s="7" t="s">
        <v>1101</v>
      </c>
      <c r="D13812" s="7" t="n">
        <v>20</v>
      </c>
      <c r="E13812" s="7" t="n">
        <v>749.86</v>
      </c>
      <c r="F13812" s="7" t="n">
        <v>0</v>
      </c>
      <c r="G13812" s="7" t="n">
        <v>0</v>
      </c>
    </row>
    <row r="13813" customFormat="false" ht="15" hidden="false" customHeight="false" outlineLevel="0" collapsed="false">
      <c r="A13813" s="7" t="s">
        <v>30</v>
      </c>
      <c r="B13813" s="7" t="s">
        <v>517</v>
      </c>
      <c r="C13813" s="7" t="s">
        <v>1101</v>
      </c>
      <c r="D13813" s="7" t="n">
        <v>70</v>
      </c>
      <c r="E13813" s="7" t="n">
        <v>2379.58</v>
      </c>
      <c r="F13813" s="7" t="n">
        <v>0</v>
      </c>
      <c r="G13813" s="7" t="n">
        <v>0</v>
      </c>
    </row>
    <row r="13814" customFormat="false" ht="15" hidden="false" customHeight="false" outlineLevel="0" collapsed="false">
      <c r="A13814" s="7" t="s">
        <v>30</v>
      </c>
      <c r="B13814" s="7" t="s">
        <v>517</v>
      </c>
      <c r="C13814" s="7" t="s">
        <v>1101</v>
      </c>
      <c r="D13814" s="7" t="n">
        <v>0</v>
      </c>
      <c r="E13814" s="7" t="n">
        <v>0</v>
      </c>
      <c r="F13814" s="7" t="n">
        <v>40</v>
      </c>
      <c r="G13814" s="7" t="n">
        <v>1261.55</v>
      </c>
    </row>
    <row r="13815" customFormat="false" ht="15" hidden="false" customHeight="false" outlineLevel="0" collapsed="false">
      <c r="A13815" s="7" t="s">
        <v>30</v>
      </c>
      <c r="B13815" s="7" t="s">
        <v>517</v>
      </c>
      <c r="C13815" s="7" t="s">
        <v>1101</v>
      </c>
      <c r="D13815" s="7" t="n">
        <v>20</v>
      </c>
      <c r="E13815" s="7" t="n">
        <v>684.56</v>
      </c>
      <c r="F13815" s="7" t="n">
        <v>0</v>
      </c>
      <c r="G13815" s="7" t="n">
        <v>0</v>
      </c>
    </row>
    <row r="13816" customFormat="false" ht="15" hidden="false" customHeight="false" outlineLevel="0" collapsed="false">
      <c r="A13816" s="7" t="s">
        <v>30</v>
      </c>
      <c r="B13816" s="7" t="s">
        <v>517</v>
      </c>
      <c r="C13816" s="7" t="s">
        <v>1101</v>
      </c>
      <c r="D13816" s="7" t="n">
        <v>0</v>
      </c>
      <c r="E13816" s="7" t="n">
        <v>0</v>
      </c>
      <c r="F13816" s="7" t="n">
        <v>25</v>
      </c>
      <c r="G13816" s="7" t="n">
        <v>788.49</v>
      </c>
    </row>
    <row r="13817" customFormat="false" ht="15" hidden="false" customHeight="false" outlineLevel="0" collapsed="false">
      <c r="A13817" s="7" t="s">
        <v>30</v>
      </c>
      <c r="B13817" s="7" t="s">
        <v>517</v>
      </c>
      <c r="C13817" s="7" t="s">
        <v>1101</v>
      </c>
      <c r="D13817" s="7" t="n">
        <v>0</v>
      </c>
      <c r="E13817" s="7" t="n">
        <v>0</v>
      </c>
      <c r="F13817" s="7" t="n">
        <v>15</v>
      </c>
      <c r="G13817" s="7" t="n">
        <v>500.5</v>
      </c>
    </row>
    <row r="13818" customFormat="false" ht="15" hidden="false" customHeight="false" outlineLevel="0" collapsed="false">
      <c r="A13818" s="7" t="s">
        <v>30</v>
      </c>
      <c r="B13818" s="7" t="s">
        <v>517</v>
      </c>
      <c r="C13818" s="7" t="s">
        <v>1101</v>
      </c>
      <c r="D13818" s="7" t="n">
        <v>0</v>
      </c>
      <c r="E13818" s="7" t="n">
        <v>0</v>
      </c>
      <c r="F13818" s="7" t="n">
        <v>45</v>
      </c>
      <c r="G13818" s="7" t="n">
        <v>1399.96</v>
      </c>
    </row>
    <row r="13819" customFormat="false" ht="15" hidden="false" customHeight="false" outlineLevel="0" collapsed="false">
      <c r="A13819" s="7" t="s">
        <v>30</v>
      </c>
      <c r="B13819" s="7" t="s">
        <v>517</v>
      </c>
      <c r="C13819" s="7" t="s">
        <v>1101</v>
      </c>
      <c r="D13819" s="7" t="n">
        <v>5</v>
      </c>
      <c r="E13819" s="7" t="n">
        <v>177.84</v>
      </c>
      <c r="F13819" s="7" t="n">
        <v>0</v>
      </c>
      <c r="G13819" s="7" t="n">
        <v>0</v>
      </c>
    </row>
    <row r="13820" customFormat="false" ht="15" hidden="false" customHeight="false" outlineLevel="0" collapsed="false">
      <c r="A13820" s="7" t="s">
        <v>30</v>
      </c>
      <c r="B13820" s="7" t="s">
        <v>517</v>
      </c>
      <c r="C13820" s="7" t="s">
        <v>1101</v>
      </c>
      <c r="D13820" s="7" t="n">
        <v>20</v>
      </c>
      <c r="E13820" s="7" t="n">
        <v>731.99</v>
      </c>
      <c r="F13820" s="7" t="n">
        <v>0</v>
      </c>
      <c r="G13820" s="7" t="n">
        <v>0</v>
      </c>
    </row>
    <row r="13821" customFormat="false" ht="15" hidden="false" customHeight="false" outlineLevel="0" collapsed="false">
      <c r="A13821" s="7" t="s">
        <v>30</v>
      </c>
      <c r="B13821" s="7" t="s">
        <v>517</v>
      </c>
      <c r="C13821" s="7" t="s">
        <v>1101</v>
      </c>
      <c r="D13821" s="7" t="n">
        <v>2</v>
      </c>
      <c r="E13821" s="7" t="n">
        <v>0.08</v>
      </c>
      <c r="F13821" s="7" t="n">
        <v>0</v>
      </c>
      <c r="G13821" s="7" t="n">
        <v>0</v>
      </c>
    </row>
    <row r="13822" customFormat="false" ht="15" hidden="false" customHeight="false" outlineLevel="0" collapsed="false">
      <c r="A13822" s="7" t="s">
        <v>30</v>
      </c>
      <c r="B13822" s="7" t="s">
        <v>517</v>
      </c>
      <c r="C13822" s="7" t="s">
        <v>1101</v>
      </c>
      <c r="D13822" s="7" t="n">
        <v>40</v>
      </c>
      <c r="E13822" s="7" t="n">
        <v>1391.68</v>
      </c>
      <c r="F13822" s="7" t="n">
        <v>0</v>
      </c>
      <c r="G13822" s="7" t="n">
        <v>0</v>
      </c>
    </row>
    <row r="13823" customFormat="false" ht="15" hidden="false" customHeight="false" outlineLevel="0" collapsed="false">
      <c r="A13823" s="7" t="s">
        <v>30</v>
      </c>
      <c r="B13823" s="7" t="s">
        <v>517</v>
      </c>
      <c r="C13823" s="7" t="s">
        <v>1101</v>
      </c>
      <c r="D13823" s="7" t="n">
        <v>20</v>
      </c>
      <c r="E13823" s="7" t="n">
        <v>685.98</v>
      </c>
      <c r="F13823" s="7" t="n">
        <v>0</v>
      </c>
      <c r="G13823" s="7" t="n">
        <v>0</v>
      </c>
    </row>
    <row r="13824" customFormat="false" ht="15" hidden="false" customHeight="false" outlineLevel="0" collapsed="false">
      <c r="A13824" s="7" t="s">
        <v>30</v>
      </c>
      <c r="B13824" s="7" t="s">
        <v>517</v>
      </c>
      <c r="C13824" s="7" t="s">
        <v>1101</v>
      </c>
      <c r="D13824" s="7" t="n">
        <v>0</v>
      </c>
      <c r="E13824" s="7" t="n">
        <v>0</v>
      </c>
      <c r="F13824" s="7" t="n">
        <v>10</v>
      </c>
      <c r="G13824" s="7" t="n">
        <v>316.82</v>
      </c>
    </row>
    <row r="13825" customFormat="false" ht="15" hidden="false" customHeight="false" outlineLevel="0" collapsed="false">
      <c r="A13825" s="7" t="s">
        <v>30</v>
      </c>
      <c r="B13825" s="7" t="s">
        <v>517</v>
      </c>
      <c r="C13825" s="7" t="s">
        <v>1101</v>
      </c>
      <c r="D13825" s="7" t="n">
        <v>20</v>
      </c>
      <c r="E13825" s="7" t="n">
        <v>716.33</v>
      </c>
      <c r="F13825" s="7" t="n">
        <v>0</v>
      </c>
      <c r="G13825" s="7" t="n">
        <v>0</v>
      </c>
    </row>
    <row r="13826" customFormat="false" ht="15" hidden="false" customHeight="false" outlineLevel="0" collapsed="false">
      <c r="A13826" s="7" t="s">
        <v>30</v>
      </c>
      <c r="B13826" s="7" t="s">
        <v>517</v>
      </c>
      <c r="C13826" s="7" t="s">
        <v>1101</v>
      </c>
      <c r="D13826" s="7" t="n">
        <v>0</v>
      </c>
      <c r="E13826" s="7" t="n">
        <v>0</v>
      </c>
      <c r="F13826" s="7" t="n">
        <v>1</v>
      </c>
      <c r="G13826" s="7" t="n">
        <v>0.04</v>
      </c>
    </row>
    <row r="13827" customFormat="false" ht="15" hidden="false" customHeight="false" outlineLevel="0" collapsed="false">
      <c r="A13827" s="7" t="s">
        <v>30</v>
      </c>
      <c r="B13827" s="7" t="s">
        <v>517</v>
      </c>
      <c r="C13827" s="7" t="s">
        <v>1101</v>
      </c>
      <c r="D13827" s="7" t="n">
        <v>0</v>
      </c>
      <c r="E13827" s="7" t="n">
        <v>0</v>
      </c>
      <c r="F13827" s="7" t="n">
        <v>50</v>
      </c>
      <c r="G13827" s="7" t="n">
        <v>1545.04</v>
      </c>
    </row>
    <row r="13828" customFormat="false" ht="15" hidden="false" customHeight="false" outlineLevel="0" collapsed="false">
      <c r="A13828" s="7" t="s">
        <v>30</v>
      </c>
      <c r="B13828" s="7" t="s">
        <v>517</v>
      </c>
      <c r="C13828" s="7" t="s">
        <v>1101</v>
      </c>
      <c r="D13828" s="7" t="n">
        <v>50</v>
      </c>
      <c r="E13828" s="7" t="n">
        <v>1784.1</v>
      </c>
      <c r="F13828" s="7" t="n">
        <v>0</v>
      </c>
      <c r="G13828" s="7" t="n">
        <v>0</v>
      </c>
    </row>
    <row r="13829" customFormat="false" ht="15" hidden="false" customHeight="false" outlineLevel="0" collapsed="false">
      <c r="A13829" s="7" t="s">
        <v>30</v>
      </c>
      <c r="B13829" s="7" t="s">
        <v>517</v>
      </c>
      <c r="C13829" s="7" t="s">
        <v>1101</v>
      </c>
      <c r="D13829" s="7" t="n">
        <v>25</v>
      </c>
      <c r="E13829" s="7" t="n">
        <v>898.49</v>
      </c>
      <c r="F13829" s="7" t="n">
        <v>0</v>
      </c>
      <c r="G13829" s="7" t="n">
        <v>0</v>
      </c>
    </row>
    <row r="13830" customFormat="false" ht="15" hidden="false" customHeight="false" outlineLevel="0" collapsed="false">
      <c r="A13830" s="7" t="s">
        <v>30</v>
      </c>
      <c r="B13830" s="7" t="s">
        <v>334</v>
      </c>
      <c r="C13830" s="7" t="s">
        <v>1101</v>
      </c>
      <c r="D13830" s="7" t="n">
        <v>0</v>
      </c>
      <c r="E13830" s="7" t="n">
        <v>0</v>
      </c>
      <c r="F13830" s="7" t="n">
        <v>15</v>
      </c>
      <c r="G13830" s="7" t="n">
        <v>500.5</v>
      </c>
    </row>
    <row r="13831" customFormat="false" ht="15" hidden="false" customHeight="false" outlineLevel="0" collapsed="false">
      <c r="A13831" s="7" t="s">
        <v>30</v>
      </c>
      <c r="B13831" s="7" t="s">
        <v>334</v>
      </c>
      <c r="C13831" s="7" t="s">
        <v>1101</v>
      </c>
      <c r="D13831" s="7" t="n">
        <v>40</v>
      </c>
      <c r="E13831" s="7" t="n">
        <v>1391.68</v>
      </c>
      <c r="F13831" s="7" t="n">
        <v>0</v>
      </c>
      <c r="G13831" s="7" t="n">
        <v>0</v>
      </c>
    </row>
    <row r="13832" customFormat="false" ht="15" hidden="false" customHeight="false" outlineLevel="0" collapsed="false">
      <c r="A13832" s="7" t="s">
        <v>30</v>
      </c>
      <c r="B13832" s="7" t="s">
        <v>334</v>
      </c>
      <c r="C13832" s="7" t="s">
        <v>1101</v>
      </c>
      <c r="D13832" s="7" t="n">
        <v>0</v>
      </c>
      <c r="E13832" s="7" t="n">
        <v>0</v>
      </c>
      <c r="F13832" s="7" t="n">
        <v>25</v>
      </c>
      <c r="G13832" s="7" t="n">
        <v>788.47</v>
      </c>
    </row>
    <row r="13833" customFormat="false" ht="15" hidden="false" customHeight="false" outlineLevel="0" collapsed="false">
      <c r="A13833" s="7" t="s">
        <v>30</v>
      </c>
      <c r="B13833" s="7" t="s">
        <v>334</v>
      </c>
      <c r="C13833" s="7" t="s">
        <v>1101</v>
      </c>
      <c r="D13833" s="7" t="n">
        <v>0</v>
      </c>
      <c r="E13833" s="7" t="n">
        <v>0</v>
      </c>
      <c r="F13833" s="7" t="n">
        <v>5</v>
      </c>
      <c r="G13833" s="7" t="n">
        <v>158.41</v>
      </c>
    </row>
    <row r="13834" customFormat="false" ht="15" hidden="false" customHeight="false" outlineLevel="0" collapsed="false">
      <c r="A13834" s="7" t="s">
        <v>30</v>
      </c>
      <c r="B13834" s="7" t="s">
        <v>334</v>
      </c>
      <c r="C13834" s="7" t="s">
        <v>1101</v>
      </c>
      <c r="D13834" s="7" t="n">
        <v>20</v>
      </c>
      <c r="E13834" s="7" t="n">
        <v>684.56</v>
      </c>
      <c r="F13834" s="7" t="n">
        <v>0</v>
      </c>
      <c r="G13834" s="7" t="n">
        <v>0</v>
      </c>
    </row>
    <row r="13835" customFormat="false" ht="15" hidden="false" customHeight="false" outlineLevel="0" collapsed="false">
      <c r="A13835" s="7" t="s">
        <v>30</v>
      </c>
      <c r="B13835" s="7" t="s">
        <v>334</v>
      </c>
      <c r="C13835" s="7" t="s">
        <v>1101</v>
      </c>
      <c r="D13835" s="7" t="n">
        <v>15</v>
      </c>
      <c r="E13835" s="7" t="n">
        <v>548.99</v>
      </c>
      <c r="F13835" s="7" t="n">
        <v>0</v>
      </c>
      <c r="G13835" s="7" t="n">
        <v>0</v>
      </c>
    </row>
    <row r="13836" customFormat="false" ht="15" hidden="false" customHeight="false" outlineLevel="0" collapsed="false">
      <c r="A13836" s="7" t="s">
        <v>30</v>
      </c>
      <c r="B13836" s="7" t="s">
        <v>334</v>
      </c>
      <c r="C13836" s="7" t="s">
        <v>1101</v>
      </c>
      <c r="D13836" s="7" t="n">
        <v>40</v>
      </c>
      <c r="E13836" s="7" t="n">
        <v>1427.28</v>
      </c>
      <c r="F13836" s="7" t="n">
        <v>0</v>
      </c>
      <c r="G13836" s="7" t="n">
        <v>0</v>
      </c>
    </row>
    <row r="13837" customFormat="false" ht="15" hidden="false" customHeight="false" outlineLevel="0" collapsed="false">
      <c r="A13837" s="7" t="s">
        <v>30</v>
      </c>
      <c r="B13837" s="7" t="s">
        <v>334</v>
      </c>
      <c r="C13837" s="7" t="s">
        <v>1101</v>
      </c>
      <c r="D13837" s="7" t="n">
        <v>15</v>
      </c>
      <c r="E13837" s="7" t="n">
        <v>514.48</v>
      </c>
      <c r="F13837" s="7" t="n">
        <v>0</v>
      </c>
      <c r="G13837" s="7" t="n">
        <v>0</v>
      </c>
    </row>
    <row r="13838" customFormat="false" ht="15" hidden="false" customHeight="false" outlineLevel="0" collapsed="false">
      <c r="A13838" s="7" t="s">
        <v>30</v>
      </c>
      <c r="B13838" s="7" t="s">
        <v>334</v>
      </c>
      <c r="C13838" s="7" t="s">
        <v>1101</v>
      </c>
      <c r="D13838" s="7" t="n">
        <v>40</v>
      </c>
      <c r="E13838" s="7" t="n">
        <v>1487.45</v>
      </c>
      <c r="F13838" s="7" t="n">
        <v>0</v>
      </c>
      <c r="G13838" s="7" t="n">
        <v>0</v>
      </c>
    </row>
    <row r="13839" customFormat="false" ht="15" hidden="false" customHeight="false" outlineLevel="0" collapsed="false">
      <c r="A13839" s="7" t="s">
        <v>30</v>
      </c>
      <c r="B13839" s="7" t="s">
        <v>334</v>
      </c>
      <c r="C13839" s="7" t="s">
        <v>1101</v>
      </c>
      <c r="D13839" s="7" t="n">
        <v>0</v>
      </c>
      <c r="E13839" s="7" t="n">
        <v>0</v>
      </c>
      <c r="F13839" s="7" t="n">
        <v>50</v>
      </c>
      <c r="G13839" s="7" t="n">
        <v>1654.38</v>
      </c>
    </row>
    <row r="13840" customFormat="false" ht="15" hidden="false" customHeight="false" outlineLevel="0" collapsed="false">
      <c r="A13840" s="7" t="s">
        <v>30</v>
      </c>
      <c r="B13840" s="7" t="s">
        <v>334</v>
      </c>
      <c r="C13840" s="7" t="s">
        <v>1101</v>
      </c>
      <c r="D13840" s="7" t="n">
        <v>0</v>
      </c>
      <c r="E13840" s="7" t="n">
        <v>0</v>
      </c>
      <c r="F13840" s="7" t="n">
        <v>2</v>
      </c>
      <c r="G13840" s="7" t="n">
        <v>0.07</v>
      </c>
    </row>
    <row r="13841" customFormat="false" ht="15" hidden="false" customHeight="false" outlineLevel="0" collapsed="false">
      <c r="A13841" s="7" t="s">
        <v>30</v>
      </c>
      <c r="B13841" s="7" t="s">
        <v>334</v>
      </c>
      <c r="C13841" s="7" t="s">
        <v>1101</v>
      </c>
      <c r="D13841" s="7" t="n">
        <v>70</v>
      </c>
      <c r="E13841" s="7" t="n">
        <v>2379.58</v>
      </c>
      <c r="F13841" s="7" t="n">
        <v>0</v>
      </c>
      <c r="G13841" s="7" t="n">
        <v>0</v>
      </c>
    </row>
    <row r="13842" customFormat="false" ht="15" hidden="false" customHeight="false" outlineLevel="0" collapsed="false">
      <c r="A13842" s="7" t="s">
        <v>30</v>
      </c>
      <c r="B13842" s="7" t="s">
        <v>334</v>
      </c>
      <c r="C13842" s="7" t="s">
        <v>1101</v>
      </c>
      <c r="D13842" s="7" t="n">
        <v>0</v>
      </c>
      <c r="E13842" s="7" t="n">
        <v>0</v>
      </c>
      <c r="F13842" s="7" t="n">
        <v>25</v>
      </c>
      <c r="G13842" s="7" t="n">
        <v>788.49</v>
      </c>
    </row>
    <row r="13843" customFormat="false" ht="15" hidden="false" customHeight="false" outlineLevel="0" collapsed="false">
      <c r="A13843" s="7" t="s">
        <v>30</v>
      </c>
      <c r="B13843" s="7" t="s">
        <v>334</v>
      </c>
      <c r="C13843" s="7" t="s">
        <v>1101</v>
      </c>
      <c r="D13843" s="7" t="n">
        <v>0</v>
      </c>
      <c r="E13843" s="7" t="n">
        <v>0</v>
      </c>
      <c r="F13843" s="7" t="n">
        <v>15</v>
      </c>
      <c r="G13843" s="7" t="n">
        <v>507.1</v>
      </c>
    </row>
    <row r="13844" customFormat="false" ht="15" hidden="false" customHeight="false" outlineLevel="0" collapsed="false">
      <c r="A13844" s="7" t="s">
        <v>30</v>
      </c>
      <c r="B13844" s="7" t="s">
        <v>334</v>
      </c>
      <c r="C13844" s="7" t="s">
        <v>1101</v>
      </c>
      <c r="D13844" s="7" t="n">
        <v>0</v>
      </c>
      <c r="E13844" s="7" t="n">
        <v>0</v>
      </c>
      <c r="F13844" s="7" t="n">
        <v>50</v>
      </c>
      <c r="G13844" s="7" t="n">
        <v>1555.51</v>
      </c>
    </row>
    <row r="13845" customFormat="false" ht="15" hidden="false" customHeight="false" outlineLevel="0" collapsed="false">
      <c r="A13845" s="7" t="s">
        <v>30</v>
      </c>
      <c r="B13845" s="7" t="s">
        <v>334</v>
      </c>
      <c r="C13845" s="7" t="s">
        <v>1101</v>
      </c>
      <c r="D13845" s="7" t="n">
        <v>1</v>
      </c>
      <c r="E13845" s="7" t="n">
        <v>0.04</v>
      </c>
      <c r="F13845" s="7" t="n">
        <v>0</v>
      </c>
      <c r="G13845" s="7" t="n">
        <v>0</v>
      </c>
    </row>
    <row r="13846" customFormat="false" ht="15" hidden="false" customHeight="false" outlineLevel="0" collapsed="false">
      <c r="A13846" s="7" t="s">
        <v>30</v>
      </c>
      <c r="B13846" s="7" t="s">
        <v>334</v>
      </c>
      <c r="C13846" s="7" t="s">
        <v>1101</v>
      </c>
      <c r="D13846" s="7" t="n">
        <v>20</v>
      </c>
      <c r="E13846" s="7" t="n">
        <v>716.33</v>
      </c>
      <c r="F13846" s="7" t="n">
        <v>0</v>
      </c>
      <c r="G13846" s="7" t="n">
        <v>0</v>
      </c>
    </row>
    <row r="13847" customFormat="false" ht="15" hidden="false" customHeight="false" outlineLevel="0" collapsed="false">
      <c r="A13847" s="7" t="s">
        <v>30</v>
      </c>
      <c r="B13847" s="7" t="s">
        <v>334</v>
      </c>
      <c r="C13847" s="7" t="s">
        <v>1101</v>
      </c>
      <c r="D13847" s="7" t="n">
        <v>0</v>
      </c>
      <c r="E13847" s="7" t="n">
        <v>0</v>
      </c>
      <c r="F13847" s="7" t="n">
        <v>1</v>
      </c>
      <c r="G13847" s="7" t="n">
        <v>0.04</v>
      </c>
    </row>
    <row r="13848" customFormat="false" ht="15" hidden="false" customHeight="false" outlineLevel="0" collapsed="false">
      <c r="A13848" s="7" t="s">
        <v>30</v>
      </c>
      <c r="B13848" s="7" t="s">
        <v>334</v>
      </c>
      <c r="C13848" s="7" t="s">
        <v>1101</v>
      </c>
      <c r="D13848" s="7" t="n">
        <v>10</v>
      </c>
      <c r="E13848" s="7" t="n">
        <v>355.67</v>
      </c>
      <c r="F13848" s="7" t="n">
        <v>0</v>
      </c>
      <c r="G13848" s="7" t="n">
        <v>0</v>
      </c>
    </row>
    <row r="13849" customFormat="false" ht="15" hidden="false" customHeight="false" outlineLevel="0" collapsed="false">
      <c r="A13849" s="7" t="s">
        <v>30</v>
      </c>
      <c r="B13849" s="7" t="s">
        <v>334</v>
      </c>
      <c r="C13849" s="7" t="s">
        <v>1101</v>
      </c>
      <c r="D13849" s="7" t="n">
        <v>0</v>
      </c>
      <c r="E13849" s="7" t="n">
        <v>0</v>
      </c>
      <c r="F13849" s="7" t="n">
        <v>70</v>
      </c>
      <c r="G13849" s="7" t="n">
        <v>2163.06</v>
      </c>
    </row>
    <row r="13850" customFormat="false" ht="15" hidden="false" customHeight="false" outlineLevel="0" collapsed="false">
      <c r="A13850" s="7" t="s">
        <v>30</v>
      </c>
      <c r="B13850" s="7" t="s">
        <v>334</v>
      </c>
      <c r="C13850" s="7" t="s">
        <v>1101</v>
      </c>
      <c r="D13850" s="7" t="n">
        <v>30</v>
      </c>
      <c r="E13850" s="7" t="n">
        <v>1124.79</v>
      </c>
      <c r="F13850" s="7" t="n">
        <v>0</v>
      </c>
      <c r="G13850" s="7" t="n">
        <v>0</v>
      </c>
    </row>
    <row r="13851" customFormat="false" ht="15" hidden="false" customHeight="false" outlineLevel="0" collapsed="false">
      <c r="A13851" s="7" t="s">
        <v>30</v>
      </c>
      <c r="B13851" s="7" t="s">
        <v>334</v>
      </c>
      <c r="C13851" s="7" t="s">
        <v>1101</v>
      </c>
      <c r="D13851" s="7" t="n">
        <v>0</v>
      </c>
      <c r="E13851" s="7" t="n">
        <v>0</v>
      </c>
      <c r="F13851" s="7" t="n">
        <v>1</v>
      </c>
      <c r="G13851" s="7" t="n">
        <v>0.04</v>
      </c>
    </row>
    <row r="13852" customFormat="false" ht="15" hidden="false" customHeight="false" outlineLevel="0" collapsed="false">
      <c r="A13852" s="7" t="s">
        <v>30</v>
      </c>
      <c r="B13852" s="7" t="s">
        <v>334</v>
      </c>
      <c r="C13852" s="7" t="s">
        <v>1101</v>
      </c>
      <c r="D13852" s="7" t="n">
        <v>35</v>
      </c>
      <c r="E13852" s="7" t="n">
        <v>1257.88</v>
      </c>
      <c r="F13852" s="7" t="n">
        <v>0</v>
      </c>
      <c r="G13852" s="7" t="n">
        <v>0</v>
      </c>
    </row>
    <row r="13853" customFormat="false" ht="15" hidden="false" customHeight="false" outlineLevel="0" collapsed="false">
      <c r="A13853" s="7" t="s">
        <v>30</v>
      </c>
      <c r="B13853" s="7" t="s">
        <v>583</v>
      </c>
      <c r="C13853" s="7" t="s">
        <v>1239</v>
      </c>
      <c r="D13853" s="7" t="n">
        <v>1</v>
      </c>
      <c r="E13853" s="7" t="n">
        <v>0.04</v>
      </c>
      <c r="F13853" s="7" t="n">
        <v>0</v>
      </c>
      <c r="G13853" s="7" t="n">
        <v>0</v>
      </c>
    </row>
    <row r="13854" customFormat="false" ht="15" hidden="false" customHeight="false" outlineLevel="0" collapsed="false">
      <c r="A13854" s="7" t="s">
        <v>30</v>
      </c>
      <c r="B13854" s="7" t="s">
        <v>118</v>
      </c>
      <c r="C13854" s="7" t="s">
        <v>1104</v>
      </c>
      <c r="D13854" s="7" t="n">
        <v>1</v>
      </c>
      <c r="E13854" s="7" t="n">
        <v>0.04</v>
      </c>
      <c r="F13854" s="7" t="n">
        <v>0</v>
      </c>
      <c r="G13854" s="7" t="n">
        <v>0</v>
      </c>
    </row>
    <row r="13855" customFormat="false" ht="15" hidden="false" customHeight="false" outlineLevel="0" collapsed="false">
      <c r="A13855" s="7" t="s">
        <v>30</v>
      </c>
      <c r="B13855" s="7" t="s">
        <v>106</v>
      </c>
      <c r="C13855" s="7" t="s">
        <v>1105</v>
      </c>
      <c r="D13855" s="7" t="n">
        <v>1</v>
      </c>
      <c r="E13855" s="7" t="n">
        <v>0.04</v>
      </c>
      <c r="F13855" s="7" t="n">
        <v>0</v>
      </c>
      <c r="G13855" s="7" t="n">
        <v>0</v>
      </c>
    </row>
    <row r="13856" customFormat="false" ht="15" hidden="false" customHeight="false" outlineLevel="0" collapsed="false">
      <c r="A13856" s="7" t="s">
        <v>30</v>
      </c>
      <c r="B13856" s="7" t="s">
        <v>556</v>
      </c>
      <c r="C13856" s="7" t="s">
        <v>1079</v>
      </c>
      <c r="D13856" s="7" t="n">
        <v>0</v>
      </c>
      <c r="E13856" s="7" t="n">
        <v>0</v>
      </c>
      <c r="F13856" s="7" t="n">
        <v>6</v>
      </c>
      <c r="G13856" s="7" t="n">
        <v>60.1</v>
      </c>
    </row>
    <row r="13857" customFormat="false" ht="15" hidden="false" customHeight="false" outlineLevel="0" collapsed="false">
      <c r="A13857" s="7" t="s">
        <v>30</v>
      </c>
      <c r="B13857" s="7" t="s">
        <v>556</v>
      </c>
      <c r="C13857" s="7" t="s">
        <v>1079</v>
      </c>
      <c r="D13857" s="7" t="n">
        <v>2</v>
      </c>
      <c r="E13857" s="7" t="n">
        <v>20.9</v>
      </c>
      <c r="F13857" s="7" t="n">
        <v>0</v>
      </c>
      <c r="G13857" s="7" t="n">
        <v>0</v>
      </c>
    </row>
    <row r="13858" customFormat="false" ht="15" hidden="false" customHeight="false" outlineLevel="0" collapsed="false">
      <c r="A13858" s="7" t="s">
        <v>30</v>
      </c>
      <c r="B13858" s="7" t="s">
        <v>556</v>
      </c>
      <c r="C13858" s="7" t="s">
        <v>1079</v>
      </c>
      <c r="D13858" s="7" t="n">
        <v>0</v>
      </c>
      <c r="E13858" s="7" t="n">
        <v>0</v>
      </c>
      <c r="F13858" s="7" t="n">
        <v>15</v>
      </c>
      <c r="G13858" s="7" t="n">
        <v>151.28</v>
      </c>
    </row>
    <row r="13859" customFormat="false" ht="15" hidden="false" customHeight="false" outlineLevel="0" collapsed="false">
      <c r="A13859" s="7" t="s">
        <v>30</v>
      </c>
      <c r="B13859" s="7" t="s">
        <v>556</v>
      </c>
      <c r="C13859" s="7" t="s">
        <v>1079</v>
      </c>
      <c r="D13859" s="7" t="n">
        <v>20</v>
      </c>
      <c r="E13859" s="7" t="n">
        <v>199.73</v>
      </c>
      <c r="F13859" s="7" t="n">
        <v>0</v>
      </c>
      <c r="G13859" s="7" t="n">
        <v>0</v>
      </c>
    </row>
    <row r="13860" customFormat="false" ht="15" hidden="false" customHeight="false" outlineLevel="0" collapsed="false">
      <c r="A13860" s="7" t="s">
        <v>30</v>
      </c>
      <c r="B13860" s="7" t="s">
        <v>556</v>
      </c>
      <c r="C13860" s="7" t="s">
        <v>1079</v>
      </c>
      <c r="D13860" s="7" t="n">
        <v>25</v>
      </c>
      <c r="E13860" s="7" t="n">
        <v>250.17</v>
      </c>
      <c r="F13860" s="7" t="n">
        <v>0</v>
      </c>
      <c r="G13860" s="7" t="n">
        <v>0</v>
      </c>
    </row>
    <row r="13861" customFormat="false" ht="15" hidden="false" customHeight="false" outlineLevel="0" collapsed="false">
      <c r="A13861" s="7" t="s">
        <v>30</v>
      </c>
      <c r="B13861" s="7" t="s">
        <v>556</v>
      </c>
      <c r="C13861" s="7" t="s">
        <v>1079</v>
      </c>
      <c r="D13861" s="7" t="n">
        <v>10</v>
      </c>
      <c r="E13861" s="7" t="n">
        <v>103.77</v>
      </c>
      <c r="F13861" s="7" t="n">
        <v>0</v>
      </c>
      <c r="G13861" s="7" t="n">
        <v>0</v>
      </c>
    </row>
    <row r="13862" customFormat="false" ht="15" hidden="false" customHeight="false" outlineLevel="0" collapsed="false">
      <c r="A13862" s="7" t="s">
        <v>30</v>
      </c>
      <c r="B13862" s="7" t="s">
        <v>556</v>
      </c>
      <c r="C13862" s="7" t="s">
        <v>1079</v>
      </c>
      <c r="D13862" s="7" t="n">
        <v>5</v>
      </c>
      <c r="E13862" s="7" t="n">
        <v>54.24</v>
      </c>
      <c r="F13862" s="7" t="n">
        <v>0</v>
      </c>
      <c r="G13862" s="7" t="n">
        <v>0</v>
      </c>
    </row>
    <row r="13863" customFormat="false" ht="15" hidden="false" customHeight="false" outlineLevel="0" collapsed="false">
      <c r="A13863" s="7" t="s">
        <v>30</v>
      </c>
      <c r="B13863" s="7" t="s">
        <v>556</v>
      </c>
      <c r="C13863" s="7" t="s">
        <v>1079</v>
      </c>
      <c r="D13863" s="7" t="n">
        <v>15</v>
      </c>
      <c r="E13863" s="7" t="n">
        <v>158.27</v>
      </c>
      <c r="F13863" s="7" t="n">
        <v>0</v>
      </c>
      <c r="G13863" s="7" t="n">
        <v>0</v>
      </c>
    </row>
    <row r="13864" customFormat="false" ht="15" hidden="false" customHeight="false" outlineLevel="0" collapsed="false">
      <c r="A13864" s="7" t="s">
        <v>30</v>
      </c>
      <c r="B13864" s="7" t="s">
        <v>556</v>
      </c>
      <c r="C13864" s="7" t="s">
        <v>1079</v>
      </c>
      <c r="D13864" s="7" t="n">
        <v>0</v>
      </c>
      <c r="E13864" s="7" t="n">
        <v>0</v>
      </c>
      <c r="F13864" s="7" t="n">
        <v>6</v>
      </c>
      <c r="G13864" s="7" t="n">
        <v>61.35</v>
      </c>
    </row>
    <row r="13865" customFormat="false" ht="15" hidden="false" customHeight="false" outlineLevel="0" collapsed="false">
      <c r="A13865" s="7" t="s">
        <v>30</v>
      </c>
      <c r="B13865" s="7" t="s">
        <v>556</v>
      </c>
      <c r="C13865" s="7" t="s">
        <v>1079</v>
      </c>
      <c r="D13865" s="7" t="n">
        <v>26</v>
      </c>
      <c r="E13865" s="7" t="n">
        <v>272.63</v>
      </c>
      <c r="F13865" s="7" t="n">
        <v>0</v>
      </c>
      <c r="G13865" s="7" t="n">
        <v>0</v>
      </c>
    </row>
    <row r="13866" customFormat="false" ht="15" hidden="false" customHeight="false" outlineLevel="0" collapsed="false">
      <c r="A13866" s="7" t="s">
        <v>30</v>
      </c>
      <c r="B13866" s="7" t="s">
        <v>556</v>
      </c>
      <c r="C13866" s="7" t="s">
        <v>1079</v>
      </c>
      <c r="D13866" s="7" t="n">
        <v>10</v>
      </c>
      <c r="E13866" s="7" t="n">
        <v>98.94</v>
      </c>
      <c r="F13866" s="7" t="n">
        <v>0</v>
      </c>
      <c r="G13866" s="7" t="n">
        <v>0</v>
      </c>
    </row>
    <row r="13867" customFormat="false" ht="15" hidden="false" customHeight="false" outlineLevel="0" collapsed="false">
      <c r="A13867" s="7" t="s">
        <v>30</v>
      </c>
      <c r="B13867" s="7" t="s">
        <v>556</v>
      </c>
      <c r="C13867" s="7" t="s">
        <v>1079</v>
      </c>
      <c r="D13867" s="7" t="n">
        <v>12</v>
      </c>
      <c r="E13867" s="7" t="n">
        <v>131.26</v>
      </c>
      <c r="F13867" s="7" t="n">
        <v>0</v>
      </c>
      <c r="G13867" s="7" t="n">
        <v>0</v>
      </c>
    </row>
    <row r="13868" customFormat="false" ht="15" hidden="false" customHeight="false" outlineLevel="0" collapsed="false">
      <c r="A13868" s="7" t="s">
        <v>30</v>
      </c>
      <c r="B13868" s="7" t="s">
        <v>556</v>
      </c>
      <c r="C13868" s="7" t="s">
        <v>1079</v>
      </c>
      <c r="D13868" s="7" t="n">
        <v>5</v>
      </c>
      <c r="E13868" s="7" t="n">
        <v>52.06</v>
      </c>
      <c r="F13868" s="7" t="n">
        <v>0</v>
      </c>
      <c r="G13868" s="7" t="n">
        <v>0</v>
      </c>
    </row>
    <row r="13869" customFormat="false" ht="15" hidden="false" customHeight="false" outlineLevel="0" collapsed="false">
      <c r="A13869" s="7" t="s">
        <v>30</v>
      </c>
      <c r="B13869" s="7" t="s">
        <v>556</v>
      </c>
      <c r="C13869" s="7" t="s">
        <v>1079</v>
      </c>
      <c r="D13869" s="7" t="n">
        <v>0</v>
      </c>
      <c r="E13869" s="7" t="n">
        <v>0</v>
      </c>
      <c r="F13869" s="7" t="n">
        <v>2</v>
      </c>
      <c r="G13869" s="7" t="n">
        <v>21.45</v>
      </c>
    </row>
    <row r="13870" customFormat="false" ht="15" hidden="false" customHeight="false" outlineLevel="0" collapsed="false">
      <c r="A13870" s="7" t="s">
        <v>30</v>
      </c>
      <c r="B13870" s="7" t="s">
        <v>580</v>
      </c>
      <c r="C13870" s="7" t="s">
        <v>1079</v>
      </c>
      <c r="D13870" s="7" t="n">
        <v>0</v>
      </c>
      <c r="E13870" s="7" t="n">
        <v>0</v>
      </c>
      <c r="F13870" s="7" t="n">
        <v>12</v>
      </c>
      <c r="G13870" s="7" t="n">
        <v>121.02</v>
      </c>
    </row>
    <row r="13871" customFormat="false" ht="15" hidden="false" customHeight="false" outlineLevel="0" collapsed="false">
      <c r="A13871" s="7" t="s">
        <v>30</v>
      </c>
      <c r="B13871" s="7" t="s">
        <v>580</v>
      </c>
      <c r="C13871" s="7" t="s">
        <v>1079</v>
      </c>
      <c r="D13871" s="7" t="n">
        <v>8</v>
      </c>
      <c r="E13871" s="7" t="n">
        <v>87.51</v>
      </c>
      <c r="F13871" s="7" t="n">
        <v>0</v>
      </c>
      <c r="G13871" s="7" t="n">
        <v>0</v>
      </c>
    </row>
    <row r="13872" customFormat="false" ht="15" hidden="false" customHeight="false" outlineLevel="0" collapsed="false">
      <c r="A13872" s="7" t="s">
        <v>30</v>
      </c>
      <c r="B13872" s="7" t="s">
        <v>580</v>
      </c>
      <c r="C13872" s="7" t="s">
        <v>1079</v>
      </c>
      <c r="D13872" s="7" t="n">
        <v>0</v>
      </c>
      <c r="E13872" s="7" t="n">
        <v>0</v>
      </c>
      <c r="F13872" s="7" t="n">
        <v>5</v>
      </c>
      <c r="G13872" s="7" t="n">
        <v>54.8</v>
      </c>
    </row>
    <row r="13873" customFormat="false" ht="15" hidden="false" customHeight="false" outlineLevel="0" collapsed="false">
      <c r="A13873" s="7" t="s">
        <v>30</v>
      </c>
      <c r="B13873" s="7" t="s">
        <v>580</v>
      </c>
      <c r="C13873" s="7" t="s">
        <v>1079</v>
      </c>
      <c r="D13873" s="7" t="n">
        <v>0</v>
      </c>
      <c r="E13873" s="7" t="n">
        <v>0</v>
      </c>
      <c r="F13873" s="7" t="n">
        <v>6</v>
      </c>
      <c r="G13873" s="7" t="n">
        <v>60.1</v>
      </c>
    </row>
    <row r="13874" customFormat="false" ht="15" hidden="false" customHeight="false" outlineLevel="0" collapsed="false">
      <c r="A13874" s="7" t="s">
        <v>30</v>
      </c>
      <c r="B13874" s="7" t="s">
        <v>580</v>
      </c>
      <c r="C13874" s="7" t="s">
        <v>1079</v>
      </c>
      <c r="D13874" s="7" t="n">
        <v>0</v>
      </c>
      <c r="E13874" s="7" t="n">
        <v>0</v>
      </c>
      <c r="F13874" s="7" t="n">
        <v>5</v>
      </c>
      <c r="G13874" s="7" t="n">
        <v>51.12</v>
      </c>
    </row>
    <row r="13875" customFormat="false" ht="15" hidden="false" customHeight="false" outlineLevel="0" collapsed="false">
      <c r="A13875" s="7" t="s">
        <v>30</v>
      </c>
      <c r="B13875" s="7" t="s">
        <v>580</v>
      </c>
      <c r="C13875" s="7" t="s">
        <v>1079</v>
      </c>
      <c r="D13875" s="7" t="n">
        <v>8</v>
      </c>
      <c r="E13875" s="7" t="n">
        <v>80.05</v>
      </c>
      <c r="F13875" s="7" t="n">
        <v>0</v>
      </c>
      <c r="G13875" s="7" t="n">
        <v>0</v>
      </c>
    </row>
    <row r="13876" customFormat="false" ht="15" hidden="false" customHeight="false" outlineLevel="0" collapsed="false">
      <c r="A13876" s="7" t="s">
        <v>30</v>
      </c>
      <c r="B13876" s="7" t="s">
        <v>580</v>
      </c>
      <c r="C13876" s="7" t="s">
        <v>1079</v>
      </c>
      <c r="D13876" s="7" t="n">
        <v>8</v>
      </c>
      <c r="E13876" s="7" t="n">
        <v>79.89</v>
      </c>
      <c r="F13876" s="7" t="n">
        <v>0</v>
      </c>
      <c r="G13876" s="7" t="n">
        <v>0</v>
      </c>
    </row>
    <row r="13877" customFormat="false" ht="15" hidden="false" customHeight="false" outlineLevel="0" collapsed="false">
      <c r="A13877" s="7" t="s">
        <v>30</v>
      </c>
      <c r="B13877" s="7" t="s">
        <v>580</v>
      </c>
      <c r="C13877" s="7" t="s">
        <v>1079</v>
      </c>
      <c r="D13877" s="7" t="n">
        <v>0</v>
      </c>
      <c r="E13877" s="7" t="n">
        <v>0</v>
      </c>
      <c r="F13877" s="7" t="n">
        <v>5</v>
      </c>
      <c r="G13877" s="7" t="n">
        <v>51.35</v>
      </c>
    </row>
    <row r="13878" customFormat="false" ht="15" hidden="false" customHeight="false" outlineLevel="0" collapsed="false">
      <c r="A13878" s="7" t="s">
        <v>30</v>
      </c>
      <c r="B13878" s="7" t="s">
        <v>580</v>
      </c>
      <c r="C13878" s="7" t="s">
        <v>1079</v>
      </c>
      <c r="D13878" s="7" t="n">
        <v>8</v>
      </c>
      <c r="E13878" s="7" t="n">
        <v>81.21</v>
      </c>
      <c r="F13878" s="7" t="n">
        <v>0</v>
      </c>
      <c r="G13878" s="7" t="n">
        <v>0</v>
      </c>
    </row>
    <row r="13879" customFormat="false" ht="15" hidden="false" customHeight="false" outlineLevel="0" collapsed="false">
      <c r="A13879" s="7" t="s">
        <v>30</v>
      </c>
      <c r="B13879" s="7" t="s">
        <v>580</v>
      </c>
      <c r="C13879" s="7" t="s">
        <v>1079</v>
      </c>
      <c r="D13879" s="7" t="n">
        <v>5</v>
      </c>
      <c r="E13879" s="7" t="n">
        <v>51.88</v>
      </c>
      <c r="F13879" s="7" t="n">
        <v>0</v>
      </c>
      <c r="G13879" s="7" t="n">
        <v>0</v>
      </c>
    </row>
    <row r="13880" customFormat="false" ht="15" hidden="false" customHeight="false" outlineLevel="0" collapsed="false">
      <c r="A13880" s="7" t="s">
        <v>30</v>
      </c>
      <c r="B13880" s="7" t="s">
        <v>580</v>
      </c>
      <c r="C13880" s="7" t="s">
        <v>1079</v>
      </c>
      <c r="D13880" s="7" t="n">
        <v>10</v>
      </c>
      <c r="E13880" s="7" t="n">
        <v>104.5</v>
      </c>
      <c r="F13880" s="7" t="n">
        <v>0</v>
      </c>
      <c r="G13880" s="7" t="n">
        <v>0</v>
      </c>
    </row>
    <row r="13881" customFormat="false" ht="15" hidden="false" customHeight="false" outlineLevel="0" collapsed="false">
      <c r="A13881" s="7" t="s">
        <v>30</v>
      </c>
      <c r="B13881" s="7" t="s">
        <v>580</v>
      </c>
      <c r="C13881" s="7" t="s">
        <v>1079</v>
      </c>
      <c r="D13881" s="7" t="n">
        <v>15</v>
      </c>
      <c r="E13881" s="7" t="n">
        <v>158.27</v>
      </c>
      <c r="F13881" s="7" t="n">
        <v>0</v>
      </c>
      <c r="G13881" s="7" t="n">
        <v>0</v>
      </c>
    </row>
    <row r="13882" customFormat="false" ht="15" hidden="false" customHeight="false" outlineLevel="0" collapsed="false">
      <c r="A13882" s="7" t="s">
        <v>30</v>
      </c>
      <c r="B13882" s="7" t="s">
        <v>580</v>
      </c>
      <c r="C13882" s="7" t="s">
        <v>1079</v>
      </c>
      <c r="D13882" s="7" t="n">
        <v>10</v>
      </c>
      <c r="E13882" s="7" t="n">
        <v>108.49</v>
      </c>
      <c r="F13882" s="7" t="n">
        <v>0</v>
      </c>
      <c r="G13882" s="7" t="n">
        <v>0</v>
      </c>
    </row>
    <row r="13883" customFormat="false" ht="15" hidden="false" customHeight="false" outlineLevel="0" collapsed="false">
      <c r="A13883" s="7" t="s">
        <v>30</v>
      </c>
      <c r="B13883" s="7" t="s">
        <v>580</v>
      </c>
      <c r="C13883" s="7" t="s">
        <v>1079</v>
      </c>
      <c r="D13883" s="7" t="n">
        <v>10</v>
      </c>
      <c r="E13883" s="7" t="n">
        <v>104.86</v>
      </c>
      <c r="F13883" s="7" t="n">
        <v>0</v>
      </c>
      <c r="G13883" s="7" t="n">
        <v>0</v>
      </c>
    </row>
    <row r="13884" customFormat="false" ht="15" hidden="false" customHeight="false" outlineLevel="0" collapsed="false">
      <c r="A13884" s="7" t="s">
        <v>30</v>
      </c>
      <c r="B13884" s="7" t="s">
        <v>572</v>
      </c>
      <c r="C13884" s="7" t="s">
        <v>1079</v>
      </c>
      <c r="D13884" s="7" t="n">
        <v>0</v>
      </c>
      <c r="E13884" s="7" t="n">
        <v>0</v>
      </c>
      <c r="F13884" s="7" t="n">
        <v>6</v>
      </c>
      <c r="G13884" s="7" t="n">
        <v>61.35</v>
      </c>
    </row>
    <row r="13885" customFormat="false" ht="15" hidden="false" customHeight="false" outlineLevel="0" collapsed="false">
      <c r="A13885" s="7" t="s">
        <v>30</v>
      </c>
      <c r="B13885" s="7" t="s">
        <v>572</v>
      </c>
      <c r="C13885" s="7" t="s">
        <v>1079</v>
      </c>
      <c r="D13885" s="7" t="n">
        <v>0</v>
      </c>
      <c r="E13885" s="7" t="n">
        <v>0</v>
      </c>
      <c r="F13885" s="7" t="n">
        <v>15</v>
      </c>
      <c r="G13885" s="7" t="n">
        <v>151.28</v>
      </c>
    </row>
    <row r="13886" customFormat="false" ht="15" hidden="false" customHeight="false" outlineLevel="0" collapsed="false">
      <c r="A13886" s="7" t="s">
        <v>30</v>
      </c>
      <c r="B13886" s="7" t="s">
        <v>572</v>
      </c>
      <c r="C13886" s="7" t="s">
        <v>1079</v>
      </c>
      <c r="D13886" s="7" t="n">
        <v>2</v>
      </c>
      <c r="E13886" s="7" t="n">
        <v>20.75</v>
      </c>
      <c r="F13886" s="7" t="n">
        <v>0</v>
      </c>
      <c r="G13886" s="7" t="n">
        <v>0</v>
      </c>
    </row>
    <row r="13887" customFormat="false" ht="15" hidden="false" customHeight="false" outlineLevel="0" collapsed="false">
      <c r="A13887" s="7" t="s">
        <v>30</v>
      </c>
      <c r="B13887" s="7" t="s">
        <v>572</v>
      </c>
      <c r="C13887" s="7" t="s">
        <v>1079</v>
      </c>
      <c r="D13887" s="7" t="n">
        <v>5</v>
      </c>
      <c r="E13887" s="7" t="n">
        <v>49.46</v>
      </c>
      <c r="F13887" s="7" t="n">
        <v>0</v>
      </c>
      <c r="G13887" s="7" t="n">
        <v>0</v>
      </c>
    </row>
    <row r="13888" customFormat="false" ht="15" hidden="false" customHeight="false" outlineLevel="0" collapsed="false">
      <c r="A13888" s="7" t="s">
        <v>30</v>
      </c>
      <c r="B13888" s="7" t="s">
        <v>572</v>
      </c>
      <c r="C13888" s="7" t="s">
        <v>1079</v>
      </c>
      <c r="D13888" s="7" t="n">
        <v>0</v>
      </c>
      <c r="E13888" s="7" t="n">
        <v>0</v>
      </c>
      <c r="F13888" s="7" t="n">
        <v>5</v>
      </c>
      <c r="G13888" s="7" t="n">
        <v>51.35</v>
      </c>
    </row>
    <row r="13889" customFormat="false" ht="15" hidden="false" customHeight="false" outlineLevel="0" collapsed="false">
      <c r="A13889" s="7" t="s">
        <v>30</v>
      </c>
      <c r="B13889" s="7" t="s">
        <v>572</v>
      </c>
      <c r="C13889" s="7" t="s">
        <v>1079</v>
      </c>
      <c r="D13889" s="7" t="n">
        <v>2</v>
      </c>
      <c r="E13889" s="7" t="n">
        <v>21.11</v>
      </c>
      <c r="F13889" s="7" t="n">
        <v>0</v>
      </c>
      <c r="G13889" s="7" t="n">
        <v>0</v>
      </c>
    </row>
    <row r="13890" customFormat="false" ht="15" hidden="false" customHeight="false" outlineLevel="0" collapsed="false">
      <c r="A13890" s="7" t="s">
        <v>30</v>
      </c>
      <c r="B13890" s="7" t="s">
        <v>572</v>
      </c>
      <c r="C13890" s="7" t="s">
        <v>1079</v>
      </c>
      <c r="D13890" s="7" t="n">
        <v>0</v>
      </c>
      <c r="E13890" s="7" t="n">
        <v>0</v>
      </c>
      <c r="F13890" s="7" t="n">
        <v>5</v>
      </c>
      <c r="G13890" s="7" t="n">
        <v>53.63</v>
      </c>
    </row>
    <row r="13891" customFormat="false" ht="15" hidden="false" customHeight="false" outlineLevel="0" collapsed="false">
      <c r="A13891" s="7" t="s">
        <v>30</v>
      </c>
      <c r="B13891" s="7" t="s">
        <v>572</v>
      </c>
      <c r="C13891" s="7" t="s">
        <v>1079</v>
      </c>
      <c r="D13891" s="7" t="n">
        <v>2</v>
      </c>
      <c r="E13891" s="7" t="n">
        <v>21.88</v>
      </c>
      <c r="F13891" s="7" t="n">
        <v>0</v>
      </c>
      <c r="G13891" s="7" t="n">
        <v>0</v>
      </c>
    </row>
    <row r="13892" customFormat="false" ht="15" hidden="false" customHeight="false" outlineLevel="0" collapsed="false">
      <c r="A13892" s="7" t="s">
        <v>30</v>
      </c>
      <c r="B13892" s="7" t="s">
        <v>572</v>
      </c>
      <c r="C13892" s="7" t="s">
        <v>1079</v>
      </c>
      <c r="D13892" s="7" t="n">
        <v>2</v>
      </c>
      <c r="E13892" s="7" t="n">
        <v>20.82</v>
      </c>
      <c r="F13892" s="7" t="n">
        <v>0</v>
      </c>
      <c r="G13892" s="7" t="n">
        <v>0</v>
      </c>
    </row>
    <row r="13893" customFormat="false" ht="15" hidden="false" customHeight="false" outlineLevel="0" collapsed="false">
      <c r="A13893" s="7" t="s">
        <v>30</v>
      </c>
      <c r="B13893" s="7" t="s">
        <v>572</v>
      </c>
      <c r="C13893" s="7" t="s">
        <v>1079</v>
      </c>
      <c r="D13893" s="7" t="n">
        <v>3</v>
      </c>
      <c r="E13893" s="7" t="n">
        <v>30.46</v>
      </c>
      <c r="F13893" s="7" t="n">
        <v>0</v>
      </c>
      <c r="G13893" s="7" t="n">
        <v>0</v>
      </c>
    </row>
    <row r="13894" customFormat="false" ht="15" hidden="false" customHeight="false" outlineLevel="0" collapsed="false">
      <c r="A13894" s="7" t="s">
        <v>30</v>
      </c>
      <c r="B13894" s="7" t="s">
        <v>572</v>
      </c>
      <c r="C13894" s="7" t="s">
        <v>1079</v>
      </c>
      <c r="D13894" s="7" t="n">
        <v>8</v>
      </c>
      <c r="E13894" s="7" t="n">
        <v>83.6</v>
      </c>
      <c r="F13894" s="7" t="n">
        <v>0</v>
      </c>
      <c r="G13894" s="7" t="n">
        <v>0</v>
      </c>
    </row>
    <row r="13895" customFormat="false" ht="15" hidden="false" customHeight="false" outlineLevel="0" collapsed="false">
      <c r="A13895" s="7" t="s">
        <v>30</v>
      </c>
      <c r="B13895" s="7" t="s">
        <v>572</v>
      </c>
      <c r="C13895" s="7" t="s">
        <v>1079</v>
      </c>
      <c r="D13895" s="7" t="n">
        <v>2</v>
      </c>
      <c r="E13895" s="7" t="n">
        <v>21.7</v>
      </c>
      <c r="F13895" s="7" t="n">
        <v>0</v>
      </c>
      <c r="G13895" s="7" t="n">
        <v>0</v>
      </c>
    </row>
    <row r="13896" customFormat="false" ht="15" hidden="false" customHeight="false" outlineLevel="0" collapsed="false">
      <c r="A13896" s="7" t="s">
        <v>30</v>
      </c>
      <c r="B13896" s="7" t="s">
        <v>572</v>
      </c>
      <c r="C13896" s="7" t="s">
        <v>1079</v>
      </c>
      <c r="D13896" s="7" t="n">
        <v>0</v>
      </c>
      <c r="E13896" s="7" t="n">
        <v>0</v>
      </c>
      <c r="F13896" s="7" t="n">
        <v>2</v>
      </c>
      <c r="G13896" s="7" t="n">
        <v>20.45</v>
      </c>
    </row>
    <row r="13897" customFormat="false" ht="15" hidden="false" customHeight="false" outlineLevel="0" collapsed="false">
      <c r="A13897" s="7" t="s">
        <v>30</v>
      </c>
      <c r="B13897" s="7" t="s">
        <v>572</v>
      </c>
      <c r="C13897" s="7" t="s">
        <v>1079</v>
      </c>
      <c r="D13897" s="7" t="n">
        <v>0</v>
      </c>
      <c r="E13897" s="7" t="n">
        <v>0</v>
      </c>
      <c r="F13897" s="7" t="n">
        <v>3</v>
      </c>
      <c r="G13897" s="7" t="n">
        <v>32.45</v>
      </c>
    </row>
    <row r="13898" customFormat="false" ht="15" hidden="false" customHeight="false" outlineLevel="0" collapsed="false">
      <c r="A13898" s="7" t="s">
        <v>30</v>
      </c>
      <c r="B13898" s="7" t="s">
        <v>578</v>
      </c>
      <c r="C13898" s="7" t="s">
        <v>1079</v>
      </c>
      <c r="D13898" s="7" t="n">
        <v>26</v>
      </c>
      <c r="E13898" s="7" t="n">
        <v>272.63</v>
      </c>
      <c r="F13898" s="7" t="n">
        <v>0</v>
      </c>
      <c r="G13898" s="7" t="n">
        <v>0</v>
      </c>
    </row>
    <row r="13899" customFormat="false" ht="15" hidden="false" customHeight="false" outlineLevel="0" collapsed="false">
      <c r="A13899" s="7" t="s">
        <v>30</v>
      </c>
      <c r="B13899" s="7" t="s">
        <v>578</v>
      </c>
      <c r="C13899" s="7" t="s">
        <v>1079</v>
      </c>
      <c r="D13899" s="7" t="n">
        <v>5</v>
      </c>
      <c r="E13899" s="7" t="n">
        <v>52.06</v>
      </c>
      <c r="F13899" s="7" t="n">
        <v>0</v>
      </c>
      <c r="G13899" s="7" t="n">
        <v>0</v>
      </c>
    </row>
    <row r="13900" customFormat="false" ht="15" hidden="false" customHeight="false" outlineLevel="0" collapsed="false">
      <c r="A13900" s="7" t="s">
        <v>30</v>
      </c>
      <c r="B13900" s="7" t="s">
        <v>578</v>
      </c>
      <c r="C13900" s="7" t="s">
        <v>1079</v>
      </c>
      <c r="D13900" s="7" t="n">
        <v>0</v>
      </c>
      <c r="E13900" s="7" t="n">
        <v>0</v>
      </c>
      <c r="F13900" s="7" t="n">
        <v>15</v>
      </c>
      <c r="G13900" s="7" t="n">
        <v>160.89</v>
      </c>
    </row>
    <row r="13901" customFormat="false" ht="15" hidden="false" customHeight="false" outlineLevel="0" collapsed="false">
      <c r="A13901" s="7" t="s">
        <v>30</v>
      </c>
      <c r="B13901" s="7" t="s">
        <v>578</v>
      </c>
      <c r="C13901" s="7" t="s">
        <v>1079</v>
      </c>
      <c r="D13901" s="7" t="n">
        <v>0</v>
      </c>
      <c r="E13901" s="7" t="n">
        <v>0</v>
      </c>
      <c r="F13901" s="7" t="n">
        <v>2</v>
      </c>
      <c r="G13901" s="7" t="n">
        <v>20.45</v>
      </c>
    </row>
    <row r="13902" customFormat="false" ht="15" hidden="false" customHeight="false" outlineLevel="0" collapsed="false">
      <c r="A13902" s="7" t="s">
        <v>30</v>
      </c>
      <c r="B13902" s="7" t="s">
        <v>578</v>
      </c>
      <c r="C13902" s="7" t="s">
        <v>1079</v>
      </c>
      <c r="D13902" s="7" t="n">
        <v>40</v>
      </c>
      <c r="E13902" s="7" t="n">
        <v>433.98</v>
      </c>
      <c r="F13902" s="7" t="n">
        <v>0</v>
      </c>
      <c r="G13902" s="7" t="n">
        <v>0</v>
      </c>
    </row>
    <row r="13903" customFormat="false" ht="15" hidden="false" customHeight="false" outlineLevel="0" collapsed="false">
      <c r="A13903" s="7" t="s">
        <v>30</v>
      </c>
      <c r="B13903" s="7" t="s">
        <v>578</v>
      </c>
      <c r="C13903" s="7" t="s">
        <v>1079</v>
      </c>
      <c r="D13903" s="7" t="n">
        <v>0</v>
      </c>
      <c r="E13903" s="7" t="n">
        <v>0</v>
      </c>
      <c r="F13903" s="7" t="n">
        <v>10</v>
      </c>
      <c r="G13903" s="7" t="n">
        <v>100.85</v>
      </c>
    </row>
    <row r="13904" customFormat="false" ht="15" hidden="false" customHeight="false" outlineLevel="0" collapsed="false">
      <c r="A13904" s="7" t="s">
        <v>30</v>
      </c>
      <c r="B13904" s="7" t="s">
        <v>578</v>
      </c>
      <c r="C13904" s="7" t="s">
        <v>1079</v>
      </c>
      <c r="D13904" s="7" t="n">
        <v>2</v>
      </c>
      <c r="E13904" s="7" t="n">
        <v>20.3</v>
      </c>
      <c r="F13904" s="7" t="n">
        <v>0</v>
      </c>
      <c r="G13904" s="7" t="n">
        <v>0</v>
      </c>
    </row>
    <row r="13905" customFormat="false" ht="15" hidden="false" customHeight="false" outlineLevel="0" collapsed="false">
      <c r="A13905" s="7" t="s">
        <v>30</v>
      </c>
      <c r="B13905" s="7" t="s">
        <v>578</v>
      </c>
      <c r="C13905" s="7" t="s">
        <v>1079</v>
      </c>
      <c r="D13905" s="7" t="n">
        <v>0</v>
      </c>
      <c r="E13905" s="7" t="n">
        <v>0</v>
      </c>
      <c r="F13905" s="7" t="n">
        <v>2</v>
      </c>
      <c r="G13905" s="7" t="n">
        <v>20.03</v>
      </c>
    </row>
    <row r="13906" customFormat="false" ht="15" hidden="false" customHeight="false" outlineLevel="0" collapsed="false">
      <c r="A13906" s="7" t="s">
        <v>30</v>
      </c>
      <c r="B13906" s="7" t="s">
        <v>578</v>
      </c>
      <c r="C13906" s="7" t="s">
        <v>1079</v>
      </c>
      <c r="D13906" s="7" t="n">
        <v>10</v>
      </c>
      <c r="E13906" s="7" t="n">
        <v>104.5</v>
      </c>
      <c r="F13906" s="7" t="n">
        <v>0</v>
      </c>
      <c r="G13906" s="7" t="n">
        <v>0</v>
      </c>
    </row>
    <row r="13907" customFormat="false" ht="15" hidden="false" customHeight="false" outlineLevel="0" collapsed="false">
      <c r="A13907" s="7" t="s">
        <v>30</v>
      </c>
      <c r="B13907" s="7" t="s">
        <v>578</v>
      </c>
      <c r="C13907" s="7" t="s">
        <v>1079</v>
      </c>
      <c r="D13907" s="7" t="n">
        <v>0</v>
      </c>
      <c r="E13907" s="7" t="n">
        <v>0</v>
      </c>
      <c r="F13907" s="7" t="n">
        <v>25</v>
      </c>
      <c r="G13907" s="7" t="n">
        <v>256.76</v>
      </c>
    </row>
    <row r="13908" customFormat="false" ht="15" hidden="false" customHeight="false" outlineLevel="0" collapsed="false">
      <c r="A13908" s="7" t="s">
        <v>30</v>
      </c>
      <c r="B13908" s="7" t="s">
        <v>578</v>
      </c>
      <c r="C13908" s="7" t="s">
        <v>1079</v>
      </c>
      <c r="D13908" s="7" t="n">
        <v>40</v>
      </c>
      <c r="E13908" s="7" t="n">
        <v>395.73</v>
      </c>
      <c r="F13908" s="7" t="n">
        <v>0</v>
      </c>
      <c r="G13908" s="7" t="n">
        <v>0</v>
      </c>
    </row>
    <row r="13909" customFormat="false" ht="15" hidden="false" customHeight="false" outlineLevel="0" collapsed="false">
      <c r="A13909" s="7" t="s">
        <v>30</v>
      </c>
      <c r="B13909" s="7" t="s">
        <v>578</v>
      </c>
      <c r="C13909" s="7" t="s">
        <v>1079</v>
      </c>
      <c r="D13909" s="7" t="n">
        <v>25</v>
      </c>
      <c r="E13909" s="7" t="n">
        <v>249.66</v>
      </c>
      <c r="F13909" s="7" t="n">
        <v>0</v>
      </c>
      <c r="G13909" s="7" t="n">
        <v>0</v>
      </c>
    </row>
    <row r="13910" customFormat="false" ht="15" hidden="false" customHeight="false" outlineLevel="0" collapsed="false">
      <c r="A13910" s="7" t="s">
        <v>30</v>
      </c>
      <c r="B13910" s="7" t="s">
        <v>578</v>
      </c>
      <c r="C13910" s="7" t="s">
        <v>1079</v>
      </c>
      <c r="D13910" s="7" t="n">
        <v>0</v>
      </c>
      <c r="E13910" s="7" t="n">
        <v>0</v>
      </c>
      <c r="F13910" s="7" t="n">
        <v>5</v>
      </c>
      <c r="G13910" s="7" t="n">
        <v>51.12</v>
      </c>
    </row>
    <row r="13911" customFormat="false" ht="15" hidden="false" customHeight="false" outlineLevel="0" collapsed="false">
      <c r="A13911" s="7" t="s">
        <v>30</v>
      </c>
      <c r="B13911" s="7" t="s">
        <v>717</v>
      </c>
      <c r="C13911" s="7" t="s">
        <v>1079</v>
      </c>
      <c r="D13911" s="7" t="n">
        <v>0</v>
      </c>
      <c r="E13911" s="7" t="n">
        <v>0</v>
      </c>
      <c r="F13911" s="7" t="n">
        <v>3</v>
      </c>
      <c r="G13911" s="7" t="n">
        <v>30.26</v>
      </c>
    </row>
    <row r="13912" customFormat="false" ht="15" hidden="false" customHeight="false" outlineLevel="0" collapsed="false">
      <c r="A13912" s="7" t="s">
        <v>30</v>
      </c>
      <c r="B13912" s="7" t="s">
        <v>717</v>
      </c>
      <c r="C13912" s="7" t="s">
        <v>1079</v>
      </c>
      <c r="D13912" s="7" t="n">
        <v>0</v>
      </c>
      <c r="E13912" s="7" t="n">
        <v>0</v>
      </c>
      <c r="F13912" s="7" t="n">
        <v>3</v>
      </c>
      <c r="G13912" s="7" t="n">
        <v>32.18</v>
      </c>
    </row>
    <row r="13913" customFormat="false" ht="15" hidden="false" customHeight="false" outlineLevel="0" collapsed="false">
      <c r="A13913" s="7" t="s">
        <v>30</v>
      </c>
      <c r="B13913" s="7" t="s">
        <v>641</v>
      </c>
      <c r="C13913" s="7" t="s">
        <v>1079</v>
      </c>
      <c r="D13913" s="7" t="n">
        <v>25</v>
      </c>
      <c r="E13913" s="7" t="n">
        <v>247.33</v>
      </c>
      <c r="F13913" s="7" t="n">
        <v>0</v>
      </c>
      <c r="G13913" s="7" t="n">
        <v>0</v>
      </c>
    </row>
    <row r="13914" customFormat="false" ht="15" hidden="false" customHeight="false" outlineLevel="0" collapsed="false">
      <c r="A13914" s="7" t="s">
        <v>30</v>
      </c>
      <c r="B13914" s="7" t="s">
        <v>641</v>
      </c>
      <c r="C13914" s="7" t="s">
        <v>1079</v>
      </c>
      <c r="D13914" s="7" t="n">
        <v>0</v>
      </c>
      <c r="E13914" s="7" t="n">
        <v>0</v>
      </c>
      <c r="F13914" s="7" t="n">
        <v>6</v>
      </c>
      <c r="G13914" s="7" t="n">
        <v>61.35</v>
      </c>
    </row>
    <row r="13915" customFormat="false" ht="15" hidden="false" customHeight="false" outlineLevel="0" collapsed="false">
      <c r="A13915" s="7" t="s">
        <v>30</v>
      </c>
      <c r="B13915" s="7" t="s">
        <v>641</v>
      </c>
      <c r="C13915" s="7" t="s">
        <v>1079</v>
      </c>
      <c r="D13915" s="7" t="n">
        <v>0</v>
      </c>
      <c r="E13915" s="7" t="n">
        <v>0</v>
      </c>
      <c r="F13915" s="7" t="n">
        <v>15</v>
      </c>
      <c r="G13915" s="7" t="n">
        <v>151.28</v>
      </c>
    </row>
    <row r="13916" customFormat="false" ht="15" hidden="false" customHeight="false" outlineLevel="0" collapsed="false">
      <c r="A13916" s="7" t="s">
        <v>30</v>
      </c>
      <c r="B13916" s="7" t="s">
        <v>641</v>
      </c>
      <c r="C13916" s="7" t="s">
        <v>1079</v>
      </c>
      <c r="D13916" s="7" t="n">
        <v>12</v>
      </c>
      <c r="E13916" s="7" t="n">
        <v>126.61</v>
      </c>
      <c r="F13916" s="7" t="n">
        <v>0</v>
      </c>
      <c r="G13916" s="7" t="n">
        <v>0</v>
      </c>
    </row>
    <row r="13917" customFormat="false" ht="15" hidden="false" customHeight="false" outlineLevel="0" collapsed="false">
      <c r="A13917" s="7" t="s">
        <v>30</v>
      </c>
      <c r="B13917" s="7" t="s">
        <v>641</v>
      </c>
      <c r="C13917" s="7" t="s">
        <v>1079</v>
      </c>
      <c r="D13917" s="7" t="n">
        <v>12</v>
      </c>
      <c r="E13917" s="7" t="n">
        <v>124.93</v>
      </c>
      <c r="F13917" s="7" t="n">
        <v>0</v>
      </c>
      <c r="G13917" s="7" t="n">
        <v>0</v>
      </c>
    </row>
    <row r="13918" customFormat="false" ht="15" hidden="false" customHeight="false" outlineLevel="0" collapsed="false">
      <c r="A13918" s="7" t="s">
        <v>30</v>
      </c>
      <c r="B13918" s="7" t="s">
        <v>641</v>
      </c>
      <c r="C13918" s="7" t="s">
        <v>1079</v>
      </c>
      <c r="D13918" s="7" t="n">
        <v>0</v>
      </c>
      <c r="E13918" s="7" t="n">
        <v>0</v>
      </c>
      <c r="F13918" s="7" t="n">
        <v>8</v>
      </c>
      <c r="G13918" s="7" t="n">
        <v>82.16</v>
      </c>
    </row>
    <row r="13919" customFormat="false" ht="15" hidden="false" customHeight="false" outlineLevel="0" collapsed="false">
      <c r="A13919" s="7" t="s">
        <v>30</v>
      </c>
      <c r="B13919" s="7" t="s">
        <v>641</v>
      </c>
      <c r="C13919" s="7" t="s">
        <v>1079</v>
      </c>
      <c r="D13919" s="7" t="n">
        <v>17</v>
      </c>
      <c r="E13919" s="7" t="n">
        <v>178.25</v>
      </c>
      <c r="F13919" s="7" t="n">
        <v>0</v>
      </c>
      <c r="G13919" s="7" t="n">
        <v>0</v>
      </c>
    </row>
    <row r="13920" customFormat="false" ht="15" hidden="false" customHeight="false" outlineLevel="0" collapsed="false">
      <c r="A13920" s="7" t="s">
        <v>30</v>
      </c>
      <c r="B13920" s="7" t="s">
        <v>641</v>
      </c>
      <c r="C13920" s="7" t="s">
        <v>1079</v>
      </c>
      <c r="D13920" s="7" t="n">
        <v>2</v>
      </c>
      <c r="E13920" s="7" t="n">
        <v>20.3</v>
      </c>
      <c r="F13920" s="7" t="n">
        <v>0</v>
      </c>
      <c r="G13920" s="7" t="n">
        <v>0</v>
      </c>
    </row>
    <row r="13921" customFormat="false" ht="15" hidden="false" customHeight="false" outlineLevel="0" collapsed="false">
      <c r="A13921" s="7" t="s">
        <v>30</v>
      </c>
      <c r="B13921" s="7" t="s">
        <v>641</v>
      </c>
      <c r="C13921" s="7" t="s">
        <v>1079</v>
      </c>
      <c r="D13921" s="7" t="n">
        <v>40</v>
      </c>
      <c r="E13921" s="7" t="n">
        <v>433.98</v>
      </c>
      <c r="F13921" s="7" t="n">
        <v>0</v>
      </c>
      <c r="G13921" s="7" t="n">
        <v>0</v>
      </c>
    </row>
    <row r="13922" customFormat="false" ht="15" hidden="false" customHeight="false" outlineLevel="0" collapsed="false">
      <c r="A13922" s="7" t="s">
        <v>30</v>
      </c>
      <c r="B13922" s="7" t="s">
        <v>641</v>
      </c>
      <c r="C13922" s="7" t="s">
        <v>1079</v>
      </c>
      <c r="D13922" s="7" t="n">
        <v>0</v>
      </c>
      <c r="E13922" s="7" t="n">
        <v>0</v>
      </c>
      <c r="F13922" s="7" t="n">
        <v>7</v>
      </c>
      <c r="G13922" s="7" t="n">
        <v>75.08</v>
      </c>
    </row>
    <row r="13923" customFormat="false" ht="15" hidden="false" customHeight="false" outlineLevel="0" collapsed="false">
      <c r="A13923" s="7" t="s">
        <v>30</v>
      </c>
      <c r="B13923" s="7" t="s">
        <v>641</v>
      </c>
      <c r="C13923" s="7" t="s">
        <v>1079</v>
      </c>
      <c r="D13923" s="7" t="n">
        <v>12</v>
      </c>
      <c r="E13923" s="7" t="n">
        <v>125.4</v>
      </c>
      <c r="F13923" s="7" t="n">
        <v>0</v>
      </c>
      <c r="G13923" s="7" t="n">
        <v>0</v>
      </c>
    </row>
    <row r="13924" customFormat="false" ht="15" hidden="false" customHeight="false" outlineLevel="0" collapsed="false">
      <c r="A13924" s="7" t="s">
        <v>30</v>
      </c>
      <c r="B13924" s="7" t="s">
        <v>641</v>
      </c>
      <c r="C13924" s="7" t="s">
        <v>1079</v>
      </c>
      <c r="D13924" s="7" t="n">
        <v>25</v>
      </c>
      <c r="E13924" s="7" t="n">
        <v>249.66</v>
      </c>
      <c r="F13924" s="7" t="n">
        <v>0</v>
      </c>
      <c r="G13924" s="7" t="n">
        <v>0</v>
      </c>
    </row>
    <row r="13925" customFormat="false" ht="15" hidden="false" customHeight="false" outlineLevel="0" collapsed="false">
      <c r="A13925" s="7" t="s">
        <v>30</v>
      </c>
      <c r="B13925" s="7" t="s">
        <v>200</v>
      </c>
      <c r="C13925" s="7" t="s">
        <v>1064</v>
      </c>
      <c r="D13925" s="7" t="n">
        <v>1</v>
      </c>
      <c r="E13925" s="7" t="n">
        <v>0.04</v>
      </c>
      <c r="F13925" s="7" t="n">
        <v>0</v>
      </c>
      <c r="G13925" s="7" t="n">
        <v>0</v>
      </c>
    </row>
    <row r="13926" customFormat="false" ht="15" hidden="false" customHeight="false" outlineLevel="0" collapsed="false">
      <c r="A13926" s="7" t="s">
        <v>30</v>
      </c>
      <c r="B13926" s="7" t="s">
        <v>665</v>
      </c>
      <c r="C13926" s="7" t="s">
        <v>1181</v>
      </c>
      <c r="D13926" s="7" t="n">
        <v>5</v>
      </c>
      <c r="E13926" s="7" t="n">
        <v>49.41</v>
      </c>
      <c r="F13926" s="7" t="n">
        <v>0</v>
      </c>
      <c r="G13926" s="7" t="n">
        <v>0</v>
      </c>
    </row>
    <row r="13927" customFormat="false" ht="15" hidden="false" customHeight="false" outlineLevel="0" collapsed="false">
      <c r="A13927" s="7" t="s">
        <v>30</v>
      </c>
      <c r="B13927" s="7" t="s">
        <v>665</v>
      </c>
      <c r="C13927" s="7" t="s">
        <v>1181</v>
      </c>
      <c r="D13927" s="7" t="n">
        <v>0</v>
      </c>
      <c r="E13927" s="7" t="n">
        <v>0</v>
      </c>
      <c r="F13927" s="7" t="n">
        <v>10</v>
      </c>
      <c r="G13927" s="7" t="n">
        <v>97.48</v>
      </c>
    </row>
    <row r="13928" customFormat="false" ht="15" hidden="false" customHeight="false" outlineLevel="0" collapsed="false">
      <c r="A13928" s="7" t="s">
        <v>30</v>
      </c>
      <c r="B13928" s="7" t="s">
        <v>665</v>
      </c>
      <c r="C13928" s="7" t="s">
        <v>1181</v>
      </c>
      <c r="D13928" s="7" t="n">
        <v>0</v>
      </c>
      <c r="E13928" s="7" t="n">
        <v>0</v>
      </c>
      <c r="F13928" s="7" t="n">
        <v>5</v>
      </c>
      <c r="G13928" s="7" t="n">
        <v>48.52</v>
      </c>
    </row>
    <row r="13929" customFormat="false" ht="15" hidden="false" customHeight="false" outlineLevel="0" collapsed="false">
      <c r="A13929" s="7" t="s">
        <v>30</v>
      </c>
      <c r="B13929" s="7" t="s">
        <v>665</v>
      </c>
      <c r="C13929" s="7" t="s">
        <v>1181</v>
      </c>
      <c r="D13929" s="7" t="n">
        <v>3</v>
      </c>
      <c r="E13929" s="7" t="n">
        <v>30.9</v>
      </c>
      <c r="F13929" s="7" t="n">
        <v>0</v>
      </c>
      <c r="G13929" s="7" t="n">
        <v>0</v>
      </c>
    </row>
    <row r="13930" customFormat="false" ht="15" hidden="false" customHeight="false" outlineLevel="0" collapsed="false">
      <c r="A13930" s="7" t="s">
        <v>30</v>
      </c>
      <c r="B13930" s="7" t="s">
        <v>665</v>
      </c>
      <c r="C13930" s="7" t="s">
        <v>1181</v>
      </c>
      <c r="D13930" s="7" t="n">
        <v>0</v>
      </c>
      <c r="E13930" s="7" t="n">
        <v>0</v>
      </c>
      <c r="F13930" s="7" t="n">
        <v>5</v>
      </c>
      <c r="G13930" s="7" t="n">
        <v>50.9</v>
      </c>
    </row>
    <row r="13931" customFormat="false" ht="15" hidden="false" customHeight="false" outlineLevel="0" collapsed="false">
      <c r="A13931" s="7" t="s">
        <v>30</v>
      </c>
      <c r="B13931" s="7" t="s">
        <v>665</v>
      </c>
      <c r="C13931" s="7" t="s">
        <v>1181</v>
      </c>
      <c r="D13931" s="7" t="n">
        <v>2</v>
      </c>
      <c r="E13931" s="7" t="n">
        <v>19.84</v>
      </c>
      <c r="F13931" s="7" t="n">
        <v>0</v>
      </c>
      <c r="G13931" s="7" t="n">
        <v>0</v>
      </c>
    </row>
    <row r="13932" customFormat="false" ht="15" hidden="false" customHeight="false" outlineLevel="0" collapsed="false">
      <c r="A13932" s="7" t="s">
        <v>30</v>
      </c>
      <c r="B13932" s="7" t="s">
        <v>665</v>
      </c>
      <c r="C13932" s="7" t="s">
        <v>1181</v>
      </c>
      <c r="D13932" s="7" t="n">
        <v>0</v>
      </c>
      <c r="E13932" s="7" t="n">
        <v>0</v>
      </c>
      <c r="F13932" s="7" t="n">
        <v>10</v>
      </c>
      <c r="G13932" s="7" t="n">
        <v>97.05</v>
      </c>
    </row>
    <row r="13933" customFormat="false" ht="15" hidden="false" customHeight="false" outlineLevel="0" collapsed="false">
      <c r="A13933" s="7" t="s">
        <v>30</v>
      </c>
      <c r="B13933" s="7" t="s">
        <v>665</v>
      </c>
      <c r="C13933" s="7" t="s">
        <v>1181</v>
      </c>
      <c r="D13933" s="7" t="n">
        <v>0</v>
      </c>
      <c r="E13933" s="7" t="n">
        <v>0</v>
      </c>
      <c r="F13933" s="7" t="n">
        <v>10</v>
      </c>
      <c r="G13933" s="7" t="n">
        <v>95.72</v>
      </c>
    </row>
    <row r="13934" customFormat="false" ht="15" hidden="false" customHeight="false" outlineLevel="0" collapsed="false">
      <c r="A13934" s="7" t="s">
        <v>30</v>
      </c>
      <c r="B13934" s="7" t="s">
        <v>665</v>
      </c>
      <c r="C13934" s="7" t="s">
        <v>1181</v>
      </c>
      <c r="D13934" s="7" t="n">
        <v>0</v>
      </c>
      <c r="E13934" s="7" t="n">
        <v>0</v>
      </c>
      <c r="F13934" s="7" t="n">
        <v>15</v>
      </c>
      <c r="G13934" s="7" t="n">
        <v>142.62</v>
      </c>
    </row>
    <row r="13935" customFormat="false" ht="15" hidden="false" customHeight="false" outlineLevel="0" collapsed="false">
      <c r="A13935" s="7" t="s">
        <v>30</v>
      </c>
      <c r="B13935" s="7" t="s">
        <v>665</v>
      </c>
      <c r="C13935" s="7" t="s">
        <v>1181</v>
      </c>
      <c r="D13935" s="7" t="n">
        <v>30</v>
      </c>
      <c r="E13935" s="7" t="n">
        <v>289.04</v>
      </c>
      <c r="F13935" s="7" t="n">
        <v>0</v>
      </c>
      <c r="G13935" s="7" t="n">
        <v>0</v>
      </c>
    </row>
    <row r="13936" customFormat="false" ht="15" hidden="false" customHeight="false" outlineLevel="0" collapsed="false">
      <c r="A13936" s="7" t="s">
        <v>30</v>
      </c>
      <c r="B13936" s="7" t="s">
        <v>603</v>
      </c>
      <c r="C13936" s="7" t="s">
        <v>1067</v>
      </c>
      <c r="D13936" s="7" t="n">
        <v>0</v>
      </c>
      <c r="E13936" s="7" t="n">
        <v>0</v>
      </c>
      <c r="F13936" s="7" t="n">
        <v>12</v>
      </c>
      <c r="G13936" s="7" t="n">
        <v>147.65</v>
      </c>
    </row>
    <row r="13937" customFormat="false" ht="15" hidden="false" customHeight="false" outlineLevel="0" collapsed="false">
      <c r="A13937" s="7" t="s">
        <v>30</v>
      </c>
      <c r="B13937" s="7" t="s">
        <v>603</v>
      </c>
      <c r="C13937" s="7" t="s">
        <v>1067</v>
      </c>
      <c r="D13937" s="7" t="n">
        <v>36</v>
      </c>
      <c r="E13937" s="7" t="n">
        <v>452.71</v>
      </c>
      <c r="F13937" s="7" t="n">
        <v>0</v>
      </c>
      <c r="G13937" s="7" t="n">
        <v>0</v>
      </c>
    </row>
    <row r="13938" customFormat="false" ht="15" hidden="false" customHeight="false" outlineLevel="0" collapsed="false">
      <c r="A13938" s="7" t="s">
        <v>30</v>
      </c>
      <c r="B13938" s="7" t="s">
        <v>603</v>
      </c>
      <c r="C13938" s="7" t="s">
        <v>1067</v>
      </c>
      <c r="D13938" s="7" t="n">
        <v>12</v>
      </c>
      <c r="E13938" s="7" t="n">
        <v>149.85</v>
      </c>
      <c r="F13938" s="7" t="n">
        <v>0</v>
      </c>
      <c r="G13938" s="7" t="n">
        <v>0</v>
      </c>
    </row>
    <row r="13939" customFormat="false" ht="15" hidden="false" customHeight="false" outlineLevel="0" collapsed="false">
      <c r="A13939" s="7" t="s">
        <v>30</v>
      </c>
      <c r="B13939" s="7" t="s">
        <v>603</v>
      </c>
      <c r="C13939" s="7" t="s">
        <v>1067</v>
      </c>
      <c r="D13939" s="7" t="n">
        <v>24</v>
      </c>
      <c r="E13939" s="7" t="n">
        <v>285.73</v>
      </c>
      <c r="F13939" s="7" t="n">
        <v>0</v>
      </c>
      <c r="G13939" s="7" t="n">
        <v>0</v>
      </c>
    </row>
    <row r="13940" customFormat="false" ht="15" hidden="false" customHeight="false" outlineLevel="0" collapsed="false">
      <c r="A13940" s="7" t="s">
        <v>30</v>
      </c>
      <c r="B13940" s="7" t="s">
        <v>603</v>
      </c>
      <c r="C13940" s="7" t="s">
        <v>1067</v>
      </c>
      <c r="D13940" s="7" t="n">
        <v>24</v>
      </c>
      <c r="E13940" s="7" t="n">
        <v>289.02</v>
      </c>
      <c r="F13940" s="7" t="n">
        <v>0</v>
      </c>
      <c r="G13940" s="7" t="n">
        <v>0</v>
      </c>
    </row>
    <row r="13941" customFormat="false" ht="15" hidden="false" customHeight="false" outlineLevel="0" collapsed="false">
      <c r="A13941" s="7" t="s">
        <v>30</v>
      </c>
      <c r="B13941" s="7" t="s">
        <v>603</v>
      </c>
      <c r="C13941" s="7" t="s">
        <v>1067</v>
      </c>
      <c r="D13941" s="7" t="n">
        <v>0</v>
      </c>
      <c r="E13941" s="7" t="n">
        <v>0</v>
      </c>
      <c r="F13941" s="7" t="n">
        <v>12</v>
      </c>
      <c r="G13941" s="7" t="n">
        <v>144.66</v>
      </c>
    </row>
    <row r="13942" customFormat="false" ht="15" hidden="false" customHeight="false" outlineLevel="0" collapsed="false">
      <c r="A13942" s="7" t="s">
        <v>30</v>
      </c>
      <c r="B13942" s="7" t="s">
        <v>603</v>
      </c>
      <c r="C13942" s="7" t="s">
        <v>1067</v>
      </c>
      <c r="D13942" s="7" t="n">
        <v>0</v>
      </c>
      <c r="E13942" s="7" t="n">
        <v>0</v>
      </c>
      <c r="F13942" s="7" t="n">
        <v>12</v>
      </c>
      <c r="G13942" s="7" t="n">
        <v>147.64</v>
      </c>
    </row>
    <row r="13943" customFormat="false" ht="15" hidden="false" customHeight="false" outlineLevel="0" collapsed="false">
      <c r="A13943" s="7" t="s">
        <v>30</v>
      </c>
      <c r="B13943" s="7" t="s">
        <v>603</v>
      </c>
      <c r="C13943" s="7" t="s">
        <v>1067</v>
      </c>
      <c r="D13943" s="7" t="n">
        <v>12</v>
      </c>
      <c r="E13943" s="7" t="n">
        <v>144.21</v>
      </c>
      <c r="F13943" s="7" t="n">
        <v>0</v>
      </c>
      <c r="G13943" s="7" t="n">
        <v>0</v>
      </c>
    </row>
    <row r="13944" customFormat="false" ht="15" hidden="false" customHeight="false" outlineLevel="0" collapsed="false">
      <c r="A13944" s="7" t="s">
        <v>30</v>
      </c>
      <c r="B13944" s="7" t="s">
        <v>603</v>
      </c>
      <c r="C13944" s="7" t="s">
        <v>1067</v>
      </c>
      <c r="D13944" s="7" t="n">
        <v>0</v>
      </c>
      <c r="E13944" s="7" t="n">
        <v>0</v>
      </c>
      <c r="F13944" s="7" t="n">
        <v>24</v>
      </c>
      <c r="G13944" s="7" t="n">
        <v>291.27</v>
      </c>
    </row>
    <row r="13945" customFormat="false" ht="15" hidden="false" customHeight="false" outlineLevel="0" collapsed="false">
      <c r="A13945" s="7" t="s">
        <v>30</v>
      </c>
      <c r="B13945" s="7" t="s">
        <v>603</v>
      </c>
      <c r="C13945" s="7" t="s">
        <v>1067</v>
      </c>
      <c r="D13945" s="7" t="n">
        <v>0</v>
      </c>
      <c r="E13945" s="7" t="n">
        <v>0</v>
      </c>
      <c r="F13945" s="7" t="n">
        <v>12</v>
      </c>
      <c r="G13945" s="7" t="n">
        <v>154.89</v>
      </c>
    </row>
    <row r="13946" customFormat="false" ht="15" hidden="false" customHeight="false" outlineLevel="0" collapsed="false">
      <c r="A13946" s="7" t="s">
        <v>30</v>
      </c>
      <c r="B13946" s="7" t="s">
        <v>603</v>
      </c>
      <c r="C13946" s="7" t="s">
        <v>1067</v>
      </c>
      <c r="D13946" s="7" t="n">
        <v>12</v>
      </c>
      <c r="E13946" s="7" t="n">
        <v>152.36</v>
      </c>
      <c r="F13946" s="7" t="n">
        <v>0</v>
      </c>
      <c r="G13946" s="7" t="n">
        <v>0</v>
      </c>
    </row>
    <row r="13947" customFormat="false" ht="15" hidden="false" customHeight="false" outlineLevel="0" collapsed="false">
      <c r="A13947" s="7" t="s">
        <v>30</v>
      </c>
      <c r="B13947" s="7" t="s">
        <v>601</v>
      </c>
      <c r="C13947" s="7" t="s">
        <v>1067</v>
      </c>
      <c r="D13947" s="7" t="n">
        <v>0</v>
      </c>
      <c r="E13947" s="7" t="n">
        <v>0</v>
      </c>
      <c r="F13947" s="7" t="n">
        <v>12</v>
      </c>
      <c r="G13947" s="7" t="n">
        <v>147.65</v>
      </c>
    </row>
    <row r="13948" customFormat="false" ht="15" hidden="false" customHeight="false" outlineLevel="0" collapsed="false">
      <c r="A13948" s="7" t="s">
        <v>30</v>
      </c>
      <c r="B13948" s="7" t="s">
        <v>601</v>
      </c>
      <c r="C13948" s="7" t="s">
        <v>1067</v>
      </c>
      <c r="D13948" s="7" t="n">
        <v>0</v>
      </c>
      <c r="E13948" s="7" t="n">
        <v>0</v>
      </c>
      <c r="F13948" s="7" t="n">
        <v>24</v>
      </c>
      <c r="G13948" s="7" t="n">
        <v>291.27</v>
      </c>
    </row>
    <row r="13949" customFormat="false" ht="15" hidden="false" customHeight="false" outlineLevel="0" collapsed="false">
      <c r="A13949" s="7" t="s">
        <v>30</v>
      </c>
      <c r="B13949" s="7" t="s">
        <v>601</v>
      </c>
      <c r="C13949" s="7" t="s">
        <v>1067</v>
      </c>
      <c r="D13949" s="7" t="n">
        <v>0</v>
      </c>
      <c r="E13949" s="7" t="n">
        <v>0</v>
      </c>
      <c r="F13949" s="7" t="n">
        <v>24</v>
      </c>
      <c r="G13949" s="7" t="n">
        <v>309.79</v>
      </c>
    </row>
    <row r="13950" customFormat="false" ht="15" hidden="false" customHeight="false" outlineLevel="0" collapsed="false">
      <c r="A13950" s="7" t="s">
        <v>30</v>
      </c>
      <c r="B13950" s="7" t="s">
        <v>601</v>
      </c>
      <c r="C13950" s="7" t="s">
        <v>1067</v>
      </c>
      <c r="D13950" s="7" t="n">
        <v>12</v>
      </c>
      <c r="E13950" s="7" t="n">
        <v>144.21</v>
      </c>
      <c r="F13950" s="7" t="n">
        <v>0</v>
      </c>
      <c r="G13950" s="7" t="n">
        <v>0</v>
      </c>
    </row>
    <row r="13951" customFormat="false" ht="15" hidden="false" customHeight="false" outlineLevel="0" collapsed="false">
      <c r="A13951" s="7" t="s">
        <v>30</v>
      </c>
      <c r="B13951" s="7" t="s">
        <v>601</v>
      </c>
      <c r="C13951" s="7" t="s">
        <v>1067</v>
      </c>
      <c r="D13951" s="7" t="n">
        <v>12</v>
      </c>
      <c r="E13951" s="7" t="n">
        <v>149.85</v>
      </c>
      <c r="F13951" s="7" t="n">
        <v>0</v>
      </c>
      <c r="G13951" s="7" t="n">
        <v>0</v>
      </c>
    </row>
    <row r="13952" customFormat="false" ht="15" hidden="false" customHeight="false" outlineLevel="0" collapsed="false">
      <c r="A13952" s="7" t="s">
        <v>30</v>
      </c>
      <c r="B13952" s="7" t="s">
        <v>601</v>
      </c>
      <c r="C13952" s="7" t="s">
        <v>1067</v>
      </c>
      <c r="D13952" s="7" t="n">
        <v>24</v>
      </c>
      <c r="E13952" s="7" t="n">
        <v>302.84</v>
      </c>
      <c r="F13952" s="7" t="n">
        <v>0</v>
      </c>
      <c r="G13952" s="7" t="n">
        <v>0</v>
      </c>
    </row>
    <row r="13953" customFormat="false" ht="15" hidden="false" customHeight="false" outlineLevel="0" collapsed="false">
      <c r="A13953" s="7" t="s">
        <v>30</v>
      </c>
      <c r="B13953" s="7" t="s">
        <v>601</v>
      </c>
      <c r="C13953" s="7" t="s">
        <v>1067</v>
      </c>
      <c r="D13953" s="7" t="n">
        <v>12</v>
      </c>
      <c r="E13953" s="7" t="n">
        <v>156.67</v>
      </c>
      <c r="F13953" s="7" t="n">
        <v>0</v>
      </c>
      <c r="G13953" s="7" t="n">
        <v>0</v>
      </c>
    </row>
    <row r="13954" customFormat="false" ht="15" hidden="false" customHeight="false" outlineLevel="0" collapsed="false">
      <c r="A13954" s="7" t="s">
        <v>30</v>
      </c>
      <c r="B13954" s="7" t="s">
        <v>601</v>
      </c>
      <c r="C13954" s="7" t="s">
        <v>1067</v>
      </c>
      <c r="D13954" s="7" t="n">
        <v>12</v>
      </c>
      <c r="E13954" s="7" t="n">
        <v>152.36</v>
      </c>
      <c r="F13954" s="7" t="n">
        <v>0</v>
      </c>
      <c r="G13954" s="7" t="n">
        <v>0</v>
      </c>
    </row>
    <row r="13955" customFormat="false" ht="15" hidden="false" customHeight="false" outlineLevel="0" collapsed="false">
      <c r="A13955" s="7" t="s">
        <v>30</v>
      </c>
      <c r="B13955" s="7" t="s">
        <v>601</v>
      </c>
      <c r="C13955" s="7" t="s">
        <v>1067</v>
      </c>
      <c r="D13955" s="7" t="n">
        <v>12</v>
      </c>
      <c r="E13955" s="7" t="n">
        <v>144.5</v>
      </c>
      <c r="F13955" s="7" t="n">
        <v>0</v>
      </c>
      <c r="G13955" s="7" t="n">
        <v>0</v>
      </c>
    </row>
    <row r="13956" customFormat="false" ht="15" hidden="false" customHeight="false" outlineLevel="0" collapsed="false">
      <c r="A13956" s="7" t="s">
        <v>30</v>
      </c>
      <c r="B13956" s="7" t="s">
        <v>601</v>
      </c>
      <c r="C13956" s="7" t="s">
        <v>1067</v>
      </c>
      <c r="D13956" s="7" t="n">
        <v>0</v>
      </c>
      <c r="E13956" s="7" t="n">
        <v>0</v>
      </c>
      <c r="F13956" s="7" t="n">
        <v>12</v>
      </c>
      <c r="G13956" s="7" t="n">
        <v>147.64</v>
      </c>
    </row>
    <row r="13957" customFormat="false" ht="15" hidden="false" customHeight="false" outlineLevel="0" collapsed="false">
      <c r="A13957" s="7" t="s">
        <v>30</v>
      </c>
      <c r="B13957" s="7" t="s">
        <v>296</v>
      </c>
      <c r="C13957" s="7" t="s">
        <v>1067</v>
      </c>
      <c r="D13957" s="7" t="n">
        <v>12</v>
      </c>
      <c r="E13957" s="7" t="n">
        <v>150.9</v>
      </c>
      <c r="F13957" s="7" t="n">
        <v>0</v>
      </c>
      <c r="G13957" s="7" t="n">
        <v>0</v>
      </c>
    </row>
    <row r="13958" customFormat="false" ht="15" hidden="false" customHeight="false" outlineLevel="0" collapsed="false">
      <c r="A13958" s="7" t="s">
        <v>30</v>
      </c>
      <c r="B13958" s="7" t="s">
        <v>296</v>
      </c>
      <c r="C13958" s="7" t="s">
        <v>1067</v>
      </c>
      <c r="D13958" s="7" t="n">
        <v>12</v>
      </c>
      <c r="E13958" s="7" t="n">
        <v>157.97</v>
      </c>
      <c r="F13958" s="7" t="n">
        <v>0</v>
      </c>
      <c r="G13958" s="7" t="n">
        <v>0</v>
      </c>
    </row>
    <row r="13959" customFormat="false" ht="15" hidden="false" customHeight="false" outlineLevel="0" collapsed="false">
      <c r="A13959" s="7" t="s">
        <v>30</v>
      </c>
      <c r="B13959" s="7" t="s">
        <v>296</v>
      </c>
      <c r="C13959" s="7" t="s">
        <v>1067</v>
      </c>
      <c r="D13959" s="7" t="n">
        <v>0</v>
      </c>
      <c r="E13959" s="7" t="n">
        <v>0</v>
      </c>
      <c r="F13959" s="7" t="n">
        <v>12</v>
      </c>
      <c r="G13959" s="7" t="n">
        <v>144.66</v>
      </c>
    </row>
    <row r="13960" customFormat="false" ht="15" hidden="false" customHeight="false" outlineLevel="0" collapsed="false">
      <c r="A13960" s="7" t="s">
        <v>30</v>
      </c>
      <c r="B13960" s="7" t="s">
        <v>296</v>
      </c>
      <c r="C13960" s="7" t="s">
        <v>1067</v>
      </c>
      <c r="D13960" s="7" t="n">
        <v>0</v>
      </c>
      <c r="E13960" s="7" t="n">
        <v>0</v>
      </c>
      <c r="F13960" s="7" t="n">
        <v>12</v>
      </c>
      <c r="G13960" s="7" t="n">
        <v>147.64</v>
      </c>
    </row>
    <row r="13961" customFormat="false" ht="15" hidden="false" customHeight="false" outlineLevel="0" collapsed="false">
      <c r="A13961" s="7" t="s">
        <v>30</v>
      </c>
      <c r="B13961" s="7" t="s">
        <v>296</v>
      </c>
      <c r="C13961" s="7" t="s">
        <v>1067</v>
      </c>
      <c r="D13961" s="7" t="n">
        <v>0</v>
      </c>
      <c r="E13961" s="7" t="n">
        <v>0</v>
      </c>
      <c r="F13961" s="7" t="n">
        <v>12</v>
      </c>
      <c r="G13961" s="7" t="n">
        <v>154.89</v>
      </c>
    </row>
    <row r="13962" customFormat="false" ht="15" hidden="false" customHeight="false" outlineLevel="0" collapsed="false">
      <c r="A13962" s="7" t="s">
        <v>30</v>
      </c>
      <c r="B13962" s="7" t="s">
        <v>296</v>
      </c>
      <c r="C13962" s="7" t="s">
        <v>1067</v>
      </c>
      <c r="D13962" s="7" t="n">
        <v>0</v>
      </c>
      <c r="E13962" s="7" t="n">
        <v>0</v>
      </c>
      <c r="F13962" s="7" t="n">
        <v>12</v>
      </c>
      <c r="G13962" s="7" t="n">
        <v>148.31</v>
      </c>
    </row>
    <row r="13963" customFormat="false" ht="15" hidden="false" customHeight="false" outlineLevel="0" collapsed="false">
      <c r="A13963" s="7" t="s">
        <v>30</v>
      </c>
      <c r="B13963" s="7" t="s">
        <v>296</v>
      </c>
      <c r="C13963" s="7" t="s">
        <v>1067</v>
      </c>
      <c r="D13963" s="7" t="n">
        <v>12</v>
      </c>
      <c r="E13963" s="7" t="n">
        <v>156.67</v>
      </c>
      <c r="F13963" s="7" t="n">
        <v>0</v>
      </c>
      <c r="G13963" s="7" t="n">
        <v>0</v>
      </c>
    </row>
    <row r="13964" customFormat="false" ht="15" hidden="false" customHeight="false" outlineLevel="0" collapsed="false">
      <c r="A13964" s="7" t="s">
        <v>30</v>
      </c>
      <c r="B13964" s="7" t="s">
        <v>296</v>
      </c>
      <c r="C13964" s="7" t="s">
        <v>1067</v>
      </c>
      <c r="D13964" s="7" t="n">
        <v>12</v>
      </c>
      <c r="E13964" s="7" t="n">
        <v>149.85</v>
      </c>
      <c r="F13964" s="7" t="n">
        <v>0</v>
      </c>
      <c r="G13964" s="7" t="n">
        <v>0</v>
      </c>
    </row>
    <row r="13965" customFormat="false" ht="15" hidden="false" customHeight="false" outlineLevel="0" collapsed="false">
      <c r="A13965" s="7" t="s">
        <v>30</v>
      </c>
      <c r="B13965" s="7" t="s">
        <v>296</v>
      </c>
      <c r="C13965" s="7" t="s">
        <v>1067</v>
      </c>
      <c r="D13965" s="7" t="n">
        <v>24</v>
      </c>
      <c r="E13965" s="7" t="n">
        <v>302.84</v>
      </c>
      <c r="F13965" s="7" t="n">
        <v>0</v>
      </c>
      <c r="G13965" s="7" t="n">
        <v>0</v>
      </c>
    </row>
    <row r="13966" customFormat="false" ht="15" hidden="false" customHeight="false" outlineLevel="0" collapsed="false">
      <c r="A13966" s="7" t="s">
        <v>30</v>
      </c>
      <c r="B13966" s="7" t="s">
        <v>296</v>
      </c>
      <c r="C13966" s="7" t="s">
        <v>1067</v>
      </c>
      <c r="D13966" s="7" t="n">
        <v>0</v>
      </c>
      <c r="E13966" s="7" t="n">
        <v>0</v>
      </c>
      <c r="F13966" s="7" t="n">
        <v>15</v>
      </c>
      <c r="G13966" s="7" t="n">
        <v>197.82</v>
      </c>
    </row>
    <row r="13967" customFormat="false" ht="15" hidden="false" customHeight="false" outlineLevel="0" collapsed="false">
      <c r="A13967" s="7" t="s">
        <v>30</v>
      </c>
      <c r="B13967" s="7" t="s">
        <v>296</v>
      </c>
      <c r="C13967" s="7" t="s">
        <v>1067</v>
      </c>
      <c r="D13967" s="7" t="n">
        <v>12</v>
      </c>
      <c r="E13967" s="7" t="n">
        <v>142.87</v>
      </c>
      <c r="F13967" s="7" t="n">
        <v>0</v>
      </c>
      <c r="G13967" s="7" t="n">
        <v>0</v>
      </c>
    </row>
    <row r="13968" customFormat="false" ht="15" hidden="false" customHeight="false" outlineLevel="0" collapsed="false">
      <c r="A13968" s="7" t="s">
        <v>30</v>
      </c>
      <c r="B13968" s="7" t="s">
        <v>296</v>
      </c>
      <c r="C13968" s="7" t="s">
        <v>1067</v>
      </c>
      <c r="D13968" s="7" t="n">
        <v>12</v>
      </c>
      <c r="E13968" s="7" t="n">
        <v>150.34</v>
      </c>
      <c r="F13968" s="7" t="n">
        <v>0</v>
      </c>
      <c r="G13968" s="7" t="n">
        <v>0</v>
      </c>
    </row>
    <row r="13969" customFormat="false" ht="15" hidden="false" customHeight="false" outlineLevel="0" collapsed="false">
      <c r="A13969" s="7" t="s">
        <v>30</v>
      </c>
      <c r="B13969" s="7" t="s">
        <v>296</v>
      </c>
      <c r="C13969" s="7" t="s">
        <v>1067</v>
      </c>
      <c r="D13969" s="7" t="n">
        <v>0</v>
      </c>
      <c r="E13969" s="7" t="n">
        <v>0</v>
      </c>
      <c r="F13969" s="7" t="n">
        <v>24</v>
      </c>
      <c r="G13969" s="7" t="n">
        <v>291.27</v>
      </c>
    </row>
    <row r="13970" customFormat="false" ht="15" hidden="false" customHeight="false" outlineLevel="0" collapsed="false">
      <c r="A13970" s="7" t="s">
        <v>30</v>
      </c>
      <c r="B13970" s="7" t="s">
        <v>296</v>
      </c>
      <c r="C13970" s="7" t="s">
        <v>1067</v>
      </c>
      <c r="D13970" s="7" t="n">
        <v>12</v>
      </c>
      <c r="E13970" s="7" t="n">
        <v>144.21</v>
      </c>
      <c r="F13970" s="7" t="n">
        <v>0</v>
      </c>
      <c r="G13970" s="7" t="n">
        <v>0</v>
      </c>
    </row>
    <row r="13971" customFormat="false" ht="15" hidden="false" customHeight="false" outlineLevel="0" collapsed="false">
      <c r="A13971" s="7" t="s">
        <v>30</v>
      </c>
      <c r="B13971" s="7" t="s">
        <v>296</v>
      </c>
      <c r="C13971" s="7" t="s">
        <v>1067</v>
      </c>
      <c r="D13971" s="7" t="n">
        <v>12</v>
      </c>
      <c r="E13971" s="7" t="n">
        <v>152.36</v>
      </c>
      <c r="F13971" s="7" t="n">
        <v>0</v>
      </c>
      <c r="G13971" s="7" t="n">
        <v>0</v>
      </c>
    </row>
    <row r="13972" customFormat="false" ht="15" hidden="false" customHeight="false" outlineLevel="0" collapsed="false">
      <c r="A13972" s="7" t="s">
        <v>30</v>
      </c>
      <c r="B13972" s="7" t="s">
        <v>296</v>
      </c>
      <c r="C13972" s="7" t="s">
        <v>1067</v>
      </c>
      <c r="D13972" s="7" t="n">
        <v>0</v>
      </c>
      <c r="E13972" s="7" t="n">
        <v>0</v>
      </c>
      <c r="F13972" s="7" t="n">
        <v>24</v>
      </c>
      <c r="G13972" s="7" t="n">
        <v>295.29</v>
      </c>
    </row>
    <row r="13973" customFormat="false" ht="15" hidden="false" customHeight="false" outlineLevel="0" collapsed="false">
      <c r="A13973" s="7" t="s">
        <v>30</v>
      </c>
      <c r="B13973" s="7" t="s">
        <v>296</v>
      </c>
      <c r="C13973" s="7" t="s">
        <v>1067</v>
      </c>
      <c r="D13973" s="7" t="n">
        <v>12</v>
      </c>
      <c r="E13973" s="7" t="n">
        <v>144.5</v>
      </c>
      <c r="F13973" s="7" t="n">
        <v>0</v>
      </c>
      <c r="G13973" s="7" t="n">
        <v>0</v>
      </c>
    </row>
    <row r="13974" customFormat="false" ht="15" hidden="false" customHeight="false" outlineLevel="0" collapsed="false">
      <c r="A13974" s="7" t="s">
        <v>30</v>
      </c>
      <c r="B13974" s="7" t="s">
        <v>416</v>
      </c>
      <c r="C13974" s="7" t="s">
        <v>1067</v>
      </c>
      <c r="D13974" s="7" t="n">
        <v>12</v>
      </c>
      <c r="E13974" s="7" t="n">
        <v>146.58</v>
      </c>
      <c r="F13974" s="7" t="n">
        <v>0</v>
      </c>
      <c r="G13974" s="7" t="n">
        <v>0</v>
      </c>
    </row>
    <row r="13975" customFormat="false" ht="15" hidden="false" customHeight="false" outlineLevel="0" collapsed="false">
      <c r="A13975" s="7" t="s">
        <v>30</v>
      </c>
      <c r="B13975" s="7" t="s">
        <v>416</v>
      </c>
      <c r="C13975" s="7" t="s">
        <v>1067</v>
      </c>
      <c r="D13975" s="7" t="n">
        <v>12</v>
      </c>
      <c r="E13975" s="7" t="n">
        <v>144.5</v>
      </c>
      <c r="F13975" s="7" t="n">
        <v>0</v>
      </c>
      <c r="G13975" s="7" t="n">
        <v>0</v>
      </c>
    </row>
    <row r="13976" customFormat="false" ht="15" hidden="false" customHeight="false" outlineLevel="0" collapsed="false">
      <c r="A13976" s="7" t="s">
        <v>30</v>
      </c>
      <c r="B13976" s="7" t="s">
        <v>416</v>
      </c>
      <c r="C13976" s="7" t="s">
        <v>1067</v>
      </c>
      <c r="D13976" s="7" t="n">
        <v>0</v>
      </c>
      <c r="E13976" s="7" t="n">
        <v>0</v>
      </c>
      <c r="F13976" s="7" t="n">
        <v>12</v>
      </c>
      <c r="G13976" s="7" t="n">
        <v>148.31</v>
      </c>
    </row>
    <row r="13977" customFormat="false" ht="15" hidden="false" customHeight="false" outlineLevel="0" collapsed="false">
      <c r="A13977" s="7" t="s">
        <v>30</v>
      </c>
      <c r="B13977" s="7" t="s">
        <v>416</v>
      </c>
      <c r="C13977" s="7" t="s">
        <v>1067</v>
      </c>
      <c r="D13977" s="7" t="n">
        <v>12</v>
      </c>
      <c r="E13977" s="7" t="n">
        <v>149.85</v>
      </c>
      <c r="F13977" s="7" t="n">
        <v>0</v>
      </c>
      <c r="G13977" s="7" t="n">
        <v>0</v>
      </c>
    </row>
    <row r="13978" customFormat="false" ht="15" hidden="false" customHeight="false" outlineLevel="0" collapsed="false">
      <c r="A13978" s="7" t="s">
        <v>30</v>
      </c>
      <c r="B13978" s="7" t="s">
        <v>416</v>
      </c>
      <c r="C13978" s="7" t="s">
        <v>1067</v>
      </c>
      <c r="D13978" s="7" t="n">
        <v>0</v>
      </c>
      <c r="E13978" s="7" t="n">
        <v>0</v>
      </c>
      <c r="F13978" s="7" t="n">
        <v>12</v>
      </c>
      <c r="G13978" s="7" t="n">
        <v>147.65</v>
      </c>
    </row>
    <row r="13979" customFormat="false" ht="15" hidden="false" customHeight="false" outlineLevel="0" collapsed="false">
      <c r="A13979" s="7" t="s">
        <v>30</v>
      </c>
      <c r="B13979" s="7" t="s">
        <v>416</v>
      </c>
      <c r="C13979" s="7" t="s">
        <v>1067</v>
      </c>
      <c r="D13979" s="7" t="n">
        <v>12</v>
      </c>
      <c r="E13979" s="7" t="n">
        <v>142.87</v>
      </c>
      <c r="F13979" s="7" t="n">
        <v>0</v>
      </c>
      <c r="G13979" s="7" t="n">
        <v>0</v>
      </c>
    </row>
    <row r="13980" customFormat="false" ht="15" hidden="false" customHeight="false" outlineLevel="0" collapsed="false">
      <c r="A13980" s="7" t="s">
        <v>30</v>
      </c>
      <c r="B13980" s="7" t="s">
        <v>416</v>
      </c>
      <c r="C13980" s="7" t="s">
        <v>1067</v>
      </c>
      <c r="D13980" s="7" t="n">
        <v>0</v>
      </c>
      <c r="E13980" s="7" t="n">
        <v>0</v>
      </c>
      <c r="F13980" s="7" t="n">
        <v>12</v>
      </c>
      <c r="G13980" s="7" t="n">
        <v>144.66</v>
      </c>
    </row>
    <row r="13981" customFormat="false" ht="15" hidden="false" customHeight="false" outlineLevel="0" collapsed="false">
      <c r="A13981" s="7" t="s">
        <v>30</v>
      </c>
      <c r="B13981" s="7" t="s">
        <v>416</v>
      </c>
      <c r="C13981" s="7" t="s">
        <v>1067</v>
      </c>
      <c r="D13981" s="7" t="n">
        <v>12</v>
      </c>
      <c r="E13981" s="7" t="n">
        <v>150.9</v>
      </c>
      <c r="F13981" s="7" t="n">
        <v>0</v>
      </c>
      <c r="G13981" s="7" t="n">
        <v>0</v>
      </c>
    </row>
    <row r="13982" customFormat="false" ht="15" hidden="false" customHeight="false" outlineLevel="0" collapsed="false">
      <c r="A13982" s="7" t="s">
        <v>30</v>
      </c>
      <c r="B13982" s="7" t="s">
        <v>416</v>
      </c>
      <c r="C13982" s="7" t="s">
        <v>1067</v>
      </c>
      <c r="D13982" s="7" t="n">
        <v>0</v>
      </c>
      <c r="E13982" s="7" t="n">
        <v>0</v>
      </c>
      <c r="F13982" s="7" t="n">
        <v>12</v>
      </c>
      <c r="G13982" s="7" t="n">
        <v>147.64</v>
      </c>
    </row>
    <row r="13983" customFormat="false" ht="15" hidden="false" customHeight="false" outlineLevel="0" collapsed="false">
      <c r="A13983" s="7" t="s">
        <v>30</v>
      </c>
      <c r="B13983" s="7" t="s">
        <v>416</v>
      </c>
      <c r="C13983" s="7" t="s">
        <v>1067</v>
      </c>
      <c r="D13983" s="7" t="n">
        <v>12</v>
      </c>
      <c r="E13983" s="7" t="n">
        <v>151.42</v>
      </c>
      <c r="F13983" s="7" t="n">
        <v>0</v>
      </c>
      <c r="G13983" s="7" t="n">
        <v>0</v>
      </c>
    </row>
    <row r="13984" customFormat="false" ht="15" hidden="false" customHeight="false" outlineLevel="0" collapsed="false">
      <c r="A13984" s="7" t="s">
        <v>30</v>
      </c>
      <c r="B13984" s="7" t="s">
        <v>416</v>
      </c>
      <c r="C13984" s="7" t="s">
        <v>1067</v>
      </c>
      <c r="D13984" s="7" t="n">
        <v>24</v>
      </c>
      <c r="E13984" s="7" t="n">
        <v>304.72</v>
      </c>
      <c r="F13984" s="7" t="n">
        <v>0</v>
      </c>
      <c r="G13984" s="7" t="n">
        <v>0</v>
      </c>
    </row>
    <row r="13985" customFormat="false" ht="15" hidden="false" customHeight="false" outlineLevel="0" collapsed="false">
      <c r="A13985" s="7" t="s">
        <v>30</v>
      </c>
      <c r="B13985" s="7" t="s">
        <v>801</v>
      </c>
      <c r="C13985" s="7" t="s">
        <v>1069</v>
      </c>
      <c r="D13985" s="7" t="n">
        <v>5</v>
      </c>
      <c r="E13985" s="7" t="n">
        <v>54.24</v>
      </c>
      <c r="F13985" s="7" t="n">
        <v>0</v>
      </c>
      <c r="G13985" s="7" t="n">
        <v>0</v>
      </c>
    </row>
    <row r="13986" customFormat="false" ht="15" hidden="false" customHeight="false" outlineLevel="0" collapsed="false">
      <c r="A13986" s="7" t="s">
        <v>30</v>
      </c>
      <c r="B13986" s="7" t="s">
        <v>801</v>
      </c>
      <c r="C13986" s="7" t="s">
        <v>1069</v>
      </c>
      <c r="D13986" s="7" t="n">
        <v>5</v>
      </c>
      <c r="E13986" s="7" t="n">
        <v>51.88</v>
      </c>
      <c r="F13986" s="7" t="n">
        <v>0</v>
      </c>
      <c r="G13986" s="7" t="n">
        <v>0</v>
      </c>
    </row>
    <row r="13987" customFormat="false" ht="15" hidden="false" customHeight="false" outlineLevel="0" collapsed="false">
      <c r="A13987" s="7" t="s">
        <v>30</v>
      </c>
      <c r="B13987" s="7" t="s">
        <v>801</v>
      </c>
      <c r="C13987" s="7" t="s">
        <v>1069</v>
      </c>
      <c r="D13987" s="7" t="n">
        <v>5</v>
      </c>
      <c r="E13987" s="7" t="n">
        <v>52.76</v>
      </c>
      <c r="F13987" s="7" t="n">
        <v>0</v>
      </c>
      <c r="G13987" s="7" t="n">
        <v>0</v>
      </c>
    </row>
    <row r="13988" customFormat="false" ht="15" hidden="false" customHeight="false" outlineLevel="0" collapsed="false">
      <c r="A13988" s="7" t="s">
        <v>30</v>
      </c>
      <c r="B13988" s="7" t="s">
        <v>801</v>
      </c>
      <c r="C13988" s="7" t="s">
        <v>1069</v>
      </c>
      <c r="D13988" s="7" t="n">
        <v>5</v>
      </c>
      <c r="E13988" s="7" t="n">
        <v>54.69</v>
      </c>
      <c r="F13988" s="7" t="n">
        <v>0</v>
      </c>
      <c r="G13988" s="7" t="n">
        <v>0</v>
      </c>
    </row>
    <row r="13989" customFormat="false" ht="15" hidden="false" customHeight="false" outlineLevel="0" collapsed="false">
      <c r="A13989" s="7" t="s">
        <v>30</v>
      </c>
      <c r="B13989" s="7" t="s">
        <v>801</v>
      </c>
      <c r="C13989" s="7" t="s">
        <v>1069</v>
      </c>
      <c r="D13989" s="7" t="n">
        <v>0</v>
      </c>
      <c r="E13989" s="7" t="n">
        <v>0</v>
      </c>
      <c r="F13989" s="7" t="n">
        <v>5</v>
      </c>
      <c r="G13989" s="7" t="n">
        <v>50.43</v>
      </c>
    </row>
    <row r="13990" customFormat="false" ht="15" hidden="false" customHeight="false" outlineLevel="0" collapsed="false">
      <c r="A13990" s="7" t="s">
        <v>30</v>
      </c>
      <c r="B13990" s="7" t="s">
        <v>801</v>
      </c>
      <c r="C13990" s="7" t="s">
        <v>1069</v>
      </c>
      <c r="D13990" s="7" t="n">
        <v>0</v>
      </c>
      <c r="E13990" s="7" t="n">
        <v>0</v>
      </c>
      <c r="F13990" s="7" t="n">
        <v>10</v>
      </c>
      <c r="G13990" s="7" t="n">
        <v>100.17</v>
      </c>
    </row>
    <row r="13991" customFormat="false" ht="15" hidden="false" customHeight="false" outlineLevel="0" collapsed="false">
      <c r="A13991" s="7" t="s">
        <v>30</v>
      </c>
      <c r="B13991" s="7" t="s">
        <v>801</v>
      </c>
      <c r="C13991" s="7" t="s">
        <v>1069</v>
      </c>
      <c r="D13991" s="7" t="n">
        <v>15</v>
      </c>
      <c r="E13991" s="7" t="n">
        <v>152.26</v>
      </c>
      <c r="F13991" s="7" t="n">
        <v>0</v>
      </c>
      <c r="G13991" s="7" t="n">
        <v>0</v>
      </c>
    </row>
    <row r="13992" customFormat="false" ht="15" hidden="false" customHeight="false" outlineLevel="0" collapsed="false">
      <c r="A13992" s="7" t="s">
        <v>30</v>
      </c>
      <c r="B13992" s="7" t="s">
        <v>801</v>
      </c>
      <c r="C13992" s="7" t="s">
        <v>1069</v>
      </c>
      <c r="D13992" s="7" t="n">
        <v>5</v>
      </c>
      <c r="E13992" s="7" t="n">
        <v>52.06</v>
      </c>
      <c r="F13992" s="7" t="n">
        <v>0</v>
      </c>
      <c r="G13992" s="7" t="n">
        <v>0</v>
      </c>
    </row>
    <row r="13993" customFormat="false" ht="15" hidden="false" customHeight="false" outlineLevel="0" collapsed="false">
      <c r="A13993" s="7" t="s">
        <v>30</v>
      </c>
      <c r="B13993" s="7" t="s">
        <v>801</v>
      </c>
      <c r="C13993" s="7" t="s">
        <v>1069</v>
      </c>
      <c r="D13993" s="7" t="n">
        <v>0</v>
      </c>
      <c r="E13993" s="7" t="n">
        <v>0</v>
      </c>
      <c r="F13993" s="7" t="n">
        <v>10</v>
      </c>
      <c r="G13993" s="7" t="n">
        <v>107.26</v>
      </c>
    </row>
    <row r="13994" customFormat="false" ht="15" hidden="false" customHeight="false" outlineLevel="0" collapsed="false">
      <c r="A13994" s="7" t="s">
        <v>30</v>
      </c>
      <c r="B13994" s="7" t="s">
        <v>801</v>
      </c>
      <c r="C13994" s="7" t="s">
        <v>1069</v>
      </c>
      <c r="D13994" s="7" t="n">
        <v>0</v>
      </c>
      <c r="E13994" s="7" t="n">
        <v>0</v>
      </c>
      <c r="F13994" s="7" t="n">
        <v>2</v>
      </c>
      <c r="G13994" s="7" t="n">
        <v>21.92</v>
      </c>
    </row>
    <row r="13995" customFormat="false" ht="15" hidden="false" customHeight="false" outlineLevel="0" collapsed="false">
      <c r="A13995" s="7" t="s">
        <v>30</v>
      </c>
      <c r="B13995" s="7" t="s">
        <v>714</v>
      </c>
      <c r="C13995" s="7" t="s">
        <v>1069</v>
      </c>
      <c r="D13995" s="7" t="n">
        <v>5</v>
      </c>
      <c r="E13995" s="7" t="n">
        <v>52.76</v>
      </c>
      <c r="F13995" s="7" t="n">
        <v>0</v>
      </c>
      <c r="G13995" s="7" t="n">
        <v>0</v>
      </c>
    </row>
    <row r="13996" customFormat="false" ht="15" hidden="false" customHeight="false" outlineLevel="0" collapsed="false">
      <c r="A13996" s="7" t="s">
        <v>30</v>
      </c>
      <c r="B13996" s="7" t="s">
        <v>714</v>
      </c>
      <c r="C13996" s="7" t="s">
        <v>1069</v>
      </c>
      <c r="D13996" s="7" t="n">
        <v>15</v>
      </c>
      <c r="E13996" s="7" t="n">
        <v>149.8</v>
      </c>
      <c r="F13996" s="7" t="n">
        <v>0</v>
      </c>
      <c r="G13996" s="7" t="n">
        <v>0</v>
      </c>
    </row>
    <row r="13997" customFormat="false" ht="15" hidden="false" customHeight="false" outlineLevel="0" collapsed="false">
      <c r="A13997" s="7" t="s">
        <v>30</v>
      </c>
      <c r="B13997" s="7" t="s">
        <v>714</v>
      </c>
      <c r="C13997" s="7" t="s">
        <v>1069</v>
      </c>
      <c r="D13997" s="7" t="n">
        <v>3</v>
      </c>
      <c r="E13997" s="7" t="n">
        <v>31.23</v>
      </c>
      <c r="F13997" s="7" t="n">
        <v>0</v>
      </c>
      <c r="G13997" s="7" t="n">
        <v>0</v>
      </c>
    </row>
    <row r="13998" customFormat="false" ht="15" hidden="false" customHeight="false" outlineLevel="0" collapsed="false">
      <c r="A13998" s="7" t="s">
        <v>30</v>
      </c>
      <c r="B13998" s="7" t="s">
        <v>714</v>
      </c>
      <c r="C13998" s="7" t="s">
        <v>1069</v>
      </c>
      <c r="D13998" s="7" t="n">
        <v>12</v>
      </c>
      <c r="E13998" s="7" t="n">
        <v>125.4</v>
      </c>
      <c r="F13998" s="7" t="n">
        <v>0</v>
      </c>
      <c r="G13998" s="7" t="n">
        <v>0</v>
      </c>
    </row>
    <row r="13999" customFormat="false" ht="15" hidden="false" customHeight="false" outlineLevel="0" collapsed="false">
      <c r="A13999" s="7" t="s">
        <v>30</v>
      </c>
      <c r="B13999" s="7" t="s">
        <v>714</v>
      </c>
      <c r="C13999" s="7" t="s">
        <v>1069</v>
      </c>
      <c r="D13999" s="7" t="n">
        <v>0</v>
      </c>
      <c r="E13999" s="7" t="n">
        <v>0</v>
      </c>
      <c r="F13999" s="7" t="n">
        <v>2</v>
      </c>
      <c r="G13999" s="7" t="n">
        <v>20.45</v>
      </c>
    </row>
    <row r="14000" customFormat="false" ht="15" hidden="false" customHeight="false" outlineLevel="0" collapsed="false">
      <c r="A14000" s="7" t="s">
        <v>30</v>
      </c>
      <c r="B14000" s="7" t="s">
        <v>714</v>
      </c>
      <c r="C14000" s="7" t="s">
        <v>1069</v>
      </c>
      <c r="D14000" s="7" t="n">
        <v>3</v>
      </c>
      <c r="E14000" s="7" t="n">
        <v>32.81</v>
      </c>
      <c r="F14000" s="7" t="n">
        <v>0</v>
      </c>
      <c r="G14000" s="7" t="n">
        <v>0</v>
      </c>
    </row>
    <row r="14001" customFormat="false" ht="15" hidden="false" customHeight="false" outlineLevel="0" collapsed="false">
      <c r="A14001" s="7" t="s">
        <v>30</v>
      </c>
      <c r="B14001" s="7" t="s">
        <v>714</v>
      </c>
      <c r="C14001" s="7" t="s">
        <v>1069</v>
      </c>
      <c r="D14001" s="7" t="n">
        <v>10</v>
      </c>
      <c r="E14001" s="7" t="n">
        <v>101.51</v>
      </c>
      <c r="F14001" s="7" t="n">
        <v>0</v>
      </c>
      <c r="G14001" s="7" t="n">
        <v>0</v>
      </c>
    </row>
    <row r="14002" customFormat="false" ht="15" hidden="false" customHeight="false" outlineLevel="0" collapsed="false">
      <c r="A14002" s="7" t="s">
        <v>30</v>
      </c>
      <c r="B14002" s="7" t="s">
        <v>714</v>
      </c>
      <c r="C14002" s="7" t="s">
        <v>1069</v>
      </c>
      <c r="D14002" s="7" t="n">
        <v>3</v>
      </c>
      <c r="E14002" s="7" t="n">
        <v>31.13</v>
      </c>
      <c r="F14002" s="7" t="n">
        <v>0</v>
      </c>
      <c r="G14002" s="7" t="n">
        <v>0</v>
      </c>
    </row>
    <row r="14003" customFormat="false" ht="15" hidden="false" customHeight="false" outlineLevel="0" collapsed="false">
      <c r="A14003" s="7" t="s">
        <v>30</v>
      </c>
      <c r="B14003" s="7" t="s">
        <v>714</v>
      </c>
      <c r="C14003" s="7" t="s">
        <v>1069</v>
      </c>
      <c r="D14003" s="7" t="n">
        <v>10</v>
      </c>
      <c r="E14003" s="7" t="n">
        <v>100.07</v>
      </c>
      <c r="F14003" s="7" t="n">
        <v>0</v>
      </c>
      <c r="G14003" s="7" t="n">
        <v>0</v>
      </c>
    </row>
    <row r="14004" customFormat="false" ht="15" hidden="false" customHeight="false" outlineLevel="0" collapsed="false">
      <c r="A14004" s="7" t="s">
        <v>30</v>
      </c>
      <c r="B14004" s="7" t="s">
        <v>714</v>
      </c>
      <c r="C14004" s="7" t="s">
        <v>1069</v>
      </c>
      <c r="D14004" s="7" t="n">
        <v>0</v>
      </c>
      <c r="E14004" s="7" t="n">
        <v>0</v>
      </c>
      <c r="F14004" s="7" t="n">
        <v>12</v>
      </c>
      <c r="G14004" s="7" t="n">
        <v>120.21</v>
      </c>
    </row>
    <row r="14005" customFormat="false" ht="15" hidden="false" customHeight="false" outlineLevel="0" collapsed="false">
      <c r="A14005" s="7" t="s">
        <v>30</v>
      </c>
      <c r="B14005" s="7" t="s">
        <v>714</v>
      </c>
      <c r="C14005" s="7" t="s">
        <v>1069</v>
      </c>
      <c r="D14005" s="7" t="n">
        <v>2</v>
      </c>
      <c r="E14005" s="7" t="n">
        <v>21.7</v>
      </c>
      <c r="F14005" s="7" t="n">
        <v>0</v>
      </c>
      <c r="G14005" s="7" t="n">
        <v>0</v>
      </c>
    </row>
    <row r="14006" customFormat="false" ht="15" hidden="false" customHeight="false" outlineLevel="0" collapsed="false">
      <c r="A14006" s="7" t="s">
        <v>30</v>
      </c>
      <c r="B14006" s="7" t="s">
        <v>714</v>
      </c>
      <c r="C14006" s="7" t="s">
        <v>1069</v>
      </c>
      <c r="D14006" s="7" t="n">
        <v>0</v>
      </c>
      <c r="E14006" s="7" t="n">
        <v>0</v>
      </c>
      <c r="F14006" s="7" t="n">
        <v>8</v>
      </c>
      <c r="G14006" s="7" t="n">
        <v>80.68</v>
      </c>
    </row>
    <row r="14007" customFormat="false" ht="15" hidden="false" customHeight="false" outlineLevel="0" collapsed="false">
      <c r="A14007" s="7" t="s">
        <v>30</v>
      </c>
      <c r="B14007" s="7" t="s">
        <v>714</v>
      </c>
      <c r="C14007" s="7" t="s">
        <v>1069</v>
      </c>
      <c r="D14007" s="7" t="n">
        <v>2</v>
      </c>
      <c r="E14007" s="7" t="n">
        <v>20.97</v>
      </c>
      <c r="F14007" s="7" t="n">
        <v>0</v>
      </c>
      <c r="G14007" s="7" t="n">
        <v>0</v>
      </c>
    </row>
    <row r="14008" customFormat="false" ht="15" hidden="false" customHeight="false" outlineLevel="0" collapsed="false">
      <c r="A14008" s="7" t="s">
        <v>30</v>
      </c>
      <c r="B14008" s="7" t="s">
        <v>714</v>
      </c>
      <c r="C14008" s="7" t="s">
        <v>1069</v>
      </c>
      <c r="D14008" s="7" t="n">
        <v>0</v>
      </c>
      <c r="E14008" s="7" t="n">
        <v>0</v>
      </c>
      <c r="F14008" s="7" t="n">
        <v>8</v>
      </c>
      <c r="G14008" s="7" t="n">
        <v>82.16</v>
      </c>
    </row>
    <row r="14009" customFormat="false" ht="15" hidden="false" customHeight="false" outlineLevel="0" collapsed="false">
      <c r="A14009" s="7" t="s">
        <v>30</v>
      </c>
      <c r="B14009" s="7" t="s">
        <v>714</v>
      </c>
      <c r="C14009" s="7" t="s">
        <v>1069</v>
      </c>
      <c r="D14009" s="7" t="n">
        <v>0</v>
      </c>
      <c r="E14009" s="7" t="n">
        <v>0</v>
      </c>
      <c r="F14009" s="7" t="n">
        <v>5</v>
      </c>
      <c r="G14009" s="7" t="n">
        <v>51.12</v>
      </c>
    </row>
    <row r="14010" customFormat="false" ht="15" hidden="false" customHeight="false" outlineLevel="0" collapsed="false">
      <c r="A14010" s="7" t="s">
        <v>30</v>
      </c>
      <c r="B14010" s="7" t="s">
        <v>799</v>
      </c>
      <c r="C14010" s="7" t="s">
        <v>1069</v>
      </c>
      <c r="D14010" s="7" t="n">
        <v>0</v>
      </c>
      <c r="E14010" s="7" t="n">
        <v>0</v>
      </c>
      <c r="F14010" s="7" t="n">
        <v>3</v>
      </c>
      <c r="G14010" s="7" t="n">
        <v>30.67</v>
      </c>
    </row>
    <row r="14011" customFormat="false" ht="15" hidden="false" customHeight="false" outlineLevel="0" collapsed="false">
      <c r="A14011" s="7" t="s">
        <v>30</v>
      </c>
      <c r="B14011" s="7" t="s">
        <v>799</v>
      </c>
      <c r="C14011" s="7" t="s">
        <v>1069</v>
      </c>
      <c r="D14011" s="7" t="n">
        <v>0</v>
      </c>
      <c r="E14011" s="7" t="n">
        <v>0</v>
      </c>
      <c r="F14011" s="7" t="n">
        <v>8</v>
      </c>
      <c r="G14011" s="7" t="n">
        <v>80.68</v>
      </c>
    </row>
    <row r="14012" customFormat="false" ht="15" hidden="false" customHeight="false" outlineLevel="0" collapsed="false">
      <c r="A14012" s="7" t="s">
        <v>30</v>
      </c>
      <c r="B14012" s="7" t="s">
        <v>799</v>
      </c>
      <c r="C14012" s="7" t="s">
        <v>1069</v>
      </c>
      <c r="D14012" s="7" t="n">
        <v>0</v>
      </c>
      <c r="E14012" s="7" t="n">
        <v>0</v>
      </c>
      <c r="F14012" s="7" t="n">
        <v>10</v>
      </c>
      <c r="G14012" s="7" t="n">
        <v>102.7</v>
      </c>
    </row>
    <row r="14013" customFormat="false" ht="15" hidden="false" customHeight="false" outlineLevel="0" collapsed="false">
      <c r="A14013" s="7" t="s">
        <v>30</v>
      </c>
      <c r="B14013" s="7" t="s">
        <v>799</v>
      </c>
      <c r="C14013" s="7" t="s">
        <v>1069</v>
      </c>
      <c r="D14013" s="7" t="n">
        <v>15</v>
      </c>
      <c r="E14013" s="7" t="n">
        <v>158.27</v>
      </c>
      <c r="F14013" s="7" t="n">
        <v>0</v>
      </c>
      <c r="G14013" s="7" t="n">
        <v>0</v>
      </c>
    </row>
    <row r="14014" customFormat="false" ht="15" hidden="false" customHeight="false" outlineLevel="0" collapsed="false">
      <c r="A14014" s="7" t="s">
        <v>30</v>
      </c>
      <c r="B14014" s="7" t="s">
        <v>799</v>
      </c>
      <c r="C14014" s="7" t="s">
        <v>1069</v>
      </c>
      <c r="D14014" s="7" t="n">
        <v>5</v>
      </c>
      <c r="E14014" s="7" t="n">
        <v>50.03</v>
      </c>
      <c r="F14014" s="7" t="n">
        <v>0</v>
      </c>
      <c r="G14014" s="7" t="n">
        <v>0</v>
      </c>
    </row>
    <row r="14015" customFormat="false" ht="15" hidden="false" customHeight="false" outlineLevel="0" collapsed="false">
      <c r="A14015" s="7" t="s">
        <v>30</v>
      </c>
      <c r="B14015" s="7" t="s">
        <v>799</v>
      </c>
      <c r="C14015" s="7" t="s">
        <v>1069</v>
      </c>
      <c r="D14015" s="7" t="n">
        <v>0</v>
      </c>
      <c r="E14015" s="7" t="n">
        <v>0</v>
      </c>
      <c r="F14015" s="7" t="n">
        <v>8</v>
      </c>
      <c r="G14015" s="7" t="n">
        <v>81.8</v>
      </c>
    </row>
    <row r="14016" customFormat="false" ht="15" hidden="false" customHeight="false" outlineLevel="0" collapsed="false">
      <c r="A14016" s="7" t="s">
        <v>30</v>
      </c>
      <c r="B14016" s="7" t="s">
        <v>799</v>
      </c>
      <c r="C14016" s="7" t="s">
        <v>1069</v>
      </c>
      <c r="D14016" s="7" t="n">
        <v>2</v>
      </c>
      <c r="E14016" s="7" t="n">
        <v>20.75</v>
      </c>
      <c r="F14016" s="7" t="n">
        <v>0</v>
      </c>
      <c r="G14016" s="7" t="n">
        <v>0</v>
      </c>
    </row>
    <row r="14017" customFormat="false" ht="15" hidden="false" customHeight="false" outlineLevel="0" collapsed="false">
      <c r="A14017" s="7" t="s">
        <v>30</v>
      </c>
      <c r="B14017" s="7" t="s">
        <v>799</v>
      </c>
      <c r="C14017" s="7" t="s">
        <v>1069</v>
      </c>
      <c r="D14017" s="7" t="n">
        <v>6</v>
      </c>
      <c r="E14017" s="7" t="n">
        <v>62.91</v>
      </c>
      <c r="F14017" s="7" t="n">
        <v>0</v>
      </c>
      <c r="G14017" s="7" t="n">
        <v>0</v>
      </c>
    </row>
    <row r="14018" customFormat="false" ht="15" hidden="false" customHeight="false" outlineLevel="0" collapsed="false">
      <c r="A14018" s="7" t="s">
        <v>30</v>
      </c>
      <c r="B14018" s="7" t="s">
        <v>799</v>
      </c>
      <c r="C14018" s="7" t="s">
        <v>1069</v>
      </c>
      <c r="D14018" s="7" t="n">
        <v>5</v>
      </c>
      <c r="E14018" s="7" t="n">
        <v>54.69</v>
      </c>
      <c r="F14018" s="7" t="n">
        <v>0</v>
      </c>
      <c r="G14018" s="7" t="n">
        <v>0</v>
      </c>
    </row>
    <row r="14019" customFormat="false" ht="15" hidden="false" customHeight="false" outlineLevel="0" collapsed="false">
      <c r="A14019" s="7" t="s">
        <v>30</v>
      </c>
      <c r="B14019" s="7" t="s">
        <v>799</v>
      </c>
      <c r="C14019" s="7" t="s">
        <v>1069</v>
      </c>
      <c r="D14019" s="7" t="n">
        <v>6</v>
      </c>
      <c r="E14019" s="7" t="n">
        <v>59.92</v>
      </c>
      <c r="F14019" s="7" t="n">
        <v>0</v>
      </c>
      <c r="G14019" s="7" t="n">
        <v>0</v>
      </c>
    </row>
    <row r="14020" customFormat="false" ht="15" hidden="false" customHeight="false" outlineLevel="0" collapsed="false">
      <c r="A14020" s="7" t="s">
        <v>30</v>
      </c>
      <c r="B14020" s="7" t="s">
        <v>799</v>
      </c>
      <c r="C14020" s="7" t="s">
        <v>1069</v>
      </c>
      <c r="D14020" s="7" t="n">
        <v>0</v>
      </c>
      <c r="E14020" s="7" t="n">
        <v>0</v>
      </c>
      <c r="F14020" s="7" t="n">
        <v>5</v>
      </c>
      <c r="G14020" s="7" t="n">
        <v>50.09</v>
      </c>
    </row>
    <row r="14021" customFormat="false" ht="15" hidden="false" customHeight="false" outlineLevel="0" collapsed="false">
      <c r="A14021" s="7" t="s">
        <v>30</v>
      </c>
      <c r="B14021" s="7" t="s">
        <v>799</v>
      </c>
      <c r="C14021" s="7" t="s">
        <v>1069</v>
      </c>
      <c r="D14021" s="7" t="n">
        <v>0</v>
      </c>
      <c r="E14021" s="7" t="n">
        <v>0</v>
      </c>
      <c r="F14021" s="7" t="n">
        <v>3</v>
      </c>
      <c r="G14021" s="7" t="n">
        <v>32.18</v>
      </c>
    </row>
    <row r="14022" customFormat="false" ht="15" hidden="false" customHeight="false" outlineLevel="0" collapsed="false">
      <c r="A14022" s="7" t="s">
        <v>30</v>
      </c>
      <c r="B14022" s="7" t="s">
        <v>799</v>
      </c>
      <c r="C14022" s="7" t="s">
        <v>1069</v>
      </c>
      <c r="D14022" s="7" t="n">
        <v>10</v>
      </c>
      <c r="E14022" s="7" t="n">
        <v>101.51</v>
      </c>
      <c r="F14022" s="7" t="n">
        <v>0</v>
      </c>
      <c r="G14022" s="7" t="n">
        <v>0</v>
      </c>
    </row>
    <row r="14023" customFormat="false" ht="15" hidden="false" customHeight="false" outlineLevel="0" collapsed="false">
      <c r="A14023" s="7" t="s">
        <v>30</v>
      </c>
      <c r="B14023" s="7" t="s">
        <v>799</v>
      </c>
      <c r="C14023" s="7" t="s">
        <v>1069</v>
      </c>
      <c r="D14023" s="7" t="n">
        <v>5</v>
      </c>
      <c r="E14023" s="7" t="n">
        <v>52.06</v>
      </c>
      <c r="F14023" s="7" t="n">
        <v>0</v>
      </c>
      <c r="G14023" s="7" t="n">
        <v>0</v>
      </c>
    </row>
    <row r="14024" customFormat="false" ht="15" hidden="false" customHeight="false" outlineLevel="0" collapsed="false">
      <c r="A14024" s="7" t="s">
        <v>30</v>
      </c>
      <c r="B14024" s="7" t="s">
        <v>799</v>
      </c>
      <c r="C14024" s="7" t="s">
        <v>1069</v>
      </c>
      <c r="D14024" s="7" t="n">
        <v>2</v>
      </c>
      <c r="E14024" s="7" t="n">
        <v>21.7</v>
      </c>
      <c r="F14024" s="7" t="n">
        <v>0</v>
      </c>
      <c r="G14024" s="7" t="n">
        <v>0</v>
      </c>
    </row>
    <row r="14025" customFormat="false" ht="15" hidden="false" customHeight="false" outlineLevel="0" collapsed="false">
      <c r="A14025" s="7" t="s">
        <v>30</v>
      </c>
      <c r="B14025" s="7" t="s">
        <v>799</v>
      </c>
      <c r="C14025" s="7" t="s">
        <v>1069</v>
      </c>
      <c r="D14025" s="7" t="n">
        <v>3</v>
      </c>
      <c r="E14025" s="7" t="n">
        <v>31.35</v>
      </c>
      <c r="F14025" s="7" t="n">
        <v>0</v>
      </c>
      <c r="G14025" s="7" t="n">
        <v>0</v>
      </c>
    </row>
    <row r="14026" customFormat="false" ht="15" hidden="false" customHeight="false" outlineLevel="0" collapsed="false">
      <c r="A14026" s="7" t="s">
        <v>30</v>
      </c>
      <c r="B14026" s="7" t="s">
        <v>775</v>
      </c>
      <c r="C14026" s="7" t="s">
        <v>1069</v>
      </c>
      <c r="D14026" s="7" t="n">
        <v>0</v>
      </c>
      <c r="E14026" s="7" t="n">
        <v>0</v>
      </c>
      <c r="F14026" s="7" t="n">
        <v>3</v>
      </c>
      <c r="G14026" s="7" t="n">
        <v>30.67</v>
      </c>
    </row>
    <row r="14027" customFormat="false" ht="15" hidden="false" customHeight="false" outlineLevel="0" collapsed="false">
      <c r="A14027" s="7" t="s">
        <v>30</v>
      </c>
      <c r="B14027" s="7" t="s">
        <v>775</v>
      </c>
      <c r="C14027" s="7" t="s">
        <v>1069</v>
      </c>
      <c r="D14027" s="7" t="n">
        <v>6</v>
      </c>
      <c r="E14027" s="7" t="n">
        <v>60.9</v>
      </c>
      <c r="F14027" s="7" t="n">
        <v>0</v>
      </c>
      <c r="G14027" s="7" t="n">
        <v>0</v>
      </c>
    </row>
    <row r="14028" customFormat="false" ht="15" hidden="false" customHeight="false" outlineLevel="0" collapsed="false">
      <c r="A14028" s="7" t="s">
        <v>30</v>
      </c>
      <c r="B14028" s="7" t="s">
        <v>775</v>
      </c>
      <c r="C14028" s="7" t="s">
        <v>1069</v>
      </c>
      <c r="D14028" s="7" t="n">
        <v>6</v>
      </c>
      <c r="E14028" s="7" t="n">
        <v>62.26</v>
      </c>
      <c r="F14028" s="7" t="n">
        <v>0</v>
      </c>
      <c r="G14028" s="7" t="n">
        <v>0</v>
      </c>
    </row>
    <row r="14029" customFormat="false" ht="15" hidden="false" customHeight="false" outlineLevel="0" collapsed="false">
      <c r="A14029" s="7" t="s">
        <v>30</v>
      </c>
      <c r="B14029" s="7" t="s">
        <v>775</v>
      </c>
      <c r="C14029" s="7" t="s">
        <v>1069</v>
      </c>
      <c r="D14029" s="7" t="n">
        <v>5</v>
      </c>
      <c r="E14029" s="7" t="n">
        <v>52.24</v>
      </c>
      <c r="F14029" s="7" t="n">
        <v>0</v>
      </c>
      <c r="G14029" s="7" t="n">
        <v>0</v>
      </c>
    </row>
    <row r="14030" customFormat="false" ht="15" hidden="false" customHeight="false" outlineLevel="0" collapsed="false">
      <c r="A14030" s="7" t="s">
        <v>30</v>
      </c>
      <c r="B14030" s="7" t="s">
        <v>775</v>
      </c>
      <c r="C14030" s="7" t="s">
        <v>1069</v>
      </c>
      <c r="D14030" s="7" t="n">
        <v>2</v>
      </c>
      <c r="E14030" s="7" t="n">
        <v>19.97</v>
      </c>
      <c r="F14030" s="7" t="n">
        <v>0</v>
      </c>
      <c r="G14030" s="7" t="n">
        <v>0</v>
      </c>
    </row>
    <row r="14031" customFormat="false" ht="15" hidden="false" customHeight="false" outlineLevel="0" collapsed="false">
      <c r="A14031" s="7" t="s">
        <v>30</v>
      </c>
      <c r="B14031" s="7" t="s">
        <v>775</v>
      </c>
      <c r="C14031" s="7" t="s">
        <v>1069</v>
      </c>
      <c r="D14031" s="7" t="n">
        <v>0</v>
      </c>
      <c r="E14031" s="7" t="n">
        <v>0</v>
      </c>
      <c r="F14031" s="7" t="n">
        <v>6</v>
      </c>
      <c r="G14031" s="7" t="n">
        <v>60.51</v>
      </c>
    </row>
    <row r="14032" customFormat="false" ht="15" hidden="false" customHeight="false" outlineLevel="0" collapsed="false">
      <c r="A14032" s="7" t="s">
        <v>30</v>
      </c>
      <c r="B14032" s="7" t="s">
        <v>775</v>
      </c>
      <c r="C14032" s="7" t="s">
        <v>1069</v>
      </c>
      <c r="D14032" s="7" t="n">
        <v>0</v>
      </c>
      <c r="E14032" s="7" t="n">
        <v>0</v>
      </c>
      <c r="F14032" s="7" t="n">
        <v>8</v>
      </c>
      <c r="G14032" s="7" t="n">
        <v>82.16</v>
      </c>
    </row>
    <row r="14033" customFormat="false" ht="15" hidden="false" customHeight="false" outlineLevel="0" collapsed="false">
      <c r="A14033" s="7" t="s">
        <v>30</v>
      </c>
      <c r="B14033" s="7" t="s">
        <v>775</v>
      </c>
      <c r="C14033" s="7" t="s">
        <v>1069</v>
      </c>
      <c r="D14033" s="7" t="n">
        <v>3</v>
      </c>
      <c r="E14033" s="7" t="n">
        <v>31.23</v>
      </c>
      <c r="F14033" s="7" t="n">
        <v>0</v>
      </c>
      <c r="G14033" s="7" t="n">
        <v>0</v>
      </c>
    </row>
    <row r="14034" customFormat="false" ht="15" hidden="false" customHeight="false" outlineLevel="0" collapsed="false">
      <c r="A14034" s="7" t="s">
        <v>30</v>
      </c>
      <c r="B14034" s="7" t="s">
        <v>749</v>
      </c>
      <c r="C14034" s="7" t="s">
        <v>1069</v>
      </c>
      <c r="D14034" s="7" t="n">
        <v>5</v>
      </c>
      <c r="E14034" s="7" t="n">
        <v>51.88</v>
      </c>
      <c r="F14034" s="7" t="n">
        <v>0</v>
      </c>
      <c r="G14034" s="7" t="n">
        <v>0</v>
      </c>
    </row>
    <row r="14035" customFormat="false" ht="15" hidden="false" customHeight="false" outlineLevel="0" collapsed="false">
      <c r="A14035" s="7" t="s">
        <v>30</v>
      </c>
      <c r="B14035" s="7" t="s">
        <v>749</v>
      </c>
      <c r="C14035" s="7" t="s">
        <v>1069</v>
      </c>
      <c r="D14035" s="7" t="n">
        <v>2</v>
      </c>
      <c r="E14035" s="7" t="n">
        <v>19.97</v>
      </c>
      <c r="F14035" s="7" t="n">
        <v>0</v>
      </c>
      <c r="G14035" s="7" t="n">
        <v>0</v>
      </c>
    </row>
    <row r="14036" customFormat="false" ht="15" hidden="false" customHeight="false" outlineLevel="0" collapsed="false">
      <c r="A14036" s="7" t="s">
        <v>30</v>
      </c>
      <c r="B14036" s="7" t="s">
        <v>749</v>
      </c>
      <c r="C14036" s="7" t="s">
        <v>1069</v>
      </c>
      <c r="D14036" s="7" t="n">
        <v>8</v>
      </c>
      <c r="E14036" s="7" t="n">
        <v>83.6</v>
      </c>
      <c r="F14036" s="7" t="n">
        <v>0</v>
      </c>
      <c r="G14036" s="7" t="n">
        <v>0</v>
      </c>
    </row>
    <row r="14037" customFormat="false" ht="15" hidden="false" customHeight="false" outlineLevel="0" collapsed="false">
      <c r="A14037" s="7" t="s">
        <v>30</v>
      </c>
      <c r="B14037" s="7" t="s">
        <v>749</v>
      </c>
      <c r="C14037" s="7" t="s">
        <v>1069</v>
      </c>
      <c r="D14037" s="7" t="n">
        <v>5</v>
      </c>
      <c r="E14037" s="7" t="n">
        <v>50.03</v>
      </c>
      <c r="F14037" s="7" t="n">
        <v>0</v>
      </c>
      <c r="G14037" s="7" t="n">
        <v>0</v>
      </c>
    </row>
    <row r="14038" customFormat="false" ht="15" hidden="false" customHeight="false" outlineLevel="0" collapsed="false">
      <c r="A14038" s="7" t="s">
        <v>30</v>
      </c>
      <c r="B14038" s="7" t="s">
        <v>727</v>
      </c>
      <c r="C14038" s="7" t="s">
        <v>1069</v>
      </c>
      <c r="D14038" s="7" t="n">
        <v>3</v>
      </c>
      <c r="E14038" s="7" t="n">
        <v>30.46</v>
      </c>
      <c r="F14038" s="7" t="n">
        <v>0</v>
      </c>
      <c r="G14038" s="7" t="n">
        <v>0</v>
      </c>
    </row>
    <row r="14039" customFormat="false" ht="15" hidden="false" customHeight="false" outlineLevel="0" collapsed="false">
      <c r="A14039" s="7" t="s">
        <v>30</v>
      </c>
      <c r="B14039" s="7" t="s">
        <v>727</v>
      </c>
      <c r="C14039" s="7" t="s">
        <v>1069</v>
      </c>
      <c r="D14039" s="7" t="n">
        <v>0</v>
      </c>
      <c r="E14039" s="7" t="n">
        <v>0</v>
      </c>
      <c r="F14039" s="7" t="n">
        <v>2</v>
      </c>
      <c r="G14039" s="7" t="n">
        <v>20.45</v>
      </c>
    </row>
    <row r="14040" customFormat="false" ht="15" hidden="false" customHeight="false" outlineLevel="0" collapsed="false">
      <c r="A14040" s="7" t="s">
        <v>30</v>
      </c>
      <c r="B14040" s="7" t="s">
        <v>727</v>
      </c>
      <c r="C14040" s="7" t="s">
        <v>1069</v>
      </c>
      <c r="D14040" s="7" t="n">
        <v>2</v>
      </c>
      <c r="E14040" s="7" t="n">
        <v>20.02</v>
      </c>
      <c r="F14040" s="7" t="n">
        <v>0</v>
      </c>
      <c r="G14040" s="7" t="n">
        <v>0</v>
      </c>
    </row>
    <row r="14041" customFormat="false" ht="15" hidden="false" customHeight="false" outlineLevel="0" collapsed="false">
      <c r="A14041" s="7" t="s">
        <v>30</v>
      </c>
      <c r="B14041" s="7" t="s">
        <v>727</v>
      </c>
      <c r="C14041" s="7" t="s">
        <v>1069</v>
      </c>
      <c r="D14041" s="7" t="n">
        <v>2</v>
      </c>
      <c r="E14041" s="7" t="n">
        <v>20.75</v>
      </c>
      <c r="F14041" s="7" t="n">
        <v>0</v>
      </c>
      <c r="G14041" s="7" t="n">
        <v>0</v>
      </c>
    </row>
    <row r="14042" customFormat="false" ht="15" hidden="false" customHeight="false" outlineLevel="0" collapsed="false">
      <c r="A14042" s="7" t="s">
        <v>30</v>
      </c>
      <c r="B14042" s="7" t="s">
        <v>727</v>
      </c>
      <c r="C14042" s="7" t="s">
        <v>1069</v>
      </c>
      <c r="D14042" s="7" t="n">
        <v>5</v>
      </c>
      <c r="E14042" s="7" t="n">
        <v>52.24</v>
      </c>
      <c r="F14042" s="7" t="n">
        <v>0</v>
      </c>
      <c r="G14042" s="7" t="n">
        <v>0</v>
      </c>
    </row>
    <row r="14043" customFormat="false" ht="15" hidden="false" customHeight="false" outlineLevel="0" collapsed="false">
      <c r="A14043" s="7" t="s">
        <v>30</v>
      </c>
      <c r="B14043" s="7" t="s">
        <v>727</v>
      </c>
      <c r="C14043" s="7" t="s">
        <v>1069</v>
      </c>
      <c r="D14043" s="7" t="n">
        <v>0</v>
      </c>
      <c r="E14043" s="7" t="n">
        <v>0</v>
      </c>
      <c r="F14043" s="7" t="n">
        <v>2</v>
      </c>
      <c r="G14043" s="7" t="n">
        <v>21.45</v>
      </c>
    </row>
    <row r="14044" customFormat="false" ht="15" hidden="false" customHeight="false" outlineLevel="0" collapsed="false">
      <c r="A14044" s="7" t="s">
        <v>30</v>
      </c>
      <c r="B14044" s="7" t="s">
        <v>101</v>
      </c>
      <c r="C14044" s="7" t="s">
        <v>1121</v>
      </c>
      <c r="D14044" s="7" t="n">
        <v>5</v>
      </c>
      <c r="E14044" s="7" t="n">
        <v>161.17</v>
      </c>
      <c r="F14044" s="7" t="n">
        <v>0</v>
      </c>
      <c r="G14044" s="7" t="n">
        <v>0</v>
      </c>
    </row>
    <row r="14045" customFormat="false" ht="15" hidden="false" customHeight="false" outlineLevel="0" collapsed="false">
      <c r="A14045" s="7" t="s">
        <v>30</v>
      </c>
      <c r="B14045" s="7" t="s">
        <v>101</v>
      </c>
      <c r="C14045" s="7" t="s">
        <v>1121</v>
      </c>
      <c r="D14045" s="7" t="n">
        <v>15</v>
      </c>
      <c r="E14045" s="7" t="n">
        <v>488.21</v>
      </c>
      <c r="F14045" s="7" t="n">
        <v>0</v>
      </c>
      <c r="G14045" s="7" t="n">
        <v>0</v>
      </c>
    </row>
    <row r="14046" customFormat="false" ht="15" hidden="false" customHeight="false" outlineLevel="0" collapsed="false">
      <c r="A14046" s="7" t="s">
        <v>30</v>
      </c>
      <c r="B14046" s="7" t="s">
        <v>101</v>
      </c>
      <c r="C14046" s="7" t="s">
        <v>1121</v>
      </c>
      <c r="D14046" s="7" t="n">
        <v>10</v>
      </c>
      <c r="E14046" s="7" t="n">
        <v>308.69</v>
      </c>
      <c r="F14046" s="7" t="n">
        <v>0</v>
      </c>
      <c r="G14046" s="7" t="n">
        <v>0</v>
      </c>
    </row>
    <row r="14047" customFormat="false" ht="15" hidden="false" customHeight="false" outlineLevel="0" collapsed="false">
      <c r="A14047" s="7" t="s">
        <v>30</v>
      </c>
      <c r="B14047" s="7" t="s">
        <v>101</v>
      </c>
      <c r="C14047" s="7" t="s">
        <v>1121</v>
      </c>
      <c r="D14047" s="7" t="n">
        <v>15</v>
      </c>
      <c r="E14047" s="7" t="n">
        <v>481.71</v>
      </c>
      <c r="F14047" s="7" t="n">
        <v>0</v>
      </c>
      <c r="G14047" s="7" t="n">
        <v>0</v>
      </c>
    </row>
    <row r="14048" customFormat="false" ht="15" hidden="false" customHeight="false" outlineLevel="0" collapsed="false">
      <c r="A14048" s="7" t="s">
        <v>30</v>
      </c>
      <c r="B14048" s="7" t="s">
        <v>101</v>
      </c>
      <c r="C14048" s="7" t="s">
        <v>1121</v>
      </c>
      <c r="D14048" s="7" t="n">
        <v>0</v>
      </c>
      <c r="E14048" s="7" t="n">
        <v>0</v>
      </c>
      <c r="F14048" s="7" t="n">
        <v>40</v>
      </c>
      <c r="G14048" s="7" t="n">
        <v>1323.51</v>
      </c>
    </row>
    <row r="14049" customFormat="false" ht="15" hidden="false" customHeight="false" outlineLevel="0" collapsed="false">
      <c r="A14049" s="7" t="s">
        <v>30</v>
      </c>
      <c r="B14049" s="7" t="s">
        <v>101</v>
      </c>
      <c r="C14049" s="7" t="s">
        <v>1121</v>
      </c>
      <c r="D14049" s="7" t="n">
        <v>0</v>
      </c>
      <c r="E14049" s="7" t="n">
        <v>0</v>
      </c>
      <c r="F14049" s="7" t="n">
        <v>6</v>
      </c>
      <c r="G14049" s="7" t="n">
        <v>186.66</v>
      </c>
    </row>
    <row r="14050" customFormat="false" ht="15" hidden="false" customHeight="false" outlineLevel="0" collapsed="false">
      <c r="A14050" s="7" t="s">
        <v>30</v>
      </c>
      <c r="B14050" s="7" t="s">
        <v>101</v>
      </c>
      <c r="C14050" s="7" t="s">
        <v>1121</v>
      </c>
      <c r="D14050" s="7" t="n">
        <v>15</v>
      </c>
      <c r="E14050" s="7" t="n">
        <v>469.69</v>
      </c>
      <c r="F14050" s="7" t="n">
        <v>0</v>
      </c>
      <c r="G14050" s="7" t="n">
        <v>0</v>
      </c>
    </row>
    <row r="14051" customFormat="false" ht="15" hidden="false" customHeight="false" outlineLevel="0" collapsed="false">
      <c r="A14051" s="7" t="s">
        <v>30</v>
      </c>
      <c r="B14051" s="7" t="s">
        <v>101</v>
      </c>
      <c r="C14051" s="7" t="s">
        <v>1121</v>
      </c>
      <c r="D14051" s="7" t="n">
        <v>15</v>
      </c>
      <c r="E14051" s="7" t="n">
        <v>506.15</v>
      </c>
      <c r="F14051" s="7" t="n">
        <v>0</v>
      </c>
      <c r="G14051" s="7" t="n">
        <v>0</v>
      </c>
    </row>
    <row r="14052" customFormat="false" ht="15" hidden="false" customHeight="false" outlineLevel="0" collapsed="false">
      <c r="A14052" s="7" t="s">
        <v>30</v>
      </c>
      <c r="B14052" s="7" t="s">
        <v>101</v>
      </c>
      <c r="C14052" s="7" t="s">
        <v>1121</v>
      </c>
      <c r="D14052" s="7" t="n">
        <v>10</v>
      </c>
      <c r="E14052" s="7" t="n">
        <v>308.05</v>
      </c>
      <c r="F14052" s="7" t="n">
        <v>0</v>
      </c>
      <c r="G14052" s="7" t="n">
        <v>0</v>
      </c>
    </row>
    <row r="14053" customFormat="false" ht="15" hidden="false" customHeight="false" outlineLevel="0" collapsed="false">
      <c r="A14053" s="7" t="s">
        <v>30</v>
      </c>
      <c r="B14053" s="7" t="s">
        <v>101</v>
      </c>
      <c r="C14053" s="7" t="s">
        <v>1121</v>
      </c>
      <c r="D14053" s="7" t="n">
        <v>0</v>
      </c>
      <c r="E14053" s="7" t="n">
        <v>0</v>
      </c>
      <c r="F14053" s="7" t="n">
        <v>18</v>
      </c>
      <c r="G14053" s="7" t="n">
        <v>567.7</v>
      </c>
    </row>
    <row r="14054" customFormat="false" ht="15" hidden="false" customHeight="false" outlineLevel="0" collapsed="false">
      <c r="A14054" s="7" t="s">
        <v>30</v>
      </c>
      <c r="B14054" s="7" t="s">
        <v>101</v>
      </c>
      <c r="C14054" s="7" t="s">
        <v>1121</v>
      </c>
      <c r="D14054" s="7" t="n">
        <v>20</v>
      </c>
      <c r="E14054" s="7" t="n">
        <v>610.37</v>
      </c>
      <c r="F14054" s="7" t="n">
        <v>0</v>
      </c>
      <c r="G14054" s="7" t="n">
        <v>0</v>
      </c>
    </row>
    <row r="14055" customFormat="false" ht="15" hidden="false" customHeight="false" outlineLevel="0" collapsed="false">
      <c r="A14055" s="7" t="s">
        <v>30</v>
      </c>
      <c r="B14055" s="7" t="s">
        <v>101</v>
      </c>
      <c r="C14055" s="7" t="s">
        <v>1121</v>
      </c>
      <c r="D14055" s="7" t="n">
        <v>3</v>
      </c>
      <c r="E14055" s="7" t="n">
        <v>96.03</v>
      </c>
      <c r="F14055" s="7" t="n">
        <v>0</v>
      </c>
      <c r="G14055" s="7" t="n">
        <v>0</v>
      </c>
    </row>
    <row r="14056" customFormat="false" ht="15" hidden="false" customHeight="false" outlineLevel="0" collapsed="false">
      <c r="A14056" s="7" t="s">
        <v>30</v>
      </c>
      <c r="B14056" s="7" t="s">
        <v>101</v>
      </c>
      <c r="C14056" s="7" t="s">
        <v>1121</v>
      </c>
      <c r="D14056" s="7" t="n">
        <v>25</v>
      </c>
      <c r="E14056" s="7" t="n">
        <v>808.64</v>
      </c>
      <c r="F14056" s="7" t="n">
        <v>0</v>
      </c>
      <c r="G14056" s="7" t="n">
        <v>0</v>
      </c>
    </row>
    <row r="14057" customFormat="false" ht="15" hidden="false" customHeight="false" outlineLevel="0" collapsed="false">
      <c r="A14057" s="7" t="s">
        <v>30</v>
      </c>
      <c r="B14057" s="7" t="s">
        <v>101</v>
      </c>
      <c r="C14057" s="7" t="s">
        <v>1121</v>
      </c>
      <c r="D14057" s="7" t="n">
        <v>15</v>
      </c>
      <c r="E14057" s="7" t="n">
        <v>502.01</v>
      </c>
      <c r="F14057" s="7" t="n">
        <v>0</v>
      </c>
      <c r="G14057" s="7" t="n">
        <v>0</v>
      </c>
    </row>
    <row r="14058" customFormat="false" ht="15" hidden="false" customHeight="false" outlineLevel="0" collapsed="false">
      <c r="A14058" s="7" t="s">
        <v>30</v>
      </c>
      <c r="B14058" s="7" t="s">
        <v>101</v>
      </c>
      <c r="C14058" s="7" t="s">
        <v>1121</v>
      </c>
      <c r="D14058" s="7" t="n">
        <v>0</v>
      </c>
      <c r="E14058" s="7" t="n">
        <v>0</v>
      </c>
      <c r="F14058" s="7" t="n">
        <v>25</v>
      </c>
      <c r="G14058" s="7" t="n">
        <v>772.52</v>
      </c>
    </row>
    <row r="14059" customFormat="false" ht="15" hidden="false" customHeight="false" outlineLevel="0" collapsed="false">
      <c r="A14059" s="7" t="s">
        <v>30</v>
      </c>
      <c r="B14059" s="7" t="s">
        <v>899</v>
      </c>
      <c r="C14059" s="7" t="s">
        <v>1122</v>
      </c>
      <c r="D14059" s="7" t="n">
        <v>0</v>
      </c>
      <c r="E14059" s="7" t="n">
        <v>0</v>
      </c>
      <c r="F14059" s="7" t="n">
        <v>15</v>
      </c>
      <c r="G14059" s="7" t="n">
        <v>157.9</v>
      </c>
    </row>
    <row r="14060" customFormat="false" ht="15" hidden="false" customHeight="false" outlineLevel="0" collapsed="false">
      <c r="A14060" s="7" t="s">
        <v>30</v>
      </c>
      <c r="B14060" s="7" t="s">
        <v>899</v>
      </c>
      <c r="C14060" s="7" t="s">
        <v>1122</v>
      </c>
      <c r="D14060" s="7" t="n">
        <v>0</v>
      </c>
      <c r="E14060" s="7" t="n">
        <v>0</v>
      </c>
      <c r="F14060" s="7" t="n">
        <v>5</v>
      </c>
      <c r="G14060" s="7" t="n">
        <v>53.96</v>
      </c>
    </row>
    <row r="14061" customFormat="false" ht="15" hidden="false" customHeight="false" outlineLevel="0" collapsed="false">
      <c r="A14061" s="7" t="s">
        <v>30</v>
      </c>
      <c r="B14061" s="7" t="s">
        <v>899</v>
      </c>
      <c r="C14061" s="7" t="s">
        <v>1122</v>
      </c>
      <c r="D14061" s="7" t="n">
        <v>15</v>
      </c>
      <c r="E14061" s="7" t="n">
        <v>164.1</v>
      </c>
      <c r="F14061" s="7" t="n">
        <v>0</v>
      </c>
      <c r="G14061" s="7" t="n">
        <v>0</v>
      </c>
    </row>
    <row r="14062" customFormat="false" ht="15" hidden="false" customHeight="false" outlineLevel="0" collapsed="false">
      <c r="A14062" s="7" t="s">
        <v>30</v>
      </c>
      <c r="B14062" s="7" t="s">
        <v>899</v>
      </c>
      <c r="C14062" s="7" t="s">
        <v>1122</v>
      </c>
      <c r="D14062" s="7" t="n">
        <v>2</v>
      </c>
      <c r="E14062" s="7" t="n">
        <v>22.04</v>
      </c>
      <c r="F14062" s="7" t="n">
        <v>0</v>
      </c>
      <c r="G14062" s="7" t="n">
        <v>0</v>
      </c>
    </row>
    <row r="14063" customFormat="false" ht="15" hidden="false" customHeight="false" outlineLevel="0" collapsed="false">
      <c r="A14063" s="7" t="s">
        <v>30</v>
      </c>
      <c r="B14063" s="7" t="s">
        <v>899</v>
      </c>
      <c r="C14063" s="7" t="s">
        <v>1122</v>
      </c>
      <c r="D14063" s="7" t="n">
        <v>0</v>
      </c>
      <c r="E14063" s="7" t="n">
        <v>0</v>
      </c>
      <c r="F14063" s="7" t="n">
        <v>10</v>
      </c>
      <c r="G14063" s="7" t="n">
        <v>107.44</v>
      </c>
    </row>
    <row r="14064" customFormat="false" ht="15" hidden="false" customHeight="false" outlineLevel="0" collapsed="false">
      <c r="A14064" s="7" t="s">
        <v>30</v>
      </c>
      <c r="B14064" s="7" t="s">
        <v>899</v>
      </c>
      <c r="C14064" s="7" t="s">
        <v>1122</v>
      </c>
      <c r="D14064" s="7" t="n">
        <v>0</v>
      </c>
      <c r="E14064" s="7" t="n">
        <v>0</v>
      </c>
      <c r="F14064" s="7" t="n">
        <v>3</v>
      </c>
      <c r="G14064" s="7" t="n">
        <v>32.23</v>
      </c>
    </row>
    <row r="14065" customFormat="false" ht="15" hidden="false" customHeight="false" outlineLevel="0" collapsed="false">
      <c r="A14065" s="7" t="s">
        <v>30</v>
      </c>
      <c r="B14065" s="7" t="s">
        <v>899</v>
      </c>
      <c r="C14065" s="7" t="s">
        <v>1122</v>
      </c>
      <c r="D14065" s="7" t="n">
        <v>10</v>
      </c>
      <c r="E14065" s="7" t="n">
        <v>105.16</v>
      </c>
      <c r="F14065" s="7" t="n">
        <v>0</v>
      </c>
      <c r="G14065" s="7" t="n">
        <v>0</v>
      </c>
    </row>
    <row r="14066" customFormat="false" ht="15" hidden="false" customHeight="false" outlineLevel="0" collapsed="false">
      <c r="A14066" s="7" t="s">
        <v>30</v>
      </c>
      <c r="B14066" s="7" t="s">
        <v>899</v>
      </c>
      <c r="C14066" s="7" t="s">
        <v>1122</v>
      </c>
      <c r="D14066" s="7" t="n">
        <v>10</v>
      </c>
      <c r="E14066" s="7" t="n">
        <v>104.94</v>
      </c>
      <c r="F14066" s="7" t="n">
        <v>0</v>
      </c>
      <c r="G14066" s="7" t="n">
        <v>0</v>
      </c>
    </row>
    <row r="14067" customFormat="false" ht="15" hidden="false" customHeight="false" outlineLevel="0" collapsed="false">
      <c r="A14067" s="7" t="s">
        <v>30</v>
      </c>
      <c r="B14067" s="7" t="s">
        <v>899</v>
      </c>
      <c r="C14067" s="7" t="s">
        <v>1122</v>
      </c>
      <c r="D14067" s="7" t="n">
        <v>8</v>
      </c>
      <c r="E14067" s="7" t="n">
        <v>91.96</v>
      </c>
      <c r="F14067" s="7" t="n">
        <v>0</v>
      </c>
      <c r="G14067" s="7" t="n">
        <v>0</v>
      </c>
    </row>
    <row r="14068" customFormat="false" ht="15" hidden="false" customHeight="false" outlineLevel="0" collapsed="false">
      <c r="A14068" s="7" t="s">
        <v>30</v>
      </c>
      <c r="B14068" s="7" t="s">
        <v>899</v>
      </c>
      <c r="C14068" s="7" t="s">
        <v>1122</v>
      </c>
      <c r="D14068" s="7" t="n">
        <v>15</v>
      </c>
      <c r="E14068" s="7" t="n">
        <v>164.72</v>
      </c>
      <c r="F14068" s="7" t="n">
        <v>0</v>
      </c>
      <c r="G14068" s="7" t="n">
        <v>0</v>
      </c>
    </row>
    <row r="14069" customFormat="false" ht="15" hidden="false" customHeight="false" outlineLevel="0" collapsed="false">
      <c r="A14069" s="7" t="s">
        <v>30</v>
      </c>
      <c r="B14069" s="7" t="s">
        <v>899</v>
      </c>
      <c r="C14069" s="7" t="s">
        <v>1122</v>
      </c>
      <c r="D14069" s="7" t="n">
        <v>15</v>
      </c>
      <c r="E14069" s="7" t="n">
        <v>160</v>
      </c>
      <c r="F14069" s="7" t="n">
        <v>0</v>
      </c>
      <c r="G14069" s="7" t="n">
        <v>0</v>
      </c>
    </row>
    <row r="14070" customFormat="false" ht="15" hidden="false" customHeight="false" outlineLevel="0" collapsed="false">
      <c r="A14070" s="7" t="s">
        <v>30</v>
      </c>
      <c r="B14070" s="7" t="s">
        <v>899</v>
      </c>
      <c r="C14070" s="7" t="s">
        <v>1122</v>
      </c>
      <c r="D14070" s="7" t="n">
        <v>18</v>
      </c>
      <c r="E14070" s="7" t="n">
        <v>205.22</v>
      </c>
      <c r="F14070" s="7" t="n">
        <v>0</v>
      </c>
      <c r="G14070" s="7" t="n">
        <v>0</v>
      </c>
    </row>
    <row r="14071" customFormat="false" ht="15" hidden="false" customHeight="false" outlineLevel="0" collapsed="false">
      <c r="A14071" s="7" t="s">
        <v>30</v>
      </c>
      <c r="B14071" s="7" t="s">
        <v>899</v>
      </c>
      <c r="C14071" s="7" t="s">
        <v>1122</v>
      </c>
      <c r="D14071" s="7" t="n">
        <v>5</v>
      </c>
      <c r="E14071" s="7" t="n">
        <v>54.52</v>
      </c>
      <c r="F14071" s="7" t="n">
        <v>0</v>
      </c>
      <c r="G14071" s="7" t="n">
        <v>0</v>
      </c>
    </row>
    <row r="14072" customFormat="false" ht="15" hidden="false" customHeight="false" outlineLevel="0" collapsed="false">
      <c r="A14072" s="7" t="s">
        <v>30</v>
      </c>
      <c r="B14072" s="7" t="s">
        <v>899</v>
      </c>
      <c r="C14072" s="7" t="s">
        <v>1122</v>
      </c>
      <c r="D14072" s="7" t="n">
        <v>0</v>
      </c>
      <c r="E14072" s="7" t="n">
        <v>0</v>
      </c>
      <c r="F14072" s="7" t="n">
        <v>5</v>
      </c>
      <c r="G14072" s="7" t="n">
        <v>56.36</v>
      </c>
    </row>
    <row r="14073" customFormat="false" ht="15" hidden="false" customHeight="false" outlineLevel="0" collapsed="false">
      <c r="A14073" s="7" t="s">
        <v>30</v>
      </c>
      <c r="B14073" s="7" t="s">
        <v>899</v>
      </c>
      <c r="C14073" s="7" t="s">
        <v>1122</v>
      </c>
      <c r="D14073" s="7" t="n">
        <v>0</v>
      </c>
      <c r="E14073" s="7" t="n">
        <v>0</v>
      </c>
      <c r="F14073" s="7" t="n">
        <v>10</v>
      </c>
      <c r="G14073" s="7" t="n">
        <v>105.98</v>
      </c>
    </row>
    <row r="14074" customFormat="false" ht="15" hidden="false" customHeight="false" outlineLevel="0" collapsed="false">
      <c r="A14074" s="7" t="s">
        <v>30</v>
      </c>
      <c r="B14074" s="7" t="s">
        <v>128</v>
      </c>
      <c r="C14074" s="7" t="s">
        <v>1130</v>
      </c>
      <c r="D14074" s="7" t="n">
        <v>1</v>
      </c>
      <c r="E14074" s="7" t="n">
        <v>0.04</v>
      </c>
      <c r="F14074" s="7" t="n">
        <v>0</v>
      </c>
      <c r="G14074" s="7" t="n">
        <v>0</v>
      </c>
    </row>
    <row r="14075" customFormat="false" ht="15" hidden="false" customHeight="false" outlineLevel="0" collapsed="false">
      <c r="A14075" s="7" t="s">
        <v>30</v>
      </c>
      <c r="B14075" s="7" t="s">
        <v>575</v>
      </c>
      <c r="C14075" s="7" t="s">
        <v>1185</v>
      </c>
      <c r="D14075" s="7" t="n">
        <v>10</v>
      </c>
      <c r="E14075" s="7" t="n">
        <v>162.83</v>
      </c>
      <c r="F14075" s="7" t="n">
        <v>0</v>
      </c>
      <c r="G14075" s="7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2026-09-20T07:00:32Z</dcterms:created>
  <dc:creator>openpyxl</dc:creator>
  <dc:description/>
  <dc:language>en-US</dc:language>
  <cp:lastModifiedBy/>
  <dcterms:modified xsi:type="dcterms:W3CDTF">2026-09-20T07:00:43Z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